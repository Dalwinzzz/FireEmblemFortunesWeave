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养成规划" sheetId="1" state="visible" r:id="rId1"/>
    <sheet name="角色成长率" sheetId="2" state="visible" r:id="rId2"/>
    <sheet name="职业" sheetId="3" state="visible" r:id="rId3"/>
  </sheets>
  <definedNames>
    <definedName name="_xlnm._FilterDatabase" localSheetId="1" hidden="1">'角色成长率'!$A$2:$AP$62</definedName>
    <definedName name="_xlnm._FilterDatabase" localSheetId="2" hidden="1">'职业'!$A$2:$AB$61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Microsoft YaHei"/>
      <sz val="10"/>
    </font>
    <font>
      <name val="Microsoft YaHei"/>
      <b val="1"/>
      <color rgb="001F3864"/>
      <sz val="16"/>
    </font>
    <font>
      <name val="Microsoft YaHei"/>
      <color rgb="00595959"/>
      <sz val="9"/>
    </font>
    <font>
      <name val="Microsoft YaHei"/>
      <b val="1"/>
      <sz val="10"/>
    </font>
    <font>
      <name val="Microsoft YaHei"/>
      <b val="1"/>
      <color rgb="000000FF"/>
      <sz val="10"/>
    </font>
    <font>
      <name val="Microsoft YaHei"/>
      <b val="1"/>
      <color rgb="00FFFFFF"/>
      <sz val="10"/>
    </font>
    <font>
      <name val="Microsoft YaHei"/>
      <b val="1"/>
      <color rgb="00C00000"/>
      <sz val="10"/>
    </font>
    <font>
      <name val="Microsoft YaHei"/>
      <b val="1"/>
      <color rgb="00FFFFFF"/>
      <sz val="12"/>
    </font>
    <font>
      <name val="Microsoft YaHei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2F5597"/>
      </patternFill>
    </fill>
    <fill>
      <patternFill patternType="solid">
        <fgColor rgb="001F3864"/>
      </patternFill>
    </fill>
    <fill>
      <patternFill patternType="solid">
        <fgColor rgb="00DE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601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3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62" customWidth="1" min="13" max="13"/>
    <col hidden="1" outlineLevel="1" width="13" customWidth="1" min="14" max="104"/>
  </cols>
  <sheetData>
    <row r="1" ht="30" customHeight="1">
      <c r="A1" s="1" t="inlineStr">
        <is>
          <t>火焰纹章 万缕千丝 ｜ 固定成长 · 养成路线规划器</t>
        </is>
      </c>
    </row>
    <row r="2" ht="42" customHeight="1">
      <c r="A2" s="2" t="inlineStr">
        <is>
          <t>用法：黄底蓝字是输入格。① 选角色 → ② 填起点/目标的等级、职业、属性（目标属性不填=不作要求）→ ③ 看推荐路线，在「显示路线」里切换方案或改用手动路线 → ④ 下方逐级表显示每一级的职业和属性。规则：每升1级，各属性经验槽 +（角色成长率+职业补正，最低0），满100则该属性+1。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P3" t="inlineStr">
        <is>
          <t>【辅助计算区，请勿修改】</t>
        </is>
      </c>
    </row>
    <row r="4">
      <c r="A4" s="4" t="inlineStr">
        <is>
          <t>① 角色</t>
        </is>
      </c>
      <c r="B4" s="5" t="inlineStr">
        <is>
          <t>蕾达</t>
        </is>
      </c>
      <c r="C4" s="5" t="n"/>
      <c r="D4" s="3" t="n"/>
      <c r="E4" s="6" t="inlineStr">
        <is>
          <t>阵营</t>
        </is>
      </c>
      <c r="F4" s="7">
        <f>IFERROR(INDEX('角色成长率'!$B$3:$B$152,MATCH($B$4,'角色成长率'!$C$3:$C$152,0)),"")</f>
        <v/>
      </c>
      <c r="G4" s="8" t="n"/>
      <c r="H4" s="6" t="inlineStr">
        <is>
          <t>初始兵种</t>
        </is>
      </c>
      <c r="I4" s="7">
        <f>IFERROR(INDEX('角色成长率'!$E$3:$E$152,MATCH($B$4,'角色成长率'!$C$3:$C$152,0)),"")</f>
        <v/>
      </c>
      <c r="J4" s="8" t="n"/>
      <c r="K4" s="9">
        <f>IF($B$4="","请选择角色",IF(ISNA(MATCH($B$4,'角色成长率'!$C$3:$C$152,0)),"⚠ 角色表里找不到该角色",IF(COUNT(INDEX('角色成长率'!$F$3:$N$152,MATCH($B$4,'角色成长率'!$C$3:$C$152,0),0))=0,"⚠ 该角色成长率数据缺失（按0计算）","✓ 成长率已读取")))</f>
        <v/>
      </c>
      <c r="P4" s="10" t="inlineStr">
        <is>
          <t>k</t>
        </is>
      </c>
      <c r="Q4" s="10" t="inlineStr">
        <is>
          <t>lo</t>
        </is>
      </c>
      <c r="R4" s="10" t="inlineStr">
        <is>
          <t>hi</t>
        </is>
      </c>
      <c r="S4" s="10" t="inlineStr">
        <is>
          <t>e</t>
        </is>
      </c>
      <c r="T4" s="10" t="inlineStr">
        <is>
          <t>n</t>
        </is>
      </c>
      <c r="U4" s="10" t="inlineStr">
        <is>
          <t>参数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P5" t="n">
        <v>0</v>
      </c>
      <c r="Q5">
        <f>0</f>
        <v/>
      </c>
      <c r="R5">
        <f>$E$14</f>
        <v/>
      </c>
      <c r="S5">
        <f>IFERROR(MIN(MAX($B$9,Q5),$B$10),0)</f>
        <v/>
      </c>
      <c r="T5">
        <f>IFERROR(MAX(0,MIN($B$10,R5)-MAX($B$9,Q5)),0)</f>
        <v/>
      </c>
      <c r="U5">
        <f>IF(OR($C$10="",$T$9&gt;0),0,IF($T$8&gt;0,3,IF($T$7&gt;0,2,IF($T$6&gt;0,1,0))))</f>
        <v/>
      </c>
      <c r="W5">
        <f>AND(OR($T$6=0,$V$6&gt;0),OR($T$7=0,$V$7&gt;0),OR($T$8=0,$V$8&gt;0))</f>
        <v/>
      </c>
    </row>
    <row r="6">
      <c r="A6" s="10" t="inlineStr">
        <is>
          <t>项目</t>
        </is>
      </c>
      <c r="B6" s="10" t="inlineStr">
        <is>
          <t>等级</t>
        </is>
      </c>
      <c r="C6" s="10" t="inlineStr">
        <is>
          <t>职业</t>
        </is>
      </c>
      <c r="D6" s="10" t="inlineStr">
        <is>
          <t>HP</t>
        </is>
      </c>
      <c r="E6" s="10" t="inlineStr">
        <is>
          <t>力量</t>
        </is>
      </c>
      <c r="F6" s="10" t="inlineStr">
        <is>
          <t>魔力</t>
        </is>
      </c>
      <c r="G6" s="10" t="inlineStr">
        <is>
          <t>速度</t>
        </is>
      </c>
      <c r="H6" s="10" t="inlineStr">
        <is>
          <t>技巧</t>
        </is>
      </c>
      <c r="I6" s="10" t="inlineStr">
        <is>
          <t>防守</t>
        </is>
      </c>
      <c r="J6" s="10" t="inlineStr">
        <is>
          <t>魔防</t>
        </is>
      </c>
      <c r="K6" s="10" t="inlineStr">
        <is>
          <t>幸运</t>
        </is>
      </c>
      <c r="L6" s="10" t="inlineStr">
        <is>
          <t>魅力</t>
        </is>
      </c>
      <c r="M6" s="10" t="inlineStr">
        <is>
          <t>说明</t>
        </is>
      </c>
      <c r="P6" t="n">
        <v>1</v>
      </c>
      <c r="Q6">
        <f>$E$14</f>
        <v/>
      </c>
      <c r="R6">
        <f>$F$14</f>
        <v/>
      </c>
      <c r="S6">
        <f>IFERROR(MIN(MAX($B$9,Q6),$B$10),0)</f>
        <v/>
      </c>
      <c r="T6">
        <f>IFERROR(MAX(0,MIN($B$10,R6)-MAX($B$9,Q6)),0)</f>
        <v/>
      </c>
      <c r="U6">
        <f>IF($T$6=0,1,MAX(1,V6))</f>
        <v/>
      </c>
      <c r="V6">
        <f>COUNTIF(AB$13:AB$162,TRUE)</f>
        <v/>
      </c>
      <c r="W6">
        <f>COUNT($D$10:$L$10)</f>
        <v/>
      </c>
    </row>
    <row r="7">
      <c r="A7" s="11" t="inlineStr">
        <is>
          <t>角色成长率%</t>
        </is>
      </c>
      <c r="B7" s="7" t="n"/>
      <c r="C7" s="7" t="n"/>
      <c r="D7" s="7">
        <f>IFERROR(INDEX('角色成长率'!F$3:F$152,MATCH($B$4,'角色成长率'!$C$3:$C$152,0))+0,0)</f>
        <v/>
      </c>
      <c r="E7" s="7">
        <f>IFERROR(INDEX('角色成长率'!G$3:G$152,MATCH($B$4,'角色成长率'!$C$3:$C$152,0))+0,0)</f>
        <v/>
      </c>
      <c r="F7" s="7">
        <f>IFERROR(INDEX('角色成长率'!H$3:H$152,MATCH($B$4,'角色成长率'!$C$3:$C$152,0))+0,0)</f>
        <v/>
      </c>
      <c r="G7" s="7">
        <f>IFERROR(INDEX('角色成长率'!I$3:I$152,MATCH($B$4,'角色成长率'!$C$3:$C$152,0))+0,0)</f>
        <v/>
      </c>
      <c r="H7" s="7">
        <f>IFERROR(INDEX('角色成长率'!J$3:J$152,MATCH($B$4,'角色成长率'!$C$3:$C$152,0))+0,0)</f>
        <v/>
      </c>
      <c r="I7" s="7">
        <f>IFERROR(INDEX('角色成长率'!K$3:K$152,MATCH($B$4,'角色成长率'!$C$3:$C$152,0))+0,0)</f>
        <v/>
      </c>
      <c r="J7" s="7">
        <f>IFERROR(INDEX('角色成长率'!L$3:L$152,MATCH($B$4,'角色成长率'!$C$3:$C$152,0))+0,0)</f>
        <v/>
      </c>
      <c r="K7" s="7">
        <f>IFERROR(INDEX('角色成长率'!M$3:M$152,MATCH($B$4,'角色成长率'!$C$3:$C$152,0))+0,0)</f>
        <v/>
      </c>
      <c r="L7" s="7">
        <f>IFERROR(INDEX('角色成长率'!N$3:N$152,MATCH($B$4,'角色成长率'!$C$3:$C$152,0))+0,0)</f>
        <v/>
      </c>
      <c r="M7" s="12" t="inlineStr">
        <is>
          <t>来自「角色成长率」表</t>
        </is>
      </c>
      <c r="P7" t="n">
        <v>2</v>
      </c>
      <c r="Q7">
        <f>$F$14</f>
        <v/>
      </c>
      <c r="R7">
        <f>$G$14</f>
        <v/>
      </c>
      <c r="S7">
        <f>IFERROR(MIN(MAX($B$9,Q7),$B$10),0)</f>
        <v/>
      </c>
      <c r="T7">
        <f>IFERROR(MAX(0,MIN($B$10,R7)-MAX($B$9,Q7)),0)</f>
        <v/>
      </c>
      <c r="U7">
        <f>IF($T$7=0,1,MAX(1,V7))</f>
        <v/>
      </c>
      <c r="V7">
        <f>COUNTIF(AC$13:AC$162,TRUE)</f>
        <v/>
      </c>
    </row>
    <row r="8">
      <c r="A8" s="11" t="inlineStr">
        <is>
          <t>起点职业补正%</t>
        </is>
      </c>
      <c r="B8" s="7" t="n"/>
      <c r="C8" s="7" t="n"/>
      <c r="D8" s="7">
        <f>IFERROR(INDEX('职业'!F$3:F$152,MATCH($C$9,'职业'!$C$3:$C$152,0))+0,0)</f>
        <v/>
      </c>
      <c r="E8" s="7">
        <f>IFERROR(INDEX('职业'!G$3:G$152,MATCH($C$9,'职业'!$C$3:$C$152,0))+0,0)</f>
        <v/>
      </c>
      <c r="F8" s="7">
        <f>IFERROR(INDEX('职业'!H$3:H$152,MATCH($C$9,'职业'!$C$3:$C$152,0))+0,0)</f>
        <v/>
      </c>
      <c r="G8" s="7">
        <f>IFERROR(INDEX('职业'!I$3:I$152,MATCH($C$9,'职业'!$C$3:$C$152,0))+0,0)</f>
        <v/>
      </c>
      <c r="H8" s="7">
        <f>IFERROR(INDEX('职业'!J$3:J$152,MATCH($C$9,'职业'!$C$3:$C$152,0))+0,0)</f>
        <v/>
      </c>
      <c r="I8" s="7">
        <f>IFERROR(INDEX('职业'!K$3:K$152,MATCH($C$9,'职业'!$C$3:$C$152,0))+0,0)</f>
        <v/>
      </c>
      <c r="J8" s="7">
        <f>IFERROR(INDEX('职业'!L$3:L$152,MATCH($C$9,'职业'!$C$3:$C$152,0))+0,0)</f>
        <v/>
      </c>
      <c r="K8" s="7">
        <f>IFERROR(INDEX('职业'!M$3:M$152,MATCH($C$9,'职业'!$C$3:$C$152,0))+0,0)</f>
        <v/>
      </c>
      <c r="L8" s="7">
        <f>IFERROR(INDEX('职业'!N$3:N$152,MATCH($C$9,'职业'!$C$3:$C$152,0))+0,0)</f>
        <v/>
      </c>
      <c r="M8" s="12" t="inlineStr">
        <is>
          <t>来自「职业」表，仅供参考</t>
        </is>
      </c>
      <c r="P8" t="n">
        <v>3</v>
      </c>
      <c r="Q8">
        <f>$G$14</f>
        <v/>
      </c>
      <c r="R8">
        <f>$H$14</f>
        <v/>
      </c>
      <c r="S8">
        <f>IFERROR(MIN(MAX($B$9,Q8),$B$10),0)</f>
        <v/>
      </c>
      <c r="T8">
        <f>IFERROR(MAX(0,MIN($B$10,R8)-MAX($B$9,Q8)),0)</f>
        <v/>
      </c>
      <c r="U8">
        <f>IF($T$8=0,1,MAX(1,V8))</f>
        <v/>
      </c>
      <c r="V8">
        <f>COUNTIF(AD$13:AD$162,TRUE)</f>
        <v/>
      </c>
    </row>
    <row r="9">
      <c r="A9" s="11" t="inlineStr">
        <is>
          <t>起点</t>
        </is>
      </c>
      <c r="B9" s="5" t="n">
        <v>10</v>
      </c>
      <c r="C9" s="5" t="inlineStr">
        <is>
          <t>猎兵</t>
        </is>
      </c>
      <c r="D9" s="5" t="n">
        <v>26</v>
      </c>
      <c r="E9" s="5" t="n">
        <v>10</v>
      </c>
      <c r="F9" s="5" t="n">
        <v>6</v>
      </c>
      <c r="G9" s="5" t="n">
        <v>14</v>
      </c>
      <c r="H9" s="5" t="n">
        <v>11</v>
      </c>
      <c r="I9" s="5" t="n">
        <v>7</v>
      </c>
      <c r="J9" s="5" t="n">
        <v>6</v>
      </c>
      <c r="K9" s="5" t="n">
        <v>5</v>
      </c>
      <c r="L9" s="5" t="n">
        <v>9</v>
      </c>
      <c r="M9" s="12" t="inlineStr">
        <is>
          <t>填当前等级、职业和面板属性（示例数据，请替换）</t>
        </is>
      </c>
      <c r="P9" t="n">
        <v>4</v>
      </c>
      <c r="Q9">
        <f>$H$14</f>
        <v/>
      </c>
      <c r="R9">
        <f>999</f>
        <v/>
      </c>
      <c r="S9">
        <f>IFERROR(MIN(MAX($B$9,Q9),$B$10),0)</f>
        <v/>
      </c>
      <c r="T9">
        <f>IFERROR(MAX(0,MIN($B$10,R9)-MAX($B$9,Q9)),0)</f>
        <v/>
      </c>
      <c r="U9">
        <f>U6*U7*U8</f>
        <v/>
      </c>
    </row>
    <row r="10">
      <c r="A10" s="11" t="inlineStr">
        <is>
          <t>目标</t>
        </is>
      </c>
      <c r="B10" s="5" t="n">
        <v>40</v>
      </c>
      <c r="C10" s="5" t="inlineStr">
        <is>
          <t>狙击手</t>
        </is>
      </c>
      <c r="D10" s="5" t="n">
        <v>40</v>
      </c>
      <c r="E10" s="5" t="n">
        <v>22</v>
      </c>
      <c r="F10" s="5" t="n"/>
      <c r="G10" s="5" t="n">
        <v>30</v>
      </c>
      <c r="H10" s="5" t="n">
        <v>27</v>
      </c>
      <c r="I10" s="5" t="n"/>
      <c r="J10" s="5" t="n"/>
      <c r="K10" s="5" t="n"/>
      <c r="L10" s="5" t="n"/>
      <c r="M10" s="12" t="inlineStr">
        <is>
          <t>目标属性留空=不作要求；目标职业留空=45级后沿用上一职业</t>
        </is>
      </c>
      <c r="S10">
        <f>$T$5*MAX(0,D$7+IFERROR(INDEX('职业'!F$3:F$152,MATCH($C$9,'职业'!$C$3:$C$152,0))+0,0))</f>
        <v/>
      </c>
      <c r="T10">
        <f>$T$5*MAX(0,E$7+IFERROR(INDEX('职业'!G$3:G$152,MATCH($C$9,'职业'!$C$3:$C$152,0))+0,0))</f>
        <v/>
      </c>
      <c r="U10">
        <f>$T$5*MAX(0,F$7+IFERROR(INDEX('职业'!H$3:H$152,MATCH($C$9,'职业'!$C$3:$C$152,0))+0,0))</f>
        <v/>
      </c>
      <c r="V10">
        <f>$T$5*MAX(0,G$7+IFERROR(INDEX('职业'!I$3:I$152,MATCH($C$9,'职业'!$C$3:$C$152,0))+0,0))</f>
        <v/>
      </c>
      <c r="W10">
        <f>$T$5*MAX(0,H$7+IFERROR(INDEX('职业'!J$3:J$152,MATCH($C$9,'职业'!$C$3:$C$152,0))+0,0))</f>
        <v/>
      </c>
      <c r="X10">
        <f>$T$5*MAX(0,I$7+IFERROR(INDEX('职业'!K$3:K$152,MATCH($C$9,'职业'!$C$3:$C$152,0))+0,0))</f>
        <v/>
      </c>
      <c r="Y10">
        <f>$T$5*MAX(0,J$7+IFERROR(INDEX('职业'!L$3:L$152,MATCH($C$9,'职业'!$C$3:$C$152,0))+0,0))</f>
        <v/>
      </c>
      <c r="Z10">
        <f>$T$5*MAX(0,K$7+IFERROR(INDEX('职业'!M$3:M$152,MATCH($C$9,'职业'!$C$3:$C$152,0))+0,0))</f>
        <v/>
      </c>
      <c r="AA10">
        <f>$T$5*MAX(0,L$7+IFERROR(INDEX('职业'!N$3:N$152,MATCH($C$9,'职业'!$C$3:$C$152,0))+0,0))</f>
        <v/>
      </c>
    </row>
    <row r="11">
      <c r="A11" s="11" t="inlineStr">
        <is>
          <t>需提升</t>
        </is>
      </c>
      <c r="B11" s="7" t="n"/>
      <c r="C11" s="7" t="n"/>
      <c r="D11" s="7">
        <f>IF(OR(D10="",D9=""),"",D10-D9)</f>
        <v/>
      </c>
      <c r="E11" s="7">
        <f>IF(OR(E10="",E9=""),"",E10-E9)</f>
        <v/>
      </c>
      <c r="F11" s="7">
        <f>IF(OR(F10="",F9=""),"",F10-F9)</f>
        <v/>
      </c>
      <c r="G11" s="7">
        <f>IF(OR(G10="",G9=""),"",G10-G9)</f>
        <v/>
      </c>
      <c r="H11" s="7">
        <f>IF(OR(H10="",H9=""),"",H10-H9)</f>
        <v/>
      </c>
      <c r="I11" s="7">
        <f>IF(OR(I10="",I9=""),"",I10-I9)</f>
        <v/>
      </c>
      <c r="J11" s="7">
        <f>IF(OR(J10="",J9=""),"",J10-J9)</f>
        <v/>
      </c>
      <c r="K11" s="7">
        <f>IF(OR(K10="",K9=""),"",K10-K9)</f>
        <v/>
      </c>
      <c r="L11" s="7">
        <f>IF(OR(L10="",L9=""),"",L10-L9)</f>
        <v/>
      </c>
      <c r="M11" s="12" t="inlineStr">
        <is>
          <t>目标 − 起点</t>
        </is>
      </c>
      <c r="S11">
        <f>IF($C$10="",0,$T$9*MAX(0,D$7+IFERROR(INDEX('职业'!F$3:F$152,MATCH($C$10,'职业'!$C$3:$C$152,0))+0,0)))</f>
        <v/>
      </c>
      <c r="T11">
        <f>IF($C$10="",0,$T$9*MAX(0,E$7+IFERROR(INDEX('职业'!G$3:G$152,MATCH($C$10,'职业'!$C$3:$C$152,0))+0,0)))</f>
        <v/>
      </c>
      <c r="U11">
        <f>IF($C$10="",0,$T$9*MAX(0,F$7+IFERROR(INDEX('职业'!H$3:H$152,MATCH($C$10,'职业'!$C$3:$C$152,0))+0,0)))</f>
        <v/>
      </c>
      <c r="V11">
        <f>IF($C$10="",0,$T$9*MAX(0,G$7+IFERROR(INDEX('职业'!I$3:I$152,MATCH($C$10,'职业'!$C$3:$C$152,0))+0,0)))</f>
        <v/>
      </c>
      <c r="W11">
        <f>IF($C$10="",0,$T$9*MAX(0,H$7+IFERROR(INDEX('职业'!J$3:J$152,MATCH($C$10,'职业'!$C$3:$C$152,0))+0,0)))</f>
        <v/>
      </c>
      <c r="X11">
        <f>IF($C$10="",0,$T$9*MAX(0,I$7+IFERROR(INDEX('职业'!K$3:K$152,MATCH($C$10,'职业'!$C$3:$C$152,0))+0,0)))</f>
        <v/>
      </c>
      <c r="Y11">
        <f>IF($C$10="",0,$T$9*MAX(0,J$7+IFERROR(INDEX('职业'!L$3:L$152,MATCH($C$10,'职业'!$C$3:$C$152,0))+0,0)))</f>
        <v/>
      </c>
      <c r="Z11">
        <f>IF($C$10="",0,$T$9*MAX(0,K$7+IFERROR(INDEX('职业'!M$3:M$152,MATCH($C$10,'职业'!$C$3:$C$152,0))+0,0)))</f>
        <v/>
      </c>
      <c r="AA11">
        <f>IF($C$10="",0,$T$9*MAX(0,L$7+IFERROR(INDEX('职业'!N$3:N$152,MATCH($C$10,'职业'!$C$3:$C$152,0))+0,0)))</f>
        <v/>
      </c>
    </row>
    <row r="12">
      <c r="A12" s="11" t="inlineStr">
        <is>
          <t>每级需成长%</t>
        </is>
      </c>
      <c r="B12" s="7" t="n"/>
      <c r="C12" s="7" t="n"/>
      <c r="D12" s="7">
        <f>IF(OR(D10="",$B$10="",$B$9="",$B$10&lt;=$B$9),"",ROUND(MAX(0,(D10-D9)*100-$B$14)/($B$10-$B$9),1))</f>
        <v/>
      </c>
      <c r="E12" s="7">
        <f>IF(OR(E10="",$B$10="",$B$9="",$B$10&lt;=$B$9),"",ROUND(MAX(0,(E10-E9)*100-$B$14)/($B$10-$B$9),1))</f>
        <v/>
      </c>
      <c r="F12" s="7">
        <f>IF(OR(F10="",$B$10="",$B$9="",$B$10&lt;=$B$9),"",ROUND(MAX(0,(F10-F9)*100-$B$14)/($B$10-$B$9),1))</f>
        <v/>
      </c>
      <c r="G12" s="7">
        <f>IF(OR(G10="",$B$10="",$B$9="",$B$10&lt;=$B$9),"",ROUND(MAX(0,(G10-G9)*100-$B$14)/($B$10-$B$9),1))</f>
        <v/>
      </c>
      <c r="H12" s="7">
        <f>IF(OR(H10="",$B$10="",$B$9="",$B$10&lt;=$B$9),"",ROUND(MAX(0,(H10-H9)*100-$B$14)/($B$10-$B$9),1))</f>
        <v/>
      </c>
      <c r="I12" s="7">
        <f>IF(OR(I10="",$B$10="",$B$9="",$B$10&lt;=$B$9),"",ROUND(MAX(0,(I10-I9)*100-$B$14)/($B$10-$B$9),1))</f>
        <v/>
      </c>
      <c r="J12" s="7">
        <f>IF(OR(J10="",$B$10="",$B$9="",$B$10&lt;=$B$9),"",ROUND(MAX(0,(J10-J9)*100-$B$14)/($B$10-$B$9),1))</f>
        <v/>
      </c>
      <c r="K12" s="7">
        <f>IF(OR(K10="",$B$10="",$B$9="",$B$10&lt;=$B$9),"",ROUND(MAX(0,(K10-K9)*100-$B$14)/($B$10-$B$9),1))</f>
        <v/>
      </c>
      <c r="L12" s="7">
        <f>IF(OR(L10="",$B$10="",$B$9="",$B$10&lt;=$B$9),"",ROUND(MAX(0,(L10-L9)*100-$B$14)/($B$10-$B$9),1))</f>
        <v/>
      </c>
      <c r="M12" s="12" t="inlineStr">
        <is>
          <t>达成目标平均每级需要的（角色+职业）成长，可对照职业补正</t>
        </is>
      </c>
      <c r="P12" s="10" t="inlineStr">
        <is>
          <t>职业</t>
        </is>
      </c>
      <c r="Q12" s="10" t="inlineStr">
        <is>
          <t>最低Lv</t>
        </is>
      </c>
      <c r="R12" s="10" t="inlineStr">
        <is>
          <t>纳入</t>
        </is>
      </c>
      <c r="S12">
        <f>$B$14+S10+S11</f>
        <v/>
      </c>
      <c r="T12">
        <f>$B$14+T10+T11</f>
        <v/>
      </c>
      <c r="U12">
        <f>$B$14+U10+U11</f>
        <v/>
      </c>
      <c r="V12">
        <f>$B$14+V10+V11</f>
        <v/>
      </c>
      <c r="W12">
        <f>$B$14+W10+W11</f>
        <v/>
      </c>
      <c r="X12">
        <f>$B$14+X10+X11</f>
        <v/>
      </c>
      <c r="Y12">
        <f>$B$14+Y10+Y11</f>
        <v/>
      </c>
      <c r="Z12">
        <f>$B$14+Z10+Z11</f>
        <v/>
      </c>
      <c r="AA12">
        <f>$B$14+AA10+AA11</f>
        <v/>
      </c>
      <c r="BN12" s="10" t="inlineStr">
        <is>
          <t>i1</t>
        </is>
      </c>
      <c r="BO12" s="10" t="inlineStr">
        <is>
          <t>i2</t>
        </is>
      </c>
      <c r="BP12" s="10" t="inlineStr">
        <is>
          <t>i3</t>
        </is>
      </c>
      <c r="BQ12" s="10" t="inlineStr">
        <is>
          <t>达成</t>
        </is>
      </c>
      <c r="BR12" s="10" t="inlineStr">
        <is>
          <t>缺口</t>
        </is>
      </c>
      <c r="BS12" s="10" t="inlineStr">
        <is>
          <t>总和</t>
        </is>
      </c>
      <c r="BT12" s="10" t="inlineStr">
        <is>
          <t>评分</t>
        </is>
      </c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P13">
        <f>IF('职业'!$C3="","",'职业'!$C3)</f>
        <v/>
      </c>
      <c r="Q13">
        <f>N('职业'!$D3)</f>
        <v/>
      </c>
      <c r="R13">
        <f>'职业'!$E3&amp;""</f>
        <v/>
      </c>
      <c r="S13">
        <f>IF($P13="",0,MAX(0,D$7+N('职业'!F3)))</f>
        <v/>
      </c>
      <c r="T13">
        <f>IF($P13="",0,MAX(0,E$7+N('职业'!G3)))</f>
        <v/>
      </c>
      <c r="U13">
        <f>IF($P13="",0,MAX(0,F$7+N('职业'!H3)))</f>
        <v/>
      </c>
      <c r="V13">
        <f>IF($P13="",0,MAX(0,G$7+N('职业'!I3)))</f>
        <v/>
      </c>
      <c r="W13">
        <f>IF($P13="",0,MAX(0,H$7+N('职业'!J3)))</f>
        <v/>
      </c>
      <c r="X13">
        <f>IF($P13="",0,MAX(0,I$7+N('职业'!K3)))</f>
        <v/>
      </c>
      <c r="Y13">
        <f>IF($P13="",0,MAX(0,J$7+N('职业'!L3)))</f>
        <v/>
      </c>
      <c r="Z13">
        <f>IF($P13="",0,MAX(0,K$7+N('职业'!M3)))</f>
        <v/>
      </c>
      <c r="AA13">
        <f>IF($P13="",0,MAX(0,L$7+N('职业'!N3)))</f>
        <v/>
      </c>
      <c r="AB13">
        <f>AND($P13&lt;&gt;"",IF($U$5=1,$P13=$C$10,OR($P13=$C$9,AND($R13="是",$Q13&lt;=MAX($B$9,$Q$6)))))</f>
        <v/>
      </c>
      <c r="AC13">
        <f>AND($P13&lt;&gt;"",IF($U$5=2,$P13=$C$10,OR($P13=$C$9,AND($R13="是",$Q13&lt;=MAX($B$9,$Q$7)))))</f>
        <v/>
      </c>
      <c r="AD13">
        <f>AND($P13&lt;&gt;"",IF($U$5=3,$P13=$C$10,OR($P13=$C$9,AND($R13="是",$Q13&lt;=MAX($B$9,$Q$8)))))</f>
        <v/>
      </c>
      <c r="AE13">
        <f>IF(AB13,COUNTIF(AB$13:AB13,TRUE),"")</f>
        <v/>
      </c>
      <c r="AF13">
        <f>IF(AC13,COUNTIF(AC$13:AC13,TRUE),"")</f>
        <v/>
      </c>
      <c r="AG13">
        <f>IF(AD13,COUNTIF(AD$13:AD13,TRUE),"")</f>
        <v/>
      </c>
      <c r="AI13">
        <f>IFERROR(INDEX($P$13:$P$162,MATCH(1,$AE$13:$AE$162,0)),"")</f>
        <v/>
      </c>
      <c r="AJ13">
        <f>IFERROR(INDEX(S$13:S$162,MATCH(1,$AE$13:$AE$162,0)),0)*$T$6</f>
        <v/>
      </c>
      <c r="AK13">
        <f>IFERROR(INDEX(T$13:T$162,MATCH(1,$AE$13:$AE$162,0)),0)*$T$6</f>
        <v/>
      </c>
      <c r="AL13">
        <f>IFERROR(INDEX(U$13:U$162,MATCH(1,$AE$13:$AE$162,0)),0)*$T$6</f>
        <v/>
      </c>
      <c r="AM13">
        <f>IFERROR(INDEX(V$13:V$162,MATCH(1,$AE$13:$AE$162,0)),0)*$T$6</f>
        <v/>
      </c>
      <c r="AN13">
        <f>IFERROR(INDEX(W$13:W$162,MATCH(1,$AE$13:$AE$162,0)),0)*$T$6</f>
        <v/>
      </c>
      <c r="AO13">
        <f>IFERROR(INDEX(X$13:X$162,MATCH(1,$AE$13:$AE$162,0)),0)*$T$6</f>
        <v/>
      </c>
      <c r="AP13">
        <f>IFERROR(INDEX(Y$13:Y$162,MATCH(1,$AE$13:$AE$162,0)),0)*$T$6</f>
        <v/>
      </c>
      <c r="AQ13">
        <f>IFERROR(INDEX(Z$13:Z$162,MATCH(1,$AE$13:$AE$162,0)),0)*$T$6</f>
        <v/>
      </c>
      <c r="AR13">
        <f>IFERROR(INDEX(AA$13:AA$162,MATCH(1,$AE$13:$AE$162,0)),0)*$T$6</f>
        <v/>
      </c>
      <c r="AS13">
        <f>IFERROR(INDEX($P$13:$P$162,MATCH(1,$AF$13:$AF$162,0)),"")</f>
        <v/>
      </c>
      <c r="AT13">
        <f>IFERROR(INDEX(S$13:S$162,MATCH(1,$AF$13:$AF$162,0)),0)*$T$7</f>
        <v/>
      </c>
      <c r="AU13">
        <f>IFERROR(INDEX(T$13:T$162,MATCH(1,$AF$13:$AF$162,0)),0)*$T$7</f>
        <v/>
      </c>
      <c r="AV13">
        <f>IFERROR(INDEX(U$13:U$162,MATCH(1,$AF$13:$AF$162,0)),0)*$T$7</f>
        <v/>
      </c>
      <c r="AW13">
        <f>IFERROR(INDEX(V$13:V$162,MATCH(1,$AF$13:$AF$162,0)),0)*$T$7</f>
        <v/>
      </c>
      <c r="AX13">
        <f>IFERROR(INDEX(W$13:W$162,MATCH(1,$AF$13:$AF$162,0)),0)*$T$7</f>
        <v/>
      </c>
      <c r="AY13">
        <f>IFERROR(INDEX(X$13:X$162,MATCH(1,$AF$13:$AF$162,0)),0)*$T$7</f>
        <v/>
      </c>
      <c r="AZ13">
        <f>IFERROR(INDEX(Y$13:Y$162,MATCH(1,$AF$13:$AF$162,0)),0)*$T$7</f>
        <v/>
      </c>
      <c r="BA13">
        <f>IFERROR(INDEX(Z$13:Z$162,MATCH(1,$AF$13:$AF$162,0)),0)*$T$7</f>
        <v/>
      </c>
      <c r="BB13">
        <f>IFERROR(INDEX(AA$13:AA$162,MATCH(1,$AF$13:$AF$162,0)),0)*$T$7</f>
        <v/>
      </c>
      <c r="BC13">
        <f>IFERROR(INDEX($P$13:$P$162,MATCH(1,$AG$13:$AG$162,0)),"")</f>
        <v/>
      </c>
      <c r="BD13">
        <f>IFERROR(INDEX(S$13:S$162,MATCH(1,$AG$13:$AG$162,0)),0)*($T$8+IF($C$10="",$T$9,0))</f>
        <v/>
      </c>
      <c r="BE13">
        <f>IFERROR(INDEX(T$13:T$162,MATCH(1,$AG$13:$AG$162,0)),0)*($T$8+IF($C$10="",$T$9,0))</f>
        <v/>
      </c>
      <c r="BF13">
        <f>IFERROR(INDEX(U$13:U$162,MATCH(1,$AG$13:$AG$162,0)),0)*($T$8+IF($C$10="",$T$9,0))</f>
        <v/>
      </c>
      <c r="BG13">
        <f>IFERROR(INDEX(V$13:V$162,MATCH(1,$AG$13:$AG$162,0)),0)*($T$8+IF($C$10="",$T$9,0))</f>
        <v/>
      </c>
      <c r="BH13">
        <f>IFERROR(INDEX(W$13:W$162,MATCH(1,$AG$13:$AG$162,0)),0)*($T$8+IF($C$10="",$T$9,0))</f>
        <v/>
      </c>
      <c r="BI13">
        <f>IFERROR(INDEX(X$13:X$162,MATCH(1,$AG$13:$AG$162,0)),0)*($T$8+IF($C$10="",$T$9,0))</f>
        <v/>
      </c>
      <c r="BJ13">
        <f>IFERROR(INDEX(Y$13:Y$162,MATCH(1,$AG$13:$AG$162,0)),0)*($T$8+IF($C$10="",$T$9,0))</f>
        <v/>
      </c>
      <c r="BK13">
        <f>IFERROR(INDEX(Z$13:Z$162,MATCH(1,$AG$13:$AG$162,0)),0)*($T$8+IF($C$10="",$T$9,0))</f>
        <v/>
      </c>
      <c r="BL13">
        <f>IFERROR(INDEX(AA$13:AA$162,MATCH(1,$AG$13:$AG$162,0)),0)*($T$8+IF($C$10="",$T$9,0))</f>
        <v/>
      </c>
      <c r="BN13">
        <f>IF(0&lt;$U$9,INT(0/($U$7*$U$8))+1,1)</f>
        <v/>
      </c>
      <c r="BO13">
        <f>IF(0&lt;$U$9,MOD(INT(0/$U$8),$U$7)+1,1)</f>
        <v/>
      </c>
      <c r="BP13">
        <f>IF(0&lt;$U$9,MOD(0,$U$8)+1,1)</f>
        <v/>
      </c>
      <c r="BQ13">
        <f>IF(0&lt;$U$9,SUMPRODUCT(($D$10:$L$10&lt;&gt;"")*(($D$9:$L$9+INT(($S$12:$AA$12+INDEX($AJ$13:$AR$162,BN13,0)+INDEX($AT$13:$BB$162,BO13,0)+INDEX($BD$13:$BL$162,BP13,0))/100))&gt;=$D$10:$L$10)),0)</f>
        <v/>
      </c>
      <c r="BR13">
        <f>IF(0&lt;$U$9,SUMPRODUCT(($D$10:$L$10&lt;&gt;"")*(($D$10:$L$10-($D$9:$L$9+INT(($S$12:$AA$12+INDEX($AJ$13:$AR$162,BN13,0)+INDEX($AT$13:$BB$162,BO13,0)+INDEX($BD$13:$BL$162,BP13,0))/100)))&gt;0)*($D$10:$L$10-($D$9:$L$9+INT(($S$12:$AA$12+INDEX($AJ$13:$AR$162,BN13,0)+INDEX($AT$13:$BB$162,BO13,0)+INDEX($BD$13:$BL$162,BP13,0))/100)))),0)</f>
        <v/>
      </c>
      <c r="BS13">
        <f>IF(0&lt;$U$9,SUMPRODUCT(($D$9:$L$9+INT(($S$12:$AA$12+INDEX($AJ$13:$AR$162,BN13,0)+INDEX($AT$13:$BB$162,BO13,0)+INDEX($BD$13:$BL$162,BP13,0))/100))),0)</f>
        <v/>
      </c>
      <c r="BT13">
        <f>IF(AND(0&lt;$U$9,$W$5),BQ13*1000000-MIN(BR13,999)*1000+BS13-0/100000,-1000000000-0)</f>
        <v/>
      </c>
    </row>
    <row r="14" ht="30" customHeight="1">
      <c r="A14" s="4" t="inlineStr">
        <is>
          <t>初始经验槽%</t>
        </is>
      </c>
      <c r="B14" s="5" t="n">
        <v>0</v>
      </c>
      <c r="C14" s="6" t="inlineStr">
        <is>
          <t>推荐路线转职节点Lv</t>
        </is>
      </c>
      <c r="E14" s="5" t="n">
        <v>5</v>
      </c>
      <c r="F14" s="5" t="n">
        <v>20</v>
      </c>
      <c r="G14" s="5" t="n">
        <v>35</v>
      </c>
      <c r="H14" s="5" t="n">
        <v>45</v>
      </c>
      <c r="I14" s="6" t="inlineStr">
        <is>
          <t>显示路线</t>
        </is>
      </c>
      <c r="K14" s="5" t="inlineStr">
        <is>
          <t>推荐1</t>
        </is>
      </c>
      <c r="L14" s="5" t="n"/>
      <c r="M14" s="2" t="inlineStr">
        <is>
          <t>经验槽默认0=最保守（实际通常≥0，结果只会更好）。节点：推荐路线只在这些等级换职业（对应初级/中级/上级/最上级的推荐等级）。</t>
        </is>
      </c>
      <c r="P14">
        <f>IF('职业'!$C4="","",'职业'!$C4)</f>
        <v/>
      </c>
      <c r="Q14">
        <f>N('职业'!$D4)</f>
        <v/>
      </c>
      <c r="R14">
        <f>'职业'!$E4&amp;""</f>
        <v/>
      </c>
      <c r="S14">
        <f>IF($P14="",0,MAX(0,D$7+N('职业'!F4)))</f>
        <v/>
      </c>
      <c r="T14">
        <f>IF($P14="",0,MAX(0,E$7+N('职业'!G4)))</f>
        <v/>
      </c>
      <c r="U14">
        <f>IF($P14="",0,MAX(0,F$7+N('职业'!H4)))</f>
        <v/>
      </c>
      <c r="V14">
        <f>IF($P14="",0,MAX(0,G$7+N('职业'!I4)))</f>
        <v/>
      </c>
      <c r="W14">
        <f>IF($P14="",0,MAX(0,H$7+N('职业'!J4)))</f>
        <v/>
      </c>
      <c r="X14">
        <f>IF($P14="",0,MAX(0,I$7+N('职业'!K4)))</f>
        <v/>
      </c>
      <c r="Y14">
        <f>IF($P14="",0,MAX(0,J$7+N('职业'!L4)))</f>
        <v/>
      </c>
      <c r="Z14">
        <f>IF($P14="",0,MAX(0,K$7+N('职业'!M4)))</f>
        <v/>
      </c>
      <c r="AA14">
        <f>IF($P14="",0,MAX(0,L$7+N('职业'!N4)))</f>
        <v/>
      </c>
      <c r="AB14">
        <f>AND($P14&lt;&gt;"",IF($U$5=1,$P14=$C$10,OR($P14=$C$9,AND($R14="是",$Q14&lt;=MAX($B$9,$Q$6)))))</f>
        <v/>
      </c>
      <c r="AC14">
        <f>AND($P14&lt;&gt;"",IF($U$5=2,$P14=$C$10,OR($P14=$C$9,AND($R14="是",$Q14&lt;=MAX($B$9,$Q$7)))))</f>
        <v/>
      </c>
      <c r="AD14">
        <f>AND($P14&lt;&gt;"",IF($U$5=3,$P14=$C$10,OR($P14=$C$9,AND($R14="是",$Q14&lt;=MAX($B$9,$Q$8)))))</f>
        <v/>
      </c>
      <c r="AE14">
        <f>IF(AB14,COUNTIF(AB$13:AB14,TRUE),"")</f>
        <v/>
      </c>
      <c r="AF14">
        <f>IF(AC14,COUNTIF(AC$13:AC14,TRUE),"")</f>
        <v/>
      </c>
      <c r="AG14">
        <f>IF(AD14,COUNTIF(AD$13:AD14,TRUE),"")</f>
        <v/>
      </c>
      <c r="AI14">
        <f>IFERROR(INDEX($P$13:$P$162,MATCH(2,$AE$13:$AE$162,0)),"")</f>
        <v/>
      </c>
      <c r="AJ14">
        <f>IFERROR(INDEX(S$13:S$162,MATCH(2,$AE$13:$AE$162,0)),0)*$T$6</f>
        <v/>
      </c>
      <c r="AK14">
        <f>IFERROR(INDEX(T$13:T$162,MATCH(2,$AE$13:$AE$162,0)),0)*$T$6</f>
        <v/>
      </c>
      <c r="AL14">
        <f>IFERROR(INDEX(U$13:U$162,MATCH(2,$AE$13:$AE$162,0)),0)*$T$6</f>
        <v/>
      </c>
      <c r="AM14">
        <f>IFERROR(INDEX(V$13:V$162,MATCH(2,$AE$13:$AE$162,0)),0)*$T$6</f>
        <v/>
      </c>
      <c r="AN14">
        <f>IFERROR(INDEX(W$13:W$162,MATCH(2,$AE$13:$AE$162,0)),0)*$T$6</f>
        <v/>
      </c>
      <c r="AO14">
        <f>IFERROR(INDEX(X$13:X$162,MATCH(2,$AE$13:$AE$162,0)),0)*$T$6</f>
        <v/>
      </c>
      <c r="AP14">
        <f>IFERROR(INDEX(Y$13:Y$162,MATCH(2,$AE$13:$AE$162,0)),0)*$T$6</f>
        <v/>
      </c>
      <c r="AQ14">
        <f>IFERROR(INDEX(Z$13:Z$162,MATCH(2,$AE$13:$AE$162,0)),0)*$T$6</f>
        <v/>
      </c>
      <c r="AR14">
        <f>IFERROR(INDEX(AA$13:AA$162,MATCH(2,$AE$13:$AE$162,0)),0)*$T$6</f>
        <v/>
      </c>
      <c r="AS14">
        <f>IFERROR(INDEX($P$13:$P$162,MATCH(2,$AF$13:$AF$162,0)),"")</f>
        <v/>
      </c>
      <c r="AT14">
        <f>IFERROR(INDEX(S$13:S$162,MATCH(2,$AF$13:$AF$162,0)),0)*$T$7</f>
        <v/>
      </c>
      <c r="AU14">
        <f>IFERROR(INDEX(T$13:T$162,MATCH(2,$AF$13:$AF$162,0)),0)*$T$7</f>
        <v/>
      </c>
      <c r="AV14">
        <f>IFERROR(INDEX(U$13:U$162,MATCH(2,$AF$13:$AF$162,0)),0)*$T$7</f>
        <v/>
      </c>
      <c r="AW14">
        <f>IFERROR(INDEX(V$13:V$162,MATCH(2,$AF$13:$AF$162,0)),0)*$T$7</f>
        <v/>
      </c>
      <c r="AX14">
        <f>IFERROR(INDEX(W$13:W$162,MATCH(2,$AF$13:$AF$162,0)),0)*$T$7</f>
        <v/>
      </c>
      <c r="AY14">
        <f>IFERROR(INDEX(X$13:X$162,MATCH(2,$AF$13:$AF$162,0)),0)*$T$7</f>
        <v/>
      </c>
      <c r="AZ14">
        <f>IFERROR(INDEX(Y$13:Y$162,MATCH(2,$AF$13:$AF$162,0)),0)*$T$7</f>
        <v/>
      </c>
      <c r="BA14">
        <f>IFERROR(INDEX(Z$13:Z$162,MATCH(2,$AF$13:$AF$162,0)),0)*$T$7</f>
        <v/>
      </c>
      <c r="BB14">
        <f>IFERROR(INDEX(AA$13:AA$162,MATCH(2,$AF$13:$AF$162,0)),0)*$T$7</f>
        <v/>
      </c>
      <c r="BC14">
        <f>IFERROR(INDEX($P$13:$P$162,MATCH(2,$AG$13:$AG$162,0)),"")</f>
        <v/>
      </c>
      <c r="BD14">
        <f>IFERROR(INDEX(S$13:S$162,MATCH(2,$AG$13:$AG$162,0)),0)*($T$8+IF($C$10="",$T$9,0))</f>
        <v/>
      </c>
      <c r="BE14">
        <f>IFERROR(INDEX(T$13:T$162,MATCH(2,$AG$13:$AG$162,0)),0)*($T$8+IF($C$10="",$T$9,0))</f>
        <v/>
      </c>
      <c r="BF14">
        <f>IFERROR(INDEX(U$13:U$162,MATCH(2,$AG$13:$AG$162,0)),0)*($T$8+IF($C$10="",$T$9,0))</f>
        <v/>
      </c>
      <c r="BG14">
        <f>IFERROR(INDEX(V$13:V$162,MATCH(2,$AG$13:$AG$162,0)),0)*($T$8+IF($C$10="",$T$9,0))</f>
        <v/>
      </c>
      <c r="BH14">
        <f>IFERROR(INDEX(W$13:W$162,MATCH(2,$AG$13:$AG$162,0)),0)*($T$8+IF($C$10="",$T$9,0))</f>
        <v/>
      </c>
      <c r="BI14">
        <f>IFERROR(INDEX(X$13:X$162,MATCH(2,$AG$13:$AG$162,0)),0)*($T$8+IF($C$10="",$T$9,0))</f>
        <v/>
      </c>
      <c r="BJ14">
        <f>IFERROR(INDEX(Y$13:Y$162,MATCH(2,$AG$13:$AG$162,0)),0)*($T$8+IF($C$10="",$T$9,0))</f>
        <v/>
      </c>
      <c r="BK14">
        <f>IFERROR(INDEX(Z$13:Z$162,MATCH(2,$AG$13:$AG$162,0)),0)*($T$8+IF($C$10="",$T$9,0))</f>
        <v/>
      </c>
      <c r="BL14">
        <f>IFERROR(INDEX(AA$13:AA$162,MATCH(2,$AG$13:$AG$162,0)),0)*($T$8+IF($C$10="",$T$9,0))</f>
        <v/>
      </c>
      <c r="BN14">
        <f>IF(1&lt;$U$9,INT(1/($U$7*$U$8))+1,1)</f>
        <v/>
      </c>
      <c r="BO14">
        <f>IF(1&lt;$U$9,MOD(INT(1/$U$8),$U$7)+1,1)</f>
        <v/>
      </c>
      <c r="BP14">
        <f>IF(1&lt;$U$9,MOD(1,$U$8)+1,1)</f>
        <v/>
      </c>
      <c r="BQ14">
        <f>IF(1&lt;$U$9,SUMPRODUCT(($D$10:$L$10&lt;&gt;"")*(($D$9:$L$9+INT(($S$12:$AA$12+INDEX($AJ$13:$AR$162,BN14,0)+INDEX($AT$13:$BB$162,BO14,0)+INDEX($BD$13:$BL$162,BP14,0))/100))&gt;=$D$10:$L$10)),0)</f>
        <v/>
      </c>
      <c r="BR14">
        <f>IF(1&lt;$U$9,SUMPRODUCT(($D$10:$L$10&lt;&gt;"")*(($D$10:$L$10-($D$9:$L$9+INT(($S$12:$AA$12+INDEX($AJ$13:$AR$162,BN14,0)+INDEX($AT$13:$BB$162,BO14,0)+INDEX($BD$13:$BL$162,BP14,0))/100)))&gt;0)*($D$10:$L$10-($D$9:$L$9+INT(($S$12:$AA$12+INDEX($AJ$13:$AR$162,BN14,0)+INDEX($AT$13:$BB$162,BO14,0)+INDEX($BD$13:$BL$162,BP14,0))/100)))),0)</f>
        <v/>
      </c>
      <c r="BS14">
        <f>IF(1&lt;$U$9,SUMPRODUCT(($D$9:$L$9+INT(($S$12:$AA$12+INDEX($AJ$13:$AR$162,BN14,0)+INDEX($AT$13:$BB$162,BO14,0)+INDEX($BD$13:$BL$162,BP14,0))/100))),0)</f>
        <v/>
      </c>
      <c r="BT14">
        <f>IF(AND(1&lt;$U$9,$W$5),BQ14*1000000-MIN(BR14,999)*1000+BS14-1/100000,-1000000000-1)</f>
        <v/>
      </c>
    </row>
    <row r="15">
      <c r="A15" s="13">
        <f>IF(OR($B$9="",$B$10=""),"⚠ 请填写起点等级和目标等级；",IF($B$10&lt;=$B$9,"⚠ 目标等级必须大于起点等级；",""))&amp;IF($B$10-$B$9&gt;99,"⚠ 等级跨度超过99，逐级表只显示前100级；","")&amp;IF(ISNA(MATCH($C$9,'职业'!$C$3:$C$152,0)),"⚠ 起点职业不在职业表中（补正按0计）；","")&amp;IF(AND($C$10&lt;&gt;"",ISNA(MATCH($C$10,'职业'!$C$3:$C$152,0))),"⚠ 目标职业不在职业表中；","")&amp;IFERROR(IF(AND($C$10&lt;&gt;"",IF($T$9&gt;0,$S$9,IF($U$5&gt;0,INDEX($S$5:$S$9,$U$5+1),$B$9))&lt;INDEX('职业'!D$3:D$152,MATCH($C$10,'职业'!$C$3:$C$152,0))),"⚠ 目标职业最低转职等级为Lv"&amp;INDEX('职业'!D$3:D$152,MATCH($C$10,'职业'!$C$3:$C$152,0))&amp;"，但按目标等级只能在Lv"&amp;IF($T$9&gt;0,$S$9,IF($U$5&gt;0,INDEX($S$5:$S$9,$U$5+1),$B$9))&amp;"转入；",""),"")&amp;IF($U$9&gt;6000,"⚠ 候选组合"&amp;$U$9&amp;"个，超过6000，只搜索了前6000个（可在职业表把用不到的职业设为「否」）；","")&amp;IF(NOT($W$5),"⚠ 某个阶段没有可选职业，请检查职业表「纳入推荐」；","")&amp;IF(AND($BV$26&gt;0,NOT($BZ$19)),"⚠ 没有可行的推荐路线；","")&amp;IF(AND($BV$26=0,OR($BV$44&lt;$BV$43,$BV$45&lt;$BV$44,$BV$46&lt;$BV$45,$BV$47&lt;$BV$46,$BV$48&lt;$BV$47)),"⚠ 手动路线的转职等级需从上到下递增、中间不要空行；","")</f>
        <v/>
      </c>
      <c r="P15">
        <f>IF('职业'!$C5="","",'职业'!$C5)</f>
        <v/>
      </c>
      <c r="Q15">
        <f>N('职业'!$D5)</f>
        <v/>
      </c>
      <c r="R15">
        <f>'职业'!$E5&amp;""</f>
        <v/>
      </c>
      <c r="S15">
        <f>IF($P15="",0,MAX(0,D$7+N('职业'!F5)))</f>
        <v/>
      </c>
      <c r="T15">
        <f>IF($P15="",0,MAX(0,E$7+N('职业'!G5)))</f>
        <v/>
      </c>
      <c r="U15">
        <f>IF($P15="",0,MAX(0,F$7+N('职业'!H5)))</f>
        <v/>
      </c>
      <c r="V15">
        <f>IF($P15="",0,MAX(0,G$7+N('职业'!I5)))</f>
        <v/>
      </c>
      <c r="W15">
        <f>IF($P15="",0,MAX(0,H$7+N('职业'!J5)))</f>
        <v/>
      </c>
      <c r="X15">
        <f>IF($P15="",0,MAX(0,I$7+N('职业'!K5)))</f>
        <v/>
      </c>
      <c r="Y15">
        <f>IF($P15="",0,MAX(0,J$7+N('职业'!L5)))</f>
        <v/>
      </c>
      <c r="Z15">
        <f>IF($P15="",0,MAX(0,K$7+N('职业'!M5)))</f>
        <v/>
      </c>
      <c r="AA15">
        <f>IF($P15="",0,MAX(0,L$7+N('职业'!N5)))</f>
        <v/>
      </c>
      <c r="AB15">
        <f>AND($P15&lt;&gt;"",IF($U$5=1,$P15=$C$10,OR($P15=$C$9,AND($R15="是",$Q15&lt;=MAX($B$9,$Q$6)))))</f>
        <v/>
      </c>
      <c r="AC15">
        <f>AND($P15&lt;&gt;"",IF($U$5=2,$P15=$C$10,OR($P15=$C$9,AND($R15="是",$Q15&lt;=MAX($B$9,$Q$7)))))</f>
        <v/>
      </c>
      <c r="AD15">
        <f>AND($P15&lt;&gt;"",IF($U$5=3,$P15=$C$10,OR($P15=$C$9,AND($R15="是",$Q15&lt;=MAX($B$9,$Q$8)))))</f>
        <v/>
      </c>
      <c r="AE15">
        <f>IF(AB15,COUNTIF(AB$13:AB15,TRUE),"")</f>
        <v/>
      </c>
      <c r="AF15">
        <f>IF(AC15,COUNTIF(AC$13:AC15,TRUE),"")</f>
        <v/>
      </c>
      <c r="AG15">
        <f>IF(AD15,COUNTIF(AD$13:AD15,TRUE),"")</f>
        <v/>
      </c>
      <c r="AI15">
        <f>IFERROR(INDEX($P$13:$P$162,MATCH(3,$AE$13:$AE$162,0)),"")</f>
        <v/>
      </c>
      <c r="AJ15">
        <f>IFERROR(INDEX(S$13:S$162,MATCH(3,$AE$13:$AE$162,0)),0)*$T$6</f>
        <v/>
      </c>
      <c r="AK15">
        <f>IFERROR(INDEX(T$13:T$162,MATCH(3,$AE$13:$AE$162,0)),0)*$T$6</f>
        <v/>
      </c>
      <c r="AL15">
        <f>IFERROR(INDEX(U$13:U$162,MATCH(3,$AE$13:$AE$162,0)),0)*$T$6</f>
        <v/>
      </c>
      <c r="AM15">
        <f>IFERROR(INDEX(V$13:V$162,MATCH(3,$AE$13:$AE$162,0)),0)*$T$6</f>
        <v/>
      </c>
      <c r="AN15">
        <f>IFERROR(INDEX(W$13:W$162,MATCH(3,$AE$13:$AE$162,0)),0)*$T$6</f>
        <v/>
      </c>
      <c r="AO15">
        <f>IFERROR(INDEX(X$13:X$162,MATCH(3,$AE$13:$AE$162,0)),0)*$T$6</f>
        <v/>
      </c>
      <c r="AP15">
        <f>IFERROR(INDEX(Y$13:Y$162,MATCH(3,$AE$13:$AE$162,0)),0)*$T$6</f>
        <v/>
      </c>
      <c r="AQ15">
        <f>IFERROR(INDEX(Z$13:Z$162,MATCH(3,$AE$13:$AE$162,0)),0)*$T$6</f>
        <v/>
      </c>
      <c r="AR15">
        <f>IFERROR(INDEX(AA$13:AA$162,MATCH(3,$AE$13:$AE$162,0)),0)*$T$6</f>
        <v/>
      </c>
      <c r="AS15">
        <f>IFERROR(INDEX($P$13:$P$162,MATCH(3,$AF$13:$AF$162,0)),"")</f>
        <v/>
      </c>
      <c r="AT15">
        <f>IFERROR(INDEX(S$13:S$162,MATCH(3,$AF$13:$AF$162,0)),0)*$T$7</f>
        <v/>
      </c>
      <c r="AU15">
        <f>IFERROR(INDEX(T$13:T$162,MATCH(3,$AF$13:$AF$162,0)),0)*$T$7</f>
        <v/>
      </c>
      <c r="AV15">
        <f>IFERROR(INDEX(U$13:U$162,MATCH(3,$AF$13:$AF$162,0)),0)*$T$7</f>
        <v/>
      </c>
      <c r="AW15">
        <f>IFERROR(INDEX(V$13:V$162,MATCH(3,$AF$13:$AF$162,0)),0)*$T$7</f>
        <v/>
      </c>
      <c r="AX15">
        <f>IFERROR(INDEX(W$13:W$162,MATCH(3,$AF$13:$AF$162,0)),0)*$T$7</f>
        <v/>
      </c>
      <c r="AY15">
        <f>IFERROR(INDEX(X$13:X$162,MATCH(3,$AF$13:$AF$162,0)),0)*$T$7</f>
        <v/>
      </c>
      <c r="AZ15">
        <f>IFERROR(INDEX(Y$13:Y$162,MATCH(3,$AF$13:$AF$162,0)),0)*$T$7</f>
        <v/>
      </c>
      <c r="BA15">
        <f>IFERROR(INDEX(Z$13:Z$162,MATCH(3,$AF$13:$AF$162,0)),0)*$T$7</f>
        <v/>
      </c>
      <c r="BB15">
        <f>IFERROR(INDEX(AA$13:AA$162,MATCH(3,$AF$13:$AF$162,0)),0)*$T$7</f>
        <v/>
      </c>
      <c r="BC15">
        <f>IFERROR(INDEX($P$13:$P$162,MATCH(3,$AG$13:$AG$162,0)),"")</f>
        <v/>
      </c>
      <c r="BD15">
        <f>IFERROR(INDEX(S$13:S$162,MATCH(3,$AG$13:$AG$162,0)),0)*($T$8+IF($C$10="",$T$9,0))</f>
        <v/>
      </c>
      <c r="BE15">
        <f>IFERROR(INDEX(T$13:T$162,MATCH(3,$AG$13:$AG$162,0)),0)*($T$8+IF($C$10="",$T$9,0))</f>
        <v/>
      </c>
      <c r="BF15">
        <f>IFERROR(INDEX(U$13:U$162,MATCH(3,$AG$13:$AG$162,0)),0)*($T$8+IF($C$10="",$T$9,0))</f>
        <v/>
      </c>
      <c r="BG15">
        <f>IFERROR(INDEX(V$13:V$162,MATCH(3,$AG$13:$AG$162,0)),0)*($T$8+IF($C$10="",$T$9,0))</f>
        <v/>
      </c>
      <c r="BH15">
        <f>IFERROR(INDEX(W$13:W$162,MATCH(3,$AG$13:$AG$162,0)),0)*($T$8+IF($C$10="",$T$9,0))</f>
        <v/>
      </c>
      <c r="BI15">
        <f>IFERROR(INDEX(X$13:X$162,MATCH(3,$AG$13:$AG$162,0)),0)*($T$8+IF($C$10="",$T$9,0))</f>
        <v/>
      </c>
      <c r="BJ15">
        <f>IFERROR(INDEX(Y$13:Y$162,MATCH(3,$AG$13:$AG$162,0)),0)*($T$8+IF($C$10="",$T$9,0))</f>
        <v/>
      </c>
      <c r="BK15">
        <f>IFERROR(INDEX(Z$13:Z$162,MATCH(3,$AG$13:$AG$162,0)),0)*($T$8+IF($C$10="",$T$9,0))</f>
        <v/>
      </c>
      <c r="BL15">
        <f>IFERROR(INDEX(AA$13:AA$162,MATCH(3,$AG$13:$AG$162,0)),0)*($T$8+IF($C$10="",$T$9,0))</f>
        <v/>
      </c>
      <c r="BN15">
        <f>IF(2&lt;$U$9,INT(2/($U$7*$U$8))+1,1)</f>
        <v/>
      </c>
      <c r="BO15">
        <f>IF(2&lt;$U$9,MOD(INT(2/$U$8),$U$7)+1,1)</f>
        <v/>
      </c>
      <c r="BP15">
        <f>IF(2&lt;$U$9,MOD(2,$U$8)+1,1)</f>
        <v/>
      </c>
      <c r="BQ15">
        <f>IF(2&lt;$U$9,SUMPRODUCT(($D$10:$L$10&lt;&gt;"")*(($D$9:$L$9+INT(($S$12:$AA$12+INDEX($AJ$13:$AR$162,BN15,0)+INDEX($AT$13:$BB$162,BO15,0)+INDEX($BD$13:$BL$162,BP15,0))/100))&gt;=$D$10:$L$10)),0)</f>
        <v/>
      </c>
      <c r="BR15">
        <f>IF(2&lt;$U$9,SUMPRODUCT(($D$10:$L$10&lt;&gt;"")*(($D$10:$L$10-($D$9:$L$9+INT(($S$12:$AA$12+INDEX($AJ$13:$AR$162,BN15,0)+INDEX($AT$13:$BB$162,BO15,0)+INDEX($BD$13:$BL$162,BP15,0))/100)))&gt;0)*($D$10:$L$10-($D$9:$L$9+INT(($S$12:$AA$12+INDEX($AJ$13:$AR$162,BN15,0)+INDEX($AT$13:$BB$162,BO15,0)+INDEX($BD$13:$BL$162,BP15,0))/100)))),0)</f>
        <v/>
      </c>
      <c r="BS15">
        <f>IF(2&lt;$U$9,SUMPRODUCT(($D$9:$L$9+INT(($S$12:$AA$12+INDEX($AJ$13:$AR$162,BN15,0)+INDEX($AT$13:$BB$162,BO15,0)+INDEX($BD$13:$BL$162,BP15,0))/100))),0)</f>
        <v/>
      </c>
      <c r="BT15">
        <f>IF(AND(2&lt;$U$9,$W$5),BQ15*1000000-MIN(BR15,999)*1000+BS15-2/100000,-1000000000-2)</f>
        <v/>
      </c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P16">
        <f>IF('职业'!$C6="","",'职业'!$C6)</f>
        <v/>
      </c>
      <c r="Q16">
        <f>N('职业'!$D6)</f>
        <v/>
      </c>
      <c r="R16">
        <f>'职业'!$E6&amp;""</f>
        <v/>
      </c>
      <c r="S16">
        <f>IF($P16="",0,MAX(0,D$7+N('职业'!F6)))</f>
        <v/>
      </c>
      <c r="T16">
        <f>IF($P16="",0,MAX(0,E$7+N('职业'!G6)))</f>
        <v/>
      </c>
      <c r="U16">
        <f>IF($P16="",0,MAX(0,F$7+N('职业'!H6)))</f>
        <v/>
      </c>
      <c r="V16">
        <f>IF($P16="",0,MAX(0,G$7+N('职业'!I6)))</f>
        <v/>
      </c>
      <c r="W16">
        <f>IF($P16="",0,MAX(0,H$7+N('职业'!J6)))</f>
        <v/>
      </c>
      <c r="X16">
        <f>IF($P16="",0,MAX(0,I$7+N('职业'!K6)))</f>
        <v/>
      </c>
      <c r="Y16">
        <f>IF($P16="",0,MAX(0,J$7+N('职业'!L6)))</f>
        <v/>
      </c>
      <c r="Z16">
        <f>IF($P16="",0,MAX(0,K$7+N('职业'!M6)))</f>
        <v/>
      </c>
      <c r="AA16">
        <f>IF($P16="",0,MAX(0,L$7+N('职业'!N6)))</f>
        <v/>
      </c>
      <c r="AB16">
        <f>AND($P16&lt;&gt;"",IF($U$5=1,$P16=$C$10,OR($P16=$C$9,AND($R16="是",$Q16&lt;=MAX($B$9,$Q$6)))))</f>
        <v/>
      </c>
      <c r="AC16">
        <f>AND($P16&lt;&gt;"",IF($U$5=2,$P16=$C$10,OR($P16=$C$9,AND($R16="是",$Q16&lt;=MAX($B$9,$Q$7)))))</f>
        <v/>
      </c>
      <c r="AD16">
        <f>AND($P16&lt;&gt;"",IF($U$5=3,$P16=$C$10,OR($P16=$C$9,AND($R16="是",$Q16&lt;=MAX($B$9,$Q$8)))))</f>
        <v/>
      </c>
      <c r="AE16">
        <f>IF(AB16,COUNTIF(AB$13:AB16,TRUE),"")</f>
        <v/>
      </c>
      <c r="AF16">
        <f>IF(AC16,COUNTIF(AC$13:AC16,TRUE),"")</f>
        <v/>
      </c>
      <c r="AG16">
        <f>IF(AD16,COUNTIF(AD$13:AD16,TRUE),"")</f>
        <v/>
      </c>
      <c r="AI16">
        <f>IFERROR(INDEX($P$13:$P$162,MATCH(4,$AE$13:$AE$162,0)),"")</f>
        <v/>
      </c>
      <c r="AJ16">
        <f>IFERROR(INDEX(S$13:S$162,MATCH(4,$AE$13:$AE$162,0)),0)*$T$6</f>
        <v/>
      </c>
      <c r="AK16">
        <f>IFERROR(INDEX(T$13:T$162,MATCH(4,$AE$13:$AE$162,0)),0)*$T$6</f>
        <v/>
      </c>
      <c r="AL16">
        <f>IFERROR(INDEX(U$13:U$162,MATCH(4,$AE$13:$AE$162,0)),0)*$T$6</f>
        <v/>
      </c>
      <c r="AM16">
        <f>IFERROR(INDEX(V$13:V$162,MATCH(4,$AE$13:$AE$162,0)),0)*$T$6</f>
        <v/>
      </c>
      <c r="AN16">
        <f>IFERROR(INDEX(W$13:W$162,MATCH(4,$AE$13:$AE$162,0)),0)*$T$6</f>
        <v/>
      </c>
      <c r="AO16">
        <f>IFERROR(INDEX(X$13:X$162,MATCH(4,$AE$13:$AE$162,0)),0)*$T$6</f>
        <v/>
      </c>
      <c r="AP16">
        <f>IFERROR(INDEX(Y$13:Y$162,MATCH(4,$AE$13:$AE$162,0)),0)*$T$6</f>
        <v/>
      </c>
      <c r="AQ16">
        <f>IFERROR(INDEX(Z$13:Z$162,MATCH(4,$AE$13:$AE$162,0)),0)*$T$6</f>
        <v/>
      </c>
      <c r="AR16">
        <f>IFERROR(INDEX(AA$13:AA$162,MATCH(4,$AE$13:$AE$162,0)),0)*$T$6</f>
        <v/>
      </c>
      <c r="AS16">
        <f>IFERROR(INDEX($P$13:$P$162,MATCH(4,$AF$13:$AF$162,0)),"")</f>
        <v/>
      </c>
      <c r="AT16">
        <f>IFERROR(INDEX(S$13:S$162,MATCH(4,$AF$13:$AF$162,0)),0)*$T$7</f>
        <v/>
      </c>
      <c r="AU16">
        <f>IFERROR(INDEX(T$13:T$162,MATCH(4,$AF$13:$AF$162,0)),0)*$T$7</f>
        <v/>
      </c>
      <c r="AV16">
        <f>IFERROR(INDEX(U$13:U$162,MATCH(4,$AF$13:$AF$162,0)),0)*$T$7</f>
        <v/>
      </c>
      <c r="AW16">
        <f>IFERROR(INDEX(V$13:V$162,MATCH(4,$AF$13:$AF$162,0)),0)*$T$7</f>
        <v/>
      </c>
      <c r="AX16">
        <f>IFERROR(INDEX(W$13:W$162,MATCH(4,$AF$13:$AF$162,0)),0)*$T$7</f>
        <v/>
      </c>
      <c r="AY16">
        <f>IFERROR(INDEX(X$13:X$162,MATCH(4,$AF$13:$AF$162,0)),0)*$T$7</f>
        <v/>
      </c>
      <c r="AZ16">
        <f>IFERROR(INDEX(Y$13:Y$162,MATCH(4,$AF$13:$AF$162,0)),0)*$T$7</f>
        <v/>
      </c>
      <c r="BA16">
        <f>IFERROR(INDEX(Z$13:Z$162,MATCH(4,$AF$13:$AF$162,0)),0)*$T$7</f>
        <v/>
      </c>
      <c r="BB16">
        <f>IFERROR(INDEX(AA$13:AA$162,MATCH(4,$AF$13:$AF$162,0)),0)*$T$7</f>
        <v/>
      </c>
      <c r="BC16">
        <f>IFERROR(INDEX($P$13:$P$162,MATCH(4,$AG$13:$AG$162,0)),"")</f>
        <v/>
      </c>
      <c r="BD16">
        <f>IFERROR(INDEX(S$13:S$162,MATCH(4,$AG$13:$AG$162,0)),0)*($T$8+IF($C$10="",$T$9,0))</f>
        <v/>
      </c>
      <c r="BE16">
        <f>IFERROR(INDEX(T$13:T$162,MATCH(4,$AG$13:$AG$162,0)),0)*($T$8+IF($C$10="",$T$9,0))</f>
        <v/>
      </c>
      <c r="BF16">
        <f>IFERROR(INDEX(U$13:U$162,MATCH(4,$AG$13:$AG$162,0)),0)*($T$8+IF($C$10="",$T$9,0))</f>
        <v/>
      </c>
      <c r="BG16">
        <f>IFERROR(INDEX(V$13:V$162,MATCH(4,$AG$13:$AG$162,0)),0)*($T$8+IF($C$10="",$T$9,0))</f>
        <v/>
      </c>
      <c r="BH16">
        <f>IFERROR(INDEX(W$13:W$162,MATCH(4,$AG$13:$AG$162,0)),0)*($T$8+IF($C$10="",$T$9,0))</f>
        <v/>
      </c>
      <c r="BI16">
        <f>IFERROR(INDEX(X$13:X$162,MATCH(4,$AG$13:$AG$162,0)),0)*($T$8+IF($C$10="",$T$9,0))</f>
        <v/>
      </c>
      <c r="BJ16">
        <f>IFERROR(INDEX(Y$13:Y$162,MATCH(4,$AG$13:$AG$162,0)),0)*($T$8+IF($C$10="",$T$9,0))</f>
        <v/>
      </c>
      <c r="BK16">
        <f>IFERROR(INDEX(Z$13:Z$162,MATCH(4,$AG$13:$AG$162,0)),0)*($T$8+IF($C$10="",$T$9,0))</f>
        <v/>
      </c>
      <c r="BL16">
        <f>IFERROR(INDEX(AA$13:AA$162,MATCH(4,$AG$13:$AG$162,0)),0)*($T$8+IF($C$10="",$T$9,0))</f>
        <v/>
      </c>
      <c r="BN16">
        <f>IF(3&lt;$U$9,INT(3/($U$7*$U$8))+1,1)</f>
        <v/>
      </c>
      <c r="BO16">
        <f>IF(3&lt;$U$9,MOD(INT(3/$U$8),$U$7)+1,1)</f>
        <v/>
      </c>
      <c r="BP16">
        <f>IF(3&lt;$U$9,MOD(3,$U$8)+1,1)</f>
        <v/>
      </c>
      <c r="BQ16">
        <f>IF(3&lt;$U$9,SUMPRODUCT(($D$10:$L$10&lt;&gt;"")*(($D$9:$L$9+INT(($S$12:$AA$12+INDEX($AJ$13:$AR$162,BN16,0)+INDEX($AT$13:$BB$162,BO16,0)+INDEX($BD$13:$BL$162,BP16,0))/100))&gt;=$D$10:$L$10)),0)</f>
        <v/>
      </c>
      <c r="BR16">
        <f>IF(3&lt;$U$9,SUMPRODUCT(($D$10:$L$10&lt;&gt;"")*(($D$10:$L$10-($D$9:$L$9+INT(($S$12:$AA$12+INDEX($AJ$13:$AR$162,BN16,0)+INDEX($AT$13:$BB$162,BO16,0)+INDEX($BD$13:$BL$162,BP16,0))/100)))&gt;0)*($D$10:$L$10-($D$9:$L$9+INT(($S$12:$AA$12+INDEX($AJ$13:$AR$162,BN16,0)+INDEX($AT$13:$BB$162,BO16,0)+INDEX($BD$13:$BL$162,BP16,0))/100)))),0)</f>
        <v/>
      </c>
      <c r="BS16">
        <f>IF(3&lt;$U$9,SUMPRODUCT(($D$9:$L$9+INT(($S$12:$AA$12+INDEX($AJ$13:$AR$162,BN16,0)+INDEX($AT$13:$BB$162,BO16,0)+INDEX($BD$13:$BL$162,BP16,0))/100))),0)</f>
        <v/>
      </c>
      <c r="BT16">
        <f>IF(AND(3&lt;$U$9,$W$5),BQ16*1000000-MIN(BR16,999)*1000+BS16-3/100000,-1000000000-3)</f>
        <v/>
      </c>
    </row>
    <row r="17" ht="22" customHeight="1">
      <c r="A17" s="14" t="inlineStr">
        <is>
          <t>③ 推荐路线 Top5（按：达成项数 ＞ 缺口合计最小 ＞ 最终属性总和最大 排序）</t>
        </is>
      </c>
      <c r="P17">
        <f>IF('职业'!$C7="","",'职业'!$C7)</f>
        <v/>
      </c>
      <c r="Q17">
        <f>N('职业'!$D7)</f>
        <v/>
      </c>
      <c r="R17">
        <f>'职业'!$E7&amp;""</f>
        <v/>
      </c>
      <c r="S17">
        <f>IF($P17="",0,MAX(0,D$7+N('职业'!F7)))</f>
        <v/>
      </c>
      <c r="T17">
        <f>IF($P17="",0,MAX(0,E$7+N('职业'!G7)))</f>
        <v/>
      </c>
      <c r="U17">
        <f>IF($P17="",0,MAX(0,F$7+N('职业'!H7)))</f>
        <v/>
      </c>
      <c r="V17">
        <f>IF($P17="",0,MAX(0,G$7+N('职业'!I7)))</f>
        <v/>
      </c>
      <c r="W17">
        <f>IF($P17="",0,MAX(0,H$7+N('职业'!J7)))</f>
        <v/>
      </c>
      <c r="X17">
        <f>IF($P17="",0,MAX(0,I$7+N('职业'!K7)))</f>
        <v/>
      </c>
      <c r="Y17">
        <f>IF($P17="",0,MAX(0,J$7+N('职业'!L7)))</f>
        <v/>
      </c>
      <c r="Z17">
        <f>IF($P17="",0,MAX(0,K$7+N('职业'!M7)))</f>
        <v/>
      </c>
      <c r="AA17">
        <f>IF($P17="",0,MAX(0,L$7+N('职业'!N7)))</f>
        <v/>
      </c>
      <c r="AB17">
        <f>AND($P17&lt;&gt;"",IF($U$5=1,$P17=$C$10,OR($P17=$C$9,AND($R17="是",$Q17&lt;=MAX($B$9,$Q$6)))))</f>
        <v/>
      </c>
      <c r="AC17">
        <f>AND($P17&lt;&gt;"",IF($U$5=2,$P17=$C$10,OR($P17=$C$9,AND($R17="是",$Q17&lt;=MAX($B$9,$Q$7)))))</f>
        <v/>
      </c>
      <c r="AD17">
        <f>AND($P17&lt;&gt;"",IF($U$5=3,$P17=$C$10,OR($P17=$C$9,AND($R17="是",$Q17&lt;=MAX($B$9,$Q$8)))))</f>
        <v/>
      </c>
      <c r="AE17">
        <f>IF(AB17,COUNTIF(AB$13:AB17,TRUE),"")</f>
        <v/>
      </c>
      <c r="AF17">
        <f>IF(AC17,COUNTIF(AC$13:AC17,TRUE),"")</f>
        <v/>
      </c>
      <c r="AG17">
        <f>IF(AD17,COUNTIF(AD$13:AD17,TRUE),"")</f>
        <v/>
      </c>
      <c r="AI17">
        <f>IFERROR(INDEX($P$13:$P$162,MATCH(5,$AE$13:$AE$162,0)),"")</f>
        <v/>
      </c>
      <c r="AJ17">
        <f>IFERROR(INDEX(S$13:S$162,MATCH(5,$AE$13:$AE$162,0)),0)*$T$6</f>
        <v/>
      </c>
      <c r="AK17">
        <f>IFERROR(INDEX(T$13:T$162,MATCH(5,$AE$13:$AE$162,0)),0)*$T$6</f>
        <v/>
      </c>
      <c r="AL17">
        <f>IFERROR(INDEX(U$13:U$162,MATCH(5,$AE$13:$AE$162,0)),0)*$T$6</f>
        <v/>
      </c>
      <c r="AM17">
        <f>IFERROR(INDEX(V$13:V$162,MATCH(5,$AE$13:$AE$162,0)),0)*$T$6</f>
        <v/>
      </c>
      <c r="AN17">
        <f>IFERROR(INDEX(W$13:W$162,MATCH(5,$AE$13:$AE$162,0)),0)*$T$6</f>
        <v/>
      </c>
      <c r="AO17">
        <f>IFERROR(INDEX(X$13:X$162,MATCH(5,$AE$13:$AE$162,0)),0)*$T$6</f>
        <v/>
      </c>
      <c r="AP17">
        <f>IFERROR(INDEX(Y$13:Y$162,MATCH(5,$AE$13:$AE$162,0)),0)*$T$6</f>
        <v/>
      </c>
      <c r="AQ17">
        <f>IFERROR(INDEX(Z$13:Z$162,MATCH(5,$AE$13:$AE$162,0)),0)*$T$6</f>
        <v/>
      </c>
      <c r="AR17">
        <f>IFERROR(INDEX(AA$13:AA$162,MATCH(5,$AE$13:$AE$162,0)),0)*$T$6</f>
        <v/>
      </c>
      <c r="AS17">
        <f>IFERROR(INDEX($P$13:$P$162,MATCH(5,$AF$13:$AF$162,0)),"")</f>
        <v/>
      </c>
      <c r="AT17">
        <f>IFERROR(INDEX(S$13:S$162,MATCH(5,$AF$13:$AF$162,0)),0)*$T$7</f>
        <v/>
      </c>
      <c r="AU17">
        <f>IFERROR(INDEX(T$13:T$162,MATCH(5,$AF$13:$AF$162,0)),0)*$T$7</f>
        <v/>
      </c>
      <c r="AV17">
        <f>IFERROR(INDEX(U$13:U$162,MATCH(5,$AF$13:$AF$162,0)),0)*$T$7</f>
        <v/>
      </c>
      <c r="AW17">
        <f>IFERROR(INDEX(V$13:V$162,MATCH(5,$AF$13:$AF$162,0)),0)*$T$7</f>
        <v/>
      </c>
      <c r="AX17">
        <f>IFERROR(INDEX(W$13:W$162,MATCH(5,$AF$13:$AF$162,0)),0)*$T$7</f>
        <v/>
      </c>
      <c r="AY17">
        <f>IFERROR(INDEX(X$13:X$162,MATCH(5,$AF$13:$AF$162,0)),0)*$T$7</f>
        <v/>
      </c>
      <c r="AZ17">
        <f>IFERROR(INDEX(Y$13:Y$162,MATCH(5,$AF$13:$AF$162,0)),0)*$T$7</f>
        <v/>
      </c>
      <c r="BA17">
        <f>IFERROR(INDEX(Z$13:Z$162,MATCH(5,$AF$13:$AF$162,0)),0)*$T$7</f>
        <v/>
      </c>
      <c r="BB17">
        <f>IFERROR(INDEX(AA$13:AA$162,MATCH(5,$AF$13:$AF$162,0)),0)*$T$7</f>
        <v/>
      </c>
      <c r="BC17">
        <f>IFERROR(INDEX($P$13:$P$162,MATCH(5,$AG$13:$AG$162,0)),"")</f>
        <v/>
      </c>
      <c r="BD17">
        <f>IFERROR(INDEX(S$13:S$162,MATCH(5,$AG$13:$AG$162,0)),0)*($T$8+IF($C$10="",$T$9,0))</f>
        <v/>
      </c>
      <c r="BE17">
        <f>IFERROR(INDEX(T$13:T$162,MATCH(5,$AG$13:$AG$162,0)),0)*($T$8+IF($C$10="",$T$9,0))</f>
        <v/>
      </c>
      <c r="BF17">
        <f>IFERROR(INDEX(U$13:U$162,MATCH(5,$AG$13:$AG$162,0)),0)*($T$8+IF($C$10="",$T$9,0))</f>
        <v/>
      </c>
      <c r="BG17">
        <f>IFERROR(INDEX(V$13:V$162,MATCH(5,$AG$13:$AG$162,0)),0)*($T$8+IF($C$10="",$T$9,0))</f>
        <v/>
      </c>
      <c r="BH17">
        <f>IFERROR(INDEX(W$13:W$162,MATCH(5,$AG$13:$AG$162,0)),0)*($T$8+IF($C$10="",$T$9,0))</f>
        <v/>
      </c>
      <c r="BI17">
        <f>IFERROR(INDEX(X$13:X$162,MATCH(5,$AG$13:$AG$162,0)),0)*($T$8+IF($C$10="",$T$9,0))</f>
        <v/>
      </c>
      <c r="BJ17">
        <f>IFERROR(INDEX(Y$13:Y$162,MATCH(5,$AG$13:$AG$162,0)),0)*($T$8+IF($C$10="",$T$9,0))</f>
        <v/>
      </c>
      <c r="BK17">
        <f>IFERROR(INDEX(Z$13:Z$162,MATCH(5,$AG$13:$AG$162,0)),0)*($T$8+IF($C$10="",$T$9,0))</f>
        <v/>
      </c>
      <c r="BL17">
        <f>IFERROR(INDEX(AA$13:AA$162,MATCH(5,$AG$13:$AG$162,0)),0)*($T$8+IF($C$10="",$T$9,0))</f>
        <v/>
      </c>
      <c r="BN17">
        <f>IF(4&lt;$U$9,INT(4/($U$7*$U$8))+1,1)</f>
        <v/>
      </c>
      <c r="BO17">
        <f>IF(4&lt;$U$9,MOD(INT(4/$U$8),$U$7)+1,1)</f>
        <v/>
      </c>
      <c r="BP17">
        <f>IF(4&lt;$U$9,MOD(4,$U$8)+1,1)</f>
        <v/>
      </c>
      <c r="BQ17">
        <f>IF(4&lt;$U$9,SUMPRODUCT(($D$10:$L$10&lt;&gt;"")*(($D$9:$L$9+INT(($S$12:$AA$12+INDEX($AJ$13:$AR$162,BN17,0)+INDEX($AT$13:$BB$162,BO17,0)+INDEX($BD$13:$BL$162,BP17,0))/100))&gt;=$D$10:$L$10)),0)</f>
        <v/>
      </c>
      <c r="BR17">
        <f>IF(4&lt;$U$9,SUMPRODUCT(($D$10:$L$10&lt;&gt;"")*(($D$10:$L$10-($D$9:$L$9+INT(($S$12:$AA$12+INDEX($AJ$13:$AR$162,BN17,0)+INDEX($AT$13:$BB$162,BO17,0)+INDEX($BD$13:$BL$162,BP17,0))/100)))&gt;0)*($D$10:$L$10-($D$9:$L$9+INT(($S$12:$AA$12+INDEX($AJ$13:$AR$162,BN17,0)+INDEX($AT$13:$BB$162,BO17,0)+INDEX($BD$13:$BL$162,BP17,0))/100)))),0)</f>
        <v/>
      </c>
      <c r="BS17">
        <f>IF(4&lt;$U$9,SUMPRODUCT(($D$9:$L$9+INT(($S$12:$AA$12+INDEX($AJ$13:$AR$162,BN17,0)+INDEX($AT$13:$BB$162,BO17,0)+INDEX($BD$13:$BL$162,BP17,0))/100))),0)</f>
        <v/>
      </c>
      <c r="BT17">
        <f>IF(AND(4&lt;$U$9,$W$5),BQ17*1000000-MIN(BR17,999)*1000+BS17-4/100000,-1000000000-4)</f>
        <v/>
      </c>
    </row>
    <row r="18">
      <c r="A18" s="10" t="inlineStr">
        <is>
          <t>方案</t>
        </is>
      </c>
      <c r="B18" s="10" t="inlineStr">
        <is>
          <t>达成项</t>
        </is>
      </c>
      <c r="C18" s="10" t="inlineStr">
        <is>
          <t>缺口合计</t>
        </is>
      </c>
      <c r="D18" s="10" t="inlineStr">
        <is>
          <t>HP</t>
        </is>
      </c>
      <c r="E18" s="10" t="inlineStr">
        <is>
          <t>力量</t>
        </is>
      </c>
      <c r="F18" s="10" t="inlineStr">
        <is>
          <t>魔力</t>
        </is>
      </c>
      <c r="G18" s="10" t="inlineStr">
        <is>
          <t>速度</t>
        </is>
      </c>
      <c r="H18" s="10" t="inlineStr">
        <is>
          <t>技巧</t>
        </is>
      </c>
      <c r="I18" s="10" t="inlineStr">
        <is>
          <t>防守</t>
        </is>
      </c>
      <c r="J18" s="10" t="inlineStr">
        <is>
          <t>魔防</t>
        </is>
      </c>
      <c r="K18" s="10" t="inlineStr">
        <is>
          <t>幸运</t>
        </is>
      </c>
      <c r="L18" s="10" t="inlineStr">
        <is>
          <t>魅力</t>
        </is>
      </c>
      <c r="M18" s="10" t="inlineStr">
        <is>
          <t>路线（LvX 职业 = 从该等级起在此职业升级）</t>
        </is>
      </c>
      <c r="P18">
        <f>IF('职业'!$C8="","",'职业'!$C8)</f>
        <v/>
      </c>
      <c r="Q18">
        <f>N('职业'!$D8)</f>
        <v/>
      </c>
      <c r="R18">
        <f>'职业'!$E8&amp;""</f>
        <v/>
      </c>
      <c r="S18">
        <f>IF($P18="",0,MAX(0,D$7+N('职业'!F8)))</f>
        <v/>
      </c>
      <c r="T18">
        <f>IF($P18="",0,MAX(0,E$7+N('职业'!G8)))</f>
        <v/>
      </c>
      <c r="U18">
        <f>IF($P18="",0,MAX(0,F$7+N('职业'!H8)))</f>
        <v/>
      </c>
      <c r="V18">
        <f>IF($P18="",0,MAX(0,G$7+N('职业'!I8)))</f>
        <v/>
      </c>
      <c r="W18">
        <f>IF($P18="",0,MAX(0,H$7+N('职业'!J8)))</f>
        <v/>
      </c>
      <c r="X18">
        <f>IF($P18="",0,MAX(0,I$7+N('职业'!K8)))</f>
        <v/>
      </c>
      <c r="Y18">
        <f>IF($P18="",0,MAX(0,J$7+N('职业'!L8)))</f>
        <v/>
      </c>
      <c r="Z18">
        <f>IF($P18="",0,MAX(0,K$7+N('职业'!M8)))</f>
        <v/>
      </c>
      <c r="AA18">
        <f>IF($P18="",0,MAX(0,L$7+N('职业'!N8)))</f>
        <v/>
      </c>
      <c r="AB18">
        <f>AND($P18&lt;&gt;"",IF($U$5=1,$P18=$C$10,OR($P18=$C$9,AND($R18="是",$Q18&lt;=MAX($B$9,$Q$6)))))</f>
        <v/>
      </c>
      <c r="AC18">
        <f>AND($P18&lt;&gt;"",IF($U$5=2,$P18=$C$10,OR($P18=$C$9,AND($R18="是",$Q18&lt;=MAX($B$9,$Q$7)))))</f>
        <v/>
      </c>
      <c r="AD18">
        <f>AND($P18&lt;&gt;"",IF($U$5=3,$P18=$C$10,OR($P18=$C$9,AND($R18="是",$Q18&lt;=MAX($B$9,$Q$8)))))</f>
        <v/>
      </c>
      <c r="AE18">
        <f>IF(AB18,COUNTIF(AB$13:AB18,TRUE),"")</f>
        <v/>
      </c>
      <c r="AF18">
        <f>IF(AC18,COUNTIF(AC$13:AC18,TRUE),"")</f>
        <v/>
      </c>
      <c r="AG18">
        <f>IF(AD18,COUNTIF(AD$13:AD18,TRUE),"")</f>
        <v/>
      </c>
      <c r="AI18">
        <f>IFERROR(INDEX($P$13:$P$162,MATCH(6,$AE$13:$AE$162,0)),"")</f>
        <v/>
      </c>
      <c r="AJ18">
        <f>IFERROR(INDEX(S$13:S$162,MATCH(6,$AE$13:$AE$162,0)),0)*$T$6</f>
        <v/>
      </c>
      <c r="AK18">
        <f>IFERROR(INDEX(T$13:T$162,MATCH(6,$AE$13:$AE$162,0)),0)*$T$6</f>
        <v/>
      </c>
      <c r="AL18">
        <f>IFERROR(INDEX(U$13:U$162,MATCH(6,$AE$13:$AE$162,0)),0)*$T$6</f>
        <v/>
      </c>
      <c r="AM18">
        <f>IFERROR(INDEX(V$13:V$162,MATCH(6,$AE$13:$AE$162,0)),0)*$T$6</f>
        <v/>
      </c>
      <c r="AN18">
        <f>IFERROR(INDEX(W$13:W$162,MATCH(6,$AE$13:$AE$162,0)),0)*$T$6</f>
        <v/>
      </c>
      <c r="AO18">
        <f>IFERROR(INDEX(X$13:X$162,MATCH(6,$AE$13:$AE$162,0)),0)*$T$6</f>
        <v/>
      </c>
      <c r="AP18">
        <f>IFERROR(INDEX(Y$13:Y$162,MATCH(6,$AE$13:$AE$162,0)),0)*$T$6</f>
        <v/>
      </c>
      <c r="AQ18">
        <f>IFERROR(INDEX(Z$13:Z$162,MATCH(6,$AE$13:$AE$162,0)),0)*$T$6</f>
        <v/>
      </c>
      <c r="AR18">
        <f>IFERROR(INDEX(AA$13:AA$162,MATCH(6,$AE$13:$AE$162,0)),0)*$T$6</f>
        <v/>
      </c>
      <c r="AS18">
        <f>IFERROR(INDEX($P$13:$P$162,MATCH(6,$AF$13:$AF$162,0)),"")</f>
        <v/>
      </c>
      <c r="AT18">
        <f>IFERROR(INDEX(S$13:S$162,MATCH(6,$AF$13:$AF$162,0)),0)*$T$7</f>
        <v/>
      </c>
      <c r="AU18">
        <f>IFERROR(INDEX(T$13:T$162,MATCH(6,$AF$13:$AF$162,0)),0)*$T$7</f>
        <v/>
      </c>
      <c r="AV18">
        <f>IFERROR(INDEX(U$13:U$162,MATCH(6,$AF$13:$AF$162,0)),0)*$T$7</f>
        <v/>
      </c>
      <c r="AW18">
        <f>IFERROR(INDEX(V$13:V$162,MATCH(6,$AF$13:$AF$162,0)),0)*$T$7</f>
        <v/>
      </c>
      <c r="AX18">
        <f>IFERROR(INDEX(W$13:W$162,MATCH(6,$AF$13:$AF$162,0)),0)*$T$7</f>
        <v/>
      </c>
      <c r="AY18">
        <f>IFERROR(INDEX(X$13:X$162,MATCH(6,$AF$13:$AF$162,0)),0)*$T$7</f>
        <v/>
      </c>
      <c r="AZ18">
        <f>IFERROR(INDEX(Y$13:Y$162,MATCH(6,$AF$13:$AF$162,0)),0)*$T$7</f>
        <v/>
      </c>
      <c r="BA18">
        <f>IFERROR(INDEX(Z$13:Z$162,MATCH(6,$AF$13:$AF$162,0)),0)*$T$7</f>
        <v/>
      </c>
      <c r="BB18">
        <f>IFERROR(INDEX(AA$13:AA$162,MATCH(6,$AF$13:$AF$162,0)),0)*$T$7</f>
        <v/>
      </c>
      <c r="BC18">
        <f>IFERROR(INDEX($P$13:$P$162,MATCH(6,$AG$13:$AG$162,0)),"")</f>
        <v/>
      </c>
      <c r="BD18">
        <f>IFERROR(INDEX(S$13:S$162,MATCH(6,$AG$13:$AG$162,0)),0)*($T$8+IF($C$10="",$T$9,0))</f>
        <v/>
      </c>
      <c r="BE18">
        <f>IFERROR(INDEX(T$13:T$162,MATCH(6,$AG$13:$AG$162,0)),0)*($T$8+IF($C$10="",$T$9,0))</f>
        <v/>
      </c>
      <c r="BF18">
        <f>IFERROR(INDEX(U$13:U$162,MATCH(6,$AG$13:$AG$162,0)),0)*($T$8+IF($C$10="",$T$9,0))</f>
        <v/>
      </c>
      <c r="BG18">
        <f>IFERROR(INDEX(V$13:V$162,MATCH(6,$AG$13:$AG$162,0)),0)*($T$8+IF($C$10="",$T$9,0))</f>
        <v/>
      </c>
      <c r="BH18">
        <f>IFERROR(INDEX(W$13:W$162,MATCH(6,$AG$13:$AG$162,0)),0)*($T$8+IF($C$10="",$T$9,0))</f>
        <v/>
      </c>
      <c r="BI18">
        <f>IFERROR(INDEX(X$13:X$162,MATCH(6,$AG$13:$AG$162,0)),0)*($T$8+IF($C$10="",$T$9,0))</f>
        <v/>
      </c>
      <c r="BJ18">
        <f>IFERROR(INDEX(Y$13:Y$162,MATCH(6,$AG$13:$AG$162,0)),0)*($T$8+IF($C$10="",$T$9,0))</f>
        <v/>
      </c>
      <c r="BK18">
        <f>IFERROR(INDEX(Z$13:Z$162,MATCH(6,$AG$13:$AG$162,0)),0)*($T$8+IF($C$10="",$T$9,0))</f>
        <v/>
      </c>
      <c r="BL18">
        <f>IFERROR(INDEX(AA$13:AA$162,MATCH(6,$AG$13:$AG$162,0)),0)*($T$8+IF($C$10="",$T$9,0))</f>
        <v/>
      </c>
      <c r="BN18">
        <f>IF(5&lt;$U$9,INT(5/($U$7*$U$8))+1,1)</f>
        <v/>
      </c>
      <c r="BO18">
        <f>IF(5&lt;$U$9,MOD(INT(5/$U$8),$U$7)+1,1)</f>
        <v/>
      </c>
      <c r="BP18">
        <f>IF(5&lt;$U$9,MOD(5,$U$8)+1,1)</f>
        <v/>
      </c>
      <c r="BQ18">
        <f>IF(5&lt;$U$9,SUMPRODUCT(($D$10:$L$10&lt;&gt;"")*(($D$9:$L$9+INT(($S$12:$AA$12+INDEX($AJ$13:$AR$162,BN18,0)+INDEX($AT$13:$BB$162,BO18,0)+INDEX($BD$13:$BL$162,BP18,0))/100))&gt;=$D$10:$L$10)),0)</f>
        <v/>
      </c>
      <c r="BR18">
        <f>IF(5&lt;$U$9,SUMPRODUCT(($D$10:$L$10&lt;&gt;"")*(($D$10:$L$10-($D$9:$L$9+INT(($S$12:$AA$12+INDEX($AJ$13:$AR$162,BN18,0)+INDEX($AT$13:$BB$162,BO18,0)+INDEX($BD$13:$BL$162,BP18,0))/100)))&gt;0)*($D$10:$L$10-($D$9:$L$9+INT(($S$12:$AA$12+INDEX($AJ$13:$AR$162,BN18,0)+INDEX($AT$13:$BB$162,BO18,0)+INDEX($BD$13:$BL$162,BP18,0))/100)))),0)</f>
        <v/>
      </c>
      <c r="BS18">
        <f>IF(5&lt;$U$9,SUMPRODUCT(($D$9:$L$9+INT(($S$12:$AA$12+INDEX($AJ$13:$AR$162,BN18,0)+INDEX($AT$13:$BB$162,BO18,0)+INDEX($BD$13:$BL$162,BP18,0))/100))),0)</f>
        <v/>
      </c>
      <c r="BT18">
        <f>IF(AND(5&lt;$U$9,$W$5),BQ18*1000000-MIN(BR18,999)*1000+BS18-5/100000,-1000000000-5)</f>
        <v/>
      </c>
      <c r="BV18" s="10" t="inlineStr">
        <is>
          <t>pos</t>
        </is>
      </c>
      <c r="BW18" s="10" t="inlineStr">
        <is>
          <t>i1</t>
        </is>
      </c>
      <c r="BX18" s="10" t="inlineStr">
        <is>
          <t>i2</t>
        </is>
      </c>
      <c r="BY18" s="10" t="inlineStr">
        <is>
          <t>i3</t>
        </is>
      </c>
      <c r="BZ18" s="10" t="inlineStr">
        <is>
          <t>有效</t>
        </is>
      </c>
      <c r="CA18" s="10" t="inlineStr">
        <is>
          <t>k0</t>
        </is>
      </c>
      <c r="CB18" s="10" t="inlineStr">
        <is>
          <t>k1</t>
        </is>
      </c>
      <c r="CC18" s="10" t="inlineStr">
        <is>
          <t>k2</t>
        </is>
      </c>
      <c r="CD18" s="10" t="inlineStr">
        <is>
          <t>k3</t>
        </is>
      </c>
      <c r="CE18" s="10" t="inlineStr">
        <is>
          <t>k4</t>
        </is>
      </c>
    </row>
    <row r="19">
      <c r="A19" s="11" t="inlineStr">
        <is>
          <t>推荐1</t>
        </is>
      </c>
      <c r="B19" s="15">
        <f>IF($BZ19,INDEX($BQ$13:$BQ$6012,$BV19)&amp;"/"&amp;$W$6,"—")</f>
        <v/>
      </c>
      <c r="C19" s="15">
        <f>IF($BZ19,INDEX($BR$13:$BR$6012,$BV19),"")</f>
        <v/>
      </c>
      <c r="D19" s="15">
        <f>IF($BZ19,D$9+INT((S$12+INDEX($AJ$13:$AR$162,$BW19,1)+INDEX($AT$13:$BB$162,$BX19,1)+INDEX($BD$13:$BL$162,$BY19,1))/100),"")</f>
        <v/>
      </c>
      <c r="E19" s="15">
        <f>IF($BZ19,E$9+INT((T$12+INDEX($AJ$13:$AR$162,$BW19,2)+INDEX($AT$13:$BB$162,$BX19,2)+INDEX($BD$13:$BL$162,$BY19,2))/100),"")</f>
        <v/>
      </c>
      <c r="F19" s="15">
        <f>IF($BZ19,F$9+INT((U$12+INDEX($AJ$13:$AR$162,$BW19,3)+INDEX($AT$13:$BB$162,$BX19,3)+INDEX($BD$13:$BL$162,$BY19,3))/100),"")</f>
        <v/>
      </c>
      <c r="G19" s="15">
        <f>IF($BZ19,G$9+INT((V$12+INDEX($AJ$13:$AR$162,$BW19,4)+INDEX($AT$13:$BB$162,$BX19,4)+INDEX($BD$13:$BL$162,$BY19,4))/100),"")</f>
        <v/>
      </c>
      <c r="H19" s="15">
        <f>IF($BZ19,H$9+INT((W$12+INDEX($AJ$13:$AR$162,$BW19,5)+INDEX($AT$13:$BB$162,$BX19,5)+INDEX($BD$13:$BL$162,$BY19,5))/100),"")</f>
        <v/>
      </c>
      <c r="I19" s="15">
        <f>IF($BZ19,I$9+INT((X$12+INDEX($AJ$13:$AR$162,$BW19,6)+INDEX($AT$13:$BB$162,$BX19,6)+INDEX($BD$13:$BL$162,$BY19,6))/100),"")</f>
        <v/>
      </c>
      <c r="J19" s="15">
        <f>IF($BZ19,J$9+INT((Y$12+INDEX($AJ$13:$AR$162,$BW19,7)+INDEX($AT$13:$BB$162,$BX19,7)+INDEX($BD$13:$BL$162,$BY19,7))/100),"")</f>
        <v/>
      </c>
      <c r="K19" s="15">
        <f>IF($BZ19,K$9+INT((Z$12+INDEX($AJ$13:$AR$162,$BW19,8)+INDEX($AT$13:$BB$162,$BX19,8)+INDEX($BD$13:$BL$162,$BY19,8))/100),"")</f>
        <v/>
      </c>
      <c r="L19" s="15">
        <f>IF($BZ19,L$9+INT((AA$12+INDEX($AJ$13:$AR$162,$BW19,9)+INDEX($AT$13:$BB$162,$BX19,9)+INDEX($BD$13:$BL$162,$BY19,9))/100),"")</f>
        <v/>
      </c>
      <c r="M19" s="16">
        <f>IF($BZ19,IF($T$5&gt;0,"Lv"&amp;$S$5&amp;" "&amp;$CA19&amp;" → ","")&amp;IF(AND($T$6&gt;0,OR($S$6=$B$9,$CB19&lt;&gt;$CA19)),"Lv"&amp;$S$6&amp;" "&amp;$CB19&amp;" → ","")&amp;IF(AND($T$7&gt;0,OR($S$7=$B$9,$CC19&lt;&gt;$CB19)),"Lv"&amp;$S$7&amp;" "&amp;$CC19&amp;" → ","")&amp;IF(AND($T$8&gt;0,OR($S$8=$B$9,$CD19&lt;&gt;$CC19)),"Lv"&amp;$S$8&amp;" "&amp;$CD19&amp;" → ","")&amp;IF(AND($T$9&gt;0,OR($S$9=$B$9,$CE19&lt;&gt;$CD19)),"Lv"&amp;$S$9&amp;" "&amp;$CE19&amp;" → ","")&amp;"Lv"&amp;$B$10&amp;" 完成","无可行组合")</f>
        <v/>
      </c>
      <c r="P19">
        <f>IF('职业'!$C9="","",'职业'!$C9)</f>
        <v/>
      </c>
      <c r="Q19">
        <f>N('职业'!$D9)</f>
        <v/>
      </c>
      <c r="R19">
        <f>'职业'!$E9&amp;""</f>
        <v/>
      </c>
      <c r="S19">
        <f>IF($P19="",0,MAX(0,D$7+N('职业'!F9)))</f>
        <v/>
      </c>
      <c r="T19">
        <f>IF($P19="",0,MAX(0,E$7+N('职业'!G9)))</f>
        <v/>
      </c>
      <c r="U19">
        <f>IF($P19="",0,MAX(0,F$7+N('职业'!H9)))</f>
        <v/>
      </c>
      <c r="V19">
        <f>IF($P19="",0,MAX(0,G$7+N('职业'!I9)))</f>
        <v/>
      </c>
      <c r="W19">
        <f>IF($P19="",0,MAX(0,H$7+N('职业'!J9)))</f>
        <v/>
      </c>
      <c r="X19">
        <f>IF($P19="",0,MAX(0,I$7+N('职业'!K9)))</f>
        <v/>
      </c>
      <c r="Y19">
        <f>IF($P19="",0,MAX(0,J$7+N('职业'!L9)))</f>
        <v/>
      </c>
      <c r="Z19">
        <f>IF($P19="",0,MAX(0,K$7+N('职业'!M9)))</f>
        <v/>
      </c>
      <c r="AA19">
        <f>IF($P19="",0,MAX(0,L$7+N('职业'!N9)))</f>
        <v/>
      </c>
      <c r="AB19">
        <f>AND($P19&lt;&gt;"",IF($U$5=1,$P19=$C$10,OR($P19=$C$9,AND($R19="是",$Q19&lt;=MAX($B$9,$Q$6)))))</f>
        <v/>
      </c>
      <c r="AC19">
        <f>AND($P19&lt;&gt;"",IF($U$5=2,$P19=$C$10,OR($P19=$C$9,AND($R19="是",$Q19&lt;=MAX($B$9,$Q$7)))))</f>
        <v/>
      </c>
      <c r="AD19">
        <f>AND($P19&lt;&gt;"",IF($U$5=3,$P19=$C$10,OR($P19=$C$9,AND($R19="是",$Q19&lt;=MAX($B$9,$Q$8)))))</f>
        <v/>
      </c>
      <c r="AE19">
        <f>IF(AB19,COUNTIF(AB$13:AB19,TRUE),"")</f>
        <v/>
      </c>
      <c r="AF19">
        <f>IF(AC19,COUNTIF(AC$13:AC19,TRUE),"")</f>
        <v/>
      </c>
      <c r="AG19">
        <f>IF(AD19,COUNTIF(AD$13:AD19,TRUE),"")</f>
        <v/>
      </c>
      <c r="AI19">
        <f>IFERROR(INDEX($P$13:$P$162,MATCH(7,$AE$13:$AE$162,0)),"")</f>
        <v/>
      </c>
      <c r="AJ19">
        <f>IFERROR(INDEX(S$13:S$162,MATCH(7,$AE$13:$AE$162,0)),0)*$T$6</f>
        <v/>
      </c>
      <c r="AK19">
        <f>IFERROR(INDEX(T$13:T$162,MATCH(7,$AE$13:$AE$162,0)),0)*$T$6</f>
        <v/>
      </c>
      <c r="AL19">
        <f>IFERROR(INDEX(U$13:U$162,MATCH(7,$AE$13:$AE$162,0)),0)*$T$6</f>
        <v/>
      </c>
      <c r="AM19">
        <f>IFERROR(INDEX(V$13:V$162,MATCH(7,$AE$13:$AE$162,0)),0)*$T$6</f>
        <v/>
      </c>
      <c r="AN19">
        <f>IFERROR(INDEX(W$13:W$162,MATCH(7,$AE$13:$AE$162,0)),0)*$T$6</f>
        <v/>
      </c>
      <c r="AO19">
        <f>IFERROR(INDEX(X$13:X$162,MATCH(7,$AE$13:$AE$162,0)),0)*$T$6</f>
        <v/>
      </c>
      <c r="AP19">
        <f>IFERROR(INDEX(Y$13:Y$162,MATCH(7,$AE$13:$AE$162,0)),0)*$T$6</f>
        <v/>
      </c>
      <c r="AQ19">
        <f>IFERROR(INDEX(Z$13:Z$162,MATCH(7,$AE$13:$AE$162,0)),0)*$T$6</f>
        <v/>
      </c>
      <c r="AR19">
        <f>IFERROR(INDEX(AA$13:AA$162,MATCH(7,$AE$13:$AE$162,0)),0)*$T$6</f>
        <v/>
      </c>
      <c r="AS19">
        <f>IFERROR(INDEX($P$13:$P$162,MATCH(7,$AF$13:$AF$162,0)),"")</f>
        <v/>
      </c>
      <c r="AT19">
        <f>IFERROR(INDEX(S$13:S$162,MATCH(7,$AF$13:$AF$162,0)),0)*$T$7</f>
        <v/>
      </c>
      <c r="AU19">
        <f>IFERROR(INDEX(T$13:T$162,MATCH(7,$AF$13:$AF$162,0)),0)*$T$7</f>
        <v/>
      </c>
      <c r="AV19">
        <f>IFERROR(INDEX(U$13:U$162,MATCH(7,$AF$13:$AF$162,0)),0)*$T$7</f>
        <v/>
      </c>
      <c r="AW19">
        <f>IFERROR(INDEX(V$13:V$162,MATCH(7,$AF$13:$AF$162,0)),0)*$T$7</f>
        <v/>
      </c>
      <c r="AX19">
        <f>IFERROR(INDEX(W$13:W$162,MATCH(7,$AF$13:$AF$162,0)),0)*$T$7</f>
        <v/>
      </c>
      <c r="AY19">
        <f>IFERROR(INDEX(X$13:X$162,MATCH(7,$AF$13:$AF$162,0)),0)*$T$7</f>
        <v/>
      </c>
      <c r="AZ19">
        <f>IFERROR(INDEX(Y$13:Y$162,MATCH(7,$AF$13:$AF$162,0)),0)*$T$7</f>
        <v/>
      </c>
      <c r="BA19">
        <f>IFERROR(INDEX(Z$13:Z$162,MATCH(7,$AF$13:$AF$162,0)),0)*$T$7</f>
        <v/>
      </c>
      <c r="BB19">
        <f>IFERROR(INDEX(AA$13:AA$162,MATCH(7,$AF$13:$AF$162,0)),0)*$T$7</f>
        <v/>
      </c>
      <c r="BC19">
        <f>IFERROR(INDEX($P$13:$P$162,MATCH(7,$AG$13:$AG$162,0)),"")</f>
        <v/>
      </c>
      <c r="BD19">
        <f>IFERROR(INDEX(S$13:S$162,MATCH(7,$AG$13:$AG$162,0)),0)*($T$8+IF($C$10="",$T$9,0))</f>
        <v/>
      </c>
      <c r="BE19">
        <f>IFERROR(INDEX(T$13:T$162,MATCH(7,$AG$13:$AG$162,0)),0)*($T$8+IF($C$10="",$T$9,0))</f>
        <v/>
      </c>
      <c r="BF19">
        <f>IFERROR(INDEX(U$13:U$162,MATCH(7,$AG$13:$AG$162,0)),0)*($T$8+IF($C$10="",$T$9,0))</f>
        <v/>
      </c>
      <c r="BG19">
        <f>IFERROR(INDEX(V$13:V$162,MATCH(7,$AG$13:$AG$162,0)),0)*($T$8+IF($C$10="",$T$9,0))</f>
        <v/>
      </c>
      <c r="BH19">
        <f>IFERROR(INDEX(W$13:W$162,MATCH(7,$AG$13:$AG$162,0)),0)*($T$8+IF($C$10="",$T$9,0))</f>
        <v/>
      </c>
      <c r="BI19">
        <f>IFERROR(INDEX(X$13:X$162,MATCH(7,$AG$13:$AG$162,0)),0)*($T$8+IF($C$10="",$T$9,0))</f>
        <v/>
      </c>
      <c r="BJ19">
        <f>IFERROR(INDEX(Y$13:Y$162,MATCH(7,$AG$13:$AG$162,0)),0)*($T$8+IF($C$10="",$T$9,0))</f>
        <v/>
      </c>
      <c r="BK19">
        <f>IFERROR(INDEX(Z$13:Z$162,MATCH(7,$AG$13:$AG$162,0)),0)*($T$8+IF($C$10="",$T$9,0))</f>
        <v/>
      </c>
      <c r="BL19">
        <f>IFERROR(INDEX(AA$13:AA$162,MATCH(7,$AG$13:$AG$162,0)),0)*($T$8+IF($C$10="",$T$9,0))</f>
        <v/>
      </c>
      <c r="BN19">
        <f>IF(6&lt;$U$9,INT(6/($U$7*$U$8))+1,1)</f>
        <v/>
      </c>
      <c r="BO19">
        <f>IF(6&lt;$U$9,MOD(INT(6/$U$8),$U$7)+1,1)</f>
        <v/>
      </c>
      <c r="BP19">
        <f>IF(6&lt;$U$9,MOD(6,$U$8)+1,1)</f>
        <v/>
      </c>
      <c r="BQ19">
        <f>IF(6&lt;$U$9,SUMPRODUCT(($D$10:$L$10&lt;&gt;"")*(($D$9:$L$9+INT(($S$12:$AA$12+INDEX($AJ$13:$AR$162,BN19,0)+INDEX($AT$13:$BB$162,BO19,0)+INDEX($BD$13:$BL$162,BP19,0))/100))&gt;=$D$10:$L$10)),0)</f>
        <v/>
      </c>
      <c r="BR19">
        <f>IF(6&lt;$U$9,SUMPRODUCT(($D$10:$L$10&lt;&gt;"")*(($D$10:$L$10-($D$9:$L$9+INT(($S$12:$AA$12+INDEX($AJ$13:$AR$162,BN19,0)+INDEX($AT$13:$BB$162,BO19,0)+INDEX($BD$13:$BL$162,BP19,0))/100)))&gt;0)*($D$10:$L$10-($D$9:$L$9+INT(($S$12:$AA$12+INDEX($AJ$13:$AR$162,BN19,0)+INDEX($AT$13:$BB$162,BO19,0)+INDEX($BD$13:$BL$162,BP19,0))/100)))),0)</f>
        <v/>
      </c>
      <c r="BS19">
        <f>IF(6&lt;$U$9,SUMPRODUCT(($D$9:$L$9+INT(($S$12:$AA$12+INDEX($AJ$13:$AR$162,BN19,0)+INDEX($AT$13:$BB$162,BO19,0)+INDEX($BD$13:$BL$162,BP19,0))/100))),0)</f>
        <v/>
      </c>
      <c r="BT19">
        <f>IF(AND(6&lt;$U$9,$W$5),BQ19*1000000-MIN(BR19,999)*1000+BS19-6/100000,-1000000000-6)</f>
        <v/>
      </c>
      <c r="BV19">
        <f>MATCH(LARGE($BT$13:$BT$6012,1),$BT$13:$BT$6012,0)</f>
        <v/>
      </c>
      <c r="BW19">
        <f>INDEX($BN$13:$BN$6012,BV19)</f>
        <v/>
      </c>
      <c r="BX19">
        <f>INDEX($BO$13:$BO$6012,BV19)</f>
        <v/>
      </c>
      <c r="BY19">
        <f>INDEX($BP$13:$BP$6012,BV19)</f>
        <v/>
      </c>
      <c r="BZ19">
        <f>INDEX($BT$13:$BT$6012,BV19)&gt;-100000000</f>
        <v/>
      </c>
      <c r="CA19">
        <f>$C$9</f>
        <v/>
      </c>
      <c r="CB19">
        <f>IF($T$6&gt;0,INDEX($AI$13:$AI$162,BW19),CA19)</f>
        <v/>
      </c>
      <c r="CC19">
        <f>IF($T$7&gt;0,INDEX($AS$13:$AS$162,BX19),CB19)</f>
        <v/>
      </c>
      <c r="CD19">
        <f>IF($T$8&gt;0,INDEX($BC$13:$BC$162,BY19),CC19)</f>
        <v/>
      </c>
      <c r="CE19">
        <f>IF($C$10&lt;&gt;"",$C$10,CD19)</f>
        <v/>
      </c>
    </row>
    <row r="20">
      <c r="A20" s="11" t="inlineStr">
        <is>
          <t>推荐2</t>
        </is>
      </c>
      <c r="B20" s="15">
        <f>IF($BZ20,INDEX($BQ$13:$BQ$6012,$BV20)&amp;"/"&amp;$W$6,"—")</f>
        <v/>
      </c>
      <c r="C20" s="15">
        <f>IF($BZ20,INDEX($BR$13:$BR$6012,$BV20),"")</f>
        <v/>
      </c>
      <c r="D20" s="15">
        <f>IF($BZ20,D$9+INT((S$12+INDEX($AJ$13:$AR$162,$BW20,1)+INDEX($AT$13:$BB$162,$BX20,1)+INDEX($BD$13:$BL$162,$BY20,1))/100),"")</f>
        <v/>
      </c>
      <c r="E20" s="15">
        <f>IF($BZ20,E$9+INT((T$12+INDEX($AJ$13:$AR$162,$BW20,2)+INDEX($AT$13:$BB$162,$BX20,2)+INDEX($BD$13:$BL$162,$BY20,2))/100),"")</f>
        <v/>
      </c>
      <c r="F20" s="15">
        <f>IF($BZ20,F$9+INT((U$12+INDEX($AJ$13:$AR$162,$BW20,3)+INDEX($AT$13:$BB$162,$BX20,3)+INDEX($BD$13:$BL$162,$BY20,3))/100),"")</f>
        <v/>
      </c>
      <c r="G20" s="15">
        <f>IF($BZ20,G$9+INT((V$12+INDEX($AJ$13:$AR$162,$BW20,4)+INDEX($AT$13:$BB$162,$BX20,4)+INDEX($BD$13:$BL$162,$BY20,4))/100),"")</f>
        <v/>
      </c>
      <c r="H20" s="15">
        <f>IF($BZ20,H$9+INT((W$12+INDEX($AJ$13:$AR$162,$BW20,5)+INDEX($AT$13:$BB$162,$BX20,5)+INDEX($BD$13:$BL$162,$BY20,5))/100),"")</f>
        <v/>
      </c>
      <c r="I20" s="15">
        <f>IF($BZ20,I$9+INT((X$12+INDEX($AJ$13:$AR$162,$BW20,6)+INDEX($AT$13:$BB$162,$BX20,6)+INDEX($BD$13:$BL$162,$BY20,6))/100),"")</f>
        <v/>
      </c>
      <c r="J20" s="15">
        <f>IF($BZ20,J$9+INT((Y$12+INDEX($AJ$13:$AR$162,$BW20,7)+INDEX($AT$13:$BB$162,$BX20,7)+INDEX($BD$13:$BL$162,$BY20,7))/100),"")</f>
        <v/>
      </c>
      <c r="K20" s="15">
        <f>IF($BZ20,K$9+INT((Z$12+INDEX($AJ$13:$AR$162,$BW20,8)+INDEX($AT$13:$BB$162,$BX20,8)+INDEX($BD$13:$BL$162,$BY20,8))/100),"")</f>
        <v/>
      </c>
      <c r="L20" s="15">
        <f>IF($BZ20,L$9+INT((AA$12+INDEX($AJ$13:$AR$162,$BW20,9)+INDEX($AT$13:$BB$162,$BX20,9)+INDEX($BD$13:$BL$162,$BY20,9))/100),"")</f>
        <v/>
      </c>
      <c r="M20" s="16">
        <f>IF($BZ20,IF($T$5&gt;0,"Lv"&amp;$S$5&amp;" "&amp;$CA20&amp;" → ","")&amp;IF(AND($T$6&gt;0,OR($S$6=$B$9,$CB20&lt;&gt;$CA20)),"Lv"&amp;$S$6&amp;" "&amp;$CB20&amp;" → ","")&amp;IF(AND($T$7&gt;0,OR($S$7=$B$9,$CC20&lt;&gt;$CB20)),"Lv"&amp;$S$7&amp;" "&amp;$CC20&amp;" → ","")&amp;IF(AND($T$8&gt;0,OR($S$8=$B$9,$CD20&lt;&gt;$CC20)),"Lv"&amp;$S$8&amp;" "&amp;$CD20&amp;" → ","")&amp;IF(AND($T$9&gt;0,OR($S$9=$B$9,$CE20&lt;&gt;$CD20)),"Lv"&amp;$S$9&amp;" "&amp;$CE20&amp;" → ","")&amp;"Lv"&amp;$B$10&amp;" 完成","—")</f>
        <v/>
      </c>
      <c r="P20">
        <f>IF('职业'!$C10="","",'职业'!$C10)</f>
        <v/>
      </c>
      <c r="Q20">
        <f>N('职业'!$D10)</f>
        <v/>
      </c>
      <c r="R20">
        <f>'职业'!$E10&amp;""</f>
        <v/>
      </c>
      <c r="S20">
        <f>IF($P20="",0,MAX(0,D$7+N('职业'!F10)))</f>
        <v/>
      </c>
      <c r="T20">
        <f>IF($P20="",0,MAX(0,E$7+N('职业'!G10)))</f>
        <v/>
      </c>
      <c r="U20">
        <f>IF($P20="",0,MAX(0,F$7+N('职业'!H10)))</f>
        <v/>
      </c>
      <c r="V20">
        <f>IF($P20="",0,MAX(0,G$7+N('职业'!I10)))</f>
        <v/>
      </c>
      <c r="W20">
        <f>IF($P20="",0,MAX(0,H$7+N('职业'!J10)))</f>
        <v/>
      </c>
      <c r="X20">
        <f>IF($P20="",0,MAX(0,I$7+N('职业'!K10)))</f>
        <v/>
      </c>
      <c r="Y20">
        <f>IF($P20="",0,MAX(0,J$7+N('职业'!L10)))</f>
        <v/>
      </c>
      <c r="Z20">
        <f>IF($P20="",0,MAX(0,K$7+N('职业'!M10)))</f>
        <v/>
      </c>
      <c r="AA20">
        <f>IF($P20="",0,MAX(0,L$7+N('职业'!N10)))</f>
        <v/>
      </c>
      <c r="AB20">
        <f>AND($P20&lt;&gt;"",IF($U$5=1,$P20=$C$10,OR($P20=$C$9,AND($R20="是",$Q20&lt;=MAX($B$9,$Q$6)))))</f>
        <v/>
      </c>
      <c r="AC20">
        <f>AND($P20&lt;&gt;"",IF($U$5=2,$P20=$C$10,OR($P20=$C$9,AND($R20="是",$Q20&lt;=MAX($B$9,$Q$7)))))</f>
        <v/>
      </c>
      <c r="AD20">
        <f>AND($P20&lt;&gt;"",IF($U$5=3,$P20=$C$10,OR($P20=$C$9,AND($R20="是",$Q20&lt;=MAX($B$9,$Q$8)))))</f>
        <v/>
      </c>
      <c r="AE20">
        <f>IF(AB20,COUNTIF(AB$13:AB20,TRUE),"")</f>
        <v/>
      </c>
      <c r="AF20">
        <f>IF(AC20,COUNTIF(AC$13:AC20,TRUE),"")</f>
        <v/>
      </c>
      <c r="AG20">
        <f>IF(AD20,COUNTIF(AD$13:AD20,TRUE),"")</f>
        <v/>
      </c>
      <c r="AI20">
        <f>IFERROR(INDEX($P$13:$P$162,MATCH(8,$AE$13:$AE$162,0)),"")</f>
        <v/>
      </c>
      <c r="AJ20">
        <f>IFERROR(INDEX(S$13:S$162,MATCH(8,$AE$13:$AE$162,0)),0)*$T$6</f>
        <v/>
      </c>
      <c r="AK20">
        <f>IFERROR(INDEX(T$13:T$162,MATCH(8,$AE$13:$AE$162,0)),0)*$T$6</f>
        <v/>
      </c>
      <c r="AL20">
        <f>IFERROR(INDEX(U$13:U$162,MATCH(8,$AE$13:$AE$162,0)),0)*$T$6</f>
        <v/>
      </c>
      <c r="AM20">
        <f>IFERROR(INDEX(V$13:V$162,MATCH(8,$AE$13:$AE$162,0)),0)*$T$6</f>
        <v/>
      </c>
      <c r="AN20">
        <f>IFERROR(INDEX(W$13:W$162,MATCH(8,$AE$13:$AE$162,0)),0)*$T$6</f>
        <v/>
      </c>
      <c r="AO20">
        <f>IFERROR(INDEX(X$13:X$162,MATCH(8,$AE$13:$AE$162,0)),0)*$T$6</f>
        <v/>
      </c>
      <c r="AP20">
        <f>IFERROR(INDEX(Y$13:Y$162,MATCH(8,$AE$13:$AE$162,0)),0)*$T$6</f>
        <v/>
      </c>
      <c r="AQ20">
        <f>IFERROR(INDEX(Z$13:Z$162,MATCH(8,$AE$13:$AE$162,0)),0)*$T$6</f>
        <v/>
      </c>
      <c r="AR20">
        <f>IFERROR(INDEX(AA$13:AA$162,MATCH(8,$AE$13:$AE$162,0)),0)*$T$6</f>
        <v/>
      </c>
      <c r="AS20">
        <f>IFERROR(INDEX($P$13:$P$162,MATCH(8,$AF$13:$AF$162,0)),"")</f>
        <v/>
      </c>
      <c r="AT20">
        <f>IFERROR(INDEX(S$13:S$162,MATCH(8,$AF$13:$AF$162,0)),0)*$T$7</f>
        <v/>
      </c>
      <c r="AU20">
        <f>IFERROR(INDEX(T$13:T$162,MATCH(8,$AF$13:$AF$162,0)),0)*$T$7</f>
        <v/>
      </c>
      <c r="AV20">
        <f>IFERROR(INDEX(U$13:U$162,MATCH(8,$AF$13:$AF$162,0)),0)*$T$7</f>
        <v/>
      </c>
      <c r="AW20">
        <f>IFERROR(INDEX(V$13:V$162,MATCH(8,$AF$13:$AF$162,0)),0)*$T$7</f>
        <v/>
      </c>
      <c r="AX20">
        <f>IFERROR(INDEX(W$13:W$162,MATCH(8,$AF$13:$AF$162,0)),0)*$T$7</f>
        <v/>
      </c>
      <c r="AY20">
        <f>IFERROR(INDEX(X$13:X$162,MATCH(8,$AF$13:$AF$162,0)),0)*$T$7</f>
        <v/>
      </c>
      <c r="AZ20">
        <f>IFERROR(INDEX(Y$13:Y$162,MATCH(8,$AF$13:$AF$162,0)),0)*$T$7</f>
        <v/>
      </c>
      <c r="BA20">
        <f>IFERROR(INDEX(Z$13:Z$162,MATCH(8,$AF$13:$AF$162,0)),0)*$T$7</f>
        <v/>
      </c>
      <c r="BB20">
        <f>IFERROR(INDEX(AA$13:AA$162,MATCH(8,$AF$13:$AF$162,0)),0)*$T$7</f>
        <v/>
      </c>
      <c r="BC20">
        <f>IFERROR(INDEX($P$13:$P$162,MATCH(8,$AG$13:$AG$162,0)),"")</f>
        <v/>
      </c>
      <c r="BD20">
        <f>IFERROR(INDEX(S$13:S$162,MATCH(8,$AG$13:$AG$162,0)),0)*($T$8+IF($C$10="",$T$9,0))</f>
        <v/>
      </c>
      <c r="BE20">
        <f>IFERROR(INDEX(T$13:T$162,MATCH(8,$AG$13:$AG$162,0)),0)*($T$8+IF($C$10="",$T$9,0))</f>
        <v/>
      </c>
      <c r="BF20">
        <f>IFERROR(INDEX(U$13:U$162,MATCH(8,$AG$13:$AG$162,0)),0)*($T$8+IF($C$10="",$T$9,0))</f>
        <v/>
      </c>
      <c r="BG20">
        <f>IFERROR(INDEX(V$13:V$162,MATCH(8,$AG$13:$AG$162,0)),0)*($T$8+IF($C$10="",$T$9,0))</f>
        <v/>
      </c>
      <c r="BH20">
        <f>IFERROR(INDEX(W$13:W$162,MATCH(8,$AG$13:$AG$162,0)),0)*($T$8+IF($C$10="",$T$9,0))</f>
        <v/>
      </c>
      <c r="BI20">
        <f>IFERROR(INDEX(X$13:X$162,MATCH(8,$AG$13:$AG$162,0)),0)*($T$8+IF($C$10="",$T$9,0))</f>
        <v/>
      </c>
      <c r="BJ20">
        <f>IFERROR(INDEX(Y$13:Y$162,MATCH(8,$AG$13:$AG$162,0)),0)*($T$8+IF($C$10="",$T$9,0))</f>
        <v/>
      </c>
      <c r="BK20">
        <f>IFERROR(INDEX(Z$13:Z$162,MATCH(8,$AG$13:$AG$162,0)),0)*($T$8+IF($C$10="",$T$9,0))</f>
        <v/>
      </c>
      <c r="BL20">
        <f>IFERROR(INDEX(AA$13:AA$162,MATCH(8,$AG$13:$AG$162,0)),0)*($T$8+IF($C$10="",$T$9,0))</f>
        <v/>
      </c>
      <c r="BN20">
        <f>IF(7&lt;$U$9,INT(7/($U$7*$U$8))+1,1)</f>
        <v/>
      </c>
      <c r="BO20">
        <f>IF(7&lt;$U$9,MOD(INT(7/$U$8),$U$7)+1,1)</f>
        <v/>
      </c>
      <c r="BP20">
        <f>IF(7&lt;$U$9,MOD(7,$U$8)+1,1)</f>
        <v/>
      </c>
      <c r="BQ20">
        <f>IF(7&lt;$U$9,SUMPRODUCT(($D$10:$L$10&lt;&gt;"")*(($D$9:$L$9+INT(($S$12:$AA$12+INDEX($AJ$13:$AR$162,BN20,0)+INDEX($AT$13:$BB$162,BO20,0)+INDEX($BD$13:$BL$162,BP20,0))/100))&gt;=$D$10:$L$10)),0)</f>
        <v/>
      </c>
      <c r="BR20">
        <f>IF(7&lt;$U$9,SUMPRODUCT(($D$10:$L$10&lt;&gt;"")*(($D$10:$L$10-($D$9:$L$9+INT(($S$12:$AA$12+INDEX($AJ$13:$AR$162,BN20,0)+INDEX($AT$13:$BB$162,BO20,0)+INDEX($BD$13:$BL$162,BP20,0))/100)))&gt;0)*($D$10:$L$10-($D$9:$L$9+INT(($S$12:$AA$12+INDEX($AJ$13:$AR$162,BN20,0)+INDEX($AT$13:$BB$162,BO20,0)+INDEX($BD$13:$BL$162,BP20,0))/100)))),0)</f>
        <v/>
      </c>
      <c r="BS20">
        <f>IF(7&lt;$U$9,SUMPRODUCT(($D$9:$L$9+INT(($S$12:$AA$12+INDEX($AJ$13:$AR$162,BN20,0)+INDEX($AT$13:$BB$162,BO20,0)+INDEX($BD$13:$BL$162,BP20,0))/100))),0)</f>
        <v/>
      </c>
      <c r="BT20">
        <f>IF(AND(7&lt;$U$9,$W$5),BQ20*1000000-MIN(BR20,999)*1000+BS20-7/100000,-1000000000-7)</f>
        <v/>
      </c>
      <c r="BV20">
        <f>MATCH(LARGE($BT$13:$BT$6012,2),$BT$13:$BT$6012,0)</f>
        <v/>
      </c>
      <c r="BW20">
        <f>INDEX($BN$13:$BN$6012,BV20)</f>
        <v/>
      </c>
      <c r="BX20">
        <f>INDEX($BO$13:$BO$6012,BV20)</f>
        <v/>
      </c>
      <c r="BY20">
        <f>INDEX($BP$13:$BP$6012,BV20)</f>
        <v/>
      </c>
      <c r="BZ20">
        <f>INDEX($BT$13:$BT$6012,BV20)&gt;-100000000</f>
        <v/>
      </c>
      <c r="CA20">
        <f>$C$9</f>
        <v/>
      </c>
      <c r="CB20">
        <f>IF($T$6&gt;0,INDEX($AI$13:$AI$162,BW20),CA20)</f>
        <v/>
      </c>
      <c r="CC20">
        <f>IF($T$7&gt;0,INDEX($AS$13:$AS$162,BX20),CB20)</f>
        <v/>
      </c>
      <c r="CD20">
        <f>IF($T$8&gt;0,INDEX($BC$13:$BC$162,BY20),CC20)</f>
        <v/>
      </c>
      <c r="CE20">
        <f>IF($C$10&lt;&gt;"",$C$10,CD20)</f>
        <v/>
      </c>
    </row>
    <row r="21">
      <c r="A21" s="11" t="inlineStr">
        <is>
          <t>推荐3</t>
        </is>
      </c>
      <c r="B21" s="15">
        <f>IF($BZ21,INDEX($BQ$13:$BQ$6012,$BV21)&amp;"/"&amp;$W$6,"—")</f>
        <v/>
      </c>
      <c r="C21" s="15">
        <f>IF($BZ21,INDEX($BR$13:$BR$6012,$BV21),"")</f>
        <v/>
      </c>
      <c r="D21" s="15">
        <f>IF($BZ21,D$9+INT((S$12+INDEX($AJ$13:$AR$162,$BW21,1)+INDEX($AT$13:$BB$162,$BX21,1)+INDEX($BD$13:$BL$162,$BY21,1))/100),"")</f>
        <v/>
      </c>
      <c r="E21" s="15">
        <f>IF($BZ21,E$9+INT((T$12+INDEX($AJ$13:$AR$162,$BW21,2)+INDEX($AT$13:$BB$162,$BX21,2)+INDEX($BD$13:$BL$162,$BY21,2))/100),"")</f>
        <v/>
      </c>
      <c r="F21" s="15">
        <f>IF($BZ21,F$9+INT((U$12+INDEX($AJ$13:$AR$162,$BW21,3)+INDEX($AT$13:$BB$162,$BX21,3)+INDEX($BD$13:$BL$162,$BY21,3))/100),"")</f>
        <v/>
      </c>
      <c r="G21" s="15">
        <f>IF($BZ21,G$9+INT((V$12+INDEX($AJ$13:$AR$162,$BW21,4)+INDEX($AT$13:$BB$162,$BX21,4)+INDEX($BD$13:$BL$162,$BY21,4))/100),"")</f>
        <v/>
      </c>
      <c r="H21" s="15">
        <f>IF($BZ21,H$9+INT((W$12+INDEX($AJ$13:$AR$162,$BW21,5)+INDEX($AT$13:$BB$162,$BX21,5)+INDEX($BD$13:$BL$162,$BY21,5))/100),"")</f>
        <v/>
      </c>
      <c r="I21" s="15">
        <f>IF($BZ21,I$9+INT((X$12+INDEX($AJ$13:$AR$162,$BW21,6)+INDEX($AT$13:$BB$162,$BX21,6)+INDEX($BD$13:$BL$162,$BY21,6))/100),"")</f>
        <v/>
      </c>
      <c r="J21" s="15">
        <f>IF($BZ21,J$9+INT((Y$12+INDEX($AJ$13:$AR$162,$BW21,7)+INDEX($AT$13:$BB$162,$BX21,7)+INDEX($BD$13:$BL$162,$BY21,7))/100),"")</f>
        <v/>
      </c>
      <c r="K21" s="15">
        <f>IF($BZ21,K$9+INT((Z$12+INDEX($AJ$13:$AR$162,$BW21,8)+INDEX($AT$13:$BB$162,$BX21,8)+INDEX($BD$13:$BL$162,$BY21,8))/100),"")</f>
        <v/>
      </c>
      <c r="L21" s="15">
        <f>IF($BZ21,L$9+INT((AA$12+INDEX($AJ$13:$AR$162,$BW21,9)+INDEX($AT$13:$BB$162,$BX21,9)+INDEX($BD$13:$BL$162,$BY21,9))/100),"")</f>
        <v/>
      </c>
      <c r="M21" s="16">
        <f>IF($BZ21,IF($T$5&gt;0,"Lv"&amp;$S$5&amp;" "&amp;$CA21&amp;" → ","")&amp;IF(AND($T$6&gt;0,OR($S$6=$B$9,$CB21&lt;&gt;$CA21)),"Lv"&amp;$S$6&amp;" "&amp;$CB21&amp;" → ","")&amp;IF(AND($T$7&gt;0,OR($S$7=$B$9,$CC21&lt;&gt;$CB21)),"Lv"&amp;$S$7&amp;" "&amp;$CC21&amp;" → ","")&amp;IF(AND($T$8&gt;0,OR($S$8=$B$9,$CD21&lt;&gt;$CC21)),"Lv"&amp;$S$8&amp;" "&amp;$CD21&amp;" → ","")&amp;IF(AND($T$9&gt;0,OR($S$9=$B$9,$CE21&lt;&gt;$CD21)),"Lv"&amp;$S$9&amp;" "&amp;$CE21&amp;" → ","")&amp;"Lv"&amp;$B$10&amp;" 完成","—")</f>
        <v/>
      </c>
      <c r="P21">
        <f>IF('职业'!$C11="","",'职业'!$C11)</f>
        <v/>
      </c>
      <c r="Q21">
        <f>N('职业'!$D11)</f>
        <v/>
      </c>
      <c r="R21">
        <f>'职业'!$E11&amp;""</f>
        <v/>
      </c>
      <c r="S21">
        <f>IF($P21="",0,MAX(0,D$7+N('职业'!F11)))</f>
        <v/>
      </c>
      <c r="T21">
        <f>IF($P21="",0,MAX(0,E$7+N('职业'!G11)))</f>
        <v/>
      </c>
      <c r="U21">
        <f>IF($P21="",0,MAX(0,F$7+N('职业'!H11)))</f>
        <v/>
      </c>
      <c r="V21">
        <f>IF($P21="",0,MAX(0,G$7+N('职业'!I11)))</f>
        <v/>
      </c>
      <c r="W21">
        <f>IF($P21="",0,MAX(0,H$7+N('职业'!J11)))</f>
        <v/>
      </c>
      <c r="X21">
        <f>IF($P21="",0,MAX(0,I$7+N('职业'!K11)))</f>
        <v/>
      </c>
      <c r="Y21">
        <f>IF($P21="",0,MAX(0,J$7+N('职业'!L11)))</f>
        <v/>
      </c>
      <c r="Z21">
        <f>IF($P21="",0,MAX(0,K$7+N('职业'!M11)))</f>
        <v/>
      </c>
      <c r="AA21">
        <f>IF($P21="",0,MAX(0,L$7+N('职业'!N11)))</f>
        <v/>
      </c>
      <c r="AB21">
        <f>AND($P21&lt;&gt;"",IF($U$5=1,$P21=$C$10,OR($P21=$C$9,AND($R21="是",$Q21&lt;=MAX($B$9,$Q$6)))))</f>
        <v/>
      </c>
      <c r="AC21">
        <f>AND($P21&lt;&gt;"",IF($U$5=2,$P21=$C$10,OR($P21=$C$9,AND($R21="是",$Q21&lt;=MAX($B$9,$Q$7)))))</f>
        <v/>
      </c>
      <c r="AD21">
        <f>AND($P21&lt;&gt;"",IF($U$5=3,$P21=$C$10,OR($P21=$C$9,AND($R21="是",$Q21&lt;=MAX($B$9,$Q$8)))))</f>
        <v/>
      </c>
      <c r="AE21">
        <f>IF(AB21,COUNTIF(AB$13:AB21,TRUE),"")</f>
        <v/>
      </c>
      <c r="AF21">
        <f>IF(AC21,COUNTIF(AC$13:AC21,TRUE),"")</f>
        <v/>
      </c>
      <c r="AG21">
        <f>IF(AD21,COUNTIF(AD$13:AD21,TRUE),"")</f>
        <v/>
      </c>
      <c r="AI21">
        <f>IFERROR(INDEX($P$13:$P$162,MATCH(9,$AE$13:$AE$162,0)),"")</f>
        <v/>
      </c>
      <c r="AJ21">
        <f>IFERROR(INDEX(S$13:S$162,MATCH(9,$AE$13:$AE$162,0)),0)*$T$6</f>
        <v/>
      </c>
      <c r="AK21">
        <f>IFERROR(INDEX(T$13:T$162,MATCH(9,$AE$13:$AE$162,0)),0)*$T$6</f>
        <v/>
      </c>
      <c r="AL21">
        <f>IFERROR(INDEX(U$13:U$162,MATCH(9,$AE$13:$AE$162,0)),0)*$T$6</f>
        <v/>
      </c>
      <c r="AM21">
        <f>IFERROR(INDEX(V$13:V$162,MATCH(9,$AE$13:$AE$162,0)),0)*$T$6</f>
        <v/>
      </c>
      <c r="AN21">
        <f>IFERROR(INDEX(W$13:W$162,MATCH(9,$AE$13:$AE$162,0)),0)*$T$6</f>
        <v/>
      </c>
      <c r="AO21">
        <f>IFERROR(INDEX(X$13:X$162,MATCH(9,$AE$13:$AE$162,0)),0)*$T$6</f>
        <v/>
      </c>
      <c r="AP21">
        <f>IFERROR(INDEX(Y$13:Y$162,MATCH(9,$AE$13:$AE$162,0)),0)*$T$6</f>
        <v/>
      </c>
      <c r="AQ21">
        <f>IFERROR(INDEX(Z$13:Z$162,MATCH(9,$AE$13:$AE$162,0)),0)*$T$6</f>
        <v/>
      </c>
      <c r="AR21">
        <f>IFERROR(INDEX(AA$13:AA$162,MATCH(9,$AE$13:$AE$162,0)),0)*$T$6</f>
        <v/>
      </c>
      <c r="AS21">
        <f>IFERROR(INDEX($P$13:$P$162,MATCH(9,$AF$13:$AF$162,0)),"")</f>
        <v/>
      </c>
      <c r="AT21">
        <f>IFERROR(INDEX(S$13:S$162,MATCH(9,$AF$13:$AF$162,0)),0)*$T$7</f>
        <v/>
      </c>
      <c r="AU21">
        <f>IFERROR(INDEX(T$13:T$162,MATCH(9,$AF$13:$AF$162,0)),0)*$T$7</f>
        <v/>
      </c>
      <c r="AV21">
        <f>IFERROR(INDEX(U$13:U$162,MATCH(9,$AF$13:$AF$162,0)),0)*$T$7</f>
        <v/>
      </c>
      <c r="AW21">
        <f>IFERROR(INDEX(V$13:V$162,MATCH(9,$AF$13:$AF$162,0)),0)*$T$7</f>
        <v/>
      </c>
      <c r="AX21">
        <f>IFERROR(INDEX(W$13:W$162,MATCH(9,$AF$13:$AF$162,0)),0)*$T$7</f>
        <v/>
      </c>
      <c r="AY21">
        <f>IFERROR(INDEX(X$13:X$162,MATCH(9,$AF$13:$AF$162,0)),0)*$T$7</f>
        <v/>
      </c>
      <c r="AZ21">
        <f>IFERROR(INDEX(Y$13:Y$162,MATCH(9,$AF$13:$AF$162,0)),0)*$T$7</f>
        <v/>
      </c>
      <c r="BA21">
        <f>IFERROR(INDEX(Z$13:Z$162,MATCH(9,$AF$13:$AF$162,0)),0)*$T$7</f>
        <v/>
      </c>
      <c r="BB21">
        <f>IFERROR(INDEX(AA$13:AA$162,MATCH(9,$AF$13:$AF$162,0)),0)*$T$7</f>
        <v/>
      </c>
      <c r="BC21">
        <f>IFERROR(INDEX($P$13:$P$162,MATCH(9,$AG$13:$AG$162,0)),"")</f>
        <v/>
      </c>
      <c r="BD21">
        <f>IFERROR(INDEX(S$13:S$162,MATCH(9,$AG$13:$AG$162,0)),0)*($T$8+IF($C$10="",$T$9,0))</f>
        <v/>
      </c>
      <c r="BE21">
        <f>IFERROR(INDEX(T$13:T$162,MATCH(9,$AG$13:$AG$162,0)),0)*($T$8+IF($C$10="",$T$9,0))</f>
        <v/>
      </c>
      <c r="BF21">
        <f>IFERROR(INDEX(U$13:U$162,MATCH(9,$AG$13:$AG$162,0)),0)*($T$8+IF($C$10="",$T$9,0))</f>
        <v/>
      </c>
      <c r="BG21">
        <f>IFERROR(INDEX(V$13:V$162,MATCH(9,$AG$13:$AG$162,0)),0)*($T$8+IF($C$10="",$T$9,0))</f>
        <v/>
      </c>
      <c r="BH21">
        <f>IFERROR(INDEX(W$13:W$162,MATCH(9,$AG$13:$AG$162,0)),0)*($T$8+IF($C$10="",$T$9,0))</f>
        <v/>
      </c>
      <c r="BI21">
        <f>IFERROR(INDEX(X$13:X$162,MATCH(9,$AG$13:$AG$162,0)),0)*($T$8+IF($C$10="",$T$9,0))</f>
        <v/>
      </c>
      <c r="BJ21">
        <f>IFERROR(INDEX(Y$13:Y$162,MATCH(9,$AG$13:$AG$162,0)),0)*($T$8+IF($C$10="",$T$9,0))</f>
        <v/>
      </c>
      <c r="BK21">
        <f>IFERROR(INDEX(Z$13:Z$162,MATCH(9,$AG$13:$AG$162,0)),0)*($T$8+IF($C$10="",$T$9,0))</f>
        <v/>
      </c>
      <c r="BL21">
        <f>IFERROR(INDEX(AA$13:AA$162,MATCH(9,$AG$13:$AG$162,0)),0)*($T$8+IF($C$10="",$T$9,0))</f>
        <v/>
      </c>
      <c r="BN21">
        <f>IF(8&lt;$U$9,INT(8/($U$7*$U$8))+1,1)</f>
        <v/>
      </c>
      <c r="BO21">
        <f>IF(8&lt;$U$9,MOD(INT(8/$U$8),$U$7)+1,1)</f>
        <v/>
      </c>
      <c r="BP21">
        <f>IF(8&lt;$U$9,MOD(8,$U$8)+1,1)</f>
        <v/>
      </c>
      <c r="BQ21">
        <f>IF(8&lt;$U$9,SUMPRODUCT(($D$10:$L$10&lt;&gt;"")*(($D$9:$L$9+INT(($S$12:$AA$12+INDEX($AJ$13:$AR$162,BN21,0)+INDEX($AT$13:$BB$162,BO21,0)+INDEX($BD$13:$BL$162,BP21,0))/100))&gt;=$D$10:$L$10)),0)</f>
        <v/>
      </c>
      <c r="BR21">
        <f>IF(8&lt;$U$9,SUMPRODUCT(($D$10:$L$10&lt;&gt;"")*(($D$10:$L$10-($D$9:$L$9+INT(($S$12:$AA$12+INDEX($AJ$13:$AR$162,BN21,0)+INDEX($AT$13:$BB$162,BO21,0)+INDEX($BD$13:$BL$162,BP21,0))/100)))&gt;0)*($D$10:$L$10-($D$9:$L$9+INT(($S$12:$AA$12+INDEX($AJ$13:$AR$162,BN21,0)+INDEX($AT$13:$BB$162,BO21,0)+INDEX($BD$13:$BL$162,BP21,0))/100)))),0)</f>
        <v/>
      </c>
      <c r="BS21">
        <f>IF(8&lt;$U$9,SUMPRODUCT(($D$9:$L$9+INT(($S$12:$AA$12+INDEX($AJ$13:$AR$162,BN21,0)+INDEX($AT$13:$BB$162,BO21,0)+INDEX($BD$13:$BL$162,BP21,0))/100))),0)</f>
        <v/>
      </c>
      <c r="BT21">
        <f>IF(AND(8&lt;$U$9,$W$5),BQ21*1000000-MIN(BR21,999)*1000+BS21-8/100000,-1000000000-8)</f>
        <v/>
      </c>
      <c r="BV21">
        <f>MATCH(LARGE($BT$13:$BT$6012,3),$BT$13:$BT$6012,0)</f>
        <v/>
      </c>
      <c r="BW21">
        <f>INDEX($BN$13:$BN$6012,BV21)</f>
        <v/>
      </c>
      <c r="BX21">
        <f>INDEX($BO$13:$BO$6012,BV21)</f>
        <v/>
      </c>
      <c r="BY21">
        <f>INDEX($BP$13:$BP$6012,BV21)</f>
        <v/>
      </c>
      <c r="BZ21">
        <f>INDEX($BT$13:$BT$6012,BV21)&gt;-100000000</f>
        <v/>
      </c>
      <c r="CA21">
        <f>$C$9</f>
        <v/>
      </c>
      <c r="CB21">
        <f>IF($T$6&gt;0,INDEX($AI$13:$AI$162,BW21),CA21)</f>
        <v/>
      </c>
      <c r="CC21">
        <f>IF($T$7&gt;0,INDEX($AS$13:$AS$162,BX21),CB21)</f>
        <v/>
      </c>
      <c r="CD21">
        <f>IF($T$8&gt;0,INDEX($BC$13:$BC$162,BY21),CC21)</f>
        <v/>
      </c>
      <c r="CE21">
        <f>IF($C$10&lt;&gt;"",$C$10,CD21)</f>
        <v/>
      </c>
    </row>
    <row r="22">
      <c r="A22" s="11" t="inlineStr">
        <is>
          <t>推荐4</t>
        </is>
      </c>
      <c r="B22" s="15">
        <f>IF($BZ22,INDEX($BQ$13:$BQ$6012,$BV22)&amp;"/"&amp;$W$6,"—")</f>
        <v/>
      </c>
      <c r="C22" s="15">
        <f>IF($BZ22,INDEX($BR$13:$BR$6012,$BV22),"")</f>
        <v/>
      </c>
      <c r="D22" s="15">
        <f>IF($BZ22,D$9+INT((S$12+INDEX($AJ$13:$AR$162,$BW22,1)+INDEX($AT$13:$BB$162,$BX22,1)+INDEX($BD$13:$BL$162,$BY22,1))/100),"")</f>
        <v/>
      </c>
      <c r="E22" s="15">
        <f>IF($BZ22,E$9+INT((T$12+INDEX($AJ$13:$AR$162,$BW22,2)+INDEX($AT$13:$BB$162,$BX22,2)+INDEX($BD$13:$BL$162,$BY22,2))/100),"")</f>
        <v/>
      </c>
      <c r="F22" s="15">
        <f>IF($BZ22,F$9+INT((U$12+INDEX($AJ$13:$AR$162,$BW22,3)+INDEX($AT$13:$BB$162,$BX22,3)+INDEX($BD$13:$BL$162,$BY22,3))/100),"")</f>
        <v/>
      </c>
      <c r="G22" s="15">
        <f>IF($BZ22,G$9+INT((V$12+INDEX($AJ$13:$AR$162,$BW22,4)+INDEX($AT$13:$BB$162,$BX22,4)+INDEX($BD$13:$BL$162,$BY22,4))/100),"")</f>
        <v/>
      </c>
      <c r="H22" s="15">
        <f>IF($BZ22,H$9+INT((W$12+INDEX($AJ$13:$AR$162,$BW22,5)+INDEX($AT$13:$BB$162,$BX22,5)+INDEX($BD$13:$BL$162,$BY22,5))/100),"")</f>
        <v/>
      </c>
      <c r="I22" s="15">
        <f>IF($BZ22,I$9+INT((X$12+INDEX($AJ$13:$AR$162,$BW22,6)+INDEX($AT$13:$BB$162,$BX22,6)+INDEX($BD$13:$BL$162,$BY22,6))/100),"")</f>
        <v/>
      </c>
      <c r="J22" s="15">
        <f>IF($BZ22,J$9+INT((Y$12+INDEX($AJ$13:$AR$162,$BW22,7)+INDEX($AT$13:$BB$162,$BX22,7)+INDEX($BD$13:$BL$162,$BY22,7))/100),"")</f>
        <v/>
      </c>
      <c r="K22" s="15">
        <f>IF($BZ22,K$9+INT((Z$12+INDEX($AJ$13:$AR$162,$BW22,8)+INDEX($AT$13:$BB$162,$BX22,8)+INDEX($BD$13:$BL$162,$BY22,8))/100),"")</f>
        <v/>
      </c>
      <c r="L22" s="15">
        <f>IF($BZ22,L$9+INT((AA$12+INDEX($AJ$13:$AR$162,$BW22,9)+INDEX($AT$13:$BB$162,$BX22,9)+INDEX($BD$13:$BL$162,$BY22,9))/100),"")</f>
        <v/>
      </c>
      <c r="M22" s="16">
        <f>IF($BZ22,IF($T$5&gt;0,"Lv"&amp;$S$5&amp;" "&amp;$CA22&amp;" → ","")&amp;IF(AND($T$6&gt;0,OR($S$6=$B$9,$CB22&lt;&gt;$CA22)),"Lv"&amp;$S$6&amp;" "&amp;$CB22&amp;" → ","")&amp;IF(AND($T$7&gt;0,OR($S$7=$B$9,$CC22&lt;&gt;$CB22)),"Lv"&amp;$S$7&amp;" "&amp;$CC22&amp;" → ","")&amp;IF(AND($T$8&gt;0,OR($S$8=$B$9,$CD22&lt;&gt;$CC22)),"Lv"&amp;$S$8&amp;" "&amp;$CD22&amp;" → ","")&amp;IF(AND($T$9&gt;0,OR($S$9=$B$9,$CE22&lt;&gt;$CD22)),"Lv"&amp;$S$9&amp;" "&amp;$CE22&amp;" → ","")&amp;"Lv"&amp;$B$10&amp;" 完成","—")</f>
        <v/>
      </c>
      <c r="P22">
        <f>IF('职业'!$C12="","",'职业'!$C12)</f>
        <v/>
      </c>
      <c r="Q22">
        <f>N('职业'!$D12)</f>
        <v/>
      </c>
      <c r="R22">
        <f>'职业'!$E12&amp;""</f>
        <v/>
      </c>
      <c r="S22">
        <f>IF($P22="",0,MAX(0,D$7+N('职业'!F12)))</f>
        <v/>
      </c>
      <c r="T22">
        <f>IF($P22="",0,MAX(0,E$7+N('职业'!G12)))</f>
        <v/>
      </c>
      <c r="U22">
        <f>IF($P22="",0,MAX(0,F$7+N('职业'!H12)))</f>
        <v/>
      </c>
      <c r="V22">
        <f>IF($P22="",0,MAX(0,G$7+N('职业'!I12)))</f>
        <v/>
      </c>
      <c r="W22">
        <f>IF($P22="",0,MAX(0,H$7+N('职业'!J12)))</f>
        <v/>
      </c>
      <c r="X22">
        <f>IF($P22="",0,MAX(0,I$7+N('职业'!K12)))</f>
        <v/>
      </c>
      <c r="Y22">
        <f>IF($P22="",0,MAX(0,J$7+N('职业'!L12)))</f>
        <v/>
      </c>
      <c r="Z22">
        <f>IF($P22="",0,MAX(0,K$7+N('职业'!M12)))</f>
        <v/>
      </c>
      <c r="AA22">
        <f>IF($P22="",0,MAX(0,L$7+N('职业'!N12)))</f>
        <v/>
      </c>
      <c r="AB22">
        <f>AND($P22&lt;&gt;"",IF($U$5=1,$P22=$C$10,OR($P22=$C$9,AND($R22="是",$Q22&lt;=MAX($B$9,$Q$6)))))</f>
        <v/>
      </c>
      <c r="AC22">
        <f>AND($P22&lt;&gt;"",IF($U$5=2,$P22=$C$10,OR($P22=$C$9,AND($R22="是",$Q22&lt;=MAX($B$9,$Q$7)))))</f>
        <v/>
      </c>
      <c r="AD22">
        <f>AND($P22&lt;&gt;"",IF($U$5=3,$P22=$C$10,OR($P22=$C$9,AND($R22="是",$Q22&lt;=MAX($B$9,$Q$8)))))</f>
        <v/>
      </c>
      <c r="AE22">
        <f>IF(AB22,COUNTIF(AB$13:AB22,TRUE),"")</f>
        <v/>
      </c>
      <c r="AF22">
        <f>IF(AC22,COUNTIF(AC$13:AC22,TRUE),"")</f>
        <v/>
      </c>
      <c r="AG22">
        <f>IF(AD22,COUNTIF(AD$13:AD22,TRUE),"")</f>
        <v/>
      </c>
      <c r="AI22">
        <f>IFERROR(INDEX($P$13:$P$162,MATCH(10,$AE$13:$AE$162,0)),"")</f>
        <v/>
      </c>
      <c r="AJ22">
        <f>IFERROR(INDEX(S$13:S$162,MATCH(10,$AE$13:$AE$162,0)),0)*$T$6</f>
        <v/>
      </c>
      <c r="AK22">
        <f>IFERROR(INDEX(T$13:T$162,MATCH(10,$AE$13:$AE$162,0)),0)*$T$6</f>
        <v/>
      </c>
      <c r="AL22">
        <f>IFERROR(INDEX(U$13:U$162,MATCH(10,$AE$13:$AE$162,0)),0)*$T$6</f>
        <v/>
      </c>
      <c r="AM22">
        <f>IFERROR(INDEX(V$13:V$162,MATCH(10,$AE$13:$AE$162,0)),0)*$T$6</f>
        <v/>
      </c>
      <c r="AN22">
        <f>IFERROR(INDEX(W$13:W$162,MATCH(10,$AE$13:$AE$162,0)),0)*$T$6</f>
        <v/>
      </c>
      <c r="AO22">
        <f>IFERROR(INDEX(X$13:X$162,MATCH(10,$AE$13:$AE$162,0)),0)*$T$6</f>
        <v/>
      </c>
      <c r="AP22">
        <f>IFERROR(INDEX(Y$13:Y$162,MATCH(10,$AE$13:$AE$162,0)),0)*$T$6</f>
        <v/>
      </c>
      <c r="AQ22">
        <f>IFERROR(INDEX(Z$13:Z$162,MATCH(10,$AE$13:$AE$162,0)),0)*$T$6</f>
        <v/>
      </c>
      <c r="AR22">
        <f>IFERROR(INDEX(AA$13:AA$162,MATCH(10,$AE$13:$AE$162,0)),0)*$T$6</f>
        <v/>
      </c>
      <c r="AS22">
        <f>IFERROR(INDEX($P$13:$P$162,MATCH(10,$AF$13:$AF$162,0)),"")</f>
        <v/>
      </c>
      <c r="AT22">
        <f>IFERROR(INDEX(S$13:S$162,MATCH(10,$AF$13:$AF$162,0)),0)*$T$7</f>
        <v/>
      </c>
      <c r="AU22">
        <f>IFERROR(INDEX(T$13:T$162,MATCH(10,$AF$13:$AF$162,0)),0)*$T$7</f>
        <v/>
      </c>
      <c r="AV22">
        <f>IFERROR(INDEX(U$13:U$162,MATCH(10,$AF$13:$AF$162,0)),0)*$T$7</f>
        <v/>
      </c>
      <c r="AW22">
        <f>IFERROR(INDEX(V$13:V$162,MATCH(10,$AF$13:$AF$162,0)),0)*$T$7</f>
        <v/>
      </c>
      <c r="AX22">
        <f>IFERROR(INDEX(W$13:W$162,MATCH(10,$AF$13:$AF$162,0)),0)*$T$7</f>
        <v/>
      </c>
      <c r="AY22">
        <f>IFERROR(INDEX(X$13:X$162,MATCH(10,$AF$13:$AF$162,0)),0)*$T$7</f>
        <v/>
      </c>
      <c r="AZ22">
        <f>IFERROR(INDEX(Y$13:Y$162,MATCH(10,$AF$13:$AF$162,0)),0)*$T$7</f>
        <v/>
      </c>
      <c r="BA22">
        <f>IFERROR(INDEX(Z$13:Z$162,MATCH(10,$AF$13:$AF$162,0)),0)*$T$7</f>
        <v/>
      </c>
      <c r="BB22">
        <f>IFERROR(INDEX(AA$13:AA$162,MATCH(10,$AF$13:$AF$162,0)),0)*$T$7</f>
        <v/>
      </c>
      <c r="BC22">
        <f>IFERROR(INDEX($P$13:$P$162,MATCH(10,$AG$13:$AG$162,0)),"")</f>
        <v/>
      </c>
      <c r="BD22">
        <f>IFERROR(INDEX(S$13:S$162,MATCH(10,$AG$13:$AG$162,0)),0)*($T$8+IF($C$10="",$T$9,0))</f>
        <v/>
      </c>
      <c r="BE22">
        <f>IFERROR(INDEX(T$13:T$162,MATCH(10,$AG$13:$AG$162,0)),0)*($T$8+IF($C$10="",$T$9,0))</f>
        <v/>
      </c>
      <c r="BF22">
        <f>IFERROR(INDEX(U$13:U$162,MATCH(10,$AG$13:$AG$162,0)),0)*($T$8+IF($C$10="",$T$9,0))</f>
        <v/>
      </c>
      <c r="BG22">
        <f>IFERROR(INDEX(V$13:V$162,MATCH(10,$AG$13:$AG$162,0)),0)*($T$8+IF($C$10="",$T$9,0))</f>
        <v/>
      </c>
      <c r="BH22">
        <f>IFERROR(INDEX(W$13:W$162,MATCH(10,$AG$13:$AG$162,0)),0)*($T$8+IF($C$10="",$T$9,0))</f>
        <v/>
      </c>
      <c r="BI22">
        <f>IFERROR(INDEX(X$13:X$162,MATCH(10,$AG$13:$AG$162,0)),0)*($T$8+IF($C$10="",$T$9,0))</f>
        <v/>
      </c>
      <c r="BJ22">
        <f>IFERROR(INDEX(Y$13:Y$162,MATCH(10,$AG$13:$AG$162,0)),0)*($T$8+IF($C$10="",$T$9,0))</f>
        <v/>
      </c>
      <c r="BK22">
        <f>IFERROR(INDEX(Z$13:Z$162,MATCH(10,$AG$13:$AG$162,0)),0)*($T$8+IF($C$10="",$T$9,0))</f>
        <v/>
      </c>
      <c r="BL22">
        <f>IFERROR(INDEX(AA$13:AA$162,MATCH(10,$AG$13:$AG$162,0)),0)*($T$8+IF($C$10="",$T$9,0))</f>
        <v/>
      </c>
      <c r="BN22">
        <f>IF(9&lt;$U$9,INT(9/($U$7*$U$8))+1,1)</f>
        <v/>
      </c>
      <c r="BO22">
        <f>IF(9&lt;$U$9,MOD(INT(9/$U$8),$U$7)+1,1)</f>
        <v/>
      </c>
      <c r="BP22">
        <f>IF(9&lt;$U$9,MOD(9,$U$8)+1,1)</f>
        <v/>
      </c>
      <c r="BQ22">
        <f>IF(9&lt;$U$9,SUMPRODUCT(($D$10:$L$10&lt;&gt;"")*(($D$9:$L$9+INT(($S$12:$AA$12+INDEX($AJ$13:$AR$162,BN22,0)+INDEX($AT$13:$BB$162,BO22,0)+INDEX($BD$13:$BL$162,BP22,0))/100))&gt;=$D$10:$L$10)),0)</f>
        <v/>
      </c>
      <c r="BR22">
        <f>IF(9&lt;$U$9,SUMPRODUCT(($D$10:$L$10&lt;&gt;"")*(($D$10:$L$10-($D$9:$L$9+INT(($S$12:$AA$12+INDEX($AJ$13:$AR$162,BN22,0)+INDEX($AT$13:$BB$162,BO22,0)+INDEX($BD$13:$BL$162,BP22,0))/100)))&gt;0)*($D$10:$L$10-($D$9:$L$9+INT(($S$12:$AA$12+INDEX($AJ$13:$AR$162,BN22,0)+INDEX($AT$13:$BB$162,BO22,0)+INDEX($BD$13:$BL$162,BP22,0))/100)))),0)</f>
        <v/>
      </c>
      <c r="BS22">
        <f>IF(9&lt;$U$9,SUMPRODUCT(($D$9:$L$9+INT(($S$12:$AA$12+INDEX($AJ$13:$AR$162,BN22,0)+INDEX($AT$13:$BB$162,BO22,0)+INDEX($BD$13:$BL$162,BP22,0))/100))),0)</f>
        <v/>
      </c>
      <c r="BT22">
        <f>IF(AND(9&lt;$U$9,$W$5),BQ22*1000000-MIN(BR22,999)*1000+BS22-9/100000,-1000000000-9)</f>
        <v/>
      </c>
      <c r="BV22">
        <f>MATCH(LARGE($BT$13:$BT$6012,4),$BT$13:$BT$6012,0)</f>
        <v/>
      </c>
      <c r="BW22">
        <f>INDEX($BN$13:$BN$6012,BV22)</f>
        <v/>
      </c>
      <c r="BX22">
        <f>INDEX($BO$13:$BO$6012,BV22)</f>
        <v/>
      </c>
      <c r="BY22">
        <f>INDEX($BP$13:$BP$6012,BV22)</f>
        <v/>
      </c>
      <c r="BZ22">
        <f>INDEX($BT$13:$BT$6012,BV22)&gt;-100000000</f>
        <v/>
      </c>
      <c r="CA22">
        <f>$C$9</f>
        <v/>
      </c>
      <c r="CB22">
        <f>IF($T$6&gt;0,INDEX($AI$13:$AI$162,BW22),CA22)</f>
        <v/>
      </c>
      <c r="CC22">
        <f>IF($T$7&gt;0,INDEX($AS$13:$AS$162,BX22),CB22)</f>
        <v/>
      </c>
      <c r="CD22">
        <f>IF($T$8&gt;0,INDEX($BC$13:$BC$162,BY22),CC22)</f>
        <v/>
      </c>
      <c r="CE22">
        <f>IF($C$10&lt;&gt;"",$C$10,CD22)</f>
        <v/>
      </c>
    </row>
    <row r="23">
      <c r="A23" s="11" t="inlineStr">
        <is>
          <t>推荐5</t>
        </is>
      </c>
      <c r="B23" s="15">
        <f>IF($BZ23,INDEX($BQ$13:$BQ$6012,$BV23)&amp;"/"&amp;$W$6,"—")</f>
        <v/>
      </c>
      <c r="C23" s="15">
        <f>IF($BZ23,INDEX($BR$13:$BR$6012,$BV23),"")</f>
        <v/>
      </c>
      <c r="D23" s="15">
        <f>IF($BZ23,D$9+INT((S$12+INDEX($AJ$13:$AR$162,$BW23,1)+INDEX($AT$13:$BB$162,$BX23,1)+INDEX($BD$13:$BL$162,$BY23,1))/100),"")</f>
        <v/>
      </c>
      <c r="E23" s="15">
        <f>IF($BZ23,E$9+INT((T$12+INDEX($AJ$13:$AR$162,$BW23,2)+INDEX($AT$13:$BB$162,$BX23,2)+INDEX($BD$13:$BL$162,$BY23,2))/100),"")</f>
        <v/>
      </c>
      <c r="F23" s="15">
        <f>IF($BZ23,F$9+INT((U$12+INDEX($AJ$13:$AR$162,$BW23,3)+INDEX($AT$13:$BB$162,$BX23,3)+INDEX($BD$13:$BL$162,$BY23,3))/100),"")</f>
        <v/>
      </c>
      <c r="G23" s="15">
        <f>IF($BZ23,G$9+INT((V$12+INDEX($AJ$13:$AR$162,$BW23,4)+INDEX($AT$13:$BB$162,$BX23,4)+INDEX($BD$13:$BL$162,$BY23,4))/100),"")</f>
        <v/>
      </c>
      <c r="H23" s="15">
        <f>IF($BZ23,H$9+INT((W$12+INDEX($AJ$13:$AR$162,$BW23,5)+INDEX($AT$13:$BB$162,$BX23,5)+INDEX($BD$13:$BL$162,$BY23,5))/100),"")</f>
        <v/>
      </c>
      <c r="I23" s="15">
        <f>IF($BZ23,I$9+INT((X$12+INDEX($AJ$13:$AR$162,$BW23,6)+INDEX($AT$13:$BB$162,$BX23,6)+INDEX($BD$13:$BL$162,$BY23,6))/100),"")</f>
        <v/>
      </c>
      <c r="J23" s="15">
        <f>IF($BZ23,J$9+INT((Y$12+INDEX($AJ$13:$AR$162,$BW23,7)+INDEX($AT$13:$BB$162,$BX23,7)+INDEX($BD$13:$BL$162,$BY23,7))/100),"")</f>
        <v/>
      </c>
      <c r="K23" s="15">
        <f>IF($BZ23,K$9+INT((Z$12+INDEX($AJ$13:$AR$162,$BW23,8)+INDEX($AT$13:$BB$162,$BX23,8)+INDEX($BD$13:$BL$162,$BY23,8))/100),"")</f>
        <v/>
      </c>
      <c r="L23" s="15">
        <f>IF($BZ23,L$9+INT((AA$12+INDEX($AJ$13:$AR$162,$BW23,9)+INDEX($AT$13:$BB$162,$BX23,9)+INDEX($BD$13:$BL$162,$BY23,9))/100),"")</f>
        <v/>
      </c>
      <c r="M23" s="16">
        <f>IF($BZ23,IF($T$5&gt;0,"Lv"&amp;$S$5&amp;" "&amp;$CA23&amp;" → ","")&amp;IF(AND($T$6&gt;0,OR($S$6=$B$9,$CB23&lt;&gt;$CA23)),"Lv"&amp;$S$6&amp;" "&amp;$CB23&amp;" → ","")&amp;IF(AND($T$7&gt;0,OR($S$7=$B$9,$CC23&lt;&gt;$CB23)),"Lv"&amp;$S$7&amp;" "&amp;$CC23&amp;" → ","")&amp;IF(AND($T$8&gt;0,OR($S$8=$B$9,$CD23&lt;&gt;$CC23)),"Lv"&amp;$S$8&amp;" "&amp;$CD23&amp;" → ","")&amp;IF(AND($T$9&gt;0,OR($S$9=$B$9,$CE23&lt;&gt;$CD23)),"Lv"&amp;$S$9&amp;" "&amp;$CE23&amp;" → ","")&amp;"Lv"&amp;$B$10&amp;" 完成","—")</f>
        <v/>
      </c>
      <c r="P23">
        <f>IF('职业'!$C13="","",'职业'!$C13)</f>
        <v/>
      </c>
      <c r="Q23">
        <f>N('职业'!$D13)</f>
        <v/>
      </c>
      <c r="R23">
        <f>'职业'!$E13&amp;""</f>
        <v/>
      </c>
      <c r="S23">
        <f>IF($P23="",0,MAX(0,D$7+N('职业'!F13)))</f>
        <v/>
      </c>
      <c r="T23">
        <f>IF($P23="",0,MAX(0,E$7+N('职业'!G13)))</f>
        <v/>
      </c>
      <c r="U23">
        <f>IF($P23="",0,MAX(0,F$7+N('职业'!H13)))</f>
        <v/>
      </c>
      <c r="V23">
        <f>IF($P23="",0,MAX(0,G$7+N('职业'!I13)))</f>
        <v/>
      </c>
      <c r="W23">
        <f>IF($P23="",0,MAX(0,H$7+N('职业'!J13)))</f>
        <v/>
      </c>
      <c r="X23">
        <f>IF($P23="",0,MAX(0,I$7+N('职业'!K13)))</f>
        <v/>
      </c>
      <c r="Y23">
        <f>IF($P23="",0,MAX(0,J$7+N('职业'!L13)))</f>
        <v/>
      </c>
      <c r="Z23">
        <f>IF($P23="",0,MAX(0,K$7+N('职业'!M13)))</f>
        <v/>
      </c>
      <c r="AA23">
        <f>IF($P23="",0,MAX(0,L$7+N('职业'!N13)))</f>
        <v/>
      </c>
      <c r="AB23">
        <f>AND($P23&lt;&gt;"",IF($U$5=1,$P23=$C$10,OR($P23=$C$9,AND($R23="是",$Q23&lt;=MAX($B$9,$Q$6)))))</f>
        <v/>
      </c>
      <c r="AC23">
        <f>AND($P23&lt;&gt;"",IF($U$5=2,$P23=$C$10,OR($P23=$C$9,AND($R23="是",$Q23&lt;=MAX($B$9,$Q$7)))))</f>
        <v/>
      </c>
      <c r="AD23">
        <f>AND($P23&lt;&gt;"",IF($U$5=3,$P23=$C$10,OR($P23=$C$9,AND($R23="是",$Q23&lt;=MAX($B$9,$Q$8)))))</f>
        <v/>
      </c>
      <c r="AE23">
        <f>IF(AB23,COUNTIF(AB$13:AB23,TRUE),"")</f>
        <v/>
      </c>
      <c r="AF23">
        <f>IF(AC23,COUNTIF(AC$13:AC23,TRUE),"")</f>
        <v/>
      </c>
      <c r="AG23">
        <f>IF(AD23,COUNTIF(AD$13:AD23,TRUE),"")</f>
        <v/>
      </c>
      <c r="AI23">
        <f>IFERROR(INDEX($P$13:$P$162,MATCH(11,$AE$13:$AE$162,0)),"")</f>
        <v/>
      </c>
      <c r="AJ23">
        <f>IFERROR(INDEX(S$13:S$162,MATCH(11,$AE$13:$AE$162,0)),0)*$T$6</f>
        <v/>
      </c>
      <c r="AK23">
        <f>IFERROR(INDEX(T$13:T$162,MATCH(11,$AE$13:$AE$162,0)),0)*$T$6</f>
        <v/>
      </c>
      <c r="AL23">
        <f>IFERROR(INDEX(U$13:U$162,MATCH(11,$AE$13:$AE$162,0)),0)*$T$6</f>
        <v/>
      </c>
      <c r="AM23">
        <f>IFERROR(INDEX(V$13:V$162,MATCH(11,$AE$13:$AE$162,0)),0)*$T$6</f>
        <v/>
      </c>
      <c r="AN23">
        <f>IFERROR(INDEX(W$13:W$162,MATCH(11,$AE$13:$AE$162,0)),0)*$T$6</f>
        <v/>
      </c>
      <c r="AO23">
        <f>IFERROR(INDEX(X$13:X$162,MATCH(11,$AE$13:$AE$162,0)),0)*$T$6</f>
        <v/>
      </c>
      <c r="AP23">
        <f>IFERROR(INDEX(Y$13:Y$162,MATCH(11,$AE$13:$AE$162,0)),0)*$T$6</f>
        <v/>
      </c>
      <c r="AQ23">
        <f>IFERROR(INDEX(Z$13:Z$162,MATCH(11,$AE$13:$AE$162,0)),0)*$T$6</f>
        <v/>
      </c>
      <c r="AR23">
        <f>IFERROR(INDEX(AA$13:AA$162,MATCH(11,$AE$13:$AE$162,0)),0)*$T$6</f>
        <v/>
      </c>
      <c r="AS23">
        <f>IFERROR(INDEX($P$13:$P$162,MATCH(11,$AF$13:$AF$162,0)),"")</f>
        <v/>
      </c>
      <c r="AT23">
        <f>IFERROR(INDEX(S$13:S$162,MATCH(11,$AF$13:$AF$162,0)),0)*$T$7</f>
        <v/>
      </c>
      <c r="AU23">
        <f>IFERROR(INDEX(T$13:T$162,MATCH(11,$AF$13:$AF$162,0)),0)*$T$7</f>
        <v/>
      </c>
      <c r="AV23">
        <f>IFERROR(INDEX(U$13:U$162,MATCH(11,$AF$13:$AF$162,0)),0)*$T$7</f>
        <v/>
      </c>
      <c r="AW23">
        <f>IFERROR(INDEX(V$13:V$162,MATCH(11,$AF$13:$AF$162,0)),0)*$T$7</f>
        <v/>
      </c>
      <c r="AX23">
        <f>IFERROR(INDEX(W$13:W$162,MATCH(11,$AF$13:$AF$162,0)),0)*$T$7</f>
        <v/>
      </c>
      <c r="AY23">
        <f>IFERROR(INDEX(X$13:X$162,MATCH(11,$AF$13:$AF$162,0)),0)*$T$7</f>
        <v/>
      </c>
      <c r="AZ23">
        <f>IFERROR(INDEX(Y$13:Y$162,MATCH(11,$AF$13:$AF$162,0)),0)*$T$7</f>
        <v/>
      </c>
      <c r="BA23">
        <f>IFERROR(INDEX(Z$13:Z$162,MATCH(11,$AF$13:$AF$162,0)),0)*$T$7</f>
        <v/>
      </c>
      <c r="BB23">
        <f>IFERROR(INDEX(AA$13:AA$162,MATCH(11,$AF$13:$AF$162,0)),0)*$T$7</f>
        <v/>
      </c>
      <c r="BC23">
        <f>IFERROR(INDEX($P$13:$P$162,MATCH(11,$AG$13:$AG$162,0)),"")</f>
        <v/>
      </c>
      <c r="BD23">
        <f>IFERROR(INDEX(S$13:S$162,MATCH(11,$AG$13:$AG$162,0)),0)*($T$8+IF($C$10="",$T$9,0))</f>
        <v/>
      </c>
      <c r="BE23">
        <f>IFERROR(INDEX(T$13:T$162,MATCH(11,$AG$13:$AG$162,0)),0)*($T$8+IF($C$10="",$T$9,0))</f>
        <v/>
      </c>
      <c r="BF23">
        <f>IFERROR(INDEX(U$13:U$162,MATCH(11,$AG$13:$AG$162,0)),0)*($T$8+IF($C$10="",$T$9,0))</f>
        <v/>
      </c>
      <c r="BG23">
        <f>IFERROR(INDEX(V$13:V$162,MATCH(11,$AG$13:$AG$162,0)),0)*($T$8+IF($C$10="",$T$9,0))</f>
        <v/>
      </c>
      <c r="BH23">
        <f>IFERROR(INDEX(W$13:W$162,MATCH(11,$AG$13:$AG$162,0)),0)*($T$8+IF($C$10="",$T$9,0))</f>
        <v/>
      </c>
      <c r="BI23">
        <f>IFERROR(INDEX(X$13:X$162,MATCH(11,$AG$13:$AG$162,0)),0)*($T$8+IF($C$10="",$T$9,0))</f>
        <v/>
      </c>
      <c r="BJ23">
        <f>IFERROR(INDEX(Y$13:Y$162,MATCH(11,$AG$13:$AG$162,0)),0)*($T$8+IF($C$10="",$T$9,0))</f>
        <v/>
      </c>
      <c r="BK23">
        <f>IFERROR(INDEX(Z$13:Z$162,MATCH(11,$AG$13:$AG$162,0)),0)*($T$8+IF($C$10="",$T$9,0))</f>
        <v/>
      </c>
      <c r="BL23">
        <f>IFERROR(INDEX(AA$13:AA$162,MATCH(11,$AG$13:$AG$162,0)),0)*($T$8+IF($C$10="",$T$9,0))</f>
        <v/>
      </c>
      <c r="BN23">
        <f>IF(10&lt;$U$9,INT(10/($U$7*$U$8))+1,1)</f>
        <v/>
      </c>
      <c r="BO23">
        <f>IF(10&lt;$U$9,MOD(INT(10/$U$8),$U$7)+1,1)</f>
        <v/>
      </c>
      <c r="BP23">
        <f>IF(10&lt;$U$9,MOD(10,$U$8)+1,1)</f>
        <v/>
      </c>
      <c r="BQ23">
        <f>IF(10&lt;$U$9,SUMPRODUCT(($D$10:$L$10&lt;&gt;"")*(($D$9:$L$9+INT(($S$12:$AA$12+INDEX($AJ$13:$AR$162,BN23,0)+INDEX($AT$13:$BB$162,BO23,0)+INDEX($BD$13:$BL$162,BP23,0))/100))&gt;=$D$10:$L$10)),0)</f>
        <v/>
      </c>
      <c r="BR23">
        <f>IF(10&lt;$U$9,SUMPRODUCT(($D$10:$L$10&lt;&gt;"")*(($D$10:$L$10-($D$9:$L$9+INT(($S$12:$AA$12+INDEX($AJ$13:$AR$162,BN23,0)+INDEX($AT$13:$BB$162,BO23,0)+INDEX($BD$13:$BL$162,BP23,0))/100)))&gt;0)*($D$10:$L$10-($D$9:$L$9+INT(($S$12:$AA$12+INDEX($AJ$13:$AR$162,BN23,0)+INDEX($AT$13:$BB$162,BO23,0)+INDEX($BD$13:$BL$162,BP23,0))/100)))),0)</f>
        <v/>
      </c>
      <c r="BS23">
        <f>IF(10&lt;$U$9,SUMPRODUCT(($D$9:$L$9+INT(($S$12:$AA$12+INDEX($AJ$13:$AR$162,BN23,0)+INDEX($AT$13:$BB$162,BO23,0)+INDEX($BD$13:$BL$162,BP23,0))/100))),0)</f>
        <v/>
      </c>
      <c r="BT23">
        <f>IF(AND(10&lt;$U$9,$W$5),BQ23*1000000-MIN(BR23,999)*1000+BS23-10/100000,-1000000000-10)</f>
        <v/>
      </c>
      <c r="BV23">
        <f>MATCH(LARGE($BT$13:$BT$6012,5),$BT$13:$BT$6012,0)</f>
        <v/>
      </c>
      <c r="BW23">
        <f>INDEX($BN$13:$BN$6012,BV23)</f>
        <v/>
      </c>
      <c r="BX23">
        <f>INDEX($BO$13:$BO$6012,BV23)</f>
        <v/>
      </c>
      <c r="BY23">
        <f>INDEX($BP$13:$BP$6012,BV23)</f>
        <v/>
      </c>
      <c r="BZ23">
        <f>INDEX($BT$13:$BT$6012,BV23)&gt;-100000000</f>
        <v/>
      </c>
      <c r="CA23">
        <f>$C$9</f>
        <v/>
      </c>
      <c r="CB23">
        <f>IF($T$6&gt;0,INDEX($AI$13:$AI$162,BW23),CA23)</f>
        <v/>
      </c>
      <c r="CC23">
        <f>IF($T$7&gt;0,INDEX($AS$13:$AS$162,BX23),CB23)</f>
        <v/>
      </c>
      <c r="CD23">
        <f>IF($T$8&gt;0,INDEX($BC$13:$BC$162,BY23),CC23)</f>
        <v/>
      </c>
      <c r="CE23">
        <f>IF($C$10&lt;&gt;"",$C$10,CD23)</f>
        <v/>
      </c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P24">
        <f>IF('职业'!$C14="","",'职业'!$C14)</f>
        <v/>
      </c>
      <c r="Q24">
        <f>N('职业'!$D14)</f>
        <v/>
      </c>
      <c r="R24">
        <f>'职业'!$E14&amp;""</f>
        <v/>
      </c>
      <c r="S24">
        <f>IF($P24="",0,MAX(0,D$7+N('职业'!F14)))</f>
        <v/>
      </c>
      <c r="T24">
        <f>IF($P24="",0,MAX(0,E$7+N('职业'!G14)))</f>
        <v/>
      </c>
      <c r="U24">
        <f>IF($P24="",0,MAX(0,F$7+N('职业'!H14)))</f>
        <v/>
      </c>
      <c r="V24">
        <f>IF($P24="",0,MAX(0,G$7+N('职业'!I14)))</f>
        <v/>
      </c>
      <c r="W24">
        <f>IF($P24="",0,MAX(0,H$7+N('职业'!J14)))</f>
        <v/>
      </c>
      <c r="X24">
        <f>IF($P24="",0,MAX(0,I$7+N('职业'!K14)))</f>
        <v/>
      </c>
      <c r="Y24">
        <f>IF($P24="",0,MAX(0,J$7+N('职业'!L14)))</f>
        <v/>
      </c>
      <c r="Z24">
        <f>IF($P24="",0,MAX(0,K$7+N('职业'!M14)))</f>
        <v/>
      </c>
      <c r="AA24">
        <f>IF($P24="",0,MAX(0,L$7+N('职业'!N14)))</f>
        <v/>
      </c>
      <c r="AB24">
        <f>AND($P24&lt;&gt;"",IF($U$5=1,$P24=$C$10,OR($P24=$C$9,AND($R24="是",$Q24&lt;=MAX($B$9,$Q$6)))))</f>
        <v/>
      </c>
      <c r="AC24">
        <f>AND($P24&lt;&gt;"",IF($U$5=2,$P24=$C$10,OR($P24=$C$9,AND($R24="是",$Q24&lt;=MAX($B$9,$Q$7)))))</f>
        <v/>
      </c>
      <c r="AD24">
        <f>AND($P24&lt;&gt;"",IF($U$5=3,$P24=$C$10,OR($P24=$C$9,AND($R24="是",$Q24&lt;=MAX($B$9,$Q$8)))))</f>
        <v/>
      </c>
      <c r="AE24">
        <f>IF(AB24,COUNTIF(AB$13:AB24,TRUE),"")</f>
        <v/>
      </c>
      <c r="AF24">
        <f>IF(AC24,COUNTIF(AC$13:AC24,TRUE),"")</f>
        <v/>
      </c>
      <c r="AG24">
        <f>IF(AD24,COUNTIF(AD$13:AD24,TRUE),"")</f>
        <v/>
      </c>
      <c r="AI24">
        <f>IFERROR(INDEX($P$13:$P$162,MATCH(12,$AE$13:$AE$162,0)),"")</f>
        <v/>
      </c>
      <c r="AJ24">
        <f>IFERROR(INDEX(S$13:S$162,MATCH(12,$AE$13:$AE$162,0)),0)*$T$6</f>
        <v/>
      </c>
      <c r="AK24">
        <f>IFERROR(INDEX(T$13:T$162,MATCH(12,$AE$13:$AE$162,0)),0)*$T$6</f>
        <v/>
      </c>
      <c r="AL24">
        <f>IFERROR(INDEX(U$13:U$162,MATCH(12,$AE$13:$AE$162,0)),0)*$T$6</f>
        <v/>
      </c>
      <c r="AM24">
        <f>IFERROR(INDEX(V$13:V$162,MATCH(12,$AE$13:$AE$162,0)),0)*$T$6</f>
        <v/>
      </c>
      <c r="AN24">
        <f>IFERROR(INDEX(W$13:W$162,MATCH(12,$AE$13:$AE$162,0)),0)*$T$6</f>
        <v/>
      </c>
      <c r="AO24">
        <f>IFERROR(INDEX(X$13:X$162,MATCH(12,$AE$13:$AE$162,0)),0)*$T$6</f>
        <v/>
      </c>
      <c r="AP24">
        <f>IFERROR(INDEX(Y$13:Y$162,MATCH(12,$AE$13:$AE$162,0)),0)*$T$6</f>
        <v/>
      </c>
      <c r="AQ24">
        <f>IFERROR(INDEX(Z$13:Z$162,MATCH(12,$AE$13:$AE$162,0)),0)*$T$6</f>
        <v/>
      </c>
      <c r="AR24">
        <f>IFERROR(INDEX(AA$13:AA$162,MATCH(12,$AE$13:$AE$162,0)),0)*$T$6</f>
        <v/>
      </c>
      <c r="AS24">
        <f>IFERROR(INDEX($P$13:$P$162,MATCH(12,$AF$13:$AF$162,0)),"")</f>
        <v/>
      </c>
      <c r="AT24">
        <f>IFERROR(INDEX(S$13:S$162,MATCH(12,$AF$13:$AF$162,0)),0)*$T$7</f>
        <v/>
      </c>
      <c r="AU24">
        <f>IFERROR(INDEX(T$13:T$162,MATCH(12,$AF$13:$AF$162,0)),0)*$T$7</f>
        <v/>
      </c>
      <c r="AV24">
        <f>IFERROR(INDEX(U$13:U$162,MATCH(12,$AF$13:$AF$162,0)),0)*$T$7</f>
        <v/>
      </c>
      <c r="AW24">
        <f>IFERROR(INDEX(V$13:V$162,MATCH(12,$AF$13:$AF$162,0)),0)*$T$7</f>
        <v/>
      </c>
      <c r="AX24">
        <f>IFERROR(INDEX(W$13:W$162,MATCH(12,$AF$13:$AF$162,0)),0)*$T$7</f>
        <v/>
      </c>
      <c r="AY24">
        <f>IFERROR(INDEX(X$13:X$162,MATCH(12,$AF$13:$AF$162,0)),0)*$T$7</f>
        <v/>
      </c>
      <c r="AZ24">
        <f>IFERROR(INDEX(Y$13:Y$162,MATCH(12,$AF$13:$AF$162,0)),0)*$T$7</f>
        <v/>
      </c>
      <c r="BA24">
        <f>IFERROR(INDEX(Z$13:Z$162,MATCH(12,$AF$13:$AF$162,0)),0)*$T$7</f>
        <v/>
      </c>
      <c r="BB24">
        <f>IFERROR(INDEX(AA$13:AA$162,MATCH(12,$AF$13:$AF$162,0)),0)*$T$7</f>
        <v/>
      </c>
      <c r="BC24">
        <f>IFERROR(INDEX($P$13:$P$162,MATCH(12,$AG$13:$AG$162,0)),"")</f>
        <v/>
      </c>
      <c r="BD24">
        <f>IFERROR(INDEX(S$13:S$162,MATCH(12,$AG$13:$AG$162,0)),0)*($T$8+IF($C$10="",$T$9,0))</f>
        <v/>
      </c>
      <c r="BE24">
        <f>IFERROR(INDEX(T$13:T$162,MATCH(12,$AG$13:$AG$162,0)),0)*($T$8+IF($C$10="",$T$9,0))</f>
        <v/>
      </c>
      <c r="BF24">
        <f>IFERROR(INDEX(U$13:U$162,MATCH(12,$AG$13:$AG$162,0)),0)*($T$8+IF($C$10="",$T$9,0))</f>
        <v/>
      </c>
      <c r="BG24">
        <f>IFERROR(INDEX(V$13:V$162,MATCH(12,$AG$13:$AG$162,0)),0)*($T$8+IF($C$10="",$T$9,0))</f>
        <v/>
      </c>
      <c r="BH24">
        <f>IFERROR(INDEX(W$13:W$162,MATCH(12,$AG$13:$AG$162,0)),0)*($T$8+IF($C$10="",$T$9,0))</f>
        <v/>
      </c>
      <c r="BI24">
        <f>IFERROR(INDEX(X$13:X$162,MATCH(12,$AG$13:$AG$162,0)),0)*($T$8+IF($C$10="",$T$9,0))</f>
        <v/>
      </c>
      <c r="BJ24">
        <f>IFERROR(INDEX(Y$13:Y$162,MATCH(12,$AG$13:$AG$162,0)),0)*($T$8+IF($C$10="",$T$9,0))</f>
        <v/>
      </c>
      <c r="BK24">
        <f>IFERROR(INDEX(Z$13:Z$162,MATCH(12,$AG$13:$AG$162,0)),0)*($T$8+IF($C$10="",$T$9,0))</f>
        <v/>
      </c>
      <c r="BL24">
        <f>IFERROR(INDEX(AA$13:AA$162,MATCH(12,$AG$13:$AG$162,0)),0)*($T$8+IF($C$10="",$T$9,0))</f>
        <v/>
      </c>
      <c r="BN24">
        <f>IF(11&lt;$U$9,INT(11/($U$7*$U$8))+1,1)</f>
        <v/>
      </c>
      <c r="BO24">
        <f>IF(11&lt;$U$9,MOD(INT(11/$U$8),$U$7)+1,1)</f>
        <v/>
      </c>
      <c r="BP24">
        <f>IF(11&lt;$U$9,MOD(11,$U$8)+1,1)</f>
        <v/>
      </c>
      <c r="BQ24">
        <f>IF(11&lt;$U$9,SUMPRODUCT(($D$10:$L$10&lt;&gt;"")*(($D$9:$L$9+INT(($S$12:$AA$12+INDEX($AJ$13:$AR$162,BN24,0)+INDEX($AT$13:$BB$162,BO24,0)+INDEX($BD$13:$BL$162,BP24,0))/100))&gt;=$D$10:$L$10)),0)</f>
        <v/>
      </c>
      <c r="BR24">
        <f>IF(11&lt;$U$9,SUMPRODUCT(($D$10:$L$10&lt;&gt;"")*(($D$10:$L$10-($D$9:$L$9+INT(($S$12:$AA$12+INDEX($AJ$13:$AR$162,BN24,0)+INDEX($AT$13:$BB$162,BO24,0)+INDEX($BD$13:$BL$162,BP24,0))/100)))&gt;0)*($D$10:$L$10-($D$9:$L$9+INT(($S$12:$AA$12+INDEX($AJ$13:$AR$162,BN24,0)+INDEX($AT$13:$BB$162,BO24,0)+INDEX($BD$13:$BL$162,BP24,0))/100)))),0)</f>
        <v/>
      </c>
      <c r="BS24">
        <f>IF(11&lt;$U$9,SUMPRODUCT(($D$9:$L$9+INT(($S$12:$AA$12+INDEX($AJ$13:$AR$162,BN24,0)+INDEX($AT$13:$BB$162,BO24,0)+INDEX($BD$13:$BL$162,BP24,0))/100))),0)</f>
        <v/>
      </c>
      <c r="BT24">
        <f>IF(AND(11&lt;$U$9,$W$5),BQ24*1000000-MIN(BR24,999)*1000+BS24-11/100000,-1000000000-11)</f>
        <v/>
      </c>
    </row>
    <row r="25" ht="22" customHeight="1">
      <c r="A25" s="14" t="inlineStr">
        <is>
          <t>④ 当前显示路线：几级转什么职业、在哪个职业升几级（由上方「显示路线」切换）</t>
        </is>
      </c>
      <c r="P25">
        <f>IF('职业'!$C15="","",'职业'!$C15)</f>
        <v/>
      </c>
      <c r="Q25">
        <f>N('职业'!$D15)</f>
        <v/>
      </c>
      <c r="R25">
        <f>'职业'!$E15&amp;""</f>
        <v/>
      </c>
      <c r="S25">
        <f>IF($P25="",0,MAX(0,D$7+N('职业'!F15)))</f>
        <v/>
      </c>
      <c r="T25">
        <f>IF($P25="",0,MAX(0,E$7+N('职业'!G15)))</f>
        <v/>
      </c>
      <c r="U25">
        <f>IF($P25="",0,MAX(0,F$7+N('职业'!H15)))</f>
        <v/>
      </c>
      <c r="V25">
        <f>IF($P25="",0,MAX(0,G$7+N('职业'!I15)))</f>
        <v/>
      </c>
      <c r="W25">
        <f>IF($P25="",0,MAX(0,H$7+N('职业'!J15)))</f>
        <v/>
      </c>
      <c r="X25">
        <f>IF($P25="",0,MAX(0,I$7+N('职业'!K15)))</f>
        <v/>
      </c>
      <c r="Y25">
        <f>IF($P25="",0,MAX(0,J$7+N('职业'!L15)))</f>
        <v/>
      </c>
      <c r="Z25">
        <f>IF($P25="",0,MAX(0,K$7+N('职业'!M15)))</f>
        <v/>
      </c>
      <c r="AA25">
        <f>IF($P25="",0,MAX(0,L$7+N('职业'!N15)))</f>
        <v/>
      </c>
      <c r="AB25">
        <f>AND($P25&lt;&gt;"",IF($U$5=1,$P25=$C$10,OR($P25=$C$9,AND($R25="是",$Q25&lt;=MAX($B$9,$Q$6)))))</f>
        <v/>
      </c>
      <c r="AC25">
        <f>AND($P25&lt;&gt;"",IF($U$5=2,$P25=$C$10,OR($P25=$C$9,AND($R25="是",$Q25&lt;=MAX($B$9,$Q$7)))))</f>
        <v/>
      </c>
      <c r="AD25">
        <f>AND($P25&lt;&gt;"",IF($U$5=3,$P25=$C$10,OR($P25=$C$9,AND($R25="是",$Q25&lt;=MAX($B$9,$Q$8)))))</f>
        <v/>
      </c>
      <c r="AE25">
        <f>IF(AB25,COUNTIF(AB$13:AB25,TRUE),"")</f>
        <v/>
      </c>
      <c r="AF25">
        <f>IF(AC25,COUNTIF(AC$13:AC25,TRUE),"")</f>
        <v/>
      </c>
      <c r="AG25">
        <f>IF(AD25,COUNTIF(AD$13:AD25,TRUE),"")</f>
        <v/>
      </c>
      <c r="AI25">
        <f>IFERROR(INDEX($P$13:$P$162,MATCH(13,$AE$13:$AE$162,0)),"")</f>
        <v/>
      </c>
      <c r="AJ25">
        <f>IFERROR(INDEX(S$13:S$162,MATCH(13,$AE$13:$AE$162,0)),0)*$T$6</f>
        <v/>
      </c>
      <c r="AK25">
        <f>IFERROR(INDEX(T$13:T$162,MATCH(13,$AE$13:$AE$162,0)),0)*$T$6</f>
        <v/>
      </c>
      <c r="AL25">
        <f>IFERROR(INDEX(U$13:U$162,MATCH(13,$AE$13:$AE$162,0)),0)*$T$6</f>
        <v/>
      </c>
      <c r="AM25">
        <f>IFERROR(INDEX(V$13:V$162,MATCH(13,$AE$13:$AE$162,0)),0)*$T$6</f>
        <v/>
      </c>
      <c r="AN25">
        <f>IFERROR(INDEX(W$13:W$162,MATCH(13,$AE$13:$AE$162,0)),0)*$T$6</f>
        <v/>
      </c>
      <c r="AO25">
        <f>IFERROR(INDEX(X$13:X$162,MATCH(13,$AE$13:$AE$162,0)),0)*$T$6</f>
        <v/>
      </c>
      <c r="AP25">
        <f>IFERROR(INDEX(Y$13:Y$162,MATCH(13,$AE$13:$AE$162,0)),0)*$T$6</f>
        <v/>
      </c>
      <c r="AQ25">
        <f>IFERROR(INDEX(Z$13:Z$162,MATCH(13,$AE$13:$AE$162,0)),0)*$T$6</f>
        <v/>
      </c>
      <c r="AR25">
        <f>IFERROR(INDEX(AA$13:AA$162,MATCH(13,$AE$13:$AE$162,0)),0)*$T$6</f>
        <v/>
      </c>
      <c r="AS25">
        <f>IFERROR(INDEX($P$13:$P$162,MATCH(13,$AF$13:$AF$162,0)),"")</f>
        <v/>
      </c>
      <c r="AT25">
        <f>IFERROR(INDEX(S$13:S$162,MATCH(13,$AF$13:$AF$162,0)),0)*$T$7</f>
        <v/>
      </c>
      <c r="AU25">
        <f>IFERROR(INDEX(T$13:T$162,MATCH(13,$AF$13:$AF$162,0)),0)*$T$7</f>
        <v/>
      </c>
      <c r="AV25">
        <f>IFERROR(INDEX(U$13:U$162,MATCH(13,$AF$13:$AF$162,0)),0)*$T$7</f>
        <v/>
      </c>
      <c r="AW25">
        <f>IFERROR(INDEX(V$13:V$162,MATCH(13,$AF$13:$AF$162,0)),0)*$T$7</f>
        <v/>
      </c>
      <c r="AX25">
        <f>IFERROR(INDEX(W$13:W$162,MATCH(13,$AF$13:$AF$162,0)),0)*$T$7</f>
        <v/>
      </c>
      <c r="AY25">
        <f>IFERROR(INDEX(X$13:X$162,MATCH(13,$AF$13:$AF$162,0)),0)*$T$7</f>
        <v/>
      </c>
      <c r="AZ25">
        <f>IFERROR(INDEX(Y$13:Y$162,MATCH(13,$AF$13:$AF$162,0)),0)*$T$7</f>
        <v/>
      </c>
      <c r="BA25">
        <f>IFERROR(INDEX(Z$13:Z$162,MATCH(13,$AF$13:$AF$162,0)),0)*$T$7</f>
        <v/>
      </c>
      <c r="BB25">
        <f>IFERROR(INDEX(AA$13:AA$162,MATCH(13,$AF$13:$AF$162,0)),0)*$T$7</f>
        <v/>
      </c>
      <c r="BC25">
        <f>IFERROR(INDEX($P$13:$P$162,MATCH(13,$AG$13:$AG$162,0)),"")</f>
        <v/>
      </c>
      <c r="BD25">
        <f>IFERROR(INDEX(S$13:S$162,MATCH(13,$AG$13:$AG$162,0)),0)*($T$8+IF($C$10="",$T$9,0))</f>
        <v/>
      </c>
      <c r="BE25">
        <f>IFERROR(INDEX(T$13:T$162,MATCH(13,$AG$13:$AG$162,0)),0)*($T$8+IF($C$10="",$T$9,0))</f>
        <v/>
      </c>
      <c r="BF25">
        <f>IFERROR(INDEX(U$13:U$162,MATCH(13,$AG$13:$AG$162,0)),0)*($T$8+IF($C$10="",$T$9,0))</f>
        <v/>
      </c>
      <c r="BG25">
        <f>IFERROR(INDEX(V$13:V$162,MATCH(13,$AG$13:$AG$162,0)),0)*($T$8+IF($C$10="",$T$9,0))</f>
        <v/>
      </c>
      <c r="BH25">
        <f>IFERROR(INDEX(W$13:W$162,MATCH(13,$AG$13:$AG$162,0)),0)*($T$8+IF($C$10="",$T$9,0))</f>
        <v/>
      </c>
      <c r="BI25">
        <f>IFERROR(INDEX(X$13:X$162,MATCH(13,$AG$13:$AG$162,0)),0)*($T$8+IF($C$10="",$T$9,0))</f>
        <v/>
      </c>
      <c r="BJ25">
        <f>IFERROR(INDEX(Y$13:Y$162,MATCH(13,$AG$13:$AG$162,0)),0)*($T$8+IF($C$10="",$T$9,0))</f>
        <v/>
      </c>
      <c r="BK25">
        <f>IFERROR(INDEX(Z$13:Z$162,MATCH(13,$AG$13:$AG$162,0)),0)*($T$8+IF($C$10="",$T$9,0))</f>
        <v/>
      </c>
      <c r="BL25">
        <f>IFERROR(INDEX(AA$13:AA$162,MATCH(13,$AG$13:$AG$162,0)),0)*($T$8+IF($C$10="",$T$9,0))</f>
        <v/>
      </c>
      <c r="BN25">
        <f>IF(12&lt;$U$9,INT(12/($U$7*$U$8))+1,1)</f>
        <v/>
      </c>
      <c r="BO25">
        <f>IF(12&lt;$U$9,MOD(INT(12/$U$8),$U$7)+1,1)</f>
        <v/>
      </c>
      <c r="BP25">
        <f>IF(12&lt;$U$9,MOD(12,$U$8)+1,1)</f>
        <v/>
      </c>
      <c r="BQ25">
        <f>IF(12&lt;$U$9,SUMPRODUCT(($D$10:$L$10&lt;&gt;"")*(($D$9:$L$9+INT(($S$12:$AA$12+INDEX($AJ$13:$AR$162,BN25,0)+INDEX($AT$13:$BB$162,BO25,0)+INDEX($BD$13:$BL$162,BP25,0))/100))&gt;=$D$10:$L$10)),0)</f>
        <v/>
      </c>
      <c r="BR25">
        <f>IF(12&lt;$U$9,SUMPRODUCT(($D$10:$L$10&lt;&gt;"")*(($D$10:$L$10-($D$9:$L$9+INT(($S$12:$AA$12+INDEX($AJ$13:$AR$162,BN25,0)+INDEX($AT$13:$BB$162,BO25,0)+INDEX($BD$13:$BL$162,BP25,0))/100)))&gt;0)*($D$10:$L$10-($D$9:$L$9+INT(($S$12:$AA$12+INDEX($AJ$13:$AR$162,BN25,0)+INDEX($AT$13:$BB$162,BO25,0)+INDEX($BD$13:$BL$162,BP25,0))/100)))),0)</f>
        <v/>
      </c>
      <c r="BS25">
        <f>IF(12&lt;$U$9,SUMPRODUCT(($D$9:$L$9+INT(($S$12:$AA$12+INDEX($AJ$13:$AR$162,BN25,0)+INDEX($AT$13:$BB$162,BO25,0)+INDEX($BD$13:$BL$162,BP25,0))/100))),0)</f>
        <v/>
      </c>
      <c r="BT25">
        <f>IF(AND(12&lt;$U$9,$W$5),BQ25*1000000-MIN(BR25,999)*1000+BS25-12/100000,-1000000000-12)</f>
        <v/>
      </c>
    </row>
    <row r="26">
      <c r="A26" s="10" t="inlineStr">
        <is>
          <t>阶段</t>
        </is>
      </c>
      <c r="B26" s="10" t="inlineStr">
        <is>
          <t>起始等级</t>
        </is>
      </c>
      <c r="C26" s="10" t="inlineStr">
        <is>
          <t>职业</t>
        </is>
      </c>
      <c r="D26" s="10" t="inlineStr">
        <is>
          <t>结束等级</t>
        </is>
      </c>
      <c r="E26" s="10" t="inlineStr">
        <is>
          <t>升级次数</t>
        </is>
      </c>
      <c r="F26" s="10" t="inlineStr">
        <is>
          <t>说明</t>
        </is>
      </c>
      <c r="P26">
        <f>IF('职业'!$C16="","",'职业'!$C16)</f>
        <v/>
      </c>
      <c r="Q26">
        <f>N('职业'!$D16)</f>
        <v/>
      </c>
      <c r="R26">
        <f>'职业'!$E16&amp;""</f>
        <v/>
      </c>
      <c r="S26">
        <f>IF($P26="",0,MAX(0,D$7+N('职业'!F16)))</f>
        <v/>
      </c>
      <c r="T26">
        <f>IF($P26="",0,MAX(0,E$7+N('职业'!G16)))</f>
        <v/>
      </c>
      <c r="U26">
        <f>IF($P26="",0,MAX(0,F$7+N('职业'!H16)))</f>
        <v/>
      </c>
      <c r="V26">
        <f>IF($P26="",0,MAX(0,G$7+N('职业'!I16)))</f>
        <v/>
      </c>
      <c r="W26">
        <f>IF($P26="",0,MAX(0,H$7+N('职业'!J16)))</f>
        <v/>
      </c>
      <c r="X26">
        <f>IF($P26="",0,MAX(0,I$7+N('职业'!K16)))</f>
        <v/>
      </c>
      <c r="Y26">
        <f>IF($P26="",0,MAX(0,J$7+N('职业'!L16)))</f>
        <v/>
      </c>
      <c r="Z26">
        <f>IF($P26="",0,MAX(0,K$7+N('职业'!M16)))</f>
        <v/>
      </c>
      <c r="AA26">
        <f>IF($P26="",0,MAX(0,L$7+N('职业'!N16)))</f>
        <v/>
      </c>
      <c r="AB26">
        <f>AND($P26&lt;&gt;"",IF($U$5=1,$P26=$C$10,OR($P26=$C$9,AND($R26="是",$Q26&lt;=MAX($B$9,$Q$6)))))</f>
        <v/>
      </c>
      <c r="AC26">
        <f>AND($P26&lt;&gt;"",IF($U$5=2,$P26=$C$10,OR($P26=$C$9,AND($R26="是",$Q26&lt;=MAX($B$9,$Q$7)))))</f>
        <v/>
      </c>
      <c r="AD26">
        <f>AND($P26&lt;&gt;"",IF($U$5=3,$P26=$C$10,OR($P26=$C$9,AND($R26="是",$Q26&lt;=MAX($B$9,$Q$8)))))</f>
        <v/>
      </c>
      <c r="AE26">
        <f>IF(AB26,COUNTIF(AB$13:AB26,TRUE),"")</f>
        <v/>
      </c>
      <c r="AF26">
        <f>IF(AC26,COUNTIF(AC$13:AC26,TRUE),"")</f>
        <v/>
      </c>
      <c r="AG26">
        <f>IF(AD26,COUNTIF(AD$13:AD26,TRUE),"")</f>
        <v/>
      </c>
      <c r="AI26">
        <f>IFERROR(INDEX($P$13:$P$162,MATCH(14,$AE$13:$AE$162,0)),"")</f>
        <v/>
      </c>
      <c r="AJ26">
        <f>IFERROR(INDEX(S$13:S$162,MATCH(14,$AE$13:$AE$162,0)),0)*$T$6</f>
        <v/>
      </c>
      <c r="AK26">
        <f>IFERROR(INDEX(T$13:T$162,MATCH(14,$AE$13:$AE$162,0)),0)*$T$6</f>
        <v/>
      </c>
      <c r="AL26">
        <f>IFERROR(INDEX(U$13:U$162,MATCH(14,$AE$13:$AE$162,0)),0)*$T$6</f>
        <v/>
      </c>
      <c r="AM26">
        <f>IFERROR(INDEX(V$13:V$162,MATCH(14,$AE$13:$AE$162,0)),0)*$T$6</f>
        <v/>
      </c>
      <c r="AN26">
        <f>IFERROR(INDEX(W$13:W$162,MATCH(14,$AE$13:$AE$162,0)),0)*$T$6</f>
        <v/>
      </c>
      <c r="AO26">
        <f>IFERROR(INDEX(X$13:X$162,MATCH(14,$AE$13:$AE$162,0)),0)*$T$6</f>
        <v/>
      </c>
      <c r="AP26">
        <f>IFERROR(INDEX(Y$13:Y$162,MATCH(14,$AE$13:$AE$162,0)),0)*$T$6</f>
        <v/>
      </c>
      <c r="AQ26">
        <f>IFERROR(INDEX(Z$13:Z$162,MATCH(14,$AE$13:$AE$162,0)),0)*$T$6</f>
        <v/>
      </c>
      <c r="AR26">
        <f>IFERROR(INDEX(AA$13:AA$162,MATCH(14,$AE$13:$AE$162,0)),0)*$T$6</f>
        <v/>
      </c>
      <c r="AS26">
        <f>IFERROR(INDEX($P$13:$P$162,MATCH(14,$AF$13:$AF$162,0)),"")</f>
        <v/>
      </c>
      <c r="AT26">
        <f>IFERROR(INDEX(S$13:S$162,MATCH(14,$AF$13:$AF$162,0)),0)*$T$7</f>
        <v/>
      </c>
      <c r="AU26">
        <f>IFERROR(INDEX(T$13:T$162,MATCH(14,$AF$13:$AF$162,0)),0)*$T$7</f>
        <v/>
      </c>
      <c r="AV26">
        <f>IFERROR(INDEX(U$13:U$162,MATCH(14,$AF$13:$AF$162,0)),0)*$T$7</f>
        <v/>
      </c>
      <c r="AW26">
        <f>IFERROR(INDEX(V$13:V$162,MATCH(14,$AF$13:$AF$162,0)),0)*$T$7</f>
        <v/>
      </c>
      <c r="AX26">
        <f>IFERROR(INDEX(W$13:W$162,MATCH(14,$AF$13:$AF$162,0)),0)*$T$7</f>
        <v/>
      </c>
      <c r="AY26">
        <f>IFERROR(INDEX(X$13:X$162,MATCH(14,$AF$13:$AF$162,0)),0)*$T$7</f>
        <v/>
      </c>
      <c r="AZ26">
        <f>IFERROR(INDEX(Y$13:Y$162,MATCH(14,$AF$13:$AF$162,0)),0)*$T$7</f>
        <v/>
      </c>
      <c r="BA26">
        <f>IFERROR(INDEX(Z$13:Z$162,MATCH(14,$AF$13:$AF$162,0)),0)*$T$7</f>
        <v/>
      </c>
      <c r="BB26">
        <f>IFERROR(INDEX(AA$13:AA$162,MATCH(14,$AF$13:$AF$162,0)),0)*$T$7</f>
        <v/>
      </c>
      <c r="BC26">
        <f>IFERROR(INDEX($P$13:$P$162,MATCH(14,$AG$13:$AG$162,0)),"")</f>
        <v/>
      </c>
      <c r="BD26">
        <f>IFERROR(INDEX(S$13:S$162,MATCH(14,$AG$13:$AG$162,0)),0)*($T$8+IF($C$10="",$T$9,0))</f>
        <v/>
      </c>
      <c r="BE26">
        <f>IFERROR(INDEX(T$13:T$162,MATCH(14,$AG$13:$AG$162,0)),0)*($T$8+IF($C$10="",$T$9,0))</f>
        <v/>
      </c>
      <c r="BF26">
        <f>IFERROR(INDEX(U$13:U$162,MATCH(14,$AG$13:$AG$162,0)),0)*($T$8+IF($C$10="",$T$9,0))</f>
        <v/>
      </c>
      <c r="BG26">
        <f>IFERROR(INDEX(V$13:V$162,MATCH(14,$AG$13:$AG$162,0)),0)*($T$8+IF($C$10="",$T$9,0))</f>
        <v/>
      </c>
      <c r="BH26">
        <f>IFERROR(INDEX(W$13:W$162,MATCH(14,$AG$13:$AG$162,0)),0)*($T$8+IF($C$10="",$T$9,0))</f>
        <v/>
      </c>
      <c r="BI26">
        <f>IFERROR(INDEX(X$13:X$162,MATCH(14,$AG$13:$AG$162,0)),0)*($T$8+IF($C$10="",$T$9,0))</f>
        <v/>
      </c>
      <c r="BJ26">
        <f>IFERROR(INDEX(Y$13:Y$162,MATCH(14,$AG$13:$AG$162,0)),0)*($T$8+IF($C$10="",$T$9,0))</f>
        <v/>
      </c>
      <c r="BK26">
        <f>IFERROR(INDEX(Z$13:Z$162,MATCH(14,$AG$13:$AG$162,0)),0)*($T$8+IF($C$10="",$T$9,0))</f>
        <v/>
      </c>
      <c r="BL26">
        <f>IFERROR(INDEX(AA$13:AA$162,MATCH(14,$AG$13:$AG$162,0)),0)*($T$8+IF($C$10="",$T$9,0))</f>
        <v/>
      </c>
      <c r="BN26">
        <f>IF(13&lt;$U$9,INT(13/($U$7*$U$8))+1,1)</f>
        <v/>
      </c>
      <c r="BO26">
        <f>IF(13&lt;$U$9,MOD(INT(13/$U$8),$U$7)+1,1)</f>
        <v/>
      </c>
      <c r="BP26">
        <f>IF(13&lt;$U$9,MOD(13,$U$8)+1,1)</f>
        <v/>
      </c>
      <c r="BQ26">
        <f>IF(13&lt;$U$9,SUMPRODUCT(($D$10:$L$10&lt;&gt;"")*(($D$9:$L$9+INT(($S$12:$AA$12+INDEX($AJ$13:$AR$162,BN26,0)+INDEX($AT$13:$BB$162,BO26,0)+INDEX($BD$13:$BL$162,BP26,0))/100))&gt;=$D$10:$L$10)),0)</f>
        <v/>
      </c>
      <c r="BR26">
        <f>IF(13&lt;$U$9,SUMPRODUCT(($D$10:$L$10&lt;&gt;"")*(($D$10:$L$10-($D$9:$L$9+INT(($S$12:$AA$12+INDEX($AJ$13:$AR$162,BN26,0)+INDEX($AT$13:$BB$162,BO26,0)+INDEX($BD$13:$BL$162,BP26,0))/100)))&gt;0)*($D$10:$L$10-($D$9:$L$9+INT(($S$12:$AA$12+INDEX($AJ$13:$AR$162,BN26,0)+INDEX($AT$13:$BB$162,BO26,0)+INDEX($BD$13:$BL$162,BP26,0))/100)))),0)</f>
        <v/>
      </c>
      <c r="BS26">
        <f>IF(13&lt;$U$9,SUMPRODUCT(($D$9:$L$9+INT(($S$12:$AA$12+INDEX($AJ$13:$AR$162,BN26,0)+INDEX($AT$13:$BB$162,BO26,0)+INDEX($BD$13:$BL$162,BP26,0))/100))),0)</f>
        <v/>
      </c>
      <c r="BT26">
        <f>IF(AND(13&lt;$U$9,$W$5),BQ26*1000000-MIN(BR26,999)*1000+BS26-13/100000,-1000000000-13)</f>
        <v/>
      </c>
      <c r="BU26" t="inlineStr">
        <is>
          <t>sel</t>
        </is>
      </c>
      <c r="BV26">
        <f>IF($K$14="手动",0,IFERROR(VALUE(RIGHT($K$14,1)),1))</f>
        <v/>
      </c>
      <c r="BW26" t="inlineStr"/>
    </row>
    <row r="27">
      <c r="A27" s="11" t="inlineStr">
        <is>
          <t>阶段1</t>
        </is>
      </c>
      <c r="B27" s="15">
        <f>IF($BX27&gt;0,MAX($B$9,$BV27),"")</f>
        <v/>
      </c>
      <c r="C27" s="15">
        <f>IF($BX27&gt;0,$BW27,"")</f>
        <v/>
      </c>
      <c r="D27" s="15">
        <f>IF($BX27&gt;0,B27+$BX27,"")</f>
        <v/>
      </c>
      <c r="E27" s="15">
        <f>IF($BX27&gt;0,$BX27,"")</f>
        <v/>
      </c>
      <c r="F27" s="16">
        <f>IF($BX27&gt;0,"Lv"&amp;B27&amp;IF(B27=$B$9,IF(C27=$C$9," 以【"&amp;C27&amp;"】起步"," 立即转职为【"&amp;C27&amp;"】"),IF(C27=$BW$26," 继续【"&amp;C27&amp;"】"," 转职为【"&amp;C27&amp;"】"))&amp;"，在该职业升 "&amp;$BX27&amp;" 级 → Lv"&amp;D27,"")</f>
        <v/>
      </c>
      <c r="G27" s="17" t="n"/>
      <c r="H27" s="17" t="n"/>
      <c r="I27" s="17" t="n"/>
      <c r="J27" s="17" t="n"/>
      <c r="K27" s="17" t="n"/>
      <c r="L27" s="17" t="n"/>
      <c r="M27" s="17" t="n"/>
      <c r="P27">
        <f>IF('职业'!$C17="","",'职业'!$C17)</f>
        <v/>
      </c>
      <c r="Q27">
        <f>N('职业'!$D17)</f>
        <v/>
      </c>
      <c r="R27">
        <f>'职业'!$E17&amp;""</f>
        <v/>
      </c>
      <c r="S27">
        <f>IF($P27="",0,MAX(0,D$7+N('职业'!F17)))</f>
        <v/>
      </c>
      <c r="T27">
        <f>IF($P27="",0,MAX(0,E$7+N('职业'!G17)))</f>
        <v/>
      </c>
      <c r="U27">
        <f>IF($P27="",0,MAX(0,F$7+N('职业'!H17)))</f>
        <v/>
      </c>
      <c r="V27">
        <f>IF($P27="",0,MAX(0,G$7+N('职业'!I17)))</f>
        <v/>
      </c>
      <c r="W27">
        <f>IF($P27="",0,MAX(0,H$7+N('职业'!J17)))</f>
        <v/>
      </c>
      <c r="X27">
        <f>IF($P27="",0,MAX(0,I$7+N('职业'!K17)))</f>
        <v/>
      </c>
      <c r="Y27">
        <f>IF($P27="",0,MAX(0,J$7+N('职业'!L17)))</f>
        <v/>
      </c>
      <c r="Z27">
        <f>IF($P27="",0,MAX(0,K$7+N('职业'!M17)))</f>
        <v/>
      </c>
      <c r="AA27">
        <f>IF($P27="",0,MAX(0,L$7+N('职业'!N17)))</f>
        <v/>
      </c>
      <c r="AB27">
        <f>AND($P27&lt;&gt;"",IF($U$5=1,$P27=$C$10,OR($P27=$C$9,AND($R27="是",$Q27&lt;=MAX($B$9,$Q$6)))))</f>
        <v/>
      </c>
      <c r="AC27">
        <f>AND($P27&lt;&gt;"",IF($U$5=2,$P27=$C$10,OR($P27=$C$9,AND($R27="是",$Q27&lt;=MAX($B$9,$Q$7)))))</f>
        <v/>
      </c>
      <c r="AD27">
        <f>AND($P27&lt;&gt;"",IF($U$5=3,$P27=$C$10,OR($P27=$C$9,AND($R27="是",$Q27&lt;=MAX($B$9,$Q$8)))))</f>
        <v/>
      </c>
      <c r="AE27">
        <f>IF(AB27,COUNTIF(AB$13:AB27,TRUE),"")</f>
        <v/>
      </c>
      <c r="AF27">
        <f>IF(AC27,COUNTIF(AC$13:AC27,TRUE),"")</f>
        <v/>
      </c>
      <c r="AG27">
        <f>IF(AD27,COUNTIF(AD$13:AD27,TRUE),"")</f>
        <v/>
      </c>
      <c r="AI27">
        <f>IFERROR(INDEX($P$13:$P$162,MATCH(15,$AE$13:$AE$162,0)),"")</f>
        <v/>
      </c>
      <c r="AJ27">
        <f>IFERROR(INDEX(S$13:S$162,MATCH(15,$AE$13:$AE$162,0)),0)*$T$6</f>
        <v/>
      </c>
      <c r="AK27">
        <f>IFERROR(INDEX(T$13:T$162,MATCH(15,$AE$13:$AE$162,0)),0)*$T$6</f>
        <v/>
      </c>
      <c r="AL27">
        <f>IFERROR(INDEX(U$13:U$162,MATCH(15,$AE$13:$AE$162,0)),0)*$T$6</f>
        <v/>
      </c>
      <c r="AM27">
        <f>IFERROR(INDEX(V$13:V$162,MATCH(15,$AE$13:$AE$162,0)),0)*$T$6</f>
        <v/>
      </c>
      <c r="AN27">
        <f>IFERROR(INDEX(W$13:W$162,MATCH(15,$AE$13:$AE$162,0)),0)*$T$6</f>
        <v/>
      </c>
      <c r="AO27">
        <f>IFERROR(INDEX(X$13:X$162,MATCH(15,$AE$13:$AE$162,0)),0)*$T$6</f>
        <v/>
      </c>
      <c r="AP27">
        <f>IFERROR(INDEX(Y$13:Y$162,MATCH(15,$AE$13:$AE$162,0)),0)*$T$6</f>
        <v/>
      </c>
      <c r="AQ27">
        <f>IFERROR(INDEX(Z$13:Z$162,MATCH(15,$AE$13:$AE$162,0)),0)*$T$6</f>
        <v/>
      </c>
      <c r="AR27">
        <f>IFERROR(INDEX(AA$13:AA$162,MATCH(15,$AE$13:$AE$162,0)),0)*$T$6</f>
        <v/>
      </c>
      <c r="AS27">
        <f>IFERROR(INDEX($P$13:$P$162,MATCH(15,$AF$13:$AF$162,0)),"")</f>
        <v/>
      </c>
      <c r="AT27">
        <f>IFERROR(INDEX(S$13:S$162,MATCH(15,$AF$13:$AF$162,0)),0)*$T$7</f>
        <v/>
      </c>
      <c r="AU27">
        <f>IFERROR(INDEX(T$13:T$162,MATCH(15,$AF$13:$AF$162,0)),0)*$T$7</f>
        <v/>
      </c>
      <c r="AV27">
        <f>IFERROR(INDEX(U$13:U$162,MATCH(15,$AF$13:$AF$162,0)),0)*$T$7</f>
        <v/>
      </c>
      <c r="AW27">
        <f>IFERROR(INDEX(V$13:V$162,MATCH(15,$AF$13:$AF$162,0)),0)*$T$7</f>
        <v/>
      </c>
      <c r="AX27">
        <f>IFERROR(INDEX(W$13:W$162,MATCH(15,$AF$13:$AF$162,0)),0)*$T$7</f>
        <v/>
      </c>
      <c r="AY27">
        <f>IFERROR(INDEX(X$13:X$162,MATCH(15,$AF$13:$AF$162,0)),0)*$T$7</f>
        <v/>
      </c>
      <c r="AZ27">
        <f>IFERROR(INDEX(Y$13:Y$162,MATCH(15,$AF$13:$AF$162,0)),0)*$T$7</f>
        <v/>
      </c>
      <c r="BA27">
        <f>IFERROR(INDEX(Z$13:Z$162,MATCH(15,$AF$13:$AF$162,0)),0)*$T$7</f>
        <v/>
      </c>
      <c r="BB27">
        <f>IFERROR(INDEX(AA$13:AA$162,MATCH(15,$AF$13:$AF$162,0)),0)*$T$7</f>
        <v/>
      </c>
      <c r="BC27">
        <f>IFERROR(INDEX($P$13:$P$162,MATCH(15,$AG$13:$AG$162,0)),"")</f>
        <v/>
      </c>
      <c r="BD27">
        <f>IFERROR(INDEX(S$13:S$162,MATCH(15,$AG$13:$AG$162,0)),0)*($T$8+IF($C$10="",$T$9,0))</f>
        <v/>
      </c>
      <c r="BE27">
        <f>IFERROR(INDEX(T$13:T$162,MATCH(15,$AG$13:$AG$162,0)),0)*($T$8+IF($C$10="",$T$9,0))</f>
        <v/>
      </c>
      <c r="BF27">
        <f>IFERROR(INDEX(U$13:U$162,MATCH(15,$AG$13:$AG$162,0)),0)*($T$8+IF($C$10="",$T$9,0))</f>
        <v/>
      </c>
      <c r="BG27">
        <f>IFERROR(INDEX(V$13:V$162,MATCH(15,$AG$13:$AG$162,0)),0)*($T$8+IF($C$10="",$T$9,0))</f>
        <v/>
      </c>
      <c r="BH27">
        <f>IFERROR(INDEX(W$13:W$162,MATCH(15,$AG$13:$AG$162,0)),0)*($T$8+IF($C$10="",$T$9,0))</f>
        <v/>
      </c>
      <c r="BI27">
        <f>IFERROR(INDEX(X$13:X$162,MATCH(15,$AG$13:$AG$162,0)),0)*($T$8+IF($C$10="",$T$9,0))</f>
        <v/>
      </c>
      <c r="BJ27">
        <f>IFERROR(INDEX(Y$13:Y$162,MATCH(15,$AG$13:$AG$162,0)),0)*($T$8+IF($C$10="",$T$9,0))</f>
        <v/>
      </c>
      <c r="BK27">
        <f>IFERROR(INDEX(Z$13:Z$162,MATCH(15,$AG$13:$AG$162,0)),0)*($T$8+IF($C$10="",$T$9,0))</f>
        <v/>
      </c>
      <c r="BL27">
        <f>IFERROR(INDEX(AA$13:AA$162,MATCH(15,$AG$13:$AG$162,0)),0)*($T$8+IF($C$10="",$T$9,0))</f>
        <v/>
      </c>
      <c r="BN27">
        <f>IF(14&lt;$U$9,INT(14/($U$7*$U$8))+1,1)</f>
        <v/>
      </c>
      <c r="BO27">
        <f>IF(14&lt;$U$9,MOD(INT(14/$U$8),$U$7)+1,1)</f>
        <v/>
      </c>
      <c r="BP27">
        <f>IF(14&lt;$U$9,MOD(14,$U$8)+1,1)</f>
        <v/>
      </c>
      <c r="BQ27">
        <f>IF(14&lt;$U$9,SUMPRODUCT(($D$10:$L$10&lt;&gt;"")*(($D$9:$L$9+INT(($S$12:$AA$12+INDEX($AJ$13:$AR$162,BN27,0)+INDEX($AT$13:$BB$162,BO27,0)+INDEX($BD$13:$BL$162,BP27,0))/100))&gt;=$D$10:$L$10)),0)</f>
        <v/>
      </c>
      <c r="BR27">
        <f>IF(14&lt;$U$9,SUMPRODUCT(($D$10:$L$10&lt;&gt;"")*(($D$10:$L$10-($D$9:$L$9+INT(($S$12:$AA$12+INDEX($AJ$13:$AR$162,BN27,0)+INDEX($AT$13:$BB$162,BO27,0)+INDEX($BD$13:$BL$162,BP27,0))/100)))&gt;0)*($D$10:$L$10-($D$9:$L$9+INT(($S$12:$AA$12+INDEX($AJ$13:$AR$162,BN27,0)+INDEX($AT$13:$BB$162,BO27,0)+INDEX($BD$13:$BL$162,BP27,0))/100)))),0)</f>
        <v/>
      </c>
      <c r="BS27">
        <f>IF(14&lt;$U$9,SUMPRODUCT(($D$9:$L$9+INT(($S$12:$AA$12+INDEX($AJ$13:$AR$162,BN27,0)+INDEX($AT$13:$BB$162,BO27,0)+INDEX($BD$13:$BL$162,BP27,0))/100))),0)</f>
        <v/>
      </c>
      <c r="BT27">
        <f>IF(AND(14&lt;$U$9,$W$5),BQ27*1000000-MIN(BR27,999)*1000+BS27-14/100000,-1000000000-14)</f>
        <v/>
      </c>
      <c r="BV27">
        <f>IF($BV$26=0,BV43,$S$5)</f>
        <v/>
      </c>
      <c r="BW27">
        <f>IF($BV$26=0,BW43,INDEX(CA$19:CA$23,$BV$26))</f>
        <v/>
      </c>
      <c r="BX27">
        <f>IFERROR(MAX(0,MIN($B$10,BV28)-MAX($B$9,BV27)),0)</f>
        <v/>
      </c>
    </row>
    <row r="28">
      <c r="A28" s="11" t="inlineStr">
        <is>
          <t>阶段2</t>
        </is>
      </c>
      <c r="B28" s="15">
        <f>IF($BX28&gt;0,MAX($B$9,$BV28),"")</f>
        <v/>
      </c>
      <c r="C28" s="15">
        <f>IF($BX28&gt;0,$BW28,"")</f>
        <v/>
      </c>
      <c r="D28" s="15">
        <f>IF($BX28&gt;0,B28+$BX28,"")</f>
        <v/>
      </c>
      <c r="E28" s="15">
        <f>IF($BX28&gt;0,$BX28,"")</f>
        <v/>
      </c>
      <c r="F28" s="16">
        <f>IF($BX28&gt;0,"Lv"&amp;B28&amp;IF(B28=$B$9,IF(C28=$C$9," 以【"&amp;C28&amp;"】起步"," 立即转职为【"&amp;C28&amp;"】"),IF(C28=$BW27," 继续【"&amp;C28&amp;"】"," 转职为【"&amp;C28&amp;"】"))&amp;"，在该职业升 "&amp;$BX28&amp;" 级 → Lv"&amp;D28,"")</f>
        <v/>
      </c>
      <c r="G28" s="17" t="n"/>
      <c r="H28" s="17" t="n"/>
      <c r="I28" s="17" t="n"/>
      <c r="J28" s="17" t="n"/>
      <c r="K28" s="17" t="n"/>
      <c r="L28" s="17" t="n"/>
      <c r="M28" s="17" t="n"/>
      <c r="P28">
        <f>IF('职业'!$C18="","",'职业'!$C18)</f>
        <v/>
      </c>
      <c r="Q28">
        <f>N('职业'!$D18)</f>
        <v/>
      </c>
      <c r="R28">
        <f>'职业'!$E18&amp;""</f>
        <v/>
      </c>
      <c r="S28">
        <f>IF($P28="",0,MAX(0,D$7+N('职业'!F18)))</f>
        <v/>
      </c>
      <c r="T28">
        <f>IF($P28="",0,MAX(0,E$7+N('职业'!G18)))</f>
        <v/>
      </c>
      <c r="U28">
        <f>IF($P28="",0,MAX(0,F$7+N('职业'!H18)))</f>
        <v/>
      </c>
      <c r="V28">
        <f>IF($P28="",0,MAX(0,G$7+N('职业'!I18)))</f>
        <v/>
      </c>
      <c r="W28">
        <f>IF($P28="",0,MAX(0,H$7+N('职业'!J18)))</f>
        <v/>
      </c>
      <c r="X28">
        <f>IF($P28="",0,MAX(0,I$7+N('职业'!K18)))</f>
        <v/>
      </c>
      <c r="Y28">
        <f>IF($P28="",0,MAX(0,J$7+N('职业'!L18)))</f>
        <v/>
      </c>
      <c r="Z28">
        <f>IF($P28="",0,MAX(0,K$7+N('职业'!M18)))</f>
        <v/>
      </c>
      <c r="AA28">
        <f>IF($P28="",0,MAX(0,L$7+N('职业'!N18)))</f>
        <v/>
      </c>
      <c r="AB28">
        <f>AND($P28&lt;&gt;"",IF($U$5=1,$P28=$C$10,OR($P28=$C$9,AND($R28="是",$Q28&lt;=MAX($B$9,$Q$6)))))</f>
        <v/>
      </c>
      <c r="AC28">
        <f>AND($P28&lt;&gt;"",IF($U$5=2,$P28=$C$10,OR($P28=$C$9,AND($R28="是",$Q28&lt;=MAX($B$9,$Q$7)))))</f>
        <v/>
      </c>
      <c r="AD28">
        <f>AND($P28&lt;&gt;"",IF($U$5=3,$P28=$C$10,OR($P28=$C$9,AND($R28="是",$Q28&lt;=MAX($B$9,$Q$8)))))</f>
        <v/>
      </c>
      <c r="AE28">
        <f>IF(AB28,COUNTIF(AB$13:AB28,TRUE),"")</f>
        <v/>
      </c>
      <c r="AF28">
        <f>IF(AC28,COUNTIF(AC$13:AC28,TRUE),"")</f>
        <v/>
      </c>
      <c r="AG28">
        <f>IF(AD28,COUNTIF(AD$13:AD28,TRUE),"")</f>
        <v/>
      </c>
      <c r="AI28">
        <f>IFERROR(INDEX($P$13:$P$162,MATCH(16,$AE$13:$AE$162,0)),"")</f>
        <v/>
      </c>
      <c r="AJ28">
        <f>IFERROR(INDEX(S$13:S$162,MATCH(16,$AE$13:$AE$162,0)),0)*$T$6</f>
        <v/>
      </c>
      <c r="AK28">
        <f>IFERROR(INDEX(T$13:T$162,MATCH(16,$AE$13:$AE$162,0)),0)*$T$6</f>
        <v/>
      </c>
      <c r="AL28">
        <f>IFERROR(INDEX(U$13:U$162,MATCH(16,$AE$13:$AE$162,0)),0)*$T$6</f>
        <v/>
      </c>
      <c r="AM28">
        <f>IFERROR(INDEX(V$13:V$162,MATCH(16,$AE$13:$AE$162,0)),0)*$T$6</f>
        <v/>
      </c>
      <c r="AN28">
        <f>IFERROR(INDEX(W$13:W$162,MATCH(16,$AE$13:$AE$162,0)),0)*$T$6</f>
        <v/>
      </c>
      <c r="AO28">
        <f>IFERROR(INDEX(X$13:X$162,MATCH(16,$AE$13:$AE$162,0)),0)*$T$6</f>
        <v/>
      </c>
      <c r="AP28">
        <f>IFERROR(INDEX(Y$13:Y$162,MATCH(16,$AE$13:$AE$162,0)),0)*$T$6</f>
        <v/>
      </c>
      <c r="AQ28">
        <f>IFERROR(INDEX(Z$13:Z$162,MATCH(16,$AE$13:$AE$162,0)),0)*$T$6</f>
        <v/>
      </c>
      <c r="AR28">
        <f>IFERROR(INDEX(AA$13:AA$162,MATCH(16,$AE$13:$AE$162,0)),0)*$T$6</f>
        <v/>
      </c>
      <c r="AS28">
        <f>IFERROR(INDEX($P$13:$P$162,MATCH(16,$AF$13:$AF$162,0)),"")</f>
        <v/>
      </c>
      <c r="AT28">
        <f>IFERROR(INDEX(S$13:S$162,MATCH(16,$AF$13:$AF$162,0)),0)*$T$7</f>
        <v/>
      </c>
      <c r="AU28">
        <f>IFERROR(INDEX(T$13:T$162,MATCH(16,$AF$13:$AF$162,0)),0)*$T$7</f>
        <v/>
      </c>
      <c r="AV28">
        <f>IFERROR(INDEX(U$13:U$162,MATCH(16,$AF$13:$AF$162,0)),0)*$T$7</f>
        <v/>
      </c>
      <c r="AW28">
        <f>IFERROR(INDEX(V$13:V$162,MATCH(16,$AF$13:$AF$162,0)),0)*$T$7</f>
        <v/>
      </c>
      <c r="AX28">
        <f>IFERROR(INDEX(W$13:W$162,MATCH(16,$AF$13:$AF$162,0)),0)*$T$7</f>
        <v/>
      </c>
      <c r="AY28">
        <f>IFERROR(INDEX(X$13:X$162,MATCH(16,$AF$13:$AF$162,0)),0)*$T$7</f>
        <v/>
      </c>
      <c r="AZ28">
        <f>IFERROR(INDEX(Y$13:Y$162,MATCH(16,$AF$13:$AF$162,0)),0)*$T$7</f>
        <v/>
      </c>
      <c r="BA28">
        <f>IFERROR(INDEX(Z$13:Z$162,MATCH(16,$AF$13:$AF$162,0)),0)*$T$7</f>
        <v/>
      </c>
      <c r="BB28">
        <f>IFERROR(INDEX(AA$13:AA$162,MATCH(16,$AF$13:$AF$162,0)),0)*$T$7</f>
        <v/>
      </c>
      <c r="BC28">
        <f>IFERROR(INDEX($P$13:$P$162,MATCH(16,$AG$13:$AG$162,0)),"")</f>
        <v/>
      </c>
      <c r="BD28">
        <f>IFERROR(INDEX(S$13:S$162,MATCH(16,$AG$13:$AG$162,0)),0)*($T$8+IF($C$10="",$T$9,0))</f>
        <v/>
      </c>
      <c r="BE28">
        <f>IFERROR(INDEX(T$13:T$162,MATCH(16,$AG$13:$AG$162,0)),0)*($T$8+IF($C$10="",$T$9,0))</f>
        <v/>
      </c>
      <c r="BF28">
        <f>IFERROR(INDEX(U$13:U$162,MATCH(16,$AG$13:$AG$162,0)),0)*($T$8+IF($C$10="",$T$9,0))</f>
        <v/>
      </c>
      <c r="BG28">
        <f>IFERROR(INDEX(V$13:V$162,MATCH(16,$AG$13:$AG$162,0)),0)*($T$8+IF($C$10="",$T$9,0))</f>
        <v/>
      </c>
      <c r="BH28">
        <f>IFERROR(INDEX(W$13:W$162,MATCH(16,$AG$13:$AG$162,0)),0)*($T$8+IF($C$10="",$T$9,0))</f>
        <v/>
      </c>
      <c r="BI28">
        <f>IFERROR(INDEX(X$13:X$162,MATCH(16,$AG$13:$AG$162,0)),0)*($T$8+IF($C$10="",$T$9,0))</f>
        <v/>
      </c>
      <c r="BJ28">
        <f>IFERROR(INDEX(Y$13:Y$162,MATCH(16,$AG$13:$AG$162,0)),0)*($T$8+IF($C$10="",$T$9,0))</f>
        <v/>
      </c>
      <c r="BK28">
        <f>IFERROR(INDEX(Z$13:Z$162,MATCH(16,$AG$13:$AG$162,0)),0)*($T$8+IF($C$10="",$T$9,0))</f>
        <v/>
      </c>
      <c r="BL28">
        <f>IFERROR(INDEX(AA$13:AA$162,MATCH(16,$AG$13:$AG$162,0)),0)*($T$8+IF($C$10="",$T$9,0))</f>
        <v/>
      </c>
      <c r="BN28">
        <f>IF(15&lt;$U$9,INT(15/($U$7*$U$8))+1,1)</f>
        <v/>
      </c>
      <c r="BO28">
        <f>IF(15&lt;$U$9,MOD(INT(15/$U$8),$U$7)+1,1)</f>
        <v/>
      </c>
      <c r="BP28">
        <f>IF(15&lt;$U$9,MOD(15,$U$8)+1,1)</f>
        <v/>
      </c>
      <c r="BQ28">
        <f>IF(15&lt;$U$9,SUMPRODUCT(($D$10:$L$10&lt;&gt;"")*(($D$9:$L$9+INT(($S$12:$AA$12+INDEX($AJ$13:$AR$162,BN28,0)+INDEX($AT$13:$BB$162,BO28,0)+INDEX($BD$13:$BL$162,BP28,0))/100))&gt;=$D$10:$L$10)),0)</f>
        <v/>
      </c>
      <c r="BR28">
        <f>IF(15&lt;$U$9,SUMPRODUCT(($D$10:$L$10&lt;&gt;"")*(($D$10:$L$10-($D$9:$L$9+INT(($S$12:$AA$12+INDEX($AJ$13:$AR$162,BN28,0)+INDEX($AT$13:$BB$162,BO28,0)+INDEX($BD$13:$BL$162,BP28,0))/100)))&gt;0)*($D$10:$L$10-($D$9:$L$9+INT(($S$12:$AA$12+INDEX($AJ$13:$AR$162,BN28,0)+INDEX($AT$13:$BB$162,BO28,0)+INDEX($BD$13:$BL$162,BP28,0))/100)))),0)</f>
        <v/>
      </c>
      <c r="BS28">
        <f>IF(15&lt;$U$9,SUMPRODUCT(($D$9:$L$9+INT(($S$12:$AA$12+INDEX($AJ$13:$AR$162,BN28,0)+INDEX($AT$13:$BB$162,BO28,0)+INDEX($BD$13:$BL$162,BP28,0))/100))),0)</f>
        <v/>
      </c>
      <c r="BT28">
        <f>IF(AND(15&lt;$U$9,$W$5),BQ28*1000000-MIN(BR28,999)*1000+BS28-15/100000,-1000000000-15)</f>
        <v/>
      </c>
      <c r="BV28">
        <f>IF($BV$26=0,BV44,$S$6)</f>
        <v/>
      </c>
      <c r="BW28">
        <f>IF($BV$26=0,BW44,INDEX(CB$19:CB$23,$BV$26))</f>
        <v/>
      </c>
      <c r="BX28">
        <f>IFERROR(MAX(0,MIN($B$10,BV29)-MAX($B$9,BV28)),0)</f>
        <v/>
      </c>
    </row>
    <row r="29">
      <c r="A29" s="11" t="inlineStr">
        <is>
          <t>阶段3</t>
        </is>
      </c>
      <c r="B29" s="15">
        <f>IF($BX29&gt;0,MAX($B$9,$BV29),"")</f>
        <v/>
      </c>
      <c r="C29" s="15">
        <f>IF($BX29&gt;0,$BW29,"")</f>
        <v/>
      </c>
      <c r="D29" s="15">
        <f>IF($BX29&gt;0,B29+$BX29,"")</f>
        <v/>
      </c>
      <c r="E29" s="15">
        <f>IF($BX29&gt;0,$BX29,"")</f>
        <v/>
      </c>
      <c r="F29" s="16">
        <f>IF($BX29&gt;0,"Lv"&amp;B29&amp;IF(B29=$B$9,IF(C29=$C$9," 以【"&amp;C29&amp;"】起步"," 立即转职为【"&amp;C29&amp;"】"),IF(C29=$BW28," 继续【"&amp;C29&amp;"】"," 转职为【"&amp;C29&amp;"】"))&amp;"，在该职业升 "&amp;$BX29&amp;" 级 → Lv"&amp;D29,"")</f>
        <v/>
      </c>
      <c r="G29" s="17" t="n"/>
      <c r="H29" s="17" t="n"/>
      <c r="I29" s="17" t="n"/>
      <c r="J29" s="17" t="n"/>
      <c r="K29" s="17" t="n"/>
      <c r="L29" s="17" t="n"/>
      <c r="M29" s="17" t="n"/>
      <c r="P29">
        <f>IF('职业'!$C19="","",'职业'!$C19)</f>
        <v/>
      </c>
      <c r="Q29">
        <f>N('职业'!$D19)</f>
        <v/>
      </c>
      <c r="R29">
        <f>'职业'!$E19&amp;""</f>
        <v/>
      </c>
      <c r="S29">
        <f>IF($P29="",0,MAX(0,D$7+N('职业'!F19)))</f>
        <v/>
      </c>
      <c r="T29">
        <f>IF($P29="",0,MAX(0,E$7+N('职业'!G19)))</f>
        <v/>
      </c>
      <c r="U29">
        <f>IF($P29="",0,MAX(0,F$7+N('职业'!H19)))</f>
        <v/>
      </c>
      <c r="V29">
        <f>IF($P29="",0,MAX(0,G$7+N('职业'!I19)))</f>
        <v/>
      </c>
      <c r="W29">
        <f>IF($P29="",0,MAX(0,H$7+N('职业'!J19)))</f>
        <v/>
      </c>
      <c r="X29">
        <f>IF($P29="",0,MAX(0,I$7+N('职业'!K19)))</f>
        <v/>
      </c>
      <c r="Y29">
        <f>IF($P29="",0,MAX(0,J$7+N('职业'!L19)))</f>
        <v/>
      </c>
      <c r="Z29">
        <f>IF($P29="",0,MAX(0,K$7+N('职业'!M19)))</f>
        <v/>
      </c>
      <c r="AA29">
        <f>IF($P29="",0,MAX(0,L$7+N('职业'!N19)))</f>
        <v/>
      </c>
      <c r="AB29">
        <f>AND($P29&lt;&gt;"",IF($U$5=1,$P29=$C$10,OR($P29=$C$9,AND($R29="是",$Q29&lt;=MAX($B$9,$Q$6)))))</f>
        <v/>
      </c>
      <c r="AC29">
        <f>AND($P29&lt;&gt;"",IF($U$5=2,$P29=$C$10,OR($P29=$C$9,AND($R29="是",$Q29&lt;=MAX($B$9,$Q$7)))))</f>
        <v/>
      </c>
      <c r="AD29">
        <f>AND($P29&lt;&gt;"",IF($U$5=3,$P29=$C$10,OR($P29=$C$9,AND($R29="是",$Q29&lt;=MAX($B$9,$Q$8)))))</f>
        <v/>
      </c>
      <c r="AE29">
        <f>IF(AB29,COUNTIF(AB$13:AB29,TRUE),"")</f>
        <v/>
      </c>
      <c r="AF29">
        <f>IF(AC29,COUNTIF(AC$13:AC29,TRUE),"")</f>
        <v/>
      </c>
      <c r="AG29">
        <f>IF(AD29,COUNTIF(AD$13:AD29,TRUE),"")</f>
        <v/>
      </c>
      <c r="AI29">
        <f>IFERROR(INDEX($P$13:$P$162,MATCH(17,$AE$13:$AE$162,0)),"")</f>
        <v/>
      </c>
      <c r="AJ29">
        <f>IFERROR(INDEX(S$13:S$162,MATCH(17,$AE$13:$AE$162,0)),0)*$T$6</f>
        <v/>
      </c>
      <c r="AK29">
        <f>IFERROR(INDEX(T$13:T$162,MATCH(17,$AE$13:$AE$162,0)),0)*$T$6</f>
        <v/>
      </c>
      <c r="AL29">
        <f>IFERROR(INDEX(U$13:U$162,MATCH(17,$AE$13:$AE$162,0)),0)*$T$6</f>
        <v/>
      </c>
      <c r="AM29">
        <f>IFERROR(INDEX(V$13:V$162,MATCH(17,$AE$13:$AE$162,0)),0)*$T$6</f>
        <v/>
      </c>
      <c r="AN29">
        <f>IFERROR(INDEX(W$13:W$162,MATCH(17,$AE$13:$AE$162,0)),0)*$T$6</f>
        <v/>
      </c>
      <c r="AO29">
        <f>IFERROR(INDEX(X$13:X$162,MATCH(17,$AE$13:$AE$162,0)),0)*$T$6</f>
        <v/>
      </c>
      <c r="AP29">
        <f>IFERROR(INDEX(Y$13:Y$162,MATCH(17,$AE$13:$AE$162,0)),0)*$T$6</f>
        <v/>
      </c>
      <c r="AQ29">
        <f>IFERROR(INDEX(Z$13:Z$162,MATCH(17,$AE$13:$AE$162,0)),0)*$T$6</f>
        <v/>
      </c>
      <c r="AR29">
        <f>IFERROR(INDEX(AA$13:AA$162,MATCH(17,$AE$13:$AE$162,0)),0)*$T$6</f>
        <v/>
      </c>
      <c r="AS29">
        <f>IFERROR(INDEX($P$13:$P$162,MATCH(17,$AF$13:$AF$162,0)),"")</f>
        <v/>
      </c>
      <c r="AT29">
        <f>IFERROR(INDEX(S$13:S$162,MATCH(17,$AF$13:$AF$162,0)),0)*$T$7</f>
        <v/>
      </c>
      <c r="AU29">
        <f>IFERROR(INDEX(T$13:T$162,MATCH(17,$AF$13:$AF$162,0)),0)*$T$7</f>
        <v/>
      </c>
      <c r="AV29">
        <f>IFERROR(INDEX(U$13:U$162,MATCH(17,$AF$13:$AF$162,0)),0)*$T$7</f>
        <v/>
      </c>
      <c r="AW29">
        <f>IFERROR(INDEX(V$13:V$162,MATCH(17,$AF$13:$AF$162,0)),0)*$T$7</f>
        <v/>
      </c>
      <c r="AX29">
        <f>IFERROR(INDEX(W$13:W$162,MATCH(17,$AF$13:$AF$162,0)),0)*$T$7</f>
        <v/>
      </c>
      <c r="AY29">
        <f>IFERROR(INDEX(X$13:X$162,MATCH(17,$AF$13:$AF$162,0)),0)*$T$7</f>
        <v/>
      </c>
      <c r="AZ29">
        <f>IFERROR(INDEX(Y$13:Y$162,MATCH(17,$AF$13:$AF$162,0)),0)*$T$7</f>
        <v/>
      </c>
      <c r="BA29">
        <f>IFERROR(INDEX(Z$13:Z$162,MATCH(17,$AF$13:$AF$162,0)),0)*$T$7</f>
        <v/>
      </c>
      <c r="BB29">
        <f>IFERROR(INDEX(AA$13:AA$162,MATCH(17,$AF$13:$AF$162,0)),0)*$T$7</f>
        <v/>
      </c>
      <c r="BC29">
        <f>IFERROR(INDEX($P$13:$P$162,MATCH(17,$AG$13:$AG$162,0)),"")</f>
        <v/>
      </c>
      <c r="BD29">
        <f>IFERROR(INDEX(S$13:S$162,MATCH(17,$AG$13:$AG$162,0)),0)*($T$8+IF($C$10="",$T$9,0))</f>
        <v/>
      </c>
      <c r="BE29">
        <f>IFERROR(INDEX(T$13:T$162,MATCH(17,$AG$13:$AG$162,0)),0)*($T$8+IF($C$10="",$T$9,0))</f>
        <v/>
      </c>
      <c r="BF29">
        <f>IFERROR(INDEX(U$13:U$162,MATCH(17,$AG$13:$AG$162,0)),0)*($T$8+IF($C$10="",$T$9,0))</f>
        <v/>
      </c>
      <c r="BG29">
        <f>IFERROR(INDEX(V$13:V$162,MATCH(17,$AG$13:$AG$162,0)),0)*($T$8+IF($C$10="",$T$9,0))</f>
        <v/>
      </c>
      <c r="BH29">
        <f>IFERROR(INDEX(W$13:W$162,MATCH(17,$AG$13:$AG$162,0)),0)*($T$8+IF($C$10="",$T$9,0))</f>
        <v/>
      </c>
      <c r="BI29">
        <f>IFERROR(INDEX(X$13:X$162,MATCH(17,$AG$13:$AG$162,0)),0)*($T$8+IF($C$10="",$T$9,0))</f>
        <v/>
      </c>
      <c r="BJ29">
        <f>IFERROR(INDEX(Y$13:Y$162,MATCH(17,$AG$13:$AG$162,0)),0)*($T$8+IF($C$10="",$T$9,0))</f>
        <v/>
      </c>
      <c r="BK29">
        <f>IFERROR(INDEX(Z$13:Z$162,MATCH(17,$AG$13:$AG$162,0)),0)*($T$8+IF($C$10="",$T$9,0))</f>
        <v/>
      </c>
      <c r="BL29">
        <f>IFERROR(INDEX(AA$13:AA$162,MATCH(17,$AG$13:$AG$162,0)),0)*($T$8+IF($C$10="",$T$9,0))</f>
        <v/>
      </c>
      <c r="BN29">
        <f>IF(16&lt;$U$9,INT(16/($U$7*$U$8))+1,1)</f>
        <v/>
      </c>
      <c r="BO29">
        <f>IF(16&lt;$U$9,MOD(INT(16/$U$8),$U$7)+1,1)</f>
        <v/>
      </c>
      <c r="BP29">
        <f>IF(16&lt;$U$9,MOD(16,$U$8)+1,1)</f>
        <v/>
      </c>
      <c r="BQ29">
        <f>IF(16&lt;$U$9,SUMPRODUCT(($D$10:$L$10&lt;&gt;"")*(($D$9:$L$9+INT(($S$12:$AA$12+INDEX($AJ$13:$AR$162,BN29,0)+INDEX($AT$13:$BB$162,BO29,0)+INDEX($BD$13:$BL$162,BP29,0))/100))&gt;=$D$10:$L$10)),0)</f>
        <v/>
      </c>
      <c r="BR29">
        <f>IF(16&lt;$U$9,SUMPRODUCT(($D$10:$L$10&lt;&gt;"")*(($D$10:$L$10-($D$9:$L$9+INT(($S$12:$AA$12+INDEX($AJ$13:$AR$162,BN29,0)+INDEX($AT$13:$BB$162,BO29,0)+INDEX($BD$13:$BL$162,BP29,0))/100)))&gt;0)*($D$10:$L$10-($D$9:$L$9+INT(($S$12:$AA$12+INDEX($AJ$13:$AR$162,BN29,0)+INDEX($AT$13:$BB$162,BO29,0)+INDEX($BD$13:$BL$162,BP29,0))/100)))),0)</f>
        <v/>
      </c>
      <c r="BS29">
        <f>IF(16&lt;$U$9,SUMPRODUCT(($D$9:$L$9+INT(($S$12:$AA$12+INDEX($AJ$13:$AR$162,BN29,0)+INDEX($AT$13:$BB$162,BO29,0)+INDEX($BD$13:$BL$162,BP29,0))/100))),0)</f>
        <v/>
      </c>
      <c r="BT29">
        <f>IF(AND(16&lt;$U$9,$W$5),BQ29*1000000-MIN(BR29,999)*1000+BS29-16/100000,-1000000000-16)</f>
        <v/>
      </c>
      <c r="BV29">
        <f>IF($BV$26=0,BV45,$S$7)</f>
        <v/>
      </c>
      <c r="BW29">
        <f>IF($BV$26=0,BW45,INDEX(CC$19:CC$23,$BV$26))</f>
        <v/>
      </c>
      <c r="BX29">
        <f>IFERROR(MAX(0,MIN($B$10,BV30)-MAX($B$9,BV29)),0)</f>
        <v/>
      </c>
    </row>
    <row r="30">
      <c r="A30" s="11" t="inlineStr">
        <is>
          <t>阶段4</t>
        </is>
      </c>
      <c r="B30" s="15">
        <f>IF($BX30&gt;0,MAX($B$9,$BV30),"")</f>
        <v/>
      </c>
      <c r="C30" s="15">
        <f>IF($BX30&gt;0,$BW30,"")</f>
        <v/>
      </c>
      <c r="D30" s="15">
        <f>IF($BX30&gt;0,B30+$BX30,"")</f>
        <v/>
      </c>
      <c r="E30" s="15">
        <f>IF($BX30&gt;0,$BX30,"")</f>
        <v/>
      </c>
      <c r="F30" s="16">
        <f>IF($BX30&gt;0,"Lv"&amp;B30&amp;IF(B30=$B$9,IF(C30=$C$9," 以【"&amp;C30&amp;"】起步"," 立即转职为【"&amp;C30&amp;"】"),IF(C30=$BW29," 继续【"&amp;C30&amp;"】"," 转职为【"&amp;C30&amp;"】"))&amp;"，在该职业升 "&amp;$BX30&amp;" 级 → Lv"&amp;D30,"")</f>
        <v/>
      </c>
      <c r="G30" s="17" t="n"/>
      <c r="H30" s="17" t="n"/>
      <c r="I30" s="17" t="n"/>
      <c r="J30" s="17" t="n"/>
      <c r="K30" s="17" t="n"/>
      <c r="L30" s="17" t="n"/>
      <c r="M30" s="17" t="n"/>
      <c r="P30">
        <f>IF('职业'!$C20="","",'职业'!$C20)</f>
        <v/>
      </c>
      <c r="Q30">
        <f>N('职业'!$D20)</f>
        <v/>
      </c>
      <c r="R30">
        <f>'职业'!$E20&amp;""</f>
        <v/>
      </c>
      <c r="S30">
        <f>IF($P30="",0,MAX(0,D$7+N('职业'!F20)))</f>
        <v/>
      </c>
      <c r="T30">
        <f>IF($P30="",0,MAX(0,E$7+N('职业'!G20)))</f>
        <v/>
      </c>
      <c r="U30">
        <f>IF($P30="",0,MAX(0,F$7+N('职业'!H20)))</f>
        <v/>
      </c>
      <c r="V30">
        <f>IF($P30="",0,MAX(0,G$7+N('职业'!I20)))</f>
        <v/>
      </c>
      <c r="W30">
        <f>IF($P30="",0,MAX(0,H$7+N('职业'!J20)))</f>
        <v/>
      </c>
      <c r="X30">
        <f>IF($P30="",0,MAX(0,I$7+N('职业'!K20)))</f>
        <v/>
      </c>
      <c r="Y30">
        <f>IF($P30="",0,MAX(0,J$7+N('职业'!L20)))</f>
        <v/>
      </c>
      <c r="Z30">
        <f>IF($P30="",0,MAX(0,K$7+N('职业'!M20)))</f>
        <v/>
      </c>
      <c r="AA30">
        <f>IF($P30="",0,MAX(0,L$7+N('职业'!N20)))</f>
        <v/>
      </c>
      <c r="AB30">
        <f>AND($P30&lt;&gt;"",IF($U$5=1,$P30=$C$10,OR($P30=$C$9,AND($R30="是",$Q30&lt;=MAX($B$9,$Q$6)))))</f>
        <v/>
      </c>
      <c r="AC30">
        <f>AND($P30&lt;&gt;"",IF($U$5=2,$P30=$C$10,OR($P30=$C$9,AND($R30="是",$Q30&lt;=MAX($B$9,$Q$7)))))</f>
        <v/>
      </c>
      <c r="AD30">
        <f>AND($P30&lt;&gt;"",IF($U$5=3,$P30=$C$10,OR($P30=$C$9,AND($R30="是",$Q30&lt;=MAX($B$9,$Q$8)))))</f>
        <v/>
      </c>
      <c r="AE30">
        <f>IF(AB30,COUNTIF(AB$13:AB30,TRUE),"")</f>
        <v/>
      </c>
      <c r="AF30">
        <f>IF(AC30,COUNTIF(AC$13:AC30,TRUE),"")</f>
        <v/>
      </c>
      <c r="AG30">
        <f>IF(AD30,COUNTIF(AD$13:AD30,TRUE),"")</f>
        <v/>
      </c>
      <c r="AI30">
        <f>IFERROR(INDEX($P$13:$P$162,MATCH(18,$AE$13:$AE$162,0)),"")</f>
        <v/>
      </c>
      <c r="AJ30">
        <f>IFERROR(INDEX(S$13:S$162,MATCH(18,$AE$13:$AE$162,0)),0)*$T$6</f>
        <v/>
      </c>
      <c r="AK30">
        <f>IFERROR(INDEX(T$13:T$162,MATCH(18,$AE$13:$AE$162,0)),0)*$T$6</f>
        <v/>
      </c>
      <c r="AL30">
        <f>IFERROR(INDEX(U$13:U$162,MATCH(18,$AE$13:$AE$162,0)),0)*$T$6</f>
        <v/>
      </c>
      <c r="AM30">
        <f>IFERROR(INDEX(V$13:V$162,MATCH(18,$AE$13:$AE$162,0)),0)*$T$6</f>
        <v/>
      </c>
      <c r="AN30">
        <f>IFERROR(INDEX(W$13:W$162,MATCH(18,$AE$13:$AE$162,0)),0)*$T$6</f>
        <v/>
      </c>
      <c r="AO30">
        <f>IFERROR(INDEX(X$13:X$162,MATCH(18,$AE$13:$AE$162,0)),0)*$T$6</f>
        <v/>
      </c>
      <c r="AP30">
        <f>IFERROR(INDEX(Y$13:Y$162,MATCH(18,$AE$13:$AE$162,0)),0)*$T$6</f>
        <v/>
      </c>
      <c r="AQ30">
        <f>IFERROR(INDEX(Z$13:Z$162,MATCH(18,$AE$13:$AE$162,0)),0)*$T$6</f>
        <v/>
      </c>
      <c r="AR30">
        <f>IFERROR(INDEX(AA$13:AA$162,MATCH(18,$AE$13:$AE$162,0)),0)*$T$6</f>
        <v/>
      </c>
      <c r="AS30">
        <f>IFERROR(INDEX($P$13:$P$162,MATCH(18,$AF$13:$AF$162,0)),"")</f>
        <v/>
      </c>
      <c r="AT30">
        <f>IFERROR(INDEX(S$13:S$162,MATCH(18,$AF$13:$AF$162,0)),0)*$T$7</f>
        <v/>
      </c>
      <c r="AU30">
        <f>IFERROR(INDEX(T$13:T$162,MATCH(18,$AF$13:$AF$162,0)),0)*$T$7</f>
        <v/>
      </c>
      <c r="AV30">
        <f>IFERROR(INDEX(U$13:U$162,MATCH(18,$AF$13:$AF$162,0)),0)*$T$7</f>
        <v/>
      </c>
      <c r="AW30">
        <f>IFERROR(INDEX(V$13:V$162,MATCH(18,$AF$13:$AF$162,0)),0)*$T$7</f>
        <v/>
      </c>
      <c r="AX30">
        <f>IFERROR(INDEX(W$13:W$162,MATCH(18,$AF$13:$AF$162,0)),0)*$T$7</f>
        <v/>
      </c>
      <c r="AY30">
        <f>IFERROR(INDEX(X$13:X$162,MATCH(18,$AF$13:$AF$162,0)),0)*$T$7</f>
        <v/>
      </c>
      <c r="AZ30">
        <f>IFERROR(INDEX(Y$13:Y$162,MATCH(18,$AF$13:$AF$162,0)),0)*$T$7</f>
        <v/>
      </c>
      <c r="BA30">
        <f>IFERROR(INDEX(Z$13:Z$162,MATCH(18,$AF$13:$AF$162,0)),0)*$T$7</f>
        <v/>
      </c>
      <c r="BB30">
        <f>IFERROR(INDEX(AA$13:AA$162,MATCH(18,$AF$13:$AF$162,0)),0)*$T$7</f>
        <v/>
      </c>
      <c r="BC30">
        <f>IFERROR(INDEX($P$13:$P$162,MATCH(18,$AG$13:$AG$162,0)),"")</f>
        <v/>
      </c>
      <c r="BD30">
        <f>IFERROR(INDEX(S$13:S$162,MATCH(18,$AG$13:$AG$162,0)),0)*($T$8+IF($C$10="",$T$9,0))</f>
        <v/>
      </c>
      <c r="BE30">
        <f>IFERROR(INDEX(T$13:T$162,MATCH(18,$AG$13:$AG$162,0)),0)*($T$8+IF($C$10="",$T$9,0))</f>
        <v/>
      </c>
      <c r="BF30">
        <f>IFERROR(INDEX(U$13:U$162,MATCH(18,$AG$13:$AG$162,0)),0)*($T$8+IF($C$10="",$T$9,0))</f>
        <v/>
      </c>
      <c r="BG30">
        <f>IFERROR(INDEX(V$13:V$162,MATCH(18,$AG$13:$AG$162,0)),0)*($T$8+IF($C$10="",$T$9,0))</f>
        <v/>
      </c>
      <c r="BH30">
        <f>IFERROR(INDEX(W$13:W$162,MATCH(18,$AG$13:$AG$162,0)),0)*($T$8+IF($C$10="",$T$9,0))</f>
        <v/>
      </c>
      <c r="BI30">
        <f>IFERROR(INDEX(X$13:X$162,MATCH(18,$AG$13:$AG$162,0)),0)*($T$8+IF($C$10="",$T$9,0))</f>
        <v/>
      </c>
      <c r="BJ30">
        <f>IFERROR(INDEX(Y$13:Y$162,MATCH(18,$AG$13:$AG$162,0)),0)*($T$8+IF($C$10="",$T$9,0))</f>
        <v/>
      </c>
      <c r="BK30">
        <f>IFERROR(INDEX(Z$13:Z$162,MATCH(18,$AG$13:$AG$162,0)),0)*($T$8+IF($C$10="",$T$9,0))</f>
        <v/>
      </c>
      <c r="BL30">
        <f>IFERROR(INDEX(AA$13:AA$162,MATCH(18,$AG$13:$AG$162,0)),0)*($T$8+IF($C$10="",$T$9,0))</f>
        <v/>
      </c>
      <c r="BN30">
        <f>IF(17&lt;$U$9,INT(17/($U$7*$U$8))+1,1)</f>
        <v/>
      </c>
      <c r="BO30">
        <f>IF(17&lt;$U$9,MOD(INT(17/$U$8),$U$7)+1,1)</f>
        <v/>
      </c>
      <c r="BP30">
        <f>IF(17&lt;$U$9,MOD(17,$U$8)+1,1)</f>
        <v/>
      </c>
      <c r="BQ30">
        <f>IF(17&lt;$U$9,SUMPRODUCT(($D$10:$L$10&lt;&gt;"")*(($D$9:$L$9+INT(($S$12:$AA$12+INDEX($AJ$13:$AR$162,BN30,0)+INDEX($AT$13:$BB$162,BO30,0)+INDEX($BD$13:$BL$162,BP30,0))/100))&gt;=$D$10:$L$10)),0)</f>
        <v/>
      </c>
      <c r="BR30">
        <f>IF(17&lt;$U$9,SUMPRODUCT(($D$10:$L$10&lt;&gt;"")*(($D$10:$L$10-($D$9:$L$9+INT(($S$12:$AA$12+INDEX($AJ$13:$AR$162,BN30,0)+INDEX($AT$13:$BB$162,BO30,0)+INDEX($BD$13:$BL$162,BP30,0))/100)))&gt;0)*($D$10:$L$10-($D$9:$L$9+INT(($S$12:$AA$12+INDEX($AJ$13:$AR$162,BN30,0)+INDEX($AT$13:$BB$162,BO30,0)+INDEX($BD$13:$BL$162,BP30,0))/100)))),0)</f>
        <v/>
      </c>
      <c r="BS30">
        <f>IF(17&lt;$U$9,SUMPRODUCT(($D$9:$L$9+INT(($S$12:$AA$12+INDEX($AJ$13:$AR$162,BN30,0)+INDEX($AT$13:$BB$162,BO30,0)+INDEX($BD$13:$BL$162,BP30,0))/100))),0)</f>
        <v/>
      </c>
      <c r="BT30">
        <f>IF(AND(17&lt;$U$9,$W$5),BQ30*1000000-MIN(BR30,999)*1000+BS30-17/100000,-1000000000-17)</f>
        <v/>
      </c>
      <c r="BV30">
        <f>IF($BV$26=0,BV46,$S$8)</f>
        <v/>
      </c>
      <c r="BW30">
        <f>IF($BV$26=0,BW46,INDEX(CD$19:CD$23,$BV$26))</f>
        <v/>
      </c>
      <c r="BX30">
        <f>IFERROR(MAX(0,MIN($B$10,BV31)-MAX($B$9,BV30)),0)</f>
        <v/>
      </c>
    </row>
    <row r="31">
      <c r="A31" s="11" t="inlineStr">
        <is>
          <t>阶段5</t>
        </is>
      </c>
      <c r="B31" s="15">
        <f>IF($BX31&gt;0,MAX($B$9,$BV31),"")</f>
        <v/>
      </c>
      <c r="C31" s="15">
        <f>IF($BX31&gt;0,$BW31,"")</f>
        <v/>
      </c>
      <c r="D31" s="15">
        <f>IF($BX31&gt;0,B31+$BX31,"")</f>
        <v/>
      </c>
      <c r="E31" s="15">
        <f>IF($BX31&gt;0,$BX31,"")</f>
        <v/>
      </c>
      <c r="F31" s="16">
        <f>IF($BX31&gt;0,"Lv"&amp;B31&amp;IF(B31=$B$9,IF(C31=$C$9," 以【"&amp;C31&amp;"】起步"," 立即转职为【"&amp;C31&amp;"】"),IF(C31=$BW30," 继续【"&amp;C31&amp;"】"," 转职为【"&amp;C31&amp;"】"))&amp;"，在该职业升 "&amp;$BX31&amp;" 级 → Lv"&amp;D31,"")</f>
        <v/>
      </c>
      <c r="G31" s="17" t="n"/>
      <c r="H31" s="17" t="n"/>
      <c r="I31" s="17" t="n"/>
      <c r="J31" s="17" t="n"/>
      <c r="K31" s="17" t="n"/>
      <c r="L31" s="17" t="n"/>
      <c r="M31" s="17" t="n"/>
      <c r="P31">
        <f>IF('职业'!$C21="","",'职业'!$C21)</f>
        <v/>
      </c>
      <c r="Q31">
        <f>N('职业'!$D21)</f>
        <v/>
      </c>
      <c r="R31">
        <f>'职业'!$E21&amp;""</f>
        <v/>
      </c>
      <c r="S31">
        <f>IF($P31="",0,MAX(0,D$7+N('职业'!F21)))</f>
        <v/>
      </c>
      <c r="T31">
        <f>IF($P31="",0,MAX(0,E$7+N('职业'!G21)))</f>
        <v/>
      </c>
      <c r="U31">
        <f>IF($P31="",0,MAX(0,F$7+N('职业'!H21)))</f>
        <v/>
      </c>
      <c r="V31">
        <f>IF($P31="",0,MAX(0,G$7+N('职业'!I21)))</f>
        <v/>
      </c>
      <c r="W31">
        <f>IF($P31="",0,MAX(0,H$7+N('职业'!J21)))</f>
        <v/>
      </c>
      <c r="X31">
        <f>IF($P31="",0,MAX(0,I$7+N('职业'!K21)))</f>
        <v/>
      </c>
      <c r="Y31">
        <f>IF($P31="",0,MAX(0,J$7+N('职业'!L21)))</f>
        <v/>
      </c>
      <c r="Z31">
        <f>IF($P31="",0,MAX(0,K$7+N('职业'!M21)))</f>
        <v/>
      </c>
      <c r="AA31">
        <f>IF($P31="",0,MAX(0,L$7+N('职业'!N21)))</f>
        <v/>
      </c>
      <c r="AB31">
        <f>AND($P31&lt;&gt;"",IF($U$5=1,$P31=$C$10,OR($P31=$C$9,AND($R31="是",$Q31&lt;=MAX($B$9,$Q$6)))))</f>
        <v/>
      </c>
      <c r="AC31">
        <f>AND($P31&lt;&gt;"",IF($U$5=2,$P31=$C$10,OR($P31=$C$9,AND($R31="是",$Q31&lt;=MAX($B$9,$Q$7)))))</f>
        <v/>
      </c>
      <c r="AD31">
        <f>AND($P31&lt;&gt;"",IF($U$5=3,$P31=$C$10,OR($P31=$C$9,AND($R31="是",$Q31&lt;=MAX($B$9,$Q$8)))))</f>
        <v/>
      </c>
      <c r="AE31">
        <f>IF(AB31,COUNTIF(AB$13:AB31,TRUE),"")</f>
        <v/>
      </c>
      <c r="AF31">
        <f>IF(AC31,COUNTIF(AC$13:AC31,TRUE),"")</f>
        <v/>
      </c>
      <c r="AG31">
        <f>IF(AD31,COUNTIF(AD$13:AD31,TRUE),"")</f>
        <v/>
      </c>
      <c r="AI31">
        <f>IFERROR(INDEX($P$13:$P$162,MATCH(19,$AE$13:$AE$162,0)),"")</f>
        <v/>
      </c>
      <c r="AJ31">
        <f>IFERROR(INDEX(S$13:S$162,MATCH(19,$AE$13:$AE$162,0)),0)*$T$6</f>
        <v/>
      </c>
      <c r="AK31">
        <f>IFERROR(INDEX(T$13:T$162,MATCH(19,$AE$13:$AE$162,0)),0)*$T$6</f>
        <v/>
      </c>
      <c r="AL31">
        <f>IFERROR(INDEX(U$13:U$162,MATCH(19,$AE$13:$AE$162,0)),0)*$T$6</f>
        <v/>
      </c>
      <c r="AM31">
        <f>IFERROR(INDEX(V$13:V$162,MATCH(19,$AE$13:$AE$162,0)),0)*$T$6</f>
        <v/>
      </c>
      <c r="AN31">
        <f>IFERROR(INDEX(W$13:W$162,MATCH(19,$AE$13:$AE$162,0)),0)*$T$6</f>
        <v/>
      </c>
      <c r="AO31">
        <f>IFERROR(INDEX(X$13:X$162,MATCH(19,$AE$13:$AE$162,0)),0)*$T$6</f>
        <v/>
      </c>
      <c r="AP31">
        <f>IFERROR(INDEX(Y$13:Y$162,MATCH(19,$AE$13:$AE$162,0)),0)*$T$6</f>
        <v/>
      </c>
      <c r="AQ31">
        <f>IFERROR(INDEX(Z$13:Z$162,MATCH(19,$AE$13:$AE$162,0)),0)*$T$6</f>
        <v/>
      </c>
      <c r="AR31">
        <f>IFERROR(INDEX(AA$13:AA$162,MATCH(19,$AE$13:$AE$162,0)),0)*$T$6</f>
        <v/>
      </c>
      <c r="AS31">
        <f>IFERROR(INDEX($P$13:$P$162,MATCH(19,$AF$13:$AF$162,0)),"")</f>
        <v/>
      </c>
      <c r="AT31">
        <f>IFERROR(INDEX(S$13:S$162,MATCH(19,$AF$13:$AF$162,0)),0)*$T$7</f>
        <v/>
      </c>
      <c r="AU31">
        <f>IFERROR(INDEX(T$13:T$162,MATCH(19,$AF$13:$AF$162,0)),0)*$T$7</f>
        <v/>
      </c>
      <c r="AV31">
        <f>IFERROR(INDEX(U$13:U$162,MATCH(19,$AF$13:$AF$162,0)),0)*$T$7</f>
        <v/>
      </c>
      <c r="AW31">
        <f>IFERROR(INDEX(V$13:V$162,MATCH(19,$AF$13:$AF$162,0)),0)*$T$7</f>
        <v/>
      </c>
      <c r="AX31">
        <f>IFERROR(INDEX(W$13:W$162,MATCH(19,$AF$13:$AF$162,0)),0)*$T$7</f>
        <v/>
      </c>
      <c r="AY31">
        <f>IFERROR(INDEX(X$13:X$162,MATCH(19,$AF$13:$AF$162,0)),0)*$T$7</f>
        <v/>
      </c>
      <c r="AZ31">
        <f>IFERROR(INDEX(Y$13:Y$162,MATCH(19,$AF$13:$AF$162,0)),0)*$T$7</f>
        <v/>
      </c>
      <c r="BA31">
        <f>IFERROR(INDEX(Z$13:Z$162,MATCH(19,$AF$13:$AF$162,0)),0)*$T$7</f>
        <v/>
      </c>
      <c r="BB31">
        <f>IFERROR(INDEX(AA$13:AA$162,MATCH(19,$AF$13:$AF$162,0)),0)*$T$7</f>
        <v/>
      </c>
      <c r="BC31">
        <f>IFERROR(INDEX($P$13:$P$162,MATCH(19,$AG$13:$AG$162,0)),"")</f>
        <v/>
      </c>
      <c r="BD31">
        <f>IFERROR(INDEX(S$13:S$162,MATCH(19,$AG$13:$AG$162,0)),0)*($T$8+IF($C$10="",$T$9,0))</f>
        <v/>
      </c>
      <c r="BE31">
        <f>IFERROR(INDEX(T$13:T$162,MATCH(19,$AG$13:$AG$162,0)),0)*($T$8+IF($C$10="",$T$9,0))</f>
        <v/>
      </c>
      <c r="BF31">
        <f>IFERROR(INDEX(U$13:U$162,MATCH(19,$AG$13:$AG$162,0)),0)*($T$8+IF($C$10="",$T$9,0))</f>
        <v/>
      </c>
      <c r="BG31">
        <f>IFERROR(INDEX(V$13:V$162,MATCH(19,$AG$13:$AG$162,0)),0)*($T$8+IF($C$10="",$T$9,0))</f>
        <v/>
      </c>
      <c r="BH31">
        <f>IFERROR(INDEX(W$13:W$162,MATCH(19,$AG$13:$AG$162,0)),0)*($T$8+IF($C$10="",$T$9,0))</f>
        <v/>
      </c>
      <c r="BI31">
        <f>IFERROR(INDEX(X$13:X$162,MATCH(19,$AG$13:$AG$162,0)),0)*($T$8+IF($C$10="",$T$9,0))</f>
        <v/>
      </c>
      <c r="BJ31">
        <f>IFERROR(INDEX(Y$13:Y$162,MATCH(19,$AG$13:$AG$162,0)),0)*($T$8+IF($C$10="",$T$9,0))</f>
        <v/>
      </c>
      <c r="BK31">
        <f>IFERROR(INDEX(Z$13:Z$162,MATCH(19,$AG$13:$AG$162,0)),0)*($T$8+IF($C$10="",$T$9,0))</f>
        <v/>
      </c>
      <c r="BL31">
        <f>IFERROR(INDEX(AA$13:AA$162,MATCH(19,$AG$13:$AG$162,0)),0)*($T$8+IF($C$10="",$T$9,0))</f>
        <v/>
      </c>
      <c r="BN31">
        <f>IF(18&lt;$U$9,INT(18/($U$7*$U$8))+1,1)</f>
        <v/>
      </c>
      <c r="BO31">
        <f>IF(18&lt;$U$9,MOD(INT(18/$U$8),$U$7)+1,1)</f>
        <v/>
      </c>
      <c r="BP31">
        <f>IF(18&lt;$U$9,MOD(18,$U$8)+1,1)</f>
        <v/>
      </c>
      <c r="BQ31">
        <f>IF(18&lt;$U$9,SUMPRODUCT(($D$10:$L$10&lt;&gt;"")*(($D$9:$L$9+INT(($S$12:$AA$12+INDEX($AJ$13:$AR$162,BN31,0)+INDEX($AT$13:$BB$162,BO31,0)+INDEX($BD$13:$BL$162,BP31,0))/100))&gt;=$D$10:$L$10)),0)</f>
        <v/>
      </c>
      <c r="BR31">
        <f>IF(18&lt;$U$9,SUMPRODUCT(($D$10:$L$10&lt;&gt;"")*(($D$10:$L$10-($D$9:$L$9+INT(($S$12:$AA$12+INDEX($AJ$13:$AR$162,BN31,0)+INDEX($AT$13:$BB$162,BO31,0)+INDEX($BD$13:$BL$162,BP31,0))/100)))&gt;0)*($D$10:$L$10-($D$9:$L$9+INT(($S$12:$AA$12+INDEX($AJ$13:$AR$162,BN31,0)+INDEX($AT$13:$BB$162,BO31,0)+INDEX($BD$13:$BL$162,BP31,0))/100)))),0)</f>
        <v/>
      </c>
      <c r="BS31">
        <f>IF(18&lt;$U$9,SUMPRODUCT(($D$9:$L$9+INT(($S$12:$AA$12+INDEX($AJ$13:$AR$162,BN31,0)+INDEX($AT$13:$BB$162,BO31,0)+INDEX($BD$13:$BL$162,BP31,0))/100))),0)</f>
        <v/>
      </c>
      <c r="BT31">
        <f>IF(AND(18&lt;$U$9,$W$5),BQ31*1000000-MIN(BR31,999)*1000+BS31-18/100000,-1000000000-18)</f>
        <v/>
      </c>
      <c r="BV31">
        <f>IF($BV$26=0,BV47,$S$9)</f>
        <v/>
      </c>
      <c r="BW31">
        <f>IF($BV$26=0,BW47,INDEX(CE$19:CE$23,$BV$26))</f>
        <v/>
      </c>
      <c r="BX31">
        <f>IFERROR(MAX(0,MIN($B$10,BV32)-MAX($B$9,BV31)),0)</f>
        <v/>
      </c>
    </row>
    <row r="32">
      <c r="A32" s="11" t="inlineStr">
        <is>
          <t>阶段6</t>
        </is>
      </c>
      <c r="B32" s="15">
        <f>IF($BX32&gt;0,MAX($B$9,$BV32),"")</f>
        <v/>
      </c>
      <c r="C32" s="15">
        <f>IF($BX32&gt;0,$BW32,"")</f>
        <v/>
      </c>
      <c r="D32" s="15">
        <f>IF($BX32&gt;0,B32+$BX32,"")</f>
        <v/>
      </c>
      <c r="E32" s="15">
        <f>IF($BX32&gt;0,$BX32,"")</f>
        <v/>
      </c>
      <c r="F32" s="16">
        <f>IF($BX32&gt;0,"Lv"&amp;B32&amp;IF(B32=$B$9,IF(C32=$C$9," 以【"&amp;C32&amp;"】起步"," 立即转职为【"&amp;C32&amp;"】"),IF(C32=$BW31," 继续【"&amp;C32&amp;"】"," 转职为【"&amp;C32&amp;"】"))&amp;"，在该职业升 "&amp;$BX32&amp;" 级 → Lv"&amp;D32,"")</f>
        <v/>
      </c>
      <c r="G32" s="17" t="n"/>
      <c r="H32" s="17" t="n"/>
      <c r="I32" s="17" t="n"/>
      <c r="J32" s="17" t="n"/>
      <c r="K32" s="17" t="n"/>
      <c r="L32" s="17" t="n"/>
      <c r="M32" s="17" t="n"/>
      <c r="P32">
        <f>IF('职业'!$C22="","",'职业'!$C22)</f>
        <v/>
      </c>
      <c r="Q32">
        <f>N('职业'!$D22)</f>
        <v/>
      </c>
      <c r="R32">
        <f>'职业'!$E22&amp;""</f>
        <v/>
      </c>
      <c r="S32">
        <f>IF($P32="",0,MAX(0,D$7+N('职业'!F22)))</f>
        <v/>
      </c>
      <c r="T32">
        <f>IF($P32="",0,MAX(0,E$7+N('职业'!G22)))</f>
        <v/>
      </c>
      <c r="U32">
        <f>IF($P32="",0,MAX(0,F$7+N('职业'!H22)))</f>
        <v/>
      </c>
      <c r="V32">
        <f>IF($P32="",0,MAX(0,G$7+N('职业'!I22)))</f>
        <v/>
      </c>
      <c r="W32">
        <f>IF($P32="",0,MAX(0,H$7+N('职业'!J22)))</f>
        <v/>
      </c>
      <c r="X32">
        <f>IF($P32="",0,MAX(0,I$7+N('职业'!K22)))</f>
        <v/>
      </c>
      <c r="Y32">
        <f>IF($P32="",0,MAX(0,J$7+N('职业'!L22)))</f>
        <v/>
      </c>
      <c r="Z32">
        <f>IF($P32="",0,MAX(0,K$7+N('职业'!M22)))</f>
        <v/>
      </c>
      <c r="AA32">
        <f>IF($P32="",0,MAX(0,L$7+N('职业'!N22)))</f>
        <v/>
      </c>
      <c r="AB32">
        <f>AND($P32&lt;&gt;"",IF($U$5=1,$P32=$C$10,OR($P32=$C$9,AND($R32="是",$Q32&lt;=MAX($B$9,$Q$6)))))</f>
        <v/>
      </c>
      <c r="AC32">
        <f>AND($P32&lt;&gt;"",IF($U$5=2,$P32=$C$10,OR($P32=$C$9,AND($R32="是",$Q32&lt;=MAX($B$9,$Q$7)))))</f>
        <v/>
      </c>
      <c r="AD32">
        <f>AND($P32&lt;&gt;"",IF($U$5=3,$P32=$C$10,OR($P32=$C$9,AND($R32="是",$Q32&lt;=MAX($B$9,$Q$8)))))</f>
        <v/>
      </c>
      <c r="AE32">
        <f>IF(AB32,COUNTIF(AB$13:AB32,TRUE),"")</f>
        <v/>
      </c>
      <c r="AF32">
        <f>IF(AC32,COUNTIF(AC$13:AC32,TRUE),"")</f>
        <v/>
      </c>
      <c r="AG32">
        <f>IF(AD32,COUNTIF(AD$13:AD32,TRUE),"")</f>
        <v/>
      </c>
      <c r="AI32">
        <f>IFERROR(INDEX($P$13:$P$162,MATCH(20,$AE$13:$AE$162,0)),"")</f>
        <v/>
      </c>
      <c r="AJ32">
        <f>IFERROR(INDEX(S$13:S$162,MATCH(20,$AE$13:$AE$162,0)),0)*$T$6</f>
        <v/>
      </c>
      <c r="AK32">
        <f>IFERROR(INDEX(T$13:T$162,MATCH(20,$AE$13:$AE$162,0)),0)*$T$6</f>
        <v/>
      </c>
      <c r="AL32">
        <f>IFERROR(INDEX(U$13:U$162,MATCH(20,$AE$13:$AE$162,0)),0)*$T$6</f>
        <v/>
      </c>
      <c r="AM32">
        <f>IFERROR(INDEX(V$13:V$162,MATCH(20,$AE$13:$AE$162,0)),0)*$T$6</f>
        <v/>
      </c>
      <c r="AN32">
        <f>IFERROR(INDEX(W$13:W$162,MATCH(20,$AE$13:$AE$162,0)),0)*$T$6</f>
        <v/>
      </c>
      <c r="AO32">
        <f>IFERROR(INDEX(X$13:X$162,MATCH(20,$AE$13:$AE$162,0)),0)*$T$6</f>
        <v/>
      </c>
      <c r="AP32">
        <f>IFERROR(INDEX(Y$13:Y$162,MATCH(20,$AE$13:$AE$162,0)),0)*$T$6</f>
        <v/>
      </c>
      <c r="AQ32">
        <f>IFERROR(INDEX(Z$13:Z$162,MATCH(20,$AE$13:$AE$162,0)),0)*$T$6</f>
        <v/>
      </c>
      <c r="AR32">
        <f>IFERROR(INDEX(AA$13:AA$162,MATCH(20,$AE$13:$AE$162,0)),0)*$T$6</f>
        <v/>
      </c>
      <c r="AS32">
        <f>IFERROR(INDEX($P$13:$P$162,MATCH(20,$AF$13:$AF$162,0)),"")</f>
        <v/>
      </c>
      <c r="AT32">
        <f>IFERROR(INDEX(S$13:S$162,MATCH(20,$AF$13:$AF$162,0)),0)*$T$7</f>
        <v/>
      </c>
      <c r="AU32">
        <f>IFERROR(INDEX(T$13:T$162,MATCH(20,$AF$13:$AF$162,0)),0)*$T$7</f>
        <v/>
      </c>
      <c r="AV32">
        <f>IFERROR(INDEX(U$13:U$162,MATCH(20,$AF$13:$AF$162,0)),0)*$T$7</f>
        <v/>
      </c>
      <c r="AW32">
        <f>IFERROR(INDEX(V$13:V$162,MATCH(20,$AF$13:$AF$162,0)),0)*$T$7</f>
        <v/>
      </c>
      <c r="AX32">
        <f>IFERROR(INDEX(W$13:W$162,MATCH(20,$AF$13:$AF$162,0)),0)*$T$7</f>
        <v/>
      </c>
      <c r="AY32">
        <f>IFERROR(INDEX(X$13:X$162,MATCH(20,$AF$13:$AF$162,0)),0)*$T$7</f>
        <v/>
      </c>
      <c r="AZ32">
        <f>IFERROR(INDEX(Y$13:Y$162,MATCH(20,$AF$13:$AF$162,0)),0)*$T$7</f>
        <v/>
      </c>
      <c r="BA32">
        <f>IFERROR(INDEX(Z$13:Z$162,MATCH(20,$AF$13:$AF$162,0)),0)*$T$7</f>
        <v/>
      </c>
      <c r="BB32">
        <f>IFERROR(INDEX(AA$13:AA$162,MATCH(20,$AF$13:$AF$162,0)),0)*$T$7</f>
        <v/>
      </c>
      <c r="BC32">
        <f>IFERROR(INDEX($P$13:$P$162,MATCH(20,$AG$13:$AG$162,0)),"")</f>
        <v/>
      </c>
      <c r="BD32">
        <f>IFERROR(INDEX(S$13:S$162,MATCH(20,$AG$13:$AG$162,0)),0)*($T$8+IF($C$10="",$T$9,0))</f>
        <v/>
      </c>
      <c r="BE32">
        <f>IFERROR(INDEX(T$13:T$162,MATCH(20,$AG$13:$AG$162,0)),0)*($T$8+IF($C$10="",$T$9,0))</f>
        <v/>
      </c>
      <c r="BF32">
        <f>IFERROR(INDEX(U$13:U$162,MATCH(20,$AG$13:$AG$162,0)),0)*($T$8+IF($C$10="",$T$9,0))</f>
        <v/>
      </c>
      <c r="BG32">
        <f>IFERROR(INDEX(V$13:V$162,MATCH(20,$AG$13:$AG$162,0)),0)*($T$8+IF($C$10="",$T$9,0))</f>
        <v/>
      </c>
      <c r="BH32">
        <f>IFERROR(INDEX(W$13:W$162,MATCH(20,$AG$13:$AG$162,0)),0)*($T$8+IF($C$10="",$T$9,0))</f>
        <v/>
      </c>
      <c r="BI32">
        <f>IFERROR(INDEX(X$13:X$162,MATCH(20,$AG$13:$AG$162,0)),0)*($T$8+IF($C$10="",$T$9,0))</f>
        <v/>
      </c>
      <c r="BJ32">
        <f>IFERROR(INDEX(Y$13:Y$162,MATCH(20,$AG$13:$AG$162,0)),0)*($T$8+IF($C$10="",$T$9,0))</f>
        <v/>
      </c>
      <c r="BK32">
        <f>IFERROR(INDEX(Z$13:Z$162,MATCH(20,$AG$13:$AG$162,0)),0)*($T$8+IF($C$10="",$T$9,0))</f>
        <v/>
      </c>
      <c r="BL32">
        <f>IFERROR(INDEX(AA$13:AA$162,MATCH(20,$AG$13:$AG$162,0)),0)*($T$8+IF($C$10="",$T$9,0))</f>
        <v/>
      </c>
      <c r="BN32">
        <f>IF(19&lt;$U$9,INT(19/($U$7*$U$8))+1,1)</f>
        <v/>
      </c>
      <c r="BO32">
        <f>IF(19&lt;$U$9,MOD(INT(19/$U$8),$U$7)+1,1)</f>
        <v/>
      </c>
      <c r="BP32">
        <f>IF(19&lt;$U$9,MOD(19,$U$8)+1,1)</f>
        <v/>
      </c>
      <c r="BQ32">
        <f>IF(19&lt;$U$9,SUMPRODUCT(($D$10:$L$10&lt;&gt;"")*(($D$9:$L$9+INT(($S$12:$AA$12+INDEX($AJ$13:$AR$162,BN32,0)+INDEX($AT$13:$BB$162,BO32,0)+INDEX($BD$13:$BL$162,BP32,0))/100))&gt;=$D$10:$L$10)),0)</f>
        <v/>
      </c>
      <c r="BR32">
        <f>IF(19&lt;$U$9,SUMPRODUCT(($D$10:$L$10&lt;&gt;"")*(($D$10:$L$10-($D$9:$L$9+INT(($S$12:$AA$12+INDEX($AJ$13:$AR$162,BN32,0)+INDEX($AT$13:$BB$162,BO32,0)+INDEX($BD$13:$BL$162,BP32,0))/100)))&gt;0)*($D$10:$L$10-($D$9:$L$9+INT(($S$12:$AA$12+INDEX($AJ$13:$AR$162,BN32,0)+INDEX($AT$13:$BB$162,BO32,0)+INDEX($BD$13:$BL$162,BP32,0))/100)))),0)</f>
        <v/>
      </c>
      <c r="BS32">
        <f>IF(19&lt;$U$9,SUMPRODUCT(($D$9:$L$9+INT(($S$12:$AA$12+INDEX($AJ$13:$AR$162,BN32,0)+INDEX($AT$13:$BB$162,BO32,0)+INDEX($BD$13:$BL$162,BP32,0))/100))),0)</f>
        <v/>
      </c>
      <c r="BT32">
        <f>IF(AND(19&lt;$U$9,$W$5),BQ32*1000000-MIN(BR32,999)*1000+BS32-19/100000,-1000000000-19)</f>
        <v/>
      </c>
      <c r="BV32">
        <f>IF($BV$26=0,BV48,999)</f>
        <v/>
      </c>
      <c r="BW32">
        <f>IF($BV$26=0,BW48,"")</f>
        <v/>
      </c>
      <c r="BX32">
        <f>IFERROR(MAX(0,MIN($B$10,999)-MAX($B$9,BV32)),0)</f>
        <v/>
      </c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P33">
        <f>IF('职业'!$C23="","",'职业'!$C23)</f>
        <v/>
      </c>
      <c r="Q33">
        <f>N('职业'!$D23)</f>
        <v/>
      </c>
      <c r="R33">
        <f>'职业'!$E23&amp;""</f>
        <v/>
      </c>
      <c r="S33">
        <f>IF($P33="",0,MAX(0,D$7+N('职业'!F23)))</f>
        <v/>
      </c>
      <c r="T33">
        <f>IF($P33="",0,MAX(0,E$7+N('职业'!G23)))</f>
        <v/>
      </c>
      <c r="U33">
        <f>IF($P33="",0,MAX(0,F$7+N('职业'!H23)))</f>
        <v/>
      </c>
      <c r="V33">
        <f>IF($P33="",0,MAX(0,G$7+N('职业'!I23)))</f>
        <v/>
      </c>
      <c r="W33">
        <f>IF($P33="",0,MAX(0,H$7+N('职业'!J23)))</f>
        <v/>
      </c>
      <c r="X33">
        <f>IF($P33="",0,MAX(0,I$7+N('职业'!K23)))</f>
        <v/>
      </c>
      <c r="Y33">
        <f>IF($P33="",0,MAX(0,J$7+N('职业'!L23)))</f>
        <v/>
      </c>
      <c r="Z33">
        <f>IF($P33="",0,MAX(0,K$7+N('职业'!M23)))</f>
        <v/>
      </c>
      <c r="AA33">
        <f>IF($P33="",0,MAX(0,L$7+N('职业'!N23)))</f>
        <v/>
      </c>
      <c r="AB33">
        <f>AND($P33&lt;&gt;"",IF($U$5=1,$P33=$C$10,OR($P33=$C$9,AND($R33="是",$Q33&lt;=MAX($B$9,$Q$6)))))</f>
        <v/>
      </c>
      <c r="AC33">
        <f>AND($P33&lt;&gt;"",IF($U$5=2,$P33=$C$10,OR($P33=$C$9,AND($R33="是",$Q33&lt;=MAX($B$9,$Q$7)))))</f>
        <v/>
      </c>
      <c r="AD33">
        <f>AND($P33&lt;&gt;"",IF($U$5=3,$P33=$C$10,OR($P33=$C$9,AND($R33="是",$Q33&lt;=MAX($B$9,$Q$8)))))</f>
        <v/>
      </c>
      <c r="AE33">
        <f>IF(AB33,COUNTIF(AB$13:AB33,TRUE),"")</f>
        <v/>
      </c>
      <c r="AF33">
        <f>IF(AC33,COUNTIF(AC$13:AC33,TRUE),"")</f>
        <v/>
      </c>
      <c r="AG33">
        <f>IF(AD33,COUNTIF(AD$13:AD33,TRUE),"")</f>
        <v/>
      </c>
      <c r="AI33">
        <f>IFERROR(INDEX($P$13:$P$162,MATCH(21,$AE$13:$AE$162,0)),"")</f>
        <v/>
      </c>
      <c r="AJ33">
        <f>IFERROR(INDEX(S$13:S$162,MATCH(21,$AE$13:$AE$162,0)),0)*$T$6</f>
        <v/>
      </c>
      <c r="AK33">
        <f>IFERROR(INDEX(T$13:T$162,MATCH(21,$AE$13:$AE$162,0)),0)*$T$6</f>
        <v/>
      </c>
      <c r="AL33">
        <f>IFERROR(INDEX(U$13:U$162,MATCH(21,$AE$13:$AE$162,0)),0)*$T$6</f>
        <v/>
      </c>
      <c r="AM33">
        <f>IFERROR(INDEX(V$13:V$162,MATCH(21,$AE$13:$AE$162,0)),0)*$T$6</f>
        <v/>
      </c>
      <c r="AN33">
        <f>IFERROR(INDEX(W$13:W$162,MATCH(21,$AE$13:$AE$162,0)),0)*$T$6</f>
        <v/>
      </c>
      <c r="AO33">
        <f>IFERROR(INDEX(X$13:X$162,MATCH(21,$AE$13:$AE$162,0)),0)*$T$6</f>
        <v/>
      </c>
      <c r="AP33">
        <f>IFERROR(INDEX(Y$13:Y$162,MATCH(21,$AE$13:$AE$162,0)),0)*$T$6</f>
        <v/>
      </c>
      <c r="AQ33">
        <f>IFERROR(INDEX(Z$13:Z$162,MATCH(21,$AE$13:$AE$162,0)),0)*$T$6</f>
        <v/>
      </c>
      <c r="AR33">
        <f>IFERROR(INDEX(AA$13:AA$162,MATCH(21,$AE$13:$AE$162,0)),0)*$T$6</f>
        <v/>
      </c>
      <c r="AS33">
        <f>IFERROR(INDEX($P$13:$P$162,MATCH(21,$AF$13:$AF$162,0)),"")</f>
        <v/>
      </c>
      <c r="AT33">
        <f>IFERROR(INDEX(S$13:S$162,MATCH(21,$AF$13:$AF$162,0)),0)*$T$7</f>
        <v/>
      </c>
      <c r="AU33">
        <f>IFERROR(INDEX(T$13:T$162,MATCH(21,$AF$13:$AF$162,0)),0)*$T$7</f>
        <v/>
      </c>
      <c r="AV33">
        <f>IFERROR(INDEX(U$13:U$162,MATCH(21,$AF$13:$AF$162,0)),0)*$T$7</f>
        <v/>
      </c>
      <c r="AW33">
        <f>IFERROR(INDEX(V$13:V$162,MATCH(21,$AF$13:$AF$162,0)),0)*$T$7</f>
        <v/>
      </c>
      <c r="AX33">
        <f>IFERROR(INDEX(W$13:W$162,MATCH(21,$AF$13:$AF$162,0)),0)*$T$7</f>
        <v/>
      </c>
      <c r="AY33">
        <f>IFERROR(INDEX(X$13:X$162,MATCH(21,$AF$13:$AF$162,0)),0)*$T$7</f>
        <v/>
      </c>
      <c r="AZ33">
        <f>IFERROR(INDEX(Y$13:Y$162,MATCH(21,$AF$13:$AF$162,0)),0)*$T$7</f>
        <v/>
      </c>
      <c r="BA33">
        <f>IFERROR(INDEX(Z$13:Z$162,MATCH(21,$AF$13:$AF$162,0)),0)*$T$7</f>
        <v/>
      </c>
      <c r="BB33">
        <f>IFERROR(INDEX(AA$13:AA$162,MATCH(21,$AF$13:$AF$162,0)),0)*$T$7</f>
        <v/>
      </c>
      <c r="BC33">
        <f>IFERROR(INDEX($P$13:$P$162,MATCH(21,$AG$13:$AG$162,0)),"")</f>
        <v/>
      </c>
      <c r="BD33">
        <f>IFERROR(INDEX(S$13:S$162,MATCH(21,$AG$13:$AG$162,0)),0)*($T$8+IF($C$10="",$T$9,0))</f>
        <v/>
      </c>
      <c r="BE33">
        <f>IFERROR(INDEX(T$13:T$162,MATCH(21,$AG$13:$AG$162,0)),0)*($T$8+IF($C$10="",$T$9,0))</f>
        <v/>
      </c>
      <c r="BF33">
        <f>IFERROR(INDEX(U$13:U$162,MATCH(21,$AG$13:$AG$162,0)),0)*($T$8+IF($C$10="",$T$9,0))</f>
        <v/>
      </c>
      <c r="BG33">
        <f>IFERROR(INDEX(V$13:V$162,MATCH(21,$AG$13:$AG$162,0)),0)*($T$8+IF($C$10="",$T$9,0))</f>
        <v/>
      </c>
      <c r="BH33">
        <f>IFERROR(INDEX(W$13:W$162,MATCH(21,$AG$13:$AG$162,0)),0)*($T$8+IF($C$10="",$T$9,0))</f>
        <v/>
      </c>
      <c r="BI33">
        <f>IFERROR(INDEX(X$13:X$162,MATCH(21,$AG$13:$AG$162,0)),0)*($T$8+IF($C$10="",$T$9,0))</f>
        <v/>
      </c>
      <c r="BJ33">
        <f>IFERROR(INDEX(Y$13:Y$162,MATCH(21,$AG$13:$AG$162,0)),0)*($T$8+IF($C$10="",$T$9,0))</f>
        <v/>
      </c>
      <c r="BK33">
        <f>IFERROR(INDEX(Z$13:Z$162,MATCH(21,$AG$13:$AG$162,0)),0)*($T$8+IF($C$10="",$T$9,0))</f>
        <v/>
      </c>
      <c r="BL33">
        <f>IFERROR(INDEX(AA$13:AA$162,MATCH(21,$AG$13:$AG$162,0)),0)*($T$8+IF($C$10="",$T$9,0))</f>
        <v/>
      </c>
      <c r="BN33">
        <f>IF(20&lt;$U$9,INT(20/($U$7*$U$8))+1,1)</f>
        <v/>
      </c>
      <c r="BO33">
        <f>IF(20&lt;$U$9,MOD(INT(20/$U$8),$U$7)+1,1)</f>
        <v/>
      </c>
      <c r="BP33">
        <f>IF(20&lt;$U$9,MOD(20,$U$8)+1,1)</f>
        <v/>
      </c>
      <c r="BQ33">
        <f>IF(20&lt;$U$9,SUMPRODUCT(($D$10:$L$10&lt;&gt;"")*(($D$9:$L$9+INT(($S$12:$AA$12+INDEX($AJ$13:$AR$162,BN33,0)+INDEX($AT$13:$BB$162,BO33,0)+INDEX($BD$13:$BL$162,BP33,0))/100))&gt;=$D$10:$L$10)),0)</f>
        <v/>
      </c>
      <c r="BR33">
        <f>IF(20&lt;$U$9,SUMPRODUCT(($D$10:$L$10&lt;&gt;"")*(($D$10:$L$10-($D$9:$L$9+INT(($S$12:$AA$12+INDEX($AJ$13:$AR$162,BN33,0)+INDEX($AT$13:$BB$162,BO33,0)+INDEX($BD$13:$BL$162,BP33,0))/100)))&gt;0)*($D$10:$L$10-($D$9:$L$9+INT(($S$12:$AA$12+INDEX($AJ$13:$AR$162,BN33,0)+INDEX($AT$13:$BB$162,BO33,0)+INDEX($BD$13:$BL$162,BP33,0))/100)))),0)</f>
        <v/>
      </c>
      <c r="BS33">
        <f>IF(20&lt;$U$9,SUMPRODUCT(($D$9:$L$9+INT(($S$12:$AA$12+INDEX($AJ$13:$AR$162,BN33,0)+INDEX($AT$13:$BB$162,BO33,0)+INDEX($BD$13:$BL$162,BP33,0))/100))),0)</f>
        <v/>
      </c>
      <c r="BT33">
        <f>IF(AND(20&lt;$U$9,$W$5),BQ33*1000000-MIN(BR33,999)*1000+BS33-20/100000,-1000000000-20)</f>
        <v/>
      </c>
    </row>
    <row r="34" ht="22" customHeight="1">
      <c r="A34" s="14" t="inlineStr">
        <is>
          <t>最终属性对比（当前显示路线，目标等级时）</t>
        </is>
      </c>
      <c r="P34">
        <f>IF('职业'!$C24="","",'职业'!$C24)</f>
        <v/>
      </c>
      <c r="Q34">
        <f>N('职业'!$D24)</f>
        <v/>
      </c>
      <c r="R34">
        <f>'职业'!$E24&amp;""</f>
        <v/>
      </c>
      <c r="S34">
        <f>IF($P34="",0,MAX(0,D$7+N('职业'!F24)))</f>
        <v/>
      </c>
      <c r="T34">
        <f>IF($P34="",0,MAX(0,E$7+N('职业'!G24)))</f>
        <v/>
      </c>
      <c r="U34">
        <f>IF($P34="",0,MAX(0,F$7+N('职业'!H24)))</f>
        <v/>
      </c>
      <c r="V34">
        <f>IF($P34="",0,MAX(0,G$7+N('职业'!I24)))</f>
        <v/>
      </c>
      <c r="W34">
        <f>IF($P34="",0,MAX(0,H$7+N('职业'!J24)))</f>
        <v/>
      </c>
      <c r="X34">
        <f>IF($P34="",0,MAX(0,I$7+N('职业'!K24)))</f>
        <v/>
      </c>
      <c r="Y34">
        <f>IF($P34="",0,MAX(0,J$7+N('职业'!L24)))</f>
        <v/>
      </c>
      <c r="Z34">
        <f>IF($P34="",0,MAX(0,K$7+N('职业'!M24)))</f>
        <v/>
      </c>
      <c r="AA34">
        <f>IF($P34="",0,MAX(0,L$7+N('职业'!N24)))</f>
        <v/>
      </c>
      <c r="AB34">
        <f>AND($P34&lt;&gt;"",IF($U$5=1,$P34=$C$10,OR($P34=$C$9,AND($R34="是",$Q34&lt;=MAX($B$9,$Q$6)))))</f>
        <v/>
      </c>
      <c r="AC34">
        <f>AND($P34&lt;&gt;"",IF($U$5=2,$P34=$C$10,OR($P34=$C$9,AND($R34="是",$Q34&lt;=MAX($B$9,$Q$7)))))</f>
        <v/>
      </c>
      <c r="AD34">
        <f>AND($P34&lt;&gt;"",IF($U$5=3,$P34=$C$10,OR($P34=$C$9,AND($R34="是",$Q34&lt;=MAX($B$9,$Q$8)))))</f>
        <v/>
      </c>
      <c r="AE34">
        <f>IF(AB34,COUNTIF(AB$13:AB34,TRUE),"")</f>
        <v/>
      </c>
      <c r="AF34">
        <f>IF(AC34,COUNTIF(AC$13:AC34,TRUE),"")</f>
        <v/>
      </c>
      <c r="AG34">
        <f>IF(AD34,COUNTIF(AD$13:AD34,TRUE),"")</f>
        <v/>
      </c>
      <c r="AI34">
        <f>IFERROR(INDEX($P$13:$P$162,MATCH(22,$AE$13:$AE$162,0)),"")</f>
        <v/>
      </c>
      <c r="AJ34">
        <f>IFERROR(INDEX(S$13:S$162,MATCH(22,$AE$13:$AE$162,0)),0)*$T$6</f>
        <v/>
      </c>
      <c r="AK34">
        <f>IFERROR(INDEX(T$13:T$162,MATCH(22,$AE$13:$AE$162,0)),0)*$T$6</f>
        <v/>
      </c>
      <c r="AL34">
        <f>IFERROR(INDEX(U$13:U$162,MATCH(22,$AE$13:$AE$162,0)),0)*$T$6</f>
        <v/>
      </c>
      <c r="AM34">
        <f>IFERROR(INDEX(V$13:V$162,MATCH(22,$AE$13:$AE$162,0)),0)*$T$6</f>
        <v/>
      </c>
      <c r="AN34">
        <f>IFERROR(INDEX(W$13:W$162,MATCH(22,$AE$13:$AE$162,0)),0)*$T$6</f>
        <v/>
      </c>
      <c r="AO34">
        <f>IFERROR(INDEX(X$13:X$162,MATCH(22,$AE$13:$AE$162,0)),0)*$T$6</f>
        <v/>
      </c>
      <c r="AP34">
        <f>IFERROR(INDEX(Y$13:Y$162,MATCH(22,$AE$13:$AE$162,0)),0)*$T$6</f>
        <v/>
      </c>
      <c r="AQ34">
        <f>IFERROR(INDEX(Z$13:Z$162,MATCH(22,$AE$13:$AE$162,0)),0)*$T$6</f>
        <v/>
      </c>
      <c r="AR34">
        <f>IFERROR(INDEX(AA$13:AA$162,MATCH(22,$AE$13:$AE$162,0)),0)*$T$6</f>
        <v/>
      </c>
      <c r="AS34">
        <f>IFERROR(INDEX($P$13:$P$162,MATCH(22,$AF$13:$AF$162,0)),"")</f>
        <v/>
      </c>
      <c r="AT34">
        <f>IFERROR(INDEX(S$13:S$162,MATCH(22,$AF$13:$AF$162,0)),0)*$T$7</f>
        <v/>
      </c>
      <c r="AU34">
        <f>IFERROR(INDEX(T$13:T$162,MATCH(22,$AF$13:$AF$162,0)),0)*$T$7</f>
        <v/>
      </c>
      <c r="AV34">
        <f>IFERROR(INDEX(U$13:U$162,MATCH(22,$AF$13:$AF$162,0)),0)*$T$7</f>
        <v/>
      </c>
      <c r="AW34">
        <f>IFERROR(INDEX(V$13:V$162,MATCH(22,$AF$13:$AF$162,0)),0)*$T$7</f>
        <v/>
      </c>
      <c r="AX34">
        <f>IFERROR(INDEX(W$13:W$162,MATCH(22,$AF$13:$AF$162,0)),0)*$T$7</f>
        <v/>
      </c>
      <c r="AY34">
        <f>IFERROR(INDEX(X$13:X$162,MATCH(22,$AF$13:$AF$162,0)),0)*$T$7</f>
        <v/>
      </c>
      <c r="AZ34">
        <f>IFERROR(INDEX(Y$13:Y$162,MATCH(22,$AF$13:$AF$162,0)),0)*$T$7</f>
        <v/>
      </c>
      <c r="BA34">
        <f>IFERROR(INDEX(Z$13:Z$162,MATCH(22,$AF$13:$AF$162,0)),0)*$T$7</f>
        <v/>
      </c>
      <c r="BB34">
        <f>IFERROR(INDEX(AA$13:AA$162,MATCH(22,$AF$13:$AF$162,0)),0)*$T$7</f>
        <v/>
      </c>
      <c r="BC34">
        <f>IFERROR(INDEX($P$13:$P$162,MATCH(22,$AG$13:$AG$162,0)),"")</f>
        <v/>
      </c>
      <c r="BD34">
        <f>IFERROR(INDEX(S$13:S$162,MATCH(22,$AG$13:$AG$162,0)),0)*($T$8+IF($C$10="",$T$9,0))</f>
        <v/>
      </c>
      <c r="BE34">
        <f>IFERROR(INDEX(T$13:T$162,MATCH(22,$AG$13:$AG$162,0)),0)*($T$8+IF($C$10="",$T$9,0))</f>
        <v/>
      </c>
      <c r="BF34">
        <f>IFERROR(INDEX(U$13:U$162,MATCH(22,$AG$13:$AG$162,0)),0)*($T$8+IF($C$10="",$T$9,0))</f>
        <v/>
      </c>
      <c r="BG34">
        <f>IFERROR(INDEX(V$13:V$162,MATCH(22,$AG$13:$AG$162,0)),0)*($T$8+IF($C$10="",$T$9,0))</f>
        <v/>
      </c>
      <c r="BH34">
        <f>IFERROR(INDEX(W$13:W$162,MATCH(22,$AG$13:$AG$162,0)),0)*($T$8+IF($C$10="",$T$9,0))</f>
        <v/>
      </c>
      <c r="BI34">
        <f>IFERROR(INDEX(X$13:X$162,MATCH(22,$AG$13:$AG$162,0)),0)*($T$8+IF($C$10="",$T$9,0))</f>
        <v/>
      </c>
      <c r="BJ34">
        <f>IFERROR(INDEX(Y$13:Y$162,MATCH(22,$AG$13:$AG$162,0)),0)*($T$8+IF($C$10="",$T$9,0))</f>
        <v/>
      </c>
      <c r="BK34">
        <f>IFERROR(INDEX(Z$13:Z$162,MATCH(22,$AG$13:$AG$162,0)),0)*($T$8+IF($C$10="",$T$9,0))</f>
        <v/>
      </c>
      <c r="BL34">
        <f>IFERROR(INDEX(AA$13:AA$162,MATCH(22,$AG$13:$AG$162,0)),0)*($T$8+IF($C$10="",$T$9,0))</f>
        <v/>
      </c>
      <c r="BN34">
        <f>IF(21&lt;$U$9,INT(21/($U$7*$U$8))+1,1)</f>
        <v/>
      </c>
      <c r="BO34">
        <f>IF(21&lt;$U$9,MOD(INT(21/$U$8),$U$7)+1,1)</f>
        <v/>
      </c>
      <c r="BP34">
        <f>IF(21&lt;$U$9,MOD(21,$U$8)+1,1)</f>
        <v/>
      </c>
      <c r="BQ34">
        <f>IF(21&lt;$U$9,SUMPRODUCT(($D$10:$L$10&lt;&gt;"")*(($D$9:$L$9+INT(($S$12:$AA$12+INDEX($AJ$13:$AR$162,BN34,0)+INDEX($AT$13:$BB$162,BO34,0)+INDEX($BD$13:$BL$162,BP34,0))/100))&gt;=$D$10:$L$10)),0)</f>
        <v/>
      </c>
      <c r="BR34">
        <f>IF(21&lt;$U$9,SUMPRODUCT(($D$10:$L$10&lt;&gt;"")*(($D$10:$L$10-($D$9:$L$9+INT(($S$12:$AA$12+INDEX($AJ$13:$AR$162,BN34,0)+INDEX($AT$13:$BB$162,BO34,0)+INDEX($BD$13:$BL$162,BP34,0))/100)))&gt;0)*($D$10:$L$10-($D$9:$L$9+INT(($S$12:$AA$12+INDEX($AJ$13:$AR$162,BN34,0)+INDEX($AT$13:$BB$162,BO34,0)+INDEX($BD$13:$BL$162,BP34,0))/100)))),0)</f>
        <v/>
      </c>
      <c r="BS34">
        <f>IF(21&lt;$U$9,SUMPRODUCT(($D$9:$L$9+INT(($S$12:$AA$12+INDEX($AJ$13:$AR$162,BN34,0)+INDEX($AT$13:$BB$162,BO34,0)+INDEX($BD$13:$BL$162,BP34,0))/100))),0)</f>
        <v/>
      </c>
      <c r="BT34">
        <f>IF(AND(21&lt;$U$9,$W$5),BQ34*1000000-MIN(BR34,999)*1000+BS34-21/100000,-1000000000-21)</f>
        <v/>
      </c>
    </row>
    <row r="35">
      <c r="A35" s="10" t="inlineStr">
        <is>
          <t>项目</t>
        </is>
      </c>
      <c r="B35" s="10" t="inlineStr"/>
      <c r="C35" s="10" t="inlineStr"/>
      <c r="D35" s="10" t="inlineStr">
        <is>
          <t>HP</t>
        </is>
      </c>
      <c r="E35" s="10" t="inlineStr">
        <is>
          <t>力量</t>
        </is>
      </c>
      <c r="F35" s="10" t="inlineStr">
        <is>
          <t>魔力</t>
        </is>
      </c>
      <c r="G35" s="10" t="inlineStr">
        <is>
          <t>速度</t>
        </is>
      </c>
      <c r="H35" s="10" t="inlineStr">
        <is>
          <t>技巧</t>
        </is>
      </c>
      <c r="I35" s="10" t="inlineStr">
        <is>
          <t>防守</t>
        </is>
      </c>
      <c r="J35" s="10" t="inlineStr">
        <is>
          <t>魔防</t>
        </is>
      </c>
      <c r="K35" s="10" t="inlineStr">
        <is>
          <t>幸运</t>
        </is>
      </c>
      <c r="L35" s="10" t="inlineStr">
        <is>
          <t>魅力</t>
        </is>
      </c>
      <c r="M35" s="10" t="inlineStr"/>
      <c r="P35">
        <f>IF('职业'!$C25="","",'职业'!$C25)</f>
        <v/>
      </c>
      <c r="Q35">
        <f>N('职业'!$D25)</f>
        <v/>
      </c>
      <c r="R35">
        <f>'职业'!$E25&amp;""</f>
        <v/>
      </c>
      <c r="S35">
        <f>IF($P35="",0,MAX(0,D$7+N('职业'!F25)))</f>
        <v/>
      </c>
      <c r="T35">
        <f>IF($P35="",0,MAX(0,E$7+N('职业'!G25)))</f>
        <v/>
      </c>
      <c r="U35">
        <f>IF($P35="",0,MAX(0,F$7+N('职业'!H25)))</f>
        <v/>
      </c>
      <c r="V35">
        <f>IF($P35="",0,MAX(0,G$7+N('职业'!I25)))</f>
        <v/>
      </c>
      <c r="W35">
        <f>IF($P35="",0,MAX(0,H$7+N('职业'!J25)))</f>
        <v/>
      </c>
      <c r="X35">
        <f>IF($P35="",0,MAX(0,I$7+N('职业'!K25)))</f>
        <v/>
      </c>
      <c r="Y35">
        <f>IF($P35="",0,MAX(0,J$7+N('职业'!L25)))</f>
        <v/>
      </c>
      <c r="Z35">
        <f>IF($P35="",0,MAX(0,K$7+N('职业'!M25)))</f>
        <v/>
      </c>
      <c r="AA35">
        <f>IF($P35="",0,MAX(0,L$7+N('职业'!N25)))</f>
        <v/>
      </c>
      <c r="AB35">
        <f>AND($P35&lt;&gt;"",IF($U$5=1,$P35=$C$10,OR($P35=$C$9,AND($R35="是",$Q35&lt;=MAX($B$9,$Q$6)))))</f>
        <v/>
      </c>
      <c r="AC35">
        <f>AND($P35&lt;&gt;"",IF($U$5=2,$P35=$C$10,OR($P35=$C$9,AND($R35="是",$Q35&lt;=MAX($B$9,$Q$7)))))</f>
        <v/>
      </c>
      <c r="AD35">
        <f>AND($P35&lt;&gt;"",IF($U$5=3,$P35=$C$10,OR($P35=$C$9,AND($R35="是",$Q35&lt;=MAX($B$9,$Q$8)))))</f>
        <v/>
      </c>
      <c r="AE35">
        <f>IF(AB35,COUNTIF(AB$13:AB35,TRUE),"")</f>
        <v/>
      </c>
      <c r="AF35">
        <f>IF(AC35,COUNTIF(AC$13:AC35,TRUE),"")</f>
        <v/>
      </c>
      <c r="AG35">
        <f>IF(AD35,COUNTIF(AD$13:AD35,TRUE),"")</f>
        <v/>
      </c>
      <c r="AI35">
        <f>IFERROR(INDEX($P$13:$P$162,MATCH(23,$AE$13:$AE$162,0)),"")</f>
        <v/>
      </c>
      <c r="AJ35">
        <f>IFERROR(INDEX(S$13:S$162,MATCH(23,$AE$13:$AE$162,0)),0)*$T$6</f>
        <v/>
      </c>
      <c r="AK35">
        <f>IFERROR(INDEX(T$13:T$162,MATCH(23,$AE$13:$AE$162,0)),0)*$T$6</f>
        <v/>
      </c>
      <c r="AL35">
        <f>IFERROR(INDEX(U$13:U$162,MATCH(23,$AE$13:$AE$162,0)),0)*$T$6</f>
        <v/>
      </c>
      <c r="AM35">
        <f>IFERROR(INDEX(V$13:V$162,MATCH(23,$AE$13:$AE$162,0)),0)*$T$6</f>
        <v/>
      </c>
      <c r="AN35">
        <f>IFERROR(INDEX(W$13:W$162,MATCH(23,$AE$13:$AE$162,0)),0)*$T$6</f>
        <v/>
      </c>
      <c r="AO35">
        <f>IFERROR(INDEX(X$13:X$162,MATCH(23,$AE$13:$AE$162,0)),0)*$T$6</f>
        <v/>
      </c>
      <c r="AP35">
        <f>IFERROR(INDEX(Y$13:Y$162,MATCH(23,$AE$13:$AE$162,0)),0)*$T$6</f>
        <v/>
      </c>
      <c r="AQ35">
        <f>IFERROR(INDEX(Z$13:Z$162,MATCH(23,$AE$13:$AE$162,0)),0)*$T$6</f>
        <v/>
      </c>
      <c r="AR35">
        <f>IFERROR(INDEX(AA$13:AA$162,MATCH(23,$AE$13:$AE$162,0)),0)*$T$6</f>
        <v/>
      </c>
      <c r="AS35">
        <f>IFERROR(INDEX($P$13:$P$162,MATCH(23,$AF$13:$AF$162,0)),"")</f>
        <v/>
      </c>
      <c r="AT35">
        <f>IFERROR(INDEX(S$13:S$162,MATCH(23,$AF$13:$AF$162,0)),0)*$T$7</f>
        <v/>
      </c>
      <c r="AU35">
        <f>IFERROR(INDEX(T$13:T$162,MATCH(23,$AF$13:$AF$162,0)),0)*$T$7</f>
        <v/>
      </c>
      <c r="AV35">
        <f>IFERROR(INDEX(U$13:U$162,MATCH(23,$AF$13:$AF$162,0)),0)*$T$7</f>
        <v/>
      </c>
      <c r="AW35">
        <f>IFERROR(INDEX(V$13:V$162,MATCH(23,$AF$13:$AF$162,0)),0)*$T$7</f>
        <v/>
      </c>
      <c r="AX35">
        <f>IFERROR(INDEX(W$13:W$162,MATCH(23,$AF$13:$AF$162,0)),0)*$T$7</f>
        <v/>
      </c>
      <c r="AY35">
        <f>IFERROR(INDEX(X$13:X$162,MATCH(23,$AF$13:$AF$162,0)),0)*$T$7</f>
        <v/>
      </c>
      <c r="AZ35">
        <f>IFERROR(INDEX(Y$13:Y$162,MATCH(23,$AF$13:$AF$162,0)),0)*$T$7</f>
        <v/>
      </c>
      <c r="BA35">
        <f>IFERROR(INDEX(Z$13:Z$162,MATCH(23,$AF$13:$AF$162,0)),0)*$T$7</f>
        <v/>
      </c>
      <c r="BB35">
        <f>IFERROR(INDEX(AA$13:AA$162,MATCH(23,$AF$13:$AF$162,0)),0)*$T$7</f>
        <v/>
      </c>
      <c r="BC35">
        <f>IFERROR(INDEX($P$13:$P$162,MATCH(23,$AG$13:$AG$162,0)),"")</f>
        <v/>
      </c>
      <c r="BD35">
        <f>IFERROR(INDEX(S$13:S$162,MATCH(23,$AG$13:$AG$162,0)),0)*($T$8+IF($C$10="",$T$9,0))</f>
        <v/>
      </c>
      <c r="BE35">
        <f>IFERROR(INDEX(T$13:T$162,MATCH(23,$AG$13:$AG$162,0)),0)*($T$8+IF($C$10="",$T$9,0))</f>
        <v/>
      </c>
      <c r="BF35">
        <f>IFERROR(INDEX(U$13:U$162,MATCH(23,$AG$13:$AG$162,0)),0)*($T$8+IF($C$10="",$T$9,0))</f>
        <v/>
      </c>
      <c r="BG35">
        <f>IFERROR(INDEX(V$13:V$162,MATCH(23,$AG$13:$AG$162,0)),0)*($T$8+IF($C$10="",$T$9,0))</f>
        <v/>
      </c>
      <c r="BH35">
        <f>IFERROR(INDEX(W$13:W$162,MATCH(23,$AG$13:$AG$162,0)),0)*($T$8+IF($C$10="",$T$9,0))</f>
        <v/>
      </c>
      <c r="BI35">
        <f>IFERROR(INDEX(X$13:X$162,MATCH(23,$AG$13:$AG$162,0)),0)*($T$8+IF($C$10="",$T$9,0))</f>
        <v/>
      </c>
      <c r="BJ35">
        <f>IFERROR(INDEX(Y$13:Y$162,MATCH(23,$AG$13:$AG$162,0)),0)*($T$8+IF($C$10="",$T$9,0))</f>
        <v/>
      </c>
      <c r="BK35">
        <f>IFERROR(INDEX(Z$13:Z$162,MATCH(23,$AG$13:$AG$162,0)),0)*($T$8+IF($C$10="",$T$9,0))</f>
        <v/>
      </c>
      <c r="BL35">
        <f>IFERROR(INDEX(AA$13:AA$162,MATCH(23,$AG$13:$AG$162,0)),0)*($T$8+IF($C$10="",$T$9,0))</f>
        <v/>
      </c>
      <c r="BN35">
        <f>IF(22&lt;$U$9,INT(22/($U$7*$U$8))+1,1)</f>
        <v/>
      </c>
      <c r="BO35">
        <f>IF(22&lt;$U$9,MOD(INT(22/$U$8),$U$7)+1,1)</f>
        <v/>
      </c>
      <c r="BP35">
        <f>IF(22&lt;$U$9,MOD(22,$U$8)+1,1)</f>
        <v/>
      </c>
      <c r="BQ35">
        <f>IF(22&lt;$U$9,SUMPRODUCT(($D$10:$L$10&lt;&gt;"")*(($D$9:$L$9+INT(($S$12:$AA$12+INDEX($AJ$13:$AR$162,BN35,0)+INDEX($AT$13:$BB$162,BO35,0)+INDEX($BD$13:$BL$162,BP35,0))/100))&gt;=$D$10:$L$10)),0)</f>
        <v/>
      </c>
      <c r="BR35">
        <f>IF(22&lt;$U$9,SUMPRODUCT(($D$10:$L$10&lt;&gt;"")*(($D$10:$L$10-($D$9:$L$9+INT(($S$12:$AA$12+INDEX($AJ$13:$AR$162,BN35,0)+INDEX($AT$13:$BB$162,BO35,0)+INDEX($BD$13:$BL$162,BP35,0))/100)))&gt;0)*($D$10:$L$10-($D$9:$L$9+INT(($S$12:$AA$12+INDEX($AJ$13:$AR$162,BN35,0)+INDEX($AT$13:$BB$162,BO35,0)+INDEX($BD$13:$BL$162,BP35,0))/100)))),0)</f>
        <v/>
      </c>
      <c r="BS35">
        <f>IF(22&lt;$U$9,SUMPRODUCT(($D$9:$L$9+INT(($S$12:$AA$12+INDEX($AJ$13:$AR$162,BN35,0)+INDEX($AT$13:$BB$162,BO35,0)+INDEX($BD$13:$BL$162,BP35,0))/100))),0)</f>
        <v/>
      </c>
      <c r="BT35">
        <f>IF(AND(22&lt;$U$9,$W$5),BQ35*1000000-MIN(BR35,999)*1000+BS35-22/100000,-1000000000-22)</f>
        <v/>
      </c>
    </row>
    <row r="36">
      <c r="A36" s="11" t="inlineStr">
        <is>
          <t>路线结果</t>
        </is>
      </c>
      <c r="B36" s="15" t="n"/>
      <c r="C36" s="15" t="n"/>
      <c r="D36" s="15">
        <f>IFERROR(INDEX(D$52:D$151,$B$10-$B$9+1),"")</f>
        <v/>
      </c>
      <c r="E36" s="15">
        <f>IFERROR(INDEX(E$52:E$151,$B$10-$B$9+1),"")</f>
        <v/>
      </c>
      <c r="F36" s="15">
        <f>IFERROR(INDEX(F$52:F$151,$B$10-$B$9+1),"")</f>
        <v/>
      </c>
      <c r="G36" s="15">
        <f>IFERROR(INDEX(G$52:G$151,$B$10-$B$9+1),"")</f>
        <v/>
      </c>
      <c r="H36" s="15">
        <f>IFERROR(INDEX(H$52:H$151,$B$10-$B$9+1),"")</f>
        <v/>
      </c>
      <c r="I36" s="15">
        <f>IFERROR(INDEX(I$52:I$151,$B$10-$B$9+1),"")</f>
        <v/>
      </c>
      <c r="J36" s="15">
        <f>IFERROR(INDEX(J$52:J$151,$B$10-$B$9+1),"")</f>
        <v/>
      </c>
      <c r="K36" s="15">
        <f>IFERROR(INDEX(K$52:K$151,$B$10-$B$9+1),"")</f>
        <v/>
      </c>
      <c r="L36" s="15">
        <f>IFERROR(INDEX(L$52:L$151,$B$10-$B$9+1),"")</f>
        <v/>
      </c>
      <c r="M36" s="3" t="n"/>
      <c r="P36">
        <f>IF('职业'!$C26="","",'职业'!$C26)</f>
        <v/>
      </c>
      <c r="Q36">
        <f>N('职业'!$D26)</f>
        <v/>
      </c>
      <c r="R36">
        <f>'职业'!$E26&amp;""</f>
        <v/>
      </c>
      <c r="S36">
        <f>IF($P36="",0,MAX(0,D$7+N('职业'!F26)))</f>
        <v/>
      </c>
      <c r="T36">
        <f>IF($P36="",0,MAX(0,E$7+N('职业'!G26)))</f>
        <v/>
      </c>
      <c r="U36">
        <f>IF($P36="",0,MAX(0,F$7+N('职业'!H26)))</f>
        <v/>
      </c>
      <c r="V36">
        <f>IF($P36="",0,MAX(0,G$7+N('职业'!I26)))</f>
        <v/>
      </c>
      <c r="W36">
        <f>IF($P36="",0,MAX(0,H$7+N('职业'!J26)))</f>
        <v/>
      </c>
      <c r="X36">
        <f>IF($P36="",0,MAX(0,I$7+N('职业'!K26)))</f>
        <v/>
      </c>
      <c r="Y36">
        <f>IF($P36="",0,MAX(0,J$7+N('职业'!L26)))</f>
        <v/>
      </c>
      <c r="Z36">
        <f>IF($P36="",0,MAX(0,K$7+N('职业'!M26)))</f>
        <v/>
      </c>
      <c r="AA36">
        <f>IF($P36="",0,MAX(0,L$7+N('职业'!N26)))</f>
        <v/>
      </c>
      <c r="AB36">
        <f>AND($P36&lt;&gt;"",IF($U$5=1,$P36=$C$10,OR($P36=$C$9,AND($R36="是",$Q36&lt;=MAX($B$9,$Q$6)))))</f>
        <v/>
      </c>
      <c r="AC36">
        <f>AND($P36&lt;&gt;"",IF($U$5=2,$P36=$C$10,OR($P36=$C$9,AND($R36="是",$Q36&lt;=MAX($B$9,$Q$7)))))</f>
        <v/>
      </c>
      <c r="AD36">
        <f>AND($P36&lt;&gt;"",IF($U$5=3,$P36=$C$10,OR($P36=$C$9,AND($R36="是",$Q36&lt;=MAX($B$9,$Q$8)))))</f>
        <v/>
      </c>
      <c r="AE36">
        <f>IF(AB36,COUNTIF(AB$13:AB36,TRUE),"")</f>
        <v/>
      </c>
      <c r="AF36">
        <f>IF(AC36,COUNTIF(AC$13:AC36,TRUE),"")</f>
        <v/>
      </c>
      <c r="AG36">
        <f>IF(AD36,COUNTIF(AD$13:AD36,TRUE),"")</f>
        <v/>
      </c>
      <c r="AI36">
        <f>IFERROR(INDEX($P$13:$P$162,MATCH(24,$AE$13:$AE$162,0)),"")</f>
        <v/>
      </c>
      <c r="AJ36">
        <f>IFERROR(INDEX(S$13:S$162,MATCH(24,$AE$13:$AE$162,0)),0)*$T$6</f>
        <v/>
      </c>
      <c r="AK36">
        <f>IFERROR(INDEX(T$13:T$162,MATCH(24,$AE$13:$AE$162,0)),0)*$T$6</f>
        <v/>
      </c>
      <c r="AL36">
        <f>IFERROR(INDEX(U$13:U$162,MATCH(24,$AE$13:$AE$162,0)),0)*$T$6</f>
        <v/>
      </c>
      <c r="AM36">
        <f>IFERROR(INDEX(V$13:V$162,MATCH(24,$AE$13:$AE$162,0)),0)*$T$6</f>
        <v/>
      </c>
      <c r="AN36">
        <f>IFERROR(INDEX(W$13:W$162,MATCH(24,$AE$13:$AE$162,0)),0)*$T$6</f>
        <v/>
      </c>
      <c r="AO36">
        <f>IFERROR(INDEX(X$13:X$162,MATCH(24,$AE$13:$AE$162,0)),0)*$T$6</f>
        <v/>
      </c>
      <c r="AP36">
        <f>IFERROR(INDEX(Y$13:Y$162,MATCH(24,$AE$13:$AE$162,0)),0)*$T$6</f>
        <v/>
      </c>
      <c r="AQ36">
        <f>IFERROR(INDEX(Z$13:Z$162,MATCH(24,$AE$13:$AE$162,0)),0)*$T$6</f>
        <v/>
      </c>
      <c r="AR36">
        <f>IFERROR(INDEX(AA$13:AA$162,MATCH(24,$AE$13:$AE$162,0)),0)*$T$6</f>
        <v/>
      </c>
      <c r="AS36">
        <f>IFERROR(INDEX($P$13:$P$162,MATCH(24,$AF$13:$AF$162,0)),"")</f>
        <v/>
      </c>
      <c r="AT36">
        <f>IFERROR(INDEX(S$13:S$162,MATCH(24,$AF$13:$AF$162,0)),0)*$T$7</f>
        <v/>
      </c>
      <c r="AU36">
        <f>IFERROR(INDEX(T$13:T$162,MATCH(24,$AF$13:$AF$162,0)),0)*$T$7</f>
        <v/>
      </c>
      <c r="AV36">
        <f>IFERROR(INDEX(U$13:U$162,MATCH(24,$AF$13:$AF$162,0)),0)*$T$7</f>
        <v/>
      </c>
      <c r="AW36">
        <f>IFERROR(INDEX(V$13:V$162,MATCH(24,$AF$13:$AF$162,0)),0)*$T$7</f>
        <v/>
      </c>
      <c r="AX36">
        <f>IFERROR(INDEX(W$13:W$162,MATCH(24,$AF$13:$AF$162,0)),0)*$T$7</f>
        <v/>
      </c>
      <c r="AY36">
        <f>IFERROR(INDEX(X$13:X$162,MATCH(24,$AF$13:$AF$162,0)),0)*$T$7</f>
        <v/>
      </c>
      <c r="AZ36">
        <f>IFERROR(INDEX(Y$13:Y$162,MATCH(24,$AF$13:$AF$162,0)),0)*$T$7</f>
        <v/>
      </c>
      <c r="BA36">
        <f>IFERROR(INDEX(Z$13:Z$162,MATCH(24,$AF$13:$AF$162,0)),0)*$T$7</f>
        <v/>
      </c>
      <c r="BB36">
        <f>IFERROR(INDEX(AA$13:AA$162,MATCH(24,$AF$13:$AF$162,0)),0)*$T$7</f>
        <v/>
      </c>
      <c r="BC36">
        <f>IFERROR(INDEX($P$13:$P$162,MATCH(24,$AG$13:$AG$162,0)),"")</f>
        <v/>
      </c>
      <c r="BD36">
        <f>IFERROR(INDEX(S$13:S$162,MATCH(24,$AG$13:$AG$162,0)),0)*($T$8+IF($C$10="",$T$9,0))</f>
        <v/>
      </c>
      <c r="BE36">
        <f>IFERROR(INDEX(T$13:T$162,MATCH(24,$AG$13:$AG$162,0)),0)*($T$8+IF($C$10="",$T$9,0))</f>
        <v/>
      </c>
      <c r="BF36">
        <f>IFERROR(INDEX(U$13:U$162,MATCH(24,$AG$13:$AG$162,0)),0)*($T$8+IF($C$10="",$T$9,0))</f>
        <v/>
      </c>
      <c r="BG36">
        <f>IFERROR(INDEX(V$13:V$162,MATCH(24,$AG$13:$AG$162,0)),0)*($T$8+IF($C$10="",$T$9,0))</f>
        <v/>
      </c>
      <c r="BH36">
        <f>IFERROR(INDEX(W$13:W$162,MATCH(24,$AG$13:$AG$162,0)),0)*($T$8+IF($C$10="",$T$9,0))</f>
        <v/>
      </c>
      <c r="BI36">
        <f>IFERROR(INDEX(X$13:X$162,MATCH(24,$AG$13:$AG$162,0)),0)*($T$8+IF($C$10="",$T$9,0))</f>
        <v/>
      </c>
      <c r="BJ36">
        <f>IFERROR(INDEX(Y$13:Y$162,MATCH(24,$AG$13:$AG$162,0)),0)*($T$8+IF($C$10="",$T$9,0))</f>
        <v/>
      </c>
      <c r="BK36">
        <f>IFERROR(INDEX(Z$13:Z$162,MATCH(24,$AG$13:$AG$162,0)),0)*($T$8+IF($C$10="",$T$9,0))</f>
        <v/>
      </c>
      <c r="BL36">
        <f>IFERROR(INDEX(AA$13:AA$162,MATCH(24,$AG$13:$AG$162,0)),0)*($T$8+IF($C$10="",$T$9,0))</f>
        <v/>
      </c>
      <c r="BN36">
        <f>IF(23&lt;$U$9,INT(23/($U$7*$U$8))+1,1)</f>
        <v/>
      </c>
      <c r="BO36">
        <f>IF(23&lt;$U$9,MOD(INT(23/$U$8),$U$7)+1,1)</f>
        <v/>
      </c>
      <c r="BP36">
        <f>IF(23&lt;$U$9,MOD(23,$U$8)+1,1)</f>
        <v/>
      </c>
      <c r="BQ36">
        <f>IF(23&lt;$U$9,SUMPRODUCT(($D$10:$L$10&lt;&gt;"")*(($D$9:$L$9+INT(($S$12:$AA$12+INDEX($AJ$13:$AR$162,BN36,0)+INDEX($AT$13:$BB$162,BO36,0)+INDEX($BD$13:$BL$162,BP36,0))/100))&gt;=$D$10:$L$10)),0)</f>
        <v/>
      </c>
      <c r="BR36">
        <f>IF(23&lt;$U$9,SUMPRODUCT(($D$10:$L$10&lt;&gt;"")*(($D$10:$L$10-($D$9:$L$9+INT(($S$12:$AA$12+INDEX($AJ$13:$AR$162,BN36,0)+INDEX($AT$13:$BB$162,BO36,0)+INDEX($BD$13:$BL$162,BP36,0))/100)))&gt;0)*($D$10:$L$10-($D$9:$L$9+INT(($S$12:$AA$12+INDEX($AJ$13:$AR$162,BN36,0)+INDEX($AT$13:$BB$162,BO36,0)+INDEX($BD$13:$BL$162,BP36,0))/100)))),0)</f>
        <v/>
      </c>
      <c r="BS36">
        <f>IF(23&lt;$U$9,SUMPRODUCT(($D$9:$L$9+INT(($S$12:$AA$12+INDEX($AJ$13:$AR$162,BN36,0)+INDEX($AT$13:$BB$162,BO36,0)+INDEX($BD$13:$BL$162,BP36,0))/100))),0)</f>
        <v/>
      </c>
      <c r="BT36">
        <f>IF(AND(23&lt;$U$9,$W$5),BQ36*1000000-MIN(BR36,999)*1000+BS36-23/100000,-1000000000-23)</f>
        <v/>
      </c>
    </row>
    <row r="37">
      <c r="A37" s="11" t="inlineStr">
        <is>
          <t>目标</t>
        </is>
      </c>
      <c r="B37" s="15" t="n"/>
      <c r="C37" s="15" t="n"/>
      <c r="D37" s="15">
        <f>IF(D$10="","",D$10)</f>
        <v/>
      </c>
      <c r="E37" s="15">
        <f>IF(E$10="","",E$10)</f>
        <v/>
      </c>
      <c r="F37" s="15">
        <f>IF(F$10="","",F$10)</f>
        <v/>
      </c>
      <c r="G37" s="15">
        <f>IF(G$10="","",G$10)</f>
        <v/>
      </c>
      <c r="H37" s="15">
        <f>IF(H$10="","",H$10)</f>
        <v/>
      </c>
      <c r="I37" s="15">
        <f>IF(I$10="","",I$10)</f>
        <v/>
      </c>
      <c r="J37" s="15">
        <f>IF(J$10="","",J$10)</f>
        <v/>
      </c>
      <c r="K37" s="15">
        <f>IF(K$10="","",K$10)</f>
        <v/>
      </c>
      <c r="L37" s="15">
        <f>IF(L$10="","",L$10)</f>
        <v/>
      </c>
      <c r="M37" s="3" t="n"/>
      <c r="P37">
        <f>IF('职业'!$C27="","",'职业'!$C27)</f>
        <v/>
      </c>
      <c r="Q37">
        <f>N('职业'!$D27)</f>
        <v/>
      </c>
      <c r="R37">
        <f>'职业'!$E27&amp;""</f>
        <v/>
      </c>
      <c r="S37">
        <f>IF($P37="",0,MAX(0,D$7+N('职业'!F27)))</f>
        <v/>
      </c>
      <c r="T37">
        <f>IF($P37="",0,MAX(0,E$7+N('职业'!G27)))</f>
        <v/>
      </c>
      <c r="U37">
        <f>IF($P37="",0,MAX(0,F$7+N('职业'!H27)))</f>
        <v/>
      </c>
      <c r="V37">
        <f>IF($P37="",0,MAX(0,G$7+N('职业'!I27)))</f>
        <v/>
      </c>
      <c r="W37">
        <f>IF($P37="",0,MAX(0,H$7+N('职业'!J27)))</f>
        <v/>
      </c>
      <c r="X37">
        <f>IF($P37="",0,MAX(0,I$7+N('职业'!K27)))</f>
        <v/>
      </c>
      <c r="Y37">
        <f>IF($P37="",0,MAX(0,J$7+N('职业'!L27)))</f>
        <v/>
      </c>
      <c r="Z37">
        <f>IF($P37="",0,MAX(0,K$7+N('职业'!M27)))</f>
        <v/>
      </c>
      <c r="AA37">
        <f>IF($P37="",0,MAX(0,L$7+N('职业'!N27)))</f>
        <v/>
      </c>
      <c r="AB37">
        <f>AND($P37&lt;&gt;"",IF($U$5=1,$P37=$C$10,OR($P37=$C$9,AND($R37="是",$Q37&lt;=MAX($B$9,$Q$6)))))</f>
        <v/>
      </c>
      <c r="AC37">
        <f>AND($P37&lt;&gt;"",IF($U$5=2,$P37=$C$10,OR($P37=$C$9,AND($R37="是",$Q37&lt;=MAX($B$9,$Q$7)))))</f>
        <v/>
      </c>
      <c r="AD37">
        <f>AND($P37&lt;&gt;"",IF($U$5=3,$P37=$C$10,OR($P37=$C$9,AND($R37="是",$Q37&lt;=MAX($B$9,$Q$8)))))</f>
        <v/>
      </c>
      <c r="AE37">
        <f>IF(AB37,COUNTIF(AB$13:AB37,TRUE),"")</f>
        <v/>
      </c>
      <c r="AF37">
        <f>IF(AC37,COUNTIF(AC$13:AC37,TRUE),"")</f>
        <v/>
      </c>
      <c r="AG37">
        <f>IF(AD37,COUNTIF(AD$13:AD37,TRUE),"")</f>
        <v/>
      </c>
      <c r="AI37">
        <f>IFERROR(INDEX($P$13:$P$162,MATCH(25,$AE$13:$AE$162,0)),"")</f>
        <v/>
      </c>
      <c r="AJ37">
        <f>IFERROR(INDEX(S$13:S$162,MATCH(25,$AE$13:$AE$162,0)),0)*$T$6</f>
        <v/>
      </c>
      <c r="AK37">
        <f>IFERROR(INDEX(T$13:T$162,MATCH(25,$AE$13:$AE$162,0)),0)*$T$6</f>
        <v/>
      </c>
      <c r="AL37">
        <f>IFERROR(INDEX(U$13:U$162,MATCH(25,$AE$13:$AE$162,0)),0)*$T$6</f>
        <v/>
      </c>
      <c r="AM37">
        <f>IFERROR(INDEX(V$13:V$162,MATCH(25,$AE$13:$AE$162,0)),0)*$T$6</f>
        <v/>
      </c>
      <c r="AN37">
        <f>IFERROR(INDEX(W$13:W$162,MATCH(25,$AE$13:$AE$162,0)),0)*$T$6</f>
        <v/>
      </c>
      <c r="AO37">
        <f>IFERROR(INDEX(X$13:X$162,MATCH(25,$AE$13:$AE$162,0)),0)*$T$6</f>
        <v/>
      </c>
      <c r="AP37">
        <f>IFERROR(INDEX(Y$13:Y$162,MATCH(25,$AE$13:$AE$162,0)),0)*$T$6</f>
        <v/>
      </c>
      <c r="AQ37">
        <f>IFERROR(INDEX(Z$13:Z$162,MATCH(25,$AE$13:$AE$162,0)),0)*$T$6</f>
        <v/>
      </c>
      <c r="AR37">
        <f>IFERROR(INDEX(AA$13:AA$162,MATCH(25,$AE$13:$AE$162,0)),0)*$T$6</f>
        <v/>
      </c>
      <c r="AS37">
        <f>IFERROR(INDEX($P$13:$P$162,MATCH(25,$AF$13:$AF$162,0)),"")</f>
        <v/>
      </c>
      <c r="AT37">
        <f>IFERROR(INDEX(S$13:S$162,MATCH(25,$AF$13:$AF$162,0)),0)*$T$7</f>
        <v/>
      </c>
      <c r="AU37">
        <f>IFERROR(INDEX(T$13:T$162,MATCH(25,$AF$13:$AF$162,0)),0)*$T$7</f>
        <v/>
      </c>
      <c r="AV37">
        <f>IFERROR(INDEX(U$13:U$162,MATCH(25,$AF$13:$AF$162,0)),0)*$T$7</f>
        <v/>
      </c>
      <c r="AW37">
        <f>IFERROR(INDEX(V$13:V$162,MATCH(25,$AF$13:$AF$162,0)),0)*$T$7</f>
        <v/>
      </c>
      <c r="AX37">
        <f>IFERROR(INDEX(W$13:W$162,MATCH(25,$AF$13:$AF$162,0)),0)*$T$7</f>
        <v/>
      </c>
      <c r="AY37">
        <f>IFERROR(INDEX(X$13:X$162,MATCH(25,$AF$13:$AF$162,0)),0)*$T$7</f>
        <v/>
      </c>
      <c r="AZ37">
        <f>IFERROR(INDEX(Y$13:Y$162,MATCH(25,$AF$13:$AF$162,0)),0)*$T$7</f>
        <v/>
      </c>
      <c r="BA37">
        <f>IFERROR(INDEX(Z$13:Z$162,MATCH(25,$AF$13:$AF$162,0)),0)*$T$7</f>
        <v/>
      </c>
      <c r="BB37">
        <f>IFERROR(INDEX(AA$13:AA$162,MATCH(25,$AF$13:$AF$162,0)),0)*$T$7</f>
        <v/>
      </c>
      <c r="BC37">
        <f>IFERROR(INDEX($P$13:$P$162,MATCH(25,$AG$13:$AG$162,0)),"")</f>
        <v/>
      </c>
      <c r="BD37">
        <f>IFERROR(INDEX(S$13:S$162,MATCH(25,$AG$13:$AG$162,0)),0)*($T$8+IF($C$10="",$T$9,0))</f>
        <v/>
      </c>
      <c r="BE37">
        <f>IFERROR(INDEX(T$13:T$162,MATCH(25,$AG$13:$AG$162,0)),0)*($T$8+IF($C$10="",$T$9,0))</f>
        <v/>
      </c>
      <c r="BF37">
        <f>IFERROR(INDEX(U$13:U$162,MATCH(25,$AG$13:$AG$162,0)),0)*($T$8+IF($C$10="",$T$9,0))</f>
        <v/>
      </c>
      <c r="BG37">
        <f>IFERROR(INDEX(V$13:V$162,MATCH(25,$AG$13:$AG$162,0)),0)*($T$8+IF($C$10="",$T$9,0))</f>
        <v/>
      </c>
      <c r="BH37">
        <f>IFERROR(INDEX(W$13:W$162,MATCH(25,$AG$13:$AG$162,0)),0)*($T$8+IF($C$10="",$T$9,0))</f>
        <v/>
      </c>
      <c r="BI37">
        <f>IFERROR(INDEX(X$13:X$162,MATCH(25,$AG$13:$AG$162,0)),0)*($T$8+IF($C$10="",$T$9,0))</f>
        <v/>
      </c>
      <c r="BJ37">
        <f>IFERROR(INDEX(Y$13:Y$162,MATCH(25,$AG$13:$AG$162,0)),0)*($T$8+IF($C$10="",$T$9,0))</f>
        <v/>
      </c>
      <c r="BK37">
        <f>IFERROR(INDEX(Z$13:Z$162,MATCH(25,$AG$13:$AG$162,0)),0)*($T$8+IF($C$10="",$T$9,0))</f>
        <v/>
      </c>
      <c r="BL37">
        <f>IFERROR(INDEX(AA$13:AA$162,MATCH(25,$AG$13:$AG$162,0)),0)*($T$8+IF($C$10="",$T$9,0))</f>
        <v/>
      </c>
      <c r="BN37">
        <f>IF(24&lt;$U$9,INT(24/($U$7*$U$8))+1,1)</f>
        <v/>
      </c>
      <c r="BO37">
        <f>IF(24&lt;$U$9,MOD(INT(24/$U$8),$U$7)+1,1)</f>
        <v/>
      </c>
      <c r="BP37">
        <f>IF(24&lt;$U$9,MOD(24,$U$8)+1,1)</f>
        <v/>
      </c>
      <c r="BQ37">
        <f>IF(24&lt;$U$9,SUMPRODUCT(($D$10:$L$10&lt;&gt;"")*(($D$9:$L$9+INT(($S$12:$AA$12+INDEX($AJ$13:$AR$162,BN37,0)+INDEX($AT$13:$BB$162,BO37,0)+INDEX($BD$13:$BL$162,BP37,0))/100))&gt;=$D$10:$L$10)),0)</f>
        <v/>
      </c>
      <c r="BR37">
        <f>IF(24&lt;$U$9,SUMPRODUCT(($D$10:$L$10&lt;&gt;"")*(($D$10:$L$10-($D$9:$L$9+INT(($S$12:$AA$12+INDEX($AJ$13:$AR$162,BN37,0)+INDEX($AT$13:$BB$162,BO37,0)+INDEX($BD$13:$BL$162,BP37,0))/100)))&gt;0)*($D$10:$L$10-($D$9:$L$9+INT(($S$12:$AA$12+INDEX($AJ$13:$AR$162,BN37,0)+INDEX($AT$13:$BB$162,BO37,0)+INDEX($BD$13:$BL$162,BP37,0))/100)))),0)</f>
        <v/>
      </c>
      <c r="BS37">
        <f>IF(24&lt;$U$9,SUMPRODUCT(($D$9:$L$9+INT(($S$12:$AA$12+INDEX($AJ$13:$AR$162,BN37,0)+INDEX($AT$13:$BB$162,BO37,0)+INDEX($BD$13:$BL$162,BP37,0))/100))),0)</f>
        <v/>
      </c>
      <c r="BT37">
        <f>IF(AND(24&lt;$U$9,$W$5),BQ37*1000000-MIN(BR37,999)*1000+BS37-24/100000,-1000000000-24)</f>
        <v/>
      </c>
    </row>
    <row r="38">
      <c r="A38" s="11" t="inlineStr">
        <is>
          <t>差值</t>
        </is>
      </c>
      <c r="B38" s="15" t="n"/>
      <c r="C38" s="15" t="n"/>
      <c r="D38" s="15">
        <f>IF(OR(D37="",D36=""),"",D36-D37)</f>
        <v/>
      </c>
      <c r="E38" s="15">
        <f>IF(OR(E37="",E36=""),"",E36-E37)</f>
        <v/>
      </c>
      <c r="F38" s="15">
        <f>IF(OR(F37="",F36=""),"",F36-F37)</f>
        <v/>
      </c>
      <c r="G38" s="15">
        <f>IF(OR(G37="",G36=""),"",G36-G37)</f>
        <v/>
      </c>
      <c r="H38" s="15">
        <f>IF(OR(H37="",H36=""),"",H36-H37)</f>
        <v/>
      </c>
      <c r="I38" s="15">
        <f>IF(OR(I37="",I36=""),"",I36-I37)</f>
        <v/>
      </c>
      <c r="J38" s="15">
        <f>IF(OR(J37="",J36=""),"",J36-J37)</f>
        <v/>
      </c>
      <c r="K38" s="15">
        <f>IF(OR(K37="",K36=""),"",K36-K37)</f>
        <v/>
      </c>
      <c r="L38" s="15">
        <f>IF(OR(L37="",L36=""),"",L36-L37)</f>
        <v/>
      </c>
      <c r="M38" s="3" t="n"/>
      <c r="P38">
        <f>IF('职业'!$C28="","",'职业'!$C28)</f>
        <v/>
      </c>
      <c r="Q38">
        <f>N('职业'!$D28)</f>
        <v/>
      </c>
      <c r="R38">
        <f>'职业'!$E28&amp;""</f>
        <v/>
      </c>
      <c r="S38">
        <f>IF($P38="",0,MAX(0,D$7+N('职业'!F28)))</f>
        <v/>
      </c>
      <c r="T38">
        <f>IF($P38="",0,MAX(0,E$7+N('职业'!G28)))</f>
        <v/>
      </c>
      <c r="U38">
        <f>IF($P38="",0,MAX(0,F$7+N('职业'!H28)))</f>
        <v/>
      </c>
      <c r="V38">
        <f>IF($P38="",0,MAX(0,G$7+N('职业'!I28)))</f>
        <v/>
      </c>
      <c r="W38">
        <f>IF($P38="",0,MAX(0,H$7+N('职业'!J28)))</f>
        <v/>
      </c>
      <c r="X38">
        <f>IF($P38="",0,MAX(0,I$7+N('职业'!K28)))</f>
        <v/>
      </c>
      <c r="Y38">
        <f>IF($P38="",0,MAX(0,J$7+N('职业'!L28)))</f>
        <v/>
      </c>
      <c r="Z38">
        <f>IF($P38="",0,MAX(0,K$7+N('职业'!M28)))</f>
        <v/>
      </c>
      <c r="AA38">
        <f>IF($P38="",0,MAX(0,L$7+N('职业'!N28)))</f>
        <v/>
      </c>
      <c r="AB38">
        <f>AND($P38&lt;&gt;"",IF($U$5=1,$P38=$C$10,OR($P38=$C$9,AND($R38="是",$Q38&lt;=MAX($B$9,$Q$6)))))</f>
        <v/>
      </c>
      <c r="AC38">
        <f>AND($P38&lt;&gt;"",IF($U$5=2,$P38=$C$10,OR($P38=$C$9,AND($R38="是",$Q38&lt;=MAX($B$9,$Q$7)))))</f>
        <v/>
      </c>
      <c r="AD38">
        <f>AND($P38&lt;&gt;"",IF($U$5=3,$P38=$C$10,OR($P38=$C$9,AND($R38="是",$Q38&lt;=MAX($B$9,$Q$8)))))</f>
        <v/>
      </c>
      <c r="AE38">
        <f>IF(AB38,COUNTIF(AB$13:AB38,TRUE),"")</f>
        <v/>
      </c>
      <c r="AF38">
        <f>IF(AC38,COUNTIF(AC$13:AC38,TRUE),"")</f>
        <v/>
      </c>
      <c r="AG38">
        <f>IF(AD38,COUNTIF(AD$13:AD38,TRUE),"")</f>
        <v/>
      </c>
      <c r="AI38">
        <f>IFERROR(INDEX($P$13:$P$162,MATCH(26,$AE$13:$AE$162,0)),"")</f>
        <v/>
      </c>
      <c r="AJ38">
        <f>IFERROR(INDEX(S$13:S$162,MATCH(26,$AE$13:$AE$162,0)),0)*$T$6</f>
        <v/>
      </c>
      <c r="AK38">
        <f>IFERROR(INDEX(T$13:T$162,MATCH(26,$AE$13:$AE$162,0)),0)*$T$6</f>
        <v/>
      </c>
      <c r="AL38">
        <f>IFERROR(INDEX(U$13:U$162,MATCH(26,$AE$13:$AE$162,0)),0)*$T$6</f>
        <v/>
      </c>
      <c r="AM38">
        <f>IFERROR(INDEX(V$13:V$162,MATCH(26,$AE$13:$AE$162,0)),0)*$T$6</f>
        <v/>
      </c>
      <c r="AN38">
        <f>IFERROR(INDEX(W$13:W$162,MATCH(26,$AE$13:$AE$162,0)),0)*$T$6</f>
        <v/>
      </c>
      <c r="AO38">
        <f>IFERROR(INDEX(X$13:X$162,MATCH(26,$AE$13:$AE$162,0)),0)*$T$6</f>
        <v/>
      </c>
      <c r="AP38">
        <f>IFERROR(INDEX(Y$13:Y$162,MATCH(26,$AE$13:$AE$162,0)),0)*$T$6</f>
        <v/>
      </c>
      <c r="AQ38">
        <f>IFERROR(INDEX(Z$13:Z$162,MATCH(26,$AE$13:$AE$162,0)),0)*$T$6</f>
        <v/>
      </c>
      <c r="AR38">
        <f>IFERROR(INDEX(AA$13:AA$162,MATCH(26,$AE$13:$AE$162,0)),0)*$T$6</f>
        <v/>
      </c>
      <c r="AS38">
        <f>IFERROR(INDEX($P$13:$P$162,MATCH(26,$AF$13:$AF$162,0)),"")</f>
        <v/>
      </c>
      <c r="AT38">
        <f>IFERROR(INDEX(S$13:S$162,MATCH(26,$AF$13:$AF$162,0)),0)*$T$7</f>
        <v/>
      </c>
      <c r="AU38">
        <f>IFERROR(INDEX(T$13:T$162,MATCH(26,$AF$13:$AF$162,0)),0)*$T$7</f>
        <v/>
      </c>
      <c r="AV38">
        <f>IFERROR(INDEX(U$13:U$162,MATCH(26,$AF$13:$AF$162,0)),0)*$T$7</f>
        <v/>
      </c>
      <c r="AW38">
        <f>IFERROR(INDEX(V$13:V$162,MATCH(26,$AF$13:$AF$162,0)),0)*$T$7</f>
        <v/>
      </c>
      <c r="AX38">
        <f>IFERROR(INDEX(W$13:W$162,MATCH(26,$AF$13:$AF$162,0)),0)*$T$7</f>
        <v/>
      </c>
      <c r="AY38">
        <f>IFERROR(INDEX(X$13:X$162,MATCH(26,$AF$13:$AF$162,0)),0)*$T$7</f>
        <v/>
      </c>
      <c r="AZ38">
        <f>IFERROR(INDEX(Y$13:Y$162,MATCH(26,$AF$13:$AF$162,0)),0)*$T$7</f>
        <v/>
      </c>
      <c r="BA38">
        <f>IFERROR(INDEX(Z$13:Z$162,MATCH(26,$AF$13:$AF$162,0)),0)*$T$7</f>
        <v/>
      </c>
      <c r="BB38">
        <f>IFERROR(INDEX(AA$13:AA$162,MATCH(26,$AF$13:$AF$162,0)),0)*$T$7</f>
        <v/>
      </c>
      <c r="BC38">
        <f>IFERROR(INDEX($P$13:$P$162,MATCH(26,$AG$13:$AG$162,0)),"")</f>
        <v/>
      </c>
      <c r="BD38">
        <f>IFERROR(INDEX(S$13:S$162,MATCH(26,$AG$13:$AG$162,0)),0)*($T$8+IF($C$10="",$T$9,0))</f>
        <v/>
      </c>
      <c r="BE38">
        <f>IFERROR(INDEX(T$13:T$162,MATCH(26,$AG$13:$AG$162,0)),0)*($T$8+IF($C$10="",$T$9,0))</f>
        <v/>
      </c>
      <c r="BF38">
        <f>IFERROR(INDEX(U$13:U$162,MATCH(26,$AG$13:$AG$162,0)),0)*($T$8+IF($C$10="",$T$9,0))</f>
        <v/>
      </c>
      <c r="BG38">
        <f>IFERROR(INDEX(V$13:V$162,MATCH(26,$AG$13:$AG$162,0)),0)*($T$8+IF($C$10="",$T$9,0))</f>
        <v/>
      </c>
      <c r="BH38">
        <f>IFERROR(INDEX(W$13:W$162,MATCH(26,$AG$13:$AG$162,0)),0)*($T$8+IF($C$10="",$T$9,0))</f>
        <v/>
      </c>
      <c r="BI38">
        <f>IFERROR(INDEX(X$13:X$162,MATCH(26,$AG$13:$AG$162,0)),0)*($T$8+IF($C$10="",$T$9,0))</f>
        <v/>
      </c>
      <c r="BJ38">
        <f>IFERROR(INDEX(Y$13:Y$162,MATCH(26,$AG$13:$AG$162,0)),0)*($T$8+IF($C$10="",$T$9,0))</f>
        <v/>
      </c>
      <c r="BK38">
        <f>IFERROR(INDEX(Z$13:Z$162,MATCH(26,$AG$13:$AG$162,0)),0)*($T$8+IF($C$10="",$T$9,0))</f>
        <v/>
      </c>
      <c r="BL38">
        <f>IFERROR(INDEX(AA$13:AA$162,MATCH(26,$AG$13:$AG$162,0)),0)*($T$8+IF($C$10="",$T$9,0))</f>
        <v/>
      </c>
      <c r="BN38">
        <f>IF(25&lt;$U$9,INT(25/($U$7*$U$8))+1,1)</f>
        <v/>
      </c>
      <c r="BO38">
        <f>IF(25&lt;$U$9,MOD(INT(25/$U$8),$U$7)+1,1)</f>
        <v/>
      </c>
      <c r="BP38">
        <f>IF(25&lt;$U$9,MOD(25,$U$8)+1,1)</f>
        <v/>
      </c>
      <c r="BQ38">
        <f>IF(25&lt;$U$9,SUMPRODUCT(($D$10:$L$10&lt;&gt;"")*(($D$9:$L$9+INT(($S$12:$AA$12+INDEX($AJ$13:$AR$162,BN38,0)+INDEX($AT$13:$BB$162,BO38,0)+INDEX($BD$13:$BL$162,BP38,0))/100))&gt;=$D$10:$L$10)),0)</f>
        <v/>
      </c>
      <c r="BR38">
        <f>IF(25&lt;$U$9,SUMPRODUCT(($D$10:$L$10&lt;&gt;"")*(($D$10:$L$10-($D$9:$L$9+INT(($S$12:$AA$12+INDEX($AJ$13:$AR$162,BN38,0)+INDEX($AT$13:$BB$162,BO38,0)+INDEX($BD$13:$BL$162,BP38,0))/100)))&gt;0)*($D$10:$L$10-($D$9:$L$9+INT(($S$12:$AA$12+INDEX($AJ$13:$AR$162,BN38,0)+INDEX($AT$13:$BB$162,BO38,0)+INDEX($BD$13:$BL$162,BP38,0))/100)))),0)</f>
        <v/>
      </c>
      <c r="BS38">
        <f>IF(25&lt;$U$9,SUMPRODUCT(($D$9:$L$9+INT(($S$12:$AA$12+INDEX($AJ$13:$AR$162,BN38,0)+INDEX($AT$13:$BB$162,BO38,0)+INDEX($BD$13:$BL$162,BP38,0))/100))),0)</f>
        <v/>
      </c>
      <c r="BT38">
        <f>IF(AND(25&lt;$U$9,$W$5),BQ38*1000000-MIN(BR38,999)*1000+BS38-25/100000,-1000000000-25)</f>
        <v/>
      </c>
    </row>
    <row r="39">
      <c r="A39" s="11" t="inlineStr">
        <is>
          <t>判定</t>
        </is>
      </c>
      <c r="B39" s="11">
        <f>COUNTIF(D39:L39,"✓")&amp;" / "&amp;$W$6&amp;" 项达成"</f>
        <v/>
      </c>
      <c r="C39" s="17" t="n"/>
      <c r="D39" s="15">
        <f>IF(D38="","—",IF(D38&gt;=0,"✓","✗ 差"&amp;-D38))</f>
        <v/>
      </c>
      <c r="E39" s="15">
        <f>IF(E38="","—",IF(E38&gt;=0,"✓","✗ 差"&amp;-E38))</f>
        <v/>
      </c>
      <c r="F39" s="15">
        <f>IF(F38="","—",IF(F38&gt;=0,"✓","✗ 差"&amp;-F38))</f>
        <v/>
      </c>
      <c r="G39" s="15">
        <f>IF(G38="","—",IF(G38&gt;=0,"✓","✗ 差"&amp;-G38))</f>
        <v/>
      </c>
      <c r="H39" s="15">
        <f>IF(H38="","—",IF(H38&gt;=0,"✓","✗ 差"&amp;-H38))</f>
        <v/>
      </c>
      <c r="I39" s="15">
        <f>IF(I38="","—",IF(I38&gt;=0,"✓","✗ 差"&amp;-I38))</f>
        <v/>
      </c>
      <c r="J39" s="15">
        <f>IF(J38="","—",IF(J38&gt;=0,"✓","✗ 差"&amp;-J38))</f>
        <v/>
      </c>
      <c r="K39" s="15">
        <f>IF(K38="","—",IF(K38&gt;=0,"✓","✗ 差"&amp;-K38))</f>
        <v/>
      </c>
      <c r="L39" s="15">
        <f>IF(L38="","—",IF(L38&gt;=0,"✓","✗ 差"&amp;-L38))</f>
        <v/>
      </c>
      <c r="M39" s="3" t="n"/>
      <c r="P39">
        <f>IF('职业'!$C29="","",'职业'!$C29)</f>
        <v/>
      </c>
      <c r="Q39">
        <f>N('职业'!$D29)</f>
        <v/>
      </c>
      <c r="R39">
        <f>'职业'!$E29&amp;""</f>
        <v/>
      </c>
      <c r="S39">
        <f>IF($P39="",0,MAX(0,D$7+N('职业'!F29)))</f>
        <v/>
      </c>
      <c r="T39">
        <f>IF($P39="",0,MAX(0,E$7+N('职业'!G29)))</f>
        <v/>
      </c>
      <c r="U39">
        <f>IF($P39="",0,MAX(0,F$7+N('职业'!H29)))</f>
        <v/>
      </c>
      <c r="V39">
        <f>IF($P39="",0,MAX(0,G$7+N('职业'!I29)))</f>
        <v/>
      </c>
      <c r="W39">
        <f>IF($P39="",0,MAX(0,H$7+N('职业'!J29)))</f>
        <v/>
      </c>
      <c r="X39">
        <f>IF($P39="",0,MAX(0,I$7+N('职业'!K29)))</f>
        <v/>
      </c>
      <c r="Y39">
        <f>IF($P39="",0,MAX(0,J$7+N('职业'!L29)))</f>
        <v/>
      </c>
      <c r="Z39">
        <f>IF($P39="",0,MAX(0,K$7+N('职业'!M29)))</f>
        <v/>
      </c>
      <c r="AA39">
        <f>IF($P39="",0,MAX(0,L$7+N('职业'!N29)))</f>
        <v/>
      </c>
      <c r="AB39">
        <f>AND($P39&lt;&gt;"",IF($U$5=1,$P39=$C$10,OR($P39=$C$9,AND($R39="是",$Q39&lt;=MAX($B$9,$Q$6)))))</f>
        <v/>
      </c>
      <c r="AC39">
        <f>AND($P39&lt;&gt;"",IF($U$5=2,$P39=$C$10,OR($P39=$C$9,AND($R39="是",$Q39&lt;=MAX($B$9,$Q$7)))))</f>
        <v/>
      </c>
      <c r="AD39">
        <f>AND($P39&lt;&gt;"",IF($U$5=3,$P39=$C$10,OR($P39=$C$9,AND($R39="是",$Q39&lt;=MAX($B$9,$Q$8)))))</f>
        <v/>
      </c>
      <c r="AE39">
        <f>IF(AB39,COUNTIF(AB$13:AB39,TRUE),"")</f>
        <v/>
      </c>
      <c r="AF39">
        <f>IF(AC39,COUNTIF(AC$13:AC39,TRUE),"")</f>
        <v/>
      </c>
      <c r="AG39">
        <f>IF(AD39,COUNTIF(AD$13:AD39,TRUE),"")</f>
        <v/>
      </c>
      <c r="AI39">
        <f>IFERROR(INDEX($P$13:$P$162,MATCH(27,$AE$13:$AE$162,0)),"")</f>
        <v/>
      </c>
      <c r="AJ39">
        <f>IFERROR(INDEX(S$13:S$162,MATCH(27,$AE$13:$AE$162,0)),0)*$T$6</f>
        <v/>
      </c>
      <c r="AK39">
        <f>IFERROR(INDEX(T$13:T$162,MATCH(27,$AE$13:$AE$162,0)),0)*$T$6</f>
        <v/>
      </c>
      <c r="AL39">
        <f>IFERROR(INDEX(U$13:U$162,MATCH(27,$AE$13:$AE$162,0)),0)*$T$6</f>
        <v/>
      </c>
      <c r="AM39">
        <f>IFERROR(INDEX(V$13:V$162,MATCH(27,$AE$13:$AE$162,0)),0)*$T$6</f>
        <v/>
      </c>
      <c r="AN39">
        <f>IFERROR(INDEX(W$13:W$162,MATCH(27,$AE$13:$AE$162,0)),0)*$T$6</f>
        <v/>
      </c>
      <c r="AO39">
        <f>IFERROR(INDEX(X$13:X$162,MATCH(27,$AE$13:$AE$162,0)),0)*$T$6</f>
        <v/>
      </c>
      <c r="AP39">
        <f>IFERROR(INDEX(Y$13:Y$162,MATCH(27,$AE$13:$AE$162,0)),0)*$T$6</f>
        <v/>
      </c>
      <c r="AQ39">
        <f>IFERROR(INDEX(Z$13:Z$162,MATCH(27,$AE$13:$AE$162,0)),0)*$T$6</f>
        <v/>
      </c>
      <c r="AR39">
        <f>IFERROR(INDEX(AA$13:AA$162,MATCH(27,$AE$13:$AE$162,0)),0)*$T$6</f>
        <v/>
      </c>
      <c r="AS39">
        <f>IFERROR(INDEX($P$13:$P$162,MATCH(27,$AF$13:$AF$162,0)),"")</f>
        <v/>
      </c>
      <c r="AT39">
        <f>IFERROR(INDEX(S$13:S$162,MATCH(27,$AF$13:$AF$162,0)),0)*$T$7</f>
        <v/>
      </c>
      <c r="AU39">
        <f>IFERROR(INDEX(T$13:T$162,MATCH(27,$AF$13:$AF$162,0)),0)*$T$7</f>
        <v/>
      </c>
      <c r="AV39">
        <f>IFERROR(INDEX(U$13:U$162,MATCH(27,$AF$13:$AF$162,0)),0)*$T$7</f>
        <v/>
      </c>
      <c r="AW39">
        <f>IFERROR(INDEX(V$13:V$162,MATCH(27,$AF$13:$AF$162,0)),0)*$T$7</f>
        <v/>
      </c>
      <c r="AX39">
        <f>IFERROR(INDEX(W$13:W$162,MATCH(27,$AF$13:$AF$162,0)),0)*$T$7</f>
        <v/>
      </c>
      <c r="AY39">
        <f>IFERROR(INDEX(X$13:X$162,MATCH(27,$AF$13:$AF$162,0)),0)*$T$7</f>
        <v/>
      </c>
      <c r="AZ39">
        <f>IFERROR(INDEX(Y$13:Y$162,MATCH(27,$AF$13:$AF$162,0)),0)*$T$7</f>
        <v/>
      </c>
      <c r="BA39">
        <f>IFERROR(INDEX(Z$13:Z$162,MATCH(27,$AF$13:$AF$162,0)),0)*$T$7</f>
        <v/>
      </c>
      <c r="BB39">
        <f>IFERROR(INDEX(AA$13:AA$162,MATCH(27,$AF$13:$AF$162,0)),0)*$T$7</f>
        <v/>
      </c>
      <c r="BC39">
        <f>IFERROR(INDEX($P$13:$P$162,MATCH(27,$AG$13:$AG$162,0)),"")</f>
        <v/>
      </c>
      <c r="BD39">
        <f>IFERROR(INDEX(S$13:S$162,MATCH(27,$AG$13:$AG$162,0)),0)*($T$8+IF($C$10="",$T$9,0))</f>
        <v/>
      </c>
      <c r="BE39">
        <f>IFERROR(INDEX(T$13:T$162,MATCH(27,$AG$13:$AG$162,0)),0)*($T$8+IF($C$10="",$T$9,0))</f>
        <v/>
      </c>
      <c r="BF39">
        <f>IFERROR(INDEX(U$13:U$162,MATCH(27,$AG$13:$AG$162,0)),0)*($T$8+IF($C$10="",$T$9,0))</f>
        <v/>
      </c>
      <c r="BG39">
        <f>IFERROR(INDEX(V$13:V$162,MATCH(27,$AG$13:$AG$162,0)),0)*($T$8+IF($C$10="",$T$9,0))</f>
        <v/>
      </c>
      <c r="BH39">
        <f>IFERROR(INDEX(W$13:W$162,MATCH(27,$AG$13:$AG$162,0)),0)*($T$8+IF($C$10="",$T$9,0))</f>
        <v/>
      </c>
      <c r="BI39">
        <f>IFERROR(INDEX(X$13:X$162,MATCH(27,$AG$13:$AG$162,0)),0)*($T$8+IF($C$10="",$T$9,0))</f>
        <v/>
      </c>
      <c r="BJ39">
        <f>IFERROR(INDEX(Y$13:Y$162,MATCH(27,$AG$13:$AG$162,0)),0)*($T$8+IF($C$10="",$T$9,0))</f>
        <v/>
      </c>
      <c r="BK39">
        <f>IFERROR(INDEX(Z$13:Z$162,MATCH(27,$AG$13:$AG$162,0)),0)*($T$8+IF($C$10="",$T$9,0))</f>
        <v/>
      </c>
      <c r="BL39">
        <f>IFERROR(INDEX(AA$13:AA$162,MATCH(27,$AG$13:$AG$162,0)),0)*($T$8+IF($C$10="",$T$9,0))</f>
        <v/>
      </c>
      <c r="BN39">
        <f>IF(26&lt;$U$9,INT(26/($U$7*$U$8))+1,1)</f>
        <v/>
      </c>
      <c r="BO39">
        <f>IF(26&lt;$U$9,MOD(INT(26/$U$8),$U$7)+1,1)</f>
        <v/>
      </c>
      <c r="BP39">
        <f>IF(26&lt;$U$9,MOD(26,$U$8)+1,1)</f>
        <v/>
      </c>
      <c r="BQ39">
        <f>IF(26&lt;$U$9,SUMPRODUCT(($D$10:$L$10&lt;&gt;"")*(($D$9:$L$9+INT(($S$12:$AA$12+INDEX($AJ$13:$AR$162,BN39,0)+INDEX($AT$13:$BB$162,BO39,0)+INDEX($BD$13:$BL$162,BP39,0))/100))&gt;=$D$10:$L$10)),0)</f>
        <v/>
      </c>
      <c r="BR39">
        <f>IF(26&lt;$U$9,SUMPRODUCT(($D$10:$L$10&lt;&gt;"")*(($D$10:$L$10-($D$9:$L$9+INT(($S$12:$AA$12+INDEX($AJ$13:$AR$162,BN39,0)+INDEX($AT$13:$BB$162,BO39,0)+INDEX($BD$13:$BL$162,BP39,0))/100)))&gt;0)*($D$10:$L$10-($D$9:$L$9+INT(($S$12:$AA$12+INDEX($AJ$13:$AR$162,BN39,0)+INDEX($AT$13:$BB$162,BO39,0)+INDEX($BD$13:$BL$162,BP39,0))/100)))),0)</f>
        <v/>
      </c>
      <c r="BS39">
        <f>IF(26&lt;$U$9,SUMPRODUCT(($D$9:$L$9+INT(($S$12:$AA$12+INDEX($AJ$13:$AR$162,BN39,0)+INDEX($AT$13:$BB$162,BO39,0)+INDEX($BD$13:$BL$162,BP39,0))/100))),0)</f>
        <v/>
      </c>
      <c r="BT39">
        <f>IF(AND(26&lt;$U$9,$W$5),BQ39*1000000-MIN(BR39,999)*1000+BS39-26/100000,-1000000000-26)</f>
        <v/>
      </c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P40">
        <f>IF('职业'!$C30="","",'职业'!$C30)</f>
        <v/>
      </c>
      <c r="Q40">
        <f>N('职业'!$D30)</f>
        <v/>
      </c>
      <c r="R40">
        <f>'职业'!$E30&amp;""</f>
        <v/>
      </c>
      <c r="S40">
        <f>IF($P40="",0,MAX(0,D$7+N('职业'!F30)))</f>
        <v/>
      </c>
      <c r="T40">
        <f>IF($P40="",0,MAX(0,E$7+N('职业'!G30)))</f>
        <v/>
      </c>
      <c r="U40">
        <f>IF($P40="",0,MAX(0,F$7+N('职业'!H30)))</f>
        <v/>
      </c>
      <c r="V40">
        <f>IF($P40="",0,MAX(0,G$7+N('职业'!I30)))</f>
        <v/>
      </c>
      <c r="W40">
        <f>IF($P40="",0,MAX(0,H$7+N('职业'!J30)))</f>
        <v/>
      </c>
      <c r="X40">
        <f>IF($P40="",0,MAX(0,I$7+N('职业'!K30)))</f>
        <v/>
      </c>
      <c r="Y40">
        <f>IF($P40="",0,MAX(0,J$7+N('职业'!L30)))</f>
        <v/>
      </c>
      <c r="Z40">
        <f>IF($P40="",0,MAX(0,K$7+N('职业'!M30)))</f>
        <v/>
      </c>
      <c r="AA40">
        <f>IF($P40="",0,MAX(0,L$7+N('职业'!N30)))</f>
        <v/>
      </c>
      <c r="AB40">
        <f>AND($P40&lt;&gt;"",IF($U$5=1,$P40=$C$10,OR($P40=$C$9,AND($R40="是",$Q40&lt;=MAX($B$9,$Q$6)))))</f>
        <v/>
      </c>
      <c r="AC40">
        <f>AND($P40&lt;&gt;"",IF($U$5=2,$P40=$C$10,OR($P40=$C$9,AND($R40="是",$Q40&lt;=MAX($B$9,$Q$7)))))</f>
        <v/>
      </c>
      <c r="AD40">
        <f>AND($P40&lt;&gt;"",IF($U$5=3,$P40=$C$10,OR($P40=$C$9,AND($R40="是",$Q40&lt;=MAX($B$9,$Q$8)))))</f>
        <v/>
      </c>
      <c r="AE40">
        <f>IF(AB40,COUNTIF(AB$13:AB40,TRUE),"")</f>
        <v/>
      </c>
      <c r="AF40">
        <f>IF(AC40,COUNTIF(AC$13:AC40,TRUE),"")</f>
        <v/>
      </c>
      <c r="AG40">
        <f>IF(AD40,COUNTIF(AD$13:AD40,TRUE),"")</f>
        <v/>
      </c>
      <c r="AI40">
        <f>IFERROR(INDEX($P$13:$P$162,MATCH(28,$AE$13:$AE$162,0)),"")</f>
        <v/>
      </c>
      <c r="AJ40">
        <f>IFERROR(INDEX(S$13:S$162,MATCH(28,$AE$13:$AE$162,0)),0)*$T$6</f>
        <v/>
      </c>
      <c r="AK40">
        <f>IFERROR(INDEX(T$13:T$162,MATCH(28,$AE$13:$AE$162,0)),0)*$T$6</f>
        <v/>
      </c>
      <c r="AL40">
        <f>IFERROR(INDEX(U$13:U$162,MATCH(28,$AE$13:$AE$162,0)),0)*$T$6</f>
        <v/>
      </c>
      <c r="AM40">
        <f>IFERROR(INDEX(V$13:V$162,MATCH(28,$AE$13:$AE$162,0)),0)*$T$6</f>
        <v/>
      </c>
      <c r="AN40">
        <f>IFERROR(INDEX(W$13:W$162,MATCH(28,$AE$13:$AE$162,0)),0)*$T$6</f>
        <v/>
      </c>
      <c r="AO40">
        <f>IFERROR(INDEX(X$13:X$162,MATCH(28,$AE$13:$AE$162,0)),0)*$T$6</f>
        <v/>
      </c>
      <c r="AP40">
        <f>IFERROR(INDEX(Y$13:Y$162,MATCH(28,$AE$13:$AE$162,0)),0)*$T$6</f>
        <v/>
      </c>
      <c r="AQ40">
        <f>IFERROR(INDEX(Z$13:Z$162,MATCH(28,$AE$13:$AE$162,0)),0)*$T$6</f>
        <v/>
      </c>
      <c r="AR40">
        <f>IFERROR(INDEX(AA$13:AA$162,MATCH(28,$AE$13:$AE$162,0)),0)*$T$6</f>
        <v/>
      </c>
      <c r="AS40">
        <f>IFERROR(INDEX($P$13:$P$162,MATCH(28,$AF$13:$AF$162,0)),"")</f>
        <v/>
      </c>
      <c r="AT40">
        <f>IFERROR(INDEX(S$13:S$162,MATCH(28,$AF$13:$AF$162,0)),0)*$T$7</f>
        <v/>
      </c>
      <c r="AU40">
        <f>IFERROR(INDEX(T$13:T$162,MATCH(28,$AF$13:$AF$162,0)),0)*$T$7</f>
        <v/>
      </c>
      <c r="AV40">
        <f>IFERROR(INDEX(U$13:U$162,MATCH(28,$AF$13:$AF$162,0)),0)*$T$7</f>
        <v/>
      </c>
      <c r="AW40">
        <f>IFERROR(INDEX(V$13:V$162,MATCH(28,$AF$13:$AF$162,0)),0)*$T$7</f>
        <v/>
      </c>
      <c r="AX40">
        <f>IFERROR(INDEX(W$13:W$162,MATCH(28,$AF$13:$AF$162,0)),0)*$T$7</f>
        <v/>
      </c>
      <c r="AY40">
        <f>IFERROR(INDEX(X$13:X$162,MATCH(28,$AF$13:$AF$162,0)),0)*$T$7</f>
        <v/>
      </c>
      <c r="AZ40">
        <f>IFERROR(INDEX(Y$13:Y$162,MATCH(28,$AF$13:$AF$162,0)),0)*$T$7</f>
        <v/>
      </c>
      <c r="BA40">
        <f>IFERROR(INDEX(Z$13:Z$162,MATCH(28,$AF$13:$AF$162,0)),0)*$T$7</f>
        <v/>
      </c>
      <c r="BB40">
        <f>IFERROR(INDEX(AA$13:AA$162,MATCH(28,$AF$13:$AF$162,0)),0)*$T$7</f>
        <v/>
      </c>
      <c r="BC40">
        <f>IFERROR(INDEX($P$13:$P$162,MATCH(28,$AG$13:$AG$162,0)),"")</f>
        <v/>
      </c>
      <c r="BD40">
        <f>IFERROR(INDEX(S$13:S$162,MATCH(28,$AG$13:$AG$162,0)),0)*($T$8+IF($C$10="",$T$9,0))</f>
        <v/>
      </c>
      <c r="BE40">
        <f>IFERROR(INDEX(T$13:T$162,MATCH(28,$AG$13:$AG$162,0)),0)*($T$8+IF($C$10="",$T$9,0))</f>
        <v/>
      </c>
      <c r="BF40">
        <f>IFERROR(INDEX(U$13:U$162,MATCH(28,$AG$13:$AG$162,0)),0)*($T$8+IF($C$10="",$T$9,0))</f>
        <v/>
      </c>
      <c r="BG40">
        <f>IFERROR(INDEX(V$13:V$162,MATCH(28,$AG$13:$AG$162,0)),0)*($T$8+IF($C$10="",$T$9,0))</f>
        <v/>
      </c>
      <c r="BH40">
        <f>IFERROR(INDEX(W$13:W$162,MATCH(28,$AG$13:$AG$162,0)),0)*($T$8+IF($C$10="",$T$9,0))</f>
        <v/>
      </c>
      <c r="BI40">
        <f>IFERROR(INDEX(X$13:X$162,MATCH(28,$AG$13:$AG$162,0)),0)*($T$8+IF($C$10="",$T$9,0))</f>
        <v/>
      </c>
      <c r="BJ40">
        <f>IFERROR(INDEX(Y$13:Y$162,MATCH(28,$AG$13:$AG$162,0)),0)*($T$8+IF($C$10="",$T$9,0))</f>
        <v/>
      </c>
      <c r="BK40">
        <f>IFERROR(INDEX(Z$13:Z$162,MATCH(28,$AG$13:$AG$162,0)),0)*($T$8+IF($C$10="",$T$9,0))</f>
        <v/>
      </c>
      <c r="BL40">
        <f>IFERROR(INDEX(AA$13:AA$162,MATCH(28,$AG$13:$AG$162,0)),0)*($T$8+IF($C$10="",$T$9,0))</f>
        <v/>
      </c>
      <c r="BN40">
        <f>IF(27&lt;$U$9,INT(27/($U$7*$U$8))+1,1)</f>
        <v/>
      </c>
      <c r="BO40">
        <f>IF(27&lt;$U$9,MOD(INT(27/$U$8),$U$7)+1,1)</f>
        <v/>
      </c>
      <c r="BP40">
        <f>IF(27&lt;$U$9,MOD(27,$U$8)+1,1)</f>
        <v/>
      </c>
      <c r="BQ40">
        <f>IF(27&lt;$U$9,SUMPRODUCT(($D$10:$L$10&lt;&gt;"")*(($D$9:$L$9+INT(($S$12:$AA$12+INDEX($AJ$13:$AR$162,BN40,0)+INDEX($AT$13:$BB$162,BO40,0)+INDEX($BD$13:$BL$162,BP40,0))/100))&gt;=$D$10:$L$10)),0)</f>
        <v/>
      </c>
      <c r="BR40">
        <f>IF(27&lt;$U$9,SUMPRODUCT(($D$10:$L$10&lt;&gt;"")*(($D$10:$L$10-($D$9:$L$9+INT(($S$12:$AA$12+INDEX($AJ$13:$AR$162,BN40,0)+INDEX($AT$13:$BB$162,BO40,0)+INDEX($BD$13:$BL$162,BP40,0))/100)))&gt;0)*($D$10:$L$10-($D$9:$L$9+INT(($S$12:$AA$12+INDEX($AJ$13:$AR$162,BN40,0)+INDEX($AT$13:$BB$162,BO40,0)+INDEX($BD$13:$BL$162,BP40,0))/100)))),0)</f>
        <v/>
      </c>
      <c r="BS40">
        <f>IF(27&lt;$U$9,SUMPRODUCT(($D$9:$L$9+INT(($S$12:$AA$12+INDEX($AJ$13:$AR$162,BN40,0)+INDEX($AT$13:$BB$162,BO40,0)+INDEX($BD$13:$BL$162,BP40,0))/100))),0)</f>
        <v/>
      </c>
      <c r="BT40">
        <f>IF(AND(27&lt;$U$9,$W$5),BQ40*1000000-MIN(BR40,999)*1000+BS40-27/100000,-1000000000-27)</f>
        <v/>
      </c>
    </row>
    <row r="41" ht="22" customHeight="1">
      <c r="A41" s="14" t="inlineStr">
        <is>
          <t>⑤ 手动路线（「显示路线」选「手动」时生效：自己填几级转什么职业，下方逐级表会按此计算）</t>
        </is>
      </c>
      <c r="P41">
        <f>IF('职业'!$C31="","",'职业'!$C31)</f>
        <v/>
      </c>
      <c r="Q41">
        <f>N('职业'!$D31)</f>
        <v/>
      </c>
      <c r="R41">
        <f>'职业'!$E31&amp;""</f>
        <v/>
      </c>
      <c r="S41">
        <f>IF($P41="",0,MAX(0,D$7+N('职业'!F31)))</f>
        <v/>
      </c>
      <c r="T41">
        <f>IF($P41="",0,MAX(0,E$7+N('职业'!G31)))</f>
        <v/>
      </c>
      <c r="U41">
        <f>IF($P41="",0,MAX(0,F$7+N('职业'!H31)))</f>
        <v/>
      </c>
      <c r="V41">
        <f>IF($P41="",0,MAX(0,G$7+N('职业'!I31)))</f>
        <v/>
      </c>
      <c r="W41">
        <f>IF($P41="",0,MAX(0,H$7+N('职业'!J31)))</f>
        <v/>
      </c>
      <c r="X41">
        <f>IF($P41="",0,MAX(0,I$7+N('职业'!K31)))</f>
        <v/>
      </c>
      <c r="Y41">
        <f>IF($P41="",0,MAX(0,J$7+N('职业'!L31)))</f>
        <v/>
      </c>
      <c r="Z41">
        <f>IF($P41="",0,MAX(0,K$7+N('职业'!M31)))</f>
        <v/>
      </c>
      <c r="AA41">
        <f>IF($P41="",0,MAX(0,L$7+N('职业'!N31)))</f>
        <v/>
      </c>
      <c r="AB41">
        <f>AND($P41&lt;&gt;"",IF($U$5=1,$P41=$C$10,OR($P41=$C$9,AND($R41="是",$Q41&lt;=MAX($B$9,$Q$6)))))</f>
        <v/>
      </c>
      <c r="AC41">
        <f>AND($P41&lt;&gt;"",IF($U$5=2,$P41=$C$10,OR($P41=$C$9,AND($R41="是",$Q41&lt;=MAX($B$9,$Q$7)))))</f>
        <v/>
      </c>
      <c r="AD41">
        <f>AND($P41&lt;&gt;"",IF($U$5=3,$P41=$C$10,OR($P41=$C$9,AND($R41="是",$Q41&lt;=MAX($B$9,$Q$8)))))</f>
        <v/>
      </c>
      <c r="AE41">
        <f>IF(AB41,COUNTIF(AB$13:AB41,TRUE),"")</f>
        <v/>
      </c>
      <c r="AF41">
        <f>IF(AC41,COUNTIF(AC$13:AC41,TRUE),"")</f>
        <v/>
      </c>
      <c r="AG41">
        <f>IF(AD41,COUNTIF(AD$13:AD41,TRUE),"")</f>
        <v/>
      </c>
      <c r="AI41">
        <f>IFERROR(INDEX($P$13:$P$162,MATCH(29,$AE$13:$AE$162,0)),"")</f>
        <v/>
      </c>
      <c r="AJ41">
        <f>IFERROR(INDEX(S$13:S$162,MATCH(29,$AE$13:$AE$162,0)),0)*$T$6</f>
        <v/>
      </c>
      <c r="AK41">
        <f>IFERROR(INDEX(T$13:T$162,MATCH(29,$AE$13:$AE$162,0)),0)*$T$6</f>
        <v/>
      </c>
      <c r="AL41">
        <f>IFERROR(INDEX(U$13:U$162,MATCH(29,$AE$13:$AE$162,0)),0)*$T$6</f>
        <v/>
      </c>
      <c r="AM41">
        <f>IFERROR(INDEX(V$13:V$162,MATCH(29,$AE$13:$AE$162,0)),0)*$T$6</f>
        <v/>
      </c>
      <c r="AN41">
        <f>IFERROR(INDEX(W$13:W$162,MATCH(29,$AE$13:$AE$162,0)),0)*$T$6</f>
        <v/>
      </c>
      <c r="AO41">
        <f>IFERROR(INDEX(X$13:X$162,MATCH(29,$AE$13:$AE$162,0)),0)*$T$6</f>
        <v/>
      </c>
      <c r="AP41">
        <f>IFERROR(INDEX(Y$13:Y$162,MATCH(29,$AE$13:$AE$162,0)),0)*$T$6</f>
        <v/>
      </c>
      <c r="AQ41">
        <f>IFERROR(INDEX(Z$13:Z$162,MATCH(29,$AE$13:$AE$162,0)),0)*$T$6</f>
        <v/>
      </c>
      <c r="AR41">
        <f>IFERROR(INDEX(AA$13:AA$162,MATCH(29,$AE$13:$AE$162,0)),0)*$T$6</f>
        <v/>
      </c>
      <c r="AS41">
        <f>IFERROR(INDEX($P$13:$P$162,MATCH(29,$AF$13:$AF$162,0)),"")</f>
        <v/>
      </c>
      <c r="AT41">
        <f>IFERROR(INDEX(S$13:S$162,MATCH(29,$AF$13:$AF$162,0)),0)*$T$7</f>
        <v/>
      </c>
      <c r="AU41">
        <f>IFERROR(INDEX(T$13:T$162,MATCH(29,$AF$13:$AF$162,0)),0)*$T$7</f>
        <v/>
      </c>
      <c r="AV41">
        <f>IFERROR(INDEX(U$13:U$162,MATCH(29,$AF$13:$AF$162,0)),0)*$T$7</f>
        <v/>
      </c>
      <c r="AW41">
        <f>IFERROR(INDEX(V$13:V$162,MATCH(29,$AF$13:$AF$162,0)),0)*$T$7</f>
        <v/>
      </c>
      <c r="AX41">
        <f>IFERROR(INDEX(W$13:W$162,MATCH(29,$AF$13:$AF$162,0)),0)*$T$7</f>
        <v/>
      </c>
      <c r="AY41">
        <f>IFERROR(INDEX(X$13:X$162,MATCH(29,$AF$13:$AF$162,0)),0)*$T$7</f>
        <v/>
      </c>
      <c r="AZ41">
        <f>IFERROR(INDEX(Y$13:Y$162,MATCH(29,$AF$13:$AF$162,0)),0)*$T$7</f>
        <v/>
      </c>
      <c r="BA41">
        <f>IFERROR(INDEX(Z$13:Z$162,MATCH(29,$AF$13:$AF$162,0)),0)*$T$7</f>
        <v/>
      </c>
      <c r="BB41">
        <f>IFERROR(INDEX(AA$13:AA$162,MATCH(29,$AF$13:$AF$162,0)),0)*$T$7</f>
        <v/>
      </c>
      <c r="BC41">
        <f>IFERROR(INDEX($P$13:$P$162,MATCH(29,$AG$13:$AG$162,0)),"")</f>
        <v/>
      </c>
      <c r="BD41">
        <f>IFERROR(INDEX(S$13:S$162,MATCH(29,$AG$13:$AG$162,0)),0)*($T$8+IF($C$10="",$T$9,0))</f>
        <v/>
      </c>
      <c r="BE41">
        <f>IFERROR(INDEX(T$13:T$162,MATCH(29,$AG$13:$AG$162,0)),0)*($T$8+IF($C$10="",$T$9,0))</f>
        <v/>
      </c>
      <c r="BF41">
        <f>IFERROR(INDEX(U$13:U$162,MATCH(29,$AG$13:$AG$162,0)),0)*($T$8+IF($C$10="",$T$9,0))</f>
        <v/>
      </c>
      <c r="BG41">
        <f>IFERROR(INDEX(V$13:V$162,MATCH(29,$AG$13:$AG$162,0)),0)*($T$8+IF($C$10="",$T$9,0))</f>
        <v/>
      </c>
      <c r="BH41">
        <f>IFERROR(INDEX(W$13:W$162,MATCH(29,$AG$13:$AG$162,0)),0)*($T$8+IF($C$10="",$T$9,0))</f>
        <v/>
      </c>
      <c r="BI41">
        <f>IFERROR(INDEX(X$13:X$162,MATCH(29,$AG$13:$AG$162,0)),0)*($T$8+IF($C$10="",$T$9,0))</f>
        <v/>
      </c>
      <c r="BJ41">
        <f>IFERROR(INDEX(Y$13:Y$162,MATCH(29,$AG$13:$AG$162,0)),0)*($T$8+IF($C$10="",$T$9,0))</f>
        <v/>
      </c>
      <c r="BK41">
        <f>IFERROR(INDEX(Z$13:Z$162,MATCH(29,$AG$13:$AG$162,0)),0)*($T$8+IF($C$10="",$T$9,0))</f>
        <v/>
      </c>
      <c r="BL41">
        <f>IFERROR(INDEX(AA$13:AA$162,MATCH(29,$AG$13:$AG$162,0)),0)*($T$8+IF($C$10="",$T$9,0))</f>
        <v/>
      </c>
      <c r="BN41">
        <f>IF(28&lt;$U$9,INT(28/($U$7*$U$8))+1,1)</f>
        <v/>
      </c>
      <c r="BO41">
        <f>IF(28&lt;$U$9,MOD(INT(28/$U$8),$U$7)+1,1)</f>
        <v/>
      </c>
      <c r="BP41">
        <f>IF(28&lt;$U$9,MOD(28,$U$8)+1,1)</f>
        <v/>
      </c>
      <c r="BQ41">
        <f>IF(28&lt;$U$9,SUMPRODUCT(($D$10:$L$10&lt;&gt;"")*(($D$9:$L$9+INT(($S$12:$AA$12+INDEX($AJ$13:$AR$162,BN41,0)+INDEX($AT$13:$BB$162,BO41,0)+INDEX($BD$13:$BL$162,BP41,0))/100))&gt;=$D$10:$L$10)),0)</f>
        <v/>
      </c>
      <c r="BR41">
        <f>IF(28&lt;$U$9,SUMPRODUCT(($D$10:$L$10&lt;&gt;"")*(($D$10:$L$10-($D$9:$L$9+INT(($S$12:$AA$12+INDEX($AJ$13:$AR$162,BN41,0)+INDEX($AT$13:$BB$162,BO41,0)+INDEX($BD$13:$BL$162,BP41,0))/100)))&gt;0)*($D$10:$L$10-($D$9:$L$9+INT(($S$12:$AA$12+INDEX($AJ$13:$AR$162,BN41,0)+INDEX($AT$13:$BB$162,BO41,0)+INDEX($BD$13:$BL$162,BP41,0))/100)))),0)</f>
        <v/>
      </c>
      <c r="BS41">
        <f>IF(28&lt;$U$9,SUMPRODUCT(($D$9:$L$9+INT(($S$12:$AA$12+INDEX($AJ$13:$AR$162,BN41,0)+INDEX($AT$13:$BB$162,BO41,0)+INDEX($BD$13:$BL$162,BP41,0))/100))),0)</f>
        <v/>
      </c>
      <c r="BT41">
        <f>IF(AND(28&lt;$U$9,$W$5),BQ41*1000000-MIN(BR41,999)*1000+BS41-28/100000,-1000000000-28)</f>
        <v/>
      </c>
    </row>
    <row r="42">
      <c r="A42" s="10" t="inlineStr">
        <is>
          <t>段</t>
        </is>
      </c>
      <c r="B42" s="10" t="inlineStr">
        <is>
          <t>转职等级</t>
        </is>
      </c>
      <c r="C42" s="10" t="inlineStr">
        <is>
          <t>职业</t>
        </is>
      </c>
      <c r="D42" s="10" t="inlineStr">
        <is>
          <t>说明</t>
        </is>
      </c>
      <c r="P42">
        <f>IF('职业'!$C32="","",'职业'!$C32)</f>
        <v/>
      </c>
      <c r="Q42">
        <f>N('职业'!$D32)</f>
        <v/>
      </c>
      <c r="R42">
        <f>'职业'!$E32&amp;""</f>
        <v/>
      </c>
      <c r="S42">
        <f>IF($P42="",0,MAX(0,D$7+N('职业'!F32)))</f>
        <v/>
      </c>
      <c r="T42">
        <f>IF($P42="",0,MAX(0,E$7+N('职业'!G32)))</f>
        <v/>
      </c>
      <c r="U42">
        <f>IF($P42="",0,MAX(0,F$7+N('职业'!H32)))</f>
        <v/>
      </c>
      <c r="V42">
        <f>IF($P42="",0,MAX(0,G$7+N('职业'!I32)))</f>
        <v/>
      </c>
      <c r="W42">
        <f>IF($P42="",0,MAX(0,H$7+N('职业'!J32)))</f>
        <v/>
      </c>
      <c r="X42">
        <f>IF($P42="",0,MAX(0,I$7+N('职业'!K32)))</f>
        <v/>
      </c>
      <c r="Y42">
        <f>IF($P42="",0,MAX(0,J$7+N('职业'!L32)))</f>
        <v/>
      </c>
      <c r="Z42">
        <f>IF($P42="",0,MAX(0,K$7+N('职业'!M32)))</f>
        <v/>
      </c>
      <c r="AA42">
        <f>IF($P42="",0,MAX(0,L$7+N('职业'!N32)))</f>
        <v/>
      </c>
      <c r="AB42">
        <f>AND($P42&lt;&gt;"",IF($U$5=1,$P42=$C$10,OR($P42=$C$9,AND($R42="是",$Q42&lt;=MAX($B$9,$Q$6)))))</f>
        <v/>
      </c>
      <c r="AC42">
        <f>AND($P42&lt;&gt;"",IF($U$5=2,$P42=$C$10,OR($P42=$C$9,AND($R42="是",$Q42&lt;=MAX($B$9,$Q$7)))))</f>
        <v/>
      </c>
      <c r="AD42">
        <f>AND($P42&lt;&gt;"",IF($U$5=3,$P42=$C$10,OR($P42=$C$9,AND($R42="是",$Q42&lt;=MAX($B$9,$Q$8)))))</f>
        <v/>
      </c>
      <c r="AE42">
        <f>IF(AB42,COUNTIF(AB$13:AB42,TRUE),"")</f>
        <v/>
      </c>
      <c r="AF42">
        <f>IF(AC42,COUNTIF(AC$13:AC42,TRUE),"")</f>
        <v/>
      </c>
      <c r="AG42">
        <f>IF(AD42,COUNTIF(AD$13:AD42,TRUE),"")</f>
        <v/>
      </c>
      <c r="AI42">
        <f>IFERROR(INDEX($P$13:$P$162,MATCH(30,$AE$13:$AE$162,0)),"")</f>
        <v/>
      </c>
      <c r="AJ42">
        <f>IFERROR(INDEX(S$13:S$162,MATCH(30,$AE$13:$AE$162,0)),0)*$T$6</f>
        <v/>
      </c>
      <c r="AK42">
        <f>IFERROR(INDEX(T$13:T$162,MATCH(30,$AE$13:$AE$162,0)),0)*$T$6</f>
        <v/>
      </c>
      <c r="AL42">
        <f>IFERROR(INDEX(U$13:U$162,MATCH(30,$AE$13:$AE$162,0)),0)*$T$6</f>
        <v/>
      </c>
      <c r="AM42">
        <f>IFERROR(INDEX(V$13:V$162,MATCH(30,$AE$13:$AE$162,0)),0)*$T$6</f>
        <v/>
      </c>
      <c r="AN42">
        <f>IFERROR(INDEX(W$13:W$162,MATCH(30,$AE$13:$AE$162,0)),0)*$T$6</f>
        <v/>
      </c>
      <c r="AO42">
        <f>IFERROR(INDEX(X$13:X$162,MATCH(30,$AE$13:$AE$162,0)),0)*$T$6</f>
        <v/>
      </c>
      <c r="AP42">
        <f>IFERROR(INDEX(Y$13:Y$162,MATCH(30,$AE$13:$AE$162,0)),0)*$T$6</f>
        <v/>
      </c>
      <c r="AQ42">
        <f>IFERROR(INDEX(Z$13:Z$162,MATCH(30,$AE$13:$AE$162,0)),0)*$T$6</f>
        <v/>
      </c>
      <c r="AR42">
        <f>IFERROR(INDEX(AA$13:AA$162,MATCH(30,$AE$13:$AE$162,0)),0)*$T$6</f>
        <v/>
      </c>
      <c r="AS42">
        <f>IFERROR(INDEX($P$13:$P$162,MATCH(30,$AF$13:$AF$162,0)),"")</f>
        <v/>
      </c>
      <c r="AT42">
        <f>IFERROR(INDEX(S$13:S$162,MATCH(30,$AF$13:$AF$162,0)),0)*$T$7</f>
        <v/>
      </c>
      <c r="AU42">
        <f>IFERROR(INDEX(T$13:T$162,MATCH(30,$AF$13:$AF$162,0)),0)*$T$7</f>
        <v/>
      </c>
      <c r="AV42">
        <f>IFERROR(INDEX(U$13:U$162,MATCH(30,$AF$13:$AF$162,0)),0)*$T$7</f>
        <v/>
      </c>
      <c r="AW42">
        <f>IFERROR(INDEX(V$13:V$162,MATCH(30,$AF$13:$AF$162,0)),0)*$T$7</f>
        <v/>
      </c>
      <c r="AX42">
        <f>IFERROR(INDEX(W$13:W$162,MATCH(30,$AF$13:$AF$162,0)),0)*$T$7</f>
        <v/>
      </c>
      <c r="AY42">
        <f>IFERROR(INDEX(X$13:X$162,MATCH(30,$AF$13:$AF$162,0)),0)*$T$7</f>
        <v/>
      </c>
      <c r="AZ42">
        <f>IFERROR(INDEX(Y$13:Y$162,MATCH(30,$AF$13:$AF$162,0)),0)*$T$7</f>
        <v/>
      </c>
      <c r="BA42">
        <f>IFERROR(INDEX(Z$13:Z$162,MATCH(30,$AF$13:$AF$162,0)),0)*$T$7</f>
        <v/>
      </c>
      <c r="BB42">
        <f>IFERROR(INDEX(AA$13:AA$162,MATCH(30,$AF$13:$AF$162,0)),0)*$T$7</f>
        <v/>
      </c>
      <c r="BC42">
        <f>IFERROR(INDEX($P$13:$P$162,MATCH(30,$AG$13:$AG$162,0)),"")</f>
        <v/>
      </c>
      <c r="BD42">
        <f>IFERROR(INDEX(S$13:S$162,MATCH(30,$AG$13:$AG$162,0)),0)*($T$8+IF($C$10="",$T$9,0))</f>
        <v/>
      </c>
      <c r="BE42">
        <f>IFERROR(INDEX(T$13:T$162,MATCH(30,$AG$13:$AG$162,0)),0)*($T$8+IF($C$10="",$T$9,0))</f>
        <v/>
      </c>
      <c r="BF42">
        <f>IFERROR(INDEX(U$13:U$162,MATCH(30,$AG$13:$AG$162,0)),0)*($T$8+IF($C$10="",$T$9,0))</f>
        <v/>
      </c>
      <c r="BG42">
        <f>IFERROR(INDEX(V$13:V$162,MATCH(30,$AG$13:$AG$162,0)),0)*($T$8+IF($C$10="",$T$9,0))</f>
        <v/>
      </c>
      <c r="BH42">
        <f>IFERROR(INDEX(W$13:W$162,MATCH(30,$AG$13:$AG$162,0)),0)*($T$8+IF($C$10="",$T$9,0))</f>
        <v/>
      </c>
      <c r="BI42">
        <f>IFERROR(INDEX(X$13:X$162,MATCH(30,$AG$13:$AG$162,0)),0)*($T$8+IF($C$10="",$T$9,0))</f>
        <v/>
      </c>
      <c r="BJ42">
        <f>IFERROR(INDEX(Y$13:Y$162,MATCH(30,$AG$13:$AG$162,0)),0)*($T$8+IF($C$10="",$T$9,0))</f>
        <v/>
      </c>
      <c r="BK42">
        <f>IFERROR(INDEX(Z$13:Z$162,MATCH(30,$AG$13:$AG$162,0)),0)*($T$8+IF($C$10="",$T$9,0))</f>
        <v/>
      </c>
      <c r="BL42">
        <f>IFERROR(INDEX(AA$13:AA$162,MATCH(30,$AG$13:$AG$162,0)),0)*($T$8+IF($C$10="",$T$9,0))</f>
        <v/>
      </c>
      <c r="BN42">
        <f>IF(29&lt;$U$9,INT(29/($U$7*$U$8))+1,1)</f>
        <v/>
      </c>
      <c r="BO42">
        <f>IF(29&lt;$U$9,MOD(INT(29/$U$8),$U$7)+1,1)</f>
        <v/>
      </c>
      <c r="BP42">
        <f>IF(29&lt;$U$9,MOD(29,$U$8)+1,1)</f>
        <v/>
      </c>
      <c r="BQ42">
        <f>IF(29&lt;$U$9,SUMPRODUCT(($D$10:$L$10&lt;&gt;"")*(($D$9:$L$9+INT(($S$12:$AA$12+INDEX($AJ$13:$AR$162,BN42,0)+INDEX($AT$13:$BB$162,BO42,0)+INDEX($BD$13:$BL$162,BP42,0))/100))&gt;=$D$10:$L$10)),0)</f>
        <v/>
      </c>
      <c r="BR42">
        <f>IF(29&lt;$U$9,SUMPRODUCT(($D$10:$L$10&lt;&gt;"")*(($D$10:$L$10-($D$9:$L$9+INT(($S$12:$AA$12+INDEX($AJ$13:$AR$162,BN42,0)+INDEX($AT$13:$BB$162,BO42,0)+INDEX($BD$13:$BL$162,BP42,0))/100)))&gt;0)*($D$10:$L$10-($D$9:$L$9+INT(($S$12:$AA$12+INDEX($AJ$13:$AR$162,BN42,0)+INDEX($AT$13:$BB$162,BO42,0)+INDEX($BD$13:$BL$162,BP42,0))/100)))),0)</f>
        <v/>
      </c>
      <c r="BS42">
        <f>IF(29&lt;$U$9,SUMPRODUCT(($D$9:$L$9+INT(($S$12:$AA$12+INDEX($AJ$13:$AR$162,BN42,0)+INDEX($AT$13:$BB$162,BO42,0)+INDEX($BD$13:$BL$162,BP42,0))/100))),0)</f>
        <v/>
      </c>
      <c r="BT42">
        <f>IF(AND(29&lt;$U$9,$W$5),BQ42*1000000-MIN(BR42,999)*1000+BS42-29/100000,-1000000000-29)</f>
        <v/>
      </c>
    </row>
    <row r="43">
      <c r="A43" s="11" t="inlineStr">
        <is>
          <t>段1</t>
        </is>
      </c>
      <c r="B43" s="7">
        <f>$B$9</f>
        <v/>
      </c>
      <c r="C43" s="7">
        <f>$C$9</f>
        <v/>
      </c>
      <c r="D43" s="12" t="inlineStr">
        <is>
          <t>起点（自动取上方起点等级/职业）</t>
        </is>
      </c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P43">
        <f>IF('职业'!$C33="","",'职业'!$C33)</f>
        <v/>
      </c>
      <c r="Q43">
        <f>N('职业'!$D33)</f>
        <v/>
      </c>
      <c r="R43">
        <f>'职业'!$E33&amp;""</f>
        <v/>
      </c>
      <c r="S43">
        <f>IF($P43="",0,MAX(0,D$7+N('职业'!F33)))</f>
        <v/>
      </c>
      <c r="T43">
        <f>IF($P43="",0,MAX(0,E$7+N('职业'!G33)))</f>
        <v/>
      </c>
      <c r="U43">
        <f>IF($P43="",0,MAX(0,F$7+N('职业'!H33)))</f>
        <v/>
      </c>
      <c r="V43">
        <f>IF($P43="",0,MAX(0,G$7+N('职业'!I33)))</f>
        <v/>
      </c>
      <c r="W43">
        <f>IF($P43="",0,MAX(0,H$7+N('职业'!J33)))</f>
        <v/>
      </c>
      <c r="X43">
        <f>IF($P43="",0,MAX(0,I$7+N('职业'!K33)))</f>
        <v/>
      </c>
      <c r="Y43">
        <f>IF($P43="",0,MAX(0,J$7+N('职业'!L33)))</f>
        <v/>
      </c>
      <c r="Z43">
        <f>IF($P43="",0,MAX(0,K$7+N('职业'!M33)))</f>
        <v/>
      </c>
      <c r="AA43">
        <f>IF($P43="",0,MAX(0,L$7+N('职业'!N33)))</f>
        <v/>
      </c>
      <c r="AB43">
        <f>AND($P43&lt;&gt;"",IF($U$5=1,$P43=$C$10,OR($P43=$C$9,AND($R43="是",$Q43&lt;=MAX($B$9,$Q$6)))))</f>
        <v/>
      </c>
      <c r="AC43">
        <f>AND($P43&lt;&gt;"",IF($U$5=2,$P43=$C$10,OR($P43=$C$9,AND($R43="是",$Q43&lt;=MAX($B$9,$Q$7)))))</f>
        <v/>
      </c>
      <c r="AD43">
        <f>AND($P43&lt;&gt;"",IF($U$5=3,$P43=$C$10,OR($P43=$C$9,AND($R43="是",$Q43&lt;=MAX($B$9,$Q$8)))))</f>
        <v/>
      </c>
      <c r="AE43">
        <f>IF(AB43,COUNTIF(AB$13:AB43,TRUE),"")</f>
        <v/>
      </c>
      <c r="AF43">
        <f>IF(AC43,COUNTIF(AC$13:AC43,TRUE),"")</f>
        <v/>
      </c>
      <c r="AG43">
        <f>IF(AD43,COUNTIF(AD$13:AD43,TRUE),"")</f>
        <v/>
      </c>
      <c r="AI43">
        <f>IFERROR(INDEX($P$13:$P$162,MATCH(31,$AE$13:$AE$162,0)),"")</f>
        <v/>
      </c>
      <c r="AJ43">
        <f>IFERROR(INDEX(S$13:S$162,MATCH(31,$AE$13:$AE$162,0)),0)*$T$6</f>
        <v/>
      </c>
      <c r="AK43">
        <f>IFERROR(INDEX(T$13:T$162,MATCH(31,$AE$13:$AE$162,0)),0)*$T$6</f>
        <v/>
      </c>
      <c r="AL43">
        <f>IFERROR(INDEX(U$13:U$162,MATCH(31,$AE$13:$AE$162,0)),0)*$T$6</f>
        <v/>
      </c>
      <c r="AM43">
        <f>IFERROR(INDEX(V$13:V$162,MATCH(31,$AE$13:$AE$162,0)),0)*$T$6</f>
        <v/>
      </c>
      <c r="AN43">
        <f>IFERROR(INDEX(W$13:W$162,MATCH(31,$AE$13:$AE$162,0)),0)*$T$6</f>
        <v/>
      </c>
      <c r="AO43">
        <f>IFERROR(INDEX(X$13:X$162,MATCH(31,$AE$13:$AE$162,0)),0)*$T$6</f>
        <v/>
      </c>
      <c r="AP43">
        <f>IFERROR(INDEX(Y$13:Y$162,MATCH(31,$AE$13:$AE$162,0)),0)*$T$6</f>
        <v/>
      </c>
      <c r="AQ43">
        <f>IFERROR(INDEX(Z$13:Z$162,MATCH(31,$AE$13:$AE$162,0)),0)*$T$6</f>
        <v/>
      </c>
      <c r="AR43">
        <f>IFERROR(INDEX(AA$13:AA$162,MATCH(31,$AE$13:$AE$162,0)),0)*$T$6</f>
        <v/>
      </c>
      <c r="AS43">
        <f>IFERROR(INDEX($P$13:$P$162,MATCH(31,$AF$13:$AF$162,0)),"")</f>
        <v/>
      </c>
      <c r="AT43">
        <f>IFERROR(INDEX(S$13:S$162,MATCH(31,$AF$13:$AF$162,0)),0)*$T$7</f>
        <v/>
      </c>
      <c r="AU43">
        <f>IFERROR(INDEX(T$13:T$162,MATCH(31,$AF$13:$AF$162,0)),0)*$T$7</f>
        <v/>
      </c>
      <c r="AV43">
        <f>IFERROR(INDEX(U$13:U$162,MATCH(31,$AF$13:$AF$162,0)),0)*$T$7</f>
        <v/>
      </c>
      <c r="AW43">
        <f>IFERROR(INDEX(V$13:V$162,MATCH(31,$AF$13:$AF$162,0)),0)*$T$7</f>
        <v/>
      </c>
      <c r="AX43">
        <f>IFERROR(INDEX(W$13:W$162,MATCH(31,$AF$13:$AF$162,0)),0)*$T$7</f>
        <v/>
      </c>
      <c r="AY43">
        <f>IFERROR(INDEX(X$13:X$162,MATCH(31,$AF$13:$AF$162,0)),0)*$T$7</f>
        <v/>
      </c>
      <c r="AZ43">
        <f>IFERROR(INDEX(Y$13:Y$162,MATCH(31,$AF$13:$AF$162,0)),0)*$T$7</f>
        <v/>
      </c>
      <c r="BA43">
        <f>IFERROR(INDEX(Z$13:Z$162,MATCH(31,$AF$13:$AF$162,0)),0)*$T$7</f>
        <v/>
      </c>
      <c r="BB43">
        <f>IFERROR(INDEX(AA$13:AA$162,MATCH(31,$AF$13:$AF$162,0)),0)*$T$7</f>
        <v/>
      </c>
      <c r="BC43">
        <f>IFERROR(INDEX($P$13:$P$162,MATCH(31,$AG$13:$AG$162,0)),"")</f>
        <v/>
      </c>
      <c r="BD43">
        <f>IFERROR(INDEX(S$13:S$162,MATCH(31,$AG$13:$AG$162,0)),0)*($T$8+IF($C$10="",$T$9,0))</f>
        <v/>
      </c>
      <c r="BE43">
        <f>IFERROR(INDEX(T$13:T$162,MATCH(31,$AG$13:$AG$162,0)),0)*($T$8+IF($C$10="",$T$9,0))</f>
        <v/>
      </c>
      <c r="BF43">
        <f>IFERROR(INDEX(U$13:U$162,MATCH(31,$AG$13:$AG$162,0)),0)*($T$8+IF($C$10="",$T$9,0))</f>
        <v/>
      </c>
      <c r="BG43">
        <f>IFERROR(INDEX(V$13:V$162,MATCH(31,$AG$13:$AG$162,0)),0)*($T$8+IF($C$10="",$T$9,0))</f>
        <v/>
      </c>
      <c r="BH43">
        <f>IFERROR(INDEX(W$13:W$162,MATCH(31,$AG$13:$AG$162,0)),0)*($T$8+IF($C$10="",$T$9,0))</f>
        <v/>
      </c>
      <c r="BI43">
        <f>IFERROR(INDEX(X$13:X$162,MATCH(31,$AG$13:$AG$162,0)),0)*($T$8+IF($C$10="",$T$9,0))</f>
        <v/>
      </c>
      <c r="BJ43">
        <f>IFERROR(INDEX(Y$13:Y$162,MATCH(31,$AG$13:$AG$162,0)),0)*($T$8+IF($C$10="",$T$9,0))</f>
        <v/>
      </c>
      <c r="BK43">
        <f>IFERROR(INDEX(Z$13:Z$162,MATCH(31,$AG$13:$AG$162,0)),0)*($T$8+IF($C$10="",$T$9,0))</f>
        <v/>
      </c>
      <c r="BL43">
        <f>IFERROR(INDEX(AA$13:AA$162,MATCH(31,$AG$13:$AG$162,0)),0)*($T$8+IF($C$10="",$T$9,0))</f>
        <v/>
      </c>
      <c r="BN43">
        <f>IF(30&lt;$U$9,INT(30/($U$7*$U$8))+1,1)</f>
        <v/>
      </c>
      <c r="BO43">
        <f>IF(30&lt;$U$9,MOD(INT(30/$U$8),$U$7)+1,1)</f>
        <v/>
      </c>
      <c r="BP43">
        <f>IF(30&lt;$U$9,MOD(30,$U$8)+1,1)</f>
        <v/>
      </c>
      <c r="BQ43">
        <f>IF(30&lt;$U$9,SUMPRODUCT(($D$10:$L$10&lt;&gt;"")*(($D$9:$L$9+INT(($S$12:$AA$12+INDEX($AJ$13:$AR$162,BN43,0)+INDEX($AT$13:$BB$162,BO43,0)+INDEX($BD$13:$BL$162,BP43,0))/100))&gt;=$D$10:$L$10)),0)</f>
        <v/>
      </c>
      <c r="BR43">
        <f>IF(30&lt;$U$9,SUMPRODUCT(($D$10:$L$10&lt;&gt;"")*(($D$10:$L$10-($D$9:$L$9+INT(($S$12:$AA$12+INDEX($AJ$13:$AR$162,BN43,0)+INDEX($AT$13:$BB$162,BO43,0)+INDEX($BD$13:$BL$162,BP43,0))/100)))&gt;0)*($D$10:$L$10-($D$9:$L$9+INT(($S$12:$AA$12+INDEX($AJ$13:$AR$162,BN43,0)+INDEX($AT$13:$BB$162,BO43,0)+INDEX($BD$13:$BL$162,BP43,0))/100)))),0)</f>
        <v/>
      </c>
      <c r="BS43">
        <f>IF(30&lt;$U$9,SUMPRODUCT(($D$9:$L$9+INT(($S$12:$AA$12+INDEX($AJ$13:$AR$162,BN43,0)+INDEX($AT$13:$BB$162,BO43,0)+INDEX($BD$13:$BL$162,BP43,0))/100))),0)</f>
        <v/>
      </c>
      <c r="BT43">
        <f>IF(AND(30&lt;$U$9,$W$5),BQ43*1000000-MIN(BR43,999)*1000+BS43-30/100000,-1000000000-30)</f>
        <v/>
      </c>
      <c r="BV43">
        <f>$B$9</f>
        <v/>
      </c>
      <c r="BW43">
        <f>$C$9</f>
        <v/>
      </c>
    </row>
    <row r="44">
      <c r="A44" s="11" t="inlineStr">
        <is>
          <t>段2</t>
        </is>
      </c>
      <c r="B44" s="5" t="n">
        <v>20</v>
      </c>
      <c r="C44" s="5" t="inlineStr">
        <is>
          <t>弓箭手</t>
        </is>
      </c>
      <c r="D44" s="12" t="inlineStr">
        <is>
          <t>在此等级转职为该职业；不用的段留空</t>
        </is>
      </c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P44">
        <f>IF('职业'!$C34="","",'职业'!$C34)</f>
        <v/>
      </c>
      <c r="Q44">
        <f>N('职业'!$D34)</f>
        <v/>
      </c>
      <c r="R44">
        <f>'职业'!$E34&amp;""</f>
        <v/>
      </c>
      <c r="S44">
        <f>IF($P44="",0,MAX(0,D$7+N('职业'!F34)))</f>
        <v/>
      </c>
      <c r="T44">
        <f>IF($P44="",0,MAX(0,E$7+N('职业'!G34)))</f>
        <v/>
      </c>
      <c r="U44">
        <f>IF($P44="",0,MAX(0,F$7+N('职业'!H34)))</f>
        <v/>
      </c>
      <c r="V44">
        <f>IF($P44="",0,MAX(0,G$7+N('职业'!I34)))</f>
        <v/>
      </c>
      <c r="W44">
        <f>IF($P44="",0,MAX(0,H$7+N('职业'!J34)))</f>
        <v/>
      </c>
      <c r="X44">
        <f>IF($P44="",0,MAX(0,I$7+N('职业'!K34)))</f>
        <v/>
      </c>
      <c r="Y44">
        <f>IF($P44="",0,MAX(0,J$7+N('职业'!L34)))</f>
        <v/>
      </c>
      <c r="Z44">
        <f>IF($P44="",0,MAX(0,K$7+N('职业'!M34)))</f>
        <v/>
      </c>
      <c r="AA44">
        <f>IF($P44="",0,MAX(0,L$7+N('职业'!N34)))</f>
        <v/>
      </c>
      <c r="AB44">
        <f>AND($P44&lt;&gt;"",IF($U$5=1,$P44=$C$10,OR($P44=$C$9,AND($R44="是",$Q44&lt;=MAX($B$9,$Q$6)))))</f>
        <v/>
      </c>
      <c r="AC44">
        <f>AND($P44&lt;&gt;"",IF($U$5=2,$P44=$C$10,OR($P44=$C$9,AND($R44="是",$Q44&lt;=MAX($B$9,$Q$7)))))</f>
        <v/>
      </c>
      <c r="AD44">
        <f>AND($P44&lt;&gt;"",IF($U$5=3,$P44=$C$10,OR($P44=$C$9,AND($R44="是",$Q44&lt;=MAX($B$9,$Q$8)))))</f>
        <v/>
      </c>
      <c r="AE44">
        <f>IF(AB44,COUNTIF(AB$13:AB44,TRUE),"")</f>
        <v/>
      </c>
      <c r="AF44">
        <f>IF(AC44,COUNTIF(AC$13:AC44,TRUE),"")</f>
        <v/>
      </c>
      <c r="AG44">
        <f>IF(AD44,COUNTIF(AD$13:AD44,TRUE),"")</f>
        <v/>
      </c>
      <c r="AI44">
        <f>IFERROR(INDEX($P$13:$P$162,MATCH(32,$AE$13:$AE$162,0)),"")</f>
        <v/>
      </c>
      <c r="AJ44">
        <f>IFERROR(INDEX(S$13:S$162,MATCH(32,$AE$13:$AE$162,0)),0)*$T$6</f>
        <v/>
      </c>
      <c r="AK44">
        <f>IFERROR(INDEX(T$13:T$162,MATCH(32,$AE$13:$AE$162,0)),0)*$T$6</f>
        <v/>
      </c>
      <c r="AL44">
        <f>IFERROR(INDEX(U$13:U$162,MATCH(32,$AE$13:$AE$162,0)),0)*$T$6</f>
        <v/>
      </c>
      <c r="AM44">
        <f>IFERROR(INDEX(V$13:V$162,MATCH(32,$AE$13:$AE$162,0)),0)*$T$6</f>
        <v/>
      </c>
      <c r="AN44">
        <f>IFERROR(INDEX(W$13:W$162,MATCH(32,$AE$13:$AE$162,0)),0)*$T$6</f>
        <v/>
      </c>
      <c r="AO44">
        <f>IFERROR(INDEX(X$13:X$162,MATCH(32,$AE$13:$AE$162,0)),0)*$T$6</f>
        <v/>
      </c>
      <c r="AP44">
        <f>IFERROR(INDEX(Y$13:Y$162,MATCH(32,$AE$13:$AE$162,0)),0)*$T$6</f>
        <v/>
      </c>
      <c r="AQ44">
        <f>IFERROR(INDEX(Z$13:Z$162,MATCH(32,$AE$13:$AE$162,0)),0)*$T$6</f>
        <v/>
      </c>
      <c r="AR44">
        <f>IFERROR(INDEX(AA$13:AA$162,MATCH(32,$AE$13:$AE$162,0)),0)*$T$6</f>
        <v/>
      </c>
      <c r="AS44">
        <f>IFERROR(INDEX($P$13:$P$162,MATCH(32,$AF$13:$AF$162,0)),"")</f>
        <v/>
      </c>
      <c r="AT44">
        <f>IFERROR(INDEX(S$13:S$162,MATCH(32,$AF$13:$AF$162,0)),0)*$T$7</f>
        <v/>
      </c>
      <c r="AU44">
        <f>IFERROR(INDEX(T$13:T$162,MATCH(32,$AF$13:$AF$162,0)),0)*$T$7</f>
        <v/>
      </c>
      <c r="AV44">
        <f>IFERROR(INDEX(U$13:U$162,MATCH(32,$AF$13:$AF$162,0)),0)*$T$7</f>
        <v/>
      </c>
      <c r="AW44">
        <f>IFERROR(INDEX(V$13:V$162,MATCH(32,$AF$13:$AF$162,0)),0)*$T$7</f>
        <v/>
      </c>
      <c r="AX44">
        <f>IFERROR(INDEX(W$13:W$162,MATCH(32,$AF$13:$AF$162,0)),0)*$T$7</f>
        <v/>
      </c>
      <c r="AY44">
        <f>IFERROR(INDEX(X$13:X$162,MATCH(32,$AF$13:$AF$162,0)),0)*$T$7</f>
        <v/>
      </c>
      <c r="AZ44">
        <f>IFERROR(INDEX(Y$13:Y$162,MATCH(32,$AF$13:$AF$162,0)),0)*$T$7</f>
        <v/>
      </c>
      <c r="BA44">
        <f>IFERROR(INDEX(Z$13:Z$162,MATCH(32,$AF$13:$AF$162,0)),0)*$T$7</f>
        <v/>
      </c>
      <c r="BB44">
        <f>IFERROR(INDEX(AA$13:AA$162,MATCH(32,$AF$13:$AF$162,0)),0)*$T$7</f>
        <v/>
      </c>
      <c r="BC44">
        <f>IFERROR(INDEX($P$13:$P$162,MATCH(32,$AG$13:$AG$162,0)),"")</f>
        <v/>
      </c>
      <c r="BD44">
        <f>IFERROR(INDEX(S$13:S$162,MATCH(32,$AG$13:$AG$162,0)),0)*($T$8+IF($C$10="",$T$9,0))</f>
        <v/>
      </c>
      <c r="BE44">
        <f>IFERROR(INDEX(T$13:T$162,MATCH(32,$AG$13:$AG$162,0)),0)*($T$8+IF($C$10="",$T$9,0))</f>
        <v/>
      </c>
      <c r="BF44">
        <f>IFERROR(INDEX(U$13:U$162,MATCH(32,$AG$13:$AG$162,0)),0)*($T$8+IF($C$10="",$T$9,0))</f>
        <v/>
      </c>
      <c r="BG44">
        <f>IFERROR(INDEX(V$13:V$162,MATCH(32,$AG$13:$AG$162,0)),0)*($T$8+IF($C$10="",$T$9,0))</f>
        <v/>
      </c>
      <c r="BH44">
        <f>IFERROR(INDEX(W$13:W$162,MATCH(32,$AG$13:$AG$162,0)),0)*($T$8+IF($C$10="",$T$9,0))</f>
        <v/>
      </c>
      <c r="BI44">
        <f>IFERROR(INDEX(X$13:X$162,MATCH(32,$AG$13:$AG$162,0)),0)*($T$8+IF($C$10="",$T$9,0))</f>
        <v/>
      </c>
      <c r="BJ44">
        <f>IFERROR(INDEX(Y$13:Y$162,MATCH(32,$AG$13:$AG$162,0)),0)*($T$8+IF($C$10="",$T$9,0))</f>
        <v/>
      </c>
      <c r="BK44">
        <f>IFERROR(INDEX(Z$13:Z$162,MATCH(32,$AG$13:$AG$162,0)),0)*($T$8+IF($C$10="",$T$9,0))</f>
        <v/>
      </c>
      <c r="BL44">
        <f>IFERROR(INDEX(AA$13:AA$162,MATCH(32,$AG$13:$AG$162,0)),0)*($T$8+IF($C$10="",$T$9,0))</f>
        <v/>
      </c>
      <c r="BN44">
        <f>IF(31&lt;$U$9,INT(31/($U$7*$U$8))+1,1)</f>
        <v/>
      </c>
      <c r="BO44">
        <f>IF(31&lt;$U$9,MOD(INT(31/$U$8),$U$7)+1,1)</f>
        <v/>
      </c>
      <c r="BP44">
        <f>IF(31&lt;$U$9,MOD(31,$U$8)+1,1)</f>
        <v/>
      </c>
      <c r="BQ44">
        <f>IF(31&lt;$U$9,SUMPRODUCT(($D$10:$L$10&lt;&gt;"")*(($D$9:$L$9+INT(($S$12:$AA$12+INDEX($AJ$13:$AR$162,BN44,0)+INDEX($AT$13:$BB$162,BO44,0)+INDEX($BD$13:$BL$162,BP44,0))/100))&gt;=$D$10:$L$10)),0)</f>
        <v/>
      </c>
      <c r="BR44">
        <f>IF(31&lt;$U$9,SUMPRODUCT(($D$10:$L$10&lt;&gt;"")*(($D$10:$L$10-($D$9:$L$9+INT(($S$12:$AA$12+INDEX($AJ$13:$AR$162,BN44,0)+INDEX($AT$13:$BB$162,BO44,0)+INDEX($BD$13:$BL$162,BP44,0))/100)))&gt;0)*($D$10:$L$10-($D$9:$L$9+INT(($S$12:$AA$12+INDEX($AJ$13:$AR$162,BN44,0)+INDEX($AT$13:$BB$162,BO44,0)+INDEX($BD$13:$BL$162,BP44,0))/100)))),0)</f>
        <v/>
      </c>
      <c r="BS44">
        <f>IF(31&lt;$U$9,SUMPRODUCT(($D$9:$L$9+INT(($S$12:$AA$12+INDEX($AJ$13:$AR$162,BN44,0)+INDEX($AT$13:$BB$162,BO44,0)+INDEX($BD$13:$BL$162,BP44,0))/100))),0)</f>
        <v/>
      </c>
      <c r="BT44">
        <f>IF(AND(31&lt;$U$9,$W$5),BQ44*1000000-MIN(BR44,999)*1000+BS44-31/100000,-1000000000-31)</f>
        <v/>
      </c>
      <c r="BV44">
        <f>IF(B44="",999,B44)</f>
        <v/>
      </c>
      <c r="BW44">
        <f>IF(B44="","",C44)</f>
        <v/>
      </c>
    </row>
    <row r="45">
      <c r="A45" s="11" t="inlineStr">
        <is>
          <t>段3</t>
        </is>
      </c>
      <c r="B45" s="5" t="n">
        <v>35</v>
      </c>
      <c r="C45" s="5" t="inlineStr">
        <is>
          <t>狙击手</t>
        </is>
      </c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P45">
        <f>IF('职业'!$C35="","",'职业'!$C35)</f>
        <v/>
      </c>
      <c r="Q45">
        <f>N('职业'!$D35)</f>
        <v/>
      </c>
      <c r="R45">
        <f>'职业'!$E35&amp;""</f>
        <v/>
      </c>
      <c r="S45">
        <f>IF($P45="",0,MAX(0,D$7+N('职业'!F35)))</f>
        <v/>
      </c>
      <c r="T45">
        <f>IF($P45="",0,MAX(0,E$7+N('职业'!G35)))</f>
        <v/>
      </c>
      <c r="U45">
        <f>IF($P45="",0,MAX(0,F$7+N('职业'!H35)))</f>
        <v/>
      </c>
      <c r="V45">
        <f>IF($P45="",0,MAX(0,G$7+N('职业'!I35)))</f>
        <v/>
      </c>
      <c r="W45">
        <f>IF($P45="",0,MAX(0,H$7+N('职业'!J35)))</f>
        <v/>
      </c>
      <c r="X45">
        <f>IF($P45="",0,MAX(0,I$7+N('职业'!K35)))</f>
        <v/>
      </c>
      <c r="Y45">
        <f>IF($P45="",0,MAX(0,J$7+N('职业'!L35)))</f>
        <v/>
      </c>
      <c r="Z45">
        <f>IF($P45="",0,MAX(0,K$7+N('职业'!M35)))</f>
        <v/>
      </c>
      <c r="AA45">
        <f>IF($P45="",0,MAX(0,L$7+N('职业'!N35)))</f>
        <v/>
      </c>
      <c r="AB45">
        <f>AND($P45&lt;&gt;"",IF($U$5=1,$P45=$C$10,OR($P45=$C$9,AND($R45="是",$Q45&lt;=MAX($B$9,$Q$6)))))</f>
        <v/>
      </c>
      <c r="AC45">
        <f>AND($P45&lt;&gt;"",IF($U$5=2,$P45=$C$10,OR($P45=$C$9,AND($R45="是",$Q45&lt;=MAX($B$9,$Q$7)))))</f>
        <v/>
      </c>
      <c r="AD45">
        <f>AND($P45&lt;&gt;"",IF($U$5=3,$P45=$C$10,OR($P45=$C$9,AND($R45="是",$Q45&lt;=MAX($B$9,$Q$8)))))</f>
        <v/>
      </c>
      <c r="AE45">
        <f>IF(AB45,COUNTIF(AB$13:AB45,TRUE),"")</f>
        <v/>
      </c>
      <c r="AF45">
        <f>IF(AC45,COUNTIF(AC$13:AC45,TRUE),"")</f>
        <v/>
      </c>
      <c r="AG45">
        <f>IF(AD45,COUNTIF(AD$13:AD45,TRUE),"")</f>
        <v/>
      </c>
      <c r="AI45">
        <f>IFERROR(INDEX($P$13:$P$162,MATCH(33,$AE$13:$AE$162,0)),"")</f>
        <v/>
      </c>
      <c r="AJ45">
        <f>IFERROR(INDEX(S$13:S$162,MATCH(33,$AE$13:$AE$162,0)),0)*$T$6</f>
        <v/>
      </c>
      <c r="AK45">
        <f>IFERROR(INDEX(T$13:T$162,MATCH(33,$AE$13:$AE$162,0)),0)*$T$6</f>
        <v/>
      </c>
      <c r="AL45">
        <f>IFERROR(INDEX(U$13:U$162,MATCH(33,$AE$13:$AE$162,0)),0)*$T$6</f>
        <v/>
      </c>
      <c r="AM45">
        <f>IFERROR(INDEX(V$13:V$162,MATCH(33,$AE$13:$AE$162,0)),0)*$T$6</f>
        <v/>
      </c>
      <c r="AN45">
        <f>IFERROR(INDEX(W$13:W$162,MATCH(33,$AE$13:$AE$162,0)),0)*$T$6</f>
        <v/>
      </c>
      <c r="AO45">
        <f>IFERROR(INDEX(X$13:X$162,MATCH(33,$AE$13:$AE$162,0)),0)*$T$6</f>
        <v/>
      </c>
      <c r="AP45">
        <f>IFERROR(INDEX(Y$13:Y$162,MATCH(33,$AE$13:$AE$162,0)),0)*$T$6</f>
        <v/>
      </c>
      <c r="AQ45">
        <f>IFERROR(INDEX(Z$13:Z$162,MATCH(33,$AE$13:$AE$162,0)),0)*$T$6</f>
        <v/>
      </c>
      <c r="AR45">
        <f>IFERROR(INDEX(AA$13:AA$162,MATCH(33,$AE$13:$AE$162,0)),0)*$T$6</f>
        <v/>
      </c>
      <c r="AS45">
        <f>IFERROR(INDEX($P$13:$P$162,MATCH(33,$AF$13:$AF$162,0)),"")</f>
        <v/>
      </c>
      <c r="AT45">
        <f>IFERROR(INDEX(S$13:S$162,MATCH(33,$AF$13:$AF$162,0)),0)*$T$7</f>
        <v/>
      </c>
      <c r="AU45">
        <f>IFERROR(INDEX(T$13:T$162,MATCH(33,$AF$13:$AF$162,0)),0)*$T$7</f>
        <v/>
      </c>
      <c r="AV45">
        <f>IFERROR(INDEX(U$13:U$162,MATCH(33,$AF$13:$AF$162,0)),0)*$T$7</f>
        <v/>
      </c>
      <c r="AW45">
        <f>IFERROR(INDEX(V$13:V$162,MATCH(33,$AF$13:$AF$162,0)),0)*$T$7</f>
        <v/>
      </c>
      <c r="AX45">
        <f>IFERROR(INDEX(W$13:W$162,MATCH(33,$AF$13:$AF$162,0)),0)*$T$7</f>
        <v/>
      </c>
      <c r="AY45">
        <f>IFERROR(INDEX(X$13:X$162,MATCH(33,$AF$13:$AF$162,0)),0)*$T$7</f>
        <v/>
      </c>
      <c r="AZ45">
        <f>IFERROR(INDEX(Y$13:Y$162,MATCH(33,$AF$13:$AF$162,0)),0)*$T$7</f>
        <v/>
      </c>
      <c r="BA45">
        <f>IFERROR(INDEX(Z$13:Z$162,MATCH(33,$AF$13:$AF$162,0)),0)*$T$7</f>
        <v/>
      </c>
      <c r="BB45">
        <f>IFERROR(INDEX(AA$13:AA$162,MATCH(33,$AF$13:$AF$162,0)),0)*$T$7</f>
        <v/>
      </c>
      <c r="BC45">
        <f>IFERROR(INDEX($P$13:$P$162,MATCH(33,$AG$13:$AG$162,0)),"")</f>
        <v/>
      </c>
      <c r="BD45">
        <f>IFERROR(INDEX(S$13:S$162,MATCH(33,$AG$13:$AG$162,0)),0)*($T$8+IF($C$10="",$T$9,0))</f>
        <v/>
      </c>
      <c r="BE45">
        <f>IFERROR(INDEX(T$13:T$162,MATCH(33,$AG$13:$AG$162,0)),0)*($T$8+IF($C$10="",$T$9,0))</f>
        <v/>
      </c>
      <c r="BF45">
        <f>IFERROR(INDEX(U$13:U$162,MATCH(33,$AG$13:$AG$162,0)),0)*($T$8+IF($C$10="",$T$9,0))</f>
        <v/>
      </c>
      <c r="BG45">
        <f>IFERROR(INDEX(V$13:V$162,MATCH(33,$AG$13:$AG$162,0)),0)*($T$8+IF($C$10="",$T$9,0))</f>
        <v/>
      </c>
      <c r="BH45">
        <f>IFERROR(INDEX(W$13:W$162,MATCH(33,$AG$13:$AG$162,0)),0)*($T$8+IF($C$10="",$T$9,0))</f>
        <v/>
      </c>
      <c r="BI45">
        <f>IFERROR(INDEX(X$13:X$162,MATCH(33,$AG$13:$AG$162,0)),0)*($T$8+IF($C$10="",$T$9,0))</f>
        <v/>
      </c>
      <c r="BJ45">
        <f>IFERROR(INDEX(Y$13:Y$162,MATCH(33,$AG$13:$AG$162,0)),0)*($T$8+IF($C$10="",$T$9,0))</f>
        <v/>
      </c>
      <c r="BK45">
        <f>IFERROR(INDEX(Z$13:Z$162,MATCH(33,$AG$13:$AG$162,0)),0)*($T$8+IF($C$10="",$T$9,0))</f>
        <v/>
      </c>
      <c r="BL45">
        <f>IFERROR(INDEX(AA$13:AA$162,MATCH(33,$AG$13:$AG$162,0)),0)*($T$8+IF($C$10="",$T$9,0))</f>
        <v/>
      </c>
      <c r="BN45">
        <f>IF(32&lt;$U$9,INT(32/($U$7*$U$8))+1,1)</f>
        <v/>
      </c>
      <c r="BO45">
        <f>IF(32&lt;$U$9,MOD(INT(32/$U$8),$U$7)+1,1)</f>
        <v/>
      </c>
      <c r="BP45">
        <f>IF(32&lt;$U$9,MOD(32,$U$8)+1,1)</f>
        <v/>
      </c>
      <c r="BQ45">
        <f>IF(32&lt;$U$9,SUMPRODUCT(($D$10:$L$10&lt;&gt;"")*(($D$9:$L$9+INT(($S$12:$AA$12+INDEX($AJ$13:$AR$162,BN45,0)+INDEX($AT$13:$BB$162,BO45,0)+INDEX($BD$13:$BL$162,BP45,0))/100))&gt;=$D$10:$L$10)),0)</f>
        <v/>
      </c>
      <c r="BR45">
        <f>IF(32&lt;$U$9,SUMPRODUCT(($D$10:$L$10&lt;&gt;"")*(($D$10:$L$10-($D$9:$L$9+INT(($S$12:$AA$12+INDEX($AJ$13:$AR$162,BN45,0)+INDEX($AT$13:$BB$162,BO45,0)+INDEX($BD$13:$BL$162,BP45,0))/100)))&gt;0)*($D$10:$L$10-($D$9:$L$9+INT(($S$12:$AA$12+INDEX($AJ$13:$AR$162,BN45,0)+INDEX($AT$13:$BB$162,BO45,0)+INDEX($BD$13:$BL$162,BP45,0))/100)))),0)</f>
        <v/>
      </c>
      <c r="BS45">
        <f>IF(32&lt;$U$9,SUMPRODUCT(($D$9:$L$9+INT(($S$12:$AA$12+INDEX($AJ$13:$AR$162,BN45,0)+INDEX($AT$13:$BB$162,BO45,0)+INDEX($BD$13:$BL$162,BP45,0))/100))),0)</f>
        <v/>
      </c>
      <c r="BT45">
        <f>IF(AND(32&lt;$U$9,$W$5),BQ45*1000000-MIN(BR45,999)*1000+BS45-32/100000,-1000000000-32)</f>
        <v/>
      </c>
      <c r="BV45">
        <f>IF(B45="",999,B45)</f>
        <v/>
      </c>
      <c r="BW45">
        <f>IF(B45="","",C45)</f>
        <v/>
      </c>
    </row>
    <row r="46">
      <c r="A46" s="11" t="inlineStr">
        <is>
          <t>段4</t>
        </is>
      </c>
      <c r="B46" s="5" t="n"/>
      <c r="C46" s="5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P46">
        <f>IF('职业'!$C36="","",'职业'!$C36)</f>
        <v/>
      </c>
      <c r="Q46">
        <f>N('职业'!$D36)</f>
        <v/>
      </c>
      <c r="R46">
        <f>'职业'!$E36&amp;""</f>
        <v/>
      </c>
      <c r="S46">
        <f>IF($P46="",0,MAX(0,D$7+N('职业'!F36)))</f>
        <v/>
      </c>
      <c r="T46">
        <f>IF($P46="",0,MAX(0,E$7+N('职业'!G36)))</f>
        <v/>
      </c>
      <c r="U46">
        <f>IF($P46="",0,MAX(0,F$7+N('职业'!H36)))</f>
        <v/>
      </c>
      <c r="V46">
        <f>IF($P46="",0,MAX(0,G$7+N('职业'!I36)))</f>
        <v/>
      </c>
      <c r="W46">
        <f>IF($P46="",0,MAX(0,H$7+N('职业'!J36)))</f>
        <v/>
      </c>
      <c r="X46">
        <f>IF($P46="",0,MAX(0,I$7+N('职业'!K36)))</f>
        <v/>
      </c>
      <c r="Y46">
        <f>IF($P46="",0,MAX(0,J$7+N('职业'!L36)))</f>
        <v/>
      </c>
      <c r="Z46">
        <f>IF($P46="",0,MAX(0,K$7+N('职业'!M36)))</f>
        <v/>
      </c>
      <c r="AA46">
        <f>IF($P46="",0,MAX(0,L$7+N('职业'!N36)))</f>
        <v/>
      </c>
      <c r="AB46">
        <f>AND($P46&lt;&gt;"",IF($U$5=1,$P46=$C$10,OR($P46=$C$9,AND($R46="是",$Q46&lt;=MAX($B$9,$Q$6)))))</f>
        <v/>
      </c>
      <c r="AC46">
        <f>AND($P46&lt;&gt;"",IF($U$5=2,$P46=$C$10,OR($P46=$C$9,AND($R46="是",$Q46&lt;=MAX($B$9,$Q$7)))))</f>
        <v/>
      </c>
      <c r="AD46">
        <f>AND($P46&lt;&gt;"",IF($U$5=3,$P46=$C$10,OR($P46=$C$9,AND($R46="是",$Q46&lt;=MAX($B$9,$Q$8)))))</f>
        <v/>
      </c>
      <c r="AE46">
        <f>IF(AB46,COUNTIF(AB$13:AB46,TRUE),"")</f>
        <v/>
      </c>
      <c r="AF46">
        <f>IF(AC46,COUNTIF(AC$13:AC46,TRUE),"")</f>
        <v/>
      </c>
      <c r="AG46">
        <f>IF(AD46,COUNTIF(AD$13:AD46,TRUE),"")</f>
        <v/>
      </c>
      <c r="AI46">
        <f>IFERROR(INDEX($P$13:$P$162,MATCH(34,$AE$13:$AE$162,0)),"")</f>
        <v/>
      </c>
      <c r="AJ46">
        <f>IFERROR(INDEX(S$13:S$162,MATCH(34,$AE$13:$AE$162,0)),0)*$T$6</f>
        <v/>
      </c>
      <c r="AK46">
        <f>IFERROR(INDEX(T$13:T$162,MATCH(34,$AE$13:$AE$162,0)),0)*$T$6</f>
        <v/>
      </c>
      <c r="AL46">
        <f>IFERROR(INDEX(U$13:U$162,MATCH(34,$AE$13:$AE$162,0)),0)*$T$6</f>
        <v/>
      </c>
      <c r="AM46">
        <f>IFERROR(INDEX(V$13:V$162,MATCH(34,$AE$13:$AE$162,0)),0)*$T$6</f>
        <v/>
      </c>
      <c r="AN46">
        <f>IFERROR(INDEX(W$13:W$162,MATCH(34,$AE$13:$AE$162,0)),0)*$T$6</f>
        <v/>
      </c>
      <c r="AO46">
        <f>IFERROR(INDEX(X$13:X$162,MATCH(34,$AE$13:$AE$162,0)),0)*$T$6</f>
        <v/>
      </c>
      <c r="AP46">
        <f>IFERROR(INDEX(Y$13:Y$162,MATCH(34,$AE$13:$AE$162,0)),0)*$T$6</f>
        <v/>
      </c>
      <c r="AQ46">
        <f>IFERROR(INDEX(Z$13:Z$162,MATCH(34,$AE$13:$AE$162,0)),0)*$T$6</f>
        <v/>
      </c>
      <c r="AR46">
        <f>IFERROR(INDEX(AA$13:AA$162,MATCH(34,$AE$13:$AE$162,0)),0)*$T$6</f>
        <v/>
      </c>
      <c r="AS46">
        <f>IFERROR(INDEX($P$13:$P$162,MATCH(34,$AF$13:$AF$162,0)),"")</f>
        <v/>
      </c>
      <c r="AT46">
        <f>IFERROR(INDEX(S$13:S$162,MATCH(34,$AF$13:$AF$162,0)),0)*$T$7</f>
        <v/>
      </c>
      <c r="AU46">
        <f>IFERROR(INDEX(T$13:T$162,MATCH(34,$AF$13:$AF$162,0)),0)*$T$7</f>
        <v/>
      </c>
      <c r="AV46">
        <f>IFERROR(INDEX(U$13:U$162,MATCH(34,$AF$13:$AF$162,0)),0)*$T$7</f>
        <v/>
      </c>
      <c r="AW46">
        <f>IFERROR(INDEX(V$13:V$162,MATCH(34,$AF$13:$AF$162,0)),0)*$T$7</f>
        <v/>
      </c>
      <c r="AX46">
        <f>IFERROR(INDEX(W$13:W$162,MATCH(34,$AF$13:$AF$162,0)),0)*$T$7</f>
        <v/>
      </c>
      <c r="AY46">
        <f>IFERROR(INDEX(X$13:X$162,MATCH(34,$AF$13:$AF$162,0)),0)*$T$7</f>
        <v/>
      </c>
      <c r="AZ46">
        <f>IFERROR(INDEX(Y$13:Y$162,MATCH(34,$AF$13:$AF$162,0)),0)*$T$7</f>
        <v/>
      </c>
      <c r="BA46">
        <f>IFERROR(INDEX(Z$13:Z$162,MATCH(34,$AF$13:$AF$162,0)),0)*$T$7</f>
        <v/>
      </c>
      <c r="BB46">
        <f>IFERROR(INDEX(AA$13:AA$162,MATCH(34,$AF$13:$AF$162,0)),0)*$T$7</f>
        <v/>
      </c>
      <c r="BC46">
        <f>IFERROR(INDEX($P$13:$P$162,MATCH(34,$AG$13:$AG$162,0)),"")</f>
        <v/>
      </c>
      <c r="BD46">
        <f>IFERROR(INDEX(S$13:S$162,MATCH(34,$AG$13:$AG$162,0)),0)*($T$8+IF($C$10="",$T$9,0))</f>
        <v/>
      </c>
      <c r="BE46">
        <f>IFERROR(INDEX(T$13:T$162,MATCH(34,$AG$13:$AG$162,0)),0)*($T$8+IF($C$10="",$T$9,0))</f>
        <v/>
      </c>
      <c r="BF46">
        <f>IFERROR(INDEX(U$13:U$162,MATCH(34,$AG$13:$AG$162,0)),0)*($T$8+IF($C$10="",$T$9,0))</f>
        <v/>
      </c>
      <c r="BG46">
        <f>IFERROR(INDEX(V$13:V$162,MATCH(34,$AG$13:$AG$162,0)),0)*($T$8+IF($C$10="",$T$9,0))</f>
        <v/>
      </c>
      <c r="BH46">
        <f>IFERROR(INDEX(W$13:W$162,MATCH(34,$AG$13:$AG$162,0)),0)*($T$8+IF($C$10="",$T$9,0))</f>
        <v/>
      </c>
      <c r="BI46">
        <f>IFERROR(INDEX(X$13:X$162,MATCH(34,$AG$13:$AG$162,0)),0)*($T$8+IF($C$10="",$T$9,0))</f>
        <v/>
      </c>
      <c r="BJ46">
        <f>IFERROR(INDEX(Y$13:Y$162,MATCH(34,$AG$13:$AG$162,0)),0)*($T$8+IF($C$10="",$T$9,0))</f>
        <v/>
      </c>
      <c r="BK46">
        <f>IFERROR(INDEX(Z$13:Z$162,MATCH(34,$AG$13:$AG$162,0)),0)*($T$8+IF($C$10="",$T$9,0))</f>
        <v/>
      </c>
      <c r="BL46">
        <f>IFERROR(INDEX(AA$13:AA$162,MATCH(34,$AG$13:$AG$162,0)),0)*($T$8+IF($C$10="",$T$9,0))</f>
        <v/>
      </c>
      <c r="BN46">
        <f>IF(33&lt;$U$9,INT(33/($U$7*$U$8))+1,1)</f>
        <v/>
      </c>
      <c r="BO46">
        <f>IF(33&lt;$U$9,MOD(INT(33/$U$8),$U$7)+1,1)</f>
        <v/>
      </c>
      <c r="BP46">
        <f>IF(33&lt;$U$9,MOD(33,$U$8)+1,1)</f>
        <v/>
      </c>
      <c r="BQ46">
        <f>IF(33&lt;$U$9,SUMPRODUCT(($D$10:$L$10&lt;&gt;"")*(($D$9:$L$9+INT(($S$12:$AA$12+INDEX($AJ$13:$AR$162,BN46,0)+INDEX($AT$13:$BB$162,BO46,0)+INDEX($BD$13:$BL$162,BP46,0))/100))&gt;=$D$10:$L$10)),0)</f>
        <v/>
      </c>
      <c r="BR46">
        <f>IF(33&lt;$U$9,SUMPRODUCT(($D$10:$L$10&lt;&gt;"")*(($D$10:$L$10-($D$9:$L$9+INT(($S$12:$AA$12+INDEX($AJ$13:$AR$162,BN46,0)+INDEX($AT$13:$BB$162,BO46,0)+INDEX($BD$13:$BL$162,BP46,0))/100)))&gt;0)*($D$10:$L$10-($D$9:$L$9+INT(($S$12:$AA$12+INDEX($AJ$13:$AR$162,BN46,0)+INDEX($AT$13:$BB$162,BO46,0)+INDEX($BD$13:$BL$162,BP46,0))/100)))),0)</f>
        <v/>
      </c>
      <c r="BS46">
        <f>IF(33&lt;$U$9,SUMPRODUCT(($D$9:$L$9+INT(($S$12:$AA$12+INDEX($AJ$13:$AR$162,BN46,0)+INDEX($AT$13:$BB$162,BO46,0)+INDEX($BD$13:$BL$162,BP46,0))/100))),0)</f>
        <v/>
      </c>
      <c r="BT46">
        <f>IF(AND(33&lt;$U$9,$W$5),BQ46*1000000-MIN(BR46,999)*1000+BS46-33/100000,-1000000000-33)</f>
        <v/>
      </c>
      <c r="BV46">
        <f>IF(B46="",999,B46)</f>
        <v/>
      </c>
      <c r="BW46">
        <f>IF(B46="","",C46)</f>
        <v/>
      </c>
    </row>
    <row r="47">
      <c r="A47" s="11" t="inlineStr">
        <is>
          <t>段5</t>
        </is>
      </c>
      <c r="B47" s="5" t="n"/>
      <c r="C47" s="5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P47">
        <f>IF('职业'!$C37="","",'职业'!$C37)</f>
        <v/>
      </c>
      <c r="Q47">
        <f>N('职业'!$D37)</f>
        <v/>
      </c>
      <c r="R47">
        <f>'职业'!$E37&amp;""</f>
        <v/>
      </c>
      <c r="S47">
        <f>IF($P47="",0,MAX(0,D$7+N('职业'!F37)))</f>
        <v/>
      </c>
      <c r="T47">
        <f>IF($P47="",0,MAX(0,E$7+N('职业'!G37)))</f>
        <v/>
      </c>
      <c r="U47">
        <f>IF($P47="",0,MAX(0,F$7+N('职业'!H37)))</f>
        <v/>
      </c>
      <c r="V47">
        <f>IF($P47="",0,MAX(0,G$7+N('职业'!I37)))</f>
        <v/>
      </c>
      <c r="W47">
        <f>IF($P47="",0,MAX(0,H$7+N('职业'!J37)))</f>
        <v/>
      </c>
      <c r="X47">
        <f>IF($P47="",0,MAX(0,I$7+N('职业'!K37)))</f>
        <v/>
      </c>
      <c r="Y47">
        <f>IF($P47="",0,MAX(0,J$7+N('职业'!L37)))</f>
        <v/>
      </c>
      <c r="Z47">
        <f>IF($P47="",0,MAX(0,K$7+N('职业'!M37)))</f>
        <v/>
      </c>
      <c r="AA47">
        <f>IF($P47="",0,MAX(0,L$7+N('职业'!N37)))</f>
        <v/>
      </c>
      <c r="AB47">
        <f>AND($P47&lt;&gt;"",IF($U$5=1,$P47=$C$10,OR($P47=$C$9,AND($R47="是",$Q47&lt;=MAX($B$9,$Q$6)))))</f>
        <v/>
      </c>
      <c r="AC47">
        <f>AND($P47&lt;&gt;"",IF($U$5=2,$P47=$C$10,OR($P47=$C$9,AND($R47="是",$Q47&lt;=MAX($B$9,$Q$7)))))</f>
        <v/>
      </c>
      <c r="AD47">
        <f>AND($P47&lt;&gt;"",IF($U$5=3,$P47=$C$10,OR($P47=$C$9,AND($R47="是",$Q47&lt;=MAX($B$9,$Q$8)))))</f>
        <v/>
      </c>
      <c r="AE47">
        <f>IF(AB47,COUNTIF(AB$13:AB47,TRUE),"")</f>
        <v/>
      </c>
      <c r="AF47">
        <f>IF(AC47,COUNTIF(AC$13:AC47,TRUE),"")</f>
        <v/>
      </c>
      <c r="AG47">
        <f>IF(AD47,COUNTIF(AD$13:AD47,TRUE),"")</f>
        <v/>
      </c>
      <c r="AI47">
        <f>IFERROR(INDEX($P$13:$P$162,MATCH(35,$AE$13:$AE$162,0)),"")</f>
        <v/>
      </c>
      <c r="AJ47">
        <f>IFERROR(INDEX(S$13:S$162,MATCH(35,$AE$13:$AE$162,0)),0)*$T$6</f>
        <v/>
      </c>
      <c r="AK47">
        <f>IFERROR(INDEX(T$13:T$162,MATCH(35,$AE$13:$AE$162,0)),0)*$T$6</f>
        <v/>
      </c>
      <c r="AL47">
        <f>IFERROR(INDEX(U$13:U$162,MATCH(35,$AE$13:$AE$162,0)),0)*$T$6</f>
        <v/>
      </c>
      <c r="AM47">
        <f>IFERROR(INDEX(V$13:V$162,MATCH(35,$AE$13:$AE$162,0)),0)*$T$6</f>
        <v/>
      </c>
      <c r="AN47">
        <f>IFERROR(INDEX(W$13:W$162,MATCH(35,$AE$13:$AE$162,0)),0)*$T$6</f>
        <v/>
      </c>
      <c r="AO47">
        <f>IFERROR(INDEX(X$13:X$162,MATCH(35,$AE$13:$AE$162,0)),0)*$T$6</f>
        <v/>
      </c>
      <c r="AP47">
        <f>IFERROR(INDEX(Y$13:Y$162,MATCH(35,$AE$13:$AE$162,0)),0)*$T$6</f>
        <v/>
      </c>
      <c r="AQ47">
        <f>IFERROR(INDEX(Z$13:Z$162,MATCH(35,$AE$13:$AE$162,0)),0)*$T$6</f>
        <v/>
      </c>
      <c r="AR47">
        <f>IFERROR(INDEX(AA$13:AA$162,MATCH(35,$AE$13:$AE$162,0)),0)*$T$6</f>
        <v/>
      </c>
      <c r="AS47">
        <f>IFERROR(INDEX($P$13:$P$162,MATCH(35,$AF$13:$AF$162,0)),"")</f>
        <v/>
      </c>
      <c r="AT47">
        <f>IFERROR(INDEX(S$13:S$162,MATCH(35,$AF$13:$AF$162,0)),0)*$T$7</f>
        <v/>
      </c>
      <c r="AU47">
        <f>IFERROR(INDEX(T$13:T$162,MATCH(35,$AF$13:$AF$162,0)),0)*$T$7</f>
        <v/>
      </c>
      <c r="AV47">
        <f>IFERROR(INDEX(U$13:U$162,MATCH(35,$AF$13:$AF$162,0)),0)*$T$7</f>
        <v/>
      </c>
      <c r="AW47">
        <f>IFERROR(INDEX(V$13:V$162,MATCH(35,$AF$13:$AF$162,0)),0)*$T$7</f>
        <v/>
      </c>
      <c r="AX47">
        <f>IFERROR(INDEX(W$13:W$162,MATCH(35,$AF$13:$AF$162,0)),0)*$T$7</f>
        <v/>
      </c>
      <c r="AY47">
        <f>IFERROR(INDEX(X$13:X$162,MATCH(35,$AF$13:$AF$162,0)),0)*$T$7</f>
        <v/>
      </c>
      <c r="AZ47">
        <f>IFERROR(INDEX(Y$13:Y$162,MATCH(35,$AF$13:$AF$162,0)),0)*$T$7</f>
        <v/>
      </c>
      <c r="BA47">
        <f>IFERROR(INDEX(Z$13:Z$162,MATCH(35,$AF$13:$AF$162,0)),0)*$T$7</f>
        <v/>
      </c>
      <c r="BB47">
        <f>IFERROR(INDEX(AA$13:AA$162,MATCH(35,$AF$13:$AF$162,0)),0)*$T$7</f>
        <v/>
      </c>
      <c r="BC47">
        <f>IFERROR(INDEX($P$13:$P$162,MATCH(35,$AG$13:$AG$162,0)),"")</f>
        <v/>
      </c>
      <c r="BD47">
        <f>IFERROR(INDEX(S$13:S$162,MATCH(35,$AG$13:$AG$162,0)),0)*($T$8+IF($C$10="",$T$9,0))</f>
        <v/>
      </c>
      <c r="BE47">
        <f>IFERROR(INDEX(T$13:T$162,MATCH(35,$AG$13:$AG$162,0)),0)*($T$8+IF($C$10="",$T$9,0))</f>
        <v/>
      </c>
      <c r="BF47">
        <f>IFERROR(INDEX(U$13:U$162,MATCH(35,$AG$13:$AG$162,0)),0)*($T$8+IF($C$10="",$T$9,0))</f>
        <v/>
      </c>
      <c r="BG47">
        <f>IFERROR(INDEX(V$13:V$162,MATCH(35,$AG$13:$AG$162,0)),0)*($T$8+IF($C$10="",$T$9,0))</f>
        <v/>
      </c>
      <c r="BH47">
        <f>IFERROR(INDEX(W$13:W$162,MATCH(35,$AG$13:$AG$162,0)),0)*($T$8+IF($C$10="",$T$9,0))</f>
        <v/>
      </c>
      <c r="BI47">
        <f>IFERROR(INDEX(X$13:X$162,MATCH(35,$AG$13:$AG$162,0)),0)*($T$8+IF($C$10="",$T$9,0))</f>
        <v/>
      </c>
      <c r="BJ47">
        <f>IFERROR(INDEX(Y$13:Y$162,MATCH(35,$AG$13:$AG$162,0)),0)*($T$8+IF($C$10="",$T$9,0))</f>
        <v/>
      </c>
      <c r="BK47">
        <f>IFERROR(INDEX(Z$13:Z$162,MATCH(35,$AG$13:$AG$162,0)),0)*($T$8+IF($C$10="",$T$9,0))</f>
        <v/>
      </c>
      <c r="BL47">
        <f>IFERROR(INDEX(AA$13:AA$162,MATCH(35,$AG$13:$AG$162,0)),0)*($T$8+IF($C$10="",$T$9,0))</f>
        <v/>
      </c>
      <c r="BN47">
        <f>IF(34&lt;$U$9,INT(34/($U$7*$U$8))+1,1)</f>
        <v/>
      </c>
      <c r="BO47">
        <f>IF(34&lt;$U$9,MOD(INT(34/$U$8),$U$7)+1,1)</f>
        <v/>
      </c>
      <c r="BP47">
        <f>IF(34&lt;$U$9,MOD(34,$U$8)+1,1)</f>
        <v/>
      </c>
      <c r="BQ47">
        <f>IF(34&lt;$U$9,SUMPRODUCT(($D$10:$L$10&lt;&gt;"")*(($D$9:$L$9+INT(($S$12:$AA$12+INDEX($AJ$13:$AR$162,BN47,0)+INDEX($AT$13:$BB$162,BO47,0)+INDEX($BD$13:$BL$162,BP47,0))/100))&gt;=$D$10:$L$10)),0)</f>
        <v/>
      </c>
      <c r="BR47">
        <f>IF(34&lt;$U$9,SUMPRODUCT(($D$10:$L$10&lt;&gt;"")*(($D$10:$L$10-($D$9:$L$9+INT(($S$12:$AA$12+INDEX($AJ$13:$AR$162,BN47,0)+INDEX($AT$13:$BB$162,BO47,0)+INDEX($BD$13:$BL$162,BP47,0))/100)))&gt;0)*($D$10:$L$10-($D$9:$L$9+INT(($S$12:$AA$12+INDEX($AJ$13:$AR$162,BN47,0)+INDEX($AT$13:$BB$162,BO47,0)+INDEX($BD$13:$BL$162,BP47,0))/100)))),0)</f>
        <v/>
      </c>
      <c r="BS47">
        <f>IF(34&lt;$U$9,SUMPRODUCT(($D$9:$L$9+INT(($S$12:$AA$12+INDEX($AJ$13:$AR$162,BN47,0)+INDEX($AT$13:$BB$162,BO47,0)+INDEX($BD$13:$BL$162,BP47,0))/100))),0)</f>
        <v/>
      </c>
      <c r="BT47">
        <f>IF(AND(34&lt;$U$9,$W$5),BQ47*1000000-MIN(BR47,999)*1000+BS47-34/100000,-1000000000-34)</f>
        <v/>
      </c>
      <c r="BV47">
        <f>IF(B47="",999,B47)</f>
        <v/>
      </c>
      <c r="BW47">
        <f>IF(B47="","",C47)</f>
        <v/>
      </c>
    </row>
    <row r="48">
      <c r="A48" s="11" t="inlineStr">
        <is>
          <t>段6</t>
        </is>
      </c>
      <c r="B48" s="5" t="n"/>
      <c r="C48" s="5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P48">
        <f>IF('职业'!$C38="","",'职业'!$C38)</f>
        <v/>
      </c>
      <c r="Q48">
        <f>N('职业'!$D38)</f>
        <v/>
      </c>
      <c r="R48">
        <f>'职业'!$E38&amp;""</f>
        <v/>
      </c>
      <c r="S48">
        <f>IF($P48="",0,MAX(0,D$7+N('职业'!F38)))</f>
        <v/>
      </c>
      <c r="T48">
        <f>IF($P48="",0,MAX(0,E$7+N('职业'!G38)))</f>
        <v/>
      </c>
      <c r="U48">
        <f>IF($P48="",0,MAX(0,F$7+N('职业'!H38)))</f>
        <v/>
      </c>
      <c r="V48">
        <f>IF($P48="",0,MAX(0,G$7+N('职业'!I38)))</f>
        <v/>
      </c>
      <c r="W48">
        <f>IF($P48="",0,MAX(0,H$7+N('职业'!J38)))</f>
        <v/>
      </c>
      <c r="X48">
        <f>IF($P48="",0,MAX(0,I$7+N('职业'!K38)))</f>
        <v/>
      </c>
      <c r="Y48">
        <f>IF($P48="",0,MAX(0,J$7+N('职业'!L38)))</f>
        <v/>
      </c>
      <c r="Z48">
        <f>IF($P48="",0,MAX(0,K$7+N('职业'!M38)))</f>
        <v/>
      </c>
      <c r="AA48">
        <f>IF($P48="",0,MAX(0,L$7+N('职业'!N38)))</f>
        <v/>
      </c>
      <c r="AB48">
        <f>AND($P48&lt;&gt;"",IF($U$5=1,$P48=$C$10,OR($P48=$C$9,AND($R48="是",$Q48&lt;=MAX($B$9,$Q$6)))))</f>
        <v/>
      </c>
      <c r="AC48">
        <f>AND($P48&lt;&gt;"",IF($U$5=2,$P48=$C$10,OR($P48=$C$9,AND($R48="是",$Q48&lt;=MAX($B$9,$Q$7)))))</f>
        <v/>
      </c>
      <c r="AD48">
        <f>AND($P48&lt;&gt;"",IF($U$5=3,$P48=$C$10,OR($P48=$C$9,AND($R48="是",$Q48&lt;=MAX($B$9,$Q$8)))))</f>
        <v/>
      </c>
      <c r="AE48">
        <f>IF(AB48,COUNTIF(AB$13:AB48,TRUE),"")</f>
        <v/>
      </c>
      <c r="AF48">
        <f>IF(AC48,COUNTIF(AC$13:AC48,TRUE),"")</f>
        <v/>
      </c>
      <c r="AG48">
        <f>IF(AD48,COUNTIF(AD$13:AD48,TRUE),"")</f>
        <v/>
      </c>
      <c r="AI48">
        <f>IFERROR(INDEX($P$13:$P$162,MATCH(36,$AE$13:$AE$162,0)),"")</f>
        <v/>
      </c>
      <c r="AJ48">
        <f>IFERROR(INDEX(S$13:S$162,MATCH(36,$AE$13:$AE$162,0)),0)*$T$6</f>
        <v/>
      </c>
      <c r="AK48">
        <f>IFERROR(INDEX(T$13:T$162,MATCH(36,$AE$13:$AE$162,0)),0)*$T$6</f>
        <v/>
      </c>
      <c r="AL48">
        <f>IFERROR(INDEX(U$13:U$162,MATCH(36,$AE$13:$AE$162,0)),0)*$T$6</f>
        <v/>
      </c>
      <c r="AM48">
        <f>IFERROR(INDEX(V$13:V$162,MATCH(36,$AE$13:$AE$162,0)),0)*$T$6</f>
        <v/>
      </c>
      <c r="AN48">
        <f>IFERROR(INDEX(W$13:W$162,MATCH(36,$AE$13:$AE$162,0)),0)*$T$6</f>
        <v/>
      </c>
      <c r="AO48">
        <f>IFERROR(INDEX(X$13:X$162,MATCH(36,$AE$13:$AE$162,0)),0)*$T$6</f>
        <v/>
      </c>
      <c r="AP48">
        <f>IFERROR(INDEX(Y$13:Y$162,MATCH(36,$AE$13:$AE$162,0)),0)*$T$6</f>
        <v/>
      </c>
      <c r="AQ48">
        <f>IFERROR(INDEX(Z$13:Z$162,MATCH(36,$AE$13:$AE$162,0)),0)*$T$6</f>
        <v/>
      </c>
      <c r="AR48">
        <f>IFERROR(INDEX(AA$13:AA$162,MATCH(36,$AE$13:$AE$162,0)),0)*$T$6</f>
        <v/>
      </c>
      <c r="AS48">
        <f>IFERROR(INDEX($P$13:$P$162,MATCH(36,$AF$13:$AF$162,0)),"")</f>
        <v/>
      </c>
      <c r="AT48">
        <f>IFERROR(INDEX(S$13:S$162,MATCH(36,$AF$13:$AF$162,0)),0)*$T$7</f>
        <v/>
      </c>
      <c r="AU48">
        <f>IFERROR(INDEX(T$13:T$162,MATCH(36,$AF$13:$AF$162,0)),0)*$T$7</f>
        <v/>
      </c>
      <c r="AV48">
        <f>IFERROR(INDEX(U$13:U$162,MATCH(36,$AF$13:$AF$162,0)),0)*$T$7</f>
        <v/>
      </c>
      <c r="AW48">
        <f>IFERROR(INDEX(V$13:V$162,MATCH(36,$AF$13:$AF$162,0)),0)*$T$7</f>
        <v/>
      </c>
      <c r="AX48">
        <f>IFERROR(INDEX(W$13:W$162,MATCH(36,$AF$13:$AF$162,0)),0)*$T$7</f>
        <v/>
      </c>
      <c r="AY48">
        <f>IFERROR(INDEX(X$13:X$162,MATCH(36,$AF$13:$AF$162,0)),0)*$T$7</f>
        <v/>
      </c>
      <c r="AZ48">
        <f>IFERROR(INDEX(Y$13:Y$162,MATCH(36,$AF$13:$AF$162,0)),0)*$T$7</f>
        <v/>
      </c>
      <c r="BA48">
        <f>IFERROR(INDEX(Z$13:Z$162,MATCH(36,$AF$13:$AF$162,0)),0)*$T$7</f>
        <v/>
      </c>
      <c r="BB48">
        <f>IFERROR(INDEX(AA$13:AA$162,MATCH(36,$AF$13:$AF$162,0)),0)*$T$7</f>
        <v/>
      </c>
      <c r="BC48">
        <f>IFERROR(INDEX($P$13:$P$162,MATCH(36,$AG$13:$AG$162,0)),"")</f>
        <v/>
      </c>
      <c r="BD48">
        <f>IFERROR(INDEX(S$13:S$162,MATCH(36,$AG$13:$AG$162,0)),0)*($T$8+IF($C$10="",$T$9,0))</f>
        <v/>
      </c>
      <c r="BE48">
        <f>IFERROR(INDEX(T$13:T$162,MATCH(36,$AG$13:$AG$162,0)),0)*($T$8+IF($C$10="",$T$9,0))</f>
        <v/>
      </c>
      <c r="BF48">
        <f>IFERROR(INDEX(U$13:U$162,MATCH(36,$AG$13:$AG$162,0)),0)*($T$8+IF($C$10="",$T$9,0))</f>
        <v/>
      </c>
      <c r="BG48">
        <f>IFERROR(INDEX(V$13:V$162,MATCH(36,$AG$13:$AG$162,0)),0)*($T$8+IF($C$10="",$T$9,0))</f>
        <v/>
      </c>
      <c r="BH48">
        <f>IFERROR(INDEX(W$13:W$162,MATCH(36,$AG$13:$AG$162,0)),0)*($T$8+IF($C$10="",$T$9,0))</f>
        <v/>
      </c>
      <c r="BI48">
        <f>IFERROR(INDEX(X$13:X$162,MATCH(36,$AG$13:$AG$162,0)),0)*($T$8+IF($C$10="",$T$9,0))</f>
        <v/>
      </c>
      <c r="BJ48">
        <f>IFERROR(INDEX(Y$13:Y$162,MATCH(36,$AG$13:$AG$162,0)),0)*($T$8+IF($C$10="",$T$9,0))</f>
        <v/>
      </c>
      <c r="BK48">
        <f>IFERROR(INDEX(Z$13:Z$162,MATCH(36,$AG$13:$AG$162,0)),0)*($T$8+IF($C$10="",$T$9,0))</f>
        <v/>
      </c>
      <c r="BL48">
        <f>IFERROR(INDEX(AA$13:AA$162,MATCH(36,$AG$13:$AG$162,0)),0)*($T$8+IF($C$10="",$T$9,0))</f>
        <v/>
      </c>
      <c r="BN48">
        <f>IF(35&lt;$U$9,INT(35/($U$7*$U$8))+1,1)</f>
        <v/>
      </c>
      <c r="BO48">
        <f>IF(35&lt;$U$9,MOD(INT(35/$U$8),$U$7)+1,1)</f>
        <v/>
      </c>
      <c r="BP48">
        <f>IF(35&lt;$U$9,MOD(35,$U$8)+1,1)</f>
        <v/>
      </c>
      <c r="BQ48">
        <f>IF(35&lt;$U$9,SUMPRODUCT(($D$10:$L$10&lt;&gt;"")*(($D$9:$L$9+INT(($S$12:$AA$12+INDEX($AJ$13:$AR$162,BN48,0)+INDEX($AT$13:$BB$162,BO48,0)+INDEX($BD$13:$BL$162,BP48,0))/100))&gt;=$D$10:$L$10)),0)</f>
        <v/>
      </c>
      <c r="BR48">
        <f>IF(35&lt;$U$9,SUMPRODUCT(($D$10:$L$10&lt;&gt;"")*(($D$10:$L$10-($D$9:$L$9+INT(($S$12:$AA$12+INDEX($AJ$13:$AR$162,BN48,0)+INDEX($AT$13:$BB$162,BO48,0)+INDEX($BD$13:$BL$162,BP48,0))/100)))&gt;0)*($D$10:$L$10-($D$9:$L$9+INT(($S$12:$AA$12+INDEX($AJ$13:$AR$162,BN48,0)+INDEX($AT$13:$BB$162,BO48,0)+INDEX($BD$13:$BL$162,BP48,0))/100)))),0)</f>
        <v/>
      </c>
      <c r="BS48">
        <f>IF(35&lt;$U$9,SUMPRODUCT(($D$9:$L$9+INT(($S$12:$AA$12+INDEX($AJ$13:$AR$162,BN48,0)+INDEX($AT$13:$BB$162,BO48,0)+INDEX($BD$13:$BL$162,BP48,0))/100))),0)</f>
        <v/>
      </c>
      <c r="BT48">
        <f>IF(AND(35&lt;$U$9,$W$5),BQ48*1000000-MIN(BR48,999)*1000+BS48-35/100000,-1000000000-35)</f>
        <v/>
      </c>
      <c r="BV48">
        <f>IF(B48="",999,B48)</f>
        <v/>
      </c>
      <c r="BW48">
        <f>IF(B48="","",C48)</f>
        <v/>
      </c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P49">
        <f>IF('职业'!$C39="","",'职业'!$C39)</f>
        <v/>
      </c>
      <c r="Q49">
        <f>N('职业'!$D39)</f>
        <v/>
      </c>
      <c r="R49">
        <f>'职业'!$E39&amp;""</f>
        <v/>
      </c>
      <c r="S49">
        <f>IF($P49="",0,MAX(0,D$7+N('职业'!F39)))</f>
        <v/>
      </c>
      <c r="T49">
        <f>IF($P49="",0,MAX(0,E$7+N('职业'!G39)))</f>
        <v/>
      </c>
      <c r="U49">
        <f>IF($P49="",0,MAX(0,F$7+N('职业'!H39)))</f>
        <v/>
      </c>
      <c r="V49">
        <f>IF($P49="",0,MAX(0,G$7+N('职业'!I39)))</f>
        <v/>
      </c>
      <c r="W49">
        <f>IF($P49="",0,MAX(0,H$7+N('职业'!J39)))</f>
        <v/>
      </c>
      <c r="X49">
        <f>IF($P49="",0,MAX(0,I$7+N('职业'!K39)))</f>
        <v/>
      </c>
      <c r="Y49">
        <f>IF($P49="",0,MAX(0,J$7+N('职业'!L39)))</f>
        <v/>
      </c>
      <c r="Z49">
        <f>IF($P49="",0,MAX(0,K$7+N('职业'!M39)))</f>
        <v/>
      </c>
      <c r="AA49">
        <f>IF($P49="",0,MAX(0,L$7+N('职业'!N39)))</f>
        <v/>
      </c>
      <c r="AB49">
        <f>AND($P49&lt;&gt;"",IF($U$5=1,$P49=$C$10,OR($P49=$C$9,AND($R49="是",$Q49&lt;=MAX($B$9,$Q$6)))))</f>
        <v/>
      </c>
      <c r="AC49">
        <f>AND($P49&lt;&gt;"",IF($U$5=2,$P49=$C$10,OR($P49=$C$9,AND($R49="是",$Q49&lt;=MAX($B$9,$Q$7)))))</f>
        <v/>
      </c>
      <c r="AD49">
        <f>AND($P49&lt;&gt;"",IF($U$5=3,$P49=$C$10,OR($P49=$C$9,AND($R49="是",$Q49&lt;=MAX($B$9,$Q$8)))))</f>
        <v/>
      </c>
      <c r="AE49">
        <f>IF(AB49,COUNTIF(AB$13:AB49,TRUE),"")</f>
        <v/>
      </c>
      <c r="AF49">
        <f>IF(AC49,COUNTIF(AC$13:AC49,TRUE),"")</f>
        <v/>
      </c>
      <c r="AG49">
        <f>IF(AD49,COUNTIF(AD$13:AD49,TRUE),"")</f>
        <v/>
      </c>
      <c r="AI49">
        <f>IFERROR(INDEX($P$13:$P$162,MATCH(37,$AE$13:$AE$162,0)),"")</f>
        <v/>
      </c>
      <c r="AJ49">
        <f>IFERROR(INDEX(S$13:S$162,MATCH(37,$AE$13:$AE$162,0)),0)*$T$6</f>
        <v/>
      </c>
      <c r="AK49">
        <f>IFERROR(INDEX(T$13:T$162,MATCH(37,$AE$13:$AE$162,0)),0)*$T$6</f>
        <v/>
      </c>
      <c r="AL49">
        <f>IFERROR(INDEX(U$13:U$162,MATCH(37,$AE$13:$AE$162,0)),0)*$T$6</f>
        <v/>
      </c>
      <c r="AM49">
        <f>IFERROR(INDEX(V$13:V$162,MATCH(37,$AE$13:$AE$162,0)),0)*$T$6</f>
        <v/>
      </c>
      <c r="AN49">
        <f>IFERROR(INDEX(W$13:W$162,MATCH(37,$AE$13:$AE$162,0)),0)*$T$6</f>
        <v/>
      </c>
      <c r="AO49">
        <f>IFERROR(INDEX(X$13:X$162,MATCH(37,$AE$13:$AE$162,0)),0)*$T$6</f>
        <v/>
      </c>
      <c r="AP49">
        <f>IFERROR(INDEX(Y$13:Y$162,MATCH(37,$AE$13:$AE$162,0)),0)*$T$6</f>
        <v/>
      </c>
      <c r="AQ49">
        <f>IFERROR(INDEX(Z$13:Z$162,MATCH(37,$AE$13:$AE$162,0)),0)*$T$6</f>
        <v/>
      </c>
      <c r="AR49">
        <f>IFERROR(INDEX(AA$13:AA$162,MATCH(37,$AE$13:$AE$162,0)),0)*$T$6</f>
        <v/>
      </c>
      <c r="AS49">
        <f>IFERROR(INDEX($P$13:$P$162,MATCH(37,$AF$13:$AF$162,0)),"")</f>
        <v/>
      </c>
      <c r="AT49">
        <f>IFERROR(INDEX(S$13:S$162,MATCH(37,$AF$13:$AF$162,0)),0)*$T$7</f>
        <v/>
      </c>
      <c r="AU49">
        <f>IFERROR(INDEX(T$13:T$162,MATCH(37,$AF$13:$AF$162,0)),0)*$T$7</f>
        <v/>
      </c>
      <c r="AV49">
        <f>IFERROR(INDEX(U$13:U$162,MATCH(37,$AF$13:$AF$162,0)),0)*$T$7</f>
        <v/>
      </c>
      <c r="AW49">
        <f>IFERROR(INDEX(V$13:V$162,MATCH(37,$AF$13:$AF$162,0)),0)*$T$7</f>
        <v/>
      </c>
      <c r="AX49">
        <f>IFERROR(INDEX(W$13:W$162,MATCH(37,$AF$13:$AF$162,0)),0)*$T$7</f>
        <v/>
      </c>
      <c r="AY49">
        <f>IFERROR(INDEX(X$13:X$162,MATCH(37,$AF$13:$AF$162,0)),0)*$T$7</f>
        <v/>
      </c>
      <c r="AZ49">
        <f>IFERROR(INDEX(Y$13:Y$162,MATCH(37,$AF$13:$AF$162,0)),0)*$T$7</f>
        <v/>
      </c>
      <c r="BA49">
        <f>IFERROR(INDEX(Z$13:Z$162,MATCH(37,$AF$13:$AF$162,0)),0)*$T$7</f>
        <v/>
      </c>
      <c r="BB49">
        <f>IFERROR(INDEX(AA$13:AA$162,MATCH(37,$AF$13:$AF$162,0)),0)*$T$7</f>
        <v/>
      </c>
      <c r="BC49">
        <f>IFERROR(INDEX($P$13:$P$162,MATCH(37,$AG$13:$AG$162,0)),"")</f>
        <v/>
      </c>
      <c r="BD49">
        <f>IFERROR(INDEX(S$13:S$162,MATCH(37,$AG$13:$AG$162,0)),0)*($T$8+IF($C$10="",$T$9,0))</f>
        <v/>
      </c>
      <c r="BE49">
        <f>IFERROR(INDEX(T$13:T$162,MATCH(37,$AG$13:$AG$162,0)),0)*($T$8+IF($C$10="",$T$9,0))</f>
        <v/>
      </c>
      <c r="BF49">
        <f>IFERROR(INDEX(U$13:U$162,MATCH(37,$AG$13:$AG$162,0)),0)*($T$8+IF($C$10="",$T$9,0))</f>
        <v/>
      </c>
      <c r="BG49">
        <f>IFERROR(INDEX(V$13:V$162,MATCH(37,$AG$13:$AG$162,0)),0)*($T$8+IF($C$10="",$T$9,0))</f>
        <v/>
      </c>
      <c r="BH49">
        <f>IFERROR(INDEX(W$13:W$162,MATCH(37,$AG$13:$AG$162,0)),0)*($T$8+IF($C$10="",$T$9,0))</f>
        <v/>
      </c>
      <c r="BI49">
        <f>IFERROR(INDEX(X$13:X$162,MATCH(37,$AG$13:$AG$162,0)),0)*($T$8+IF($C$10="",$T$9,0))</f>
        <v/>
      </c>
      <c r="BJ49">
        <f>IFERROR(INDEX(Y$13:Y$162,MATCH(37,$AG$13:$AG$162,0)),0)*($T$8+IF($C$10="",$T$9,0))</f>
        <v/>
      </c>
      <c r="BK49">
        <f>IFERROR(INDEX(Z$13:Z$162,MATCH(37,$AG$13:$AG$162,0)),0)*($T$8+IF($C$10="",$T$9,0))</f>
        <v/>
      </c>
      <c r="BL49">
        <f>IFERROR(INDEX(AA$13:AA$162,MATCH(37,$AG$13:$AG$162,0)),0)*($T$8+IF($C$10="",$T$9,0))</f>
        <v/>
      </c>
      <c r="BN49">
        <f>IF(36&lt;$U$9,INT(36/($U$7*$U$8))+1,1)</f>
        <v/>
      </c>
      <c r="BO49">
        <f>IF(36&lt;$U$9,MOD(INT(36/$U$8),$U$7)+1,1)</f>
        <v/>
      </c>
      <c r="BP49">
        <f>IF(36&lt;$U$9,MOD(36,$U$8)+1,1)</f>
        <v/>
      </c>
      <c r="BQ49">
        <f>IF(36&lt;$U$9,SUMPRODUCT(($D$10:$L$10&lt;&gt;"")*(($D$9:$L$9+INT(($S$12:$AA$12+INDEX($AJ$13:$AR$162,BN49,0)+INDEX($AT$13:$BB$162,BO49,0)+INDEX($BD$13:$BL$162,BP49,0))/100))&gt;=$D$10:$L$10)),0)</f>
        <v/>
      </c>
      <c r="BR49">
        <f>IF(36&lt;$U$9,SUMPRODUCT(($D$10:$L$10&lt;&gt;"")*(($D$10:$L$10-($D$9:$L$9+INT(($S$12:$AA$12+INDEX($AJ$13:$AR$162,BN49,0)+INDEX($AT$13:$BB$162,BO49,0)+INDEX($BD$13:$BL$162,BP49,0))/100)))&gt;0)*($D$10:$L$10-($D$9:$L$9+INT(($S$12:$AA$12+INDEX($AJ$13:$AR$162,BN49,0)+INDEX($AT$13:$BB$162,BO49,0)+INDEX($BD$13:$BL$162,BP49,0))/100)))),0)</f>
        <v/>
      </c>
      <c r="BS49">
        <f>IF(36&lt;$U$9,SUMPRODUCT(($D$9:$L$9+INT(($S$12:$AA$12+INDEX($AJ$13:$AR$162,BN49,0)+INDEX($AT$13:$BB$162,BO49,0)+INDEX($BD$13:$BL$162,BP49,0))/100))),0)</f>
        <v/>
      </c>
      <c r="BT49">
        <f>IF(AND(36&lt;$U$9,$W$5),BQ49*1000000-MIN(BR49,999)*1000+BS49-36/100000,-1000000000-36)</f>
        <v/>
      </c>
    </row>
    <row r="50" ht="22" customHeight="1">
      <c r="A50" s="14" t="inlineStr">
        <is>
          <t>⑥ 逐级成长表（当前显示路线；绿色=该级属性+1，黄色行=转职）</t>
        </is>
      </c>
      <c r="P50">
        <f>IF('职业'!$C40="","",'职业'!$C40)</f>
        <v/>
      </c>
      <c r="Q50">
        <f>N('职业'!$D40)</f>
        <v/>
      </c>
      <c r="R50">
        <f>'职业'!$E40&amp;""</f>
        <v/>
      </c>
      <c r="S50">
        <f>IF($P50="",0,MAX(0,D$7+N('职业'!F40)))</f>
        <v/>
      </c>
      <c r="T50">
        <f>IF($P50="",0,MAX(0,E$7+N('职业'!G40)))</f>
        <v/>
      </c>
      <c r="U50">
        <f>IF($P50="",0,MAX(0,F$7+N('职业'!H40)))</f>
        <v/>
      </c>
      <c r="V50">
        <f>IF($P50="",0,MAX(0,G$7+N('职业'!I40)))</f>
        <v/>
      </c>
      <c r="W50">
        <f>IF($P50="",0,MAX(0,H$7+N('职业'!J40)))</f>
        <v/>
      </c>
      <c r="X50">
        <f>IF($P50="",0,MAX(0,I$7+N('职业'!K40)))</f>
        <v/>
      </c>
      <c r="Y50">
        <f>IF($P50="",0,MAX(0,J$7+N('职业'!L40)))</f>
        <v/>
      </c>
      <c r="Z50">
        <f>IF($P50="",0,MAX(0,K$7+N('职业'!M40)))</f>
        <v/>
      </c>
      <c r="AA50">
        <f>IF($P50="",0,MAX(0,L$7+N('职业'!N40)))</f>
        <v/>
      </c>
      <c r="AB50">
        <f>AND($P50&lt;&gt;"",IF($U$5=1,$P50=$C$10,OR($P50=$C$9,AND($R50="是",$Q50&lt;=MAX($B$9,$Q$6)))))</f>
        <v/>
      </c>
      <c r="AC50">
        <f>AND($P50&lt;&gt;"",IF($U$5=2,$P50=$C$10,OR($P50=$C$9,AND($R50="是",$Q50&lt;=MAX($B$9,$Q$7)))))</f>
        <v/>
      </c>
      <c r="AD50">
        <f>AND($P50&lt;&gt;"",IF($U$5=3,$P50=$C$10,OR($P50=$C$9,AND($R50="是",$Q50&lt;=MAX($B$9,$Q$8)))))</f>
        <v/>
      </c>
      <c r="AE50">
        <f>IF(AB50,COUNTIF(AB$13:AB50,TRUE),"")</f>
        <v/>
      </c>
      <c r="AF50">
        <f>IF(AC50,COUNTIF(AC$13:AC50,TRUE),"")</f>
        <v/>
      </c>
      <c r="AG50">
        <f>IF(AD50,COUNTIF(AD$13:AD50,TRUE),"")</f>
        <v/>
      </c>
      <c r="AI50">
        <f>IFERROR(INDEX($P$13:$P$162,MATCH(38,$AE$13:$AE$162,0)),"")</f>
        <v/>
      </c>
      <c r="AJ50">
        <f>IFERROR(INDEX(S$13:S$162,MATCH(38,$AE$13:$AE$162,0)),0)*$T$6</f>
        <v/>
      </c>
      <c r="AK50">
        <f>IFERROR(INDEX(T$13:T$162,MATCH(38,$AE$13:$AE$162,0)),0)*$T$6</f>
        <v/>
      </c>
      <c r="AL50">
        <f>IFERROR(INDEX(U$13:U$162,MATCH(38,$AE$13:$AE$162,0)),0)*$T$6</f>
        <v/>
      </c>
      <c r="AM50">
        <f>IFERROR(INDEX(V$13:V$162,MATCH(38,$AE$13:$AE$162,0)),0)*$T$6</f>
        <v/>
      </c>
      <c r="AN50">
        <f>IFERROR(INDEX(W$13:W$162,MATCH(38,$AE$13:$AE$162,0)),0)*$T$6</f>
        <v/>
      </c>
      <c r="AO50">
        <f>IFERROR(INDEX(X$13:X$162,MATCH(38,$AE$13:$AE$162,0)),0)*$T$6</f>
        <v/>
      </c>
      <c r="AP50">
        <f>IFERROR(INDEX(Y$13:Y$162,MATCH(38,$AE$13:$AE$162,0)),0)*$T$6</f>
        <v/>
      </c>
      <c r="AQ50">
        <f>IFERROR(INDEX(Z$13:Z$162,MATCH(38,$AE$13:$AE$162,0)),0)*$T$6</f>
        <v/>
      </c>
      <c r="AR50">
        <f>IFERROR(INDEX(AA$13:AA$162,MATCH(38,$AE$13:$AE$162,0)),0)*$T$6</f>
        <v/>
      </c>
      <c r="AS50">
        <f>IFERROR(INDEX($P$13:$P$162,MATCH(38,$AF$13:$AF$162,0)),"")</f>
        <v/>
      </c>
      <c r="AT50">
        <f>IFERROR(INDEX(S$13:S$162,MATCH(38,$AF$13:$AF$162,0)),0)*$T$7</f>
        <v/>
      </c>
      <c r="AU50">
        <f>IFERROR(INDEX(T$13:T$162,MATCH(38,$AF$13:$AF$162,0)),0)*$T$7</f>
        <v/>
      </c>
      <c r="AV50">
        <f>IFERROR(INDEX(U$13:U$162,MATCH(38,$AF$13:$AF$162,0)),0)*$T$7</f>
        <v/>
      </c>
      <c r="AW50">
        <f>IFERROR(INDEX(V$13:V$162,MATCH(38,$AF$13:$AF$162,0)),0)*$T$7</f>
        <v/>
      </c>
      <c r="AX50">
        <f>IFERROR(INDEX(W$13:W$162,MATCH(38,$AF$13:$AF$162,0)),0)*$T$7</f>
        <v/>
      </c>
      <c r="AY50">
        <f>IFERROR(INDEX(X$13:X$162,MATCH(38,$AF$13:$AF$162,0)),0)*$T$7</f>
        <v/>
      </c>
      <c r="AZ50">
        <f>IFERROR(INDEX(Y$13:Y$162,MATCH(38,$AF$13:$AF$162,0)),0)*$T$7</f>
        <v/>
      </c>
      <c r="BA50">
        <f>IFERROR(INDEX(Z$13:Z$162,MATCH(38,$AF$13:$AF$162,0)),0)*$T$7</f>
        <v/>
      </c>
      <c r="BB50">
        <f>IFERROR(INDEX(AA$13:AA$162,MATCH(38,$AF$13:$AF$162,0)),0)*$T$7</f>
        <v/>
      </c>
      <c r="BC50">
        <f>IFERROR(INDEX($P$13:$P$162,MATCH(38,$AG$13:$AG$162,0)),"")</f>
        <v/>
      </c>
      <c r="BD50">
        <f>IFERROR(INDEX(S$13:S$162,MATCH(38,$AG$13:$AG$162,0)),0)*($T$8+IF($C$10="",$T$9,0))</f>
        <v/>
      </c>
      <c r="BE50">
        <f>IFERROR(INDEX(T$13:T$162,MATCH(38,$AG$13:$AG$162,0)),0)*($T$8+IF($C$10="",$T$9,0))</f>
        <v/>
      </c>
      <c r="BF50">
        <f>IFERROR(INDEX(U$13:U$162,MATCH(38,$AG$13:$AG$162,0)),0)*($T$8+IF($C$10="",$T$9,0))</f>
        <v/>
      </c>
      <c r="BG50">
        <f>IFERROR(INDEX(V$13:V$162,MATCH(38,$AG$13:$AG$162,0)),0)*($T$8+IF($C$10="",$T$9,0))</f>
        <v/>
      </c>
      <c r="BH50">
        <f>IFERROR(INDEX(W$13:W$162,MATCH(38,$AG$13:$AG$162,0)),0)*($T$8+IF($C$10="",$T$9,0))</f>
        <v/>
      </c>
      <c r="BI50">
        <f>IFERROR(INDEX(X$13:X$162,MATCH(38,$AG$13:$AG$162,0)),0)*($T$8+IF($C$10="",$T$9,0))</f>
        <v/>
      </c>
      <c r="BJ50">
        <f>IFERROR(INDEX(Y$13:Y$162,MATCH(38,$AG$13:$AG$162,0)),0)*($T$8+IF($C$10="",$T$9,0))</f>
        <v/>
      </c>
      <c r="BK50">
        <f>IFERROR(INDEX(Z$13:Z$162,MATCH(38,$AG$13:$AG$162,0)),0)*($T$8+IF($C$10="",$T$9,0))</f>
        <v/>
      </c>
      <c r="BL50">
        <f>IFERROR(INDEX(AA$13:AA$162,MATCH(38,$AG$13:$AG$162,0)),0)*($T$8+IF($C$10="",$T$9,0))</f>
        <v/>
      </c>
      <c r="BN50">
        <f>IF(37&lt;$U$9,INT(37/($U$7*$U$8))+1,1)</f>
        <v/>
      </c>
      <c r="BO50">
        <f>IF(37&lt;$U$9,MOD(INT(37/$U$8),$U$7)+1,1)</f>
        <v/>
      </c>
      <c r="BP50">
        <f>IF(37&lt;$U$9,MOD(37,$U$8)+1,1)</f>
        <v/>
      </c>
      <c r="BQ50">
        <f>IF(37&lt;$U$9,SUMPRODUCT(($D$10:$L$10&lt;&gt;"")*(($D$9:$L$9+INT(($S$12:$AA$12+INDEX($AJ$13:$AR$162,BN50,0)+INDEX($AT$13:$BB$162,BO50,0)+INDEX($BD$13:$BL$162,BP50,0))/100))&gt;=$D$10:$L$10)),0)</f>
        <v/>
      </c>
      <c r="BR50">
        <f>IF(37&lt;$U$9,SUMPRODUCT(($D$10:$L$10&lt;&gt;"")*(($D$10:$L$10-($D$9:$L$9+INT(($S$12:$AA$12+INDEX($AJ$13:$AR$162,BN50,0)+INDEX($AT$13:$BB$162,BO50,0)+INDEX($BD$13:$BL$162,BP50,0))/100)))&gt;0)*($D$10:$L$10-($D$9:$L$9+INT(($S$12:$AA$12+INDEX($AJ$13:$AR$162,BN50,0)+INDEX($AT$13:$BB$162,BO50,0)+INDEX($BD$13:$BL$162,BP50,0))/100)))),0)</f>
        <v/>
      </c>
      <c r="BS50">
        <f>IF(37&lt;$U$9,SUMPRODUCT(($D$9:$L$9+INT(($S$12:$AA$12+INDEX($AJ$13:$AR$162,BN50,0)+INDEX($AT$13:$BB$162,BO50,0)+INDEX($BD$13:$BL$162,BP50,0))/100))),0)</f>
        <v/>
      </c>
      <c r="BT50">
        <f>IF(AND(37&lt;$U$9,$W$5),BQ50*1000000-MIN(BR50,999)*1000+BS50-37/100000,-1000000000-37)</f>
        <v/>
      </c>
    </row>
    <row r="51">
      <c r="A51" s="10" t="inlineStr">
        <is>
          <t>等级</t>
        </is>
      </c>
      <c r="B51" s="10" t="inlineStr">
        <is>
          <t>阶段</t>
        </is>
      </c>
      <c r="C51" s="10" t="inlineStr">
        <is>
          <t>职业</t>
        </is>
      </c>
      <c r="D51" s="10" t="inlineStr">
        <is>
          <t>HP</t>
        </is>
      </c>
      <c r="E51" s="10" t="inlineStr">
        <is>
          <t>力量</t>
        </is>
      </c>
      <c r="F51" s="10" t="inlineStr">
        <is>
          <t>魔力</t>
        </is>
      </c>
      <c r="G51" s="10" t="inlineStr">
        <is>
          <t>速度</t>
        </is>
      </c>
      <c r="H51" s="10" t="inlineStr">
        <is>
          <t>技巧</t>
        </is>
      </c>
      <c r="I51" s="10" t="inlineStr">
        <is>
          <t>防守</t>
        </is>
      </c>
      <c r="J51" s="10" t="inlineStr">
        <is>
          <t>魔防</t>
        </is>
      </c>
      <c r="K51" s="10" t="inlineStr">
        <is>
          <t>幸运</t>
        </is>
      </c>
      <c r="L51" s="10" t="inlineStr">
        <is>
          <t>魅力</t>
        </is>
      </c>
      <c r="M51" s="10" t="inlineStr">
        <is>
          <t>备注</t>
        </is>
      </c>
      <c r="P51">
        <f>IF('职业'!$C41="","",'职业'!$C41)</f>
        <v/>
      </c>
      <c r="Q51">
        <f>N('职业'!$D41)</f>
        <v/>
      </c>
      <c r="R51">
        <f>'职业'!$E41&amp;""</f>
        <v/>
      </c>
      <c r="S51">
        <f>IF($P51="",0,MAX(0,D$7+N('职业'!F41)))</f>
        <v/>
      </c>
      <c r="T51">
        <f>IF($P51="",0,MAX(0,E$7+N('职业'!G41)))</f>
        <v/>
      </c>
      <c r="U51">
        <f>IF($P51="",0,MAX(0,F$7+N('职业'!H41)))</f>
        <v/>
      </c>
      <c r="V51">
        <f>IF($P51="",0,MAX(0,G$7+N('职业'!I41)))</f>
        <v/>
      </c>
      <c r="W51">
        <f>IF($P51="",0,MAX(0,H$7+N('职业'!J41)))</f>
        <v/>
      </c>
      <c r="X51">
        <f>IF($P51="",0,MAX(0,I$7+N('职业'!K41)))</f>
        <v/>
      </c>
      <c r="Y51">
        <f>IF($P51="",0,MAX(0,J$7+N('职业'!L41)))</f>
        <v/>
      </c>
      <c r="Z51">
        <f>IF($P51="",0,MAX(0,K$7+N('职业'!M41)))</f>
        <v/>
      </c>
      <c r="AA51">
        <f>IF($P51="",0,MAX(0,L$7+N('职业'!N41)))</f>
        <v/>
      </c>
      <c r="AB51">
        <f>AND($P51&lt;&gt;"",IF($U$5=1,$P51=$C$10,OR($P51=$C$9,AND($R51="是",$Q51&lt;=MAX($B$9,$Q$6)))))</f>
        <v/>
      </c>
      <c r="AC51">
        <f>AND($P51&lt;&gt;"",IF($U$5=2,$P51=$C$10,OR($P51=$C$9,AND($R51="是",$Q51&lt;=MAX($B$9,$Q$7)))))</f>
        <v/>
      </c>
      <c r="AD51">
        <f>AND($P51&lt;&gt;"",IF($U$5=3,$P51=$C$10,OR($P51=$C$9,AND($R51="是",$Q51&lt;=MAX($B$9,$Q$8)))))</f>
        <v/>
      </c>
      <c r="AE51">
        <f>IF(AB51,COUNTIF(AB$13:AB51,TRUE),"")</f>
        <v/>
      </c>
      <c r="AF51">
        <f>IF(AC51,COUNTIF(AC$13:AC51,TRUE),"")</f>
        <v/>
      </c>
      <c r="AG51">
        <f>IF(AD51,COUNTIF(AD$13:AD51,TRUE),"")</f>
        <v/>
      </c>
      <c r="AI51">
        <f>IFERROR(INDEX($P$13:$P$162,MATCH(39,$AE$13:$AE$162,0)),"")</f>
        <v/>
      </c>
      <c r="AJ51">
        <f>IFERROR(INDEX(S$13:S$162,MATCH(39,$AE$13:$AE$162,0)),0)*$T$6</f>
        <v/>
      </c>
      <c r="AK51">
        <f>IFERROR(INDEX(T$13:T$162,MATCH(39,$AE$13:$AE$162,0)),0)*$T$6</f>
        <v/>
      </c>
      <c r="AL51">
        <f>IFERROR(INDEX(U$13:U$162,MATCH(39,$AE$13:$AE$162,0)),0)*$T$6</f>
        <v/>
      </c>
      <c r="AM51">
        <f>IFERROR(INDEX(V$13:V$162,MATCH(39,$AE$13:$AE$162,0)),0)*$T$6</f>
        <v/>
      </c>
      <c r="AN51">
        <f>IFERROR(INDEX(W$13:W$162,MATCH(39,$AE$13:$AE$162,0)),0)*$T$6</f>
        <v/>
      </c>
      <c r="AO51">
        <f>IFERROR(INDEX(X$13:X$162,MATCH(39,$AE$13:$AE$162,0)),0)*$T$6</f>
        <v/>
      </c>
      <c r="AP51">
        <f>IFERROR(INDEX(Y$13:Y$162,MATCH(39,$AE$13:$AE$162,0)),0)*$T$6</f>
        <v/>
      </c>
      <c r="AQ51">
        <f>IFERROR(INDEX(Z$13:Z$162,MATCH(39,$AE$13:$AE$162,0)),0)*$T$6</f>
        <v/>
      </c>
      <c r="AR51">
        <f>IFERROR(INDEX(AA$13:AA$162,MATCH(39,$AE$13:$AE$162,0)),0)*$T$6</f>
        <v/>
      </c>
      <c r="AS51">
        <f>IFERROR(INDEX($P$13:$P$162,MATCH(39,$AF$13:$AF$162,0)),"")</f>
        <v/>
      </c>
      <c r="AT51">
        <f>IFERROR(INDEX(S$13:S$162,MATCH(39,$AF$13:$AF$162,0)),0)*$T$7</f>
        <v/>
      </c>
      <c r="AU51">
        <f>IFERROR(INDEX(T$13:T$162,MATCH(39,$AF$13:$AF$162,0)),0)*$T$7</f>
        <v/>
      </c>
      <c r="AV51">
        <f>IFERROR(INDEX(U$13:U$162,MATCH(39,$AF$13:$AF$162,0)),0)*$T$7</f>
        <v/>
      </c>
      <c r="AW51">
        <f>IFERROR(INDEX(V$13:V$162,MATCH(39,$AF$13:$AF$162,0)),0)*$T$7</f>
        <v/>
      </c>
      <c r="AX51">
        <f>IFERROR(INDEX(W$13:W$162,MATCH(39,$AF$13:$AF$162,0)),0)*$T$7</f>
        <v/>
      </c>
      <c r="AY51">
        <f>IFERROR(INDEX(X$13:X$162,MATCH(39,$AF$13:$AF$162,0)),0)*$T$7</f>
        <v/>
      </c>
      <c r="AZ51">
        <f>IFERROR(INDEX(Y$13:Y$162,MATCH(39,$AF$13:$AF$162,0)),0)*$T$7</f>
        <v/>
      </c>
      <c r="BA51">
        <f>IFERROR(INDEX(Z$13:Z$162,MATCH(39,$AF$13:$AF$162,0)),0)*$T$7</f>
        <v/>
      </c>
      <c r="BB51">
        <f>IFERROR(INDEX(AA$13:AA$162,MATCH(39,$AF$13:$AF$162,0)),0)*$T$7</f>
        <v/>
      </c>
      <c r="BC51">
        <f>IFERROR(INDEX($P$13:$P$162,MATCH(39,$AG$13:$AG$162,0)),"")</f>
        <v/>
      </c>
      <c r="BD51">
        <f>IFERROR(INDEX(S$13:S$162,MATCH(39,$AG$13:$AG$162,0)),0)*($T$8+IF($C$10="",$T$9,0))</f>
        <v/>
      </c>
      <c r="BE51">
        <f>IFERROR(INDEX(T$13:T$162,MATCH(39,$AG$13:$AG$162,0)),0)*($T$8+IF($C$10="",$T$9,0))</f>
        <v/>
      </c>
      <c r="BF51">
        <f>IFERROR(INDEX(U$13:U$162,MATCH(39,$AG$13:$AG$162,0)),0)*($T$8+IF($C$10="",$T$9,0))</f>
        <v/>
      </c>
      <c r="BG51">
        <f>IFERROR(INDEX(V$13:V$162,MATCH(39,$AG$13:$AG$162,0)),0)*($T$8+IF($C$10="",$T$9,0))</f>
        <v/>
      </c>
      <c r="BH51">
        <f>IFERROR(INDEX(W$13:W$162,MATCH(39,$AG$13:$AG$162,0)),0)*($T$8+IF($C$10="",$T$9,0))</f>
        <v/>
      </c>
      <c r="BI51">
        <f>IFERROR(INDEX(X$13:X$162,MATCH(39,$AG$13:$AG$162,0)),0)*($T$8+IF($C$10="",$T$9,0))</f>
        <v/>
      </c>
      <c r="BJ51">
        <f>IFERROR(INDEX(Y$13:Y$162,MATCH(39,$AG$13:$AG$162,0)),0)*($T$8+IF($C$10="",$T$9,0))</f>
        <v/>
      </c>
      <c r="BK51">
        <f>IFERROR(INDEX(Z$13:Z$162,MATCH(39,$AG$13:$AG$162,0)),0)*($T$8+IF($C$10="",$T$9,0))</f>
        <v/>
      </c>
      <c r="BL51">
        <f>IFERROR(INDEX(AA$13:AA$162,MATCH(39,$AG$13:$AG$162,0)),0)*($T$8+IF($C$10="",$T$9,0))</f>
        <v/>
      </c>
      <c r="BN51">
        <f>IF(38&lt;$U$9,INT(38/($U$7*$U$8))+1,1)</f>
        <v/>
      </c>
      <c r="BO51">
        <f>IF(38&lt;$U$9,MOD(INT(38/$U$8),$U$7)+1,1)</f>
        <v/>
      </c>
      <c r="BP51">
        <f>IF(38&lt;$U$9,MOD(38,$U$8)+1,1)</f>
        <v/>
      </c>
      <c r="BQ51">
        <f>IF(38&lt;$U$9,SUMPRODUCT(($D$10:$L$10&lt;&gt;"")*(($D$9:$L$9+INT(($S$12:$AA$12+INDEX($AJ$13:$AR$162,BN51,0)+INDEX($AT$13:$BB$162,BO51,0)+INDEX($BD$13:$BL$162,BP51,0))/100))&gt;=$D$10:$L$10)),0)</f>
        <v/>
      </c>
      <c r="BR51">
        <f>IF(38&lt;$U$9,SUMPRODUCT(($D$10:$L$10&lt;&gt;"")*(($D$10:$L$10-($D$9:$L$9+INT(($S$12:$AA$12+INDEX($AJ$13:$AR$162,BN51,0)+INDEX($AT$13:$BB$162,BO51,0)+INDEX($BD$13:$BL$162,BP51,0))/100)))&gt;0)*($D$10:$L$10-($D$9:$L$9+INT(($S$12:$AA$12+INDEX($AJ$13:$AR$162,BN51,0)+INDEX($AT$13:$BB$162,BO51,0)+INDEX($BD$13:$BL$162,BP51,0))/100)))),0)</f>
        <v/>
      </c>
      <c r="BS51">
        <f>IF(38&lt;$U$9,SUMPRODUCT(($D$9:$L$9+INT(($S$12:$AA$12+INDEX($AJ$13:$AR$162,BN51,0)+INDEX($AT$13:$BB$162,BO51,0)+INDEX($BD$13:$BL$162,BP51,0))/100))),0)</f>
        <v/>
      </c>
      <c r="BT51">
        <f>IF(AND(38&lt;$U$9,$W$5),BQ51*1000000-MIN(BR51,999)*1000+BS51-38/100000,-1000000000-38)</f>
        <v/>
      </c>
    </row>
    <row r="52">
      <c r="A52" s="15">
        <f>IF(OR($B$9="",$B$10=""),"",IF($B$9+0&lt;=$B$10,$B$9+0,""))</f>
        <v/>
      </c>
      <c r="B52" s="15">
        <f>IF($A52="","",MATCH($A52,$BV$27:$BV$32,1))</f>
        <v/>
      </c>
      <c r="C52" s="15">
        <f>IF($A52="","",INDEX($BW$27:$BW$32,$B52))</f>
        <v/>
      </c>
      <c r="D52" s="15">
        <f>IF($A52="","",D$9+INT(($B$14+CG52)/100))</f>
        <v/>
      </c>
      <c r="E52" s="15">
        <f>IF($A52="","",E$9+INT(($B$14+CH52)/100))</f>
        <v/>
      </c>
      <c r="F52" s="15">
        <f>IF($A52="","",F$9+INT(($B$14+CI52)/100))</f>
        <v/>
      </c>
      <c r="G52" s="15">
        <f>IF($A52="","",G$9+INT(($B$14+CJ52)/100))</f>
        <v/>
      </c>
      <c r="H52" s="15">
        <f>IF($A52="","",H$9+INT(($B$14+CK52)/100))</f>
        <v/>
      </c>
      <c r="I52" s="15">
        <f>IF($A52="","",I$9+INT(($B$14+CL52)/100))</f>
        <v/>
      </c>
      <c r="J52" s="15">
        <f>IF($A52="","",J$9+INT(($B$14+CM52)/100))</f>
        <v/>
      </c>
      <c r="K52" s="15">
        <f>IF($A52="","",K$9+INT(($B$14+CN52)/100))</f>
        <v/>
      </c>
      <c r="L52" s="15">
        <f>IF($A52="","",L$9+INT(($B$14+CO52)/100))</f>
        <v/>
      </c>
      <c r="M52" s="16">
        <f>IF($A52="","",IF($C52=$C$9,"起点：【"&amp;$C52&amp;"】","起点：【"&amp;$C$9&amp;"】 ★ 立即转职 → 【"&amp;$C52&amp;"】"))</f>
        <v/>
      </c>
      <c r="P52">
        <f>IF('职业'!$C42="","",'职业'!$C42)</f>
        <v/>
      </c>
      <c r="Q52">
        <f>N('职业'!$D42)</f>
        <v/>
      </c>
      <c r="R52">
        <f>'职业'!$E42&amp;""</f>
        <v/>
      </c>
      <c r="S52">
        <f>IF($P52="",0,MAX(0,D$7+N('职业'!F42)))</f>
        <v/>
      </c>
      <c r="T52">
        <f>IF($P52="",0,MAX(0,E$7+N('职业'!G42)))</f>
        <v/>
      </c>
      <c r="U52">
        <f>IF($P52="",0,MAX(0,F$7+N('职业'!H42)))</f>
        <v/>
      </c>
      <c r="V52">
        <f>IF($P52="",0,MAX(0,G$7+N('职业'!I42)))</f>
        <v/>
      </c>
      <c r="W52">
        <f>IF($P52="",0,MAX(0,H$7+N('职业'!J42)))</f>
        <v/>
      </c>
      <c r="X52">
        <f>IF($P52="",0,MAX(0,I$7+N('职业'!K42)))</f>
        <v/>
      </c>
      <c r="Y52">
        <f>IF($P52="",0,MAX(0,J$7+N('职业'!L42)))</f>
        <v/>
      </c>
      <c r="Z52">
        <f>IF($P52="",0,MAX(0,K$7+N('职业'!M42)))</f>
        <v/>
      </c>
      <c r="AA52">
        <f>IF($P52="",0,MAX(0,L$7+N('职业'!N42)))</f>
        <v/>
      </c>
      <c r="AB52">
        <f>AND($P52&lt;&gt;"",IF($U$5=1,$P52=$C$10,OR($P52=$C$9,AND($R52="是",$Q52&lt;=MAX($B$9,$Q$6)))))</f>
        <v/>
      </c>
      <c r="AC52">
        <f>AND($P52&lt;&gt;"",IF($U$5=2,$P52=$C$10,OR($P52=$C$9,AND($R52="是",$Q52&lt;=MAX($B$9,$Q$7)))))</f>
        <v/>
      </c>
      <c r="AD52">
        <f>AND($P52&lt;&gt;"",IF($U$5=3,$P52=$C$10,OR($P52=$C$9,AND($R52="是",$Q52&lt;=MAX($B$9,$Q$8)))))</f>
        <v/>
      </c>
      <c r="AE52">
        <f>IF(AB52,COUNTIF(AB$13:AB52,TRUE),"")</f>
        <v/>
      </c>
      <c r="AF52">
        <f>IF(AC52,COUNTIF(AC$13:AC52,TRUE),"")</f>
        <v/>
      </c>
      <c r="AG52">
        <f>IF(AD52,COUNTIF(AD$13:AD52,TRUE),"")</f>
        <v/>
      </c>
      <c r="AI52">
        <f>IFERROR(INDEX($P$13:$P$162,MATCH(40,$AE$13:$AE$162,0)),"")</f>
        <v/>
      </c>
      <c r="AJ52">
        <f>IFERROR(INDEX(S$13:S$162,MATCH(40,$AE$13:$AE$162,0)),0)*$T$6</f>
        <v/>
      </c>
      <c r="AK52">
        <f>IFERROR(INDEX(T$13:T$162,MATCH(40,$AE$13:$AE$162,0)),0)*$T$6</f>
        <v/>
      </c>
      <c r="AL52">
        <f>IFERROR(INDEX(U$13:U$162,MATCH(40,$AE$13:$AE$162,0)),0)*$T$6</f>
        <v/>
      </c>
      <c r="AM52">
        <f>IFERROR(INDEX(V$13:V$162,MATCH(40,$AE$13:$AE$162,0)),0)*$T$6</f>
        <v/>
      </c>
      <c r="AN52">
        <f>IFERROR(INDEX(W$13:W$162,MATCH(40,$AE$13:$AE$162,0)),0)*$T$6</f>
        <v/>
      </c>
      <c r="AO52">
        <f>IFERROR(INDEX(X$13:X$162,MATCH(40,$AE$13:$AE$162,0)),0)*$T$6</f>
        <v/>
      </c>
      <c r="AP52">
        <f>IFERROR(INDEX(Y$13:Y$162,MATCH(40,$AE$13:$AE$162,0)),0)*$T$6</f>
        <v/>
      </c>
      <c r="AQ52">
        <f>IFERROR(INDEX(Z$13:Z$162,MATCH(40,$AE$13:$AE$162,0)),0)*$T$6</f>
        <v/>
      </c>
      <c r="AR52">
        <f>IFERROR(INDEX(AA$13:AA$162,MATCH(40,$AE$13:$AE$162,0)),0)*$T$6</f>
        <v/>
      </c>
      <c r="AS52">
        <f>IFERROR(INDEX($P$13:$P$162,MATCH(40,$AF$13:$AF$162,0)),"")</f>
        <v/>
      </c>
      <c r="AT52">
        <f>IFERROR(INDEX(S$13:S$162,MATCH(40,$AF$13:$AF$162,0)),0)*$T$7</f>
        <v/>
      </c>
      <c r="AU52">
        <f>IFERROR(INDEX(T$13:T$162,MATCH(40,$AF$13:$AF$162,0)),0)*$T$7</f>
        <v/>
      </c>
      <c r="AV52">
        <f>IFERROR(INDEX(U$13:U$162,MATCH(40,$AF$13:$AF$162,0)),0)*$T$7</f>
        <v/>
      </c>
      <c r="AW52">
        <f>IFERROR(INDEX(V$13:V$162,MATCH(40,$AF$13:$AF$162,0)),0)*$T$7</f>
        <v/>
      </c>
      <c r="AX52">
        <f>IFERROR(INDEX(W$13:W$162,MATCH(40,$AF$13:$AF$162,0)),0)*$T$7</f>
        <v/>
      </c>
      <c r="AY52">
        <f>IFERROR(INDEX(X$13:X$162,MATCH(40,$AF$13:$AF$162,0)),0)*$T$7</f>
        <v/>
      </c>
      <c r="AZ52">
        <f>IFERROR(INDEX(Y$13:Y$162,MATCH(40,$AF$13:$AF$162,0)),0)*$T$7</f>
        <v/>
      </c>
      <c r="BA52">
        <f>IFERROR(INDEX(Z$13:Z$162,MATCH(40,$AF$13:$AF$162,0)),0)*$T$7</f>
        <v/>
      </c>
      <c r="BB52">
        <f>IFERROR(INDEX(AA$13:AA$162,MATCH(40,$AF$13:$AF$162,0)),0)*$T$7</f>
        <v/>
      </c>
      <c r="BC52">
        <f>IFERROR(INDEX($P$13:$P$162,MATCH(40,$AG$13:$AG$162,0)),"")</f>
        <v/>
      </c>
      <c r="BD52">
        <f>IFERROR(INDEX(S$13:S$162,MATCH(40,$AG$13:$AG$162,0)),0)*($T$8+IF($C$10="",$T$9,0))</f>
        <v/>
      </c>
      <c r="BE52">
        <f>IFERROR(INDEX(T$13:T$162,MATCH(40,$AG$13:$AG$162,0)),0)*($T$8+IF($C$10="",$T$9,0))</f>
        <v/>
      </c>
      <c r="BF52">
        <f>IFERROR(INDEX(U$13:U$162,MATCH(40,$AG$13:$AG$162,0)),0)*($T$8+IF($C$10="",$T$9,0))</f>
        <v/>
      </c>
      <c r="BG52">
        <f>IFERROR(INDEX(V$13:V$162,MATCH(40,$AG$13:$AG$162,0)),0)*($T$8+IF($C$10="",$T$9,0))</f>
        <v/>
      </c>
      <c r="BH52">
        <f>IFERROR(INDEX(W$13:W$162,MATCH(40,$AG$13:$AG$162,0)),0)*($T$8+IF($C$10="",$T$9,0))</f>
        <v/>
      </c>
      <c r="BI52">
        <f>IFERROR(INDEX(X$13:X$162,MATCH(40,$AG$13:$AG$162,0)),0)*($T$8+IF($C$10="",$T$9,0))</f>
        <v/>
      </c>
      <c r="BJ52">
        <f>IFERROR(INDEX(Y$13:Y$162,MATCH(40,$AG$13:$AG$162,0)),0)*($T$8+IF($C$10="",$T$9,0))</f>
        <v/>
      </c>
      <c r="BK52">
        <f>IFERROR(INDEX(Z$13:Z$162,MATCH(40,$AG$13:$AG$162,0)),0)*($T$8+IF($C$10="",$T$9,0))</f>
        <v/>
      </c>
      <c r="BL52">
        <f>IFERROR(INDEX(AA$13:AA$162,MATCH(40,$AG$13:$AG$162,0)),0)*($T$8+IF($C$10="",$T$9,0))</f>
        <v/>
      </c>
      <c r="BN52">
        <f>IF(39&lt;$U$9,INT(39/($U$7*$U$8))+1,1)</f>
        <v/>
      </c>
      <c r="BO52">
        <f>IF(39&lt;$U$9,MOD(INT(39/$U$8),$U$7)+1,1)</f>
        <v/>
      </c>
      <c r="BP52">
        <f>IF(39&lt;$U$9,MOD(39,$U$8)+1,1)</f>
        <v/>
      </c>
      <c r="BQ52">
        <f>IF(39&lt;$U$9,SUMPRODUCT(($D$10:$L$10&lt;&gt;"")*(($D$9:$L$9+INT(($S$12:$AA$12+INDEX($AJ$13:$AR$162,BN52,0)+INDEX($AT$13:$BB$162,BO52,0)+INDEX($BD$13:$BL$162,BP52,0))/100))&gt;=$D$10:$L$10)),0)</f>
        <v/>
      </c>
      <c r="BR52">
        <f>IF(39&lt;$U$9,SUMPRODUCT(($D$10:$L$10&lt;&gt;"")*(($D$10:$L$10-($D$9:$L$9+INT(($S$12:$AA$12+INDEX($AJ$13:$AR$162,BN52,0)+INDEX($AT$13:$BB$162,BO52,0)+INDEX($BD$13:$BL$162,BP52,0))/100)))&gt;0)*($D$10:$L$10-($D$9:$L$9+INT(($S$12:$AA$12+INDEX($AJ$13:$AR$162,BN52,0)+INDEX($AT$13:$BB$162,BO52,0)+INDEX($BD$13:$BL$162,BP52,0))/100)))),0)</f>
        <v/>
      </c>
      <c r="BS52">
        <f>IF(39&lt;$U$9,SUMPRODUCT(($D$9:$L$9+INT(($S$12:$AA$12+INDEX($AJ$13:$AR$162,BN52,0)+INDEX($AT$13:$BB$162,BO52,0)+INDEX($BD$13:$BL$162,BP52,0))/100))),0)</f>
        <v/>
      </c>
      <c r="BT52">
        <f>IF(AND(39&lt;$U$9,$W$5),BQ52*1000000-MIN(BR52,999)*1000+BS52-39/100000,-1000000000-39)</f>
        <v/>
      </c>
      <c r="CF52">
        <f>IF($A52="","",IFERROR(MATCH($C52,'职业'!$C$3:$C$152,0),0))</f>
        <v/>
      </c>
      <c r="CG52">
        <f>IF($A52="","",0)</f>
        <v/>
      </c>
      <c r="CH52">
        <f>IF($A52="","",0)</f>
        <v/>
      </c>
      <c r="CI52">
        <f>IF($A52="","",0)</f>
        <v/>
      </c>
      <c r="CJ52">
        <f>IF($A52="","",0)</f>
        <v/>
      </c>
      <c r="CK52">
        <f>IF($A52="","",0)</f>
        <v/>
      </c>
      <c r="CL52">
        <f>IF($A52="","",0)</f>
        <v/>
      </c>
      <c r="CM52">
        <f>IF($A52="","",0)</f>
        <v/>
      </c>
      <c r="CN52">
        <f>IF($A52="","",0)</f>
        <v/>
      </c>
      <c r="CO52">
        <f>IF($A52="","",0)</f>
        <v/>
      </c>
    </row>
    <row r="53">
      <c r="A53" s="15">
        <f>IF(OR($B$9="",$B$10=""),"",IF($B$9+1&lt;=$B$10,$B$9+1,""))</f>
        <v/>
      </c>
      <c r="B53" s="15">
        <f>IF($A53="","",MATCH($A53,$BV$27:$BV$32,1))</f>
        <v/>
      </c>
      <c r="C53" s="15">
        <f>IF($A53="","",INDEX($BW$27:$BW$32,$B53))</f>
        <v/>
      </c>
      <c r="D53" s="15">
        <f>IF($A53="","",D$9+INT(($B$14+CG53)/100))</f>
        <v/>
      </c>
      <c r="E53" s="15">
        <f>IF($A53="","",E$9+INT(($B$14+CH53)/100))</f>
        <v/>
      </c>
      <c r="F53" s="15">
        <f>IF($A53="","",F$9+INT(($B$14+CI53)/100))</f>
        <v/>
      </c>
      <c r="G53" s="15">
        <f>IF($A53="","",G$9+INT(($B$14+CJ53)/100))</f>
        <v/>
      </c>
      <c r="H53" s="15">
        <f>IF($A53="","",H$9+INT(($B$14+CK53)/100))</f>
        <v/>
      </c>
      <c r="I53" s="15">
        <f>IF($A53="","",I$9+INT(($B$14+CL53)/100))</f>
        <v/>
      </c>
      <c r="J53" s="15">
        <f>IF($A53="","",J$9+INT(($B$14+CM53)/100))</f>
        <v/>
      </c>
      <c r="K53" s="15">
        <f>IF($A53="","",K$9+INT(($B$14+CN53)/100))</f>
        <v/>
      </c>
      <c r="L53" s="15">
        <f>IF($A53="","",L$9+INT(($B$14+CO53)/100))</f>
        <v/>
      </c>
      <c r="M53" s="16">
        <f>IF($A53="","",IF($C53&lt;&gt;$C52,"★ 转职 → 【"&amp;$C53&amp;"】","")&amp;IF($A53=$B$10,"（目标等级）",""))</f>
        <v/>
      </c>
      <c r="P53">
        <f>IF('职业'!$C43="","",'职业'!$C43)</f>
        <v/>
      </c>
      <c r="Q53">
        <f>N('职业'!$D43)</f>
        <v/>
      </c>
      <c r="R53">
        <f>'职业'!$E43&amp;""</f>
        <v/>
      </c>
      <c r="S53">
        <f>IF($P53="",0,MAX(0,D$7+N('职业'!F43)))</f>
        <v/>
      </c>
      <c r="T53">
        <f>IF($P53="",0,MAX(0,E$7+N('职业'!G43)))</f>
        <v/>
      </c>
      <c r="U53">
        <f>IF($P53="",0,MAX(0,F$7+N('职业'!H43)))</f>
        <v/>
      </c>
      <c r="V53">
        <f>IF($P53="",0,MAX(0,G$7+N('职业'!I43)))</f>
        <v/>
      </c>
      <c r="W53">
        <f>IF($P53="",0,MAX(0,H$7+N('职业'!J43)))</f>
        <v/>
      </c>
      <c r="X53">
        <f>IF($P53="",0,MAX(0,I$7+N('职业'!K43)))</f>
        <v/>
      </c>
      <c r="Y53">
        <f>IF($P53="",0,MAX(0,J$7+N('职业'!L43)))</f>
        <v/>
      </c>
      <c r="Z53">
        <f>IF($P53="",0,MAX(0,K$7+N('职业'!M43)))</f>
        <v/>
      </c>
      <c r="AA53">
        <f>IF($P53="",0,MAX(0,L$7+N('职业'!N43)))</f>
        <v/>
      </c>
      <c r="AB53">
        <f>AND($P53&lt;&gt;"",IF($U$5=1,$P53=$C$10,OR($P53=$C$9,AND($R53="是",$Q53&lt;=MAX($B$9,$Q$6)))))</f>
        <v/>
      </c>
      <c r="AC53">
        <f>AND($P53&lt;&gt;"",IF($U$5=2,$P53=$C$10,OR($P53=$C$9,AND($R53="是",$Q53&lt;=MAX($B$9,$Q$7)))))</f>
        <v/>
      </c>
      <c r="AD53">
        <f>AND($P53&lt;&gt;"",IF($U$5=3,$P53=$C$10,OR($P53=$C$9,AND($R53="是",$Q53&lt;=MAX($B$9,$Q$8)))))</f>
        <v/>
      </c>
      <c r="AE53">
        <f>IF(AB53,COUNTIF(AB$13:AB53,TRUE),"")</f>
        <v/>
      </c>
      <c r="AF53">
        <f>IF(AC53,COUNTIF(AC$13:AC53,TRUE),"")</f>
        <v/>
      </c>
      <c r="AG53">
        <f>IF(AD53,COUNTIF(AD$13:AD53,TRUE),"")</f>
        <v/>
      </c>
      <c r="AI53">
        <f>IFERROR(INDEX($P$13:$P$162,MATCH(41,$AE$13:$AE$162,0)),"")</f>
        <v/>
      </c>
      <c r="AJ53">
        <f>IFERROR(INDEX(S$13:S$162,MATCH(41,$AE$13:$AE$162,0)),0)*$T$6</f>
        <v/>
      </c>
      <c r="AK53">
        <f>IFERROR(INDEX(T$13:T$162,MATCH(41,$AE$13:$AE$162,0)),0)*$T$6</f>
        <v/>
      </c>
      <c r="AL53">
        <f>IFERROR(INDEX(U$13:U$162,MATCH(41,$AE$13:$AE$162,0)),0)*$T$6</f>
        <v/>
      </c>
      <c r="AM53">
        <f>IFERROR(INDEX(V$13:V$162,MATCH(41,$AE$13:$AE$162,0)),0)*$T$6</f>
        <v/>
      </c>
      <c r="AN53">
        <f>IFERROR(INDEX(W$13:W$162,MATCH(41,$AE$13:$AE$162,0)),0)*$T$6</f>
        <v/>
      </c>
      <c r="AO53">
        <f>IFERROR(INDEX(X$13:X$162,MATCH(41,$AE$13:$AE$162,0)),0)*$T$6</f>
        <v/>
      </c>
      <c r="AP53">
        <f>IFERROR(INDEX(Y$13:Y$162,MATCH(41,$AE$13:$AE$162,0)),0)*$T$6</f>
        <v/>
      </c>
      <c r="AQ53">
        <f>IFERROR(INDEX(Z$13:Z$162,MATCH(41,$AE$13:$AE$162,0)),0)*$T$6</f>
        <v/>
      </c>
      <c r="AR53">
        <f>IFERROR(INDEX(AA$13:AA$162,MATCH(41,$AE$13:$AE$162,0)),0)*$T$6</f>
        <v/>
      </c>
      <c r="AS53">
        <f>IFERROR(INDEX($P$13:$P$162,MATCH(41,$AF$13:$AF$162,0)),"")</f>
        <v/>
      </c>
      <c r="AT53">
        <f>IFERROR(INDEX(S$13:S$162,MATCH(41,$AF$13:$AF$162,0)),0)*$T$7</f>
        <v/>
      </c>
      <c r="AU53">
        <f>IFERROR(INDEX(T$13:T$162,MATCH(41,$AF$13:$AF$162,0)),0)*$T$7</f>
        <v/>
      </c>
      <c r="AV53">
        <f>IFERROR(INDEX(U$13:U$162,MATCH(41,$AF$13:$AF$162,0)),0)*$T$7</f>
        <v/>
      </c>
      <c r="AW53">
        <f>IFERROR(INDEX(V$13:V$162,MATCH(41,$AF$13:$AF$162,0)),0)*$T$7</f>
        <v/>
      </c>
      <c r="AX53">
        <f>IFERROR(INDEX(W$13:W$162,MATCH(41,$AF$13:$AF$162,0)),0)*$T$7</f>
        <v/>
      </c>
      <c r="AY53">
        <f>IFERROR(INDEX(X$13:X$162,MATCH(41,$AF$13:$AF$162,0)),0)*$T$7</f>
        <v/>
      </c>
      <c r="AZ53">
        <f>IFERROR(INDEX(Y$13:Y$162,MATCH(41,$AF$13:$AF$162,0)),0)*$T$7</f>
        <v/>
      </c>
      <c r="BA53">
        <f>IFERROR(INDEX(Z$13:Z$162,MATCH(41,$AF$13:$AF$162,0)),0)*$T$7</f>
        <v/>
      </c>
      <c r="BB53">
        <f>IFERROR(INDEX(AA$13:AA$162,MATCH(41,$AF$13:$AF$162,0)),0)*$T$7</f>
        <v/>
      </c>
      <c r="BC53">
        <f>IFERROR(INDEX($P$13:$P$162,MATCH(41,$AG$13:$AG$162,0)),"")</f>
        <v/>
      </c>
      <c r="BD53">
        <f>IFERROR(INDEX(S$13:S$162,MATCH(41,$AG$13:$AG$162,0)),0)*($T$8+IF($C$10="",$T$9,0))</f>
        <v/>
      </c>
      <c r="BE53">
        <f>IFERROR(INDEX(T$13:T$162,MATCH(41,$AG$13:$AG$162,0)),0)*($T$8+IF($C$10="",$T$9,0))</f>
        <v/>
      </c>
      <c r="BF53">
        <f>IFERROR(INDEX(U$13:U$162,MATCH(41,$AG$13:$AG$162,0)),0)*($T$8+IF($C$10="",$T$9,0))</f>
        <v/>
      </c>
      <c r="BG53">
        <f>IFERROR(INDEX(V$13:V$162,MATCH(41,$AG$13:$AG$162,0)),0)*($T$8+IF($C$10="",$T$9,0))</f>
        <v/>
      </c>
      <c r="BH53">
        <f>IFERROR(INDEX(W$13:W$162,MATCH(41,$AG$13:$AG$162,0)),0)*($T$8+IF($C$10="",$T$9,0))</f>
        <v/>
      </c>
      <c r="BI53">
        <f>IFERROR(INDEX(X$13:X$162,MATCH(41,$AG$13:$AG$162,0)),0)*($T$8+IF($C$10="",$T$9,0))</f>
        <v/>
      </c>
      <c r="BJ53">
        <f>IFERROR(INDEX(Y$13:Y$162,MATCH(41,$AG$13:$AG$162,0)),0)*($T$8+IF($C$10="",$T$9,0))</f>
        <v/>
      </c>
      <c r="BK53">
        <f>IFERROR(INDEX(Z$13:Z$162,MATCH(41,$AG$13:$AG$162,0)),0)*($T$8+IF($C$10="",$T$9,0))</f>
        <v/>
      </c>
      <c r="BL53">
        <f>IFERROR(INDEX(AA$13:AA$162,MATCH(41,$AG$13:$AG$162,0)),0)*($T$8+IF($C$10="",$T$9,0))</f>
        <v/>
      </c>
      <c r="BN53">
        <f>IF(40&lt;$U$9,INT(40/($U$7*$U$8))+1,1)</f>
        <v/>
      </c>
      <c r="BO53">
        <f>IF(40&lt;$U$9,MOD(INT(40/$U$8),$U$7)+1,1)</f>
        <v/>
      </c>
      <c r="BP53">
        <f>IF(40&lt;$U$9,MOD(40,$U$8)+1,1)</f>
        <v/>
      </c>
      <c r="BQ53">
        <f>IF(40&lt;$U$9,SUMPRODUCT(($D$10:$L$10&lt;&gt;"")*(($D$9:$L$9+INT(($S$12:$AA$12+INDEX($AJ$13:$AR$162,BN53,0)+INDEX($AT$13:$BB$162,BO53,0)+INDEX($BD$13:$BL$162,BP53,0))/100))&gt;=$D$10:$L$10)),0)</f>
        <v/>
      </c>
      <c r="BR53">
        <f>IF(40&lt;$U$9,SUMPRODUCT(($D$10:$L$10&lt;&gt;"")*(($D$10:$L$10-($D$9:$L$9+INT(($S$12:$AA$12+INDEX($AJ$13:$AR$162,BN53,0)+INDEX($AT$13:$BB$162,BO53,0)+INDEX($BD$13:$BL$162,BP53,0))/100)))&gt;0)*($D$10:$L$10-($D$9:$L$9+INT(($S$12:$AA$12+INDEX($AJ$13:$AR$162,BN53,0)+INDEX($AT$13:$BB$162,BO53,0)+INDEX($BD$13:$BL$162,BP53,0))/100)))),0)</f>
        <v/>
      </c>
      <c r="BS53">
        <f>IF(40&lt;$U$9,SUMPRODUCT(($D$9:$L$9+INT(($S$12:$AA$12+INDEX($AJ$13:$AR$162,BN53,0)+INDEX($AT$13:$BB$162,BO53,0)+INDEX($BD$13:$BL$162,BP53,0))/100))),0)</f>
        <v/>
      </c>
      <c r="BT53">
        <f>IF(AND(40&lt;$U$9,$W$5),BQ53*1000000-MIN(BR53,999)*1000+BS53-40/100000,-1000000000-40)</f>
        <v/>
      </c>
      <c r="CF53">
        <f>IF($A53="","",IFERROR(MATCH($C53,'职业'!$C$3:$C$152,0),0))</f>
        <v/>
      </c>
      <c r="CG53">
        <f>IF($A53="","",CG52+MAX(0,D$7+IF($CF52=0,0,IFERROR(INDEX('职业'!F$3:F$152,$CF52)+0,0))))</f>
        <v/>
      </c>
      <c r="CH53">
        <f>IF($A53="","",CH52+MAX(0,E$7+IF($CF52=0,0,IFERROR(INDEX('职业'!G$3:G$152,$CF52)+0,0))))</f>
        <v/>
      </c>
      <c r="CI53">
        <f>IF($A53="","",CI52+MAX(0,F$7+IF($CF52=0,0,IFERROR(INDEX('职业'!H$3:H$152,$CF52)+0,0))))</f>
        <v/>
      </c>
      <c r="CJ53">
        <f>IF($A53="","",CJ52+MAX(0,G$7+IF($CF52=0,0,IFERROR(INDEX('职业'!I$3:I$152,$CF52)+0,0))))</f>
        <v/>
      </c>
      <c r="CK53">
        <f>IF($A53="","",CK52+MAX(0,H$7+IF($CF52=0,0,IFERROR(INDEX('职业'!J$3:J$152,$CF52)+0,0))))</f>
        <v/>
      </c>
      <c r="CL53">
        <f>IF($A53="","",CL52+MAX(0,I$7+IF($CF52=0,0,IFERROR(INDEX('职业'!K$3:K$152,$CF52)+0,0))))</f>
        <v/>
      </c>
      <c r="CM53">
        <f>IF($A53="","",CM52+MAX(0,J$7+IF($CF52=0,0,IFERROR(INDEX('职业'!L$3:L$152,$CF52)+0,0))))</f>
        <v/>
      </c>
      <c r="CN53">
        <f>IF($A53="","",CN52+MAX(0,K$7+IF($CF52=0,0,IFERROR(INDEX('职业'!M$3:M$152,$CF52)+0,0))))</f>
        <v/>
      </c>
      <c r="CO53">
        <f>IF($A53="","",CO52+MAX(0,L$7+IF($CF52=0,0,IFERROR(INDEX('职业'!N$3:N$152,$CF52)+0,0))))</f>
        <v/>
      </c>
    </row>
    <row r="54">
      <c r="A54" s="15">
        <f>IF(OR($B$9="",$B$10=""),"",IF($B$9+2&lt;=$B$10,$B$9+2,""))</f>
        <v/>
      </c>
      <c r="B54" s="15">
        <f>IF($A54="","",MATCH($A54,$BV$27:$BV$32,1))</f>
        <v/>
      </c>
      <c r="C54" s="15">
        <f>IF($A54="","",INDEX($BW$27:$BW$32,$B54))</f>
        <v/>
      </c>
      <c r="D54" s="15">
        <f>IF($A54="","",D$9+INT(($B$14+CG54)/100))</f>
        <v/>
      </c>
      <c r="E54" s="15">
        <f>IF($A54="","",E$9+INT(($B$14+CH54)/100))</f>
        <v/>
      </c>
      <c r="F54" s="15">
        <f>IF($A54="","",F$9+INT(($B$14+CI54)/100))</f>
        <v/>
      </c>
      <c r="G54" s="15">
        <f>IF($A54="","",G$9+INT(($B$14+CJ54)/100))</f>
        <v/>
      </c>
      <c r="H54" s="15">
        <f>IF($A54="","",H$9+INT(($B$14+CK54)/100))</f>
        <v/>
      </c>
      <c r="I54" s="15">
        <f>IF($A54="","",I$9+INT(($B$14+CL54)/100))</f>
        <v/>
      </c>
      <c r="J54" s="15">
        <f>IF($A54="","",J$9+INT(($B$14+CM54)/100))</f>
        <v/>
      </c>
      <c r="K54" s="15">
        <f>IF($A54="","",K$9+INT(($B$14+CN54)/100))</f>
        <v/>
      </c>
      <c r="L54" s="15">
        <f>IF($A54="","",L$9+INT(($B$14+CO54)/100))</f>
        <v/>
      </c>
      <c r="M54" s="16">
        <f>IF($A54="","",IF($C54&lt;&gt;$C53,"★ 转职 → 【"&amp;$C54&amp;"】","")&amp;IF($A54=$B$10,"（目标等级）",""))</f>
        <v/>
      </c>
      <c r="P54">
        <f>IF('职业'!$C44="","",'职业'!$C44)</f>
        <v/>
      </c>
      <c r="Q54">
        <f>N('职业'!$D44)</f>
        <v/>
      </c>
      <c r="R54">
        <f>'职业'!$E44&amp;""</f>
        <v/>
      </c>
      <c r="S54">
        <f>IF($P54="",0,MAX(0,D$7+N('职业'!F44)))</f>
        <v/>
      </c>
      <c r="T54">
        <f>IF($P54="",0,MAX(0,E$7+N('职业'!G44)))</f>
        <v/>
      </c>
      <c r="U54">
        <f>IF($P54="",0,MAX(0,F$7+N('职业'!H44)))</f>
        <v/>
      </c>
      <c r="V54">
        <f>IF($P54="",0,MAX(0,G$7+N('职业'!I44)))</f>
        <v/>
      </c>
      <c r="W54">
        <f>IF($P54="",0,MAX(0,H$7+N('职业'!J44)))</f>
        <v/>
      </c>
      <c r="X54">
        <f>IF($P54="",0,MAX(0,I$7+N('职业'!K44)))</f>
        <v/>
      </c>
      <c r="Y54">
        <f>IF($P54="",0,MAX(0,J$7+N('职业'!L44)))</f>
        <v/>
      </c>
      <c r="Z54">
        <f>IF($P54="",0,MAX(0,K$7+N('职业'!M44)))</f>
        <v/>
      </c>
      <c r="AA54">
        <f>IF($P54="",0,MAX(0,L$7+N('职业'!N44)))</f>
        <v/>
      </c>
      <c r="AB54">
        <f>AND($P54&lt;&gt;"",IF($U$5=1,$P54=$C$10,OR($P54=$C$9,AND($R54="是",$Q54&lt;=MAX($B$9,$Q$6)))))</f>
        <v/>
      </c>
      <c r="AC54">
        <f>AND($P54&lt;&gt;"",IF($U$5=2,$P54=$C$10,OR($P54=$C$9,AND($R54="是",$Q54&lt;=MAX($B$9,$Q$7)))))</f>
        <v/>
      </c>
      <c r="AD54">
        <f>AND($P54&lt;&gt;"",IF($U$5=3,$P54=$C$10,OR($P54=$C$9,AND($R54="是",$Q54&lt;=MAX($B$9,$Q$8)))))</f>
        <v/>
      </c>
      <c r="AE54">
        <f>IF(AB54,COUNTIF(AB$13:AB54,TRUE),"")</f>
        <v/>
      </c>
      <c r="AF54">
        <f>IF(AC54,COUNTIF(AC$13:AC54,TRUE),"")</f>
        <v/>
      </c>
      <c r="AG54">
        <f>IF(AD54,COUNTIF(AD$13:AD54,TRUE),"")</f>
        <v/>
      </c>
      <c r="AI54">
        <f>IFERROR(INDEX($P$13:$P$162,MATCH(42,$AE$13:$AE$162,0)),"")</f>
        <v/>
      </c>
      <c r="AJ54">
        <f>IFERROR(INDEX(S$13:S$162,MATCH(42,$AE$13:$AE$162,0)),0)*$T$6</f>
        <v/>
      </c>
      <c r="AK54">
        <f>IFERROR(INDEX(T$13:T$162,MATCH(42,$AE$13:$AE$162,0)),0)*$T$6</f>
        <v/>
      </c>
      <c r="AL54">
        <f>IFERROR(INDEX(U$13:U$162,MATCH(42,$AE$13:$AE$162,0)),0)*$T$6</f>
        <v/>
      </c>
      <c r="AM54">
        <f>IFERROR(INDEX(V$13:V$162,MATCH(42,$AE$13:$AE$162,0)),0)*$T$6</f>
        <v/>
      </c>
      <c r="AN54">
        <f>IFERROR(INDEX(W$13:W$162,MATCH(42,$AE$13:$AE$162,0)),0)*$T$6</f>
        <v/>
      </c>
      <c r="AO54">
        <f>IFERROR(INDEX(X$13:X$162,MATCH(42,$AE$13:$AE$162,0)),0)*$T$6</f>
        <v/>
      </c>
      <c r="AP54">
        <f>IFERROR(INDEX(Y$13:Y$162,MATCH(42,$AE$13:$AE$162,0)),0)*$T$6</f>
        <v/>
      </c>
      <c r="AQ54">
        <f>IFERROR(INDEX(Z$13:Z$162,MATCH(42,$AE$13:$AE$162,0)),0)*$T$6</f>
        <v/>
      </c>
      <c r="AR54">
        <f>IFERROR(INDEX(AA$13:AA$162,MATCH(42,$AE$13:$AE$162,0)),0)*$T$6</f>
        <v/>
      </c>
      <c r="AS54">
        <f>IFERROR(INDEX($P$13:$P$162,MATCH(42,$AF$13:$AF$162,0)),"")</f>
        <v/>
      </c>
      <c r="AT54">
        <f>IFERROR(INDEX(S$13:S$162,MATCH(42,$AF$13:$AF$162,0)),0)*$T$7</f>
        <v/>
      </c>
      <c r="AU54">
        <f>IFERROR(INDEX(T$13:T$162,MATCH(42,$AF$13:$AF$162,0)),0)*$T$7</f>
        <v/>
      </c>
      <c r="AV54">
        <f>IFERROR(INDEX(U$13:U$162,MATCH(42,$AF$13:$AF$162,0)),0)*$T$7</f>
        <v/>
      </c>
      <c r="AW54">
        <f>IFERROR(INDEX(V$13:V$162,MATCH(42,$AF$13:$AF$162,0)),0)*$T$7</f>
        <v/>
      </c>
      <c r="AX54">
        <f>IFERROR(INDEX(W$13:W$162,MATCH(42,$AF$13:$AF$162,0)),0)*$T$7</f>
        <v/>
      </c>
      <c r="AY54">
        <f>IFERROR(INDEX(X$13:X$162,MATCH(42,$AF$13:$AF$162,0)),0)*$T$7</f>
        <v/>
      </c>
      <c r="AZ54">
        <f>IFERROR(INDEX(Y$13:Y$162,MATCH(42,$AF$13:$AF$162,0)),0)*$T$7</f>
        <v/>
      </c>
      <c r="BA54">
        <f>IFERROR(INDEX(Z$13:Z$162,MATCH(42,$AF$13:$AF$162,0)),0)*$T$7</f>
        <v/>
      </c>
      <c r="BB54">
        <f>IFERROR(INDEX(AA$13:AA$162,MATCH(42,$AF$13:$AF$162,0)),0)*$T$7</f>
        <v/>
      </c>
      <c r="BC54">
        <f>IFERROR(INDEX($P$13:$P$162,MATCH(42,$AG$13:$AG$162,0)),"")</f>
        <v/>
      </c>
      <c r="BD54">
        <f>IFERROR(INDEX(S$13:S$162,MATCH(42,$AG$13:$AG$162,0)),0)*($T$8+IF($C$10="",$T$9,0))</f>
        <v/>
      </c>
      <c r="BE54">
        <f>IFERROR(INDEX(T$13:T$162,MATCH(42,$AG$13:$AG$162,0)),0)*($T$8+IF($C$10="",$T$9,0))</f>
        <v/>
      </c>
      <c r="BF54">
        <f>IFERROR(INDEX(U$13:U$162,MATCH(42,$AG$13:$AG$162,0)),0)*($T$8+IF($C$10="",$T$9,0))</f>
        <v/>
      </c>
      <c r="BG54">
        <f>IFERROR(INDEX(V$13:V$162,MATCH(42,$AG$13:$AG$162,0)),0)*($T$8+IF($C$10="",$T$9,0))</f>
        <v/>
      </c>
      <c r="BH54">
        <f>IFERROR(INDEX(W$13:W$162,MATCH(42,$AG$13:$AG$162,0)),0)*($T$8+IF($C$10="",$T$9,0))</f>
        <v/>
      </c>
      <c r="BI54">
        <f>IFERROR(INDEX(X$13:X$162,MATCH(42,$AG$13:$AG$162,0)),0)*($T$8+IF($C$10="",$T$9,0))</f>
        <v/>
      </c>
      <c r="BJ54">
        <f>IFERROR(INDEX(Y$13:Y$162,MATCH(42,$AG$13:$AG$162,0)),0)*($T$8+IF($C$10="",$T$9,0))</f>
        <v/>
      </c>
      <c r="BK54">
        <f>IFERROR(INDEX(Z$13:Z$162,MATCH(42,$AG$13:$AG$162,0)),0)*($T$8+IF($C$10="",$T$9,0))</f>
        <v/>
      </c>
      <c r="BL54">
        <f>IFERROR(INDEX(AA$13:AA$162,MATCH(42,$AG$13:$AG$162,0)),0)*($T$8+IF($C$10="",$T$9,0))</f>
        <v/>
      </c>
      <c r="BN54">
        <f>IF(41&lt;$U$9,INT(41/($U$7*$U$8))+1,1)</f>
        <v/>
      </c>
      <c r="BO54">
        <f>IF(41&lt;$U$9,MOD(INT(41/$U$8),$U$7)+1,1)</f>
        <v/>
      </c>
      <c r="BP54">
        <f>IF(41&lt;$U$9,MOD(41,$U$8)+1,1)</f>
        <v/>
      </c>
      <c r="BQ54">
        <f>IF(41&lt;$U$9,SUMPRODUCT(($D$10:$L$10&lt;&gt;"")*(($D$9:$L$9+INT(($S$12:$AA$12+INDEX($AJ$13:$AR$162,BN54,0)+INDEX($AT$13:$BB$162,BO54,0)+INDEX($BD$13:$BL$162,BP54,0))/100))&gt;=$D$10:$L$10)),0)</f>
        <v/>
      </c>
      <c r="BR54">
        <f>IF(41&lt;$U$9,SUMPRODUCT(($D$10:$L$10&lt;&gt;"")*(($D$10:$L$10-($D$9:$L$9+INT(($S$12:$AA$12+INDEX($AJ$13:$AR$162,BN54,0)+INDEX($AT$13:$BB$162,BO54,0)+INDEX($BD$13:$BL$162,BP54,0))/100)))&gt;0)*($D$10:$L$10-($D$9:$L$9+INT(($S$12:$AA$12+INDEX($AJ$13:$AR$162,BN54,0)+INDEX($AT$13:$BB$162,BO54,0)+INDEX($BD$13:$BL$162,BP54,0))/100)))),0)</f>
        <v/>
      </c>
      <c r="BS54">
        <f>IF(41&lt;$U$9,SUMPRODUCT(($D$9:$L$9+INT(($S$12:$AA$12+INDEX($AJ$13:$AR$162,BN54,0)+INDEX($AT$13:$BB$162,BO54,0)+INDEX($BD$13:$BL$162,BP54,0))/100))),0)</f>
        <v/>
      </c>
      <c r="BT54">
        <f>IF(AND(41&lt;$U$9,$W$5),BQ54*1000000-MIN(BR54,999)*1000+BS54-41/100000,-1000000000-41)</f>
        <v/>
      </c>
      <c r="CF54">
        <f>IF($A54="","",IFERROR(MATCH($C54,'职业'!$C$3:$C$152,0),0))</f>
        <v/>
      </c>
      <c r="CG54">
        <f>IF($A54="","",CG53+MAX(0,D$7+IF($CF53=0,0,IFERROR(INDEX('职业'!F$3:F$152,$CF53)+0,0))))</f>
        <v/>
      </c>
      <c r="CH54">
        <f>IF($A54="","",CH53+MAX(0,E$7+IF($CF53=0,0,IFERROR(INDEX('职业'!G$3:G$152,$CF53)+0,0))))</f>
        <v/>
      </c>
      <c r="CI54">
        <f>IF($A54="","",CI53+MAX(0,F$7+IF($CF53=0,0,IFERROR(INDEX('职业'!H$3:H$152,$CF53)+0,0))))</f>
        <v/>
      </c>
      <c r="CJ54">
        <f>IF($A54="","",CJ53+MAX(0,G$7+IF($CF53=0,0,IFERROR(INDEX('职业'!I$3:I$152,$CF53)+0,0))))</f>
        <v/>
      </c>
      <c r="CK54">
        <f>IF($A54="","",CK53+MAX(0,H$7+IF($CF53=0,0,IFERROR(INDEX('职业'!J$3:J$152,$CF53)+0,0))))</f>
        <v/>
      </c>
      <c r="CL54">
        <f>IF($A54="","",CL53+MAX(0,I$7+IF($CF53=0,0,IFERROR(INDEX('职业'!K$3:K$152,$CF53)+0,0))))</f>
        <v/>
      </c>
      <c r="CM54">
        <f>IF($A54="","",CM53+MAX(0,J$7+IF($CF53=0,0,IFERROR(INDEX('职业'!L$3:L$152,$CF53)+0,0))))</f>
        <v/>
      </c>
      <c r="CN54">
        <f>IF($A54="","",CN53+MAX(0,K$7+IF($CF53=0,0,IFERROR(INDEX('职业'!M$3:M$152,$CF53)+0,0))))</f>
        <v/>
      </c>
      <c r="CO54">
        <f>IF($A54="","",CO53+MAX(0,L$7+IF($CF53=0,0,IFERROR(INDEX('职业'!N$3:N$152,$CF53)+0,0))))</f>
        <v/>
      </c>
    </row>
    <row r="55">
      <c r="A55" s="15">
        <f>IF(OR($B$9="",$B$10=""),"",IF($B$9+3&lt;=$B$10,$B$9+3,""))</f>
        <v/>
      </c>
      <c r="B55" s="15">
        <f>IF($A55="","",MATCH($A55,$BV$27:$BV$32,1))</f>
        <v/>
      </c>
      <c r="C55" s="15">
        <f>IF($A55="","",INDEX($BW$27:$BW$32,$B55))</f>
        <v/>
      </c>
      <c r="D55" s="15">
        <f>IF($A55="","",D$9+INT(($B$14+CG55)/100))</f>
        <v/>
      </c>
      <c r="E55" s="15">
        <f>IF($A55="","",E$9+INT(($B$14+CH55)/100))</f>
        <v/>
      </c>
      <c r="F55" s="15">
        <f>IF($A55="","",F$9+INT(($B$14+CI55)/100))</f>
        <v/>
      </c>
      <c r="G55" s="15">
        <f>IF($A55="","",G$9+INT(($B$14+CJ55)/100))</f>
        <v/>
      </c>
      <c r="H55" s="15">
        <f>IF($A55="","",H$9+INT(($B$14+CK55)/100))</f>
        <v/>
      </c>
      <c r="I55" s="15">
        <f>IF($A55="","",I$9+INT(($B$14+CL55)/100))</f>
        <v/>
      </c>
      <c r="J55" s="15">
        <f>IF($A55="","",J$9+INT(($B$14+CM55)/100))</f>
        <v/>
      </c>
      <c r="K55" s="15">
        <f>IF($A55="","",K$9+INT(($B$14+CN55)/100))</f>
        <v/>
      </c>
      <c r="L55" s="15">
        <f>IF($A55="","",L$9+INT(($B$14+CO55)/100))</f>
        <v/>
      </c>
      <c r="M55" s="16">
        <f>IF($A55="","",IF($C55&lt;&gt;$C54,"★ 转职 → 【"&amp;$C55&amp;"】","")&amp;IF($A55=$B$10,"（目标等级）",""))</f>
        <v/>
      </c>
      <c r="P55">
        <f>IF('职业'!$C45="","",'职业'!$C45)</f>
        <v/>
      </c>
      <c r="Q55">
        <f>N('职业'!$D45)</f>
        <v/>
      </c>
      <c r="R55">
        <f>'职业'!$E45&amp;""</f>
        <v/>
      </c>
      <c r="S55">
        <f>IF($P55="",0,MAX(0,D$7+N('职业'!F45)))</f>
        <v/>
      </c>
      <c r="T55">
        <f>IF($P55="",0,MAX(0,E$7+N('职业'!G45)))</f>
        <v/>
      </c>
      <c r="U55">
        <f>IF($P55="",0,MAX(0,F$7+N('职业'!H45)))</f>
        <v/>
      </c>
      <c r="V55">
        <f>IF($P55="",0,MAX(0,G$7+N('职业'!I45)))</f>
        <v/>
      </c>
      <c r="W55">
        <f>IF($P55="",0,MAX(0,H$7+N('职业'!J45)))</f>
        <v/>
      </c>
      <c r="X55">
        <f>IF($P55="",0,MAX(0,I$7+N('职业'!K45)))</f>
        <v/>
      </c>
      <c r="Y55">
        <f>IF($P55="",0,MAX(0,J$7+N('职业'!L45)))</f>
        <v/>
      </c>
      <c r="Z55">
        <f>IF($P55="",0,MAX(0,K$7+N('职业'!M45)))</f>
        <v/>
      </c>
      <c r="AA55">
        <f>IF($P55="",0,MAX(0,L$7+N('职业'!N45)))</f>
        <v/>
      </c>
      <c r="AB55">
        <f>AND($P55&lt;&gt;"",IF($U$5=1,$P55=$C$10,OR($P55=$C$9,AND($R55="是",$Q55&lt;=MAX($B$9,$Q$6)))))</f>
        <v/>
      </c>
      <c r="AC55">
        <f>AND($P55&lt;&gt;"",IF($U$5=2,$P55=$C$10,OR($P55=$C$9,AND($R55="是",$Q55&lt;=MAX($B$9,$Q$7)))))</f>
        <v/>
      </c>
      <c r="AD55">
        <f>AND($P55&lt;&gt;"",IF($U$5=3,$P55=$C$10,OR($P55=$C$9,AND($R55="是",$Q55&lt;=MAX($B$9,$Q$8)))))</f>
        <v/>
      </c>
      <c r="AE55">
        <f>IF(AB55,COUNTIF(AB$13:AB55,TRUE),"")</f>
        <v/>
      </c>
      <c r="AF55">
        <f>IF(AC55,COUNTIF(AC$13:AC55,TRUE),"")</f>
        <v/>
      </c>
      <c r="AG55">
        <f>IF(AD55,COUNTIF(AD$13:AD55,TRUE),"")</f>
        <v/>
      </c>
      <c r="AI55">
        <f>IFERROR(INDEX($P$13:$P$162,MATCH(43,$AE$13:$AE$162,0)),"")</f>
        <v/>
      </c>
      <c r="AJ55">
        <f>IFERROR(INDEX(S$13:S$162,MATCH(43,$AE$13:$AE$162,0)),0)*$T$6</f>
        <v/>
      </c>
      <c r="AK55">
        <f>IFERROR(INDEX(T$13:T$162,MATCH(43,$AE$13:$AE$162,0)),0)*$T$6</f>
        <v/>
      </c>
      <c r="AL55">
        <f>IFERROR(INDEX(U$13:U$162,MATCH(43,$AE$13:$AE$162,0)),0)*$T$6</f>
        <v/>
      </c>
      <c r="AM55">
        <f>IFERROR(INDEX(V$13:V$162,MATCH(43,$AE$13:$AE$162,0)),0)*$T$6</f>
        <v/>
      </c>
      <c r="AN55">
        <f>IFERROR(INDEX(W$13:W$162,MATCH(43,$AE$13:$AE$162,0)),0)*$T$6</f>
        <v/>
      </c>
      <c r="AO55">
        <f>IFERROR(INDEX(X$13:X$162,MATCH(43,$AE$13:$AE$162,0)),0)*$T$6</f>
        <v/>
      </c>
      <c r="AP55">
        <f>IFERROR(INDEX(Y$13:Y$162,MATCH(43,$AE$13:$AE$162,0)),0)*$T$6</f>
        <v/>
      </c>
      <c r="AQ55">
        <f>IFERROR(INDEX(Z$13:Z$162,MATCH(43,$AE$13:$AE$162,0)),0)*$T$6</f>
        <v/>
      </c>
      <c r="AR55">
        <f>IFERROR(INDEX(AA$13:AA$162,MATCH(43,$AE$13:$AE$162,0)),0)*$T$6</f>
        <v/>
      </c>
      <c r="AS55">
        <f>IFERROR(INDEX($P$13:$P$162,MATCH(43,$AF$13:$AF$162,0)),"")</f>
        <v/>
      </c>
      <c r="AT55">
        <f>IFERROR(INDEX(S$13:S$162,MATCH(43,$AF$13:$AF$162,0)),0)*$T$7</f>
        <v/>
      </c>
      <c r="AU55">
        <f>IFERROR(INDEX(T$13:T$162,MATCH(43,$AF$13:$AF$162,0)),0)*$T$7</f>
        <v/>
      </c>
      <c r="AV55">
        <f>IFERROR(INDEX(U$13:U$162,MATCH(43,$AF$13:$AF$162,0)),0)*$T$7</f>
        <v/>
      </c>
      <c r="AW55">
        <f>IFERROR(INDEX(V$13:V$162,MATCH(43,$AF$13:$AF$162,0)),0)*$T$7</f>
        <v/>
      </c>
      <c r="AX55">
        <f>IFERROR(INDEX(W$13:W$162,MATCH(43,$AF$13:$AF$162,0)),0)*$T$7</f>
        <v/>
      </c>
      <c r="AY55">
        <f>IFERROR(INDEX(X$13:X$162,MATCH(43,$AF$13:$AF$162,0)),0)*$T$7</f>
        <v/>
      </c>
      <c r="AZ55">
        <f>IFERROR(INDEX(Y$13:Y$162,MATCH(43,$AF$13:$AF$162,0)),0)*$T$7</f>
        <v/>
      </c>
      <c r="BA55">
        <f>IFERROR(INDEX(Z$13:Z$162,MATCH(43,$AF$13:$AF$162,0)),0)*$T$7</f>
        <v/>
      </c>
      <c r="BB55">
        <f>IFERROR(INDEX(AA$13:AA$162,MATCH(43,$AF$13:$AF$162,0)),0)*$T$7</f>
        <v/>
      </c>
      <c r="BC55">
        <f>IFERROR(INDEX($P$13:$P$162,MATCH(43,$AG$13:$AG$162,0)),"")</f>
        <v/>
      </c>
      <c r="BD55">
        <f>IFERROR(INDEX(S$13:S$162,MATCH(43,$AG$13:$AG$162,0)),0)*($T$8+IF($C$10="",$T$9,0))</f>
        <v/>
      </c>
      <c r="BE55">
        <f>IFERROR(INDEX(T$13:T$162,MATCH(43,$AG$13:$AG$162,0)),0)*($T$8+IF($C$10="",$T$9,0))</f>
        <v/>
      </c>
      <c r="BF55">
        <f>IFERROR(INDEX(U$13:U$162,MATCH(43,$AG$13:$AG$162,0)),0)*($T$8+IF($C$10="",$T$9,0))</f>
        <v/>
      </c>
      <c r="BG55">
        <f>IFERROR(INDEX(V$13:V$162,MATCH(43,$AG$13:$AG$162,0)),0)*($T$8+IF($C$10="",$T$9,0))</f>
        <v/>
      </c>
      <c r="BH55">
        <f>IFERROR(INDEX(W$13:W$162,MATCH(43,$AG$13:$AG$162,0)),0)*($T$8+IF($C$10="",$T$9,0))</f>
        <v/>
      </c>
      <c r="BI55">
        <f>IFERROR(INDEX(X$13:X$162,MATCH(43,$AG$13:$AG$162,0)),0)*($T$8+IF($C$10="",$T$9,0))</f>
        <v/>
      </c>
      <c r="BJ55">
        <f>IFERROR(INDEX(Y$13:Y$162,MATCH(43,$AG$13:$AG$162,0)),0)*($T$8+IF($C$10="",$T$9,0))</f>
        <v/>
      </c>
      <c r="BK55">
        <f>IFERROR(INDEX(Z$13:Z$162,MATCH(43,$AG$13:$AG$162,0)),0)*($T$8+IF($C$10="",$T$9,0))</f>
        <v/>
      </c>
      <c r="BL55">
        <f>IFERROR(INDEX(AA$13:AA$162,MATCH(43,$AG$13:$AG$162,0)),0)*($T$8+IF($C$10="",$T$9,0))</f>
        <v/>
      </c>
      <c r="BN55">
        <f>IF(42&lt;$U$9,INT(42/($U$7*$U$8))+1,1)</f>
        <v/>
      </c>
      <c r="BO55">
        <f>IF(42&lt;$U$9,MOD(INT(42/$U$8),$U$7)+1,1)</f>
        <v/>
      </c>
      <c r="BP55">
        <f>IF(42&lt;$U$9,MOD(42,$U$8)+1,1)</f>
        <v/>
      </c>
      <c r="BQ55">
        <f>IF(42&lt;$U$9,SUMPRODUCT(($D$10:$L$10&lt;&gt;"")*(($D$9:$L$9+INT(($S$12:$AA$12+INDEX($AJ$13:$AR$162,BN55,0)+INDEX($AT$13:$BB$162,BO55,0)+INDEX($BD$13:$BL$162,BP55,0))/100))&gt;=$D$10:$L$10)),0)</f>
        <v/>
      </c>
      <c r="BR55">
        <f>IF(42&lt;$U$9,SUMPRODUCT(($D$10:$L$10&lt;&gt;"")*(($D$10:$L$10-($D$9:$L$9+INT(($S$12:$AA$12+INDEX($AJ$13:$AR$162,BN55,0)+INDEX($AT$13:$BB$162,BO55,0)+INDEX($BD$13:$BL$162,BP55,0))/100)))&gt;0)*($D$10:$L$10-($D$9:$L$9+INT(($S$12:$AA$12+INDEX($AJ$13:$AR$162,BN55,0)+INDEX($AT$13:$BB$162,BO55,0)+INDEX($BD$13:$BL$162,BP55,0))/100)))),0)</f>
        <v/>
      </c>
      <c r="BS55">
        <f>IF(42&lt;$U$9,SUMPRODUCT(($D$9:$L$9+INT(($S$12:$AA$12+INDEX($AJ$13:$AR$162,BN55,0)+INDEX($AT$13:$BB$162,BO55,0)+INDEX($BD$13:$BL$162,BP55,0))/100))),0)</f>
        <v/>
      </c>
      <c r="BT55">
        <f>IF(AND(42&lt;$U$9,$W$5),BQ55*1000000-MIN(BR55,999)*1000+BS55-42/100000,-1000000000-42)</f>
        <v/>
      </c>
      <c r="CF55">
        <f>IF($A55="","",IFERROR(MATCH($C55,'职业'!$C$3:$C$152,0),0))</f>
        <v/>
      </c>
      <c r="CG55">
        <f>IF($A55="","",CG54+MAX(0,D$7+IF($CF54=0,0,IFERROR(INDEX('职业'!F$3:F$152,$CF54)+0,0))))</f>
        <v/>
      </c>
      <c r="CH55">
        <f>IF($A55="","",CH54+MAX(0,E$7+IF($CF54=0,0,IFERROR(INDEX('职业'!G$3:G$152,$CF54)+0,0))))</f>
        <v/>
      </c>
      <c r="CI55">
        <f>IF($A55="","",CI54+MAX(0,F$7+IF($CF54=0,0,IFERROR(INDEX('职业'!H$3:H$152,$CF54)+0,0))))</f>
        <v/>
      </c>
      <c r="CJ55">
        <f>IF($A55="","",CJ54+MAX(0,G$7+IF($CF54=0,0,IFERROR(INDEX('职业'!I$3:I$152,$CF54)+0,0))))</f>
        <v/>
      </c>
      <c r="CK55">
        <f>IF($A55="","",CK54+MAX(0,H$7+IF($CF54=0,0,IFERROR(INDEX('职业'!J$3:J$152,$CF54)+0,0))))</f>
        <v/>
      </c>
      <c r="CL55">
        <f>IF($A55="","",CL54+MAX(0,I$7+IF($CF54=0,0,IFERROR(INDEX('职业'!K$3:K$152,$CF54)+0,0))))</f>
        <v/>
      </c>
      <c r="CM55">
        <f>IF($A55="","",CM54+MAX(0,J$7+IF($CF54=0,0,IFERROR(INDEX('职业'!L$3:L$152,$CF54)+0,0))))</f>
        <v/>
      </c>
      <c r="CN55">
        <f>IF($A55="","",CN54+MAX(0,K$7+IF($CF54=0,0,IFERROR(INDEX('职业'!M$3:M$152,$CF54)+0,0))))</f>
        <v/>
      </c>
      <c r="CO55">
        <f>IF($A55="","",CO54+MAX(0,L$7+IF($CF54=0,0,IFERROR(INDEX('职业'!N$3:N$152,$CF54)+0,0))))</f>
        <v/>
      </c>
    </row>
    <row r="56">
      <c r="A56" s="15">
        <f>IF(OR($B$9="",$B$10=""),"",IF($B$9+4&lt;=$B$10,$B$9+4,""))</f>
        <v/>
      </c>
      <c r="B56" s="15">
        <f>IF($A56="","",MATCH($A56,$BV$27:$BV$32,1))</f>
        <v/>
      </c>
      <c r="C56" s="15">
        <f>IF($A56="","",INDEX($BW$27:$BW$32,$B56))</f>
        <v/>
      </c>
      <c r="D56" s="15">
        <f>IF($A56="","",D$9+INT(($B$14+CG56)/100))</f>
        <v/>
      </c>
      <c r="E56" s="15">
        <f>IF($A56="","",E$9+INT(($B$14+CH56)/100))</f>
        <v/>
      </c>
      <c r="F56" s="15">
        <f>IF($A56="","",F$9+INT(($B$14+CI56)/100))</f>
        <v/>
      </c>
      <c r="G56" s="15">
        <f>IF($A56="","",G$9+INT(($B$14+CJ56)/100))</f>
        <v/>
      </c>
      <c r="H56" s="15">
        <f>IF($A56="","",H$9+INT(($B$14+CK56)/100))</f>
        <v/>
      </c>
      <c r="I56" s="15">
        <f>IF($A56="","",I$9+INT(($B$14+CL56)/100))</f>
        <v/>
      </c>
      <c r="J56" s="15">
        <f>IF($A56="","",J$9+INT(($B$14+CM56)/100))</f>
        <v/>
      </c>
      <c r="K56" s="15">
        <f>IF($A56="","",K$9+INT(($B$14+CN56)/100))</f>
        <v/>
      </c>
      <c r="L56" s="15">
        <f>IF($A56="","",L$9+INT(($B$14+CO56)/100))</f>
        <v/>
      </c>
      <c r="M56" s="16">
        <f>IF($A56="","",IF($C56&lt;&gt;$C55,"★ 转职 → 【"&amp;$C56&amp;"】","")&amp;IF($A56=$B$10,"（目标等级）",""))</f>
        <v/>
      </c>
      <c r="P56">
        <f>IF('职业'!$C46="","",'职业'!$C46)</f>
        <v/>
      </c>
      <c r="Q56">
        <f>N('职业'!$D46)</f>
        <v/>
      </c>
      <c r="R56">
        <f>'职业'!$E46&amp;""</f>
        <v/>
      </c>
      <c r="S56">
        <f>IF($P56="",0,MAX(0,D$7+N('职业'!F46)))</f>
        <v/>
      </c>
      <c r="T56">
        <f>IF($P56="",0,MAX(0,E$7+N('职业'!G46)))</f>
        <v/>
      </c>
      <c r="U56">
        <f>IF($P56="",0,MAX(0,F$7+N('职业'!H46)))</f>
        <v/>
      </c>
      <c r="V56">
        <f>IF($P56="",0,MAX(0,G$7+N('职业'!I46)))</f>
        <v/>
      </c>
      <c r="W56">
        <f>IF($P56="",0,MAX(0,H$7+N('职业'!J46)))</f>
        <v/>
      </c>
      <c r="X56">
        <f>IF($P56="",0,MAX(0,I$7+N('职业'!K46)))</f>
        <v/>
      </c>
      <c r="Y56">
        <f>IF($P56="",0,MAX(0,J$7+N('职业'!L46)))</f>
        <v/>
      </c>
      <c r="Z56">
        <f>IF($P56="",0,MAX(0,K$7+N('职业'!M46)))</f>
        <v/>
      </c>
      <c r="AA56">
        <f>IF($P56="",0,MAX(0,L$7+N('职业'!N46)))</f>
        <v/>
      </c>
      <c r="AB56">
        <f>AND($P56&lt;&gt;"",IF($U$5=1,$P56=$C$10,OR($P56=$C$9,AND($R56="是",$Q56&lt;=MAX($B$9,$Q$6)))))</f>
        <v/>
      </c>
      <c r="AC56">
        <f>AND($P56&lt;&gt;"",IF($U$5=2,$P56=$C$10,OR($P56=$C$9,AND($R56="是",$Q56&lt;=MAX($B$9,$Q$7)))))</f>
        <v/>
      </c>
      <c r="AD56">
        <f>AND($P56&lt;&gt;"",IF($U$5=3,$P56=$C$10,OR($P56=$C$9,AND($R56="是",$Q56&lt;=MAX($B$9,$Q$8)))))</f>
        <v/>
      </c>
      <c r="AE56">
        <f>IF(AB56,COUNTIF(AB$13:AB56,TRUE),"")</f>
        <v/>
      </c>
      <c r="AF56">
        <f>IF(AC56,COUNTIF(AC$13:AC56,TRUE),"")</f>
        <v/>
      </c>
      <c r="AG56">
        <f>IF(AD56,COUNTIF(AD$13:AD56,TRUE),"")</f>
        <v/>
      </c>
      <c r="AI56">
        <f>IFERROR(INDEX($P$13:$P$162,MATCH(44,$AE$13:$AE$162,0)),"")</f>
        <v/>
      </c>
      <c r="AJ56">
        <f>IFERROR(INDEX(S$13:S$162,MATCH(44,$AE$13:$AE$162,0)),0)*$T$6</f>
        <v/>
      </c>
      <c r="AK56">
        <f>IFERROR(INDEX(T$13:T$162,MATCH(44,$AE$13:$AE$162,0)),0)*$T$6</f>
        <v/>
      </c>
      <c r="AL56">
        <f>IFERROR(INDEX(U$13:U$162,MATCH(44,$AE$13:$AE$162,0)),0)*$T$6</f>
        <v/>
      </c>
      <c r="AM56">
        <f>IFERROR(INDEX(V$13:V$162,MATCH(44,$AE$13:$AE$162,0)),0)*$T$6</f>
        <v/>
      </c>
      <c r="AN56">
        <f>IFERROR(INDEX(W$13:W$162,MATCH(44,$AE$13:$AE$162,0)),0)*$T$6</f>
        <v/>
      </c>
      <c r="AO56">
        <f>IFERROR(INDEX(X$13:X$162,MATCH(44,$AE$13:$AE$162,0)),0)*$T$6</f>
        <v/>
      </c>
      <c r="AP56">
        <f>IFERROR(INDEX(Y$13:Y$162,MATCH(44,$AE$13:$AE$162,0)),0)*$T$6</f>
        <v/>
      </c>
      <c r="AQ56">
        <f>IFERROR(INDEX(Z$13:Z$162,MATCH(44,$AE$13:$AE$162,0)),0)*$T$6</f>
        <v/>
      </c>
      <c r="AR56">
        <f>IFERROR(INDEX(AA$13:AA$162,MATCH(44,$AE$13:$AE$162,0)),0)*$T$6</f>
        <v/>
      </c>
      <c r="AS56">
        <f>IFERROR(INDEX($P$13:$P$162,MATCH(44,$AF$13:$AF$162,0)),"")</f>
        <v/>
      </c>
      <c r="AT56">
        <f>IFERROR(INDEX(S$13:S$162,MATCH(44,$AF$13:$AF$162,0)),0)*$T$7</f>
        <v/>
      </c>
      <c r="AU56">
        <f>IFERROR(INDEX(T$13:T$162,MATCH(44,$AF$13:$AF$162,0)),0)*$T$7</f>
        <v/>
      </c>
      <c r="AV56">
        <f>IFERROR(INDEX(U$13:U$162,MATCH(44,$AF$13:$AF$162,0)),0)*$T$7</f>
        <v/>
      </c>
      <c r="AW56">
        <f>IFERROR(INDEX(V$13:V$162,MATCH(44,$AF$13:$AF$162,0)),0)*$T$7</f>
        <v/>
      </c>
      <c r="AX56">
        <f>IFERROR(INDEX(W$13:W$162,MATCH(44,$AF$13:$AF$162,0)),0)*$T$7</f>
        <v/>
      </c>
      <c r="AY56">
        <f>IFERROR(INDEX(X$13:X$162,MATCH(44,$AF$13:$AF$162,0)),0)*$T$7</f>
        <v/>
      </c>
      <c r="AZ56">
        <f>IFERROR(INDEX(Y$13:Y$162,MATCH(44,$AF$13:$AF$162,0)),0)*$T$7</f>
        <v/>
      </c>
      <c r="BA56">
        <f>IFERROR(INDEX(Z$13:Z$162,MATCH(44,$AF$13:$AF$162,0)),0)*$T$7</f>
        <v/>
      </c>
      <c r="BB56">
        <f>IFERROR(INDEX(AA$13:AA$162,MATCH(44,$AF$13:$AF$162,0)),0)*$T$7</f>
        <v/>
      </c>
      <c r="BC56">
        <f>IFERROR(INDEX($P$13:$P$162,MATCH(44,$AG$13:$AG$162,0)),"")</f>
        <v/>
      </c>
      <c r="BD56">
        <f>IFERROR(INDEX(S$13:S$162,MATCH(44,$AG$13:$AG$162,0)),0)*($T$8+IF($C$10="",$T$9,0))</f>
        <v/>
      </c>
      <c r="BE56">
        <f>IFERROR(INDEX(T$13:T$162,MATCH(44,$AG$13:$AG$162,0)),0)*($T$8+IF($C$10="",$T$9,0))</f>
        <v/>
      </c>
      <c r="BF56">
        <f>IFERROR(INDEX(U$13:U$162,MATCH(44,$AG$13:$AG$162,0)),0)*($T$8+IF($C$10="",$T$9,0))</f>
        <v/>
      </c>
      <c r="BG56">
        <f>IFERROR(INDEX(V$13:V$162,MATCH(44,$AG$13:$AG$162,0)),0)*($T$8+IF($C$10="",$T$9,0))</f>
        <v/>
      </c>
      <c r="BH56">
        <f>IFERROR(INDEX(W$13:W$162,MATCH(44,$AG$13:$AG$162,0)),0)*($T$8+IF($C$10="",$T$9,0))</f>
        <v/>
      </c>
      <c r="BI56">
        <f>IFERROR(INDEX(X$13:X$162,MATCH(44,$AG$13:$AG$162,0)),0)*($T$8+IF($C$10="",$T$9,0))</f>
        <v/>
      </c>
      <c r="BJ56">
        <f>IFERROR(INDEX(Y$13:Y$162,MATCH(44,$AG$13:$AG$162,0)),0)*($T$8+IF($C$10="",$T$9,0))</f>
        <v/>
      </c>
      <c r="BK56">
        <f>IFERROR(INDEX(Z$13:Z$162,MATCH(44,$AG$13:$AG$162,0)),0)*($T$8+IF($C$10="",$T$9,0))</f>
        <v/>
      </c>
      <c r="BL56">
        <f>IFERROR(INDEX(AA$13:AA$162,MATCH(44,$AG$13:$AG$162,0)),0)*($T$8+IF($C$10="",$T$9,0))</f>
        <v/>
      </c>
      <c r="BN56">
        <f>IF(43&lt;$U$9,INT(43/($U$7*$U$8))+1,1)</f>
        <v/>
      </c>
      <c r="BO56">
        <f>IF(43&lt;$U$9,MOD(INT(43/$U$8),$U$7)+1,1)</f>
        <v/>
      </c>
      <c r="BP56">
        <f>IF(43&lt;$U$9,MOD(43,$U$8)+1,1)</f>
        <v/>
      </c>
      <c r="BQ56">
        <f>IF(43&lt;$U$9,SUMPRODUCT(($D$10:$L$10&lt;&gt;"")*(($D$9:$L$9+INT(($S$12:$AA$12+INDEX($AJ$13:$AR$162,BN56,0)+INDEX($AT$13:$BB$162,BO56,0)+INDEX($BD$13:$BL$162,BP56,0))/100))&gt;=$D$10:$L$10)),0)</f>
        <v/>
      </c>
      <c r="BR56">
        <f>IF(43&lt;$U$9,SUMPRODUCT(($D$10:$L$10&lt;&gt;"")*(($D$10:$L$10-($D$9:$L$9+INT(($S$12:$AA$12+INDEX($AJ$13:$AR$162,BN56,0)+INDEX($AT$13:$BB$162,BO56,0)+INDEX($BD$13:$BL$162,BP56,0))/100)))&gt;0)*($D$10:$L$10-($D$9:$L$9+INT(($S$12:$AA$12+INDEX($AJ$13:$AR$162,BN56,0)+INDEX($AT$13:$BB$162,BO56,0)+INDEX($BD$13:$BL$162,BP56,0))/100)))),0)</f>
        <v/>
      </c>
      <c r="BS56">
        <f>IF(43&lt;$U$9,SUMPRODUCT(($D$9:$L$9+INT(($S$12:$AA$12+INDEX($AJ$13:$AR$162,BN56,0)+INDEX($AT$13:$BB$162,BO56,0)+INDEX($BD$13:$BL$162,BP56,0))/100))),0)</f>
        <v/>
      </c>
      <c r="BT56">
        <f>IF(AND(43&lt;$U$9,$W$5),BQ56*1000000-MIN(BR56,999)*1000+BS56-43/100000,-1000000000-43)</f>
        <v/>
      </c>
      <c r="CF56">
        <f>IF($A56="","",IFERROR(MATCH($C56,'职业'!$C$3:$C$152,0),0))</f>
        <v/>
      </c>
      <c r="CG56">
        <f>IF($A56="","",CG55+MAX(0,D$7+IF($CF55=0,0,IFERROR(INDEX('职业'!F$3:F$152,$CF55)+0,0))))</f>
        <v/>
      </c>
      <c r="CH56">
        <f>IF($A56="","",CH55+MAX(0,E$7+IF($CF55=0,0,IFERROR(INDEX('职业'!G$3:G$152,$CF55)+0,0))))</f>
        <v/>
      </c>
      <c r="CI56">
        <f>IF($A56="","",CI55+MAX(0,F$7+IF($CF55=0,0,IFERROR(INDEX('职业'!H$3:H$152,$CF55)+0,0))))</f>
        <v/>
      </c>
      <c r="CJ56">
        <f>IF($A56="","",CJ55+MAX(0,G$7+IF($CF55=0,0,IFERROR(INDEX('职业'!I$3:I$152,$CF55)+0,0))))</f>
        <v/>
      </c>
      <c r="CK56">
        <f>IF($A56="","",CK55+MAX(0,H$7+IF($CF55=0,0,IFERROR(INDEX('职业'!J$3:J$152,$CF55)+0,0))))</f>
        <v/>
      </c>
      <c r="CL56">
        <f>IF($A56="","",CL55+MAX(0,I$7+IF($CF55=0,0,IFERROR(INDEX('职业'!K$3:K$152,$CF55)+0,0))))</f>
        <v/>
      </c>
      <c r="CM56">
        <f>IF($A56="","",CM55+MAX(0,J$7+IF($CF55=0,0,IFERROR(INDEX('职业'!L$3:L$152,$CF55)+0,0))))</f>
        <v/>
      </c>
      <c r="CN56">
        <f>IF($A56="","",CN55+MAX(0,K$7+IF($CF55=0,0,IFERROR(INDEX('职业'!M$3:M$152,$CF55)+0,0))))</f>
        <v/>
      </c>
      <c r="CO56">
        <f>IF($A56="","",CO55+MAX(0,L$7+IF($CF55=0,0,IFERROR(INDEX('职业'!N$3:N$152,$CF55)+0,0))))</f>
        <v/>
      </c>
    </row>
    <row r="57">
      <c r="A57" s="15">
        <f>IF(OR($B$9="",$B$10=""),"",IF($B$9+5&lt;=$B$10,$B$9+5,""))</f>
        <v/>
      </c>
      <c r="B57" s="15">
        <f>IF($A57="","",MATCH($A57,$BV$27:$BV$32,1))</f>
        <v/>
      </c>
      <c r="C57" s="15">
        <f>IF($A57="","",INDEX($BW$27:$BW$32,$B57))</f>
        <v/>
      </c>
      <c r="D57" s="15">
        <f>IF($A57="","",D$9+INT(($B$14+CG57)/100))</f>
        <v/>
      </c>
      <c r="E57" s="15">
        <f>IF($A57="","",E$9+INT(($B$14+CH57)/100))</f>
        <v/>
      </c>
      <c r="F57" s="15">
        <f>IF($A57="","",F$9+INT(($B$14+CI57)/100))</f>
        <v/>
      </c>
      <c r="G57" s="15">
        <f>IF($A57="","",G$9+INT(($B$14+CJ57)/100))</f>
        <v/>
      </c>
      <c r="H57" s="15">
        <f>IF($A57="","",H$9+INT(($B$14+CK57)/100))</f>
        <v/>
      </c>
      <c r="I57" s="15">
        <f>IF($A57="","",I$9+INT(($B$14+CL57)/100))</f>
        <v/>
      </c>
      <c r="J57" s="15">
        <f>IF($A57="","",J$9+INT(($B$14+CM57)/100))</f>
        <v/>
      </c>
      <c r="K57" s="15">
        <f>IF($A57="","",K$9+INT(($B$14+CN57)/100))</f>
        <v/>
      </c>
      <c r="L57" s="15">
        <f>IF($A57="","",L$9+INT(($B$14+CO57)/100))</f>
        <v/>
      </c>
      <c r="M57" s="16">
        <f>IF($A57="","",IF($C57&lt;&gt;$C56,"★ 转职 → 【"&amp;$C57&amp;"】","")&amp;IF($A57=$B$10,"（目标等级）",""))</f>
        <v/>
      </c>
      <c r="P57">
        <f>IF('职业'!$C47="","",'职业'!$C47)</f>
        <v/>
      </c>
      <c r="Q57">
        <f>N('职业'!$D47)</f>
        <v/>
      </c>
      <c r="R57">
        <f>'职业'!$E47&amp;""</f>
        <v/>
      </c>
      <c r="S57">
        <f>IF($P57="",0,MAX(0,D$7+N('职业'!F47)))</f>
        <v/>
      </c>
      <c r="T57">
        <f>IF($P57="",0,MAX(0,E$7+N('职业'!G47)))</f>
        <v/>
      </c>
      <c r="U57">
        <f>IF($P57="",0,MAX(0,F$7+N('职业'!H47)))</f>
        <v/>
      </c>
      <c r="V57">
        <f>IF($P57="",0,MAX(0,G$7+N('职业'!I47)))</f>
        <v/>
      </c>
      <c r="W57">
        <f>IF($P57="",0,MAX(0,H$7+N('职业'!J47)))</f>
        <v/>
      </c>
      <c r="X57">
        <f>IF($P57="",0,MAX(0,I$7+N('职业'!K47)))</f>
        <v/>
      </c>
      <c r="Y57">
        <f>IF($P57="",0,MAX(0,J$7+N('职业'!L47)))</f>
        <v/>
      </c>
      <c r="Z57">
        <f>IF($P57="",0,MAX(0,K$7+N('职业'!M47)))</f>
        <v/>
      </c>
      <c r="AA57">
        <f>IF($P57="",0,MAX(0,L$7+N('职业'!N47)))</f>
        <v/>
      </c>
      <c r="AB57">
        <f>AND($P57&lt;&gt;"",IF($U$5=1,$P57=$C$10,OR($P57=$C$9,AND($R57="是",$Q57&lt;=MAX($B$9,$Q$6)))))</f>
        <v/>
      </c>
      <c r="AC57">
        <f>AND($P57&lt;&gt;"",IF($U$5=2,$P57=$C$10,OR($P57=$C$9,AND($R57="是",$Q57&lt;=MAX($B$9,$Q$7)))))</f>
        <v/>
      </c>
      <c r="AD57">
        <f>AND($P57&lt;&gt;"",IF($U$5=3,$P57=$C$10,OR($P57=$C$9,AND($R57="是",$Q57&lt;=MAX($B$9,$Q$8)))))</f>
        <v/>
      </c>
      <c r="AE57">
        <f>IF(AB57,COUNTIF(AB$13:AB57,TRUE),"")</f>
        <v/>
      </c>
      <c r="AF57">
        <f>IF(AC57,COUNTIF(AC$13:AC57,TRUE),"")</f>
        <v/>
      </c>
      <c r="AG57">
        <f>IF(AD57,COUNTIF(AD$13:AD57,TRUE),"")</f>
        <v/>
      </c>
      <c r="AI57">
        <f>IFERROR(INDEX($P$13:$P$162,MATCH(45,$AE$13:$AE$162,0)),"")</f>
        <v/>
      </c>
      <c r="AJ57">
        <f>IFERROR(INDEX(S$13:S$162,MATCH(45,$AE$13:$AE$162,0)),0)*$T$6</f>
        <v/>
      </c>
      <c r="AK57">
        <f>IFERROR(INDEX(T$13:T$162,MATCH(45,$AE$13:$AE$162,0)),0)*$T$6</f>
        <v/>
      </c>
      <c r="AL57">
        <f>IFERROR(INDEX(U$13:U$162,MATCH(45,$AE$13:$AE$162,0)),0)*$T$6</f>
        <v/>
      </c>
      <c r="AM57">
        <f>IFERROR(INDEX(V$13:V$162,MATCH(45,$AE$13:$AE$162,0)),0)*$T$6</f>
        <v/>
      </c>
      <c r="AN57">
        <f>IFERROR(INDEX(W$13:W$162,MATCH(45,$AE$13:$AE$162,0)),0)*$T$6</f>
        <v/>
      </c>
      <c r="AO57">
        <f>IFERROR(INDEX(X$13:X$162,MATCH(45,$AE$13:$AE$162,0)),0)*$T$6</f>
        <v/>
      </c>
      <c r="AP57">
        <f>IFERROR(INDEX(Y$13:Y$162,MATCH(45,$AE$13:$AE$162,0)),0)*$T$6</f>
        <v/>
      </c>
      <c r="AQ57">
        <f>IFERROR(INDEX(Z$13:Z$162,MATCH(45,$AE$13:$AE$162,0)),0)*$T$6</f>
        <v/>
      </c>
      <c r="AR57">
        <f>IFERROR(INDEX(AA$13:AA$162,MATCH(45,$AE$13:$AE$162,0)),0)*$T$6</f>
        <v/>
      </c>
      <c r="AS57">
        <f>IFERROR(INDEX($P$13:$P$162,MATCH(45,$AF$13:$AF$162,0)),"")</f>
        <v/>
      </c>
      <c r="AT57">
        <f>IFERROR(INDEX(S$13:S$162,MATCH(45,$AF$13:$AF$162,0)),0)*$T$7</f>
        <v/>
      </c>
      <c r="AU57">
        <f>IFERROR(INDEX(T$13:T$162,MATCH(45,$AF$13:$AF$162,0)),0)*$T$7</f>
        <v/>
      </c>
      <c r="AV57">
        <f>IFERROR(INDEX(U$13:U$162,MATCH(45,$AF$13:$AF$162,0)),0)*$T$7</f>
        <v/>
      </c>
      <c r="AW57">
        <f>IFERROR(INDEX(V$13:V$162,MATCH(45,$AF$13:$AF$162,0)),0)*$T$7</f>
        <v/>
      </c>
      <c r="AX57">
        <f>IFERROR(INDEX(W$13:W$162,MATCH(45,$AF$13:$AF$162,0)),0)*$T$7</f>
        <v/>
      </c>
      <c r="AY57">
        <f>IFERROR(INDEX(X$13:X$162,MATCH(45,$AF$13:$AF$162,0)),0)*$T$7</f>
        <v/>
      </c>
      <c r="AZ57">
        <f>IFERROR(INDEX(Y$13:Y$162,MATCH(45,$AF$13:$AF$162,0)),0)*$T$7</f>
        <v/>
      </c>
      <c r="BA57">
        <f>IFERROR(INDEX(Z$13:Z$162,MATCH(45,$AF$13:$AF$162,0)),0)*$T$7</f>
        <v/>
      </c>
      <c r="BB57">
        <f>IFERROR(INDEX(AA$13:AA$162,MATCH(45,$AF$13:$AF$162,0)),0)*$T$7</f>
        <v/>
      </c>
      <c r="BC57">
        <f>IFERROR(INDEX($P$13:$P$162,MATCH(45,$AG$13:$AG$162,0)),"")</f>
        <v/>
      </c>
      <c r="BD57">
        <f>IFERROR(INDEX(S$13:S$162,MATCH(45,$AG$13:$AG$162,0)),0)*($T$8+IF($C$10="",$T$9,0))</f>
        <v/>
      </c>
      <c r="BE57">
        <f>IFERROR(INDEX(T$13:T$162,MATCH(45,$AG$13:$AG$162,0)),0)*($T$8+IF($C$10="",$T$9,0))</f>
        <v/>
      </c>
      <c r="BF57">
        <f>IFERROR(INDEX(U$13:U$162,MATCH(45,$AG$13:$AG$162,0)),0)*($T$8+IF($C$10="",$T$9,0))</f>
        <v/>
      </c>
      <c r="BG57">
        <f>IFERROR(INDEX(V$13:V$162,MATCH(45,$AG$13:$AG$162,0)),0)*($T$8+IF($C$10="",$T$9,0))</f>
        <v/>
      </c>
      <c r="BH57">
        <f>IFERROR(INDEX(W$13:W$162,MATCH(45,$AG$13:$AG$162,0)),0)*($T$8+IF($C$10="",$T$9,0))</f>
        <v/>
      </c>
      <c r="BI57">
        <f>IFERROR(INDEX(X$13:X$162,MATCH(45,$AG$13:$AG$162,0)),0)*($T$8+IF($C$10="",$T$9,0))</f>
        <v/>
      </c>
      <c r="BJ57">
        <f>IFERROR(INDEX(Y$13:Y$162,MATCH(45,$AG$13:$AG$162,0)),0)*($T$8+IF($C$10="",$T$9,0))</f>
        <v/>
      </c>
      <c r="BK57">
        <f>IFERROR(INDEX(Z$13:Z$162,MATCH(45,$AG$13:$AG$162,0)),0)*($T$8+IF($C$10="",$T$9,0))</f>
        <v/>
      </c>
      <c r="BL57">
        <f>IFERROR(INDEX(AA$13:AA$162,MATCH(45,$AG$13:$AG$162,0)),0)*($T$8+IF($C$10="",$T$9,0))</f>
        <v/>
      </c>
      <c r="BN57">
        <f>IF(44&lt;$U$9,INT(44/($U$7*$U$8))+1,1)</f>
        <v/>
      </c>
      <c r="BO57">
        <f>IF(44&lt;$U$9,MOD(INT(44/$U$8),$U$7)+1,1)</f>
        <v/>
      </c>
      <c r="BP57">
        <f>IF(44&lt;$U$9,MOD(44,$U$8)+1,1)</f>
        <v/>
      </c>
      <c r="BQ57">
        <f>IF(44&lt;$U$9,SUMPRODUCT(($D$10:$L$10&lt;&gt;"")*(($D$9:$L$9+INT(($S$12:$AA$12+INDEX($AJ$13:$AR$162,BN57,0)+INDEX($AT$13:$BB$162,BO57,0)+INDEX($BD$13:$BL$162,BP57,0))/100))&gt;=$D$10:$L$10)),0)</f>
        <v/>
      </c>
      <c r="BR57">
        <f>IF(44&lt;$U$9,SUMPRODUCT(($D$10:$L$10&lt;&gt;"")*(($D$10:$L$10-($D$9:$L$9+INT(($S$12:$AA$12+INDEX($AJ$13:$AR$162,BN57,0)+INDEX($AT$13:$BB$162,BO57,0)+INDEX($BD$13:$BL$162,BP57,0))/100)))&gt;0)*($D$10:$L$10-($D$9:$L$9+INT(($S$12:$AA$12+INDEX($AJ$13:$AR$162,BN57,0)+INDEX($AT$13:$BB$162,BO57,0)+INDEX($BD$13:$BL$162,BP57,0))/100)))),0)</f>
        <v/>
      </c>
      <c r="BS57">
        <f>IF(44&lt;$U$9,SUMPRODUCT(($D$9:$L$9+INT(($S$12:$AA$12+INDEX($AJ$13:$AR$162,BN57,0)+INDEX($AT$13:$BB$162,BO57,0)+INDEX($BD$13:$BL$162,BP57,0))/100))),0)</f>
        <v/>
      </c>
      <c r="BT57">
        <f>IF(AND(44&lt;$U$9,$W$5),BQ57*1000000-MIN(BR57,999)*1000+BS57-44/100000,-1000000000-44)</f>
        <v/>
      </c>
      <c r="CF57">
        <f>IF($A57="","",IFERROR(MATCH($C57,'职业'!$C$3:$C$152,0),0))</f>
        <v/>
      </c>
      <c r="CG57">
        <f>IF($A57="","",CG56+MAX(0,D$7+IF($CF56=0,0,IFERROR(INDEX('职业'!F$3:F$152,$CF56)+0,0))))</f>
        <v/>
      </c>
      <c r="CH57">
        <f>IF($A57="","",CH56+MAX(0,E$7+IF($CF56=0,0,IFERROR(INDEX('职业'!G$3:G$152,$CF56)+0,0))))</f>
        <v/>
      </c>
      <c r="CI57">
        <f>IF($A57="","",CI56+MAX(0,F$7+IF($CF56=0,0,IFERROR(INDEX('职业'!H$3:H$152,$CF56)+0,0))))</f>
        <v/>
      </c>
      <c r="CJ57">
        <f>IF($A57="","",CJ56+MAX(0,G$7+IF($CF56=0,0,IFERROR(INDEX('职业'!I$3:I$152,$CF56)+0,0))))</f>
        <v/>
      </c>
      <c r="CK57">
        <f>IF($A57="","",CK56+MAX(0,H$7+IF($CF56=0,0,IFERROR(INDEX('职业'!J$3:J$152,$CF56)+0,0))))</f>
        <v/>
      </c>
      <c r="CL57">
        <f>IF($A57="","",CL56+MAX(0,I$7+IF($CF56=0,0,IFERROR(INDEX('职业'!K$3:K$152,$CF56)+0,0))))</f>
        <v/>
      </c>
      <c r="CM57">
        <f>IF($A57="","",CM56+MAX(0,J$7+IF($CF56=0,0,IFERROR(INDEX('职业'!L$3:L$152,$CF56)+0,0))))</f>
        <v/>
      </c>
      <c r="CN57">
        <f>IF($A57="","",CN56+MAX(0,K$7+IF($CF56=0,0,IFERROR(INDEX('职业'!M$3:M$152,$CF56)+0,0))))</f>
        <v/>
      </c>
      <c r="CO57">
        <f>IF($A57="","",CO56+MAX(0,L$7+IF($CF56=0,0,IFERROR(INDEX('职业'!N$3:N$152,$CF56)+0,0))))</f>
        <v/>
      </c>
    </row>
    <row r="58">
      <c r="A58" s="15">
        <f>IF(OR($B$9="",$B$10=""),"",IF($B$9+6&lt;=$B$10,$B$9+6,""))</f>
        <v/>
      </c>
      <c r="B58" s="15">
        <f>IF($A58="","",MATCH($A58,$BV$27:$BV$32,1))</f>
        <v/>
      </c>
      <c r="C58" s="15">
        <f>IF($A58="","",INDEX($BW$27:$BW$32,$B58))</f>
        <v/>
      </c>
      <c r="D58" s="15">
        <f>IF($A58="","",D$9+INT(($B$14+CG58)/100))</f>
        <v/>
      </c>
      <c r="E58" s="15">
        <f>IF($A58="","",E$9+INT(($B$14+CH58)/100))</f>
        <v/>
      </c>
      <c r="F58" s="15">
        <f>IF($A58="","",F$9+INT(($B$14+CI58)/100))</f>
        <v/>
      </c>
      <c r="G58" s="15">
        <f>IF($A58="","",G$9+INT(($B$14+CJ58)/100))</f>
        <v/>
      </c>
      <c r="H58" s="15">
        <f>IF($A58="","",H$9+INT(($B$14+CK58)/100))</f>
        <v/>
      </c>
      <c r="I58" s="15">
        <f>IF($A58="","",I$9+INT(($B$14+CL58)/100))</f>
        <v/>
      </c>
      <c r="J58" s="15">
        <f>IF($A58="","",J$9+INT(($B$14+CM58)/100))</f>
        <v/>
      </c>
      <c r="K58" s="15">
        <f>IF($A58="","",K$9+INT(($B$14+CN58)/100))</f>
        <v/>
      </c>
      <c r="L58" s="15">
        <f>IF($A58="","",L$9+INT(($B$14+CO58)/100))</f>
        <v/>
      </c>
      <c r="M58" s="16">
        <f>IF($A58="","",IF($C58&lt;&gt;$C57,"★ 转职 → 【"&amp;$C58&amp;"】","")&amp;IF($A58=$B$10,"（目标等级）",""))</f>
        <v/>
      </c>
      <c r="P58">
        <f>IF('职业'!$C48="","",'职业'!$C48)</f>
        <v/>
      </c>
      <c r="Q58">
        <f>N('职业'!$D48)</f>
        <v/>
      </c>
      <c r="R58">
        <f>'职业'!$E48&amp;""</f>
        <v/>
      </c>
      <c r="S58">
        <f>IF($P58="",0,MAX(0,D$7+N('职业'!F48)))</f>
        <v/>
      </c>
      <c r="T58">
        <f>IF($P58="",0,MAX(0,E$7+N('职业'!G48)))</f>
        <v/>
      </c>
      <c r="U58">
        <f>IF($P58="",0,MAX(0,F$7+N('职业'!H48)))</f>
        <v/>
      </c>
      <c r="V58">
        <f>IF($P58="",0,MAX(0,G$7+N('职业'!I48)))</f>
        <v/>
      </c>
      <c r="W58">
        <f>IF($P58="",0,MAX(0,H$7+N('职业'!J48)))</f>
        <v/>
      </c>
      <c r="X58">
        <f>IF($P58="",0,MAX(0,I$7+N('职业'!K48)))</f>
        <v/>
      </c>
      <c r="Y58">
        <f>IF($P58="",0,MAX(0,J$7+N('职业'!L48)))</f>
        <v/>
      </c>
      <c r="Z58">
        <f>IF($P58="",0,MAX(0,K$7+N('职业'!M48)))</f>
        <v/>
      </c>
      <c r="AA58">
        <f>IF($P58="",0,MAX(0,L$7+N('职业'!N48)))</f>
        <v/>
      </c>
      <c r="AB58">
        <f>AND($P58&lt;&gt;"",IF($U$5=1,$P58=$C$10,OR($P58=$C$9,AND($R58="是",$Q58&lt;=MAX($B$9,$Q$6)))))</f>
        <v/>
      </c>
      <c r="AC58">
        <f>AND($P58&lt;&gt;"",IF($U$5=2,$P58=$C$10,OR($P58=$C$9,AND($R58="是",$Q58&lt;=MAX($B$9,$Q$7)))))</f>
        <v/>
      </c>
      <c r="AD58">
        <f>AND($P58&lt;&gt;"",IF($U$5=3,$P58=$C$10,OR($P58=$C$9,AND($R58="是",$Q58&lt;=MAX($B$9,$Q$8)))))</f>
        <v/>
      </c>
      <c r="AE58">
        <f>IF(AB58,COUNTIF(AB$13:AB58,TRUE),"")</f>
        <v/>
      </c>
      <c r="AF58">
        <f>IF(AC58,COUNTIF(AC$13:AC58,TRUE),"")</f>
        <v/>
      </c>
      <c r="AG58">
        <f>IF(AD58,COUNTIF(AD$13:AD58,TRUE),"")</f>
        <v/>
      </c>
      <c r="AI58">
        <f>IFERROR(INDEX($P$13:$P$162,MATCH(46,$AE$13:$AE$162,0)),"")</f>
        <v/>
      </c>
      <c r="AJ58">
        <f>IFERROR(INDEX(S$13:S$162,MATCH(46,$AE$13:$AE$162,0)),0)*$T$6</f>
        <v/>
      </c>
      <c r="AK58">
        <f>IFERROR(INDEX(T$13:T$162,MATCH(46,$AE$13:$AE$162,0)),0)*$T$6</f>
        <v/>
      </c>
      <c r="AL58">
        <f>IFERROR(INDEX(U$13:U$162,MATCH(46,$AE$13:$AE$162,0)),0)*$T$6</f>
        <v/>
      </c>
      <c r="AM58">
        <f>IFERROR(INDEX(V$13:V$162,MATCH(46,$AE$13:$AE$162,0)),0)*$T$6</f>
        <v/>
      </c>
      <c r="AN58">
        <f>IFERROR(INDEX(W$13:W$162,MATCH(46,$AE$13:$AE$162,0)),0)*$T$6</f>
        <v/>
      </c>
      <c r="AO58">
        <f>IFERROR(INDEX(X$13:X$162,MATCH(46,$AE$13:$AE$162,0)),0)*$T$6</f>
        <v/>
      </c>
      <c r="AP58">
        <f>IFERROR(INDEX(Y$13:Y$162,MATCH(46,$AE$13:$AE$162,0)),0)*$T$6</f>
        <v/>
      </c>
      <c r="AQ58">
        <f>IFERROR(INDEX(Z$13:Z$162,MATCH(46,$AE$13:$AE$162,0)),0)*$T$6</f>
        <v/>
      </c>
      <c r="AR58">
        <f>IFERROR(INDEX(AA$13:AA$162,MATCH(46,$AE$13:$AE$162,0)),0)*$T$6</f>
        <v/>
      </c>
      <c r="AS58">
        <f>IFERROR(INDEX($P$13:$P$162,MATCH(46,$AF$13:$AF$162,0)),"")</f>
        <v/>
      </c>
      <c r="AT58">
        <f>IFERROR(INDEX(S$13:S$162,MATCH(46,$AF$13:$AF$162,0)),0)*$T$7</f>
        <v/>
      </c>
      <c r="AU58">
        <f>IFERROR(INDEX(T$13:T$162,MATCH(46,$AF$13:$AF$162,0)),0)*$T$7</f>
        <v/>
      </c>
      <c r="AV58">
        <f>IFERROR(INDEX(U$13:U$162,MATCH(46,$AF$13:$AF$162,0)),0)*$T$7</f>
        <v/>
      </c>
      <c r="AW58">
        <f>IFERROR(INDEX(V$13:V$162,MATCH(46,$AF$13:$AF$162,0)),0)*$T$7</f>
        <v/>
      </c>
      <c r="AX58">
        <f>IFERROR(INDEX(W$13:W$162,MATCH(46,$AF$13:$AF$162,0)),0)*$T$7</f>
        <v/>
      </c>
      <c r="AY58">
        <f>IFERROR(INDEX(X$13:X$162,MATCH(46,$AF$13:$AF$162,0)),0)*$T$7</f>
        <v/>
      </c>
      <c r="AZ58">
        <f>IFERROR(INDEX(Y$13:Y$162,MATCH(46,$AF$13:$AF$162,0)),0)*$T$7</f>
        <v/>
      </c>
      <c r="BA58">
        <f>IFERROR(INDEX(Z$13:Z$162,MATCH(46,$AF$13:$AF$162,0)),0)*$T$7</f>
        <v/>
      </c>
      <c r="BB58">
        <f>IFERROR(INDEX(AA$13:AA$162,MATCH(46,$AF$13:$AF$162,0)),0)*$T$7</f>
        <v/>
      </c>
      <c r="BC58">
        <f>IFERROR(INDEX($P$13:$P$162,MATCH(46,$AG$13:$AG$162,0)),"")</f>
        <v/>
      </c>
      <c r="BD58">
        <f>IFERROR(INDEX(S$13:S$162,MATCH(46,$AG$13:$AG$162,0)),0)*($T$8+IF($C$10="",$T$9,0))</f>
        <v/>
      </c>
      <c r="BE58">
        <f>IFERROR(INDEX(T$13:T$162,MATCH(46,$AG$13:$AG$162,0)),0)*($T$8+IF($C$10="",$T$9,0))</f>
        <v/>
      </c>
      <c r="BF58">
        <f>IFERROR(INDEX(U$13:U$162,MATCH(46,$AG$13:$AG$162,0)),0)*($T$8+IF($C$10="",$T$9,0))</f>
        <v/>
      </c>
      <c r="BG58">
        <f>IFERROR(INDEX(V$13:V$162,MATCH(46,$AG$13:$AG$162,0)),0)*($T$8+IF($C$10="",$T$9,0))</f>
        <v/>
      </c>
      <c r="BH58">
        <f>IFERROR(INDEX(W$13:W$162,MATCH(46,$AG$13:$AG$162,0)),0)*($T$8+IF($C$10="",$T$9,0))</f>
        <v/>
      </c>
      <c r="BI58">
        <f>IFERROR(INDEX(X$13:X$162,MATCH(46,$AG$13:$AG$162,0)),0)*($T$8+IF($C$10="",$T$9,0))</f>
        <v/>
      </c>
      <c r="BJ58">
        <f>IFERROR(INDEX(Y$13:Y$162,MATCH(46,$AG$13:$AG$162,0)),0)*($T$8+IF($C$10="",$T$9,0))</f>
        <v/>
      </c>
      <c r="BK58">
        <f>IFERROR(INDEX(Z$13:Z$162,MATCH(46,$AG$13:$AG$162,0)),0)*($T$8+IF($C$10="",$T$9,0))</f>
        <v/>
      </c>
      <c r="BL58">
        <f>IFERROR(INDEX(AA$13:AA$162,MATCH(46,$AG$13:$AG$162,0)),0)*($T$8+IF($C$10="",$T$9,0))</f>
        <v/>
      </c>
      <c r="BN58">
        <f>IF(45&lt;$U$9,INT(45/($U$7*$U$8))+1,1)</f>
        <v/>
      </c>
      <c r="BO58">
        <f>IF(45&lt;$U$9,MOD(INT(45/$U$8),$U$7)+1,1)</f>
        <v/>
      </c>
      <c r="BP58">
        <f>IF(45&lt;$U$9,MOD(45,$U$8)+1,1)</f>
        <v/>
      </c>
      <c r="BQ58">
        <f>IF(45&lt;$U$9,SUMPRODUCT(($D$10:$L$10&lt;&gt;"")*(($D$9:$L$9+INT(($S$12:$AA$12+INDEX($AJ$13:$AR$162,BN58,0)+INDEX($AT$13:$BB$162,BO58,0)+INDEX($BD$13:$BL$162,BP58,0))/100))&gt;=$D$10:$L$10)),0)</f>
        <v/>
      </c>
      <c r="BR58">
        <f>IF(45&lt;$U$9,SUMPRODUCT(($D$10:$L$10&lt;&gt;"")*(($D$10:$L$10-($D$9:$L$9+INT(($S$12:$AA$12+INDEX($AJ$13:$AR$162,BN58,0)+INDEX($AT$13:$BB$162,BO58,0)+INDEX($BD$13:$BL$162,BP58,0))/100)))&gt;0)*($D$10:$L$10-($D$9:$L$9+INT(($S$12:$AA$12+INDEX($AJ$13:$AR$162,BN58,0)+INDEX($AT$13:$BB$162,BO58,0)+INDEX($BD$13:$BL$162,BP58,0))/100)))),0)</f>
        <v/>
      </c>
      <c r="BS58">
        <f>IF(45&lt;$U$9,SUMPRODUCT(($D$9:$L$9+INT(($S$12:$AA$12+INDEX($AJ$13:$AR$162,BN58,0)+INDEX($AT$13:$BB$162,BO58,0)+INDEX($BD$13:$BL$162,BP58,0))/100))),0)</f>
        <v/>
      </c>
      <c r="BT58">
        <f>IF(AND(45&lt;$U$9,$W$5),BQ58*1000000-MIN(BR58,999)*1000+BS58-45/100000,-1000000000-45)</f>
        <v/>
      </c>
      <c r="CF58">
        <f>IF($A58="","",IFERROR(MATCH($C58,'职业'!$C$3:$C$152,0),0))</f>
        <v/>
      </c>
      <c r="CG58">
        <f>IF($A58="","",CG57+MAX(0,D$7+IF($CF57=0,0,IFERROR(INDEX('职业'!F$3:F$152,$CF57)+0,0))))</f>
        <v/>
      </c>
      <c r="CH58">
        <f>IF($A58="","",CH57+MAX(0,E$7+IF($CF57=0,0,IFERROR(INDEX('职业'!G$3:G$152,$CF57)+0,0))))</f>
        <v/>
      </c>
      <c r="CI58">
        <f>IF($A58="","",CI57+MAX(0,F$7+IF($CF57=0,0,IFERROR(INDEX('职业'!H$3:H$152,$CF57)+0,0))))</f>
        <v/>
      </c>
      <c r="CJ58">
        <f>IF($A58="","",CJ57+MAX(0,G$7+IF($CF57=0,0,IFERROR(INDEX('职业'!I$3:I$152,$CF57)+0,0))))</f>
        <v/>
      </c>
      <c r="CK58">
        <f>IF($A58="","",CK57+MAX(0,H$7+IF($CF57=0,0,IFERROR(INDEX('职业'!J$3:J$152,$CF57)+0,0))))</f>
        <v/>
      </c>
      <c r="CL58">
        <f>IF($A58="","",CL57+MAX(0,I$7+IF($CF57=0,0,IFERROR(INDEX('职业'!K$3:K$152,$CF57)+0,0))))</f>
        <v/>
      </c>
      <c r="CM58">
        <f>IF($A58="","",CM57+MAX(0,J$7+IF($CF57=0,0,IFERROR(INDEX('职业'!L$3:L$152,$CF57)+0,0))))</f>
        <v/>
      </c>
      <c r="CN58">
        <f>IF($A58="","",CN57+MAX(0,K$7+IF($CF57=0,0,IFERROR(INDEX('职业'!M$3:M$152,$CF57)+0,0))))</f>
        <v/>
      </c>
      <c r="CO58">
        <f>IF($A58="","",CO57+MAX(0,L$7+IF($CF57=0,0,IFERROR(INDEX('职业'!N$3:N$152,$CF57)+0,0))))</f>
        <v/>
      </c>
    </row>
    <row r="59">
      <c r="A59" s="15">
        <f>IF(OR($B$9="",$B$10=""),"",IF($B$9+7&lt;=$B$10,$B$9+7,""))</f>
        <v/>
      </c>
      <c r="B59" s="15">
        <f>IF($A59="","",MATCH($A59,$BV$27:$BV$32,1))</f>
        <v/>
      </c>
      <c r="C59" s="15">
        <f>IF($A59="","",INDEX($BW$27:$BW$32,$B59))</f>
        <v/>
      </c>
      <c r="D59" s="15">
        <f>IF($A59="","",D$9+INT(($B$14+CG59)/100))</f>
        <v/>
      </c>
      <c r="E59" s="15">
        <f>IF($A59="","",E$9+INT(($B$14+CH59)/100))</f>
        <v/>
      </c>
      <c r="F59" s="15">
        <f>IF($A59="","",F$9+INT(($B$14+CI59)/100))</f>
        <v/>
      </c>
      <c r="G59" s="15">
        <f>IF($A59="","",G$9+INT(($B$14+CJ59)/100))</f>
        <v/>
      </c>
      <c r="H59" s="15">
        <f>IF($A59="","",H$9+INT(($B$14+CK59)/100))</f>
        <v/>
      </c>
      <c r="I59" s="15">
        <f>IF($A59="","",I$9+INT(($B$14+CL59)/100))</f>
        <v/>
      </c>
      <c r="J59" s="15">
        <f>IF($A59="","",J$9+INT(($B$14+CM59)/100))</f>
        <v/>
      </c>
      <c r="K59" s="15">
        <f>IF($A59="","",K$9+INT(($B$14+CN59)/100))</f>
        <v/>
      </c>
      <c r="L59" s="15">
        <f>IF($A59="","",L$9+INT(($B$14+CO59)/100))</f>
        <v/>
      </c>
      <c r="M59" s="16">
        <f>IF($A59="","",IF($C59&lt;&gt;$C58,"★ 转职 → 【"&amp;$C59&amp;"】","")&amp;IF($A59=$B$10,"（目标等级）",""))</f>
        <v/>
      </c>
      <c r="P59">
        <f>IF('职业'!$C49="","",'职业'!$C49)</f>
        <v/>
      </c>
      <c r="Q59">
        <f>N('职业'!$D49)</f>
        <v/>
      </c>
      <c r="R59">
        <f>'职业'!$E49&amp;""</f>
        <v/>
      </c>
      <c r="S59">
        <f>IF($P59="",0,MAX(0,D$7+N('职业'!F49)))</f>
        <v/>
      </c>
      <c r="T59">
        <f>IF($P59="",0,MAX(0,E$7+N('职业'!G49)))</f>
        <v/>
      </c>
      <c r="U59">
        <f>IF($P59="",0,MAX(0,F$7+N('职业'!H49)))</f>
        <v/>
      </c>
      <c r="V59">
        <f>IF($P59="",0,MAX(0,G$7+N('职业'!I49)))</f>
        <v/>
      </c>
      <c r="W59">
        <f>IF($P59="",0,MAX(0,H$7+N('职业'!J49)))</f>
        <v/>
      </c>
      <c r="X59">
        <f>IF($P59="",0,MAX(0,I$7+N('职业'!K49)))</f>
        <v/>
      </c>
      <c r="Y59">
        <f>IF($P59="",0,MAX(0,J$7+N('职业'!L49)))</f>
        <v/>
      </c>
      <c r="Z59">
        <f>IF($P59="",0,MAX(0,K$7+N('职业'!M49)))</f>
        <v/>
      </c>
      <c r="AA59">
        <f>IF($P59="",0,MAX(0,L$7+N('职业'!N49)))</f>
        <v/>
      </c>
      <c r="AB59">
        <f>AND($P59&lt;&gt;"",IF($U$5=1,$P59=$C$10,OR($P59=$C$9,AND($R59="是",$Q59&lt;=MAX($B$9,$Q$6)))))</f>
        <v/>
      </c>
      <c r="AC59">
        <f>AND($P59&lt;&gt;"",IF($U$5=2,$P59=$C$10,OR($P59=$C$9,AND($R59="是",$Q59&lt;=MAX($B$9,$Q$7)))))</f>
        <v/>
      </c>
      <c r="AD59">
        <f>AND($P59&lt;&gt;"",IF($U$5=3,$P59=$C$10,OR($P59=$C$9,AND($R59="是",$Q59&lt;=MAX($B$9,$Q$8)))))</f>
        <v/>
      </c>
      <c r="AE59">
        <f>IF(AB59,COUNTIF(AB$13:AB59,TRUE),"")</f>
        <v/>
      </c>
      <c r="AF59">
        <f>IF(AC59,COUNTIF(AC$13:AC59,TRUE),"")</f>
        <v/>
      </c>
      <c r="AG59">
        <f>IF(AD59,COUNTIF(AD$13:AD59,TRUE),"")</f>
        <v/>
      </c>
      <c r="AI59">
        <f>IFERROR(INDEX($P$13:$P$162,MATCH(47,$AE$13:$AE$162,0)),"")</f>
        <v/>
      </c>
      <c r="AJ59">
        <f>IFERROR(INDEX(S$13:S$162,MATCH(47,$AE$13:$AE$162,0)),0)*$T$6</f>
        <v/>
      </c>
      <c r="AK59">
        <f>IFERROR(INDEX(T$13:T$162,MATCH(47,$AE$13:$AE$162,0)),0)*$T$6</f>
        <v/>
      </c>
      <c r="AL59">
        <f>IFERROR(INDEX(U$13:U$162,MATCH(47,$AE$13:$AE$162,0)),0)*$T$6</f>
        <v/>
      </c>
      <c r="AM59">
        <f>IFERROR(INDEX(V$13:V$162,MATCH(47,$AE$13:$AE$162,0)),0)*$T$6</f>
        <v/>
      </c>
      <c r="AN59">
        <f>IFERROR(INDEX(W$13:W$162,MATCH(47,$AE$13:$AE$162,0)),0)*$T$6</f>
        <v/>
      </c>
      <c r="AO59">
        <f>IFERROR(INDEX(X$13:X$162,MATCH(47,$AE$13:$AE$162,0)),0)*$T$6</f>
        <v/>
      </c>
      <c r="AP59">
        <f>IFERROR(INDEX(Y$13:Y$162,MATCH(47,$AE$13:$AE$162,0)),0)*$T$6</f>
        <v/>
      </c>
      <c r="AQ59">
        <f>IFERROR(INDEX(Z$13:Z$162,MATCH(47,$AE$13:$AE$162,0)),0)*$T$6</f>
        <v/>
      </c>
      <c r="AR59">
        <f>IFERROR(INDEX(AA$13:AA$162,MATCH(47,$AE$13:$AE$162,0)),0)*$T$6</f>
        <v/>
      </c>
      <c r="AS59">
        <f>IFERROR(INDEX($P$13:$P$162,MATCH(47,$AF$13:$AF$162,0)),"")</f>
        <v/>
      </c>
      <c r="AT59">
        <f>IFERROR(INDEX(S$13:S$162,MATCH(47,$AF$13:$AF$162,0)),0)*$T$7</f>
        <v/>
      </c>
      <c r="AU59">
        <f>IFERROR(INDEX(T$13:T$162,MATCH(47,$AF$13:$AF$162,0)),0)*$T$7</f>
        <v/>
      </c>
      <c r="AV59">
        <f>IFERROR(INDEX(U$13:U$162,MATCH(47,$AF$13:$AF$162,0)),0)*$T$7</f>
        <v/>
      </c>
      <c r="AW59">
        <f>IFERROR(INDEX(V$13:V$162,MATCH(47,$AF$13:$AF$162,0)),0)*$T$7</f>
        <v/>
      </c>
      <c r="AX59">
        <f>IFERROR(INDEX(W$13:W$162,MATCH(47,$AF$13:$AF$162,0)),0)*$T$7</f>
        <v/>
      </c>
      <c r="AY59">
        <f>IFERROR(INDEX(X$13:X$162,MATCH(47,$AF$13:$AF$162,0)),0)*$T$7</f>
        <v/>
      </c>
      <c r="AZ59">
        <f>IFERROR(INDEX(Y$13:Y$162,MATCH(47,$AF$13:$AF$162,0)),0)*$T$7</f>
        <v/>
      </c>
      <c r="BA59">
        <f>IFERROR(INDEX(Z$13:Z$162,MATCH(47,$AF$13:$AF$162,0)),0)*$T$7</f>
        <v/>
      </c>
      <c r="BB59">
        <f>IFERROR(INDEX(AA$13:AA$162,MATCH(47,$AF$13:$AF$162,0)),0)*$T$7</f>
        <v/>
      </c>
      <c r="BC59">
        <f>IFERROR(INDEX($P$13:$P$162,MATCH(47,$AG$13:$AG$162,0)),"")</f>
        <v/>
      </c>
      <c r="BD59">
        <f>IFERROR(INDEX(S$13:S$162,MATCH(47,$AG$13:$AG$162,0)),0)*($T$8+IF($C$10="",$T$9,0))</f>
        <v/>
      </c>
      <c r="BE59">
        <f>IFERROR(INDEX(T$13:T$162,MATCH(47,$AG$13:$AG$162,0)),0)*($T$8+IF($C$10="",$T$9,0))</f>
        <v/>
      </c>
      <c r="BF59">
        <f>IFERROR(INDEX(U$13:U$162,MATCH(47,$AG$13:$AG$162,0)),0)*($T$8+IF($C$10="",$T$9,0))</f>
        <v/>
      </c>
      <c r="BG59">
        <f>IFERROR(INDEX(V$13:V$162,MATCH(47,$AG$13:$AG$162,0)),0)*($T$8+IF($C$10="",$T$9,0))</f>
        <v/>
      </c>
      <c r="BH59">
        <f>IFERROR(INDEX(W$13:W$162,MATCH(47,$AG$13:$AG$162,0)),0)*($T$8+IF($C$10="",$T$9,0))</f>
        <v/>
      </c>
      <c r="BI59">
        <f>IFERROR(INDEX(X$13:X$162,MATCH(47,$AG$13:$AG$162,0)),0)*($T$8+IF($C$10="",$T$9,0))</f>
        <v/>
      </c>
      <c r="BJ59">
        <f>IFERROR(INDEX(Y$13:Y$162,MATCH(47,$AG$13:$AG$162,0)),0)*($T$8+IF($C$10="",$T$9,0))</f>
        <v/>
      </c>
      <c r="BK59">
        <f>IFERROR(INDEX(Z$13:Z$162,MATCH(47,$AG$13:$AG$162,0)),0)*($T$8+IF($C$10="",$T$9,0))</f>
        <v/>
      </c>
      <c r="BL59">
        <f>IFERROR(INDEX(AA$13:AA$162,MATCH(47,$AG$13:$AG$162,0)),0)*($T$8+IF($C$10="",$T$9,0))</f>
        <v/>
      </c>
      <c r="BN59">
        <f>IF(46&lt;$U$9,INT(46/($U$7*$U$8))+1,1)</f>
        <v/>
      </c>
      <c r="BO59">
        <f>IF(46&lt;$U$9,MOD(INT(46/$U$8),$U$7)+1,1)</f>
        <v/>
      </c>
      <c r="BP59">
        <f>IF(46&lt;$U$9,MOD(46,$U$8)+1,1)</f>
        <v/>
      </c>
      <c r="BQ59">
        <f>IF(46&lt;$U$9,SUMPRODUCT(($D$10:$L$10&lt;&gt;"")*(($D$9:$L$9+INT(($S$12:$AA$12+INDEX($AJ$13:$AR$162,BN59,0)+INDEX($AT$13:$BB$162,BO59,0)+INDEX($BD$13:$BL$162,BP59,0))/100))&gt;=$D$10:$L$10)),0)</f>
        <v/>
      </c>
      <c r="BR59">
        <f>IF(46&lt;$U$9,SUMPRODUCT(($D$10:$L$10&lt;&gt;"")*(($D$10:$L$10-($D$9:$L$9+INT(($S$12:$AA$12+INDEX($AJ$13:$AR$162,BN59,0)+INDEX($AT$13:$BB$162,BO59,0)+INDEX($BD$13:$BL$162,BP59,0))/100)))&gt;0)*($D$10:$L$10-($D$9:$L$9+INT(($S$12:$AA$12+INDEX($AJ$13:$AR$162,BN59,0)+INDEX($AT$13:$BB$162,BO59,0)+INDEX($BD$13:$BL$162,BP59,0))/100)))),0)</f>
        <v/>
      </c>
      <c r="BS59">
        <f>IF(46&lt;$U$9,SUMPRODUCT(($D$9:$L$9+INT(($S$12:$AA$12+INDEX($AJ$13:$AR$162,BN59,0)+INDEX($AT$13:$BB$162,BO59,0)+INDEX($BD$13:$BL$162,BP59,0))/100))),0)</f>
        <v/>
      </c>
      <c r="BT59">
        <f>IF(AND(46&lt;$U$9,$W$5),BQ59*1000000-MIN(BR59,999)*1000+BS59-46/100000,-1000000000-46)</f>
        <v/>
      </c>
      <c r="CF59">
        <f>IF($A59="","",IFERROR(MATCH($C59,'职业'!$C$3:$C$152,0),0))</f>
        <v/>
      </c>
      <c r="CG59">
        <f>IF($A59="","",CG58+MAX(0,D$7+IF($CF58=0,0,IFERROR(INDEX('职业'!F$3:F$152,$CF58)+0,0))))</f>
        <v/>
      </c>
      <c r="CH59">
        <f>IF($A59="","",CH58+MAX(0,E$7+IF($CF58=0,0,IFERROR(INDEX('职业'!G$3:G$152,$CF58)+0,0))))</f>
        <v/>
      </c>
      <c r="CI59">
        <f>IF($A59="","",CI58+MAX(0,F$7+IF($CF58=0,0,IFERROR(INDEX('职业'!H$3:H$152,$CF58)+0,0))))</f>
        <v/>
      </c>
      <c r="CJ59">
        <f>IF($A59="","",CJ58+MAX(0,G$7+IF($CF58=0,0,IFERROR(INDEX('职业'!I$3:I$152,$CF58)+0,0))))</f>
        <v/>
      </c>
      <c r="CK59">
        <f>IF($A59="","",CK58+MAX(0,H$7+IF($CF58=0,0,IFERROR(INDEX('职业'!J$3:J$152,$CF58)+0,0))))</f>
        <v/>
      </c>
      <c r="CL59">
        <f>IF($A59="","",CL58+MAX(0,I$7+IF($CF58=0,0,IFERROR(INDEX('职业'!K$3:K$152,$CF58)+0,0))))</f>
        <v/>
      </c>
      <c r="CM59">
        <f>IF($A59="","",CM58+MAX(0,J$7+IF($CF58=0,0,IFERROR(INDEX('职业'!L$3:L$152,$CF58)+0,0))))</f>
        <v/>
      </c>
      <c r="CN59">
        <f>IF($A59="","",CN58+MAX(0,K$7+IF($CF58=0,0,IFERROR(INDEX('职业'!M$3:M$152,$CF58)+0,0))))</f>
        <v/>
      </c>
      <c r="CO59">
        <f>IF($A59="","",CO58+MAX(0,L$7+IF($CF58=0,0,IFERROR(INDEX('职业'!N$3:N$152,$CF58)+0,0))))</f>
        <v/>
      </c>
    </row>
    <row r="60">
      <c r="A60" s="15">
        <f>IF(OR($B$9="",$B$10=""),"",IF($B$9+8&lt;=$B$10,$B$9+8,""))</f>
        <v/>
      </c>
      <c r="B60" s="15">
        <f>IF($A60="","",MATCH($A60,$BV$27:$BV$32,1))</f>
        <v/>
      </c>
      <c r="C60" s="15">
        <f>IF($A60="","",INDEX($BW$27:$BW$32,$B60))</f>
        <v/>
      </c>
      <c r="D60" s="15">
        <f>IF($A60="","",D$9+INT(($B$14+CG60)/100))</f>
        <v/>
      </c>
      <c r="E60" s="15">
        <f>IF($A60="","",E$9+INT(($B$14+CH60)/100))</f>
        <v/>
      </c>
      <c r="F60" s="15">
        <f>IF($A60="","",F$9+INT(($B$14+CI60)/100))</f>
        <v/>
      </c>
      <c r="G60" s="15">
        <f>IF($A60="","",G$9+INT(($B$14+CJ60)/100))</f>
        <v/>
      </c>
      <c r="H60" s="15">
        <f>IF($A60="","",H$9+INT(($B$14+CK60)/100))</f>
        <v/>
      </c>
      <c r="I60" s="15">
        <f>IF($A60="","",I$9+INT(($B$14+CL60)/100))</f>
        <v/>
      </c>
      <c r="J60" s="15">
        <f>IF($A60="","",J$9+INT(($B$14+CM60)/100))</f>
        <v/>
      </c>
      <c r="K60" s="15">
        <f>IF($A60="","",K$9+INT(($B$14+CN60)/100))</f>
        <v/>
      </c>
      <c r="L60" s="15">
        <f>IF($A60="","",L$9+INT(($B$14+CO60)/100))</f>
        <v/>
      </c>
      <c r="M60" s="16">
        <f>IF($A60="","",IF($C60&lt;&gt;$C59,"★ 转职 → 【"&amp;$C60&amp;"】","")&amp;IF($A60=$B$10,"（目标等级）",""))</f>
        <v/>
      </c>
      <c r="P60">
        <f>IF('职业'!$C50="","",'职业'!$C50)</f>
        <v/>
      </c>
      <c r="Q60">
        <f>N('职业'!$D50)</f>
        <v/>
      </c>
      <c r="R60">
        <f>'职业'!$E50&amp;""</f>
        <v/>
      </c>
      <c r="S60">
        <f>IF($P60="",0,MAX(0,D$7+N('职业'!F50)))</f>
        <v/>
      </c>
      <c r="T60">
        <f>IF($P60="",0,MAX(0,E$7+N('职业'!G50)))</f>
        <v/>
      </c>
      <c r="U60">
        <f>IF($P60="",0,MAX(0,F$7+N('职业'!H50)))</f>
        <v/>
      </c>
      <c r="V60">
        <f>IF($P60="",0,MAX(0,G$7+N('职业'!I50)))</f>
        <v/>
      </c>
      <c r="W60">
        <f>IF($P60="",0,MAX(0,H$7+N('职业'!J50)))</f>
        <v/>
      </c>
      <c r="X60">
        <f>IF($P60="",0,MAX(0,I$7+N('职业'!K50)))</f>
        <v/>
      </c>
      <c r="Y60">
        <f>IF($P60="",0,MAX(0,J$7+N('职业'!L50)))</f>
        <v/>
      </c>
      <c r="Z60">
        <f>IF($P60="",0,MAX(0,K$7+N('职业'!M50)))</f>
        <v/>
      </c>
      <c r="AA60">
        <f>IF($P60="",0,MAX(0,L$7+N('职业'!N50)))</f>
        <v/>
      </c>
      <c r="AB60">
        <f>AND($P60&lt;&gt;"",IF($U$5=1,$P60=$C$10,OR($P60=$C$9,AND($R60="是",$Q60&lt;=MAX($B$9,$Q$6)))))</f>
        <v/>
      </c>
      <c r="AC60">
        <f>AND($P60&lt;&gt;"",IF($U$5=2,$P60=$C$10,OR($P60=$C$9,AND($R60="是",$Q60&lt;=MAX($B$9,$Q$7)))))</f>
        <v/>
      </c>
      <c r="AD60">
        <f>AND($P60&lt;&gt;"",IF($U$5=3,$P60=$C$10,OR($P60=$C$9,AND($R60="是",$Q60&lt;=MAX($B$9,$Q$8)))))</f>
        <v/>
      </c>
      <c r="AE60">
        <f>IF(AB60,COUNTIF(AB$13:AB60,TRUE),"")</f>
        <v/>
      </c>
      <c r="AF60">
        <f>IF(AC60,COUNTIF(AC$13:AC60,TRUE),"")</f>
        <v/>
      </c>
      <c r="AG60">
        <f>IF(AD60,COUNTIF(AD$13:AD60,TRUE),"")</f>
        <v/>
      </c>
      <c r="AI60">
        <f>IFERROR(INDEX($P$13:$P$162,MATCH(48,$AE$13:$AE$162,0)),"")</f>
        <v/>
      </c>
      <c r="AJ60">
        <f>IFERROR(INDEX(S$13:S$162,MATCH(48,$AE$13:$AE$162,0)),0)*$T$6</f>
        <v/>
      </c>
      <c r="AK60">
        <f>IFERROR(INDEX(T$13:T$162,MATCH(48,$AE$13:$AE$162,0)),0)*$T$6</f>
        <v/>
      </c>
      <c r="AL60">
        <f>IFERROR(INDEX(U$13:U$162,MATCH(48,$AE$13:$AE$162,0)),0)*$T$6</f>
        <v/>
      </c>
      <c r="AM60">
        <f>IFERROR(INDEX(V$13:V$162,MATCH(48,$AE$13:$AE$162,0)),0)*$T$6</f>
        <v/>
      </c>
      <c r="AN60">
        <f>IFERROR(INDEX(W$13:W$162,MATCH(48,$AE$13:$AE$162,0)),0)*$T$6</f>
        <v/>
      </c>
      <c r="AO60">
        <f>IFERROR(INDEX(X$13:X$162,MATCH(48,$AE$13:$AE$162,0)),0)*$T$6</f>
        <v/>
      </c>
      <c r="AP60">
        <f>IFERROR(INDEX(Y$13:Y$162,MATCH(48,$AE$13:$AE$162,0)),0)*$T$6</f>
        <v/>
      </c>
      <c r="AQ60">
        <f>IFERROR(INDEX(Z$13:Z$162,MATCH(48,$AE$13:$AE$162,0)),0)*$T$6</f>
        <v/>
      </c>
      <c r="AR60">
        <f>IFERROR(INDEX(AA$13:AA$162,MATCH(48,$AE$13:$AE$162,0)),0)*$T$6</f>
        <v/>
      </c>
      <c r="AS60">
        <f>IFERROR(INDEX($P$13:$P$162,MATCH(48,$AF$13:$AF$162,0)),"")</f>
        <v/>
      </c>
      <c r="AT60">
        <f>IFERROR(INDEX(S$13:S$162,MATCH(48,$AF$13:$AF$162,0)),0)*$T$7</f>
        <v/>
      </c>
      <c r="AU60">
        <f>IFERROR(INDEX(T$13:T$162,MATCH(48,$AF$13:$AF$162,0)),0)*$T$7</f>
        <v/>
      </c>
      <c r="AV60">
        <f>IFERROR(INDEX(U$13:U$162,MATCH(48,$AF$13:$AF$162,0)),0)*$T$7</f>
        <v/>
      </c>
      <c r="AW60">
        <f>IFERROR(INDEX(V$13:V$162,MATCH(48,$AF$13:$AF$162,0)),0)*$T$7</f>
        <v/>
      </c>
      <c r="AX60">
        <f>IFERROR(INDEX(W$13:W$162,MATCH(48,$AF$13:$AF$162,0)),0)*$T$7</f>
        <v/>
      </c>
      <c r="AY60">
        <f>IFERROR(INDEX(X$13:X$162,MATCH(48,$AF$13:$AF$162,0)),0)*$T$7</f>
        <v/>
      </c>
      <c r="AZ60">
        <f>IFERROR(INDEX(Y$13:Y$162,MATCH(48,$AF$13:$AF$162,0)),0)*$T$7</f>
        <v/>
      </c>
      <c r="BA60">
        <f>IFERROR(INDEX(Z$13:Z$162,MATCH(48,$AF$13:$AF$162,0)),0)*$T$7</f>
        <v/>
      </c>
      <c r="BB60">
        <f>IFERROR(INDEX(AA$13:AA$162,MATCH(48,$AF$13:$AF$162,0)),0)*$T$7</f>
        <v/>
      </c>
      <c r="BC60">
        <f>IFERROR(INDEX($P$13:$P$162,MATCH(48,$AG$13:$AG$162,0)),"")</f>
        <v/>
      </c>
      <c r="BD60">
        <f>IFERROR(INDEX(S$13:S$162,MATCH(48,$AG$13:$AG$162,0)),0)*($T$8+IF($C$10="",$T$9,0))</f>
        <v/>
      </c>
      <c r="BE60">
        <f>IFERROR(INDEX(T$13:T$162,MATCH(48,$AG$13:$AG$162,0)),0)*($T$8+IF($C$10="",$T$9,0))</f>
        <v/>
      </c>
      <c r="BF60">
        <f>IFERROR(INDEX(U$13:U$162,MATCH(48,$AG$13:$AG$162,0)),0)*($T$8+IF($C$10="",$T$9,0))</f>
        <v/>
      </c>
      <c r="BG60">
        <f>IFERROR(INDEX(V$13:V$162,MATCH(48,$AG$13:$AG$162,0)),0)*($T$8+IF($C$10="",$T$9,0))</f>
        <v/>
      </c>
      <c r="BH60">
        <f>IFERROR(INDEX(W$13:W$162,MATCH(48,$AG$13:$AG$162,0)),0)*($T$8+IF($C$10="",$T$9,0))</f>
        <v/>
      </c>
      <c r="BI60">
        <f>IFERROR(INDEX(X$13:X$162,MATCH(48,$AG$13:$AG$162,0)),0)*($T$8+IF($C$10="",$T$9,0))</f>
        <v/>
      </c>
      <c r="BJ60">
        <f>IFERROR(INDEX(Y$13:Y$162,MATCH(48,$AG$13:$AG$162,0)),0)*($T$8+IF($C$10="",$T$9,0))</f>
        <v/>
      </c>
      <c r="BK60">
        <f>IFERROR(INDEX(Z$13:Z$162,MATCH(48,$AG$13:$AG$162,0)),0)*($T$8+IF($C$10="",$T$9,0))</f>
        <v/>
      </c>
      <c r="BL60">
        <f>IFERROR(INDEX(AA$13:AA$162,MATCH(48,$AG$13:$AG$162,0)),0)*($T$8+IF($C$10="",$T$9,0))</f>
        <v/>
      </c>
      <c r="BN60">
        <f>IF(47&lt;$U$9,INT(47/($U$7*$U$8))+1,1)</f>
        <v/>
      </c>
      <c r="BO60">
        <f>IF(47&lt;$U$9,MOD(INT(47/$U$8),$U$7)+1,1)</f>
        <v/>
      </c>
      <c r="BP60">
        <f>IF(47&lt;$U$9,MOD(47,$U$8)+1,1)</f>
        <v/>
      </c>
      <c r="BQ60">
        <f>IF(47&lt;$U$9,SUMPRODUCT(($D$10:$L$10&lt;&gt;"")*(($D$9:$L$9+INT(($S$12:$AA$12+INDEX($AJ$13:$AR$162,BN60,0)+INDEX($AT$13:$BB$162,BO60,0)+INDEX($BD$13:$BL$162,BP60,0))/100))&gt;=$D$10:$L$10)),0)</f>
        <v/>
      </c>
      <c r="BR60">
        <f>IF(47&lt;$U$9,SUMPRODUCT(($D$10:$L$10&lt;&gt;"")*(($D$10:$L$10-($D$9:$L$9+INT(($S$12:$AA$12+INDEX($AJ$13:$AR$162,BN60,0)+INDEX($AT$13:$BB$162,BO60,0)+INDEX($BD$13:$BL$162,BP60,0))/100)))&gt;0)*($D$10:$L$10-($D$9:$L$9+INT(($S$12:$AA$12+INDEX($AJ$13:$AR$162,BN60,0)+INDEX($AT$13:$BB$162,BO60,0)+INDEX($BD$13:$BL$162,BP60,0))/100)))),0)</f>
        <v/>
      </c>
      <c r="BS60">
        <f>IF(47&lt;$U$9,SUMPRODUCT(($D$9:$L$9+INT(($S$12:$AA$12+INDEX($AJ$13:$AR$162,BN60,0)+INDEX($AT$13:$BB$162,BO60,0)+INDEX($BD$13:$BL$162,BP60,0))/100))),0)</f>
        <v/>
      </c>
      <c r="BT60">
        <f>IF(AND(47&lt;$U$9,$W$5),BQ60*1000000-MIN(BR60,999)*1000+BS60-47/100000,-1000000000-47)</f>
        <v/>
      </c>
      <c r="CF60">
        <f>IF($A60="","",IFERROR(MATCH($C60,'职业'!$C$3:$C$152,0),0))</f>
        <v/>
      </c>
      <c r="CG60">
        <f>IF($A60="","",CG59+MAX(0,D$7+IF($CF59=0,0,IFERROR(INDEX('职业'!F$3:F$152,$CF59)+0,0))))</f>
        <v/>
      </c>
      <c r="CH60">
        <f>IF($A60="","",CH59+MAX(0,E$7+IF($CF59=0,0,IFERROR(INDEX('职业'!G$3:G$152,$CF59)+0,0))))</f>
        <v/>
      </c>
      <c r="CI60">
        <f>IF($A60="","",CI59+MAX(0,F$7+IF($CF59=0,0,IFERROR(INDEX('职业'!H$3:H$152,$CF59)+0,0))))</f>
        <v/>
      </c>
      <c r="CJ60">
        <f>IF($A60="","",CJ59+MAX(0,G$7+IF($CF59=0,0,IFERROR(INDEX('职业'!I$3:I$152,$CF59)+0,0))))</f>
        <v/>
      </c>
      <c r="CK60">
        <f>IF($A60="","",CK59+MAX(0,H$7+IF($CF59=0,0,IFERROR(INDEX('职业'!J$3:J$152,$CF59)+0,0))))</f>
        <v/>
      </c>
      <c r="CL60">
        <f>IF($A60="","",CL59+MAX(0,I$7+IF($CF59=0,0,IFERROR(INDEX('职业'!K$3:K$152,$CF59)+0,0))))</f>
        <v/>
      </c>
      <c r="CM60">
        <f>IF($A60="","",CM59+MAX(0,J$7+IF($CF59=0,0,IFERROR(INDEX('职业'!L$3:L$152,$CF59)+0,0))))</f>
        <v/>
      </c>
      <c r="CN60">
        <f>IF($A60="","",CN59+MAX(0,K$7+IF($CF59=0,0,IFERROR(INDEX('职业'!M$3:M$152,$CF59)+0,0))))</f>
        <v/>
      </c>
      <c r="CO60">
        <f>IF($A60="","",CO59+MAX(0,L$7+IF($CF59=0,0,IFERROR(INDEX('职业'!N$3:N$152,$CF59)+0,0))))</f>
        <v/>
      </c>
    </row>
    <row r="61">
      <c r="A61" s="15">
        <f>IF(OR($B$9="",$B$10=""),"",IF($B$9+9&lt;=$B$10,$B$9+9,""))</f>
        <v/>
      </c>
      <c r="B61" s="15">
        <f>IF($A61="","",MATCH($A61,$BV$27:$BV$32,1))</f>
        <v/>
      </c>
      <c r="C61" s="15">
        <f>IF($A61="","",INDEX($BW$27:$BW$32,$B61))</f>
        <v/>
      </c>
      <c r="D61" s="15">
        <f>IF($A61="","",D$9+INT(($B$14+CG61)/100))</f>
        <v/>
      </c>
      <c r="E61" s="15">
        <f>IF($A61="","",E$9+INT(($B$14+CH61)/100))</f>
        <v/>
      </c>
      <c r="F61" s="15">
        <f>IF($A61="","",F$9+INT(($B$14+CI61)/100))</f>
        <v/>
      </c>
      <c r="G61" s="15">
        <f>IF($A61="","",G$9+INT(($B$14+CJ61)/100))</f>
        <v/>
      </c>
      <c r="H61" s="15">
        <f>IF($A61="","",H$9+INT(($B$14+CK61)/100))</f>
        <v/>
      </c>
      <c r="I61" s="15">
        <f>IF($A61="","",I$9+INT(($B$14+CL61)/100))</f>
        <v/>
      </c>
      <c r="J61" s="15">
        <f>IF($A61="","",J$9+INT(($B$14+CM61)/100))</f>
        <v/>
      </c>
      <c r="K61" s="15">
        <f>IF($A61="","",K$9+INT(($B$14+CN61)/100))</f>
        <v/>
      </c>
      <c r="L61" s="15">
        <f>IF($A61="","",L$9+INT(($B$14+CO61)/100))</f>
        <v/>
      </c>
      <c r="M61" s="16">
        <f>IF($A61="","",IF($C61&lt;&gt;$C60,"★ 转职 → 【"&amp;$C61&amp;"】","")&amp;IF($A61=$B$10,"（目标等级）",""))</f>
        <v/>
      </c>
      <c r="P61">
        <f>IF('职业'!$C51="","",'职业'!$C51)</f>
        <v/>
      </c>
      <c r="Q61">
        <f>N('职业'!$D51)</f>
        <v/>
      </c>
      <c r="R61">
        <f>'职业'!$E51&amp;""</f>
        <v/>
      </c>
      <c r="S61">
        <f>IF($P61="",0,MAX(0,D$7+N('职业'!F51)))</f>
        <v/>
      </c>
      <c r="T61">
        <f>IF($P61="",0,MAX(0,E$7+N('职业'!G51)))</f>
        <v/>
      </c>
      <c r="U61">
        <f>IF($P61="",0,MAX(0,F$7+N('职业'!H51)))</f>
        <v/>
      </c>
      <c r="V61">
        <f>IF($P61="",0,MAX(0,G$7+N('职业'!I51)))</f>
        <v/>
      </c>
      <c r="W61">
        <f>IF($P61="",0,MAX(0,H$7+N('职业'!J51)))</f>
        <v/>
      </c>
      <c r="X61">
        <f>IF($P61="",0,MAX(0,I$7+N('职业'!K51)))</f>
        <v/>
      </c>
      <c r="Y61">
        <f>IF($P61="",0,MAX(0,J$7+N('职业'!L51)))</f>
        <v/>
      </c>
      <c r="Z61">
        <f>IF($P61="",0,MAX(0,K$7+N('职业'!M51)))</f>
        <v/>
      </c>
      <c r="AA61">
        <f>IF($P61="",0,MAX(0,L$7+N('职业'!N51)))</f>
        <v/>
      </c>
      <c r="AB61">
        <f>AND($P61&lt;&gt;"",IF($U$5=1,$P61=$C$10,OR($P61=$C$9,AND($R61="是",$Q61&lt;=MAX($B$9,$Q$6)))))</f>
        <v/>
      </c>
      <c r="AC61">
        <f>AND($P61&lt;&gt;"",IF($U$5=2,$P61=$C$10,OR($P61=$C$9,AND($R61="是",$Q61&lt;=MAX($B$9,$Q$7)))))</f>
        <v/>
      </c>
      <c r="AD61">
        <f>AND($P61&lt;&gt;"",IF($U$5=3,$P61=$C$10,OR($P61=$C$9,AND($R61="是",$Q61&lt;=MAX($B$9,$Q$8)))))</f>
        <v/>
      </c>
      <c r="AE61">
        <f>IF(AB61,COUNTIF(AB$13:AB61,TRUE),"")</f>
        <v/>
      </c>
      <c r="AF61">
        <f>IF(AC61,COUNTIF(AC$13:AC61,TRUE),"")</f>
        <v/>
      </c>
      <c r="AG61">
        <f>IF(AD61,COUNTIF(AD$13:AD61,TRUE),"")</f>
        <v/>
      </c>
      <c r="AI61">
        <f>IFERROR(INDEX($P$13:$P$162,MATCH(49,$AE$13:$AE$162,0)),"")</f>
        <v/>
      </c>
      <c r="AJ61">
        <f>IFERROR(INDEX(S$13:S$162,MATCH(49,$AE$13:$AE$162,0)),0)*$T$6</f>
        <v/>
      </c>
      <c r="AK61">
        <f>IFERROR(INDEX(T$13:T$162,MATCH(49,$AE$13:$AE$162,0)),0)*$T$6</f>
        <v/>
      </c>
      <c r="AL61">
        <f>IFERROR(INDEX(U$13:U$162,MATCH(49,$AE$13:$AE$162,0)),0)*$T$6</f>
        <v/>
      </c>
      <c r="AM61">
        <f>IFERROR(INDEX(V$13:V$162,MATCH(49,$AE$13:$AE$162,0)),0)*$T$6</f>
        <v/>
      </c>
      <c r="AN61">
        <f>IFERROR(INDEX(W$13:W$162,MATCH(49,$AE$13:$AE$162,0)),0)*$T$6</f>
        <v/>
      </c>
      <c r="AO61">
        <f>IFERROR(INDEX(X$13:X$162,MATCH(49,$AE$13:$AE$162,0)),0)*$T$6</f>
        <v/>
      </c>
      <c r="AP61">
        <f>IFERROR(INDEX(Y$13:Y$162,MATCH(49,$AE$13:$AE$162,0)),0)*$T$6</f>
        <v/>
      </c>
      <c r="AQ61">
        <f>IFERROR(INDEX(Z$13:Z$162,MATCH(49,$AE$13:$AE$162,0)),0)*$T$6</f>
        <v/>
      </c>
      <c r="AR61">
        <f>IFERROR(INDEX(AA$13:AA$162,MATCH(49,$AE$13:$AE$162,0)),0)*$T$6</f>
        <v/>
      </c>
      <c r="AS61">
        <f>IFERROR(INDEX($P$13:$P$162,MATCH(49,$AF$13:$AF$162,0)),"")</f>
        <v/>
      </c>
      <c r="AT61">
        <f>IFERROR(INDEX(S$13:S$162,MATCH(49,$AF$13:$AF$162,0)),0)*$T$7</f>
        <v/>
      </c>
      <c r="AU61">
        <f>IFERROR(INDEX(T$13:T$162,MATCH(49,$AF$13:$AF$162,0)),0)*$T$7</f>
        <v/>
      </c>
      <c r="AV61">
        <f>IFERROR(INDEX(U$13:U$162,MATCH(49,$AF$13:$AF$162,0)),0)*$T$7</f>
        <v/>
      </c>
      <c r="AW61">
        <f>IFERROR(INDEX(V$13:V$162,MATCH(49,$AF$13:$AF$162,0)),0)*$T$7</f>
        <v/>
      </c>
      <c r="AX61">
        <f>IFERROR(INDEX(W$13:W$162,MATCH(49,$AF$13:$AF$162,0)),0)*$T$7</f>
        <v/>
      </c>
      <c r="AY61">
        <f>IFERROR(INDEX(X$13:X$162,MATCH(49,$AF$13:$AF$162,0)),0)*$T$7</f>
        <v/>
      </c>
      <c r="AZ61">
        <f>IFERROR(INDEX(Y$13:Y$162,MATCH(49,$AF$13:$AF$162,0)),0)*$T$7</f>
        <v/>
      </c>
      <c r="BA61">
        <f>IFERROR(INDEX(Z$13:Z$162,MATCH(49,$AF$13:$AF$162,0)),0)*$T$7</f>
        <v/>
      </c>
      <c r="BB61">
        <f>IFERROR(INDEX(AA$13:AA$162,MATCH(49,$AF$13:$AF$162,0)),0)*$T$7</f>
        <v/>
      </c>
      <c r="BC61">
        <f>IFERROR(INDEX($P$13:$P$162,MATCH(49,$AG$13:$AG$162,0)),"")</f>
        <v/>
      </c>
      <c r="BD61">
        <f>IFERROR(INDEX(S$13:S$162,MATCH(49,$AG$13:$AG$162,0)),0)*($T$8+IF($C$10="",$T$9,0))</f>
        <v/>
      </c>
      <c r="BE61">
        <f>IFERROR(INDEX(T$13:T$162,MATCH(49,$AG$13:$AG$162,0)),0)*($T$8+IF($C$10="",$T$9,0))</f>
        <v/>
      </c>
      <c r="BF61">
        <f>IFERROR(INDEX(U$13:U$162,MATCH(49,$AG$13:$AG$162,0)),0)*($T$8+IF($C$10="",$T$9,0))</f>
        <v/>
      </c>
      <c r="BG61">
        <f>IFERROR(INDEX(V$13:V$162,MATCH(49,$AG$13:$AG$162,0)),0)*($T$8+IF($C$10="",$T$9,0))</f>
        <v/>
      </c>
      <c r="BH61">
        <f>IFERROR(INDEX(W$13:W$162,MATCH(49,$AG$13:$AG$162,0)),0)*($T$8+IF($C$10="",$T$9,0))</f>
        <v/>
      </c>
      <c r="BI61">
        <f>IFERROR(INDEX(X$13:X$162,MATCH(49,$AG$13:$AG$162,0)),0)*($T$8+IF($C$10="",$T$9,0))</f>
        <v/>
      </c>
      <c r="BJ61">
        <f>IFERROR(INDEX(Y$13:Y$162,MATCH(49,$AG$13:$AG$162,0)),0)*($T$8+IF($C$10="",$T$9,0))</f>
        <v/>
      </c>
      <c r="BK61">
        <f>IFERROR(INDEX(Z$13:Z$162,MATCH(49,$AG$13:$AG$162,0)),0)*($T$8+IF($C$10="",$T$9,0))</f>
        <v/>
      </c>
      <c r="BL61">
        <f>IFERROR(INDEX(AA$13:AA$162,MATCH(49,$AG$13:$AG$162,0)),0)*($T$8+IF($C$10="",$T$9,0))</f>
        <v/>
      </c>
      <c r="BN61">
        <f>IF(48&lt;$U$9,INT(48/($U$7*$U$8))+1,1)</f>
        <v/>
      </c>
      <c r="BO61">
        <f>IF(48&lt;$U$9,MOD(INT(48/$U$8),$U$7)+1,1)</f>
        <v/>
      </c>
      <c r="BP61">
        <f>IF(48&lt;$U$9,MOD(48,$U$8)+1,1)</f>
        <v/>
      </c>
      <c r="BQ61">
        <f>IF(48&lt;$U$9,SUMPRODUCT(($D$10:$L$10&lt;&gt;"")*(($D$9:$L$9+INT(($S$12:$AA$12+INDEX($AJ$13:$AR$162,BN61,0)+INDEX($AT$13:$BB$162,BO61,0)+INDEX($BD$13:$BL$162,BP61,0))/100))&gt;=$D$10:$L$10)),0)</f>
        <v/>
      </c>
      <c r="BR61">
        <f>IF(48&lt;$U$9,SUMPRODUCT(($D$10:$L$10&lt;&gt;"")*(($D$10:$L$10-($D$9:$L$9+INT(($S$12:$AA$12+INDEX($AJ$13:$AR$162,BN61,0)+INDEX($AT$13:$BB$162,BO61,0)+INDEX($BD$13:$BL$162,BP61,0))/100)))&gt;0)*($D$10:$L$10-($D$9:$L$9+INT(($S$12:$AA$12+INDEX($AJ$13:$AR$162,BN61,0)+INDEX($AT$13:$BB$162,BO61,0)+INDEX($BD$13:$BL$162,BP61,0))/100)))),0)</f>
        <v/>
      </c>
      <c r="BS61">
        <f>IF(48&lt;$U$9,SUMPRODUCT(($D$9:$L$9+INT(($S$12:$AA$12+INDEX($AJ$13:$AR$162,BN61,0)+INDEX($AT$13:$BB$162,BO61,0)+INDEX($BD$13:$BL$162,BP61,0))/100))),0)</f>
        <v/>
      </c>
      <c r="BT61">
        <f>IF(AND(48&lt;$U$9,$W$5),BQ61*1000000-MIN(BR61,999)*1000+BS61-48/100000,-1000000000-48)</f>
        <v/>
      </c>
      <c r="CF61">
        <f>IF($A61="","",IFERROR(MATCH($C61,'职业'!$C$3:$C$152,0),0))</f>
        <v/>
      </c>
      <c r="CG61">
        <f>IF($A61="","",CG60+MAX(0,D$7+IF($CF60=0,0,IFERROR(INDEX('职业'!F$3:F$152,$CF60)+0,0))))</f>
        <v/>
      </c>
      <c r="CH61">
        <f>IF($A61="","",CH60+MAX(0,E$7+IF($CF60=0,0,IFERROR(INDEX('职业'!G$3:G$152,$CF60)+0,0))))</f>
        <v/>
      </c>
      <c r="CI61">
        <f>IF($A61="","",CI60+MAX(0,F$7+IF($CF60=0,0,IFERROR(INDEX('职业'!H$3:H$152,$CF60)+0,0))))</f>
        <v/>
      </c>
      <c r="CJ61">
        <f>IF($A61="","",CJ60+MAX(0,G$7+IF($CF60=0,0,IFERROR(INDEX('职业'!I$3:I$152,$CF60)+0,0))))</f>
        <v/>
      </c>
      <c r="CK61">
        <f>IF($A61="","",CK60+MAX(0,H$7+IF($CF60=0,0,IFERROR(INDEX('职业'!J$3:J$152,$CF60)+0,0))))</f>
        <v/>
      </c>
      <c r="CL61">
        <f>IF($A61="","",CL60+MAX(0,I$7+IF($CF60=0,0,IFERROR(INDEX('职业'!K$3:K$152,$CF60)+0,0))))</f>
        <v/>
      </c>
      <c r="CM61">
        <f>IF($A61="","",CM60+MAX(0,J$7+IF($CF60=0,0,IFERROR(INDEX('职业'!L$3:L$152,$CF60)+0,0))))</f>
        <v/>
      </c>
      <c r="CN61">
        <f>IF($A61="","",CN60+MAX(0,K$7+IF($CF60=0,0,IFERROR(INDEX('职业'!M$3:M$152,$CF60)+0,0))))</f>
        <v/>
      </c>
      <c r="CO61">
        <f>IF($A61="","",CO60+MAX(0,L$7+IF($CF60=0,0,IFERROR(INDEX('职业'!N$3:N$152,$CF60)+0,0))))</f>
        <v/>
      </c>
    </row>
    <row r="62">
      <c r="A62" s="15">
        <f>IF(OR($B$9="",$B$10=""),"",IF($B$9+10&lt;=$B$10,$B$9+10,""))</f>
        <v/>
      </c>
      <c r="B62" s="15">
        <f>IF($A62="","",MATCH($A62,$BV$27:$BV$32,1))</f>
        <v/>
      </c>
      <c r="C62" s="15">
        <f>IF($A62="","",INDEX($BW$27:$BW$32,$B62))</f>
        <v/>
      </c>
      <c r="D62" s="15">
        <f>IF($A62="","",D$9+INT(($B$14+CG62)/100))</f>
        <v/>
      </c>
      <c r="E62" s="15">
        <f>IF($A62="","",E$9+INT(($B$14+CH62)/100))</f>
        <v/>
      </c>
      <c r="F62" s="15">
        <f>IF($A62="","",F$9+INT(($B$14+CI62)/100))</f>
        <v/>
      </c>
      <c r="G62" s="15">
        <f>IF($A62="","",G$9+INT(($B$14+CJ62)/100))</f>
        <v/>
      </c>
      <c r="H62" s="15">
        <f>IF($A62="","",H$9+INT(($B$14+CK62)/100))</f>
        <v/>
      </c>
      <c r="I62" s="15">
        <f>IF($A62="","",I$9+INT(($B$14+CL62)/100))</f>
        <v/>
      </c>
      <c r="J62" s="15">
        <f>IF($A62="","",J$9+INT(($B$14+CM62)/100))</f>
        <v/>
      </c>
      <c r="K62" s="15">
        <f>IF($A62="","",K$9+INT(($B$14+CN62)/100))</f>
        <v/>
      </c>
      <c r="L62" s="15">
        <f>IF($A62="","",L$9+INT(($B$14+CO62)/100))</f>
        <v/>
      </c>
      <c r="M62" s="16">
        <f>IF($A62="","",IF($C62&lt;&gt;$C61,"★ 转职 → 【"&amp;$C62&amp;"】","")&amp;IF($A62=$B$10,"（目标等级）",""))</f>
        <v/>
      </c>
      <c r="P62">
        <f>IF('职业'!$C52="","",'职业'!$C52)</f>
        <v/>
      </c>
      <c r="Q62">
        <f>N('职业'!$D52)</f>
        <v/>
      </c>
      <c r="R62">
        <f>'职业'!$E52&amp;""</f>
        <v/>
      </c>
      <c r="S62">
        <f>IF($P62="",0,MAX(0,D$7+N('职业'!F52)))</f>
        <v/>
      </c>
      <c r="T62">
        <f>IF($P62="",0,MAX(0,E$7+N('职业'!G52)))</f>
        <v/>
      </c>
      <c r="U62">
        <f>IF($P62="",0,MAX(0,F$7+N('职业'!H52)))</f>
        <v/>
      </c>
      <c r="V62">
        <f>IF($P62="",0,MAX(0,G$7+N('职业'!I52)))</f>
        <v/>
      </c>
      <c r="W62">
        <f>IF($P62="",0,MAX(0,H$7+N('职业'!J52)))</f>
        <v/>
      </c>
      <c r="X62">
        <f>IF($P62="",0,MAX(0,I$7+N('职业'!K52)))</f>
        <v/>
      </c>
      <c r="Y62">
        <f>IF($P62="",0,MAX(0,J$7+N('职业'!L52)))</f>
        <v/>
      </c>
      <c r="Z62">
        <f>IF($P62="",0,MAX(0,K$7+N('职业'!M52)))</f>
        <v/>
      </c>
      <c r="AA62">
        <f>IF($P62="",0,MAX(0,L$7+N('职业'!N52)))</f>
        <v/>
      </c>
      <c r="AB62">
        <f>AND($P62&lt;&gt;"",IF($U$5=1,$P62=$C$10,OR($P62=$C$9,AND($R62="是",$Q62&lt;=MAX($B$9,$Q$6)))))</f>
        <v/>
      </c>
      <c r="AC62">
        <f>AND($P62&lt;&gt;"",IF($U$5=2,$P62=$C$10,OR($P62=$C$9,AND($R62="是",$Q62&lt;=MAX($B$9,$Q$7)))))</f>
        <v/>
      </c>
      <c r="AD62">
        <f>AND($P62&lt;&gt;"",IF($U$5=3,$P62=$C$10,OR($P62=$C$9,AND($R62="是",$Q62&lt;=MAX($B$9,$Q$8)))))</f>
        <v/>
      </c>
      <c r="AE62">
        <f>IF(AB62,COUNTIF(AB$13:AB62,TRUE),"")</f>
        <v/>
      </c>
      <c r="AF62">
        <f>IF(AC62,COUNTIF(AC$13:AC62,TRUE),"")</f>
        <v/>
      </c>
      <c r="AG62">
        <f>IF(AD62,COUNTIF(AD$13:AD62,TRUE),"")</f>
        <v/>
      </c>
      <c r="AI62">
        <f>IFERROR(INDEX($P$13:$P$162,MATCH(50,$AE$13:$AE$162,0)),"")</f>
        <v/>
      </c>
      <c r="AJ62">
        <f>IFERROR(INDEX(S$13:S$162,MATCH(50,$AE$13:$AE$162,0)),0)*$T$6</f>
        <v/>
      </c>
      <c r="AK62">
        <f>IFERROR(INDEX(T$13:T$162,MATCH(50,$AE$13:$AE$162,0)),0)*$T$6</f>
        <v/>
      </c>
      <c r="AL62">
        <f>IFERROR(INDEX(U$13:U$162,MATCH(50,$AE$13:$AE$162,0)),0)*$T$6</f>
        <v/>
      </c>
      <c r="AM62">
        <f>IFERROR(INDEX(V$13:V$162,MATCH(50,$AE$13:$AE$162,0)),0)*$T$6</f>
        <v/>
      </c>
      <c r="AN62">
        <f>IFERROR(INDEX(W$13:W$162,MATCH(50,$AE$13:$AE$162,0)),0)*$T$6</f>
        <v/>
      </c>
      <c r="AO62">
        <f>IFERROR(INDEX(X$13:X$162,MATCH(50,$AE$13:$AE$162,0)),0)*$T$6</f>
        <v/>
      </c>
      <c r="AP62">
        <f>IFERROR(INDEX(Y$13:Y$162,MATCH(50,$AE$13:$AE$162,0)),0)*$T$6</f>
        <v/>
      </c>
      <c r="AQ62">
        <f>IFERROR(INDEX(Z$13:Z$162,MATCH(50,$AE$13:$AE$162,0)),0)*$T$6</f>
        <v/>
      </c>
      <c r="AR62">
        <f>IFERROR(INDEX(AA$13:AA$162,MATCH(50,$AE$13:$AE$162,0)),0)*$T$6</f>
        <v/>
      </c>
      <c r="AS62">
        <f>IFERROR(INDEX($P$13:$P$162,MATCH(50,$AF$13:$AF$162,0)),"")</f>
        <v/>
      </c>
      <c r="AT62">
        <f>IFERROR(INDEX(S$13:S$162,MATCH(50,$AF$13:$AF$162,0)),0)*$T$7</f>
        <v/>
      </c>
      <c r="AU62">
        <f>IFERROR(INDEX(T$13:T$162,MATCH(50,$AF$13:$AF$162,0)),0)*$T$7</f>
        <v/>
      </c>
      <c r="AV62">
        <f>IFERROR(INDEX(U$13:U$162,MATCH(50,$AF$13:$AF$162,0)),0)*$T$7</f>
        <v/>
      </c>
      <c r="AW62">
        <f>IFERROR(INDEX(V$13:V$162,MATCH(50,$AF$13:$AF$162,0)),0)*$T$7</f>
        <v/>
      </c>
      <c r="AX62">
        <f>IFERROR(INDEX(W$13:W$162,MATCH(50,$AF$13:$AF$162,0)),0)*$T$7</f>
        <v/>
      </c>
      <c r="AY62">
        <f>IFERROR(INDEX(X$13:X$162,MATCH(50,$AF$13:$AF$162,0)),0)*$T$7</f>
        <v/>
      </c>
      <c r="AZ62">
        <f>IFERROR(INDEX(Y$13:Y$162,MATCH(50,$AF$13:$AF$162,0)),0)*$T$7</f>
        <v/>
      </c>
      <c r="BA62">
        <f>IFERROR(INDEX(Z$13:Z$162,MATCH(50,$AF$13:$AF$162,0)),0)*$T$7</f>
        <v/>
      </c>
      <c r="BB62">
        <f>IFERROR(INDEX(AA$13:AA$162,MATCH(50,$AF$13:$AF$162,0)),0)*$T$7</f>
        <v/>
      </c>
      <c r="BC62">
        <f>IFERROR(INDEX($P$13:$P$162,MATCH(50,$AG$13:$AG$162,0)),"")</f>
        <v/>
      </c>
      <c r="BD62">
        <f>IFERROR(INDEX(S$13:S$162,MATCH(50,$AG$13:$AG$162,0)),0)*($T$8+IF($C$10="",$T$9,0))</f>
        <v/>
      </c>
      <c r="BE62">
        <f>IFERROR(INDEX(T$13:T$162,MATCH(50,$AG$13:$AG$162,0)),0)*($T$8+IF($C$10="",$T$9,0))</f>
        <v/>
      </c>
      <c r="BF62">
        <f>IFERROR(INDEX(U$13:U$162,MATCH(50,$AG$13:$AG$162,0)),0)*($T$8+IF($C$10="",$T$9,0))</f>
        <v/>
      </c>
      <c r="BG62">
        <f>IFERROR(INDEX(V$13:V$162,MATCH(50,$AG$13:$AG$162,0)),0)*($T$8+IF($C$10="",$T$9,0))</f>
        <v/>
      </c>
      <c r="BH62">
        <f>IFERROR(INDEX(W$13:W$162,MATCH(50,$AG$13:$AG$162,0)),0)*($T$8+IF($C$10="",$T$9,0))</f>
        <v/>
      </c>
      <c r="BI62">
        <f>IFERROR(INDEX(X$13:X$162,MATCH(50,$AG$13:$AG$162,0)),0)*($T$8+IF($C$10="",$T$9,0))</f>
        <v/>
      </c>
      <c r="BJ62">
        <f>IFERROR(INDEX(Y$13:Y$162,MATCH(50,$AG$13:$AG$162,0)),0)*($T$8+IF($C$10="",$T$9,0))</f>
        <v/>
      </c>
      <c r="BK62">
        <f>IFERROR(INDEX(Z$13:Z$162,MATCH(50,$AG$13:$AG$162,0)),0)*($T$8+IF($C$10="",$T$9,0))</f>
        <v/>
      </c>
      <c r="BL62">
        <f>IFERROR(INDEX(AA$13:AA$162,MATCH(50,$AG$13:$AG$162,0)),0)*($T$8+IF($C$10="",$T$9,0))</f>
        <v/>
      </c>
      <c r="BN62">
        <f>IF(49&lt;$U$9,INT(49/($U$7*$U$8))+1,1)</f>
        <v/>
      </c>
      <c r="BO62">
        <f>IF(49&lt;$U$9,MOD(INT(49/$U$8),$U$7)+1,1)</f>
        <v/>
      </c>
      <c r="BP62">
        <f>IF(49&lt;$U$9,MOD(49,$U$8)+1,1)</f>
        <v/>
      </c>
      <c r="BQ62">
        <f>IF(49&lt;$U$9,SUMPRODUCT(($D$10:$L$10&lt;&gt;"")*(($D$9:$L$9+INT(($S$12:$AA$12+INDEX($AJ$13:$AR$162,BN62,0)+INDEX($AT$13:$BB$162,BO62,0)+INDEX($BD$13:$BL$162,BP62,0))/100))&gt;=$D$10:$L$10)),0)</f>
        <v/>
      </c>
      <c r="BR62">
        <f>IF(49&lt;$U$9,SUMPRODUCT(($D$10:$L$10&lt;&gt;"")*(($D$10:$L$10-($D$9:$L$9+INT(($S$12:$AA$12+INDEX($AJ$13:$AR$162,BN62,0)+INDEX($AT$13:$BB$162,BO62,0)+INDEX($BD$13:$BL$162,BP62,0))/100)))&gt;0)*($D$10:$L$10-($D$9:$L$9+INT(($S$12:$AA$12+INDEX($AJ$13:$AR$162,BN62,0)+INDEX($AT$13:$BB$162,BO62,0)+INDEX($BD$13:$BL$162,BP62,0))/100)))),0)</f>
        <v/>
      </c>
      <c r="BS62">
        <f>IF(49&lt;$U$9,SUMPRODUCT(($D$9:$L$9+INT(($S$12:$AA$12+INDEX($AJ$13:$AR$162,BN62,0)+INDEX($AT$13:$BB$162,BO62,0)+INDEX($BD$13:$BL$162,BP62,0))/100))),0)</f>
        <v/>
      </c>
      <c r="BT62">
        <f>IF(AND(49&lt;$U$9,$W$5),BQ62*1000000-MIN(BR62,999)*1000+BS62-49/100000,-1000000000-49)</f>
        <v/>
      </c>
      <c r="CF62">
        <f>IF($A62="","",IFERROR(MATCH($C62,'职业'!$C$3:$C$152,0),0))</f>
        <v/>
      </c>
      <c r="CG62">
        <f>IF($A62="","",CG61+MAX(0,D$7+IF($CF61=0,0,IFERROR(INDEX('职业'!F$3:F$152,$CF61)+0,0))))</f>
        <v/>
      </c>
      <c r="CH62">
        <f>IF($A62="","",CH61+MAX(0,E$7+IF($CF61=0,0,IFERROR(INDEX('职业'!G$3:G$152,$CF61)+0,0))))</f>
        <v/>
      </c>
      <c r="CI62">
        <f>IF($A62="","",CI61+MAX(0,F$7+IF($CF61=0,0,IFERROR(INDEX('职业'!H$3:H$152,$CF61)+0,0))))</f>
        <v/>
      </c>
      <c r="CJ62">
        <f>IF($A62="","",CJ61+MAX(0,G$7+IF($CF61=0,0,IFERROR(INDEX('职业'!I$3:I$152,$CF61)+0,0))))</f>
        <v/>
      </c>
      <c r="CK62">
        <f>IF($A62="","",CK61+MAX(0,H$7+IF($CF61=0,0,IFERROR(INDEX('职业'!J$3:J$152,$CF61)+0,0))))</f>
        <v/>
      </c>
      <c r="CL62">
        <f>IF($A62="","",CL61+MAX(0,I$7+IF($CF61=0,0,IFERROR(INDEX('职业'!K$3:K$152,$CF61)+0,0))))</f>
        <v/>
      </c>
      <c r="CM62">
        <f>IF($A62="","",CM61+MAX(0,J$7+IF($CF61=0,0,IFERROR(INDEX('职业'!L$3:L$152,$CF61)+0,0))))</f>
        <v/>
      </c>
      <c r="CN62">
        <f>IF($A62="","",CN61+MAX(0,K$7+IF($CF61=0,0,IFERROR(INDEX('职业'!M$3:M$152,$CF61)+0,0))))</f>
        <v/>
      </c>
      <c r="CO62">
        <f>IF($A62="","",CO61+MAX(0,L$7+IF($CF61=0,0,IFERROR(INDEX('职业'!N$3:N$152,$CF61)+0,0))))</f>
        <v/>
      </c>
    </row>
    <row r="63">
      <c r="A63" s="15">
        <f>IF(OR($B$9="",$B$10=""),"",IF($B$9+11&lt;=$B$10,$B$9+11,""))</f>
        <v/>
      </c>
      <c r="B63" s="15">
        <f>IF($A63="","",MATCH($A63,$BV$27:$BV$32,1))</f>
        <v/>
      </c>
      <c r="C63" s="15">
        <f>IF($A63="","",INDEX($BW$27:$BW$32,$B63))</f>
        <v/>
      </c>
      <c r="D63" s="15">
        <f>IF($A63="","",D$9+INT(($B$14+CG63)/100))</f>
        <v/>
      </c>
      <c r="E63" s="15">
        <f>IF($A63="","",E$9+INT(($B$14+CH63)/100))</f>
        <v/>
      </c>
      <c r="F63" s="15">
        <f>IF($A63="","",F$9+INT(($B$14+CI63)/100))</f>
        <v/>
      </c>
      <c r="G63" s="15">
        <f>IF($A63="","",G$9+INT(($B$14+CJ63)/100))</f>
        <v/>
      </c>
      <c r="H63" s="15">
        <f>IF($A63="","",H$9+INT(($B$14+CK63)/100))</f>
        <v/>
      </c>
      <c r="I63" s="15">
        <f>IF($A63="","",I$9+INT(($B$14+CL63)/100))</f>
        <v/>
      </c>
      <c r="J63" s="15">
        <f>IF($A63="","",J$9+INT(($B$14+CM63)/100))</f>
        <v/>
      </c>
      <c r="K63" s="15">
        <f>IF($A63="","",K$9+INT(($B$14+CN63)/100))</f>
        <v/>
      </c>
      <c r="L63" s="15">
        <f>IF($A63="","",L$9+INT(($B$14+CO63)/100))</f>
        <v/>
      </c>
      <c r="M63" s="16">
        <f>IF($A63="","",IF($C63&lt;&gt;$C62,"★ 转职 → 【"&amp;$C63&amp;"】","")&amp;IF($A63=$B$10,"（目标等级）",""))</f>
        <v/>
      </c>
      <c r="P63">
        <f>IF('职业'!$C53="","",'职业'!$C53)</f>
        <v/>
      </c>
      <c r="Q63">
        <f>N('职业'!$D53)</f>
        <v/>
      </c>
      <c r="R63">
        <f>'职业'!$E53&amp;""</f>
        <v/>
      </c>
      <c r="S63">
        <f>IF($P63="",0,MAX(0,D$7+N('职业'!F53)))</f>
        <v/>
      </c>
      <c r="T63">
        <f>IF($P63="",0,MAX(0,E$7+N('职业'!G53)))</f>
        <v/>
      </c>
      <c r="U63">
        <f>IF($P63="",0,MAX(0,F$7+N('职业'!H53)))</f>
        <v/>
      </c>
      <c r="V63">
        <f>IF($P63="",0,MAX(0,G$7+N('职业'!I53)))</f>
        <v/>
      </c>
      <c r="W63">
        <f>IF($P63="",0,MAX(0,H$7+N('职业'!J53)))</f>
        <v/>
      </c>
      <c r="X63">
        <f>IF($P63="",0,MAX(0,I$7+N('职业'!K53)))</f>
        <v/>
      </c>
      <c r="Y63">
        <f>IF($P63="",0,MAX(0,J$7+N('职业'!L53)))</f>
        <v/>
      </c>
      <c r="Z63">
        <f>IF($P63="",0,MAX(0,K$7+N('职业'!M53)))</f>
        <v/>
      </c>
      <c r="AA63">
        <f>IF($P63="",0,MAX(0,L$7+N('职业'!N53)))</f>
        <v/>
      </c>
      <c r="AB63">
        <f>AND($P63&lt;&gt;"",IF($U$5=1,$P63=$C$10,OR($P63=$C$9,AND($R63="是",$Q63&lt;=MAX($B$9,$Q$6)))))</f>
        <v/>
      </c>
      <c r="AC63">
        <f>AND($P63&lt;&gt;"",IF($U$5=2,$P63=$C$10,OR($P63=$C$9,AND($R63="是",$Q63&lt;=MAX($B$9,$Q$7)))))</f>
        <v/>
      </c>
      <c r="AD63">
        <f>AND($P63&lt;&gt;"",IF($U$5=3,$P63=$C$10,OR($P63=$C$9,AND($R63="是",$Q63&lt;=MAX($B$9,$Q$8)))))</f>
        <v/>
      </c>
      <c r="AE63">
        <f>IF(AB63,COUNTIF(AB$13:AB63,TRUE),"")</f>
        <v/>
      </c>
      <c r="AF63">
        <f>IF(AC63,COUNTIF(AC$13:AC63,TRUE),"")</f>
        <v/>
      </c>
      <c r="AG63">
        <f>IF(AD63,COUNTIF(AD$13:AD63,TRUE),"")</f>
        <v/>
      </c>
      <c r="AI63">
        <f>IFERROR(INDEX($P$13:$P$162,MATCH(51,$AE$13:$AE$162,0)),"")</f>
        <v/>
      </c>
      <c r="AJ63">
        <f>IFERROR(INDEX(S$13:S$162,MATCH(51,$AE$13:$AE$162,0)),0)*$T$6</f>
        <v/>
      </c>
      <c r="AK63">
        <f>IFERROR(INDEX(T$13:T$162,MATCH(51,$AE$13:$AE$162,0)),0)*$T$6</f>
        <v/>
      </c>
      <c r="AL63">
        <f>IFERROR(INDEX(U$13:U$162,MATCH(51,$AE$13:$AE$162,0)),0)*$T$6</f>
        <v/>
      </c>
      <c r="AM63">
        <f>IFERROR(INDEX(V$13:V$162,MATCH(51,$AE$13:$AE$162,0)),0)*$T$6</f>
        <v/>
      </c>
      <c r="AN63">
        <f>IFERROR(INDEX(W$13:W$162,MATCH(51,$AE$13:$AE$162,0)),0)*$T$6</f>
        <v/>
      </c>
      <c r="AO63">
        <f>IFERROR(INDEX(X$13:X$162,MATCH(51,$AE$13:$AE$162,0)),0)*$T$6</f>
        <v/>
      </c>
      <c r="AP63">
        <f>IFERROR(INDEX(Y$13:Y$162,MATCH(51,$AE$13:$AE$162,0)),0)*$T$6</f>
        <v/>
      </c>
      <c r="AQ63">
        <f>IFERROR(INDEX(Z$13:Z$162,MATCH(51,$AE$13:$AE$162,0)),0)*$T$6</f>
        <v/>
      </c>
      <c r="AR63">
        <f>IFERROR(INDEX(AA$13:AA$162,MATCH(51,$AE$13:$AE$162,0)),0)*$T$6</f>
        <v/>
      </c>
      <c r="AS63">
        <f>IFERROR(INDEX($P$13:$P$162,MATCH(51,$AF$13:$AF$162,0)),"")</f>
        <v/>
      </c>
      <c r="AT63">
        <f>IFERROR(INDEX(S$13:S$162,MATCH(51,$AF$13:$AF$162,0)),0)*$T$7</f>
        <v/>
      </c>
      <c r="AU63">
        <f>IFERROR(INDEX(T$13:T$162,MATCH(51,$AF$13:$AF$162,0)),0)*$T$7</f>
        <v/>
      </c>
      <c r="AV63">
        <f>IFERROR(INDEX(U$13:U$162,MATCH(51,$AF$13:$AF$162,0)),0)*$T$7</f>
        <v/>
      </c>
      <c r="AW63">
        <f>IFERROR(INDEX(V$13:V$162,MATCH(51,$AF$13:$AF$162,0)),0)*$T$7</f>
        <v/>
      </c>
      <c r="AX63">
        <f>IFERROR(INDEX(W$13:W$162,MATCH(51,$AF$13:$AF$162,0)),0)*$T$7</f>
        <v/>
      </c>
      <c r="AY63">
        <f>IFERROR(INDEX(X$13:X$162,MATCH(51,$AF$13:$AF$162,0)),0)*$T$7</f>
        <v/>
      </c>
      <c r="AZ63">
        <f>IFERROR(INDEX(Y$13:Y$162,MATCH(51,$AF$13:$AF$162,0)),0)*$T$7</f>
        <v/>
      </c>
      <c r="BA63">
        <f>IFERROR(INDEX(Z$13:Z$162,MATCH(51,$AF$13:$AF$162,0)),0)*$T$7</f>
        <v/>
      </c>
      <c r="BB63">
        <f>IFERROR(INDEX(AA$13:AA$162,MATCH(51,$AF$13:$AF$162,0)),0)*$T$7</f>
        <v/>
      </c>
      <c r="BC63">
        <f>IFERROR(INDEX($P$13:$P$162,MATCH(51,$AG$13:$AG$162,0)),"")</f>
        <v/>
      </c>
      <c r="BD63">
        <f>IFERROR(INDEX(S$13:S$162,MATCH(51,$AG$13:$AG$162,0)),0)*($T$8+IF($C$10="",$T$9,0))</f>
        <v/>
      </c>
      <c r="BE63">
        <f>IFERROR(INDEX(T$13:T$162,MATCH(51,$AG$13:$AG$162,0)),0)*($T$8+IF($C$10="",$T$9,0))</f>
        <v/>
      </c>
      <c r="BF63">
        <f>IFERROR(INDEX(U$13:U$162,MATCH(51,$AG$13:$AG$162,0)),0)*($T$8+IF($C$10="",$T$9,0))</f>
        <v/>
      </c>
      <c r="BG63">
        <f>IFERROR(INDEX(V$13:V$162,MATCH(51,$AG$13:$AG$162,0)),0)*($T$8+IF($C$10="",$T$9,0))</f>
        <v/>
      </c>
      <c r="BH63">
        <f>IFERROR(INDEX(W$13:W$162,MATCH(51,$AG$13:$AG$162,0)),0)*($T$8+IF($C$10="",$T$9,0))</f>
        <v/>
      </c>
      <c r="BI63">
        <f>IFERROR(INDEX(X$13:X$162,MATCH(51,$AG$13:$AG$162,0)),0)*($T$8+IF($C$10="",$T$9,0))</f>
        <v/>
      </c>
      <c r="BJ63">
        <f>IFERROR(INDEX(Y$13:Y$162,MATCH(51,$AG$13:$AG$162,0)),0)*($T$8+IF($C$10="",$T$9,0))</f>
        <v/>
      </c>
      <c r="BK63">
        <f>IFERROR(INDEX(Z$13:Z$162,MATCH(51,$AG$13:$AG$162,0)),0)*($T$8+IF($C$10="",$T$9,0))</f>
        <v/>
      </c>
      <c r="BL63">
        <f>IFERROR(INDEX(AA$13:AA$162,MATCH(51,$AG$13:$AG$162,0)),0)*($T$8+IF($C$10="",$T$9,0))</f>
        <v/>
      </c>
      <c r="BN63">
        <f>IF(50&lt;$U$9,INT(50/($U$7*$U$8))+1,1)</f>
        <v/>
      </c>
      <c r="BO63">
        <f>IF(50&lt;$U$9,MOD(INT(50/$U$8),$U$7)+1,1)</f>
        <v/>
      </c>
      <c r="BP63">
        <f>IF(50&lt;$U$9,MOD(50,$U$8)+1,1)</f>
        <v/>
      </c>
      <c r="BQ63">
        <f>IF(50&lt;$U$9,SUMPRODUCT(($D$10:$L$10&lt;&gt;"")*(($D$9:$L$9+INT(($S$12:$AA$12+INDEX($AJ$13:$AR$162,BN63,0)+INDEX($AT$13:$BB$162,BO63,0)+INDEX($BD$13:$BL$162,BP63,0))/100))&gt;=$D$10:$L$10)),0)</f>
        <v/>
      </c>
      <c r="BR63">
        <f>IF(50&lt;$U$9,SUMPRODUCT(($D$10:$L$10&lt;&gt;"")*(($D$10:$L$10-($D$9:$L$9+INT(($S$12:$AA$12+INDEX($AJ$13:$AR$162,BN63,0)+INDEX($AT$13:$BB$162,BO63,0)+INDEX($BD$13:$BL$162,BP63,0))/100)))&gt;0)*($D$10:$L$10-($D$9:$L$9+INT(($S$12:$AA$12+INDEX($AJ$13:$AR$162,BN63,0)+INDEX($AT$13:$BB$162,BO63,0)+INDEX($BD$13:$BL$162,BP63,0))/100)))),0)</f>
        <v/>
      </c>
      <c r="BS63">
        <f>IF(50&lt;$U$9,SUMPRODUCT(($D$9:$L$9+INT(($S$12:$AA$12+INDEX($AJ$13:$AR$162,BN63,0)+INDEX($AT$13:$BB$162,BO63,0)+INDEX($BD$13:$BL$162,BP63,0))/100))),0)</f>
        <v/>
      </c>
      <c r="BT63">
        <f>IF(AND(50&lt;$U$9,$W$5),BQ63*1000000-MIN(BR63,999)*1000+BS63-50/100000,-1000000000-50)</f>
        <v/>
      </c>
      <c r="CF63">
        <f>IF($A63="","",IFERROR(MATCH($C63,'职业'!$C$3:$C$152,0),0))</f>
        <v/>
      </c>
      <c r="CG63">
        <f>IF($A63="","",CG62+MAX(0,D$7+IF($CF62=0,0,IFERROR(INDEX('职业'!F$3:F$152,$CF62)+0,0))))</f>
        <v/>
      </c>
      <c r="CH63">
        <f>IF($A63="","",CH62+MAX(0,E$7+IF($CF62=0,0,IFERROR(INDEX('职业'!G$3:G$152,$CF62)+0,0))))</f>
        <v/>
      </c>
      <c r="CI63">
        <f>IF($A63="","",CI62+MAX(0,F$7+IF($CF62=0,0,IFERROR(INDEX('职业'!H$3:H$152,$CF62)+0,0))))</f>
        <v/>
      </c>
      <c r="CJ63">
        <f>IF($A63="","",CJ62+MAX(0,G$7+IF($CF62=0,0,IFERROR(INDEX('职业'!I$3:I$152,$CF62)+0,0))))</f>
        <v/>
      </c>
      <c r="CK63">
        <f>IF($A63="","",CK62+MAX(0,H$7+IF($CF62=0,0,IFERROR(INDEX('职业'!J$3:J$152,$CF62)+0,0))))</f>
        <v/>
      </c>
      <c r="CL63">
        <f>IF($A63="","",CL62+MAX(0,I$7+IF($CF62=0,0,IFERROR(INDEX('职业'!K$3:K$152,$CF62)+0,0))))</f>
        <v/>
      </c>
      <c r="CM63">
        <f>IF($A63="","",CM62+MAX(0,J$7+IF($CF62=0,0,IFERROR(INDEX('职业'!L$3:L$152,$CF62)+0,0))))</f>
        <v/>
      </c>
      <c r="CN63">
        <f>IF($A63="","",CN62+MAX(0,K$7+IF($CF62=0,0,IFERROR(INDEX('职业'!M$3:M$152,$CF62)+0,0))))</f>
        <v/>
      </c>
      <c r="CO63">
        <f>IF($A63="","",CO62+MAX(0,L$7+IF($CF62=0,0,IFERROR(INDEX('职业'!N$3:N$152,$CF62)+0,0))))</f>
        <v/>
      </c>
    </row>
    <row r="64">
      <c r="A64" s="15">
        <f>IF(OR($B$9="",$B$10=""),"",IF($B$9+12&lt;=$B$10,$B$9+12,""))</f>
        <v/>
      </c>
      <c r="B64" s="15">
        <f>IF($A64="","",MATCH($A64,$BV$27:$BV$32,1))</f>
        <v/>
      </c>
      <c r="C64" s="15">
        <f>IF($A64="","",INDEX($BW$27:$BW$32,$B64))</f>
        <v/>
      </c>
      <c r="D64" s="15">
        <f>IF($A64="","",D$9+INT(($B$14+CG64)/100))</f>
        <v/>
      </c>
      <c r="E64" s="15">
        <f>IF($A64="","",E$9+INT(($B$14+CH64)/100))</f>
        <v/>
      </c>
      <c r="F64" s="15">
        <f>IF($A64="","",F$9+INT(($B$14+CI64)/100))</f>
        <v/>
      </c>
      <c r="G64" s="15">
        <f>IF($A64="","",G$9+INT(($B$14+CJ64)/100))</f>
        <v/>
      </c>
      <c r="H64" s="15">
        <f>IF($A64="","",H$9+INT(($B$14+CK64)/100))</f>
        <v/>
      </c>
      <c r="I64" s="15">
        <f>IF($A64="","",I$9+INT(($B$14+CL64)/100))</f>
        <v/>
      </c>
      <c r="J64" s="15">
        <f>IF($A64="","",J$9+INT(($B$14+CM64)/100))</f>
        <v/>
      </c>
      <c r="K64" s="15">
        <f>IF($A64="","",K$9+INT(($B$14+CN64)/100))</f>
        <v/>
      </c>
      <c r="L64" s="15">
        <f>IF($A64="","",L$9+INT(($B$14+CO64)/100))</f>
        <v/>
      </c>
      <c r="M64" s="16">
        <f>IF($A64="","",IF($C64&lt;&gt;$C63,"★ 转职 → 【"&amp;$C64&amp;"】","")&amp;IF($A64=$B$10,"（目标等级）",""))</f>
        <v/>
      </c>
      <c r="P64">
        <f>IF('职业'!$C54="","",'职业'!$C54)</f>
        <v/>
      </c>
      <c r="Q64">
        <f>N('职业'!$D54)</f>
        <v/>
      </c>
      <c r="R64">
        <f>'职业'!$E54&amp;""</f>
        <v/>
      </c>
      <c r="S64">
        <f>IF($P64="",0,MAX(0,D$7+N('职业'!F54)))</f>
        <v/>
      </c>
      <c r="T64">
        <f>IF($P64="",0,MAX(0,E$7+N('职业'!G54)))</f>
        <v/>
      </c>
      <c r="U64">
        <f>IF($P64="",0,MAX(0,F$7+N('职业'!H54)))</f>
        <v/>
      </c>
      <c r="V64">
        <f>IF($P64="",0,MAX(0,G$7+N('职业'!I54)))</f>
        <v/>
      </c>
      <c r="W64">
        <f>IF($P64="",0,MAX(0,H$7+N('职业'!J54)))</f>
        <v/>
      </c>
      <c r="X64">
        <f>IF($P64="",0,MAX(0,I$7+N('职业'!K54)))</f>
        <v/>
      </c>
      <c r="Y64">
        <f>IF($P64="",0,MAX(0,J$7+N('职业'!L54)))</f>
        <v/>
      </c>
      <c r="Z64">
        <f>IF($P64="",0,MAX(0,K$7+N('职业'!M54)))</f>
        <v/>
      </c>
      <c r="AA64">
        <f>IF($P64="",0,MAX(0,L$7+N('职业'!N54)))</f>
        <v/>
      </c>
      <c r="AB64">
        <f>AND($P64&lt;&gt;"",IF($U$5=1,$P64=$C$10,OR($P64=$C$9,AND($R64="是",$Q64&lt;=MAX($B$9,$Q$6)))))</f>
        <v/>
      </c>
      <c r="AC64">
        <f>AND($P64&lt;&gt;"",IF($U$5=2,$P64=$C$10,OR($P64=$C$9,AND($R64="是",$Q64&lt;=MAX($B$9,$Q$7)))))</f>
        <v/>
      </c>
      <c r="AD64">
        <f>AND($P64&lt;&gt;"",IF($U$5=3,$P64=$C$10,OR($P64=$C$9,AND($R64="是",$Q64&lt;=MAX($B$9,$Q$8)))))</f>
        <v/>
      </c>
      <c r="AE64">
        <f>IF(AB64,COUNTIF(AB$13:AB64,TRUE),"")</f>
        <v/>
      </c>
      <c r="AF64">
        <f>IF(AC64,COUNTIF(AC$13:AC64,TRUE),"")</f>
        <v/>
      </c>
      <c r="AG64">
        <f>IF(AD64,COUNTIF(AD$13:AD64,TRUE),"")</f>
        <v/>
      </c>
      <c r="AI64">
        <f>IFERROR(INDEX($P$13:$P$162,MATCH(52,$AE$13:$AE$162,0)),"")</f>
        <v/>
      </c>
      <c r="AJ64">
        <f>IFERROR(INDEX(S$13:S$162,MATCH(52,$AE$13:$AE$162,0)),0)*$T$6</f>
        <v/>
      </c>
      <c r="AK64">
        <f>IFERROR(INDEX(T$13:T$162,MATCH(52,$AE$13:$AE$162,0)),0)*$T$6</f>
        <v/>
      </c>
      <c r="AL64">
        <f>IFERROR(INDEX(U$13:U$162,MATCH(52,$AE$13:$AE$162,0)),0)*$T$6</f>
        <v/>
      </c>
      <c r="AM64">
        <f>IFERROR(INDEX(V$13:V$162,MATCH(52,$AE$13:$AE$162,0)),0)*$T$6</f>
        <v/>
      </c>
      <c r="AN64">
        <f>IFERROR(INDEX(W$13:W$162,MATCH(52,$AE$13:$AE$162,0)),0)*$T$6</f>
        <v/>
      </c>
      <c r="AO64">
        <f>IFERROR(INDEX(X$13:X$162,MATCH(52,$AE$13:$AE$162,0)),0)*$T$6</f>
        <v/>
      </c>
      <c r="AP64">
        <f>IFERROR(INDEX(Y$13:Y$162,MATCH(52,$AE$13:$AE$162,0)),0)*$T$6</f>
        <v/>
      </c>
      <c r="AQ64">
        <f>IFERROR(INDEX(Z$13:Z$162,MATCH(52,$AE$13:$AE$162,0)),0)*$T$6</f>
        <v/>
      </c>
      <c r="AR64">
        <f>IFERROR(INDEX(AA$13:AA$162,MATCH(52,$AE$13:$AE$162,0)),0)*$T$6</f>
        <v/>
      </c>
      <c r="AS64">
        <f>IFERROR(INDEX($P$13:$P$162,MATCH(52,$AF$13:$AF$162,0)),"")</f>
        <v/>
      </c>
      <c r="AT64">
        <f>IFERROR(INDEX(S$13:S$162,MATCH(52,$AF$13:$AF$162,0)),0)*$T$7</f>
        <v/>
      </c>
      <c r="AU64">
        <f>IFERROR(INDEX(T$13:T$162,MATCH(52,$AF$13:$AF$162,0)),0)*$T$7</f>
        <v/>
      </c>
      <c r="AV64">
        <f>IFERROR(INDEX(U$13:U$162,MATCH(52,$AF$13:$AF$162,0)),0)*$T$7</f>
        <v/>
      </c>
      <c r="AW64">
        <f>IFERROR(INDEX(V$13:V$162,MATCH(52,$AF$13:$AF$162,0)),0)*$T$7</f>
        <v/>
      </c>
      <c r="AX64">
        <f>IFERROR(INDEX(W$13:W$162,MATCH(52,$AF$13:$AF$162,0)),0)*$T$7</f>
        <v/>
      </c>
      <c r="AY64">
        <f>IFERROR(INDEX(X$13:X$162,MATCH(52,$AF$13:$AF$162,0)),0)*$T$7</f>
        <v/>
      </c>
      <c r="AZ64">
        <f>IFERROR(INDEX(Y$13:Y$162,MATCH(52,$AF$13:$AF$162,0)),0)*$T$7</f>
        <v/>
      </c>
      <c r="BA64">
        <f>IFERROR(INDEX(Z$13:Z$162,MATCH(52,$AF$13:$AF$162,0)),0)*$T$7</f>
        <v/>
      </c>
      <c r="BB64">
        <f>IFERROR(INDEX(AA$13:AA$162,MATCH(52,$AF$13:$AF$162,0)),0)*$T$7</f>
        <v/>
      </c>
      <c r="BC64">
        <f>IFERROR(INDEX($P$13:$P$162,MATCH(52,$AG$13:$AG$162,0)),"")</f>
        <v/>
      </c>
      <c r="BD64">
        <f>IFERROR(INDEX(S$13:S$162,MATCH(52,$AG$13:$AG$162,0)),0)*($T$8+IF($C$10="",$T$9,0))</f>
        <v/>
      </c>
      <c r="BE64">
        <f>IFERROR(INDEX(T$13:T$162,MATCH(52,$AG$13:$AG$162,0)),0)*($T$8+IF($C$10="",$T$9,0))</f>
        <v/>
      </c>
      <c r="BF64">
        <f>IFERROR(INDEX(U$13:U$162,MATCH(52,$AG$13:$AG$162,0)),0)*($T$8+IF($C$10="",$T$9,0))</f>
        <v/>
      </c>
      <c r="BG64">
        <f>IFERROR(INDEX(V$13:V$162,MATCH(52,$AG$13:$AG$162,0)),0)*($T$8+IF($C$10="",$T$9,0))</f>
        <v/>
      </c>
      <c r="BH64">
        <f>IFERROR(INDEX(W$13:W$162,MATCH(52,$AG$13:$AG$162,0)),0)*($T$8+IF($C$10="",$T$9,0))</f>
        <v/>
      </c>
      <c r="BI64">
        <f>IFERROR(INDEX(X$13:X$162,MATCH(52,$AG$13:$AG$162,0)),0)*($T$8+IF($C$10="",$T$9,0))</f>
        <v/>
      </c>
      <c r="BJ64">
        <f>IFERROR(INDEX(Y$13:Y$162,MATCH(52,$AG$13:$AG$162,0)),0)*($T$8+IF($C$10="",$T$9,0))</f>
        <v/>
      </c>
      <c r="BK64">
        <f>IFERROR(INDEX(Z$13:Z$162,MATCH(52,$AG$13:$AG$162,0)),0)*($T$8+IF($C$10="",$T$9,0))</f>
        <v/>
      </c>
      <c r="BL64">
        <f>IFERROR(INDEX(AA$13:AA$162,MATCH(52,$AG$13:$AG$162,0)),0)*($T$8+IF($C$10="",$T$9,0))</f>
        <v/>
      </c>
      <c r="BN64">
        <f>IF(51&lt;$U$9,INT(51/($U$7*$U$8))+1,1)</f>
        <v/>
      </c>
      <c r="BO64">
        <f>IF(51&lt;$U$9,MOD(INT(51/$U$8),$U$7)+1,1)</f>
        <v/>
      </c>
      <c r="BP64">
        <f>IF(51&lt;$U$9,MOD(51,$U$8)+1,1)</f>
        <v/>
      </c>
      <c r="BQ64">
        <f>IF(51&lt;$U$9,SUMPRODUCT(($D$10:$L$10&lt;&gt;"")*(($D$9:$L$9+INT(($S$12:$AA$12+INDEX($AJ$13:$AR$162,BN64,0)+INDEX($AT$13:$BB$162,BO64,0)+INDEX($BD$13:$BL$162,BP64,0))/100))&gt;=$D$10:$L$10)),0)</f>
        <v/>
      </c>
      <c r="BR64">
        <f>IF(51&lt;$U$9,SUMPRODUCT(($D$10:$L$10&lt;&gt;"")*(($D$10:$L$10-($D$9:$L$9+INT(($S$12:$AA$12+INDEX($AJ$13:$AR$162,BN64,0)+INDEX($AT$13:$BB$162,BO64,0)+INDEX($BD$13:$BL$162,BP64,0))/100)))&gt;0)*($D$10:$L$10-($D$9:$L$9+INT(($S$12:$AA$12+INDEX($AJ$13:$AR$162,BN64,0)+INDEX($AT$13:$BB$162,BO64,0)+INDEX($BD$13:$BL$162,BP64,0))/100)))),0)</f>
        <v/>
      </c>
      <c r="BS64">
        <f>IF(51&lt;$U$9,SUMPRODUCT(($D$9:$L$9+INT(($S$12:$AA$12+INDEX($AJ$13:$AR$162,BN64,0)+INDEX($AT$13:$BB$162,BO64,0)+INDEX($BD$13:$BL$162,BP64,0))/100))),0)</f>
        <v/>
      </c>
      <c r="BT64">
        <f>IF(AND(51&lt;$U$9,$W$5),BQ64*1000000-MIN(BR64,999)*1000+BS64-51/100000,-1000000000-51)</f>
        <v/>
      </c>
      <c r="CF64">
        <f>IF($A64="","",IFERROR(MATCH($C64,'职业'!$C$3:$C$152,0),0))</f>
        <v/>
      </c>
      <c r="CG64">
        <f>IF($A64="","",CG63+MAX(0,D$7+IF($CF63=0,0,IFERROR(INDEX('职业'!F$3:F$152,$CF63)+0,0))))</f>
        <v/>
      </c>
      <c r="CH64">
        <f>IF($A64="","",CH63+MAX(0,E$7+IF($CF63=0,0,IFERROR(INDEX('职业'!G$3:G$152,$CF63)+0,0))))</f>
        <v/>
      </c>
      <c r="CI64">
        <f>IF($A64="","",CI63+MAX(0,F$7+IF($CF63=0,0,IFERROR(INDEX('职业'!H$3:H$152,$CF63)+0,0))))</f>
        <v/>
      </c>
      <c r="CJ64">
        <f>IF($A64="","",CJ63+MAX(0,G$7+IF($CF63=0,0,IFERROR(INDEX('职业'!I$3:I$152,$CF63)+0,0))))</f>
        <v/>
      </c>
      <c r="CK64">
        <f>IF($A64="","",CK63+MAX(0,H$7+IF($CF63=0,0,IFERROR(INDEX('职业'!J$3:J$152,$CF63)+0,0))))</f>
        <v/>
      </c>
      <c r="CL64">
        <f>IF($A64="","",CL63+MAX(0,I$7+IF($CF63=0,0,IFERROR(INDEX('职业'!K$3:K$152,$CF63)+0,0))))</f>
        <v/>
      </c>
      <c r="CM64">
        <f>IF($A64="","",CM63+MAX(0,J$7+IF($CF63=0,0,IFERROR(INDEX('职业'!L$3:L$152,$CF63)+0,0))))</f>
        <v/>
      </c>
      <c r="CN64">
        <f>IF($A64="","",CN63+MAX(0,K$7+IF($CF63=0,0,IFERROR(INDEX('职业'!M$3:M$152,$CF63)+0,0))))</f>
        <v/>
      </c>
      <c r="CO64">
        <f>IF($A64="","",CO63+MAX(0,L$7+IF($CF63=0,0,IFERROR(INDEX('职业'!N$3:N$152,$CF63)+0,0))))</f>
        <v/>
      </c>
    </row>
    <row r="65">
      <c r="A65" s="15">
        <f>IF(OR($B$9="",$B$10=""),"",IF($B$9+13&lt;=$B$10,$B$9+13,""))</f>
        <v/>
      </c>
      <c r="B65" s="15">
        <f>IF($A65="","",MATCH($A65,$BV$27:$BV$32,1))</f>
        <v/>
      </c>
      <c r="C65" s="15">
        <f>IF($A65="","",INDEX($BW$27:$BW$32,$B65))</f>
        <v/>
      </c>
      <c r="D65" s="15">
        <f>IF($A65="","",D$9+INT(($B$14+CG65)/100))</f>
        <v/>
      </c>
      <c r="E65" s="15">
        <f>IF($A65="","",E$9+INT(($B$14+CH65)/100))</f>
        <v/>
      </c>
      <c r="F65" s="15">
        <f>IF($A65="","",F$9+INT(($B$14+CI65)/100))</f>
        <v/>
      </c>
      <c r="G65" s="15">
        <f>IF($A65="","",G$9+INT(($B$14+CJ65)/100))</f>
        <v/>
      </c>
      <c r="H65" s="15">
        <f>IF($A65="","",H$9+INT(($B$14+CK65)/100))</f>
        <v/>
      </c>
      <c r="I65" s="15">
        <f>IF($A65="","",I$9+INT(($B$14+CL65)/100))</f>
        <v/>
      </c>
      <c r="J65" s="15">
        <f>IF($A65="","",J$9+INT(($B$14+CM65)/100))</f>
        <v/>
      </c>
      <c r="K65" s="15">
        <f>IF($A65="","",K$9+INT(($B$14+CN65)/100))</f>
        <v/>
      </c>
      <c r="L65" s="15">
        <f>IF($A65="","",L$9+INT(($B$14+CO65)/100))</f>
        <v/>
      </c>
      <c r="M65" s="16">
        <f>IF($A65="","",IF($C65&lt;&gt;$C64,"★ 转职 → 【"&amp;$C65&amp;"】","")&amp;IF($A65=$B$10,"（目标等级）",""))</f>
        <v/>
      </c>
      <c r="P65">
        <f>IF('职业'!$C55="","",'职业'!$C55)</f>
        <v/>
      </c>
      <c r="Q65">
        <f>N('职业'!$D55)</f>
        <v/>
      </c>
      <c r="R65">
        <f>'职业'!$E55&amp;""</f>
        <v/>
      </c>
      <c r="S65">
        <f>IF($P65="",0,MAX(0,D$7+N('职业'!F55)))</f>
        <v/>
      </c>
      <c r="T65">
        <f>IF($P65="",0,MAX(0,E$7+N('职业'!G55)))</f>
        <v/>
      </c>
      <c r="U65">
        <f>IF($P65="",0,MAX(0,F$7+N('职业'!H55)))</f>
        <v/>
      </c>
      <c r="V65">
        <f>IF($P65="",0,MAX(0,G$7+N('职业'!I55)))</f>
        <v/>
      </c>
      <c r="W65">
        <f>IF($P65="",0,MAX(0,H$7+N('职业'!J55)))</f>
        <v/>
      </c>
      <c r="X65">
        <f>IF($P65="",0,MAX(0,I$7+N('职业'!K55)))</f>
        <v/>
      </c>
      <c r="Y65">
        <f>IF($P65="",0,MAX(0,J$7+N('职业'!L55)))</f>
        <v/>
      </c>
      <c r="Z65">
        <f>IF($P65="",0,MAX(0,K$7+N('职业'!M55)))</f>
        <v/>
      </c>
      <c r="AA65">
        <f>IF($P65="",0,MAX(0,L$7+N('职业'!N55)))</f>
        <v/>
      </c>
      <c r="AB65">
        <f>AND($P65&lt;&gt;"",IF($U$5=1,$P65=$C$10,OR($P65=$C$9,AND($R65="是",$Q65&lt;=MAX($B$9,$Q$6)))))</f>
        <v/>
      </c>
      <c r="AC65">
        <f>AND($P65&lt;&gt;"",IF($U$5=2,$P65=$C$10,OR($P65=$C$9,AND($R65="是",$Q65&lt;=MAX($B$9,$Q$7)))))</f>
        <v/>
      </c>
      <c r="AD65">
        <f>AND($P65&lt;&gt;"",IF($U$5=3,$P65=$C$10,OR($P65=$C$9,AND($R65="是",$Q65&lt;=MAX($B$9,$Q$8)))))</f>
        <v/>
      </c>
      <c r="AE65">
        <f>IF(AB65,COUNTIF(AB$13:AB65,TRUE),"")</f>
        <v/>
      </c>
      <c r="AF65">
        <f>IF(AC65,COUNTIF(AC$13:AC65,TRUE),"")</f>
        <v/>
      </c>
      <c r="AG65">
        <f>IF(AD65,COUNTIF(AD$13:AD65,TRUE),"")</f>
        <v/>
      </c>
      <c r="AI65">
        <f>IFERROR(INDEX($P$13:$P$162,MATCH(53,$AE$13:$AE$162,0)),"")</f>
        <v/>
      </c>
      <c r="AJ65">
        <f>IFERROR(INDEX(S$13:S$162,MATCH(53,$AE$13:$AE$162,0)),0)*$T$6</f>
        <v/>
      </c>
      <c r="AK65">
        <f>IFERROR(INDEX(T$13:T$162,MATCH(53,$AE$13:$AE$162,0)),0)*$T$6</f>
        <v/>
      </c>
      <c r="AL65">
        <f>IFERROR(INDEX(U$13:U$162,MATCH(53,$AE$13:$AE$162,0)),0)*$T$6</f>
        <v/>
      </c>
      <c r="AM65">
        <f>IFERROR(INDEX(V$13:V$162,MATCH(53,$AE$13:$AE$162,0)),0)*$T$6</f>
        <v/>
      </c>
      <c r="AN65">
        <f>IFERROR(INDEX(W$13:W$162,MATCH(53,$AE$13:$AE$162,0)),0)*$T$6</f>
        <v/>
      </c>
      <c r="AO65">
        <f>IFERROR(INDEX(X$13:X$162,MATCH(53,$AE$13:$AE$162,0)),0)*$T$6</f>
        <v/>
      </c>
      <c r="AP65">
        <f>IFERROR(INDEX(Y$13:Y$162,MATCH(53,$AE$13:$AE$162,0)),0)*$T$6</f>
        <v/>
      </c>
      <c r="AQ65">
        <f>IFERROR(INDEX(Z$13:Z$162,MATCH(53,$AE$13:$AE$162,0)),0)*$T$6</f>
        <v/>
      </c>
      <c r="AR65">
        <f>IFERROR(INDEX(AA$13:AA$162,MATCH(53,$AE$13:$AE$162,0)),0)*$T$6</f>
        <v/>
      </c>
      <c r="AS65">
        <f>IFERROR(INDEX($P$13:$P$162,MATCH(53,$AF$13:$AF$162,0)),"")</f>
        <v/>
      </c>
      <c r="AT65">
        <f>IFERROR(INDEX(S$13:S$162,MATCH(53,$AF$13:$AF$162,0)),0)*$T$7</f>
        <v/>
      </c>
      <c r="AU65">
        <f>IFERROR(INDEX(T$13:T$162,MATCH(53,$AF$13:$AF$162,0)),0)*$T$7</f>
        <v/>
      </c>
      <c r="AV65">
        <f>IFERROR(INDEX(U$13:U$162,MATCH(53,$AF$13:$AF$162,0)),0)*$T$7</f>
        <v/>
      </c>
      <c r="AW65">
        <f>IFERROR(INDEX(V$13:V$162,MATCH(53,$AF$13:$AF$162,0)),0)*$T$7</f>
        <v/>
      </c>
      <c r="AX65">
        <f>IFERROR(INDEX(W$13:W$162,MATCH(53,$AF$13:$AF$162,0)),0)*$T$7</f>
        <v/>
      </c>
      <c r="AY65">
        <f>IFERROR(INDEX(X$13:X$162,MATCH(53,$AF$13:$AF$162,0)),0)*$T$7</f>
        <v/>
      </c>
      <c r="AZ65">
        <f>IFERROR(INDEX(Y$13:Y$162,MATCH(53,$AF$13:$AF$162,0)),0)*$T$7</f>
        <v/>
      </c>
      <c r="BA65">
        <f>IFERROR(INDEX(Z$13:Z$162,MATCH(53,$AF$13:$AF$162,0)),0)*$T$7</f>
        <v/>
      </c>
      <c r="BB65">
        <f>IFERROR(INDEX(AA$13:AA$162,MATCH(53,$AF$13:$AF$162,0)),0)*$T$7</f>
        <v/>
      </c>
      <c r="BC65">
        <f>IFERROR(INDEX($P$13:$P$162,MATCH(53,$AG$13:$AG$162,0)),"")</f>
        <v/>
      </c>
      <c r="BD65">
        <f>IFERROR(INDEX(S$13:S$162,MATCH(53,$AG$13:$AG$162,0)),0)*($T$8+IF($C$10="",$T$9,0))</f>
        <v/>
      </c>
      <c r="BE65">
        <f>IFERROR(INDEX(T$13:T$162,MATCH(53,$AG$13:$AG$162,0)),0)*($T$8+IF($C$10="",$T$9,0))</f>
        <v/>
      </c>
      <c r="BF65">
        <f>IFERROR(INDEX(U$13:U$162,MATCH(53,$AG$13:$AG$162,0)),0)*($T$8+IF($C$10="",$T$9,0))</f>
        <v/>
      </c>
      <c r="BG65">
        <f>IFERROR(INDEX(V$13:V$162,MATCH(53,$AG$13:$AG$162,0)),0)*($T$8+IF($C$10="",$T$9,0))</f>
        <v/>
      </c>
      <c r="BH65">
        <f>IFERROR(INDEX(W$13:W$162,MATCH(53,$AG$13:$AG$162,0)),0)*($T$8+IF($C$10="",$T$9,0))</f>
        <v/>
      </c>
      <c r="BI65">
        <f>IFERROR(INDEX(X$13:X$162,MATCH(53,$AG$13:$AG$162,0)),0)*($T$8+IF($C$10="",$T$9,0))</f>
        <v/>
      </c>
      <c r="BJ65">
        <f>IFERROR(INDEX(Y$13:Y$162,MATCH(53,$AG$13:$AG$162,0)),0)*($T$8+IF($C$10="",$T$9,0))</f>
        <v/>
      </c>
      <c r="BK65">
        <f>IFERROR(INDEX(Z$13:Z$162,MATCH(53,$AG$13:$AG$162,0)),0)*($T$8+IF($C$10="",$T$9,0))</f>
        <v/>
      </c>
      <c r="BL65">
        <f>IFERROR(INDEX(AA$13:AA$162,MATCH(53,$AG$13:$AG$162,0)),0)*($T$8+IF($C$10="",$T$9,0))</f>
        <v/>
      </c>
      <c r="BN65">
        <f>IF(52&lt;$U$9,INT(52/($U$7*$U$8))+1,1)</f>
        <v/>
      </c>
      <c r="BO65">
        <f>IF(52&lt;$U$9,MOD(INT(52/$U$8),$U$7)+1,1)</f>
        <v/>
      </c>
      <c r="BP65">
        <f>IF(52&lt;$U$9,MOD(52,$U$8)+1,1)</f>
        <v/>
      </c>
      <c r="BQ65">
        <f>IF(52&lt;$U$9,SUMPRODUCT(($D$10:$L$10&lt;&gt;"")*(($D$9:$L$9+INT(($S$12:$AA$12+INDEX($AJ$13:$AR$162,BN65,0)+INDEX($AT$13:$BB$162,BO65,0)+INDEX($BD$13:$BL$162,BP65,0))/100))&gt;=$D$10:$L$10)),0)</f>
        <v/>
      </c>
      <c r="BR65">
        <f>IF(52&lt;$U$9,SUMPRODUCT(($D$10:$L$10&lt;&gt;"")*(($D$10:$L$10-($D$9:$L$9+INT(($S$12:$AA$12+INDEX($AJ$13:$AR$162,BN65,0)+INDEX($AT$13:$BB$162,BO65,0)+INDEX($BD$13:$BL$162,BP65,0))/100)))&gt;0)*($D$10:$L$10-($D$9:$L$9+INT(($S$12:$AA$12+INDEX($AJ$13:$AR$162,BN65,0)+INDEX($AT$13:$BB$162,BO65,0)+INDEX($BD$13:$BL$162,BP65,0))/100)))),0)</f>
        <v/>
      </c>
      <c r="BS65">
        <f>IF(52&lt;$U$9,SUMPRODUCT(($D$9:$L$9+INT(($S$12:$AA$12+INDEX($AJ$13:$AR$162,BN65,0)+INDEX($AT$13:$BB$162,BO65,0)+INDEX($BD$13:$BL$162,BP65,0))/100))),0)</f>
        <v/>
      </c>
      <c r="BT65">
        <f>IF(AND(52&lt;$U$9,$W$5),BQ65*1000000-MIN(BR65,999)*1000+BS65-52/100000,-1000000000-52)</f>
        <v/>
      </c>
      <c r="CF65">
        <f>IF($A65="","",IFERROR(MATCH($C65,'职业'!$C$3:$C$152,0),0))</f>
        <v/>
      </c>
      <c r="CG65">
        <f>IF($A65="","",CG64+MAX(0,D$7+IF($CF64=0,0,IFERROR(INDEX('职业'!F$3:F$152,$CF64)+0,0))))</f>
        <v/>
      </c>
      <c r="CH65">
        <f>IF($A65="","",CH64+MAX(0,E$7+IF($CF64=0,0,IFERROR(INDEX('职业'!G$3:G$152,$CF64)+0,0))))</f>
        <v/>
      </c>
      <c r="CI65">
        <f>IF($A65="","",CI64+MAX(0,F$7+IF($CF64=0,0,IFERROR(INDEX('职业'!H$3:H$152,$CF64)+0,0))))</f>
        <v/>
      </c>
      <c r="CJ65">
        <f>IF($A65="","",CJ64+MAX(0,G$7+IF($CF64=0,0,IFERROR(INDEX('职业'!I$3:I$152,$CF64)+0,0))))</f>
        <v/>
      </c>
      <c r="CK65">
        <f>IF($A65="","",CK64+MAX(0,H$7+IF($CF64=0,0,IFERROR(INDEX('职业'!J$3:J$152,$CF64)+0,0))))</f>
        <v/>
      </c>
      <c r="CL65">
        <f>IF($A65="","",CL64+MAX(0,I$7+IF($CF64=0,0,IFERROR(INDEX('职业'!K$3:K$152,$CF64)+0,0))))</f>
        <v/>
      </c>
      <c r="CM65">
        <f>IF($A65="","",CM64+MAX(0,J$7+IF($CF64=0,0,IFERROR(INDEX('职业'!L$3:L$152,$CF64)+0,0))))</f>
        <v/>
      </c>
      <c r="CN65">
        <f>IF($A65="","",CN64+MAX(0,K$7+IF($CF64=0,0,IFERROR(INDEX('职业'!M$3:M$152,$CF64)+0,0))))</f>
        <v/>
      </c>
      <c r="CO65">
        <f>IF($A65="","",CO64+MAX(0,L$7+IF($CF64=0,0,IFERROR(INDEX('职业'!N$3:N$152,$CF64)+0,0))))</f>
        <v/>
      </c>
    </row>
    <row r="66">
      <c r="A66" s="15">
        <f>IF(OR($B$9="",$B$10=""),"",IF($B$9+14&lt;=$B$10,$B$9+14,""))</f>
        <v/>
      </c>
      <c r="B66" s="15">
        <f>IF($A66="","",MATCH($A66,$BV$27:$BV$32,1))</f>
        <v/>
      </c>
      <c r="C66" s="15">
        <f>IF($A66="","",INDEX($BW$27:$BW$32,$B66))</f>
        <v/>
      </c>
      <c r="D66" s="15">
        <f>IF($A66="","",D$9+INT(($B$14+CG66)/100))</f>
        <v/>
      </c>
      <c r="E66" s="15">
        <f>IF($A66="","",E$9+INT(($B$14+CH66)/100))</f>
        <v/>
      </c>
      <c r="F66" s="15">
        <f>IF($A66="","",F$9+INT(($B$14+CI66)/100))</f>
        <v/>
      </c>
      <c r="G66" s="15">
        <f>IF($A66="","",G$9+INT(($B$14+CJ66)/100))</f>
        <v/>
      </c>
      <c r="H66" s="15">
        <f>IF($A66="","",H$9+INT(($B$14+CK66)/100))</f>
        <v/>
      </c>
      <c r="I66" s="15">
        <f>IF($A66="","",I$9+INT(($B$14+CL66)/100))</f>
        <v/>
      </c>
      <c r="J66" s="15">
        <f>IF($A66="","",J$9+INT(($B$14+CM66)/100))</f>
        <v/>
      </c>
      <c r="K66" s="15">
        <f>IF($A66="","",K$9+INT(($B$14+CN66)/100))</f>
        <v/>
      </c>
      <c r="L66" s="15">
        <f>IF($A66="","",L$9+INT(($B$14+CO66)/100))</f>
        <v/>
      </c>
      <c r="M66" s="16">
        <f>IF($A66="","",IF($C66&lt;&gt;$C65,"★ 转职 → 【"&amp;$C66&amp;"】","")&amp;IF($A66=$B$10,"（目标等级）",""))</f>
        <v/>
      </c>
      <c r="P66">
        <f>IF('职业'!$C56="","",'职业'!$C56)</f>
        <v/>
      </c>
      <c r="Q66">
        <f>N('职业'!$D56)</f>
        <v/>
      </c>
      <c r="R66">
        <f>'职业'!$E56&amp;""</f>
        <v/>
      </c>
      <c r="S66">
        <f>IF($P66="",0,MAX(0,D$7+N('职业'!F56)))</f>
        <v/>
      </c>
      <c r="T66">
        <f>IF($P66="",0,MAX(0,E$7+N('职业'!G56)))</f>
        <v/>
      </c>
      <c r="U66">
        <f>IF($P66="",0,MAX(0,F$7+N('职业'!H56)))</f>
        <v/>
      </c>
      <c r="V66">
        <f>IF($P66="",0,MAX(0,G$7+N('职业'!I56)))</f>
        <v/>
      </c>
      <c r="W66">
        <f>IF($P66="",0,MAX(0,H$7+N('职业'!J56)))</f>
        <v/>
      </c>
      <c r="X66">
        <f>IF($P66="",0,MAX(0,I$7+N('职业'!K56)))</f>
        <v/>
      </c>
      <c r="Y66">
        <f>IF($P66="",0,MAX(0,J$7+N('职业'!L56)))</f>
        <v/>
      </c>
      <c r="Z66">
        <f>IF($P66="",0,MAX(0,K$7+N('职业'!M56)))</f>
        <v/>
      </c>
      <c r="AA66">
        <f>IF($P66="",0,MAX(0,L$7+N('职业'!N56)))</f>
        <v/>
      </c>
      <c r="AB66">
        <f>AND($P66&lt;&gt;"",IF($U$5=1,$P66=$C$10,OR($P66=$C$9,AND($R66="是",$Q66&lt;=MAX($B$9,$Q$6)))))</f>
        <v/>
      </c>
      <c r="AC66">
        <f>AND($P66&lt;&gt;"",IF($U$5=2,$P66=$C$10,OR($P66=$C$9,AND($R66="是",$Q66&lt;=MAX($B$9,$Q$7)))))</f>
        <v/>
      </c>
      <c r="AD66">
        <f>AND($P66&lt;&gt;"",IF($U$5=3,$P66=$C$10,OR($P66=$C$9,AND($R66="是",$Q66&lt;=MAX($B$9,$Q$8)))))</f>
        <v/>
      </c>
      <c r="AE66">
        <f>IF(AB66,COUNTIF(AB$13:AB66,TRUE),"")</f>
        <v/>
      </c>
      <c r="AF66">
        <f>IF(AC66,COUNTIF(AC$13:AC66,TRUE),"")</f>
        <v/>
      </c>
      <c r="AG66">
        <f>IF(AD66,COUNTIF(AD$13:AD66,TRUE),"")</f>
        <v/>
      </c>
      <c r="AI66">
        <f>IFERROR(INDEX($P$13:$P$162,MATCH(54,$AE$13:$AE$162,0)),"")</f>
        <v/>
      </c>
      <c r="AJ66">
        <f>IFERROR(INDEX(S$13:S$162,MATCH(54,$AE$13:$AE$162,0)),0)*$T$6</f>
        <v/>
      </c>
      <c r="AK66">
        <f>IFERROR(INDEX(T$13:T$162,MATCH(54,$AE$13:$AE$162,0)),0)*$T$6</f>
        <v/>
      </c>
      <c r="AL66">
        <f>IFERROR(INDEX(U$13:U$162,MATCH(54,$AE$13:$AE$162,0)),0)*$T$6</f>
        <v/>
      </c>
      <c r="AM66">
        <f>IFERROR(INDEX(V$13:V$162,MATCH(54,$AE$13:$AE$162,0)),0)*$T$6</f>
        <v/>
      </c>
      <c r="AN66">
        <f>IFERROR(INDEX(W$13:W$162,MATCH(54,$AE$13:$AE$162,0)),0)*$T$6</f>
        <v/>
      </c>
      <c r="AO66">
        <f>IFERROR(INDEX(X$13:X$162,MATCH(54,$AE$13:$AE$162,0)),0)*$T$6</f>
        <v/>
      </c>
      <c r="AP66">
        <f>IFERROR(INDEX(Y$13:Y$162,MATCH(54,$AE$13:$AE$162,0)),0)*$T$6</f>
        <v/>
      </c>
      <c r="AQ66">
        <f>IFERROR(INDEX(Z$13:Z$162,MATCH(54,$AE$13:$AE$162,0)),0)*$T$6</f>
        <v/>
      </c>
      <c r="AR66">
        <f>IFERROR(INDEX(AA$13:AA$162,MATCH(54,$AE$13:$AE$162,0)),0)*$T$6</f>
        <v/>
      </c>
      <c r="AS66">
        <f>IFERROR(INDEX($P$13:$P$162,MATCH(54,$AF$13:$AF$162,0)),"")</f>
        <v/>
      </c>
      <c r="AT66">
        <f>IFERROR(INDEX(S$13:S$162,MATCH(54,$AF$13:$AF$162,0)),0)*$T$7</f>
        <v/>
      </c>
      <c r="AU66">
        <f>IFERROR(INDEX(T$13:T$162,MATCH(54,$AF$13:$AF$162,0)),0)*$T$7</f>
        <v/>
      </c>
      <c r="AV66">
        <f>IFERROR(INDEX(U$13:U$162,MATCH(54,$AF$13:$AF$162,0)),0)*$T$7</f>
        <v/>
      </c>
      <c r="AW66">
        <f>IFERROR(INDEX(V$13:V$162,MATCH(54,$AF$13:$AF$162,0)),0)*$T$7</f>
        <v/>
      </c>
      <c r="AX66">
        <f>IFERROR(INDEX(W$13:W$162,MATCH(54,$AF$13:$AF$162,0)),0)*$T$7</f>
        <v/>
      </c>
      <c r="AY66">
        <f>IFERROR(INDEX(X$13:X$162,MATCH(54,$AF$13:$AF$162,0)),0)*$T$7</f>
        <v/>
      </c>
      <c r="AZ66">
        <f>IFERROR(INDEX(Y$13:Y$162,MATCH(54,$AF$13:$AF$162,0)),0)*$T$7</f>
        <v/>
      </c>
      <c r="BA66">
        <f>IFERROR(INDEX(Z$13:Z$162,MATCH(54,$AF$13:$AF$162,0)),0)*$T$7</f>
        <v/>
      </c>
      <c r="BB66">
        <f>IFERROR(INDEX(AA$13:AA$162,MATCH(54,$AF$13:$AF$162,0)),0)*$T$7</f>
        <v/>
      </c>
      <c r="BC66">
        <f>IFERROR(INDEX($P$13:$P$162,MATCH(54,$AG$13:$AG$162,0)),"")</f>
        <v/>
      </c>
      <c r="BD66">
        <f>IFERROR(INDEX(S$13:S$162,MATCH(54,$AG$13:$AG$162,0)),0)*($T$8+IF($C$10="",$T$9,0))</f>
        <v/>
      </c>
      <c r="BE66">
        <f>IFERROR(INDEX(T$13:T$162,MATCH(54,$AG$13:$AG$162,0)),0)*($T$8+IF($C$10="",$T$9,0))</f>
        <v/>
      </c>
      <c r="BF66">
        <f>IFERROR(INDEX(U$13:U$162,MATCH(54,$AG$13:$AG$162,0)),0)*($T$8+IF($C$10="",$T$9,0))</f>
        <v/>
      </c>
      <c r="BG66">
        <f>IFERROR(INDEX(V$13:V$162,MATCH(54,$AG$13:$AG$162,0)),0)*($T$8+IF($C$10="",$T$9,0))</f>
        <v/>
      </c>
      <c r="BH66">
        <f>IFERROR(INDEX(W$13:W$162,MATCH(54,$AG$13:$AG$162,0)),0)*($T$8+IF($C$10="",$T$9,0))</f>
        <v/>
      </c>
      <c r="BI66">
        <f>IFERROR(INDEX(X$13:X$162,MATCH(54,$AG$13:$AG$162,0)),0)*($T$8+IF($C$10="",$T$9,0))</f>
        <v/>
      </c>
      <c r="BJ66">
        <f>IFERROR(INDEX(Y$13:Y$162,MATCH(54,$AG$13:$AG$162,0)),0)*($T$8+IF($C$10="",$T$9,0))</f>
        <v/>
      </c>
      <c r="BK66">
        <f>IFERROR(INDEX(Z$13:Z$162,MATCH(54,$AG$13:$AG$162,0)),0)*($T$8+IF($C$10="",$T$9,0))</f>
        <v/>
      </c>
      <c r="BL66">
        <f>IFERROR(INDEX(AA$13:AA$162,MATCH(54,$AG$13:$AG$162,0)),0)*($T$8+IF($C$10="",$T$9,0))</f>
        <v/>
      </c>
      <c r="BN66">
        <f>IF(53&lt;$U$9,INT(53/($U$7*$U$8))+1,1)</f>
        <v/>
      </c>
      <c r="BO66">
        <f>IF(53&lt;$U$9,MOD(INT(53/$U$8),$U$7)+1,1)</f>
        <v/>
      </c>
      <c r="BP66">
        <f>IF(53&lt;$U$9,MOD(53,$U$8)+1,1)</f>
        <v/>
      </c>
      <c r="BQ66">
        <f>IF(53&lt;$U$9,SUMPRODUCT(($D$10:$L$10&lt;&gt;"")*(($D$9:$L$9+INT(($S$12:$AA$12+INDEX($AJ$13:$AR$162,BN66,0)+INDEX($AT$13:$BB$162,BO66,0)+INDEX($BD$13:$BL$162,BP66,0))/100))&gt;=$D$10:$L$10)),0)</f>
        <v/>
      </c>
      <c r="BR66">
        <f>IF(53&lt;$U$9,SUMPRODUCT(($D$10:$L$10&lt;&gt;"")*(($D$10:$L$10-($D$9:$L$9+INT(($S$12:$AA$12+INDEX($AJ$13:$AR$162,BN66,0)+INDEX($AT$13:$BB$162,BO66,0)+INDEX($BD$13:$BL$162,BP66,0))/100)))&gt;0)*($D$10:$L$10-($D$9:$L$9+INT(($S$12:$AA$12+INDEX($AJ$13:$AR$162,BN66,0)+INDEX($AT$13:$BB$162,BO66,0)+INDEX($BD$13:$BL$162,BP66,0))/100)))),0)</f>
        <v/>
      </c>
      <c r="BS66">
        <f>IF(53&lt;$U$9,SUMPRODUCT(($D$9:$L$9+INT(($S$12:$AA$12+INDEX($AJ$13:$AR$162,BN66,0)+INDEX($AT$13:$BB$162,BO66,0)+INDEX($BD$13:$BL$162,BP66,0))/100))),0)</f>
        <v/>
      </c>
      <c r="BT66">
        <f>IF(AND(53&lt;$U$9,$W$5),BQ66*1000000-MIN(BR66,999)*1000+BS66-53/100000,-1000000000-53)</f>
        <v/>
      </c>
      <c r="CF66">
        <f>IF($A66="","",IFERROR(MATCH($C66,'职业'!$C$3:$C$152,0),0))</f>
        <v/>
      </c>
      <c r="CG66">
        <f>IF($A66="","",CG65+MAX(0,D$7+IF($CF65=0,0,IFERROR(INDEX('职业'!F$3:F$152,$CF65)+0,0))))</f>
        <v/>
      </c>
      <c r="CH66">
        <f>IF($A66="","",CH65+MAX(0,E$7+IF($CF65=0,0,IFERROR(INDEX('职业'!G$3:G$152,$CF65)+0,0))))</f>
        <v/>
      </c>
      <c r="CI66">
        <f>IF($A66="","",CI65+MAX(0,F$7+IF($CF65=0,0,IFERROR(INDEX('职业'!H$3:H$152,$CF65)+0,0))))</f>
        <v/>
      </c>
      <c r="CJ66">
        <f>IF($A66="","",CJ65+MAX(0,G$7+IF($CF65=0,0,IFERROR(INDEX('职业'!I$3:I$152,$CF65)+0,0))))</f>
        <v/>
      </c>
      <c r="CK66">
        <f>IF($A66="","",CK65+MAX(0,H$7+IF($CF65=0,0,IFERROR(INDEX('职业'!J$3:J$152,$CF65)+0,0))))</f>
        <v/>
      </c>
      <c r="CL66">
        <f>IF($A66="","",CL65+MAX(0,I$7+IF($CF65=0,0,IFERROR(INDEX('职业'!K$3:K$152,$CF65)+0,0))))</f>
        <v/>
      </c>
      <c r="CM66">
        <f>IF($A66="","",CM65+MAX(0,J$7+IF($CF65=0,0,IFERROR(INDEX('职业'!L$3:L$152,$CF65)+0,0))))</f>
        <v/>
      </c>
      <c r="CN66">
        <f>IF($A66="","",CN65+MAX(0,K$7+IF($CF65=0,0,IFERROR(INDEX('职业'!M$3:M$152,$CF65)+0,0))))</f>
        <v/>
      </c>
      <c r="CO66">
        <f>IF($A66="","",CO65+MAX(0,L$7+IF($CF65=0,0,IFERROR(INDEX('职业'!N$3:N$152,$CF65)+0,0))))</f>
        <v/>
      </c>
    </row>
    <row r="67">
      <c r="A67" s="15">
        <f>IF(OR($B$9="",$B$10=""),"",IF($B$9+15&lt;=$B$10,$B$9+15,""))</f>
        <v/>
      </c>
      <c r="B67" s="15">
        <f>IF($A67="","",MATCH($A67,$BV$27:$BV$32,1))</f>
        <v/>
      </c>
      <c r="C67" s="15">
        <f>IF($A67="","",INDEX($BW$27:$BW$32,$B67))</f>
        <v/>
      </c>
      <c r="D67" s="15">
        <f>IF($A67="","",D$9+INT(($B$14+CG67)/100))</f>
        <v/>
      </c>
      <c r="E67" s="15">
        <f>IF($A67="","",E$9+INT(($B$14+CH67)/100))</f>
        <v/>
      </c>
      <c r="F67" s="15">
        <f>IF($A67="","",F$9+INT(($B$14+CI67)/100))</f>
        <v/>
      </c>
      <c r="G67" s="15">
        <f>IF($A67="","",G$9+INT(($B$14+CJ67)/100))</f>
        <v/>
      </c>
      <c r="H67" s="15">
        <f>IF($A67="","",H$9+INT(($B$14+CK67)/100))</f>
        <v/>
      </c>
      <c r="I67" s="15">
        <f>IF($A67="","",I$9+INT(($B$14+CL67)/100))</f>
        <v/>
      </c>
      <c r="J67" s="15">
        <f>IF($A67="","",J$9+INT(($B$14+CM67)/100))</f>
        <v/>
      </c>
      <c r="K67" s="15">
        <f>IF($A67="","",K$9+INT(($B$14+CN67)/100))</f>
        <v/>
      </c>
      <c r="L67" s="15">
        <f>IF($A67="","",L$9+INT(($B$14+CO67)/100))</f>
        <v/>
      </c>
      <c r="M67" s="16">
        <f>IF($A67="","",IF($C67&lt;&gt;$C66,"★ 转职 → 【"&amp;$C67&amp;"】","")&amp;IF($A67=$B$10,"（目标等级）",""))</f>
        <v/>
      </c>
      <c r="P67">
        <f>IF('职业'!$C57="","",'职业'!$C57)</f>
        <v/>
      </c>
      <c r="Q67">
        <f>N('职业'!$D57)</f>
        <v/>
      </c>
      <c r="R67">
        <f>'职业'!$E57&amp;""</f>
        <v/>
      </c>
      <c r="S67">
        <f>IF($P67="",0,MAX(0,D$7+N('职业'!F57)))</f>
        <v/>
      </c>
      <c r="T67">
        <f>IF($P67="",0,MAX(0,E$7+N('职业'!G57)))</f>
        <v/>
      </c>
      <c r="U67">
        <f>IF($P67="",0,MAX(0,F$7+N('职业'!H57)))</f>
        <v/>
      </c>
      <c r="V67">
        <f>IF($P67="",0,MAX(0,G$7+N('职业'!I57)))</f>
        <v/>
      </c>
      <c r="W67">
        <f>IF($P67="",0,MAX(0,H$7+N('职业'!J57)))</f>
        <v/>
      </c>
      <c r="X67">
        <f>IF($P67="",0,MAX(0,I$7+N('职业'!K57)))</f>
        <v/>
      </c>
      <c r="Y67">
        <f>IF($P67="",0,MAX(0,J$7+N('职业'!L57)))</f>
        <v/>
      </c>
      <c r="Z67">
        <f>IF($P67="",0,MAX(0,K$7+N('职业'!M57)))</f>
        <v/>
      </c>
      <c r="AA67">
        <f>IF($P67="",0,MAX(0,L$7+N('职业'!N57)))</f>
        <v/>
      </c>
      <c r="AB67">
        <f>AND($P67&lt;&gt;"",IF($U$5=1,$P67=$C$10,OR($P67=$C$9,AND($R67="是",$Q67&lt;=MAX($B$9,$Q$6)))))</f>
        <v/>
      </c>
      <c r="AC67">
        <f>AND($P67&lt;&gt;"",IF($U$5=2,$P67=$C$10,OR($P67=$C$9,AND($R67="是",$Q67&lt;=MAX($B$9,$Q$7)))))</f>
        <v/>
      </c>
      <c r="AD67">
        <f>AND($P67&lt;&gt;"",IF($U$5=3,$P67=$C$10,OR($P67=$C$9,AND($R67="是",$Q67&lt;=MAX($B$9,$Q$8)))))</f>
        <v/>
      </c>
      <c r="AE67">
        <f>IF(AB67,COUNTIF(AB$13:AB67,TRUE),"")</f>
        <v/>
      </c>
      <c r="AF67">
        <f>IF(AC67,COUNTIF(AC$13:AC67,TRUE),"")</f>
        <v/>
      </c>
      <c r="AG67">
        <f>IF(AD67,COUNTIF(AD$13:AD67,TRUE),"")</f>
        <v/>
      </c>
      <c r="AI67">
        <f>IFERROR(INDEX($P$13:$P$162,MATCH(55,$AE$13:$AE$162,0)),"")</f>
        <v/>
      </c>
      <c r="AJ67">
        <f>IFERROR(INDEX(S$13:S$162,MATCH(55,$AE$13:$AE$162,0)),0)*$T$6</f>
        <v/>
      </c>
      <c r="AK67">
        <f>IFERROR(INDEX(T$13:T$162,MATCH(55,$AE$13:$AE$162,0)),0)*$T$6</f>
        <v/>
      </c>
      <c r="AL67">
        <f>IFERROR(INDEX(U$13:U$162,MATCH(55,$AE$13:$AE$162,0)),0)*$T$6</f>
        <v/>
      </c>
      <c r="AM67">
        <f>IFERROR(INDEX(V$13:V$162,MATCH(55,$AE$13:$AE$162,0)),0)*$T$6</f>
        <v/>
      </c>
      <c r="AN67">
        <f>IFERROR(INDEX(W$13:W$162,MATCH(55,$AE$13:$AE$162,0)),0)*$T$6</f>
        <v/>
      </c>
      <c r="AO67">
        <f>IFERROR(INDEX(X$13:X$162,MATCH(55,$AE$13:$AE$162,0)),0)*$T$6</f>
        <v/>
      </c>
      <c r="AP67">
        <f>IFERROR(INDEX(Y$13:Y$162,MATCH(55,$AE$13:$AE$162,0)),0)*$T$6</f>
        <v/>
      </c>
      <c r="AQ67">
        <f>IFERROR(INDEX(Z$13:Z$162,MATCH(55,$AE$13:$AE$162,0)),0)*$T$6</f>
        <v/>
      </c>
      <c r="AR67">
        <f>IFERROR(INDEX(AA$13:AA$162,MATCH(55,$AE$13:$AE$162,0)),0)*$T$6</f>
        <v/>
      </c>
      <c r="AS67">
        <f>IFERROR(INDEX($P$13:$P$162,MATCH(55,$AF$13:$AF$162,0)),"")</f>
        <v/>
      </c>
      <c r="AT67">
        <f>IFERROR(INDEX(S$13:S$162,MATCH(55,$AF$13:$AF$162,0)),0)*$T$7</f>
        <v/>
      </c>
      <c r="AU67">
        <f>IFERROR(INDEX(T$13:T$162,MATCH(55,$AF$13:$AF$162,0)),0)*$T$7</f>
        <v/>
      </c>
      <c r="AV67">
        <f>IFERROR(INDEX(U$13:U$162,MATCH(55,$AF$13:$AF$162,0)),0)*$T$7</f>
        <v/>
      </c>
      <c r="AW67">
        <f>IFERROR(INDEX(V$13:V$162,MATCH(55,$AF$13:$AF$162,0)),0)*$T$7</f>
        <v/>
      </c>
      <c r="AX67">
        <f>IFERROR(INDEX(W$13:W$162,MATCH(55,$AF$13:$AF$162,0)),0)*$T$7</f>
        <v/>
      </c>
      <c r="AY67">
        <f>IFERROR(INDEX(X$13:X$162,MATCH(55,$AF$13:$AF$162,0)),0)*$T$7</f>
        <v/>
      </c>
      <c r="AZ67">
        <f>IFERROR(INDEX(Y$13:Y$162,MATCH(55,$AF$13:$AF$162,0)),0)*$T$7</f>
        <v/>
      </c>
      <c r="BA67">
        <f>IFERROR(INDEX(Z$13:Z$162,MATCH(55,$AF$13:$AF$162,0)),0)*$T$7</f>
        <v/>
      </c>
      <c r="BB67">
        <f>IFERROR(INDEX(AA$13:AA$162,MATCH(55,$AF$13:$AF$162,0)),0)*$T$7</f>
        <v/>
      </c>
      <c r="BC67">
        <f>IFERROR(INDEX($P$13:$P$162,MATCH(55,$AG$13:$AG$162,0)),"")</f>
        <v/>
      </c>
      <c r="BD67">
        <f>IFERROR(INDEX(S$13:S$162,MATCH(55,$AG$13:$AG$162,0)),0)*($T$8+IF($C$10="",$T$9,0))</f>
        <v/>
      </c>
      <c r="BE67">
        <f>IFERROR(INDEX(T$13:T$162,MATCH(55,$AG$13:$AG$162,0)),0)*($T$8+IF($C$10="",$T$9,0))</f>
        <v/>
      </c>
      <c r="BF67">
        <f>IFERROR(INDEX(U$13:U$162,MATCH(55,$AG$13:$AG$162,0)),0)*($T$8+IF($C$10="",$T$9,0))</f>
        <v/>
      </c>
      <c r="BG67">
        <f>IFERROR(INDEX(V$13:V$162,MATCH(55,$AG$13:$AG$162,0)),0)*($T$8+IF($C$10="",$T$9,0))</f>
        <v/>
      </c>
      <c r="BH67">
        <f>IFERROR(INDEX(W$13:W$162,MATCH(55,$AG$13:$AG$162,0)),0)*($T$8+IF($C$10="",$T$9,0))</f>
        <v/>
      </c>
      <c r="BI67">
        <f>IFERROR(INDEX(X$13:X$162,MATCH(55,$AG$13:$AG$162,0)),0)*($T$8+IF($C$10="",$T$9,0))</f>
        <v/>
      </c>
      <c r="BJ67">
        <f>IFERROR(INDEX(Y$13:Y$162,MATCH(55,$AG$13:$AG$162,0)),0)*($T$8+IF($C$10="",$T$9,0))</f>
        <v/>
      </c>
      <c r="BK67">
        <f>IFERROR(INDEX(Z$13:Z$162,MATCH(55,$AG$13:$AG$162,0)),0)*($T$8+IF($C$10="",$T$9,0))</f>
        <v/>
      </c>
      <c r="BL67">
        <f>IFERROR(INDEX(AA$13:AA$162,MATCH(55,$AG$13:$AG$162,0)),0)*($T$8+IF($C$10="",$T$9,0))</f>
        <v/>
      </c>
      <c r="BN67">
        <f>IF(54&lt;$U$9,INT(54/($U$7*$U$8))+1,1)</f>
        <v/>
      </c>
      <c r="BO67">
        <f>IF(54&lt;$U$9,MOD(INT(54/$U$8),$U$7)+1,1)</f>
        <v/>
      </c>
      <c r="BP67">
        <f>IF(54&lt;$U$9,MOD(54,$U$8)+1,1)</f>
        <v/>
      </c>
      <c r="BQ67">
        <f>IF(54&lt;$U$9,SUMPRODUCT(($D$10:$L$10&lt;&gt;"")*(($D$9:$L$9+INT(($S$12:$AA$12+INDEX($AJ$13:$AR$162,BN67,0)+INDEX($AT$13:$BB$162,BO67,0)+INDEX($BD$13:$BL$162,BP67,0))/100))&gt;=$D$10:$L$10)),0)</f>
        <v/>
      </c>
      <c r="BR67">
        <f>IF(54&lt;$U$9,SUMPRODUCT(($D$10:$L$10&lt;&gt;"")*(($D$10:$L$10-($D$9:$L$9+INT(($S$12:$AA$12+INDEX($AJ$13:$AR$162,BN67,0)+INDEX($AT$13:$BB$162,BO67,0)+INDEX($BD$13:$BL$162,BP67,0))/100)))&gt;0)*($D$10:$L$10-($D$9:$L$9+INT(($S$12:$AA$12+INDEX($AJ$13:$AR$162,BN67,0)+INDEX($AT$13:$BB$162,BO67,0)+INDEX($BD$13:$BL$162,BP67,0))/100)))),0)</f>
        <v/>
      </c>
      <c r="BS67">
        <f>IF(54&lt;$U$9,SUMPRODUCT(($D$9:$L$9+INT(($S$12:$AA$12+INDEX($AJ$13:$AR$162,BN67,0)+INDEX($AT$13:$BB$162,BO67,0)+INDEX($BD$13:$BL$162,BP67,0))/100))),0)</f>
        <v/>
      </c>
      <c r="BT67">
        <f>IF(AND(54&lt;$U$9,$W$5),BQ67*1000000-MIN(BR67,999)*1000+BS67-54/100000,-1000000000-54)</f>
        <v/>
      </c>
      <c r="CF67">
        <f>IF($A67="","",IFERROR(MATCH($C67,'职业'!$C$3:$C$152,0),0))</f>
        <v/>
      </c>
      <c r="CG67">
        <f>IF($A67="","",CG66+MAX(0,D$7+IF($CF66=0,0,IFERROR(INDEX('职业'!F$3:F$152,$CF66)+0,0))))</f>
        <v/>
      </c>
      <c r="CH67">
        <f>IF($A67="","",CH66+MAX(0,E$7+IF($CF66=0,0,IFERROR(INDEX('职业'!G$3:G$152,$CF66)+0,0))))</f>
        <v/>
      </c>
      <c r="CI67">
        <f>IF($A67="","",CI66+MAX(0,F$7+IF($CF66=0,0,IFERROR(INDEX('职业'!H$3:H$152,$CF66)+0,0))))</f>
        <v/>
      </c>
      <c r="CJ67">
        <f>IF($A67="","",CJ66+MAX(0,G$7+IF($CF66=0,0,IFERROR(INDEX('职业'!I$3:I$152,$CF66)+0,0))))</f>
        <v/>
      </c>
      <c r="CK67">
        <f>IF($A67="","",CK66+MAX(0,H$7+IF($CF66=0,0,IFERROR(INDEX('职业'!J$3:J$152,$CF66)+0,0))))</f>
        <v/>
      </c>
      <c r="CL67">
        <f>IF($A67="","",CL66+MAX(0,I$7+IF($CF66=0,0,IFERROR(INDEX('职业'!K$3:K$152,$CF66)+0,0))))</f>
        <v/>
      </c>
      <c r="CM67">
        <f>IF($A67="","",CM66+MAX(0,J$7+IF($CF66=0,0,IFERROR(INDEX('职业'!L$3:L$152,$CF66)+0,0))))</f>
        <v/>
      </c>
      <c r="CN67">
        <f>IF($A67="","",CN66+MAX(0,K$7+IF($CF66=0,0,IFERROR(INDEX('职业'!M$3:M$152,$CF66)+0,0))))</f>
        <v/>
      </c>
      <c r="CO67">
        <f>IF($A67="","",CO66+MAX(0,L$7+IF($CF66=0,0,IFERROR(INDEX('职业'!N$3:N$152,$CF66)+0,0))))</f>
        <v/>
      </c>
    </row>
    <row r="68">
      <c r="A68" s="15">
        <f>IF(OR($B$9="",$B$10=""),"",IF($B$9+16&lt;=$B$10,$B$9+16,""))</f>
        <v/>
      </c>
      <c r="B68" s="15">
        <f>IF($A68="","",MATCH($A68,$BV$27:$BV$32,1))</f>
        <v/>
      </c>
      <c r="C68" s="15">
        <f>IF($A68="","",INDEX($BW$27:$BW$32,$B68))</f>
        <v/>
      </c>
      <c r="D68" s="15">
        <f>IF($A68="","",D$9+INT(($B$14+CG68)/100))</f>
        <v/>
      </c>
      <c r="E68" s="15">
        <f>IF($A68="","",E$9+INT(($B$14+CH68)/100))</f>
        <v/>
      </c>
      <c r="F68" s="15">
        <f>IF($A68="","",F$9+INT(($B$14+CI68)/100))</f>
        <v/>
      </c>
      <c r="G68" s="15">
        <f>IF($A68="","",G$9+INT(($B$14+CJ68)/100))</f>
        <v/>
      </c>
      <c r="H68" s="15">
        <f>IF($A68="","",H$9+INT(($B$14+CK68)/100))</f>
        <v/>
      </c>
      <c r="I68" s="15">
        <f>IF($A68="","",I$9+INT(($B$14+CL68)/100))</f>
        <v/>
      </c>
      <c r="J68" s="15">
        <f>IF($A68="","",J$9+INT(($B$14+CM68)/100))</f>
        <v/>
      </c>
      <c r="K68" s="15">
        <f>IF($A68="","",K$9+INT(($B$14+CN68)/100))</f>
        <v/>
      </c>
      <c r="L68" s="15">
        <f>IF($A68="","",L$9+INT(($B$14+CO68)/100))</f>
        <v/>
      </c>
      <c r="M68" s="16">
        <f>IF($A68="","",IF($C68&lt;&gt;$C67,"★ 转职 → 【"&amp;$C68&amp;"】","")&amp;IF($A68=$B$10,"（目标等级）",""))</f>
        <v/>
      </c>
      <c r="P68">
        <f>IF('职业'!$C58="","",'职业'!$C58)</f>
        <v/>
      </c>
      <c r="Q68">
        <f>N('职业'!$D58)</f>
        <v/>
      </c>
      <c r="R68">
        <f>'职业'!$E58&amp;""</f>
        <v/>
      </c>
      <c r="S68">
        <f>IF($P68="",0,MAX(0,D$7+N('职业'!F58)))</f>
        <v/>
      </c>
      <c r="T68">
        <f>IF($P68="",0,MAX(0,E$7+N('职业'!G58)))</f>
        <v/>
      </c>
      <c r="U68">
        <f>IF($P68="",0,MAX(0,F$7+N('职业'!H58)))</f>
        <v/>
      </c>
      <c r="V68">
        <f>IF($P68="",0,MAX(0,G$7+N('职业'!I58)))</f>
        <v/>
      </c>
      <c r="W68">
        <f>IF($P68="",0,MAX(0,H$7+N('职业'!J58)))</f>
        <v/>
      </c>
      <c r="X68">
        <f>IF($P68="",0,MAX(0,I$7+N('职业'!K58)))</f>
        <v/>
      </c>
      <c r="Y68">
        <f>IF($P68="",0,MAX(0,J$7+N('职业'!L58)))</f>
        <v/>
      </c>
      <c r="Z68">
        <f>IF($P68="",0,MAX(0,K$7+N('职业'!M58)))</f>
        <v/>
      </c>
      <c r="AA68">
        <f>IF($P68="",0,MAX(0,L$7+N('职业'!N58)))</f>
        <v/>
      </c>
      <c r="AB68">
        <f>AND($P68&lt;&gt;"",IF($U$5=1,$P68=$C$10,OR($P68=$C$9,AND($R68="是",$Q68&lt;=MAX($B$9,$Q$6)))))</f>
        <v/>
      </c>
      <c r="AC68">
        <f>AND($P68&lt;&gt;"",IF($U$5=2,$P68=$C$10,OR($P68=$C$9,AND($R68="是",$Q68&lt;=MAX($B$9,$Q$7)))))</f>
        <v/>
      </c>
      <c r="AD68">
        <f>AND($P68&lt;&gt;"",IF($U$5=3,$P68=$C$10,OR($P68=$C$9,AND($R68="是",$Q68&lt;=MAX($B$9,$Q$8)))))</f>
        <v/>
      </c>
      <c r="AE68">
        <f>IF(AB68,COUNTIF(AB$13:AB68,TRUE),"")</f>
        <v/>
      </c>
      <c r="AF68">
        <f>IF(AC68,COUNTIF(AC$13:AC68,TRUE),"")</f>
        <v/>
      </c>
      <c r="AG68">
        <f>IF(AD68,COUNTIF(AD$13:AD68,TRUE),"")</f>
        <v/>
      </c>
      <c r="AI68">
        <f>IFERROR(INDEX($P$13:$P$162,MATCH(56,$AE$13:$AE$162,0)),"")</f>
        <v/>
      </c>
      <c r="AJ68">
        <f>IFERROR(INDEX(S$13:S$162,MATCH(56,$AE$13:$AE$162,0)),0)*$T$6</f>
        <v/>
      </c>
      <c r="AK68">
        <f>IFERROR(INDEX(T$13:T$162,MATCH(56,$AE$13:$AE$162,0)),0)*$T$6</f>
        <v/>
      </c>
      <c r="AL68">
        <f>IFERROR(INDEX(U$13:U$162,MATCH(56,$AE$13:$AE$162,0)),0)*$T$6</f>
        <v/>
      </c>
      <c r="AM68">
        <f>IFERROR(INDEX(V$13:V$162,MATCH(56,$AE$13:$AE$162,0)),0)*$T$6</f>
        <v/>
      </c>
      <c r="AN68">
        <f>IFERROR(INDEX(W$13:W$162,MATCH(56,$AE$13:$AE$162,0)),0)*$T$6</f>
        <v/>
      </c>
      <c r="AO68">
        <f>IFERROR(INDEX(X$13:X$162,MATCH(56,$AE$13:$AE$162,0)),0)*$T$6</f>
        <v/>
      </c>
      <c r="AP68">
        <f>IFERROR(INDEX(Y$13:Y$162,MATCH(56,$AE$13:$AE$162,0)),0)*$T$6</f>
        <v/>
      </c>
      <c r="AQ68">
        <f>IFERROR(INDEX(Z$13:Z$162,MATCH(56,$AE$13:$AE$162,0)),0)*$T$6</f>
        <v/>
      </c>
      <c r="AR68">
        <f>IFERROR(INDEX(AA$13:AA$162,MATCH(56,$AE$13:$AE$162,0)),0)*$T$6</f>
        <v/>
      </c>
      <c r="AS68">
        <f>IFERROR(INDEX($P$13:$P$162,MATCH(56,$AF$13:$AF$162,0)),"")</f>
        <v/>
      </c>
      <c r="AT68">
        <f>IFERROR(INDEX(S$13:S$162,MATCH(56,$AF$13:$AF$162,0)),0)*$T$7</f>
        <v/>
      </c>
      <c r="AU68">
        <f>IFERROR(INDEX(T$13:T$162,MATCH(56,$AF$13:$AF$162,0)),0)*$T$7</f>
        <v/>
      </c>
      <c r="AV68">
        <f>IFERROR(INDEX(U$13:U$162,MATCH(56,$AF$13:$AF$162,0)),0)*$T$7</f>
        <v/>
      </c>
      <c r="AW68">
        <f>IFERROR(INDEX(V$13:V$162,MATCH(56,$AF$13:$AF$162,0)),0)*$T$7</f>
        <v/>
      </c>
      <c r="AX68">
        <f>IFERROR(INDEX(W$13:W$162,MATCH(56,$AF$13:$AF$162,0)),0)*$T$7</f>
        <v/>
      </c>
      <c r="AY68">
        <f>IFERROR(INDEX(X$13:X$162,MATCH(56,$AF$13:$AF$162,0)),0)*$T$7</f>
        <v/>
      </c>
      <c r="AZ68">
        <f>IFERROR(INDEX(Y$13:Y$162,MATCH(56,$AF$13:$AF$162,0)),0)*$T$7</f>
        <v/>
      </c>
      <c r="BA68">
        <f>IFERROR(INDEX(Z$13:Z$162,MATCH(56,$AF$13:$AF$162,0)),0)*$T$7</f>
        <v/>
      </c>
      <c r="BB68">
        <f>IFERROR(INDEX(AA$13:AA$162,MATCH(56,$AF$13:$AF$162,0)),0)*$T$7</f>
        <v/>
      </c>
      <c r="BC68">
        <f>IFERROR(INDEX($P$13:$P$162,MATCH(56,$AG$13:$AG$162,0)),"")</f>
        <v/>
      </c>
      <c r="BD68">
        <f>IFERROR(INDEX(S$13:S$162,MATCH(56,$AG$13:$AG$162,0)),0)*($T$8+IF($C$10="",$T$9,0))</f>
        <v/>
      </c>
      <c r="BE68">
        <f>IFERROR(INDEX(T$13:T$162,MATCH(56,$AG$13:$AG$162,0)),0)*($T$8+IF($C$10="",$T$9,0))</f>
        <v/>
      </c>
      <c r="BF68">
        <f>IFERROR(INDEX(U$13:U$162,MATCH(56,$AG$13:$AG$162,0)),0)*($T$8+IF($C$10="",$T$9,0))</f>
        <v/>
      </c>
      <c r="BG68">
        <f>IFERROR(INDEX(V$13:V$162,MATCH(56,$AG$13:$AG$162,0)),0)*($T$8+IF($C$10="",$T$9,0))</f>
        <v/>
      </c>
      <c r="BH68">
        <f>IFERROR(INDEX(W$13:W$162,MATCH(56,$AG$13:$AG$162,0)),0)*($T$8+IF($C$10="",$T$9,0))</f>
        <v/>
      </c>
      <c r="BI68">
        <f>IFERROR(INDEX(X$13:X$162,MATCH(56,$AG$13:$AG$162,0)),0)*($T$8+IF($C$10="",$T$9,0))</f>
        <v/>
      </c>
      <c r="BJ68">
        <f>IFERROR(INDEX(Y$13:Y$162,MATCH(56,$AG$13:$AG$162,0)),0)*($T$8+IF($C$10="",$T$9,0))</f>
        <v/>
      </c>
      <c r="BK68">
        <f>IFERROR(INDEX(Z$13:Z$162,MATCH(56,$AG$13:$AG$162,0)),0)*($T$8+IF($C$10="",$T$9,0))</f>
        <v/>
      </c>
      <c r="BL68">
        <f>IFERROR(INDEX(AA$13:AA$162,MATCH(56,$AG$13:$AG$162,0)),0)*($T$8+IF($C$10="",$T$9,0))</f>
        <v/>
      </c>
      <c r="BN68">
        <f>IF(55&lt;$U$9,INT(55/($U$7*$U$8))+1,1)</f>
        <v/>
      </c>
      <c r="BO68">
        <f>IF(55&lt;$U$9,MOD(INT(55/$U$8),$U$7)+1,1)</f>
        <v/>
      </c>
      <c r="BP68">
        <f>IF(55&lt;$U$9,MOD(55,$U$8)+1,1)</f>
        <v/>
      </c>
      <c r="BQ68">
        <f>IF(55&lt;$U$9,SUMPRODUCT(($D$10:$L$10&lt;&gt;"")*(($D$9:$L$9+INT(($S$12:$AA$12+INDEX($AJ$13:$AR$162,BN68,0)+INDEX($AT$13:$BB$162,BO68,0)+INDEX($BD$13:$BL$162,BP68,0))/100))&gt;=$D$10:$L$10)),0)</f>
        <v/>
      </c>
      <c r="BR68">
        <f>IF(55&lt;$U$9,SUMPRODUCT(($D$10:$L$10&lt;&gt;"")*(($D$10:$L$10-($D$9:$L$9+INT(($S$12:$AA$12+INDEX($AJ$13:$AR$162,BN68,0)+INDEX($AT$13:$BB$162,BO68,0)+INDEX($BD$13:$BL$162,BP68,0))/100)))&gt;0)*($D$10:$L$10-($D$9:$L$9+INT(($S$12:$AA$12+INDEX($AJ$13:$AR$162,BN68,0)+INDEX($AT$13:$BB$162,BO68,0)+INDEX($BD$13:$BL$162,BP68,0))/100)))),0)</f>
        <v/>
      </c>
      <c r="BS68">
        <f>IF(55&lt;$U$9,SUMPRODUCT(($D$9:$L$9+INT(($S$12:$AA$12+INDEX($AJ$13:$AR$162,BN68,0)+INDEX($AT$13:$BB$162,BO68,0)+INDEX($BD$13:$BL$162,BP68,0))/100))),0)</f>
        <v/>
      </c>
      <c r="BT68">
        <f>IF(AND(55&lt;$U$9,$W$5),BQ68*1000000-MIN(BR68,999)*1000+BS68-55/100000,-1000000000-55)</f>
        <v/>
      </c>
      <c r="CF68">
        <f>IF($A68="","",IFERROR(MATCH($C68,'职业'!$C$3:$C$152,0),0))</f>
        <v/>
      </c>
      <c r="CG68">
        <f>IF($A68="","",CG67+MAX(0,D$7+IF($CF67=0,0,IFERROR(INDEX('职业'!F$3:F$152,$CF67)+0,0))))</f>
        <v/>
      </c>
      <c r="CH68">
        <f>IF($A68="","",CH67+MAX(0,E$7+IF($CF67=0,0,IFERROR(INDEX('职业'!G$3:G$152,$CF67)+0,0))))</f>
        <v/>
      </c>
      <c r="CI68">
        <f>IF($A68="","",CI67+MAX(0,F$7+IF($CF67=0,0,IFERROR(INDEX('职业'!H$3:H$152,$CF67)+0,0))))</f>
        <v/>
      </c>
      <c r="CJ68">
        <f>IF($A68="","",CJ67+MAX(0,G$7+IF($CF67=0,0,IFERROR(INDEX('职业'!I$3:I$152,$CF67)+0,0))))</f>
        <v/>
      </c>
      <c r="CK68">
        <f>IF($A68="","",CK67+MAX(0,H$7+IF($CF67=0,0,IFERROR(INDEX('职业'!J$3:J$152,$CF67)+0,0))))</f>
        <v/>
      </c>
      <c r="CL68">
        <f>IF($A68="","",CL67+MAX(0,I$7+IF($CF67=0,0,IFERROR(INDEX('职业'!K$3:K$152,$CF67)+0,0))))</f>
        <v/>
      </c>
      <c r="CM68">
        <f>IF($A68="","",CM67+MAX(0,J$7+IF($CF67=0,0,IFERROR(INDEX('职业'!L$3:L$152,$CF67)+0,0))))</f>
        <v/>
      </c>
      <c r="CN68">
        <f>IF($A68="","",CN67+MAX(0,K$7+IF($CF67=0,0,IFERROR(INDEX('职业'!M$3:M$152,$CF67)+0,0))))</f>
        <v/>
      </c>
      <c r="CO68">
        <f>IF($A68="","",CO67+MAX(0,L$7+IF($CF67=0,0,IFERROR(INDEX('职业'!N$3:N$152,$CF67)+0,0))))</f>
        <v/>
      </c>
    </row>
    <row r="69">
      <c r="A69" s="15">
        <f>IF(OR($B$9="",$B$10=""),"",IF($B$9+17&lt;=$B$10,$B$9+17,""))</f>
        <v/>
      </c>
      <c r="B69" s="15">
        <f>IF($A69="","",MATCH($A69,$BV$27:$BV$32,1))</f>
        <v/>
      </c>
      <c r="C69" s="15">
        <f>IF($A69="","",INDEX($BW$27:$BW$32,$B69))</f>
        <v/>
      </c>
      <c r="D69" s="15">
        <f>IF($A69="","",D$9+INT(($B$14+CG69)/100))</f>
        <v/>
      </c>
      <c r="E69" s="15">
        <f>IF($A69="","",E$9+INT(($B$14+CH69)/100))</f>
        <v/>
      </c>
      <c r="F69" s="15">
        <f>IF($A69="","",F$9+INT(($B$14+CI69)/100))</f>
        <v/>
      </c>
      <c r="G69" s="15">
        <f>IF($A69="","",G$9+INT(($B$14+CJ69)/100))</f>
        <v/>
      </c>
      <c r="H69" s="15">
        <f>IF($A69="","",H$9+INT(($B$14+CK69)/100))</f>
        <v/>
      </c>
      <c r="I69" s="15">
        <f>IF($A69="","",I$9+INT(($B$14+CL69)/100))</f>
        <v/>
      </c>
      <c r="J69" s="15">
        <f>IF($A69="","",J$9+INT(($B$14+CM69)/100))</f>
        <v/>
      </c>
      <c r="K69" s="15">
        <f>IF($A69="","",K$9+INT(($B$14+CN69)/100))</f>
        <v/>
      </c>
      <c r="L69" s="15">
        <f>IF($A69="","",L$9+INT(($B$14+CO69)/100))</f>
        <v/>
      </c>
      <c r="M69" s="16">
        <f>IF($A69="","",IF($C69&lt;&gt;$C68,"★ 转职 → 【"&amp;$C69&amp;"】","")&amp;IF($A69=$B$10,"（目标等级）",""))</f>
        <v/>
      </c>
      <c r="P69">
        <f>IF('职业'!$C59="","",'职业'!$C59)</f>
        <v/>
      </c>
      <c r="Q69">
        <f>N('职业'!$D59)</f>
        <v/>
      </c>
      <c r="R69">
        <f>'职业'!$E59&amp;""</f>
        <v/>
      </c>
      <c r="S69">
        <f>IF($P69="",0,MAX(0,D$7+N('职业'!F59)))</f>
        <v/>
      </c>
      <c r="T69">
        <f>IF($P69="",0,MAX(0,E$7+N('职业'!G59)))</f>
        <v/>
      </c>
      <c r="U69">
        <f>IF($P69="",0,MAX(0,F$7+N('职业'!H59)))</f>
        <v/>
      </c>
      <c r="V69">
        <f>IF($P69="",0,MAX(0,G$7+N('职业'!I59)))</f>
        <v/>
      </c>
      <c r="W69">
        <f>IF($P69="",0,MAX(0,H$7+N('职业'!J59)))</f>
        <v/>
      </c>
      <c r="X69">
        <f>IF($P69="",0,MAX(0,I$7+N('职业'!K59)))</f>
        <v/>
      </c>
      <c r="Y69">
        <f>IF($P69="",0,MAX(0,J$7+N('职业'!L59)))</f>
        <v/>
      </c>
      <c r="Z69">
        <f>IF($P69="",0,MAX(0,K$7+N('职业'!M59)))</f>
        <v/>
      </c>
      <c r="AA69">
        <f>IF($P69="",0,MAX(0,L$7+N('职业'!N59)))</f>
        <v/>
      </c>
      <c r="AB69">
        <f>AND($P69&lt;&gt;"",IF($U$5=1,$P69=$C$10,OR($P69=$C$9,AND($R69="是",$Q69&lt;=MAX($B$9,$Q$6)))))</f>
        <v/>
      </c>
      <c r="AC69">
        <f>AND($P69&lt;&gt;"",IF($U$5=2,$P69=$C$10,OR($P69=$C$9,AND($R69="是",$Q69&lt;=MAX($B$9,$Q$7)))))</f>
        <v/>
      </c>
      <c r="AD69">
        <f>AND($P69&lt;&gt;"",IF($U$5=3,$P69=$C$10,OR($P69=$C$9,AND($R69="是",$Q69&lt;=MAX($B$9,$Q$8)))))</f>
        <v/>
      </c>
      <c r="AE69">
        <f>IF(AB69,COUNTIF(AB$13:AB69,TRUE),"")</f>
        <v/>
      </c>
      <c r="AF69">
        <f>IF(AC69,COUNTIF(AC$13:AC69,TRUE),"")</f>
        <v/>
      </c>
      <c r="AG69">
        <f>IF(AD69,COUNTIF(AD$13:AD69,TRUE),"")</f>
        <v/>
      </c>
      <c r="AI69">
        <f>IFERROR(INDEX($P$13:$P$162,MATCH(57,$AE$13:$AE$162,0)),"")</f>
        <v/>
      </c>
      <c r="AJ69">
        <f>IFERROR(INDEX(S$13:S$162,MATCH(57,$AE$13:$AE$162,0)),0)*$T$6</f>
        <v/>
      </c>
      <c r="AK69">
        <f>IFERROR(INDEX(T$13:T$162,MATCH(57,$AE$13:$AE$162,0)),0)*$T$6</f>
        <v/>
      </c>
      <c r="AL69">
        <f>IFERROR(INDEX(U$13:U$162,MATCH(57,$AE$13:$AE$162,0)),0)*$T$6</f>
        <v/>
      </c>
      <c r="AM69">
        <f>IFERROR(INDEX(V$13:V$162,MATCH(57,$AE$13:$AE$162,0)),0)*$T$6</f>
        <v/>
      </c>
      <c r="AN69">
        <f>IFERROR(INDEX(W$13:W$162,MATCH(57,$AE$13:$AE$162,0)),0)*$T$6</f>
        <v/>
      </c>
      <c r="AO69">
        <f>IFERROR(INDEX(X$13:X$162,MATCH(57,$AE$13:$AE$162,0)),0)*$T$6</f>
        <v/>
      </c>
      <c r="AP69">
        <f>IFERROR(INDEX(Y$13:Y$162,MATCH(57,$AE$13:$AE$162,0)),0)*$T$6</f>
        <v/>
      </c>
      <c r="AQ69">
        <f>IFERROR(INDEX(Z$13:Z$162,MATCH(57,$AE$13:$AE$162,0)),0)*$T$6</f>
        <v/>
      </c>
      <c r="AR69">
        <f>IFERROR(INDEX(AA$13:AA$162,MATCH(57,$AE$13:$AE$162,0)),0)*$T$6</f>
        <v/>
      </c>
      <c r="AS69">
        <f>IFERROR(INDEX($P$13:$P$162,MATCH(57,$AF$13:$AF$162,0)),"")</f>
        <v/>
      </c>
      <c r="AT69">
        <f>IFERROR(INDEX(S$13:S$162,MATCH(57,$AF$13:$AF$162,0)),0)*$T$7</f>
        <v/>
      </c>
      <c r="AU69">
        <f>IFERROR(INDEX(T$13:T$162,MATCH(57,$AF$13:$AF$162,0)),0)*$T$7</f>
        <v/>
      </c>
      <c r="AV69">
        <f>IFERROR(INDEX(U$13:U$162,MATCH(57,$AF$13:$AF$162,0)),0)*$T$7</f>
        <v/>
      </c>
      <c r="AW69">
        <f>IFERROR(INDEX(V$13:V$162,MATCH(57,$AF$13:$AF$162,0)),0)*$T$7</f>
        <v/>
      </c>
      <c r="AX69">
        <f>IFERROR(INDEX(W$13:W$162,MATCH(57,$AF$13:$AF$162,0)),0)*$T$7</f>
        <v/>
      </c>
      <c r="AY69">
        <f>IFERROR(INDEX(X$13:X$162,MATCH(57,$AF$13:$AF$162,0)),0)*$T$7</f>
        <v/>
      </c>
      <c r="AZ69">
        <f>IFERROR(INDEX(Y$13:Y$162,MATCH(57,$AF$13:$AF$162,0)),0)*$T$7</f>
        <v/>
      </c>
      <c r="BA69">
        <f>IFERROR(INDEX(Z$13:Z$162,MATCH(57,$AF$13:$AF$162,0)),0)*$T$7</f>
        <v/>
      </c>
      <c r="BB69">
        <f>IFERROR(INDEX(AA$13:AA$162,MATCH(57,$AF$13:$AF$162,0)),0)*$T$7</f>
        <v/>
      </c>
      <c r="BC69">
        <f>IFERROR(INDEX($P$13:$P$162,MATCH(57,$AG$13:$AG$162,0)),"")</f>
        <v/>
      </c>
      <c r="BD69">
        <f>IFERROR(INDEX(S$13:S$162,MATCH(57,$AG$13:$AG$162,0)),0)*($T$8+IF($C$10="",$T$9,0))</f>
        <v/>
      </c>
      <c r="BE69">
        <f>IFERROR(INDEX(T$13:T$162,MATCH(57,$AG$13:$AG$162,0)),0)*($T$8+IF($C$10="",$T$9,0))</f>
        <v/>
      </c>
      <c r="BF69">
        <f>IFERROR(INDEX(U$13:U$162,MATCH(57,$AG$13:$AG$162,0)),0)*($T$8+IF($C$10="",$T$9,0))</f>
        <v/>
      </c>
      <c r="BG69">
        <f>IFERROR(INDEX(V$13:V$162,MATCH(57,$AG$13:$AG$162,0)),0)*($T$8+IF($C$10="",$T$9,0))</f>
        <v/>
      </c>
      <c r="BH69">
        <f>IFERROR(INDEX(W$13:W$162,MATCH(57,$AG$13:$AG$162,0)),0)*($T$8+IF($C$10="",$T$9,0))</f>
        <v/>
      </c>
      <c r="BI69">
        <f>IFERROR(INDEX(X$13:X$162,MATCH(57,$AG$13:$AG$162,0)),0)*($T$8+IF($C$10="",$T$9,0))</f>
        <v/>
      </c>
      <c r="BJ69">
        <f>IFERROR(INDEX(Y$13:Y$162,MATCH(57,$AG$13:$AG$162,0)),0)*($T$8+IF($C$10="",$T$9,0))</f>
        <v/>
      </c>
      <c r="BK69">
        <f>IFERROR(INDEX(Z$13:Z$162,MATCH(57,$AG$13:$AG$162,0)),0)*($T$8+IF($C$10="",$T$9,0))</f>
        <v/>
      </c>
      <c r="BL69">
        <f>IFERROR(INDEX(AA$13:AA$162,MATCH(57,$AG$13:$AG$162,0)),0)*($T$8+IF($C$10="",$T$9,0))</f>
        <v/>
      </c>
      <c r="BN69">
        <f>IF(56&lt;$U$9,INT(56/($U$7*$U$8))+1,1)</f>
        <v/>
      </c>
      <c r="BO69">
        <f>IF(56&lt;$U$9,MOD(INT(56/$U$8),$U$7)+1,1)</f>
        <v/>
      </c>
      <c r="BP69">
        <f>IF(56&lt;$U$9,MOD(56,$U$8)+1,1)</f>
        <v/>
      </c>
      <c r="BQ69">
        <f>IF(56&lt;$U$9,SUMPRODUCT(($D$10:$L$10&lt;&gt;"")*(($D$9:$L$9+INT(($S$12:$AA$12+INDEX($AJ$13:$AR$162,BN69,0)+INDEX($AT$13:$BB$162,BO69,0)+INDEX($BD$13:$BL$162,BP69,0))/100))&gt;=$D$10:$L$10)),0)</f>
        <v/>
      </c>
      <c r="BR69">
        <f>IF(56&lt;$U$9,SUMPRODUCT(($D$10:$L$10&lt;&gt;"")*(($D$10:$L$10-($D$9:$L$9+INT(($S$12:$AA$12+INDEX($AJ$13:$AR$162,BN69,0)+INDEX($AT$13:$BB$162,BO69,0)+INDEX($BD$13:$BL$162,BP69,0))/100)))&gt;0)*($D$10:$L$10-($D$9:$L$9+INT(($S$12:$AA$12+INDEX($AJ$13:$AR$162,BN69,0)+INDEX($AT$13:$BB$162,BO69,0)+INDEX($BD$13:$BL$162,BP69,0))/100)))),0)</f>
        <v/>
      </c>
      <c r="BS69">
        <f>IF(56&lt;$U$9,SUMPRODUCT(($D$9:$L$9+INT(($S$12:$AA$12+INDEX($AJ$13:$AR$162,BN69,0)+INDEX($AT$13:$BB$162,BO69,0)+INDEX($BD$13:$BL$162,BP69,0))/100))),0)</f>
        <v/>
      </c>
      <c r="BT69">
        <f>IF(AND(56&lt;$U$9,$W$5),BQ69*1000000-MIN(BR69,999)*1000+BS69-56/100000,-1000000000-56)</f>
        <v/>
      </c>
      <c r="CF69">
        <f>IF($A69="","",IFERROR(MATCH($C69,'职业'!$C$3:$C$152,0),0))</f>
        <v/>
      </c>
      <c r="CG69">
        <f>IF($A69="","",CG68+MAX(0,D$7+IF($CF68=0,0,IFERROR(INDEX('职业'!F$3:F$152,$CF68)+0,0))))</f>
        <v/>
      </c>
      <c r="CH69">
        <f>IF($A69="","",CH68+MAX(0,E$7+IF($CF68=0,0,IFERROR(INDEX('职业'!G$3:G$152,$CF68)+0,0))))</f>
        <v/>
      </c>
      <c r="CI69">
        <f>IF($A69="","",CI68+MAX(0,F$7+IF($CF68=0,0,IFERROR(INDEX('职业'!H$3:H$152,$CF68)+0,0))))</f>
        <v/>
      </c>
      <c r="CJ69">
        <f>IF($A69="","",CJ68+MAX(0,G$7+IF($CF68=0,0,IFERROR(INDEX('职业'!I$3:I$152,$CF68)+0,0))))</f>
        <v/>
      </c>
      <c r="CK69">
        <f>IF($A69="","",CK68+MAX(0,H$7+IF($CF68=0,0,IFERROR(INDEX('职业'!J$3:J$152,$CF68)+0,0))))</f>
        <v/>
      </c>
      <c r="CL69">
        <f>IF($A69="","",CL68+MAX(0,I$7+IF($CF68=0,0,IFERROR(INDEX('职业'!K$3:K$152,$CF68)+0,0))))</f>
        <v/>
      </c>
      <c r="CM69">
        <f>IF($A69="","",CM68+MAX(0,J$7+IF($CF68=0,0,IFERROR(INDEX('职业'!L$3:L$152,$CF68)+0,0))))</f>
        <v/>
      </c>
      <c r="CN69">
        <f>IF($A69="","",CN68+MAX(0,K$7+IF($CF68=0,0,IFERROR(INDEX('职业'!M$3:M$152,$CF68)+0,0))))</f>
        <v/>
      </c>
      <c r="CO69">
        <f>IF($A69="","",CO68+MAX(0,L$7+IF($CF68=0,0,IFERROR(INDEX('职业'!N$3:N$152,$CF68)+0,0))))</f>
        <v/>
      </c>
    </row>
    <row r="70">
      <c r="A70" s="15">
        <f>IF(OR($B$9="",$B$10=""),"",IF($B$9+18&lt;=$B$10,$B$9+18,""))</f>
        <v/>
      </c>
      <c r="B70" s="15">
        <f>IF($A70="","",MATCH($A70,$BV$27:$BV$32,1))</f>
        <v/>
      </c>
      <c r="C70" s="15">
        <f>IF($A70="","",INDEX($BW$27:$BW$32,$B70))</f>
        <v/>
      </c>
      <c r="D70" s="15">
        <f>IF($A70="","",D$9+INT(($B$14+CG70)/100))</f>
        <v/>
      </c>
      <c r="E70" s="15">
        <f>IF($A70="","",E$9+INT(($B$14+CH70)/100))</f>
        <v/>
      </c>
      <c r="F70" s="15">
        <f>IF($A70="","",F$9+INT(($B$14+CI70)/100))</f>
        <v/>
      </c>
      <c r="G70" s="15">
        <f>IF($A70="","",G$9+INT(($B$14+CJ70)/100))</f>
        <v/>
      </c>
      <c r="H70" s="15">
        <f>IF($A70="","",H$9+INT(($B$14+CK70)/100))</f>
        <v/>
      </c>
      <c r="I70" s="15">
        <f>IF($A70="","",I$9+INT(($B$14+CL70)/100))</f>
        <v/>
      </c>
      <c r="J70" s="15">
        <f>IF($A70="","",J$9+INT(($B$14+CM70)/100))</f>
        <v/>
      </c>
      <c r="K70" s="15">
        <f>IF($A70="","",K$9+INT(($B$14+CN70)/100))</f>
        <v/>
      </c>
      <c r="L70" s="15">
        <f>IF($A70="","",L$9+INT(($B$14+CO70)/100))</f>
        <v/>
      </c>
      <c r="M70" s="16">
        <f>IF($A70="","",IF($C70&lt;&gt;$C69,"★ 转职 → 【"&amp;$C70&amp;"】","")&amp;IF($A70=$B$10,"（目标等级）",""))</f>
        <v/>
      </c>
      <c r="P70">
        <f>IF('职业'!$C60="","",'职业'!$C60)</f>
        <v/>
      </c>
      <c r="Q70">
        <f>N('职业'!$D60)</f>
        <v/>
      </c>
      <c r="R70">
        <f>'职业'!$E60&amp;""</f>
        <v/>
      </c>
      <c r="S70">
        <f>IF($P70="",0,MAX(0,D$7+N('职业'!F60)))</f>
        <v/>
      </c>
      <c r="T70">
        <f>IF($P70="",0,MAX(0,E$7+N('职业'!G60)))</f>
        <v/>
      </c>
      <c r="U70">
        <f>IF($P70="",0,MAX(0,F$7+N('职业'!H60)))</f>
        <v/>
      </c>
      <c r="V70">
        <f>IF($P70="",0,MAX(0,G$7+N('职业'!I60)))</f>
        <v/>
      </c>
      <c r="W70">
        <f>IF($P70="",0,MAX(0,H$7+N('职业'!J60)))</f>
        <v/>
      </c>
      <c r="X70">
        <f>IF($P70="",0,MAX(0,I$7+N('职业'!K60)))</f>
        <v/>
      </c>
      <c r="Y70">
        <f>IF($P70="",0,MAX(0,J$7+N('职业'!L60)))</f>
        <v/>
      </c>
      <c r="Z70">
        <f>IF($P70="",0,MAX(0,K$7+N('职业'!M60)))</f>
        <v/>
      </c>
      <c r="AA70">
        <f>IF($P70="",0,MAX(0,L$7+N('职业'!N60)))</f>
        <v/>
      </c>
      <c r="AB70">
        <f>AND($P70&lt;&gt;"",IF($U$5=1,$P70=$C$10,OR($P70=$C$9,AND($R70="是",$Q70&lt;=MAX($B$9,$Q$6)))))</f>
        <v/>
      </c>
      <c r="AC70">
        <f>AND($P70&lt;&gt;"",IF($U$5=2,$P70=$C$10,OR($P70=$C$9,AND($R70="是",$Q70&lt;=MAX($B$9,$Q$7)))))</f>
        <v/>
      </c>
      <c r="AD70">
        <f>AND($P70&lt;&gt;"",IF($U$5=3,$P70=$C$10,OR($P70=$C$9,AND($R70="是",$Q70&lt;=MAX($B$9,$Q$8)))))</f>
        <v/>
      </c>
      <c r="AE70">
        <f>IF(AB70,COUNTIF(AB$13:AB70,TRUE),"")</f>
        <v/>
      </c>
      <c r="AF70">
        <f>IF(AC70,COUNTIF(AC$13:AC70,TRUE),"")</f>
        <v/>
      </c>
      <c r="AG70">
        <f>IF(AD70,COUNTIF(AD$13:AD70,TRUE),"")</f>
        <v/>
      </c>
      <c r="AI70">
        <f>IFERROR(INDEX($P$13:$P$162,MATCH(58,$AE$13:$AE$162,0)),"")</f>
        <v/>
      </c>
      <c r="AJ70">
        <f>IFERROR(INDEX(S$13:S$162,MATCH(58,$AE$13:$AE$162,0)),0)*$T$6</f>
        <v/>
      </c>
      <c r="AK70">
        <f>IFERROR(INDEX(T$13:T$162,MATCH(58,$AE$13:$AE$162,0)),0)*$T$6</f>
        <v/>
      </c>
      <c r="AL70">
        <f>IFERROR(INDEX(U$13:U$162,MATCH(58,$AE$13:$AE$162,0)),0)*$T$6</f>
        <v/>
      </c>
      <c r="AM70">
        <f>IFERROR(INDEX(V$13:V$162,MATCH(58,$AE$13:$AE$162,0)),0)*$T$6</f>
        <v/>
      </c>
      <c r="AN70">
        <f>IFERROR(INDEX(W$13:W$162,MATCH(58,$AE$13:$AE$162,0)),0)*$T$6</f>
        <v/>
      </c>
      <c r="AO70">
        <f>IFERROR(INDEX(X$13:X$162,MATCH(58,$AE$13:$AE$162,0)),0)*$T$6</f>
        <v/>
      </c>
      <c r="AP70">
        <f>IFERROR(INDEX(Y$13:Y$162,MATCH(58,$AE$13:$AE$162,0)),0)*$T$6</f>
        <v/>
      </c>
      <c r="AQ70">
        <f>IFERROR(INDEX(Z$13:Z$162,MATCH(58,$AE$13:$AE$162,0)),0)*$T$6</f>
        <v/>
      </c>
      <c r="AR70">
        <f>IFERROR(INDEX(AA$13:AA$162,MATCH(58,$AE$13:$AE$162,0)),0)*$T$6</f>
        <v/>
      </c>
      <c r="AS70">
        <f>IFERROR(INDEX($P$13:$P$162,MATCH(58,$AF$13:$AF$162,0)),"")</f>
        <v/>
      </c>
      <c r="AT70">
        <f>IFERROR(INDEX(S$13:S$162,MATCH(58,$AF$13:$AF$162,0)),0)*$T$7</f>
        <v/>
      </c>
      <c r="AU70">
        <f>IFERROR(INDEX(T$13:T$162,MATCH(58,$AF$13:$AF$162,0)),0)*$T$7</f>
        <v/>
      </c>
      <c r="AV70">
        <f>IFERROR(INDEX(U$13:U$162,MATCH(58,$AF$13:$AF$162,0)),0)*$T$7</f>
        <v/>
      </c>
      <c r="AW70">
        <f>IFERROR(INDEX(V$13:V$162,MATCH(58,$AF$13:$AF$162,0)),0)*$T$7</f>
        <v/>
      </c>
      <c r="AX70">
        <f>IFERROR(INDEX(W$13:W$162,MATCH(58,$AF$13:$AF$162,0)),0)*$T$7</f>
        <v/>
      </c>
      <c r="AY70">
        <f>IFERROR(INDEX(X$13:X$162,MATCH(58,$AF$13:$AF$162,0)),0)*$T$7</f>
        <v/>
      </c>
      <c r="AZ70">
        <f>IFERROR(INDEX(Y$13:Y$162,MATCH(58,$AF$13:$AF$162,0)),0)*$T$7</f>
        <v/>
      </c>
      <c r="BA70">
        <f>IFERROR(INDEX(Z$13:Z$162,MATCH(58,$AF$13:$AF$162,0)),0)*$T$7</f>
        <v/>
      </c>
      <c r="BB70">
        <f>IFERROR(INDEX(AA$13:AA$162,MATCH(58,$AF$13:$AF$162,0)),0)*$T$7</f>
        <v/>
      </c>
      <c r="BC70">
        <f>IFERROR(INDEX($P$13:$P$162,MATCH(58,$AG$13:$AG$162,0)),"")</f>
        <v/>
      </c>
      <c r="BD70">
        <f>IFERROR(INDEX(S$13:S$162,MATCH(58,$AG$13:$AG$162,0)),0)*($T$8+IF($C$10="",$T$9,0))</f>
        <v/>
      </c>
      <c r="BE70">
        <f>IFERROR(INDEX(T$13:T$162,MATCH(58,$AG$13:$AG$162,0)),0)*($T$8+IF($C$10="",$T$9,0))</f>
        <v/>
      </c>
      <c r="BF70">
        <f>IFERROR(INDEX(U$13:U$162,MATCH(58,$AG$13:$AG$162,0)),0)*($T$8+IF($C$10="",$T$9,0))</f>
        <v/>
      </c>
      <c r="BG70">
        <f>IFERROR(INDEX(V$13:V$162,MATCH(58,$AG$13:$AG$162,0)),0)*($T$8+IF($C$10="",$T$9,0))</f>
        <v/>
      </c>
      <c r="BH70">
        <f>IFERROR(INDEX(W$13:W$162,MATCH(58,$AG$13:$AG$162,0)),0)*($T$8+IF($C$10="",$T$9,0))</f>
        <v/>
      </c>
      <c r="BI70">
        <f>IFERROR(INDEX(X$13:X$162,MATCH(58,$AG$13:$AG$162,0)),0)*($T$8+IF($C$10="",$T$9,0))</f>
        <v/>
      </c>
      <c r="BJ70">
        <f>IFERROR(INDEX(Y$13:Y$162,MATCH(58,$AG$13:$AG$162,0)),0)*($T$8+IF($C$10="",$T$9,0))</f>
        <v/>
      </c>
      <c r="BK70">
        <f>IFERROR(INDEX(Z$13:Z$162,MATCH(58,$AG$13:$AG$162,0)),0)*($T$8+IF($C$10="",$T$9,0))</f>
        <v/>
      </c>
      <c r="BL70">
        <f>IFERROR(INDEX(AA$13:AA$162,MATCH(58,$AG$13:$AG$162,0)),0)*($T$8+IF($C$10="",$T$9,0))</f>
        <v/>
      </c>
      <c r="BN70">
        <f>IF(57&lt;$U$9,INT(57/($U$7*$U$8))+1,1)</f>
        <v/>
      </c>
      <c r="BO70">
        <f>IF(57&lt;$U$9,MOD(INT(57/$U$8),$U$7)+1,1)</f>
        <v/>
      </c>
      <c r="BP70">
        <f>IF(57&lt;$U$9,MOD(57,$U$8)+1,1)</f>
        <v/>
      </c>
      <c r="BQ70">
        <f>IF(57&lt;$U$9,SUMPRODUCT(($D$10:$L$10&lt;&gt;"")*(($D$9:$L$9+INT(($S$12:$AA$12+INDEX($AJ$13:$AR$162,BN70,0)+INDEX($AT$13:$BB$162,BO70,0)+INDEX($BD$13:$BL$162,BP70,0))/100))&gt;=$D$10:$L$10)),0)</f>
        <v/>
      </c>
      <c r="BR70">
        <f>IF(57&lt;$U$9,SUMPRODUCT(($D$10:$L$10&lt;&gt;"")*(($D$10:$L$10-($D$9:$L$9+INT(($S$12:$AA$12+INDEX($AJ$13:$AR$162,BN70,0)+INDEX($AT$13:$BB$162,BO70,0)+INDEX($BD$13:$BL$162,BP70,0))/100)))&gt;0)*($D$10:$L$10-($D$9:$L$9+INT(($S$12:$AA$12+INDEX($AJ$13:$AR$162,BN70,0)+INDEX($AT$13:$BB$162,BO70,0)+INDEX($BD$13:$BL$162,BP70,0))/100)))),0)</f>
        <v/>
      </c>
      <c r="BS70">
        <f>IF(57&lt;$U$9,SUMPRODUCT(($D$9:$L$9+INT(($S$12:$AA$12+INDEX($AJ$13:$AR$162,BN70,0)+INDEX($AT$13:$BB$162,BO70,0)+INDEX($BD$13:$BL$162,BP70,0))/100))),0)</f>
        <v/>
      </c>
      <c r="BT70">
        <f>IF(AND(57&lt;$U$9,$W$5),BQ70*1000000-MIN(BR70,999)*1000+BS70-57/100000,-1000000000-57)</f>
        <v/>
      </c>
      <c r="CF70">
        <f>IF($A70="","",IFERROR(MATCH($C70,'职业'!$C$3:$C$152,0),0))</f>
        <v/>
      </c>
      <c r="CG70">
        <f>IF($A70="","",CG69+MAX(0,D$7+IF($CF69=0,0,IFERROR(INDEX('职业'!F$3:F$152,$CF69)+0,0))))</f>
        <v/>
      </c>
      <c r="CH70">
        <f>IF($A70="","",CH69+MAX(0,E$7+IF($CF69=0,0,IFERROR(INDEX('职业'!G$3:G$152,$CF69)+0,0))))</f>
        <v/>
      </c>
      <c r="CI70">
        <f>IF($A70="","",CI69+MAX(0,F$7+IF($CF69=0,0,IFERROR(INDEX('职业'!H$3:H$152,$CF69)+0,0))))</f>
        <v/>
      </c>
      <c r="CJ70">
        <f>IF($A70="","",CJ69+MAX(0,G$7+IF($CF69=0,0,IFERROR(INDEX('职业'!I$3:I$152,$CF69)+0,0))))</f>
        <v/>
      </c>
      <c r="CK70">
        <f>IF($A70="","",CK69+MAX(0,H$7+IF($CF69=0,0,IFERROR(INDEX('职业'!J$3:J$152,$CF69)+0,0))))</f>
        <v/>
      </c>
      <c r="CL70">
        <f>IF($A70="","",CL69+MAX(0,I$7+IF($CF69=0,0,IFERROR(INDEX('职业'!K$3:K$152,$CF69)+0,0))))</f>
        <v/>
      </c>
      <c r="CM70">
        <f>IF($A70="","",CM69+MAX(0,J$7+IF($CF69=0,0,IFERROR(INDEX('职业'!L$3:L$152,$CF69)+0,0))))</f>
        <v/>
      </c>
      <c r="CN70">
        <f>IF($A70="","",CN69+MAX(0,K$7+IF($CF69=0,0,IFERROR(INDEX('职业'!M$3:M$152,$CF69)+0,0))))</f>
        <v/>
      </c>
      <c r="CO70">
        <f>IF($A70="","",CO69+MAX(0,L$7+IF($CF69=0,0,IFERROR(INDEX('职业'!N$3:N$152,$CF69)+0,0))))</f>
        <v/>
      </c>
    </row>
    <row r="71">
      <c r="A71" s="15">
        <f>IF(OR($B$9="",$B$10=""),"",IF($B$9+19&lt;=$B$10,$B$9+19,""))</f>
        <v/>
      </c>
      <c r="B71" s="15">
        <f>IF($A71="","",MATCH($A71,$BV$27:$BV$32,1))</f>
        <v/>
      </c>
      <c r="C71" s="15">
        <f>IF($A71="","",INDEX($BW$27:$BW$32,$B71))</f>
        <v/>
      </c>
      <c r="D71" s="15">
        <f>IF($A71="","",D$9+INT(($B$14+CG71)/100))</f>
        <v/>
      </c>
      <c r="E71" s="15">
        <f>IF($A71="","",E$9+INT(($B$14+CH71)/100))</f>
        <v/>
      </c>
      <c r="F71" s="15">
        <f>IF($A71="","",F$9+INT(($B$14+CI71)/100))</f>
        <v/>
      </c>
      <c r="G71" s="15">
        <f>IF($A71="","",G$9+INT(($B$14+CJ71)/100))</f>
        <v/>
      </c>
      <c r="H71" s="15">
        <f>IF($A71="","",H$9+INT(($B$14+CK71)/100))</f>
        <v/>
      </c>
      <c r="I71" s="15">
        <f>IF($A71="","",I$9+INT(($B$14+CL71)/100))</f>
        <v/>
      </c>
      <c r="J71" s="15">
        <f>IF($A71="","",J$9+INT(($B$14+CM71)/100))</f>
        <v/>
      </c>
      <c r="K71" s="15">
        <f>IF($A71="","",K$9+INT(($B$14+CN71)/100))</f>
        <v/>
      </c>
      <c r="L71" s="15">
        <f>IF($A71="","",L$9+INT(($B$14+CO71)/100))</f>
        <v/>
      </c>
      <c r="M71" s="16">
        <f>IF($A71="","",IF($C71&lt;&gt;$C70,"★ 转职 → 【"&amp;$C71&amp;"】","")&amp;IF($A71=$B$10,"（目标等级）",""))</f>
        <v/>
      </c>
      <c r="P71">
        <f>IF('职业'!$C61="","",'职业'!$C61)</f>
        <v/>
      </c>
      <c r="Q71">
        <f>N('职业'!$D61)</f>
        <v/>
      </c>
      <c r="R71">
        <f>'职业'!$E61&amp;""</f>
        <v/>
      </c>
      <c r="S71">
        <f>IF($P71="",0,MAX(0,D$7+N('职业'!F61)))</f>
        <v/>
      </c>
      <c r="T71">
        <f>IF($P71="",0,MAX(0,E$7+N('职业'!G61)))</f>
        <v/>
      </c>
      <c r="U71">
        <f>IF($P71="",0,MAX(0,F$7+N('职业'!H61)))</f>
        <v/>
      </c>
      <c r="V71">
        <f>IF($P71="",0,MAX(0,G$7+N('职业'!I61)))</f>
        <v/>
      </c>
      <c r="W71">
        <f>IF($P71="",0,MAX(0,H$7+N('职业'!J61)))</f>
        <v/>
      </c>
      <c r="X71">
        <f>IF($P71="",0,MAX(0,I$7+N('职业'!K61)))</f>
        <v/>
      </c>
      <c r="Y71">
        <f>IF($P71="",0,MAX(0,J$7+N('职业'!L61)))</f>
        <v/>
      </c>
      <c r="Z71">
        <f>IF($P71="",0,MAX(0,K$7+N('职业'!M61)))</f>
        <v/>
      </c>
      <c r="AA71">
        <f>IF($P71="",0,MAX(0,L$7+N('职业'!N61)))</f>
        <v/>
      </c>
      <c r="AB71">
        <f>AND($P71&lt;&gt;"",IF($U$5=1,$P71=$C$10,OR($P71=$C$9,AND($R71="是",$Q71&lt;=MAX($B$9,$Q$6)))))</f>
        <v/>
      </c>
      <c r="AC71">
        <f>AND($P71&lt;&gt;"",IF($U$5=2,$P71=$C$10,OR($P71=$C$9,AND($R71="是",$Q71&lt;=MAX($B$9,$Q$7)))))</f>
        <v/>
      </c>
      <c r="AD71">
        <f>AND($P71&lt;&gt;"",IF($U$5=3,$P71=$C$10,OR($P71=$C$9,AND($R71="是",$Q71&lt;=MAX($B$9,$Q$8)))))</f>
        <v/>
      </c>
      <c r="AE71">
        <f>IF(AB71,COUNTIF(AB$13:AB71,TRUE),"")</f>
        <v/>
      </c>
      <c r="AF71">
        <f>IF(AC71,COUNTIF(AC$13:AC71,TRUE),"")</f>
        <v/>
      </c>
      <c r="AG71">
        <f>IF(AD71,COUNTIF(AD$13:AD71,TRUE),"")</f>
        <v/>
      </c>
      <c r="AI71">
        <f>IFERROR(INDEX($P$13:$P$162,MATCH(59,$AE$13:$AE$162,0)),"")</f>
        <v/>
      </c>
      <c r="AJ71">
        <f>IFERROR(INDEX(S$13:S$162,MATCH(59,$AE$13:$AE$162,0)),0)*$T$6</f>
        <v/>
      </c>
      <c r="AK71">
        <f>IFERROR(INDEX(T$13:T$162,MATCH(59,$AE$13:$AE$162,0)),0)*$T$6</f>
        <v/>
      </c>
      <c r="AL71">
        <f>IFERROR(INDEX(U$13:U$162,MATCH(59,$AE$13:$AE$162,0)),0)*$T$6</f>
        <v/>
      </c>
      <c r="AM71">
        <f>IFERROR(INDEX(V$13:V$162,MATCH(59,$AE$13:$AE$162,0)),0)*$T$6</f>
        <v/>
      </c>
      <c r="AN71">
        <f>IFERROR(INDEX(W$13:W$162,MATCH(59,$AE$13:$AE$162,0)),0)*$T$6</f>
        <v/>
      </c>
      <c r="AO71">
        <f>IFERROR(INDEX(X$13:X$162,MATCH(59,$AE$13:$AE$162,0)),0)*$T$6</f>
        <v/>
      </c>
      <c r="AP71">
        <f>IFERROR(INDEX(Y$13:Y$162,MATCH(59,$AE$13:$AE$162,0)),0)*$T$6</f>
        <v/>
      </c>
      <c r="AQ71">
        <f>IFERROR(INDEX(Z$13:Z$162,MATCH(59,$AE$13:$AE$162,0)),0)*$T$6</f>
        <v/>
      </c>
      <c r="AR71">
        <f>IFERROR(INDEX(AA$13:AA$162,MATCH(59,$AE$13:$AE$162,0)),0)*$T$6</f>
        <v/>
      </c>
      <c r="AS71">
        <f>IFERROR(INDEX($P$13:$P$162,MATCH(59,$AF$13:$AF$162,0)),"")</f>
        <v/>
      </c>
      <c r="AT71">
        <f>IFERROR(INDEX(S$13:S$162,MATCH(59,$AF$13:$AF$162,0)),0)*$T$7</f>
        <v/>
      </c>
      <c r="AU71">
        <f>IFERROR(INDEX(T$13:T$162,MATCH(59,$AF$13:$AF$162,0)),0)*$T$7</f>
        <v/>
      </c>
      <c r="AV71">
        <f>IFERROR(INDEX(U$13:U$162,MATCH(59,$AF$13:$AF$162,0)),0)*$T$7</f>
        <v/>
      </c>
      <c r="AW71">
        <f>IFERROR(INDEX(V$13:V$162,MATCH(59,$AF$13:$AF$162,0)),0)*$T$7</f>
        <v/>
      </c>
      <c r="AX71">
        <f>IFERROR(INDEX(W$13:W$162,MATCH(59,$AF$13:$AF$162,0)),0)*$T$7</f>
        <v/>
      </c>
      <c r="AY71">
        <f>IFERROR(INDEX(X$13:X$162,MATCH(59,$AF$13:$AF$162,0)),0)*$T$7</f>
        <v/>
      </c>
      <c r="AZ71">
        <f>IFERROR(INDEX(Y$13:Y$162,MATCH(59,$AF$13:$AF$162,0)),0)*$T$7</f>
        <v/>
      </c>
      <c r="BA71">
        <f>IFERROR(INDEX(Z$13:Z$162,MATCH(59,$AF$13:$AF$162,0)),0)*$T$7</f>
        <v/>
      </c>
      <c r="BB71">
        <f>IFERROR(INDEX(AA$13:AA$162,MATCH(59,$AF$13:$AF$162,0)),0)*$T$7</f>
        <v/>
      </c>
      <c r="BC71">
        <f>IFERROR(INDEX($P$13:$P$162,MATCH(59,$AG$13:$AG$162,0)),"")</f>
        <v/>
      </c>
      <c r="BD71">
        <f>IFERROR(INDEX(S$13:S$162,MATCH(59,$AG$13:$AG$162,0)),0)*($T$8+IF($C$10="",$T$9,0))</f>
        <v/>
      </c>
      <c r="BE71">
        <f>IFERROR(INDEX(T$13:T$162,MATCH(59,$AG$13:$AG$162,0)),0)*($T$8+IF($C$10="",$T$9,0))</f>
        <v/>
      </c>
      <c r="BF71">
        <f>IFERROR(INDEX(U$13:U$162,MATCH(59,$AG$13:$AG$162,0)),0)*($T$8+IF($C$10="",$T$9,0))</f>
        <v/>
      </c>
      <c r="BG71">
        <f>IFERROR(INDEX(V$13:V$162,MATCH(59,$AG$13:$AG$162,0)),0)*($T$8+IF($C$10="",$T$9,0))</f>
        <v/>
      </c>
      <c r="BH71">
        <f>IFERROR(INDEX(W$13:W$162,MATCH(59,$AG$13:$AG$162,0)),0)*($T$8+IF($C$10="",$T$9,0))</f>
        <v/>
      </c>
      <c r="BI71">
        <f>IFERROR(INDEX(X$13:X$162,MATCH(59,$AG$13:$AG$162,0)),0)*($T$8+IF($C$10="",$T$9,0))</f>
        <v/>
      </c>
      <c r="BJ71">
        <f>IFERROR(INDEX(Y$13:Y$162,MATCH(59,$AG$13:$AG$162,0)),0)*($T$8+IF($C$10="",$T$9,0))</f>
        <v/>
      </c>
      <c r="BK71">
        <f>IFERROR(INDEX(Z$13:Z$162,MATCH(59,$AG$13:$AG$162,0)),0)*($T$8+IF($C$10="",$T$9,0))</f>
        <v/>
      </c>
      <c r="BL71">
        <f>IFERROR(INDEX(AA$13:AA$162,MATCH(59,$AG$13:$AG$162,0)),0)*($T$8+IF($C$10="",$T$9,0))</f>
        <v/>
      </c>
      <c r="BN71">
        <f>IF(58&lt;$U$9,INT(58/($U$7*$U$8))+1,1)</f>
        <v/>
      </c>
      <c r="BO71">
        <f>IF(58&lt;$U$9,MOD(INT(58/$U$8),$U$7)+1,1)</f>
        <v/>
      </c>
      <c r="BP71">
        <f>IF(58&lt;$U$9,MOD(58,$U$8)+1,1)</f>
        <v/>
      </c>
      <c r="BQ71">
        <f>IF(58&lt;$U$9,SUMPRODUCT(($D$10:$L$10&lt;&gt;"")*(($D$9:$L$9+INT(($S$12:$AA$12+INDEX($AJ$13:$AR$162,BN71,0)+INDEX($AT$13:$BB$162,BO71,0)+INDEX($BD$13:$BL$162,BP71,0))/100))&gt;=$D$10:$L$10)),0)</f>
        <v/>
      </c>
      <c r="BR71">
        <f>IF(58&lt;$U$9,SUMPRODUCT(($D$10:$L$10&lt;&gt;"")*(($D$10:$L$10-($D$9:$L$9+INT(($S$12:$AA$12+INDEX($AJ$13:$AR$162,BN71,0)+INDEX($AT$13:$BB$162,BO71,0)+INDEX($BD$13:$BL$162,BP71,0))/100)))&gt;0)*($D$10:$L$10-($D$9:$L$9+INT(($S$12:$AA$12+INDEX($AJ$13:$AR$162,BN71,0)+INDEX($AT$13:$BB$162,BO71,0)+INDEX($BD$13:$BL$162,BP71,0))/100)))),0)</f>
        <v/>
      </c>
      <c r="BS71">
        <f>IF(58&lt;$U$9,SUMPRODUCT(($D$9:$L$9+INT(($S$12:$AA$12+INDEX($AJ$13:$AR$162,BN71,0)+INDEX($AT$13:$BB$162,BO71,0)+INDEX($BD$13:$BL$162,BP71,0))/100))),0)</f>
        <v/>
      </c>
      <c r="BT71">
        <f>IF(AND(58&lt;$U$9,$W$5),BQ71*1000000-MIN(BR71,999)*1000+BS71-58/100000,-1000000000-58)</f>
        <v/>
      </c>
      <c r="CF71">
        <f>IF($A71="","",IFERROR(MATCH($C71,'职业'!$C$3:$C$152,0),0))</f>
        <v/>
      </c>
      <c r="CG71">
        <f>IF($A71="","",CG70+MAX(0,D$7+IF($CF70=0,0,IFERROR(INDEX('职业'!F$3:F$152,$CF70)+0,0))))</f>
        <v/>
      </c>
      <c r="CH71">
        <f>IF($A71="","",CH70+MAX(0,E$7+IF($CF70=0,0,IFERROR(INDEX('职业'!G$3:G$152,$CF70)+0,0))))</f>
        <v/>
      </c>
      <c r="CI71">
        <f>IF($A71="","",CI70+MAX(0,F$7+IF($CF70=0,0,IFERROR(INDEX('职业'!H$3:H$152,$CF70)+0,0))))</f>
        <v/>
      </c>
      <c r="CJ71">
        <f>IF($A71="","",CJ70+MAX(0,G$7+IF($CF70=0,0,IFERROR(INDEX('职业'!I$3:I$152,$CF70)+0,0))))</f>
        <v/>
      </c>
      <c r="CK71">
        <f>IF($A71="","",CK70+MAX(0,H$7+IF($CF70=0,0,IFERROR(INDEX('职业'!J$3:J$152,$CF70)+0,0))))</f>
        <v/>
      </c>
      <c r="CL71">
        <f>IF($A71="","",CL70+MAX(0,I$7+IF($CF70=0,0,IFERROR(INDEX('职业'!K$3:K$152,$CF70)+0,0))))</f>
        <v/>
      </c>
      <c r="CM71">
        <f>IF($A71="","",CM70+MAX(0,J$7+IF($CF70=0,0,IFERROR(INDEX('职业'!L$3:L$152,$CF70)+0,0))))</f>
        <v/>
      </c>
      <c r="CN71">
        <f>IF($A71="","",CN70+MAX(0,K$7+IF($CF70=0,0,IFERROR(INDEX('职业'!M$3:M$152,$CF70)+0,0))))</f>
        <v/>
      </c>
      <c r="CO71">
        <f>IF($A71="","",CO70+MAX(0,L$7+IF($CF70=0,0,IFERROR(INDEX('职业'!N$3:N$152,$CF70)+0,0))))</f>
        <v/>
      </c>
    </row>
    <row r="72">
      <c r="A72" s="15">
        <f>IF(OR($B$9="",$B$10=""),"",IF($B$9+20&lt;=$B$10,$B$9+20,""))</f>
        <v/>
      </c>
      <c r="B72" s="15">
        <f>IF($A72="","",MATCH($A72,$BV$27:$BV$32,1))</f>
        <v/>
      </c>
      <c r="C72" s="15">
        <f>IF($A72="","",INDEX($BW$27:$BW$32,$B72))</f>
        <v/>
      </c>
      <c r="D72" s="15">
        <f>IF($A72="","",D$9+INT(($B$14+CG72)/100))</f>
        <v/>
      </c>
      <c r="E72" s="15">
        <f>IF($A72="","",E$9+INT(($B$14+CH72)/100))</f>
        <v/>
      </c>
      <c r="F72" s="15">
        <f>IF($A72="","",F$9+INT(($B$14+CI72)/100))</f>
        <v/>
      </c>
      <c r="G72" s="15">
        <f>IF($A72="","",G$9+INT(($B$14+CJ72)/100))</f>
        <v/>
      </c>
      <c r="H72" s="15">
        <f>IF($A72="","",H$9+INT(($B$14+CK72)/100))</f>
        <v/>
      </c>
      <c r="I72" s="15">
        <f>IF($A72="","",I$9+INT(($B$14+CL72)/100))</f>
        <v/>
      </c>
      <c r="J72" s="15">
        <f>IF($A72="","",J$9+INT(($B$14+CM72)/100))</f>
        <v/>
      </c>
      <c r="K72" s="15">
        <f>IF($A72="","",K$9+INT(($B$14+CN72)/100))</f>
        <v/>
      </c>
      <c r="L72" s="15">
        <f>IF($A72="","",L$9+INT(($B$14+CO72)/100))</f>
        <v/>
      </c>
      <c r="M72" s="16">
        <f>IF($A72="","",IF($C72&lt;&gt;$C71,"★ 转职 → 【"&amp;$C72&amp;"】","")&amp;IF($A72=$B$10,"（目标等级）",""))</f>
        <v/>
      </c>
      <c r="P72">
        <f>IF('职业'!$C62="","",'职业'!$C62)</f>
        <v/>
      </c>
      <c r="Q72">
        <f>N('职业'!$D62)</f>
        <v/>
      </c>
      <c r="R72">
        <f>'职业'!$E62&amp;""</f>
        <v/>
      </c>
      <c r="S72">
        <f>IF($P72="",0,MAX(0,D$7+N('职业'!F62)))</f>
        <v/>
      </c>
      <c r="T72">
        <f>IF($P72="",0,MAX(0,E$7+N('职业'!G62)))</f>
        <v/>
      </c>
      <c r="U72">
        <f>IF($P72="",0,MAX(0,F$7+N('职业'!H62)))</f>
        <v/>
      </c>
      <c r="V72">
        <f>IF($P72="",0,MAX(0,G$7+N('职业'!I62)))</f>
        <v/>
      </c>
      <c r="W72">
        <f>IF($P72="",0,MAX(0,H$7+N('职业'!J62)))</f>
        <v/>
      </c>
      <c r="X72">
        <f>IF($P72="",0,MAX(0,I$7+N('职业'!K62)))</f>
        <v/>
      </c>
      <c r="Y72">
        <f>IF($P72="",0,MAX(0,J$7+N('职业'!L62)))</f>
        <v/>
      </c>
      <c r="Z72">
        <f>IF($P72="",0,MAX(0,K$7+N('职业'!M62)))</f>
        <v/>
      </c>
      <c r="AA72">
        <f>IF($P72="",0,MAX(0,L$7+N('职业'!N62)))</f>
        <v/>
      </c>
      <c r="AB72">
        <f>AND($P72&lt;&gt;"",IF($U$5=1,$P72=$C$10,OR($P72=$C$9,AND($R72="是",$Q72&lt;=MAX($B$9,$Q$6)))))</f>
        <v/>
      </c>
      <c r="AC72">
        <f>AND($P72&lt;&gt;"",IF($U$5=2,$P72=$C$10,OR($P72=$C$9,AND($R72="是",$Q72&lt;=MAX($B$9,$Q$7)))))</f>
        <v/>
      </c>
      <c r="AD72">
        <f>AND($P72&lt;&gt;"",IF($U$5=3,$P72=$C$10,OR($P72=$C$9,AND($R72="是",$Q72&lt;=MAX($B$9,$Q$8)))))</f>
        <v/>
      </c>
      <c r="AE72">
        <f>IF(AB72,COUNTIF(AB$13:AB72,TRUE),"")</f>
        <v/>
      </c>
      <c r="AF72">
        <f>IF(AC72,COUNTIF(AC$13:AC72,TRUE),"")</f>
        <v/>
      </c>
      <c r="AG72">
        <f>IF(AD72,COUNTIF(AD$13:AD72,TRUE),"")</f>
        <v/>
      </c>
      <c r="AI72">
        <f>IFERROR(INDEX($P$13:$P$162,MATCH(60,$AE$13:$AE$162,0)),"")</f>
        <v/>
      </c>
      <c r="AJ72">
        <f>IFERROR(INDEX(S$13:S$162,MATCH(60,$AE$13:$AE$162,0)),0)*$T$6</f>
        <v/>
      </c>
      <c r="AK72">
        <f>IFERROR(INDEX(T$13:T$162,MATCH(60,$AE$13:$AE$162,0)),0)*$T$6</f>
        <v/>
      </c>
      <c r="AL72">
        <f>IFERROR(INDEX(U$13:U$162,MATCH(60,$AE$13:$AE$162,0)),0)*$T$6</f>
        <v/>
      </c>
      <c r="AM72">
        <f>IFERROR(INDEX(V$13:V$162,MATCH(60,$AE$13:$AE$162,0)),0)*$T$6</f>
        <v/>
      </c>
      <c r="AN72">
        <f>IFERROR(INDEX(W$13:W$162,MATCH(60,$AE$13:$AE$162,0)),0)*$T$6</f>
        <v/>
      </c>
      <c r="AO72">
        <f>IFERROR(INDEX(X$13:X$162,MATCH(60,$AE$13:$AE$162,0)),0)*$T$6</f>
        <v/>
      </c>
      <c r="AP72">
        <f>IFERROR(INDEX(Y$13:Y$162,MATCH(60,$AE$13:$AE$162,0)),0)*$T$6</f>
        <v/>
      </c>
      <c r="AQ72">
        <f>IFERROR(INDEX(Z$13:Z$162,MATCH(60,$AE$13:$AE$162,0)),0)*$T$6</f>
        <v/>
      </c>
      <c r="AR72">
        <f>IFERROR(INDEX(AA$13:AA$162,MATCH(60,$AE$13:$AE$162,0)),0)*$T$6</f>
        <v/>
      </c>
      <c r="AS72">
        <f>IFERROR(INDEX($P$13:$P$162,MATCH(60,$AF$13:$AF$162,0)),"")</f>
        <v/>
      </c>
      <c r="AT72">
        <f>IFERROR(INDEX(S$13:S$162,MATCH(60,$AF$13:$AF$162,0)),0)*$T$7</f>
        <v/>
      </c>
      <c r="AU72">
        <f>IFERROR(INDEX(T$13:T$162,MATCH(60,$AF$13:$AF$162,0)),0)*$T$7</f>
        <v/>
      </c>
      <c r="AV72">
        <f>IFERROR(INDEX(U$13:U$162,MATCH(60,$AF$13:$AF$162,0)),0)*$T$7</f>
        <v/>
      </c>
      <c r="AW72">
        <f>IFERROR(INDEX(V$13:V$162,MATCH(60,$AF$13:$AF$162,0)),0)*$T$7</f>
        <v/>
      </c>
      <c r="AX72">
        <f>IFERROR(INDEX(W$13:W$162,MATCH(60,$AF$13:$AF$162,0)),0)*$T$7</f>
        <v/>
      </c>
      <c r="AY72">
        <f>IFERROR(INDEX(X$13:X$162,MATCH(60,$AF$13:$AF$162,0)),0)*$T$7</f>
        <v/>
      </c>
      <c r="AZ72">
        <f>IFERROR(INDEX(Y$13:Y$162,MATCH(60,$AF$13:$AF$162,0)),0)*$T$7</f>
        <v/>
      </c>
      <c r="BA72">
        <f>IFERROR(INDEX(Z$13:Z$162,MATCH(60,$AF$13:$AF$162,0)),0)*$T$7</f>
        <v/>
      </c>
      <c r="BB72">
        <f>IFERROR(INDEX(AA$13:AA$162,MATCH(60,$AF$13:$AF$162,0)),0)*$T$7</f>
        <v/>
      </c>
      <c r="BC72">
        <f>IFERROR(INDEX($P$13:$P$162,MATCH(60,$AG$13:$AG$162,0)),"")</f>
        <v/>
      </c>
      <c r="BD72">
        <f>IFERROR(INDEX(S$13:S$162,MATCH(60,$AG$13:$AG$162,0)),0)*($T$8+IF($C$10="",$T$9,0))</f>
        <v/>
      </c>
      <c r="BE72">
        <f>IFERROR(INDEX(T$13:T$162,MATCH(60,$AG$13:$AG$162,0)),0)*($T$8+IF($C$10="",$T$9,0))</f>
        <v/>
      </c>
      <c r="BF72">
        <f>IFERROR(INDEX(U$13:U$162,MATCH(60,$AG$13:$AG$162,0)),0)*($T$8+IF($C$10="",$T$9,0))</f>
        <v/>
      </c>
      <c r="BG72">
        <f>IFERROR(INDEX(V$13:V$162,MATCH(60,$AG$13:$AG$162,0)),0)*($T$8+IF($C$10="",$T$9,0))</f>
        <v/>
      </c>
      <c r="BH72">
        <f>IFERROR(INDEX(W$13:W$162,MATCH(60,$AG$13:$AG$162,0)),0)*($T$8+IF($C$10="",$T$9,0))</f>
        <v/>
      </c>
      <c r="BI72">
        <f>IFERROR(INDEX(X$13:X$162,MATCH(60,$AG$13:$AG$162,0)),0)*($T$8+IF($C$10="",$T$9,0))</f>
        <v/>
      </c>
      <c r="BJ72">
        <f>IFERROR(INDEX(Y$13:Y$162,MATCH(60,$AG$13:$AG$162,0)),0)*($T$8+IF($C$10="",$T$9,0))</f>
        <v/>
      </c>
      <c r="BK72">
        <f>IFERROR(INDEX(Z$13:Z$162,MATCH(60,$AG$13:$AG$162,0)),0)*($T$8+IF($C$10="",$T$9,0))</f>
        <v/>
      </c>
      <c r="BL72">
        <f>IFERROR(INDEX(AA$13:AA$162,MATCH(60,$AG$13:$AG$162,0)),0)*($T$8+IF($C$10="",$T$9,0))</f>
        <v/>
      </c>
      <c r="BN72">
        <f>IF(59&lt;$U$9,INT(59/($U$7*$U$8))+1,1)</f>
        <v/>
      </c>
      <c r="BO72">
        <f>IF(59&lt;$U$9,MOD(INT(59/$U$8),$U$7)+1,1)</f>
        <v/>
      </c>
      <c r="BP72">
        <f>IF(59&lt;$U$9,MOD(59,$U$8)+1,1)</f>
        <v/>
      </c>
      <c r="BQ72">
        <f>IF(59&lt;$U$9,SUMPRODUCT(($D$10:$L$10&lt;&gt;"")*(($D$9:$L$9+INT(($S$12:$AA$12+INDEX($AJ$13:$AR$162,BN72,0)+INDEX($AT$13:$BB$162,BO72,0)+INDEX($BD$13:$BL$162,BP72,0))/100))&gt;=$D$10:$L$10)),0)</f>
        <v/>
      </c>
      <c r="BR72">
        <f>IF(59&lt;$U$9,SUMPRODUCT(($D$10:$L$10&lt;&gt;"")*(($D$10:$L$10-($D$9:$L$9+INT(($S$12:$AA$12+INDEX($AJ$13:$AR$162,BN72,0)+INDEX($AT$13:$BB$162,BO72,0)+INDEX($BD$13:$BL$162,BP72,0))/100)))&gt;0)*($D$10:$L$10-($D$9:$L$9+INT(($S$12:$AA$12+INDEX($AJ$13:$AR$162,BN72,0)+INDEX($AT$13:$BB$162,BO72,0)+INDEX($BD$13:$BL$162,BP72,0))/100)))),0)</f>
        <v/>
      </c>
      <c r="BS72">
        <f>IF(59&lt;$U$9,SUMPRODUCT(($D$9:$L$9+INT(($S$12:$AA$12+INDEX($AJ$13:$AR$162,BN72,0)+INDEX($AT$13:$BB$162,BO72,0)+INDEX($BD$13:$BL$162,BP72,0))/100))),0)</f>
        <v/>
      </c>
      <c r="BT72">
        <f>IF(AND(59&lt;$U$9,$W$5),BQ72*1000000-MIN(BR72,999)*1000+BS72-59/100000,-1000000000-59)</f>
        <v/>
      </c>
      <c r="CF72">
        <f>IF($A72="","",IFERROR(MATCH($C72,'职业'!$C$3:$C$152,0),0))</f>
        <v/>
      </c>
      <c r="CG72">
        <f>IF($A72="","",CG71+MAX(0,D$7+IF($CF71=0,0,IFERROR(INDEX('职业'!F$3:F$152,$CF71)+0,0))))</f>
        <v/>
      </c>
      <c r="CH72">
        <f>IF($A72="","",CH71+MAX(0,E$7+IF($CF71=0,0,IFERROR(INDEX('职业'!G$3:G$152,$CF71)+0,0))))</f>
        <v/>
      </c>
      <c r="CI72">
        <f>IF($A72="","",CI71+MAX(0,F$7+IF($CF71=0,0,IFERROR(INDEX('职业'!H$3:H$152,$CF71)+0,0))))</f>
        <v/>
      </c>
      <c r="CJ72">
        <f>IF($A72="","",CJ71+MAX(0,G$7+IF($CF71=0,0,IFERROR(INDEX('职业'!I$3:I$152,$CF71)+0,0))))</f>
        <v/>
      </c>
      <c r="CK72">
        <f>IF($A72="","",CK71+MAX(0,H$7+IF($CF71=0,0,IFERROR(INDEX('职业'!J$3:J$152,$CF71)+0,0))))</f>
        <v/>
      </c>
      <c r="CL72">
        <f>IF($A72="","",CL71+MAX(0,I$7+IF($CF71=0,0,IFERROR(INDEX('职业'!K$3:K$152,$CF71)+0,0))))</f>
        <v/>
      </c>
      <c r="CM72">
        <f>IF($A72="","",CM71+MAX(0,J$7+IF($CF71=0,0,IFERROR(INDEX('职业'!L$3:L$152,$CF71)+0,0))))</f>
        <v/>
      </c>
      <c r="CN72">
        <f>IF($A72="","",CN71+MAX(0,K$7+IF($CF71=0,0,IFERROR(INDEX('职业'!M$3:M$152,$CF71)+0,0))))</f>
        <v/>
      </c>
      <c r="CO72">
        <f>IF($A72="","",CO71+MAX(0,L$7+IF($CF71=0,0,IFERROR(INDEX('职业'!N$3:N$152,$CF71)+0,0))))</f>
        <v/>
      </c>
    </row>
    <row r="73">
      <c r="A73" s="15">
        <f>IF(OR($B$9="",$B$10=""),"",IF($B$9+21&lt;=$B$10,$B$9+21,""))</f>
        <v/>
      </c>
      <c r="B73" s="15">
        <f>IF($A73="","",MATCH($A73,$BV$27:$BV$32,1))</f>
        <v/>
      </c>
      <c r="C73" s="15">
        <f>IF($A73="","",INDEX($BW$27:$BW$32,$B73))</f>
        <v/>
      </c>
      <c r="D73" s="15">
        <f>IF($A73="","",D$9+INT(($B$14+CG73)/100))</f>
        <v/>
      </c>
      <c r="E73" s="15">
        <f>IF($A73="","",E$9+INT(($B$14+CH73)/100))</f>
        <v/>
      </c>
      <c r="F73" s="15">
        <f>IF($A73="","",F$9+INT(($B$14+CI73)/100))</f>
        <v/>
      </c>
      <c r="G73" s="15">
        <f>IF($A73="","",G$9+INT(($B$14+CJ73)/100))</f>
        <v/>
      </c>
      <c r="H73" s="15">
        <f>IF($A73="","",H$9+INT(($B$14+CK73)/100))</f>
        <v/>
      </c>
      <c r="I73" s="15">
        <f>IF($A73="","",I$9+INT(($B$14+CL73)/100))</f>
        <v/>
      </c>
      <c r="J73" s="15">
        <f>IF($A73="","",J$9+INT(($B$14+CM73)/100))</f>
        <v/>
      </c>
      <c r="K73" s="15">
        <f>IF($A73="","",K$9+INT(($B$14+CN73)/100))</f>
        <v/>
      </c>
      <c r="L73" s="15">
        <f>IF($A73="","",L$9+INT(($B$14+CO73)/100))</f>
        <v/>
      </c>
      <c r="M73" s="16">
        <f>IF($A73="","",IF($C73&lt;&gt;$C72,"★ 转职 → 【"&amp;$C73&amp;"】","")&amp;IF($A73=$B$10,"（目标等级）",""))</f>
        <v/>
      </c>
      <c r="P73">
        <f>IF('职业'!$C63="","",'职业'!$C63)</f>
        <v/>
      </c>
      <c r="Q73">
        <f>N('职业'!$D63)</f>
        <v/>
      </c>
      <c r="R73">
        <f>'职业'!$E63&amp;""</f>
        <v/>
      </c>
      <c r="S73">
        <f>IF($P73="",0,MAX(0,D$7+N('职业'!F63)))</f>
        <v/>
      </c>
      <c r="T73">
        <f>IF($P73="",0,MAX(0,E$7+N('职业'!G63)))</f>
        <v/>
      </c>
      <c r="U73">
        <f>IF($P73="",0,MAX(0,F$7+N('职业'!H63)))</f>
        <v/>
      </c>
      <c r="V73">
        <f>IF($P73="",0,MAX(0,G$7+N('职业'!I63)))</f>
        <v/>
      </c>
      <c r="W73">
        <f>IF($P73="",0,MAX(0,H$7+N('职业'!J63)))</f>
        <v/>
      </c>
      <c r="X73">
        <f>IF($P73="",0,MAX(0,I$7+N('职业'!K63)))</f>
        <v/>
      </c>
      <c r="Y73">
        <f>IF($P73="",0,MAX(0,J$7+N('职业'!L63)))</f>
        <v/>
      </c>
      <c r="Z73">
        <f>IF($P73="",0,MAX(0,K$7+N('职业'!M63)))</f>
        <v/>
      </c>
      <c r="AA73">
        <f>IF($P73="",0,MAX(0,L$7+N('职业'!N63)))</f>
        <v/>
      </c>
      <c r="AB73">
        <f>AND($P73&lt;&gt;"",IF($U$5=1,$P73=$C$10,OR($P73=$C$9,AND($R73="是",$Q73&lt;=MAX($B$9,$Q$6)))))</f>
        <v/>
      </c>
      <c r="AC73">
        <f>AND($P73&lt;&gt;"",IF($U$5=2,$P73=$C$10,OR($P73=$C$9,AND($R73="是",$Q73&lt;=MAX($B$9,$Q$7)))))</f>
        <v/>
      </c>
      <c r="AD73">
        <f>AND($P73&lt;&gt;"",IF($U$5=3,$P73=$C$10,OR($P73=$C$9,AND($R73="是",$Q73&lt;=MAX($B$9,$Q$8)))))</f>
        <v/>
      </c>
      <c r="AE73">
        <f>IF(AB73,COUNTIF(AB$13:AB73,TRUE),"")</f>
        <v/>
      </c>
      <c r="AF73">
        <f>IF(AC73,COUNTIF(AC$13:AC73,TRUE),"")</f>
        <v/>
      </c>
      <c r="AG73">
        <f>IF(AD73,COUNTIF(AD$13:AD73,TRUE),"")</f>
        <v/>
      </c>
      <c r="AI73">
        <f>IFERROR(INDEX($P$13:$P$162,MATCH(61,$AE$13:$AE$162,0)),"")</f>
        <v/>
      </c>
      <c r="AJ73">
        <f>IFERROR(INDEX(S$13:S$162,MATCH(61,$AE$13:$AE$162,0)),0)*$T$6</f>
        <v/>
      </c>
      <c r="AK73">
        <f>IFERROR(INDEX(T$13:T$162,MATCH(61,$AE$13:$AE$162,0)),0)*$T$6</f>
        <v/>
      </c>
      <c r="AL73">
        <f>IFERROR(INDEX(U$13:U$162,MATCH(61,$AE$13:$AE$162,0)),0)*$T$6</f>
        <v/>
      </c>
      <c r="AM73">
        <f>IFERROR(INDEX(V$13:V$162,MATCH(61,$AE$13:$AE$162,0)),0)*$T$6</f>
        <v/>
      </c>
      <c r="AN73">
        <f>IFERROR(INDEX(W$13:W$162,MATCH(61,$AE$13:$AE$162,0)),0)*$T$6</f>
        <v/>
      </c>
      <c r="AO73">
        <f>IFERROR(INDEX(X$13:X$162,MATCH(61,$AE$13:$AE$162,0)),0)*$T$6</f>
        <v/>
      </c>
      <c r="AP73">
        <f>IFERROR(INDEX(Y$13:Y$162,MATCH(61,$AE$13:$AE$162,0)),0)*$T$6</f>
        <v/>
      </c>
      <c r="AQ73">
        <f>IFERROR(INDEX(Z$13:Z$162,MATCH(61,$AE$13:$AE$162,0)),0)*$T$6</f>
        <v/>
      </c>
      <c r="AR73">
        <f>IFERROR(INDEX(AA$13:AA$162,MATCH(61,$AE$13:$AE$162,0)),0)*$T$6</f>
        <v/>
      </c>
      <c r="AS73">
        <f>IFERROR(INDEX($P$13:$P$162,MATCH(61,$AF$13:$AF$162,0)),"")</f>
        <v/>
      </c>
      <c r="AT73">
        <f>IFERROR(INDEX(S$13:S$162,MATCH(61,$AF$13:$AF$162,0)),0)*$T$7</f>
        <v/>
      </c>
      <c r="AU73">
        <f>IFERROR(INDEX(T$13:T$162,MATCH(61,$AF$13:$AF$162,0)),0)*$T$7</f>
        <v/>
      </c>
      <c r="AV73">
        <f>IFERROR(INDEX(U$13:U$162,MATCH(61,$AF$13:$AF$162,0)),0)*$T$7</f>
        <v/>
      </c>
      <c r="AW73">
        <f>IFERROR(INDEX(V$13:V$162,MATCH(61,$AF$13:$AF$162,0)),0)*$T$7</f>
        <v/>
      </c>
      <c r="AX73">
        <f>IFERROR(INDEX(W$13:W$162,MATCH(61,$AF$13:$AF$162,0)),0)*$T$7</f>
        <v/>
      </c>
      <c r="AY73">
        <f>IFERROR(INDEX(X$13:X$162,MATCH(61,$AF$13:$AF$162,0)),0)*$T$7</f>
        <v/>
      </c>
      <c r="AZ73">
        <f>IFERROR(INDEX(Y$13:Y$162,MATCH(61,$AF$13:$AF$162,0)),0)*$T$7</f>
        <v/>
      </c>
      <c r="BA73">
        <f>IFERROR(INDEX(Z$13:Z$162,MATCH(61,$AF$13:$AF$162,0)),0)*$T$7</f>
        <v/>
      </c>
      <c r="BB73">
        <f>IFERROR(INDEX(AA$13:AA$162,MATCH(61,$AF$13:$AF$162,0)),0)*$T$7</f>
        <v/>
      </c>
      <c r="BC73">
        <f>IFERROR(INDEX($P$13:$P$162,MATCH(61,$AG$13:$AG$162,0)),"")</f>
        <v/>
      </c>
      <c r="BD73">
        <f>IFERROR(INDEX(S$13:S$162,MATCH(61,$AG$13:$AG$162,0)),0)*($T$8+IF($C$10="",$T$9,0))</f>
        <v/>
      </c>
      <c r="BE73">
        <f>IFERROR(INDEX(T$13:T$162,MATCH(61,$AG$13:$AG$162,0)),0)*($T$8+IF($C$10="",$T$9,0))</f>
        <v/>
      </c>
      <c r="BF73">
        <f>IFERROR(INDEX(U$13:U$162,MATCH(61,$AG$13:$AG$162,0)),0)*($T$8+IF($C$10="",$T$9,0))</f>
        <v/>
      </c>
      <c r="BG73">
        <f>IFERROR(INDEX(V$13:V$162,MATCH(61,$AG$13:$AG$162,0)),0)*($T$8+IF($C$10="",$T$9,0))</f>
        <v/>
      </c>
      <c r="BH73">
        <f>IFERROR(INDEX(W$13:W$162,MATCH(61,$AG$13:$AG$162,0)),0)*($T$8+IF($C$10="",$T$9,0))</f>
        <v/>
      </c>
      <c r="BI73">
        <f>IFERROR(INDEX(X$13:X$162,MATCH(61,$AG$13:$AG$162,0)),0)*($T$8+IF($C$10="",$T$9,0))</f>
        <v/>
      </c>
      <c r="BJ73">
        <f>IFERROR(INDEX(Y$13:Y$162,MATCH(61,$AG$13:$AG$162,0)),0)*($T$8+IF($C$10="",$T$9,0))</f>
        <v/>
      </c>
      <c r="BK73">
        <f>IFERROR(INDEX(Z$13:Z$162,MATCH(61,$AG$13:$AG$162,0)),0)*($T$8+IF($C$10="",$T$9,0))</f>
        <v/>
      </c>
      <c r="BL73">
        <f>IFERROR(INDEX(AA$13:AA$162,MATCH(61,$AG$13:$AG$162,0)),0)*($T$8+IF($C$10="",$T$9,0))</f>
        <v/>
      </c>
      <c r="BN73">
        <f>IF(60&lt;$U$9,INT(60/($U$7*$U$8))+1,1)</f>
        <v/>
      </c>
      <c r="BO73">
        <f>IF(60&lt;$U$9,MOD(INT(60/$U$8),$U$7)+1,1)</f>
        <v/>
      </c>
      <c r="BP73">
        <f>IF(60&lt;$U$9,MOD(60,$U$8)+1,1)</f>
        <v/>
      </c>
      <c r="BQ73">
        <f>IF(60&lt;$U$9,SUMPRODUCT(($D$10:$L$10&lt;&gt;"")*(($D$9:$L$9+INT(($S$12:$AA$12+INDEX($AJ$13:$AR$162,BN73,0)+INDEX($AT$13:$BB$162,BO73,0)+INDEX($BD$13:$BL$162,BP73,0))/100))&gt;=$D$10:$L$10)),0)</f>
        <v/>
      </c>
      <c r="BR73">
        <f>IF(60&lt;$U$9,SUMPRODUCT(($D$10:$L$10&lt;&gt;"")*(($D$10:$L$10-($D$9:$L$9+INT(($S$12:$AA$12+INDEX($AJ$13:$AR$162,BN73,0)+INDEX($AT$13:$BB$162,BO73,0)+INDEX($BD$13:$BL$162,BP73,0))/100)))&gt;0)*($D$10:$L$10-($D$9:$L$9+INT(($S$12:$AA$12+INDEX($AJ$13:$AR$162,BN73,0)+INDEX($AT$13:$BB$162,BO73,0)+INDEX($BD$13:$BL$162,BP73,0))/100)))),0)</f>
        <v/>
      </c>
      <c r="BS73">
        <f>IF(60&lt;$U$9,SUMPRODUCT(($D$9:$L$9+INT(($S$12:$AA$12+INDEX($AJ$13:$AR$162,BN73,0)+INDEX($AT$13:$BB$162,BO73,0)+INDEX($BD$13:$BL$162,BP73,0))/100))),0)</f>
        <v/>
      </c>
      <c r="BT73">
        <f>IF(AND(60&lt;$U$9,$W$5),BQ73*1000000-MIN(BR73,999)*1000+BS73-60/100000,-1000000000-60)</f>
        <v/>
      </c>
      <c r="CF73">
        <f>IF($A73="","",IFERROR(MATCH($C73,'职业'!$C$3:$C$152,0),0))</f>
        <v/>
      </c>
      <c r="CG73">
        <f>IF($A73="","",CG72+MAX(0,D$7+IF($CF72=0,0,IFERROR(INDEX('职业'!F$3:F$152,$CF72)+0,0))))</f>
        <v/>
      </c>
      <c r="CH73">
        <f>IF($A73="","",CH72+MAX(0,E$7+IF($CF72=0,0,IFERROR(INDEX('职业'!G$3:G$152,$CF72)+0,0))))</f>
        <v/>
      </c>
      <c r="CI73">
        <f>IF($A73="","",CI72+MAX(0,F$7+IF($CF72=0,0,IFERROR(INDEX('职业'!H$3:H$152,$CF72)+0,0))))</f>
        <v/>
      </c>
      <c r="CJ73">
        <f>IF($A73="","",CJ72+MAX(0,G$7+IF($CF72=0,0,IFERROR(INDEX('职业'!I$3:I$152,$CF72)+0,0))))</f>
        <v/>
      </c>
      <c r="CK73">
        <f>IF($A73="","",CK72+MAX(0,H$7+IF($CF72=0,0,IFERROR(INDEX('职业'!J$3:J$152,$CF72)+0,0))))</f>
        <v/>
      </c>
      <c r="CL73">
        <f>IF($A73="","",CL72+MAX(0,I$7+IF($CF72=0,0,IFERROR(INDEX('职业'!K$3:K$152,$CF72)+0,0))))</f>
        <v/>
      </c>
      <c r="CM73">
        <f>IF($A73="","",CM72+MAX(0,J$7+IF($CF72=0,0,IFERROR(INDEX('职业'!L$3:L$152,$CF72)+0,0))))</f>
        <v/>
      </c>
      <c r="CN73">
        <f>IF($A73="","",CN72+MAX(0,K$7+IF($CF72=0,0,IFERROR(INDEX('职业'!M$3:M$152,$CF72)+0,0))))</f>
        <v/>
      </c>
      <c r="CO73">
        <f>IF($A73="","",CO72+MAX(0,L$7+IF($CF72=0,0,IFERROR(INDEX('职业'!N$3:N$152,$CF72)+0,0))))</f>
        <v/>
      </c>
    </row>
    <row r="74">
      <c r="A74" s="15">
        <f>IF(OR($B$9="",$B$10=""),"",IF($B$9+22&lt;=$B$10,$B$9+22,""))</f>
        <v/>
      </c>
      <c r="B74" s="15">
        <f>IF($A74="","",MATCH($A74,$BV$27:$BV$32,1))</f>
        <v/>
      </c>
      <c r="C74" s="15">
        <f>IF($A74="","",INDEX($BW$27:$BW$32,$B74))</f>
        <v/>
      </c>
      <c r="D74" s="15">
        <f>IF($A74="","",D$9+INT(($B$14+CG74)/100))</f>
        <v/>
      </c>
      <c r="E74" s="15">
        <f>IF($A74="","",E$9+INT(($B$14+CH74)/100))</f>
        <v/>
      </c>
      <c r="F74" s="15">
        <f>IF($A74="","",F$9+INT(($B$14+CI74)/100))</f>
        <v/>
      </c>
      <c r="G74" s="15">
        <f>IF($A74="","",G$9+INT(($B$14+CJ74)/100))</f>
        <v/>
      </c>
      <c r="H74" s="15">
        <f>IF($A74="","",H$9+INT(($B$14+CK74)/100))</f>
        <v/>
      </c>
      <c r="I74" s="15">
        <f>IF($A74="","",I$9+INT(($B$14+CL74)/100))</f>
        <v/>
      </c>
      <c r="J74" s="15">
        <f>IF($A74="","",J$9+INT(($B$14+CM74)/100))</f>
        <v/>
      </c>
      <c r="K74" s="15">
        <f>IF($A74="","",K$9+INT(($B$14+CN74)/100))</f>
        <v/>
      </c>
      <c r="L74" s="15">
        <f>IF($A74="","",L$9+INT(($B$14+CO74)/100))</f>
        <v/>
      </c>
      <c r="M74" s="16">
        <f>IF($A74="","",IF($C74&lt;&gt;$C73,"★ 转职 → 【"&amp;$C74&amp;"】","")&amp;IF($A74=$B$10,"（目标等级）",""))</f>
        <v/>
      </c>
      <c r="P74">
        <f>IF('职业'!$C64="","",'职业'!$C64)</f>
        <v/>
      </c>
      <c r="Q74">
        <f>N('职业'!$D64)</f>
        <v/>
      </c>
      <c r="R74">
        <f>'职业'!$E64&amp;""</f>
        <v/>
      </c>
      <c r="S74">
        <f>IF($P74="",0,MAX(0,D$7+N('职业'!F64)))</f>
        <v/>
      </c>
      <c r="T74">
        <f>IF($P74="",0,MAX(0,E$7+N('职业'!G64)))</f>
        <v/>
      </c>
      <c r="U74">
        <f>IF($P74="",0,MAX(0,F$7+N('职业'!H64)))</f>
        <v/>
      </c>
      <c r="V74">
        <f>IF($P74="",0,MAX(0,G$7+N('职业'!I64)))</f>
        <v/>
      </c>
      <c r="W74">
        <f>IF($P74="",0,MAX(0,H$7+N('职业'!J64)))</f>
        <v/>
      </c>
      <c r="X74">
        <f>IF($P74="",0,MAX(0,I$7+N('职业'!K64)))</f>
        <v/>
      </c>
      <c r="Y74">
        <f>IF($P74="",0,MAX(0,J$7+N('职业'!L64)))</f>
        <v/>
      </c>
      <c r="Z74">
        <f>IF($P74="",0,MAX(0,K$7+N('职业'!M64)))</f>
        <v/>
      </c>
      <c r="AA74">
        <f>IF($P74="",0,MAX(0,L$7+N('职业'!N64)))</f>
        <v/>
      </c>
      <c r="AB74">
        <f>AND($P74&lt;&gt;"",IF($U$5=1,$P74=$C$10,OR($P74=$C$9,AND($R74="是",$Q74&lt;=MAX($B$9,$Q$6)))))</f>
        <v/>
      </c>
      <c r="AC74">
        <f>AND($P74&lt;&gt;"",IF($U$5=2,$P74=$C$10,OR($P74=$C$9,AND($R74="是",$Q74&lt;=MAX($B$9,$Q$7)))))</f>
        <v/>
      </c>
      <c r="AD74">
        <f>AND($P74&lt;&gt;"",IF($U$5=3,$P74=$C$10,OR($P74=$C$9,AND($R74="是",$Q74&lt;=MAX($B$9,$Q$8)))))</f>
        <v/>
      </c>
      <c r="AE74">
        <f>IF(AB74,COUNTIF(AB$13:AB74,TRUE),"")</f>
        <v/>
      </c>
      <c r="AF74">
        <f>IF(AC74,COUNTIF(AC$13:AC74,TRUE),"")</f>
        <v/>
      </c>
      <c r="AG74">
        <f>IF(AD74,COUNTIF(AD$13:AD74,TRUE),"")</f>
        <v/>
      </c>
      <c r="AI74">
        <f>IFERROR(INDEX($P$13:$P$162,MATCH(62,$AE$13:$AE$162,0)),"")</f>
        <v/>
      </c>
      <c r="AJ74">
        <f>IFERROR(INDEX(S$13:S$162,MATCH(62,$AE$13:$AE$162,0)),0)*$T$6</f>
        <v/>
      </c>
      <c r="AK74">
        <f>IFERROR(INDEX(T$13:T$162,MATCH(62,$AE$13:$AE$162,0)),0)*$T$6</f>
        <v/>
      </c>
      <c r="AL74">
        <f>IFERROR(INDEX(U$13:U$162,MATCH(62,$AE$13:$AE$162,0)),0)*$T$6</f>
        <v/>
      </c>
      <c r="AM74">
        <f>IFERROR(INDEX(V$13:V$162,MATCH(62,$AE$13:$AE$162,0)),0)*$T$6</f>
        <v/>
      </c>
      <c r="AN74">
        <f>IFERROR(INDEX(W$13:W$162,MATCH(62,$AE$13:$AE$162,0)),0)*$T$6</f>
        <v/>
      </c>
      <c r="AO74">
        <f>IFERROR(INDEX(X$13:X$162,MATCH(62,$AE$13:$AE$162,0)),0)*$T$6</f>
        <v/>
      </c>
      <c r="AP74">
        <f>IFERROR(INDEX(Y$13:Y$162,MATCH(62,$AE$13:$AE$162,0)),0)*$T$6</f>
        <v/>
      </c>
      <c r="AQ74">
        <f>IFERROR(INDEX(Z$13:Z$162,MATCH(62,$AE$13:$AE$162,0)),0)*$T$6</f>
        <v/>
      </c>
      <c r="AR74">
        <f>IFERROR(INDEX(AA$13:AA$162,MATCH(62,$AE$13:$AE$162,0)),0)*$T$6</f>
        <v/>
      </c>
      <c r="AS74">
        <f>IFERROR(INDEX($P$13:$P$162,MATCH(62,$AF$13:$AF$162,0)),"")</f>
        <v/>
      </c>
      <c r="AT74">
        <f>IFERROR(INDEX(S$13:S$162,MATCH(62,$AF$13:$AF$162,0)),0)*$T$7</f>
        <v/>
      </c>
      <c r="AU74">
        <f>IFERROR(INDEX(T$13:T$162,MATCH(62,$AF$13:$AF$162,0)),0)*$T$7</f>
        <v/>
      </c>
      <c r="AV74">
        <f>IFERROR(INDEX(U$13:U$162,MATCH(62,$AF$13:$AF$162,0)),0)*$T$7</f>
        <v/>
      </c>
      <c r="AW74">
        <f>IFERROR(INDEX(V$13:V$162,MATCH(62,$AF$13:$AF$162,0)),0)*$T$7</f>
        <v/>
      </c>
      <c r="AX74">
        <f>IFERROR(INDEX(W$13:W$162,MATCH(62,$AF$13:$AF$162,0)),0)*$T$7</f>
        <v/>
      </c>
      <c r="AY74">
        <f>IFERROR(INDEX(X$13:X$162,MATCH(62,$AF$13:$AF$162,0)),0)*$T$7</f>
        <v/>
      </c>
      <c r="AZ74">
        <f>IFERROR(INDEX(Y$13:Y$162,MATCH(62,$AF$13:$AF$162,0)),0)*$T$7</f>
        <v/>
      </c>
      <c r="BA74">
        <f>IFERROR(INDEX(Z$13:Z$162,MATCH(62,$AF$13:$AF$162,0)),0)*$T$7</f>
        <v/>
      </c>
      <c r="BB74">
        <f>IFERROR(INDEX(AA$13:AA$162,MATCH(62,$AF$13:$AF$162,0)),0)*$T$7</f>
        <v/>
      </c>
      <c r="BC74">
        <f>IFERROR(INDEX($P$13:$P$162,MATCH(62,$AG$13:$AG$162,0)),"")</f>
        <v/>
      </c>
      <c r="BD74">
        <f>IFERROR(INDEX(S$13:S$162,MATCH(62,$AG$13:$AG$162,0)),0)*($T$8+IF($C$10="",$T$9,0))</f>
        <v/>
      </c>
      <c r="BE74">
        <f>IFERROR(INDEX(T$13:T$162,MATCH(62,$AG$13:$AG$162,0)),0)*($T$8+IF($C$10="",$T$9,0))</f>
        <v/>
      </c>
      <c r="BF74">
        <f>IFERROR(INDEX(U$13:U$162,MATCH(62,$AG$13:$AG$162,0)),0)*($T$8+IF($C$10="",$T$9,0))</f>
        <v/>
      </c>
      <c r="BG74">
        <f>IFERROR(INDEX(V$13:V$162,MATCH(62,$AG$13:$AG$162,0)),0)*($T$8+IF($C$10="",$T$9,0))</f>
        <v/>
      </c>
      <c r="BH74">
        <f>IFERROR(INDEX(W$13:W$162,MATCH(62,$AG$13:$AG$162,0)),0)*($T$8+IF($C$10="",$T$9,0))</f>
        <v/>
      </c>
      <c r="BI74">
        <f>IFERROR(INDEX(X$13:X$162,MATCH(62,$AG$13:$AG$162,0)),0)*($T$8+IF($C$10="",$T$9,0))</f>
        <v/>
      </c>
      <c r="BJ74">
        <f>IFERROR(INDEX(Y$13:Y$162,MATCH(62,$AG$13:$AG$162,0)),0)*($T$8+IF($C$10="",$T$9,0))</f>
        <v/>
      </c>
      <c r="BK74">
        <f>IFERROR(INDEX(Z$13:Z$162,MATCH(62,$AG$13:$AG$162,0)),0)*($T$8+IF($C$10="",$T$9,0))</f>
        <v/>
      </c>
      <c r="BL74">
        <f>IFERROR(INDEX(AA$13:AA$162,MATCH(62,$AG$13:$AG$162,0)),0)*($T$8+IF($C$10="",$T$9,0))</f>
        <v/>
      </c>
      <c r="BN74">
        <f>IF(61&lt;$U$9,INT(61/($U$7*$U$8))+1,1)</f>
        <v/>
      </c>
      <c r="BO74">
        <f>IF(61&lt;$U$9,MOD(INT(61/$U$8),$U$7)+1,1)</f>
        <v/>
      </c>
      <c r="BP74">
        <f>IF(61&lt;$U$9,MOD(61,$U$8)+1,1)</f>
        <v/>
      </c>
      <c r="BQ74">
        <f>IF(61&lt;$U$9,SUMPRODUCT(($D$10:$L$10&lt;&gt;"")*(($D$9:$L$9+INT(($S$12:$AA$12+INDEX($AJ$13:$AR$162,BN74,0)+INDEX($AT$13:$BB$162,BO74,0)+INDEX($BD$13:$BL$162,BP74,0))/100))&gt;=$D$10:$L$10)),0)</f>
        <v/>
      </c>
      <c r="BR74">
        <f>IF(61&lt;$U$9,SUMPRODUCT(($D$10:$L$10&lt;&gt;"")*(($D$10:$L$10-($D$9:$L$9+INT(($S$12:$AA$12+INDEX($AJ$13:$AR$162,BN74,0)+INDEX($AT$13:$BB$162,BO74,0)+INDEX($BD$13:$BL$162,BP74,0))/100)))&gt;0)*($D$10:$L$10-($D$9:$L$9+INT(($S$12:$AA$12+INDEX($AJ$13:$AR$162,BN74,0)+INDEX($AT$13:$BB$162,BO74,0)+INDEX($BD$13:$BL$162,BP74,0))/100)))),0)</f>
        <v/>
      </c>
      <c r="BS74">
        <f>IF(61&lt;$U$9,SUMPRODUCT(($D$9:$L$9+INT(($S$12:$AA$12+INDEX($AJ$13:$AR$162,BN74,0)+INDEX($AT$13:$BB$162,BO74,0)+INDEX($BD$13:$BL$162,BP74,0))/100))),0)</f>
        <v/>
      </c>
      <c r="BT74">
        <f>IF(AND(61&lt;$U$9,$W$5),BQ74*1000000-MIN(BR74,999)*1000+BS74-61/100000,-1000000000-61)</f>
        <v/>
      </c>
      <c r="CF74">
        <f>IF($A74="","",IFERROR(MATCH($C74,'职业'!$C$3:$C$152,0),0))</f>
        <v/>
      </c>
      <c r="CG74">
        <f>IF($A74="","",CG73+MAX(0,D$7+IF($CF73=0,0,IFERROR(INDEX('职业'!F$3:F$152,$CF73)+0,0))))</f>
        <v/>
      </c>
      <c r="CH74">
        <f>IF($A74="","",CH73+MAX(0,E$7+IF($CF73=0,0,IFERROR(INDEX('职业'!G$3:G$152,$CF73)+0,0))))</f>
        <v/>
      </c>
      <c r="CI74">
        <f>IF($A74="","",CI73+MAX(0,F$7+IF($CF73=0,0,IFERROR(INDEX('职业'!H$3:H$152,$CF73)+0,0))))</f>
        <v/>
      </c>
      <c r="CJ74">
        <f>IF($A74="","",CJ73+MAX(0,G$7+IF($CF73=0,0,IFERROR(INDEX('职业'!I$3:I$152,$CF73)+0,0))))</f>
        <v/>
      </c>
      <c r="CK74">
        <f>IF($A74="","",CK73+MAX(0,H$7+IF($CF73=0,0,IFERROR(INDEX('职业'!J$3:J$152,$CF73)+0,0))))</f>
        <v/>
      </c>
      <c r="CL74">
        <f>IF($A74="","",CL73+MAX(0,I$7+IF($CF73=0,0,IFERROR(INDEX('职业'!K$3:K$152,$CF73)+0,0))))</f>
        <v/>
      </c>
      <c r="CM74">
        <f>IF($A74="","",CM73+MAX(0,J$7+IF($CF73=0,0,IFERROR(INDEX('职业'!L$3:L$152,$CF73)+0,0))))</f>
        <v/>
      </c>
      <c r="CN74">
        <f>IF($A74="","",CN73+MAX(0,K$7+IF($CF73=0,0,IFERROR(INDEX('职业'!M$3:M$152,$CF73)+0,0))))</f>
        <v/>
      </c>
      <c r="CO74">
        <f>IF($A74="","",CO73+MAX(0,L$7+IF($CF73=0,0,IFERROR(INDEX('职业'!N$3:N$152,$CF73)+0,0))))</f>
        <v/>
      </c>
    </row>
    <row r="75">
      <c r="A75" s="15">
        <f>IF(OR($B$9="",$B$10=""),"",IF($B$9+23&lt;=$B$10,$B$9+23,""))</f>
        <v/>
      </c>
      <c r="B75" s="15">
        <f>IF($A75="","",MATCH($A75,$BV$27:$BV$32,1))</f>
        <v/>
      </c>
      <c r="C75" s="15">
        <f>IF($A75="","",INDEX($BW$27:$BW$32,$B75))</f>
        <v/>
      </c>
      <c r="D75" s="15">
        <f>IF($A75="","",D$9+INT(($B$14+CG75)/100))</f>
        <v/>
      </c>
      <c r="E75" s="15">
        <f>IF($A75="","",E$9+INT(($B$14+CH75)/100))</f>
        <v/>
      </c>
      <c r="F75" s="15">
        <f>IF($A75="","",F$9+INT(($B$14+CI75)/100))</f>
        <v/>
      </c>
      <c r="G75" s="15">
        <f>IF($A75="","",G$9+INT(($B$14+CJ75)/100))</f>
        <v/>
      </c>
      <c r="H75" s="15">
        <f>IF($A75="","",H$9+INT(($B$14+CK75)/100))</f>
        <v/>
      </c>
      <c r="I75" s="15">
        <f>IF($A75="","",I$9+INT(($B$14+CL75)/100))</f>
        <v/>
      </c>
      <c r="J75" s="15">
        <f>IF($A75="","",J$9+INT(($B$14+CM75)/100))</f>
        <v/>
      </c>
      <c r="K75" s="15">
        <f>IF($A75="","",K$9+INT(($B$14+CN75)/100))</f>
        <v/>
      </c>
      <c r="L75" s="15">
        <f>IF($A75="","",L$9+INT(($B$14+CO75)/100))</f>
        <v/>
      </c>
      <c r="M75" s="16">
        <f>IF($A75="","",IF($C75&lt;&gt;$C74,"★ 转职 → 【"&amp;$C75&amp;"】","")&amp;IF($A75=$B$10,"（目标等级）",""))</f>
        <v/>
      </c>
      <c r="P75">
        <f>IF('职业'!$C65="","",'职业'!$C65)</f>
        <v/>
      </c>
      <c r="Q75">
        <f>N('职业'!$D65)</f>
        <v/>
      </c>
      <c r="R75">
        <f>'职业'!$E65&amp;""</f>
        <v/>
      </c>
      <c r="S75">
        <f>IF($P75="",0,MAX(0,D$7+N('职业'!F65)))</f>
        <v/>
      </c>
      <c r="T75">
        <f>IF($P75="",0,MAX(0,E$7+N('职业'!G65)))</f>
        <v/>
      </c>
      <c r="U75">
        <f>IF($P75="",0,MAX(0,F$7+N('职业'!H65)))</f>
        <v/>
      </c>
      <c r="V75">
        <f>IF($P75="",0,MAX(0,G$7+N('职业'!I65)))</f>
        <v/>
      </c>
      <c r="W75">
        <f>IF($P75="",0,MAX(0,H$7+N('职业'!J65)))</f>
        <v/>
      </c>
      <c r="X75">
        <f>IF($P75="",0,MAX(0,I$7+N('职业'!K65)))</f>
        <v/>
      </c>
      <c r="Y75">
        <f>IF($P75="",0,MAX(0,J$7+N('职业'!L65)))</f>
        <v/>
      </c>
      <c r="Z75">
        <f>IF($P75="",0,MAX(0,K$7+N('职业'!M65)))</f>
        <v/>
      </c>
      <c r="AA75">
        <f>IF($P75="",0,MAX(0,L$7+N('职业'!N65)))</f>
        <v/>
      </c>
      <c r="AB75">
        <f>AND($P75&lt;&gt;"",IF($U$5=1,$P75=$C$10,OR($P75=$C$9,AND($R75="是",$Q75&lt;=MAX($B$9,$Q$6)))))</f>
        <v/>
      </c>
      <c r="AC75">
        <f>AND($P75&lt;&gt;"",IF($U$5=2,$P75=$C$10,OR($P75=$C$9,AND($R75="是",$Q75&lt;=MAX($B$9,$Q$7)))))</f>
        <v/>
      </c>
      <c r="AD75">
        <f>AND($P75&lt;&gt;"",IF($U$5=3,$P75=$C$10,OR($P75=$C$9,AND($R75="是",$Q75&lt;=MAX($B$9,$Q$8)))))</f>
        <v/>
      </c>
      <c r="AE75">
        <f>IF(AB75,COUNTIF(AB$13:AB75,TRUE),"")</f>
        <v/>
      </c>
      <c r="AF75">
        <f>IF(AC75,COUNTIF(AC$13:AC75,TRUE),"")</f>
        <v/>
      </c>
      <c r="AG75">
        <f>IF(AD75,COUNTIF(AD$13:AD75,TRUE),"")</f>
        <v/>
      </c>
      <c r="AI75">
        <f>IFERROR(INDEX($P$13:$P$162,MATCH(63,$AE$13:$AE$162,0)),"")</f>
        <v/>
      </c>
      <c r="AJ75">
        <f>IFERROR(INDEX(S$13:S$162,MATCH(63,$AE$13:$AE$162,0)),0)*$T$6</f>
        <v/>
      </c>
      <c r="AK75">
        <f>IFERROR(INDEX(T$13:T$162,MATCH(63,$AE$13:$AE$162,0)),0)*$T$6</f>
        <v/>
      </c>
      <c r="AL75">
        <f>IFERROR(INDEX(U$13:U$162,MATCH(63,$AE$13:$AE$162,0)),0)*$T$6</f>
        <v/>
      </c>
      <c r="AM75">
        <f>IFERROR(INDEX(V$13:V$162,MATCH(63,$AE$13:$AE$162,0)),0)*$T$6</f>
        <v/>
      </c>
      <c r="AN75">
        <f>IFERROR(INDEX(W$13:W$162,MATCH(63,$AE$13:$AE$162,0)),0)*$T$6</f>
        <v/>
      </c>
      <c r="AO75">
        <f>IFERROR(INDEX(X$13:X$162,MATCH(63,$AE$13:$AE$162,0)),0)*$T$6</f>
        <v/>
      </c>
      <c r="AP75">
        <f>IFERROR(INDEX(Y$13:Y$162,MATCH(63,$AE$13:$AE$162,0)),0)*$T$6</f>
        <v/>
      </c>
      <c r="AQ75">
        <f>IFERROR(INDEX(Z$13:Z$162,MATCH(63,$AE$13:$AE$162,0)),0)*$T$6</f>
        <v/>
      </c>
      <c r="AR75">
        <f>IFERROR(INDEX(AA$13:AA$162,MATCH(63,$AE$13:$AE$162,0)),0)*$T$6</f>
        <v/>
      </c>
      <c r="AS75">
        <f>IFERROR(INDEX($P$13:$P$162,MATCH(63,$AF$13:$AF$162,0)),"")</f>
        <v/>
      </c>
      <c r="AT75">
        <f>IFERROR(INDEX(S$13:S$162,MATCH(63,$AF$13:$AF$162,0)),0)*$T$7</f>
        <v/>
      </c>
      <c r="AU75">
        <f>IFERROR(INDEX(T$13:T$162,MATCH(63,$AF$13:$AF$162,0)),0)*$T$7</f>
        <v/>
      </c>
      <c r="AV75">
        <f>IFERROR(INDEX(U$13:U$162,MATCH(63,$AF$13:$AF$162,0)),0)*$T$7</f>
        <v/>
      </c>
      <c r="AW75">
        <f>IFERROR(INDEX(V$13:V$162,MATCH(63,$AF$13:$AF$162,0)),0)*$T$7</f>
        <v/>
      </c>
      <c r="AX75">
        <f>IFERROR(INDEX(W$13:W$162,MATCH(63,$AF$13:$AF$162,0)),0)*$T$7</f>
        <v/>
      </c>
      <c r="AY75">
        <f>IFERROR(INDEX(X$13:X$162,MATCH(63,$AF$13:$AF$162,0)),0)*$T$7</f>
        <v/>
      </c>
      <c r="AZ75">
        <f>IFERROR(INDEX(Y$13:Y$162,MATCH(63,$AF$13:$AF$162,0)),0)*$T$7</f>
        <v/>
      </c>
      <c r="BA75">
        <f>IFERROR(INDEX(Z$13:Z$162,MATCH(63,$AF$13:$AF$162,0)),0)*$T$7</f>
        <v/>
      </c>
      <c r="BB75">
        <f>IFERROR(INDEX(AA$13:AA$162,MATCH(63,$AF$13:$AF$162,0)),0)*$T$7</f>
        <v/>
      </c>
      <c r="BC75">
        <f>IFERROR(INDEX($P$13:$P$162,MATCH(63,$AG$13:$AG$162,0)),"")</f>
        <v/>
      </c>
      <c r="BD75">
        <f>IFERROR(INDEX(S$13:S$162,MATCH(63,$AG$13:$AG$162,0)),0)*($T$8+IF($C$10="",$T$9,0))</f>
        <v/>
      </c>
      <c r="BE75">
        <f>IFERROR(INDEX(T$13:T$162,MATCH(63,$AG$13:$AG$162,0)),0)*($T$8+IF($C$10="",$T$9,0))</f>
        <v/>
      </c>
      <c r="BF75">
        <f>IFERROR(INDEX(U$13:U$162,MATCH(63,$AG$13:$AG$162,0)),0)*($T$8+IF($C$10="",$T$9,0))</f>
        <v/>
      </c>
      <c r="BG75">
        <f>IFERROR(INDEX(V$13:V$162,MATCH(63,$AG$13:$AG$162,0)),0)*($T$8+IF($C$10="",$T$9,0))</f>
        <v/>
      </c>
      <c r="BH75">
        <f>IFERROR(INDEX(W$13:W$162,MATCH(63,$AG$13:$AG$162,0)),0)*($T$8+IF($C$10="",$T$9,0))</f>
        <v/>
      </c>
      <c r="BI75">
        <f>IFERROR(INDEX(X$13:X$162,MATCH(63,$AG$13:$AG$162,0)),0)*($T$8+IF($C$10="",$T$9,0))</f>
        <v/>
      </c>
      <c r="BJ75">
        <f>IFERROR(INDEX(Y$13:Y$162,MATCH(63,$AG$13:$AG$162,0)),0)*($T$8+IF($C$10="",$T$9,0))</f>
        <v/>
      </c>
      <c r="BK75">
        <f>IFERROR(INDEX(Z$13:Z$162,MATCH(63,$AG$13:$AG$162,0)),0)*($T$8+IF($C$10="",$T$9,0))</f>
        <v/>
      </c>
      <c r="BL75">
        <f>IFERROR(INDEX(AA$13:AA$162,MATCH(63,$AG$13:$AG$162,0)),0)*($T$8+IF($C$10="",$T$9,0))</f>
        <v/>
      </c>
      <c r="BN75">
        <f>IF(62&lt;$U$9,INT(62/($U$7*$U$8))+1,1)</f>
        <v/>
      </c>
      <c r="BO75">
        <f>IF(62&lt;$U$9,MOD(INT(62/$U$8),$U$7)+1,1)</f>
        <v/>
      </c>
      <c r="BP75">
        <f>IF(62&lt;$U$9,MOD(62,$U$8)+1,1)</f>
        <v/>
      </c>
      <c r="BQ75">
        <f>IF(62&lt;$U$9,SUMPRODUCT(($D$10:$L$10&lt;&gt;"")*(($D$9:$L$9+INT(($S$12:$AA$12+INDEX($AJ$13:$AR$162,BN75,0)+INDEX($AT$13:$BB$162,BO75,0)+INDEX($BD$13:$BL$162,BP75,0))/100))&gt;=$D$10:$L$10)),0)</f>
        <v/>
      </c>
      <c r="BR75">
        <f>IF(62&lt;$U$9,SUMPRODUCT(($D$10:$L$10&lt;&gt;"")*(($D$10:$L$10-($D$9:$L$9+INT(($S$12:$AA$12+INDEX($AJ$13:$AR$162,BN75,0)+INDEX($AT$13:$BB$162,BO75,0)+INDEX($BD$13:$BL$162,BP75,0))/100)))&gt;0)*($D$10:$L$10-($D$9:$L$9+INT(($S$12:$AA$12+INDEX($AJ$13:$AR$162,BN75,0)+INDEX($AT$13:$BB$162,BO75,0)+INDEX($BD$13:$BL$162,BP75,0))/100)))),0)</f>
        <v/>
      </c>
      <c r="BS75">
        <f>IF(62&lt;$U$9,SUMPRODUCT(($D$9:$L$9+INT(($S$12:$AA$12+INDEX($AJ$13:$AR$162,BN75,0)+INDEX($AT$13:$BB$162,BO75,0)+INDEX($BD$13:$BL$162,BP75,0))/100))),0)</f>
        <v/>
      </c>
      <c r="BT75">
        <f>IF(AND(62&lt;$U$9,$W$5),BQ75*1000000-MIN(BR75,999)*1000+BS75-62/100000,-1000000000-62)</f>
        <v/>
      </c>
      <c r="CF75">
        <f>IF($A75="","",IFERROR(MATCH($C75,'职业'!$C$3:$C$152,0),0))</f>
        <v/>
      </c>
      <c r="CG75">
        <f>IF($A75="","",CG74+MAX(0,D$7+IF($CF74=0,0,IFERROR(INDEX('职业'!F$3:F$152,$CF74)+0,0))))</f>
        <v/>
      </c>
      <c r="CH75">
        <f>IF($A75="","",CH74+MAX(0,E$7+IF($CF74=0,0,IFERROR(INDEX('职业'!G$3:G$152,$CF74)+0,0))))</f>
        <v/>
      </c>
      <c r="CI75">
        <f>IF($A75="","",CI74+MAX(0,F$7+IF($CF74=0,0,IFERROR(INDEX('职业'!H$3:H$152,$CF74)+0,0))))</f>
        <v/>
      </c>
      <c r="CJ75">
        <f>IF($A75="","",CJ74+MAX(0,G$7+IF($CF74=0,0,IFERROR(INDEX('职业'!I$3:I$152,$CF74)+0,0))))</f>
        <v/>
      </c>
      <c r="CK75">
        <f>IF($A75="","",CK74+MAX(0,H$7+IF($CF74=0,0,IFERROR(INDEX('职业'!J$3:J$152,$CF74)+0,0))))</f>
        <v/>
      </c>
      <c r="CL75">
        <f>IF($A75="","",CL74+MAX(0,I$7+IF($CF74=0,0,IFERROR(INDEX('职业'!K$3:K$152,$CF74)+0,0))))</f>
        <v/>
      </c>
      <c r="CM75">
        <f>IF($A75="","",CM74+MAX(0,J$7+IF($CF74=0,0,IFERROR(INDEX('职业'!L$3:L$152,$CF74)+0,0))))</f>
        <v/>
      </c>
      <c r="CN75">
        <f>IF($A75="","",CN74+MAX(0,K$7+IF($CF74=0,0,IFERROR(INDEX('职业'!M$3:M$152,$CF74)+0,0))))</f>
        <v/>
      </c>
      <c r="CO75">
        <f>IF($A75="","",CO74+MAX(0,L$7+IF($CF74=0,0,IFERROR(INDEX('职业'!N$3:N$152,$CF74)+0,0))))</f>
        <v/>
      </c>
    </row>
    <row r="76">
      <c r="A76" s="15">
        <f>IF(OR($B$9="",$B$10=""),"",IF($B$9+24&lt;=$B$10,$B$9+24,""))</f>
        <v/>
      </c>
      <c r="B76" s="15">
        <f>IF($A76="","",MATCH($A76,$BV$27:$BV$32,1))</f>
        <v/>
      </c>
      <c r="C76" s="15">
        <f>IF($A76="","",INDEX($BW$27:$BW$32,$B76))</f>
        <v/>
      </c>
      <c r="D76" s="15">
        <f>IF($A76="","",D$9+INT(($B$14+CG76)/100))</f>
        <v/>
      </c>
      <c r="E76" s="15">
        <f>IF($A76="","",E$9+INT(($B$14+CH76)/100))</f>
        <v/>
      </c>
      <c r="F76" s="15">
        <f>IF($A76="","",F$9+INT(($B$14+CI76)/100))</f>
        <v/>
      </c>
      <c r="G76" s="15">
        <f>IF($A76="","",G$9+INT(($B$14+CJ76)/100))</f>
        <v/>
      </c>
      <c r="H76" s="15">
        <f>IF($A76="","",H$9+INT(($B$14+CK76)/100))</f>
        <v/>
      </c>
      <c r="I76" s="15">
        <f>IF($A76="","",I$9+INT(($B$14+CL76)/100))</f>
        <v/>
      </c>
      <c r="J76" s="15">
        <f>IF($A76="","",J$9+INT(($B$14+CM76)/100))</f>
        <v/>
      </c>
      <c r="K76" s="15">
        <f>IF($A76="","",K$9+INT(($B$14+CN76)/100))</f>
        <v/>
      </c>
      <c r="L76" s="15">
        <f>IF($A76="","",L$9+INT(($B$14+CO76)/100))</f>
        <v/>
      </c>
      <c r="M76" s="16">
        <f>IF($A76="","",IF($C76&lt;&gt;$C75,"★ 转职 → 【"&amp;$C76&amp;"】","")&amp;IF($A76=$B$10,"（目标等级）",""))</f>
        <v/>
      </c>
      <c r="P76">
        <f>IF('职业'!$C66="","",'职业'!$C66)</f>
        <v/>
      </c>
      <c r="Q76">
        <f>N('职业'!$D66)</f>
        <v/>
      </c>
      <c r="R76">
        <f>'职业'!$E66&amp;""</f>
        <v/>
      </c>
      <c r="S76">
        <f>IF($P76="",0,MAX(0,D$7+N('职业'!F66)))</f>
        <v/>
      </c>
      <c r="T76">
        <f>IF($P76="",0,MAX(0,E$7+N('职业'!G66)))</f>
        <v/>
      </c>
      <c r="U76">
        <f>IF($P76="",0,MAX(0,F$7+N('职业'!H66)))</f>
        <v/>
      </c>
      <c r="V76">
        <f>IF($P76="",0,MAX(0,G$7+N('职业'!I66)))</f>
        <v/>
      </c>
      <c r="W76">
        <f>IF($P76="",0,MAX(0,H$7+N('职业'!J66)))</f>
        <v/>
      </c>
      <c r="X76">
        <f>IF($P76="",0,MAX(0,I$7+N('职业'!K66)))</f>
        <v/>
      </c>
      <c r="Y76">
        <f>IF($P76="",0,MAX(0,J$7+N('职业'!L66)))</f>
        <v/>
      </c>
      <c r="Z76">
        <f>IF($P76="",0,MAX(0,K$7+N('职业'!M66)))</f>
        <v/>
      </c>
      <c r="AA76">
        <f>IF($P76="",0,MAX(0,L$7+N('职业'!N66)))</f>
        <v/>
      </c>
      <c r="AB76">
        <f>AND($P76&lt;&gt;"",IF($U$5=1,$P76=$C$10,OR($P76=$C$9,AND($R76="是",$Q76&lt;=MAX($B$9,$Q$6)))))</f>
        <v/>
      </c>
      <c r="AC76">
        <f>AND($P76&lt;&gt;"",IF($U$5=2,$P76=$C$10,OR($P76=$C$9,AND($R76="是",$Q76&lt;=MAX($B$9,$Q$7)))))</f>
        <v/>
      </c>
      <c r="AD76">
        <f>AND($P76&lt;&gt;"",IF($U$5=3,$P76=$C$10,OR($P76=$C$9,AND($R76="是",$Q76&lt;=MAX($B$9,$Q$8)))))</f>
        <v/>
      </c>
      <c r="AE76">
        <f>IF(AB76,COUNTIF(AB$13:AB76,TRUE),"")</f>
        <v/>
      </c>
      <c r="AF76">
        <f>IF(AC76,COUNTIF(AC$13:AC76,TRUE),"")</f>
        <v/>
      </c>
      <c r="AG76">
        <f>IF(AD76,COUNTIF(AD$13:AD76,TRUE),"")</f>
        <v/>
      </c>
      <c r="AI76">
        <f>IFERROR(INDEX($P$13:$P$162,MATCH(64,$AE$13:$AE$162,0)),"")</f>
        <v/>
      </c>
      <c r="AJ76">
        <f>IFERROR(INDEX(S$13:S$162,MATCH(64,$AE$13:$AE$162,0)),0)*$T$6</f>
        <v/>
      </c>
      <c r="AK76">
        <f>IFERROR(INDEX(T$13:T$162,MATCH(64,$AE$13:$AE$162,0)),0)*$T$6</f>
        <v/>
      </c>
      <c r="AL76">
        <f>IFERROR(INDEX(U$13:U$162,MATCH(64,$AE$13:$AE$162,0)),0)*$T$6</f>
        <v/>
      </c>
      <c r="AM76">
        <f>IFERROR(INDEX(V$13:V$162,MATCH(64,$AE$13:$AE$162,0)),0)*$T$6</f>
        <v/>
      </c>
      <c r="AN76">
        <f>IFERROR(INDEX(W$13:W$162,MATCH(64,$AE$13:$AE$162,0)),0)*$T$6</f>
        <v/>
      </c>
      <c r="AO76">
        <f>IFERROR(INDEX(X$13:X$162,MATCH(64,$AE$13:$AE$162,0)),0)*$T$6</f>
        <v/>
      </c>
      <c r="AP76">
        <f>IFERROR(INDEX(Y$13:Y$162,MATCH(64,$AE$13:$AE$162,0)),0)*$T$6</f>
        <v/>
      </c>
      <c r="AQ76">
        <f>IFERROR(INDEX(Z$13:Z$162,MATCH(64,$AE$13:$AE$162,0)),0)*$T$6</f>
        <v/>
      </c>
      <c r="AR76">
        <f>IFERROR(INDEX(AA$13:AA$162,MATCH(64,$AE$13:$AE$162,0)),0)*$T$6</f>
        <v/>
      </c>
      <c r="AS76">
        <f>IFERROR(INDEX($P$13:$P$162,MATCH(64,$AF$13:$AF$162,0)),"")</f>
        <v/>
      </c>
      <c r="AT76">
        <f>IFERROR(INDEX(S$13:S$162,MATCH(64,$AF$13:$AF$162,0)),0)*$T$7</f>
        <v/>
      </c>
      <c r="AU76">
        <f>IFERROR(INDEX(T$13:T$162,MATCH(64,$AF$13:$AF$162,0)),0)*$T$7</f>
        <v/>
      </c>
      <c r="AV76">
        <f>IFERROR(INDEX(U$13:U$162,MATCH(64,$AF$13:$AF$162,0)),0)*$T$7</f>
        <v/>
      </c>
      <c r="AW76">
        <f>IFERROR(INDEX(V$13:V$162,MATCH(64,$AF$13:$AF$162,0)),0)*$T$7</f>
        <v/>
      </c>
      <c r="AX76">
        <f>IFERROR(INDEX(W$13:W$162,MATCH(64,$AF$13:$AF$162,0)),0)*$T$7</f>
        <v/>
      </c>
      <c r="AY76">
        <f>IFERROR(INDEX(X$13:X$162,MATCH(64,$AF$13:$AF$162,0)),0)*$T$7</f>
        <v/>
      </c>
      <c r="AZ76">
        <f>IFERROR(INDEX(Y$13:Y$162,MATCH(64,$AF$13:$AF$162,0)),0)*$T$7</f>
        <v/>
      </c>
      <c r="BA76">
        <f>IFERROR(INDEX(Z$13:Z$162,MATCH(64,$AF$13:$AF$162,0)),0)*$T$7</f>
        <v/>
      </c>
      <c r="BB76">
        <f>IFERROR(INDEX(AA$13:AA$162,MATCH(64,$AF$13:$AF$162,0)),0)*$T$7</f>
        <v/>
      </c>
      <c r="BC76">
        <f>IFERROR(INDEX($P$13:$P$162,MATCH(64,$AG$13:$AG$162,0)),"")</f>
        <v/>
      </c>
      <c r="BD76">
        <f>IFERROR(INDEX(S$13:S$162,MATCH(64,$AG$13:$AG$162,0)),0)*($T$8+IF($C$10="",$T$9,0))</f>
        <v/>
      </c>
      <c r="BE76">
        <f>IFERROR(INDEX(T$13:T$162,MATCH(64,$AG$13:$AG$162,0)),0)*($T$8+IF($C$10="",$T$9,0))</f>
        <v/>
      </c>
      <c r="BF76">
        <f>IFERROR(INDEX(U$13:U$162,MATCH(64,$AG$13:$AG$162,0)),0)*($T$8+IF($C$10="",$T$9,0))</f>
        <v/>
      </c>
      <c r="BG76">
        <f>IFERROR(INDEX(V$13:V$162,MATCH(64,$AG$13:$AG$162,0)),0)*($T$8+IF($C$10="",$T$9,0))</f>
        <v/>
      </c>
      <c r="BH76">
        <f>IFERROR(INDEX(W$13:W$162,MATCH(64,$AG$13:$AG$162,0)),0)*($T$8+IF($C$10="",$T$9,0))</f>
        <v/>
      </c>
      <c r="BI76">
        <f>IFERROR(INDEX(X$13:X$162,MATCH(64,$AG$13:$AG$162,0)),0)*($T$8+IF($C$10="",$T$9,0))</f>
        <v/>
      </c>
      <c r="BJ76">
        <f>IFERROR(INDEX(Y$13:Y$162,MATCH(64,$AG$13:$AG$162,0)),0)*($T$8+IF($C$10="",$T$9,0))</f>
        <v/>
      </c>
      <c r="BK76">
        <f>IFERROR(INDEX(Z$13:Z$162,MATCH(64,$AG$13:$AG$162,0)),0)*($T$8+IF($C$10="",$T$9,0))</f>
        <v/>
      </c>
      <c r="BL76">
        <f>IFERROR(INDEX(AA$13:AA$162,MATCH(64,$AG$13:$AG$162,0)),0)*($T$8+IF($C$10="",$T$9,0))</f>
        <v/>
      </c>
      <c r="BN76">
        <f>IF(63&lt;$U$9,INT(63/($U$7*$U$8))+1,1)</f>
        <v/>
      </c>
      <c r="BO76">
        <f>IF(63&lt;$U$9,MOD(INT(63/$U$8),$U$7)+1,1)</f>
        <v/>
      </c>
      <c r="BP76">
        <f>IF(63&lt;$U$9,MOD(63,$U$8)+1,1)</f>
        <v/>
      </c>
      <c r="BQ76">
        <f>IF(63&lt;$U$9,SUMPRODUCT(($D$10:$L$10&lt;&gt;"")*(($D$9:$L$9+INT(($S$12:$AA$12+INDEX($AJ$13:$AR$162,BN76,0)+INDEX($AT$13:$BB$162,BO76,0)+INDEX($BD$13:$BL$162,BP76,0))/100))&gt;=$D$10:$L$10)),0)</f>
        <v/>
      </c>
      <c r="BR76">
        <f>IF(63&lt;$U$9,SUMPRODUCT(($D$10:$L$10&lt;&gt;"")*(($D$10:$L$10-($D$9:$L$9+INT(($S$12:$AA$12+INDEX($AJ$13:$AR$162,BN76,0)+INDEX($AT$13:$BB$162,BO76,0)+INDEX($BD$13:$BL$162,BP76,0))/100)))&gt;0)*($D$10:$L$10-($D$9:$L$9+INT(($S$12:$AA$12+INDEX($AJ$13:$AR$162,BN76,0)+INDEX($AT$13:$BB$162,BO76,0)+INDEX($BD$13:$BL$162,BP76,0))/100)))),0)</f>
        <v/>
      </c>
      <c r="BS76">
        <f>IF(63&lt;$U$9,SUMPRODUCT(($D$9:$L$9+INT(($S$12:$AA$12+INDEX($AJ$13:$AR$162,BN76,0)+INDEX($AT$13:$BB$162,BO76,0)+INDEX($BD$13:$BL$162,BP76,0))/100))),0)</f>
        <v/>
      </c>
      <c r="BT76">
        <f>IF(AND(63&lt;$U$9,$W$5),BQ76*1000000-MIN(BR76,999)*1000+BS76-63/100000,-1000000000-63)</f>
        <v/>
      </c>
      <c r="CF76">
        <f>IF($A76="","",IFERROR(MATCH($C76,'职业'!$C$3:$C$152,0),0))</f>
        <v/>
      </c>
      <c r="CG76">
        <f>IF($A76="","",CG75+MAX(0,D$7+IF($CF75=0,0,IFERROR(INDEX('职业'!F$3:F$152,$CF75)+0,0))))</f>
        <v/>
      </c>
      <c r="CH76">
        <f>IF($A76="","",CH75+MAX(0,E$7+IF($CF75=0,0,IFERROR(INDEX('职业'!G$3:G$152,$CF75)+0,0))))</f>
        <v/>
      </c>
      <c r="CI76">
        <f>IF($A76="","",CI75+MAX(0,F$7+IF($CF75=0,0,IFERROR(INDEX('职业'!H$3:H$152,$CF75)+0,0))))</f>
        <v/>
      </c>
      <c r="CJ76">
        <f>IF($A76="","",CJ75+MAX(0,G$7+IF($CF75=0,0,IFERROR(INDEX('职业'!I$3:I$152,$CF75)+0,0))))</f>
        <v/>
      </c>
      <c r="CK76">
        <f>IF($A76="","",CK75+MAX(0,H$7+IF($CF75=0,0,IFERROR(INDEX('职业'!J$3:J$152,$CF75)+0,0))))</f>
        <v/>
      </c>
      <c r="CL76">
        <f>IF($A76="","",CL75+MAX(0,I$7+IF($CF75=0,0,IFERROR(INDEX('职业'!K$3:K$152,$CF75)+0,0))))</f>
        <v/>
      </c>
      <c r="CM76">
        <f>IF($A76="","",CM75+MAX(0,J$7+IF($CF75=0,0,IFERROR(INDEX('职业'!L$3:L$152,$CF75)+0,0))))</f>
        <v/>
      </c>
      <c r="CN76">
        <f>IF($A76="","",CN75+MAX(0,K$7+IF($CF75=0,0,IFERROR(INDEX('职业'!M$3:M$152,$CF75)+0,0))))</f>
        <v/>
      </c>
      <c r="CO76">
        <f>IF($A76="","",CO75+MAX(0,L$7+IF($CF75=0,0,IFERROR(INDEX('职业'!N$3:N$152,$CF75)+0,0))))</f>
        <v/>
      </c>
    </row>
    <row r="77">
      <c r="A77" s="15">
        <f>IF(OR($B$9="",$B$10=""),"",IF($B$9+25&lt;=$B$10,$B$9+25,""))</f>
        <v/>
      </c>
      <c r="B77" s="15">
        <f>IF($A77="","",MATCH($A77,$BV$27:$BV$32,1))</f>
        <v/>
      </c>
      <c r="C77" s="15">
        <f>IF($A77="","",INDEX($BW$27:$BW$32,$B77))</f>
        <v/>
      </c>
      <c r="D77" s="15">
        <f>IF($A77="","",D$9+INT(($B$14+CG77)/100))</f>
        <v/>
      </c>
      <c r="E77" s="15">
        <f>IF($A77="","",E$9+INT(($B$14+CH77)/100))</f>
        <v/>
      </c>
      <c r="F77" s="15">
        <f>IF($A77="","",F$9+INT(($B$14+CI77)/100))</f>
        <v/>
      </c>
      <c r="G77" s="15">
        <f>IF($A77="","",G$9+INT(($B$14+CJ77)/100))</f>
        <v/>
      </c>
      <c r="H77" s="15">
        <f>IF($A77="","",H$9+INT(($B$14+CK77)/100))</f>
        <v/>
      </c>
      <c r="I77" s="15">
        <f>IF($A77="","",I$9+INT(($B$14+CL77)/100))</f>
        <v/>
      </c>
      <c r="J77" s="15">
        <f>IF($A77="","",J$9+INT(($B$14+CM77)/100))</f>
        <v/>
      </c>
      <c r="K77" s="15">
        <f>IF($A77="","",K$9+INT(($B$14+CN77)/100))</f>
        <v/>
      </c>
      <c r="L77" s="15">
        <f>IF($A77="","",L$9+INT(($B$14+CO77)/100))</f>
        <v/>
      </c>
      <c r="M77" s="16">
        <f>IF($A77="","",IF($C77&lt;&gt;$C76,"★ 转职 → 【"&amp;$C77&amp;"】","")&amp;IF($A77=$B$10,"（目标等级）",""))</f>
        <v/>
      </c>
      <c r="P77">
        <f>IF('职业'!$C67="","",'职业'!$C67)</f>
        <v/>
      </c>
      <c r="Q77">
        <f>N('职业'!$D67)</f>
        <v/>
      </c>
      <c r="R77">
        <f>'职业'!$E67&amp;""</f>
        <v/>
      </c>
      <c r="S77">
        <f>IF($P77="",0,MAX(0,D$7+N('职业'!F67)))</f>
        <v/>
      </c>
      <c r="T77">
        <f>IF($P77="",0,MAX(0,E$7+N('职业'!G67)))</f>
        <v/>
      </c>
      <c r="U77">
        <f>IF($P77="",0,MAX(0,F$7+N('职业'!H67)))</f>
        <v/>
      </c>
      <c r="V77">
        <f>IF($P77="",0,MAX(0,G$7+N('职业'!I67)))</f>
        <v/>
      </c>
      <c r="W77">
        <f>IF($P77="",0,MAX(0,H$7+N('职业'!J67)))</f>
        <v/>
      </c>
      <c r="X77">
        <f>IF($P77="",0,MAX(0,I$7+N('职业'!K67)))</f>
        <v/>
      </c>
      <c r="Y77">
        <f>IF($P77="",0,MAX(0,J$7+N('职业'!L67)))</f>
        <v/>
      </c>
      <c r="Z77">
        <f>IF($P77="",0,MAX(0,K$7+N('职业'!M67)))</f>
        <v/>
      </c>
      <c r="AA77">
        <f>IF($P77="",0,MAX(0,L$7+N('职业'!N67)))</f>
        <v/>
      </c>
      <c r="AB77">
        <f>AND($P77&lt;&gt;"",IF($U$5=1,$P77=$C$10,OR($P77=$C$9,AND($R77="是",$Q77&lt;=MAX($B$9,$Q$6)))))</f>
        <v/>
      </c>
      <c r="AC77">
        <f>AND($P77&lt;&gt;"",IF($U$5=2,$P77=$C$10,OR($P77=$C$9,AND($R77="是",$Q77&lt;=MAX($B$9,$Q$7)))))</f>
        <v/>
      </c>
      <c r="AD77">
        <f>AND($P77&lt;&gt;"",IF($U$5=3,$P77=$C$10,OR($P77=$C$9,AND($R77="是",$Q77&lt;=MAX($B$9,$Q$8)))))</f>
        <v/>
      </c>
      <c r="AE77">
        <f>IF(AB77,COUNTIF(AB$13:AB77,TRUE),"")</f>
        <v/>
      </c>
      <c r="AF77">
        <f>IF(AC77,COUNTIF(AC$13:AC77,TRUE),"")</f>
        <v/>
      </c>
      <c r="AG77">
        <f>IF(AD77,COUNTIF(AD$13:AD77,TRUE),"")</f>
        <v/>
      </c>
      <c r="AI77">
        <f>IFERROR(INDEX($P$13:$P$162,MATCH(65,$AE$13:$AE$162,0)),"")</f>
        <v/>
      </c>
      <c r="AJ77">
        <f>IFERROR(INDEX(S$13:S$162,MATCH(65,$AE$13:$AE$162,0)),0)*$T$6</f>
        <v/>
      </c>
      <c r="AK77">
        <f>IFERROR(INDEX(T$13:T$162,MATCH(65,$AE$13:$AE$162,0)),0)*$T$6</f>
        <v/>
      </c>
      <c r="AL77">
        <f>IFERROR(INDEX(U$13:U$162,MATCH(65,$AE$13:$AE$162,0)),0)*$T$6</f>
        <v/>
      </c>
      <c r="AM77">
        <f>IFERROR(INDEX(V$13:V$162,MATCH(65,$AE$13:$AE$162,0)),0)*$T$6</f>
        <v/>
      </c>
      <c r="AN77">
        <f>IFERROR(INDEX(W$13:W$162,MATCH(65,$AE$13:$AE$162,0)),0)*$T$6</f>
        <v/>
      </c>
      <c r="AO77">
        <f>IFERROR(INDEX(X$13:X$162,MATCH(65,$AE$13:$AE$162,0)),0)*$T$6</f>
        <v/>
      </c>
      <c r="AP77">
        <f>IFERROR(INDEX(Y$13:Y$162,MATCH(65,$AE$13:$AE$162,0)),0)*$T$6</f>
        <v/>
      </c>
      <c r="AQ77">
        <f>IFERROR(INDEX(Z$13:Z$162,MATCH(65,$AE$13:$AE$162,0)),0)*$T$6</f>
        <v/>
      </c>
      <c r="AR77">
        <f>IFERROR(INDEX(AA$13:AA$162,MATCH(65,$AE$13:$AE$162,0)),0)*$T$6</f>
        <v/>
      </c>
      <c r="AS77">
        <f>IFERROR(INDEX($P$13:$P$162,MATCH(65,$AF$13:$AF$162,0)),"")</f>
        <v/>
      </c>
      <c r="AT77">
        <f>IFERROR(INDEX(S$13:S$162,MATCH(65,$AF$13:$AF$162,0)),0)*$T$7</f>
        <v/>
      </c>
      <c r="AU77">
        <f>IFERROR(INDEX(T$13:T$162,MATCH(65,$AF$13:$AF$162,0)),0)*$T$7</f>
        <v/>
      </c>
      <c r="AV77">
        <f>IFERROR(INDEX(U$13:U$162,MATCH(65,$AF$13:$AF$162,0)),0)*$T$7</f>
        <v/>
      </c>
      <c r="AW77">
        <f>IFERROR(INDEX(V$13:V$162,MATCH(65,$AF$13:$AF$162,0)),0)*$T$7</f>
        <v/>
      </c>
      <c r="AX77">
        <f>IFERROR(INDEX(W$13:W$162,MATCH(65,$AF$13:$AF$162,0)),0)*$T$7</f>
        <v/>
      </c>
      <c r="AY77">
        <f>IFERROR(INDEX(X$13:X$162,MATCH(65,$AF$13:$AF$162,0)),0)*$T$7</f>
        <v/>
      </c>
      <c r="AZ77">
        <f>IFERROR(INDEX(Y$13:Y$162,MATCH(65,$AF$13:$AF$162,0)),0)*$T$7</f>
        <v/>
      </c>
      <c r="BA77">
        <f>IFERROR(INDEX(Z$13:Z$162,MATCH(65,$AF$13:$AF$162,0)),0)*$T$7</f>
        <v/>
      </c>
      <c r="BB77">
        <f>IFERROR(INDEX(AA$13:AA$162,MATCH(65,$AF$13:$AF$162,0)),0)*$T$7</f>
        <v/>
      </c>
      <c r="BC77">
        <f>IFERROR(INDEX($P$13:$P$162,MATCH(65,$AG$13:$AG$162,0)),"")</f>
        <v/>
      </c>
      <c r="BD77">
        <f>IFERROR(INDEX(S$13:S$162,MATCH(65,$AG$13:$AG$162,0)),0)*($T$8+IF($C$10="",$T$9,0))</f>
        <v/>
      </c>
      <c r="BE77">
        <f>IFERROR(INDEX(T$13:T$162,MATCH(65,$AG$13:$AG$162,0)),0)*($T$8+IF($C$10="",$T$9,0))</f>
        <v/>
      </c>
      <c r="BF77">
        <f>IFERROR(INDEX(U$13:U$162,MATCH(65,$AG$13:$AG$162,0)),0)*($T$8+IF($C$10="",$T$9,0))</f>
        <v/>
      </c>
      <c r="BG77">
        <f>IFERROR(INDEX(V$13:V$162,MATCH(65,$AG$13:$AG$162,0)),0)*($T$8+IF($C$10="",$T$9,0))</f>
        <v/>
      </c>
      <c r="BH77">
        <f>IFERROR(INDEX(W$13:W$162,MATCH(65,$AG$13:$AG$162,0)),0)*($T$8+IF($C$10="",$T$9,0))</f>
        <v/>
      </c>
      <c r="BI77">
        <f>IFERROR(INDEX(X$13:X$162,MATCH(65,$AG$13:$AG$162,0)),0)*($T$8+IF($C$10="",$T$9,0))</f>
        <v/>
      </c>
      <c r="BJ77">
        <f>IFERROR(INDEX(Y$13:Y$162,MATCH(65,$AG$13:$AG$162,0)),0)*($T$8+IF($C$10="",$T$9,0))</f>
        <v/>
      </c>
      <c r="BK77">
        <f>IFERROR(INDEX(Z$13:Z$162,MATCH(65,$AG$13:$AG$162,0)),0)*($T$8+IF($C$10="",$T$9,0))</f>
        <v/>
      </c>
      <c r="BL77">
        <f>IFERROR(INDEX(AA$13:AA$162,MATCH(65,$AG$13:$AG$162,0)),0)*($T$8+IF($C$10="",$T$9,0))</f>
        <v/>
      </c>
      <c r="BN77">
        <f>IF(64&lt;$U$9,INT(64/($U$7*$U$8))+1,1)</f>
        <v/>
      </c>
      <c r="BO77">
        <f>IF(64&lt;$U$9,MOD(INT(64/$U$8),$U$7)+1,1)</f>
        <v/>
      </c>
      <c r="BP77">
        <f>IF(64&lt;$U$9,MOD(64,$U$8)+1,1)</f>
        <v/>
      </c>
      <c r="BQ77">
        <f>IF(64&lt;$U$9,SUMPRODUCT(($D$10:$L$10&lt;&gt;"")*(($D$9:$L$9+INT(($S$12:$AA$12+INDEX($AJ$13:$AR$162,BN77,0)+INDEX($AT$13:$BB$162,BO77,0)+INDEX($BD$13:$BL$162,BP77,0))/100))&gt;=$D$10:$L$10)),0)</f>
        <v/>
      </c>
      <c r="BR77">
        <f>IF(64&lt;$U$9,SUMPRODUCT(($D$10:$L$10&lt;&gt;"")*(($D$10:$L$10-($D$9:$L$9+INT(($S$12:$AA$12+INDEX($AJ$13:$AR$162,BN77,0)+INDEX($AT$13:$BB$162,BO77,0)+INDEX($BD$13:$BL$162,BP77,0))/100)))&gt;0)*($D$10:$L$10-($D$9:$L$9+INT(($S$12:$AA$12+INDEX($AJ$13:$AR$162,BN77,0)+INDEX($AT$13:$BB$162,BO77,0)+INDEX($BD$13:$BL$162,BP77,0))/100)))),0)</f>
        <v/>
      </c>
      <c r="BS77">
        <f>IF(64&lt;$U$9,SUMPRODUCT(($D$9:$L$9+INT(($S$12:$AA$12+INDEX($AJ$13:$AR$162,BN77,0)+INDEX($AT$13:$BB$162,BO77,0)+INDEX($BD$13:$BL$162,BP77,0))/100))),0)</f>
        <v/>
      </c>
      <c r="BT77">
        <f>IF(AND(64&lt;$U$9,$W$5),BQ77*1000000-MIN(BR77,999)*1000+BS77-64/100000,-1000000000-64)</f>
        <v/>
      </c>
      <c r="CF77">
        <f>IF($A77="","",IFERROR(MATCH($C77,'职业'!$C$3:$C$152,0),0))</f>
        <v/>
      </c>
      <c r="CG77">
        <f>IF($A77="","",CG76+MAX(0,D$7+IF($CF76=0,0,IFERROR(INDEX('职业'!F$3:F$152,$CF76)+0,0))))</f>
        <v/>
      </c>
      <c r="CH77">
        <f>IF($A77="","",CH76+MAX(0,E$7+IF($CF76=0,0,IFERROR(INDEX('职业'!G$3:G$152,$CF76)+0,0))))</f>
        <v/>
      </c>
      <c r="CI77">
        <f>IF($A77="","",CI76+MAX(0,F$7+IF($CF76=0,0,IFERROR(INDEX('职业'!H$3:H$152,$CF76)+0,0))))</f>
        <v/>
      </c>
      <c r="CJ77">
        <f>IF($A77="","",CJ76+MAX(0,G$7+IF($CF76=0,0,IFERROR(INDEX('职业'!I$3:I$152,$CF76)+0,0))))</f>
        <v/>
      </c>
      <c r="CK77">
        <f>IF($A77="","",CK76+MAX(0,H$7+IF($CF76=0,0,IFERROR(INDEX('职业'!J$3:J$152,$CF76)+0,0))))</f>
        <v/>
      </c>
      <c r="CL77">
        <f>IF($A77="","",CL76+MAX(0,I$7+IF($CF76=0,0,IFERROR(INDEX('职业'!K$3:K$152,$CF76)+0,0))))</f>
        <v/>
      </c>
      <c r="CM77">
        <f>IF($A77="","",CM76+MAX(0,J$7+IF($CF76=0,0,IFERROR(INDEX('职业'!L$3:L$152,$CF76)+0,0))))</f>
        <v/>
      </c>
      <c r="CN77">
        <f>IF($A77="","",CN76+MAX(0,K$7+IF($CF76=0,0,IFERROR(INDEX('职业'!M$3:M$152,$CF76)+0,0))))</f>
        <v/>
      </c>
      <c r="CO77">
        <f>IF($A77="","",CO76+MAX(0,L$7+IF($CF76=0,0,IFERROR(INDEX('职业'!N$3:N$152,$CF76)+0,0))))</f>
        <v/>
      </c>
    </row>
    <row r="78">
      <c r="A78" s="15">
        <f>IF(OR($B$9="",$B$10=""),"",IF($B$9+26&lt;=$B$10,$B$9+26,""))</f>
        <v/>
      </c>
      <c r="B78" s="15">
        <f>IF($A78="","",MATCH($A78,$BV$27:$BV$32,1))</f>
        <v/>
      </c>
      <c r="C78" s="15">
        <f>IF($A78="","",INDEX($BW$27:$BW$32,$B78))</f>
        <v/>
      </c>
      <c r="D78" s="15">
        <f>IF($A78="","",D$9+INT(($B$14+CG78)/100))</f>
        <v/>
      </c>
      <c r="E78" s="15">
        <f>IF($A78="","",E$9+INT(($B$14+CH78)/100))</f>
        <v/>
      </c>
      <c r="F78" s="15">
        <f>IF($A78="","",F$9+INT(($B$14+CI78)/100))</f>
        <v/>
      </c>
      <c r="G78" s="15">
        <f>IF($A78="","",G$9+INT(($B$14+CJ78)/100))</f>
        <v/>
      </c>
      <c r="H78" s="15">
        <f>IF($A78="","",H$9+INT(($B$14+CK78)/100))</f>
        <v/>
      </c>
      <c r="I78" s="15">
        <f>IF($A78="","",I$9+INT(($B$14+CL78)/100))</f>
        <v/>
      </c>
      <c r="J78" s="15">
        <f>IF($A78="","",J$9+INT(($B$14+CM78)/100))</f>
        <v/>
      </c>
      <c r="K78" s="15">
        <f>IF($A78="","",K$9+INT(($B$14+CN78)/100))</f>
        <v/>
      </c>
      <c r="L78" s="15">
        <f>IF($A78="","",L$9+INT(($B$14+CO78)/100))</f>
        <v/>
      </c>
      <c r="M78" s="16">
        <f>IF($A78="","",IF($C78&lt;&gt;$C77,"★ 转职 → 【"&amp;$C78&amp;"】","")&amp;IF($A78=$B$10,"（目标等级）",""))</f>
        <v/>
      </c>
      <c r="P78">
        <f>IF('职业'!$C68="","",'职业'!$C68)</f>
        <v/>
      </c>
      <c r="Q78">
        <f>N('职业'!$D68)</f>
        <v/>
      </c>
      <c r="R78">
        <f>'职业'!$E68&amp;""</f>
        <v/>
      </c>
      <c r="S78">
        <f>IF($P78="",0,MAX(0,D$7+N('职业'!F68)))</f>
        <v/>
      </c>
      <c r="T78">
        <f>IF($P78="",0,MAX(0,E$7+N('职业'!G68)))</f>
        <v/>
      </c>
      <c r="U78">
        <f>IF($P78="",0,MAX(0,F$7+N('职业'!H68)))</f>
        <v/>
      </c>
      <c r="V78">
        <f>IF($P78="",0,MAX(0,G$7+N('职业'!I68)))</f>
        <v/>
      </c>
      <c r="W78">
        <f>IF($P78="",0,MAX(0,H$7+N('职业'!J68)))</f>
        <v/>
      </c>
      <c r="X78">
        <f>IF($P78="",0,MAX(0,I$7+N('职业'!K68)))</f>
        <v/>
      </c>
      <c r="Y78">
        <f>IF($P78="",0,MAX(0,J$7+N('职业'!L68)))</f>
        <v/>
      </c>
      <c r="Z78">
        <f>IF($P78="",0,MAX(0,K$7+N('职业'!M68)))</f>
        <v/>
      </c>
      <c r="AA78">
        <f>IF($P78="",0,MAX(0,L$7+N('职业'!N68)))</f>
        <v/>
      </c>
      <c r="AB78">
        <f>AND($P78&lt;&gt;"",IF($U$5=1,$P78=$C$10,OR($P78=$C$9,AND($R78="是",$Q78&lt;=MAX($B$9,$Q$6)))))</f>
        <v/>
      </c>
      <c r="AC78">
        <f>AND($P78&lt;&gt;"",IF($U$5=2,$P78=$C$10,OR($P78=$C$9,AND($R78="是",$Q78&lt;=MAX($B$9,$Q$7)))))</f>
        <v/>
      </c>
      <c r="AD78">
        <f>AND($P78&lt;&gt;"",IF($U$5=3,$P78=$C$10,OR($P78=$C$9,AND($R78="是",$Q78&lt;=MAX($B$9,$Q$8)))))</f>
        <v/>
      </c>
      <c r="AE78">
        <f>IF(AB78,COUNTIF(AB$13:AB78,TRUE),"")</f>
        <v/>
      </c>
      <c r="AF78">
        <f>IF(AC78,COUNTIF(AC$13:AC78,TRUE),"")</f>
        <v/>
      </c>
      <c r="AG78">
        <f>IF(AD78,COUNTIF(AD$13:AD78,TRUE),"")</f>
        <v/>
      </c>
      <c r="AI78">
        <f>IFERROR(INDEX($P$13:$P$162,MATCH(66,$AE$13:$AE$162,0)),"")</f>
        <v/>
      </c>
      <c r="AJ78">
        <f>IFERROR(INDEX(S$13:S$162,MATCH(66,$AE$13:$AE$162,0)),0)*$T$6</f>
        <v/>
      </c>
      <c r="AK78">
        <f>IFERROR(INDEX(T$13:T$162,MATCH(66,$AE$13:$AE$162,0)),0)*$T$6</f>
        <v/>
      </c>
      <c r="AL78">
        <f>IFERROR(INDEX(U$13:U$162,MATCH(66,$AE$13:$AE$162,0)),0)*$T$6</f>
        <v/>
      </c>
      <c r="AM78">
        <f>IFERROR(INDEX(V$13:V$162,MATCH(66,$AE$13:$AE$162,0)),0)*$T$6</f>
        <v/>
      </c>
      <c r="AN78">
        <f>IFERROR(INDEX(W$13:W$162,MATCH(66,$AE$13:$AE$162,0)),0)*$T$6</f>
        <v/>
      </c>
      <c r="AO78">
        <f>IFERROR(INDEX(X$13:X$162,MATCH(66,$AE$13:$AE$162,0)),0)*$T$6</f>
        <v/>
      </c>
      <c r="AP78">
        <f>IFERROR(INDEX(Y$13:Y$162,MATCH(66,$AE$13:$AE$162,0)),0)*$T$6</f>
        <v/>
      </c>
      <c r="AQ78">
        <f>IFERROR(INDEX(Z$13:Z$162,MATCH(66,$AE$13:$AE$162,0)),0)*$T$6</f>
        <v/>
      </c>
      <c r="AR78">
        <f>IFERROR(INDEX(AA$13:AA$162,MATCH(66,$AE$13:$AE$162,0)),0)*$T$6</f>
        <v/>
      </c>
      <c r="AS78">
        <f>IFERROR(INDEX($P$13:$P$162,MATCH(66,$AF$13:$AF$162,0)),"")</f>
        <v/>
      </c>
      <c r="AT78">
        <f>IFERROR(INDEX(S$13:S$162,MATCH(66,$AF$13:$AF$162,0)),0)*$T$7</f>
        <v/>
      </c>
      <c r="AU78">
        <f>IFERROR(INDEX(T$13:T$162,MATCH(66,$AF$13:$AF$162,0)),0)*$T$7</f>
        <v/>
      </c>
      <c r="AV78">
        <f>IFERROR(INDEX(U$13:U$162,MATCH(66,$AF$13:$AF$162,0)),0)*$T$7</f>
        <v/>
      </c>
      <c r="AW78">
        <f>IFERROR(INDEX(V$13:V$162,MATCH(66,$AF$13:$AF$162,0)),0)*$T$7</f>
        <v/>
      </c>
      <c r="AX78">
        <f>IFERROR(INDEX(W$13:W$162,MATCH(66,$AF$13:$AF$162,0)),0)*$T$7</f>
        <v/>
      </c>
      <c r="AY78">
        <f>IFERROR(INDEX(X$13:X$162,MATCH(66,$AF$13:$AF$162,0)),0)*$T$7</f>
        <v/>
      </c>
      <c r="AZ78">
        <f>IFERROR(INDEX(Y$13:Y$162,MATCH(66,$AF$13:$AF$162,0)),0)*$T$7</f>
        <v/>
      </c>
      <c r="BA78">
        <f>IFERROR(INDEX(Z$13:Z$162,MATCH(66,$AF$13:$AF$162,0)),0)*$T$7</f>
        <v/>
      </c>
      <c r="BB78">
        <f>IFERROR(INDEX(AA$13:AA$162,MATCH(66,$AF$13:$AF$162,0)),0)*$T$7</f>
        <v/>
      </c>
      <c r="BC78">
        <f>IFERROR(INDEX($P$13:$P$162,MATCH(66,$AG$13:$AG$162,0)),"")</f>
        <v/>
      </c>
      <c r="BD78">
        <f>IFERROR(INDEX(S$13:S$162,MATCH(66,$AG$13:$AG$162,0)),0)*($T$8+IF($C$10="",$T$9,0))</f>
        <v/>
      </c>
      <c r="BE78">
        <f>IFERROR(INDEX(T$13:T$162,MATCH(66,$AG$13:$AG$162,0)),0)*($T$8+IF($C$10="",$T$9,0))</f>
        <v/>
      </c>
      <c r="BF78">
        <f>IFERROR(INDEX(U$13:U$162,MATCH(66,$AG$13:$AG$162,0)),0)*($T$8+IF($C$10="",$T$9,0))</f>
        <v/>
      </c>
      <c r="BG78">
        <f>IFERROR(INDEX(V$13:V$162,MATCH(66,$AG$13:$AG$162,0)),0)*($T$8+IF($C$10="",$T$9,0))</f>
        <v/>
      </c>
      <c r="BH78">
        <f>IFERROR(INDEX(W$13:W$162,MATCH(66,$AG$13:$AG$162,0)),0)*($T$8+IF($C$10="",$T$9,0))</f>
        <v/>
      </c>
      <c r="BI78">
        <f>IFERROR(INDEX(X$13:X$162,MATCH(66,$AG$13:$AG$162,0)),0)*($T$8+IF($C$10="",$T$9,0))</f>
        <v/>
      </c>
      <c r="BJ78">
        <f>IFERROR(INDEX(Y$13:Y$162,MATCH(66,$AG$13:$AG$162,0)),0)*($T$8+IF($C$10="",$T$9,0))</f>
        <v/>
      </c>
      <c r="BK78">
        <f>IFERROR(INDEX(Z$13:Z$162,MATCH(66,$AG$13:$AG$162,0)),0)*($T$8+IF($C$10="",$T$9,0))</f>
        <v/>
      </c>
      <c r="BL78">
        <f>IFERROR(INDEX(AA$13:AA$162,MATCH(66,$AG$13:$AG$162,0)),0)*($T$8+IF($C$10="",$T$9,0))</f>
        <v/>
      </c>
      <c r="BN78">
        <f>IF(65&lt;$U$9,INT(65/($U$7*$U$8))+1,1)</f>
        <v/>
      </c>
      <c r="BO78">
        <f>IF(65&lt;$U$9,MOD(INT(65/$U$8),$U$7)+1,1)</f>
        <v/>
      </c>
      <c r="BP78">
        <f>IF(65&lt;$U$9,MOD(65,$U$8)+1,1)</f>
        <v/>
      </c>
      <c r="BQ78">
        <f>IF(65&lt;$U$9,SUMPRODUCT(($D$10:$L$10&lt;&gt;"")*(($D$9:$L$9+INT(($S$12:$AA$12+INDEX($AJ$13:$AR$162,BN78,0)+INDEX($AT$13:$BB$162,BO78,0)+INDEX($BD$13:$BL$162,BP78,0))/100))&gt;=$D$10:$L$10)),0)</f>
        <v/>
      </c>
      <c r="BR78">
        <f>IF(65&lt;$U$9,SUMPRODUCT(($D$10:$L$10&lt;&gt;"")*(($D$10:$L$10-($D$9:$L$9+INT(($S$12:$AA$12+INDEX($AJ$13:$AR$162,BN78,0)+INDEX($AT$13:$BB$162,BO78,0)+INDEX($BD$13:$BL$162,BP78,0))/100)))&gt;0)*($D$10:$L$10-($D$9:$L$9+INT(($S$12:$AA$12+INDEX($AJ$13:$AR$162,BN78,0)+INDEX($AT$13:$BB$162,BO78,0)+INDEX($BD$13:$BL$162,BP78,0))/100)))),0)</f>
        <v/>
      </c>
      <c r="BS78">
        <f>IF(65&lt;$U$9,SUMPRODUCT(($D$9:$L$9+INT(($S$12:$AA$12+INDEX($AJ$13:$AR$162,BN78,0)+INDEX($AT$13:$BB$162,BO78,0)+INDEX($BD$13:$BL$162,BP78,0))/100))),0)</f>
        <v/>
      </c>
      <c r="BT78">
        <f>IF(AND(65&lt;$U$9,$W$5),BQ78*1000000-MIN(BR78,999)*1000+BS78-65/100000,-1000000000-65)</f>
        <v/>
      </c>
      <c r="CF78">
        <f>IF($A78="","",IFERROR(MATCH($C78,'职业'!$C$3:$C$152,0),0))</f>
        <v/>
      </c>
      <c r="CG78">
        <f>IF($A78="","",CG77+MAX(0,D$7+IF($CF77=0,0,IFERROR(INDEX('职业'!F$3:F$152,$CF77)+0,0))))</f>
        <v/>
      </c>
      <c r="CH78">
        <f>IF($A78="","",CH77+MAX(0,E$7+IF($CF77=0,0,IFERROR(INDEX('职业'!G$3:G$152,$CF77)+0,0))))</f>
        <v/>
      </c>
      <c r="CI78">
        <f>IF($A78="","",CI77+MAX(0,F$7+IF($CF77=0,0,IFERROR(INDEX('职业'!H$3:H$152,$CF77)+0,0))))</f>
        <v/>
      </c>
      <c r="CJ78">
        <f>IF($A78="","",CJ77+MAX(0,G$7+IF($CF77=0,0,IFERROR(INDEX('职业'!I$3:I$152,$CF77)+0,0))))</f>
        <v/>
      </c>
      <c r="CK78">
        <f>IF($A78="","",CK77+MAX(0,H$7+IF($CF77=0,0,IFERROR(INDEX('职业'!J$3:J$152,$CF77)+0,0))))</f>
        <v/>
      </c>
      <c r="CL78">
        <f>IF($A78="","",CL77+MAX(0,I$7+IF($CF77=0,0,IFERROR(INDEX('职业'!K$3:K$152,$CF77)+0,0))))</f>
        <v/>
      </c>
      <c r="CM78">
        <f>IF($A78="","",CM77+MAX(0,J$7+IF($CF77=0,0,IFERROR(INDEX('职业'!L$3:L$152,$CF77)+0,0))))</f>
        <v/>
      </c>
      <c r="CN78">
        <f>IF($A78="","",CN77+MAX(0,K$7+IF($CF77=0,0,IFERROR(INDEX('职业'!M$3:M$152,$CF77)+0,0))))</f>
        <v/>
      </c>
      <c r="CO78">
        <f>IF($A78="","",CO77+MAX(0,L$7+IF($CF77=0,0,IFERROR(INDEX('职业'!N$3:N$152,$CF77)+0,0))))</f>
        <v/>
      </c>
    </row>
    <row r="79">
      <c r="A79" s="15">
        <f>IF(OR($B$9="",$B$10=""),"",IF($B$9+27&lt;=$B$10,$B$9+27,""))</f>
        <v/>
      </c>
      <c r="B79" s="15">
        <f>IF($A79="","",MATCH($A79,$BV$27:$BV$32,1))</f>
        <v/>
      </c>
      <c r="C79" s="15">
        <f>IF($A79="","",INDEX($BW$27:$BW$32,$B79))</f>
        <v/>
      </c>
      <c r="D79" s="15">
        <f>IF($A79="","",D$9+INT(($B$14+CG79)/100))</f>
        <v/>
      </c>
      <c r="E79" s="15">
        <f>IF($A79="","",E$9+INT(($B$14+CH79)/100))</f>
        <v/>
      </c>
      <c r="F79" s="15">
        <f>IF($A79="","",F$9+INT(($B$14+CI79)/100))</f>
        <v/>
      </c>
      <c r="G79" s="15">
        <f>IF($A79="","",G$9+INT(($B$14+CJ79)/100))</f>
        <v/>
      </c>
      <c r="H79" s="15">
        <f>IF($A79="","",H$9+INT(($B$14+CK79)/100))</f>
        <v/>
      </c>
      <c r="I79" s="15">
        <f>IF($A79="","",I$9+INT(($B$14+CL79)/100))</f>
        <v/>
      </c>
      <c r="J79" s="15">
        <f>IF($A79="","",J$9+INT(($B$14+CM79)/100))</f>
        <v/>
      </c>
      <c r="K79" s="15">
        <f>IF($A79="","",K$9+INT(($B$14+CN79)/100))</f>
        <v/>
      </c>
      <c r="L79" s="15">
        <f>IF($A79="","",L$9+INT(($B$14+CO79)/100))</f>
        <v/>
      </c>
      <c r="M79" s="16">
        <f>IF($A79="","",IF($C79&lt;&gt;$C78,"★ 转职 → 【"&amp;$C79&amp;"】","")&amp;IF($A79=$B$10,"（目标等级）",""))</f>
        <v/>
      </c>
      <c r="P79">
        <f>IF('职业'!$C69="","",'职业'!$C69)</f>
        <v/>
      </c>
      <c r="Q79">
        <f>N('职业'!$D69)</f>
        <v/>
      </c>
      <c r="R79">
        <f>'职业'!$E69&amp;""</f>
        <v/>
      </c>
      <c r="S79">
        <f>IF($P79="",0,MAX(0,D$7+N('职业'!F69)))</f>
        <v/>
      </c>
      <c r="T79">
        <f>IF($P79="",0,MAX(0,E$7+N('职业'!G69)))</f>
        <v/>
      </c>
      <c r="U79">
        <f>IF($P79="",0,MAX(0,F$7+N('职业'!H69)))</f>
        <v/>
      </c>
      <c r="V79">
        <f>IF($P79="",0,MAX(0,G$7+N('职业'!I69)))</f>
        <v/>
      </c>
      <c r="W79">
        <f>IF($P79="",0,MAX(0,H$7+N('职业'!J69)))</f>
        <v/>
      </c>
      <c r="X79">
        <f>IF($P79="",0,MAX(0,I$7+N('职业'!K69)))</f>
        <v/>
      </c>
      <c r="Y79">
        <f>IF($P79="",0,MAX(0,J$7+N('职业'!L69)))</f>
        <v/>
      </c>
      <c r="Z79">
        <f>IF($P79="",0,MAX(0,K$7+N('职业'!M69)))</f>
        <v/>
      </c>
      <c r="AA79">
        <f>IF($P79="",0,MAX(0,L$7+N('职业'!N69)))</f>
        <v/>
      </c>
      <c r="AB79">
        <f>AND($P79&lt;&gt;"",IF($U$5=1,$P79=$C$10,OR($P79=$C$9,AND($R79="是",$Q79&lt;=MAX($B$9,$Q$6)))))</f>
        <v/>
      </c>
      <c r="AC79">
        <f>AND($P79&lt;&gt;"",IF($U$5=2,$P79=$C$10,OR($P79=$C$9,AND($R79="是",$Q79&lt;=MAX($B$9,$Q$7)))))</f>
        <v/>
      </c>
      <c r="AD79">
        <f>AND($P79&lt;&gt;"",IF($U$5=3,$P79=$C$10,OR($P79=$C$9,AND($R79="是",$Q79&lt;=MAX($B$9,$Q$8)))))</f>
        <v/>
      </c>
      <c r="AE79">
        <f>IF(AB79,COUNTIF(AB$13:AB79,TRUE),"")</f>
        <v/>
      </c>
      <c r="AF79">
        <f>IF(AC79,COUNTIF(AC$13:AC79,TRUE),"")</f>
        <v/>
      </c>
      <c r="AG79">
        <f>IF(AD79,COUNTIF(AD$13:AD79,TRUE),"")</f>
        <v/>
      </c>
      <c r="AI79">
        <f>IFERROR(INDEX($P$13:$P$162,MATCH(67,$AE$13:$AE$162,0)),"")</f>
        <v/>
      </c>
      <c r="AJ79">
        <f>IFERROR(INDEX(S$13:S$162,MATCH(67,$AE$13:$AE$162,0)),0)*$T$6</f>
        <v/>
      </c>
      <c r="AK79">
        <f>IFERROR(INDEX(T$13:T$162,MATCH(67,$AE$13:$AE$162,0)),0)*$T$6</f>
        <v/>
      </c>
      <c r="AL79">
        <f>IFERROR(INDEX(U$13:U$162,MATCH(67,$AE$13:$AE$162,0)),0)*$T$6</f>
        <v/>
      </c>
      <c r="AM79">
        <f>IFERROR(INDEX(V$13:V$162,MATCH(67,$AE$13:$AE$162,0)),0)*$T$6</f>
        <v/>
      </c>
      <c r="AN79">
        <f>IFERROR(INDEX(W$13:W$162,MATCH(67,$AE$13:$AE$162,0)),0)*$T$6</f>
        <v/>
      </c>
      <c r="AO79">
        <f>IFERROR(INDEX(X$13:X$162,MATCH(67,$AE$13:$AE$162,0)),0)*$T$6</f>
        <v/>
      </c>
      <c r="AP79">
        <f>IFERROR(INDEX(Y$13:Y$162,MATCH(67,$AE$13:$AE$162,0)),0)*$T$6</f>
        <v/>
      </c>
      <c r="AQ79">
        <f>IFERROR(INDEX(Z$13:Z$162,MATCH(67,$AE$13:$AE$162,0)),0)*$T$6</f>
        <v/>
      </c>
      <c r="AR79">
        <f>IFERROR(INDEX(AA$13:AA$162,MATCH(67,$AE$13:$AE$162,0)),0)*$T$6</f>
        <v/>
      </c>
      <c r="AS79">
        <f>IFERROR(INDEX($P$13:$P$162,MATCH(67,$AF$13:$AF$162,0)),"")</f>
        <v/>
      </c>
      <c r="AT79">
        <f>IFERROR(INDEX(S$13:S$162,MATCH(67,$AF$13:$AF$162,0)),0)*$T$7</f>
        <v/>
      </c>
      <c r="AU79">
        <f>IFERROR(INDEX(T$13:T$162,MATCH(67,$AF$13:$AF$162,0)),0)*$T$7</f>
        <v/>
      </c>
      <c r="AV79">
        <f>IFERROR(INDEX(U$13:U$162,MATCH(67,$AF$13:$AF$162,0)),0)*$T$7</f>
        <v/>
      </c>
      <c r="AW79">
        <f>IFERROR(INDEX(V$13:V$162,MATCH(67,$AF$13:$AF$162,0)),0)*$T$7</f>
        <v/>
      </c>
      <c r="AX79">
        <f>IFERROR(INDEX(W$13:W$162,MATCH(67,$AF$13:$AF$162,0)),0)*$T$7</f>
        <v/>
      </c>
      <c r="AY79">
        <f>IFERROR(INDEX(X$13:X$162,MATCH(67,$AF$13:$AF$162,0)),0)*$T$7</f>
        <v/>
      </c>
      <c r="AZ79">
        <f>IFERROR(INDEX(Y$13:Y$162,MATCH(67,$AF$13:$AF$162,0)),0)*$T$7</f>
        <v/>
      </c>
      <c r="BA79">
        <f>IFERROR(INDEX(Z$13:Z$162,MATCH(67,$AF$13:$AF$162,0)),0)*$T$7</f>
        <v/>
      </c>
      <c r="BB79">
        <f>IFERROR(INDEX(AA$13:AA$162,MATCH(67,$AF$13:$AF$162,0)),0)*$T$7</f>
        <v/>
      </c>
      <c r="BC79">
        <f>IFERROR(INDEX($P$13:$P$162,MATCH(67,$AG$13:$AG$162,0)),"")</f>
        <v/>
      </c>
      <c r="BD79">
        <f>IFERROR(INDEX(S$13:S$162,MATCH(67,$AG$13:$AG$162,0)),0)*($T$8+IF($C$10="",$T$9,0))</f>
        <v/>
      </c>
      <c r="BE79">
        <f>IFERROR(INDEX(T$13:T$162,MATCH(67,$AG$13:$AG$162,0)),0)*($T$8+IF($C$10="",$T$9,0))</f>
        <v/>
      </c>
      <c r="BF79">
        <f>IFERROR(INDEX(U$13:U$162,MATCH(67,$AG$13:$AG$162,0)),0)*($T$8+IF($C$10="",$T$9,0))</f>
        <v/>
      </c>
      <c r="BG79">
        <f>IFERROR(INDEX(V$13:V$162,MATCH(67,$AG$13:$AG$162,0)),0)*($T$8+IF($C$10="",$T$9,0))</f>
        <v/>
      </c>
      <c r="BH79">
        <f>IFERROR(INDEX(W$13:W$162,MATCH(67,$AG$13:$AG$162,0)),0)*($T$8+IF($C$10="",$T$9,0))</f>
        <v/>
      </c>
      <c r="BI79">
        <f>IFERROR(INDEX(X$13:X$162,MATCH(67,$AG$13:$AG$162,0)),0)*($T$8+IF($C$10="",$T$9,0))</f>
        <v/>
      </c>
      <c r="BJ79">
        <f>IFERROR(INDEX(Y$13:Y$162,MATCH(67,$AG$13:$AG$162,0)),0)*($T$8+IF($C$10="",$T$9,0))</f>
        <v/>
      </c>
      <c r="BK79">
        <f>IFERROR(INDEX(Z$13:Z$162,MATCH(67,$AG$13:$AG$162,0)),0)*($T$8+IF($C$10="",$T$9,0))</f>
        <v/>
      </c>
      <c r="BL79">
        <f>IFERROR(INDEX(AA$13:AA$162,MATCH(67,$AG$13:$AG$162,0)),0)*($T$8+IF($C$10="",$T$9,0))</f>
        <v/>
      </c>
      <c r="BN79">
        <f>IF(66&lt;$U$9,INT(66/($U$7*$U$8))+1,1)</f>
        <v/>
      </c>
      <c r="BO79">
        <f>IF(66&lt;$U$9,MOD(INT(66/$U$8),$U$7)+1,1)</f>
        <v/>
      </c>
      <c r="BP79">
        <f>IF(66&lt;$U$9,MOD(66,$U$8)+1,1)</f>
        <v/>
      </c>
      <c r="BQ79">
        <f>IF(66&lt;$U$9,SUMPRODUCT(($D$10:$L$10&lt;&gt;"")*(($D$9:$L$9+INT(($S$12:$AA$12+INDEX($AJ$13:$AR$162,BN79,0)+INDEX($AT$13:$BB$162,BO79,0)+INDEX($BD$13:$BL$162,BP79,0))/100))&gt;=$D$10:$L$10)),0)</f>
        <v/>
      </c>
      <c r="BR79">
        <f>IF(66&lt;$U$9,SUMPRODUCT(($D$10:$L$10&lt;&gt;"")*(($D$10:$L$10-($D$9:$L$9+INT(($S$12:$AA$12+INDEX($AJ$13:$AR$162,BN79,0)+INDEX($AT$13:$BB$162,BO79,0)+INDEX($BD$13:$BL$162,BP79,0))/100)))&gt;0)*($D$10:$L$10-($D$9:$L$9+INT(($S$12:$AA$12+INDEX($AJ$13:$AR$162,BN79,0)+INDEX($AT$13:$BB$162,BO79,0)+INDEX($BD$13:$BL$162,BP79,0))/100)))),0)</f>
        <v/>
      </c>
      <c r="BS79">
        <f>IF(66&lt;$U$9,SUMPRODUCT(($D$9:$L$9+INT(($S$12:$AA$12+INDEX($AJ$13:$AR$162,BN79,0)+INDEX($AT$13:$BB$162,BO79,0)+INDEX($BD$13:$BL$162,BP79,0))/100))),0)</f>
        <v/>
      </c>
      <c r="BT79">
        <f>IF(AND(66&lt;$U$9,$W$5),BQ79*1000000-MIN(BR79,999)*1000+BS79-66/100000,-1000000000-66)</f>
        <v/>
      </c>
      <c r="CF79">
        <f>IF($A79="","",IFERROR(MATCH($C79,'职业'!$C$3:$C$152,0),0))</f>
        <v/>
      </c>
      <c r="CG79">
        <f>IF($A79="","",CG78+MAX(0,D$7+IF($CF78=0,0,IFERROR(INDEX('职业'!F$3:F$152,$CF78)+0,0))))</f>
        <v/>
      </c>
      <c r="CH79">
        <f>IF($A79="","",CH78+MAX(0,E$7+IF($CF78=0,0,IFERROR(INDEX('职业'!G$3:G$152,$CF78)+0,0))))</f>
        <v/>
      </c>
      <c r="CI79">
        <f>IF($A79="","",CI78+MAX(0,F$7+IF($CF78=0,0,IFERROR(INDEX('职业'!H$3:H$152,$CF78)+0,0))))</f>
        <v/>
      </c>
      <c r="CJ79">
        <f>IF($A79="","",CJ78+MAX(0,G$7+IF($CF78=0,0,IFERROR(INDEX('职业'!I$3:I$152,$CF78)+0,0))))</f>
        <v/>
      </c>
      <c r="CK79">
        <f>IF($A79="","",CK78+MAX(0,H$7+IF($CF78=0,0,IFERROR(INDEX('职业'!J$3:J$152,$CF78)+0,0))))</f>
        <v/>
      </c>
      <c r="CL79">
        <f>IF($A79="","",CL78+MAX(0,I$7+IF($CF78=0,0,IFERROR(INDEX('职业'!K$3:K$152,$CF78)+0,0))))</f>
        <v/>
      </c>
      <c r="CM79">
        <f>IF($A79="","",CM78+MAX(0,J$7+IF($CF78=0,0,IFERROR(INDEX('职业'!L$3:L$152,$CF78)+0,0))))</f>
        <v/>
      </c>
      <c r="CN79">
        <f>IF($A79="","",CN78+MAX(0,K$7+IF($CF78=0,0,IFERROR(INDEX('职业'!M$3:M$152,$CF78)+0,0))))</f>
        <v/>
      </c>
      <c r="CO79">
        <f>IF($A79="","",CO78+MAX(0,L$7+IF($CF78=0,0,IFERROR(INDEX('职业'!N$3:N$152,$CF78)+0,0))))</f>
        <v/>
      </c>
    </row>
    <row r="80">
      <c r="A80" s="15">
        <f>IF(OR($B$9="",$B$10=""),"",IF($B$9+28&lt;=$B$10,$B$9+28,""))</f>
        <v/>
      </c>
      <c r="B80" s="15">
        <f>IF($A80="","",MATCH($A80,$BV$27:$BV$32,1))</f>
        <v/>
      </c>
      <c r="C80" s="15">
        <f>IF($A80="","",INDEX($BW$27:$BW$32,$B80))</f>
        <v/>
      </c>
      <c r="D80" s="15">
        <f>IF($A80="","",D$9+INT(($B$14+CG80)/100))</f>
        <v/>
      </c>
      <c r="E80" s="15">
        <f>IF($A80="","",E$9+INT(($B$14+CH80)/100))</f>
        <v/>
      </c>
      <c r="F80" s="15">
        <f>IF($A80="","",F$9+INT(($B$14+CI80)/100))</f>
        <v/>
      </c>
      <c r="G80" s="15">
        <f>IF($A80="","",G$9+INT(($B$14+CJ80)/100))</f>
        <v/>
      </c>
      <c r="H80" s="15">
        <f>IF($A80="","",H$9+INT(($B$14+CK80)/100))</f>
        <v/>
      </c>
      <c r="I80" s="15">
        <f>IF($A80="","",I$9+INT(($B$14+CL80)/100))</f>
        <v/>
      </c>
      <c r="J80" s="15">
        <f>IF($A80="","",J$9+INT(($B$14+CM80)/100))</f>
        <v/>
      </c>
      <c r="K80" s="15">
        <f>IF($A80="","",K$9+INT(($B$14+CN80)/100))</f>
        <v/>
      </c>
      <c r="L80" s="15">
        <f>IF($A80="","",L$9+INT(($B$14+CO80)/100))</f>
        <v/>
      </c>
      <c r="M80" s="16">
        <f>IF($A80="","",IF($C80&lt;&gt;$C79,"★ 转职 → 【"&amp;$C80&amp;"】","")&amp;IF($A80=$B$10,"（目标等级）",""))</f>
        <v/>
      </c>
      <c r="P80">
        <f>IF('职业'!$C70="","",'职业'!$C70)</f>
        <v/>
      </c>
      <c r="Q80">
        <f>N('职业'!$D70)</f>
        <v/>
      </c>
      <c r="R80">
        <f>'职业'!$E70&amp;""</f>
        <v/>
      </c>
      <c r="S80">
        <f>IF($P80="",0,MAX(0,D$7+N('职业'!F70)))</f>
        <v/>
      </c>
      <c r="T80">
        <f>IF($P80="",0,MAX(0,E$7+N('职业'!G70)))</f>
        <v/>
      </c>
      <c r="U80">
        <f>IF($P80="",0,MAX(0,F$7+N('职业'!H70)))</f>
        <v/>
      </c>
      <c r="V80">
        <f>IF($P80="",0,MAX(0,G$7+N('职业'!I70)))</f>
        <v/>
      </c>
      <c r="W80">
        <f>IF($P80="",0,MAX(0,H$7+N('职业'!J70)))</f>
        <v/>
      </c>
      <c r="X80">
        <f>IF($P80="",0,MAX(0,I$7+N('职业'!K70)))</f>
        <v/>
      </c>
      <c r="Y80">
        <f>IF($P80="",0,MAX(0,J$7+N('职业'!L70)))</f>
        <v/>
      </c>
      <c r="Z80">
        <f>IF($P80="",0,MAX(0,K$7+N('职业'!M70)))</f>
        <v/>
      </c>
      <c r="AA80">
        <f>IF($P80="",0,MAX(0,L$7+N('职业'!N70)))</f>
        <v/>
      </c>
      <c r="AB80">
        <f>AND($P80&lt;&gt;"",IF($U$5=1,$P80=$C$10,OR($P80=$C$9,AND($R80="是",$Q80&lt;=MAX($B$9,$Q$6)))))</f>
        <v/>
      </c>
      <c r="AC80">
        <f>AND($P80&lt;&gt;"",IF($U$5=2,$P80=$C$10,OR($P80=$C$9,AND($R80="是",$Q80&lt;=MAX($B$9,$Q$7)))))</f>
        <v/>
      </c>
      <c r="AD80">
        <f>AND($P80&lt;&gt;"",IF($U$5=3,$P80=$C$10,OR($P80=$C$9,AND($R80="是",$Q80&lt;=MAX($B$9,$Q$8)))))</f>
        <v/>
      </c>
      <c r="AE80">
        <f>IF(AB80,COUNTIF(AB$13:AB80,TRUE),"")</f>
        <v/>
      </c>
      <c r="AF80">
        <f>IF(AC80,COUNTIF(AC$13:AC80,TRUE),"")</f>
        <v/>
      </c>
      <c r="AG80">
        <f>IF(AD80,COUNTIF(AD$13:AD80,TRUE),"")</f>
        <v/>
      </c>
      <c r="AI80">
        <f>IFERROR(INDEX($P$13:$P$162,MATCH(68,$AE$13:$AE$162,0)),"")</f>
        <v/>
      </c>
      <c r="AJ80">
        <f>IFERROR(INDEX(S$13:S$162,MATCH(68,$AE$13:$AE$162,0)),0)*$T$6</f>
        <v/>
      </c>
      <c r="AK80">
        <f>IFERROR(INDEX(T$13:T$162,MATCH(68,$AE$13:$AE$162,0)),0)*$T$6</f>
        <v/>
      </c>
      <c r="AL80">
        <f>IFERROR(INDEX(U$13:U$162,MATCH(68,$AE$13:$AE$162,0)),0)*$T$6</f>
        <v/>
      </c>
      <c r="AM80">
        <f>IFERROR(INDEX(V$13:V$162,MATCH(68,$AE$13:$AE$162,0)),0)*$T$6</f>
        <v/>
      </c>
      <c r="AN80">
        <f>IFERROR(INDEX(W$13:W$162,MATCH(68,$AE$13:$AE$162,0)),0)*$T$6</f>
        <v/>
      </c>
      <c r="AO80">
        <f>IFERROR(INDEX(X$13:X$162,MATCH(68,$AE$13:$AE$162,0)),0)*$T$6</f>
        <v/>
      </c>
      <c r="AP80">
        <f>IFERROR(INDEX(Y$13:Y$162,MATCH(68,$AE$13:$AE$162,0)),0)*$T$6</f>
        <v/>
      </c>
      <c r="AQ80">
        <f>IFERROR(INDEX(Z$13:Z$162,MATCH(68,$AE$13:$AE$162,0)),0)*$T$6</f>
        <v/>
      </c>
      <c r="AR80">
        <f>IFERROR(INDEX(AA$13:AA$162,MATCH(68,$AE$13:$AE$162,0)),0)*$T$6</f>
        <v/>
      </c>
      <c r="AS80">
        <f>IFERROR(INDEX($P$13:$P$162,MATCH(68,$AF$13:$AF$162,0)),"")</f>
        <v/>
      </c>
      <c r="AT80">
        <f>IFERROR(INDEX(S$13:S$162,MATCH(68,$AF$13:$AF$162,0)),0)*$T$7</f>
        <v/>
      </c>
      <c r="AU80">
        <f>IFERROR(INDEX(T$13:T$162,MATCH(68,$AF$13:$AF$162,0)),0)*$T$7</f>
        <v/>
      </c>
      <c r="AV80">
        <f>IFERROR(INDEX(U$13:U$162,MATCH(68,$AF$13:$AF$162,0)),0)*$T$7</f>
        <v/>
      </c>
      <c r="AW80">
        <f>IFERROR(INDEX(V$13:V$162,MATCH(68,$AF$13:$AF$162,0)),0)*$T$7</f>
        <v/>
      </c>
      <c r="AX80">
        <f>IFERROR(INDEX(W$13:W$162,MATCH(68,$AF$13:$AF$162,0)),0)*$T$7</f>
        <v/>
      </c>
      <c r="AY80">
        <f>IFERROR(INDEX(X$13:X$162,MATCH(68,$AF$13:$AF$162,0)),0)*$T$7</f>
        <v/>
      </c>
      <c r="AZ80">
        <f>IFERROR(INDEX(Y$13:Y$162,MATCH(68,$AF$13:$AF$162,0)),0)*$T$7</f>
        <v/>
      </c>
      <c r="BA80">
        <f>IFERROR(INDEX(Z$13:Z$162,MATCH(68,$AF$13:$AF$162,0)),0)*$T$7</f>
        <v/>
      </c>
      <c r="BB80">
        <f>IFERROR(INDEX(AA$13:AA$162,MATCH(68,$AF$13:$AF$162,0)),0)*$T$7</f>
        <v/>
      </c>
      <c r="BC80">
        <f>IFERROR(INDEX($P$13:$P$162,MATCH(68,$AG$13:$AG$162,0)),"")</f>
        <v/>
      </c>
      <c r="BD80">
        <f>IFERROR(INDEX(S$13:S$162,MATCH(68,$AG$13:$AG$162,0)),0)*($T$8+IF($C$10="",$T$9,0))</f>
        <v/>
      </c>
      <c r="BE80">
        <f>IFERROR(INDEX(T$13:T$162,MATCH(68,$AG$13:$AG$162,0)),0)*($T$8+IF($C$10="",$T$9,0))</f>
        <v/>
      </c>
      <c r="BF80">
        <f>IFERROR(INDEX(U$13:U$162,MATCH(68,$AG$13:$AG$162,0)),0)*($T$8+IF($C$10="",$T$9,0))</f>
        <v/>
      </c>
      <c r="BG80">
        <f>IFERROR(INDEX(V$13:V$162,MATCH(68,$AG$13:$AG$162,0)),0)*($T$8+IF($C$10="",$T$9,0))</f>
        <v/>
      </c>
      <c r="BH80">
        <f>IFERROR(INDEX(W$13:W$162,MATCH(68,$AG$13:$AG$162,0)),0)*($T$8+IF($C$10="",$T$9,0))</f>
        <v/>
      </c>
      <c r="BI80">
        <f>IFERROR(INDEX(X$13:X$162,MATCH(68,$AG$13:$AG$162,0)),0)*($T$8+IF($C$10="",$T$9,0))</f>
        <v/>
      </c>
      <c r="BJ80">
        <f>IFERROR(INDEX(Y$13:Y$162,MATCH(68,$AG$13:$AG$162,0)),0)*($T$8+IF($C$10="",$T$9,0))</f>
        <v/>
      </c>
      <c r="BK80">
        <f>IFERROR(INDEX(Z$13:Z$162,MATCH(68,$AG$13:$AG$162,0)),0)*($T$8+IF($C$10="",$T$9,0))</f>
        <v/>
      </c>
      <c r="BL80">
        <f>IFERROR(INDEX(AA$13:AA$162,MATCH(68,$AG$13:$AG$162,0)),0)*($T$8+IF($C$10="",$T$9,0))</f>
        <v/>
      </c>
      <c r="BN80">
        <f>IF(67&lt;$U$9,INT(67/($U$7*$U$8))+1,1)</f>
        <v/>
      </c>
      <c r="BO80">
        <f>IF(67&lt;$U$9,MOD(INT(67/$U$8),$U$7)+1,1)</f>
        <v/>
      </c>
      <c r="BP80">
        <f>IF(67&lt;$U$9,MOD(67,$U$8)+1,1)</f>
        <v/>
      </c>
      <c r="BQ80">
        <f>IF(67&lt;$U$9,SUMPRODUCT(($D$10:$L$10&lt;&gt;"")*(($D$9:$L$9+INT(($S$12:$AA$12+INDEX($AJ$13:$AR$162,BN80,0)+INDEX($AT$13:$BB$162,BO80,0)+INDEX($BD$13:$BL$162,BP80,0))/100))&gt;=$D$10:$L$10)),0)</f>
        <v/>
      </c>
      <c r="BR80">
        <f>IF(67&lt;$U$9,SUMPRODUCT(($D$10:$L$10&lt;&gt;"")*(($D$10:$L$10-($D$9:$L$9+INT(($S$12:$AA$12+INDEX($AJ$13:$AR$162,BN80,0)+INDEX($AT$13:$BB$162,BO80,0)+INDEX($BD$13:$BL$162,BP80,0))/100)))&gt;0)*($D$10:$L$10-($D$9:$L$9+INT(($S$12:$AA$12+INDEX($AJ$13:$AR$162,BN80,0)+INDEX($AT$13:$BB$162,BO80,0)+INDEX($BD$13:$BL$162,BP80,0))/100)))),0)</f>
        <v/>
      </c>
      <c r="BS80">
        <f>IF(67&lt;$U$9,SUMPRODUCT(($D$9:$L$9+INT(($S$12:$AA$12+INDEX($AJ$13:$AR$162,BN80,0)+INDEX($AT$13:$BB$162,BO80,0)+INDEX($BD$13:$BL$162,BP80,0))/100))),0)</f>
        <v/>
      </c>
      <c r="BT80">
        <f>IF(AND(67&lt;$U$9,$W$5),BQ80*1000000-MIN(BR80,999)*1000+BS80-67/100000,-1000000000-67)</f>
        <v/>
      </c>
      <c r="CF80">
        <f>IF($A80="","",IFERROR(MATCH($C80,'职业'!$C$3:$C$152,0),0))</f>
        <v/>
      </c>
      <c r="CG80">
        <f>IF($A80="","",CG79+MAX(0,D$7+IF($CF79=0,0,IFERROR(INDEX('职业'!F$3:F$152,$CF79)+0,0))))</f>
        <v/>
      </c>
      <c r="CH80">
        <f>IF($A80="","",CH79+MAX(0,E$7+IF($CF79=0,0,IFERROR(INDEX('职业'!G$3:G$152,$CF79)+0,0))))</f>
        <v/>
      </c>
      <c r="CI80">
        <f>IF($A80="","",CI79+MAX(0,F$7+IF($CF79=0,0,IFERROR(INDEX('职业'!H$3:H$152,$CF79)+0,0))))</f>
        <v/>
      </c>
      <c r="CJ80">
        <f>IF($A80="","",CJ79+MAX(0,G$7+IF($CF79=0,0,IFERROR(INDEX('职业'!I$3:I$152,$CF79)+0,0))))</f>
        <v/>
      </c>
      <c r="CK80">
        <f>IF($A80="","",CK79+MAX(0,H$7+IF($CF79=0,0,IFERROR(INDEX('职业'!J$3:J$152,$CF79)+0,0))))</f>
        <v/>
      </c>
      <c r="CL80">
        <f>IF($A80="","",CL79+MAX(0,I$7+IF($CF79=0,0,IFERROR(INDEX('职业'!K$3:K$152,$CF79)+0,0))))</f>
        <v/>
      </c>
      <c r="CM80">
        <f>IF($A80="","",CM79+MAX(0,J$7+IF($CF79=0,0,IFERROR(INDEX('职业'!L$3:L$152,$CF79)+0,0))))</f>
        <v/>
      </c>
      <c r="CN80">
        <f>IF($A80="","",CN79+MAX(0,K$7+IF($CF79=0,0,IFERROR(INDEX('职业'!M$3:M$152,$CF79)+0,0))))</f>
        <v/>
      </c>
      <c r="CO80">
        <f>IF($A80="","",CO79+MAX(0,L$7+IF($CF79=0,0,IFERROR(INDEX('职业'!N$3:N$152,$CF79)+0,0))))</f>
        <v/>
      </c>
    </row>
    <row r="81">
      <c r="A81" s="15">
        <f>IF(OR($B$9="",$B$10=""),"",IF($B$9+29&lt;=$B$10,$B$9+29,""))</f>
        <v/>
      </c>
      <c r="B81" s="15">
        <f>IF($A81="","",MATCH($A81,$BV$27:$BV$32,1))</f>
        <v/>
      </c>
      <c r="C81" s="15">
        <f>IF($A81="","",INDEX($BW$27:$BW$32,$B81))</f>
        <v/>
      </c>
      <c r="D81" s="15">
        <f>IF($A81="","",D$9+INT(($B$14+CG81)/100))</f>
        <v/>
      </c>
      <c r="E81" s="15">
        <f>IF($A81="","",E$9+INT(($B$14+CH81)/100))</f>
        <v/>
      </c>
      <c r="F81" s="15">
        <f>IF($A81="","",F$9+INT(($B$14+CI81)/100))</f>
        <v/>
      </c>
      <c r="G81" s="15">
        <f>IF($A81="","",G$9+INT(($B$14+CJ81)/100))</f>
        <v/>
      </c>
      <c r="H81" s="15">
        <f>IF($A81="","",H$9+INT(($B$14+CK81)/100))</f>
        <v/>
      </c>
      <c r="I81" s="15">
        <f>IF($A81="","",I$9+INT(($B$14+CL81)/100))</f>
        <v/>
      </c>
      <c r="J81" s="15">
        <f>IF($A81="","",J$9+INT(($B$14+CM81)/100))</f>
        <v/>
      </c>
      <c r="K81" s="15">
        <f>IF($A81="","",K$9+INT(($B$14+CN81)/100))</f>
        <v/>
      </c>
      <c r="L81" s="15">
        <f>IF($A81="","",L$9+INT(($B$14+CO81)/100))</f>
        <v/>
      </c>
      <c r="M81" s="16">
        <f>IF($A81="","",IF($C81&lt;&gt;$C80,"★ 转职 → 【"&amp;$C81&amp;"】","")&amp;IF($A81=$B$10,"（目标等级）",""))</f>
        <v/>
      </c>
      <c r="P81">
        <f>IF('职业'!$C71="","",'职业'!$C71)</f>
        <v/>
      </c>
      <c r="Q81">
        <f>N('职业'!$D71)</f>
        <v/>
      </c>
      <c r="R81">
        <f>'职业'!$E71&amp;""</f>
        <v/>
      </c>
      <c r="S81">
        <f>IF($P81="",0,MAX(0,D$7+N('职业'!F71)))</f>
        <v/>
      </c>
      <c r="T81">
        <f>IF($P81="",0,MAX(0,E$7+N('职业'!G71)))</f>
        <v/>
      </c>
      <c r="U81">
        <f>IF($P81="",0,MAX(0,F$7+N('职业'!H71)))</f>
        <v/>
      </c>
      <c r="V81">
        <f>IF($P81="",0,MAX(0,G$7+N('职业'!I71)))</f>
        <v/>
      </c>
      <c r="W81">
        <f>IF($P81="",0,MAX(0,H$7+N('职业'!J71)))</f>
        <v/>
      </c>
      <c r="X81">
        <f>IF($P81="",0,MAX(0,I$7+N('职业'!K71)))</f>
        <v/>
      </c>
      <c r="Y81">
        <f>IF($P81="",0,MAX(0,J$7+N('职业'!L71)))</f>
        <v/>
      </c>
      <c r="Z81">
        <f>IF($P81="",0,MAX(0,K$7+N('职业'!M71)))</f>
        <v/>
      </c>
      <c r="AA81">
        <f>IF($P81="",0,MAX(0,L$7+N('职业'!N71)))</f>
        <v/>
      </c>
      <c r="AB81">
        <f>AND($P81&lt;&gt;"",IF($U$5=1,$P81=$C$10,OR($P81=$C$9,AND($R81="是",$Q81&lt;=MAX($B$9,$Q$6)))))</f>
        <v/>
      </c>
      <c r="AC81">
        <f>AND($P81&lt;&gt;"",IF($U$5=2,$P81=$C$10,OR($P81=$C$9,AND($R81="是",$Q81&lt;=MAX($B$9,$Q$7)))))</f>
        <v/>
      </c>
      <c r="AD81">
        <f>AND($P81&lt;&gt;"",IF($U$5=3,$P81=$C$10,OR($P81=$C$9,AND($R81="是",$Q81&lt;=MAX($B$9,$Q$8)))))</f>
        <v/>
      </c>
      <c r="AE81">
        <f>IF(AB81,COUNTIF(AB$13:AB81,TRUE),"")</f>
        <v/>
      </c>
      <c r="AF81">
        <f>IF(AC81,COUNTIF(AC$13:AC81,TRUE),"")</f>
        <v/>
      </c>
      <c r="AG81">
        <f>IF(AD81,COUNTIF(AD$13:AD81,TRUE),"")</f>
        <v/>
      </c>
      <c r="AI81">
        <f>IFERROR(INDEX($P$13:$P$162,MATCH(69,$AE$13:$AE$162,0)),"")</f>
        <v/>
      </c>
      <c r="AJ81">
        <f>IFERROR(INDEX(S$13:S$162,MATCH(69,$AE$13:$AE$162,0)),0)*$T$6</f>
        <v/>
      </c>
      <c r="AK81">
        <f>IFERROR(INDEX(T$13:T$162,MATCH(69,$AE$13:$AE$162,0)),0)*$T$6</f>
        <v/>
      </c>
      <c r="AL81">
        <f>IFERROR(INDEX(U$13:U$162,MATCH(69,$AE$13:$AE$162,0)),0)*$T$6</f>
        <v/>
      </c>
      <c r="AM81">
        <f>IFERROR(INDEX(V$13:V$162,MATCH(69,$AE$13:$AE$162,0)),0)*$T$6</f>
        <v/>
      </c>
      <c r="AN81">
        <f>IFERROR(INDEX(W$13:W$162,MATCH(69,$AE$13:$AE$162,0)),0)*$T$6</f>
        <v/>
      </c>
      <c r="AO81">
        <f>IFERROR(INDEX(X$13:X$162,MATCH(69,$AE$13:$AE$162,0)),0)*$T$6</f>
        <v/>
      </c>
      <c r="AP81">
        <f>IFERROR(INDEX(Y$13:Y$162,MATCH(69,$AE$13:$AE$162,0)),0)*$T$6</f>
        <v/>
      </c>
      <c r="AQ81">
        <f>IFERROR(INDEX(Z$13:Z$162,MATCH(69,$AE$13:$AE$162,0)),0)*$T$6</f>
        <v/>
      </c>
      <c r="AR81">
        <f>IFERROR(INDEX(AA$13:AA$162,MATCH(69,$AE$13:$AE$162,0)),0)*$T$6</f>
        <v/>
      </c>
      <c r="AS81">
        <f>IFERROR(INDEX($P$13:$P$162,MATCH(69,$AF$13:$AF$162,0)),"")</f>
        <v/>
      </c>
      <c r="AT81">
        <f>IFERROR(INDEX(S$13:S$162,MATCH(69,$AF$13:$AF$162,0)),0)*$T$7</f>
        <v/>
      </c>
      <c r="AU81">
        <f>IFERROR(INDEX(T$13:T$162,MATCH(69,$AF$13:$AF$162,0)),0)*$T$7</f>
        <v/>
      </c>
      <c r="AV81">
        <f>IFERROR(INDEX(U$13:U$162,MATCH(69,$AF$13:$AF$162,0)),0)*$T$7</f>
        <v/>
      </c>
      <c r="AW81">
        <f>IFERROR(INDEX(V$13:V$162,MATCH(69,$AF$13:$AF$162,0)),0)*$T$7</f>
        <v/>
      </c>
      <c r="AX81">
        <f>IFERROR(INDEX(W$13:W$162,MATCH(69,$AF$13:$AF$162,0)),0)*$T$7</f>
        <v/>
      </c>
      <c r="AY81">
        <f>IFERROR(INDEX(X$13:X$162,MATCH(69,$AF$13:$AF$162,0)),0)*$T$7</f>
        <v/>
      </c>
      <c r="AZ81">
        <f>IFERROR(INDEX(Y$13:Y$162,MATCH(69,$AF$13:$AF$162,0)),0)*$T$7</f>
        <v/>
      </c>
      <c r="BA81">
        <f>IFERROR(INDEX(Z$13:Z$162,MATCH(69,$AF$13:$AF$162,0)),0)*$T$7</f>
        <v/>
      </c>
      <c r="BB81">
        <f>IFERROR(INDEX(AA$13:AA$162,MATCH(69,$AF$13:$AF$162,0)),0)*$T$7</f>
        <v/>
      </c>
      <c r="BC81">
        <f>IFERROR(INDEX($P$13:$P$162,MATCH(69,$AG$13:$AG$162,0)),"")</f>
        <v/>
      </c>
      <c r="BD81">
        <f>IFERROR(INDEX(S$13:S$162,MATCH(69,$AG$13:$AG$162,0)),0)*($T$8+IF($C$10="",$T$9,0))</f>
        <v/>
      </c>
      <c r="BE81">
        <f>IFERROR(INDEX(T$13:T$162,MATCH(69,$AG$13:$AG$162,0)),0)*($T$8+IF($C$10="",$T$9,0))</f>
        <v/>
      </c>
      <c r="BF81">
        <f>IFERROR(INDEX(U$13:U$162,MATCH(69,$AG$13:$AG$162,0)),0)*($T$8+IF($C$10="",$T$9,0))</f>
        <v/>
      </c>
      <c r="BG81">
        <f>IFERROR(INDEX(V$13:V$162,MATCH(69,$AG$13:$AG$162,0)),0)*($T$8+IF($C$10="",$T$9,0))</f>
        <v/>
      </c>
      <c r="BH81">
        <f>IFERROR(INDEX(W$13:W$162,MATCH(69,$AG$13:$AG$162,0)),0)*($T$8+IF($C$10="",$T$9,0))</f>
        <v/>
      </c>
      <c r="BI81">
        <f>IFERROR(INDEX(X$13:X$162,MATCH(69,$AG$13:$AG$162,0)),0)*($T$8+IF($C$10="",$T$9,0))</f>
        <v/>
      </c>
      <c r="BJ81">
        <f>IFERROR(INDEX(Y$13:Y$162,MATCH(69,$AG$13:$AG$162,0)),0)*($T$8+IF($C$10="",$T$9,0))</f>
        <v/>
      </c>
      <c r="BK81">
        <f>IFERROR(INDEX(Z$13:Z$162,MATCH(69,$AG$13:$AG$162,0)),0)*($T$8+IF($C$10="",$T$9,0))</f>
        <v/>
      </c>
      <c r="BL81">
        <f>IFERROR(INDEX(AA$13:AA$162,MATCH(69,$AG$13:$AG$162,0)),0)*($T$8+IF($C$10="",$T$9,0))</f>
        <v/>
      </c>
      <c r="BN81">
        <f>IF(68&lt;$U$9,INT(68/($U$7*$U$8))+1,1)</f>
        <v/>
      </c>
      <c r="BO81">
        <f>IF(68&lt;$U$9,MOD(INT(68/$U$8),$U$7)+1,1)</f>
        <v/>
      </c>
      <c r="BP81">
        <f>IF(68&lt;$U$9,MOD(68,$U$8)+1,1)</f>
        <v/>
      </c>
      <c r="BQ81">
        <f>IF(68&lt;$U$9,SUMPRODUCT(($D$10:$L$10&lt;&gt;"")*(($D$9:$L$9+INT(($S$12:$AA$12+INDEX($AJ$13:$AR$162,BN81,0)+INDEX($AT$13:$BB$162,BO81,0)+INDEX($BD$13:$BL$162,BP81,0))/100))&gt;=$D$10:$L$10)),0)</f>
        <v/>
      </c>
      <c r="BR81">
        <f>IF(68&lt;$U$9,SUMPRODUCT(($D$10:$L$10&lt;&gt;"")*(($D$10:$L$10-($D$9:$L$9+INT(($S$12:$AA$12+INDEX($AJ$13:$AR$162,BN81,0)+INDEX($AT$13:$BB$162,BO81,0)+INDEX($BD$13:$BL$162,BP81,0))/100)))&gt;0)*($D$10:$L$10-($D$9:$L$9+INT(($S$12:$AA$12+INDEX($AJ$13:$AR$162,BN81,0)+INDEX($AT$13:$BB$162,BO81,0)+INDEX($BD$13:$BL$162,BP81,0))/100)))),0)</f>
        <v/>
      </c>
      <c r="BS81">
        <f>IF(68&lt;$U$9,SUMPRODUCT(($D$9:$L$9+INT(($S$12:$AA$12+INDEX($AJ$13:$AR$162,BN81,0)+INDEX($AT$13:$BB$162,BO81,0)+INDEX($BD$13:$BL$162,BP81,0))/100))),0)</f>
        <v/>
      </c>
      <c r="BT81">
        <f>IF(AND(68&lt;$U$9,$W$5),BQ81*1000000-MIN(BR81,999)*1000+BS81-68/100000,-1000000000-68)</f>
        <v/>
      </c>
      <c r="CF81">
        <f>IF($A81="","",IFERROR(MATCH($C81,'职业'!$C$3:$C$152,0),0))</f>
        <v/>
      </c>
      <c r="CG81">
        <f>IF($A81="","",CG80+MAX(0,D$7+IF($CF80=0,0,IFERROR(INDEX('职业'!F$3:F$152,$CF80)+0,0))))</f>
        <v/>
      </c>
      <c r="CH81">
        <f>IF($A81="","",CH80+MAX(0,E$7+IF($CF80=0,0,IFERROR(INDEX('职业'!G$3:G$152,$CF80)+0,0))))</f>
        <v/>
      </c>
      <c r="CI81">
        <f>IF($A81="","",CI80+MAX(0,F$7+IF($CF80=0,0,IFERROR(INDEX('职业'!H$3:H$152,$CF80)+0,0))))</f>
        <v/>
      </c>
      <c r="CJ81">
        <f>IF($A81="","",CJ80+MAX(0,G$7+IF($CF80=0,0,IFERROR(INDEX('职业'!I$3:I$152,$CF80)+0,0))))</f>
        <v/>
      </c>
      <c r="CK81">
        <f>IF($A81="","",CK80+MAX(0,H$7+IF($CF80=0,0,IFERROR(INDEX('职业'!J$3:J$152,$CF80)+0,0))))</f>
        <v/>
      </c>
      <c r="CL81">
        <f>IF($A81="","",CL80+MAX(0,I$7+IF($CF80=0,0,IFERROR(INDEX('职业'!K$3:K$152,$CF80)+0,0))))</f>
        <v/>
      </c>
      <c r="CM81">
        <f>IF($A81="","",CM80+MAX(0,J$7+IF($CF80=0,0,IFERROR(INDEX('职业'!L$3:L$152,$CF80)+0,0))))</f>
        <v/>
      </c>
      <c r="CN81">
        <f>IF($A81="","",CN80+MAX(0,K$7+IF($CF80=0,0,IFERROR(INDEX('职业'!M$3:M$152,$CF80)+0,0))))</f>
        <v/>
      </c>
      <c r="CO81">
        <f>IF($A81="","",CO80+MAX(0,L$7+IF($CF80=0,0,IFERROR(INDEX('职业'!N$3:N$152,$CF80)+0,0))))</f>
        <v/>
      </c>
    </row>
    <row r="82">
      <c r="A82" s="15">
        <f>IF(OR($B$9="",$B$10=""),"",IF($B$9+30&lt;=$B$10,$B$9+30,""))</f>
        <v/>
      </c>
      <c r="B82" s="15">
        <f>IF($A82="","",MATCH($A82,$BV$27:$BV$32,1))</f>
        <v/>
      </c>
      <c r="C82" s="15">
        <f>IF($A82="","",INDEX($BW$27:$BW$32,$B82))</f>
        <v/>
      </c>
      <c r="D82" s="15">
        <f>IF($A82="","",D$9+INT(($B$14+CG82)/100))</f>
        <v/>
      </c>
      <c r="E82" s="15">
        <f>IF($A82="","",E$9+INT(($B$14+CH82)/100))</f>
        <v/>
      </c>
      <c r="F82" s="15">
        <f>IF($A82="","",F$9+INT(($B$14+CI82)/100))</f>
        <v/>
      </c>
      <c r="G82" s="15">
        <f>IF($A82="","",G$9+INT(($B$14+CJ82)/100))</f>
        <v/>
      </c>
      <c r="H82" s="15">
        <f>IF($A82="","",H$9+INT(($B$14+CK82)/100))</f>
        <v/>
      </c>
      <c r="I82" s="15">
        <f>IF($A82="","",I$9+INT(($B$14+CL82)/100))</f>
        <v/>
      </c>
      <c r="J82" s="15">
        <f>IF($A82="","",J$9+INT(($B$14+CM82)/100))</f>
        <v/>
      </c>
      <c r="K82" s="15">
        <f>IF($A82="","",K$9+INT(($B$14+CN82)/100))</f>
        <v/>
      </c>
      <c r="L82" s="15">
        <f>IF($A82="","",L$9+INT(($B$14+CO82)/100))</f>
        <v/>
      </c>
      <c r="M82" s="16">
        <f>IF($A82="","",IF($C82&lt;&gt;$C81,"★ 转职 → 【"&amp;$C82&amp;"】","")&amp;IF($A82=$B$10,"（目标等级）",""))</f>
        <v/>
      </c>
      <c r="P82">
        <f>IF('职业'!$C72="","",'职业'!$C72)</f>
        <v/>
      </c>
      <c r="Q82">
        <f>N('职业'!$D72)</f>
        <v/>
      </c>
      <c r="R82">
        <f>'职业'!$E72&amp;""</f>
        <v/>
      </c>
      <c r="S82">
        <f>IF($P82="",0,MAX(0,D$7+N('职业'!F72)))</f>
        <v/>
      </c>
      <c r="T82">
        <f>IF($P82="",0,MAX(0,E$7+N('职业'!G72)))</f>
        <v/>
      </c>
      <c r="U82">
        <f>IF($P82="",0,MAX(0,F$7+N('职业'!H72)))</f>
        <v/>
      </c>
      <c r="V82">
        <f>IF($P82="",0,MAX(0,G$7+N('职业'!I72)))</f>
        <v/>
      </c>
      <c r="W82">
        <f>IF($P82="",0,MAX(0,H$7+N('职业'!J72)))</f>
        <v/>
      </c>
      <c r="X82">
        <f>IF($P82="",0,MAX(0,I$7+N('职业'!K72)))</f>
        <v/>
      </c>
      <c r="Y82">
        <f>IF($P82="",0,MAX(0,J$7+N('职业'!L72)))</f>
        <v/>
      </c>
      <c r="Z82">
        <f>IF($P82="",0,MAX(0,K$7+N('职业'!M72)))</f>
        <v/>
      </c>
      <c r="AA82">
        <f>IF($P82="",0,MAX(0,L$7+N('职业'!N72)))</f>
        <v/>
      </c>
      <c r="AB82">
        <f>AND($P82&lt;&gt;"",IF($U$5=1,$P82=$C$10,OR($P82=$C$9,AND($R82="是",$Q82&lt;=MAX($B$9,$Q$6)))))</f>
        <v/>
      </c>
      <c r="AC82">
        <f>AND($P82&lt;&gt;"",IF($U$5=2,$P82=$C$10,OR($P82=$C$9,AND($R82="是",$Q82&lt;=MAX($B$9,$Q$7)))))</f>
        <v/>
      </c>
      <c r="AD82">
        <f>AND($P82&lt;&gt;"",IF($U$5=3,$P82=$C$10,OR($P82=$C$9,AND($R82="是",$Q82&lt;=MAX($B$9,$Q$8)))))</f>
        <v/>
      </c>
      <c r="AE82">
        <f>IF(AB82,COUNTIF(AB$13:AB82,TRUE),"")</f>
        <v/>
      </c>
      <c r="AF82">
        <f>IF(AC82,COUNTIF(AC$13:AC82,TRUE),"")</f>
        <v/>
      </c>
      <c r="AG82">
        <f>IF(AD82,COUNTIF(AD$13:AD82,TRUE),"")</f>
        <v/>
      </c>
      <c r="AI82">
        <f>IFERROR(INDEX($P$13:$P$162,MATCH(70,$AE$13:$AE$162,0)),"")</f>
        <v/>
      </c>
      <c r="AJ82">
        <f>IFERROR(INDEX(S$13:S$162,MATCH(70,$AE$13:$AE$162,0)),0)*$T$6</f>
        <v/>
      </c>
      <c r="AK82">
        <f>IFERROR(INDEX(T$13:T$162,MATCH(70,$AE$13:$AE$162,0)),0)*$T$6</f>
        <v/>
      </c>
      <c r="AL82">
        <f>IFERROR(INDEX(U$13:U$162,MATCH(70,$AE$13:$AE$162,0)),0)*$T$6</f>
        <v/>
      </c>
      <c r="AM82">
        <f>IFERROR(INDEX(V$13:V$162,MATCH(70,$AE$13:$AE$162,0)),0)*$T$6</f>
        <v/>
      </c>
      <c r="AN82">
        <f>IFERROR(INDEX(W$13:W$162,MATCH(70,$AE$13:$AE$162,0)),0)*$T$6</f>
        <v/>
      </c>
      <c r="AO82">
        <f>IFERROR(INDEX(X$13:X$162,MATCH(70,$AE$13:$AE$162,0)),0)*$T$6</f>
        <v/>
      </c>
      <c r="AP82">
        <f>IFERROR(INDEX(Y$13:Y$162,MATCH(70,$AE$13:$AE$162,0)),0)*$T$6</f>
        <v/>
      </c>
      <c r="AQ82">
        <f>IFERROR(INDEX(Z$13:Z$162,MATCH(70,$AE$13:$AE$162,0)),0)*$T$6</f>
        <v/>
      </c>
      <c r="AR82">
        <f>IFERROR(INDEX(AA$13:AA$162,MATCH(70,$AE$13:$AE$162,0)),0)*$T$6</f>
        <v/>
      </c>
      <c r="AS82">
        <f>IFERROR(INDEX($P$13:$P$162,MATCH(70,$AF$13:$AF$162,0)),"")</f>
        <v/>
      </c>
      <c r="AT82">
        <f>IFERROR(INDEX(S$13:S$162,MATCH(70,$AF$13:$AF$162,0)),0)*$T$7</f>
        <v/>
      </c>
      <c r="AU82">
        <f>IFERROR(INDEX(T$13:T$162,MATCH(70,$AF$13:$AF$162,0)),0)*$T$7</f>
        <v/>
      </c>
      <c r="AV82">
        <f>IFERROR(INDEX(U$13:U$162,MATCH(70,$AF$13:$AF$162,0)),0)*$T$7</f>
        <v/>
      </c>
      <c r="AW82">
        <f>IFERROR(INDEX(V$13:V$162,MATCH(70,$AF$13:$AF$162,0)),0)*$T$7</f>
        <v/>
      </c>
      <c r="AX82">
        <f>IFERROR(INDEX(W$13:W$162,MATCH(70,$AF$13:$AF$162,0)),0)*$T$7</f>
        <v/>
      </c>
      <c r="AY82">
        <f>IFERROR(INDEX(X$13:X$162,MATCH(70,$AF$13:$AF$162,0)),0)*$T$7</f>
        <v/>
      </c>
      <c r="AZ82">
        <f>IFERROR(INDEX(Y$13:Y$162,MATCH(70,$AF$13:$AF$162,0)),0)*$T$7</f>
        <v/>
      </c>
      <c r="BA82">
        <f>IFERROR(INDEX(Z$13:Z$162,MATCH(70,$AF$13:$AF$162,0)),0)*$T$7</f>
        <v/>
      </c>
      <c r="BB82">
        <f>IFERROR(INDEX(AA$13:AA$162,MATCH(70,$AF$13:$AF$162,0)),0)*$T$7</f>
        <v/>
      </c>
      <c r="BC82">
        <f>IFERROR(INDEX($P$13:$P$162,MATCH(70,$AG$13:$AG$162,0)),"")</f>
        <v/>
      </c>
      <c r="BD82">
        <f>IFERROR(INDEX(S$13:S$162,MATCH(70,$AG$13:$AG$162,0)),0)*($T$8+IF($C$10="",$T$9,0))</f>
        <v/>
      </c>
      <c r="BE82">
        <f>IFERROR(INDEX(T$13:T$162,MATCH(70,$AG$13:$AG$162,0)),0)*($T$8+IF($C$10="",$T$9,0))</f>
        <v/>
      </c>
      <c r="BF82">
        <f>IFERROR(INDEX(U$13:U$162,MATCH(70,$AG$13:$AG$162,0)),0)*($T$8+IF($C$10="",$T$9,0))</f>
        <v/>
      </c>
      <c r="BG82">
        <f>IFERROR(INDEX(V$13:V$162,MATCH(70,$AG$13:$AG$162,0)),0)*($T$8+IF($C$10="",$T$9,0))</f>
        <v/>
      </c>
      <c r="BH82">
        <f>IFERROR(INDEX(W$13:W$162,MATCH(70,$AG$13:$AG$162,0)),0)*($T$8+IF($C$10="",$T$9,0))</f>
        <v/>
      </c>
      <c r="BI82">
        <f>IFERROR(INDEX(X$13:X$162,MATCH(70,$AG$13:$AG$162,0)),0)*($T$8+IF($C$10="",$T$9,0))</f>
        <v/>
      </c>
      <c r="BJ82">
        <f>IFERROR(INDEX(Y$13:Y$162,MATCH(70,$AG$13:$AG$162,0)),0)*($T$8+IF($C$10="",$T$9,0))</f>
        <v/>
      </c>
      <c r="BK82">
        <f>IFERROR(INDEX(Z$13:Z$162,MATCH(70,$AG$13:$AG$162,0)),0)*($T$8+IF($C$10="",$T$9,0))</f>
        <v/>
      </c>
      <c r="BL82">
        <f>IFERROR(INDEX(AA$13:AA$162,MATCH(70,$AG$13:$AG$162,0)),0)*($T$8+IF($C$10="",$T$9,0))</f>
        <v/>
      </c>
      <c r="BN82">
        <f>IF(69&lt;$U$9,INT(69/($U$7*$U$8))+1,1)</f>
        <v/>
      </c>
      <c r="BO82">
        <f>IF(69&lt;$U$9,MOD(INT(69/$U$8),$U$7)+1,1)</f>
        <v/>
      </c>
      <c r="BP82">
        <f>IF(69&lt;$U$9,MOD(69,$U$8)+1,1)</f>
        <v/>
      </c>
      <c r="BQ82">
        <f>IF(69&lt;$U$9,SUMPRODUCT(($D$10:$L$10&lt;&gt;"")*(($D$9:$L$9+INT(($S$12:$AA$12+INDEX($AJ$13:$AR$162,BN82,0)+INDEX($AT$13:$BB$162,BO82,0)+INDEX($BD$13:$BL$162,BP82,0))/100))&gt;=$D$10:$L$10)),0)</f>
        <v/>
      </c>
      <c r="BR82">
        <f>IF(69&lt;$U$9,SUMPRODUCT(($D$10:$L$10&lt;&gt;"")*(($D$10:$L$10-($D$9:$L$9+INT(($S$12:$AA$12+INDEX($AJ$13:$AR$162,BN82,0)+INDEX($AT$13:$BB$162,BO82,0)+INDEX($BD$13:$BL$162,BP82,0))/100)))&gt;0)*($D$10:$L$10-($D$9:$L$9+INT(($S$12:$AA$12+INDEX($AJ$13:$AR$162,BN82,0)+INDEX($AT$13:$BB$162,BO82,0)+INDEX($BD$13:$BL$162,BP82,0))/100)))),0)</f>
        <v/>
      </c>
      <c r="BS82">
        <f>IF(69&lt;$U$9,SUMPRODUCT(($D$9:$L$9+INT(($S$12:$AA$12+INDEX($AJ$13:$AR$162,BN82,0)+INDEX($AT$13:$BB$162,BO82,0)+INDEX($BD$13:$BL$162,BP82,0))/100))),0)</f>
        <v/>
      </c>
      <c r="BT82">
        <f>IF(AND(69&lt;$U$9,$W$5),BQ82*1000000-MIN(BR82,999)*1000+BS82-69/100000,-1000000000-69)</f>
        <v/>
      </c>
      <c r="CF82">
        <f>IF($A82="","",IFERROR(MATCH($C82,'职业'!$C$3:$C$152,0),0))</f>
        <v/>
      </c>
      <c r="CG82">
        <f>IF($A82="","",CG81+MAX(0,D$7+IF($CF81=0,0,IFERROR(INDEX('职业'!F$3:F$152,$CF81)+0,0))))</f>
        <v/>
      </c>
      <c r="CH82">
        <f>IF($A82="","",CH81+MAX(0,E$7+IF($CF81=0,0,IFERROR(INDEX('职业'!G$3:G$152,$CF81)+0,0))))</f>
        <v/>
      </c>
      <c r="CI82">
        <f>IF($A82="","",CI81+MAX(0,F$7+IF($CF81=0,0,IFERROR(INDEX('职业'!H$3:H$152,$CF81)+0,0))))</f>
        <v/>
      </c>
      <c r="CJ82">
        <f>IF($A82="","",CJ81+MAX(0,G$7+IF($CF81=0,0,IFERROR(INDEX('职业'!I$3:I$152,$CF81)+0,0))))</f>
        <v/>
      </c>
      <c r="CK82">
        <f>IF($A82="","",CK81+MAX(0,H$7+IF($CF81=0,0,IFERROR(INDEX('职业'!J$3:J$152,$CF81)+0,0))))</f>
        <v/>
      </c>
      <c r="CL82">
        <f>IF($A82="","",CL81+MAX(0,I$7+IF($CF81=0,0,IFERROR(INDEX('职业'!K$3:K$152,$CF81)+0,0))))</f>
        <v/>
      </c>
      <c r="CM82">
        <f>IF($A82="","",CM81+MAX(0,J$7+IF($CF81=0,0,IFERROR(INDEX('职业'!L$3:L$152,$CF81)+0,0))))</f>
        <v/>
      </c>
      <c r="CN82">
        <f>IF($A82="","",CN81+MAX(0,K$7+IF($CF81=0,0,IFERROR(INDEX('职业'!M$3:M$152,$CF81)+0,0))))</f>
        <v/>
      </c>
      <c r="CO82">
        <f>IF($A82="","",CO81+MAX(0,L$7+IF($CF81=0,0,IFERROR(INDEX('职业'!N$3:N$152,$CF81)+0,0))))</f>
        <v/>
      </c>
    </row>
    <row r="83">
      <c r="A83" s="15">
        <f>IF(OR($B$9="",$B$10=""),"",IF($B$9+31&lt;=$B$10,$B$9+31,""))</f>
        <v/>
      </c>
      <c r="B83" s="15">
        <f>IF($A83="","",MATCH($A83,$BV$27:$BV$32,1))</f>
        <v/>
      </c>
      <c r="C83" s="15">
        <f>IF($A83="","",INDEX($BW$27:$BW$32,$B83))</f>
        <v/>
      </c>
      <c r="D83" s="15">
        <f>IF($A83="","",D$9+INT(($B$14+CG83)/100))</f>
        <v/>
      </c>
      <c r="E83" s="15">
        <f>IF($A83="","",E$9+INT(($B$14+CH83)/100))</f>
        <v/>
      </c>
      <c r="F83" s="15">
        <f>IF($A83="","",F$9+INT(($B$14+CI83)/100))</f>
        <v/>
      </c>
      <c r="G83" s="15">
        <f>IF($A83="","",G$9+INT(($B$14+CJ83)/100))</f>
        <v/>
      </c>
      <c r="H83" s="15">
        <f>IF($A83="","",H$9+INT(($B$14+CK83)/100))</f>
        <v/>
      </c>
      <c r="I83" s="15">
        <f>IF($A83="","",I$9+INT(($B$14+CL83)/100))</f>
        <v/>
      </c>
      <c r="J83" s="15">
        <f>IF($A83="","",J$9+INT(($B$14+CM83)/100))</f>
        <v/>
      </c>
      <c r="K83" s="15">
        <f>IF($A83="","",K$9+INT(($B$14+CN83)/100))</f>
        <v/>
      </c>
      <c r="L83" s="15">
        <f>IF($A83="","",L$9+INT(($B$14+CO83)/100))</f>
        <v/>
      </c>
      <c r="M83" s="16">
        <f>IF($A83="","",IF($C83&lt;&gt;$C82,"★ 转职 → 【"&amp;$C83&amp;"】","")&amp;IF($A83=$B$10,"（目标等级）",""))</f>
        <v/>
      </c>
      <c r="P83">
        <f>IF('职业'!$C73="","",'职业'!$C73)</f>
        <v/>
      </c>
      <c r="Q83">
        <f>N('职业'!$D73)</f>
        <v/>
      </c>
      <c r="R83">
        <f>'职业'!$E73&amp;""</f>
        <v/>
      </c>
      <c r="S83">
        <f>IF($P83="",0,MAX(0,D$7+N('职业'!F73)))</f>
        <v/>
      </c>
      <c r="T83">
        <f>IF($P83="",0,MAX(0,E$7+N('职业'!G73)))</f>
        <v/>
      </c>
      <c r="U83">
        <f>IF($P83="",0,MAX(0,F$7+N('职业'!H73)))</f>
        <v/>
      </c>
      <c r="V83">
        <f>IF($P83="",0,MAX(0,G$7+N('职业'!I73)))</f>
        <v/>
      </c>
      <c r="W83">
        <f>IF($P83="",0,MAX(0,H$7+N('职业'!J73)))</f>
        <v/>
      </c>
      <c r="X83">
        <f>IF($P83="",0,MAX(0,I$7+N('职业'!K73)))</f>
        <v/>
      </c>
      <c r="Y83">
        <f>IF($P83="",0,MAX(0,J$7+N('职业'!L73)))</f>
        <v/>
      </c>
      <c r="Z83">
        <f>IF($P83="",0,MAX(0,K$7+N('职业'!M73)))</f>
        <v/>
      </c>
      <c r="AA83">
        <f>IF($P83="",0,MAX(0,L$7+N('职业'!N73)))</f>
        <v/>
      </c>
      <c r="AB83">
        <f>AND($P83&lt;&gt;"",IF($U$5=1,$P83=$C$10,OR($P83=$C$9,AND($R83="是",$Q83&lt;=MAX($B$9,$Q$6)))))</f>
        <v/>
      </c>
      <c r="AC83">
        <f>AND($P83&lt;&gt;"",IF($U$5=2,$P83=$C$10,OR($P83=$C$9,AND($R83="是",$Q83&lt;=MAX($B$9,$Q$7)))))</f>
        <v/>
      </c>
      <c r="AD83">
        <f>AND($P83&lt;&gt;"",IF($U$5=3,$P83=$C$10,OR($P83=$C$9,AND($R83="是",$Q83&lt;=MAX($B$9,$Q$8)))))</f>
        <v/>
      </c>
      <c r="AE83">
        <f>IF(AB83,COUNTIF(AB$13:AB83,TRUE),"")</f>
        <v/>
      </c>
      <c r="AF83">
        <f>IF(AC83,COUNTIF(AC$13:AC83,TRUE),"")</f>
        <v/>
      </c>
      <c r="AG83">
        <f>IF(AD83,COUNTIF(AD$13:AD83,TRUE),"")</f>
        <v/>
      </c>
      <c r="AI83">
        <f>IFERROR(INDEX($P$13:$P$162,MATCH(71,$AE$13:$AE$162,0)),"")</f>
        <v/>
      </c>
      <c r="AJ83">
        <f>IFERROR(INDEX(S$13:S$162,MATCH(71,$AE$13:$AE$162,0)),0)*$T$6</f>
        <v/>
      </c>
      <c r="AK83">
        <f>IFERROR(INDEX(T$13:T$162,MATCH(71,$AE$13:$AE$162,0)),0)*$T$6</f>
        <v/>
      </c>
      <c r="AL83">
        <f>IFERROR(INDEX(U$13:U$162,MATCH(71,$AE$13:$AE$162,0)),0)*$T$6</f>
        <v/>
      </c>
      <c r="AM83">
        <f>IFERROR(INDEX(V$13:V$162,MATCH(71,$AE$13:$AE$162,0)),0)*$T$6</f>
        <v/>
      </c>
      <c r="AN83">
        <f>IFERROR(INDEX(W$13:W$162,MATCH(71,$AE$13:$AE$162,0)),0)*$T$6</f>
        <v/>
      </c>
      <c r="AO83">
        <f>IFERROR(INDEX(X$13:X$162,MATCH(71,$AE$13:$AE$162,0)),0)*$T$6</f>
        <v/>
      </c>
      <c r="AP83">
        <f>IFERROR(INDEX(Y$13:Y$162,MATCH(71,$AE$13:$AE$162,0)),0)*$T$6</f>
        <v/>
      </c>
      <c r="AQ83">
        <f>IFERROR(INDEX(Z$13:Z$162,MATCH(71,$AE$13:$AE$162,0)),0)*$T$6</f>
        <v/>
      </c>
      <c r="AR83">
        <f>IFERROR(INDEX(AA$13:AA$162,MATCH(71,$AE$13:$AE$162,0)),0)*$T$6</f>
        <v/>
      </c>
      <c r="AS83">
        <f>IFERROR(INDEX($P$13:$P$162,MATCH(71,$AF$13:$AF$162,0)),"")</f>
        <v/>
      </c>
      <c r="AT83">
        <f>IFERROR(INDEX(S$13:S$162,MATCH(71,$AF$13:$AF$162,0)),0)*$T$7</f>
        <v/>
      </c>
      <c r="AU83">
        <f>IFERROR(INDEX(T$13:T$162,MATCH(71,$AF$13:$AF$162,0)),0)*$T$7</f>
        <v/>
      </c>
      <c r="AV83">
        <f>IFERROR(INDEX(U$13:U$162,MATCH(71,$AF$13:$AF$162,0)),0)*$T$7</f>
        <v/>
      </c>
      <c r="AW83">
        <f>IFERROR(INDEX(V$13:V$162,MATCH(71,$AF$13:$AF$162,0)),0)*$T$7</f>
        <v/>
      </c>
      <c r="AX83">
        <f>IFERROR(INDEX(W$13:W$162,MATCH(71,$AF$13:$AF$162,0)),0)*$T$7</f>
        <v/>
      </c>
      <c r="AY83">
        <f>IFERROR(INDEX(X$13:X$162,MATCH(71,$AF$13:$AF$162,0)),0)*$T$7</f>
        <v/>
      </c>
      <c r="AZ83">
        <f>IFERROR(INDEX(Y$13:Y$162,MATCH(71,$AF$13:$AF$162,0)),0)*$T$7</f>
        <v/>
      </c>
      <c r="BA83">
        <f>IFERROR(INDEX(Z$13:Z$162,MATCH(71,$AF$13:$AF$162,0)),0)*$T$7</f>
        <v/>
      </c>
      <c r="BB83">
        <f>IFERROR(INDEX(AA$13:AA$162,MATCH(71,$AF$13:$AF$162,0)),0)*$T$7</f>
        <v/>
      </c>
      <c r="BC83">
        <f>IFERROR(INDEX($P$13:$P$162,MATCH(71,$AG$13:$AG$162,0)),"")</f>
        <v/>
      </c>
      <c r="BD83">
        <f>IFERROR(INDEX(S$13:S$162,MATCH(71,$AG$13:$AG$162,0)),0)*($T$8+IF($C$10="",$T$9,0))</f>
        <v/>
      </c>
      <c r="BE83">
        <f>IFERROR(INDEX(T$13:T$162,MATCH(71,$AG$13:$AG$162,0)),0)*($T$8+IF($C$10="",$T$9,0))</f>
        <v/>
      </c>
      <c r="BF83">
        <f>IFERROR(INDEX(U$13:U$162,MATCH(71,$AG$13:$AG$162,0)),0)*($T$8+IF($C$10="",$T$9,0))</f>
        <v/>
      </c>
      <c r="BG83">
        <f>IFERROR(INDEX(V$13:V$162,MATCH(71,$AG$13:$AG$162,0)),0)*($T$8+IF($C$10="",$T$9,0))</f>
        <v/>
      </c>
      <c r="BH83">
        <f>IFERROR(INDEX(W$13:W$162,MATCH(71,$AG$13:$AG$162,0)),0)*($T$8+IF($C$10="",$T$9,0))</f>
        <v/>
      </c>
      <c r="BI83">
        <f>IFERROR(INDEX(X$13:X$162,MATCH(71,$AG$13:$AG$162,0)),0)*($T$8+IF($C$10="",$T$9,0))</f>
        <v/>
      </c>
      <c r="BJ83">
        <f>IFERROR(INDEX(Y$13:Y$162,MATCH(71,$AG$13:$AG$162,0)),0)*($T$8+IF($C$10="",$T$9,0))</f>
        <v/>
      </c>
      <c r="BK83">
        <f>IFERROR(INDEX(Z$13:Z$162,MATCH(71,$AG$13:$AG$162,0)),0)*($T$8+IF($C$10="",$T$9,0))</f>
        <v/>
      </c>
      <c r="BL83">
        <f>IFERROR(INDEX(AA$13:AA$162,MATCH(71,$AG$13:$AG$162,0)),0)*($T$8+IF($C$10="",$T$9,0))</f>
        <v/>
      </c>
      <c r="BN83">
        <f>IF(70&lt;$U$9,INT(70/($U$7*$U$8))+1,1)</f>
        <v/>
      </c>
      <c r="BO83">
        <f>IF(70&lt;$U$9,MOD(INT(70/$U$8),$U$7)+1,1)</f>
        <v/>
      </c>
      <c r="BP83">
        <f>IF(70&lt;$U$9,MOD(70,$U$8)+1,1)</f>
        <v/>
      </c>
      <c r="BQ83">
        <f>IF(70&lt;$U$9,SUMPRODUCT(($D$10:$L$10&lt;&gt;"")*(($D$9:$L$9+INT(($S$12:$AA$12+INDEX($AJ$13:$AR$162,BN83,0)+INDEX($AT$13:$BB$162,BO83,0)+INDEX($BD$13:$BL$162,BP83,0))/100))&gt;=$D$10:$L$10)),0)</f>
        <v/>
      </c>
      <c r="BR83">
        <f>IF(70&lt;$U$9,SUMPRODUCT(($D$10:$L$10&lt;&gt;"")*(($D$10:$L$10-($D$9:$L$9+INT(($S$12:$AA$12+INDEX($AJ$13:$AR$162,BN83,0)+INDEX($AT$13:$BB$162,BO83,0)+INDEX($BD$13:$BL$162,BP83,0))/100)))&gt;0)*($D$10:$L$10-($D$9:$L$9+INT(($S$12:$AA$12+INDEX($AJ$13:$AR$162,BN83,0)+INDEX($AT$13:$BB$162,BO83,0)+INDEX($BD$13:$BL$162,BP83,0))/100)))),0)</f>
        <v/>
      </c>
      <c r="BS83">
        <f>IF(70&lt;$U$9,SUMPRODUCT(($D$9:$L$9+INT(($S$12:$AA$12+INDEX($AJ$13:$AR$162,BN83,0)+INDEX($AT$13:$BB$162,BO83,0)+INDEX($BD$13:$BL$162,BP83,0))/100))),0)</f>
        <v/>
      </c>
      <c r="BT83">
        <f>IF(AND(70&lt;$U$9,$W$5),BQ83*1000000-MIN(BR83,999)*1000+BS83-70/100000,-1000000000-70)</f>
        <v/>
      </c>
      <c r="CF83">
        <f>IF($A83="","",IFERROR(MATCH($C83,'职业'!$C$3:$C$152,0),0))</f>
        <v/>
      </c>
      <c r="CG83">
        <f>IF($A83="","",CG82+MAX(0,D$7+IF($CF82=0,0,IFERROR(INDEX('职业'!F$3:F$152,$CF82)+0,0))))</f>
        <v/>
      </c>
      <c r="CH83">
        <f>IF($A83="","",CH82+MAX(0,E$7+IF($CF82=0,0,IFERROR(INDEX('职业'!G$3:G$152,$CF82)+0,0))))</f>
        <v/>
      </c>
      <c r="CI83">
        <f>IF($A83="","",CI82+MAX(0,F$7+IF($CF82=0,0,IFERROR(INDEX('职业'!H$3:H$152,$CF82)+0,0))))</f>
        <v/>
      </c>
      <c r="CJ83">
        <f>IF($A83="","",CJ82+MAX(0,G$7+IF($CF82=0,0,IFERROR(INDEX('职业'!I$3:I$152,$CF82)+0,0))))</f>
        <v/>
      </c>
      <c r="CK83">
        <f>IF($A83="","",CK82+MAX(0,H$7+IF($CF82=0,0,IFERROR(INDEX('职业'!J$3:J$152,$CF82)+0,0))))</f>
        <v/>
      </c>
      <c r="CL83">
        <f>IF($A83="","",CL82+MAX(0,I$7+IF($CF82=0,0,IFERROR(INDEX('职业'!K$3:K$152,$CF82)+0,0))))</f>
        <v/>
      </c>
      <c r="CM83">
        <f>IF($A83="","",CM82+MAX(0,J$7+IF($CF82=0,0,IFERROR(INDEX('职业'!L$3:L$152,$CF82)+0,0))))</f>
        <v/>
      </c>
      <c r="CN83">
        <f>IF($A83="","",CN82+MAX(0,K$7+IF($CF82=0,0,IFERROR(INDEX('职业'!M$3:M$152,$CF82)+0,0))))</f>
        <v/>
      </c>
      <c r="CO83">
        <f>IF($A83="","",CO82+MAX(0,L$7+IF($CF82=0,0,IFERROR(INDEX('职业'!N$3:N$152,$CF82)+0,0))))</f>
        <v/>
      </c>
    </row>
    <row r="84">
      <c r="A84" s="15">
        <f>IF(OR($B$9="",$B$10=""),"",IF($B$9+32&lt;=$B$10,$B$9+32,""))</f>
        <v/>
      </c>
      <c r="B84" s="15">
        <f>IF($A84="","",MATCH($A84,$BV$27:$BV$32,1))</f>
        <v/>
      </c>
      <c r="C84" s="15">
        <f>IF($A84="","",INDEX($BW$27:$BW$32,$B84))</f>
        <v/>
      </c>
      <c r="D84" s="15">
        <f>IF($A84="","",D$9+INT(($B$14+CG84)/100))</f>
        <v/>
      </c>
      <c r="E84" s="15">
        <f>IF($A84="","",E$9+INT(($B$14+CH84)/100))</f>
        <v/>
      </c>
      <c r="F84" s="15">
        <f>IF($A84="","",F$9+INT(($B$14+CI84)/100))</f>
        <v/>
      </c>
      <c r="G84" s="15">
        <f>IF($A84="","",G$9+INT(($B$14+CJ84)/100))</f>
        <v/>
      </c>
      <c r="H84" s="15">
        <f>IF($A84="","",H$9+INT(($B$14+CK84)/100))</f>
        <v/>
      </c>
      <c r="I84" s="15">
        <f>IF($A84="","",I$9+INT(($B$14+CL84)/100))</f>
        <v/>
      </c>
      <c r="J84" s="15">
        <f>IF($A84="","",J$9+INT(($B$14+CM84)/100))</f>
        <v/>
      </c>
      <c r="K84" s="15">
        <f>IF($A84="","",K$9+INT(($B$14+CN84)/100))</f>
        <v/>
      </c>
      <c r="L84" s="15">
        <f>IF($A84="","",L$9+INT(($B$14+CO84)/100))</f>
        <v/>
      </c>
      <c r="M84" s="16">
        <f>IF($A84="","",IF($C84&lt;&gt;$C83,"★ 转职 → 【"&amp;$C84&amp;"】","")&amp;IF($A84=$B$10,"（目标等级）",""))</f>
        <v/>
      </c>
      <c r="P84">
        <f>IF('职业'!$C74="","",'职业'!$C74)</f>
        <v/>
      </c>
      <c r="Q84">
        <f>N('职业'!$D74)</f>
        <v/>
      </c>
      <c r="R84">
        <f>'职业'!$E74&amp;""</f>
        <v/>
      </c>
      <c r="S84">
        <f>IF($P84="",0,MAX(0,D$7+N('职业'!F74)))</f>
        <v/>
      </c>
      <c r="T84">
        <f>IF($P84="",0,MAX(0,E$7+N('职业'!G74)))</f>
        <v/>
      </c>
      <c r="U84">
        <f>IF($P84="",0,MAX(0,F$7+N('职业'!H74)))</f>
        <v/>
      </c>
      <c r="V84">
        <f>IF($P84="",0,MAX(0,G$7+N('职业'!I74)))</f>
        <v/>
      </c>
      <c r="W84">
        <f>IF($P84="",0,MAX(0,H$7+N('职业'!J74)))</f>
        <v/>
      </c>
      <c r="X84">
        <f>IF($P84="",0,MAX(0,I$7+N('职业'!K74)))</f>
        <v/>
      </c>
      <c r="Y84">
        <f>IF($P84="",0,MAX(0,J$7+N('职业'!L74)))</f>
        <v/>
      </c>
      <c r="Z84">
        <f>IF($P84="",0,MAX(0,K$7+N('职业'!M74)))</f>
        <v/>
      </c>
      <c r="AA84">
        <f>IF($P84="",0,MAX(0,L$7+N('职业'!N74)))</f>
        <v/>
      </c>
      <c r="AB84">
        <f>AND($P84&lt;&gt;"",IF($U$5=1,$P84=$C$10,OR($P84=$C$9,AND($R84="是",$Q84&lt;=MAX($B$9,$Q$6)))))</f>
        <v/>
      </c>
      <c r="AC84">
        <f>AND($P84&lt;&gt;"",IF($U$5=2,$P84=$C$10,OR($P84=$C$9,AND($R84="是",$Q84&lt;=MAX($B$9,$Q$7)))))</f>
        <v/>
      </c>
      <c r="AD84">
        <f>AND($P84&lt;&gt;"",IF($U$5=3,$P84=$C$10,OR($P84=$C$9,AND($R84="是",$Q84&lt;=MAX($B$9,$Q$8)))))</f>
        <v/>
      </c>
      <c r="AE84">
        <f>IF(AB84,COUNTIF(AB$13:AB84,TRUE),"")</f>
        <v/>
      </c>
      <c r="AF84">
        <f>IF(AC84,COUNTIF(AC$13:AC84,TRUE),"")</f>
        <v/>
      </c>
      <c r="AG84">
        <f>IF(AD84,COUNTIF(AD$13:AD84,TRUE),"")</f>
        <v/>
      </c>
      <c r="AI84">
        <f>IFERROR(INDEX($P$13:$P$162,MATCH(72,$AE$13:$AE$162,0)),"")</f>
        <v/>
      </c>
      <c r="AJ84">
        <f>IFERROR(INDEX(S$13:S$162,MATCH(72,$AE$13:$AE$162,0)),0)*$T$6</f>
        <v/>
      </c>
      <c r="AK84">
        <f>IFERROR(INDEX(T$13:T$162,MATCH(72,$AE$13:$AE$162,0)),0)*$T$6</f>
        <v/>
      </c>
      <c r="AL84">
        <f>IFERROR(INDEX(U$13:U$162,MATCH(72,$AE$13:$AE$162,0)),0)*$T$6</f>
        <v/>
      </c>
      <c r="AM84">
        <f>IFERROR(INDEX(V$13:V$162,MATCH(72,$AE$13:$AE$162,0)),0)*$T$6</f>
        <v/>
      </c>
      <c r="AN84">
        <f>IFERROR(INDEX(W$13:W$162,MATCH(72,$AE$13:$AE$162,0)),0)*$T$6</f>
        <v/>
      </c>
      <c r="AO84">
        <f>IFERROR(INDEX(X$13:X$162,MATCH(72,$AE$13:$AE$162,0)),0)*$T$6</f>
        <v/>
      </c>
      <c r="AP84">
        <f>IFERROR(INDEX(Y$13:Y$162,MATCH(72,$AE$13:$AE$162,0)),0)*$T$6</f>
        <v/>
      </c>
      <c r="AQ84">
        <f>IFERROR(INDEX(Z$13:Z$162,MATCH(72,$AE$13:$AE$162,0)),0)*$T$6</f>
        <v/>
      </c>
      <c r="AR84">
        <f>IFERROR(INDEX(AA$13:AA$162,MATCH(72,$AE$13:$AE$162,0)),0)*$T$6</f>
        <v/>
      </c>
      <c r="AS84">
        <f>IFERROR(INDEX($P$13:$P$162,MATCH(72,$AF$13:$AF$162,0)),"")</f>
        <v/>
      </c>
      <c r="AT84">
        <f>IFERROR(INDEX(S$13:S$162,MATCH(72,$AF$13:$AF$162,0)),0)*$T$7</f>
        <v/>
      </c>
      <c r="AU84">
        <f>IFERROR(INDEX(T$13:T$162,MATCH(72,$AF$13:$AF$162,0)),0)*$T$7</f>
        <v/>
      </c>
      <c r="AV84">
        <f>IFERROR(INDEX(U$13:U$162,MATCH(72,$AF$13:$AF$162,0)),0)*$T$7</f>
        <v/>
      </c>
      <c r="AW84">
        <f>IFERROR(INDEX(V$13:V$162,MATCH(72,$AF$13:$AF$162,0)),0)*$T$7</f>
        <v/>
      </c>
      <c r="AX84">
        <f>IFERROR(INDEX(W$13:W$162,MATCH(72,$AF$13:$AF$162,0)),0)*$T$7</f>
        <v/>
      </c>
      <c r="AY84">
        <f>IFERROR(INDEX(X$13:X$162,MATCH(72,$AF$13:$AF$162,0)),0)*$T$7</f>
        <v/>
      </c>
      <c r="AZ84">
        <f>IFERROR(INDEX(Y$13:Y$162,MATCH(72,$AF$13:$AF$162,0)),0)*$T$7</f>
        <v/>
      </c>
      <c r="BA84">
        <f>IFERROR(INDEX(Z$13:Z$162,MATCH(72,$AF$13:$AF$162,0)),0)*$T$7</f>
        <v/>
      </c>
      <c r="BB84">
        <f>IFERROR(INDEX(AA$13:AA$162,MATCH(72,$AF$13:$AF$162,0)),0)*$T$7</f>
        <v/>
      </c>
      <c r="BC84">
        <f>IFERROR(INDEX($P$13:$P$162,MATCH(72,$AG$13:$AG$162,0)),"")</f>
        <v/>
      </c>
      <c r="BD84">
        <f>IFERROR(INDEX(S$13:S$162,MATCH(72,$AG$13:$AG$162,0)),0)*($T$8+IF($C$10="",$T$9,0))</f>
        <v/>
      </c>
      <c r="BE84">
        <f>IFERROR(INDEX(T$13:T$162,MATCH(72,$AG$13:$AG$162,0)),0)*($T$8+IF($C$10="",$T$9,0))</f>
        <v/>
      </c>
      <c r="BF84">
        <f>IFERROR(INDEX(U$13:U$162,MATCH(72,$AG$13:$AG$162,0)),0)*($T$8+IF($C$10="",$T$9,0))</f>
        <v/>
      </c>
      <c r="BG84">
        <f>IFERROR(INDEX(V$13:V$162,MATCH(72,$AG$13:$AG$162,0)),0)*($T$8+IF($C$10="",$T$9,0))</f>
        <v/>
      </c>
      <c r="BH84">
        <f>IFERROR(INDEX(W$13:W$162,MATCH(72,$AG$13:$AG$162,0)),0)*($T$8+IF($C$10="",$T$9,0))</f>
        <v/>
      </c>
      <c r="BI84">
        <f>IFERROR(INDEX(X$13:X$162,MATCH(72,$AG$13:$AG$162,0)),0)*($T$8+IF($C$10="",$T$9,0))</f>
        <v/>
      </c>
      <c r="BJ84">
        <f>IFERROR(INDEX(Y$13:Y$162,MATCH(72,$AG$13:$AG$162,0)),0)*($T$8+IF($C$10="",$T$9,0))</f>
        <v/>
      </c>
      <c r="BK84">
        <f>IFERROR(INDEX(Z$13:Z$162,MATCH(72,$AG$13:$AG$162,0)),0)*($T$8+IF($C$10="",$T$9,0))</f>
        <v/>
      </c>
      <c r="BL84">
        <f>IFERROR(INDEX(AA$13:AA$162,MATCH(72,$AG$13:$AG$162,0)),0)*($T$8+IF($C$10="",$T$9,0))</f>
        <v/>
      </c>
      <c r="BN84">
        <f>IF(71&lt;$U$9,INT(71/($U$7*$U$8))+1,1)</f>
        <v/>
      </c>
      <c r="BO84">
        <f>IF(71&lt;$U$9,MOD(INT(71/$U$8),$U$7)+1,1)</f>
        <v/>
      </c>
      <c r="BP84">
        <f>IF(71&lt;$U$9,MOD(71,$U$8)+1,1)</f>
        <v/>
      </c>
      <c r="BQ84">
        <f>IF(71&lt;$U$9,SUMPRODUCT(($D$10:$L$10&lt;&gt;"")*(($D$9:$L$9+INT(($S$12:$AA$12+INDEX($AJ$13:$AR$162,BN84,0)+INDEX($AT$13:$BB$162,BO84,0)+INDEX($BD$13:$BL$162,BP84,0))/100))&gt;=$D$10:$L$10)),0)</f>
        <v/>
      </c>
      <c r="BR84">
        <f>IF(71&lt;$U$9,SUMPRODUCT(($D$10:$L$10&lt;&gt;"")*(($D$10:$L$10-($D$9:$L$9+INT(($S$12:$AA$12+INDEX($AJ$13:$AR$162,BN84,0)+INDEX($AT$13:$BB$162,BO84,0)+INDEX($BD$13:$BL$162,BP84,0))/100)))&gt;0)*($D$10:$L$10-($D$9:$L$9+INT(($S$12:$AA$12+INDEX($AJ$13:$AR$162,BN84,0)+INDEX($AT$13:$BB$162,BO84,0)+INDEX($BD$13:$BL$162,BP84,0))/100)))),0)</f>
        <v/>
      </c>
      <c r="BS84">
        <f>IF(71&lt;$U$9,SUMPRODUCT(($D$9:$L$9+INT(($S$12:$AA$12+INDEX($AJ$13:$AR$162,BN84,0)+INDEX($AT$13:$BB$162,BO84,0)+INDEX($BD$13:$BL$162,BP84,0))/100))),0)</f>
        <v/>
      </c>
      <c r="BT84">
        <f>IF(AND(71&lt;$U$9,$W$5),BQ84*1000000-MIN(BR84,999)*1000+BS84-71/100000,-1000000000-71)</f>
        <v/>
      </c>
      <c r="CF84">
        <f>IF($A84="","",IFERROR(MATCH($C84,'职业'!$C$3:$C$152,0),0))</f>
        <v/>
      </c>
      <c r="CG84">
        <f>IF($A84="","",CG83+MAX(0,D$7+IF($CF83=0,0,IFERROR(INDEX('职业'!F$3:F$152,$CF83)+0,0))))</f>
        <v/>
      </c>
      <c r="CH84">
        <f>IF($A84="","",CH83+MAX(0,E$7+IF($CF83=0,0,IFERROR(INDEX('职业'!G$3:G$152,$CF83)+0,0))))</f>
        <v/>
      </c>
      <c r="CI84">
        <f>IF($A84="","",CI83+MAX(0,F$7+IF($CF83=0,0,IFERROR(INDEX('职业'!H$3:H$152,$CF83)+0,0))))</f>
        <v/>
      </c>
      <c r="CJ84">
        <f>IF($A84="","",CJ83+MAX(0,G$7+IF($CF83=0,0,IFERROR(INDEX('职业'!I$3:I$152,$CF83)+0,0))))</f>
        <v/>
      </c>
      <c r="CK84">
        <f>IF($A84="","",CK83+MAX(0,H$7+IF($CF83=0,0,IFERROR(INDEX('职业'!J$3:J$152,$CF83)+0,0))))</f>
        <v/>
      </c>
      <c r="CL84">
        <f>IF($A84="","",CL83+MAX(0,I$7+IF($CF83=0,0,IFERROR(INDEX('职业'!K$3:K$152,$CF83)+0,0))))</f>
        <v/>
      </c>
      <c r="CM84">
        <f>IF($A84="","",CM83+MAX(0,J$7+IF($CF83=0,0,IFERROR(INDEX('职业'!L$3:L$152,$CF83)+0,0))))</f>
        <v/>
      </c>
      <c r="CN84">
        <f>IF($A84="","",CN83+MAX(0,K$7+IF($CF83=0,0,IFERROR(INDEX('职业'!M$3:M$152,$CF83)+0,0))))</f>
        <v/>
      </c>
      <c r="CO84">
        <f>IF($A84="","",CO83+MAX(0,L$7+IF($CF83=0,0,IFERROR(INDEX('职业'!N$3:N$152,$CF83)+0,0))))</f>
        <v/>
      </c>
    </row>
    <row r="85">
      <c r="A85" s="15">
        <f>IF(OR($B$9="",$B$10=""),"",IF($B$9+33&lt;=$B$10,$B$9+33,""))</f>
        <v/>
      </c>
      <c r="B85" s="15">
        <f>IF($A85="","",MATCH($A85,$BV$27:$BV$32,1))</f>
        <v/>
      </c>
      <c r="C85" s="15">
        <f>IF($A85="","",INDEX($BW$27:$BW$32,$B85))</f>
        <v/>
      </c>
      <c r="D85" s="15">
        <f>IF($A85="","",D$9+INT(($B$14+CG85)/100))</f>
        <v/>
      </c>
      <c r="E85" s="15">
        <f>IF($A85="","",E$9+INT(($B$14+CH85)/100))</f>
        <v/>
      </c>
      <c r="F85" s="15">
        <f>IF($A85="","",F$9+INT(($B$14+CI85)/100))</f>
        <v/>
      </c>
      <c r="G85" s="15">
        <f>IF($A85="","",G$9+INT(($B$14+CJ85)/100))</f>
        <v/>
      </c>
      <c r="H85" s="15">
        <f>IF($A85="","",H$9+INT(($B$14+CK85)/100))</f>
        <v/>
      </c>
      <c r="I85" s="15">
        <f>IF($A85="","",I$9+INT(($B$14+CL85)/100))</f>
        <v/>
      </c>
      <c r="J85" s="15">
        <f>IF($A85="","",J$9+INT(($B$14+CM85)/100))</f>
        <v/>
      </c>
      <c r="K85" s="15">
        <f>IF($A85="","",K$9+INT(($B$14+CN85)/100))</f>
        <v/>
      </c>
      <c r="L85" s="15">
        <f>IF($A85="","",L$9+INT(($B$14+CO85)/100))</f>
        <v/>
      </c>
      <c r="M85" s="16">
        <f>IF($A85="","",IF($C85&lt;&gt;$C84,"★ 转职 → 【"&amp;$C85&amp;"】","")&amp;IF($A85=$B$10,"（目标等级）",""))</f>
        <v/>
      </c>
      <c r="P85">
        <f>IF('职业'!$C75="","",'职业'!$C75)</f>
        <v/>
      </c>
      <c r="Q85">
        <f>N('职业'!$D75)</f>
        <v/>
      </c>
      <c r="R85">
        <f>'职业'!$E75&amp;""</f>
        <v/>
      </c>
      <c r="S85">
        <f>IF($P85="",0,MAX(0,D$7+N('职业'!F75)))</f>
        <v/>
      </c>
      <c r="T85">
        <f>IF($P85="",0,MAX(0,E$7+N('职业'!G75)))</f>
        <v/>
      </c>
      <c r="U85">
        <f>IF($P85="",0,MAX(0,F$7+N('职业'!H75)))</f>
        <v/>
      </c>
      <c r="V85">
        <f>IF($P85="",0,MAX(0,G$7+N('职业'!I75)))</f>
        <v/>
      </c>
      <c r="W85">
        <f>IF($P85="",0,MAX(0,H$7+N('职业'!J75)))</f>
        <v/>
      </c>
      <c r="X85">
        <f>IF($P85="",0,MAX(0,I$7+N('职业'!K75)))</f>
        <v/>
      </c>
      <c r="Y85">
        <f>IF($P85="",0,MAX(0,J$7+N('职业'!L75)))</f>
        <v/>
      </c>
      <c r="Z85">
        <f>IF($P85="",0,MAX(0,K$7+N('职业'!M75)))</f>
        <v/>
      </c>
      <c r="AA85">
        <f>IF($P85="",0,MAX(0,L$7+N('职业'!N75)))</f>
        <v/>
      </c>
      <c r="AB85">
        <f>AND($P85&lt;&gt;"",IF($U$5=1,$P85=$C$10,OR($P85=$C$9,AND($R85="是",$Q85&lt;=MAX($B$9,$Q$6)))))</f>
        <v/>
      </c>
      <c r="AC85">
        <f>AND($P85&lt;&gt;"",IF($U$5=2,$P85=$C$10,OR($P85=$C$9,AND($R85="是",$Q85&lt;=MAX($B$9,$Q$7)))))</f>
        <v/>
      </c>
      <c r="AD85">
        <f>AND($P85&lt;&gt;"",IF($U$5=3,$P85=$C$10,OR($P85=$C$9,AND($R85="是",$Q85&lt;=MAX($B$9,$Q$8)))))</f>
        <v/>
      </c>
      <c r="AE85">
        <f>IF(AB85,COUNTIF(AB$13:AB85,TRUE),"")</f>
        <v/>
      </c>
      <c r="AF85">
        <f>IF(AC85,COUNTIF(AC$13:AC85,TRUE),"")</f>
        <v/>
      </c>
      <c r="AG85">
        <f>IF(AD85,COUNTIF(AD$13:AD85,TRUE),"")</f>
        <v/>
      </c>
      <c r="AI85">
        <f>IFERROR(INDEX($P$13:$P$162,MATCH(73,$AE$13:$AE$162,0)),"")</f>
        <v/>
      </c>
      <c r="AJ85">
        <f>IFERROR(INDEX(S$13:S$162,MATCH(73,$AE$13:$AE$162,0)),0)*$T$6</f>
        <v/>
      </c>
      <c r="AK85">
        <f>IFERROR(INDEX(T$13:T$162,MATCH(73,$AE$13:$AE$162,0)),0)*$T$6</f>
        <v/>
      </c>
      <c r="AL85">
        <f>IFERROR(INDEX(U$13:U$162,MATCH(73,$AE$13:$AE$162,0)),0)*$T$6</f>
        <v/>
      </c>
      <c r="AM85">
        <f>IFERROR(INDEX(V$13:V$162,MATCH(73,$AE$13:$AE$162,0)),0)*$T$6</f>
        <v/>
      </c>
      <c r="AN85">
        <f>IFERROR(INDEX(W$13:W$162,MATCH(73,$AE$13:$AE$162,0)),0)*$T$6</f>
        <v/>
      </c>
      <c r="AO85">
        <f>IFERROR(INDEX(X$13:X$162,MATCH(73,$AE$13:$AE$162,0)),0)*$T$6</f>
        <v/>
      </c>
      <c r="AP85">
        <f>IFERROR(INDEX(Y$13:Y$162,MATCH(73,$AE$13:$AE$162,0)),0)*$T$6</f>
        <v/>
      </c>
      <c r="AQ85">
        <f>IFERROR(INDEX(Z$13:Z$162,MATCH(73,$AE$13:$AE$162,0)),0)*$T$6</f>
        <v/>
      </c>
      <c r="AR85">
        <f>IFERROR(INDEX(AA$13:AA$162,MATCH(73,$AE$13:$AE$162,0)),0)*$T$6</f>
        <v/>
      </c>
      <c r="AS85">
        <f>IFERROR(INDEX($P$13:$P$162,MATCH(73,$AF$13:$AF$162,0)),"")</f>
        <v/>
      </c>
      <c r="AT85">
        <f>IFERROR(INDEX(S$13:S$162,MATCH(73,$AF$13:$AF$162,0)),0)*$T$7</f>
        <v/>
      </c>
      <c r="AU85">
        <f>IFERROR(INDEX(T$13:T$162,MATCH(73,$AF$13:$AF$162,0)),0)*$T$7</f>
        <v/>
      </c>
      <c r="AV85">
        <f>IFERROR(INDEX(U$13:U$162,MATCH(73,$AF$13:$AF$162,0)),0)*$T$7</f>
        <v/>
      </c>
      <c r="AW85">
        <f>IFERROR(INDEX(V$13:V$162,MATCH(73,$AF$13:$AF$162,0)),0)*$T$7</f>
        <v/>
      </c>
      <c r="AX85">
        <f>IFERROR(INDEX(W$13:W$162,MATCH(73,$AF$13:$AF$162,0)),0)*$T$7</f>
        <v/>
      </c>
      <c r="AY85">
        <f>IFERROR(INDEX(X$13:X$162,MATCH(73,$AF$13:$AF$162,0)),0)*$T$7</f>
        <v/>
      </c>
      <c r="AZ85">
        <f>IFERROR(INDEX(Y$13:Y$162,MATCH(73,$AF$13:$AF$162,0)),0)*$T$7</f>
        <v/>
      </c>
      <c r="BA85">
        <f>IFERROR(INDEX(Z$13:Z$162,MATCH(73,$AF$13:$AF$162,0)),0)*$T$7</f>
        <v/>
      </c>
      <c r="BB85">
        <f>IFERROR(INDEX(AA$13:AA$162,MATCH(73,$AF$13:$AF$162,0)),0)*$T$7</f>
        <v/>
      </c>
      <c r="BC85">
        <f>IFERROR(INDEX($P$13:$P$162,MATCH(73,$AG$13:$AG$162,0)),"")</f>
        <v/>
      </c>
      <c r="BD85">
        <f>IFERROR(INDEX(S$13:S$162,MATCH(73,$AG$13:$AG$162,0)),0)*($T$8+IF($C$10="",$T$9,0))</f>
        <v/>
      </c>
      <c r="BE85">
        <f>IFERROR(INDEX(T$13:T$162,MATCH(73,$AG$13:$AG$162,0)),0)*($T$8+IF($C$10="",$T$9,0))</f>
        <v/>
      </c>
      <c r="BF85">
        <f>IFERROR(INDEX(U$13:U$162,MATCH(73,$AG$13:$AG$162,0)),0)*($T$8+IF($C$10="",$T$9,0))</f>
        <v/>
      </c>
      <c r="BG85">
        <f>IFERROR(INDEX(V$13:V$162,MATCH(73,$AG$13:$AG$162,0)),0)*($T$8+IF($C$10="",$T$9,0))</f>
        <v/>
      </c>
      <c r="BH85">
        <f>IFERROR(INDEX(W$13:W$162,MATCH(73,$AG$13:$AG$162,0)),0)*($T$8+IF($C$10="",$T$9,0))</f>
        <v/>
      </c>
      <c r="BI85">
        <f>IFERROR(INDEX(X$13:X$162,MATCH(73,$AG$13:$AG$162,0)),0)*($T$8+IF($C$10="",$T$9,0))</f>
        <v/>
      </c>
      <c r="BJ85">
        <f>IFERROR(INDEX(Y$13:Y$162,MATCH(73,$AG$13:$AG$162,0)),0)*($T$8+IF($C$10="",$T$9,0))</f>
        <v/>
      </c>
      <c r="BK85">
        <f>IFERROR(INDEX(Z$13:Z$162,MATCH(73,$AG$13:$AG$162,0)),0)*($T$8+IF($C$10="",$T$9,0))</f>
        <v/>
      </c>
      <c r="BL85">
        <f>IFERROR(INDEX(AA$13:AA$162,MATCH(73,$AG$13:$AG$162,0)),0)*($T$8+IF($C$10="",$T$9,0))</f>
        <v/>
      </c>
      <c r="BN85">
        <f>IF(72&lt;$U$9,INT(72/($U$7*$U$8))+1,1)</f>
        <v/>
      </c>
      <c r="BO85">
        <f>IF(72&lt;$U$9,MOD(INT(72/$U$8),$U$7)+1,1)</f>
        <v/>
      </c>
      <c r="BP85">
        <f>IF(72&lt;$U$9,MOD(72,$U$8)+1,1)</f>
        <v/>
      </c>
      <c r="BQ85">
        <f>IF(72&lt;$U$9,SUMPRODUCT(($D$10:$L$10&lt;&gt;"")*(($D$9:$L$9+INT(($S$12:$AA$12+INDEX($AJ$13:$AR$162,BN85,0)+INDEX($AT$13:$BB$162,BO85,0)+INDEX($BD$13:$BL$162,BP85,0))/100))&gt;=$D$10:$L$10)),0)</f>
        <v/>
      </c>
      <c r="BR85">
        <f>IF(72&lt;$U$9,SUMPRODUCT(($D$10:$L$10&lt;&gt;"")*(($D$10:$L$10-($D$9:$L$9+INT(($S$12:$AA$12+INDEX($AJ$13:$AR$162,BN85,0)+INDEX($AT$13:$BB$162,BO85,0)+INDEX($BD$13:$BL$162,BP85,0))/100)))&gt;0)*($D$10:$L$10-($D$9:$L$9+INT(($S$12:$AA$12+INDEX($AJ$13:$AR$162,BN85,0)+INDEX($AT$13:$BB$162,BO85,0)+INDEX($BD$13:$BL$162,BP85,0))/100)))),0)</f>
        <v/>
      </c>
      <c r="BS85">
        <f>IF(72&lt;$U$9,SUMPRODUCT(($D$9:$L$9+INT(($S$12:$AA$12+INDEX($AJ$13:$AR$162,BN85,0)+INDEX($AT$13:$BB$162,BO85,0)+INDEX($BD$13:$BL$162,BP85,0))/100))),0)</f>
        <v/>
      </c>
      <c r="BT85">
        <f>IF(AND(72&lt;$U$9,$W$5),BQ85*1000000-MIN(BR85,999)*1000+BS85-72/100000,-1000000000-72)</f>
        <v/>
      </c>
      <c r="CF85">
        <f>IF($A85="","",IFERROR(MATCH($C85,'职业'!$C$3:$C$152,0),0))</f>
        <v/>
      </c>
      <c r="CG85">
        <f>IF($A85="","",CG84+MAX(0,D$7+IF($CF84=0,0,IFERROR(INDEX('职业'!F$3:F$152,$CF84)+0,0))))</f>
        <v/>
      </c>
      <c r="CH85">
        <f>IF($A85="","",CH84+MAX(0,E$7+IF($CF84=0,0,IFERROR(INDEX('职业'!G$3:G$152,$CF84)+0,0))))</f>
        <v/>
      </c>
      <c r="CI85">
        <f>IF($A85="","",CI84+MAX(0,F$7+IF($CF84=0,0,IFERROR(INDEX('职业'!H$3:H$152,$CF84)+0,0))))</f>
        <v/>
      </c>
      <c r="CJ85">
        <f>IF($A85="","",CJ84+MAX(0,G$7+IF($CF84=0,0,IFERROR(INDEX('职业'!I$3:I$152,$CF84)+0,0))))</f>
        <v/>
      </c>
      <c r="CK85">
        <f>IF($A85="","",CK84+MAX(0,H$7+IF($CF84=0,0,IFERROR(INDEX('职业'!J$3:J$152,$CF84)+0,0))))</f>
        <v/>
      </c>
      <c r="CL85">
        <f>IF($A85="","",CL84+MAX(0,I$7+IF($CF84=0,0,IFERROR(INDEX('职业'!K$3:K$152,$CF84)+0,0))))</f>
        <v/>
      </c>
      <c r="CM85">
        <f>IF($A85="","",CM84+MAX(0,J$7+IF($CF84=0,0,IFERROR(INDEX('职业'!L$3:L$152,$CF84)+0,0))))</f>
        <v/>
      </c>
      <c r="CN85">
        <f>IF($A85="","",CN84+MAX(0,K$7+IF($CF84=0,0,IFERROR(INDEX('职业'!M$3:M$152,$CF84)+0,0))))</f>
        <v/>
      </c>
      <c r="CO85">
        <f>IF($A85="","",CO84+MAX(0,L$7+IF($CF84=0,0,IFERROR(INDEX('职业'!N$3:N$152,$CF84)+0,0))))</f>
        <v/>
      </c>
    </row>
    <row r="86">
      <c r="A86" s="15">
        <f>IF(OR($B$9="",$B$10=""),"",IF($B$9+34&lt;=$B$10,$B$9+34,""))</f>
        <v/>
      </c>
      <c r="B86" s="15">
        <f>IF($A86="","",MATCH($A86,$BV$27:$BV$32,1))</f>
        <v/>
      </c>
      <c r="C86" s="15">
        <f>IF($A86="","",INDEX($BW$27:$BW$32,$B86))</f>
        <v/>
      </c>
      <c r="D86" s="15">
        <f>IF($A86="","",D$9+INT(($B$14+CG86)/100))</f>
        <v/>
      </c>
      <c r="E86" s="15">
        <f>IF($A86="","",E$9+INT(($B$14+CH86)/100))</f>
        <v/>
      </c>
      <c r="F86" s="15">
        <f>IF($A86="","",F$9+INT(($B$14+CI86)/100))</f>
        <v/>
      </c>
      <c r="G86" s="15">
        <f>IF($A86="","",G$9+INT(($B$14+CJ86)/100))</f>
        <v/>
      </c>
      <c r="H86" s="15">
        <f>IF($A86="","",H$9+INT(($B$14+CK86)/100))</f>
        <v/>
      </c>
      <c r="I86" s="15">
        <f>IF($A86="","",I$9+INT(($B$14+CL86)/100))</f>
        <v/>
      </c>
      <c r="J86" s="15">
        <f>IF($A86="","",J$9+INT(($B$14+CM86)/100))</f>
        <v/>
      </c>
      <c r="K86" s="15">
        <f>IF($A86="","",K$9+INT(($B$14+CN86)/100))</f>
        <v/>
      </c>
      <c r="L86" s="15">
        <f>IF($A86="","",L$9+INT(($B$14+CO86)/100))</f>
        <v/>
      </c>
      <c r="M86" s="16">
        <f>IF($A86="","",IF($C86&lt;&gt;$C85,"★ 转职 → 【"&amp;$C86&amp;"】","")&amp;IF($A86=$B$10,"（目标等级）",""))</f>
        <v/>
      </c>
      <c r="P86">
        <f>IF('职业'!$C76="","",'职业'!$C76)</f>
        <v/>
      </c>
      <c r="Q86">
        <f>N('职业'!$D76)</f>
        <v/>
      </c>
      <c r="R86">
        <f>'职业'!$E76&amp;""</f>
        <v/>
      </c>
      <c r="S86">
        <f>IF($P86="",0,MAX(0,D$7+N('职业'!F76)))</f>
        <v/>
      </c>
      <c r="T86">
        <f>IF($P86="",0,MAX(0,E$7+N('职业'!G76)))</f>
        <v/>
      </c>
      <c r="U86">
        <f>IF($P86="",0,MAX(0,F$7+N('职业'!H76)))</f>
        <v/>
      </c>
      <c r="V86">
        <f>IF($P86="",0,MAX(0,G$7+N('职业'!I76)))</f>
        <v/>
      </c>
      <c r="W86">
        <f>IF($P86="",0,MAX(0,H$7+N('职业'!J76)))</f>
        <v/>
      </c>
      <c r="X86">
        <f>IF($P86="",0,MAX(0,I$7+N('职业'!K76)))</f>
        <v/>
      </c>
      <c r="Y86">
        <f>IF($P86="",0,MAX(0,J$7+N('职业'!L76)))</f>
        <v/>
      </c>
      <c r="Z86">
        <f>IF($P86="",0,MAX(0,K$7+N('职业'!M76)))</f>
        <v/>
      </c>
      <c r="AA86">
        <f>IF($P86="",0,MAX(0,L$7+N('职业'!N76)))</f>
        <v/>
      </c>
      <c r="AB86">
        <f>AND($P86&lt;&gt;"",IF($U$5=1,$P86=$C$10,OR($P86=$C$9,AND($R86="是",$Q86&lt;=MAX($B$9,$Q$6)))))</f>
        <v/>
      </c>
      <c r="AC86">
        <f>AND($P86&lt;&gt;"",IF($U$5=2,$P86=$C$10,OR($P86=$C$9,AND($R86="是",$Q86&lt;=MAX($B$9,$Q$7)))))</f>
        <v/>
      </c>
      <c r="AD86">
        <f>AND($P86&lt;&gt;"",IF($U$5=3,$P86=$C$10,OR($P86=$C$9,AND($R86="是",$Q86&lt;=MAX($B$9,$Q$8)))))</f>
        <v/>
      </c>
      <c r="AE86">
        <f>IF(AB86,COUNTIF(AB$13:AB86,TRUE),"")</f>
        <v/>
      </c>
      <c r="AF86">
        <f>IF(AC86,COUNTIF(AC$13:AC86,TRUE),"")</f>
        <v/>
      </c>
      <c r="AG86">
        <f>IF(AD86,COUNTIF(AD$13:AD86,TRUE),"")</f>
        <v/>
      </c>
      <c r="AI86">
        <f>IFERROR(INDEX($P$13:$P$162,MATCH(74,$AE$13:$AE$162,0)),"")</f>
        <v/>
      </c>
      <c r="AJ86">
        <f>IFERROR(INDEX(S$13:S$162,MATCH(74,$AE$13:$AE$162,0)),0)*$T$6</f>
        <v/>
      </c>
      <c r="AK86">
        <f>IFERROR(INDEX(T$13:T$162,MATCH(74,$AE$13:$AE$162,0)),0)*$T$6</f>
        <v/>
      </c>
      <c r="AL86">
        <f>IFERROR(INDEX(U$13:U$162,MATCH(74,$AE$13:$AE$162,0)),0)*$T$6</f>
        <v/>
      </c>
      <c r="AM86">
        <f>IFERROR(INDEX(V$13:V$162,MATCH(74,$AE$13:$AE$162,0)),0)*$T$6</f>
        <v/>
      </c>
      <c r="AN86">
        <f>IFERROR(INDEX(W$13:W$162,MATCH(74,$AE$13:$AE$162,0)),0)*$T$6</f>
        <v/>
      </c>
      <c r="AO86">
        <f>IFERROR(INDEX(X$13:X$162,MATCH(74,$AE$13:$AE$162,0)),0)*$T$6</f>
        <v/>
      </c>
      <c r="AP86">
        <f>IFERROR(INDEX(Y$13:Y$162,MATCH(74,$AE$13:$AE$162,0)),0)*$T$6</f>
        <v/>
      </c>
      <c r="AQ86">
        <f>IFERROR(INDEX(Z$13:Z$162,MATCH(74,$AE$13:$AE$162,0)),0)*$T$6</f>
        <v/>
      </c>
      <c r="AR86">
        <f>IFERROR(INDEX(AA$13:AA$162,MATCH(74,$AE$13:$AE$162,0)),0)*$T$6</f>
        <v/>
      </c>
      <c r="AS86">
        <f>IFERROR(INDEX($P$13:$P$162,MATCH(74,$AF$13:$AF$162,0)),"")</f>
        <v/>
      </c>
      <c r="AT86">
        <f>IFERROR(INDEX(S$13:S$162,MATCH(74,$AF$13:$AF$162,0)),0)*$T$7</f>
        <v/>
      </c>
      <c r="AU86">
        <f>IFERROR(INDEX(T$13:T$162,MATCH(74,$AF$13:$AF$162,0)),0)*$T$7</f>
        <v/>
      </c>
      <c r="AV86">
        <f>IFERROR(INDEX(U$13:U$162,MATCH(74,$AF$13:$AF$162,0)),0)*$T$7</f>
        <v/>
      </c>
      <c r="AW86">
        <f>IFERROR(INDEX(V$13:V$162,MATCH(74,$AF$13:$AF$162,0)),0)*$T$7</f>
        <v/>
      </c>
      <c r="AX86">
        <f>IFERROR(INDEX(W$13:W$162,MATCH(74,$AF$13:$AF$162,0)),0)*$T$7</f>
        <v/>
      </c>
      <c r="AY86">
        <f>IFERROR(INDEX(X$13:X$162,MATCH(74,$AF$13:$AF$162,0)),0)*$T$7</f>
        <v/>
      </c>
      <c r="AZ86">
        <f>IFERROR(INDEX(Y$13:Y$162,MATCH(74,$AF$13:$AF$162,0)),0)*$T$7</f>
        <v/>
      </c>
      <c r="BA86">
        <f>IFERROR(INDEX(Z$13:Z$162,MATCH(74,$AF$13:$AF$162,0)),0)*$T$7</f>
        <v/>
      </c>
      <c r="BB86">
        <f>IFERROR(INDEX(AA$13:AA$162,MATCH(74,$AF$13:$AF$162,0)),0)*$T$7</f>
        <v/>
      </c>
      <c r="BC86">
        <f>IFERROR(INDEX($P$13:$P$162,MATCH(74,$AG$13:$AG$162,0)),"")</f>
        <v/>
      </c>
      <c r="BD86">
        <f>IFERROR(INDEX(S$13:S$162,MATCH(74,$AG$13:$AG$162,0)),0)*($T$8+IF($C$10="",$T$9,0))</f>
        <v/>
      </c>
      <c r="BE86">
        <f>IFERROR(INDEX(T$13:T$162,MATCH(74,$AG$13:$AG$162,0)),0)*($T$8+IF($C$10="",$T$9,0))</f>
        <v/>
      </c>
      <c r="BF86">
        <f>IFERROR(INDEX(U$13:U$162,MATCH(74,$AG$13:$AG$162,0)),0)*($T$8+IF($C$10="",$T$9,0))</f>
        <v/>
      </c>
      <c r="BG86">
        <f>IFERROR(INDEX(V$13:V$162,MATCH(74,$AG$13:$AG$162,0)),0)*($T$8+IF($C$10="",$T$9,0))</f>
        <v/>
      </c>
      <c r="BH86">
        <f>IFERROR(INDEX(W$13:W$162,MATCH(74,$AG$13:$AG$162,0)),0)*($T$8+IF($C$10="",$T$9,0))</f>
        <v/>
      </c>
      <c r="BI86">
        <f>IFERROR(INDEX(X$13:X$162,MATCH(74,$AG$13:$AG$162,0)),0)*($T$8+IF($C$10="",$T$9,0))</f>
        <v/>
      </c>
      <c r="BJ86">
        <f>IFERROR(INDEX(Y$13:Y$162,MATCH(74,$AG$13:$AG$162,0)),0)*($T$8+IF($C$10="",$T$9,0))</f>
        <v/>
      </c>
      <c r="BK86">
        <f>IFERROR(INDEX(Z$13:Z$162,MATCH(74,$AG$13:$AG$162,0)),0)*($T$8+IF($C$10="",$T$9,0))</f>
        <v/>
      </c>
      <c r="BL86">
        <f>IFERROR(INDEX(AA$13:AA$162,MATCH(74,$AG$13:$AG$162,0)),0)*($T$8+IF($C$10="",$T$9,0))</f>
        <v/>
      </c>
      <c r="BN86">
        <f>IF(73&lt;$U$9,INT(73/($U$7*$U$8))+1,1)</f>
        <v/>
      </c>
      <c r="BO86">
        <f>IF(73&lt;$U$9,MOD(INT(73/$U$8),$U$7)+1,1)</f>
        <v/>
      </c>
      <c r="BP86">
        <f>IF(73&lt;$U$9,MOD(73,$U$8)+1,1)</f>
        <v/>
      </c>
      <c r="BQ86">
        <f>IF(73&lt;$U$9,SUMPRODUCT(($D$10:$L$10&lt;&gt;"")*(($D$9:$L$9+INT(($S$12:$AA$12+INDEX($AJ$13:$AR$162,BN86,0)+INDEX($AT$13:$BB$162,BO86,0)+INDEX($BD$13:$BL$162,BP86,0))/100))&gt;=$D$10:$L$10)),0)</f>
        <v/>
      </c>
      <c r="BR86">
        <f>IF(73&lt;$U$9,SUMPRODUCT(($D$10:$L$10&lt;&gt;"")*(($D$10:$L$10-($D$9:$L$9+INT(($S$12:$AA$12+INDEX($AJ$13:$AR$162,BN86,0)+INDEX($AT$13:$BB$162,BO86,0)+INDEX($BD$13:$BL$162,BP86,0))/100)))&gt;0)*($D$10:$L$10-($D$9:$L$9+INT(($S$12:$AA$12+INDEX($AJ$13:$AR$162,BN86,0)+INDEX($AT$13:$BB$162,BO86,0)+INDEX($BD$13:$BL$162,BP86,0))/100)))),0)</f>
        <v/>
      </c>
      <c r="BS86">
        <f>IF(73&lt;$U$9,SUMPRODUCT(($D$9:$L$9+INT(($S$12:$AA$12+INDEX($AJ$13:$AR$162,BN86,0)+INDEX($AT$13:$BB$162,BO86,0)+INDEX($BD$13:$BL$162,BP86,0))/100))),0)</f>
        <v/>
      </c>
      <c r="BT86">
        <f>IF(AND(73&lt;$U$9,$W$5),BQ86*1000000-MIN(BR86,999)*1000+BS86-73/100000,-1000000000-73)</f>
        <v/>
      </c>
      <c r="CF86">
        <f>IF($A86="","",IFERROR(MATCH($C86,'职业'!$C$3:$C$152,0),0))</f>
        <v/>
      </c>
      <c r="CG86">
        <f>IF($A86="","",CG85+MAX(0,D$7+IF($CF85=0,0,IFERROR(INDEX('职业'!F$3:F$152,$CF85)+0,0))))</f>
        <v/>
      </c>
      <c r="CH86">
        <f>IF($A86="","",CH85+MAX(0,E$7+IF($CF85=0,0,IFERROR(INDEX('职业'!G$3:G$152,$CF85)+0,0))))</f>
        <v/>
      </c>
      <c r="CI86">
        <f>IF($A86="","",CI85+MAX(0,F$7+IF($CF85=0,0,IFERROR(INDEX('职业'!H$3:H$152,$CF85)+0,0))))</f>
        <v/>
      </c>
      <c r="CJ86">
        <f>IF($A86="","",CJ85+MAX(0,G$7+IF($CF85=0,0,IFERROR(INDEX('职业'!I$3:I$152,$CF85)+0,0))))</f>
        <v/>
      </c>
      <c r="CK86">
        <f>IF($A86="","",CK85+MAX(0,H$7+IF($CF85=0,0,IFERROR(INDEX('职业'!J$3:J$152,$CF85)+0,0))))</f>
        <v/>
      </c>
      <c r="CL86">
        <f>IF($A86="","",CL85+MAX(0,I$7+IF($CF85=0,0,IFERROR(INDEX('职业'!K$3:K$152,$CF85)+0,0))))</f>
        <v/>
      </c>
      <c r="CM86">
        <f>IF($A86="","",CM85+MAX(0,J$7+IF($CF85=0,0,IFERROR(INDEX('职业'!L$3:L$152,$CF85)+0,0))))</f>
        <v/>
      </c>
      <c r="CN86">
        <f>IF($A86="","",CN85+MAX(0,K$7+IF($CF85=0,0,IFERROR(INDEX('职业'!M$3:M$152,$CF85)+0,0))))</f>
        <v/>
      </c>
      <c r="CO86">
        <f>IF($A86="","",CO85+MAX(0,L$7+IF($CF85=0,0,IFERROR(INDEX('职业'!N$3:N$152,$CF85)+0,0))))</f>
        <v/>
      </c>
    </row>
    <row r="87">
      <c r="A87" s="15">
        <f>IF(OR($B$9="",$B$10=""),"",IF($B$9+35&lt;=$B$10,$B$9+35,""))</f>
        <v/>
      </c>
      <c r="B87" s="15">
        <f>IF($A87="","",MATCH($A87,$BV$27:$BV$32,1))</f>
        <v/>
      </c>
      <c r="C87" s="15">
        <f>IF($A87="","",INDEX($BW$27:$BW$32,$B87))</f>
        <v/>
      </c>
      <c r="D87" s="15">
        <f>IF($A87="","",D$9+INT(($B$14+CG87)/100))</f>
        <v/>
      </c>
      <c r="E87" s="15">
        <f>IF($A87="","",E$9+INT(($B$14+CH87)/100))</f>
        <v/>
      </c>
      <c r="F87" s="15">
        <f>IF($A87="","",F$9+INT(($B$14+CI87)/100))</f>
        <v/>
      </c>
      <c r="G87" s="15">
        <f>IF($A87="","",G$9+INT(($B$14+CJ87)/100))</f>
        <v/>
      </c>
      <c r="H87" s="15">
        <f>IF($A87="","",H$9+INT(($B$14+CK87)/100))</f>
        <v/>
      </c>
      <c r="I87" s="15">
        <f>IF($A87="","",I$9+INT(($B$14+CL87)/100))</f>
        <v/>
      </c>
      <c r="J87" s="15">
        <f>IF($A87="","",J$9+INT(($B$14+CM87)/100))</f>
        <v/>
      </c>
      <c r="K87" s="15">
        <f>IF($A87="","",K$9+INT(($B$14+CN87)/100))</f>
        <v/>
      </c>
      <c r="L87" s="15">
        <f>IF($A87="","",L$9+INT(($B$14+CO87)/100))</f>
        <v/>
      </c>
      <c r="M87" s="16">
        <f>IF($A87="","",IF($C87&lt;&gt;$C86,"★ 转职 → 【"&amp;$C87&amp;"】","")&amp;IF($A87=$B$10,"（目标等级）",""))</f>
        <v/>
      </c>
      <c r="P87">
        <f>IF('职业'!$C77="","",'职业'!$C77)</f>
        <v/>
      </c>
      <c r="Q87">
        <f>N('职业'!$D77)</f>
        <v/>
      </c>
      <c r="R87">
        <f>'职业'!$E77&amp;""</f>
        <v/>
      </c>
      <c r="S87">
        <f>IF($P87="",0,MAX(0,D$7+N('职业'!F77)))</f>
        <v/>
      </c>
      <c r="T87">
        <f>IF($P87="",0,MAX(0,E$7+N('职业'!G77)))</f>
        <v/>
      </c>
      <c r="U87">
        <f>IF($P87="",0,MAX(0,F$7+N('职业'!H77)))</f>
        <v/>
      </c>
      <c r="V87">
        <f>IF($P87="",0,MAX(0,G$7+N('职业'!I77)))</f>
        <v/>
      </c>
      <c r="W87">
        <f>IF($P87="",0,MAX(0,H$7+N('职业'!J77)))</f>
        <v/>
      </c>
      <c r="X87">
        <f>IF($P87="",0,MAX(0,I$7+N('职业'!K77)))</f>
        <v/>
      </c>
      <c r="Y87">
        <f>IF($P87="",0,MAX(0,J$7+N('职业'!L77)))</f>
        <v/>
      </c>
      <c r="Z87">
        <f>IF($P87="",0,MAX(0,K$7+N('职业'!M77)))</f>
        <v/>
      </c>
      <c r="AA87">
        <f>IF($P87="",0,MAX(0,L$7+N('职业'!N77)))</f>
        <v/>
      </c>
      <c r="AB87">
        <f>AND($P87&lt;&gt;"",IF($U$5=1,$P87=$C$10,OR($P87=$C$9,AND($R87="是",$Q87&lt;=MAX($B$9,$Q$6)))))</f>
        <v/>
      </c>
      <c r="AC87">
        <f>AND($P87&lt;&gt;"",IF($U$5=2,$P87=$C$10,OR($P87=$C$9,AND($R87="是",$Q87&lt;=MAX($B$9,$Q$7)))))</f>
        <v/>
      </c>
      <c r="AD87">
        <f>AND($P87&lt;&gt;"",IF($U$5=3,$P87=$C$10,OR($P87=$C$9,AND($R87="是",$Q87&lt;=MAX($B$9,$Q$8)))))</f>
        <v/>
      </c>
      <c r="AE87">
        <f>IF(AB87,COUNTIF(AB$13:AB87,TRUE),"")</f>
        <v/>
      </c>
      <c r="AF87">
        <f>IF(AC87,COUNTIF(AC$13:AC87,TRUE),"")</f>
        <v/>
      </c>
      <c r="AG87">
        <f>IF(AD87,COUNTIF(AD$13:AD87,TRUE),"")</f>
        <v/>
      </c>
      <c r="AI87">
        <f>IFERROR(INDEX($P$13:$P$162,MATCH(75,$AE$13:$AE$162,0)),"")</f>
        <v/>
      </c>
      <c r="AJ87">
        <f>IFERROR(INDEX(S$13:S$162,MATCH(75,$AE$13:$AE$162,0)),0)*$T$6</f>
        <v/>
      </c>
      <c r="AK87">
        <f>IFERROR(INDEX(T$13:T$162,MATCH(75,$AE$13:$AE$162,0)),0)*$T$6</f>
        <v/>
      </c>
      <c r="AL87">
        <f>IFERROR(INDEX(U$13:U$162,MATCH(75,$AE$13:$AE$162,0)),0)*$T$6</f>
        <v/>
      </c>
      <c r="AM87">
        <f>IFERROR(INDEX(V$13:V$162,MATCH(75,$AE$13:$AE$162,0)),0)*$T$6</f>
        <v/>
      </c>
      <c r="AN87">
        <f>IFERROR(INDEX(W$13:W$162,MATCH(75,$AE$13:$AE$162,0)),0)*$T$6</f>
        <v/>
      </c>
      <c r="AO87">
        <f>IFERROR(INDEX(X$13:X$162,MATCH(75,$AE$13:$AE$162,0)),0)*$T$6</f>
        <v/>
      </c>
      <c r="AP87">
        <f>IFERROR(INDEX(Y$13:Y$162,MATCH(75,$AE$13:$AE$162,0)),0)*$T$6</f>
        <v/>
      </c>
      <c r="AQ87">
        <f>IFERROR(INDEX(Z$13:Z$162,MATCH(75,$AE$13:$AE$162,0)),0)*$T$6</f>
        <v/>
      </c>
      <c r="AR87">
        <f>IFERROR(INDEX(AA$13:AA$162,MATCH(75,$AE$13:$AE$162,0)),0)*$T$6</f>
        <v/>
      </c>
      <c r="AS87">
        <f>IFERROR(INDEX($P$13:$P$162,MATCH(75,$AF$13:$AF$162,0)),"")</f>
        <v/>
      </c>
      <c r="AT87">
        <f>IFERROR(INDEX(S$13:S$162,MATCH(75,$AF$13:$AF$162,0)),0)*$T$7</f>
        <v/>
      </c>
      <c r="AU87">
        <f>IFERROR(INDEX(T$13:T$162,MATCH(75,$AF$13:$AF$162,0)),0)*$T$7</f>
        <v/>
      </c>
      <c r="AV87">
        <f>IFERROR(INDEX(U$13:U$162,MATCH(75,$AF$13:$AF$162,0)),0)*$T$7</f>
        <v/>
      </c>
      <c r="AW87">
        <f>IFERROR(INDEX(V$13:V$162,MATCH(75,$AF$13:$AF$162,0)),0)*$T$7</f>
        <v/>
      </c>
      <c r="AX87">
        <f>IFERROR(INDEX(W$13:W$162,MATCH(75,$AF$13:$AF$162,0)),0)*$T$7</f>
        <v/>
      </c>
      <c r="AY87">
        <f>IFERROR(INDEX(X$13:X$162,MATCH(75,$AF$13:$AF$162,0)),0)*$T$7</f>
        <v/>
      </c>
      <c r="AZ87">
        <f>IFERROR(INDEX(Y$13:Y$162,MATCH(75,$AF$13:$AF$162,0)),0)*$T$7</f>
        <v/>
      </c>
      <c r="BA87">
        <f>IFERROR(INDEX(Z$13:Z$162,MATCH(75,$AF$13:$AF$162,0)),0)*$T$7</f>
        <v/>
      </c>
      <c r="BB87">
        <f>IFERROR(INDEX(AA$13:AA$162,MATCH(75,$AF$13:$AF$162,0)),0)*$T$7</f>
        <v/>
      </c>
      <c r="BC87">
        <f>IFERROR(INDEX($P$13:$P$162,MATCH(75,$AG$13:$AG$162,0)),"")</f>
        <v/>
      </c>
      <c r="BD87">
        <f>IFERROR(INDEX(S$13:S$162,MATCH(75,$AG$13:$AG$162,0)),0)*($T$8+IF($C$10="",$T$9,0))</f>
        <v/>
      </c>
      <c r="BE87">
        <f>IFERROR(INDEX(T$13:T$162,MATCH(75,$AG$13:$AG$162,0)),0)*($T$8+IF($C$10="",$T$9,0))</f>
        <v/>
      </c>
      <c r="BF87">
        <f>IFERROR(INDEX(U$13:U$162,MATCH(75,$AG$13:$AG$162,0)),0)*($T$8+IF($C$10="",$T$9,0))</f>
        <v/>
      </c>
      <c r="BG87">
        <f>IFERROR(INDEX(V$13:V$162,MATCH(75,$AG$13:$AG$162,0)),0)*($T$8+IF($C$10="",$T$9,0))</f>
        <v/>
      </c>
      <c r="BH87">
        <f>IFERROR(INDEX(W$13:W$162,MATCH(75,$AG$13:$AG$162,0)),0)*($T$8+IF($C$10="",$T$9,0))</f>
        <v/>
      </c>
      <c r="BI87">
        <f>IFERROR(INDEX(X$13:X$162,MATCH(75,$AG$13:$AG$162,0)),0)*($T$8+IF($C$10="",$T$9,0))</f>
        <v/>
      </c>
      <c r="BJ87">
        <f>IFERROR(INDEX(Y$13:Y$162,MATCH(75,$AG$13:$AG$162,0)),0)*($T$8+IF($C$10="",$T$9,0))</f>
        <v/>
      </c>
      <c r="BK87">
        <f>IFERROR(INDEX(Z$13:Z$162,MATCH(75,$AG$13:$AG$162,0)),0)*($T$8+IF($C$10="",$T$9,0))</f>
        <v/>
      </c>
      <c r="BL87">
        <f>IFERROR(INDEX(AA$13:AA$162,MATCH(75,$AG$13:$AG$162,0)),0)*($T$8+IF($C$10="",$T$9,0))</f>
        <v/>
      </c>
      <c r="BN87">
        <f>IF(74&lt;$U$9,INT(74/($U$7*$U$8))+1,1)</f>
        <v/>
      </c>
      <c r="BO87">
        <f>IF(74&lt;$U$9,MOD(INT(74/$U$8),$U$7)+1,1)</f>
        <v/>
      </c>
      <c r="BP87">
        <f>IF(74&lt;$U$9,MOD(74,$U$8)+1,1)</f>
        <v/>
      </c>
      <c r="BQ87">
        <f>IF(74&lt;$U$9,SUMPRODUCT(($D$10:$L$10&lt;&gt;"")*(($D$9:$L$9+INT(($S$12:$AA$12+INDEX($AJ$13:$AR$162,BN87,0)+INDEX($AT$13:$BB$162,BO87,0)+INDEX($BD$13:$BL$162,BP87,0))/100))&gt;=$D$10:$L$10)),0)</f>
        <v/>
      </c>
      <c r="BR87">
        <f>IF(74&lt;$U$9,SUMPRODUCT(($D$10:$L$10&lt;&gt;"")*(($D$10:$L$10-($D$9:$L$9+INT(($S$12:$AA$12+INDEX($AJ$13:$AR$162,BN87,0)+INDEX($AT$13:$BB$162,BO87,0)+INDEX($BD$13:$BL$162,BP87,0))/100)))&gt;0)*($D$10:$L$10-($D$9:$L$9+INT(($S$12:$AA$12+INDEX($AJ$13:$AR$162,BN87,0)+INDEX($AT$13:$BB$162,BO87,0)+INDEX($BD$13:$BL$162,BP87,0))/100)))),0)</f>
        <v/>
      </c>
      <c r="BS87">
        <f>IF(74&lt;$U$9,SUMPRODUCT(($D$9:$L$9+INT(($S$12:$AA$12+INDEX($AJ$13:$AR$162,BN87,0)+INDEX($AT$13:$BB$162,BO87,0)+INDEX($BD$13:$BL$162,BP87,0))/100))),0)</f>
        <v/>
      </c>
      <c r="BT87">
        <f>IF(AND(74&lt;$U$9,$W$5),BQ87*1000000-MIN(BR87,999)*1000+BS87-74/100000,-1000000000-74)</f>
        <v/>
      </c>
      <c r="CF87">
        <f>IF($A87="","",IFERROR(MATCH($C87,'职业'!$C$3:$C$152,0),0))</f>
        <v/>
      </c>
      <c r="CG87">
        <f>IF($A87="","",CG86+MAX(0,D$7+IF($CF86=0,0,IFERROR(INDEX('职业'!F$3:F$152,$CF86)+0,0))))</f>
        <v/>
      </c>
      <c r="CH87">
        <f>IF($A87="","",CH86+MAX(0,E$7+IF($CF86=0,0,IFERROR(INDEX('职业'!G$3:G$152,$CF86)+0,0))))</f>
        <v/>
      </c>
      <c r="CI87">
        <f>IF($A87="","",CI86+MAX(0,F$7+IF($CF86=0,0,IFERROR(INDEX('职业'!H$3:H$152,$CF86)+0,0))))</f>
        <v/>
      </c>
      <c r="CJ87">
        <f>IF($A87="","",CJ86+MAX(0,G$7+IF($CF86=0,0,IFERROR(INDEX('职业'!I$3:I$152,$CF86)+0,0))))</f>
        <v/>
      </c>
      <c r="CK87">
        <f>IF($A87="","",CK86+MAX(0,H$7+IF($CF86=0,0,IFERROR(INDEX('职业'!J$3:J$152,$CF86)+0,0))))</f>
        <v/>
      </c>
      <c r="CL87">
        <f>IF($A87="","",CL86+MAX(0,I$7+IF($CF86=0,0,IFERROR(INDEX('职业'!K$3:K$152,$CF86)+0,0))))</f>
        <v/>
      </c>
      <c r="CM87">
        <f>IF($A87="","",CM86+MAX(0,J$7+IF($CF86=0,0,IFERROR(INDEX('职业'!L$3:L$152,$CF86)+0,0))))</f>
        <v/>
      </c>
      <c r="CN87">
        <f>IF($A87="","",CN86+MAX(0,K$7+IF($CF86=0,0,IFERROR(INDEX('职业'!M$3:M$152,$CF86)+0,0))))</f>
        <v/>
      </c>
      <c r="CO87">
        <f>IF($A87="","",CO86+MAX(0,L$7+IF($CF86=0,0,IFERROR(INDEX('职业'!N$3:N$152,$CF86)+0,0))))</f>
        <v/>
      </c>
    </row>
    <row r="88">
      <c r="A88" s="15">
        <f>IF(OR($B$9="",$B$10=""),"",IF($B$9+36&lt;=$B$10,$B$9+36,""))</f>
        <v/>
      </c>
      <c r="B88" s="15">
        <f>IF($A88="","",MATCH($A88,$BV$27:$BV$32,1))</f>
        <v/>
      </c>
      <c r="C88" s="15">
        <f>IF($A88="","",INDEX($BW$27:$BW$32,$B88))</f>
        <v/>
      </c>
      <c r="D88" s="15">
        <f>IF($A88="","",D$9+INT(($B$14+CG88)/100))</f>
        <v/>
      </c>
      <c r="E88" s="15">
        <f>IF($A88="","",E$9+INT(($B$14+CH88)/100))</f>
        <v/>
      </c>
      <c r="F88" s="15">
        <f>IF($A88="","",F$9+INT(($B$14+CI88)/100))</f>
        <v/>
      </c>
      <c r="G88" s="15">
        <f>IF($A88="","",G$9+INT(($B$14+CJ88)/100))</f>
        <v/>
      </c>
      <c r="H88" s="15">
        <f>IF($A88="","",H$9+INT(($B$14+CK88)/100))</f>
        <v/>
      </c>
      <c r="I88" s="15">
        <f>IF($A88="","",I$9+INT(($B$14+CL88)/100))</f>
        <v/>
      </c>
      <c r="J88" s="15">
        <f>IF($A88="","",J$9+INT(($B$14+CM88)/100))</f>
        <v/>
      </c>
      <c r="K88" s="15">
        <f>IF($A88="","",K$9+INT(($B$14+CN88)/100))</f>
        <v/>
      </c>
      <c r="L88" s="15">
        <f>IF($A88="","",L$9+INT(($B$14+CO88)/100))</f>
        <v/>
      </c>
      <c r="M88" s="16">
        <f>IF($A88="","",IF($C88&lt;&gt;$C87,"★ 转职 → 【"&amp;$C88&amp;"】","")&amp;IF($A88=$B$10,"（目标等级）",""))</f>
        <v/>
      </c>
      <c r="P88">
        <f>IF('职业'!$C78="","",'职业'!$C78)</f>
        <v/>
      </c>
      <c r="Q88">
        <f>N('职业'!$D78)</f>
        <v/>
      </c>
      <c r="R88">
        <f>'职业'!$E78&amp;""</f>
        <v/>
      </c>
      <c r="S88">
        <f>IF($P88="",0,MAX(0,D$7+N('职业'!F78)))</f>
        <v/>
      </c>
      <c r="T88">
        <f>IF($P88="",0,MAX(0,E$7+N('职业'!G78)))</f>
        <v/>
      </c>
      <c r="U88">
        <f>IF($P88="",0,MAX(0,F$7+N('职业'!H78)))</f>
        <v/>
      </c>
      <c r="V88">
        <f>IF($P88="",0,MAX(0,G$7+N('职业'!I78)))</f>
        <v/>
      </c>
      <c r="W88">
        <f>IF($P88="",0,MAX(0,H$7+N('职业'!J78)))</f>
        <v/>
      </c>
      <c r="X88">
        <f>IF($P88="",0,MAX(0,I$7+N('职业'!K78)))</f>
        <v/>
      </c>
      <c r="Y88">
        <f>IF($P88="",0,MAX(0,J$7+N('职业'!L78)))</f>
        <v/>
      </c>
      <c r="Z88">
        <f>IF($P88="",0,MAX(0,K$7+N('职业'!M78)))</f>
        <v/>
      </c>
      <c r="AA88">
        <f>IF($P88="",0,MAX(0,L$7+N('职业'!N78)))</f>
        <v/>
      </c>
      <c r="AB88">
        <f>AND($P88&lt;&gt;"",IF($U$5=1,$P88=$C$10,OR($P88=$C$9,AND($R88="是",$Q88&lt;=MAX($B$9,$Q$6)))))</f>
        <v/>
      </c>
      <c r="AC88">
        <f>AND($P88&lt;&gt;"",IF($U$5=2,$P88=$C$10,OR($P88=$C$9,AND($R88="是",$Q88&lt;=MAX($B$9,$Q$7)))))</f>
        <v/>
      </c>
      <c r="AD88">
        <f>AND($P88&lt;&gt;"",IF($U$5=3,$P88=$C$10,OR($P88=$C$9,AND($R88="是",$Q88&lt;=MAX($B$9,$Q$8)))))</f>
        <v/>
      </c>
      <c r="AE88">
        <f>IF(AB88,COUNTIF(AB$13:AB88,TRUE),"")</f>
        <v/>
      </c>
      <c r="AF88">
        <f>IF(AC88,COUNTIF(AC$13:AC88,TRUE),"")</f>
        <v/>
      </c>
      <c r="AG88">
        <f>IF(AD88,COUNTIF(AD$13:AD88,TRUE),"")</f>
        <v/>
      </c>
      <c r="AI88">
        <f>IFERROR(INDEX($P$13:$P$162,MATCH(76,$AE$13:$AE$162,0)),"")</f>
        <v/>
      </c>
      <c r="AJ88">
        <f>IFERROR(INDEX(S$13:S$162,MATCH(76,$AE$13:$AE$162,0)),0)*$T$6</f>
        <v/>
      </c>
      <c r="AK88">
        <f>IFERROR(INDEX(T$13:T$162,MATCH(76,$AE$13:$AE$162,0)),0)*$T$6</f>
        <v/>
      </c>
      <c r="AL88">
        <f>IFERROR(INDEX(U$13:U$162,MATCH(76,$AE$13:$AE$162,0)),0)*$T$6</f>
        <v/>
      </c>
      <c r="AM88">
        <f>IFERROR(INDEX(V$13:V$162,MATCH(76,$AE$13:$AE$162,0)),0)*$T$6</f>
        <v/>
      </c>
      <c r="AN88">
        <f>IFERROR(INDEX(W$13:W$162,MATCH(76,$AE$13:$AE$162,0)),0)*$T$6</f>
        <v/>
      </c>
      <c r="AO88">
        <f>IFERROR(INDEX(X$13:X$162,MATCH(76,$AE$13:$AE$162,0)),0)*$T$6</f>
        <v/>
      </c>
      <c r="AP88">
        <f>IFERROR(INDEX(Y$13:Y$162,MATCH(76,$AE$13:$AE$162,0)),0)*$T$6</f>
        <v/>
      </c>
      <c r="AQ88">
        <f>IFERROR(INDEX(Z$13:Z$162,MATCH(76,$AE$13:$AE$162,0)),0)*$T$6</f>
        <v/>
      </c>
      <c r="AR88">
        <f>IFERROR(INDEX(AA$13:AA$162,MATCH(76,$AE$13:$AE$162,0)),0)*$T$6</f>
        <v/>
      </c>
      <c r="AS88">
        <f>IFERROR(INDEX($P$13:$P$162,MATCH(76,$AF$13:$AF$162,0)),"")</f>
        <v/>
      </c>
      <c r="AT88">
        <f>IFERROR(INDEX(S$13:S$162,MATCH(76,$AF$13:$AF$162,0)),0)*$T$7</f>
        <v/>
      </c>
      <c r="AU88">
        <f>IFERROR(INDEX(T$13:T$162,MATCH(76,$AF$13:$AF$162,0)),0)*$T$7</f>
        <v/>
      </c>
      <c r="AV88">
        <f>IFERROR(INDEX(U$13:U$162,MATCH(76,$AF$13:$AF$162,0)),0)*$T$7</f>
        <v/>
      </c>
      <c r="AW88">
        <f>IFERROR(INDEX(V$13:V$162,MATCH(76,$AF$13:$AF$162,0)),0)*$T$7</f>
        <v/>
      </c>
      <c r="AX88">
        <f>IFERROR(INDEX(W$13:W$162,MATCH(76,$AF$13:$AF$162,0)),0)*$T$7</f>
        <v/>
      </c>
      <c r="AY88">
        <f>IFERROR(INDEX(X$13:X$162,MATCH(76,$AF$13:$AF$162,0)),0)*$T$7</f>
        <v/>
      </c>
      <c r="AZ88">
        <f>IFERROR(INDEX(Y$13:Y$162,MATCH(76,$AF$13:$AF$162,0)),0)*$T$7</f>
        <v/>
      </c>
      <c r="BA88">
        <f>IFERROR(INDEX(Z$13:Z$162,MATCH(76,$AF$13:$AF$162,0)),0)*$T$7</f>
        <v/>
      </c>
      <c r="BB88">
        <f>IFERROR(INDEX(AA$13:AA$162,MATCH(76,$AF$13:$AF$162,0)),0)*$T$7</f>
        <v/>
      </c>
      <c r="BC88">
        <f>IFERROR(INDEX($P$13:$P$162,MATCH(76,$AG$13:$AG$162,0)),"")</f>
        <v/>
      </c>
      <c r="BD88">
        <f>IFERROR(INDEX(S$13:S$162,MATCH(76,$AG$13:$AG$162,0)),0)*($T$8+IF($C$10="",$T$9,0))</f>
        <v/>
      </c>
      <c r="BE88">
        <f>IFERROR(INDEX(T$13:T$162,MATCH(76,$AG$13:$AG$162,0)),0)*($T$8+IF($C$10="",$T$9,0))</f>
        <v/>
      </c>
      <c r="BF88">
        <f>IFERROR(INDEX(U$13:U$162,MATCH(76,$AG$13:$AG$162,0)),0)*($T$8+IF($C$10="",$T$9,0))</f>
        <v/>
      </c>
      <c r="BG88">
        <f>IFERROR(INDEX(V$13:V$162,MATCH(76,$AG$13:$AG$162,0)),0)*($T$8+IF($C$10="",$T$9,0))</f>
        <v/>
      </c>
      <c r="BH88">
        <f>IFERROR(INDEX(W$13:W$162,MATCH(76,$AG$13:$AG$162,0)),0)*($T$8+IF($C$10="",$T$9,0))</f>
        <v/>
      </c>
      <c r="BI88">
        <f>IFERROR(INDEX(X$13:X$162,MATCH(76,$AG$13:$AG$162,0)),0)*($T$8+IF($C$10="",$T$9,0))</f>
        <v/>
      </c>
      <c r="BJ88">
        <f>IFERROR(INDEX(Y$13:Y$162,MATCH(76,$AG$13:$AG$162,0)),0)*($T$8+IF($C$10="",$T$9,0))</f>
        <v/>
      </c>
      <c r="BK88">
        <f>IFERROR(INDEX(Z$13:Z$162,MATCH(76,$AG$13:$AG$162,0)),0)*($T$8+IF($C$10="",$T$9,0))</f>
        <v/>
      </c>
      <c r="BL88">
        <f>IFERROR(INDEX(AA$13:AA$162,MATCH(76,$AG$13:$AG$162,0)),0)*($T$8+IF($C$10="",$T$9,0))</f>
        <v/>
      </c>
      <c r="BN88">
        <f>IF(75&lt;$U$9,INT(75/($U$7*$U$8))+1,1)</f>
        <v/>
      </c>
      <c r="BO88">
        <f>IF(75&lt;$U$9,MOD(INT(75/$U$8),$U$7)+1,1)</f>
        <v/>
      </c>
      <c r="BP88">
        <f>IF(75&lt;$U$9,MOD(75,$U$8)+1,1)</f>
        <v/>
      </c>
      <c r="BQ88">
        <f>IF(75&lt;$U$9,SUMPRODUCT(($D$10:$L$10&lt;&gt;"")*(($D$9:$L$9+INT(($S$12:$AA$12+INDEX($AJ$13:$AR$162,BN88,0)+INDEX($AT$13:$BB$162,BO88,0)+INDEX($BD$13:$BL$162,BP88,0))/100))&gt;=$D$10:$L$10)),0)</f>
        <v/>
      </c>
      <c r="BR88">
        <f>IF(75&lt;$U$9,SUMPRODUCT(($D$10:$L$10&lt;&gt;"")*(($D$10:$L$10-($D$9:$L$9+INT(($S$12:$AA$12+INDEX($AJ$13:$AR$162,BN88,0)+INDEX($AT$13:$BB$162,BO88,0)+INDEX($BD$13:$BL$162,BP88,0))/100)))&gt;0)*($D$10:$L$10-($D$9:$L$9+INT(($S$12:$AA$12+INDEX($AJ$13:$AR$162,BN88,0)+INDEX($AT$13:$BB$162,BO88,0)+INDEX($BD$13:$BL$162,BP88,0))/100)))),0)</f>
        <v/>
      </c>
      <c r="BS88">
        <f>IF(75&lt;$U$9,SUMPRODUCT(($D$9:$L$9+INT(($S$12:$AA$12+INDEX($AJ$13:$AR$162,BN88,0)+INDEX($AT$13:$BB$162,BO88,0)+INDEX($BD$13:$BL$162,BP88,0))/100))),0)</f>
        <v/>
      </c>
      <c r="BT88">
        <f>IF(AND(75&lt;$U$9,$W$5),BQ88*1000000-MIN(BR88,999)*1000+BS88-75/100000,-1000000000-75)</f>
        <v/>
      </c>
      <c r="CF88">
        <f>IF($A88="","",IFERROR(MATCH($C88,'职业'!$C$3:$C$152,0),0))</f>
        <v/>
      </c>
      <c r="CG88">
        <f>IF($A88="","",CG87+MAX(0,D$7+IF($CF87=0,0,IFERROR(INDEX('职业'!F$3:F$152,$CF87)+0,0))))</f>
        <v/>
      </c>
      <c r="CH88">
        <f>IF($A88="","",CH87+MAX(0,E$7+IF($CF87=0,0,IFERROR(INDEX('职业'!G$3:G$152,$CF87)+0,0))))</f>
        <v/>
      </c>
      <c r="CI88">
        <f>IF($A88="","",CI87+MAX(0,F$7+IF($CF87=0,0,IFERROR(INDEX('职业'!H$3:H$152,$CF87)+0,0))))</f>
        <v/>
      </c>
      <c r="CJ88">
        <f>IF($A88="","",CJ87+MAX(0,G$7+IF($CF87=0,0,IFERROR(INDEX('职业'!I$3:I$152,$CF87)+0,0))))</f>
        <v/>
      </c>
      <c r="CK88">
        <f>IF($A88="","",CK87+MAX(0,H$7+IF($CF87=0,0,IFERROR(INDEX('职业'!J$3:J$152,$CF87)+0,0))))</f>
        <v/>
      </c>
      <c r="CL88">
        <f>IF($A88="","",CL87+MAX(0,I$7+IF($CF87=0,0,IFERROR(INDEX('职业'!K$3:K$152,$CF87)+0,0))))</f>
        <v/>
      </c>
      <c r="CM88">
        <f>IF($A88="","",CM87+MAX(0,J$7+IF($CF87=0,0,IFERROR(INDEX('职业'!L$3:L$152,$CF87)+0,0))))</f>
        <v/>
      </c>
      <c r="CN88">
        <f>IF($A88="","",CN87+MAX(0,K$7+IF($CF87=0,0,IFERROR(INDEX('职业'!M$3:M$152,$CF87)+0,0))))</f>
        <v/>
      </c>
      <c r="CO88">
        <f>IF($A88="","",CO87+MAX(0,L$7+IF($CF87=0,0,IFERROR(INDEX('职业'!N$3:N$152,$CF87)+0,0))))</f>
        <v/>
      </c>
    </row>
    <row r="89">
      <c r="A89" s="15">
        <f>IF(OR($B$9="",$B$10=""),"",IF($B$9+37&lt;=$B$10,$B$9+37,""))</f>
        <v/>
      </c>
      <c r="B89" s="15">
        <f>IF($A89="","",MATCH($A89,$BV$27:$BV$32,1))</f>
        <v/>
      </c>
      <c r="C89" s="15">
        <f>IF($A89="","",INDEX($BW$27:$BW$32,$B89))</f>
        <v/>
      </c>
      <c r="D89" s="15">
        <f>IF($A89="","",D$9+INT(($B$14+CG89)/100))</f>
        <v/>
      </c>
      <c r="E89" s="15">
        <f>IF($A89="","",E$9+INT(($B$14+CH89)/100))</f>
        <v/>
      </c>
      <c r="F89" s="15">
        <f>IF($A89="","",F$9+INT(($B$14+CI89)/100))</f>
        <v/>
      </c>
      <c r="G89" s="15">
        <f>IF($A89="","",G$9+INT(($B$14+CJ89)/100))</f>
        <v/>
      </c>
      <c r="H89" s="15">
        <f>IF($A89="","",H$9+INT(($B$14+CK89)/100))</f>
        <v/>
      </c>
      <c r="I89" s="15">
        <f>IF($A89="","",I$9+INT(($B$14+CL89)/100))</f>
        <v/>
      </c>
      <c r="J89" s="15">
        <f>IF($A89="","",J$9+INT(($B$14+CM89)/100))</f>
        <v/>
      </c>
      <c r="K89" s="15">
        <f>IF($A89="","",K$9+INT(($B$14+CN89)/100))</f>
        <v/>
      </c>
      <c r="L89" s="15">
        <f>IF($A89="","",L$9+INT(($B$14+CO89)/100))</f>
        <v/>
      </c>
      <c r="M89" s="16">
        <f>IF($A89="","",IF($C89&lt;&gt;$C88,"★ 转职 → 【"&amp;$C89&amp;"】","")&amp;IF($A89=$B$10,"（目标等级）",""))</f>
        <v/>
      </c>
      <c r="P89">
        <f>IF('职业'!$C79="","",'职业'!$C79)</f>
        <v/>
      </c>
      <c r="Q89">
        <f>N('职业'!$D79)</f>
        <v/>
      </c>
      <c r="R89">
        <f>'职业'!$E79&amp;""</f>
        <v/>
      </c>
      <c r="S89">
        <f>IF($P89="",0,MAX(0,D$7+N('职业'!F79)))</f>
        <v/>
      </c>
      <c r="T89">
        <f>IF($P89="",0,MAX(0,E$7+N('职业'!G79)))</f>
        <v/>
      </c>
      <c r="U89">
        <f>IF($P89="",0,MAX(0,F$7+N('职业'!H79)))</f>
        <v/>
      </c>
      <c r="V89">
        <f>IF($P89="",0,MAX(0,G$7+N('职业'!I79)))</f>
        <v/>
      </c>
      <c r="W89">
        <f>IF($P89="",0,MAX(0,H$7+N('职业'!J79)))</f>
        <v/>
      </c>
      <c r="X89">
        <f>IF($P89="",0,MAX(0,I$7+N('职业'!K79)))</f>
        <v/>
      </c>
      <c r="Y89">
        <f>IF($P89="",0,MAX(0,J$7+N('职业'!L79)))</f>
        <v/>
      </c>
      <c r="Z89">
        <f>IF($P89="",0,MAX(0,K$7+N('职业'!M79)))</f>
        <v/>
      </c>
      <c r="AA89">
        <f>IF($P89="",0,MAX(0,L$7+N('职业'!N79)))</f>
        <v/>
      </c>
      <c r="AB89">
        <f>AND($P89&lt;&gt;"",IF($U$5=1,$P89=$C$10,OR($P89=$C$9,AND($R89="是",$Q89&lt;=MAX($B$9,$Q$6)))))</f>
        <v/>
      </c>
      <c r="AC89">
        <f>AND($P89&lt;&gt;"",IF($U$5=2,$P89=$C$10,OR($P89=$C$9,AND($R89="是",$Q89&lt;=MAX($B$9,$Q$7)))))</f>
        <v/>
      </c>
      <c r="AD89">
        <f>AND($P89&lt;&gt;"",IF($U$5=3,$P89=$C$10,OR($P89=$C$9,AND($R89="是",$Q89&lt;=MAX($B$9,$Q$8)))))</f>
        <v/>
      </c>
      <c r="AE89">
        <f>IF(AB89,COUNTIF(AB$13:AB89,TRUE),"")</f>
        <v/>
      </c>
      <c r="AF89">
        <f>IF(AC89,COUNTIF(AC$13:AC89,TRUE),"")</f>
        <v/>
      </c>
      <c r="AG89">
        <f>IF(AD89,COUNTIF(AD$13:AD89,TRUE),"")</f>
        <v/>
      </c>
      <c r="AI89">
        <f>IFERROR(INDEX($P$13:$P$162,MATCH(77,$AE$13:$AE$162,0)),"")</f>
        <v/>
      </c>
      <c r="AJ89">
        <f>IFERROR(INDEX(S$13:S$162,MATCH(77,$AE$13:$AE$162,0)),0)*$T$6</f>
        <v/>
      </c>
      <c r="AK89">
        <f>IFERROR(INDEX(T$13:T$162,MATCH(77,$AE$13:$AE$162,0)),0)*$T$6</f>
        <v/>
      </c>
      <c r="AL89">
        <f>IFERROR(INDEX(U$13:U$162,MATCH(77,$AE$13:$AE$162,0)),0)*$T$6</f>
        <v/>
      </c>
      <c r="AM89">
        <f>IFERROR(INDEX(V$13:V$162,MATCH(77,$AE$13:$AE$162,0)),0)*$T$6</f>
        <v/>
      </c>
      <c r="AN89">
        <f>IFERROR(INDEX(W$13:W$162,MATCH(77,$AE$13:$AE$162,0)),0)*$T$6</f>
        <v/>
      </c>
      <c r="AO89">
        <f>IFERROR(INDEX(X$13:X$162,MATCH(77,$AE$13:$AE$162,0)),0)*$T$6</f>
        <v/>
      </c>
      <c r="AP89">
        <f>IFERROR(INDEX(Y$13:Y$162,MATCH(77,$AE$13:$AE$162,0)),0)*$T$6</f>
        <v/>
      </c>
      <c r="AQ89">
        <f>IFERROR(INDEX(Z$13:Z$162,MATCH(77,$AE$13:$AE$162,0)),0)*$T$6</f>
        <v/>
      </c>
      <c r="AR89">
        <f>IFERROR(INDEX(AA$13:AA$162,MATCH(77,$AE$13:$AE$162,0)),0)*$T$6</f>
        <v/>
      </c>
      <c r="AS89">
        <f>IFERROR(INDEX($P$13:$P$162,MATCH(77,$AF$13:$AF$162,0)),"")</f>
        <v/>
      </c>
      <c r="AT89">
        <f>IFERROR(INDEX(S$13:S$162,MATCH(77,$AF$13:$AF$162,0)),0)*$T$7</f>
        <v/>
      </c>
      <c r="AU89">
        <f>IFERROR(INDEX(T$13:T$162,MATCH(77,$AF$13:$AF$162,0)),0)*$T$7</f>
        <v/>
      </c>
      <c r="AV89">
        <f>IFERROR(INDEX(U$13:U$162,MATCH(77,$AF$13:$AF$162,0)),0)*$T$7</f>
        <v/>
      </c>
      <c r="AW89">
        <f>IFERROR(INDEX(V$13:V$162,MATCH(77,$AF$13:$AF$162,0)),0)*$T$7</f>
        <v/>
      </c>
      <c r="AX89">
        <f>IFERROR(INDEX(W$13:W$162,MATCH(77,$AF$13:$AF$162,0)),0)*$T$7</f>
        <v/>
      </c>
      <c r="AY89">
        <f>IFERROR(INDEX(X$13:X$162,MATCH(77,$AF$13:$AF$162,0)),0)*$T$7</f>
        <v/>
      </c>
      <c r="AZ89">
        <f>IFERROR(INDEX(Y$13:Y$162,MATCH(77,$AF$13:$AF$162,0)),0)*$T$7</f>
        <v/>
      </c>
      <c r="BA89">
        <f>IFERROR(INDEX(Z$13:Z$162,MATCH(77,$AF$13:$AF$162,0)),0)*$T$7</f>
        <v/>
      </c>
      <c r="BB89">
        <f>IFERROR(INDEX(AA$13:AA$162,MATCH(77,$AF$13:$AF$162,0)),0)*$T$7</f>
        <v/>
      </c>
      <c r="BC89">
        <f>IFERROR(INDEX($P$13:$P$162,MATCH(77,$AG$13:$AG$162,0)),"")</f>
        <v/>
      </c>
      <c r="BD89">
        <f>IFERROR(INDEX(S$13:S$162,MATCH(77,$AG$13:$AG$162,0)),0)*($T$8+IF($C$10="",$T$9,0))</f>
        <v/>
      </c>
      <c r="BE89">
        <f>IFERROR(INDEX(T$13:T$162,MATCH(77,$AG$13:$AG$162,0)),0)*($T$8+IF($C$10="",$T$9,0))</f>
        <v/>
      </c>
      <c r="BF89">
        <f>IFERROR(INDEX(U$13:U$162,MATCH(77,$AG$13:$AG$162,0)),0)*($T$8+IF($C$10="",$T$9,0))</f>
        <v/>
      </c>
      <c r="BG89">
        <f>IFERROR(INDEX(V$13:V$162,MATCH(77,$AG$13:$AG$162,0)),0)*($T$8+IF($C$10="",$T$9,0))</f>
        <v/>
      </c>
      <c r="BH89">
        <f>IFERROR(INDEX(W$13:W$162,MATCH(77,$AG$13:$AG$162,0)),0)*($T$8+IF($C$10="",$T$9,0))</f>
        <v/>
      </c>
      <c r="BI89">
        <f>IFERROR(INDEX(X$13:X$162,MATCH(77,$AG$13:$AG$162,0)),0)*($T$8+IF($C$10="",$T$9,0))</f>
        <v/>
      </c>
      <c r="BJ89">
        <f>IFERROR(INDEX(Y$13:Y$162,MATCH(77,$AG$13:$AG$162,0)),0)*($T$8+IF($C$10="",$T$9,0))</f>
        <v/>
      </c>
      <c r="BK89">
        <f>IFERROR(INDEX(Z$13:Z$162,MATCH(77,$AG$13:$AG$162,0)),0)*($T$8+IF($C$10="",$T$9,0))</f>
        <v/>
      </c>
      <c r="BL89">
        <f>IFERROR(INDEX(AA$13:AA$162,MATCH(77,$AG$13:$AG$162,0)),0)*($T$8+IF($C$10="",$T$9,0))</f>
        <v/>
      </c>
      <c r="BN89">
        <f>IF(76&lt;$U$9,INT(76/($U$7*$U$8))+1,1)</f>
        <v/>
      </c>
      <c r="BO89">
        <f>IF(76&lt;$U$9,MOD(INT(76/$U$8),$U$7)+1,1)</f>
        <v/>
      </c>
      <c r="BP89">
        <f>IF(76&lt;$U$9,MOD(76,$U$8)+1,1)</f>
        <v/>
      </c>
      <c r="BQ89">
        <f>IF(76&lt;$U$9,SUMPRODUCT(($D$10:$L$10&lt;&gt;"")*(($D$9:$L$9+INT(($S$12:$AA$12+INDEX($AJ$13:$AR$162,BN89,0)+INDEX($AT$13:$BB$162,BO89,0)+INDEX($BD$13:$BL$162,BP89,0))/100))&gt;=$D$10:$L$10)),0)</f>
        <v/>
      </c>
      <c r="BR89">
        <f>IF(76&lt;$U$9,SUMPRODUCT(($D$10:$L$10&lt;&gt;"")*(($D$10:$L$10-($D$9:$L$9+INT(($S$12:$AA$12+INDEX($AJ$13:$AR$162,BN89,0)+INDEX($AT$13:$BB$162,BO89,0)+INDEX($BD$13:$BL$162,BP89,0))/100)))&gt;0)*($D$10:$L$10-($D$9:$L$9+INT(($S$12:$AA$12+INDEX($AJ$13:$AR$162,BN89,0)+INDEX($AT$13:$BB$162,BO89,0)+INDEX($BD$13:$BL$162,BP89,0))/100)))),0)</f>
        <v/>
      </c>
      <c r="BS89">
        <f>IF(76&lt;$U$9,SUMPRODUCT(($D$9:$L$9+INT(($S$12:$AA$12+INDEX($AJ$13:$AR$162,BN89,0)+INDEX($AT$13:$BB$162,BO89,0)+INDEX($BD$13:$BL$162,BP89,0))/100))),0)</f>
        <v/>
      </c>
      <c r="BT89">
        <f>IF(AND(76&lt;$U$9,$W$5),BQ89*1000000-MIN(BR89,999)*1000+BS89-76/100000,-1000000000-76)</f>
        <v/>
      </c>
      <c r="CF89">
        <f>IF($A89="","",IFERROR(MATCH($C89,'职业'!$C$3:$C$152,0),0))</f>
        <v/>
      </c>
      <c r="CG89">
        <f>IF($A89="","",CG88+MAX(0,D$7+IF($CF88=0,0,IFERROR(INDEX('职业'!F$3:F$152,$CF88)+0,0))))</f>
        <v/>
      </c>
      <c r="CH89">
        <f>IF($A89="","",CH88+MAX(0,E$7+IF($CF88=0,0,IFERROR(INDEX('职业'!G$3:G$152,$CF88)+0,0))))</f>
        <v/>
      </c>
      <c r="CI89">
        <f>IF($A89="","",CI88+MAX(0,F$7+IF($CF88=0,0,IFERROR(INDEX('职业'!H$3:H$152,$CF88)+0,0))))</f>
        <v/>
      </c>
      <c r="CJ89">
        <f>IF($A89="","",CJ88+MAX(0,G$7+IF($CF88=0,0,IFERROR(INDEX('职业'!I$3:I$152,$CF88)+0,0))))</f>
        <v/>
      </c>
      <c r="CK89">
        <f>IF($A89="","",CK88+MAX(0,H$7+IF($CF88=0,0,IFERROR(INDEX('职业'!J$3:J$152,$CF88)+0,0))))</f>
        <v/>
      </c>
      <c r="CL89">
        <f>IF($A89="","",CL88+MAX(0,I$7+IF($CF88=0,0,IFERROR(INDEX('职业'!K$3:K$152,$CF88)+0,0))))</f>
        <v/>
      </c>
      <c r="CM89">
        <f>IF($A89="","",CM88+MAX(0,J$7+IF($CF88=0,0,IFERROR(INDEX('职业'!L$3:L$152,$CF88)+0,0))))</f>
        <v/>
      </c>
      <c r="CN89">
        <f>IF($A89="","",CN88+MAX(0,K$7+IF($CF88=0,0,IFERROR(INDEX('职业'!M$3:M$152,$CF88)+0,0))))</f>
        <v/>
      </c>
      <c r="CO89">
        <f>IF($A89="","",CO88+MAX(0,L$7+IF($CF88=0,0,IFERROR(INDEX('职业'!N$3:N$152,$CF88)+0,0))))</f>
        <v/>
      </c>
    </row>
    <row r="90">
      <c r="A90" s="15">
        <f>IF(OR($B$9="",$B$10=""),"",IF($B$9+38&lt;=$B$10,$B$9+38,""))</f>
        <v/>
      </c>
      <c r="B90" s="15">
        <f>IF($A90="","",MATCH($A90,$BV$27:$BV$32,1))</f>
        <v/>
      </c>
      <c r="C90" s="15">
        <f>IF($A90="","",INDEX($BW$27:$BW$32,$B90))</f>
        <v/>
      </c>
      <c r="D90" s="15">
        <f>IF($A90="","",D$9+INT(($B$14+CG90)/100))</f>
        <v/>
      </c>
      <c r="E90" s="15">
        <f>IF($A90="","",E$9+INT(($B$14+CH90)/100))</f>
        <v/>
      </c>
      <c r="F90" s="15">
        <f>IF($A90="","",F$9+INT(($B$14+CI90)/100))</f>
        <v/>
      </c>
      <c r="G90" s="15">
        <f>IF($A90="","",G$9+INT(($B$14+CJ90)/100))</f>
        <v/>
      </c>
      <c r="H90" s="15">
        <f>IF($A90="","",H$9+INT(($B$14+CK90)/100))</f>
        <v/>
      </c>
      <c r="I90" s="15">
        <f>IF($A90="","",I$9+INT(($B$14+CL90)/100))</f>
        <v/>
      </c>
      <c r="J90" s="15">
        <f>IF($A90="","",J$9+INT(($B$14+CM90)/100))</f>
        <v/>
      </c>
      <c r="K90" s="15">
        <f>IF($A90="","",K$9+INT(($B$14+CN90)/100))</f>
        <v/>
      </c>
      <c r="L90" s="15">
        <f>IF($A90="","",L$9+INT(($B$14+CO90)/100))</f>
        <v/>
      </c>
      <c r="M90" s="16">
        <f>IF($A90="","",IF($C90&lt;&gt;$C89,"★ 转职 → 【"&amp;$C90&amp;"】","")&amp;IF($A90=$B$10,"（目标等级）",""))</f>
        <v/>
      </c>
      <c r="P90">
        <f>IF('职业'!$C80="","",'职业'!$C80)</f>
        <v/>
      </c>
      <c r="Q90">
        <f>N('职业'!$D80)</f>
        <v/>
      </c>
      <c r="R90">
        <f>'职业'!$E80&amp;""</f>
        <v/>
      </c>
      <c r="S90">
        <f>IF($P90="",0,MAX(0,D$7+N('职业'!F80)))</f>
        <v/>
      </c>
      <c r="T90">
        <f>IF($P90="",0,MAX(0,E$7+N('职业'!G80)))</f>
        <v/>
      </c>
      <c r="U90">
        <f>IF($P90="",0,MAX(0,F$7+N('职业'!H80)))</f>
        <v/>
      </c>
      <c r="V90">
        <f>IF($P90="",0,MAX(0,G$7+N('职业'!I80)))</f>
        <v/>
      </c>
      <c r="W90">
        <f>IF($P90="",0,MAX(0,H$7+N('职业'!J80)))</f>
        <v/>
      </c>
      <c r="X90">
        <f>IF($P90="",0,MAX(0,I$7+N('职业'!K80)))</f>
        <v/>
      </c>
      <c r="Y90">
        <f>IF($P90="",0,MAX(0,J$7+N('职业'!L80)))</f>
        <v/>
      </c>
      <c r="Z90">
        <f>IF($P90="",0,MAX(0,K$7+N('职业'!M80)))</f>
        <v/>
      </c>
      <c r="AA90">
        <f>IF($P90="",0,MAX(0,L$7+N('职业'!N80)))</f>
        <v/>
      </c>
      <c r="AB90">
        <f>AND($P90&lt;&gt;"",IF($U$5=1,$P90=$C$10,OR($P90=$C$9,AND($R90="是",$Q90&lt;=MAX($B$9,$Q$6)))))</f>
        <v/>
      </c>
      <c r="AC90">
        <f>AND($P90&lt;&gt;"",IF($U$5=2,$P90=$C$10,OR($P90=$C$9,AND($R90="是",$Q90&lt;=MAX($B$9,$Q$7)))))</f>
        <v/>
      </c>
      <c r="AD90">
        <f>AND($P90&lt;&gt;"",IF($U$5=3,$P90=$C$10,OR($P90=$C$9,AND($R90="是",$Q90&lt;=MAX($B$9,$Q$8)))))</f>
        <v/>
      </c>
      <c r="AE90">
        <f>IF(AB90,COUNTIF(AB$13:AB90,TRUE),"")</f>
        <v/>
      </c>
      <c r="AF90">
        <f>IF(AC90,COUNTIF(AC$13:AC90,TRUE),"")</f>
        <v/>
      </c>
      <c r="AG90">
        <f>IF(AD90,COUNTIF(AD$13:AD90,TRUE),"")</f>
        <v/>
      </c>
      <c r="AI90">
        <f>IFERROR(INDEX($P$13:$P$162,MATCH(78,$AE$13:$AE$162,0)),"")</f>
        <v/>
      </c>
      <c r="AJ90">
        <f>IFERROR(INDEX(S$13:S$162,MATCH(78,$AE$13:$AE$162,0)),0)*$T$6</f>
        <v/>
      </c>
      <c r="AK90">
        <f>IFERROR(INDEX(T$13:T$162,MATCH(78,$AE$13:$AE$162,0)),0)*$T$6</f>
        <v/>
      </c>
      <c r="AL90">
        <f>IFERROR(INDEX(U$13:U$162,MATCH(78,$AE$13:$AE$162,0)),0)*$T$6</f>
        <v/>
      </c>
      <c r="AM90">
        <f>IFERROR(INDEX(V$13:V$162,MATCH(78,$AE$13:$AE$162,0)),0)*$T$6</f>
        <v/>
      </c>
      <c r="AN90">
        <f>IFERROR(INDEX(W$13:W$162,MATCH(78,$AE$13:$AE$162,0)),0)*$T$6</f>
        <v/>
      </c>
      <c r="AO90">
        <f>IFERROR(INDEX(X$13:X$162,MATCH(78,$AE$13:$AE$162,0)),0)*$T$6</f>
        <v/>
      </c>
      <c r="AP90">
        <f>IFERROR(INDEX(Y$13:Y$162,MATCH(78,$AE$13:$AE$162,0)),0)*$T$6</f>
        <v/>
      </c>
      <c r="AQ90">
        <f>IFERROR(INDEX(Z$13:Z$162,MATCH(78,$AE$13:$AE$162,0)),0)*$T$6</f>
        <v/>
      </c>
      <c r="AR90">
        <f>IFERROR(INDEX(AA$13:AA$162,MATCH(78,$AE$13:$AE$162,0)),0)*$T$6</f>
        <v/>
      </c>
      <c r="AS90">
        <f>IFERROR(INDEX($P$13:$P$162,MATCH(78,$AF$13:$AF$162,0)),"")</f>
        <v/>
      </c>
      <c r="AT90">
        <f>IFERROR(INDEX(S$13:S$162,MATCH(78,$AF$13:$AF$162,0)),0)*$T$7</f>
        <v/>
      </c>
      <c r="AU90">
        <f>IFERROR(INDEX(T$13:T$162,MATCH(78,$AF$13:$AF$162,0)),0)*$T$7</f>
        <v/>
      </c>
      <c r="AV90">
        <f>IFERROR(INDEX(U$13:U$162,MATCH(78,$AF$13:$AF$162,0)),0)*$T$7</f>
        <v/>
      </c>
      <c r="AW90">
        <f>IFERROR(INDEX(V$13:V$162,MATCH(78,$AF$13:$AF$162,0)),0)*$T$7</f>
        <v/>
      </c>
      <c r="AX90">
        <f>IFERROR(INDEX(W$13:W$162,MATCH(78,$AF$13:$AF$162,0)),0)*$T$7</f>
        <v/>
      </c>
      <c r="AY90">
        <f>IFERROR(INDEX(X$13:X$162,MATCH(78,$AF$13:$AF$162,0)),0)*$T$7</f>
        <v/>
      </c>
      <c r="AZ90">
        <f>IFERROR(INDEX(Y$13:Y$162,MATCH(78,$AF$13:$AF$162,0)),0)*$T$7</f>
        <v/>
      </c>
      <c r="BA90">
        <f>IFERROR(INDEX(Z$13:Z$162,MATCH(78,$AF$13:$AF$162,0)),0)*$T$7</f>
        <v/>
      </c>
      <c r="BB90">
        <f>IFERROR(INDEX(AA$13:AA$162,MATCH(78,$AF$13:$AF$162,0)),0)*$T$7</f>
        <v/>
      </c>
      <c r="BC90">
        <f>IFERROR(INDEX($P$13:$P$162,MATCH(78,$AG$13:$AG$162,0)),"")</f>
        <v/>
      </c>
      <c r="BD90">
        <f>IFERROR(INDEX(S$13:S$162,MATCH(78,$AG$13:$AG$162,0)),0)*($T$8+IF($C$10="",$T$9,0))</f>
        <v/>
      </c>
      <c r="BE90">
        <f>IFERROR(INDEX(T$13:T$162,MATCH(78,$AG$13:$AG$162,0)),0)*($T$8+IF($C$10="",$T$9,0))</f>
        <v/>
      </c>
      <c r="BF90">
        <f>IFERROR(INDEX(U$13:U$162,MATCH(78,$AG$13:$AG$162,0)),0)*($T$8+IF($C$10="",$T$9,0))</f>
        <v/>
      </c>
      <c r="BG90">
        <f>IFERROR(INDEX(V$13:V$162,MATCH(78,$AG$13:$AG$162,0)),0)*($T$8+IF($C$10="",$T$9,0))</f>
        <v/>
      </c>
      <c r="BH90">
        <f>IFERROR(INDEX(W$13:W$162,MATCH(78,$AG$13:$AG$162,0)),0)*($T$8+IF($C$10="",$T$9,0))</f>
        <v/>
      </c>
      <c r="BI90">
        <f>IFERROR(INDEX(X$13:X$162,MATCH(78,$AG$13:$AG$162,0)),0)*($T$8+IF($C$10="",$T$9,0))</f>
        <v/>
      </c>
      <c r="BJ90">
        <f>IFERROR(INDEX(Y$13:Y$162,MATCH(78,$AG$13:$AG$162,0)),0)*($T$8+IF($C$10="",$T$9,0))</f>
        <v/>
      </c>
      <c r="BK90">
        <f>IFERROR(INDEX(Z$13:Z$162,MATCH(78,$AG$13:$AG$162,0)),0)*($T$8+IF($C$10="",$T$9,0))</f>
        <v/>
      </c>
      <c r="BL90">
        <f>IFERROR(INDEX(AA$13:AA$162,MATCH(78,$AG$13:$AG$162,0)),0)*($T$8+IF($C$10="",$T$9,0))</f>
        <v/>
      </c>
      <c r="BN90">
        <f>IF(77&lt;$U$9,INT(77/($U$7*$U$8))+1,1)</f>
        <v/>
      </c>
      <c r="BO90">
        <f>IF(77&lt;$U$9,MOD(INT(77/$U$8),$U$7)+1,1)</f>
        <v/>
      </c>
      <c r="BP90">
        <f>IF(77&lt;$U$9,MOD(77,$U$8)+1,1)</f>
        <v/>
      </c>
      <c r="BQ90">
        <f>IF(77&lt;$U$9,SUMPRODUCT(($D$10:$L$10&lt;&gt;"")*(($D$9:$L$9+INT(($S$12:$AA$12+INDEX($AJ$13:$AR$162,BN90,0)+INDEX($AT$13:$BB$162,BO90,0)+INDEX($BD$13:$BL$162,BP90,0))/100))&gt;=$D$10:$L$10)),0)</f>
        <v/>
      </c>
      <c r="BR90">
        <f>IF(77&lt;$U$9,SUMPRODUCT(($D$10:$L$10&lt;&gt;"")*(($D$10:$L$10-($D$9:$L$9+INT(($S$12:$AA$12+INDEX($AJ$13:$AR$162,BN90,0)+INDEX($AT$13:$BB$162,BO90,0)+INDEX($BD$13:$BL$162,BP90,0))/100)))&gt;0)*($D$10:$L$10-($D$9:$L$9+INT(($S$12:$AA$12+INDEX($AJ$13:$AR$162,BN90,0)+INDEX($AT$13:$BB$162,BO90,0)+INDEX($BD$13:$BL$162,BP90,0))/100)))),0)</f>
        <v/>
      </c>
      <c r="BS90">
        <f>IF(77&lt;$U$9,SUMPRODUCT(($D$9:$L$9+INT(($S$12:$AA$12+INDEX($AJ$13:$AR$162,BN90,0)+INDEX($AT$13:$BB$162,BO90,0)+INDEX($BD$13:$BL$162,BP90,0))/100))),0)</f>
        <v/>
      </c>
      <c r="BT90">
        <f>IF(AND(77&lt;$U$9,$W$5),BQ90*1000000-MIN(BR90,999)*1000+BS90-77/100000,-1000000000-77)</f>
        <v/>
      </c>
      <c r="CF90">
        <f>IF($A90="","",IFERROR(MATCH($C90,'职业'!$C$3:$C$152,0),0))</f>
        <v/>
      </c>
      <c r="CG90">
        <f>IF($A90="","",CG89+MAX(0,D$7+IF($CF89=0,0,IFERROR(INDEX('职业'!F$3:F$152,$CF89)+0,0))))</f>
        <v/>
      </c>
      <c r="CH90">
        <f>IF($A90="","",CH89+MAX(0,E$7+IF($CF89=0,0,IFERROR(INDEX('职业'!G$3:G$152,$CF89)+0,0))))</f>
        <v/>
      </c>
      <c r="CI90">
        <f>IF($A90="","",CI89+MAX(0,F$7+IF($CF89=0,0,IFERROR(INDEX('职业'!H$3:H$152,$CF89)+0,0))))</f>
        <v/>
      </c>
      <c r="CJ90">
        <f>IF($A90="","",CJ89+MAX(0,G$7+IF($CF89=0,0,IFERROR(INDEX('职业'!I$3:I$152,$CF89)+0,0))))</f>
        <v/>
      </c>
      <c r="CK90">
        <f>IF($A90="","",CK89+MAX(0,H$7+IF($CF89=0,0,IFERROR(INDEX('职业'!J$3:J$152,$CF89)+0,0))))</f>
        <v/>
      </c>
      <c r="CL90">
        <f>IF($A90="","",CL89+MAX(0,I$7+IF($CF89=0,0,IFERROR(INDEX('职业'!K$3:K$152,$CF89)+0,0))))</f>
        <v/>
      </c>
      <c r="CM90">
        <f>IF($A90="","",CM89+MAX(0,J$7+IF($CF89=0,0,IFERROR(INDEX('职业'!L$3:L$152,$CF89)+0,0))))</f>
        <v/>
      </c>
      <c r="CN90">
        <f>IF($A90="","",CN89+MAX(0,K$7+IF($CF89=0,0,IFERROR(INDEX('职业'!M$3:M$152,$CF89)+0,0))))</f>
        <v/>
      </c>
      <c r="CO90">
        <f>IF($A90="","",CO89+MAX(0,L$7+IF($CF89=0,0,IFERROR(INDEX('职业'!N$3:N$152,$CF89)+0,0))))</f>
        <v/>
      </c>
    </row>
    <row r="91">
      <c r="A91" s="15">
        <f>IF(OR($B$9="",$B$10=""),"",IF($B$9+39&lt;=$B$10,$B$9+39,""))</f>
        <v/>
      </c>
      <c r="B91" s="15">
        <f>IF($A91="","",MATCH($A91,$BV$27:$BV$32,1))</f>
        <v/>
      </c>
      <c r="C91" s="15">
        <f>IF($A91="","",INDEX($BW$27:$BW$32,$B91))</f>
        <v/>
      </c>
      <c r="D91" s="15">
        <f>IF($A91="","",D$9+INT(($B$14+CG91)/100))</f>
        <v/>
      </c>
      <c r="E91" s="15">
        <f>IF($A91="","",E$9+INT(($B$14+CH91)/100))</f>
        <v/>
      </c>
      <c r="F91" s="15">
        <f>IF($A91="","",F$9+INT(($B$14+CI91)/100))</f>
        <v/>
      </c>
      <c r="G91" s="15">
        <f>IF($A91="","",G$9+INT(($B$14+CJ91)/100))</f>
        <v/>
      </c>
      <c r="H91" s="15">
        <f>IF($A91="","",H$9+INT(($B$14+CK91)/100))</f>
        <v/>
      </c>
      <c r="I91" s="15">
        <f>IF($A91="","",I$9+INT(($B$14+CL91)/100))</f>
        <v/>
      </c>
      <c r="J91" s="15">
        <f>IF($A91="","",J$9+INT(($B$14+CM91)/100))</f>
        <v/>
      </c>
      <c r="K91" s="15">
        <f>IF($A91="","",K$9+INT(($B$14+CN91)/100))</f>
        <v/>
      </c>
      <c r="L91" s="15">
        <f>IF($A91="","",L$9+INT(($B$14+CO91)/100))</f>
        <v/>
      </c>
      <c r="M91" s="16">
        <f>IF($A91="","",IF($C91&lt;&gt;$C90,"★ 转职 → 【"&amp;$C91&amp;"】","")&amp;IF($A91=$B$10,"（目标等级）",""))</f>
        <v/>
      </c>
      <c r="P91">
        <f>IF('职业'!$C81="","",'职业'!$C81)</f>
        <v/>
      </c>
      <c r="Q91">
        <f>N('职业'!$D81)</f>
        <v/>
      </c>
      <c r="R91">
        <f>'职业'!$E81&amp;""</f>
        <v/>
      </c>
      <c r="S91">
        <f>IF($P91="",0,MAX(0,D$7+N('职业'!F81)))</f>
        <v/>
      </c>
      <c r="T91">
        <f>IF($P91="",0,MAX(0,E$7+N('职业'!G81)))</f>
        <v/>
      </c>
      <c r="U91">
        <f>IF($P91="",0,MAX(0,F$7+N('职业'!H81)))</f>
        <v/>
      </c>
      <c r="V91">
        <f>IF($P91="",0,MAX(0,G$7+N('职业'!I81)))</f>
        <v/>
      </c>
      <c r="W91">
        <f>IF($P91="",0,MAX(0,H$7+N('职业'!J81)))</f>
        <v/>
      </c>
      <c r="X91">
        <f>IF($P91="",0,MAX(0,I$7+N('职业'!K81)))</f>
        <v/>
      </c>
      <c r="Y91">
        <f>IF($P91="",0,MAX(0,J$7+N('职业'!L81)))</f>
        <v/>
      </c>
      <c r="Z91">
        <f>IF($P91="",0,MAX(0,K$7+N('职业'!M81)))</f>
        <v/>
      </c>
      <c r="AA91">
        <f>IF($P91="",0,MAX(0,L$7+N('职业'!N81)))</f>
        <v/>
      </c>
      <c r="AB91">
        <f>AND($P91&lt;&gt;"",IF($U$5=1,$P91=$C$10,OR($P91=$C$9,AND($R91="是",$Q91&lt;=MAX($B$9,$Q$6)))))</f>
        <v/>
      </c>
      <c r="AC91">
        <f>AND($P91&lt;&gt;"",IF($U$5=2,$P91=$C$10,OR($P91=$C$9,AND($R91="是",$Q91&lt;=MAX($B$9,$Q$7)))))</f>
        <v/>
      </c>
      <c r="AD91">
        <f>AND($P91&lt;&gt;"",IF($U$5=3,$P91=$C$10,OR($P91=$C$9,AND($R91="是",$Q91&lt;=MAX($B$9,$Q$8)))))</f>
        <v/>
      </c>
      <c r="AE91">
        <f>IF(AB91,COUNTIF(AB$13:AB91,TRUE),"")</f>
        <v/>
      </c>
      <c r="AF91">
        <f>IF(AC91,COUNTIF(AC$13:AC91,TRUE),"")</f>
        <v/>
      </c>
      <c r="AG91">
        <f>IF(AD91,COUNTIF(AD$13:AD91,TRUE),"")</f>
        <v/>
      </c>
      <c r="AI91">
        <f>IFERROR(INDEX($P$13:$P$162,MATCH(79,$AE$13:$AE$162,0)),"")</f>
        <v/>
      </c>
      <c r="AJ91">
        <f>IFERROR(INDEX(S$13:S$162,MATCH(79,$AE$13:$AE$162,0)),0)*$T$6</f>
        <v/>
      </c>
      <c r="AK91">
        <f>IFERROR(INDEX(T$13:T$162,MATCH(79,$AE$13:$AE$162,0)),0)*$T$6</f>
        <v/>
      </c>
      <c r="AL91">
        <f>IFERROR(INDEX(U$13:U$162,MATCH(79,$AE$13:$AE$162,0)),0)*$T$6</f>
        <v/>
      </c>
      <c r="AM91">
        <f>IFERROR(INDEX(V$13:V$162,MATCH(79,$AE$13:$AE$162,0)),0)*$T$6</f>
        <v/>
      </c>
      <c r="AN91">
        <f>IFERROR(INDEX(W$13:W$162,MATCH(79,$AE$13:$AE$162,0)),0)*$T$6</f>
        <v/>
      </c>
      <c r="AO91">
        <f>IFERROR(INDEX(X$13:X$162,MATCH(79,$AE$13:$AE$162,0)),0)*$T$6</f>
        <v/>
      </c>
      <c r="AP91">
        <f>IFERROR(INDEX(Y$13:Y$162,MATCH(79,$AE$13:$AE$162,0)),0)*$T$6</f>
        <v/>
      </c>
      <c r="AQ91">
        <f>IFERROR(INDEX(Z$13:Z$162,MATCH(79,$AE$13:$AE$162,0)),0)*$T$6</f>
        <v/>
      </c>
      <c r="AR91">
        <f>IFERROR(INDEX(AA$13:AA$162,MATCH(79,$AE$13:$AE$162,0)),0)*$T$6</f>
        <v/>
      </c>
      <c r="AS91">
        <f>IFERROR(INDEX($P$13:$P$162,MATCH(79,$AF$13:$AF$162,0)),"")</f>
        <v/>
      </c>
      <c r="AT91">
        <f>IFERROR(INDEX(S$13:S$162,MATCH(79,$AF$13:$AF$162,0)),0)*$T$7</f>
        <v/>
      </c>
      <c r="AU91">
        <f>IFERROR(INDEX(T$13:T$162,MATCH(79,$AF$13:$AF$162,0)),0)*$T$7</f>
        <v/>
      </c>
      <c r="AV91">
        <f>IFERROR(INDEX(U$13:U$162,MATCH(79,$AF$13:$AF$162,0)),0)*$T$7</f>
        <v/>
      </c>
      <c r="AW91">
        <f>IFERROR(INDEX(V$13:V$162,MATCH(79,$AF$13:$AF$162,0)),0)*$T$7</f>
        <v/>
      </c>
      <c r="AX91">
        <f>IFERROR(INDEX(W$13:W$162,MATCH(79,$AF$13:$AF$162,0)),0)*$T$7</f>
        <v/>
      </c>
      <c r="AY91">
        <f>IFERROR(INDEX(X$13:X$162,MATCH(79,$AF$13:$AF$162,0)),0)*$T$7</f>
        <v/>
      </c>
      <c r="AZ91">
        <f>IFERROR(INDEX(Y$13:Y$162,MATCH(79,$AF$13:$AF$162,0)),0)*$T$7</f>
        <v/>
      </c>
      <c r="BA91">
        <f>IFERROR(INDEX(Z$13:Z$162,MATCH(79,$AF$13:$AF$162,0)),0)*$T$7</f>
        <v/>
      </c>
      <c r="BB91">
        <f>IFERROR(INDEX(AA$13:AA$162,MATCH(79,$AF$13:$AF$162,0)),0)*$T$7</f>
        <v/>
      </c>
      <c r="BC91">
        <f>IFERROR(INDEX($P$13:$P$162,MATCH(79,$AG$13:$AG$162,0)),"")</f>
        <v/>
      </c>
      <c r="BD91">
        <f>IFERROR(INDEX(S$13:S$162,MATCH(79,$AG$13:$AG$162,0)),0)*($T$8+IF($C$10="",$T$9,0))</f>
        <v/>
      </c>
      <c r="BE91">
        <f>IFERROR(INDEX(T$13:T$162,MATCH(79,$AG$13:$AG$162,0)),0)*($T$8+IF($C$10="",$T$9,0))</f>
        <v/>
      </c>
      <c r="BF91">
        <f>IFERROR(INDEX(U$13:U$162,MATCH(79,$AG$13:$AG$162,0)),0)*($T$8+IF($C$10="",$T$9,0))</f>
        <v/>
      </c>
      <c r="BG91">
        <f>IFERROR(INDEX(V$13:V$162,MATCH(79,$AG$13:$AG$162,0)),0)*($T$8+IF($C$10="",$T$9,0))</f>
        <v/>
      </c>
      <c r="BH91">
        <f>IFERROR(INDEX(W$13:W$162,MATCH(79,$AG$13:$AG$162,0)),0)*($T$8+IF($C$10="",$T$9,0))</f>
        <v/>
      </c>
      <c r="BI91">
        <f>IFERROR(INDEX(X$13:X$162,MATCH(79,$AG$13:$AG$162,0)),0)*($T$8+IF($C$10="",$T$9,0))</f>
        <v/>
      </c>
      <c r="BJ91">
        <f>IFERROR(INDEX(Y$13:Y$162,MATCH(79,$AG$13:$AG$162,0)),0)*($T$8+IF($C$10="",$T$9,0))</f>
        <v/>
      </c>
      <c r="BK91">
        <f>IFERROR(INDEX(Z$13:Z$162,MATCH(79,$AG$13:$AG$162,0)),0)*($T$8+IF($C$10="",$T$9,0))</f>
        <v/>
      </c>
      <c r="BL91">
        <f>IFERROR(INDEX(AA$13:AA$162,MATCH(79,$AG$13:$AG$162,0)),0)*($T$8+IF($C$10="",$T$9,0))</f>
        <v/>
      </c>
      <c r="BN91">
        <f>IF(78&lt;$U$9,INT(78/($U$7*$U$8))+1,1)</f>
        <v/>
      </c>
      <c r="BO91">
        <f>IF(78&lt;$U$9,MOD(INT(78/$U$8),$U$7)+1,1)</f>
        <v/>
      </c>
      <c r="BP91">
        <f>IF(78&lt;$U$9,MOD(78,$U$8)+1,1)</f>
        <v/>
      </c>
      <c r="BQ91">
        <f>IF(78&lt;$U$9,SUMPRODUCT(($D$10:$L$10&lt;&gt;"")*(($D$9:$L$9+INT(($S$12:$AA$12+INDEX($AJ$13:$AR$162,BN91,0)+INDEX($AT$13:$BB$162,BO91,0)+INDEX($BD$13:$BL$162,BP91,0))/100))&gt;=$D$10:$L$10)),0)</f>
        <v/>
      </c>
      <c r="BR91">
        <f>IF(78&lt;$U$9,SUMPRODUCT(($D$10:$L$10&lt;&gt;"")*(($D$10:$L$10-($D$9:$L$9+INT(($S$12:$AA$12+INDEX($AJ$13:$AR$162,BN91,0)+INDEX($AT$13:$BB$162,BO91,0)+INDEX($BD$13:$BL$162,BP91,0))/100)))&gt;0)*($D$10:$L$10-($D$9:$L$9+INT(($S$12:$AA$12+INDEX($AJ$13:$AR$162,BN91,0)+INDEX($AT$13:$BB$162,BO91,0)+INDEX($BD$13:$BL$162,BP91,0))/100)))),0)</f>
        <v/>
      </c>
      <c r="BS91">
        <f>IF(78&lt;$U$9,SUMPRODUCT(($D$9:$L$9+INT(($S$12:$AA$12+INDEX($AJ$13:$AR$162,BN91,0)+INDEX($AT$13:$BB$162,BO91,0)+INDEX($BD$13:$BL$162,BP91,0))/100))),0)</f>
        <v/>
      </c>
      <c r="BT91">
        <f>IF(AND(78&lt;$U$9,$W$5),BQ91*1000000-MIN(BR91,999)*1000+BS91-78/100000,-1000000000-78)</f>
        <v/>
      </c>
      <c r="CF91">
        <f>IF($A91="","",IFERROR(MATCH($C91,'职业'!$C$3:$C$152,0),0))</f>
        <v/>
      </c>
      <c r="CG91">
        <f>IF($A91="","",CG90+MAX(0,D$7+IF($CF90=0,0,IFERROR(INDEX('职业'!F$3:F$152,$CF90)+0,0))))</f>
        <v/>
      </c>
      <c r="CH91">
        <f>IF($A91="","",CH90+MAX(0,E$7+IF($CF90=0,0,IFERROR(INDEX('职业'!G$3:G$152,$CF90)+0,0))))</f>
        <v/>
      </c>
      <c r="CI91">
        <f>IF($A91="","",CI90+MAX(0,F$7+IF($CF90=0,0,IFERROR(INDEX('职业'!H$3:H$152,$CF90)+0,0))))</f>
        <v/>
      </c>
      <c r="CJ91">
        <f>IF($A91="","",CJ90+MAX(0,G$7+IF($CF90=0,0,IFERROR(INDEX('职业'!I$3:I$152,$CF90)+0,0))))</f>
        <v/>
      </c>
      <c r="CK91">
        <f>IF($A91="","",CK90+MAX(0,H$7+IF($CF90=0,0,IFERROR(INDEX('职业'!J$3:J$152,$CF90)+0,0))))</f>
        <v/>
      </c>
      <c r="CL91">
        <f>IF($A91="","",CL90+MAX(0,I$7+IF($CF90=0,0,IFERROR(INDEX('职业'!K$3:K$152,$CF90)+0,0))))</f>
        <v/>
      </c>
      <c r="CM91">
        <f>IF($A91="","",CM90+MAX(0,J$7+IF($CF90=0,0,IFERROR(INDEX('职业'!L$3:L$152,$CF90)+0,0))))</f>
        <v/>
      </c>
      <c r="CN91">
        <f>IF($A91="","",CN90+MAX(0,K$7+IF($CF90=0,0,IFERROR(INDEX('职业'!M$3:M$152,$CF90)+0,0))))</f>
        <v/>
      </c>
      <c r="CO91">
        <f>IF($A91="","",CO90+MAX(0,L$7+IF($CF90=0,0,IFERROR(INDEX('职业'!N$3:N$152,$CF90)+0,0))))</f>
        <v/>
      </c>
    </row>
    <row r="92">
      <c r="A92" s="15">
        <f>IF(OR($B$9="",$B$10=""),"",IF($B$9+40&lt;=$B$10,$B$9+40,""))</f>
        <v/>
      </c>
      <c r="B92" s="15">
        <f>IF($A92="","",MATCH($A92,$BV$27:$BV$32,1))</f>
        <v/>
      </c>
      <c r="C92" s="15">
        <f>IF($A92="","",INDEX($BW$27:$BW$32,$B92))</f>
        <v/>
      </c>
      <c r="D92" s="15">
        <f>IF($A92="","",D$9+INT(($B$14+CG92)/100))</f>
        <v/>
      </c>
      <c r="E92" s="15">
        <f>IF($A92="","",E$9+INT(($B$14+CH92)/100))</f>
        <v/>
      </c>
      <c r="F92" s="15">
        <f>IF($A92="","",F$9+INT(($B$14+CI92)/100))</f>
        <v/>
      </c>
      <c r="G92" s="15">
        <f>IF($A92="","",G$9+INT(($B$14+CJ92)/100))</f>
        <v/>
      </c>
      <c r="H92" s="15">
        <f>IF($A92="","",H$9+INT(($B$14+CK92)/100))</f>
        <v/>
      </c>
      <c r="I92" s="15">
        <f>IF($A92="","",I$9+INT(($B$14+CL92)/100))</f>
        <v/>
      </c>
      <c r="J92" s="15">
        <f>IF($A92="","",J$9+INT(($B$14+CM92)/100))</f>
        <v/>
      </c>
      <c r="K92" s="15">
        <f>IF($A92="","",K$9+INT(($B$14+CN92)/100))</f>
        <v/>
      </c>
      <c r="L92" s="15">
        <f>IF($A92="","",L$9+INT(($B$14+CO92)/100))</f>
        <v/>
      </c>
      <c r="M92" s="16">
        <f>IF($A92="","",IF($C92&lt;&gt;$C91,"★ 转职 → 【"&amp;$C92&amp;"】","")&amp;IF($A92=$B$10,"（目标等级）",""))</f>
        <v/>
      </c>
      <c r="P92">
        <f>IF('职业'!$C82="","",'职业'!$C82)</f>
        <v/>
      </c>
      <c r="Q92">
        <f>N('职业'!$D82)</f>
        <v/>
      </c>
      <c r="R92">
        <f>'职业'!$E82&amp;""</f>
        <v/>
      </c>
      <c r="S92">
        <f>IF($P92="",0,MAX(0,D$7+N('职业'!F82)))</f>
        <v/>
      </c>
      <c r="T92">
        <f>IF($P92="",0,MAX(0,E$7+N('职业'!G82)))</f>
        <v/>
      </c>
      <c r="U92">
        <f>IF($P92="",0,MAX(0,F$7+N('职业'!H82)))</f>
        <v/>
      </c>
      <c r="V92">
        <f>IF($P92="",0,MAX(0,G$7+N('职业'!I82)))</f>
        <v/>
      </c>
      <c r="W92">
        <f>IF($P92="",0,MAX(0,H$7+N('职业'!J82)))</f>
        <v/>
      </c>
      <c r="X92">
        <f>IF($P92="",0,MAX(0,I$7+N('职业'!K82)))</f>
        <v/>
      </c>
      <c r="Y92">
        <f>IF($P92="",0,MAX(0,J$7+N('职业'!L82)))</f>
        <v/>
      </c>
      <c r="Z92">
        <f>IF($P92="",0,MAX(0,K$7+N('职业'!M82)))</f>
        <v/>
      </c>
      <c r="AA92">
        <f>IF($P92="",0,MAX(0,L$7+N('职业'!N82)))</f>
        <v/>
      </c>
      <c r="AB92">
        <f>AND($P92&lt;&gt;"",IF($U$5=1,$P92=$C$10,OR($P92=$C$9,AND($R92="是",$Q92&lt;=MAX($B$9,$Q$6)))))</f>
        <v/>
      </c>
      <c r="AC92">
        <f>AND($P92&lt;&gt;"",IF($U$5=2,$P92=$C$10,OR($P92=$C$9,AND($R92="是",$Q92&lt;=MAX($B$9,$Q$7)))))</f>
        <v/>
      </c>
      <c r="AD92">
        <f>AND($P92&lt;&gt;"",IF($U$5=3,$P92=$C$10,OR($P92=$C$9,AND($R92="是",$Q92&lt;=MAX($B$9,$Q$8)))))</f>
        <v/>
      </c>
      <c r="AE92">
        <f>IF(AB92,COUNTIF(AB$13:AB92,TRUE),"")</f>
        <v/>
      </c>
      <c r="AF92">
        <f>IF(AC92,COUNTIF(AC$13:AC92,TRUE),"")</f>
        <v/>
      </c>
      <c r="AG92">
        <f>IF(AD92,COUNTIF(AD$13:AD92,TRUE),"")</f>
        <v/>
      </c>
      <c r="AI92">
        <f>IFERROR(INDEX($P$13:$P$162,MATCH(80,$AE$13:$AE$162,0)),"")</f>
        <v/>
      </c>
      <c r="AJ92">
        <f>IFERROR(INDEX(S$13:S$162,MATCH(80,$AE$13:$AE$162,0)),0)*$T$6</f>
        <v/>
      </c>
      <c r="AK92">
        <f>IFERROR(INDEX(T$13:T$162,MATCH(80,$AE$13:$AE$162,0)),0)*$T$6</f>
        <v/>
      </c>
      <c r="AL92">
        <f>IFERROR(INDEX(U$13:U$162,MATCH(80,$AE$13:$AE$162,0)),0)*$T$6</f>
        <v/>
      </c>
      <c r="AM92">
        <f>IFERROR(INDEX(V$13:V$162,MATCH(80,$AE$13:$AE$162,0)),0)*$T$6</f>
        <v/>
      </c>
      <c r="AN92">
        <f>IFERROR(INDEX(W$13:W$162,MATCH(80,$AE$13:$AE$162,0)),0)*$T$6</f>
        <v/>
      </c>
      <c r="AO92">
        <f>IFERROR(INDEX(X$13:X$162,MATCH(80,$AE$13:$AE$162,0)),0)*$T$6</f>
        <v/>
      </c>
      <c r="AP92">
        <f>IFERROR(INDEX(Y$13:Y$162,MATCH(80,$AE$13:$AE$162,0)),0)*$T$6</f>
        <v/>
      </c>
      <c r="AQ92">
        <f>IFERROR(INDEX(Z$13:Z$162,MATCH(80,$AE$13:$AE$162,0)),0)*$T$6</f>
        <v/>
      </c>
      <c r="AR92">
        <f>IFERROR(INDEX(AA$13:AA$162,MATCH(80,$AE$13:$AE$162,0)),0)*$T$6</f>
        <v/>
      </c>
      <c r="AS92">
        <f>IFERROR(INDEX($P$13:$P$162,MATCH(80,$AF$13:$AF$162,0)),"")</f>
        <v/>
      </c>
      <c r="AT92">
        <f>IFERROR(INDEX(S$13:S$162,MATCH(80,$AF$13:$AF$162,0)),0)*$T$7</f>
        <v/>
      </c>
      <c r="AU92">
        <f>IFERROR(INDEX(T$13:T$162,MATCH(80,$AF$13:$AF$162,0)),0)*$T$7</f>
        <v/>
      </c>
      <c r="AV92">
        <f>IFERROR(INDEX(U$13:U$162,MATCH(80,$AF$13:$AF$162,0)),0)*$T$7</f>
        <v/>
      </c>
      <c r="AW92">
        <f>IFERROR(INDEX(V$13:V$162,MATCH(80,$AF$13:$AF$162,0)),0)*$T$7</f>
        <v/>
      </c>
      <c r="AX92">
        <f>IFERROR(INDEX(W$13:W$162,MATCH(80,$AF$13:$AF$162,0)),0)*$T$7</f>
        <v/>
      </c>
      <c r="AY92">
        <f>IFERROR(INDEX(X$13:X$162,MATCH(80,$AF$13:$AF$162,0)),0)*$T$7</f>
        <v/>
      </c>
      <c r="AZ92">
        <f>IFERROR(INDEX(Y$13:Y$162,MATCH(80,$AF$13:$AF$162,0)),0)*$T$7</f>
        <v/>
      </c>
      <c r="BA92">
        <f>IFERROR(INDEX(Z$13:Z$162,MATCH(80,$AF$13:$AF$162,0)),0)*$T$7</f>
        <v/>
      </c>
      <c r="BB92">
        <f>IFERROR(INDEX(AA$13:AA$162,MATCH(80,$AF$13:$AF$162,0)),0)*$T$7</f>
        <v/>
      </c>
      <c r="BC92">
        <f>IFERROR(INDEX($P$13:$P$162,MATCH(80,$AG$13:$AG$162,0)),"")</f>
        <v/>
      </c>
      <c r="BD92">
        <f>IFERROR(INDEX(S$13:S$162,MATCH(80,$AG$13:$AG$162,0)),0)*($T$8+IF($C$10="",$T$9,0))</f>
        <v/>
      </c>
      <c r="BE92">
        <f>IFERROR(INDEX(T$13:T$162,MATCH(80,$AG$13:$AG$162,0)),0)*($T$8+IF($C$10="",$T$9,0))</f>
        <v/>
      </c>
      <c r="BF92">
        <f>IFERROR(INDEX(U$13:U$162,MATCH(80,$AG$13:$AG$162,0)),0)*($T$8+IF($C$10="",$T$9,0))</f>
        <v/>
      </c>
      <c r="BG92">
        <f>IFERROR(INDEX(V$13:V$162,MATCH(80,$AG$13:$AG$162,0)),0)*($T$8+IF($C$10="",$T$9,0))</f>
        <v/>
      </c>
      <c r="BH92">
        <f>IFERROR(INDEX(W$13:W$162,MATCH(80,$AG$13:$AG$162,0)),0)*($T$8+IF($C$10="",$T$9,0))</f>
        <v/>
      </c>
      <c r="BI92">
        <f>IFERROR(INDEX(X$13:X$162,MATCH(80,$AG$13:$AG$162,0)),0)*($T$8+IF($C$10="",$T$9,0))</f>
        <v/>
      </c>
      <c r="BJ92">
        <f>IFERROR(INDEX(Y$13:Y$162,MATCH(80,$AG$13:$AG$162,0)),0)*($T$8+IF($C$10="",$T$9,0))</f>
        <v/>
      </c>
      <c r="BK92">
        <f>IFERROR(INDEX(Z$13:Z$162,MATCH(80,$AG$13:$AG$162,0)),0)*($T$8+IF($C$10="",$T$9,0))</f>
        <v/>
      </c>
      <c r="BL92">
        <f>IFERROR(INDEX(AA$13:AA$162,MATCH(80,$AG$13:$AG$162,0)),0)*($T$8+IF($C$10="",$T$9,0))</f>
        <v/>
      </c>
      <c r="BN92">
        <f>IF(79&lt;$U$9,INT(79/($U$7*$U$8))+1,1)</f>
        <v/>
      </c>
      <c r="BO92">
        <f>IF(79&lt;$U$9,MOD(INT(79/$U$8),$U$7)+1,1)</f>
        <v/>
      </c>
      <c r="BP92">
        <f>IF(79&lt;$U$9,MOD(79,$U$8)+1,1)</f>
        <v/>
      </c>
      <c r="BQ92">
        <f>IF(79&lt;$U$9,SUMPRODUCT(($D$10:$L$10&lt;&gt;"")*(($D$9:$L$9+INT(($S$12:$AA$12+INDEX($AJ$13:$AR$162,BN92,0)+INDEX($AT$13:$BB$162,BO92,0)+INDEX($BD$13:$BL$162,BP92,0))/100))&gt;=$D$10:$L$10)),0)</f>
        <v/>
      </c>
      <c r="BR92">
        <f>IF(79&lt;$U$9,SUMPRODUCT(($D$10:$L$10&lt;&gt;"")*(($D$10:$L$10-($D$9:$L$9+INT(($S$12:$AA$12+INDEX($AJ$13:$AR$162,BN92,0)+INDEX($AT$13:$BB$162,BO92,0)+INDEX($BD$13:$BL$162,BP92,0))/100)))&gt;0)*($D$10:$L$10-($D$9:$L$9+INT(($S$12:$AA$12+INDEX($AJ$13:$AR$162,BN92,0)+INDEX($AT$13:$BB$162,BO92,0)+INDEX($BD$13:$BL$162,BP92,0))/100)))),0)</f>
        <v/>
      </c>
      <c r="BS92">
        <f>IF(79&lt;$U$9,SUMPRODUCT(($D$9:$L$9+INT(($S$12:$AA$12+INDEX($AJ$13:$AR$162,BN92,0)+INDEX($AT$13:$BB$162,BO92,0)+INDEX($BD$13:$BL$162,BP92,0))/100))),0)</f>
        <v/>
      </c>
      <c r="BT92">
        <f>IF(AND(79&lt;$U$9,$W$5),BQ92*1000000-MIN(BR92,999)*1000+BS92-79/100000,-1000000000-79)</f>
        <v/>
      </c>
      <c r="CF92">
        <f>IF($A92="","",IFERROR(MATCH($C92,'职业'!$C$3:$C$152,0),0))</f>
        <v/>
      </c>
      <c r="CG92">
        <f>IF($A92="","",CG91+MAX(0,D$7+IF($CF91=0,0,IFERROR(INDEX('职业'!F$3:F$152,$CF91)+0,0))))</f>
        <v/>
      </c>
      <c r="CH92">
        <f>IF($A92="","",CH91+MAX(0,E$7+IF($CF91=0,0,IFERROR(INDEX('职业'!G$3:G$152,$CF91)+0,0))))</f>
        <v/>
      </c>
      <c r="CI92">
        <f>IF($A92="","",CI91+MAX(0,F$7+IF($CF91=0,0,IFERROR(INDEX('职业'!H$3:H$152,$CF91)+0,0))))</f>
        <v/>
      </c>
      <c r="CJ92">
        <f>IF($A92="","",CJ91+MAX(0,G$7+IF($CF91=0,0,IFERROR(INDEX('职业'!I$3:I$152,$CF91)+0,0))))</f>
        <v/>
      </c>
      <c r="CK92">
        <f>IF($A92="","",CK91+MAX(0,H$7+IF($CF91=0,0,IFERROR(INDEX('职业'!J$3:J$152,$CF91)+0,0))))</f>
        <v/>
      </c>
      <c r="CL92">
        <f>IF($A92="","",CL91+MAX(0,I$7+IF($CF91=0,0,IFERROR(INDEX('职业'!K$3:K$152,$CF91)+0,0))))</f>
        <v/>
      </c>
      <c r="CM92">
        <f>IF($A92="","",CM91+MAX(0,J$7+IF($CF91=0,0,IFERROR(INDEX('职业'!L$3:L$152,$CF91)+0,0))))</f>
        <v/>
      </c>
      <c r="CN92">
        <f>IF($A92="","",CN91+MAX(0,K$7+IF($CF91=0,0,IFERROR(INDEX('职业'!M$3:M$152,$CF91)+0,0))))</f>
        <v/>
      </c>
      <c r="CO92">
        <f>IF($A92="","",CO91+MAX(0,L$7+IF($CF91=0,0,IFERROR(INDEX('职业'!N$3:N$152,$CF91)+0,0))))</f>
        <v/>
      </c>
    </row>
    <row r="93">
      <c r="A93" s="15">
        <f>IF(OR($B$9="",$B$10=""),"",IF($B$9+41&lt;=$B$10,$B$9+41,""))</f>
        <v/>
      </c>
      <c r="B93" s="15">
        <f>IF($A93="","",MATCH($A93,$BV$27:$BV$32,1))</f>
        <v/>
      </c>
      <c r="C93" s="15">
        <f>IF($A93="","",INDEX($BW$27:$BW$32,$B93))</f>
        <v/>
      </c>
      <c r="D93" s="15">
        <f>IF($A93="","",D$9+INT(($B$14+CG93)/100))</f>
        <v/>
      </c>
      <c r="E93" s="15">
        <f>IF($A93="","",E$9+INT(($B$14+CH93)/100))</f>
        <v/>
      </c>
      <c r="F93" s="15">
        <f>IF($A93="","",F$9+INT(($B$14+CI93)/100))</f>
        <v/>
      </c>
      <c r="G93" s="15">
        <f>IF($A93="","",G$9+INT(($B$14+CJ93)/100))</f>
        <v/>
      </c>
      <c r="H93" s="15">
        <f>IF($A93="","",H$9+INT(($B$14+CK93)/100))</f>
        <v/>
      </c>
      <c r="I93" s="15">
        <f>IF($A93="","",I$9+INT(($B$14+CL93)/100))</f>
        <v/>
      </c>
      <c r="J93" s="15">
        <f>IF($A93="","",J$9+INT(($B$14+CM93)/100))</f>
        <v/>
      </c>
      <c r="K93" s="15">
        <f>IF($A93="","",K$9+INT(($B$14+CN93)/100))</f>
        <v/>
      </c>
      <c r="L93" s="15">
        <f>IF($A93="","",L$9+INT(($B$14+CO93)/100))</f>
        <v/>
      </c>
      <c r="M93" s="16">
        <f>IF($A93="","",IF($C93&lt;&gt;$C92,"★ 转职 → 【"&amp;$C93&amp;"】","")&amp;IF($A93=$B$10,"（目标等级）",""))</f>
        <v/>
      </c>
      <c r="P93">
        <f>IF('职业'!$C83="","",'职业'!$C83)</f>
        <v/>
      </c>
      <c r="Q93">
        <f>N('职业'!$D83)</f>
        <v/>
      </c>
      <c r="R93">
        <f>'职业'!$E83&amp;""</f>
        <v/>
      </c>
      <c r="S93">
        <f>IF($P93="",0,MAX(0,D$7+N('职业'!F83)))</f>
        <v/>
      </c>
      <c r="T93">
        <f>IF($P93="",0,MAX(0,E$7+N('职业'!G83)))</f>
        <v/>
      </c>
      <c r="U93">
        <f>IF($P93="",0,MAX(0,F$7+N('职业'!H83)))</f>
        <v/>
      </c>
      <c r="V93">
        <f>IF($P93="",0,MAX(0,G$7+N('职业'!I83)))</f>
        <v/>
      </c>
      <c r="W93">
        <f>IF($P93="",0,MAX(0,H$7+N('职业'!J83)))</f>
        <v/>
      </c>
      <c r="X93">
        <f>IF($P93="",0,MAX(0,I$7+N('职业'!K83)))</f>
        <v/>
      </c>
      <c r="Y93">
        <f>IF($P93="",0,MAX(0,J$7+N('职业'!L83)))</f>
        <v/>
      </c>
      <c r="Z93">
        <f>IF($P93="",0,MAX(0,K$7+N('职业'!M83)))</f>
        <v/>
      </c>
      <c r="AA93">
        <f>IF($P93="",0,MAX(0,L$7+N('职业'!N83)))</f>
        <v/>
      </c>
      <c r="AB93">
        <f>AND($P93&lt;&gt;"",IF($U$5=1,$P93=$C$10,OR($P93=$C$9,AND($R93="是",$Q93&lt;=MAX($B$9,$Q$6)))))</f>
        <v/>
      </c>
      <c r="AC93">
        <f>AND($P93&lt;&gt;"",IF($U$5=2,$P93=$C$10,OR($P93=$C$9,AND($R93="是",$Q93&lt;=MAX($B$9,$Q$7)))))</f>
        <v/>
      </c>
      <c r="AD93">
        <f>AND($P93&lt;&gt;"",IF($U$5=3,$P93=$C$10,OR($P93=$C$9,AND($R93="是",$Q93&lt;=MAX($B$9,$Q$8)))))</f>
        <v/>
      </c>
      <c r="AE93">
        <f>IF(AB93,COUNTIF(AB$13:AB93,TRUE),"")</f>
        <v/>
      </c>
      <c r="AF93">
        <f>IF(AC93,COUNTIF(AC$13:AC93,TRUE),"")</f>
        <v/>
      </c>
      <c r="AG93">
        <f>IF(AD93,COUNTIF(AD$13:AD93,TRUE),"")</f>
        <v/>
      </c>
      <c r="AI93">
        <f>IFERROR(INDEX($P$13:$P$162,MATCH(81,$AE$13:$AE$162,0)),"")</f>
        <v/>
      </c>
      <c r="AJ93">
        <f>IFERROR(INDEX(S$13:S$162,MATCH(81,$AE$13:$AE$162,0)),0)*$T$6</f>
        <v/>
      </c>
      <c r="AK93">
        <f>IFERROR(INDEX(T$13:T$162,MATCH(81,$AE$13:$AE$162,0)),0)*$T$6</f>
        <v/>
      </c>
      <c r="AL93">
        <f>IFERROR(INDEX(U$13:U$162,MATCH(81,$AE$13:$AE$162,0)),0)*$T$6</f>
        <v/>
      </c>
      <c r="AM93">
        <f>IFERROR(INDEX(V$13:V$162,MATCH(81,$AE$13:$AE$162,0)),0)*$T$6</f>
        <v/>
      </c>
      <c r="AN93">
        <f>IFERROR(INDEX(W$13:W$162,MATCH(81,$AE$13:$AE$162,0)),0)*$T$6</f>
        <v/>
      </c>
      <c r="AO93">
        <f>IFERROR(INDEX(X$13:X$162,MATCH(81,$AE$13:$AE$162,0)),0)*$T$6</f>
        <v/>
      </c>
      <c r="AP93">
        <f>IFERROR(INDEX(Y$13:Y$162,MATCH(81,$AE$13:$AE$162,0)),0)*$T$6</f>
        <v/>
      </c>
      <c r="AQ93">
        <f>IFERROR(INDEX(Z$13:Z$162,MATCH(81,$AE$13:$AE$162,0)),0)*$T$6</f>
        <v/>
      </c>
      <c r="AR93">
        <f>IFERROR(INDEX(AA$13:AA$162,MATCH(81,$AE$13:$AE$162,0)),0)*$T$6</f>
        <v/>
      </c>
      <c r="AS93">
        <f>IFERROR(INDEX($P$13:$P$162,MATCH(81,$AF$13:$AF$162,0)),"")</f>
        <v/>
      </c>
      <c r="AT93">
        <f>IFERROR(INDEX(S$13:S$162,MATCH(81,$AF$13:$AF$162,0)),0)*$T$7</f>
        <v/>
      </c>
      <c r="AU93">
        <f>IFERROR(INDEX(T$13:T$162,MATCH(81,$AF$13:$AF$162,0)),0)*$T$7</f>
        <v/>
      </c>
      <c r="AV93">
        <f>IFERROR(INDEX(U$13:U$162,MATCH(81,$AF$13:$AF$162,0)),0)*$T$7</f>
        <v/>
      </c>
      <c r="AW93">
        <f>IFERROR(INDEX(V$13:V$162,MATCH(81,$AF$13:$AF$162,0)),0)*$T$7</f>
        <v/>
      </c>
      <c r="AX93">
        <f>IFERROR(INDEX(W$13:W$162,MATCH(81,$AF$13:$AF$162,0)),0)*$T$7</f>
        <v/>
      </c>
      <c r="AY93">
        <f>IFERROR(INDEX(X$13:X$162,MATCH(81,$AF$13:$AF$162,0)),0)*$T$7</f>
        <v/>
      </c>
      <c r="AZ93">
        <f>IFERROR(INDEX(Y$13:Y$162,MATCH(81,$AF$13:$AF$162,0)),0)*$T$7</f>
        <v/>
      </c>
      <c r="BA93">
        <f>IFERROR(INDEX(Z$13:Z$162,MATCH(81,$AF$13:$AF$162,0)),0)*$T$7</f>
        <v/>
      </c>
      <c r="BB93">
        <f>IFERROR(INDEX(AA$13:AA$162,MATCH(81,$AF$13:$AF$162,0)),0)*$T$7</f>
        <v/>
      </c>
      <c r="BC93">
        <f>IFERROR(INDEX($P$13:$P$162,MATCH(81,$AG$13:$AG$162,0)),"")</f>
        <v/>
      </c>
      <c r="BD93">
        <f>IFERROR(INDEX(S$13:S$162,MATCH(81,$AG$13:$AG$162,0)),0)*($T$8+IF($C$10="",$T$9,0))</f>
        <v/>
      </c>
      <c r="BE93">
        <f>IFERROR(INDEX(T$13:T$162,MATCH(81,$AG$13:$AG$162,0)),0)*($T$8+IF($C$10="",$T$9,0))</f>
        <v/>
      </c>
      <c r="BF93">
        <f>IFERROR(INDEX(U$13:U$162,MATCH(81,$AG$13:$AG$162,0)),0)*($T$8+IF($C$10="",$T$9,0))</f>
        <v/>
      </c>
      <c r="BG93">
        <f>IFERROR(INDEX(V$13:V$162,MATCH(81,$AG$13:$AG$162,0)),0)*($T$8+IF($C$10="",$T$9,0))</f>
        <v/>
      </c>
      <c r="BH93">
        <f>IFERROR(INDEX(W$13:W$162,MATCH(81,$AG$13:$AG$162,0)),0)*($T$8+IF($C$10="",$T$9,0))</f>
        <v/>
      </c>
      <c r="BI93">
        <f>IFERROR(INDEX(X$13:X$162,MATCH(81,$AG$13:$AG$162,0)),0)*($T$8+IF($C$10="",$T$9,0))</f>
        <v/>
      </c>
      <c r="BJ93">
        <f>IFERROR(INDEX(Y$13:Y$162,MATCH(81,$AG$13:$AG$162,0)),0)*($T$8+IF($C$10="",$T$9,0))</f>
        <v/>
      </c>
      <c r="BK93">
        <f>IFERROR(INDEX(Z$13:Z$162,MATCH(81,$AG$13:$AG$162,0)),0)*($T$8+IF($C$10="",$T$9,0))</f>
        <v/>
      </c>
      <c r="BL93">
        <f>IFERROR(INDEX(AA$13:AA$162,MATCH(81,$AG$13:$AG$162,0)),0)*($T$8+IF($C$10="",$T$9,0))</f>
        <v/>
      </c>
      <c r="BN93">
        <f>IF(80&lt;$U$9,INT(80/($U$7*$U$8))+1,1)</f>
        <v/>
      </c>
      <c r="BO93">
        <f>IF(80&lt;$U$9,MOD(INT(80/$U$8),$U$7)+1,1)</f>
        <v/>
      </c>
      <c r="BP93">
        <f>IF(80&lt;$U$9,MOD(80,$U$8)+1,1)</f>
        <v/>
      </c>
      <c r="BQ93">
        <f>IF(80&lt;$U$9,SUMPRODUCT(($D$10:$L$10&lt;&gt;"")*(($D$9:$L$9+INT(($S$12:$AA$12+INDEX($AJ$13:$AR$162,BN93,0)+INDEX($AT$13:$BB$162,BO93,0)+INDEX($BD$13:$BL$162,BP93,0))/100))&gt;=$D$10:$L$10)),0)</f>
        <v/>
      </c>
      <c r="BR93">
        <f>IF(80&lt;$U$9,SUMPRODUCT(($D$10:$L$10&lt;&gt;"")*(($D$10:$L$10-($D$9:$L$9+INT(($S$12:$AA$12+INDEX($AJ$13:$AR$162,BN93,0)+INDEX($AT$13:$BB$162,BO93,0)+INDEX($BD$13:$BL$162,BP93,0))/100)))&gt;0)*($D$10:$L$10-($D$9:$L$9+INT(($S$12:$AA$12+INDEX($AJ$13:$AR$162,BN93,0)+INDEX($AT$13:$BB$162,BO93,0)+INDEX($BD$13:$BL$162,BP93,0))/100)))),0)</f>
        <v/>
      </c>
      <c r="BS93">
        <f>IF(80&lt;$U$9,SUMPRODUCT(($D$9:$L$9+INT(($S$12:$AA$12+INDEX($AJ$13:$AR$162,BN93,0)+INDEX($AT$13:$BB$162,BO93,0)+INDEX($BD$13:$BL$162,BP93,0))/100))),0)</f>
        <v/>
      </c>
      <c r="BT93">
        <f>IF(AND(80&lt;$U$9,$W$5),BQ93*1000000-MIN(BR93,999)*1000+BS93-80/100000,-1000000000-80)</f>
        <v/>
      </c>
      <c r="CF93">
        <f>IF($A93="","",IFERROR(MATCH($C93,'职业'!$C$3:$C$152,0),0))</f>
        <v/>
      </c>
      <c r="CG93">
        <f>IF($A93="","",CG92+MAX(0,D$7+IF($CF92=0,0,IFERROR(INDEX('职业'!F$3:F$152,$CF92)+0,0))))</f>
        <v/>
      </c>
      <c r="CH93">
        <f>IF($A93="","",CH92+MAX(0,E$7+IF($CF92=0,0,IFERROR(INDEX('职业'!G$3:G$152,$CF92)+0,0))))</f>
        <v/>
      </c>
      <c r="CI93">
        <f>IF($A93="","",CI92+MAX(0,F$7+IF($CF92=0,0,IFERROR(INDEX('职业'!H$3:H$152,$CF92)+0,0))))</f>
        <v/>
      </c>
      <c r="CJ93">
        <f>IF($A93="","",CJ92+MAX(0,G$7+IF($CF92=0,0,IFERROR(INDEX('职业'!I$3:I$152,$CF92)+0,0))))</f>
        <v/>
      </c>
      <c r="CK93">
        <f>IF($A93="","",CK92+MAX(0,H$7+IF($CF92=0,0,IFERROR(INDEX('职业'!J$3:J$152,$CF92)+0,0))))</f>
        <v/>
      </c>
      <c r="CL93">
        <f>IF($A93="","",CL92+MAX(0,I$7+IF($CF92=0,0,IFERROR(INDEX('职业'!K$3:K$152,$CF92)+0,0))))</f>
        <v/>
      </c>
      <c r="CM93">
        <f>IF($A93="","",CM92+MAX(0,J$7+IF($CF92=0,0,IFERROR(INDEX('职业'!L$3:L$152,$CF92)+0,0))))</f>
        <v/>
      </c>
      <c r="CN93">
        <f>IF($A93="","",CN92+MAX(0,K$7+IF($CF92=0,0,IFERROR(INDEX('职业'!M$3:M$152,$CF92)+0,0))))</f>
        <v/>
      </c>
      <c r="CO93">
        <f>IF($A93="","",CO92+MAX(0,L$7+IF($CF92=0,0,IFERROR(INDEX('职业'!N$3:N$152,$CF92)+0,0))))</f>
        <v/>
      </c>
    </row>
    <row r="94">
      <c r="A94" s="15">
        <f>IF(OR($B$9="",$B$10=""),"",IF($B$9+42&lt;=$B$10,$B$9+42,""))</f>
        <v/>
      </c>
      <c r="B94" s="15">
        <f>IF($A94="","",MATCH($A94,$BV$27:$BV$32,1))</f>
        <v/>
      </c>
      <c r="C94" s="15">
        <f>IF($A94="","",INDEX($BW$27:$BW$32,$B94))</f>
        <v/>
      </c>
      <c r="D94" s="15">
        <f>IF($A94="","",D$9+INT(($B$14+CG94)/100))</f>
        <v/>
      </c>
      <c r="E94" s="15">
        <f>IF($A94="","",E$9+INT(($B$14+CH94)/100))</f>
        <v/>
      </c>
      <c r="F94" s="15">
        <f>IF($A94="","",F$9+INT(($B$14+CI94)/100))</f>
        <v/>
      </c>
      <c r="G94" s="15">
        <f>IF($A94="","",G$9+INT(($B$14+CJ94)/100))</f>
        <v/>
      </c>
      <c r="H94" s="15">
        <f>IF($A94="","",H$9+INT(($B$14+CK94)/100))</f>
        <v/>
      </c>
      <c r="I94" s="15">
        <f>IF($A94="","",I$9+INT(($B$14+CL94)/100))</f>
        <v/>
      </c>
      <c r="J94" s="15">
        <f>IF($A94="","",J$9+INT(($B$14+CM94)/100))</f>
        <v/>
      </c>
      <c r="K94" s="15">
        <f>IF($A94="","",K$9+INT(($B$14+CN94)/100))</f>
        <v/>
      </c>
      <c r="L94" s="15">
        <f>IF($A94="","",L$9+INT(($B$14+CO94)/100))</f>
        <v/>
      </c>
      <c r="M94" s="16">
        <f>IF($A94="","",IF($C94&lt;&gt;$C93,"★ 转职 → 【"&amp;$C94&amp;"】","")&amp;IF($A94=$B$10,"（目标等级）",""))</f>
        <v/>
      </c>
      <c r="P94">
        <f>IF('职业'!$C84="","",'职业'!$C84)</f>
        <v/>
      </c>
      <c r="Q94">
        <f>N('职业'!$D84)</f>
        <v/>
      </c>
      <c r="R94">
        <f>'职业'!$E84&amp;""</f>
        <v/>
      </c>
      <c r="S94">
        <f>IF($P94="",0,MAX(0,D$7+N('职业'!F84)))</f>
        <v/>
      </c>
      <c r="T94">
        <f>IF($P94="",0,MAX(0,E$7+N('职业'!G84)))</f>
        <v/>
      </c>
      <c r="U94">
        <f>IF($P94="",0,MAX(0,F$7+N('职业'!H84)))</f>
        <v/>
      </c>
      <c r="V94">
        <f>IF($P94="",0,MAX(0,G$7+N('职业'!I84)))</f>
        <v/>
      </c>
      <c r="W94">
        <f>IF($P94="",0,MAX(0,H$7+N('职业'!J84)))</f>
        <v/>
      </c>
      <c r="X94">
        <f>IF($P94="",0,MAX(0,I$7+N('职业'!K84)))</f>
        <v/>
      </c>
      <c r="Y94">
        <f>IF($P94="",0,MAX(0,J$7+N('职业'!L84)))</f>
        <v/>
      </c>
      <c r="Z94">
        <f>IF($P94="",0,MAX(0,K$7+N('职业'!M84)))</f>
        <v/>
      </c>
      <c r="AA94">
        <f>IF($P94="",0,MAX(0,L$7+N('职业'!N84)))</f>
        <v/>
      </c>
      <c r="AB94">
        <f>AND($P94&lt;&gt;"",IF($U$5=1,$P94=$C$10,OR($P94=$C$9,AND($R94="是",$Q94&lt;=MAX($B$9,$Q$6)))))</f>
        <v/>
      </c>
      <c r="AC94">
        <f>AND($P94&lt;&gt;"",IF($U$5=2,$P94=$C$10,OR($P94=$C$9,AND($R94="是",$Q94&lt;=MAX($B$9,$Q$7)))))</f>
        <v/>
      </c>
      <c r="AD94">
        <f>AND($P94&lt;&gt;"",IF($U$5=3,$P94=$C$10,OR($P94=$C$9,AND($R94="是",$Q94&lt;=MAX($B$9,$Q$8)))))</f>
        <v/>
      </c>
      <c r="AE94">
        <f>IF(AB94,COUNTIF(AB$13:AB94,TRUE),"")</f>
        <v/>
      </c>
      <c r="AF94">
        <f>IF(AC94,COUNTIF(AC$13:AC94,TRUE),"")</f>
        <v/>
      </c>
      <c r="AG94">
        <f>IF(AD94,COUNTIF(AD$13:AD94,TRUE),"")</f>
        <v/>
      </c>
      <c r="AI94">
        <f>IFERROR(INDEX($P$13:$P$162,MATCH(82,$AE$13:$AE$162,0)),"")</f>
        <v/>
      </c>
      <c r="AJ94">
        <f>IFERROR(INDEX(S$13:S$162,MATCH(82,$AE$13:$AE$162,0)),0)*$T$6</f>
        <v/>
      </c>
      <c r="AK94">
        <f>IFERROR(INDEX(T$13:T$162,MATCH(82,$AE$13:$AE$162,0)),0)*$T$6</f>
        <v/>
      </c>
      <c r="AL94">
        <f>IFERROR(INDEX(U$13:U$162,MATCH(82,$AE$13:$AE$162,0)),0)*$T$6</f>
        <v/>
      </c>
      <c r="AM94">
        <f>IFERROR(INDEX(V$13:V$162,MATCH(82,$AE$13:$AE$162,0)),0)*$T$6</f>
        <v/>
      </c>
      <c r="AN94">
        <f>IFERROR(INDEX(W$13:W$162,MATCH(82,$AE$13:$AE$162,0)),0)*$T$6</f>
        <v/>
      </c>
      <c r="AO94">
        <f>IFERROR(INDEX(X$13:X$162,MATCH(82,$AE$13:$AE$162,0)),0)*$T$6</f>
        <v/>
      </c>
      <c r="AP94">
        <f>IFERROR(INDEX(Y$13:Y$162,MATCH(82,$AE$13:$AE$162,0)),0)*$T$6</f>
        <v/>
      </c>
      <c r="AQ94">
        <f>IFERROR(INDEX(Z$13:Z$162,MATCH(82,$AE$13:$AE$162,0)),0)*$T$6</f>
        <v/>
      </c>
      <c r="AR94">
        <f>IFERROR(INDEX(AA$13:AA$162,MATCH(82,$AE$13:$AE$162,0)),0)*$T$6</f>
        <v/>
      </c>
      <c r="AS94">
        <f>IFERROR(INDEX($P$13:$P$162,MATCH(82,$AF$13:$AF$162,0)),"")</f>
        <v/>
      </c>
      <c r="AT94">
        <f>IFERROR(INDEX(S$13:S$162,MATCH(82,$AF$13:$AF$162,0)),0)*$T$7</f>
        <v/>
      </c>
      <c r="AU94">
        <f>IFERROR(INDEX(T$13:T$162,MATCH(82,$AF$13:$AF$162,0)),0)*$T$7</f>
        <v/>
      </c>
      <c r="AV94">
        <f>IFERROR(INDEX(U$13:U$162,MATCH(82,$AF$13:$AF$162,0)),0)*$T$7</f>
        <v/>
      </c>
      <c r="AW94">
        <f>IFERROR(INDEX(V$13:V$162,MATCH(82,$AF$13:$AF$162,0)),0)*$T$7</f>
        <v/>
      </c>
      <c r="AX94">
        <f>IFERROR(INDEX(W$13:W$162,MATCH(82,$AF$13:$AF$162,0)),0)*$T$7</f>
        <v/>
      </c>
      <c r="AY94">
        <f>IFERROR(INDEX(X$13:X$162,MATCH(82,$AF$13:$AF$162,0)),0)*$T$7</f>
        <v/>
      </c>
      <c r="AZ94">
        <f>IFERROR(INDEX(Y$13:Y$162,MATCH(82,$AF$13:$AF$162,0)),0)*$T$7</f>
        <v/>
      </c>
      <c r="BA94">
        <f>IFERROR(INDEX(Z$13:Z$162,MATCH(82,$AF$13:$AF$162,0)),0)*$T$7</f>
        <v/>
      </c>
      <c r="BB94">
        <f>IFERROR(INDEX(AA$13:AA$162,MATCH(82,$AF$13:$AF$162,0)),0)*$T$7</f>
        <v/>
      </c>
      <c r="BC94">
        <f>IFERROR(INDEX($P$13:$P$162,MATCH(82,$AG$13:$AG$162,0)),"")</f>
        <v/>
      </c>
      <c r="BD94">
        <f>IFERROR(INDEX(S$13:S$162,MATCH(82,$AG$13:$AG$162,0)),0)*($T$8+IF($C$10="",$T$9,0))</f>
        <v/>
      </c>
      <c r="BE94">
        <f>IFERROR(INDEX(T$13:T$162,MATCH(82,$AG$13:$AG$162,0)),0)*($T$8+IF($C$10="",$T$9,0))</f>
        <v/>
      </c>
      <c r="BF94">
        <f>IFERROR(INDEX(U$13:U$162,MATCH(82,$AG$13:$AG$162,0)),0)*($T$8+IF($C$10="",$T$9,0))</f>
        <v/>
      </c>
      <c r="BG94">
        <f>IFERROR(INDEX(V$13:V$162,MATCH(82,$AG$13:$AG$162,0)),0)*($T$8+IF($C$10="",$T$9,0))</f>
        <v/>
      </c>
      <c r="BH94">
        <f>IFERROR(INDEX(W$13:W$162,MATCH(82,$AG$13:$AG$162,0)),0)*($T$8+IF($C$10="",$T$9,0))</f>
        <v/>
      </c>
      <c r="BI94">
        <f>IFERROR(INDEX(X$13:X$162,MATCH(82,$AG$13:$AG$162,0)),0)*($T$8+IF($C$10="",$T$9,0))</f>
        <v/>
      </c>
      <c r="BJ94">
        <f>IFERROR(INDEX(Y$13:Y$162,MATCH(82,$AG$13:$AG$162,0)),0)*($T$8+IF($C$10="",$T$9,0))</f>
        <v/>
      </c>
      <c r="BK94">
        <f>IFERROR(INDEX(Z$13:Z$162,MATCH(82,$AG$13:$AG$162,0)),0)*($T$8+IF($C$10="",$T$9,0))</f>
        <v/>
      </c>
      <c r="BL94">
        <f>IFERROR(INDEX(AA$13:AA$162,MATCH(82,$AG$13:$AG$162,0)),0)*($T$8+IF($C$10="",$T$9,0))</f>
        <v/>
      </c>
      <c r="BN94">
        <f>IF(81&lt;$U$9,INT(81/($U$7*$U$8))+1,1)</f>
        <v/>
      </c>
      <c r="BO94">
        <f>IF(81&lt;$U$9,MOD(INT(81/$U$8),$U$7)+1,1)</f>
        <v/>
      </c>
      <c r="BP94">
        <f>IF(81&lt;$U$9,MOD(81,$U$8)+1,1)</f>
        <v/>
      </c>
      <c r="BQ94">
        <f>IF(81&lt;$U$9,SUMPRODUCT(($D$10:$L$10&lt;&gt;"")*(($D$9:$L$9+INT(($S$12:$AA$12+INDEX($AJ$13:$AR$162,BN94,0)+INDEX($AT$13:$BB$162,BO94,0)+INDEX($BD$13:$BL$162,BP94,0))/100))&gt;=$D$10:$L$10)),0)</f>
        <v/>
      </c>
      <c r="BR94">
        <f>IF(81&lt;$U$9,SUMPRODUCT(($D$10:$L$10&lt;&gt;"")*(($D$10:$L$10-($D$9:$L$9+INT(($S$12:$AA$12+INDEX($AJ$13:$AR$162,BN94,0)+INDEX($AT$13:$BB$162,BO94,0)+INDEX($BD$13:$BL$162,BP94,0))/100)))&gt;0)*($D$10:$L$10-($D$9:$L$9+INT(($S$12:$AA$12+INDEX($AJ$13:$AR$162,BN94,0)+INDEX($AT$13:$BB$162,BO94,0)+INDEX($BD$13:$BL$162,BP94,0))/100)))),0)</f>
        <v/>
      </c>
      <c r="BS94">
        <f>IF(81&lt;$U$9,SUMPRODUCT(($D$9:$L$9+INT(($S$12:$AA$12+INDEX($AJ$13:$AR$162,BN94,0)+INDEX($AT$13:$BB$162,BO94,0)+INDEX($BD$13:$BL$162,BP94,0))/100))),0)</f>
        <v/>
      </c>
      <c r="BT94">
        <f>IF(AND(81&lt;$U$9,$W$5),BQ94*1000000-MIN(BR94,999)*1000+BS94-81/100000,-1000000000-81)</f>
        <v/>
      </c>
      <c r="CF94">
        <f>IF($A94="","",IFERROR(MATCH($C94,'职业'!$C$3:$C$152,0),0))</f>
        <v/>
      </c>
      <c r="CG94">
        <f>IF($A94="","",CG93+MAX(0,D$7+IF($CF93=0,0,IFERROR(INDEX('职业'!F$3:F$152,$CF93)+0,0))))</f>
        <v/>
      </c>
      <c r="CH94">
        <f>IF($A94="","",CH93+MAX(0,E$7+IF($CF93=0,0,IFERROR(INDEX('职业'!G$3:G$152,$CF93)+0,0))))</f>
        <v/>
      </c>
      <c r="CI94">
        <f>IF($A94="","",CI93+MAX(0,F$7+IF($CF93=0,0,IFERROR(INDEX('职业'!H$3:H$152,$CF93)+0,0))))</f>
        <v/>
      </c>
      <c r="CJ94">
        <f>IF($A94="","",CJ93+MAX(0,G$7+IF($CF93=0,0,IFERROR(INDEX('职业'!I$3:I$152,$CF93)+0,0))))</f>
        <v/>
      </c>
      <c r="CK94">
        <f>IF($A94="","",CK93+MAX(0,H$7+IF($CF93=0,0,IFERROR(INDEX('职业'!J$3:J$152,$CF93)+0,0))))</f>
        <v/>
      </c>
      <c r="CL94">
        <f>IF($A94="","",CL93+MAX(0,I$7+IF($CF93=0,0,IFERROR(INDEX('职业'!K$3:K$152,$CF93)+0,0))))</f>
        <v/>
      </c>
      <c r="CM94">
        <f>IF($A94="","",CM93+MAX(0,J$7+IF($CF93=0,0,IFERROR(INDEX('职业'!L$3:L$152,$CF93)+0,0))))</f>
        <v/>
      </c>
      <c r="CN94">
        <f>IF($A94="","",CN93+MAX(0,K$7+IF($CF93=0,0,IFERROR(INDEX('职业'!M$3:M$152,$CF93)+0,0))))</f>
        <v/>
      </c>
      <c r="CO94">
        <f>IF($A94="","",CO93+MAX(0,L$7+IF($CF93=0,0,IFERROR(INDEX('职业'!N$3:N$152,$CF93)+0,0))))</f>
        <v/>
      </c>
    </row>
    <row r="95">
      <c r="A95" s="15">
        <f>IF(OR($B$9="",$B$10=""),"",IF($B$9+43&lt;=$B$10,$B$9+43,""))</f>
        <v/>
      </c>
      <c r="B95" s="15">
        <f>IF($A95="","",MATCH($A95,$BV$27:$BV$32,1))</f>
        <v/>
      </c>
      <c r="C95" s="15">
        <f>IF($A95="","",INDEX($BW$27:$BW$32,$B95))</f>
        <v/>
      </c>
      <c r="D95" s="15">
        <f>IF($A95="","",D$9+INT(($B$14+CG95)/100))</f>
        <v/>
      </c>
      <c r="E95" s="15">
        <f>IF($A95="","",E$9+INT(($B$14+CH95)/100))</f>
        <v/>
      </c>
      <c r="F95" s="15">
        <f>IF($A95="","",F$9+INT(($B$14+CI95)/100))</f>
        <v/>
      </c>
      <c r="G95" s="15">
        <f>IF($A95="","",G$9+INT(($B$14+CJ95)/100))</f>
        <v/>
      </c>
      <c r="H95" s="15">
        <f>IF($A95="","",H$9+INT(($B$14+CK95)/100))</f>
        <v/>
      </c>
      <c r="I95" s="15">
        <f>IF($A95="","",I$9+INT(($B$14+CL95)/100))</f>
        <v/>
      </c>
      <c r="J95" s="15">
        <f>IF($A95="","",J$9+INT(($B$14+CM95)/100))</f>
        <v/>
      </c>
      <c r="K95" s="15">
        <f>IF($A95="","",K$9+INT(($B$14+CN95)/100))</f>
        <v/>
      </c>
      <c r="L95" s="15">
        <f>IF($A95="","",L$9+INT(($B$14+CO95)/100))</f>
        <v/>
      </c>
      <c r="M95" s="16">
        <f>IF($A95="","",IF($C95&lt;&gt;$C94,"★ 转职 → 【"&amp;$C95&amp;"】","")&amp;IF($A95=$B$10,"（目标等级）",""))</f>
        <v/>
      </c>
      <c r="P95">
        <f>IF('职业'!$C85="","",'职业'!$C85)</f>
        <v/>
      </c>
      <c r="Q95">
        <f>N('职业'!$D85)</f>
        <v/>
      </c>
      <c r="R95">
        <f>'职业'!$E85&amp;""</f>
        <v/>
      </c>
      <c r="S95">
        <f>IF($P95="",0,MAX(0,D$7+N('职业'!F85)))</f>
        <v/>
      </c>
      <c r="T95">
        <f>IF($P95="",0,MAX(0,E$7+N('职业'!G85)))</f>
        <v/>
      </c>
      <c r="U95">
        <f>IF($P95="",0,MAX(0,F$7+N('职业'!H85)))</f>
        <v/>
      </c>
      <c r="V95">
        <f>IF($P95="",0,MAX(0,G$7+N('职业'!I85)))</f>
        <v/>
      </c>
      <c r="W95">
        <f>IF($P95="",0,MAX(0,H$7+N('职业'!J85)))</f>
        <v/>
      </c>
      <c r="X95">
        <f>IF($P95="",0,MAX(0,I$7+N('职业'!K85)))</f>
        <v/>
      </c>
      <c r="Y95">
        <f>IF($P95="",0,MAX(0,J$7+N('职业'!L85)))</f>
        <v/>
      </c>
      <c r="Z95">
        <f>IF($P95="",0,MAX(0,K$7+N('职业'!M85)))</f>
        <v/>
      </c>
      <c r="AA95">
        <f>IF($P95="",0,MAX(0,L$7+N('职业'!N85)))</f>
        <v/>
      </c>
      <c r="AB95">
        <f>AND($P95&lt;&gt;"",IF($U$5=1,$P95=$C$10,OR($P95=$C$9,AND($R95="是",$Q95&lt;=MAX($B$9,$Q$6)))))</f>
        <v/>
      </c>
      <c r="AC95">
        <f>AND($P95&lt;&gt;"",IF($U$5=2,$P95=$C$10,OR($P95=$C$9,AND($R95="是",$Q95&lt;=MAX($B$9,$Q$7)))))</f>
        <v/>
      </c>
      <c r="AD95">
        <f>AND($P95&lt;&gt;"",IF($U$5=3,$P95=$C$10,OR($P95=$C$9,AND($R95="是",$Q95&lt;=MAX($B$9,$Q$8)))))</f>
        <v/>
      </c>
      <c r="AE95">
        <f>IF(AB95,COUNTIF(AB$13:AB95,TRUE),"")</f>
        <v/>
      </c>
      <c r="AF95">
        <f>IF(AC95,COUNTIF(AC$13:AC95,TRUE),"")</f>
        <v/>
      </c>
      <c r="AG95">
        <f>IF(AD95,COUNTIF(AD$13:AD95,TRUE),"")</f>
        <v/>
      </c>
      <c r="AI95">
        <f>IFERROR(INDEX($P$13:$P$162,MATCH(83,$AE$13:$AE$162,0)),"")</f>
        <v/>
      </c>
      <c r="AJ95">
        <f>IFERROR(INDEX(S$13:S$162,MATCH(83,$AE$13:$AE$162,0)),0)*$T$6</f>
        <v/>
      </c>
      <c r="AK95">
        <f>IFERROR(INDEX(T$13:T$162,MATCH(83,$AE$13:$AE$162,0)),0)*$T$6</f>
        <v/>
      </c>
      <c r="AL95">
        <f>IFERROR(INDEX(U$13:U$162,MATCH(83,$AE$13:$AE$162,0)),0)*$T$6</f>
        <v/>
      </c>
      <c r="AM95">
        <f>IFERROR(INDEX(V$13:V$162,MATCH(83,$AE$13:$AE$162,0)),0)*$T$6</f>
        <v/>
      </c>
      <c r="AN95">
        <f>IFERROR(INDEX(W$13:W$162,MATCH(83,$AE$13:$AE$162,0)),0)*$T$6</f>
        <v/>
      </c>
      <c r="AO95">
        <f>IFERROR(INDEX(X$13:X$162,MATCH(83,$AE$13:$AE$162,0)),0)*$T$6</f>
        <v/>
      </c>
      <c r="AP95">
        <f>IFERROR(INDEX(Y$13:Y$162,MATCH(83,$AE$13:$AE$162,0)),0)*$T$6</f>
        <v/>
      </c>
      <c r="AQ95">
        <f>IFERROR(INDEX(Z$13:Z$162,MATCH(83,$AE$13:$AE$162,0)),0)*$T$6</f>
        <v/>
      </c>
      <c r="AR95">
        <f>IFERROR(INDEX(AA$13:AA$162,MATCH(83,$AE$13:$AE$162,0)),0)*$T$6</f>
        <v/>
      </c>
      <c r="AS95">
        <f>IFERROR(INDEX($P$13:$P$162,MATCH(83,$AF$13:$AF$162,0)),"")</f>
        <v/>
      </c>
      <c r="AT95">
        <f>IFERROR(INDEX(S$13:S$162,MATCH(83,$AF$13:$AF$162,0)),0)*$T$7</f>
        <v/>
      </c>
      <c r="AU95">
        <f>IFERROR(INDEX(T$13:T$162,MATCH(83,$AF$13:$AF$162,0)),0)*$T$7</f>
        <v/>
      </c>
      <c r="AV95">
        <f>IFERROR(INDEX(U$13:U$162,MATCH(83,$AF$13:$AF$162,0)),0)*$T$7</f>
        <v/>
      </c>
      <c r="AW95">
        <f>IFERROR(INDEX(V$13:V$162,MATCH(83,$AF$13:$AF$162,0)),0)*$T$7</f>
        <v/>
      </c>
      <c r="AX95">
        <f>IFERROR(INDEX(W$13:W$162,MATCH(83,$AF$13:$AF$162,0)),0)*$T$7</f>
        <v/>
      </c>
      <c r="AY95">
        <f>IFERROR(INDEX(X$13:X$162,MATCH(83,$AF$13:$AF$162,0)),0)*$T$7</f>
        <v/>
      </c>
      <c r="AZ95">
        <f>IFERROR(INDEX(Y$13:Y$162,MATCH(83,$AF$13:$AF$162,0)),0)*$T$7</f>
        <v/>
      </c>
      <c r="BA95">
        <f>IFERROR(INDEX(Z$13:Z$162,MATCH(83,$AF$13:$AF$162,0)),0)*$T$7</f>
        <v/>
      </c>
      <c r="BB95">
        <f>IFERROR(INDEX(AA$13:AA$162,MATCH(83,$AF$13:$AF$162,0)),0)*$T$7</f>
        <v/>
      </c>
      <c r="BC95">
        <f>IFERROR(INDEX($P$13:$P$162,MATCH(83,$AG$13:$AG$162,0)),"")</f>
        <v/>
      </c>
      <c r="BD95">
        <f>IFERROR(INDEX(S$13:S$162,MATCH(83,$AG$13:$AG$162,0)),0)*($T$8+IF($C$10="",$T$9,0))</f>
        <v/>
      </c>
      <c r="BE95">
        <f>IFERROR(INDEX(T$13:T$162,MATCH(83,$AG$13:$AG$162,0)),0)*($T$8+IF($C$10="",$T$9,0))</f>
        <v/>
      </c>
      <c r="BF95">
        <f>IFERROR(INDEX(U$13:U$162,MATCH(83,$AG$13:$AG$162,0)),0)*($T$8+IF($C$10="",$T$9,0))</f>
        <v/>
      </c>
      <c r="BG95">
        <f>IFERROR(INDEX(V$13:V$162,MATCH(83,$AG$13:$AG$162,0)),0)*($T$8+IF($C$10="",$T$9,0))</f>
        <v/>
      </c>
      <c r="BH95">
        <f>IFERROR(INDEX(W$13:W$162,MATCH(83,$AG$13:$AG$162,0)),0)*($T$8+IF($C$10="",$T$9,0))</f>
        <v/>
      </c>
      <c r="BI95">
        <f>IFERROR(INDEX(X$13:X$162,MATCH(83,$AG$13:$AG$162,0)),0)*($T$8+IF($C$10="",$T$9,0))</f>
        <v/>
      </c>
      <c r="BJ95">
        <f>IFERROR(INDEX(Y$13:Y$162,MATCH(83,$AG$13:$AG$162,0)),0)*($T$8+IF($C$10="",$T$9,0))</f>
        <v/>
      </c>
      <c r="BK95">
        <f>IFERROR(INDEX(Z$13:Z$162,MATCH(83,$AG$13:$AG$162,0)),0)*($T$8+IF($C$10="",$T$9,0))</f>
        <v/>
      </c>
      <c r="BL95">
        <f>IFERROR(INDEX(AA$13:AA$162,MATCH(83,$AG$13:$AG$162,0)),0)*($T$8+IF($C$10="",$T$9,0))</f>
        <v/>
      </c>
      <c r="BN95">
        <f>IF(82&lt;$U$9,INT(82/($U$7*$U$8))+1,1)</f>
        <v/>
      </c>
      <c r="BO95">
        <f>IF(82&lt;$U$9,MOD(INT(82/$U$8),$U$7)+1,1)</f>
        <v/>
      </c>
      <c r="BP95">
        <f>IF(82&lt;$U$9,MOD(82,$U$8)+1,1)</f>
        <v/>
      </c>
      <c r="BQ95">
        <f>IF(82&lt;$U$9,SUMPRODUCT(($D$10:$L$10&lt;&gt;"")*(($D$9:$L$9+INT(($S$12:$AA$12+INDEX($AJ$13:$AR$162,BN95,0)+INDEX($AT$13:$BB$162,BO95,0)+INDEX($BD$13:$BL$162,BP95,0))/100))&gt;=$D$10:$L$10)),0)</f>
        <v/>
      </c>
      <c r="BR95">
        <f>IF(82&lt;$U$9,SUMPRODUCT(($D$10:$L$10&lt;&gt;"")*(($D$10:$L$10-($D$9:$L$9+INT(($S$12:$AA$12+INDEX($AJ$13:$AR$162,BN95,0)+INDEX($AT$13:$BB$162,BO95,0)+INDEX($BD$13:$BL$162,BP95,0))/100)))&gt;0)*($D$10:$L$10-($D$9:$L$9+INT(($S$12:$AA$12+INDEX($AJ$13:$AR$162,BN95,0)+INDEX($AT$13:$BB$162,BO95,0)+INDEX($BD$13:$BL$162,BP95,0))/100)))),0)</f>
        <v/>
      </c>
      <c r="BS95">
        <f>IF(82&lt;$U$9,SUMPRODUCT(($D$9:$L$9+INT(($S$12:$AA$12+INDEX($AJ$13:$AR$162,BN95,0)+INDEX($AT$13:$BB$162,BO95,0)+INDEX($BD$13:$BL$162,BP95,0))/100))),0)</f>
        <v/>
      </c>
      <c r="BT95">
        <f>IF(AND(82&lt;$U$9,$W$5),BQ95*1000000-MIN(BR95,999)*1000+BS95-82/100000,-1000000000-82)</f>
        <v/>
      </c>
      <c r="CF95">
        <f>IF($A95="","",IFERROR(MATCH($C95,'职业'!$C$3:$C$152,0),0))</f>
        <v/>
      </c>
      <c r="CG95">
        <f>IF($A95="","",CG94+MAX(0,D$7+IF($CF94=0,0,IFERROR(INDEX('职业'!F$3:F$152,$CF94)+0,0))))</f>
        <v/>
      </c>
      <c r="CH95">
        <f>IF($A95="","",CH94+MAX(0,E$7+IF($CF94=0,0,IFERROR(INDEX('职业'!G$3:G$152,$CF94)+0,0))))</f>
        <v/>
      </c>
      <c r="CI95">
        <f>IF($A95="","",CI94+MAX(0,F$7+IF($CF94=0,0,IFERROR(INDEX('职业'!H$3:H$152,$CF94)+0,0))))</f>
        <v/>
      </c>
      <c r="CJ95">
        <f>IF($A95="","",CJ94+MAX(0,G$7+IF($CF94=0,0,IFERROR(INDEX('职业'!I$3:I$152,$CF94)+0,0))))</f>
        <v/>
      </c>
      <c r="CK95">
        <f>IF($A95="","",CK94+MAX(0,H$7+IF($CF94=0,0,IFERROR(INDEX('职业'!J$3:J$152,$CF94)+0,0))))</f>
        <v/>
      </c>
      <c r="CL95">
        <f>IF($A95="","",CL94+MAX(0,I$7+IF($CF94=0,0,IFERROR(INDEX('职业'!K$3:K$152,$CF94)+0,0))))</f>
        <v/>
      </c>
      <c r="CM95">
        <f>IF($A95="","",CM94+MAX(0,J$7+IF($CF94=0,0,IFERROR(INDEX('职业'!L$3:L$152,$CF94)+0,0))))</f>
        <v/>
      </c>
      <c r="CN95">
        <f>IF($A95="","",CN94+MAX(0,K$7+IF($CF94=0,0,IFERROR(INDEX('职业'!M$3:M$152,$CF94)+0,0))))</f>
        <v/>
      </c>
      <c r="CO95">
        <f>IF($A95="","",CO94+MAX(0,L$7+IF($CF94=0,0,IFERROR(INDEX('职业'!N$3:N$152,$CF94)+0,0))))</f>
        <v/>
      </c>
    </row>
    <row r="96">
      <c r="A96" s="15">
        <f>IF(OR($B$9="",$B$10=""),"",IF($B$9+44&lt;=$B$10,$B$9+44,""))</f>
        <v/>
      </c>
      <c r="B96" s="15">
        <f>IF($A96="","",MATCH($A96,$BV$27:$BV$32,1))</f>
        <v/>
      </c>
      <c r="C96" s="15">
        <f>IF($A96="","",INDEX($BW$27:$BW$32,$B96))</f>
        <v/>
      </c>
      <c r="D96" s="15">
        <f>IF($A96="","",D$9+INT(($B$14+CG96)/100))</f>
        <v/>
      </c>
      <c r="E96" s="15">
        <f>IF($A96="","",E$9+INT(($B$14+CH96)/100))</f>
        <v/>
      </c>
      <c r="F96" s="15">
        <f>IF($A96="","",F$9+INT(($B$14+CI96)/100))</f>
        <v/>
      </c>
      <c r="G96" s="15">
        <f>IF($A96="","",G$9+INT(($B$14+CJ96)/100))</f>
        <v/>
      </c>
      <c r="H96" s="15">
        <f>IF($A96="","",H$9+INT(($B$14+CK96)/100))</f>
        <v/>
      </c>
      <c r="I96" s="15">
        <f>IF($A96="","",I$9+INT(($B$14+CL96)/100))</f>
        <v/>
      </c>
      <c r="J96" s="15">
        <f>IF($A96="","",J$9+INT(($B$14+CM96)/100))</f>
        <v/>
      </c>
      <c r="K96" s="15">
        <f>IF($A96="","",K$9+INT(($B$14+CN96)/100))</f>
        <v/>
      </c>
      <c r="L96" s="15">
        <f>IF($A96="","",L$9+INT(($B$14+CO96)/100))</f>
        <v/>
      </c>
      <c r="M96" s="16">
        <f>IF($A96="","",IF($C96&lt;&gt;$C95,"★ 转职 → 【"&amp;$C96&amp;"】","")&amp;IF($A96=$B$10,"（目标等级）",""))</f>
        <v/>
      </c>
      <c r="P96">
        <f>IF('职业'!$C86="","",'职业'!$C86)</f>
        <v/>
      </c>
      <c r="Q96">
        <f>N('职业'!$D86)</f>
        <v/>
      </c>
      <c r="R96">
        <f>'职业'!$E86&amp;""</f>
        <v/>
      </c>
      <c r="S96">
        <f>IF($P96="",0,MAX(0,D$7+N('职业'!F86)))</f>
        <v/>
      </c>
      <c r="T96">
        <f>IF($P96="",0,MAX(0,E$7+N('职业'!G86)))</f>
        <v/>
      </c>
      <c r="U96">
        <f>IF($P96="",0,MAX(0,F$7+N('职业'!H86)))</f>
        <v/>
      </c>
      <c r="V96">
        <f>IF($P96="",0,MAX(0,G$7+N('职业'!I86)))</f>
        <v/>
      </c>
      <c r="W96">
        <f>IF($P96="",0,MAX(0,H$7+N('职业'!J86)))</f>
        <v/>
      </c>
      <c r="X96">
        <f>IF($P96="",0,MAX(0,I$7+N('职业'!K86)))</f>
        <v/>
      </c>
      <c r="Y96">
        <f>IF($P96="",0,MAX(0,J$7+N('职业'!L86)))</f>
        <v/>
      </c>
      <c r="Z96">
        <f>IF($P96="",0,MAX(0,K$7+N('职业'!M86)))</f>
        <v/>
      </c>
      <c r="AA96">
        <f>IF($P96="",0,MAX(0,L$7+N('职业'!N86)))</f>
        <v/>
      </c>
      <c r="AB96">
        <f>AND($P96&lt;&gt;"",IF($U$5=1,$P96=$C$10,OR($P96=$C$9,AND($R96="是",$Q96&lt;=MAX($B$9,$Q$6)))))</f>
        <v/>
      </c>
      <c r="AC96">
        <f>AND($P96&lt;&gt;"",IF($U$5=2,$P96=$C$10,OR($P96=$C$9,AND($R96="是",$Q96&lt;=MAX($B$9,$Q$7)))))</f>
        <v/>
      </c>
      <c r="AD96">
        <f>AND($P96&lt;&gt;"",IF($U$5=3,$P96=$C$10,OR($P96=$C$9,AND($R96="是",$Q96&lt;=MAX($B$9,$Q$8)))))</f>
        <v/>
      </c>
      <c r="AE96">
        <f>IF(AB96,COUNTIF(AB$13:AB96,TRUE),"")</f>
        <v/>
      </c>
      <c r="AF96">
        <f>IF(AC96,COUNTIF(AC$13:AC96,TRUE),"")</f>
        <v/>
      </c>
      <c r="AG96">
        <f>IF(AD96,COUNTIF(AD$13:AD96,TRUE),"")</f>
        <v/>
      </c>
      <c r="AI96">
        <f>IFERROR(INDEX($P$13:$P$162,MATCH(84,$AE$13:$AE$162,0)),"")</f>
        <v/>
      </c>
      <c r="AJ96">
        <f>IFERROR(INDEX(S$13:S$162,MATCH(84,$AE$13:$AE$162,0)),0)*$T$6</f>
        <v/>
      </c>
      <c r="AK96">
        <f>IFERROR(INDEX(T$13:T$162,MATCH(84,$AE$13:$AE$162,0)),0)*$T$6</f>
        <v/>
      </c>
      <c r="AL96">
        <f>IFERROR(INDEX(U$13:U$162,MATCH(84,$AE$13:$AE$162,0)),0)*$T$6</f>
        <v/>
      </c>
      <c r="AM96">
        <f>IFERROR(INDEX(V$13:V$162,MATCH(84,$AE$13:$AE$162,0)),0)*$T$6</f>
        <v/>
      </c>
      <c r="AN96">
        <f>IFERROR(INDEX(W$13:W$162,MATCH(84,$AE$13:$AE$162,0)),0)*$T$6</f>
        <v/>
      </c>
      <c r="AO96">
        <f>IFERROR(INDEX(X$13:X$162,MATCH(84,$AE$13:$AE$162,0)),0)*$T$6</f>
        <v/>
      </c>
      <c r="AP96">
        <f>IFERROR(INDEX(Y$13:Y$162,MATCH(84,$AE$13:$AE$162,0)),0)*$T$6</f>
        <v/>
      </c>
      <c r="AQ96">
        <f>IFERROR(INDEX(Z$13:Z$162,MATCH(84,$AE$13:$AE$162,0)),0)*$T$6</f>
        <v/>
      </c>
      <c r="AR96">
        <f>IFERROR(INDEX(AA$13:AA$162,MATCH(84,$AE$13:$AE$162,0)),0)*$T$6</f>
        <v/>
      </c>
      <c r="AS96">
        <f>IFERROR(INDEX($P$13:$P$162,MATCH(84,$AF$13:$AF$162,0)),"")</f>
        <v/>
      </c>
      <c r="AT96">
        <f>IFERROR(INDEX(S$13:S$162,MATCH(84,$AF$13:$AF$162,0)),0)*$T$7</f>
        <v/>
      </c>
      <c r="AU96">
        <f>IFERROR(INDEX(T$13:T$162,MATCH(84,$AF$13:$AF$162,0)),0)*$T$7</f>
        <v/>
      </c>
      <c r="AV96">
        <f>IFERROR(INDEX(U$13:U$162,MATCH(84,$AF$13:$AF$162,0)),0)*$T$7</f>
        <v/>
      </c>
      <c r="AW96">
        <f>IFERROR(INDEX(V$13:V$162,MATCH(84,$AF$13:$AF$162,0)),0)*$T$7</f>
        <v/>
      </c>
      <c r="AX96">
        <f>IFERROR(INDEX(W$13:W$162,MATCH(84,$AF$13:$AF$162,0)),0)*$T$7</f>
        <v/>
      </c>
      <c r="AY96">
        <f>IFERROR(INDEX(X$13:X$162,MATCH(84,$AF$13:$AF$162,0)),0)*$T$7</f>
        <v/>
      </c>
      <c r="AZ96">
        <f>IFERROR(INDEX(Y$13:Y$162,MATCH(84,$AF$13:$AF$162,0)),0)*$T$7</f>
        <v/>
      </c>
      <c r="BA96">
        <f>IFERROR(INDEX(Z$13:Z$162,MATCH(84,$AF$13:$AF$162,0)),0)*$T$7</f>
        <v/>
      </c>
      <c r="BB96">
        <f>IFERROR(INDEX(AA$13:AA$162,MATCH(84,$AF$13:$AF$162,0)),0)*$T$7</f>
        <v/>
      </c>
      <c r="BC96">
        <f>IFERROR(INDEX($P$13:$P$162,MATCH(84,$AG$13:$AG$162,0)),"")</f>
        <v/>
      </c>
      <c r="BD96">
        <f>IFERROR(INDEX(S$13:S$162,MATCH(84,$AG$13:$AG$162,0)),0)*($T$8+IF($C$10="",$T$9,0))</f>
        <v/>
      </c>
      <c r="BE96">
        <f>IFERROR(INDEX(T$13:T$162,MATCH(84,$AG$13:$AG$162,0)),0)*($T$8+IF($C$10="",$T$9,0))</f>
        <v/>
      </c>
      <c r="BF96">
        <f>IFERROR(INDEX(U$13:U$162,MATCH(84,$AG$13:$AG$162,0)),0)*($T$8+IF($C$10="",$T$9,0))</f>
        <v/>
      </c>
      <c r="BG96">
        <f>IFERROR(INDEX(V$13:V$162,MATCH(84,$AG$13:$AG$162,0)),0)*($T$8+IF($C$10="",$T$9,0))</f>
        <v/>
      </c>
      <c r="BH96">
        <f>IFERROR(INDEX(W$13:W$162,MATCH(84,$AG$13:$AG$162,0)),0)*($T$8+IF($C$10="",$T$9,0))</f>
        <v/>
      </c>
      <c r="BI96">
        <f>IFERROR(INDEX(X$13:X$162,MATCH(84,$AG$13:$AG$162,0)),0)*($T$8+IF($C$10="",$T$9,0))</f>
        <v/>
      </c>
      <c r="BJ96">
        <f>IFERROR(INDEX(Y$13:Y$162,MATCH(84,$AG$13:$AG$162,0)),0)*($T$8+IF($C$10="",$T$9,0))</f>
        <v/>
      </c>
      <c r="BK96">
        <f>IFERROR(INDEX(Z$13:Z$162,MATCH(84,$AG$13:$AG$162,0)),0)*($T$8+IF($C$10="",$T$9,0))</f>
        <v/>
      </c>
      <c r="BL96">
        <f>IFERROR(INDEX(AA$13:AA$162,MATCH(84,$AG$13:$AG$162,0)),0)*($T$8+IF($C$10="",$T$9,0))</f>
        <v/>
      </c>
      <c r="BN96">
        <f>IF(83&lt;$U$9,INT(83/($U$7*$U$8))+1,1)</f>
        <v/>
      </c>
      <c r="BO96">
        <f>IF(83&lt;$U$9,MOD(INT(83/$U$8),$U$7)+1,1)</f>
        <v/>
      </c>
      <c r="BP96">
        <f>IF(83&lt;$U$9,MOD(83,$U$8)+1,1)</f>
        <v/>
      </c>
      <c r="BQ96">
        <f>IF(83&lt;$U$9,SUMPRODUCT(($D$10:$L$10&lt;&gt;"")*(($D$9:$L$9+INT(($S$12:$AA$12+INDEX($AJ$13:$AR$162,BN96,0)+INDEX($AT$13:$BB$162,BO96,0)+INDEX($BD$13:$BL$162,BP96,0))/100))&gt;=$D$10:$L$10)),0)</f>
        <v/>
      </c>
      <c r="BR96">
        <f>IF(83&lt;$U$9,SUMPRODUCT(($D$10:$L$10&lt;&gt;"")*(($D$10:$L$10-($D$9:$L$9+INT(($S$12:$AA$12+INDEX($AJ$13:$AR$162,BN96,0)+INDEX($AT$13:$BB$162,BO96,0)+INDEX($BD$13:$BL$162,BP96,0))/100)))&gt;0)*($D$10:$L$10-($D$9:$L$9+INT(($S$12:$AA$12+INDEX($AJ$13:$AR$162,BN96,0)+INDEX($AT$13:$BB$162,BO96,0)+INDEX($BD$13:$BL$162,BP96,0))/100)))),0)</f>
        <v/>
      </c>
      <c r="BS96">
        <f>IF(83&lt;$U$9,SUMPRODUCT(($D$9:$L$9+INT(($S$12:$AA$12+INDEX($AJ$13:$AR$162,BN96,0)+INDEX($AT$13:$BB$162,BO96,0)+INDEX($BD$13:$BL$162,BP96,0))/100))),0)</f>
        <v/>
      </c>
      <c r="BT96">
        <f>IF(AND(83&lt;$U$9,$W$5),BQ96*1000000-MIN(BR96,999)*1000+BS96-83/100000,-1000000000-83)</f>
        <v/>
      </c>
      <c r="CF96">
        <f>IF($A96="","",IFERROR(MATCH($C96,'职业'!$C$3:$C$152,0),0))</f>
        <v/>
      </c>
      <c r="CG96">
        <f>IF($A96="","",CG95+MAX(0,D$7+IF($CF95=0,0,IFERROR(INDEX('职业'!F$3:F$152,$CF95)+0,0))))</f>
        <v/>
      </c>
      <c r="CH96">
        <f>IF($A96="","",CH95+MAX(0,E$7+IF($CF95=0,0,IFERROR(INDEX('职业'!G$3:G$152,$CF95)+0,0))))</f>
        <v/>
      </c>
      <c r="CI96">
        <f>IF($A96="","",CI95+MAX(0,F$7+IF($CF95=0,0,IFERROR(INDEX('职业'!H$3:H$152,$CF95)+0,0))))</f>
        <v/>
      </c>
      <c r="CJ96">
        <f>IF($A96="","",CJ95+MAX(0,G$7+IF($CF95=0,0,IFERROR(INDEX('职业'!I$3:I$152,$CF95)+0,0))))</f>
        <v/>
      </c>
      <c r="CK96">
        <f>IF($A96="","",CK95+MAX(0,H$7+IF($CF95=0,0,IFERROR(INDEX('职业'!J$3:J$152,$CF95)+0,0))))</f>
        <v/>
      </c>
      <c r="CL96">
        <f>IF($A96="","",CL95+MAX(0,I$7+IF($CF95=0,0,IFERROR(INDEX('职业'!K$3:K$152,$CF95)+0,0))))</f>
        <v/>
      </c>
      <c r="CM96">
        <f>IF($A96="","",CM95+MAX(0,J$7+IF($CF95=0,0,IFERROR(INDEX('职业'!L$3:L$152,$CF95)+0,0))))</f>
        <v/>
      </c>
      <c r="CN96">
        <f>IF($A96="","",CN95+MAX(0,K$7+IF($CF95=0,0,IFERROR(INDEX('职业'!M$3:M$152,$CF95)+0,0))))</f>
        <v/>
      </c>
      <c r="CO96">
        <f>IF($A96="","",CO95+MAX(0,L$7+IF($CF95=0,0,IFERROR(INDEX('职业'!N$3:N$152,$CF95)+0,0))))</f>
        <v/>
      </c>
    </row>
    <row r="97">
      <c r="A97" s="15">
        <f>IF(OR($B$9="",$B$10=""),"",IF($B$9+45&lt;=$B$10,$B$9+45,""))</f>
        <v/>
      </c>
      <c r="B97" s="15">
        <f>IF($A97="","",MATCH($A97,$BV$27:$BV$32,1))</f>
        <v/>
      </c>
      <c r="C97" s="15">
        <f>IF($A97="","",INDEX($BW$27:$BW$32,$B97))</f>
        <v/>
      </c>
      <c r="D97" s="15">
        <f>IF($A97="","",D$9+INT(($B$14+CG97)/100))</f>
        <v/>
      </c>
      <c r="E97" s="15">
        <f>IF($A97="","",E$9+INT(($B$14+CH97)/100))</f>
        <v/>
      </c>
      <c r="F97" s="15">
        <f>IF($A97="","",F$9+INT(($B$14+CI97)/100))</f>
        <v/>
      </c>
      <c r="G97" s="15">
        <f>IF($A97="","",G$9+INT(($B$14+CJ97)/100))</f>
        <v/>
      </c>
      <c r="H97" s="15">
        <f>IF($A97="","",H$9+INT(($B$14+CK97)/100))</f>
        <v/>
      </c>
      <c r="I97" s="15">
        <f>IF($A97="","",I$9+INT(($B$14+CL97)/100))</f>
        <v/>
      </c>
      <c r="J97" s="15">
        <f>IF($A97="","",J$9+INT(($B$14+CM97)/100))</f>
        <v/>
      </c>
      <c r="K97" s="15">
        <f>IF($A97="","",K$9+INT(($B$14+CN97)/100))</f>
        <v/>
      </c>
      <c r="L97" s="15">
        <f>IF($A97="","",L$9+INT(($B$14+CO97)/100))</f>
        <v/>
      </c>
      <c r="M97" s="16">
        <f>IF($A97="","",IF($C97&lt;&gt;$C96,"★ 转职 → 【"&amp;$C97&amp;"】","")&amp;IF($A97=$B$10,"（目标等级）",""))</f>
        <v/>
      </c>
      <c r="P97">
        <f>IF('职业'!$C87="","",'职业'!$C87)</f>
        <v/>
      </c>
      <c r="Q97">
        <f>N('职业'!$D87)</f>
        <v/>
      </c>
      <c r="R97">
        <f>'职业'!$E87&amp;""</f>
        <v/>
      </c>
      <c r="S97">
        <f>IF($P97="",0,MAX(0,D$7+N('职业'!F87)))</f>
        <v/>
      </c>
      <c r="T97">
        <f>IF($P97="",0,MAX(0,E$7+N('职业'!G87)))</f>
        <v/>
      </c>
      <c r="U97">
        <f>IF($P97="",0,MAX(0,F$7+N('职业'!H87)))</f>
        <v/>
      </c>
      <c r="V97">
        <f>IF($P97="",0,MAX(0,G$7+N('职业'!I87)))</f>
        <v/>
      </c>
      <c r="W97">
        <f>IF($P97="",0,MAX(0,H$7+N('职业'!J87)))</f>
        <v/>
      </c>
      <c r="X97">
        <f>IF($P97="",0,MAX(0,I$7+N('职业'!K87)))</f>
        <v/>
      </c>
      <c r="Y97">
        <f>IF($P97="",0,MAX(0,J$7+N('职业'!L87)))</f>
        <v/>
      </c>
      <c r="Z97">
        <f>IF($P97="",0,MAX(0,K$7+N('职业'!M87)))</f>
        <v/>
      </c>
      <c r="AA97">
        <f>IF($P97="",0,MAX(0,L$7+N('职业'!N87)))</f>
        <v/>
      </c>
      <c r="AB97">
        <f>AND($P97&lt;&gt;"",IF($U$5=1,$P97=$C$10,OR($P97=$C$9,AND($R97="是",$Q97&lt;=MAX($B$9,$Q$6)))))</f>
        <v/>
      </c>
      <c r="AC97">
        <f>AND($P97&lt;&gt;"",IF($U$5=2,$P97=$C$10,OR($P97=$C$9,AND($R97="是",$Q97&lt;=MAX($B$9,$Q$7)))))</f>
        <v/>
      </c>
      <c r="AD97">
        <f>AND($P97&lt;&gt;"",IF($U$5=3,$P97=$C$10,OR($P97=$C$9,AND($R97="是",$Q97&lt;=MAX($B$9,$Q$8)))))</f>
        <v/>
      </c>
      <c r="AE97">
        <f>IF(AB97,COUNTIF(AB$13:AB97,TRUE),"")</f>
        <v/>
      </c>
      <c r="AF97">
        <f>IF(AC97,COUNTIF(AC$13:AC97,TRUE),"")</f>
        <v/>
      </c>
      <c r="AG97">
        <f>IF(AD97,COUNTIF(AD$13:AD97,TRUE),"")</f>
        <v/>
      </c>
      <c r="AI97">
        <f>IFERROR(INDEX($P$13:$P$162,MATCH(85,$AE$13:$AE$162,0)),"")</f>
        <v/>
      </c>
      <c r="AJ97">
        <f>IFERROR(INDEX(S$13:S$162,MATCH(85,$AE$13:$AE$162,0)),0)*$T$6</f>
        <v/>
      </c>
      <c r="AK97">
        <f>IFERROR(INDEX(T$13:T$162,MATCH(85,$AE$13:$AE$162,0)),0)*$T$6</f>
        <v/>
      </c>
      <c r="AL97">
        <f>IFERROR(INDEX(U$13:U$162,MATCH(85,$AE$13:$AE$162,0)),0)*$T$6</f>
        <v/>
      </c>
      <c r="AM97">
        <f>IFERROR(INDEX(V$13:V$162,MATCH(85,$AE$13:$AE$162,0)),0)*$T$6</f>
        <v/>
      </c>
      <c r="AN97">
        <f>IFERROR(INDEX(W$13:W$162,MATCH(85,$AE$13:$AE$162,0)),0)*$T$6</f>
        <v/>
      </c>
      <c r="AO97">
        <f>IFERROR(INDEX(X$13:X$162,MATCH(85,$AE$13:$AE$162,0)),0)*$T$6</f>
        <v/>
      </c>
      <c r="AP97">
        <f>IFERROR(INDEX(Y$13:Y$162,MATCH(85,$AE$13:$AE$162,0)),0)*$T$6</f>
        <v/>
      </c>
      <c r="AQ97">
        <f>IFERROR(INDEX(Z$13:Z$162,MATCH(85,$AE$13:$AE$162,0)),0)*$T$6</f>
        <v/>
      </c>
      <c r="AR97">
        <f>IFERROR(INDEX(AA$13:AA$162,MATCH(85,$AE$13:$AE$162,0)),0)*$T$6</f>
        <v/>
      </c>
      <c r="AS97">
        <f>IFERROR(INDEX($P$13:$P$162,MATCH(85,$AF$13:$AF$162,0)),"")</f>
        <v/>
      </c>
      <c r="AT97">
        <f>IFERROR(INDEX(S$13:S$162,MATCH(85,$AF$13:$AF$162,0)),0)*$T$7</f>
        <v/>
      </c>
      <c r="AU97">
        <f>IFERROR(INDEX(T$13:T$162,MATCH(85,$AF$13:$AF$162,0)),0)*$T$7</f>
        <v/>
      </c>
      <c r="AV97">
        <f>IFERROR(INDEX(U$13:U$162,MATCH(85,$AF$13:$AF$162,0)),0)*$T$7</f>
        <v/>
      </c>
      <c r="AW97">
        <f>IFERROR(INDEX(V$13:V$162,MATCH(85,$AF$13:$AF$162,0)),0)*$T$7</f>
        <v/>
      </c>
      <c r="AX97">
        <f>IFERROR(INDEX(W$13:W$162,MATCH(85,$AF$13:$AF$162,0)),0)*$T$7</f>
        <v/>
      </c>
      <c r="AY97">
        <f>IFERROR(INDEX(X$13:X$162,MATCH(85,$AF$13:$AF$162,0)),0)*$T$7</f>
        <v/>
      </c>
      <c r="AZ97">
        <f>IFERROR(INDEX(Y$13:Y$162,MATCH(85,$AF$13:$AF$162,0)),0)*$T$7</f>
        <v/>
      </c>
      <c r="BA97">
        <f>IFERROR(INDEX(Z$13:Z$162,MATCH(85,$AF$13:$AF$162,0)),0)*$T$7</f>
        <v/>
      </c>
      <c r="BB97">
        <f>IFERROR(INDEX(AA$13:AA$162,MATCH(85,$AF$13:$AF$162,0)),0)*$T$7</f>
        <v/>
      </c>
      <c r="BC97">
        <f>IFERROR(INDEX($P$13:$P$162,MATCH(85,$AG$13:$AG$162,0)),"")</f>
        <v/>
      </c>
      <c r="BD97">
        <f>IFERROR(INDEX(S$13:S$162,MATCH(85,$AG$13:$AG$162,0)),0)*($T$8+IF($C$10="",$T$9,0))</f>
        <v/>
      </c>
      <c r="BE97">
        <f>IFERROR(INDEX(T$13:T$162,MATCH(85,$AG$13:$AG$162,0)),0)*($T$8+IF($C$10="",$T$9,0))</f>
        <v/>
      </c>
      <c r="BF97">
        <f>IFERROR(INDEX(U$13:U$162,MATCH(85,$AG$13:$AG$162,0)),0)*($T$8+IF($C$10="",$T$9,0))</f>
        <v/>
      </c>
      <c r="BG97">
        <f>IFERROR(INDEX(V$13:V$162,MATCH(85,$AG$13:$AG$162,0)),0)*($T$8+IF($C$10="",$T$9,0))</f>
        <v/>
      </c>
      <c r="BH97">
        <f>IFERROR(INDEX(W$13:W$162,MATCH(85,$AG$13:$AG$162,0)),0)*($T$8+IF($C$10="",$T$9,0))</f>
        <v/>
      </c>
      <c r="BI97">
        <f>IFERROR(INDEX(X$13:X$162,MATCH(85,$AG$13:$AG$162,0)),0)*($T$8+IF($C$10="",$T$9,0))</f>
        <v/>
      </c>
      <c r="BJ97">
        <f>IFERROR(INDEX(Y$13:Y$162,MATCH(85,$AG$13:$AG$162,0)),0)*($T$8+IF($C$10="",$T$9,0))</f>
        <v/>
      </c>
      <c r="BK97">
        <f>IFERROR(INDEX(Z$13:Z$162,MATCH(85,$AG$13:$AG$162,0)),0)*($T$8+IF($C$10="",$T$9,0))</f>
        <v/>
      </c>
      <c r="BL97">
        <f>IFERROR(INDEX(AA$13:AA$162,MATCH(85,$AG$13:$AG$162,0)),0)*($T$8+IF($C$10="",$T$9,0))</f>
        <v/>
      </c>
      <c r="BN97">
        <f>IF(84&lt;$U$9,INT(84/($U$7*$U$8))+1,1)</f>
        <v/>
      </c>
      <c r="BO97">
        <f>IF(84&lt;$U$9,MOD(INT(84/$U$8),$U$7)+1,1)</f>
        <v/>
      </c>
      <c r="BP97">
        <f>IF(84&lt;$U$9,MOD(84,$U$8)+1,1)</f>
        <v/>
      </c>
      <c r="BQ97">
        <f>IF(84&lt;$U$9,SUMPRODUCT(($D$10:$L$10&lt;&gt;"")*(($D$9:$L$9+INT(($S$12:$AA$12+INDEX($AJ$13:$AR$162,BN97,0)+INDEX($AT$13:$BB$162,BO97,0)+INDEX($BD$13:$BL$162,BP97,0))/100))&gt;=$D$10:$L$10)),0)</f>
        <v/>
      </c>
      <c r="BR97">
        <f>IF(84&lt;$U$9,SUMPRODUCT(($D$10:$L$10&lt;&gt;"")*(($D$10:$L$10-($D$9:$L$9+INT(($S$12:$AA$12+INDEX($AJ$13:$AR$162,BN97,0)+INDEX($AT$13:$BB$162,BO97,0)+INDEX($BD$13:$BL$162,BP97,0))/100)))&gt;0)*($D$10:$L$10-($D$9:$L$9+INT(($S$12:$AA$12+INDEX($AJ$13:$AR$162,BN97,0)+INDEX($AT$13:$BB$162,BO97,0)+INDEX($BD$13:$BL$162,BP97,0))/100)))),0)</f>
        <v/>
      </c>
      <c r="BS97">
        <f>IF(84&lt;$U$9,SUMPRODUCT(($D$9:$L$9+INT(($S$12:$AA$12+INDEX($AJ$13:$AR$162,BN97,0)+INDEX($AT$13:$BB$162,BO97,0)+INDEX($BD$13:$BL$162,BP97,0))/100))),0)</f>
        <v/>
      </c>
      <c r="BT97">
        <f>IF(AND(84&lt;$U$9,$W$5),BQ97*1000000-MIN(BR97,999)*1000+BS97-84/100000,-1000000000-84)</f>
        <v/>
      </c>
      <c r="CF97">
        <f>IF($A97="","",IFERROR(MATCH($C97,'职业'!$C$3:$C$152,0),0))</f>
        <v/>
      </c>
      <c r="CG97">
        <f>IF($A97="","",CG96+MAX(0,D$7+IF($CF96=0,0,IFERROR(INDEX('职业'!F$3:F$152,$CF96)+0,0))))</f>
        <v/>
      </c>
      <c r="CH97">
        <f>IF($A97="","",CH96+MAX(0,E$7+IF($CF96=0,0,IFERROR(INDEX('职业'!G$3:G$152,$CF96)+0,0))))</f>
        <v/>
      </c>
      <c r="CI97">
        <f>IF($A97="","",CI96+MAX(0,F$7+IF($CF96=0,0,IFERROR(INDEX('职业'!H$3:H$152,$CF96)+0,0))))</f>
        <v/>
      </c>
      <c r="CJ97">
        <f>IF($A97="","",CJ96+MAX(0,G$7+IF($CF96=0,0,IFERROR(INDEX('职业'!I$3:I$152,$CF96)+0,0))))</f>
        <v/>
      </c>
      <c r="CK97">
        <f>IF($A97="","",CK96+MAX(0,H$7+IF($CF96=0,0,IFERROR(INDEX('职业'!J$3:J$152,$CF96)+0,0))))</f>
        <v/>
      </c>
      <c r="CL97">
        <f>IF($A97="","",CL96+MAX(0,I$7+IF($CF96=0,0,IFERROR(INDEX('职业'!K$3:K$152,$CF96)+0,0))))</f>
        <v/>
      </c>
      <c r="CM97">
        <f>IF($A97="","",CM96+MAX(0,J$7+IF($CF96=0,0,IFERROR(INDEX('职业'!L$3:L$152,$CF96)+0,0))))</f>
        <v/>
      </c>
      <c r="CN97">
        <f>IF($A97="","",CN96+MAX(0,K$7+IF($CF96=0,0,IFERROR(INDEX('职业'!M$3:M$152,$CF96)+0,0))))</f>
        <v/>
      </c>
      <c r="CO97">
        <f>IF($A97="","",CO96+MAX(0,L$7+IF($CF96=0,0,IFERROR(INDEX('职业'!N$3:N$152,$CF96)+0,0))))</f>
        <v/>
      </c>
    </row>
    <row r="98">
      <c r="A98" s="15">
        <f>IF(OR($B$9="",$B$10=""),"",IF($B$9+46&lt;=$B$10,$B$9+46,""))</f>
        <v/>
      </c>
      <c r="B98" s="15">
        <f>IF($A98="","",MATCH($A98,$BV$27:$BV$32,1))</f>
        <v/>
      </c>
      <c r="C98" s="15">
        <f>IF($A98="","",INDEX($BW$27:$BW$32,$B98))</f>
        <v/>
      </c>
      <c r="D98" s="15">
        <f>IF($A98="","",D$9+INT(($B$14+CG98)/100))</f>
        <v/>
      </c>
      <c r="E98" s="15">
        <f>IF($A98="","",E$9+INT(($B$14+CH98)/100))</f>
        <v/>
      </c>
      <c r="F98" s="15">
        <f>IF($A98="","",F$9+INT(($B$14+CI98)/100))</f>
        <v/>
      </c>
      <c r="G98" s="15">
        <f>IF($A98="","",G$9+INT(($B$14+CJ98)/100))</f>
        <v/>
      </c>
      <c r="H98" s="15">
        <f>IF($A98="","",H$9+INT(($B$14+CK98)/100))</f>
        <v/>
      </c>
      <c r="I98" s="15">
        <f>IF($A98="","",I$9+INT(($B$14+CL98)/100))</f>
        <v/>
      </c>
      <c r="J98" s="15">
        <f>IF($A98="","",J$9+INT(($B$14+CM98)/100))</f>
        <v/>
      </c>
      <c r="K98" s="15">
        <f>IF($A98="","",K$9+INT(($B$14+CN98)/100))</f>
        <v/>
      </c>
      <c r="L98" s="15">
        <f>IF($A98="","",L$9+INT(($B$14+CO98)/100))</f>
        <v/>
      </c>
      <c r="M98" s="16">
        <f>IF($A98="","",IF($C98&lt;&gt;$C97,"★ 转职 → 【"&amp;$C98&amp;"】","")&amp;IF($A98=$B$10,"（目标等级）",""))</f>
        <v/>
      </c>
      <c r="P98">
        <f>IF('职业'!$C88="","",'职业'!$C88)</f>
        <v/>
      </c>
      <c r="Q98">
        <f>N('职业'!$D88)</f>
        <v/>
      </c>
      <c r="R98">
        <f>'职业'!$E88&amp;""</f>
        <v/>
      </c>
      <c r="S98">
        <f>IF($P98="",0,MAX(0,D$7+N('职业'!F88)))</f>
        <v/>
      </c>
      <c r="T98">
        <f>IF($P98="",0,MAX(0,E$7+N('职业'!G88)))</f>
        <v/>
      </c>
      <c r="U98">
        <f>IF($P98="",0,MAX(0,F$7+N('职业'!H88)))</f>
        <v/>
      </c>
      <c r="V98">
        <f>IF($P98="",0,MAX(0,G$7+N('职业'!I88)))</f>
        <v/>
      </c>
      <c r="W98">
        <f>IF($P98="",0,MAX(0,H$7+N('职业'!J88)))</f>
        <v/>
      </c>
      <c r="X98">
        <f>IF($P98="",0,MAX(0,I$7+N('职业'!K88)))</f>
        <v/>
      </c>
      <c r="Y98">
        <f>IF($P98="",0,MAX(0,J$7+N('职业'!L88)))</f>
        <v/>
      </c>
      <c r="Z98">
        <f>IF($P98="",0,MAX(0,K$7+N('职业'!M88)))</f>
        <v/>
      </c>
      <c r="AA98">
        <f>IF($P98="",0,MAX(0,L$7+N('职业'!N88)))</f>
        <v/>
      </c>
      <c r="AB98">
        <f>AND($P98&lt;&gt;"",IF($U$5=1,$P98=$C$10,OR($P98=$C$9,AND($R98="是",$Q98&lt;=MAX($B$9,$Q$6)))))</f>
        <v/>
      </c>
      <c r="AC98">
        <f>AND($P98&lt;&gt;"",IF($U$5=2,$P98=$C$10,OR($P98=$C$9,AND($R98="是",$Q98&lt;=MAX($B$9,$Q$7)))))</f>
        <v/>
      </c>
      <c r="AD98">
        <f>AND($P98&lt;&gt;"",IF($U$5=3,$P98=$C$10,OR($P98=$C$9,AND($R98="是",$Q98&lt;=MAX($B$9,$Q$8)))))</f>
        <v/>
      </c>
      <c r="AE98">
        <f>IF(AB98,COUNTIF(AB$13:AB98,TRUE),"")</f>
        <v/>
      </c>
      <c r="AF98">
        <f>IF(AC98,COUNTIF(AC$13:AC98,TRUE),"")</f>
        <v/>
      </c>
      <c r="AG98">
        <f>IF(AD98,COUNTIF(AD$13:AD98,TRUE),"")</f>
        <v/>
      </c>
      <c r="AI98">
        <f>IFERROR(INDEX($P$13:$P$162,MATCH(86,$AE$13:$AE$162,0)),"")</f>
        <v/>
      </c>
      <c r="AJ98">
        <f>IFERROR(INDEX(S$13:S$162,MATCH(86,$AE$13:$AE$162,0)),0)*$T$6</f>
        <v/>
      </c>
      <c r="AK98">
        <f>IFERROR(INDEX(T$13:T$162,MATCH(86,$AE$13:$AE$162,0)),0)*$T$6</f>
        <v/>
      </c>
      <c r="AL98">
        <f>IFERROR(INDEX(U$13:U$162,MATCH(86,$AE$13:$AE$162,0)),0)*$T$6</f>
        <v/>
      </c>
      <c r="AM98">
        <f>IFERROR(INDEX(V$13:V$162,MATCH(86,$AE$13:$AE$162,0)),0)*$T$6</f>
        <v/>
      </c>
      <c r="AN98">
        <f>IFERROR(INDEX(W$13:W$162,MATCH(86,$AE$13:$AE$162,0)),0)*$T$6</f>
        <v/>
      </c>
      <c r="AO98">
        <f>IFERROR(INDEX(X$13:X$162,MATCH(86,$AE$13:$AE$162,0)),0)*$T$6</f>
        <v/>
      </c>
      <c r="AP98">
        <f>IFERROR(INDEX(Y$13:Y$162,MATCH(86,$AE$13:$AE$162,0)),0)*$T$6</f>
        <v/>
      </c>
      <c r="AQ98">
        <f>IFERROR(INDEX(Z$13:Z$162,MATCH(86,$AE$13:$AE$162,0)),0)*$T$6</f>
        <v/>
      </c>
      <c r="AR98">
        <f>IFERROR(INDEX(AA$13:AA$162,MATCH(86,$AE$13:$AE$162,0)),0)*$T$6</f>
        <v/>
      </c>
      <c r="AS98">
        <f>IFERROR(INDEX($P$13:$P$162,MATCH(86,$AF$13:$AF$162,0)),"")</f>
        <v/>
      </c>
      <c r="AT98">
        <f>IFERROR(INDEX(S$13:S$162,MATCH(86,$AF$13:$AF$162,0)),0)*$T$7</f>
        <v/>
      </c>
      <c r="AU98">
        <f>IFERROR(INDEX(T$13:T$162,MATCH(86,$AF$13:$AF$162,0)),0)*$T$7</f>
        <v/>
      </c>
      <c r="AV98">
        <f>IFERROR(INDEX(U$13:U$162,MATCH(86,$AF$13:$AF$162,0)),0)*$T$7</f>
        <v/>
      </c>
      <c r="AW98">
        <f>IFERROR(INDEX(V$13:V$162,MATCH(86,$AF$13:$AF$162,0)),0)*$T$7</f>
        <v/>
      </c>
      <c r="AX98">
        <f>IFERROR(INDEX(W$13:W$162,MATCH(86,$AF$13:$AF$162,0)),0)*$T$7</f>
        <v/>
      </c>
      <c r="AY98">
        <f>IFERROR(INDEX(X$13:X$162,MATCH(86,$AF$13:$AF$162,0)),0)*$T$7</f>
        <v/>
      </c>
      <c r="AZ98">
        <f>IFERROR(INDEX(Y$13:Y$162,MATCH(86,$AF$13:$AF$162,0)),0)*$T$7</f>
        <v/>
      </c>
      <c r="BA98">
        <f>IFERROR(INDEX(Z$13:Z$162,MATCH(86,$AF$13:$AF$162,0)),0)*$T$7</f>
        <v/>
      </c>
      <c r="BB98">
        <f>IFERROR(INDEX(AA$13:AA$162,MATCH(86,$AF$13:$AF$162,0)),0)*$T$7</f>
        <v/>
      </c>
      <c r="BC98">
        <f>IFERROR(INDEX($P$13:$P$162,MATCH(86,$AG$13:$AG$162,0)),"")</f>
        <v/>
      </c>
      <c r="BD98">
        <f>IFERROR(INDEX(S$13:S$162,MATCH(86,$AG$13:$AG$162,0)),0)*($T$8+IF($C$10="",$T$9,0))</f>
        <v/>
      </c>
      <c r="BE98">
        <f>IFERROR(INDEX(T$13:T$162,MATCH(86,$AG$13:$AG$162,0)),0)*($T$8+IF($C$10="",$T$9,0))</f>
        <v/>
      </c>
      <c r="BF98">
        <f>IFERROR(INDEX(U$13:U$162,MATCH(86,$AG$13:$AG$162,0)),0)*($T$8+IF($C$10="",$T$9,0))</f>
        <v/>
      </c>
      <c r="BG98">
        <f>IFERROR(INDEX(V$13:V$162,MATCH(86,$AG$13:$AG$162,0)),0)*($T$8+IF($C$10="",$T$9,0))</f>
        <v/>
      </c>
      <c r="BH98">
        <f>IFERROR(INDEX(W$13:W$162,MATCH(86,$AG$13:$AG$162,0)),0)*($T$8+IF($C$10="",$T$9,0))</f>
        <v/>
      </c>
      <c r="BI98">
        <f>IFERROR(INDEX(X$13:X$162,MATCH(86,$AG$13:$AG$162,0)),0)*($T$8+IF($C$10="",$T$9,0))</f>
        <v/>
      </c>
      <c r="BJ98">
        <f>IFERROR(INDEX(Y$13:Y$162,MATCH(86,$AG$13:$AG$162,0)),0)*($T$8+IF($C$10="",$T$9,0))</f>
        <v/>
      </c>
      <c r="BK98">
        <f>IFERROR(INDEX(Z$13:Z$162,MATCH(86,$AG$13:$AG$162,0)),0)*($T$8+IF($C$10="",$T$9,0))</f>
        <v/>
      </c>
      <c r="BL98">
        <f>IFERROR(INDEX(AA$13:AA$162,MATCH(86,$AG$13:$AG$162,0)),0)*($T$8+IF($C$10="",$T$9,0))</f>
        <v/>
      </c>
      <c r="BN98">
        <f>IF(85&lt;$U$9,INT(85/($U$7*$U$8))+1,1)</f>
        <v/>
      </c>
      <c r="BO98">
        <f>IF(85&lt;$U$9,MOD(INT(85/$U$8),$U$7)+1,1)</f>
        <v/>
      </c>
      <c r="BP98">
        <f>IF(85&lt;$U$9,MOD(85,$U$8)+1,1)</f>
        <v/>
      </c>
      <c r="BQ98">
        <f>IF(85&lt;$U$9,SUMPRODUCT(($D$10:$L$10&lt;&gt;"")*(($D$9:$L$9+INT(($S$12:$AA$12+INDEX($AJ$13:$AR$162,BN98,0)+INDEX($AT$13:$BB$162,BO98,0)+INDEX($BD$13:$BL$162,BP98,0))/100))&gt;=$D$10:$L$10)),0)</f>
        <v/>
      </c>
      <c r="BR98">
        <f>IF(85&lt;$U$9,SUMPRODUCT(($D$10:$L$10&lt;&gt;"")*(($D$10:$L$10-($D$9:$L$9+INT(($S$12:$AA$12+INDEX($AJ$13:$AR$162,BN98,0)+INDEX($AT$13:$BB$162,BO98,0)+INDEX($BD$13:$BL$162,BP98,0))/100)))&gt;0)*($D$10:$L$10-($D$9:$L$9+INT(($S$12:$AA$12+INDEX($AJ$13:$AR$162,BN98,0)+INDEX($AT$13:$BB$162,BO98,0)+INDEX($BD$13:$BL$162,BP98,0))/100)))),0)</f>
        <v/>
      </c>
      <c r="BS98">
        <f>IF(85&lt;$U$9,SUMPRODUCT(($D$9:$L$9+INT(($S$12:$AA$12+INDEX($AJ$13:$AR$162,BN98,0)+INDEX($AT$13:$BB$162,BO98,0)+INDEX($BD$13:$BL$162,BP98,0))/100))),0)</f>
        <v/>
      </c>
      <c r="BT98">
        <f>IF(AND(85&lt;$U$9,$W$5),BQ98*1000000-MIN(BR98,999)*1000+BS98-85/100000,-1000000000-85)</f>
        <v/>
      </c>
      <c r="CF98">
        <f>IF($A98="","",IFERROR(MATCH($C98,'职业'!$C$3:$C$152,0),0))</f>
        <v/>
      </c>
      <c r="CG98">
        <f>IF($A98="","",CG97+MAX(0,D$7+IF($CF97=0,0,IFERROR(INDEX('职业'!F$3:F$152,$CF97)+0,0))))</f>
        <v/>
      </c>
      <c r="CH98">
        <f>IF($A98="","",CH97+MAX(0,E$7+IF($CF97=0,0,IFERROR(INDEX('职业'!G$3:G$152,$CF97)+0,0))))</f>
        <v/>
      </c>
      <c r="CI98">
        <f>IF($A98="","",CI97+MAX(0,F$7+IF($CF97=0,0,IFERROR(INDEX('职业'!H$3:H$152,$CF97)+0,0))))</f>
        <v/>
      </c>
      <c r="CJ98">
        <f>IF($A98="","",CJ97+MAX(0,G$7+IF($CF97=0,0,IFERROR(INDEX('职业'!I$3:I$152,$CF97)+0,0))))</f>
        <v/>
      </c>
      <c r="CK98">
        <f>IF($A98="","",CK97+MAX(0,H$7+IF($CF97=0,0,IFERROR(INDEX('职业'!J$3:J$152,$CF97)+0,0))))</f>
        <v/>
      </c>
      <c r="CL98">
        <f>IF($A98="","",CL97+MAX(0,I$7+IF($CF97=0,0,IFERROR(INDEX('职业'!K$3:K$152,$CF97)+0,0))))</f>
        <v/>
      </c>
      <c r="CM98">
        <f>IF($A98="","",CM97+MAX(0,J$7+IF($CF97=0,0,IFERROR(INDEX('职业'!L$3:L$152,$CF97)+0,0))))</f>
        <v/>
      </c>
      <c r="CN98">
        <f>IF($A98="","",CN97+MAX(0,K$7+IF($CF97=0,0,IFERROR(INDEX('职业'!M$3:M$152,$CF97)+0,0))))</f>
        <v/>
      </c>
      <c r="CO98">
        <f>IF($A98="","",CO97+MAX(0,L$7+IF($CF97=0,0,IFERROR(INDEX('职业'!N$3:N$152,$CF97)+0,0))))</f>
        <v/>
      </c>
    </row>
    <row r="99">
      <c r="A99" s="15">
        <f>IF(OR($B$9="",$B$10=""),"",IF($B$9+47&lt;=$B$10,$B$9+47,""))</f>
        <v/>
      </c>
      <c r="B99" s="15">
        <f>IF($A99="","",MATCH($A99,$BV$27:$BV$32,1))</f>
        <v/>
      </c>
      <c r="C99" s="15">
        <f>IF($A99="","",INDEX($BW$27:$BW$32,$B99))</f>
        <v/>
      </c>
      <c r="D99" s="15">
        <f>IF($A99="","",D$9+INT(($B$14+CG99)/100))</f>
        <v/>
      </c>
      <c r="E99" s="15">
        <f>IF($A99="","",E$9+INT(($B$14+CH99)/100))</f>
        <v/>
      </c>
      <c r="F99" s="15">
        <f>IF($A99="","",F$9+INT(($B$14+CI99)/100))</f>
        <v/>
      </c>
      <c r="G99" s="15">
        <f>IF($A99="","",G$9+INT(($B$14+CJ99)/100))</f>
        <v/>
      </c>
      <c r="H99" s="15">
        <f>IF($A99="","",H$9+INT(($B$14+CK99)/100))</f>
        <v/>
      </c>
      <c r="I99" s="15">
        <f>IF($A99="","",I$9+INT(($B$14+CL99)/100))</f>
        <v/>
      </c>
      <c r="J99" s="15">
        <f>IF($A99="","",J$9+INT(($B$14+CM99)/100))</f>
        <v/>
      </c>
      <c r="K99" s="15">
        <f>IF($A99="","",K$9+INT(($B$14+CN99)/100))</f>
        <v/>
      </c>
      <c r="L99" s="15">
        <f>IF($A99="","",L$9+INT(($B$14+CO99)/100))</f>
        <v/>
      </c>
      <c r="M99" s="16">
        <f>IF($A99="","",IF($C99&lt;&gt;$C98,"★ 转职 → 【"&amp;$C99&amp;"】","")&amp;IF($A99=$B$10,"（目标等级）",""))</f>
        <v/>
      </c>
      <c r="P99">
        <f>IF('职业'!$C89="","",'职业'!$C89)</f>
        <v/>
      </c>
      <c r="Q99">
        <f>N('职业'!$D89)</f>
        <v/>
      </c>
      <c r="R99">
        <f>'职业'!$E89&amp;""</f>
        <v/>
      </c>
      <c r="S99">
        <f>IF($P99="",0,MAX(0,D$7+N('职业'!F89)))</f>
        <v/>
      </c>
      <c r="T99">
        <f>IF($P99="",0,MAX(0,E$7+N('职业'!G89)))</f>
        <v/>
      </c>
      <c r="U99">
        <f>IF($P99="",0,MAX(0,F$7+N('职业'!H89)))</f>
        <v/>
      </c>
      <c r="V99">
        <f>IF($P99="",0,MAX(0,G$7+N('职业'!I89)))</f>
        <v/>
      </c>
      <c r="W99">
        <f>IF($P99="",0,MAX(0,H$7+N('职业'!J89)))</f>
        <v/>
      </c>
      <c r="X99">
        <f>IF($P99="",0,MAX(0,I$7+N('职业'!K89)))</f>
        <v/>
      </c>
      <c r="Y99">
        <f>IF($P99="",0,MAX(0,J$7+N('职业'!L89)))</f>
        <v/>
      </c>
      <c r="Z99">
        <f>IF($P99="",0,MAX(0,K$7+N('职业'!M89)))</f>
        <v/>
      </c>
      <c r="AA99">
        <f>IF($P99="",0,MAX(0,L$7+N('职业'!N89)))</f>
        <v/>
      </c>
      <c r="AB99">
        <f>AND($P99&lt;&gt;"",IF($U$5=1,$P99=$C$10,OR($P99=$C$9,AND($R99="是",$Q99&lt;=MAX($B$9,$Q$6)))))</f>
        <v/>
      </c>
      <c r="AC99">
        <f>AND($P99&lt;&gt;"",IF($U$5=2,$P99=$C$10,OR($P99=$C$9,AND($R99="是",$Q99&lt;=MAX($B$9,$Q$7)))))</f>
        <v/>
      </c>
      <c r="AD99">
        <f>AND($P99&lt;&gt;"",IF($U$5=3,$P99=$C$10,OR($P99=$C$9,AND($R99="是",$Q99&lt;=MAX($B$9,$Q$8)))))</f>
        <v/>
      </c>
      <c r="AE99">
        <f>IF(AB99,COUNTIF(AB$13:AB99,TRUE),"")</f>
        <v/>
      </c>
      <c r="AF99">
        <f>IF(AC99,COUNTIF(AC$13:AC99,TRUE),"")</f>
        <v/>
      </c>
      <c r="AG99">
        <f>IF(AD99,COUNTIF(AD$13:AD99,TRUE),"")</f>
        <v/>
      </c>
      <c r="AI99">
        <f>IFERROR(INDEX($P$13:$P$162,MATCH(87,$AE$13:$AE$162,0)),"")</f>
        <v/>
      </c>
      <c r="AJ99">
        <f>IFERROR(INDEX(S$13:S$162,MATCH(87,$AE$13:$AE$162,0)),0)*$T$6</f>
        <v/>
      </c>
      <c r="AK99">
        <f>IFERROR(INDEX(T$13:T$162,MATCH(87,$AE$13:$AE$162,0)),0)*$T$6</f>
        <v/>
      </c>
      <c r="AL99">
        <f>IFERROR(INDEX(U$13:U$162,MATCH(87,$AE$13:$AE$162,0)),0)*$T$6</f>
        <v/>
      </c>
      <c r="AM99">
        <f>IFERROR(INDEX(V$13:V$162,MATCH(87,$AE$13:$AE$162,0)),0)*$T$6</f>
        <v/>
      </c>
      <c r="AN99">
        <f>IFERROR(INDEX(W$13:W$162,MATCH(87,$AE$13:$AE$162,0)),0)*$T$6</f>
        <v/>
      </c>
      <c r="AO99">
        <f>IFERROR(INDEX(X$13:X$162,MATCH(87,$AE$13:$AE$162,0)),0)*$T$6</f>
        <v/>
      </c>
      <c r="AP99">
        <f>IFERROR(INDEX(Y$13:Y$162,MATCH(87,$AE$13:$AE$162,0)),0)*$T$6</f>
        <v/>
      </c>
      <c r="AQ99">
        <f>IFERROR(INDEX(Z$13:Z$162,MATCH(87,$AE$13:$AE$162,0)),0)*$T$6</f>
        <v/>
      </c>
      <c r="AR99">
        <f>IFERROR(INDEX(AA$13:AA$162,MATCH(87,$AE$13:$AE$162,0)),0)*$T$6</f>
        <v/>
      </c>
      <c r="AS99">
        <f>IFERROR(INDEX($P$13:$P$162,MATCH(87,$AF$13:$AF$162,0)),"")</f>
        <v/>
      </c>
      <c r="AT99">
        <f>IFERROR(INDEX(S$13:S$162,MATCH(87,$AF$13:$AF$162,0)),0)*$T$7</f>
        <v/>
      </c>
      <c r="AU99">
        <f>IFERROR(INDEX(T$13:T$162,MATCH(87,$AF$13:$AF$162,0)),0)*$T$7</f>
        <v/>
      </c>
      <c r="AV99">
        <f>IFERROR(INDEX(U$13:U$162,MATCH(87,$AF$13:$AF$162,0)),0)*$T$7</f>
        <v/>
      </c>
      <c r="AW99">
        <f>IFERROR(INDEX(V$13:V$162,MATCH(87,$AF$13:$AF$162,0)),0)*$T$7</f>
        <v/>
      </c>
      <c r="AX99">
        <f>IFERROR(INDEX(W$13:W$162,MATCH(87,$AF$13:$AF$162,0)),0)*$T$7</f>
        <v/>
      </c>
      <c r="AY99">
        <f>IFERROR(INDEX(X$13:X$162,MATCH(87,$AF$13:$AF$162,0)),0)*$T$7</f>
        <v/>
      </c>
      <c r="AZ99">
        <f>IFERROR(INDEX(Y$13:Y$162,MATCH(87,$AF$13:$AF$162,0)),0)*$T$7</f>
        <v/>
      </c>
      <c r="BA99">
        <f>IFERROR(INDEX(Z$13:Z$162,MATCH(87,$AF$13:$AF$162,0)),0)*$T$7</f>
        <v/>
      </c>
      <c r="BB99">
        <f>IFERROR(INDEX(AA$13:AA$162,MATCH(87,$AF$13:$AF$162,0)),0)*$T$7</f>
        <v/>
      </c>
      <c r="BC99">
        <f>IFERROR(INDEX($P$13:$P$162,MATCH(87,$AG$13:$AG$162,0)),"")</f>
        <v/>
      </c>
      <c r="BD99">
        <f>IFERROR(INDEX(S$13:S$162,MATCH(87,$AG$13:$AG$162,0)),0)*($T$8+IF($C$10="",$T$9,0))</f>
        <v/>
      </c>
      <c r="BE99">
        <f>IFERROR(INDEX(T$13:T$162,MATCH(87,$AG$13:$AG$162,0)),0)*($T$8+IF($C$10="",$T$9,0))</f>
        <v/>
      </c>
      <c r="BF99">
        <f>IFERROR(INDEX(U$13:U$162,MATCH(87,$AG$13:$AG$162,0)),0)*($T$8+IF($C$10="",$T$9,0))</f>
        <v/>
      </c>
      <c r="BG99">
        <f>IFERROR(INDEX(V$13:V$162,MATCH(87,$AG$13:$AG$162,0)),0)*($T$8+IF($C$10="",$T$9,0))</f>
        <v/>
      </c>
      <c r="BH99">
        <f>IFERROR(INDEX(W$13:W$162,MATCH(87,$AG$13:$AG$162,0)),0)*($T$8+IF($C$10="",$T$9,0))</f>
        <v/>
      </c>
      <c r="BI99">
        <f>IFERROR(INDEX(X$13:X$162,MATCH(87,$AG$13:$AG$162,0)),0)*($T$8+IF($C$10="",$T$9,0))</f>
        <v/>
      </c>
      <c r="BJ99">
        <f>IFERROR(INDEX(Y$13:Y$162,MATCH(87,$AG$13:$AG$162,0)),0)*($T$8+IF($C$10="",$T$9,0))</f>
        <v/>
      </c>
      <c r="BK99">
        <f>IFERROR(INDEX(Z$13:Z$162,MATCH(87,$AG$13:$AG$162,0)),0)*($T$8+IF($C$10="",$T$9,0))</f>
        <v/>
      </c>
      <c r="BL99">
        <f>IFERROR(INDEX(AA$13:AA$162,MATCH(87,$AG$13:$AG$162,0)),0)*($T$8+IF($C$10="",$T$9,0))</f>
        <v/>
      </c>
      <c r="BN99">
        <f>IF(86&lt;$U$9,INT(86/($U$7*$U$8))+1,1)</f>
        <v/>
      </c>
      <c r="BO99">
        <f>IF(86&lt;$U$9,MOD(INT(86/$U$8),$U$7)+1,1)</f>
        <v/>
      </c>
      <c r="BP99">
        <f>IF(86&lt;$U$9,MOD(86,$U$8)+1,1)</f>
        <v/>
      </c>
      <c r="BQ99">
        <f>IF(86&lt;$U$9,SUMPRODUCT(($D$10:$L$10&lt;&gt;"")*(($D$9:$L$9+INT(($S$12:$AA$12+INDEX($AJ$13:$AR$162,BN99,0)+INDEX($AT$13:$BB$162,BO99,0)+INDEX($BD$13:$BL$162,BP99,0))/100))&gt;=$D$10:$L$10)),0)</f>
        <v/>
      </c>
      <c r="BR99">
        <f>IF(86&lt;$U$9,SUMPRODUCT(($D$10:$L$10&lt;&gt;"")*(($D$10:$L$10-($D$9:$L$9+INT(($S$12:$AA$12+INDEX($AJ$13:$AR$162,BN99,0)+INDEX($AT$13:$BB$162,BO99,0)+INDEX($BD$13:$BL$162,BP99,0))/100)))&gt;0)*($D$10:$L$10-($D$9:$L$9+INT(($S$12:$AA$12+INDEX($AJ$13:$AR$162,BN99,0)+INDEX($AT$13:$BB$162,BO99,0)+INDEX($BD$13:$BL$162,BP99,0))/100)))),0)</f>
        <v/>
      </c>
      <c r="BS99">
        <f>IF(86&lt;$U$9,SUMPRODUCT(($D$9:$L$9+INT(($S$12:$AA$12+INDEX($AJ$13:$AR$162,BN99,0)+INDEX($AT$13:$BB$162,BO99,0)+INDEX($BD$13:$BL$162,BP99,0))/100))),0)</f>
        <v/>
      </c>
      <c r="BT99">
        <f>IF(AND(86&lt;$U$9,$W$5),BQ99*1000000-MIN(BR99,999)*1000+BS99-86/100000,-1000000000-86)</f>
        <v/>
      </c>
      <c r="CF99">
        <f>IF($A99="","",IFERROR(MATCH($C99,'职业'!$C$3:$C$152,0),0))</f>
        <v/>
      </c>
      <c r="CG99">
        <f>IF($A99="","",CG98+MAX(0,D$7+IF($CF98=0,0,IFERROR(INDEX('职业'!F$3:F$152,$CF98)+0,0))))</f>
        <v/>
      </c>
      <c r="CH99">
        <f>IF($A99="","",CH98+MAX(0,E$7+IF($CF98=0,0,IFERROR(INDEX('职业'!G$3:G$152,$CF98)+0,0))))</f>
        <v/>
      </c>
      <c r="CI99">
        <f>IF($A99="","",CI98+MAX(0,F$7+IF($CF98=0,0,IFERROR(INDEX('职业'!H$3:H$152,$CF98)+0,0))))</f>
        <v/>
      </c>
      <c r="CJ99">
        <f>IF($A99="","",CJ98+MAX(0,G$7+IF($CF98=0,0,IFERROR(INDEX('职业'!I$3:I$152,$CF98)+0,0))))</f>
        <v/>
      </c>
      <c r="CK99">
        <f>IF($A99="","",CK98+MAX(0,H$7+IF($CF98=0,0,IFERROR(INDEX('职业'!J$3:J$152,$CF98)+0,0))))</f>
        <v/>
      </c>
      <c r="CL99">
        <f>IF($A99="","",CL98+MAX(0,I$7+IF($CF98=0,0,IFERROR(INDEX('职业'!K$3:K$152,$CF98)+0,0))))</f>
        <v/>
      </c>
      <c r="CM99">
        <f>IF($A99="","",CM98+MAX(0,J$7+IF($CF98=0,0,IFERROR(INDEX('职业'!L$3:L$152,$CF98)+0,0))))</f>
        <v/>
      </c>
      <c r="CN99">
        <f>IF($A99="","",CN98+MAX(0,K$7+IF($CF98=0,0,IFERROR(INDEX('职业'!M$3:M$152,$CF98)+0,0))))</f>
        <v/>
      </c>
      <c r="CO99">
        <f>IF($A99="","",CO98+MAX(0,L$7+IF($CF98=0,0,IFERROR(INDEX('职业'!N$3:N$152,$CF98)+0,0))))</f>
        <v/>
      </c>
    </row>
    <row r="100">
      <c r="A100" s="15">
        <f>IF(OR($B$9="",$B$10=""),"",IF($B$9+48&lt;=$B$10,$B$9+48,""))</f>
        <v/>
      </c>
      <c r="B100" s="15">
        <f>IF($A100="","",MATCH($A100,$BV$27:$BV$32,1))</f>
        <v/>
      </c>
      <c r="C100" s="15">
        <f>IF($A100="","",INDEX($BW$27:$BW$32,$B100))</f>
        <v/>
      </c>
      <c r="D100" s="15">
        <f>IF($A100="","",D$9+INT(($B$14+CG100)/100))</f>
        <v/>
      </c>
      <c r="E100" s="15">
        <f>IF($A100="","",E$9+INT(($B$14+CH100)/100))</f>
        <v/>
      </c>
      <c r="F100" s="15">
        <f>IF($A100="","",F$9+INT(($B$14+CI100)/100))</f>
        <v/>
      </c>
      <c r="G100" s="15">
        <f>IF($A100="","",G$9+INT(($B$14+CJ100)/100))</f>
        <v/>
      </c>
      <c r="H100" s="15">
        <f>IF($A100="","",H$9+INT(($B$14+CK100)/100))</f>
        <v/>
      </c>
      <c r="I100" s="15">
        <f>IF($A100="","",I$9+INT(($B$14+CL100)/100))</f>
        <v/>
      </c>
      <c r="J100" s="15">
        <f>IF($A100="","",J$9+INT(($B$14+CM100)/100))</f>
        <v/>
      </c>
      <c r="K100" s="15">
        <f>IF($A100="","",K$9+INT(($B$14+CN100)/100))</f>
        <v/>
      </c>
      <c r="L100" s="15">
        <f>IF($A100="","",L$9+INT(($B$14+CO100)/100))</f>
        <v/>
      </c>
      <c r="M100" s="16">
        <f>IF($A100="","",IF($C100&lt;&gt;$C99,"★ 转职 → 【"&amp;$C100&amp;"】","")&amp;IF($A100=$B$10,"（目标等级）",""))</f>
        <v/>
      </c>
      <c r="P100">
        <f>IF('职业'!$C90="","",'职业'!$C90)</f>
        <v/>
      </c>
      <c r="Q100">
        <f>N('职业'!$D90)</f>
        <v/>
      </c>
      <c r="R100">
        <f>'职业'!$E90&amp;""</f>
        <v/>
      </c>
      <c r="S100">
        <f>IF($P100="",0,MAX(0,D$7+N('职业'!F90)))</f>
        <v/>
      </c>
      <c r="T100">
        <f>IF($P100="",0,MAX(0,E$7+N('职业'!G90)))</f>
        <v/>
      </c>
      <c r="U100">
        <f>IF($P100="",0,MAX(0,F$7+N('职业'!H90)))</f>
        <v/>
      </c>
      <c r="V100">
        <f>IF($P100="",0,MAX(0,G$7+N('职业'!I90)))</f>
        <v/>
      </c>
      <c r="W100">
        <f>IF($P100="",0,MAX(0,H$7+N('职业'!J90)))</f>
        <v/>
      </c>
      <c r="X100">
        <f>IF($P100="",0,MAX(0,I$7+N('职业'!K90)))</f>
        <v/>
      </c>
      <c r="Y100">
        <f>IF($P100="",0,MAX(0,J$7+N('职业'!L90)))</f>
        <v/>
      </c>
      <c r="Z100">
        <f>IF($P100="",0,MAX(0,K$7+N('职业'!M90)))</f>
        <v/>
      </c>
      <c r="AA100">
        <f>IF($P100="",0,MAX(0,L$7+N('职业'!N90)))</f>
        <v/>
      </c>
      <c r="AB100">
        <f>AND($P100&lt;&gt;"",IF($U$5=1,$P100=$C$10,OR($P100=$C$9,AND($R100="是",$Q100&lt;=MAX($B$9,$Q$6)))))</f>
        <v/>
      </c>
      <c r="AC100">
        <f>AND($P100&lt;&gt;"",IF($U$5=2,$P100=$C$10,OR($P100=$C$9,AND($R100="是",$Q100&lt;=MAX($B$9,$Q$7)))))</f>
        <v/>
      </c>
      <c r="AD100">
        <f>AND($P100&lt;&gt;"",IF($U$5=3,$P100=$C$10,OR($P100=$C$9,AND($R100="是",$Q100&lt;=MAX($B$9,$Q$8)))))</f>
        <v/>
      </c>
      <c r="AE100">
        <f>IF(AB100,COUNTIF(AB$13:AB100,TRUE),"")</f>
        <v/>
      </c>
      <c r="AF100">
        <f>IF(AC100,COUNTIF(AC$13:AC100,TRUE),"")</f>
        <v/>
      </c>
      <c r="AG100">
        <f>IF(AD100,COUNTIF(AD$13:AD100,TRUE),"")</f>
        <v/>
      </c>
      <c r="AI100">
        <f>IFERROR(INDEX($P$13:$P$162,MATCH(88,$AE$13:$AE$162,0)),"")</f>
        <v/>
      </c>
      <c r="AJ100">
        <f>IFERROR(INDEX(S$13:S$162,MATCH(88,$AE$13:$AE$162,0)),0)*$T$6</f>
        <v/>
      </c>
      <c r="AK100">
        <f>IFERROR(INDEX(T$13:T$162,MATCH(88,$AE$13:$AE$162,0)),0)*$T$6</f>
        <v/>
      </c>
      <c r="AL100">
        <f>IFERROR(INDEX(U$13:U$162,MATCH(88,$AE$13:$AE$162,0)),0)*$T$6</f>
        <v/>
      </c>
      <c r="AM100">
        <f>IFERROR(INDEX(V$13:V$162,MATCH(88,$AE$13:$AE$162,0)),0)*$T$6</f>
        <v/>
      </c>
      <c r="AN100">
        <f>IFERROR(INDEX(W$13:W$162,MATCH(88,$AE$13:$AE$162,0)),0)*$T$6</f>
        <v/>
      </c>
      <c r="AO100">
        <f>IFERROR(INDEX(X$13:X$162,MATCH(88,$AE$13:$AE$162,0)),0)*$T$6</f>
        <v/>
      </c>
      <c r="AP100">
        <f>IFERROR(INDEX(Y$13:Y$162,MATCH(88,$AE$13:$AE$162,0)),0)*$T$6</f>
        <v/>
      </c>
      <c r="AQ100">
        <f>IFERROR(INDEX(Z$13:Z$162,MATCH(88,$AE$13:$AE$162,0)),0)*$T$6</f>
        <v/>
      </c>
      <c r="AR100">
        <f>IFERROR(INDEX(AA$13:AA$162,MATCH(88,$AE$13:$AE$162,0)),0)*$T$6</f>
        <v/>
      </c>
      <c r="AS100">
        <f>IFERROR(INDEX($P$13:$P$162,MATCH(88,$AF$13:$AF$162,0)),"")</f>
        <v/>
      </c>
      <c r="AT100">
        <f>IFERROR(INDEX(S$13:S$162,MATCH(88,$AF$13:$AF$162,0)),0)*$T$7</f>
        <v/>
      </c>
      <c r="AU100">
        <f>IFERROR(INDEX(T$13:T$162,MATCH(88,$AF$13:$AF$162,0)),0)*$T$7</f>
        <v/>
      </c>
      <c r="AV100">
        <f>IFERROR(INDEX(U$13:U$162,MATCH(88,$AF$13:$AF$162,0)),0)*$T$7</f>
        <v/>
      </c>
      <c r="AW100">
        <f>IFERROR(INDEX(V$13:V$162,MATCH(88,$AF$13:$AF$162,0)),0)*$T$7</f>
        <v/>
      </c>
      <c r="AX100">
        <f>IFERROR(INDEX(W$13:W$162,MATCH(88,$AF$13:$AF$162,0)),0)*$T$7</f>
        <v/>
      </c>
      <c r="AY100">
        <f>IFERROR(INDEX(X$13:X$162,MATCH(88,$AF$13:$AF$162,0)),0)*$T$7</f>
        <v/>
      </c>
      <c r="AZ100">
        <f>IFERROR(INDEX(Y$13:Y$162,MATCH(88,$AF$13:$AF$162,0)),0)*$T$7</f>
        <v/>
      </c>
      <c r="BA100">
        <f>IFERROR(INDEX(Z$13:Z$162,MATCH(88,$AF$13:$AF$162,0)),0)*$T$7</f>
        <v/>
      </c>
      <c r="BB100">
        <f>IFERROR(INDEX(AA$13:AA$162,MATCH(88,$AF$13:$AF$162,0)),0)*$T$7</f>
        <v/>
      </c>
      <c r="BC100">
        <f>IFERROR(INDEX($P$13:$P$162,MATCH(88,$AG$13:$AG$162,0)),"")</f>
        <v/>
      </c>
      <c r="BD100">
        <f>IFERROR(INDEX(S$13:S$162,MATCH(88,$AG$13:$AG$162,0)),0)*($T$8+IF($C$10="",$T$9,0))</f>
        <v/>
      </c>
      <c r="BE100">
        <f>IFERROR(INDEX(T$13:T$162,MATCH(88,$AG$13:$AG$162,0)),0)*($T$8+IF($C$10="",$T$9,0))</f>
        <v/>
      </c>
      <c r="BF100">
        <f>IFERROR(INDEX(U$13:U$162,MATCH(88,$AG$13:$AG$162,0)),0)*($T$8+IF($C$10="",$T$9,0))</f>
        <v/>
      </c>
      <c r="BG100">
        <f>IFERROR(INDEX(V$13:V$162,MATCH(88,$AG$13:$AG$162,0)),0)*($T$8+IF($C$10="",$T$9,0))</f>
        <v/>
      </c>
      <c r="BH100">
        <f>IFERROR(INDEX(W$13:W$162,MATCH(88,$AG$13:$AG$162,0)),0)*($T$8+IF($C$10="",$T$9,0))</f>
        <v/>
      </c>
      <c r="BI100">
        <f>IFERROR(INDEX(X$13:X$162,MATCH(88,$AG$13:$AG$162,0)),0)*($T$8+IF($C$10="",$T$9,0))</f>
        <v/>
      </c>
      <c r="BJ100">
        <f>IFERROR(INDEX(Y$13:Y$162,MATCH(88,$AG$13:$AG$162,0)),0)*($T$8+IF($C$10="",$T$9,0))</f>
        <v/>
      </c>
      <c r="BK100">
        <f>IFERROR(INDEX(Z$13:Z$162,MATCH(88,$AG$13:$AG$162,0)),0)*($T$8+IF($C$10="",$T$9,0))</f>
        <v/>
      </c>
      <c r="BL100">
        <f>IFERROR(INDEX(AA$13:AA$162,MATCH(88,$AG$13:$AG$162,0)),0)*($T$8+IF($C$10="",$T$9,0))</f>
        <v/>
      </c>
      <c r="BN100">
        <f>IF(87&lt;$U$9,INT(87/($U$7*$U$8))+1,1)</f>
        <v/>
      </c>
      <c r="BO100">
        <f>IF(87&lt;$U$9,MOD(INT(87/$U$8),$U$7)+1,1)</f>
        <v/>
      </c>
      <c r="BP100">
        <f>IF(87&lt;$U$9,MOD(87,$U$8)+1,1)</f>
        <v/>
      </c>
      <c r="BQ100">
        <f>IF(87&lt;$U$9,SUMPRODUCT(($D$10:$L$10&lt;&gt;"")*(($D$9:$L$9+INT(($S$12:$AA$12+INDEX($AJ$13:$AR$162,BN100,0)+INDEX($AT$13:$BB$162,BO100,0)+INDEX($BD$13:$BL$162,BP100,0))/100))&gt;=$D$10:$L$10)),0)</f>
        <v/>
      </c>
      <c r="BR100">
        <f>IF(87&lt;$U$9,SUMPRODUCT(($D$10:$L$10&lt;&gt;"")*(($D$10:$L$10-($D$9:$L$9+INT(($S$12:$AA$12+INDEX($AJ$13:$AR$162,BN100,0)+INDEX($AT$13:$BB$162,BO100,0)+INDEX($BD$13:$BL$162,BP100,0))/100)))&gt;0)*($D$10:$L$10-($D$9:$L$9+INT(($S$12:$AA$12+INDEX($AJ$13:$AR$162,BN100,0)+INDEX($AT$13:$BB$162,BO100,0)+INDEX($BD$13:$BL$162,BP100,0))/100)))),0)</f>
        <v/>
      </c>
      <c r="BS100">
        <f>IF(87&lt;$U$9,SUMPRODUCT(($D$9:$L$9+INT(($S$12:$AA$12+INDEX($AJ$13:$AR$162,BN100,0)+INDEX($AT$13:$BB$162,BO100,0)+INDEX($BD$13:$BL$162,BP100,0))/100))),0)</f>
        <v/>
      </c>
      <c r="BT100">
        <f>IF(AND(87&lt;$U$9,$W$5),BQ100*1000000-MIN(BR100,999)*1000+BS100-87/100000,-1000000000-87)</f>
        <v/>
      </c>
      <c r="CF100">
        <f>IF($A100="","",IFERROR(MATCH($C100,'职业'!$C$3:$C$152,0),0))</f>
        <v/>
      </c>
      <c r="CG100">
        <f>IF($A100="","",CG99+MAX(0,D$7+IF($CF99=0,0,IFERROR(INDEX('职业'!F$3:F$152,$CF99)+0,0))))</f>
        <v/>
      </c>
      <c r="CH100">
        <f>IF($A100="","",CH99+MAX(0,E$7+IF($CF99=0,0,IFERROR(INDEX('职业'!G$3:G$152,$CF99)+0,0))))</f>
        <v/>
      </c>
      <c r="CI100">
        <f>IF($A100="","",CI99+MAX(0,F$7+IF($CF99=0,0,IFERROR(INDEX('职业'!H$3:H$152,$CF99)+0,0))))</f>
        <v/>
      </c>
      <c r="CJ100">
        <f>IF($A100="","",CJ99+MAX(0,G$7+IF($CF99=0,0,IFERROR(INDEX('职业'!I$3:I$152,$CF99)+0,0))))</f>
        <v/>
      </c>
      <c r="CK100">
        <f>IF($A100="","",CK99+MAX(0,H$7+IF($CF99=0,0,IFERROR(INDEX('职业'!J$3:J$152,$CF99)+0,0))))</f>
        <v/>
      </c>
      <c r="CL100">
        <f>IF($A100="","",CL99+MAX(0,I$7+IF($CF99=0,0,IFERROR(INDEX('职业'!K$3:K$152,$CF99)+0,0))))</f>
        <v/>
      </c>
      <c r="CM100">
        <f>IF($A100="","",CM99+MAX(0,J$7+IF($CF99=0,0,IFERROR(INDEX('职业'!L$3:L$152,$CF99)+0,0))))</f>
        <v/>
      </c>
      <c r="CN100">
        <f>IF($A100="","",CN99+MAX(0,K$7+IF($CF99=0,0,IFERROR(INDEX('职业'!M$3:M$152,$CF99)+0,0))))</f>
        <v/>
      </c>
      <c r="CO100">
        <f>IF($A100="","",CO99+MAX(0,L$7+IF($CF99=0,0,IFERROR(INDEX('职业'!N$3:N$152,$CF99)+0,0))))</f>
        <v/>
      </c>
    </row>
    <row r="101">
      <c r="A101" s="15">
        <f>IF(OR($B$9="",$B$10=""),"",IF($B$9+49&lt;=$B$10,$B$9+49,""))</f>
        <v/>
      </c>
      <c r="B101" s="15">
        <f>IF($A101="","",MATCH($A101,$BV$27:$BV$32,1))</f>
        <v/>
      </c>
      <c r="C101" s="15">
        <f>IF($A101="","",INDEX($BW$27:$BW$32,$B101))</f>
        <v/>
      </c>
      <c r="D101" s="15">
        <f>IF($A101="","",D$9+INT(($B$14+CG101)/100))</f>
        <v/>
      </c>
      <c r="E101" s="15">
        <f>IF($A101="","",E$9+INT(($B$14+CH101)/100))</f>
        <v/>
      </c>
      <c r="F101" s="15">
        <f>IF($A101="","",F$9+INT(($B$14+CI101)/100))</f>
        <v/>
      </c>
      <c r="G101" s="15">
        <f>IF($A101="","",G$9+INT(($B$14+CJ101)/100))</f>
        <v/>
      </c>
      <c r="H101" s="15">
        <f>IF($A101="","",H$9+INT(($B$14+CK101)/100))</f>
        <v/>
      </c>
      <c r="I101" s="15">
        <f>IF($A101="","",I$9+INT(($B$14+CL101)/100))</f>
        <v/>
      </c>
      <c r="J101" s="15">
        <f>IF($A101="","",J$9+INT(($B$14+CM101)/100))</f>
        <v/>
      </c>
      <c r="K101" s="15">
        <f>IF($A101="","",K$9+INT(($B$14+CN101)/100))</f>
        <v/>
      </c>
      <c r="L101" s="15">
        <f>IF($A101="","",L$9+INT(($B$14+CO101)/100))</f>
        <v/>
      </c>
      <c r="M101" s="16">
        <f>IF($A101="","",IF($C101&lt;&gt;$C100,"★ 转职 → 【"&amp;$C101&amp;"】","")&amp;IF($A101=$B$10,"（目标等级）",""))</f>
        <v/>
      </c>
      <c r="P101">
        <f>IF('职业'!$C91="","",'职业'!$C91)</f>
        <v/>
      </c>
      <c r="Q101">
        <f>N('职业'!$D91)</f>
        <v/>
      </c>
      <c r="R101">
        <f>'职业'!$E91&amp;""</f>
        <v/>
      </c>
      <c r="S101">
        <f>IF($P101="",0,MAX(0,D$7+N('职业'!F91)))</f>
        <v/>
      </c>
      <c r="T101">
        <f>IF($P101="",0,MAX(0,E$7+N('职业'!G91)))</f>
        <v/>
      </c>
      <c r="U101">
        <f>IF($P101="",0,MAX(0,F$7+N('职业'!H91)))</f>
        <v/>
      </c>
      <c r="V101">
        <f>IF($P101="",0,MAX(0,G$7+N('职业'!I91)))</f>
        <v/>
      </c>
      <c r="W101">
        <f>IF($P101="",0,MAX(0,H$7+N('职业'!J91)))</f>
        <v/>
      </c>
      <c r="X101">
        <f>IF($P101="",0,MAX(0,I$7+N('职业'!K91)))</f>
        <v/>
      </c>
      <c r="Y101">
        <f>IF($P101="",0,MAX(0,J$7+N('职业'!L91)))</f>
        <v/>
      </c>
      <c r="Z101">
        <f>IF($P101="",0,MAX(0,K$7+N('职业'!M91)))</f>
        <v/>
      </c>
      <c r="AA101">
        <f>IF($P101="",0,MAX(0,L$7+N('职业'!N91)))</f>
        <v/>
      </c>
      <c r="AB101">
        <f>AND($P101&lt;&gt;"",IF($U$5=1,$P101=$C$10,OR($P101=$C$9,AND($R101="是",$Q101&lt;=MAX($B$9,$Q$6)))))</f>
        <v/>
      </c>
      <c r="AC101">
        <f>AND($P101&lt;&gt;"",IF($U$5=2,$P101=$C$10,OR($P101=$C$9,AND($R101="是",$Q101&lt;=MAX($B$9,$Q$7)))))</f>
        <v/>
      </c>
      <c r="AD101">
        <f>AND($P101&lt;&gt;"",IF($U$5=3,$P101=$C$10,OR($P101=$C$9,AND($R101="是",$Q101&lt;=MAX($B$9,$Q$8)))))</f>
        <v/>
      </c>
      <c r="AE101">
        <f>IF(AB101,COUNTIF(AB$13:AB101,TRUE),"")</f>
        <v/>
      </c>
      <c r="AF101">
        <f>IF(AC101,COUNTIF(AC$13:AC101,TRUE),"")</f>
        <v/>
      </c>
      <c r="AG101">
        <f>IF(AD101,COUNTIF(AD$13:AD101,TRUE),"")</f>
        <v/>
      </c>
      <c r="AI101">
        <f>IFERROR(INDEX($P$13:$P$162,MATCH(89,$AE$13:$AE$162,0)),"")</f>
        <v/>
      </c>
      <c r="AJ101">
        <f>IFERROR(INDEX(S$13:S$162,MATCH(89,$AE$13:$AE$162,0)),0)*$T$6</f>
        <v/>
      </c>
      <c r="AK101">
        <f>IFERROR(INDEX(T$13:T$162,MATCH(89,$AE$13:$AE$162,0)),0)*$T$6</f>
        <v/>
      </c>
      <c r="AL101">
        <f>IFERROR(INDEX(U$13:U$162,MATCH(89,$AE$13:$AE$162,0)),0)*$T$6</f>
        <v/>
      </c>
      <c r="AM101">
        <f>IFERROR(INDEX(V$13:V$162,MATCH(89,$AE$13:$AE$162,0)),0)*$T$6</f>
        <v/>
      </c>
      <c r="AN101">
        <f>IFERROR(INDEX(W$13:W$162,MATCH(89,$AE$13:$AE$162,0)),0)*$T$6</f>
        <v/>
      </c>
      <c r="AO101">
        <f>IFERROR(INDEX(X$13:X$162,MATCH(89,$AE$13:$AE$162,0)),0)*$T$6</f>
        <v/>
      </c>
      <c r="AP101">
        <f>IFERROR(INDEX(Y$13:Y$162,MATCH(89,$AE$13:$AE$162,0)),0)*$T$6</f>
        <v/>
      </c>
      <c r="AQ101">
        <f>IFERROR(INDEX(Z$13:Z$162,MATCH(89,$AE$13:$AE$162,0)),0)*$T$6</f>
        <v/>
      </c>
      <c r="AR101">
        <f>IFERROR(INDEX(AA$13:AA$162,MATCH(89,$AE$13:$AE$162,0)),0)*$T$6</f>
        <v/>
      </c>
      <c r="AS101">
        <f>IFERROR(INDEX($P$13:$P$162,MATCH(89,$AF$13:$AF$162,0)),"")</f>
        <v/>
      </c>
      <c r="AT101">
        <f>IFERROR(INDEX(S$13:S$162,MATCH(89,$AF$13:$AF$162,0)),0)*$T$7</f>
        <v/>
      </c>
      <c r="AU101">
        <f>IFERROR(INDEX(T$13:T$162,MATCH(89,$AF$13:$AF$162,0)),0)*$T$7</f>
        <v/>
      </c>
      <c r="AV101">
        <f>IFERROR(INDEX(U$13:U$162,MATCH(89,$AF$13:$AF$162,0)),0)*$T$7</f>
        <v/>
      </c>
      <c r="AW101">
        <f>IFERROR(INDEX(V$13:V$162,MATCH(89,$AF$13:$AF$162,0)),0)*$T$7</f>
        <v/>
      </c>
      <c r="AX101">
        <f>IFERROR(INDEX(W$13:W$162,MATCH(89,$AF$13:$AF$162,0)),0)*$T$7</f>
        <v/>
      </c>
      <c r="AY101">
        <f>IFERROR(INDEX(X$13:X$162,MATCH(89,$AF$13:$AF$162,0)),0)*$T$7</f>
        <v/>
      </c>
      <c r="AZ101">
        <f>IFERROR(INDEX(Y$13:Y$162,MATCH(89,$AF$13:$AF$162,0)),0)*$T$7</f>
        <v/>
      </c>
      <c r="BA101">
        <f>IFERROR(INDEX(Z$13:Z$162,MATCH(89,$AF$13:$AF$162,0)),0)*$T$7</f>
        <v/>
      </c>
      <c r="BB101">
        <f>IFERROR(INDEX(AA$13:AA$162,MATCH(89,$AF$13:$AF$162,0)),0)*$T$7</f>
        <v/>
      </c>
      <c r="BC101">
        <f>IFERROR(INDEX($P$13:$P$162,MATCH(89,$AG$13:$AG$162,0)),"")</f>
        <v/>
      </c>
      <c r="BD101">
        <f>IFERROR(INDEX(S$13:S$162,MATCH(89,$AG$13:$AG$162,0)),0)*($T$8+IF($C$10="",$T$9,0))</f>
        <v/>
      </c>
      <c r="BE101">
        <f>IFERROR(INDEX(T$13:T$162,MATCH(89,$AG$13:$AG$162,0)),0)*($T$8+IF($C$10="",$T$9,0))</f>
        <v/>
      </c>
      <c r="BF101">
        <f>IFERROR(INDEX(U$13:U$162,MATCH(89,$AG$13:$AG$162,0)),0)*($T$8+IF($C$10="",$T$9,0))</f>
        <v/>
      </c>
      <c r="BG101">
        <f>IFERROR(INDEX(V$13:V$162,MATCH(89,$AG$13:$AG$162,0)),0)*($T$8+IF($C$10="",$T$9,0))</f>
        <v/>
      </c>
      <c r="BH101">
        <f>IFERROR(INDEX(W$13:W$162,MATCH(89,$AG$13:$AG$162,0)),0)*($T$8+IF($C$10="",$T$9,0))</f>
        <v/>
      </c>
      <c r="BI101">
        <f>IFERROR(INDEX(X$13:X$162,MATCH(89,$AG$13:$AG$162,0)),0)*($T$8+IF($C$10="",$T$9,0))</f>
        <v/>
      </c>
      <c r="BJ101">
        <f>IFERROR(INDEX(Y$13:Y$162,MATCH(89,$AG$13:$AG$162,0)),0)*($T$8+IF($C$10="",$T$9,0))</f>
        <v/>
      </c>
      <c r="BK101">
        <f>IFERROR(INDEX(Z$13:Z$162,MATCH(89,$AG$13:$AG$162,0)),0)*($T$8+IF($C$10="",$T$9,0))</f>
        <v/>
      </c>
      <c r="BL101">
        <f>IFERROR(INDEX(AA$13:AA$162,MATCH(89,$AG$13:$AG$162,0)),0)*($T$8+IF($C$10="",$T$9,0))</f>
        <v/>
      </c>
      <c r="BN101">
        <f>IF(88&lt;$U$9,INT(88/($U$7*$U$8))+1,1)</f>
        <v/>
      </c>
      <c r="BO101">
        <f>IF(88&lt;$U$9,MOD(INT(88/$U$8),$U$7)+1,1)</f>
        <v/>
      </c>
      <c r="BP101">
        <f>IF(88&lt;$U$9,MOD(88,$U$8)+1,1)</f>
        <v/>
      </c>
      <c r="BQ101">
        <f>IF(88&lt;$U$9,SUMPRODUCT(($D$10:$L$10&lt;&gt;"")*(($D$9:$L$9+INT(($S$12:$AA$12+INDEX($AJ$13:$AR$162,BN101,0)+INDEX($AT$13:$BB$162,BO101,0)+INDEX($BD$13:$BL$162,BP101,0))/100))&gt;=$D$10:$L$10)),0)</f>
        <v/>
      </c>
      <c r="BR101">
        <f>IF(88&lt;$U$9,SUMPRODUCT(($D$10:$L$10&lt;&gt;"")*(($D$10:$L$10-($D$9:$L$9+INT(($S$12:$AA$12+INDEX($AJ$13:$AR$162,BN101,0)+INDEX($AT$13:$BB$162,BO101,0)+INDEX($BD$13:$BL$162,BP101,0))/100)))&gt;0)*($D$10:$L$10-($D$9:$L$9+INT(($S$12:$AA$12+INDEX($AJ$13:$AR$162,BN101,0)+INDEX($AT$13:$BB$162,BO101,0)+INDEX($BD$13:$BL$162,BP101,0))/100)))),0)</f>
        <v/>
      </c>
      <c r="BS101">
        <f>IF(88&lt;$U$9,SUMPRODUCT(($D$9:$L$9+INT(($S$12:$AA$12+INDEX($AJ$13:$AR$162,BN101,0)+INDEX($AT$13:$BB$162,BO101,0)+INDEX($BD$13:$BL$162,BP101,0))/100))),0)</f>
        <v/>
      </c>
      <c r="BT101">
        <f>IF(AND(88&lt;$U$9,$W$5),BQ101*1000000-MIN(BR101,999)*1000+BS101-88/100000,-1000000000-88)</f>
        <v/>
      </c>
      <c r="CF101">
        <f>IF($A101="","",IFERROR(MATCH($C101,'职业'!$C$3:$C$152,0),0))</f>
        <v/>
      </c>
      <c r="CG101">
        <f>IF($A101="","",CG100+MAX(0,D$7+IF($CF100=0,0,IFERROR(INDEX('职业'!F$3:F$152,$CF100)+0,0))))</f>
        <v/>
      </c>
      <c r="CH101">
        <f>IF($A101="","",CH100+MAX(0,E$7+IF($CF100=0,0,IFERROR(INDEX('职业'!G$3:G$152,$CF100)+0,0))))</f>
        <v/>
      </c>
      <c r="CI101">
        <f>IF($A101="","",CI100+MAX(0,F$7+IF($CF100=0,0,IFERROR(INDEX('职业'!H$3:H$152,$CF100)+0,0))))</f>
        <v/>
      </c>
      <c r="CJ101">
        <f>IF($A101="","",CJ100+MAX(0,G$7+IF($CF100=0,0,IFERROR(INDEX('职业'!I$3:I$152,$CF100)+0,0))))</f>
        <v/>
      </c>
      <c r="CK101">
        <f>IF($A101="","",CK100+MAX(0,H$7+IF($CF100=0,0,IFERROR(INDEX('职业'!J$3:J$152,$CF100)+0,0))))</f>
        <v/>
      </c>
      <c r="CL101">
        <f>IF($A101="","",CL100+MAX(0,I$7+IF($CF100=0,0,IFERROR(INDEX('职业'!K$3:K$152,$CF100)+0,0))))</f>
        <v/>
      </c>
      <c r="CM101">
        <f>IF($A101="","",CM100+MAX(0,J$7+IF($CF100=0,0,IFERROR(INDEX('职业'!L$3:L$152,$CF100)+0,0))))</f>
        <v/>
      </c>
      <c r="CN101">
        <f>IF($A101="","",CN100+MAX(0,K$7+IF($CF100=0,0,IFERROR(INDEX('职业'!M$3:M$152,$CF100)+0,0))))</f>
        <v/>
      </c>
      <c r="CO101">
        <f>IF($A101="","",CO100+MAX(0,L$7+IF($CF100=0,0,IFERROR(INDEX('职业'!N$3:N$152,$CF100)+0,0))))</f>
        <v/>
      </c>
    </row>
    <row r="102">
      <c r="A102" s="15">
        <f>IF(OR($B$9="",$B$10=""),"",IF($B$9+50&lt;=$B$10,$B$9+50,""))</f>
        <v/>
      </c>
      <c r="B102" s="15">
        <f>IF($A102="","",MATCH($A102,$BV$27:$BV$32,1))</f>
        <v/>
      </c>
      <c r="C102" s="15">
        <f>IF($A102="","",INDEX($BW$27:$BW$32,$B102))</f>
        <v/>
      </c>
      <c r="D102" s="15">
        <f>IF($A102="","",D$9+INT(($B$14+CG102)/100))</f>
        <v/>
      </c>
      <c r="E102" s="15">
        <f>IF($A102="","",E$9+INT(($B$14+CH102)/100))</f>
        <v/>
      </c>
      <c r="F102" s="15">
        <f>IF($A102="","",F$9+INT(($B$14+CI102)/100))</f>
        <v/>
      </c>
      <c r="G102" s="15">
        <f>IF($A102="","",G$9+INT(($B$14+CJ102)/100))</f>
        <v/>
      </c>
      <c r="H102" s="15">
        <f>IF($A102="","",H$9+INT(($B$14+CK102)/100))</f>
        <v/>
      </c>
      <c r="I102" s="15">
        <f>IF($A102="","",I$9+INT(($B$14+CL102)/100))</f>
        <v/>
      </c>
      <c r="J102" s="15">
        <f>IF($A102="","",J$9+INT(($B$14+CM102)/100))</f>
        <v/>
      </c>
      <c r="K102" s="15">
        <f>IF($A102="","",K$9+INT(($B$14+CN102)/100))</f>
        <v/>
      </c>
      <c r="L102" s="15">
        <f>IF($A102="","",L$9+INT(($B$14+CO102)/100))</f>
        <v/>
      </c>
      <c r="M102" s="16">
        <f>IF($A102="","",IF($C102&lt;&gt;$C101,"★ 转职 → 【"&amp;$C102&amp;"】","")&amp;IF($A102=$B$10,"（目标等级）",""))</f>
        <v/>
      </c>
      <c r="P102">
        <f>IF('职业'!$C92="","",'职业'!$C92)</f>
        <v/>
      </c>
      <c r="Q102">
        <f>N('职业'!$D92)</f>
        <v/>
      </c>
      <c r="R102">
        <f>'职业'!$E92&amp;""</f>
        <v/>
      </c>
      <c r="S102">
        <f>IF($P102="",0,MAX(0,D$7+N('职业'!F92)))</f>
        <v/>
      </c>
      <c r="T102">
        <f>IF($P102="",0,MAX(0,E$7+N('职业'!G92)))</f>
        <v/>
      </c>
      <c r="U102">
        <f>IF($P102="",0,MAX(0,F$7+N('职业'!H92)))</f>
        <v/>
      </c>
      <c r="V102">
        <f>IF($P102="",0,MAX(0,G$7+N('职业'!I92)))</f>
        <v/>
      </c>
      <c r="W102">
        <f>IF($P102="",0,MAX(0,H$7+N('职业'!J92)))</f>
        <v/>
      </c>
      <c r="X102">
        <f>IF($P102="",0,MAX(0,I$7+N('职业'!K92)))</f>
        <v/>
      </c>
      <c r="Y102">
        <f>IF($P102="",0,MAX(0,J$7+N('职业'!L92)))</f>
        <v/>
      </c>
      <c r="Z102">
        <f>IF($P102="",0,MAX(0,K$7+N('职业'!M92)))</f>
        <v/>
      </c>
      <c r="AA102">
        <f>IF($P102="",0,MAX(0,L$7+N('职业'!N92)))</f>
        <v/>
      </c>
      <c r="AB102">
        <f>AND($P102&lt;&gt;"",IF($U$5=1,$P102=$C$10,OR($P102=$C$9,AND($R102="是",$Q102&lt;=MAX($B$9,$Q$6)))))</f>
        <v/>
      </c>
      <c r="AC102">
        <f>AND($P102&lt;&gt;"",IF($U$5=2,$P102=$C$10,OR($P102=$C$9,AND($R102="是",$Q102&lt;=MAX($B$9,$Q$7)))))</f>
        <v/>
      </c>
      <c r="AD102">
        <f>AND($P102&lt;&gt;"",IF($U$5=3,$P102=$C$10,OR($P102=$C$9,AND($R102="是",$Q102&lt;=MAX($B$9,$Q$8)))))</f>
        <v/>
      </c>
      <c r="AE102">
        <f>IF(AB102,COUNTIF(AB$13:AB102,TRUE),"")</f>
        <v/>
      </c>
      <c r="AF102">
        <f>IF(AC102,COUNTIF(AC$13:AC102,TRUE),"")</f>
        <v/>
      </c>
      <c r="AG102">
        <f>IF(AD102,COUNTIF(AD$13:AD102,TRUE),"")</f>
        <v/>
      </c>
      <c r="AI102">
        <f>IFERROR(INDEX($P$13:$P$162,MATCH(90,$AE$13:$AE$162,0)),"")</f>
        <v/>
      </c>
      <c r="AJ102">
        <f>IFERROR(INDEX(S$13:S$162,MATCH(90,$AE$13:$AE$162,0)),0)*$T$6</f>
        <v/>
      </c>
      <c r="AK102">
        <f>IFERROR(INDEX(T$13:T$162,MATCH(90,$AE$13:$AE$162,0)),0)*$T$6</f>
        <v/>
      </c>
      <c r="AL102">
        <f>IFERROR(INDEX(U$13:U$162,MATCH(90,$AE$13:$AE$162,0)),0)*$T$6</f>
        <v/>
      </c>
      <c r="AM102">
        <f>IFERROR(INDEX(V$13:V$162,MATCH(90,$AE$13:$AE$162,0)),0)*$T$6</f>
        <v/>
      </c>
      <c r="AN102">
        <f>IFERROR(INDEX(W$13:W$162,MATCH(90,$AE$13:$AE$162,0)),0)*$T$6</f>
        <v/>
      </c>
      <c r="AO102">
        <f>IFERROR(INDEX(X$13:X$162,MATCH(90,$AE$13:$AE$162,0)),0)*$T$6</f>
        <v/>
      </c>
      <c r="AP102">
        <f>IFERROR(INDEX(Y$13:Y$162,MATCH(90,$AE$13:$AE$162,0)),0)*$T$6</f>
        <v/>
      </c>
      <c r="AQ102">
        <f>IFERROR(INDEX(Z$13:Z$162,MATCH(90,$AE$13:$AE$162,0)),0)*$T$6</f>
        <v/>
      </c>
      <c r="AR102">
        <f>IFERROR(INDEX(AA$13:AA$162,MATCH(90,$AE$13:$AE$162,0)),0)*$T$6</f>
        <v/>
      </c>
      <c r="AS102">
        <f>IFERROR(INDEX($P$13:$P$162,MATCH(90,$AF$13:$AF$162,0)),"")</f>
        <v/>
      </c>
      <c r="AT102">
        <f>IFERROR(INDEX(S$13:S$162,MATCH(90,$AF$13:$AF$162,0)),0)*$T$7</f>
        <v/>
      </c>
      <c r="AU102">
        <f>IFERROR(INDEX(T$13:T$162,MATCH(90,$AF$13:$AF$162,0)),0)*$T$7</f>
        <v/>
      </c>
      <c r="AV102">
        <f>IFERROR(INDEX(U$13:U$162,MATCH(90,$AF$13:$AF$162,0)),0)*$T$7</f>
        <v/>
      </c>
      <c r="AW102">
        <f>IFERROR(INDEX(V$13:V$162,MATCH(90,$AF$13:$AF$162,0)),0)*$T$7</f>
        <v/>
      </c>
      <c r="AX102">
        <f>IFERROR(INDEX(W$13:W$162,MATCH(90,$AF$13:$AF$162,0)),0)*$T$7</f>
        <v/>
      </c>
      <c r="AY102">
        <f>IFERROR(INDEX(X$13:X$162,MATCH(90,$AF$13:$AF$162,0)),0)*$T$7</f>
        <v/>
      </c>
      <c r="AZ102">
        <f>IFERROR(INDEX(Y$13:Y$162,MATCH(90,$AF$13:$AF$162,0)),0)*$T$7</f>
        <v/>
      </c>
      <c r="BA102">
        <f>IFERROR(INDEX(Z$13:Z$162,MATCH(90,$AF$13:$AF$162,0)),0)*$T$7</f>
        <v/>
      </c>
      <c r="BB102">
        <f>IFERROR(INDEX(AA$13:AA$162,MATCH(90,$AF$13:$AF$162,0)),0)*$T$7</f>
        <v/>
      </c>
      <c r="BC102">
        <f>IFERROR(INDEX($P$13:$P$162,MATCH(90,$AG$13:$AG$162,0)),"")</f>
        <v/>
      </c>
      <c r="BD102">
        <f>IFERROR(INDEX(S$13:S$162,MATCH(90,$AG$13:$AG$162,0)),0)*($T$8+IF($C$10="",$T$9,0))</f>
        <v/>
      </c>
      <c r="BE102">
        <f>IFERROR(INDEX(T$13:T$162,MATCH(90,$AG$13:$AG$162,0)),0)*($T$8+IF($C$10="",$T$9,0))</f>
        <v/>
      </c>
      <c r="BF102">
        <f>IFERROR(INDEX(U$13:U$162,MATCH(90,$AG$13:$AG$162,0)),0)*($T$8+IF($C$10="",$T$9,0))</f>
        <v/>
      </c>
      <c r="BG102">
        <f>IFERROR(INDEX(V$13:V$162,MATCH(90,$AG$13:$AG$162,0)),0)*($T$8+IF($C$10="",$T$9,0))</f>
        <v/>
      </c>
      <c r="BH102">
        <f>IFERROR(INDEX(W$13:W$162,MATCH(90,$AG$13:$AG$162,0)),0)*($T$8+IF($C$10="",$T$9,0))</f>
        <v/>
      </c>
      <c r="BI102">
        <f>IFERROR(INDEX(X$13:X$162,MATCH(90,$AG$13:$AG$162,0)),0)*($T$8+IF($C$10="",$T$9,0))</f>
        <v/>
      </c>
      <c r="BJ102">
        <f>IFERROR(INDEX(Y$13:Y$162,MATCH(90,$AG$13:$AG$162,0)),0)*($T$8+IF($C$10="",$T$9,0))</f>
        <v/>
      </c>
      <c r="BK102">
        <f>IFERROR(INDEX(Z$13:Z$162,MATCH(90,$AG$13:$AG$162,0)),0)*($T$8+IF($C$10="",$T$9,0))</f>
        <v/>
      </c>
      <c r="BL102">
        <f>IFERROR(INDEX(AA$13:AA$162,MATCH(90,$AG$13:$AG$162,0)),0)*($T$8+IF($C$10="",$T$9,0))</f>
        <v/>
      </c>
      <c r="BN102">
        <f>IF(89&lt;$U$9,INT(89/($U$7*$U$8))+1,1)</f>
        <v/>
      </c>
      <c r="BO102">
        <f>IF(89&lt;$U$9,MOD(INT(89/$U$8),$U$7)+1,1)</f>
        <v/>
      </c>
      <c r="BP102">
        <f>IF(89&lt;$U$9,MOD(89,$U$8)+1,1)</f>
        <v/>
      </c>
      <c r="BQ102">
        <f>IF(89&lt;$U$9,SUMPRODUCT(($D$10:$L$10&lt;&gt;"")*(($D$9:$L$9+INT(($S$12:$AA$12+INDEX($AJ$13:$AR$162,BN102,0)+INDEX($AT$13:$BB$162,BO102,0)+INDEX($BD$13:$BL$162,BP102,0))/100))&gt;=$D$10:$L$10)),0)</f>
        <v/>
      </c>
      <c r="BR102">
        <f>IF(89&lt;$U$9,SUMPRODUCT(($D$10:$L$10&lt;&gt;"")*(($D$10:$L$10-($D$9:$L$9+INT(($S$12:$AA$12+INDEX($AJ$13:$AR$162,BN102,0)+INDEX($AT$13:$BB$162,BO102,0)+INDEX($BD$13:$BL$162,BP102,0))/100)))&gt;0)*($D$10:$L$10-($D$9:$L$9+INT(($S$12:$AA$12+INDEX($AJ$13:$AR$162,BN102,0)+INDEX($AT$13:$BB$162,BO102,0)+INDEX($BD$13:$BL$162,BP102,0))/100)))),0)</f>
        <v/>
      </c>
      <c r="BS102">
        <f>IF(89&lt;$U$9,SUMPRODUCT(($D$9:$L$9+INT(($S$12:$AA$12+INDEX($AJ$13:$AR$162,BN102,0)+INDEX($AT$13:$BB$162,BO102,0)+INDEX($BD$13:$BL$162,BP102,0))/100))),0)</f>
        <v/>
      </c>
      <c r="BT102">
        <f>IF(AND(89&lt;$U$9,$W$5),BQ102*1000000-MIN(BR102,999)*1000+BS102-89/100000,-1000000000-89)</f>
        <v/>
      </c>
      <c r="CF102">
        <f>IF($A102="","",IFERROR(MATCH($C102,'职业'!$C$3:$C$152,0),0))</f>
        <v/>
      </c>
      <c r="CG102">
        <f>IF($A102="","",CG101+MAX(0,D$7+IF($CF101=0,0,IFERROR(INDEX('职业'!F$3:F$152,$CF101)+0,0))))</f>
        <v/>
      </c>
      <c r="CH102">
        <f>IF($A102="","",CH101+MAX(0,E$7+IF($CF101=0,0,IFERROR(INDEX('职业'!G$3:G$152,$CF101)+0,0))))</f>
        <v/>
      </c>
      <c r="CI102">
        <f>IF($A102="","",CI101+MAX(0,F$7+IF($CF101=0,0,IFERROR(INDEX('职业'!H$3:H$152,$CF101)+0,0))))</f>
        <v/>
      </c>
      <c r="CJ102">
        <f>IF($A102="","",CJ101+MAX(0,G$7+IF($CF101=0,0,IFERROR(INDEX('职业'!I$3:I$152,$CF101)+0,0))))</f>
        <v/>
      </c>
      <c r="CK102">
        <f>IF($A102="","",CK101+MAX(0,H$7+IF($CF101=0,0,IFERROR(INDEX('职业'!J$3:J$152,$CF101)+0,0))))</f>
        <v/>
      </c>
      <c r="CL102">
        <f>IF($A102="","",CL101+MAX(0,I$7+IF($CF101=0,0,IFERROR(INDEX('职业'!K$3:K$152,$CF101)+0,0))))</f>
        <v/>
      </c>
      <c r="CM102">
        <f>IF($A102="","",CM101+MAX(0,J$7+IF($CF101=0,0,IFERROR(INDEX('职业'!L$3:L$152,$CF101)+0,0))))</f>
        <v/>
      </c>
      <c r="CN102">
        <f>IF($A102="","",CN101+MAX(0,K$7+IF($CF101=0,0,IFERROR(INDEX('职业'!M$3:M$152,$CF101)+0,0))))</f>
        <v/>
      </c>
      <c r="CO102">
        <f>IF($A102="","",CO101+MAX(0,L$7+IF($CF101=0,0,IFERROR(INDEX('职业'!N$3:N$152,$CF101)+0,0))))</f>
        <v/>
      </c>
    </row>
    <row r="103">
      <c r="A103" s="15">
        <f>IF(OR($B$9="",$B$10=""),"",IF($B$9+51&lt;=$B$10,$B$9+51,""))</f>
        <v/>
      </c>
      <c r="B103" s="15">
        <f>IF($A103="","",MATCH($A103,$BV$27:$BV$32,1))</f>
        <v/>
      </c>
      <c r="C103" s="15">
        <f>IF($A103="","",INDEX($BW$27:$BW$32,$B103))</f>
        <v/>
      </c>
      <c r="D103" s="15">
        <f>IF($A103="","",D$9+INT(($B$14+CG103)/100))</f>
        <v/>
      </c>
      <c r="E103" s="15">
        <f>IF($A103="","",E$9+INT(($B$14+CH103)/100))</f>
        <v/>
      </c>
      <c r="F103" s="15">
        <f>IF($A103="","",F$9+INT(($B$14+CI103)/100))</f>
        <v/>
      </c>
      <c r="G103" s="15">
        <f>IF($A103="","",G$9+INT(($B$14+CJ103)/100))</f>
        <v/>
      </c>
      <c r="H103" s="15">
        <f>IF($A103="","",H$9+INT(($B$14+CK103)/100))</f>
        <v/>
      </c>
      <c r="I103" s="15">
        <f>IF($A103="","",I$9+INT(($B$14+CL103)/100))</f>
        <v/>
      </c>
      <c r="J103" s="15">
        <f>IF($A103="","",J$9+INT(($B$14+CM103)/100))</f>
        <v/>
      </c>
      <c r="K103" s="15">
        <f>IF($A103="","",K$9+INT(($B$14+CN103)/100))</f>
        <v/>
      </c>
      <c r="L103" s="15">
        <f>IF($A103="","",L$9+INT(($B$14+CO103)/100))</f>
        <v/>
      </c>
      <c r="M103" s="16">
        <f>IF($A103="","",IF($C103&lt;&gt;$C102,"★ 转职 → 【"&amp;$C103&amp;"】","")&amp;IF($A103=$B$10,"（目标等级）",""))</f>
        <v/>
      </c>
      <c r="P103">
        <f>IF('职业'!$C93="","",'职业'!$C93)</f>
        <v/>
      </c>
      <c r="Q103">
        <f>N('职业'!$D93)</f>
        <v/>
      </c>
      <c r="R103">
        <f>'职业'!$E93&amp;""</f>
        <v/>
      </c>
      <c r="S103">
        <f>IF($P103="",0,MAX(0,D$7+N('职业'!F93)))</f>
        <v/>
      </c>
      <c r="T103">
        <f>IF($P103="",0,MAX(0,E$7+N('职业'!G93)))</f>
        <v/>
      </c>
      <c r="U103">
        <f>IF($P103="",0,MAX(0,F$7+N('职业'!H93)))</f>
        <v/>
      </c>
      <c r="V103">
        <f>IF($P103="",0,MAX(0,G$7+N('职业'!I93)))</f>
        <v/>
      </c>
      <c r="W103">
        <f>IF($P103="",0,MAX(0,H$7+N('职业'!J93)))</f>
        <v/>
      </c>
      <c r="X103">
        <f>IF($P103="",0,MAX(0,I$7+N('职业'!K93)))</f>
        <v/>
      </c>
      <c r="Y103">
        <f>IF($P103="",0,MAX(0,J$7+N('职业'!L93)))</f>
        <v/>
      </c>
      <c r="Z103">
        <f>IF($P103="",0,MAX(0,K$7+N('职业'!M93)))</f>
        <v/>
      </c>
      <c r="AA103">
        <f>IF($P103="",0,MAX(0,L$7+N('职业'!N93)))</f>
        <v/>
      </c>
      <c r="AB103">
        <f>AND($P103&lt;&gt;"",IF($U$5=1,$P103=$C$10,OR($P103=$C$9,AND($R103="是",$Q103&lt;=MAX($B$9,$Q$6)))))</f>
        <v/>
      </c>
      <c r="AC103">
        <f>AND($P103&lt;&gt;"",IF($U$5=2,$P103=$C$10,OR($P103=$C$9,AND($R103="是",$Q103&lt;=MAX($B$9,$Q$7)))))</f>
        <v/>
      </c>
      <c r="AD103">
        <f>AND($P103&lt;&gt;"",IF($U$5=3,$P103=$C$10,OR($P103=$C$9,AND($R103="是",$Q103&lt;=MAX($B$9,$Q$8)))))</f>
        <v/>
      </c>
      <c r="AE103">
        <f>IF(AB103,COUNTIF(AB$13:AB103,TRUE),"")</f>
        <v/>
      </c>
      <c r="AF103">
        <f>IF(AC103,COUNTIF(AC$13:AC103,TRUE),"")</f>
        <v/>
      </c>
      <c r="AG103">
        <f>IF(AD103,COUNTIF(AD$13:AD103,TRUE),"")</f>
        <v/>
      </c>
      <c r="AI103">
        <f>IFERROR(INDEX($P$13:$P$162,MATCH(91,$AE$13:$AE$162,0)),"")</f>
        <v/>
      </c>
      <c r="AJ103">
        <f>IFERROR(INDEX(S$13:S$162,MATCH(91,$AE$13:$AE$162,0)),0)*$T$6</f>
        <v/>
      </c>
      <c r="AK103">
        <f>IFERROR(INDEX(T$13:T$162,MATCH(91,$AE$13:$AE$162,0)),0)*$T$6</f>
        <v/>
      </c>
      <c r="AL103">
        <f>IFERROR(INDEX(U$13:U$162,MATCH(91,$AE$13:$AE$162,0)),0)*$T$6</f>
        <v/>
      </c>
      <c r="AM103">
        <f>IFERROR(INDEX(V$13:V$162,MATCH(91,$AE$13:$AE$162,0)),0)*$T$6</f>
        <v/>
      </c>
      <c r="AN103">
        <f>IFERROR(INDEX(W$13:W$162,MATCH(91,$AE$13:$AE$162,0)),0)*$T$6</f>
        <v/>
      </c>
      <c r="AO103">
        <f>IFERROR(INDEX(X$13:X$162,MATCH(91,$AE$13:$AE$162,0)),0)*$T$6</f>
        <v/>
      </c>
      <c r="AP103">
        <f>IFERROR(INDEX(Y$13:Y$162,MATCH(91,$AE$13:$AE$162,0)),0)*$T$6</f>
        <v/>
      </c>
      <c r="AQ103">
        <f>IFERROR(INDEX(Z$13:Z$162,MATCH(91,$AE$13:$AE$162,0)),0)*$T$6</f>
        <v/>
      </c>
      <c r="AR103">
        <f>IFERROR(INDEX(AA$13:AA$162,MATCH(91,$AE$13:$AE$162,0)),0)*$T$6</f>
        <v/>
      </c>
      <c r="AS103">
        <f>IFERROR(INDEX($P$13:$P$162,MATCH(91,$AF$13:$AF$162,0)),"")</f>
        <v/>
      </c>
      <c r="AT103">
        <f>IFERROR(INDEX(S$13:S$162,MATCH(91,$AF$13:$AF$162,0)),0)*$T$7</f>
        <v/>
      </c>
      <c r="AU103">
        <f>IFERROR(INDEX(T$13:T$162,MATCH(91,$AF$13:$AF$162,0)),0)*$T$7</f>
        <v/>
      </c>
      <c r="AV103">
        <f>IFERROR(INDEX(U$13:U$162,MATCH(91,$AF$13:$AF$162,0)),0)*$T$7</f>
        <v/>
      </c>
      <c r="AW103">
        <f>IFERROR(INDEX(V$13:V$162,MATCH(91,$AF$13:$AF$162,0)),0)*$T$7</f>
        <v/>
      </c>
      <c r="AX103">
        <f>IFERROR(INDEX(W$13:W$162,MATCH(91,$AF$13:$AF$162,0)),0)*$T$7</f>
        <v/>
      </c>
      <c r="AY103">
        <f>IFERROR(INDEX(X$13:X$162,MATCH(91,$AF$13:$AF$162,0)),0)*$T$7</f>
        <v/>
      </c>
      <c r="AZ103">
        <f>IFERROR(INDEX(Y$13:Y$162,MATCH(91,$AF$13:$AF$162,0)),0)*$T$7</f>
        <v/>
      </c>
      <c r="BA103">
        <f>IFERROR(INDEX(Z$13:Z$162,MATCH(91,$AF$13:$AF$162,0)),0)*$T$7</f>
        <v/>
      </c>
      <c r="BB103">
        <f>IFERROR(INDEX(AA$13:AA$162,MATCH(91,$AF$13:$AF$162,0)),0)*$T$7</f>
        <v/>
      </c>
      <c r="BC103">
        <f>IFERROR(INDEX($P$13:$P$162,MATCH(91,$AG$13:$AG$162,0)),"")</f>
        <v/>
      </c>
      <c r="BD103">
        <f>IFERROR(INDEX(S$13:S$162,MATCH(91,$AG$13:$AG$162,0)),0)*($T$8+IF($C$10="",$T$9,0))</f>
        <v/>
      </c>
      <c r="BE103">
        <f>IFERROR(INDEX(T$13:T$162,MATCH(91,$AG$13:$AG$162,0)),0)*($T$8+IF($C$10="",$T$9,0))</f>
        <v/>
      </c>
      <c r="BF103">
        <f>IFERROR(INDEX(U$13:U$162,MATCH(91,$AG$13:$AG$162,0)),0)*($T$8+IF($C$10="",$T$9,0))</f>
        <v/>
      </c>
      <c r="BG103">
        <f>IFERROR(INDEX(V$13:V$162,MATCH(91,$AG$13:$AG$162,0)),0)*($T$8+IF($C$10="",$T$9,0))</f>
        <v/>
      </c>
      <c r="BH103">
        <f>IFERROR(INDEX(W$13:W$162,MATCH(91,$AG$13:$AG$162,0)),0)*($T$8+IF($C$10="",$T$9,0))</f>
        <v/>
      </c>
      <c r="BI103">
        <f>IFERROR(INDEX(X$13:X$162,MATCH(91,$AG$13:$AG$162,0)),0)*($T$8+IF($C$10="",$T$9,0))</f>
        <v/>
      </c>
      <c r="BJ103">
        <f>IFERROR(INDEX(Y$13:Y$162,MATCH(91,$AG$13:$AG$162,0)),0)*($T$8+IF($C$10="",$T$9,0))</f>
        <v/>
      </c>
      <c r="BK103">
        <f>IFERROR(INDEX(Z$13:Z$162,MATCH(91,$AG$13:$AG$162,0)),0)*($T$8+IF($C$10="",$T$9,0))</f>
        <v/>
      </c>
      <c r="BL103">
        <f>IFERROR(INDEX(AA$13:AA$162,MATCH(91,$AG$13:$AG$162,0)),0)*($T$8+IF($C$10="",$T$9,0))</f>
        <v/>
      </c>
      <c r="BN103">
        <f>IF(90&lt;$U$9,INT(90/($U$7*$U$8))+1,1)</f>
        <v/>
      </c>
      <c r="BO103">
        <f>IF(90&lt;$U$9,MOD(INT(90/$U$8),$U$7)+1,1)</f>
        <v/>
      </c>
      <c r="BP103">
        <f>IF(90&lt;$U$9,MOD(90,$U$8)+1,1)</f>
        <v/>
      </c>
      <c r="BQ103">
        <f>IF(90&lt;$U$9,SUMPRODUCT(($D$10:$L$10&lt;&gt;"")*(($D$9:$L$9+INT(($S$12:$AA$12+INDEX($AJ$13:$AR$162,BN103,0)+INDEX($AT$13:$BB$162,BO103,0)+INDEX($BD$13:$BL$162,BP103,0))/100))&gt;=$D$10:$L$10)),0)</f>
        <v/>
      </c>
      <c r="BR103">
        <f>IF(90&lt;$U$9,SUMPRODUCT(($D$10:$L$10&lt;&gt;"")*(($D$10:$L$10-($D$9:$L$9+INT(($S$12:$AA$12+INDEX($AJ$13:$AR$162,BN103,0)+INDEX($AT$13:$BB$162,BO103,0)+INDEX($BD$13:$BL$162,BP103,0))/100)))&gt;0)*($D$10:$L$10-($D$9:$L$9+INT(($S$12:$AA$12+INDEX($AJ$13:$AR$162,BN103,0)+INDEX($AT$13:$BB$162,BO103,0)+INDEX($BD$13:$BL$162,BP103,0))/100)))),0)</f>
        <v/>
      </c>
      <c r="BS103">
        <f>IF(90&lt;$U$9,SUMPRODUCT(($D$9:$L$9+INT(($S$12:$AA$12+INDEX($AJ$13:$AR$162,BN103,0)+INDEX($AT$13:$BB$162,BO103,0)+INDEX($BD$13:$BL$162,BP103,0))/100))),0)</f>
        <v/>
      </c>
      <c r="BT103">
        <f>IF(AND(90&lt;$U$9,$W$5),BQ103*1000000-MIN(BR103,999)*1000+BS103-90/100000,-1000000000-90)</f>
        <v/>
      </c>
      <c r="CF103">
        <f>IF($A103="","",IFERROR(MATCH($C103,'职业'!$C$3:$C$152,0),0))</f>
        <v/>
      </c>
      <c r="CG103">
        <f>IF($A103="","",CG102+MAX(0,D$7+IF($CF102=0,0,IFERROR(INDEX('职业'!F$3:F$152,$CF102)+0,0))))</f>
        <v/>
      </c>
      <c r="CH103">
        <f>IF($A103="","",CH102+MAX(0,E$7+IF($CF102=0,0,IFERROR(INDEX('职业'!G$3:G$152,$CF102)+0,0))))</f>
        <v/>
      </c>
      <c r="CI103">
        <f>IF($A103="","",CI102+MAX(0,F$7+IF($CF102=0,0,IFERROR(INDEX('职业'!H$3:H$152,$CF102)+0,0))))</f>
        <v/>
      </c>
      <c r="CJ103">
        <f>IF($A103="","",CJ102+MAX(0,G$7+IF($CF102=0,0,IFERROR(INDEX('职业'!I$3:I$152,$CF102)+0,0))))</f>
        <v/>
      </c>
      <c r="CK103">
        <f>IF($A103="","",CK102+MAX(0,H$7+IF($CF102=0,0,IFERROR(INDEX('职业'!J$3:J$152,$CF102)+0,0))))</f>
        <v/>
      </c>
      <c r="CL103">
        <f>IF($A103="","",CL102+MAX(0,I$7+IF($CF102=0,0,IFERROR(INDEX('职业'!K$3:K$152,$CF102)+0,0))))</f>
        <v/>
      </c>
      <c r="CM103">
        <f>IF($A103="","",CM102+MAX(0,J$7+IF($CF102=0,0,IFERROR(INDEX('职业'!L$3:L$152,$CF102)+0,0))))</f>
        <v/>
      </c>
      <c r="CN103">
        <f>IF($A103="","",CN102+MAX(0,K$7+IF($CF102=0,0,IFERROR(INDEX('职业'!M$3:M$152,$CF102)+0,0))))</f>
        <v/>
      </c>
      <c r="CO103">
        <f>IF($A103="","",CO102+MAX(0,L$7+IF($CF102=0,0,IFERROR(INDEX('职业'!N$3:N$152,$CF102)+0,0))))</f>
        <v/>
      </c>
    </row>
    <row r="104">
      <c r="A104" s="15">
        <f>IF(OR($B$9="",$B$10=""),"",IF($B$9+52&lt;=$B$10,$B$9+52,""))</f>
        <v/>
      </c>
      <c r="B104" s="15">
        <f>IF($A104="","",MATCH($A104,$BV$27:$BV$32,1))</f>
        <v/>
      </c>
      <c r="C104" s="15">
        <f>IF($A104="","",INDEX($BW$27:$BW$32,$B104))</f>
        <v/>
      </c>
      <c r="D104" s="15">
        <f>IF($A104="","",D$9+INT(($B$14+CG104)/100))</f>
        <v/>
      </c>
      <c r="E104" s="15">
        <f>IF($A104="","",E$9+INT(($B$14+CH104)/100))</f>
        <v/>
      </c>
      <c r="F104" s="15">
        <f>IF($A104="","",F$9+INT(($B$14+CI104)/100))</f>
        <v/>
      </c>
      <c r="G104" s="15">
        <f>IF($A104="","",G$9+INT(($B$14+CJ104)/100))</f>
        <v/>
      </c>
      <c r="H104" s="15">
        <f>IF($A104="","",H$9+INT(($B$14+CK104)/100))</f>
        <v/>
      </c>
      <c r="I104" s="15">
        <f>IF($A104="","",I$9+INT(($B$14+CL104)/100))</f>
        <v/>
      </c>
      <c r="J104" s="15">
        <f>IF($A104="","",J$9+INT(($B$14+CM104)/100))</f>
        <v/>
      </c>
      <c r="K104" s="15">
        <f>IF($A104="","",K$9+INT(($B$14+CN104)/100))</f>
        <v/>
      </c>
      <c r="L104" s="15">
        <f>IF($A104="","",L$9+INT(($B$14+CO104)/100))</f>
        <v/>
      </c>
      <c r="M104" s="16">
        <f>IF($A104="","",IF($C104&lt;&gt;$C103,"★ 转职 → 【"&amp;$C104&amp;"】","")&amp;IF($A104=$B$10,"（目标等级）",""))</f>
        <v/>
      </c>
      <c r="P104">
        <f>IF('职业'!$C94="","",'职业'!$C94)</f>
        <v/>
      </c>
      <c r="Q104">
        <f>N('职业'!$D94)</f>
        <v/>
      </c>
      <c r="R104">
        <f>'职业'!$E94&amp;""</f>
        <v/>
      </c>
      <c r="S104">
        <f>IF($P104="",0,MAX(0,D$7+N('职业'!F94)))</f>
        <v/>
      </c>
      <c r="T104">
        <f>IF($P104="",0,MAX(0,E$7+N('职业'!G94)))</f>
        <v/>
      </c>
      <c r="U104">
        <f>IF($P104="",0,MAX(0,F$7+N('职业'!H94)))</f>
        <v/>
      </c>
      <c r="V104">
        <f>IF($P104="",0,MAX(0,G$7+N('职业'!I94)))</f>
        <v/>
      </c>
      <c r="W104">
        <f>IF($P104="",0,MAX(0,H$7+N('职业'!J94)))</f>
        <v/>
      </c>
      <c r="X104">
        <f>IF($P104="",0,MAX(0,I$7+N('职业'!K94)))</f>
        <v/>
      </c>
      <c r="Y104">
        <f>IF($P104="",0,MAX(0,J$7+N('职业'!L94)))</f>
        <v/>
      </c>
      <c r="Z104">
        <f>IF($P104="",0,MAX(0,K$7+N('职业'!M94)))</f>
        <v/>
      </c>
      <c r="AA104">
        <f>IF($P104="",0,MAX(0,L$7+N('职业'!N94)))</f>
        <v/>
      </c>
      <c r="AB104">
        <f>AND($P104&lt;&gt;"",IF($U$5=1,$P104=$C$10,OR($P104=$C$9,AND($R104="是",$Q104&lt;=MAX($B$9,$Q$6)))))</f>
        <v/>
      </c>
      <c r="AC104">
        <f>AND($P104&lt;&gt;"",IF($U$5=2,$P104=$C$10,OR($P104=$C$9,AND($R104="是",$Q104&lt;=MAX($B$9,$Q$7)))))</f>
        <v/>
      </c>
      <c r="AD104">
        <f>AND($P104&lt;&gt;"",IF($U$5=3,$P104=$C$10,OR($P104=$C$9,AND($R104="是",$Q104&lt;=MAX($B$9,$Q$8)))))</f>
        <v/>
      </c>
      <c r="AE104">
        <f>IF(AB104,COUNTIF(AB$13:AB104,TRUE),"")</f>
        <v/>
      </c>
      <c r="AF104">
        <f>IF(AC104,COUNTIF(AC$13:AC104,TRUE),"")</f>
        <v/>
      </c>
      <c r="AG104">
        <f>IF(AD104,COUNTIF(AD$13:AD104,TRUE),"")</f>
        <v/>
      </c>
      <c r="AI104">
        <f>IFERROR(INDEX($P$13:$P$162,MATCH(92,$AE$13:$AE$162,0)),"")</f>
        <v/>
      </c>
      <c r="AJ104">
        <f>IFERROR(INDEX(S$13:S$162,MATCH(92,$AE$13:$AE$162,0)),0)*$T$6</f>
        <v/>
      </c>
      <c r="AK104">
        <f>IFERROR(INDEX(T$13:T$162,MATCH(92,$AE$13:$AE$162,0)),0)*$T$6</f>
        <v/>
      </c>
      <c r="AL104">
        <f>IFERROR(INDEX(U$13:U$162,MATCH(92,$AE$13:$AE$162,0)),0)*$T$6</f>
        <v/>
      </c>
      <c r="AM104">
        <f>IFERROR(INDEX(V$13:V$162,MATCH(92,$AE$13:$AE$162,0)),0)*$T$6</f>
        <v/>
      </c>
      <c r="AN104">
        <f>IFERROR(INDEX(W$13:W$162,MATCH(92,$AE$13:$AE$162,0)),0)*$T$6</f>
        <v/>
      </c>
      <c r="AO104">
        <f>IFERROR(INDEX(X$13:X$162,MATCH(92,$AE$13:$AE$162,0)),0)*$T$6</f>
        <v/>
      </c>
      <c r="AP104">
        <f>IFERROR(INDEX(Y$13:Y$162,MATCH(92,$AE$13:$AE$162,0)),0)*$T$6</f>
        <v/>
      </c>
      <c r="AQ104">
        <f>IFERROR(INDEX(Z$13:Z$162,MATCH(92,$AE$13:$AE$162,0)),0)*$T$6</f>
        <v/>
      </c>
      <c r="AR104">
        <f>IFERROR(INDEX(AA$13:AA$162,MATCH(92,$AE$13:$AE$162,0)),0)*$T$6</f>
        <v/>
      </c>
      <c r="AS104">
        <f>IFERROR(INDEX($P$13:$P$162,MATCH(92,$AF$13:$AF$162,0)),"")</f>
        <v/>
      </c>
      <c r="AT104">
        <f>IFERROR(INDEX(S$13:S$162,MATCH(92,$AF$13:$AF$162,0)),0)*$T$7</f>
        <v/>
      </c>
      <c r="AU104">
        <f>IFERROR(INDEX(T$13:T$162,MATCH(92,$AF$13:$AF$162,0)),0)*$T$7</f>
        <v/>
      </c>
      <c r="AV104">
        <f>IFERROR(INDEX(U$13:U$162,MATCH(92,$AF$13:$AF$162,0)),0)*$T$7</f>
        <v/>
      </c>
      <c r="AW104">
        <f>IFERROR(INDEX(V$13:V$162,MATCH(92,$AF$13:$AF$162,0)),0)*$T$7</f>
        <v/>
      </c>
      <c r="AX104">
        <f>IFERROR(INDEX(W$13:W$162,MATCH(92,$AF$13:$AF$162,0)),0)*$T$7</f>
        <v/>
      </c>
      <c r="AY104">
        <f>IFERROR(INDEX(X$13:X$162,MATCH(92,$AF$13:$AF$162,0)),0)*$T$7</f>
        <v/>
      </c>
      <c r="AZ104">
        <f>IFERROR(INDEX(Y$13:Y$162,MATCH(92,$AF$13:$AF$162,0)),0)*$T$7</f>
        <v/>
      </c>
      <c r="BA104">
        <f>IFERROR(INDEX(Z$13:Z$162,MATCH(92,$AF$13:$AF$162,0)),0)*$T$7</f>
        <v/>
      </c>
      <c r="BB104">
        <f>IFERROR(INDEX(AA$13:AA$162,MATCH(92,$AF$13:$AF$162,0)),0)*$T$7</f>
        <v/>
      </c>
      <c r="BC104">
        <f>IFERROR(INDEX($P$13:$P$162,MATCH(92,$AG$13:$AG$162,0)),"")</f>
        <v/>
      </c>
      <c r="BD104">
        <f>IFERROR(INDEX(S$13:S$162,MATCH(92,$AG$13:$AG$162,0)),0)*($T$8+IF($C$10="",$T$9,0))</f>
        <v/>
      </c>
      <c r="BE104">
        <f>IFERROR(INDEX(T$13:T$162,MATCH(92,$AG$13:$AG$162,0)),0)*($T$8+IF($C$10="",$T$9,0))</f>
        <v/>
      </c>
      <c r="BF104">
        <f>IFERROR(INDEX(U$13:U$162,MATCH(92,$AG$13:$AG$162,0)),0)*($T$8+IF($C$10="",$T$9,0))</f>
        <v/>
      </c>
      <c r="BG104">
        <f>IFERROR(INDEX(V$13:V$162,MATCH(92,$AG$13:$AG$162,0)),0)*($T$8+IF($C$10="",$T$9,0))</f>
        <v/>
      </c>
      <c r="BH104">
        <f>IFERROR(INDEX(W$13:W$162,MATCH(92,$AG$13:$AG$162,0)),0)*($T$8+IF($C$10="",$T$9,0))</f>
        <v/>
      </c>
      <c r="BI104">
        <f>IFERROR(INDEX(X$13:X$162,MATCH(92,$AG$13:$AG$162,0)),0)*($T$8+IF($C$10="",$T$9,0))</f>
        <v/>
      </c>
      <c r="BJ104">
        <f>IFERROR(INDEX(Y$13:Y$162,MATCH(92,$AG$13:$AG$162,0)),0)*($T$8+IF($C$10="",$T$9,0))</f>
        <v/>
      </c>
      <c r="BK104">
        <f>IFERROR(INDEX(Z$13:Z$162,MATCH(92,$AG$13:$AG$162,0)),0)*($T$8+IF($C$10="",$T$9,0))</f>
        <v/>
      </c>
      <c r="BL104">
        <f>IFERROR(INDEX(AA$13:AA$162,MATCH(92,$AG$13:$AG$162,0)),0)*($T$8+IF($C$10="",$T$9,0))</f>
        <v/>
      </c>
      <c r="BN104">
        <f>IF(91&lt;$U$9,INT(91/($U$7*$U$8))+1,1)</f>
        <v/>
      </c>
      <c r="BO104">
        <f>IF(91&lt;$U$9,MOD(INT(91/$U$8),$U$7)+1,1)</f>
        <v/>
      </c>
      <c r="BP104">
        <f>IF(91&lt;$U$9,MOD(91,$U$8)+1,1)</f>
        <v/>
      </c>
      <c r="BQ104">
        <f>IF(91&lt;$U$9,SUMPRODUCT(($D$10:$L$10&lt;&gt;"")*(($D$9:$L$9+INT(($S$12:$AA$12+INDEX($AJ$13:$AR$162,BN104,0)+INDEX($AT$13:$BB$162,BO104,0)+INDEX($BD$13:$BL$162,BP104,0))/100))&gt;=$D$10:$L$10)),0)</f>
        <v/>
      </c>
      <c r="BR104">
        <f>IF(91&lt;$U$9,SUMPRODUCT(($D$10:$L$10&lt;&gt;"")*(($D$10:$L$10-($D$9:$L$9+INT(($S$12:$AA$12+INDEX($AJ$13:$AR$162,BN104,0)+INDEX($AT$13:$BB$162,BO104,0)+INDEX($BD$13:$BL$162,BP104,0))/100)))&gt;0)*($D$10:$L$10-($D$9:$L$9+INT(($S$12:$AA$12+INDEX($AJ$13:$AR$162,BN104,0)+INDEX($AT$13:$BB$162,BO104,0)+INDEX($BD$13:$BL$162,BP104,0))/100)))),0)</f>
        <v/>
      </c>
      <c r="BS104">
        <f>IF(91&lt;$U$9,SUMPRODUCT(($D$9:$L$9+INT(($S$12:$AA$12+INDEX($AJ$13:$AR$162,BN104,0)+INDEX($AT$13:$BB$162,BO104,0)+INDEX($BD$13:$BL$162,BP104,0))/100))),0)</f>
        <v/>
      </c>
      <c r="BT104">
        <f>IF(AND(91&lt;$U$9,$W$5),BQ104*1000000-MIN(BR104,999)*1000+BS104-91/100000,-1000000000-91)</f>
        <v/>
      </c>
      <c r="CF104">
        <f>IF($A104="","",IFERROR(MATCH($C104,'职业'!$C$3:$C$152,0),0))</f>
        <v/>
      </c>
      <c r="CG104">
        <f>IF($A104="","",CG103+MAX(0,D$7+IF($CF103=0,0,IFERROR(INDEX('职业'!F$3:F$152,$CF103)+0,0))))</f>
        <v/>
      </c>
      <c r="CH104">
        <f>IF($A104="","",CH103+MAX(0,E$7+IF($CF103=0,0,IFERROR(INDEX('职业'!G$3:G$152,$CF103)+0,0))))</f>
        <v/>
      </c>
      <c r="CI104">
        <f>IF($A104="","",CI103+MAX(0,F$7+IF($CF103=0,0,IFERROR(INDEX('职业'!H$3:H$152,$CF103)+0,0))))</f>
        <v/>
      </c>
      <c r="CJ104">
        <f>IF($A104="","",CJ103+MAX(0,G$7+IF($CF103=0,0,IFERROR(INDEX('职业'!I$3:I$152,$CF103)+0,0))))</f>
        <v/>
      </c>
      <c r="CK104">
        <f>IF($A104="","",CK103+MAX(0,H$7+IF($CF103=0,0,IFERROR(INDEX('职业'!J$3:J$152,$CF103)+0,0))))</f>
        <v/>
      </c>
      <c r="CL104">
        <f>IF($A104="","",CL103+MAX(0,I$7+IF($CF103=0,0,IFERROR(INDEX('职业'!K$3:K$152,$CF103)+0,0))))</f>
        <v/>
      </c>
      <c r="CM104">
        <f>IF($A104="","",CM103+MAX(0,J$7+IF($CF103=0,0,IFERROR(INDEX('职业'!L$3:L$152,$CF103)+0,0))))</f>
        <v/>
      </c>
      <c r="CN104">
        <f>IF($A104="","",CN103+MAX(0,K$7+IF($CF103=0,0,IFERROR(INDEX('职业'!M$3:M$152,$CF103)+0,0))))</f>
        <v/>
      </c>
      <c r="CO104">
        <f>IF($A104="","",CO103+MAX(0,L$7+IF($CF103=0,0,IFERROR(INDEX('职业'!N$3:N$152,$CF103)+0,0))))</f>
        <v/>
      </c>
    </row>
    <row r="105">
      <c r="A105" s="15">
        <f>IF(OR($B$9="",$B$10=""),"",IF($B$9+53&lt;=$B$10,$B$9+53,""))</f>
        <v/>
      </c>
      <c r="B105" s="15">
        <f>IF($A105="","",MATCH($A105,$BV$27:$BV$32,1))</f>
        <v/>
      </c>
      <c r="C105" s="15">
        <f>IF($A105="","",INDEX($BW$27:$BW$32,$B105))</f>
        <v/>
      </c>
      <c r="D105" s="15">
        <f>IF($A105="","",D$9+INT(($B$14+CG105)/100))</f>
        <v/>
      </c>
      <c r="E105" s="15">
        <f>IF($A105="","",E$9+INT(($B$14+CH105)/100))</f>
        <v/>
      </c>
      <c r="F105" s="15">
        <f>IF($A105="","",F$9+INT(($B$14+CI105)/100))</f>
        <v/>
      </c>
      <c r="G105" s="15">
        <f>IF($A105="","",G$9+INT(($B$14+CJ105)/100))</f>
        <v/>
      </c>
      <c r="H105" s="15">
        <f>IF($A105="","",H$9+INT(($B$14+CK105)/100))</f>
        <v/>
      </c>
      <c r="I105" s="15">
        <f>IF($A105="","",I$9+INT(($B$14+CL105)/100))</f>
        <v/>
      </c>
      <c r="J105" s="15">
        <f>IF($A105="","",J$9+INT(($B$14+CM105)/100))</f>
        <v/>
      </c>
      <c r="K105" s="15">
        <f>IF($A105="","",K$9+INT(($B$14+CN105)/100))</f>
        <v/>
      </c>
      <c r="L105" s="15">
        <f>IF($A105="","",L$9+INT(($B$14+CO105)/100))</f>
        <v/>
      </c>
      <c r="M105" s="16">
        <f>IF($A105="","",IF($C105&lt;&gt;$C104,"★ 转职 → 【"&amp;$C105&amp;"】","")&amp;IF($A105=$B$10,"（目标等级）",""))</f>
        <v/>
      </c>
      <c r="P105">
        <f>IF('职业'!$C95="","",'职业'!$C95)</f>
        <v/>
      </c>
      <c r="Q105">
        <f>N('职业'!$D95)</f>
        <v/>
      </c>
      <c r="R105">
        <f>'职业'!$E95&amp;""</f>
        <v/>
      </c>
      <c r="S105">
        <f>IF($P105="",0,MAX(0,D$7+N('职业'!F95)))</f>
        <v/>
      </c>
      <c r="T105">
        <f>IF($P105="",0,MAX(0,E$7+N('职业'!G95)))</f>
        <v/>
      </c>
      <c r="U105">
        <f>IF($P105="",0,MAX(0,F$7+N('职业'!H95)))</f>
        <v/>
      </c>
      <c r="V105">
        <f>IF($P105="",0,MAX(0,G$7+N('职业'!I95)))</f>
        <v/>
      </c>
      <c r="W105">
        <f>IF($P105="",0,MAX(0,H$7+N('职业'!J95)))</f>
        <v/>
      </c>
      <c r="X105">
        <f>IF($P105="",0,MAX(0,I$7+N('职业'!K95)))</f>
        <v/>
      </c>
      <c r="Y105">
        <f>IF($P105="",0,MAX(0,J$7+N('职业'!L95)))</f>
        <v/>
      </c>
      <c r="Z105">
        <f>IF($P105="",0,MAX(0,K$7+N('职业'!M95)))</f>
        <v/>
      </c>
      <c r="AA105">
        <f>IF($P105="",0,MAX(0,L$7+N('职业'!N95)))</f>
        <v/>
      </c>
      <c r="AB105">
        <f>AND($P105&lt;&gt;"",IF($U$5=1,$P105=$C$10,OR($P105=$C$9,AND($R105="是",$Q105&lt;=MAX($B$9,$Q$6)))))</f>
        <v/>
      </c>
      <c r="AC105">
        <f>AND($P105&lt;&gt;"",IF($U$5=2,$P105=$C$10,OR($P105=$C$9,AND($R105="是",$Q105&lt;=MAX($B$9,$Q$7)))))</f>
        <v/>
      </c>
      <c r="AD105">
        <f>AND($P105&lt;&gt;"",IF($U$5=3,$P105=$C$10,OR($P105=$C$9,AND($R105="是",$Q105&lt;=MAX($B$9,$Q$8)))))</f>
        <v/>
      </c>
      <c r="AE105">
        <f>IF(AB105,COUNTIF(AB$13:AB105,TRUE),"")</f>
        <v/>
      </c>
      <c r="AF105">
        <f>IF(AC105,COUNTIF(AC$13:AC105,TRUE),"")</f>
        <v/>
      </c>
      <c r="AG105">
        <f>IF(AD105,COUNTIF(AD$13:AD105,TRUE),"")</f>
        <v/>
      </c>
      <c r="AI105">
        <f>IFERROR(INDEX($P$13:$P$162,MATCH(93,$AE$13:$AE$162,0)),"")</f>
        <v/>
      </c>
      <c r="AJ105">
        <f>IFERROR(INDEX(S$13:S$162,MATCH(93,$AE$13:$AE$162,0)),0)*$T$6</f>
        <v/>
      </c>
      <c r="AK105">
        <f>IFERROR(INDEX(T$13:T$162,MATCH(93,$AE$13:$AE$162,0)),0)*$T$6</f>
        <v/>
      </c>
      <c r="AL105">
        <f>IFERROR(INDEX(U$13:U$162,MATCH(93,$AE$13:$AE$162,0)),0)*$T$6</f>
        <v/>
      </c>
      <c r="AM105">
        <f>IFERROR(INDEX(V$13:V$162,MATCH(93,$AE$13:$AE$162,0)),0)*$T$6</f>
        <v/>
      </c>
      <c r="AN105">
        <f>IFERROR(INDEX(W$13:W$162,MATCH(93,$AE$13:$AE$162,0)),0)*$T$6</f>
        <v/>
      </c>
      <c r="AO105">
        <f>IFERROR(INDEX(X$13:X$162,MATCH(93,$AE$13:$AE$162,0)),0)*$T$6</f>
        <v/>
      </c>
      <c r="AP105">
        <f>IFERROR(INDEX(Y$13:Y$162,MATCH(93,$AE$13:$AE$162,0)),0)*$T$6</f>
        <v/>
      </c>
      <c r="AQ105">
        <f>IFERROR(INDEX(Z$13:Z$162,MATCH(93,$AE$13:$AE$162,0)),0)*$T$6</f>
        <v/>
      </c>
      <c r="AR105">
        <f>IFERROR(INDEX(AA$13:AA$162,MATCH(93,$AE$13:$AE$162,0)),0)*$T$6</f>
        <v/>
      </c>
      <c r="AS105">
        <f>IFERROR(INDEX($P$13:$P$162,MATCH(93,$AF$13:$AF$162,0)),"")</f>
        <v/>
      </c>
      <c r="AT105">
        <f>IFERROR(INDEX(S$13:S$162,MATCH(93,$AF$13:$AF$162,0)),0)*$T$7</f>
        <v/>
      </c>
      <c r="AU105">
        <f>IFERROR(INDEX(T$13:T$162,MATCH(93,$AF$13:$AF$162,0)),0)*$T$7</f>
        <v/>
      </c>
      <c r="AV105">
        <f>IFERROR(INDEX(U$13:U$162,MATCH(93,$AF$13:$AF$162,0)),0)*$T$7</f>
        <v/>
      </c>
      <c r="AW105">
        <f>IFERROR(INDEX(V$13:V$162,MATCH(93,$AF$13:$AF$162,0)),0)*$T$7</f>
        <v/>
      </c>
      <c r="AX105">
        <f>IFERROR(INDEX(W$13:W$162,MATCH(93,$AF$13:$AF$162,0)),0)*$T$7</f>
        <v/>
      </c>
      <c r="AY105">
        <f>IFERROR(INDEX(X$13:X$162,MATCH(93,$AF$13:$AF$162,0)),0)*$T$7</f>
        <v/>
      </c>
      <c r="AZ105">
        <f>IFERROR(INDEX(Y$13:Y$162,MATCH(93,$AF$13:$AF$162,0)),0)*$T$7</f>
        <v/>
      </c>
      <c r="BA105">
        <f>IFERROR(INDEX(Z$13:Z$162,MATCH(93,$AF$13:$AF$162,0)),0)*$T$7</f>
        <v/>
      </c>
      <c r="BB105">
        <f>IFERROR(INDEX(AA$13:AA$162,MATCH(93,$AF$13:$AF$162,0)),0)*$T$7</f>
        <v/>
      </c>
      <c r="BC105">
        <f>IFERROR(INDEX($P$13:$P$162,MATCH(93,$AG$13:$AG$162,0)),"")</f>
        <v/>
      </c>
      <c r="BD105">
        <f>IFERROR(INDEX(S$13:S$162,MATCH(93,$AG$13:$AG$162,0)),0)*($T$8+IF($C$10="",$T$9,0))</f>
        <v/>
      </c>
      <c r="BE105">
        <f>IFERROR(INDEX(T$13:T$162,MATCH(93,$AG$13:$AG$162,0)),0)*($T$8+IF($C$10="",$T$9,0))</f>
        <v/>
      </c>
      <c r="BF105">
        <f>IFERROR(INDEX(U$13:U$162,MATCH(93,$AG$13:$AG$162,0)),0)*($T$8+IF($C$10="",$T$9,0))</f>
        <v/>
      </c>
      <c r="BG105">
        <f>IFERROR(INDEX(V$13:V$162,MATCH(93,$AG$13:$AG$162,0)),0)*($T$8+IF($C$10="",$T$9,0))</f>
        <v/>
      </c>
      <c r="BH105">
        <f>IFERROR(INDEX(W$13:W$162,MATCH(93,$AG$13:$AG$162,0)),0)*($T$8+IF($C$10="",$T$9,0))</f>
        <v/>
      </c>
      <c r="BI105">
        <f>IFERROR(INDEX(X$13:X$162,MATCH(93,$AG$13:$AG$162,0)),0)*($T$8+IF($C$10="",$T$9,0))</f>
        <v/>
      </c>
      <c r="BJ105">
        <f>IFERROR(INDEX(Y$13:Y$162,MATCH(93,$AG$13:$AG$162,0)),0)*($T$8+IF($C$10="",$T$9,0))</f>
        <v/>
      </c>
      <c r="BK105">
        <f>IFERROR(INDEX(Z$13:Z$162,MATCH(93,$AG$13:$AG$162,0)),0)*($T$8+IF($C$10="",$T$9,0))</f>
        <v/>
      </c>
      <c r="BL105">
        <f>IFERROR(INDEX(AA$13:AA$162,MATCH(93,$AG$13:$AG$162,0)),0)*($T$8+IF($C$10="",$T$9,0))</f>
        <v/>
      </c>
      <c r="BN105">
        <f>IF(92&lt;$U$9,INT(92/($U$7*$U$8))+1,1)</f>
        <v/>
      </c>
      <c r="BO105">
        <f>IF(92&lt;$U$9,MOD(INT(92/$U$8),$U$7)+1,1)</f>
        <v/>
      </c>
      <c r="BP105">
        <f>IF(92&lt;$U$9,MOD(92,$U$8)+1,1)</f>
        <v/>
      </c>
      <c r="BQ105">
        <f>IF(92&lt;$U$9,SUMPRODUCT(($D$10:$L$10&lt;&gt;"")*(($D$9:$L$9+INT(($S$12:$AA$12+INDEX($AJ$13:$AR$162,BN105,0)+INDEX($AT$13:$BB$162,BO105,0)+INDEX($BD$13:$BL$162,BP105,0))/100))&gt;=$D$10:$L$10)),0)</f>
        <v/>
      </c>
      <c r="BR105">
        <f>IF(92&lt;$U$9,SUMPRODUCT(($D$10:$L$10&lt;&gt;"")*(($D$10:$L$10-($D$9:$L$9+INT(($S$12:$AA$12+INDEX($AJ$13:$AR$162,BN105,0)+INDEX($AT$13:$BB$162,BO105,0)+INDEX($BD$13:$BL$162,BP105,0))/100)))&gt;0)*($D$10:$L$10-($D$9:$L$9+INT(($S$12:$AA$12+INDEX($AJ$13:$AR$162,BN105,0)+INDEX($AT$13:$BB$162,BO105,0)+INDEX($BD$13:$BL$162,BP105,0))/100)))),0)</f>
        <v/>
      </c>
      <c r="BS105">
        <f>IF(92&lt;$U$9,SUMPRODUCT(($D$9:$L$9+INT(($S$12:$AA$12+INDEX($AJ$13:$AR$162,BN105,0)+INDEX($AT$13:$BB$162,BO105,0)+INDEX($BD$13:$BL$162,BP105,0))/100))),0)</f>
        <v/>
      </c>
      <c r="BT105">
        <f>IF(AND(92&lt;$U$9,$W$5),BQ105*1000000-MIN(BR105,999)*1000+BS105-92/100000,-1000000000-92)</f>
        <v/>
      </c>
      <c r="CF105">
        <f>IF($A105="","",IFERROR(MATCH($C105,'职业'!$C$3:$C$152,0),0))</f>
        <v/>
      </c>
      <c r="CG105">
        <f>IF($A105="","",CG104+MAX(0,D$7+IF($CF104=0,0,IFERROR(INDEX('职业'!F$3:F$152,$CF104)+0,0))))</f>
        <v/>
      </c>
      <c r="CH105">
        <f>IF($A105="","",CH104+MAX(0,E$7+IF($CF104=0,0,IFERROR(INDEX('职业'!G$3:G$152,$CF104)+0,0))))</f>
        <v/>
      </c>
      <c r="CI105">
        <f>IF($A105="","",CI104+MAX(0,F$7+IF($CF104=0,0,IFERROR(INDEX('职业'!H$3:H$152,$CF104)+0,0))))</f>
        <v/>
      </c>
      <c r="CJ105">
        <f>IF($A105="","",CJ104+MAX(0,G$7+IF($CF104=0,0,IFERROR(INDEX('职业'!I$3:I$152,$CF104)+0,0))))</f>
        <v/>
      </c>
      <c r="CK105">
        <f>IF($A105="","",CK104+MAX(0,H$7+IF($CF104=0,0,IFERROR(INDEX('职业'!J$3:J$152,$CF104)+0,0))))</f>
        <v/>
      </c>
      <c r="CL105">
        <f>IF($A105="","",CL104+MAX(0,I$7+IF($CF104=0,0,IFERROR(INDEX('职业'!K$3:K$152,$CF104)+0,0))))</f>
        <v/>
      </c>
      <c r="CM105">
        <f>IF($A105="","",CM104+MAX(0,J$7+IF($CF104=0,0,IFERROR(INDEX('职业'!L$3:L$152,$CF104)+0,0))))</f>
        <v/>
      </c>
      <c r="CN105">
        <f>IF($A105="","",CN104+MAX(0,K$7+IF($CF104=0,0,IFERROR(INDEX('职业'!M$3:M$152,$CF104)+0,0))))</f>
        <v/>
      </c>
      <c r="CO105">
        <f>IF($A105="","",CO104+MAX(0,L$7+IF($CF104=0,0,IFERROR(INDEX('职业'!N$3:N$152,$CF104)+0,0))))</f>
        <v/>
      </c>
    </row>
    <row r="106">
      <c r="A106" s="15">
        <f>IF(OR($B$9="",$B$10=""),"",IF($B$9+54&lt;=$B$10,$B$9+54,""))</f>
        <v/>
      </c>
      <c r="B106" s="15">
        <f>IF($A106="","",MATCH($A106,$BV$27:$BV$32,1))</f>
        <v/>
      </c>
      <c r="C106" s="15">
        <f>IF($A106="","",INDEX($BW$27:$BW$32,$B106))</f>
        <v/>
      </c>
      <c r="D106" s="15">
        <f>IF($A106="","",D$9+INT(($B$14+CG106)/100))</f>
        <v/>
      </c>
      <c r="E106" s="15">
        <f>IF($A106="","",E$9+INT(($B$14+CH106)/100))</f>
        <v/>
      </c>
      <c r="F106" s="15">
        <f>IF($A106="","",F$9+INT(($B$14+CI106)/100))</f>
        <v/>
      </c>
      <c r="G106" s="15">
        <f>IF($A106="","",G$9+INT(($B$14+CJ106)/100))</f>
        <v/>
      </c>
      <c r="H106" s="15">
        <f>IF($A106="","",H$9+INT(($B$14+CK106)/100))</f>
        <v/>
      </c>
      <c r="I106" s="15">
        <f>IF($A106="","",I$9+INT(($B$14+CL106)/100))</f>
        <v/>
      </c>
      <c r="J106" s="15">
        <f>IF($A106="","",J$9+INT(($B$14+CM106)/100))</f>
        <v/>
      </c>
      <c r="K106" s="15">
        <f>IF($A106="","",K$9+INT(($B$14+CN106)/100))</f>
        <v/>
      </c>
      <c r="L106" s="15">
        <f>IF($A106="","",L$9+INT(($B$14+CO106)/100))</f>
        <v/>
      </c>
      <c r="M106" s="16">
        <f>IF($A106="","",IF($C106&lt;&gt;$C105,"★ 转职 → 【"&amp;$C106&amp;"】","")&amp;IF($A106=$B$10,"（目标等级）",""))</f>
        <v/>
      </c>
      <c r="P106">
        <f>IF('职业'!$C96="","",'职业'!$C96)</f>
        <v/>
      </c>
      <c r="Q106">
        <f>N('职业'!$D96)</f>
        <v/>
      </c>
      <c r="R106">
        <f>'职业'!$E96&amp;""</f>
        <v/>
      </c>
      <c r="S106">
        <f>IF($P106="",0,MAX(0,D$7+N('职业'!F96)))</f>
        <v/>
      </c>
      <c r="T106">
        <f>IF($P106="",0,MAX(0,E$7+N('职业'!G96)))</f>
        <v/>
      </c>
      <c r="U106">
        <f>IF($P106="",0,MAX(0,F$7+N('职业'!H96)))</f>
        <v/>
      </c>
      <c r="V106">
        <f>IF($P106="",0,MAX(0,G$7+N('职业'!I96)))</f>
        <v/>
      </c>
      <c r="W106">
        <f>IF($P106="",0,MAX(0,H$7+N('职业'!J96)))</f>
        <v/>
      </c>
      <c r="X106">
        <f>IF($P106="",0,MAX(0,I$7+N('职业'!K96)))</f>
        <v/>
      </c>
      <c r="Y106">
        <f>IF($P106="",0,MAX(0,J$7+N('职业'!L96)))</f>
        <v/>
      </c>
      <c r="Z106">
        <f>IF($P106="",0,MAX(0,K$7+N('职业'!M96)))</f>
        <v/>
      </c>
      <c r="AA106">
        <f>IF($P106="",0,MAX(0,L$7+N('职业'!N96)))</f>
        <v/>
      </c>
      <c r="AB106">
        <f>AND($P106&lt;&gt;"",IF($U$5=1,$P106=$C$10,OR($P106=$C$9,AND($R106="是",$Q106&lt;=MAX($B$9,$Q$6)))))</f>
        <v/>
      </c>
      <c r="AC106">
        <f>AND($P106&lt;&gt;"",IF($U$5=2,$P106=$C$10,OR($P106=$C$9,AND($R106="是",$Q106&lt;=MAX($B$9,$Q$7)))))</f>
        <v/>
      </c>
      <c r="AD106">
        <f>AND($P106&lt;&gt;"",IF($U$5=3,$P106=$C$10,OR($P106=$C$9,AND($R106="是",$Q106&lt;=MAX($B$9,$Q$8)))))</f>
        <v/>
      </c>
      <c r="AE106">
        <f>IF(AB106,COUNTIF(AB$13:AB106,TRUE),"")</f>
        <v/>
      </c>
      <c r="AF106">
        <f>IF(AC106,COUNTIF(AC$13:AC106,TRUE),"")</f>
        <v/>
      </c>
      <c r="AG106">
        <f>IF(AD106,COUNTIF(AD$13:AD106,TRUE),"")</f>
        <v/>
      </c>
      <c r="AI106">
        <f>IFERROR(INDEX($P$13:$P$162,MATCH(94,$AE$13:$AE$162,0)),"")</f>
        <v/>
      </c>
      <c r="AJ106">
        <f>IFERROR(INDEX(S$13:S$162,MATCH(94,$AE$13:$AE$162,0)),0)*$T$6</f>
        <v/>
      </c>
      <c r="AK106">
        <f>IFERROR(INDEX(T$13:T$162,MATCH(94,$AE$13:$AE$162,0)),0)*$T$6</f>
        <v/>
      </c>
      <c r="AL106">
        <f>IFERROR(INDEX(U$13:U$162,MATCH(94,$AE$13:$AE$162,0)),0)*$T$6</f>
        <v/>
      </c>
      <c r="AM106">
        <f>IFERROR(INDEX(V$13:V$162,MATCH(94,$AE$13:$AE$162,0)),0)*$T$6</f>
        <v/>
      </c>
      <c r="AN106">
        <f>IFERROR(INDEX(W$13:W$162,MATCH(94,$AE$13:$AE$162,0)),0)*$T$6</f>
        <v/>
      </c>
      <c r="AO106">
        <f>IFERROR(INDEX(X$13:X$162,MATCH(94,$AE$13:$AE$162,0)),0)*$T$6</f>
        <v/>
      </c>
      <c r="AP106">
        <f>IFERROR(INDEX(Y$13:Y$162,MATCH(94,$AE$13:$AE$162,0)),0)*$T$6</f>
        <v/>
      </c>
      <c r="AQ106">
        <f>IFERROR(INDEX(Z$13:Z$162,MATCH(94,$AE$13:$AE$162,0)),0)*$T$6</f>
        <v/>
      </c>
      <c r="AR106">
        <f>IFERROR(INDEX(AA$13:AA$162,MATCH(94,$AE$13:$AE$162,0)),0)*$T$6</f>
        <v/>
      </c>
      <c r="AS106">
        <f>IFERROR(INDEX($P$13:$P$162,MATCH(94,$AF$13:$AF$162,0)),"")</f>
        <v/>
      </c>
      <c r="AT106">
        <f>IFERROR(INDEX(S$13:S$162,MATCH(94,$AF$13:$AF$162,0)),0)*$T$7</f>
        <v/>
      </c>
      <c r="AU106">
        <f>IFERROR(INDEX(T$13:T$162,MATCH(94,$AF$13:$AF$162,0)),0)*$T$7</f>
        <v/>
      </c>
      <c r="AV106">
        <f>IFERROR(INDEX(U$13:U$162,MATCH(94,$AF$13:$AF$162,0)),0)*$T$7</f>
        <v/>
      </c>
      <c r="AW106">
        <f>IFERROR(INDEX(V$13:V$162,MATCH(94,$AF$13:$AF$162,0)),0)*$T$7</f>
        <v/>
      </c>
      <c r="AX106">
        <f>IFERROR(INDEX(W$13:W$162,MATCH(94,$AF$13:$AF$162,0)),0)*$T$7</f>
        <v/>
      </c>
      <c r="AY106">
        <f>IFERROR(INDEX(X$13:X$162,MATCH(94,$AF$13:$AF$162,0)),0)*$T$7</f>
        <v/>
      </c>
      <c r="AZ106">
        <f>IFERROR(INDEX(Y$13:Y$162,MATCH(94,$AF$13:$AF$162,0)),0)*$T$7</f>
        <v/>
      </c>
      <c r="BA106">
        <f>IFERROR(INDEX(Z$13:Z$162,MATCH(94,$AF$13:$AF$162,0)),0)*$T$7</f>
        <v/>
      </c>
      <c r="BB106">
        <f>IFERROR(INDEX(AA$13:AA$162,MATCH(94,$AF$13:$AF$162,0)),0)*$T$7</f>
        <v/>
      </c>
      <c r="BC106">
        <f>IFERROR(INDEX($P$13:$P$162,MATCH(94,$AG$13:$AG$162,0)),"")</f>
        <v/>
      </c>
      <c r="BD106">
        <f>IFERROR(INDEX(S$13:S$162,MATCH(94,$AG$13:$AG$162,0)),0)*($T$8+IF($C$10="",$T$9,0))</f>
        <v/>
      </c>
      <c r="BE106">
        <f>IFERROR(INDEX(T$13:T$162,MATCH(94,$AG$13:$AG$162,0)),0)*($T$8+IF($C$10="",$T$9,0))</f>
        <v/>
      </c>
      <c r="BF106">
        <f>IFERROR(INDEX(U$13:U$162,MATCH(94,$AG$13:$AG$162,0)),0)*($T$8+IF($C$10="",$T$9,0))</f>
        <v/>
      </c>
      <c r="BG106">
        <f>IFERROR(INDEX(V$13:V$162,MATCH(94,$AG$13:$AG$162,0)),0)*($T$8+IF($C$10="",$T$9,0))</f>
        <v/>
      </c>
      <c r="BH106">
        <f>IFERROR(INDEX(W$13:W$162,MATCH(94,$AG$13:$AG$162,0)),0)*($T$8+IF($C$10="",$T$9,0))</f>
        <v/>
      </c>
      <c r="BI106">
        <f>IFERROR(INDEX(X$13:X$162,MATCH(94,$AG$13:$AG$162,0)),0)*($T$8+IF($C$10="",$T$9,0))</f>
        <v/>
      </c>
      <c r="BJ106">
        <f>IFERROR(INDEX(Y$13:Y$162,MATCH(94,$AG$13:$AG$162,0)),0)*($T$8+IF($C$10="",$T$9,0))</f>
        <v/>
      </c>
      <c r="BK106">
        <f>IFERROR(INDEX(Z$13:Z$162,MATCH(94,$AG$13:$AG$162,0)),0)*($T$8+IF($C$10="",$T$9,0))</f>
        <v/>
      </c>
      <c r="BL106">
        <f>IFERROR(INDEX(AA$13:AA$162,MATCH(94,$AG$13:$AG$162,0)),0)*($T$8+IF($C$10="",$T$9,0))</f>
        <v/>
      </c>
      <c r="BN106">
        <f>IF(93&lt;$U$9,INT(93/($U$7*$U$8))+1,1)</f>
        <v/>
      </c>
      <c r="BO106">
        <f>IF(93&lt;$U$9,MOD(INT(93/$U$8),$U$7)+1,1)</f>
        <v/>
      </c>
      <c r="BP106">
        <f>IF(93&lt;$U$9,MOD(93,$U$8)+1,1)</f>
        <v/>
      </c>
      <c r="BQ106">
        <f>IF(93&lt;$U$9,SUMPRODUCT(($D$10:$L$10&lt;&gt;"")*(($D$9:$L$9+INT(($S$12:$AA$12+INDEX($AJ$13:$AR$162,BN106,0)+INDEX($AT$13:$BB$162,BO106,0)+INDEX($BD$13:$BL$162,BP106,0))/100))&gt;=$D$10:$L$10)),0)</f>
        <v/>
      </c>
      <c r="BR106">
        <f>IF(93&lt;$U$9,SUMPRODUCT(($D$10:$L$10&lt;&gt;"")*(($D$10:$L$10-($D$9:$L$9+INT(($S$12:$AA$12+INDEX($AJ$13:$AR$162,BN106,0)+INDEX($AT$13:$BB$162,BO106,0)+INDEX($BD$13:$BL$162,BP106,0))/100)))&gt;0)*($D$10:$L$10-($D$9:$L$9+INT(($S$12:$AA$12+INDEX($AJ$13:$AR$162,BN106,0)+INDEX($AT$13:$BB$162,BO106,0)+INDEX($BD$13:$BL$162,BP106,0))/100)))),0)</f>
        <v/>
      </c>
      <c r="BS106">
        <f>IF(93&lt;$U$9,SUMPRODUCT(($D$9:$L$9+INT(($S$12:$AA$12+INDEX($AJ$13:$AR$162,BN106,0)+INDEX($AT$13:$BB$162,BO106,0)+INDEX($BD$13:$BL$162,BP106,0))/100))),0)</f>
        <v/>
      </c>
      <c r="BT106">
        <f>IF(AND(93&lt;$U$9,$W$5),BQ106*1000000-MIN(BR106,999)*1000+BS106-93/100000,-1000000000-93)</f>
        <v/>
      </c>
      <c r="CF106">
        <f>IF($A106="","",IFERROR(MATCH($C106,'职业'!$C$3:$C$152,0),0))</f>
        <v/>
      </c>
      <c r="CG106">
        <f>IF($A106="","",CG105+MAX(0,D$7+IF($CF105=0,0,IFERROR(INDEX('职业'!F$3:F$152,$CF105)+0,0))))</f>
        <v/>
      </c>
      <c r="CH106">
        <f>IF($A106="","",CH105+MAX(0,E$7+IF($CF105=0,0,IFERROR(INDEX('职业'!G$3:G$152,$CF105)+0,0))))</f>
        <v/>
      </c>
      <c r="CI106">
        <f>IF($A106="","",CI105+MAX(0,F$7+IF($CF105=0,0,IFERROR(INDEX('职业'!H$3:H$152,$CF105)+0,0))))</f>
        <v/>
      </c>
      <c r="CJ106">
        <f>IF($A106="","",CJ105+MAX(0,G$7+IF($CF105=0,0,IFERROR(INDEX('职业'!I$3:I$152,$CF105)+0,0))))</f>
        <v/>
      </c>
      <c r="CK106">
        <f>IF($A106="","",CK105+MAX(0,H$7+IF($CF105=0,0,IFERROR(INDEX('职业'!J$3:J$152,$CF105)+0,0))))</f>
        <v/>
      </c>
      <c r="CL106">
        <f>IF($A106="","",CL105+MAX(0,I$7+IF($CF105=0,0,IFERROR(INDEX('职业'!K$3:K$152,$CF105)+0,0))))</f>
        <v/>
      </c>
      <c r="CM106">
        <f>IF($A106="","",CM105+MAX(0,J$7+IF($CF105=0,0,IFERROR(INDEX('职业'!L$3:L$152,$CF105)+0,0))))</f>
        <v/>
      </c>
      <c r="CN106">
        <f>IF($A106="","",CN105+MAX(0,K$7+IF($CF105=0,0,IFERROR(INDEX('职业'!M$3:M$152,$CF105)+0,0))))</f>
        <v/>
      </c>
      <c r="CO106">
        <f>IF($A106="","",CO105+MAX(0,L$7+IF($CF105=0,0,IFERROR(INDEX('职业'!N$3:N$152,$CF105)+0,0))))</f>
        <v/>
      </c>
    </row>
    <row r="107">
      <c r="A107" s="15">
        <f>IF(OR($B$9="",$B$10=""),"",IF($B$9+55&lt;=$B$10,$B$9+55,""))</f>
        <v/>
      </c>
      <c r="B107" s="15">
        <f>IF($A107="","",MATCH($A107,$BV$27:$BV$32,1))</f>
        <v/>
      </c>
      <c r="C107" s="15">
        <f>IF($A107="","",INDEX($BW$27:$BW$32,$B107))</f>
        <v/>
      </c>
      <c r="D107" s="15">
        <f>IF($A107="","",D$9+INT(($B$14+CG107)/100))</f>
        <v/>
      </c>
      <c r="E107" s="15">
        <f>IF($A107="","",E$9+INT(($B$14+CH107)/100))</f>
        <v/>
      </c>
      <c r="F107" s="15">
        <f>IF($A107="","",F$9+INT(($B$14+CI107)/100))</f>
        <v/>
      </c>
      <c r="G107" s="15">
        <f>IF($A107="","",G$9+INT(($B$14+CJ107)/100))</f>
        <v/>
      </c>
      <c r="H107" s="15">
        <f>IF($A107="","",H$9+INT(($B$14+CK107)/100))</f>
        <v/>
      </c>
      <c r="I107" s="15">
        <f>IF($A107="","",I$9+INT(($B$14+CL107)/100))</f>
        <v/>
      </c>
      <c r="J107" s="15">
        <f>IF($A107="","",J$9+INT(($B$14+CM107)/100))</f>
        <v/>
      </c>
      <c r="K107" s="15">
        <f>IF($A107="","",K$9+INT(($B$14+CN107)/100))</f>
        <v/>
      </c>
      <c r="L107" s="15">
        <f>IF($A107="","",L$9+INT(($B$14+CO107)/100))</f>
        <v/>
      </c>
      <c r="M107" s="16">
        <f>IF($A107="","",IF($C107&lt;&gt;$C106,"★ 转职 → 【"&amp;$C107&amp;"】","")&amp;IF($A107=$B$10,"（目标等级）",""))</f>
        <v/>
      </c>
      <c r="P107">
        <f>IF('职业'!$C97="","",'职业'!$C97)</f>
        <v/>
      </c>
      <c r="Q107">
        <f>N('职业'!$D97)</f>
        <v/>
      </c>
      <c r="R107">
        <f>'职业'!$E97&amp;""</f>
        <v/>
      </c>
      <c r="S107">
        <f>IF($P107="",0,MAX(0,D$7+N('职业'!F97)))</f>
        <v/>
      </c>
      <c r="T107">
        <f>IF($P107="",0,MAX(0,E$7+N('职业'!G97)))</f>
        <v/>
      </c>
      <c r="U107">
        <f>IF($P107="",0,MAX(0,F$7+N('职业'!H97)))</f>
        <v/>
      </c>
      <c r="V107">
        <f>IF($P107="",0,MAX(0,G$7+N('职业'!I97)))</f>
        <v/>
      </c>
      <c r="W107">
        <f>IF($P107="",0,MAX(0,H$7+N('职业'!J97)))</f>
        <v/>
      </c>
      <c r="X107">
        <f>IF($P107="",0,MAX(0,I$7+N('职业'!K97)))</f>
        <v/>
      </c>
      <c r="Y107">
        <f>IF($P107="",0,MAX(0,J$7+N('职业'!L97)))</f>
        <v/>
      </c>
      <c r="Z107">
        <f>IF($P107="",0,MAX(0,K$7+N('职业'!M97)))</f>
        <v/>
      </c>
      <c r="AA107">
        <f>IF($P107="",0,MAX(0,L$7+N('职业'!N97)))</f>
        <v/>
      </c>
      <c r="AB107">
        <f>AND($P107&lt;&gt;"",IF($U$5=1,$P107=$C$10,OR($P107=$C$9,AND($R107="是",$Q107&lt;=MAX($B$9,$Q$6)))))</f>
        <v/>
      </c>
      <c r="AC107">
        <f>AND($P107&lt;&gt;"",IF($U$5=2,$P107=$C$10,OR($P107=$C$9,AND($R107="是",$Q107&lt;=MAX($B$9,$Q$7)))))</f>
        <v/>
      </c>
      <c r="AD107">
        <f>AND($P107&lt;&gt;"",IF($U$5=3,$P107=$C$10,OR($P107=$C$9,AND($R107="是",$Q107&lt;=MAX($B$9,$Q$8)))))</f>
        <v/>
      </c>
      <c r="AE107">
        <f>IF(AB107,COUNTIF(AB$13:AB107,TRUE),"")</f>
        <v/>
      </c>
      <c r="AF107">
        <f>IF(AC107,COUNTIF(AC$13:AC107,TRUE),"")</f>
        <v/>
      </c>
      <c r="AG107">
        <f>IF(AD107,COUNTIF(AD$13:AD107,TRUE),"")</f>
        <v/>
      </c>
      <c r="AI107">
        <f>IFERROR(INDEX($P$13:$P$162,MATCH(95,$AE$13:$AE$162,0)),"")</f>
        <v/>
      </c>
      <c r="AJ107">
        <f>IFERROR(INDEX(S$13:S$162,MATCH(95,$AE$13:$AE$162,0)),0)*$T$6</f>
        <v/>
      </c>
      <c r="AK107">
        <f>IFERROR(INDEX(T$13:T$162,MATCH(95,$AE$13:$AE$162,0)),0)*$T$6</f>
        <v/>
      </c>
      <c r="AL107">
        <f>IFERROR(INDEX(U$13:U$162,MATCH(95,$AE$13:$AE$162,0)),0)*$T$6</f>
        <v/>
      </c>
      <c r="AM107">
        <f>IFERROR(INDEX(V$13:V$162,MATCH(95,$AE$13:$AE$162,0)),0)*$T$6</f>
        <v/>
      </c>
      <c r="AN107">
        <f>IFERROR(INDEX(W$13:W$162,MATCH(95,$AE$13:$AE$162,0)),0)*$T$6</f>
        <v/>
      </c>
      <c r="AO107">
        <f>IFERROR(INDEX(X$13:X$162,MATCH(95,$AE$13:$AE$162,0)),0)*$T$6</f>
        <v/>
      </c>
      <c r="AP107">
        <f>IFERROR(INDEX(Y$13:Y$162,MATCH(95,$AE$13:$AE$162,0)),0)*$T$6</f>
        <v/>
      </c>
      <c r="AQ107">
        <f>IFERROR(INDEX(Z$13:Z$162,MATCH(95,$AE$13:$AE$162,0)),0)*$T$6</f>
        <v/>
      </c>
      <c r="AR107">
        <f>IFERROR(INDEX(AA$13:AA$162,MATCH(95,$AE$13:$AE$162,0)),0)*$T$6</f>
        <v/>
      </c>
      <c r="AS107">
        <f>IFERROR(INDEX($P$13:$P$162,MATCH(95,$AF$13:$AF$162,0)),"")</f>
        <v/>
      </c>
      <c r="AT107">
        <f>IFERROR(INDEX(S$13:S$162,MATCH(95,$AF$13:$AF$162,0)),0)*$T$7</f>
        <v/>
      </c>
      <c r="AU107">
        <f>IFERROR(INDEX(T$13:T$162,MATCH(95,$AF$13:$AF$162,0)),0)*$T$7</f>
        <v/>
      </c>
      <c r="AV107">
        <f>IFERROR(INDEX(U$13:U$162,MATCH(95,$AF$13:$AF$162,0)),0)*$T$7</f>
        <v/>
      </c>
      <c r="AW107">
        <f>IFERROR(INDEX(V$13:V$162,MATCH(95,$AF$13:$AF$162,0)),0)*$T$7</f>
        <v/>
      </c>
      <c r="AX107">
        <f>IFERROR(INDEX(W$13:W$162,MATCH(95,$AF$13:$AF$162,0)),0)*$T$7</f>
        <v/>
      </c>
      <c r="AY107">
        <f>IFERROR(INDEX(X$13:X$162,MATCH(95,$AF$13:$AF$162,0)),0)*$T$7</f>
        <v/>
      </c>
      <c r="AZ107">
        <f>IFERROR(INDEX(Y$13:Y$162,MATCH(95,$AF$13:$AF$162,0)),0)*$T$7</f>
        <v/>
      </c>
      <c r="BA107">
        <f>IFERROR(INDEX(Z$13:Z$162,MATCH(95,$AF$13:$AF$162,0)),0)*$T$7</f>
        <v/>
      </c>
      <c r="BB107">
        <f>IFERROR(INDEX(AA$13:AA$162,MATCH(95,$AF$13:$AF$162,0)),0)*$T$7</f>
        <v/>
      </c>
      <c r="BC107">
        <f>IFERROR(INDEX($P$13:$P$162,MATCH(95,$AG$13:$AG$162,0)),"")</f>
        <v/>
      </c>
      <c r="BD107">
        <f>IFERROR(INDEX(S$13:S$162,MATCH(95,$AG$13:$AG$162,0)),0)*($T$8+IF($C$10="",$T$9,0))</f>
        <v/>
      </c>
      <c r="BE107">
        <f>IFERROR(INDEX(T$13:T$162,MATCH(95,$AG$13:$AG$162,0)),0)*($T$8+IF($C$10="",$T$9,0))</f>
        <v/>
      </c>
      <c r="BF107">
        <f>IFERROR(INDEX(U$13:U$162,MATCH(95,$AG$13:$AG$162,0)),0)*($T$8+IF($C$10="",$T$9,0))</f>
        <v/>
      </c>
      <c r="BG107">
        <f>IFERROR(INDEX(V$13:V$162,MATCH(95,$AG$13:$AG$162,0)),0)*($T$8+IF($C$10="",$T$9,0))</f>
        <v/>
      </c>
      <c r="BH107">
        <f>IFERROR(INDEX(W$13:W$162,MATCH(95,$AG$13:$AG$162,0)),0)*($T$8+IF($C$10="",$T$9,0))</f>
        <v/>
      </c>
      <c r="BI107">
        <f>IFERROR(INDEX(X$13:X$162,MATCH(95,$AG$13:$AG$162,0)),0)*($T$8+IF($C$10="",$T$9,0))</f>
        <v/>
      </c>
      <c r="BJ107">
        <f>IFERROR(INDEX(Y$13:Y$162,MATCH(95,$AG$13:$AG$162,0)),0)*($T$8+IF($C$10="",$T$9,0))</f>
        <v/>
      </c>
      <c r="BK107">
        <f>IFERROR(INDEX(Z$13:Z$162,MATCH(95,$AG$13:$AG$162,0)),0)*($T$8+IF($C$10="",$T$9,0))</f>
        <v/>
      </c>
      <c r="BL107">
        <f>IFERROR(INDEX(AA$13:AA$162,MATCH(95,$AG$13:$AG$162,0)),0)*($T$8+IF($C$10="",$T$9,0))</f>
        <v/>
      </c>
      <c r="BN107">
        <f>IF(94&lt;$U$9,INT(94/($U$7*$U$8))+1,1)</f>
        <v/>
      </c>
      <c r="BO107">
        <f>IF(94&lt;$U$9,MOD(INT(94/$U$8),$U$7)+1,1)</f>
        <v/>
      </c>
      <c r="BP107">
        <f>IF(94&lt;$U$9,MOD(94,$U$8)+1,1)</f>
        <v/>
      </c>
      <c r="BQ107">
        <f>IF(94&lt;$U$9,SUMPRODUCT(($D$10:$L$10&lt;&gt;"")*(($D$9:$L$9+INT(($S$12:$AA$12+INDEX($AJ$13:$AR$162,BN107,0)+INDEX($AT$13:$BB$162,BO107,0)+INDEX($BD$13:$BL$162,BP107,0))/100))&gt;=$D$10:$L$10)),0)</f>
        <v/>
      </c>
      <c r="BR107">
        <f>IF(94&lt;$U$9,SUMPRODUCT(($D$10:$L$10&lt;&gt;"")*(($D$10:$L$10-($D$9:$L$9+INT(($S$12:$AA$12+INDEX($AJ$13:$AR$162,BN107,0)+INDEX($AT$13:$BB$162,BO107,0)+INDEX($BD$13:$BL$162,BP107,0))/100)))&gt;0)*($D$10:$L$10-($D$9:$L$9+INT(($S$12:$AA$12+INDEX($AJ$13:$AR$162,BN107,0)+INDEX($AT$13:$BB$162,BO107,0)+INDEX($BD$13:$BL$162,BP107,0))/100)))),0)</f>
        <v/>
      </c>
      <c r="BS107">
        <f>IF(94&lt;$U$9,SUMPRODUCT(($D$9:$L$9+INT(($S$12:$AA$12+INDEX($AJ$13:$AR$162,BN107,0)+INDEX($AT$13:$BB$162,BO107,0)+INDEX($BD$13:$BL$162,BP107,0))/100))),0)</f>
        <v/>
      </c>
      <c r="BT107">
        <f>IF(AND(94&lt;$U$9,$W$5),BQ107*1000000-MIN(BR107,999)*1000+BS107-94/100000,-1000000000-94)</f>
        <v/>
      </c>
      <c r="CF107">
        <f>IF($A107="","",IFERROR(MATCH($C107,'职业'!$C$3:$C$152,0),0))</f>
        <v/>
      </c>
      <c r="CG107">
        <f>IF($A107="","",CG106+MAX(0,D$7+IF($CF106=0,0,IFERROR(INDEX('职业'!F$3:F$152,$CF106)+0,0))))</f>
        <v/>
      </c>
      <c r="CH107">
        <f>IF($A107="","",CH106+MAX(0,E$7+IF($CF106=0,0,IFERROR(INDEX('职业'!G$3:G$152,$CF106)+0,0))))</f>
        <v/>
      </c>
      <c r="CI107">
        <f>IF($A107="","",CI106+MAX(0,F$7+IF($CF106=0,0,IFERROR(INDEX('职业'!H$3:H$152,$CF106)+0,0))))</f>
        <v/>
      </c>
      <c r="CJ107">
        <f>IF($A107="","",CJ106+MAX(0,G$7+IF($CF106=0,0,IFERROR(INDEX('职业'!I$3:I$152,$CF106)+0,0))))</f>
        <v/>
      </c>
      <c r="CK107">
        <f>IF($A107="","",CK106+MAX(0,H$7+IF($CF106=0,0,IFERROR(INDEX('职业'!J$3:J$152,$CF106)+0,0))))</f>
        <v/>
      </c>
      <c r="CL107">
        <f>IF($A107="","",CL106+MAX(0,I$7+IF($CF106=0,0,IFERROR(INDEX('职业'!K$3:K$152,$CF106)+0,0))))</f>
        <v/>
      </c>
      <c r="CM107">
        <f>IF($A107="","",CM106+MAX(0,J$7+IF($CF106=0,0,IFERROR(INDEX('职业'!L$3:L$152,$CF106)+0,0))))</f>
        <v/>
      </c>
      <c r="CN107">
        <f>IF($A107="","",CN106+MAX(0,K$7+IF($CF106=0,0,IFERROR(INDEX('职业'!M$3:M$152,$CF106)+0,0))))</f>
        <v/>
      </c>
      <c r="CO107">
        <f>IF($A107="","",CO106+MAX(0,L$7+IF($CF106=0,0,IFERROR(INDEX('职业'!N$3:N$152,$CF106)+0,0))))</f>
        <v/>
      </c>
    </row>
    <row r="108">
      <c r="A108" s="15">
        <f>IF(OR($B$9="",$B$10=""),"",IF($B$9+56&lt;=$B$10,$B$9+56,""))</f>
        <v/>
      </c>
      <c r="B108" s="15">
        <f>IF($A108="","",MATCH($A108,$BV$27:$BV$32,1))</f>
        <v/>
      </c>
      <c r="C108" s="15">
        <f>IF($A108="","",INDEX($BW$27:$BW$32,$B108))</f>
        <v/>
      </c>
      <c r="D108" s="15">
        <f>IF($A108="","",D$9+INT(($B$14+CG108)/100))</f>
        <v/>
      </c>
      <c r="E108" s="15">
        <f>IF($A108="","",E$9+INT(($B$14+CH108)/100))</f>
        <v/>
      </c>
      <c r="F108" s="15">
        <f>IF($A108="","",F$9+INT(($B$14+CI108)/100))</f>
        <v/>
      </c>
      <c r="G108" s="15">
        <f>IF($A108="","",G$9+INT(($B$14+CJ108)/100))</f>
        <v/>
      </c>
      <c r="H108" s="15">
        <f>IF($A108="","",H$9+INT(($B$14+CK108)/100))</f>
        <v/>
      </c>
      <c r="I108" s="15">
        <f>IF($A108="","",I$9+INT(($B$14+CL108)/100))</f>
        <v/>
      </c>
      <c r="J108" s="15">
        <f>IF($A108="","",J$9+INT(($B$14+CM108)/100))</f>
        <v/>
      </c>
      <c r="K108" s="15">
        <f>IF($A108="","",K$9+INT(($B$14+CN108)/100))</f>
        <v/>
      </c>
      <c r="L108" s="15">
        <f>IF($A108="","",L$9+INT(($B$14+CO108)/100))</f>
        <v/>
      </c>
      <c r="M108" s="16">
        <f>IF($A108="","",IF($C108&lt;&gt;$C107,"★ 转职 → 【"&amp;$C108&amp;"】","")&amp;IF($A108=$B$10,"（目标等级）",""))</f>
        <v/>
      </c>
      <c r="P108">
        <f>IF('职业'!$C98="","",'职业'!$C98)</f>
        <v/>
      </c>
      <c r="Q108">
        <f>N('职业'!$D98)</f>
        <v/>
      </c>
      <c r="R108">
        <f>'职业'!$E98&amp;""</f>
        <v/>
      </c>
      <c r="S108">
        <f>IF($P108="",0,MAX(0,D$7+N('职业'!F98)))</f>
        <v/>
      </c>
      <c r="T108">
        <f>IF($P108="",0,MAX(0,E$7+N('职业'!G98)))</f>
        <v/>
      </c>
      <c r="U108">
        <f>IF($P108="",0,MAX(0,F$7+N('职业'!H98)))</f>
        <v/>
      </c>
      <c r="V108">
        <f>IF($P108="",0,MAX(0,G$7+N('职业'!I98)))</f>
        <v/>
      </c>
      <c r="W108">
        <f>IF($P108="",0,MAX(0,H$7+N('职业'!J98)))</f>
        <v/>
      </c>
      <c r="X108">
        <f>IF($P108="",0,MAX(0,I$7+N('职业'!K98)))</f>
        <v/>
      </c>
      <c r="Y108">
        <f>IF($P108="",0,MAX(0,J$7+N('职业'!L98)))</f>
        <v/>
      </c>
      <c r="Z108">
        <f>IF($P108="",0,MAX(0,K$7+N('职业'!M98)))</f>
        <v/>
      </c>
      <c r="AA108">
        <f>IF($P108="",0,MAX(0,L$7+N('职业'!N98)))</f>
        <v/>
      </c>
      <c r="AB108">
        <f>AND($P108&lt;&gt;"",IF($U$5=1,$P108=$C$10,OR($P108=$C$9,AND($R108="是",$Q108&lt;=MAX($B$9,$Q$6)))))</f>
        <v/>
      </c>
      <c r="AC108">
        <f>AND($P108&lt;&gt;"",IF($U$5=2,$P108=$C$10,OR($P108=$C$9,AND($R108="是",$Q108&lt;=MAX($B$9,$Q$7)))))</f>
        <v/>
      </c>
      <c r="AD108">
        <f>AND($P108&lt;&gt;"",IF($U$5=3,$P108=$C$10,OR($P108=$C$9,AND($R108="是",$Q108&lt;=MAX($B$9,$Q$8)))))</f>
        <v/>
      </c>
      <c r="AE108">
        <f>IF(AB108,COUNTIF(AB$13:AB108,TRUE),"")</f>
        <v/>
      </c>
      <c r="AF108">
        <f>IF(AC108,COUNTIF(AC$13:AC108,TRUE),"")</f>
        <v/>
      </c>
      <c r="AG108">
        <f>IF(AD108,COUNTIF(AD$13:AD108,TRUE),"")</f>
        <v/>
      </c>
      <c r="AI108">
        <f>IFERROR(INDEX($P$13:$P$162,MATCH(96,$AE$13:$AE$162,0)),"")</f>
        <v/>
      </c>
      <c r="AJ108">
        <f>IFERROR(INDEX(S$13:S$162,MATCH(96,$AE$13:$AE$162,0)),0)*$T$6</f>
        <v/>
      </c>
      <c r="AK108">
        <f>IFERROR(INDEX(T$13:T$162,MATCH(96,$AE$13:$AE$162,0)),0)*$T$6</f>
        <v/>
      </c>
      <c r="AL108">
        <f>IFERROR(INDEX(U$13:U$162,MATCH(96,$AE$13:$AE$162,0)),0)*$T$6</f>
        <v/>
      </c>
      <c r="AM108">
        <f>IFERROR(INDEX(V$13:V$162,MATCH(96,$AE$13:$AE$162,0)),0)*$T$6</f>
        <v/>
      </c>
      <c r="AN108">
        <f>IFERROR(INDEX(W$13:W$162,MATCH(96,$AE$13:$AE$162,0)),0)*$T$6</f>
        <v/>
      </c>
      <c r="AO108">
        <f>IFERROR(INDEX(X$13:X$162,MATCH(96,$AE$13:$AE$162,0)),0)*$T$6</f>
        <v/>
      </c>
      <c r="AP108">
        <f>IFERROR(INDEX(Y$13:Y$162,MATCH(96,$AE$13:$AE$162,0)),0)*$T$6</f>
        <v/>
      </c>
      <c r="AQ108">
        <f>IFERROR(INDEX(Z$13:Z$162,MATCH(96,$AE$13:$AE$162,0)),0)*$T$6</f>
        <v/>
      </c>
      <c r="AR108">
        <f>IFERROR(INDEX(AA$13:AA$162,MATCH(96,$AE$13:$AE$162,0)),0)*$T$6</f>
        <v/>
      </c>
      <c r="AS108">
        <f>IFERROR(INDEX($P$13:$P$162,MATCH(96,$AF$13:$AF$162,0)),"")</f>
        <v/>
      </c>
      <c r="AT108">
        <f>IFERROR(INDEX(S$13:S$162,MATCH(96,$AF$13:$AF$162,0)),0)*$T$7</f>
        <v/>
      </c>
      <c r="AU108">
        <f>IFERROR(INDEX(T$13:T$162,MATCH(96,$AF$13:$AF$162,0)),0)*$T$7</f>
        <v/>
      </c>
      <c r="AV108">
        <f>IFERROR(INDEX(U$13:U$162,MATCH(96,$AF$13:$AF$162,0)),0)*$T$7</f>
        <v/>
      </c>
      <c r="AW108">
        <f>IFERROR(INDEX(V$13:V$162,MATCH(96,$AF$13:$AF$162,0)),0)*$T$7</f>
        <v/>
      </c>
      <c r="AX108">
        <f>IFERROR(INDEX(W$13:W$162,MATCH(96,$AF$13:$AF$162,0)),0)*$T$7</f>
        <v/>
      </c>
      <c r="AY108">
        <f>IFERROR(INDEX(X$13:X$162,MATCH(96,$AF$13:$AF$162,0)),0)*$T$7</f>
        <v/>
      </c>
      <c r="AZ108">
        <f>IFERROR(INDEX(Y$13:Y$162,MATCH(96,$AF$13:$AF$162,0)),0)*$T$7</f>
        <v/>
      </c>
      <c r="BA108">
        <f>IFERROR(INDEX(Z$13:Z$162,MATCH(96,$AF$13:$AF$162,0)),0)*$T$7</f>
        <v/>
      </c>
      <c r="BB108">
        <f>IFERROR(INDEX(AA$13:AA$162,MATCH(96,$AF$13:$AF$162,0)),0)*$T$7</f>
        <v/>
      </c>
      <c r="BC108">
        <f>IFERROR(INDEX($P$13:$P$162,MATCH(96,$AG$13:$AG$162,0)),"")</f>
        <v/>
      </c>
      <c r="BD108">
        <f>IFERROR(INDEX(S$13:S$162,MATCH(96,$AG$13:$AG$162,0)),0)*($T$8+IF($C$10="",$T$9,0))</f>
        <v/>
      </c>
      <c r="BE108">
        <f>IFERROR(INDEX(T$13:T$162,MATCH(96,$AG$13:$AG$162,0)),0)*($T$8+IF($C$10="",$T$9,0))</f>
        <v/>
      </c>
      <c r="BF108">
        <f>IFERROR(INDEX(U$13:U$162,MATCH(96,$AG$13:$AG$162,0)),0)*($T$8+IF($C$10="",$T$9,0))</f>
        <v/>
      </c>
      <c r="BG108">
        <f>IFERROR(INDEX(V$13:V$162,MATCH(96,$AG$13:$AG$162,0)),0)*($T$8+IF($C$10="",$T$9,0))</f>
        <v/>
      </c>
      <c r="BH108">
        <f>IFERROR(INDEX(W$13:W$162,MATCH(96,$AG$13:$AG$162,0)),0)*($T$8+IF($C$10="",$T$9,0))</f>
        <v/>
      </c>
      <c r="BI108">
        <f>IFERROR(INDEX(X$13:X$162,MATCH(96,$AG$13:$AG$162,0)),0)*($T$8+IF($C$10="",$T$9,0))</f>
        <v/>
      </c>
      <c r="BJ108">
        <f>IFERROR(INDEX(Y$13:Y$162,MATCH(96,$AG$13:$AG$162,0)),0)*($T$8+IF($C$10="",$T$9,0))</f>
        <v/>
      </c>
      <c r="BK108">
        <f>IFERROR(INDEX(Z$13:Z$162,MATCH(96,$AG$13:$AG$162,0)),0)*($T$8+IF($C$10="",$T$9,0))</f>
        <v/>
      </c>
      <c r="BL108">
        <f>IFERROR(INDEX(AA$13:AA$162,MATCH(96,$AG$13:$AG$162,0)),0)*($T$8+IF($C$10="",$T$9,0))</f>
        <v/>
      </c>
      <c r="BN108">
        <f>IF(95&lt;$U$9,INT(95/($U$7*$U$8))+1,1)</f>
        <v/>
      </c>
      <c r="BO108">
        <f>IF(95&lt;$U$9,MOD(INT(95/$U$8),$U$7)+1,1)</f>
        <v/>
      </c>
      <c r="BP108">
        <f>IF(95&lt;$U$9,MOD(95,$U$8)+1,1)</f>
        <v/>
      </c>
      <c r="BQ108">
        <f>IF(95&lt;$U$9,SUMPRODUCT(($D$10:$L$10&lt;&gt;"")*(($D$9:$L$9+INT(($S$12:$AA$12+INDEX($AJ$13:$AR$162,BN108,0)+INDEX($AT$13:$BB$162,BO108,0)+INDEX($BD$13:$BL$162,BP108,0))/100))&gt;=$D$10:$L$10)),0)</f>
        <v/>
      </c>
      <c r="BR108">
        <f>IF(95&lt;$U$9,SUMPRODUCT(($D$10:$L$10&lt;&gt;"")*(($D$10:$L$10-($D$9:$L$9+INT(($S$12:$AA$12+INDEX($AJ$13:$AR$162,BN108,0)+INDEX($AT$13:$BB$162,BO108,0)+INDEX($BD$13:$BL$162,BP108,0))/100)))&gt;0)*($D$10:$L$10-($D$9:$L$9+INT(($S$12:$AA$12+INDEX($AJ$13:$AR$162,BN108,0)+INDEX($AT$13:$BB$162,BO108,0)+INDEX($BD$13:$BL$162,BP108,0))/100)))),0)</f>
        <v/>
      </c>
      <c r="BS108">
        <f>IF(95&lt;$U$9,SUMPRODUCT(($D$9:$L$9+INT(($S$12:$AA$12+INDEX($AJ$13:$AR$162,BN108,0)+INDEX($AT$13:$BB$162,BO108,0)+INDEX($BD$13:$BL$162,BP108,0))/100))),0)</f>
        <v/>
      </c>
      <c r="BT108">
        <f>IF(AND(95&lt;$U$9,$W$5),BQ108*1000000-MIN(BR108,999)*1000+BS108-95/100000,-1000000000-95)</f>
        <v/>
      </c>
      <c r="CF108">
        <f>IF($A108="","",IFERROR(MATCH($C108,'职业'!$C$3:$C$152,0),0))</f>
        <v/>
      </c>
      <c r="CG108">
        <f>IF($A108="","",CG107+MAX(0,D$7+IF($CF107=0,0,IFERROR(INDEX('职业'!F$3:F$152,$CF107)+0,0))))</f>
        <v/>
      </c>
      <c r="CH108">
        <f>IF($A108="","",CH107+MAX(0,E$7+IF($CF107=0,0,IFERROR(INDEX('职业'!G$3:G$152,$CF107)+0,0))))</f>
        <v/>
      </c>
      <c r="CI108">
        <f>IF($A108="","",CI107+MAX(0,F$7+IF($CF107=0,0,IFERROR(INDEX('职业'!H$3:H$152,$CF107)+0,0))))</f>
        <v/>
      </c>
      <c r="CJ108">
        <f>IF($A108="","",CJ107+MAX(0,G$7+IF($CF107=0,0,IFERROR(INDEX('职业'!I$3:I$152,$CF107)+0,0))))</f>
        <v/>
      </c>
      <c r="CK108">
        <f>IF($A108="","",CK107+MAX(0,H$7+IF($CF107=0,0,IFERROR(INDEX('职业'!J$3:J$152,$CF107)+0,0))))</f>
        <v/>
      </c>
      <c r="CL108">
        <f>IF($A108="","",CL107+MAX(0,I$7+IF($CF107=0,0,IFERROR(INDEX('职业'!K$3:K$152,$CF107)+0,0))))</f>
        <v/>
      </c>
      <c r="CM108">
        <f>IF($A108="","",CM107+MAX(0,J$7+IF($CF107=0,0,IFERROR(INDEX('职业'!L$3:L$152,$CF107)+0,0))))</f>
        <v/>
      </c>
      <c r="CN108">
        <f>IF($A108="","",CN107+MAX(0,K$7+IF($CF107=0,0,IFERROR(INDEX('职业'!M$3:M$152,$CF107)+0,0))))</f>
        <v/>
      </c>
      <c r="CO108">
        <f>IF($A108="","",CO107+MAX(0,L$7+IF($CF107=0,0,IFERROR(INDEX('职业'!N$3:N$152,$CF107)+0,0))))</f>
        <v/>
      </c>
    </row>
    <row r="109">
      <c r="A109" s="15">
        <f>IF(OR($B$9="",$B$10=""),"",IF($B$9+57&lt;=$B$10,$B$9+57,""))</f>
        <v/>
      </c>
      <c r="B109" s="15">
        <f>IF($A109="","",MATCH($A109,$BV$27:$BV$32,1))</f>
        <v/>
      </c>
      <c r="C109" s="15">
        <f>IF($A109="","",INDEX($BW$27:$BW$32,$B109))</f>
        <v/>
      </c>
      <c r="D109" s="15">
        <f>IF($A109="","",D$9+INT(($B$14+CG109)/100))</f>
        <v/>
      </c>
      <c r="E109" s="15">
        <f>IF($A109="","",E$9+INT(($B$14+CH109)/100))</f>
        <v/>
      </c>
      <c r="F109" s="15">
        <f>IF($A109="","",F$9+INT(($B$14+CI109)/100))</f>
        <v/>
      </c>
      <c r="G109" s="15">
        <f>IF($A109="","",G$9+INT(($B$14+CJ109)/100))</f>
        <v/>
      </c>
      <c r="H109" s="15">
        <f>IF($A109="","",H$9+INT(($B$14+CK109)/100))</f>
        <v/>
      </c>
      <c r="I109" s="15">
        <f>IF($A109="","",I$9+INT(($B$14+CL109)/100))</f>
        <v/>
      </c>
      <c r="J109" s="15">
        <f>IF($A109="","",J$9+INT(($B$14+CM109)/100))</f>
        <v/>
      </c>
      <c r="K109" s="15">
        <f>IF($A109="","",K$9+INT(($B$14+CN109)/100))</f>
        <v/>
      </c>
      <c r="L109" s="15">
        <f>IF($A109="","",L$9+INT(($B$14+CO109)/100))</f>
        <v/>
      </c>
      <c r="M109" s="16">
        <f>IF($A109="","",IF($C109&lt;&gt;$C108,"★ 转职 → 【"&amp;$C109&amp;"】","")&amp;IF($A109=$B$10,"（目标等级）",""))</f>
        <v/>
      </c>
      <c r="P109">
        <f>IF('职业'!$C99="","",'职业'!$C99)</f>
        <v/>
      </c>
      <c r="Q109">
        <f>N('职业'!$D99)</f>
        <v/>
      </c>
      <c r="R109">
        <f>'职业'!$E99&amp;""</f>
        <v/>
      </c>
      <c r="S109">
        <f>IF($P109="",0,MAX(0,D$7+N('职业'!F99)))</f>
        <v/>
      </c>
      <c r="T109">
        <f>IF($P109="",0,MAX(0,E$7+N('职业'!G99)))</f>
        <v/>
      </c>
      <c r="U109">
        <f>IF($P109="",0,MAX(0,F$7+N('职业'!H99)))</f>
        <v/>
      </c>
      <c r="V109">
        <f>IF($P109="",0,MAX(0,G$7+N('职业'!I99)))</f>
        <v/>
      </c>
      <c r="W109">
        <f>IF($P109="",0,MAX(0,H$7+N('职业'!J99)))</f>
        <v/>
      </c>
      <c r="X109">
        <f>IF($P109="",0,MAX(0,I$7+N('职业'!K99)))</f>
        <v/>
      </c>
      <c r="Y109">
        <f>IF($P109="",0,MAX(0,J$7+N('职业'!L99)))</f>
        <v/>
      </c>
      <c r="Z109">
        <f>IF($P109="",0,MAX(0,K$7+N('职业'!M99)))</f>
        <v/>
      </c>
      <c r="AA109">
        <f>IF($P109="",0,MAX(0,L$7+N('职业'!N99)))</f>
        <v/>
      </c>
      <c r="AB109">
        <f>AND($P109&lt;&gt;"",IF($U$5=1,$P109=$C$10,OR($P109=$C$9,AND($R109="是",$Q109&lt;=MAX($B$9,$Q$6)))))</f>
        <v/>
      </c>
      <c r="AC109">
        <f>AND($P109&lt;&gt;"",IF($U$5=2,$P109=$C$10,OR($P109=$C$9,AND($R109="是",$Q109&lt;=MAX($B$9,$Q$7)))))</f>
        <v/>
      </c>
      <c r="AD109">
        <f>AND($P109&lt;&gt;"",IF($U$5=3,$P109=$C$10,OR($P109=$C$9,AND($R109="是",$Q109&lt;=MAX($B$9,$Q$8)))))</f>
        <v/>
      </c>
      <c r="AE109">
        <f>IF(AB109,COUNTIF(AB$13:AB109,TRUE),"")</f>
        <v/>
      </c>
      <c r="AF109">
        <f>IF(AC109,COUNTIF(AC$13:AC109,TRUE),"")</f>
        <v/>
      </c>
      <c r="AG109">
        <f>IF(AD109,COUNTIF(AD$13:AD109,TRUE),"")</f>
        <v/>
      </c>
      <c r="AI109">
        <f>IFERROR(INDEX($P$13:$P$162,MATCH(97,$AE$13:$AE$162,0)),"")</f>
        <v/>
      </c>
      <c r="AJ109">
        <f>IFERROR(INDEX(S$13:S$162,MATCH(97,$AE$13:$AE$162,0)),0)*$T$6</f>
        <v/>
      </c>
      <c r="AK109">
        <f>IFERROR(INDEX(T$13:T$162,MATCH(97,$AE$13:$AE$162,0)),0)*$T$6</f>
        <v/>
      </c>
      <c r="AL109">
        <f>IFERROR(INDEX(U$13:U$162,MATCH(97,$AE$13:$AE$162,0)),0)*$T$6</f>
        <v/>
      </c>
      <c r="AM109">
        <f>IFERROR(INDEX(V$13:V$162,MATCH(97,$AE$13:$AE$162,0)),0)*$T$6</f>
        <v/>
      </c>
      <c r="AN109">
        <f>IFERROR(INDEX(W$13:W$162,MATCH(97,$AE$13:$AE$162,0)),0)*$T$6</f>
        <v/>
      </c>
      <c r="AO109">
        <f>IFERROR(INDEX(X$13:X$162,MATCH(97,$AE$13:$AE$162,0)),0)*$T$6</f>
        <v/>
      </c>
      <c r="AP109">
        <f>IFERROR(INDEX(Y$13:Y$162,MATCH(97,$AE$13:$AE$162,0)),0)*$T$6</f>
        <v/>
      </c>
      <c r="AQ109">
        <f>IFERROR(INDEX(Z$13:Z$162,MATCH(97,$AE$13:$AE$162,0)),0)*$T$6</f>
        <v/>
      </c>
      <c r="AR109">
        <f>IFERROR(INDEX(AA$13:AA$162,MATCH(97,$AE$13:$AE$162,0)),0)*$T$6</f>
        <v/>
      </c>
      <c r="AS109">
        <f>IFERROR(INDEX($P$13:$P$162,MATCH(97,$AF$13:$AF$162,0)),"")</f>
        <v/>
      </c>
      <c r="AT109">
        <f>IFERROR(INDEX(S$13:S$162,MATCH(97,$AF$13:$AF$162,0)),0)*$T$7</f>
        <v/>
      </c>
      <c r="AU109">
        <f>IFERROR(INDEX(T$13:T$162,MATCH(97,$AF$13:$AF$162,0)),0)*$T$7</f>
        <v/>
      </c>
      <c r="AV109">
        <f>IFERROR(INDEX(U$13:U$162,MATCH(97,$AF$13:$AF$162,0)),0)*$T$7</f>
        <v/>
      </c>
      <c r="AW109">
        <f>IFERROR(INDEX(V$13:V$162,MATCH(97,$AF$13:$AF$162,0)),0)*$T$7</f>
        <v/>
      </c>
      <c r="AX109">
        <f>IFERROR(INDEX(W$13:W$162,MATCH(97,$AF$13:$AF$162,0)),0)*$T$7</f>
        <v/>
      </c>
      <c r="AY109">
        <f>IFERROR(INDEX(X$13:X$162,MATCH(97,$AF$13:$AF$162,0)),0)*$T$7</f>
        <v/>
      </c>
      <c r="AZ109">
        <f>IFERROR(INDEX(Y$13:Y$162,MATCH(97,$AF$13:$AF$162,0)),0)*$T$7</f>
        <v/>
      </c>
      <c r="BA109">
        <f>IFERROR(INDEX(Z$13:Z$162,MATCH(97,$AF$13:$AF$162,0)),0)*$T$7</f>
        <v/>
      </c>
      <c r="BB109">
        <f>IFERROR(INDEX(AA$13:AA$162,MATCH(97,$AF$13:$AF$162,0)),0)*$T$7</f>
        <v/>
      </c>
      <c r="BC109">
        <f>IFERROR(INDEX($P$13:$P$162,MATCH(97,$AG$13:$AG$162,0)),"")</f>
        <v/>
      </c>
      <c r="BD109">
        <f>IFERROR(INDEX(S$13:S$162,MATCH(97,$AG$13:$AG$162,0)),0)*($T$8+IF($C$10="",$T$9,0))</f>
        <v/>
      </c>
      <c r="BE109">
        <f>IFERROR(INDEX(T$13:T$162,MATCH(97,$AG$13:$AG$162,0)),0)*($T$8+IF($C$10="",$T$9,0))</f>
        <v/>
      </c>
      <c r="BF109">
        <f>IFERROR(INDEX(U$13:U$162,MATCH(97,$AG$13:$AG$162,0)),0)*($T$8+IF($C$10="",$T$9,0))</f>
        <v/>
      </c>
      <c r="BG109">
        <f>IFERROR(INDEX(V$13:V$162,MATCH(97,$AG$13:$AG$162,0)),0)*($T$8+IF($C$10="",$T$9,0))</f>
        <v/>
      </c>
      <c r="BH109">
        <f>IFERROR(INDEX(W$13:W$162,MATCH(97,$AG$13:$AG$162,0)),0)*($T$8+IF($C$10="",$T$9,0))</f>
        <v/>
      </c>
      <c r="BI109">
        <f>IFERROR(INDEX(X$13:X$162,MATCH(97,$AG$13:$AG$162,0)),0)*($T$8+IF($C$10="",$T$9,0))</f>
        <v/>
      </c>
      <c r="BJ109">
        <f>IFERROR(INDEX(Y$13:Y$162,MATCH(97,$AG$13:$AG$162,0)),0)*($T$8+IF($C$10="",$T$9,0))</f>
        <v/>
      </c>
      <c r="BK109">
        <f>IFERROR(INDEX(Z$13:Z$162,MATCH(97,$AG$13:$AG$162,0)),0)*($T$8+IF($C$10="",$T$9,0))</f>
        <v/>
      </c>
      <c r="BL109">
        <f>IFERROR(INDEX(AA$13:AA$162,MATCH(97,$AG$13:$AG$162,0)),0)*($T$8+IF($C$10="",$T$9,0))</f>
        <v/>
      </c>
      <c r="BN109">
        <f>IF(96&lt;$U$9,INT(96/($U$7*$U$8))+1,1)</f>
        <v/>
      </c>
      <c r="BO109">
        <f>IF(96&lt;$U$9,MOD(INT(96/$U$8),$U$7)+1,1)</f>
        <v/>
      </c>
      <c r="BP109">
        <f>IF(96&lt;$U$9,MOD(96,$U$8)+1,1)</f>
        <v/>
      </c>
      <c r="BQ109">
        <f>IF(96&lt;$U$9,SUMPRODUCT(($D$10:$L$10&lt;&gt;"")*(($D$9:$L$9+INT(($S$12:$AA$12+INDEX($AJ$13:$AR$162,BN109,0)+INDEX($AT$13:$BB$162,BO109,0)+INDEX($BD$13:$BL$162,BP109,0))/100))&gt;=$D$10:$L$10)),0)</f>
        <v/>
      </c>
      <c r="BR109">
        <f>IF(96&lt;$U$9,SUMPRODUCT(($D$10:$L$10&lt;&gt;"")*(($D$10:$L$10-($D$9:$L$9+INT(($S$12:$AA$12+INDEX($AJ$13:$AR$162,BN109,0)+INDEX($AT$13:$BB$162,BO109,0)+INDEX($BD$13:$BL$162,BP109,0))/100)))&gt;0)*($D$10:$L$10-($D$9:$L$9+INT(($S$12:$AA$12+INDEX($AJ$13:$AR$162,BN109,0)+INDEX($AT$13:$BB$162,BO109,0)+INDEX($BD$13:$BL$162,BP109,0))/100)))),0)</f>
        <v/>
      </c>
      <c r="BS109">
        <f>IF(96&lt;$U$9,SUMPRODUCT(($D$9:$L$9+INT(($S$12:$AA$12+INDEX($AJ$13:$AR$162,BN109,0)+INDEX($AT$13:$BB$162,BO109,0)+INDEX($BD$13:$BL$162,BP109,0))/100))),0)</f>
        <v/>
      </c>
      <c r="BT109">
        <f>IF(AND(96&lt;$U$9,$W$5),BQ109*1000000-MIN(BR109,999)*1000+BS109-96/100000,-1000000000-96)</f>
        <v/>
      </c>
      <c r="CF109">
        <f>IF($A109="","",IFERROR(MATCH($C109,'职业'!$C$3:$C$152,0),0))</f>
        <v/>
      </c>
      <c r="CG109">
        <f>IF($A109="","",CG108+MAX(0,D$7+IF($CF108=0,0,IFERROR(INDEX('职业'!F$3:F$152,$CF108)+0,0))))</f>
        <v/>
      </c>
      <c r="CH109">
        <f>IF($A109="","",CH108+MAX(0,E$7+IF($CF108=0,0,IFERROR(INDEX('职业'!G$3:G$152,$CF108)+0,0))))</f>
        <v/>
      </c>
      <c r="CI109">
        <f>IF($A109="","",CI108+MAX(0,F$7+IF($CF108=0,0,IFERROR(INDEX('职业'!H$3:H$152,$CF108)+0,0))))</f>
        <v/>
      </c>
      <c r="CJ109">
        <f>IF($A109="","",CJ108+MAX(0,G$7+IF($CF108=0,0,IFERROR(INDEX('职业'!I$3:I$152,$CF108)+0,0))))</f>
        <v/>
      </c>
      <c r="CK109">
        <f>IF($A109="","",CK108+MAX(0,H$7+IF($CF108=0,0,IFERROR(INDEX('职业'!J$3:J$152,$CF108)+0,0))))</f>
        <v/>
      </c>
      <c r="CL109">
        <f>IF($A109="","",CL108+MAX(0,I$7+IF($CF108=0,0,IFERROR(INDEX('职业'!K$3:K$152,$CF108)+0,0))))</f>
        <v/>
      </c>
      <c r="CM109">
        <f>IF($A109="","",CM108+MAX(0,J$7+IF($CF108=0,0,IFERROR(INDEX('职业'!L$3:L$152,$CF108)+0,0))))</f>
        <v/>
      </c>
      <c r="CN109">
        <f>IF($A109="","",CN108+MAX(0,K$7+IF($CF108=0,0,IFERROR(INDEX('职业'!M$3:M$152,$CF108)+0,0))))</f>
        <v/>
      </c>
      <c r="CO109">
        <f>IF($A109="","",CO108+MAX(0,L$7+IF($CF108=0,0,IFERROR(INDEX('职业'!N$3:N$152,$CF108)+0,0))))</f>
        <v/>
      </c>
    </row>
    <row r="110">
      <c r="A110" s="15">
        <f>IF(OR($B$9="",$B$10=""),"",IF($B$9+58&lt;=$B$10,$B$9+58,""))</f>
        <v/>
      </c>
      <c r="B110" s="15">
        <f>IF($A110="","",MATCH($A110,$BV$27:$BV$32,1))</f>
        <v/>
      </c>
      <c r="C110" s="15">
        <f>IF($A110="","",INDEX($BW$27:$BW$32,$B110))</f>
        <v/>
      </c>
      <c r="D110" s="15">
        <f>IF($A110="","",D$9+INT(($B$14+CG110)/100))</f>
        <v/>
      </c>
      <c r="E110" s="15">
        <f>IF($A110="","",E$9+INT(($B$14+CH110)/100))</f>
        <v/>
      </c>
      <c r="F110" s="15">
        <f>IF($A110="","",F$9+INT(($B$14+CI110)/100))</f>
        <v/>
      </c>
      <c r="G110" s="15">
        <f>IF($A110="","",G$9+INT(($B$14+CJ110)/100))</f>
        <v/>
      </c>
      <c r="H110" s="15">
        <f>IF($A110="","",H$9+INT(($B$14+CK110)/100))</f>
        <v/>
      </c>
      <c r="I110" s="15">
        <f>IF($A110="","",I$9+INT(($B$14+CL110)/100))</f>
        <v/>
      </c>
      <c r="J110" s="15">
        <f>IF($A110="","",J$9+INT(($B$14+CM110)/100))</f>
        <v/>
      </c>
      <c r="K110" s="15">
        <f>IF($A110="","",K$9+INT(($B$14+CN110)/100))</f>
        <v/>
      </c>
      <c r="L110" s="15">
        <f>IF($A110="","",L$9+INT(($B$14+CO110)/100))</f>
        <v/>
      </c>
      <c r="M110" s="16">
        <f>IF($A110="","",IF($C110&lt;&gt;$C109,"★ 转职 → 【"&amp;$C110&amp;"】","")&amp;IF($A110=$B$10,"（目标等级）",""))</f>
        <v/>
      </c>
      <c r="P110">
        <f>IF('职业'!$C100="","",'职业'!$C100)</f>
        <v/>
      </c>
      <c r="Q110">
        <f>N('职业'!$D100)</f>
        <v/>
      </c>
      <c r="R110">
        <f>'职业'!$E100&amp;""</f>
        <v/>
      </c>
      <c r="S110">
        <f>IF($P110="",0,MAX(0,D$7+N('职业'!F100)))</f>
        <v/>
      </c>
      <c r="T110">
        <f>IF($P110="",0,MAX(0,E$7+N('职业'!G100)))</f>
        <v/>
      </c>
      <c r="U110">
        <f>IF($P110="",0,MAX(0,F$7+N('职业'!H100)))</f>
        <v/>
      </c>
      <c r="V110">
        <f>IF($P110="",0,MAX(0,G$7+N('职业'!I100)))</f>
        <v/>
      </c>
      <c r="W110">
        <f>IF($P110="",0,MAX(0,H$7+N('职业'!J100)))</f>
        <v/>
      </c>
      <c r="X110">
        <f>IF($P110="",0,MAX(0,I$7+N('职业'!K100)))</f>
        <v/>
      </c>
      <c r="Y110">
        <f>IF($P110="",0,MAX(0,J$7+N('职业'!L100)))</f>
        <v/>
      </c>
      <c r="Z110">
        <f>IF($P110="",0,MAX(0,K$7+N('职业'!M100)))</f>
        <v/>
      </c>
      <c r="AA110">
        <f>IF($P110="",0,MAX(0,L$7+N('职业'!N100)))</f>
        <v/>
      </c>
      <c r="AB110">
        <f>AND($P110&lt;&gt;"",IF($U$5=1,$P110=$C$10,OR($P110=$C$9,AND($R110="是",$Q110&lt;=MAX($B$9,$Q$6)))))</f>
        <v/>
      </c>
      <c r="AC110">
        <f>AND($P110&lt;&gt;"",IF($U$5=2,$P110=$C$10,OR($P110=$C$9,AND($R110="是",$Q110&lt;=MAX($B$9,$Q$7)))))</f>
        <v/>
      </c>
      <c r="AD110">
        <f>AND($P110&lt;&gt;"",IF($U$5=3,$P110=$C$10,OR($P110=$C$9,AND($R110="是",$Q110&lt;=MAX($B$9,$Q$8)))))</f>
        <v/>
      </c>
      <c r="AE110">
        <f>IF(AB110,COUNTIF(AB$13:AB110,TRUE),"")</f>
        <v/>
      </c>
      <c r="AF110">
        <f>IF(AC110,COUNTIF(AC$13:AC110,TRUE),"")</f>
        <v/>
      </c>
      <c r="AG110">
        <f>IF(AD110,COUNTIF(AD$13:AD110,TRUE),"")</f>
        <v/>
      </c>
      <c r="AI110">
        <f>IFERROR(INDEX($P$13:$P$162,MATCH(98,$AE$13:$AE$162,0)),"")</f>
        <v/>
      </c>
      <c r="AJ110">
        <f>IFERROR(INDEX(S$13:S$162,MATCH(98,$AE$13:$AE$162,0)),0)*$T$6</f>
        <v/>
      </c>
      <c r="AK110">
        <f>IFERROR(INDEX(T$13:T$162,MATCH(98,$AE$13:$AE$162,0)),0)*$T$6</f>
        <v/>
      </c>
      <c r="AL110">
        <f>IFERROR(INDEX(U$13:U$162,MATCH(98,$AE$13:$AE$162,0)),0)*$T$6</f>
        <v/>
      </c>
      <c r="AM110">
        <f>IFERROR(INDEX(V$13:V$162,MATCH(98,$AE$13:$AE$162,0)),0)*$T$6</f>
        <v/>
      </c>
      <c r="AN110">
        <f>IFERROR(INDEX(W$13:W$162,MATCH(98,$AE$13:$AE$162,0)),0)*$T$6</f>
        <v/>
      </c>
      <c r="AO110">
        <f>IFERROR(INDEX(X$13:X$162,MATCH(98,$AE$13:$AE$162,0)),0)*$T$6</f>
        <v/>
      </c>
      <c r="AP110">
        <f>IFERROR(INDEX(Y$13:Y$162,MATCH(98,$AE$13:$AE$162,0)),0)*$T$6</f>
        <v/>
      </c>
      <c r="AQ110">
        <f>IFERROR(INDEX(Z$13:Z$162,MATCH(98,$AE$13:$AE$162,0)),0)*$T$6</f>
        <v/>
      </c>
      <c r="AR110">
        <f>IFERROR(INDEX(AA$13:AA$162,MATCH(98,$AE$13:$AE$162,0)),0)*$T$6</f>
        <v/>
      </c>
      <c r="AS110">
        <f>IFERROR(INDEX($P$13:$P$162,MATCH(98,$AF$13:$AF$162,0)),"")</f>
        <v/>
      </c>
      <c r="AT110">
        <f>IFERROR(INDEX(S$13:S$162,MATCH(98,$AF$13:$AF$162,0)),0)*$T$7</f>
        <v/>
      </c>
      <c r="AU110">
        <f>IFERROR(INDEX(T$13:T$162,MATCH(98,$AF$13:$AF$162,0)),0)*$T$7</f>
        <v/>
      </c>
      <c r="AV110">
        <f>IFERROR(INDEX(U$13:U$162,MATCH(98,$AF$13:$AF$162,0)),0)*$T$7</f>
        <v/>
      </c>
      <c r="AW110">
        <f>IFERROR(INDEX(V$13:V$162,MATCH(98,$AF$13:$AF$162,0)),0)*$T$7</f>
        <v/>
      </c>
      <c r="AX110">
        <f>IFERROR(INDEX(W$13:W$162,MATCH(98,$AF$13:$AF$162,0)),0)*$T$7</f>
        <v/>
      </c>
      <c r="AY110">
        <f>IFERROR(INDEX(X$13:X$162,MATCH(98,$AF$13:$AF$162,0)),0)*$T$7</f>
        <v/>
      </c>
      <c r="AZ110">
        <f>IFERROR(INDEX(Y$13:Y$162,MATCH(98,$AF$13:$AF$162,0)),0)*$T$7</f>
        <v/>
      </c>
      <c r="BA110">
        <f>IFERROR(INDEX(Z$13:Z$162,MATCH(98,$AF$13:$AF$162,0)),0)*$T$7</f>
        <v/>
      </c>
      <c r="BB110">
        <f>IFERROR(INDEX(AA$13:AA$162,MATCH(98,$AF$13:$AF$162,0)),0)*$T$7</f>
        <v/>
      </c>
      <c r="BC110">
        <f>IFERROR(INDEX($P$13:$P$162,MATCH(98,$AG$13:$AG$162,0)),"")</f>
        <v/>
      </c>
      <c r="BD110">
        <f>IFERROR(INDEX(S$13:S$162,MATCH(98,$AG$13:$AG$162,0)),0)*($T$8+IF($C$10="",$T$9,0))</f>
        <v/>
      </c>
      <c r="BE110">
        <f>IFERROR(INDEX(T$13:T$162,MATCH(98,$AG$13:$AG$162,0)),0)*($T$8+IF($C$10="",$T$9,0))</f>
        <v/>
      </c>
      <c r="BF110">
        <f>IFERROR(INDEX(U$13:U$162,MATCH(98,$AG$13:$AG$162,0)),0)*($T$8+IF($C$10="",$T$9,0))</f>
        <v/>
      </c>
      <c r="BG110">
        <f>IFERROR(INDEX(V$13:V$162,MATCH(98,$AG$13:$AG$162,0)),0)*($T$8+IF($C$10="",$T$9,0))</f>
        <v/>
      </c>
      <c r="BH110">
        <f>IFERROR(INDEX(W$13:W$162,MATCH(98,$AG$13:$AG$162,0)),0)*($T$8+IF($C$10="",$T$9,0))</f>
        <v/>
      </c>
      <c r="BI110">
        <f>IFERROR(INDEX(X$13:X$162,MATCH(98,$AG$13:$AG$162,0)),0)*($T$8+IF($C$10="",$T$9,0))</f>
        <v/>
      </c>
      <c r="BJ110">
        <f>IFERROR(INDEX(Y$13:Y$162,MATCH(98,$AG$13:$AG$162,0)),0)*($T$8+IF($C$10="",$T$9,0))</f>
        <v/>
      </c>
      <c r="BK110">
        <f>IFERROR(INDEX(Z$13:Z$162,MATCH(98,$AG$13:$AG$162,0)),0)*($T$8+IF($C$10="",$T$9,0))</f>
        <v/>
      </c>
      <c r="BL110">
        <f>IFERROR(INDEX(AA$13:AA$162,MATCH(98,$AG$13:$AG$162,0)),0)*($T$8+IF($C$10="",$T$9,0))</f>
        <v/>
      </c>
      <c r="BN110">
        <f>IF(97&lt;$U$9,INT(97/($U$7*$U$8))+1,1)</f>
        <v/>
      </c>
      <c r="BO110">
        <f>IF(97&lt;$U$9,MOD(INT(97/$U$8),$U$7)+1,1)</f>
        <v/>
      </c>
      <c r="BP110">
        <f>IF(97&lt;$U$9,MOD(97,$U$8)+1,1)</f>
        <v/>
      </c>
      <c r="BQ110">
        <f>IF(97&lt;$U$9,SUMPRODUCT(($D$10:$L$10&lt;&gt;"")*(($D$9:$L$9+INT(($S$12:$AA$12+INDEX($AJ$13:$AR$162,BN110,0)+INDEX($AT$13:$BB$162,BO110,0)+INDEX($BD$13:$BL$162,BP110,0))/100))&gt;=$D$10:$L$10)),0)</f>
        <v/>
      </c>
      <c r="BR110">
        <f>IF(97&lt;$U$9,SUMPRODUCT(($D$10:$L$10&lt;&gt;"")*(($D$10:$L$10-($D$9:$L$9+INT(($S$12:$AA$12+INDEX($AJ$13:$AR$162,BN110,0)+INDEX($AT$13:$BB$162,BO110,0)+INDEX($BD$13:$BL$162,BP110,0))/100)))&gt;0)*($D$10:$L$10-($D$9:$L$9+INT(($S$12:$AA$12+INDEX($AJ$13:$AR$162,BN110,0)+INDEX($AT$13:$BB$162,BO110,0)+INDEX($BD$13:$BL$162,BP110,0))/100)))),0)</f>
        <v/>
      </c>
      <c r="BS110">
        <f>IF(97&lt;$U$9,SUMPRODUCT(($D$9:$L$9+INT(($S$12:$AA$12+INDEX($AJ$13:$AR$162,BN110,0)+INDEX($AT$13:$BB$162,BO110,0)+INDEX($BD$13:$BL$162,BP110,0))/100))),0)</f>
        <v/>
      </c>
      <c r="BT110">
        <f>IF(AND(97&lt;$U$9,$W$5),BQ110*1000000-MIN(BR110,999)*1000+BS110-97/100000,-1000000000-97)</f>
        <v/>
      </c>
      <c r="CF110">
        <f>IF($A110="","",IFERROR(MATCH($C110,'职业'!$C$3:$C$152,0),0))</f>
        <v/>
      </c>
      <c r="CG110">
        <f>IF($A110="","",CG109+MAX(0,D$7+IF($CF109=0,0,IFERROR(INDEX('职业'!F$3:F$152,$CF109)+0,0))))</f>
        <v/>
      </c>
      <c r="CH110">
        <f>IF($A110="","",CH109+MAX(0,E$7+IF($CF109=0,0,IFERROR(INDEX('职业'!G$3:G$152,$CF109)+0,0))))</f>
        <v/>
      </c>
      <c r="CI110">
        <f>IF($A110="","",CI109+MAX(0,F$7+IF($CF109=0,0,IFERROR(INDEX('职业'!H$3:H$152,$CF109)+0,0))))</f>
        <v/>
      </c>
      <c r="CJ110">
        <f>IF($A110="","",CJ109+MAX(0,G$7+IF($CF109=0,0,IFERROR(INDEX('职业'!I$3:I$152,$CF109)+0,0))))</f>
        <v/>
      </c>
      <c r="CK110">
        <f>IF($A110="","",CK109+MAX(0,H$7+IF($CF109=0,0,IFERROR(INDEX('职业'!J$3:J$152,$CF109)+0,0))))</f>
        <v/>
      </c>
      <c r="CL110">
        <f>IF($A110="","",CL109+MAX(0,I$7+IF($CF109=0,0,IFERROR(INDEX('职业'!K$3:K$152,$CF109)+0,0))))</f>
        <v/>
      </c>
      <c r="CM110">
        <f>IF($A110="","",CM109+MAX(0,J$7+IF($CF109=0,0,IFERROR(INDEX('职业'!L$3:L$152,$CF109)+0,0))))</f>
        <v/>
      </c>
      <c r="CN110">
        <f>IF($A110="","",CN109+MAX(0,K$7+IF($CF109=0,0,IFERROR(INDEX('职业'!M$3:M$152,$CF109)+0,0))))</f>
        <v/>
      </c>
      <c r="CO110">
        <f>IF($A110="","",CO109+MAX(0,L$7+IF($CF109=0,0,IFERROR(INDEX('职业'!N$3:N$152,$CF109)+0,0))))</f>
        <v/>
      </c>
    </row>
    <row r="111">
      <c r="A111" s="15">
        <f>IF(OR($B$9="",$B$10=""),"",IF($B$9+59&lt;=$B$10,$B$9+59,""))</f>
        <v/>
      </c>
      <c r="B111" s="15">
        <f>IF($A111="","",MATCH($A111,$BV$27:$BV$32,1))</f>
        <v/>
      </c>
      <c r="C111" s="15">
        <f>IF($A111="","",INDEX($BW$27:$BW$32,$B111))</f>
        <v/>
      </c>
      <c r="D111" s="15">
        <f>IF($A111="","",D$9+INT(($B$14+CG111)/100))</f>
        <v/>
      </c>
      <c r="E111" s="15">
        <f>IF($A111="","",E$9+INT(($B$14+CH111)/100))</f>
        <v/>
      </c>
      <c r="F111" s="15">
        <f>IF($A111="","",F$9+INT(($B$14+CI111)/100))</f>
        <v/>
      </c>
      <c r="G111" s="15">
        <f>IF($A111="","",G$9+INT(($B$14+CJ111)/100))</f>
        <v/>
      </c>
      <c r="H111" s="15">
        <f>IF($A111="","",H$9+INT(($B$14+CK111)/100))</f>
        <v/>
      </c>
      <c r="I111" s="15">
        <f>IF($A111="","",I$9+INT(($B$14+CL111)/100))</f>
        <v/>
      </c>
      <c r="J111" s="15">
        <f>IF($A111="","",J$9+INT(($B$14+CM111)/100))</f>
        <v/>
      </c>
      <c r="K111" s="15">
        <f>IF($A111="","",K$9+INT(($B$14+CN111)/100))</f>
        <v/>
      </c>
      <c r="L111" s="15">
        <f>IF($A111="","",L$9+INT(($B$14+CO111)/100))</f>
        <v/>
      </c>
      <c r="M111" s="16">
        <f>IF($A111="","",IF($C111&lt;&gt;$C110,"★ 转职 → 【"&amp;$C111&amp;"】","")&amp;IF($A111=$B$10,"（目标等级）",""))</f>
        <v/>
      </c>
      <c r="P111">
        <f>IF('职业'!$C101="","",'职业'!$C101)</f>
        <v/>
      </c>
      <c r="Q111">
        <f>N('职业'!$D101)</f>
        <v/>
      </c>
      <c r="R111">
        <f>'职业'!$E101&amp;""</f>
        <v/>
      </c>
      <c r="S111">
        <f>IF($P111="",0,MAX(0,D$7+N('职业'!F101)))</f>
        <v/>
      </c>
      <c r="T111">
        <f>IF($P111="",0,MAX(0,E$7+N('职业'!G101)))</f>
        <v/>
      </c>
      <c r="U111">
        <f>IF($P111="",0,MAX(0,F$7+N('职业'!H101)))</f>
        <v/>
      </c>
      <c r="V111">
        <f>IF($P111="",0,MAX(0,G$7+N('职业'!I101)))</f>
        <v/>
      </c>
      <c r="W111">
        <f>IF($P111="",0,MAX(0,H$7+N('职业'!J101)))</f>
        <v/>
      </c>
      <c r="X111">
        <f>IF($P111="",0,MAX(0,I$7+N('职业'!K101)))</f>
        <v/>
      </c>
      <c r="Y111">
        <f>IF($P111="",0,MAX(0,J$7+N('职业'!L101)))</f>
        <v/>
      </c>
      <c r="Z111">
        <f>IF($P111="",0,MAX(0,K$7+N('职业'!M101)))</f>
        <v/>
      </c>
      <c r="AA111">
        <f>IF($P111="",0,MAX(0,L$7+N('职业'!N101)))</f>
        <v/>
      </c>
      <c r="AB111">
        <f>AND($P111&lt;&gt;"",IF($U$5=1,$P111=$C$10,OR($P111=$C$9,AND($R111="是",$Q111&lt;=MAX($B$9,$Q$6)))))</f>
        <v/>
      </c>
      <c r="AC111">
        <f>AND($P111&lt;&gt;"",IF($U$5=2,$P111=$C$10,OR($P111=$C$9,AND($R111="是",$Q111&lt;=MAX($B$9,$Q$7)))))</f>
        <v/>
      </c>
      <c r="AD111">
        <f>AND($P111&lt;&gt;"",IF($U$5=3,$P111=$C$10,OR($P111=$C$9,AND($R111="是",$Q111&lt;=MAX($B$9,$Q$8)))))</f>
        <v/>
      </c>
      <c r="AE111">
        <f>IF(AB111,COUNTIF(AB$13:AB111,TRUE),"")</f>
        <v/>
      </c>
      <c r="AF111">
        <f>IF(AC111,COUNTIF(AC$13:AC111,TRUE),"")</f>
        <v/>
      </c>
      <c r="AG111">
        <f>IF(AD111,COUNTIF(AD$13:AD111,TRUE),"")</f>
        <v/>
      </c>
      <c r="AI111">
        <f>IFERROR(INDEX($P$13:$P$162,MATCH(99,$AE$13:$AE$162,0)),"")</f>
        <v/>
      </c>
      <c r="AJ111">
        <f>IFERROR(INDEX(S$13:S$162,MATCH(99,$AE$13:$AE$162,0)),0)*$T$6</f>
        <v/>
      </c>
      <c r="AK111">
        <f>IFERROR(INDEX(T$13:T$162,MATCH(99,$AE$13:$AE$162,0)),0)*$T$6</f>
        <v/>
      </c>
      <c r="AL111">
        <f>IFERROR(INDEX(U$13:U$162,MATCH(99,$AE$13:$AE$162,0)),0)*$T$6</f>
        <v/>
      </c>
      <c r="AM111">
        <f>IFERROR(INDEX(V$13:V$162,MATCH(99,$AE$13:$AE$162,0)),0)*$T$6</f>
        <v/>
      </c>
      <c r="AN111">
        <f>IFERROR(INDEX(W$13:W$162,MATCH(99,$AE$13:$AE$162,0)),0)*$T$6</f>
        <v/>
      </c>
      <c r="AO111">
        <f>IFERROR(INDEX(X$13:X$162,MATCH(99,$AE$13:$AE$162,0)),0)*$T$6</f>
        <v/>
      </c>
      <c r="AP111">
        <f>IFERROR(INDEX(Y$13:Y$162,MATCH(99,$AE$13:$AE$162,0)),0)*$T$6</f>
        <v/>
      </c>
      <c r="AQ111">
        <f>IFERROR(INDEX(Z$13:Z$162,MATCH(99,$AE$13:$AE$162,0)),0)*$T$6</f>
        <v/>
      </c>
      <c r="AR111">
        <f>IFERROR(INDEX(AA$13:AA$162,MATCH(99,$AE$13:$AE$162,0)),0)*$T$6</f>
        <v/>
      </c>
      <c r="AS111">
        <f>IFERROR(INDEX($P$13:$P$162,MATCH(99,$AF$13:$AF$162,0)),"")</f>
        <v/>
      </c>
      <c r="AT111">
        <f>IFERROR(INDEX(S$13:S$162,MATCH(99,$AF$13:$AF$162,0)),0)*$T$7</f>
        <v/>
      </c>
      <c r="AU111">
        <f>IFERROR(INDEX(T$13:T$162,MATCH(99,$AF$13:$AF$162,0)),0)*$T$7</f>
        <v/>
      </c>
      <c r="AV111">
        <f>IFERROR(INDEX(U$13:U$162,MATCH(99,$AF$13:$AF$162,0)),0)*$T$7</f>
        <v/>
      </c>
      <c r="AW111">
        <f>IFERROR(INDEX(V$13:V$162,MATCH(99,$AF$13:$AF$162,0)),0)*$T$7</f>
        <v/>
      </c>
      <c r="AX111">
        <f>IFERROR(INDEX(W$13:W$162,MATCH(99,$AF$13:$AF$162,0)),0)*$T$7</f>
        <v/>
      </c>
      <c r="AY111">
        <f>IFERROR(INDEX(X$13:X$162,MATCH(99,$AF$13:$AF$162,0)),0)*$T$7</f>
        <v/>
      </c>
      <c r="AZ111">
        <f>IFERROR(INDEX(Y$13:Y$162,MATCH(99,$AF$13:$AF$162,0)),0)*$T$7</f>
        <v/>
      </c>
      <c r="BA111">
        <f>IFERROR(INDEX(Z$13:Z$162,MATCH(99,$AF$13:$AF$162,0)),0)*$T$7</f>
        <v/>
      </c>
      <c r="BB111">
        <f>IFERROR(INDEX(AA$13:AA$162,MATCH(99,$AF$13:$AF$162,0)),0)*$T$7</f>
        <v/>
      </c>
      <c r="BC111">
        <f>IFERROR(INDEX($P$13:$P$162,MATCH(99,$AG$13:$AG$162,0)),"")</f>
        <v/>
      </c>
      <c r="BD111">
        <f>IFERROR(INDEX(S$13:S$162,MATCH(99,$AG$13:$AG$162,0)),0)*($T$8+IF($C$10="",$T$9,0))</f>
        <v/>
      </c>
      <c r="BE111">
        <f>IFERROR(INDEX(T$13:T$162,MATCH(99,$AG$13:$AG$162,0)),0)*($T$8+IF($C$10="",$T$9,0))</f>
        <v/>
      </c>
      <c r="BF111">
        <f>IFERROR(INDEX(U$13:U$162,MATCH(99,$AG$13:$AG$162,0)),0)*($T$8+IF($C$10="",$T$9,0))</f>
        <v/>
      </c>
      <c r="BG111">
        <f>IFERROR(INDEX(V$13:V$162,MATCH(99,$AG$13:$AG$162,0)),0)*($T$8+IF($C$10="",$T$9,0))</f>
        <v/>
      </c>
      <c r="BH111">
        <f>IFERROR(INDEX(W$13:W$162,MATCH(99,$AG$13:$AG$162,0)),0)*($T$8+IF($C$10="",$T$9,0))</f>
        <v/>
      </c>
      <c r="BI111">
        <f>IFERROR(INDEX(X$13:X$162,MATCH(99,$AG$13:$AG$162,0)),0)*($T$8+IF($C$10="",$T$9,0))</f>
        <v/>
      </c>
      <c r="BJ111">
        <f>IFERROR(INDEX(Y$13:Y$162,MATCH(99,$AG$13:$AG$162,0)),0)*($T$8+IF($C$10="",$T$9,0))</f>
        <v/>
      </c>
      <c r="BK111">
        <f>IFERROR(INDEX(Z$13:Z$162,MATCH(99,$AG$13:$AG$162,0)),0)*($T$8+IF($C$10="",$T$9,0))</f>
        <v/>
      </c>
      <c r="BL111">
        <f>IFERROR(INDEX(AA$13:AA$162,MATCH(99,$AG$13:$AG$162,0)),0)*($T$8+IF($C$10="",$T$9,0))</f>
        <v/>
      </c>
      <c r="BN111">
        <f>IF(98&lt;$U$9,INT(98/($U$7*$U$8))+1,1)</f>
        <v/>
      </c>
      <c r="BO111">
        <f>IF(98&lt;$U$9,MOD(INT(98/$U$8),$U$7)+1,1)</f>
        <v/>
      </c>
      <c r="BP111">
        <f>IF(98&lt;$U$9,MOD(98,$U$8)+1,1)</f>
        <v/>
      </c>
      <c r="BQ111">
        <f>IF(98&lt;$U$9,SUMPRODUCT(($D$10:$L$10&lt;&gt;"")*(($D$9:$L$9+INT(($S$12:$AA$12+INDEX($AJ$13:$AR$162,BN111,0)+INDEX($AT$13:$BB$162,BO111,0)+INDEX($BD$13:$BL$162,BP111,0))/100))&gt;=$D$10:$L$10)),0)</f>
        <v/>
      </c>
      <c r="BR111">
        <f>IF(98&lt;$U$9,SUMPRODUCT(($D$10:$L$10&lt;&gt;"")*(($D$10:$L$10-($D$9:$L$9+INT(($S$12:$AA$12+INDEX($AJ$13:$AR$162,BN111,0)+INDEX($AT$13:$BB$162,BO111,0)+INDEX($BD$13:$BL$162,BP111,0))/100)))&gt;0)*($D$10:$L$10-($D$9:$L$9+INT(($S$12:$AA$12+INDEX($AJ$13:$AR$162,BN111,0)+INDEX($AT$13:$BB$162,BO111,0)+INDEX($BD$13:$BL$162,BP111,0))/100)))),0)</f>
        <v/>
      </c>
      <c r="BS111">
        <f>IF(98&lt;$U$9,SUMPRODUCT(($D$9:$L$9+INT(($S$12:$AA$12+INDEX($AJ$13:$AR$162,BN111,0)+INDEX($AT$13:$BB$162,BO111,0)+INDEX($BD$13:$BL$162,BP111,0))/100))),0)</f>
        <v/>
      </c>
      <c r="BT111">
        <f>IF(AND(98&lt;$U$9,$W$5),BQ111*1000000-MIN(BR111,999)*1000+BS111-98/100000,-1000000000-98)</f>
        <v/>
      </c>
      <c r="CF111">
        <f>IF($A111="","",IFERROR(MATCH($C111,'职业'!$C$3:$C$152,0),0))</f>
        <v/>
      </c>
      <c r="CG111">
        <f>IF($A111="","",CG110+MAX(0,D$7+IF($CF110=0,0,IFERROR(INDEX('职业'!F$3:F$152,$CF110)+0,0))))</f>
        <v/>
      </c>
      <c r="CH111">
        <f>IF($A111="","",CH110+MAX(0,E$7+IF($CF110=0,0,IFERROR(INDEX('职业'!G$3:G$152,$CF110)+0,0))))</f>
        <v/>
      </c>
      <c r="CI111">
        <f>IF($A111="","",CI110+MAX(0,F$7+IF($CF110=0,0,IFERROR(INDEX('职业'!H$3:H$152,$CF110)+0,0))))</f>
        <v/>
      </c>
      <c r="CJ111">
        <f>IF($A111="","",CJ110+MAX(0,G$7+IF($CF110=0,0,IFERROR(INDEX('职业'!I$3:I$152,$CF110)+0,0))))</f>
        <v/>
      </c>
      <c r="CK111">
        <f>IF($A111="","",CK110+MAX(0,H$7+IF($CF110=0,0,IFERROR(INDEX('职业'!J$3:J$152,$CF110)+0,0))))</f>
        <v/>
      </c>
      <c r="CL111">
        <f>IF($A111="","",CL110+MAX(0,I$7+IF($CF110=0,0,IFERROR(INDEX('职业'!K$3:K$152,$CF110)+0,0))))</f>
        <v/>
      </c>
      <c r="CM111">
        <f>IF($A111="","",CM110+MAX(0,J$7+IF($CF110=0,0,IFERROR(INDEX('职业'!L$3:L$152,$CF110)+0,0))))</f>
        <v/>
      </c>
      <c r="CN111">
        <f>IF($A111="","",CN110+MAX(0,K$7+IF($CF110=0,0,IFERROR(INDEX('职业'!M$3:M$152,$CF110)+0,0))))</f>
        <v/>
      </c>
      <c r="CO111">
        <f>IF($A111="","",CO110+MAX(0,L$7+IF($CF110=0,0,IFERROR(INDEX('职业'!N$3:N$152,$CF110)+0,0))))</f>
        <v/>
      </c>
    </row>
    <row r="112">
      <c r="A112" s="15">
        <f>IF(OR($B$9="",$B$10=""),"",IF($B$9+60&lt;=$B$10,$B$9+60,""))</f>
        <v/>
      </c>
      <c r="B112" s="15">
        <f>IF($A112="","",MATCH($A112,$BV$27:$BV$32,1))</f>
        <v/>
      </c>
      <c r="C112" s="15">
        <f>IF($A112="","",INDEX($BW$27:$BW$32,$B112))</f>
        <v/>
      </c>
      <c r="D112" s="15">
        <f>IF($A112="","",D$9+INT(($B$14+CG112)/100))</f>
        <v/>
      </c>
      <c r="E112" s="15">
        <f>IF($A112="","",E$9+INT(($B$14+CH112)/100))</f>
        <v/>
      </c>
      <c r="F112" s="15">
        <f>IF($A112="","",F$9+INT(($B$14+CI112)/100))</f>
        <v/>
      </c>
      <c r="G112" s="15">
        <f>IF($A112="","",G$9+INT(($B$14+CJ112)/100))</f>
        <v/>
      </c>
      <c r="H112" s="15">
        <f>IF($A112="","",H$9+INT(($B$14+CK112)/100))</f>
        <v/>
      </c>
      <c r="I112" s="15">
        <f>IF($A112="","",I$9+INT(($B$14+CL112)/100))</f>
        <v/>
      </c>
      <c r="J112" s="15">
        <f>IF($A112="","",J$9+INT(($B$14+CM112)/100))</f>
        <v/>
      </c>
      <c r="K112" s="15">
        <f>IF($A112="","",K$9+INT(($B$14+CN112)/100))</f>
        <v/>
      </c>
      <c r="L112" s="15">
        <f>IF($A112="","",L$9+INT(($B$14+CO112)/100))</f>
        <v/>
      </c>
      <c r="M112" s="16">
        <f>IF($A112="","",IF($C112&lt;&gt;$C111,"★ 转职 → 【"&amp;$C112&amp;"】","")&amp;IF($A112=$B$10,"（目标等级）",""))</f>
        <v/>
      </c>
      <c r="P112">
        <f>IF('职业'!$C102="","",'职业'!$C102)</f>
        <v/>
      </c>
      <c r="Q112">
        <f>N('职业'!$D102)</f>
        <v/>
      </c>
      <c r="R112">
        <f>'职业'!$E102&amp;""</f>
        <v/>
      </c>
      <c r="S112">
        <f>IF($P112="",0,MAX(0,D$7+N('职业'!F102)))</f>
        <v/>
      </c>
      <c r="T112">
        <f>IF($P112="",0,MAX(0,E$7+N('职业'!G102)))</f>
        <v/>
      </c>
      <c r="U112">
        <f>IF($P112="",0,MAX(0,F$7+N('职业'!H102)))</f>
        <v/>
      </c>
      <c r="V112">
        <f>IF($P112="",0,MAX(0,G$7+N('职业'!I102)))</f>
        <v/>
      </c>
      <c r="W112">
        <f>IF($P112="",0,MAX(0,H$7+N('职业'!J102)))</f>
        <v/>
      </c>
      <c r="X112">
        <f>IF($P112="",0,MAX(0,I$7+N('职业'!K102)))</f>
        <v/>
      </c>
      <c r="Y112">
        <f>IF($P112="",0,MAX(0,J$7+N('职业'!L102)))</f>
        <v/>
      </c>
      <c r="Z112">
        <f>IF($P112="",0,MAX(0,K$7+N('职业'!M102)))</f>
        <v/>
      </c>
      <c r="AA112">
        <f>IF($P112="",0,MAX(0,L$7+N('职业'!N102)))</f>
        <v/>
      </c>
      <c r="AB112">
        <f>AND($P112&lt;&gt;"",IF($U$5=1,$P112=$C$10,OR($P112=$C$9,AND($R112="是",$Q112&lt;=MAX($B$9,$Q$6)))))</f>
        <v/>
      </c>
      <c r="AC112">
        <f>AND($P112&lt;&gt;"",IF($U$5=2,$P112=$C$10,OR($P112=$C$9,AND($R112="是",$Q112&lt;=MAX($B$9,$Q$7)))))</f>
        <v/>
      </c>
      <c r="AD112">
        <f>AND($P112&lt;&gt;"",IF($U$5=3,$P112=$C$10,OR($P112=$C$9,AND($R112="是",$Q112&lt;=MAX($B$9,$Q$8)))))</f>
        <v/>
      </c>
      <c r="AE112">
        <f>IF(AB112,COUNTIF(AB$13:AB112,TRUE),"")</f>
        <v/>
      </c>
      <c r="AF112">
        <f>IF(AC112,COUNTIF(AC$13:AC112,TRUE),"")</f>
        <v/>
      </c>
      <c r="AG112">
        <f>IF(AD112,COUNTIF(AD$13:AD112,TRUE),"")</f>
        <v/>
      </c>
      <c r="AI112">
        <f>IFERROR(INDEX($P$13:$P$162,MATCH(100,$AE$13:$AE$162,0)),"")</f>
        <v/>
      </c>
      <c r="AJ112">
        <f>IFERROR(INDEX(S$13:S$162,MATCH(100,$AE$13:$AE$162,0)),0)*$T$6</f>
        <v/>
      </c>
      <c r="AK112">
        <f>IFERROR(INDEX(T$13:T$162,MATCH(100,$AE$13:$AE$162,0)),0)*$T$6</f>
        <v/>
      </c>
      <c r="AL112">
        <f>IFERROR(INDEX(U$13:U$162,MATCH(100,$AE$13:$AE$162,0)),0)*$T$6</f>
        <v/>
      </c>
      <c r="AM112">
        <f>IFERROR(INDEX(V$13:V$162,MATCH(100,$AE$13:$AE$162,0)),0)*$T$6</f>
        <v/>
      </c>
      <c r="AN112">
        <f>IFERROR(INDEX(W$13:W$162,MATCH(100,$AE$13:$AE$162,0)),0)*$T$6</f>
        <v/>
      </c>
      <c r="AO112">
        <f>IFERROR(INDEX(X$13:X$162,MATCH(100,$AE$13:$AE$162,0)),0)*$T$6</f>
        <v/>
      </c>
      <c r="AP112">
        <f>IFERROR(INDEX(Y$13:Y$162,MATCH(100,$AE$13:$AE$162,0)),0)*$T$6</f>
        <v/>
      </c>
      <c r="AQ112">
        <f>IFERROR(INDEX(Z$13:Z$162,MATCH(100,$AE$13:$AE$162,0)),0)*$T$6</f>
        <v/>
      </c>
      <c r="AR112">
        <f>IFERROR(INDEX(AA$13:AA$162,MATCH(100,$AE$13:$AE$162,0)),0)*$T$6</f>
        <v/>
      </c>
      <c r="AS112">
        <f>IFERROR(INDEX($P$13:$P$162,MATCH(100,$AF$13:$AF$162,0)),"")</f>
        <v/>
      </c>
      <c r="AT112">
        <f>IFERROR(INDEX(S$13:S$162,MATCH(100,$AF$13:$AF$162,0)),0)*$T$7</f>
        <v/>
      </c>
      <c r="AU112">
        <f>IFERROR(INDEX(T$13:T$162,MATCH(100,$AF$13:$AF$162,0)),0)*$T$7</f>
        <v/>
      </c>
      <c r="AV112">
        <f>IFERROR(INDEX(U$13:U$162,MATCH(100,$AF$13:$AF$162,0)),0)*$T$7</f>
        <v/>
      </c>
      <c r="AW112">
        <f>IFERROR(INDEX(V$13:V$162,MATCH(100,$AF$13:$AF$162,0)),0)*$T$7</f>
        <v/>
      </c>
      <c r="AX112">
        <f>IFERROR(INDEX(W$13:W$162,MATCH(100,$AF$13:$AF$162,0)),0)*$T$7</f>
        <v/>
      </c>
      <c r="AY112">
        <f>IFERROR(INDEX(X$13:X$162,MATCH(100,$AF$13:$AF$162,0)),0)*$T$7</f>
        <v/>
      </c>
      <c r="AZ112">
        <f>IFERROR(INDEX(Y$13:Y$162,MATCH(100,$AF$13:$AF$162,0)),0)*$T$7</f>
        <v/>
      </c>
      <c r="BA112">
        <f>IFERROR(INDEX(Z$13:Z$162,MATCH(100,$AF$13:$AF$162,0)),0)*$T$7</f>
        <v/>
      </c>
      <c r="BB112">
        <f>IFERROR(INDEX(AA$13:AA$162,MATCH(100,$AF$13:$AF$162,0)),0)*$T$7</f>
        <v/>
      </c>
      <c r="BC112">
        <f>IFERROR(INDEX($P$13:$P$162,MATCH(100,$AG$13:$AG$162,0)),"")</f>
        <v/>
      </c>
      <c r="BD112">
        <f>IFERROR(INDEX(S$13:S$162,MATCH(100,$AG$13:$AG$162,0)),0)*($T$8+IF($C$10="",$T$9,0))</f>
        <v/>
      </c>
      <c r="BE112">
        <f>IFERROR(INDEX(T$13:T$162,MATCH(100,$AG$13:$AG$162,0)),0)*($T$8+IF($C$10="",$T$9,0))</f>
        <v/>
      </c>
      <c r="BF112">
        <f>IFERROR(INDEX(U$13:U$162,MATCH(100,$AG$13:$AG$162,0)),0)*($T$8+IF($C$10="",$T$9,0))</f>
        <v/>
      </c>
      <c r="BG112">
        <f>IFERROR(INDEX(V$13:V$162,MATCH(100,$AG$13:$AG$162,0)),0)*($T$8+IF($C$10="",$T$9,0))</f>
        <v/>
      </c>
      <c r="BH112">
        <f>IFERROR(INDEX(W$13:W$162,MATCH(100,$AG$13:$AG$162,0)),0)*($T$8+IF($C$10="",$T$9,0))</f>
        <v/>
      </c>
      <c r="BI112">
        <f>IFERROR(INDEX(X$13:X$162,MATCH(100,$AG$13:$AG$162,0)),0)*($T$8+IF($C$10="",$T$9,0))</f>
        <v/>
      </c>
      <c r="BJ112">
        <f>IFERROR(INDEX(Y$13:Y$162,MATCH(100,$AG$13:$AG$162,0)),0)*($T$8+IF($C$10="",$T$9,0))</f>
        <v/>
      </c>
      <c r="BK112">
        <f>IFERROR(INDEX(Z$13:Z$162,MATCH(100,$AG$13:$AG$162,0)),0)*($T$8+IF($C$10="",$T$9,0))</f>
        <v/>
      </c>
      <c r="BL112">
        <f>IFERROR(INDEX(AA$13:AA$162,MATCH(100,$AG$13:$AG$162,0)),0)*($T$8+IF($C$10="",$T$9,0))</f>
        <v/>
      </c>
      <c r="BN112">
        <f>IF(99&lt;$U$9,INT(99/($U$7*$U$8))+1,1)</f>
        <v/>
      </c>
      <c r="BO112">
        <f>IF(99&lt;$U$9,MOD(INT(99/$U$8),$U$7)+1,1)</f>
        <v/>
      </c>
      <c r="BP112">
        <f>IF(99&lt;$U$9,MOD(99,$U$8)+1,1)</f>
        <v/>
      </c>
      <c r="BQ112">
        <f>IF(99&lt;$U$9,SUMPRODUCT(($D$10:$L$10&lt;&gt;"")*(($D$9:$L$9+INT(($S$12:$AA$12+INDEX($AJ$13:$AR$162,BN112,0)+INDEX($AT$13:$BB$162,BO112,0)+INDEX($BD$13:$BL$162,BP112,0))/100))&gt;=$D$10:$L$10)),0)</f>
        <v/>
      </c>
      <c r="BR112">
        <f>IF(99&lt;$U$9,SUMPRODUCT(($D$10:$L$10&lt;&gt;"")*(($D$10:$L$10-($D$9:$L$9+INT(($S$12:$AA$12+INDEX($AJ$13:$AR$162,BN112,0)+INDEX($AT$13:$BB$162,BO112,0)+INDEX($BD$13:$BL$162,BP112,0))/100)))&gt;0)*($D$10:$L$10-($D$9:$L$9+INT(($S$12:$AA$12+INDEX($AJ$13:$AR$162,BN112,0)+INDEX($AT$13:$BB$162,BO112,0)+INDEX($BD$13:$BL$162,BP112,0))/100)))),0)</f>
        <v/>
      </c>
      <c r="BS112">
        <f>IF(99&lt;$U$9,SUMPRODUCT(($D$9:$L$9+INT(($S$12:$AA$12+INDEX($AJ$13:$AR$162,BN112,0)+INDEX($AT$13:$BB$162,BO112,0)+INDEX($BD$13:$BL$162,BP112,0))/100))),0)</f>
        <v/>
      </c>
      <c r="BT112">
        <f>IF(AND(99&lt;$U$9,$W$5),BQ112*1000000-MIN(BR112,999)*1000+BS112-99/100000,-1000000000-99)</f>
        <v/>
      </c>
      <c r="CF112">
        <f>IF($A112="","",IFERROR(MATCH($C112,'职业'!$C$3:$C$152,0),0))</f>
        <v/>
      </c>
      <c r="CG112">
        <f>IF($A112="","",CG111+MAX(0,D$7+IF($CF111=0,0,IFERROR(INDEX('职业'!F$3:F$152,$CF111)+0,0))))</f>
        <v/>
      </c>
      <c r="CH112">
        <f>IF($A112="","",CH111+MAX(0,E$7+IF($CF111=0,0,IFERROR(INDEX('职业'!G$3:G$152,$CF111)+0,0))))</f>
        <v/>
      </c>
      <c r="CI112">
        <f>IF($A112="","",CI111+MAX(0,F$7+IF($CF111=0,0,IFERROR(INDEX('职业'!H$3:H$152,$CF111)+0,0))))</f>
        <v/>
      </c>
      <c r="CJ112">
        <f>IF($A112="","",CJ111+MAX(0,G$7+IF($CF111=0,0,IFERROR(INDEX('职业'!I$3:I$152,$CF111)+0,0))))</f>
        <v/>
      </c>
      <c r="CK112">
        <f>IF($A112="","",CK111+MAX(0,H$7+IF($CF111=0,0,IFERROR(INDEX('职业'!J$3:J$152,$CF111)+0,0))))</f>
        <v/>
      </c>
      <c r="CL112">
        <f>IF($A112="","",CL111+MAX(0,I$7+IF($CF111=0,0,IFERROR(INDEX('职业'!K$3:K$152,$CF111)+0,0))))</f>
        <v/>
      </c>
      <c r="CM112">
        <f>IF($A112="","",CM111+MAX(0,J$7+IF($CF111=0,0,IFERROR(INDEX('职业'!L$3:L$152,$CF111)+0,0))))</f>
        <v/>
      </c>
      <c r="CN112">
        <f>IF($A112="","",CN111+MAX(0,K$7+IF($CF111=0,0,IFERROR(INDEX('职业'!M$3:M$152,$CF111)+0,0))))</f>
        <v/>
      </c>
      <c r="CO112">
        <f>IF($A112="","",CO111+MAX(0,L$7+IF($CF111=0,0,IFERROR(INDEX('职业'!N$3:N$152,$CF111)+0,0))))</f>
        <v/>
      </c>
    </row>
    <row r="113">
      <c r="A113" s="15">
        <f>IF(OR($B$9="",$B$10=""),"",IF($B$9+61&lt;=$B$10,$B$9+61,""))</f>
        <v/>
      </c>
      <c r="B113" s="15">
        <f>IF($A113="","",MATCH($A113,$BV$27:$BV$32,1))</f>
        <v/>
      </c>
      <c r="C113" s="15">
        <f>IF($A113="","",INDEX($BW$27:$BW$32,$B113))</f>
        <v/>
      </c>
      <c r="D113" s="15">
        <f>IF($A113="","",D$9+INT(($B$14+CG113)/100))</f>
        <v/>
      </c>
      <c r="E113" s="15">
        <f>IF($A113="","",E$9+INT(($B$14+CH113)/100))</f>
        <v/>
      </c>
      <c r="F113" s="15">
        <f>IF($A113="","",F$9+INT(($B$14+CI113)/100))</f>
        <v/>
      </c>
      <c r="G113" s="15">
        <f>IF($A113="","",G$9+INT(($B$14+CJ113)/100))</f>
        <v/>
      </c>
      <c r="H113" s="15">
        <f>IF($A113="","",H$9+INT(($B$14+CK113)/100))</f>
        <v/>
      </c>
      <c r="I113" s="15">
        <f>IF($A113="","",I$9+INT(($B$14+CL113)/100))</f>
        <v/>
      </c>
      <c r="J113" s="15">
        <f>IF($A113="","",J$9+INT(($B$14+CM113)/100))</f>
        <v/>
      </c>
      <c r="K113" s="15">
        <f>IF($A113="","",K$9+INT(($B$14+CN113)/100))</f>
        <v/>
      </c>
      <c r="L113" s="15">
        <f>IF($A113="","",L$9+INT(($B$14+CO113)/100))</f>
        <v/>
      </c>
      <c r="M113" s="16">
        <f>IF($A113="","",IF($C113&lt;&gt;$C112,"★ 转职 → 【"&amp;$C113&amp;"】","")&amp;IF($A113=$B$10,"（目标等级）",""))</f>
        <v/>
      </c>
      <c r="P113">
        <f>IF('职业'!$C103="","",'职业'!$C103)</f>
        <v/>
      </c>
      <c r="Q113">
        <f>N('职业'!$D103)</f>
        <v/>
      </c>
      <c r="R113">
        <f>'职业'!$E103&amp;""</f>
        <v/>
      </c>
      <c r="S113">
        <f>IF($P113="",0,MAX(0,D$7+N('职业'!F103)))</f>
        <v/>
      </c>
      <c r="T113">
        <f>IF($P113="",0,MAX(0,E$7+N('职业'!G103)))</f>
        <v/>
      </c>
      <c r="U113">
        <f>IF($P113="",0,MAX(0,F$7+N('职业'!H103)))</f>
        <v/>
      </c>
      <c r="V113">
        <f>IF($P113="",0,MAX(0,G$7+N('职业'!I103)))</f>
        <v/>
      </c>
      <c r="W113">
        <f>IF($P113="",0,MAX(0,H$7+N('职业'!J103)))</f>
        <v/>
      </c>
      <c r="X113">
        <f>IF($P113="",0,MAX(0,I$7+N('职业'!K103)))</f>
        <v/>
      </c>
      <c r="Y113">
        <f>IF($P113="",0,MAX(0,J$7+N('职业'!L103)))</f>
        <v/>
      </c>
      <c r="Z113">
        <f>IF($P113="",0,MAX(0,K$7+N('职业'!M103)))</f>
        <v/>
      </c>
      <c r="AA113">
        <f>IF($P113="",0,MAX(0,L$7+N('职业'!N103)))</f>
        <v/>
      </c>
      <c r="AB113">
        <f>AND($P113&lt;&gt;"",IF($U$5=1,$P113=$C$10,OR($P113=$C$9,AND($R113="是",$Q113&lt;=MAX($B$9,$Q$6)))))</f>
        <v/>
      </c>
      <c r="AC113">
        <f>AND($P113&lt;&gt;"",IF($U$5=2,$P113=$C$10,OR($P113=$C$9,AND($R113="是",$Q113&lt;=MAX($B$9,$Q$7)))))</f>
        <v/>
      </c>
      <c r="AD113">
        <f>AND($P113&lt;&gt;"",IF($U$5=3,$P113=$C$10,OR($P113=$C$9,AND($R113="是",$Q113&lt;=MAX($B$9,$Q$8)))))</f>
        <v/>
      </c>
      <c r="AE113">
        <f>IF(AB113,COUNTIF(AB$13:AB113,TRUE),"")</f>
        <v/>
      </c>
      <c r="AF113">
        <f>IF(AC113,COUNTIF(AC$13:AC113,TRUE),"")</f>
        <v/>
      </c>
      <c r="AG113">
        <f>IF(AD113,COUNTIF(AD$13:AD113,TRUE),"")</f>
        <v/>
      </c>
      <c r="AI113">
        <f>IFERROR(INDEX($P$13:$P$162,MATCH(101,$AE$13:$AE$162,0)),"")</f>
        <v/>
      </c>
      <c r="AJ113">
        <f>IFERROR(INDEX(S$13:S$162,MATCH(101,$AE$13:$AE$162,0)),0)*$T$6</f>
        <v/>
      </c>
      <c r="AK113">
        <f>IFERROR(INDEX(T$13:T$162,MATCH(101,$AE$13:$AE$162,0)),0)*$T$6</f>
        <v/>
      </c>
      <c r="AL113">
        <f>IFERROR(INDEX(U$13:U$162,MATCH(101,$AE$13:$AE$162,0)),0)*$T$6</f>
        <v/>
      </c>
      <c r="AM113">
        <f>IFERROR(INDEX(V$13:V$162,MATCH(101,$AE$13:$AE$162,0)),0)*$T$6</f>
        <v/>
      </c>
      <c r="AN113">
        <f>IFERROR(INDEX(W$13:W$162,MATCH(101,$AE$13:$AE$162,0)),0)*$T$6</f>
        <v/>
      </c>
      <c r="AO113">
        <f>IFERROR(INDEX(X$13:X$162,MATCH(101,$AE$13:$AE$162,0)),0)*$T$6</f>
        <v/>
      </c>
      <c r="AP113">
        <f>IFERROR(INDEX(Y$13:Y$162,MATCH(101,$AE$13:$AE$162,0)),0)*$T$6</f>
        <v/>
      </c>
      <c r="AQ113">
        <f>IFERROR(INDEX(Z$13:Z$162,MATCH(101,$AE$13:$AE$162,0)),0)*$T$6</f>
        <v/>
      </c>
      <c r="AR113">
        <f>IFERROR(INDEX(AA$13:AA$162,MATCH(101,$AE$13:$AE$162,0)),0)*$T$6</f>
        <v/>
      </c>
      <c r="AS113">
        <f>IFERROR(INDEX($P$13:$P$162,MATCH(101,$AF$13:$AF$162,0)),"")</f>
        <v/>
      </c>
      <c r="AT113">
        <f>IFERROR(INDEX(S$13:S$162,MATCH(101,$AF$13:$AF$162,0)),0)*$T$7</f>
        <v/>
      </c>
      <c r="AU113">
        <f>IFERROR(INDEX(T$13:T$162,MATCH(101,$AF$13:$AF$162,0)),0)*$T$7</f>
        <v/>
      </c>
      <c r="AV113">
        <f>IFERROR(INDEX(U$13:U$162,MATCH(101,$AF$13:$AF$162,0)),0)*$T$7</f>
        <v/>
      </c>
      <c r="AW113">
        <f>IFERROR(INDEX(V$13:V$162,MATCH(101,$AF$13:$AF$162,0)),0)*$T$7</f>
        <v/>
      </c>
      <c r="AX113">
        <f>IFERROR(INDEX(W$13:W$162,MATCH(101,$AF$13:$AF$162,0)),0)*$T$7</f>
        <v/>
      </c>
      <c r="AY113">
        <f>IFERROR(INDEX(X$13:X$162,MATCH(101,$AF$13:$AF$162,0)),0)*$T$7</f>
        <v/>
      </c>
      <c r="AZ113">
        <f>IFERROR(INDEX(Y$13:Y$162,MATCH(101,$AF$13:$AF$162,0)),0)*$T$7</f>
        <v/>
      </c>
      <c r="BA113">
        <f>IFERROR(INDEX(Z$13:Z$162,MATCH(101,$AF$13:$AF$162,0)),0)*$T$7</f>
        <v/>
      </c>
      <c r="BB113">
        <f>IFERROR(INDEX(AA$13:AA$162,MATCH(101,$AF$13:$AF$162,0)),0)*$T$7</f>
        <v/>
      </c>
      <c r="BC113">
        <f>IFERROR(INDEX($P$13:$P$162,MATCH(101,$AG$13:$AG$162,0)),"")</f>
        <v/>
      </c>
      <c r="BD113">
        <f>IFERROR(INDEX(S$13:S$162,MATCH(101,$AG$13:$AG$162,0)),0)*($T$8+IF($C$10="",$T$9,0))</f>
        <v/>
      </c>
      <c r="BE113">
        <f>IFERROR(INDEX(T$13:T$162,MATCH(101,$AG$13:$AG$162,0)),0)*($T$8+IF($C$10="",$T$9,0))</f>
        <v/>
      </c>
      <c r="BF113">
        <f>IFERROR(INDEX(U$13:U$162,MATCH(101,$AG$13:$AG$162,0)),0)*($T$8+IF($C$10="",$T$9,0))</f>
        <v/>
      </c>
      <c r="BG113">
        <f>IFERROR(INDEX(V$13:V$162,MATCH(101,$AG$13:$AG$162,0)),0)*($T$8+IF($C$10="",$T$9,0))</f>
        <v/>
      </c>
      <c r="BH113">
        <f>IFERROR(INDEX(W$13:W$162,MATCH(101,$AG$13:$AG$162,0)),0)*($T$8+IF($C$10="",$T$9,0))</f>
        <v/>
      </c>
      <c r="BI113">
        <f>IFERROR(INDEX(X$13:X$162,MATCH(101,$AG$13:$AG$162,0)),0)*($T$8+IF($C$10="",$T$9,0))</f>
        <v/>
      </c>
      <c r="BJ113">
        <f>IFERROR(INDEX(Y$13:Y$162,MATCH(101,$AG$13:$AG$162,0)),0)*($T$8+IF($C$10="",$T$9,0))</f>
        <v/>
      </c>
      <c r="BK113">
        <f>IFERROR(INDEX(Z$13:Z$162,MATCH(101,$AG$13:$AG$162,0)),0)*($T$8+IF($C$10="",$T$9,0))</f>
        <v/>
      </c>
      <c r="BL113">
        <f>IFERROR(INDEX(AA$13:AA$162,MATCH(101,$AG$13:$AG$162,0)),0)*($T$8+IF($C$10="",$T$9,0))</f>
        <v/>
      </c>
      <c r="BN113">
        <f>IF(100&lt;$U$9,INT(100/($U$7*$U$8))+1,1)</f>
        <v/>
      </c>
      <c r="BO113">
        <f>IF(100&lt;$U$9,MOD(INT(100/$U$8),$U$7)+1,1)</f>
        <v/>
      </c>
      <c r="BP113">
        <f>IF(100&lt;$U$9,MOD(100,$U$8)+1,1)</f>
        <v/>
      </c>
      <c r="BQ113">
        <f>IF(100&lt;$U$9,SUMPRODUCT(($D$10:$L$10&lt;&gt;"")*(($D$9:$L$9+INT(($S$12:$AA$12+INDEX($AJ$13:$AR$162,BN113,0)+INDEX($AT$13:$BB$162,BO113,0)+INDEX($BD$13:$BL$162,BP113,0))/100))&gt;=$D$10:$L$10)),0)</f>
        <v/>
      </c>
      <c r="BR113">
        <f>IF(100&lt;$U$9,SUMPRODUCT(($D$10:$L$10&lt;&gt;"")*(($D$10:$L$10-($D$9:$L$9+INT(($S$12:$AA$12+INDEX($AJ$13:$AR$162,BN113,0)+INDEX($AT$13:$BB$162,BO113,0)+INDEX($BD$13:$BL$162,BP113,0))/100)))&gt;0)*($D$10:$L$10-($D$9:$L$9+INT(($S$12:$AA$12+INDEX($AJ$13:$AR$162,BN113,0)+INDEX($AT$13:$BB$162,BO113,0)+INDEX($BD$13:$BL$162,BP113,0))/100)))),0)</f>
        <v/>
      </c>
      <c r="BS113">
        <f>IF(100&lt;$U$9,SUMPRODUCT(($D$9:$L$9+INT(($S$12:$AA$12+INDEX($AJ$13:$AR$162,BN113,0)+INDEX($AT$13:$BB$162,BO113,0)+INDEX($BD$13:$BL$162,BP113,0))/100))),0)</f>
        <v/>
      </c>
      <c r="BT113">
        <f>IF(AND(100&lt;$U$9,$W$5),BQ113*1000000-MIN(BR113,999)*1000+BS113-100/100000,-1000000000-100)</f>
        <v/>
      </c>
      <c r="CF113">
        <f>IF($A113="","",IFERROR(MATCH($C113,'职业'!$C$3:$C$152,0),0))</f>
        <v/>
      </c>
      <c r="CG113">
        <f>IF($A113="","",CG112+MAX(0,D$7+IF($CF112=0,0,IFERROR(INDEX('职业'!F$3:F$152,$CF112)+0,0))))</f>
        <v/>
      </c>
      <c r="CH113">
        <f>IF($A113="","",CH112+MAX(0,E$7+IF($CF112=0,0,IFERROR(INDEX('职业'!G$3:G$152,$CF112)+0,0))))</f>
        <v/>
      </c>
      <c r="CI113">
        <f>IF($A113="","",CI112+MAX(0,F$7+IF($CF112=0,0,IFERROR(INDEX('职业'!H$3:H$152,$CF112)+0,0))))</f>
        <v/>
      </c>
      <c r="CJ113">
        <f>IF($A113="","",CJ112+MAX(0,G$7+IF($CF112=0,0,IFERROR(INDEX('职业'!I$3:I$152,$CF112)+0,0))))</f>
        <v/>
      </c>
      <c r="CK113">
        <f>IF($A113="","",CK112+MAX(0,H$7+IF($CF112=0,0,IFERROR(INDEX('职业'!J$3:J$152,$CF112)+0,0))))</f>
        <v/>
      </c>
      <c r="CL113">
        <f>IF($A113="","",CL112+MAX(0,I$7+IF($CF112=0,0,IFERROR(INDEX('职业'!K$3:K$152,$CF112)+0,0))))</f>
        <v/>
      </c>
      <c r="CM113">
        <f>IF($A113="","",CM112+MAX(0,J$7+IF($CF112=0,0,IFERROR(INDEX('职业'!L$3:L$152,$CF112)+0,0))))</f>
        <v/>
      </c>
      <c r="CN113">
        <f>IF($A113="","",CN112+MAX(0,K$7+IF($CF112=0,0,IFERROR(INDEX('职业'!M$3:M$152,$CF112)+0,0))))</f>
        <v/>
      </c>
      <c r="CO113">
        <f>IF($A113="","",CO112+MAX(0,L$7+IF($CF112=0,0,IFERROR(INDEX('职业'!N$3:N$152,$CF112)+0,0))))</f>
        <v/>
      </c>
    </row>
    <row r="114">
      <c r="A114" s="15">
        <f>IF(OR($B$9="",$B$10=""),"",IF($B$9+62&lt;=$B$10,$B$9+62,""))</f>
        <v/>
      </c>
      <c r="B114" s="15">
        <f>IF($A114="","",MATCH($A114,$BV$27:$BV$32,1))</f>
        <v/>
      </c>
      <c r="C114" s="15">
        <f>IF($A114="","",INDEX($BW$27:$BW$32,$B114))</f>
        <v/>
      </c>
      <c r="D114" s="15">
        <f>IF($A114="","",D$9+INT(($B$14+CG114)/100))</f>
        <v/>
      </c>
      <c r="E114" s="15">
        <f>IF($A114="","",E$9+INT(($B$14+CH114)/100))</f>
        <v/>
      </c>
      <c r="F114" s="15">
        <f>IF($A114="","",F$9+INT(($B$14+CI114)/100))</f>
        <v/>
      </c>
      <c r="G114" s="15">
        <f>IF($A114="","",G$9+INT(($B$14+CJ114)/100))</f>
        <v/>
      </c>
      <c r="H114" s="15">
        <f>IF($A114="","",H$9+INT(($B$14+CK114)/100))</f>
        <v/>
      </c>
      <c r="I114" s="15">
        <f>IF($A114="","",I$9+INT(($B$14+CL114)/100))</f>
        <v/>
      </c>
      <c r="J114" s="15">
        <f>IF($A114="","",J$9+INT(($B$14+CM114)/100))</f>
        <v/>
      </c>
      <c r="K114" s="15">
        <f>IF($A114="","",K$9+INT(($B$14+CN114)/100))</f>
        <v/>
      </c>
      <c r="L114" s="15">
        <f>IF($A114="","",L$9+INT(($B$14+CO114)/100))</f>
        <v/>
      </c>
      <c r="M114" s="16">
        <f>IF($A114="","",IF($C114&lt;&gt;$C113,"★ 转职 → 【"&amp;$C114&amp;"】","")&amp;IF($A114=$B$10,"（目标等级）",""))</f>
        <v/>
      </c>
      <c r="P114">
        <f>IF('职业'!$C104="","",'职业'!$C104)</f>
        <v/>
      </c>
      <c r="Q114">
        <f>N('职业'!$D104)</f>
        <v/>
      </c>
      <c r="R114">
        <f>'职业'!$E104&amp;""</f>
        <v/>
      </c>
      <c r="S114">
        <f>IF($P114="",0,MAX(0,D$7+N('职业'!F104)))</f>
        <v/>
      </c>
      <c r="T114">
        <f>IF($P114="",0,MAX(0,E$7+N('职业'!G104)))</f>
        <v/>
      </c>
      <c r="U114">
        <f>IF($P114="",0,MAX(0,F$7+N('职业'!H104)))</f>
        <v/>
      </c>
      <c r="V114">
        <f>IF($P114="",0,MAX(0,G$7+N('职业'!I104)))</f>
        <v/>
      </c>
      <c r="W114">
        <f>IF($P114="",0,MAX(0,H$7+N('职业'!J104)))</f>
        <v/>
      </c>
      <c r="X114">
        <f>IF($P114="",0,MAX(0,I$7+N('职业'!K104)))</f>
        <v/>
      </c>
      <c r="Y114">
        <f>IF($P114="",0,MAX(0,J$7+N('职业'!L104)))</f>
        <v/>
      </c>
      <c r="Z114">
        <f>IF($P114="",0,MAX(0,K$7+N('职业'!M104)))</f>
        <v/>
      </c>
      <c r="AA114">
        <f>IF($P114="",0,MAX(0,L$7+N('职业'!N104)))</f>
        <v/>
      </c>
      <c r="AB114">
        <f>AND($P114&lt;&gt;"",IF($U$5=1,$P114=$C$10,OR($P114=$C$9,AND($R114="是",$Q114&lt;=MAX($B$9,$Q$6)))))</f>
        <v/>
      </c>
      <c r="AC114">
        <f>AND($P114&lt;&gt;"",IF($U$5=2,$P114=$C$10,OR($P114=$C$9,AND($R114="是",$Q114&lt;=MAX($B$9,$Q$7)))))</f>
        <v/>
      </c>
      <c r="AD114">
        <f>AND($P114&lt;&gt;"",IF($U$5=3,$P114=$C$10,OR($P114=$C$9,AND($R114="是",$Q114&lt;=MAX($B$9,$Q$8)))))</f>
        <v/>
      </c>
      <c r="AE114">
        <f>IF(AB114,COUNTIF(AB$13:AB114,TRUE),"")</f>
        <v/>
      </c>
      <c r="AF114">
        <f>IF(AC114,COUNTIF(AC$13:AC114,TRUE),"")</f>
        <v/>
      </c>
      <c r="AG114">
        <f>IF(AD114,COUNTIF(AD$13:AD114,TRUE),"")</f>
        <v/>
      </c>
      <c r="AI114">
        <f>IFERROR(INDEX($P$13:$P$162,MATCH(102,$AE$13:$AE$162,0)),"")</f>
        <v/>
      </c>
      <c r="AJ114">
        <f>IFERROR(INDEX(S$13:S$162,MATCH(102,$AE$13:$AE$162,0)),0)*$T$6</f>
        <v/>
      </c>
      <c r="AK114">
        <f>IFERROR(INDEX(T$13:T$162,MATCH(102,$AE$13:$AE$162,0)),0)*$T$6</f>
        <v/>
      </c>
      <c r="AL114">
        <f>IFERROR(INDEX(U$13:U$162,MATCH(102,$AE$13:$AE$162,0)),0)*$T$6</f>
        <v/>
      </c>
      <c r="AM114">
        <f>IFERROR(INDEX(V$13:V$162,MATCH(102,$AE$13:$AE$162,0)),0)*$T$6</f>
        <v/>
      </c>
      <c r="AN114">
        <f>IFERROR(INDEX(W$13:W$162,MATCH(102,$AE$13:$AE$162,0)),0)*$T$6</f>
        <v/>
      </c>
      <c r="AO114">
        <f>IFERROR(INDEX(X$13:X$162,MATCH(102,$AE$13:$AE$162,0)),0)*$T$6</f>
        <v/>
      </c>
      <c r="AP114">
        <f>IFERROR(INDEX(Y$13:Y$162,MATCH(102,$AE$13:$AE$162,0)),0)*$T$6</f>
        <v/>
      </c>
      <c r="AQ114">
        <f>IFERROR(INDEX(Z$13:Z$162,MATCH(102,$AE$13:$AE$162,0)),0)*$T$6</f>
        <v/>
      </c>
      <c r="AR114">
        <f>IFERROR(INDEX(AA$13:AA$162,MATCH(102,$AE$13:$AE$162,0)),0)*$T$6</f>
        <v/>
      </c>
      <c r="AS114">
        <f>IFERROR(INDEX($P$13:$P$162,MATCH(102,$AF$13:$AF$162,0)),"")</f>
        <v/>
      </c>
      <c r="AT114">
        <f>IFERROR(INDEX(S$13:S$162,MATCH(102,$AF$13:$AF$162,0)),0)*$T$7</f>
        <v/>
      </c>
      <c r="AU114">
        <f>IFERROR(INDEX(T$13:T$162,MATCH(102,$AF$13:$AF$162,0)),0)*$T$7</f>
        <v/>
      </c>
      <c r="AV114">
        <f>IFERROR(INDEX(U$13:U$162,MATCH(102,$AF$13:$AF$162,0)),0)*$T$7</f>
        <v/>
      </c>
      <c r="AW114">
        <f>IFERROR(INDEX(V$13:V$162,MATCH(102,$AF$13:$AF$162,0)),0)*$T$7</f>
        <v/>
      </c>
      <c r="AX114">
        <f>IFERROR(INDEX(W$13:W$162,MATCH(102,$AF$13:$AF$162,0)),0)*$T$7</f>
        <v/>
      </c>
      <c r="AY114">
        <f>IFERROR(INDEX(X$13:X$162,MATCH(102,$AF$13:$AF$162,0)),0)*$T$7</f>
        <v/>
      </c>
      <c r="AZ114">
        <f>IFERROR(INDEX(Y$13:Y$162,MATCH(102,$AF$13:$AF$162,0)),0)*$T$7</f>
        <v/>
      </c>
      <c r="BA114">
        <f>IFERROR(INDEX(Z$13:Z$162,MATCH(102,$AF$13:$AF$162,0)),0)*$T$7</f>
        <v/>
      </c>
      <c r="BB114">
        <f>IFERROR(INDEX(AA$13:AA$162,MATCH(102,$AF$13:$AF$162,0)),0)*$T$7</f>
        <v/>
      </c>
      <c r="BC114">
        <f>IFERROR(INDEX($P$13:$P$162,MATCH(102,$AG$13:$AG$162,0)),"")</f>
        <v/>
      </c>
      <c r="BD114">
        <f>IFERROR(INDEX(S$13:S$162,MATCH(102,$AG$13:$AG$162,0)),0)*($T$8+IF($C$10="",$T$9,0))</f>
        <v/>
      </c>
      <c r="BE114">
        <f>IFERROR(INDEX(T$13:T$162,MATCH(102,$AG$13:$AG$162,0)),0)*($T$8+IF($C$10="",$T$9,0))</f>
        <v/>
      </c>
      <c r="BF114">
        <f>IFERROR(INDEX(U$13:U$162,MATCH(102,$AG$13:$AG$162,0)),0)*($T$8+IF($C$10="",$T$9,0))</f>
        <v/>
      </c>
      <c r="BG114">
        <f>IFERROR(INDEX(V$13:V$162,MATCH(102,$AG$13:$AG$162,0)),0)*($T$8+IF($C$10="",$T$9,0))</f>
        <v/>
      </c>
      <c r="BH114">
        <f>IFERROR(INDEX(W$13:W$162,MATCH(102,$AG$13:$AG$162,0)),0)*($T$8+IF($C$10="",$T$9,0))</f>
        <v/>
      </c>
      <c r="BI114">
        <f>IFERROR(INDEX(X$13:X$162,MATCH(102,$AG$13:$AG$162,0)),0)*($T$8+IF($C$10="",$T$9,0))</f>
        <v/>
      </c>
      <c r="BJ114">
        <f>IFERROR(INDEX(Y$13:Y$162,MATCH(102,$AG$13:$AG$162,0)),0)*($T$8+IF($C$10="",$T$9,0))</f>
        <v/>
      </c>
      <c r="BK114">
        <f>IFERROR(INDEX(Z$13:Z$162,MATCH(102,$AG$13:$AG$162,0)),0)*($T$8+IF($C$10="",$T$9,0))</f>
        <v/>
      </c>
      <c r="BL114">
        <f>IFERROR(INDEX(AA$13:AA$162,MATCH(102,$AG$13:$AG$162,0)),0)*($T$8+IF($C$10="",$T$9,0))</f>
        <v/>
      </c>
      <c r="BN114">
        <f>IF(101&lt;$U$9,INT(101/($U$7*$U$8))+1,1)</f>
        <v/>
      </c>
      <c r="BO114">
        <f>IF(101&lt;$U$9,MOD(INT(101/$U$8),$U$7)+1,1)</f>
        <v/>
      </c>
      <c r="BP114">
        <f>IF(101&lt;$U$9,MOD(101,$U$8)+1,1)</f>
        <v/>
      </c>
      <c r="BQ114">
        <f>IF(101&lt;$U$9,SUMPRODUCT(($D$10:$L$10&lt;&gt;"")*(($D$9:$L$9+INT(($S$12:$AA$12+INDEX($AJ$13:$AR$162,BN114,0)+INDEX($AT$13:$BB$162,BO114,0)+INDEX($BD$13:$BL$162,BP114,0))/100))&gt;=$D$10:$L$10)),0)</f>
        <v/>
      </c>
      <c r="BR114">
        <f>IF(101&lt;$U$9,SUMPRODUCT(($D$10:$L$10&lt;&gt;"")*(($D$10:$L$10-($D$9:$L$9+INT(($S$12:$AA$12+INDEX($AJ$13:$AR$162,BN114,0)+INDEX($AT$13:$BB$162,BO114,0)+INDEX($BD$13:$BL$162,BP114,0))/100)))&gt;0)*($D$10:$L$10-($D$9:$L$9+INT(($S$12:$AA$12+INDEX($AJ$13:$AR$162,BN114,0)+INDEX($AT$13:$BB$162,BO114,0)+INDEX($BD$13:$BL$162,BP114,0))/100)))),0)</f>
        <v/>
      </c>
      <c r="BS114">
        <f>IF(101&lt;$U$9,SUMPRODUCT(($D$9:$L$9+INT(($S$12:$AA$12+INDEX($AJ$13:$AR$162,BN114,0)+INDEX($AT$13:$BB$162,BO114,0)+INDEX($BD$13:$BL$162,BP114,0))/100))),0)</f>
        <v/>
      </c>
      <c r="BT114">
        <f>IF(AND(101&lt;$U$9,$W$5),BQ114*1000000-MIN(BR114,999)*1000+BS114-101/100000,-1000000000-101)</f>
        <v/>
      </c>
      <c r="CF114">
        <f>IF($A114="","",IFERROR(MATCH($C114,'职业'!$C$3:$C$152,0),0))</f>
        <v/>
      </c>
      <c r="CG114">
        <f>IF($A114="","",CG113+MAX(0,D$7+IF($CF113=0,0,IFERROR(INDEX('职业'!F$3:F$152,$CF113)+0,0))))</f>
        <v/>
      </c>
      <c r="CH114">
        <f>IF($A114="","",CH113+MAX(0,E$7+IF($CF113=0,0,IFERROR(INDEX('职业'!G$3:G$152,$CF113)+0,0))))</f>
        <v/>
      </c>
      <c r="CI114">
        <f>IF($A114="","",CI113+MAX(0,F$7+IF($CF113=0,0,IFERROR(INDEX('职业'!H$3:H$152,$CF113)+0,0))))</f>
        <v/>
      </c>
      <c r="CJ114">
        <f>IF($A114="","",CJ113+MAX(0,G$7+IF($CF113=0,0,IFERROR(INDEX('职业'!I$3:I$152,$CF113)+0,0))))</f>
        <v/>
      </c>
      <c r="CK114">
        <f>IF($A114="","",CK113+MAX(0,H$7+IF($CF113=0,0,IFERROR(INDEX('职业'!J$3:J$152,$CF113)+0,0))))</f>
        <v/>
      </c>
      <c r="CL114">
        <f>IF($A114="","",CL113+MAX(0,I$7+IF($CF113=0,0,IFERROR(INDEX('职业'!K$3:K$152,$CF113)+0,0))))</f>
        <v/>
      </c>
      <c r="CM114">
        <f>IF($A114="","",CM113+MAX(0,J$7+IF($CF113=0,0,IFERROR(INDEX('职业'!L$3:L$152,$CF113)+0,0))))</f>
        <v/>
      </c>
      <c r="CN114">
        <f>IF($A114="","",CN113+MAX(0,K$7+IF($CF113=0,0,IFERROR(INDEX('职业'!M$3:M$152,$CF113)+0,0))))</f>
        <v/>
      </c>
      <c r="CO114">
        <f>IF($A114="","",CO113+MAX(0,L$7+IF($CF113=0,0,IFERROR(INDEX('职业'!N$3:N$152,$CF113)+0,0))))</f>
        <v/>
      </c>
    </row>
    <row r="115">
      <c r="A115" s="15">
        <f>IF(OR($B$9="",$B$10=""),"",IF($B$9+63&lt;=$B$10,$B$9+63,""))</f>
        <v/>
      </c>
      <c r="B115" s="15">
        <f>IF($A115="","",MATCH($A115,$BV$27:$BV$32,1))</f>
        <v/>
      </c>
      <c r="C115" s="15">
        <f>IF($A115="","",INDEX($BW$27:$BW$32,$B115))</f>
        <v/>
      </c>
      <c r="D115" s="15">
        <f>IF($A115="","",D$9+INT(($B$14+CG115)/100))</f>
        <v/>
      </c>
      <c r="E115" s="15">
        <f>IF($A115="","",E$9+INT(($B$14+CH115)/100))</f>
        <v/>
      </c>
      <c r="F115" s="15">
        <f>IF($A115="","",F$9+INT(($B$14+CI115)/100))</f>
        <v/>
      </c>
      <c r="G115" s="15">
        <f>IF($A115="","",G$9+INT(($B$14+CJ115)/100))</f>
        <v/>
      </c>
      <c r="H115" s="15">
        <f>IF($A115="","",H$9+INT(($B$14+CK115)/100))</f>
        <v/>
      </c>
      <c r="I115" s="15">
        <f>IF($A115="","",I$9+INT(($B$14+CL115)/100))</f>
        <v/>
      </c>
      <c r="J115" s="15">
        <f>IF($A115="","",J$9+INT(($B$14+CM115)/100))</f>
        <v/>
      </c>
      <c r="K115" s="15">
        <f>IF($A115="","",K$9+INT(($B$14+CN115)/100))</f>
        <v/>
      </c>
      <c r="L115" s="15">
        <f>IF($A115="","",L$9+INT(($B$14+CO115)/100))</f>
        <v/>
      </c>
      <c r="M115" s="16">
        <f>IF($A115="","",IF($C115&lt;&gt;$C114,"★ 转职 → 【"&amp;$C115&amp;"】","")&amp;IF($A115=$B$10,"（目标等级）",""))</f>
        <v/>
      </c>
      <c r="P115">
        <f>IF('职业'!$C105="","",'职业'!$C105)</f>
        <v/>
      </c>
      <c r="Q115">
        <f>N('职业'!$D105)</f>
        <v/>
      </c>
      <c r="R115">
        <f>'职业'!$E105&amp;""</f>
        <v/>
      </c>
      <c r="S115">
        <f>IF($P115="",0,MAX(0,D$7+N('职业'!F105)))</f>
        <v/>
      </c>
      <c r="T115">
        <f>IF($P115="",0,MAX(0,E$7+N('职业'!G105)))</f>
        <v/>
      </c>
      <c r="U115">
        <f>IF($P115="",0,MAX(0,F$7+N('职业'!H105)))</f>
        <v/>
      </c>
      <c r="V115">
        <f>IF($P115="",0,MAX(0,G$7+N('职业'!I105)))</f>
        <v/>
      </c>
      <c r="W115">
        <f>IF($P115="",0,MAX(0,H$7+N('职业'!J105)))</f>
        <v/>
      </c>
      <c r="X115">
        <f>IF($P115="",0,MAX(0,I$7+N('职业'!K105)))</f>
        <v/>
      </c>
      <c r="Y115">
        <f>IF($P115="",0,MAX(0,J$7+N('职业'!L105)))</f>
        <v/>
      </c>
      <c r="Z115">
        <f>IF($P115="",0,MAX(0,K$7+N('职业'!M105)))</f>
        <v/>
      </c>
      <c r="AA115">
        <f>IF($P115="",0,MAX(0,L$7+N('职业'!N105)))</f>
        <v/>
      </c>
      <c r="AB115">
        <f>AND($P115&lt;&gt;"",IF($U$5=1,$P115=$C$10,OR($P115=$C$9,AND($R115="是",$Q115&lt;=MAX($B$9,$Q$6)))))</f>
        <v/>
      </c>
      <c r="AC115">
        <f>AND($P115&lt;&gt;"",IF($U$5=2,$P115=$C$10,OR($P115=$C$9,AND($R115="是",$Q115&lt;=MAX($B$9,$Q$7)))))</f>
        <v/>
      </c>
      <c r="AD115">
        <f>AND($P115&lt;&gt;"",IF($U$5=3,$P115=$C$10,OR($P115=$C$9,AND($R115="是",$Q115&lt;=MAX($B$9,$Q$8)))))</f>
        <v/>
      </c>
      <c r="AE115">
        <f>IF(AB115,COUNTIF(AB$13:AB115,TRUE),"")</f>
        <v/>
      </c>
      <c r="AF115">
        <f>IF(AC115,COUNTIF(AC$13:AC115,TRUE),"")</f>
        <v/>
      </c>
      <c r="AG115">
        <f>IF(AD115,COUNTIF(AD$13:AD115,TRUE),"")</f>
        <v/>
      </c>
      <c r="AI115">
        <f>IFERROR(INDEX($P$13:$P$162,MATCH(103,$AE$13:$AE$162,0)),"")</f>
        <v/>
      </c>
      <c r="AJ115">
        <f>IFERROR(INDEX(S$13:S$162,MATCH(103,$AE$13:$AE$162,0)),0)*$T$6</f>
        <v/>
      </c>
      <c r="AK115">
        <f>IFERROR(INDEX(T$13:T$162,MATCH(103,$AE$13:$AE$162,0)),0)*$T$6</f>
        <v/>
      </c>
      <c r="AL115">
        <f>IFERROR(INDEX(U$13:U$162,MATCH(103,$AE$13:$AE$162,0)),0)*$T$6</f>
        <v/>
      </c>
      <c r="AM115">
        <f>IFERROR(INDEX(V$13:V$162,MATCH(103,$AE$13:$AE$162,0)),0)*$T$6</f>
        <v/>
      </c>
      <c r="AN115">
        <f>IFERROR(INDEX(W$13:W$162,MATCH(103,$AE$13:$AE$162,0)),0)*$T$6</f>
        <v/>
      </c>
      <c r="AO115">
        <f>IFERROR(INDEX(X$13:X$162,MATCH(103,$AE$13:$AE$162,0)),0)*$T$6</f>
        <v/>
      </c>
      <c r="AP115">
        <f>IFERROR(INDEX(Y$13:Y$162,MATCH(103,$AE$13:$AE$162,0)),0)*$T$6</f>
        <v/>
      </c>
      <c r="AQ115">
        <f>IFERROR(INDEX(Z$13:Z$162,MATCH(103,$AE$13:$AE$162,0)),0)*$T$6</f>
        <v/>
      </c>
      <c r="AR115">
        <f>IFERROR(INDEX(AA$13:AA$162,MATCH(103,$AE$13:$AE$162,0)),0)*$T$6</f>
        <v/>
      </c>
      <c r="AS115">
        <f>IFERROR(INDEX($P$13:$P$162,MATCH(103,$AF$13:$AF$162,0)),"")</f>
        <v/>
      </c>
      <c r="AT115">
        <f>IFERROR(INDEX(S$13:S$162,MATCH(103,$AF$13:$AF$162,0)),0)*$T$7</f>
        <v/>
      </c>
      <c r="AU115">
        <f>IFERROR(INDEX(T$13:T$162,MATCH(103,$AF$13:$AF$162,0)),0)*$T$7</f>
        <v/>
      </c>
      <c r="AV115">
        <f>IFERROR(INDEX(U$13:U$162,MATCH(103,$AF$13:$AF$162,0)),0)*$T$7</f>
        <v/>
      </c>
      <c r="AW115">
        <f>IFERROR(INDEX(V$13:V$162,MATCH(103,$AF$13:$AF$162,0)),0)*$T$7</f>
        <v/>
      </c>
      <c r="AX115">
        <f>IFERROR(INDEX(W$13:W$162,MATCH(103,$AF$13:$AF$162,0)),0)*$T$7</f>
        <v/>
      </c>
      <c r="AY115">
        <f>IFERROR(INDEX(X$13:X$162,MATCH(103,$AF$13:$AF$162,0)),0)*$T$7</f>
        <v/>
      </c>
      <c r="AZ115">
        <f>IFERROR(INDEX(Y$13:Y$162,MATCH(103,$AF$13:$AF$162,0)),0)*$T$7</f>
        <v/>
      </c>
      <c r="BA115">
        <f>IFERROR(INDEX(Z$13:Z$162,MATCH(103,$AF$13:$AF$162,0)),0)*$T$7</f>
        <v/>
      </c>
      <c r="BB115">
        <f>IFERROR(INDEX(AA$13:AA$162,MATCH(103,$AF$13:$AF$162,0)),0)*$T$7</f>
        <v/>
      </c>
      <c r="BC115">
        <f>IFERROR(INDEX($P$13:$P$162,MATCH(103,$AG$13:$AG$162,0)),"")</f>
        <v/>
      </c>
      <c r="BD115">
        <f>IFERROR(INDEX(S$13:S$162,MATCH(103,$AG$13:$AG$162,0)),0)*($T$8+IF($C$10="",$T$9,0))</f>
        <v/>
      </c>
      <c r="BE115">
        <f>IFERROR(INDEX(T$13:T$162,MATCH(103,$AG$13:$AG$162,0)),0)*($T$8+IF($C$10="",$T$9,0))</f>
        <v/>
      </c>
      <c r="BF115">
        <f>IFERROR(INDEX(U$13:U$162,MATCH(103,$AG$13:$AG$162,0)),0)*($T$8+IF($C$10="",$T$9,0))</f>
        <v/>
      </c>
      <c r="BG115">
        <f>IFERROR(INDEX(V$13:V$162,MATCH(103,$AG$13:$AG$162,0)),0)*($T$8+IF($C$10="",$T$9,0))</f>
        <v/>
      </c>
      <c r="BH115">
        <f>IFERROR(INDEX(W$13:W$162,MATCH(103,$AG$13:$AG$162,0)),0)*($T$8+IF($C$10="",$T$9,0))</f>
        <v/>
      </c>
      <c r="BI115">
        <f>IFERROR(INDEX(X$13:X$162,MATCH(103,$AG$13:$AG$162,0)),0)*($T$8+IF($C$10="",$T$9,0))</f>
        <v/>
      </c>
      <c r="BJ115">
        <f>IFERROR(INDEX(Y$13:Y$162,MATCH(103,$AG$13:$AG$162,0)),0)*($T$8+IF($C$10="",$T$9,0))</f>
        <v/>
      </c>
      <c r="BK115">
        <f>IFERROR(INDEX(Z$13:Z$162,MATCH(103,$AG$13:$AG$162,0)),0)*($T$8+IF($C$10="",$T$9,0))</f>
        <v/>
      </c>
      <c r="BL115">
        <f>IFERROR(INDEX(AA$13:AA$162,MATCH(103,$AG$13:$AG$162,0)),0)*($T$8+IF($C$10="",$T$9,0))</f>
        <v/>
      </c>
      <c r="BN115">
        <f>IF(102&lt;$U$9,INT(102/($U$7*$U$8))+1,1)</f>
        <v/>
      </c>
      <c r="BO115">
        <f>IF(102&lt;$U$9,MOD(INT(102/$U$8),$U$7)+1,1)</f>
        <v/>
      </c>
      <c r="BP115">
        <f>IF(102&lt;$U$9,MOD(102,$U$8)+1,1)</f>
        <v/>
      </c>
      <c r="BQ115">
        <f>IF(102&lt;$U$9,SUMPRODUCT(($D$10:$L$10&lt;&gt;"")*(($D$9:$L$9+INT(($S$12:$AA$12+INDEX($AJ$13:$AR$162,BN115,0)+INDEX($AT$13:$BB$162,BO115,0)+INDEX($BD$13:$BL$162,BP115,0))/100))&gt;=$D$10:$L$10)),0)</f>
        <v/>
      </c>
      <c r="BR115">
        <f>IF(102&lt;$U$9,SUMPRODUCT(($D$10:$L$10&lt;&gt;"")*(($D$10:$L$10-($D$9:$L$9+INT(($S$12:$AA$12+INDEX($AJ$13:$AR$162,BN115,0)+INDEX($AT$13:$BB$162,BO115,0)+INDEX($BD$13:$BL$162,BP115,0))/100)))&gt;0)*($D$10:$L$10-($D$9:$L$9+INT(($S$12:$AA$12+INDEX($AJ$13:$AR$162,BN115,0)+INDEX($AT$13:$BB$162,BO115,0)+INDEX($BD$13:$BL$162,BP115,0))/100)))),0)</f>
        <v/>
      </c>
      <c r="BS115">
        <f>IF(102&lt;$U$9,SUMPRODUCT(($D$9:$L$9+INT(($S$12:$AA$12+INDEX($AJ$13:$AR$162,BN115,0)+INDEX($AT$13:$BB$162,BO115,0)+INDEX($BD$13:$BL$162,BP115,0))/100))),0)</f>
        <v/>
      </c>
      <c r="BT115">
        <f>IF(AND(102&lt;$U$9,$W$5),BQ115*1000000-MIN(BR115,999)*1000+BS115-102/100000,-1000000000-102)</f>
        <v/>
      </c>
      <c r="CF115">
        <f>IF($A115="","",IFERROR(MATCH($C115,'职业'!$C$3:$C$152,0),0))</f>
        <v/>
      </c>
      <c r="CG115">
        <f>IF($A115="","",CG114+MAX(0,D$7+IF($CF114=0,0,IFERROR(INDEX('职业'!F$3:F$152,$CF114)+0,0))))</f>
        <v/>
      </c>
      <c r="CH115">
        <f>IF($A115="","",CH114+MAX(0,E$7+IF($CF114=0,0,IFERROR(INDEX('职业'!G$3:G$152,$CF114)+0,0))))</f>
        <v/>
      </c>
      <c r="CI115">
        <f>IF($A115="","",CI114+MAX(0,F$7+IF($CF114=0,0,IFERROR(INDEX('职业'!H$3:H$152,$CF114)+0,0))))</f>
        <v/>
      </c>
      <c r="CJ115">
        <f>IF($A115="","",CJ114+MAX(0,G$7+IF($CF114=0,0,IFERROR(INDEX('职业'!I$3:I$152,$CF114)+0,0))))</f>
        <v/>
      </c>
      <c r="CK115">
        <f>IF($A115="","",CK114+MAX(0,H$7+IF($CF114=0,0,IFERROR(INDEX('职业'!J$3:J$152,$CF114)+0,0))))</f>
        <v/>
      </c>
      <c r="CL115">
        <f>IF($A115="","",CL114+MAX(0,I$7+IF($CF114=0,0,IFERROR(INDEX('职业'!K$3:K$152,$CF114)+0,0))))</f>
        <v/>
      </c>
      <c r="CM115">
        <f>IF($A115="","",CM114+MAX(0,J$7+IF($CF114=0,0,IFERROR(INDEX('职业'!L$3:L$152,$CF114)+0,0))))</f>
        <v/>
      </c>
      <c r="CN115">
        <f>IF($A115="","",CN114+MAX(0,K$7+IF($CF114=0,0,IFERROR(INDEX('职业'!M$3:M$152,$CF114)+0,0))))</f>
        <v/>
      </c>
      <c r="CO115">
        <f>IF($A115="","",CO114+MAX(0,L$7+IF($CF114=0,0,IFERROR(INDEX('职业'!N$3:N$152,$CF114)+0,0))))</f>
        <v/>
      </c>
    </row>
    <row r="116">
      <c r="A116" s="15">
        <f>IF(OR($B$9="",$B$10=""),"",IF($B$9+64&lt;=$B$10,$B$9+64,""))</f>
        <v/>
      </c>
      <c r="B116" s="15">
        <f>IF($A116="","",MATCH($A116,$BV$27:$BV$32,1))</f>
        <v/>
      </c>
      <c r="C116" s="15">
        <f>IF($A116="","",INDEX($BW$27:$BW$32,$B116))</f>
        <v/>
      </c>
      <c r="D116" s="15">
        <f>IF($A116="","",D$9+INT(($B$14+CG116)/100))</f>
        <v/>
      </c>
      <c r="E116" s="15">
        <f>IF($A116="","",E$9+INT(($B$14+CH116)/100))</f>
        <v/>
      </c>
      <c r="F116" s="15">
        <f>IF($A116="","",F$9+INT(($B$14+CI116)/100))</f>
        <v/>
      </c>
      <c r="G116" s="15">
        <f>IF($A116="","",G$9+INT(($B$14+CJ116)/100))</f>
        <v/>
      </c>
      <c r="H116" s="15">
        <f>IF($A116="","",H$9+INT(($B$14+CK116)/100))</f>
        <v/>
      </c>
      <c r="I116" s="15">
        <f>IF($A116="","",I$9+INT(($B$14+CL116)/100))</f>
        <v/>
      </c>
      <c r="J116" s="15">
        <f>IF($A116="","",J$9+INT(($B$14+CM116)/100))</f>
        <v/>
      </c>
      <c r="K116" s="15">
        <f>IF($A116="","",K$9+INT(($B$14+CN116)/100))</f>
        <v/>
      </c>
      <c r="L116" s="15">
        <f>IF($A116="","",L$9+INT(($B$14+CO116)/100))</f>
        <v/>
      </c>
      <c r="M116" s="16">
        <f>IF($A116="","",IF($C116&lt;&gt;$C115,"★ 转职 → 【"&amp;$C116&amp;"】","")&amp;IF($A116=$B$10,"（目标等级）",""))</f>
        <v/>
      </c>
      <c r="P116">
        <f>IF('职业'!$C106="","",'职业'!$C106)</f>
        <v/>
      </c>
      <c r="Q116">
        <f>N('职业'!$D106)</f>
        <v/>
      </c>
      <c r="R116">
        <f>'职业'!$E106&amp;""</f>
        <v/>
      </c>
      <c r="S116">
        <f>IF($P116="",0,MAX(0,D$7+N('职业'!F106)))</f>
        <v/>
      </c>
      <c r="T116">
        <f>IF($P116="",0,MAX(0,E$7+N('职业'!G106)))</f>
        <v/>
      </c>
      <c r="U116">
        <f>IF($P116="",0,MAX(0,F$7+N('职业'!H106)))</f>
        <v/>
      </c>
      <c r="V116">
        <f>IF($P116="",0,MAX(0,G$7+N('职业'!I106)))</f>
        <v/>
      </c>
      <c r="W116">
        <f>IF($P116="",0,MAX(0,H$7+N('职业'!J106)))</f>
        <v/>
      </c>
      <c r="X116">
        <f>IF($P116="",0,MAX(0,I$7+N('职业'!K106)))</f>
        <v/>
      </c>
      <c r="Y116">
        <f>IF($P116="",0,MAX(0,J$7+N('职业'!L106)))</f>
        <v/>
      </c>
      <c r="Z116">
        <f>IF($P116="",0,MAX(0,K$7+N('职业'!M106)))</f>
        <v/>
      </c>
      <c r="AA116">
        <f>IF($P116="",0,MAX(0,L$7+N('职业'!N106)))</f>
        <v/>
      </c>
      <c r="AB116">
        <f>AND($P116&lt;&gt;"",IF($U$5=1,$P116=$C$10,OR($P116=$C$9,AND($R116="是",$Q116&lt;=MAX($B$9,$Q$6)))))</f>
        <v/>
      </c>
      <c r="AC116">
        <f>AND($P116&lt;&gt;"",IF($U$5=2,$P116=$C$10,OR($P116=$C$9,AND($R116="是",$Q116&lt;=MAX($B$9,$Q$7)))))</f>
        <v/>
      </c>
      <c r="AD116">
        <f>AND($P116&lt;&gt;"",IF($U$5=3,$P116=$C$10,OR($P116=$C$9,AND($R116="是",$Q116&lt;=MAX($B$9,$Q$8)))))</f>
        <v/>
      </c>
      <c r="AE116">
        <f>IF(AB116,COUNTIF(AB$13:AB116,TRUE),"")</f>
        <v/>
      </c>
      <c r="AF116">
        <f>IF(AC116,COUNTIF(AC$13:AC116,TRUE),"")</f>
        <v/>
      </c>
      <c r="AG116">
        <f>IF(AD116,COUNTIF(AD$13:AD116,TRUE),"")</f>
        <v/>
      </c>
      <c r="AI116">
        <f>IFERROR(INDEX($P$13:$P$162,MATCH(104,$AE$13:$AE$162,0)),"")</f>
        <v/>
      </c>
      <c r="AJ116">
        <f>IFERROR(INDEX(S$13:S$162,MATCH(104,$AE$13:$AE$162,0)),0)*$T$6</f>
        <v/>
      </c>
      <c r="AK116">
        <f>IFERROR(INDEX(T$13:T$162,MATCH(104,$AE$13:$AE$162,0)),0)*$T$6</f>
        <v/>
      </c>
      <c r="AL116">
        <f>IFERROR(INDEX(U$13:U$162,MATCH(104,$AE$13:$AE$162,0)),0)*$T$6</f>
        <v/>
      </c>
      <c r="AM116">
        <f>IFERROR(INDEX(V$13:V$162,MATCH(104,$AE$13:$AE$162,0)),0)*$T$6</f>
        <v/>
      </c>
      <c r="AN116">
        <f>IFERROR(INDEX(W$13:W$162,MATCH(104,$AE$13:$AE$162,0)),0)*$T$6</f>
        <v/>
      </c>
      <c r="AO116">
        <f>IFERROR(INDEX(X$13:X$162,MATCH(104,$AE$13:$AE$162,0)),0)*$T$6</f>
        <v/>
      </c>
      <c r="AP116">
        <f>IFERROR(INDEX(Y$13:Y$162,MATCH(104,$AE$13:$AE$162,0)),0)*$T$6</f>
        <v/>
      </c>
      <c r="AQ116">
        <f>IFERROR(INDEX(Z$13:Z$162,MATCH(104,$AE$13:$AE$162,0)),0)*$T$6</f>
        <v/>
      </c>
      <c r="AR116">
        <f>IFERROR(INDEX(AA$13:AA$162,MATCH(104,$AE$13:$AE$162,0)),0)*$T$6</f>
        <v/>
      </c>
      <c r="AS116">
        <f>IFERROR(INDEX($P$13:$P$162,MATCH(104,$AF$13:$AF$162,0)),"")</f>
        <v/>
      </c>
      <c r="AT116">
        <f>IFERROR(INDEX(S$13:S$162,MATCH(104,$AF$13:$AF$162,0)),0)*$T$7</f>
        <v/>
      </c>
      <c r="AU116">
        <f>IFERROR(INDEX(T$13:T$162,MATCH(104,$AF$13:$AF$162,0)),0)*$T$7</f>
        <v/>
      </c>
      <c r="AV116">
        <f>IFERROR(INDEX(U$13:U$162,MATCH(104,$AF$13:$AF$162,0)),0)*$T$7</f>
        <v/>
      </c>
      <c r="AW116">
        <f>IFERROR(INDEX(V$13:V$162,MATCH(104,$AF$13:$AF$162,0)),0)*$T$7</f>
        <v/>
      </c>
      <c r="AX116">
        <f>IFERROR(INDEX(W$13:W$162,MATCH(104,$AF$13:$AF$162,0)),0)*$T$7</f>
        <v/>
      </c>
      <c r="AY116">
        <f>IFERROR(INDEX(X$13:X$162,MATCH(104,$AF$13:$AF$162,0)),0)*$T$7</f>
        <v/>
      </c>
      <c r="AZ116">
        <f>IFERROR(INDEX(Y$13:Y$162,MATCH(104,$AF$13:$AF$162,0)),0)*$T$7</f>
        <v/>
      </c>
      <c r="BA116">
        <f>IFERROR(INDEX(Z$13:Z$162,MATCH(104,$AF$13:$AF$162,0)),0)*$T$7</f>
        <v/>
      </c>
      <c r="BB116">
        <f>IFERROR(INDEX(AA$13:AA$162,MATCH(104,$AF$13:$AF$162,0)),0)*$T$7</f>
        <v/>
      </c>
      <c r="BC116">
        <f>IFERROR(INDEX($P$13:$P$162,MATCH(104,$AG$13:$AG$162,0)),"")</f>
        <v/>
      </c>
      <c r="BD116">
        <f>IFERROR(INDEX(S$13:S$162,MATCH(104,$AG$13:$AG$162,0)),0)*($T$8+IF($C$10="",$T$9,0))</f>
        <v/>
      </c>
      <c r="BE116">
        <f>IFERROR(INDEX(T$13:T$162,MATCH(104,$AG$13:$AG$162,0)),0)*($T$8+IF($C$10="",$T$9,0))</f>
        <v/>
      </c>
      <c r="BF116">
        <f>IFERROR(INDEX(U$13:U$162,MATCH(104,$AG$13:$AG$162,0)),0)*($T$8+IF($C$10="",$T$9,0))</f>
        <v/>
      </c>
      <c r="BG116">
        <f>IFERROR(INDEX(V$13:V$162,MATCH(104,$AG$13:$AG$162,0)),0)*($T$8+IF($C$10="",$T$9,0))</f>
        <v/>
      </c>
      <c r="BH116">
        <f>IFERROR(INDEX(W$13:W$162,MATCH(104,$AG$13:$AG$162,0)),0)*($T$8+IF($C$10="",$T$9,0))</f>
        <v/>
      </c>
      <c r="BI116">
        <f>IFERROR(INDEX(X$13:X$162,MATCH(104,$AG$13:$AG$162,0)),0)*($T$8+IF($C$10="",$T$9,0))</f>
        <v/>
      </c>
      <c r="BJ116">
        <f>IFERROR(INDEX(Y$13:Y$162,MATCH(104,$AG$13:$AG$162,0)),0)*($T$8+IF($C$10="",$T$9,0))</f>
        <v/>
      </c>
      <c r="BK116">
        <f>IFERROR(INDEX(Z$13:Z$162,MATCH(104,$AG$13:$AG$162,0)),0)*($T$8+IF($C$10="",$T$9,0))</f>
        <v/>
      </c>
      <c r="BL116">
        <f>IFERROR(INDEX(AA$13:AA$162,MATCH(104,$AG$13:$AG$162,0)),0)*($T$8+IF($C$10="",$T$9,0))</f>
        <v/>
      </c>
      <c r="BN116">
        <f>IF(103&lt;$U$9,INT(103/($U$7*$U$8))+1,1)</f>
        <v/>
      </c>
      <c r="BO116">
        <f>IF(103&lt;$U$9,MOD(INT(103/$U$8),$U$7)+1,1)</f>
        <v/>
      </c>
      <c r="BP116">
        <f>IF(103&lt;$U$9,MOD(103,$U$8)+1,1)</f>
        <v/>
      </c>
      <c r="BQ116">
        <f>IF(103&lt;$U$9,SUMPRODUCT(($D$10:$L$10&lt;&gt;"")*(($D$9:$L$9+INT(($S$12:$AA$12+INDEX($AJ$13:$AR$162,BN116,0)+INDEX($AT$13:$BB$162,BO116,0)+INDEX($BD$13:$BL$162,BP116,0))/100))&gt;=$D$10:$L$10)),0)</f>
        <v/>
      </c>
      <c r="BR116">
        <f>IF(103&lt;$U$9,SUMPRODUCT(($D$10:$L$10&lt;&gt;"")*(($D$10:$L$10-($D$9:$L$9+INT(($S$12:$AA$12+INDEX($AJ$13:$AR$162,BN116,0)+INDEX($AT$13:$BB$162,BO116,0)+INDEX($BD$13:$BL$162,BP116,0))/100)))&gt;0)*($D$10:$L$10-($D$9:$L$9+INT(($S$12:$AA$12+INDEX($AJ$13:$AR$162,BN116,0)+INDEX($AT$13:$BB$162,BO116,0)+INDEX($BD$13:$BL$162,BP116,0))/100)))),0)</f>
        <v/>
      </c>
      <c r="BS116">
        <f>IF(103&lt;$U$9,SUMPRODUCT(($D$9:$L$9+INT(($S$12:$AA$12+INDEX($AJ$13:$AR$162,BN116,0)+INDEX($AT$13:$BB$162,BO116,0)+INDEX($BD$13:$BL$162,BP116,0))/100))),0)</f>
        <v/>
      </c>
      <c r="BT116">
        <f>IF(AND(103&lt;$U$9,$W$5),BQ116*1000000-MIN(BR116,999)*1000+BS116-103/100000,-1000000000-103)</f>
        <v/>
      </c>
      <c r="CF116">
        <f>IF($A116="","",IFERROR(MATCH($C116,'职业'!$C$3:$C$152,0),0))</f>
        <v/>
      </c>
      <c r="CG116">
        <f>IF($A116="","",CG115+MAX(0,D$7+IF($CF115=0,0,IFERROR(INDEX('职业'!F$3:F$152,$CF115)+0,0))))</f>
        <v/>
      </c>
      <c r="CH116">
        <f>IF($A116="","",CH115+MAX(0,E$7+IF($CF115=0,0,IFERROR(INDEX('职业'!G$3:G$152,$CF115)+0,0))))</f>
        <v/>
      </c>
      <c r="CI116">
        <f>IF($A116="","",CI115+MAX(0,F$7+IF($CF115=0,0,IFERROR(INDEX('职业'!H$3:H$152,$CF115)+0,0))))</f>
        <v/>
      </c>
      <c r="CJ116">
        <f>IF($A116="","",CJ115+MAX(0,G$7+IF($CF115=0,0,IFERROR(INDEX('职业'!I$3:I$152,$CF115)+0,0))))</f>
        <v/>
      </c>
      <c r="CK116">
        <f>IF($A116="","",CK115+MAX(0,H$7+IF($CF115=0,0,IFERROR(INDEX('职业'!J$3:J$152,$CF115)+0,0))))</f>
        <v/>
      </c>
      <c r="CL116">
        <f>IF($A116="","",CL115+MAX(0,I$7+IF($CF115=0,0,IFERROR(INDEX('职业'!K$3:K$152,$CF115)+0,0))))</f>
        <v/>
      </c>
      <c r="CM116">
        <f>IF($A116="","",CM115+MAX(0,J$7+IF($CF115=0,0,IFERROR(INDEX('职业'!L$3:L$152,$CF115)+0,0))))</f>
        <v/>
      </c>
      <c r="CN116">
        <f>IF($A116="","",CN115+MAX(0,K$7+IF($CF115=0,0,IFERROR(INDEX('职业'!M$3:M$152,$CF115)+0,0))))</f>
        <v/>
      </c>
      <c r="CO116">
        <f>IF($A116="","",CO115+MAX(0,L$7+IF($CF115=0,0,IFERROR(INDEX('职业'!N$3:N$152,$CF115)+0,0))))</f>
        <v/>
      </c>
    </row>
    <row r="117">
      <c r="A117" s="15">
        <f>IF(OR($B$9="",$B$10=""),"",IF($B$9+65&lt;=$B$10,$B$9+65,""))</f>
        <v/>
      </c>
      <c r="B117" s="15">
        <f>IF($A117="","",MATCH($A117,$BV$27:$BV$32,1))</f>
        <v/>
      </c>
      <c r="C117" s="15">
        <f>IF($A117="","",INDEX($BW$27:$BW$32,$B117))</f>
        <v/>
      </c>
      <c r="D117" s="15">
        <f>IF($A117="","",D$9+INT(($B$14+CG117)/100))</f>
        <v/>
      </c>
      <c r="E117" s="15">
        <f>IF($A117="","",E$9+INT(($B$14+CH117)/100))</f>
        <v/>
      </c>
      <c r="F117" s="15">
        <f>IF($A117="","",F$9+INT(($B$14+CI117)/100))</f>
        <v/>
      </c>
      <c r="G117" s="15">
        <f>IF($A117="","",G$9+INT(($B$14+CJ117)/100))</f>
        <v/>
      </c>
      <c r="H117" s="15">
        <f>IF($A117="","",H$9+INT(($B$14+CK117)/100))</f>
        <v/>
      </c>
      <c r="I117" s="15">
        <f>IF($A117="","",I$9+INT(($B$14+CL117)/100))</f>
        <v/>
      </c>
      <c r="J117" s="15">
        <f>IF($A117="","",J$9+INT(($B$14+CM117)/100))</f>
        <v/>
      </c>
      <c r="K117" s="15">
        <f>IF($A117="","",K$9+INT(($B$14+CN117)/100))</f>
        <v/>
      </c>
      <c r="L117" s="15">
        <f>IF($A117="","",L$9+INT(($B$14+CO117)/100))</f>
        <v/>
      </c>
      <c r="M117" s="16">
        <f>IF($A117="","",IF($C117&lt;&gt;$C116,"★ 转职 → 【"&amp;$C117&amp;"】","")&amp;IF($A117=$B$10,"（目标等级）",""))</f>
        <v/>
      </c>
      <c r="P117">
        <f>IF('职业'!$C107="","",'职业'!$C107)</f>
        <v/>
      </c>
      <c r="Q117">
        <f>N('职业'!$D107)</f>
        <v/>
      </c>
      <c r="R117">
        <f>'职业'!$E107&amp;""</f>
        <v/>
      </c>
      <c r="S117">
        <f>IF($P117="",0,MAX(0,D$7+N('职业'!F107)))</f>
        <v/>
      </c>
      <c r="T117">
        <f>IF($P117="",0,MAX(0,E$7+N('职业'!G107)))</f>
        <v/>
      </c>
      <c r="U117">
        <f>IF($P117="",0,MAX(0,F$7+N('职业'!H107)))</f>
        <v/>
      </c>
      <c r="V117">
        <f>IF($P117="",0,MAX(0,G$7+N('职业'!I107)))</f>
        <v/>
      </c>
      <c r="W117">
        <f>IF($P117="",0,MAX(0,H$7+N('职业'!J107)))</f>
        <v/>
      </c>
      <c r="X117">
        <f>IF($P117="",0,MAX(0,I$7+N('职业'!K107)))</f>
        <v/>
      </c>
      <c r="Y117">
        <f>IF($P117="",0,MAX(0,J$7+N('职业'!L107)))</f>
        <v/>
      </c>
      <c r="Z117">
        <f>IF($P117="",0,MAX(0,K$7+N('职业'!M107)))</f>
        <v/>
      </c>
      <c r="AA117">
        <f>IF($P117="",0,MAX(0,L$7+N('职业'!N107)))</f>
        <v/>
      </c>
      <c r="AB117">
        <f>AND($P117&lt;&gt;"",IF($U$5=1,$P117=$C$10,OR($P117=$C$9,AND($R117="是",$Q117&lt;=MAX($B$9,$Q$6)))))</f>
        <v/>
      </c>
      <c r="AC117">
        <f>AND($P117&lt;&gt;"",IF($U$5=2,$P117=$C$10,OR($P117=$C$9,AND($R117="是",$Q117&lt;=MAX($B$9,$Q$7)))))</f>
        <v/>
      </c>
      <c r="AD117">
        <f>AND($P117&lt;&gt;"",IF($U$5=3,$P117=$C$10,OR($P117=$C$9,AND($R117="是",$Q117&lt;=MAX($B$9,$Q$8)))))</f>
        <v/>
      </c>
      <c r="AE117">
        <f>IF(AB117,COUNTIF(AB$13:AB117,TRUE),"")</f>
        <v/>
      </c>
      <c r="AF117">
        <f>IF(AC117,COUNTIF(AC$13:AC117,TRUE),"")</f>
        <v/>
      </c>
      <c r="AG117">
        <f>IF(AD117,COUNTIF(AD$13:AD117,TRUE),"")</f>
        <v/>
      </c>
      <c r="AI117">
        <f>IFERROR(INDEX($P$13:$P$162,MATCH(105,$AE$13:$AE$162,0)),"")</f>
        <v/>
      </c>
      <c r="AJ117">
        <f>IFERROR(INDEX(S$13:S$162,MATCH(105,$AE$13:$AE$162,0)),0)*$T$6</f>
        <v/>
      </c>
      <c r="AK117">
        <f>IFERROR(INDEX(T$13:T$162,MATCH(105,$AE$13:$AE$162,0)),0)*$T$6</f>
        <v/>
      </c>
      <c r="AL117">
        <f>IFERROR(INDEX(U$13:U$162,MATCH(105,$AE$13:$AE$162,0)),0)*$T$6</f>
        <v/>
      </c>
      <c r="AM117">
        <f>IFERROR(INDEX(V$13:V$162,MATCH(105,$AE$13:$AE$162,0)),0)*$T$6</f>
        <v/>
      </c>
      <c r="AN117">
        <f>IFERROR(INDEX(W$13:W$162,MATCH(105,$AE$13:$AE$162,0)),0)*$T$6</f>
        <v/>
      </c>
      <c r="AO117">
        <f>IFERROR(INDEX(X$13:X$162,MATCH(105,$AE$13:$AE$162,0)),0)*$T$6</f>
        <v/>
      </c>
      <c r="AP117">
        <f>IFERROR(INDEX(Y$13:Y$162,MATCH(105,$AE$13:$AE$162,0)),0)*$T$6</f>
        <v/>
      </c>
      <c r="AQ117">
        <f>IFERROR(INDEX(Z$13:Z$162,MATCH(105,$AE$13:$AE$162,0)),0)*$T$6</f>
        <v/>
      </c>
      <c r="AR117">
        <f>IFERROR(INDEX(AA$13:AA$162,MATCH(105,$AE$13:$AE$162,0)),0)*$T$6</f>
        <v/>
      </c>
      <c r="AS117">
        <f>IFERROR(INDEX($P$13:$P$162,MATCH(105,$AF$13:$AF$162,0)),"")</f>
        <v/>
      </c>
      <c r="AT117">
        <f>IFERROR(INDEX(S$13:S$162,MATCH(105,$AF$13:$AF$162,0)),0)*$T$7</f>
        <v/>
      </c>
      <c r="AU117">
        <f>IFERROR(INDEX(T$13:T$162,MATCH(105,$AF$13:$AF$162,0)),0)*$T$7</f>
        <v/>
      </c>
      <c r="AV117">
        <f>IFERROR(INDEX(U$13:U$162,MATCH(105,$AF$13:$AF$162,0)),0)*$T$7</f>
        <v/>
      </c>
      <c r="AW117">
        <f>IFERROR(INDEX(V$13:V$162,MATCH(105,$AF$13:$AF$162,0)),0)*$T$7</f>
        <v/>
      </c>
      <c r="AX117">
        <f>IFERROR(INDEX(W$13:W$162,MATCH(105,$AF$13:$AF$162,0)),0)*$T$7</f>
        <v/>
      </c>
      <c r="AY117">
        <f>IFERROR(INDEX(X$13:X$162,MATCH(105,$AF$13:$AF$162,0)),0)*$T$7</f>
        <v/>
      </c>
      <c r="AZ117">
        <f>IFERROR(INDEX(Y$13:Y$162,MATCH(105,$AF$13:$AF$162,0)),0)*$T$7</f>
        <v/>
      </c>
      <c r="BA117">
        <f>IFERROR(INDEX(Z$13:Z$162,MATCH(105,$AF$13:$AF$162,0)),0)*$T$7</f>
        <v/>
      </c>
      <c r="BB117">
        <f>IFERROR(INDEX(AA$13:AA$162,MATCH(105,$AF$13:$AF$162,0)),0)*$T$7</f>
        <v/>
      </c>
      <c r="BC117">
        <f>IFERROR(INDEX($P$13:$P$162,MATCH(105,$AG$13:$AG$162,0)),"")</f>
        <v/>
      </c>
      <c r="BD117">
        <f>IFERROR(INDEX(S$13:S$162,MATCH(105,$AG$13:$AG$162,0)),0)*($T$8+IF($C$10="",$T$9,0))</f>
        <v/>
      </c>
      <c r="BE117">
        <f>IFERROR(INDEX(T$13:T$162,MATCH(105,$AG$13:$AG$162,0)),0)*($T$8+IF($C$10="",$T$9,0))</f>
        <v/>
      </c>
      <c r="BF117">
        <f>IFERROR(INDEX(U$13:U$162,MATCH(105,$AG$13:$AG$162,0)),0)*($T$8+IF($C$10="",$T$9,0))</f>
        <v/>
      </c>
      <c r="BG117">
        <f>IFERROR(INDEX(V$13:V$162,MATCH(105,$AG$13:$AG$162,0)),0)*($T$8+IF($C$10="",$T$9,0))</f>
        <v/>
      </c>
      <c r="BH117">
        <f>IFERROR(INDEX(W$13:W$162,MATCH(105,$AG$13:$AG$162,0)),0)*($T$8+IF($C$10="",$T$9,0))</f>
        <v/>
      </c>
      <c r="BI117">
        <f>IFERROR(INDEX(X$13:X$162,MATCH(105,$AG$13:$AG$162,0)),0)*($T$8+IF($C$10="",$T$9,0))</f>
        <v/>
      </c>
      <c r="BJ117">
        <f>IFERROR(INDEX(Y$13:Y$162,MATCH(105,$AG$13:$AG$162,0)),0)*($T$8+IF($C$10="",$T$9,0))</f>
        <v/>
      </c>
      <c r="BK117">
        <f>IFERROR(INDEX(Z$13:Z$162,MATCH(105,$AG$13:$AG$162,0)),0)*($T$8+IF($C$10="",$T$9,0))</f>
        <v/>
      </c>
      <c r="BL117">
        <f>IFERROR(INDEX(AA$13:AA$162,MATCH(105,$AG$13:$AG$162,0)),0)*($T$8+IF($C$10="",$T$9,0))</f>
        <v/>
      </c>
      <c r="BN117">
        <f>IF(104&lt;$U$9,INT(104/($U$7*$U$8))+1,1)</f>
        <v/>
      </c>
      <c r="BO117">
        <f>IF(104&lt;$U$9,MOD(INT(104/$U$8),$U$7)+1,1)</f>
        <v/>
      </c>
      <c r="BP117">
        <f>IF(104&lt;$U$9,MOD(104,$U$8)+1,1)</f>
        <v/>
      </c>
      <c r="BQ117">
        <f>IF(104&lt;$U$9,SUMPRODUCT(($D$10:$L$10&lt;&gt;"")*(($D$9:$L$9+INT(($S$12:$AA$12+INDEX($AJ$13:$AR$162,BN117,0)+INDEX($AT$13:$BB$162,BO117,0)+INDEX($BD$13:$BL$162,BP117,0))/100))&gt;=$D$10:$L$10)),0)</f>
        <v/>
      </c>
      <c r="BR117">
        <f>IF(104&lt;$U$9,SUMPRODUCT(($D$10:$L$10&lt;&gt;"")*(($D$10:$L$10-($D$9:$L$9+INT(($S$12:$AA$12+INDEX($AJ$13:$AR$162,BN117,0)+INDEX($AT$13:$BB$162,BO117,0)+INDEX($BD$13:$BL$162,BP117,0))/100)))&gt;0)*($D$10:$L$10-($D$9:$L$9+INT(($S$12:$AA$12+INDEX($AJ$13:$AR$162,BN117,0)+INDEX($AT$13:$BB$162,BO117,0)+INDEX($BD$13:$BL$162,BP117,0))/100)))),0)</f>
        <v/>
      </c>
      <c r="BS117">
        <f>IF(104&lt;$U$9,SUMPRODUCT(($D$9:$L$9+INT(($S$12:$AA$12+INDEX($AJ$13:$AR$162,BN117,0)+INDEX($AT$13:$BB$162,BO117,0)+INDEX($BD$13:$BL$162,BP117,0))/100))),0)</f>
        <v/>
      </c>
      <c r="BT117">
        <f>IF(AND(104&lt;$U$9,$W$5),BQ117*1000000-MIN(BR117,999)*1000+BS117-104/100000,-1000000000-104)</f>
        <v/>
      </c>
      <c r="CF117">
        <f>IF($A117="","",IFERROR(MATCH($C117,'职业'!$C$3:$C$152,0),0))</f>
        <v/>
      </c>
      <c r="CG117">
        <f>IF($A117="","",CG116+MAX(0,D$7+IF($CF116=0,0,IFERROR(INDEX('职业'!F$3:F$152,$CF116)+0,0))))</f>
        <v/>
      </c>
      <c r="CH117">
        <f>IF($A117="","",CH116+MAX(0,E$7+IF($CF116=0,0,IFERROR(INDEX('职业'!G$3:G$152,$CF116)+0,0))))</f>
        <v/>
      </c>
      <c r="CI117">
        <f>IF($A117="","",CI116+MAX(0,F$7+IF($CF116=0,0,IFERROR(INDEX('职业'!H$3:H$152,$CF116)+0,0))))</f>
        <v/>
      </c>
      <c r="CJ117">
        <f>IF($A117="","",CJ116+MAX(0,G$7+IF($CF116=0,0,IFERROR(INDEX('职业'!I$3:I$152,$CF116)+0,0))))</f>
        <v/>
      </c>
      <c r="CK117">
        <f>IF($A117="","",CK116+MAX(0,H$7+IF($CF116=0,0,IFERROR(INDEX('职业'!J$3:J$152,$CF116)+0,0))))</f>
        <v/>
      </c>
      <c r="CL117">
        <f>IF($A117="","",CL116+MAX(0,I$7+IF($CF116=0,0,IFERROR(INDEX('职业'!K$3:K$152,$CF116)+0,0))))</f>
        <v/>
      </c>
      <c r="CM117">
        <f>IF($A117="","",CM116+MAX(0,J$7+IF($CF116=0,0,IFERROR(INDEX('职业'!L$3:L$152,$CF116)+0,0))))</f>
        <v/>
      </c>
      <c r="CN117">
        <f>IF($A117="","",CN116+MAX(0,K$7+IF($CF116=0,0,IFERROR(INDEX('职业'!M$3:M$152,$CF116)+0,0))))</f>
        <v/>
      </c>
      <c r="CO117">
        <f>IF($A117="","",CO116+MAX(0,L$7+IF($CF116=0,0,IFERROR(INDEX('职业'!N$3:N$152,$CF116)+0,0))))</f>
        <v/>
      </c>
    </row>
    <row r="118">
      <c r="A118" s="15">
        <f>IF(OR($B$9="",$B$10=""),"",IF($B$9+66&lt;=$B$10,$B$9+66,""))</f>
        <v/>
      </c>
      <c r="B118" s="15">
        <f>IF($A118="","",MATCH($A118,$BV$27:$BV$32,1))</f>
        <v/>
      </c>
      <c r="C118" s="15">
        <f>IF($A118="","",INDEX($BW$27:$BW$32,$B118))</f>
        <v/>
      </c>
      <c r="D118" s="15">
        <f>IF($A118="","",D$9+INT(($B$14+CG118)/100))</f>
        <v/>
      </c>
      <c r="E118" s="15">
        <f>IF($A118="","",E$9+INT(($B$14+CH118)/100))</f>
        <v/>
      </c>
      <c r="F118" s="15">
        <f>IF($A118="","",F$9+INT(($B$14+CI118)/100))</f>
        <v/>
      </c>
      <c r="G118" s="15">
        <f>IF($A118="","",G$9+INT(($B$14+CJ118)/100))</f>
        <v/>
      </c>
      <c r="H118" s="15">
        <f>IF($A118="","",H$9+INT(($B$14+CK118)/100))</f>
        <v/>
      </c>
      <c r="I118" s="15">
        <f>IF($A118="","",I$9+INT(($B$14+CL118)/100))</f>
        <v/>
      </c>
      <c r="J118" s="15">
        <f>IF($A118="","",J$9+INT(($B$14+CM118)/100))</f>
        <v/>
      </c>
      <c r="K118" s="15">
        <f>IF($A118="","",K$9+INT(($B$14+CN118)/100))</f>
        <v/>
      </c>
      <c r="L118" s="15">
        <f>IF($A118="","",L$9+INT(($B$14+CO118)/100))</f>
        <v/>
      </c>
      <c r="M118" s="16">
        <f>IF($A118="","",IF($C118&lt;&gt;$C117,"★ 转职 → 【"&amp;$C118&amp;"】","")&amp;IF($A118=$B$10,"（目标等级）",""))</f>
        <v/>
      </c>
      <c r="P118">
        <f>IF('职业'!$C108="","",'职业'!$C108)</f>
        <v/>
      </c>
      <c r="Q118">
        <f>N('职业'!$D108)</f>
        <v/>
      </c>
      <c r="R118">
        <f>'职业'!$E108&amp;""</f>
        <v/>
      </c>
      <c r="S118">
        <f>IF($P118="",0,MAX(0,D$7+N('职业'!F108)))</f>
        <v/>
      </c>
      <c r="T118">
        <f>IF($P118="",0,MAX(0,E$7+N('职业'!G108)))</f>
        <v/>
      </c>
      <c r="U118">
        <f>IF($P118="",0,MAX(0,F$7+N('职业'!H108)))</f>
        <v/>
      </c>
      <c r="V118">
        <f>IF($P118="",0,MAX(0,G$7+N('职业'!I108)))</f>
        <v/>
      </c>
      <c r="W118">
        <f>IF($P118="",0,MAX(0,H$7+N('职业'!J108)))</f>
        <v/>
      </c>
      <c r="X118">
        <f>IF($P118="",0,MAX(0,I$7+N('职业'!K108)))</f>
        <v/>
      </c>
      <c r="Y118">
        <f>IF($P118="",0,MAX(0,J$7+N('职业'!L108)))</f>
        <v/>
      </c>
      <c r="Z118">
        <f>IF($P118="",0,MAX(0,K$7+N('职业'!M108)))</f>
        <v/>
      </c>
      <c r="AA118">
        <f>IF($P118="",0,MAX(0,L$7+N('职业'!N108)))</f>
        <v/>
      </c>
      <c r="AB118">
        <f>AND($P118&lt;&gt;"",IF($U$5=1,$P118=$C$10,OR($P118=$C$9,AND($R118="是",$Q118&lt;=MAX($B$9,$Q$6)))))</f>
        <v/>
      </c>
      <c r="AC118">
        <f>AND($P118&lt;&gt;"",IF($U$5=2,$P118=$C$10,OR($P118=$C$9,AND($R118="是",$Q118&lt;=MAX($B$9,$Q$7)))))</f>
        <v/>
      </c>
      <c r="AD118">
        <f>AND($P118&lt;&gt;"",IF($U$5=3,$P118=$C$10,OR($P118=$C$9,AND($R118="是",$Q118&lt;=MAX($B$9,$Q$8)))))</f>
        <v/>
      </c>
      <c r="AE118">
        <f>IF(AB118,COUNTIF(AB$13:AB118,TRUE),"")</f>
        <v/>
      </c>
      <c r="AF118">
        <f>IF(AC118,COUNTIF(AC$13:AC118,TRUE),"")</f>
        <v/>
      </c>
      <c r="AG118">
        <f>IF(AD118,COUNTIF(AD$13:AD118,TRUE),"")</f>
        <v/>
      </c>
      <c r="AI118">
        <f>IFERROR(INDEX($P$13:$P$162,MATCH(106,$AE$13:$AE$162,0)),"")</f>
        <v/>
      </c>
      <c r="AJ118">
        <f>IFERROR(INDEX(S$13:S$162,MATCH(106,$AE$13:$AE$162,0)),0)*$T$6</f>
        <v/>
      </c>
      <c r="AK118">
        <f>IFERROR(INDEX(T$13:T$162,MATCH(106,$AE$13:$AE$162,0)),0)*$T$6</f>
        <v/>
      </c>
      <c r="AL118">
        <f>IFERROR(INDEX(U$13:U$162,MATCH(106,$AE$13:$AE$162,0)),0)*$T$6</f>
        <v/>
      </c>
      <c r="AM118">
        <f>IFERROR(INDEX(V$13:V$162,MATCH(106,$AE$13:$AE$162,0)),0)*$T$6</f>
        <v/>
      </c>
      <c r="AN118">
        <f>IFERROR(INDEX(W$13:W$162,MATCH(106,$AE$13:$AE$162,0)),0)*$T$6</f>
        <v/>
      </c>
      <c r="AO118">
        <f>IFERROR(INDEX(X$13:X$162,MATCH(106,$AE$13:$AE$162,0)),0)*$T$6</f>
        <v/>
      </c>
      <c r="AP118">
        <f>IFERROR(INDEX(Y$13:Y$162,MATCH(106,$AE$13:$AE$162,0)),0)*$T$6</f>
        <v/>
      </c>
      <c r="AQ118">
        <f>IFERROR(INDEX(Z$13:Z$162,MATCH(106,$AE$13:$AE$162,0)),0)*$T$6</f>
        <v/>
      </c>
      <c r="AR118">
        <f>IFERROR(INDEX(AA$13:AA$162,MATCH(106,$AE$13:$AE$162,0)),0)*$T$6</f>
        <v/>
      </c>
      <c r="AS118">
        <f>IFERROR(INDEX($P$13:$P$162,MATCH(106,$AF$13:$AF$162,0)),"")</f>
        <v/>
      </c>
      <c r="AT118">
        <f>IFERROR(INDEX(S$13:S$162,MATCH(106,$AF$13:$AF$162,0)),0)*$T$7</f>
        <v/>
      </c>
      <c r="AU118">
        <f>IFERROR(INDEX(T$13:T$162,MATCH(106,$AF$13:$AF$162,0)),0)*$T$7</f>
        <v/>
      </c>
      <c r="AV118">
        <f>IFERROR(INDEX(U$13:U$162,MATCH(106,$AF$13:$AF$162,0)),0)*$T$7</f>
        <v/>
      </c>
      <c r="AW118">
        <f>IFERROR(INDEX(V$13:V$162,MATCH(106,$AF$13:$AF$162,0)),0)*$T$7</f>
        <v/>
      </c>
      <c r="AX118">
        <f>IFERROR(INDEX(W$13:W$162,MATCH(106,$AF$13:$AF$162,0)),0)*$T$7</f>
        <v/>
      </c>
      <c r="AY118">
        <f>IFERROR(INDEX(X$13:X$162,MATCH(106,$AF$13:$AF$162,0)),0)*$T$7</f>
        <v/>
      </c>
      <c r="AZ118">
        <f>IFERROR(INDEX(Y$13:Y$162,MATCH(106,$AF$13:$AF$162,0)),0)*$T$7</f>
        <v/>
      </c>
      <c r="BA118">
        <f>IFERROR(INDEX(Z$13:Z$162,MATCH(106,$AF$13:$AF$162,0)),0)*$T$7</f>
        <v/>
      </c>
      <c r="BB118">
        <f>IFERROR(INDEX(AA$13:AA$162,MATCH(106,$AF$13:$AF$162,0)),0)*$T$7</f>
        <v/>
      </c>
      <c r="BC118">
        <f>IFERROR(INDEX($P$13:$P$162,MATCH(106,$AG$13:$AG$162,0)),"")</f>
        <v/>
      </c>
      <c r="BD118">
        <f>IFERROR(INDEX(S$13:S$162,MATCH(106,$AG$13:$AG$162,0)),0)*($T$8+IF($C$10="",$T$9,0))</f>
        <v/>
      </c>
      <c r="BE118">
        <f>IFERROR(INDEX(T$13:T$162,MATCH(106,$AG$13:$AG$162,0)),0)*($T$8+IF($C$10="",$T$9,0))</f>
        <v/>
      </c>
      <c r="BF118">
        <f>IFERROR(INDEX(U$13:U$162,MATCH(106,$AG$13:$AG$162,0)),0)*($T$8+IF($C$10="",$T$9,0))</f>
        <v/>
      </c>
      <c r="BG118">
        <f>IFERROR(INDEX(V$13:V$162,MATCH(106,$AG$13:$AG$162,0)),0)*($T$8+IF($C$10="",$T$9,0))</f>
        <v/>
      </c>
      <c r="BH118">
        <f>IFERROR(INDEX(W$13:W$162,MATCH(106,$AG$13:$AG$162,0)),0)*($T$8+IF($C$10="",$T$9,0))</f>
        <v/>
      </c>
      <c r="BI118">
        <f>IFERROR(INDEX(X$13:X$162,MATCH(106,$AG$13:$AG$162,0)),0)*($T$8+IF($C$10="",$T$9,0))</f>
        <v/>
      </c>
      <c r="BJ118">
        <f>IFERROR(INDEX(Y$13:Y$162,MATCH(106,$AG$13:$AG$162,0)),0)*($T$8+IF($C$10="",$T$9,0))</f>
        <v/>
      </c>
      <c r="BK118">
        <f>IFERROR(INDEX(Z$13:Z$162,MATCH(106,$AG$13:$AG$162,0)),0)*($T$8+IF($C$10="",$T$9,0))</f>
        <v/>
      </c>
      <c r="BL118">
        <f>IFERROR(INDEX(AA$13:AA$162,MATCH(106,$AG$13:$AG$162,0)),0)*($T$8+IF($C$10="",$T$9,0))</f>
        <v/>
      </c>
      <c r="BN118">
        <f>IF(105&lt;$U$9,INT(105/($U$7*$U$8))+1,1)</f>
        <v/>
      </c>
      <c r="BO118">
        <f>IF(105&lt;$U$9,MOD(INT(105/$U$8),$U$7)+1,1)</f>
        <v/>
      </c>
      <c r="BP118">
        <f>IF(105&lt;$U$9,MOD(105,$U$8)+1,1)</f>
        <v/>
      </c>
      <c r="BQ118">
        <f>IF(105&lt;$U$9,SUMPRODUCT(($D$10:$L$10&lt;&gt;"")*(($D$9:$L$9+INT(($S$12:$AA$12+INDEX($AJ$13:$AR$162,BN118,0)+INDEX($AT$13:$BB$162,BO118,0)+INDEX($BD$13:$BL$162,BP118,0))/100))&gt;=$D$10:$L$10)),0)</f>
        <v/>
      </c>
      <c r="BR118">
        <f>IF(105&lt;$U$9,SUMPRODUCT(($D$10:$L$10&lt;&gt;"")*(($D$10:$L$10-($D$9:$L$9+INT(($S$12:$AA$12+INDEX($AJ$13:$AR$162,BN118,0)+INDEX($AT$13:$BB$162,BO118,0)+INDEX($BD$13:$BL$162,BP118,0))/100)))&gt;0)*($D$10:$L$10-($D$9:$L$9+INT(($S$12:$AA$12+INDEX($AJ$13:$AR$162,BN118,0)+INDEX($AT$13:$BB$162,BO118,0)+INDEX($BD$13:$BL$162,BP118,0))/100)))),0)</f>
        <v/>
      </c>
      <c r="BS118">
        <f>IF(105&lt;$U$9,SUMPRODUCT(($D$9:$L$9+INT(($S$12:$AA$12+INDEX($AJ$13:$AR$162,BN118,0)+INDEX($AT$13:$BB$162,BO118,0)+INDEX($BD$13:$BL$162,BP118,0))/100))),0)</f>
        <v/>
      </c>
      <c r="BT118">
        <f>IF(AND(105&lt;$U$9,$W$5),BQ118*1000000-MIN(BR118,999)*1000+BS118-105/100000,-1000000000-105)</f>
        <v/>
      </c>
      <c r="CF118">
        <f>IF($A118="","",IFERROR(MATCH($C118,'职业'!$C$3:$C$152,0),0))</f>
        <v/>
      </c>
      <c r="CG118">
        <f>IF($A118="","",CG117+MAX(0,D$7+IF($CF117=0,0,IFERROR(INDEX('职业'!F$3:F$152,$CF117)+0,0))))</f>
        <v/>
      </c>
      <c r="CH118">
        <f>IF($A118="","",CH117+MAX(0,E$7+IF($CF117=0,0,IFERROR(INDEX('职业'!G$3:G$152,$CF117)+0,0))))</f>
        <v/>
      </c>
      <c r="CI118">
        <f>IF($A118="","",CI117+MAX(0,F$7+IF($CF117=0,0,IFERROR(INDEX('职业'!H$3:H$152,$CF117)+0,0))))</f>
        <v/>
      </c>
      <c r="CJ118">
        <f>IF($A118="","",CJ117+MAX(0,G$7+IF($CF117=0,0,IFERROR(INDEX('职业'!I$3:I$152,$CF117)+0,0))))</f>
        <v/>
      </c>
      <c r="CK118">
        <f>IF($A118="","",CK117+MAX(0,H$7+IF($CF117=0,0,IFERROR(INDEX('职业'!J$3:J$152,$CF117)+0,0))))</f>
        <v/>
      </c>
      <c r="CL118">
        <f>IF($A118="","",CL117+MAX(0,I$7+IF($CF117=0,0,IFERROR(INDEX('职业'!K$3:K$152,$CF117)+0,0))))</f>
        <v/>
      </c>
      <c r="CM118">
        <f>IF($A118="","",CM117+MAX(0,J$7+IF($CF117=0,0,IFERROR(INDEX('职业'!L$3:L$152,$CF117)+0,0))))</f>
        <v/>
      </c>
      <c r="CN118">
        <f>IF($A118="","",CN117+MAX(0,K$7+IF($CF117=0,0,IFERROR(INDEX('职业'!M$3:M$152,$CF117)+0,0))))</f>
        <v/>
      </c>
      <c r="CO118">
        <f>IF($A118="","",CO117+MAX(0,L$7+IF($CF117=0,0,IFERROR(INDEX('职业'!N$3:N$152,$CF117)+0,0))))</f>
        <v/>
      </c>
    </row>
    <row r="119">
      <c r="A119" s="15">
        <f>IF(OR($B$9="",$B$10=""),"",IF($B$9+67&lt;=$B$10,$B$9+67,""))</f>
        <v/>
      </c>
      <c r="B119" s="15">
        <f>IF($A119="","",MATCH($A119,$BV$27:$BV$32,1))</f>
        <v/>
      </c>
      <c r="C119" s="15">
        <f>IF($A119="","",INDEX($BW$27:$BW$32,$B119))</f>
        <v/>
      </c>
      <c r="D119" s="15">
        <f>IF($A119="","",D$9+INT(($B$14+CG119)/100))</f>
        <v/>
      </c>
      <c r="E119" s="15">
        <f>IF($A119="","",E$9+INT(($B$14+CH119)/100))</f>
        <v/>
      </c>
      <c r="F119" s="15">
        <f>IF($A119="","",F$9+INT(($B$14+CI119)/100))</f>
        <v/>
      </c>
      <c r="G119" s="15">
        <f>IF($A119="","",G$9+INT(($B$14+CJ119)/100))</f>
        <v/>
      </c>
      <c r="H119" s="15">
        <f>IF($A119="","",H$9+INT(($B$14+CK119)/100))</f>
        <v/>
      </c>
      <c r="I119" s="15">
        <f>IF($A119="","",I$9+INT(($B$14+CL119)/100))</f>
        <v/>
      </c>
      <c r="J119" s="15">
        <f>IF($A119="","",J$9+INT(($B$14+CM119)/100))</f>
        <v/>
      </c>
      <c r="K119" s="15">
        <f>IF($A119="","",K$9+INT(($B$14+CN119)/100))</f>
        <v/>
      </c>
      <c r="L119" s="15">
        <f>IF($A119="","",L$9+INT(($B$14+CO119)/100))</f>
        <v/>
      </c>
      <c r="M119" s="16">
        <f>IF($A119="","",IF($C119&lt;&gt;$C118,"★ 转职 → 【"&amp;$C119&amp;"】","")&amp;IF($A119=$B$10,"（目标等级）",""))</f>
        <v/>
      </c>
      <c r="P119">
        <f>IF('职业'!$C109="","",'职业'!$C109)</f>
        <v/>
      </c>
      <c r="Q119">
        <f>N('职业'!$D109)</f>
        <v/>
      </c>
      <c r="R119">
        <f>'职业'!$E109&amp;""</f>
        <v/>
      </c>
      <c r="S119">
        <f>IF($P119="",0,MAX(0,D$7+N('职业'!F109)))</f>
        <v/>
      </c>
      <c r="T119">
        <f>IF($P119="",0,MAX(0,E$7+N('职业'!G109)))</f>
        <v/>
      </c>
      <c r="U119">
        <f>IF($P119="",0,MAX(0,F$7+N('职业'!H109)))</f>
        <v/>
      </c>
      <c r="V119">
        <f>IF($P119="",0,MAX(0,G$7+N('职业'!I109)))</f>
        <v/>
      </c>
      <c r="W119">
        <f>IF($P119="",0,MAX(0,H$7+N('职业'!J109)))</f>
        <v/>
      </c>
      <c r="X119">
        <f>IF($P119="",0,MAX(0,I$7+N('职业'!K109)))</f>
        <v/>
      </c>
      <c r="Y119">
        <f>IF($P119="",0,MAX(0,J$7+N('职业'!L109)))</f>
        <v/>
      </c>
      <c r="Z119">
        <f>IF($P119="",0,MAX(0,K$7+N('职业'!M109)))</f>
        <v/>
      </c>
      <c r="AA119">
        <f>IF($P119="",0,MAX(0,L$7+N('职业'!N109)))</f>
        <v/>
      </c>
      <c r="AB119">
        <f>AND($P119&lt;&gt;"",IF($U$5=1,$P119=$C$10,OR($P119=$C$9,AND($R119="是",$Q119&lt;=MAX($B$9,$Q$6)))))</f>
        <v/>
      </c>
      <c r="AC119">
        <f>AND($P119&lt;&gt;"",IF($U$5=2,$P119=$C$10,OR($P119=$C$9,AND($R119="是",$Q119&lt;=MAX($B$9,$Q$7)))))</f>
        <v/>
      </c>
      <c r="AD119">
        <f>AND($P119&lt;&gt;"",IF($U$5=3,$P119=$C$10,OR($P119=$C$9,AND($R119="是",$Q119&lt;=MAX($B$9,$Q$8)))))</f>
        <v/>
      </c>
      <c r="AE119">
        <f>IF(AB119,COUNTIF(AB$13:AB119,TRUE),"")</f>
        <v/>
      </c>
      <c r="AF119">
        <f>IF(AC119,COUNTIF(AC$13:AC119,TRUE),"")</f>
        <v/>
      </c>
      <c r="AG119">
        <f>IF(AD119,COUNTIF(AD$13:AD119,TRUE),"")</f>
        <v/>
      </c>
      <c r="AI119">
        <f>IFERROR(INDEX($P$13:$P$162,MATCH(107,$AE$13:$AE$162,0)),"")</f>
        <v/>
      </c>
      <c r="AJ119">
        <f>IFERROR(INDEX(S$13:S$162,MATCH(107,$AE$13:$AE$162,0)),0)*$T$6</f>
        <v/>
      </c>
      <c r="AK119">
        <f>IFERROR(INDEX(T$13:T$162,MATCH(107,$AE$13:$AE$162,0)),0)*$T$6</f>
        <v/>
      </c>
      <c r="AL119">
        <f>IFERROR(INDEX(U$13:U$162,MATCH(107,$AE$13:$AE$162,0)),0)*$T$6</f>
        <v/>
      </c>
      <c r="AM119">
        <f>IFERROR(INDEX(V$13:V$162,MATCH(107,$AE$13:$AE$162,0)),0)*$T$6</f>
        <v/>
      </c>
      <c r="AN119">
        <f>IFERROR(INDEX(W$13:W$162,MATCH(107,$AE$13:$AE$162,0)),0)*$T$6</f>
        <v/>
      </c>
      <c r="AO119">
        <f>IFERROR(INDEX(X$13:X$162,MATCH(107,$AE$13:$AE$162,0)),0)*$T$6</f>
        <v/>
      </c>
      <c r="AP119">
        <f>IFERROR(INDEX(Y$13:Y$162,MATCH(107,$AE$13:$AE$162,0)),0)*$T$6</f>
        <v/>
      </c>
      <c r="AQ119">
        <f>IFERROR(INDEX(Z$13:Z$162,MATCH(107,$AE$13:$AE$162,0)),0)*$T$6</f>
        <v/>
      </c>
      <c r="AR119">
        <f>IFERROR(INDEX(AA$13:AA$162,MATCH(107,$AE$13:$AE$162,0)),0)*$T$6</f>
        <v/>
      </c>
      <c r="AS119">
        <f>IFERROR(INDEX($P$13:$P$162,MATCH(107,$AF$13:$AF$162,0)),"")</f>
        <v/>
      </c>
      <c r="AT119">
        <f>IFERROR(INDEX(S$13:S$162,MATCH(107,$AF$13:$AF$162,0)),0)*$T$7</f>
        <v/>
      </c>
      <c r="AU119">
        <f>IFERROR(INDEX(T$13:T$162,MATCH(107,$AF$13:$AF$162,0)),0)*$T$7</f>
        <v/>
      </c>
      <c r="AV119">
        <f>IFERROR(INDEX(U$13:U$162,MATCH(107,$AF$13:$AF$162,0)),0)*$T$7</f>
        <v/>
      </c>
      <c r="AW119">
        <f>IFERROR(INDEX(V$13:V$162,MATCH(107,$AF$13:$AF$162,0)),0)*$T$7</f>
        <v/>
      </c>
      <c r="AX119">
        <f>IFERROR(INDEX(W$13:W$162,MATCH(107,$AF$13:$AF$162,0)),0)*$T$7</f>
        <v/>
      </c>
      <c r="AY119">
        <f>IFERROR(INDEX(X$13:X$162,MATCH(107,$AF$13:$AF$162,0)),0)*$T$7</f>
        <v/>
      </c>
      <c r="AZ119">
        <f>IFERROR(INDEX(Y$13:Y$162,MATCH(107,$AF$13:$AF$162,0)),0)*$T$7</f>
        <v/>
      </c>
      <c r="BA119">
        <f>IFERROR(INDEX(Z$13:Z$162,MATCH(107,$AF$13:$AF$162,0)),0)*$T$7</f>
        <v/>
      </c>
      <c r="BB119">
        <f>IFERROR(INDEX(AA$13:AA$162,MATCH(107,$AF$13:$AF$162,0)),0)*$T$7</f>
        <v/>
      </c>
      <c r="BC119">
        <f>IFERROR(INDEX($P$13:$P$162,MATCH(107,$AG$13:$AG$162,0)),"")</f>
        <v/>
      </c>
      <c r="BD119">
        <f>IFERROR(INDEX(S$13:S$162,MATCH(107,$AG$13:$AG$162,0)),0)*($T$8+IF($C$10="",$T$9,0))</f>
        <v/>
      </c>
      <c r="BE119">
        <f>IFERROR(INDEX(T$13:T$162,MATCH(107,$AG$13:$AG$162,0)),0)*($T$8+IF($C$10="",$T$9,0))</f>
        <v/>
      </c>
      <c r="BF119">
        <f>IFERROR(INDEX(U$13:U$162,MATCH(107,$AG$13:$AG$162,0)),0)*($T$8+IF($C$10="",$T$9,0))</f>
        <v/>
      </c>
      <c r="BG119">
        <f>IFERROR(INDEX(V$13:V$162,MATCH(107,$AG$13:$AG$162,0)),0)*($T$8+IF($C$10="",$T$9,0))</f>
        <v/>
      </c>
      <c r="BH119">
        <f>IFERROR(INDEX(W$13:W$162,MATCH(107,$AG$13:$AG$162,0)),0)*($T$8+IF($C$10="",$T$9,0))</f>
        <v/>
      </c>
      <c r="BI119">
        <f>IFERROR(INDEX(X$13:X$162,MATCH(107,$AG$13:$AG$162,0)),0)*($T$8+IF($C$10="",$T$9,0))</f>
        <v/>
      </c>
      <c r="BJ119">
        <f>IFERROR(INDEX(Y$13:Y$162,MATCH(107,$AG$13:$AG$162,0)),0)*($T$8+IF($C$10="",$T$9,0))</f>
        <v/>
      </c>
      <c r="BK119">
        <f>IFERROR(INDEX(Z$13:Z$162,MATCH(107,$AG$13:$AG$162,0)),0)*($T$8+IF($C$10="",$T$9,0))</f>
        <v/>
      </c>
      <c r="BL119">
        <f>IFERROR(INDEX(AA$13:AA$162,MATCH(107,$AG$13:$AG$162,0)),0)*($T$8+IF($C$10="",$T$9,0))</f>
        <v/>
      </c>
      <c r="BN119">
        <f>IF(106&lt;$U$9,INT(106/($U$7*$U$8))+1,1)</f>
        <v/>
      </c>
      <c r="BO119">
        <f>IF(106&lt;$U$9,MOD(INT(106/$U$8),$U$7)+1,1)</f>
        <v/>
      </c>
      <c r="BP119">
        <f>IF(106&lt;$U$9,MOD(106,$U$8)+1,1)</f>
        <v/>
      </c>
      <c r="BQ119">
        <f>IF(106&lt;$U$9,SUMPRODUCT(($D$10:$L$10&lt;&gt;"")*(($D$9:$L$9+INT(($S$12:$AA$12+INDEX($AJ$13:$AR$162,BN119,0)+INDEX($AT$13:$BB$162,BO119,0)+INDEX($BD$13:$BL$162,BP119,0))/100))&gt;=$D$10:$L$10)),0)</f>
        <v/>
      </c>
      <c r="BR119">
        <f>IF(106&lt;$U$9,SUMPRODUCT(($D$10:$L$10&lt;&gt;"")*(($D$10:$L$10-($D$9:$L$9+INT(($S$12:$AA$12+INDEX($AJ$13:$AR$162,BN119,0)+INDEX($AT$13:$BB$162,BO119,0)+INDEX($BD$13:$BL$162,BP119,0))/100)))&gt;0)*($D$10:$L$10-($D$9:$L$9+INT(($S$12:$AA$12+INDEX($AJ$13:$AR$162,BN119,0)+INDEX($AT$13:$BB$162,BO119,0)+INDEX($BD$13:$BL$162,BP119,0))/100)))),0)</f>
        <v/>
      </c>
      <c r="BS119">
        <f>IF(106&lt;$U$9,SUMPRODUCT(($D$9:$L$9+INT(($S$12:$AA$12+INDEX($AJ$13:$AR$162,BN119,0)+INDEX($AT$13:$BB$162,BO119,0)+INDEX($BD$13:$BL$162,BP119,0))/100))),0)</f>
        <v/>
      </c>
      <c r="BT119">
        <f>IF(AND(106&lt;$U$9,$W$5),BQ119*1000000-MIN(BR119,999)*1000+BS119-106/100000,-1000000000-106)</f>
        <v/>
      </c>
      <c r="CF119">
        <f>IF($A119="","",IFERROR(MATCH($C119,'职业'!$C$3:$C$152,0),0))</f>
        <v/>
      </c>
      <c r="CG119">
        <f>IF($A119="","",CG118+MAX(0,D$7+IF($CF118=0,0,IFERROR(INDEX('职业'!F$3:F$152,$CF118)+0,0))))</f>
        <v/>
      </c>
      <c r="CH119">
        <f>IF($A119="","",CH118+MAX(0,E$7+IF($CF118=0,0,IFERROR(INDEX('职业'!G$3:G$152,$CF118)+0,0))))</f>
        <v/>
      </c>
      <c r="CI119">
        <f>IF($A119="","",CI118+MAX(0,F$7+IF($CF118=0,0,IFERROR(INDEX('职业'!H$3:H$152,$CF118)+0,0))))</f>
        <v/>
      </c>
      <c r="CJ119">
        <f>IF($A119="","",CJ118+MAX(0,G$7+IF($CF118=0,0,IFERROR(INDEX('职业'!I$3:I$152,$CF118)+0,0))))</f>
        <v/>
      </c>
      <c r="CK119">
        <f>IF($A119="","",CK118+MAX(0,H$7+IF($CF118=0,0,IFERROR(INDEX('职业'!J$3:J$152,$CF118)+0,0))))</f>
        <v/>
      </c>
      <c r="CL119">
        <f>IF($A119="","",CL118+MAX(0,I$7+IF($CF118=0,0,IFERROR(INDEX('职业'!K$3:K$152,$CF118)+0,0))))</f>
        <v/>
      </c>
      <c r="CM119">
        <f>IF($A119="","",CM118+MAX(0,J$7+IF($CF118=0,0,IFERROR(INDEX('职业'!L$3:L$152,$CF118)+0,0))))</f>
        <v/>
      </c>
      <c r="CN119">
        <f>IF($A119="","",CN118+MAX(0,K$7+IF($CF118=0,0,IFERROR(INDEX('职业'!M$3:M$152,$CF118)+0,0))))</f>
        <v/>
      </c>
      <c r="CO119">
        <f>IF($A119="","",CO118+MAX(0,L$7+IF($CF118=0,0,IFERROR(INDEX('职业'!N$3:N$152,$CF118)+0,0))))</f>
        <v/>
      </c>
    </row>
    <row r="120">
      <c r="A120" s="15">
        <f>IF(OR($B$9="",$B$10=""),"",IF($B$9+68&lt;=$B$10,$B$9+68,""))</f>
        <v/>
      </c>
      <c r="B120" s="15">
        <f>IF($A120="","",MATCH($A120,$BV$27:$BV$32,1))</f>
        <v/>
      </c>
      <c r="C120" s="15">
        <f>IF($A120="","",INDEX($BW$27:$BW$32,$B120))</f>
        <v/>
      </c>
      <c r="D120" s="15">
        <f>IF($A120="","",D$9+INT(($B$14+CG120)/100))</f>
        <v/>
      </c>
      <c r="E120" s="15">
        <f>IF($A120="","",E$9+INT(($B$14+CH120)/100))</f>
        <v/>
      </c>
      <c r="F120" s="15">
        <f>IF($A120="","",F$9+INT(($B$14+CI120)/100))</f>
        <v/>
      </c>
      <c r="G120" s="15">
        <f>IF($A120="","",G$9+INT(($B$14+CJ120)/100))</f>
        <v/>
      </c>
      <c r="H120" s="15">
        <f>IF($A120="","",H$9+INT(($B$14+CK120)/100))</f>
        <v/>
      </c>
      <c r="I120" s="15">
        <f>IF($A120="","",I$9+INT(($B$14+CL120)/100))</f>
        <v/>
      </c>
      <c r="J120" s="15">
        <f>IF($A120="","",J$9+INT(($B$14+CM120)/100))</f>
        <v/>
      </c>
      <c r="K120" s="15">
        <f>IF($A120="","",K$9+INT(($B$14+CN120)/100))</f>
        <v/>
      </c>
      <c r="L120" s="15">
        <f>IF($A120="","",L$9+INT(($B$14+CO120)/100))</f>
        <v/>
      </c>
      <c r="M120" s="16">
        <f>IF($A120="","",IF($C120&lt;&gt;$C119,"★ 转职 → 【"&amp;$C120&amp;"】","")&amp;IF($A120=$B$10,"（目标等级）",""))</f>
        <v/>
      </c>
      <c r="P120">
        <f>IF('职业'!$C110="","",'职业'!$C110)</f>
        <v/>
      </c>
      <c r="Q120">
        <f>N('职业'!$D110)</f>
        <v/>
      </c>
      <c r="R120">
        <f>'职业'!$E110&amp;""</f>
        <v/>
      </c>
      <c r="S120">
        <f>IF($P120="",0,MAX(0,D$7+N('职业'!F110)))</f>
        <v/>
      </c>
      <c r="T120">
        <f>IF($P120="",0,MAX(0,E$7+N('职业'!G110)))</f>
        <v/>
      </c>
      <c r="U120">
        <f>IF($P120="",0,MAX(0,F$7+N('职业'!H110)))</f>
        <v/>
      </c>
      <c r="V120">
        <f>IF($P120="",0,MAX(0,G$7+N('职业'!I110)))</f>
        <v/>
      </c>
      <c r="W120">
        <f>IF($P120="",0,MAX(0,H$7+N('职业'!J110)))</f>
        <v/>
      </c>
      <c r="X120">
        <f>IF($P120="",0,MAX(0,I$7+N('职业'!K110)))</f>
        <v/>
      </c>
      <c r="Y120">
        <f>IF($P120="",0,MAX(0,J$7+N('职业'!L110)))</f>
        <v/>
      </c>
      <c r="Z120">
        <f>IF($P120="",0,MAX(0,K$7+N('职业'!M110)))</f>
        <v/>
      </c>
      <c r="AA120">
        <f>IF($P120="",0,MAX(0,L$7+N('职业'!N110)))</f>
        <v/>
      </c>
      <c r="AB120">
        <f>AND($P120&lt;&gt;"",IF($U$5=1,$P120=$C$10,OR($P120=$C$9,AND($R120="是",$Q120&lt;=MAX($B$9,$Q$6)))))</f>
        <v/>
      </c>
      <c r="AC120">
        <f>AND($P120&lt;&gt;"",IF($U$5=2,$P120=$C$10,OR($P120=$C$9,AND($R120="是",$Q120&lt;=MAX($B$9,$Q$7)))))</f>
        <v/>
      </c>
      <c r="AD120">
        <f>AND($P120&lt;&gt;"",IF($U$5=3,$P120=$C$10,OR($P120=$C$9,AND($R120="是",$Q120&lt;=MAX($B$9,$Q$8)))))</f>
        <v/>
      </c>
      <c r="AE120">
        <f>IF(AB120,COUNTIF(AB$13:AB120,TRUE),"")</f>
        <v/>
      </c>
      <c r="AF120">
        <f>IF(AC120,COUNTIF(AC$13:AC120,TRUE),"")</f>
        <v/>
      </c>
      <c r="AG120">
        <f>IF(AD120,COUNTIF(AD$13:AD120,TRUE),"")</f>
        <v/>
      </c>
      <c r="AI120">
        <f>IFERROR(INDEX($P$13:$P$162,MATCH(108,$AE$13:$AE$162,0)),"")</f>
        <v/>
      </c>
      <c r="AJ120">
        <f>IFERROR(INDEX(S$13:S$162,MATCH(108,$AE$13:$AE$162,0)),0)*$T$6</f>
        <v/>
      </c>
      <c r="AK120">
        <f>IFERROR(INDEX(T$13:T$162,MATCH(108,$AE$13:$AE$162,0)),0)*$T$6</f>
        <v/>
      </c>
      <c r="AL120">
        <f>IFERROR(INDEX(U$13:U$162,MATCH(108,$AE$13:$AE$162,0)),0)*$T$6</f>
        <v/>
      </c>
      <c r="AM120">
        <f>IFERROR(INDEX(V$13:V$162,MATCH(108,$AE$13:$AE$162,0)),0)*$T$6</f>
        <v/>
      </c>
      <c r="AN120">
        <f>IFERROR(INDEX(W$13:W$162,MATCH(108,$AE$13:$AE$162,0)),0)*$T$6</f>
        <v/>
      </c>
      <c r="AO120">
        <f>IFERROR(INDEX(X$13:X$162,MATCH(108,$AE$13:$AE$162,0)),0)*$T$6</f>
        <v/>
      </c>
      <c r="AP120">
        <f>IFERROR(INDEX(Y$13:Y$162,MATCH(108,$AE$13:$AE$162,0)),0)*$T$6</f>
        <v/>
      </c>
      <c r="AQ120">
        <f>IFERROR(INDEX(Z$13:Z$162,MATCH(108,$AE$13:$AE$162,0)),0)*$T$6</f>
        <v/>
      </c>
      <c r="AR120">
        <f>IFERROR(INDEX(AA$13:AA$162,MATCH(108,$AE$13:$AE$162,0)),0)*$T$6</f>
        <v/>
      </c>
      <c r="AS120">
        <f>IFERROR(INDEX($P$13:$P$162,MATCH(108,$AF$13:$AF$162,0)),"")</f>
        <v/>
      </c>
      <c r="AT120">
        <f>IFERROR(INDEX(S$13:S$162,MATCH(108,$AF$13:$AF$162,0)),0)*$T$7</f>
        <v/>
      </c>
      <c r="AU120">
        <f>IFERROR(INDEX(T$13:T$162,MATCH(108,$AF$13:$AF$162,0)),0)*$T$7</f>
        <v/>
      </c>
      <c r="AV120">
        <f>IFERROR(INDEX(U$13:U$162,MATCH(108,$AF$13:$AF$162,0)),0)*$T$7</f>
        <v/>
      </c>
      <c r="AW120">
        <f>IFERROR(INDEX(V$13:V$162,MATCH(108,$AF$13:$AF$162,0)),0)*$T$7</f>
        <v/>
      </c>
      <c r="AX120">
        <f>IFERROR(INDEX(W$13:W$162,MATCH(108,$AF$13:$AF$162,0)),0)*$T$7</f>
        <v/>
      </c>
      <c r="AY120">
        <f>IFERROR(INDEX(X$13:X$162,MATCH(108,$AF$13:$AF$162,0)),0)*$T$7</f>
        <v/>
      </c>
      <c r="AZ120">
        <f>IFERROR(INDEX(Y$13:Y$162,MATCH(108,$AF$13:$AF$162,0)),0)*$T$7</f>
        <v/>
      </c>
      <c r="BA120">
        <f>IFERROR(INDEX(Z$13:Z$162,MATCH(108,$AF$13:$AF$162,0)),0)*$T$7</f>
        <v/>
      </c>
      <c r="BB120">
        <f>IFERROR(INDEX(AA$13:AA$162,MATCH(108,$AF$13:$AF$162,0)),0)*$T$7</f>
        <v/>
      </c>
      <c r="BC120">
        <f>IFERROR(INDEX($P$13:$P$162,MATCH(108,$AG$13:$AG$162,0)),"")</f>
        <v/>
      </c>
      <c r="BD120">
        <f>IFERROR(INDEX(S$13:S$162,MATCH(108,$AG$13:$AG$162,0)),0)*($T$8+IF($C$10="",$T$9,0))</f>
        <v/>
      </c>
      <c r="BE120">
        <f>IFERROR(INDEX(T$13:T$162,MATCH(108,$AG$13:$AG$162,0)),0)*($T$8+IF($C$10="",$T$9,0))</f>
        <v/>
      </c>
      <c r="BF120">
        <f>IFERROR(INDEX(U$13:U$162,MATCH(108,$AG$13:$AG$162,0)),0)*($T$8+IF($C$10="",$T$9,0))</f>
        <v/>
      </c>
      <c r="BG120">
        <f>IFERROR(INDEX(V$13:V$162,MATCH(108,$AG$13:$AG$162,0)),0)*($T$8+IF($C$10="",$T$9,0))</f>
        <v/>
      </c>
      <c r="BH120">
        <f>IFERROR(INDEX(W$13:W$162,MATCH(108,$AG$13:$AG$162,0)),0)*($T$8+IF($C$10="",$T$9,0))</f>
        <v/>
      </c>
      <c r="BI120">
        <f>IFERROR(INDEX(X$13:X$162,MATCH(108,$AG$13:$AG$162,0)),0)*($T$8+IF($C$10="",$T$9,0))</f>
        <v/>
      </c>
      <c r="BJ120">
        <f>IFERROR(INDEX(Y$13:Y$162,MATCH(108,$AG$13:$AG$162,0)),0)*($T$8+IF($C$10="",$T$9,0))</f>
        <v/>
      </c>
      <c r="BK120">
        <f>IFERROR(INDEX(Z$13:Z$162,MATCH(108,$AG$13:$AG$162,0)),0)*($T$8+IF($C$10="",$T$9,0))</f>
        <v/>
      </c>
      <c r="BL120">
        <f>IFERROR(INDEX(AA$13:AA$162,MATCH(108,$AG$13:$AG$162,0)),0)*($T$8+IF($C$10="",$T$9,0))</f>
        <v/>
      </c>
      <c r="BN120">
        <f>IF(107&lt;$U$9,INT(107/($U$7*$U$8))+1,1)</f>
        <v/>
      </c>
      <c r="BO120">
        <f>IF(107&lt;$U$9,MOD(INT(107/$U$8),$U$7)+1,1)</f>
        <v/>
      </c>
      <c r="BP120">
        <f>IF(107&lt;$U$9,MOD(107,$U$8)+1,1)</f>
        <v/>
      </c>
      <c r="BQ120">
        <f>IF(107&lt;$U$9,SUMPRODUCT(($D$10:$L$10&lt;&gt;"")*(($D$9:$L$9+INT(($S$12:$AA$12+INDEX($AJ$13:$AR$162,BN120,0)+INDEX($AT$13:$BB$162,BO120,0)+INDEX($BD$13:$BL$162,BP120,0))/100))&gt;=$D$10:$L$10)),0)</f>
        <v/>
      </c>
      <c r="BR120">
        <f>IF(107&lt;$U$9,SUMPRODUCT(($D$10:$L$10&lt;&gt;"")*(($D$10:$L$10-($D$9:$L$9+INT(($S$12:$AA$12+INDEX($AJ$13:$AR$162,BN120,0)+INDEX($AT$13:$BB$162,BO120,0)+INDEX($BD$13:$BL$162,BP120,0))/100)))&gt;0)*($D$10:$L$10-($D$9:$L$9+INT(($S$12:$AA$12+INDEX($AJ$13:$AR$162,BN120,0)+INDEX($AT$13:$BB$162,BO120,0)+INDEX($BD$13:$BL$162,BP120,0))/100)))),0)</f>
        <v/>
      </c>
      <c r="BS120">
        <f>IF(107&lt;$U$9,SUMPRODUCT(($D$9:$L$9+INT(($S$12:$AA$12+INDEX($AJ$13:$AR$162,BN120,0)+INDEX($AT$13:$BB$162,BO120,0)+INDEX($BD$13:$BL$162,BP120,0))/100))),0)</f>
        <v/>
      </c>
      <c r="BT120">
        <f>IF(AND(107&lt;$U$9,$W$5),BQ120*1000000-MIN(BR120,999)*1000+BS120-107/100000,-1000000000-107)</f>
        <v/>
      </c>
      <c r="CF120">
        <f>IF($A120="","",IFERROR(MATCH($C120,'职业'!$C$3:$C$152,0),0))</f>
        <v/>
      </c>
      <c r="CG120">
        <f>IF($A120="","",CG119+MAX(0,D$7+IF($CF119=0,0,IFERROR(INDEX('职业'!F$3:F$152,$CF119)+0,0))))</f>
        <v/>
      </c>
      <c r="CH120">
        <f>IF($A120="","",CH119+MAX(0,E$7+IF($CF119=0,0,IFERROR(INDEX('职业'!G$3:G$152,$CF119)+0,0))))</f>
        <v/>
      </c>
      <c r="CI120">
        <f>IF($A120="","",CI119+MAX(0,F$7+IF($CF119=0,0,IFERROR(INDEX('职业'!H$3:H$152,$CF119)+0,0))))</f>
        <v/>
      </c>
      <c r="CJ120">
        <f>IF($A120="","",CJ119+MAX(0,G$7+IF($CF119=0,0,IFERROR(INDEX('职业'!I$3:I$152,$CF119)+0,0))))</f>
        <v/>
      </c>
      <c r="CK120">
        <f>IF($A120="","",CK119+MAX(0,H$7+IF($CF119=0,0,IFERROR(INDEX('职业'!J$3:J$152,$CF119)+0,0))))</f>
        <v/>
      </c>
      <c r="CL120">
        <f>IF($A120="","",CL119+MAX(0,I$7+IF($CF119=0,0,IFERROR(INDEX('职业'!K$3:K$152,$CF119)+0,0))))</f>
        <v/>
      </c>
      <c r="CM120">
        <f>IF($A120="","",CM119+MAX(0,J$7+IF($CF119=0,0,IFERROR(INDEX('职业'!L$3:L$152,$CF119)+0,0))))</f>
        <v/>
      </c>
      <c r="CN120">
        <f>IF($A120="","",CN119+MAX(0,K$7+IF($CF119=0,0,IFERROR(INDEX('职业'!M$3:M$152,$CF119)+0,0))))</f>
        <v/>
      </c>
      <c r="CO120">
        <f>IF($A120="","",CO119+MAX(0,L$7+IF($CF119=0,0,IFERROR(INDEX('职业'!N$3:N$152,$CF119)+0,0))))</f>
        <v/>
      </c>
    </row>
    <row r="121">
      <c r="A121" s="15">
        <f>IF(OR($B$9="",$B$10=""),"",IF($B$9+69&lt;=$B$10,$B$9+69,""))</f>
        <v/>
      </c>
      <c r="B121" s="15">
        <f>IF($A121="","",MATCH($A121,$BV$27:$BV$32,1))</f>
        <v/>
      </c>
      <c r="C121" s="15">
        <f>IF($A121="","",INDEX($BW$27:$BW$32,$B121))</f>
        <v/>
      </c>
      <c r="D121" s="15">
        <f>IF($A121="","",D$9+INT(($B$14+CG121)/100))</f>
        <v/>
      </c>
      <c r="E121" s="15">
        <f>IF($A121="","",E$9+INT(($B$14+CH121)/100))</f>
        <v/>
      </c>
      <c r="F121" s="15">
        <f>IF($A121="","",F$9+INT(($B$14+CI121)/100))</f>
        <v/>
      </c>
      <c r="G121" s="15">
        <f>IF($A121="","",G$9+INT(($B$14+CJ121)/100))</f>
        <v/>
      </c>
      <c r="H121" s="15">
        <f>IF($A121="","",H$9+INT(($B$14+CK121)/100))</f>
        <v/>
      </c>
      <c r="I121" s="15">
        <f>IF($A121="","",I$9+INT(($B$14+CL121)/100))</f>
        <v/>
      </c>
      <c r="J121" s="15">
        <f>IF($A121="","",J$9+INT(($B$14+CM121)/100))</f>
        <v/>
      </c>
      <c r="K121" s="15">
        <f>IF($A121="","",K$9+INT(($B$14+CN121)/100))</f>
        <v/>
      </c>
      <c r="L121" s="15">
        <f>IF($A121="","",L$9+INT(($B$14+CO121)/100))</f>
        <v/>
      </c>
      <c r="M121" s="16">
        <f>IF($A121="","",IF($C121&lt;&gt;$C120,"★ 转职 → 【"&amp;$C121&amp;"】","")&amp;IF($A121=$B$10,"（目标等级）",""))</f>
        <v/>
      </c>
      <c r="P121">
        <f>IF('职业'!$C111="","",'职业'!$C111)</f>
        <v/>
      </c>
      <c r="Q121">
        <f>N('职业'!$D111)</f>
        <v/>
      </c>
      <c r="R121">
        <f>'职业'!$E111&amp;""</f>
        <v/>
      </c>
      <c r="S121">
        <f>IF($P121="",0,MAX(0,D$7+N('职业'!F111)))</f>
        <v/>
      </c>
      <c r="T121">
        <f>IF($P121="",0,MAX(0,E$7+N('职业'!G111)))</f>
        <v/>
      </c>
      <c r="U121">
        <f>IF($P121="",0,MAX(0,F$7+N('职业'!H111)))</f>
        <v/>
      </c>
      <c r="V121">
        <f>IF($P121="",0,MAX(0,G$7+N('职业'!I111)))</f>
        <v/>
      </c>
      <c r="W121">
        <f>IF($P121="",0,MAX(0,H$7+N('职业'!J111)))</f>
        <v/>
      </c>
      <c r="X121">
        <f>IF($P121="",0,MAX(0,I$7+N('职业'!K111)))</f>
        <v/>
      </c>
      <c r="Y121">
        <f>IF($P121="",0,MAX(0,J$7+N('职业'!L111)))</f>
        <v/>
      </c>
      <c r="Z121">
        <f>IF($P121="",0,MAX(0,K$7+N('职业'!M111)))</f>
        <v/>
      </c>
      <c r="AA121">
        <f>IF($P121="",0,MAX(0,L$7+N('职业'!N111)))</f>
        <v/>
      </c>
      <c r="AB121">
        <f>AND($P121&lt;&gt;"",IF($U$5=1,$P121=$C$10,OR($P121=$C$9,AND($R121="是",$Q121&lt;=MAX($B$9,$Q$6)))))</f>
        <v/>
      </c>
      <c r="AC121">
        <f>AND($P121&lt;&gt;"",IF($U$5=2,$P121=$C$10,OR($P121=$C$9,AND($R121="是",$Q121&lt;=MAX($B$9,$Q$7)))))</f>
        <v/>
      </c>
      <c r="AD121">
        <f>AND($P121&lt;&gt;"",IF($U$5=3,$P121=$C$10,OR($P121=$C$9,AND($R121="是",$Q121&lt;=MAX($B$9,$Q$8)))))</f>
        <v/>
      </c>
      <c r="AE121">
        <f>IF(AB121,COUNTIF(AB$13:AB121,TRUE),"")</f>
        <v/>
      </c>
      <c r="AF121">
        <f>IF(AC121,COUNTIF(AC$13:AC121,TRUE),"")</f>
        <v/>
      </c>
      <c r="AG121">
        <f>IF(AD121,COUNTIF(AD$13:AD121,TRUE),"")</f>
        <v/>
      </c>
      <c r="AI121">
        <f>IFERROR(INDEX($P$13:$P$162,MATCH(109,$AE$13:$AE$162,0)),"")</f>
        <v/>
      </c>
      <c r="AJ121">
        <f>IFERROR(INDEX(S$13:S$162,MATCH(109,$AE$13:$AE$162,0)),0)*$T$6</f>
        <v/>
      </c>
      <c r="AK121">
        <f>IFERROR(INDEX(T$13:T$162,MATCH(109,$AE$13:$AE$162,0)),0)*$T$6</f>
        <v/>
      </c>
      <c r="AL121">
        <f>IFERROR(INDEX(U$13:U$162,MATCH(109,$AE$13:$AE$162,0)),0)*$T$6</f>
        <v/>
      </c>
      <c r="AM121">
        <f>IFERROR(INDEX(V$13:V$162,MATCH(109,$AE$13:$AE$162,0)),0)*$T$6</f>
        <v/>
      </c>
      <c r="AN121">
        <f>IFERROR(INDEX(W$13:W$162,MATCH(109,$AE$13:$AE$162,0)),0)*$T$6</f>
        <v/>
      </c>
      <c r="AO121">
        <f>IFERROR(INDEX(X$13:X$162,MATCH(109,$AE$13:$AE$162,0)),0)*$T$6</f>
        <v/>
      </c>
      <c r="AP121">
        <f>IFERROR(INDEX(Y$13:Y$162,MATCH(109,$AE$13:$AE$162,0)),0)*$T$6</f>
        <v/>
      </c>
      <c r="AQ121">
        <f>IFERROR(INDEX(Z$13:Z$162,MATCH(109,$AE$13:$AE$162,0)),0)*$T$6</f>
        <v/>
      </c>
      <c r="AR121">
        <f>IFERROR(INDEX(AA$13:AA$162,MATCH(109,$AE$13:$AE$162,0)),0)*$T$6</f>
        <v/>
      </c>
      <c r="AS121">
        <f>IFERROR(INDEX($P$13:$P$162,MATCH(109,$AF$13:$AF$162,0)),"")</f>
        <v/>
      </c>
      <c r="AT121">
        <f>IFERROR(INDEX(S$13:S$162,MATCH(109,$AF$13:$AF$162,0)),0)*$T$7</f>
        <v/>
      </c>
      <c r="AU121">
        <f>IFERROR(INDEX(T$13:T$162,MATCH(109,$AF$13:$AF$162,0)),0)*$T$7</f>
        <v/>
      </c>
      <c r="AV121">
        <f>IFERROR(INDEX(U$13:U$162,MATCH(109,$AF$13:$AF$162,0)),0)*$T$7</f>
        <v/>
      </c>
      <c r="AW121">
        <f>IFERROR(INDEX(V$13:V$162,MATCH(109,$AF$13:$AF$162,0)),0)*$T$7</f>
        <v/>
      </c>
      <c r="AX121">
        <f>IFERROR(INDEX(W$13:W$162,MATCH(109,$AF$13:$AF$162,0)),0)*$T$7</f>
        <v/>
      </c>
      <c r="AY121">
        <f>IFERROR(INDEX(X$13:X$162,MATCH(109,$AF$13:$AF$162,0)),0)*$T$7</f>
        <v/>
      </c>
      <c r="AZ121">
        <f>IFERROR(INDEX(Y$13:Y$162,MATCH(109,$AF$13:$AF$162,0)),0)*$T$7</f>
        <v/>
      </c>
      <c r="BA121">
        <f>IFERROR(INDEX(Z$13:Z$162,MATCH(109,$AF$13:$AF$162,0)),0)*$T$7</f>
        <v/>
      </c>
      <c r="BB121">
        <f>IFERROR(INDEX(AA$13:AA$162,MATCH(109,$AF$13:$AF$162,0)),0)*$T$7</f>
        <v/>
      </c>
      <c r="BC121">
        <f>IFERROR(INDEX($P$13:$P$162,MATCH(109,$AG$13:$AG$162,0)),"")</f>
        <v/>
      </c>
      <c r="BD121">
        <f>IFERROR(INDEX(S$13:S$162,MATCH(109,$AG$13:$AG$162,0)),0)*($T$8+IF($C$10="",$T$9,0))</f>
        <v/>
      </c>
      <c r="BE121">
        <f>IFERROR(INDEX(T$13:T$162,MATCH(109,$AG$13:$AG$162,0)),0)*($T$8+IF($C$10="",$T$9,0))</f>
        <v/>
      </c>
      <c r="BF121">
        <f>IFERROR(INDEX(U$13:U$162,MATCH(109,$AG$13:$AG$162,0)),0)*($T$8+IF($C$10="",$T$9,0))</f>
        <v/>
      </c>
      <c r="BG121">
        <f>IFERROR(INDEX(V$13:V$162,MATCH(109,$AG$13:$AG$162,0)),0)*($T$8+IF($C$10="",$T$9,0))</f>
        <v/>
      </c>
      <c r="BH121">
        <f>IFERROR(INDEX(W$13:W$162,MATCH(109,$AG$13:$AG$162,0)),0)*($T$8+IF($C$10="",$T$9,0))</f>
        <v/>
      </c>
      <c r="BI121">
        <f>IFERROR(INDEX(X$13:X$162,MATCH(109,$AG$13:$AG$162,0)),0)*($T$8+IF($C$10="",$T$9,0))</f>
        <v/>
      </c>
      <c r="BJ121">
        <f>IFERROR(INDEX(Y$13:Y$162,MATCH(109,$AG$13:$AG$162,0)),0)*($T$8+IF($C$10="",$T$9,0))</f>
        <v/>
      </c>
      <c r="BK121">
        <f>IFERROR(INDEX(Z$13:Z$162,MATCH(109,$AG$13:$AG$162,0)),0)*($T$8+IF($C$10="",$T$9,0))</f>
        <v/>
      </c>
      <c r="BL121">
        <f>IFERROR(INDEX(AA$13:AA$162,MATCH(109,$AG$13:$AG$162,0)),0)*($T$8+IF($C$10="",$T$9,0))</f>
        <v/>
      </c>
      <c r="BN121">
        <f>IF(108&lt;$U$9,INT(108/($U$7*$U$8))+1,1)</f>
        <v/>
      </c>
      <c r="BO121">
        <f>IF(108&lt;$U$9,MOD(INT(108/$U$8),$U$7)+1,1)</f>
        <v/>
      </c>
      <c r="BP121">
        <f>IF(108&lt;$U$9,MOD(108,$U$8)+1,1)</f>
        <v/>
      </c>
      <c r="BQ121">
        <f>IF(108&lt;$U$9,SUMPRODUCT(($D$10:$L$10&lt;&gt;"")*(($D$9:$L$9+INT(($S$12:$AA$12+INDEX($AJ$13:$AR$162,BN121,0)+INDEX($AT$13:$BB$162,BO121,0)+INDEX($BD$13:$BL$162,BP121,0))/100))&gt;=$D$10:$L$10)),0)</f>
        <v/>
      </c>
      <c r="BR121">
        <f>IF(108&lt;$U$9,SUMPRODUCT(($D$10:$L$10&lt;&gt;"")*(($D$10:$L$10-($D$9:$L$9+INT(($S$12:$AA$12+INDEX($AJ$13:$AR$162,BN121,0)+INDEX($AT$13:$BB$162,BO121,0)+INDEX($BD$13:$BL$162,BP121,0))/100)))&gt;0)*($D$10:$L$10-($D$9:$L$9+INT(($S$12:$AA$12+INDEX($AJ$13:$AR$162,BN121,0)+INDEX($AT$13:$BB$162,BO121,0)+INDEX($BD$13:$BL$162,BP121,0))/100)))),0)</f>
        <v/>
      </c>
      <c r="BS121">
        <f>IF(108&lt;$U$9,SUMPRODUCT(($D$9:$L$9+INT(($S$12:$AA$12+INDEX($AJ$13:$AR$162,BN121,0)+INDEX($AT$13:$BB$162,BO121,0)+INDEX($BD$13:$BL$162,BP121,0))/100))),0)</f>
        <v/>
      </c>
      <c r="BT121">
        <f>IF(AND(108&lt;$U$9,$W$5),BQ121*1000000-MIN(BR121,999)*1000+BS121-108/100000,-1000000000-108)</f>
        <v/>
      </c>
      <c r="CF121">
        <f>IF($A121="","",IFERROR(MATCH($C121,'职业'!$C$3:$C$152,0),0))</f>
        <v/>
      </c>
      <c r="CG121">
        <f>IF($A121="","",CG120+MAX(0,D$7+IF($CF120=0,0,IFERROR(INDEX('职业'!F$3:F$152,$CF120)+0,0))))</f>
        <v/>
      </c>
      <c r="CH121">
        <f>IF($A121="","",CH120+MAX(0,E$7+IF($CF120=0,0,IFERROR(INDEX('职业'!G$3:G$152,$CF120)+0,0))))</f>
        <v/>
      </c>
      <c r="CI121">
        <f>IF($A121="","",CI120+MAX(0,F$7+IF($CF120=0,0,IFERROR(INDEX('职业'!H$3:H$152,$CF120)+0,0))))</f>
        <v/>
      </c>
      <c r="CJ121">
        <f>IF($A121="","",CJ120+MAX(0,G$7+IF($CF120=0,0,IFERROR(INDEX('职业'!I$3:I$152,$CF120)+0,0))))</f>
        <v/>
      </c>
      <c r="CK121">
        <f>IF($A121="","",CK120+MAX(0,H$7+IF($CF120=0,0,IFERROR(INDEX('职业'!J$3:J$152,$CF120)+0,0))))</f>
        <v/>
      </c>
      <c r="CL121">
        <f>IF($A121="","",CL120+MAX(0,I$7+IF($CF120=0,0,IFERROR(INDEX('职业'!K$3:K$152,$CF120)+0,0))))</f>
        <v/>
      </c>
      <c r="CM121">
        <f>IF($A121="","",CM120+MAX(0,J$7+IF($CF120=0,0,IFERROR(INDEX('职业'!L$3:L$152,$CF120)+0,0))))</f>
        <v/>
      </c>
      <c r="CN121">
        <f>IF($A121="","",CN120+MAX(0,K$7+IF($CF120=0,0,IFERROR(INDEX('职业'!M$3:M$152,$CF120)+0,0))))</f>
        <v/>
      </c>
      <c r="CO121">
        <f>IF($A121="","",CO120+MAX(0,L$7+IF($CF120=0,0,IFERROR(INDEX('职业'!N$3:N$152,$CF120)+0,0))))</f>
        <v/>
      </c>
    </row>
    <row r="122">
      <c r="A122" s="15">
        <f>IF(OR($B$9="",$B$10=""),"",IF($B$9+70&lt;=$B$10,$B$9+70,""))</f>
        <v/>
      </c>
      <c r="B122" s="15">
        <f>IF($A122="","",MATCH($A122,$BV$27:$BV$32,1))</f>
        <v/>
      </c>
      <c r="C122" s="15">
        <f>IF($A122="","",INDEX($BW$27:$BW$32,$B122))</f>
        <v/>
      </c>
      <c r="D122" s="15">
        <f>IF($A122="","",D$9+INT(($B$14+CG122)/100))</f>
        <v/>
      </c>
      <c r="E122" s="15">
        <f>IF($A122="","",E$9+INT(($B$14+CH122)/100))</f>
        <v/>
      </c>
      <c r="F122" s="15">
        <f>IF($A122="","",F$9+INT(($B$14+CI122)/100))</f>
        <v/>
      </c>
      <c r="G122" s="15">
        <f>IF($A122="","",G$9+INT(($B$14+CJ122)/100))</f>
        <v/>
      </c>
      <c r="H122" s="15">
        <f>IF($A122="","",H$9+INT(($B$14+CK122)/100))</f>
        <v/>
      </c>
      <c r="I122" s="15">
        <f>IF($A122="","",I$9+INT(($B$14+CL122)/100))</f>
        <v/>
      </c>
      <c r="J122" s="15">
        <f>IF($A122="","",J$9+INT(($B$14+CM122)/100))</f>
        <v/>
      </c>
      <c r="K122" s="15">
        <f>IF($A122="","",K$9+INT(($B$14+CN122)/100))</f>
        <v/>
      </c>
      <c r="L122" s="15">
        <f>IF($A122="","",L$9+INT(($B$14+CO122)/100))</f>
        <v/>
      </c>
      <c r="M122" s="16">
        <f>IF($A122="","",IF($C122&lt;&gt;$C121,"★ 转职 → 【"&amp;$C122&amp;"】","")&amp;IF($A122=$B$10,"（目标等级）",""))</f>
        <v/>
      </c>
      <c r="P122">
        <f>IF('职业'!$C112="","",'职业'!$C112)</f>
        <v/>
      </c>
      <c r="Q122">
        <f>N('职业'!$D112)</f>
        <v/>
      </c>
      <c r="R122">
        <f>'职业'!$E112&amp;""</f>
        <v/>
      </c>
      <c r="S122">
        <f>IF($P122="",0,MAX(0,D$7+N('职业'!F112)))</f>
        <v/>
      </c>
      <c r="T122">
        <f>IF($P122="",0,MAX(0,E$7+N('职业'!G112)))</f>
        <v/>
      </c>
      <c r="U122">
        <f>IF($P122="",0,MAX(0,F$7+N('职业'!H112)))</f>
        <v/>
      </c>
      <c r="V122">
        <f>IF($P122="",0,MAX(0,G$7+N('职业'!I112)))</f>
        <v/>
      </c>
      <c r="W122">
        <f>IF($P122="",0,MAX(0,H$7+N('职业'!J112)))</f>
        <v/>
      </c>
      <c r="X122">
        <f>IF($P122="",0,MAX(0,I$7+N('职业'!K112)))</f>
        <v/>
      </c>
      <c r="Y122">
        <f>IF($P122="",0,MAX(0,J$7+N('职业'!L112)))</f>
        <v/>
      </c>
      <c r="Z122">
        <f>IF($P122="",0,MAX(0,K$7+N('职业'!M112)))</f>
        <v/>
      </c>
      <c r="AA122">
        <f>IF($P122="",0,MAX(0,L$7+N('职业'!N112)))</f>
        <v/>
      </c>
      <c r="AB122">
        <f>AND($P122&lt;&gt;"",IF($U$5=1,$P122=$C$10,OR($P122=$C$9,AND($R122="是",$Q122&lt;=MAX($B$9,$Q$6)))))</f>
        <v/>
      </c>
      <c r="AC122">
        <f>AND($P122&lt;&gt;"",IF($U$5=2,$P122=$C$10,OR($P122=$C$9,AND($R122="是",$Q122&lt;=MAX($B$9,$Q$7)))))</f>
        <v/>
      </c>
      <c r="AD122">
        <f>AND($P122&lt;&gt;"",IF($U$5=3,$P122=$C$10,OR($P122=$C$9,AND($R122="是",$Q122&lt;=MAX($B$9,$Q$8)))))</f>
        <v/>
      </c>
      <c r="AE122">
        <f>IF(AB122,COUNTIF(AB$13:AB122,TRUE),"")</f>
        <v/>
      </c>
      <c r="AF122">
        <f>IF(AC122,COUNTIF(AC$13:AC122,TRUE),"")</f>
        <v/>
      </c>
      <c r="AG122">
        <f>IF(AD122,COUNTIF(AD$13:AD122,TRUE),"")</f>
        <v/>
      </c>
      <c r="AI122">
        <f>IFERROR(INDEX($P$13:$P$162,MATCH(110,$AE$13:$AE$162,0)),"")</f>
        <v/>
      </c>
      <c r="AJ122">
        <f>IFERROR(INDEX(S$13:S$162,MATCH(110,$AE$13:$AE$162,0)),0)*$T$6</f>
        <v/>
      </c>
      <c r="AK122">
        <f>IFERROR(INDEX(T$13:T$162,MATCH(110,$AE$13:$AE$162,0)),0)*$T$6</f>
        <v/>
      </c>
      <c r="AL122">
        <f>IFERROR(INDEX(U$13:U$162,MATCH(110,$AE$13:$AE$162,0)),0)*$T$6</f>
        <v/>
      </c>
      <c r="AM122">
        <f>IFERROR(INDEX(V$13:V$162,MATCH(110,$AE$13:$AE$162,0)),0)*$T$6</f>
        <v/>
      </c>
      <c r="AN122">
        <f>IFERROR(INDEX(W$13:W$162,MATCH(110,$AE$13:$AE$162,0)),0)*$T$6</f>
        <v/>
      </c>
      <c r="AO122">
        <f>IFERROR(INDEX(X$13:X$162,MATCH(110,$AE$13:$AE$162,0)),0)*$T$6</f>
        <v/>
      </c>
      <c r="AP122">
        <f>IFERROR(INDEX(Y$13:Y$162,MATCH(110,$AE$13:$AE$162,0)),0)*$T$6</f>
        <v/>
      </c>
      <c r="AQ122">
        <f>IFERROR(INDEX(Z$13:Z$162,MATCH(110,$AE$13:$AE$162,0)),0)*$T$6</f>
        <v/>
      </c>
      <c r="AR122">
        <f>IFERROR(INDEX(AA$13:AA$162,MATCH(110,$AE$13:$AE$162,0)),0)*$T$6</f>
        <v/>
      </c>
      <c r="AS122">
        <f>IFERROR(INDEX($P$13:$P$162,MATCH(110,$AF$13:$AF$162,0)),"")</f>
        <v/>
      </c>
      <c r="AT122">
        <f>IFERROR(INDEX(S$13:S$162,MATCH(110,$AF$13:$AF$162,0)),0)*$T$7</f>
        <v/>
      </c>
      <c r="AU122">
        <f>IFERROR(INDEX(T$13:T$162,MATCH(110,$AF$13:$AF$162,0)),0)*$T$7</f>
        <v/>
      </c>
      <c r="AV122">
        <f>IFERROR(INDEX(U$13:U$162,MATCH(110,$AF$13:$AF$162,0)),0)*$T$7</f>
        <v/>
      </c>
      <c r="AW122">
        <f>IFERROR(INDEX(V$13:V$162,MATCH(110,$AF$13:$AF$162,0)),0)*$T$7</f>
        <v/>
      </c>
      <c r="AX122">
        <f>IFERROR(INDEX(W$13:W$162,MATCH(110,$AF$13:$AF$162,0)),0)*$T$7</f>
        <v/>
      </c>
      <c r="AY122">
        <f>IFERROR(INDEX(X$13:X$162,MATCH(110,$AF$13:$AF$162,0)),0)*$T$7</f>
        <v/>
      </c>
      <c r="AZ122">
        <f>IFERROR(INDEX(Y$13:Y$162,MATCH(110,$AF$13:$AF$162,0)),0)*$T$7</f>
        <v/>
      </c>
      <c r="BA122">
        <f>IFERROR(INDEX(Z$13:Z$162,MATCH(110,$AF$13:$AF$162,0)),0)*$T$7</f>
        <v/>
      </c>
      <c r="BB122">
        <f>IFERROR(INDEX(AA$13:AA$162,MATCH(110,$AF$13:$AF$162,0)),0)*$T$7</f>
        <v/>
      </c>
      <c r="BC122">
        <f>IFERROR(INDEX($P$13:$P$162,MATCH(110,$AG$13:$AG$162,0)),"")</f>
        <v/>
      </c>
      <c r="BD122">
        <f>IFERROR(INDEX(S$13:S$162,MATCH(110,$AG$13:$AG$162,0)),0)*($T$8+IF($C$10="",$T$9,0))</f>
        <v/>
      </c>
      <c r="BE122">
        <f>IFERROR(INDEX(T$13:T$162,MATCH(110,$AG$13:$AG$162,0)),0)*($T$8+IF($C$10="",$T$9,0))</f>
        <v/>
      </c>
      <c r="BF122">
        <f>IFERROR(INDEX(U$13:U$162,MATCH(110,$AG$13:$AG$162,0)),0)*($T$8+IF($C$10="",$T$9,0))</f>
        <v/>
      </c>
      <c r="BG122">
        <f>IFERROR(INDEX(V$13:V$162,MATCH(110,$AG$13:$AG$162,0)),0)*($T$8+IF($C$10="",$T$9,0))</f>
        <v/>
      </c>
      <c r="BH122">
        <f>IFERROR(INDEX(W$13:W$162,MATCH(110,$AG$13:$AG$162,0)),0)*($T$8+IF($C$10="",$T$9,0))</f>
        <v/>
      </c>
      <c r="BI122">
        <f>IFERROR(INDEX(X$13:X$162,MATCH(110,$AG$13:$AG$162,0)),0)*($T$8+IF($C$10="",$T$9,0))</f>
        <v/>
      </c>
      <c r="BJ122">
        <f>IFERROR(INDEX(Y$13:Y$162,MATCH(110,$AG$13:$AG$162,0)),0)*($T$8+IF($C$10="",$T$9,0))</f>
        <v/>
      </c>
      <c r="BK122">
        <f>IFERROR(INDEX(Z$13:Z$162,MATCH(110,$AG$13:$AG$162,0)),0)*($T$8+IF($C$10="",$T$9,0))</f>
        <v/>
      </c>
      <c r="BL122">
        <f>IFERROR(INDEX(AA$13:AA$162,MATCH(110,$AG$13:$AG$162,0)),0)*($T$8+IF($C$10="",$T$9,0))</f>
        <v/>
      </c>
      <c r="BN122">
        <f>IF(109&lt;$U$9,INT(109/($U$7*$U$8))+1,1)</f>
        <v/>
      </c>
      <c r="BO122">
        <f>IF(109&lt;$U$9,MOD(INT(109/$U$8),$U$7)+1,1)</f>
        <v/>
      </c>
      <c r="BP122">
        <f>IF(109&lt;$U$9,MOD(109,$U$8)+1,1)</f>
        <v/>
      </c>
      <c r="BQ122">
        <f>IF(109&lt;$U$9,SUMPRODUCT(($D$10:$L$10&lt;&gt;"")*(($D$9:$L$9+INT(($S$12:$AA$12+INDEX($AJ$13:$AR$162,BN122,0)+INDEX($AT$13:$BB$162,BO122,0)+INDEX($BD$13:$BL$162,BP122,0))/100))&gt;=$D$10:$L$10)),0)</f>
        <v/>
      </c>
      <c r="BR122">
        <f>IF(109&lt;$U$9,SUMPRODUCT(($D$10:$L$10&lt;&gt;"")*(($D$10:$L$10-($D$9:$L$9+INT(($S$12:$AA$12+INDEX($AJ$13:$AR$162,BN122,0)+INDEX($AT$13:$BB$162,BO122,0)+INDEX($BD$13:$BL$162,BP122,0))/100)))&gt;0)*($D$10:$L$10-($D$9:$L$9+INT(($S$12:$AA$12+INDEX($AJ$13:$AR$162,BN122,0)+INDEX($AT$13:$BB$162,BO122,0)+INDEX($BD$13:$BL$162,BP122,0))/100)))),0)</f>
        <v/>
      </c>
      <c r="BS122">
        <f>IF(109&lt;$U$9,SUMPRODUCT(($D$9:$L$9+INT(($S$12:$AA$12+INDEX($AJ$13:$AR$162,BN122,0)+INDEX($AT$13:$BB$162,BO122,0)+INDEX($BD$13:$BL$162,BP122,0))/100))),0)</f>
        <v/>
      </c>
      <c r="BT122">
        <f>IF(AND(109&lt;$U$9,$W$5),BQ122*1000000-MIN(BR122,999)*1000+BS122-109/100000,-1000000000-109)</f>
        <v/>
      </c>
      <c r="CF122">
        <f>IF($A122="","",IFERROR(MATCH($C122,'职业'!$C$3:$C$152,0),0))</f>
        <v/>
      </c>
      <c r="CG122">
        <f>IF($A122="","",CG121+MAX(0,D$7+IF($CF121=0,0,IFERROR(INDEX('职业'!F$3:F$152,$CF121)+0,0))))</f>
        <v/>
      </c>
      <c r="CH122">
        <f>IF($A122="","",CH121+MAX(0,E$7+IF($CF121=0,0,IFERROR(INDEX('职业'!G$3:G$152,$CF121)+0,0))))</f>
        <v/>
      </c>
      <c r="CI122">
        <f>IF($A122="","",CI121+MAX(0,F$7+IF($CF121=0,0,IFERROR(INDEX('职业'!H$3:H$152,$CF121)+0,0))))</f>
        <v/>
      </c>
      <c r="CJ122">
        <f>IF($A122="","",CJ121+MAX(0,G$7+IF($CF121=0,0,IFERROR(INDEX('职业'!I$3:I$152,$CF121)+0,0))))</f>
        <v/>
      </c>
      <c r="CK122">
        <f>IF($A122="","",CK121+MAX(0,H$7+IF($CF121=0,0,IFERROR(INDEX('职业'!J$3:J$152,$CF121)+0,0))))</f>
        <v/>
      </c>
      <c r="CL122">
        <f>IF($A122="","",CL121+MAX(0,I$7+IF($CF121=0,0,IFERROR(INDEX('职业'!K$3:K$152,$CF121)+0,0))))</f>
        <v/>
      </c>
      <c r="CM122">
        <f>IF($A122="","",CM121+MAX(0,J$7+IF($CF121=0,0,IFERROR(INDEX('职业'!L$3:L$152,$CF121)+0,0))))</f>
        <v/>
      </c>
      <c r="CN122">
        <f>IF($A122="","",CN121+MAX(0,K$7+IF($CF121=0,0,IFERROR(INDEX('职业'!M$3:M$152,$CF121)+0,0))))</f>
        <v/>
      </c>
      <c r="CO122">
        <f>IF($A122="","",CO121+MAX(0,L$7+IF($CF121=0,0,IFERROR(INDEX('职业'!N$3:N$152,$CF121)+0,0))))</f>
        <v/>
      </c>
    </row>
    <row r="123">
      <c r="A123" s="15">
        <f>IF(OR($B$9="",$B$10=""),"",IF($B$9+71&lt;=$B$10,$B$9+71,""))</f>
        <v/>
      </c>
      <c r="B123" s="15">
        <f>IF($A123="","",MATCH($A123,$BV$27:$BV$32,1))</f>
        <v/>
      </c>
      <c r="C123" s="15">
        <f>IF($A123="","",INDEX($BW$27:$BW$32,$B123))</f>
        <v/>
      </c>
      <c r="D123" s="15">
        <f>IF($A123="","",D$9+INT(($B$14+CG123)/100))</f>
        <v/>
      </c>
      <c r="E123" s="15">
        <f>IF($A123="","",E$9+INT(($B$14+CH123)/100))</f>
        <v/>
      </c>
      <c r="F123" s="15">
        <f>IF($A123="","",F$9+INT(($B$14+CI123)/100))</f>
        <v/>
      </c>
      <c r="G123" s="15">
        <f>IF($A123="","",G$9+INT(($B$14+CJ123)/100))</f>
        <v/>
      </c>
      <c r="H123" s="15">
        <f>IF($A123="","",H$9+INT(($B$14+CK123)/100))</f>
        <v/>
      </c>
      <c r="I123" s="15">
        <f>IF($A123="","",I$9+INT(($B$14+CL123)/100))</f>
        <v/>
      </c>
      <c r="J123" s="15">
        <f>IF($A123="","",J$9+INT(($B$14+CM123)/100))</f>
        <v/>
      </c>
      <c r="K123" s="15">
        <f>IF($A123="","",K$9+INT(($B$14+CN123)/100))</f>
        <v/>
      </c>
      <c r="L123" s="15">
        <f>IF($A123="","",L$9+INT(($B$14+CO123)/100))</f>
        <v/>
      </c>
      <c r="M123" s="16">
        <f>IF($A123="","",IF($C123&lt;&gt;$C122,"★ 转职 → 【"&amp;$C123&amp;"】","")&amp;IF($A123=$B$10,"（目标等级）",""))</f>
        <v/>
      </c>
      <c r="P123">
        <f>IF('职业'!$C113="","",'职业'!$C113)</f>
        <v/>
      </c>
      <c r="Q123">
        <f>N('职业'!$D113)</f>
        <v/>
      </c>
      <c r="R123">
        <f>'职业'!$E113&amp;""</f>
        <v/>
      </c>
      <c r="S123">
        <f>IF($P123="",0,MAX(0,D$7+N('职业'!F113)))</f>
        <v/>
      </c>
      <c r="T123">
        <f>IF($P123="",0,MAX(0,E$7+N('职业'!G113)))</f>
        <v/>
      </c>
      <c r="U123">
        <f>IF($P123="",0,MAX(0,F$7+N('职业'!H113)))</f>
        <v/>
      </c>
      <c r="V123">
        <f>IF($P123="",0,MAX(0,G$7+N('职业'!I113)))</f>
        <v/>
      </c>
      <c r="W123">
        <f>IF($P123="",0,MAX(0,H$7+N('职业'!J113)))</f>
        <v/>
      </c>
      <c r="X123">
        <f>IF($P123="",0,MAX(0,I$7+N('职业'!K113)))</f>
        <v/>
      </c>
      <c r="Y123">
        <f>IF($P123="",0,MAX(0,J$7+N('职业'!L113)))</f>
        <v/>
      </c>
      <c r="Z123">
        <f>IF($P123="",0,MAX(0,K$7+N('职业'!M113)))</f>
        <v/>
      </c>
      <c r="AA123">
        <f>IF($P123="",0,MAX(0,L$7+N('职业'!N113)))</f>
        <v/>
      </c>
      <c r="AB123">
        <f>AND($P123&lt;&gt;"",IF($U$5=1,$P123=$C$10,OR($P123=$C$9,AND($R123="是",$Q123&lt;=MAX($B$9,$Q$6)))))</f>
        <v/>
      </c>
      <c r="AC123">
        <f>AND($P123&lt;&gt;"",IF($U$5=2,$P123=$C$10,OR($P123=$C$9,AND($R123="是",$Q123&lt;=MAX($B$9,$Q$7)))))</f>
        <v/>
      </c>
      <c r="AD123">
        <f>AND($P123&lt;&gt;"",IF($U$5=3,$P123=$C$10,OR($P123=$C$9,AND($R123="是",$Q123&lt;=MAX($B$9,$Q$8)))))</f>
        <v/>
      </c>
      <c r="AE123">
        <f>IF(AB123,COUNTIF(AB$13:AB123,TRUE),"")</f>
        <v/>
      </c>
      <c r="AF123">
        <f>IF(AC123,COUNTIF(AC$13:AC123,TRUE),"")</f>
        <v/>
      </c>
      <c r="AG123">
        <f>IF(AD123,COUNTIF(AD$13:AD123,TRUE),"")</f>
        <v/>
      </c>
      <c r="AI123">
        <f>IFERROR(INDEX($P$13:$P$162,MATCH(111,$AE$13:$AE$162,0)),"")</f>
        <v/>
      </c>
      <c r="AJ123">
        <f>IFERROR(INDEX(S$13:S$162,MATCH(111,$AE$13:$AE$162,0)),0)*$T$6</f>
        <v/>
      </c>
      <c r="AK123">
        <f>IFERROR(INDEX(T$13:T$162,MATCH(111,$AE$13:$AE$162,0)),0)*$T$6</f>
        <v/>
      </c>
      <c r="AL123">
        <f>IFERROR(INDEX(U$13:U$162,MATCH(111,$AE$13:$AE$162,0)),0)*$T$6</f>
        <v/>
      </c>
      <c r="AM123">
        <f>IFERROR(INDEX(V$13:V$162,MATCH(111,$AE$13:$AE$162,0)),0)*$T$6</f>
        <v/>
      </c>
      <c r="AN123">
        <f>IFERROR(INDEX(W$13:W$162,MATCH(111,$AE$13:$AE$162,0)),0)*$T$6</f>
        <v/>
      </c>
      <c r="AO123">
        <f>IFERROR(INDEX(X$13:X$162,MATCH(111,$AE$13:$AE$162,0)),0)*$T$6</f>
        <v/>
      </c>
      <c r="AP123">
        <f>IFERROR(INDEX(Y$13:Y$162,MATCH(111,$AE$13:$AE$162,0)),0)*$T$6</f>
        <v/>
      </c>
      <c r="AQ123">
        <f>IFERROR(INDEX(Z$13:Z$162,MATCH(111,$AE$13:$AE$162,0)),0)*$T$6</f>
        <v/>
      </c>
      <c r="AR123">
        <f>IFERROR(INDEX(AA$13:AA$162,MATCH(111,$AE$13:$AE$162,0)),0)*$T$6</f>
        <v/>
      </c>
      <c r="AS123">
        <f>IFERROR(INDEX($P$13:$P$162,MATCH(111,$AF$13:$AF$162,0)),"")</f>
        <v/>
      </c>
      <c r="AT123">
        <f>IFERROR(INDEX(S$13:S$162,MATCH(111,$AF$13:$AF$162,0)),0)*$T$7</f>
        <v/>
      </c>
      <c r="AU123">
        <f>IFERROR(INDEX(T$13:T$162,MATCH(111,$AF$13:$AF$162,0)),0)*$T$7</f>
        <v/>
      </c>
      <c r="AV123">
        <f>IFERROR(INDEX(U$13:U$162,MATCH(111,$AF$13:$AF$162,0)),0)*$T$7</f>
        <v/>
      </c>
      <c r="AW123">
        <f>IFERROR(INDEX(V$13:V$162,MATCH(111,$AF$13:$AF$162,0)),0)*$T$7</f>
        <v/>
      </c>
      <c r="AX123">
        <f>IFERROR(INDEX(W$13:W$162,MATCH(111,$AF$13:$AF$162,0)),0)*$T$7</f>
        <v/>
      </c>
      <c r="AY123">
        <f>IFERROR(INDEX(X$13:X$162,MATCH(111,$AF$13:$AF$162,0)),0)*$T$7</f>
        <v/>
      </c>
      <c r="AZ123">
        <f>IFERROR(INDEX(Y$13:Y$162,MATCH(111,$AF$13:$AF$162,0)),0)*$T$7</f>
        <v/>
      </c>
      <c r="BA123">
        <f>IFERROR(INDEX(Z$13:Z$162,MATCH(111,$AF$13:$AF$162,0)),0)*$T$7</f>
        <v/>
      </c>
      <c r="BB123">
        <f>IFERROR(INDEX(AA$13:AA$162,MATCH(111,$AF$13:$AF$162,0)),0)*$T$7</f>
        <v/>
      </c>
      <c r="BC123">
        <f>IFERROR(INDEX($P$13:$P$162,MATCH(111,$AG$13:$AG$162,0)),"")</f>
        <v/>
      </c>
      <c r="BD123">
        <f>IFERROR(INDEX(S$13:S$162,MATCH(111,$AG$13:$AG$162,0)),0)*($T$8+IF($C$10="",$T$9,0))</f>
        <v/>
      </c>
      <c r="BE123">
        <f>IFERROR(INDEX(T$13:T$162,MATCH(111,$AG$13:$AG$162,0)),0)*($T$8+IF($C$10="",$T$9,0))</f>
        <v/>
      </c>
      <c r="BF123">
        <f>IFERROR(INDEX(U$13:U$162,MATCH(111,$AG$13:$AG$162,0)),0)*($T$8+IF($C$10="",$T$9,0))</f>
        <v/>
      </c>
      <c r="BG123">
        <f>IFERROR(INDEX(V$13:V$162,MATCH(111,$AG$13:$AG$162,0)),0)*($T$8+IF($C$10="",$T$9,0))</f>
        <v/>
      </c>
      <c r="BH123">
        <f>IFERROR(INDEX(W$13:W$162,MATCH(111,$AG$13:$AG$162,0)),0)*($T$8+IF($C$10="",$T$9,0))</f>
        <v/>
      </c>
      <c r="BI123">
        <f>IFERROR(INDEX(X$13:X$162,MATCH(111,$AG$13:$AG$162,0)),0)*($T$8+IF($C$10="",$T$9,0))</f>
        <v/>
      </c>
      <c r="BJ123">
        <f>IFERROR(INDEX(Y$13:Y$162,MATCH(111,$AG$13:$AG$162,0)),0)*($T$8+IF($C$10="",$T$9,0))</f>
        <v/>
      </c>
      <c r="BK123">
        <f>IFERROR(INDEX(Z$13:Z$162,MATCH(111,$AG$13:$AG$162,0)),0)*($T$8+IF($C$10="",$T$9,0))</f>
        <v/>
      </c>
      <c r="BL123">
        <f>IFERROR(INDEX(AA$13:AA$162,MATCH(111,$AG$13:$AG$162,0)),0)*($T$8+IF($C$10="",$T$9,0))</f>
        <v/>
      </c>
      <c r="BN123">
        <f>IF(110&lt;$U$9,INT(110/($U$7*$U$8))+1,1)</f>
        <v/>
      </c>
      <c r="BO123">
        <f>IF(110&lt;$U$9,MOD(INT(110/$U$8),$U$7)+1,1)</f>
        <v/>
      </c>
      <c r="BP123">
        <f>IF(110&lt;$U$9,MOD(110,$U$8)+1,1)</f>
        <v/>
      </c>
      <c r="BQ123">
        <f>IF(110&lt;$U$9,SUMPRODUCT(($D$10:$L$10&lt;&gt;"")*(($D$9:$L$9+INT(($S$12:$AA$12+INDEX($AJ$13:$AR$162,BN123,0)+INDEX($AT$13:$BB$162,BO123,0)+INDEX($BD$13:$BL$162,BP123,0))/100))&gt;=$D$10:$L$10)),0)</f>
        <v/>
      </c>
      <c r="BR123">
        <f>IF(110&lt;$U$9,SUMPRODUCT(($D$10:$L$10&lt;&gt;"")*(($D$10:$L$10-($D$9:$L$9+INT(($S$12:$AA$12+INDEX($AJ$13:$AR$162,BN123,0)+INDEX($AT$13:$BB$162,BO123,0)+INDEX($BD$13:$BL$162,BP123,0))/100)))&gt;0)*($D$10:$L$10-($D$9:$L$9+INT(($S$12:$AA$12+INDEX($AJ$13:$AR$162,BN123,0)+INDEX($AT$13:$BB$162,BO123,0)+INDEX($BD$13:$BL$162,BP123,0))/100)))),0)</f>
        <v/>
      </c>
      <c r="BS123">
        <f>IF(110&lt;$U$9,SUMPRODUCT(($D$9:$L$9+INT(($S$12:$AA$12+INDEX($AJ$13:$AR$162,BN123,0)+INDEX($AT$13:$BB$162,BO123,0)+INDEX($BD$13:$BL$162,BP123,0))/100))),0)</f>
        <v/>
      </c>
      <c r="BT123">
        <f>IF(AND(110&lt;$U$9,$W$5),BQ123*1000000-MIN(BR123,999)*1000+BS123-110/100000,-1000000000-110)</f>
        <v/>
      </c>
      <c r="CF123">
        <f>IF($A123="","",IFERROR(MATCH($C123,'职业'!$C$3:$C$152,0),0))</f>
        <v/>
      </c>
      <c r="CG123">
        <f>IF($A123="","",CG122+MAX(0,D$7+IF($CF122=0,0,IFERROR(INDEX('职业'!F$3:F$152,$CF122)+0,0))))</f>
        <v/>
      </c>
      <c r="CH123">
        <f>IF($A123="","",CH122+MAX(0,E$7+IF($CF122=0,0,IFERROR(INDEX('职业'!G$3:G$152,$CF122)+0,0))))</f>
        <v/>
      </c>
      <c r="CI123">
        <f>IF($A123="","",CI122+MAX(0,F$7+IF($CF122=0,0,IFERROR(INDEX('职业'!H$3:H$152,$CF122)+0,0))))</f>
        <v/>
      </c>
      <c r="CJ123">
        <f>IF($A123="","",CJ122+MAX(0,G$7+IF($CF122=0,0,IFERROR(INDEX('职业'!I$3:I$152,$CF122)+0,0))))</f>
        <v/>
      </c>
      <c r="CK123">
        <f>IF($A123="","",CK122+MAX(0,H$7+IF($CF122=0,0,IFERROR(INDEX('职业'!J$3:J$152,$CF122)+0,0))))</f>
        <v/>
      </c>
      <c r="CL123">
        <f>IF($A123="","",CL122+MAX(0,I$7+IF($CF122=0,0,IFERROR(INDEX('职业'!K$3:K$152,$CF122)+0,0))))</f>
        <v/>
      </c>
      <c r="CM123">
        <f>IF($A123="","",CM122+MAX(0,J$7+IF($CF122=0,0,IFERROR(INDEX('职业'!L$3:L$152,$CF122)+0,0))))</f>
        <v/>
      </c>
      <c r="CN123">
        <f>IF($A123="","",CN122+MAX(0,K$7+IF($CF122=0,0,IFERROR(INDEX('职业'!M$3:M$152,$CF122)+0,0))))</f>
        <v/>
      </c>
      <c r="CO123">
        <f>IF($A123="","",CO122+MAX(0,L$7+IF($CF122=0,0,IFERROR(INDEX('职业'!N$3:N$152,$CF122)+0,0))))</f>
        <v/>
      </c>
    </row>
    <row r="124">
      <c r="A124" s="15">
        <f>IF(OR($B$9="",$B$10=""),"",IF($B$9+72&lt;=$B$10,$B$9+72,""))</f>
        <v/>
      </c>
      <c r="B124" s="15">
        <f>IF($A124="","",MATCH($A124,$BV$27:$BV$32,1))</f>
        <v/>
      </c>
      <c r="C124" s="15">
        <f>IF($A124="","",INDEX($BW$27:$BW$32,$B124))</f>
        <v/>
      </c>
      <c r="D124" s="15">
        <f>IF($A124="","",D$9+INT(($B$14+CG124)/100))</f>
        <v/>
      </c>
      <c r="E124" s="15">
        <f>IF($A124="","",E$9+INT(($B$14+CH124)/100))</f>
        <v/>
      </c>
      <c r="F124" s="15">
        <f>IF($A124="","",F$9+INT(($B$14+CI124)/100))</f>
        <v/>
      </c>
      <c r="G124" s="15">
        <f>IF($A124="","",G$9+INT(($B$14+CJ124)/100))</f>
        <v/>
      </c>
      <c r="H124" s="15">
        <f>IF($A124="","",H$9+INT(($B$14+CK124)/100))</f>
        <v/>
      </c>
      <c r="I124" s="15">
        <f>IF($A124="","",I$9+INT(($B$14+CL124)/100))</f>
        <v/>
      </c>
      <c r="J124" s="15">
        <f>IF($A124="","",J$9+INT(($B$14+CM124)/100))</f>
        <v/>
      </c>
      <c r="K124" s="15">
        <f>IF($A124="","",K$9+INT(($B$14+CN124)/100))</f>
        <v/>
      </c>
      <c r="L124" s="15">
        <f>IF($A124="","",L$9+INT(($B$14+CO124)/100))</f>
        <v/>
      </c>
      <c r="M124" s="16">
        <f>IF($A124="","",IF($C124&lt;&gt;$C123,"★ 转职 → 【"&amp;$C124&amp;"】","")&amp;IF($A124=$B$10,"（目标等级）",""))</f>
        <v/>
      </c>
      <c r="P124">
        <f>IF('职业'!$C114="","",'职业'!$C114)</f>
        <v/>
      </c>
      <c r="Q124">
        <f>N('职业'!$D114)</f>
        <v/>
      </c>
      <c r="R124">
        <f>'职业'!$E114&amp;""</f>
        <v/>
      </c>
      <c r="S124">
        <f>IF($P124="",0,MAX(0,D$7+N('职业'!F114)))</f>
        <v/>
      </c>
      <c r="T124">
        <f>IF($P124="",0,MAX(0,E$7+N('职业'!G114)))</f>
        <v/>
      </c>
      <c r="U124">
        <f>IF($P124="",0,MAX(0,F$7+N('职业'!H114)))</f>
        <v/>
      </c>
      <c r="V124">
        <f>IF($P124="",0,MAX(0,G$7+N('职业'!I114)))</f>
        <v/>
      </c>
      <c r="W124">
        <f>IF($P124="",0,MAX(0,H$7+N('职业'!J114)))</f>
        <v/>
      </c>
      <c r="X124">
        <f>IF($P124="",0,MAX(0,I$7+N('职业'!K114)))</f>
        <v/>
      </c>
      <c r="Y124">
        <f>IF($P124="",0,MAX(0,J$7+N('职业'!L114)))</f>
        <v/>
      </c>
      <c r="Z124">
        <f>IF($P124="",0,MAX(0,K$7+N('职业'!M114)))</f>
        <v/>
      </c>
      <c r="AA124">
        <f>IF($P124="",0,MAX(0,L$7+N('职业'!N114)))</f>
        <v/>
      </c>
      <c r="AB124">
        <f>AND($P124&lt;&gt;"",IF($U$5=1,$P124=$C$10,OR($P124=$C$9,AND($R124="是",$Q124&lt;=MAX($B$9,$Q$6)))))</f>
        <v/>
      </c>
      <c r="AC124">
        <f>AND($P124&lt;&gt;"",IF($U$5=2,$P124=$C$10,OR($P124=$C$9,AND($R124="是",$Q124&lt;=MAX($B$9,$Q$7)))))</f>
        <v/>
      </c>
      <c r="AD124">
        <f>AND($P124&lt;&gt;"",IF($U$5=3,$P124=$C$10,OR($P124=$C$9,AND($R124="是",$Q124&lt;=MAX($B$9,$Q$8)))))</f>
        <v/>
      </c>
      <c r="AE124">
        <f>IF(AB124,COUNTIF(AB$13:AB124,TRUE),"")</f>
        <v/>
      </c>
      <c r="AF124">
        <f>IF(AC124,COUNTIF(AC$13:AC124,TRUE),"")</f>
        <v/>
      </c>
      <c r="AG124">
        <f>IF(AD124,COUNTIF(AD$13:AD124,TRUE),"")</f>
        <v/>
      </c>
      <c r="AI124">
        <f>IFERROR(INDEX($P$13:$P$162,MATCH(112,$AE$13:$AE$162,0)),"")</f>
        <v/>
      </c>
      <c r="AJ124">
        <f>IFERROR(INDEX(S$13:S$162,MATCH(112,$AE$13:$AE$162,0)),0)*$T$6</f>
        <v/>
      </c>
      <c r="AK124">
        <f>IFERROR(INDEX(T$13:T$162,MATCH(112,$AE$13:$AE$162,0)),0)*$T$6</f>
        <v/>
      </c>
      <c r="AL124">
        <f>IFERROR(INDEX(U$13:U$162,MATCH(112,$AE$13:$AE$162,0)),0)*$T$6</f>
        <v/>
      </c>
      <c r="AM124">
        <f>IFERROR(INDEX(V$13:V$162,MATCH(112,$AE$13:$AE$162,0)),0)*$T$6</f>
        <v/>
      </c>
      <c r="AN124">
        <f>IFERROR(INDEX(W$13:W$162,MATCH(112,$AE$13:$AE$162,0)),0)*$T$6</f>
        <v/>
      </c>
      <c r="AO124">
        <f>IFERROR(INDEX(X$13:X$162,MATCH(112,$AE$13:$AE$162,0)),0)*$T$6</f>
        <v/>
      </c>
      <c r="AP124">
        <f>IFERROR(INDEX(Y$13:Y$162,MATCH(112,$AE$13:$AE$162,0)),0)*$T$6</f>
        <v/>
      </c>
      <c r="AQ124">
        <f>IFERROR(INDEX(Z$13:Z$162,MATCH(112,$AE$13:$AE$162,0)),0)*$T$6</f>
        <v/>
      </c>
      <c r="AR124">
        <f>IFERROR(INDEX(AA$13:AA$162,MATCH(112,$AE$13:$AE$162,0)),0)*$T$6</f>
        <v/>
      </c>
      <c r="AS124">
        <f>IFERROR(INDEX($P$13:$P$162,MATCH(112,$AF$13:$AF$162,0)),"")</f>
        <v/>
      </c>
      <c r="AT124">
        <f>IFERROR(INDEX(S$13:S$162,MATCH(112,$AF$13:$AF$162,0)),0)*$T$7</f>
        <v/>
      </c>
      <c r="AU124">
        <f>IFERROR(INDEX(T$13:T$162,MATCH(112,$AF$13:$AF$162,0)),0)*$T$7</f>
        <v/>
      </c>
      <c r="AV124">
        <f>IFERROR(INDEX(U$13:U$162,MATCH(112,$AF$13:$AF$162,0)),0)*$T$7</f>
        <v/>
      </c>
      <c r="AW124">
        <f>IFERROR(INDEX(V$13:V$162,MATCH(112,$AF$13:$AF$162,0)),0)*$T$7</f>
        <v/>
      </c>
      <c r="AX124">
        <f>IFERROR(INDEX(W$13:W$162,MATCH(112,$AF$13:$AF$162,0)),0)*$T$7</f>
        <v/>
      </c>
      <c r="AY124">
        <f>IFERROR(INDEX(X$13:X$162,MATCH(112,$AF$13:$AF$162,0)),0)*$T$7</f>
        <v/>
      </c>
      <c r="AZ124">
        <f>IFERROR(INDEX(Y$13:Y$162,MATCH(112,$AF$13:$AF$162,0)),0)*$T$7</f>
        <v/>
      </c>
      <c r="BA124">
        <f>IFERROR(INDEX(Z$13:Z$162,MATCH(112,$AF$13:$AF$162,0)),0)*$T$7</f>
        <v/>
      </c>
      <c r="BB124">
        <f>IFERROR(INDEX(AA$13:AA$162,MATCH(112,$AF$13:$AF$162,0)),0)*$T$7</f>
        <v/>
      </c>
      <c r="BC124">
        <f>IFERROR(INDEX($P$13:$P$162,MATCH(112,$AG$13:$AG$162,0)),"")</f>
        <v/>
      </c>
      <c r="BD124">
        <f>IFERROR(INDEX(S$13:S$162,MATCH(112,$AG$13:$AG$162,0)),0)*($T$8+IF($C$10="",$T$9,0))</f>
        <v/>
      </c>
      <c r="BE124">
        <f>IFERROR(INDEX(T$13:T$162,MATCH(112,$AG$13:$AG$162,0)),0)*($T$8+IF($C$10="",$T$9,0))</f>
        <v/>
      </c>
      <c r="BF124">
        <f>IFERROR(INDEX(U$13:U$162,MATCH(112,$AG$13:$AG$162,0)),0)*($T$8+IF($C$10="",$T$9,0))</f>
        <v/>
      </c>
      <c r="BG124">
        <f>IFERROR(INDEX(V$13:V$162,MATCH(112,$AG$13:$AG$162,0)),0)*($T$8+IF($C$10="",$T$9,0))</f>
        <v/>
      </c>
      <c r="BH124">
        <f>IFERROR(INDEX(W$13:W$162,MATCH(112,$AG$13:$AG$162,0)),0)*($T$8+IF($C$10="",$T$9,0))</f>
        <v/>
      </c>
      <c r="BI124">
        <f>IFERROR(INDEX(X$13:X$162,MATCH(112,$AG$13:$AG$162,0)),0)*($T$8+IF($C$10="",$T$9,0))</f>
        <v/>
      </c>
      <c r="BJ124">
        <f>IFERROR(INDEX(Y$13:Y$162,MATCH(112,$AG$13:$AG$162,0)),0)*($T$8+IF($C$10="",$T$9,0))</f>
        <v/>
      </c>
      <c r="BK124">
        <f>IFERROR(INDEX(Z$13:Z$162,MATCH(112,$AG$13:$AG$162,0)),0)*($T$8+IF($C$10="",$T$9,0))</f>
        <v/>
      </c>
      <c r="BL124">
        <f>IFERROR(INDEX(AA$13:AA$162,MATCH(112,$AG$13:$AG$162,0)),0)*($T$8+IF($C$10="",$T$9,0))</f>
        <v/>
      </c>
      <c r="BN124">
        <f>IF(111&lt;$U$9,INT(111/($U$7*$U$8))+1,1)</f>
        <v/>
      </c>
      <c r="BO124">
        <f>IF(111&lt;$U$9,MOD(INT(111/$U$8),$U$7)+1,1)</f>
        <v/>
      </c>
      <c r="BP124">
        <f>IF(111&lt;$U$9,MOD(111,$U$8)+1,1)</f>
        <v/>
      </c>
      <c r="BQ124">
        <f>IF(111&lt;$U$9,SUMPRODUCT(($D$10:$L$10&lt;&gt;"")*(($D$9:$L$9+INT(($S$12:$AA$12+INDEX($AJ$13:$AR$162,BN124,0)+INDEX($AT$13:$BB$162,BO124,0)+INDEX($BD$13:$BL$162,BP124,0))/100))&gt;=$D$10:$L$10)),0)</f>
        <v/>
      </c>
      <c r="BR124">
        <f>IF(111&lt;$U$9,SUMPRODUCT(($D$10:$L$10&lt;&gt;"")*(($D$10:$L$10-($D$9:$L$9+INT(($S$12:$AA$12+INDEX($AJ$13:$AR$162,BN124,0)+INDEX($AT$13:$BB$162,BO124,0)+INDEX($BD$13:$BL$162,BP124,0))/100)))&gt;0)*($D$10:$L$10-($D$9:$L$9+INT(($S$12:$AA$12+INDEX($AJ$13:$AR$162,BN124,0)+INDEX($AT$13:$BB$162,BO124,0)+INDEX($BD$13:$BL$162,BP124,0))/100)))),0)</f>
        <v/>
      </c>
      <c r="BS124">
        <f>IF(111&lt;$U$9,SUMPRODUCT(($D$9:$L$9+INT(($S$12:$AA$12+INDEX($AJ$13:$AR$162,BN124,0)+INDEX($AT$13:$BB$162,BO124,0)+INDEX($BD$13:$BL$162,BP124,0))/100))),0)</f>
        <v/>
      </c>
      <c r="BT124">
        <f>IF(AND(111&lt;$U$9,$W$5),BQ124*1000000-MIN(BR124,999)*1000+BS124-111/100000,-1000000000-111)</f>
        <v/>
      </c>
      <c r="CF124">
        <f>IF($A124="","",IFERROR(MATCH($C124,'职业'!$C$3:$C$152,0),0))</f>
        <v/>
      </c>
      <c r="CG124">
        <f>IF($A124="","",CG123+MAX(0,D$7+IF($CF123=0,0,IFERROR(INDEX('职业'!F$3:F$152,$CF123)+0,0))))</f>
        <v/>
      </c>
      <c r="CH124">
        <f>IF($A124="","",CH123+MAX(0,E$7+IF($CF123=0,0,IFERROR(INDEX('职业'!G$3:G$152,$CF123)+0,0))))</f>
        <v/>
      </c>
      <c r="CI124">
        <f>IF($A124="","",CI123+MAX(0,F$7+IF($CF123=0,0,IFERROR(INDEX('职业'!H$3:H$152,$CF123)+0,0))))</f>
        <v/>
      </c>
      <c r="CJ124">
        <f>IF($A124="","",CJ123+MAX(0,G$7+IF($CF123=0,0,IFERROR(INDEX('职业'!I$3:I$152,$CF123)+0,0))))</f>
        <v/>
      </c>
      <c r="CK124">
        <f>IF($A124="","",CK123+MAX(0,H$7+IF($CF123=0,0,IFERROR(INDEX('职业'!J$3:J$152,$CF123)+0,0))))</f>
        <v/>
      </c>
      <c r="CL124">
        <f>IF($A124="","",CL123+MAX(0,I$7+IF($CF123=0,0,IFERROR(INDEX('职业'!K$3:K$152,$CF123)+0,0))))</f>
        <v/>
      </c>
      <c r="CM124">
        <f>IF($A124="","",CM123+MAX(0,J$7+IF($CF123=0,0,IFERROR(INDEX('职业'!L$3:L$152,$CF123)+0,0))))</f>
        <v/>
      </c>
      <c r="CN124">
        <f>IF($A124="","",CN123+MAX(0,K$7+IF($CF123=0,0,IFERROR(INDEX('职业'!M$3:M$152,$CF123)+0,0))))</f>
        <v/>
      </c>
      <c r="CO124">
        <f>IF($A124="","",CO123+MAX(0,L$7+IF($CF123=0,0,IFERROR(INDEX('职业'!N$3:N$152,$CF123)+0,0))))</f>
        <v/>
      </c>
    </row>
    <row r="125">
      <c r="A125" s="15">
        <f>IF(OR($B$9="",$B$10=""),"",IF($B$9+73&lt;=$B$10,$B$9+73,""))</f>
        <v/>
      </c>
      <c r="B125" s="15">
        <f>IF($A125="","",MATCH($A125,$BV$27:$BV$32,1))</f>
        <v/>
      </c>
      <c r="C125" s="15">
        <f>IF($A125="","",INDEX($BW$27:$BW$32,$B125))</f>
        <v/>
      </c>
      <c r="D125" s="15">
        <f>IF($A125="","",D$9+INT(($B$14+CG125)/100))</f>
        <v/>
      </c>
      <c r="E125" s="15">
        <f>IF($A125="","",E$9+INT(($B$14+CH125)/100))</f>
        <v/>
      </c>
      <c r="F125" s="15">
        <f>IF($A125="","",F$9+INT(($B$14+CI125)/100))</f>
        <v/>
      </c>
      <c r="G125" s="15">
        <f>IF($A125="","",G$9+INT(($B$14+CJ125)/100))</f>
        <v/>
      </c>
      <c r="H125" s="15">
        <f>IF($A125="","",H$9+INT(($B$14+CK125)/100))</f>
        <v/>
      </c>
      <c r="I125" s="15">
        <f>IF($A125="","",I$9+INT(($B$14+CL125)/100))</f>
        <v/>
      </c>
      <c r="J125" s="15">
        <f>IF($A125="","",J$9+INT(($B$14+CM125)/100))</f>
        <v/>
      </c>
      <c r="K125" s="15">
        <f>IF($A125="","",K$9+INT(($B$14+CN125)/100))</f>
        <v/>
      </c>
      <c r="L125" s="15">
        <f>IF($A125="","",L$9+INT(($B$14+CO125)/100))</f>
        <v/>
      </c>
      <c r="M125" s="16">
        <f>IF($A125="","",IF($C125&lt;&gt;$C124,"★ 转职 → 【"&amp;$C125&amp;"】","")&amp;IF($A125=$B$10,"（目标等级）",""))</f>
        <v/>
      </c>
      <c r="P125">
        <f>IF('职业'!$C115="","",'职业'!$C115)</f>
        <v/>
      </c>
      <c r="Q125">
        <f>N('职业'!$D115)</f>
        <v/>
      </c>
      <c r="R125">
        <f>'职业'!$E115&amp;""</f>
        <v/>
      </c>
      <c r="S125">
        <f>IF($P125="",0,MAX(0,D$7+N('职业'!F115)))</f>
        <v/>
      </c>
      <c r="T125">
        <f>IF($P125="",0,MAX(0,E$7+N('职业'!G115)))</f>
        <v/>
      </c>
      <c r="U125">
        <f>IF($P125="",0,MAX(0,F$7+N('职业'!H115)))</f>
        <v/>
      </c>
      <c r="V125">
        <f>IF($P125="",0,MAX(0,G$7+N('职业'!I115)))</f>
        <v/>
      </c>
      <c r="W125">
        <f>IF($P125="",0,MAX(0,H$7+N('职业'!J115)))</f>
        <v/>
      </c>
      <c r="X125">
        <f>IF($P125="",0,MAX(0,I$7+N('职业'!K115)))</f>
        <v/>
      </c>
      <c r="Y125">
        <f>IF($P125="",0,MAX(0,J$7+N('职业'!L115)))</f>
        <v/>
      </c>
      <c r="Z125">
        <f>IF($P125="",0,MAX(0,K$7+N('职业'!M115)))</f>
        <v/>
      </c>
      <c r="AA125">
        <f>IF($P125="",0,MAX(0,L$7+N('职业'!N115)))</f>
        <v/>
      </c>
      <c r="AB125">
        <f>AND($P125&lt;&gt;"",IF($U$5=1,$P125=$C$10,OR($P125=$C$9,AND($R125="是",$Q125&lt;=MAX($B$9,$Q$6)))))</f>
        <v/>
      </c>
      <c r="AC125">
        <f>AND($P125&lt;&gt;"",IF($U$5=2,$P125=$C$10,OR($P125=$C$9,AND($R125="是",$Q125&lt;=MAX($B$9,$Q$7)))))</f>
        <v/>
      </c>
      <c r="AD125">
        <f>AND($P125&lt;&gt;"",IF($U$5=3,$P125=$C$10,OR($P125=$C$9,AND($R125="是",$Q125&lt;=MAX($B$9,$Q$8)))))</f>
        <v/>
      </c>
      <c r="AE125">
        <f>IF(AB125,COUNTIF(AB$13:AB125,TRUE),"")</f>
        <v/>
      </c>
      <c r="AF125">
        <f>IF(AC125,COUNTIF(AC$13:AC125,TRUE),"")</f>
        <v/>
      </c>
      <c r="AG125">
        <f>IF(AD125,COUNTIF(AD$13:AD125,TRUE),"")</f>
        <v/>
      </c>
      <c r="AI125">
        <f>IFERROR(INDEX($P$13:$P$162,MATCH(113,$AE$13:$AE$162,0)),"")</f>
        <v/>
      </c>
      <c r="AJ125">
        <f>IFERROR(INDEX(S$13:S$162,MATCH(113,$AE$13:$AE$162,0)),0)*$T$6</f>
        <v/>
      </c>
      <c r="AK125">
        <f>IFERROR(INDEX(T$13:T$162,MATCH(113,$AE$13:$AE$162,0)),0)*$T$6</f>
        <v/>
      </c>
      <c r="AL125">
        <f>IFERROR(INDEX(U$13:U$162,MATCH(113,$AE$13:$AE$162,0)),0)*$T$6</f>
        <v/>
      </c>
      <c r="AM125">
        <f>IFERROR(INDEX(V$13:V$162,MATCH(113,$AE$13:$AE$162,0)),0)*$T$6</f>
        <v/>
      </c>
      <c r="AN125">
        <f>IFERROR(INDEX(W$13:W$162,MATCH(113,$AE$13:$AE$162,0)),0)*$T$6</f>
        <v/>
      </c>
      <c r="AO125">
        <f>IFERROR(INDEX(X$13:X$162,MATCH(113,$AE$13:$AE$162,0)),0)*$T$6</f>
        <v/>
      </c>
      <c r="AP125">
        <f>IFERROR(INDEX(Y$13:Y$162,MATCH(113,$AE$13:$AE$162,0)),0)*$T$6</f>
        <v/>
      </c>
      <c r="AQ125">
        <f>IFERROR(INDEX(Z$13:Z$162,MATCH(113,$AE$13:$AE$162,0)),0)*$T$6</f>
        <v/>
      </c>
      <c r="AR125">
        <f>IFERROR(INDEX(AA$13:AA$162,MATCH(113,$AE$13:$AE$162,0)),0)*$T$6</f>
        <v/>
      </c>
      <c r="AS125">
        <f>IFERROR(INDEX($P$13:$P$162,MATCH(113,$AF$13:$AF$162,0)),"")</f>
        <v/>
      </c>
      <c r="AT125">
        <f>IFERROR(INDEX(S$13:S$162,MATCH(113,$AF$13:$AF$162,0)),0)*$T$7</f>
        <v/>
      </c>
      <c r="AU125">
        <f>IFERROR(INDEX(T$13:T$162,MATCH(113,$AF$13:$AF$162,0)),0)*$T$7</f>
        <v/>
      </c>
      <c r="AV125">
        <f>IFERROR(INDEX(U$13:U$162,MATCH(113,$AF$13:$AF$162,0)),0)*$T$7</f>
        <v/>
      </c>
      <c r="AW125">
        <f>IFERROR(INDEX(V$13:V$162,MATCH(113,$AF$13:$AF$162,0)),0)*$T$7</f>
        <v/>
      </c>
      <c r="AX125">
        <f>IFERROR(INDEX(W$13:W$162,MATCH(113,$AF$13:$AF$162,0)),0)*$T$7</f>
        <v/>
      </c>
      <c r="AY125">
        <f>IFERROR(INDEX(X$13:X$162,MATCH(113,$AF$13:$AF$162,0)),0)*$T$7</f>
        <v/>
      </c>
      <c r="AZ125">
        <f>IFERROR(INDEX(Y$13:Y$162,MATCH(113,$AF$13:$AF$162,0)),0)*$T$7</f>
        <v/>
      </c>
      <c r="BA125">
        <f>IFERROR(INDEX(Z$13:Z$162,MATCH(113,$AF$13:$AF$162,0)),0)*$T$7</f>
        <v/>
      </c>
      <c r="BB125">
        <f>IFERROR(INDEX(AA$13:AA$162,MATCH(113,$AF$13:$AF$162,0)),0)*$T$7</f>
        <v/>
      </c>
      <c r="BC125">
        <f>IFERROR(INDEX($P$13:$P$162,MATCH(113,$AG$13:$AG$162,0)),"")</f>
        <v/>
      </c>
      <c r="BD125">
        <f>IFERROR(INDEX(S$13:S$162,MATCH(113,$AG$13:$AG$162,0)),0)*($T$8+IF($C$10="",$T$9,0))</f>
        <v/>
      </c>
      <c r="BE125">
        <f>IFERROR(INDEX(T$13:T$162,MATCH(113,$AG$13:$AG$162,0)),0)*($T$8+IF($C$10="",$T$9,0))</f>
        <v/>
      </c>
      <c r="BF125">
        <f>IFERROR(INDEX(U$13:U$162,MATCH(113,$AG$13:$AG$162,0)),0)*($T$8+IF($C$10="",$T$9,0))</f>
        <v/>
      </c>
      <c r="BG125">
        <f>IFERROR(INDEX(V$13:V$162,MATCH(113,$AG$13:$AG$162,0)),0)*($T$8+IF($C$10="",$T$9,0))</f>
        <v/>
      </c>
      <c r="BH125">
        <f>IFERROR(INDEX(W$13:W$162,MATCH(113,$AG$13:$AG$162,0)),0)*($T$8+IF($C$10="",$T$9,0))</f>
        <v/>
      </c>
      <c r="BI125">
        <f>IFERROR(INDEX(X$13:X$162,MATCH(113,$AG$13:$AG$162,0)),0)*($T$8+IF($C$10="",$T$9,0))</f>
        <v/>
      </c>
      <c r="BJ125">
        <f>IFERROR(INDEX(Y$13:Y$162,MATCH(113,$AG$13:$AG$162,0)),0)*($T$8+IF($C$10="",$T$9,0))</f>
        <v/>
      </c>
      <c r="BK125">
        <f>IFERROR(INDEX(Z$13:Z$162,MATCH(113,$AG$13:$AG$162,0)),0)*($T$8+IF($C$10="",$T$9,0))</f>
        <v/>
      </c>
      <c r="BL125">
        <f>IFERROR(INDEX(AA$13:AA$162,MATCH(113,$AG$13:$AG$162,0)),0)*($T$8+IF($C$10="",$T$9,0))</f>
        <v/>
      </c>
      <c r="BN125">
        <f>IF(112&lt;$U$9,INT(112/($U$7*$U$8))+1,1)</f>
        <v/>
      </c>
      <c r="BO125">
        <f>IF(112&lt;$U$9,MOD(INT(112/$U$8),$U$7)+1,1)</f>
        <v/>
      </c>
      <c r="BP125">
        <f>IF(112&lt;$U$9,MOD(112,$U$8)+1,1)</f>
        <v/>
      </c>
      <c r="BQ125">
        <f>IF(112&lt;$U$9,SUMPRODUCT(($D$10:$L$10&lt;&gt;"")*(($D$9:$L$9+INT(($S$12:$AA$12+INDEX($AJ$13:$AR$162,BN125,0)+INDEX($AT$13:$BB$162,BO125,0)+INDEX($BD$13:$BL$162,BP125,0))/100))&gt;=$D$10:$L$10)),0)</f>
        <v/>
      </c>
      <c r="BR125">
        <f>IF(112&lt;$U$9,SUMPRODUCT(($D$10:$L$10&lt;&gt;"")*(($D$10:$L$10-($D$9:$L$9+INT(($S$12:$AA$12+INDEX($AJ$13:$AR$162,BN125,0)+INDEX($AT$13:$BB$162,BO125,0)+INDEX($BD$13:$BL$162,BP125,0))/100)))&gt;0)*($D$10:$L$10-($D$9:$L$9+INT(($S$12:$AA$12+INDEX($AJ$13:$AR$162,BN125,0)+INDEX($AT$13:$BB$162,BO125,0)+INDEX($BD$13:$BL$162,BP125,0))/100)))),0)</f>
        <v/>
      </c>
      <c r="BS125">
        <f>IF(112&lt;$U$9,SUMPRODUCT(($D$9:$L$9+INT(($S$12:$AA$12+INDEX($AJ$13:$AR$162,BN125,0)+INDEX($AT$13:$BB$162,BO125,0)+INDEX($BD$13:$BL$162,BP125,0))/100))),0)</f>
        <v/>
      </c>
      <c r="BT125">
        <f>IF(AND(112&lt;$U$9,$W$5),BQ125*1000000-MIN(BR125,999)*1000+BS125-112/100000,-1000000000-112)</f>
        <v/>
      </c>
      <c r="CF125">
        <f>IF($A125="","",IFERROR(MATCH($C125,'职业'!$C$3:$C$152,0),0))</f>
        <v/>
      </c>
      <c r="CG125">
        <f>IF($A125="","",CG124+MAX(0,D$7+IF($CF124=0,0,IFERROR(INDEX('职业'!F$3:F$152,$CF124)+0,0))))</f>
        <v/>
      </c>
      <c r="CH125">
        <f>IF($A125="","",CH124+MAX(0,E$7+IF($CF124=0,0,IFERROR(INDEX('职业'!G$3:G$152,$CF124)+0,0))))</f>
        <v/>
      </c>
      <c r="CI125">
        <f>IF($A125="","",CI124+MAX(0,F$7+IF($CF124=0,0,IFERROR(INDEX('职业'!H$3:H$152,$CF124)+0,0))))</f>
        <v/>
      </c>
      <c r="CJ125">
        <f>IF($A125="","",CJ124+MAX(0,G$7+IF($CF124=0,0,IFERROR(INDEX('职业'!I$3:I$152,$CF124)+0,0))))</f>
        <v/>
      </c>
      <c r="CK125">
        <f>IF($A125="","",CK124+MAX(0,H$7+IF($CF124=0,0,IFERROR(INDEX('职业'!J$3:J$152,$CF124)+0,0))))</f>
        <v/>
      </c>
      <c r="CL125">
        <f>IF($A125="","",CL124+MAX(0,I$7+IF($CF124=0,0,IFERROR(INDEX('职业'!K$3:K$152,$CF124)+0,0))))</f>
        <v/>
      </c>
      <c r="CM125">
        <f>IF($A125="","",CM124+MAX(0,J$7+IF($CF124=0,0,IFERROR(INDEX('职业'!L$3:L$152,$CF124)+0,0))))</f>
        <v/>
      </c>
      <c r="CN125">
        <f>IF($A125="","",CN124+MAX(0,K$7+IF($CF124=0,0,IFERROR(INDEX('职业'!M$3:M$152,$CF124)+0,0))))</f>
        <v/>
      </c>
      <c r="CO125">
        <f>IF($A125="","",CO124+MAX(0,L$7+IF($CF124=0,0,IFERROR(INDEX('职业'!N$3:N$152,$CF124)+0,0))))</f>
        <v/>
      </c>
    </row>
    <row r="126">
      <c r="A126" s="15">
        <f>IF(OR($B$9="",$B$10=""),"",IF($B$9+74&lt;=$B$10,$B$9+74,""))</f>
        <v/>
      </c>
      <c r="B126" s="15">
        <f>IF($A126="","",MATCH($A126,$BV$27:$BV$32,1))</f>
        <v/>
      </c>
      <c r="C126" s="15">
        <f>IF($A126="","",INDEX($BW$27:$BW$32,$B126))</f>
        <v/>
      </c>
      <c r="D126" s="15">
        <f>IF($A126="","",D$9+INT(($B$14+CG126)/100))</f>
        <v/>
      </c>
      <c r="E126" s="15">
        <f>IF($A126="","",E$9+INT(($B$14+CH126)/100))</f>
        <v/>
      </c>
      <c r="F126" s="15">
        <f>IF($A126="","",F$9+INT(($B$14+CI126)/100))</f>
        <v/>
      </c>
      <c r="G126" s="15">
        <f>IF($A126="","",G$9+INT(($B$14+CJ126)/100))</f>
        <v/>
      </c>
      <c r="H126" s="15">
        <f>IF($A126="","",H$9+INT(($B$14+CK126)/100))</f>
        <v/>
      </c>
      <c r="I126" s="15">
        <f>IF($A126="","",I$9+INT(($B$14+CL126)/100))</f>
        <v/>
      </c>
      <c r="J126" s="15">
        <f>IF($A126="","",J$9+INT(($B$14+CM126)/100))</f>
        <v/>
      </c>
      <c r="K126" s="15">
        <f>IF($A126="","",K$9+INT(($B$14+CN126)/100))</f>
        <v/>
      </c>
      <c r="L126" s="15">
        <f>IF($A126="","",L$9+INT(($B$14+CO126)/100))</f>
        <v/>
      </c>
      <c r="M126" s="16">
        <f>IF($A126="","",IF($C126&lt;&gt;$C125,"★ 转职 → 【"&amp;$C126&amp;"】","")&amp;IF($A126=$B$10,"（目标等级）",""))</f>
        <v/>
      </c>
      <c r="P126">
        <f>IF('职业'!$C116="","",'职业'!$C116)</f>
        <v/>
      </c>
      <c r="Q126">
        <f>N('职业'!$D116)</f>
        <v/>
      </c>
      <c r="R126">
        <f>'职业'!$E116&amp;""</f>
        <v/>
      </c>
      <c r="S126">
        <f>IF($P126="",0,MAX(0,D$7+N('职业'!F116)))</f>
        <v/>
      </c>
      <c r="T126">
        <f>IF($P126="",0,MAX(0,E$7+N('职业'!G116)))</f>
        <v/>
      </c>
      <c r="U126">
        <f>IF($P126="",0,MAX(0,F$7+N('职业'!H116)))</f>
        <v/>
      </c>
      <c r="V126">
        <f>IF($P126="",0,MAX(0,G$7+N('职业'!I116)))</f>
        <v/>
      </c>
      <c r="W126">
        <f>IF($P126="",0,MAX(0,H$7+N('职业'!J116)))</f>
        <v/>
      </c>
      <c r="X126">
        <f>IF($P126="",0,MAX(0,I$7+N('职业'!K116)))</f>
        <v/>
      </c>
      <c r="Y126">
        <f>IF($P126="",0,MAX(0,J$7+N('职业'!L116)))</f>
        <v/>
      </c>
      <c r="Z126">
        <f>IF($P126="",0,MAX(0,K$7+N('职业'!M116)))</f>
        <v/>
      </c>
      <c r="AA126">
        <f>IF($P126="",0,MAX(0,L$7+N('职业'!N116)))</f>
        <v/>
      </c>
      <c r="AB126">
        <f>AND($P126&lt;&gt;"",IF($U$5=1,$P126=$C$10,OR($P126=$C$9,AND($R126="是",$Q126&lt;=MAX($B$9,$Q$6)))))</f>
        <v/>
      </c>
      <c r="AC126">
        <f>AND($P126&lt;&gt;"",IF($U$5=2,$P126=$C$10,OR($P126=$C$9,AND($R126="是",$Q126&lt;=MAX($B$9,$Q$7)))))</f>
        <v/>
      </c>
      <c r="AD126">
        <f>AND($P126&lt;&gt;"",IF($U$5=3,$P126=$C$10,OR($P126=$C$9,AND($R126="是",$Q126&lt;=MAX($B$9,$Q$8)))))</f>
        <v/>
      </c>
      <c r="AE126">
        <f>IF(AB126,COUNTIF(AB$13:AB126,TRUE),"")</f>
        <v/>
      </c>
      <c r="AF126">
        <f>IF(AC126,COUNTIF(AC$13:AC126,TRUE),"")</f>
        <v/>
      </c>
      <c r="AG126">
        <f>IF(AD126,COUNTIF(AD$13:AD126,TRUE),"")</f>
        <v/>
      </c>
      <c r="AI126">
        <f>IFERROR(INDEX($P$13:$P$162,MATCH(114,$AE$13:$AE$162,0)),"")</f>
        <v/>
      </c>
      <c r="AJ126">
        <f>IFERROR(INDEX(S$13:S$162,MATCH(114,$AE$13:$AE$162,0)),0)*$T$6</f>
        <v/>
      </c>
      <c r="AK126">
        <f>IFERROR(INDEX(T$13:T$162,MATCH(114,$AE$13:$AE$162,0)),0)*$T$6</f>
        <v/>
      </c>
      <c r="AL126">
        <f>IFERROR(INDEX(U$13:U$162,MATCH(114,$AE$13:$AE$162,0)),0)*$T$6</f>
        <v/>
      </c>
      <c r="AM126">
        <f>IFERROR(INDEX(V$13:V$162,MATCH(114,$AE$13:$AE$162,0)),0)*$T$6</f>
        <v/>
      </c>
      <c r="AN126">
        <f>IFERROR(INDEX(W$13:W$162,MATCH(114,$AE$13:$AE$162,0)),0)*$T$6</f>
        <v/>
      </c>
      <c r="AO126">
        <f>IFERROR(INDEX(X$13:X$162,MATCH(114,$AE$13:$AE$162,0)),0)*$T$6</f>
        <v/>
      </c>
      <c r="AP126">
        <f>IFERROR(INDEX(Y$13:Y$162,MATCH(114,$AE$13:$AE$162,0)),0)*$T$6</f>
        <v/>
      </c>
      <c r="AQ126">
        <f>IFERROR(INDEX(Z$13:Z$162,MATCH(114,$AE$13:$AE$162,0)),0)*$T$6</f>
        <v/>
      </c>
      <c r="AR126">
        <f>IFERROR(INDEX(AA$13:AA$162,MATCH(114,$AE$13:$AE$162,0)),0)*$T$6</f>
        <v/>
      </c>
      <c r="AS126">
        <f>IFERROR(INDEX($P$13:$P$162,MATCH(114,$AF$13:$AF$162,0)),"")</f>
        <v/>
      </c>
      <c r="AT126">
        <f>IFERROR(INDEX(S$13:S$162,MATCH(114,$AF$13:$AF$162,0)),0)*$T$7</f>
        <v/>
      </c>
      <c r="AU126">
        <f>IFERROR(INDEX(T$13:T$162,MATCH(114,$AF$13:$AF$162,0)),0)*$T$7</f>
        <v/>
      </c>
      <c r="AV126">
        <f>IFERROR(INDEX(U$13:U$162,MATCH(114,$AF$13:$AF$162,0)),0)*$T$7</f>
        <v/>
      </c>
      <c r="AW126">
        <f>IFERROR(INDEX(V$13:V$162,MATCH(114,$AF$13:$AF$162,0)),0)*$T$7</f>
        <v/>
      </c>
      <c r="AX126">
        <f>IFERROR(INDEX(W$13:W$162,MATCH(114,$AF$13:$AF$162,0)),0)*$T$7</f>
        <v/>
      </c>
      <c r="AY126">
        <f>IFERROR(INDEX(X$13:X$162,MATCH(114,$AF$13:$AF$162,0)),0)*$T$7</f>
        <v/>
      </c>
      <c r="AZ126">
        <f>IFERROR(INDEX(Y$13:Y$162,MATCH(114,$AF$13:$AF$162,0)),0)*$T$7</f>
        <v/>
      </c>
      <c r="BA126">
        <f>IFERROR(INDEX(Z$13:Z$162,MATCH(114,$AF$13:$AF$162,0)),0)*$T$7</f>
        <v/>
      </c>
      <c r="BB126">
        <f>IFERROR(INDEX(AA$13:AA$162,MATCH(114,$AF$13:$AF$162,0)),0)*$T$7</f>
        <v/>
      </c>
      <c r="BC126">
        <f>IFERROR(INDEX($P$13:$P$162,MATCH(114,$AG$13:$AG$162,0)),"")</f>
        <v/>
      </c>
      <c r="BD126">
        <f>IFERROR(INDEX(S$13:S$162,MATCH(114,$AG$13:$AG$162,0)),0)*($T$8+IF($C$10="",$T$9,0))</f>
        <v/>
      </c>
      <c r="BE126">
        <f>IFERROR(INDEX(T$13:T$162,MATCH(114,$AG$13:$AG$162,0)),0)*($T$8+IF($C$10="",$T$9,0))</f>
        <v/>
      </c>
      <c r="BF126">
        <f>IFERROR(INDEX(U$13:U$162,MATCH(114,$AG$13:$AG$162,0)),0)*($T$8+IF($C$10="",$T$9,0))</f>
        <v/>
      </c>
      <c r="BG126">
        <f>IFERROR(INDEX(V$13:V$162,MATCH(114,$AG$13:$AG$162,0)),0)*($T$8+IF($C$10="",$T$9,0))</f>
        <v/>
      </c>
      <c r="BH126">
        <f>IFERROR(INDEX(W$13:W$162,MATCH(114,$AG$13:$AG$162,0)),0)*($T$8+IF($C$10="",$T$9,0))</f>
        <v/>
      </c>
      <c r="BI126">
        <f>IFERROR(INDEX(X$13:X$162,MATCH(114,$AG$13:$AG$162,0)),0)*($T$8+IF($C$10="",$T$9,0))</f>
        <v/>
      </c>
      <c r="BJ126">
        <f>IFERROR(INDEX(Y$13:Y$162,MATCH(114,$AG$13:$AG$162,0)),0)*($T$8+IF($C$10="",$T$9,0))</f>
        <v/>
      </c>
      <c r="BK126">
        <f>IFERROR(INDEX(Z$13:Z$162,MATCH(114,$AG$13:$AG$162,0)),0)*($T$8+IF($C$10="",$T$9,0))</f>
        <v/>
      </c>
      <c r="BL126">
        <f>IFERROR(INDEX(AA$13:AA$162,MATCH(114,$AG$13:$AG$162,0)),0)*($T$8+IF($C$10="",$T$9,0))</f>
        <v/>
      </c>
      <c r="BN126">
        <f>IF(113&lt;$U$9,INT(113/($U$7*$U$8))+1,1)</f>
        <v/>
      </c>
      <c r="BO126">
        <f>IF(113&lt;$U$9,MOD(INT(113/$U$8),$U$7)+1,1)</f>
        <v/>
      </c>
      <c r="BP126">
        <f>IF(113&lt;$U$9,MOD(113,$U$8)+1,1)</f>
        <v/>
      </c>
      <c r="BQ126">
        <f>IF(113&lt;$U$9,SUMPRODUCT(($D$10:$L$10&lt;&gt;"")*(($D$9:$L$9+INT(($S$12:$AA$12+INDEX($AJ$13:$AR$162,BN126,0)+INDEX($AT$13:$BB$162,BO126,0)+INDEX($BD$13:$BL$162,BP126,0))/100))&gt;=$D$10:$L$10)),0)</f>
        <v/>
      </c>
      <c r="BR126">
        <f>IF(113&lt;$U$9,SUMPRODUCT(($D$10:$L$10&lt;&gt;"")*(($D$10:$L$10-($D$9:$L$9+INT(($S$12:$AA$12+INDEX($AJ$13:$AR$162,BN126,0)+INDEX($AT$13:$BB$162,BO126,0)+INDEX($BD$13:$BL$162,BP126,0))/100)))&gt;0)*($D$10:$L$10-($D$9:$L$9+INT(($S$12:$AA$12+INDEX($AJ$13:$AR$162,BN126,0)+INDEX($AT$13:$BB$162,BO126,0)+INDEX($BD$13:$BL$162,BP126,0))/100)))),0)</f>
        <v/>
      </c>
      <c r="BS126">
        <f>IF(113&lt;$U$9,SUMPRODUCT(($D$9:$L$9+INT(($S$12:$AA$12+INDEX($AJ$13:$AR$162,BN126,0)+INDEX($AT$13:$BB$162,BO126,0)+INDEX($BD$13:$BL$162,BP126,0))/100))),0)</f>
        <v/>
      </c>
      <c r="BT126">
        <f>IF(AND(113&lt;$U$9,$W$5),BQ126*1000000-MIN(BR126,999)*1000+BS126-113/100000,-1000000000-113)</f>
        <v/>
      </c>
      <c r="CF126">
        <f>IF($A126="","",IFERROR(MATCH($C126,'职业'!$C$3:$C$152,0),0))</f>
        <v/>
      </c>
      <c r="CG126">
        <f>IF($A126="","",CG125+MAX(0,D$7+IF($CF125=0,0,IFERROR(INDEX('职业'!F$3:F$152,$CF125)+0,0))))</f>
        <v/>
      </c>
      <c r="CH126">
        <f>IF($A126="","",CH125+MAX(0,E$7+IF($CF125=0,0,IFERROR(INDEX('职业'!G$3:G$152,$CF125)+0,0))))</f>
        <v/>
      </c>
      <c r="CI126">
        <f>IF($A126="","",CI125+MAX(0,F$7+IF($CF125=0,0,IFERROR(INDEX('职业'!H$3:H$152,$CF125)+0,0))))</f>
        <v/>
      </c>
      <c r="CJ126">
        <f>IF($A126="","",CJ125+MAX(0,G$7+IF($CF125=0,0,IFERROR(INDEX('职业'!I$3:I$152,$CF125)+0,0))))</f>
        <v/>
      </c>
      <c r="CK126">
        <f>IF($A126="","",CK125+MAX(0,H$7+IF($CF125=0,0,IFERROR(INDEX('职业'!J$3:J$152,$CF125)+0,0))))</f>
        <v/>
      </c>
      <c r="CL126">
        <f>IF($A126="","",CL125+MAX(0,I$7+IF($CF125=0,0,IFERROR(INDEX('职业'!K$3:K$152,$CF125)+0,0))))</f>
        <v/>
      </c>
      <c r="CM126">
        <f>IF($A126="","",CM125+MAX(0,J$7+IF($CF125=0,0,IFERROR(INDEX('职业'!L$3:L$152,$CF125)+0,0))))</f>
        <v/>
      </c>
      <c r="CN126">
        <f>IF($A126="","",CN125+MAX(0,K$7+IF($CF125=0,0,IFERROR(INDEX('职业'!M$3:M$152,$CF125)+0,0))))</f>
        <v/>
      </c>
      <c r="CO126">
        <f>IF($A126="","",CO125+MAX(0,L$7+IF($CF125=0,0,IFERROR(INDEX('职业'!N$3:N$152,$CF125)+0,0))))</f>
        <v/>
      </c>
    </row>
    <row r="127">
      <c r="A127" s="15">
        <f>IF(OR($B$9="",$B$10=""),"",IF($B$9+75&lt;=$B$10,$B$9+75,""))</f>
        <v/>
      </c>
      <c r="B127" s="15">
        <f>IF($A127="","",MATCH($A127,$BV$27:$BV$32,1))</f>
        <v/>
      </c>
      <c r="C127" s="15">
        <f>IF($A127="","",INDEX($BW$27:$BW$32,$B127))</f>
        <v/>
      </c>
      <c r="D127" s="15">
        <f>IF($A127="","",D$9+INT(($B$14+CG127)/100))</f>
        <v/>
      </c>
      <c r="E127" s="15">
        <f>IF($A127="","",E$9+INT(($B$14+CH127)/100))</f>
        <v/>
      </c>
      <c r="F127" s="15">
        <f>IF($A127="","",F$9+INT(($B$14+CI127)/100))</f>
        <v/>
      </c>
      <c r="G127" s="15">
        <f>IF($A127="","",G$9+INT(($B$14+CJ127)/100))</f>
        <v/>
      </c>
      <c r="H127" s="15">
        <f>IF($A127="","",H$9+INT(($B$14+CK127)/100))</f>
        <v/>
      </c>
      <c r="I127" s="15">
        <f>IF($A127="","",I$9+INT(($B$14+CL127)/100))</f>
        <v/>
      </c>
      <c r="J127" s="15">
        <f>IF($A127="","",J$9+INT(($B$14+CM127)/100))</f>
        <v/>
      </c>
      <c r="K127" s="15">
        <f>IF($A127="","",K$9+INT(($B$14+CN127)/100))</f>
        <v/>
      </c>
      <c r="L127" s="15">
        <f>IF($A127="","",L$9+INT(($B$14+CO127)/100))</f>
        <v/>
      </c>
      <c r="M127" s="16">
        <f>IF($A127="","",IF($C127&lt;&gt;$C126,"★ 转职 → 【"&amp;$C127&amp;"】","")&amp;IF($A127=$B$10,"（目标等级）",""))</f>
        <v/>
      </c>
      <c r="P127">
        <f>IF('职业'!$C117="","",'职业'!$C117)</f>
        <v/>
      </c>
      <c r="Q127">
        <f>N('职业'!$D117)</f>
        <v/>
      </c>
      <c r="R127">
        <f>'职业'!$E117&amp;""</f>
        <v/>
      </c>
      <c r="S127">
        <f>IF($P127="",0,MAX(0,D$7+N('职业'!F117)))</f>
        <v/>
      </c>
      <c r="T127">
        <f>IF($P127="",0,MAX(0,E$7+N('职业'!G117)))</f>
        <v/>
      </c>
      <c r="U127">
        <f>IF($P127="",0,MAX(0,F$7+N('职业'!H117)))</f>
        <v/>
      </c>
      <c r="V127">
        <f>IF($P127="",0,MAX(0,G$7+N('职业'!I117)))</f>
        <v/>
      </c>
      <c r="W127">
        <f>IF($P127="",0,MAX(0,H$7+N('职业'!J117)))</f>
        <v/>
      </c>
      <c r="X127">
        <f>IF($P127="",0,MAX(0,I$7+N('职业'!K117)))</f>
        <v/>
      </c>
      <c r="Y127">
        <f>IF($P127="",0,MAX(0,J$7+N('职业'!L117)))</f>
        <v/>
      </c>
      <c r="Z127">
        <f>IF($P127="",0,MAX(0,K$7+N('职业'!M117)))</f>
        <v/>
      </c>
      <c r="AA127">
        <f>IF($P127="",0,MAX(0,L$7+N('职业'!N117)))</f>
        <v/>
      </c>
      <c r="AB127">
        <f>AND($P127&lt;&gt;"",IF($U$5=1,$P127=$C$10,OR($P127=$C$9,AND($R127="是",$Q127&lt;=MAX($B$9,$Q$6)))))</f>
        <v/>
      </c>
      <c r="AC127">
        <f>AND($P127&lt;&gt;"",IF($U$5=2,$P127=$C$10,OR($P127=$C$9,AND($R127="是",$Q127&lt;=MAX($B$9,$Q$7)))))</f>
        <v/>
      </c>
      <c r="AD127">
        <f>AND($P127&lt;&gt;"",IF($U$5=3,$P127=$C$10,OR($P127=$C$9,AND($R127="是",$Q127&lt;=MAX($B$9,$Q$8)))))</f>
        <v/>
      </c>
      <c r="AE127">
        <f>IF(AB127,COUNTIF(AB$13:AB127,TRUE),"")</f>
        <v/>
      </c>
      <c r="AF127">
        <f>IF(AC127,COUNTIF(AC$13:AC127,TRUE),"")</f>
        <v/>
      </c>
      <c r="AG127">
        <f>IF(AD127,COUNTIF(AD$13:AD127,TRUE),"")</f>
        <v/>
      </c>
      <c r="AI127">
        <f>IFERROR(INDEX($P$13:$P$162,MATCH(115,$AE$13:$AE$162,0)),"")</f>
        <v/>
      </c>
      <c r="AJ127">
        <f>IFERROR(INDEX(S$13:S$162,MATCH(115,$AE$13:$AE$162,0)),0)*$T$6</f>
        <v/>
      </c>
      <c r="AK127">
        <f>IFERROR(INDEX(T$13:T$162,MATCH(115,$AE$13:$AE$162,0)),0)*$T$6</f>
        <v/>
      </c>
      <c r="AL127">
        <f>IFERROR(INDEX(U$13:U$162,MATCH(115,$AE$13:$AE$162,0)),0)*$T$6</f>
        <v/>
      </c>
      <c r="AM127">
        <f>IFERROR(INDEX(V$13:V$162,MATCH(115,$AE$13:$AE$162,0)),0)*$T$6</f>
        <v/>
      </c>
      <c r="AN127">
        <f>IFERROR(INDEX(W$13:W$162,MATCH(115,$AE$13:$AE$162,0)),0)*$T$6</f>
        <v/>
      </c>
      <c r="AO127">
        <f>IFERROR(INDEX(X$13:X$162,MATCH(115,$AE$13:$AE$162,0)),0)*$T$6</f>
        <v/>
      </c>
      <c r="AP127">
        <f>IFERROR(INDEX(Y$13:Y$162,MATCH(115,$AE$13:$AE$162,0)),0)*$T$6</f>
        <v/>
      </c>
      <c r="AQ127">
        <f>IFERROR(INDEX(Z$13:Z$162,MATCH(115,$AE$13:$AE$162,0)),0)*$T$6</f>
        <v/>
      </c>
      <c r="AR127">
        <f>IFERROR(INDEX(AA$13:AA$162,MATCH(115,$AE$13:$AE$162,0)),0)*$T$6</f>
        <v/>
      </c>
      <c r="AS127">
        <f>IFERROR(INDEX($P$13:$P$162,MATCH(115,$AF$13:$AF$162,0)),"")</f>
        <v/>
      </c>
      <c r="AT127">
        <f>IFERROR(INDEX(S$13:S$162,MATCH(115,$AF$13:$AF$162,0)),0)*$T$7</f>
        <v/>
      </c>
      <c r="AU127">
        <f>IFERROR(INDEX(T$13:T$162,MATCH(115,$AF$13:$AF$162,0)),0)*$T$7</f>
        <v/>
      </c>
      <c r="AV127">
        <f>IFERROR(INDEX(U$13:U$162,MATCH(115,$AF$13:$AF$162,0)),0)*$T$7</f>
        <v/>
      </c>
      <c r="AW127">
        <f>IFERROR(INDEX(V$13:V$162,MATCH(115,$AF$13:$AF$162,0)),0)*$T$7</f>
        <v/>
      </c>
      <c r="AX127">
        <f>IFERROR(INDEX(W$13:W$162,MATCH(115,$AF$13:$AF$162,0)),0)*$T$7</f>
        <v/>
      </c>
      <c r="AY127">
        <f>IFERROR(INDEX(X$13:X$162,MATCH(115,$AF$13:$AF$162,0)),0)*$T$7</f>
        <v/>
      </c>
      <c r="AZ127">
        <f>IFERROR(INDEX(Y$13:Y$162,MATCH(115,$AF$13:$AF$162,0)),0)*$T$7</f>
        <v/>
      </c>
      <c r="BA127">
        <f>IFERROR(INDEX(Z$13:Z$162,MATCH(115,$AF$13:$AF$162,0)),0)*$T$7</f>
        <v/>
      </c>
      <c r="BB127">
        <f>IFERROR(INDEX(AA$13:AA$162,MATCH(115,$AF$13:$AF$162,0)),0)*$T$7</f>
        <v/>
      </c>
      <c r="BC127">
        <f>IFERROR(INDEX($P$13:$P$162,MATCH(115,$AG$13:$AG$162,0)),"")</f>
        <v/>
      </c>
      <c r="BD127">
        <f>IFERROR(INDEX(S$13:S$162,MATCH(115,$AG$13:$AG$162,0)),0)*($T$8+IF($C$10="",$T$9,0))</f>
        <v/>
      </c>
      <c r="BE127">
        <f>IFERROR(INDEX(T$13:T$162,MATCH(115,$AG$13:$AG$162,0)),0)*($T$8+IF($C$10="",$T$9,0))</f>
        <v/>
      </c>
      <c r="BF127">
        <f>IFERROR(INDEX(U$13:U$162,MATCH(115,$AG$13:$AG$162,0)),0)*($T$8+IF($C$10="",$T$9,0))</f>
        <v/>
      </c>
      <c r="BG127">
        <f>IFERROR(INDEX(V$13:V$162,MATCH(115,$AG$13:$AG$162,0)),0)*($T$8+IF($C$10="",$T$9,0))</f>
        <v/>
      </c>
      <c r="BH127">
        <f>IFERROR(INDEX(W$13:W$162,MATCH(115,$AG$13:$AG$162,0)),0)*($T$8+IF($C$10="",$T$9,0))</f>
        <v/>
      </c>
      <c r="BI127">
        <f>IFERROR(INDEX(X$13:X$162,MATCH(115,$AG$13:$AG$162,0)),0)*($T$8+IF($C$10="",$T$9,0))</f>
        <v/>
      </c>
      <c r="BJ127">
        <f>IFERROR(INDEX(Y$13:Y$162,MATCH(115,$AG$13:$AG$162,0)),0)*($T$8+IF($C$10="",$T$9,0))</f>
        <v/>
      </c>
      <c r="BK127">
        <f>IFERROR(INDEX(Z$13:Z$162,MATCH(115,$AG$13:$AG$162,0)),0)*($T$8+IF($C$10="",$T$9,0))</f>
        <v/>
      </c>
      <c r="BL127">
        <f>IFERROR(INDEX(AA$13:AA$162,MATCH(115,$AG$13:$AG$162,0)),0)*($T$8+IF($C$10="",$T$9,0))</f>
        <v/>
      </c>
      <c r="BN127">
        <f>IF(114&lt;$U$9,INT(114/($U$7*$U$8))+1,1)</f>
        <v/>
      </c>
      <c r="BO127">
        <f>IF(114&lt;$U$9,MOD(INT(114/$U$8),$U$7)+1,1)</f>
        <v/>
      </c>
      <c r="BP127">
        <f>IF(114&lt;$U$9,MOD(114,$U$8)+1,1)</f>
        <v/>
      </c>
      <c r="BQ127">
        <f>IF(114&lt;$U$9,SUMPRODUCT(($D$10:$L$10&lt;&gt;"")*(($D$9:$L$9+INT(($S$12:$AA$12+INDEX($AJ$13:$AR$162,BN127,0)+INDEX($AT$13:$BB$162,BO127,0)+INDEX($BD$13:$BL$162,BP127,0))/100))&gt;=$D$10:$L$10)),0)</f>
        <v/>
      </c>
      <c r="BR127">
        <f>IF(114&lt;$U$9,SUMPRODUCT(($D$10:$L$10&lt;&gt;"")*(($D$10:$L$10-($D$9:$L$9+INT(($S$12:$AA$12+INDEX($AJ$13:$AR$162,BN127,0)+INDEX($AT$13:$BB$162,BO127,0)+INDEX($BD$13:$BL$162,BP127,0))/100)))&gt;0)*($D$10:$L$10-($D$9:$L$9+INT(($S$12:$AA$12+INDEX($AJ$13:$AR$162,BN127,0)+INDEX($AT$13:$BB$162,BO127,0)+INDEX($BD$13:$BL$162,BP127,0))/100)))),0)</f>
        <v/>
      </c>
      <c r="BS127">
        <f>IF(114&lt;$U$9,SUMPRODUCT(($D$9:$L$9+INT(($S$12:$AA$12+INDEX($AJ$13:$AR$162,BN127,0)+INDEX($AT$13:$BB$162,BO127,0)+INDEX($BD$13:$BL$162,BP127,0))/100))),0)</f>
        <v/>
      </c>
      <c r="BT127">
        <f>IF(AND(114&lt;$U$9,$W$5),BQ127*1000000-MIN(BR127,999)*1000+BS127-114/100000,-1000000000-114)</f>
        <v/>
      </c>
      <c r="CF127">
        <f>IF($A127="","",IFERROR(MATCH($C127,'职业'!$C$3:$C$152,0),0))</f>
        <v/>
      </c>
      <c r="CG127">
        <f>IF($A127="","",CG126+MAX(0,D$7+IF($CF126=0,0,IFERROR(INDEX('职业'!F$3:F$152,$CF126)+0,0))))</f>
        <v/>
      </c>
      <c r="CH127">
        <f>IF($A127="","",CH126+MAX(0,E$7+IF($CF126=0,0,IFERROR(INDEX('职业'!G$3:G$152,$CF126)+0,0))))</f>
        <v/>
      </c>
      <c r="CI127">
        <f>IF($A127="","",CI126+MAX(0,F$7+IF($CF126=0,0,IFERROR(INDEX('职业'!H$3:H$152,$CF126)+0,0))))</f>
        <v/>
      </c>
      <c r="CJ127">
        <f>IF($A127="","",CJ126+MAX(0,G$7+IF($CF126=0,0,IFERROR(INDEX('职业'!I$3:I$152,$CF126)+0,0))))</f>
        <v/>
      </c>
      <c r="CK127">
        <f>IF($A127="","",CK126+MAX(0,H$7+IF($CF126=0,0,IFERROR(INDEX('职业'!J$3:J$152,$CF126)+0,0))))</f>
        <v/>
      </c>
      <c r="CL127">
        <f>IF($A127="","",CL126+MAX(0,I$7+IF($CF126=0,0,IFERROR(INDEX('职业'!K$3:K$152,$CF126)+0,0))))</f>
        <v/>
      </c>
      <c r="CM127">
        <f>IF($A127="","",CM126+MAX(0,J$7+IF($CF126=0,0,IFERROR(INDEX('职业'!L$3:L$152,$CF126)+0,0))))</f>
        <v/>
      </c>
      <c r="CN127">
        <f>IF($A127="","",CN126+MAX(0,K$7+IF($CF126=0,0,IFERROR(INDEX('职业'!M$3:M$152,$CF126)+0,0))))</f>
        <v/>
      </c>
      <c r="CO127">
        <f>IF($A127="","",CO126+MAX(0,L$7+IF($CF126=0,0,IFERROR(INDEX('职业'!N$3:N$152,$CF126)+0,0))))</f>
        <v/>
      </c>
    </row>
    <row r="128">
      <c r="A128" s="15">
        <f>IF(OR($B$9="",$B$10=""),"",IF($B$9+76&lt;=$B$10,$B$9+76,""))</f>
        <v/>
      </c>
      <c r="B128" s="15">
        <f>IF($A128="","",MATCH($A128,$BV$27:$BV$32,1))</f>
        <v/>
      </c>
      <c r="C128" s="15">
        <f>IF($A128="","",INDEX($BW$27:$BW$32,$B128))</f>
        <v/>
      </c>
      <c r="D128" s="15">
        <f>IF($A128="","",D$9+INT(($B$14+CG128)/100))</f>
        <v/>
      </c>
      <c r="E128" s="15">
        <f>IF($A128="","",E$9+INT(($B$14+CH128)/100))</f>
        <v/>
      </c>
      <c r="F128" s="15">
        <f>IF($A128="","",F$9+INT(($B$14+CI128)/100))</f>
        <v/>
      </c>
      <c r="G128" s="15">
        <f>IF($A128="","",G$9+INT(($B$14+CJ128)/100))</f>
        <v/>
      </c>
      <c r="H128" s="15">
        <f>IF($A128="","",H$9+INT(($B$14+CK128)/100))</f>
        <v/>
      </c>
      <c r="I128" s="15">
        <f>IF($A128="","",I$9+INT(($B$14+CL128)/100))</f>
        <v/>
      </c>
      <c r="J128" s="15">
        <f>IF($A128="","",J$9+INT(($B$14+CM128)/100))</f>
        <v/>
      </c>
      <c r="K128" s="15">
        <f>IF($A128="","",K$9+INT(($B$14+CN128)/100))</f>
        <v/>
      </c>
      <c r="L128" s="15">
        <f>IF($A128="","",L$9+INT(($B$14+CO128)/100))</f>
        <v/>
      </c>
      <c r="M128" s="16">
        <f>IF($A128="","",IF($C128&lt;&gt;$C127,"★ 转职 → 【"&amp;$C128&amp;"】","")&amp;IF($A128=$B$10,"（目标等级）",""))</f>
        <v/>
      </c>
      <c r="P128">
        <f>IF('职业'!$C118="","",'职业'!$C118)</f>
        <v/>
      </c>
      <c r="Q128">
        <f>N('职业'!$D118)</f>
        <v/>
      </c>
      <c r="R128">
        <f>'职业'!$E118&amp;""</f>
        <v/>
      </c>
      <c r="S128">
        <f>IF($P128="",0,MAX(0,D$7+N('职业'!F118)))</f>
        <v/>
      </c>
      <c r="T128">
        <f>IF($P128="",0,MAX(0,E$7+N('职业'!G118)))</f>
        <v/>
      </c>
      <c r="U128">
        <f>IF($P128="",0,MAX(0,F$7+N('职业'!H118)))</f>
        <v/>
      </c>
      <c r="V128">
        <f>IF($P128="",0,MAX(0,G$7+N('职业'!I118)))</f>
        <v/>
      </c>
      <c r="W128">
        <f>IF($P128="",0,MAX(0,H$7+N('职业'!J118)))</f>
        <v/>
      </c>
      <c r="X128">
        <f>IF($P128="",0,MAX(0,I$7+N('职业'!K118)))</f>
        <v/>
      </c>
      <c r="Y128">
        <f>IF($P128="",0,MAX(0,J$7+N('职业'!L118)))</f>
        <v/>
      </c>
      <c r="Z128">
        <f>IF($P128="",0,MAX(0,K$7+N('职业'!M118)))</f>
        <v/>
      </c>
      <c r="AA128">
        <f>IF($P128="",0,MAX(0,L$7+N('职业'!N118)))</f>
        <v/>
      </c>
      <c r="AB128">
        <f>AND($P128&lt;&gt;"",IF($U$5=1,$P128=$C$10,OR($P128=$C$9,AND($R128="是",$Q128&lt;=MAX($B$9,$Q$6)))))</f>
        <v/>
      </c>
      <c r="AC128">
        <f>AND($P128&lt;&gt;"",IF($U$5=2,$P128=$C$10,OR($P128=$C$9,AND($R128="是",$Q128&lt;=MAX($B$9,$Q$7)))))</f>
        <v/>
      </c>
      <c r="AD128">
        <f>AND($P128&lt;&gt;"",IF($U$5=3,$P128=$C$10,OR($P128=$C$9,AND($R128="是",$Q128&lt;=MAX($B$9,$Q$8)))))</f>
        <v/>
      </c>
      <c r="AE128">
        <f>IF(AB128,COUNTIF(AB$13:AB128,TRUE),"")</f>
        <v/>
      </c>
      <c r="AF128">
        <f>IF(AC128,COUNTIF(AC$13:AC128,TRUE),"")</f>
        <v/>
      </c>
      <c r="AG128">
        <f>IF(AD128,COUNTIF(AD$13:AD128,TRUE),"")</f>
        <v/>
      </c>
      <c r="AI128">
        <f>IFERROR(INDEX($P$13:$P$162,MATCH(116,$AE$13:$AE$162,0)),"")</f>
        <v/>
      </c>
      <c r="AJ128">
        <f>IFERROR(INDEX(S$13:S$162,MATCH(116,$AE$13:$AE$162,0)),0)*$T$6</f>
        <v/>
      </c>
      <c r="AK128">
        <f>IFERROR(INDEX(T$13:T$162,MATCH(116,$AE$13:$AE$162,0)),0)*$T$6</f>
        <v/>
      </c>
      <c r="AL128">
        <f>IFERROR(INDEX(U$13:U$162,MATCH(116,$AE$13:$AE$162,0)),0)*$T$6</f>
        <v/>
      </c>
      <c r="AM128">
        <f>IFERROR(INDEX(V$13:V$162,MATCH(116,$AE$13:$AE$162,0)),0)*$T$6</f>
        <v/>
      </c>
      <c r="AN128">
        <f>IFERROR(INDEX(W$13:W$162,MATCH(116,$AE$13:$AE$162,0)),0)*$T$6</f>
        <v/>
      </c>
      <c r="AO128">
        <f>IFERROR(INDEX(X$13:X$162,MATCH(116,$AE$13:$AE$162,0)),0)*$T$6</f>
        <v/>
      </c>
      <c r="AP128">
        <f>IFERROR(INDEX(Y$13:Y$162,MATCH(116,$AE$13:$AE$162,0)),0)*$T$6</f>
        <v/>
      </c>
      <c r="AQ128">
        <f>IFERROR(INDEX(Z$13:Z$162,MATCH(116,$AE$13:$AE$162,0)),0)*$T$6</f>
        <v/>
      </c>
      <c r="AR128">
        <f>IFERROR(INDEX(AA$13:AA$162,MATCH(116,$AE$13:$AE$162,0)),0)*$T$6</f>
        <v/>
      </c>
      <c r="AS128">
        <f>IFERROR(INDEX($P$13:$P$162,MATCH(116,$AF$13:$AF$162,0)),"")</f>
        <v/>
      </c>
      <c r="AT128">
        <f>IFERROR(INDEX(S$13:S$162,MATCH(116,$AF$13:$AF$162,0)),0)*$T$7</f>
        <v/>
      </c>
      <c r="AU128">
        <f>IFERROR(INDEX(T$13:T$162,MATCH(116,$AF$13:$AF$162,0)),0)*$T$7</f>
        <v/>
      </c>
      <c r="AV128">
        <f>IFERROR(INDEX(U$13:U$162,MATCH(116,$AF$13:$AF$162,0)),0)*$T$7</f>
        <v/>
      </c>
      <c r="AW128">
        <f>IFERROR(INDEX(V$13:V$162,MATCH(116,$AF$13:$AF$162,0)),0)*$T$7</f>
        <v/>
      </c>
      <c r="AX128">
        <f>IFERROR(INDEX(W$13:W$162,MATCH(116,$AF$13:$AF$162,0)),0)*$T$7</f>
        <v/>
      </c>
      <c r="AY128">
        <f>IFERROR(INDEX(X$13:X$162,MATCH(116,$AF$13:$AF$162,0)),0)*$T$7</f>
        <v/>
      </c>
      <c r="AZ128">
        <f>IFERROR(INDEX(Y$13:Y$162,MATCH(116,$AF$13:$AF$162,0)),0)*$T$7</f>
        <v/>
      </c>
      <c r="BA128">
        <f>IFERROR(INDEX(Z$13:Z$162,MATCH(116,$AF$13:$AF$162,0)),0)*$T$7</f>
        <v/>
      </c>
      <c r="BB128">
        <f>IFERROR(INDEX(AA$13:AA$162,MATCH(116,$AF$13:$AF$162,0)),0)*$T$7</f>
        <v/>
      </c>
      <c r="BC128">
        <f>IFERROR(INDEX($P$13:$P$162,MATCH(116,$AG$13:$AG$162,0)),"")</f>
        <v/>
      </c>
      <c r="BD128">
        <f>IFERROR(INDEX(S$13:S$162,MATCH(116,$AG$13:$AG$162,0)),0)*($T$8+IF($C$10="",$T$9,0))</f>
        <v/>
      </c>
      <c r="BE128">
        <f>IFERROR(INDEX(T$13:T$162,MATCH(116,$AG$13:$AG$162,0)),0)*($T$8+IF($C$10="",$T$9,0))</f>
        <v/>
      </c>
      <c r="BF128">
        <f>IFERROR(INDEX(U$13:U$162,MATCH(116,$AG$13:$AG$162,0)),0)*($T$8+IF($C$10="",$T$9,0))</f>
        <v/>
      </c>
      <c r="BG128">
        <f>IFERROR(INDEX(V$13:V$162,MATCH(116,$AG$13:$AG$162,0)),0)*($T$8+IF($C$10="",$T$9,0))</f>
        <v/>
      </c>
      <c r="BH128">
        <f>IFERROR(INDEX(W$13:W$162,MATCH(116,$AG$13:$AG$162,0)),0)*($T$8+IF($C$10="",$T$9,0))</f>
        <v/>
      </c>
      <c r="BI128">
        <f>IFERROR(INDEX(X$13:X$162,MATCH(116,$AG$13:$AG$162,0)),0)*($T$8+IF($C$10="",$T$9,0))</f>
        <v/>
      </c>
      <c r="BJ128">
        <f>IFERROR(INDEX(Y$13:Y$162,MATCH(116,$AG$13:$AG$162,0)),0)*($T$8+IF($C$10="",$T$9,0))</f>
        <v/>
      </c>
      <c r="BK128">
        <f>IFERROR(INDEX(Z$13:Z$162,MATCH(116,$AG$13:$AG$162,0)),0)*($T$8+IF($C$10="",$T$9,0))</f>
        <v/>
      </c>
      <c r="BL128">
        <f>IFERROR(INDEX(AA$13:AA$162,MATCH(116,$AG$13:$AG$162,0)),0)*($T$8+IF($C$10="",$T$9,0))</f>
        <v/>
      </c>
      <c r="BN128">
        <f>IF(115&lt;$U$9,INT(115/($U$7*$U$8))+1,1)</f>
        <v/>
      </c>
      <c r="BO128">
        <f>IF(115&lt;$U$9,MOD(INT(115/$U$8),$U$7)+1,1)</f>
        <v/>
      </c>
      <c r="BP128">
        <f>IF(115&lt;$U$9,MOD(115,$U$8)+1,1)</f>
        <v/>
      </c>
      <c r="BQ128">
        <f>IF(115&lt;$U$9,SUMPRODUCT(($D$10:$L$10&lt;&gt;"")*(($D$9:$L$9+INT(($S$12:$AA$12+INDEX($AJ$13:$AR$162,BN128,0)+INDEX($AT$13:$BB$162,BO128,0)+INDEX($BD$13:$BL$162,BP128,0))/100))&gt;=$D$10:$L$10)),0)</f>
        <v/>
      </c>
      <c r="BR128">
        <f>IF(115&lt;$U$9,SUMPRODUCT(($D$10:$L$10&lt;&gt;"")*(($D$10:$L$10-($D$9:$L$9+INT(($S$12:$AA$12+INDEX($AJ$13:$AR$162,BN128,0)+INDEX($AT$13:$BB$162,BO128,0)+INDEX($BD$13:$BL$162,BP128,0))/100)))&gt;0)*($D$10:$L$10-($D$9:$L$9+INT(($S$12:$AA$12+INDEX($AJ$13:$AR$162,BN128,0)+INDEX($AT$13:$BB$162,BO128,0)+INDEX($BD$13:$BL$162,BP128,0))/100)))),0)</f>
        <v/>
      </c>
      <c r="BS128">
        <f>IF(115&lt;$U$9,SUMPRODUCT(($D$9:$L$9+INT(($S$12:$AA$12+INDEX($AJ$13:$AR$162,BN128,0)+INDEX($AT$13:$BB$162,BO128,0)+INDEX($BD$13:$BL$162,BP128,0))/100))),0)</f>
        <v/>
      </c>
      <c r="BT128">
        <f>IF(AND(115&lt;$U$9,$W$5),BQ128*1000000-MIN(BR128,999)*1000+BS128-115/100000,-1000000000-115)</f>
        <v/>
      </c>
      <c r="CF128">
        <f>IF($A128="","",IFERROR(MATCH($C128,'职业'!$C$3:$C$152,0),0))</f>
        <v/>
      </c>
      <c r="CG128">
        <f>IF($A128="","",CG127+MAX(0,D$7+IF($CF127=0,0,IFERROR(INDEX('职业'!F$3:F$152,$CF127)+0,0))))</f>
        <v/>
      </c>
      <c r="CH128">
        <f>IF($A128="","",CH127+MAX(0,E$7+IF($CF127=0,0,IFERROR(INDEX('职业'!G$3:G$152,$CF127)+0,0))))</f>
        <v/>
      </c>
      <c r="CI128">
        <f>IF($A128="","",CI127+MAX(0,F$7+IF($CF127=0,0,IFERROR(INDEX('职业'!H$3:H$152,$CF127)+0,0))))</f>
        <v/>
      </c>
      <c r="CJ128">
        <f>IF($A128="","",CJ127+MAX(0,G$7+IF($CF127=0,0,IFERROR(INDEX('职业'!I$3:I$152,$CF127)+0,0))))</f>
        <v/>
      </c>
      <c r="CK128">
        <f>IF($A128="","",CK127+MAX(0,H$7+IF($CF127=0,0,IFERROR(INDEX('职业'!J$3:J$152,$CF127)+0,0))))</f>
        <v/>
      </c>
      <c r="CL128">
        <f>IF($A128="","",CL127+MAX(0,I$7+IF($CF127=0,0,IFERROR(INDEX('职业'!K$3:K$152,$CF127)+0,0))))</f>
        <v/>
      </c>
      <c r="CM128">
        <f>IF($A128="","",CM127+MAX(0,J$7+IF($CF127=0,0,IFERROR(INDEX('职业'!L$3:L$152,$CF127)+0,0))))</f>
        <v/>
      </c>
      <c r="CN128">
        <f>IF($A128="","",CN127+MAX(0,K$7+IF($CF127=0,0,IFERROR(INDEX('职业'!M$3:M$152,$CF127)+0,0))))</f>
        <v/>
      </c>
      <c r="CO128">
        <f>IF($A128="","",CO127+MAX(0,L$7+IF($CF127=0,0,IFERROR(INDEX('职业'!N$3:N$152,$CF127)+0,0))))</f>
        <v/>
      </c>
    </row>
    <row r="129">
      <c r="A129" s="15">
        <f>IF(OR($B$9="",$B$10=""),"",IF($B$9+77&lt;=$B$10,$B$9+77,""))</f>
        <v/>
      </c>
      <c r="B129" s="15">
        <f>IF($A129="","",MATCH($A129,$BV$27:$BV$32,1))</f>
        <v/>
      </c>
      <c r="C129" s="15">
        <f>IF($A129="","",INDEX($BW$27:$BW$32,$B129))</f>
        <v/>
      </c>
      <c r="D129" s="15">
        <f>IF($A129="","",D$9+INT(($B$14+CG129)/100))</f>
        <v/>
      </c>
      <c r="E129" s="15">
        <f>IF($A129="","",E$9+INT(($B$14+CH129)/100))</f>
        <v/>
      </c>
      <c r="F129" s="15">
        <f>IF($A129="","",F$9+INT(($B$14+CI129)/100))</f>
        <v/>
      </c>
      <c r="G129" s="15">
        <f>IF($A129="","",G$9+INT(($B$14+CJ129)/100))</f>
        <v/>
      </c>
      <c r="H129" s="15">
        <f>IF($A129="","",H$9+INT(($B$14+CK129)/100))</f>
        <v/>
      </c>
      <c r="I129" s="15">
        <f>IF($A129="","",I$9+INT(($B$14+CL129)/100))</f>
        <v/>
      </c>
      <c r="J129" s="15">
        <f>IF($A129="","",J$9+INT(($B$14+CM129)/100))</f>
        <v/>
      </c>
      <c r="K129" s="15">
        <f>IF($A129="","",K$9+INT(($B$14+CN129)/100))</f>
        <v/>
      </c>
      <c r="L129" s="15">
        <f>IF($A129="","",L$9+INT(($B$14+CO129)/100))</f>
        <v/>
      </c>
      <c r="M129" s="16">
        <f>IF($A129="","",IF($C129&lt;&gt;$C128,"★ 转职 → 【"&amp;$C129&amp;"】","")&amp;IF($A129=$B$10,"（目标等级）",""))</f>
        <v/>
      </c>
      <c r="P129">
        <f>IF('职业'!$C119="","",'职业'!$C119)</f>
        <v/>
      </c>
      <c r="Q129">
        <f>N('职业'!$D119)</f>
        <v/>
      </c>
      <c r="R129">
        <f>'职业'!$E119&amp;""</f>
        <v/>
      </c>
      <c r="S129">
        <f>IF($P129="",0,MAX(0,D$7+N('职业'!F119)))</f>
        <v/>
      </c>
      <c r="T129">
        <f>IF($P129="",0,MAX(0,E$7+N('职业'!G119)))</f>
        <v/>
      </c>
      <c r="U129">
        <f>IF($P129="",0,MAX(0,F$7+N('职业'!H119)))</f>
        <v/>
      </c>
      <c r="V129">
        <f>IF($P129="",0,MAX(0,G$7+N('职业'!I119)))</f>
        <v/>
      </c>
      <c r="W129">
        <f>IF($P129="",0,MAX(0,H$7+N('职业'!J119)))</f>
        <v/>
      </c>
      <c r="X129">
        <f>IF($P129="",0,MAX(0,I$7+N('职业'!K119)))</f>
        <v/>
      </c>
      <c r="Y129">
        <f>IF($P129="",0,MAX(0,J$7+N('职业'!L119)))</f>
        <v/>
      </c>
      <c r="Z129">
        <f>IF($P129="",0,MAX(0,K$7+N('职业'!M119)))</f>
        <v/>
      </c>
      <c r="AA129">
        <f>IF($P129="",0,MAX(0,L$7+N('职业'!N119)))</f>
        <v/>
      </c>
      <c r="AB129">
        <f>AND($P129&lt;&gt;"",IF($U$5=1,$P129=$C$10,OR($P129=$C$9,AND($R129="是",$Q129&lt;=MAX($B$9,$Q$6)))))</f>
        <v/>
      </c>
      <c r="AC129">
        <f>AND($P129&lt;&gt;"",IF($U$5=2,$P129=$C$10,OR($P129=$C$9,AND($R129="是",$Q129&lt;=MAX($B$9,$Q$7)))))</f>
        <v/>
      </c>
      <c r="AD129">
        <f>AND($P129&lt;&gt;"",IF($U$5=3,$P129=$C$10,OR($P129=$C$9,AND($R129="是",$Q129&lt;=MAX($B$9,$Q$8)))))</f>
        <v/>
      </c>
      <c r="AE129">
        <f>IF(AB129,COUNTIF(AB$13:AB129,TRUE),"")</f>
        <v/>
      </c>
      <c r="AF129">
        <f>IF(AC129,COUNTIF(AC$13:AC129,TRUE),"")</f>
        <v/>
      </c>
      <c r="AG129">
        <f>IF(AD129,COUNTIF(AD$13:AD129,TRUE),"")</f>
        <v/>
      </c>
      <c r="AI129">
        <f>IFERROR(INDEX($P$13:$P$162,MATCH(117,$AE$13:$AE$162,0)),"")</f>
        <v/>
      </c>
      <c r="AJ129">
        <f>IFERROR(INDEX(S$13:S$162,MATCH(117,$AE$13:$AE$162,0)),0)*$T$6</f>
        <v/>
      </c>
      <c r="AK129">
        <f>IFERROR(INDEX(T$13:T$162,MATCH(117,$AE$13:$AE$162,0)),0)*$T$6</f>
        <v/>
      </c>
      <c r="AL129">
        <f>IFERROR(INDEX(U$13:U$162,MATCH(117,$AE$13:$AE$162,0)),0)*$T$6</f>
        <v/>
      </c>
      <c r="AM129">
        <f>IFERROR(INDEX(V$13:V$162,MATCH(117,$AE$13:$AE$162,0)),0)*$T$6</f>
        <v/>
      </c>
      <c r="AN129">
        <f>IFERROR(INDEX(W$13:W$162,MATCH(117,$AE$13:$AE$162,0)),0)*$T$6</f>
        <v/>
      </c>
      <c r="AO129">
        <f>IFERROR(INDEX(X$13:X$162,MATCH(117,$AE$13:$AE$162,0)),0)*$T$6</f>
        <v/>
      </c>
      <c r="AP129">
        <f>IFERROR(INDEX(Y$13:Y$162,MATCH(117,$AE$13:$AE$162,0)),0)*$T$6</f>
        <v/>
      </c>
      <c r="AQ129">
        <f>IFERROR(INDEX(Z$13:Z$162,MATCH(117,$AE$13:$AE$162,0)),0)*$T$6</f>
        <v/>
      </c>
      <c r="AR129">
        <f>IFERROR(INDEX(AA$13:AA$162,MATCH(117,$AE$13:$AE$162,0)),0)*$T$6</f>
        <v/>
      </c>
      <c r="AS129">
        <f>IFERROR(INDEX($P$13:$P$162,MATCH(117,$AF$13:$AF$162,0)),"")</f>
        <v/>
      </c>
      <c r="AT129">
        <f>IFERROR(INDEX(S$13:S$162,MATCH(117,$AF$13:$AF$162,0)),0)*$T$7</f>
        <v/>
      </c>
      <c r="AU129">
        <f>IFERROR(INDEX(T$13:T$162,MATCH(117,$AF$13:$AF$162,0)),0)*$T$7</f>
        <v/>
      </c>
      <c r="AV129">
        <f>IFERROR(INDEX(U$13:U$162,MATCH(117,$AF$13:$AF$162,0)),0)*$T$7</f>
        <v/>
      </c>
      <c r="AW129">
        <f>IFERROR(INDEX(V$13:V$162,MATCH(117,$AF$13:$AF$162,0)),0)*$T$7</f>
        <v/>
      </c>
      <c r="AX129">
        <f>IFERROR(INDEX(W$13:W$162,MATCH(117,$AF$13:$AF$162,0)),0)*$T$7</f>
        <v/>
      </c>
      <c r="AY129">
        <f>IFERROR(INDEX(X$13:X$162,MATCH(117,$AF$13:$AF$162,0)),0)*$T$7</f>
        <v/>
      </c>
      <c r="AZ129">
        <f>IFERROR(INDEX(Y$13:Y$162,MATCH(117,$AF$13:$AF$162,0)),0)*$T$7</f>
        <v/>
      </c>
      <c r="BA129">
        <f>IFERROR(INDEX(Z$13:Z$162,MATCH(117,$AF$13:$AF$162,0)),0)*$T$7</f>
        <v/>
      </c>
      <c r="BB129">
        <f>IFERROR(INDEX(AA$13:AA$162,MATCH(117,$AF$13:$AF$162,0)),0)*$T$7</f>
        <v/>
      </c>
      <c r="BC129">
        <f>IFERROR(INDEX($P$13:$P$162,MATCH(117,$AG$13:$AG$162,0)),"")</f>
        <v/>
      </c>
      <c r="BD129">
        <f>IFERROR(INDEX(S$13:S$162,MATCH(117,$AG$13:$AG$162,0)),0)*($T$8+IF($C$10="",$T$9,0))</f>
        <v/>
      </c>
      <c r="BE129">
        <f>IFERROR(INDEX(T$13:T$162,MATCH(117,$AG$13:$AG$162,0)),0)*($T$8+IF($C$10="",$T$9,0))</f>
        <v/>
      </c>
      <c r="BF129">
        <f>IFERROR(INDEX(U$13:U$162,MATCH(117,$AG$13:$AG$162,0)),0)*($T$8+IF($C$10="",$T$9,0))</f>
        <v/>
      </c>
      <c r="BG129">
        <f>IFERROR(INDEX(V$13:V$162,MATCH(117,$AG$13:$AG$162,0)),0)*($T$8+IF($C$10="",$T$9,0))</f>
        <v/>
      </c>
      <c r="BH129">
        <f>IFERROR(INDEX(W$13:W$162,MATCH(117,$AG$13:$AG$162,0)),0)*($T$8+IF($C$10="",$T$9,0))</f>
        <v/>
      </c>
      <c r="BI129">
        <f>IFERROR(INDEX(X$13:X$162,MATCH(117,$AG$13:$AG$162,0)),0)*($T$8+IF($C$10="",$T$9,0))</f>
        <v/>
      </c>
      <c r="BJ129">
        <f>IFERROR(INDEX(Y$13:Y$162,MATCH(117,$AG$13:$AG$162,0)),0)*($T$8+IF($C$10="",$T$9,0))</f>
        <v/>
      </c>
      <c r="BK129">
        <f>IFERROR(INDEX(Z$13:Z$162,MATCH(117,$AG$13:$AG$162,0)),0)*($T$8+IF($C$10="",$T$9,0))</f>
        <v/>
      </c>
      <c r="BL129">
        <f>IFERROR(INDEX(AA$13:AA$162,MATCH(117,$AG$13:$AG$162,0)),0)*($T$8+IF($C$10="",$T$9,0))</f>
        <v/>
      </c>
      <c r="BN129">
        <f>IF(116&lt;$U$9,INT(116/($U$7*$U$8))+1,1)</f>
        <v/>
      </c>
      <c r="BO129">
        <f>IF(116&lt;$U$9,MOD(INT(116/$U$8),$U$7)+1,1)</f>
        <v/>
      </c>
      <c r="BP129">
        <f>IF(116&lt;$U$9,MOD(116,$U$8)+1,1)</f>
        <v/>
      </c>
      <c r="BQ129">
        <f>IF(116&lt;$U$9,SUMPRODUCT(($D$10:$L$10&lt;&gt;"")*(($D$9:$L$9+INT(($S$12:$AA$12+INDEX($AJ$13:$AR$162,BN129,0)+INDEX($AT$13:$BB$162,BO129,0)+INDEX($BD$13:$BL$162,BP129,0))/100))&gt;=$D$10:$L$10)),0)</f>
        <v/>
      </c>
      <c r="BR129">
        <f>IF(116&lt;$U$9,SUMPRODUCT(($D$10:$L$10&lt;&gt;"")*(($D$10:$L$10-($D$9:$L$9+INT(($S$12:$AA$12+INDEX($AJ$13:$AR$162,BN129,0)+INDEX($AT$13:$BB$162,BO129,0)+INDEX($BD$13:$BL$162,BP129,0))/100)))&gt;0)*($D$10:$L$10-($D$9:$L$9+INT(($S$12:$AA$12+INDEX($AJ$13:$AR$162,BN129,0)+INDEX($AT$13:$BB$162,BO129,0)+INDEX($BD$13:$BL$162,BP129,0))/100)))),0)</f>
        <v/>
      </c>
      <c r="BS129">
        <f>IF(116&lt;$U$9,SUMPRODUCT(($D$9:$L$9+INT(($S$12:$AA$12+INDEX($AJ$13:$AR$162,BN129,0)+INDEX($AT$13:$BB$162,BO129,0)+INDEX($BD$13:$BL$162,BP129,0))/100))),0)</f>
        <v/>
      </c>
      <c r="BT129">
        <f>IF(AND(116&lt;$U$9,$W$5),BQ129*1000000-MIN(BR129,999)*1000+BS129-116/100000,-1000000000-116)</f>
        <v/>
      </c>
      <c r="CF129">
        <f>IF($A129="","",IFERROR(MATCH($C129,'职业'!$C$3:$C$152,0),0))</f>
        <v/>
      </c>
      <c r="CG129">
        <f>IF($A129="","",CG128+MAX(0,D$7+IF($CF128=0,0,IFERROR(INDEX('职业'!F$3:F$152,$CF128)+0,0))))</f>
        <v/>
      </c>
      <c r="CH129">
        <f>IF($A129="","",CH128+MAX(0,E$7+IF($CF128=0,0,IFERROR(INDEX('职业'!G$3:G$152,$CF128)+0,0))))</f>
        <v/>
      </c>
      <c r="CI129">
        <f>IF($A129="","",CI128+MAX(0,F$7+IF($CF128=0,0,IFERROR(INDEX('职业'!H$3:H$152,$CF128)+0,0))))</f>
        <v/>
      </c>
      <c r="CJ129">
        <f>IF($A129="","",CJ128+MAX(0,G$7+IF($CF128=0,0,IFERROR(INDEX('职业'!I$3:I$152,$CF128)+0,0))))</f>
        <v/>
      </c>
      <c r="CK129">
        <f>IF($A129="","",CK128+MAX(0,H$7+IF($CF128=0,0,IFERROR(INDEX('职业'!J$3:J$152,$CF128)+0,0))))</f>
        <v/>
      </c>
      <c r="CL129">
        <f>IF($A129="","",CL128+MAX(0,I$7+IF($CF128=0,0,IFERROR(INDEX('职业'!K$3:K$152,$CF128)+0,0))))</f>
        <v/>
      </c>
      <c r="CM129">
        <f>IF($A129="","",CM128+MAX(0,J$7+IF($CF128=0,0,IFERROR(INDEX('职业'!L$3:L$152,$CF128)+0,0))))</f>
        <v/>
      </c>
      <c r="CN129">
        <f>IF($A129="","",CN128+MAX(0,K$7+IF($CF128=0,0,IFERROR(INDEX('职业'!M$3:M$152,$CF128)+0,0))))</f>
        <v/>
      </c>
      <c r="CO129">
        <f>IF($A129="","",CO128+MAX(0,L$7+IF($CF128=0,0,IFERROR(INDEX('职业'!N$3:N$152,$CF128)+0,0))))</f>
        <v/>
      </c>
    </row>
    <row r="130">
      <c r="A130" s="15">
        <f>IF(OR($B$9="",$B$10=""),"",IF($B$9+78&lt;=$B$10,$B$9+78,""))</f>
        <v/>
      </c>
      <c r="B130" s="15">
        <f>IF($A130="","",MATCH($A130,$BV$27:$BV$32,1))</f>
        <v/>
      </c>
      <c r="C130" s="15">
        <f>IF($A130="","",INDEX($BW$27:$BW$32,$B130))</f>
        <v/>
      </c>
      <c r="D130" s="15">
        <f>IF($A130="","",D$9+INT(($B$14+CG130)/100))</f>
        <v/>
      </c>
      <c r="E130" s="15">
        <f>IF($A130="","",E$9+INT(($B$14+CH130)/100))</f>
        <v/>
      </c>
      <c r="F130" s="15">
        <f>IF($A130="","",F$9+INT(($B$14+CI130)/100))</f>
        <v/>
      </c>
      <c r="G130" s="15">
        <f>IF($A130="","",G$9+INT(($B$14+CJ130)/100))</f>
        <v/>
      </c>
      <c r="H130" s="15">
        <f>IF($A130="","",H$9+INT(($B$14+CK130)/100))</f>
        <v/>
      </c>
      <c r="I130" s="15">
        <f>IF($A130="","",I$9+INT(($B$14+CL130)/100))</f>
        <v/>
      </c>
      <c r="J130" s="15">
        <f>IF($A130="","",J$9+INT(($B$14+CM130)/100))</f>
        <v/>
      </c>
      <c r="K130" s="15">
        <f>IF($A130="","",K$9+INT(($B$14+CN130)/100))</f>
        <v/>
      </c>
      <c r="L130" s="15">
        <f>IF($A130="","",L$9+INT(($B$14+CO130)/100))</f>
        <v/>
      </c>
      <c r="M130" s="16">
        <f>IF($A130="","",IF($C130&lt;&gt;$C129,"★ 转职 → 【"&amp;$C130&amp;"】","")&amp;IF($A130=$B$10,"（目标等级）",""))</f>
        <v/>
      </c>
      <c r="P130">
        <f>IF('职业'!$C120="","",'职业'!$C120)</f>
        <v/>
      </c>
      <c r="Q130">
        <f>N('职业'!$D120)</f>
        <v/>
      </c>
      <c r="R130">
        <f>'职业'!$E120&amp;""</f>
        <v/>
      </c>
      <c r="S130">
        <f>IF($P130="",0,MAX(0,D$7+N('职业'!F120)))</f>
        <v/>
      </c>
      <c r="T130">
        <f>IF($P130="",0,MAX(0,E$7+N('职业'!G120)))</f>
        <v/>
      </c>
      <c r="U130">
        <f>IF($P130="",0,MAX(0,F$7+N('职业'!H120)))</f>
        <v/>
      </c>
      <c r="V130">
        <f>IF($P130="",0,MAX(0,G$7+N('职业'!I120)))</f>
        <v/>
      </c>
      <c r="W130">
        <f>IF($P130="",0,MAX(0,H$7+N('职业'!J120)))</f>
        <v/>
      </c>
      <c r="X130">
        <f>IF($P130="",0,MAX(0,I$7+N('职业'!K120)))</f>
        <v/>
      </c>
      <c r="Y130">
        <f>IF($P130="",0,MAX(0,J$7+N('职业'!L120)))</f>
        <v/>
      </c>
      <c r="Z130">
        <f>IF($P130="",0,MAX(0,K$7+N('职业'!M120)))</f>
        <v/>
      </c>
      <c r="AA130">
        <f>IF($P130="",0,MAX(0,L$7+N('职业'!N120)))</f>
        <v/>
      </c>
      <c r="AB130">
        <f>AND($P130&lt;&gt;"",IF($U$5=1,$P130=$C$10,OR($P130=$C$9,AND($R130="是",$Q130&lt;=MAX($B$9,$Q$6)))))</f>
        <v/>
      </c>
      <c r="AC130">
        <f>AND($P130&lt;&gt;"",IF($U$5=2,$P130=$C$10,OR($P130=$C$9,AND($R130="是",$Q130&lt;=MAX($B$9,$Q$7)))))</f>
        <v/>
      </c>
      <c r="AD130">
        <f>AND($P130&lt;&gt;"",IF($U$5=3,$P130=$C$10,OR($P130=$C$9,AND($R130="是",$Q130&lt;=MAX($B$9,$Q$8)))))</f>
        <v/>
      </c>
      <c r="AE130">
        <f>IF(AB130,COUNTIF(AB$13:AB130,TRUE),"")</f>
        <v/>
      </c>
      <c r="AF130">
        <f>IF(AC130,COUNTIF(AC$13:AC130,TRUE),"")</f>
        <v/>
      </c>
      <c r="AG130">
        <f>IF(AD130,COUNTIF(AD$13:AD130,TRUE),"")</f>
        <v/>
      </c>
      <c r="AI130">
        <f>IFERROR(INDEX($P$13:$P$162,MATCH(118,$AE$13:$AE$162,0)),"")</f>
        <v/>
      </c>
      <c r="AJ130">
        <f>IFERROR(INDEX(S$13:S$162,MATCH(118,$AE$13:$AE$162,0)),0)*$T$6</f>
        <v/>
      </c>
      <c r="AK130">
        <f>IFERROR(INDEX(T$13:T$162,MATCH(118,$AE$13:$AE$162,0)),0)*$T$6</f>
        <v/>
      </c>
      <c r="AL130">
        <f>IFERROR(INDEX(U$13:U$162,MATCH(118,$AE$13:$AE$162,0)),0)*$T$6</f>
        <v/>
      </c>
      <c r="AM130">
        <f>IFERROR(INDEX(V$13:V$162,MATCH(118,$AE$13:$AE$162,0)),0)*$T$6</f>
        <v/>
      </c>
      <c r="AN130">
        <f>IFERROR(INDEX(W$13:W$162,MATCH(118,$AE$13:$AE$162,0)),0)*$T$6</f>
        <v/>
      </c>
      <c r="AO130">
        <f>IFERROR(INDEX(X$13:X$162,MATCH(118,$AE$13:$AE$162,0)),0)*$T$6</f>
        <v/>
      </c>
      <c r="AP130">
        <f>IFERROR(INDEX(Y$13:Y$162,MATCH(118,$AE$13:$AE$162,0)),0)*$T$6</f>
        <v/>
      </c>
      <c r="AQ130">
        <f>IFERROR(INDEX(Z$13:Z$162,MATCH(118,$AE$13:$AE$162,0)),0)*$T$6</f>
        <v/>
      </c>
      <c r="AR130">
        <f>IFERROR(INDEX(AA$13:AA$162,MATCH(118,$AE$13:$AE$162,0)),0)*$T$6</f>
        <v/>
      </c>
      <c r="AS130">
        <f>IFERROR(INDEX($P$13:$P$162,MATCH(118,$AF$13:$AF$162,0)),"")</f>
        <v/>
      </c>
      <c r="AT130">
        <f>IFERROR(INDEX(S$13:S$162,MATCH(118,$AF$13:$AF$162,0)),0)*$T$7</f>
        <v/>
      </c>
      <c r="AU130">
        <f>IFERROR(INDEX(T$13:T$162,MATCH(118,$AF$13:$AF$162,0)),0)*$T$7</f>
        <v/>
      </c>
      <c r="AV130">
        <f>IFERROR(INDEX(U$13:U$162,MATCH(118,$AF$13:$AF$162,0)),0)*$T$7</f>
        <v/>
      </c>
      <c r="AW130">
        <f>IFERROR(INDEX(V$13:V$162,MATCH(118,$AF$13:$AF$162,0)),0)*$T$7</f>
        <v/>
      </c>
      <c r="AX130">
        <f>IFERROR(INDEX(W$13:W$162,MATCH(118,$AF$13:$AF$162,0)),0)*$T$7</f>
        <v/>
      </c>
      <c r="AY130">
        <f>IFERROR(INDEX(X$13:X$162,MATCH(118,$AF$13:$AF$162,0)),0)*$T$7</f>
        <v/>
      </c>
      <c r="AZ130">
        <f>IFERROR(INDEX(Y$13:Y$162,MATCH(118,$AF$13:$AF$162,0)),0)*$T$7</f>
        <v/>
      </c>
      <c r="BA130">
        <f>IFERROR(INDEX(Z$13:Z$162,MATCH(118,$AF$13:$AF$162,0)),0)*$T$7</f>
        <v/>
      </c>
      <c r="BB130">
        <f>IFERROR(INDEX(AA$13:AA$162,MATCH(118,$AF$13:$AF$162,0)),0)*$T$7</f>
        <v/>
      </c>
      <c r="BC130">
        <f>IFERROR(INDEX($P$13:$P$162,MATCH(118,$AG$13:$AG$162,0)),"")</f>
        <v/>
      </c>
      <c r="BD130">
        <f>IFERROR(INDEX(S$13:S$162,MATCH(118,$AG$13:$AG$162,0)),0)*($T$8+IF($C$10="",$T$9,0))</f>
        <v/>
      </c>
      <c r="BE130">
        <f>IFERROR(INDEX(T$13:T$162,MATCH(118,$AG$13:$AG$162,0)),0)*($T$8+IF($C$10="",$T$9,0))</f>
        <v/>
      </c>
      <c r="BF130">
        <f>IFERROR(INDEX(U$13:U$162,MATCH(118,$AG$13:$AG$162,0)),0)*($T$8+IF($C$10="",$T$9,0))</f>
        <v/>
      </c>
      <c r="BG130">
        <f>IFERROR(INDEX(V$13:V$162,MATCH(118,$AG$13:$AG$162,0)),0)*($T$8+IF($C$10="",$T$9,0))</f>
        <v/>
      </c>
      <c r="BH130">
        <f>IFERROR(INDEX(W$13:W$162,MATCH(118,$AG$13:$AG$162,0)),0)*($T$8+IF($C$10="",$T$9,0))</f>
        <v/>
      </c>
      <c r="BI130">
        <f>IFERROR(INDEX(X$13:X$162,MATCH(118,$AG$13:$AG$162,0)),0)*($T$8+IF($C$10="",$T$9,0))</f>
        <v/>
      </c>
      <c r="BJ130">
        <f>IFERROR(INDEX(Y$13:Y$162,MATCH(118,$AG$13:$AG$162,0)),0)*($T$8+IF($C$10="",$T$9,0))</f>
        <v/>
      </c>
      <c r="BK130">
        <f>IFERROR(INDEX(Z$13:Z$162,MATCH(118,$AG$13:$AG$162,0)),0)*($T$8+IF($C$10="",$T$9,0))</f>
        <v/>
      </c>
      <c r="BL130">
        <f>IFERROR(INDEX(AA$13:AA$162,MATCH(118,$AG$13:$AG$162,0)),0)*($T$8+IF($C$10="",$T$9,0))</f>
        <v/>
      </c>
      <c r="BN130">
        <f>IF(117&lt;$U$9,INT(117/($U$7*$U$8))+1,1)</f>
        <v/>
      </c>
      <c r="BO130">
        <f>IF(117&lt;$U$9,MOD(INT(117/$U$8),$U$7)+1,1)</f>
        <v/>
      </c>
      <c r="BP130">
        <f>IF(117&lt;$U$9,MOD(117,$U$8)+1,1)</f>
        <v/>
      </c>
      <c r="BQ130">
        <f>IF(117&lt;$U$9,SUMPRODUCT(($D$10:$L$10&lt;&gt;"")*(($D$9:$L$9+INT(($S$12:$AA$12+INDEX($AJ$13:$AR$162,BN130,0)+INDEX($AT$13:$BB$162,BO130,0)+INDEX($BD$13:$BL$162,BP130,0))/100))&gt;=$D$10:$L$10)),0)</f>
        <v/>
      </c>
      <c r="BR130">
        <f>IF(117&lt;$U$9,SUMPRODUCT(($D$10:$L$10&lt;&gt;"")*(($D$10:$L$10-($D$9:$L$9+INT(($S$12:$AA$12+INDEX($AJ$13:$AR$162,BN130,0)+INDEX($AT$13:$BB$162,BO130,0)+INDEX($BD$13:$BL$162,BP130,0))/100)))&gt;0)*($D$10:$L$10-($D$9:$L$9+INT(($S$12:$AA$12+INDEX($AJ$13:$AR$162,BN130,0)+INDEX($AT$13:$BB$162,BO130,0)+INDEX($BD$13:$BL$162,BP130,0))/100)))),0)</f>
        <v/>
      </c>
      <c r="BS130">
        <f>IF(117&lt;$U$9,SUMPRODUCT(($D$9:$L$9+INT(($S$12:$AA$12+INDEX($AJ$13:$AR$162,BN130,0)+INDEX($AT$13:$BB$162,BO130,0)+INDEX($BD$13:$BL$162,BP130,0))/100))),0)</f>
        <v/>
      </c>
      <c r="BT130">
        <f>IF(AND(117&lt;$U$9,$W$5),BQ130*1000000-MIN(BR130,999)*1000+BS130-117/100000,-1000000000-117)</f>
        <v/>
      </c>
      <c r="CF130">
        <f>IF($A130="","",IFERROR(MATCH($C130,'职业'!$C$3:$C$152,0),0))</f>
        <v/>
      </c>
      <c r="CG130">
        <f>IF($A130="","",CG129+MAX(0,D$7+IF($CF129=0,0,IFERROR(INDEX('职业'!F$3:F$152,$CF129)+0,0))))</f>
        <v/>
      </c>
      <c r="CH130">
        <f>IF($A130="","",CH129+MAX(0,E$7+IF($CF129=0,0,IFERROR(INDEX('职业'!G$3:G$152,$CF129)+0,0))))</f>
        <v/>
      </c>
      <c r="CI130">
        <f>IF($A130="","",CI129+MAX(0,F$7+IF($CF129=0,0,IFERROR(INDEX('职业'!H$3:H$152,$CF129)+0,0))))</f>
        <v/>
      </c>
      <c r="CJ130">
        <f>IF($A130="","",CJ129+MAX(0,G$7+IF($CF129=0,0,IFERROR(INDEX('职业'!I$3:I$152,$CF129)+0,0))))</f>
        <v/>
      </c>
      <c r="CK130">
        <f>IF($A130="","",CK129+MAX(0,H$7+IF($CF129=0,0,IFERROR(INDEX('职业'!J$3:J$152,$CF129)+0,0))))</f>
        <v/>
      </c>
      <c r="CL130">
        <f>IF($A130="","",CL129+MAX(0,I$7+IF($CF129=0,0,IFERROR(INDEX('职业'!K$3:K$152,$CF129)+0,0))))</f>
        <v/>
      </c>
      <c r="CM130">
        <f>IF($A130="","",CM129+MAX(0,J$7+IF($CF129=0,0,IFERROR(INDEX('职业'!L$3:L$152,$CF129)+0,0))))</f>
        <v/>
      </c>
      <c r="CN130">
        <f>IF($A130="","",CN129+MAX(0,K$7+IF($CF129=0,0,IFERROR(INDEX('职业'!M$3:M$152,$CF129)+0,0))))</f>
        <v/>
      </c>
      <c r="CO130">
        <f>IF($A130="","",CO129+MAX(0,L$7+IF($CF129=0,0,IFERROR(INDEX('职业'!N$3:N$152,$CF129)+0,0))))</f>
        <v/>
      </c>
    </row>
    <row r="131">
      <c r="A131" s="15">
        <f>IF(OR($B$9="",$B$10=""),"",IF($B$9+79&lt;=$B$10,$B$9+79,""))</f>
        <v/>
      </c>
      <c r="B131" s="15">
        <f>IF($A131="","",MATCH($A131,$BV$27:$BV$32,1))</f>
        <v/>
      </c>
      <c r="C131" s="15">
        <f>IF($A131="","",INDEX($BW$27:$BW$32,$B131))</f>
        <v/>
      </c>
      <c r="D131" s="15">
        <f>IF($A131="","",D$9+INT(($B$14+CG131)/100))</f>
        <v/>
      </c>
      <c r="E131" s="15">
        <f>IF($A131="","",E$9+INT(($B$14+CH131)/100))</f>
        <v/>
      </c>
      <c r="F131" s="15">
        <f>IF($A131="","",F$9+INT(($B$14+CI131)/100))</f>
        <v/>
      </c>
      <c r="G131" s="15">
        <f>IF($A131="","",G$9+INT(($B$14+CJ131)/100))</f>
        <v/>
      </c>
      <c r="H131" s="15">
        <f>IF($A131="","",H$9+INT(($B$14+CK131)/100))</f>
        <v/>
      </c>
      <c r="I131" s="15">
        <f>IF($A131="","",I$9+INT(($B$14+CL131)/100))</f>
        <v/>
      </c>
      <c r="J131" s="15">
        <f>IF($A131="","",J$9+INT(($B$14+CM131)/100))</f>
        <v/>
      </c>
      <c r="K131" s="15">
        <f>IF($A131="","",K$9+INT(($B$14+CN131)/100))</f>
        <v/>
      </c>
      <c r="L131" s="15">
        <f>IF($A131="","",L$9+INT(($B$14+CO131)/100))</f>
        <v/>
      </c>
      <c r="M131" s="16">
        <f>IF($A131="","",IF($C131&lt;&gt;$C130,"★ 转职 → 【"&amp;$C131&amp;"】","")&amp;IF($A131=$B$10,"（目标等级）",""))</f>
        <v/>
      </c>
      <c r="P131">
        <f>IF('职业'!$C121="","",'职业'!$C121)</f>
        <v/>
      </c>
      <c r="Q131">
        <f>N('职业'!$D121)</f>
        <v/>
      </c>
      <c r="R131">
        <f>'职业'!$E121&amp;""</f>
        <v/>
      </c>
      <c r="S131">
        <f>IF($P131="",0,MAX(0,D$7+N('职业'!F121)))</f>
        <v/>
      </c>
      <c r="T131">
        <f>IF($P131="",0,MAX(0,E$7+N('职业'!G121)))</f>
        <v/>
      </c>
      <c r="U131">
        <f>IF($P131="",0,MAX(0,F$7+N('职业'!H121)))</f>
        <v/>
      </c>
      <c r="V131">
        <f>IF($P131="",0,MAX(0,G$7+N('职业'!I121)))</f>
        <v/>
      </c>
      <c r="W131">
        <f>IF($P131="",0,MAX(0,H$7+N('职业'!J121)))</f>
        <v/>
      </c>
      <c r="X131">
        <f>IF($P131="",0,MAX(0,I$7+N('职业'!K121)))</f>
        <v/>
      </c>
      <c r="Y131">
        <f>IF($P131="",0,MAX(0,J$7+N('职业'!L121)))</f>
        <v/>
      </c>
      <c r="Z131">
        <f>IF($P131="",0,MAX(0,K$7+N('职业'!M121)))</f>
        <v/>
      </c>
      <c r="AA131">
        <f>IF($P131="",0,MAX(0,L$7+N('职业'!N121)))</f>
        <v/>
      </c>
      <c r="AB131">
        <f>AND($P131&lt;&gt;"",IF($U$5=1,$P131=$C$10,OR($P131=$C$9,AND($R131="是",$Q131&lt;=MAX($B$9,$Q$6)))))</f>
        <v/>
      </c>
      <c r="AC131">
        <f>AND($P131&lt;&gt;"",IF($U$5=2,$P131=$C$10,OR($P131=$C$9,AND($R131="是",$Q131&lt;=MAX($B$9,$Q$7)))))</f>
        <v/>
      </c>
      <c r="AD131">
        <f>AND($P131&lt;&gt;"",IF($U$5=3,$P131=$C$10,OR($P131=$C$9,AND($R131="是",$Q131&lt;=MAX($B$9,$Q$8)))))</f>
        <v/>
      </c>
      <c r="AE131">
        <f>IF(AB131,COUNTIF(AB$13:AB131,TRUE),"")</f>
        <v/>
      </c>
      <c r="AF131">
        <f>IF(AC131,COUNTIF(AC$13:AC131,TRUE),"")</f>
        <v/>
      </c>
      <c r="AG131">
        <f>IF(AD131,COUNTIF(AD$13:AD131,TRUE),"")</f>
        <v/>
      </c>
      <c r="AI131">
        <f>IFERROR(INDEX($P$13:$P$162,MATCH(119,$AE$13:$AE$162,0)),"")</f>
        <v/>
      </c>
      <c r="AJ131">
        <f>IFERROR(INDEX(S$13:S$162,MATCH(119,$AE$13:$AE$162,0)),0)*$T$6</f>
        <v/>
      </c>
      <c r="AK131">
        <f>IFERROR(INDEX(T$13:T$162,MATCH(119,$AE$13:$AE$162,0)),0)*$T$6</f>
        <v/>
      </c>
      <c r="AL131">
        <f>IFERROR(INDEX(U$13:U$162,MATCH(119,$AE$13:$AE$162,0)),0)*$T$6</f>
        <v/>
      </c>
      <c r="AM131">
        <f>IFERROR(INDEX(V$13:V$162,MATCH(119,$AE$13:$AE$162,0)),0)*$T$6</f>
        <v/>
      </c>
      <c r="AN131">
        <f>IFERROR(INDEX(W$13:W$162,MATCH(119,$AE$13:$AE$162,0)),0)*$T$6</f>
        <v/>
      </c>
      <c r="AO131">
        <f>IFERROR(INDEX(X$13:X$162,MATCH(119,$AE$13:$AE$162,0)),0)*$T$6</f>
        <v/>
      </c>
      <c r="AP131">
        <f>IFERROR(INDEX(Y$13:Y$162,MATCH(119,$AE$13:$AE$162,0)),0)*$T$6</f>
        <v/>
      </c>
      <c r="AQ131">
        <f>IFERROR(INDEX(Z$13:Z$162,MATCH(119,$AE$13:$AE$162,0)),0)*$T$6</f>
        <v/>
      </c>
      <c r="AR131">
        <f>IFERROR(INDEX(AA$13:AA$162,MATCH(119,$AE$13:$AE$162,0)),0)*$T$6</f>
        <v/>
      </c>
      <c r="AS131">
        <f>IFERROR(INDEX($P$13:$P$162,MATCH(119,$AF$13:$AF$162,0)),"")</f>
        <v/>
      </c>
      <c r="AT131">
        <f>IFERROR(INDEX(S$13:S$162,MATCH(119,$AF$13:$AF$162,0)),0)*$T$7</f>
        <v/>
      </c>
      <c r="AU131">
        <f>IFERROR(INDEX(T$13:T$162,MATCH(119,$AF$13:$AF$162,0)),0)*$T$7</f>
        <v/>
      </c>
      <c r="AV131">
        <f>IFERROR(INDEX(U$13:U$162,MATCH(119,$AF$13:$AF$162,0)),0)*$T$7</f>
        <v/>
      </c>
      <c r="AW131">
        <f>IFERROR(INDEX(V$13:V$162,MATCH(119,$AF$13:$AF$162,0)),0)*$T$7</f>
        <v/>
      </c>
      <c r="AX131">
        <f>IFERROR(INDEX(W$13:W$162,MATCH(119,$AF$13:$AF$162,0)),0)*$T$7</f>
        <v/>
      </c>
      <c r="AY131">
        <f>IFERROR(INDEX(X$13:X$162,MATCH(119,$AF$13:$AF$162,0)),0)*$T$7</f>
        <v/>
      </c>
      <c r="AZ131">
        <f>IFERROR(INDEX(Y$13:Y$162,MATCH(119,$AF$13:$AF$162,0)),0)*$T$7</f>
        <v/>
      </c>
      <c r="BA131">
        <f>IFERROR(INDEX(Z$13:Z$162,MATCH(119,$AF$13:$AF$162,0)),0)*$T$7</f>
        <v/>
      </c>
      <c r="BB131">
        <f>IFERROR(INDEX(AA$13:AA$162,MATCH(119,$AF$13:$AF$162,0)),0)*$T$7</f>
        <v/>
      </c>
      <c r="BC131">
        <f>IFERROR(INDEX($P$13:$P$162,MATCH(119,$AG$13:$AG$162,0)),"")</f>
        <v/>
      </c>
      <c r="BD131">
        <f>IFERROR(INDEX(S$13:S$162,MATCH(119,$AG$13:$AG$162,0)),0)*($T$8+IF($C$10="",$T$9,0))</f>
        <v/>
      </c>
      <c r="BE131">
        <f>IFERROR(INDEX(T$13:T$162,MATCH(119,$AG$13:$AG$162,0)),0)*($T$8+IF($C$10="",$T$9,0))</f>
        <v/>
      </c>
      <c r="BF131">
        <f>IFERROR(INDEX(U$13:U$162,MATCH(119,$AG$13:$AG$162,0)),0)*($T$8+IF($C$10="",$T$9,0))</f>
        <v/>
      </c>
      <c r="BG131">
        <f>IFERROR(INDEX(V$13:V$162,MATCH(119,$AG$13:$AG$162,0)),0)*($T$8+IF($C$10="",$T$9,0))</f>
        <v/>
      </c>
      <c r="BH131">
        <f>IFERROR(INDEX(W$13:W$162,MATCH(119,$AG$13:$AG$162,0)),0)*($T$8+IF($C$10="",$T$9,0))</f>
        <v/>
      </c>
      <c r="BI131">
        <f>IFERROR(INDEX(X$13:X$162,MATCH(119,$AG$13:$AG$162,0)),0)*($T$8+IF($C$10="",$T$9,0))</f>
        <v/>
      </c>
      <c r="BJ131">
        <f>IFERROR(INDEX(Y$13:Y$162,MATCH(119,$AG$13:$AG$162,0)),0)*($T$8+IF($C$10="",$T$9,0))</f>
        <v/>
      </c>
      <c r="BK131">
        <f>IFERROR(INDEX(Z$13:Z$162,MATCH(119,$AG$13:$AG$162,0)),0)*($T$8+IF($C$10="",$T$9,0))</f>
        <v/>
      </c>
      <c r="BL131">
        <f>IFERROR(INDEX(AA$13:AA$162,MATCH(119,$AG$13:$AG$162,0)),0)*($T$8+IF($C$10="",$T$9,0))</f>
        <v/>
      </c>
      <c r="BN131">
        <f>IF(118&lt;$U$9,INT(118/($U$7*$U$8))+1,1)</f>
        <v/>
      </c>
      <c r="BO131">
        <f>IF(118&lt;$U$9,MOD(INT(118/$U$8),$U$7)+1,1)</f>
        <v/>
      </c>
      <c r="BP131">
        <f>IF(118&lt;$U$9,MOD(118,$U$8)+1,1)</f>
        <v/>
      </c>
      <c r="BQ131">
        <f>IF(118&lt;$U$9,SUMPRODUCT(($D$10:$L$10&lt;&gt;"")*(($D$9:$L$9+INT(($S$12:$AA$12+INDEX($AJ$13:$AR$162,BN131,0)+INDEX($AT$13:$BB$162,BO131,0)+INDEX($BD$13:$BL$162,BP131,0))/100))&gt;=$D$10:$L$10)),0)</f>
        <v/>
      </c>
      <c r="BR131">
        <f>IF(118&lt;$U$9,SUMPRODUCT(($D$10:$L$10&lt;&gt;"")*(($D$10:$L$10-($D$9:$L$9+INT(($S$12:$AA$12+INDEX($AJ$13:$AR$162,BN131,0)+INDEX($AT$13:$BB$162,BO131,0)+INDEX($BD$13:$BL$162,BP131,0))/100)))&gt;0)*($D$10:$L$10-($D$9:$L$9+INT(($S$12:$AA$12+INDEX($AJ$13:$AR$162,BN131,0)+INDEX($AT$13:$BB$162,BO131,0)+INDEX($BD$13:$BL$162,BP131,0))/100)))),0)</f>
        <v/>
      </c>
      <c r="BS131">
        <f>IF(118&lt;$U$9,SUMPRODUCT(($D$9:$L$9+INT(($S$12:$AA$12+INDEX($AJ$13:$AR$162,BN131,0)+INDEX($AT$13:$BB$162,BO131,0)+INDEX($BD$13:$BL$162,BP131,0))/100))),0)</f>
        <v/>
      </c>
      <c r="BT131">
        <f>IF(AND(118&lt;$U$9,$W$5),BQ131*1000000-MIN(BR131,999)*1000+BS131-118/100000,-1000000000-118)</f>
        <v/>
      </c>
      <c r="CF131">
        <f>IF($A131="","",IFERROR(MATCH($C131,'职业'!$C$3:$C$152,0),0))</f>
        <v/>
      </c>
      <c r="CG131">
        <f>IF($A131="","",CG130+MAX(0,D$7+IF($CF130=0,0,IFERROR(INDEX('职业'!F$3:F$152,$CF130)+0,0))))</f>
        <v/>
      </c>
      <c r="CH131">
        <f>IF($A131="","",CH130+MAX(0,E$7+IF($CF130=0,0,IFERROR(INDEX('职业'!G$3:G$152,$CF130)+0,0))))</f>
        <v/>
      </c>
      <c r="CI131">
        <f>IF($A131="","",CI130+MAX(0,F$7+IF($CF130=0,0,IFERROR(INDEX('职业'!H$3:H$152,$CF130)+0,0))))</f>
        <v/>
      </c>
      <c r="CJ131">
        <f>IF($A131="","",CJ130+MAX(0,G$7+IF($CF130=0,0,IFERROR(INDEX('职业'!I$3:I$152,$CF130)+0,0))))</f>
        <v/>
      </c>
      <c r="CK131">
        <f>IF($A131="","",CK130+MAX(0,H$7+IF($CF130=0,0,IFERROR(INDEX('职业'!J$3:J$152,$CF130)+0,0))))</f>
        <v/>
      </c>
      <c r="CL131">
        <f>IF($A131="","",CL130+MAX(0,I$7+IF($CF130=0,0,IFERROR(INDEX('职业'!K$3:K$152,$CF130)+0,0))))</f>
        <v/>
      </c>
      <c r="CM131">
        <f>IF($A131="","",CM130+MAX(0,J$7+IF($CF130=0,0,IFERROR(INDEX('职业'!L$3:L$152,$CF130)+0,0))))</f>
        <v/>
      </c>
      <c r="CN131">
        <f>IF($A131="","",CN130+MAX(0,K$7+IF($CF130=0,0,IFERROR(INDEX('职业'!M$3:M$152,$CF130)+0,0))))</f>
        <v/>
      </c>
      <c r="CO131">
        <f>IF($A131="","",CO130+MAX(0,L$7+IF($CF130=0,0,IFERROR(INDEX('职业'!N$3:N$152,$CF130)+0,0))))</f>
        <v/>
      </c>
    </row>
    <row r="132">
      <c r="A132" s="15">
        <f>IF(OR($B$9="",$B$10=""),"",IF($B$9+80&lt;=$B$10,$B$9+80,""))</f>
        <v/>
      </c>
      <c r="B132" s="15">
        <f>IF($A132="","",MATCH($A132,$BV$27:$BV$32,1))</f>
        <v/>
      </c>
      <c r="C132" s="15">
        <f>IF($A132="","",INDEX($BW$27:$BW$32,$B132))</f>
        <v/>
      </c>
      <c r="D132" s="15">
        <f>IF($A132="","",D$9+INT(($B$14+CG132)/100))</f>
        <v/>
      </c>
      <c r="E132" s="15">
        <f>IF($A132="","",E$9+INT(($B$14+CH132)/100))</f>
        <v/>
      </c>
      <c r="F132" s="15">
        <f>IF($A132="","",F$9+INT(($B$14+CI132)/100))</f>
        <v/>
      </c>
      <c r="G132" s="15">
        <f>IF($A132="","",G$9+INT(($B$14+CJ132)/100))</f>
        <v/>
      </c>
      <c r="H132" s="15">
        <f>IF($A132="","",H$9+INT(($B$14+CK132)/100))</f>
        <v/>
      </c>
      <c r="I132" s="15">
        <f>IF($A132="","",I$9+INT(($B$14+CL132)/100))</f>
        <v/>
      </c>
      <c r="J132" s="15">
        <f>IF($A132="","",J$9+INT(($B$14+CM132)/100))</f>
        <v/>
      </c>
      <c r="K132" s="15">
        <f>IF($A132="","",K$9+INT(($B$14+CN132)/100))</f>
        <v/>
      </c>
      <c r="L132" s="15">
        <f>IF($A132="","",L$9+INT(($B$14+CO132)/100))</f>
        <v/>
      </c>
      <c r="M132" s="16">
        <f>IF($A132="","",IF($C132&lt;&gt;$C131,"★ 转职 → 【"&amp;$C132&amp;"】","")&amp;IF($A132=$B$10,"（目标等级）",""))</f>
        <v/>
      </c>
      <c r="P132">
        <f>IF('职业'!$C122="","",'职业'!$C122)</f>
        <v/>
      </c>
      <c r="Q132">
        <f>N('职业'!$D122)</f>
        <v/>
      </c>
      <c r="R132">
        <f>'职业'!$E122&amp;""</f>
        <v/>
      </c>
      <c r="S132">
        <f>IF($P132="",0,MAX(0,D$7+N('职业'!F122)))</f>
        <v/>
      </c>
      <c r="T132">
        <f>IF($P132="",0,MAX(0,E$7+N('职业'!G122)))</f>
        <v/>
      </c>
      <c r="U132">
        <f>IF($P132="",0,MAX(0,F$7+N('职业'!H122)))</f>
        <v/>
      </c>
      <c r="V132">
        <f>IF($P132="",0,MAX(0,G$7+N('职业'!I122)))</f>
        <v/>
      </c>
      <c r="W132">
        <f>IF($P132="",0,MAX(0,H$7+N('职业'!J122)))</f>
        <v/>
      </c>
      <c r="X132">
        <f>IF($P132="",0,MAX(0,I$7+N('职业'!K122)))</f>
        <v/>
      </c>
      <c r="Y132">
        <f>IF($P132="",0,MAX(0,J$7+N('职业'!L122)))</f>
        <v/>
      </c>
      <c r="Z132">
        <f>IF($P132="",0,MAX(0,K$7+N('职业'!M122)))</f>
        <v/>
      </c>
      <c r="AA132">
        <f>IF($P132="",0,MAX(0,L$7+N('职业'!N122)))</f>
        <v/>
      </c>
      <c r="AB132">
        <f>AND($P132&lt;&gt;"",IF($U$5=1,$P132=$C$10,OR($P132=$C$9,AND($R132="是",$Q132&lt;=MAX($B$9,$Q$6)))))</f>
        <v/>
      </c>
      <c r="AC132">
        <f>AND($P132&lt;&gt;"",IF($U$5=2,$P132=$C$10,OR($P132=$C$9,AND($R132="是",$Q132&lt;=MAX($B$9,$Q$7)))))</f>
        <v/>
      </c>
      <c r="AD132">
        <f>AND($P132&lt;&gt;"",IF($U$5=3,$P132=$C$10,OR($P132=$C$9,AND($R132="是",$Q132&lt;=MAX($B$9,$Q$8)))))</f>
        <v/>
      </c>
      <c r="AE132">
        <f>IF(AB132,COUNTIF(AB$13:AB132,TRUE),"")</f>
        <v/>
      </c>
      <c r="AF132">
        <f>IF(AC132,COUNTIF(AC$13:AC132,TRUE),"")</f>
        <v/>
      </c>
      <c r="AG132">
        <f>IF(AD132,COUNTIF(AD$13:AD132,TRUE),"")</f>
        <v/>
      </c>
      <c r="AI132">
        <f>IFERROR(INDEX($P$13:$P$162,MATCH(120,$AE$13:$AE$162,0)),"")</f>
        <v/>
      </c>
      <c r="AJ132">
        <f>IFERROR(INDEX(S$13:S$162,MATCH(120,$AE$13:$AE$162,0)),0)*$T$6</f>
        <v/>
      </c>
      <c r="AK132">
        <f>IFERROR(INDEX(T$13:T$162,MATCH(120,$AE$13:$AE$162,0)),0)*$T$6</f>
        <v/>
      </c>
      <c r="AL132">
        <f>IFERROR(INDEX(U$13:U$162,MATCH(120,$AE$13:$AE$162,0)),0)*$T$6</f>
        <v/>
      </c>
      <c r="AM132">
        <f>IFERROR(INDEX(V$13:V$162,MATCH(120,$AE$13:$AE$162,0)),0)*$T$6</f>
        <v/>
      </c>
      <c r="AN132">
        <f>IFERROR(INDEX(W$13:W$162,MATCH(120,$AE$13:$AE$162,0)),0)*$T$6</f>
        <v/>
      </c>
      <c r="AO132">
        <f>IFERROR(INDEX(X$13:X$162,MATCH(120,$AE$13:$AE$162,0)),0)*$T$6</f>
        <v/>
      </c>
      <c r="AP132">
        <f>IFERROR(INDEX(Y$13:Y$162,MATCH(120,$AE$13:$AE$162,0)),0)*$T$6</f>
        <v/>
      </c>
      <c r="AQ132">
        <f>IFERROR(INDEX(Z$13:Z$162,MATCH(120,$AE$13:$AE$162,0)),0)*$T$6</f>
        <v/>
      </c>
      <c r="AR132">
        <f>IFERROR(INDEX(AA$13:AA$162,MATCH(120,$AE$13:$AE$162,0)),0)*$T$6</f>
        <v/>
      </c>
      <c r="AS132">
        <f>IFERROR(INDEX($P$13:$P$162,MATCH(120,$AF$13:$AF$162,0)),"")</f>
        <v/>
      </c>
      <c r="AT132">
        <f>IFERROR(INDEX(S$13:S$162,MATCH(120,$AF$13:$AF$162,0)),0)*$T$7</f>
        <v/>
      </c>
      <c r="AU132">
        <f>IFERROR(INDEX(T$13:T$162,MATCH(120,$AF$13:$AF$162,0)),0)*$T$7</f>
        <v/>
      </c>
      <c r="AV132">
        <f>IFERROR(INDEX(U$13:U$162,MATCH(120,$AF$13:$AF$162,0)),0)*$T$7</f>
        <v/>
      </c>
      <c r="AW132">
        <f>IFERROR(INDEX(V$13:V$162,MATCH(120,$AF$13:$AF$162,0)),0)*$T$7</f>
        <v/>
      </c>
      <c r="AX132">
        <f>IFERROR(INDEX(W$13:W$162,MATCH(120,$AF$13:$AF$162,0)),0)*$T$7</f>
        <v/>
      </c>
      <c r="AY132">
        <f>IFERROR(INDEX(X$13:X$162,MATCH(120,$AF$13:$AF$162,0)),0)*$T$7</f>
        <v/>
      </c>
      <c r="AZ132">
        <f>IFERROR(INDEX(Y$13:Y$162,MATCH(120,$AF$13:$AF$162,0)),0)*$T$7</f>
        <v/>
      </c>
      <c r="BA132">
        <f>IFERROR(INDEX(Z$13:Z$162,MATCH(120,$AF$13:$AF$162,0)),0)*$T$7</f>
        <v/>
      </c>
      <c r="BB132">
        <f>IFERROR(INDEX(AA$13:AA$162,MATCH(120,$AF$13:$AF$162,0)),0)*$T$7</f>
        <v/>
      </c>
      <c r="BC132">
        <f>IFERROR(INDEX($P$13:$P$162,MATCH(120,$AG$13:$AG$162,0)),"")</f>
        <v/>
      </c>
      <c r="BD132">
        <f>IFERROR(INDEX(S$13:S$162,MATCH(120,$AG$13:$AG$162,0)),0)*($T$8+IF($C$10="",$T$9,0))</f>
        <v/>
      </c>
      <c r="BE132">
        <f>IFERROR(INDEX(T$13:T$162,MATCH(120,$AG$13:$AG$162,0)),0)*($T$8+IF($C$10="",$T$9,0))</f>
        <v/>
      </c>
      <c r="BF132">
        <f>IFERROR(INDEX(U$13:U$162,MATCH(120,$AG$13:$AG$162,0)),0)*($T$8+IF($C$10="",$T$9,0))</f>
        <v/>
      </c>
      <c r="BG132">
        <f>IFERROR(INDEX(V$13:V$162,MATCH(120,$AG$13:$AG$162,0)),0)*($T$8+IF($C$10="",$T$9,0))</f>
        <v/>
      </c>
      <c r="BH132">
        <f>IFERROR(INDEX(W$13:W$162,MATCH(120,$AG$13:$AG$162,0)),0)*($T$8+IF($C$10="",$T$9,0))</f>
        <v/>
      </c>
      <c r="BI132">
        <f>IFERROR(INDEX(X$13:X$162,MATCH(120,$AG$13:$AG$162,0)),0)*($T$8+IF($C$10="",$T$9,0))</f>
        <v/>
      </c>
      <c r="BJ132">
        <f>IFERROR(INDEX(Y$13:Y$162,MATCH(120,$AG$13:$AG$162,0)),0)*($T$8+IF($C$10="",$T$9,0))</f>
        <v/>
      </c>
      <c r="BK132">
        <f>IFERROR(INDEX(Z$13:Z$162,MATCH(120,$AG$13:$AG$162,0)),0)*($T$8+IF($C$10="",$T$9,0))</f>
        <v/>
      </c>
      <c r="BL132">
        <f>IFERROR(INDEX(AA$13:AA$162,MATCH(120,$AG$13:$AG$162,0)),0)*($T$8+IF($C$10="",$T$9,0))</f>
        <v/>
      </c>
      <c r="BN132">
        <f>IF(119&lt;$U$9,INT(119/($U$7*$U$8))+1,1)</f>
        <v/>
      </c>
      <c r="BO132">
        <f>IF(119&lt;$U$9,MOD(INT(119/$U$8),$U$7)+1,1)</f>
        <v/>
      </c>
      <c r="BP132">
        <f>IF(119&lt;$U$9,MOD(119,$U$8)+1,1)</f>
        <v/>
      </c>
      <c r="BQ132">
        <f>IF(119&lt;$U$9,SUMPRODUCT(($D$10:$L$10&lt;&gt;"")*(($D$9:$L$9+INT(($S$12:$AA$12+INDEX($AJ$13:$AR$162,BN132,0)+INDEX($AT$13:$BB$162,BO132,0)+INDEX($BD$13:$BL$162,BP132,0))/100))&gt;=$D$10:$L$10)),0)</f>
        <v/>
      </c>
      <c r="BR132">
        <f>IF(119&lt;$U$9,SUMPRODUCT(($D$10:$L$10&lt;&gt;"")*(($D$10:$L$10-($D$9:$L$9+INT(($S$12:$AA$12+INDEX($AJ$13:$AR$162,BN132,0)+INDEX($AT$13:$BB$162,BO132,0)+INDEX($BD$13:$BL$162,BP132,0))/100)))&gt;0)*($D$10:$L$10-($D$9:$L$9+INT(($S$12:$AA$12+INDEX($AJ$13:$AR$162,BN132,0)+INDEX($AT$13:$BB$162,BO132,0)+INDEX($BD$13:$BL$162,BP132,0))/100)))),0)</f>
        <v/>
      </c>
      <c r="BS132">
        <f>IF(119&lt;$U$9,SUMPRODUCT(($D$9:$L$9+INT(($S$12:$AA$12+INDEX($AJ$13:$AR$162,BN132,0)+INDEX($AT$13:$BB$162,BO132,0)+INDEX($BD$13:$BL$162,BP132,0))/100))),0)</f>
        <v/>
      </c>
      <c r="BT132">
        <f>IF(AND(119&lt;$U$9,$W$5),BQ132*1000000-MIN(BR132,999)*1000+BS132-119/100000,-1000000000-119)</f>
        <v/>
      </c>
      <c r="CF132">
        <f>IF($A132="","",IFERROR(MATCH($C132,'职业'!$C$3:$C$152,0),0))</f>
        <v/>
      </c>
      <c r="CG132">
        <f>IF($A132="","",CG131+MAX(0,D$7+IF($CF131=0,0,IFERROR(INDEX('职业'!F$3:F$152,$CF131)+0,0))))</f>
        <v/>
      </c>
      <c r="CH132">
        <f>IF($A132="","",CH131+MAX(0,E$7+IF($CF131=0,0,IFERROR(INDEX('职业'!G$3:G$152,$CF131)+0,0))))</f>
        <v/>
      </c>
      <c r="CI132">
        <f>IF($A132="","",CI131+MAX(0,F$7+IF($CF131=0,0,IFERROR(INDEX('职业'!H$3:H$152,$CF131)+0,0))))</f>
        <v/>
      </c>
      <c r="CJ132">
        <f>IF($A132="","",CJ131+MAX(0,G$7+IF($CF131=0,0,IFERROR(INDEX('职业'!I$3:I$152,$CF131)+0,0))))</f>
        <v/>
      </c>
      <c r="CK132">
        <f>IF($A132="","",CK131+MAX(0,H$7+IF($CF131=0,0,IFERROR(INDEX('职业'!J$3:J$152,$CF131)+0,0))))</f>
        <v/>
      </c>
      <c r="CL132">
        <f>IF($A132="","",CL131+MAX(0,I$7+IF($CF131=0,0,IFERROR(INDEX('职业'!K$3:K$152,$CF131)+0,0))))</f>
        <v/>
      </c>
      <c r="CM132">
        <f>IF($A132="","",CM131+MAX(0,J$7+IF($CF131=0,0,IFERROR(INDEX('职业'!L$3:L$152,$CF131)+0,0))))</f>
        <v/>
      </c>
      <c r="CN132">
        <f>IF($A132="","",CN131+MAX(0,K$7+IF($CF131=0,0,IFERROR(INDEX('职业'!M$3:M$152,$CF131)+0,0))))</f>
        <v/>
      </c>
      <c r="CO132">
        <f>IF($A132="","",CO131+MAX(0,L$7+IF($CF131=0,0,IFERROR(INDEX('职业'!N$3:N$152,$CF131)+0,0))))</f>
        <v/>
      </c>
    </row>
    <row r="133">
      <c r="A133" s="15">
        <f>IF(OR($B$9="",$B$10=""),"",IF($B$9+81&lt;=$B$10,$B$9+81,""))</f>
        <v/>
      </c>
      <c r="B133" s="15">
        <f>IF($A133="","",MATCH($A133,$BV$27:$BV$32,1))</f>
        <v/>
      </c>
      <c r="C133" s="15">
        <f>IF($A133="","",INDEX($BW$27:$BW$32,$B133))</f>
        <v/>
      </c>
      <c r="D133" s="15">
        <f>IF($A133="","",D$9+INT(($B$14+CG133)/100))</f>
        <v/>
      </c>
      <c r="E133" s="15">
        <f>IF($A133="","",E$9+INT(($B$14+CH133)/100))</f>
        <v/>
      </c>
      <c r="F133" s="15">
        <f>IF($A133="","",F$9+INT(($B$14+CI133)/100))</f>
        <v/>
      </c>
      <c r="G133" s="15">
        <f>IF($A133="","",G$9+INT(($B$14+CJ133)/100))</f>
        <v/>
      </c>
      <c r="H133" s="15">
        <f>IF($A133="","",H$9+INT(($B$14+CK133)/100))</f>
        <v/>
      </c>
      <c r="I133" s="15">
        <f>IF($A133="","",I$9+INT(($B$14+CL133)/100))</f>
        <v/>
      </c>
      <c r="J133" s="15">
        <f>IF($A133="","",J$9+INT(($B$14+CM133)/100))</f>
        <v/>
      </c>
      <c r="K133" s="15">
        <f>IF($A133="","",K$9+INT(($B$14+CN133)/100))</f>
        <v/>
      </c>
      <c r="L133" s="15">
        <f>IF($A133="","",L$9+INT(($B$14+CO133)/100))</f>
        <v/>
      </c>
      <c r="M133" s="16">
        <f>IF($A133="","",IF($C133&lt;&gt;$C132,"★ 转职 → 【"&amp;$C133&amp;"】","")&amp;IF($A133=$B$10,"（目标等级）",""))</f>
        <v/>
      </c>
      <c r="P133">
        <f>IF('职业'!$C123="","",'职业'!$C123)</f>
        <v/>
      </c>
      <c r="Q133">
        <f>N('职业'!$D123)</f>
        <v/>
      </c>
      <c r="R133">
        <f>'职业'!$E123&amp;""</f>
        <v/>
      </c>
      <c r="S133">
        <f>IF($P133="",0,MAX(0,D$7+N('职业'!F123)))</f>
        <v/>
      </c>
      <c r="T133">
        <f>IF($P133="",0,MAX(0,E$7+N('职业'!G123)))</f>
        <v/>
      </c>
      <c r="U133">
        <f>IF($P133="",0,MAX(0,F$7+N('职业'!H123)))</f>
        <v/>
      </c>
      <c r="V133">
        <f>IF($P133="",0,MAX(0,G$7+N('职业'!I123)))</f>
        <v/>
      </c>
      <c r="W133">
        <f>IF($P133="",0,MAX(0,H$7+N('职业'!J123)))</f>
        <v/>
      </c>
      <c r="X133">
        <f>IF($P133="",0,MAX(0,I$7+N('职业'!K123)))</f>
        <v/>
      </c>
      <c r="Y133">
        <f>IF($P133="",0,MAX(0,J$7+N('职业'!L123)))</f>
        <v/>
      </c>
      <c r="Z133">
        <f>IF($P133="",0,MAX(0,K$7+N('职业'!M123)))</f>
        <v/>
      </c>
      <c r="AA133">
        <f>IF($P133="",0,MAX(0,L$7+N('职业'!N123)))</f>
        <v/>
      </c>
      <c r="AB133">
        <f>AND($P133&lt;&gt;"",IF($U$5=1,$P133=$C$10,OR($P133=$C$9,AND($R133="是",$Q133&lt;=MAX($B$9,$Q$6)))))</f>
        <v/>
      </c>
      <c r="AC133">
        <f>AND($P133&lt;&gt;"",IF($U$5=2,$P133=$C$10,OR($P133=$C$9,AND($R133="是",$Q133&lt;=MAX($B$9,$Q$7)))))</f>
        <v/>
      </c>
      <c r="AD133">
        <f>AND($P133&lt;&gt;"",IF($U$5=3,$P133=$C$10,OR($P133=$C$9,AND($R133="是",$Q133&lt;=MAX($B$9,$Q$8)))))</f>
        <v/>
      </c>
      <c r="AE133">
        <f>IF(AB133,COUNTIF(AB$13:AB133,TRUE),"")</f>
        <v/>
      </c>
      <c r="AF133">
        <f>IF(AC133,COUNTIF(AC$13:AC133,TRUE),"")</f>
        <v/>
      </c>
      <c r="AG133">
        <f>IF(AD133,COUNTIF(AD$13:AD133,TRUE),"")</f>
        <v/>
      </c>
      <c r="AI133">
        <f>IFERROR(INDEX($P$13:$P$162,MATCH(121,$AE$13:$AE$162,0)),"")</f>
        <v/>
      </c>
      <c r="AJ133">
        <f>IFERROR(INDEX(S$13:S$162,MATCH(121,$AE$13:$AE$162,0)),0)*$T$6</f>
        <v/>
      </c>
      <c r="AK133">
        <f>IFERROR(INDEX(T$13:T$162,MATCH(121,$AE$13:$AE$162,0)),0)*$T$6</f>
        <v/>
      </c>
      <c r="AL133">
        <f>IFERROR(INDEX(U$13:U$162,MATCH(121,$AE$13:$AE$162,0)),0)*$T$6</f>
        <v/>
      </c>
      <c r="AM133">
        <f>IFERROR(INDEX(V$13:V$162,MATCH(121,$AE$13:$AE$162,0)),0)*$T$6</f>
        <v/>
      </c>
      <c r="AN133">
        <f>IFERROR(INDEX(W$13:W$162,MATCH(121,$AE$13:$AE$162,0)),0)*$T$6</f>
        <v/>
      </c>
      <c r="AO133">
        <f>IFERROR(INDEX(X$13:X$162,MATCH(121,$AE$13:$AE$162,0)),0)*$T$6</f>
        <v/>
      </c>
      <c r="AP133">
        <f>IFERROR(INDEX(Y$13:Y$162,MATCH(121,$AE$13:$AE$162,0)),0)*$T$6</f>
        <v/>
      </c>
      <c r="AQ133">
        <f>IFERROR(INDEX(Z$13:Z$162,MATCH(121,$AE$13:$AE$162,0)),0)*$T$6</f>
        <v/>
      </c>
      <c r="AR133">
        <f>IFERROR(INDEX(AA$13:AA$162,MATCH(121,$AE$13:$AE$162,0)),0)*$T$6</f>
        <v/>
      </c>
      <c r="AS133">
        <f>IFERROR(INDEX($P$13:$P$162,MATCH(121,$AF$13:$AF$162,0)),"")</f>
        <v/>
      </c>
      <c r="AT133">
        <f>IFERROR(INDEX(S$13:S$162,MATCH(121,$AF$13:$AF$162,0)),0)*$T$7</f>
        <v/>
      </c>
      <c r="AU133">
        <f>IFERROR(INDEX(T$13:T$162,MATCH(121,$AF$13:$AF$162,0)),0)*$T$7</f>
        <v/>
      </c>
      <c r="AV133">
        <f>IFERROR(INDEX(U$13:U$162,MATCH(121,$AF$13:$AF$162,0)),0)*$T$7</f>
        <v/>
      </c>
      <c r="AW133">
        <f>IFERROR(INDEX(V$13:V$162,MATCH(121,$AF$13:$AF$162,0)),0)*$T$7</f>
        <v/>
      </c>
      <c r="AX133">
        <f>IFERROR(INDEX(W$13:W$162,MATCH(121,$AF$13:$AF$162,0)),0)*$T$7</f>
        <v/>
      </c>
      <c r="AY133">
        <f>IFERROR(INDEX(X$13:X$162,MATCH(121,$AF$13:$AF$162,0)),0)*$T$7</f>
        <v/>
      </c>
      <c r="AZ133">
        <f>IFERROR(INDEX(Y$13:Y$162,MATCH(121,$AF$13:$AF$162,0)),0)*$T$7</f>
        <v/>
      </c>
      <c r="BA133">
        <f>IFERROR(INDEX(Z$13:Z$162,MATCH(121,$AF$13:$AF$162,0)),0)*$T$7</f>
        <v/>
      </c>
      <c r="BB133">
        <f>IFERROR(INDEX(AA$13:AA$162,MATCH(121,$AF$13:$AF$162,0)),0)*$T$7</f>
        <v/>
      </c>
      <c r="BC133">
        <f>IFERROR(INDEX($P$13:$P$162,MATCH(121,$AG$13:$AG$162,0)),"")</f>
        <v/>
      </c>
      <c r="BD133">
        <f>IFERROR(INDEX(S$13:S$162,MATCH(121,$AG$13:$AG$162,0)),0)*($T$8+IF($C$10="",$T$9,0))</f>
        <v/>
      </c>
      <c r="BE133">
        <f>IFERROR(INDEX(T$13:T$162,MATCH(121,$AG$13:$AG$162,0)),0)*($T$8+IF($C$10="",$T$9,0))</f>
        <v/>
      </c>
      <c r="BF133">
        <f>IFERROR(INDEX(U$13:U$162,MATCH(121,$AG$13:$AG$162,0)),0)*($T$8+IF($C$10="",$T$9,0))</f>
        <v/>
      </c>
      <c r="BG133">
        <f>IFERROR(INDEX(V$13:V$162,MATCH(121,$AG$13:$AG$162,0)),0)*($T$8+IF($C$10="",$T$9,0))</f>
        <v/>
      </c>
      <c r="BH133">
        <f>IFERROR(INDEX(W$13:W$162,MATCH(121,$AG$13:$AG$162,0)),0)*($T$8+IF($C$10="",$T$9,0))</f>
        <v/>
      </c>
      <c r="BI133">
        <f>IFERROR(INDEX(X$13:X$162,MATCH(121,$AG$13:$AG$162,0)),0)*($T$8+IF($C$10="",$T$9,0))</f>
        <v/>
      </c>
      <c r="BJ133">
        <f>IFERROR(INDEX(Y$13:Y$162,MATCH(121,$AG$13:$AG$162,0)),0)*($T$8+IF($C$10="",$T$9,0))</f>
        <v/>
      </c>
      <c r="BK133">
        <f>IFERROR(INDEX(Z$13:Z$162,MATCH(121,$AG$13:$AG$162,0)),0)*($T$8+IF($C$10="",$T$9,0))</f>
        <v/>
      </c>
      <c r="BL133">
        <f>IFERROR(INDEX(AA$13:AA$162,MATCH(121,$AG$13:$AG$162,0)),0)*($T$8+IF($C$10="",$T$9,0))</f>
        <v/>
      </c>
      <c r="BN133">
        <f>IF(120&lt;$U$9,INT(120/($U$7*$U$8))+1,1)</f>
        <v/>
      </c>
      <c r="BO133">
        <f>IF(120&lt;$U$9,MOD(INT(120/$U$8),$U$7)+1,1)</f>
        <v/>
      </c>
      <c r="BP133">
        <f>IF(120&lt;$U$9,MOD(120,$U$8)+1,1)</f>
        <v/>
      </c>
      <c r="BQ133">
        <f>IF(120&lt;$U$9,SUMPRODUCT(($D$10:$L$10&lt;&gt;"")*(($D$9:$L$9+INT(($S$12:$AA$12+INDEX($AJ$13:$AR$162,BN133,0)+INDEX($AT$13:$BB$162,BO133,0)+INDEX($BD$13:$BL$162,BP133,0))/100))&gt;=$D$10:$L$10)),0)</f>
        <v/>
      </c>
      <c r="BR133">
        <f>IF(120&lt;$U$9,SUMPRODUCT(($D$10:$L$10&lt;&gt;"")*(($D$10:$L$10-($D$9:$L$9+INT(($S$12:$AA$12+INDEX($AJ$13:$AR$162,BN133,0)+INDEX($AT$13:$BB$162,BO133,0)+INDEX($BD$13:$BL$162,BP133,0))/100)))&gt;0)*($D$10:$L$10-($D$9:$L$9+INT(($S$12:$AA$12+INDEX($AJ$13:$AR$162,BN133,0)+INDEX($AT$13:$BB$162,BO133,0)+INDEX($BD$13:$BL$162,BP133,0))/100)))),0)</f>
        <v/>
      </c>
      <c r="BS133">
        <f>IF(120&lt;$U$9,SUMPRODUCT(($D$9:$L$9+INT(($S$12:$AA$12+INDEX($AJ$13:$AR$162,BN133,0)+INDEX($AT$13:$BB$162,BO133,0)+INDEX($BD$13:$BL$162,BP133,0))/100))),0)</f>
        <v/>
      </c>
      <c r="BT133">
        <f>IF(AND(120&lt;$U$9,$W$5),BQ133*1000000-MIN(BR133,999)*1000+BS133-120/100000,-1000000000-120)</f>
        <v/>
      </c>
      <c r="CF133">
        <f>IF($A133="","",IFERROR(MATCH($C133,'职业'!$C$3:$C$152,0),0))</f>
        <v/>
      </c>
      <c r="CG133">
        <f>IF($A133="","",CG132+MAX(0,D$7+IF($CF132=0,0,IFERROR(INDEX('职业'!F$3:F$152,$CF132)+0,0))))</f>
        <v/>
      </c>
      <c r="CH133">
        <f>IF($A133="","",CH132+MAX(0,E$7+IF($CF132=0,0,IFERROR(INDEX('职业'!G$3:G$152,$CF132)+0,0))))</f>
        <v/>
      </c>
      <c r="CI133">
        <f>IF($A133="","",CI132+MAX(0,F$7+IF($CF132=0,0,IFERROR(INDEX('职业'!H$3:H$152,$CF132)+0,0))))</f>
        <v/>
      </c>
      <c r="CJ133">
        <f>IF($A133="","",CJ132+MAX(0,G$7+IF($CF132=0,0,IFERROR(INDEX('职业'!I$3:I$152,$CF132)+0,0))))</f>
        <v/>
      </c>
      <c r="CK133">
        <f>IF($A133="","",CK132+MAX(0,H$7+IF($CF132=0,0,IFERROR(INDEX('职业'!J$3:J$152,$CF132)+0,0))))</f>
        <v/>
      </c>
      <c r="CL133">
        <f>IF($A133="","",CL132+MAX(0,I$7+IF($CF132=0,0,IFERROR(INDEX('职业'!K$3:K$152,$CF132)+0,0))))</f>
        <v/>
      </c>
      <c r="CM133">
        <f>IF($A133="","",CM132+MAX(0,J$7+IF($CF132=0,0,IFERROR(INDEX('职业'!L$3:L$152,$CF132)+0,0))))</f>
        <v/>
      </c>
      <c r="CN133">
        <f>IF($A133="","",CN132+MAX(0,K$7+IF($CF132=0,0,IFERROR(INDEX('职业'!M$3:M$152,$CF132)+0,0))))</f>
        <v/>
      </c>
      <c r="CO133">
        <f>IF($A133="","",CO132+MAX(0,L$7+IF($CF132=0,0,IFERROR(INDEX('职业'!N$3:N$152,$CF132)+0,0))))</f>
        <v/>
      </c>
    </row>
    <row r="134">
      <c r="A134" s="15">
        <f>IF(OR($B$9="",$B$10=""),"",IF($B$9+82&lt;=$B$10,$B$9+82,""))</f>
        <v/>
      </c>
      <c r="B134" s="15">
        <f>IF($A134="","",MATCH($A134,$BV$27:$BV$32,1))</f>
        <v/>
      </c>
      <c r="C134" s="15">
        <f>IF($A134="","",INDEX($BW$27:$BW$32,$B134))</f>
        <v/>
      </c>
      <c r="D134" s="15">
        <f>IF($A134="","",D$9+INT(($B$14+CG134)/100))</f>
        <v/>
      </c>
      <c r="E134" s="15">
        <f>IF($A134="","",E$9+INT(($B$14+CH134)/100))</f>
        <v/>
      </c>
      <c r="F134" s="15">
        <f>IF($A134="","",F$9+INT(($B$14+CI134)/100))</f>
        <v/>
      </c>
      <c r="G134" s="15">
        <f>IF($A134="","",G$9+INT(($B$14+CJ134)/100))</f>
        <v/>
      </c>
      <c r="H134" s="15">
        <f>IF($A134="","",H$9+INT(($B$14+CK134)/100))</f>
        <v/>
      </c>
      <c r="I134" s="15">
        <f>IF($A134="","",I$9+INT(($B$14+CL134)/100))</f>
        <v/>
      </c>
      <c r="J134" s="15">
        <f>IF($A134="","",J$9+INT(($B$14+CM134)/100))</f>
        <v/>
      </c>
      <c r="K134" s="15">
        <f>IF($A134="","",K$9+INT(($B$14+CN134)/100))</f>
        <v/>
      </c>
      <c r="L134" s="15">
        <f>IF($A134="","",L$9+INT(($B$14+CO134)/100))</f>
        <v/>
      </c>
      <c r="M134" s="16">
        <f>IF($A134="","",IF($C134&lt;&gt;$C133,"★ 转职 → 【"&amp;$C134&amp;"】","")&amp;IF($A134=$B$10,"（目标等级）",""))</f>
        <v/>
      </c>
      <c r="P134">
        <f>IF('职业'!$C124="","",'职业'!$C124)</f>
        <v/>
      </c>
      <c r="Q134">
        <f>N('职业'!$D124)</f>
        <v/>
      </c>
      <c r="R134">
        <f>'职业'!$E124&amp;""</f>
        <v/>
      </c>
      <c r="S134">
        <f>IF($P134="",0,MAX(0,D$7+N('职业'!F124)))</f>
        <v/>
      </c>
      <c r="T134">
        <f>IF($P134="",0,MAX(0,E$7+N('职业'!G124)))</f>
        <v/>
      </c>
      <c r="U134">
        <f>IF($P134="",0,MAX(0,F$7+N('职业'!H124)))</f>
        <v/>
      </c>
      <c r="V134">
        <f>IF($P134="",0,MAX(0,G$7+N('职业'!I124)))</f>
        <v/>
      </c>
      <c r="W134">
        <f>IF($P134="",0,MAX(0,H$7+N('职业'!J124)))</f>
        <v/>
      </c>
      <c r="X134">
        <f>IF($P134="",0,MAX(0,I$7+N('职业'!K124)))</f>
        <v/>
      </c>
      <c r="Y134">
        <f>IF($P134="",0,MAX(0,J$7+N('职业'!L124)))</f>
        <v/>
      </c>
      <c r="Z134">
        <f>IF($P134="",0,MAX(0,K$7+N('职业'!M124)))</f>
        <v/>
      </c>
      <c r="AA134">
        <f>IF($P134="",0,MAX(0,L$7+N('职业'!N124)))</f>
        <v/>
      </c>
      <c r="AB134">
        <f>AND($P134&lt;&gt;"",IF($U$5=1,$P134=$C$10,OR($P134=$C$9,AND($R134="是",$Q134&lt;=MAX($B$9,$Q$6)))))</f>
        <v/>
      </c>
      <c r="AC134">
        <f>AND($P134&lt;&gt;"",IF($U$5=2,$P134=$C$10,OR($P134=$C$9,AND($R134="是",$Q134&lt;=MAX($B$9,$Q$7)))))</f>
        <v/>
      </c>
      <c r="AD134">
        <f>AND($P134&lt;&gt;"",IF($U$5=3,$P134=$C$10,OR($P134=$C$9,AND($R134="是",$Q134&lt;=MAX($B$9,$Q$8)))))</f>
        <v/>
      </c>
      <c r="AE134">
        <f>IF(AB134,COUNTIF(AB$13:AB134,TRUE),"")</f>
        <v/>
      </c>
      <c r="AF134">
        <f>IF(AC134,COUNTIF(AC$13:AC134,TRUE),"")</f>
        <v/>
      </c>
      <c r="AG134">
        <f>IF(AD134,COUNTIF(AD$13:AD134,TRUE),"")</f>
        <v/>
      </c>
      <c r="AI134">
        <f>IFERROR(INDEX($P$13:$P$162,MATCH(122,$AE$13:$AE$162,0)),"")</f>
        <v/>
      </c>
      <c r="AJ134">
        <f>IFERROR(INDEX(S$13:S$162,MATCH(122,$AE$13:$AE$162,0)),0)*$T$6</f>
        <v/>
      </c>
      <c r="AK134">
        <f>IFERROR(INDEX(T$13:T$162,MATCH(122,$AE$13:$AE$162,0)),0)*$T$6</f>
        <v/>
      </c>
      <c r="AL134">
        <f>IFERROR(INDEX(U$13:U$162,MATCH(122,$AE$13:$AE$162,0)),0)*$T$6</f>
        <v/>
      </c>
      <c r="AM134">
        <f>IFERROR(INDEX(V$13:V$162,MATCH(122,$AE$13:$AE$162,0)),0)*$T$6</f>
        <v/>
      </c>
      <c r="AN134">
        <f>IFERROR(INDEX(W$13:W$162,MATCH(122,$AE$13:$AE$162,0)),0)*$T$6</f>
        <v/>
      </c>
      <c r="AO134">
        <f>IFERROR(INDEX(X$13:X$162,MATCH(122,$AE$13:$AE$162,0)),0)*$T$6</f>
        <v/>
      </c>
      <c r="AP134">
        <f>IFERROR(INDEX(Y$13:Y$162,MATCH(122,$AE$13:$AE$162,0)),0)*$T$6</f>
        <v/>
      </c>
      <c r="AQ134">
        <f>IFERROR(INDEX(Z$13:Z$162,MATCH(122,$AE$13:$AE$162,0)),0)*$T$6</f>
        <v/>
      </c>
      <c r="AR134">
        <f>IFERROR(INDEX(AA$13:AA$162,MATCH(122,$AE$13:$AE$162,0)),0)*$T$6</f>
        <v/>
      </c>
      <c r="AS134">
        <f>IFERROR(INDEX($P$13:$P$162,MATCH(122,$AF$13:$AF$162,0)),"")</f>
        <v/>
      </c>
      <c r="AT134">
        <f>IFERROR(INDEX(S$13:S$162,MATCH(122,$AF$13:$AF$162,0)),0)*$T$7</f>
        <v/>
      </c>
      <c r="AU134">
        <f>IFERROR(INDEX(T$13:T$162,MATCH(122,$AF$13:$AF$162,0)),0)*$T$7</f>
        <v/>
      </c>
      <c r="AV134">
        <f>IFERROR(INDEX(U$13:U$162,MATCH(122,$AF$13:$AF$162,0)),0)*$T$7</f>
        <v/>
      </c>
      <c r="AW134">
        <f>IFERROR(INDEX(V$13:V$162,MATCH(122,$AF$13:$AF$162,0)),0)*$T$7</f>
        <v/>
      </c>
      <c r="AX134">
        <f>IFERROR(INDEX(W$13:W$162,MATCH(122,$AF$13:$AF$162,0)),0)*$T$7</f>
        <v/>
      </c>
      <c r="AY134">
        <f>IFERROR(INDEX(X$13:X$162,MATCH(122,$AF$13:$AF$162,0)),0)*$T$7</f>
        <v/>
      </c>
      <c r="AZ134">
        <f>IFERROR(INDEX(Y$13:Y$162,MATCH(122,$AF$13:$AF$162,0)),0)*$T$7</f>
        <v/>
      </c>
      <c r="BA134">
        <f>IFERROR(INDEX(Z$13:Z$162,MATCH(122,$AF$13:$AF$162,0)),0)*$T$7</f>
        <v/>
      </c>
      <c r="BB134">
        <f>IFERROR(INDEX(AA$13:AA$162,MATCH(122,$AF$13:$AF$162,0)),0)*$T$7</f>
        <v/>
      </c>
      <c r="BC134">
        <f>IFERROR(INDEX($P$13:$P$162,MATCH(122,$AG$13:$AG$162,0)),"")</f>
        <v/>
      </c>
      <c r="BD134">
        <f>IFERROR(INDEX(S$13:S$162,MATCH(122,$AG$13:$AG$162,0)),0)*($T$8+IF($C$10="",$T$9,0))</f>
        <v/>
      </c>
      <c r="BE134">
        <f>IFERROR(INDEX(T$13:T$162,MATCH(122,$AG$13:$AG$162,0)),0)*($T$8+IF($C$10="",$T$9,0))</f>
        <v/>
      </c>
      <c r="BF134">
        <f>IFERROR(INDEX(U$13:U$162,MATCH(122,$AG$13:$AG$162,0)),0)*($T$8+IF($C$10="",$T$9,0))</f>
        <v/>
      </c>
      <c r="BG134">
        <f>IFERROR(INDEX(V$13:V$162,MATCH(122,$AG$13:$AG$162,0)),0)*($T$8+IF($C$10="",$T$9,0))</f>
        <v/>
      </c>
      <c r="BH134">
        <f>IFERROR(INDEX(W$13:W$162,MATCH(122,$AG$13:$AG$162,0)),0)*($T$8+IF($C$10="",$T$9,0))</f>
        <v/>
      </c>
      <c r="BI134">
        <f>IFERROR(INDEX(X$13:X$162,MATCH(122,$AG$13:$AG$162,0)),0)*($T$8+IF($C$10="",$T$9,0))</f>
        <v/>
      </c>
      <c r="BJ134">
        <f>IFERROR(INDEX(Y$13:Y$162,MATCH(122,$AG$13:$AG$162,0)),0)*($T$8+IF($C$10="",$T$9,0))</f>
        <v/>
      </c>
      <c r="BK134">
        <f>IFERROR(INDEX(Z$13:Z$162,MATCH(122,$AG$13:$AG$162,0)),0)*($T$8+IF($C$10="",$T$9,0))</f>
        <v/>
      </c>
      <c r="BL134">
        <f>IFERROR(INDEX(AA$13:AA$162,MATCH(122,$AG$13:$AG$162,0)),0)*($T$8+IF($C$10="",$T$9,0))</f>
        <v/>
      </c>
      <c r="BN134">
        <f>IF(121&lt;$U$9,INT(121/($U$7*$U$8))+1,1)</f>
        <v/>
      </c>
      <c r="BO134">
        <f>IF(121&lt;$U$9,MOD(INT(121/$U$8),$U$7)+1,1)</f>
        <v/>
      </c>
      <c r="BP134">
        <f>IF(121&lt;$U$9,MOD(121,$U$8)+1,1)</f>
        <v/>
      </c>
      <c r="BQ134">
        <f>IF(121&lt;$U$9,SUMPRODUCT(($D$10:$L$10&lt;&gt;"")*(($D$9:$L$9+INT(($S$12:$AA$12+INDEX($AJ$13:$AR$162,BN134,0)+INDEX($AT$13:$BB$162,BO134,0)+INDEX($BD$13:$BL$162,BP134,0))/100))&gt;=$D$10:$L$10)),0)</f>
        <v/>
      </c>
      <c r="BR134">
        <f>IF(121&lt;$U$9,SUMPRODUCT(($D$10:$L$10&lt;&gt;"")*(($D$10:$L$10-($D$9:$L$9+INT(($S$12:$AA$12+INDEX($AJ$13:$AR$162,BN134,0)+INDEX($AT$13:$BB$162,BO134,0)+INDEX($BD$13:$BL$162,BP134,0))/100)))&gt;0)*($D$10:$L$10-($D$9:$L$9+INT(($S$12:$AA$12+INDEX($AJ$13:$AR$162,BN134,0)+INDEX($AT$13:$BB$162,BO134,0)+INDEX($BD$13:$BL$162,BP134,0))/100)))),0)</f>
        <v/>
      </c>
      <c r="BS134">
        <f>IF(121&lt;$U$9,SUMPRODUCT(($D$9:$L$9+INT(($S$12:$AA$12+INDEX($AJ$13:$AR$162,BN134,0)+INDEX($AT$13:$BB$162,BO134,0)+INDEX($BD$13:$BL$162,BP134,0))/100))),0)</f>
        <v/>
      </c>
      <c r="BT134">
        <f>IF(AND(121&lt;$U$9,$W$5),BQ134*1000000-MIN(BR134,999)*1000+BS134-121/100000,-1000000000-121)</f>
        <v/>
      </c>
      <c r="CF134">
        <f>IF($A134="","",IFERROR(MATCH($C134,'职业'!$C$3:$C$152,0),0))</f>
        <v/>
      </c>
      <c r="CG134">
        <f>IF($A134="","",CG133+MAX(0,D$7+IF($CF133=0,0,IFERROR(INDEX('职业'!F$3:F$152,$CF133)+0,0))))</f>
        <v/>
      </c>
      <c r="CH134">
        <f>IF($A134="","",CH133+MAX(0,E$7+IF($CF133=0,0,IFERROR(INDEX('职业'!G$3:G$152,$CF133)+0,0))))</f>
        <v/>
      </c>
      <c r="CI134">
        <f>IF($A134="","",CI133+MAX(0,F$7+IF($CF133=0,0,IFERROR(INDEX('职业'!H$3:H$152,$CF133)+0,0))))</f>
        <v/>
      </c>
      <c r="CJ134">
        <f>IF($A134="","",CJ133+MAX(0,G$7+IF($CF133=0,0,IFERROR(INDEX('职业'!I$3:I$152,$CF133)+0,0))))</f>
        <v/>
      </c>
      <c r="CK134">
        <f>IF($A134="","",CK133+MAX(0,H$7+IF($CF133=0,0,IFERROR(INDEX('职业'!J$3:J$152,$CF133)+0,0))))</f>
        <v/>
      </c>
      <c r="CL134">
        <f>IF($A134="","",CL133+MAX(0,I$7+IF($CF133=0,0,IFERROR(INDEX('职业'!K$3:K$152,$CF133)+0,0))))</f>
        <v/>
      </c>
      <c r="CM134">
        <f>IF($A134="","",CM133+MAX(0,J$7+IF($CF133=0,0,IFERROR(INDEX('职业'!L$3:L$152,$CF133)+0,0))))</f>
        <v/>
      </c>
      <c r="CN134">
        <f>IF($A134="","",CN133+MAX(0,K$7+IF($CF133=0,0,IFERROR(INDEX('职业'!M$3:M$152,$CF133)+0,0))))</f>
        <v/>
      </c>
      <c r="CO134">
        <f>IF($A134="","",CO133+MAX(0,L$7+IF($CF133=0,0,IFERROR(INDEX('职业'!N$3:N$152,$CF133)+0,0))))</f>
        <v/>
      </c>
    </row>
    <row r="135">
      <c r="A135" s="15">
        <f>IF(OR($B$9="",$B$10=""),"",IF($B$9+83&lt;=$B$10,$B$9+83,""))</f>
        <v/>
      </c>
      <c r="B135" s="15">
        <f>IF($A135="","",MATCH($A135,$BV$27:$BV$32,1))</f>
        <v/>
      </c>
      <c r="C135" s="15">
        <f>IF($A135="","",INDEX($BW$27:$BW$32,$B135))</f>
        <v/>
      </c>
      <c r="D135" s="15">
        <f>IF($A135="","",D$9+INT(($B$14+CG135)/100))</f>
        <v/>
      </c>
      <c r="E135" s="15">
        <f>IF($A135="","",E$9+INT(($B$14+CH135)/100))</f>
        <v/>
      </c>
      <c r="F135" s="15">
        <f>IF($A135="","",F$9+INT(($B$14+CI135)/100))</f>
        <v/>
      </c>
      <c r="G135" s="15">
        <f>IF($A135="","",G$9+INT(($B$14+CJ135)/100))</f>
        <v/>
      </c>
      <c r="H135" s="15">
        <f>IF($A135="","",H$9+INT(($B$14+CK135)/100))</f>
        <v/>
      </c>
      <c r="I135" s="15">
        <f>IF($A135="","",I$9+INT(($B$14+CL135)/100))</f>
        <v/>
      </c>
      <c r="J135" s="15">
        <f>IF($A135="","",J$9+INT(($B$14+CM135)/100))</f>
        <v/>
      </c>
      <c r="K135" s="15">
        <f>IF($A135="","",K$9+INT(($B$14+CN135)/100))</f>
        <v/>
      </c>
      <c r="L135" s="15">
        <f>IF($A135="","",L$9+INT(($B$14+CO135)/100))</f>
        <v/>
      </c>
      <c r="M135" s="16">
        <f>IF($A135="","",IF($C135&lt;&gt;$C134,"★ 转职 → 【"&amp;$C135&amp;"】","")&amp;IF($A135=$B$10,"（目标等级）",""))</f>
        <v/>
      </c>
      <c r="P135">
        <f>IF('职业'!$C125="","",'职业'!$C125)</f>
        <v/>
      </c>
      <c r="Q135">
        <f>N('职业'!$D125)</f>
        <v/>
      </c>
      <c r="R135">
        <f>'职业'!$E125&amp;""</f>
        <v/>
      </c>
      <c r="S135">
        <f>IF($P135="",0,MAX(0,D$7+N('职业'!F125)))</f>
        <v/>
      </c>
      <c r="T135">
        <f>IF($P135="",0,MAX(0,E$7+N('职业'!G125)))</f>
        <v/>
      </c>
      <c r="U135">
        <f>IF($P135="",0,MAX(0,F$7+N('职业'!H125)))</f>
        <v/>
      </c>
      <c r="V135">
        <f>IF($P135="",0,MAX(0,G$7+N('职业'!I125)))</f>
        <v/>
      </c>
      <c r="W135">
        <f>IF($P135="",0,MAX(0,H$7+N('职业'!J125)))</f>
        <v/>
      </c>
      <c r="X135">
        <f>IF($P135="",0,MAX(0,I$7+N('职业'!K125)))</f>
        <v/>
      </c>
      <c r="Y135">
        <f>IF($P135="",0,MAX(0,J$7+N('职业'!L125)))</f>
        <v/>
      </c>
      <c r="Z135">
        <f>IF($P135="",0,MAX(0,K$7+N('职业'!M125)))</f>
        <v/>
      </c>
      <c r="AA135">
        <f>IF($P135="",0,MAX(0,L$7+N('职业'!N125)))</f>
        <v/>
      </c>
      <c r="AB135">
        <f>AND($P135&lt;&gt;"",IF($U$5=1,$P135=$C$10,OR($P135=$C$9,AND($R135="是",$Q135&lt;=MAX($B$9,$Q$6)))))</f>
        <v/>
      </c>
      <c r="AC135">
        <f>AND($P135&lt;&gt;"",IF($U$5=2,$P135=$C$10,OR($P135=$C$9,AND($R135="是",$Q135&lt;=MAX($B$9,$Q$7)))))</f>
        <v/>
      </c>
      <c r="AD135">
        <f>AND($P135&lt;&gt;"",IF($U$5=3,$P135=$C$10,OR($P135=$C$9,AND($R135="是",$Q135&lt;=MAX($B$9,$Q$8)))))</f>
        <v/>
      </c>
      <c r="AE135">
        <f>IF(AB135,COUNTIF(AB$13:AB135,TRUE),"")</f>
        <v/>
      </c>
      <c r="AF135">
        <f>IF(AC135,COUNTIF(AC$13:AC135,TRUE),"")</f>
        <v/>
      </c>
      <c r="AG135">
        <f>IF(AD135,COUNTIF(AD$13:AD135,TRUE),"")</f>
        <v/>
      </c>
      <c r="AI135">
        <f>IFERROR(INDEX($P$13:$P$162,MATCH(123,$AE$13:$AE$162,0)),"")</f>
        <v/>
      </c>
      <c r="AJ135">
        <f>IFERROR(INDEX(S$13:S$162,MATCH(123,$AE$13:$AE$162,0)),0)*$T$6</f>
        <v/>
      </c>
      <c r="AK135">
        <f>IFERROR(INDEX(T$13:T$162,MATCH(123,$AE$13:$AE$162,0)),0)*$T$6</f>
        <v/>
      </c>
      <c r="AL135">
        <f>IFERROR(INDEX(U$13:U$162,MATCH(123,$AE$13:$AE$162,0)),0)*$T$6</f>
        <v/>
      </c>
      <c r="AM135">
        <f>IFERROR(INDEX(V$13:V$162,MATCH(123,$AE$13:$AE$162,0)),0)*$T$6</f>
        <v/>
      </c>
      <c r="AN135">
        <f>IFERROR(INDEX(W$13:W$162,MATCH(123,$AE$13:$AE$162,0)),0)*$T$6</f>
        <v/>
      </c>
      <c r="AO135">
        <f>IFERROR(INDEX(X$13:X$162,MATCH(123,$AE$13:$AE$162,0)),0)*$T$6</f>
        <v/>
      </c>
      <c r="AP135">
        <f>IFERROR(INDEX(Y$13:Y$162,MATCH(123,$AE$13:$AE$162,0)),0)*$T$6</f>
        <v/>
      </c>
      <c r="AQ135">
        <f>IFERROR(INDEX(Z$13:Z$162,MATCH(123,$AE$13:$AE$162,0)),0)*$T$6</f>
        <v/>
      </c>
      <c r="AR135">
        <f>IFERROR(INDEX(AA$13:AA$162,MATCH(123,$AE$13:$AE$162,0)),0)*$T$6</f>
        <v/>
      </c>
      <c r="AS135">
        <f>IFERROR(INDEX($P$13:$P$162,MATCH(123,$AF$13:$AF$162,0)),"")</f>
        <v/>
      </c>
      <c r="AT135">
        <f>IFERROR(INDEX(S$13:S$162,MATCH(123,$AF$13:$AF$162,0)),0)*$T$7</f>
        <v/>
      </c>
      <c r="AU135">
        <f>IFERROR(INDEX(T$13:T$162,MATCH(123,$AF$13:$AF$162,0)),0)*$T$7</f>
        <v/>
      </c>
      <c r="AV135">
        <f>IFERROR(INDEX(U$13:U$162,MATCH(123,$AF$13:$AF$162,0)),0)*$T$7</f>
        <v/>
      </c>
      <c r="AW135">
        <f>IFERROR(INDEX(V$13:V$162,MATCH(123,$AF$13:$AF$162,0)),0)*$T$7</f>
        <v/>
      </c>
      <c r="AX135">
        <f>IFERROR(INDEX(W$13:W$162,MATCH(123,$AF$13:$AF$162,0)),0)*$T$7</f>
        <v/>
      </c>
      <c r="AY135">
        <f>IFERROR(INDEX(X$13:X$162,MATCH(123,$AF$13:$AF$162,0)),0)*$T$7</f>
        <v/>
      </c>
      <c r="AZ135">
        <f>IFERROR(INDEX(Y$13:Y$162,MATCH(123,$AF$13:$AF$162,0)),0)*$T$7</f>
        <v/>
      </c>
      <c r="BA135">
        <f>IFERROR(INDEX(Z$13:Z$162,MATCH(123,$AF$13:$AF$162,0)),0)*$T$7</f>
        <v/>
      </c>
      <c r="BB135">
        <f>IFERROR(INDEX(AA$13:AA$162,MATCH(123,$AF$13:$AF$162,0)),0)*$T$7</f>
        <v/>
      </c>
      <c r="BC135">
        <f>IFERROR(INDEX($P$13:$P$162,MATCH(123,$AG$13:$AG$162,0)),"")</f>
        <v/>
      </c>
      <c r="BD135">
        <f>IFERROR(INDEX(S$13:S$162,MATCH(123,$AG$13:$AG$162,0)),0)*($T$8+IF($C$10="",$T$9,0))</f>
        <v/>
      </c>
      <c r="BE135">
        <f>IFERROR(INDEX(T$13:T$162,MATCH(123,$AG$13:$AG$162,0)),0)*($T$8+IF($C$10="",$T$9,0))</f>
        <v/>
      </c>
      <c r="BF135">
        <f>IFERROR(INDEX(U$13:U$162,MATCH(123,$AG$13:$AG$162,0)),0)*($T$8+IF($C$10="",$T$9,0))</f>
        <v/>
      </c>
      <c r="BG135">
        <f>IFERROR(INDEX(V$13:V$162,MATCH(123,$AG$13:$AG$162,0)),0)*($T$8+IF($C$10="",$T$9,0))</f>
        <v/>
      </c>
      <c r="BH135">
        <f>IFERROR(INDEX(W$13:W$162,MATCH(123,$AG$13:$AG$162,0)),0)*($T$8+IF($C$10="",$T$9,0))</f>
        <v/>
      </c>
      <c r="BI135">
        <f>IFERROR(INDEX(X$13:X$162,MATCH(123,$AG$13:$AG$162,0)),0)*($T$8+IF($C$10="",$T$9,0))</f>
        <v/>
      </c>
      <c r="BJ135">
        <f>IFERROR(INDEX(Y$13:Y$162,MATCH(123,$AG$13:$AG$162,0)),0)*($T$8+IF($C$10="",$T$9,0))</f>
        <v/>
      </c>
      <c r="BK135">
        <f>IFERROR(INDEX(Z$13:Z$162,MATCH(123,$AG$13:$AG$162,0)),0)*($T$8+IF($C$10="",$T$9,0))</f>
        <v/>
      </c>
      <c r="BL135">
        <f>IFERROR(INDEX(AA$13:AA$162,MATCH(123,$AG$13:$AG$162,0)),0)*($T$8+IF($C$10="",$T$9,0))</f>
        <v/>
      </c>
      <c r="BN135">
        <f>IF(122&lt;$U$9,INT(122/($U$7*$U$8))+1,1)</f>
        <v/>
      </c>
      <c r="BO135">
        <f>IF(122&lt;$U$9,MOD(INT(122/$U$8),$U$7)+1,1)</f>
        <v/>
      </c>
      <c r="BP135">
        <f>IF(122&lt;$U$9,MOD(122,$U$8)+1,1)</f>
        <v/>
      </c>
      <c r="BQ135">
        <f>IF(122&lt;$U$9,SUMPRODUCT(($D$10:$L$10&lt;&gt;"")*(($D$9:$L$9+INT(($S$12:$AA$12+INDEX($AJ$13:$AR$162,BN135,0)+INDEX($AT$13:$BB$162,BO135,0)+INDEX($BD$13:$BL$162,BP135,0))/100))&gt;=$D$10:$L$10)),0)</f>
        <v/>
      </c>
      <c r="BR135">
        <f>IF(122&lt;$U$9,SUMPRODUCT(($D$10:$L$10&lt;&gt;"")*(($D$10:$L$10-($D$9:$L$9+INT(($S$12:$AA$12+INDEX($AJ$13:$AR$162,BN135,0)+INDEX($AT$13:$BB$162,BO135,0)+INDEX($BD$13:$BL$162,BP135,0))/100)))&gt;0)*($D$10:$L$10-($D$9:$L$9+INT(($S$12:$AA$12+INDEX($AJ$13:$AR$162,BN135,0)+INDEX($AT$13:$BB$162,BO135,0)+INDEX($BD$13:$BL$162,BP135,0))/100)))),0)</f>
        <v/>
      </c>
      <c r="BS135">
        <f>IF(122&lt;$U$9,SUMPRODUCT(($D$9:$L$9+INT(($S$12:$AA$12+INDEX($AJ$13:$AR$162,BN135,0)+INDEX($AT$13:$BB$162,BO135,0)+INDEX($BD$13:$BL$162,BP135,0))/100))),0)</f>
        <v/>
      </c>
      <c r="BT135">
        <f>IF(AND(122&lt;$U$9,$W$5),BQ135*1000000-MIN(BR135,999)*1000+BS135-122/100000,-1000000000-122)</f>
        <v/>
      </c>
      <c r="CF135">
        <f>IF($A135="","",IFERROR(MATCH($C135,'职业'!$C$3:$C$152,0),0))</f>
        <v/>
      </c>
      <c r="CG135">
        <f>IF($A135="","",CG134+MAX(0,D$7+IF($CF134=0,0,IFERROR(INDEX('职业'!F$3:F$152,$CF134)+0,0))))</f>
        <v/>
      </c>
      <c r="CH135">
        <f>IF($A135="","",CH134+MAX(0,E$7+IF($CF134=0,0,IFERROR(INDEX('职业'!G$3:G$152,$CF134)+0,0))))</f>
        <v/>
      </c>
      <c r="CI135">
        <f>IF($A135="","",CI134+MAX(0,F$7+IF($CF134=0,0,IFERROR(INDEX('职业'!H$3:H$152,$CF134)+0,0))))</f>
        <v/>
      </c>
      <c r="CJ135">
        <f>IF($A135="","",CJ134+MAX(0,G$7+IF($CF134=0,0,IFERROR(INDEX('职业'!I$3:I$152,$CF134)+0,0))))</f>
        <v/>
      </c>
      <c r="CK135">
        <f>IF($A135="","",CK134+MAX(0,H$7+IF($CF134=0,0,IFERROR(INDEX('职业'!J$3:J$152,$CF134)+0,0))))</f>
        <v/>
      </c>
      <c r="CL135">
        <f>IF($A135="","",CL134+MAX(0,I$7+IF($CF134=0,0,IFERROR(INDEX('职业'!K$3:K$152,$CF134)+0,0))))</f>
        <v/>
      </c>
      <c r="CM135">
        <f>IF($A135="","",CM134+MAX(0,J$7+IF($CF134=0,0,IFERROR(INDEX('职业'!L$3:L$152,$CF134)+0,0))))</f>
        <v/>
      </c>
      <c r="CN135">
        <f>IF($A135="","",CN134+MAX(0,K$7+IF($CF134=0,0,IFERROR(INDEX('职业'!M$3:M$152,$CF134)+0,0))))</f>
        <v/>
      </c>
      <c r="CO135">
        <f>IF($A135="","",CO134+MAX(0,L$7+IF($CF134=0,0,IFERROR(INDEX('职业'!N$3:N$152,$CF134)+0,0))))</f>
        <v/>
      </c>
    </row>
    <row r="136">
      <c r="A136" s="15">
        <f>IF(OR($B$9="",$B$10=""),"",IF($B$9+84&lt;=$B$10,$B$9+84,""))</f>
        <v/>
      </c>
      <c r="B136" s="15">
        <f>IF($A136="","",MATCH($A136,$BV$27:$BV$32,1))</f>
        <v/>
      </c>
      <c r="C136" s="15">
        <f>IF($A136="","",INDEX($BW$27:$BW$32,$B136))</f>
        <v/>
      </c>
      <c r="D136" s="15">
        <f>IF($A136="","",D$9+INT(($B$14+CG136)/100))</f>
        <v/>
      </c>
      <c r="E136" s="15">
        <f>IF($A136="","",E$9+INT(($B$14+CH136)/100))</f>
        <v/>
      </c>
      <c r="F136" s="15">
        <f>IF($A136="","",F$9+INT(($B$14+CI136)/100))</f>
        <v/>
      </c>
      <c r="G136" s="15">
        <f>IF($A136="","",G$9+INT(($B$14+CJ136)/100))</f>
        <v/>
      </c>
      <c r="H136" s="15">
        <f>IF($A136="","",H$9+INT(($B$14+CK136)/100))</f>
        <v/>
      </c>
      <c r="I136" s="15">
        <f>IF($A136="","",I$9+INT(($B$14+CL136)/100))</f>
        <v/>
      </c>
      <c r="J136" s="15">
        <f>IF($A136="","",J$9+INT(($B$14+CM136)/100))</f>
        <v/>
      </c>
      <c r="K136" s="15">
        <f>IF($A136="","",K$9+INT(($B$14+CN136)/100))</f>
        <v/>
      </c>
      <c r="L136" s="15">
        <f>IF($A136="","",L$9+INT(($B$14+CO136)/100))</f>
        <v/>
      </c>
      <c r="M136" s="16">
        <f>IF($A136="","",IF($C136&lt;&gt;$C135,"★ 转职 → 【"&amp;$C136&amp;"】","")&amp;IF($A136=$B$10,"（目标等级）",""))</f>
        <v/>
      </c>
      <c r="P136">
        <f>IF('职业'!$C126="","",'职业'!$C126)</f>
        <v/>
      </c>
      <c r="Q136">
        <f>N('职业'!$D126)</f>
        <v/>
      </c>
      <c r="R136">
        <f>'职业'!$E126&amp;""</f>
        <v/>
      </c>
      <c r="S136">
        <f>IF($P136="",0,MAX(0,D$7+N('职业'!F126)))</f>
        <v/>
      </c>
      <c r="T136">
        <f>IF($P136="",0,MAX(0,E$7+N('职业'!G126)))</f>
        <v/>
      </c>
      <c r="U136">
        <f>IF($P136="",0,MAX(0,F$7+N('职业'!H126)))</f>
        <v/>
      </c>
      <c r="V136">
        <f>IF($P136="",0,MAX(0,G$7+N('职业'!I126)))</f>
        <v/>
      </c>
      <c r="W136">
        <f>IF($P136="",0,MAX(0,H$7+N('职业'!J126)))</f>
        <v/>
      </c>
      <c r="X136">
        <f>IF($P136="",0,MAX(0,I$7+N('职业'!K126)))</f>
        <v/>
      </c>
      <c r="Y136">
        <f>IF($P136="",0,MAX(0,J$7+N('职业'!L126)))</f>
        <v/>
      </c>
      <c r="Z136">
        <f>IF($P136="",0,MAX(0,K$7+N('职业'!M126)))</f>
        <v/>
      </c>
      <c r="AA136">
        <f>IF($P136="",0,MAX(0,L$7+N('职业'!N126)))</f>
        <v/>
      </c>
      <c r="AB136">
        <f>AND($P136&lt;&gt;"",IF($U$5=1,$P136=$C$10,OR($P136=$C$9,AND($R136="是",$Q136&lt;=MAX($B$9,$Q$6)))))</f>
        <v/>
      </c>
      <c r="AC136">
        <f>AND($P136&lt;&gt;"",IF($U$5=2,$P136=$C$10,OR($P136=$C$9,AND($R136="是",$Q136&lt;=MAX($B$9,$Q$7)))))</f>
        <v/>
      </c>
      <c r="AD136">
        <f>AND($P136&lt;&gt;"",IF($U$5=3,$P136=$C$10,OR($P136=$C$9,AND($R136="是",$Q136&lt;=MAX($B$9,$Q$8)))))</f>
        <v/>
      </c>
      <c r="AE136">
        <f>IF(AB136,COUNTIF(AB$13:AB136,TRUE),"")</f>
        <v/>
      </c>
      <c r="AF136">
        <f>IF(AC136,COUNTIF(AC$13:AC136,TRUE),"")</f>
        <v/>
      </c>
      <c r="AG136">
        <f>IF(AD136,COUNTIF(AD$13:AD136,TRUE),"")</f>
        <v/>
      </c>
      <c r="AI136">
        <f>IFERROR(INDEX($P$13:$P$162,MATCH(124,$AE$13:$AE$162,0)),"")</f>
        <v/>
      </c>
      <c r="AJ136">
        <f>IFERROR(INDEX(S$13:S$162,MATCH(124,$AE$13:$AE$162,0)),0)*$T$6</f>
        <v/>
      </c>
      <c r="AK136">
        <f>IFERROR(INDEX(T$13:T$162,MATCH(124,$AE$13:$AE$162,0)),0)*$T$6</f>
        <v/>
      </c>
      <c r="AL136">
        <f>IFERROR(INDEX(U$13:U$162,MATCH(124,$AE$13:$AE$162,0)),0)*$T$6</f>
        <v/>
      </c>
      <c r="AM136">
        <f>IFERROR(INDEX(V$13:V$162,MATCH(124,$AE$13:$AE$162,0)),0)*$T$6</f>
        <v/>
      </c>
      <c r="AN136">
        <f>IFERROR(INDEX(W$13:W$162,MATCH(124,$AE$13:$AE$162,0)),0)*$T$6</f>
        <v/>
      </c>
      <c r="AO136">
        <f>IFERROR(INDEX(X$13:X$162,MATCH(124,$AE$13:$AE$162,0)),0)*$T$6</f>
        <v/>
      </c>
      <c r="AP136">
        <f>IFERROR(INDEX(Y$13:Y$162,MATCH(124,$AE$13:$AE$162,0)),0)*$T$6</f>
        <v/>
      </c>
      <c r="AQ136">
        <f>IFERROR(INDEX(Z$13:Z$162,MATCH(124,$AE$13:$AE$162,0)),0)*$T$6</f>
        <v/>
      </c>
      <c r="AR136">
        <f>IFERROR(INDEX(AA$13:AA$162,MATCH(124,$AE$13:$AE$162,0)),0)*$T$6</f>
        <v/>
      </c>
      <c r="AS136">
        <f>IFERROR(INDEX($P$13:$P$162,MATCH(124,$AF$13:$AF$162,0)),"")</f>
        <v/>
      </c>
      <c r="AT136">
        <f>IFERROR(INDEX(S$13:S$162,MATCH(124,$AF$13:$AF$162,0)),0)*$T$7</f>
        <v/>
      </c>
      <c r="AU136">
        <f>IFERROR(INDEX(T$13:T$162,MATCH(124,$AF$13:$AF$162,0)),0)*$T$7</f>
        <v/>
      </c>
      <c r="AV136">
        <f>IFERROR(INDEX(U$13:U$162,MATCH(124,$AF$13:$AF$162,0)),0)*$T$7</f>
        <v/>
      </c>
      <c r="AW136">
        <f>IFERROR(INDEX(V$13:V$162,MATCH(124,$AF$13:$AF$162,0)),0)*$T$7</f>
        <v/>
      </c>
      <c r="AX136">
        <f>IFERROR(INDEX(W$13:W$162,MATCH(124,$AF$13:$AF$162,0)),0)*$T$7</f>
        <v/>
      </c>
      <c r="AY136">
        <f>IFERROR(INDEX(X$13:X$162,MATCH(124,$AF$13:$AF$162,0)),0)*$T$7</f>
        <v/>
      </c>
      <c r="AZ136">
        <f>IFERROR(INDEX(Y$13:Y$162,MATCH(124,$AF$13:$AF$162,0)),0)*$T$7</f>
        <v/>
      </c>
      <c r="BA136">
        <f>IFERROR(INDEX(Z$13:Z$162,MATCH(124,$AF$13:$AF$162,0)),0)*$T$7</f>
        <v/>
      </c>
      <c r="BB136">
        <f>IFERROR(INDEX(AA$13:AA$162,MATCH(124,$AF$13:$AF$162,0)),0)*$T$7</f>
        <v/>
      </c>
      <c r="BC136">
        <f>IFERROR(INDEX($P$13:$P$162,MATCH(124,$AG$13:$AG$162,0)),"")</f>
        <v/>
      </c>
      <c r="BD136">
        <f>IFERROR(INDEX(S$13:S$162,MATCH(124,$AG$13:$AG$162,0)),0)*($T$8+IF($C$10="",$T$9,0))</f>
        <v/>
      </c>
      <c r="BE136">
        <f>IFERROR(INDEX(T$13:T$162,MATCH(124,$AG$13:$AG$162,0)),0)*($T$8+IF($C$10="",$T$9,0))</f>
        <v/>
      </c>
      <c r="BF136">
        <f>IFERROR(INDEX(U$13:U$162,MATCH(124,$AG$13:$AG$162,0)),0)*($T$8+IF($C$10="",$T$9,0))</f>
        <v/>
      </c>
      <c r="BG136">
        <f>IFERROR(INDEX(V$13:V$162,MATCH(124,$AG$13:$AG$162,0)),0)*($T$8+IF($C$10="",$T$9,0))</f>
        <v/>
      </c>
      <c r="BH136">
        <f>IFERROR(INDEX(W$13:W$162,MATCH(124,$AG$13:$AG$162,0)),0)*($T$8+IF($C$10="",$T$9,0))</f>
        <v/>
      </c>
      <c r="BI136">
        <f>IFERROR(INDEX(X$13:X$162,MATCH(124,$AG$13:$AG$162,0)),0)*($T$8+IF($C$10="",$T$9,0))</f>
        <v/>
      </c>
      <c r="BJ136">
        <f>IFERROR(INDEX(Y$13:Y$162,MATCH(124,$AG$13:$AG$162,0)),0)*($T$8+IF($C$10="",$T$9,0))</f>
        <v/>
      </c>
      <c r="BK136">
        <f>IFERROR(INDEX(Z$13:Z$162,MATCH(124,$AG$13:$AG$162,0)),0)*($T$8+IF($C$10="",$T$9,0))</f>
        <v/>
      </c>
      <c r="BL136">
        <f>IFERROR(INDEX(AA$13:AA$162,MATCH(124,$AG$13:$AG$162,0)),0)*($T$8+IF($C$10="",$T$9,0))</f>
        <v/>
      </c>
      <c r="BN136">
        <f>IF(123&lt;$U$9,INT(123/($U$7*$U$8))+1,1)</f>
        <v/>
      </c>
      <c r="BO136">
        <f>IF(123&lt;$U$9,MOD(INT(123/$U$8),$U$7)+1,1)</f>
        <v/>
      </c>
      <c r="BP136">
        <f>IF(123&lt;$U$9,MOD(123,$U$8)+1,1)</f>
        <v/>
      </c>
      <c r="BQ136">
        <f>IF(123&lt;$U$9,SUMPRODUCT(($D$10:$L$10&lt;&gt;"")*(($D$9:$L$9+INT(($S$12:$AA$12+INDEX($AJ$13:$AR$162,BN136,0)+INDEX($AT$13:$BB$162,BO136,0)+INDEX($BD$13:$BL$162,BP136,0))/100))&gt;=$D$10:$L$10)),0)</f>
        <v/>
      </c>
      <c r="BR136">
        <f>IF(123&lt;$U$9,SUMPRODUCT(($D$10:$L$10&lt;&gt;"")*(($D$10:$L$10-($D$9:$L$9+INT(($S$12:$AA$12+INDEX($AJ$13:$AR$162,BN136,0)+INDEX($AT$13:$BB$162,BO136,0)+INDEX($BD$13:$BL$162,BP136,0))/100)))&gt;0)*($D$10:$L$10-($D$9:$L$9+INT(($S$12:$AA$12+INDEX($AJ$13:$AR$162,BN136,0)+INDEX($AT$13:$BB$162,BO136,0)+INDEX($BD$13:$BL$162,BP136,0))/100)))),0)</f>
        <v/>
      </c>
      <c r="BS136">
        <f>IF(123&lt;$U$9,SUMPRODUCT(($D$9:$L$9+INT(($S$12:$AA$12+INDEX($AJ$13:$AR$162,BN136,0)+INDEX($AT$13:$BB$162,BO136,0)+INDEX($BD$13:$BL$162,BP136,0))/100))),0)</f>
        <v/>
      </c>
      <c r="BT136">
        <f>IF(AND(123&lt;$U$9,$W$5),BQ136*1000000-MIN(BR136,999)*1000+BS136-123/100000,-1000000000-123)</f>
        <v/>
      </c>
      <c r="CF136">
        <f>IF($A136="","",IFERROR(MATCH($C136,'职业'!$C$3:$C$152,0),0))</f>
        <v/>
      </c>
      <c r="CG136">
        <f>IF($A136="","",CG135+MAX(0,D$7+IF($CF135=0,0,IFERROR(INDEX('职业'!F$3:F$152,$CF135)+0,0))))</f>
        <v/>
      </c>
      <c r="CH136">
        <f>IF($A136="","",CH135+MAX(0,E$7+IF($CF135=0,0,IFERROR(INDEX('职业'!G$3:G$152,$CF135)+0,0))))</f>
        <v/>
      </c>
      <c r="CI136">
        <f>IF($A136="","",CI135+MAX(0,F$7+IF($CF135=0,0,IFERROR(INDEX('职业'!H$3:H$152,$CF135)+0,0))))</f>
        <v/>
      </c>
      <c r="CJ136">
        <f>IF($A136="","",CJ135+MAX(0,G$7+IF($CF135=0,0,IFERROR(INDEX('职业'!I$3:I$152,$CF135)+0,0))))</f>
        <v/>
      </c>
      <c r="CK136">
        <f>IF($A136="","",CK135+MAX(0,H$7+IF($CF135=0,0,IFERROR(INDEX('职业'!J$3:J$152,$CF135)+0,0))))</f>
        <v/>
      </c>
      <c r="CL136">
        <f>IF($A136="","",CL135+MAX(0,I$7+IF($CF135=0,0,IFERROR(INDEX('职业'!K$3:K$152,$CF135)+0,0))))</f>
        <v/>
      </c>
      <c r="CM136">
        <f>IF($A136="","",CM135+MAX(0,J$7+IF($CF135=0,0,IFERROR(INDEX('职业'!L$3:L$152,$CF135)+0,0))))</f>
        <v/>
      </c>
      <c r="CN136">
        <f>IF($A136="","",CN135+MAX(0,K$7+IF($CF135=0,0,IFERROR(INDEX('职业'!M$3:M$152,$CF135)+0,0))))</f>
        <v/>
      </c>
      <c r="CO136">
        <f>IF($A136="","",CO135+MAX(0,L$7+IF($CF135=0,0,IFERROR(INDEX('职业'!N$3:N$152,$CF135)+0,0))))</f>
        <v/>
      </c>
    </row>
    <row r="137">
      <c r="A137" s="15">
        <f>IF(OR($B$9="",$B$10=""),"",IF($B$9+85&lt;=$B$10,$B$9+85,""))</f>
        <v/>
      </c>
      <c r="B137" s="15">
        <f>IF($A137="","",MATCH($A137,$BV$27:$BV$32,1))</f>
        <v/>
      </c>
      <c r="C137" s="15">
        <f>IF($A137="","",INDEX($BW$27:$BW$32,$B137))</f>
        <v/>
      </c>
      <c r="D137" s="15">
        <f>IF($A137="","",D$9+INT(($B$14+CG137)/100))</f>
        <v/>
      </c>
      <c r="E137" s="15">
        <f>IF($A137="","",E$9+INT(($B$14+CH137)/100))</f>
        <v/>
      </c>
      <c r="F137" s="15">
        <f>IF($A137="","",F$9+INT(($B$14+CI137)/100))</f>
        <v/>
      </c>
      <c r="G137" s="15">
        <f>IF($A137="","",G$9+INT(($B$14+CJ137)/100))</f>
        <v/>
      </c>
      <c r="H137" s="15">
        <f>IF($A137="","",H$9+INT(($B$14+CK137)/100))</f>
        <v/>
      </c>
      <c r="I137" s="15">
        <f>IF($A137="","",I$9+INT(($B$14+CL137)/100))</f>
        <v/>
      </c>
      <c r="J137" s="15">
        <f>IF($A137="","",J$9+INT(($B$14+CM137)/100))</f>
        <v/>
      </c>
      <c r="K137" s="15">
        <f>IF($A137="","",K$9+INT(($B$14+CN137)/100))</f>
        <v/>
      </c>
      <c r="L137" s="15">
        <f>IF($A137="","",L$9+INT(($B$14+CO137)/100))</f>
        <v/>
      </c>
      <c r="M137" s="16">
        <f>IF($A137="","",IF($C137&lt;&gt;$C136,"★ 转职 → 【"&amp;$C137&amp;"】","")&amp;IF($A137=$B$10,"（目标等级）",""))</f>
        <v/>
      </c>
      <c r="P137">
        <f>IF('职业'!$C127="","",'职业'!$C127)</f>
        <v/>
      </c>
      <c r="Q137">
        <f>N('职业'!$D127)</f>
        <v/>
      </c>
      <c r="R137">
        <f>'职业'!$E127&amp;""</f>
        <v/>
      </c>
      <c r="S137">
        <f>IF($P137="",0,MAX(0,D$7+N('职业'!F127)))</f>
        <v/>
      </c>
      <c r="T137">
        <f>IF($P137="",0,MAX(0,E$7+N('职业'!G127)))</f>
        <v/>
      </c>
      <c r="U137">
        <f>IF($P137="",0,MAX(0,F$7+N('职业'!H127)))</f>
        <v/>
      </c>
      <c r="V137">
        <f>IF($P137="",0,MAX(0,G$7+N('职业'!I127)))</f>
        <v/>
      </c>
      <c r="W137">
        <f>IF($P137="",0,MAX(0,H$7+N('职业'!J127)))</f>
        <v/>
      </c>
      <c r="X137">
        <f>IF($P137="",0,MAX(0,I$7+N('职业'!K127)))</f>
        <v/>
      </c>
      <c r="Y137">
        <f>IF($P137="",0,MAX(0,J$7+N('职业'!L127)))</f>
        <v/>
      </c>
      <c r="Z137">
        <f>IF($P137="",0,MAX(0,K$7+N('职业'!M127)))</f>
        <v/>
      </c>
      <c r="AA137">
        <f>IF($P137="",0,MAX(0,L$7+N('职业'!N127)))</f>
        <v/>
      </c>
      <c r="AB137">
        <f>AND($P137&lt;&gt;"",IF($U$5=1,$P137=$C$10,OR($P137=$C$9,AND($R137="是",$Q137&lt;=MAX($B$9,$Q$6)))))</f>
        <v/>
      </c>
      <c r="AC137">
        <f>AND($P137&lt;&gt;"",IF($U$5=2,$P137=$C$10,OR($P137=$C$9,AND($R137="是",$Q137&lt;=MAX($B$9,$Q$7)))))</f>
        <v/>
      </c>
      <c r="AD137">
        <f>AND($P137&lt;&gt;"",IF($U$5=3,$P137=$C$10,OR($P137=$C$9,AND($R137="是",$Q137&lt;=MAX($B$9,$Q$8)))))</f>
        <v/>
      </c>
      <c r="AE137">
        <f>IF(AB137,COUNTIF(AB$13:AB137,TRUE),"")</f>
        <v/>
      </c>
      <c r="AF137">
        <f>IF(AC137,COUNTIF(AC$13:AC137,TRUE),"")</f>
        <v/>
      </c>
      <c r="AG137">
        <f>IF(AD137,COUNTIF(AD$13:AD137,TRUE),"")</f>
        <v/>
      </c>
      <c r="AI137">
        <f>IFERROR(INDEX($P$13:$P$162,MATCH(125,$AE$13:$AE$162,0)),"")</f>
        <v/>
      </c>
      <c r="AJ137">
        <f>IFERROR(INDEX(S$13:S$162,MATCH(125,$AE$13:$AE$162,0)),0)*$T$6</f>
        <v/>
      </c>
      <c r="AK137">
        <f>IFERROR(INDEX(T$13:T$162,MATCH(125,$AE$13:$AE$162,0)),0)*$T$6</f>
        <v/>
      </c>
      <c r="AL137">
        <f>IFERROR(INDEX(U$13:U$162,MATCH(125,$AE$13:$AE$162,0)),0)*$T$6</f>
        <v/>
      </c>
      <c r="AM137">
        <f>IFERROR(INDEX(V$13:V$162,MATCH(125,$AE$13:$AE$162,0)),0)*$T$6</f>
        <v/>
      </c>
      <c r="AN137">
        <f>IFERROR(INDEX(W$13:W$162,MATCH(125,$AE$13:$AE$162,0)),0)*$T$6</f>
        <v/>
      </c>
      <c r="AO137">
        <f>IFERROR(INDEX(X$13:X$162,MATCH(125,$AE$13:$AE$162,0)),0)*$T$6</f>
        <v/>
      </c>
      <c r="AP137">
        <f>IFERROR(INDEX(Y$13:Y$162,MATCH(125,$AE$13:$AE$162,0)),0)*$T$6</f>
        <v/>
      </c>
      <c r="AQ137">
        <f>IFERROR(INDEX(Z$13:Z$162,MATCH(125,$AE$13:$AE$162,0)),0)*$T$6</f>
        <v/>
      </c>
      <c r="AR137">
        <f>IFERROR(INDEX(AA$13:AA$162,MATCH(125,$AE$13:$AE$162,0)),0)*$T$6</f>
        <v/>
      </c>
      <c r="AS137">
        <f>IFERROR(INDEX($P$13:$P$162,MATCH(125,$AF$13:$AF$162,0)),"")</f>
        <v/>
      </c>
      <c r="AT137">
        <f>IFERROR(INDEX(S$13:S$162,MATCH(125,$AF$13:$AF$162,0)),0)*$T$7</f>
        <v/>
      </c>
      <c r="AU137">
        <f>IFERROR(INDEX(T$13:T$162,MATCH(125,$AF$13:$AF$162,0)),0)*$T$7</f>
        <v/>
      </c>
      <c r="AV137">
        <f>IFERROR(INDEX(U$13:U$162,MATCH(125,$AF$13:$AF$162,0)),0)*$T$7</f>
        <v/>
      </c>
      <c r="AW137">
        <f>IFERROR(INDEX(V$13:V$162,MATCH(125,$AF$13:$AF$162,0)),0)*$T$7</f>
        <v/>
      </c>
      <c r="AX137">
        <f>IFERROR(INDEX(W$13:W$162,MATCH(125,$AF$13:$AF$162,0)),0)*$T$7</f>
        <v/>
      </c>
      <c r="AY137">
        <f>IFERROR(INDEX(X$13:X$162,MATCH(125,$AF$13:$AF$162,0)),0)*$T$7</f>
        <v/>
      </c>
      <c r="AZ137">
        <f>IFERROR(INDEX(Y$13:Y$162,MATCH(125,$AF$13:$AF$162,0)),0)*$T$7</f>
        <v/>
      </c>
      <c r="BA137">
        <f>IFERROR(INDEX(Z$13:Z$162,MATCH(125,$AF$13:$AF$162,0)),0)*$T$7</f>
        <v/>
      </c>
      <c r="BB137">
        <f>IFERROR(INDEX(AA$13:AA$162,MATCH(125,$AF$13:$AF$162,0)),0)*$T$7</f>
        <v/>
      </c>
      <c r="BC137">
        <f>IFERROR(INDEX($P$13:$P$162,MATCH(125,$AG$13:$AG$162,0)),"")</f>
        <v/>
      </c>
      <c r="BD137">
        <f>IFERROR(INDEX(S$13:S$162,MATCH(125,$AG$13:$AG$162,0)),0)*($T$8+IF($C$10="",$T$9,0))</f>
        <v/>
      </c>
      <c r="BE137">
        <f>IFERROR(INDEX(T$13:T$162,MATCH(125,$AG$13:$AG$162,0)),0)*($T$8+IF($C$10="",$T$9,0))</f>
        <v/>
      </c>
      <c r="BF137">
        <f>IFERROR(INDEX(U$13:U$162,MATCH(125,$AG$13:$AG$162,0)),0)*($T$8+IF($C$10="",$T$9,0))</f>
        <v/>
      </c>
      <c r="BG137">
        <f>IFERROR(INDEX(V$13:V$162,MATCH(125,$AG$13:$AG$162,0)),0)*($T$8+IF($C$10="",$T$9,0))</f>
        <v/>
      </c>
      <c r="BH137">
        <f>IFERROR(INDEX(W$13:W$162,MATCH(125,$AG$13:$AG$162,0)),0)*($T$8+IF($C$10="",$T$9,0))</f>
        <v/>
      </c>
      <c r="BI137">
        <f>IFERROR(INDEX(X$13:X$162,MATCH(125,$AG$13:$AG$162,0)),0)*($T$8+IF($C$10="",$T$9,0))</f>
        <v/>
      </c>
      <c r="BJ137">
        <f>IFERROR(INDEX(Y$13:Y$162,MATCH(125,$AG$13:$AG$162,0)),0)*($T$8+IF($C$10="",$T$9,0))</f>
        <v/>
      </c>
      <c r="BK137">
        <f>IFERROR(INDEX(Z$13:Z$162,MATCH(125,$AG$13:$AG$162,0)),0)*($T$8+IF($C$10="",$T$9,0))</f>
        <v/>
      </c>
      <c r="BL137">
        <f>IFERROR(INDEX(AA$13:AA$162,MATCH(125,$AG$13:$AG$162,0)),0)*($T$8+IF($C$10="",$T$9,0))</f>
        <v/>
      </c>
      <c r="BN137">
        <f>IF(124&lt;$U$9,INT(124/($U$7*$U$8))+1,1)</f>
        <v/>
      </c>
      <c r="BO137">
        <f>IF(124&lt;$U$9,MOD(INT(124/$U$8),$U$7)+1,1)</f>
        <v/>
      </c>
      <c r="BP137">
        <f>IF(124&lt;$U$9,MOD(124,$U$8)+1,1)</f>
        <v/>
      </c>
      <c r="BQ137">
        <f>IF(124&lt;$U$9,SUMPRODUCT(($D$10:$L$10&lt;&gt;"")*(($D$9:$L$9+INT(($S$12:$AA$12+INDEX($AJ$13:$AR$162,BN137,0)+INDEX($AT$13:$BB$162,BO137,0)+INDEX($BD$13:$BL$162,BP137,0))/100))&gt;=$D$10:$L$10)),0)</f>
        <v/>
      </c>
      <c r="BR137">
        <f>IF(124&lt;$U$9,SUMPRODUCT(($D$10:$L$10&lt;&gt;"")*(($D$10:$L$10-($D$9:$L$9+INT(($S$12:$AA$12+INDEX($AJ$13:$AR$162,BN137,0)+INDEX($AT$13:$BB$162,BO137,0)+INDEX($BD$13:$BL$162,BP137,0))/100)))&gt;0)*($D$10:$L$10-($D$9:$L$9+INT(($S$12:$AA$12+INDEX($AJ$13:$AR$162,BN137,0)+INDEX($AT$13:$BB$162,BO137,0)+INDEX($BD$13:$BL$162,BP137,0))/100)))),0)</f>
        <v/>
      </c>
      <c r="BS137">
        <f>IF(124&lt;$U$9,SUMPRODUCT(($D$9:$L$9+INT(($S$12:$AA$12+INDEX($AJ$13:$AR$162,BN137,0)+INDEX($AT$13:$BB$162,BO137,0)+INDEX($BD$13:$BL$162,BP137,0))/100))),0)</f>
        <v/>
      </c>
      <c r="BT137">
        <f>IF(AND(124&lt;$U$9,$W$5),BQ137*1000000-MIN(BR137,999)*1000+BS137-124/100000,-1000000000-124)</f>
        <v/>
      </c>
      <c r="CF137">
        <f>IF($A137="","",IFERROR(MATCH($C137,'职业'!$C$3:$C$152,0),0))</f>
        <v/>
      </c>
      <c r="CG137">
        <f>IF($A137="","",CG136+MAX(0,D$7+IF($CF136=0,0,IFERROR(INDEX('职业'!F$3:F$152,$CF136)+0,0))))</f>
        <v/>
      </c>
      <c r="CH137">
        <f>IF($A137="","",CH136+MAX(0,E$7+IF($CF136=0,0,IFERROR(INDEX('职业'!G$3:G$152,$CF136)+0,0))))</f>
        <v/>
      </c>
      <c r="CI137">
        <f>IF($A137="","",CI136+MAX(0,F$7+IF($CF136=0,0,IFERROR(INDEX('职业'!H$3:H$152,$CF136)+0,0))))</f>
        <v/>
      </c>
      <c r="CJ137">
        <f>IF($A137="","",CJ136+MAX(0,G$7+IF($CF136=0,0,IFERROR(INDEX('职业'!I$3:I$152,$CF136)+0,0))))</f>
        <v/>
      </c>
      <c r="CK137">
        <f>IF($A137="","",CK136+MAX(0,H$7+IF($CF136=0,0,IFERROR(INDEX('职业'!J$3:J$152,$CF136)+0,0))))</f>
        <v/>
      </c>
      <c r="CL137">
        <f>IF($A137="","",CL136+MAX(0,I$7+IF($CF136=0,0,IFERROR(INDEX('职业'!K$3:K$152,$CF136)+0,0))))</f>
        <v/>
      </c>
      <c r="CM137">
        <f>IF($A137="","",CM136+MAX(0,J$7+IF($CF136=0,0,IFERROR(INDEX('职业'!L$3:L$152,$CF136)+0,0))))</f>
        <v/>
      </c>
      <c r="CN137">
        <f>IF($A137="","",CN136+MAX(0,K$7+IF($CF136=0,0,IFERROR(INDEX('职业'!M$3:M$152,$CF136)+0,0))))</f>
        <v/>
      </c>
      <c r="CO137">
        <f>IF($A137="","",CO136+MAX(0,L$7+IF($CF136=0,0,IFERROR(INDEX('职业'!N$3:N$152,$CF136)+0,0))))</f>
        <v/>
      </c>
    </row>
    <row r="138">
      <c r="A138" s="15">
        <f>IF(OR($B$9="",$B$10=""),"",IF($B$9+86&lt;=$B$10,$B$9+86,""))</f>
        <v/>
      </c>
      <c r="B138" s="15">
        <f>IF($A138="","",MATCH($A138,$BV$27:$BV$32,1))</f>
        <v/>
      </c>
      <c r="C138" s="15">
        <f>IF($A138="","",INDEX($BW$27:$BW$32,$B138))</f>
        <v/>
      </c>
      <c r="D138" s="15">
        <f>IF($A138="","",D$9+INT(($B$14+CG138)/100))</f>
        <v/>
      </c>
      <c r="E138" s="15">
        <f>IF($A138="","",E$9+INT(($B$14+CH138)/100))</f>
        <v/>
      </c>
      <c r="F138" s="15">
        <f>IF($A138="","",F$9+INT(($B$14+CI138)/100))</f>
        <v/>
      </c>
      <c r="G138" s="15">
        <f>IF($A138="","",G$9+INT(($B$14+CJ138)/100))</f>
        <v/>
      </c>
      <c r="H138" s="15">
        <f>IF($A138="","",H$9+INT(($B$14+CK138)/100))</f>
        <v/>
      </c>
      <c r="I138" s="15">
        <f>IF($A138="","",I$9+INT(($B$14+CL138)/100))</f>
        <v/>
      </c>
      <c r="J138" s="15">
        <f>IF($A138="","",J$9+INT(($B$14+CM138)/100))</f>
        <v/>
      </c>
      <c r="K138" s="15">
        <f>IF($A138="","",K$9+INT(($B$14+CN138)/100))</f>
        <v/>
      </c>
      <c r="L138" s="15">
        <f>IF($A138="","",L$9+INT(($B$14+CO138)/100))</f>
        <v/>
      </c>
      <c r="M138" s="16">
        <f>IF($A138="","",IF($C138&lt;&gt;$C137,"★ 转职 → 【"&amp;$C138&amp;"】","")&amp;IF($A138=$B$10,"（目标等级）",""))</f>
        <v/>
      </c>
      <c r="P138">
        <f>IF('职业'!$C128="","",'职业'!$C128)</f>
        <v/>
      </c>
      <c r="Q138">
        <f>N('职业'!$D128)</f>
        <v/>
      </c>
      <c r="R138">
        <f>'职业'!$E128&amp;""</f>
        <v/>
      </c>
      <c r="S138">
        <f>IF($P138="",0,MAX(0,D$7+N('职业'!F128)))</f>
        <v/>
      </c>
      <c r="T138">
        <f>IF($P138="",0,MAX(0,E$7+N('职业'!G128)))</f>
        <v/>
      </c>
      <c r="U138">
        <f>IF($P138="",0,MAX(0,F$7+N('职业'!H128)))</f>
        <v/>
      </c>
      <c r="V138">
        <f>IF($P138="",0,MAX(0,G$7+N('职业'!I128)))</f>
        <v/>
      </c>
      <c r="W138">
        <f>IF($P138="",0,MAX(0,H$7+N('职业'!J128)))</f>
        <v/>
      </c>
      <c r="X138">
        <f>IF($P138="",0,MAX(0,I$7+N('职业'!K128)))</f>
        <v/>
      </c>
      <c r="Y138">
        <f>IF($P138="",0,MAX(0,J$7+N('职业'!L128)))</f>
        <v/>
      </c>
      <c r="Z138">
        <f>IF($P138="",0,MAX(0,K$7+N('职业'!M128)))</f>
        <v/>
      </c>
      <c r="AA138">
        <f>IF($P138="",0,MAX(0,L$7+N('职业'!N128)))</f>
        <v/>
      </c>
      <c r="AB138">
        <f>AND($P138&lt;&gt;"",IF($U$5=1,$P138=$C$10,OR($P138=$C$9,AND($R138="是",$Q138&lt;=MAX($B$9,$Q$6)))))</f>
        <v/>
      </c>
      <c r="AC138">
        <f>AND($P138&lt;&gt;"",IF($U$5=2,$P138=$C$10,OR($P138=$C$9,AND($R138="是",$Q138&lt;=MAX($B$9,$Q$7)))))</f>
        <v/>
      </c>
      <c r="AD138">
        <f>AND($P138&lt;&gt;"",IF($U$5=3,$P138=$C$10,OR($P138=$C$9,AND($R138="是",$Q138&lt;=MAX($B$9,$Q$8)))))</f>
        <v/>
      </c>
      <c r="AE138">
        <f>IF(AB138,COUNTIF(AB$13:AB138,TRUE),"")</f>
        <v/>
      </c>
      <c r="AF138">
        <f>IF(AC138,COUNTIF(AC$13:AC138,TRUE),"")</f>
        <v/>
      </c>
      <c r="AG138">
        <f>IF(AD138,COUNTIF(AD$13:AD138,TRUE),"")</f>
        <v/>
      </c>
      <c r="AI138">
        <f>IFERROR(INDEX($P$13:$P$162,MATCH(126,$AE$13:$AE$162,0)),"")</f>
        <v/>
      </c>
      <c r="AJ138">
        <f>IFERROR(INDEX(S$13:S$162,MATCH(126,$AE$13:$AE$162,0)),0)*$T$6</f>
        <v/>
      </c>
      <c r="AK138">
        <f>IFERROR(INDEX(T$13:T$162,MATCH(126,$AE$13:$AE$162,0)),0)*$T$6</f>
        <v/>
      </c>
      <c r="AL138">
        <f>IFERROR(INDEX(U$13:U$162,MATCH(126,$AE$13:$AE$162,0)),0)*$T$6</f>
        <v/>
      </c>
      <c r="AM138">
        <f>IFERROR(INDEX(V$13:V$162,MATCH(126,$AE$13:$AE$162,0)),0)*$T$6</f>
        <v/>
      </c>
      <c r="AN138">
        <f>IFERROR(INDEX(W$13:W$162,MATCH(126,$AE$13:$AE$162,0)),0)*$T$6</f>
        <v/>
      </c>
      <c r="AO138">
        <f>IFERROR(INDEX(X$13:X$162,MATCH(126,$AE$13:$AE$162,0)),0)*$T$6</f>
        <v/>
      </c>
      <c r="AP138">
        <f>IFERROR(INDEX(Y$13:Y$162,MATCH(126,$AE$13:$AE$162,0)),0)*$T$6</f>
        <v/>
      </c>
      <c r="AQ138">
        <f>IFERROR(INDEX(Z$13:Z$162,MATCH(126,$AE$13:$AE$162,0)),0)*$T$6</f>
        <v/>
      </c>
      <c r="AR138">
        <f>IFERROR(INDEX(AA$13:AA$162,MATCH(126,$AE$13:$AE$162,0)),0)*$T$6</f>
        <v/>
      </c>
      <c r="AS138">
        <f>IFERROR(INDEX($P$13:$P$162,MATCH(126,$AF$13:$AF$162,0)),"")</f>
        <v/>
      </c>
      <c r="AT138">
        <f>IFERROR(INDEX(S$13:S$162,MATCH(126,$AF$13:$AF$162,0)),0)*$T$7</f>
        <v/>
      </c>
      <c r="AU138">
        <f>IFERROR(INDEX(T$13:T$162,MATCH(126,$AF$13:$AF$162,0)),0)*$T$7</f>
        <v/>
      </c>
      <c r="AV138">
        <f>IFERROR(INDEX(U$13:U$162,MATCH(126,$AF$13:$AF$162,0)),0)*$T$7</f>
        <v/>
      </c>
      <c r="AW138">
        <f>IFERROR(INDEX(V$13:V$162,MATCH(126,$AF$13:$AF$162,0)),0)*$T$7</f>
        <v/>
      </c>
      <c r="AX138">
        <f>IFERROR(INDEX(W$13:W$162,MATCH(126,$AF$13:$AF$162,0)),0)*$T$7</f>
        <v/>
      </c>
      <c r="AY138">
        <f>IFERROR(INDEX(X$13:X$162,MATCH(126,$AF$13:$AF$162,0)),0)*$T$7</f>
        <v/>
      </c>
      <c r="AZ138">
        <f>IFERROR(INDEX(Y$13:Y$162,MATCH(126,$AF$13:$AF$162,0)),0)*$T$7</f>
        <v/>
      </c>
      <c r="BA138">
        <f>IFERROR(INDEX(Z$13:Z$162,MATCH(126,$AF$13:$AF$162,0)),0)*$T$7</f>
        <v/>
      </c>
      <c r="BB138">
        <f>IFERROR(INDEX(AA$13:AA$162,MATCH(126,$AF$13:$AF$162,0)),0)*$T$7</f>
        <v/>
      </c>
      <c r="BC138">
        <f>IFERROR(INDEX($P$13:$P$162,MATCH(126,$AG$13:$AG$162,0)),"")</f>
        <v/>
      </c>
      <c r="BD138">
        <f>IFERROR(INDEX(S$13:S$162,MATCH(126,$AG$13:$AG$162,0)),0)*($T$8+IF($C$10="",$T$9,0))</f>
        <v/>
      </c>
      <c r="BE138">
        <f>IFERROR(INDEX(T$13:T$162,MATCH(126,$AG$13:$AG$162,0)),0)*($T$8+IF($C$10="",$T$9,0))</f>
        <v/>
      </c>
      <c r="BF138">
        <f>IFERROR(INDEX(U$13:U$162,MATCH(126,$AG$13:$AG$162,0)),0)*($T$8+IF($C$10="",$T$9,0))</f>
        <v/>
      </c>
      <c r="BG138">
        <f>IFERROR(INDEX(V$13:V$162,MATCH(126,$AG$13:$AG$162,0)),0)*($T$8+IF($C$10="",$T$9,0))</f>
        <v/>
      </c>
      <c r="BH138">
        <f>IFERROR(INDEX(W$13:W$162,MATCH(126,$AG$13:$AG$162,0)),0)*($T$8+IF($C$10="",$T$9,0))</f>
        <v/>
      </c>
      <c r="BI138">
        <f>IFERROR(INDEX(X$13:X$162,MATCH(126,$AG$13:$AG$162,0)),0)*($T$8+IF($C$10="",$T$9,0))</f>
        <v/>
      </c>
      <c r="BJ138">
        <f>IFERROR(INDEX(Y$13:Y$162,MATCH(126,$AG$13:$AG$162,0)),0)*($T$8+IF($C$10="",$T$9,0))</f>
        <v/>
      </c>
      <c r="BK138">
        <f>IFERROR(INDEX(Z$13:Z$162,MATCH(126,$AG$13:$AG$162,0)),0)*($T$8+IF($C$10="",$T$9,0))</f>
        <v/>
      </c>
      <c r="BL138">
        <f>IFERROR(INDEX(AA$13:AA$162,MATCH(126,$AG$13:$AG$162,0)),0)*($T$8+IF($C$10="",$T$9,0))</f>
        <v/>
      </c>
      <c r="BN138">
        <f>IF(125&lt;$U$9,INT(125/($U$7*$U$8))+1,1)</f>
        <v/>
      </c>
      <c r="BO138">
        <f>IF(125&lt;$U$9,MOD(INT(125/$U$8),$U$7)+1,1)</f>
        <v/>
      </c>
      <c r="BP138">
        <f>IF(125&lt;$U$9,MOD(125,$U$8)+1,1)</f>
        <v/>
      </c>
      <c r="BQ138">
        <f>IF(125&lt;$U$9,SUMPRODUCT(($D$10:$L$10&lt;&gt;"")*(($D$9:$L$9+INT(($S$12:$AA$12+INDEX($AJ$13:$AR$162,BN138,0)+INDEX($AT$13:$BB$162,BO138,0)+INDEX($BD$13:$BL$162,BP138,0))/100))&gt;=$D$10:$L$10)),0)</f>
        <v/>
      </c>
      <c r="BR138">
        <f>IF(125&lt;$U$9,SUMPRODUCT(($D$10:$L$10&lt;&gt;"")*(($D$10:$L$10-($D$9:$L$9+INT(($S$12:$AA$12+INDEX($AJ$13:$AR$162,BN138,0)+INDEX($AT$13:$BB$162,BO138,0)+INDEX($BD$13:$BL$162,BP138,0))/100)))&gt;0)*($D$10:$L$10-($D$9:$L$9+INT(($S$12:$AA$12+INDEX($AJ$13:$AR$162,BN138,0)+INDEX($AT$13:$BB$162,BO138,0)+INDEX($BD$13:$BL$162,BP138,0))/100)))),0)</f>
        <v/>
      </c>
      <c r="BS138">
        <f>IF(125&lt;$U$9,SUMPRODUCT(($D$9:$L$9+INT(($S$12:$AA$12+INDEX($AJ$13:$AR$162,BN138,0)+INDEX($AT$13:$BB$162,BO138,0)+INDEX($BD$13:$BL$162,BP138,0))/100))),0)</f>
        <v/>
      </c>
      <c r="BT138">
        <f>IF(AND(125&lt;$U$9,$W$5),BQ138*1000000-MIN(BR138,999)*1000+BS138-125/100000,-1000000000-125)</f>
        <v/>
      </c>
      <c r="CF138">
        <f>IF($A138="","",IFERROR(MATCH($C138,'职业'!$C$3:$C$152,0),0))</f>
        <v/>
      </c>
      <c r="CG138">
        <f>IF($A138="","",CG137+MAX(0,D$7+IF($CF137=0,0,IFERROR(INDEX('职业'!F$3:F$152,$CF137)+0,0))))</f>
        <v/>
      </c>
      <c r="CH138">
        <f>IF($A138="","",CH137+MAX(0,E$7+IF($CF137=0,0,IFERROR(INDEX('职业'!G$3:G$152,$CF137)+0,0))))</f>
        <v/>
      </c>
      <c r="CI138">
        <f>IF($A138="","",CI137+MAX(0,F$7+IF($CF137=0,0,IFERROR(INDEX('职业'!H$3:H$152,$CF137)+0,0))))</f>
        <v/>
      </c>
      <c r="CJ138">
        <f>IF($A138="","",CJ137+MAX(0,G$7+IF($CF137=0,0,IFERROR(INDEX('职业'!I$3:I$152,$CF137)+0,0))))</f>
        <v/>
      </c>
      <c r="CK138">
        <f>IF($A138="","",CK137+MAX(0,H$7+IF($CF137=0,0,IFERROR(INDEX('职业'!J$3:J$152,$CF137)+0,0))))</f>
        <v/>
      </c>
      <c r="CL138">
        <f>IF($A138="","",CL137+MAX(0,I$7+IF($CF137=0,0,IFERROR(INDEX('职业'!K$3:K$152,$CF137)+0,0))))</f>
        <v/>
      </c>
      <c r="CM138">
        <f>IF($A138="","",CM137+MAX(0,J$7+IF($CF137=0,0,IFERROR(INDEX('职业'!L$3:L$152,$CF137)+0,0))))</f>
        <v/>
      </c>
      <c r="CN138">
        <f>IF($A138="","",CN137+MAX(0,K$7+IF($CF137=0,0,IFERROR(INDEX('职业'!M$3:M$152,$CF137)+0,0))))</f>
        <v/>
      </c>
      <c r="CO138">
        <f>IF($A138="","",CO137+MAX(0,L$7+IF($CF137=0,0,IFERROR(INDEX('职业'!N$3:N$152,$CF137)+0,0))))</f>
        <v/>
      </c>
    </row>
    <row r="139">
      <c r="A139" s="15">
        <f>IF(OR($B$9="",$B$10=""),"",IF($B$9+87&lt;=$B$10,$B$9+87,""))</f>
        <v/>
      </c>
      <c r="B139" s="15">
        <f>IF($A139="","",MATCH($A139,$BV$27:$BV$32,1))</f>
        <v/>
      </c>
      <c r="C139" s="15">
        <f>IF($A139="","",INDEX($BW$27:$BW$32,$B139))</f>
        <v/>
      </c>
      <c r="D139" s="15">
        <f>IF($A139="","",D$9+INT(($B$14+CG139)/100))</f>
        <v/>
      </c>
      <c r="E139" s="15">
        <f>IF($A139="","",E$9+INT(($B$14+CH139)/100))</f>
        <v/>
      </c>
      <c r="F139" s="15">
        <f>IF($A139="","",F$9+INT(($B$14+CI139)/100))</f>
        <v/>
      </c>
      <c r="G139" s="15">
        <f>IF($A139="","",G$9+INT(($B$14+CJ139)/100))</f>
        <v/>
      </c>
      <c r="H139" s="15">
        <f>IF($A139="","",H$9+INT(($B$14+CK139)/100))</f>
        <v/>
      </c>
      <c r="I139" s="15">
        <f>IF($A139="","",I$9+INT(($B$14+CL139)/100))</f>
        <v/>
      </c>
      <c r="J139" s="15">
        <f>IF($A139="","",J$9+INT(($B$14+CM139)/100))</f>
        <v/>
      </c>
      <c r="K139" s="15">
        <f>IF($A139="","",K$9+INT(($B$14+CN139)/100))</f>
        <v/>
      </c>
      <c r="L139" s="15">
        <f>IF($A139="","",L$9+INT(($B$14+CO139)/100))</f>
        <v/>
      </c>
      <c r="M139" s="16">
        <f>IF($A139="","",IF($C139&lt;&gt;$C138,"★ 转职 → 【"&amp;$C139&amp;"】","")&amp;IF($A139=$B$10,"（目标等级）",""))</f>
        <v/>
      </c>
      <c r="P139">
        <f>IF('职业'!$C129="","",'职业'!$C129)</f>
        <v/>
      </c>
      <c r="Q139">
        <f>N('职业'!$D129)</f>
        <v/>
      </c>
      <c r="R139">
        <f>'职业'!$E129&amp;""</f>
        <v/>
      </c>
      <c r="S139">
        <f>IF($P139="",0,MAX(0,D$7+N('职业'!F129)))</f>
        <v/>
      </c>
      <c r="T139">
        <f>IF($P139="",0,MAX(0,E$7+N('职业'!G129)))</f>
        <v/>
      </c>
      <c r="U139">
        <f>IF($P139="",0,MAX(0,F$7+N('职业'!H129)))</f>
        <v/>
      </c>
      <c r="V139">
        <f>IF($P139="",0,MAX(0,G$7+N('职业'!I129)))</f>
        <v/>
      </c>
      <c r="W139">
        <f>IF($P139="",0,MAX(0,H$7+N('职业'!J129)))</f>
        <v/>
      </c>
      <c r="X139">
        <f>IF($P139="",0,MAX(0,I$7+N('职业'!K129)))</f>
        <v/>
      </c>
      <c r="Y139">
        <f>IF($P139="",0,MAX(0,J$7+N('职业'!L129)))</f>
        <v/>
      </c>
      <c r="Z139">
        <f>IF($P139="",0,MAX(0,K$7+N('职业'!M129)))</f>
        <v/>
      </c>
      <c r="AA139">
        <f>IF($P139="",0,MAX(0,L$7+N('职业'!N129)))</f>
        <v/>
      </c>
      <c r="AB139">
        <f>AND($P139&lt;&gt;"",IF($U$5=1,$P139=$C$10,OR($P139=$C$9,AND($R139="是",$Q139&lt;=MAX($B$9,$Q$6)))))</f>
        <v/>
      </c>
      <c r="AC139">
        <f>AND($P139&lt;&gt;"",IF($U$5=2,$P139=$C$10,OR($P139=$C$9,AND($R139="是",$Q139&lt;=MAX($B$9,$Q$7)))))</f>
        <v/>
      </c>
      <c r="AD139">
        <f>AND($P139&lt;&gt;"",IF($U$5=3,$P139=$C$10,OR($P139=$C$9,AND($R139="是",$Q139&lt;=MAX($B$9,$Q$8)))))</f>
        <v/>
      </c>
      <c r="AE139">
        <f>IF(AB139,COUNTIF(AB$13:AB139,TRUE),"")</f>
        <v/>
      </c>
      <c r="AF139">
        <f>IF(AC139,COUNTIF(AC$13:AC139,TRUE),"")</f>
        <v/>
      </c>
      <c r="AG139">
        <f>IF(AD139,COUNTIF(AD$13:AD139,TRUE),"")</f>
        <v/>
      </c>
      <c r="AI139">
        <f>IFERROR(INDEX($P$13:$P$162,MATCH(127,$AE$13:$AE$162,0)),"")</f>
        <v/>
      </c>
      <c r="AJ139">
        <f>IFERROR(INDEX(S$13:S$162,MATCH(127,$AE$13:$AE$162,0)),0)*$T$6</f>
        <v/>
      </c>
      <c r="AK139">
        <f>IFERROR(INDEX(T$13:T$162,MATCH(127,$AE$13:$AE$162,0)),0)*$T$6</f>
        <v/>
      </c>
      <c r="AL139">
        <f>IFERROR(INDEX(U$13:U$162,MATCH(127,$AE$13:$AE$162,0)),0)*$T$6</f>
        <v/>
      </c>
      <c r="AM139">
        <f>IFERROR(INDEX(V$13:V$162,MATCH(127,$AE$13:$AE$162,0)),0)*$T$6</f>
        <v/>
      </c>
      <c r="AN139">
        <f>IFERROR(INDEX(W$13:W$162,MATCH(127,$AE$13:$AE$162,0)),0)*$T$6</f>
        <v/>
      </c>
      <c r="AO139">
        <f>IFERROR(INDEX(X$13:X$162,MATCH(127,$AE$13:$AE$162,0)),0)*$T$6</f>
        <v/>
      </c>
      <c r="AP139">
        <f>IFERROR(INDEX(Y$13:Y$162,MATCH(127,$AE$13:$AE$162,0)),0)*$T$6</f>
        <v/>
      </c>
      <c r="AQ139">
        <f>IFERROR(INDEX(Z$13:Z$162,MATCH(127,$AE$13:$AE$162,0)),0)*$T$6</f>
        <v/>
      </c>
      <c r="AR139">
        <f>IFERROR(INDEX(AA$13:AA$162,MATCH(127,$AE$13:$AE$162,0)),0)*$T$6</f>
        <v/>
      </c>
      <c r="AS139">
        <f>IFERROR(INDEX($P$13:$P$162,MATCH(127,$AF$13:$AF$162,0)),"")</f>
        <v/>
      </c>
      <c r="AT139">
        <f>IFERROR(INDEX(S$13:S$162,MATCH(127,$AF$13:$AF$162,0)),0)*$T$7</f>
        <v/>
      </c>
      <c r="AU139">
        <f>IFERROR(INDEX(T$13:T$162,MATCH(127,$AF$13:$AF$162,0)),0)*$T$7</f>
        <v/>
      </c>
      <c r="AV139">
        <f>IFERROR(INDEX(U$13:U$162,MATCH(127,$AF$13:$AF$162,0)),0)*$T$7</f>
        <v/>
      </c>
      <c r="AW139">
        <f>IFERROR(INDEX(V$13:V$162,MATCH(127,$AF$13:$AF$162,0)),0)*$T$7</f>
        <v/>
      </c>
      <c r="AX139">
        <f>IFERROR(INDEX(W$13:W$162,MATCH(127,$AF$13:$AF$162,0)),0)*$T$7</f>
        <v/>
      </c>
      <c r="AY139">
        <f>IFERROR(INDEX(X$13:X$162,MATCH(127,$AF$13:$AF$162,0)),0)*$T$7</f>
        <v/>
      </c>
      <c r="AZ139">
        <f>IFERROR(INDEX(Y$13:Y$162,MATCH(127,$AF$13:$AF$162,0)),0)*$T$7</f>
        <v/>
      </c>
      <c r="BA139">
        <f>IFERROR(INDEX(Z$13:Z$162,MATCH(127,$AF$13:$AF$162,0)),0)*$T$7</f>
        <v/>
      </c>
      <c r="BB139">
        <f>IFERROR(INDEX(AA$13:AA$162,MATCH(127,$AF$13:$AF$162,0)),0)*$T$7</f>
        <v/>
      </c>
      <c r="BC139">
        <f>IFERROR(INDEX($P$13:$P$162,MATCH(127,$AG$13:$AG$162,0)),"")</f>
        <v/>
      </c>
      <c r="BD139">
        <f>IFERROR(INDEX(S$13:S$162,MATCH(127,$AG$13:$AG$162,0)),0)*($T$8+IF($C$10="",$T$9,0))</f>
        <v/>
      </c>
      <c r="BE139">
        <f>IFERROR(INDEX(T$13:T$162,MATCH(127,$AG$13:$AG$162,0)),0)*($T$8+IF($C$10="",$T$9,0))</f>
        <v/>
      </c>
      <c r="BF139">
        <f>IFERROR(INDEX(U$13:U$162,MATCH(127,$AG$13:$AG$162,0)),0)*($T$8+IF($C$10="",$T$9,0))</f>
        <v/>
      </c>
      <c r="BG139">
        <f>IFERROR(INDEX(V$13:V$162,MATCH(127,$AG$13:$AG$162,0)),0)*($T$8+IF($C$10="",$T$9,0))</f>
        <v/>
      </c>
      <c r="BH139">
        <f>IFERROR(INDEX(W$13:W$162,MATCH(127,$AG$13:$AG$162,0)),0)*($T$8+IF($C$10="",$T$9,0))</f>
        <v/>
      </c>
      <c r="BI139">
        <f>IFERROR(INDEX(X$13:X$162,MATCH(127,$AG$13:$AG$162,0)),0)*($T$8+IF($C$10="",$T$9,0))</f>
        <v/>
      </c>
      <c r="BJ139">
        <f>IFERROR(INDEX(Y$13:Y$162,MATCH(127,$AG$13:$AG$162,0)),0)*($T$8+IF($C$10="",$T$9,0))</f>
        <v/>
      </c>
      <c r="BK139">
        <f>IFERROR(INDEX(Z$13:Z$162,MATCH(127,$AG$13:$AG$162,0)),0)*($T$8+IF($C$10="",$T$9,0))</f>
        <v/>
      </c>
      <c r="BL139">
        <f>IFERROR(INDEX(AA$13:AA$162,MATCH(127,$AG$13:$AG$162,0)),0)*($T$8+IF($C$10="",$T$9,0))</f>
        <v/>
      </c>
      <c r="BN139">
        <f>IF(126&lt;$U$9,INT(126/($U$7*$U$8))+1,1)</f>
        <v/>
      </c>
      <c r="BO139">
        <f>IF(126&lt;$U$9,MOD(INT(126/$U$8),$U$7)+1,1)</f>
        <v/>
      </c>
      <c r="BP139">
        <f>IF(126&lt;$U$9,MOD(126,$U$8)+1,1)</f>
        <v/>
      </c>
      <c r="BQ139">
        <f>IF(126&lt;$U$9,SUMPRODUCT(($D$10:$L$10&lt;&gt;"")*(($D$9:$L$9+INT(($S$12:$AA$12+INDEX($AJ$13:$AR$162,BN139,0)+INDEX($AT$13:$BB$162,BO139,0)+INDEX($BD$13:$BL$162,BP139,0))/100))&gt;=$D$10:$L$10)),0)</f>
        <v/>
      </c>
      <c r="BR139">
        <f>IF(126&lt;$U$9,SUMPRODUCT(($D$10:$L$10&lt;&gt;"")*(($D$10:$L$10-($D$9:$L$9+INT(($S$12:$AA$12+INDEX($AJ$13:$AR$162,BN139,0)+INDEX($AT$13:$BB$162,BO139,0)+INDEX($BD$13:$BL$162,BP139,0))/100)))&gt;0)*($D$10:$L$10-($D$9:$L$9+INT(($S$12:$AA$12+INDEX($AJ$13:$AR$162,BN139,0)+INDEX($AT$13:$BB$162,BO139,0)+INDEX($BD$13:$BL$162,BP139,0))/100)))),0)</f>
        <v/>
      </c>
      <c r="BS139">
        <f>IF(126&lt;$U$9,SUMPRODUCT(($D$9:$L$9+INT(($S$12:$AA$12+INDEX($AJ$13:$AR$162,BN139,0)+INDEX($AT$13:$BB$162,BO139,0)+INDEX($BD$13:$BL$162,BP139,0))/100))),0)</f>
        <v/>
      </c>
      <c r="BT139">
        <f>IF(AND(126&lt;$U$9,$W$5),BQ139*1000000-MIN(BR139,999)*1000+BS139-126/100000,-1000000000-126)</f>
        <v/>
      </c>
      <c r="CF139">
        <f>IF($A139="","",IFERROR(MATCH($C139,'职业'!$C$3:$C$152,0),0))</f>
        <v/>
      </c>
      <c r="CG139">
        <f>IF($A139="","",CG138+MAX(0,D$7+IF($CF138=0,0,IFERROR(INDEX('职业'!F$3:F$152,$CF138)+0,0))))</f>
        <v/>
      </c>
      <c r="CH139">
        <f>IF($A139="","",CH138+MAX(0,E$7+IF($CF138=0,0,IFERROR(INDEX('职业'!G$3:G$152,$CF138)+0,0))))</f>
        <v/>
      </c>
      <c r="CI139">
        <f>IF($A139="","",CI138+MAX(0,F$7+IF($CF138=0,0,IFERROR(INDEX('职业'!H$3:H$152,$CF138)+0,0))))</f>
        <v/>
      </c>
      <c r="CJ139">
        <f>IF($A139="","",CJ138+MAX(0,G$7+IF($CF138=0,0,IFERROR(INDEX('职业'!I$3:I$152,$CF138)+0,0))))</f>
        <v/>
      </c>
      <c r="CK139">
        <f>IF($A139="","",CK138+MAX(0,H$7+IF($CF138=0,0,IFERROR(INDEX('职业'!J$3:J$152,$CF138)+0,0))))</f>
        <v/>
      </c>
      <c r="CL139">
        <f>IF($A139="","",CL138+MAX(0,I$7+IF($CF138=0,0,IFERROR(INDEX('职业'!K$3:K$152,$CF138)+0,0))))</f>
        <v/>
      </c>
      <c r="CM139">
        <f>IF($A139="","",CM138+MAX(0,J$7+IF($CF138=0,0,IFERROR(INDEX('职业'!L$3:L$152,$CF138)+0,0))))</f>
        <v/>
      </c>
      <c r="CN139">
        <f>IF($A139="","",CN138+MAX(0,K$7+IF($CF138=0,0,IFERROR(INDEX('职业'!M$3:M$152,$CF138)+0,0))))</f>
        <v/>
      </c>
      <c r="CO139">
        <f>IF($A139="","",CO138+MAX(0,L$7+IF($CF138=0,0,IFERROR(INDEX('职业'!N$3:N$152,$CF138)+0,0))))</f>
        <v/>
      </c>
    </row>
    <row r="140">
      <c r="A140" s="15">
        <f>IF(OR($B$9="",$B$10=""),"",IF($B$9+88&lt;=$B$10,$B$9+88,""))</f>
        <v/>
      </c>
      <c r="B140" s="15">
        <f>IF($A140="","",MATCH($A140,$BV$27:$BV$32,1))</f>
        <v/>
      </c>
      <c r="C140" s="15">
        <f>IF($A140="","",INDEX($BW$27:$BW$32,$B140))</f>
        <v/>
      </c>
      <c r="D140" s="15">
        <f>IF($A140="","",D$9+INT(($B$14+CG140)/100))</f>
        <v/>
      </c>
      <c r="E140" s="15">
        <f>IF($A140="","",E$9+INT(($B$14+CH140)/100))</f>
        <v/>
      </c>
      <c r="F140" s="15">
        <f>IF($A140="","",F$9+INT(($B$14+CI140)/100))</f>
        <v/>
      </c>
      <c r="G140" s="15">
        <f>IF($A140="","",G$9+INT(($B$14+CJ140)/100))</f>
        <v/>
      </c>
      <c r="H140" s="15">
        <f>IF($A140="","",H$9+INT(($B$14+CK140)/100))</f>
        <v/>
      </c>
      <c r="I140" s="15">
        <f>IF($A140="","",I$9+INT(($B$14+CL140)/100))</f>
        <v/>
      </c>
      <c r="J140" s="15">
        <f>IF($A140="","",J$9+INT(($B$14+CM140)/100))</f>
        <v/>
      </c>
      <c r="K140" s="15">
        <f>IF($A140="","",K$9+INT(($B$14+CN140)/100))</f>
        <v/>
      </c>
      <c r="L140" s="15">
        <f>IF($A140="","",L$9+INT(($B$14+CO140)/100))</f>
        <v/>
      </c>
      <c r="M140" s="16">
        <f>IF($A140="","",IF($C140&lt;&gt;$C139,"★ 转职 → 【"&amp;$C140&amp;"】","")&amp;IF($A140=$B$10,"（目标等级）",""))</f>
        <v/>
      </c>
      <c r="P140">
        <f>IF('职业'!$C130="","",'职业'!$C130)</f>
        <v/>
      </c>
      <c r="Q140">
        <f>N('职业'!$D130)</f>
        <v/>
      </c>
      <c r="R140">
        <f>'职业'!$E130&amp;""</f>
        <v/>
      </c>
      <c r="S140">
        <f>IF($P140="",0,MAX(0,D$7+N('职业'!F130)))</f>
        <v/>
      </c>
      <c r="T140">
        <f>IF($P140="",0,MAX(0,E$7+N('职业'!G130)))</f>
        <v/>
      </c>
      <c r="U140">
        <f>IF($P140="",0,MAX(0,F$7+N('职业'!H130)))</f>
        <v/>
      </c>
      <c r="V140">
        <f>IF($P140="",0,MAX(0,G$7+N('职业'!I130)))</f>
        <v/>
      </c>
      <c r="W140">
        <f>IF($P140="",0,MAX(0,H$7+N('职业'!J130)))</f>
        <v/>
      </c>
      <c r="X140">
        <f>IF($P140="",0,MAX(0,I$7+N('职业'!K130)))</f>
        <v/>
      </c>
      <c r="Y140">
        <f>IF($P140="",0,MAX(0,J$7+N('职业'!L130)))</f>
        <v/>
      </c>
      <c r="Z140">
        <f>IF($P140="",0,MAX(0,K$7+N('职业'!M130)))</f>
        <v/>
      </c>
      <c r="AA140">
        <f>IF($P140="",0,MAX(0,L$7+N('职业'!N130)))</f>
        <v/>
      </c>
      <c r="AB140">
        <f>AND($P140&lt;&gt;"",IF($U$5=1,$P140=$C$10,OR($P140=$C$9,AND($R140="是",$Q140&lt;=MAX($B$9,$Q$6)))))</f>
        <v/>
      </c>
      <c r="AC140">
        <f>AND($P140&lt;&gt;"",IF($U$5=2,$P140=$C$10,OR($P140=$C$9,AND($R140="是",$Q140&lt;=MAX($B$9,$Q$7)))))</f>
        <v/>
      </c>
      <c r="AD140">
        <f>AND($P140&lt;&gt;"",IF($U$5=3,$P140=$C$10,OR($P140=$C$9,AND($R140="是",$Q140&lt;=MAX($B$9,$Q$8)))))</f>
        <v/>
      </c>
      <c r="AE140">
        <f>IF(AB140,COUNTIF(AB$13:AB140,TRUE),"")</f>
        <v/>
      </c>
      <c r="AF140">
        <f>IF(AC140,COUNTIF(AC$13:AC140,TRUE),"")</f>
        <v/>
      </c>
      <c r="AG140">
        <f>IF(AD140,COUNTIF(AD$13:AD140,TRUE),"")</f>
        <v/>
      </c>
      <c r="AI140">
        <f>IFERROR(INDEX($P$13:$P$162,MATCH(128,$AE$13:$AE$162,0)),"")</f>
        <v/>
      </c>
      <c r="AJ140">
        <f>IFERROR(INDEX(S$13:S$162,MATCH(128,$AE$13:$AE$162,0)),0)*$T$6</f>
        <v/>
      </c>
      <c r="AK140">
        <f>IFERROR(INDEX(T$13:T$162,MATCH(128,$AE$13:$AE$162,0)),0)*$T$6</f>
        <v/>
      </c>
      <c r="AL140">
        <f>IFERROR(INDEX(U$13:U$162,MATCH(128,$AE$13:$AE$162,0)),0)*$T$6</f>
        <v/>
      </c>
      <c r="AM140">
        <f>IFERROR(INDEX(V$13:V$162,MATCH(128,$AE$13:$AE$162,0)),0)*$T$6</f>
        <v/>
      </c>
      <c r="AN140">
        <f>IFERROR(INDEX(W$13:W$162,MATCH(128,$AE$13:$AE$162,0)),0)*$T$6</f>
        <v/>
      </c>
      <c r="AO140">
        <f>IFERROR(INDEX(X$13:X$162,MATCH(128,$AE$13:$AE$162,0)),0)*$T$6</f>
        <v/>
      </c>
      <c r="AP140">
        <f>IFERROR(INDEX(Y$13:Y$162,MATCH(128,$AE$13:$AE$162,0)),0)*$T$6</f>
        <v/>
      </c>
      <c r="AQ140">
        <f>IFERROR(INDEX(Z$13:Z$162,MATCH(128,$AE$13:$AE$162,0)),0)*$T$6</f>
        <v/>
      </c>
      <c r="AR140">
        <f>IFERROR(INDEX(AA$13:AA$162,MATCH(128,$AE$13:$AE$162,0)),0)*$T$6</f>
        <v/>
      </c>
      <c r="AS140">
        <f>IFERROR(INDEX($P$13:$P$162,MATCH(128,$AF$13:$AF$162,0)),"")</f>
        <v/>
      </c>
      <c r="AT140">
        <f>IFERROR(INDEX(S$13:S$162,MATCH(128,$AF$13:$AF$162,0)),0)*$T$7</f>
        <v/>
      </c>
      <c r="AU140">
        <f>IFERROR(INDEX(T$13:T$162,MATCH(128,$AF$13:$AF$162,0)),0)*$T$7</f>
        <v/>
      </c>
      <c r="AV140">
        <f>IFERROR(INDEX(U$13:U$162,MATCH(128,$AF$13:$AF$162,0)),0)*$T$7</f>
        <v/>
      </c>
      <c r="AW140">
        <f>IFERROR(INDEX(V$13:V$162,MATCH(128,$AF$13:$AF$162,0)),0)*$T$7</f>
        <v/>
      </c>
      <c r="AX140">
        <f>IFERROR(INDEX(W$13:W$162,MATCH(128,$AF$13:$AF$162,0)),0)*$T$7</f>
        <v/>
      </c>
      <c r="AY140">
        <f>IFERROR(INDEX(X$13:X$162,MATCH(128,$AF$13:$AF$162,0)),0)*$T$7</f>
        <v/>
      </c>
      <c r="AZ140">
        <f>IFERROR(INDEX(Y$13:Y$162,MATCH(128,$AF$13:$AF$162,0)),0)*$T$7</f>
        <v/>
      </c>
      <c r="BA140">
        <f>IFERROR(INDEX(Z$13:Z$162,MATCH(128,$AF$13:$AF$162,0)),0)*$T$7</f>
        <v/>
      </c>
      <c r="BB140">
        <f>IFERROR(INDEX(AA$13:AA$162,MATCH(128,$AF$13:$AF$162,0)),0)*$T$7</f>
        <v/>
      </c>
      <c r="BC140">
        <f>IFERROR(INDEX($P$13:$P$162,MATCH(128,$AG$13:$AG$162,0)),"")</f>
        <v/>
      </c>
      <c r="BD140">
        <f>IFERROR(INDEX(S$13:S$162,MATCH(128,$AG$13:$AG$162,0)),0)*($T$8+IF($C$10="",$T$9,0))</f>
        <v/>
      </c>
      <c r="BE140">
        <f>IFERROR(INDEX(T$13:T$162,MATCH(128,$AG$13:$AG$162,0)),0)*($T$8+IF($C$10="",$T$9,0))</f>
        <v/>
      </c>
      <c r="BF140">
        <f>IFERROR(INDEX(U$13:U$162,MATCH(128,$AG$13:$AG$162,0)),0)*($T$8+IF($C$10="",$T$9,0))</f>
        <v/>
      </c>
      <c r="BG140">
        <f>IFERROR(INDEX(V$13:V$162,MATCH(128,$AG$13:$AG$162,0)),0)*($T$8+IF($C$10="",$T$9,0))</f>
        <v/>
      </c>
      <c r="BH140">
        <f>IFERROR(INDEX(W$13:W$162,MATCH(128,$AG$13:$AG$162,0)),0)*($T$8+IF($C$10="",$T$9,0))</f>
        <v/>
      </c>
      <c r="BI140">
        <f>IFERROR(INDEX(X$13:X$162,MATCH(128,$AG$13:$AG$162,0)),0)*($T$8+IF($C$10="",$T$9,0))</f>
        <v/>
      </c>
      <c r="BJ140">
        <f>IFERROR(INDEX(Y$13:Y$162,MATCH(128,$AG$13:$AG$162,0)),0)*($T$8+IF($C$10="",$T$9,0))</f>
        <v/>
      </c>
      <c r="BK140">
        <f>IFERROR(INDEX(Z$13:Z$162,MATCH(128,$AG$13:$AG$162,0)),0)*($T$8+IF($C$10="",$T$9,0))</f>
        <v/>
      </c>
      <c r="BL140">
        <f>IFERROR(INDEX(AA$13:AA$162,MATCH(128,$AG$13:$AG$162,0)),0)*($T$8+IF($C$10="",$T$9,0))</f>
        <v/>
      </c>
      <c r="BN140">
        <f>IF(127&lt;$U$9,INT(127/($U$7*$U$8))+1,1)</f>
        <v/>
      </c>
      <c r="BO140">
        <f>IF(127&lt;$U$9,MOD(INT(127/$U$8),$U$7)+1,1)</f>
        <v/>
      </c>
      <c r="BP140">
        <f>IF(127&lt;$U$9,MOD(127,$U$8)+1,1)</f>
        <v/>
      </c>
      <c r="BQ140">
        <f>IF(127&lt;$U$9,SUMPRODUCT(($D$10:$L$10&lt;&gt;"")*(($D$9:$L$9+INT(($S$12:$AA$12+INDEX($AJ$13:$AR$162,BN140,0)+INDEX($AT$13:$BB$162,BO140,0)+INDEX($BD$13:$BL$162,BP140,0))/100))&gt;=$D$10:$L$10)),0)</f>
        <v/>
      </c>
      <c r="BR140">
        <f>IF(127&lt;$U$9,SUMPRODUCT(($D$10:$L$10&lt;&gt;"")*(($D$10:$L$10-($D$9:$L$9+INT(($S$12:$AA$12+INDEX($AJ$13:$AR$162,BN140,0)+INDEX($AT$13:$BB$162,BO140,0)+INDEX($BD$13:$BL$162,BP140,0))/100)))&gt;0)*($D$10:$L$10-($D$9:$L$9+INT(($S$12:$AA$12+INDEX($AJ$13:$AR$162,BN140,0)+INDEX($AT$13:$BB$162,BO140,0)+INDEX($BD$13:$BL$162,BP140,0))/100)))),0)</f>
        <v/>
      </c>
      <c r="BS140">
        <f>IF(127&lt;$U$9,SUMPRODUCT(($D$9:$L$9+INT(($S$12:$AA$12+INDEX($AJ$13:$AR$162,BN140,0)+INDEX($AT$13:$BB$162,BO140,0)+INDEX($BD$13:$BL$162,BP140,0))/100))),0)</f>
        <v/>
      </c>
      <c r="BT140">
        <f>IF(AND(127&lt;$U$9,$W$5),BQ140*1000000-MIN(BR140,999)*1000+BS140-127/100000,-1000000000-127)</f>
        <v/>
      </c>
      <c r="CF140">
        <f>IF($A140="","",IFERROR(MATCH($C140,'职业'!$C$3:$C$152,0),0))</f>
        <v/>
      </c>
      <c r="CG140">
        <f>IF($A140="","",CG139+MAX(0,D$7+IF($CF139=0,0,IFERROR(INDEX('职业'!F$3:F$152,$CF139)+0,0))))</f>
        <v/>
      </c>
      <c r="CH140">
        <f>IF($A140="","",CH139+MAX(0,E$7+IF($CF139=0,0,IFERROR(INDEX('职业'!G$3:G$152,$CF139)+0,0))))</f>
        <v/>
      </c>
      <c r="CI140">
        <f>IF($A140="","",CI139+MAX(0,F$7+IF($CF139=0,0,IFERROR(INDEX('职业'!H$3:H$152,$CF139)+0,0))))</f>
        <v/>
      </c>
      <c r="CJ140">
        <f>IF($A140="","",CJ139+MAX(0,G$7+IF($CF139=0,0,IFERROR(INDEX('职业'!I$3:I$152,$CF139)+0,0))))</f>
        <v/>
      </c>
      <c r="CK140">
        <f>IF($A140="","",CK139+MAX(0,H$7+IF($CF139=0,0,IFERROR(INDEX('职业'!J$3:J$152,$CF139)+0,0))))</f>
        <v/>
      </c>
      <c r="CL140">
        <f>IF($A140="","",CL139+MAX(0,I$7+IF($CF139=0,0,IFERROR(INDEX('职业'!K$3:K$152,$CF139)+0,0))))</f>
        <v/>
      </c>
      <c r="CM140">
        <f>IF($A140="","",CM139+MAX(0,J$7+IF($CF139=0,0,IFERROR(INDEX('职业'!L$3:L$152,$CF139)+0,0))))</f>
        <v/>
      </c>
      <c r="CN140">
        <f>IF($A140="","",CN139+MAX(0,K$7+IF($CF139=0,0,IFERROR(INDEX('职业'!M$3:M$152,$CF139)+0,0))))</f>
        <v/>
      </c>
      <c r="CO140">
        <f>IF($A140="","",CO139+MAX(0,L$7+IF($CF139=0,0,IFERROR(INDEX('职业'!N$3:N$152,$CF139)+0,0))))</f>
        <v/>
      </c>
    </row>
    <row r="141">
      <c r="A141" s="15">
        <f>IF(OR($B$9="",$B$10=""),"",IF($B$9+89&lt;=$B$10,$B$9+89,""))</f>
        <v/>
      </c>
      <c r="B141" s="15">
        <f>IF($A141="","",MATCH($A141,$BV$27:$BV$32,1))</f>
        <v/>
      </c>
      <c r="C141" s="15">
        <f>IF($A141="","",INDEX($BW$27:$BW$32,$B141))</f>
        <v/>
      </c>
      <c r="D141" s="15">
        <f>IF($A141="","",D$9+INT(($B$14+CG141)/100))</f>
        <v/>
      </c>
      <c r="E141" s="15">
        <f>IF($A141="","",E$9+INT(($B$14+CH141)/100))</f>
        <v/>
      </c>
      <c r="F141" s="15">
        <f>IF($A141="","",F$9+INT(($B$14+CI141)/100))</f>
        <v/>
      </c>
      <c r="G141" s="15">
        <f>IF($A141="","",G$9+INT(($B$14+CJ141)/100))</f>
        <v/>
      </c>
      <c r="H141" s="15">
        <f>IF($A141="","",H$9+INT(($B$14+CK141)/100))</f>
        <v/>
      </c>
      <c r="I141" s="15">
        <f>IF($A141="","",I$9+INT(($B$14+CL141)/100))</f>
        <v/>
      </c>
      <c r="J141" s="15">
        <f>IF($A141="","",J$9+INT(($B$14+CM141)/100))</f>
        <v/>
      </c>
      <c r="K141" s="15">
        <f>IF($A141="","",K$9+INT(($B$14+CN141)/100))</f>
        <v/>
      </c>
      <c r="L141" s="15">
        <f>IF($A141="","",L$9+INT(($B$14+CO141)/100))</f>
        <v/>
      </c>
      <c r="M141" s="16">
        <f>IF($A141="","",IF($C141&lt;&gt;$C140,"★ 转职 → 【"&amp;$C141&amp;"】","")&amp;IF($A141=$B$10,"（目标等级）",""))</f>
        <v/>
      </c>
      <c r="P141">
        <f>IF('职业'!$C131="","",'职业'!$C131)</f>
        <v/>
      </c>
      <c r="Q141">
        <f>N('职业'!$D131)</f>
        <v/>
      </c>
      <c r="R141">
        <f>'职业'!$E131&amp;""</f>
        <v/>
      </c>
      <c r="S141">
        <f>IF($P141="",0,MAX(0,D$7+N('职业'!F131)))</f>
        <v/>
      </c>
      <c r="T141">
        <f>IF($P141="",0,MAX(0,E$7+N('职业'!G131)))</f>
        <v/>
      </c>
      <c r="U141">
        <f>IF($P141="",0,MAX(0,F$7+N('职业'!H131)))</f>
        <v/>
      </c>
      <c r="V141">
        <f>IF($P141="",0,MAX(0,G$7+N('职业'!I131)))</f>
        <v/>
      </c>
      <c r="W141">
        <f>IF($P141="",0,MAX(0,H$7+N('职业'!J131)))</f>
        <v/>
      </c>
      <c r="X141">
        <f>IF($P141="",0,MAX(0,I$7+N('职业'!K131)))</f>
        <v/>
      </c>
      <c r="Y141">
        <f>IF($P141="",0,MAX(0,J$7+N('职业'!L131)))</f>
        <v/>
      </c>
      <c r="Z141">
        <f>IF($P141="",0,MAX(0,K$7+N('职业'!M131)))</f>
        <v/>
      </c>
      <c r="AA141">
        <f>IF($P141="",0,MAX(0,L$7+N('职业'!N131)))</f>
        <v/>
      </c>
      <c r="AB141">
        <f>AND($P141&lt;&gt;"",IF($U$5=1,$P141=$C$10,OR($P141=$C$9,AND($R141="是",$Q141&lt;=MAX($B$9,$Q$6)))))</f>
        <v/>
      </c>
      <c r="AC141">
        <f>AND($P141&lt;&gt;"",IF($U$5=2,$P141=$C$10,OR($P141=$C$9,AND($R141="是",$Q141&lt;=MAX($B$9,$Q$7)))))</f>
        <v/>
      </c>
      <c r="AD141">
        <f>AND($P141&lt;&gt;"",IF($U$5=3,$P141=$C$10,OR($P141=$C$9,AND($R141="是",$Q141&lt;=MAX($B$9,$Q$8)))))</f>
        <v/>
      </c>
      <c r="AE141">
        <f>IF(AB141,COUNTIF(AB$13:AB141,TRUE),"")</f>
        <v/>
      </c>
      <c r="AF141">
        <f>IF(AC141,COUNTIF(AC$13:AC141,TRUE),"")</f>
        <v/>
      </c>
      <c r="AG141">
        <f>IF(AD141,COUNTIF(AD$13:AD141,TRUE),"")</f>
        <v/>
      </c>
      <c r="AI141">
        <f>IFERROR(INDEX($P$13:$P$162,MATCH(129,$AE$13:$AE$162,0)),"")</f>
        <v/>
      </c>
      <c r="AJ141">
        <f>IFERROR(INDEX(S$13:S$162,MATCH(129,$AE$13:$AE$162,0)),0)*$T$6</f>
        <v/>
      </c>
      <c r="AK141">
        <f>IFERROR(INDEX(T$13:T$162,MATCH(129,$AE$13:$AE$162,0)),0)*$T$6</f>
        <v/>
      </c>
      <c r="AL141">
        <f>IFERROR(INDEX(U$13:U$162,MATCH(129,$AE$13:$AE$162,0)),0)*$T$6</f>
        <v/>
      </c>
      <c r="AM141">
        <f>IFERROR(INDEX(V$13:V$162,MATCH(129,$AE$13:$AE$162,0)),0)*$T$6</f>
        <v/>
      </c>
      <c r="AN141">
        <f>IFERROR(INDEX(W$13:W$162,MATCH(129,$AE$13:$AE$162,0)),0)*$T$6</f>
        <v/>
      </c>
      <c r="AO141">
        <f>IFERROR(INDEX(X$13:X$162,MATCH(129,$AE$13:$AE$162,0)),0)*$T$6</f>
        <v/>
      </c>
      <c r="AP141">
        <f>IFERROR(INDEX(Y$13:Y$162,MATCH(129,$AE$13:$AE$162,0)),0)*$T$6</f>
        <v/>
      </c>
      <c r="AQ141">
        <f>IFERROR(INDEX(Z$13:Z$162,MATCH(129,$AE$13:$AE$162,0)),0)*$T$6</f>
        <v/>
      </c>
      <c r="AR141">
        <f>IFERROR(INDEX(AA$13:AA$162,MATCH(129,$AE$13:$AE$162,0)),0)*$T$6</f>
        <v/>
      </c>
      <c r="AS141">
        <f>IFERROR(INDEX($P$13:$P$162,MATCH(129,$AF$13:$AF$162,0)),"")</f>
        <v/>
      </c>
      <c r="AT141">
        <f>IFERROR(INDEX(S$13:S$162,MATCH(129,$AF$13:$AF$162,0)),0)*$T$7</f>
        <v/>
      </c>
      <c r="AU141">
        <f>IFERROR(INDEX(T$13:T$162,MATCH(129,$AF$13:$AF$162,0)),0)*$T$7</f>
        <v/>
      </c>
      <c r="AV141">
        <f>IFERROR(INDEX(U$13:U$162,MATCH(129,$AF$13:$AF$162,0)),0)*$T$7</f>
        <v/>
      </c>
      <c r="AW141">
        <f>IFERROR(INDEX(V$13:V$162,MATCH(129,$AF$13:$AF$162,0)),0)*$T$7</f>
        <v/>
      </c>
      <c r="AX141">
        <f>IFERROR(INDEX(W$13:W$162,MATCH(129,$AF$13:$AF$162,0)),0)*$T$7</f>
        <v/>
      </c>
      <c r="AY141">
        <f>IFERROR(INDEX(X$13:X$162,MATCH(129,$AF$13:$AF$162,0)),0)*$T$7</f>
        <v/>
      </c>
      <c r="AZ141">
        <f>IFERROR(INDEX(Y$13:Y$162,MATCH(129,$AF$13:$AF$162,0)),0)*$T$7</f>
        <v/>
      </c>
      <c r="BA141">
        <f>IFERROR(INDEX(Z$13:Z$162,MATCH(129,$AF$13:$AF$162,0)),0)*$T$7</f>
        <v/>
      </c>
      <c r="BB141">
        <f>IFERROR(INDEX(AA$13:AA$162,MATCH(129,$AF$13:$AF$162,0)),0)*$T$7</f>
        <v/>
      </c>
      <c r="BC141">
        <f>IFERROR(INDEX($P$13:$P$162,MATCH(129,$AG$13:$AG$162,0)),"")</f>
        <v/>
      </c>
      <c r="BD141">
        <f>IFERROR(INDEX(S$13:S$162,MATCH(129,$AG$13:$AG$162,0)),0)*($T$8+IF($C$10="",$T$9,0))</f>
        <v/>
      </c>
      <c r="BE141">
        <f>IFERROR(INDEX(T$13:T$162,MATCH(129,$AG$13:$AG$162,0)),0)*($T$8+IF($C$10="",$T$9,0))</f>
        <v/>
      </c>
      <c r="BF141">
        <f>IFERROR(INDEX(U$13:U$162,MATCH(129,$AG$13:$AG$162,0)),0)*($T$8+IF($C$10="",$T$9,0))</f>
        <v/>
      </c>
      <c r="BG141">
        <f>IFERROR(INDEX(V$13:V$162,MATCH(129,$AG$13:$AG$162,0)),0)*($T$8+IF($C$10="",$T$9,0))</f>
        <v/>
      </c>
      <c r="BH141">
        <f>IFERROR(INDEX(W$13:W$162,MATCH(129,$AG$13:$AG$162,0)),0)*($T$8+IF($C$10="",$T$9,0))</f>
        <v/>
      </c>
      <c r="BI141">
        <f>IFERROR(INDEX(X$13:X$162,MATCH(129,$AG$13:$AG$162,0)),0)*($T$8+IF($C$10="",$T$9,0))</f>
        <v/>
      </c>
      <c r="BJ141">
        <f>IFERROR(INDEX(Y$13:Y$162,MATCH(129,$AG$13:$AG$162,0)),0)*($T$8+IF($C$10="",$T$9,0))</f>
        <v/>
      </c>
      <c r="BK141">
        <f>IFERROR(INDEX(Z$13:Z$162,MATCH(129,$AG$13:$AG$162,0)),0)*($T$8+IF($C$10="",$T$9,0))</f>
        <v/>
      </c>
      <c r="BL141">
        <f>IFERROR(INDEX(AA$13:AA$162,MATCH(129,$AG$13:$AG$162,0)),0)*($T$8+IF($C$10="",$T$9,0))</f>
        <v/>
      </c>
      <c r="BN141">
        <f>IF(128&lt;$U$9,INT(128/($U$7*$U$8))+1,1)</f>
        <v/>
      </c>
      <c r="BO141">
        <f>IF(128&lt;$U$9,MOD(INT(128/$U$8),$U$7)+1,1)</f>
        <v/>
      </c>
      <c r="BP141">
        <f>IF(128&lt;$U$9,MOD(128,$U$8)+1,1)</f>
        <v/>
      </c>
      <c r="BQ141">
        <f>IF(128&lt;$U$9,SUMPRODUCT(($D$10:$L$10&lt;&gt;"")*(($D$9:$L$9+INT(($S$12:$AA$12+INDEX($AJ$13:$AR$162,BN141,0)+INDEX($AT$13:$BB$162,BO141,0)+INDEX($BD$13:$BL$162,BP141,0))/100))&gt;=$D$10:$L$10)),0)</f>
        <v/>
      </c>
      <c r="BR141">
        <f>IF(128&lt;$U$9,SUMPRODUCT(($D$10:$L$10&lt;&gt;"")*(($D$10:$L$10-($D$9:$L$9+INT(($S$12:$AA$12+INDEX($AJ$13:$AR$162,BN141,0)+INDEX($AT$13:$BB$162,BO141,0)+INDEX($BD$13:$BL$162,BP141,0))/100)))&gt;0)*($D$10:$L$10-($D$9:$L$9+INT(($S$12:$AA$12+INDEX($AJ$13:$AR$162,BN141,0)+INDEX($AT$13:$BB$162,BO141,0)+INDEX($BD$13:$BL$162,BP141,0))/100)))),0)</f>
        <v/>
      </c>
      <c r="BS141">
        <f>IF(128&lt;$U$9,SUMPRODUCT(($D$9:$L$9+INT(($S$12:$AA$12+INDEX($AJ$13:$AR$162,BN141,0)+INDEX($AT$13:$BB$162,BO141,0)+INDEX($BD$13:$BL$162,BP141,0))/100))),0)</f>
        <v/>
      </c>
      <c r="BT141">
        <f>IF(AND(128&lt;$U$9,$W$5),BQ141*1000000-MIN(BR141,999)*1000+BS141-128/100000,-1000000000-128)</f>
        <v/>
      </c>
      <c r="CF141">
        <f>IF($A141="","",IFERROR(MATCH($C141,'职业'!$C$3:$C$152,0),0))</f>
        <v/>
      </c>
      <c r="CG141">
        <f>IF($A141="","",CG140+MAX(0,D$7+IF($CF140=0,0,IFERROR(INDEX('职业'!F$3:F$152,$CF140)+0,0))))</f>
        <v/>
      </c>
      <c r="CH141">
        <f>IF($A141="","",CH140+MAX(0,E$7+IF($CF140=0,0,IFERROR(INDEX('职业'!G$3:G$152,$CF140)+0,0))))</f>
        <v/>
      </c>
      <c r="CI141">
        <f>IF($A141="","",CI140+MAX(0,F$7+IF($CF140=0,0,IFERROR(INDEX('职业'!H$3:H$152,$CF140)+0,0))))</f>
        <v/>
      </c>
      <c r="CJ141">
        <f>IF($A141="","",CJ140+MAX(0,G$7+IF($CF140=0,0,IFERROR(INDEX('职业'!I$3:I$152,$CF140)+0,0))))</f>
        <v/>
      </c>
      <c r="CK141">
        <f>IF($A141="","",CK140+MAX(0,H$7+IF($CF140=0,0,IFERROR(INDEX('职业'!J$3:J$152,$CF140)+0,0))))</f>
        <v/>
      </c>
      <c r="CL141">
        <f>IF($A141="","",CL140+MAX(0,I$7+IF($CF140=0,0,IFERROR(INDEX('职业'!K$3:K$152,$CF140)+0,0))))</f>
        <v/>
      </c>
      <c r="CM141">
        <f>IF($A141="","",CM140+MAX(0,J$7+IF($CF140=0,0,IFERROR(INDEX('职业'!L$3:L$152,$CF140)+0,0))))</f>
        <v/>
      </c>
      <c r="CN141">
        <f>IF($A141="","",CN140+MAX(0,K$7+IF($CF140=0,0,IFERROR(INDEX('职业'!M$3:M$152,$CF140)+0,0))))</f>
        <v/>
      </c>
      <c r="CO141">
        <f>IF($A141="","",CO140+MAX(0,L$7+IF($CF140=0,0,IFERROR(INDEX('职业'!N$3:N$152,$CF140)+0,0))))</f>
        <v/>
      </c>
    </row>
    <row r="142">
      <c r="A142" s="15">
        <f>IF(OR($B$9="",$B$10=""),"",IF($B$9+90&lt;=$B$10,$B$9+90,""))</f>
        <v/>
      </c>
      <c r="B142" s="15">
        <f>IF($A142="","",MATCH($A142,$BV$27:$BV$32,1))</f>
        <v/>
      </c>
      <c r="C142" s="15">
        <f>IF($A142="","",INDEX($BW$27:$BW$32,$B142))</f>
        <v/>
      </c>
      <c r="D142" s="15">
        <f>IF($A142="","",D$9+INT(($B$14+CG142)/100))</f>
        <v/>
      </c>
      <c r="E142" s="15">
        <f>IF($A142="","",E$9+INT(($B$14+CH142)/100))</f>
        <v/>
      </c>
      <c r="F142" s="15">
        <f>IF($A142="","",F$9+INT(($B$14+CI142)/100))</f>
        <v/>
      </c>
      <c r="G142" s="15">
        <f>IF($A142="","",G$9+INT(($B$14+CJ142)/100))</f>
        <v/>
      </c>
      <c r="H142" s="15">
        <f>IF($A142="","",H$9+INT(($B$14+CK142)/100))</f>
        <v/>
      </c>
      <c r="I142" s="15">
        <f>IF($A142="","",I$9+INT(($B$14+CL142)/100))</f>
        <v/>
      </c>
      <c r="J142" s="15">
        <f>IF($A142="","",J$9+INT(($B$14+CM142)/100))</f>
        <v/>
      </c>
      <c r="K142" s="15">
        <f>IF($A142="","",K$9+INT(($B$14+CN142)/100))</f>
        <v/>
      </c>
      <c r="L142" s="15">
        <f>IF($A142="","",L$9+INT(($B$14+CO142)/100))</f>
        <v/>
      </c>
      <c r="M142" s="16">
        <f>IF($A142="","",IF($C142&lt;&gt;$C141,"★ 转职 → 【"&amp;$C142&amp;"】","")&amp;IF($A142=$B$10,"（目标等级）",""))</f>
        <v/>
      </c>
      <c r="P142">
        <f>IF('职业'!$C132="","",'职业'!$C132)</f>
        <v/>
      </c>
      <c r="Q142">
        <f>N('职业'!$D132)</f>
        <v/>
      </c>
      <c r="R142">
        <f>'职业'!$E132&amp;""</f>
        <v/>
      </c>
      <c r="S142">
        <f>IF($P142="",0,MAX(0,D$7+N('职业'!F132)))</f>
        <v/>
      </c>
      <c r="T142">
        <f>IF($P142="",0,MAX(0,E$7+N('职业'!G132)))</f>
        <v/>
      </c>
      <c r="U142">
        <f>IF($P142="",0,MAX(0,F$7+N('职业'!H132)))</f>
        <v/>
      </c>
      <c r="V142">
        <f>IF($P142="",0,MAX(0,G$7+N('职业'!I132)))</f>
        <v/>
      </c>
      <c r="W142">
        <f>IF($P142="",0,MAX(0,H$7+N('职业'!J132)))</f>
        <v/>
      </c>
      <c r="X142">
        <f>IF($P142="",0,MAX(0,I$7+N('职业'!K132)))</f>
        <v/>
      </c>
      <c r="Y142">
        <f>IF($P142="",0,MAX(0,J$7+N('职业'!L132)))</f>
        <v/>
      </c>
      <c r="Z142">
        <f>IF($P142="",0,MAX(0,K$7+N('职业'!M132)))</f>
        <v/>
      </c>
      <c r="AA142">
        <f>IF($P142="",0,MAX(0,L$7+N('职业'!N132)))</f>
        <v/>
      </c>
      <c r="AB142">
        <f>AND($P142&lt;&gt;"",IF($U$5=1,$P142=$C$10,OR($P142=$C$9,AND($R142="是",$Q142&lt;=MAX($B$9,$Q$6)))))</f>
        <v/>
      </c>
      <c r="AC142">
        <f>AND($P142&lt;&gt;"",IF($U$5=2,$P142=$C$10,OR($P142=$C$9,AND($R142="是",$Q142&lt;=MAX($B$9,$Q$7)))))</f>
        <v/>
      </c>
      <c r="AD142">
        <f>AND($P142&lt;&gt;"",IF($U$5=3,$P142=$C$10,OR($P142=$C$9,AND($R142="是",$Q142&lt;=MAX($B$9,$Q$8)))))</f>
        <v/>
      </c>
      <c r="AE142">
        <f>IF(AB142,COUNTIF(AB$13:AB142,TRUE),"")</f>
        <v/>
      </c>
      <c r="AF142">
        <f>IF(AC142,COUNTIF(AC$13:AC142,TRUE),"")</f>
        <v/>
      </c>
      <c r="AG142">
        <f>IF(AD142,COUNTIF(AD$13:AD142,TRUE),"")</f>
        <v/>
      </c>
      <c r="AI142">
        <f>IFERROR(INDEX($P$13:$P$162,MATCH(130,$AE$13:$AE$162,0)),"")</f>
        <v/>
      </c>
      <c r="AJ142">
        <f>IFERROR(INDEX(S$13:S$162,MATCH(130,$AE$13:$AE$162,0)),0)*$T$6</f>
        <v/>
      </c>
      <c r="AK142">
        <f>IFERROR(INDEX(T$13:T$162,MATCH(130,$AE$13:$AE$162,0)),0)*$T$6</f>
        <v/>
      </c>
      <c r="AL142">
        <f>IFERROR(INDEX(U$13:U$162,MATCH(130,$AE$13:$AE$162,0)),0)*$T$6</f>
        <v/>
      </c>
      <c r="AM142">
        <f>IFERROR(INDEX(V$13:V$162,MATCH(130,$AE$13:$AE$162,0)),0)*$T$6</f>
        <v/>
      </c>
      <c r="AN142">
        <f>IFERROR(INDEX(W$13:W$162,MATCH(130,$AE$13:$AE$162,0)),0)*$T$6</f>
        <v/>
      </c>
      <c r="AO142">
        <f>IFERROR(INDEX(X$13:X$162,MATCH(130,$AE$13:$AE$162,0)),0)*$T$6</f>
        <v/>
      </c>
      <c r="AP142">
        <f>IFERROR(INDEX(Y$13:Y$162,MATCH(130,$AE$13:$AE$162,0)),0)*$T$6</f>
        <v/>
      </c>
      <c r="AQ142">
        <f>IFERROR(INDEX(Z$13:Z$162,MATCH(130,$AE$13:$AE$162,0)),0)*$T$6</f>
        <v/>
      </c>
      <c r="AR142">
        <f>IFERROR(INDEX(AA$13:AA$162,MATCH(130,$AE$13:$AE$162,0)),0)*$T$6</f>
        <v/>
      </c>
      <c r="AS142">
        <f>IFERROR(INDEX($P$13:$P$162,MATCH(130,$AF$13:$AF$162,0)),"")</f>
        <v/>
      </c>
      <c r="AT142">
        <f>IFERROR(INDEX(S$13:S$162,MATCH(130,$AF$13:$AF$162,0)),0)*$T$7</f>
        <v/>
      </c>
      <c r="AU142">
        <f>IFERROR(INDEX(T$13:T$162,MATCH(130,$AF$13:$AF$162,0)),0)*$T$7</f>
        <v/>
      </c>
      <c r="AV142">
        <f>IFERROR(INDEX(U$13:U$162,MATCH(130,$AF$13:$AF$162,0)),0)*$T$7</f>
        <v/>
      </c>
      <c r="AW142">
        <f>IFERROR(INDEX(V$13:V$162,MATCH(130,$AF$13:$AF$162,0)),0)*$T$7</f>
        <v/>
      </c>
      <c r="AX142">
        <f>IFERROR(INDEX(W$13:W$162,MATCH(130,$AF$13:$AF$162,0)),0)*$T$7</f>
        <v/>
      </c>
      <c r="AY142">
        <f>IFERROR(INDEX(X$13:X$162,MATCH(130,$AF$13:$AF$162,0)),0)*$T$7</f>
        <v/>
      </c>
      <c r="AZ142">
        <f>IFERROR(INDEX(Y$13:Y$162,MATCH(130,$AF$13:$AF$162,0)),0)*$T$7</f>
        <v/>
      </c>
      <c r="BA142">
        <f>IFERROR(INDEX(Z$13:Z$162,MATCH(130,$AF$13:$AF$162,0)),0)*$T$7</f>
        <v/>
      </c>
      <c r="BB142">
        <f>IFERROR(INDEX(AA$13:AA$162,MATCH(130,$AF$13:$AF$162,0)),0)*$T$7</f>
        <v/>
      </c>
      <c r="BC142">
        <f>IFERROR(INDEX($P$13:$P$162,MATCH(130,$AG$13:$AG$162,0)),"")</f>
        <v/>
      </c>
      <c r="BD142">
        <f>IFERROR(INDEX(S$13:S$162,MATCH(130,$AG$13:$AG$162,0)),0)*($T$8+IF($C$10="",$T$9,0))</f>
        <v/>
      </c>
      <c r="BE142">
        <f>IFERROR(INDEX(T$13:T$162,MATCH(130,$AG$13:$AG$162,0)),0)*($T$8+IF($C$10="",$T$9,0))</f>
        <v/>
      </c>
      <c r="BF142">
        <f>IFERROR(INDEX(U$13:U$162,MATCH(130,$AG$13:$AG$162,0)),0)*($T$8+IF($C$10="",$T$9,0))</f>
        <v/>
      </c>
      <c r="BG142">
        <f>IFERROR(INDEX(V$13:V$162,MATCH(130,$AG$13:$AG$162,0)),0)*($T$8+IF($C$10="",$T$9,0))</f>
        <v/>
      </c>
      <c r="BH142">
        <f>IFERROR(INDEX(W$13:W$162,MATCH(130,$AG$13:$AG$162,0)),0)*($T$8+IF($C$10="",$T$9,0))</f>
        <v/>
      </c>
      <c r="BI142">
        <f>IFERROR(INDEX(X$13:X$162,MATCH(130,$AG$13:$AG$162,0)),0)*($T$8+IF($C$10="",$T$9,0))</f>
        <v/>
      </c>
      <c r="BJ142">
        <f>IFERROR(INDEX(Y$13:Y$162,MATCH(130,$AG$13:$AG$162,0)),0)*($T$8+IF($C$10="",$T$9,0))</f>
        <v/>
      </c>
      <c r="BK142">
        <f>IFERROR(INDEX(Z$13:Z$162,MATCH(130,$AG$13:$AG$162,0)),0)*($T$8+IF($C$10="",$T$9,0))</f>
        <v/>
      </c>
      <c r="BL142">
        <f>IFERROR(INDEX(AA$13:AA$162,MATCH(130,$AG$13:$AG$162,0)),0)*($T$8+IF($C$10="",$T$9,0))</f>
        <v/>
      </c>
      <c r="BN142">
        <f>IF(129&lt;$U$9,INT(129/($U$7*$U$8))+1,1)</f>
        <v/>
      </c>
      <c r="BO142">
        <f>IF(129&lt;$U$9,MOD(INT(129/$U$8),$U$7)+1,1)</f>
        <v/>
      </c>
      <c r="BP142">
        <f>IF(129&lt;$U$9,MOD(129,$U$8)+1,1)</f>
        <v/>
      </c>
      <c r="BQ142">
        <f>IF(129&lt;$U$9,SUMPRODUCT(($D$10:$L$10&lt;&gt;"")*(($D$9:$L$9+INT(($S$12:$AA$12+INDEX($AJ$13:$AR$162,BN142,0)+INDEX($AT$13:$BB$162,BO142,0)+INDEX($BD$13:$BL$162,BP142,0))/100))&gt;=$D$10:$L$10)),0)</f>
        <v/>
      </c>
      <c r="BR142">
        <f>IF(129&lt;$U$9,SUMPRODUCT(($D$10:$L$10&lt;&gt;"")*(($D$10:$L$10-($D$9:$L$9+INT(($S$12:$AA$12+INDEX($AJ$13:$AR$162,BN142,0)+INDEX($AT$13:$BB$162,BO142,0)+INDEX($BD$13:$BL$162,BP142,0))/100)))&gt;0)*($D$10:$L$10-($D$9:$L$9+INT(($S$12:$AA$12+INDEX($AJ$13:$AR$162,BN142,0)+INDEX($AT$13:$BB$162,BO142,0)+INDEX($BD$13:$BL$162,BP142,0))/100)))),0)</f>
        <v/>
      </c>
      <c r="BS142">
        <f>IF(129&lt;$U$9,SUMPRODUCT(($D$9:$L$9+INT(($S$12:$AA$12+INDEX($AJ$13:$AR$162,BN142,0)+INDEX($AT$13:$BB$162,BO142,0)+INDEX($BD$13:$BL$162,BP142,0))/100))),0)</f>
        <v/>
      </c>
      <c r="BT142">
        <f>IF(AND(129&lt;$U$9,$W$5),BQ142*1000000-MIN(BR142,999)*1000+BS142-129/100000,-1000000000-129)</f>
        <v/>
      </c>
      <c r="CF142">
        <f>IF($A142="","",IFERROR(MATCH($C142,'职业'!$C$3:$C$152,0),0))</f>
        <v/>
      </c>
      <c r="CG142">
        <f>IF($A142="","",CG141+MAX(0,D$7+IF($CF141=0,0,IFERROR(INDEX('职业'!F$3:F$152,$CF141)+0,0))))</f>
        <v/>
      </c>
      <c r="CH142">
        <f>IF($A142="","",CH141+MAX(0,E$7+IF($CF141=0,0,IFERROR(INDEX('职业'!G$3:G$152,$CF141)+0,0))))</f>
        <v/>
      </c>
      <c r="CI142">
        <f>IF($A142="","",CI141+MAX(0,F$7+IF($CF141=0,0,IFERROR(INDEX('职业'!H$3:H$152,$CF141)+0,0))))</f>
        <v/>
      </c>
      <c r="CJ142">
        <f>IF($A142="","",CJ141+MAX(0,G$7+IF($CF141=0,0,IFERROR(INDEX('职业'!I$3:I$152,$CF141)+0,0))))</f>
        <v/>
      </c>
      <c r="CK142">
        <f>IF($A142="","",CK141+MAX(0,H$7+IF($CF141=0,0,IFERROR(INDEX('职业'!J$3:J$152,$CF141)+0,0))))</f>
        <v/>
      </c>
      <c r="CL142">
        <f>IF($A142="","",CL141+MAX(0,I$7+IF($CF141=0,0,IFERROR(INDEX('职业'!K$3:K$152,$CF141)+0,0))))</f>
        <v/>
      </c>
      <c r="CM142">
        <f>IF($A142="","",CM141+MAX(0,J$7+IF($CF141=0,0,IFERROR(INDEX('职业'!L$3:L$152,$CF141)+0,0))))</f>
        <v/>
      </c>
      <c r="CN142">
        <f>IF($A142="","",CN141+MAX(0,K$7+IF($CF141=0,0,IFERROR(INDEX('职业'!M$3:M$152,$CF141)+0,0))))</f>
        <v/>
      </c>
      <c r="CO142">
        <f>IF($A142="","",CO141+MAX(0,L$7+IF($CF141=0,0,IFERROR(INDEX('职业'!N$3:N$152,$CF141)+0,0))))</f>
        <v/>
      </c>
    </row>
    <row r="143">
      <c r="A143" s="15">
        <f>IF(OR($B$9="",$B$10=""),"",IF($B$9+91&lt;=$B$10,$B$9+91,""))</f>
        <v/>
      </c>
      <c r="B143" s="15">
        <f>IF($A143="","",MATCH($A143,$BV$27:$BV$32,1))</f>
        <v/>
      </c>
      <c r="C143" s="15">
        <f>IF($A143="","",INDEX($BW$27:$BW$32,$B143))</f>
        <v/>
      </c>
      <c r="D143" s="15">
        <f>IF($A143="","",D$9+INT(($B$14+CG143)/100))</f>
        <v/>
      </c>
      <c r="E143" s="15">
        <f>IF($A143="","",E$9+INT(($B$14+CH143)/100))</f>
        <v/>
      </c>
      <c r="F143" s="15">
        <f>IF($A143="","",F$9+INT(($B$14+CI143)/100))</f>
        <v/>
      </c>
      <c r="G143" s="15">
        <f>IF($A143="","",G$9+INT(($B$14+CJ143)/100))</f>
        <v/>
      </c>
      <c r="H143" s="15">
        <f>IF($A143="","",H$9+INT(($B$14+CK143)/100))</f>
        <v/>
      </c>
      <c r="I143" s="15">
        <f>IF($A143="","",I$9+INT(($B$14+CL143)/100))</f>
        <v/>
      </c>
      <c r="J143" s="15">
        <f>IF($A143="","",J$9+INT(($B$14+CM143)/100))</f>
        <v/>
      </c>
      <c r="K143" s="15">
        <f>IF($A143="","",K$9+INT(($B$14+CN143)/100))</f>
        <v/>
      </c>
      <c r="L143" s="15">
        <f>IF($A143="","",L$9+INT(($B$14+CO143)/100))</f>
        <v/>
      </c>
      <c r="M143" s="16">
        <f>IF($A143="","",IF($C143&lt;&gt;$C142,"★ 转职 → 【"&amp;$C143&amp;"】","")&amp;IF($A143=$B$10,"（目标等级）",""))</f>
        <v/>
      </c>
      <c r="P143">
        <f>IF('职业'!$C133="","",'职业'!$C133)</f>
        <v/>
      </c>
      <c r="Q143">
        <f>N('职业'!$D133)</f>
        <v/>
      </c>
      <c r="R143">
        <f>'职业'!$E133&amp;""</f>
        <v/>
      </c>
      <c r="S143">
        <f>IF($P143="",0,MAX(0,D$7+N('职业'!F133)))</f>
        <v/>
      </c>
      <c r="T143">
        <f>IF($P143="",0,MAX(0,E$7+N('职业'!G133)))</f>
        <v/>
      </c>
      <c r="U143">
        <f>IF($P143="",0,MAX(0,F$7+N('职业'!H133)))</f>
        <v/>
      </c>
      <c r="V143">
        <f>IF($P143="",0,MAX(0,G$7+N('职业'!I133)))</f>
        <v/>
      </c>
      <c r="W143">
        <f>IF($P143="",0,MAX(0,H$7+N('职业'!J133)))</f>
        <v/>
      </c>
      <c r="X143">
        <f>IF($P143="",0,MAX(0,I$7+N('职业'!K133)))</f>
        <v/>
      </c>
      <c r="Y143">
        <f>IF($P143="",0,MAX(0,J$7+N('职业'!L133)))</f>
        <v/>
      </c>
      <c r="Z143">
        <f>IF($P143="",0,MAX(0,K$7+N('职业'!M133)))</f>
        <v/>
      </c>
      <c r="AA143">
        <f>IF($P143="",0,MAX(0,L$7+N('职业'!N133)))</f>
        <v/>
      </c>
      <c r="AB143">
        <f>AND($P143&lt;&gt;"",IF($U$5=1,$P143=$C$10,OR($P143=$C$9,AND($R143="是",$Q143&lt;=MAX($B$9,$Q$6)))))</f>
        <v/>
      </c>
      <c r="AC143">
        <f>AND($P143&lt;&gt;"",IF($U$5=2,$P143=$C$10,OR($P143=$C$9,AND($R143="是",$Q143&lt;=MAX($B$9,$Q$7)))))</f>
        <v/>
      </c>
      <c r="AD143">
        <f>AND($P143&lt;&gt;"",IF($U$5=3,$P143=$C$10,OR($P143=$C$9,AND($R143="是",$Q143&lt;=MAX($B$9,$Q$8)))))</f>
        <v/>
      </c>
      <c r="AE143">
        <f>IF(AB143,COUNTIF(AB$13:AB143,TRUE),"")</f>
        <v/>
      </c>
      <c r="AF143">
        <f>IF(AC143,COUNTIF(AC$13:AC143,TRUE),"")</f>
        <v/>
      </c>
      <c r="AG143">
        <f>IF(AD143,COUNTIF(AD$13:AD143,TRUE),"")</f>
        <v/>
      </c>
      <c r="AI143">
        <f>IFERROR(INDEX($P$13:$P$162,MATCH(131,$AE$13:$AE$162,0)),"")</f>
        <v/>
      </c>
      <c r="AJ143">
        <f>IFERROR(INDEX(S$13:S$162,MATCH(131,$AE$13:$AE$162,0)),0)*$T$6</f>
        <v/>
      </c>
      <c r="AK143">
        <f>IFERROR(INDEX(T$13:T$162,MATCH(131,$AE$13:$AE$162,0)),0)*$T$6</f>
        <v/>
      </c>
      <c r="AL143">
        <f>IFERROR(INDEX(U$13:U$162,MATCH(131,$AE$13:$AE$162,0)),0)*$T$6</f>
        <v/>
      </c>
      <c r="AM143">
        <f>IFERROR(INDEX(V$13:V$162,MATCH(131,$AE$13:$AE$162,0)),0)*$T$6</f>
        <v/>
      </c>
      <c r="AN143">
        <f>IFERROR(INDEX(W$13:W$162,MATCH(131,$AE$13:$AE$162,0)),0)*$T$6</f>
        <v/>
      </c>
      <c r="AO143">
        <f>IFERROR(INDEX(X$13:X$162,MATCH(131,$AE$13:$AE$162,0)),0)*$T$6</f>
        <v/>
      </c>
      <c r="AP143">
        <f>IFERROR(INDEX(Y$13:Y$162,MATCH(131,$AE$13:$AE$162,0)),0)*$T$6</f>
        <v/>
      </c>
      <c r="AQ143">
        <f>IFERROR(INDEX(Z$13:Z$162,MATCH(131,$AE$13:$AE$162,0)),0)*$T$6</f>
        <v/>
      </c>
      <c r="AR143">
        <f>IFERROR(INDEX(AA$13:AA$162,MATCH(131,$AE$13:$AE$162,0)),0)*$T$6</f>
        <v/>
      </c>
      <c r="AS143">
        <f>IFERROR(INDEX($P$13:$P$162,MATCH(131,$AF$13:$AF$162,0)),"")</f>
        <v/>
      </c>
      <c r="AT143">
        <f>IFERROR(INDEX(S$13:S$162,MATCH(131,$AF$13:$AF$162,0)),0)*$T$7</f>
        <v/>
      </c>
      <c r="AU143">
        <f>IFERROR(INDEX(T$13:T$162,MATCH(131,$AF$13:$AF$162,0)),0)*$T$7</f>
        <v/>
      </c>
      <c r="AV143">
        <f>IFERROR(INDEX(U$13:U$162,MATCH(131,$AF$13:$AF$162,0)),0)*$T$7</f>
        <v/>
      </c>
      <c r="AW143">
        <f>IFERROR(INDEX(V$13:V$162,MATCH(131,$AF$13:$AF$162,0)),0)*$T$7</f>
        <v/>
      </c>
      <c r="AX143">
        <f>IFERROR(INDEX(W$13:W$162,MATCH(131,$AF$13:$AF$162,0)),0)*$T$7</f>
        <v/>
      </c>
      <c r="AY143">
        <f>IFERROR(INDEX(X$13:X$162,MATCH(131,$AF$13:$AF$162,0)),0)*$T$7</f>
        <v/>
      </c>
      <c r="AZ143">
        <f>IFERROR(INDEX(Y$13:Y$162,MATCH(131,$AF$13:$AF$162,0)),0)*$T$7</f>
        <v/>
      </c>
      <c r="BA143">
        <f>IFERROR(INDEX(Z$13:Z$162,MATCH(131,$AF$13:$AF$162,0)),0)*$T$7</f>
        <v/>
      </c>
      <c r="BB143">
        <f>IFERROR(INDEX(AA$13:AA$162,MATCH(131,$AF$13:$AF$162,0)),0)*$T$7</f>
        <v/>
      </c>
      <c r="BC143">
        <f>IFERROR(INDEX($P$13:$P$162,MATCH(131,$AG$13:$AG$162,0)),"")</f>
        <v/>
      </c>
      <c r="BD143">
        <f>IFERROR(INDEX(S$13:S$162,MATCH(131,$AG$13:$AG$162,0)),0)*($T$8+IF($C$10="",$T$9,0))</f>
        <v/>
      </c>
      <c r="BE143">
        <f>IFERROR(INDEX(T$13:T$162,MATCH(131,$AG$13:$AG$162,0)),0)*($T$8+IF($C$10="",$T$9,0))</f>
        <v/>
      </c>
      <c r="BF143">
        <f>IFERROR(INDEX(U$13:U$162,MATCH(131,$AG$13:$AG$162,0)),0)*($T$8+IF($C$10="",$T$9,0))</f>
        <v/>
      </c>
      <c r="BG143">
        <f>IFERROR(INDEX(V$13:V$162,MATCH(131,$AG$13:$AG$162,0)),0)*($T$8+IF($C$10="",$T$9,0))</f>
        <v/>
      </c>
      <c r="BH143">
        <f>IFERROR(INDEX(W$13:W$162,MATCH(131,$AG$13:$AG$162,0)),0)*($T$8+IF($C$10="",$T$9,0))</f>
        <v/>
      </c>
      <c r="BI143">
        <f>IFERROR(INDEX(X$13:X$162,MATCH(131,$AG$13:$AG$162,0)),0)*($T$8+IF($C$10="",$T$9,0))</f>
        <v/>
      </c>
      <c r="BJ143">
        <f>IFERROR(INDEX(Y$13:Y$162,MATCH(131,$AG$13:$AG$162,0)),0)*($T$8+IF($C$10="",$T$9,0))</f>
        <v/>
      </c>
      <c r="BK143">
        <f>IFERROR(INDEX(Z$13:Z$162,MATCH(131,$AG$13:$AG$162,0)),0)*($T$8+IF($C$10="",$T$9,0))</f>
        <v/>
      </c>
      <c r="BL143">
        <f>IFERROR(INDEX(AA$13:AA$162,MATCH(131,$AG$13:$AG$162,0)),0)*($T$8+IF($C$10="",$T$9,0))</f>
        <v/>
      </c>
      <c r="BN143">
        <f>IF(130&lt;$U$9,INT(130/($U$7*$U$8))+1,1)</f>
        <v/>
      </c>
      <c r="BO143">
        <f>IF(130&lt;$U$9,MOD(INT(130/$U$8),$U$7)+1,1)</f>
        <v/>
      </c>
      <c r="BP143">
        <f>IF(130&lt;$U$9,MOD(130,$U$8)+1,1)</f>
        <v/>
      </c>
      <c r="BQ143">
        <f>IF(130&lt;$U$9,SUMPRODUCT(($D$10:$L$10&lt;&gt;"")*(($D$9:$L$9+INT(($S$12:$AA$12+INDEX($AJ$13:$AR$162,BN143,0)+INDEX($AT$13:$BB$162,BO143,0)+INDEX($BD$13:$BL$162,BP143,0))/100))&gt;=$D$10:$L$10)),0)</f>
        <v/>
      </c>
      <c r="BR143">
        <f>IF(130&lt;$U$9,SUMPRODUCT(($D$10:$L$10&lt;&gt;"")*(($D$10:$L$10-($D$9:$L$9+INT(($S$12:$AA$12+INDEX($AJ$13:$AR$162,BN143,0)+INDEX($AT$13:$BB$162,BO143,0)+INDEX($BD$13:$BL$162,BP143,0))/100)))&gt;0)*($D$10:$L$10-($D$9:$L$9+INT(($S$12:$AA$12+INDEX($AJ$13:$AR$162,BN143,0)+INDEX($AT$13:$BB$162,BO143,0)+INDEX($BD$13:$BL$162,BP143,0))/100)))),0)</f>
        <v/>
      </c>
      <c r="BS143">
        <f>IF(130&lt;$U$9,SUMPRODUCT(($D$9:$L$9+INT(($S$12:$AA$12+INDEX($AJ$13:$AR$162,BN143,0)+INDEX($AT$13:$BB$162,BO143,0)+INDEX($BD$13:$BL$162,BP143,0))/100))),0)</f>
        <v/>
      </c>
      <c r="BT143">
        <f>IF(AND(130&lt;$U$9,$W$5),BQ143*1000000-MIN(BR143,999)*1000+BS143-130/100000,-1000000000-130)</f>
        <v/>
      </c>
      <c r="CF143">
        <f>IF($A143="","",IFERROR(MATCH($C143,'职业'!$C$3:$C$152,0),0))</f>
        <v/>
      </c>
      <c r="CG143">
        <f>IF($A143="","",CG142+MAX(0,D$7+IF($CF142=0,0,IFERROR(INDEX('职业'!F$3:F$152,$CF142)+0,0))))</f>
        <v/>
      </c>
      <c r="CH143">
        <f>IF($A143="","",CH142+MAX(0,E$7+IF($CF142=0,0,IFERROR(INDEX('职业'!G$3:G$152,$CF142)+0,0))))</f>
        <v/>
      </c>
      <c r="CI143">
        <f>IF($A143="","",CI142+MAX(0,F$7+IF($CF142=0,0,IFERROR(INDEX('职业'!H$3:H$152,$CF142)+0,0))))</f>
        <v/>
      </c>
      <c r="CJ143">
        <f>IF($A143="","",CJ142+MAX(0,G$7+IF($CF142=0,0,IFERROR(INDEX('职业'!I$3:I$152,$CF142)+0,0))))</f>
        <v/>
      </c>
      <c r="CK143">
        <f>IF($A143="","",CK142+MAX(0,H$7+IF($CF142=0,0,IFERROR(INDEX('职业'!J$3:J$152,$CF142)+0,0))))</f>
        <v/>
      </c>
      <c r="CL143">
        <f>IF($A143="","",CL142+MAX(0,I$7+IF($CF142=0,0,IFERROR(INDEX('职业'!K$3:K$152,$CF142)+0,0))))</f>
        <v/>
      </c>
      <c r="CM143">
        <f>IF($A143="","",CM142+MAX(0,J$7+IF($CF142=0,0,IFERROR(INDEX('职业'!L$3:L$152,$CF142)+0,0))))</f>
        <v/>
      </c>
      <c r="CN143">
        <f>IF($A143="","",CN142+MAX(0,K$7+IF($CF142=0,0,IFERROR(INDEX('职业'!M$3:M$152,$CF142)+0,0))))</f>
        <v/>
      </c>
      <c r="CO143">
        <f>IF($A143="","",CO142+MAX(0,L$7+IF($CF142=0,0,IFERROR(INDEX('职业'!N$3:N$152,$CF142)+0,0))))</f>
        <v/>
      </c>
    </row>
    <row r="144">
      <c r="A144" s="15">
        <f>IF(OR($B$9="",$B$10=""),"",IF($B$9+92&lt;=$B$10,$B$9+92,""))</f>
        <v/>
      </c>
      <c r="B144" s="15">
        <f>IF($A144="","",MATCH($A144,$BV$27:$BV$32,1))</f>
        <v/>
      </c>
      <c r="C144" s="15">
        <f>IF($A144="","",INDEX($BW$27:$BW$32,$B144))</f>
        <v/>
      </c>
      <c r="D144" s="15">
        <f>IF($A144="","",D$9+INT(($B$14+CG144)/100))</f>
        <v/>
      </c>
      <c r="E144" s="15">
        <f>IF($A144="","",E$9+INT(($B$14+CH144)/100))</f>
        <v/>
      </c>
      <c r="F144" s="15">
        <f>IF($A144="","",F$9+INT(($B$14+CI144)/100))</f>
        <v/>
      </c>
      <c r="G144" s="15">
        <f>IF($A144="","",G$9+INT(($B$14+CJ144)/100))</f>
        <v/>
      </c>
      <c r="H144" s="15">
        <f>IF($A144="","",H$9+INT(($B$14+CK144)/100))</f>
        <v/>
      </c>
      <c r="I144" s="15">
        <f>IF($A144="","",I$9+INT(($B$14+CL144)/100))</f>
        <v/>
      </c>
      <c r="J144" s="15">
        <f>IF($A144="","",J$9+INT(($B$14+CM144)/100))</f>
        <v/>
      </c>
      <c r="K144" s="15">
        <f>IF($A144="","",K$9+INT(($B$14+CN144)/100))</f>
        <v/>
      </c>
      <c r="L144" s="15">
        <f>IF($A144="","",L$9+INT(($B$14+CO144)/100))</f>
        <v/>
      </c>
      <c r="M144" s="16">
        <f>IF($A144="","",IF($C144&lt;&gt;$C143,"★ 转职 → 【"&amp;$C144&amp;"】","")&amp;IF($A144=$B$10,"（目标等级）",""))</f>
        <v/>
      </c>
      <c r="P144">
        <f>IF('职业'!$C134="","",'职业'!$C134)</f>
        <v/>
      </c>
      <c r="Q144">
        <f>N('职业'!$D134)</f>
        <v/>
      </c>
      <c r="R144">
        <f>'职业'!$E134&amp;""</f>
        <v/>
      </c>
      <c r="S144">
        <f>IF($P144="",0,MAX(0,D$7+N('职业'!F134)))</f>
        <v/>
      </c>
      <c r="T144">
        <f>IF($P144="",0,MAX(0,E$7+N('职业'!G134)))</f>
        <v/>
      </c>
      <c r="U144">
        <f>IF($P144="",0,MAX(0,F$7+N('职业'!H134)))</f>
        <v/>
      </c>
      <c r="V144">
        <f>IF($P144="",0,MAX(0,G$7+N('职业'!I134)))</f>
        <v/>
      </c>
      <c r="W144">
        <f>IF($P144="",0,MAX(0,H$7+N('职业'!J134)))</f>
        <v/>
      </c>
      <c r="X144">
        <f>IF($P144="",0,MAX(0,I$7+N('职业'!K134)))</f>
        <v/>
      </c>
      <c r="Y144">
        <f>IF($P144="",0,MAX(0,J$7+N('职业'!L134)))</f>
        <v/>
      </c>
      <c r="Z144">
        <f>IF($P144="",0,MAX(0,K$7+N('职业'!M134)))</f>
        <v/>
      </c>
      <c r="AA144">
        <f>IF($P144="",0,MAX(0,L$7+N('职业'!N134)))</f>
        <v/>
      </c>
      <c r="AB144">
        <f>AND($P144&lt;&gt;"",IF($U$5=1,$P144=$C$10,OR($P144=$C$9,AND($R144="是",$Q144&lt;=MAX($B$9,$Q$6)))))</f>
        <v/>
      </c>
      <c r="AC144">
        <f>AND($P144&lt;&gt;"",IF($U$5=2,$P144=$C$10,OR($P144=$C$9,AND($R144="是",$Q144&lt;=MAX($B$9,$Q$7)))))</f>
        <v/>
      </c>
      <c r="AD144">
        <f>AND($P144&lt;&gt;"",IF($U$5=3,$P144=$C$10,OR($P144=$C$9,AND($R144="是",$Q144&lt;=MAX($B$9,$Q$8)))))</f>
        <v/>
      </c>
      <c r="AE144">
        <f>IF(AB144,COUNTIF(AB$13:AB144,TRUE),"")</f>
        <v/>
      </c>
      <c r="AF144">
        <f>IF(AC144,COUNTIF(AC$13:AC144,TRUE),"")</f>
        <v/>
      </c>
      <c r="AG144">
        <f>IF(AD144,COUNTIF(AD$13:AD144,TRUE),"")</f>
        <v/>
      </c>
      <c r="AI144">
        <f>IFERROR(INDEX($P$13:$P$162,MATCH(132,$AE$13:$AE$162,0)),"")</f>
        <v/>
      </c>
      <c r="AJ144">
        <f>IFERROR(INDEX(S$13:S$162,MATCH(132,$AE$13:$AE$162,0)),0)*$T$6</f>
        <v/>
      </c>
      <c r="AK144">
        <f>IFERROR(INDEX(T$13:T$162,MATCH(132,$AE$13:$AE$162,0)),0)*$T$6</f>
        <v/>
      </c>
      <c r="AL144">
        <f>IFERROR(INDEX(U$13:U$162,MATCH(132,$AE$13:$AE$162,0)),0)*$T$6</f>
        <v/>
      </c>
      <c r="AM144">
        <f>IFERROR(INDEX(V$13:V$162,MATCH(132,$AE$13:$AE$162,0)),0)*$T$6</f>
        <v/>
      </c>
      <c r="AN144">
        <f>IFERROR(INDEX(W$13:W$162,MATCH(132,$AE$13:$AE$162,0)),0)*$T$6</f>
        <v/>
      </c>
      <c r="AO144">
        <f>IFERROR(INDEX(X$13:X$162,MATCH(132,$AE$13:$AE$162,0)),0)*$T$6</f>
        <v/>
      </c>
      <c r="AP144">
        <f>IFERROR(INDEX(Y$13:Y$162,MATCH(132,$AE$13:$AE$162,0)),0)*$T$6</f>
        <v/>
      </c>
      <c r="AQ144">
        <f>IFERROR(INDEX(Z$13:Z$162,MATCH(132,$AE$13:$AE$162,0)),0)*$T$6</f>
        <v/>
      </c>
      <c r="AR144">
        <f>IFERROR(INDEX(AA$13:AA$162,MATCH(132,$AE$13:$AE$162,0)),0)*$T$6</f>
        <v/>
      </c>
      <c r="AS144">
        <f>IFERROR(INDEX($P$13:$P$162,MATCH(132,$AF$13:$AF$162,0)),"")</f>
        <v/>
      </c>
      <c r="AT144">
        <f>IFERROR(INDEX(S$13:S$162,MATCH(132,$AF$13:$AF$162,0)),0)*$T$7</f>
        <v/>
      </c>
      <c r="AU144">
        <f>IFERROR(INDEX(T$13:T$162,MATCH(132,$AF$13:$AF$162,0)),0)*$T$7</f>
        <v/>
      </c>
      <c r="AV144">
        <f>IFERROR(INDEX(U$13:U$162,MATCH(132,$AF$13:$AF$162,0)),0)*$T$7</f>
        <v/>
      </c>
      <c r="AW144">
        <f>IFERROR(INDEX(V$13:V$162,MATCH(132,$AF$13:$AF$162,0)),0)*$T$7</f>
        <v/>
      </c>
      <c r="AX144">
        <f>IFERROR(INDEX(W$13:W$162,MATCH(132,$AF$13:$AF$162,0)),0)*$T$7</f>
        <v/>
      </c>
      <c r="AY144">
        <f>IFERROR(INDEX(X$13:X$162,MATCH(132,$AF$13:$AF$162,0)),0)*$T$7</f>
        <v/>
      </c>
      <c r="AZ144">
        <f>IFERROR(INDEX(Y$13:Y$162,MATCH(132,$AF$13:$AF$162,0)),0)*$T$7</f>
        <v/>
      </c>
      <c r="BA144">
        <f>IFERROR(INDEX(Z$13:Z$162,MATCH(132,$AF$13:$AF$162,0)),0)*$T$7</f>
        <v/>
      </c>
      <c r="BB144">
        <f>IFERROR(INDEX(AA$13:AA$162,MATCH(132,$AF$13:$AF$162,0)),0)*$T$7</f>
        <v/>
      </c>
      <c r="BC144">
        <f>IFERROR(INDEX($P$13:$P$162,MATCH(132,$AG$13:$AG$162,0)),"")</f>
        <v/>
      </c>
      <c r="BD144">
        <f>IFERROR(INDEX(S$13:S$162,MATCH(132,$AG$13:$AG$162,0)),0)*($T$8+IF($C$10="",$T$9,0))</f>
        <v/>
      </c>
      <c r="BE144">
        <f>IFERROR(INDEX(T$13:T$162,MATCH(132,$AG$13:$AG$162,0)),0)*($T$8+IF($C$10="",$T$9,0))</f>
        <v/>
      </c>
      <c r="BF144">
        <f>IFERROR(INDEX(U$13:U$162,MATCH(132,$AG$13:$AG$162,0)),0)*($T$8+IF($C$10="",$T$9,0))</f>
        <v/>
      </c>
      <c r="BG144">
        <f>IFERROR(INDEX(V$13:V$162,MATCH(132,$AG$13:$AG$162,0)),0)*($T$8+IF($C$10="",$T$9,0))</f>
        <v/>
      </c>
      <c r="BH144">
        <f>IFERROR(INDEX(W$13:W$162,MATCH(132,$AG$13:$AG$162,0)),0)*($T$8+IF($C$10="",$T$9,0))</f>
        <v/>
      </c>
      <c r="BI144">
        <f>IFERROR(INDEX(X$13:X$162,MATCH(132,$AG$13:$AG$162,0)),0)*($T$8+IF($C$10="",$T$9,0))</f>
        <v/>
      </c>
      <c r="BJ144">
        <f>IFERROR(INDEX(Y$13:Y$162,MATCH(132,$AG$13:$AG$162,0)),0)*($T$8+IF($C$10="",$T$9,0))</f>
        <v/>
      </c>
      <c r="BK144">
        <f>IFERROR(INDEX(Z$13:Z$162,MATCH(132,$AG$13:$AG$162,0)),0)*($T$8+IF($C$10="",$T$9,0))</f>
        <v/>
      </c>
      <c r="BL144">
        <f>IFERROR(INDEX(AA$13:AA$162,MATCH(132,$AG$13:$AG$162,0)),0)*($T$8+IF($C$10="",$T$9,0))</f>
        <v/>
      </c>
      <c r="BN144">
        <f>IF(131&lt;$U$9,INT(131/($U$7*$U$8))+1,1)</f>
        <v/>
      </c>
      <c r="BO144">
        <f>IF(131&lt;$U$9,MOD(INT(131/$U$8),$U$7)+1,1)</f>
        <v/>
      </c>
      <c r="BP144">
        <f>IF(131&lt;$U$9,MOD(131,$U$8)+1,1)</f>
        <v/>
      </c>
      <c r="BQ144">
        <f>IF(131&lt;$U$9,SUMPRODUCT(($D$10:$L$10&lt;&gt;"")*(($D$9:$L$9+INT(($S$12:$AA$12+INDEX($AJ$13:$AR$162,BN144,0)+INDEX($AT$13:$BB$162,BO144,0)+INDEX($BD$13:$BL$162,BP144,0))/100))&gt;=$D$10:$L$10)),0)</f>
        <v/>
      </c>
      <c r="BR144">
        <f>IF(131&lt;$U$9,SUMPRODUCT(($D$10:$L$10&lt;&gt;"")*(($D$10:$L$10-($D$9:$L$9+INT(($S$12:$AA$12+INDEX($AJ$13:$AR$162,BN144,0)+INDEX($AT$13:$BB$162,BO144,0)+INDEX($BD$13:$BL$162,BP144,0))/100)))&gt;0)*($D$10:$L$10-($D$9:$L$9+INT(($S$12:$AA$12+INDEX($AJ$13:$AR$162,BN144,0)+INDEX($AT$13:$BB$162,BO144,0)+INDEX($BD$13:$BL$162,BP144,0))/100)))),0)</f>
        <v/>
      </c>
      <c r="BS144">
        <f>IF(131&lt;$U$9,SUMPRODUCT(($D$9:$L$9+INT(($S$12:$AA$12+INDEX($AJ$13:$AR$162,BN144,0)+INDEX($AT$13:$BB$162,BO144,0)+INDEX($BD$13:$BL$162,BP144,0))/100))),0)</f>
        <v/>
      </c>
      <c r="BT144">
        <f>IF(AND(131&lt;$U$9,$W$5),BQ144*1000000-MIN(BR144,999)*1000+BS144-131/100000,-1000000000-131)</f>
        <v/>
      </c>
      <c r="CF144">
        <f>IF($A144="","",IFERROR(MATCH($C144,'职业'!$C$3:$C$152,0),0))</f>
        <v/>
      </c>
      <c r="CG144">
        <f>IF($A144="","",CG143+MAX(0,D$7+IF($CF143=0,0,IFERROR(INDEX('职业'!F$3:F$152,$CF143)+0,0))))</f>
        <v/>
      </c>
      <c r="CH144">
        <f>IF($A144="","",CH143+MAX(0,E$7+IF($CF143=0,0,IFERROR(INDEX('职业'!G$3:G$152,$CF143)+0,0))))</f>
        <v/>
      </c>
      <c r="CI144">
        <f>IF($A144="","",CI143+MAX(0,F$7+IF($CF143=0,0,IFERROR(INDEX('职业'!H$3:H$152,$CF143)+0,0))))</f>
        <v/>
      </c>
      <c r="CJ144">
        <f>IF($A144="","",CJ143+MAX(0,G$7+IF($CF143=0,0,IFERROR(INDEX('职业'!I$3:I$152,$CF143)+0,0))))</f>
        <v/>
      </c>
      <c r="CK144">
        <f>IF($A144="","",CK143+MAX(0,H$7+IF($CF143=0,0,IFERROR(INDEX('职业'!J$3:J$152,$CF143)+0,0))))</f>
        <v/>
      </c>
      <c r="CL144">
        <f>IF($A144="","",CL143+MAX(0,I$7+IF($CF143=0,0,IFERROR(INDEX('职业'!K$3:K$152,$CF143)+0,0))))</f>
        <v/>
      </c>
      <c r="CM144">
        <f>IF($A144="","",CM143+MAX(0,J$7+IF($CF143=0,0,IFERROR(INDEX('职业'!L$3:L$152,$CF143)+0,0))))</f>
        <v/>
      </c>
      <c r="CN144">
        <f>IF($A144="","",CN143+MAX(0,K$7+IF($CF143=0,0,IFERROR(INDEX('职业'!M$3:M$152,$CF143)+0,0))))</f>
        <v/>
      </c>
      <c r="CO144">
        <f>IF($A144="","",CO143+MAX(0,L$7+IF($CF143=0,0,IFERROR(INDEX('职业'!N$3:N$152,$CF143)+0,0))))</f>
        <v/>
      </c>
    </row>
    <row r="145">
      <c r="A145" s="15">
        <f>IF(OR($B$9="",$B$10=""),"",IF($B$9+93&lt;=$B$10,$B$9+93,""))</f>
        <v/>
      </c>
      <c r="B145" s="15">
        <f>IF($A145="","",MATCH($A145,$BV$27:$BV$32,1))</f>
        <v/>
      </c>
      <c r="C145" s="15">
        <f>IF($A145="","",INDEX($BW$27:$BW$32,$B145))</f>
        <v/>
      </c>
      <c r="D145" s="15">
        <f>IF($A145="","",D$9+INT(($B$14+CG145)/100))</f>
        <v/>
      </c>
      <c r="E145" s="15">
        <f>IF($A145="","",E$9+INT(($B$14+CH145)/100))</f>
        <v/>
      </c>
      <c r="F145" s="15">
        <f>IF($A145="","",F$9+INT(($B$14+CI145)/100))</f>
        <v/>
      </c>
      <c r="G145" s="15">
        <f>IF($A145="","",G$9+INT(($B$14+CJ145)/100))</f>
        <v/>
      </c>
      <c r="H145" s="15">
        <f>IF($A145="","",H$9+INT(($B$14+CK145)/100))</f>
        <v/>
      </c>
      <c r="I145" s="15">
        <f>IF($A145="","",I$9+INT(($B$14+CL145)/100))</f>
        <v/>
      </c>
      <c r="J145" s="15">
        <f>IF($A145="","",J$9+INT(($B$14+CM145)/100))</f>
        <v/>
      </c>
      <c r="K145" s="15">
        <f>IF($A145="","",K$9+INT(($B$14+CN145)/100))</f>
        <v/>
      </c>
      <c r="L145" s="15">
        <f>IF($A145="","",L$9+INT(($B$14+CO145)/100))</f>
        <v/>
      </c>
      <c r="M145" s="16">
        <f>IF($A145="","",IF($C145&lt;&gt;$C144,"★ 转职 → 【"&amp;$C145&amp;"】","")&amp;IF($A145=$B$10,"（目标等级）",""))</f>
        <v/>
      </c>
      <c r="P145">
        <f>IF('职业'!$C135="","",'职业'!$C135)</f>
        <v/>
      </c>
      <c r="Q145">
        <f>N('职业'!$D135)</f>
        <v/>
      </c>
      <c r="R145">
        <f>'职业'!$E135&amp;""</f>
        <v/>
      </c>
      <c r="S145">
        <f>IF($P145="",0,MAX(0,D$7+N('职业'!F135)))</f>
        <v/>
      </c>
      <c r="T145">
        <f>IF($P145="",0,MAX(0,E$7+N('职业'!G135)))</f>
        <v/>
      </c>
      <c r="U145">
        <f>IF($P145="",0,MAX(0,F$7+N('职业'!H135)))</f>
        <v/>
      </c>
      <c r="V145">
        <f>IF($P145="",0,MAX(0,G$7+N('职业'!I135)))</f>
        <v/>
      </c>
      <c r="W145">
        <f>IF($P145="",0,MAX(0,H$7+N('职业'!J135)))</f>
        <v/>
      </c>
      <c r="X145">
        <f>IF($P145="",0,MAX(0,I$7+N('职业'!K135)))</f>
        <v/>
      </c>
      <c r="Y145">
        <f>IF($P145="",0,MAX(0,J$7+N('职业'!L135)))</f>
        <v/>
      </c>
      <c r="Z145">
        <f>IF($P145="",0,MAX(0,K$7+N('职业'!M135)))</f>
        <v/>
      </c>
      <c r="AA145">
        <f>IF($P145="",0,MAX(0,L$7+N('职业'!N135)))</f>
        <v/>
      </c>
      <c r="AB145">
        <f>AND($P145&lt;&gt;"",IF($U$5=1,$P145=$C$10,OR($P145=$C$9,AND($R145="是",$Q145&lt;=MAX($B$9,$Q$6)))))</f>
        <v/>
      </c>
      <c r="AC145">
        <f>AND($P145&lt;&gt;"",IF($U$5=2,$P145=$C$10,OR($P145=$C$9,AND($R145="是",$Q145&lt;=MAX($B$9,$Q$7)))))</f>
        <v/>
      </c>
      <c r="AD145">
        <f>AND($P145&lt;&gt;"",IF($U$5=3,$P145=$C$10,OR($P145=$C$9,AND($R145="是",$Q145&lt;=MAX($B$9,$Q$8)))))</f>
        <v/>
      </c>
      <c r="AE145">
        <f>IF(AB145,COUNTIF(AB$13:AB145,TRUE),"")</f>
        <v/>
      </c>
      <c r="AF145">
        <f>IF(AC145,COUNTIF(AC$13:AC145,TRUE),"")</f>
        <v/>
      </c>
      <c r="AG145">
        <f>IF(AD145,COUNTIF(AD$13:AD145,TRUE),"")</f>
        <v/>
      </c>
      <c r="AI145">
        <f>IFERROR(INDEX($P$13:$P$162,MATCH(133,$AE$13:$AE$162,0)),"")</f>
        <v/>
      </c>
      <c r="AJ145">
        <f>IFERROR(INDEX(S$13:S$162,MATCH(133,$AE$13:$AE$162,0)),0)*$T$6</f>
        <v/>
      </c>
      <c r="AK145">
        <f>IFERROR(INDEX(T$13:T$162,MATCH(133,$AE$13:$AE$162,0)),0)*$T$6</f>
        <v/>
      </c>
      <c r="AL145">
        <f>IFERROR(INDEX(U$13:U$162,MATCH(133,$AE$13:$AE$162,0)),0)*$T$6</f>
        <v/>
      </c>
      <c r="AM145">
        <f>IFERROR(INDEX(V$13:V$162,MATCH(133,$AE$13:$AE$162,0)),0)*$T$6</f>
        <v/>
      </c>
      <c r="AN145">
        <f>IFERROR(INDEX(W$13:W$162,MATCH(133,$AE$13:$AE$162,0)),0)*$T$6</f>
        <v/>
      </c>
      <c r="AO145">
        <f>IFERROR(INDEX(X$13:X$162,MATCH(133,$AE$13:$AE$162,0)),0)*$T$6</f>
        <v/>
      </c>
      <c r="AP145">
        <f>IFERROR(INDEX(Y$13:Y$162,MATCH(133,$AE$13:$AE$162,0)),0)*$T$6</f>
        <v/>
      </c>
      <c r="AQ145">
        <f>IFERROR(INDEX(Z$13:Z$162,MATCH(133,$AE$13:$AE$162,0)),0)*$T$6</f>
        <v/>
      </c>
      <c r="AR145">
        <f>IFERROR(INDEX(AA$13:AA$162,MATCH(133,$AE$13:$AE$162,0)),0)*$T$6</f>
        <v/>
      </c>
      <c r="AS145">
        <f>IFERROR(INDEX($P$13:$P$162,MATCH(133,$AF$13:$AF$162,0)),"")</f>
        <v/>
      </c>
      <c r="AT145">
        <f>IFERROR(INDEX(S$13:S$162,MATCH(133,$AF$13:$AF$162,0)),0)*$T$7</f>
        <v/>
      </c>
      <c r="AU145">
        <f>IFERROR(INDEX(T$13:T$162,MATCH(133,$AF$13:$AF$162,0)),0)*$T$7</f>
        <v/>
      </c>
      <c r="AV145">
        <f>IFERROR(INDEX(U$13:U$162,MATCH(133,$AF$13:$AF$162,0)),0)*$T$7</f>
        <v/>
      </c>
      <c r="AW145">
        <f>IFERROR(INDEX(V$13:V$162,MATCH(133,$AF$13:$AF$162,0)),0)*$T$7</f>
        <v/>
      </c>
      <c r="AX145">
        <f>IFERROR(INDEX(W$13:W$162,MATCH(133,$AF$13:$AF$162,0)),0)*$T$7</f>
        <v/>
      </c>
      <c r="AY145">
        <f>IFERROR(INDEX(X$13:X$162,MATCH(133,$AF$13:$AF$162,0)),0)*$T$7</f>
        <v/>
      </c>
      <c r="AZ145">
        <f>IFERROR(INDEX(Y$13:Y$162,MATCH(133,$AF$13:$AF$162,0)),0)*$T$7</f>
        <v/>
      </c>
      <c r="BA145">
        <f>IFERROR(INDEX(Z$13:Z$162,MATCH(133,$AF$13:$AF$162,0)),0)*$T$7</f>
        <v/>
      </c>
      <c r="BB145">
        <f>IFERROR(INDEX(AA$13:AA$162,MATCH(133,$AF$13:$AF$162,0)),0)*$T$7</f>
        <v/>
      </c>
      <c r="BC145">
        <f>IFERROR(INDEX($P$13:$P$162,MATCH(133,$AG$13:$AG$162,0)),"")</f>
        <v/>
      </c>
      <c r="BD145">
        <f>IFERROR(INDEX(S$13:S$162,MATCH(133,$AG$13:$AG$162,0)),0)*($T$8+IF($C$10="",$T$9,0))</f>
        <v/>
      </c>
      <c r="BE145">
        <f>IFERROR(INDEX(T$13:T$162,MATCH(133,$AG$13:$AG$162,0)),0)*($T$8+IF($C$10="",$T$9,0))</f>
        <v/>
      </c>
      <c r="BF145">
        <f>IFERROR(INDEX(U$13:U$162,MATCH(133,$AG$13:$AG$162,0)),0)*($T$8+IF($C$10="",$T$9,0))</f>
        <v/>
      </c>
      <c r="BG145">
        <f>IFERROR(INDEX(V$13:V$162,MATCH(133,$AG$13:$AG$162,0)),0)*($T$8+IF($C$10="",$T$9,0))</f>
        <v/>
      </c>
      <c r="BH145">
        <f>IFERROR(INDEX(W$13:W$162,MATCH(133,$AG$13:$AG$162,0)),0)*($T$8+IF($C$10="",$T$9,0))</f>
        <v/>
      </c>
      <c r="BI145">
        <f>IFERROR(INDEX(X$13:X$162,MATCH(133,$AG$13:$AG$162,0)),0)*($T$8+IF($C$10="",$T$9,0))</f>
        <v/>
      </c>
      <c r="BJ145">
        <f>IFERROR(INDEX(Y$13:Y$162,MATCH(133,$AG$13:$AG$162,0)),0)*($T$8+IF($C$10="",$T$9,0))</f>
        <v/>
      </c>
      <c r="BK145">
        <f>IFERROR(INDEX(Z$13:Z$162,MATCH(133,$AG$13:$AG$162,0)),0)*($T$8+IF($C$10="",$T$9,0))</f>
        <v/>
      </c>
      <c r="BL145">
        <f>IFERROR(INDEX(AA$13:AA$162,MATCH(133,$AG$13:$AG$162,0)),0)*($T$8+IF($C$10="",$T$9,0))</f>
        <v/>
      </c>
      <c r="BN145">
        <f>IF(132&lt;$U$9,INT(132/($U$7*$U$8))+1,1)</f>
        <v/>
      </c>
      <c r="BO145">
        <f>IF(132&lt;$U$9,MOD(INT(132/$U$8),$U$7)+1,1)</f>
        <v/>
      </c>
      <c r="BP145">
        <f>IF(132&lt;$U$9,MOD(132,$U$8)+1,1)</f>
        <v/>
      </c>
      <c r="BQ145">
        <f>IF(132&lt;$U$9,SUMPRODUCT(($D$10:$L$10&lt;&gt;"")*(($D$9:$L$9+INT(($S$12:$AA$12+INDEX($AJ$13:$AR$162,BN145,0)+INDEX($AT$13:$BB$162,BO145,0)+INDEX($BD$13:$BL$162,BP145,0))/100))&gt;=$D$10:$L$10)),0)</f>
        <v/>
      </c>
      <c r="BR145">
        <f>IF(132&lt;$U$9,SUMPRODUCT(($D$10:$L$10&lt;&gt;"")*(($D$10:$L$10-($D$9:$L$9+INT(($S$12:$AA$12+INDEX($AJ$13:$AR$162,BN145,0)+INDEX($AT$13:$BB$162,BO145,0)+INDEX($BD$13:$BL$162,BP145,0))/100)))&gt;0)*($D$10:$L$10-($D$9:$L$9+INT(($S$12:$AA$12+INDEX($AJ$13:$AR$162,BN145,0)+INDEX($AT$13:$BB$162,BO145,0)+INDEX($BD$13:$BL$162,BP145,0))/100)))),0)</f>
        <v/>
      </c>
      <c r="BS145">
        <f>IF(132&lt;$U$9,SUMPRODUCT(($D$9:$L$9+INT(($S$12:$AA$12+INDEX($AJ$13:$AR$162,BN145,0)+INDEX($AT$13:$BB$162,BO145,0)+INDEX($BD$13:$BL$162,BP145,0))/100))),0)</f>
        <v/>
      </c>
      <c r="BT145">
        <f>IF(AND(132&lt;$U$9,$W$5),BQ145*1000000-MIN(BR145,999)*1000+BS145-132/100000,-1000000000-132)</f>
        <v/>
      </c>
      <c r="CF145">
        <f>IF($A145="","",IFERROR(MATCH($C145,'职业'!$C$3:$C$152,0),0))</f>
        <v/>
      </c>
      <c r="CG145">
        <f>IF($A145="","",CG144+MAX(0,D$7+IF($CF144=0,0,IFERROR(INDEX('职业'!F$3:F$152,$CF144)+0,0))))</f>
        <v/>
      </c>
      <c r="CH145">
        <f>IF($A145="","",CH144+MAX(0,E$7+IF($CF144=0,0,IFERROR(INDEX('职业'!G$3:G$152,$CF144)+0,0))))</f>
        <v/>
      </c>
      <c r="CI145">
        <f>IF($A145="","",CI144+MAX(0,F$7+IF($CF144=0,0,IFERROR(INDEX('职业'!H$3:H$152,$CF144)+0,0))))</f>
        <v/>
      </c>
      <c r="CJ145">
        <f>IF($A145="","",CJ144+MAX(0,G$7+IF($CF144=0,0,IFERROR(INDEX('职业'!I$3:I$152,$CF144)+0,0))))</f>
        <v/>
      </c>
      <c r="CK145">
        <f>IF($A145="","",CK144+MAX(0,H$7+IF($CF144=0,0,IFERROR(INDEX('职业'!J$3:J$152,$CF144)+0,0))))</f>
        <v/>
      </c>
      <c r="CL145">
        <f>IF($A145="","",CL144+MAX(0,I$7+IF($CF144=0,0,IFERROR(INDEX('职业'!K$3:K$152,$CF144)+0,0))))</f>
        <v/>
      </c>
      <c r="CM145">
        <f>IF($A145="","",CM144+MAX(0,J$7+IF($CF144=0,0,IFERROR(INDEX('职业'!L$3:L$152,$CF144)+0,0))))</f>
        <v/>
      </c>
      <c r="CN145">
        <f>IF($A145="","",CN144+MAX(0,K$7+IF($CF144=0,0,IFERROR(INDEX('职业'!M$3:M$152,$CF144)+0,0))))</f>
        <v/>
      </c>
      <c r="CO145">
        <f>IF($A145="","",CO144+MAX(0,L$7+IF($CF144=0,0,IFERROR(INDEX('职业'!N$3:N$152,$CF144)+0,0))))</f>
        <v/>
      </c>
    </row>
    <row r="146">
      <c r="A146" s="15">
        <f>IF(OR($B$9="",$B$10=""),"",IF($B$9+94&lt;=$B$10,$B$9+94,""))</f>
        <v/>
      </c>
      <c r="B146" s="15">
        <f>IF($A146="","",MATCH($A146,$BV$27:$BV$32,1))</f>
        <v/>
      </c>
      <c r="C146" s="15">
        <f>IF($A146="","",INDEX($BW$27:$BW$32,$B146))</f>
        <v/>
      </c>
      <c r="D146" s="15">
        <f>IF($A146="","",D$9+INT(($B$14+CG146)/100))</f>
        <v/>
      </c>
      <c r="E146" s="15">
        <f>IF($A146="","",E$9+INT(($B$14+CH146)/100))</f>
        <v/>
      </c>
      <c r="F146" s="15">
        <f>IF($A146="","",F$9+INT(($B$14+CI146)/100))</f>
        <v/>
      </c>
      <c r="G146" s="15">
        <f>IF($A146="","",G$9+INT(($B$14+CJ146)/100))</f>
        <v/>
      </c>
      <c r="H146" s="15">
        <f>IF($A146="","",H$9+INT(($B$14+CK146)/100))</f>
        <v/>
      </c>
      <c r="I146" s="15">
        <f>IF($A146="","",I$9+INT(($B$14+CL146)/100))</f>
        <v/>
      </c>
      <c r="J146" s="15">
        <f>IF($A146="","",J$9+INT(($B$14+CM146)/100))</f>
        <v/>
      </c>
      <c r="K146" s="15">
        <f>IF($A146="","",K$9+INT(($B$14+CN146)/100))</f>
        <v/>
      </c>
      <c r="L146" s="15">
        <f>IF($A146="","",L$9+INT(($B$14+CO146)/100))</f>
        <v/>
      </c>
      <c r="M146" s="16">
        <f>IF($A146="","",IF($C146&lt;&gt;$C145,"★ 转职 → 【"&amp;$C146&amp;"】","")&amp;IF($A146=$B$10,"（目标等级）",""))</f>
        <v/>
      </c>
      <c r="P146">
        <f>IF('职业'!$C136="","",'职业'!$C136)</f>
        <v/>
      </c>
      <c r="Q146">
        <f>N('职业'!$D136)</f>
        <v/>
      </c>
      <c r="R146">
        <f>'职业'!$E136&amp;""</f>
        <v/>
      </c>
      <c r="S146">
        <f>IF($P146="",0,MAX(0,D$7+N('职业'!F136)))</f>
        <v/>
      </c>
      <c r="T146">
        <f>IF($P146="",0,MAX(0,E$7+N('职业'!G136)))</f>
        <v/>
      </c>
      <c r="U146">
        <f>IF($P146="",0,MAX(0,F$7+N('职业'!H136)))</f>
        <v/>
      </c>
      <c r="V146">
        <f>IF($P146="",0,MAX(0,G$7+N('职业'!I136)))</f>
        <v/>
      </c>
      <c r="W146">
        <f>IF($P146="",0,MAX(0,H$7+N('职业'!J136)))</f>
        <v/>
      </c>
      <c r="X146">
        <f>IF($P146="",0,MAX(0,I$7+N('职业'!K136)))</f>
        <v/>
      </c>
      <c r="Y146">
        <f>IF($P146="",0,MAX(0,J$7+N('职业'!L136)))</f>
        <v/>
      </c>
      <c r="Z146">
        <f>IF($P146="",0,MAX(0,K$7+N('职业'!M136)))</f>
        <v/>
      </c>
      <c r="AA146">
        <f>IF($P146="",0,MAX(0,L$7+N('职业'!N136)))</f>
        <v/>
      </c>
      <c r="AB146">
        <f>AND($P146&lt;&gt;"",IF($U$5=1,$P146=$C$10,OR($P146=$C$9,AND($R146="是",$Q146&lt;=MAX($B$9,$Q$6)))))</f>
        <v/>
      </c>
      <c r="AC146">
        <f>AND($P146&lt;&gt;"",IF($U$5=2,$P146=$C$10,OR($P146=$C$9,AND($R146="是",$Q146&lt;=MAX($B$9,$Q$7)))))</f>
        <v/>
      </c>
      <c r="AD146">
        <f>AND($P146&lt;&gt;"",IF($U$5=3,$P146=$C$10,OR($P146=$C$9,AND($R146="是",$Q146&lt;=MAX($B$9,$Q$8)))))</f>
        <v/>
      </c>
      <c r="AE146">
        <f>IF(AB146,COUNTIF(AB$13:AB146,TRUE),"")</f>
        <v/>
      </c>
      <c r="AF146">
        <f>IF(AC146,COUNTIF(AC$13:AC146,TRUE),"")</f>
        <v/>
      </c>
      <c r="AG146">
        <f>IF(AD146,COUNTIF(AD$13:AD146,TRUE),"")</f>
        <v/>
      </c>
      <c r="AI146">
        <f>IFERROR(INDEX($P$13:$P$162,MATCH(134,$AE$13:$AE$162,0)),"")</f>
        <v/>
      </c>
      <c r="AJ146">
        <f>IFERROR(INDEX(S$13:S$162,MATCH(134,$AE$13:$AE$162,0)),0)*$T$6</f>
        <v/>
      </c>
      <c r="AK146">
        <f>IFERROR(INDEX(T$13:T$162,MATCH(134,$AE$13:$AE$162,0)),0)*$T$6</f>
        <v/>
      </c>
      <c r="AL146">
        <f>IFERROR(INDEX(U$13:U$162,MATCH(134,$AE$13:$AE$162,0)),0)*$T$6</f>
        <v/>
      </c>
      <c r="AM146">
        <f>IFERROR(INDEX(V$13:V$162,MATCH(134,$AE$13:$AE$162,0)),0)*$T$6</f>
        <v/>
      </c>
      <c r="AN146">
        <f>IFERROR(INDEX(W$13:W$162,MATCH(134,$AE$13:$AE$162,0)),0)*$T$6</f>
        <v/>
      </c>
      <c r="AO146">
        <f>IFERROR(INDEX(X$13:X$162,MATCH(134,$AE$13:$AE$162,0)),0)*$T$6</f>
        <v/>
      </c>
      <c r="AP146">
        <f>IFERROR(INDEX(Y$13:Y$162,MATCH(134,$AE$13:$AE$162,0)),0)*$T$6</f>
        <v/>
      </c>
      <c r="AQ146">
        <f>IFERROR(INDEX(Z$13:Z$162,MATCH(134,$AE$13:$AE$162,0)),0)*$T$6</f>
        <v/>
      </c>
      <c r="AR146">
        <f>IFERROR(INDEX(AA$13:AA$162,MATCH(134,$AE$13:$AE$162,0)),0)*$T$6</f>
        <v/>
      </c>
      <c r="AS146">
        <f>IFERROR(INDEX($P$13:$P$162,MATCH(134,$AF$13:$AF$162,0)),"")</f>
        <v/>
      </c>
      <c r="AT146">
        <f>IFERROR(INDEX(S$13:S$162,MATCH(134,$AF$13:$AF$162,0)),0)*$T$7</f>
        <v/>
      </c>
      <c r="AU146">
        <f>IFERROR(INDEX(T$13:T$162,MATCH(134,$AF$13:$AF$162,0)),0)*$T$7</f>
        <v/>
      </c>
      <c r="AV146">
        <f>IFERROR(INDEX(U$13:U$162,MATCH(134,$AF$13:$AF$162,0)),0)*$T$7</f>
        <v/>
      </c>
      <c r="AW146">
        <f>IFERROR(INDEX(V$13:V$162,MATCH(134,$AF$13:$AF$162,0)),0)*$T$7</f>
        <v/>
      </c>
      <c r="AX146">
        <f>IFERROR(INDEX(W$13:W$162,MATCH(134,$AF$13:$AF$162,0)),0)*$T$7</f>
        <v/>
      </c>
      <c r="AY146">
        <f>IFERROR(INDEX(X$13:X$162,MATCH(134,$AF$13:$AF$162,0)),0)*$T$7</f>
        <v/>
      </c>
      <c r="AZ146">
        <f>IFERROR(INDEX(Y$13:Y$162,MATCH(134,$AF$13:$AF$162,0)),0)*$T$7</f>
        <v/>
      </c>
      <c r="BA146">
        <f>IFERROR(INDEX(Z$13:Z$162,MATCH(134,$AF$13:$AF$162,0)),0)*$T$7</f>
        <v/>
      </c>
      <c r="BB146">
        <f>IFERROR(INDEX(AA$13:AA$162,MATCH(134,$AF$13:$AF$162,0)),0)*$T$7</f>
        <v/>
      </c>
      <c r="BC146">
        <f>IFERROR(INDEX($P$13:$P$162,MATCH(134,$AG$13:$AG$162,0)),"")</f>
        <v/>
      </c>
      <c r="BD146">
        <f>IFERROR(INDEX(S$13:S$162,MATCH(134,$AG$13:$AG$162,0)),0)*($T$8+IF($C$10="",$T$9,0))</f>
        <v/>
      </c>
      <c r="BE146">
        <f>IFERROR(INDEX(T$13:T$162,MATCH(134,$AG$13:$AG$162,0)),0)*($T$8+IF($C$10="",$T$9,0))</f>
        <v/>
      </c>
      <c r="BF146">
        <f>IFERROR(INDEX(U$13:U$162,MATCH(134,$AG$13:$AG$162,0)),0)*($T$8+IF($C$10="",$T$9,0))</f>
        <v/>
      </c>
      <c r="BG146">
        <f>IFERROR(INDEX(V$13:V$162,MATCH(134,$AG$13:$AG$162,0)),0)*($T$8+IF($C$10="",$T$9,0))</f>
        <v/>
      </c>
      <c r="BH146">
        <f>IFERROR(INDEX(W$13:W$162,MATCH(134,$AG$13:$AG$162,0)),0)*($T$8+IF($C$10="",$T$9,0))</f>
        <v/>
      </c>
      <c r="BI146">
        <f>IFERROR(INDEX(X$13:X$162,MATCH(134,$AG$13:$AG$162,0)),0)*($T$8+IF($C$10="",$T$9,0))</f>
        <v/>
      </c>
      <c r="BJ146">
        <f>IFERROR(INDEX(Y$13:Y$162,MATCH(134,$AG$13:$AG$162,0)),0)*($T$8+IF($C$10="",$T$9,0))</f>
        <v/>
      </c>
      <c r="BK146">
        <f>IFERROR(INDEX(Z$13:Z$162,MATCH(134,$AG$13:$AG$162,0)),0)*($T$8+IF($C$10="",$T$9,0))</f>
        <v/>
      </c>
      <c r="BL146">
        <f>IFERROR(INDEX(AA$13:AA$162,MATCH(134,$AG$13:$AG$162,0)),0)*($T$8+IF($C$10="",$T$9,0))</f>
        <v/>
      </c>
      <c r="BN146">
        <f>IF(133&lt;$U$9,INT(133/($U$7*$U$8))+1,1)</f>
        <v/>
      </c>
      <c r="BO146">
        <f>IF(133&lt;$U$9,MOD(INT(133/$U$8),$U$7)+1,1)</f>
        <v/>
      </c>
      <c r="BP146">
        <f>IF(133&lt;$U$9,MOD(133,$U$8)+1,1)</f>
        <v/>
      </c>
      <c r="BQ146">
        <f>IF(133&lt;$U$9,SUMPRODUCT(($D$10:$L$10&lt;&gt;"")*(($D$9:$L$9+INT(($S$12:$AA$12+INDEX($AJ$13:$AR$162,BN146,0)+INDEX($AT$13:$BB$162,BO146,0)+INDEX($BD$13:$BL$162,BP146,0))/100))&gt;=$D$10:$L$10)),0)</f>
        <v/>
      </c>
      <c r="BR146">
        <f>IF(133&lt;$U$9,SUMPRODUCT(($D$10:$L$10&lt;&gt;"")*(($D$10:$L$10-($D$9:$L$9+INT(($S$12:$AA$12+INDEX($AJ$13:$AR$162,BN146,0)+INDEX($AT$13:$BB$162,BO146,0)+INDEX($BD$13:$BL$162,BP146,0))/100)))&gt;0)*($D$10:$L$10-($D$9:$L$9+INT(($S$12:$AA$12+INDEX($AJ$13:$AR$162,BN146,0)+INDEX($AT$13:$BB$162,BO146,0)+INDEX($BD$13:$BL$162,BP146,0))/100)))),0)</f>
        <v/>
      </c>
      <c r="BS146">
        <f>IF(133&lt;$U$9,SUMPRODUCT(($D$9:$L$9+INT(($S$12:$AA$12+INDEX($AJ$13:$AR$162,BN146,0)+INDEX($AT$13:$BB$162,BO146,0)+INDEX($BD$13:$BL$162,BP146,0))/100))),0)</f>
        <v/>
      </c>
      <c r="BT146">
        <f>IF(AND(133&lt;$U$9,$W$5),BQ146*1000000-MIN(BR146,999)*1000+BS146-133/100000,-1000000000-133)</f>
        <v/>
      </c>
      <c r="CF146">
        <f>IF($A146="","",IFERROR(MATCH($C146,'职业'!$C$3:$C$152,0),0))</f>
        <v/>
      </c>
      <c r="CG146">
        <f>IF($A146="","",CG145+MAX(0,D$7+IF($CF145=0,0,IFERROR(INDEX('职业'!F$3:F$152,$CF145)+0,0))))</f>
        <v/>
      </c>
      <c r="CH146">
        <f>IF($A146="","",CH145+MAX(0,E$7+IF($CF145=0,0,IFERROR(INDEX('职业'!G$3:G$152,$CF145)+0,0))))</f>
        <v/>
      </c>
      <c r="CI146">
        <f>IF($A146="","",CI145+MAX(0,F$7+IF($CF145=0,0,IFERROR(INDEX('职业'!H$3:H$152,$CF145)+0,0))))</f>
        <v/>
      </c>
      <c r="CJ146">
        <f>IF($A146="","",CJ145+MAX(0,G$7+IF($CF145=0,0,IFERROR(INDEX('职业'!I$3:I$152,$CF145)+0,0))))</f>
        <v/>
      </c>
      <c r="CK146">
        <f>IF($A146="","",CK145+MAX(0,H$7+IF($CF145=0,0,IFERROR(INDEX('职业'!J$3:J$152,$CF145)+0,0))))</f>
        <v/>
      </c>
      <c r="CL146">
        <f>IF($A146="","",CL145+MAX(0,I$7+IF($CF145=0,0,IFERROR(INDEX('职业'!K$3:K$152,$CF145)+0,0))))</f>
        <v/>
      </c>
      <c r="CM146">
        <f>IF($A146="","",CM145+MAX(0,J$7+IF($CF145=0,0,IFERROR(INDEX('职业'!L$3:L$152,$CF145)+0,0))))</f>
        <v/>
      </c>
      <c r="CN146">
        <f>IF($A146="","",CN145+MAX(0,K$7+IF($CF145=0,0,IFERROR(INDEX('职业'!M$3:M$152,$CF145)+0,0))))</f>
        <v/>
      </c>
      <c r="CO146">
        <f>IF($A146="","",CO145+MAX(0,L$7+IF($CF145=0,0,IFERROR(INDEX('职业'!N$3:N$152,$CF145)+0,0))))</f>
        <v/>
      </c>
    </row>
    <row r="147">
      <c r="A147" s="15">
        <f>IF(OR($B$9="",$B$10=""),"",IF($B$9+95&lt;=$B$10,$B$9+95,""))</f>
        <v/>
      </c>
      <c r="B147" s="15">
        <f>IF($A147="","",MATCH($A147,$BV$27:$BV$32,1))</f>
        <v/>
      </c>
      <c r="C147" s="15">
        <f>IF($A147="","",INDEX($BW$27:$BW$32,$B147))</f>
        <v/>
      </c>
      <c r="D147" s="15">
        <f>IF($A147="","",D$9+INT(($B$14+CG147)/100))</f>
        <v/>
      </c>
      <c r="E147" s="15">
        <f>IF($A147="","",E$9+INT(($B$14+CH147)/100))</f>
        <v/>
      </c>
      <c r="F147" s="15">
        <f>IF($A147="","",F$9+INT(($B$14+CI147)/100))</f>
        <v/>
      </c>
      <c r="G147" s="15">
        <f>IF($A147="","",G$9+INT(($B$14+CJ147)/100))</f>
        <v/>
      </c>
      <c r="H147" s="15">
        <f>IF($A147="","",H$9+INT(($B$14+CK147)/100))</f>
        <v/>
      </c>
      <c r="I147" s="15">
        <f>IF($A147="","",I$9+INT(($B$14+CL147)/100))</f>
        <v/>
      </c>
      <c r="J147" s="15">
        <f>IF($A147="","",J$9+INT(($B$14+CM147)/100))</f>
        <v/>
      </c>
      <c r="K147" s="15">
        <f>IF($A147="","",K$9+INT(($B$14+CN147)/100))</f>
        <v/>
      </c>
      <c r="L147" s="15">
        <f>IF($A147="","",L$9+INT(($B$14+CO147)/100))</f>
        <v/>
      </c>
      <c r="M147" s="16">
        <f>IF($A147="","",IF($C147&lt;&gt;$C146,"★ 转职 → 【"&amp;$C147&amp;"】","")&amp;IF($A147=$B$10,"（目标等级）",""))</f>
        <v/>
      </c>
      <c r="P147">
        <f>IF('职业'!$C137="","",'职业'!$C137)</f>
        <v/>
      </c>
      <c r="Q147">
        <f>N('职业'!$D137)</f>
        <v/>
      </c>
      <c r="R147">
        <f>'职业'!$E137&amp;""</f>
        <v/>
      </c>
      <c r="S147">
        <f>IF($P147="",0,MAX(0,D$7+N('职业'!F137)))</f>
        <v/>
      </c>
      <c r="T147">
        <f>IF($P147="",0,MAX(0,E$7+N('职业'!G137)))</f>
        <v/>
      </c>
      <c r="U147">
        <f>IF($P147="",0,MAX(0,F$7+N('职业'!H137)))</f>
        <v/>
      </c>
      <c r="V147">
        <f>IF($P147="",0,MAX(0,G$7+N('职业'!I137)))</f>
        <v/>
      </c>
      <c r="W147">
        <f>IF($P147="",0,MAX(0,H$7+N('职业'!J137)))</f>
        <v/>
      </c>
      <c r="X147">
        <f>IF($P147="",0,MAX(0,I$7+N('职业'!K137)))</f>
        <v/>
      </c>
      <c r="Y147">
        <f>IF($P147="",0,MAX(0,J$7+N('职业'!L137)))</f>
        <v/>
      </c>
      <c r="Z147">
        <f>IF($P147="",0,MAX(0,K$7+N('职业'!M137)))</f>
        <v/>
      </c>
      <c r="AA147">
        <f>IF($P147="",0,MAX(0,L$7+N('职业'!N137)))</f>
        <v/>
      </c>
      <c r="AB147">
        <f>AND($P147&lt;&gt;"",IF($U$5=1,$P147=$C$10,OR($P147=$C$9,AND($R147="是",$Q147&lt;=MAX($B$9,$Q$6)))))</f>
        <v/>
      </c>
      <c r="AC147">
        <f>AND($P147&lt;&gt;"",IF($U$5=2,$P147=$C$10,OR($P147=$C$9,AND($R147="是",$Q147&lt;=MAX($B$9,$Q$7)))))</f>
        <v/>
      </c>
      <c r="AD147">
        <f>AND($P147&lt;&gt;"",IF($U$5=3,$P147=$C$10,OR($P147=$C$9,AND($R147="是",$Q147&lt;=MAX($B$9,$Q$8)))))</f>
        <v/>
      </c>
      <c r="AE147">
        <f>IF(AB147,COUNTIF(AB$13:AB147,TRUE),"")</f>
        <v/>
      </c>
      <c r="AF147">
        <f>IF(AC147,COUNTIF(AC$13:AC147,TRUE),"")</f>
        <v/>
      </c>
      <c r="AG147">
        <f>IF(AD147,COUNTIF(AD$13:AD147,TRUE),"")</f>
        <v/>
      </c>
      <c r="AI147">
        <f>IFERROR(INDEX($P$13:$P$162,MATCH(135,$AE$13:$AE$162,0)),"")</f>
        <v/>
      </c>
      <c r="AJ147">
        <f>IFERROR(INDEX(S$13:S$162,MATCH(135,$AE$13:$AE$162,0)),0)*$T$6</f>
        <v/>
      </c>
      <c r="AK147">
        <f>IFERROR(INDEX(T$13:T$162,MATCH(135,$AE$13:$AE$162,0)),0)*$T$6</f>
        <v/>
      </c>
      <c r="AL147">
        <f>IFERROR(INDEX(U$13:U$162,MATCH(135,$AE$13:$AE$162,0)),0)*$T$6</f>
        <v/>
      </c>
      <c r="AM147">
        <f>IFERROR(INDEX(V$13:V$162,MATCH(135,$AE$13:$AE$162,0)),0)*$T$6</f>
        <v/>
      </c>
      <c r="AN147">
        <f>IFERROR(INDEX(W$13:W$162,MATCH(135,$AE$13:$AE$162,0)),0)*$T$6</f>
        <v/>
      </c>
      <c r="AO147">
        <f>IFERROR(INDEX(X$13:X$162,MATCH(135,$AE$13:$AE$162,0)),0)*$T$6</f>
        <v/>
      </c>
      <c r="AP147">
        <f>IFERROR(INDEX(Y$13:Y$162,MATCH(135,$AE$13:$AE$162,0)),0)*$T$6</f>
        <v/>
      </c>
      <c r="AQ147">
        <f>IFERROR(INDEX(Z$13:Z$162,MATCH(135,$AE$13:$AE$162,0)),0)*$T$6</f>
        <v/>
      </c>
      <c r="AR147">
        <f>IFERROR(INDEX(AA$13:AA$162,MATCH(135,$AE$13:$AE$162,0)),0)*$T$6</f>
        <v/>
      </c>
      <c r="AS147">
        <f>IFERROR(INDEX($P$13:$P$162,MATCH(135,$AF$13:$AF$162,0)),"")</f>
        <v/>
      </c>
      <c r="AT147">
        <f>IFERROR(INDEX(S$13:S$162,MATCH(135,$AF$13:$AF$162,0)),0)*$T$7</f>
        <v/>
      </c>
      <c r="AU147">
        <f>IFERROR(INDEX(T$13:T$162,MATCH(135,$AF$13:$AF$162,0)),0)*$T$7</f>
        <v/>
      </c>
      <c r="AV147">
        <f>IFERROR(INDEX(U$13:U$162,MATCH(135,$AF$13:$AF$162,0)),0)*$T$7</f>
        <v/>
      </c>
      <c r="AW147">
        <f>IFERROR(INDEX(V$13:V$162,MATCH(135,$AF$13:$AF$162,0)),0)*$T$7</f>
        <v/>
      </c>
      <c r="AX147">
        <f>IFERROR(INDEX(W$13:W$162,MATCH(135,$AF$13:$AF$162,0)),0)*$T$7</f>
        <v/>
      </c>
      <c r="AY147">
        <f>IFERROR(INDEX(X$13:X$162,MATCH(135,$AF$13:$AF$162,0)),0)*$T$7</f>
        <v/>
      </c>
      <c r="AZ147">
        <f>IFERROR(INDEX(Y$13:Y$162,MATCH(135,$AF$13:$AF$162,0)),0)*$T$7</f>
        <v/>
      </c>
      <c r="BA147">
        <f>IFERROR(INDEX(Z$13:Z$162,MATCH(135,$AF$13:$AF$162,0)),0)*$T$7</f>
        <v/>
      </c>
      <c r="BB147">
        <f>IFERROR(INDEX(AA$13:AA$162,MATCH(135,$AF$13:$AF$162,0)),0)*$T$7</f>
        <v/>
      </c>
      <c r="BC147">
        <f>IFERROR(INDEX($P$13:$P$162,MATCH(135,$AG$13:$AG$162,0)),"")</f>
        <v/>
      </c>
      <c r="BD147">
        <f>IFERROR(INDEX(S$13:S$162,MATCH(135,$AG$13:$AG$162,0)),0)*($T$8+IF($C$10="",$T$9,0))</f>
        <v/>
      </c>
      <c r="BE147">
        <f>IFERROR(INDEX(T$13:T$162,MATCH(135,$AG$13:$AG$162,0)),0)*($T$8+IF($C$10="",$T$9,0))</f>
        <v/>
      </c>
      <c r="BF147">
        <f>IFERROR(INDEX(U$13:U$162,MATCH(135,$AG$13:$AG$162,0)),0)*($T$8+IF($C$10="",$T$9,0))</f>
        <v/>
      </c>
      <c r="BG147">
        <f>IFERROR(INDEX(V$13:V$162,MATCH(135,$AG$13:$AG$162,0)),0)*($T$8+IF($C$10="",$T$9,0))</f>
        <v/>
      </c>
      <c r="BH147">
        <f>IFERROR(INDEX(W$13:W$162,MATCH(135,$AG$13:$AG$162,0)),0)*($T$8+IF($C$10="",$T$9,0))</f>
        <v/>
      </c>
      <c r="BI147">
        <f>IFERROR(INDEX(X$13:X$162,MATCH(135,$AG$13:$AG$162,0)),0)*($T$8+IF($C$10="",$T$9,0))</f>
        <v/>
      </c>
      <c r="BJ147">
        <f>IFERROR(INDEX(Y$13:Y$162,MATCH(135,$AG$13:$AG$162,0)),0)*($T$8+IF($C$10="",$T$9,0))</f>
        <v/>
      </c>
      <c r="BK147">
        <f>IFERROR(INDEX(Z$13:Z$162,MATCH(135,$AG$13:$AG$162,0)),0)*($T$8+IF($C$10="",$T$9,0))</f>
        <v/>
      </c>
      <c r="BL147">
        <f>IFERROR(INDEX(AA$13:AA$162,MATCH(135,$AG$13:$AG$162,0)),0)*($T$8+IF($C$10="",$T$9,0))</f>
        <v/>
      </c>
      <c r="BN147">
        <f>IF(134&lt;$U$9,INT(134/($U$7*$U$8))+1,1)</f>
        <v/>
      </c>
      <c r="BO147">
        <f>IF(134&lt;$U$9,MOD(INT(134/$U$8),$U$7)+1,1)</f>
        <v/>
      </c>
      <c r="BP147">
        <f>IF(134&lt;$U$9,MOD(134,$U$8)+1,1)</f>
        <v/>
      </c>
      <c r="BQ147">
        <f>IF(134&lt;$U$9,SUMPRODUCT(($D$10:$L$10&lt;&gt;"")*(($D$9:$L$9+INT(($S$12:$AA$12+INDEX($AJ$13:$AR$162,BN147,0)+INDEX($AT$13:$BB$162,BO147,0)+INDEX($BD$13:$BL$162,BP147,0))/100))&gt;=$D$10:$L$10)),0)</f>
        <v/>
      </c>
      <c r="BR147">
        <f>IF(134&lt;$U$9,SUMPRODUCT(($D$10:$L$10&lt;&gt;"")*(($D$10:$L$10-($D$9:$L$9+INT(($S$12:$AA$12+INDEX($AJ$13:$AR$162,BN147,0)+INDEX($AT$13:$BB$162,BO147,0)+INDEX($BD$13:$BL$162,BP147,0))/100)))&gt;0)*($D$10:$L$10-($D$9:$L$9+INT(($S$12:$AA$12+INDEX($AJ$13:$AR$162,BN147,0)+INDEX($AT$13:$BB$162,BO147,0)+INDEX($BD$13:$BL$162,BP147,0))/100)))),0)</f>
        <v/>
      </c>
      <c r="BS147">
        <f>IF(134&lt;$U$9,SUMPRODUCT(($D$9:$L$9+INT(($S$12:$AA$12+INDEX($AJ$13:$AR$162,BN147,0)+INDEX($AT$13:$BB$162,BO147,0)+INDEX($BD$13:$BL$162,BP147,0))/100))),0)</f>
        <v/>
      </c>
      <c r="BT147">
        <f>IF(AND(134&lt;$U$9,$W$5),BQ147*1000000-MIN(BR147,999)*1000+BS147-134/100000,-1000000000-134)</f>
        <v/>
      </c>
      <c r="CF147">
        <f>IF($A147="","",IFERROR(MATCH($C147,'职业'!$C$3:$C$152,0),0))</f>
        <v/>
      </c>
      <c r="CG147">
        <f>IF($A147="","",CG146+MAX(0,D$7+IF($CF146=0,0,IFERROR(INDEX('职业'!F$3:F$152,$CF146)+0,0))))</f>
        <v/>
      </c>
      <c r="CH147">
        <f>IF($A147="","",CH146+MAX(0,E$7+IF($CF146=0,0,IFERROR(INDEX('职业'!G$3:G$152,$CF146)+0,0))))</f>
        <v/>
      </c>
      <c r="CI147">
        <f>IF($A147="","",CI146+MAX(0,F$7+IF($CF146=0,0,IFERROR(INDEX('职业'!H$3:H$152,$CF146)+0,0))))</f>
        <v/>
      </c>
      <c r="CJ147">
        <f>IF($A147="","",CJ146+MAX(0,G$7+IF($CF146=0,0,IFERROR(INDEX('职业'!I$3:I$152,$CF146)+0,0))))</f>
        <v/>
      </c>
      <c r="CK147">
        <f>IF($A147="","",CK146+MAX(0,H$7+IF($CF146=0,0,IFERROR(INDEX('职业'!J$3:J$152,$CF146)+0,0))))</f>
        <v/>
      </c>
      <c r="CL147">
        <f>IF($A147="","",CL146+MAX(0,I$7+IF($CF146=0,0,IFERROR(INDEX('职业'!K$3:K$152,$CF146)+0,0))))</f>
        <v/>
      </c>
      <c r="CM147">
        <f>IF($A147="","",CM146+MAX(0,J$7+IF($CF146=0,0,IFERROR(INDEX('职业'!L$3:L$152,$CF146)+0,0))))</f>
        <v/>
      </c>
      <c r="CN147">
        <f>IF($A147="","",CN146+MAX(0,K$7+IF($CF146=0,0,IFERROR(INDEX('职业'!M$3:M$152,$CF146)+0,0))))</f>
        <v/>
      </c>
      <c r="CO147">
        <f>IF($A147="","",CO146+MAX(0,L$7+IF($CF146=0,0,IFERROR(INDEX('职业'!N$3:N$152,$CF146)+0,0))))</f>
        <v/>
      </c>
    </row>
    <row r="148">
      <c r="A148" s="15">
        <f>IF(OR($B$9="",$B$10=""),"",IF($B$9+96&lt;=$B$10,$B$9+96,""))</f>
        <v/>
      </c>
      <c r="B148" s="15">
        <f>IF($A148="","",MATCH($A148,$BV$27:$BV$32,1))</f>
        <v/>
      </c>
      <c r="C148" s="15">
        <f>IF($A148="","",INDEX($BW$27:$BW$32,$B148))</f>
        <v/>
      </c>
      <c r="D148" s="15">
        <f>IF($A148="","",D$9+INT(($B$14+CG148)/100))</f>
        <v/>
      </c>
      <c r="E148" s="15">
        <f>IF($A148="","",E$9+INT(($B$14+CH148)/100))</f>
        <v/>
      </c>
      <c r="F148" s="15">
        <f>IF($A148="","",F$9+INT(($B$14+CI148)/100))</f>
        <v/>
      </c>
      <c r="G148" s="15">
        <f>IF($A148="","",G$9+INT(($B$14+CJ148)/100))</f>
        <v/>
      </c>
      <c r="H148" s="15">
        <f>IF($A148="","",H$9+INT(($B$14+CK148)/100))</f>
        <v/>
      </c>
      <c r="I148" s="15">
        <f>IF($A148="","",I$9+INT(($B$14+CL148)/100))</f>
        <v/>
      </c>
      <c r="J148" s="15">
        <f>IF($A148="","",J$9+INT(($B$14+CM148)/100))</f>
        <v/>
      </c>
      <c r="K148" s="15">
        <f>IF($A148="","",K$9+INT(($B$14+CN148)/100))</f>
        <v/>
      </c>
      <c r="L148" s="15">
        <f>IF($A148="","",L$9+INT(($B$14+CO148)/100))</f>
        <v/>
      </c>
      <c r="M148" s="16">
        <f>IF($A148="","",IF($C148&lt;&gt;$C147,"★ 转职 → 【"&amp;$C148&amp;"】","")&amp;IF($A148=$B$10,"（目标等级）",""))</f>
        <v/>
      </c>
      <c r="P148">
        <f>IF('职业'!$C138="","",'职业'!$C138)</f>
        <v/>
      </c>
      <c r="Q148">
        <f>N('职业'!$D138)</f>
        <v/>
      </c>
      <c r="R148">
        <f>'职业'!$E138&amp;""</f>
        <v/>
      </c>
      <c r="S148">
        <f>IF($P148="",0,MAX(0,D$7+N('职业'!F138)))</f>
        <v/>
      </c>
      <c r="T148">
        <f>IF($P148="",0,MAX(0,E$7+N('职业'!G138)))</f>
        <v/>
      </c>
      <c r="U148">
        <f>IF($P148="",0,MAX(0,F$7+N('职业'!H138)))</f>
        <v/>
      </c>
      <c r="V148">
        <f>IF($P148="",0,MAX(0,G$7+N('职业'!I138)))</f>
        <v/>
      </c>
      <c r="W148">
        <f>IF($P148="",0,MAX(0,H$7+N('职业'!J138)))</f>
        <v/>
      </c>
      <c r="X148">
        <f>IF($P148="",0,MAX(0,I$7+N('职业'!K138)))</f>
        <v/>
      </c>
      <c r="Y148">
        <f>IF($P148="",0,MAX(0,J$7+N('职业'!L138)))</f>
        <v/>
      </c>
      <c r="Z148">
        <f>IF($P148="",0,MAX(0,K$7+N('职业'!M138)))</f>
        <v/>
      </c>
      <c r="AA148">
        <f>IF($P148="",0,MAX(0,L$7+N('职业'!N138)))</f>
        <v/>
      </c>
      <c r="AB148">
        <f>AND($P148&lt;&gt;"",IF($U$5=1,$P148=$C$10,OR($P148=$C$9,AND($R148="是",$Q148&lt;=MAX($B$9,$Q$6)))))</f>
        <v/>
      </c>
      <c r="AC148">
        <f>AND($P148&lt;&gt;"",IF($U$5=2,$P148=$C$10,OR($P148=$C$9,AND($R148="是",$Q148&lt;=MAX($B$9,$Q$7)))))</f>
        <v/>
      </c>
      <c r="AD148">
        <f>AND($P148&lt;&gt;"",IF($U$5=3,$P148=$C$10,OR($P148=$C$9,AND($R148="是",$Q148&lt;=MAX($B$9,$Q$8)))))</f>
        <v/>
      </c>
      <c r="AE148">
        <f>IF(AB148,COUNTIF(AB$13:AB148,TRUE),"")</f>
        <v/>
      </c>
      <c r="AF148">
        <f>IF(AC148,COUNTIF(AC$13:AC148,TRUE),"")</f>
        <v/>
      </c>
      <c r="AG148">
        <f>IF(AD148,COUNTIF(AD$13:AD148,TRUE),"")</f>
        <v/>
      </c>
      <c r="AI148">
        <f>IFERROR(INDEX($P$13:$P$162,MATCH(136,$AE$13:$AE$162,0)),"")</f>
        <v/>
      </c>
      <c r="AJ148">
        <f>IFERROR(INDEX(S$13:S$162,MATCH(136,$AE$13:$AE$162,0)),0)*$T$6</f>
        <v/>
      </c>
      <c r="AK148">
        <f>IFERROR(INDEX(T$13:T$162,MATCH(136,$AE$13:$AE$162,0)),0)*$T$6</f>
        <v/>
      </c>
      <c r="AL148">
        <f>IFERROR(INDEX(U$13:U$162,MATCH(136,$AE$13:$AE$162,0)),0)*$T$6</f>
        <v/>
      </c>
      <c r="AM148">
        <f>IFERROR(INDEX(V$13:V$162,MATCH(136,$AE$13:$AE$162,0)),0)*$T$6</f>
        <v/>
      </c>
      <c r="AN148">
        <f>IFERROR(INDEX(W$13:W$162,MATCH(136,$AE$13:$AE$162,0)),0)*$T$6</f>
        <v/>
      </c>
      <c r="AO148">
        <f>IFERROR(INDEX(X$13:X$162,MATCH(136,$AE$13:$AE$162,0)),0)*$T$6</f>
        <v/>
      </c>
      <c r="AP148">
        <f>IFERROR(INDEX(Y$13:Y$162,MATCH(136,$AE$13:$AE$162,0)),0)*$T$6</f>
        <v/>
      </c>
      <c r="AQ148">
        <f>IFERROR(INDEX(Z$13:Z$162,MATCH(136,$AE$13:$AE$162,0)),0)*$T$6</f>
        <v/>
      </c>
      <c r="AR148">
        <f>IFERROR(INDEX(AA$13:AA$162,MATCH(136,$AE$13:$AE$162,0)),0)*$T$6</f>
        <v/>
      </c>
      <c r="AS148">
        <f>IFERROR(INDEX($P$13:$P$162,MATCH(136,$AF$13:$AF$162,0)),"")</f>
        <v/>
      </c>
      <c r="AT148">
        <f>IFERROR(INDEX(S$13:S$162,MATCH(136,$AF$13:$AF$162,0)),0)*$T$7</f>
        <v/>
      </c>
      <c r="AU148">
        <f>IFERROR(INDEX(T$13:T$162,MATCH(136,$AF$13:$AF$162,0)),0)*$T$7</f>
        <v/>
      </c>
      <c r="AV148">
        <f>IFERROR(INDEX(U$13:U$162,MATCH(136,$AF$13:$AF$162,0)),0)*$T$7</f>
        <v/>
      </c>
      <c r="AW148">
        <f>IFERROR(INDEX(V$13:V$162,MATCH(136,$AF$13:$AF$162,0)),0)*$T$7</f>
        <v/>
      </c>
      <c r="AX148">
        <f>IFERROR(INDEX(W$13:W$162,MATCH(136,$AF$13:$AF$162,0)),0)*$T$7</f>
        <v/>
      </c>
      <c r="AY148">
        <f>IFERROR(INDEX(X$13:X$162,MATCH(136,$AF$13:$AF$162,0)),0)*$T$7</f>
        <v/>
      </c>
      <c r="AZ148">
        <f>IFERROR(INDEX(Y$13:Y$162,MATCH(136,$AF$13:$AF$162,0)),0)*$T$7</f>
        <v/>
      </c>
      <c r="BA148">
        <f>IFERROR(INDEX(Z$13:Z$162,MATCH(136,$AF$13:$AF$162,0)),0)*$T$7</f>
        <v/>
      </c>
      <c r="BB148">
        <f>IFERROR(INDEX(AA$13:AA$162,MATCH(136,$AF$13:$AF$162,0)),0)*$T$7</f>
        <v/>
      </c>
      <c r="BC148">
        <f>IFERROR(INDEX($P$13:$P$162,MATCH(136,$AG$13:$AG$162,0)),"")</f>
        <v/>
      </c>
      <c r="BD148">
        <f>IFERROR(INDEX(S$13:S$162,MATCH(136,$AG$13:$AG$162,0)),0)*($T$8+IF($C$10="",$T$9,0))</f>
        <v/>
      </c>
      <c r="BE148">
        <f>IFERROR(INDEX(T$13:T$162,MATCH(136,$AG$13:$AG$162,0)),0)*($T$8+IF($C$10="",$T$9,0))</f>
        <v/>
      </c>
      <c r="BF148">
        <f>IFERROR(INDEX(U$13:U$162,MATCH(136,$AG$13:$AG$162,0)),0)*($T$8+IF($C$10="",$T$9,0))</f>
        <v/>
      </c>
      <c r="BG148">
        <f>IFERROR(INDEX(V$13:V$162,MATCH(136,$AG$13:$AG$162,0)),0)*($T$8+IF($C$10="",$T$9,0))</f>
        <v/>
      </c>
      <c r="BH148">
        <f>IFERROR(INDEX(W$13:W$162,MATCH(136,$AG$13:$AG$162,0)),0)*($T$8+IF($C$10="",$T$9,0))</f>
        <v/>
      </c>
      <c r="BI148">
        <f>IFERROR(INDEX(X$13:X$162,MATCH(136,$AG$13:$AG$162,0)),0)*($T$8+IF($C$10="",$T$9,0))</f>
        <v/>
      </c>
      <c r="BJ148">
        <f>IFERROR(INDEX(Y$13:Y$162,MATCH(136,$AG$13:$AG$162,0)),0)*($T$8+IF($C$10="",$T$9,0))</f>
        <v/>
      </c>
      <c r="BK148">
        <f>IFERROR(INDEX(Z$13:Z$162,MATCH(136,$AG$13:$AG$162,0)),0)*($T$8+IF($C$10="",$T$9,0))</f>
        <v/>
      </c>
      <c r="BL148">
        <f>IFERROR(INDEX(AA$13:AA$162,MATCH(136,$AG$13:$AG$162,0)),0)*($T$8+IF($C$10="",$T$9,0))</f>
        <v/>
      </c>
      <c r="BN148">
        <f>IF(135&lt;$U$9,INT(135/($U$7*$U$8))+1,1)</f>
        <v/>
      </c>
      <c r="BO148">
        <f>IF(135&lt;$U$9,MOD(INT(135/$U$8),$U$7)+1,1)</f>
        <v/>
      </c>
      <c r="BP148">
        <f>IF(135&lt;$U$9,MOD(135,$U$8)+1,1)</f>
        <v/>
      </c>
      <c r="BQ148">
        <f>IF(135&lt;$U$9,SUMPRODUCT(($D$10:$L$10&lt;&gt;"")*(($D$9:$L$9+INT(($S$12:$AA$12+INDEX($AJ$13:$AR$162,BN148,0)+INDEX($AT$13:$BB$162,BO148,0)+INDEX($BD$13:$BL$162,BP148,0))/100))&gt;=$D$10:$L$10)),0)</f>
        <v/>
      </c>
      <c r="BR148">
        <f>IF(135&lt;$U$9,SUMPRODUCT(($D$10:$L$10&lt;&gt;"")*(($D$10:$L$10-($D$9:$L$9+INT(($S$12:$AA$12+INDEX($AJ$13:$AR$162,BN148,0)+INDEX($AT$13:$BB$162,BO148,0)+INDEX($BD$13:$BL$162,BP148,0))/100)))&gt;0)*($D$10:$L$10-($D$9:$L$9+INT(($S$12:$AA$12+INDEX($AJ$13:$AR$162,BN148,0)+INDEX($AT$13:$BB$162,BO148,0)+INDEX($BD$13:$BL$162,BP148,0))/100)))),0)</f>
        <v/>
      </c>
      <c r="BS148">
        <f>IF(135&lt;$U$9,SUMPRODUCT(($D$9:$L$9+INT(($S$12:$AA$12+INDEX($AJ$13:$AR$162,BN148,0)+INDEX($AT$13:$BB$162,BO148,0)+INDEX($BD$13:$BL$162,BP148,0))/100))),0)</f>
        <v/>
      </c>
      <c r="BT148">
        <f>IF(AND(135&lt;$U$9,$W$5),BQ148*1000000-MIN(BR148,999)*1000+BS148-135/100000,-1000000000-135)</f>
        <v/>
      </c>
      <c r="CF148">
        <f>IF($A148="","",IFERROR(MATCH($C148,'职业'!$C$3:$C$152,0),0))</f>
        <v/>
      </c>
      <c r="CG148">
        <f>IF($A148="","",CG147+MAX(0,D$7+IF($CF147=0,0,IFERROR(INDEX('职业'!F$3:F$152,$CF147)+0,0))))</f>
        <v/>
      </c>
      <c r="CH148">
        <f>IF($A148="","",CH147+MAX(0,E$7+IF($CF147=0,0,IFERROR(INDEX('职业'!G$3:G$152,$CF147)+0,0))))</f>
        <v/>
      </c>
      <c r="CI148">
        <f>IF($A148="","",CI147+MAX(0,F$7+IF($CF147=0,0,IFERROR(INDEX('职业'!H$3:H$152,$CF147)+0,0))))</f>
        <v/>
      </c>
      <c r="CJ148">
        <f>IF($A148="","",CJ147+MAX(0,G$7+IF($CF147=0,0,IFERROR(INDEX('职业'!I$3:I$152,$CF147)+0,0))))</f>
        <v/>
      </c>
      <c r="CK148">
        <f>IF($A148="","",CK147+MAX(0,H$7+IF($CF147=0,0,IFERROR(INDEX('职业'!J$3:J$152,$CF147)+0,0))))</f>
        <v/>
      </c>
      <c r="CL148">
        <f>IF($A148="","",CL147+MAX(0,I$7+IF($CF147=0,0,IFERROR(INDEX('职业'!K$3:K$152,$CF147)+0,0))))</f>
        <v/>
      </c>
      <c r="CM148">
        <f>IF($A148="","",CM147+MAX(0,J$7+IF($CF147=0,0,IFERROR(INDEX('职业'!L$3:L$152,$CF147)+0,0))))</f>
        <v/>
      </c>
      <c r="CN148">
        <f>IF($A148="","",CN147+MAX(0,K$7+IF($CF147=0,0,IFERROR(INDEX('职业'!M$3:M$152,$CF147)+0,0))))</f>
        <v/>
      </c>
      <c r="CO148">
        <f>IF($A148="","",CO147+MAX(0,L$7+IF($CF147=0,0,IFERROR(INDEX('职业'!N$3:N$152,$CF147)+0,0))))</f>
        <v/>
      </c>
    </row>
    <row r="149">
      <c r="A149" s="15">
        <f>IF(OR($B$9="",$B$10=""),"",IF($B$9+97&lt;=$B$10,$B$9+97,""))</f>
        <v/>
      </c>
      <c r="B149" s="15">
        <f>IF($A149="","",MATCH($A149,$BV$27:$BV$32,1))</f>
        <v/>
      </c>
      <c r="C149" s="15">
        <f>IF($A149="","",INDEX($BW$27:$BW$32,$B149))</f>
        <v/>
      </c>
      <c r="D149" s="15">
        <f>IF($A149="","",D$9+INT(($B$14+CG149)/100))</f>
        <v/>
      </c>
      <c r="E149" s="15">
        <f>IF($A149="","",E$9+INT(($B$14+CH149)/100))</f>
        <v/>
      </c>
      <c r="F149" s="15">
        <f>IF($A149="","",F$9+INT(($B$14+CI149)/100))</f>
        <v/>
      </c>
      <c r="G149" s="15">
        <f>IF($A149="","",G$9+INT(($B$14+CJ149)/100))</f>
        <v/>
      </c>
      <c r="H149" s="15">
        <f>IF($A149="","",H$9+INT(($B$14+CK149)/100))</f>
        <v/>
      </c>
      <c r="I149" s="15">
        <f>IF($A149="","",I$9+INT(($B$14+CL149)/100))</f>
        <v/>
      </c>
      <c r="J149" s="15">
        <f>IF($A149="","",J$9+INT(($B$14+CM149)/100))</f>
        <v/>
      </c>
      <c r="K149" s="15">
        <f>IF($A149="","",K$9+INT(($B$14+CN149)/100))</f>
        <v/>
      </c>
      <c r="L149" s="15">
        <f>IF($A149="","",L$9+INT(($B$14+CO149)/100))</f>
        <v/>
      </c>
      <c r="M149" s="16">
        <f>IF($A149="","",IF($C149&lt;&gt;$C148,"★ 转职 → 【"&amp;$C149&amp;"】","")&amp;IF($A149=$B$10,"（目标等级）",""))</f>
        <v/>
      </c>
      <c r="P149">
        <f>IF('职业'!$C139="","",'职业'!$C139)</f>
        <v/>
      </c>
      <c r="Q149">
        <f>N('职业'!$D139)</f>
        <v/>
      </c>
      <c r="R149">
        <f>'职业'!$E139&amp;""</f>
        <v/>
      </c>
      <c r="S149">
        <f>IF($P149="",0,MAX(0,D$7+N('职业'!F139)))</f>
        <v/>
      </c>
      <c r="T149">
        <f>IF($P149="",0,MAX(0,E$7+N('职业'!G139)))</f>
        <v/>
      </c>
      <c r="U149">
        <f>IF($P149="",0,MAX(0,F$7+N('职业'!H139)))</f>
        <v/>
      </c>
      <c r="V149">
        <f>IF($P149="",0,MAX(0,G$7+N('职业'!I139)))</f>
        <v/>
      </c>
      <c r="W149">
        <f>IF($P149="",0,MAX(0,H$7+N('职业'!J139)))</f>
        <v/>
      </c>
      <c r="X149">
        <f>IF($P149="",0,MAX(0,I$7+N('职业'!K139)))</f>
        <v/>
      </c>
      <c r="Y149">
        <f>IF($P149="",0,MAX(0,J$7+N('职业'!L139)))</f>
        <v/>
      </c>
      <c r="Z149">
        <f>IF($P149="",0,MAX(0,K$7+N('职业'!M139)))</f>
        <v/>
      </c>
      <c r="AA149">
        <f>IF($P149="",0,MAX(0,L$7+N('职业'!N139)))</f>
        <v/>
      </c>
      <c r="AB149">
        <f>AND($P149&lt;&gt;"",IF($U$5=1,$P149=$C$10,OR($P149=$C$9,AND($R149="是",$Q149&lt;=MAX($B$9,$Q$6)))))</f>
        <v/>
      </c>
      <c r="AC149">
        <f>AND($P149&lt;&gt;"",IF($U$5=2,$P149=$C$10,OR($P149=$C$9,AND($R149="是",$Q149&lt;=MAX($B$9,$Q$7)))))</f>
        <v/>
      </c>
      <c r="AD149">
        <f>AND($P149&lt;&gt;"",IF($U$5=3,$P149=$C$10,OR($P149=$C$9,AND($R149="是",$Q149&lt;=MAX($B$9,$Q$8)))))</f>
        <v/>
      </c>
      <c r="AE149">
        <f>IF(AB149,COUNTIF(AB$13:AB149,TRUE),"")</f>
        <v/>
      </c>
      <c r="AF149">
        <f>IF(AC149,COUNTIF(AC$13:AC149,TRUE),"")</f>
        <v/>
      </c>
      <c r="AG149">
        <f>IF(AD149,COUNTIF(AD$13:AD149,TRUE),"")</f>
        <v/>
      </c>
      <c r="AI149">
        <f>IFERROR(INDEX($P$13:$P$162,MATCH(137,$AE$13:$AE$162,0)),"")</f>
        <v/>
      </c>
      <c r="AJ149">
        <f>IFERROR(INDEX(S$13:S$162,MATCH(137,$AE$13:$AE$162,0)),0)*$T$6</f>
        <v/>
      </c>
      <c r="AK149">
        <f>IFERROR(INDEX(T$13:T$162,MATCH(137,$AE$13:$AE$162,0)),0)*$T$6</f>
        <v/>
      </c>
      <c r="AL149">
        <f>IFERROR(INDEX(U$13:U$162,MATCH(137,$AE$13:$AE$162,0)),0)*$T$6</f>
        <v/>
      </c>
      <c r="AM149">
        <f>IFERROR(INDEX(V$13:V$162,MATCH(137,$AE$13:$AE$162,0)),0)*$T$6</f>
        <v/>
      </c>
      <c r="AN149">
        <f>IFERROR(INDEX(W$13:W$162,MATCH(137,$AE$13:$AE$162,0)),0)*$T$6</f>
        <v/>
      </c>
      <c r="AO149">
        <f>IFERROR(INDEX(X$13:X$162,MATCH(137,$AE$13:$AE$162,0)),0)*$T$6</f>
        <v/>
      </c>
      <c r="AP149">
        <f>IFERROR(INDEX(Y$13:Y$162,MATCH(137,$AE$13:$AE$162,0)),0)*$T$6</f>
        <v/>
      </c>
      <c r="AQ149">
        <f>IFERROR(INDEX(Z$13:Z$162,MATCH(137,$AE$13:$AE$162,0)),0)*$T$6</f>
        <v/>
      </c>
      <c r="AR149">
        <f>IFERROR(INDEX(AA$13:AA$162,MATCH(137,$AE$13:$AE$162,0)),0)*$T$6</f>
        <v/>
      </c>
      <c r="AS149">
        <f>IFERROR(INDEX($P$13:$P$162,MATCH(137,$AF$13:$AF$162,0)),"")</f>
        <v/>
      </c>
      <c r="AT149">
        <f>IFERROR(INDEX(S$13:S$162,MATCH(137,$AF$13:$AF$162,0)),0)*$T$7</f>
        <v/>
      </c>
      <c r="AU149">
        <f>IFERROR(INDEX(T$13:T$162,MATCH(137,$AF$13:$AF$162,0)),0)*$T$7</f>
        <v/>
      </c>
      <c r="AV149">
        <f>IFERROR(INDEX(U$13:U$162,MATCH(137,$AF$13:$AF$162,0)),0)*$T$7</f>
        <v/>
      </c>
      <c r="AW149">
        <f>IFERROR(INDEX(V$13:V$162,MATCH(137,$AF$13:$AF$162,0)),0)*$T$7</f>
        <v/>
      </c>
      <c r="AX149">
        <f>IFERROR(INDEX(W$13:W$162,MATCH(137,$AF$13:$AF$162,0)),0)*$T$7</f>
        <v/>
      </c>
      <c r="AY149">
        <f>IFERROR(INDEX(X$13:X$162,MATCH(137,$AF$13:$AF$162,0)),0)*$T$7</f>
        <v/>
      </c>
      <c r="AZ149">
        <f>IFERROR(INDEX(Y$13:Y$162,MATCH(137,$AF$13:$AF$162,0)),0)*$T$7</f>
        <v/>
      </c>
      <c r="BA149">
        <f>IFERROR(INDEX(Z$13:Z$162,MATCH(137,$AF$13:$AF$162,0)),0)*$T$7</f>
        <v/>
      </c>
      <c r="BB149">
        <f>IFERROR(INDEX(AA$13:AA$162,MATCH(137,$AF$13:$AF$162,0)),0)*$T$7</f>
        <v/>
      </c>
      <c r="BC149">
        <f>IFERROR(INDEX($P$13:$P$162,MATCH(137,$AG$13:$AG$162,0)),"")</f>
        <v/>
      </c>
      <c r="BD149">
        <f>IFERROR(INDEX(S$13:S$162,MATCH(137,$AG$13:$AG$162,0)),0)*($T$8+IF($C$10="",$T$9,0))</f>
        <v/>
      </c>
      <c r="BE149">
        <f>IFERROR(INDEX(T$13:T$162,MATCH(137,$AG$13:$AG$162,0)),0)*($T$8+IF($C$10="",$T$9,0))</f>
        <v/>
      </c>
      <c r="BF149">
        <f>IFERROR(INDEX(U$13:U$162,MATCH(137,$AG$13:$AG$162,0)),0)*($T$8+IF($C$10="",$T$9,0))</f>
        <v/>
      </c>
      <c r="BG149">
        <f>IFERROR(INDEX(V$13:V$162,MATCH(137,$AG$13:$AG$162,0)),0)*($T$8+IF($C$10="",$T$9,0))</f>
        <v/>
      </c>
      <c r="BH149">
        <f>IFERROR(INDEX(W$13:W$162,MATCH(137,$AG$13:$AG$162,0)),0)*($T$8+IF($C$10="",$T$9,0))</f>
        <v/>
      </c>
      <c r="BI149">
        <f>IFERROR(INDEX(X$13:X$162,MATCH(137,$AG$13:$AG$162,0)),0)*($T$8+IF($C$10="",$T$9,0))</f>
        <v/>
      </c>
      <c r="BJ149">
        <f>IFERROR(INDEX(Y$13:Y$162,MATCH(137,$AG$13:$AG$162,0)),0)*($T$8+IF($C$10="",$T$9,0))</f>
        <v/>
      </c>
      <c r="BK149">
        <f>IFERROR(INDEX(Z$13:Z$162,MATCH(137,$AG$13:$AG$162,0)),0)*($T$8+IF($C$10="",$T$9,0))</f>
        <v/>
      </c>
      <c r="BL149">
        <f>IFERROR(INDEX(AA$13:AA$162,MATCH(137,$AG$13:$AG$162,0)),0)*($T$8+IF($C$10="",$T$9,0))</f>
        <v/>
      </c>
      <c r="BN149">
        <f>IF(136&lt;$U$9,INT(136/($U$7*$U$8))+1,1)</f>
        <v/>
      </c>
      <c r="BO149">
        <f>IF(136&lt;$U$9,MOD(INT(136/$U$8),$U$7)+1,1)</f>
        <v/>
      </c>
      <c r="BP149">
        <f>IF(136&lt;$U$9,MOD(136,$U$8)+1,1)</f>
        <v/>
      </c>
      <c r="BQ149">
        <f>IF(136&lt;$U$9,SUMPRODUCT(($D$10:$L$10&lt;&gt;"")*(($D$9:$L$9+INT(($S$12:$AA$12+INDEX($AJ$13:$AR$162,BN149,0)+INDEX($AT$13:$BB$162,BO149,0)+INDEX($BD$13:$BL$162,BP149,0))/100))&gt;=$D$10:$L$10)),0)</f>
        <v/>
      </c>
      <c r="BR149">
        <f>IF(136&lt;$U$9,SUMPRODUCT(($D$10:$L$10&lt;&gt;"")*(($D$10:$L$10-($D$9:$L$9+INT(($S$12:$AA$12+INDEX($AJ$13:$AR$162,BN149,0)+INDEX($AT$13:$BB$162,BO149,0)+INDEX($BD$13:$BL$162,BP149,0))/100)))&gt;0)*($D$10:$L$10-($D$9:$L$9+INT(($S$12:$AA$12+INDEX($AJ$13:$AR$162,BN149,0)+INDEX($AT$13:$BB$162,BO149,0)+INDEX($BD$13:$BL$162,BP149,0))/100)))),0)</f>
        <v/>
      </c>
      <c r="BS149">
        <f>IF(136&lt;$U$9,SUMPRODUCT(($D$9:$L$9+INT(($S$12:$AA$12+INDEX($AJ$13:$AR$162,BN149,0)+INDEX($AT$13:$BB$162,BO149,0)+INDEX($BD$13:$BL$162,BP149,0))/100))),0)</f>
        <v/>
      </c>
      <c r="BT149">
        <f>IF(AND(136&lt;$U$9,$W$5),BQ149*1000000-MIN(BR149,999)*1000+BS149-136/100000,-1000000000-136)</f>
        <v/>
      </c>
      <c r="CF149">
        <f>IF($A149="","",IFERROR(MATCH($C149,'职业'!$C$3:$C$152,0),0))</f>
        <v/>
      </c>
      <c r="CG149">
        <f>IF($A149="","",CG148+MAX(0,D$7+IF($CF148=0,0,IFERROR(INDEX('职业'!F$3:F$152,$CF148)+0,0))))</f>
        <v/>
      </c>
      <c r="CH149">
        <f>IF($A149="","",CH148+MAX(0,E$7+IF($CF148=0,0,IFERROR(INDEX('职业'!G$3:G$152,$CF148)+0,0))))</f>
        <v/>
      </c>
      <c r="CI149">
        <f>IF($A149="","",CI148+MAX(0,F$7+IF($CF148=0,0,IFERROR(INDEX('职业'!H$3:H$152,$CF148)+0,0))))</f>
        <v/>
      </c>
      <c r="CJ149">
        <f>IF($A149="","",CJ148+MAX(0,G$7+IF($CF148=0,0,IFERROR(INDEX('职业'!I$3:I$152,$CF148)+0,0))))</f>
        <v/>
      </c>
      <c r="CK149">
        <f>IF($A149="","",CK148+MAX(0,H$7+IF($CF148=0,0,IFERROR(INDEX('职业'!J$3:J$152,$CF148)+0,0))))</f>
        <v/>
      </c>
      <c r="CL149">
        <f>IF($A149="","",CL148+MAX(0,I$7+IF($CF148=0,0,IFERROR(INDEX('职业'!K$3:K$152,$CF148)+0,0))))</f>
        <v/>
      </c>
      <c r="CM149">
        <f>IF($A149="","",CM148+MAX(0,J$7+IF($CF148=0,0,IFERROR(INDEX('职业'!L$3:L$152,$CF148)+0,0))))</f>
        <v/>
      </c>
      <c r="CN149">
        <f>IF($A149="","",CN148+MAX(0,K$7+IF($CF148=0,0,IFERROR(INDEX('职业'!M$3:M$152,$CF148)+0,0))))</f>
        <v/>
      </c>
      <c r="CO149">
        <f>IF($A149="","",CO148+MAX(0,L$7+IF($CF148=0,0,IFERROR(INDEX('职业'!N$3:N$152,$CF148)+0,0))))</f>
        <v/>
      </c>
    </row>
    <row r="150">
      <c r="A150" s="15">
        <f>IF(OR($B$9="",$B$10=""),"",IF($B$9+98&lt;=$B$10,$B$9+98,""))</f>
        <v/>
      </c>
      <c r="B150" s="15">
        <f>IF($A150="","",MATCH($A150,$BV$27:$BV$32,1))</f>
        <v/>
      </c>
      <c r="C150" s="15">
        <f>IF($A150="","",INDEX($BW$27:$BW$32,$B150))</f>
        <v/>
      </c>
      <c r="D150" s="15">
        <f>IF($A150="","",D$9+INT(($B$14+CG150)/100))</f>
        <v/>
      </c>
      <c r="E150" s="15">
        <f>IF($A150="","",E$9+INT(($B$14+CH150)/100))</f>
        <v/>
      </c>
      <c r="F150" s="15">
        <f>IF($A150="","",F$9+INT(($B$14+CI150)/100))</f>
        <v/>
      </c>
      <c r="G150" s="15">
        <f>IF($A150="","",G$9+INT(($B$14+CJ150)/100))</f>
        <v/>
      </c>
      <c r="H150" s="15">
        <f>IF($A150="","",H$9+INT(($B$14+CK150)/100))</f>
        <v/>
      </c>
      <c r="I150" s="15">
        <f>IF($A150="","",I$9+INT(($B$14+CL150)/100))</f>
        <v/>
      </c>
      <c r="J150" s="15">
        <f>IF($A150="","",J$9+INT(($B$14+CM150)/100))</f>
        <v/>
      </c>
      <c r="K150" s="15">
        <f>IF($A150="","",K$9+INT(($B$14+CN150)/100))</f>
        <v/>
      </c>
      <c r="L150" s="15">
        <f>IF($A150="","",L$9+INT(($B$14+CO150)/100))</f>
        <v/>
      </c>
      <c r="M150" s="16">
        <f>IF($A150="","",IF($C150&lt;&gt;$C149,"★ 转职 → 【"&amp;$C150&amp;"】","")&amp;IF($A150=$B$10,"（目标等级）",""))</f>
        <v/>
      </c>
      <c r="P150">
        <f>IF('职业'!$C140="","",'职业'!$C140)</f>
        <v/>
      </c>
      <c r="Q150">
        <f>N('职业'!$D140)</f>
        <v/>
      </c>
      <c r="R150">
        <f>'职业'!$E140&amp;""</f>
        <v/>
      </c>
      <c r="S150">
        <f>IF($P150="",0,MAX(0,D$7+N('职业'!F140)))</f>
        <v/>
      </c>
      <c r="T150">
        <f>IF($P150="",0,MAX(0,E$7+N('职业'!G140)))</f>
        <v/>
      </c>
      <c r="U150">
        <f>IF($P150="",0,MAX(0,F$7+N('职业'!H140)))</f>
        <v/>
      </c>
      <c r="V150">
        <f>IF($P150="",0,MAX(0,G$7+N('职业'!I140)))</f>
        <v/>
      </c>
      <c r="W150">
        <f>IF($P150="",0,MAX(0,H$7+N('职业'!J140)))</f>
        <v/>
      </c>
      <c r="X150">
        <f>IF($P150="",0,MAX(0,I$7+N('职业'!K140)))</f>
        <v/>
      </c>
      <c r="Y150">
        <f>IF($P150="",0,MAX(0,J$7+N('职业'!L140)))</f>
        <v/>
      </c>
      <c r="Z150">
        <f>IF($P150="",0,MAX(0,K$7+N('职业'!M140)))</f>
        <v/>
      </c>
      <c r="AA150">
        <f>IF($P150="",0,MAX(0,L$7+N('职业'!N140)))</f>
        <v/>
      </c>
      <c r="AB150">
        <f>AND($P150&lt;&gt;"",IF($U$5=1,$P150=$C$10,OR($P150=$C$9,AND($R150="是",$Q150&lt;=MAX($B$9,$Q$6)))))</f>
        <v/>
      </c>
      <c r="AC150">
        <f>AND($P150&lt;&gt;"",IF($U$5=2,$P150=$C$10,OR($P150=$C$9,AND($R150="是",$Q150&lt;=MAX($B$9,$Q$7)))))</f>
        <v/>
      </c>
      <c r="AD150">
        <f>AND($P150&lt;&gt;"",IF($U$5=3,$P150=$C$10,OR($P150=$C$9,AND($R150="是",$Q150&lt;=MAX($B$9,$Q$8)))))</f>
        <v/>
      </c>
      <c r="AE150">
        <f>IF(AB150,COUNTIF(AB$13:AB150,TRUE),"")</f>
        <v/>
      </c>
      <c r="AF150">
        <f>IF(AC150,COUNTIF(AC$13:AC150,TRUE),"")</f>
        <v/>
      </c>
      <c r="AG150">
        <f>IF(AD150,COUNTIF(AD$13:AD150,TRUE),"")</f>
        <v/>
      </c>
      <c r="AI150">
        <f>IFERROR(INDEX($P$13:$P$162,MATCH(138,$AE$13:$AE$162,0)),"")</f>
        <v/>
      </c>
      <c r="AJ150">
        <f>IFERROR(INDEX(S$13:S$162,MATCH(138,$AE$13:$AE$162,0)),0)*$T$6</f>
        <v/>
      </c>
      <c r="AK150">
        <f>IFERROR(INDEX(T$13:T$162,MATCH(138,$AE$13:$AE$162,0)),0)*$T$6</f>
        <v/>
      </c>
      <c r="AL150">
        <f>IFERROR(INDEX(U$13:U$162,MATCH(138,$AE$13:$AE$162,0)),0)*$T$6</f>
        <v/>
      </c>
      <c r="AM150">
        <f>IFERROR(INDEX(V$13:V$162,MATCH(138,$AE$13:$AE$162,0)),0)*$T$6</f>
        <v/>
      </c>
      <c r="AN150">
        <f>IFERROR(INDEX(W$13:W$162,MATCH(138,$AE$13:$AE$162,0)),0)*$T$6</f>
        <v/>
      </c>
      <c r="AO150">
        <f>IFERROR(INDEX(X$13:X$162,MATCH(138,$AE$13:$AE$162,0)),0)*$T$6</f>
        <v/>
      </c>
      <c r="AP150">
        <f>IFERROR(INDEX(Y$13:Y$162,MATCH(138,$AE$13:$AE$162,0)),0)*$T$6</f>
        <v/>
      </c>
      <c r="AQ150">
        <f>IFERROR(INDEX(Z$13:Z$162,MATCH(138,$AE$13:$AE$162,0)),0)*$T$6</f>
        <v/>
      </c>
      <c r="AR150">
        <f>IFERROR(INDEX(AA$13:AA$162,MATCH(138,$AE$13:$AE$162,0)),0)*$T$6</f>
        <v/>
      </c>
      <c r="AS150">
        <f>IFERROR(INDEX($P$13:$P$162,MATCH(138,$AF$13:$AF$162,0)),"")</f>
        <v/>
      </c>
      <c r="AT150">
        <f>IFERROR(INDEX(S$13:S$162,MATCH(138,$AF$13:$AF$162,0)),0)*$T$7</f>
        <v/>
      </c>
      <c r="AU150">
        <f>IFERROR(INDEX(T$13:T$162,MATCH(138,$AF$13:$AF$162,0)),0)*$T$7</f>
        <v/>
      </c>
      <c r="AV150">
        <f>IFERROR(INDEX(U$13:U$162,MATCH(138,$AF$13:$AF$162,0)),0)*$T$7</f>
        <v/>
      </c>
      <c r="AW150">
        <f>IFERROR(INDEX(V$13:V$162,MATCH(138,$AF$13:$AF$162,0)),0)*$T$7</f>
        <v/>
      </c>
      <c r="AX150">
        <f>IFERROR(INDEX(W$13:W$162,MATCH(138,$AF$13:$AF$162,0)),0)*$T$7</f>
        <v/>
      </c>
      <c r="AY150">
        <f>IFERROR(INDEX(X$13:X$162,MATCH(138,$AF$13:$AF$162,0)),0)*$T$7</f>
        <v/>
      </c>
      <c r="AZ150">
        <f>IFERROR(INDEX(Y$13:Y$162,MATCH(138,$AF$13:$AF$162,0)),0)*$T$7</f>
        <v/>
      </c>
      <c r="BA150">
        <f>IFERROR(INDEX(Z$13:Z$162,MATCH(138,$AF$13:$AF$162,0)),0)*$T$7</f>
        <v/>
      </c>
      <c r="BB150">
        <f>IFERROR(INDEX(AA$13:AA$162,MATCH(138,$AF$13:$AF$162,0)),0)*$T$7</f>
        <v/>
      </c>
      <c r="BC150">
        <f>IFERROR(INDEX($P$13:$P$162,MATCH(138,$AG$13:$AG$162,0)),"")</f>
        <v/>
      </c>
      <c r="BD150">
        <f>IFERROR(INDEX(S$13:S$162,MATCH(138,$AG$13:$AG$162,0)),0)*($T$8+IF($C$10="",$T$9,0))</f>
        <v/>
      </c>
      <c r="BE150">
        <f>IFERROR(INDEX(T$13:T$162,MATCH(138,$AG$13:$AG$162,0)),0)*($T$8+IF($C$10="",$T$9,0))</f>
        <v/>
      </c>
      <c r="BF150">
        <f>IFERROR(INDEX(U$13:U$162,MATCH(138,$AG$13:$AG$162,0)),0)*($T$8+IF($C$10="",$T$9,0))</f>
        <v/>
      </c>
      <c r="BG150">
        <f>IFERROR(INDEX(V$13:V$162,MATCH(138,$AG$13:$AG$162,0)),0)*($T$8+IF($C$10="",$T$9,0))</f>
        <v/>
      </c>
      <c r="BH150">
        <f>IFERROR(INDEX(W$13:W$162,MATCH(138,$AG$13:$AG$162,0)),0)*($T$8+IF($C$10="",$T$9,0))</f>
        <v/>
      </c>
      <c r="BI150">
        <f>IFERROR(INDEX(X$13:X$162,MATCH(138,$AG$13:$AG$162,0)),0)*($T$8+IF($C$10="",$T$9,0))</f>
        <v/>
      </c>
      <c r="BJ150">
        <f>IFERROR(INDEX(Y$13:Y$162,MATCH(138,$AG$13:$AG$162,0)),0)*($T$8+IF($C$10="",$T$9,0))</f>
        <v/>
      </c>
      <c r="BK150">
        <f>IFERROR(INDEX(Z$13:Z$162,MATCH(138,$AG$13:$AG$162,0)),0)*($T$8+IF($C$10="",$T$9,0))</f>
        <v/>
      </c>
      <c r="BL150">
        <f>IFERROR(INDEX(AA$13:AA$162,MATCH(138,$AG$13:$AG$162,0)),0)*($T$8+IF($C$10="",$T$9,0))</f>
        <v/>
      </c>
      <c r="BN150">
        <f>IF(137&lt;$U$9,INT(137/($U$7*$U$8))+1,1)</f>
        <v/>
      </c>
      <c r="BO150">
        <f>IF(137&lt;$U$9,MOD(INT(137/$U$8),$U$7)+1,1)</f>
        <v/>
      </c>
      <c r="BP150">
        <f>IF(137&lt;$U$9,MOD(137,$U$8)+1,1)</f>
        <v/>
      </c>
      <c r="BQ150">
        <f>IF(137&lt;$U$9,SUMPRODUCT(($D$10:$L$10&lt;&gt;"")*(($D$9:$L$9+INT(($S$12:$AA$12+INDEX($AJ$13:$AR$162,BN150,0)+INDEX($AT$13:$BB$162,BO150,0)+INDEX($BD$13:$BL$162,BP150,0))/100))&gt;=$D$10:$L$10)),0)</f>
        <v/>
      </c>
      <c r="BR150">
        <f>IF(137&lt;$U$9,SUMPRODUCT(($D$10:$L$10&lt;&gt;"")*(($D$10:$L$10-($D$9:$L$9+INT(($S$12:$AA$12+INDEX($AJ$13:$AR$162,BN150,0)+INDEX($AT$13:$BB$162,BO150,0)+INDEX($BD$13:$BL$162,BP150,0))/100)))&gt;0)*($D$10:$L$10-($D$9:$L$9+INT(($S$12:$AA$12+INDEX($AJ$13:$AR$162,BN150,0)+INDEX($AT$13:$BB$162,BO150,0)+INDEX($BD$13:$BL$162,BP150,0))/100)))),0)</f>
        <v/>
      </c>
      <c r="BS150">
        <f>IF(137&lt;$U$9,SUMPRODUCT(($D$9:$L$9+INT(($S$12:$AA$12+INDEX($AJ$13:$AR$162,BN150,0)+INDEX($AT$13:$BB$162,BO150,0)+INDEX($BD$13:$BL$162,BP150,0))/100))),0)</f>
        <v/>
      </c>
      <c r="BT150">
        <f>IF(AND(137&lt;$U$9,$W$5),BQ150*1000000-MIN(BR150,999)*1000+BS150-137/100000,-1000000000-137)</f>
        <v/>
      </c>
      <c r="CF150">
        <f>IF($A150="","",IFERROR(MATCH($C150,'职业'!$C$3:$C$152,0),0))</f>
        <v/>
      </c>
      <c r="CG150">
        <f>IF($A150="","",CG149+MAX(0,D$7+IF($CF149=0,0,IFERROR(INDEX('职业'!F$3:F$152,$CF149)+0,0))))</f>
        <v/>
      </c>
      <c r="CH150">
        <f>IF($A150="","",CH149+MAX(0,E$7+IF($CF149=0,0,IFERROR(INDEX('职业'!G$3:G$152,$CF149)+0,0))))</f>
        <v/>
      </c>
      <c r="CI150">
        <f>IF($A150="","",CI149+MAX(0,F$7+IF($CF149=0,0,IFERROR(INDEX('职业'!H$3:H$152,$CF149)+0,0))))</f>
        <v/>
      </c>
      <c r="CJ150">
        <f>IF($A150="","",CJ149+MAX(0,G$7+IF($CF149=0,0,IFERROR(INDEX('职业'!I$3:I$152,$CF149)+0,0))))</f>
        <v/>
      </c>
      <c r="CK150">
        <f>IF($A150="","",CK149+MAX(0,H$7+IF($CF149=0,0,IFERROR(INDEX('职业'!J$3:J$152,$CF149)+0,0))))</f>
        <v/>
      </c>
      <c r="CL150">
        <f>IF($A150="","",CL149+MAX(0,I$7+IF($CF149=0,0,IFERROR(INDEX('职业'!K$3:K$152,$CF149)+0,0))))</f>
        <v/>
      </c>
      <c r="CM150">
        <f>IF($A150="","",CM149+MAX(0,J$7+IF($CF149=0,0,IFERROR(INDEX('职业'!L$3:L$152,$CF149)+0,0))))</f>
        <v/>
      </c>
      <c r="CN150">
        <f>IF($A150="","",CN149+MAX(0,K$7+IF($CF149=0,0,IFERROR(INDEX('职业'!M$3:M$152,$CF149)+0,0))))</f>
        <v/>
      </c>
      <c r="CO150">
        <f>IF($A150="","",CO149+MAX(0,L$7+IF($CF149=0,0,IFERROR(INDEX('职业'!N$3:N$152,$CF149)+0,0))))</f>
        <v/>
      </c>
    </row>
    <row r="151">
      <c r="A151" s="15">
        <f>IF(OR($B$9="",$B$10=""),"",IF($B$9+99&lt;=$B$10,$B$9+99,""))</f>
        <v/>
      </c>
      <c r="B151" s="15">
        <f>IF($A151="","",MATCH($A151,$BV$27:$BV$32,1))</f>
        <v/>
      </c>
      <c r="C151" s="15">
        <f>IF($A151="","",INDEX($BW$27:$BW$32,$B151))</f>
        <v/>
      </c>
      <c r="D151" s="15">
        <f>IF($A151="","",D$9+INT(($B$14+CG151)/100))</f>
        <v/>
      </c>
      <c r="E151" s="15">
        <f>IF($A151="","",E$9+INT(($B$14+CH151)/100))</f>
        <v/>
      </c>
      <c r="F151" s="15">
        <f>IF($A151="","",F$9+INT(($B$14+CI151)/100))</f>
        <v/>
      </c>
      <c r="G151" s="15">
        <f>IF($A151="","",G$9+INT(($B$14+CJ151)/100))</f>
        <v/>
      </c>
      <c r="H151" s="15">
        <f>IF($A151="","",H$9+INT(($B$14+CK151)/100))</f>
        <v/>
      </c>
      <c r="I151" s="15">
        <f>IF($A151="","",I$9+INT(($B$14+CL151)/100))</f>
        <v/>
      </c>
      <c r="J151" s="15">
        <f>IF($A151="","",J$9+INT(($B$14+CM151)/100))</f>
        <v/>
      </c>
      <c r="K151" s="15">
        <f>IF($A151="","",K$9+INT(($B$14+CN151)/100))</f>
        <v/>
      </c>
      <c r="L151" s="15">
        <f>IF($A151="","",L$9+INT(($B$14+CO151)/100))</f>
        <v/>
      </c>
      <c r="M151" s="16">
        <f>IF($A151="","",IF($C151&lt;&gt;$C150,"★ 转职 → 【"&amp;$C151&amp;"】","")&amp;IF($A151=$B$10,"（目标等级）",""))</f>
        <v/>
      </c>
      <c r="P151">
        <f>IF('职业'!$C141="","",'职业'!$C141)</f>
        <v/>
      </c>
      <c r="Q151">
        <f>N('职业'!$D141)</f>
        <v/>
      </c>
      <c r="R151">
        <f>'职业'!$E141&amp;""</f>
        <v/>
      </c>
      <c r="S151">
        <f>IF($P151="",0,MAX(0,D$7+N('职业'!F141)))</f>
        <v/>
      </c>
      <c r="T151">
        <f>IF($P151="",0,MAX(0,E$7+N('职业'!G141)))</f>
        <v/>
      </c>
      <c r="U151">
        <f>IF($P151="",0,MAX(0,F$7+N('职业'!H141)))</f>
        <v/>
      </c>
      <c r="V151">
        <f>IF($P151="",0,MAX(0,G$7+N('职业'!I141)))</f>
        <v/>
      </c>
      <c r="W151">
        <f>IF($P151="",0,MAX(0,H$7+N('职业'!J141)))</f>
        <v/>
      </c>
      <c r="X151">
        <f>IF($P151="",0,MAX(0,I$7+N('职业'!K141)))</f>
        <v/>
      </c>
      <c r="Y151">
        <f>IF($P151="",0,MAX(0,J$7+N('职业'!L141)))</f>
        <v/>
      </c>
      <c r="Z151">
        <f>IF($P151="",0,MAX(0,K$7+N('职业'!M141)))</f>
        <v/>
      </c>
      <c r="AA151">
        <f>IF($P151="",0,MAX(0,L$7+N('职业'!N141)))</f>
        <v/>
      </c>
      <c r="AB151">
        <f>AND($P151&lt;&gt;"",IF($U$5=1,$P151=$C$10,OR($P151=$C$9,AND($R151="是",$Q151&lt;=MAX($B$9,$Q$6)))))</f>
        <v/>
      </c>
      <c r="AC151">
        <f>AND($P151&lt;&gt;"",IF($U$5=2,$P151=$C$10,OR($P151=$C$9,AND($R151="是",$Q151&lt;=MAX($B$9,$Q$7)))))</f>
        <v/>
      </c>
      <c r="AD151">
        <f>AND($P151&lt;&gt;"",IF($U$5=3,$P151=$C$10,OR($P151=$C$9,AND($R151="是",$Q151&lt;=MAX($B$9,$Q$8)))))</f>
        <v/>
      </c>
      <c r="AE151">
        <f>IF(AB151,COUNTIF(AB$13:AB151,TRUE),"")</f>
        <v/>
      </c>
      <c r="AF151">
        <f>IF(AC151,COUNTIF(AC$13:AC151,TRUE),"")</f>
        <v/>
      </c>
      <c r="AG151">
        <f>IF(AD151,COUNTIF(AD$13:AD151,TRUE),"")</f>
        <v/>
      </c>
      <c r="AI151">
        <f>IFERROR(INDEX($P$13:$P$162,MATCH(139,$AE$13:$AE$162,0)),"")</f>
        <v/>
      </c>
      <c r="AJ151">
        <f>IFERROR(INDEX(S$13:S$162,MATCH(139,$AE$13:$AE$162,0)),0)*$T$6</f>
        <v/>
      </c>
      <c r="AK151">
        <f>IFERROR(INDEX(T$13:T$162,MATCH(139,$AE$13:$AE$162,0)),0)*$T$6</f>
        <v/>
      </c>
      <c r="AL151">
        <f>IFERROR(INDEX(U$13:U$162,MATCH(139,$AE$13:$AE$162,0)),0)*$T$6</f>
        <v/>
      </c>
      <c r="AM151">
        <f>IFERROR(INDEX(V$13:V$162,MATCH(139,$AE$13:$AE$162,0)),0)*$T$6</f>
        <v/>
      </c>
      <c r="AN151">
        <f>IFERROR(INDEX(W$13:W$162,MATCH(139,$AE$13:$AE$162,0)),0)*$T$6</f>
        <v/>
      </c>
      <c r="AO151">
        <f>IFERROR(INDEX(X$13:X$162,MATCH(139,$AE$13:$AE$162,0)),0)*$T$6</f>
        <v/>
      </c>
      <c r="AP151">
        <f>IFERROR(INDEX(Y$13:Y$162,MATCH(139,$AE$13:$AE$162,0)),0)*$T$6</f>
        <v/>
      </c>
      <c r="AQ151">
        <f>IFERROR(INDEX(Z$13:Z$162,MATCH(139,$AE$13:$AE$162,0)),0)*$T$6</f>
        <v/>
      </c>
      <c r="AR151">
        <f>IFERROR(INDEX(AA$13:AA$162,MATCH(139,$AE$13:$AE$162,0)),0)*$T$6</f>
        <v/>
      </c>
      <c r="AS151">
        <f>IFERROR(INDEX($P$13:$P$162,MATCH(139,$AF$13:$AF$162,0)),"")</f>
        <v/>
      </c>
      <c r="AT151">
        <f>IFERROR(INDEX(S$13:S$162,MATCH(139,$AF$13:$AF$162,0)),0)*$T$7</f>
        <v/>
      </c>
      <c r="AU151">
        <f>IFERROR(INDEX(T$13:T$162,MATCH(139,$AF$13:$AF$162,0)),0)*$T$7</f>
        <v/>
      </c>
      <c r="AV151">
        <f>IFERROR(INDEX(U$13:U$162,MATCH(139,$AF$13:$AF$162,0)),0)*$T$7</f>
        <v/>
      </c>
      <c r="AW151">
        <f>IFERROR(INDEX(V$13:V$162,MATCH(139,$AF$13:$AF$162,0)),0)*$T$7</f>
        <v/>
      </c>
      <c r="AX151">
        <f>IFERROR(INDEX(W$13:W$162,MATCH(139,$AF$13:$AF$162,0)),0)*$T$7</f>
        <v/>
      </c>
      <c r="AY151">
        <f>IFERROR(INDEX(X$13:X$162,MATCH(139,$AF$13:$AF$162,0)),0)*$T$7</f>
        <v/>
      </c>
      <c r="AZ151">
        <f>IFERROR(INDEX(Y$13:Y$162,MATCH(139,$AF$13:$AF$162,0)),0)*$T$7</f>
        <v/>
      </c>
      <c r="BA151">
        <f>IFERROR(INDEX(Z$13:Z$162,MATCH(139,$AF$13:$AF$162,0)),0)*$T$7</f>
        <v/>
      </c>
      <c r="BB151">
        <f>IFERROR(INDEX(AA$13:AA$162,MATCH(139,$AF$13:$AF$162,0)),0)*$T$7</f>
        <v/>
      </c>
      <c r="BC151">
        <f>IFERROR(INDEX($P$13:$P$162,MATCH(139,$AG$13:$AG$162,0)),"")</f>
        <v/>
      </c>
      <c r="BD151">
        <f>IFERROR(INDEX(S$13:S$162,MATCH(139,$AG$13:$AG$162,0)),0)*($T$8+IF($C$10="",$T$9,0))</f>
        <v/>
      </c>
      <c r="BE151">
        <f>IFERROR(INDEX(T$13:T$162,MATCH(139,$AG$13:$AG$162,0)),0)*($T$8+IF($C$10="",$T$9,0))</f>
        <v/>
      </c>
      <c r="BF151">
        <f>IFERROR(INDEX(U$13:U$162,MATCH(139,$AG$13:$AG$162,0)),0)*($T$8+IF($C$10="",$T$9,0))</f>
        <v/>
      </c>
      <c r="BG151">
        <f>IFERROR(INDEX(V$13:V$162,MATCH(139,$AG$13:$AG$162,0)),0)*($T$8+IF($C$10="",$T$9,0))</f>
        <v/>
      </c>
      <c r="BH151">
        <f>IFERROR(INDEX(W$13:W$162,MATCH(139,$AG$13:$AG$162,0)),0)*($T$8+IF($C$10="",$T$9,0))</f>
        <v/>
      </c>
      <c r="BI151">
        <f>IFERROR(INDEX(X$13:X$162,MATCH(139,$AG$13:$AG$162,0)),0)*($T$8+IF($C$10="",$T$9,0))</f>
        <v/>
      </c>
      <c r="BJ151">
        <f>IFERROR(INDEX(Y$13:Y$162,MATCH(139,$AG$13:$AG$162,0)),0)*($T$8+IF($C$10="",$T$9,0))</f>
        <v/>
      </c>
      <c r="BK151">
        <f>IFERROR(INDEX(Z$13:Z$162,MATCH(139,$AG$13:$AG$162,0)),0)*($T$8+IF($C$10="",$T$9,0))</f>
        <v/>
      </c>
      <c r="BL151">
        <f>IFERROR(INDEX(AA$13:AA$162,MATCH(139,$AG$13:$AG$162,0)),0)*($T$8+IF($C$10="",$T$9,0))</f>
        <v/>
      </c>
      <c r="BN151">
        <f>IF(138&lt;$U$9,INT(138/($U$7*$U$8))+1,1)</f>
        <v/>
      </c>
      <c r="BO151">
        <f>IF(138&lt;$U$9,MOD(INT(138/$U$8),$U$7)+1,1)</f>
        <v/>
      </c>
      <c r="BP151">
        <f>IF(138&lt;$U$9,MOD(138,$U$8)+1,1)</f>
        <v/>
      </c>
      <c r="BQ151">
        <f>IF(138&lt;$U$9,SUMPRODUCT(($D$10:$L$10&lt;&gt;"")*(($D$9:$L$9+INT(($S$12:$AA$12+INDEX($AJ$13:$AR$162,BN151,0)+INDEX($AT$13:$BB$162,BO151,0)+INDEX($BD$13:$BL$162,BP151,0))/100))&gt;=$D$10:$L$10)),0)</f>
        <v/>
      </c>
      <c r="BR151">
        <f>IF(138&lt;$U$9,SUMPRODUCT(($D$10:$L$10&lt;&gt;"")*(($D$10:$L$10-($D$9:$L$9+INT(($S$12:$AA$12+INDEX($AJ$13:$AR$162,BN151,0)+INDEX($AT$13:$BB$162,BO151,0)+INDEX($BD$13:$BL$162,BP151,0))/100)))&gt;0)*($D$10:$L$10-($D$9:$L$9+INT(($S$12:$AA$12+INDEX($AJ$13:$AR$162,BN151,0)+INDEX($AT$13:$BB$162,BO151,0)+INDEX($BD$13:$BL$162,BP151,0))/100)))),0)</f>
        <v/>
      </c>
      <c r="BS151">
        <f>IF(138&lt;$U$9,SUMPRODUCT(($D$9:$L$9+INT(($S$12:$AA$12+INDEX($AJ$13:$AR$162,BN151,0)+INDEX($AT$13:$BB$162,BO151,0)+INDEX($BD$13:$BL$162,BP151,0))/100))),0)</f>
        <v/>
      </c>
      <c r="BT151">
        <f>IF(AND(138&lt;$U$9,$W$5),BQ151*1000000-MIN(BR151,999)*1000+BS151-138/100000,-1000000000-138)</f>
        <v/>
      </c>
      <c r="CF151">
        <f>IF($A151="","",IFERROR(MATCH($C151,'职业'!$C$3:$C$152,0),0))</f>
        <v/>
      </c>
      <c r="CG151">
        <f>IF($A151="","",CG150+MAX(0,D$7+IF($CF150=0,0,IFERROR(INDEX('职业'!F$3:F$152,$CF150)+0,0))))</f>
        <v/>
      </c>
      <c r="CH151">
        <f>IF($A151="","",CH150+MAX(0,E$7+IF($CF150=0,0,IFERROR(INDEX('职业'!G$3:G$152,$CF150)+0,0))))</f>
        <v/>
      </c>
      <c r="CI151">
        <f>IF($A151="","",CI150+MAX(0,F$7+IF($CF150=0,0,IFERROR(INDEX('职业'!H$3:H$152,$CF150)+0,0))))</f>
        <v/>
      </c>
      <c r="CJ151">
        <f>IF($A151="","",CJ150+MAX(0,G$7+IF($CF150=0,0,IFERROR(INDEX('职业'!I$3:I$152,$CF150)+0,0))))</f>
        <v/>
      </c>
      <c r="CK151">
        <f>IF($A151="","",CK150+MAX(0,H$7+IF($CF150=0,0,IFERROR(INDEX('职业'!J$3:J$152,$CF150)+0,0))))</f>
        <v/>
      </c>
      <c r="CL151">
        <f>IF($A151="","",CL150+MAX(0,I$7+IF($CF150=0,0,IFERROR(INDEX('职业'!K$3:K$152,$CF150)+0,0))))</f>
        <v/>
      </c>
      <c r="CM151">
        <f>IF($A151="","",CM150+MAX(0,J$7+IF($CF150=0,0,IFERROR(INDEX('职业'!L$3:L$152,$CF150)+0,0))))</f>
        <v/>
      </c>
      <c r="CN151">
        <f>IF($A151="","",CN150+MAX(0,K$7+IF($CF150=0,0,IFERROR(INDEX('职业'!M$3:M$152,$CF150)+0,0))))</f>
        <v/>
      </c>
      <c r="CO151">
        <f>IF($A151="","",CO150+MAX(0,L$7+IF($CF150=0,0,IFERROR(INDEX('职业'!N$3:N$152,$CF150)+0,0))))</f>
        <v/>
      </c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P152">
        <f>IF('职业'!$C142="","",'职业'!$C142)</f>
        <v/>
      </c>
      <c r="Q152">
        <f>N('职业'!$D142)</f>
        <v/>
      </c>
      <c r="R152">
        <f>'职业'!$E142&amp;""</f>
        <v/>
      </c>
      <c r="S152">
        <f>IF($P152="",0,MAX(0,D$7+N('职业'!F142)))</f>
        <v/>
      </c>
      <c r="T152">
        <f>IF($P152="",0,MAX(0,E$7+N('职业'!G142)))</f>
        <v/>
      </c>
      <c r="U152">
        <f>IF($P152="",0,MAX(0,F$7+N('职业'!H142)))</f>
        <v/>
      </c>
      <c r="V152">
        <f>IF($P152="",0,MAX(0,G$7+N('职业'!I142)))</f>
        <v/>
      </c>
      <c r="W152">
        <f>IF($P152="",0,MAX(0,H$7+N('职业'!J142)))</f>
        <v/>
      </c>
      <c r="X152">
        <f>IF($P152="",0,MAX(0,I$7+N('职业'!K142)))</f>
        <v/>
      </c>
      <c r="Y152">
        <f>IF($P152="",0,MAX(0,J$7+N('职业'!L142)))</f>
        <v/>
      </c>
      <c r="Z152">
        <f>IF($P152="",0,MAX(0,K$7+N('职业'!M142)))</f>
        <v/>
      </c>
      <c r="AA152">
        <f>IF($P152="",0,MAX(0,L$7+N('职业'!N142)))</f>
        <v/>
      </c>
      <c r="AB152">
        <f>AND($P152&lt;&gt;"",IF($U$5=1,$P152=$C$10,OR($P152=$C$9,AND($R152="是",$Q152&lt;=MAX($B$9,$Q$6)))))</f>
        <v/>
      </c>
      <c r="AC152">
        <f>AND($P152&lt;&gt;"",IF($U$5=2,$P152=$C$10,OR($P152=$C$9,AND($R152="是",$Q152&lt;=MAX($B$9,$Q$7)))))</f>
        <v/>
      </c>
      <c r="AD152">
        <f>AND($P152&lt;&gt;"",IF($U$5=3,$P152=$C$10,OR($P152=$C$9,AND($R152="是",$Q152&lt;=MAX($B$9,$Q$8)))))</f>
        <v/>
      </c>
      <c r="AE152">
        <f>IF(AB152,COUNTIF(AB$13:AB152,TRUE),"")</f>
        <v/>
      </c>
      <c r="AF152">
        <f>IF(AC152,COUNTIF(AC$13:AC152,TRUE),"")</f>
        <v/>
      </c>
      <c r="AG152">
        <f>IF(AD152,COUNTIF(AD$13:AD152,TRUE),"")</f>
        <v/>
      </c>
      <c r="AI152">
        <f>IFERROR(INDEX($P$13:$P$162,MATCH(140,$AE$13:$AE$162,0)),"")</f>
        <v/>
      </c>
      <c r="AJ152">
        <f>IFERROR(INDEX(S$13:S$162,MATCH(140,$AE$13:$AE$162,0)),0)*$T$6</f>
        <v/>
      </c>
      <c r="AK152">
        <f>IFERROR(INDEX(T$13:T$162,MATCH(140,$AE$13:$AE$162,0)),0)*$T$6</f>
        <v/>
      </c>
      <c r="AL152">
        <f>IFERROR(INDEX(U$13:U$162,MATCH(140,$AE$13:$AE$162,0)),0)*$T$6</f>
        <v/>
      </c>
      <c r="AM152">
        <f>IFERROR(INDEX(V$13:V$162,MATCH(140,$AE$13:$AE$162,0)),0)*$T$6</f>
        <v/>
      </c>
      <c r="AN152">
        <f>IFERROR(INDEX(W$13:W$162,MATCH(140,$AE$13:$AE$162,0)),0)*$T$6</f>
        <v/>
      </c>
      <c r="AO152">
        <f>IFERROR(INDEX(X$13:X$162,MATCH(140,$AE$13:$AE$162,0)),0)*$T$6</f>
        <v/>
      </c>
      <c r="AP152">
        <f>IFERROR(INDEX(Y$13:Y$162,MATCH(140,$AE$13:$AE$162,0)),0)*$T$6</f>
        <v/>
      </c>
      <c r="AQ152">
        <f>IFERROR(INDEX(Z$13:Z$162,MATCH(140,$AE$13:$AE$162,0)),0)*$T$6</f>
        <v/>
      </c>
      <c r="AR152">
        <f>IFERROR(INDEX(AA$13:AA$162,MATCH(140,$AE$13:$AE$162,0)),0)*$T$6</f>
        <v/>
      </c>
      <c r="AS152">
        <f>IFERROR(INDEX($P$13:$P$162,MATCH(140,$AF$13:$AF$162,0)),"")</f>
        <v/>
      </c>
      <c r="AT152">
        <f>IFERROR(INDEX(S$13:S$162,MATCH(140,$AF$13:$AF$162,0)),0)*$T$7</f>
        <v/>
      </c>
      <c r="AU152">
        <f>IFERROR(INDEX(T$13:T$162,MATCH(140,$AF$13:$AF$162,0)),0)*$T$7</f>
        <v/>
      </c>
      <c r="AV152">
        <f>IFERROR(INDEX(U$13:U$162,MATCH(140,$AF$13:$AF$162,0)),0)*$T$7</f>
        <v/>
      </c>
      <c r="AW152">
        <f>IFERROR(INDEX(V$13:V$162,MATCH(140,$AF$13:$AF$162,0)),0)*$T$7</f>
        <v/>
      </c>
      <c r="AX152">
        <f>IFERROR(INDEX(W$13:W$162,MATCH(140,$AF$13:$AF$162,0)),0)*$T$7</f>
        <v/>
      </c>
      <c r="AY152">
        <f>IFERROR(INDEX(X$13:X$162,MATCH(140,$AF$13:$AF$162,0)),0)*$T$7</f>
        <v/>
      </c>
      <c r="AZ152">
        <f>IFERROR(INDEX(Y$13:Y$162,MATCH(140,$AF$13:$AF$162,0)),0)*$T$7</f>
        <v/>
      </c>
      <c r="BA152">
        <f>IFERROR(INDEX(Z$13:Z$162,MATCH(140,$AF$13:$AF$162,0)),0)*$T$7</f>
        <v/>
      </c>
      <c r="BB152">
        <f>IFERROR(INDEX(AA$13:AA$162,MATCH(140,$AF$13:$AF$162,0)),0)*$T$7</f>
        <v/>
      </c>
      <c r="BC152">
        <f>IFERROR(INDEX($P$13:$P$162,MATCH(140,$AG$13:$AG$162,0)),"")</f>
        <v/>
      </c>
      <c r="BD152">
        <f>IFERROR(INDEX(S$13:S$162,MATCH(140,$AG$13:$AG$162,0)),0)*($T$8+IF($C$10="",$T$9,0))</f>
        <v/>
      </c>
      <c r="BE152">
        <f>IFERROR(INDEX(T$13:T$162,MATCH(140,$AG$13:$AG$162,0)),0)*($T$8+IF($C$10="",$T$9,0))</f>
        <v/>
      </c>
      <c r="BF152">
        <f>IFERROR(INDEX(U$13:U$162,MATCH(140,$AG$13:$AG$162,0)),0)*($T$8+IF($C$10="",$T$9,0))</f>
        <v/>
      </c>
      <c r="BG152">
        <f>IFERROR(INDEX(V$13:V$162,MATCH(140,$AG$13:$AG$162,0)),0)*($T$8+IF($C$10="",$T$9,0))</f>
        <v/>
      </c>
      <c r="BH152">
        <f>IFERROR(INDEX(W$13:W$162,MATCH(140,$AG$13:$AG$162,0)),0)*($T$8+IF($C$10="",$T$9,0))</f>
        <v/>
      </c>
      <c r="BI152">
        <f>IFERROR(INDEX(X$13:X$162,MATCH(140,$AG$13:$AG$162,0)),0)*($T$8+IF($C$10="",$T$9,0))</f>
        <v/>
      </c>
      <c r="BJ152">
        <f>IFERROR(INDEX(Y$13:Y$162,MATCH(140,$AG$13:$AG$162,0)),0)*($T$8+IF($C$10="",$T$9,0))</f>
        <v/>
      </c>
      <c r="BK152">
        <f>IFERROR(INDEX(Z$13:Z$162,MATCH(140,$AG$13:$AG$162,0)),0)*($T$8+IF($C$10="",$T$9,0))</f>
        <v/>
      </c>
      <c r="BL152">
        <f>IFERROR(INDEX(AA$13:AA$162,MATCH(140,$AG$13:$AG$162,0)),0)*($T$8+IF($C$10="",$T$9,0))</f>
        <v/>
      </c>
      <c r="BN152">
        <f>IF(139&lt;$U$9,INT(139/($U$7*$U$8))+1,1)</f>
        <v/>
      </c>
      <c r="BO152">
        <f>IF(139&lt;$U$9,MOD(INT(139/$U$8),$U$7)+1,1)</f>
        <v/>
      </c>
      <c r="BP152">
        <f>IF(139&lt;$U$9,MOD(139,$U$8)+1,1)</f>
        <v/>
      </c>
      <c r="BQ152">
        <f>IF(139&lt;$U$9,SUMPRODUCT(($D$10:$L$10&lt;&gt;"")*(($D$9:$L$9+INT(($S$12:$AA$12+INDEX($AJ$13:$AR$162,BN152,0)+INDEX($AT$13:$BB$162,BO152,0)+INDEX($BD$13:$BL$162,BP152,0))/100))&gt;=$D$10:$L$10)),0)</f>
        <v/>
      </c>
      <c r="BR152">
        <f>IF(139&lt;$U$9,SUMPRODUCT(($D$10:$L$10&lt;&gt;"")*(($D$10:$L$10-($D$9:$L$9+INT(($S$12:$AA$12+INDEX($AJ$13:$AR$162,BN152,0)+INDEX($AT$13:$BB$162,BO152,0)+INDEX($BD$13:$BL$162,BP152,0))/100)))&gt;0)*($D$10:$L$10-($D$9:$L$9+INT(($S$12:$AA$12+INDEX($AJ$13:$AR$162,BN152,0)+INDEX($AT$13:$BB$162,BO152,0)+INDEX($BD$13:$BL$162,BP152,0))/100)))),0)</f>
        <v/>
      </c>
      <c r="BS152">
        <f>IF(139&lt;$U$9,SUMPRODUCT(($D$9:$L$9+INT(($S$12:$AA$12+INDEX($AJ$13:$AR$162,BN152,0)+INDEX($AT$13:$BB$162,BO152,0)+INDEX($BD$13:$BL$162,BP152,0))/100))),0)</f>
        <v/>
      </c>
      <c r="BT152">
        <f>IF(AND(139&lt;$U$9,$W$5),BQ152*1000000-MIN(BR152,999)*1000+BS152-139/100000,-1000000000-139)</f>
        <v/>
      </c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P153">
        <f>IF('职业'!$C143="","",'职业'!$C143)</f>
        <v/>
      </c>
      <c r="Q153">
        <f>N('职业'!$D143)</f>
        <v/>
      </c>
      <c r="R153">
        <f>'职业'!$E143&amp;""</f>
        <v/>
      </c>
      <c r="S153">
        <f>IF($P153="",0,MAX(0,D$7+N('职业'!F143)))</f>
        <v/>
      </c>
      <c r="T153">
        <f>IF($P153="",0,MAX(0,E$7+N('职业'!G143)))</f>
        <v/>
      </c>
      <c r="U153">
        <f>IF($P153="",0,MAX(0,F$7+N('职业'!H143)))</f>
        <v/>
      </c>
      <c r="V153">
        <f>IF($P153="",0,MAX(0,G$7+N('职业'!I143)))</f>
        <v/>
      </c>
      <c r="W153">
        <f>IF($P153="",0,MAX(0,H$7+N('职业'!J143)))</f>
        <v/>
      </c>
      <c r="X153">
        <f>IF($P153="",0,MAX(0,I$7+N('职业'!K143)))</f>
        <v/>
      </c>
      <c r="Y153">
        <f>IF($P153="",0,MAX(0,J$7+N('职业'!L143)))</f>
        <v/>
      </c>
      <c r="Z153">
        <f>IF($P153="",0,MAX(0,K$7+N('职业'!M143)))</f>
        <v/>
      </c>
      <c r="AA153">
        <f>IF($P153="",0,MAX(0,L$7+N('职业'!N143)))</f>
        <v/>
      </c>
      <c r="AB153">
        <f>AND($P153&lt;&gt;"",IF($U$5=1,$P153=$C$10,OR($P153=$C$9,AND($R153="是",$Q153&lt;=MAX($B$9,$Q$6)))))</f>
        <v/>
      </c>
      <c r="AC153">
        <f>AND($P153&lt;&gt;"",IF($U$5=2,$P153=$C$10,OR($P153=$C$9,AND($R153="是",$Q153&lt;=MAX($B$9,$Q$7)))))</f>
        <v/>
      </c>
      <c r="AD153">
        <f>AND($P153&lt;&gt;"",IF($U$5=3,$P153=$C$10,OR($P153=$C$9,AND($R153="是",$Q153&lt;=MAX($B$9,$Q$8)))))</f>
        <v/>
      </c>
      <c r="AE153">
        <f>IF(AB153,COUNTIF(AB$13:AB153,TRUE),"")</f>
        <v/>
      </c>
      <c r="AF153">
        <f>IF(AC153,COUNTIF(AC$13:AC153,TRUE),"")</f>
        <v/>
      </c>
      <c r="AG153">
        <f>IF(AD153,COUNTIF(AD$13:AD153,TRUE),"")</f>
        <v/>
      </c>
      <c r="AI153">
        <f>IFERROR(INDEX($P$13:$P$162,MATCH(141,$AE$13:$AE$162,0)),"")</f>
        <v/>
      </c>
      <c r="AJ153">
        <f>IFERROR(INDEX(S$13:S$162,MATCH(141,$AE$13:$AE$162,0)),0)*$T$6</f>
        <v/>
      </c>
      <c r="AK153">
        <f>IFERROR(INDEX(T$13:T$162,MATCH(141,$AE$13:$AE$162,0)),0)*$T$6</f>
        <v/>
      </c>
      <c r="AL153">
        <f>IFERROR(INDEX(U$13:U$162,MATCH(141,$AE$13:$AE$162,0)),0)*$T$6</f>
        <v/>
      </c>
      <c r="AM153">
        <f>IFERROR(INDEX(V$13:V$162,MATCH(141,$AE$13:$AE$162,0)),0)*$T$6</f>
        <v/>
      </c>
      <c r="AN153">
        <f>IFERROR(INDEX(W$13:W$162,MATCH(141,$AE$13:$AE$162,0)),0)*$T$6</f>
        <v/>
      </c>
      <c r="AO153">
        <f>IFERROR(INDEX(X$13:X$162,MATCH(141,$AE$13:$AE$162,0)),0)*$T$6</f>
        <v/>
      </c>
      <c r="AP153">
        <f>IFERROR(INDEX(Y$13:Y$162,MATCH(141,$AE$13:$AE$162,0)),0)*$T$6</f>
        <v/>
      </c>
      <c r="AQ153">
        <f>IFERROR(INDEX(Z$13:Z$162,MATCH(141,$AE$13:$AE$162,0)),0)*$T$6</f>
        <v/>
      </c>
      <c r="AR153">
        <f>IFERROR(INDEX(AA$13:AA$162,MATCH(141,$AE$13:$AE$162,0)),0)*$T$6</f>
        <v/>
      </c>
      <c r="AS153">
        <f>IFERROR(INDEX($P$13:$P$162,MATCH(141,$AF$13:$AF$162,0)),"")</f>
        <v/>
      </c>
      <c r="AT153">
        <f>IFERROR(INDEX(S$13:S$162,MATCH(141,$AF$13:$AF$162,0)),0)*$T$7</f>
        <v/>
      </c>
      <c r="AU153">
        <f>IFERROR(INDEX(T$13:T$162,MATCH(141,$AF$13:$AF$162,0)),0)*$T$7</f>
        <v/>
      </c>
      <c r="AV153">
        <f>IFERROR(INDEX(U$13:U$162,MATCH(141,$AF$13:$AF$162,0)),0)*$T$7</f>
        <v/>
      </c>
      <c r="AW153">
        <f>IFERROR(INDEX(V$13:V$162,MATCH(141,$AF$13:$AF$162,0)),0)*$T$7</f>
        <v/>
      </c>
      <c r="AX153">
        <f>IFERROR(INDEX(W$13:W$162,MATCH(141,$AF$13:$AF$162,0)),0)*$T$7</f>
        <v/>
      </c>
      <c r="AY153">
        <f>IFERROR(INDEX(X$13:X$162,MATCH(141,$AF$13:$AF$162,0)),0)*$T$7</f>
        <v/>
      </c>
      <c r="AZ153">
        <f>IFERROR(INDEX(Y$13:Y$162,MATCH(141,$AF$13:$AF$162,0)),0)*$T$7</f>
        <v/>
      </c>
      <c r="BA153">
        <f>IFERROR(INDEX(Z$13:Z$162,MATCH(141,$AF$13:$AF$162,0)),0)*$T$7</f>
        <v/>
      </c>
      <c r="BB153">
        <f>IFERROR(INDEX(AA$13:AA$162,MATCH(141,$AF$13:$AF$162,0)),0)*$T$7</f>
        <v/>
      </c>
      <c r="BC153">
        <f>IFERROR(INDEX($P$13:$P$162,MATCH(141,$AG$13:$AG$162,0)),"")</f>
        <v/>
      </c>
      <c r="BD153">
        <f>IFERROR(INDEX(S$13:S$162,MATCH(141,$AG$13:$AG$162,0)),0)*($T$8+IF($C$10="",$T$9,0))</f>
        <v/>
      </c>
      <c r="BE153">
        <f>IFERROR(INDEX(T$13:T$162,MATCH(141,$AG$13:$AG$162,0)),0)*($T$8+IF($C$10="",$T$9,0))</f>
        <v/>
      </c>
      <c r="BF153">
        <f>IFERROR(INDEX(U$13:U$162,MATCH(141,$AG$13:$AG$162,0)),0)*($T$8+IF($C$10="",$T$9,0))</f>
        <v/>
      </c>
      <c r="BG153">
        <f>IFERROR(INDEX(V$13:V$162,MATCH(141,$AG$13:$AG$162,0)),0)*($T$8+IF($C$10="",$T$9,0))</f>
        <v/>
      </c>
      <c r="BH153">
        <f>IFERROR(INDEX(W$13:W$162,MATCH(141,$AG$13:$AG$162,0)),0)*($T$8+IF($C$10="",$T$9,0))</f>
        <v/>
      </c>
      <c r="BI153">
        <f>IFERROR(INDEX(X$13:X$162,MATCH(141,$AG$13:$AG$162,0)),0)*($T$8+IF($C$10="",$T$9,0))</f>
        <v/>
      </c>
      <c r="BJ153">
        <f>IFERROR(INDEX(Y$13:Y$162,MATCH(141,$AG$13:$AG$162,0)),0)*($T$8+IF($C$10="",$T$9,0))</f>
        <v/>
      </c>
      <c r="BK153">
        <f>IFERROR(INDEX(Z$13:Z$162,MATCH(141,$AG$13:$AG$162,0)),0)*($T$8+IF($C$10="",$T$9,0))</f>
        <v/>
      </c>
      <c r="BL153">
        <f>IFERROR(INDEX(AA$13:AA$162,MATCH(141,$AG$13:$AG$162,0)),0)*($T$8+IF($C$10="",$T$9,0))</f>
        <v/>
      </c>
      <c r="BN153">
        <f>IF(140&lt;$U$9,INT(140/($U$7*$U$8))+1,1)</f>
        <v/>
      </c>
      <c r="BO153">
        <f>IF(140&lt;$U$9,MOD(INT(140/$U$8),$U$7)+1,1)</f>
        <v/>
      </c>
      <c r="BP153">
        <f>IF(140&lt;$U$9,MOD(140,$U$8)+1,1)</f>
        <v/>
      </c>
      <c r="BQ153">
        <f>IF(140&lt;$U$9,SUMPRODUCT(($D$10:$L$10&lt;&gt;"")*(($D$9:$L$9+INT(($S$12:$AA$12+INDEX($AJ$13:$AR$162,BN153,0)+INDEX($AT$13:$BB$162,BO153,0)+INDEX($BD$13:$BL$162,BP153,0))/100))&gt;=$D$10:$L$10)),0)</f>
        <v/>
      </c>
      <c r="BR153">
        <f>IF(140&lt;$U$9,SUMPRODUCT(($D$10:$L$10&lt;&gt;"")*(($D$10:$L$10-($D$9:$L$9+INT(($S$12:$AA$12+INDEX($AJ$13:$AR$162,BN153,0)+INDEX($AT$13:$BB$162,BO153,0)+INDEX($BD$13:$BL$162,BP153,0))/100)))&gt;0)*($D$10:$L$10-($D$9:$L$9+INT(($S$12:$AA$12+INDEX($AJ$13:$AR$162,BN153,0)+INDEX($AT$13:$BB$162,BO153,0)+INDEX($BD$13:$BL$162,BP153,0))/100)))),0)</f>
        <v/>
      </c>
      <c r="BS153">
        <f>IF(140&lt;$U$9,SUMPRODUCT(($D$9:$L$9+INT(($S$12:$AA$12+INDEX($AJ$13:$AR$162,BN153,0)+INDEX($AT$13:$BB$162,BO153,0)+INDEX($BD$13:$BL$162,BP153,0))/100))),0)</f>
        <v/>
      </c>
      <c r="BT153">
        <f>IF(AND(140&lt;$U$9,$W$5),BQ153*1000000-MIN(BR153,999)*1000+BS153-140/100000,-1000000000-140)</f>
        <v/>
      </c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P154">
        <f>IF('职业'!$C144="","",'职业'!$C144)</f>
        <v/>
      </c>
      <c r="Q154">
        <f>N('职业'!$D144)</f>
        <v/>
      </c>
      <c r="R154">
        <f>'职业'!$E144&amp;""</f>
        <v/>
      </c>
      <c r="S154">
        <f>IF($P154="",0,MAX(0,D$7+N('职业'!F144)))</f>
        <v/>
      </c>
      <c r="T154">
        <f>IF($P154="",0,MAX(0,E$7+N('职业'!G144)))</f>
        <v/>
      </c>
      <c r="U154">
        <f>IF($P154="",0,MAX(0,F$7+N('职业'!H144)))</f>
        <v/>
      </c>
      <c r="V154">
        <f>IF($P154="",0,MAX(0,G$7+N('职业'!I144)))</f>
        <v/>
      </c>
      <c r="W154">
        <f>IF($P154="",0,MAX(0,H$7+N('职业'!J144)))</f>
        <v/>
      </c>
      <c r="X154">
        <f>IF($P154="",0,MAX(0,I$7+N('职业'!K144)))</f>
        <v/>
      </c>
      <c r="Y154">
        <f>IF($P154="",0,MAX(0,J$7+N('职业'!L144)))</f>
        <v/>
      </c>
      <c r="Z154">
        <f>IF($P154="",0,MAX(0,K$7+N('职业'!M144)))</f>
        <v/>
      </c>
      <c r="AA154">
        <f>IF($P154="",0,MAX(0,L$7+N('职业'!N144)))</f>
        <v/>
      </c>
      <c r="AB154">
        <f>AND($P154&lt;&gt;"",IF($U$5=1,$P154=$C$10,OR($P154=$C$9,AND($R154="是",$Q154&lt;=MAX($B$9,$Q$6)))))</f>
        <v/>
      </c>
      <c r="AC154">
        <f>AND($P154&lt;&gt;"",IF($U$5=2,$P154=$C$10,OR($P154=$C$9,AND($R154="是",$Q154&lt;=MAX($B$9,$Q$7)))))</f>
        <v/>
      </c>
      <c r="AD154">
        <f>AND($P154&lt;&gt;"",IF($U$5=3,$P154=$C$10,OR($P154=$C$9,AND($R154="是",$Q154&lt;=MAX($B$9,$Q$8)))))</f>
        <v/>
      </c>
      <c r="AE154">
        <f>IF(AB154,COUNTIF(AB$13:AB154,TRUE),"")</f>
        <v/>
      </c>
      <c r="AF154">
        <f>IF(AC154,COUNTIF(AC$13:AC154,TRUE),"")</f>
        <v/>
      </c>
      <c r="AG154">
        <f>IF(AD154,COUNTIF(AD$13:AD154,TRUE),"")</f>
        <v/>
      </c>
      <c r="AI154">
        <f>IFERROR(INDEX($P$13:$P$162,MATCH(142,$AE$13:$AE$162,0)),"")</f>
        <v/>
      </c>
      <c r="AJ154">
        <f>IFERROR(INDEX(S$13:S$162,MATCH(142,$AE$13:$AE$162,0)),0)*$T$6</f>
        <v/>
      </c>
      <c r="AK154">
        <f>IFERROR(INDEX(T$13:T$162,MATCH(142,$AE$13:$AE$162,0)),0)*$T$6</f>
        <v/>
      </c>
      <c r="AL154">
        <f>IFERROR(INDEX(U$13:U$162,MATCH(142,$AE$13:$AE$162,0)),0)*$T$6</f>
        <v/>
      </c>
      <c r="AM154">
        <f>IFERROR(INDEX(V$13:V$162,MATCH(142,$AE$13:$AE$162,0)),0)*$T$6</f>
        <v/>
      </c>
      <c r="AN154">
        <f>IFERROR(INDEX(W$13:W$162,MATCH(142,$AE$13:$AE$162,0)),0)*$T$6</f>
        <v/>
      </c>
      <c r="AO154">
        <f>IFERROR(INDEX(X$13:X$162,MATCH(142,$AE$13:$AE$162,0)),0)*$T$6</f>
        <v/>
      </c>
      <c r="AP154">
        <f>IFERROR(INDEX(Y$13:Y$162,MATCH(142,$AE$13:$AE$162,0)),0)*$T$6</f>
        <v/>
      </c>
      <c r="AQ154">
        <f>IFERROR(INDEX(Z$13:Z$162,MATCH(142,$AE$13:$AE$162,0)),0)*$T$6</f>
        <v/>
      </c>
      <c r="AR154">
        <f>IFERROR(INDEX(AA$13:AA$162,MATCH(142,$AE$13:$AE$162,0)),0)*$T$6</f>
        <v/>
      </c>
      <c r="AS154">
        <f>IFERROR(INDEX($P$13:$P$162,MATCH(142,$AF$13:$AF$162,0)),"")</f>
        <v/>
      </c>
      <c r="AT154">
        <f>IFERROR(INDEX(S$13:S$162,MATCH(142,$AF$13:$AF$162,0)),0)*$T$7</f>
        <v/>
      </c>
      <c r="AU154">
        <f>IFERROR(INDEX(T$13:T$162,MATCH(142,$AF$13:$AF$162,0)),0)*$T$7</f>
        <v/>
      </c>
      <c r="AV154">
        <f>IFERROR(INDEX(U$13:U$162,MATCH(142,$AF$13:$AF$162,0)),0)*$T$7</f>
        <v/>
      </c>
      <c r="AW154">
        <f>IFERROR(INDEX(V$13:V$162,MATCH(142,$AF$13:$AF$162,0)),0)*$T$7</f>
        <v/>
      </c>
      <c r="AX154">
        <f>IFERROR(INDEX(W$13:W$162,MATCH(142,$AF$13:$AF$162,0)),0)*$T$7</f>
        <v/>
      </c>
      <c r="AY154">
        <f>IFERROR(INDEX(X$13:X$162,MATCH(142,$AF$13:$AF$162,0)),0)*$T$7</f>
        <v/>
      </c>
      <c r="AZ154">
        <f>IFERROR(INDEX(Y$13:Y$162,MATCH(142,$AF$13:$AF$162,0)),0)*$T$7</f>
        <v/>
      </c>
      <c r="BA154">
        <f>IFERROR(INDEX(Z$13:Z$162,MATCH(142,$AF$13:$AF$162,0)),0)*$T$7</f>
        <v/>
      </c>
      <c r="BB154">
        <f>IFERROR(INDEX(AA$13:AA$162,MATCH(142,$AF$13:$AF$162,0)),0)*$T$7</f>
        <v/>
      </c>
      <c r="BC154">
        <f>IFERROR(INDEX($P$13:$P$162,MATCH(142,$AG$13:$AG$162,0)),"")</f>
        <v/>
      </c>
      <c r="BD154">
        <f>IFERROR(INDEX(S$13:S$162,MATCH(142,$AG$13:$AG$162,0)),0)*($T$8+IF($C$10="",$T$9,0))</f>
        <v/>
      </c>
      <c r="BE154">
        <f>IFERROR(INDEX(T$13:T$162,MATCH(142,$AG$13:$AG$162,0)),0)*($T$8+IF($C$10="",$T$9,0))</f>
        <v/>
      </c>
      <c r="BF154">
        <f>IFERROR(INDEX(U$13:U$162,MATCH(142,$AG$13:$AG$162,0)),0)*($T$8+IF($C$10="",$T$9,0))</f>
        <v/>
      </c>
      <c r="BG154">
        <f>IFERROR(INDEX(V$13:V$162,MATCH(142,$AG$13:$AG$162,0)),0)*($T$8+IF($C$10="",$T$9,0))</f>
        <v/>
      </c>
      <c r="BH154">
        <f>IFERROR(INDEX(W$13:W$162,MATCH(142,$AG$13:$AG$162,0)),0)*($T$8+IF($C$10="",$T$9,0))</f>
        <v/>
      </c>
      <c r="BI154">
        <f>IFERROR(INDEX(X$13:X$162,MATCH(142,$AG$13:$AG$162,0)),0)*($T$8+IF($C$10="",$T$9,0))</f>
        <v/>
      </c>
      <c r="BJ154">
        <f>IFERROR(INDEX(Y$13:Y$162,MATCH(142,$AG$13:$AG$162,0)),0)*($T$8+IF($C$10="",$T$9,0))</f>
        <v/>
      </c>
      <c r="BK154">
        <f>IFERROR(INDEX(Z$13:Z$162,MATCH(142,$AG$13:$AG$162,0)),0)*($T$8+IF($C$10="",$T$9,0))</f>
        <v/>
      </c>
      <c r="BL154">
        <f>IFERROR(INDEX(AA$13:AA$162,MATCH(142,$AG$13:$AG$162,0)),0)*($T$8+IF($C$10="",$T$9,0))</f>
        <v/>
      </c>
      <c r="BN154">
        <f>IF(141&lt;$U$9,INT(141/($U$7*$U$8))+1,1)</f>
        <v/>
      </c>
      <c r="BO154">
        <f>IF(141&lt;$U$9,MOD(INT(141/$U$8),$U$7)+1,1)</f>
        <v/>
      </c>
      <c r="BP154">
        <f>IF(141&lt;$U$9,MOD(141,$U$8)+1,1)</f>
        <v/>
      </c>
      <c r="BQ154">
        <f>IF(141&lt;$U$9,SUMPRODUCT(($D$10:$L$10&lt;&gt;"")*(($D$9:$L$9+INT(($S$12:$AA$12+INDEX($AJ$13:$AR$162,BN154,0)+INDEX($AT$13:$BB$162,BO154,0)+INDEX($BD$13:$BL$162,BP154,0))/100))&gt;=$D$10:$L$10)),0)</f>
        <v/>
      </c>
      <c r="BR154">
        <f>IF(141&lt;$U$9,SUMPRODUCT(($D$10:$L$10&lt;&gt;"")*(($D$10:$L$10-($D$9:$L$9+INT(($S$12:$AA$12+INDEX($AJ$13:$AR$162,BN154,0)+INDEX($AT$13:$BB$162,BO154,0)+INDEX($BD$13:$BL$162,BP154,0))/100)))&gt;0)*($D$10:$L$10-($D$9:$L$9+INT(($S$12:$AA$12+INDEX($AJ$13:$AR$162,BN154,0)+INDEX($AT$13:$BB$162,BO154,0)+INDEX($BD$13:$BL$162,BP154,0))/100)))),0)</f>
        <v/>
      </c>
      <c r="BS154">
        <f>IF(141&lt;$U$9,SUMPRODUCT(($D$9:$L$9+INT(($S$12:$AA$12+INDEX($AJ$13:$AR$162,BN154,0)+INDEX($AT$13:$BB$162,BO154,0)+INDEX($BD$13:$BL$162,BP154,0))/100))),0)</f>
        <v/>
      </c>
      <c r="BT154">
        <f>IF(AND(141&lt;$U$9,$W$5),BQ154*1000000-MIN(BR154,999)*1000+BS154-141/100000,-1000000000-141)</f>
        <v/>
      </c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P155">
        <f>IF('职业'!$C145="","",'职业'!$C145)</f>
        <v/>
      </c>
      <c r="Q155">
        <f>N('职业'!$D145)</f>
        <v/>
      </c>
      <c r="R155">
        <f>'职业'!$E145&amp;""</f>
        <v/>
      </c>
      <c r="S155">
        <f>IF($P155="",0,MAX(0,D$7+N('职业'!F145)))</f>
        <v/>
      </c>
      <c r="T155">
        <f>IF($P155="",0,MAX(0,E$7+N('职业'!G145)))</f>
        <v/>
      </c>
      <c r="U155">
        <f>IF($P155="",0,MAX(0,F$7+N('职业'!H145)))</f>
        <v/>
      </c>
      <c r="V155">
        <f>IF($P155="",0,MAX(0,G$7+N('职业'!I145)))</f>
        <v/>
      </c>
      <c r="W155">
        <f>IF($P155="",0,MAX(0,H$7+N('职业'!J145)))</f>
        <v/>
      </c>
      <c r="X155">
        <f>IF($P155="",0,MAX(0,I$7+N('职业'!K145)))</f>
        <v/>
      </c>
      <c r="Y155">
        <f>IF($P155="",0,MAX(0,J$7+N('职业'!L145)))</f>
        <v/>
      </c>
      <c r="Z155">
        <f>IF($P155="",0,MAX(0,K$7+N('职业'!M145)))</f>
        <v/>
      </c>
      <c r="AA155">
        <f>IF($P155="",0,MAX(0,L$7+N('职业'!N145)))</f>
        <v/>
      </c>
      <c r="AB155">
        <f>AND($P155&lt;&gt;"",IF($U$5=1,$P155=$C$10,OR($P155=$C$9,AND($R155="是",$Q155&lt;=MAX($B$9,$Q$6)))))</f>
        <v/>
      </c>
      <c r="AC155">
        <f>AND($P155&lt;&gt;"",IF($U$5=2,$P155=$C$10,OR($P155=$C$9,AND($R155="是",$Q155&lt;=MAX($B$9,$Q$7)))))</f>
        <v/>
      </c>
      <c r="AD155">
        <f>AND($P155&lt;&gt;"",IF($U$5=3,$P155=$C$10,OR($P155=$C$9,AND($R155="是",$Q155&lt;=MAX($B$9,$Q$8)))))</f>
        <v/>
      </c>
      <c r="AE155">
        <f>IF(AB155,COUNTIF(AB$13:AB155,TRUE),"")</f>
        <v/>
      </c>
      <c r="AF155">
        <f>IF(AC155,COUNTIF(AC$13:AC155,TRUE),"")</f>
        <v/>
      </c>
      <c r="AG155">
        <f>IF(AD155,COUNTIF(AD$13:AD155,TRUE),"")</f>
        <v/>
      </c>
      <c r="AI155">
        <f>IFERROR(INDEX($P$13:$P$162,MATCH(143,$AE$13:$AE$162,0)),"")</f>
        <v/>
      </c>
      <c r="AJ155">
        <f>IFERROR(INDEX(S$13:S$162,MATCH(143,$AE$13:$AE$162,0)),0)*$T$6</f>
        <v/>
      </c>
      <c r="AK155">
        <f>IFERROR(INDEX(T$13:T$162,MATCH(143,$AE$13:$AE$162,0)),0)*$T$6</f>
        <v/>
      </c>
      <c r="AL155">
        <f>IFERROR(INDEX(U$13:U$162,MATCH(143,$AE$13:$AE$162,0)),0)*$T$6</f>
        <v/>
      </c>
      <c r="AM155">
        <f>IFERROR(INDEX(V$13:V$162,MATCH(143,$AE$13:$AE$162,0)),0)*$T$6</f>
        <v/>
      </c>
      <c r="AN155">
        <f>IFERROR(INDEX(W$13:W$162,MATCH(143,$AE$13:$AE$162,0)),0)*$T$6</f>
        <v/>
      </c>
      <c r="AO155">
        <f>IFERROR(INDEX(X$13:X$162,MATCH(143,$AE$13:$AE$162,0)),0)*$T$6</f>
        <v/>
      </c>
      <c r="AP155">
        <f>IFERROR(INDEX(Y$13:Y$162,MATCH(143,$AE$13:$AE$162,0)),0)*$T$6</f>
        <v/>
      </c>
      <c r="AQ155">
        <f>IFERROR(INDEX(Z$13:Z$162,MATCH(143,$AE$13:$AE$162,0)),0)*$T$6</f>
        <v/>
      </c>
      <c r="AR155">
        <f>IFERROR(INDEX(AA$13:AA$162,MATCH(143,$AE$13:$AE$162,0)),0)*$T$6</f>
        <v/>
      </c>
      <c r="AS155">
        <f>IFERROR(INDEX($P$13:$P$162,MATCH(143,$AF$13:$AF$162,0)),"")</f>
        <v/>
      </c>
      <c r="AT155">
        <f>IFERROR(INDEX(S$13:S$162,MATCH(143,$AF$13:$AF$162,0)),0)*$T$7</f>
        <v/>
      </c>
      <c r="AU155">
        <f>IFERROR(INDEX(T$13:T$162,MATCH(143,$AF$13:$AF$162,0)),0)*$T$7</f>
        <v/>
      </c>
      <c r="AV155">
        <f>IFERROR(INDEX(U$13:U$162,MATCH(143,$AF$13:$AF$162,0)),0)*$T$7</f>
        <v/>
      </c>
      <c r="AW155">
        <f>IFERROR(INDEX(V$13:V$162,MATCH(143,$AF$13:$AF$162,0)),0)*$T$7</f>
        <v/>
      </c>
      <c r="AX155">
        <f>IFERROR(INDEX(W$13:W$162,MATCH(143,$AF$13:$AF$162,0)),0)*$T$7</f>
        <v/>
      </c>
      <c r="AY155">
        <f>IFERROR(INDEX(X$13:X$162,MATCH(143,$AF$13:$AF$162,0)),0)*$T$7</f>
        <v/>
      </c>
      <c r="AZ155">
        <f>IFERROR(INDEX(Y$13:Y$162,MATCH(143,$AF$13:$AF$162,0)),0)*$T$7</f>
        <v/>
      </c>
      <c r="BA155">
        <f>IFERROR(INDEX(Z$13:Z$162,MATCH(143,$AF$13:$AF$162,0)),0)*$T$7</f>
        <v/>
      </c>
      <c r="BB155">
        <f>IFERROR(INDEX(AA$13:AA$162,MATCH(143,$AF$13:$AF$162,0)),0)*$T$7</f>
        <v/>
      </c>
      <c r="BC155">
        <f>IFERROR(INDEX($P$13:$P$162,MATCH(143,$AG$13:$AG$162,0)),"")</f>
        <v/>
      </c>
      <c r="BD155">
        <f>IFERROR(INDEX(S$13:S$162,MATCH(143,$AG$13:$AG$162,0)),0)*($T$8+IF($C$10="",$T$9,0))</f>
        <v/>
      </c>
      <c r="BE155">
        <f>IFERROR(INDEX(T$13:T$162,MATCH(143,$AG$13:$AG$162,0)),0)*($T$8+IF($C$10="",$T$9,0))</f>
        <v/>
      </c>
      <c r="BF155">
        <f>IFERROR(INDEX(U$13:U$162,MATCH(143,$AG$13:$AG$162,0)),0)*($T$8+IF($C$10="",$T$9,0))</f>
        <v/>
      </c>
      <c r="BG155">
        <f>IFERROR(INDEX(V$13:V$162,MATCH(143,$AG$13:$AG$162,0)),0)*($T$8+IF($C$10="",$T$9,0))</f>
        <v/>
      </c>
      <c r="BH155">
        <f>IFERROR(INDEX(W$13:W$162,MATCH(143,$AG$13:$AG$162,0)),0)*($T$8+IF($C$10="",$T$9,0))</f>
        <v/>
      </c>
      <c r="BI155">
        <f>IFERROR(INDEX(X$13:X$162,MATCH(143,$AG$13:$AG$162,0)),0)*($T$8+IF($C$10="",$T$9,0))</f>
        <v/>
      </c>
      <c r="BJ155">
        <f>IFERROR(INDEX(Y$13:Y$162,MATCH(143,$AG$13:$AG$162,0)),0)*($T$8+IF($C$10="",$T$9,0))</f>
        <v/>
      </c>
      <c r="BK155">
        <f>IFERROR(INDEX(Z$13:Z$162,MATCH(143,$AG$13:$AG$162,0)),0)*($T$8+IF($C$10="",$T$9,0))</f>
        <v/>
      </c>
      <c r="BL155">
        <f>IFERROR(INDEX(AA$13:AA$162,MATCH(143,$AG$13:$AG$162,0)),0)*($T$8+IF($C$10="",$T$9,0))</f>
        <v/>
      </c>
      <c r="BN155">
        <f>IF(142&lt;$U$9,INT(142/($U$7*$U$8))+1,1)</f>
        <v/>
      </c>
      <c r="BO155">
        <f>IF(142&lt;$U$9,MOD(INT(142/$U$8),$U$7)+1,1)</f>
        <v/>
      </c>
      <c r="BP155">
        <f>IF(142&lt;$U$9,MOD(142,$U$8)+1,1)</f>
        <v/>
      </c>
      <c r="BQ155">
        <f>IF(142&lt;$U$9,SUMPRODUCT(($D$10:$L$10&lt;&gt;"")*(($D$9:$L$9+INT(($S$12:$AA$12+INDEX($AJ$13:$AR$162,BN155,0)+INDEX($AT$13:$BB$162,BO155,0)+INDEX($BD$13:$BL$162,BP155,0))/100))&gt;=$D$10:$L$10)),0)</f>
        <v/>
      </c>
      <c r="BR155">
        <f>IF(142&lt;$U$9,SUMPRODUCT(($D$10:$L$10&lt;&gt;"")*(($D$10:$L$10-($D$9:$L$9+INT(($S$12:$AA$12+INDEX($AJ$13:$AR$162,BN155,0)+INDEX($AT$13:$BB$162,BO155,0)+INDEX($BD$13:$BL$162,BP155,0))/100)))&gt;0)*($D$10:$L$10-($D$9:$L$9+INT(($S$12:$AA$12+INDEX($AJ$13:$AR$162,BN155,0)+INDEX($AT$13:$BB$162,BO155,0)+INDEX($BD$13:$BL$162,BP155,0))/100)))),0)</f>
        <v/>
      </c>
      <c r="BS155">
        <f>IF(142&lt;$U$9,SUMPRODUCT(($D$9:$L$9+INT(($S$12:$AA$12+INDEX($AJ$13:$AR$162,BN155,0)+INDEX($AT$13:$BB$162,BO155,0)+INDEX($BD$13:$BL$162,BP155,0))/100))),0)</f>
        <v/>
      </c>
      <c r="BT155">
        <f>IF(AND(142&lt;$U$9,$W$5),BQ155*1000000-MIN(BR155,999)*1000+BS155-142/100000,-1000000000-142)</f>
        <v/>
      </c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P156">
        <f>IF('职业'!$C146="","",'职业'!$C146)</f>
        <v/>
      </c>
      <c r="Q156">
        <f>N('职业'!$D146)</f>
        <v/>
      </c>
      <c r="R156">
        <f>'职业'!$E146&amp;""</f>
        <v/>
      </c>
      <c r="S156">
        <f>IF($P156="",0,MAX(0,D$7+N('职业'!F146)))</f>
        <v/>
      </c>
      <c r="T156">
        <f>IF($P156="",0,MAX(0,E$7+N('职业'!G146)))</f>
        <v/>
      </c>
      <c r="U156">
        <f>IF($P156="",0,MAX(0,F$7+N('职业'!H146)))</f>
        <v/>
      </c>
      <c r="V156">
        <f>IF($P156="",0,MAX(0,G$7+N('职业'!I146)))</f>
        <v/>
      </c>
      <c r="W156">
        <f>IF($P156="",0,MAX(0,H$7+N('职业'!J146)))</f>
        <v/>
      </c>
      <c r="X156">
        <f>IF($P156="",0,MAX(0,I$7+N('职业'!K146)))</f>
        <v/>
      </c>
      <c r="Y156">
        <f>IF($P156="",0,MAX(0,J$7+N('职业'!L146)))</f>
        <v/>
      </c>
      <c r="Z156">
        <f>IF($P156="",0,MAX(0,K$7+N('职业'!M146)))</f>
        <v/>
      </c>
      <c r="AA156">
        <f>IF($P156="",0,MAX(0,L$7+N('职业'!N146)))</f>
        <v/>
      </c>
      <c r="AB156">
        <f>AND($P156&lt;&gt;"",IF($U$5=1,$P156=$C$10,OR($P156=$C$9,AND($R156="是",$Q156&lt;=MAX($B$9,$Q$6)))))</f>
        <v/>
      </c>
      <c r="AC156">
        <f>AND($P156&lt;&gt;"",IF($U$5=2,$P156=$C$10,OR($P156=$C$9,AND($R156="是",$Q156&lt;=MAX($B$9,$Q$7)))))</f>
        <v/>
      </c>
      <c r="AD156">
        <f>AND($P156&lt;&gt;"",IF($U$5=3,$P156=$C$10,OR($P156=$C$9,AND($R156="是",$Q156&lt;=MAX($B$9,$Q$8)))))</f>
        <v/>
      </c>
      <c r="AE156">
        <f>IF(AB156,COUNTIF(AB$13:AB156,TRUE),"")</f>
        <v/>
      </c>
      <c r="AF156">
        <f>IF(AC156,COUNTIF(AC$13:AC156,TRUE),"")</f>
        <v/>
      </c>
      <c r="AG156">
        <f>IF(AD156,COUNTIF(AD$13:AD156,TRUE),"")</f>
        <v/>
      </c>
      <c r="AI156">
        <f>IFERROR(INDEX($P$13:$P$162,MATCH(144,$AE$13:$AE$162,0)),"")</f>
        <v/>
      </c>
      <c r="AJ156">
        <f>IFERROR(INDEX(S$13:S$162,MATCH(144,$AE$13:$AE$162,0)),0)*$T$6</f>
        <v/>
      </c>
      <c r="AK156">
        <f>IFERROR(INDEX(T$13:T$162,MATCH(144,$AE$13:$AE$162,0)),0)*$T$6</f>
        <v/>
      </c>
      <c r="AL156">
        <f>IFERROR(INDEX(U$13:U$162,MATCH(144,$AE$13:$AE$162,0)),0)*$T$6</f>
        <v/>
      </c>
      <c r="AM156">
        <f>IFERROR(INDEX(V$13:V$162,MATCH(144,$AE$13:$AE$162,0)),0)*$T$6</f>
        <v/>
      </c>
      <c r="AN156">
        <f>IFERROR(INDEX(W$13:W$162,MATCH(144,$AE$13:$AE$162,0)),0)*$T$6</f>
        <v/>
      </c>
      <c r="AO156">
        <f>IFERROR(INDEX(X$13:X$162,MATCH(144,$AE$13:$AE$162,0)),0)*$T$6</f>
        <v/>
      </c>
      <c r="AP156">
        <f>IFERROR(INDEX(Y$13:Y$162,MATCH(144,$AE$13:$AE$162,0)),0)*$T$6</f>
        <v/>
      </c>
      <c r="AQ156">
        <f>IFERROR(INDEX(Z$13:Z$162,MATCH(144,$AE$13:$AE$162,0)),0)*$T$6</f>
        <v/>
      </c>
      <c r="AR156">
        <f>IFERROR(INDEX(AA$13:AA$162,MATCH(144,$AE$13:$AE$162,0)),0)*$T$6</f>
        <v/>
      </c>
      <c r="AS156">
        <f>IFERROR(INDEX($P$13:$P$162,MATCH(144,$AF$13:$AF$162,0)),"")</f>
        <v/>
      </c>
      <c r="AT156">
        <f>IFERROR(INDEX(S$13:S$162,MATCH(144,$AF$13:$AF$162,0)),0)*$T$7</f>
        <v/>
      </c>
      <c r="AU156">
        <f>IFERROR(INDEX(T$13:T$162,MATCH(144,$AF$13:$AF$162,0)),0)*$T$7</f>
        <v/>
      </c>
      <c r="AV156">
        <f>IFERROR(INDEX(U$13:U$162,MATCH(144,$AF$13:$AF$162,0)),0)*$T$7</f>
        <v/>
      </c>
      <c r="AW156">
        <f>IFERROR(INDEX(V$13:V$162,MATCH(144,$AF$13:$AF$162,0)),0)*$T$7</f>
        <v/>
      </c>
      <c r="AX156">
        <f>IFERROR(INDEX(W$13:W$162,MATCH(144,$AF$13:$AF$162,0)),0)*$T$7</f>
        <v/>
      </c>
      <c r="AY156">
        <f>IFERROR(INDEX(X$13:X$162,MATCH(144,$AF$13:$AF$162,0)),0)*$T$7</f>
        <v/>
      </c>
      <c r="AZ156">
        <f>IFERROR(INDEX(Y$13:Y$162,MATCH(144,$AF$13:$AF$162,0)),0)*$T$7</f>
        <v/>
      </c>
      <c r="BA156">
        <f>IFERROR(INDEX(Z$13:Z$162,MATCH(144,$AF$13:$AF$162,0)),0)*$T$7</f>
        <v/>
      </c>
      <c r="BB156">
        <f>IFERROR(INDEX(AA$13:AA$162,MATCH(144,$AF$13:$AF$162,0)),0)*$T$7</f>
        <v/>
      </c>
      <c r="BC156">
        <f>IFERROR(INDEX($P$13:$P$162,MATCH(144,$AG$13:$AG$162,0)),"")</f>
        <v/>
      </c>
      <c r="BD156">
        <f>IFERROR(INDEX(S$13:S$162,MATCH(144,$AG$13:$AG$162,0)),0)*($T$8+IF($C$10="",$T$9,0))</f>
        <v/>
      </c>
      <c r="BE156">
        <f>IFERROR(INDEX(T$13:T$162,MATCH(144,$AG$13:$AG$162,0)),0)*($T$8+IF($C$10="",$T$9,0))</f>
        <v/>
      </c>
      <c r="BF156">
        <f>IFERROR(INDEX(U$13:U$162,MATCH(144,$AG$13:$AG$162,0)),0)*($T$8+IF($C$10="",$T$9,0))</f>
        <v/>
      </c>
      <c r="BG156">
        <f>IFERROR(INDEX(V$13:V$162,MATCH(144,$AG$13:$AG$162,0)),0)*($T$8+IF($C$10="",$T$9,0))</f>
        <v/>
      </c>
      <c r="BH156">
        <f>IFERROR(INDEX(W$13:W$162,MATCH(144,$AG$13:$AG$162,0)),0)*($T$8+IF($C$10="",$T$9,0))</f>
        <v/>
      </c>
      <c r="BI156">
        <f>IFERROR(INDEX(X$13:X$162,MATCH(144,$AG$13:$AG$162,0)),0)*($T$8+IF($C$10="",$T$9,0))</f>
        <v/>
      </c>
      <c r="BJ156">
        <f>IFERROR(INDEX(Y$13:Y$162,MATCH(144,$AG$13:$AG$162,0)),0)*($T$8+IF($C$10="",$T$9,0))</f>
        <v/>
      </c>
      <c r="BK156">
        <f>IFERROR(INDEX(Z$13:Z$162,MATCH(144,$AG$13:$AG$162,0)),0)*($T$8+IF($C$10="",$T$9,0))</f>
        <v/>
      </c>
      <c r="BL156">
        <f>IFERROR(INDEX(AA$13:AA$162,MATCH(144,$AG$13:$AG$162,0)),0)*($T$8+IF($C$10="",$T$9,0))</f>
        <v/>
      </c>
      <c r="BN156">
        <f>IF(143&lt;$U$9,INT(143/($U$7*$U$8))+1,1)</f>
        <v/>
      </c>
      <c r="BO156">
        <f>IF(143&lt;$U$9,MOD(INT(143/$U$8),$U$7)+1,1)</f>
        <v/>
      </c>
      <c r="BP156">
        <f>IF(143&lt;$U$9,MOD(143,$U$8)+1,1)</f>
        <v/>
      </c>
      <c r="BQ156">
        <f>IF(143&lt;$U$9,SUMPRODUCT(($D$10:$L$10&lt;&gt;"")*(($D$9:$L$9+INT(($S$12:$AA$12+INDEX($AJ$13:$AR$162,BN156,0)+INDEX($AT$13:$BB$162,BO156,0)+INDEX($BD$13:$BL$162,BP156,0))/100))&gt;=$D$10:$L$10)),0)</f>
        <v/>
      </c>
      <c r="BR156">
        <f>IF(143&lt;$U$9,SUMPRODUCT(($D$10:$L$10&lt;&gt;"")*(($D$10:$L$10-($D$9:$L$9+INT(($S$12:$AA$12+INDEX($AJ$13:$AR$162,BN156,0)+INDEX($AT$13:$BB$162,BO156,0)+INDEX($BD$13:$BL$162,BP156,0))/100)))&gt;0)*($D$10:$L$10-($D$9:$L$9+INT(($S$12:$AA$12+INDEX($AJ$13:$AR$162,BN156,0)+INDEX($AT$13:$BB$162,BO156,0)+INDEX($BD$13:$BL$162,BP156,0))/100)))),0)</f>
        <v/>
      </c>
      <c r="BS156">
        <f>IF(143&lt;$U$9,SUMPRODUCT(($D$9:$L$9+INT(($S$12:$AA$12+INDEX($AJ$13:$AR$162,BN156,0)+INDEX($AT$13:$BB$162,BO156,0)+INDEX($BD$13:$BL$162,BP156,0))/100))),0)</f>
        <v/>
      </c>
      <c r="BT156">
        <f>IF(AND(143&lt;$U$9,$W$5),BQ156*1000000-MIN(BR156,999)*1000+BS156-143/100000,-1000000000-143)</f>
        <v/>
      </c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P157">
        <f>IF('职业'!$C147="","",'职业'!$C147)</f>
        <v/>
      </c>
      <c r="Q157">
        <f>N('职业'!$D147)</f>
        <v/>
      </c>
      <c r="R157">
        <f>'职业'!$E147&amp;""</f>
        <v/>
      </c>
      <c r="S157">
        <f>IF($P157="",0,MAX(0,D$7+N('职业'!F147)))</f>
        <v/>
      </c>
      <c r="T157">
        <f>IF($P157="",0,MAX(0,E$7+N('职业'!G147)))</f>
        <v/>
      </c>
      <c r="U157">
        <f>IF($P157="",0,MAX(0,F$7+N('职业'!H147)))</f>
        <v/>
      </c>
      <c r="V157">
        <f>IF($P157="",0,MAX(0,G$7+N('职业'!I147)))</f>
        <v/>
      </c>
      <c r="W157">
        <f>IF($P157="",0,MAX(0,H$7+N('职业'!J147)))</f>
        <v/>
      </c>
      <c r="X157">
        <f>IF($P157="",0,MAX(0,I$7+N('职业'!K147)))</f>
        <v/>
      </c>
      <c r="Y157">
        <f>IF($P157="",0,MAX(0,J$7+N('职业'!L147)))</f>
        <v/>
      </c>
      <c r="Z157">
        <f>IF($P157="",0,MAX(0,K$7+N('职业'!M147)))</f>
        <v/>
      </c>
      <c r="AA157">
        <f>IF($P157="",0,MAX(0,L$7+N('职业'!N147)))</f>
        <v/>
      </c>
      <c r="AB157">
        <f>AND($P157&lt;&gt;"",IF($U$5=1,$P157=$C$10,OR($P157=$C$9,AND($R157="是",$Q157&lt;=MAX($B$9,$Q$6)))))</f>
        <v/>
      </c>
      <c r="AC157">
        <f>AND($P157&lt;&gt;"",IF($U$5=2,$P157=$C$10,OR($P157=$C$9,AND($R157="是",$Q157&lt;=MAX($B$9,$Q$7)))))</f>
        <v/>
      </c>
      <c r="AD157">
        <f>AND($P157&lt;&gt;"",IF($U$5=3,$P157=$C$10,OR($P157=$C$9,AND($R157="是",$Q157&lt;=MAX($B$9,$Q$8)))))</f>
        <v/>
      </c>
      <c r="AE157">
        <f>IF(AB157,COUNTIF(AB$13:AB157,TRUE),"")</f>
        <v/>
      </c>
      <c r="AF157">
        <f>IF(AC157,COUNTIF(AC$13:AC157,TRUE),"")</f>
        <v/>
      </c>
      <c r="AG157">
        <f>IF(AD157,COUNTIF(AD$13:AD157,TRUE),"")</f>
        <v/>
      </c>
      <c r="AI157">
        <f>IFERROR(INDEX($P$13:$P$162,MATCH(145,$AE$13:$AE$162,0)),"")</f>
        <v/>
      </c>
      <c r="AJ157">
        <f>IFERROR(INDEX(S$13:S$162,MATCH(145,$AE$13:$AE$162,0)),0)*$T$6</f>
        <v/>
      </c>
      <c r="AK157">
        <f>IFERROR(INDEX(T$13:T$162,MATCH(145,$AE$13:$AE$162,0)),0)*$T$6</f>
        <v/>
      </c>
      <c r="AL157">
        <f>IFERROR(INDEX(U$13:U$162,MATCH(145,$AE$13:$AE$162,0)),0)*$T$6</f>
        <v/>
      </c>
      <c r="AM157">
        <f>IFERROR(INDEX(V$13:V$162,MATCH(145,$AE$13:$AE$162,0)),0)*$T$6</f>
        <v/>
      </c>
      <c r="AN157">
        <f>IFERROR(INDEX(W$13:W$162,MATCH(145,$AE$13:$AE$162,0)),0)*$T$6</f>
        <v/>
      </c>
      <c r="AO157">
        <f>IFERROR(INDEX(X$13:X$162,MATCH(145,$AE$13:$AE$162,0)),0)*$T$6</f>
        <v/>
      </c>
      <c r="AP157">
        <f>IFERROR(INDEX(Y$13:Y$162,MATCH(145,$AE$13:$AE$162,0)),0)*$T$6</f>
        <v/>
      </c>
      <c r="AQ157">
        <f>IFERROR(INDEX(Z$13:Z$162,MATCH(145,$AE$13:$AE$162,0)),0)*$T$6</f>
        <v/>
      </c>
      <c r="AR157">
        <f>IFERROR(INDEX(AA$13:AA$162,MATCH(145,$AE$13:$AE$162,0)),0)*$T$6</f>
        <v/>
      </c>
      <c r="AS157">
        <f>IFERROR(INDEX($P$13:$P$162,MATCH(145,$AF$13:$AF$162,0)),"")</f>
        <v/>
      </c>
      <c r="AT157">
        <f>IFERROR(INDEX(S$13:S$162,MATCH(145,$AF$13:$AF$162,0)),0)*$T$7</f>
        <v/>
      </c>
      <c r="AU157">
        <f>IFERROR(INDEX(T$13:T$162,MATCH(145,$AF$13:$AF$162,0)),0)*$T$7</f>
        <v/>
      </c>
      <c r="AV157">
        <f>IFERROR(INDEX(U$13:U$162,MATCH(145,$AF$13:$AF$162,0)),0)*$T$7</f>
        <v/>
      </c>
      <c r="AW157">
        <f>IFERROR(INDEX(V$13:V$162,MATCH(145,$AF$13:$AF$162,0)),0)*$T$7</f>
        <v/>
      </c>
      <c r="AX157">
        <f>IFERROR(INDEX(W$13:W$162,MATCH(145,$AF$13:$AF$162,0)),0)*$T$7</f>
        <v/>
      </c>
      <c r="AY157">
        <f>IFERROR(INDEX(X$13:X$162,MATCH(145,$AF$13:$AF$162,0)),0)*$T$7</f>
        <v/>
      </c>
      <c r="AZ157">
        <f>IFERROR(INDEX(Y$13:Y$162,MATCH(145,$AF$13:$AF$162,0)),0)*$T$7</f>
        <v/>
      </c>
      <c r="BA157">
        <f>IFERROR(INDEX(Z$13:Z$162,MATCH(145,$AF$13:$AF$162,0)),0)*$T$7</f>
        <v/>
      </c>
      <c r="BB157">
        <f>IFERROR(INDEX(AA$13:AA$162,MATCH(145,$AF$13:$AF$162,0)),0)*$T$7</f>
        <v/>
      </c>
      <c r="BC157">
        <f>IFERROR(INDEX($P$13:$P$162,MATCH(145,$AG$13:$AG$162,0)),"")</f>
        <v/>
      </c>
      <c r="BD157">
        <f>IFERROR(INDEX(S$13:S$162,MATCH(145,$AG$13:$AG$162,0)),0)*($T$8+IF($C$10="",$T$9,0))</f>
        <v/>
      </c>
      <c r="BE157">
        <f>IFERROR(INDEX(T$13:T$162,MATCH(145,$AG$13:$AG$162,0)),0)*($T$8+IF($C$10="",$T$9,0))</f>
        <v/>
      </c>
      <c r="BF157">
        <f>IFERROR(INDEX(U$13:U$162,MATCH(145,$AG$13:$AG$162,0)),0)*($T$8+IF($C$10="",$T$9,0))</f>
        <v/>
      </c>
      <c r="BG157">
        <f>IFERROR(INDEX(V$13:V$162,MATCH(145,$AG$13:$AG$162,0)),0)*($T$8+IF($C$10="",$T$9,0))</f>
        <v/>
      </c>
      <c r="BH157">
        <f>IFERROR(INDEX(W$13:W$162,MATCH(145,$AG$13:$AG$162,0)),0)*($T$8+IF($C$10="",$T$9,0))</f>
        <v/>
      </c>
      <c r="BI157">
        <f>IFERROR(INDEX(X$13:X$162,MATCH(145,$AG$13:$AG$162,0)),0)*($T$8+IF($C$10="",$T$9,0))</f>
        <v/>
      </c>
      <c r="BJ157">
        <f>IFERROR(INDEX(Y$13:Y$162,MATCH(145,$AG$13:$AG$162,0)),0)*($T$8+IF($C$10="",$T$9,0))</f>
        <v/>
      </c>
      <c r="BK157">
        <f>IFERROR(INDEX(Z$13:Z$162,MATCH(145,$AG$13:$AG$162,0)),0)*($T$8+IF($C$10="",$T$9,0))</f>
        <v/>
      </c>
      <c r="BL157">
        <f>IFERROR(INDEX(AA$13:AA$162,MATCH(145,$AG$13:$AG$162,0)),0)*($T$8+IF($C$10="",$T$9,0))</f>
        <v/>
      </c>
      <c r="BN157">
        <f>IF(144&lt;$U$9,INT(144/($U$7*$U$8))+1,1)</f>
        <v/>
      </c>
      <c r="BO157">
        <f>IF(144&lt;$U$9,MOD(INT(144/$U$8),$U$7)+1,1)</f>
        <v/>
      </c>
      <c r="BP157">
        <f>IF(144&lt;$U$9,MOD(144,$U$8)+1,1)</f>
        <v/>
      </c>
      <c r="BQ157">
        <f>IF(144&lt;$U$9,SUMPRODUCT(($D$10:$L$10&lt;&gt;"")*(($D$9:$L$9+INT(($S$12:$AA$12+INDEX($AJ$13:$AR$162,BN157,0)+INDEX($AT$13:$BB$162,BO157,0)+INDEX($BD$13:$BL$162,BP157,0))/100))&gt;=$D$10:$L$10)),0)</f>
        <v/>
      </c>
      <c r="BR157">
        <f>IF(144&lt;$U$9,SUMPRODUCT(($D$10:$L$10&lt;&gt;"")*(($D$10:$L$10-($D$9:$L$9+INT(($S$12:$AA$12+INDEX($AJ$13:$AR$162,BN157,0)+INDEX($AT$13:$BB$162,BO157,0)+INDEX($BD$13:$BL$162,BP157,0))/100)))&gt;0)*($D$10:$L$10-($D$9:$L$9+INT(($S$12:$AA$12+INDEX($AJ$13:$AR$162,BN157,0)+INDEX($AT$13:$BB$162,BO157,0)+INDEX($BD$13:$BL$162,BP157,0))/100)))),0)</f>
        <v/>
      </c>
      <c r="BS157">
        <f>IF(144&lt;$U$9,SUMPRODUCT(($D$9:$L$9+INT(($S$12:$AA$12+INDEX($AJ$13:$AR$162,BN157,0)+INDEX($AT$13:$BB$162,BO157,0)+INDEX($BD$13:$BL$162,BP157,0))/100))),0)</f>
        <v/>
      </c>
      <c r="BT157">
        <f>IF(AND(144&lt;$U$9,$W$5),BQ157*1000000-MIN(BR157,999)*1000+BS157-144/100000,-1000000000-144)</f>
        <v/>
      </c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P158">
        <f>IF('职业'!$C148="","",'职业'!$C148)</f>
        <v/>
      </c>
      <c r="Q158">
        <f>N('职业'!$D148)</f>
        <v/>
      </c>
      <c r="R158">
        <f>'职业'!$E148&amp;""</f>
        <v/>
      </c>
      <c r="S158">
        <f>IF($P158="",0,MAX(0,D$7+N('职业'!F148)))</f>
        <v/>
      </c>
      <c r="T158">
        <f>IF($P158="",0,MAX(0,E$7+N('职业'!G148)))</f>
        <v/>
      </c>
      <c r="U158">
        <f>IF($P158="",0,MAX(0,F$7+N('职业'!H148)))</f>
        <v/>
      </c>
      <c r="V158">
        <f>IF($P158="",0,MAX(0,G$7+N('职业'!I148)))</f>
        <v/>
      </c>
      <c r="W158">
        <f>IF($P158="",0,MAX(0,H$7+N('职业'!J148)))</f>
        <v/>
      </c>
      <c r="X158">
        <f>IF($P158="",0,MAX(0,I$7+N('职业'!K148)))</f>
        <v/>
      </c>
      <c r="Y158">
        <f>IF($P158="",0,MAX(0,J$7+N('职业'!L148)))</f>
        <v/>
      </c>
      <c r="Z158">
        <f>IF($P158="",0,MAX(0,K$7+N('职业'!M148)))</f>
        <v/>
      </c>
      <c r="AA158">
        <f>IF($P158="",0,MAX(0,L$7+N('职业'!N148)))</f>
        <v/>
      </c>
      <c r="AB158">
        <f>AND($P158&lt;&gt;"",IF($U$5=1,$P158=$C$10,OR($P158=$C$9,AND($R158="是",$Q158&lt;=MAX($B$9,$Q$6)))))</f>
        <v/>
      </c>
      <c r="AC158">
        <f>AND($P158&lt;&gt;"",IF($U$5=2,$P158=$C$10,OR($P158=$C$9,AND($R158="是",$Q158&lt;=MAX($B$9,$Q$7)))))</f>
        <v/>
      </c>
      <c r="AD158">
        <f>AND($P158&lt;&gt;"",IF($U$5=3,$P158=$C$10,OR($P158=$C$9,AND($R158="是",$Q158&lt;=MAX($B$9,$Q$8)))))</f>
        <v/>
      </c>
      <c r="AE158">
        <f>IF(AB158,COUNTIF(AB$13:AB158,TRUE),"")</f>
        <v/>
      </c>
      <c r="AF158">
        <f>IF(AC158,COUNTIF(AC$13:AC158,TRUE),"")</f>
        <v/>
      </c>
      <c r="AG158">
        <f>IF(AD158,COUNTIF(AD$13:AD158,TRUE),"")</f>
        <v/>
      </c>
      <c r="AI158">
        <f>IFERROR(INDEX($P$13:$P$162,MATCH(146,$AE$13:$AE$162,0)),"")</f>
        <v/>
      </c>
      <c r="AJ158">
        <f>IFERROR(INDEX(S$13:S$162,MATCH(146,$AE$13:$AE$162,0)),0)*$T$6</f>
        <v/>
      </c>
      <c r="AK158">
        <f>IFERROR(INDEX(T$13:T$162,MATCH(146,$AE$13:$AE$162,0)),0)*$T$6</f>
        <v/>
      </c>
      <c r="AL158">
        <f>IFERROR(INDEX(U$13:U$162,MATCH(146,$AE$13:$AE$162,0)),0)*$T$6</f>
        <v/>
      </c>
      <c r="AM158">
        <f>IFERROR(INDEX(V$13:V$162,MATCH(146,$AE$13:$AE$162,0)),0)*$T$6</f>
        <v/>
      </c>
      <c r="AN158">
        <f>IFERROR(INDEX(W$13:W$162,MATCH(146,$AE$13:$AE$162,0)),0)*$T$6</f>
        <v/>
      </c>
      <c r="AO158">
        <f>IFERROR(INDEX(X$13:X$162,MATCH(146,$AE$13:$AE$162,0)),0)*$T$6</f>
        <v/>
      </c>
      <c r="AP158">
        <f>IFERROR(INDEX(Y$13:Y$162,MATCH(146,$AE$13:$AE$162,0)),0)*$T$6</f>
        <v/>
      </c>
      <c r="AQ158">
        <f>IFERROR(INDEX(Z$13:Z$162,MATCH(146,$AE$13:$AE$162,0)),0)*$T$6</f>
        <v/>
      </c>
      <c r="AR158">
        <f>IFERROR(INDEX(AA$13:AA$162,MATCH(146,$AE$13:$AE$162,0)),0)*$T$6</f>
        <v/>
      </c>
      <c r="AS158">
        <f>IFERROR(INDEX($P$13:$P$162,MATCH(146,$AF$13:$AF$162,0)),"")</f>
        <v/>
      </c>
      <c r="AT158">
        <f>IFERROR(INDEX(S$13:S$162,MATCH(146,$AF$13:$AF$162,0)),0)*$T$7</f>
        <v/>
      </c>
      <c r="AU158">
        <f>IFERROR(INDEX(T$13:T$162,MATCH(146,$AF$13:$AF$162,0)),0)*$T$7</f>
        <v/>
      </c>
      <c r="AV158">
        <f>IFERROR(INDEX(U$13:U$162,MATCH(146,$AF$13:$AF$162,0)),0)*$T$7</f>
        <v/>
      </c>
      <c r="AW158">
        <f>IFERROR(INDEX(V$13:V$162,MATCH(146,$AF$13:$AF$162,0)),0)*$T$7</f>
        <v/>
      </c>
      <c r="AX158">
        <f>IFERROR(INDEX(W$13:W$162,MATCH(146,$AF$13:$AF$162,0)),0)*$T$7</f>
        <v/>
      </c>
      <c r="AY158">
        <f>IFERROR(INDEX(X$13:X$162,MATCH(146,$AF$13:$AF$162,0)),0)*$T$7</f>
        <v/>
      </c>
      <c r="AZ158">
        <f>IFERROR(INDEX(Y$13:Y$162,MATCH(146,$AF$13:$AF$162,0)),0)*$T$7</f>
        <v/>
      </c>
      <c r="BA158">
        <f>IFERROR(INDEX(Z$13:Z$162,MATCH(146,$AF$13:$AF$162,0)),0)*$T$7</f>
        <v/>
      </c>
      <c r="BB158">
        <f>IFERROR(INDEX(AA$13:AA$162,MATCH(146,$AF$13:$AF$162,0)),0)*$T$7</f>
        <v/>
      </c>
      <c r="BC158">
        <f>IFERROR(INDEX($P$13:$P$162,MATCH(146,$AG$13:$AG$162,0)),"")</f>
        <v/>
      </c>
      <c r="BD158">
        <f>IFERROR(INDEX(S$13:S$162,MATCH(146,$AG$13:$AG$162,0)),0)*($T$8+IF($C$10="",$T$9,0))</f>
        <v/>
      </c>
      <c r="BE158">
        <f>IFERROR(INDEX(T$13:T$162,MATCH(146,$AG$13:$AG$162,0)),0)*($T$8+IF($C$10="",$T$9,0))</f>
        <v/>
      </c>
      <c r="BF158">
        <f>IFERROR(INDEX(U$13:U$162,MATCH(146,$AG$13:$AG$162,0)),0)*($T$8+IF($C$10="",$T$9,0))</f>
        <v/>
      </c>
      <c r="BG158">
        <f>IFERROR(INDEX(V$13:V$162,MATCH(146,$AG$13:$AG$162,0)),0)*($T$8+IF($C$10="",$T$9,0))</f>
        <v/>
      </c>
      <c r="BH158">
        <f>IFERROR(INDEX(W$13:W$162,MATCH(146,$AG$13:$AG$162,0)),0)*($T$8+IF($C$10="",$T$9,0))</f>
        <v/>
      </c>
      <c r="BI158">
        <f>IFERROR(INDEX(X$13:X$162,MATCH(146,$AG$13:$AG$162,0)),0)*($T$8+IF($C$10="",$T$9,0))</f>
        <v/>
      </c>
      <c r="BJ158">
        <f>IFERROR(INDEX(Y$13:Y$162,MATCH(146,$AG$13:$AG$162,0)),0)*($T$8+IF($C$10="",$T$9,0))</f>
        <v/>
      </c>
      <c r="BK158">
        <f>IFERROR(INDEX(Z$13:Z$162,MATCH(146,$AG$13:$AG$162,0)),0)*($T$8+IF($C$10="",$T$9,0))</f>
        <v/>
      </c>
      <c r="BL158">
        <f>IFERROR(INDEX(AA$13:AA$162,MATCH(146,$AG$13:$AG$162,0)),0)*($T$8+IF($C$10="",$T$9,0))</f>
        <v/>
      </c>
      <c r="BN158">
        <f>IF(145&lt;$U$9,INT(145/($U$7*$U$8))+1,1)</f>
        <v/>
      </c>
      <c r="BO158">
        <f>IF(145&lt;$U$9,MOD(INT(145/$U$8),$U$7)+1,1)</f>
        <v/>
      </c>
      <c r="BP158">
        <f>IF(145&lt;$U$9,MOD(145,$U$8)+1,1)</f>
        <v/>
      </c>
      <c r="BQ158">
        <f>IF(145&lt;$U$9,SUMPRODUCT(($D$10:$L$10&lt;&gt;"")*(($D$9:$L$9+INT(($S$12:$AA$12+INDEX($AJ$13:$AR$162,BN158,0)+INDEX($AT$13:$BB$162,BO158,0)+INDEX($BD$13:$BL$162,BP158,0))/100))&gt;=$D$10:$L$10)),0)</f>
        <v/>
      </c>
      <c r="BR158">
        <f>IF(145&lt;$U$9,SUMPRODUCT(($D$10:$L$10&lt;&gt;"")*(($D$10:$L$10-($D$9:$L$9+INT(($S$12:$AA$12+INDEX($AJ$13:$AR$162,BN158,0)+INDEX($AT$13:$BB$162,BO158,0)+INDEX($BD$13:$BL$162,BP158,0))/100)))&gt;0)*($D$10:$L$10-($D$9:$L$9+INT(($S$12:$AA$12+INDEX($AJ$13:$AR$162,BN158,0)+INDEX($AT$13:$BB$162,BO158,0)+INDEX($BD$13:$BL$162,BP158,0))/100)))),0)</f>
        <v/>
      </c>
      <c r="BS158">
        <f>IF(145&lt;$U$9,SUMPRODUCT(($D$9:$L$9+INT(($S$12:$AA$12+INDEX($AJ$13:$AR$162,BN158,0)+INDEX($AT$13:$BB$162,BO158,0)+INDEX($BD$13:$BL$162,BP158,0))/100))),0)</f>
        <v/>
      </c>
      <c r="BT158">
        <f>IF(AND(145&lt;$U$9,$W$5),BQ158*1000000-MIN(BR158,999)*1000+BS158-145/100000,-1000000000-145)</f>
        <v/>
      </c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P159">
        <f>IF('职业'!$C149="","",'职业'!$C149)</f>
        <v/>
      </c>
      <c r="Q159">
        <f>N('职业'!$D149)</f>
        <v/>
      </c>
      <c r="R159">
        <f>'职业'!$E149&amp;""</f>
        <v/>
      </c>
      <c r="S159">
        <f>IF($P159="",0,MAX(0,D$7+N('职业'!F149)))</f>
        <v/>
      </c>
      <c r="T159">
        <f>IF($P159="",0,MAX(0,E$7+N('职业'!G149)))</f>
        <v/>
      </c>
      <c r="U159">
        <f>IF($P159="",0,MAX(0,F$7+N('职业'!H149)))</f>
        <v/>
      </c>
      <c r="V159">
        <f>IF($P159="",0,MAX(0,G$7+N('职业'!I149)))</f>
        <v/>
      </c>
      <c r="W159">
        <f>IF($P159="",0,MAX(0,H$7+N('职业'!J149)))</f>
        <v/>
      </c>
      <c r="X159">
        <f>IF($P159="",0,MAX(0,I$7+N('职业'!K149)))</f>
        <v/>
      </c>
      <c r="Y159">
        <f>IF($P159="",0,MAX(0,J$7+N('职业'!L149)))</f>
        <v/>
      </c>
      <c r="Z159">
        <f>IF($P159="",0,MAX(0,K$7+N('职业'!M149)))</f>
        <v/>
      </c>
      <c r="AA159">
        <f>IF($P159="",0,MAX(0,L$7+N('职业'!N149)))</f>
        <v/>
      </c>
      <c r="AB159">
        <f>AND($P159&lt;&gt;"",IF($U$5=1,$P159=$C$10,OR($P159=$C$9,AND($R159="是",$Q159&lt;=MAX($B$9,$Q$6)))))</f>
        <v/>
      </c>
      <c r="AC159">
        <f>AND($P159&lt;&gt;"",IF($U$5=2,$P159=$C$10,OR($P159=$C$9,AND($R159="是",$Q159&lt;=MAX($B$9,$Q$7)))))</f>
        <v/>
      </c>
      <c r="AD159">
        <f>AND($P159&lt;&gt;"",IF($U$5=3,$P159=$C$10,OR($P159=$C$9,AND($R159="是",$Q159&lt;=MAX($B$9,$Q$8)))))</f>
        <v/>
      </c>
      <c r="AE159">
        <f>IF(AB159,COUNTIF(AB$13:AB159,TRUE),"")</f>
        <v/>
      </c>
      <c r="AF159">
        <f>IF(AC159,COUNTIF(AC$13:AC159,TRUE),"")</f>
        <v/>
      </c>
      <c r="AG159">
        <f>IF(AD159,COUNTIF(AD$13:AD159,TRUE),"")</f>
        <v/>
      </c>
      <c r="AI159">
        <f>IFERROR(INDEX($P$13:$P$162,MATCH(147,$AE$13:$AE$162,0)),"")</f>
        <v/>
      </c>
      <c r="AJ159">
        <f>IFERROR(INDEX(S$13:S$162,MATCH(147,$AE$13:$AE$162,0)),0)*$T$6</f>
        <v/>
      </c>
      <c r="AK159">
        <f>IFERROR(INDEX(T$13:T$162,MATCH(147,$AE$13:$AE$162,0)),0)*$T$6</f>
        <v/>
      </c>
      <c r="AL159">
        <f>IFERROR(INDEX(U$13:U$162,MATCH(147,$AE$13:$AE$162,0)),0)*$T$6</f>
        <v/>
      </c>
      <c r="AM159">
        <f>IFERROR(INDEX(V$13:V$162,MATCH(147,$AE$13:$AE$162,0)),0)*$T$6</f>
        <v/>
      </c>
      <c r="AN159">
        <f>IFERROR(INDEX(W$13:W$162,MATCH(147,$AE$13:$AE$162,0)),0)*$T$6</f>
        <v/>
      </c>
      <c r="AO159">
        <f>IFERROR(INDEX(X$13:X$162,MATCH(147,$AE$13:$AE$162,0)),0)*$T$6</f>
        <v/>
      </c>
      <c r="AP159">
        <f>IFERROR(INDEX(Y$13:Y$162,MATCH(147,$AE$13:$AE$162,0)),0)*$T$6</f>
        <v/>
      </c>
      <c r="AQ159">
        <f>IFERROR(INDEX(Z$13:Z$162,MATCH(147,$AE$13:$AE$162,0)),0)*$T$6</f>
        <v/>
      </c>
      <c r="AR159">
        <f>IFERROR(INDEX(AA$13:AA$162,MATCH(147,$AE$13:$AE$162,0)),0)*$T$6</f>
        <v/>
      </c>
      <c r="AS159">
        <f>IFERROR(INDEX($P$13:$P$162,MATCH(147,$AF$13:$AF$162,0)),"")</f>
        <v/>
      </c>
      <c r="AT159">
        <f>IFERROR(INDEX(S$13:S$162,MATCH(147,$AF$13:$AF$162,0)),0)*$T$7</f>
        <v/>
      </c>
      <c r="AU159">
        <f>IFERROR(INDEX(T$13:T$162,MATCH(147,$AF$13:$AF$162,0)),0)*$T$7</f>
        <v/>
      </c>
      <c r="AV159">
        <f>IFERROR(INDEX(U$13:U$162,MATCH(147,$AF$13:$AF$162,0)),0)*$T$7</f>
        <v/>
      </c>
      <c r="AW159">
        <f>IFERROR(INDEX(V$13:V$162,MATCH(147,$AF$13:$AF$162,0)),0)*$T$7</f>
        <v/>
      </c>
      <c r="AX159">
        <f>IFERROR(INDEX(W$13:W$162,MATCH(147,$AF$13:$AF$162,0)),0)*$T$7</f>
        <v/>
      </c>
      <c r="AY159">
        <f>IFERROR(INDEX(X$13:X$162,MATCH(147,$AF$13:$AF$162,0)),0)*$T$7</f>
        <v/>
      </c>
      <c r="AZ159">
        <f>IFERROR(INDEX(Y$13:Y$162,MATCH(147,$AF$13:$AF$162,0)),0)*$T$7</f>
        <v/>
      </c>
      <c r="BA159">
        <f>IFERROR(INDEX(Z$13:Z$162,MATCH(147,$AF$13:$AF$162,0)),0)*$T$7</f>
        <v/>
      </c>
      <c r="BB159">
        <f>IFERROR(INDEX(AA$13:AA$162,MATCH(147,$AF$13:$AF$162,0)),0)*$T$7</f>
        <v/>
      </c>
      <c r="BC159">
        <f>IFERROR(INDEX($P$13:$P$162,MATCH(147,$AG$13:$AG$162,0)),"")</f>
        <v/>
      </c>
      <c r="BD159">
        <f>IFERROR(INDEX(S$13:S$162,MATCH(147,$AG$13:$AG$162,0)),0)*($T$8+IF($C$10="",$T$9,0))</f>
        <v/>
      </c>
      <c r="BE159">
        <f>IFERROR(INDEX(T$13:T$162,MATCH(147,$AG$13:$AG$162,0)),0)*($T$8+IF($C$10="",$T$9,0))</f>
        <v/>
      </c>
      <c r="BF159">
        <f>IFERROR(INDEX(U$13:U$162,MATCH(147,$AG$13:$AG$162,0)),0)*($T$8+IF($C$10="",$T$9,0))</f>
        <v/>
      </c>
      <c r="BG159">
        <f>IFERROR(INDEX(V$13:V$162,MATCH(147,$AG$13:$AG$162,0)),0)*($T$8+IF($C$10="",$T$9,0))</f>
        <v/>
      </c>
      <c r="BH159">
        <f>IFERROR(INDEX(W$13:W$162,MATCH(147,$AG$13:$AG$162,0)),0)*($T$8+IF($C$10="",$T$9,0))</f>
        <v/>
      </c>
      <c r="BI159">
        <f>IFERROR(INDEX(X$13:X$162,MATCH(147,$AG$13:$AG$162,0)),0)*($T$8+IF($C$10="",$T$9,0))</f>
        <v/>
      </c>
      <c r="BJ159">
        <f>IFERROR(INDEX(Y$13:Y$162,MATCH(147,$AG$13:$AG$162,0)),0)*($T$8+IF($C$10="",$T$9,0))</f>
        <v/>
      </c>
      <c r="BK159">
        <f>IFERROR(INDEX(Z$13:Z$162,MATCH(147,$AG$13:$AG$162,0)),0)*($T$8+IF($C$10="",$T$9,0))</f>
        <v/>
      </c>
      <c r="BL159">
        <f>IFERROR(INDEX(AA$13:AA$162,MATCH(147,$AG$13:$AG$162,0)),0)*($T$8+IF($C$10="",$T$9,0))</f>
        <v/>
      </c>
      <c r="BN159">
        <f>IF(146&lt;$U$9,INT(146/($U$7*$U$8))+1,1)</f>
        <v/>
      </c>
      <c r="BO159">
        <f>IF(146&lt;$U$9,MOD(INT(146/$U$8),$U$7)+1,1)</f>
        <v/>
      </c>
      <c r="BP159">
        <f>IF(146&lt;$U$9,MOD(146,$U$8)+1,1)</f>
        <v/>
      </c>
      <c r="BQ159">
        <f>IF(146&lt;$U$9,SUMPRODUCT(($D$10:$L$10&lt;&gt;"")*(($D$9:$L$9+INT(($S$12:$AA$12+INDEX($AJ$13:$AR$162,BN159,0)+INDEX($AT$13:$BB$162,BO159,0)+INDEX($BD$13:$BL$162,BP159,0))/100))&gt;=$D$10:$L$10)),0)</f>
        <v/>
      </c>
      <c r="BR159">
        <f>IF(146&lt;$U$9,SUMPRODUCT(($D$10:$L$10&lt;&gt;"")*(($D$10:$L$10-($D$9:$L$9+INT(($S$12:$AA$12+INDEX($AJ$13:$AR$162,BN159,0)+INDEX($AT$13:$BB$162,BO159,0)+INDEX($BD$13:$BL$162,BP159,0))/100)))&gt;0)*($D$10:$L$10-($D$9:$L$9+INT(($S$12:$AA$12+INDEX($AJ$13:$AR$162,BN159,0)+INDEX($AT$13:$BB$162,BO159,0)+INDEX($BD$13:$BL$162,BP159,0))/100)))),0)</f>
        <v/>
      </c>
      <c r="BS159">
        <f>IF(146&lt;$U$9,SUMPRODUCT(($D$9:$L$9+INT(($S$12:$AA$12+INDEX($AJ$13:$AR$162,BN159,0)+INDEX($AT$13:$BB$162,BO159,0)+INDEX($BD$13:$BL$162,BP159,0))/100))),0)</f>
        <v/>
      </c>
      <c r="BT159">
        <f>IF(AND(146&lt;$U$9,$W$5),BQ159*1000000-MIN(BR159,999)*1000+BS159-146/100000,-1000000000-146)</f>
        <v/>
      </c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P160">
        <f>IF('职业'!$C150="","",'职业'!$C150)</f>
        <v/>
      </c>
      <c r="Q160">
        <f>N('职业'!$D150)</f>
        <v/>
      </c>
      <c r="R160">
        <f>'职业'!$E150&amp;""</f>
        <v/>
      </c>
      <c r="S160">
        <f>IF($P160="",0,MAX(0,D$7+N('职业'!F150)))</f>
        <v/>
      </c>
      <c r="T160">
        <f>IF($P160="",0,MAX(0,E$7+N('职业'!G150)))</f>
        <v/>
      </c>
      <c r="U160">
        <f>IF($P160="",0,MAX(0,F$7+N('职业'!H150)))</f>
        <v/>
      </c>
      <c r="V160">
        <f>IF($P160="",0,MAX(0,G$7+N('职业'!I150)))</f>
        <v/>
      </c>
      <c r="W160">
        <f>IF($P160="",0,MAX(0,H$7+N('职业'!J150)))</f>
        <v/>
      </c>
      <c r="X160">
        <f>IF($P160="",0,MAX(0,I$7+N('职业'!K150)))</f>
        <v/>
      </c>
      <c r="Y160">
        <f>IF($P160="",0,MAX(0,J$7+N('职业'!L150)))</f>
        <v/>
      </c>
      <c r="Z160">
        <f>IF($P160="",0,MAX(0,K$7+N('职业'!M150)))</f>
        <v/>
      </c>
      <c r="AA160">
        <f>IF($P160="",0,MAX(0,L$7+N('职业'!N150)))</f>
        <v/>
      </c>
      <c r="AB160">
        <f>AND($P160&lt;&gt;"",IF($U$5=1,$P160=$C$10,OR($P160=$C$9,AND($R160="是",$Q160&lt;=MAX($B$9,$Q$6)))))</f>
        <v/>
      </c>
      <c r="AC160">
        <f>AND($P160&lt;&gt;"",IF($U$5=2,$P160=$C$10,OR($P160=$C$9,AND($R160="是",$Q160&lt;=MAX($B$9,$Q$7)))))</f>
        <v/>
      </c>
      <c r="AD160">
        <f>AND($P160&lt;&gt;"",IF($U$5=3,$P160=$C$10,OR($P160=$C$9,AND($R160="是",$Q160&lt;=MAX($B$9,$Q$8)))))</f>
        <v/>
      </c>
      <c r="AE160">
        <f>IF(AB160,COUNTIF(AB$13:AB160,TRUE),"")</f>
        <v/>
      </c>
      <c r="AF160">
        <f>IF(AC160,COUNTIF(AC$13:AC160,TRUE),"")</f>
        <v/>
      </c>
      <c r="AG160">
        <f>IF(AD160,COUNTIF(AD$13:AD160,TRUE),"")</f>
        <v/>
      </c>
      <c r="AI160">
        <f>IFERROR(INDEX($P$13:$P$162,MATCH(148,$AE$13:$AE$162,0)),"")</f>
        <v/>
      </c>
      <c r="AJ160">
        <f>IFERROR(INDEX(S$13:S$162,MATCH(148,$AE$13:$AE$162,0)),0)*$T$6</f>
        <v/>
      </c>
      <c r="AK160">
        <f>IFERROR(INDEX(T$13:T$162,MATCH(148,$AE$13:$AE$162,0)),0)*$T$6</f>
        <v/>
      </c>
      <c r="AL160">
        <f>IFERROR(INDEX(U$13:U$162,MATCH(148,$AE$13:$AE$162,0)),0)*$T$6</f>
        <v/>
      </c>
      <c r="AM160">
        <f>IFERROR(INDEX(V$13:V$162,MATCH(148,$AE$13:$AE$162,0)),0)*$T$6</f>
        <v/>
      </c>
      <c r="AN160">
        <f>IFERROR(INDEX(W$13:W$162,MATCH(148,$AE$13:$AE$162,0)),0)*$T$6</f>
        <v/>
      </c>
      <c r="AO160">
        <f>IFERROR(INDEX(X$13:X$162,MATCH(148,$AE$13:$AE$162,0)),0)*$T$6</f>
        <v/>
      </c>
      <c r="AP160">
        <f>IFERROR(INDEX(Y$13:Y$162,MATCH(148,$AE$13:$AE$162,0)),0)*$T$6</f>
        <v/>
      </c>
      <c r="AQ160">
        <f>IFERROR(INDEX(Z$13:Z$162,MATCH(148,$AE$13:$AE$162,0)),0)*$T$6</f>
        <v/>
      </c>
      <c r="AR160">
        <f>IFERROR(INDEX(AA$13:AA$162,MATCH(148,$AE$13:$AE$162,0)),0)*$T$6</f>
        <v/>
      </c>
      <c r="AS160">
        <f>IFERROR(INDEX($P$13:$P$162,MATCH(148,$AF$13:$AF$162,0)),"")</f>
        <v/>
      </c>
      <c r="AT160">
        <f>IFERROR(INDEX(S$13:S$162,MATCH(148,$AF$13:$AF$162,0)),0)*$T$7</f>
        <v/>
      </c>
      <c r="AU160">
        <f>IFERROR(INDEX(T$13:T$162,MATCH(148,$AF$13:$AF$162,0)),0)*$T$7</f>
        <v/>
      </c>
      <c r="AV160">
        <f>IFERROR(INDEX(U$13:U$162,MATCH(148,$AF$13:$AF$162,0)),0)*$T$7</f>
        <v/>
      </c>
      <c r="AW160">
        <f>IFERROR(INDEX(V$13:V$162,MATCH(148,$AF$13:$AF$162,0)),0)*$T$7</f>
        <v/>
      </c>
      <c r="AX160">
        <f>IFERROR(INDEX(W$13:W$162,MATCH(148,$AF$13:$AF$162,0)),0)*$T$7</f>
        <v/>
      </c>
      <c r="AY160">
        <f>IFERROR(INDEX(X$13:X$162,MATCH(148,$AF$13:$AF$162,0)),0)*$T$7</f>
        <v/>
      </c>
      <c r="AZ160">
        <f>IFERROR(INDEX(Y$13:Y$162,MATCH(148,$AF$13:$AF$162,0)),0)*$T$7</f>
        <v/>
      </c>
      <c r="BA160">
        <f>IFERROR(INDEX(Z$13:Z$162,MATCH(148,$AF$13:$AF$162,0)),0)*$T$7</f>
        <v/>
      </c>
      <c r="BB160">
        <f>IFERROR(INDEX(AA$13:AA$162,MATCH(148,$AF$13:$AF$162,0)),0)*$T$7</f>
        <v/>
      </c>
      <c r="BC160">
        <f>IFERROR(INDEX($P$13:$P$162,MATCH(148,$AG$13:$AG$162,0)),"")</f>
        <v/>
      </c>
      <c r="BD160">
        <f>IFERROR(INDEX(S$13:S$162,MATCH(148,$AG$13:$AG$162,0)),0)*($T$8+IF($C$10="",$T$9,0))</f>
        <v/>
      </c>
      <c r="BE160">
        <f>IFERROR(INDEX(T$13:T$162,MATCH(148,$AG$13:$AG$162,0)),0)*($T$8+IF($C$10="",$T$9,0))</f>
        <v/>
      </c>
      <c r="BF160">
        <f>IFERROR(INDEX(U$13:U$162,MATCH(148,$AG$13:$AG$162,0)),0)*($T$8+IF($C$10="",$T$9,0))</f>
        <v/>
      </c>
      <c r="BG160">
        <f>IFERROR(INDEX(V$13:V$162,MATCH(148,$AG$13:$AG$162,0)),0)*($T$8+IF($C$10="",$T$9,0))</f>
        <v/>
      </c>
      <c r="BH160">
        <f>IFERROR(INDEX(W$13:W$162,MATCH(148,$AG$13:$AG$162,0)),0)*($T$8+IF($C$10="",$T$9,0))</f>
        <v/>
      </c>
      <c r="BI160">
        <f>IFERROR(INDEX(X$13:X$162,MATCH(148,$AG$13:$AG$162,0)),0)*($T$8+IF($C$10="",$T$9,0))</f>
        <v/>
      </c>
      <c r="BJ160">
        <f>IFERROR(INDEX(Y$13:Y$162,MATCH(148,$AG$13:$AG$162,0)),0)*($T$8+IF($C$10="",$T$9,0))</f>
        <v/>
      </c>
      <c r="BK160">
        <f>IFERROR(INDEX(Z$13:Z$162,MATCH(148,$AG$13:$AG$162,0)),0)*($T$8+IF($C$10="",$T$9,0))</f>
        <v/>
      </c>
      <c r="BL160">
        <f>IFERROR(INDEX(AA$13:AA$162,MATCH(148,$AG$13:$AG$162,0)),0)*($T$8+IF($C$10="",$T$9,0))</f>
        <v/>
      </c>
      <c r="BN160">
        <f>IF(147&lt;$U$9,INT(147/($U$7*$U$8))+1,1)</f>
        <v/>
      </c>
      <c r="BO160">
        <f>IF(147&lt;$U$9,MOD(INT(147/$U$8),$U$7)+1,1)</f>
        <v/>
      </c>
      <c r="BP160">
        <f>IF(147&lt;$U$9,MOD(147,$U$8)+1,1)</f>
        <v/>
      </c>
      <c r="BQ160">
        <f>IF(147&lt;$U$9,SUMPRODUCT(($D$10:$L$10&lt;&gt;"")*(($D$9:$L$9+INT(($S$12:$AA$12+INDEX($AJ$13:$AR$162,BN160,0)+INDEX($AT$13:$BB$162,BO160,0)+INDEX($BD$13:$BL$162,BP160,0))/100))&gt;=$D$10:$L$10)),0)</f>
        <v/>
      </c>
      <c r="BR160">
        <f>IF(147&lt;$U$9,SUMPRODUCT(($D$10:$L$10&lt;&gt;"")*(($D$10:$L$10-($D$9:$L$9+INT(($S$12:$AA$12+INDEX($AJ$13:$AR$162,BN160,0)+INDEX($AT$13:$BB$162,BO160,0)+INDEX($BD$13:$BL$162,BP160,0))/100)))&gt;0)*($D$10:$L$10-($D$9:$L$9+INT(($S$12:$AA$12+INDEX($AJ$13:$AR$162,BN160,0)+INDEX($AT$13:$BB$162,BO160,0)+INDEX($BD$13:$BL$162,BP160,0))/100)))),0)</f>
        <v/>
      </c>
      <c r="BS160">
        <f>IF(147&lt;$U$9,SUMPRODUCT(($D$9:$L$9+INT(($S$12:$AA$12+INDEX($AJ$13:$AR$162,BN160,0)+INDEX($AT$13:$BB$162,BO160,0)+INDEX($BD$13:$BL$162,BP160,0))/100))),0)</f>
        <v/>
      </c>
      <c r="BT160">
        <f>IF(AND(147&lt;$U$9,$W$5),BQ160*1000000-MIN(BR160,999)*1000+BS160-147/100000,-1000000000-147)</f>
        <v/>
      </c>
    </row>
    <row r="161">
      <c r="P161">
        <f>IF('职业'!$C151="","",'职业'!$C151)</f>
        <v/>
      </c>
      <c r="Q161">
        <f>N('职业'!$D151)</f>
        <v/>
      </c>
      <c r="R161">
        <f>'职业'!$E151&amp;""</f>
        <v/>
      </c>
      <c r="S161">
        <f>IF($P161="",0,MAX(0,D$7+N('职业'!F151)))</f>
        <v/>
      </c>
      <c r="T161">
        <f>IF($P161="",0,MAX(0,E$7+N('职业'!G151)))</f>
        <v/>
      </c>
      <c r="U161">
        <f>IF($P161="",0,MAX(0,F$7+N('职业'!H151)))</f>
        <v/>
      </c>
      <c r="V161">
        <f>IF($P161="",0,MAX(0,G$7+N('职业'!I151)))</f>
        <v/>
      </c>
      <c r="W161">
        <f>IF($P161="",0,MAX(0,H$7+N('职业'!J151)))</f>
        <v/>
      </c>
      <c r="X161">
        <f>IF($P161="",0,MAX(0,I$7+N('职业'!K151)))</f>
        <v/>
      </c>
      <c r="Y161">
        <f>IF($P161="",0,MAX(0,J$7+N('职业'!L151)))</f>
        <v/>
      </c>
      <c r="Z161">
        <f>IF($P161="",0,MAX(0,K$7+N('职业'!M151)))</f>
        <v/>
      </c>
      <c r="AA161">
        <f>IF($P161="",0,MAX(0,L$7+N('职业'!N151)))</f>
        <v/>
      </c>
      <c r="AB161">
        <f>AND($P161&lt;&gt;"",IF($U$5=1,$P161=$C$10,OR($P161=$C$9,AND($R161="是",$Q161&lt;=MAX($B$9,$Q$6)))))</f>
        <v/>
      </c>
      <c r="AC161">
        <f>AND($P161&lt;&gt;"",IF($U$5=2,$P161=$C$10,OR($P161=$C$9,AND($R161="是",$Q161&lt;=MAX($B$9,$Q$7)))))</f>
        <v/>
      </c>
      <c r="AD161">
        <f>AND($P161&lt;&gt;"",IF($U$5=3,$P161=$C$10,OR($P161=$C$9,AND($R161="是",$Q161&lt;=MAX($B$9,$Q$8)))))</f>
        <v/>
      </c>
      <c r="AE161">
        <f>IF(AB161,COUNTIF(AB$13:AB161,TRUE),"")</f>
        <v/>
      </c>
      <c r="AF161">
        <f>IF(AC161,COUNTIF(AC$13:AC161,TRUE),"")</f>
        <v/>
      </c>
      <c r="AG161">
        <f>IF(AD161,COUNTIF(AD$13:AD161,TRUE),"")</f>
        <v/>
      </c>
      <c r="AI161">
        <f>IFERROR(INDEX($P$13:$P$162,MATCH(149,$AE$13:$AE$162,0)),"")</f>
        <v/>
      </c>
      <c r="AJ161">
        <f>IFERROR(INDEX(S$13:S$162,MATCH(149,$AE$13:$AE$162,0)),0)*$T$6</f>
        <v/>
      </c>
      <c r="AK161">
        <f>IFERROR(INDEX(T$13:T$162,MATCH(149,$AE$13:$AE$162,0)),0)*$T$6</f>
        <v/>
      </c>
      <c r="AL161">
        <f>IFERROR(INDEX(U$13:U$162,MATCH(149,$AE$13:$AE$162,0)),0)*$T$6</f>
        <v/>
      </c>
      <c r="AM161">
        <f>IFERROR(INDEX(V$13:V$162,MATCH(149,$AE$13:$AE$162,0)),0)*$T$6</f>
        <v/>
      </c>
      <c r="AN161">
        <f>IFERROR(INDEX(W$13:W$162,MATCH(149,$AE$13:$AE$162,0)),0)*$T$6</f>
        <v/>
      </c>
      <c r="AO161">
        <f>IFERROR(INDEX(X$13:X$162,MATCH(149,$AE$13:$AE$162,0)),0)*$T$6</f>
        <v/>
      </c>
      <c r="AP161">
        <f>IFERROR(INDEX(Y$13:Y$162,MATCH(149,$AE$13:$AE$162,0)),0)*$T$6</f>
        <v/>
      </c>
      <c r="AQ161">
        <f>IFERROR(INDEX(Z$13:Z$162,MATCH(149,$AE$13:$AE$162,0)),0)*$T$6</f>
        <v/>
      </c>
      <c r="AR161">
        <f>IFERROR(INDEX(AA$13:AA$162,MATCH(149,$AE$13:$AE$162,0)),0)*$T$6</f>
        <v/>
      </c>
      <c r="AS161">
        <f>IFERROR(INDEX($P$13:$P$162,MATCH(149,$AF$13:$AF$162,0)),"")</f>
        <v/>
      </c>
      <c r="AT161">
        <f>IFERROR(INDEX(S$13:S$162,MATCH(149,$AF$13:$AF$162,0)),0)*$T$7</f>
        <v/>
      </c>
      <c r="AU161">
        <f>IFERROR(INDEX(T$13:T$162,MATCH(149,$AF$13:$AF$162,0)),0)*$T$7</f>
        <v/>
      </c>
      <c r="AV161">
        <f>IFERROR(INDEX(U$13:U$162,MATCH(149,$AF$13:$AF$162,0)),0)*$T$7</f>
        <v/>
      </c>
      <c r="AW161">
        <f>IFERROR(INDEX(V$13:V$162,MATCH(149,$AF$13:$AF$162,0)),0)*$T$7</f>
        <v/>
      </c>
      <c r="AX161">
        <f>IFERROR(INDEX(W$13:W$162,MATCH(149,$AF$13:$AF$162,0)),0)*$T$7</f>
        <v/>
      </c>
      <c r="AY161">
        <f>IFERROR(INDEX(X$13:X$162,MATCH(149,$AF$13:$AF$162,0)),0)*$T$7</f>
        <v/>
      </c>
      <c r="AZ161">
        <f>IFERROR(INDEX(Y$13:Y$162,MATCH(149,$AF$13:$AF$162,0)),0)*$T$7</f>
        <v/>
      </c>
      <c r="BA161">
        <f>IFERROR(INDEX(Z$13:Z$162,MATCH(149,$AF$13:$AF$162,0)),0)*$T$7</f>
        <v/>
      </c>
      <c r="BB161">
        <f>IFERROR(INDEX(AA$13:AA$162,MATCH(149,$AF$13:$AF$162,0)),0)*$T$7</f>
        <v/>
      </c>
      <c r="BC161">
        <f>IFERROR(INDEX($P$13:$P$162,MATCH(149,$AG$13:$AG$162,0)),"")</f>
        <v/>
      </c>
      <c r="BD161">
        <f>IFERROR(INDEX(S$13:S$162,MATCH(149,$AG$13:$AG$162,0)),0)*($T$8+IF($C$10="",$T$9,0))</f>
        <v/>
      </c>
      <c r="BE161">
        <f>IFERROR(INDEX(T$13:T$162,MATCH(149,$AG$13:$AG$162,0)),0)*($T$8+IF($C$10="",$T$9,0))</f>
        <v/>
      </c>
      <c r="BF161">
        <f>IFERROR(INDEX(U$13:U$162,MATCH(149,$AG$13:$AG$162,0)),0)*($T$8+IF($C$10="",$T$9,0))</f>
        <v/>
      </c>
      <c r="BG161">
        <f>IFERROR(INDEX(V$13:V$162,MATCH(149,$AG$13:$AG$162,0)),0)*($T$8+IF($C$10="",$T$9,0))</f>
        <v/>
      </c>
      <c r="BH161">
        <f>IFERROR(INDEX(W$13:W$162,MATCH(149,$AG$13:$AG$162,0)),0)*($T$8+IF($C$10="",$T$9,0))</f>
        <v/>
      </c>
      <c r="BI161">
        <f>IFERROR(INDEX(X$13:X$162,MATCH(149,$AG$13:$AG$162,0)),0)*($T$8+IF($C$10="",$T$9,0))</f>
        <v/>
      </c>
      <c r="BJ161">
        <f>IFERROR(INDEX(Y$13:Y$162,MATCH(149,$AG$13:$AG$162,0)),0)*($T$8+IF($C$10="",$T$9,0))</f>
        <v/>
      </c>
      <c r="BK161">
        <f>IFERROR(INDEX(Z$13:Z$162,MATCH(149,$AG$13:$AG$162,0)),0)*($T$8+IF($C$10="",$T$9,0))</f>
        <v/>
      </c>
      <c r="BL161">
        <f>IFERROR(INDEX(AA$13:AA$162,MATCH(149,$AG$13:$AG$162,0)),0)*($T$8+IF($C$10="",$T$9,0))</f>
        <v/>
      </c>
      <c r="BN161">
        <f>IF(148&lt;$U$9,INT(148/($U$7*$U$8))+1,1)</f>
        <v/>
      </c>
      <c r="BO161">
        <f>IF(148&lt;$U$9,MOD(INT(148/$U$8),$U$7)+1,1)</f>
        <v/>
      </c>
      <c r="BP161">
        <f>IF(148&lt;$U$9,MOD(148,$U$8)+1,1)</f>
        <v/>
      </c>
      <c r="BQ161">
        <f>IF(148&lt;$U$9,SUMPRODUCT(($D$10:$L$10&lt;&gt;"")*(($D$9:$L$9+INT(($S$12:$AA$12+INDEX($AJ$13:$AR$162,BN161,0)+INDEX($AT$13:$BB$162,BO161,0)+INDEX($BD$13:$BL$162,BP161,0))/100))&gt;=$D$10:$L$10)),0)</f>
        <v/>
      </c>
      <c r="BR161">
        <f>IF(148&lt;$U$9,SUMPRODUCT(($D$10:$L$10&lt;&gt;"")*(($D$10:$L$10-($D$9:$L$9+INT(($S$12:$AA$12+INDEX($AJ$13:$AR$162,BN161,0)+INDEX($AT$13:$BB$162,BO161,0)+INDEX($BD$13:$BL$162,BP161,0))/100)))&gt;0)*($D$10:$L$10-($D$9:$L$9+INT(($S$12:$AA$12+INDEX($AJ$13:$AR$162,BN161,0)+INDEX($AT$13:$BB$162,BO161,0)+INDEX($BD$13:$BL$162,BP161,0))/100)))),0)</f>
        <v/>
      </c>
      <c r="BS161">
        <f>IF(148&lt;$U$9,SUMPRODUCT(($D$9:$L$9+INT(($S$12:$AA$12+INDEX($AJ$13:$AR$162,BN161,0)+INDEX($AT$13:$BB$162,BO161,0)+INDEX($BD$13:$BL$162,BP161,0))/100))),0)</f>
        <v/>
      </c>
      <c r="BT161">
        <f>IF(AND(148&lt;$U$9,$W$5),BQ161*1000000-MIN(BR161,999)*1000+BS161-148/100000,-1000000000-148)</f>
        <v/>
      </c>
    </row>
    <row r="162">
      <c r="P162">
        <f>IF('职业'!$C152="","",'职业'!$C152)</f>
        <v/>
      </c>
      <c r="Q162">
        <f>N('职业'!$D152)</f>
        <v/>
      </c>
      <c r="R162">
        <f>'职业'!$E152&amp;""</f>
        <v/>
      </c>
      <c r="S162">
        <f>IF($P162="",0,MAX(0,D$7+N('职业'!F152)))</f>
        <v/>
      </c>
      <c r="T162">
        <f>IF($P162="",0,MAX(0,E$7+N('职业'!G152)))</f>
        <v/>
      </c>
      <c r="U162">
        <f>IF($P162="",0,MAX(0,F$7+N('职业'!H152)))</f>
        <v/>
      </c>
      <c r="V162">
        <f>IF($P162="",0,MAX(0,G$7+N('职业'!I152)))</f>
        <v/>
      </c>
      <c r="W162">
        <f>IF($P162="",0,MAX(0,H$7+N('职业'!J152)))</f>
        <v/>
      </c>
      <c r="X162">
        <f>IF($P162="",0,MAX(0,I$7+N('职业'!K152)))</f>
        <v/>
      </c>
      <c r="Y162">
        <f>IF($P162="",0,MAX(0,J$7+N('职业'!L152)))</f>
        <v/>
      </c>
      <c r="Z162">
        <f>IF($P162="",0,MAX(0,K$7+N('职业'!M152)))</f>
        <v/>
      </c>
      <c r="AA162">
        <f>IF($P162="",0,MAX(0,L$7+N('职业'!N152)))</f>
        <v/>
      </c>
      <c r="AB162">
        <f>AND($P162&lt;&gt;"",IF($U$5=1,$P162=$C$10,OR($P162=$C$9,AND($R162="是",$Q162&lt;=MAX($B$9,$Q$6)))))</f>
        <v/>
      </c>
      <c r="AC162">
        <f>AND($P162&lt;&gt;"",IF($U$5=2,$P162=$C$10,OR($P162=$C$9,AND($R162="是",$Q162&lt;=MAX($B$9,$Q$7)))))</f>
        <v/>
      </c>
      <c r="AD162">
        <f>AND($P162&lt;&gt;"",IF($U$5=3,$P162=$C$10,OR($P162=$C$9,AND($R162="是",$Q162&lt;=MAX($B$9,$Q$8)))))</f>
        <v/>
      </c>
      <c r="AE162">
        <f>IF(AB162,COUNTIF(AB$13:AB162,TRUE),"")</f>
        <v/>
      </c>
      <c r="AF162">
        <f>IF(AC162,COUNTIF(AC$13:AC162,TRUE),"")</f>
        <v/>
      </c>
      <c r="AG162">
        <f>IF(AD162,COUNTIF(AD$13:AD162,TRUE),"")</f>
        <v/>
      </c>
      <c r="AI162">
        <f>IFERROR(INDEX($P$13:$P$162,MATCH(150,$AE$13:$AE$162,0)),"")</f>
        <v/>
      </c>
      <c r="AJ162">
        <f>IFERROR(INDEX(S$13:S$162,MATCH(150,$AE$13:$AE$162,0)),0)*$T$6</f>
        <v/>
      </c>
      <c r="AK162">
        <f>IFERROR(INDEX(T$13:T$162,MATCH(150,$AE$13:$AE$162,0)),0)*$T$6</f>
        <v/>
      </c>
      <c r="AL162">
        <f>IFERROR(INDEX(U$13:U$162,MATCH(150,$AE$13:$AE$162,0)),0)*$T$6</f>
        <v/>
      </c>
      <c r="AM162">
        <f>IFERROR(INDEX(V$13:V$162,MATCH(150,$AE$13:$AE$162,0)),0)*$T$6</f>
        <v/>
      </c>
      <c r="AN162">
        <f>IFERROR(INDEX(W$13:W$162,MATCH(150,$AE$13:$AE$162,0)),0)*$T$6</f>
        <v/>
      </c>
      <c r="AO162">
        <f>IFERROR(INDEX(X$13:X$162,MATCH(150,$AE$13:$AE$162,0)),0)*$T$6</f>
        <v/>
      </c>
      <c r="AP162">
        <f>IFERROR(INDEX(Y$13:Y$162,MATCH(150,$AE$13:$AE$162,0)),0)*$T$6</f>
        <v/>
      </c>
      <c r="AQ162">
        <f>IFERROR(INDEX(Z$13:Z$162,MATCH(150,$AE$13:$AE$162,0)),0)*$T$6</f>
        <v/>
      </c>
      <c r="AR162">
        <f>IFERROR(INDEX(AA$13:AA$162,MATCH(150,$AE$13:$AE$162,0)),0)*$T$6</f>
        <v/>
      </c>
      <c r="AS162">
        <f>IFERROR(INDEX($P$13:$P$162,MATCH(150,$AF$13:$AF$162,0)),"")</f>
        <v/>
      </c>
      <c r="AT162">
        <f>IFERROR(INDEX(S$13:S$162,MATCH(150,$AF$13:$AF$162,0)),0)*$T$7</f>
        <v/>
      </c>
      <c r="AU162">
        <f>IFERROR(INDEX(T$13:T$162,MATCH(150,$AF$13:$AF$162,0)),0)*$T$7</f>
        <v/>
      </c>
      <c r="AV162">
        <f>IFERROR(INDEX(U$13:U$162,MATCH(150,$AF$13:$AF$162,0)),0)*$T$7</f>
        <v/>
      </c>
      <c r="AW162">
        <f>IFERROR(INDEX(V$13:V$162,MATCH(150,$AF$13:$AF$162,0)),0)*$T$7</f>
        <v/>
      </c>
      <c r="AX162">
        <f>IFERROR(INDEX(W$13:W$162,MATCH(150,$AF$13:$AF$162,0)),0)*$T$7</f>
        <v/>
      </c>
      <c r="AY162">
        <f>IFERROR(INDEX(X$13:X$162,MATCH(150,$AF$13:$AF$162,0)),0)*$T$7</f>
        <v/>
      </c>
      <c r="AZ162">
        <f>IFERROR(INDEX(Y$13:Y$162,MATCH(150,$AF$13:$AF$162,0)),0)*$T$7</f>
        <v/>
      </c>
      <c r="BA162">
        <f>IFERROR(INDEX(Z$13:Z$162,MATCH(150,$AF$13:$AF$162,0)),0)*$T$7</f>
        <v/>
      </c>
      <c r="BB162">
        <f>IFERROR(INDEX(AA$13:AA$162,MATCH(150,$AF$13:$AF$162,0)),0)*$T$7</f>
        <v/>
      </c>
      <c r="BC162">
        <f>IFERROR(INDEX($P$13:$P$162,MATCH(150,$AG$13:$AG$162,0)),"")</f>
        <v/>
      </c>
      <c r="BD162">
        <f>IFERROR(INDEX(S$13:S$162,MATCH(150,$AG$13:$AG$162,0)),0)*($T$8+IF($C$10="",$T$9,0))</f>
        <v/>
      </c>
      <c r="BE162">
        <f>IFERROR(INDEX(T$13:T$162,MATCH(150,$AG$13:$AG$162,0)),0)*($T$8+IF($C$10="",$T$9,0))</f>
        <v/>
      </c>
      <c r="BF162">
        <f>IFERROR(INDEX(U$13:U$162,MATCH(150,$AG$13:$AG$162,0)),0)*($T$8+IF($C$10="",$T$9,0))</f>
        <v/>
      </c>
      <c r="BG162">
        <f>IFERROR(INDEX(V$13:V$162,MATCH(150,$AG$13:$AG$162,0)),0)*($T$8+IF($C$10="",$T$9,0))</f>
        <v/>
      </c>
      <c r="BH162">
        <f>IFERROR(INDEX(W$13:W$162,MATCH(150,$AG$13:$AG$162,0)),0)*($T$8+IF($C$10="",$T$9,0))</f>
        <v/>
      </c>
      <c r="BI162">
        <f>IFERROR(INDEX(X$13:X$162,MATCH(150,$AG$13:$AG$162,0)),0)*($T$8+IF($C$10="",$T$9,0))</f>
        <v/>
      </c>
      <c r="BJ162">
        <f>IFERROR(INDEX(Y$13:Y$162,MATCH(150,$AG$13:$AG$162,0)),0)*($T$8+IF($C$10="",$T$9,0))</f>
        <v/>
      </c>
      <c r="BK162">
        <f>IFERROR(INDEX(Z$13:Z$162,MATCH(150,$AG$13:$AG$162,0)),0)*($T$8+IF($C$10="",$T$9,0))</f>
        <v/>
      </c>
      <c r="BL162">
        <f>IFERROR(INDEX(AA$13:AA$162,MATCH(150,$AG$13:$AG$162,0)),0)*($T$8+IF($C$10="",$T$9,0))</f>
        <v/>
      </c>
      <c r="BN162">
        <f>IF(149&lt;$U$9,INT(149/($U$7*$U$8))+1,1)</f>
        <v/>
      </c>
      <c r="BO162">
        <f>IF(149&lt;$U$9,MOD(INT(149/$U$8),$U$7)+1,1)</f>
        <v/>
      </c>
      <c r="BP162">
        <f>IF(149&lt;$U$9,MOD(149,$U$8)+1,1)</f>
        <v/>
      </c>
      <c r="BQ162">
        <f>IF(149&lt;$U$9,SUMPRODUCT(($D$10:$L$10&lt;&gt;"")*(($D$9:$L$9+INT(($S$12:$AA$12+INDEX($AJ$13:$AR$162,BN162,0)+INDEX($AT$13:$BB$162,BO162,0)+INDEX($BD$13:$BL$162,BP162,0))/100))&gt;=$D$10:$L$10)),0)</f>
        <v/>
      </c>
      <c r="BR162">
        <f>IF(149&lt;$U$9,SUMPRODUCT(($D$10:$L$10&lt;&gt;"")*(($D$10:$L$10-($D$9:$L$9+INT(($S$12:$AA$12+INDEX($AJ$13:$AR$162,BN162,0)+INDEX($AT$13:$BB$162,BO162,0)+INDEX($BD$13:$BL$162,BP162,0))/100)))&gt;0)*($D$10:$L$10-($D$9:$L$9+INT(($S$12:$AA$12+INDEX($AJ$13:$AR$162,BN162,0)+INDEX($AT$13:$BB$162,BO162,0)+INDEX($BD$13:$BL$162,BP162,0))/100)))),0)</f>
        <v/>
      </c>
      <c r="BS162">
        <f>IF(149&lt;$U$9,SUMPRODUCT(($D$9:$L$9+INT(($S$12:$AA$12+INDEX($AJ$13:$AR$162,BN162,0)+INDEX($AT$13:$BB$162,BO162,0)+INDEX($BD$13:$BL$162,BP162,0))/100))),0)</f>
        <v/>
      </c>
      <c r="BT162">
        <f>IF(AND(149&lt;$U$9,$W$5),BQ162*1000000-MIN(BR162,999)*1000+BS162-149/100000,-1000000000-149)</f>
        <v/>
      </c>
    </row>
    <row r="163">
      <c r="BN163">
        <f>IF(150&lt;$U$9,INT(150/($U$7*$U$8))+1,1)</f>
        <v/>
      </c>
      <c r="BO163">
        <f>IF(150&lt;$U$9,MOD(INT(150/$U$8),$U$7)+1,1)</f>
        <v/>
      </c>
      <c r="BP163">
        <f>IF(150&lt;$U$9,MOD(150,$U$8)+1,1)</f>
        <v/>
      </c>
      <c r="BQ163">
        <f>IF(150&lt;$U$9,SUMPRODUCT(($D$10:$L$10&lt;&gt;"")*(($D$9:$L$9+INT(($S$12:$AA$12+INDEX($AJ$13:$AR$162,BN163,0)+INDEX($AT$13:$BB$162,BO163,0)+INDEX($BD$13:$BL$162,BP163,0))/100))&gt;=$D$10:$L$10)),0)</f>
        <v/>
      </c>
      <c r="BR163">
        <f>IF(150&lt;$U$9,SUMPRODUCT(($D$10:$L$10&lt;&gt;"")*(($D$10:$L$10-($D$9:$L$9+INT(($S$12:$AA$12+INDEX($AJ$13:$AR$162,BN163,0)+INDEX($AT$13:$BB$162,BO163,0)+INDEX($BD$13:$BL$162,BP163,0))/100)))&gt;0)*($D$10:$L$10-($D$9:$L$9+INT(($S$12:$AA$12+INDEX($AJ$13:$AR$162,BN163,0)+INDEX($AT$13:$BB$162,BO163,0)+INDEX($BD$13:$BL$162,BP163,0))/100)))),0)</f>
        <v/>
      </c>
      <c r="BS163">
        <f>IF(150&lt;$U$9,SUMPRODUCT(($D$9:$L$9+INT(($S$12:$AA$12+INDEX($AJ$13:$AR$162,BN163,0)+INDEX($AT$13:$BB$162,BO163,0)+INDEX($BD$13:$BL$162,BP163,0))/100))),0)</f>
        <v/>
      </c>
      <c r="BT163">
        <f>IF(AND(150&lt;$U$9,$W$5),BQ163*1000000-MIN(BR163,999)*1000+BS163-150/100000,-1000000000-150)</f>
        <v/>
      </c>
    </row>
    <row r="164">
      <c r="BN164">
        <f>IF(151&lt;$U$9,INT(151/($U$7*$U$8))+1,1)</f>
        <v/>
      </c>
      <c r="BO164">
        <f>IF(151&lt;$U$9,MOD(INT(151/$U$8),$U$7)+1,1)</f>
        <v/>
      </c>
      <c r="BP164">
        <f>IF(151&lt;$U$9,MOD(151,$U$8)+1,1)</f>
        <v/>
      </c>
      <c r="BQ164">
        <f>IF(151&lt;$U$9,SUMPRODUCT(($D$10:$L$10&lt;&gt;"")*(($D$9:$L$9+INT(($S$12:$AA$12+INDEX($AJ$13:$AR$162,BN164,0)+INDEX($AT$13:$BB$162,BO164,0)+INDEX($BD$13:$BL$162,BP164,0))/100))&gt;=$D$10:$L$10)),0)</f>
        <v/>
      </c>
      <c r="BR164">
        <f>IF(151&lt;$U$9,SUMPRODUCT(($D$10:$L$10&lt;&gt;"")*(($D$10:$L$10-($D$9:$L$9+INT(($S$12:$AA$12+INDEX($AJ$13:$AR$162,BN164,0)+INDEX($AT$13:$BB$162,BO164,0)+INDEX($BD$13:$BL$162,BP164,0))/100)))&gt;0)*($D$10:$L$10-($D$9:$L$9+INT(($S$12:$AA$12+INDEX($AJ$13:$AR$162,BN164,0)+INDEX($AT$13:$BB$162,BO164,0)+INDEX($BD$13:$BL$162,BP164,0))/100)))),0)</f>
        <v/>
      </c>
      <c r="BS164">
        <f>IF(151&lt;$U$9,SUMPRODUCT(($D$9:$L$9+INT(($S$12:$AA$12+INDEX($AJ$13:$AR$162,BN164,0)+INDEX($AT$13:$BB$162,BO164,0)+INDEX($BD$13:$BL$162,BP164,0))/100))),0)</f>
        <v/>
      </c>
      <c r="BT164">
        <f>IF(AND(151&lt;$U$9,$W$5),BQ164*1000000-MIN(BR164,999)*1000+BS164-151/100000,-1000000000-151)</f>
        <v/>
      </c>
    </row>
    <row r="165">
      <c r="BN165">
        <f>IF(152&lt;$U$9,INT(152/($U$7*$U$8))+1,1)</f>
        <v/>
      </c>
      <c r="BO165">
        <f>IF(152&lt;$U$9,MOD(INT(152/$U$8),$U$7)+1,1)</f>
        <v/>
      </c>
      <c r="BP165">
        <f>IF(152&lt;$U$9,MOD(152,$U$8)+1,1)</f>
        <v/>
      </c>
      <c r="BQ165">
        <f>IF(152&lt;$U$9,SUMPRODUCT(($D$10:$L$10&lt;&gt;"")*(($D$9:$L$9+INT(($S$12:$AA$12+INDEX($AJ$13:$AR$162,BN165,0)+INDEX($AT$13:$BB$162,BO165,0)+INDEX($BD$13:$BL$162,BP165,0))/100))&gt;=$D$10:$L$10)),0)</f>
        <v/>
      </c>
      <c r="BR165">
        <f>IF(152&lt;$U$9,SUMPRODUCT(($D$10:$L$10&lt;&gt;"")*(($D$10:$L$10-($D$9:$L$9+INT(($S$12:$AA$12+INDEX($AJ$13:$AR$162,BN165,0)+INDEX($AT$13:$BB$162,BO165,0)+INDEX($BD$13:$BL$162,BP165,0))/100)))&gt;0)*($D$10:$L$10-($D$9:$L$9+INT(($S$12:$AA$12+INDEX($AJ$13:$AR$162,BN165,0)+INDEX($AT$13:$BB$162,BO165,0)+INDEX($BD$13:$BL$162,BP165,0))/100)))),0)</f>
        <v/>
      </c>
      <c r="BS165">
        <f>IF(152&lt;$U$9,SUMPRODUCT(($D$9:$L$9+INT(($S$12:$AA$12+INDEX($AJ$13:$AR$162,BN165,0)+INDEX($AT$13:$BB$162,BO165,0)+INDEX($BD$13:$BL$162,BP165,0))/100))),0)</f>
        <v/>
      </c>
      <c r="BT165">
        <f>IF(AND(152&lt;$U$9,$W$5),BQ165*1000000-MIN(BR165,999)*1000+BS165-152/100000,-1000000000-152)</f>
        <v/>
      </c>
    </row>
    <row r="166">
      <c r="BN166">
        <f>IF(153&lt;$U$9,INT(153/($U$7*$U$8))+1,1)</f>
        <v/>
      </c>
      <c r="BO166">
        <f>IF(153&lt;$U$9,MOD(INT(153/$U$8),$U$7)+1,1)</f>
        <v/>
      </c>
      <c r="BP166">
        <f>IF(153&lt;$U$9,MOD(153,$U$8)+1,1)</f>
        <v/>
      </c>
      <c r="BQ166">
        <f>IF(153&lt;$U$9,SUMPRODUCT(($D$10:$L$10&lt;&gt;"")*(($D$9:$L$9+INT(($S$12:$AA$12+INDEX($AJ$13:$AR$162,BN166,0)+INDEX($AT$13:$BB$162,BO166,0)+INDEX($BD$13:$BL$162,BP166,0))/100))&gt;=$D$10:$L$10)),0)</f>
        <v/>
      </c>
      <c r="BR166">
        <f>IF(153&lt;$U$9,SUMPRODUCT(($D$10:$L$10&lt;&gt;"")*(($D$10:$L$10-($D$9:$L$9+INT(($S$12:$AA$12+INDEX($AJ$13:$AR$162,BN166,0)+INDEX($AT$13:$BB$162,BO166,0)+INDEX($BD$13:$BL$162,BP166,0))/100)))&gt;0)*($D$10:$L$10-($D$9:$L$9+INT(($S$12:$AA$12+INDEX($AJ$13:$AR$162,BN166,0)+INDEX($AT$13:$BB$162,BO166,0)+INDEX($BD$13:$BL$162,BP166,0))/100)))),0)</f>
        <v/>
      </c>
      <c r="BS166">
        <f>IF(153&lt;$U$9,SUMPRODUCT(($D$9:$L$9+INT(($S$12:$AA$12+INDEX($AJ$13:$AR$162,BN166,0)+INDEX($AT$13:$BB$162,BO166,0)+INDEX($BD$13:$BL$162,BP166,0))/100))),0)</f>
        <v/>
      </c>
      <c r="BT166">
        <f>IF(AND(153&lt;$U$9,$W$5),BQ166*1000000-MIN(BR166,999)*1000+BS166-153/100000,-1000000000-153)</f>
        <v/>
      </c>
    </row>
    <row r="167">
      <c r="BN167">
        <f>IF(154&lt;$U$9,INT(154/($U$7*$U$8))+1,1)</f>
        <v/>
      </c>
      <c r="BO167">
        <f>IF(154&lt;$U$9,MOD(INT(154/$U$8),$U$7)+1,1)</f>
        <v/>
      </c>
      <c r="BP167">
        <f>IF(154&lt;$U$9,MOD(154,$U$8)+1,1)</f>
        <v/>
      </c>
      <c r="BQ167">
        <f>IF(154&lt;$U$9,SUMPRODUCT(($D$10:$L$10&lt;&gt;"")*(($D$9:$L$9+INT(($S$12:$AA$12+INDEX($AJ$13:$AR$162,BN167,0)+INDEX($AT$13:$BB$162,BO167,0)+INDEX($BD$13:$BL$162,BP167,0))/100))&gt;=$D$10:$L$10)),0)</f>
        <v/>
      </c>
      <c r="BR167">
        <f>IF(154&lt;$U$9,SUMPRODUCT(($D$10:$L$10&lt;&gt;"")*(($D$10:$L$10-($D$9:$L$9+INT(($S$12:$AA$12+INDEX($AJ$13:$AR$162,BN167,0)+INDEX($AT$13:$BB$162,BO167,0)+INDEX($BD$13:$BL$162,BP167,0))/100)))&gt;0)*($D$10:$L$10-($D$9:$L$9+INT(($S$12:$AA$12+INDEX($AJ$13:$AR$162,BN167,0)+INDEX($AT$13:$BB$162,BO167,0)+INDEX($BD$13:$BL$162,BP167,0))/100)))),0)</f>
        <v/>
      </c>
      <c r="BS167">
        <f>IF(154&lt;$U$9,SUMPRODUCT(($D$9:$L$9+INT(($S$12:$AA$12+INDEX($AJ$13:$AR$162,BN167,0)+INDEX($AT$13:$BB$162,BO167,0)+INDEX($BD$13:$BL$162,BP167,0))/100))),0)</f>
        <v/>
      </c>
      <c r="BT167">
        <f>IF(AND(154&lt;$U$9,$W$5),BQ167*1000000-MIN(BR167,999)*1000+BS167-154/100000,-1000000000-154)</f>
        <v/>
      </c>
    </row>
    <row r="168">
      <c r="BN168">
        <f>IF(155&lt;$U$9,INT(155/($U$7*$U$8))+1,1)</f>
        <v/>
      </c>
      <c r="BO168">
        <f>IF(155&lt;$U$9,MOD(INT(155/$U$8),$U$7)+1,1)</f>
        <v/>
      </c>
      <c r="BP168">
        <f>IF(155&lt;$U$9,MOD(155,$U$8)+1,1)</f>
        <v/>
      </c>
      <c r="BQ168">
        <f>IF(155&lt;$U$9,SUMPRODUCT(($D$10:$L$10&lt;&gt;"")*(($D$9:$L$9+INT(($S$12:$AA$12+INDEX($AJ$13:$AR$162,BN168,0)+INDEX($AT$13:$BB$162,BO168,0)+INDEX($BD$13:$BL$162,BP168,0))/100))&gt;=$D$10:$L$10)),0)</f>
        <v/>
      </c>
      <c r="BR168">
        <f>IF(155&lt;$U$9,SUMPRODUCT(($D$10:$L$10&lt;&gt;"")*(($D$10:$L$10-($D$9:$L$9+INT(($S$12:$AA$12+INDEX($AJ$13:$AR$162,BN168,0)+INDEX($AT$13:$BB$162,BO168,0)+INDEX($BD$13:$BL$162,BP168,0))/100)))&gt;0)*($D$10:$L$10-($D$9:$L$9+INT(($S$12:$AA$12+INDEX($AJ$13:$AR$162,BN168,0)+INDEX($AT$13:$BB$162,BO168,0)+INDEX($BD$13:$BL$162,BP168,0))/100)))),0)</f>
        <v/>
      </c>
      <c r="BS168">
        <f>IF(155&lt;$U$9,SUMPRODUCT(($D$9:$L$9+INT(($S$12:$AA$12+INDEX($AJ$13:$AR$162,BN168,0)+INDEX($AT$13:$BB$162,BO168,0)+INDEX($BD$13:$BL$162,BP168,0))/100))),0)</f>
        <v/>
      </c>
      <c r="BT168">
        <f>IF(AND(155&lt;$U$9,$W$5),BQ168*1000000-MIN(BR168,999)*1000+BS168-155/100000,-1000000000-155)</f>
        <v/>
      </c>
    </row>
    <row r="169">
      <c r="BN169">
        <f>IF(156&lt;$U$9,INT(156/($U$7*$U$8))+1,1)</f>
        <v/>
      </c>
      <c r="BO169">
        <f>IF(156&lt;$U$9,MOD(INT(156/$U$8),$U$7)+1,1)</f>
        <v/>
      </c>
      <c r="BP169">
        <f>IF(156&lt;$U$9,MOD(156,$U$8)+1,1)</f>
        <v/>
      </c>
      <c r="BQ169">
        <f>IF(156&lt;$U$9,SUMPRODUCT(($D$10:$L$10&lt;&gt;"")*(($D$9:$L$9+INT(($S$12:$AA$12+INDEX($AJ$13:$AR$162,BN169,0)+INDEX($AT$13:$BB$162,BO169,0)+INDEX($BD$13:$BL$162,BP169,0))/100))&gt;=$D$10:$L$10)),0)</f>
        <v/>
      </c>
      <c r="BR169">
        <f>IF(156&lt;$U$9,SUMPRODUCT(($D$10:$L$10&lt;&gt;"")*(($D$10:$L$10-($D$9:$L$9+INT(($S$12:$AA$12+INDEX($AJ$13:$AR$162,BN169,0)+INDEX($AT$13:$BB$162,BO169,0)+INDEX($BD$13:$BL$162,BP169,0))/100)))&gt;0)*($D$10:$L$10-($D$9:$L$9+INT(($S$12:$AA$12+INDEX($AJ$13:$AR$162,BN169,0)+INDEX($AT$13:$BB$162,BO169,0)+INDEX($BD$13:$BL$162,BP169,0))/100)))),0)</f>
        <v/>
      </c>
      <c r="BS169">
        <f>IF(156&lt;$U$9,SUMPRODUCT(($D$9:$L$9+INT(($S$12:$AA$12+INDEX($AJ$13:$AR$162,BN169,0)+INDEX($AT$13:$BB$162,BO169,0)+INDEX($BD$13:$BL$162,BP169,0))/100))),0)</f>
        <v/>
      </c>
      <c r="BT169">
        <f>IF(AND(156&lt;$U$9,$W$5),BQ169*1000000-MIN(BR169,999)*1000+BS169-156/100000,-1000000000-156)</f>
        <v/>
      </c>
    </row>
    <row r="170">
      <c r="BN170">
        <f>IF(157&lt;$U$9,INT(157/($U$7*$U$8))+1,1)</f>
        <v/>
      </c>
      <c r="BO170">
        <f>IF(157&lt;$U$9,MOD(INT(157/$U$8),$U$7)+1,1)</f>
        <v/>
      </c>
      <c r="BP170">
        <f>IF(157&lt;$U$9,MOD(157,$U$8)+1,1)</f>
        <v/>
      </c>
      <c r="BQ170">
        <f>IF(157&lt;$U$9,SUMPRODUCT(($D$10:$L$10&lt;&gt;"")*(($D$9:$L$9+INT(($S$12:$AA$12+INDEX($AJ$13:$AR$162,BN170,0)+INDEX($AT$13:$BB$162,BO170,0)+INDEX($BD$13:$BL$162,BP170,0))/100))&gt;=$D$10:$L$10)),0)</f>
        <v/>
      </c>
      <c r="BR170">
        <f>IF(157&lt;$U$9,SUMPRODUCT(($D$10:$L$10&lt;&gt;"")*(($D$10:$L$10-($D$9:$L$9+INT(($S$12:$AA$12+INDEX($AJ$13:$AR$162,BN170,0)+INDEX($AT$13:$BB$162,BO170,0)+INDEX($BD$13:$BL$162,BP170,0))/100)))&gt;0)*($D$10:$L$10-($D$9:$L$9+INT(($S$12:$AA$12+INDEX($AJ$13:$AR$162,BN170,0)+INDEX($AT$13:$BB$162,BO170,0)+INDEX($BD$13:$BL$162,BP170,0))/100)))),0)</f>
        <v/>
      </c>
      <c r="BS170">
        <f>IF(157&lt;$U$9,SUMPRODUCT(($D$9:$L$9+INT(($S$12:$AA$12+INDEX($AJ$13:$AR$162,BN170,0)+INDEX($AT$13:$BB$162,BO170,0)+INDEX($BD$13:$BL$162,BP170,0))/100))),0)</f>
        <v/>
      </c>
      <c r="BT170">
        <f>IF(AND(157&lt;$U$9,$W$5),BQ170*1000000-MIN(BR170,999)*1000+BS170-157/100000,-1000000000-157)</f>
        <v/>
      </c>
    </row>
    <row r="171">
      <c r="BN171">
        <f>IF(158&lt;$U$9,INT(158/($U$7*$U$8))+1,1)</f>
        <v/>
      </c>
      <c r="BO171">
        <f>IF(158&lt;$U$9,MOD(INT(158/$U$8),$U$7)+1,1)</f>
        <v/>
      </c>
      <c r="BP171">
        <f>IF(158&lt;$U$9,MOD(158,$U$8)+1,1)</f>
        <v/>
      </c>
      <c r="BQ171">
        <f>IF(158&lt;$U$9,SUMPRODUCT(($D$10:$L$10&lt;&gt;"")*(($D$9:$L$9+INT(($S$12:$AA$12+INDEX($AJ$13:$AR$162,BN171,0)+INDEX($AT$13:$BB$162,BO171,0)+INDEX($BD$13:$BL$162,BP171,0))/100))&gt;=$D$10:$L$10)),0)</f>
        <v/>
      </c>
      <c r="BR171">
        <f>IF(158&lt;$U$9,SUMPRODUCT(($D$10:$L$10&lt;&gt;"")*(($D$10:$L$10-($D$9:$L$9+INT(($S$12:$AA$12+INDEX($AJ$13:$AR$162,BN171,0)+INDEX($AT$13:$BB$162,BO171,0)+INDEX($BD$13:$BL$162,BP171,0))/100)))&gt;0)*($D$10:$L$10-($D$9:$L$9+INT(($S$12:$AA$12+INDEX($AJ$13:$AR$162,BN171,0)+INDEX($AT$13:$BB$162,BO171,0)+INDEX($BD$13:$BL$162,BP171,0))/100)))),0)</f>
        <v/>
      </c>
      <c r="BS171">
        <f>IF(158&lt;$U$9,SUMPRODUCT(($D$9:$L$9+INT(($S$12:$AA$12+INDEX($AJ$13:$AR$162,BN171,0)+INDEX($AT$13:$BB$162,BO171,0)+INDEX($BD$13:$BL$162,BP171,0))/100))),0)</f>
        <v/>
      </c>
      <c r="BT171">
        <f>IF(AND(158&lt;$U$9,$W$5),BQ171*1000000-MIN(BR171,999)*1000+BS171-158/100000,-1000000000-158)</f>
        <v/>
      </c>
    </row>
    <row r="172">
      <c r="BN172">
        <f>IF(159&lt;$U$9,INT(159/($U$7*$U$8))+1,1)</f>
        <v/>
      </c>
      <c r="BO172">
        <f>IF(159&lt;$U$9,MOD(INT(159/$U$8),$U$7)+1,1)</f>
        <v/>
      </c>
      <c r="BP172">
        <f>IF(159&lt;$U$9,MOD(159,$U$8)+1,1)</f>
        <v/>
      </c>
      <c r="BQ172">
        <f>IF(159&lt;$U$9,SUMPRODUCT(($D$10:$L$10&lt;&gt;"")*(($D$9:$L$9+INT(($S$12:$AA$12+INDEX($AJ$13:$AR$162,BN172,0)+INDEX($AT$13:$BB$162,BO172,0)+INDEX($BD$13:$BL$162,BP172,0))/100))&gt;=$D$10:$L$10)),0)</f>
        <v/>
      </c>
      <c r="BR172">
        <f>IF(159&lt;$U$9,SUMPRODUCT(($D$10:$L$10&lt;&gt;"")*(($D$10:$L$10-($D$9:$L$9+INT(($S$12:$AA$12+INDEX($AJ$13:$AR$162,BN172,0)+INDEX($AT$13:$BB$162,BO172,0)+INDEX($BD$13:$BL$162,BP172,0))/100)))&gt;0)*($D$10:$L$10-($D$9:$L$9+INT(($S$12:$AA$12+INDEX($AJ$13:$AR$162,BN172,0)+INDEX($AT$13:$BB$162,BO172,0)+INDEX($BD$13:$BL$162,BP172,0))/100)))),0)</f>
        <v/>
      </c>
      <c r="BS172">
        <f>IF(159&lt;$U$9,SUMPRODUCT(($D$9:$L$9+INT(($S$12:$AA$12+INDEX($AJ$13:$AR$162,BN172,0)+INDEX($AT$13:$BB$162,BO172,0)+INDEX($BD$13:$BL$162,BP172,0))/100))),0)</f>
        <v/>
      </c>
      <c r="BT172">
        <f>IF(AND(159&lt;$U$9,$W$5),BQ172*1000000-MIN(BR172,999)*1000+BS172-159/100000,-1000000000-159)</f>
        <v/>
      </c>
    </row>
    <row r="173">
      <c r="BN173">
        <f>IF(160&lt;$U$9,INT(160/($U$7*$U$8))+1,1)</f>
        <v/>
      </c>
      <c r="BO173">
        <f>IF(160&lt;$U$9,MOD(INT(160/$U$8),$U$7)+1,1)</f>
        <v/>
      </c>
      <c r="BP173">
        <f>IF(160&lt;$U$9,MOD(160,$U$8)+1,1)</f>
        <v/>
      </c>
      <c r="BQ173">
        <f>IF(160&lt;$U$9,SUMPRODUCT(($D$10:$L$10&lt;&gt;"")*(($D$9:$L$9+INT(($S$12:$AA$12+INDEX($AJ$13:$AR$162,BN173,0)+INDEX($AT$13:$BB$162,BO173,0)+INDEX($BD$13:$BL$162,BP173,0))/100))&gt;=$D$10:$L$10)),0)</f>
        <v/>
      </c>
      <c r="BR173">
        <f>IF(160&lt;$U$9,SUMPRODUCT(($D$10:$L$10&lt;&gt;"")*(($D$10:$L$10-($D$9:$L$9+INT(($S$12:$AA$12+INDEX($AJ$13:$AR$162,BN173,0)+INDEX($AT$13:$BB$162,BO173,0)+INDEX($BD$13:$BL$162,BP173,0))/100)))&gt;0)*($D$10:$L$10-($D$9:$L$9+INT(($S$12:$AA$12+INDEX($AJ$13:$AR$162,BN173,0)+INDEX($AT$13:$BB$162,BO173,0)+INDEX($BD$13:$BL$162,BP173,0))/100)))),0)</f>
        <v/>
      </c>
      <c r="BS173">
        <f>IF(160&lt;$U$9,SUMPRODUCT(($D$9:$L$9+INT(($S$12:$AA$12+INDEX($AJ$13:$AR$162,BN173,0)+INDEX($AT$13:$BB$162,BO173,0)+INDEX($BD$13:$BL$162,BP173,0))/100))),0)</f>
        <v/>
      </c>
      <c r="BT173">
        <f>IF(AND(160&lt;$U$9,$W$5),BQ173*1000000-MIN(BR173,999)*1000+BS173-160/100000,-1000000000-160)</f>
        <v/>
      </c>
    </row>
    <row r="174">
      <c r="BN174">
        <f>IF(161&lt;$U$9,INT(161/($U$7*$U$8))+1,1)</f>
        <v/>
      </c>
      <c r="BO174">
        <f>IF(161&lt;$U$9,MOD(INT(161/$U$8),$U$7)+1,1)</f>
        <v/>
      </c>
      <c r="BP174">
        <f>IF(161&lt;$U$9,MOD(161,$U$8)+1,1)</f>
        <v/>
      </c>
      <c r="BQ174">
        <f>IF(161&lt;$U$9,SUMPRODUCT(($D$10:$L$10&lt;&gt;"")*(($D$9:$L$9+INT(($S$12:$AA$12+INDEX($AJ$13:$AR$162,BN174,0)+INDEX($AT$13:$BB$162,BO174,0)+INDEX($BD$13:$BL$162,BP174,0))/100))&gt;=$D$10:$L$10)),0)</f>
        <v/>
      </c>
      <c r="BR174">
        <f>IF(161&lt;$U$9,SUMPRODUCT(($D$10:$L$10&lt;&gt;"")*(($D$10:$L$10-($D$9:$L$9+INT(($S$12:$AA$12+INDEX($AJ$13:$AR$162,BN174,0)+INDEX($AT$13:$BB$162,BO174,0)+INDEX($BD$13:$BL$162,BP174,0))/100)))&gt;0)*($D$10:$L$10-($D$9:$L$9+INT(($S$12:$AA$12+INDEX($AJ$13:$AR$162,BN174,0)+INDEX($AT$13:$BB$162,BO174,0)+INDEX($BD$13:$BL$162,BP174,0))/100)))),0)</f>
        <v/>
      </c>
      <c r="BS174">
        <f>IF(161&lt;$U$9,SUMPRODUCT(($D$9:$L$9+INT(($S$12:$AA$12+INDEX($AJ$13:$AR$162,BN174,0)+INDEX($AT$13:$BB$162,BO174,0)+INDEX($BD$13:$BL$162,BP174,0))/100))),0)</f>
        <v/>
      </c>
      <c r="BT174">
        <f>IF(AND(161&lt;$U$9,$W$5),BQ174*1000000-MIN(BR174,999)*1000+BS174-161/100000,-1000000000-161)</f>
        <v/>
      </c>
    </row>
    <row r="175">
      <c r="BN175">
        <f>IF(162&lt;$U$9,INT(162/($U$7*$U$8))+1,1)</f>
        <v/>
      </c>
      <c r="BO175">
        <f>IF(162&lt;$U$9,MOD(INT(162/$U$8),$U$7)+1,1)</f>
        <v/>
      </c>
      <c r="BP175">
        <f>IF(162&lt;$U$9,MOD(162,$U$8)+1,1)</f>
        <v/>
      </c>
      <c r="BQ175">
        <f>IF(162&lt;$U$9,SUMPRODUCT(($D$10:$L$10&lt;&gt;"")*(($D$9:$L$9+INT(($S$12:$AA$12+INDEX($AJ$13:$AR$162,BN175,0)+INDEX($AT$13:$BB$162,BO175,0)+INDEX($BD$13:$BL$162,BP175,0))/100))&gt;=$D$10:$L$10)),0)</f>
        <v/>
      </c>
      <c r="BR175">
        <f>IF(162&lt;$U$9,SUMPRODUCT(($D$10:$L$10&lt;&gt;"")*(($D$10:$L$10-($D$9:$L$9+INT(($S$12:$AA$12+INDEX($AJ$13:$AR$162,BN175,0)+INDEX($AT$13:$BB$162,BO175,0)+INDEX($BD$13:$BL$162,BP175,0))/100)))&gt;0)*($D$10:$L$10-($D$9:$L$9+INT(($S$12:$AA$12+INDEX($AJ$13:$AR$162,BN175,0)+INDEX($AT$13:$BB$162,BO175,0)+INDEX($BD$13:$BL$162,BP175,0))/100)))),0)</f>
        <v/>
      </c>
      <c r="BS175">
        <f>IF(162&lt;$U$9,SUMPRODUCT(($D$9:$L$9+INT(($S$12:$AA$12+INDEX($AJ$13:$AR$162,BN175,0)+INDEX($AT$13:$BB$162,BO175,0)+INDEX($BD$13:$BL$162,BP175,0))/100))),0)</f>
        <v/>
      </c>
      <c r="BT175">
        <f>IF(AND(162&lt;$U$9,$W$5),BQ175*1000000-MIN(BR175,999)*1000+BS175-162/100000,-1000000000-162)</f>
        <v/>
      </c>
    </row>
    <row r="176">
      <c r="BN176">
        <f>IF(163&lt;$U$9,INT(163/($U$7*$U$8))+1,1)</f>
        <v/>
      </c>
      <c r="BO176">
        <f>IF(163&lt;$U$9,MOD(INT(163/$U$8),$U$7)+1,1)</f>
        <v/>
      </c>
      <c r="BP176">
        <f>IF(163&lt;$U$9,MOD(163,$U$8)+1,1)</f>
        <v/>
      </c>
      <c r="BQ176">
        <f>IF(163&lt;$U$9,SUMPRODUCT(($D$10:$L$10&lt;&gt;"")*(($D$9:$L$9+INT(($S$12:$AA$12+INDEX($AJ$13:$AR$162,BN176,0)+INDEX($AT$13:$BB$162,BO176,0)+INDEX($BD$13:$BL$162,BP176,0))/100))&gt;=$D$10:$L$10)),0)</f>
        <v/>
      </c>
      <c r="BR176">
        <f>IF(163&lt;$U$9,SUMPRODUCT(($D$10:$L$10&lt;&gt;"")*(($D$10:$L$10-($D$9:$L$9+INT(($S$12:$AA$12+INDEX($AJ$13:$AR$162,BN176,0)+INDEX($AT$13:$BB$162,BO176,0)+INDEX($BD$13:$BL$162,BP176,0))/100)))&gt;0)*($D$10:$L$10-($D$9:$L$9+INT(($S$12:$AA$12+INDEX($AJ$13:$AR$162,BN176,0)+INDEX($AT$13:$BB$162,BO176,0)+INDEX($BD$13:$BL$162,BP176,0))/100)))),0)</f>
        <v/>
      </c>
      <c r="BS176">
        <f>IF(163&lt;$U$9,SUMPRODUCT(($D$9:$L$9+INT(($S$12:$AA$12+INDEX($AJ$13:$AR$162,BN176,0)+INDEX($AT$13:$BB$162,BO176,0)+INDEX($BD$13:$BL$162,BP176,0))/100))),0)</f>
        <v/>
      </c>
      <c r="BT176">
        <f>IF(AND(163&lt;$U$9,$W$5),BQ176*1000000-MIN(BR176,999)*1000+BS176-163/100000,-1000000000-163)</f>
        <v/>
      </c>
    </row>
    <row r="177">
      <c r="BN177">
        <f>IF(164&lt;$U$9,INT(164/($U$7*$U$8))+1,1)</f>
        <v/>
      </c>
      <c r="BO177">
        <f>IF(164&lt;$U$9,MOD(INT(164/$U$8),$U$7)+1,1)</f>
        <v/>
      </c>
      <c r="BP177">
        <f>IF(164&lt;$U$9,MOD(164,$U$8)+1,1)</f>
        <v/>
      </c>
      <c r="BQ177">
        <f>IF(164&lt;$U$9,SUMPRODUCT(($D$10:$L$10&lt;&gt;"")*(($D$9:$L$9+INT(($S$12:$AA$12+INDEX($AJ$13:$AR$162,BN177,0)+INDEX($AT$13:$BB$162,BO177,0)+INDEX($BD$13:$BL$162,BP177,0))/100))&gt;=$D$10:$L$10)),0)</f>
        <v/>
      </c>
      <c r="BR177">
        <f>IF(164&lt;$U$9,SUMPRODUCT(($D$10:$L$10&lt;&gt;"")*(($D$10:$L$10-($D$9:$L$9+INT(($S$12:$AA$12+INDEX($AJ$13:$AR$162,BN177,0)+INDEX($AT$13:$BB$162,BO177,0)+INDEX($BD$13:$BL$162,BP177,0))/100)))&gt;0)*($D$10:$L$10-($D$9:$L$9+INT(($S$12:$AA$12+INDEX($AJ$13:$AR$162,BN177,0)+INDEX($AT$13:$BB$162,BO177,0)+INDEX($BD$13:$BL$162,BP177,0))/100)))),0)</f>
        <v/>
      </c>
      <c r="BS177">
        <f>IF(164&lt;$U$9,SUMPRODUCT(($D$9:$L$9+INT(($S$12:$AA$12+INDEX($AJ$13:$AR$162,BN177,0)+INDEX($AT$13:$BB$162,BO177,0)+INDEX($BD$13:$BL$162,BP177,0))/100))),0)</f>
        <v/>
      </c>
      <c r="BT177">
        <f>IF(AND(164&lt;$U$9,$W$5),BQ177*1000000-MIN(BR177,999)*1000+BS177-164/100000,-1000000000-164)</f>
        <v/>
      </c>
    </row>
    <row r="178">
      <c r="BN178">
        <f>IF(165&lt;$U$9,INT(165/($U$7*$U$8))+1,1)</f>
        <v/>
      </c>
      <c r="BO178">
        <f>IF(165&lt;$U$9,MOD(INT(165/$U$8),$U$7)+1,1)</f>
        <v/>
      </c>
      <c r="BP178">
        <f>IF(165&lt;$U$9,MOD(165,$U$8)+1,1)</f>
        <v/>
      </c>
      <c r="BQ178">
        <f>IF(165&lt;$U$9,SUMPRODUCT(($D$10:$L$10&lt;&gt;"")*(($D$9:$L$9+INT(($S$12:$AA$12+INDEX($AJ$13:$AR$162,BN178,0)+INDEX($AT$13:$BB$162,BO178,0)+INDEX($BD$13:$BL$162,BP178,0))/100))&gt;=$D$10:$L$10)),0)</f>
        <v/>
      </c>
      <c r="BR178">
        <f>IF(165&lt;$U$9,SUMPRODUCT(($D$10:$L$10&lt;&gt;"")*(($D$10:$L$10-($D$9:$L$9+INT(($S$12:$AA$12+INDEX($AJ$13:$AR$162,BN178,0)+INDEX($AT$13:$BB$162,BO178,0)+INDEX($BD$13:$BL$162,BP178,0))/100)))&gt;0)*($D$10:$L$10-($D$9:$L$9+INT(($S$12:$AA$12+INDEX($AJ$13:$AR$162,BN178,0)+INDEX($AT$13:$BB$162,BO178,0)+INDEX($BD$13:$BL$162,BP178,0))/100)))),0)</f>
        <v/>
      </c>
      <c r="BS178">
        <f>IF(165&lt;$U$9,SUMPRODUCT(($D$9:$L$9+INT(($S$12:$AA$12+INDEX($AJ$13:$AR$162,BN178,0)+INDEX($AT$13:$BB$162,BO178,0)+INDEX($BD$13:$BL$162,BP178,0))/100))),0)</f>
        <v/>
      </c>
      <c r="BT178">
        <f>IF(AND(165&lt;$U$9,$W$5),BQ178*1000000-MIN(BR178,999)*1000+BS178-165/100000,-1000000000-165)</f>
        <v/>
      </c>
    </row>
    <row r="179">
      <c r="BN179">
        <f>IF(166&lt;$U$9,INT(166/($U$7*$U$8))+1,1)</f>
        <v/>
      </c>
      <c r="BO179">
        <f>IF(166&lt;$U$9,MOD(INT(166/$U$8),$U$7)+1,1)</f>
        <v/>
      </c>
      <c r="BP179">
        <f>IF(166&lt;$U$9,MOD(166,$U$8)+1,1)</f>
        <v/>
      </c>
      <c r="BQ179">
        <f>IF(166&lt;$U$9,SUMPRODUCT(($D$10:$L$10&lt;&gt;"")*(($D$9:$L$9+INT(($S$12:$AA$12+INDEX($AJ$13:$AR$162,BN179,0)+INDEX($AT$13:$BB$162,BO179,0)+INDEX($BD$13:$BL$162,BP179,0))/100))&gt;=$D$10:$L$10)),0)</f>
        <v/>
      </c>
      <c r="BR179">
        <f>IF(166&lt;$U$9,SUMPRODUCT(($D$10:$L$10&lt;&gt;"")*(($D$10:$L$10-($D$9:$L$9+INT(($S$12:$AA$12+INDEX($AJ$13:$AR$162,BN179,0)+INDEX($AT$13:$BB$162,BO179,0)+INDEX($BD$13:$BL$162,BP179,0))/100)))&gt;0)*($D$10:$L$10-($D$9:$L$9+INT(($S$12:$AA$12+INDEX($AJ$13:$AR$162,BN179,0)+INDEX($AT$13:$BB$162,BO179,0)+INDEX($BD$13:$BL$162,BP179,0))/100)))),0)</f>
        <v/>
      </c>
      <c r="BS179">
        <f>IF(166&lt;$U$9,SUMPRODUCT(($D$9:$L$9+INT(($S$12:$AA$12+INDEX($AJ$13:$AR$162,BN179,0)+INDEX($AT$13:$BB$162,BO179,0)+INDEX($BD$13:$BL$162,BP179,0))/100))),0)</f>
        <v/>
      </c>
      <c r="BT179">
        <f>IF(AND(166&lt;$U$9,$W$5),BQ179*1000000-MIN(BR179,999)*1000+BS179-166/100000,-1000000000-166)</f>
        <v/>
      </c>
    </row>
    <row r="180">
      <c r="BN180">
        <f>IF(167&lt;$U$9,INT(167/($U$7*$U$8))+1,1)</f>
        <v/>
      </c>
      <c r="BO180">
        <f>IF(167&lt;$U$9,MOD(INT(167/$U$8),$U$7)+1,1)</f>
        <v/>
      </c>
      <c r="BP180">
        <f>IF(167&lt;$U$9,MOD(167,$U$8)+1,1)</f>
        <v/>
      </c>
      <c r="BQ180">
        <f>IF(167&lt;$U$9,SUMPRODUCT(($D$10:$L$10&lt;&gt;"")*(($D$9:$L$9+INT(($S$12:$AA$12+INDEX($AJ$13:$AR$162,BN180,0)+INDEX($AT$13:$BB$162,BO180,0)+INDEX($BD$13:$BL$162,BP180,0))/100))&gt;=$D$10:$L$10)),0)</f>
        <v/>
      </c>
      <c r="BR180">
        <f>IF(167&lt;$U$9,SUMPRODUCT(($D$10:$L$10&lt;&gt;"")*(($D$10:$L$10-($D$9:$L$9+INT(($S$12:$AA$12+INDEX($AJ$13:$AR$162,BN180,0)+INDEX($AT$13:$BB$162,BO180,0)+INDEX($BD$13:$BL$162,BP180,0))/100)))&gt;0)*($D$10:$L$10-($D$9:$L$9+INT(($S$12:$AA$12+INDEX($AJ$13:$AR$162,BN180,0)+INDEX($AT$13:$BB$162,BO180,0)+INDEX($BD$13:$BL$162,BP180,0))/100)))),0)</f>
        <v/>
      </c>
      <c r="BS180">
        <f>IF(167&lt;$U$9,SUMPRODUCT(($D$9:$L$9+INT(($S$12:$AA$12+INDEX($AJ$13:$AR$162,BN180,0)+INDEX($AT$13:$BB$162,BO180,0)+INDEX($BD$13:$BL$162,BP180,0))/100))),0)</f>
        <v/>
      </c>
      <c r="BT180">
        <f>IF(AND(167&lt;$U$9,$W$5),BQ180*1000000-MIN(BR180,999)*1000+BS180-167/100000,-1000000000-167)</f>
        <v/>
      </c>
    </row>
    <row r="181">
      <c r="BN181">
        <f>IF(168&lt;$U$9,INT(168/($U$7*$U$8))+1,1)</f>
        <v/>
      </c>
      <c r="BO181">
        <f>IF(168&lt;$U$9,MOD(INT(168/$U$8),$U$7)+1,1)</f>
        <v/>
      </c>
      <c r="BP181">
        <f>IF(168&lt;$U$9,MOD(168,$U$8)+1,1)</f>
        <v/>
      </c>
      <c r="BQ181">
        <f>IF(168&lt;$U$9,SUMPRODUCT(($D$10:$L$10&lt;&gt;"")*(($D$9:$L$9+INT(($S$12:$AA$12+INDEX($AJ$13:$AR$162,BN181,0)+INDEX($AT$13:$BB$162,BO181,0)+INDEX($BD$13:$BL$162,BP181,0))/100))&gt;=$D$10:$L$10)),0)</f>
        <v/>
      </c>
      <c r="BR181">
        <f>IF(168&lt;$U$9,SUMPRODUCT(($D$10:$L$10&lt;&gt;"")*(($D$10:$L$10-($D$9:$L$9+INT(($S$12:$AA$12+INDEX($AJ$13:$AR$162,BN181,0)+INDEX($AT$13:$BB$162,BO181,0)+INDEX($BD$13:$BL$162,BP181,0))/100)))&gt;0)*($D$10:$L$10-($D$9:$L$9+INT(($S$12:$AA$12+INDEX($AJ$13:$AR$162,BN181,0)+INDEX($AT$13:$BB$162,BO181,0)+INDEX($BD$13:$BL$162,BP181,0))/100)))),0)</f>
        <v/>
      </c>
      <c r="BS181">
        <f>IF(168&lt;$U$9,SUMPRODUCT(($D$9:$L$9+INT(($S$12:$AA$12+INDEX($AJ$13:$AR$162,BN181,0)+INDEX($AT$13:$BB$162,BO181,0)+INDEX($BD$13:$BL$162,BP181,0))/100))),0)</f>
        <v/>
      </c>
      <c r="BT181">
        <f>IF(AND(168&lt;$U$9,$W$5),BQ181*1000000-MIN(BR181,999)*1000+BS181-168/100000,-1000000000-168)</f>
        <v/>
      </c>
    </row>
    <row r="182">
      <c r="BN182">
        <f>IF(169&lt;$U$9,INT(169/($U$7*$U$8))+1,1)</f>
        <v/>
      </c>
      <c r="BO182">
        <f>IF(169&lt;$U$9,MOD(INT(169/$U$8),$U$7)+1,1)</f>
        <v/>
      </c>
      <c r="BP182">
        <f>IF(169&lt;$U$9,MOD(169,$U$8)+1,1)</f>
        <v/>
      </c>
      <c r="BQ182">
        <f>IF(169&lt;$U$9,SUMPRODUCT(($D$10:$L$10&lt;&gt;"")*(($D$9:$L$9+INT(($S$12:$AA$12+INDEX($AJ$13:$AR$162,BN182,0)+INDEX($AT$13:$BB$162,BO182,0)+INDEX($BD$13:$BL$162,BP182,0))/100))&gt;=$D$10:$L$10)),0)</f>
        <v/>
      </c>
      <c r="BR182">
        <f>IF(169&lt;$U$9,SUMPRODUCT(($D$10:$L$10&lt;&gt;"")*(($D$10:$L$10-($D$9:$L$9+INT(($S$12:$AA$12+INDEX($AJ$13:$AR$162,BN182,0)+INDEX($AT$13:$BB$162,BO182,0)+INDEX($BD$13:$BL$162,BP182,0))/100)))&gt;0)*($D$10:$L$10-($D$9:$L$9+INT(($S$12:$AA$12+INDEX($AJ$13:$AR$162,BN182,0)+INDEX($AT$13:$BB$162,BO182,0)+INDEX($BD$13:$BL$162,BP182,0))/100)))),0)</f>
        <v/>
      </c>
      <c r="BS182">
        <f>IF(169&lt;$U$9,SUMPRODUCT(($D$9:$L$9+INT(($S$12:$AA$12+INDEX($AJ$13:$AR$162,BN182,0)+INDEX($AT$13:$BB$162,BO182,0)+INDEX($BD$13:$BL$162,BP182,0))/100))),0)</f>
        <v/>
      </c>
      <c r="BT182">
        <f>IF(AND(169&lt;$U$9,$W$5),BQ182*1000000-MIN(BR182,999)*1000+BS182-169/100000,-1000000000-169)</f>
        <v/>
      </c>
    </row>
    <row r="183">
      <c r="BN183">
        <f>IF(170&lt;$U$9,INT(170/($U$7*$U$8))+1,1)</f>
        <v/>
      </c>
      <c r="BO183">
        <f>IF(170&lt;$U$9,MOD(INT(170/$U$8),$U$7)+1,1)</f>
        <v/>
      </c>
      <c r="BP183">
        <f>IF(170&lt;$U$9,MOD(170,$U$8)+1,1)</f>
        <v/>
      </c>
      <c r="BQ183">
        <f>IF(170&lt;$U$9,SUMPRODUCT(($D$10:$L$10&lt;&gt;"")*(($D$9:$L$9+INT(($S$12:$AA$12+INDEX($AJ$13:$AR$162,BN183,0)+INDEX($AT$13:$BB$162,BO183,0)+INDEX($BD$13:$BL$162,BP183,0))/100))&gt;=$D$10:$L$10)),0)</f>
        <v/>
      </c>
      <c r="BR183">
        <f>IF(170&lt;$U$9,SUMPRODUCT(($D$10:$L$10&lt;&gt;"")*(($D$10:$L$10-($D$9:$L$9+INT(($S$12:$AA$12+INDEX($AJ$13:$AR$162,BN183,0)+INDEX($AT$13:$BB$162,BO183,0)+INDEX($BD$13:$BL$162,BP183,0))/100)))&gt;0)*($D$10:$L$10-($D$9:$L$9+INT(($S$12:$AA$12+INDEX($AJ$13:$AR$162,BN183,0)+INDEX($AT$13:$BB$162,BO183,0)+INDEX($BD$13:$BL$162,BP183,0))/100)))),0)</f>
        <v/>
      </c>
      <c r="BS183">
        <f>IF(170&lt;$U$9,SUMPRODUCT(($D$9:$L$9+INT(($S$12:$AA$12+INDEX($AJ$13:$AR$162,BN183,0)+INDEX($AT$13:$BB$162,BO183,0)+INDEX($BD$13:$BL$162,BP183,0))/100))),0)</f>
        <v/>
      </c>
      <c r="BT183">
        <f>IF(AND(170&lt;$U$9,$W$5),BQ183*1000000-MIN(BR183,999)*1000+BS183-170/100000,-1000000000-170)</f>
        <v/>
      </c>
    </row>
    <row r="184">
      <c r="BN184">
        <f>IF(171&lt;$U$9,INT(171/($U$7*$U$8))+1,1)</f>
        <v/>
      </c>
      <c r="BO184">
        <f>IF(171&lt;$U$9,MOD(INT(171/$U$8),$U$7)+1,1)</f>
        <v/>
      </c>
      <c r="BP184">
        <f>IF(171&lt;$U$9,MOD(171,$U$8)+1,1)</f>
        <v/>
      </c>
      <c r="BQ184">
        <f>IF(171&lt;$U$9,SUMPRODUCT(($D$10:$L$10&lt;&gt;"")*(($D$9:$L$9+INT(($S$12:$AA$12+INDEX($AJ$13:$AR$162,BN184,0)+INDEX($AT$13:$BB$162,BO184,0)+INDEX($BD$13:$BL$162,BP184,0))/100))&gt;=$D$10:$L$10)),0)</f>
        <v/>
      </c>
      <c r="BR184">
        <f>IF(171&lt;$U$9,SUMPRODUCT(($D$10:$L$10&lt;&gt;"")*(($D$10:$L$10-($D$9:$L$9+INT(($S$12:$AA$12+INDEX($AJ$13:$AR$162,BN184,0)+INDEX($AT$13:$BB$162,BO184,0)+INDEX($BD$13:$BL$162,BP184,0))/100)))&gt;0)*($D$10:$L$10-($D$9:$L$9+INT(($S$12:$AA$12+INDEX($AJ$13:$AR$162,BN184,0)+INDEX($AT$13:$BB$162,BO184,0)+INDEX($BD$13:$BL$162,BP184,0))/100)))),0)</f>
        <v/>
      </c>
      <c r="BS184">
        <f>IF(171&lt;$U$9,SUMPRODUCT(($D$9:$L$9+INT(($S$12:$AA$12+INDEX($AJ$13:$AR$162,BN184,0)+INDEX($AT$13:$BB$162,BO184,0)+INDEX($BD$13:$BL$162,BP184,0))/100))),0)</f>
        <v/>
      </c>
      <c r="BT184">
        <f>IF(AND(171&lt;$U$9,$W$5),BQ184*1000000-MIN(BR184,999)*1000+BS184-171/100000,-1000000000-171)</f>
        <v/>
      </c>
    </row>
    <row r="185">
      <c r="BN185">
        <f>IF(172&lt;$U$9,INT(172/($U$7*$U$8))+1,1)</f>
        <v/>
      </c>
      <c r="BO185">
        <f>IF(172&lt;$U$9,MOD(INT(172/$U$8),$U$7)+1,1)</f>
        <v/>
      </c>
      <c r="BP185">
        <f>IF(172&lt;$U$9,MOD(172,$U$8)+1,1)</f>
        <v/>
      </c>
      <c r="BQ185">
        <f>IF(172&lt;$U$9,SUMPRODUCT(($D$10:$L$10&lt;&gt;"")*(($D$9:$L$9+INT(($S$12:$AA$12+INDEX($AJ$13:$AR$162,BN185,0)+INDEX($AT$13:$BB$162,BO185,0)+INDEX($BD$13:$BL$162,BP185,0))/100))&gt;=$D$10:$L$10)),0)</f>
        <v/>
      </c>
      <c r="BR185">
        <f>IF(172&lt;$U$9,SUMPRODUCT(($D$10:$L$10&lt;&gt;"")*(($D$10:$L$10-($D$9:$L$9+INT(($S$12:$AA$12+INDEX($AJ$13:$AR$162,BN185,0)+INDEX($AT$13:$BB$162,BO185,0)+INDEX($BD$13:$BL$162,BP185,0))/100)))&gt;0)*($D$10:$L$10-($D$9:$L$9+INT(($S$12:$AA$12+INDEX($AJ$13:$AR$162,BN185,0)+INDEX($AT$13:$BB$162,BO185,0)+INDEX($BD$13:$BL$162,BP185,0))/100)))),0)</f>
        <v/>
      </c>
      <c r="BS185">
        <f>IF(172&lt;$U$9,SUMPRODUCT(($D$9:$L$9+INT(($S$12:$AA$12+INDEX($AJ$13:$AR$162,BN185,0)+INDEX($AT$13:$BB$162,BO185,0)+INDEX($BD$13:$BL$162,BP185,0))/100))),0)</f>
        <v/>
      </c>
      <c r="BT185">
        <f>IF(AND(172&lt;$U$9,$W$5),BQ185*1000000-MIN(BR185,999)*1000+BS185-172/100000,-1000000000-172)</f>
        <v/>
      </c>
    </row>
    <row r="186">
      <c r="BN186">
        <f>IF(173&lt;$U$9,INT(173/($U$7*$U$8))+1,1)</f>
        <v/>
      </c>
      <c r="BO186">
        <f>IF(173&lt;$U$9,MOD(INT(173/$U$8),$U$7)+1,1)</f>
        <v/>
      </c>
      <c r="BP186">
        <f>IF(173&lt;$U$9,MOD(173,$U$8)+1,1)</f>
        <v/>
      </c>
      <c r="BQ186">
        <f>IF(173&lt;$U$9,SUMPRODUCT(($D$10:$L$10&lt;&gt;"")*(($D$9:$L$9+INT(($S$12:$AA$12+INDEX($AJ$13:$AR$162,BN186,0)+INDEX($AT$13:$BB$162,BO186,0)+INDEX($BD$13:$BL$162,BP186,0))/100))&gt;=$D$10:$L$10)),0)</f>
        <v/>
      </c>
      <c r="BR186">
        <f>IF(173&lt;$U$9,SUMPRODUCT(($D$10:$L$10&lt;&gt;"")*(($D$10:$L$10-($D$9:$L$9+INT(($S$12:$AA$12+INDEX($AJ$13:$AR$162,BN186,0)+INDEX($AT$13:$BB$162,BO186,0)+INDEX($BD$13:$BL$162,BP186,0))/100)))&gt;0)*($D$10:$L$10-($D$9:$L$9+INT(($S$12:$AA$12+INDEX($AJ$13:$AR$162,BN186,0)+INDEX($AT$13:$BB$162,BO186,0)+INDEX($BD$13:$BL$162,BP186,0))/100)))),0)</f>
        <v/>
      </c>
      <c r="BS186">
        <f>IF(173&lt;$U$9,SUMPRODUCT(($D$9:$L$9+INT(($S$12:$AA$12+INDEX($AJ$13:$AR$162,BN186,0)+INDEX($AT$13:$BB$162,BO186,0)+INDEX($BD$13:$BL$162,BP186,0))/100))),0)</f>
        <v/>
      </c>
      <c r="BT186">
        <f>IF(AND(173&lt;$U$9,$W$5),BQ186*1000000-MIN(BR186,999)*1000+BS186-173/100000,-1000000000-173)</f>
        <v/>
      </c>
    </row>
    <row r="187">
      <c r="BN187">
        <f>IF(174&lt;$U$9,INT(174/($U$7*$U$8))+1,1)</f>
        <v/>
      </c>
      <c r="BO187">
        <f>IF(174&lt;$U$9,MOD(INT(174/$U$8),$U$7)+1,1)</f>
        <v/>
      </c>
      <c r="BP187">
        <f>IF(174&lt;$U$9,MOD(174,$U$8)+1,1)</f>
        <v/>
      </c>
      <c r="BQ187">
        <f>IF(174&lt;$U$9,SUMPRODUCT(($D$10:$L$10&lt;&gt;"")*(($D$9:$L$9+INT(($S$12:$AA$12+INDEX($AJ$13:$AR$162,BN187,0)+INDEX($AT$13:$BB$162,BO187,0)+INDEX($BD$13:$BL$162,BP187,0))/100))&gt;=$D$10:$L$10)),0)</f>
        <v/>
      </c>
      <c r="BR187">
        <f>IF(174&lt;$U$9,SUMPRODUCT(($D$10:$L$10&lt;&gt;"")*(($D$10:$L$10-($D$9:$L$9+INT(($S$12:$AA$12+INDEX($AJ$13:$AR$162,BN187,0)+INDEX($AT$13:$BB$162,BO187,0)+INDEX($BD$13:$BL$162,BP187,0))/100)))&gt;0)*($D$10:$L$10-($D$9:$L$9+INT(($S$12:$AA$12+INDEX($AJ$13:$AR$162,BN187,0)+INDEX($AT$13:$BB$162,BO187,0)+INDEX($BD$13:$BL$162,BP187,0))/100)))),0)</f>
        <v/>
      </c>
      <c r="BS187">
        <f>IF(174&lt;$U$9,SUMPRODUCT(($D$9:$L$9+INT(($S$12:$AA$12+INDEX($AJ$13:$AR$162,BN187,0)+INDEX($AT$13:$BB$162,BO187,0)+INDEX($BD$13:$BL$162,BP187,0))/100))),0)</f>
        <v/>
      </c>
      <c r="BT187">
        <f>IF(AND(174&lt;$U$9,$W$5),BQ187*1000000-MIN(BR187,999)*1000+BS187-174/100000,-1000000000-174)</f>
        <v/>
      </c>
    </row>
    <row r="188">
      <c r="BN188">
        <f>IF(175&lt;$U$9,INT(175/($U$7*$U$8))+1,1)</f>
        <v/>
      </c>
      <c r="BO188">
        <f>IF(175&lt;$U$9,MOD(INT(175/$U$8),$U$7)+1,1)</f>
        <v/>
      </c>
      <c r="BP188">
        <f>IF(175&lt;$U$9,MOD(175,$U$8)+1,1)</f>
        <v/>
      </c>
      <c r="BQ188">
        <f>IF(175&lt;$U$9,SUMPRODUCT(($D$10:$L$10&lt;&gt;"")*(($D$9:$L$9+INT(($S$12:$AA$12+INDEX($AJ$13:$AR$162,BN188,0)+INDEX($AT$13:$BB$162,BO188,0)+INDEX($BD$13:$BL$162,BP188,0))/100))&gt;=$D$10:$L$10)),0)</f>
        <v/>
      </c>
      <c r="BR188">
        <f>IF(175&lt;$U$9,SUMPRODUCT(($D$10:$L$10&lt;&gt;"")*(($D$10:$L$10-($D$9:$L$9+INT(($S$12:$AA$12+INDEX($AJ$13:$AR$162,BN188,0)+INDEX($AT$13:$BB$162,BO188,0)+INDEX($BD$13:$BL$162,BP188,0))/100)))&gt;0)*($D$10:$L$10-($D$9:$L$9+INT(($S$12:$AA$12+INDEX($AJ$13:$AR$162,BN188,0)+INDEX($AT$13:$BB$162,BO188,0)+INDEX($BD$13:$BL$162,BP188,0))/100)))),0)</f>
        <v/>
      </c>
      <c r="BS188">
        <f>IF(175&lt;$U$9,SUMPRODUCT(($D$9:$L$9+INT(($S$12:$AA$12+INDEX($AJ$13:$AR$162,BN188,0)+INDEX($AT$13:$BB$162,BO188,0)+INDEX($BD$13:$BL$162,BP188,0))/100))),0)</f>
        <v/>
      </c>
      <c r="BT188">
        <f>IF(AND(175&lt;$U$9,$W$5),BQ188*1000000-MIN(BR188,999)*1000+BS188-175/100000,-1000000000-175)</f>
        <v/>
      </c>
    </row>
    <row r="189">
      <c r="BN189">
        <f>IF(176&lt;$U$9,INT(176/($U$7*$U$8))+1,1)</f>
        <v/>
      </c>
      <c r="BO189">
        <f>IF(176&lt;$U$9,MOD(INT(176/$U$8),$U$7)+1,1)</f>
        <v/>
      </c>
      <c r="BP189">
        <f>IF(176&lt;$U$9,MOD(176,$U$8)+1,1)</f>
        <v/>
      </c>
      <c r="BQ189">
        <f>IF(176&lt;$U$9,SUMPRODUCT(($D$10:$L$10&lt;&gt;"")*(($D$9:$L$9+INT(($S$12:$AA$12+INDEX($AJ$13:$AR$162,BN189,0)+INDEX($AT$13:$BB$162,BO189,0)+INDEX($BD$13:$BL$162,BP189,0))/100))&gt;=$D$10:$L$10)),0)</f>
        <v/>
      </c>
      <c r="BR189">
        <f>IF(176&lt;$U$9,SUMPRODUCT(($D$10:$L$10&lt;&gt;"")*(($D$10:$L$10-($D$9:$L$9+INT(($S$12:$AA$12+INDEX($AJ$13:$AR$162,BN189,0)+INDEX($AT$13:$BB$162,BO189,0)+INDEX($BD$13:$BL$162,BP189,0))/100)))&gt;0)*($D$10:$L$10-($D$9:$L$9+INT(($S$12:$AA$12+INDEX($AJ$13:$AR$162,BN189,0)+INDEX($AT$13:$BB$162,BO189,0)+INDEX($BD$13:$BL$162,BP189,0))/100)))),0)</f>
        <v/>
      </c>
      <c r="BS189">
        <f>IF(176&lt;$U$9,SUMPRODUCT(($D$9:$L$9+INT(($S$12:$AA$12+INDEX($AJ$13:$AR$162,BN189,0)+INDEX($AT$13:$BB$162,BO189,0)+INDEX($BD$13:$BL$162,BP189,0))/100))),0)</f>
        <v/>
      </c>
      <c r="BT189">
        <f>IF(AND(176&lt;$U$9,$W$5),BQ189*1000000-MIN(BR189,999)*1000+BS189-176/100000,-1000000000-176)</f>
        <v/>
      </c>
    </row>
    <row r="190">
      <c r="BN190">
        <f>IF(177&lt;$U$9,INT(177/($U$7*$U$8))+1,1)</f>
        <v/>
      </c>
      <c r="BO190">
        <f>IF(177&lt;$U$9,MOD(INT(177/$U$8),$U$7)+1,1)</f>
        <v/>
      </c>
      <c r="BP190">
        <f>IF(177&lt;$U$9,MOD(177,$U$8)+1,1)</f>
        <v/>
      </c>
      <c r="BQ190">
        <f>IF(177&lt;$U$9,SUMPRODUCT(($D$10:$L$10&lt;&gt;"")*(($D$9:$L$9+INT(($S$12:$AA$12+INDEX($AJ$13:$AR$162,BN190,0)+INDEX($AT$13:$BB$162,BO190,0)+INDEX($BD$13:$BL$162,BP190,0))/100))&gt;=$D$10:$L$10)),0)</f>
        <v/>
      </c>
      <c r="BR190">
        <f>IF(177&lt;$U$9,SUMPRODUCT(($D$10:$L$10&lt;&gt;"")*(($D$10:$L$10-($D$9:$L$9+INT(($S$12:$AA$12+INDEX($AJ$13:$AR$162,BN190,0)+INDEX($AT$13:$BB$162,BO190,0)+INDEX($BD$13:$BL$162,BP190,0))/100)))&gt;0)*($D$10:$L$10-($D$9:$L$9+INT(($S$12:$AA$12+INDEX($AJ$13:$AR$162,BN190,0)+INDEX($AT$13:$BB$162,BO190,0)+INDEX($BD$13:$BL$162,BP190,0))/100)))),0)</f>
        <v/>
      </c>
      <c r="BS190">
        <f>IF(177&lt;$U$9,SUMPRODUCT(($D$9:$L$9+INT(($S$12:$AA$12+INDEX($AJ$13:$AR$162,BN190,0)+INDEX($AT$13:$BB$162,BO190,0)+INDEX($BD$13:$BL$162,BP190,0))/100))),0)</f>
        <v/>
      </c>
      <c r="BT190">
        <f>IF(AND(177&lt;$U$9,$W$5),BQ190*1000000-MIN(BR190,999)*1000+BS190-177/100000,-1000000000-177)</f>
        <v/>
      </c>
    </row>
    <row r="191">
      <c r="BN191">
        <f>IF(178&lt;$U$9,INT(178/($U$7*$U$8))+1,1)</f>
        <v/>
      </c>
      <c r="BO191">
        <f>IF(178&lt;$U$9,MOD(INT(178/$U$8),$U$7)+1,1)</f>
        <v/>
      </c>
      <c r="BP191">
        <f>IF(178&lt;$U$9,MOD(178,$U$8)+1,1)</f>
        <v/>
      </c>
      <c r="BQ191">
        <f>IF(178&lt;$U$9,SUMPRODUCT(($D$10:$L$10&lt;&gt;"")*(($D$9:$L$9+INT(($S$12:$AA$12+INDEX($AJ$13:$AR$162,BN191,0)+INDEX($AT$13:$BB$162,BO191,0)+INDEX($BD$13:$BL$162,BP191,0))/100))&gt;=$D$10:$L$10)),0)</f>
        <v/>
      </c>
      <c r="BR191">
        <f>IF(178&lt;$U$9,SUMPRODUCT(($D$10:$L$10&lt;&gt;"")*(($D$10:$L$10-($D$9:$L$9+INT(($S$12:$AA$12+INDEX($AJ$13:$AR$162,BN191,0)+INDEX($AT$13:$BB$162,BO191,0)+INDEX($BD$13:$BL$162,BP191,0))/100)))&gt;0)*($D$10:$L$10-($D$9:$L$9+INT(($S$12:$AA$12+INDEX($AJ$13:$AR$162,BN191,0)+INDEX($AT$13:$BB$162,BO191,0)+INDEX($BD$13:$BL$162,BP191,0))/100)))),0)</f>
        <v/>
      </c>
      <c r="BS191">
        <f>IF(178&lt;$U$9,SUMPRODUCT(($D$9:$L$9+INT(($S$12:$AA$12+INDEX($AJ$13:$AR$162,BN191,0)+INDEX($AT$13:$BB$162,BO191,0)+INDEX($BD$13:$BL$162,BP191,0))/100))),0)</f>
        <v/>
      </c>
      <c r="BT191">
        <f>IF(AND(178&lt;$U$9,$W$5),BQ191*1000000-MIN(BR191,999)*1000+BS191-178/100000,-1000000000-178)</f>
        <v/>
      </c>
    </row>
    <row r="192">
      <c r="BN192">
        <f>IF(179&lt;$U$9,INT(179/($U$7*$U$8))+1,1)</f>
        <v/>
      </c>
      <c r="BO192">
        <f>IF(179&lt;$U$9,MOD(INT(179/$U$8),$U$7)+1,1)</f>
        <v/>
      </c>
      <c r="BP192">
        <f>IF(179&lt;$U$9,MOD(179,$U$8)+1,1)</f>
        <v/>
      </c>
      <c r="BQ192">
        <f>IF(179&lt;$U$9,SUMPRODUCT(($D$10:$L$10&lt;&gt;"")*(($D$9:$L$9+INT(($S$12:$AA$12+INDEX($AJ$13:$AR$162,BN192,0)+INDEX($AT$13:$BB$162,BO192,0)+INDEX($BD$13:$BL$162,BP192,0))/100))&gt;=$D$10:$L$10)),0)</f>
        <v/>
      </c>
      <c r="BR192">
        <f>IF(179&lt;$U$9,SUMPRODUCT(($D$10:$L$10&lt;&gt;"")*(($D$10:$L$10-($D$9:$L$9+INT(($S$12:$AA$12+INDEX($AJ$13:$AR$162,BN192,0)+INDEX($AT$13:$BB$162,BO192,0)+INDEX($BD$13:$BL$162,BP192,0))/100)))&gt;0)*($D$10:$L$10-($D$9:$L$9+INT(($S$12:$AA$12+INDEX($AJ$13:$AR$162,BN192,0)+INDEX($AT$13:$BB$162,BO192,0)+INDEX($BD$13:$BL$162,BP192,0))/100)))),0)</f>
        <v/>
      </c>
      <c r="BS192">
        <f>IF(179&lt;$U$9,SUMPRODUCT(($D$9:$L$9+INT(($S$12:$AA$12+INDEX($AJ$13:$AR$162,BN192,0)+INDEX($AT$13:$BB$162,BO192,0)+INDEX($BD$13:$BL$162,BP192,0))/100))),0)</f>
        <v/>
      </c>
      <c r="BT192">
        <f>IF(AND(179&lt;$U$9,$W$5),BQ192*1000000-MIN(BR192,999)*1000+BS192-179/100000,-1000000000-179)</f>
        <v/>
      </c>
    </row>
    <row r="193">
      <c r="BN193">
        <f>IF(180&lt;$U$9,INT(180/($U$7*$U$8))+1,1)</f>
        <v/>
      </c>
      <c r="BO193">
        <f>IF(180&lt;$U$9,MOD(INT(180/$U$8),$U$7)+1,1)</f>
        <v/>
      </c>
      <c r="BP193">
        <f>IF(180&lt;$U$9,MOD(180,$U$8)+1,1)</f>
        <v/>
      </c>
      <c r="BQ193">
        <f>IF(180&lt;$U$9,SUMPRODUCT(($D$10:$L$10&lt;&gt;"")*(($D$9:$L$9+INT(($S$12:$AA$12+INDEX($AJ$13:$AR$162,BN193,0)+INDEX($AT$13:$BB$162,BO193,0)+INDEX($BD$13:$BL$162,BP193,0))/100))&gt;=$D$10:$L$10)),0)</f>
        <v/>
      </c>
      <c r="BR193">
        <f>IF(180&lt;$U$9,SUMPRODUCT(($D$10:$L$10&lt;&gt;"")*(($D$10:$L$10-($D$9:$L$9+INT(($S$12:$AA$12+INDEX($AJ$13:$AR$162,BN193,0)+INDEX($AT$13:$BB$162,BO193,0)+INDEX($BD$13:$BL$162,BP193,0))/100)))&gt;0)*($D$10:$L$10-($D$9:$L$9+INT(($S$12:$AA$12+INDEX($AJ$13:$AR$162,BN193,0)+INDEX($AT$13:$BB$162,BO193,0)+INDEX($BD$13:$BL$162,BP193,0))/100)))),0)</f>
        <v/>
      </c>
      <c r="BS193">
        <f>IF(180&lt;$U$9,SUMPRODUCT(($D$9:$L$9+INT(($S$12:$AA$12+INDEX($AJ$13:$AR$162,BN193,0)+INDEX($AT$13:$BB$162,BO193,0)+INDEX($BD$13:$BL$162,BP193,0))/100))),0)</f>
        <v/>
      </c>
      <c r="BT193">
        <f>IF(AND(180&lt;$U$9,$W$5),BQ193*1000000-MIN(BR193,999)*1000+BS193-180/100000,-1000000000-180)</f>
        <v/>
      </c>
    </row>
    <row r="194">
      <c r="BN194">
        <f>IF(181&lt;$U$9,INT(181/($U$7*$U$8))+1,1)</f>
        <v/>
      </c>
      <c r="BO194">
        <f>IF(181&lt;$U$9,MOD(INT(181/$U$8),$U$7)+1,1)</f>
        <v/>
      </c>
      <c r="BP194">
        <f>IF(181&lt;$U$9,MOD(181,$U$8)+1,1)</f>
        <v/>
      </c>
      <c r="BQ194">
        <f>IF(181&lt;$U$9,SUMPRODUCT(($D$10:$L$10&lt;&gt;"")*(($D$9:$L$9+INT(($S$12:$AA$12+INDEX($AJ$13:$AR$162,BN194,0)+INDEX($AT$13:$BB$162,BO194,0)+INDEX($BD$13:$BL$162,BP194,0))/100))&gt;=$D$10:$L$10)),0)</f>
        <v/>
      </c>
      <c r="BR194">
        <f>IF(181&lt;$U$9,SUMPRODUCT(($D$10:$L$10&lt;&gt;"")*(($D$10:$L$10-($D$9:$L$9+INT(($S$12:$AA$12+INDEX($AJ$13:$AR$162,BN194,0)+INDEX($AT$13:$BB$162,BO194,0)+INDEX($BD$13:$BL$162,BP194,0))/100)))&gt;0)*($D$10:$L$10-($D$9:$L$9+INT(($S$12:$AA$12+INDEX($AJ$13:$AR$162,BN194,0)+INDEX($AT$13:$BB$162,BO194,0)+INDEX($BD$13:$BL$162,BP194,0))/100)))),0)</f>
        <v/>
      </c>
      <c r="BS194">
        <f>IF(181&lt;$U$9,SUMPRODUCT(($D$9:$L$9+INT(($S$12:$AA$12+INDEX($AJ$13:$AR$162,BN194,0)+INDEX($AT$13:$BB$162,BO194,0)+INDEX($BD$13:$BL$162,BP194,0))/100))),0)</f>
        <v/>
      </c>
      <c r="BT194">
        <f>IF(AND(181&lt;$U$9,$W$5),BQ194*1000000-MIN(BR194,999)*1000+BS194-181/100000,-1000000000-181)</f>
        <v/>
      </c>
    </row>
    <row r="195">
      <c r="BN195">
        <f>IF(182&lt;$U$9,INT(182/($U$7*$U$8))+1,1)</f>
        <v/>
      </c>
      <c r="BO195">
        <f>IF(182&lt;$U$9,MOD(INT(182/$U$8),$U$7)+1,1)</f>
        <v/>
      </c>
      <c r="BP195">
        <f>IF(182&lt;$U$9,MOD(182,$U$8)+1,1)</f>
        <v/>
      </c>
      <c r="BQ195">
        <f>IF(182&lt;$U$9,SUMPRODUCT(($D$10:$L$10&lt;&gt;"")*(($D$9:$L$9+INT(($S$12:$AA$12+INDEX($AJ$13:$AR$162,BN195,0)+INDEX($AT$13:$BB$162,BO195,0)+INDEX($BD$13:$BL$162,BP195,0))/100))&gt;=$D$10:$L$10)),0)</f>
        <v/>
      </c>
      <c r="BR195">
        <f>IF(182&lt;$U$9,SUMPRODUCT(($D$10:$L$10&lt;&gt;"")*(($D$10:$L$10-($D$9:$L$9+INT(($S$12:$AA$12+INDEX($AJ$13:$AR$162,BN195,0)+INDEX($AT$13:$BB$162,BO195,0)+INDEX($BD$13:$BL$162,BP195,0))/100)))&gt;0)*($D$10:$L$10-($D$9:$L$9+INT(($S$12:$AA$12+INDEX($AJ$13:$AR$162,BN195,0)+INDEX($AT$13:$BB$162,BO195,0)+INDEX($BD$13:$BL$162,BP195,0))/100)))),0)</f>
        <v/>
      </c>
      <c r="BS195">
        <f>IF(182&lt;$U$9,SUMPRODUCT(($D$9:$L$9+INT(($S$12:$AA$12+INDEX($AJ$13:$AR$162,BN195,0)+INDEX($AT$13:$BB$162,BO195,0)+INDEX($BD$13:$BL$162,BP195,0))/100))),0)</f>
        <v/>
      </c>
      <c r="BT195">
        <f>IF(AND(182&lt;$U$9,$W$5),BQ195*1000000-MIN(BR195,999)*1000+BS195-182/100000,-1000000000-182)</f>
        <v/>
      </c>
    </row>
    <row r="196">
      <c r="BN196">
        <f>IF(183&lt;$U$9,INT(183/($U$7*$U$8))+1,1)</f>
        <v/>
      </c>
      <c r="BO196">
        <f>IF(183&lt;$U$9,MOD(INT(183/$U$8),$U$7)+1,1)</f>
        <v/>
      </c>
      <c r="BP196">
        <f>IF(183&lt;$U$9,MOD(183,$U$8)+1,1)</f>
        <v/>
      </c>
      <c r="BQ196">
        <f>IF(183&lt;$U$9,SUMPRODUCT(($D$10:$L$10&lt;&gt;"")*(($D$9:$L$9+INT(($S$12:$AA$12+INDEX($AJ$13:$AR$162,BN196,0)+INDEX($AT$13:$BB$162,BO196,0)+INDEX($BD$13:$BL$162,BP196,0))/100))&gt;=$D$10:$L$10)),0)</f>
        <v/>
      </c>
      <c r="BR196">
        <f>IF(183&lt;$U$9,SUMPRODUCT(($D$10:$L$10&lt;&gt;"")*(($D$10:$L$10-($D$9:$L$9+INT(($S$12:$AA$12+INDEX($AJ$13:$AR$162,BN196,0)+INDEX($AT$13:$BB$162,BO196,0)+INDEX($BD$13:$BL$162,BP196,0))/100)))&gt;0)*($D$10:$L$10-($D$9:$L$9+INT(($S$12:$AA$12+INDEX($AJ$13:$AR$162,BN196,0)+INDEX($AT$13:$BB$162,BO196,0)+INDEX($BD$13:$BL$162,BP196,0))/100)))),0)</f>
        <v/>
      </c>
      <c r="BS196">
        <f>IF(183&lt;$U$9,SUMPRODUCT(($D$9:$L$9+INT(($S$12:$AA$12+INDEX($AJ$13:$AR$162,BN196,0)+INDEX($AT$13:$BB$162,BO196,0)+INDEX($BD$13:$BL$162,BP196,0))/100))),0)</f>
        <v/>
      </c>
      <c r="BT196">
        <f>IF(AND(183&lt;$U$9,$W$5),BQ196*1000000-MIN(BR196,999)*1000+BS196-183/100000,-1000000000-183)</f>
        <v/>
      </c>
    </row>
    <row r="197">
      <c r="BN197">
        <f>IF(184&lt;$U$9,INT(184/($U$7*$U$8))+1,1)</f>
        <v/>
      </c>
      <c r="BO197">
        <f>IF(184&lt;$U$9,MOD(INT(184/$U$8),$U$7)+1,1)</f>
        <v/>
      </c>
      <c r="BP197">
        <f>IF(184&lt;$U$9,MOD(184,$U$8)+1,1)</f>
        <v/>
      </c>
      <c r="BQ197">
        <f>IF(184&lt;$U$9,SUMPRODUCT(($D$10:$L$10&lt;&gt;"")*(($D$9:$L$9+INT(($S$12:$AA$12+INDEX($AJ$13:$AR$162,BN197,0)+INDEX($AT$13:$BB$162,BO197,0)+INDEX($BD$13:$BL$162,BP197,0))/100))&gt;=$D$10:$L$10)),0)</f>
        <v/>
      </c>
      <c r="BR197">
        <f>IF(184&lt;$U$9,SUMPRODUCT(($D$10:$L$10&lt;&gt;"")*(($D$10:$L$10-($D$9:$L$9+INT(($S$12:$AA$12+INDEX($AJ$13:$AR$162,BN197,0)+INDEX($AT$13:$BB$162,BO197,0)+INDEX($BD$13:$BL$162,BP197,0))/100)))&gt;0)*($D$10:$L$10-($D$9:$L$9+INT(($S$12:$AA$12+INDEX($AJ$13:$AR$162,BN197,0)+INDEX($AT$13:$BB$162,BO197,0)+INDEX($BD$13:$BL$162,BP197,0))/100)))),0)</f>
        <v/>
      </c>
      <c r="BS197">
        <f>IF(184&lt;$U$9,SUMPRODUCT(($D$9:$L$9+INT(($S$12:$AA$12+INDEX($AJ$13:$AR$162,BN197,0)+INDEX($AT$13:$BB$162,BO197,0)+INDEX($BD$13:$BL$162,BP197,0))/100))),0)</f>
        <v/>
      </c>
      <c r="BT197">
        <f>IF(AND(184&lt;$U$9,$W$5),BQ197*1000000-MIN(BR197,999)*1000+BS197-184/100000,-1000000000-184)</f>
        <v/>
      </c>
    </row>
    <row r="198">
      <c r="BN198">
        <f>IF(185&lt;$U$9,INT(185/($U$7*$U$8))+1,1)</f>
        <v/>
      </c>
      <c r="BO198">
        <f>IF(185&lt;$U$9,MOD(INT(185/$U$8),$U$7)+1,1)</f>
        <v/>
      </c>
      <c r="BP198">
        <f>IF(185&lt;$U$9,MOD(185,$U$8)+1,1)</f>
        <v/>
      </c>
      <c r="BQ198">
        <f>IF(185&lt;$U$9,SUMPRODUCT(($D$10:$L$10&lt;&gt;"")*(($D$9:$L$9+INT(($S$12:$AA$12+INDEX($AJ$13:$AR$162,BN198,0)+INDEX($AT$13:$BB$162,BO198,0)+INDEX($BD$13:$BL$162,BP198,0))/100))&gt;=$D$10:$L$10)),0)</f>
        <v/>
      </c>
      <c r="BR198">
        <f>IF(185&lt;$U$9,SUMPRODUCT(($D$10:$L$10&lt;&gt;"")*(($D$10:$L$10-($D$9:$L$9+INT(($S$12:$AA$12+INDEX($AJ$13:$AR$162,BN198,0)+INDEX($AT$13:$BB$162,BO198,0)+INDEX($BD$13:$BL$162,BP198,0))/100)))&gt;0)*($D$10:$L$10-($D$9:$L$9+INT(($S$12:$AA$12+INDEX($AJ$13:$AR$162,BN198,0)+INDEX($AT$13:$BB$162,BO198,0)+INDEX($BD$13:$BL$162,BP198,0))/100)))),0)</f>
        <v/>
      </c>
      <c r="BS198">
        <f>IF(185&lt;$U$9,SUMPRODUCT(($D$9:$L$9+INT(($S$12:$AA$12+INDEX($AJ$13:$AR$162,BN198,0)+INDEX($AT$13:$BB$162,BO198,0)+INDEX($BD$13:$BL$162,BP198,0))/100))),0)</f>
        <v/>
      </c>
      <c r="BT198">
        <f>IF(AND(185&lt;$U$9,$W$5),BQ198*1000000-MIN(BR198,999)*1000+BS198-185/100000,-1000000000-185)</f>
        <v/>
      </c>
    </row>
    <row r="199">
      <c r="BN199">
        <f>IF(186&lt;$U$9,INT(186/($U$7*$U$8))+1,1)</f>
        <v/>
      </c>
      <c r="BO199">
        <f>IF(186&lt;$U$9,MOD(INT(186/$U$8),$U$7)+1,1)</f>
        <v/>
      </c>
      <c r="BP199">
        <f>IF(186&lt;$U$9,MOD(186,$U$8)+1,1)</f>
        <v/>
      </c>
      <c r="BQ199">
        <f>IF(186&lt;$U$9,SUMPRODUCT(($D$10:$L$10&lt;&gt;"")*(($D$9:$L$9+INT(($S$12:$AA$12+INDEX($AJ$13:$AR$162,BN199,0)+INDEX($AT$13:$BB$162,BO199,0)+INDEX($BD$13:$BL$162,BP199,0))/100))&gt;=$D$10:$L$10)),0)</f>
        <v/>
      </c>
      <c r="BR199">
        <f>IF(186&lt;$U$9,SUMPRODUCT(($D$10:$L$10&lt;&gt;"")*(($D$10:$L$10-($D$9:$L$9+INT(($S$12:$AA$12+INDEX($AJ$13:$AR$162,BN199,0)+INDEX($AT$13:$BB$162,BO199,0)+INDEX($BD$13:$BL$162,BP199,0))/100)))&gt;0)*($D$10:$L$10-($D$9:$L$9+INT(($S$12:$AA$12+INDEX($AJ$13:$AR$162,BN199,0)+INDEX($AT$13:$BB$162,BO199,0)+INDEX($BD$13:$BL$162,BP199,0))/100)))),0)</f>
        <v/>
      </c>
      <c r="BS199">
        <f>IF(186&lt;$U$9,SUMPRODUCT(($D$9:$L$9+INT(($S$12:$AA$12+INDEX($AJ$13:$AR$162,BN199,0)+INDEX($AT$13:$BB$162,BO199,0)+INDEX($BD$13:$BL$162,BP199,0))/100))),0)</f>
        <v/>
      </c>
      <c r="BT199">
        <f>IF(AND(186&lt;$U$9,$W$5),BQ199*1000000-MIN(BR199,999)*1000+BS199-186/100000,-1000000000-186)</f>
        <v/>
      </c>
    </row>
    <row r="200">
      <c r="BN200">
        <f>IF(187&lt;$U$9,INT(187/($U$7*$U$8))+1,1)</f>
        <v/>
      </c>
      <c r="BO200">
        <f>IF(187&lt;$U$9,MOD(INT(187/$U$8),$U$7)+1,1)</f>
        <v/>
      </c>
      <c r="BP200">
        <f>IF(187&lt;$U$9,MOD(187,$U$8)+1,1)</f>
        <v/>
      </c>
      <c r="BQ200">
        <f>IF(187&lt;$U$9,SUMPRODUCT(($D$10:$L$10&lt;&gt;"")*(($D$9:$L$9+INT(($S$12:$AA$12+INDEX($AJ$13:$AR$162,BN200,0)+INDEX($AT$13:$BB$162,BO200,0)+INDEX($BD$13:$BL$162,BP200,0))/100))&gt;=$D$10:$L$10)),0)</f>
        <v/>
      </c>
      <c r="BR200">
        <f>IF(187&lt;$U$9,SUMPRODUCT(($D$10:$L$10&lt;&gt;"")*(($D$10:$L$10-($D$9:$L$9+INT(($S$12:$AA$12+INDEX($AJ$13:$AR$162,BN200,0)+INDEX($AT$13:$BB$162,BO200,0)+INDEX($BD$13:$BL$162,BP200,0))/100)))&gt;0)*($D$10:$L$10-($D$9:$L$9+INT(($S$12:$AA$12+INDEX($AJ$13:$AR$162,BN200,0)+INDEX($AT$13:$BB$162,BO200,0)+INDEX($BD$13:$BL$162,BP200,0))/100)))),0)</f>
        <v/>
      </c>
      <c r="BS200">
        <f>IF(187&lt;$U$9,SUMPRODUCT(($D$9:$L$9+INT(($S$12:$AA$12+INDEX($AJ$13:$AR$162,BN200,0)+INDEX($AT$13:$BB$162,BO200,0)+INDEX($BD$13:$BL$162,BP200,0))/100))),0)</f>
        <v/>
      </c>
      <c r="BT200">
        <f>IF(AND(187&lt;$U$9,$W$5),BQ200*1000000-MIN(BR200,999)*1000+BS200-187/100000,-1000000000-187)</f>
        <v/>
      </c>
    </row>
    <row r="201">
      <c r="BN201">
        <f>IF(188&lt;$U$9,INT(188/($U$7*$U$8))+1,1)</f>
        <v/>
      </c>
      <c r="BO201">
        <f>IF(188&lt;$U$9,MOD(INT(188/$U$8),$U$7)+1,1)</f>
        <v/>
      </c>
      <c r="BP201">
        <f>IF(188&lt;$U$9,MOD(188,$U$8)+1,1)</f>
        <v/>
      </c>
      <c r="BQ201">
        <f>IF(188&lt;$U$9,SUMPRODUCT(($D$10:$L$10&lt;&gt;"")*(($D$9:$L$9+INT(($S$12:$AA$12+INDEX($AJ$13:$AR$162,BN201,0)+INDEX($AT$13:$BB$162,BO201,0)+INDEX($BD$13:$BL$162,BP201,0))/100))&gt;=$D$10:$L$10)),0)</f>
        <v/>
      </c>
      <c r="BR201">
        <f>IF(188&lt;$U$9,SUMPRODUCT(($D$10:$L$10&lt;&gt;"")*(($D$10:$L$10-($D$9:$L$9+INT(($S$12:$AA$12+INDEX($AJ$13:$AR$162,BN201,0)+INDEX($AT$13:$BB$162,BO201,0)+INDEX($BD$13:$BL$162,BP201,0))/100)))&gt;0)*($D$10:$L$10-($D$9:$L$9+INT(($S$12:$AA$12+INDEX($AJ$13:$AR$162,BN201,0)+INDEX($AT$13:$BB$162,BO201,0)+INDEX($BD$13:$BL$162,BP201,0))/100)))),0)</f>
        <v/>
      </c>
      <c r="BS201">
        <f>IF(188&lt;$U$9,SUMPRODUCT(($D$9:$L$9+INT(($S$12:$AA$12+INDEX($AJ$13:$AR$162,BN201,0)+INDEX($AT$13:$BB$162,BO201,0)+INDEX($BD$13:$BL$162,BP201,0))/100))),0)</f>
        <v/>
      </c>
      <c r="BT201">
        <f>IF(AND(188&lt;$U$9,$W$5),BQ201*1000000-MIN(BR201,999)*1000+BS201-188/100000,-1000000000-188)</f>
        <v/>
      </c>
    </row>
    <row r="202">
      <c r="BN202">
        <f>IF(189&lt;$U$9,INT(189/($U$7*$U$8))+1,1)</f>
        <v/>
      </c>
      <c r="BO202">
        <f>IF(189&lt;$U$9,MOD(INT(189/$U$8),$U$7)+1,1)</f>
        <v/>
      </c>
      <c r="BP202">
        <f>IF(189&lt;$U$9,MOD(189,$U$8)+1,1)</f>
        <v/>
      </c>
      <c r="BQ202">
        <f>IF(189&lt;$U$9,SUMPRODUCT(($D$10:$L$10&lt;&gt;"")*(($D$9:$L$9+INT(($S$12:$AA$12+INDEX($AJ$13:$AR$162,BN202,0)+INDEX($AT$13:$BB$162,BO202,0)+INDEX($BD$13:$BL$162,BP202,0))/100))&gt;=$D$10:$L$10)),0)</f>
        <v/>
      </c>
      <c r="BR202">
        <f>IF(189&lt;$U$9,SUMPRODUCT(($D$10:$L$10&lt;&gt;"")*(($D$10:$L$10-($D$9:$L$9+INT(($S$12:$AA$12+INDEX($AJ$13:$AR$162,BN202,0)+INDEX($AT$13:$BB$162,BO202,0)+INDEX($BD$13:$BL$162,BP202,0))/100)))&gt;0)*($D$10:$L$10-($D$9:$L$9+INT(($S$12:$AA$12+INDEX($AJ$13:$AR$162,BN202,0)+INDEX($AT$13:$BB$162,BO202,0)+INDEX($BD$13:$BL$162,BP202,0))/100)))),0)</f>
        <v/>
      </c>
      <c r="BS202">
        <f>IF(189&lt;$U$9,SUMPRODUCT(($D$9:$L$9+INT(($S$12:$AA$12+INDEX($AJ$13:$AR$162,BN202,0)+INDEX($AT$13:$BB$162,BO202,0)+INDEX($BD$13:$BL$162,BP202,0))/100))),0)</f>
        <v/>
      </c>
      <c r="BT202">
        <f>IF(AND(189&lt;$U$9,$W$5),BQ202*1000000-MIN(BR202,999)*1000+BS202-189/100000,-1000000000-189)</f>
        <v/>
      </c>
    </row>
    <row r="203">
      <c r="BN203">
        <f>IF(190&lt;$U$9,INT(190/($U$7*$U$8))+1,1)</f>
        <v/>
      </c>
      <c r="BO203">
        <f>IF(190&lt;$U$9,MOD(INT(190/$U$8),$U$7)+1,1)</f>
        <v/>
      </c>
      <c r="BP203">
        <f>IF(190&lt;$U$9,MOD(190,$U$8)+1,1)</f>
        <v/>
      </c>
      <c r="BQ203">
        <f>IF(190&lt;$U$9,SUMPRODUCT(($D$10:$L$10&lt;&gt;"")*(($D$9:$L$9+INT(($S$12:$AA$12+INDEX($AJ$13:$AR$162,BN203,0)+INDEX($AT$13:$BB$162,BO203,0)+INDEX($BD$13:$BL$162,BP203,0))/100))&gt;=$D$10:$L$10)),0)</f>
        <v/>
      </c>
      <c r="BR203">
        <f>IF(190&lt;$U$9,SUMPRODUCT(($D$10:$L$10&lt;&gt;"")*(($D$10:$L$10-($D$9:$L$9+INT(($S$12:$AA$12+INDEX($AJ$13:$AR$162,BN203,0)+INDEX($AT$13:$BB$162,BO203,0)+INDEX($BD$13:$BL$162,BP203,0))/100)))&gt;0)*($D$10:$L$10-($D$9:$L$9+INT(($S$12:$AA$12+INDEX($AJ$13:$AR$162,BN203,0)+INDEX($AT$13:$BB$162,BO203,0)+INDEX($BD$13:$BL$162,BP203,0))/100)))),0)</f>
        <v/>
      </c>
      <c r="BS203">
        <f>IF(190&lt;$U$9,SUMPRODUCT(($D$9:$L$9+INT(($S$12:$AA$12+INDEX($AJ$13:$AR$162,BN203,0)+INDEX($AT$13:$BB$162,BO203,0)+INDEX($BD$13:$BL$162,BP203,0))/100))),0)</f>
        <v/>
      </c>
      <c r="BT203">
        <f>IF(AND(190&lt;$U$9,$W$5),BQ203*1000000-MIN(BR203,999)*1000+BS203-190/100000,-1000000000-190)</f>
        <v/>
      </c>
    </row>
    <row r="204">
      <c r="BN204">
        <f>IF(191&lt;$U$9,INT(191/($U$7*$U$8))+1,1)</f>
        <v/>
      </c>
      <c r="BO204">
        <f>IF(191&lt;$U$9,MOD(INT(191/$U$8),$U$7)+1,1)</f>
        <v/>
      </c>
      <c r="BP204">
        <f>IF(191&lt;$U$9,MOD(191,$U$8)+1,1)</f>
        <v/>
      </c>
      <c r="BQ204">
        <f>IF(191&lt;$U$9,SUMPRODUCT(($D$10:$L$10&lt;&gt;"")*(($D$9:$L$9+INT(($S$12:$AA$12+INDEX($AJ$13:$AR$162,BN204,0)+INDEX($AT$13:$BB$162,BO204,0)+INDEX($BD$13:$BL$162,BP204,0))/100))&gt;=$D$10:$L$10)),0)</f>
        <v/>
      </c>
      <c r="BR204">
        <f>IF(191&lt;$U$9,SUMPRODUCT(($D$10:$L$10&lt;&gt;"")*(($D$10:$L$10-($D$9:$L$9+INT(($S$12:$AA$12+INDEX($AJ$13:$AR$162,BN204,0)+INDEX($AT$13:$BB$162,BO204,0)+INDEX($BD$13:$BL$162,BP204,0))/100)))&gt;0)*($D$10:$L$10-($D$9:$L$9+INT(($S$12:$AA$12+INDEX($AJ$13:$AR$162,BN204,0)+INDEX($AT$13:$BB$162,BO204,0)+INDEX($BD$13:$BL$162,BP204,0))/100)))),0)</f>
        <v/>
      </c>
      <c r="BS204">
        <f>IF(191&lt;$U$9,SUMPRODUCT(($D$9:$L$9+INT(($S$12:$AA$12+INDEX($AJ$13:$AR$162,BN204,0)+INDEX($AT$13:$BB$162,BO204,0)+INDEX($BD$13:$BL$162,BP204,0))/100))),0)</f>
        <v/>
      </c>
      <c r="BT204">
        <f>IF(AND(191&lt;$U$9,$W$5),BQ204*1000000-MIN(BR204,999)*1000+BS204-191/100000,-1000000000-191)</f>
        <v/>
      </c>
    </row>
    <row r="205">
      <c r="BN205">
        <f>IF(192&lt;$U$9,INT(192/($U$7*$U$8))+1,1)</f>
        <v/>
      </c>
      <c r="BO205">
        <f>IF(192&lt;$U$9,MOD(INT(192/$U$8),$U$7)+1,1)</f>
        <v/>
      </c>
      <c r="BP205">
        <f>IF(192&lt;$U$9,MOD(192,$U$8)+1,1)</f>
        <v/>
      </c>
      <c r="BQ205">
        <f>IF(192&lt;$U$9,SUMPRODUCT(($D$10:$L$10&lt;&gt;"")*(($D$9:$L$9+INT(($S$12:$AA$12+INDEX($AJ$13:$AR$162,BN205,0)+INDEX($AT$13:$BB$162,BO205,0)+INDEX($BD$13:$BL$162,BP205,0))/100))&gt;=$D$10:$L$10)),0)</f>
        <v/>
      </c>
      <c r="BR205">
        <f>IF(192&lt;$U$9,SUMPRODUCT(($D$10:$L$10&lt;&gt;"")*(($D$10:$L$10-($D$9:$L$9+INT(($S$12:$AA$12+INDEX($AJ$13:$AR$162,BN205,0)+INDEX($AT$13:$BB$162,BO205,0)+INDEX($BD$13:$BL$162,BP205,0))/100)))&gt;0)*($D$10:$L$10-($D$9:$L$9+INT(($S$12:$AA$12+INDEX($AJ$13:$AR$162,BN205,0)+INDEX($AT$13:$BB$162,BO205,0)+INDEX($BD$13:$BL$162,BP205,0))/100)))),0)</f>
        <v/>
      </c>
      <c r="BS205">
        <f>IF(192&lt;$U$9,SUMPRODUCT(($D$9:$L$9+INT(($S$12:$AA$12+INDEX($AJ$13:$AR$162,BN205,0)+INDEX($AT$13:$BB$162,BO205,0)+INDEX($BD$13:$BL$162,BP205,0))/100))),0)</f>
        <v/>
      </c>
      <c r="BT205">
        <f>IF(AND(192&lt;$U$9,$W$5),BQ205*1000000-MIN(BR205,999)*1000+BS205-192/100000,-1000000000-192)</f>
        <v/>
      </c>
    </row>
    <row r="206">
      <c r="BN206">
        <f>IF(193&lt;$U$9,INT(193/($U$7*$U$8))+1,1)</f>
        <v/>
      </c>
      <c r="BO206">
        <f>IF(193&lt;$U$9,MOD(INT(193/$U$8),$U$7)+1,1)</f>
        <v/>
      </c>
      <c r="BP206">
        <f>IF(193&lt;$U$9,MOD(193,$U$8)+1,1)</f>
        <v/>
      </c>
      <c r="BQ206">
        <f>IF(193&lt;$U$9,SUMPRODUCT(($D$10:$L$10&lt;&gt;"")*(($D$9:$L$9+INT(($S$12:$AA$12+INDEX($AJ$13:$AR$162,BN206,0)+INDEX($AT$13:$BB$162,BO206,0)+INDEX($BD$13:$BL$162,BP206,0))/100))&gt;=$D$10:$L$10)),0)</f>
        <v/>
      </c>
      <c r="BR206">
        <f>IF(193&lt;$U$9,SUMPRODUCT(($D$10:$L$10&lt;&gt;"")*(($D$10:$L$10-($D$9:$L$9+INT(($S$12:$AA$12+INDEX($AJ$13:$AR$162,BN206,0)+INDEX($AT$13:$BB$162,BO206,0)+INDEX($BD$13:$BL$162,BP206,0))/100)))&gt;0)*($D$10:$L$10-($D$9:$L$9+INT(($S$12:$AA$12+INDEX($AJ$13:$AR$162,BN206,0)+INDEX($AT$13:$BB$162,BO206,0)+INDEX($BD$13:$BL$162,BP206,0))/100)))),0)</f>
        <v/>
      </c>
      <c r="BS206">
        <f>IF(193&lt;$U$9,SUMPRODUCT(($D$9:$L$9+INT(($S$12:$AA$12+INDEX($AJ$13:$AR$162,BN206,0)+INDEX($AT$13:$BB$162,BO206,0)+INDEX($BD$13:$BL$162,BP206,0))/100))),0)</f>
        <v/>
      </c>
      <c r="BT206">
        <f>IF(AND(193&lt;$U$9,$W$5),BQ206*1000000-MIN(BR206,999)*1000+BS206-193/100000,-1000000000-193)</f>
        <v/>
      </c>
    </row>
    <row r="207">
      <c r="BN207">
        <f>IF(194&lt;$U$9,INT(194/($U$7*$U$8))+1,1)</f>
        <v/>
      </c>
      <c r="BO207">
        <f>IF(194&lt;$U$9,MOD(INT(194/$U$8),$U$7)+1,1)</f>
        <v/>
      </c>
      <c r="BP207">
        <f>IF(194&lt;$U$9,MOD(194,$U$8)+1,1)</f>
        <v/>
      </c>
      <c r="BQ207">
        <f>IF(194&lt;$U$9,SUMPRODUCT(($D$10:$L$10&lt;&gt;"")*(($D$9:$L$9+INT(($S$12:$AA$12+INDEX($AJ$13:$AR$162,BN207,0)+INDEX($AT$13:$BB$162,BO207,0)+INDEX($BD$13:$BL$162,BP207,0))/100))&gt;=$D$10:$L$10)),0)</f>
        <v/>
      </c>
      <c r="BR207">
        <f>IF(194&lt;$U$9,SUMPRODUCT(($D$10:$L$10&lt;&gt;"")*(($D$10:$L$10-($D$9:$L$9+INT(($S$12:$AA$12+INDEX($AJ$13:$AR$162,BN207,0)+INDEX($AT$13:$BB$162,BO207,0)+INDEX($BD$13:$BL$162,BP207,0))/100)))&gt;0)*($D$10:$L$10-($D$9:$L$9+INT(($S$12:$AA$12+INDEX($AJ$13:$AR$162,BN207,0)+INDEX($AT$13:$BB$162,BO207,0)+INDEX($BD$13:$BL$162,BP207,0))/100)))),0)</f>
        <v/>
      </c>
      <c r="BS207">
        <f>IF(194&lt;$U$9,SUMPRODUCT(($D$9:$L$9+INT(($S$12:$AA$12+INDEX($AJ$13:$AR$162,BN207,0)+INDEX($AT$13:$BB$162,BO207,0)+INDEX($BD$13:$BL$162,BP207,0))/100))),0)</f>
        <v/>
      </c>
      <c r="BT207">
        <f>IF(AND(194&lt;$U$9,$W$5),BQ207*1000000-MIN(BR207,999)*1000+BS207-194/100000,-1000000000-194)</f>
        <v/>
      </c>
    </row>
    <row r="208">
      <c r="BN208">
        <f>IF(195&lt;$U$9,INT(195/($U$7*$U$8))+1,1)</f>
        <v/>
      </c>
      <c r="BO208">
        <f>IF(195&lt;$U$9,MOD(INT(195/$U$8),$U$7)+1,1)</f>
        <v/>
      </c>
      <c r="BP208">
        <f>IF(195&lt;$U$9,MOD(195,$U$8)+1,1)</f>
        <v/>
      </c>
      <c r="BQ208">
        <f>IF(195&lt;$U$9,SUMPRODUCT(($D$10:$L$10&lt;&gt;"")*(($D$9:$L$9+INT(($S$12:$AA$12+INDEX($AJ$13:$AR$162,BN208,0)+INDEX($AT$13:$BB$162,BO208,0)+INDEX($BD$13:$BL$162,BP208,0))/100))&gt;=$D$10:$L$10)),0)</f>
        <v/>
      </c>
      <c r="BR208">
        <f>IF(195&lt;$U$9,SUMPRODUCT(($D$10:$L$10&lt;&gt;"")*(($D$10:$L$10-($D$9:$L$9+INT(($S$12:$AA$12+INDEX($AJ$13:$AR$162,BN208,0)+INDEX($AT$13:$BB$162,BO208,0)+INDEX($BD$13:$BL$162,BP208,0))/100)))&gt;0)*($D$10:$L$10-($D$9:$L$9+INT(($S$12:$AA$12+INDEX($AJ$13:$AR$162,BN208,0)+INDEX($AT$13:$BB$162,BO208,0)+INDEX($BD$13:$BL$162,BP208,0))/100)))),0)</f>
        <v/>
      </c>
      <c r="BS208">
        <f>IF(195&lt;$U$9,SUMPRODUCT(($D$9:$L$9+INT(($S$12:$AA$12+INDEX($AJ$13:$AR$162,BN208,0)+INDEX($AT$13:$BB$162,BO208,0)+INDEX($BD$13:$BL$162,BP208,0))/100))),0)</f>
        <v/>
      </c>
      <c r="BT208">
        <f>IF(AND(195&lt;$U$9,$W$5),BQ208*1000000-MIN(BR208,999)*1000+BS208-195/100000,-1000000000-195)</f>
        <v/>
      </c>
    </row>
    <row r="209">
      <c r="BN209">
        <f>IF(196&lt;$U$9,INT(196/($U$7*$U$8))+1,1)</f>
        <v/>
      </c>
      <c r="BO209">
        <f>IF(196&lt;$U$9,MOD(INT(196/$U$8),$U$7)+1,1)</f>
        <v/>
      </c>
      <c r="BP209">
        <f>IF(196&lt;$U$9,MOD(196,$U$8)+1,1)</f>
        <v/>
      </c>
      <c r="BQ209">
        <f>IF(196&lt;$U$9,SUMPRODUCT(($D$10:$L$10&lt;&gt;"")*(($D$9:$L$9+INT(($S$12:$AA$12+INDEX($AJ$13:$AR$162,BN209,0)+INDEX($AT$13:$BB$162,BO209,0)+INDEX($BD$13:$BL$162,BP209,0))/100))&gt;=$D$10:$L$10)),0)</f>
        <v/>
      </c>
      <c r="BR209">
        <f>IF(196&lt;$U$9,SUMPRODUCT(($D$10:$L$10&lt;&gt;"")*(($D$10:$L$10-($D$9:$L$9+INT(($S$12:$AA$12+INDEX($AJ$13:$AR$162,BN209,0)+INDEX($AT$13:$BB$162,BO209,0)+INDEX($BD$13:$BL$162,BP209,0))/100)))&gt;0)*($D$10:$L$10-($D$9:$L$9+INT(($S$12:$AA$12+INDEX($AJ$13:$AR$162,BN209,0)+INDEX($AT$13:$BB$162,BO209,0)+INDEX($BD$13:$BL$162,BP209,0))/100)))),0)</f>
        <v/>
      </c>
      <c r="BS209">
        <f>IF(196&lt;$U$9,SUMPRODUCT(($D$9:$L$9+INT(($S$12:$AA$12+INDEX($AJ$13:$AR$162,BN209,0)+INDEX($AT$13:$BB$162,BO209,0)+INDEX($BD$13:$BL$162,BP209,0))/100))),0)</f>
        <v/>
      </c>
      <c r="BT209">
        <f>IF(AND(196&lt;$U$9,$W$5),BQ209*1000000-MIN(BR209,999)*1000+BS209-196/100000,-1000000000-196)</f>
        <v/>
      </c>
    </row>
    <row r="210">
      <c r="BN210">
        <f>IF(197&lt;$U$9,INT(197/($U$7*$U$8))+1,1)</f>
        <v/>
      </c>
      <c r="BO210">
        <f>IF(197&lt;$U$9,MOD(INT(197/$U$8),$U$7)+1,1)</f>
        <v/>
      </c>
      <c r="BP210">
        <f>IF(197&lt;$U$9,MOD(197,$U$8)+1,1)</f>
        <v/>
      </c>
      <c r="BQ210">
        <f>IF(197&lt;$U$9,SUMPRODUCT(($D$10:$L$10&lt;&gt;"")*(($D$9:$L$9+INT(($S$12:$AA$12+INDEX($AJ$13:$AR$162,BN210,0)+INDEX($AT$13:$BB$162,BO210,0)+INDEX($BD$13:$BL$162,BP210,0))/100))&gt;=$D$10:$L$10)),0)</f>
        <v/>
      </c>
      <c r="BR210">
        <f>IF(197&lt;$U$9,SUMPRODUCT(($D$10:$L$10&lt;&gt;"")*(($D$10:$L$10-($D$9:$L$9+INT(($S$12:$AA$12+INDEX($AJ$13:$AR$162,BN210,0)+INDEX($AT$13:$BB$162,BO210,0)+INDEX($BD$13:$BL$162,BP210,0))/100)))&gt;0)*($D$10:$L$10-($D$9:$L$9+INT(($S$12:$AA$12+INDEX($AJ$13:$AR$162,BN210,0)+INDEX($AT$13:$BB$162,BO210,0)+INDEX($BD$13:$BL$162,BP210,0))/100)))),0)</f>
        <v/>
      </c>
      <c r="BS210">
        <f>IF(197&lt;$U$9,SUMPRODUCT(($D$9:$L$9+INT(($S$12:$AA$12+INDEX($AJ$13:$AR$162,BN210,0)+INDEX($AT$13:$BB$162,BO210,0)+INDEX($BD$13:$BL$162,BP210,0))/100))),0)</f>
        <v/>
      </c>
      <c r="BT210">
        <f>IF(AND(197&lt;$U$9,$W$5),BQ210*1000000-MIN(BR210,999)*1000+BS210-197/100000,-1000000000-197)</f>
        <v/>
      </c>
    </row>
    <row r="211">
      <c r="BN211">
        <f>IF(198&lt;$U$9,INT(198/($U$7*$U$8))+1,1)</f>
        <v/>
      </c>
      <c r="BO211">
        <f>IF(198&lt;$U$9,MOD(INT(198/$U$8),$U$7)+1,1)</f>
        <v/>
      </c>
      <c r="BP211">
        <f>IF(198&lt;$U$9,MOD(198,$U$8)+1,1)</f>
        <v/>
      </c>
      <c r="BQ211">
        <f>IF(198&lt;$U$9,SUMPRODUCT(($D$10:$L$10&lt;&gt;"")*(($D$9:$L$9+INT(($S$12:$AA$12+INDEX($AJ$13:$AR$162,BN211,0)+INDEX($AT$13:$BB$162,BO211,0)+INDEX($BD$13:$BL$162,BP211,0))/100))&gt;=$D$10:$L$10)),0)</f>
        <v/>
      </c>
      <c r="BR211">
        <f>IF(198&lt;$U$9,SUMPRODUCT(($D$10:$L$10&lt;&gt;"")*(($D$10:$L$10-($D$9:$L$9+INT(($S$12:$AA$12+INDEX($AJ$13:$AR$162,BN211,0)+INDEX($AT$13:$BB$162,BO211,0)+INDEX($BD$13:$BL$162,BP211,0))/100)))&gt;0)*($D$10:$L$10-($D$9:$L$9+INT(($S$12:$AA$12+INDEX($AJ$13:$AR$162,BN211,0)+INDEX($AT$13:$BB$162,BO211,0)+INDEX($BD$13:$BL$162,BP211,0))/100)))),0)</f>
        <v/>
      </c>
      <c r="BS211">
        <f>IF(198&lt;$U$9,SUMPRODUCT(($D$9:$L$9+INT(($S$12:$AA$12+INDEX($AJ$13:$AR$162,BN211,0)+INDEX($AT$13:$BB$162,BO211,0)+INDEX($BD$13:$BL$162,BP211,0))/100))),0)</f>
        <v/>
      </c>
      <c r="BT211">
        <f>IF(AND(198&lt;$U$9,$W$5),BQ211*1000000-MIN(BR211,999)*1000+BS211-198/100000,-1000000000-198)</f>
        <v/>
      </c>
    </row>
    <row r="212">
      <c r="BN212">
        <f>IF(199&lt;$U$9,INT(199/($U$7*$U$8))+1,1)</f>
        <v/>
      </c>
      <c r="BO212">
        <f>IF(199&lt;$U$9,MOD(INT(199/$U$8),$U$7)+1,1)</f>
        <v/>
      </c>
      <c r="BP212">
        <f>IF(199&lt;$U$9,MOD(199,$U$8)+1,1)</f>
        <v/>
      </c>
      <c r="BQ212">
        <f>IF(199&lt;$U$9,SUMPRODUCT(($D$10:$L$10&lt;&gt;"")*(($D$9:$L$9+INT(($S$12:$AA$12+INDEX($AJ$13:$AR$162,BN212,0)+INDEX($AT$13:$BB$162,BO212,0)+INDEX($BD$13:$BL$162,BP212,0))/100))&gt;=$D$10:$L$10)),0)</f>
        <v/>
      </c>
      <c r="BR212">
        <f>IF(199&lt;$U$9,SUMPRODUCT(($D$10:$L$10&lt;&gt;"")*(($D$10:$L$10-($D$9:$L$9+INT(($S$12:$AA$12+INDEX($AJ$13:$AR$162,BN212,0)+INDEX($AT$13:$BB$162,BO212,0)+INDEX($BD$13:$BL$162,BP212,0))/100)))&gt;0)*($D$10:$L$10-($D$9:$L$9+INT(($S$12:$AA$12+INDEX($AJ$13:$AR$162,BN212,0)+INDEX($AT$13:$BB$162,BO212,0)+INDEX($BD$13:$BL$162,BP212,0))/100)))),0)</f>
        <v/>
      </c>
      <c r="BS212">
        <f>IF(199&lt;$U$9,SUMPRODUCT(($D$9:$L$9+INT(($S$12:$AA$12+INDEX($AJ$13:$AR$162,BN212,0)+INDEX($AT$13:$BB$162,BO212,0)+INDEX($BD$13:$BL$162,BP212,0))/100))),0)</f>
        <v/>
      </c>
      <c r="BT212">
        <f>IF(AND(199&lt;$U$9,$W$5),BQ212*1000000-MIN(BR212,999)*1000+BS212-199/100000,-1000000000-199)</f>
        <v/>
      </c>
    </row>
    <row r="213">
      <c r="BN213">
        <f>IF(200&lt;$U$9,INT(200/($U$7*$U$8))+1,1)</f>
        <v/>
      </c>
      <c r="BO213">
        <f>IF(200&lt;$U$9,MOD(INT(200/$U$8),$U$7)+1,1)</f>
        <v/>
      </c>
      <c r="BP213">
        <f>IF(200&lt;$U$9,MOD(200,$U$8)+1,1)</f>
        <v/>
      </c>
      <c r="BQ213">
        <f>IF(200&lt;$U$9,SUMPRODUCT(($D$10:$L$10&lt;&gt;"")*(($D$9:$L$9+INT(($S$12:$AA$12+INDEX($AJ$13:$AR$162,BN213,0)+INDEX($AT$13:$BB$162,BO213,0)+INDEX($BD$13:$BL$162,BP213,0))/100))&gt;=$D$10:$L$10)),0)</f>
        <v/>
      </c>
      <c r="BR213">
        <f>IF(200&lt;$U$9,SUMPRODUCT(($D$10:$L$10&lt;&gt;"")*(($D$10:$L$10-($D$9:$L$9+INT(($S$12:$AA$12+INDEX($AJ$13:$AR$162,BN213,0)+INDEX($AT$13:$BB$162,BO213,0)+INDEX($BD$13:$BL$162,BP213,0))/100)))&gt;0)*($D$10:$L$10-($D$9:$L$9+INT(($S$12:$AA$12+INDEX($AJ$13:$AR$162,BN213,0)+INDEX($AT$13:$BB$162,BO213,0)+INDEX($BD$13:$BL$162,BP213,0))/100)))),0)</f>
        <v/>
      </c>
      <c r="BS213">
        <f>IF(200&lt;$U$9,SUMPRODUCT(($D$9:$L$9+INT(($S$12:$AA$12+INDEX($AJ$13:$AR$162,BN213,0)+INDEX($AT$13:$BB$162,BO213,0)+INDEX($BD$13:$BL$162,BP213,0))/100))),0)</f>
        <v/>
      </c>
      <c r="BT213">
        <f>IF(AND(200&lt;$U$9,$W$5),BQ213*1000000-MIN(BR213,999)*1000+BS213-200/100000,-1000000000-200)</f>
        <v/>
      </c>
    </row>
    <row r="214">
      <c r="BN214">
        <f>IF(201&lt;$U$9,INT(201/($U$7*$U$8))+1,1)</f>
        <v/>
      </c>
      <c r="BO214">
        <f>IF(201&lt;$U$9,MOD(INT(201/$U$8),$U$7)+1,1)</f>
        <v/>
      </c>
      <c r="BP214">
        <f>IF(201&lt;$U$9,MOD(201,$U$8)+1,1)</f>
        <v/>
      </c>
      <c r="BQ214">
        <f>IF(201&lt;$U$9,SUMPRODUCT(($D$10:$L$10&lt;&gt;"")*(($D$9:$L$9+INT(($S$12:$AA$12+INDEX($AJ$13:$AR$162,BN214,0)+INDEX($AT$13:$BB$162,BO214,0)+INDEX($BD$13:$BL$162,BP214,0))/100))&gt;=$D$10:$L$10)),0)</f>
        <v/>
      </c>
      <c r="BR214">
        <f>IF(201&lt;$U$9,SUMPRODUCT(($D$10:$L$10&lt;&gt;"")*(($D$10:$L$10-($D$9:$L$9+INT(($S$12:$AA$12+INDEX($AJ$13:$AR$162,BN214,0)+INDEX($AT$13:$BB$162,BO214,0)+INDEX($BD$13:$BL$162,BP214,0))/100)))&gt;0)*($D$10:$L$10-($D$9:$L$9+INT(($S$12:$AA$12+INDEX($AJ$13:$AR$162,BN214,0)+INDEX($AT$13:$BB$162,BO214,0)+INDEX($BD$13:$BL$162,BP214,0))/100)))),0)</f>
        <v/>
      </c>
      <c r="BS214">
        <f>IF(201&lt;$U$9,SUMPRODUCT(($D$9:$L$9+INT(($S$12:$AA$12+INDEX($AJ$13:$AR$162,BN214,0)+INDEX($AT$13:$BB$162,BO214,0)+INDEX($BD$13:$BL$162,BP214,0))/100))),0)</f>
        <v/>
      </c>
      <c r="BT214">
        <f>IF(AND(201&lt;$U$9,$W$5),BQ214*1000000-MIN(BR214,999)*1000+BS214-201/100000,-1000000000-201)</f>
        <v/>
      </c>
    </row>
    <row r="215">
      <c r="BN215">
        <f>IF(202&lt;$U$9,INT(202/($U$7*$U$8))+1,1)</f>
        <v/>
      </c>
      <c r="BO215">
        <f>IF(202&lt;$U$9,MOD(INT(202/$U$8),$U$7)+1,1)</f>
        <v/>
      </c>
      <c r="BP215">
        <f>IF(202&lt;$U$9,MOD(202,$U$8)+1,1)</f>
        <v/>
      </c>
      <c r="BQ215">
        <f>IF(202&lt;$U$9,SUMPRODUCT(($D$10:$L$10&lt;&gt;"")*(($D$9:$L$9+INT(($S$12:$AA$12+INDEX($AJ$13:$AR$162,BN215,0)+INDEX($AT$13:$BB$162,BO215,0)+INDEX($BD$13:$BL$162,BP215,0))/100))&gt;=$D$10:$L$10)),0)</f>
        <v/>
      </c>
      <c r="BR215">
        <f>IF(202&lt;$U$9,SUMPRODUCT(($D$10:$L$10&lt;&gt;"")*(($D$10:$L$10-($D$9:$L$9+INT(($S$12:$AA$12+INDEX($AJ$13:$AR$162,BN215,0)+INDEX($AT$13:$BB$162,BO215,0)+INDEX($BD$13:$BL$162,BP215,0))/100)))&gt;0)*($D$10:$L$10-($D$9:$L$9+INT(($S$12:$AA$12+INDEX($AJ$13:$AR$162,BN215,0)+INDEX($AT$13:$BB$162,BO215,0)+INDEX($BD$13:$BL$162,BP215,0))/100)))),0)</f>
        <v/>
      </c>
      <c r="BS215">
        <f>IF(202&lt;$U$9,SUMPRODUCT(($D$9:$L$9+INT(($S$12:$AA$12+INDEX($AJ$13:$AR$162,BN215,0)+INDEX($AT$13:$BB$162,BO215,0)+INDEX($BD$13:$BL$162,BP215,0))/100))),0)</f>
        <v/>
      </c>
      <c r="BT215">
        <f>IF(AND(202&lt;$U$9,$W$5),BQ215*1000000-MIN(BR215,999)*1000+BS215-202/100000,-1000000000-202)</f>
        <v/>
      </c>
    </row>
    <row r="216">
      <c r="BN216">
        <f>IF(203&lt;$U$9,INT(203/($U$7*$U$8))+1,1)</f>
        <v/>
      </c>
      <c r="BO216">
        <f>IF(203&lt;$U$9,MOD(INT(203/$U$8),$U$7)+1,1)</f>
        <v/>
      </c>
      <c r="BP216">
        <f>IF(203&lt;$U$9,MOD(203,$U$8)+1,1)</f>
        <v/>
      </c>
      <c r="BQ216">
        <f>IF(203&lt;$U$9,SUMPRODUCT(($D$10:$L$10&lt;&gt;"")*(($D$9:$L$9+INT(($S$12:$AA$12+INDEX($AJ$13:$AR$162,BN216,0)+INDEX($AT$13:$BB$162,BO216,0)+INDEX($BD$13:$BL$162,BP216,0))/100))&gt;=$D$10:$L$10)),0)</f>
        <v/>
      </c>
      <c r="BR216">
        <f>IF(203&lt;$U$9,SUMPRODUCT(($D$10:$L$10&lt;&gt;"")*(($D$10:$L$10-($D$9:$L$9+INT(($S$12:$AA$12+INDEX($AJ$13:$AR$162,BN216,0)+INDEX($AT$13:$BB$162,BO216,0)+INDEX($BD$13:$BL$162,BP216,0))/100)))&gt;0)*($D$10:$L$10-($D$9:$L$9+INT(($S$12:$AA$12+INDEX($AJ$13:$AR$162,BN216,0)+INDEX($AT$13:$BB$162,BO216,0)+INDEX($BD$13:$BL$162,BP216,0))/100)))),0)</f>
        <v/>
      </c>
      <c r="BS216">
        <f>IF(203&lt;$U$9,SUMPRODUCT(($D$9:$L$9+INT(($S$12:$AA$12+INDEX($AJ$13:$AR$162,BN216,0)+INDEX($AT$13:$BB$162,BO216,0)+INDEX($BD$13:$BL$162,BP216,0))/100))),0)</f>
        <v/>
      </c>
      <c r="BT216">
        <f>IF(AND(203&lt;$U$9,$W$5),BQ216*1000000-MIN(BR216,999)*1000+BS216-203/100000,-1000000000-203)</f>
        <v/>
      </c>
    </row>
    <row r="217">
      <c r="BN217">
        <f>IF(204&lt;$U$9,INT(204/($U$7*$U$8))+1,1)</f>
        <v/>
      </c>
      <c r="BO217">
        <f>IF(204&lt;$U$9,MOD(INT(204/$U$8),$U$7)+1,1)</f>
        <v/>
      </c>
      <c r="BP217">
        <f>IF(204&lt;$U$9,MOD(204,$U$8)+1,1)</f>
        <v/>
      </c>
      <c r="BQ217">
        <f>IF(204&lt;$U$9,SUMPRODUCT(($D$10:$L$10&lt;&gt;"")*(($D$9:$L$9+INT(($S$12:$AA$12+INDEX($AJ$13:$AR$162,BN217,0)+INDEX($AT$13:$BB$162,BO217,0)+INDEX($BD$13:$BL$162,BP217,0))/100))&gt;=$D$10:$L$10)),0)</f>
        <v/>
      </c>
      <c r="BR217">
        <f>IF(204&lt;$U$9,SUMPRODUCT(($D$10:$L$10&lt;&gt;"")*(($D$10:$L$10-($D$9:$L$9+INT(($S$12:$AA$12+INDEX($AJ$13:$AR$162,BN217,0)+INDEX($AT$13:$BB$162,BO217,0)+INDEX($BD$13:$BL$162,BP217,0))/100)))&gt;0)*($D$10:$L$10-($D$9:$L$9+INT(($S$12:$AA$12+INDEX($AJ$13:$AR$162,BN217,0)+INDEX($AT$13:$BB$162,BO217,0)+INDEX($BD$13:$BL$162,BP217,0))/100)))),0)</f>
        <v/>
      </c>
      <c r="BS217">
        <f>IF(204&lt;$U$9,SUMPRODUCT(($D$9:$L$9+INT(($S$12:$AA$12+INDEX($AJ$13:$AR$162,BN217,0)+INDEX($AT$13:$BB$162,BO217,0)+INDEX($BD$13:$BL$162,BP217,0))/100))),0)</f>
        <v/>
      </c>
      <c r="BT217">
        <f>IF(AND(204&lt;$U$9,$W$5),BQ217*1000000-MIN(BR217,999)*1000+BS217-204/100000,-1000000000-204)</f>
        <v/>
      </c>
    </row>
    <row r="218">
      <c r="BN218">
        <f>IF(205&lt;$U$9,INT(205/($U$7*$U$8))+1,1)</f>
        <v/>
      </c>
      <c r="BO218">
        <f>IF(205&lt;$U$9,MOD(INT(205/$U$8),$U$7)+1,1)</f>
        <v/>
      </c>
      <c r="BP218">
        <f>IF(205&lt;$U$9,MOD(205,$U$8)+1,1)</f>
        <v/>
      </c>
      <c r="BQ218">
        <f>IF(205&lt;$U$9,SUMPRODUCT(($D$10:$L$10&lt;&gt;"")*(($D$9:$L$9+INT(($S$12:$AA$12+INDEX($AJ$13:$AR$162,BN218,0)+INDEX($AT$13:$BB$162,BO218,0)+INDEX($BD$13:$BL$162,BP218,0))/100))&gt;=$D$10:$L$10)),0)</f>
        <v/>
      </c>
      <c r="BR218">
        <f>IF(205&lt;$U$9,SUMPRODUCT(($D$10:$L$10&lt;&gt;"")*(($D$10:$L$10-($D$9:$L$9+INT(($S$12:$AA$12+INDEX($AJ$13:$AR$162,BN218,0)+INDEX($AT$13:$BB$162,BO218,0)+INDEX($BD$13:$BL$162,BP218,0))/100)))&gt;0)*($D$10:$L$10-($D$9:$L$9+INT(($S$12:$AA$12+INDEX($AJ$13:$AR$162,BN218,0)+INDEX($AT$13:$BB$162,BO218,0)+INDEX($BD$13:$BL$162,BP218,0))/100)))),0)</f>
        <v/>
      </c>
      <c r="BS218">
        <f>IF(205&lt;$U$9,SUMPRODUCT(($D$9:$L$9+INT(($S$12:$AA$12+INDEX($AJ$13:$AR$162,BN218,0)+INDEX($AT$13:$BB$162,BO218,0)+INDEX($BD$13:$BL$162,BP218,0))/100))),0)</f>
        <v/>
      </c>
      <c r="BT218">
        <f>IF(AND(205&lt;$U$9,$W$5),BQ218*1000000-MIN(BR218,999)*1000+BS218-205/100000,-1000000000-205)</f>
        <v/>
      </c>
    </row>
    <row r="219">
      <c r="BN219">
        <f>IF(206&lt;$U$9,INT(206/($U$7*$U$8))+1,1)</f>
        <v/>
      </c>
      <c r="BO219">
        <f>IF(206&lt;$U$9,MOD(INT(206/$U$8),$U$7)+1,1)</f>
        <v/>
      </c>
      <c r="BP219">
        <f>IF(206&lt;$U$9,MOD(206,$U$8)+1,1)</f>
        <v/>
      </c>
      <c r="BQ219">
        <f>IF(206&lt;$U$9,SUMPRODUCT(($D$10:$L$10&lt;&gt;"")*(($D$9:$L$9+INT(($S$12:$AA$12+INDEX($AJ$13:$AR$162,BN219,0)+INDEX($AT$13:$BB$162,BO219,0)+INDEX($BD$13:$BL$162,BP219,0))/100))&gt;=$D$10:$L$10)),0)</f>
        <v/>
      </c>
      <c r="BR219">
        <f>IF(206&lt;$U$9,SUMPRODUCT(($D$10:$L$10&lt;&gt;"")*(($D$10:$L$10-($D$9:$L$9+INT(($S$12:$AA$12+INDEX($AJ$13:$AR$162,BN219,0)+INDEX($AT$13:$BB$162,BO219,0)+INDEX($BD$13:$BL$162,BP219,0))/100)))&gt;0)*($D$10:$L$10-($D$9:$L$9+INT(($S$12:$AA$12+INDEX($AJ$13:$AR$162,BN219,0)+INDEX($AT$13:$BB$162,BO219,0)+INDEX($BD$13:$BL$162,BP219,0))/100)))),0)</f>
        <v/>
      </c>
      <c r="BS219">
        <f>IF(206&lt;$U$9,SUMPRODUCT(($D$9:$L$9+INT(($S$12:$AA$12+INDEX($AJ$13:$AR$162,BN219,0)+INDEX($AT$13:$BB$162,BO219,0)+INDEX($BD$13:$BL$162,BP219,0))/100))),0)</f>
        <v/>
      </c>
      <c r="BT219">
        <f>IF(AND(206&lt;$U$9,$W$5),BQ219*1000000-MIN(BR219,999)*1000+BS219-206/100000,-1000000000-206)</f>
        <v/>
      </c>
    </row>
    <row r="220">
      <c r="BN220">
        <f>IF(207&lt;$U$9,INT(207/($U$7*$U$8))+1,1)</f>
        <v/>
      </c>
      <c r="BO220">
        <f>IF(207&lt;$U$9,MOD(INT(207/$U$8),$U$7)+1,1)</f>
        <v/>
      </c>
      <c r="BP220">
        <f>IF(207&lt;$U$9,MOD(207,$U$8)+1,1)</f>
        <v/>
      </c>
      <c r="BQ220">
        <f>IF(207&lt;$U$9,SUMPRODUCT(($D$10:$L$10&lt;&gt;"")*(($D$9:$L$9+INT(($S$12:$AA$12+INDEX($AJ$13:$AR$162,BN220,0)+INDEX($AT$13:$BB$162,BO220,0)+INDEX($BD$13:$BL$162,BP220,0))/100))&gt;=$D$10:$L$10)),0)</f>
        <v/>
      </c>
      <c r="BR220">
        <f>IF(207&lt;$U$9,SUMPRODUCT(($D$10:$L$10&lt;&gt;"")*(($D$10:$L$10-($D$9:$L$9+INT(($S$12:$AA$12+INDEX($AJ$13:$AR$162,BN220,0)+INDEX($AT$13:$BB$162,BO220,0)+INDEX($BD$13:$BL$162,BP220,0))/100)))&gt;0)*($D$10:$L$10-($D$9:$L$9+INT(($S$12:$AA$12+INDEX($AJ$13:$AR$162,BN220,0)+INDEX($AT$13:$BB$162,BO220,0)+INDEX($BD$13:$BL$162,BP220,0))/100)))),0)</f>
        <v/>
      </c>
      <c r="BS220">
        <f>IF(207&lt;$U$9,SUMPRODUCT(($D$9:$L$9+INT(($S$12:$AA$12+INDEX($AJ$13:$AR$162,BN220,0)+INDEX($AT$13:$BB$162,BO220,0)+INDEX($BD$13:$BL$162,BP220,0))/100))),0)</f>
        <v/>
      </c>
      <c r="BT220">
        <f>IF(AND(207&lt;$U$9,$W$5),BQ220*1000000-MIN(BR220,999)*1000+BS220-207/100000,-1000000000-207)</f>
        <v/>
      </c>
    </row>
    <row r="221">
      <c r="BN221">
        <f>IF(208&lt;$U$9,INT(208/($U$7*$U$8))+1,1)</f>
        <v/>
      </c>
      <c r="BO221">
        <f>IF(208&lt;$U$9,MOD(INT(208/$U$8),$U$7)+1,1)</f>
        <v/>
      </c>
      <c r="BP221">
        <f>IF(208&lt;$U$9,MOD(208,$U$8)+1,1)</f>
        <v/>
      </c>
      <c r="BQ221">
        <f>IF(208&lt;$U$9,SUMPRODUCT(($D$10:$L$10&lt;&gt;"")*(($D$9:$L$9+INT(($S$12:$AA$12+INDEX($AJ$13:$AR$162,BN221,0)+INDEX($AT$13:$BB$162,BO221,0)+INDEX($BD$13:$BL$162,BP221,0))/100))&gt;=$D$10:$L$10)),0)</f>
        <v/>
      </c>
      <c r="BR221">
        <f>IF(208&lt;$U$9,SUMPRODUCT(($D$10:$L$10&lt;&gt;"")*(($D$10:$L$10-($D$9:$L$9+INT(($S$12:$AA$12+INDEX($AJ$13:$AR$162,BN221,0)+INDEX($AT$13:$BB$162,BO221,0)+INDEX($BD$13:$BL$162,BP221,0))/100)))&gt;0)*($D$10:$L$10-($D$9:$L$9+INT(($S$12:$AA$12+INDEX($AJ$13:$AR$162,BN221,0)+INDEX($AT$13:$BB$162,BO221,0)+INDEX($BD$13:$BL$162,BP221,0))/100)))),0)</f>
        <v/>
      </c>
      <c r="BS221">
        <f>IF(208&lt;$U$9,SUMPRODUCT(($D$9:$L$9+INT(($S$12:$AA$12+INDEX($AJ$13:$AR$162,BN221,0)+INDEX($AT$13:$BB$162,BO221,0)+INDEX($BD$13:$BL$162,BP221,0))/100))),0)</f>
        <v/>
      </c>
      <c r="BT221">
        <f>IF(AND(208&lt;$U$9,$W$5),BQ221*1000000-MIN(BR221,999)*1000+BS221-208/100000,-1000000000-208)</f>
        <v/>
      </c>
    </row>
    <row r="222">
      <c r="BN222">
        <f>IF(209&lt;$U$9,INT(209/($U$7*$U$8))+1,1)</f>
        <v/>
      </c>
      <c r="BO222">
        <f>IF(209&lt;$U$9,MOD(INT(209/$U$8),$U$7)+1,1)</f>
        <v/>
      </c>
      <c r="BP222">
        <f>IF(209&lt;$U$9,MOD(209,$U$8)+1,1)</f>
        <v/>
      </c>
      <c r="BQ222">
        <f>IF(209&lt;$U$9,SUMPRODUCT(($D$10:$L$10&lt;&gt;"")*(($D$9:$L$9+INT(($S$12:$AA$12+INDEX($AJ$13:$AR$162,BN222,0)+INDEX($AT$13:$BB$162,BO222,0)+INDEX($BD$13:$BL$162,BP222,0))/100))&gt;=$D$10:$L$10)),0)</f>
        <v/>
      </c>
      <c r="BR222">
        <f>IF(209&lt;$U$9,SUMPRODUCT(($D$10:$L$10&lt;&gt;"")*(($D$10:$L$10-($D$9:$L$9+INT(($S$12:$AA$12+INDEX($AJ$13:$AR$162,BN222,0)+INDEX($AT$13:$BB$162,BO222,0)+INDEX($BD$13:$BL$162,BP222,0))/100)))&gt;0)*($D$10:$L$10-($D$9:$L$9+INT(($S$12:$AA$12+INDEX($AJ$13:$AR$162,BN222,0)+INDEX($AT$13:$BB$162,BO222,0)+INDEX($BD$13:$BL$162,BP222,0))/100)))),0)</f>
        <v/>
      </c>
      <c r="BS222">
        <f>IF(209&lt;$U$9,SUMPRODUCT(($D$9:$L$9+INT(($S$12:$AA$12+INDEX($AJ$13:$AR$162,BN222,0)+INDEX($AT$13:$BB$162,BO222,0)+INDEX($BD$13:$BL$162,BP222,0))/100))),0)</f>
        <v/>
      </c>
      <c r="BT222">
        <f>IF(AND(209&lt;$U$9,$W$5),BQ222*1000000-MIN(BR222,999)*1000+BS222-209/100000,-1000000000-209)</f>
        <v/>
      </c>
    </row>
    <row r="223">
      <c r="BN223">
        <f>IF(210&lt;$U$9,INT(210/($U$7*$U$8))+1,1)</f>
        <v/>
      </c>
      <c r="BO223">
        <f>IF(210&lt;$U$9,MOD(INT(210/$U$8),$U$7)+1,1)</f>
        <v/>
      </c>
      <c r="BP223">
        <f>IF(210&lt;$U$9,MOD(210,$U$8)+1,1)</f>
        <v/>
      </c>
      <c r="BQ223">
        <f>IF(210&lt;$U$9,SUMPRODUCT(($D$10:$L$10&lt;&gt;"")*(($D$9:$L$9+INT(($S$12:$AA$12+INDEX($AJ$13:$AR$162,BN223,0)+INDEX($AT$13:$BB$162,BO223,0)+INDEX($BD$13:$BL$162,BP223,0))/100))&gt;=$D$10:$L$10)),0)</f>
        <v/>
      </c>
      <c r="BR223">
        <f>IF(210&lt;$U$9,SUMPRODUCT(($D$10:$L$10&lt;&gt;"")*(($D$10:$L$10-($D$9:$L$9+INT(($S$12:$AA$12+INDEX($AJ$13:$AR$162,BN223,0)+INDEX($AT$13:$BB$162,BO223,0)+INDEX($BD$13:$BL$162,BP223,0))/100)))&gt;0)*($D$10:$L$10-($D$9:$L$9+INT(($S$12:$AA$12+INDEX($AJ$13:$AR$162,BN223,0)+INDEX($AT$13:$BB$162,BO223,0)+INDEX($BD$13:$BL$162,BP223,0))/100)))),0)</f>
        <v/>
      </c>
      <c r="BS223">
        <f>IF(210&lt;$U$9,SUMPRODUCT(($D$9:$L$9+INT(($S$12:$AA$12+INDEX($AJ$13:$AR$162,BN223,0)+INDEX($AT$13:$BB$162,BO223,0)+INDEX($BD$13:$BL$162,BP223,0))/100))),0)</f>
        <v/>
      </c>
      <c r="BT223">
        <f>IF(AND(210&lt;$U$9,$W$5),BQ223*1000000-MIN(BR223,999)*1000+BS223-210/100000,-1000000000-210)</f>
        <v/>
      </c>
    </row>
    <row r="224">
      <c r="BN224">
        <f>IF(211&lt;$U$9,INT(211/($U$7*$U$8))+1,1)</f>
        <v/>
      </c>
      <c r="BO224">
        <f>IF(211&lt;$U$9,MOD(INT(211/$U$8),$U$7)+1,1)</f>
        <v/>
      </c>
      <c r="BP224">
        <f>IF(211&lt;$U$9,MOD(211,$U$8)+1,1)</f>
        <v/>
      </c>
      <c r="BQ224">
        <f>IF(211&lt;$U$9,SUMPRODUCT(($D$10:$L$10&lt;&gt;"")*(($D$9:$L$9+INT(($S$12:$AA$12+INDEX($AJ$13:$AR$162,BN224,0)+INDEX($AT$13:$BB$162,BO224,0)+INDEX($BD$13:$BL$162,BP224,0))/100))&gt;=$D$10:$L$10)),0)</f>
        <v/>
      </c>
      <c r="BR224">
        <f>IF(211&lt;$U$9,SUMPRODUCT(($D$10:$L$10&lt;&gt;"")*(($D$10:$L$10-($D$9:$L$9+INT(($S$12:$AA$12+INDEX($AJ$13:$AR$162,BN224,0)+INDEX($AT$13:$BB$162,BO224,0)+INDEX($BD$13:$BL$162,BP224,0))/100)))&gt;0)*($D$10:$L$10-($D$9:$L$9+INT(($S$12:$AA$12+INDEX($AJ$13:$AR$162,BN224,0)+INDEX($AT$13:$BB$162,BO224,0)+INDEX($BD$13:$BL$162,BP224,0))/100)))),0)</f>
        <v/>
      </c>
      <c r="BS224">
        <f>IF(211&lt;$U$9,SUMPRODUCT(($D$9:$L$9+INT(($S$12:$AA$12+INDEX($AJ$13:$AR$162,BN224,0)+INDEX($AT$13:$BB$162,BO224,0)+INDEX($BD$13:$BL$162,BP224,0))/100))),0)</f>
        <v/>
      </c>
      <c r="BT224">
        <f>IF(AND(211&lt;$U$9,$W$5),BQ224*1000000-MIN(BR224,999)*1000+BS224-211/100000,-1000000000-211)</f>
        <v/>
      </c>
    </row>
    <row r="225">
      <c r="BN225">
        <f>IF(212&lt;$U$9,INT(212/($U$7*$U$8))+1,1)</f>
        <v/>
      </c>
      <c r="BO225">
        <f>IF(212&lt;$U$9,MOD(INT(212/$U$8),$U$7)+1,1)</f>
        <v/>
      </c>
      <c r="BP225">
        <f>IF(212&lt;$U$9,MOD(212,$U$8)+1,1)</f>
        <v/>
      </c>
      <c r="BQ225">
        <f>IF(212&lt;$U$9,SUMPRODUCT(($D$10:$L$10&lt;&gt;"")*(($D$9:$L$9+INT(($S$12:$AA$12+INDEX($AJ$13:$AR$162,BN225,0)+INDEX($AT$13:$BB$162,BO225,0)+INDEX($BD$13:$BL$162,BP225,0))/100))&gt;=$D$10:$L$10)),0)</f>
        <v/>
      </c>
      <c r="BR225">
        <f>IF(212&lt;$U$9,SUMPRODUCT(($D$10:$L$10&lt;&gt;"")*(($D$10:$L$10-($D$9:$L$9+INT(($S$12:$AA$12+INDEX($AJ$13:$AR$162,BN225,0)+INDEX($AT$13:$BB$162,BO225,0)+INDEX($BD$13:$BL$162,BP225,0))/100)))&gt;0)*($D$10:$L$10-($D$9:$L$9+INT(($S$12:$AA$12+INDEX($AJ$13:$AR$162,BN225,0)+INDEX($AT$13:$BB$162,BO225,0)+INDEX($BD$13:$BL$162,BP225,0))/100)))),0)</f>
        <v/>
      </c>
      <c r="BS225">
        <f>IF(212&lt;$U$9,SUMPRODUCT(($D$9:$L$9+INT(($S$12:$AA$12+INDEX($AJ$13:$AR$162,BN225,0)+INDEX($AT$13:$BB$162,BO225,0)+INDEX($BD$13:$BL$162,BP225,0))/100))),0)</f>
        <v/>
      </c>
      <c r="BT225">
        <f>IF(AND(212&lt;$U$9,$W$5),BQ225*1000000-MIN(BR225,999)*1000+BS225-212/100000,-1000000000-212)</f>
        <v/>
      </c>
    </row>
    <row r="226">
      <c r="BN226">
        <f>IF(213&lt;$U$9,INT(213/($U$7*$U$8))+1,1)</f>
        <v/>
      </c>
      <c r="BO226">
        <f>IF(213&lt;$U$9,MOD(INT(213/$U$8),$U$7)+1,1)</f>
        <v/>
      </c>
      <c r="BP226">
        <f>IF(213&lt;$U$9,MOD(213,$U$8)+1,1)</f>
        <v/>
      </c>
      <c r="BQ226">
        <f>IF(213&lt;$U$9,SUMPRODUCT(($D$10:$L$10&lt;&gt;"")*(($D$9:$L$9+INT(($S$12:$AA$12+INDEX($AJ$13:$AR$162,BN226,0)+INDEX($AT$13:$BB$162,BO226,0)+INDEX($BD$13:$BL$162,BP226,0))/100))&gt;=$D$10:$L$10)),0)</f>
        <v/>
      </c>
      <c r="BR226">
        <f>IF(213&lt;$U$9,SUMPRODUCT(($D$10:$L$10&lt;&gt;"")*(($D$10:$L$10-($D$9:$L$9+INT(($S$12:$AA$12+INDEX($AJ$13:$AR$162,BN226,0)+INDEX($AT$13:$BB$162,BO226,0)+INDEX($BD$13:$BL$162,BP226,0))/100)))&gt;0)*($D$10:$L$10-($D$9:$L$9+INT(($S$12:$AA$12+INDEX($AJ$13:$AR$162,BN226,0)+INDEX($AT$13:$BB$162,BO226,0)+INDEX($BD$13:$BL$162,BP226,0))/100)))),0)</f>
        <v/>
      </c>
      <c r="BS226">
        <f>IF(213&lt;$U$9,SUMPRODUCT(($D$9:$L$9+INT(($S$12:$AA$12+INDEX($AJ$13:$AR$162,BN226,0)+INDEX($AT$13:$BB$162,BO226,0)+INDEX($BD$13:$BL$162,BP226,0))/100))),0)</f>
        <v/>
      </c>
      <c r="BT226">
        <f>IF(AND(213&lt;$U$9,$W$5),BQ226*1000000-MIN(BR226,999)*1000+BS226-213/100000,-1000000000-213)</f>
        <v/>
      </c>
    </row>
    <row r="227">
      <c r="BN227">
        <f>IF(214&lt;$U$9,INT(214/($U$7*$U$8))+1,1)</f>
        <v/>
      </c>
      <c r="BO227">
        <f>IF(214&lt;$U$9,MOD(INT(214/$U$8),$U$7)+1,1)</f>
        <v/>
      </c>
      <c r="BP227">
        <f>IF(214&lt;$U$9,MOD(214,$U$8)+1,1)</f>
        <v/>
      </c>
      <c r="BQ227">
        <f>IF(214&lt;$U$9,SUMPRODUCT(($D$10:$L$10&lt;&gt;"")*(($D$9:$L$9+INT(($S$12:$AA$12+INDEX($AJ$13:$AR$162,BN227,0)+INDEX($AT$13:$BB$162,BO227,0)+INDEX($BD$13:$BL$162,BP227,0))/100))&gt;=$D$10:$L$10)),0)</f>
        <v/>
      </c>
      <c r="BR227">
        <f>IF(214&lt;$U$9,SUMPRODUCT(($D$10:$L$10&lt;&gt;"")*(($D$10:$L$10-($D$9:$L$9+INT(($S$12:$AA$12+INDEX($AJ$13:$AR$162,BN227,0)+INDEX($AT$13:$BB$162,BO227,0)+INDEX($BD$13:$BL$162,BP227,0))/100)))&gt;0)*($D$10:$L$10-($D$9:$L$9+INT(($S$12:$AA$12+INDEX($AJ$13:$AR$162,BN227,0)+INDEX($AT$13:$BB$162,BO227,0)+INDEX($BD$13:$BL$162,BP227,0))/100)))),0)</f>
        <v/>
      </c>
      <c r="BS227">
        <f>IF(214&lt;$U$9,SUMPRODUCT(($D$9:$L$9+INT(($S$12:$AA$12+INDEX($AJ$13:$AR$162,BN227,0)+INDEX($AT$13:$BB$162,BO227,0)+INDEX($BD$13:$BL$162,BP227,0))/100))),0)</f>
        <v/>
      </c>
      <c r="BT227">
        <f>IF(AND(214&lt;$U$9,$W$5),BQ227*1000000-MIN(BR227,999)*1000+BS227-214/100000,-1000000000-214)</f>
        <v/>
      </c>
    </row>
    <row r="228">
      <c r="BN228">
        <f>IF(215&lt;$U$9,INT(215/($U$7*$U$8))+1,1)</f>
        <v/>
      </c>
      <c r="BO228">
        <f>IF(215&lt;$U$9,MOD(INT(215/$U$8),$U$7)+1,1)</f>
        <v/>
      </c>
      <c r="BP228">
        <f>IF(215&lt;$U$9,MOD(215,$U$8)+1,1)</f>
        <v/>
      </c>
      <c r="BQ228">
        <f>IF(215&lt;$U$9,SUMPRODUCT(($D$10:$L$10&lt;&gt;"")*(($D$9:$L$9+INT(($S$12:$AA$12+INDEX($AJ$13:$AR$162,BN228,0)+INDEX($AT$13:$BB$162,BO228,0)+INDEX($BD$13:$BL$162,BP228,0))/100))&gt;=$D$10:$L$10)),0)</f>
        <v/>
      </c>
      <c r="BR228">
        <f>IF(215&lt;$U$9,SUMPRODUCT(($D$10:$L$10&lt;&gt;"")*(($D$10:$L$10-($D$9:$L$9+INT(($S$12:$AA$12+INDEX($AJ$13:$AR$162,BN228,0)+INDEX($AT$13:$BB$162,BO228,0)+INDEX($BD$13:$BL$162,BP228,0))/100)))&gt;0)*($D$10:$L$10-($D$9:$L$9+INT(($S$12:$AA$12+INDEX($AJ$13:$AR$162,BN228,0)+INDEX($AT$13:$BB$162,BO228,0)+INDEX($BD$13:$BL$162,BP228,0))/100)))),0)</f>
        <v/>
      </c>
      <c r="BS228">
        <f>IF(215&lt;$U$9,SUMPRODUCT(($D$9:$L$9+INT(($S$12:$AA$12+INDEX($AJ$13:$AR$162,BN228,0)+INDEX($AT$13:$BB$162,BO228,0)+INDEX($BD$13:$BL$162,BP228,0))/100))),0)</f>
        <v/>
      </c>
      <c r="BT228">
        <f>IF(AND(215&lt;$U$9,$W$5),BQ228*1000000-MIN(BR228,999)*1000+BS228-215/100000,-1000000000-215)</f>
        <v/>
      </c>
    </row>
    <row r="229">
      <c r="BN229">
        <f>IF(216&lt;$U$9,INT(216/($U$7*$U$8))+1,1)</f>
        <v/>
      </c>
      <c r="BO229">
        <f>IF(216&lt;$U$9,MOD(INT(216/$U$8),$U$7)+1,1)</f>
        <v/>
      </c>
      <c r="BP229">
        <f>IF(216&lt;$U$9,MOD(216,$U$8)+1,1)</f>
        <v/>
      </c>
      <c r="BQ229">
        <f>IF(216&lt;$U$9,SUMPRODUCT(($D$10:$L$10&lt;&gt;"")*(($D$9:$L$9+INT(($S$12:$AA$12+INDEX($AJ$13:$AR$162,BN229,0)+INDEX($AT$13:$BB$162,BO229,0)+INDEX($BD$13:$BL$162,BP229,0))/100))&gt;=$D$10:$L$10)),0)</f>
        <v/>
      </c>
      <c r="BR229">
        <f>IF(216&lt;$U$9,SUMPRODUCT(($D$10:$L$10&lt;&gt;"")*(($D$10:$L$10-($D$9:$L$9+INT(($S$12:$AA$12+INDEX($AJ$13:$AR$162,BN229,0)+INDEX($AT$13:$BB$162,BO229,0)+INDEX($BD$13:$BL$162,BP229,0))/100)))&gt;0)*($D$10:$L$10-($D$9:$L$9+INT(($S$12:$AA$12+INDEX($AJ$13:$AR$162,BN229,0)+INDEX($AT$13:$BB$162,BO229,0)+INDEX($BD$13:$BL$162,BP229,0))/100)))),0)</f>
        <v/>
      </c>
      <c r="BS229">
        <f>IF(216&lt;$U$9,SUMPRODUCT(($D$9:$L$9+INT(($S$12:$AA$12+INDEX($AJ$13:$AR$162,BN229,0)+INDEX($AT$13:$BB$162,BO229,0)+INDEX($BD$13:$BL$162,BP229,0))/100))),0)</f>
        <v/>
      </c>
      <c r="BT229">
        <f>IF(AND(216&lt;$U$9,$W$5),BQ229*1000000-MIN(BR229,999)*1000+BS229-216/100000,-1000000000-216)</f>
        <v/>
      </c>
    </row>
    <row r="230">
      <c r="BN230">
        <f>IF(217&lt;$U$9,INT(217/($U$7*$U$8))+1,1)</f>
        <v/>
      </c>
      <c r="BO230">
        <f>IF(217&lt;$U$9,MOD(INT(217/$U$8),$U$7)+1,1)</f>
        <v/>
      </c>
      <c r="BP230">
        <f>IF(217&lt;$U$9,MOD(217,$U$8)+1,1)</f>
        <v/>
      </c>
      <c r="BQ230">
        <f>IF(217&lt;$U$9,SUMPRODUCT(($D$10:$L$10&lt;&gt;"")*(($D$9:$L$9+INT(($S$12:$AA$12+INDEX($AJ$13:$AR$162,BN230,0)+INDEX($AT$13:$BB$162,BO230,0)+INDEX($BD$13:$BL$162,BP230,0))/100))&gt;=$D$10:$L$10)),0)</f>
        <v/>
      </c>
      <c r="BR230">
        <f>IF(217&lt;$U$9,SUMPRODUCT(($D$10:$L$10&lt;&gt;"")*(($D$10:$L$10-($D$9:$L$9+INT(($S$12:$AA$12+INDEX($AJ$13:$AR$162,BN230,0)+INDEX($AT$13:$BB$162,BO230,0)+INDEX($BD$13:$BL$162,BP230,0))/100)))&gt;0)*($D$10:$L$10-($D$9:$L$9+INT(($S$12:$AA$12+INDEX($AJ$13:$AR$162,BN230,0)+INDEX($AT$13:$BB$162,BO230,0)+INDEX($BD$13:$BL$162,BP230,0))/100)))),0)</f>
        <v/>
      </c>
      <c r="BS230">
        <f>IF(217&lt;$U$9,SUMPRODUCT(($D$9:$L$9+INT(($S$12:$AA$12+INDEX($AJ$13:$AR$162,BN230,0)+INDEX($AT$13:$BB$162,BO230,0)+INDEX($BD$13:$BL$162,BP230,0))/100))),0)</f>
        <v/>
      </c>
      <c r="BT230">
        <f>IF(AND(217&lt;$U$9,$W$5),BQ230*1000000-MIN(BR230,999)*1000+BS230-217/100000,-1000000000-217)</f>
        <v/>
      </c>
    </row>
    <row r="231">
      <c r="BN231">
        <f>IF(218&lt;$U$9,INT(218/($U$7*$U$8))+1,1)</f>
        <v/>
      </c>
      <c r="BO231">
        <f>IF(218&lt;$U$9,MOD(INT(218/$U$8),$U$7)+1,1)</f>
        <v/>
      </c>
      <c r="BP231">
        <f>IF(218&lt;$U$9,MOD(218,$U$8)+1,1)</f>
        <v/>
      </c>
      <c r="BQ231">
        <f>IF(218&lt;$U$9,SUMPRODUCT(($D$10:$L$10&lt;&gt;"")*(($D$9:$L$9+INT(($S$12:$AA$12+INDEX($AJ$13:$AR$162,BN231,0)+INDEX($AT$13:$BB$162,BO231,0)+INDEX($BD$13:$BL$162,BP231,0))/100))&gt;=$D$10:$L$10)),0)</f>
        <v/>
      </c>
      <c r="BR231">
        <f>IF(218&lt;$U$9,SUMPRODUCT(($D$10:$L$10&lt;&gt;"")*(($D$10:$L$10-($D$9:$L$9+INT(($S$12:$AA$12+INDEX($AJ$13:$AR$162,BN231,0)+INDEX($AT$13:$BB$162,BO231,0)+INDEX($BD$13:$BL$162,BP231,0))/100)))&gt;0)*($D$10:$L$10-($D$9:$L$9+INT(($S$12:$AA$12+INDEX($AJ$13:$AR$162,BN231,0)+INDEX($AT$13:$BB$162,BO231,0)+INDEX($BD$13:$BL$162,BP231,0))/100)))),0)</f>
        <v/>
      </c>
      <c r="BS231">
        <f>IF(218&lt;$U$9,SUMPRODUCT(($D$9:$L$9+INT(($S$12:$AA$12+INDEX($AJ$13:$AR$162,BN231,0)+INDEX($AT$13:$BB$162,BO231,0)+INDEX($BD$13:$BL$162,BP231,0))/100))),0)</f>
        <v/>
      </c>
      <c r="BT231">
        <f>IF(AND(218&lt;$U$9,$W$5),BQ231*1000000-MIN(BR231,999)*1000+BS231-218/100000,-1000000000-218)</f>
        <v/>
      </c>
    </row>
    <row r="232">
      <c r="BN232">
        <f>IF(219&lt;$U$9,INT(219/($U$7*$U$8))+1,1)</f>
        <v/>
      </c>
      <c r="BO232">
        <f>IF(219&lt;$U$9,MOD(INT(219/$U$8),$U$7)+1,1)</f>
        <v/>
      </c>
      <c r="BP232">
        <f>IF(219&lt;$U$9,MOD(219,$U$8)+1,1)</f>
        <v/>
      </c>
      <c r="BQ232">
        <f>IF(219&lt;$U$9,SUMPRODUCT(($D$10:$L$10&lt;&gt;"")*(($D$9:$L$9+INT(($S$12:$AA$12+INDEX($AJ$13:$AR$162,BN232,0)+INDEX($AT$13:$BB$162,BO232,0)+INDEX($BD$13:$BL$162,BP232,0))/100))&gt;=$D$10:$L$10)),0)</f>
        <v/>
      </c>
      <c r="BR232">
        <f>IF(219&lt;$U$9,SUMPRODUCT(($D$10:$L$10&lt;&gt;"")*(($D$10:$L$10-($D$9:$L$9+INT(($S$12:$AA$12+INDEX($AJ$13:$AR$162,BN232,0)+INDEX($AT$13:$BB$162,BO232,0)+INDEX($BD$13:$BL$162,BP232,0))/100)))&gt;0)*($D$10:$L$10-($D$9:$L$9+INT(($S$12:$AA$12+INDEX($AJ$13:$AR$162,BN232,0)+INDEX($AT$13:$BB$162,BO232,0)+INDEX($BD$13:$BL$162,BP232,0))/100)))),0)</f>
        <v/>
      </c>
      <c r="BS232">
        <f>IF(219&lt;$U$9,SUMPRODUCT(($D$9:$L$9+INT(($S$12:$AA$12+INDEX($AJ$13:$AR$162,BN232,0)+INDEX($AT$13:$BB$162,BO232,0)+INDEX($BD$13:$BL$162,BP232,0))/100))),0)</f>
        <v/>
      </c>
      <c r="BT232">
        <f>IF(AND(219&lt;$U$9,$W$5),BQ232*1000000-MIN(BR232,999)*1000+BS232-219/100000,-1000000000-219)</f>
        <v/>
      </c>
    </row>
    <row r="233">
      <c r="BN233">
        <f>IF(220&lt;$U$9,INT(220/($U$7*$U$8))+1,1)</f>
        <v/>
      </c>
      <c r="BO233">
        <f>IF(220&lt;$U$9,MOD(INT(220/$U$8),$U$7)+1,1)</f>
        <v/>
      </c>
      <c r="BP233">
        <f>IF(220&lt;$U$9,MOD(220,$U$8)+1,1)</f>
        <v/>
      </c>
      <c r="BQ233">
        <f>IF(220&lt;$U$9,SUMPRODUCT(($D$10:$L$10&lt;&gt;"")*(($D$9:$L$9+INT(($S$12:$AA$12+INDEX($AJ$13:$AR$162,BN233,0)+INDEX($AT$13:$BB$162,BO233,0)+INDEX($BD$13:$BL$162,BP233,0))/100))&gt;=$D$10:$L$10)),0)</f>
        <v/>
      </c>
      <c r="BR233">
        <f>IF(220&lt;$U$9,SUMPRODUCT(($D$10:$L$10&lt;&gt;"")*(($D$10:$L$10-($D$9:$L$9+INT(($S$12:$AA$12+INDEX($AJ$13:$AR$162,BN233,0)+INDEX($AT$13:$BB$162,BO233,0)+INDEX($BD$13:$BL$162,BP233,0))/100)))&gt;0)*($D$10:$L$10-($D$9:$L$9+INT(($S$12:$AA$12+INDEX($AJ$13:$AR$162,BN233,0)+INDEX($AT$13:$BB$162,BO233,0)+INDEX($BD$13:$BL$162,BP233,0))/100)))),0)</f>
        <v/>
      </c>
      <c r="BS233">
        <f>IF(220&lt;$U$9,SUMPRODUCT(($D$9:$L$9+INT(($S$12:$AA$12+INDEX($AJ$13:$AR$162,BN233,0)+INDEX($AT$13:$BB$162,BO233,0)+INDEX($BD$13:$BL$162,BP233,0))/100))),0)</f>
        <v/>
      </c>
      <c r="BT233">
        <f>IF(AND(220&lt;$U$9,$W$5),BQ233*1000000-MIN(BR233,999)*1000+BS233-220/100000,-1000000000-220)</f>
        <v/>
      </c>
    </row>
    <row r="234">
      <c r="BN234">
        <f>IF(221&lt;$U$9,INT(221/($U$7*$U$8))+1,1)</f>
        <v/>
      </c>
      <c r="BO234">
        <f>IF(221&lt;$U$9,MOD(INT(221/$U$8),$U$7)+1,1)</f>
        <v/>
      </c>
      <c r="BP234">
        <f>IF(221&lt;$U$9,MOD(221,$U$8)+1,1)</f>
        <v/>
      </c>
      <c r="BQ234">
        <f>IF(221&lt;$U$9,SUMPRODUCT(($D$10:$L$10&lt;&gt;"")*(($D$9:$L$9+INT(($S$12:$AA$12+INDEX($AJ$13:$AR$162,BN234,0)+INDEX($AT$13:$BB$162,BO234,0)+INDEX($BD$13:$BL$162,BP234,0))/100))&gt;=$D$10:$L$10)),0)</f>
        <v/>
      </c>
      <c r="BR234">
        <f>IF(221&lt;$U$9,SUMPRODUCT(($D$10:$L$10&lt;&gt;"")*(($D$10:$L$10-($D$9:$L$9+INT(($S$12:$AA$12+INDEX($AJ$13:$AR$162,BN234,0)+INDEX($AT$13:$BB$162,BO234,0)+INDEX($BD$13:$BL$162,BP234,0))/100)))&gt;0)*($D$10:$L$10-($D$9:$L$9+INT(($S$12:$AA$12+INDEX($AJ$13:$AR$162,BN234,0)+INDEX($AT$13:$BB$162,BO234,0)+INDEX($BD$13:$BL$162,BP234,0))/100)))),0)</f>
        <v/>
      </c>
      <c r="BS234">
        <f>IF(221&lt;$U$9,SUMPRODUCT(($D$9:$L$9+INT(($S$12:$AA$12+INDEX($AJ$13:$AR$162,BN234,0)+INDEX($AT$13:$BB$162,BO234,0)+INDEX($BD$13:$BL$162,BP234,0))/100))),0)</f>
        <v/>
      </c>
      <c r="BT234">
        <f>IF(AND(221&lt;$U$9,$W$5),BQ234*1000000-MIN(BR234,999)*1000+BS234-221/100000,-1000000000-221)</f>
        <v/>
      </c>
    </row>
    <row r="235">
      <c r="BN235">
        <f>IF(222&lt;$U$9,INT(222/($U$7*$U$8))+1,1)</f>
        <v/>
      </c>
      <c r="BO235">
        <f>IF(222&lt;$U$9,MOD(INT(222/$U$8),$U$7)+1,1)</f>
        <v/>
      </c>
      <c r="BP235">
        <f>IF(222&lt;$U$9,MOD(222,$U$8)+1,1)</f>
        <v/>
      </c>
      <c r="BQ235">
        <f>IF(222&lt;$U$9,SUMPRODUCT(($D$10:$L$10&lt;&gt;"")*(($D$9:$L$9+INT(($S$12:$AA$12+INDEX($AJ$13:$AR$162,BN235,0)+INDEX($AT$13:$BB$162,BO235,0)+INDEX($BD$13:$BL$162,BP235,0))/100))&gt;=$D$10:$L$10)),0)</f>
        <v/>
      </c>
      <c r="BR235">
        <f>IF(222&lt;$U$9,SUMPRODUCT(($D$10:$L$10&lt;&gt;"")*(($D$10:$L$10-($D$9:$L$9+INT(($S$12:$AA$12+INDEX($AJ$13:$AR$162,BN235,0)+INDEX($AT$13:$BB$162,BO235,0)+INDEX($BD$13:$BL$162,BP235,0))/100)))&gt;0)*($D$10:$L$10-($D$9:$L$9+INT(($S$12:$AA$12+INDEX($AJ$13:$AR$162,BN235,0)+INDEX($AT$13:$BB$162,BO235,0)+INDEX($BD$13:$BL$162,BP235,0))/100)))),0)</f>
        <v/>
      </c>
      <c r="BS235">
        <f>IF(222&lt;$U$9,SUMPRODUCT(($D$9:$L$9+INT(($S$12:$AA$12+INDEX($AJ$13:$AR$162,BN235,0)+INDEX($AT$13:$BB$162,BO235,0)+INDEX($BD$13:$BL$162,BP235,0))/100))),0)</f>
        <v/>
      </c>
      <c r="BT235">
        <f>IF(AND(222&lt;$U$9,$W$5),BQ235*1000000-MIN(BR235,999)*1000+BS235-222/100000,-1000000000-222)</f>
        <v/>
      </c>
    </row>
    <row r="236">
      <c r="BN236">
        <f>IF(223&lt;$U$9,INT(223/($U$7*$U$8))+1,1)</f>
        <v/>
      </c>
      <c r="BO236">
        <f>IF(223&lt;$U$9,MOD(INT(223/$U$8),$U$7)+1,1)</f>
        <v/>
      </c>
      <c r="BP236">
        <f>IF(223&lt;$U$9,MOD(223,$U$8)+1,1)</f>
        <v/>
      </c>
      <c r="BQ236">
        <f>IF(223&lt;$U$9,SUMPRODUCT(($D$10:$L$10&lt;&gt;"")*(($D$9:$L$9+INT(($S$12:$AA$12+INDEX($AJ$13:$AR$162,BN236,0)+INDEX($AT$13:$BB$162,BO236,0)+INDEX($BD$13:$BL$162,BP236,0))/100))&gt;=$D$10:$L$10)),0)</f>
        <v/>
      </c>
      <c r="BR236">
        <f>IF(223&lt;$U$9,SUMPRODUCT(($D$10:$L$10&lt;&gt;"")*(($D$10:$L$10-($D$9:$L$9+INT(($S$12:$AA$12+INDEX($AJ$13:$AR$162,BN236,0)+INDEX($AT$13:$BB$162,BO236,0)+INDEX($BD$13:$BL$162,BP236,0))/100)))&gt;0)*($D$10:$L$10-($D$9:$L$9+INT(($S$12:$AA$12+INDEX($AJ$13:$AR$162,BN236,0)+INDEX($AT$13:$BB$162,BO236,0)+INDEX($BD$13:$BL$162,BP236,0))/100)))),0)</f>
        <v/>
      </c>
      <c r="BS236">
        <f>IF(223&lt;$U$9,SUMPRODUCT(($D$9:$L$9+INT(($S$12:$AA$12+INDEX($AJ$13:$AR$162,BN236,0)+INDEX($AT$13:$BB$162,BO236,0)+INDEX($BD$13:$BL$162,BP236,0))/100))),0)</f>
        <v/>
      </c>
      <c r="BT236">
        <f>IF(AND(223&lt;$U$9,$W$5),BQ236*1000000-MIN(BR236,999)*1000+BS236-223/100000,-1000000000-223)</f>
        <v/>
      </c>
    </row>
    <row r="237">
      <c r="BN237">
        <f>IF(224&lt;$U$9,INT(224/($U$7*$U$8))+1,1)</f>
        <v/>
      </c>
      <c r="BO237">
        <f>IF(224&lt;$U$9,MOD(INT(224/$U$8),$U$7)+1,1)</f>
        <v/>
      </c>
      <c r="BP237">
        <f>IF(224&lt;$U$9,MOD(224,$U$8)+1,1)</f>
        <v/>
      </c>
      <c r="BQ237">
        <f>IF(224&lt;$U$9,SUMPRODUCT(($D$10:$L$10&lt;&gt;"")*(($D$9:$L$9+INT(($S$12:$AA$12+INDEX($AJ$13:$AR$162,BN237,0)+INDEX($AT$13:$BB$162,BO237,0)+INDEX($BD$13:$BL$162,BP237,0))/100))&gt;=$D$10:$L$10)),0)</f>
        <v/>
      </c>
      <c r="BR237">
        <f>IF(224&lt;$U$9,SUMPRODUCT(($D$10:$L$10&lt;&gt;"")*(($D$10:$L$10-($D$9:$L$9+INT(($S$12:$AA$12+INDEX($AJ$13:$AR$162,BN237,0)+INDEX($AT$13:$BB$162,BO237,0)+INDEX($BD$13:$BL$162,BP237,0))/100)))&gt;0)*($D$10:$L$10-($D$9:$L$9+INT(($S$12:$AA$12+INDEX($AJ$13:$AR$162,BN237,0)+INDEX($AT$13:$BB$162,BO237,0)+INDEX($BD$13:$BL$162,BP237,0))/100)))),0)</f>
        <v/>
      </c>
      <c r="BS237">
        <f>IF(224&lt;$U$9,SUMPRODUCT(($D$9:$L$9+INT(($S$12:$AA$12+INDEX($AJ$13:$AR$162,BN237,0)+INDEX($AT$13:$BB$162,BO237,0)+INDEX($BD$13:$BL$162,BP237,0))/100))),0)</f>
        <v/>
      </c>
      <c r="BT237">
        <f>IF(AND(224&lt;$U$9,$W$5),BQ237*1000000-MIN(BR237,999)*1000+BS237-224/100000,-1000000000-224)</f>
        <v/>
      </c>
    </row>
    <row r="238">
      <c r="BN238">
        <f>IF(225&lt;$U$9,INT(225/($U$7*$U$8))+1,1)</f>
        <v/>
      </c>
      <c r="BO238">
        <f>IF(225&lt;$U$9,MOD(INT(225/$U$8),$U$7)+1,1)</f>
        <v/>
      </c>
      <c r="BP238">
        <f>IF(225&lt;$U$9,MOD(225,$U$8)+1,1)</f>
        <v/>
      </c>
      <c r="BQ238">
        <f>IF(225&lt;$U$9,SUMPRODUCT(($D$10:$L$10&lt;&gt;"")*(($D$9:$L$9+INT(($S$12:$AA$12+INDEX($AJ$13:$AR$162,BN238,0)+INDEX($AT$13:$BB$162,BO238,0)+INDEX($BD$13:$BL$162,BP238,0))/100))&gt;=$D$10:$L$10)),0)</f>
        <v/>
      </c>
      <c r="BR238">
        <f>IF(225&lt;$U$9,SUMPRODUCT(($D$10:$L$10&lt;&gt;"")*(($D$10:$L$10-($D$9:$L$9+INT(($S$12:$AA$12+INDEX($AJ$13:$AR$162,BN238,0)+INDEX($AT$13:$BB$162,BO238,0)+INDEX($BD$13:$BL$162,BP238,0))/100)))&gt;0)*($D$10:$L$10-($D$9:$L$9+INT(($S$12:$AA$12+INDEX($AJ$13:$AR$162,BN238,0)+INDEX($AT$13:$BB$162,BO238,0)+INDEX($BD$13:$BL$162,BP238,0))/100)))),0)</f>
        <v/>
      </c>
      <c r="BS238">
        <f>IF(225&lt;$U$9,SUMPRODUCT(($D$9:$L$9+INT(($S$12:$AA$12+INDEX($AJ$13:$AR$162,BN238,0)+INDEX($AT$13:$BB$162,BO238,0)+INDEX($BD$13:$BL$162,BP238,0))/100))),0)</f>
        <v/>
      </c>
      <c r="BT238">
        <f>IF(AND(225&lt;$U$9,$W$5),BQ238*1000000-MIN(BR238,999)*1000+BS238-225/100000,-1000000000-225)</f>
        <v/>
      </c>
    </row>
    <row r="239">
      <c r="BN239">
        <f>IF(226&lt;$U$9,INT(226/($U$7*$U$8))+1,1)</f>
        <v/>
      </c>
      <c r="BO239">
        <f>IF(226&lt;$U$9,MOD(INT(226/$U$8),$U$7)+1,1)</f>
        <v/>
      </c>
      <c r="BP239">
        <f>IF(226&lt;$U$9,MOD(226,$U$8)+1,1)</f>
        <v/>
      </c>
      <c r="BQ239">
        <f>IF(226&lt;$U$9,SUMPRODUCT(($D$10:$L$10&lt;&gt;"")*(($D$9:$L$9+INT(($S$12:$AA$12+INDEX($AJ$13:$AR$162,BN239,0)+INDEX($AT$13:$BB$162,BO239,0)+INDEX($BD$13:$BL$162,BP239,0))/100))&gt;=$D$10:$L$10)),0)</f>
        <v/>
      </c>
      <c r="BR239">
        <f>IF(226&lt;$U$9,SUMPRODUCT(($D$10:$L$10&lt;&gt;"")*(($D$10:$L$10-($D$9:$L$9+INT(($S$12:$AA$12+INDEX($AJ$13:$AR$162,BN239,0)+INDEX($AT$13:$BB$162,BO239,0)+INDEX($BD$13:$BL$162,BP239,0))/100)))&gt;0)*($D$10:$L$10-($D$9:$L$9+INT(($S$12:$AA$12+INDEX($AJ$13:$AR$162,BN239,0)+INDEX($AT$13:$BB$162,BO239,0)+INDEX($BD$13:$BL$162,BP239,0))/100)))),0)</f>
        <v/>
      </c>
      <c r="BS239">
        <f>IF(226&lt;$U$9,SUMPRODUCT(($D$9:$L$9+INT(($S$12:$AA$12+INDEX($AJ$13:$AR$162,BN239,0)+INDEX($AT$13:$BB$162,BO239,0)+INDEX($BD$13:$BL$162,BP239,0))/100))),0)</f>
        <v/>
      </c>
      <c r="BT239">
        <f>IF(AND(226&lt;$U$9,$W$5),BQ239*1000000-MIN(BR239,999)*1000+BS239-226/100000,-1000000000-226)</f>
        <v/>
      </c>
    </row>
    <row r="240">
      <c r="BN240">
        <f>IF(227&lt;$U$9,INT(227/($U$7*$U$8))+1,1)</f>
        <v/>
      </c>
      <c r="BO240">
        <f>IF(227&lt;$U$9,MOD(INT(227/$U$8),$U$7)+1,1)</f>
        <v/>
      </c>
      <c r="BP240">
        <f>IF(227&lt;$U$9,MOD(227,$U$8)+1,1)</f>
        <v/>
      </c>
      <c r="BQ240">
        <f>IF(227&lt;$U$9,SUMPRODUCT(($D$10:$L$10&lt;&gt;"")*(($D$9:$L$9+INT(($S$12:$AA$12+INDEX($AJ$13:$AR$162,BN240,0)+INDEX($AT$13:$BB$162,BO240,0)+INDEX($BD$13:$BL$162,BP240,0))/100))&gt;=$D$10:$L$10)),0)</f>
        <v/>
      </c>
      <c r="BR240">
        <f>IF(227&lt;$U$9,SUMPRODUCT(($D$10:$L$10&lt;&gt;"")*(($D$10:$L$10-($D$9:$L$9+INT(($S$12:$AA$12+INDEX($AJ$13:$AR$162,BN240,0)+INDEX($AT$13:$BB$162,BO240,0)+INDEX($BD$13:$BL$162,BP240,0))/100)))&gt;0)*($D$10:$L$10-($D$9:$L$9+INT(($S$12:$AA$12+INDEX($AJ$13:$AR$162,BN240,0)+INDEX($AT$13:$BB$162,BO240,0)+INDEX($BD$13:$BL$162,BP240,0))/100)))),0)</f>
        <v/>
      </c>
      <c r="BS240">
        <f>IF(227&lt;$U$9,SUMPRODUCT(($D$9:$L$9+INT(($S$12:$AA$12+INDEX($AJ$13:$AR$162,BN240,0)+INDEX($AT$13:$BB$162,BO240,0)+INDEX($BD$13:$BL$162,BP240,0))/100))),0)</f>
        <v/>
      </c>
      <c r="BT240">
        <f>IF(AND(227&lt;$U$9,$W$5),BQ240*1000000-MIN(BR240,999)*1000+BS240-227/100000,-1000000000-227)</f>
        <v/>
      </c>
    </row>
    <row r="241">
      <c r="BN241">
        <f>IF(228&lt;$U$9,INT(228/($U$7*$U$8))+1,1)</f>
        <v/>
      </c>
      <c r="BO241">
        <f>IF(228&lt;$U$9,MOD(INT(228/$U$8),$U$7)+1,1)</f>
        <v/>
      </c>
      <c r="BP241">
        <f>IF(228&lt;$U$9,MOD(228,$U$8)+1,1)</f>
        <v/>
      </c>
      <c r="BQ241">
        <f>IF(228&lt;$U$9,SUMPRODUCT(($D$10:$L$10&lt;&gt;"")*(($D$9:$L$9+INT(($S$12:$AA$12+INDEX($AJ$13:$AR$162,BN241,0)+INDEX($AT$13:$BB$162,BO241,0)+INDEX($BD$13:$BL$162,BP241,0))/100))&gt;=$D$10:$L$10)),0)</f>
        <v/>
      </c>
      <c r="BR241">
        <f>IF(228&lt;$U$9,SUMPRODUCT(($D$10:$L$10&lt;&gt;"")*(($D$10:$L$10-($D$9:$L$9+INT(($S$12:$AA$12+INDEX($AJ$13:$AR$162,BN241,0)+INDEX($AT$13:$BB$162,BO241,0)+INDEX($BD$13:$BL$162,BP241,0))/100)))&gt;0)*($D$10:$L$10-($D$9:$L$9+INT(($S$12:$AA$12+INDEX($AJ$13:$AR$162,BN241,0)+INDEX($AT$13:$BB$162,BO241,0)+INDEX($BD$13:$BL$162,BP241,0))/100)))),0)</f>
        <v/>
      </c>
      <c r="BS241">
        <f>IF(228&lt;$U$9,SUMPRODUCT(($D$9:$L$9+INT(($S$12:$AA$12+INDEX($AJ$13:$AR$162,BN241,0)+INDEX($AT$13:$BB$162,BO241,0)+INDEX($BD$13:$BL$162,BP241,0))/100))),0)</f>
        <v/>
      </c>
      <c r="BT241">
        <f>IF(AND(228&lt;$U$9,$W$5),BQ241*1000000-MIN(BR241,999)*1000+BS241-228/100000,-1000000000-228)</f>
        <v/>
      </c>
    </row>
    <row r="242">
      <c r="BN242">
        <f>IF(229&lt;$U$9,INT(229/($U$7*$U$8))+1,1)</f>
        <v/>
      </c>
      <c r="BO242">
        <f>IF(229&lt;$U$9,MOD(INT(229/$U$8),$U$7)+1,1)</f>
        <v/>
      </c>
      <c r="BP242">
        <f>IF(229&lt;$U$9,MOD(229,$U$8)+1,1)</f>
        <v/>
      </c>
      <c r="BQ242">
        <f>IF(229&lt;$U$9,SUMPRODUCT(($D$10:$L$10&lt;&gt;"")*(($D$9:$L$9+INT(($S$12:$AA$12+INDEX($AJ$13:$AR$162,BN242,0)+INDEX($AT$13:$BB$162,BO242,0)+INDEX($BD$13:$BL$162,BP242,0))/100))&gt;=$D$10:$L$10)),0)</f>
        <v/>
      </c>
      <c r="BR242">
        <f>IF(229&lt;$U$9,SUMPRODUCT(($D$10:$L$10&lt;&gt;"")*(($D$10:$L$10-($D$9:$L$9+INT(($S$12:$AA$12+INDEX($AJ$13:$AR$162,BN242,0)+INDEX($AT$13:$BB$162,BO242,0)+INDEX($BD$13:$BL$162,BP242,0))/100)))&gt;0)*($D$10:$L$10-($D$9:$L$9+INT(($S$12:$AA$12+INDEX($AJ$13:$AR$162,BN242,0)+INDEX($AT$13:$BB$162,BO242,0)+INDEX($BD$13:$BL$162,BP242,0))/100)))),0)</f>
        <v/>
      </c>
      <c r="BS242">
        <f>IF(229&lt;$U$9,SUMPRODUCT(($D$9:$L$9+INT(($S$12:$AA$12+INDEX($AJ$13:$AR$162,BN242,0)+INDEX($AT$13:$BB$162,BO242,0)+INDEX($BD$13:$BL$162,BP242,0))/100))),0)</f>
        <v/>
      </c>
      <c r="BT242">
        <f>IF(AND(229&lt;$U$9,$W$5),BQ242*1000000-MIN(BR242,999)*1000+BS242-229/100000,-1000000000-229)</f>
        <v/>
      </c>
    </row>
    <row r="243">
      <c r="BN243">
        <f>IF(230&lt;$U$9,INT(230/($U$7*$U$8))+1,1)</f>
        <v/>
      </c>
      <c r="BO243">
        <f>IF(230&lt;$U$9,MOD(INT(230/$U$8),$U$7)+1,1)</f>
        <v/>
      </c>
      <c r="BP243">
        <f>IF(230&lt;$U$9,MOD(230,$U$8)+1,1)</f>
        <v/>
      </c>
      <c r="BQ243">
        <f>IF(230&lt;$U$9,SUMPRODUCT(($D$10:$L$10&lt;&gt;"")*(($D$9:$L$9+INT(($S$12:$AA$12+INDEX($AJ$13:$AR$162,BN243,0)+INDEX($AT$13:$BB$162,BO243,0)+INDEX($BD$13:$BL$162,BP243,0))/100))&gt;=$D$10:$L$10)),0)</f>
        <v/>
      </c>
      <c r="BR243">
        <f>IF(230&lt;$U$9,SUMPRODUCT(($D$10:$L$10&lt;&gt;"")*(($D$10:$L$10-($D$9:$L$9+INT(($S$12:$AA$12+INDEX($AJ$13:$AR$162,BN243,0)+INDEX($AT$13:$BB$162,BO243,0)+INDEX($BD$13:$BL$162,BP243,0))/100)))&gt;0)*($D$10:$L$10-($D$9:$L$9+INT(($S$12:$AA$12+INDEX($AJ$13:$AR$162,BN243,0)+INDEX($AT$13:$BB$162,BO243,0)+INDEX($BD$13:$BL$162,BP243,0))/100)))),0)</f>
        <v/>
      </c>
      <c r="BS243">
        <f>IF(230&lt;$U$9,SUMPRODUCT(($D$9:$L$9+INT(($S$12:$AA$12+INDEX($AJ$13:$AR$162,BN243,0)+INDEX($AT$13:$BB$162,BO243,0)+INDEX($BD$13:$BL$162,BP243,0))/100))),0)</f>
        <v/>
      </c>
      <c r="BT243">
        <f>IF(AND(230&lt;$U$9,$W$5),BQ243*1000000-MIN(BR243,999)*1000+BS243-230/100000,-1000000000-230)</f>
        <v/>
      </c>
    </row>
    <row r="244">
      <c r="BN244">
        <f>IF(231&lt;$U$9,INT(231/($U$7*$U$8))+1,1)</f>
        <v/>
      </c>
      <c r="BO244">
        <f>IF(231&lt;$U$9,MOD(INT(231/$U$8),$U$7)+1,1)</f>
        <v/>
      </c>
      <c r="BP244">
        <f>IF(231&lt;$U$9,MOD(231,$U$8)+1,1)</f>
        <v/>
      </c>
      <c r="BQ244">
        <f>IF(231&lt;$U$9,SUMPRODUCT(($D$10:$L$10&lt;&gt;"")*(($D$9:$L$9+INT(($S$12:$AA$12+INDEX($AJ$13:$AR$162,BN244,0)+INDEX($AT$13:$BB$162,BO244,0)+INDEX($BD$13:$BL$162,BP244,0))/100))&gt;=$D$10:$L$10)),0)</f>
        <v/>
      </c>
      <c r="BR244">
        <f>IF(231&lt;$U$9,SUMPRODUCT(($D$10:$L$10&lt;&gt;"")*(($D$10:$L$10-($D$9:$L$9+INT(($S$12:$AA$12+INDEX($AJ$13:$AR$162,BN244,0)+INDEX($AT$13:$BB$162,BO244,0)+INDEX($BD$13:$BL$162,BP244,0))/100)))&gt;0)*($D$10:$L$10-($D$9:$L$9+INT(($S$12:$AA$12+INDEX($AJ$13:$AR$162,BN244,0)+INDEX($AT$13:$BB$162,BO244,0)+INDEX($BD$13:$BL$162,BP244,0))/100)))),0)</f>
        <v/>
      </c>
      <c r="BS244">
        <f>IF(231&lt;$U$9,SUMPRODUCT(($D$9:$L$9+INT(($S$12:$AA$12+INDEX($AJ$13:$AR$162,BN244,0)+INDEX($AT$13:$BB$162,BO244,0)+INDEX($BD$13:$BL$162,BP244,0))/100))),0)</f>
        <v/>
      </c>
      <c r="BT244">
        <f>IF(AND(231&lt;$U$9,$W$5),BQ244*1000000-MIN(BR244,999)*1000+BS244-231/100000,-1000000000-231)</f>
        <v/>
      </c>
    </row>
    <row r="245">
      <c r="BN245">
        <f>IF(232&lt;$U$9,INT(232/($U$7*$U$8))+1,1)</f>
        <v/>
      </c>
      <c r="BO245">
        <f>IF(232&lt;$U$9,MOD(INT(232/$U$8),$U$7)+1,1)</f>
        <v/>
      </c>
      <c r="BP245">
        <f>IF(232&lt;$U$9,MOD(232,$U$8)+1,1)</f>
        <v/>
      </c>
      <c r="BQ245">
        <f>IF(232&lt;$U$9,SUMPRODUCT(($D$10:$L$10&lt;&gt;"")*(($D$9:$L$9+INT(($S$12:$AA$12+INDEX($AJ$13:$AR$162,BN245,0)+INDEX($AT$13:$BB$162,BO245,0)+INDEX($BD$13:$BL$162,BP245,0))/100))&gt;=$D$10:$L$10)),0)</f>
        <v/>
      </c>
      <c r="BR245">
        <f>IF(232&lt;$U$9,SUMPRODUCT(($D$10:$L$10&lt;&gt;"")*(($D$10:$L$10-($D$9:$L$9+INT(($S$12:$AA$12+INDEX($AJ$13:$AR$162,BN245,0)+INDEX($AT$13:$BB$162,BO245,0)+INDEX($BD$13:$BL$162,BP245,0))/100)))&gt;0)*($D$10:$L$10-($D$9:$L$9+INT(($S$12:$AA$12+INDEX($AJ$13:$AR$162,BN245,0)+INDEX($AT$13:$BB$162,BO245,0)+INDEX($BD$13:$BL$162,BP245,0))/100)))),0)</f>
        <v/>
      </c>
      <c r="BS245">
        <f>IF(232&lt;$U$9,SUMPRODUCT(($D$9:$L$9+INT(($S$12:$AA$12+INDEX($AJ$13:$AR$162,BN245,0)+INDEX($AT$13:$BB$162,BO245,0)+INDEX($BD$13:$BL$162,BP245,0))/100))),0)</f>
        <v/>
      </c>
      <c r="BT245">
        <f>IF(AND(232&lt;$U$9,$W$5),BQ245*1000000-MIN(BR245,999)*1000+BS245-232/100000,-1000000000-232)</f>
        <v/>
      </c>
    </row>
    <row r="246">
      <c r="BN246">
        <f>IF(233&lt;$U$9,INT(233/($U$7*$U$8))+1,1)</f>
        <v/>
      </c>
      <c r="BO246">
        <f>IF(233&lt;$U$9,MOD(INT(233/$U$8),$U$7)+1,1)</f>
        <v/>
      </c>
      <c r="BP246">
        <f>IF(233&lt;$U$9,MOD(233,$U$8)+1,1)</f>
        <v/>
      </c>
      <c r="BQ246">
        <f>IF(233&lt;$U$9,SUMPRODUCT(($D$10:$L$10&lt;&gt;"")*(($D$9:$L$9+INT(($S$12:$AA$12+INDEX($AJ$13:$AR$162,BN246,0)+INDEX($AT$13:$BB$162,BO246,0)+INDEX($BD$13:$BL$162,BP246,0))/100))&gt;=$D$10:$L$10)),0)</f>
        <v/>
      </c>
      <c r="BR246">
        <f>IF(233&lt;$U$9,SUMPRODUCT(($D$10:$L$10&lt;&gt;"")*(($D$10:$L$10-($D$9:$L$9+INT(($S$12:$AA$12+INDEX($AJ$13:$AR$162,BN246,0)+INDEX($AT$13:$BB$162,BO246,0)+INDEX($BD$13:$BL$162,BP246,0))/100)))&gt;0)*($D$10:$L$10-($D$9:$L$9+INT(($S$12:$AA$12+INDEX($AJ$13:$AR$162,BN246,0)+INDEX($AT$13:$BB$162,BO246,0)+INDEX($BD$13:$BL$162,BP246,0))/100)))),0)</f>
        <v/>
      </c>
      <c r="BS246">
        <f>IF(233&lt;$U$9,SUMPRODUCT(($D$9:$L$9+INT(($S$12:$AA$12+INDEX($AJ$13:$AR$162,BN246,0)+INDEX($AT$13:$BB$162,BO246,0)+INDEX($BD$13:$BL$162,BP246,0))/100))),0)</f>
        <v/>
      </c>
      <c r="BT246">
        <f>IF(AND(233&lt;$U$9,$W$5),BQ246*1000000-MIN(BR246,999)*1000+BS246-233/100000,-1000000000-233)</f>
        <v/>
      </c>
    </row>
    <row r="247">
      <c r="BN247">
        <f>IF(234&lt;$U$9,INT(234/($U$7*$U$8))+1,1)</f>
        <v/>
      </c>
      <c r="BO247">
        <f>IF(234&lt;$U$9,MOD(INT(234/$U$8),$U$7)+1,1)</f>
        <v/>
      </c>
      <c r="BP247">
        <f>IF(234&lt;$U$9,MOD(234,$U$8)+1,1)</f>
        <v/>
      </c>
      <c r="BQ247">
        <f>IF(234&lt;$U$9,SUMPRODUCT(($D$10:$L$10&lt;&gt;"")*(($D$9:$L$9+INT(($S$12:$AA$12+INDEX($AJ$13:$AR$162,BN247,0)+INDEX($AT$13:$BB$162,BO247,0)+INDEX($BD$13:$BL$162,BP247,0))/100))&gt;=$D$10:$L$10)),0)</f>
        <v/>
      </c>
      <c r="BR247">
        <f>IF(234&lt;$U$9,SUMPRODUCT(($D$10:$L$10&lt;&gt;"")*(($D$10:$L$10-($D$9:$L$9+INT(($S$12:$AA$12+INDEX($AJ$13:$AR$162,BN247,0)+INDEX($AT$13:$BB$162,BO247,0)+INDEX($BD$13:$BL$162,BP247,0))/100)))&gt;0)*($D$10:$L$10-($D$9:$L$9+INT(($S$12:$AA$12+INDEX($AJ$13:$AR$162,BN247,0)+INDEX($AT$13:$BB$162,BO247,0)+INDEX($BD$13:$BL$162,BP247,0))/100)))),0)</f>
        <v/>
      </c>
      <c r="BS247">
        <f>IF(234&lt;$U$9,SUMPRODUCT(($D$9:$L$9+INT(($S$12:$AA$12+INDEX($AJ$13:$AR$162,BN247,0)+INDEX($AT$13:$BB$162,BO247,0)+INDEX($BD$13:$BL$162,BP247,0))/100))),0)</f>
        <v/>
      </c>
      <c r="BT247">
        <f>IF(AND(234&lt;$U$9,$W$5),BQ247*1000000-MIN(BR247,999)*1000+BS247-234/100000,-1000000000-234)</f>
        <v/>
      </c>
    </row>
    <row r="248">
      <c r="BN248">
        <f>IF(235&lt;$U$9,INT(235/($U$7*$U$8))+1,1)</f>
        <v/>
      </c>
      <c r="BO248">
        <f>IF(235&lt;$U$9,MOD(INT(235/$U$8),$U$7)+1,1)</f>
        <v/>
      </c>
      <c r="BP248">
        <f>IF(235&lt;$U$9,MOD(235,$U$8)+1,1)</f>
        <v/>
      </c>
      <c r="BQ248">
        <f>IF(235&lt;$U$9,SUMPRODUCT(($D$10:$L$10&lt;&gt;"")*(($D$9:$L$9+INT(($S$12:$AA$12+INDEX($AJ$13:$AR$162,BN248,0)+INDEX($AT$13:$BB$162,BO248,0)+INDEX($BD$13:$BL$162,BP248,0))/100))&gt;=$D$10:$L$10)),0)</f>
        <v/>
      </c>
      <c r="BR248">
        <f>IF(235&lt;$U$9,SUMPRODUCT(($D$10:$L$10&lt;&gt;"")*(($D$10:$L$10-($D$9:$L$9+INT(($S$12:$AA$12+INDEX($AJ$13:$AR$162,BN248,0)+INDEX($AT$13:$BB$162,BO248,0)+INDEX($BD$13:$BL$162,BP248,0))/100)))&gt;0)*($D$10:$L$10-($D$9:$L$9+INT(($S$12:$AA$12+INDEX($AJ$13:$AR$162,BN248,0)+INDEX($AT$13:$BB$162,BO248,0)+INDEX($BD$13:$BL$162,BP248,0))/100)))),0)</f>
        <v/>
      </c>
      <c r="BS248">
        <f>IF(235&lt;$U$9,SUMPRODUCT(($D$9:$L$9+INT(($S$12:$AA$12+INDEX($AJ$13:$AR$162,BN248,0)+INDEX($AT$13:$BB$162,BO248,0)+INDEX($BD$13:$BL$162,BP248,0))/100))),0)</f>
        <v/>
      </c>
      <c r="BT248">
        <f>IF(AND(235&lt;$U$9,$W$5),BQ248*1000000-MIN(BR248,999)*1000+BS248-235/100000,-1000000000-235)</f>
        <v/>
      </c>
    </row>
    <row r="249">
      <c r="BN249">
        <f>IF(236&lt;$U$9,INT(236/($U$7*$U$8))+1,1)</f>
        <v/>
      </c>
      <c r="BO249">
        <f>IF(236&lt;$U$9,MOD(INT(236/$U$8),$U$7)+1,1)</f>
        <v/>
      </c>
      <c r="BP249">
        <f>IF(236&lt;$U$9,MOD(236,$U$8)+1,1)</f>
        <v/>
      </c>
      <c r="BQ249">
        <f>IF(236&lt;$U$9,SUMPRODUCT(($D$10:$L$10&lt;&gt;"")*(($D$9:$L$9+INT(($S$12:$AA$12+INDEX($AJ$13:$AR$162,BN249,0)+INDEX($AT$13:$BB$162,BO249,0)+INDEX($BD$13:$BL$162,BP249,0))/100))&gt;=$D$10:$L$10)),0)</f>
        <v/>
      </c>
      <c r="BR249">
        <f>IF(236&lt;$U$9,SUMPRODUCT(($D$10:$L$10&lt;&gt;"")*(($D$10:$L$10-($D$9:$L$9+INT(($S$12:$AA$12+INDEX($AJ$13:$AR$162,BN249,0)+INDEX($AT$13:$BB$162,BO249,0)+INDEX($BD$13:$BL$162,BP249,0))/100)))&gt;0)*($D$10:$L$10-($D$9:$L$9+INT(($S$12:$AA$12+INDEX($AJ$13:$AR$162,BN249,0)+INDEX($AT$13:$BB$162,BO249,0)+INDEX($BD$13:$BL$162,BP249,0))/100)))),0)</f>
        <v/>
      </c>
      <c r="BS249">
        <f>IF(236&lt;$U$9,SUMPRODUCT(($D$9:$L$9+INT(($S$12:$AA$12+INDEX($AJ$13:$AR$162,BN249,0)+INDEX($AT$13:$BB$162,BO249,0)+INDEX($BD$13:$BL$162,BP249,0))/100))),0)</f>
        <v/>
      </c>
      <c r="BT249">
        <f>IF(AND(236&lt;$U$9,$W$5),BQ249*1000000-MIN(BR249,999)*1000+BS249-236/100000,-1000000000-236)</f>
        <v/>
      </c>
    </row>
    <row r="250">
      <c r="BN250">
        <f>IF(237&lt;$U$9,INT(237/($U$7*$U$8))+1,1)</f>
        <v/>
      </c>
      <c r="BO250">
        <f>IF(237&lt;$U$9,MOD(INT(237/$U$8),$U$7)+1,1)</f>
        <v/>
      </c>
      <c r="BP250">
        <f>IF(237&lt;$U$9,MOD(237,$U$8)+1,1)</f>
        <v/>
      </c>
      <c r="BQ250">
        <f>IF(237&lt;$U$9,SUMPRODUCT(($D$10:$L$10&lt;&gt;"")*(($D$9:$L$9+INT(($S$12:$AA$12+INDEX($AJ$13:$AR$162,BN250,0)+INDEX($AT$13:$BB$162,BO250,0)+INDEX($BD$13:$BL$162,BP250,0))/100))&gt;=$D$10:$L$10)),0)</f>
        <v/>
      </c>
      <c r="BR250">
        <f>IF(237&lt;$U$9,SUMPRODUCT(($D$10:$L$10&lt;&gt;"")*(($D$10:$L$10-($D$9:$L$9+INT(($S$12:$AA$12+INDEX($AJ$13:$AR$162,BN250,0)+INDEX($AT$13:$BB$162,BO250,0)+INDEX($BD$13:$BL$162,BP250,0))/100)))&gt;0)*($D$10:$L$10-($D$9:$L$9+INT(($S$12:$AA$12+INDEX($AJ$13:$AR$162,BN250,0)+INDEX($AT$13:$BB$162,BO250,0)+INDEX($BD$13:$BL$162,BP250,0))/100)))),0)</f>
        <v/>
      </c>
      <c r="BS250">
        <f>IF(237&lt;$U$9,SUMPRODUCT(($D$9:$L$9+INT(($S$12:$AA$12+INDEX($AJ$13:$AR$162,BN250,0)+INDEX($AT$13:$BB$162,BO250,0)+INDEX($BD$13:$BL$162,BP250,0))/100))),0)</f>
        <v/>
      </c>
      <c r="BT250">
        <f>IF(AND(237&lt;$U$9,$W$5),BQ250*1000000-MIN(BR250,999)*1000+BS250-237/100000,-1000000000-237)</f>
        <v/>
      </c>
    </row>
    <row r="251">
      <c r="BN251">
        <f>IF(238&lt;$U$9,INT(238/($U$7*$U$8))+1,1)</f>
        <v/>
      </c>
      <c r="BO251">
        <f>IF(238&lt;$U$9,MOD(INT(238/$U$8),$U$7)+1,1)</f>
        <v/>
      </c>
      <c r="BP251">
        <f>IF(238&lt;$U$9,MOD(238,$U$8)+1,1)</f>
        <v/>
      </c>
      <c r="BQ251">
        <f>IF(238&lt;$U$9,SUMPRODUCT(($D$10:$L$10&lt;&gt;"")*(($D$9:$L$9+INT(($S$12:$AA$12+INDEX($AJ$13:$AR$162,BN251,0)+INDEX($AT$13:$BB$162,BO251,0)+INDEX($BD$13:$BL$162,BP251,0))/100))&gt;=$D$10:$L$10)),0)</f>
        <v/>
      </c>
      <c r="BR251">
        <f>IF(238&lt;$U$9,SUMPRODUCT(($D$10:$L$10&lt;&gt;"")*(($D$10:$L$10-($D$9:$L$9+INT(($S$12:$AA$12+INDEX($AJ$13:$AR$162,BN251,0)+INDEX($AT$13:$BB$162,BO251,0)+INDEX($BD$13:$BL$162,BP251,0))/100)))&gt;0)*($D$10:$L$10-($D$9:$L$9+INT(($S$12:$AA$12+INDEX($AJ$13:$AR$162,BN251,0)+INDEX($AT$13:$BB$162,BO251,0)+INDEX($BD$13:$BL$162,BP251,0))/100)))),0)</f>
        <v/>
      </c>
      <c r="BS251">
        <f>IF(238&lt;$U$9,SUMPRODUCT(($D$9:$L$9+INT(($S$12:$AA$12+INDEX($AJ$13:$AR$162,BN251,0)+INDEX($AT$13:$BB$162,BO251,0)+INDEX($BD$13:$BL$162,BP251,0))/100))),0)</f>
        <v/>
      </c>
      <c r="BT251">
        <f>IF(AND(238&lt;$U$9,$W$5),BQ251*1000000-MIN(BR251,999)*1000+BS251-238/100000,-1000000000-238)</f>
        <v/>
      </c>
    </row>
    <row r="252">
      <c r="BN252">
        <f>IF(239&lt;$U$9,INT(239/($U$7*$U$8))+1,1)</f>
        <v/>
      </c>
      <c r="BO252">
        <f>IF(239&lt;$U$9,MOD(INT(239/$U$8),$U$7)+1,1)</f>
        <v/>
      </c>
      <c r="BP252">
        <f>IF(239&lt;$U$9,MOD(239,$U$8)+1,1)</f>
        <v/>
      </c>
      <c r="BQ252">
        <f>IF(239&lt;$U$9,SUMPRODUCT(($D$10:$L$10&lt;&gt;"")*(($D$9:$L$9+INT(($S$12:$AA$12+INDEX($AJ$13:$AR$162,BN252,0)+INDEX($AT$13:$BB$162,BO252,0)+INDEX($BD$13:$BL$162,BP252,0))/100))&gt;=$D$10:$L$10)),0)</f>
        <v/>
      </c>
      <c r="BR252">
        <f>IF(239&lt;$U$9,SUMPRODUCT(($D$10:$L$10&lt;&gt;"")*(($D$10:$L$10-($D$9:$L$9+INT(($S$12:$AA$12+INDEX($AJ$13:$AR$162,BN252,0)+INDEX($AT$13:$BB$162,BO252,0)+INDEX($BD$13:$BL$162,BP252,0))/100)))&gt;0)*($D$10:$L$10-($D$9:$L$9+INT(($S$12:$AA$12+INDEX($AJ$13:$AR$162,BN252,0)+INDEX($AT$13:$BB$162,BO252,0)+INDEX($BD$13:$BL$162,BP252,0))/100)))),0)</f>
        <v/>
      </c>
      <c r="BS252">
        <f>IF(239&lt;$U$9,SUMPRODUCT(($D$9:$L$9+INT(($S$12:$AA$12+INDEX($AJ$13:$AR$162,BN252,0)+INDEX($AT$13:$BB$162,BO252,0)+INDEX($BD$13:$BL$162,BP252,0))/100))),0)</f>
        <v/>
      </c>
      <c r="BT252">
        <f>IF(AND(239&lt;$U$9,$W$5),BQ252*1000000-MIN(BR252,999)*1000+BS252-239/100000,-1000000000-239)</f>
        <v/>
      </c>
    </row>
    <row r="253">
      <c r="BN253">
        <f>IF(240&lt;$U$9,INT(240/($U$7*$U$8))+1,1)</f>
        <v/>
      </c>
      <c r="BO253">
        <f>IF(240&lt;$U$9,MOD(INT(240/$U$8),$U$7)+1,1)</f>
        <v/>
      </c>
      <c r="BP253">
        <f>IF(240&lt;$U$9,MOD(240,$U$8)+1,1)</f>
        <v/>
      </c>
      <c r="BQ253">
        <f>IF(240&lt;$U$9,SUMPRODUCT(($D$10:$L$10&lt;&gt;"")*(($D$9:$L$9+INT(($S$12:$AA$12+INDEX($AJ$13:$AR$162,BN253,0)+INDEX($AT$13:$BB$162,BO253,0)+INDEX($BD$13:$BL$162,BP253,0))/100))&gt;=$D$10:$L$10)),0)</f>
        <v/>
      </c>
      <c r="BR253">
        <f>IF(240&lt;$U$9,SUMPRODUCT(($D$10:$L$10&lt;&gt;"")*(($D$10:$L$10-($D$9:$L$9+INT(($S$12:$AA$12+INDEX($AJ$13:$AR$162,BN253,0)+INDEX($AT$13:$BB$162,BO253,0)+INDEX($BD$13:$BL$162,BP253,0))/100)))&gt;0)*($D$10:$L$10-($D$9:$L$9+INT(($S$12:$AA$12+INDEX($AJ$13:$AR$162,BN253,0)+INDEX($AT$13:$BB$162,BO253,0)+INDEX($BD$13:$BL$162,BP253,0))/100)))),0)</f>
        <v/>
      </c>
      <c r="BS253">
        <f>IF(240&lt;$U$9,SUMPRODUCT(($D$9:$L$9+INT(($S$12:$AA$12+INDEX($AJ$13:$AR$162,BN253,0)+INDEX($AT$13:$BB$162,BO253,0)+INDEX($BD$13:$BL$162,BP253,0))/100))),0)</f>
        <v/>
      </c>
      <c r="BT253">
        <f>IF(AND(240&lt;$U$9,$W$5),BQ253*1000000-MIN(BR253,999)*1000+BS253-240/100000,-1000000000-240)</f>
        <v/>
      </c>
    </row>
    <row r="254">
      <c r="BN254">
        <f>IF(241&lt;$U$9,INT(241/($U$7*$U$8))+1,1)</f>
        <v/>
      </c>
      <c r="BO254">
        <f>IF(241&lt;$U$9,MOD(INT(241/$U$8),$U$7)+1,1)</f>
        <v/>
      </c>
      <c r="BP254">
        <f>IF(241&lt;$U$9,MOD(241,$U$8)+1,1)</f>
        <v/>
      </c>
      <c r="BQ254">
        <f>IF(241&lt;$U$9,SUMPRODUCT(($D$10:$L$10&lt;&gt;"")*(($D$9:$L$9+INT(($S$12:$AA$12+INDEX($AJ$13:$AR$162,BN254,0)+INDEX($AT$13:$BB$162,BO254,0)+INDEX($BD$13:$BL$162,BP254,0))/100))&gt;=$D$10:$L$10)),0)</f>
        <v/>
      </c>
      <c r="BR254">
        <f>IF(241&lt;$U$9,SUMPRODUCT(($D$10:$L$10&lt;&gt;"")*(($D$10:$L$10-($D$9:$L$9+INT(($S$12:$AA$12+INDEX($AJ$13:$AR$162,BN254,0)+INDEX($AT$13:$BB$162,BO254,0)+INDEX($BD$13:$BL$162,BP254,0))/100)))&gt;0)*($D$10:$L$10-($D$9:$L$9+INT(($S$12:$AA$12+INDEX($AJ$13:$AR$162,BN254,0)+INDEX($AT$13:$BB$162,BO254,0)+INDEX($BD$13:$BL$162,BP254,0))/100)))),0)</f>
        <v/>
      </c>
      <c r="BS254">
        <f>IF(241&lt;$U$9,SUMPRODUCT(($D$9:$L$9+INT(($S$12:$AA$12+INDEX($AJ$13:$AR$162,BN254,0)+INDEX($AT$13:$BB$162,BO254,0)+INDEX($BD$13:$BL$162,BP254,0))/100))),0)</f>
        <v/>
      </c>
      <c r="BT254">
        <f>IF(AND(241&lt;$U$9,$W$5),BQ254*1000000-MIN(BR254,999)*1000+BS254-241/100000,-1000000000-241)</f>
        <v/>
      </c>
    </row>
    <row r="255">
      <c r="BN255">
        <f>IF(242&lt;$U$9,INT(242/($U$7*$U$8))+1,1)</f>
        <v/>
      </c>
      <c r="BO255">
        <f>IF(242&lt;$U$9,MOD(INT(242/$U$8),$U$7)+1,1)</f>
        <v/>
      </c>
      <c r="BP255">
        <f>IF(242&lt;$U$9,MOD(242,$U$8)+1,1)</f>
        <v/>
      </c>
      <c r="BQ255">
        <f>IF(242&lt;$U$9,SUMPRODUCT(($D$10:$L$10&lt;&gt;"")*(($D$9:$L$9+INT(($S$12:$AA$12+INDEX($AJ$13:$AR$162,BN255,0)+INDEX($AT$13:$BB$162,BO255,0)+INDEX($BD$13:$BL$162,BP255,0))/100))&gt;=$D$10:$L$10)),0)</f>
        <v/>
      </c>
      <c r="BR255">
        <f>IF(242&lt;$U$9,SUMPRODUCT(($D$10:$L$10&lt;&gt;"")*(($D$10:$L$10-($D$9:$L$9+INT(($S$12:$AA$12+INDEX($AJ$13:$AR$162,BN255,0)+INDEX($AT$13:$BB$162,BO255,0)+INDEX($BD$13:$BL$162,BP255,0))/100)))&gt;0)*($D$10:$L$10-($D$9:$L$9+INT(($S$12:$AA$12+INDEX($AJ$13:$AR$162,BN255,0)+INDEX($AT$13:$BB$162,BO255,0)+INDEX($BD$13:$BL$162,BP255,0))/100)))),0)</f>
        <v/>
      </c>
      <c r="BS255">
        <f>IF(242&lt;$U$9,SUMPRODUCT(($D$9:$L$9+INT(($S$12:$AA$12+INDEX($AJ$13:$AR$162,BN255,0)+INDEX($AT$13:$BB$162,BO255,0)+INDEX($BD$13:$BL$162,BP255,0))/100))),0)</f>
        <v/>
      </c>
      <c r="BT255">
        <f>IF(AND(242&lt;$U$9,$W$5),BQ255*1000000-MIN(BR255,999)*1000+BS255-242/100000,-1000000000-242)</f>
        <v/>
      </c>
    </row>
    <row r="256">
      <c r="BN256">
        <f>IF(243&lt;$U$9,INT(243/($U$7*$U$8))+1,1)</f>
        <v/>
      </c>
      <c r="BO256">
        <f>IF(243&lt;$U$9,MOD(INT(243/$U$8),$U$7)+1,1)</f>
        <v/>
      </c>
      <c r="BP256">
        <f>IF(243&lt;$U$9,MOD(243,$U$8)+1,1)</f>
        <v/>
      </c>
      <c r="BQ256">
        <f>IF(243&lt;$U$9,SUMPRODUCT(($D$10:$L$10&lt;&gt;"")*(($D$9:$L$9+INT(($S$12:$AA$12+INDEX($AJ$13:$AR$162,BN256,0)+INDEX($AT$13:$BB$162,BO256,0)+INDEX($BD$13:$BL$162,BP256,0))/100))&gt;=$D$10:$L$10)),0)</f>
        <v/>
      </c>
      <c r="BR256">
        <f>IF(243&lt;$U$9,SUMPRODUCT(($D$10:$L$10&lt;&gt;"")*(($D$10:$L$10-($D$9:$L$9+INT(($S$12:$AA$12+INDEX($AJ$13:$AR$162,BN256,0)+INDEX($AT$13:$BB$162,BO256,0)+INDEX($BD$13:$BL$162,BP256,0))/100)))&gt;0)*($D$10:$L$10-($D$9:$L$9+INT(($S$12:$AA$12+INDEX($AJ$13:$AR$162,BN256,0)+INDEX($AT$13:$BB$162,BO256,0)+INDEX($BD$13:$BL$162,BP256,0))/100)))),0)</f>
        <v/>
      </c>
      <c r="BS256">
        <f>IF(243&lt;$U$9,SUMPRODUCT(($D$9:$L$9+INT(($S$12:$AA$12+INDEX($AJ$13:$AR$162,BN256,0)+INDEX($AT$13:$BB$162,BO256,0)+INDEX($BD$13:$BL$162,BP256,0))/100))),0)</f>
        <v/>
      </c>
      <c r="BT256">
        <f>IF(AND(243&lt;$U$9,$W$5),BQ256*1000000-MIN(BR256,999)*1000+BS256-243/100000,-1000000000-243)</f>
        <v/>
      </c>
    </row>
    <row r="257">
      <c r="BN257">
        <f>IF(244&lt;$U$9,INT(244/($U$7*$U$8))+1,1)</f>
        <v/>
      </c>
      <c r="BO257">
        <f>IF(244&lt;$U$9,MOD(INT(244/$U$8),$U$7)+1,1)</f>
        <v/>
      </c>
      <c r="BP257">
        <f>IF(244&lt;$U$9,MOD(244,$U$8)+1,1)</f>
        <v/>
      </c>
      <c r="BQ257">
        <f>IF(244&lt;$U$9,SUMPRODUCT(($D$10:$L$10&lt;&gt;"")*(($D$9:$L$9+INT(($S$12:$AA$12+INDEX($AJ$13:$AR$162,BN257,0)+INDEX($AT$13:$BB$162,BO257,0)+INDEX($BD$13:$BL$162,BP257,0))/100))&gt;=$D$10:$L$10)),0)</f>
        <v/>
      </c>
      <c r="BR257">
        <f>IF(244&lt;$U$9,SUMPRODUCT(($D$10:$L$10&lt;&gt;"")*(($D$10:$L$10-($D$9:$L$9+INT(($S$12:$AA$12+INDEX($AJ$13:$AR$162,BN257,0)+INDEX($AT$13:$BB$162,BO257,0)+INDEX($BD$13:$BL$162,BP257,0))/100)))&gt;0)*($D$10:$L$10-($D$9:$L$9+INT(($S$12:$AA$12+INDEX($AJ$13:$AR$162,BN257,0)+INDEX($AT$13:$BB$162,BO257,0)+INDEX($BD$13:$BL$162,BP257,0))/100)))),0)</f>
        <v/>
      </c>
      <c r="BS257">
        <f>IF(244&lt;$U$9,SUMPRODUCT(($D$9:$L$9+INT(($S$12:$AA$12+INDEX($AJ$13:$AR$162,BN257,0)+INDEX($AT$13:$BB$162,BO257,0)+INDEX($BD$13:$BL$162,BP257,0))/100))),0)</f>
        <v/>
      </c>
      <c r="BT257">
        <f>IF(AND(244&lt;$U$9,$W$5),BQ257*1000000-MIN(BR257,999)*1000+BS257-244/100000,-1000000000-244)</f>
        <v/>
      </c>
    </row>
    <row r="258">
      <c r="BN258">
        <f>IF(245&lt;$U$9,INT(245/($U$7*$U$8))+1,1)</f>
        <v/>
      </c>
      <c r="BO258">
        <f>IF(245&lt;$U$9,MOD(INT(245/$U$8),$U$7)+1,1)</f>
        <v/>
      </c>
      <c r="BP258">
        <f>IF(245&lt;$U$9,MOD(245,$U$8)+1,1)</f>
        <v/>
      </c>
      <c r="BQ258">
        <f>IF(245&lt;$U$9,SUMPRODUCT(($D$10:$L$10&lt;&gt;"")*(($D$9:$L$9+INT(($S$12:$AA$12+INDEX($AJ$13:$AR$162,BN258,0)+INDEX($AT$13:$BB$162,BO258,0)+INDEX($BD$13:$BL$162,BP258,0))/100))&gt;=$D$10:$L$10)),0)</f>
        <v/>
      </c>
      <c r="BR258">
        <f>IF(245&lt;$U$9,SUMPRODUCT(($D$10:$L$10&lt;&gt;"")*(($D$10:$L$10-($D$9:$L$9+INT(($S$12:$AA$12+INDEX($AJ$13:$AR$162,BN258,0)+INDEX($AT$13:$BB$162,BO258,0)+INDEX($BD$13:$BL$162,BP258,0))/100)))&gt;0)*($D$10:$L$10-($D$9:$L$9+INT(($S$12:$AA$12+INDEX($AJ$13:$AR$162,BN258,0)+INDEX($AT$13:$BB$162,BO258,0)+INDEX($BD$13:$BL$162,BP258,0))/100)))),0)</f>
        <v/>
      </c>
      <c r="BS258">
        <f>IF(245&lt;$U$9,SUMPRODUCT(($D$9:$L$9+INT(($S$12:$AA$12+INDEX($AJ$13:$AR$162,BN258,0)+INDEX($AT$13:$BB$162,BO258,0)+INDEX($BD$13:$BL$162,BP258,0))/100))),0)</f>
        <v/>
      </c>
      <c r="BT258">
        <f>IF(AND(245&lt;$U$9,$W$5),BQ258*1000000-MIN(BR258,999)*1000+BS258-245/100000,-1000000000-245)</f>
        <v/>
      </c>
    </row>
    <row r="259">
      <c r="BN259">
        <f>IF(246&lt;$U$9,INT(246/($U$7*$U$8))+1,1)</f>
        <v/>
      </c>
      <c r="BO259">
        <f>IF(246&lt;$U$9,MOD(INT(246/$U$8),$U$7)+1,1)</f>
        <v/>
      </c>
      <c r="BP259">
        <f>IF(246&lt;$U$9,MOD(246,$U$8)+1,1)</f>
        <v/>
      </c>
      <c r="BQ259">
        <f>IF(246&lt;$U$9,SUMPRODUCT(($D$10:$L$10&lt;&gt;"")*(($D$9:$L$9+INT(($S$12:$AA$12+INDEX($AJ$13:$AR$162,BN259,0)+INDEX($AT$13:$BB$162,BO259,0)+INDEX($BD$13:$BL$162,BP259,0))/100))&gt;=$D$10:$L$10)),0)</f>
        <v/>
      </c>
      <c r="BR259">
        <f>IF(246&lt;$U$9,SUMPRODUCT(($D$10:$L$10&lt;&gt;"")*(($D$10:$L$10-($D$9:$L$9+INT(($S$12:$AA$12+INDEX($AJ$13:$AR$162,BN259,0)+INDEX($AT$13:$BB$162,BO259,0)+INDEX($BD$13:$BL$162,BP259,0))/100)))&gt;0)*($D$10:$L$10-($D$9:$L$9+INT(($S$12:$AA$12+INDEX($AJ$13:$AR$162,BN259,0)+INDEX($AT$13:$BB$162,BO259,0)+INDEX($BD$13:$BL$162,BP259,0))/100)))),0)</f>
        <v/>
      </c>
      <c r="BS259">
        <f>IF(246&lt;$U$9,SUMPRODUCT(($D$9:$L$9+INT(($S$12:$AA$12+INDEX($AJ$13:$AR$162,BN259,0)+INDEX($AT$13:$BB$162,BO259,0)+INDEX($BD$13:$BL$162,BP259,0))/100))),0)</f>
        <v/>
      </c>
      <c r="BT259">
        <f>IF(AND(246&lt;$U$9,$W$5),BQ259*1000000-MIN(BR259,999)*1000+BS259-246/100000,-1000000000-246)</f>
        <v/>
      </c>
    </row>
    <row r="260">
      <c r="BN260">
        <f>IF(247&lt;$U$9,INT(247/($U$7*$U$8))+1,1)</f>
        <v/>
      </c>
      <c r="BO260">
        <f>IF(247&lt;$U$9,MOD(INT(247/$U$8),$U$7)+1,1)</f>
        <v/>
      </c>
      <c r="BP260">
        <f>IF(247&lt;$U$9,MOD(247,$U$8)+1,1)</f>
        <v/>
      </c>
      <c r="BQ260">
        <f>IF(247&lt;$U$9,SUMPRODUCT(($D$10:$L$10&lt;&gt;"")*(($D$9:$L$9+INT(($S$12:$AA$12+INDEX($AJ$13:$AR$162,BN260,0)+INDEX($AT$13:$BB$162,BO260,0)+INDEX($BD$13:$BL$162,BP260,0))/100))&gt;=$D$10:$L$10)),0)</f>
        <v/>
      </c>
      <c r="BR260">
        <f>IF(247&lt;$U$9,SUMPRODUCT(($D$10:$L$10&lt;&gt;"")*(($D$10:$L$10-($D$9:$L$9+INT(($S$12:$AA$12+INDEX($AJ$13:$AR$162,BN260,0)+INDEX($AT$13:$BB$162,BO260,0)+INDEX($BD$13:$BL$162,BP260,0))/100)))&gt;0)*($D$10:$L$10-($D$9:$L$9+INT(($S$12:$AA$12+INDEX($AJ$13:$AR$162,BN260,0)+INDEX($AT$13:$BB$162,BO260,0)+INDEX($BD$13:$BL$162,BP260,0))/100)))),0)</f>
        <v/>
      </c>
      <c r="BS260">
        <f>IF(247&lt;$U$9,SUMPRODUCT(($D$9:$L$9+INT(($S$12:$AA$12+INDEX($AJ$13:$AR$162,BN260,0)+INDEX($AT$13:$BB$162,BO260,0)+INDEX($BD$13:$BL$162,BP260,0))/100))),0)</f>
        <v/>
      </c>
      <c r="BT260">
        <f>IF(AND(247&lt;$U$9,$W$5),BQ260*1000000-MIN(BR260,999)*1000+BS260-247/100000,-1000000000-247)</f>
        <v/>
      </c>
    </row>
    <row r="261">
      <c r="BN261">
        <f>IF(248&lt;$U$9,INT(248/($U$7*$U$8))+1,1)</f>
        <v/>
      </c>
      <c r="BO261">
        <f>IF(248&lt;$U$9,MOD(INT(248/$U$8),$U$7)+1,1)</f>
        <v/>
      </c>
      <c r="BP261">
        <f>IF(248&lt;$U$9,MOD(248,$U$8)+1,1)</f>
        <v/>
      </c>
      <c r="BQ261">
        <f>IF(248&lt;$U$9,SUMPRODUCT(($D$10:$L$10&lt;&gt;"")*(($D$9:$L$9+INT(($S$12:$AA$12+INDEX($AJ$13:$AR$162,BN261,0)+INDEX($AT$13:$BB$162,BO261,0)+INDEX($BD$13:$BL$162,BP261,0))/100))&gt;=$D$10:$L$10)),0)</f>
        <v/>
      </c>
      <c r="BR261">
        <f>IF(248&lt;$U$9,SUMPRODUCT(($D$10:$L$10&lt;&gt;"")*(($D$10:$L$10-($D$9:$L$9+INT(($S$12:$AA$12+INDEX($AJ$13:$AR$162,BN261,0)+INDEX($AT$13:$BB$162,BO261,0)+INDEX($BD$13:$BL$162,BP261,0))/100)))&gt;0)*($D$10:$L$10-($D$9:$L$9+INT(($S$12:$AA$12+INDEX($AJ$13:$AR$162,BN261,0)+INDEX($AT$13:$BB$162,BO261,0)+INDEX($BD$13:$BL$162,BP261,0))/100)))),0)</f>
        <v/>
      </c>
      <c r="BS261">
        <f>IF(248&lt;$U$9,SUMPRODUCT(($D$9:$L$9+INT(($S$12:$AA$12+INDEX($AJ$13:$AR$162,BN261,0)+INDEX($AT$13:$BB$162,BO261,0)+INDEX($BD$13:$BL$162,BP261,0))/100))),0)</f>
        <v/>
      </c>
      <c r="BT261">
        <f>IF(AND(248&lt;$U$9,$W$5),BQ261*1000000-MIN(BR261,999)*1000+BS261-248/100000,-1000000000-248)</f>
        <v/>
      </c>
    </row>
    <row r="262">
      <c r="BN262">
        <f>IF(249&lt;$U$9,INT(249/($U$7*$U$8))+1,1)</f>
        <v/>
      </c>
      <c r="BO262">
        <f>IF(249&lt;$U$9,MOD(INT(249/$U$8),$U$7)+1,1)</f>
        <v/>
      </c>
      <c r="BP262">
        <f>IF(249&lt;$U$9,MOD(249,$U$8)+1,1)</f>
        <v/>
      </c>
      <c r="BQ262">
        <f>IF(249&lt;$U$9,SUMPRODUCT(($D$10:$L$10&lt;&gt;"")*(($D$9:$L$9+INT(($S$12:$AA$12+INDEX($AJ$13:$AR$162,BN262,0)+INDEX($AT$13:$BB$162,BO262,0)+INDEX($BD$13:$BL$162,BP262,0))/100))&gt;=$D$10:$L$10)),0)</f>
        <v/>
      </c>
      <c r="BR262">
        <f>IF(249&lt;$U$9,SUMPRODUCT(($D$10:$L$10&lt;&gt;"")*(($D$10:$L$10-($D$9:$L$9+INT(($S$12:$AA$12+INDEX($AJ$13:$AR$162,BN262,0)+INDEX($AT$13:$BB$162,BO262,0)+INDEX($BD$13:$BL$162,BP262,0))/100)))&gt;0)*($D$10:$L$10-($D$9:$L$9+INT(($S$12:$AA$12+INDEX($AJ$13:$AR$162,BN262,0)+INDEX($AT$13:$BB$162,BO262,0)+INDEX($BD$13:$BL$162,BP262,0))/100)))),0)</f>
        <v/>
      </c>
      <c r="BS262">
        <f>IF(249&lt;$U$9,SUMPRODUCT(($D$9:$L$9+INT(($S$12:$AA$12+INDEX($AJ$13:$AR$162,BN262,0)+INDEX($AT$13:$BB$162,BO262,0)+INDEX($BD$13:$BL$162,BP262,0))/100))),0)</f>
        <v/>
      </c>
      <c r="BT262">
        <f>IF(AND(249&lt;$U$9,$W$5),BQ262*1000000-MIN(BR262,999)*1000+BS262-249/100000,-1000000000-249)</f>
        <v/>
      </c>
    </row>
    <row r="263">
      <c r="BN263">
        <f>IF(250&lt;$U$9,INT(250/($U$7*$U$8))+1,1)</f>
        <v/>
      </c>
      <c r="BO263">
        <f>IF(250&lt;$U$9,MOD(INT(250/$U$8),$U$7)+1,1)</f>
        <v/>
      </c>
      <c r="BP263">
        <f>IF(250&lt;$U$9,MOD(250,$U$8)+1,1)</f>
        <v/>
      </c>
      <c r="BQ263">
        <f>IF(250&lt;$U$9,SUMPRODUCT(($D$10:$L$10&lt;&gt;"")*(($D$9:$L$9+INT(($S$12:$AA$12+INDEX($AJ$13:$AR$162,BN263,0)+INDEX($AT$13:$BB$162,BO263,0)+INDEX($BD$13:$BL$162,BP263,0))/100))&gt;=$D$10:$L$10)),0)</f>
        <v/>
      </c>
      <c r="BR263">
        <f>IF(250&lt;$U$9,SUMPRODUCT(($D$10:$L$10&lt;&gt;"")*(($D$10:$L$10-($D$9:$L$9+INT(($S$12:$AA$12+INDEX($AJ$13:$AR$162,BN263,0)+INDEX($AT$13:$BB$162,BO263,0)+INDEX($BD$13:$BL$162,BP263,0))/100)))&gt;0)*($D$10:$L$10-($D$9:$L$9+INT(($S$12:$AA$12+INDEX($AJ$13:$AR$162,BN263,0)+INDEX($AT$13:$BB$162,BO263,0)+INDEX($BD$13:$BL$162,BP263,0))/100)))),0)</f>
        <v/>
      </c>
      <c r="BS263">
        <f>IF(250&lt;$U$9,SUMPRODUCT(($D$9:$L$9+INT(($S$12:$AA$12+INDEX($AJ$13:$AR$162,BN263,0)+INDEX($AT$13:$BB$162,BO263,0)+INDEX($BD$13:$BL$162,BP263,0))/100))),0)</f>
        <v/>
      </c>
      <c r="BT263">
        <f>IF(AND(250&lt;$U$9,$W$5),BQ263*1000000-MIN(BR263,999)*1000+BS263-250/100000,-1000000000-250)</f>
        <v/>
      </c>
    </row>
    <row r="264">
      <c r="BN264">
        <f>IF(251&lt;$U$9,INT(251/($U$7*$U$8))+1,1)</f>
        <v/>
      </c>
      <c r="BO264">
        <f>IF(251&lt;$U$9,MOD(INT(251/$U$8),$U$7)+1,1)</f>
        <v/>
      </c>
      <c r="BP264">
        <f>IF(251&lt;$U$9,MOD(251,$U$8)+1,1)</f>
        <v/>
      </c>
      <c r="BQ264">
        <f>IF(251&lt;$U$9,SUMPRODUCT(($D$10:$L$10&lt;&gt;"")*(($D$9:$L$9+INT(($S$12:$AA$12+INDEX($AJ$13:$AR$162,BN264,0)+INDEX($AT$13:$BB$162,BO264,0)+INDEX($BD$13:$BL$162,BP264,0))/100))&gt;=$D$10:$L$10)),0)</f>
        <v/>
      </c>
      <c r="BR264">
        <f>IF(251&lt;$U$9,SUMPRODUCT(($D$10:$L$10&lt;&gt;"")*(($D$10:$L$10-($D$9:$L$9+INT(($S$12:$AA$12+INDEX($AJ$13:$AR$162,BN264,0)+INDEX($AT$13:$BB$162,BO264,0)+INDEX($BD$13:$BL$162,BP264,0))/100)))&gt;0)*($D$10:$L$10-($D$9:$L$9+INT(($S$12:$AA$12+INDEX($AJ$13:$AR$162,BN264,0)+INDEX($AT$13:$BB$162,BO264,0)+INDEX($BD$13:$BL$162,BP264,0))/100)))),0)</f>
        <v/>
      </c>
      <c r="BS264">
        <f>IF(251&lt;$U$9,SUMPRODUCT(($D$9:$L$9+INT(($S$12:$AA$12+INDEX($AJ$13:$AR$162,BN264,0)+INDEX($AT$13:$BB$162,BO264,0)+INDEX($BD$13:$BL$162,BP264,0))/100))),0)</f>
        <v/>
      </c>
      <c r="BT264">
        <f>IF(AND(251&lt;$U$9,$W$5),BQ264*1000000-MIN(BR264,999)*1000+BS264-251/100000,-1000000000-251)</f>
        <v/>
      </c>
    </row>
    <row r="265">
      <c r="BN265">
        <f>IF(252&lt;$U$9,INT(252/($U$7*$U$8))+1,1)</f>
        <v/>
      </c>
      <c r="BO265">
        <f>IF(252&lt;$U$9,MOD(INT(252/$U$8),$U$7)+1,1)</f>
        <v/>
      </c>
      <c r="BP265">
        <f>IF(252&lt;$U$9,MOD(252,$U$8)+1,1)</f>
        <v/>
      </c>
      <c r="BQ265">
        <f>IF(252&lt;$U$9,SUMPRODUCT(($D$10:$L$10&lt;&gt;"")*(($D$9:$L$9+INT(($S$12:$AA$12+INDEX($AJ$13:$AR$162,BN265,0)+INDEX($AT$13:$BB$162,BO265,0)+INDEX($BD$13:$BL$162,BP265,0))/100))&gt;=$D$10:$L$10)),0)</f>
        <v/>
      </c>
      <c r="BR265">
        <f>IF(252&lt;$U$9,SUMPRODUCT(($D$10:$L$10&lt;&gt;"")*(($D$10:$L$10-($D$9:$L$9+INT(($S$12:$AA$12+INDEX($AJ$13:$AR$162,BN265,0)+INDEX($AT$13:$BB$162,BO265,0)+INDEX($BD$13:$BL$162,BP265,0))/100)))&gt;0)*($D$10:$L$10-($D$9:$L$9+INT(($S$12:$AA$12+INDEX($AJ$13:$AR$162,BN265,0)+INDEX($AT$13:$BB$162,BO265,0)+INDEX($BD$13:$BL$162,BP265,0))/100)))),0)</f>
        <v/>
      </c>
      <c r="BS265">
        <f>IF(252&lt;$U$9,SUMPRODUCT(($D$9:$L$9+INT(($S$12:$AA$12+INDEX($AJ$13:$AR$162,BN265,0)+INDEX($AT$13:$BB$162,BO265,0)+INDEX($BD$13:$BL$162,BP265,0))/100))),0)</f>
        <v/>
      </c>
      <c r="BT265">
        <f>IF(AND(252&lt;$U$9,$W$5),BQ265*1000000-MIN(BR265,999)*1000+BS265-252/100000,-1000000000-252)</f>
        <v/>
      </c>
    </row>
    <row r="266">
      <c r="BN266">
        <f>IF(253&lt;$U$9,INT(253/($U$7*$U$8))+1,1)</f>
        <v/>
      </c>
      <c r="BO266">
        <f>IF(253&lt;$U$9,MOD(INT(253/$U$8),$U$7)+1,1)</f>
        <v/>
      </c>
      <c r="BP266">
        <f>IF(253&lt;$U$9,MOD(253,$U$8)+1,1)</f>
        <v/>
      </c>
      <c r="BQ266">
        <f>IF(253&lt;$U$9,SUMPRODUCT(($D$10:$L$10&lt;&gt;"")*(($D$9:$L$9+INT(($S$12:$AA$12+INDEX($AJ$13:$AR$162,BN266,0)+INDEX($AT$13:$BB$162,BO266,0)+INDEX($BD$13:$BL$162,BP266,0))/100))&gt;=$D$10:$L$10)),0)</f>
        <v/>
      </c>
      <c r="BR266">
        <f>IF(253&lt;$U$9,SUMPRODUCT(($D$10:$L$10&lt;&gt;"")*(($D$10:$L$10-($D$9:$L$9+INT(($S$12:$AA$12+INDEX($AJ$13:$AR$162,BN266,0)+INDEX($AT$13:$BB$162,BO266,0)+INDEX($BD$13:$BL$162,BP266,0))/100)))&gt;0)*($D$10:$L$10-($D$9:$L$9+INT(($S$12:$AA$12+INDEX($AJ$13:$AR$162,BN266,0)+INDEX($AT$13:$BB$162,BO266,0)+INDEX($BD$13:$BL$162,BP266,0))/100)))),0)</f>
        <v/>
      </c>
      <c r="BS266">
        <f>IF(253&lt;$U$9,SUMPRODUCT(($D$9:$L$9+INT(($S$12:$AA$12+INDEX($AJ$13:$AR$162,BN266,0)+INDEX($AT$13:$BB$162,BO266,0)+INDEX($BD$13:$BL$162,BP266,0))/100))),0)</f>
        <v/>
      </c>
      <c r="BT266">
        <f>IF(AND(253&lt;$U$9,$W$5),BQ266*1000000-MIN(BR266,999)*1000+BS266-253/100000,-1000000000-253)</f>
        <v/>
      </c>
    </row>
    <row r="267">
      <c r="BN267">
        <f>IF(254&lt;$U$9,INT(254/($U$7*$U$8))+1,1)</f>
        <v/>
      </c>
      <c r="BO267">
        <f>IF(254&lt;$U$9,MOD(INT(254/$U$8),$U$7)+1,1)</f>
        <v/>
      </c>
      <c r="BP267">
        <f>IF(254&lt;$U$9,MOD(254,$U$8)+1,1)</f>
        <v/>
      </c>
      <c r="BQ267">
        <f>IF(254&lt;$U$9,SUMPRODUCT(($D$10:$L$10&lt;&gt;"")*(($D$9:$L$9+INT(($S$12:$AA$12+INDEX($AJ$13:$AR$162,BN267,0)+INDEX($AT$13:$BB$162,BO267,0)+INDEX($BD$13:$BL$162,BP267,0))/100))&gt;=$D$10:$L$10)),0)</f>
        <v/>
      </c>
      <c r="BR267">
        <f>IF(254&lt;$U$9,SUMPRODUCT(($D$10:$L$10&lt;&gt;"")*(($D$10:$L$10-($D$9:$L$9+INT(($S$12:$AA$12+INDEX($AJ$13:$AR$162,BN267,0)+INDEX($AT$13:$BB$162,BO267,0)+INDEX($BD$13:$BL$162,BP267,0))/100)))&gt;0)*($D$10:$L$10-($D$9:$L$9+INT(($S$12:$AA$12+INDEX($AJ$13:$AR$162,BN267,0)+INDEX($AT$13:$BB$162,BO267,0)+INDEX($BD$13:$BL$162,BP267,0))/100)))),0)</f>
        <v/>
      </c>
      <c r="BS267">
        <f>IF(254&lt;$U$9,SUMPRODUCT(($D$9:$L$9+INT(($S$12:$AA$12+INDEX($AJ$13:$AR$162,BN267,0)+INDEX($AT$13:$BB$162,BO267,0)+INDEX($BD$13:$BL$162,BP267,0))/100))),0)</f>
        <v/>
      </c>
      <c r="BT267">
        <f>IF(AND(254&lt;$U$9,$W$5),BQ267*1000000-MIN(BR267,999)*1000+BS267-254/100000,-1000000000-254)</f>
        <v/>
      </c>
    </row>
    <row r="268">
      <c r="BN268">
        <f>IF(255&lt;$U$9,INT(255/($U$7*$U$8))+1,1)</f>
        <v/>
      </c>
      <c r="BO268">
        <f>IF(255&lt;$U$9,MOD(INT(255/$U$8),$U$7)+1,1)</f>
        <v/>
      </c>
      <c r="BP268">
        <f>IF(255&lt;$U$9,MOD(255,$U$8)+1,1)</f>
        <v/>
      </c>
      <c r="BQ268">
        <f>IF(255&lt;$U$9,SUMPRODUCT(($D$10:$L$10&lt;&gt;"")*(($D$9:$L$9+INT(($S$12:$AA$12+INDEX($AJ$13:$AR$162,BN268,0)+INDEX($AT$13:$BB$162,BO268,0)+INDEX($BD$13:$BL$162,BP268,0))/100))&gt;=$D$10:$L$10)),0)</f>
        <v/>
      </c>
      <c r="BR268">
        <f>IF(255&lt;$U$9,SUMPRODUCT(($D$10:$L$10&lt;&gt;"")*(($D$10:$L$10-($D$9:$L$9+INT(($S$12:$AA$12+INDEX($AJ$13:$AR$162,BN268,0)+INDEX($AT$13:$BB$162,BO268,0)+INDEX($BD$13:$BL$162,BP268,0))/100)))&gt;0)*($D$10:$L$10-($D$9:$L$9+INT(($S$12:$AA$12+INDEX($AJ$13:$AR$162,BN268,0)+INDEX($AT$13:$BB$162,BO268,0)+INDEX($BD$13:$BL$162,BP268,0))/100)))),0)</f>
        <v/>
      </c>
      <c r="BS268">
        <f>IF(255&lt;$U$9,SUMPRODUCT(($D$9:$L$9+INT(($S$12:$AA$12+INDEX($AJ$13:$AR$162,BN268,0)+INDEX($AT$13:$BB$162,BO268,0)+INDEX($BD$13:$BL$162,BP268,0))/100))),0)</f>
        <v/>
      </c>
      <c r="BT268">
        <f>IF(AND(255&lt;$U$9,$W$5),BQ268*1000000-MIN(BR268,999)*1000+BS268-255/100000,-1000000000-255)</f>
        <v/>
      </c>
    </row>
    <row r="269">
      <c r="BN269">
        <f>IF(256&lt;$U$9,INT(256/($U$7*$U$8))+1,1)</f>
        <v/>
      </c>
      <c r="BO269">
        <f>IF(256&lt;$U$9,MOD(INT(256/$U$8),$U$7)+1,1)</f>
        <v/>
      </c>
      <c r="BP269">
        <f>IF(256&lt;$U$9,MOD(256,$U$8)+1,1)</f>
        <v/>
      </c>
      <c r="BQ269">
        <f>IF(256&lt;$U$9,SUMPRODUCT(($D$10:$L$10&lt;&gt;"")*(($D$9:$L$9+INT(($S$12:$AA$12+INDEX($AJ$13:$AR$162,BN269,0)+INDEX($AT$13:$BB$162,BO269,0)+INDEX($BD$13:$BL$162,BP269,0))/100))&gt;=$D$10:$L$10)),0)</f>
        <v/>
      </c>
      <c r="BR269">
        <f>IF(256&lt;$U$9,SUMPRODUCT(($D$10:$L$10&lt;&gt;"")*(($D$10:$L$10-($D$9:$L$9+INT(($S$12:$AA$12+INDEX($AJ$13:$AR$162,BN269,0)+INDEX($AT$13:$BB$162,BO269,0)+INDEX($BD$13:$BL$162,BP269,0))/100)))&gt;0)*($D$10:$L$10-($D$9:$L$9+INT(($S$12:$AA$12+INDEX($AJ$13:$AR$162,BN269,0)+INDEX($AT$13:$BB$162,BO269,0)+INDEX($BD$13:$BL$162,BP269,0))/100)))),0)</f>
        <v/>
      </c>
      <c r="BS269">
        <f>IF(256&lt;$U$9,SUMPRODUCT(($D$9:$L$9+INT(($S$12:$AA$12+INDEX($AJ$13:$AR$162,BN269,0)+INDEX($AT$13:$BB$162,BO269,0)+INDEX($BD$13:$BL$162,BP269,0))/100))),0)</f>
        <v/>
      </c>
      <c r="BT269">
        <f>IF(AND(256&lt;$U$9,$W$5),BQ269*1000000-MIN(BR269,999)*1000+BS269-256/100000,-1000000000-256)</f>
        <v/>
      </c>
    </row>
    <row r="270">
      <c r="BN270">
        <f>IF(257&lt;$U$9,INT(257/($U$7*$U$8))+1,1)</f>
        <v/>
      </c>
      <c r="BO270">
        <f>IF(257&lt;$U$9,MOD(INT(257/$U$8),$U$7)+1,1)</f>
        <v/>
      </c>
      <c r="BP270">
        <f>IF(257&lt;$U$9,MOD(257,$U$8)+1,1)</f>
        <v/>
      </c>
      <c r="BQ270">
        <f>IF(257&lt;$U$9,SUMPRODUCT(($D$10:$L$10&lt;&gt;"")*(($D$9:$L$9+INT(($S$12:$AA$12+INDEX($AJ$13:$AR$162,BN270,0)+INDEX($AT$13:$BB$162,BO270,0)+INDEX($BD$13:$BL$162,BP270,0))/100))&gt;=$D$10:$L$10)),0)</f>
        <v/>
      </c>
      <c r="BR270">
        <f>IF(257&lt;$U$9,SUMPRODUCT(($D$10:$L$10&lt;&gt;"")*(($D$10:$L$10-($D$9:$L$9+INT(($S$12:$AA$12+INDEX($AJ$13:$AR$162,BN270,0)+INDEX($AT$13:$BB$162,BO270,0)+INDEX($BD$13:$BL$162,BP270,0))/100)))&gt;0)*($D$10:$L$10-($D$9:$L$9+INT(($S$12:$AA$12+INDEX($AJ$13:$AR$162,BN270,0)+INDEX($AT$13:$BB$162,BO270,0)+INDEX($BD$13:$BL$162,BP270,0))/100)))),0)</f>
        <v/>
      </c>
      <c r="BS270">
        <f>IF(257&lt;$U$9,SUMPRODUCT(($D$9:$L$9+INT(($S$12:$AA$12+INDEX($AJ$13:$AR$162,BN270,0)+INDEX($AT$13:$BB$162,BO270,0)+INDEX($BD$13:$BL$162,BP270,0))/100))),0)</f>
        <v/>
      </c>
      <c r="BT270">
        <f>IF(AND(257&lt;$U$9,$W$5),BQ270*1000000-MIN(BR270,999)*1000+BS270-257/100000,-1000000000-257)</f>
        <v/>
      </c>
    </row>
    <row r="271">
      <c r="BN271">
        <f>IF(258&lt;$U$9,INT(258/($U$7*$U$8))+1,1)</f>
        <v/>
      </c>
      <c r="BO271">
        <f>IF(258&lt;$U$9,MOD(INT(258/$U$8),$U$7)+1,1)</f>
        <v/>
      </c>
      <c r="BP271">
        <f>IF(258&lt;$U$9,MOD(258,$U$8)+1,1)</f>
        <v/>
      </c>
      <c r="BQ271">
        <f>IF(258&lt;$U$9,SUMPRODUCT(($D$10:$L$10&lt;&gt;"")*(($D$9:$L$9+INT(($S$12:$AA$12+INDEX($AJ$13:$AR$162,BN271,0)+INDEX($AT$13:$BB$162,BO271,0)+INDEX($BD$13:$BL$162,BP271,0))/100))&gt;=$D$10:$L$10)),0)</f>
        <v/>
      </c>
      <c r="BR271">
        <f>IF(258&lt;$U$9,SUMPRODUCT(($D$10:$L$10&lt;&gt;"")*(($D$10:$L$10-($D$9:$L$9+INT(($S$12:$AA$12+INDEX($AJ$13:$AR$162,BN271,0)+INDEX($AT$13:$BB$162,BO271,0)+INDEX($BD$13:$BL$162,BP271,0))/100)))&gt;0)*($D$10:$L$10-($D$9:$L$9+INT(($S$12:$AA$12+INDEX($AJ$13:$AR$162,BN271,0)+INDEX($AT$13:$BB$162,BO271,0)+INDEX($BD$13:$BL$162,BP271,0))/100)))),0)</f>
        <v/>
      </c>
      <c r="BS271">
        <f>IF(258&lt;$U$9,SUMPRODUCT(($D$9:$L$9+INT(($S$12:$AA$12+INDEX($AJ$13:$AR$162,BN271,0)+INDEX($AT$13:$BB$162,BO271,0)+INDEX($BD$13:$BL$162,BP271,0))/100))),0)</f>
        <v/>
      </c>
      <c r="BT271">
        <f>IF(AND(258&lt;$U$9,$W$5),BQ271*1000000-MIN(BR271,999)*1000+BS271-258/100000,-1000000000-258)</f>
        <v/>
      </c>
    </row>
    <row r="272">
      <c r="BN272">
        <f>IF(259&lt;$U$9,INT(259/($U$7*$U$8))+1,1)</f>
        <v/>
      </c>
      <c r="BO272">
        <f>IF(259&lt;$U$9,MOD(INT(259/$U$8),$U$7)+1,1)</f>
        <v/>
      </c>
      <c r="BP272">
        <f>IF(259&lt;$U$9,MOD(259,$U$8)+1,1)</f>
        <v/>
      </c>
      <c r="BQ272">
        <f>IF(259&lt;$U$9,SUMPRODUCT(($D$10:$L$10&lt;&gt;"")*(($D$9:$L$9+INT(($S$12:$AA$12+INDEX($AJ$13:$AR$162,BN272,0)+INDEX($AT$13:$BB$162,BO272,0)+INDEX($BD$13:$BL$162,BP272,0))/100))&gt;=$D$10:$L$10)),0)</f>
        <v/>
      </c>
      <c r="BR272">
        <f>IF(259&lt;$U$9,SUMPRODUCT(($D$10:$L$10&lt;&gt;"")*(($D$10:$L$10-($D$9:$L$9+INT(($S$12:$AA$12+INDEX($AJ$13:$AR$162,BN272,0)+INDEX($AT$13:$BB$162,BO272,0)+INDEX($BD$13:$BL$162,BP272,0))/100)))&gt;0)*($D$10:$L$10-($D$9:$L$9+INT(($S$12:$AA$12+INDEX($AJ$13:$AR$162,BN272,0)+INDEX($AT$13:$BB$162,BO272,0)+INDEX($BD$13:$BL$162,BP272,0))/100)))),0)</f>
        <v/>
      </c>
      <c r="BS272">
        <f>IF(259&lt;$U$9,SUMPRODUCT(($D$9:$L$9+INT(($S$12:$AA$12+INDEX($AJ$13:$AR$162,BN272,0)+INDEX($AT$13:$BB$162,BO272,0)+INDEX($BD$13:$BL$162,BP272,0))/100))),0)</f>
        <v/>
      </c>
      <c r="BT272">
        <f>IF(AND(259&lt;$U$9,$W$5),BQ272*1000000-MIN(BR272,999)*1000+BS272-259/100000,-1000000000-259)</f>
        <v/>
      </c>
    </row>
    <row r="273">
      <c r="BN273">
        <f>IF(260&lt;$U$9,INT(260/($U$7*$U$8))+1,1)</f>
        <v/>
      </c>
      <c r="BO273">
        <f>IF(260&lt;$U$9,MOD(INT(260/$U$8),$U$7)+1,1)</f>
        <v/>
      </c>
      <c r="BP273">
        <f>IF(260&lt;$U$9,MOD(260,$U$8)+1,1)</f>
        <v/>
      </c>
      <c r="BQ273">
        <f>IF(260&lt;$U$9,SUMPRODUCT(($D$10:$L$10&lt;&gt;"")*(($D$9:$L$9+INT(($S$12:$AA$12+INDEX($AJ$13:$AR$162,BN273,0)+INDEX($AT$13:$BB$162,BO273,0)+INDEX($BD$13:$BL$162,BP273,0))/100))&gt;=$D$10:$L$10)),0)</f>
        <v/>
      </c>
      <c r="BR273">
        <f>IF(260&lt;$U$9,SUMPRODUCT(($D$10:$L$10&lt;&gt;"")*(($D$10:$L$10-($D$9:$L$9+INT(($S$12:$AA$12+INDEX($AJ$13:$AR$162,BN273,0)+INDEX($AT$13:$BB$162,BO273,0)+INDEX($BD$13:$BL$162,BP273,0))/100)))&gt;0)*($D$10:$L$10-($D$9:$L$9+INT(($S$12:$AA$12+INDEX($AJ$13:$AR$162,BN273,0)+INDEX($AT$13:$BB$162,BO273,0)+INDEX($BD$13:$BL$162,BP273,0))/100)))),0)</f>
        <v/>
      </c>
      <c r="BS273">
        <f>IF(260&lt;$U$9,SUMPRODUCT(($D$9:$L$9+INT(($S$12:$AA$12+INDEX($AJ$13:$AR$162,BN273,0)+INDEX($AT$13:$BB$162,BO273,0)+INDEX($BD$13:$BL$162,BP273,0))/100))),0)</f>
        <v/>
      </c>
      <c r="BT273">
        <f>IF(AND(260&lt;$U$9,$W$5),BQ273*1000000-MIN(BR273,999)*1000+BS273-260/100000,-1000000000-260)</f>
        <v/>
      </c>
    </row>
    <row r="274">
      <c r="BN274">
        <f>IF(261&lt;$U$9,INT(261/($U$7*$U$8))+1,1)</f>
        <v/>
      </c>
      <c r="BO274">
        <f>IF(261&lt;$U$9,MOD(INT(261/$U$8),$U$7)+1,1)</f>
        <v/>
      </c>
      <c r="BP274">
        <f>IF(261&lt;$U$9,MOD(261,$U$8)+1,1)</f>
        <v/>
      </c>
      <c r="BQ274">
        <f>IF(261&lt;$U$9,SUMPRODUCT(($D$10:$L$10&lt;&gt;"")*(($D$9:$L$9+INT(($S$12:$AA$12+INDEX($AJ$13:$AR$162,BN274,0)+INDEX($AT$13:$BB$162,BO274,0)+INDEX($BD$13:$BL$162,BP274,0))/100))&gt;=$D$10:$L$10)),0)</f>
        <v/>
      </c>
      <c r="BR274">
        <f>IF(261&lt;$U$9,SUMPRODUCT(($D$10:$L$10&lt;&gt;"")*(($D$10:$L$10-($D$9:$L$9+INT(($S$12:$AA$12+INDEX($AJ$13:$AR$162,BN274,0)+INDEX($AT$13:$BB$162,BO274,0)+INDEX($BD$13:$BL$162,BP274,0))/100)))&gt;0)*($D$10:$L$10-($D$9:$L$9+INT(($S$12:$AA$12+INDEX($AJ$13:$AR$162,BN274,0)+INDEX($AT$13:$BB$162,BO274,0)+INDEX($BD$13:$BL$162,BP274,0))/100)))),0)</f>
        <v/>
      </c>
      <c r="BS274">
        <f>IF(261&lt;$U$9,SUMPRODUCT(($D$9:$L$9+INT(($S$12:$AA$12+INDEX($AJ$13:$AR$162,BN274,0)+INDEX($AT$13:$BB$162,BO274,0)+INDEX($BD$13:$BL$162,BP274,0))/100))),0)</f>
        <v/>
      </c>
      <c r="BT274">
        <f>IF(AND(261&lt;$U$9,$W$5),BQ274*1000000-MIN(BR274,999)*1000+BS274-261/100000,-1000000000-261)</f>
        <v/>
      </c>
    </row>
    <row r="275">
      <c r="BN275">
        <f>IF(262&lt;$U$9,INT(262/($U$7*$U$8))+1,1)</f>
        <v/>
      </c>
      <c r="BO275">
        <f>IF(262&lt;$U$9,MOD(INT(262/$U$8),$U$7)+1,1)</f>
        <v/>
      </c>
      <c r="BP275">
        <f>IF(262&lt;$U$9,MOD(262,$U$8)+1,1)</f>
        <v/>
      </c>
      <c r="BQ275">
        <f>IF(262&lt;$U$9,SUMPRODUCT(($D$10:$L$10&lt;&gt;"")*(($D$9:$L$9+INT(($S$12:$AA$12+INDEX($AJ$13:$AR$162,BN275,0)+INDEX($AT$13:$BB$162,BO275,0)+INDEX($BD$13:$BL$162,BP275,0))/100))&gt;=$D$10:$L$10)),0)</f>
        <v/>
      </c>
      <c r="BR275">
        <f>IF(262&lt;$U$9,SUMPRODUCT(($D$10:$L$10&lt;&gt;"")*(($D$10:$L$10-($D$9:$L$9+INT(($S$12:$AA$12+INDEX($AJ$13:$AR$162,BN275,0)+INDEX($AT$13:$BB$162,BO275,0)+INDEX($BD$13:$BL$162,BP275,0))/100)))&gt;0)*($D$10:$L$10-($D$9:$L$9+INT(($S$12:$AA$12+INDEX($AJ$13:$AR$162,BN275,0)+INDEX($AT$13:$BB$162,BO275,0)+INDEX($BD$13:$BL$162,BP275,0))/100)))),0)</f>
        <v/>
      </c>
      <c r="BS275">
        <f>IF(262&lt;$U$9,SUMPRODUCT(($D$9:$L$9+INT(($S$12:$AA$12+INDEX($AJ$13:$AR$162,BN275,0)+INDEX($AT$13:$BB$162,BO275,0)+INDEX($BD$13:$BL$162,BP275,0))/100))),0)</f>
        <v/>
      </c>
      <c r="BT275">
        <f>IF(AND(262&lt;$U$9,$W$5),BQ275*1000000-MIN(BR275,999)*1000+BS275-262/100000,-1000000000-262)</f>
        <v/>
      </c>
    </row>
    <row r="276">
      <c r="BN276">
        <f>IF(263&lt;$U$9,INT(263/($U$7*$U$8))+1,1)</f>
        <v/>
      </c>
      <c r="BO276">
        <f>IF(263&lt;$U$9,MOD(INT(263/$U$8),$U$7)+1,1)</f>
        <v/>
      </c>
      <c r="BP276">
        <f>IF(263&lt;$U$9,MOD(263,$U$8)+1,1)</f>
        <v/>
      </c>
      <c r="BQ276">
        <f>IF(263&lt;$U$9,SUMPRODUCT(($D$10:$L$10&lt;&gt;"")*(($D$9:$L$9+INT(($S$12:$AA$12+INDEX($AJ$13:$AR$162,BN276,0)+INDEX($AT$13:$BB$162,BO276,0)+INDEX($BD$13:$BL$162,BP276,0))/100))&gt;=$D$10:$L$10)),0)</f>
        <v/>
      </c>
      <c r="BR276">
        <f>IF(263&lt;$U$9,SUMPRODUCT(($D$10:$L$10&lt;&gt;"")*(($D$10:$L$10-($D$9:$L$9+INT(($S$12:$AA$12+INDEX($AJ$13:$AR$162,BN276,0)+INDEX($AT$13:$BB$162,BO276,0)+INDEX($BD$13:$BL$162,BP276,0))/100)))&gt;0)*($D$10:$L$10-($D$9:$L$9+INT(($S$12:$AA$12+INDEX($AJ$13:$AR$162,BN276,0)+INDEX($AT$13:$BB$162,BO276,0)+INDEX($BD$13:$BL$162,BP276,0))/100)))),0)</f>
        <v/>
      </c>
      <c r="BS276">
        <f>IF(263&lt;$U$9,SUMPRODUCT(($D$9:$L$9+INT(($S$12:$AA$12+INDEX($AJ$13:$AR$162,BN276,0)+INDEX($AT$13:$BB$162,BO276,0)+INDEX($BD$13:$BL$162,BP276,0))/100))),0)</f>
        <v/>
      </c>
      <c r="BT276">
        <f>IF(AND(263&lt;$U$9,$W$5),BQ276*1000000-MIN(BR276,999)*1000+BS276-263/100000,-1000000000-263)</f>
        <v/>
      </c>
    </row>
    <row r="277">
      <c r="BN277">
        <f>IF(264&lt;$U$9,INT(264/($U$7*$U$8))+1,1)</f>
        <v/>
      </c>
      <c r="BO277">
        <f>IF(264&lt;$U$9,MOD(INT(264/$U$8),$U$7)+1,1)</f>
        <v/>
      </c>
      <c r="BP277">
        <f>IF(264&lt;$U$9,MOD(264,$U$8)+1,1)</f>
        <v/>
      </c>
      <c r="BQ277">
        <f>IF(264&lt;$U$9,SUMPRODUCT(($D$10:$L$10&lt;&gt;"")*(($D$9:$L$9+INT(($S$12:$AA$12+INDEX($AJ$13:$AR$162,BN277,0)+INDEX($AT$13:$BB$162,BO277,0)+INDEX($BD$13:$BL$162,BP277,0))/100))&gt;=$D$10:$L$10)),0)</f>
        <v/>
      </c>
      <c r="BR277">
        <f>IF(264&lt;$U$9,SUMPRODUCT(($D$10:$L$10&lt;&gt;"")*(($D$10:$L$10-($D$9:$L$9+INT(($S$12:$AA$12+INDEX($AJ$13:$AR$162,BN277,0)+INDEX($AT$13:$BB$162,BO277,0)+INDEX($BD$13:$BL$162,BP277,0))/100)))&gt;0)*($D$10:$L$10-($D$9:$L$9+INT(($S$12:$AA$12+INDEX($AJ$13:$AR$162,BN277,0)+INDEX($AT$13:$BB$162,BO277,0)+INDEX($BD$13:$BL$162,BP277,0))/100)))),0)</f>
        <v/>
      </c>
      <c r="BS277">
        <f>IF(264&lt;$U$9,SUMPRODUCT(($D$9:$L$9+INT(($S$12:$AA$12+INDEX($AJ$13:$AR$162,BN277,0)+INDEX($AT$13:$BB$162,BO277,0)+INDEX($BD$13:$BL$162,BP277,0))/100))),0)</f>
        <v/>
      </c>
      <c r="BT277">
        <f>IF(AND(264&lt;$U$9,$W$5),BQ277*1000000-MIN(BR277,999)*1000+BS277-264/100000,-1000000000-264)</f>
        <v/>
      </c>
    </row>
    <row r="278">
      <c r="BN278">
        <f>IF(265&lt;$U$9,INT(265/($U$7*$U$8))+1,1)</f>
        <v/>
      </c>
      <c r="BO278">
        <f>IF(265&lt;$U$9,MOD(INT(265/$U$8),$U$7)+1,1)</f>
        <v/>
      </c>
      <c r="BP278">
        <f>IF(265&lt;$U$9,MOD(265,$U$8)+1,1)</f>
        <v/>
      </c>
      <c r="BQ278">
        <f>IF(265&lt;$U$9,SUMPRODUCT(($D$10:$L$10&lt;&gt;"")*(($D$9:$L$9+INT(($S$12:$AA$12+INDEX($AJ$13:$AR$162,BN278,0)+INDEX($AT$13:$BB$162,BO278,0)+INDEX($BD$13:$BL$162,BP278,0))/100))&gt;=$D$10:$L$10)),0)</f>
        <v/>
      </c>
      <c r="BR278">
        <f>IF(265&lt;$U$9,SUMPRODUCT(($D$10:$L$10&lt;&gt;"")*(($D$10:$L$10-($D$9:$L$9+INT(($S$12:$AA$12+INDEX($AJ$13:$AR$162,BN278,0)+INDEX($AT$13:$BB$162,BO278,0)+INDEX($BD$13:$BL$162,BP278,0))/100)))&gt;0)*($D$10:$L$10-($D$9:$L$9+INT(($S$12:$AA$12+INDEX($AJ$13:$AR$162,BN278,0)+INDEX($AT$13:$BB$162,BO278,0)+INDEX($BD$13:$BL$162,BP278,0))/100)))),0)</f>
        <v/>
      </c>
      <c r="BS278">
        <f>IF(265&lt;$U$9,SUMPRODUCT(($D$9:$L$9+INT(($S$12:$AA$12+INDEX($AJ$13:$AR$162,BN278,0)+INDEX($AT$13:$BB$162,BO278,0)+INDEX($BD$13:$BL$162,BP278,0))/100))),0)</f>
        <v/>
      </c>
      <c r="BT278">
        <f>IF(AND(265&lt;$U$9,$W$5),BQ278*1000000-MIN(BR278,999)*1000+BS278-265/100000,-1000000000-265)</f>
        <v/>
      </c>
    </row>
    <row r="279">
      <c r="BN279">
        <f>IF(266&lt;$U$9,INT(266/($U$7*$U$8))+1,1)</f>
        <v/>
      </c>
      <c r="BO279">
        <f>IF(266&lt;$U$9,MOD(INT(266/$U$8),$U$7)+1,1)</f>
        <v/>
      </c>
      <c r="BP279">
        <f>IF(266&lt;$U$9,MOD(266,$U$8)+1,1)</f>
        <v/>
      </c>
      <c r="BQ279">
        <f>IF(266&lt;$U$9,SUMPRODUCT(($D$10:$L$10&lt;&gt;"")*(($D$9:$L$9+INT(($S$12:$AA$12+INDEX($AJ$13:$AR$162,BN279,0)+INDEX($AT$13:$BB$162,BO279,0)+INDEX($BD$13:$BL$162,BP279,0))/100))&gt;=$D$10:$L$10)),0)</f>
        <v/>
      </c>
      <c r="BR279">
        <f>IF(266&lt;$U$9,SUMPRODUCT(($D$10:$L$10&lt;&gt;"")*(($D$10:$L$10-($D$9:$L$9+INT(($S$12:$AA$12+INDEX($AJ$13:$AR$162,BN279,0)+INDEX($AT$13:$BB$162,BO279,0)+INDEX($BD$13:$BL$162,BP279,0))/100)))&gt;0)*($D$10:$L$10-($D$9:$L$9+INT(($S$12:$AA$12+INDEX($AJ$13:$AR$162,BN279,0)+INDEX($AT$13:$BB$162,BO279,0)+INDEX($BD$13:$BL$162,BP279,0))/100)))),0)</f>
        <v/>
      </c>
      <c r="BS279">
        <f>IF(266&lt;$U$9,SUMPRODUCT(($D$9:$L$9+INT(($S$12:$AA$12+INDEX($AJ$13:$AR$162,BN279,0)+INDEX($AT$13:$BB$162,BO279,0)+INDEX($BD$13:$BL$162,BP279,0))/100))),0)</f>
        <v/>
      </c>
      <c r="BT279">
        <f>IF(AND(266&lt;$U$9,$W$5),BQ279*1000000-MIN(BR279,999)*1000+BS279-266/100000,-1000000000-266)</f>
        <v/>
      </c>
    </row>
    <row r="280">
      <c r="BN280">
        <f>IF(267&lt;$U$9,INT(267/($U$7*$U$8))+1,1)</f>
        <v/>
      </c>
      <c r="BO280">
        <f>IF(267&lt;$U$9,MOD(INT(267/$U$8),$U$7)+1,1)</f>
        <v/>
      </c>
      <c r="BP280">
        <f>IF(267&lt;$U$9,MOD(267,$U$8)+1,1)</f>
        <v/>
      </c>
      <c r="BQ280">
        <f>IF(267&lt;$U$9,SUMPRODUCT(($D$10:$L$10&lt;&gt;"")*(($D$9:$L$9+INT(($S$12:$AA$12+INDEX($AJ$13:$AR$162,BN280,0)+INDEX($AT$13:$BB$162,BO280,0)+INDEX($BD$13:$BL$162,BP280,0))/100))&gt;=$D$10:$L$10)),0)</f>
        <v/>
      </c>
      <c r="BR280">
        <f>IF(267&lt;$U$9,SUMPRODUCT(($D$10:$L$10&lt;&gt;"")*(($D$10:$L$10-($D$9:$L$9+INT(($S$12:$AA$12+INDEX($AJ$13:$AR$162,BN280,0)+INDEX($AT$13:$BB$162,BO280,0)+INDEX($BD$13:$BL$162,BP280,0))/100)))&gt;0)*($D$10:$L$10-($D$9:$L$9+INT(($S$12:$AA$12+INDEX($AJ$13:$AR$162,BN280,0)+INDEX($AT$13:$BB$162,BO280,0)+INDEX($BD$13:$BL$162,BP280,0))/100)))),0)</f>
        <v/>
      </c>
      <c r="BS280">
        <f>IF(267&lt;$U$9,SUMPRODUCT(($D$9:$L$9+INT(($S$12:$AA$12+INDEX($AJ$13:$AR$162,BN280,0)+INDEX($AT$13:$BB$162,BO280,0)+INDEX($BD$13:$BL$162,BP280,0))/100))),0)</f>
        <v/>
      </c>
      <c r="BT280">
        <f>IF(AND(267&lt;$U$9,$W$5),BQ280*1000000-MIN(BR280,999)*1000+BS280-267/100000,-1000000000-267)</f>
        <v/>
      </c>
    </row>
    <row r="281">
      <c r="BN281">
        <f>IF(268&lt;$U$9,INT(268/($U$7*$U$8))+1,1)</f>
        <v/>
      </c>
      <c r="BO281">
        <f>IF(268&lt;$U$9,MOD(INT(268/$U$8),$U$7)+1,1)</f>
        <v/>
      </c>
      <c r="BP281">
        <f>IF(268&lt;$U$9,MOD(268,$U$8)+1,1)</f>
        <v/>
      </c>
      <c r="BQ281">
        <f>IF(268&lt;$U$9,SUMPRODUCT(($D$10:$L$10&lt;&gt;"")*(($D$9:$L$9+INT(($S$12:$AA$12+INDEX($AJ$13:$AR$162,BN281,0)+INDEX($AT$13:$BB$162,BO281,0)+INDEX($BD$13:$BL$162,BP281,0))/100))&gt;=$D$10:$L$10)),0)</f>
        <v/>
      </c>
      <c r="BR281">
        <f>IF(268&lt;$U$9,SUMPRODUCT(($D$10:$L$10&lt;&gt;"")*(($D$10:$L$10-($D$9:$L$9+INT(($S$12:$AA$12+INDEX($AJ$13:$AR$162,BN281,0)+INDEX($AT$13:$BB$162,BO281,0)+INDEX($BD$13:$BL$162,BP281,0))/100)))&gt;0)*($D$10:$L$10-($D$9:$L$9+INT(($S$12:$AA$12+INDEX($AJ$13:$AR$162,BN281,0)+INDEX($AT$13:$BB$162,BO281,0)+INDEX($BD$13:$BL$162,BP281,0))/100)))),0)</f>
        <v/>
      </c>
      <c r="BS281">
        <f>IF(268&lt;$U$9,SUMPRODUCT(($D$9:$L$9+INT(($S$12:$AA$12+INDEX($AJ$13:$AR$162,BN281,0)+INDEX($AT$13:$BB$162,BO281,0)+INDEX($BD$13:$BL$162,BP281,0))/100))),0)</f>
        <v/>
      </c>
      <c r="BT281">
        <f>IF(AND(268&lt;$U$9,$W$5),BQ281*1000000-MIN(BR281,999)*1000+BS281-268/100000,-1000000000-268)</f>
        <v/>
      </c>
    </row>
    <row r="282">
      <c r="BN282">
        <f>IF(269&lt;$U$9,INT(269/($U$7*$U$8))+1,1)</f>
        <v/>
      </c>
      <c r="BO282">
        <f>IF(269&lt;$U$9,MOD(INT(269/$U$8),$U$7)+1,1)</f>
        <v/>
      </c>
      <c r="BP282">
        <f>IF(269&lt;$U$9,MOD(269,$U$8)+1,1)</f>
        <v/>
      </c>
      <c r="BQ282">
        <f>IF(269&lt;$U$9,SUMPRODUCT(($D$10:$L$10&lt;&gt;"")*(($D$9:$L$9+INT(($S$12:$AA$12+INDEX($AJ$13:$AR$162,BN282,0)+INDEX($AT$13:$BB$162,BO282,0)+INDEX($BD$13:$BL$162,BP282,0))/100))&gt;=$D$10:$L$10)),0)</f>
        <v/>
      </c>
      <c r="BR282">
        <f>IF(269&lt;$U$9,SUMPRODUCT(($D$10:$L$10&lt;&gt;"")*(($D$10:$L$10-($D$9:$L$9+INT(($S$12:$AA$12+INDEX($AJ$13:$AR$162,BN282,0)+INDEX($AT$13:$BB$162,BO282,0)+INDEX($BD$13:$BL$162,BP282,0))/100)))&gt;0)*($D$10:$L$10-($D$9:$L$9+INT(($S$12:$AA$12+INDEX($AJ$13:$AR$162,BN282,0)+INDEX($AT$13:$BB$162,BO282,0)+INDEX($BD$13:$BL$162,BP282,0))/100)))),0)</f>
        <v/>
      </c>
      <c r="BS282">
        <f>IF(269&lt;$U$9,SUMPRODUCT(($D$9:$L$9+INT(($S$12:$AA$12+INDEX($AJ$13:$AR$162,BN282,0)+INDEX($AT$13:$BB$162,BO282,0)+INDEX($BD$13:$BL$162,BP282,0))/100))),0)</f>
        <v/>
      </c>
      <c r="BT282">
        <f>IF(AND(269&lt;$U$9,$W$5),BQ282*1000000-MIN(BR282,999)*1000+BS282-269/100000,-1000000000-269)</f>
        <v/>
      </c>
    </row>
    <row r="283">
      <c r="BN283">
        <f>IF(270&lt;$U$9,INT(270/($U$7*$U$8))+1,1)</f>
        <v/>
      </c>
      <c r="BO283">
        <f>IF(270&lt;$U$9,MOD(INT(270/$U$8),$U$7)+1,1)</f>
        <v/>
      </c>
      <c r="BP283">
        <f>IF(270&lt;$U$9,MOD(270,$U$8)+1,1)</f>
        <v/>
      </c>
      <c r="BQ283">
        <f>IF(270&lt;$U$9,SUMPRODUCT(($D$10:$L$10&lt;&gt;"")*(($D$9:$L$9+INT(($S$12:$AA$12+INDEX($AJ$13:$AR$162,BN283,0)+INDEX($AT$13:$BB$162,BO283,0)+INDEX($BD$13:$BL$162,BP283,0))/100))&gt;=$D$10:$L$10)),0)</f>
        <v/>
      </c>
      <c r="BR283">
        <f>IF(270&lt;$U$9,SUMPRODUCT(($D$10:$L$10&lt;&gt;"")*(($D$10:$L$10-($D$9:$L$9+INT(($S$12:$AA$12+INDEX($AJ$13:$AR$162,BN283,0)+INDEX($AT$13:$BB$162,BO283,0)+INDEX($BD$13:$BL$162,BP283,0))/100)))&gt;0)*($D$10:$L$10-($D$9:$L$9+INT(($S$12:$AA$12+INDEX($AJ$13:$AR$162,BN283,0)+INDEX($AT$13:$BB$162,BO283,0)+INDEX($BD$13:$BL$162,BP283,0))/100)))),0)</f>
        <v/>
      </c>
      <c r="BS283">
        <f>IF(270&lt;$U$9,SUMPRODUCT(($D$9:$L$9+INT(($S$12:$AA$12+INDEX($AJ$13:$AR$162,BN283,0)+INDEX($AT$13:$BB$162,BO283,0)+INDEX($BD$13:$BL$162,BP283,0))/100))),0)</f>
        <v/>
      </c>
      <c r="BT283">
        <f>IF(AND(270&lt;$U$9,$W$5),BQ283*1000000-MIN(BR283,999)*1000+BS283-270/100000,-1000000000-270)</f>
        <v/>
      </c>
    </row>
    <row r="284">
      <c r="BN284">
        <f>IF(271&lt;$U$9,INT(271/($U$7*$U$8))+1,1)</f>
        <v/>
      </c>
      <c r="BO284">
        <f>IF(271&lt;$U$9,MOD(INT(271/$U$8),$U$7)+1,1)</f>
        <v/>
      </c>
      <c r="BP284">
        <f>IF(271&lt;$U$9,MOD(271,$U$8)+1,1)</f>
        <v/>
      </c>
      <c r="BQ284">
        <f>IF(271&lt;$U$9,SUMPRODUCT(($D$10:$L$10&lt;&gt;"")*(($D$9:$L$9+INT(($S$12:$AA$12+INDEX($AJ$13:$AR$162,BN284,0)+INDEX($AT$13:$BB$162,BO284,0)+INDEX($BD$13:$BL$162,BP284,0))/100))&gt;=$D$10:$L$10)),0)</f>
        <v/>
      </c>
      <c r="BR284">
        <f>IF(271&lt;$U$9,SUMPRODUCT(($D$10:$L$10&lt;&gt;"")*(($D$10:$L$10-($D$9:$L$9+INT(($S$12:$AA$12+INDEX($AJ$13:$AR$162,BN284,0)+INDEX($AT$13:$BB$162,BO284,0)+INDEX($BD$13:$BL$162,BP284,0))/100)))&gt;0)*($D$10:$L$10-($D$9:$L$9+INT(($S$12:$AA$12+INDEX($AJ$13:$AR$162,BN284,0)+INDEX($AT$13:$BB$162,BO284,0)+INDEX($BD$13:$BL$162,BP284,0))/100)))),0)</f>
        <v/>
      </c>
      <c r="BS284">
        <f>IF(271&lt;$U$9,SUMPRODUCT(($D$9:$L$9+INT(($S$12:$AA$12+INDEX($AJ$13:$AR$162,BN284,0)+INDEX($AT$13:$BB$162,BO284,0)+INDEX($BD$13:$BL$162,BP284,0))/100))),0)</f>
        <v/>
      </c>
      <c r="BT284">
        <f>IF(AND(271&lt;$U$9,$W$5),BQ284*1000000-MIN(BR284,999)*1000+BS284-271/100000,-1000000000-271)</f>
        <v/>
      </c>
    </row>
    <row r="285">
      <c r="BN285">
        <f>IF(272&lt;$U$9,INT(272/($U$7*$U$8))+1,1)</f>
        <v/>
      </c>
      <c r="BO285">
        <f>IF(272&lt;$U$9,MOD(INT(272/$U$8),$U$7)+1,1)</f>
        <v/>
      </c>
      <c r="BP285">
        <f>IF(272&lt;$U$9,MOD(272,$U$8)+1,1)</f>
        <v/>
      </c>
      <c r="BQ285">
        <f>IF(272&lt;$U$9,SUMPRODUCT(($D$10:$L$10&lt;&gt;"")*(($D$9:$L$9+INT(($S$12:$AA$12+INDEX($AJ$13:$AR$162,BN285,0)+INDEX($AT$13:$BB$162,BO285,0)+INDEX($BD$13:$BL$162,BP285,0))/100))&gt;=$D$10:$L$10)),0)</f>
        <v/>
      </c>
      <c r="BR285">
        <f>IF(272&lt;$U$9,SUMPRODUCT(($D$10:$L$10&lt;&gt;"")*(($D$10:$L$10-($D$9:$L$9+INT(($S$12:$AA$12+INDEX($AJ$13:$AR$162,BN285,0)+INDEX($AT$13:$BB$162,BO285,0)+INDEX($BD$13:$BL$162,BP285,0))/100)))&gt;0)*($D$10:$L$10-($D$9:$L$9+INT(($S$12:$AA$12+INDEX($AJ$13:$AR$162,BN285,0)+INDEX($AT$13:$BB$162,BO285,0)+INDEX($BD$13:$BL$162,BP285,0))/100)))),0)</f>
        <v/>
      </c>
      <c r="BS285">
        <f>IF(272&lt;$U$9,SUMPRODUCT(($D$9:$L$9+INT(($S$12:$AA$12+INDEX($AJ$13:$AR$162,BN285,0)+INDEX($AT$13:$BB$162,BO285,0)+INDEX($BD$13:$BL$162,BP285,0))/100))),0)</f>
        <v/>
      </c>
      <c r="BT285">
        <f>IF(AND(272&lt;$U$9,$W$5),BQ285*1000000-MIN(BR285,999)*1000+BS285-272/100000,-1000000000-272)</f>
        <v/>
      </c>
    </row>
    <row r="286">
      <c r="BN286">
        <f>IF(273&lt;$U$9,INT(273/($U$7*$U$8))+1,1)</f>
        <v/>
      </c>
      <c r="BO286">
        <f>IF(273&lt;$U$9,MOD(INT(273/$U$8),$U$7)+1,1)</f>
        <v/>
      </c>
      <c r="BP286">
        <f>IF(273&lt;$U$9,MOD(273,$U$8)+1,1)</f>
        <v/>
      </c>
      <c r="BQ286">
        <f>IF(273&lt;$U$9,SUMPRODUCT(($D$10:$L$10&lt;&gt;"")*(($D$9:$L$9+INT(($S$12:$AA$12+INDEX($AJ$13:$AR$162,BN286,0)+INDEX($AT$13:$BB$162,BO286,0)+INDEX($BD$13:$BL$162,BP286,0))/100))&gt;=$D$10:$L$10)),0)</f>
        <v/>
      </c>
      <c r="BR286">
        <f>IF(273&lt;$U$9,SUMPRODUCT(($D$10:$L$10&lt;&gt;"")*(($D$10:$L$10-($D$9:$L$9+INT(($S$12:$AA$12+INDEX($AJ$13:$AR$162,BN286,0)+INDEX($AT$13:$BB$162,BO286,0)+INDEX($BD$13:$BL$162,BP286,0))/100)))&gt;0)*($D$10:$L$10-($D$9:$L$9+INT(($S$12:$AA$12+INDEX($AJ$13:$AR$162,BN286,0)+INDEX($AT$13:$BB$162,BO286,0)+INDEX($BD$13:$BL$162,BP286,0))/100)))),0)</f>
        <v/>
      </c>
      <c r="BS286">
        <f>IF(273&lt;$U$9,SUMPRODUCT(($D$9:$L$9+INT(($S$12:$AA$12+INDEX($AJ$13:$AR$162,BN286,0)+INDEX($AT$13:$BB$162,BO286,0)+INDEX($BD$13:$BL$162,BP286,0))/100))),0)</f>
        <v/>
      </c>
      <c r="BT286">
        <f>IF(AND(273&lt;$U$9,$W$5),BQ286*1000000-MIN(BR286,999)*1000+BS286-273/100000,-1000000000-273)</f>
        <v/>
      </c>
    </row>
    <row r="287">
      <c r="BN287">
        <f>IF(274&lt;$U$9,INT(274/($U$7*$U$8))+1,1)</f>
        <v/>
      </c>
      <c r="BO287">
        <f>IF(274&lt;$U$9,MOD(INT(274/$U$8),$U$7)+1,1)</f>
        <v/>
      </c>
      <c r="BP287">
        <f>IF(274&lt;$U$9,MOD(274,$U$8)+1,1)</f>
        <v/>
      </c>
      <c r="BQ287">
        <f>IF(274&lt;$U$9,SUMPRODUCT(($D$10:$L$10&lt;&gt;"")*(($D$9:$L$9+INT(($S$12:$AA$12+INDEX($AJ$13:$AR$162,BN287,0)+INDEX($AT$13:$BB$162,BO287,0)+INDEX($BD$13:$BL$162,BP287,0))/100))&gt;=$D$10:$L$10)),0)</f>
        <v/>
      </c>
      <c r="BR287">
        <f>IF(274&lt;$U$9,SUMPRODUCT(($D$10:$L$10&lt;&gt;"")*(($D$10:$L$10-($D$9:$L$9+INT(($S$12:$AA$12+INDEX($AJ$13:$AR$162,BN287,0)+INDEX($AT$13:$BB$162,BO287,0)+INDEX($BD$13:$BL$162,BP287,0))/100)))&gt;0)*($D$10:$L$10-($D$9:$L$9+INT(($S$12:$AA$12+INDEX($AJ$13:$AR$162,BN287,0)+INDEX($AT$13:$BB$162,BO287,0)+INDEX($BD$13:$BL$162,BP287,0))/100)))),0)</f>
        <v/>
      </c>
      <c r="BS287">
        <f>IF(274&lt;$U$9,SUMPRODUCT(($D$9:$L$9+INT(($S$12:$AA$12+INDEX($AJ$13:$AR$162,BN287,0)+INDEX($AT$13:$BB$162,BO287,0)+INDEX($BD$13:$BL$162,BP287,0))/100))),0)</f>
        <v/>
      </c>
      <c r="BT287">
        <f>IF(AND(274&lt;$U$9,$W$5),BQ287*1000000-MIN(BR287,999)*1000+BS287-274/100000,-1000000000-274)</f>
        <v/>
      </c>
    </row>
    <row r="288">
      <c r="BN288">
        <f>IF(275&lt;$U$9,INT(275/($U$7*$U$8))+1,1)</f>
        <v/>
      </c>
      <c r="BO288">
        <f>IF(275&lt;$U$9,MOD(INT(275/$U$8),$U$7)+1,1)</f>
        <v/>
      </c>
      <c r="BP288">
        <f>IF(275&lt;$U$9,MOD(275,$U$8)+1,1)</f>
        <v/>
      </c>
      <c r="BQ288">
        <f>IF(275&lt;$U$9,SUMPRODUCT(($D$10:$L$10&lt;&gt;"")*(($D$9:$L$9+INT(($S$12:$AA$12+INDEX($AJ$13:$AR$162,BN288,0)+INDEX($AT$13:$BB$162,BO288,0)+INDEX($BD$13:$BL$162,BP288,0))/100))&gt;=$D$10:$L$10)),0)</f>
        <v/>
      </c>
      <c r="BR288">
        <f>IF(275&lt;$U$9,SUMPRODUCT(($D$10:$L$10&lt;&gt;"")*(($D$10:$L$10-($D$9:$L$9+INT(($S$12:$AA$12+INDEX($AJ$13:$AR$162,BN288,0)+INDEX($AT$13:$BB$162,BO288,0)+INDEX($BD$13:$BL$162,BP288,0))/100)))&gt;0)*($D$10:$L$10-($D$9:$L$9+INT(($S$12:$AA$12+INDEX($AJ$13:$AR$162,BN288,0)+INDEX($AT$13:$BB$162,BO288,0)+INDEX($BD$13:$BL$162,BP288,0))/100)))),0)</f>
        <v/>
      </c>
      <c r="BS288">
        <f>IF(275&lt;$U$9,SUMPRODUCT(($D$9:$L$9+INT(($S$12:$AA$12+INDEX($AJ$13:$AR$162,BN288,0)+INDEX($AT$13:$BB$162,BO288,0)+INDEX($BD$13:$BL$162,BP288,0))/100))),0)</f>
        <v/>
      </c>
      <c r="BT288">
        <f>IF(AND(275&lt;$U$9,$W$5),BQ288*1000000-MIN(BR288,999)*1000+BS288-275/100000,-1000000000-275)</f>
        <v/>
      </c>
    </row>
    <row r="289">
      <c r="BN289">
        <f>IF(276&lt;$U$9,INT(276/($U$7*$U$8))+1,1)</f>
        <v/>
      </c>
      <c r="BO289">
        <f>IF(276&lt;$U$9,MOD(INT(276/$U$8),$U$7)+1,1)</f>
        <v/>
      </c>
      <c r="BP289">
        <f>IF(276&lt;$U$9,MOD(276,$U$8)+1,1)</f>
        <v/>
      </c>
      <c r="BQ289">
        <f>IF(276&lt;$U$9,SUMPRODUCT(($D$10:$L$10&lt;&gt;"")*(($D$9:$L$9+INT(($S$12:$AA$12+INDEX($AJ$13:$AR$162,BN289,0)+INDEX($AT$13:$BB$162,BO289,0)+INDEX($BD$13:$BL$162,BP289,0))/100))&gt;=$D$10:$L$10)),0)</f>
        <v/>
      </c>
      <c r="BR289">
        <f>IF(276&lt;$U$9,SUMPRODUCT(($D$10:$L$10&lt;&gt;"")*(($D$10:$L$10-($D$9:$L$9+INT(($S$12:$AA$12+INDEX($AJ$13:$AR$162,BN289,0)+INDEX($AT$13:$BB$162,BO289,0)+INDEX($BD$13:$BL$162,BP289,0))/100)))&gt;0)*($D$10:$L$10-($D$9:$L$9+INT(($S$12:$AA$12+INDEX($AJ$13:$AR$162,BN289,0)+INDEX($AT$13:$BB$162,BO289,0)+INDEX($BD$13:$BL$162,BP289,0))/100)))),0)</f>
        <v/>
      </c>
      <c r="BS289">
        <f>IF(276&lt;$U$9,SUMPRODUCT(($D$9:$L$9+INT(($S$12:$AA$12+INDEX($AJ$13:$AR$162,BN289,0)+INDEX($AT$13:$BB$162,BO289,0)+INDEX($BD$13:$BL$162,BP289,0))/100))),0)</f>
        <v/>
      </c>
      <c r="BT289">
        <f>IF(AND(276&lt;$U$9,$W$5),BQ289*1000000-MIN(BR289,999)*1000+BS289-276/100000,-1000000000-276)</f>
        <v/>
      </c>
    </row>
    <row r="290">
      <c r="BN290">
        <f>IF(277&lt;$U$9,INT(277/($U$7*$U$8))+1,1)</f>
        <v/>
      </c>
      <c r="BO290">
        <f>IF(277&lt;$U$9,MOD(INT(277/$U$8),$U$7)+1,1)</f>
        <v/>
      </c>
      <c r="BP290">
        <f>IF(277&lt;$U$9,MOD(277,$U$8)+1,1)</f>
        <v/>
      </c>
      <c r="BQ290">
        <f>IF(277&lt;$U$9,SUMPRODUCT(($D$10:$L$10&lt;&gt;"")*(($D$9:$L$9+INT(($S$12:$AA$12+INDEX($AJ$13:$AR$162,BN290,0)+INDEX($AT$13:$BB$162,BO290,0)+INDEX($BD$13:$BL$162,BP290,0))/100))&gt;=$D$10:$L$10)),0)</f>
        <v/>
      </c>
      <c r="BR290">
        <f>IF(277&lt;$U$9,SUMPRODUCT(($D$10:$L$10&lt;&gt;"")*(($D$10:$L$10-($D$9:$L$9+INT(($S$12:$AA$12+INDEX($AJ$13:$AR$162,BN290,0)+INDEX($AT$13:$BB$162,BO290,0)+INDEX($BD$13:$BL$162,BP290,0))/100)))&gt;0)*($D$10:$L$10-($D$9:$L$9+INT(($S$12:$AA$12+INDEX($AJ$13:$AR$162,BN290,0)+INDEX($AT$13:$BB$162,BO290,0)+INDEX($BD$13:$BL$162,BP290,0))/100)))),0)</f>
        <v/>
      </c>
      <c r="BS290">
        <f>IF(277&lt;$U$9,SUMPRODUCT(($D$9:$L$9+INT(($S$12:$AA$12+INDEX($AJ$13:$AR$162,BN290,0)+INDEX($AT$13:$BB$162,BO290,0)+INDEX($BD$13:$BL$162,BP290,0))/100))),0)</f>
        <v/>
      </c>
      <c r="BT290">
        <f>IF(AND(277&lt;$U$9,$W$5),BQ290*1000000-MIN(BR290,999)*1000+BS290-277/100000,-1000000000-277)</f>
        <v/>
      </c>
    </row>
    <row r="291">
      <c r="BN291">
        <f>IF(278&lt;$U$9,INT(278/($U$7*$U$8))+1,1)</f>
        <v/>
      </c>
      <c r="BO291">
        <f>IF(278&lt;$U$9,MOD(INT(278/$U$8),$U$7)+1,1)</f>
        <v/>
      </c>
      <c r="BP291">
        <f>IF(278&lt;$U$9,MOD(278,$U$8)+1,1)</f>
        <v/>
      </c>
      <c r="BQ291">
        <f>IF(278&lt;$U$9,SUMPRODUCT(($D$10:$L$10&lt;&gt;"")*(($D$9:$L$9+INT(($S$12:$AA$12+INDEX($AJ$13:$AR$162,BN291,0)+INDEX($AT$13:$BB$162,BO291,0)+INDEX($BD$13:$BL$162,BP291,0))/100))&gt;=$D$10:$L$10)),0)</f>
        <v/>
      </c>
      <c r="BR291">
        <f>IF(278&lt;$U$9,SUMPRODUCT(($D$10:$L$10&lt;&gt;"")*(($D$10:$L$10-($D$9:$L$9+INT(($S$12:$AA$12+INDEX($AJ$13:$AR$162,BN291,0)+INDEX($AT$13:$BB$162,BO291,0)+INDEX($BD$13:$BL$162,BP291,0))/100)))&gt;0)*($D$10:$L$10-($D$9:$L$9+INT(($S$12:$AA$12+INDEX($AJ$13:$AR$162,BN291,0)+INDEX($AT$13:$BB$162,BO291,0)+INDEX($BD$13:$BL$162,BP291,0))/100)))),0)</f>
        <v/>
      </c>
      <c r="BS291">
        <f>IF(278&lt;$U$9,SUMPRODUCT(($D$9:$L$9+INT(($S$12:$AA$12+INDEX($AJ$13:$AR$162,BN291,0)+INDEX($AT$13:$BB$162,BO291,0)+INDEX($BD$13:$BL$162,BP291,0))/100))),0)</f>
        <v/>
      </c>
      <c r="BT291">
        <f>IF(AND(278&lt;$U$9,$W$5),BQ291*1000000-MIN(BR291,999)*1000+BS291-278/100000,-1000000000-278)</f>
        <v/>
      </c>
    </row>
    <row r="292">
      <c r="BN292">
        <f>IF(279&lt;$U$9,INT(279/($U$7*$U$8))+1,1)</f>
        <v/>
      </c>
      <c r="BO292">
        <f>IF(279&lt;$U$9,MOD(INT(279/$U$8),$U$7)+1,1)</f>
        <v/>
      </c>
      <c r="BP292">
        <f>IF(279&lt;$U$9,MOD(279,$U$8)+1,1)</f>
        <v/>
      </c>
      <c r="BQ292">
        <f>IF(279&lt;$U$9,SUMPRODUCT(($D$10:$L$10&lt;&gt;"")*(($D$9:$L$9+INT(($S$12:$AA$12+INDEX($AJ$13:$AR$162,BN292,0)+INDEX($AT$13:$BB$162,BO292,0)+INDEX($BD$13:$BL$162,BP292,0))/100))&gt;=$D$10:$L$10)),0)</f>
        <v/>
      </c>
      <c r="BR292">
        <f>IF(279&lt;$U$9,SUMPRODUCT(($D$10:$L$10&lt;&gt;"")*(($D$10:$L$10-($D$9:$L$9+INT(($S$12:$AA$12+INDEX($AJ$13:$AR$162,BN292,0)+INDEX($AT$13:$BB$162,BO292,0)+INDEX($BD$13:$BL$162,BP292,0))/100)))&gt;0)*($D$10:$L$10-($D$9:$L$9+INT(($S$12:$AA$12+INDEX($AJ$13:$AR$162,BN292,0)+INDEX($AT$13:$BB$162,BO292,0)+INDEX($BD$13:$BL$162,BP292,0))/100)))),0)</f>
        <v/>
      </c>
      <c r="BS292">
        <f>IF(279&lt;$U$9,SUMPRODUCT(($D$9:$L$9+INT(($S$12:$AA$12+INDEX($AJ$13:$AR$162,BN292,0)+INDEX($AT$13:$BB$162,BO292,0)+INDEX($BD$13:$BL$162,BP292,0))/100))),0)</f>
        <v/>
      </c>
      <c r="BT292">
        <f>IF(AND(279&lt;$U$9,$W$5),BQ292*1000000-MIN(BR292,999)*1000+BS292-279/100000,-1000000000-279)</f>
        <v/>
      </c>
    </row>
    <row r="293">
      <c r="BN293">
        <f>IF(280&lt;$U$9,INT(280/($U$7*$U$8))+1,1)</f>
        <v/>
      </c>
      <c r="BO293">
        <f>IF(280&lt;$U$9,MOD(INT(280/$U$8),$U$7)+1,1)</f>
        <v/>
      </c>
      <c r="BP293">
        <f>IF(280&lt;$U$9,MOD(280,$U$8)+1,1)</f>
        <v/>
      </c>
      <c r="BQ293">
        <f>IF(280&lt;$U$9,SUMPRODUCT(($D$10:$L$10&lt;&gt;"")*(($D$9:$L$9+INT(($S$12:$AA$12+INDEX($AJ$13:$AR$162,BN293,0)+INDEX($AT$13:$BB$162,BO293,0)+INDEX($BD$13:$BL$162,BP293,0))/100))&gt;=$D$10:$L$10)),0)</f>
        <v/>
      </c>
      <c r="BR293">
        <f>IF(280&lt;$U$9,SUMPRODUCT(($D$10:$L$10&lt;&gt;"")*(($D$10:$L$10-($D$9:$L$9+INT(($S$12:$AA$12+INDEX($AJ$13:$AR$162,BN293,0)+INDEX($AT$13:$BB$162,BO293,0)+INDEX($BD$13:$BL$162,BP293,0))/100)))&gt;0)*($D$10:$L$10-($D$9:$L$9+INT(($S$12:$AA$12+INDEX($AJ$13:$AR$162,BN293,0)+INDEX($AT$13:$BB$162,BO293,0)+INDEX($BD$13:$BL$162,BP293,0))/100)))),0)</f>
        <v/>
      </c>
      <c r="BS293">
        <f>IF(280&lt;$U$9,SUMPRODUCT(($D$9:$L$9+INT(($S$12:$AA$12+INDEX($AJ$13:$AR$162,BN293,0)+INDEX($AT$13:$BB$162,BO293,0)+INDEX($BD$13:$BL$162,BP293,0))/100))),0)</f>
        <v/>
      </c>
      <c r="BT293">
        <f>IF(AND(280&lt;$U$9,$W$5),BQ293*1000000-MIN(BR293,999)*1000+BS293-280/100000,-1000000000-280)</f>
        <v/>
      </c>
    </row>
    <row r="294">
      <c r="BN294">
        <f>IF(281&lt;$U$9,INT(281/($U$7*$U$8))+1,1)</f>
        <v/>
      </c>
      <c r="BO294">
        <f>IF(281&lt;$U$9,MOD(INT(281/$U$8),$U$7)+1,1)</f>
        <v/>
      </c>
      <c r="BP294">
        <f>IF(281&lt;$U$9,MOD(281,$U$8)+1,1)</f>
        <v/>
      </c>
      <c r="BQ294">
        <f>IF(281&lt;$U$9,SUMPRODUCT(($D$10:$L$10&lt;&gt;"")*(($D$9:$L$9+INT(($S$12:$AA$12+INDEX($AJ$13:$AR$162,BN294,0)+INDEX($AT$13:$BB$162,BO294,0)+INDEX($BD$13:$BL$162,BP294,0))/100))&gt;=$D$10:$L$10)),0)</f>
        <v/>
      </c>
      <c r="BR294">
        <f>IF(281&lt;$U$9,SUMPRODUCT(($D$10:$L$10&lt;&gt;"")*(($D$10:$L$10-($D$9:$L$9+INT(($S$12:$AA$12+INDEX($AJ$13:$AR$162,BN294,0)+INDEX($AT$13:$BB$162,BO294,0)+INDEX($BD$13:$BL$162,BP294,0))/100)))&gt;0)*($D$10:$L$10-($D$9:$L$9+INT(($S$12:$AA$12+INDEX($AJ$13:$AR$162,BN294,0)+INDEX($AT$13:$BB$162,BO294,0)+INDEX($BD$13:$BL$162,BP294,0))/100)))),0)</f>
        <v/>
      </c>
      <c r="BS294">
        <f>IF(281&lt;$U$9,SUMPRODUCT(($D$9:$L$9+INT(($S$12:$AA$12+INDEX($AJ$13:$AR$162,BN294,0)+INDEX($AT$13:$BB$162,BO294,0)+INDEX($BD$13:$BL$162,BP294,0))/100))),0)</f>
        <v/>
      </c>
      <c r="BT294">
        <f>IF(AND(281&lt;$U$9,$W$5),BQ294*1000000-MIN(BR294,999)*1000+BS294-281/100000,-1000000000-281)</f>
        <v/>
      </c>
    </row>
    <row r="295">
      <c r="BN295">
        <f>IF(282&lt;$U$9,INT(282/($U$7*$U$8))+1,1)</f>
        <v/>
      </c>
      <c r="BO295">
        <f>IF(282&lt;$U$9,MOD(INT(282/$U$8),$U$7)+1,1)</f>
        <v/>
      </c>
      <c r="BP295">
        <f>IF(282&lt;$U$9,MOD(282,$U$8)+1,1)</f>
        <v/>
      </c>
      <c r="BQ295">
        <f>IF(282&lt;$U$9,SUMPRODUCT(($D$10:$L$10&lt;&gt;"")*(($D$9:$L$9+INT(($S$12:$AA$12+INDEX($AJ$13:$AR$162,BN295,0)+INDEX($AT$13:$BB$162,BO295,0)+INDEX($BD$13:$BL$162,BP295,0))/100))&gt;=$D$10:$L$10)),0)</f>
        <v/>
      </c>
      <c r="BR295">
        <f>IF(282&lt;$U$9,SUMPRODUCT(($D$10:$L$10&lt;&gt;"")*(($D$10:$L$10-($D$9:$L$9+INT(($S$12:$AA$12+INDEX($AJ$13:$AR$162,BN295,0)+INDEX($AT$13:$BB$162,BO295,0)+INDEX($BD$13:$BL$162,BP295,0))/100)))&gt;0)*($D$10:$L$10-($D$9:$L$9+INT(($S$12:$AA$12+INDEX($AJ$13:$AR$162,BN295,0)+INDEX($AT$13:$BB$162,BO295,0)+INDEX($BD$13:$BL$162,BP295,0))/100)))),0)</f>
        <v/>
      </c>
      <c r="BS295">
        <f>IF(282&lt;$U$9,SUMPRODUCT(($D$9:$L$9+INT(($S$12:$AA$12+INDEX($AJ$13:$AR$162,BN295,0)+INDEX($AT$13:$BB$162,BO295,0)+INDEX($BD$13:$BL$162,BP295,0))/100))),0)</f>
        <v/>
      </c>
      <c r="BT295">
        <f>IF(AND(282&lt;$U$9,$W$5),BQ295*1000000-MIN(BR295,999)*1000+BS295-282/100000,-1000000000-282)</f>
        <v/>
      </c>
    </row>
    <row r="296">
      <c r="BN296">
        <f>IF(283&lt;$U$9,INT(283/($U$7*$U$8))+1,1)</f>
        <v/>
      </c>
      <c r="BO296">
        <f>IF(283&lt;$U$9,MOD(INT(283/$U$8),$U$7)+1,1)</f>
        <v/>
      </c>
      <c r="BP296">
        <f>IF(283&lt;$U$9,MOD(283,$U$8)+1,1)</f>
        <v/>
      </c>
      <c r="BQ296">
        <f>IF(283&lt;$U$9,SUMPRODUCT(($D$10:$L$10&lt;&gt;"")*(($D$9:$L$9+INT(($S$12:$AA$12+INDEX($AJ$13:$AR$162,BN296,0)+INDEX($AT$13:$BB$162,BO296,0)+INDEX($BD$13:$BL$162,BP296,0))/100))&gt;=$D$10:$L$10)),0)</f>
        <v/>
      </c>
      <c r="BR296">
        <f>IF(283&lt;$U$9,SUMPRODUCT(($D$10:$L$10&lt;&gt;"")*(($D$10:$L$10-($D$9:$L$9+INT(($S$12:$AA$12+INDEX($AJ$13:$AR$162,BN296,0)+INDEX($AT$13:$BB$162,BO296,0)+INDEX($BD$13:$BL$162,BP296,0))/100)))&gt;0)*($D$10:$L$10-($D$9:$L$9+INT(($S$12:$AA$12+INDEX($AJ$13:$AR$162,BN296,0)+INDEX($AT$13:$BB$162,BO296,0)+INDEX($BD$13:$BL$162,BP296,0))/100)))),0)</f>
        <v/>
      </c>
      <c r="BS296">
        <f>IF(283&lt;$U$9,SUMPRODUCT(($D$9:$L$9+INT(($S$12:$AA$12+INDEX($AJ$13:$AR$162,BN296,0)+INDEX($AT$13:$BB$162,BO296,0)+INDEX($BD$13:$BL$162,BP296,0))/100))),0)</f>
        <v/>
      </c>
      <c r="BT296">
        <f>IF(AND(283&lt;$U$9,$W$5),BQ296*1000000-MIN(BR296,999)*1000+BS296-283/100000,-1000000000-283)</f>
        <v/>
      </c>
    </row>
    <row r="297">
      <c r="BN297">
        <f>IF(284&lt;$U$9,INT(284/($U$7*$U$8))+1,1)</f>
        <v/>
      </c>
      <c r="BO297">
        <f>IF(284&lt;$U$9,MOD(INT(284/$U$8),$U$7)+1,1)</f>
        <v/>
      </c>
      <c r="BP297">
        <f>IF(284&lt;$U$9,MOD(284,$U$8)+1,1)</f>
        <v/>
      </c>
      <c r="BQ297">
        <f>IF(284&lt;$U$9,SUMPRODUCT(($D$10:$L$10&lt;&gt;"")*(($D$9:$L$9+INT(($S$12:$AA$12+INDEX($AJ$13:$AR$162,BN297,0)+INDEX($AT$13:$BB$162,BO297,0)+INDEX($BD$13:$BL$162,BP297,0))/100))&gt;=$D$10:$L$10)),0)</f>
        <v/>
      </c>
      <c r="BR297">
        <f>IF(284&lt;$U$9,SUMPRODUCT(($D$10:$L$10&lt;&gt;"")*(($D$10:$L$10-($D$9:$L$9+INT(($S$12:$AA$12+INDEX($AJ$13:$AR$162,BN297,0)+INDEX($AT$13:$BB$162,BO297,0)+INDEX($BD$13:$BL$162,BP297,0))/100)))&gt;0)*($D$10:$L$10-($D$9:$L$9+INT(($S$12:$AA$12+INDEX($AJ$13:$AR$162,BN297,0)+INDEX($AT$13:$BB$162,BO297,0)+INDEX($BD$13:$BL$162,BP297,0))/100)))),0)</f>
        <v/>
      </c>
      <c r="BS297">
        <f>IF(284&lt;$U$9,SUMPRODUCT(($D$9:$L$9+INT(($S$12:$AA$12+INDEX($AJ$13:$AR$162,BN297,0)+INDEX($AT$13:$BB$162,BO297,0)+INDEX($BD$13:$BL$162,BP297,0))/100))),0)</f>
        <v/>
      </c>
      <c r="BT297">
        <f>IF(AND(284&lt;$U$9,$W$5),BQ297*1000000-MIN(BR297,999)*1000+BS297-284/100000,-1000000000-284)</f>
        <v/>
      </c>
    </row>
    <row r="298">
      <c r="BN298">
        <f>IF(285&lt;$U$9,INT(285/($U$7*$U$8))+1,1)</f>
        <v/>
      </c>
      <c r="BO298">
        <f>IF(285&lt;$U$9,MOD(INT(285/$U$8),$U$7)+1,1)</f>
        <v/>
      </c>
      <c r="BP298">
        <f>IF(285&lt;$U$9,MOD(285,$U$8)+1,1)</f>
        <v/>
      </c>
      <c r="BQ298">
        <f>IF(285&lt;$U$9,SUMPRODUCT(($D$10:$L$10&lt;&gt;"")*(($D$9:$L$9+INT(($S$12:$AA$12+INDEX($AJ$13:$AR$162,BN298,0)+INDEX($AT$13:$BB$162,BO298,0)+INDEX($BD$13:$BL$162,BP298,0))/100))&gt;=$D$10:$L$10)),0)</f>
        <v/>
      </c>
      <c r="BR298">
        <f>IF(285&lt;$U$9,SUMPRODUCT(($D$10:$L$10&lt;&gt;"")*(($D$10:$L$10-($D$9:$L$9+INT(($S$12:$AA$12+INDEX($AJ$13:$AR$162,BN298,0)+INDEX($AT$13:$BB$162,BO298,0)+INDEX($BD$13:$BL$162,BP298,0))/100)))&gt;0)*($D$10:$L$10-($D$9:$L$9+INT(($S$12:$AA$12+INDEX($AJ$13:$AR$162,BN298,0)+INDEX($AT$13:$BB$162,BO298,0)+INDEX($BD$13:$BL$162,BP298,0))/100)))),0)</f>
        <v/>
      </c>
      <c r="BS298">
        <f>IF(285&lt;$U$9,SUMPRODUCT(($D$9:$L$9+INT(($S$12:$AA$12+INDEX($AJ$13:$AR$162,BN298,0)+INDEX($AT$13:$BB$162,BO298,0)+INDEX($BD$13:$BL$162,BP298,0))/100))),0)</f>
        <v/>
      </c>
      <c r="BT298">
        <f>IF(AND(285&lt;$U$9,$W$5),BQ298*1000000-MIN(BR298,999)*1000+BS298-285/100000,-1000000000-285)</f>
        <v/>
      </c>
    </row>
    <row r="299">
      <c r="BN299">
        <f>IF(286&lt;$U$9,INT(286/($U$7*$U$8))+1,1)</f>
        <v/>
      </c>
      <c r="BO299">
        <f>IF(286&lt;$U$9,MOD(INT(286/$U$8),$U$7)+1,1)</f>
        <v/>
      </c>
      <c r="BP299">
        <f>IF(286&lt;$U$9,MOD(286,$U$8)+1,1)</f>
        <v/>
      </c>
      <c r="BQ299">
        <f>IF(286&lt;$U$9,SUMPRODUCT(($D$10:$L$10&lt;&gt;"")*(($D$9:$L$9+INT(($S$12:$AA$12+INDEX($AJ$13:$AR$162,BN299,0)+INDEX($AT$13:$BB$162,BO299,0)+INDEX($BD$13:$BL$162,BP299,0))/100))&gt;=$D$10:$L$10)),0)</f>
        <v/>
      </c>
      <c r="BR299">
        <f>IF(286&lt;$U$9,SUMPRODUCT(($D$10:$L$10&lt;&gt;"")*(($D$10:$L$10-($D$9:$L$9+INT(($S$12:$AA$12+INDEX($AJ$13:$AR$162,BN299,0)+INDEX($AT$13:$BB$162,BO299,0)+INDEX($BD$13:$BL$162,BP299,0))/100)))&gt;0)*($D$10:$L$10-($D$9:$L$9+INT(($S$12:$AA$12+INDEX($AJ$13:$AR$162,BN299,0)+INDEX($AT$13:$BB$162,BO299,0)+INDEX($BD$13:$BL$162,BP299,0))/100)))),0)</f>
        <v/>
      </c>
      <c r="BS299">
        <f>IF(286&lt;$U$9,SUMPRODUCT(($D$9:$L$9+INT(($S$12:$AA$12+INDEX($AJ$13:$AR$162,BN299,0)+INDEX($AT$13:$BB$162,BO299,0)+INDEX($BD$13:$BL$162,BP299,0))/100))),0)</f>
        <v/>
      </c>
      <c r="BT299">
        <f>IF(AND(286&lt;$U$9,$W$5),BQ299*1000000-MIN(BR299,999)*1000+BS299-286/100000,-1000000000-286)</f>
        <v/>
      </c>
    </row>
    <row r="300">
      <c r="BN300">
        <f>IF(287&lt;$U$9,INT(287/($U$7*$U$8))+1,1)</f>
        <v/>
      </c>
      <c r="BO300">
        <f>IF(287&lt;$U$9,MOD(INT(287/$U$8),$U$7)+1,1)</f>
        <v/>
      </c>
      <c r="BP300">
        <f>IF(287&lt;$U$9,MOD(287,$U$8)+1,1)</f>
        <v/>
      </c>
      <c r="BQ300">
        <f>IF(287&lt;$U$9,SUMPRODUCT(($D$10:$L$10&lt;&gt;"")*(($D$9:$L$9+INT(($S$12:$AA$12+INDEX($AJ$13:$AR$162,BN300,0)+INDEX($AT$13:$BB$162,BO300,0)+INDEX($BD$13:$BL$162,BP300,0))/100))&gt;=$D$10:$L$10)),0)</f>
        <v/>
      </c>
      <c r="BR300">
        <f>IF(287&lt;$U$9,SUMPRODUCT(($D$10:$L$10&lt;&gt;"")*(($D$10:$L$10-($D$9:$L$9+INT(($S$12:$AA$12+INDEX($AJ$13:$AR$162,BN300,0)+INDEX($AT$13:$BB$162,BO300,0)+INDEX($BD$13:$BL$162,BP300,0))/100)))&gt;0)*($D$10:$L$10-($D$9:$L$9+INT(($S$12:$AA$12+INDEX($AJ$13:$AR$162,BN300,0)+INDEX($AT$13:$BB$162,BO300,0)+INDEX($BD$13:$BL$162,BP300,0))/100)))),0)</f>
        <v/>
      </c>
      <c r="BS300">
        <f>IF(287&lt;$U$9,SUMPRODUCT(($D$9:$L$9+INT(($S$12:$AA$12+INDEX($AJ$13:$AR$162,BN300,0)+INDEX($AT$13:$BB$162,BO300,0)+INDEX($BD$13:$BL$162,BP300,0))/100))),0)</f>
        <v/>
      </c>
      <c r="BT300">
        <f>IF(AND(287&lt;$U$9,$W$5),BQ300*1000000-MIN(BR300,999)*1000+BS300-287/100000,-1000000000-287)</f>
        <v/>
      </c>
    </row>
    <row r="301">
      <c r="BN301">
        <f>IF(288&lt;$U$9,INT(288/($U$7*$U$8))+1,1)</f>
        <v/>
      </c>
      <c r="BO301">
        <f>IF(288&lt;$U$9,MOD(INT(288/$U$8),$U$7)+1,1)</f>
        <v/>
      </c>
      <c r="BP301">
        <f>IF(288&lt;$U$9,MOD(288,$U$8)+1,1)</f>
        <v/>
      </c>
      <c r="BQ301">
        <f>IF(288&lt;$U$9,SUMPRODUCT(($D$10:$L$10&lt;&gt;"")*(($D$9:$L$9+INT(($S$12:$AA$12+INDEX($AJ$13:$AR$162,BN301,0)+INDEX($AT$13:$BB$162,BO301,0)+INDEX($BD$13:$BL$162,BP301,0))/100))&gt;=$D$10:$L$10)),0)</f>
        <v/>
      </c>
      <c r="BR301">
        <f>IF(288&lt;$U$9,SUMPRODUCT(($D$10:$L$10&lt;&gt;"")*(($D$10:$L$10-($D$9:$L$9+INT(($S$12:$AA$12+INDEX($AJ$13:$AR$162,BN301,0)+INDEX($AT$13:$BB$162,BO301,0)+INDEX($BD$13:$BL$162,BP301,0))/100)))&gt;0)*($D$10:$L$10-($D$9:$L$9+INT(($S$12:$AA$12+INDEX($AJ$13:$AR$162,BN301,0)+INDEX($AT$13:$BB$162,BO301,0)+INDEX($BD$13:$BL$162,BP301,0))/100)))),0)</f>
        <v/>
      </c>
      <c r="BS301">
        <f>IF(288&lt;$U$9,SUMPRODUCT(($D$9:$L$9+INT(($S$12:$AA$12+INDEX($AJ$13:$AR$162,BN301,0)+INDEX($AT$13:$BB$162,BO301,0)+INDEX($BD$13:$BL$162,BP301,0))/100))),0)</f>
        <v/>
      </c>
      <c r="BT301">
        <f>IF(AND(288&lt;$U$9,$W$5),BQ301*1000000-MIN(BR301,999)*1000+BS301-288/100000,-1000000000-288)</f>
        <v/>
      </c>
    </row>
    <row r="302">
      <c r="BN302">
        <f>IF(289&lt;$U$9,INT(289/($U$7*$U$8))+1,1)</f>
        <v/>
      </c>
      <c r="BO302">
        <f>IF(289&lt;$U$9,MOD(INT(289/$U$8),$U$7)+1,1)</f>
        <v/>
      </c>
      <c r="BP302">
        <f>IF(289&lt;$U$9,MOD(289,$U$8)+1,1)</f>
        <v/>
      </c>
      <c r="BQ302">
        <f>IF(289&lt;$U$9,SUMPRODUCT(($D$10:$L$10&lt;&gt;"")*(($D$9:$L$9+INT(($S$12:$AA$12+INDEX($AJ$13:$AR$162,BN302,0)+INDEX($AT$13:$BB$162,BO302,0)+INDEX($BD$13:$BL$162,BP302,0))/100))&gt;=$D$10:$L$10)),0)</f>
        <v/>
      </c>
      <c r="BR302">
        <f>IF(289&lt;$U$9,SUMPRODUCT(($D$10:$L$10&lt;&gt;"")*(($D$10:$L$10-($D$9:$L$9+INT(($S$12:$AA$12+INDEX($AJ$13:$AR$162,BN302,0)+INDEX($AT$13:$BB$162,BO302,0)+INDEX($BD$13:$BL$162,BP302,0))/100)))&gt;0)*($D$10:$L$10-($D$9:$L$9+INT(($S$12:$AA$12+INDEX($AJ$13:$AR$162,BN302,0)+INDEX($AT$13:$BB$162,BO302,0)+INDEX($BD$13:$BL$162,BP302,0))/100)))),0)</f>
        <v/>
      </c>
      <c r="BS302">
        <f>IF(289&lt;$U$9,SUMPRODUCT(($D$9:$L$9+INT(($S$12:$AA$12+INDEX($AJ$13:$AR$162,BN302,0)+INDEX($AT$13:$BB$162,BO302,0)+INDEX($BD$13:$BL$162,BP302,0))/100))),0)</f>
        <v/>
      </c>
      <c r="BT302">
        <f>IF(AND(289&lt;$U$9,$W$5),BQ302*1000000-MIN(BR302,999)*1000+BS302-289/100000,-1000000000-289)</f>
        <v/>
      </c>
    </row>
    <row r="303">
      <c r="BN303">
        <f>IF(290&lt;$U$9,INT(290/($U$7*$U$8))+1,1)</f>
        <v/>
      </c>
      <c r="BO303">
        <f>IF(290&lt;$U$9,MOD(INT(290/$U$8),$U$7)+1,1)</f>
        <v/>
      </c>
      <c r="BP303">
        <f>IF(290&lt;$U$9,MOD(290,$U$8)+1,1)</f>
        <v/>
      </c>
      <c r="BQ303">
        <f>IF(290&lt;$U$9,SUMPRODUCT(($D$10:$L$10&lt;&gt;"")*(($D$9:$L$9+INT(($S$12:$AA$12+INDEX($AJ$13:$AR$162,BN303,0)+INDEX($AT$13:$BB$162,BO303,0)+INDEX($BD$13:$BL$162,BP303,0))/100))&gt;=$D$10:$L$10)),0)</f>
        <v/>
      </c>
      <c r="BR303">
        <f>IF(290&lt;$U$9,SUMPRODUCT(($D$10:$L$10&lt;&gt;"")*(($D$10:$L$10-($D$9:$L$9+INT(($S$12:$AA$12+INDEX($AJ$13:$AR$162,BN303,0)+INDEX($AT$13:$BB$162,BO303,0)+INDEX($BD$13:$BL$162,BP303,0))/100)))&gt;0)*($D$10:$L$10-($D$9:$L$9+INT(($S$12:$AA$12+INDEX($AJ$13:$AR$162,BN303,0)+INDEX($AT$13:$BB$162,BO303,0)+INDEX($BD$13:$BL$162,BP303,0))/100)))),0)</f>
        <v/>
      </c>
      <c r="BS303">
        <f>IF(290&lt;$U$9,SUMPRODUCT(($D$9:$L$9+INT(($S$12:$AA$12+INDEX($AJ$13:$AR$162,BN303,0)+INDEX($AT$13:$BB$162,BO303,0)+INDEX($BD$13:$BL$162,BP303,0))/100))),0)</f>
        <v/>
      </c>
      <c r="BT303">
        <f>IF(AND(290&lt;$U$9,$W$5),BQ303*1000000-MIN(BR303,999)*1000+BS303-290/100000,-1000000000-290)</f>
        <v/>
      </c>
    </row>
    <row r="304">
      <c r="BN304">
        <f>IF(291&lt;$U$9,INT(291/($U$7*$U$8))+1,1)</f>
        <v/>
      </c>
      <c r="BO304">
        <f>IF(291&lt;$U$9,MOD(INT(291/$U$8),$U$7)+1,1)</f>
        <v/>
      </c>
      <c r="BP304">
        <f>IF(291&lt;$U$9,MOD(291,$U$8)+1,1)</f>
        <v/>
      </c>
      <c r="BQ304">
        <f>IF(291&lt;$U$9,SUMPRODUCT(($D$10:$L$10&lt;&gt;"")*(($D$9:$L$9+INT(($S$12:$AA$12+INDEX($AJ$13:$AR$162,BN304,0)+INDEX($AT$13:$BB$162,BO304,0)+INDEX($BD$13:$BL$162,BP304,0))/100))&gt;=$D$10:$L$10)),0)</f>
        <v/>
      </c>
      <c r="BR304">
        <f>IF(291&lt;$U$9,SUMPRODUCT(($D$10:$L$10&lt;&gt;"")*(($D$10:$L$10-($D$9:$L$9+INT(($S$12:$AA$12+INDEX($AJ$13:$AR$162,BN304,0)+INDEX($AT$13:$BB$162,BO304,0)+INDEX($BD$13:$BL$162,BP304,0))/100)))&gt;0)*($D$10:$L$10-($D$9:$L$9+INT(($S$12:$AA$12+INDEX($AJ$13:$AR$162,BN304,0)+INDEX($AT$13:$BB$162,BO304,0)+INDEX($BD$13:$BL$162,BP304,0))/100)))),0)</f>
        <v/>
      </c>
      <c r="BS304">
        <f>IF(291&lt;$U$9,SUMPRODUCT(($D$9:$L$9+INT(($S$12:$AA$12+INDEX($AJ$13:$AR$162,BN304,0)+INDEX($AT$13:$BB$162,BO304,0)+INDEX($BD$13:$BL$162,BP304,0))/100))),0)</f>
        <v/>
      </c>
      <c r="BT304">
        <f>IF(AND(291&lt;$U$9,$W$5),BQ304*1000000-MIN(BR304,999)*1000+BS304-291/100000,-1000000000-291)</f>
        <v/>
      </c>
    </row>
    <row r="305">
      <c r="BN305">
        <f>IF(292&lt;$U$9,INT(292/($U$7*$U$8))+1,1)</f>
        <v/>
      </c>
      <c r="BO305">
        <f>IF(292&lt;$U$9,MOD(INT(292/$U$8),$U$7)+1,1)</f>
        <v/>
      </c>
      <c r="BP305">
        <f>IF(292&lt;$U$9,MOD(292,$U$8)+1,1)</f>
        <v/>
      </c>
      <c r="BQ305">
        <f>IF(292&lt;$U$9,SUMPRODUCT(($D$10:$L$10&lt;&gt;"")*(($D$9:$L$9+INT(($S$12:$AA$12+INDEX($AJ$13:$AR$162,BN305,0)+INDEX($AT$13:$BB$162,BO305,0)+INDEX($BD$13:$BL$162,BP305,0))/100))&gt;=$D$10:$L$10)),0)</f>
        <v/>
      </c>
      <c r="BR305">
        <f>IF(292&lt;$U$9,SUMPRODUCT(($D$10:$L$10&lt;&gt;"")*(($D$10:$L$10-($D$9:$L$9+INT(($S$12:$AA$12+INDEX($AJ$13:$AR$162,BN305,0)+INDEX($AT$13:$BB$162,BO305,0)+INDEX($BD$13:$BL$162,BP305,0))/100)))&gt;0)*($D$10:$L$10-($D$9:$L$9+INT(($S$12:$AA$12+INDEX($AJ$13:$AR$162,BN305,0)+INDEX($AT$13:$BB$162,BO305,0)+INDEX($BD$13:$BL$162,BP305,0))/100)))),0)</f>
        <v/>
      </c>
      <c r="BS305">
        <f>IF(292&lt;$U$9,SUMPRODUCT(($D$9:$L$9+INT(($S$12:$AA$12+INDEX($AJ$13:$AR$162,BN305,0)+INDEX($AT$13:$BB$162,BO305,0)+INDEX($BD$13:$BL$162,BP305,0))/100))),0)</f>
        <v/>
      </c>
      <c r="BT305">
        <f>IF(AND(292&lt;$U$9,$W$5),BQ305*1000000-MIN(BR305,999)*1000+BS305-292/100000,-1000000000-292)</f>
        <v/>
      </c>
    </row>
    <row r="306">
      <c r="BN306">
        <f>IF(293&lt;$U$9,INT(293/($U$7*$U$8))+1,1)</f>
        <v/>
      </c>
      <c r="BO306">
        <f>IF(293&lt;$U$9,MOD(INT(293/$U$8),$U$7)+1,1)</f>
        <v/>
      </c>
      <c r="BP306">
        <f>IF(293&lt;$U$9,MOD(293,$U$8)+1,1)</f>
        <v/>
      </c>
      <c r="BQ306">
        <f>IF(293&lt;$U$9,SUMPRODUCT(($D$10:$L$10&lt;&gt;"")*(($D$9:$L$9+INT(($S$12:$AA$12+INDEX($AJ$13:$AR$162,BN306,0)+INDEX($AT$13:$BB$162,BO306,0)+INDEX($BD$13:$BL$162,BP306,0))/100))&gt;=$D$10:$L$10)),0)</f>
        <v/>
      </c>
      <c r="BR306">
        <f>IF(293&lt;$U$9,SUMPRODUCT(($D$10:$L$10&lt;&gt;"")*(($D$10:$L$10-($D$9:$L$9+INT(($S$12:$AA$12+INDEX($AJ$13:$AR$162,BN306,0)+INDEX($AT$13:$BB$162,BO306,0)+INDEX($BD$13:$BL$162,BP306,0))/100)))&gt;0)*($D$10:$L$10-($D$9:$L$9+INT(($S$12:$AA$12+INDEX($AJ$13:$AR$162,BN306,0)+INDEX($AT$13:$BB$162,BO306,0)+INDEX($BD$13:$BL$162,BP306,0))/100)))),0)</f>
        <v/>
      </c>
      <c r="BS306">
        <f>IF(293&lt;$U$9,SUMPRODUCT(($D$9:$L$9+INT(($S$12:$AA$12+INDEX($AJ$13:$AR$162,BN306,0)+INDEX($AT$13:$BB$162,BO306,0)+INDEX($BD$13:$BL$162,BP306,0))/100))),0)</f>
        <v/>
      </c>
      <c r="BT306">
        <f>IF(AND(293&lt;$U$9,$W$5),BQ306*1000000-MIN(BR306,999)*1000+BS306-293/100000,-1000000000-293)</f>
        <v/>
      </c>
    </row>
    <row r="307">
      <c r="BN307">
        <f>IF(294&lt;$U$9,INT(294/($U$7*$U$8))+1,1)</f>
        <v/>
      </c>
      <c r="BO307">
        <f>IF(294&lt;$U$9,MOD(INT(294/$U$8),$U$7)+1,1)</f>
        <v/>
      </c>
      <c r="BP307">
        <f>IF(294&lt;$U$9,MOD(294,$U$8)+1,1)</f>
        <v/>
      </c>
      <c r="BQ307">
        <f>IF(294&lt;$U$9,SUMPRODUCT(($D$10:$L$10&lt;&gt;"")*(($D$9:$L$9+INT(($S$12:$AA$12+INDEX($AJ$13:$AR$162,BN307,0)+INDEX($AT$13:$BB$162,BO307,0)+INDEX($BD$13:$BL$162,BP307,0))/100))&gt;=$D$10:$L$10)),0)</f>
        <v/>
      </c>
      <c r="BR307">
        <f>IF(294&lt;$U$9,SUMPRODUCT(($D$10:$L$10&lt;&gt;"")*(($D$10:$L$10-($D$9:$L$9+INT(($S$12:$AA$12+INDEX($AJ$13:$AR$162,BN307,0)+INDEX($AT$13:$BB$162,BO307,0)+INDEX($BD$13:$BL$162,BP307,0))/100)))&gt;0)*($D$10:$L$10-($D$9:$L$9+INT(($S$12:$AA$12+INDEX($AJ$13:$AR$162,BN307,0)+INDEX($AT$13:$BB$162,BO307,0)+INDEX($BD$13:$BL$162,BP307,0))/100)))),0)</f>
        <v/>
      </c>
      <c r="BS307">
        <f>IF(294&lt;$U$9,SUMPRODUCT(($D$9:$L$9+INT(($S$12:$AA$12+INDEX($AJ$13:$AR$162,BN307,0)+INDEX($AT$13:$BB$162,BO307,0)+INDEX($BD$13:$BL$162,BP307,0))/100))),0)</f>
        <v/>
      </c>
      <c r="BT307">
        <f>IF(AND(294&lt;$U$9,$W$5),BQ307*1000000-MIN(BR307,999)*1000+BS307-294/100000,-1000000000-294)</f>
        <v/>
      </c>
    </row>
    <row r="308">
      <c r="BN308">
        <f>IF(295&lt;$U$9,INT(295/($U$7*$U$8))+1,1)</f>
        <v/>
      </c>
      <c r="BO308">
        <f>IF(295&lt;$U$9,MOD(INT(295/$U$8),$U$7)+1,1)</f>
        <v/>
      </c>
      <c r="BP308">
        <f>IF(295&lt;$U$9,MOD(295,$U$8)+1,1)</f>
        <v/>
      </c>
      <c r="BQ308">
        <f>IF(295&lt;$U$9,SUMPRODUCT(($D$10:$L$10&lt;&gt;"")*(($D$9:$L$9+INT(($S$12:$AA$12+INDEX($AJ$13:$AR$162,BN308,0)+INDEX($AT$13:$BB$162,BO308,0)+INDEX($BD$13:$BL$162,BP308,0))/100))&gt;=$D$10:$L$10)),0)</f>
        <v/>
      </c>
      <c r="BR308">
        <f>IF(295&lt;$U$9,SUMPRODUCT(($D$10:$L$10&lt;&gt;"")*(($D$10:$L$10-($D$9:$L$9+INT(($S$12:$AA$12+INDEX($AJ$13:$AR$162,BN308,0)+INDEX($AT$13:$BB$162,BO308,0)+INDEX($BD$13:$BL$162,BP308,0))/100)))&gt;0)*($D$10:$L$10-($D$9:$L$9+INT(($S$12:$AA$12+INDEX($AJ$13:$AR$162,BN308,0)+INDEX($AT$13:$BB$162,BO308,0)+INDEX($BD$13:$BL$162,BP308,0))/100)))),0)</f>
        <v/>
      </c>
      <c r="BS308">
        <f>IF(295&lt;$U$9,SUMPRODUCT(($D$9:$L$9+INT(($S$12:$AA$12+INDEX($AJ$13:$AR$162,BN308,0)+INDEX($AT$13:$BB$162,BO308,0)+INDEX($BD$13:$BL$162,BP308,0))/100))),0)</f>
        <v/>
      </c>
      <c r="BT308">
        <f>IF(AND(295&lt;$U$9,$W$5),BQ308*1000000-MIN(BR308,999)*1000+BS308-295/100000,-1000000000-295)</f>
        <v/>
      </c>
    </row>
    <row r="309">
      <c r="BN309">
        <f>IF(296&lt;$U$9,INT(296/($U$7*$U$8))+1,1)</f>
        <v/>
      </c>
      <c r="BO309">
        <f>IF(296&lt;$U$9,MOD(INT(296/$U$8),$U$7)+1,1)</f>
        <v/>
      </c>
      <c r="BP309">
        <f>IF(296&lt;$U$9,MOD(296,$U$8)+1,1)</f>
        <v/>
      </c>
      <c r="BQ309">
        <f>IF(296&lt;$U$9,SUMPRODUCT(($D$10:$L$10&lt;&gt;"")*(($D$9:$L$9+INT(($S$12:$AA$12+INDEX($AJ$13:$AR$162,BN309,0)+INDEX($AT$13:$BB$162,BO309,0)+INDEX($BD$13:$BL$162,BP309,0))/100))&gt;=$D$10:$L$10)),0)</f>
        <v/>
      </c>
      <c r="BR309">
        <f>IF(296&lt;$U$9,SUMPRODUCT(($D$10:$L$10&lt;&gt;"")*(($D$10:$L$10-($D$9:$L$9+INT(($S$12:$AA$12+INDEX($AJ$13:$AR$162,BN309,0)+INDEX($AT$13:$BB$162,BO309,0)+INDEX($BD$13:$BL$162,BP309,0))/100)))&gt;0)*($D$10:$L$10-($D$9:$L$9+INT(($S$12:$AA$12+INDEX($AJ$13:$AR$162,BN309,0)+INDEX($AT$13:$BB$162,BO309,0)+INDEX($BD$13:$BL$162,BP309,0))/100)))),0)</f>
        <v/>
      </c>
      <c r="BS309">
        <f>IF(296&lt;$U$9,SUMPRODUCT(($D$9:$L$9+INT(($S$12:$AA$12+INDEX($AJ$13:$AR$162,BN309,0)+INDEX($AT$13:$BB$162,BO309,0)+INDEX($BD$13:$BL$162,BP309,0))/100))),0)</f>
        <v/>
      </c>
      <c r="BT309">
        <f>IF(AND(296&lt;$U$9,$W$5),BQ309*1000000-MIN(BR309,999)*1000+BS309-296/100000,-1000000000-296)</f>
        <v/>
      </c>
    </row>
    <row r="310">
      <c r="BN310">
        <f>IF(297&lt;$U$9,INT(297/($U$7*$U$8))+1,1)</f>
        <v/>
      </c>
      <c r="BO310">
        <f>IF(297&lt;$U$9,MOD(INT(297/$U$8),$U$7)+1,1)</f>
        <v/>
      </c>
      <c r="BP310">
        <f>IF(297&lt;$U$9,MOD(297,$U$8)+1,1)</f>
        <v/>
      </c>
      <c r="BQ310">
        <f>IF(297&lt;$U$9,SUMPRODUCT(($D$10:$L$10&lt;&gt;"")*(($D$9:$L$9+INT(($S$12:$AA$12+INDEX($AJ$13:$AR$162,BN310,0)+INDEX($AT$13:$BB$162,BO310,0)+INDEX($BD$13:$BL$162,BP310,0))/100))&gt;=$D$10:$L$10)),0)</f>
        <v/>
      </c>
      <c r="BR310">
        <f>IF(297&lt;$U$9,SUMPRODUCT(($D$10:$L$10&lt;&gt;"")*(($D$10:$L$10-($D$9:$L$9+INT(($S$12:$AA$12+INDEX($AJ$13:$AR$162,BN310,0)+INDEX($AT$13:$BB$162,BO310,0)+INDEX($BD$13:$BL$162,BP310,0))/100)))&gt;0)*($D$10:$L$10-($D$9:$L$9+INT(($S$12:$AA$12+INDEX($AJ$13:$AR$162,BN310,0)+INDEX($AT$13:$BB$162,BO310,0)+INDEX($BD$13:$BL$162,BP310,0))/100)))),0)</f>
        <v/>
      </c>
      <c r="BS310">
        <f>IF(297&lt;$U$9,SUMPRODUCT(($D$9:$L$9+INT(($S$12:$AA$12+INDEX($AJ$13:$AR$162,BN310,0)+INDEX($AT$13:$BB$162,BO310,0)+INDEX($BD$13:$BL$162,BP310,0))/100))),0)</f>
        <v/>
      </c>
      <c r="BT310">
        <f>IF(AND(297&lt;$U$9,$W$5),BQ310*1000000-MIN(BR310,999)*1000+BS310-297/100000,-1000000000-297)</f>
        <v/>
      </c>
    </row>
    <row r="311">
      <c r="BN311">
        <f>IF(298&lt;$U$9,INT(298/($U$7*$U$8))+1,1)</f>
        <v/>
      </c>
      <c r="BO311">
        <f>IF(298&lt;$U$9,MOD(INT(298/$U$8),$U$7)+1,1)</f>
        <v/>
      </c>
      <c r="BP311">
        <f>IF(298&lt;$U$9,MOD(298,$U$8)+1,1)</f>
        <v/>
      </c>
      <c r="BQ311">
        <f>IF(298&lt;$U$9,SUMPRODUCT(($D$10:$L$10&lt;&gt;"")*(($D$9:$L$9+INT(($S$12:$AA$12+INDEX($AJ$13:$AR$162,BN311,0)+INDEX($AT$13:$BB$162,BO311,0)+INDEX($BD$13:$BL$162,BP311,0))/100))&gt;=$D$10:$L$10)),0)</f>
        <v/>
      </c>
      <c r="BR311">
        <f>IF(298&lt;$U$9,SUMPRODUCT(($D$10:$L$10&lt;&gt;"")*(($D$10:$L$10-($D$9:$L$9+INT(($S$12:$AA$12+INDEX($AJ$13:$AR$162,BN311,0)+INDEX($AT$13:$BB$162,BO311,0)+INDEX($BD$13:$BL$162,BP311,0))/100)))&gt;0)*($D$10:$L$10-($D$9:$L$9+INT(($S$12:$AA$12+INDEX($AJ$13:$AR$162,BN311,0)+INDEX($AT$13:$BB$162,BO311,0)+INDEX($BD$13:$BL$162,BP311,0))/100)))),0)</f>
        <v/>
      </c>
      <c r="BS311">
        <f>IF(298&lt;$U$9,SUMPRODUCT(($D$9:$L$9+INT(($S$12:$AA$12+INDEX($AJ$13:$AR$162,BN311,0)+INDEX($AT$13:$BB$162,BO311,0)+INDEX($BD$13:$BL$162,BP311,0))/100))),0)</f>
        <v/>
      </c>
      <c r="BT311">
        <f>IF(AND(298&lt;$U$9,$W$5),BQ311*1000000-MIN(BR311,999)*1000+BS311-298/100000,-1000000000-298)</f>
        <v/>
      </c>
    </row>
    <row r="312">
      <c r="BN312">
        <f>IF(299&lt;$U$9,INT(299/($U$7*$U$8))+1,1)</f>
        <v/>
      </c>
      <c r="BO312">
        <f>IF(299&lt;$U$9,MOD(INT(299/$U$8),$U$7)+1,1)</f>
        <v/>
      </c>
      <c r="BP312">
        <f>IF(299&lt;$U$9,MOD(299,$U$8)+1,1)</f>
        <v/>
      </c>
      <c r="BQ312">
        <f>IF(299&lt;$U$9,SUMPRODUCT(($D$10:$L$10&lt;&gt;"")*(($D$9:$L$9+INT(($S$12:$AA$12+INDEX($AJ$13:$AR$162,BN312,0)+INDEX($AT$13:$BB$162,BO312,0)+INDEX($BD$13:$BL$162,BP312,0))/100))&gt;=$D$10:$L$10)),0)</f>
        <v/>
      </c>
      <c r="BR312">
        <f>IF(299&lt;$U$9,SUMPRODUCT(($D$10:$L$10&lt;&gt;"")*(($D$10:$L$10-($D$9:$L$9+INT(($S$12:$AA$12+INDEX($AJ$13:$AR$162,BN312,0)+INDEX($AT$13:$BB$162,BO312,0)+INDEX($BD$13:$BL$162,BP312,0))/100)))&gt;0)*($D$10:$L$10-($D$9:$L$9+INT(($S$12:$AA$12+INDEX($AJ$13:$AR$162,BN312,0)+INDEX($AT$13:$BB$162,BO312,0)+INDEX($BD$13:$BL$162,BP312,0))/100)))),0)</f>
        <v/>
      </c>
      <c r="BS312">
        <f>IF(299&lt;$U$9,SUMPRODUCT(($D$9:$L$9+INT(($S$12:$AA$12+INDEX($AJ$13:$AR$162,BN312,0)+INDEX($AT$13:$BB$162,BO312,0)+INDEX($BD$13:$BL$162,BP312,0))/100))),0)</f>
        <v/>
      </c>
      <c r="BT312">
        <f>IF(AND(299&lt;$U$9,$W$5),BQ312*1000000-MIN(BR312,999)*1000+BS312-299/100000,-1000000000-299)</f>
        <v/>
      </c>
    </row>
    <row r="313">
      <c r="BN313">
        <f>IF(300&lt;$U$9,INT(300/($U$7*$U$8))+1,1)</f>
        <v/>
      </c>
      <c r="BO313">
        <f>IF(300&lt;$U$9,MOD(INT(300/$U$8),$U$7)+1,1)</f>
        <v/>
      </c>
      <c r="BP313">
        <f>IF(300&lt;$U$9,MOD(300,$U$8)+1,1)</f>
        <v/>
      </c>
      <c r="BQ313">
        <f>IF(300&lt;$U$9,SUMPRODUCT(($D$10:$L$10&lt;&gt;"")*(($D$9:$L$9+INT(($S$12:$AA$12+INDEX($AJ$13:$AR$162,BN313,0)+INDEX($AT$13:$BB$162,BO313,0)+INDEX($BD$13:$BL$162,BP313,0))/100))&gt;=$D$10:$L$10)),0)</f>
        <v/>
      </c>
      <c r="BR313">
        <f>IF(300&lt;$U$9,SUMPRODUCT(($D$10:$L$10&lt;&gt;"")*(($D$10:$L$10-($D$9:$L$9+INT(($S$12:$AA$12+INDEX($AJ$13:$AR$162,BN313,0)+INDEX($AT$13:$BB$162,BO313,0)+INDEX($BD$13:$BL$162,BP313,0))/100)))&gt;0)*($D$10:$L$10-($D$9:$L$9+INT(($S$12:$AA$12+INDEX($AJ$13:$AR$162,BN313,0)+INDEX($AT$13:$BB$162,BO313,0)+INDEX($BD$13:$BL$162,BP313,0))/100)))),0)</f>
        <v/>
      </c>
      <c r="BS313">
        <f>IF(300&lt;$U$9,SUMPRODUCT(($D$9:$L$9+INT(($S$12:$AA$12+INDEX($AJ$13:$AR$162,BN313,0)+INDEX($AT$13:$BB$162,BO313,0)+INDEX($BD$13:$BL$162,BP313,0))/100))),0)</f>
        <v/>
      </c>
      <c r="BT313">
        <f>IF(AND(300&lt;$U$9,$W$5),BQ313*1000000-MIN(BR313,999)*1000+BS313-300/100000,-1000000000-300)</f>
        <v/>
      </c>
    </row>
    <row r="314">
      <c r="BN314">
        <f>IF(301&lt;$U$9,INT(301/($U$7*$U$8))+1,1)</f>
        <v/>
      </c>
      <c r="BO314">
        <f>IF(301&lt;$U$9,MOD(INT(301/$U$8),$U$7)+1,1)</f>
        <v/>
      </c>
      <c r="BP314">
        <f>IF(301&lt;$U$9,MOD(301,$U$8)+1,1)</f>
        <v/>
      </c>
      <c r="BQ314">
        <f>IF(301&lt;$U$9,SUMPRODUCT(($D$10:$L$10&lt;&gt;"")*(($D$9:$L$9+INT(($S$12:$AA$12+INDEX($AJ$13:$AR$162,BN314,0)+INDEX($AT$13:$BB$162,BO314,0)+INDEX($BD$13:$BL$162,BP314,0))/100))&gt;=$D$10:$L$10)),0)</f>
        <v/>
      </c>
      <c r="BR314">
        <f>IF(301&lt;$U$9,SUMPRODUCT(($D$10:$L$10&lt;&gt;"")*(($D$10:$L$10-($D$9:$L$9+INT(($S$12:$AA$12+INDEX($AJ$13:$AR$162,BN314,0)+INDEX($AT$13:$BB$162,BO314,0)+INDEX($BD$13:$BL$162,BP314,0))/100)))&gt;0)*($D$10:$L$10-($D$9:$L$9+INT(($S$12:$AA$12+INDEX($AJ$13:$AR$162,BN314,0)+INDEX($AT$13:$BB$162,BO314,0)+INDEX($BD$13:$BL$162,BP314,0))/100)))),0)</f>
        <v/>
      </c>
      <c r="BS314">
        <f>IF(301&lt;$U$9,SUMPRODUCT(($D$9:$L$9+INT(($S$12:$AA$12+INDEX($AJ$13:$AR$162,BN314,0)+INDEX($AT$13:$BB$162,BO314,0)+INDEX($BD$13:$BL$162,BP314,0))/100))),0)</f>
        <v/>
      </c>
      <c r="BT314">
        <f>IF(AND(301&lt;$U$9,$W$5),BQ314*1000000-MIN(BR314,999)*1000+BS314-301/100000,-1000000000-301)</f>
        <v/>
      </c>
    </row>
    <row r="315">
      <c r="BN315">
        <f>IF(302&lt;$U$9,INT(302/($U$7*$U$8))+1,1)</f>
        <v/>
      </c>
      <c r="BO315">
        <f>IF(302&lt;$U$9,MOD(INT(302/$U$8),$U$7)+1,1)</f>
        <v/>
      </c>
      <c r="BP315">
        <f>IF(302&lt;$U$9,MOD(302,$U$8)+1,1)</f>
        <v/>
      </c>
      <c r="BQ315">
        <f>IF(302&lt;$U$9,SUMPRODUCT(($D$10:$L$10&lt;&gt;"")*(($D$9:$L$9+INT(($S$12:$AA$12+INDEX($AJ$13:$AR$162,BN315,0)+INDEX($AT$13:$BB$162,BO315,0)+INDEX($BD$13:$BL$162,BP315,0))/100))&gt;=$D$10:$L$10)),0)</f>
        <v/>
      </c>
      <c r="BR315">
        <f>IF(302&lt;$U$9,SUMPRODUCT(($D$10:$L$10&lt;&gt;"")*(($D$10:$L$10-($D$9:$L$9+INT(($S$12:$AA$12+INDEX($AJ$13:$AR$162,BN315,0)+INDEX($AT$13:$BB$162,BO315,0)+INDEX($BD$13:$BL$162,BP315,0))/100)))&gt;0)*($D$10:$L$10-($D$9:$L$9+INT(($S$12:$AA$12+INDEX($AJ$13:$AR$162,BN315,0)+INDEX($AT$13:$BB$162,BO315,0)+INDEX($BD$13:$BL$162,BP315,0))/100)))),0)</f>
        <v/>
      </c>
      <c r="BS315">
        <f>IF(302&lt;$U$9,SUMPRODUCT(($D$9:$L$9+INT(($S$12:$AA$12+INDEX($AJ$13:$AR$162,BN315,0)+INDEX($AT$13:$BB$162,BO315,0)+INDEX($BD$13:$BL$162,BP315,0))/100))),0)</f>
        <v/>
      </c>
      <c r="BT315">
        <f>IF(AND(302&lt;$U$9,$W$5),BQ315*1000000-MIN(BR315,999)*1000+BS315-302/100000,-1000000000-302)</f>
        <v/>
      </c>
    </row>
    <row r="316">
      <c r="BN316">
        <f>IF(303&lt;$U$9,INT(303/($U$7*$U$8))+1,1)</f>
        <v/>
      </c>
      <c r="BO316">
        <f>IF(303&lt;$U$9,MOD(INT(303/$U$8),$U$7)+1,1)</f>
        <v/>
      </c>
      <c r="BP316">
        <f>IF(303&lt;$U$9,MOD(303,$U$8)+1,1)</f>
        <v/>
      </c>
      <c r="BQ316">
        <f>IF(303&lt;$U$9,SUMPRODUCT(($D$10:$L$10&lt;&gt;"")*(($D$9:$L$9+INT(($S$12:$AA$12+INDEX($AJ$13:$AR$162,BN316,0)+INDEX($AT$13:$BB$162,BO316,0)+INDEX($BD$13:$BL$162,BP316,0))/100))&gt;=$D$10:$L$10)),0)</f>
        <v/>
      </c>
      <c r="BR316">
        <f>IF(303&lt;$U$9,SUMPRODUCT(($D$10:$L$10&lt;&gt;"")*(($D$10:$L$10-($D$9:$L$9+INT(($S$12:$AA$12+INDEX($AJ$13:$AR$162,BN316,0)+INDEX($AT$13:$BB$162,BO316,0)+INDEX($BD$13:$BL$162,BP316,0))/100)))&gt;0)*($D$10:$L$10-($D$9:$L$9+INT(($S$12:$AA$12+INDEX($AJ$13:$AR$162,BN316,0)+INDEX($AT$13:$BB$162,BO316,0)+INDEX($BD$13:$BL$162,BP316,0))/100)))),0)</f>
        <v/>
      </c>
      <c r="BS316">
        <f>IF(303&lt;$U$9,SUMPRODUCT(($D$9:$L$9+INT(($S$12:$AA$12+INDEX($AJ$13:$AR$162,BN316,0)+INDEX($AT$13:$BB$162,BO316,0)+INDEX($BD$13:$BL$162,BP316,0))/100))),0)</f>
        <v/>
      </c>
      <c r="BT316">
        <f>IF(AND(303&lt;$U$9,$W$5),BQ316*1000000-MIN(BR316,999)*1000+BS316-303/100000,-1000000000-303)</f>
        <v/>
      </c>
    </row>
    <row r="317">
      <c r="BN317">
        <f>IF(304&lt;$U$9,INT(304/($U$7*$U$8))+1,1)</f>
        <v/>
      </c>
      <c r="BO317">
        <f>IF(304&lt;$U$9,MOD(INT(304/$U$8),$U$7)+1,1)</f>
        <v/>
      </c>
      <c r="BP317">
        <f>IF(304&lt;$U$9,MOD(304,$U$8)+1,1)</f>
        <v/>
      </c>
      <c r="BQ317">
        <f>IF(304&lt;$U$9,SUMPRODUCT(($D$10:$L$10&lt;&gt;"")*(($D$9:$L$9+INT(($S$12:$AA$12+INDEX($AJ$13:$AR$162,BN317,0)+INDEX($AT$13:$BB$162,BO317,0)+INDEX($BD$13:$BL$162,BP317,0))/100))&gt;=$D$10:$L$10)),0)</f>
        <v/>
      </c>
      <c r="BR317">
        <f>IF(304&lt;$U$9,SUMPRODUCT(($D$10:$L$10&lt;&gt;"")*(($D$10:$L$10-($D$9:$L$9+INT(($S$12:$AA$12+INDEX($AJ$13:$AR$162,BN317,0)+INDEX($AT$13:$BB$162,BO317,0)+INDEX($BD$13:$BL$162,BP317,0))/100)))&gt;0)*($D$10:$L$10-($D$9:$L$9+INT(($S$12:$AA$12+INDEX($AJ$13:$AR$162,BN317,0)+INDEX($AT$13:$BB$162,BO317,0)+INDEX($BD$13:$BL$162,BP317,0))/100)))),0)</f>
        <v/>
      </c>
      <c r="BS317">
        <f>IF(304&lt;$U$9,SUMPRODUCT(($D$9:$L$9+INT(($S$12:$AA$12+INDEX($AJ$13:$AR$162,BN317,0)+INDEX($AT$13:$BB$162,BO317,0)+INDEX($BD$13:$BL$162,BP317,0))/100))),0)</f>
        <v/>
      </c>
      <c r="BT317">
        <f>IF(AND(304&lt;$U$9,$W$5),BQ317*1000000-MIN(BR317,999)*1000+BS317-304/100000,-1000000000-304)</f>
        <v/>
      </c>
    </row>
    <row r="318">
      <c r="BN318">
        <f>IF(305&lt;$U$9,INT(305/($U$7*$U$8))+1,1)</f>
        <v/>
      </c>
      <c r="BO318">
        <f>IF(305&lt;$U$9,MOD(INT(305/$U$8),$U$7)+1,1)</f>
        <v/>
      </c>
      <c r="BP318">
        <f>IF(305&lt;$U$9,MOD(305,$U$8)+1,1)</f>
        <v/>
      </c>
      <c r="BQ318">
        <f>IF(305&lt;$U$9,SUMPRODUCT(($D$10:$L$10&lt;&gt;"")*(($D$9:$L$9+INT(($S$12:$AA$12+INDEX($AJ$13:$AR$162,BN318,0)+INDEX($AT$13:$BB$162,BO318,0)+INDEX($BD$13:$BL$162,BP318,0))/100))&gt;=$D$10:$L$10)),0)</f>
        <v/>
      </c>
      <c r="BR318">
        <f>IF(305&lt;$U$9,SUMPRODUCT(($D$10:$L$10&lt;&gt;"")*(($D$10:$L$10-($D$9:$L$9+INT(($S$12:$AA$12+INDEX($AJ$13:$AR$162,BN318,0)+INDEX($AT$13:$BB$162,BO318,0)+INDEX($BD$13:$BL$162,BP318,0))/100)))&gt;0)*($D$10:$L$10-($D$9:$L$9+INT(($S$12:$AA$12+INDEX($AJ$13:$AR$162,BN318,0)+INDEX($AT$13:$BB$162,BO318,0)+INDEX($BD$13:$BL$162,BP318,0))/100)))),0)</f>
        <v/>
      </c>
      <c r="BS318">
        <f>IF(305&lt;$U$9,SUMPRODUCT(($D$9:$L$9+INT(($S$12:$AA$12+INDEX($AJ$13:$AR$162,BN318,0)+INDEX($AT$13:$BB$162,BO318,0)+INDEX($BD$13:$BL$162,BP318,0))/100))),0)</f>
        <v/>
      </c>
      <c r="BT318">
        <f>IF(AND(305&lt;$U$9,$W$5),BQ318*1000000-MIN(BR318,999)*1000+BS318-305/100000,-1000000000-305)</f>
        <v/>
      </c>
    </row>
    <row r="319">
      <c r="BN319">
        <f>IF(306&lt;$U$9,INT(306/($U$7*$U$8))+1,1)</f>
        <v/>
      </c>
      <c r="BO319">
        <f>IF(306&lt;$U$9,MOD(INT(306/$U$8),$U$7)+1,1)</f>
        <v/>
      </c>
      <c r="BP319">
        <f>IF(306&lt;$U$9,MOD(306,$U$8)+1,1)</f>
        <v/>
      </c>
      <c r="BQ319">
        <f>IF(306&lt;$U$9,SUMPRODUCT(($D$10:$L$10&lt;&gt;"")*(($D$9:$L$9+INT(($S$12:$AA$12+INDEX($AJ$13:$AR$162,BN319,0)+INDEX($AT$13:$BB$162,BO319,0)+INDEX($BD$13:$BL$162,BP319,0))/100))&gt;=$D$10:$L$10)),0)</f>
        <v/>
      </c>
      <c r="BR319">
        <f>IF(306&lt;$U$9,SUMPRODUCT(($D$10:$L$10&lt;&gt;"")*(($D$10:$L$10-($D$9:$L$9+INT(($S$12:$AA$12+INDEX($AJ$13:$AR$162,BN319,0)+INDEX($AT$13:$BB$162,BO319,0)+INDEX($BD$13:$BL$162,BP319,0))/100)))&gt;0)*($D$10:$L$10-($D$9:$L$9+INT(($S$12:$AA$12+INDEX($AJ$13:$AR$162,BN319,0)+INDEX($AT$13:$BB$162,BO319,0)+INDEX($BD$13:$BL$162,BP319,0))/100)))),0)</f>
        <v/>
      </c>
      <c r="BS319">
        <f>IF(306&lt;$U$9,SUMPRODUCT(($D$9:$L$9+INT(($S$12:$AA$12+INDEX($AJ$13:$AR$162,BN319,0)+INDEX($AT$13:$BB$162,BO319,0)+INDEX($BD$13:$BL$162,BP319,0))/100))),0)</f>
        <v/>
      </c>
      <c r="BT319">
        <f>IF(AND(306&lt;$U$9,$W$5),BQ319*1000000-MIN(BR319,999)*1000+BS319-306/100000,-1000000000-306)</f>
        <v/>
      </c>
    </row>
    <row r="320">
      <c r="BN320">
        <f>IF(307&lt;$U$9,INT(307/($U$7*$U$8))+1,1)</f>
        <v/>
      </c>
      <c r="BO320">
        <f>IF(307&lt;$U$9,MOD(INT(307/$U$8),$U$7)+1,1)</f>
        <v/>
      </c>
      <c r="BP320">
        <f>IF(307&lt;$U$9,MOD(307,$U$8)+1,1)</f>
        <v/>
      </c>
      <c r="BQ320">
        <f>IF(307&lt;$U$9,SUMPRODUCT(($D$10:$L$10&lt;&gt;"")*(($D$9:$L$9+INT(($S$12:$AA$12+INDEX($AJ$13:$AR$162,BN320,0)+INDEX($AT$13:$BB$162,BO320,0)+INDEX($BD$13:$BL$162,BP320,0))/100))&gt;=$D$10:$L$10)),0)</f>
        <v/>
      </c>
      <c r="BR320">
        <f>IF(307&lt;$U$9,SUMPRODUCT(($D$10:$L$10&lt;&gt;"")*(($D$10:$L$10-($D$9:$L$9+INT(($S$12:$AA$12+INDEX($AJ$13:$AR$162,BN320,0)+INDEX($AT$13:$BB$162,BO320,0)+INDEX($BD$13:$BL$162,BP320,0))/100)))&gt;0)*($D$10:$L$10-($D$9:$L$9+INT(($S$12:$AA$12+INDEX($AJ$13:$AR$162,BN320,0)+INDEX($AT$13:$BB$162,BO320,0)+INDEX($BD$13:$BL$162,BP320,0))/100)))),0)</f>
        <v/>
      </c>
      <c r="BS320">
        <f>IF(307&lt;$U$9,SUMPRODUCT(($D$9:$L$9+INT(($S$12:$AA$12+INDEX($AJ$13:$AR$162,BN320,0)+INDEX($AT$13:$BB$162,BO320,0)+INDEX($BD$13:$BL$162,BP320,0))/100))),0)</f>
        <v/>
      </c>
      <c r="BT320">
        <f>IF(AND(307&lt;$U$9,$W$5),BQ320*1000000-MIN(BR320,999)*1000+BS320-307/100000,-1000000000-307)</f>
        <v/>
      </c>
    </row>
    <row r="321">
      <c r="BN321">
        <f>IF(308&lt;$U$9,INT(308/($U$7*$U$8))+1,1)</f>
        <v/>
      </c>
      <c r="BO321">
        <f>IF(308&lt;$U$9,MOD(INT(308/$U$8),$U$7)+1,1)</f>
        <v/>
      </c>
      <c r="BP321">
        <f>IF(308&lt;$U$9,MOD(308,$U$8)+1,1)</f>
        <v/>
      </c>
      <c r="BQ321">
        <f>IF(308&lt;$U$9,SUMPRODUCT(($D$10:$L$10&lt;&gt;"")*(($D$9:$L$9+INT(($S$12:$AA$12+INDEX($AJ$13:$AR$162,BN321,0)+INDEX($AT$13:$BB$162,BO321,0)+INDEX($BD$13:$BL$162,BP321,0))/100))&gt;=$D$10:$L$10)),0)</f>
        <v/>
      </c>
      <c r="BR321">
        <f>IF(308&lt;$U$9,SUMPRODUCT(($D$10:$L$10&lt;&gt;"")*(($D$10:$L$10-($D$9:$L$9+INT(($S$12:$AA$12+INDEX($AJ$13:$AR$162,BN321,0)+INDEX($AT$13:$BB$162,BO321,0)+INDEX($BD$13:$BL$162,BP321,0))/100)))&gt;0)*($D$10:$L$10-($D$9:$L$9+INT(($S$12:$AA$12+INDEX($AJ$13:$AR$162,BN321,0)+INDEX($AT$13:$BB$162,BO321,0)+INDEX($BD$13:$BL$162,BP321,0))/100)))),0)</f>
        <v/>
      </c>
      <c r="BS321">
        <f>IF(308&lt;$U$9,SUMPRODUCT(($D$9:$L$9+INT(($S$12:$AA$12+INDEX($AJ$13:$AR$162,BN321,0)+INDEX($AT$13:$BB$162,BO321,0)+INDEX($BD$13:$BL$162,BP321,0))/100))),0)</f>
        <v/>
      </c>
      <c r="BT321">
        <f>IF(AND(308&lt;$U$9,$W$5),BQ321*1000000-MIN(BR321,999)*1000+BS321-308/100000,-1000000000-308)</f>
        <v/>
      </c>
    </row>
    <row r="322">
      <c r="BN322">
        <f>IF(309&lt;$U$9,INT(309/($U$7*$U$8))+1,1)</f>
        <v/>
      </c>
      <c r="BO322">
        <f>IF(309&lt;$U$9,MOD(INT(309/$U$8),$U$7)+1,1)</f>
        <v/>
      </c>
      <c r="BP322">
        <f>IF(309&lt;$U$9,MOD(309,$U$8)+1,1)</f>
        <v/>
      </c>
      <c r="BQ322">
        <f>IF(309&lt;$U$9,SUMPRODUCT(($D$10:$L$10&lt;&gt;"")*(($D$9:$L$9+INT(($S$12:$AA$12+INDEX($AJ$13:$AR$162,BN322,0)+INDEX($AT$13:$BB$162,BO322,0)+INDEX($BD$13:$BL$162,BP322,0))/100))&gt;=$D$10:$L$10)),0)</f>
        <v/>
      </c>
      <c r="BR322">
        <f>IF(309&lt;$U$9,SUMPRODUCT(($D$10:$L$10&lt;&gt;"")*(($D$10:$L$10-($D$9:$L$9+INT(($S$12:$AA$12+INDEX($AJ$13:$AR$162,BN322,0)+INDEX($AT$13:$BB$162,BO322,0)+INDEX($BD$13:$BL$162,BP322,0))/100)))&gt;0)*($D$10:$L$10-($D$9:$L$9+INT(($S$12:$AA$12+INDEX($AJ$13:$AR$162,BN322,0)+INDEX($AT$13:$BB$162,BO322,0)+INDEX($BD$13:$BL$162,BP322,0))/100)))),0)</f>
        <v/>
      </c>
      <c r="BS322">
        <f>IF(309&lt;$U$9,SUMPRODUCT(($D$9:$L$9+INT(($S$12:$AA$12+INDEX($AJ$13:$AR$162,BN322,0)+INDEX($AT$13:$BB$162,BO322,0)+INDEX($BD$13:$BL$162,BP322,0))/100))),0)</f>
        <v/>
      </c>
      <c r="BT322">
        <f>IF(AND(309&lt;$U$9,$W$5),BQ322*1000000-MIN(BR322,999)*1000+BS322-309/100000,-1000000000-309)</f>
        <v/>
      </c>
    </row>
    <row r="323">
      <c r="BN323">
        <f>IF(310&lt;$U$9,INT(310/($U$7*$U$8))+1,1)</f>
        <v/>
      </c>
      <c r="BO323">
        <f>IF(310&lt;$U$9,MOD(INT(310/$U$8),$U$7)+1,1)</f>
        <v/>
      </c>
      <c r="BP323">
        <f>IF(310&lt;$U$9,MOD(310,$U$8)+1,1)</f>
        <v/>
      </c>
      <c r="BQ323">
        <f>IF(310&lt;$U$9,SUMPRODUCT(($D$10:$L$10&lt;&gt;"")*(($D$9:$L$9+INT(($S$12:$AA$12+INDEX($AJ$13:$AR$162,BN323,0)+INDEX($AT$13:$BB$162,BO323,0)+INDEX($BD$13:$BL$162,BP323,0))/100))&gt;=$D$10:$L$10)),0)</f>
        <v/>
      </c>
      <c r="BR323">
        <f>IF(310&lt;$U$9,SUMPRODUCT(($D$10:$L$10&lt;&gt;"")*(($D$10:$L$10-($D$9:$L$9+INT(($S$12:$AA$12+INDEX($AJ$13:$AR$162,BN323,0)+INDEX($AT$13:$BB$162,BO323,0)+INDEX($BD$13:$BL$162,BP323,0))/100)))&gt;0)*($D$10:$L$10-($D$9:$L$9+INT(($S$12:$AA$12+INDEX($AJ$13:$AR$162,BN323,0)+INDEX($AT$13:$BB$162,BO323,0)+INDEX($BD$13:$BL$162,BP323,0))/100)))),0)</f>
        <v/>
      </c>
      <c r="BS323">
        <f>IF(310&lt;$U$9,SUMPRODUCT(($D$9:$L$9+INT(($S$12:$AA$12+INDEX($AJ$13:$AR$162,BN323,0)+INDEX($AT$13:$BB$162,BO323,0)+INDEX($BD$13:$BL$162,BP323,0))/100))),0)</f>
        <v/>
      </c>
      <c r="BT323">
        <f>IF(AND(310&lt;$U$9,$W$5),BQ323*1000000-MIN(BR323,999)*1000+BS323-310/100000,-1000000000-310)</f>
        <v/>
      </c>
    </row>
    <row r="324">
      <c r="BN324">
        <f>IF(311&lt;$U$9,INT(311/($U$7*$U$8))+1,1)</f>
        <v/>
      </c>
      <c r="BO324">
        <f>IF(311&lt;$U$9,MOD(INT(311/$U$8),$U$7)+1,1)</f>
        <v/>
      </c>
      <c r="BP324">
        <f>IF(311&lt;$U$9,MOD(311,$U$8)+1,1)</f>
        <v/>
      </c>
      <c r="BQ324">
        <f>IF(311&lt;$U$9,SUMPRODUCT(($D$10:$L$10&lt;&gt;"")*(($D$9:$L$9+INT(($S$12:$AA$12+INDEX($AJ$13:$AR$162,BN324,0)+INDEX($AT$13:$BB$162,BO324,0)+INDEX($BD$13:$BL$162,BP324,0))/100))&gt;=$D$10:$L$10)),0)</f>
        <v/>
      </c>
      <c r="BR324">
        <f>IF(311&lt;$U$9,SUMPRODUCT(($D$10:$L$10&lt;&gt;"")*(($D$10:$L$10-($D$9:$L$9+INT(($S$12:$AA$12+INDEX($AJ$13:$AR$162,BN324,0)+INDEX($AT$13:$BB$162,BO324,0)+INDEX($BD$13:$BL$162,BP324,0))/100)))&gt;0)*($D$10:$L$10-($D$9:$L$9+INT(($S$12:$AA$12+INDEX($AJ$13:$AR$162,BN324,0)+INDEX($AT$13:$BB$162,BO324,0)+INDEX($BD$13:$BL$162,BP324,0))/100)))),0)</f>
        <v/>
      </c>
      <c r="BS324">
        <f>IF(311&lt;$U$9,SUMPRODUCT(($D$9:$L$9+INT(($S$12:$AA$12+INDEX($AJ$13:$AR$162,BN324,0)+INDEX($AT$13:$BB$162,BO324,0)+INDEX($BD$13:$BL$162,BP324,0))/100))),0)</f>
        <v/>
      </c>
      <c r="BT324">
        <f>IF(AND(311&lt;$U$9,$W$5),BQ324*1000000-MIN(BR324,999)*1000+BS324-311/100000,-1000000000-311)</f>
        <v/>
      </c>
    </row>
    <row r="325">
      <c r="BN325">
        <f>IF(312&lt;$U$9,INT(312/($U$7*$U$8))+1,1)</f>
        <v/>
      </c>
      <c r="BO325">
        <f>IF(312&lt;$U$9,MOD(INT(312/$U$8),$U$7)+1,1)</f>
        <v/>
      </c>
      <c r="BP325">
        <f>IF(312&lt;$U$9,MOD(312,$U$8)+1,1)</f>
        <v/>
      </c>
      <c r="BQ325">
        <f>IF(312&lt;$U$9,SUMPRODUCT(($D$10:$L$10&lt;&gt;"")*(($D$9:$L$9+INT(($S$12:$AA$12+INDEX($AJ$13:$AR$162,BN325,0)+INDEX($AT$13:$BB$162,BO325,0)+INDEX($BD$13:$BL$162,BP325,0))/100))&gt;=$D$10:$L$10)),0)</f>
        <v/>
      </c>
      <c r="BR325">
        <f>IF(312&lt;$U$9,SUMPRODUCT(($D$10:$L$10&lt;&gt;"")*(($D$10:$L$10-($D$9:$L$9+INT(($S$12:$AA$12+INDEX($AJ$13:$AR$162,BN325,0)+INDEX($AT$13:$BB$162,BO325,0)+INDEX($BD$13:$BL$162,BP325,0))/100)))&gt;0)*($D$10:$L$10-($D$9:$L$9+INT(($S$12:$AA$12+INDEX($AJ$13:$AR$162,BN325,0)+INDEX($AT$13:$BB$162,BO325,0)+INDEX($BD$13:$BL$162,BP325,0))/100)))),0)</f>
        <v/>
      </c>
      <c r="BS325">
        <f>IF(312&lt;$U$9,SUMPRODUCT(($D$9:$L$9+INT(($S$12:$AA$12+INDEX($AJ$13:$AR$162,BN325,0)+INDEX($AT$13:$BB$162,BO325,0)+INDEX($BD$13:$BL$162,BP325,0))/100))),0)</f>
        <v/>
      </c>
      <c r="BT325">
        <f>IF(AND(312&lt;$U$9,$W$5),BQ325*1000000-MIN(BR325,999)*1000+BS325-312/100000,-1000000000-312)</f>
        <v/>
      </c>
    </row>
    <row r="326">
      <c r="BN326">
        <f>IF(313&lt;$U$9,INT(313/($U$7*$U$8))+1,1)</f>
        <v/>
      </c>
      <c r="BO326">
        <f>IF(313&lt;$U$9,MOD(INT(313/$U$8),$U$7)+1,1)</f>
        <v/>
      </c>
      <c r="BP326">
        <f>IF(313&lt;$U$9,MOD(313,$U$8)+1,1)</f>
        <v/>
      </c>
      <c r="BQ326">
        <f>IF(313&lt;$U$9,SUMPRODUCT(($D$10:$L$10&lt;&gt;"")*(($D$9:$L$9+INT(($S$12:$AA$12+INDEX($AJ$13:$AR$162,BN326,0)+INDEX($AT$13:$BB$162,BO326,0)+INDEX($BD$13:$BL$162,BP326,0))/100))&gt;=$D$10:$L$10)),0)</f>
        <v/>
      </c>
      <c r="BR326">
        <f>IF(313&lt;$U$9,SUMPRODUCT(($D$10:$L$10&lt;&gt;"")*(($D$10:$L$10-($D$9:$L$9+INT(($S$12:$AA$12+INDEX($AJ$13:$AR$162,BN326,0)+INDEX($AT$13:$BB$162,BO326,0)+INDEX($BD$13:$BL$162,BP326,0))/100)))&gt;0)*($D$10:$L$10-($D$9:$L$9+INT(($S$12:$AA$12+INDEX($AJ$13:$AR$162,BN326,0)+INDEX($AT$13:$BB$162,BO326,0)+INDEX($BD$13:$BL$162,BP326,0))/100)))),0)</f>
        <v/>
      </c>
      <c r="BS326">
        <f>IF(313&lt;$U$9,SUMPRODUCT(($D$9:$L$9+INT(($S$12:$AA$12+INDEX($AJ$13:$AR$162,BN326,0)+INDEX($AT$13:$BB$162,BO326,0)+INDEX($BD$13:$BL$162,BP326,0))/100))),0)</f>
        <v/>
      </c>
      <c r="BT326">
        <f>IF(AND(313&lt;$U$9,$W$5),BQ326*1000000-MIN(BR326,999)*1000+BS326-313/100000,-1000000000-313)</f>
        <v/>
      </c>
    </row>
    <row r="327">
      <c r="BN327">
        <f>IF(314&lt;$U$9,INT(314/($U$7*$U$8))+1,1)</f>
        <v/>
      </c>
      <c r="BO327">
        <f>IF(314&lt;$U$9,MOD(INT(314/$U$8),$U$7)+1,1)</f>
        <v/>
      </c>
      <c r="BP327">
        <f>IF(314&lt;$U$9,MOD(314,$U$8)+1,1)</f>
        <v/>
      </c>
      <c r="BQ327">
        <f>IF(314&lt;$U$9,SUMPRODUCT(($D$10:$L$10&lt;&gt;"")*(($D$9:$L$9+INT(($S$12:$AA$12+INDEX($AJ$13:$AR$162,BN327,0)+INDEX($AT$13:$BB$162,BO327,0)+INDEX($BD$13:$BL$162,BP327,0))/100))&gt;=$D$10:$L$10)),0)</f>
        <v/>
      </c>
      <c r="BR327">
        <f>IF(314&lt;$U$9,SUMPRODUCT(($D$10:$L$10&lt;&gt;"")*(($D$10:$L$10-($D$9:$L$9+INT(($S$12:$AA$12+INDEX($AJ$13:$AR$162,BN327,0)+INDEX($AT$13:$BB$162,BO327,0)+INDEX($BD$13:$BL$162,BP327,0))/100)))&gt;0)*($D$10:$L$10-($D$9:$L$9+INT(($S$12:$AA$12+INDEX($AJ$13:$AR$162,BN327,0)+INDEX($AT$13:$BB$162,BO327,0)+INDEX($BD$13:$BL$162,BP327,0))/100)))),0)</f>
        <v/>
      </c>
      <c r="BS327">
        <f>IF(314&lt;$U$9,SUMPRODUCT(($D$9:$L$9+INT(($S$12:$AA$12+INDEX($AJ$13:$AR$162,BN327,0)+INDEX($AT$13:$BB$162,BO327,0)+INDEX($BD$13:$BL$162,BP327,0))/100))),0)</f>
        <v/>
      </c>
      <c r="BT327">
        <f>IF(AND(314&lt;$U$9,$W$5),BQ327*1000000-MIN(BR327,999)*1000+BS327-314/100000,-1000000000-314)</f>
        <v/>
      </c>
    </row>
    <row r="328">
      <c r="BN328">
        <f>IF(315&lt;$U$9,INT(315/($U$7*$U$8))+1,1)</f>
        <v/>
      </c>
      <c r="BO328">
        <f>IF(315&lt;$U$9,MOD(INT(315/$U$8),$U$7)+1,1)</f>
        <v/>
      </c>
      <c r="BP328">
        <f>IF(315&lt;$U$9,MOD(315,$U$8)+1,1)</f>
        <v/>
      </c>
      <c r="BQ328">
        <f>IF(315&lt;$U$9,SUMPRODUCT(($D$10:$L$10&lt;&gt;"")*(($D$9:$L$9+INT(($S$12:$AA$12+INDEX($AJ$13:$AR$162,BN328,0)+INDEX($AT$13:$BB$162,BO328,0)+INDEX($BD$13:$BL$162,BP328,0))/100))&gt;=$D$10:$L$10)),0)</f>
        <v/>
      </c>
      <c r="BR328">
        <f>IF(315&lt;$U$9,SUMPRODUCT(($D$10:$L$10&lt;&gt;"")*(($D$10:$L$10-($D$9:$L$9+INT(($S$12:$AA$12+INDEX($AJ$13:$AR$162,BN328,0)+INDEX($AT$13:$BB$162,BO328,0)+INDEX($BD$13:$BL$162,BP328,0))/100)))&gt;0)*($D$10:$L$10-($D$9:$L$9+INT(($S$12:$AA$12+INDEX($AJ$13:$AR$162,BN328,0)+INDEX($AT$13:$BB$162,BO328,0)+INDEX($BD$13:$BL$162,BP328,0))/100)))),0)</f>
        <v/>
      </c>
      <c r="BS328">
        <f>IF(315&lt;$U$9,SUMPRODUCT(($D$9:$L$9+INT(($S$12:$AA$12+INDEX($AJ$13:$AR$162,BN328,0)+INDEX($AT$13:$BB$162,BO328,0)+INDEX($BD$13:$BL$162,BP328,0))/100))),0)</f>
        <v/>
      </c>
      <c r="BT328">
        <f>IF(AND(315&lt;$U$9,$W$5),BQ328*1000000-MIN(BR328,999)*1000+BS328-315/100000,-1000000000-315)</f>
        <v/>
      </c>
    </row>
    <row r="329">
      <c r="BN329">
        <f>IF(316&lt;$U$9,INT(316/($U$7*$U$8))+1,1)</f>
        <v/>
      </c>
      <c r="BO329">
        <f>IF(316&lt;$U$9,MOD(INT(316/$U$8),$U$7)+1,1)</f>
        <v/>
      </c>
      <c r="BP329">
        <f>IF(316&lt;$U$9,MOD(316,$U$8)+1,1)</f>
        <v/>
      </c>
      <c r="BQ329">
        <f>IF(316&lt;$U$9,SUMPRODUCT(($D$10:$L$10&lt;&gt;"")*(($D$9:$L$9+INT(($S$12:$AA$12+INDEX($AJ$13:$AR$162,BN329,0)+INDEX($AT$13:$BB$162,BO329,0)+INDEX($BD$13:$BL$162,BP329,0))/100))&gt;=$D$10:$L$10)),0)</f>
        <v/>
      </c>
      <c r="BR329">
        <f>IF(316&lt;$U$9,SUMPRODUCT(($D$10:$L$10&lt;&gt;"")*(($D$10:$L$10-($D$9:$L$9+INT(($S$12:$AA$12+INDEX($AJ$13:$AR$162,BN329,0)+INDEX($AT$13:$BB$162,BO329,0)+INDEX($BD$13:$BL$162,BP329,0))/100)))&gt;0)*($D$10:$L$10-($D$9:$L$9+INT(($S$12:$AA$12+INDEX($AJ$13:$AR$162,BN329,0)+INDEX($AT$13:$BB$162,BO329,0)+INDEX($BD$13:$BL$162,BP329,0))/100)))),0)</f>
        <v/>
      </c>
      <c r="BS329">
        <f>IF(316&lt;$U$9,SUMPRODUCT(($D$9:$L$9+INT(($S$12:$AA$12+INDEX($AJ$13:$AR$162,BN329,0)+INDEX($AT$13:$BB$162,BO329,0)+INDEX($BD$13:$BL$162,BP329,0))/100))),0)</f>
        <v/>
      </c>
      <c r="BT329">
        <f>IF(AND(316&lt;$U$9,$W$5),BQ329*1000000-MIN(BR329,999)*1000+BS329-316/100000,-1000000000-316)</f>
        <v/>
      </c>
    </row>
    <row r="330">
      <c r="BN330">
        <f>IF(317&lt;$U$9,INT(317/($U$7*$U$8))+1,1)</f>
        <v/>
      </c>
      <c r="BO330">
        <f>IF(317&lt;$U$9,MOD(INT(317/$U$8),$U$7)+1,1)</f>
        <v/>
      </c>
      <c r="BP330">
        <f>IF(317&lt;$U$9,MOD(317,$U$8)+1,1)</f>
        <v/>
      </c>
      <c r="BQ330">
        <f>IF(317&lt;$U$9,SUMPRODUCT(($D$10:$L$10&lt;&gt;"")*(($D$9:$L$9+INT(($S$12:$AA$12+INDEX($AJ$13:$AR$162,BN330,0)+INDEX($AT$13:$BB$162,BO330,0)+INDEX($BD$13:$BL$162,BP330,0))/100))&gt;=$D$10:$L$10)),0)</f>
        <v/>
      </c>
      <c r="BR330">
        <f>IF(317&lt;$U$9,SUMPRODUCT(($D$10:$L$10&lt;&gt;"")*(($D$10:$L$10-($D$9:$L$9+INT(($S$12:$AA$12+INDEX($AJ$13:$AR$162,BN330,0)+INDEX($AT$13:$BB$162,BO330,0)+INDEX($BD$13:$BL$162,BP330,0))/100)))&gt;0)*($D$10:$L$10-($D$9:$L$9+INT(($S$12:$AA$12+INDEX($AJ$13:$AR$162,BN330,0)+INDEX($AT$13:$BB$162,BO330,0)+INDEX($BD$13:$BL$162,BP330,0))/100)))),0)</f>
        <v/>
      </c>
      <c r="BS330">
        <f>IF(317&lt;$U$9,SUMPRODUCT(($D$9:$L$9+INT(($S$12:$AA$12+INDEX($AJ$13:$AR$162,BN330,0)+INDEX($AT$13:$BB$162,BO330,0)+INDEX($BD$13:$BL$162,BP330,0))/100))),0)</f>
        <v/>
      </c>
      <c r="BT330">
        <f>IF(AND(317&lt;$U$9,$W$5),BQ330*1000000-MIN(BR330,999)*1000+BS330-317/100000,-1000000000-317)</f>
        <v/>
      </c>
    </row>
    <row r="331">
      <c r="BN331">
        <f>IF(318&lt;$U$9,INT(318/($U$7*$U$8))+1,1)</f>
        <v/>
      </c>
      <c r="BO331">
        <f>IF(318&lt;$U$9,MOD(INT(318/$U$8),$U$7)+1,1)</f>
        <v/>
      </c>
      <c r="BP331">
        <f>IF(318&lt;$U$9,MOD(318,$U$8)+1,1)</f>
        <v/>
      </c>
      <c r="BQ331">
        <f>IF(318&lt;$U$9,SUMPRODUCT(($D$10:$L$10&lt;&gt;"")*(($D$9:$L$9+INT(($S$12:$AA$12+INDEX($AJ$13:$AR$162,BN331,0)+INDEX($AT$13:$BB$162,BO331,0)+INDEX($BD$13:$BL$162,BP331,0))/100))&gt;=$D$10:$L$10)),0)</f>
        <v/>
      </c>
      <c r="BR331">
        <f>IF(318&lt;$U$9,SUMPRODUCT(($D$10:$L$10&lt;&gt;"")*(($D$10:$L$10-($D$9:$L$9+INT(($S$12:$AA$12+INDEX($AJ$13:$AR$162,BN331,0)+INDEX($AT$13:$BB$162,BO331,0)+INDEX($BD$13:$BL$162,BP331,0))/100)))&gt;0)*($D$10:$L$10-($D$9:$L$9+INT(($S$12:$AA$12+INDEX($AJ$13:$AR$162,BN331,0)+INDEX($AT$13:$BB$162,BO331,0)+INDEX($BD$13:$BL$162,BP331,0))/100)))),0)</f>
        <v/>
      </c>
      <c r="BS331">
        <f>IF(318&lt;$U$9,SUMPRODUCT(($D$9:$L$9+INT(($S$12:$AA$12+INDEX($AJ$13:$AR$162,BN331,0)+INDEX($AT$13:$BB$162,BO331,0)+INDEX($BD$13:$BL$162,BP331,0))/100))),0)</f>
        <v/>
      </c>
      <c r="BT331">
        <f>IF(AND(318&lt;$U$9,$W$5),BQ331*1000000-MIN(BR331,999)*1000+BS331-318/100000,-1000000000-318)</f>
        <v/>
      </c>
    </row>
    <row r="332">
      <c r="BN332">
        <f>IF(319&lt;$U$9,INT(319/($U$7*$U$8))+1,1)</f>
        <v/>
      </c>
      <c r="BO332">
        <f>IF(319&lt;$U$9,MOD(INT(319/$U$8),$U$7)+1,1)</f>
        <v/>
      </c>
      <c r="BP332">
        <f>IF(319&lt;$U$9,MOD(319,$U$8)+1,1)</f>
        <v/>
      </c>
      <c r="BQ332">
        <f>IF(319&lt;$U$9,SUMPRODUCT(($D$10:$L$10&lt;&gt;"")*(($D$9:$L$9+INT(($S$12:$AA$12+INDEX($AJ$13:$AR$162,BN332,0)+INDEX($AT$13:$BB$162,BO332,0)+INDEX($BD$13:$BL$162,BP332,0))/100))&gt;=$D$10:$L$10)),0)</f>
        <v/>
      </c>
      <c r="BR332">
        <f>IF(319&lt;$U$9,SUMPRODUCT(($D$10:$L$10&lt;&gt;"")*(($D$10:$L$10-($D$9:$L$9+INT(($S$12:$AA$12+INDEX($AJ$13:$AR$162,BN332,0)+INDEX($AT$13:$BB$162,BO332,0)+INDEX($BD$13:$BL$162,BP332,0))/100)))&gt;0)*($D$10:$L$10-($D$9:$L$9+INT(($S$12:$AA$12+INDEX($AJ$13:$AR$162,BN332,0)+INDEX($AT$13:$BB$162,BO332,0)+INDEX($BD$13:$BL$162,BP332,0))/100)))),0)</f>
        <v/>
      </c>
      <c r="BS332">
        <f>IF(319&lt;$U$9,SUMPRODUCT(($D$9:$L$9+INT(($S$12:$AA$12+INDEX($AJ$13:$AR$162,BN332,0)+INDEX($AT$13:$BB$162,BO332,0)+INDEX($BD$13:$BL$162,BP332,0))/100))),0)</f>
        <v/>
      </c>
      <c r="BT332">
        <f>IF(AND(319&lt;$U$9,$W$5),BQ332*1000000-MIN(BR332,999)*1000+BS332-319/100000,-1000000000-319)</f>
        <v/>
      </c>
    </row>
    <row r="333">
      <c r="BN333">
        <f>IF(320&lt;$U$9,INT(320/($U$7*$U$8))+1,1)</f>
        <v/>
      </c>
      <c r="BO333">
        <f>IF(320&lt;$U$9,MOD(INT(320/$U$8),$U$7)+1,1)</f>
        <v/>
      </c>
      <c r="BP333">
        <f>IF(320&lt;$U$9,MOD(320,$U$8)+1,1)</f>
        <v/>
      </c>
      <c r="BQ333">
        <f>IF(320&lt;$U$9,SUMPRODUCT(($D$10:$L$10&lt;&gt;"")*(($D$9:$L$9+INT(($S$12:$AA$12+INDEX($AJ$13:$AR$162,BN333,0)+INDEX($AT$13:$BB$162,BO333,0)+INDEX($BD$13:$BL$162,BP333,0))/100))&gt;=$D$10:$L$10)),0)</f>
        <v/>
      </c>
      <c r="BR333">
        <f>IF(320&lt;$U$9,SUMPRODUCT(($D$10:$L$10&lt;&gt;"")*(($D$10:$L$10-($D$9:$L$9+INT(($S$12:$AA$12+INDEX($AJ$13:$AR$162,BN333,0)+INDEX($AT$13:$BB$162,BO333,0)+INDEX($BD$13:$BL$162,BP333,0))/100)))&gt;0)*($D$10:$L$10-($D$9:$L$9+INT(($S$12:$AA$12+INDEX($AJ$13:$AR$162,BN333,0)+INDEX($AT$13:$BB$162,BO333,0)+INDEX($BD$13:$BL$162,BP333,0))/100)))),0)</f>
        <v/>
      </c>
      <c r="BS333">
        <f>IF(320&lt;$U$9,SUMPRODUCT(($D$9:$L$9+INT(($S$12:$AA$12+INDEX($AJ$13:$AR$162,BN333,0)+INDEX($AT$13:$BB$162,BO333,0)+INDEX($BD$13:$BL$162,BP333,0))/100))),0)</f>
        <v/>
      </c>
      <c r="BT333">
        <f>IF(AND(320&lt;$U$9,$W$5),BQ333*1000000-MIN(BR333,999)*1000+BS333-320/100000,-1000000000-320)</f>
        <v/>
      </c>
    </row>
    <row r="334">
      <c r="BN334">
        <f>IF(321&lt;$U$9,INT(321/($U$7*$U$8))+1,1)</f>
        <v/>
      </c>
      <c r="BO334">
        <f>IF(321&lt;$U$9,MOD(INT(321/$U$8),$U$7)+1,1)</f>
        <v/>
      </c>
      <c r="BP334">
        <f>IF(321&lt;$U$9,MOD(321,$U$8)+1,1)</f>
        <v/>
      </c>
      <c r="BQ334">
        <f>IF(321&lt;$U$9,SUMPRODUCT(($D$10:$L$10&lt;&gt;"")*(($D$9:$L$9+INT(($S$12:$AA$12+INDEX($AJ$13:$AR$162,BN334,0)+INDEX($AT$13:$BB$162,BO334,0)+INDEX($BD$13:$BL$162,BP334,0))/100))&gt;=$D$10:$L$10)),0)</f>
        <v/>
      </c>
      <c r="BR334">
        <f>IF(321&lt;$U$9,SUMPRODUCT(($D$10:$L$10&lt;&gt;"")*(($D$10:$L$10-($D$9:$L$9+INT(($S$12:$AA$12+INDEX($AJ$13:$AR$162,BN334,0)+INDEX($AT$13:$BB$162,BO334,0)+INDEX($BD$13:$BL$162,BP334,0))/100)))&gt;0)*($D$10:$L$10-($D$9:$L$9+INT(($S$12:$AA$12+INDEX($AJ$13:$AR$162,BN334,0)+INDEX($AT$13:$BB$162,BO334,0)+INDEX($BD$13:$BL$162,BP334,0))/100)))),0)</f>
        <v/>
      </c>
      <c r="BS334">
        <f>IF(321&lt;$U$9,SUMPRODUCT(($D$9:$L$9+INT(($S$12:$AA$12+INDEX($AJ$13:$AR$162,BN334,0)+INDEX($AT$13:$BB$162,BO334,0)+INDEX($BD$13:$BL$162,BP334,0))/100))),0)</f>
        <v/>
      </c>
      <c r="BT334">
        <f>IF(AND(321&lt;$U$9,$W$5),BQ334*1000000-MIN(BR334,999)*1000+BS334-321/100000,-1000000000-321)</f>
        <v/>
      </c>
    </row>
    <row r="335">
      <c r="BN335">
        <f>IF(322&lt;$U$9,INT(322/($U$7*$U$8))+1,1)</f>
        <v/>
      </c>
      <c r="BO335">
        <f>IF(322&lt;$U$9,MOD(INT(322/$U$8),$U$7)+1,1)</f>
        <v/>
      </c>
      <c r="BP335">
        <f>IF(322&lt;$U$9,MOD(322,$U$8)+1,1)</f>
        <v/>
      </c>
      <c r="BQ335">
        <f>IF(322&lt;$U$9,SUMPRODUCT(($D$10:$L$10&lt;&gt;"")*(($D$9:$L$9+INT(($S$12:$AA$12+INDEX($AJ$13:$AR$162,BN335,0)+INDEX($AT$13:$BB$162,BO335,0)+INDEX($BD$13:$BL$162,BP335,0))/100))&gt;=$D$10:$L$10)),0)</f>
        <v/>
      </c>
      <c r="BR335">
        <f>IF(322&lt;$U$9,SUMPRODUCT(($D$10:$L$10&lt;&gt;"")*(($D$10:$L$10-($D$9:$L$9+INT(($S$12:$AA$12+INDEX($AJ$13:$AR$162,BN335,0)+INDEX($AT$13:$BB$162,BO335,0)+INDEX($BD$13:$BL$162,BP335,0))/100)))&gt;0)*($D$10:$L$10-($D$9:$L$9+INT(($S$12:$AA$12+INDEX($AJ$13:$AR$162,BN335,0)+INDEX($AT$13:$BB$162,BO335,0)+INDEX($BD$13:$BL$162,BP335,0))/100)))),0)</f>
        <v/>
      </c>
      <c r="BS335">
        <f>IF(322&lt;$U$9,SUMPRODUCT(($D$9:$L$9+INT(($S$12:$AA$12+INDEX($AJ$13:$AR$162,BN335,0)+INDEX($AT$13:$BB$162,BO335,0)+INDEX($BD$13:$BL$162,BP335,0))/100))),0)</f>
        <v/>
      </c>
      <c r="BT335">
        <f>IF(AND(322&lt;$U$9,$W$5),BQ335*1000000-MIN(BR335,999)*1000+BS335-322/100000,-1000000000-322)</f>
        <v/>
      </c>
    </row>
    <row r="336">
      <c r="BN336">
        <f>IF(323&lt;$U$9,INT(323/($U$7*$U$8))+1,1)</f>
        <v/>
      </c>
      <c r="BO336">
        <f>IF(323&lt;$U$9,MOD(INT(323/$U$8),$U$7)+1,1)</f>
        <v/>
      </c>
      <c r="BP336">
        <f>IF(323&lt;$U$9,MOD(323,$U$8)+1,1)</f>
        <v/>
      </c>
      <c r="BQ336">
        <f>IF(323&lt;$U$9,SUMPRODUCT(($D$10:$L$10&lt;&gt;"")*(($D$9:$L$9+INT(($S$12:$AA$12+INDEX($AJ$13:$AR$162,BN336,0)+INDEX($AT$13:$BB$162,BO336,0)+INDEX($BD$13:$BL$162,BP336,0))/100))&gt;=$D$10:$L$10)),0)</f>
        <v/>
      </c>
      <c r="BR336">
        <f>IF(323&lt;$U$9,SUMPRODUCT(($D$10:$L$10&lt;&gt;"")*(($D$10:$L$10-($D$9:$L$9+INT(($S$12:$AA$12+INDEX($AJ$13:$AR$162,BN336,0)+INDEX($AT$13:$BB$162,BO336,0)+INDEX($BD$13:$BL$162,BP336,0))/100)))&gt;0)*($D$10:$L$10-($D$9:$L$9+INT(($S$12:$AA$12+INDEX($AJ$13:$AR$162,BN336,0)+INDEX($AT$13:$BB$162,BO336,0)+INDEX($BD$13:$BL$162,BP336,0))/100)))),0)</f>
        <v/>
      </c>
      <c r="BS336">
        <f>IF(323&lt;$U$9,SUMPRODUCT(($D$9:$L$9+INT(($S$12:$AA$12+INDEX($AJ$13:$AR$162,BN336,0)+INDEX($AT$13:$BB$162,BO336,0)+INDEX($BD$13:$BL$162,BP336,0))/100))),0)</f>
        <v/>
      </c>
      <c r="BT336">
        <f>IF(AND(323&lt;$U$9,$W$5),BQ336*1000000-MIN(BR336,999)*1000+BS336-323/100000,-1000000000-323)</f>
        <v/>
      </c>
    </row>
    <row r="337">
      <c r="BN337">
        <f>IF(324&lt;$U$9,INT(324/($U$7*$U$8))+1,1)</f>
        <v/>
      </c>
      <c r="BO337">
        <f>IF(324&lt;$U$9,MOD(INT(324/$U$8),$U$7)+1,1)</f>
        <v/>
      </c>
      <c r="BP337">
        <f>IF(324&lt;$U$9,MOD(324,$U$8)+1,1)</f>
        <v/>
      </c>
      <c r="BQ337">
        <f>IF(324&lt;$U$9,SUMPRODUCT(($D$10:$L$10&lt;&gt;"")*(($D$9:$L$9+INT(($S$12:$AA$12+INDEX($AJ$13:$AR$162,BN337,0)+INDEX($AT$13:$BB$162,BO337,0)+INDEX($BD$13:$BL$162,BP337,0))/100))&gt;=$D$10:$L$10)),0)</f>
        <v/>
      </c>
      <c r="BR337">
        <f>IF(324&lt;$U$9,SUMPRODUCT(($D$10:$L$10&lt;&gt;"")*(($D$10:$L$10-($D$9:$L$9+INT(($S$12:$AA$12+INDEX($AJ$13:$AR$162,BN337,0)+INDEX($AT$13:$BB$162,BO337,0)+INDEX($BD$13:$BL$162,BP337,0))/100)))&gt;0)*($D$10:$L$10-($D$9:$L$9+INT(($S$12:$AA$12+INDEX($AJ$13:$AR$162,BN337,0)+INDEX($AT$13:$BB$162,BO337,0)+INDEX($BD$13:$BL$162,BP337,0))/100)))),0)</f>
        <v/>
      </c>
      <c r="BS337">
        <f>IF(324&lt;$U$9,SUMPRODUCT(($D$9:$L$9+INT(($S$12:$AA$12+INDEX($AJ$13:$AR$162,BN337,0)+INDEX($AT$13:$BB$162,BO337,0)+INDEX($BD$13:$BL$162,BP337,0))/100))),0)</f>
        <v/>
      </c>
      <c r="BT337">
        <f>IF(AND(324&lt;$U$9,$W$5),BQ337*1000000-MIN(BR337,999)*1000+BS337-324/100000,-1000000000-324)</f>
        <v/>
      </c>
    </row>
    <row r="338">
      <c r="BN338">
        <f>IF(325&lt;$U$9,INT(325/($U$7*$U$8))+1,1)</f>
        <v/>
      </c>
      <c r="BO338">
        <f>IF(325&lt;$U$9,MOD(INT(325/$U$8),$U$7)+1,1)</f>
        <v/>
      </c>
      <c r="BP338">
        <f>IF(325&lt;$U$9,MOD(325,$U$8)+1,1)</f>
        <v/>
      </c>
      <c r="BQ338">
        <f>IF(325&lt;$U$9,SUMPRODUCT(($D$10:$L$10&lt;&gt;"")*(($D$9:$L$9+INT(($S$12:$AA$12+INDEX($AJ$13:$AR$162,BN338,0)+INDEX($AT$13:$BB$162,BO338,0)+INDEX($BD$13:$BL$162,BP338,0))/100))&gt;=$D$10:$L$10)),0)</f>
        <v/>
      </c>
      <c r="BR338">
        <f>IF(325&lt;$U$9,SUMPRODUCT(($D$10:$L$10&lt;&gt;"")*(($D$10:$L$10-($D$9:$L$9+INT(($S$12:$AA$12+INDEX($AJ$13:$AR$162,BN338,0)+INDEX($AT$13:$BB$162,BO338,0)+INDEX($BD$13:$BL$162,BP338,0))/100)))&gt;0)*($D$10:$L$10-($D$9:$L$9+INT(($S$12:$AA$12+INDEX($AJ$13:$AR$162,BN338,0)+INDEX($AT$13:$BB$162,BO338,0)+INDEX($BD$13:$BL$162,BP338,0))/100)))),0)</f>
        <v/>
      </c>
      <c r="BS338">
        <f>IF(325&lt;$U$9,SUMPRODUCT(($D$9:$L$9+INT(($S$12:$AA$12+INDEX($AJ$13:$AR$162,BN338,0)+INDEX($AT$13:$BB$162,BO338,0)+INDEX($BD$13:$BL$162,BP338,0))/100))),0)</f>
        <v/>
      </c>
      <c r="BT338">
        <f>IF(AND(325&lt;$U$9,$W$5),BQ338*1000000-MIN(BR338,999)*1000+BS338-325/100000,-1000000000-325)</f>
        <v/>
      </c>
    </row>
    <row r="339">
      <c r="BN339">
        <f>IF(326&lt;$U$9,INT(326/($U$7*$U$8))+1,1)</f>
        <v/>
      </c>
      <c r="BO339">
        <f>IF(326&lt;$U$9,MOD(INT(326/$U$8),$U$7)+1,1)</f>
        <v/>
      </c>
      <c r="BP339">
        <f>IF(326&lt;$U$9,MOD(326,$U$8)+1,1)</f>
        <v/>
      </c>
      <c r="BQ339">
        <f>IF(326&lt;$U$9,SUMPRODUCT(($D$10:$L$10&lt;&gt;"")*(($D$9:$L$9+INT(($S$12:$AA$12+INDEX($AJ$13:$AR$162,BN339,0)+INDEX($AT$13:$BB$162,BO339,0)+INDEX($BD$13:$BL$162,BP339,0))/100))&gt;=$D$10:$L$10)),0)</f>
        <v/>
      </c>
      <c r="BR339">
        <f>IF(326&lt;$U$9,SUMPRODUCT(($D$10:$L$10&lt;&gt;"")*(($D$10:$L$10-($D$9:$L$9+INT(($S$12:$AA$12+INDEX($AJ$13:$AR$162,BN339,0)+INDEX($AT$13:$BB$162,BO339,0)+INDEX($BD$13:$BL$162,BP339,0))/100)))&gt;0)*($D$10:$L$10-($D$9:$L$9+INT(($S$12:$AA$12+INDEX($AJ$13:$AR$162,BN339,0)+INDEX($AT$13:$BB$162,BO339,0)+INDEX($BD$13:$BL$162,BP339,0))/100)))),0)</f>
        <v/>
      </c>
      <c r="BS339">
        <f>IF(326&lt;$U$9,SUMPRODUCT(($D$9:$L$9+INT(($S$12:$AA$12+INDEX($AJ$13:$AR$162,BN339,0)+INDEX($AT$13:$BB$162,BO339,0)+INDEX($BD$13:$BL$162,BP339,0))/100))),0)</f>
        <v/>
      </c>
      <c r="BT339">
        <f>IF(AND(326&lt;$U$9,$W$5),BQ339*1000000-MIN(BR339,999)*1000+BS339-326/100000,-1000000000-326)</f>
        <v/>
      </c>
    </row>
    <row r="340">
      <c r="BN340">
        <f>IF(327&lt;$U$9,INT(327/($U$7*$U$8))+1,1)</f>
        <v/>
      </c>
      <c r="BO340">
        <f>IF(327&lt;$U$9,MOD(INT(327/$U$8),$U$7)+1,1)</f>
        <v/>
      </c>
      <c r="BP340">
        <f>IF(327&lt;$U$9,MOD(327,$U$8)+1,1)</f>
        <v/>
      </c>
      <c r="BQ340">
        <f>IF(327&lt;$U$9,SUMPRODUCT(($D$10:$L$10&lt;&gt;"")*(($D$9:$L$9+INT(($S$12:$AA$12+INDEX($AJ$13:$AR$162,BN340,0)+INDEX($AT$13:$BB$162,BO340,0)+INDEX($BD$13:$BL$162,BP340,0))/100))&gt;=$D$10:$L$10)),0)</f>
        <v/>
      </c>
      <c r="BR340">
        <f>IF(327&lt;$U$9,SUMPRODUCT(($D$10:$L$10&lt;&gt;"")*(($D$10:$L$10-($D$9:$L$9+INT(($S$12:$AA$12+INDEX($AJ$13:$AR$162,BN340,0)+INDEX($AT$13:$BB$162,BO340,0)+INDEX($BD$13:$BL$162,BP340,0))/100)))&gt;0)*($D$10:$L$10-($D$9:$L$9+INT(($S$12:$AA$12+INDEX($AJ$13:$AR$162,BN340,0)+INDEX($AT$13:$BB$162,BO340,0)+INDEX($BD$13:$BL$162,BP340,0))/100)))),0)</f>
        <v/>
      </c>
      <c r="BS340">
        <f>IF(327&lt;$U$9,SUMPRODUCT(($D$9:$L$9+INT(($S$12:$AA$12+INDEX($AJ$13:$AR$162,BN340,0)+INDEX($AT$13:$BB$162,BO340,0)+INDEX($BD$13:$BL$162,BP340,0))/100))),0)</f>
        <v/>
      </c>
      <c r="BT340">
        <f>IF(AND(327&lt;$U$9,$W$5),BQ340*1000000-MIN(BR340,999)*1000+BS340-327/100000,-1000000000-327)</f>
        <v/>
      </c>
    </row>
    <row r="341">
      <c r="BN341">
        <f>IF(328&lt;$U$9,INT(328/($U$7*$U$8))+1,1)</f>
        <v/>
      </c>
      <c r="BO341">
        <f>IF(328&lt;$U$9,MOD(INT(328/$U$8),$U$7)+1,1)</f>
        <v/>
      </c>
      <c r="BP341">
        <f>IF(328&lt;$U$9,MOD(328,$U$8)+1,1)</f>
        <v/>
      </c>
      <c r="BQ341">
        <f>IF(328&lt;$U$9,SUMPRODUCT(($D$10:$L$10&lt;&gt;"")*(($D$9:$L$9+INT(($S$12:$AA$12+INDEX($AJ$13:$AR$162,BN341,0)+INDEX($AT$13:$BB$162,BO341,0)+INDEX($BD$13:$BL$162,BP341,0))/100))&gt;=$D$10:$L$10)),0)</f>
        <v/>
      </c>
      <c r="BR341">
        <f>IF(328&lt;$U$9,SUMPRODUCT(($D$10:$L$10&lt;&gt;"")*(($D$10:$L$10-($D$9:$L$9+INT(($S$12:$AA$12+INDEX($AJ$13:$AR$162,BN341,0)+INDEX($AT$13:$BB$162,BO341,0)+INDEX($BD$13:$BL$162,BP341,0))/100)))&gt;0)*($D$10:$L$10-($D$9:$L$9+INT(($S$12:$AA$12+INDEX($AJ$13:$AR$162,BN341,0)+INDEX($AT$13:$BB$162,BO341,0)+INDEX($BD$13:$BL$162,BP341,0))/100)))),0)</f>
        <v/>
      </c>
      <c r="BS341">
        <f>IF(328&lt;$U$9,SUMPRODUCT(($D$9:$L$9+INT(($S$12:$AA$12+INDEX($AJ$13:$AR$162,BN341,0)+INDEX($AT$13:$BB$162,BO341,0)+INDEX($BD$13:$BL$162,BP341,0))/100))),0)</f>
        <v/>
      </c>
      <c r="BT341">
        <f>IF(AND(328&lt;$U$9,$W$5),BQ341*1000000-MIN(BR341,999)*1000+BS341-328/100000,-1000000000-328)</f>
        <v/>
      </c>
    </row>
    <row r="342">
      <c r="BN342">
        <f>IF(329&lt;$U$9,INT(329/($U$7*$U$8))+1,1)</f>
        <v/>
      </c>
      <c r="BO342">
        <f>IF(329&lt;$U$9,MOD(INT(329/$U$8),$U$7)+1,1)</f>
        <v/>
      </c>
      <c r="BP342">
        <f>IF(329&lt;$U$9,MOD(329,$U$8)+1,1)</f>
        <v/>
      </c>
      <c r="BQ342">
        <f>IF(329&lt;$U$9,SUMPRODUCT(($D$10:$L$10&lt;&gt;"")*(($D$9:$L$9+INT(($S$12:$AA$12+INDEX($AJ$13:$AR$162,BN342,0)+INDEX($AT$13:$BB$162,BO342,0)+INDEX($BD$13:$BL$162,BP342,0))/100))&gt;=$D$10:$L$10)),0)</f>
        <v/>
      </c>
      <c r="BR342">
        <f>IF(329&lt;$U$9,SUMPRODUCT(($D$10:$L$10&lt;&gt;"")*(($D$10:$L$10-($D$9:$L$9+INT(($S$12:$AA$12+INDEX($AJ$13:$AR$162,BN342,0)+INDEX($AT$13:$BB$162,BO342,0)+INDEX($BD$13:$BL$162,BP342,0))/100)))&gt;0)*($D$10:$L$10-($D$9:$L$9+INT(($S$12:$AA$12+INDEX($AJ$13:$AR$162,BN342,0)+INDEX($AT$13:$BB$162,BO342,0)+INDEX($BD$13:$BL$162,BP342,0))/100)))),0)</f>
        <v/>
      </c>
      <c r="BS342">
        <f>IF(329&lt;$U$9,SUMPRODUCT(($D$9:$L$9+INT(($S$12:$AA$12+INDEX($AJ$13:$AR$162,BN342,0)+INDEX($AT$13:$BB$162,BO342,0)+INDEX($BD$13:$BL$162,BP342,0))/100))),0)</f>
        <v/>
      </c>
      <c r="BT342">
        <f>IF(AND(329&lt;$U$9,$W$5),BQ342*1000000-MIN(BR342,999)*1000+BS342-329/100000,-1000000000-329)</f>
        <v/>
      </c>
    </row>
    <row r="343">
      <c r="BN343">
        <f>IF(330&lt;$U$9,INT(330/($U$7*$U$8))+1,1)</f>
        <v/>
      </c>
      <c r="BO343">
        <f>IF(330&lt;$U$9,MOD(INT(330/$U$8),$U$7)+1,1)</f>
        <v/>
      </c>
      <c r="BP343">
        <f>IF(330&lt;$U$9,MOD(330,$U$8)+1,1)</f>
        <v/>
      </c>
      <c r="BQ343">
        <f>IF(330&lt;$U$9,SUMPRODUCT(($D$10:$L$10&lt;&gt;"")*(($D$9:$L$9+INT(($S$12:$AA$12+INDEX($AJ$13:$AR$162,BN343,0)+INDEX($AT$13:$BB$162,BO343,0)+INDEX($BD$13:$BL$162,BP343,0))/100))&gt;=$D$10:$L$10)),0)</f>
        <v/>
      </c>
      <c r="BR343">
        <f>IF(330&lt;$U$9,SUMPRODUCT(($D$10:$L$10&lt;&gt;"")*(($D$10:$L$10-($D$9:$L$9+INT(($S$12:$AA$12+INDEX($AJ$13:$AR$162,BN343,0)+INDEX($AT$13:$BB$162,BO343,0)+INDEX($BD$13:$BL$162,BP343,0))/100)))&gt;0)*($D$10:$L$10-($D$9:$L$9+INT(($S$12:$AA$12+INDEX($AJ$13:$AR$162,BN343,0)+INDEX($AT$13:$BB$162,BO343,0)+INDEX($BD$13:$BL$162,BP343,0))/100)))),0)</f>
        <v/>
      </c>
      <c r="BS343">
        <f>IF(330&lt;$U$9,SUMPRODUCT(($D$9:$L$9+INT(($S$12:$AA$12+INDEX($AJ$13:$AR$162,BN343,0)+INDEX($AT$13:$BB$162,BO343,0)+INDEX($BD$13:$BL$162,BP343,0))/100))),0)</f>
        <v/>
      </c>
      <c r="BT343">
        <f>IF(AND(330&lt;$U$9,$W$5),BQ343*1000000-MIN(BR343,999)*1000+BS343-330/100000,-1000000000-330)</f>
        <v/>
      </c>
    </row>
    <row r="344">
      <c r="BN344">
        <f>IF(331&lt;$U$9,INT(331/($U$7*$U$8))+1,1)</f>
        <v/>
      </c>
      <c r="BO344">
        <f>IF(331&lt;$U$9,MOD(INT(331/$U$8),$U$7)+1,1)</f>
        <v/>
      </c>
      <c r="BP344">
        <f>IF(331&lt;$U$9,MOD(331,$U$8)+1,1)</f>
        <v/>
      </c>
      <c r="BQ344">
        <f>IF(331&lt;$U$9,SUMPRODUCT(($D$10:$L$10&lt;&gt;"")*(($D$9:$L$9+INT(($S$12:$AA$12+INDEX($AJ$13:$AR$162,BN344,0)+INDEX($AT$13:$BB$162,BO344,0)+INDEX($BD$13:$BL$162,BP344,0))/100))&gt;=$D$10:$L$10)),0)</f>
        <v/>
      </c>
      <c r="BR344">
        <f>IF(331&lt;$U$9,SUMPRODUCT(($D$10:$L$10&lt;&gt;"")*(($D$10:$L$10-($D$9:$L$9+INT(($S$12:$AA$12+INDEX($AJ$13:$AR$162,BN344,0)+INDEX($AT$13:$BB$162,BO344,0)+INDEX($BD$13:$BL$162,BP344,0))/100)))&gt;0)*($D$10:$L$10-($D$9:$L$9+INT(($S$12:$AA$12+INDEX($AJ$13:$AR$162,BN344,0)+INDEX($AT$13:$BB$162,BO344,0)+INDEX($BD$13:$BL$162,BP344,0))/100)))),0)</f>
        <v/>
      </c>
      <c r="BS344">
        <f>IF(331&lt;$U$9,SUMPRODUCT(($D$9:$L$9+INT(($S$12:$AA$12+INDEX($AJ$13:$AR$162,BN344,0)+INDEX($AT$13:$BB$162,BO344,0)+INDEX($BD$13:$BL$162,BP344,0))/100))),0)</f>
        <v/>
      </c>
      <c r="BT344">
        <f>IF(AND(331&lt;$U$9,$W$5),BQ344*1000000-MIN(BR344,999)*1000+BS344-331/100000,-1000000000-331)</f>
        <v/>
      </c>
    </row>
    <row r="345">
      <c r="BN345">
        <f>IF(332&lt;$U$9,INT(332/($U$7*$U$8))+1,1)</f>
        <v/>
      </c>
      <c r="BO345">
        <f>IF(332&lt;$U$9,MOD(INT(332/$U$8),$U$7)+1,1)</f>
        <v/>
      </c>
      <c r="BP345">
        <f>IF(332&lt;$U$9,MOD(332,$U$8)+1,1)</f>
        <v/>
      </c>
      <c r="BQ345">
        <f>IF(332&lt;$U$9,SUMPRODUCT(($D$10:$L$10&lt;&gt;"")*(($D$9:$L$9+INT(($S$12:$AA$12+INDEX($AJ$13:$AR$162,BN345,0)+INDEX($AT$13:$BB$162,BO345,0)+INDEX($BD$13:$BL$162,BP345,0))/100))&gt;=$D$10:$L$10)),0)</f>
        <v/>
      </c>
      <c r="BR345">
        <f>IF(332&lt;$U$9,SUMPRODUCT(($D$10:$L$10&lt;&gt;"")*(($D$10:$L$10-($D$9:$L$9+INT(($S$12:$AA$12+INDEX($AJ$13:$AR$162,BN345,0)+INDEX($AT$13:$BB$162,BO345,0)+INDEX($BD$13:$BL$162,BP345,0))/100)))&gt;0)*($D$10:$L$10-($D$9:$L$9+INT(($S$12:$AA$12+INDEX($AJ$13:$AR$162,BN345,0)+INDEX($AT$13:$BB$162,BO345,0)+INDEX($BD$13:$BL$162,BP345,0))/100)))),0)</f>
        <v/>
      </c>
      <c r="BS345">
        <f>IF(332&lt;$U$9,SUMPRODUCT(($D$9:$L$9+INT(($S$12:$AA$12+INDEX($AJ$13:$AR$162,BN345,0)+INDEX($AT$13:$BB$162,BO345,0)+INDEX($BD$13:$BL$162,BP345,0))/100))),0)</f>
        <v/>
      </c>
      <c r="BT345">
        <f>IF(AND(332&lt;$U$9,$W$5),BQ345*1000000-MIN(BR345,999)*1000+BS345-332/100000,-1000000000-332)</f>
        <v/>
      </c>
    </row>
    <row r="346">
      <c r="BN346">
        <f>IF(333&lt;$U$9,INT(333/($U$7*$U$8))+1,1)</f>
        <v/>
      </c>
      <c r="BO346">
        <f>IF(333&lt;$U$9,MOD(INT(333/$U$8),$U$7)+1,1)</f>
        <v/>
      </c>
      <c r="BP346">
        <f>IF(333&lt;$U$9,MOD(333,$U$8)+1,1)</f>
        <v/>
      </c>
      <c r="BQ346">
        <f>IF(333&lt;$U$9,SUMPRODUCT(($D$10:$L$10&lt;&gt;"")*(($D$9:$L$9+INT(($S$12:$AA$12+INDEX($AJ$13:$AR$162,BN346,0)+INDEX($AT$13:$BB$162,BO346,0)+INDEX($BD$13:$BL$162,BP346,0))/100))&gt;=$D$10:$L$10)),0)</f>
        <v/>
      </c>
      <c r="BR346">
        <f>IF(333&lt;$U$9,SUMPRODUCT(($D$10:$L$10&lt;&gt;"")*(($D$10:$L$10-($D$9:$L$9+INT(($S$12:$AA$12+INDEX($AJ$13:$AR$162,BN346,0)+INDEX($AT$13:$BB$162,BO346,0)+INDEX($BD$13:$BL$162,BP346,0))/100)))&gt;0)*($D$10:$L$10-($D$9:$L$9+INT(($S$12:$AA$12+INDEX($AJ$13:$AR$162,BN346,0)+INDEX($AT$13:$BB$162,BO346,0)+INDEX($BD$13:$BL$162,BP346,0))/100)))),0)</f>
        <v/>
      </c>
      <c r="BS346">
        <f>IF(333&lt;$U$9,SUMPRODUCT(($D$9:$L$9+INT(($S$12:$AA$12+INDEX($AJ$13:$AR$162,BN346,0)+INDEX($AT$13:$BB$162,BO346,0)+INDEX($BD$13:$BL$162,BP346,0))/100))),0)</f>
        <v/>
      </c>
      <c r="BT346">
        <f>IF(AND(333&lt;$U$9,$W$5),BQ346*1000000-MIN(BR346,999)*1000+BS346-333/100000,-1000000000-333)</f>
        <v/>
      </c>
    </row>
    <row r="347">
      <c r="BN347">
        <f>IF(334&lt;$U$9,INT(334/($U$7*$U$8))+1,1)</f>
        <v/>
      </c>
      <c r="BO347">
        <f>IF(334&lt;$U$9,MOD(INT(334/$U$8),$U$7)+1,1)</f>
        <v/>
      </c>
      <c r="BP347">
        <f>IF(334&lt;$U$9,MOD(334,$U$8)+1,1)</f>
        <v/>
      </c>
      <c r="BQ347">
        <f>IF(334&lt;$U$9,SUMPRODUCT(($D$10:$L$10&lt;&gt;"")*(($D$9:$L$9+INT(($S$12:$AA$12+INDEX($AJ$13:$AR$162,BN347,0)+INDEX($AT$13:$BB$162,BO347,0)+INDEX($BD$13:$BL$162,BP347,0))/100))&gt;=$D$10:$L$10)),0)</f>
        <v/>
      </c>
      <c r="BR347">
        <f>IF(334&lt;$U$9,SUMPRODUCT(($D$10:$L$10&lt;&gt;"")*(($D$10:$L$10-($D$9:$L$9+INT(($S$12:$AA$12+INDEX($AJ$13:$AR$162,BN347,0)+INDEX($AT$13:$BB$162,BO347,0)+INDEX($BD$13:$BL$162,BP347,0))/100)))&gt;0)*($D$10:$L$10-($D$9:$L$9+INT(($S$12:$AA$12+INDEX($AJ$13:$AR$162,BN347,0)+INDEX($AT$13:$BB$162,BO347,0)+INDEX($BD$13:$BL$162,BP347,0))/100)))),0)</f>
        <v/>
      </c>
      <c r="BS347">
        <f>IF(334&lt;$U$9,SUMPRODUCT(($D$9:$L$9+INT(($S$12:$AA$12+INDEX($AJ$13:$AR$162,BN347,0)+INDEX($AT$13:$BB$162,BO347,0)+INDEX($BD$13:$BL$162,BP347,0))/100))),0)</f>
        <v/>
      </c>
      <c r="BT347">
        <f>IF(AND(334&lt;$U$9,$W$5),BQ347*1000000-MIN(BR347,999)*1000+BS347-334/100000,-1000000000-334)</f>
        <v/>
      </c>
    </row>
    <row r="348">
      <c r="BN348">
        <f>IF(335&lt;$U$9,INT(335/($U$7*$U$8))+1,1)</f>
        <v/>
      </c>
      <c r="BO348">
        <f>IF(335&lt;$U$9,MOD(INT(335/$U$8),$U$7)+1,1)</f>
        <v/>
      </c>
      <c r="BP348">
        <f>IF(335&lt;$U$9,MOD(335,$U$8)+1,1)</f>
        <v/>
      </c>
      <c r="BQ348">
        <f>IF(335&lt;$U$9,SUMPRODUCT(($D$10:$L$10&lt;&gt;"")*(($D$9:$L$9+INT(($S$12:$AA$12+INDEX($AJ$13:$AR$162,BN348,0)+INDEX($AT$13:$BB$162,BO348,0)+INDEX($BD$13:$BL$162,BP348,0))/100))&gt;=$D$10:$L$10)),0)</f>
        <v/>
      </c>
      <c r="BR348">
        <f>IF(335&lt;$U$9,SUMPRODUCT(($D$10:$L$10&lt;&gt;"")*(($D$10:$L$10-($D$9:$L$9+INT(($S$12:$AA$12+INDEX($AJ$13:$AR$162,BN348,0)+INDEX($AT$13:$BB$162,BO348,0)+INDEX($BD$13:$BL$162,BP348,0))/100)))&gt;0)*($D$10:$L$10-($D$9:$L$9+INT(($S$12:$AA$12+INDEX($AJ$13:$AR$162,BN348,0)+INDEX($AT$13:$BB$162,BO348,0)+INDEX($BD$13:$BL$162,BP348,0))/100)))),0)</f>
        <v/>
      </c>
      <c r="BS348">
        <f>IF(335&lt;$U$9,SUMPRODUCT(($D$9:$L$9+INT(($S$12:$AA$12+INDEX($AJ$13:$AR$162,BN348,0)+INDEX($AT$13:$BB$162,BO348,0)+INDEX($BD$13:$BL$162,BP348,0))/100))),0)</f>
        <v/>
      </c>
      <c r="BT348">
        <f>IF(AND(335&lt;$U$9,$W$5),BQ348*1000000-MIN(BR348,999)*1000+BS348-335/100000,-1000000000-335)</f>
        <v/>
      </c>
    </row>
    <row r="349">
      <c r="BN349">
        <f>IF(336&lt;$U$9,INT(336/($U$7*$U$8))+1,1)</f>
        <v/>
      </c>
      <c r="BO349">
        <f>IF(336&lt;$U$9,MOD(INT(336/$U$8),$U$7)+1,1)</f>
        <v/>
      </c>
      <c r="BP349">
        <f>IF(336&lt;$U$9,MOD(336,$U$8)+1,1)</f>
        <v/>
      </c>
      <c r="BQ349">
        <f>IF(336&lt;$U$9,SUMPRODUCT(($D$10:$L$10&lt;&gt;"")*(($D$9:$L$9+INT(($S$12:$AA$12+INDEX($AJ$13:$AR$162,BN349,0)+INDEX($AT$13:$BB$162,BO349,0)+INDEX($BD$13:$BL$162,BP349,0))/100))&gt;=$D$10:$L$10)),0)</f>
        <v/>
      </c>
      <c r="BR349">
        <f>IF(336&lt;$U$9,SUMPRODUCT(($D$10:$L$10&lt;&gt;"")*(($D$10:$L$10-($D$9:$L$9+INT(($S$12:$AA$12+INDEX($AJ$13:$AR$162,BN349,0)+INDEX($AT$13:$BB$162,BO349,0)+INDEX($BD$13:$BL$162,BP349,0))/100)))&gt;0)*($D$10:$L$10-($D$9:$L$9+INT(($S$12:$AA$12+INDEX($AJ$13:$AR$162,BN349,0)+INDEX($AT$13:$BB$162,BO349,0)+INDEX($BD$13:$BL$162,BP349,0))/100)))),0)</f>
        <v/>
      </c>
      <c r="BS349">
        <f>IF(336&lt;$U$9,SUMPRODUCT(($D$9:$L$9+INT(($S$12:$AA$12+INDEX($AJ$13:$AR$162,BN349,0)+INDEX($AT$13:$BB$162,BO349,0)+INDEX($BD$13:$BL$162,BP349,0))/100))),0)</f>
        <v/>
      </c>
      <c r="BT349">
        <f>IF(AND(336&lt;$U$9,$W$5),BQ349*1000000-MIN(BR349,999)*1000+BS349-336/100000,-1000000000-336)</f>
        <v/>
      </c>
    </row>
    <row r="350">
      <c r="BN350">
        <f>IF(337&lt;$U$9,INT(337/($U$7*$U$8))+1,1)</f>
        <v/>
      </c>
      <c r="BO350">
        <f>IF(337&lt;$U$9,MOD(INT(337/$U$8),$U$7)+1,1)</f>
        <v/>
      </c>
      <c r="BP350">
        <f>IF(337&lt;$U$9,MOD(337,$U$8)+1,1)</f>
        <v/>
      </c>
      <c r="BQ350">
        <f>IF(337&lt;$U$9,SUMPRODUCT(($D$10:$L$10&lt;&gt;"")*(($D$9:$L$9+INT(($S$12:$AA$12+INDEX($AJ$13:$AR$162,BN350,0)+INDEX($AT$13:$BB$162,BO350,0)+INDEX($BD$13:$BL$162,BP350,0))/100))&gt;=$D$10:$L$10)),0)</f>
        <v/>
      </c>
      <c r="BR350">
        <f>IF(337&lt;$U$9,SUMPRODUCT(($D$10:$L$10&lt;&gt;"")*(($D$10:$L$10-($D$9:$L$9+INT(($S$12:$AA$12+INDEX($AJ$13:$AR$162,BN350,0)+INDEX($AT$13:$BB$162,BO350,0)+INDEX($BD$13:$BL$162,BP350,0))/100)))&gt;0)*($D$10:$L$10-($D$9:$L$9+INT(($S$12:$AA$12+INDEX($AJ$13:$AR$162,BN350,0)+INDEX($AT$13:$BB$162,BO350,0)+INDEX($BD$13:$BL$162,BP350,0))/100)))),0)</f>
        <v/>
      </c>
      <c r="BS350">
        <f>IF(337&lt;$U$9,SUMPRODUCT(($D$9:$L$9+INT(($S$12:$AA$12+INDEX($AJ$13:$AR$162,BN350,0)+INDEX($AT$13:$BB$162,BO350,0)+INDEX($BD$13:$BL$162,BP350,0))/100))),0)</f>
        <v/>
      </c>
      <c r="BT350">
        <f>IF(AND(337&lt;$U$9,$W$5),BQ350*1000000-MIN(BR350,999)*1000+BS350-337/100000,-1000000000-337)</f>
        <v/>
      </c>
    </row>
    <row r="351">
      <c r="BN351">
        <f>IF(338&lt;$U$9,INT(338/($U$7*$U$8))+1,1)</f>
        <v/>
      </c>
      <c r="BO351">
        <f>IF(338&lt;$U$9,MOD(INT(338/$U$8),$U$7)+1,1)</f>
        <v/>
      </c>
      <c r="BP351">
        <f>IF(338&lt;$U$9,MOD(338,$U$8)+1,1)</f>
        <v/>
      </c>
      <c r="BQ351">
        <f>IF(338&lt;$U$9,SUMPRODUCT(($D$10:$L$10&lt;&gt;"")*(($D$9:$L$9+INT(($S$12:$AA$12+INDEX($AJ$13:$AR$162,BN351,0)+INDEX($AT$13:$BB$162,BO351,0)+INDEX($BD$13:$BL$162,BP351,0))/100))&gt;=$D$10:$L$10)),0)</f>
        <v/>
      </c>
      <c r="BR351">
        <f>IF(338&lt;$U$9,SUMPRODUCT(($D$10:$L$10&lt;&gt;"")*(($D$10:$L$10-($D$9:$L$9+INT(($S$12:$AA$12+INDEX($AJ$13:$AR$162,BN351,0)+INDEX($AT$13:$BB$162,BO351,0)+INDEX($BD$13:$BL$162,BP351,0))/100)))&gt;0)*($D$10:$L$10-($D$9:$L$9+INT(($S$12:$AA$12+INDEX($AJ$13:$AR$162,BN351,0)+INDEX($AT$13:$BB$162,BO351,0)+INDEX($BD$13:$BL$162,BP351,0))/100)))),0)</f>
        <v/>
      </c>
      <c r="BS351">
        <f>IF(338&lt;$U$9,SUMPRODUCT(($D$9:$L$9+INT(($S$12:$AA$12+INDEX($AJ$13:$AR$162,BN351,0)+INDEX($AT$13:$BB$162,BO351,0)+INDEX($BD$13:$BL$162,BP351,0))/100))),0)</f>
        <v/>
      </c>
      <c r="BT351">
        <f>IF(AND(338&lt;$U$9,$W$5),BQ351*1000000-MIN(BR351,999)*1000+BS351-338/100000,-1000000000-338)</f>
        <v/>
      </c>
    </row>
    <row r="352">
      <c r="BN352">
        <f>IF(339&lt;$U$9,INT(339/($U$7*$U$8))+1,1)</f>
        <v/>
      </c>
      <c r="BO352">
        <f>IF(339&lt;$U$9,MOD(INT(339/$U$8),$U$7)+1,1)</f>
        <v/>
      </c>
      <c r="BP352">
        <f>IF(339&lt;$U$9,MOD(339,$U$8)+1,1)</f>
        <v/>
      </c>
      <c r="BQ352">
        <f>IF(339&lt;$U$9,SUMPRODUCT(($D$10:$L$10&lt;&gt;"")*(($D$9:$L$9+INT(($S$12:$AA$12+INDEX($AJ$13:$AR$162,BN352,0)+INDEX($AT$13:$BB$162,BO352,0)+INDEX($BD$13:$BL$162,BP352,0))/100))&gt;=$D$10:$L$10)),0)</f>
        <v/>
      </c>
      <c r="BR352">
        <f>IF(339&lt;$U$9,SUMPRODUCT(($D$10:$L$10&lt;&gt;"")*(($D$10:$L$10-($D$9:$L$9+INT(($S$12:$AA$12+INDEX($AJ$13:$AR$162,BN352,0)+INDEX($AT$13:$BB$162,BO352,0)+INDEX($BD$13:$BL$162,BP352,0))/100)))&gt;0)*($D$10:$L$10-($D$9:$L$9+INT(($S$12:$AA$12+INDEX($AJ$13:$AR$162,BN352,0)+INDEX($AT$13:$BB$162,BO352,0)+INDEX($BD$13:$BL$162,BP352,0))/100)))),0)</f>
        <v/>
      </c>
      <c r="BS352">
        <f>IF(339&lt;$U$9,SUMPRODUCT(($D$9:$L$9+INT(($S$12:$AA$12+INDEX($AJ$13:$AR$162,BN352,0)+INDEX($AT$13:$BB$162,BO352,0)+INDEX($BD$13:$BL$162,BP352,0))/100))),0)</f>
        <v/>
      </c>
      <c r="BT352">
        <f>IF(AND(339&lt;$U$9,$W$5),BQ352*1000000-MIN(BR352,999)*1000+BS352-339/100000,-1000000000-339)</f>
        <v/>
      </c>
    </row>
    <row r="353">
      <c r="BN353">
        <f>IF(340&lt;$U$9,INT(340/($U$7*$U$8))+1,1)</f>
        <v/>
      </c>
      <c r="BO353">
        <f>IF(340&lt;$U$9,MOD(INT(340/$U$8),$U$7)+1,1)</f>
        <v/>
      </c>
      <c r="BP353">
        <f>IF(340&lt;$U$9,MOD(340,$U$8)+1,1)</f>
        <v/>
      </c>
      <c r="BQ353">
        <f>IF(340&lt;$U$9,SUMPRODUCT(($D$10:$L$10&lt;&gt;"")*(($D$9:$L$9+INT(($S$12:$AA$12+INDEX($AJ$13:$AR$162,BN353,0)+INDEX($AT$13:$BB$162,BO353,0)+INDEX($BD$13:$BL$162,BP353,0))/100))&gt;=$D$10:$L$10)),0)</f>
        <v/>
      </c>
      <c r="BR353">
        <f>IF(340&lt;$U$9,SUMPRODUCT(($D$10:$L$10&lt;&gt;"")*(($D$10:$L$10-($D$9:$L$9+INT(($S$12:$AA$12+INDEX($AJ$13:$AR$162,BN353,0)+INDEX($AT$13:$BB$162,BO353,0)+INDEX($BD$13:$BL$162,BP353,0))/100)))&gt;0)*($D$10:$L$10-($D$9:$L$9+INT(($S$12:$AA$12+INDEX($AJ$13:$AR$162,BN353,0)+INDEX($AT$13:$BB$162,BO353,0)+INDEX($BD$13:$BL$162,BP353,0))/100)))),0)</f>
        <v/>
      </c>
      <c r="BS353">
        <f>IF(340&lt;$U$9,SUMPRODUCT(($D$9:$L$9+INT(($S$12:$AA$12+INDEX($AJ$13:$AR$162,BN353,0)+INDEX($AT$13:$BB$162,BO353,0)+INDEX($BD$13:$BL$162,BP353,0))/100))),0)</f>
        <v/>
      </c>
      <c r="BT353">
        <f>IF(AND(340&lt;$U$9,$W$5),BQ353*1000000-MIN(BR353,999)*1000+BS353-340/100000,-1000000000-340)</f>
        <v/>
      </c>
    </row>
    <row r="354">
      <c r="BN354">
        <f>IF(341&lt;$U$9,INT(341/($U$7*$U$8))+1,1)</f>
        <v/>
      </c>
      <c r="BO354">
        <f>IF(341&lt;$U$9,MOD(INT(341/$U$8),$U$7)+1,1)</f>
        <v/>
      </c>
      <c r="BP354">
        <f>IF(341&lt;$U$9,MOD(341,$U$8)+1,1)</f>
        <v/>
      </c>
      <c r="BQ354">
        <f>IF(341&lt;$U$9,SUMPRODUCT(($D$10:$L$10&lt;&gt;"")*(($D$9:$L$9+INT(($S$12:$AA$12+INDEX($AJ$13:$AR$162,BN354,0)+INDEX($AT$13:$BB$162,BO354,0)+INDEX($BD$13:$BL$162,BP354,0))/100))&gt;=$D$10:$L$10)),0)</f>
        <v/>
      </c>
      <c r="BR354">
        <f>IF(341&lt;$U$9,SUMPRODUCT(($D$10:$L$10&lt;&gt;"")*(($D$10:$L$10-($D$9:$L$9+INT(($S$12:$AA$12+INDEX($AJ$13:$AR$162,BN354,0)+INDEX($AT$13:$BB$162,BO354,0)+INDEX($BD$13:$BL$162,BP354,0))/100)))&gt;0)*($D$10:$L$10-($D$9:$L$9+INT(($S$12:$AA$12+INDEX($AJ$13:$AR$162,BN354,0)+INDEX($AT$13:$BB$162,BO354,0)+INDEX($BD$13:$BL$162,BP354,0))/100)))),0)</f>
        <v/>
      </c>
      <c r="BS354">
        <f>IF(341&lt;$U$9,SUMPRODUCT(($D$9:$L$9+INT(($S$12:$AA$12+INDEX($AJ$13:$AR$162,BN354,0)+INDEX($AT$13:$BB$162,BO354,0)+INDEX($BD$13:$BL$162,BP354,0))/100))),0)</f>
        <v/>
      </c>
      <c r="BT354">
        <f>IF(AND(341&lt;$U$9,$W$5),BQ354*1000000-MIN(BR354,999)*1000+BS354-341/100000,-1000000000-341)</f>
        <v/>
      </c>
    </row>
    <row r="355">
      <c r="BN355">
        <f>IF(342&lt;$U$9,INT(342/($U$7*$U$8))+1,1)</f>
        <v/>
      </c>
      <c r="BO355">
        <f>IF(342&lt;$U$9,MOD(INT(342/$U$8),$U$7)+1,1)</f>
        <v/>
      </c>
      <c r="BP355">
        <f>IF(342&lt;$U$9,MOD(342,$U$8)+1,1)</f>
        <v/>
      </c>
      <c r="BQ355">
        <f>IF(342&lt;$U$9,SUMPRODUCT(($D$10:$L$10&lt;&gt;"")*(($D$9:$L$9+INT(($S$12:$AA$12+INDEX($AJ$13:$AR$162,BN355,0)+INDEX($AT$13:$BB$162,BO355,0)+INDEX($BD$13:$BL$162,BP355,0))/100))&gt;=$D$10:$L$10)),0)</f>
        <v/>
      </c>
      <c r="BR355">
        <f>IF(342&lt;$U$9,SUMPRODUCT(($D$10:$L$10&lt;&gt;"")*(($D$10:$L$10-($D$9:$L$9+INT(($S$12:$AA$12+INDEX($AJ$13:$AR$162,BN355,0)+INDEX($AT$13:$BB$162,BO355,0)+INDEX($BD$13:$BL$162,BP355,0))/100)))&gt;0)*($D$10:$L$10-($D$9:$L$9+INT(($S$12:$AA$12+INDEX($AJ$13:$AR$162,BN355,0)+INDEX($AT$13:$BB$162,BO355,0)+INDEX($BD$13:$BL$162,BP355,0))/100)))),0)</f>
        <v/>
      </c>
      <c r="BS355">
        <f>IF(342&lt;$U$9,SUMPRODUCT(($D$9:$L$9+INT(($S$12:$AA$12+INDEX($AJ$13:$AR$162,BN355,0)+INDEX($AT$13:$BB$162,BO355,0)+INDEX($BD$13:$BL$162,BP355,0))/100))),0)</f>
        <v/>
      </c>
      <c r="BT355">
        <f>IF(AND(342&lt;$U$9,$W$5),BQ355*1000000-MIN(BR355,999)*1000+BS355-342/100000,-1000000000-342)</f>
        <v/>
      </c>
    </row>
    <row r="356">
      <c r="BN356">
        <f>IF(343&lt;$U$9,INT(343/($U$7*$U$8))+1,1)</f>
        <v/>
      </c>
      <c r="BO356">
        <f>IF(343&lt;$U$9,MOD(INT(343/$U$8),$U$7)+1,1)</f>
        <v/>
      </c>
      <c r="BP356">
        <f>IF(343&lt;$U$9,MOD(343,$U$8)+1,1)</f>
        <v/>
      </c>
      <c r="BQ356">
        <f>IF(343&lt;$U$9,SUMPRODUCT(($D$10:$L$10&lt;&gt;"")*(($D$9:$L$9+INT(($S$12:$AA$12+INDEX($AJ$13:$AR$162,BN356,0)+INDEX($AT$13:$BB$162,BO356,0)+INDEX($BD$13:$BL$162,BP356,0))/100))&gt;=$D$10:$L$10)),0)</f>
        <v/>
      </c>
      <c r="BR356">
        <f>IF(343&lt;$U$9,SUMPRODUCT(($D$10:$L$10&lt;&gt;"")*(($D$10:$L$10-($D$9:$L$9+INT(($S$12:$AA$12+INDEX($AJ$13:$AR$162,BN356,0)+INDEX($AT$13:$BB$162,BO356,0)+INDEX($BD$13:$BL$162,BP356,0))/100)))&gt;0)*($D$10:$L$10-($D$9:$L$9+INT(($S$12:$AA$12+INDEX($AJ$13:$AR$162,BN356,0)+INDEX($AT$13:$BB$162,BO356,0)+INDEX($BD$13:$BL$162,BP356,0))/100)))),0)</f>
        <v/>
      </c>
      <c r="BS356">
        <f>IF(343&lt;$U$9,SUMPRODUCT(($D$9:$L$9+INT(($S$12:$AA$12+INDEX($AJ$13:$AR$162,BN356,0)+INDEX($AT$13:$BB$162,BO356,0)+INDEX($BD$13:$BL$162,BP356,0))/100))),0)</f>
        <v/>
      </c>
      <c r="BT356">
        <f>IF(AND(343&lt;$U$9,$W$5),BQ356*1000000-MIN(BR356,999)*1000+BS356-343/100000,-1000000000-343)</f>
        <v/>
      </c>
    </row>
    <row r="357">
      <c r="BN357">
        <f>IF(344&lt;$U$9,INT(344/($U$7*$U$8))+1,1)</f>
        <v/>
      </c>
      <c r="BO357">
        <f>IF(344&lt;$U$9,MOD(INT(344/$U$8),$U$7)+1,1)</f>
        <v/>
      </c>
      <c r="BP357">
        <f>IF(344&lt;$U$9,MOD(344,$U$8)+1,1)</f>
        <v/>
      </c>
      <c r="BQ357">
        <f>IF(344&lt;$U$9,SUMPRODUCT(($D$10:$L$10&lt;&gt;"")*(($D$9:$L$9+INT(($S$12:$AA$12+INDEX($AJ$13:$AR$162,BN357,0)+INDEX($AT$13:$BB$162,BO357,0)+INDEX($BD$13:$BL$162,BP357,0))/100))&gt;=$D$10:$L$10)),0)</f>
        <v/>
      </c>
      <c r="BR357">
        <f>IF(344&lt;$U$9,SUMPRODUCT(($D$10:$L$10&lt;&gt;"")*(($D$10:$L$10-($D$9:$L$9+INT(($S$12:$AA$12+INDEX($AJ$13:$AR$162,BN357,0)+INDEX($AT$13:$BB$162,BO357,0)+INDEX($BD$13:$BL$162,BP357,0))/100)))&gt;0)*($D$10:$L$10-($D$9:$L$9+INT(($S$12:$AA$12+INDEX($AJ$13:$AR$162,BN357,0)+INDEX($AT$13:$BB$162,BO357,0)+INDEX($BD$13:$BL$162,BP357,0))/100)))),0)</f>
        <v/>
      </c>
      <c r="BS357">
        <f>IF(344&lt;$U$9,SUMPRODUCT(($D$9:$L$9+INT(($S$12:$AA$12+INDEX($AJ$13:$AR$162,BN357,0)+INDEX($AT$13:$BB$162,BO357,0)+INDEX($BD$13:$BL$162,BP357,0))/100))),0)</f>
        <v/>
      </c>
      <c r="BT357">
        <f>IF(AND(344&lt;$U$9,$W$5),BQ357*1000000-MIN(BR357,999)*1000+BS357-344/100000,-1000000000-344)</f>
        <v/>
      </c>
    </row>
    <row r="358">
      <c r="BN358">
        <f>IF(345&lt;$U$9,INT(345/($U$7*$U$8))+1,1)</f>
        <v/>
      </c>
      <c r="BO358">
        <f>IF(345&lt;$U$9,MOD(INT(345/$U$8),$U$7)+1,1)</f>
        <v/>
      </c>
      <c r="BP358">
        <f>IF(345&lt;$U$9,MOD(345,$U$8)+1,1)</f>
        <v/>
      </c>
      <c r="BQ358">
        <f>IF(345&lt;$U$9,SUMPRODUCT(($D$10:$L$10&lt;&gt;"")*(($D$9:$L$9+INT(($S$12:$AA$12+INDEX($AJ$13:$AR$162,BN358,0)+INDEX($AT$13:$BB$162,BO358,0)+INDEX($BD$13:$BL$162,BP358,0))/100))&gt;=$D$10:$L$10)),0)</f>
        <v/>
      </c>
      <c r="BR358">
        <f>IF(345&lt;$U$9,SUMPRODUCT(($D$10:$L$10&lt;&gt;"")*(($D$10:$L$10-($D$9:$L$9+INT(($S$12:$AA$12+INDEX($AJ$13:$AR$162,BN358,0)+INDEX($AT$13:$BB$162,BO358,0)+INDEX($BD$13:$BL$162,BP358,0))/100)))&gt;0)*($D$10:$L$10-($D$9:$L$9+INT(($S$12:$AA$12+INDEX($AJ$13:$AR$162,BN358,0)+INDEX($AT$13:$BB$162,BO358,0)+INDEX($BD$13:$BL$162,BP358,0))/100)))),0)</f>
        <v/>
      </c>
      <c r="BS358">
        <f>IF(345&lt;$U$9,SUMPRODUCT(($D$9:$L$9+INT(($S$12:$AA$12+INDEX($AJ$13:$AR$162,BN358,0)+INDEX($AT$13:$BB$162,BO358,0)+INDEX($BD$13:$BL$162,BP358,0))/100))),0)</f>
        <v/>
      </c>
      <c r="BT358">
        <f>IF(AND(345&lt;$U$9,$W$5),BQ358*1000000-MIN(BR358,999)*1000+BS358-345/100000,-1000000000-345)</f>
        <v/>
      </c>
    </row>
    <row r="359">
      <c r="BN359">
        <f>IF(346&lt;$U$9,INT(346/($U$7*$U$8))+1,1)</f>
        <v/>
      </c>
      <c r="BO359">
        <f>IF(346&lt;$U$9,MOD(INT(346/$U$8),$U$7)+1,1)</f>
        <v/>
      </c>
      <c r="BP359">
        <f>IF(346&lt;$U$9,MOD(346,$U$8)+1,1)</f>
        <v/>
      </c>
      <c r="BQ359">
        <f>IF(346&lt;$U$9,SUMPRODUCT(($D$10:$L$10&lt;&gt;"")*(($D$9:$L$9+INT(($S$12:$AA$12+INDEX($AJ$13:$AR$162,BN359,0)+INDEX($AT$13:$BB$162,BO359,0)+INDEX($BD$13:$BL$162,BP359,0))/100))&gt;=$D$10:$L$10)),0)</f>
        <v/>
      </c>
      <c r="BR359">
        <f>IF(346&lt;$U$9,SUMPRODUCT(($D$10:$L$10&lt;&gt;"")*(($D$10:$L$10-($D$9:$L$9+INT(($S$12:$AA$12+INDEX($AJ$13:$AR$162,BN359,0)+INDEX($AT$13:$BB$162,BO359,0)+INDEX($BD$13:$BL$162,BP359,0))/100)))&gt;0)*($D$10:$L$10-($D$9:$L$9+INT(($S$12:$AA$12+INDEX($AJ$13:$AR$162,BN359,0)+INDEX($AT$13:$BB$162,BO359,0)+INDEX($BD$13:$BL$162,BP359,0))/100)))),0)</f>
        <v/>
      </c>
      <c r="BS359">
        <f>IF(346&lt;$U$9,SUMPRODUCT(($D$9:$L$9+INT(($S$12:$AA$12+INDEX($AJ$13:$AR$162,BN359,0)+INDEX($AT$13:$BB$162,BO359,0)+INDEX($BD$13:$BL$162,BP359,0))/100))),0)</f>
        <v/>
      </c>
      <c r="BT359">
        <f>IF(AND(346&lt;$U$9,$W$5),BQ359*1000000-MIN(BR359,999)*1000+BS359-346/100000,-1000000000-346)</f>
        <v/>
      </c>
    </row>
    <row r="360">
      <c r="BN360">
        <f>IF(347&lt;$U$9,INT(347/($U$7*$U$8))+1,1)</f>
        <v/>
      </c>
      <c r="BO360">
        <f>IF(347&lt;$U$9,MOD(INT(347/$U$8),$U$7)+1,1)</f>
        <v/>
      </c>
      <c r="BP360">
        <f>IF(347&lt;$U$9,MOD(347,$U$8)+1,1)</f>
        <v/>
      </c>
      <c r="BQ360">
        <f>IF(347&lt;$U$9,SUMPRODUCT(($D$10:$L$10&lt;&gt;"")*(($D$9:$L$9+INT(($S$12:$AA$12+INDEX($AJ$13:$AR$162,BN360,0)+INDEX($AT$13:$BB$162,BO360,0)+INDEX($BD$13:$BL$162,BP360,0))/100))&gt;=$D$10:$L$10)),0)</f>
        <v/>
      </c>
      <c r="BR360">
        <f>IF(347&lt;$U$9,SUMPRODUCT(($D$10:$L$10&lt;&gt;"")*(($D$10:$L$10-($D$9:$L$9+INT(($S$12:$AA$12+INDEX($AJ$13:$AR$162,BN360,0)+INDEX($AT$13:$BB$162,BO360,0)+INDEX($BD$13:$BL$162,BP360,0))/100)))&gt;0)*($D$10:$L$10-($D$9:$L$9+INT(($S$12:$AA$12+INDEX($AJ$13:$AR$162,BN360,0)+INDEX($AT$13:$BB$162,BO360,0)+INDEX($BD$13:$BL$162,BP360,0))/100)))),0)</f>
        <v/>
      </c>
      <c r="BS360">
        <f>IF(347&lt;$U$9,SUMPRODUCT(($D$9:$L$9+INT(($S$12:$AA$12+INDEX($AJ$13:$AR$162,BN360,0)+INDEX($AT$13:$BB$162,BO360,0)+INDEX($BD$13:$BL$162,BP360,0))/100))),0)</f>
        <v/>
      </c>
      <c r="BT360">
        <f>IF(AND(347&lt;$U$9,$W$5),BQ360*1000000-MIN(BR360,999)*1000+BS360-347/100000,-1000000000-347)</f>
        <v/>
      </c>
    </row>
    <row r="361">
      <c r="BN361">
        <f>IF(348&lt;$U$9,INT(348/($U$7*$U$8))+1,1)</f>
        <v/>
      </c>
      <c r="BO361">
        <f>IF(348&lt;$U$9,MOD(INT(348/$U$8),$U$7)+1,1)</f>
        <v/>
      </c>
      <c r="BP361">
        <f>IF(348&lt;$U$9,MOD(348,$U$8)+1,1)</f>
        <v/>
      </c>
      <c r="BQ361">
        <f>IF(348&lt;$U$9,SUMPRODUCT(($D$10:$L$10&lt;&gt;"")*(($D$9:$L$9+INT(($S$12:$AA$12+INDEX($AJ$13:$AR$162,BN361,0)+INDEX($AT$13:$BB$162,BO361,0)+INDEX($BD$13:$BL$162,BP361,0))/100))&gt;=$D$10:$L$10)),0)</f>
        <v/>
      </c>
      <c r="BR361">
        <f>IF(348&lt;$U$9,SUMPRODUCT(($D$10:$L$10&lt;&gt;"")*(($D$10:$L$10-($D$9:$L$9+INT(($S$12:$AA$12+INDEX($AJ$13:$AR$162,BN361,0)+INDEX($AT$13:$BB$162,BO361,0)+INDEX($BD$13:$BL$162,BP361,0))/100)))&gt;0)*($D$10:$L$10-($D$9:$L$9+INT(($S$12:$AA$12+INDEX($AJ$13:$AR$162,BN361,0)+INDEX($AT$13:$BB$162,BO361,0)+INDEX($BD$13:$BL$162,BP361,0))/100)))),0)</f>
        <v/>
      </c>
      <c r="BS361">
        <f>IF(348&lt;$U$9,SUMPRODUCT(($D$9:$L$9+INT(($S$12:$AA$12+INDEX($AJ$13:$AR$162,BN361,0)+INDEX($AT$13:$BB$162,BO361,0)+INDEX($BD$13:$BL$162,BP361,0))/100))),0)</f>
        <v/>
      </c>
      <c r="BT361">
        <f>IF(AND(348&lt;$U$9,$W$5),BQ361*1000000-MIN(BR361,999)*1000+BS361-348/100000,-1000000000-348)</f>
        <v/>
      </c>
    </row>
    <row r="362">
      <c r="BN362">
        <f>IF(349&lt;$U$9,INT(349/($U$7*$U$8))+1,1)</f>
        <v/>
      </c>
      <c r="BO362">
        <f>IF(349&lt;$U$9,MOD(INT(349/$U$8),$U$7)+1,1)</f>
        <v/>
      </c>
      <c r="BP362">
        <f>IF(349&lt;$U$9,MOD(349,$U$8)+1,1)</f>
        <v/>
      </c>
      <c r="BQ362">
        <f>IF(349&lt;$U$9,SUMPRODUCT(($D$10:$L$10&lt;&gt;"")*(($D$9:$L$9+INT(($S$12:$AA$12+INDEX($AJ$13:$AR$162,BN362,0)+INDEX($AT$13:$BB$162,BO362,0)+INDEX($BD$13:$BL$162,BP362,0))/100))&gt;=$D$10:$L$10)),0)</f>
        <v/>
      </c>
      <c r="BR362">
        <f>IF(349&lt;$U$9,SUMPRODUCT(($D$10:$L$10&lt;&gt;"")*(($D$10:$L$10-($D$9:$L$9+INT(($S$12:$AA$12+INDEX($AJ$13:$AR$162,BN362,0)+INDEX($AT$13:$BB$162,BO362,0)+INDEX($BD$13:$BL$162,BP362,0))/100)))&gt;0)*($D$10:$L$10-($D$9:$L$9+INT(($S$12:$AA$12+INDEX($AJ$13:$AR$162,BN362,0)+INDEX($AT$13:$BB$162,BO362,0)+INDEX($BD$13:$BL$162,BP362,0))/100)))),0)</f>
        <v/>
      </c>
      <c r="BS362">
        <f>IF(349&lt;$U$9,SUMPRODUCT(($D$9:$L$9+INT(($S$12:$AA$12+INDEX($AJ$13:$AR$162,BN362,0)+INDEX($AT$13:$BB$162,BO362,0)+INDEX($BD$13:$BL$162,BP362,0))/100))),0)</f>
        <v/>
      </c>
      <c r="BT362">
        <f>IF(AND(349&lt;$U$9,$W$5),BQ362*1000000-MIN(BR362,999)*1000+BS362-349/100000,-1000000000-349)</f>
        <v/>
      </c>
    </row>
    <row r="363">
      <c r="BN363">
        <f>IF(350&lt;$U$9,INT(350/($U$7*$U$8))+1,1)</f>
        <v/>
      </c>
      <c r="BO363">
        <f>IF(350&lt;$U$9,MOD(INT(350/$U$8),$U$7)+1,1)</f>
        <v/>
      </c>
      <c r="BP363">
        <f>IF(350&lt;$U$9,MOD(350,$U$8)+1,1)</f>
        <v/>
      </c>
      <c r="BQ363">
        <f>IF(350&lt;$U$9,SUMPRODUCT(($D$10:$L$10&lt;&gt;"")*(($D$9:$L$9+INT(($S$12:$AA$12+INDEX($AJ$13:$AR$162,BN363,0)+INDEX($AT$13:$BB$162,BO363,0)+INDEX($BD$13:$BL$162,BP363,0))/100))&gt;=$D$10:$L$10)),0)</f>
        <v/>
      </c>
      <c r="BR363">
        <f>IF(350&lt;$U$9,SUMPRODUCT(($D$10:$L$10&lt;&gt;"")*(($D$10:$L$10-($D$9:$L$9+INT(($S$12:$AA$12+INDEX($AJ$13:$AR$162,BN363,0)+INDEX($AT$13:$BB$162,BO363,0)+INDEX($BD$13:$BL$162,BP363,0))/100)))&gt;0)*($D$10:$L$10-($D$9:$L$9+INT(($S$12:$AA$12+INDEX($AJ$13:$AR$162,BN363,0)+INDEX($AT$13:$BB$162,BO363,0)+INDEX($BD$13:$BL$162,BP363,0))/100)))),0)</f>
        <v/>
      </c>
      <c r="BS363">
        <f>IF(350&lt;$U$9,SUMPRODUCT(($D$9:$L$9+INT(($S$12:$AA$12+INDEX($AJ$13:$AR$162,BN363,0)+INDEX($AT$13:$BB$162,BO363,0)+INDEX($BD$13:$BL$162,BP363,0))/100))),0)</f>
        <v/>
      </c>
      <c r="BT363">
        <f>IF(AND(350&lt;$U$9,$W$5),BQ363*1000000-MIN(BR363,999)*1000+BS363-350/100000,-1000000000-350)</f>
        <v/>
      </c>
    </row>
    <row r="364">
      <c r="BN364">
        <f>IF(351&lt;$U$9,INT(351/($U$7*$U$8))+1,1)</f>
        <v/>
      </c>
      <c r="BO364">
        <f>IF(351&lt;$U$9,MOD(INT(351/$U$8),$U$7)+1,1)</f>
        <v/>
      </c>
      <c r="BP364">
        <f>IF(351&lt;$U$9,MOD(351,$U$8)+1,1)</f>
        <v/>
      </c>
      <c r="BQ364">
        <f>IF(351&lt;$U$9,SUMPRODUCT(($D$10:$L$10&lt;&gt;"")*(($D$9:$L$9+INT(($S$12:$AA$12+INDEX($AJ$13:$AR$162,BN364,0)+INDEX($AT$13:$BB$162,BO364,0)+INDEX($BD$13:$BL$162,BP364,0))/100))&gt;=$D$10:$L$10)),0)</f>
        <v/>
      </c>
      <c r="BR364">
        <f>IF(351&lt;$U$9,SUMPRODUCT(($D$10:$L$10&lt;&gt;"")*(($D$10:$L$10-($D$9:$L$9+INT(($S$12:$AA$12+INDEX($AJ$13:$AR$162,BN364,0)+INDEX($AT$13:$BB$162,BO364,0)+INDEX($BD$13:$BL$162,BP364,0))/100)))&gt;0)*($D$10:$L$10-($D$9:$L$9+INT(($S$12:$AA$12+INDEX($AJ$13:$AR$162,BN364,0)+INDEX($AT$13:$BB$162,BO364,0)+INDEX($BD$13:$BL$162,BP364,0))/100)))),0)</f>
        <v/>
      </c>
      <c r="BS364">
        <f>IF(351&lt;$U$9,SUMPRODUCT(($D$9:$L$9+INT(($S$12:$AA$12+INDEX($AJ$13:$AR$162,BN364,0)+INDEX($AT$13:$BB$162,BO364,0)+INDEX($BD$13:$BL$162,BP364,0))/100))),0)</f>
        <v/>
      </c>
      <c r="BT364">
        <f>IF(AND(351&lt;$U$9,$W$5),BQ364*1000000-MIN(BR364,999)*1000+BS364-351/100000,-1000000000-351)</f>
        <v/>
      </c>
    </row>
    <row r="365">
      <c r="BN365">
        <f>IF(352&lt;$U$9,INT(352/($U$7*$U$8))+1,1)</f>
        <v/>
      </c>
      <c r="BO365">
        <f>IF(352&lt;$U$9,MOD(INT(352/$U$8),$U$7)+1,1)</f>
        <v/>
      </c>
      <c r="BP365">
        <f>IF(352&lt;$U$9,MOD(352,$U$8)+1,1)</f>
        <v/>
      </c>
      <c r="BQ365">
        <f>IF(352&lt;$U$9,SUMPRODUCT(($D$10:$L$10&lt;&gt;"")*(($D$9:$L$9+INT(($S$12:$AA$12+INDEX($AJ$13:$AR$162,BN365,0)+INDEX($AT$13:$BB$162,BO365,0)+INDEX($BD$13:$BL$162,BP365,0))/100))&gt;=$D$10:$L$10)),0)</f>
        <v/>
      </c>
      <c r="BR365">
        <f>IF(352&lt;$U$9,SUMPRODUCT(($D$10:$L$10&lt;&gt;"")*(($D$10:$L$10-($D$9:$L$9+INT(($S$12:$AA$12+INDEX($AJ$13:$AR$162,BN365,0)+INDEX($AT$13:$BB$162,BO365,0)+INDEX($BD$13:$BL$162,BP365,0))/100)))&gt;0)*($D$10:$L$10-($D$9:$L$9+INT(($S$12:$AA$12+INDEX($AJ$13:$AR$162,BN365,0)+INDEX($AT$13:$BB$162,BO365,0)+INDEX($BD$13:$BL$162,BP365,0))/100)))),0)</f>
        <v/>
      </c>
      <c r="BS365">
        <f>IF(352&lt;$U$9,SUMPRODUCT(($D$9:$L$9+INT(($S$12:$AA$12+INDEX($AJ$13:$AR$162,BN365,0)+INDEX($AT$13:$BB$162,BO365,0)+INDEX($BD$13:$BL$162,BP365,0))/100))),0)</f>
        <v/>
      </c>
      <c r="BT365">
        <f>IF(AND(352&lt;$U$9,$W$5),BQ365*1000000-MIN(BR365,999)*1000+BS365-352/100000,-1000000000-352)</f>
        <v/>
      </c>
    </row>
    <row r="366">
      <c r="BN366">
        <f>IF(353&lt;$U$9,INT(353/($U$7*$U$8))+1,1)</f>
        <v/>
      </c>
      <c r="BO366">
        <f>IF(353&lt;$U$9,MOD(INT(353/$U$8),$U$7)+1,1)</f>
        <v/>
      </c>
      <c r="BP366">
        <f>IF(353&lt;$U$9,MOD(353,$U$8)+1,1)</f>
        <v/>
      </c>
      <c r="BQ366">
        <f>IF(353&lt;$U$9,SUMPRODUCT(($D$10:$L$10&lt;&gt;"")*(($D$9:$L$9+INT(($S$12:$AA$12+INDEX($AJ$13:$AR$162,BN366,0)+INDEX($AT$13:$BB$162,BO366,0)+INDEX($BD$13:$BL$162,BP366,0))/100))&gt;=$D$10:$L$10)),0)</f>
        <v/>
      </c>
      <c r="BR366">
        <f>IF(353&lt;$U$9,SUMPRODUCT(($D$10:$L$10&lt;&gt;"")*(($D$10:$L$10-($D$9:$L$9+INT(($S$12:$AA$12+INDEX($AJ$13:$AR$162,BN366,0)+INDEX($AT$13:$BB$162,BO366,0)+INDEX($BD$13:$BL$162,BP366,0))/100)))&gt;0)*($D$10:$L$10-($D$9:$L$9+INT(($S$12:$AA$12+INDEX($AJ$13:$AR$162,BN366,0)+INDEX($AT$13:$BB$162,BO366,0)+INDEX($BD$13:$BL$162,BP366,0))/100)))),0)</f>
        <v/>
      </c>
      <c r="BS366">
        <f>IF(353&lt;$U$9,SUMPRODUCT(($D$9:$L$9+INT(($S$12:$AA$12+INDEX($AJ$13:$AR$162,BN366,0)+INDEX($AT$13:$BB$162,BO366,0)+INDEX($BD$13:$BL$162,BP366,0))/100))),0)</f>
        <v/>
      </c>
      <c r="BT366">
        <f>IF(AND(353&lt;$U$9,$W$5),BQ366*1000000-MIN(BR366,999)*1000+BS366-353/100000,-1000000000-353)</f>
        <v/>
      </c>
    </row>
    <row r="367">
      <c r="BN367">
        <f>IF(354&lt;$U$9,INT(354/($U$7*$U$8))+1,1)</f>
        <v/>
      </c>
      <c r="BO367">
        <f>IF(354&lt;$U$9,MOD(INT(354/$U$8),$U$7)+1,1)</f>
        <v/>
      </c>
      <c r="BP367">
        <f>IF(354&lt;$U$9,MOD(354,$U$8)+1,1)</f>
        <v/>
      </c>
      <c r="BQ367">
        <f>IF(354&lt;$U$9,SUMPRODUCT(($D$10:$L$10&lt;&gt;"")*(($D$9:$L$9+INT(($S$12:$AA$12+INDEX($AJ$13:$AR$162,BN367,0)+INDEX($AT$13:$BB$162,BO367,0)+INDEX($BD$13:$BL$162,BP367,0))/100))&gt;=$D$10:$L$10)),0)</f>
        <v/>
      </c>
      <c r="BR367">
        <f>IF(354&lt;$U$9,SUMPRODUCT(($D$10:$L$10&lt;&gt;"")*(($D$10:$L$10-($D$9:$L$9+INT(($S$12:$AA$12+INDEX($AJ$13:$AR$162,BN367,0)+INDEX($AT$13:$BB$162,BO367,0)+INDEX($BD$13:$BL$162,BP367,0))/100)))&gt;0)*($D$10:$L$10-($D$9:$L$9+INT(($S$12:$AA$12+INDEX($AJ$13:$AR$162,BN367,0)+INDEX($AT$13:$BB$162,BO367,0)+INDEX($BD$13:$BL$162,BP367,0))/100)))),0)</f>
        <v/>
      </c>
      <c r="BS367">
        <f>IF(354&lt;$U$9,SUMPRODUCT(($D$9:$L$9+INT(($S$12:$AA$12+INDEX($AJ$13:$AR$162,BN367,0)+INDEX($AT$13:$BB$162,BO367,0)+INDEX($BD$13:$BL$162,BP367,0))/100))),0)</f>
        <v/>
      </c>
      <c r="BT367">
        <f>IF(AND(354&lt;$U$9,$W$5),BQ367*1000000-MIN(BR367,999)*1000+BS367-354/100000,-1000000000-354)</f>
        <v/>
      </c>
    </row>
    <row r="368">
      <c r="BN368">
        <f>IF(355&lt;$U$9,INT(355/($U$7*$U$8))+1,1)</f>
        <v/>
      </c>
      <c r="BO368">
        <f>IF(355&lt;$U$9,MOD(INT(355/$U$8),$U$7)+1,1)</f>
        <v/>
      </c>
      <c r="BP368">
        <f>IF(355&lt;$U$9,MOD(355,$U$8)+1,1)</f>
        <v/>
      </c>
      <c r="BQ368">
        <f>IF(355&lt;$U$9,SUMPRODUCT(($D$10:$L$10&lt;&gt;"")*(($D$9:$L$9+INT(($S$12:$AA$12+INDEX($AJ$13:$AR$162,BN368,0)+INDEX($AT$13:$BB$162,BO368,0)+INDEX($BD$13:$BL$162,BP368,0))/100))&gt;=$D$10:$L$10)),0)</f>
        <v/>
      </c>
      <c r="BR368">
        <f>IF(355&lt;$U$9,SUMPRODUCT(($D$10:$L$10&lt;&gt;"")*(($D$10:$L$10-($D$9:$L$9+INT(($S$12:$AA$12+INDEX($AJ$13:$AR$162,BN368,0)+INDEX($AT$13:$BB$162,BO368,0)+INDEX($BD$13:$BL$162,BP368,0))/100)))&gt;0)*($D$10:$L$10-($D$9:$L$9+INT(($S$12:$AA$12+INDEX($AJ$13:$AR$162,BN368,0)+INDEX($AT$13:$BB$162,BO368,0)+INDEX($BD$13:$BL$162,BP368,0))/100)))),0)</f>
        <v/>
      </c>
      <c r="BS368">
        <f>IF(355&lt;$U$9,SUMPRODUCT(($D$9:$L$9+INT(($S$12:$AA$12+INDEX($AJ$13:$AR$162,BN368,0)+INDEX($AT$13:$BB$162,BO368,0)+INDEX($BD$13:$BL$162,BP368,0))/100))),0)</f>
        <v/>
      </c>
      <c r="BT368">
        <f>IF(AND(355&lt;$U$9,$W$5),BQ368*1000000-MIN(BR368,999)*1000+BS368-355/100000,-1000000000-355)</f>
        <v/>
      </c>
    </row>
    <row r="369">
      <c r="BN369">
        <f>IF(356&lt;$U$9,INT(356/($U$7*$U$8))+1,1)</f>
        <v/>
      </c>
      <c r="BO369">
        <f>IF(356&lt;$U$9,MOD(INT(356/$U$8),$U$7)+1,1)</f>
        <v/>
      </c>
      <c r="BP369">
        <f>IF(356&lt;$U$9,MOD(356,$U$8)+1,1)</f>
        <v/>
      </c>
      <c r="BQ369">
        <f>IF(356&lt;$U$9,SUMPRODUCT(($D$10:$L$10&lt;&gt;"")*(($D$9:$L$9+INT(($S$12:$AA$12+INDEX($AJ$13:$AR$162,BN369,0)+INDEX($AT$13:$BB$162,BO369,0)+INDEX($BD$13:$BL$162,BP369,0))/100))&gt;=$D$10:$L$10)),0)</f>
        <v/>
      </c>
      <c r="BR369">
        <f>IF(356&lt;$U$9,SUMPRODUCT(($D$10:$L$10&lt;&gt;"")*(($D$10:$L$10-($D$9:$L$9+INT(($S$12:$AA$12+INDEX($AJ$13:$AR$162,BN369,0)+INDEX($AT$13:$BB$162,BO369,0)+INDEX($BD$13:$BL$162,BP369,0))/100)))&gt;0)*($D$10:$L$10-($D$9:$L$9+INT(($S$12:$AA$12+INDEX($AJ$13:$AR$162,BN369,0)+INDEX($AT$13:$BB$162,BO369,0)+INDEX($BD$13:$BL$162,BP369,0))/100)))),0)</f>
        <v/>
      </c>
      <c r="BS369">
        <f>IF(356&lt;$U$9,SUMPRODUCT(($D$9:$L$9+INT(($S$12:$AA$12+INDEX($AJ$13:$AR$162,BN369,0)+INDEX($AT$13:$BB$162,BO369,0)+INDEX($BD$13:$BL$162,BP369,0))/100))),0)</f>
        <v/>
      </c>
      <c r="BT369">
        <f>IF(AND(356&lt;$U$9,$W$5),BQ369*1000000-MIN(BR369,999)*1000+BS369-356/100000,-1000000000-356)</f>
        <v/>
      </c>
    </row>
    <row r="370">
      <c r="BN370">
        <f>IF(357&lt;$U$9,INT(357/($U$7*$U$8))+1,1)</f>
        <v/>
      </c>
      <c r="BO370">
        <f>IF(357&lt;$U$9,MOD(INT(357/$U$8),$U$7)+1,1)</f>
        <v/>
      </c>
      <c r="BP370">
        <f>IF(357&lt;$U$9,MOD(357,$U$8)+1,1)</f>
        <v/>
      </c>
      <c r="BQ370">
        <f>IF(357&lt;$U$9,SUMPRODUCT(($D$10:$L$10&lt;&gt;"")*(($D$9:$L$9+INT(($S$12:$AA$12+INDEX($AJ$13:$AR$162,BN370,0)+INDEX($AT$13:$BB$162,BO370,0)+INDEX($BD$13:$BL$162,BP370,0))/100))&gt;=$D$10:$L$10)),0)</f>
        <v/>
      </c>
      <c r="BR370">
        <f>IF(357&lt;$U$9,SUMPRODUCT(($D$10:$L$10&lt;&gt;"")*(($D$10:$L$10-($D$9:$L$9+INT(($S$12:$AA$12+INDEX($AJ$13:$AR$162,BN370,0)+INDEX($AT$13:$BB$162,BO370,0)+INDEX($BD$13:$BL$162,BP370,0))/100)))&gt;0)*($D$10:$L$10-($D$9:$L$9+INT(($S$12:$AA$12+INDEX($AJ$13:$AR$162,BN370,0)+INDEX($AT$13:$BB$162,BO370,0)+INDEX($BD$13:$BL$162,BP370,0))/100)))),0)</f>
        <v/>
      </c>
      <c r="BS370">
        <f>IF(357&lt;$U$9,SUMPRODUCT(($D$9:$L$9+INT(($S$12:$AA$12+INDEX($AJ$13:$AR$162,BN370,0)+INDEX($AT$13:$BB$162,BO370,0)+INDEX($BD$13:$BL$162,BP370,0))/100))),0)</f>
        <v/>
      </c>
      <c r="BT370">
        <f>IF(AND(357&lt;$U$9,$W$5),BQ370*1000000-MIN(BR370,999)*1000+BS370-357/100000,-1000000000-357)</f>
        <v/>
      </c>
    </row>
    <row r="371">
      <c r="BN371">
        <f>IF(358&lt;$U$9,INT(358/($U$7*$U$8))+1,1)</f>
        <v/>
      </c>
      <c r="BO371">
        <f>IF(358&lt;$U$9,MOD(INT(358/$U$8),$U$7)+1,1)</f>
        <v/>
      </c>
      <c r="BP371">
        <f>IF(358&lt;$U$9,MOD(358,$U$8)+1,1)</f>
        <v/>
      </c>
      <c r="BQ371">
        <f>IF(358&lt;$U$9,SUMPRODUCT(($D$10:$L$10&lt;&gt;"")*(($D$9:$L$9+INT(($S$12:$AA$12+INDEX($AJ$13:$AR$162,BN371,0)+INDEX($AT$13:$BB$162,BO371,0)+INDEX($BD$13:$BL$162,BP371,0))/100))&gt;=$D$10:$L$10)),0)</f>
        <v/>
      </c>
      <c r="BR371">
        <f>IF(358&lt;$U$9,SUMPRODUCT(($D$10:$L$10&lt;&gt;"")*(($D$10:$L$10-($D$9:$L$9+INT(($S$12:$AA$12+INDEX($AJ$13:$AR$162,BN371,0)+INDEX($AT$13:$BB$162,BO371,0)+INDEX($BD$13:$BL$162,BP371,0))/100)))&gt;0)*($D$10:$L$10-($D$9:$L$9+INT(($S$12:$AA$12+INDEX($AJ$13:$AR$162,BN371,0)+INDEX($AT$13:$BB$162,BO371,0)+INDEX($BD$13:$BL$162,BP371,0))/100)))),0)</f>
        <v/>
      </c>
      <c r="BS371">
        <f>IF(358&lt;$U$9,SUMPRODUCT(($D$9:$L$9+INT(($S$12:$AA$12+INDEX($AJ$13:$AR$162,BN371,0)+INDEX($AT$13:$BB$162,BO371,0)+INDEX($BD$13:$BL$162,BP371,0))/100))),0)</f>
        <v/>
      </c>
      <c r="BT371">
        <f>IF(AND(358&lt;$U$9,$W$5),BQ371*1000000-MIN(BR371,999)*1000+BS371-358/100000,-1000000000-358)</f>
        <v/>
      </c>
    </row>
    <row r="372">
      <c r="BN372">
        <f>IF(359&lt;$U$9,INT(359/($U$7*$U$8))+1,1)</f>
        <v/>
      </c>
      <c r="BO372">
        <f>IF(359&lt;$U$9,MOD(INT(359/$U$8),$U$7)+1,1)</f>
        <v/>
      </c>
      <c r="BP372">
        <f>IF(359&lt;$U$9,MOD(359,$U$8)+1,1)</f>
        <v/>
      </c>
      <c r="BQ372">
        <f>IF(359&lt;$U$9,SUMPRODUCT(($D$10:$L$10&lt;&gt;"")*(($D$9:$L$9+INT(($S$12:$AA$12+INDEX($AJ$13:$AR$162,BN372,0)+INDEX($AT$13:$BB$162,BO372,0)+INDEX($BD$13:$BL$162,BP372,0))/100))&gt;=$D$10:$L$10)),0)</f>
        <v/>
      </c>
      <c r="BR372">
        <f>IF(359&lt;$U$9,SUMPRODUCT(($D$10:$L$10&lt;&gt;"")*(($D$10:$L$10-($D$9:$L$9+INT(($S$12:$AA$12+INDEX($AJ$13:$AR$162,BN372,0)+INDEX($AT$13:$BB$162,BO372,0)+INDEX($BD$13:$BL$162,BP372,0))/100)))&gt;0)*($D$10:$L$10-($D$9:$L$9+INT(($S$12:$AA$12+INDEX($AJ$13:$AR$162,BN372,0)+INDEX($AT$13:$BB$162,BO372,0)+INDEX($BD$13:$BL$162,BP372,0))/100)))),0)</f>
        <v/>
      </c>
      <c r="BS372">
        <f>IF(359&lt;$U$9,SUMPRODUCT(($D$9:$L$9+INT(($S$12:$AA$12+INDEX($AJ$13:$AR$162,BN372,0)+INDEX($AT$13:$BB$162,BO372,0)+INDEX($BD$13:$BL$162,BP372,0))/100))),0)</f>
        <v/>
      </c>
      <c r="BT372">
        <f>IF(AND(359&lt;$U$9,$W$5),BQ372*1000000-MIN(BR372,999)*1000+BS372-359/100000,-1000000000-359)</f>
        <v/>
      </c>
    </row>
    <row r="373">
      <c r="BN373">
        <f>IF(360&lt;$U$9,INT(360/($U$7*$U$8))+1,1)</f>
        <v/>
      </c>
      <c r="BO373">
        <f>IF(360&lt;$U$9,MOD(INT(360/$U$8),$U$7)+1,1)</f>
        <v/>
      </c>
      <c r="BP373">
        <f>IF(360&lt;$U$9,MOD(360,$U$8)+1,1)</f>
        <v/>
      </c>
      <c r="BQ373">
        <f>IF(360&lt;$U$9,SUMPRODUCT(($D$10:$L$10&lt;&gt;"")*(($D$9:$L$9+INT(($S$12:$AA$12+INDEX($AJ$13:$AR$162,BN373,0)+INDEX($AT$13:$BB$162,BO373,0)+INDEX($BD$13:$BL$162,BP373,0))/100))&gt;=$D$10:$L$10)),0)</f>
        <v/>
      </c>
      <c r="BR373">
        <f>IF(360&lt;$U$9,SUMPRODUCT(($D$10:$L$10&lt;&gt;"")*(($D$10:$L$10-($D$9:$L$9+INT(($S$12:$AA$12+INDEX($AJ$13:$AR$162,BN373,0)+INDEX($AT$13:$BB$162,BO373,0)+INDEX($BD$13:$BL$162,BP373,0))/100)))&gt;0)*($D$10:$L$10-($D$9:$L$9+INT(($S$12:$AA$12+INDEX($AJ$13:$AR$162,BN373,0)+INDEX($AT$13:$BB$162,BO373,0)+INDEX($BD$13:$BL$162,BP373,0))/100)))),0)</f>
        <v/>
      </c>
      <c r="BS373">
        <f>IF(360&lt;$U$9,SUMPRODUCT(($D$9:$L$9+INT(($S$12:$AA$12+INDEX($AJ$13:$AR$162,BN373,0)+INDEX($AT$13:$BB$162,BO373,0)+INDEX($BD$13:$BL$162,BP373,0))/100))),0)</f>
        <v/>
      </c>
      <c r="BT373">
        <f>IF(AND(360&lt;$U$9,$W$5),BQ373*1000000-MIN(BR373,999)*1000+BS373-360/100000,-1000000000-360)</f>
        <v/>
      </c>
    </row>
    <row r="374">
      <c r="BN374">
        <f>IF(361&lt;$U$9,INT(361/($U$7*$U$8))+1,1)</f>
        <v/>
      </c>
      <c r="BO374">
        <f>IF(361&lt;$U$9,MOD(INT(361/$U$8),$U$7)+1,1)</f>
        <v/>
      </c>
      <c r="BP374">
        <f>IF(361&lt;$U$9,MOD(361,$U$8)+1,1)</f>
        <v/>
      </c>
      <c r="BQ374">
        <f>IF(361&lt;$U$9,SUMPRODUCT(($D$10:$L$10&lt;&gt;"")*(($D$9:$L$9+INT(($S$12:$AA$12+INDEX($AJ$13:$AR$162,BN374,0)+INDEX($AT$13:$BB$162,BO374,0)+INDEX($BD$13:$BL$162,BP374,0))/100))&gt;=$D$10:$L$10)),0)</f>
        <v/>
      </c>
      <c r="BR374">
        <f>IF(361&lt;$U$9,SUMPRODUCT(($D$10:$L$10&lt;&gt;"")*(($D$10:$L$10-($D$9:$L$9+INT(($S$12:$AA$12+INDEX($AJ$13:$AR$162,BN374,0)+INDEX($AT$13:$BB$162,BO374,0)+INDEX($BD$13:$BL$162,BP374,0))/100)))&gt;0)*($D$10:$L$10-($D$9:$L$9+INT(($S$12:$AA$12+INDEX($AJ$13:$AR$162,BN374,0)+INDEX($AT$13:$BB$162,BO374,0)+INDEX($BD$13:$BL$162,BP374,0))/100)))),0)</f>
        <v/>
      </c>
      <c r="BS374">
        <f>IF(361&lt;$U$9,SUMPRODUCT(($D$9:$L$9+INT(($S$12:$AA$12+INDEX($AJ$13:$AR$162,BN374,0)+INDEX($AT$13:$BB$162,BO374,0)+INDEX($BD$13:$BL$162,BP374,0))/100))),0)</f>
        <v/>
      </c>
      <c r="BT374">
        <f>IF(AND(361&lt;$U$9,$W$5),BQ374*1000000-MIN(BR374,999)*1000+BS374-361/100000,-1000000000-361)</f>
        <v/>
      </c>
    </row>
    <row r="375">
      <c r="BN375">
        <f>IF(362&lt;$U$9,INT(362/($U$7*$U$8))+1,1)</f>
        <v/>
      </c>
      <c r="BO375">
        <f>IF(362&lt;$U$9,MOD(INT(362/$U$8),$U$7)+1,1)</f>
        <v/>
      </c>
      <c r="BP375">
        <f>IF(362&lt;$U$9,MOD(362,$U$8)+1,1)</f>
        <v/>
      </c>
      <c r="BQ375">
        <f>IF(362&lt;$U$9,SUMPRODUCT(($D$10:$L$10&lt;&gt;"")*(($D$9:$L$9+INT(($S$12:$AA$12+INDEX($AJ$13:$AR$162,BN375,0)+INDEX($AT$13:$BB$162,BO375,0)+INDEX($BD$13:$BL$162,BP375,0))/100))&gt;=$D$10:$L$10)),0)</f>
        <v/>
      </c>
      <c r="BR375">
        <f>IF(362&lt;$U$9,SUMPRODUCT(($D$10:$L$10&lt;&gt;"")*(($D$10:$L$10-($D$9:$L$9+INT(($S$12:$AA$12+INDEX($AJ$13:$AR$162,BN375,0)+INDEX($AT$13:$BB$162,BO375,0)+INDEX($BD$13:$BL$162,BP375,0))/100)))&gt;0)*($D$10:$L$10-($D$9:$L$9+INT(($S$12:$AA$12+INDEX($AJ$13:$AR$162,BN375,0)+INDEX($AT$13:$BB$162,BO375,0)+INDEX($BD$13:$BL$162,BP375,0))/100)))),0)</f>
        <v/>
      </c>
      <c r="BS375">
        <f>IF(362&lt;$U$9,SUMPRODUCT(($D$9:$L$9+INT(($S$12:$AA$12+INDEX($AJ$13:$AR$162,BN375,0)+INDEX($AT$13:$BB$162,BO375,0)+INDEX($BD$13:$BL$162,BP375,0))/100))),0)</f>
        <v/>
      </c>
      <c r="BT375">
        <f>IF(AND(362&lt;$U$9,$W$5),BQ375*1000000-MIN(BR375,999)*1000+BS375-362/100000,-1000000000-362)</f>
        <v/>
      </c>
    </row>
    <row r="376">
      <c r="BN376">
        <f>IF(363&lt;$U$9,INT(363/($U$7*$U$8))+1,1)</f>
        <v/>
      </c>
      <c r="BO376">
        <f>IF(363&lt;$U$9,MOD(INT(363/$U$8),$U$7)+1,1)</f>
        <v/>
      </c>
      <c r="BP376">
        <f>IF(363&lt;$U$9,MOD(363,$U$8)+1,1)</f>
        <v/>
      </c>
      <c r="BQ376">
        <f>IF(363&lt;$U$9,SUMPRODUCT(($D$10:$L$10&lt;&gt;"")*(($D$9:$L$9+INT(($S$12:$AA$12+INDEX($AJ$13:$AR$162,BN376,0)+INDEX($AT$13:$BB$162,BO376,0)+INDEX($BD$13:$BL$162,BP376,0))/100))&gt;=$D$10:$L$10)),0)</f>
        <v/>
      </c>
      <c r="BR376">
        <f>IF(363&lt;$U$9,SUMPRODUCT(($D$10:$L$10&lt;&gt;"")*(($D$10:$L$10-($D$9:$L$9+INT(($S$12:$AA$12+INDEX($AJ$13:$AR$162,BN376,0)+INDEX($AT$13:$BB$162,BO376,0)+INDEX($BD$13:$BL$162,BP376,0))/100)))&gt;0)*($D$10:$L$10-($D$9:$L$9+INT(($S$12:$AA$12+INDEX($AJ$13:$AR$162,BN376,0)+INDEX($AT$13:$BB$162,BO376,0)+INDEX($BD$13:$BL$162,BP376,0))/100)))),0)</f>
        <v/>
      </c>
      <c r="BS376">
        <f>IF(363&lt;$U$9,SUMPRODUCT(($D$9:$L$9+INT(($S$12:$AA$12+INDEX($AJ$13:$AR$162,BN376,0)+INDEX($AT$13:$BB$162,BO376,0)+INDEX($BD$13:$BL$162,BP376,0))/100))),0)</f>
        <v/>
      </c>
      <c r="BT376">
        <f>IF(AND(363&lt;$U$9,$W$5),BQ376*1000000-MIN(BR376,999)*1000+BS376-363/100000,-1000000000-363)</f>
        <v/>
      </c>
    </row>
    <row r="377">
      <c r="BN377">
        <f>IF(364&lt;$U$9,INT(364/($U$7*$U$8))+1,1)</f>
        <v/>
      </c>
      <c r="BO377">
        <f>IF(364&lt;$U$9,MOD(INT(364/$U$8),$U$7)+1,1)</f>
        <v/>
      </c>
      <c r="BP377">
        <f>IF(364&lt;$U$9,MOD(364,$U$8)+1,1)</f>
        <v/>
      </c>
      <c r="BQ377">
        <f>IF(364&lt;$U$9,SUMPRODUCT(($D$10:$L$10&lt;&gt;"")*(($D$9:$L$9+INT(($S$12:$AA$12+INDEX($AJ$13:$AR$162,BN377,0)+INDEX($AT$13:$BB$162,BO377,0)+INDEX($BD$13:$BL$162,BP377,0))/100))&gt;=$D$10:$L$10)),0)</f>
        <v/>
      </c>
      <c r="BR377">
        <f>IF(364&lt;$U$9,SUMPRODUCT(($D$10:$L$10&lt;&gt;"")*(($D$10:$L$10-($D$9:$L$9+INT(($S$12:$AA$12+INDEX($AJ$13:$AR$162,BN377,0)+INDEX($AT$13:$BB$162,BO377,0)+INDEX($BD$13:$BL$162,BP377,0))/100)))&gt;0)*($D$10:$L$10-($D$9:$L$9+INT(($S$12:$AA$12+INDEX($AJ$13:$AR$162,BN377,0)+INDEX($AT$13:$BB$162,BO377,0)+INDEX($BD$13:$BL$162,BP377,0))/100)))),0)</f>
        <v/>
      </c>
      <c r="BS377">
        <f>IF(364&lt;$U$9,SUMPRODUCT(($D$9:$L$9+INT(($S$12:$AA$12+INDEX($AJ$13:$AR$162,BN377,0)+INDEX($AT$13:$BB$162,BO377,0)+INDEX($BD$13:$BL$162,BP377,0))/100))),0)</f>
        <v/>
      </c>
      <c r="BT377">
        <f>IF(AND(364&lt;$U$9,$W$5),BQ377*1000000-MIN(BR377,999)*1000+BS377-364/100000,-1000000000-364)</f>
        <v/>
      </c>
    </row>
    <row r="378">
      <c r="BN378">
        <f>IF(365&lt;$U$9,INT(365/($U$7*$U$8))+1,1)</f>
        <v/>
      </c>
      <c r="BO378">
        <f>IF(365&lt;$U$9,MOD(INT(365/$U$8),$U$7)+1,1)</f>
        <v/>
      </c>
      <c r="BP378">
        <f>IF(365&lt;$U$9,MOD(365,$U$8)+1,1)</f>
        <v/>
      </c>
      <c r="BQ378">
        <f>IF(365&lt;$U$9,SUMPRODUCT(($D$10:$L$10&lt;&gt;"")*(($D$9:$L$9+INT(($S$12:$AA$12+INDEX($AJ$13:$AR$162,BN378,0)+INDEX($AT$13:$BB$162,BO378,0)+INDEX($BD$13:$BL$162,BP378,0))/100))&gt;=$D$10:$L$10)),0)</f>
        <v/>
      </c>
      <c r="BR378">
        <f>IF(365&lt;$U$9,SUMPRODUCT(($D$10:$L$10&lt;&gt;"")*(($D$10:$L$10-($D$9:$L$9+INT(($S$12:$AA$12+INDEX($AJ$13:$AR$162,BN378,0)+INDEX($AT$13:$BB$162,BO378,0)+INDEX($BD$13:$BL$162,BP378,0))/100)))&gt;0)*($D$10:$L$10-($D$9:$L$9+INT(($S$12:$AA$12+INDEX($AJ$13:$AR$162,BN378,0)+INDEX($AT$13:$BB$162,BO378,0)+INDEX($BD$13:$BL$162,BP378,0))/100)))),0)</f>
        <v/>
      </c>
      <c r="BS378">
        <f>IF(365&lt;$U$9,SUMPRODUCT(($D$9:$L$9+INT(($S$12:$AA$12+INDEX($AJ$13:$AR$162,BN378,0)+INDEX($AT$13:$BB$162,BO378,0)+INDEX($BD$13:$BL$162,BP378,0))/100))),0)</f>
        <v/>
      </c>
      <c r="BT378">
        <f>IF(AND(365&lt;$U$9,$W$5),BQ378*1000000-MIN(BR378,999)*1000+BS378-365/100000,-1000000000-365)</f>
        <v/>
      </c>
    </row>
    <row r="379">
      <c r="BN379">
        <f>IF(366&lt;$U$9,INT(366/($U$7*$U$8))+1,1)</f>
        <v/>
      </c>
      <c r="BO379">
        <f>IF(366&lt;$U$9,MOD(INT(366/$U$8),$U$7)+1,1)</f>
        <v/>
      </c>
      <c r="BP379">
        <f>IF(366&lt;$U$9,MOD(366,$U$8)+1,1)</f>
        <v/>
      </c>
      <c r="BQ379">
        <f>IF(366&lt;$U$9,SUMPRODUCT(($D$10:$L$10&lt;&gt;"")*(($D$9:$L$9+INT(($S$12:$AA$12+INDEX($AJ$13:$AR$162,BN379,0)+INDEX($AT$13:$BB$162,BO379,0)+INDEX($BD$13:$BL$162,BP379,0))/100))&gt;=$D$10:$L$10)),0)</f>
        <v/>
      </c>
      <c r="BR379">
        <f>IF(366&lt;$U$9,SUMPRODUCT(($D$10:$L$10&lt;&gt;"")*(($D$10:$L$10-($D$9:$L$9+INT(($S$12:$AA$12+INDEX($AJ$13:$AR$162,BN379,0)+INDEX($AT$13:$BB$162,BO379,0)+INDEX($BD$13:$BL$162,BP379,0))/100)))&gt;0)*($D$10:$L$10-($D$9:$L$9+INT(($S$12:$AA$12+INDEX($AJ$13:$AR$162,BN379,0)+INDEX($AT$13:$BB$162,BO379,0)+INDEX($BD$13:$BL$162,BP379,0))/100)))),0)</f>
        <v/>
      </c>
      <c r="BS379">
        <f>IF(366&lt;$U$9,SUMPRODUCT(($D$9:$L$9+INT(($S$12:$AA$12+INDEX($AJ$13:$AR$162,BN379,0)+INDEX($AT$13:$BB$162,BO379,0)+INDEX($BD$13:$BL$162,BP379,0))/100))),0)</f>
        <v/>
      </c>
      <c r="BT379">
        <f>IF(AND(366&lt;$U$9,$W$5),BQ379*1000000-MIN(BR379,999)*1000+BS379-366/100000,-1000000000-366)</f>
        <v/>
      </c>
    </row>
    <row r="380">
      <c r="BN380">
        <f>IF(367&lt;$U$9,INT(367/($U$7*$U$8))+1,1)</f>
        <v/>
      </c>
      <c r="BO380">
        <f>IF(367&lt;$U$9,MOD(INT(367/$U$8),$U$7)+1,1)</f>
        <v/>
      </c>
      <c r="BP380">
        <f>IF(367&lt;$U$9,MOD(367,$U$8)+1,1)</f>
        <v/>
      </c>
      <c r="BQ380">
        <f>IF(367&lt;$U$9,SUMPRODUCT(($D$10:$L$10&lt;&gt;"")*(($D$9:$L$9+INT(($S$12:$AA$12+INDEX($AJ$13:$AR$162,BN380,0)+INDEX($AT$13:$BB$162,BO380,0)+INDEX($BD$13:$BL$162,BP380,0))/100))&gt;=$D$10:$L$10)),0)</f>
        <v/>
      </c>
      <c r="BR380">
        <f>IF(367&lt;$U$9,SUMPRODUCT(($D$10:$L$10&lt;&gt;"")*(($D$10:$L$10-($D$9:$L$9+INT(($S$12:$AA$12+INDEX($AJ$13:$AR$162,BN380,0)+INDEX($AT$13:$BB$162,BO380,0)+INDEX($BD$13:$BL$162,BP380,0))/100)))&gt;0)*($D$10:$L$10-($D$9:$L$9+INT(($S$12:$AA$12+INDEX($AJ$13:$AR$162,BN380,0)+INDEX($AT$13:$BB$162,BO380,0)+INDEX($BD$13:$BL$162,BP380,0))/100)))),0)</f>
        <v/>
      </c>
      <c r="BS380">
        <f>IF(367&lt;$U$9,SUMPRODUCT(($D$9:$L$9+INT(($S$12:$AA$12+INDEX($AJ$13:$AR$162,BN380,0)+INDEX($AT$13:$BB$162,BO380,0)+INDEX($BD$13:$BL$162,BP380,0))/100))),0)</f>
        <v/>
      </c>
      <c r="BT380">
        <f>IF(AND(367&lt;$U$9,$W$5),BQ380*1000000-MIN(BR380,999)*1000+BS380-367/100000,-1000000000-367)</f>
        <v/>
      </c>
    </row>
    <row r="381">
      <c r="BN381">
        <f>IF(368&lt;$U$9,INT(368/($U$7*$U$8))+1,1)</f>
        <v/>
      </c>
      <c r="BO381">
        <f>IF(368&lt;$U$9,MOD(INT(368/$U$8),$U$7)+1,1)</f>
        <v/>
      </c>
      <c r="BP381">
        <f>IF(368&lt;$U$9,MOD(368,$U$8)+1,1)</f>
        <v/>
      </c>
      <c r="BQ381">
        <f>IF(368&lt;$U$9,SUMPRODUCT(($D$10:$L$10&lt;&gt;"")*(($D$9:$L$9+INT(($S$12:$AA$12+INDEX($AJ$13:$AR$162,BN381,0)+INDEX($AT$13:$BB$162,BO381,0)+INDEX($BD$13:$BL$162,BP381,0))/100))&gt;=$D$10:$L$10)),0)</f>
        <v/>
      </c>
      <c r="BR381">
        <f>IF(368&lt;$U$9,SUMPRODUCT(($D$10:$L$10&lt;&gt;"")*(($D$10:$L$10-($D$9:$L$9+INT(($S$12:$AA$12+INDEX($AJ$13:$AR$162,BN381,0)+INDEX($AT$13:$BB$162,BO381,0)+INDEX($BD$13:$BL$162,BP381,0))/100)))&gt;0)*($D$10:$L$10-($D$9:$L$9+INT(($S$12:$AA$12+INDEX($AJ$13:$AR$162,BN381,0)+INDEX($AT$13:$BB$162,BO381,0)+INDEX($BD$13:$BL$162,BP381,0))/100)))),0)</f>
        <v/>
      </c>
      <c r="BS381">
        <f>IF(368&lt;$U$9,SUMPRODUCT(($D$9:$L$9+INT(($S$12:$AA$12+INDEX($AJ$13:$AR$162,BN381,0)+INDEX($AT$13:$BB$162,BO381,0)+INDEX($BD$13:$BL$162,BP381,0))/100))),0)</f>
        <v/>
      </c>
      <c r="BT381">
        <f>IF(AND(368&lt;$U$9,$W$5),BQ381*1000000-MIN(BR381,999)*1000+BS381-368/100000,-1000000000-368)</f>
        <v/>
      </c>
    </row>
    <row r="382">
      <c r="BN382">
        <f>IF(369&lt;$U$9,INT(369/($U$7*$U$8))+1,1)</f>
        <v/>
      </c>
      <c r="BO382">
        <f>IF(369&lt;$U$9,MOD(INT(369/$U$8),$U$7)+1,1)</f>
        <v/>
      </c>
      <c r="BP382">
        <f>IF(369&lt;$U$9,MOD(369,$U$8)+1,1)</f>
        <v/>
      </c>
      <c r="BQ382">
        <f>IF(369&lt;$U$9,SUMPRODUCT(($D$10:$L$10&lt;&gt;"")*(($D$9:$L$9+INT(($S$12:$AA$12+INDEX($AJ$13:$AR$162,BN382,0)+INDEX($AT$13:$BB$162,BO382,0)+INDEX($BD$13:$BL$162,BP382,0))/100))&gt;=$D$10:$L$10)),0)</f>
        <v/>
      </c>
      <c r="BR382">
        <f>IF(369&lt;$U$9,SUMPRODUCT(($D$10:$L$10&lt;&gt;"")*(($D$10:$L$10-($D$9:$L$9+INT(($S$12:$AA$12+INDEX($AJ$13:$AR$162,BN382,0)+INDEX($AT$13:$BB$162,BO382,0)+INDEX($BD$13:$BL$162,BP382,0))/100)))&gt;0)*($D$10:$L$10-($D$9:$L$9+INT(($S$12:$AA$12+INDEX($AJ$13:$AR$162,BN382,0)+INDEX($AT$13:$BB$162,BO382,0)+INDEX($BD$13:$BL$162,BP382,0))/100)))),0)</f>
        <v/>
      </c>
      <c r="BS382">
        <f>IF(369&lt;$U$9,SUMPRODUCT(($D$9:$L$9+INT(($S$12:$AA$12+INDEX($AJ$13:$AR$162,BN382,0)+INDEX($AT$13:$BB$162,BO382,0)+INDEX($BD$13:$BL$162,BP382,0))/100))),0)</f>
        <v/>
      </c>
      <c r="BT382">
        <f>IF(AND(369&lt;$U$9,$W$5),BQ382*1000000-MIN(BR382,999)*1000+BS382-369/100000,-1000000000-369)</f>
        <v/>
      </c>
    </row>
    <row r="383">
      <c r="BN383">
        <f>IF(370&lt;$U$9,INT(370/($U$7*$U$8))+1,1)</f>
        <v/>
      </c>
      <c r="BO383">
        <f>IF(370&lt;$U$9,MOD(INT(370/$U$8),$U$7)+1,1)</f>
        <v/>
      </c>
      <c r="BP383">
        <f>IF(370&lt;$U$9,MOD(370,$U$8)+1,1)</f>
        <v/>
      </c>
      <c r="BQ383">
        <f>IF(370&lt;$U$9,SUMPRODUCT(($D$10:$L$10&lt;&gt;"")*(($D$9:$L$9+INT(($S$12:$AA$12+INDEX($AJ$13:$AR$162,BN383,0)+INDEX($AT$13:$BB$162,BO383,0)+INDEX($BD$13:$BL$162,BP383,0))/100))&gt;=$D$10:$L$10)),0)</f>
        <v/>
      </c>
      <c r="BR383">
        <f>IF(370&lt;$U$9,SUMPRODUCT(($D$10:$L$10&lt;&gt;"")*(($D$10:$L$10-($D$9:$L$9+INT(($S$12:$AA$12+INDEX($AJ$13:$AR$162,BN383,0)+INDEX($AT$13:$BB$162,BO383,0)+INDEX($BD$13:$BL$162,BP383,0))/100)))&gt;0)*($D$10:$L$10-($D$9:$L$9+INT(($S$12:$AA$12+INDEX($AJ$13:$AR$162,BN383,0)+INDEX($AT$13:$BB$162,BO383,0)+INDEX($BD$13:$BL$162,BP383,0))/100)))),0)</f>
        <v/>
      </c>
      <c r="BS383">
        <f>IF(370&lt;$U$9,SUMPRODUCT(($D$9:$L$9+INT(($S$12:$AA$12+INDEX($AJ$13:$AR$162,BN383,0)+INDEX($AT$13:$BB$162,BO383,0)+INDEX($BD$13:$BL$162,BP383,0))/100))),0)</f>
        <v/>
      </c>
      <c r="BT383">
        <f>IF(AND(370&lt;$U$9,$W$5),BQ383*1000000-MIN(BR383,999)*1000+BS383-370/100000,-1000000000-370)</f>
        <v/>
      </c>
    </row>
    <row r="384">
      <c r="BN384">
        <f>IF(371&lt;$U$9,INT(371/($U$7*$U$8))+1,1)</f>
        <v/>
      </c>
      <c r="BO384">
        <f>IF(371&lt;$U$9,MOD(INT(371/$U$8),$U$7)+1,1)</f>
        <v/>
      </c>
      <c r="BP384">
        <f>IF(371&lt;$U$9,MOD(371,$U$8)+1,1)</f>
        <v/>
      </c>
      <c r="BQ384">
        <f>IF(371&lt;$U$9,SUMPRODUCT(($D$10:$L$10&lt;&gt;"")*(($D$9:$L$9+INT(($S$12:$AA$12+INDEX($AJ$13:$AR$162,BN384,0)+INDEX($AT$13:$BB$162,BO384,0)+INDEX($BD$13:$BL$162,BP384,0))/100))&gt;=$D$10:$L$10)),0)</f>
        <v/>
      </c>
      <c r="BR384">
        <f>IF(371&lt;$U$9,SUMPRODUCT(($D$10:$L$10&lt;&gt;"")*(($D$10:$L$10-($D$9:$L$9+INT(($S$12:$AA$12+INDEX($AJ$13:$AR$162,BN384,0)+INDEX($AT$13:$BB$162,BO384,0)+INDEX($BD$13:$BL$162,BP384,0))/100)))&gt;0)*($D$10:$L$10-($D$9:$L$9+INT(($S$12:$AA$12+INDEX($AJ$13:$AR$162,BN384,0)+INDEX($AT$13:$BB$162,BO384,0)+INDEX($BD$13:$BL$162,BP384,0))/100)))),0)</f>
        <v/>
      </c>
      <c r="BS384">
        <f>IF(371&lt;$U$9,SUMPRODUCT(($D$9:$L$9+INT(($S$12:$AA$12+INDEX($AJ$13:$AR$162,BN384,0)+INDEX($AT$13:$BB$162,BO384,0)+INDEX($BD$13:$BL$162,BP384,0))/100))),0)</f>
        <v/>
      </c>
      <c r="BT384">
        <f>IF(AND(371&lt;$U$9,$W$5),BQ384*1000000-MIN(BR384,999)*1000+BS384-371/100000,-1000000000-371)</f>
        <v/>
      </c>
    </row>
    <row r="385">
      <c r="BN385">
        <f>IF(372&lt;$U$9,INT(372/($U$7*$U$8))+1,1)</f>
        <v/>
      </c>
      <c r="BO385">
        <f>IF(372&lt;$U$9,MOD(INT(372/$U$8),$U$7)+1,1)</f>
        <v/>
      </c>
      <c r="BP385">
        <f>IF(372&lt;$U$9,MOD(372,$U$8)+1,1)</f>
        <v/>
      </c>
      <c r="BQ385">
        <f>IF(372&lt;$U$9,SUMPRODUCT(($D$10:$L$10&lt;&gt;"")*(($D$9:$L$9+INT(($S$12:$AA$12+INDEX($AJ$13:$AR$162,BN385,0)+INDEX($AT$13:$BB$162,BO385,0)+INDEX($BD$13:$BL$162,BP385,0))/100))&gt;=$D$10:$L$10)),0)</f>
        <v/>
      </c>
      <c r="BR385">
        <f>IF(372&lt;$U$9,SUMPRODUCT(($D$10:$L$10&lt;&gt;"")*(($D$10:$L$10-($D$9:$L$9+INT(($S$12:$AA$12+INDEX($AJ$13:$AR$162,BN385,0)+INDEX($AT$13:$BB$162,BO385,0)+INDEX($BD$13:$BL$162,BP385,0))/100)))&gt;0)*($D$10:$L$10-($D$9:$L$9+INT(($S$12:$AA$12+INDEX($AJ$13:$AR$162,BN385,0)+INDEX($AT$13:$BB$162,BO385,0)+INDEX($BD$13:$BL$162,BP385,0))/100)))),0)</f>
        <v/>
      </c>
      <c r="BS385">
        <f>IF(372&lt;$U$9,SUMPRODUCT(($D$9:$L$9+INT(($S$12:$AA$12+INDEX($AJ$13:$AR$162,BN385,0)+INDEX($AT$13:$BB$162,BO385,0)+INDEX($BD$13:$BL$162,BP385,0))/100))),0)</f>
        <v/>
      </c>
      <c r="BT385">
        <f>IF(AND(372&lt;$U$9,$W$5),BQ385*1000000-MIN(BR385,999)*1000+BS385-372/100000,-1000000000-372)</f>
        <v/>
      </c>
    </row>
    <row r="386">
      <c r="BN386">
        <f>IF(373&lt;$U$9,INT(373/($U$7*$U$8))+1,1)</f>
        <v/>
      </c>
      <c r="BO386">
        <f>IF(373&lt;$U$9,MOD(INT(373/$U$8),$U$7)+1,1)</f>
        <v/>
      </c>
      <c r="BP386">
        <f>IF(373&lt;$U$9,MOD(373,$U$8)+1,1)</f>
        <v/>
      </c>
      <c r="BQ386">
        <f>IF(373&lt;$U$9,SUMPRODUCT(($D$10:$L$10&lt;&gt;"")*(($D$9:$L$9+INT(($S$12:$AA$12+INDEX($AJ$13:$AR$162,BN386,0)+INDEX($AT$13:$BB$162,BO386,0)+INDEX($BD$13:$BL$162,BP386,0))/100))&gt;=$D$10:$L$10)),0)</f>
        <v/>
      </c>
      <c r="BR386">
        <f>IF(373&lt;$U$9,SUMPRODUCT(($D$10:$L$10&lt;&gt;"")*(($D$10:$L$10-($D$9:$L$9+INT(($S$12:$AA$12+INDEX($AJ$13:$AR$162,BN386,0)+INDEX($AT$13:$BB$162,BO386,0)+INDEX($BD$13:$BL$162,BP386,0))/100)))&gt;0)*($D$10:$L$10-($D$9:$L$9+INT(($S$12:$AA$12+INDEX($AJ$13:$AR$162,BN386,0)+INDEX($AT$13:$BB$162,BO386,0)+INDEX($BD$13:$BL$162,BP386,0))/100)))),0)</f>
        <v/>
      </c>
      <c r="BS386">
        <f>IF(373&lt;$U$9,SUMPRODUCT(($D$9:$L$9+INT(($S$12:$AA$12+INDEX($AJ$13:$AR$162,BN386,0)+INDEX($AT$13:$BB$162,BO386,0)+INDEX($BD$13:$BL$162,BP386,0))/100))),0)</f>
        <v/>
      </c>
      <c r="BT386">
        <f>IF(AND(373&lt;$U$9,$W$5),BQ386*1000000-MIN(BR386,999)*1000+BS386-373/100000,-1000000000-373)</f>
        <v/>
      </c>
    </row>
    <row r="387">
      <c r="BN387">
        <f>IF(374&lt;$U$9,INT(374/($U$7*$U$8))+1,1)</f>
        <v/>
      </c>
      <c r="BO387">
        <f>IF(374&lt;$U$9,MOD(INT(374/$U$8),$U$7)+1,1)</f>
        <v/>
      </c>
      <c r="BP387">
        <f>IF(374&lt;$U$9,MOD(374,$U$8)+1,1)</f>
        <v/>
      </c>
      <c r="BQ387">
        <f>IF(374&lt;$U$9,SUMPRODUCT(($D$10:$L$10&lt;&gt;"")*(($D$9:$L$9+INT(($S$12:$AA$12+INDEX($AJ$13:$AR$162,BN387,0)+INDEX($AT$13:$BB$162,BO387,0)+INDEX($BD$13:$BL$162,BP387,0))/100))&gt;=$D$10:$L$10)),0)</f>
        <v/>
      </c>
      <c r="BR387">
        <f>IF(374&lt;$U$9,SUMPRODUCT(($D$10:$L$10&lt;&gt;"")*(($D$10:$L$10-($D$9:$L$9+INT(($S$12:$AA$12+INDEX($AJ$13:$AR$162,BN387,0)+INDEX($AT$13:$BB$162,BO387,0)+INDEX($BD$13:$BL$162,BP387,0))/100)))&gt;0)*($D$10:$L$10-($D$9:$L$9+INT(($S$12:$AA$12+INDEX($AJ$13:$AR$162,BN387,0)+INDEX($AT$13:$BB$162,BO387,0)+INDEX($BD$13:$BL$162,BP387,0))/100)))),0)</f>
        <v/>
      </c>
      <c r="BS387">
        <f>IF(374&lt;$U$9,SUMPRODUCT(($D$9:$L$9+INT(($S$12:$AA$12+INDEX($AJ$13:$AR$162,BN387,0)+INDEX($AT$13:$BB$162,BO387,0)+INDEX($BD$13:$BL$162,BP387,0))/100))),0)</f>
        <v/>
      </c>
      <c r="BT387">
        <f>IF(AND(374&lt;$U$9,$W$5),BQ387*1000000-MIN(BR387,999)*1000+BS387-374/100000,-1000000000-374)</f>
        <v/>
      </c>
    </row>
    <row r="388">
      <c r="BN388">
        <f>IF(375&lt;$U$9,INT(375/($U$7*$U$8))+1,1)</f>
        <v/>
      </c>
      <c r="BO388">
        <f>IF(375&lt;$U$9,MOD(INT(375/$U$8),$U$7)+1,1)</f>
        <v/>
      </c>
      <c r="BP388">
        <f>IF(375&lt;$U$9,MOD(375,$U$8)+1,1)</f>
        <v/>
      </c>
      <c r="BQ388">
        <f>IF(375&lt;$U$9,SUMPRODUCT(($D$10:$L$10&lt;&gt;"")*(($D$9:$L$9+INT(($S$12:$AA$12+INDEX($AJ$13:$AR$162,BN388,0)+INDEX($AT$13:$BB$162,BO388,0)+INDEX($BD$13:$BL$162,BP388,0))/100))&gt;=$D$10:$L$10)),0)</f>
        <v/>
      </c>
      <c r="BR388">
        <f>IF(375&lt;$U$9,SUMPRODUCT(($D$10:$L$10&lt;&gt;"")*(($D$10:$L$10-($D$9:$L$9+INT(($S$12:$AA$12+INDEX($AJ$13:$AR$162,BN388,0)+INDEX($AT$13:$BB$162,BO388,0)+INDEX($BD$13:$BL$162,BP388,0))/100)))&gt;0)*($D$10:$L$10-($D$9:$L$9+INT(($S$12:$AA$12+INDEX($AJ$13:$AR$162,BN388,0)+INDEX($AT$13:$BB$162,BO388,0)+INDEX($BD$13:$BL$162,BP388,0))/100)))),0)</f>
        <v/>
      </c>
      <c r="BS388">
        <f>IF(375&lt;$U$9,SUMPRODUCT(($D$9:$L$9+INT(($S$12:$AA$12+INDEX($AJ$13:$AR$162,BN388,0)+INDEX($AT$13:$BB$162,BO388,0)+INDEX($BD$13:$BL$162,BP388,0))/100))),0)</f>
        <v/>
      </c>
      <c r="BT388">
        <f>IF(AND(375&lt;$U$9,$W$5),BQ388*1000000-MIN(BR388,999)*1000+BS388-375/100000,-1000000000-375)</f>
        <v/>
      </c>
    </row>
    <row r="389">
      <c r="BN389">
        <f>IF(376&lt;$U$9,INT(376/($U$7*$U$8))+1,1)</f>
        <v/>
      </c>
      <c r="BO389">
        <f>IF(376&lt;$U$9,MOD(INT(376/$U$8),$U$7)+1,1)</f>
        <v/>
      </c>
      <c r="BP389">
        <f>IF(376&lt;$U$9,MOD(376,$U$8)+1,1)</f>
        <v/>
      </c>
      <c r="BQ389">
        <f>IF(376&lt;$U$9,SUMPRODUCT(($D$10:$L$10&lt;&gt;"")*(($D$9:$L$9+INT(($S$12:$AA$12+INDEX($AJ$13:$AR$162,BN389,0)+INDEX($AT$13:$BB$162,BO389,0)+INDEX($BD$13:$BL$162,BP389,0))/100))&gt;=$D$10:$L$10)),0)</f>
        <v/>
      </c>
      <c r="BR389">
        <f>IF(376&lt;$U$9,SUMPRODUCT(($D$10:$L$10&lt;&gt;"")*(($D$10:$L$10-($D$9:$L$9+INT(($S$12:$AA$12+INDEX($AJ$13:$AR$162,BN389,0)+INDEX($AT$13:$BB$162,BO389,0)+INDEX($BD$13:$BL$162,BP389,0))/100)))&gt;0)*($D$10:$L$10-($D$9:$L$9+INT(($S$12:$AA$12+INDEX($AJ$13:$AR$162,BN389,0)+INDEX($AT$13:$BB$162,BO389,0)+INDEX($BD$13:$BL$162,BP389,0))/100)))),0)</f>
        <v/>
      </c>
      <c r="BS389">
        <f>IF(376&lt;$U$9,SUMPRODUCT(($D$9:$L$9+INT(($S$12:$AA$12+INDEX($AJ$13:$AR$162,BN389,0)+INDEX($AT$13:$BB$162,BO389,0)+INDEX($BD$13:$BL$162,BP389,0))/100))),0)</f>
        <v/>
      </c>
      <c r="BT389">
        <f>IF(AND(376&lt;$U$9,$W$5),BQ389*1000000-MIN(BR389,999)*1000+BS389-376/100000,-1000000000-376)</f>
        <v/>
      </c>
    </row>
    <row r="390">
      <c r="BN390">
        <f>IF(377&lt;$U$9,INT(377/($U$7*$U$8))+1,1)</f>
        <v/>
      </c>
      <c r="BO390">
        <f>IF(377&lt;$U$9,MOD(INT(377/$U$8),$U$7)+1,1)</f>
        <v/>
      </c>
      <c r="BP390">
        <f>IF(377&lt;$U$9,MOD(377,$U$8)+1,1)</f>
        <v/>
      </c>
      <c r="BQ390">
        <f>IF(377&lt;$U$9,SUMPRODUCT(($D$10:$L$10&lt;&gt;"")*(($D$9:$L$9+INT(($S$12:$AA$12+INDEX($AJ$13:$AR$162,BN390,0)+INDEX($AT$13:$BB$162,BO390,0)+INDEX($BD$13:$BL$162,BP390,0))/100))&gt;=$D$10:$L$10)),0)</f>
        <v/>
      </c>
      <c r="BR390">
        <f>IF(377&lt;$U$9,SUMPRODUCT(($D$10:$L$10&lt;&gt;"")*(($D$10:$L$10-($D$9:$L$9+INT(($S$12:$AA$12+INDEX($AJ$13:$AR$162,BN390,0)+INDEX($AT$13:$BB$162,BO390,0)+INDEX($BD$13:$BL$162,BP390,0))/100)))&gt;0)*($D$10:$L$10-($D$9:$L$9+INT(($S$12:$AA$12+INDEX($AJ$13:$AR$162,BN390,0)+INDEX($AT$13:$BB$162,BO390,0)+INDEX($BD$13:$BL$162,BP390,0))/100)))),0)</f>
        <v/>
      </c>
      <c r="BS390">
        <f>IF(377&lt;$U$9,SUMPRODUCT(($D$9:$L$9+INT(($S$12:$AA$12+INDEX($AJ$13:$AR$162,BN390,0)+INDEX($AT$13:$BB$162,BO390,0)+INDEX($BD$13:$BL$162,BP390,0))/100))),0)</f>
        <v/>
      </c>
      <c r="BT390">
        <f>IF(AND(377&lt;$U$9,$W$5),BQ390*1000000-MIN(BR390,999)*1000+BS390-377/100000,-1000000000-377)</f>
        <v/>
      </c>
    </row>
    <row r="391">
      <c r="BN391">
        <f>IF(378&lt;$U$9,INT(378/($U$7*$U$8))+1,1)</f>
        <v/>
      </c>
      <c r="BO391">
        <f>IF(378&lt;$U$9,MOD(INT(378/$U$8),$U$7)+1,1)</f>
        <v/>
      </c>
      <c r="BP391">
        <f>IF(378&lt;$U$9,MOD(378,$U$8)+1,1)</f>
        <v/>
      </c>
      <c r="BQ391">
        <f>IF(378&lt;$U$9,SUMPRODUCT(($D$10:$L$10&lt;&gt;"")*(($D$9:$L$9+INT(($S$12:$AA$12+INDEX($AJ$13:$AR$162,BN391,0)+INDEX($AT$13:$BB$162,BO391,0)+INDEX($BD$13:$BL$162,BP391,0))/100))&gt;=$D$10:$L$10)),0)</f>
        <v/>
      </c>
      <c r="BR391">
        <f>IF(378&lt;$U$9,SUMPRODUCT(($D$10:$L$10&lt;&gt;"")*(($D$10:$L$10-($D$9:$L$9+INT(($S$12:$AA$12+INDEX($AJ$13:$AR$162,BN391,0)+INDEX($AT$13:$BB$162,BO391,0)+INDEX($BD$13:$BL$162,BP391,0))/100)))&gt;0)*($D$10:$L$10-($D$9:$L$9+INT(($S$12:$AA$12+INDEX($AJ$13:$AR$162,BN391,0)+INDEX($AT$13:$BB$162,BO391,0)+INDEX($BD$13:$BL$162,BP391,0))/100)))),0)</f>
        <v/>
      </c>
      <c r="BS391">
        <f>IF(378&lt;$U$9,SUMPRODUCT(($D$9:$L$9+INT(($S$12:$AA$12+INDEX($AJ$13:$AR$162,BN391,0)+INDEX($AT$13:$BB$162,BO391,0)+INDEX($BD$13:$BL$162,BP391,0))/100))),0)</f>
        <v/>
      </c>
      <c r="BT391">
        <f>IF(AND(378&lt;$U$9,$W$5),BQ391*1000000-MIN(BR391,999)*1000+BS391-378/100000,-1000000000-378)</f>
        <v/>
      </c>
    </row>
    <row r="392">
      <c r="BN392">
        <f>IF(379&lt;$U$9,INT(379/($U$7*$U$8))+1,1)</f>
        <v/>
      </c>
      <c r="BO392">
        <f>IF(379&lt;$U$9,MOD(INT(379/$U$8),$U$7)+1,1)</f>
        <v/>
      </c>
      <c r="BP392">
        <f>IF(379&lt;$U$9,MOD(379,$U$8)+1,1)</f>
        <v/>
      </c>
      <c r="BQ392">
        <f>IF(379&lt;$U$9,SUMPRODUCT(($D$10:$L$10&lt;&gt;"")*(($D$9:$L$9+INT(($S$12:$AA$12+INDEX($AJ$13:$AR$162,BN392,0)+INDEX($AT$13:$BB$162,BO392,0)+INDEX($BD$13:$BL$162,BP392,0))/100))&gt;=$D$10:$L$10)),0)</f>
        <v/>
      </c>
      <c r="BR392">
        <f>IF(379&lt;$U$9,SUMPRODUCT(($D$10:$L$10&lt;&gt;"")*(($D$10:$L$10-($D$9:$L$9+INT(($S$12:$AA$12+INDEX($AJ$13:$AR$162,BN392,0)+INDEX($AT$13:$BB$162,BO392,0)+INDEX($BD$13:$BL$162,BP392,0))/100)))&gt;0)*($D$10:$L$10-($D$9:$L$9+INT(($S$12:$AA$12+INDEX($AJ$13:$AR$162,BN392,0)+INDEX($AT$13:$BB$162,BO392,0)+INDEX($BD$13:$BL$162,BP392,0))/100)))),0)</f>
        <v/>
      </c>
      <c r="BS392">
        <f>IF(379&lt;$U$9,SUMPRODUCT(($D$9:$L$9+INT(($S$12:$AA$12+INDEX($AJ$13:$AR$162,BN392,0)+INDEX($AT$13:$BB$162,BO392,0)+INDEX($BD$13:$BL$162,BP392,0))/100))),0)</f>
        <v/>
      </c>
      <c r="BT392">
        <f>IF(AND(379&lt;$U$9,$W$5),BQ392*1000000-MIN(BR392,999)*1000+BS392-379/100000,-1000000000-379)</f>
        <v/>
      </c>
    </row>
    <row r="393">
      <c r="BN393">
        <f>IF(380&lt;$U$9,INT(380/($U$7*$U$8))+1,1)</f>
        <v/>
      </c>
      <c r="BO393">
        <f>IF(380&lt;$U$9,MOD(INT(380/$U$8),$U$7)+1,1)</f>
        <v/>
      </c>
      <c r="BP393">
        <f>IF(380&lt;$U$9,MOD(380,$U$8)+1,1)</f>
        <v/>
      </c>
      <c r="BQ393">
        <f>IF(380&lt;$U$9,SUMPRODUCT(($D$10:$L$10&lt;&gt;"")*(($D$9:$L$9+INT(($S$12:$AA$12+INDEX($AJ$13:$AR$162,BN393,0)+INDEX($AT$13:$BB$162,BO393,0)+INDEX($BD$13:$BL$162,BP393,0))/100))&gt;=$D$10:$L$10)),0)</f>
        <v/>
      </c>
      <c r="BR393">
        <f>IF(380&lt;$U$9,SUMPRODUCT(($D$10:$L$10&lt;&gt;"")*(($D$10:$L$10-($D$9:$L$9+INT(($S$12:$AA$12+INDEX($AJ$13:$AR$162,BN393,0)+INDEX($AT$13:$BB$162,BO393,0)+INDEX($BD$13:$BL$162,BP393,0))/100)))&gt;0)*($D$10:$L$10-($D$9:$L$9+INT(($S$12:$AA$12+INDEX($AJ$13:$AR$162,BN393,0)+INDEX($AT$13:$BB$162,BO393,0)+INDEX($BD$13:$BL$162,BP393,0))/100)))),0)</f>
        <v/>
      </c>
      <c r="BS393">
        <f>IF(380&lt;$U$9,SUMPRODUCT(($D$9:$L$9+INT(($S$12:$AA$12+INDEX($AJ$13:$AR$162,BN393,0)+INDEX($AT$13:$BB$162,BO393,0)+INDEX($BD$13:$BL$162,BP393,0))/100))),0)</f>
        <v/>
      </c>
      <c r="BT393">
        <f>IF(AND(380&lt;$U$9,$W$5),BQ393*1000000-MIN(BR393,999)*1000+BS393-380/100000,-1000000000-380)</f>
        <v/>
      </c>
    </row>
    <row r="394">
      <c r="BN394">
        <f>IF(381&lt;$U$9,INT(381/($U$7*$U$8))+1,1)</f>
        <v/>
      </c>
      <c r="BO394">
        <f>IF(381&lt;$U$9,MOD(INT(381/$U$8),$U$7)+1,1)</f>
        <v/>
      </c>
      <c r="BP394">
        <f>IF(381&lt;$U$9,MOD(381,$U$8)+1,1)</f>
        <v/>
      </c>
      <c r="BQ394">
        <f>IF(381&lt;$U$9,SUMPRODUCT(($D$10:$L$10&lt;&gt;"")*(($D$9:$L$9+INT(($S$12:$AA$12+INDEX($AJ$13:$AR$162,BN394,0)+INDEX($AT$13:$BB$162,BO394,0)+INDEX($BD$13:$BL$162,BP394,0))/100))&gt;=$D$10:$L$10)),0)</f>
        <v/>
      </c>
      <c r="BR394">
        <f>IF(381&lt;$U$9,SUMPRODUCT(($D$10:$L$10&lt;&gt;"")*(($D$10:$L$10-($D$9:$L$9+INT(($S$12:$AA$12+INDEX($AJ$13:$AR$162,BN394,0)+INDEX($AT$13:$BB$162,BO394,0)+INDEX($BD$13:$BL$162,BP394,0))/100)))&gt;0)*($D$10:$L$10-($D$9:$L$9+INT(($S$12:$AA$12+INDEX($AJ$13:$AR$162,BN394,0)+INDEX($AT$13:$BB$162,BO394,0)+INDEX($BD$13:$BL$162,BP394,0))/100)))),0)</f>
        <v/>
      </c>
      <c r="BS394">
        <f>IF(381&lt;$U$9,SUMPRODUCT(($D$9:$L$9+INT(($S$12:$AA$12+INDEX($AJ$13:$AR$162,BN394,0)+INDEX($AT$13:$BB$162,BO394,0)+INDEX($BD$13:$BL$162,BP394,0))/100))),0)</f>
        <v/>
      </c>
      <c r="BT394">
        <f>IF(AND(381&lt;$U$9,$W$5),BQ394*1000000-MIN(BR394,999)*1000+BS394-381/100000,-1000000000-381)</f>
        <v/>
      </c>
    </row>
    <row r="395">
      <c r="BN395">
        <f>IF(382&lt;$U$9,INT(382/($U$7*$U$8))+1,1)</f>
        <v/>
      </c>
      <c r="BO395">
        <f>IF(382&lt;$U$9,MOD(INT(382/$U$8),$U$7)+1,1)</f>
        <v/>
      </c>
      <c r="BP395">
        <f>IF(382&lt;$U$9,MOD(382,$U$8)+1,1)</f>
        <v/>
      </c>
      <c r="BQ395">
        <f>IF(382&lt;$U$9,SUMPRODUCT(($D$10:$L$10&lt;&gt;"")*(($D$9:$L$9+INT(($S$12:$AA$12+INDEX($AJ$13:$AR$162,BN395,0)+INDEX($AT$13:$BB$162,BO395,0)+INDEX($BD$13:$BL$162,BP395,0))/100))&gt;=$D$10:$L$10)),0)</f>
        <v/>
      </c>
      <c r="BR395">
        <f>IF(382&lt;$U$9,SUMPRODUCT(($D$10:$L$10&lt;&gt;"")*(($D$10:$L$10-($D$9:$L$9+INT(($S$12:$AA$12+INDEX($AJ$13:$AR$162,BN395,0)+INDEX($AT$13:$BB$162,BO395,0)+INDEX($BD$13:$BL$162,BP395,0))/100)))&gt;0)*($D$10:$L$10-($D$9:$L$9+INT(($S$12:$AA$12+INDEX($AJ$13:$AR$162,BN395,0)+INDEX($AT$13:$BB$162,BO395,0)+INDEX($BD$13:$BL$162,BP395,0))/100)))),0)</f>
        <v/>
      </c>
      <c r="BS395">
        <f>IF(382&lt;$U$9,SUMPRODUCT(($D$9:$L$9+INT(($S$12:$AA$12+INDEX($AJ$13:$AR$162,BN395,0)+INDEX($AT$13:$BB$162,BO395,0)+INDEX($BD$13:$BL$162,BP395,0))/100))),0)</f>
        <v/>
      </c>
      <c r="BT395">
        <f>IF(AND(382&lt;$U$9,$W$5),BQ395*1000000-MIN(BR395,999)*1000+BS395-382/100000,-1000000000-382)</f>
        <v/>
      </c>
    </row>
    <row r="396">
      <c r="BN396">
        <f>IF(383&lt;$U$9,INT(383/($U$7*$U$8))+1,1)</f>
        <v/>
      </c>
      <c r="BO396">
        <f>IF(383&lt;$U$9,MOD(INT(383/$U$8),$U$7)+1,1)</f>
        <v/>
      </c>
      <c r="BP396">
        <f>IF(383&lt;$U$9,MOD(383,$U$8)+1,1)</f>
        <v/>
      </c>
      <c r="BQ396">
        <f>IF(383&lt;$U$9,SUMPRODUCT(($D$10:$L$10&lt;&gt;"")*(($D$9:$L$9+INT(($S$12:$AA$12+INDEX($AJ$13:$AR$162,BN396,0)+INDEX($AT$13:$BB$162,BO396,0)+INDEX($BD$13:$BL$162,BP396,0))/100))&gt;=$D$10:$L$10)),0)</f>
        <v/>
      </c>
      <c r="BR396">
        <f>IF(383&lt;$U$9,SUMPRODUCT(($D$10:$L$10&lt;&gt;"")*(($D$10:$L$10-($D$9:$L$9+INT(($S$12:$AA$12+INDEX($AJ$13:$AR$162,BN396,0)+INDEX($AT$13:$BB$162,BO396,0)+INDEX($BD$13:$BL$162,BP396,0))/100)))&gt;0)*($D$10:$L$10-($D$9:$L$9+INT(($S$12:$AA$12+INDEX($AJ$13:$AR$162,BN396,0)+INDEX($AT$13:$BB$162,BO396,0)+INDEX($BD$13:$BL$162,BP396,0))/100)))),0)</f>
        <v/>
      </c>
      <c r="BS396">
        <f>IF(383&lt;$U$9,SUMPRODUCT(($D$9:$L$9+INT(($S$12:$AA$12+INDEX($AJ$13:$AR$162,BN396,0)+INDEX($AT$13:$BB$162,BO396,0)+INDEX($BD$13:$BL$162,BP396,0))/100))),0)</f>
        <v/>
      </c>
      <c r="BT396">
        <f>IF(AND(383&lt;$U$9,$W$5),BQ396*1000000-MIN(BR396,999)*1000+BS396-383/100000,-1000000000-383)</f>
        <v/>
      </c>
    </row>
    <row r="397">
      <c r="BN397">
        <f>IF(384&lt;$U$9,INT(384/($U$7*$U$8))+1,1)</f>
        <v/>
      </c>
      <c r="BO397">
        <f>IF(384&lt;$U$9,MOD(INT(384/$U$8),$U$7)+1,1)</f>
        <v/>
      </c>
      <c r="BP397">
        <f>IF(384&lt;$U$9,MOD(384,$U$8)+1,1)</f>
        <v/>
      </c>
      <c r="BQ397">
        <f>IF(384&lt;$U$9,SUMPRODUCT(($D$10:$L$10&lt;&gt;"")*(($D$9:$L$9+INT(($S$12:$AA$12+INDEX($AJ$13:$AR$162,BN397,0)+INDEX($AT$13:$BB$162,BO397,0)+INDEX($BD$13:$BL$162,BP397,0))/100))&gt;=$D$10:$L$10)),0)</f>
        <v/>
      </c>
      <c r="BR397">
        <f>IF(384&lt;$U$9,SUMPRODUCT(($D$10:$L$10&lt;&gt;"")*(($D$10:$L$10-($D$9:$L$9+INT(($S$12:$AA$12+INDEX($AJ$13:$AR$162,BN397,0)+INDEX($AT$13:$BB$162,BO397,0)+INDEX($BD$13:$BL$162,BP397,0))/100)))&gt;0)*($D$10:$L$10-($D$9:$L$9+INT(($S$12:$AA$12+INDEX($AJ$13:$AR$162,BN397,0)+INDEX($AT$13:$BB$162,BO397,0)+INDEX($BD$13:$BL$162,BP397,0))/100)))),0)</f>
        <v/>
      </c>
      <c r="BS397">
        <f>IF(384&lt;$U$9,SUMPRODUCT(($D$9:$L$9+INT(($S$12:$AA$12+INDEX($AJ$13:$AR$162,BN397,0)+INDEX($AT$13:$BB$162,BO397,0)+INDEX($BD$13:$BL$162,BP397,0))/100))),0)</f>
        <v/>
      </c>
      <c r="BT397">
        <f>IF(AND(384&lt;$U$9,$W$5),BQ397*1000000-MIN(BR397,999)*1000+BS397-384/100000,-1000000000-384)</f>
        <v/>
      </c>
    </row>
    <row r="398">
      <c r="BN398">
        <f>IF(385&lt;$U$9,INT(385/($U$7*$U$8))+1,1)</f>
        <v/>
      </c>
      <c r="BO398">
        <f>IF(385&lt;$U$9,MOD(INT(385/$U$8),$U$7)+1,1)</f>
        <v/>
      </c>
      <c r="BP398">
        <f>IF(385&lt;$U$9,MOD(385,$U$8)+1,1)</f>
        <v/>
      </c>
      <c r="BQ398">
        <f>IF(385&lt;$U$9,SUMPRODUCT(($D$10:$L$10&lt;&gt;"")*(($D$9:$L$9+INT(($S$12:$AA$12+INDEX($AJ$13:$AR$162,BN398,0)+INDEX($AT$13:$BB$162,BO398,0)+INDEX($BD$13:$BL$162,BP398,0))/100))&gt;=$D$10:$L$10)),0)</f>
        <v/>
      </c>
      <c r="BR398">
        <f>IF(385&lt;$U$9,SUMPRODUCT(($D$10:$L$10&lt;&gt;"")*(($D$10:$L$10-($D$9:$L$9+INT(($S$12:$AA$12+INDEX($AJ$13:$AR$162,BN398,0)+INDEX($AT$13:$BB$162,BO398,0)+INDEX($BD$13:$BL$162,BP398,0))/100)))&gt;0)*($D$10:$L$10-($D$9:$L$9+INT(($S$12:$AA$12+INDEX($AJ$13:$AR$162,BN398,0)+INDEX($AT$13:$BB$162,BO398,0)+INDEX($BD$13:$BL$162,BP398,0))/100)))),0)</f>
        <v/>
      </c>
      <c r="BS398">
        <f>IF(385&lt;$U$9,SUMPRODUCT(($D$9:$L$9+INT(($S$12:$AA$12+INDEX($AJ$13:$AR$162,BN398,0)+INDEX($AT$13:$BB$162,BO398,0)+INDEX($BD$13:$BL$162,BP398,0))/100))),0)</f>
        <v/>
      </c>
      <c r="BT398">
        <f>IF(AND(385&lt;$U$9,$W$5),BQ398*1000000-MIN(BR398,999)*1000+BS398-385/100000,-1000000000-385)</f>
        <v/>
      </c>
    </row>
    <row r="399">
      <c r="BN399">
        <f>IF(386&lt;$U$9,INT(386/($U$7*$U$8))+1,1)</f>
        <v/>
      </c>
      <c r="BO399">
        <f>IF(386&lt;$U$9,MOD(INT(386/$U$8),$U$7)+1,1)</f>
        <v/>
      </c>
      <c r="BP399">
        <f>IF(386&lt;$U$9,MOD(386,$U$8)+1,1)</f>
        <v/>
      </c>
      <c r="BQ399">
        <f>IF(386&lt;$U$9,SUMPRODUCT(($D$10:$L$10&lt;&gt;"")*(($D$9:$L$9+INT(($S$12:$AA$12+INDEX($AJ$13:$AR$162,BN399,0)+INDEX($AT$13:$BB$162,BO399,0)+INDEX($BD$13:$BL$162,BP399,0))/100))&gt;=$D$10:$L$10)),0)</f>
        <v/>
      </c>
      <c r="BR399">
        <f>IF(386&lt;$U$9,SUMPRODUCT(($D$10:$L$10&lt;&gt;"")*(($D$10:$L$10-($D$9:$L$9+INT(($S$12:$AA$12+INDEX($AJ$13:$AR$162,BN399,0)+INDEX($AT$13:$BB$162,BO399,0)+INDEX($BD$13:$BL$162,BP399,0))/100)))&gt;0)*($D$10:$L$10-($D$9:$L$9+INT(($S$12:$AA$12+INDEX($AJ$13:$AR$162,BN399,0)+INDEX($AT$13:$BB$162,BO399,0)+INDEX($BD$13:$BL$162,BP399,0))/100)))),0)</f>
        <v/>
      </c>
      <c r="BS399">
        <f>IF(386&lt;$U$9,SUMPRODUCT(($D$9:$L$9+INT(($S$12:$AA$12+INDEX($AJ$13:$AR$162,BN399,0)+INDEX($AT$13:$BB$162,BO399,0)+INDEX($BD$13:$BL$162,BP399,0))/100))),0)</f>
        <v/>
      </c>
      <c r="BT399">
        <f>IF(AND(386&lt;$U$9,$W$5),BQ399*1000000-MIN(BR399,999)*1000+BS399-386/100000,-1000000000-386)</f>
        <v/>
      </c>
    </row>
    <row r="400">
      <c r="BN400">
        <f>IF(387&lt;$U$9,INT(387/($U$7*$U$8))+1,1)</f>
        <v/>
      </c>
      <c r="BO400">
        <f>IF(387&lt;$U$9,MOD(INT(387/$U$8),$U$7)+1,1)</f>
        <v/>
      </c>
      <c r="BP400">
        <f>IF(387&lt;$U$9,MOD(387,$U$8)+1,1)</f>
        <v/>
      </c>
      <c r="BQ400">
        <f>IF(387&lt;$U$9,SUMPRODUCT(($D$10:$L$10&lt;&gt;"")*(($D$9:$L$9+INT(($S$12:$AA$12+INDEX($AJ$13:$AR$162,BN400,0)+INDEX($AT$13:$BB$162,BO400,0)+INDEX($BD$13:$BL$162,BP400,0))/100))&gt;=$D$10:$L$10)),0)</f>
        <v/>
      </c>
      <c r="BR400">
        <f>IF(387&lt;$U$9,SUMPRODUCT(($D$10:$L$10&lt;&gt;"")*(($D$10:$L$10-($D$9:$L$9+INT(($S$12:$AA$12+INDEX($AJ$13:$AR$162,BN400,0)+INDEX($AT$13:$BB$162,BO400,0)+INDEX($BD$13:$BL$162,BP400,0))/100)))&gt;0)*($D$10:$L$10-($D$9:$L$9+INT(($S$12:$AA$12+INDEX($AJ$13:$AR$162,BN400,0)+INDEX($AT$13:$BB$162,BO400,0)+INDEX($BD$13:$BL$162,BP400,0))/100)))),0)</f>
        <v/>
      </c>
      <c r="BS400">
        <f>IF(387&lt;$U$9,SUMPRODUCT(($D$9:$L$9+INT(($S$12:$AA$12+INDEX($AJ$13:$AR$162,BN400,0)+INDEX($AT$13:$BB$162,BO400,0)+INDEX($BD$13:$BL$162,BP400,0))/100))),0)</f>
        <v/>
      </c>
      <c r="BT400">
        <f>IF(AND(387&lt;$U$9,$W$5),BQ400*1000000-MIN(BR400,999)*1000+BS400-387/100000,-1000000000-387)</f>
        <v/>
      </c>
    </row>
    <row r="401">
      <c r="BN401">
        <f>IF(388&lt;$U$9,INT(388/($U$7*$U$8))+1,1)</f>
        <v/>
      </c>
      <c r="BO401">
        <f>IF(388&lt;$U$9,MOD(INT(388/$U$8),$U$7)+1,1)</f>
        <v/>
      </c>
      <c r="BP401">
        <f>IF(388&lt;$U$9,MOD(388,$U$8)+1,1)</f>
        <v/>
      </c>
      <c r="BQ401">
        <f>IF(388&lt;$U$9,SUMPRODUCT(($D$10:$L$10&lt;&gt;"")*(($D$9:$L$9+INT(($S$12:$AA$12+INDEX($AJ$13:$AR$162,BN401,0)+INDEX($AT$13:$BB$162,BO401,0)+INDEX($BD$13:$BL$162,BP401,0))/100))&gt;=$D$10:$L$10)),0)</f>
        <v/>
      </c>
      <c r="BR401">
        <f>IF(388&lt;$U$9,SUMPRODUCT(($D$10:$L$10&lt;&gt;"")*(($D$10:$L$10-($D$9:$L$9+INT(($S$12:$AA$12+INDEX($AJ$13:$AR$162,BN401,0)+INDEX($AT$13:$BB$162,BO401,0)+INDEX($BD$13:$BL$162,BP401,0))/100)))&gt;0)*($D$10:$L$10-($D$9:$L$9+INT(($S$12:$AA$12+INDEX($AJ$13:$AR$162,BN401,0)+INDEX($AT$13:$BB$162,BO401,0)+INDEX($BD$13:$BL$162,BP401,0))/100)))),0)</f>
        <v/>
      </c>
      <c r="BS401">
        <f>IF(388&lt;$U$9,SUMPRODUCT(($D$9:$L$9+INT(($S$12:$AA$12+INDEX($AJ$13:$AR$162,BN401,0)+INDEX($AT$13:$BB$162,BO401,0)+INDEX($BD$13:$BL$162,BP401,0))/100))),0)</f>
        <v/>
      </c>
      <c r="BT401">
        <f>IF(AND(388&lt;$U$9,$W$5),BQ401*1000000-MIN(BR401,999)*1000+BS401-388/100000,-1000000000-388)</f>
        <v/>
      </c>
    </row>
    <row r="402">
      <c r="BN402">
        <f>IF(389&lt;$U$9,INT(389/($U$7*$U$8))+1,1)</f>
        <v/>
      </c>
      <c r="BO402">
        <f>IF(389&lt;$U$9,MOD(INT(389/$U$8),$U$7)+1,1)</f>
        <v/>
      </c>
      <c r="BP402">
        <f>IF(389&lt;$U$9,MOD(389,$U$8)+1,1)</f>
        <v/>
      </c>
      <c r="BQ402">
        <f>IF(389&lt;$U$9,SUMPRODUCT(($D$10:$L$10&lt;&gt;"")*(($D$9:$L$9+INT(($S$12:$AA$12+INDEX($AJ$13:$AR$162,BN402,0)+INDEX($AT$13:$BB$162,BO402,0)+INDEX($BD$13:$BL$162,BP402,0))/100))&gt;=$D$10:$L$10)),0)</f>
        <v/>
      </c>
      <c r="BR402">
        <f>IF(389&lt;$U$9,SUMPRODUCT(($D$10:$L$10&lt;&gt;"")*(($D$10:$L$10-($D$9:$L$9+INT(($S$12:$AA$12+INDEX($AJ$13:$AR$162,BN402,0)+INDEX($AT$13:$BB$162,BO402,0)+INDEX($BD$13:$BL$162,BP402,0))/100)))&gt;0)*($D$10:$L$10-($D$9:$L$9+INT(($S$12:$AA$12+INDEX($AJ$13:$AR$162,BN402,0)+INDEX($AT$13:$BB$162,BO402,0)+INDEX($BD$13:$BL$162,BP402,0))/100)))),0)</f>
        <v/>
      </c>
      <c r="BS402">
        <f>IF(389&lt;$U$9,SUMPRODUCT(($D$9:$L$9+INT(($S$12:$AA$12+INDEX($AJ$13:$AR$162,BN402,0)+INDEX($AT$13:$BB$162,BO402,0)+INDEX($BD$13:$BL$162,BP402,0))/100))),0)</f>
        <v/>
      </c>
      <c r="BT402">
        <f>IF(AND(389&lt;$U$9,$W$5),BQ402*1000000-MIN(BR402,999)*1000+BS402-389/100000,-1000000000-389)</f>
        <v/>
      </c>
    </row>
    <row r="403">
      <c r="BN403">
        <f>IF(390&lt;$U$9,INT(390/($U$7*$U$8))+1,1)</f>
        <v/>
      </c>
      <c r="BO403">
        <f>IF(390&lt;$U$9,MOD(INT(390/$U$8),$U$7)+1,1)</f>
        <v/>
      </c>
      <c r="BP403">
        <f>IF(390&lt;$U$9,MOD(390,$U$8)+1,1)</f>
        <v/>
      </c>
      <c r="BQ403">
        <f>IF(390&lt;$U$9,SUMPRODUCT(($D$10:$L$10&lt;&gt;"")*(($D$9:$L$9+INT(($S$12:$AA$12+INDEX($AJ$13:$AR$162,BN403,0)+INDEX($AT$13:$BB$162,BO403,0)+INDEX($BD$13:$BL$162,BP403,0))/100))&gt;=$D$10:$L$10)),0)</f>
        <v/>
      </c>
      <c r="BR403">
        <f>IF(390&lt;$U$9,SUMPRODUCT(($D$10:$L$10&lt;&gt;"")*(($D$10:$L$10-($D$9:$L$9+INT(($S$12:$AA$12+INDEX($AJ$13:$AR$162,BN403,0)+INDEX($AT$13:$BB$162,BO403,0)+INDEX($BD$13:$BL$162,BP403,0))/100)))&gt;0)*($D$10:$L$10-($D$9:$L$9+INT(($S$12:$AA$12+INDEX($AJ$13:$AR$162,BN403,0)+INDEX($AT$13:$BB$162,BO403,0)+INDEX($BD$13:$BL$162,BP403,0))/100)))),0)</f>
        <v/>
      </c>
      <c r="BS403">
        <f>IF(390&lt;$U$9,SUMPRODUCT(($D$9:$L$9+INT(($S$12:$AA$12+INDEX($AJ$13:$AR$162,BN403,0)+INDEX($AT$13:$BB$162,BO403,0)+INDEX($BD$13:$BL$162,BP403,0))/100))),0)</f>
        <v/>
      </c>
      <c r="BT403">
        <f>IF(AND(390&lt;$U$9,$W$5),BQ403*1000000-MIN(BR403,999)*1000+BS403-390/100000,-1000000000-390)</f>
        <v/>
      </c>
    </row>
    <row r="404">
      <c r="BN404">
        <f>IF(391&lt;$U$9,INT(391/($U$7*$U$8))+1,1)</f>
        <v/>
      </c>
      <c r="BO404">
        <f>IF(391&lt;$U$9,MOD(INT(391/$U$8),$U$7)+1,1)</f>
        <v/>
      </c>
      <c r="BP404">
        <f>IF(391&lt;$U$9,MOD(391,$U$8)+1,1)</f>
        <v/>
      </c>
      <c r="BQ404">
        <f>IF(391&lt;$U$9,SUMPRODUCT(($D$10:$L$10&lt;&gt;"")*(($D$9:$L$9+INT(($S$12:$AA$12+INDEX($AJ$13:$AR$162,BN404,0)+INDEX($AT$13:$BB$162,BO404,0)+INDEX($BD$13:$BL$162,BP404,0))/100))&gt;=$D$10:$L$10)),0)</f>
        <v/>
      </c>
      <c r="BR404">
        <f>IF(391&lt;$U$9,SUMPRODUCT(($D$10:$L$10&lt;&gt;"")*(($D$10:$L$10-($D$9:$L$9+INT(($S$12:$AA$12+INDEX($AJ$13:$AR$162,BN404,0)+INDEX($AT$13:$BB$162,BO404,0)+INDEX($BD$13:$BL$162,BP404,0))/100)))&gt;0)*($D$10:$L$10-($D$9:$L$9+INT(($S$12:$AA$12+INDEX($AJ$13:$AR$162,BN404,0)+INDEX($AT$13:$BB$162,BO404,0)+INDEX($BD$13:$BL$162,BP404,0))/100)))),0)</f>
        <v/>
      </c>
      <c r="BS404">
        <f>IF(391&lt;$U$9,SUMPRODUCT(($D$9:$L$9+INT(($S$12:$AA$12+INDEX($AJ$13:$AR$162,BN404,0)+INDEX($AT$13:$BB$162,BO404,0)+INDEX($BD$13:$BL$162,BP404,0))/100))),0)</f>
        <v/>
      </c>
      <c r="BT404">
        <f>IF(AND(391&lt;$U$9,$W$5),BQ404*1000000-MIN(BR404,999)*1000+BS404-391/100000,-1000000000-391)</f>
        <v/>
      </c>
    </row>
    <row r="405">
      <c r="BN405">
        <f>IF(392&lt;$U$9,INT(392/($U$7*$U$8))+1,1)</f>
        <v/>
      </c>
      <c r="BO405">
        <f>IF(392&lt;$U$9,MOD(INT(392/$U$8),$U$7)+1,1)</f>
        <v/>
      </c>
      <c r="BP405">
        <f>IF(392&lt;$U$9,MOD(392,$U$8)+1,1)</f>
        <v/>
      </c>
      <c r="BQ405">
        <f>IF(392&lt;$U$9,SUMPRODUCT(($D$10:$L$10&lt;&gt;"")*(($D$9:$L$9+INT(($S$12:$AA$12+INDEX($AJ$13:$AR$162,BN405,0)+INDEX($AT$13:$BB$162,BO405,0)+INDEX($BD$13:$BL$162,BP405,0))/100))&gt;=$D$10:$L$10)),0)</f>
        <v/>
      </c>
      <c r="BR405">
        <f>IF(392&lt;$U$9,SUMPRODUCT(($D$10:$L$10&lt;&gt;"")*(($D$10:$L$10-($D$9:$L$9+INT(($S$12:$AA$12+INDEX($AJ$13:$AR$162,BN405,0)+INDEX($AT$13:$BB$162,BO405,0)+INDEX($BD$13:$BL$162,BP405,0))/100)))&gt;0)*($D$10:$L$10-($D$9:$L$9+INT(($S$12:$AA$12+INDEX($AJ$13:$AR$162,BN405,0)+INDEX($AT$13:$BB$162,BO405,0)+INDEX($BD$13:$BL$162,BP405,0))/100)))),0)</f>
        <v/>
      </c>
      <c r="BS405">
        <f>IF(392&lt;$U$9,SUMPRODUCT(($D$9:$L$9+INT(($S$12:$AA$12+INDEX($AJ$13:$AR$162,BN405,0)+INDEX($AT$13:$BB$162,BO405,0)+INDEX($BD$13:$BL$162,BP405,0))/100))),0)</f>
        <v/>
      </c>
      <c r="BT405">
        <f>IF(AND(392&lt;$U$9,$W$5),BQ405*1000000-MIN(BR405,999)*1000+BS405-392/100000,-1000000000-392)</f>
        <v/>
      </c>
    </row>
    <row r="406">
      <c r="BN406">
        <f>IF(393&lt;$U$9,INT(393/($U$7*$U$8))+1,1)</f>
        <v/>
      </c>
      <c r="BO406">
        <f>IF(393&lt;$U$9,MOD(INT(393/$U$8),$U$7)+1,1)</f>
        <v/>
      </c>
      <c r="BP406">
        <f>IF(393&lt;$U$9,MOD(393,$U$8)+1,1)</f>
        <v/>
      </c>
      <c r="BQ406">
        <f>IF(393&lt;$U$9,SUMPRODUCT(($D$10:$L$10&lt;&gt;"")*(($D$9:$L$9+INT(($S$12:$AA$12+INDEX($AJ$13:$AR$162,BN406,0)+INDEX($AT$13:$BB$162,BO406,0)+INDEX($BD$13:$BL$162,BP406,0))/100))&gt;=$D$10:$L$10)),0)</f>
        <v/>
      </c>
      <c r="BR406">
        <f>IF(393&lt;$U$9,SUMPRODUCT(($D$10:$L$10&lt;&gt;"")*(($D$10:$L$10-($D$9:$L$9+INT(($S$12:$AA$12+INDEX($AJ$13:$AR$162,BN406,0)+INDEX($AT$13:$BB$162,BO406,0)+INDEX($BD$13:$BL$162,BP406,0))/100)))&gt;0)*($D$10:$L$10-($D$9:$L$9+INT(($S$12:$AA$12+INDEX($AJ$13:$AR$162,BN406,0)+INDEX($AT$13:$BB$162,BO406,0)+INDEX($BD$13:$BL$162,BP406,0))/100)))),0)</f>
        <v/>
      </c>
      <c r="BS406">
        <f>IF(393&lt;$U$9,SUMPRODUCT(($D$9:$L$9+INT(($S$12:$AA$12+INDEX($AJ$13:$AR$162,BN406,0)+INDEX($AT$13:$BB$162,BO406,0)+INDEX($BD$13:$BL$162,BP406,0))/100))),0)</f>
        <v/>
      </c>
      <c r="BT406">
        <f>IF(AND(393&lt;$U$9,$W$5),BQ406*1000000-MIN(BR406,999)*1000+BS406-393/100000,-1000000000-393)</f>
        <v/>
      </c>
    </row>
    <row r="407">
      <c r="BN407">
        <f>IF(394&lt;$U$9,INT(394/($U$7*$U$8))+1,1)</f>
        <v/>
      </c>
      <c r="BO407">
        <f>IF(394&lt;$U$9,MOD(INT(394/$U$8),$U$7)+1,1)</f>
        <v/>
      </c>
      <c r="BP407">
        <f>IF(394&lt;$U$9,MOD(394,$U$8)+1,1)</f>
        <v/>
      </c>
      <c r="BQ407">
        <f>IF(394&lt;$U$9,SUMPRODUCT(($D$10:$L$10&lt;&gt;"")*(($D$9:$L$9+INT(($S$12:$AA$12+INDEX($AJ$13:$AR$162,BN407,0)+INDEX($AT$13:$BB$162,BO407,0)+INDEX($BD$13:$BL$162,BP407,0))/100))&gt;=$D$10:$L$10)),0)</f>
        <v/>
      </c>
      <c r="BR407">
        <f>IF(394&lt;$U$9,SUMPRODUCT(($D$10:$L$10&lt;&gt;"")*(($D$10:$L$10-($D$9:$L$9+INT(($S$12:$AA$12+INDEX($AJ$13:$AR$162,BN407,0)+INDEX($AT$13:$BB$162,BO407,0)+INDEX($BD$13:$BL$162,BP407,0))/100)))&gt;0)*($D$10:$L$10-($D$9:$L$9+INT(($S$12:$AA$12+INDEX($AJ$13:$AR$162,BN407,0)+INDEX($AT$13:$BB$162,BO407,0)+INDEX($BD$13:$BL$162,BP407,0))/100)))),0)</f>
        <v/>
      </c>
      <c r="BS407">
        <f>IF(394&lt;$U$9,SUMPRODUCT(($D$9:$L$9+INT(($S$12:$AA$12+INDEX($AJ$13:$AR$162,BN407,0)+INDEX($AT$13:$BB$162,BO407,0)+INDEX($BD$13:$BL$162,BP407,0))/100))),0)</f>
        <v/>
      </c>
      <c r="BT407">
        <f>IF(AND(394&lt;$U$9,$W$5),BQ407*1000000-MIN(BR407,999)*1000+BS407-394/100000,-1000000000-394)</f>
        <v/>
      </c>
    </row>
    <row r="408">
      <c r="BN408">
        <f>IF(395&lt;$U$9,INT(395/($U$7*$U$8))+1,1)</f>
        <v/>
      </c>
      <c r="BO408">
        <f>IF(395&lt;$U$9,MOD(INT(395/$U$8),$U$7)+1,1)</f>
        <v/>
      </c>
      <c r="BP408">
        <f>IF(395&lt;$U$9,MOD(395,$U$8)+1,1)</f>
        <v/>
      </c>
      <c r="BQ408">
        <f>IF(395&lt;$U$9,SUMPRODUCT(($D$10:$L$10&lt;&gt;"")*(($D$9:$L$9+INT(($S$12:$AA$12+INDEX($AJ$13:$AR$162,BN408,0)+INDEX($AT$13:$BB$162,BO408,0)+INDEX($BD$13:$BL$162,BP408,0))/100))&gt;=$D$10:$L$10)),0)</f>
        <v/>
      </c>
      <c r="BR408">
        <f>IF(395&lt;$U$9,SUMPRODUCT(($D$10:$L$10&lt;&gt;"")*(($D$10:$L$10-($D$9:$L$9+INT(($S$12:$AA$12+INDEX($AJ$13:$AR$162,BN408,0)+INDEX($AT$13:$BB$162,BO408,0)+INDEX($BD$13:$BL$162,BP408,0))/100)))&gt;0)*($D$10:$L$10-($D$9:$L$9+INT(($S$12:$AA$12+INDEX($AJ$13:$AR$162,BN408,0)+INDEX($AT$13:$BB$162,BO408,0)+INDEX($BD$13:$BL$162,BP408,0))/100)))),0)</f>
        <v/>
      </c>
      <c r="BS408">
        <f>IF(395&lt;$U$9,SUMPRODUCT(($D$9:$L$9+INT(($S$12:$AA$12+INDEX($AJ$13:$AR$162,BN408,0)+INDEX($AT$13:$BB$162,BO408,0)+INDEX($BD$13:$BL$162,BP408,0))/100))),0)</f>
        <v/>
      </c>
      <c r="BT408">
        <f>IF(AND(395&lt;$U$9,$W$5),BQ408*1000000-MIN(BR408,999)*1000+BS408-395/100000,-1000000000-395)</f>
        <v/>
      </c>
    </row>
    <row r="409">
      <c r="BN409">
        <f>IF(396&lt;$U$9,INT(396/($U$7*$U$8))+1,1)</f>
        <v/>
      </c>
      <c r="BO409">
        <f>IF(396&lt;$U$9,MOD(INT(396/$U$8),$U$7)+1,1)</f>
        <v/>
      </c>
      <c r="BP409">
        <f>IF(396&lt;$U$9,MOD(396,$U$8)+1,1)</f>
        <v/>
      </c>
      <c r="BQ409">
        <f>IF(396&lt;$U$9,SUMPRODUCT(($D$10:$L$10&lt;&gt;"")*(($D$9:$L$9+INT(($S$12:$AA$12+INDEX($AJ$13:$AR$162,BN409,0)+INDEX($AT$13:$BB$162,BO409,0)+INDEX($BD$13:$BL$162,BP409,0))/100))&gt;=$D$10:$L$10)),0)</f>
        <v/>
      </c>
      <c r="BR409">
        <f>IF(396&lt;$U$9,SUMPRODUCT(($D$10:$L$10&lt;&gt;"")*(($D$10:$L$10-($D$9:$L$9+INT(($S$12:$AA$12+INDEX($AJ$13:$AR$162,BN409,0)+INDEX($AT$13:$BB$162,BO409,0)+INDEX($BD$13:$BL$162,BP409,0))/100)))&gt;0)*($D$10:$L$10-($D$9:$L$9+INT(($S$12:$AA$12+INDEX($AJ$13:$AR$162,BN409,0)+INDEX($AT$13:$BB$162,BO409,0)+INDEX($BD$13:$BL$162,BP409,0))/100)))),0)</f>
        <v/>
      </c>
      <c r="BS409">
        <f>IF(396&lt;$U$9,SUMPRODUCT(($D$9:$L$9+INT(($S$12:$AA$12+INDEX($AJ$13:$AR$162,BN409,0)+INDEX($AT$13:$BB$162,BO409,0)+INDEX($BD$13:$BL$162,BP409,0))/100))),0)</f>
        <v/>
      </c>
      <c r="BT409">
        <f>IF(AND(396&lt;$U$9,$W$5),BQ409*1000000-MIN(BR409,999)*1000+BS409-396/100000,-1000000000-396)</f>
        <v/>
      </c>
    </row>
    <row r="410">
      <c r="BN410">
        <f>IF(397&lt;$U$9,INT(397/($U$7*$U$8))+1,1)</f>
        <v/>
      </c>
      <c r="BO410">
        <f>IF(397&lt;$U$9,MOD(INT(397/$U$8),$U$7)+1,1)</f>
        <v/>
      </c>
      <c r="BP410">
        <f>IF(397&lt;$U$9,MOD(397,$U$8)+1,1)</f>
        <v/>
      </c>
      <c r="BQ410">
        <f>IF(397&lt;$U$9,SUMPRODUCT(($D$10:$L$10&lt;&gt;"")*(($D$9:$L$9+INT(($S$12:$AA$12+INDEX($AJ$13:$AR$162,BN410,0)+INDEX($AT$13:$BB$162,BO410,0)+INDEX($BD$13:$BL$162,BP410,0))/100))&gt;=$D$10:$L$10)),0)</f>
        <v/>
      </c>
      <c r="BR410">
        <f>IF(397&lt;$U$9,SUMPRODUCT(($D$10:$L$10&lt;&gt;"")*(($D$10:$L$10-($D$9:$L$9+INT(($S$12:$AA$12+INDEX($AJ$13:$AR$162,BN410,0)+INDEX($AT$13:$BB$162,BO410,0)+INDEX($BD$13:$BL$162,BP410,0))/100)))&gt;0)*($D$10:$L$10-($D$9:$L$9+INT(($S$12:$AA$12+INDEX($AJ$13:$AR$162,BN410,0)+INDEX($AT$13:$BB$162,BO410,0)+INDEX($BD$13:$BL$162,BP410,0))/100)))),0)</f>
        <v/>
      </c>
      <c r="BS410">
        <f>IF(397&lt;$U$9,SUMPRODUCT(($D$9:$L$9+INT(($S$12:$AA$12+INDEX($AJ$13:$AR$162,BN410,0)+INDEX($AT$13:$BB$162,BO410,0)+INDEX($BD$13:$BL$162,BP410,0))/100))),0)</f>
        <v/>
      </c>
      <c r="BT410">
        <f>IF(AND(397&lt;$U$9,$W$5),BQ410*1000000-MIN(BR410,999)*1000+BS410-397/100000,-1000000000-397)</f>
        <v/>
      </c>
    </row>
    <row r="411">
      <c r="BN411">
        <f>IF(398&lt;$U$9,INT(398/($U$7*$U$8))+1,1)</f>
        <v/>
      </c>
      <c r="BO411">
        <f>IF(398&lt;$U$9,MOD(INT(398/$U$8),$U$7)+1,1)</f>
        <v/>
      </c>
      <c r="BP411">
        <f>IF(398&lt;$U$9,MOD(398,$U$8)+1,1)</f>
        <v/>
      </c>
      <c r="BQ411">
        <f>IF(398&lt;$U$9,SUMPRODUCT(($D$10:$L$10&lt;&gt;"")*(($D$9:$L$9+INT(($S$12:$AA$12+INDEX($AJ$13:$AR$162,BN411,0)+INDEX($AT$13:$BB$162,BO411,0)+INDEX($BD$13:$BL$162,BP411,0))/100))&gt;=$D$10:$L$10)),0)</f>
        <v/>
      </c>
      <c r="BR411">
        <f>IF(398&lt;$U$9,SUMPRODUCT(($D$10:$L$10&lt;&gt;"")*(($D$10:$L$10-($D$9:$L$9+INT(($S$12:$AA$12+INDEX($AJ$13:$AR$162,BN411,0)+INDEX($AT$13:$BB$162,BO411,0)+INDEX($BD$13:$BL$162,BP411,0))/100)))&gt;0)*($D$10:$L$10-($D$9:$L$9+INT(($S$12:$AA$12+INDEX($AJ$13:$AR$162,BN411,0)+INDEX($AT$13:$BB$162,BO411,0)+INDEX($BD$13:$BL$162,BP411,0))/100)))),0)</f>
        <v/>
      </c>
      <c r="BS411">
        <f>IF(398&lt;$U$9,SUMPRODUCT(($D$9:$L$9+INT(($S$12:$AA$12+INDEX($AJ$13:$AR$162,BN411,0)+INDEX($AT$13:$BB$162,BO411,0)+INDEX($BD$13:$BL$162,BP411,0))/100))),0)</f>
        <v/>
      </c>
      <c r="BT411">
        <f>IF(AND(398&lt;$U$9,$W$5),BQ411*1000000-MIN(BR411,999)*1000+BS411-398/100000,-1000000000-398)</f>
        <v/>
      </c>
    </row>
    <row r="412">
      <c r="BN412">
        <f>IF(399&lt;$U$9,INT(399/($U$7*$U$8))+1,1)</f>
        <v/>
      </c>
      <c r="BO412">
        <f>IF(399&lt;$U$9,MOD(INT(399/$U$8),$U$7)+1,1)</f>
        <v/>
      </c>
      <c r="BP412">
        <f>IF(399&lt;$U$9,MOD(399,$U$8)+1,1)</f>
        <v/>
      </c>
      <c r="BQ412">
        <f>IF(399&lt;$U$9,SUMPRODUCT(($D$10:$L$10&lt;&gt;"")*(($D$9:$L$9+INT(($S$12:$AA$12+INDEX($AJ$13:$AR$162,BN412,0)+INDEX($AT$13:$BB$162,BO412,0)+INDEX($BD$13:$BL$162,BP412,0))/100))&gt;=$D$10:$L$10)),0)</f>
        <v/>
      </c>
      <c r="BR412">
        <f>IF(399&lt;$U$9,SUMPRODUCT(($D$10:$L$10&lt;&gt;"")*(($D$10:$L$10-($D$9:$L$9+INT(($S$12:$AA$12+INDEX($AJ$13:$AR$162,BN412,0)+INDEX($AT$13:$BB$162,BO412,0)+INDEX($BD$13:$BL$162,BP412,0))/100)))&gt;0)*($D$10:$L$10-($D$9:$L$9+INT(($S$12:$AA$12+INDEX($AJ$13:$AR$162,BN412,0)+INDEX($AT$13:$BB$162,BO412,0)+INDEX($BD$13:$BL$162,BP412,0))/100)))),0)</f>
        <v/>
      </c>
      <c r="BS412">
        <f>IF(399&lt;$U$9,SUMPRODUCT(($D$9:$L$9+INT(($S$12:$AA$12+INDEX($AJ$13:$AR$162,BN412,0)+INDEX($AT$13:$BB$162,BO412,0)+INDEX($BD$13:$BL$162,BP412,0))/100))),0)</f>
        <v/>
      </c>
      <c r="BT412">
        <f>IF(AND(399&lt;$U$9,$W$5),BQ412*1000000-MIN(BR412,999)*1000+BS412-399/100000,-1000000000-399)</f>
        <v/>
      </c>
    </row>
    <row r="413">
      <c r="BN413">
        <f>IF(400&lt;$U$9,INT(400/($U$7*$U$8))+1,1)</f>
        <v/>
      </c>
      <c r="BO413">
        <f>IF(400&lt;$U$9,MOD(INT(400/$U$8),$U$7)+1,1)</f>
        <v/>
      </c>
      <c r="BP413">
        <f>IF(400&lt;$U$9,MOD(400,$U$8)+1,1)</f>
        <v/>
      </c>
      <c r="BQ413">
        <f>IF(400&lt;$U$9,SUMPRODUCT(($D$10:$L$10&lt;&gt;"")*(($D$9:$L$9+INT(($S$12:$AA$12+INDEX($AJ$13:$AR$162,BN413,0)+INDEX($AT$13:$BB$162,BO413,0)+INDEX($BD$13:$BL$162,BP413,0))/100))&gt;=$D$10:$L$10)),0)</f>
        <v/>
      </c>
      <c r="BR413">
        <f>IF(400&lt;$U$9,SUMPRODUCT(($D$10:$L$10&lt;&gt;"")*(($D$10:$L$10-($D$9:$L$9+INT(($S$12:$AA$12+INDEX($AJ$13:$AR$162,BN413,0)+INDEX($AT$13:$BB$162,BO413,0)+INDEX($BD$13:$BL$162,BP413,0))/100)))&gt;0)*($D$10:$L$10-($D$9:$L$9+INT(($S$12:$AA$12+INDEX($AJ$13:$AR$162,BN413,0)+INDEX($AT$13:$BB$162,BO413,0)+INDEX($BD$13:$BL$162,BP413,0))/100)))),0)</f>
        <v/>
      </c>
      <c r="BS413">
        <f>IF(400&lt;$U$9,SUMPRODUCT(($D$9:$L$9+INT(($S$12:$AA$12+INDEX($AJ$13:$AR$162,BN413,0)+INDEX($AT$13:$BB$162,BO413,0)+INDEX($BD$13:$BL$162,BP413,0))/100))),0)</f>
        <v/>
      </c>
      <c r="BT413">
        <f>IF(AND(400&lt;$U$9,$W$5),BQ413*1000000-MIN(BR413,999)*1000+BS413-400/100000,-1000000000-400)</f>
        <v/>
      </c>
    </row>
    <row r="414">
      <c r="BN414">
        <f>IF(401&lt;$U$9,INT(401/($U$7*$U$8))+1,1)</f>
        <v/>
      </c>
      <c r="BO414">
        <f>IF(401&lt;$U$9,MOD(INT(401/$U$8),$U$7)+1,1)</f>
        <v/>
      </c>
      <c r="BP414">
        <f>IF(401&lt;$U$9,MOD(401,$U$8)+1,1)</f>
        <v/>
      </c>
      <c r="BQ414">
        <f>IF(401&lt;$U$9,SUMPRODUCT(($D$10:$L$10&lt;&gt;"")*(($D$9:$L$9+INT(($S$12:$AA$12+INDEX($AJ$13:$AR$162,BN414,0)+INDEX($AT$13:$BB$162,BO414,0)+INDEX($BD$13:$BL$162,BP414,0))/100))&gt;=$D$10:$L$10)),0)</f>
        <v/>
      </c>
      <c r="BR414">
        <f>IF(401&lt;$U$9,SUMPRODUCT(($D$10:$L$10&lt;&gt;"")*(($D$10:$L$10-($D$9:$L$9+INT(($S$12:$AA$12+INDEX($AJ$13:$AR$162,BN414,0)+INDEX($AT$13:$BB$162,BO414,0)+INDEX($BD$13:$BL$162,BP414,0))/100)))&gt;0)*($D$10:$L$10-($D$9:$L$9+INT(($S$12:$AA$12+INDEX($AJ$13:$AR$162,BN414,0)+INDEX($AT$13:$BB$162,BO414,0)+INDEX($BD$13:$BL$162,BP414,0))/100)))),0)</f>
        <v/>
      </c>
      <c r="BS414">
        <f>IF(401&lt;$U$9,SUMPRODUCT(($D$9:$L$9+INT(($S$12:$AA$12+INDEX($AJ$13:$AR$162,BN414,0)+INDEX($AT$13:$BB$162,BO414,0)+INDEX($BD$13:$BL$162,BP414,0))/100))),0)</f>
        <v/>
      </c>
      <c r="BT414">
        <f>IF(AND(401&lt;$U$9,$W$5),BQ414*1000000-MIN(BR414,999)*1000+BS414-401/100000,-1000000000-401)</f>
        <v/>
      </c>
    </row>
    <row r="415">
      <c r="BN415">
        <f>IF(402&lt;$U$9,INT(402/($U$7*$U$8))+1,1)</f>
        <v/>
      </c>
      <c r="BO415">
        <f>IF(402&lt;$U$9,MOD(INT(402/$U$8),$U$7)+1,1)</f>
        <v/>
      </c>
      <c r="BP415">
        <f>IF(402&lt;$U$9,MOD(402,$U$8)+1,1)</f>
        <v/>
      </c>
      <c r="BQ415">
        <f>IF(402&lt;$U$9,SUMPRODUCT(($D$10:$L$10&lt;&gt;"")*(($D$9:$L$9+INT(($S$12:$AA$12+INDEX($AJ$13:$AR$162,BN415,0)+INDEX($AT$13:$BB$162,BO415,0)+INDEX($BD$13:$BL$162,BP415,0))/100))&gt;=$D$10:$L$10)),0)</f>
        <v/>
      </c>
      <c r="BR415">
        <f>IF(402&lt;$U$9,SUMPRODUCT(($D$10:$L$10&lt;&gt;"")*(($D$10:$L$10-($D$9:$L$9+INT(($S$12:$AA$12+INDEX($AJ$13:$AR$162,BN415,0)+INDEX($AT$13:$BB$162,BO415,0)+INDEX($BD$13:$BL$162,BP415,0))/100)))&gt;0)*($D$10:$L$10-($D$9:$L$9+INT(($S$12:$AA$12+INDEX($AJ$13:$AR$162,BN415,0)+INDEX($AT$13:$BB$162,BO415,0)+INDEX($BD$13:$BL$162,BP415,0))/100)))),0)</f>
        <v/>
      </c>
      <c r="BS415">
        <f>IF(402&lt;$U$9,SUMPRODUCT(($D$9:$L$9+INT(($S$12:$AA$12+INDEX($AJ$13:$AR$162,BN415,0)+INDEX($AT$13:$BB$162,BO415,0)+INDEX($BD$13:$BL$162,BP415,0))/100))),0)</f>
        <v/>
      </c>
      <c r="BT415">
        <f>IF(AND(402&lt;$U$9,$W$5),BQ415*1000000-MIN(BR415,999)*1000+BS415-402/100000,-1000000000-402)</f>
        <v/>
      </c>
    </row>
    <row r="416">
      <c r="BN416">
        <f>IF(403&lt;$U$9,INT(403/($U$7*$U$8))+1,1)</f>
        <v/>
      </c>
      <c r="BO416">
        <f>IF(403&lt;$U$9,MOD(INT(403/$U$8),$U$7)+1,1)</f>
        <v/>
      </c>
      <c r="BP416">
        <f>IF(403&lt;$U$9,MOD(403,$U$8)+1,1)</f>
        <v/>
      </c>
      <c r="BQ416">
        <f>IF(403&lt;$U$9,SUMPRODUCT(($D$10:$L$10&lt;&gt;"")*(($D$9:$L$9+INT(($S$12:$AA$12+INDEX($AJ$13:$AR$162,BN416,0)+INDEX($AT$13:$BB$162,BO416,0)+INDEX($BD$13:$BL$162,BP416,0))/100))&gt;=$D$10:$L$10)),0)</f>
        <v/>
      </c>
      <c r="BR416">
        <f>IF(403&lt;$U$9,SUMPRODUCT(($D$10:$L$10&lt;&gt;"")*(($D$10:$L$10-($D$9:$L$9+INT(($S$12:$AA$12+INDEX($AJ$13:$AR$162,BN416,0)+INDEX($AT$13:$BB$162,BO416,0)+INDEX($BD$13:$BL$162,BP416,0))/100)))&gt;0)*($D$10:$L$10-($D$9:$L$9+INT(($S$12:$AA$12+INDEX($AJ$13:$AR$162,BN416,0)+INDEX($AT$13:$BB$162,BO416,0)+INDEX($BD$13:$BL$162,BP416,0))/100)))),0)</f>
        <v/>
      </c>
      <c r="BS416">
        <f>IF(403&lt;$U$9,SUMPRODUCT(($D$9:$L$9+INT(($S$12:$AA$12+INDEX($AJ$13:$AR$162,BN416,0)+INDEX($AT$13:$BB$162,BO416,0)+INDEX($BD$13:$BL$162,BP416,0))/100))),0)</f>
        <v/>
      </c>
      <c r="BT416">
        <f>IF(AND(403&lt;$U$9,$W$5),BQ416*1000000-MIN(BR416,999)*1000+BS416-403/100000,-1000000000-403)</f>
        <v/>
      </c>
    </row>
    <row r="417">
      <c r="BN417">
        <f>IF(404&lt;$U$9,INT(404/($U$7*$U$8))+1,1)</f>
        <v/>
      </c>
      <c r="BO417">
        <f>IF(404&lt;$U$9,MOD(INT(404/$U$8),$U$7)+1,1)</f>
        <v/>
      </c>
      <c r="BP417">
        <f>IF(404&lt;$U$9,MOD(404,$U$8)+1,1)</f>
        <v/>
      </c>
      <c r="BQ417">
        <f>IF(404&lt;$U$9,SUMPRODUCT(($D$10:$L$10&lt;&gt;"")*(($D$9:$L$9+INT(($S$12:$AA$12+INDEX($AJ$13:$AR$162,BN417,0)+INDEX($AT$13:$BB$162,BO417,0)+INDEX($BD$13:$BL$162,BP417,0))/100))&gt;=$D$10:$L$10)),0)</f>
        <v/>
      </c>
      <c r="BR417">
        <f>IF(404&lt;$U$9,SUMPRODUCT(($D$10:$L$10&lt;&gt;"")*(($D$10:$L$10-($D$9:$L$9+INT(($S$12:$AA$12+INDEX($AJ$13:$AR$162,BN417,0)+INDEX($AT$13:$BB$162,BO417,0)+INDEX($BD$13:$BL$162,BP417,0))/100)))&gt;0)*($D$10:$L$10-($D$9:$L$9+INT(($S$12:$AA$12+INDEX($AJ$13:$AR$162,BN417,0)+INDEX($AT$13:$BB$162,BO417,0)+INDEX($BD$13:$BL$162,BP417,0))/100)))),0)</f>
        <v/>
      </c>
      <c r="BS417">
        <f>IF(404&lt;$U$9,SUMPRODUCT(($D$9:$L$9+INT(($S$12:$AA$12+INDEX($AJ$13:$AR$162,BN417,0)+INDEX($AT$13:$BB$162,BO417,0)+INDEX($BD$13:$BL$162,BP417,0))/100))),0)</f>
        <v/>
      </c>
      <c r="BT417">
        <f>IF(AND(404&lt;$U$9,$W$5),BQ417*1000000-MIN(BR417,999)*1000+BS417-404/100000,-1000000000-404)</f>
        <v/>
      </c>
    </row>
    <row r="418">
      <c r="BN418">
        <f>IF(405&lt;$U$9,INT(405/($U$7*$U$8))+1,1)</f>
        <v/>
      </c>
      <c r="BO418">
        <f>IF(405&lt;$U$9,MOD(INT(405/$U$8),$U$7)+1,1)</f>
        <v/>
      </c>
      <c r="BP418">
        <f>IF(405&lt;$U$9,MOD(405,$U$8)+1,1)</f>
        <v/>
      </c>
      <c r="BQ418">
        <f>IF(405&lt;$U$9,SUMPRODUCT(($D$10:$L$10&lt;&gt;"")*(($D$9:$L$9+INT(($S$12:$AA$12+INDEX($AJ$13:$AR$162,BN418,0)+INDEX($AT$13:$BB$162,BO418,0)+INDEX($BD$13:$BL$162,BP418,0))/100))&gt;=$D$10:$L$10)),0)</f>
        <v/>
      </c>
      <c r="BR418">
        <f>IF(405&lt;$U$9,SUMPRODUCT(($D$10:$L$10&lt;&gt;"")*(($D$10:$L$10-($D$9:$L$9+INT(($S$12:$AA$12+INDEX($AJ$13:$AR$162,BN418,0)+INDEX($AT$13:$BB$162,BO418,0)+INDEX($BD$13:$BL$162,BP418,0))/100)))&gt;0)*($D$10:$L$10-($D$9:$L$9+INT(($S$12:$AA$12+INDEX($AJ$13:$AR$162,BN418,0)+INDEX($AT$13:$BB$162,BO418,0)+INDEX($BD$13:$BL$162,BP418,0))/100)))),0)</f>
        <v/>
      </c>
      <c r="BS418">
        <f>IF(405&lt;$U$9,SUMPRODUCT(($D$9:$L$9+INT(($S$12:$AA$12+INDEX($AJ$13:$AR$162,BN418,0)+INDEX($AT$13:$BB$162,BO418,0)+INDEX($BD$13:$BL$162,BP418,0))/100))),0)</f>
        <v/>
      </c>
      <c r="BT418">
        <f>IF(AND(405&lt;$U$9,$W$5),BQ418*1000000-MIN(BR418,999)*1000+BS418-405/100000,-1000000000-405)</f>
        <v/>
      </c>
    </row>
    <row r="419">
      <c r="BN419">
        <f>IF(406&lt;$U$9,INT(406/($U$7*$U$8))+1,1)</f>
        <v/>
      </c>
      <c r="BO419">
        <f>IF(406&lt;$U$9,MOD(INT(406/$U$8),$U$7)+1,1)</f>
        <v/>
      </c>
      <c r="BP419">
        <f>IF(406&lt;$U$9,MOD(406,$U$8)+1,1)</f>
        <v/>
      </c>
      <c r="BQ419">
        <f>IF(406&lt;$U$9,SUMPRODUCT(($D$10:$L$10&lt;&gt;"")*(($D$9:$L$9+INT(($S$12:$AA$12+INDEX($AJ$13:$AR$162,BN419,0)+INDEX($AT$13:$BB$162,BO419,0)+INDEX($BD$13:$BL$162,BP419,0))/100))&gt;=$D$10:$L$10)),0)</f>
        <v/>
      </c>
      <c r="BR419">
        <f>IF(406&lt;$U$9,SUMPRODUCT(($D$10:$L$10&lt;&gt;"")*(($D$10:$L$10-($D$9:$L$9+INT(($S$12:$AA$12+INDEX($AJ$13:$AR$162,BN419,0)+INDEX($AT$13:$BB$162,BO419,0)+INDEX($BD$13:$BL$162,BP419,0))/100)))&gt;0)*($D$10:$L$10-($D$9:$L$9+INT(($S$12:$AA$12+INDEX($AJ$13:$AR$162,BN419,0)+INDEX($AT$13:$BB$162,BO419,0)+INDEX($BD$13:$BL$162,BP419,0))/100)))),0)</f>
        <v/>
      </c>
      <c r="BS419">
        <f>IF(406&lt;$U$9,SUMPRODUCT(($D$9:$L$9+INT(($S$12:$AA$12+INDEX($AJ$13:$AR$162,BN419,0)+INDEX($AT$13:$BB$162,BO419,0)+INDEX($BD$13:$BL$162,BP419,0))/100))),0)</f>
        <v/>
      </c>
      <c r="BT419">
        <f>IF(AND(406&lt;$U$9,$W$5),BQ419*1000000-MIN(BR419,999)*1000+BS419-406/100000,-1000000000-406)</f>
        <v/>
      </c>
    </row>
    <row r="420">
      <c r="BN420">
        <f>IF(407&lt;$U$9,INT(407/($U$7*$U$8))+1,1)</f>
        <v/>
      </c>
      <c r="BO420">
        <f>IF(407&lt;$U$9,MOD(INT(407/$U$8),$U$7)+1,1)</f>
        <v/>
      </c>
      <c r="BP420">
        <f>IF(407&lt;$U$9,MOD(407,$U$8)+1,1)</f>
        <v/>
      </c>
      <c r="BQ420">
        <f>IF(407&lt;$U$9,SUMPRODUCT(($D$10:$L$10&lt;&gt;"")*(($D$9:$L$9+INT(($S$12:$AA$12+INDEX($AJ$13:$AR$162,BN420,0)+INDEX($AT$13:$BB$162,BO420,0)+INDEX($BD$13:$BL$162,BP420,0))/100))&gt;=$D$10:$L$10)),0)</f>
        <v/>
      </c>
      <c r="BR420">
        <f>IF(407&lt;$U$9,SUMPRODUCT(($D$10:$L$10&lt;&gt;"")*(($D$10:$L$10-($D$9:$L$9+INT(($S$12:$AA$12+INDEX($AJ$13:$AR$162,BN420,0)+INDEX($AT$13:$BB$162,BO420,0)+INDEX($BD$13:$BL$162,BP420,0))/100)))&gt;0)*($D$10:$L$10-($D$9:$L$9+INT(($S$12:$AA$12+INDEX($AJ$13:$AR$162,BN420,0)+INDEX($AT$13:$BB$162,BO420,0)+INDEX($BD$13:$BL$162,BP420,0))/100)))),0)</f>
        <v/>
      </c>
      <c r="BS420">
        <f>IF(407&lt;$U$9,SUMPRODUCT(($D$9:$L$9+INT(($S$12:$AA$12+INDEX($AJ$13:$AR$162,BN420,0)+INDEX($AT$13:$BB$162,BO420,0)+INDEX($BD$13:$BL$162,BP420,0))/100))),0)</f>
        <v/>
      </c>
      <c r="BT420">
        <f>IF(AND(407&lt;$U$9,$W$5),BQ420*1000000-MIN(BR420,999)*1000+BS420-407/100000,-1000000000-407)</f>
        <v/>
      </c>
    </row>
    <row r="421">
      <c r="BN421">
        <f>IF(408&lt;$U$9,INT(408/($U$7*$U$8))+1,1)</f>
        <v/>
      </c>
      <c r="BO421">
        <f>IF(408&lt;$U$9,MOD(INT(408/$U$8),$U$7)+1,1)</f>
        <v/>
      </c>
      <c r="BP421">
        <f>IF(408&lt;$U$9,MOD(408,$U$8)+1,1)</f>
        <v/>
      </c>
      <c r="BQ421">
        <f>IF(408&lt;$U$9,SUMPRODUCT(($D$10:$L$10&lt;&gt;"")*(($D$9:$L$9+INT(($S$12:$AA$12+INDEX($AJ$13:$AR$162,BN421,0)+INDEX($AT$13:$BB$162,BO421,0)+INDEX($BD$13:$BL$162,BP421,0))/100))&gt;=$D$10:$L$10)),0)</f>
        <v/>
      </c>
      <c r="BR421">
        <f>IF(408&lt;$U$9,SUMPRODUCT(($D$10:$L$10&lt;&gt;"")*(($D$10:$L$10-($D$9:$L$9+INT(($S$12:$AA$12+INDEX($AJ$13:$AR$162,BN421,0)+INDEX($AT$13:$BB$162,BO421,0)+INDEX($BD$13:$BL$162,BP421,0))/100)))&gt;0)*($D$10:$L$10-($D$9:$L$9+INT(($S$12:$AA$12+INDEX($AJ$13:$AR$162,BN421,0)+INDEX($AT$13:$BB$162,BO421,0)+INDEX($BD$13:$BL$162,BP421,0))/100)))),0)</f>
        <v/>
      </c>
      <c r="BS421">
        <f>IF(408&lt;$U$9,SUMPRODUCT(($D$9:$L$9+INT(($S$12:$AA$12+INDEX($AJ$13:$AR$162,BN421,0)+INDEX($AT$13:$BB$162,BO421,0)+INDEX($BD$13:$BL$162,BP421,0))/100))),0)</f>
        <v/>
      </c>
      <c r="BT421">
        <f>IF(AND(408&lt;$U$9,$W$5),BQ421*1000000-MIN(BR421,999)*1000+BS421-408/100000,-1000000000-408)</f>
        <v/>
      </c>
    </row>
    <row r="422">
      <c r="BN422">
        <f>IF(409&lt;$U$9,INT(409/($U$7*$U$8))+1,1)</f>
        <v/>
      </c>
      <c r="BO422">
        <f>IF(409&lt;$U$9,MOD(INT(409/$U$8),$U$7)+1,1)</f>
        <v/>
      </c>
      <c r="BP422">
        <f>IF(409&lt;$U$9,MOD(409,$U$8)+1,1)</f>
        <v/>
      </c>
      <c r="BQ422">
        <f>IF(409&lt;$U$9,SUMPRODUCT(($D$10:$L$10&lt;&gt;"")*(($D$9:$L$9+INT(($S$12:$AA$12+INDEX($AJ$13:$AR$162,BN422,0)+INDEX($AT$13:$BB$162,BO422,0)+INDEX($BD$13:$BL$162,BP422,0))/100))&gt;=$D$10:$L$10)),0)</f>
        <v/>
      </c>
      <c r="BR422">
        <f>IF(409&lt;$U$9,SUMPRODUCT(($D$10:$L$10&lt;&gt;"")*(($D$10:$L$10-($D$9:$L$9+INT(($S$12:$AA$12+INDEX($AJ$13:$AR$162,BN422,0)+INDEX($AT$13:$BB$162,BO422,0)+INDEX($BD$13:$BL$162,BP422,0))/100)))&gt;0)*($D$10:$L$10-($D$9:$L$9+INT(($S$12:$AA$12+INDEX($AJ$13:$AR$162,BN422,0)+INDEX($AT$13:$BB$162,BO422,0)+INDEX($BD$13:$BL$162,BP422,0))/100)))),0)</f>
        <v/>
      </c>
      <c r="BS422">
        <f>IF(409&lt;$U$9,SUMPRODUCT(($D$9:$L$9+INT(($S$12:$AA$12+INDEX($AJ$13:$AR$162,BN422,0)+INDEX($AT$13:$BB$162,BO422,0)+INDEX($BD$13:$BL$162,BP422,0))/100))),0)</f>
        <v/>
      </c>
      <c r="BT422">
        <f>IF(AND(409&lt;$U$9,$W$5),BQ422*1000000-MIN(BR422,999)*1000+BS422-409/100000,-1000000000-409)</f>
        <v/>
      </c>
    </row>
    <row r="423">
      <c r="BN423">
        <f>IF(410&lt;$U$9,INT(410/($U$7*$U$8))+1,1)</f>
        <v/>
      </c>
      <c r="BO423">
        <f>IF(410&lt;$U$9,MOD(INT(410/$U$8),$U$7)+1,1)</f>
        <v/>
      </c>
      <c r="BP423">
        <f>IF(410&lt;$U$9,MOD(410,$U$8)+1,1)</f>
        <v/>
      </c>
      <c r="BQ423">
        <f>IF(410&lt;$U$9,SUMPRODUCT(($D$10:$L$10&lt;&gt;"")*(($D$9:$L$9+INT(($S$12:$AA$12+INDEX($AJ$13:$AR$162,BN423,0)+INDEX($AT$13:$BB$162,BO423,0)+INDEX($BD$13:$BL$162,BP423,0))/100))&gt;=$D$10:$L$10)),0)</f>
        <v/>
      </c>
      <c r="BR423">
        <f>IF(410&lt;$U$9,SUMPRODUCT(($D$10:$L$10&lt;&gt;"")*(($D$10:$L$10-($D$9:$L$9+INT(($S$12:$AA$12+INDEX($AJ$13:$AR$162,BN423,0)+INDEX($AT$13:$BB$162,BO423,0)+INDEX($BD$13:$BL$162,BP423,0))/100)))&gt;0)*($D$10:$L$10-($D$9:$L$9+INT(($S$12:$AA$12+INDEX($AJ$13:$AR$162,BN423,0)+INDEX($AT$13:$BB$162,BO423,0)+INDEX($BD$13:$BL$162,BP423,0))/100)))),0)</f>
        <v/>
      </c>
      <c r="BS423">
        <f>IF(410&lt;$U$9,SUMPRODUCT(($D$9:$L$9+INT(($S$12:$AA$12+INDEX($AJ$13:$AR$162,BN423,0)+INDEX($AT$13:$BB$162,BO423,0)+INDEX($BD$13:$BL$162,BP423,0))/100))),0)</f>
        <v/>
      </c>
      <c r="BT423">
        <f>IF(AND(410&lt;$U$9,$W$5),BQ423*1000000-MIN(BR423,999)*1000+BS423-410/100000,-1000000000-410)</f>
        <v/>
      </c>
    </row>
    <row r="424">
      <c r="BN424">
        <f>IF(411&lt;$U$9,INT(411/($U$7*$U$8))+1,1)</f>
        <v/>
      </c>
      <c r="BO424">
        <f>IF(411&lt;$U$9,MOD(INT(411/$U$8),$U$7)+1,1)</f>
        <v/>
      </c>
      <c r="BP424">
        <f>IF(411&lt;$U$9,MOD(411,$U$8)+1,1)</f>
        <v/>
      </c>
      <c r="BQ424">
        <f>IF(411&lt;$U$9,SUMPRODUCT(($D$10:$L$10&lt;&gt;"")*(($D$9:$L$9+INT(($S$12:$AA$12+INDEX($AJ$13:$AR$162,BN424,0)+INDEX($AT$13:$BB$162,BO424,0)+INDEX($BD$13:$BL$162,BP424,0))/100))&gt;=$D$10:$L$10)),0)</f>
        <v/>
      </c>
      <c r="BR424">
        <f>IF(411&lt;$U$9,SUMPRODUCT(($D$10:$L$10&lt;&gt;"")*(($D$10:$L$10-($D$9:$L$9+INT(($S$12:$AA$12+INDEX($AJ$13:$AR$162,BN424,0)+INDEX($AT$13:$BB$162,BO424,0)+INDEX($BD$13:$BL$162,BP424,0))/100)))&gt;0)*($D$10:$L$10-($D$9:$L$9+INT(($S$12:$AA$12+INDEX($AJ$13:$AR$162,BN424,0)+INDEX($AT$13:$BB$162,BO424,0)+INDEX($BD$13:$BL$162,BP424,0))/100)))),0)</f>
        <v/>
      </c>
      <c r="BS424">
        <f>IF(411&lt;$U$9,SUMPRODUCT(($D$9:$L$9+INT(($S$12:$AA$12+INDEX($AJ$13:$AR$162,BN424,0)+INDEX($AT$13:$BB$162,BO424,0)+INDEX($BD$13:$BL$162,BP424,0))/100))),0)</f>
        <v/>
      </c>
      <c r="BT424">
        <f>IF(AND(411&lt;$U$9,$W$5),BQ424*1000000-MIN(BR424,999)*1000+BS424-411/100000,-1000000000-411)</f>
        <v/>
      </c>
    </row>
    <row r="425">
      <c r="BN425">
        <f>IF(412&lt;$U$9,INT(412/($U$7*$U$8))+1,1)</f>
        <v/>
      </c>
      <c r="BO425">
        <f>IF(412&lt;$U$9,MOD(INT(412/$U$8),$U$7)+1,1)</f>
        <v/>
      </c>
      <c r="BP425">
        <f>IF(412&lt;$U$9,MOD(412,$U$8)+1,1)</f>
        <v/>
      </c>
      <c r="BQ425">
        <f>IF(412&lt;$U$9,SUMPRODUCT(($D$10:$L$10&lt;&gt;"")*(($D$9:$L$9+INT(($S$12:$AA$12+INDEX($AJ$13:$AR$162,BN425,0)+INDEX($AT$13:$BB$162,BO425,0)+INDEX($BD$13:$BL$162,BP425,0))/100))&gt;=$D$10:$L$10)),0)</f>
        <v/>
      </c>
      <c r="BR425">
        <f>IF(412&lt;$U$9,SUMPRODUCT(($D$10:$L$10&lt;&gt;"")*(($D$10:$L$10-($D$9:$L$9+INT(($S$12:$AA$12+INDEX($AJ$13:$AR$162,BN425,0)+INDEX($AT$13:$BB$162,BO425,0)+INDEX($BD$13:$BL$162,BP425,0))/100)))&gt;0)*($D$10:$L$10-($D$9:$L$9+INT(($S$12:$AA$12+INDEX($AJ$13:$AR$162,BN425,0)+INDEX($AT$13:$BB$162,BO425,0)+INDEX($BD$13:$BL$162,BP425,0))/100)))),0)</f>
        <v/>
      </c>
      <c r="BS425">
        <f>IF(412&lt;$U$9,SUMPRODUCT(($D$9:$L$9+INT(($S$12:$AA$12+INDEX($AJ$13:$AR$162,BN425,0)+INDEX($AT$13:$BB$162,BO425,0)+INDEX($BD$13:$BL$162,BP425,0))/100))),0)</f>
        <v/>
      </c>
      <c r="BT425">
        <f>IF(AND(412&lt;$U$9,$W$5),BQ425*1000000-MIN(BR425,999)*1000+BS425-412/100000,-1000000000-412)</f>
        <v/>
      </c>
    </row>
    <row r="426">
      <c r="BN426">
        <f>IF(413&lt;$U$9,INT(413/($U$7*$U$8))+1,1)</f>
        <v/>
      </c>
      <c r="BO426">
        <f>IF(413&lt;$U$9,MOD(INT(413/$U$8),$U$7)+1,1)</f>
        <v/>
      </c>
      <c r="BP426">
        <f>IF(413&lt;$U$9,MOD(413,$U$8)+1,1)</f>
        <v/>
      </c>
      <c r="BQ426">
        <f>IF(413&lt;$U$9,SUMPRODUCT(($D$10:$L$10&lt;&gt;"")*(($D$9:$L$9+INT(($S$12:$AA$12+INDEX($AJ$13:$AR$162,BN426,0)+INDEX($AT$13:$BB$162,BO426,0)+INDEX($BD$13:$BL$162,BP426,0))/100))&gt;=$D$10:$L$10)),0)</f>
        <v/>
      </c>
      <c r="BR426">
        <f>IF(413&lt;$U$9,SUMPRODUCT(($D$10:$L$10&lt;&gt;"")*(($D$10:$L$10-($D$9:$L$9+INT(($S$12:$AA$12+INDEX($AJ$13:$AR$162,BN426,0)+INDEX($AT$13:$BB$162,BO426,0)+INDEX($BD$13:$BL$162,BP426,0))/100)))&gt;0)*($D$10:$L$10-($D$9:$L$9+INT(($S$12:$AA$12+INDEX($AJ$13:$AR$162,BN426,0)+INDEX($AT$13:$BB$162,BO426,0)+INDEX($BD$13:$BL$162,BP426,0))/100)))),0)</f>
        <v/>
      </c>
      <c r="BS426">
        <f>IF(413&lt;$U$9,SUMPRODUCT(($D$9:$L$9+INT(($S$12:$AA$12+INDEX($AJ$13:$AR$162,BN426,0)+INDEX($AT$13:$BB$162,BO426,0)+INDEX($BD$13:$BL$162,BP426,0))/100))),0)</f>
        <v/>
      </c>
      <c r="BT426">
        <f>IF(AND(413&lt;$U$9,$W$5),BQ426*1000000-MIN(BR426,999)*1000+BS426-413/100000,-1000000000-413)</f>
        <v/>
      </c>
    </row>
    <row r="427">
      <c r="BN427">
        <f>IF(414&lt;$U$9,INT(414/($U$7*$U$8))+1,1)</f>
        <v/>
      </c>
      <c r="BO427">
        <f>IF(414&lt;$U$9,MOD(INT(414/$U$8),$U$7)+1,1)</f>
        <v/>
      </c>
      <c r="BP427">
        <f>IF(414&lt;$U$9,MOD(414,$U$8)+1,1)</f>
        <v/>
      </c>
      <c r="BQ427">
        <f>IF(414&lt;$U$9,SUMPRODUCT(($D$10:$L$10&lt;&gt;"")*(($D$9:$L$9+INT(($S$12:$AA$12+INDEX($AJ$13:$AR$162,BN427,0)+INDEX($AT$13:$BB$162,BO427,0)+INDEX($BD$13:$BL$162,BP427,0))/100))&gt;=$D$10:$L$10)),0)</f>
        <v/>
      </c>
      <c r="BR427">
        <f>IF(414&lt;$U$9,SUMPRODUCT(($D$10:$L$10&lt;&gt;"")*(($D$10:$L$10-($D$9:$L$9+INT(($S$12:$AA$12+INDEX($AJ$13:$AR$162,BN427,0)+INDEX($AT$13:$BB$162,BO427,0)+INDEX($BD$13:$BL$162,BP427,0))/100)))&gt;0)*($D$10:$L$10-($D$9:$L$9+INT(($S$12:$AA$12+INDEX($AJ$13:$AR$162,BN427,0)+INDEX($AT$13:$BB$162,BO427,0)+INDEX($BD$13:$BL$162,BP427,0))/100)))),0)</f>
        <v/>
      </c>
      <c r="BS427">
        <f>IF(414&lt;$U$9,SUMPRODUCT(($D$9:$L$9+INT(($S$12:$AA$12+INDEX($AJ$13:$AR$162,BN427,0)+INDEX($AT$13:$BB$162,BO427,0)+INDEX($BD$13:$BL$162,BP427,0))/100))),0)</f>
        <v/>
      </c>
      <c r="BT427">
        <f>IF(AND(414&lt;$U$9,$W$5),BQ427*1000000-MIN(BR427,999)*1000+BS427-414/100000,-1000000000-414)</f>
        <v/>
      </c>
    </row>
    <row r="428">
      <c r="BN428">
        <f>IF(415&lt;$U$9,INT(415/($U$7*$U$8))+1,1)</f>
        <v/>
      </c>
      <c r="BO428">
        <f>IF(415&lt;$U$9,MOD(INT(415/$U$8),$U$7)+1,1)</f>
        <v/>
      </c>
      <c r="BP428">
        <f>IF(415&lt;$U$9,MOD(415,$U$8)+1,1)</f>
        <v/>
      </c>
      <c r="BQ428">
        <f>IF(415&lt;$U$9,SUMPRODUCT(($D$10:$L$10&lt;&gt;"")*(($D$9:$L$9+INT(($S$12:$AA$12+INDEX($AJ$13:$AR$162,BN428,0)+INDEX($AT$13:$BB$162,BO428,0)+INDEX($BD$13:$BL$162,BP428,0))/100))&gt;=$D$10:$L$10)),0)</f>
        <v/>
      </c>
      <c r="BR428">
        <f>IF(415&lt;$U$9,SUMPRODUCT(($D$10:$L$10&lt;&gt;"")*(($D$10:$L$10-($D$9:$L$9+INT(($S$12:$AA$12+INDEX($AJ$13:$AR$162,BN428,0)+INDEX($AT$13:$BB$162,BO428,0)+INDEX($BD$13:$BL$162,BP428,0))/100)))&gt;0)*($D$10:$L$10-($D$9:$L$9+INT(($S$12:$AA$12+INDEX($AJ$13:$AR$162,BN428,0)+INDEX($AT$13:$BB$162,BO428,0)+INDEX($BD$13:$BL$162,BP428,0))/100)))),0)</f>
        <v/>
      </c>
      <c r="BS428">
        <f>IF(415&lt;$U$9,SUMPRODUCT(($D$9:$L$9+INT(($S$12:$AA$12+INDEX($AJ$13:$AR$162,BN428,0)+INDEX($AT$13:$BB$162,BO428,0)+INDEX($BD$13:$BL$162,BP428,0))/100))),0)</f>
        <v/>
      </c>
      <c r="BT428">
        <f>IF(AND(415&lt;$U$9,$W$5),BQ428*1000000-MIN(BR428,999)*1000+BS428-415/100000,-1000000000-415)</f>
        <v/>
      </c>
    </row>
    <row r="429">
      <c r="BN429">
        <f>IF(416&lt;$U$9,INT(416/($U$7*$U$8))+1,1)</f>
        <v/>
      </c>
      <c r="BO429">
        <f>IF(416&lt;$U$9,MOD(INT(416/$U$8),$U$7)+1,1)</f>
        <v/>
      </c>
      <c r="BP429">
        <f>IF(416&lt;$U$9,MOD(416,$U$8)+1,1)</f>
        <v/>
      </c>
      <c r="BQ429">
        <f>IF(416&lt;$U$9,SUMPRODUCT(($D$10:$L$10&lt;&gt;"")*(($D$9:$L$9+INT(($S$12:$AA$12+INDEX($AJ$13:$AR$162,BN429,0)+INDEX($AT$13:$BB$162,BO429,0)+INDEX($BD$13:$BL$162,BP429,0))/100))&gt;=$D$10:$L$10)),0)</f>
        <v/>
      </c>
      <c r="BR429">
        <f>IF(416&lt;$U$9,SUMPRODUCT(($D$10:$L$10&lt;&gt;"")*(($D$10:$L$10-($D$9:$L$9+INT(($S$12:$AA$12+INDEX($AJ$13:$AR$162,BN429,0)+INDEX($AT$13:$BB$162,BO429,0)+INDEX($BD$13:$BL$162,BP429,0))/100)))&gt;0)*($D$10:$L$10-($D$9:$L$9+INT(($S$12:$AA$12+INDEX($AJ$13:$AR$162,BN429,0)+INDEX($AT$13:$BB$162,BO429,0)+INDEX($BD$13:$BL$162,BP429,0))/100)))),0)</f>
        <v/>
      </c>
      <c r="BS429">
        <f>IF(416&lt;$U$9,SUMPRODUCT(($D$9:$L$9+INT(($S$12:$AA$12+INDEX($AJ$13:$AR$162,BN429,0)+INDEX($AT$13:$BB$162,BO429,0)+INDEX($BD$13:$BL$162,BP429,0))/100))),0)</f>
        <v/>
      </c>
      <c r="BT429">
        <f>IF(AND(416&lt;$U$9,$W$5),BQ429*1000000-MIN(BR429,999)*1000+BS429-416/100000,-1000000000-416)</f>
        <v/>
      </c>
    </row>
    <row r="430">
      <c r="BN430">
        <f>IF(417&lt;$U$9,INT(417/($U$7*$U$8))+1,1)</f>
        <v/>
      </c>
      <c r="BO430">
        <f>IF(417&lt;$U$9,MOD(INT(417/$U$8),$U$7)+1,1)</f>
        <v/>
      </c>
      <c r="BP430">
        <f>IF(417&lt;$U$9,MOD(417,$U$8)+1,1)</f>
        <v/>
      </c>
      <c r="BQ430">
        <f>IF(417&lt;$U$9,SUMPRODUCT(($D$10:$L$10&lt;&gt;"")*(($D$9:$L$9+INT(($S$12:$AA$12+INDEX($AJ$13:$AR$162,BN430,0)+INDEX($AT$13:$BB$162,BO430,0)+INDEX($BD$13:$BL$162,BP430,0))/100))&gt;=$D$10:$L$10)),0)</f>
        <v/>
      </c>
      <c r="BR430">
        <f>IF(417&lt;$U$9,SUMPRODUCT(($D$10:$L$10&lt;&gt;"")*(($D$10:$L$10-($D$9:$L$9+INT(($S$12:$AA$12+INDEX($AJ$13:$AR$162,BN430,0)+INDEX($AT$13:$BB$162,BO430,0)+INDEX($BD$13:$BL$162,BP430,0))/100)))&gt;0)*($D$10:$L$10-($D$9:$L$9+INT(($S$12:$AA$12+INDEX($AJ$13:$AR$162,BN430,0)+INDEX($AT$13:$BB$162,BO430,0)+INDEX($BD$13:$BL$162,BP430,0))/100)))),0)</f>
        <v/>
      </c>
      <c r="BS430">
        <f>IF(417&lt;$U$9,SUMPRODUCT(($D$9:$L$9+INT(($S$12:$AA$12+INDEX($AJ$13:$AR$162,BN430,0)+INDEX($AT$13:$BB$162,BO430,0)+INDEX($BD$13:$BL$162,BP430,0))/100))),0)</f>
        <v/>
      </c>
      <c r="BT430">
        <f>IF(AND(417&lt;$U$9,$W$5),BQ430*1000000-MIN(BR430,999)*1000+BS430-417/100000,-1000000000-417)</f>
        <v/>
      </c>
    </row>
    <row r="431">
      <c r="BN431">
        <f>IF(418&lt;$U$9,INT(418/($U$7*$U$8))+1,1)</f>
        <v/>
      </c>
      <c r="BO431">
        <f>IF(418&lt;$U$9,MOD(INT(418/$U$8),$U$7)+1,1)</f>
        <v/>
      </c>
      <c r="BP431">
        <f>IF(418&lt;$U$9,MOD(418,$U$8)+1,1)</f>
        <v/>
      </c>
      <c r="BQ431">
        <f>IF(418&lt;$U$9,SUMPRODUCT(($D$10:$L$10&lt;&gt;"")*(($D$9:$L$9+INT(($S$12:$AA$12+INDEX($AJ$13:$AR$162,BN431,0)+INDEX($AT$13:$BB$162,BO431,0)+INDEX($BD$13:$BL$162,BP431,0))/100))&gt;=$D$10:$L$10)),0)</f>
        <v/>
      </c>
      <c r="BR431">
        <f>IF(418&lt;$U$9,SUMPRODUCT(($D$10:$L$10&lt;&gt;"")*(($D$10:$L$10-($D$9:$L$9+INT(($S$12:$AA$12+INDEX($AJ$13:$AR$162,BN431,0)+INDEX($AT$13:$BB$162,BO431,0)+INDEX($BD$13:$BL$162,BP431,0))/100)))&gt;0)*($D$10:$L$10-($D$9:$L$9+INT(($S$12:$AA$12+INDEX($AJ$13:$AR$162,BN431,0)+INDEX($AT$13:$BB$162,BO431,0)+INDEX($BD$13:$BL$162,BP431,0))/100)))),0)</f>
        <v/>
      </c>
      <c r="BS431">
        <f>IF(418&lt;$U$9,SUMPRODUCT(($D$9:$L$9+INT(($S$12:$AA$12+INDEX($AJ$13:$AR$162,BN431,0)+INDEX($AT$13:$BB$162,BO431,0)+INDEX($BD$13:$BL$162,BP431,0))/100))),0)</f>
        <v/>
      </c>
      <c r="BT431">
        <f>IF(AND(418&lt;$U$9,$W$5),BQ431*1000000-MIN(BR431,999)*1000+BS431-418/100000,-1000000000-418)</f>
        <v/>
      </c>
    </row>
    <row r="432">
      <c r="BN432">
        <f>IF(419&lt;$U$9,INT(419/($U$7*$U$8))+1,1)</f>
        <v/>
      </c>
      <c r="BO432">
        <f>IF(419&lt;$U$9,MOD(INT(419/$U$8),$U$7)+1,1)</f>
        <v/>
      </c>
      <c r="BP432">
        <f>IF(419&lt;$U$9,MOD(419,$U$8)+1,1)</f>
        <v/>
      </c>
      <c r="BQ432">
        <f>IF(419&lt;$U$9,SUMPRODUCT(($D$10:$L$10&lt;&gt;"")*(($D$9:$L$9+INT(($S$12:$AA$12+INDEX($AJ$13:$AR$162,BN432,0)+INDEX($AT$13:$BB$162,BO432,0)+INDEX($BD$13:$BL$162,BP432,0))/100))&gt;=$D$10:$L$10)),0)</f>
        <v/>
      </c>
      <c r="BR432">
        <f>IF(419&lt;$U$9,SUMPRODUCT(($D$10:$L$10&lt;&gt;"")*(($D$10:$L$10-($D$9:$L$9+INT(($S$12:$AA$12+INDEX($AJ$13:$AR$162,BN432,0)+INDEX($AT$13:$BB$162,BO432,0)+INDEX($BD$13:$BL$162,BP432,0))/100)))&gt;0)*($D$10:$L$10-($D$9:$L$9+INT(($S$12:$AA$12+INDEX($AJ$13:$AR$162,BN432,0)+INDEX($AT$13:$BB$162,BO432,0)+INDEX($BD$13:$BL$162,BP432,0))/100)))),0)</f>
        <v/>
      </c>
      <c r="BS432">
        <f>IF(419&lt;$U$9,SUMPRODUCT(($D$9:$L$9+INT(($S$12:$AA$12+INDEX($AJ$13:$AR$162,BN432,0)+INDEX($AT$13:$BB$162,BO432,0)+INDEX($BD$13:$BL$162,BP432,0))/100))),0)</f>
        <v/>
      </c>
      <c r="BT432">
        <f>IF(AND(419&lt;$U$9,$W$5),BQ432*1000000-MIN(BR432,999)*1000+BS432-419/100000,-1000000000-419)</f>
        <v/>
      </c>
    </row>
    <row r="433">
      <c r="BN433">
        <f>IF(420&lt;$U$9,INT(420/($U$7*$U$8))+1,1)</f>
        <v/>
      </c>
      <c r="BO433">
        <f>IF(420&lt;$U$9,MOD(INT(420/$U$8),$U$7)+1,1)</f>
        <v/>
      </c>
      <c r="BP433">
        <f>IF(420&lt;$U$9,MOD(420,$U$8)+1,1)</f>
        <v/>
      </c>
      <c r="BQ433">
        <f>IF(420&lt;$U$9,SUMPRODUCT(($D$10:$L$10&lt;&gt;"")*(($D$9:$L$9+INT(($S$12:$AA$12+INDEX($AJ$13:$AR$162,BN433,0)+INDEX($AT$13:$BB$162,BO433,0)+INDEX($BD$13:$BL$162,BP433,0))/100))&gt;=$D$10:$L$10)),0)</f>
        <v/>
      </c>
      <c r="BR433">
        <f>IF(420&lt;$U$9,SUMPRODUCT(($D$10:$L$10&lt;&gt;"")*(($D$10:$L$10-($D$9:$L$9+INT(($S$12:$AA$12+INDEX($AJ$13:$AR$162,BN433,0)+INDEX($AT$13:$BB$162,BO433,0)+INDEX($BD$13:$BL$162,BP433,0))/100)))&gt;0)*($D$10:$L$10-($D$9:$L$9+INT(($S$12:$AA$12+INDEX($AJ$13:$AR$162,BN433,0)+INDEX($AT$13:$BB$162,BO433,0)+INDEX($BD$13:$BL$162,BP433,0))/100)))),0)</f>
        <v/>
      </c>
      <c r="BS433">
        <f>IF(420&lt;$U$9,SUMPRODUCT(($D$9:$L$9+INT(($S$12:$AA$12+INDEX($AJ$13:$AR$162,BN433,0)+INDEX($AT$13:$BB$162,BO433,0)+INDEX($BD$13:$BL$162,BP433,0))/100))),0)</f>
        <v/>
      </c>
      <c r="BT433">
        <f>IF(AND(420&lt;$U$9,$W$5),BQ433*1000000-MIN(BR433,999)*1000+BS433-420/100000,-1000000000-420)</f>
        <v/>
      </c>
    </row>
    <row r="434">
      <c r="BN434">
        <f>IF(421&lt;$U$9,INT(421/($U$7*$U$8))+1,1)</f>
        <v/>
      </c>
      <c r="BO434">
        <f>IF(421&lt;$U$9,MOD(INT(421/$U$8),$U$7)+1,1)</f>
        <v/>
      </c>
      <c r="BP434">
        <f>IF(421&lt;$U$9,MOD(421,$U$8)+1,1)</f>
        <v/>
      </c>
      <c r="BQ434">
        <f>IF(421&lt;$U$9,SUMPRODUCT(($D$10:$L$10&lt;&gt;"")*(($D$9:$L$9+INT(($S$12:$AA$12+INDEX($AJ$13:$AR$162,BN434,0)+INDEX($AT$13:$BB$162,BO434,0)+INDEX($BD$13:$BL$162,BP434,0))/100))&gt;=$D$10:$L$10)),0)</f>
        <v/>
      </c>
      <c r="BR434">
        <f>IF(421&lt;$U$9,SUMPRODUCT(($D$10:$L$10&lt;&gt;"")*(($D$10:$L$10-($D$9:$L$9+INT(($S$12:$AA$12+INDEX($AJ$13:$AR$162,BN434,0)+INDEX($AT$13:$BB$162,BO434,0)+INDEX($BD$13:$BL$162,BP434,0))/100)))&gt;0)*($D$10:$L$10-($D$9:$L$9+INT(($S$12:$AA$12+INDEX($AJ$13:$AR$162,BN434,0)+INDEX($AT$13:$BB$162,BO434,0)+INDEX($BD$13:$BL$162,BP434,0))/100)))),0)</f>
        <v/>
      </c>
      <c r="BS434">
        <f>IF(421&lt;$U$9,SUMPRODUCT(($D$9:$L$9+INT(($S$12:$AA$12+INDEX($AJ$13:$AR$162,BN434,0)+INDEX($AT$13:$BB$162,BO434,0)+INDEX($BD$13:$BL$162,BP434,0))/100))),0)</f>
        <v/>
      </c>
      <c r="BT434">
        <f>IF(AND(421&lt;$U$9,$W$5),BQ434*1000000-MIN(BR434,999)*1000+BS434-421/100000,-1000000000-421)</f>
        <v/>
      </c>
    </row>
    <row r="435">
      <c r="BN435">
        <f>IF(422&lt;$U$9,INT(422/($U$7*$U$8))+1,1)</f>
        <v/>
      </c>
      <c r="BO435">
        <f>IF(422&lt;$U$9,MOD(INT(422/$U$8),$U$7)+1,1)</f>
        <v/>
      </c>
      <c r="BP435">
        <f>IF(422&lt;$U$9,MOD(422,$U$8)+1,1)</f>
        <v/>
      </c>
      <c r="BQ435">
        <f>IF(422&lt;$U$9,SUMPRODUCT(($D$10:$L$10&lt;&gt;"")*(($D$9:$L$9+INT(($S$12:$AA$12+INDEX($AJ$13:$AR$162,BN435,0)+INDEX($AT$13:$BB$162,BO435,0)+INDEX($BD$13:$BL$162,BP435,0))/100))&gt;=$D$10:$L$10)),0)</f>
        <v/>
      </c>
      <c r="BR435">
        <f>IF(422&lt;$U$9,SUMPRODUCT(($D$10:$L$10&lt;&gt;"")*(($D$10:$L$10-($D$9:$L$9+INT(($S$12:$AA$12+INDEX($AJ$13:$AR$162,BN435,0)+INDEX($AT$13:$BB$162,BO435,0)+INDEX($BD$13:$BL$162,BP435,0))/100)))&gt;0)*($D$10:$L$10-($D$9:$L$9+INT(($S$12:$AA$12+INDEX($AJ$13:$AR$162,BN435,0)+INDEX($AT$13:$BB$162,BO435,0)+INDEX($BD$13:$BL$162,BP435,0))/100)))),0)</f>
        <v/>
      </c>
      <c r="BS435">
        <f>IF(422&lt;$U$9,SUMPRODUCT(($D$9:$L$9+INT(($S$12:$AA$12+INDEX($AJ$13:$AR$162,BN435,0)+INDEX($AT$13:$BB$162,BO435,0)+INDEX($BD$13:$BL$162,BP435,0))/100))),0)</f>
        <v/>
      </c>
      <c r="BT435">
        <f>IF(AND(422&lt;$U$9,$W$5),BQ435*1000000-MIN(BR435,999)*1000+BS435-422/100000,-1000000000-422)</f>
        <v/>
      </c>
    </row>
    <row r="436">
      <c r="BN436">
        <f>IF(423&lt;$U$9,INT(423/($U$7*$U$8))+1,1)</f>
        <v/>
      </c>
      <c r="BO436">
        <f>IF(423&lt;$U$9,MOD(INT(423/$U$8),$U$7)+1,1)</f>
        <v/>
      </c>
      <c r="BP436">
        <f>IF(423&lt;$U$9,MOD(423,$U$8)+1,1)</f>
        <v/>
      </c>
      <c r="BQ436">
        <f>IF(423&lt;$U$9,SUMPRODUCT(($D$10:$L$10&lt;&gt;"")*(($D$9:$L$9+INT(($S$12:$AA$12+INDEX($AJ$13:$AR$162,BN436,0)+INDEX($AT$13:$BB$162,BO436,0)+INDEX($BD$13:$BL$162,BP436,0))/100))&gt;=$D$10:$L$10)),0)</f>
        <v/>
      </c>
      <c r="BR436">
        <f>IF(423&lt;$U$9,SUMPRODUCT(($D$10:$L$10&lt;&gt;"")*(($D$10:$L$10-($D$9:$L$9+INT(($S$12:$AA$12+INDEX($AJ$13:$AR$162,BN436,0)+INDEX($AT$13:$BB$162,BO436,0)+INDEX($BD$13:$BL$162,BP436,0))/100)))&gt;0)*($D$10:$L$10-($D$9:$L$9+INT(($S$12:$AA$12+INDEX($AJ$13:$AR$162,BN436,0)+INDEX($AT$13:$BB$162,BO436,0)+INDEX($BD$13:$BL$162,BP436,0))/100)))),0)</f>
        <v/>
      </c>
      <c r="BS436">
        <f>IF(423&lt;$U$9,SUMPRODUCT(($D$9:$L$9+INT(($S$12:$AA$12+INDEX($AJ$13:$AR$162,BN436,0)+INDEX($AT$13:$BB$162,BO436,0)+INDEX($BD$13:$BL$162,BP436,0))/100))),0)</f>
        <v/>
      </c>
      <c r="BT436">
        <f>IF(AND(423&lt;$U$9,$W$5),BQ436*1000000-MIN(BR436,999)*1000+BS436-423/100000,-1000000000-423)</f>
        <v/>
      </c>
    </row>
    <row r="437">
      <c r="BN437">
        <f>IF(424&lt;$U$9,INT(424/($U$7*$U$8))+1,1)</f>
        <v/>
      </c>
      <c r="BO437">
        <f>IF(424&lt;$U$9,MOD(INT(424/$U$8),$U$7)+1,1)</f>
        <v/>
      </c>
      <c r="BP437">
        <f>IF(424&lt;$U$9,MOD(424,$U$8)+1,1)</f>
        <v/>
      </c>
      <c r="BQ437">
        <f>IF(424&lt;$U$9,SUMPRODUCT(($D$10:$L$10&lt;&gt;"")*(($D$9:$L$9+INT(($S$12:$AA$12+INDEX($AJ$13:$AR$162,BN437,0)+INDEX($AT$13:$BB$162,BO437,0)+INDEX($BD$13:$BL$162,BP437,0))/100))&gt;=$D$10:$L$10)),0)</f>
        <v/>
      </c>
      <c r="BR437">
        <f>IF(424&lt;$U$9,SUMPRODUCT(($D$10:$L$10&lt;&gt;"")*(($D$10:$L$10-($D$9:$L$9+INT(($S$12:$AA$12+INDEX($AJ$13:$AR$162,BN437,0)+INDEX($AT$13:$BB$162,BO437,0)+INDEX($BD$13:$BL$162,BP437,0))/100)))&gt;0)*($D$10:$L$10-($D$9:$L$9+INT(($S$12:$AA$12+INDEX($AJ$13:$AR$162,BN437,0)+INDEX($AT$13:$BB$162,BO437,0)+INDEX($BD$13:$BL$162,BP437,0))/100)))),0)</f>
        <v/>
      </c>
      <c r="BS437">
        <f>IF(424&lt;$U$9,SUMPRODUCT(($D$9:$L$9+INT(($S$12:$AA$12+INDEX($AJ$13:$AR$162,BN437,0)+INDEX($AT$13:$BB$162,BO437,0)+INDEX($BD$13:$BL$162,BP437,0))/100))),0)</f>
        <v/>
      </c>
      <c r="BT437">
        <f>IF(AND(424&lt;$U$9,$W$5),BQ437*1000000-MIN(BR437,999)*1000+BS437-424/100000,-1000000000-424)</f>
        <v/>
      </c>
    </row>
    <row r="438">
      <c r="BN438">
        <f>IF(425&lt;$U$9,INT(425/($U$7*$U$8))+1,1)</f>
        <v/>
      </c>
      <c r="BO438">
        <f>IF(425&lt;$U$9,MOD(INT(425/$U$8),$U$7)+1,1)</f>
        <v/>
      </c>
      <c r="BP438">
        <f>IF(425&lt;$U$9,MOD(425,$U$8)+1,1)</f>
        <v/>
      </c>
      <c r="BQ438">
        <f>IF(425&lt;$U$9,SUMPRODUCT(($D$10:$L$10&lt;&gt;"")*(($D$9:$L$9+INT(($S$12:$AA$12+INDEX($AJ$13:$AR$162,BN438,0)+INDEX($AT$13:$BB$162,BO438,0)+INDEX($BD$13:$BL$162,BP438,0))/100))&gt;=$D$10:$L$10)),0)</f>
        <v/>
      </c>
      <c r="BR438">
        <f>IF(425&lt;$U$9,SUMPRODUCT(($D$10:$L$10&lt;&gt;"")*(($D$10:$L$10-($D$9:$L$9+INT(($S$12:$AA$12+INDEX($AJ$13:$AR$162,BN438,0)+INDEX($AT$13:$BB$162,BO438,0)+INDEX($BD$13:$BL$162,BP438,0))/100)))&gt;0)*($D$10:$L$10-($D$9:$L$9+INT(($S$12:$AA$12+INDEX($AJ$13:$AR$162,BN438,0)+INDEX($AT$13:$BB$162,BO438,0)+INDEX($BD$13:$BL$162,BP438,0))/100)))),0)</f>
        <v/>
      </c>
      <c r="BS438">
        <f>IF(425&lt;$U$9,SUMPRODUCT(($D$9:$L$9+INT(($S$12:$AA$12+INDEX($AJ$13:$AR$162,BN438,0)+INDEX($AT$13:$BB$162,BO438,0)+INDEX($BD$13:$BL$162,BP438,0))/100))),0)</f>
        <v/>
      </c>
      <c r="BT438">
        <f>IF(AND(425&lt;$U$9,$W$5),BQ438*1000000-MIN(BR438,999)*1000+BS438-425/100000,-1000000000-425)</f>
        <v/>
      </c>
    </row>
    <row r="439">
      <c r="BN439">
        <f>IF(426&lt;$U$9,INT(426/($U$7*$U$8))+1,1)</f>
        <v/>
      </c>
      <c r="BO439">
        <f>IF(426&lt;$U$9,MOD(INT(426/$U$8),$U$7)+1,1)</f>
        <v/>
      </c>
      <c r="BP439">
        <f>IF(426&lt;$U$9,MOD(426,$U$8)+1,1)</f>
        <v/>
      </c>
      <c r="BQ439">
        <f>IF(426&lt;$U$9,SUMPRODUCT(($D$10:$L$10&lt;&gt;"")*(($D$9:$L$9+INT(($S$12:$AA$12+INDEX($AJ$13:$AR$162,BN439,0)+INDEX($AT$13:$BB$162,BO439,0)+INDEX($BD$13:$BL$162,BP439,0))/100))&gt;=$D$10:$L$10)),0)</f>
        <v/>
      </c>
      <c r="BR439">
        <f>IF(426&lt;$U$9,SUMPRODUCT(($D$10:$L$10&lt;&gt;"")*(($D$10:$L$10-($D$9:$L$9+INT(($S$12:$AA$12+INDEX($AJ$13:$AR$162,BN439,0)+INDEX($AT$13:$BB$162,BO439,0)+INDEX($BD$13:$BL$162,BP439,0))/100)))&gt;0)*($D$10:$L$10-($D$9:$L$9+INT(($S$12:$AA$12+INDEX($AJ$13:$AR$162,BN439,0)+INDEX($AT$13:$BB$162,BO439,0)+INDEX($BD$13:$BL$162,BP439,0))/100)))),0)</f>
        <v/>
      </c>
      <c r="BS439">
        <f>IF(426&lt;$U$9,SUMPRODUCT(($D$9:$L$9+INT(($S$12:$AA$12+INDEX($AJ$13:$AR$162,BN439,0)+INDEX($AT$13:$BB$162,BO439,0)+INDEX($BD$13:$BL$162,BP439,0))/100))),0)</f>
        <v/>
      </c>
      <c r="BT439">
        <f>IF(AND(426&lt;$U$9,$W$5),BQ439*1000000-MIN(BR439,999)*1000+BS439-426/100000,-1000000000-426)</f>
        <v/>
      </c>
    </row>
    <row r="440">
      <c r="BN440">
        <f>IF(427&lt;$U$9,INT(427/($U$7*$U$8))+1,1)</f>
        <v/>
      </c>
      <c r="BO440">
        <f>IF(427&lt;$U$9,MOD(INT(427/$U$8),$U$7)+1,1)</f>
        <v/>
      </c>
      <c r="BP440">
        <f>IF(427&lt;$U$9,MOD(427,$U$8)+1,1)</f>
        <v/>
      </c>
      <c r="BQ440">
        <f>IF(427&lt;$U$9,SUMPRODUCT(($D$10:$L$10&lt;&gt;"")*(($D$9:$L$9+INT(($S$12:$AA$12+INDEX($AJ$13:$AR$162,BN440,0)+INDEX($AT$13:$BB$162,BO440,0)+INDEX($BD$13:$BL$162,BP440,0))/100))&gt;=$D$10:$L$10)),0)</f>
        <v/>
      </c>
      <c r="BR440">
        <f>IF(427&lt;$U$9,SUMPRODUCT(($D$10:$L$10&lt;&gt;"")*(($D$10:$L$10-($D$9:$L$9+INT(($S$12:$AA$12+INDEX($AJ$13:$AR$162,BN440,0)+INDEX($AT$13:$BB$162,BO440,0)+INDEX($BD$13:$BL$162,BP440,0))/100)))&gt;0)*($D$10:$L$10-($D$9:$L$9+INT(($S$12:$AA$12+INDEX($AJ$13:$AR$162,BN440,0)+INDEX($AT$13:$BB$162,BO440,0)+INDEX($BD$13:$BL$162,BP440,0))/100)))),0)</f>
        <v/>
      </c>
      <c r="BS440">
        <f>IF(427&lt;$U$9,SUMPRODUCT(($D$9:$L$9+INT(($S$12:$AA$12+INDEX($AJ$13:$AR$162,BN440,0)+INDEX($AT$13:$BB$162,BO440,0)+INDEX($BD$13:$BL$162,BP440,0))/100))),0)</f>
        <v/>
      </c>
      <c r="BT440">
        <f>IF(AND(427&lt;$U$9,$W$5),BQ440*1000000-MIN(BR440,999)*1000+BS440-427/100000,-1000000000-427)</f>
        <v/>
      </c>
    </row>
    <row r="441">
      <c r="BN441">
        <f>IF(428&lt;$U$9,INT(428/($U$7*$U$8))+1,1)</f>
        <v/>
      </c>
      <c r="BO441">
        <f>IF(428&lt;$U$9,MOD(INT(428/$U$8),$U$7)+1,1)</f>
        <v/>
      </c>
      <c r="BP441">
        <f>IF(428&lt;$U$9,MOD(428,$U$8)+1,1)</f>
        <v/>
      </c>
      <c r="BQ441">
        <f>IF(428&lt;$U$9,SUMPRODUCT(($D$10:$L$10&lt;&gt;"")*(($D$9:$L$9+INT(($S$12:$AA$12+INDEX($AJ$13:$AR$162,BN441,0)+INDEX($AT$13:$BB$162,BO441,0)+INDEX($BD$13:$BL$162,BP441,0))/100))&gt;=$D$10:$L$10)),0)</f>
        <v/>
      </c>
      <c r="BR441">
        <f>IF(428&lt;$U$9,SUMPRODUCT(($D$10:$L$10&lt;&gt;"")*(($D$10:$L$10-($D$9:$L$9+INT(($S$12:$AA$12+INDEX($AJ$13:$AR$162,BN441,0)+INDEX($AT$13:$BB$162,BO441,0)+INDEX($BD$13:$BL$162,BP441,0))/100)))&gt;0)*($D$10:$L$10-($D$9:$L$9+INT(($S$12:$AA$12+INDEX($AJ$13:$AR$162,BN441,0)+INDEX($AT$13:$BB$162,BO441,0)+INDEX($BD$13:$BL$162,BP441,0))/100)))),0)</f>
        <v/>
      </c>
      <c r="BS441">
        <f>IF(428&lt;$U$9,SUMPRODUCT(($D$9:$L$9+INT(($S$12:$AA$12+INDEX($AJ$13:$AR$162,BN441,0)+INDEX($AT$13:$BB$162,BO441,0)+INDEX($BD$13:$BL$162,BP441,0))/100))),0)</f>
        <v/>
      </c>
      <c r="BT441">
        <f>IF(AND(428&lt;$U$9,$W$5),BQ441*1000000-MIN(BR441,999)*1000+BS441-428/100000,-1000000000-428)</f>
        <v/>
      </c>
    </row>
    <row r="442">
      <c r="BN442">
        <f>IF(429&lt;$U$9,INT(429/($U$7*$U$8))+1,1)</f>
        <v/>
      </c>
      <c r="BO442">
        <f>IF(429&lt;$U$9,MOD(INT(429/$U$8),$U$7)+1,1)</f>
        <v/>
      </c>
      <c r="BP442">
        <f>IF(429&lt;$U$9,MOD(429,$U$8)+1,1)</f>
        <v/>
      </c>
      <c r="BQ442">
        <f>IF(429&lt;$U$9,SUMPRODUCT(($D$10:$L$10&lt;&gt;"")*(($D$9:$L$9+INT(($S$12:$AA$12+INDEX($AJ$13:$AR$162,BN442,0)+INDEX($AT$13:$BB$162,BO442,0)+INDEX($BD$13:$BL$162,BP442,0))/100))&gt;=$D$10:$L$10)),0)</f>
        <v/>
      </c>
      <c r="BR442">
        <f>IF(429&lt;$U$9,SUMPRODUCT(($D$10:$L$10&lt;&gt;"")*(($D$10:$L$10-($D$9:$L$9+INT(($S$12:$AA$12+INDEX($AJ$13:$AR$162,BN442,0)+INDEX($AT$13:$BB$162,BO442,0)+INDEX($BD$13:$BL$162,BP442,0))/100)))&gt;0)*($D$10:$L$10-($D$9:$L$9+INT(($S$12:$AA$12+INDEX($AJ$13:$AR$162,BN442,0)+INDEX($AT$13:$BB$162,BO442,0)+INDEX($BD$13:$BL$162,BP442,0))/100)))),0)</f>
        <v/>
      </c>
      <c r="BS442">
        <f>IF(429&lt;$U$9,SUMPRODUCT(($D$9:$L$9+INT(($S$12:$AA$12+INDEX($AJ$13:$AR$162,BN442,0)+INDEX($AT$13:$BB$162,BO442,0)+INDEX($BD$13:$BL$162,BP442,0))/100))),0)</f>
        <v/>
      </c>
      <c r="BT442">
        <f>IF(AND(429&lt;$U$9,$W$5),BQ442*1000000-MIN(BR442,999)*1000+BS442-429/100000,-1000000000-429)</f>
        <v/>
      </c>
    </row>
    <row r="443">
      <c r="BN443">
        <f>IF(430&lt;$U$9,INT(430/($U$7*$U$8))+1,1)</f>
        <v/>
      </c>
      <c r="BO443">
        <f>IF(430&lt;$U$9,MOD(INT(430/$U$8),$U$7)+1,1)</f>
        <v/>
      </c>
      <c r="BP443">
        <f>IF(430&lt;$U$9,MOD(430,$U$8)+1,1)</f>
        <v/>
      </c>
      <c r="BQ443">
        <f>IF(430&lt;$U$9,SUMPRODUCT(($D$10:$L$10&lt;&gt;"")*(($D$9:$L$9+INT(($S$12:$AA$12+INDEX($AJ$13:$AR$162,BN443,0)+INDEX($AT$13:$BB$162,BO443,0)+INDEX($BD$13:$BL$162,BP443,0))/100))&gt;=$D$10:$L$10)),0)</f>
        <v/>
      </c>
      <c r="BR443">
        <f>IF(430&lt;$U$9,SUMPRODUCT(($D$10:$L$10&lt;&gt;"")*(($D$10:$L$10-($D$9:$L$9+INT(($S$12:$AA$12+INDEX($AJ$13:$AR$162,BN443,0)+INDEX($AT$13:$BB$162,BO443,0)+INDEX($BD$13:$BL$162,BP443,0))/100)))&gt;0)*($D$10:$L$10-($D$9:$L$9+INT(($S$12:$AA$12+INDEX($AJ$13:$AR$162,BN443,0)+INDEX($AT$13:$BB$162,BO443,0)+INDEX($BD$13:$BL$162,BP443,0))/100)))),0)</f>
        <v/>
      </c>
      <c r="BS443">
        <f>IF(430&lt;$U$9,SUMPRODUCT(($D$9:$L$9+INT(($S$12:$AA$12+INDEX($AJ$13:$AR$162,BN443,0)+INDEX($AT$13:$BB$162,BO443,0)+INDEX($BD$13:$BL$162,BP443,0))/100))),0)</f>
        <v/>
      </c>
      <c r="BT443">
        <f>IF(AND(430&lt;$U$9,$W$5),BQ443*1000000-MIN(BR443,999)*1000+BS443-430/100000,-1000000000-430)</f>
        <v/>
      </c>
    </row>
    <row r="444">
      <c r="BN444">
        <f>IF(431&lt;$U$9,INT(431/($U$7*$U$8))+1,1)</f>
        <v/>
      </c>
      <c r="BO444">
        <f>IF(431&lt;$U$9,MOD(INT(431/$U$8),$U$7)+1,1)</f>
        <v/>
      </c>
      <c r="BP444">
        <f>IF(431&lt;$U$9,MOD(431,$U$8)+1,1)</f>
        <v/>
      </c>
      <c r="BQ444">
        <f>IF(431&lt;$U$9,SUMPRODUCT(($D$10:$L$10&lt;&gt;"")*(($D$9:$L$9+INT(($S$12:$AA$12+INDEX($AJ$13:$AR$162,BN444,0)+INDEX($AT$13:$BB$162,BO444,0)+INDEX($BD$13:$BL$162,BP444,0))/100))&gt;=$D$10:$L$10)),0)</f>
        <v/>
      </c>
      <c r="BR444">
        <f>IF(431&lt;$U$9,SUMPRODUCT(($D$10:$L$10&lt;&gt;"")*(($D$10:$L$10-($D$9:$L$9+INT(($S$12:$AA$12+INDEX($AJ$13:$AR$162,BN444,0)+INDEX($AT$13:$BB$162,BO444,0)+INDEX($BD$13:$BL$162,BP444,0))/100)))&gt;0)*($D$10:$L$10-($D$9:$L$9+INT(($S$12:$AA$12+INDEX($AJ$13:$AR$162,BN444,0)+INDEX($AT$13:$BB$162,BO444,0)+INDEX($BD$13:$BL$162,BP444,0))/100)))),0)</f>
        <v/>
      </c>
      <c r="BS444">
        <f>IF(431&lt;$U$9,SUMPRODUCT(($D$9:$L$9+INT(($S$12:$AA$12+INDEX($AJ$13:$AR$162,BN444,0)+INDEX($AT$13:$BB$162,BO444,0)+INDEX($BD$13:$BL$162,BP444,0))/100))),0)</f>
        <v/>
      </c>
      <c r="BT444">
        <f>IF(AND(431&lt;$U$9,$W$5),BQ444*1000000-MIN(BR444,999)*1000+BS444-431/100000,-1000000000-431)</f>
        <v/>
      </c>
    </row>
    <row r="445">
      <c r="BN445">
        <f>IF(432&lt;$U$9,INT(432/($U$7*$U$8))+1,1)</f>
        <v/>
      </c>
      <c r="BO445">
        <f>IF(432&lt;$U$9,MOD(INT(432/$U$8),$U$7)+1,1)</f>
        <v/>
      </c>
      <c r="BP445">
        <f>IF(432&lt;$U$9,MOD(432,$U$8)+1,1)</f>
        <v/>
      </c>
      <c r="BQ445">
        <f>IF(432&lt;$U$9,SUMPRODUCT(($D$10:$L$10&lt;&gt;"")*(($D$9:$L$9+INT(($S$12:$AA$12+INDEX($AJ$13:$AR$162,BN445,0)+INDEX($AT$13:$BB$162,BO445,0)+INDEX($BD$13:$BL$162,BP445,0))/100))&gt;=$D$10:$L$10)),0)</f>
        <v/>
      </c>
      <c r="BR445">
        <f>IF(432&lt;$U$9,SUMPRODUCT(($D$10:$L$10&lt;&gt;"")*(($D$10:$L$10-($D$9:$L$9+INT(($S$12:$AA$12+INDEX($AJ$13:$AR$162,BN445,0)+INDEX($AT$13:$BB$162,BO445,0)+INDEX($BD$13:$BL$162,BP445,0))/100)))&gt;0)*($D$10:$L$10-($D$9:$L$9+INT(($S$12:$AA$12+INDEX($AJ$13:$AR$162,BN445,0)+INDEX($AT$13:$BB$162,BO445,0)+INDEX($BD$13:$BL$162,BP445,0))/100)))),0)</f>
        <v/>
      </c>
      <c r="BS445">
        <f>IF(432&lt;$U$9,SUMPRODUCT(($D$9:$L$9+INT(($S$12:$AA$12+INDEX($AJ$13:$AR$162,BN445,0)+INDEX($AT$13:$BB$162,BO445,0)+INDEX($BD$13:$BL$162,BP445,0))/100))),0)</f>
        <v/>
      </c>
      <c r="BT445">
        <f>IF(AND(432&lt;$U$9,$W$5),BQ445*1000000-MIN(BR445,999)*1000+BS445-432/100000,-1000000000-432)</f>
        <v/>
      </c>
    </row>
    <row r="446">
      <c r="BN446">
        <f>IF(433&lt;$U$9,INT(433/($U$7*$U$8))+1,1)</f>
        <v/>
      </c>
      <c r="BO446">
        <f>IF(433&lt;$U$9,MOD(INT(433/$U$8),$U$7)+1,1)</f>
        <v/>
      </c>
      <c r="BP446">
        <f>IF(433&lt;$U$9,MOD(433,$U$8)+1,1)</f>
        <v/>
      </c>
      <c r="BQ446">
        <f>IF(433&lt;$U$9,SUMPRODUCT(($D$10:$L$10&lt;&gt;"")*(($D$9:$L$9+INT(($S$12:$AA$12+INDEX($AJ$13:$AR$162,BN446,0)+INDEX($AT$13:$BB$162,BO446,0)+INDEX($BD$13:$BL$162,BP446,0))/100))&gt;=$D$10:$L$10)),0)</f>
        <v/>
      </c>
      <c r="BR446">
        <f>IF(433&lt;$U$9,SUMPRODUCT(($D$10:$L$10&lt;&gt;"")*(($D$10:$L$10-($D$9:$L$9+INT(($S$12:$AA$12+INDEX($AJ$13:$AR$162,BN446,0)+INDEX($AT$13:$BB$162,BO446,0)+INDEX($BD$13:$BL$162,BP446,0))/100)))&gt;0)*($D$10:$L$10-($D$9:$L$9+INT(($S$12:$AA$12+INDEX($AJ$13:$AR$162,BN446,0)+INDEX($AT$13:$BB$162,BO446,0)+INDEX($BD$13:$BL$162,BP446,0))/100)))),0)</f>
        <v/>
      </c>
      <c r="BS446">
        <f>IF(433&lt;$U$9,SUMPRODUCT(($D$9:$L$9+INT(($S$12:$AA$12+INDEX($AJ$13:$AR$162,BN446,0)+INDEX($AT$13:$BB$162,BO446,0)+INDEX($BD$13:$BL$162,BP446,0))/100))),0)</f>
        <v/>
      </c>
      <c r="BT446">
        <f>IF(AND(433&lt;$U$9,$W$5),BQ446*1000000-MIN(BR446,999)*1000+BS446-433/100000,-1000000000-433)</f>
        <v/>
      </c>
    </row>
    <row r="447">
      <c r="BN447">
        <f>IF(434&lt;$U$9,INT(434/($U$7*$U$8))+1,1)</f>
        <v/>
      </c>
      <c r="BO447">
        <f>IF(434&lt;$U$9,MOD(INT(434/$U$8),$U$7)+1,1)</f>
        <v/>
      </c>
      <c r="BP447">
        <f>IF(434&lt;$U$9,MOD(434,$U$8)+1,1)</f>
        <v/>
      </c>
      <c r="BQ447">
        <f>IF(434&lt;$U$9,SUMPRODUCT(($D$10:$L$10&lt;&gt;"")*(($D$9:$L$9+INT(($S$12:$AA$12+INDEX($AJ$13:$AR$162,BN447,0)+INDEX($AT$13:$BB$162,BO447,0)+INDEX($BD$13:$BL$162,BP447,0))/100))&gt;=$D$10:$L$10)),0)</f>
        <v/>
      </c>
      <c r="BR447">
        <f>IF(434&lt;$U$9,SUMPRODUCT(($D$10:$L$10&lt;&gt;"")*(($D$10:$L$10-($D$9:$L$9+INT(($S$12:$AA$12+INDEX($AJ$13:$AR$162,BN447,0)+INDEX($AT$13:$BB$162,BO447,0)+INDEX($BD$13:$BL$162,BP447,0))/100)))&gt;0)*($D$10:$L$10-($D$9:$L$9+INT(($S$12:$AA$12+INDEX($AJ$13:$AR$162,BN447,0)+INDEX($AT$13:$BB$162,BO447,0)+INDEX($BD$13:$BL$162,BP447,0))/100)))),0)</f>
        <v/>
      </c>
      <c r="BS447">
        <f>IF(434&lt;$U$9,SUMPRODUCT(($D$9:$L$9+INT(($S$12:$AA$12+INDEX($AJ$13:$AR$162,BN447,0)+INDEX($AT$13:$BB$162,BO447,0)+INDEX($BD$13:$BL$162,BP447,0))/100))),0)</f>
        <v/>
      </c>
      <c r="BT447">
        <f>IF(AND(434&lt;$U$9,$W$5),BQ447*1000000-MIN(BR447,999)*1000+BS447-434/100000,-1000000000-434)</f>
        <v/>
      </c>
    </row>
    <row r="448">
      <c r="BN448">
        <f>IF(435&lt;$U$9,INT(435/($U$7*$U$8))+1,1)</f>
        <v/>
      </c>
      <c r="BO448">
        <f>IF(435&lt;$U$9,MOD(INT(435/$U$8),$U$7)+1,1)</f>
        <v/>
      </c>
      <c r="BP448">
        <f>IF(435&lt;$U$9,MOD(435,$U$8)+1,1)</f>
        <v/>
      </c>
      <c r="BQ448">
        <f>IF(435&lt;$U$9,SUMPRODUCT(($D$10:$L$10&lt;&gt;"")*(($D$9:$L$9+INT(($S$12:$AA$12+INDEX($AJ$13:$AR$162,BN448,0)+INDEX($AT$13:$BB$162,BO448,0)+INDEX($BD$13:$BL$162,BP448,0))/100))&gt;=$D$10:$L$10)),0)</f>
        <v/>
      </c>
      <c r="BR448">
        <f>IF(435&lt;$U$9,SUMPRODUCT(($D$10:$L$10&lt;&gt;"")*(($D$10:$L$10-($D$9:$L$9+INT(($S$12:$AA$12+INDEX($AJ$13:$AR$162,BN448,0)+INDEX($AT$13:$BB$162,BO448,0)+INDEX($BD$13:$BL$162,BP448,0))/100)))&gt;0)*($D$10:$L$10-($D$9:$L$9+INT(($S$12:$AA$12+INDEX($AJ$13:$AR$162,BN448,0)+INDEX($AT$13:$BB$162,BO448,0)+INDEX($BD$13:$BL$162,BP448,0))/100)))),0)</f>
        <v/>
      </c>
      <c r="BS448">
        <f>IF(435&lt;$U$9,SUMPRODUCT(($D$9:$L$9+INT(($S$12:$AA$12+INDEX($AJ$13:$AR$162,BN448,0)+INDEX($AT$13:$BB$162,BO448,0)+INDEX($BD$13:$BL$162,BP448,0))/100))),0)</f>
        <v/>
      </c>
      <c r="BT448">
        <f>IF(AND(435&lt;$U$9,$W$5),BQ448*1000000-MIN(BR448,999)*1000+BS448-435/100000,-1000000000-435)</f>
        <v/>
      </c>
    </row>
    <row r="449">
      <c r="BN449">
        <f>IF(436&lt;$U$9,INT(436/($U$7*$U$8))+1,1)</f>
        <v/>
      </c>
      <c r="BO449">
        <f>IF(436&lt;$U$9,MOD(INT(436/$U$8),$U$7)+1,1)</f>
        <v/>
      </c>
      <c r="BP449">
        <f>IF(436&lt;$U$9,MOD(436,$U$8)+1,1)</f>
        <v/>
      </c>
      <c r="BQ449">
        <f>IF(436&lt;$U$9,SUMPRODUCT(($D$10:$L$10&lt;&gt;"")*(($D$9:$L$9+INT(($S$12:$AA$12+INDEX($AJ$13:$AR$162,BN449,0)+INDEX($AT$13:$BB$162,BO449,0)+INDEX($BD$13:$BL$162,BP449,0))/100))&gt;=$D$10:$L$10)),0)</f>
        <v/>
      </c>
      <c r="BR449">
        <f>IF(436&lt;$U$9,SUMPRODUCT(($D$10:$L$10&lt;&gt;"")*(($D$10:$L$10-($D$9:$L$9+INT(($S$12:$AA$12+INDEX($AJ$13:$AR$162,BN449,0)+INDEX($AT$13:$BB$162,BO449,0)+INDEX($BD$13:$BL$162,BP449,0))/100)))&gt;0)*($D$10:$L$10-($D$9:$L$9+INT(($S$12:$AA$12+INDEX($AJ$13:$AR$162,BN449,0)+INDEX($AT$13:$BB$162,BO449,0)+INDEX($BD$13:$BL$162,BP449,0))/100)))),0)</f>
        <v/>
      </c>
      <c r="BS449">
        <f>IF(436&lt;$U$9,SUMPRODUCT(($D$9:$L$9+INT(($S$12:$AA$12+INDEX($AJ$13:$AR$162,BN449,0)+INDEX($AT$13:$BB$162,BO449,0)+INDEX($BD$13:$BL$162,BP449,0))/100))),0)</f>
        <v/>
      </c>
      <c r="BT449">
        <f>IF(AND(436&lt;$U$9,$W$5),BQ449*1000000-MIN(BR449,999)*1000+BS449-436/100000,-1000000000-436)</f>
        <v/>
      </c>
    </row>
    <row r="450">
      <c r="BN450">
        <f>IF(437&lt;$U$9,INT(437/($U$7*$U$8))+1,1)</f>
        <v/>
      </c>
      <c r="BO450">
        <f>IF(437&lt;$U$9,MOD(INT(437/$U$8),$U$7)+1,1)</f>
        <v/>
      </c>
      <c r="BP450">
        <f>IF(437&lt;$U$9,MOD(437,$U$8)+1,1)</f>
        <v/>
      </c>
      <c r="BQ450">
        <f>IF(437&lt;$U$9,SUMPRODUCT(($D$10:$L$10&lt;&gt;"")*(($D$9:$L$9+INT(($S$12:$AA$12+INDEX($AJ$13:$AR$162,BN450,0)+INDEX($AT$13:$BB$162,BO450,0)+INDEX($BD$13:$BL$162,BP450,0))/100))&gt;=$D$10:$L$10)),0)</f>
        <v/>
      </c>
      <c r="BR450">
        <f>IF(437&lt;$U$9,SUMPRODUCT(($D$10:$L$10&lt;&gt;"")*(($D$10:$L$10-($D$9:$L$9+INT(($S$12:$AA$12+INDEX($AJ$13:$AR$162,BN450,0)+INDEX($AT$13:$BB$162,BO450,0)+INDEX($BD$13:$BL$162,BP450,0))/100)))&gt;0)*($D$10:$L$10-($D$9:$L$9+INT(($S$12:$AA$12+INDEX($AJ$13:$AR$162,BN450,0)+INDEX($AT$13:$BB$162,BO450,0)+INDEX($BD$13:$BL$162,BP450,0))/100)))),0)</f>
        <v/>
      </c>
      <c r="BS450">
        <f>IF(437&lt;$U$9,SUMPRODUCT(($D$9:$L$9+INT(($S$12:$AA$12+INDEX($AJ$13:$AR$162,BN450,0)+INDEX($AT$13:$BB$162,BO450,0)+INDEX($BD$13:$BL$162,BP450,0))/100))),0)</f>
        <v/>
      </c>
      <c r="BT450">
        <f>IF(AND(437&lt;$U$9,$W$5),BQ450*1000000-MIN(BR450,999)*1000+BS450-437/100000,-1000000000-437)</f>
        <v/>
      </c>
    </row>
    <row r="451">
      <c r="BN451">
        <f>IF(438&lt;$U$9,INT(438/($U$7*$U$8))+1,1)</f>
        <v/>
      </c>
      <c r="BO451">
        <f>IF(438&lt;$U$9,MOD(INT(438/$U$8),$U$7)+1,1)</f>
        <v/>
      </c>
      <c r="BP451">
        <f>IF(438&lt;$U$9,MOD(438,$U$8)+1,1)</f>
        <v/>
      </c>
      <c r="BQ451">
        <f>IF(438&lt;$U$9,SUMPRODUCT(($D$10:$L$10&lt;&gt;"")*(($D$9:$L$9+INT(($S$12:$AA$12+INDEX($AJ$13:$AR$162,BN451,0)+INDEX($AT$13:$BB$162,BO451,0)+INDEX($BD$13:$BL$162,BP451,0))/100))&gt;=$D$10:$L$10)),0)</f>
        <v/>
      </c>
      <c r="BR451">
        <f>IF(438&lt;$U$9,SUMPRODUCT(($D$10:$L$10&lt;&gt;"")*(($D$10:$L$10-($D$9:$L$9+INT(($S$12:$AA$12+INDEX($AJ$13:$AR$162,BN451,0)+INDEX($AT$13:$BB$162,BO451,0)+INDEX($BD$13:$BL$162,BP451,0))/100)))&gt;0)*($D$10:$L$10-($D$9:$L$9+INT(($S$12:$AA$12+INDEX($AJ$13:$AR$162,BN451,0)+INDEX($AT$13:$BB$162,BO451,0)+INDEX($BD$13:$BL$162,BP451,0))/100)))),0)</f>
        <v/>
      </c>
      <c r="BS451">
        <f>IF(438&lt;$U$9,SUMPRODUCT(($D$9:$L$9+INT(($S$12:$AA$12+INDEX($AJ$13:$AR$162,BN451,0)+INDEX($AT$13:$BB$162,BO451,0)+INDEX($BD$13:$BL$162,BP451,0))/100))),0)</f>
        <v/>
      </c>
      <c r="BT451">
        <f>IF(AND(438&lt;$U$9,$W$5),BQ451*1000000-MIN(BR451,999)*1000+BS451-438/100000,-1000000000-438)</f>
        <v/>
      </c>
    </row>
    <row r="452">
      <c r="BN452">
        <f>IF(439&lt;$U$9,INT(439/($U$7*$U$8))+1,1)</f>
        <v/>
      </c>
      <c r="BO452">
        <f>IF(439&lt;$U$9,MOD(INT(439/$U$8),$U$7)+1,1)</f>
        <v/>
      </c>
      <c r="BP452">
        <f>IF(439&lt;$U$9,MOD(439,$U$8)+1,1)</f>
        <v/>
      </c>
      <c r="BQ452">
        <f>IF(439&lt;$U$9,SUMPRODUCT(($D$10:$L$10&lt;&gt;"")*(($D$9:$L$9+INT(($S$12:$AA$12+INDEX($AJ$13:$AR$162,BN452,0)+INDEX($AT$13:$BB$162,BO452,0)+INDEX($BD$13:$BL$162,BP452,0))/100))&gt;=$D$10:$L$10)),0)</f>
        <v/>
      </c>
      <c r="BR452">
        <f>IF(439&lt;$U$9,SUMPRODUCT(($D$10:$L$10&lt;&gt;"")*(($D$10:$L$10-($D$9:$L$9+INT(($S$12:$AA$12+INDEX($AJ$13:$AR$162,BN452,0)+INDEX($AT$13:$BB$162,BO452,0)+INDEX($BD$13:$BL$162,BP452,0))/100)))&gt;0)*($D$10:$L$10-($D$9:$L$9+INT(($S$12:$AA$12+INDEX($AJ$13:$AR$162,BN452,0)+INDEX($AT$13:$BB$162,BO452,0)+INDEX($BD$13:$BL$162,BP452,0))/100)))),0)</f>
        <v/>
      </c>
      <c r="BS452">
        <f>IF(439&lt;$U$9,SUMPRODUCT(($D$9:$L$9+INT(($S$12:$AA$12+INDEX($AJ$13:$AR$162,BN452,0)+INDEX($AT$13:$BB$162,BO452,0)+INDEX($BD$13:$BL$162,BP452,0))/100))),0)</f>
        <v/>
      </c>
      <c r="BT452">
        <f>IF(AND(439&lt;$U$9,$W$5),BQ452*1000000-MIN(BR452,999)*1000+BS452-439/100000,-1000000000-439)</f>
        <v/>
      </c>
    </row>
    <row r="453">
      <c r="BN453">
        <f>IF(440&lt;$U$9,INT(440/($U$7*$U$8))+1,1)</f>
        <v/>
      </c>
      <c r="BO453">
        <f>IF(440&lt;$U$9,MOD(INT(440/$U$8),$U$7)+1,1)</f>
        <v/>
      </c>
      <c r="BP453">
        <f>IF(440&lt;$U$9,MOD(440,$U$8)+1,1)</f>
        <v/>
      </c>
      <c r="BQ453">
        <f>IF(440&lt;$U$9,SUMPRODUCT(($D$10:$L$10&lt;&gt;"")*(($D$9:$L$9+INT(($S$12:$AA$12+INDEX($AJ$13:$AR$162,BN453,0)+INDEX($AT$13:$BB$162,BO453,0)+INDEX($BD$13:$BL$162,BP453,0))/100))&gt;=$D$10:$L$10)),0)</f>
        <v/>
      </c>
      <c r="BR453">
        <f>IF(440&lt;$U$9,SUMPRODUCT(($D$10:$L$10&lt;&gt;"")*(($D$10:$L$10-($D$9:$L$9+INT(($S$12:$AA$12+INDEX($AJ$13:$AR$162,BN453,0)+INDEX($AT$13:$BB$162,BO453,0)+INDEX($BD$13:$BL$162,BP453,0))/100)))&gt;0)*($D$10:$L$10-($D$9:$L$9+INT(($S$12:$AA$12+INDEX($AJ$13:$AR$162,BN453,0)+INDEX($AT$13:$BB$162,BO453,0)+INDEX($BD$13:$BL$162,BP453,0))/100)))),0)</f>
        <v/>
      </c>
      <c r="BS453">
        <f>IF(440&lt;$U$9,SUMPRODUCT(($D$9:$L$9+INT(($S$12:$AA$12+INDEX($AJ$13:$AR$162,BN453,0)+INDEX($AT$13:$BB$162,BO453,0)+INDEX($BD$13:$BL$162,BP453,0))/100))),0)</f>
        <v/>
      </c>
      <c r="BT453">
        <f>IF(AND(440&lt;$U$9,$W$5),BQ453*1000000-MIN(BR453,999)*1000+BS453-440/100000,-1000000000-440)</f>
        <v/>
      </c>
    </row>
    <row r="454">
      <c r="BN454">
        <f>IF(441&lt;$U$9,INT(441/($U$7*$U$8))+1,1)</f>
        <v/>
      </c>
      <c r="BO454">
        <f>IF(441&lt;$U$9,MOD(INT(441/$U$8),$U$7)+1,1)</f>
        <v/>
      </c>
      <c r="BP454">
        <f>IF(441&lt;$U$9,MOD(441,$U$8)+1,1)</f>
        <v/>
      </c>
      <c r="BQ454">
        <f>IF(441&lt;$U$9,SUMPRODUCT(($D$10:$L$10&lt;&gt;"")*(($D$9:$L$9+INT(($S$12:$AA$12+INDEX($AJ$13:$AR$162,BN454,0)+INDEX($AT$13:$BB$162,BO454,0)+INDEX($BD$13:$BL$162,BP454,0))/100))&gt;=$D$10:$L$10)),0)</f>
        <v/>
      </c>
      <c r="BR454">
        <f>IF(441&lt;$U$9,SUMPRODUCT(($D$10:$L$10&lt;&gt;"")*(($D$10:$L$10-($D$9:$L$9+INT(($S$12:$AA$12+INDEX($AJ$13:$AR$162,BN454,0)+INDEX($AT$13:$BB$162,BO454,0)+INDEX($BD$13:$BL$162,BP454,0))/100)))&gt;0)*($D$10:$L$10-($D$9:$L$9+INT(($S$12:$AA$12+INDEX($AJ$13:$AR$162,BN454,0)+INDEX($AT$13:$BB$162,BO454,0)+INDEX($BD$13:$BL$162,BP454,0))/100)))),0)</f>
        <v/>
      </c>
      <c r="BS454">
        <f>IF(441&lt;$U$9,SUMPRODUCT(($D$9:$L$9+INT(($S$12:$AA$12+INDEX($AJ$13:$AR$162,BN454,0)+INDEX($AT$13:$BB$162,BO454,0)+INDEX($BD$13:$BL$162,BP454,0))/100))),0)</f>
        <v/>
      </c>
      <c r="BT454">
        <f>IF(AND(441&lt;$U$9,$W$5),BQ454*1000000-MIN(BR454,999)*1000+BS454-441/100000,-1000000000-441)</f>
        <v/>
      </c>
    </row>
    <row r="455">
      <c r="BN455">
        <f>IF(442&lt;$U$9,INT(442/($U$7*$U$8))+1,1)</f>
        <v/>
      </c>
      <c r="BO455">
        <f>IF(442&lt;$U$9,MOD(INT(442/$U$8),$U$7)+1,1)</f>
        <v/>
      </c>
      <c r="BP455">
        <f>IF(442&lt;$U$9,MOD(442,$U$8)+1,1)</f>
        <v/>
      </c>
      <c r="BQ455">
        <f>IF(442&lt;$U$9,SUMPRODUCT(($D$10:$L$10&lt;&gt;"")*(($D$9:$L$9+INT(($S$12:$AA$12+INDEX($AJ$13:$AR$162,BN455,0)+INDEX($AT$13:$BB$162,BO455,0)+INDEX($BD$13:$BL$162,BP455,0))/100))&gt;=$D$10:$L$10)),0)</f>
        <v/>
      </c>
      <c r="BR455">
        <f>IF(442&lt;$U$9,SUMPRODUCT(($D$10:$L$10&lt;&gt;"")*(($D$10:$L$10-($D$9:$L$9+INT(($S$12:$AA$12+INDEX($AJ$13:$AR$162,BN455,0)+INDEX($AT$13:$BB$162,BO455,0)+INDEX($BD$13:$BL$162,BP455,0))/100)))&gt;0)*($D$10:$L$10-($D$9:$L$9+INT(($S$12:$AA$12+INDEX($AJ$13:$AR$162,BN455,0)+INDEX($AT$13:$BB$162,BO455,0)+INDEX($BD$13:$BL$162,BP455,0))/100)))),0)</f>
        <v/>
      </c>
      <c r="BS455">
        <f>IF(442&lt;$U$9,SUMPRODUCT(($D$9:$L$9+INT(($S$12:$AA$12+INDEX($AJ$13:$AR$162,BN455,0)+INDEX($AT$13:$BB$162,BO455,0)+INDEX($BD$13:$BL$162,BP455,0))/100))),0)</f>
        <v/>
      </c>
      <c r="BT455">
        <f>IF(AND(442&lt;$U$9,$W$5),BQ455*1000000-MIN(BR455,999)*1000+BS455-442/100000,-1000000000-442)</f>
        <v/>
      </c>
    </row>
    <row r="456">
      <c r="BN456">
        <f>IF(443&lt;$U$9,INT(443/($U$7*$U$8))+1,1)</f>
        <v/>
      </c>
      <c r="BO456">
        <f>IF(443&lt;$U$9,MOD(INT(443/$U$8),$U$7)+1,1)</f>
        <v/>
      </c>
      <c r="BP456">
        <f>IF(443&lt;$U$9,MOD(443,$U$8)+1,1)</f>
        <v/>
      </c>
      <c r="BQ456">
        <f>IF(443&lt;$U$9,SUMPRODUCT(($D$10:$L$10&lt;&gt;"")*(($D$9:$L$9+INT(($S$12:$AA$12+INDEX($AJ$13:$AR$162,BN456,0)+INDEX($AT$13:$BB$162,BO456,0)+INDEX($BD$13:$BL$162,BP456,0))/100))&gt;=$D$10:$L$10)),0)</f>
        <v/>
      </c>
      <c r="BR456">
        <f>IF(443&lt;$U$9,SUMPRODUCT(($D$10:$L$10&lt;&gt;"")*(($D$10:$L$10-($D$9:$L$9+INT(($S$12:$AA$12+INDEX($AJ$13:$AR$162,BN456,0)+INDEX($AT$13:$BB$162,BO456,0)+INDEX($BD$13:$BL$162,BP456,0))/100)))&gt;0)*($D$10:$L$10-($D$9:$L$9+INT(($S$12:$AA$12+INDEX($AJ$13:$AR$162,BN456,0)+INDEX($AT$13:$BB$162,BO456,0)+INDEX($BD$13:$BL$162,BP456,0))/100)))),0)</f>
        <v/>
      </c>
      <c r="BS456">
        <f>IF(443&lt;$U$9,SUMPRODUCT(($D$9:$L$9+INT(($S$12:$AA$12+INDEX($AJ$13:$AR$162,BN456,0)+INDEX($AT$13:$BB$162,BO456,0)+INDEX($BD$13:$BL$162,BP456,0))/100))),0)</f>
        <v/>
      </c>
      <c r="BT456">
        <f>IF(AND(443&lt;$U$9,$W$5),BQ456*1000000-MIN(BR456,999)*1000+BS456-443/100000,-1000000000-443)</f>
        <v/>
      </c>
    </row>
    <row r="457">
      <c r="BN457">
        <f>IF(444&lt;$U$9,INT(444/($U$7*$U$8))+1,1)</f>
        <v/>
      </c>
      <c r="BO457">
        <f>IF(444&lt;$U$9,MOD(INT(444/$U$8),$U$7)+1,1)</f>
        <v/>
      </c>
      <c r="BP457">
        <f>IF(444&lt;$U$9,MOD(444,$U$8)+1,1)</f>
        <v/>
      </c>
      <c r="BQ457">
        <f>IF(444&lt;$U$9,SUMPRODUCT(($D$10:$L$10&lt;&gt;"")*(($D$9:$L$9+INT(($S$12:$AA$12+INDEX($AJ$13:$AR$162,BN457,0)+INDEX($AT$13:$BB$162,BO457,0)+INDEX($BD$13:$BL$162,BP457,0))/100))&gt;=$D$10:$L$10)),0)</f>
        <v/>
      </c>
      <c r="BR457">
        <f>IF(444&lt;$U$9,SUMPRODUCT(($D$10:$L$10&lt;&gt;"")*(($D$10:$L$10-($D$9:$L$9+INT(($S$12:$AA$12+INDEX($AJ$13:$AR$162,BN457,0)+INDEX($AT$13:$BB$162,BO457,0)+INDEX($BD$13:$BL$162,BP457,0))/100)))&gt;0)*($D$10:$L$10-($D$9:$L$9+INT(($S$12:$AA$12+INDEX($AJ$13:$AR$162,BN457,0)+INDEX($AT$13:$BB$162,BO457,0)+INDEX($BD$13:$BL$162,BP457,0))/100)))),0)</f>
        <v/>
      </c>
      <c r="BS457">
        <f>IF(444&lt;$U$9,SUMPRODUCT(($D$9:$L$9+INT(($S$12:$AA$12+INDEX($AJ$13:$AR$162,BN457,0)+INDEX($AT$13:$BB$162,BO457,0)+INDEX($BD$13:$BL$162,BP457,0))/100))),0)</f>
        <v/>
      </c>
      <c r="BT457">
        <f>IF(AND(444&lt;$U$9,$W$5),BQ457*1000000-MIN(BR457,999)*1000+BS457-444/100000,-1000000000-444)</f>
        <v/>
      </c>
    </row>
    <row r="458">
      <c r="BN458">
        <f>IF(445&lt;$U$9,INT(445/($U$7*$U$8))+1,1)</f>
        <v/>
      </c>
      <c r="BO458">
        <f>IF(445&lt;$U$9,MOD(INT(445/$U$8),$U$7)+1,1)</f>
        <v/>
      </c>
      <c r="BP458">
        <f>IF(445&lt;$U$9,MOD(445,$U$8)+1,1)</f>
        <v/>
      </c>
      <c r="BQ458">
        <f>IF(445&lt;$U$9,SUMPRODUCT(($D$10:$L$10&lt;&gt;"")*(($D$9:$L$9+INT(($S$12:$AA$12+INDEX($AJ$13:$AR$162,BN458,0)+INDEX($AT$13:$BB$162,BO458,0)+INDEX($BD$13:$BL$162,BP458,0))/100))&gt;=$D$10:$L$10)),0)</f>
        <v/>
      </c>
      <c r="BR458">
        <f>IF(445&lt;$U$9,SUMPRODUCT(($D$10:$L$10&lt;&gt;"")*(($D$10:$L$10-($D$9:$L$9+INT(($S$12:$AA$12+INDEX($AJ$13:$AR$162,BN458,0)+INDEX($AT$13:$BB$162,BO458,0)+INDEX($BD$13:$BL$162,BP458,0))/100)))&gt;0)*($D$10:$L$10-($D$9:$L$9+INT(($S$12:$AA$12+INDEX($AJ$13:$AR$162,BN458,0)+INDEX($AT$13:$BB$162,BO458,0)+INDEX($BD$13:$BL$162,BP458,0))/100)))),0)</f>
        <v/>
      </c>
      <c r="BS458">
        <f>IF(445&lt;$U$9,SUMPRODUCT(($D$9:$L$9+INT(($S$12:$AA$12+INDEX($AJ$13:$AR$162,BN458,0)+INDEX($AT$13:$BB$162,BO458,0)+INDEX($BD$13:$BL$162,BP458,0))/100))),0)</f>
        <v/>
      </c>
      <c r="BT458">
        <f>IF(AND(445&lt;$U$9,$W$5),BQ458*1000000-MIN(BR458,999)*1000+BS458-445/100000,-1000000000-445)</f>
        <v/>
      </c>
    </row>
    <row r="459">
      <c r="BN459">
        <f>IF(446&lt;$U$9,INT(446/($U$7*$U$8))+1,1)</f>
        <v/>
      </c>
      <c r="BO459">
        <f>IF(446&lt;$U$9,MOD(INT(446/$U$8),$U$7)+1,1)</f>
        <v/>
      </c>
      <c r="BP459">
        <f>IF(446&lt;$U$9,MOD(446,$U$8)+1,1)</f>
        <v/>
      </c>
      <c r="BQ459">
        <f>IF(446&lt;$U$9,SUMPRODUCT(($D$10:$L$10&lt;&gt;"")*(($D$9:$L$9+INT(($S$12:$AA$12+INDEX($AJ$13:$AR$162,BN459,0)+INDEX($AT$13:$BB$162,BO459,0)+INDEX($BD$13:$BL$162,BP459,0))/100))&gt;=$D$10:$L$10)),0)</f>
        <v/>
      </c>
      <c r="BR459">
        <f>IF(446&lt;$U$9,SUMPRODUCT(($D$10:$L$10&lt;&gt;"")*(($D$10:$L$10-($D$9:$L$9+INT(($S$12:$AA$12+INDEX($AJ$13:$AR$162,BN459,0)+INDEX($AT$13:$BB$162,BO459,0)+INDEX($BD$13:$BL$162,BP459,0))/100)))&gt;0)*($D$10:$L$10-($D$9:$L$9+INT(($S$12:$AA$12+INDEX($AJ$13:$AR$162,BN459,0)+INDEX($AT$13:$BB$162,BO459,0)+INDEX($BD$13:$BL$162,BP459,0))/100)))),0)</f>
        <v/>
      </c>
      <c r="BS459">
        <f>IF(446&lt;$U$9,SUMPRODUCT(($D$9:$L$9+INT(($S$12:$AA$12+INDEX($AJ$13:$AR$162,BN459,0)+INDEX($AT$13:$BB$162,BO459,0)+INDEX($BD$13:$BL$162,BP459,0))/100))),0)</f>
        <v/>
      </c>
      <c r="BT459">
        <f>IF(AND(446&lt;$U$9,$W$5),BQ459*1000000-MIN(BR459,999)*1000+BS459-446/100000,-1000000000-446)</f>
        <v/>
      </c>
    </row>
    <row r="460">
      <c r="BN460">
        <f>IF(447&lt;$U$9,INT(447/($U$7*$U$8))+1,1)</f>
        <v/>
      </c>
      <c r="BO460">
        <f>IF(447&lt;$U$9,MOD(INT(447/$U$8),$U$7)+1,1)</f>
        <v/>
      </c>
      <c r="BP460">
        <f>IF(447&lt;$U$9,MOD(447,$U$8)+1,1)</f>
        <v/>
      </c>
      <c r="BQ460">
        <f>IF(447&lt;$U$9,SUMPRODUCT(($D$10:$L$10&lt;&gt;"")*(($D$9:$L$9+INT(($S$12:$AA$12+INDEX($AJ$13:$AR$162,BN460,0)+INDEX($AT$13:$BB$162,BO460,0)+INDEX($BD$13:$BL$162,BP460,0))/100))&gt;=$D$10:$L$10)),0)</f>
        <v/>
      </c>
      <c r="BR460">
        <f>IF(447&lt;$U$9,SUMPRODUCT(($D$10:$L$10&lt;&gt;"")*(($D$10:$L$10-($D$9:$L$9+INT(($S$12:$AA$12+INDEX($AJ$13:$AR$162,BN460,0)+INDEX($AT$13:$BB$162,BO460,0)+INDEX($BD$13:$BL$162,BP460,0))/100)))&gt;0)*($D$10:$L$10-($D$9:$L$9+INT(($S$12:$AA$12+INDEX($AJ$13:$AR$162,BN460,0)+INDEX($AT$13:$BB$162,BO460,0)+INDEX($BD$13:$BL$162,BP460,0))/100)))),0)</f>
        <v/>
      </c>
      <c r="BS460">
        <f>IF(447&lt;$U$9,SUMPRODUCT(($D$9:$L$9+INT(($S$12:$AA$12+INDEX($AJ$13:$AR$162,BN460,0)+INDEX($AT$13:$BB$162,BO460,0)+INDEX($BD$13:$BL$162,BP460,0))/100))),0)</f>
        <v/>
      </c>
      <c r="BT460">
        <f>IF(AND(447&lt;$U$9,$W$5),BQ460*1000000-MIN(BR460,999)*1000+BS460-447/100000,-1000000000-447)</f>
        <v/>
      </c>
    </row>
    <row r="461">
      <c r="BN461">
        <f>IF(448&lt;$U$9,INT(448/($U$7*$U$8))+1,1)</f>
        <v/>
      </c>
      <c r="BO461">
        <f>IF(448&lt;$U$9,MOD(INT(448/$U$8),$U$7)+1,1)</f>
        <v/>
      </c>
      <c r="BP461">
        <f>IF(448&lt;$U$9,MOD(448,$U$8)+1,1)</f>
        <v/>
      </c>
      <c r="BQ461">
        <f>IF(448&lt;$U$9,SUMPRODUCT(($D$10:$L$10&lt;&gt;"")*(($D$9:$L$9+INT(($S$12:$AA$12+INDEX($AJ$13:$AR$162,BN461,0)+INDEX($AT$13:$BB$162,BO461,0)+INDEX($BD$13:$BL$162,BP461,0))/100))&gt;=$D$10:$L$10)),0)</f>
        <v/>
      </c>
      <c r="BR461">
        <f>IF(448&lt;$U$9,SUMPRODUCT(($D$10:$L$10&lt;&gt;"")*(($D$10:$L$10-($D$9:$L$9+INT(($S$12:$AA$12+INDEX($AJ$13:$AR$162,BN461,0)+INDEX($AT$13:$BB$162,BO461,0)+INDEX($BD$13:$BL$162,BP461,0))/100)))&gt;0)*($D$10:$L$10-($D$9:$L$9+INT(($S$12:$AA$12+INDEX($AJ$13:$AR$162,BN461,0)+INDEX($AT$13:$BB$162,BO461,0)+INDEX($BD$13:$BL$162,BP461,0))/100)))),0)</f>
        <v/>
      </c>
      <c r="BS461">
        <f>IF(448&lt;$U$9,SUMPRODUCT(($D$9:$L$9+INT(($S$12:$AA$12+INDEX($AJ$13:$AR$162,BN461,0)+INDEX($AT$13:$BB$162,BO461,0)+INDEX($BD$13:$BL$162,BP461,0))/100))),0)</f>
        <v/>
      </c>
      <c r="BT461">
        <f>IF(AND(448&lt;$U$9,$W$5),BQ461*1000000-MIN(BR461,999)*1000+BS461-448/100000,-1000000000-448)</f>
        <v/>
      </c>
    </row>
    <row r="462">
      <c r="BN462">
        <f>IF(449&lt;$U$9,INT(449/($U$7*$U$8))+1,1)</f>
        <v/>
      </c>
      <c r="BO462">
        <f>IF(449&lt;$U$9,MOD(INT(449/$U$8),$U$7)+1,1)</f>
        <v/>
      </c>
      <c r="BP462">
        <f>IF(449&lt;$U$9,MOD(449,$U$8)+1,1)</f>
        <v/>
      </c>
      <c r="BQ462">
        <f>IF(449&lt;$U$9,SUMPRODUCT(($D$10:$L$10&lt;&gt;"")*(($D$9:$L$9+INT(($S$12:$AA$12+INDEX($AJ$13:$AR$162,BN462,0)+INDEX($AT$13:$BB$162,BO462,0)+INDEX($BD$13:$BL$162,BP462,0))/100))&gt;=$D$10:$L$10)),0)</f>
        <v/>
      </c>
      <c r="BR462">
        <f>IF(449&lt;$U$9,SUMPRODUCT(($D$10:$L$10&lt;&gt;"")*(($D$10:$L$10-($D$9:$L$9+INT(($S$12:$AA$12+INDEX($AJ$13:$AR$162,BN462,0)+INDEX($AT$13:$BB$162,BO462,0)+INDEX($BD$13:$BL$162,BP462,0))/100)))&gt;0)*($D$10:$L$10-($D$9:$L$9+INT(($S$12:$AA$12+INDEX($AJ$13:$AR$162,BN462,0)+INDEX($AT$13:$BB$162,BO462,0)+INDEX($BD$13:$BL$162,BP462,0))/100)))),0)</f>
        <v/>
      </c>
      <c r="BS462">
        <f>IF(449&lt;$U$9,SUMPRODUCT(($D$9:$L$9+INT(($S$12:$AA$12+INDEX($AJ$13:$AR$162,BN462,0)+INDEX($AT$13:$BB$162,BO462,0)+INDEX($BD$13:$BL$162,BP462,0))/100))),0)</f>
        <v/>
      </c>
      <c r="BT462">
        <f>IF(AND(449&lt;$U$9,$W$5),BQ462*1000000-MIN(BR462,999)*1000+BS462-449/100000,-1000000000-449)</f>
        <v/>
      </c>
    </row>
    <row r="463">
      <c r="BN463">
        <f>IF(450&lt;$U$9,INT(450/($U$7*$U$8))+1,1)</f>
        <v/>
      </c>
      <c r="BO463">
        <f>IF(450&lt;$U$9,MOD(INT(450/$U$8),$U$7)+1,1)</f>
        <v/>
      </c>
      <c r="BP463">
        <f>IF(450&lt;$U$9,MOD(450,$U$8)+1,1)</f>
        <v/>
      </c>
      <c r="BQ463">
        <f>IF(450&lt;$U$9,SUMPRODUCT(($D$10:$L$10&lt;&gt;"")*(($D$9:$L$9+INT(($S$12:$AA$12+INDEX($AJ$13:$AR$162,BN463,0)+INDEX($AT$13:$BB$162,BO463,0)+INDEX($BD$13:$BL$162,BP463,0))/100))&gt;=$D$10:$L$10)),0)</f>
        <v/>
      </c>
      <c r="BR463">
        <f>IF(450&lt;$U$9,SUMPRODUCT(($D$10:$L$10&lt;&gt;"")*(($D$10:$L$10-($D$9:$L$9+INT(($S$12:$AA$12+INDEX($AJ$13:$AR$162,BN463,0)+INDEX($AT$13:$BB$162,BO463,0)+INDEX($BD$13:$BL$162,BP463,0))/100)))&gt;0)*($D$10:$L$10-($D$9:$L$9+INT(($S$12:$AA$12+INDEX($AJ$13:$AR$162,BN463,0)+INDEX($AT$13:$BB$162,BO463,0)+INDEX($BD$13:$BL$162,BP463,0))/100)))),0)</f>
        <v/>
      </c>
      <c r="BS463">
        <f>IF(450&lt;$U$9,SUMPRODUCT(($D$9:$L$9+INT(($S$12:$AA$12+INDEX($AJ$13:$AR$162,BN463,0)+INDEX($AT$13:$BB$162,BO463,0)+INDEX($BD$13:$BL$162,BP463,0))/100))),0)</f>
        <v/>
      </c>
      <c r="BT463">
        <f>IF(AND(450&lt;$U$9,$W$5),BQ463*1000000-MIN(BR463,999)*1000+BS463-450/100000,-1000000000-450)</f>
        <v/>
      </c>
    </row>
    <row r="464">
      <c r="BN464">
        <f>IF(451&lt;$U$9,INT(451/($U$7*$U$8))+1,1)</f>
        <v/>
      </c>
      <c r="BO464">
        <f>IF(451&lt;$U$9,MOD(INT(451/$U$8),$U$7)+1,1)</f>
        <v/>
      </c>
      <c r="BP464">
        <f>IF(451&lt;$U$9,MOD(451,$U$8)+1,1)</f>
        <v/>
      </c>
      <c r="BQ464">
        <f>IF(451&lt;$U$9,SUMPRODUCT(($D$10:$L$10&lt;&gt;"")*(($D$9:$L$9+INT(($S$12:$AA$12+INDEX($AJ$13:$AR$162,BN464,0)+INDEX($AT$13:$BB$162,BO464,0)+INDEX($BD$13:$BL$162,BP464,0))/100))&gt;=$D$10:$L$10)),0)</f>
        <v/>
      </c>
      <c r="BR464">
        <f>IF(451&lt;$U$9,SUMPRODUCT(($D$10:$L$10&lt;&gt;"")*(($D$10:$L$10-($D$9:$L$9+INT(($S$12:$AA$12+INDEX($AJ$13:$AR$162,BN464,0)+INDEX($AT$13:$BB$162,BO464,0)+INDEX($BD$13:$BL$162,BP464,0))/100)))&gt;0)*($D$10:$L$10-($D$9:$L$9+INT(($S$12:$AA$12+INDEX($AJ$13:$AR$162,BN464,0)+INDEX($AT$13:$BB$162,BO464,0)+INDEX($BD$13:$BL$162,BP464,0))/100)))),0)</f>
        <v/>
      </c>
      <c r="BS464">
        <f>IF(451&lt;$U$9,SUMPRODUCT(($D$9:$L$9+INT(($S$12:$AA$12+INDEX($AJ$13:$AR$162,BN464,0)+INDEX($AT$13:$BB$162,BO464,0)+INDEX($BD$13:$BL$162,BP464,0))/100))),0)</f>
        <v/>
      </c>
      <c r="BT464">
        <f>IF(AND(451&lt;$U$9,$W$5),BQ464*1000000-MIN(BR464,999)*1000+BS464-451/100000,-1000000000-451)</f>
        <v/>
      </c>
    </row>
    <row r="465">
      <c r="BN465">
        <f>IF(452&lt;$U$9,INT(452/($U$7*$U$8))+1,1)</f>
        <v/>
      </c>
      <c r="BO465">
        <f>IF(452&lt;$U$9,MOD(INT(452/$U$8),$U$7)+1,1)</f>
        <v/>
      </c>
      <c r="BP465">
        <f>IF(452&lt;$U$9,MOD(452,$U$8)+1,1)</f>
        <v/>
      </c>
      <c r="BQ465">
        <f>IF(452&lt;$U$9,SUMPRODUCT(($D$10:$L$10&lt;&gt;"")*(($D$9:$L$9+INT(($S$12:$AA$12+INDEX($AJ$13:$AR$162,BN465,0)+INDEX($AT$13:$BB$162,BO465,0)+INDEX($BD$13:$BL$162,BP465,0))/100))&gt;=$D$10:$L$10)),0)</f>
        <v/>
      </c>
      <c r="BR465">
        <f>IF(452&lt;$U$9,SUMPRODUCT(($D$10:$L$10&lt;&gt;"")*(($D$10:$L$10-($D$9:$L$9+INT(($S$12:$AA$12+INDEX($AJ$13:$AR$162,BN465,0)+INDEX($AT$13:$BB$162,BO465,0)+INDEX($BD$13:$BL$162,BP465,0))/100)))&gt;0)*($D$10:$L$10-($D$9:$L$9+INT(($S$12:$AA$12+INDEX($AJ$13:$AR$162,BN465,0)+INDEX($AT$13:$BB$162,BO465,0)+INDEX($BD$13:$BL$162,BP465,0))/100)))),0)</f>
        <v/>
      </c>
      <c r="BS465">
        <f>IF(452&lt;$U$9,SUMPRODUCT(($D$9:$L$9+INT(($S$12:$AA$12+INDEX($AJ$13:$AR$162,BN465,0)+INDEX($AT$13:$BB$162,BO465,0)+INDEX($BD$13:$BL$162,BP465,0))/100))),0)</f>
        <v/>
      </c>
      <c r="BT465">
        <f>IF(AND(452&lt;$U$9,$W$5),BQ465*1000000-MIN(BR465,999)*1000+BS465-452/100000,-1000000000-452)</f>
        <v/>
      </c>
    </row>
    <row r="466">
      <c r="BN466">
        <f>IF(453&lt;$U$9,INT(453/($U$7*$U$8))+1,1)</f>
        <v/>
      </c>
      <c r="BO466">
        <f>IF(453&lt;$U$9,MOD(INT(453/$U$8),$U$7)+1,1)</f>
        <v/>
      </c>
      <c r="BP466">
        <f>IF(453&lt;$U$9,MOD(453,$U$8)+1,1)</f>
        <v/>
      </c>
      <c r="BQ466">
        <f>IF(453&lt;$U$9,SUMPRODUCT(($D$10:$L$10&lt;&gt;"")*(($D$9:$L$9+INT(($S$12:$AA$12+INDEX($AJ$13:$AR$162,BN466,0)+INDEX($AT$13:$BB$162,BO466,0)+INDEX($BD$13:$BL$162,BP466,0))/100))&gt;=$D$10:$L$10)),0)</f>
        <v/>
      </c>
      <c r="BR466">
        <f>IF(453&lt;$U$9,SUMPRODUCT(($D$10:$L$10&lt;&gt;"")*(($D$10:$L$10-($D$9:$L$9+INT(($S$12:$AA$12+INDEX($AJ$13:$AR$162,BN466,0)+INDEX($AT$13:$BB$162,BO466,0)+INDEX($BD$13:$BL$162,BP466,0))/100)))&gt;0)*($D$10:$L$10-($D$9:$L$9+INT(($S$12:$AA$12+INDEX($AJ$13:$AR$162,BN466,0)+INDEX($AT$13:$BB$162,BO466,0)+INDEX($BD$13:$BL$162,BP466,0))/100)))),0)</f>
        <v/>
      </c>
      <c r="BS466">
        <f>IF(453&lt;$U$9,SUMPRODUCT(($D$9:$L$9+INT(($S$12:$AA$12+INDEX($AJ$13:$AR$162,BN466,0)+INDEX($AT$13:$BB$162,BO466,0)+INDEX($BD$13:$BL$162,BP466,0))/100))),0)</f>
        <v/>
      </c>
      <c r="BT466">
        <f>IF(AND(453&lt;$U$9,$W$5),BQ466*1000000-MIN(BR466,999)*1000+BS466-453/100000,-1000000000-453)</f>
        <v/>
      </c>
    </row>
    <row r="467">
      <c r="BN467">
        <f>IF(454&lt;$U$9,INT(454/($U$7*$U$8))+1,1)</f>
        <v/>
      </c>
      <c r="BO467">
        <f>IF(454&lt;$U$9,MOD(INT(454/$U$8),$U$7)+1,1)</f>
        <v/>
      </c>
      <c r="BP467">
        <f>IF(454&lt;$U$9,MOD(454,$U$8)+1,1)</f>
        <v/>
      </c>
      <c r="BQ467">
        <f>IF(454&lt;$U$9,SUMPRODUCT(($D$10:$L$10&lt;&gt;"")*(($D$9:$L$9+INT(($S$12:$AA$12+INDEX($AJ$13:$AR$162,BN467,0)+INDEX($AT$13:$BB$162,BO467,0)+INDEX($BD$13:$BL$162,BP467,0))/100))&gt;=$D$10:$L$10)),0)</f>
        <v/>
      </c>
      <c r="BR467">
        <f>IF(454&lt;$U$9,SUMPRODUCT(($D$10:$L$10&lt;&gt;"")*(($D$10:$L$10-($D$9:$L$9+INT(($S$12:$AA$12+INDEX($AJ$13:$AR$162,BN467,0)+INDEX($AT$13:$BB$162,BO467,0)+INDEX($BD$13:$BL$162,BP467,0))/100)))&gt;0)*($D$10:$L$10-($D$9:$L$9+INT(($S$12:$AA$12+INDEX($AJ$13:$AR$162,BN467,0)+INDEX($AT$13:$BB$162,BO467,0)+INDEX($BD$13:$BL$162,BP467,0))/100)))),0)</f>
        <v/>
      </c>
      <c r="BS467">
        <f>IF(454&lt;$U$9,SUMPRODUCT(($D$9:$L$9+INT(($S$12:$AA$12+INDEX($AJ$13:$AR$162,BN467,0)+INDEX($AT$13:$BB$162,BO467,0)+INDEX($BD$13:$BL$162,BP467,0))/100))),0)</f>
        <v/>
      </c>
      <c r="BT467">
        <f>IF(AND(454&lt;$U$9,$W$5),BQ467*1000000-MIN(BR467,999)*1000+BS467-454/100000,-1000000000-454)</f>
        <v/>
      </c>
    </row>
    <row r="468">
      <c r="BN468">
        <f>IF(455&lt;$U$9,INT(455/($U$7*$U$8))+1,1)</f>
        <v/>
      </c>
      <c r="BO468">
        <f>IF(455&lt;$U$9,MOD(INT(455/$U$8),$U$7)+1,1)</f>
        <v/>
      </c>
      <c r="BP468">
        <f>IF(455&lt;$U$9,MOD(455,$U$8)+1,1)</f>
        <v/>
      </c>
      <c r="BQ468">
        <f>IF(455&lt;$U$9,SUMPRODUCT(($D$10:$L$10&lt;&gt;"")*(($D$9:$L$9+INT(($S$12:$AA$12+INDEX($AJ$13:$AR$162,BN468,0)+INDEX($AT$13:$BB$162,BO468,0)+INDEX($BD$13:$BL$162,BP468,0))/100))&gt;=$D$10:$L$10)),0)</f>
        <v/>
      </c>
      <c r="BR468">
        <f>IF(455&lt;$U$9,SUMPRODUCT(($D$10:$L$10&lt;&gt;"")*(($D$10:$L$10-($D$9:$L$9+INT(($S$12:$AA$12+INDEX($AJ$13:$AR$162,BN468,0)+INDEX($AT$13:$BB$162,BO468,0)+INDEX($BD$13:$BL$162,BP468,0))/100)))&gt;0)*($D$10:$L$10-($D$9:$L$9+INT(($S$12:$AA$12+INDEX($AJ$13:$AR$162,BN468,0)+INDEX($AT$13:$BB$162,BO468,0)+INDEX($BD$13:$BL$162,BP468,0))/100)))),0)</f>
        <v/>
      </c>
      <c r="BS468">
        <f>IF(455&lt;$U$9,SUMPRODUCT(($D$9:$L$9+INT(($S$12:$AA$12+INDEX($AJ$13:$AR$162,BN468,0)+INDEX($AT$13:$BB$162,BO468,0)+INDEX($BD$13:$BL$162,BP468,0))/100))),0)</f>
        <v/>
      </c>
      <c r="BT468">
        <f>IF(AND(455&lt;$U$9,$W$5),BQ468*1000000-MIN(BR468,999)*1000+BS468-455/100000,-1000000000-455)</f>
        <v/>
      </c>
    </row>
    <row r="469">
      <c r="BN469">
        <f>IF(456&lt;$U$9,INT(456/($U$7*$U$8))+1,1)</f>
        <v/>
      </c>
      <c r="BO469">
        <f>IF(456&lt;$U$9,MOD(INT(456/$U$8),$U$7)+1,1)</f>
        <v/>
      </c>
      <c r="BP469">
        <f>IF(456&lt;$U$9,MOD(456,$U$8)+1,1)</f>
        <v/>
      </c>
      <c r="BQ469">
        <f>IF(456&lt;$U$9,SUMPRODUCT(($D$10:$L$10&lt;&gt;"")*(($D$9:$L$9+INT(($S$12:$AA$12+INDEX($AJ$13:$AR$162,BN469,0)+INDEX($AT$13:$BB$162,BO469,0)+INDEX($BD$13:$BL$162,BP469,0))/100))&gt;=$D$10:$L$10)),0)</f>
        <v/>
      </c>
      <c r="BR469">
        <f>IF(456&lt;$U$9,SUMPRODUCT(($D$10:$L$10&lt;&gt;"")*(($D$10:$L$10-($D$9:$L$9+INT(($S$12:$AA$12+INDEX($AJ$13:$AR$162,BN469,0)+INDEX($AT$13:$BB$162,BO469,0)+INDEX($BD$13:$BL$162,BP469,0))/100)))&gt;0)*($D$10:$L$10-($D$9:$L$9+INT(($S$12:$AA$12+INDEX($AJ$13:$AR$162,BN469,0)+INDEX($AT$13:$BB$162,BO469,0)+INDEX($BD$13:$BL$162,BP469,0))/100)))),0)</f>
        <v/>
      </c>
      <c r="BS469">
        <f>IF(456&lt;$U$9,SUMPRODUCT(($D$9:$L$9+INT(($S$12:$AA$12+INDEX($AJ$13:$AR$162,BN469,0)+INDEX($AT$13:$BB$162,BO469,0)+INDEX($BD$13:$BL$162,BP469,0))/100))),0)</f>
        <v/>
      </c>
      <c r="BT469">
        <f>IF(AND(456&lt;$U$9,$W$5),BQ469*1000000-MIN(BR469,999)*1000+BS469-456/100000,-1000000000-456)</f>
        <v/>
      </c>
    </row>
    <row r="470">
      <c r="BN470">
        <f>IF(457&lt;$U$9,INT(457/($U$7*$U$8))+1,1)</f>
        <v/>
      </c>
      <c r="BO470">
        <f>IF(457&lt;$U$9,MOD(INT(457/$U$8),$U$7)+1,1)</f>
        <v/>
      </c>
      <c r="BP470">
        <f>IF(457&lt;$U$9,MOD(457,$U$8)+1,1)</f>
        <v/>
      </c>
      <c r="BQ470">
        <f>IF(457&lt;$U$9,SUMPRODUCT(($D$10:$L$10&lt;&gt;"")*(($D$9:$L$9+INT(($S$12:$AA$12+INDEX($AJ$13:$AR$162,BN470,0)+INDEX($AT$13:$BB$162,BO470,0)+INDEX($BD$13:$BL$162,BP470,0))/100))&gt;=$D$10:$L$10)),0)</f>
        <v/>
      </c>
      <c r="BR470">
        <f>IF(457&lt;$U$9,SUMPRODUCT(($D$10:$L$10&lt;&gt;"")*(($D$10:$L$10-($D$9:$L$9+INT(($S$12:$AA$12+INDEX($AJ$13:$AR$162,BN470,0)+INDEX($AT$13:$BB$162,BO470,0)+INDEX($BD$13:$BL$162,BP470,0))/100)))&gt;0)*($D$10:$L$10-($D$9:$L$9+INT(($S$12:$AA$12+INDEX($AJ$13:$AR$162,BN470,0)+INDEX($AT$13:$BB$162,BO470,0)+INDEX($BD$13:$BL$162,BP470,0))/100)))),0)</f>
        <v/>
      </c>
      <c r="BS470">
        <f>IF(457&lt;$U$9,SUMPRODUCT(($D$9:$L$9+INT(($S$12:$AA$12+INDEX($AJ$13:$AR$162,BN470,0)+INDEX($AT$13:$BB$162,BO470,0)+INDEX($BD$13:$BL$162,BP470,0))/100))),0)</f>
        <v/>
      </c>
      <c r="BT470">
        <f>IF(AND(457&lt;$U$9,$W$5),BQ470*1000000-MIN(BR470,999)*1000+BS470-457/100000,-1000000000-457)</f>
        <v/>
      </c>
    </row>
    <row r="471">
      <c r="BN471">
        <f>IF(458&lt;$U$9,INT(458/($U$7*$U$8))+1,1)</f>
        <v/>
      </c>
      <c r="BO471">
        <f>IF(458&lt;$U$9,MOD(INT(458/$U$8),$U$7)+1,1)</f>
        <v/>
      </c>
      <c r="BP471">
        <f>IF(458&lt;$U$9,MOD(458,$U$8)+1,1)</f>
        <v/>
      </c>
      <c r="BQ471">
        <f>IF(458&lt;$U$9,SUMPRODUCT(($D$10:$L$10&lt;&gt;"")*(($D$9:$L$9+INT(($S$12:$AA$12+INDEX($AJ$13:$AR$162,BN471,0)+INDEX($AT$13:$BB$162,BO471,0)+INDEX($BD$13:$BL$162,BP471,0))/100))&gt;=$D$10:$L$10)),0)</f>
        <v/>
      </c>
      <c r="BR471">
        <f>IF(458&lt;$U$9,SUMPRODUCT(($D$10:$L$10&lt;&gt;"")*(($D$10:$L$10-($D$9:$L$9+INT(($S$12:$AA$12+INDEX($AJ$13:$AR$162,BN471,0)+INDEX($AT$13:$BB$162,BO471,0)+INDEX($BD$13:$BL$162,BP471,0))/100)))&gt;0)*($D$10:$L$10-($D$9:$L$9+INT(($S$12:$AA$12+INDEX($AJ$13:$AR$162,BN471,0)+INDEX($AT$13:$BB$162,BO471,0)+INDEX($BD$13:$BL$162,BP471,0))/100)))),0)</f>
        <v/>
      </c>
      <c r="BS471">
        <f>IF(458&lt;$U$9,SUMPRODUCT(($D$9:$L$9+INT(($S$12:$AA$12+INDEX($AJ$13:$AR$162,BN471,0)+INDEX($AT$13:$BB$162,BO471,0)+INDEX($BD$13:$BL$162,BP471,0))/100))),0)</f>
        <v/>
      </c>
      <c r="BT471">
        <f>IF(AND(458&lt;$U$9,$W$5),BQ471*1000000-MIN(BR471,999)*1000+BS471-458/100000,-1000000000-458)</f>
        <v/>
      </c>
    </row>
    <row r="472">
      <c r="BN472">
        <f>IF(459&lt;$U$9,INT(459/($U$7*$U$8))+1,1)</f>
        <v/>
      </c>
      <c r="BO472">
        <f>IF(459&lt;$U$9,MOD(INT(459/$U$8),$U$7)+1,1)</f>
        <v/>
      </c>
      <c r="BP472">
        <f>IF(459&lt;$U$9,MOD(459,$U$8)+1,1)</f>
        <v/>
      </c>
      <c r="BQ472">
        <f>IF(459&lt;$U$9,SUMPRODUCT(($D$10:$L$10&lt;&gt;"")*(($D$9:$L$9+INT(($S$12:$AA$12+INDEX($AJ$13:$AR$162,BN472,0)+INDEX($AT$13:$BB$162,BO472,0)+INDEX($BD$13:$BL$162,BP472,0))/100))&gt;=$D$10:$L$10)),0)</f>
        <v/>
      </c>
      <c r="BR472">
        <f>IF(459&lt;$U$9,SUMPRODUCT(($D$10:$L$10&lt;&gt;"")*(($D$10:$L$10-($D$9:$L$9+INT(($S$12:$AA$12+INDEX($AJ$13:$AR$162,BN472,0)+INDEX($AT$13:$BB$162,BO472,0)+INDEX($BD$13:$BL$162,BP472,0))/100)))&gt;0)*($D$10:$L$10-($D$9:$L$9+INT(($S$12:$AA$12+INDEX($AJ$13:$AR$162,BN472,0)+INDEX($AT$13:$BB$162,BO472,0)+INDEX($BD$13:$BL$162,BP472,0))/100)))),0)</f>
        <v/>
      </c>
      <c r="BS472">
        <f>IF(459&lt;$U$9,SUMPRODUCT(($D$9:$L$9+INT(($S$12:$AA$12+INDEX($AJ$13:$AR$162,BN472,0)+INDEX($AT$13:$BB$162,BO472,0)+INDEX($BD$13:$BL$162,BP472,0))/100))),0)</f>
        <v/>
      </c>
      <c r="BT472">
        <f>IF(AND(459&lt;$U$9,$W$5),BQ472*1000000-MIN(BR472,999)*1000+BS472-459/100000,-1000000000-459)</f>
        <v/>
      </c>
    </row>
    <row r="473">
      <c r="BN473">
        <f>IF(460&lt;$U$9,INT(460/($U$7*$U$8))+1,1)</f>
        <v/>
      </c>
      <c r="BO473">
        <f>IF(460&lt;$U$9,MOD(INT(460/$U$8),$U$7)+1,1)</f>
        <v/>
      </c>
      <c r="BP473">
        <f>IF(460&lt;$U$9,MOD(460,$U$8)+1,1)</f>
        <v/>
      </c>
      <c r="BQ473">
        <f>IF(460&lt;$U$9,SUMPRODUCT(($D$10:$L$10&lt;&gt;"")*(($D$9:$L$9+INT(($S$12:$AA$12+INDEX($AJ$13:$AR$162,BN473,0)+INDEX($AT$13:$BB$162,BO473,0)+INDEX($BD$13:$BL$162,BP473,0))/100))&gt;=$D$10:$L$10)),0)</f>
        <v/>
      </c>
      <c r="BR473">
        <f>IF(460&lt;$U$9,SUMPRODUCT(($D$10:$L$10&lt;&gt;"")*(($D$10:$L$10-($D$9:$L$9+INT(($S$12:$AA$12+INDEX($AJ$13:$AR$162,BN473,0)+INDEX($AT$13:$BB$162,BO473,0)+INDEX($BD$13:$BL$162,BP473,0))/100)))&gt;0)*($D$10:$L$10-($D$9:$L$9+INT(($S$12:$AA$12+INDEX($AJ$13:$AR$162,BN473,0)+INDEX($AT$13:$BB$162,BO473,0)+INDEX($BD$13:$BL$162,BP473,0))/100)))),0)</f>
        <v/>
      </c>
      <c r="BS473">
        <f>IF(460&lt;$U$9,SUMPRODUCT(($D$9:$L$9+INT(($S$12:$AA$12+INDEX($AJ$13:$AR$162,BN473,0)+INDEX($AT$13:$BB$162,BO473,0)+INDEX($BD$13:$BL$162,BP473,0))/100))),0)</f>
        <v/>
      </c>
      <c r="BT473">
        <f>IF(AND(460&lt;$U$9,$W$5),BQ473*1000000-MIN(BR473,999)*1000+BS473-460/100000,-1000000000-460)</f>
        <v/>
      </c>
    </row>
    <row r="474">
      <c r="BN474">
        <f>IF(461&lt;$U$9,INT(461/($U$7*$U$8))+1,1)</f>
        <v/>
      </c>
      <c r="BO474">
        <f>IF(461&lt;$U$9,MOD(INT(461/$U$8),$U$7)+1,1)</f>
        <v/>
      </c>
      <c r="BP474">
        <f>IF(461&lt;$U$9,MOD(461,$U$8)+1,1)</f>
        <v/>
      </c>
      <c r="BQ474">
        <f>IF(461&lt;$U$9,SUMPRODUCT(($D$10:$L$10&lt;&gt;"")*(($D$9:$L$9+INT(($S$12:$AA$12+INDEX($AJ$13:$AR$162,BN474,0)+INDEX($AT$13:$BB$162,BO474,0)+INDEX($BD$13:$BL$162,BP474,0))/100))&gt;=$D$10:$L$10)),0)</f>
        <v/>
      </c>
      <c r="BR474">
        <f>IF(461&lt;$U$9,SUMPRODUCT(($D$10:$L$10&lt;&gt;"")*(($D$10:$L$10-($D$9:$L$9+INT(($S$12:$AA$12+INDEX($AJ$13:$AR$162,BN474,0)+INDEX($AT$13:$BB$162,BO474,0)+INDEX($BD$13:$BL$162,BP474,0))/100)))&gt;0)*($D$10:$L$10-($D$9:$L$9+INT(($S$12:$AA$12+INDEX($AJ$13:$AR$162,BN474,0)+INDEX($AT$13:$BB$162,BO474,0)+INDEX($BD$13:$BL$162,BP474,0))/100)))),0)</f>
        <v/>
      </c>
      <c r="BS474">
        <f>IF(461&lt;$U$9,SUMPRODUCT(($D$9:$L$9+INT(($S$12:$AA$12+INDEX($AJ$13:$AR$162,BN474,0)+INDEX($AT$13:$BB$162,BO474,0)+INDEX($BD$13:$BL$162,BP474,0))/100))),0)</f>
        <v/>
      </c>
      <c r="BT474">
        <f>IF(AND(461&lt;$U$9,$W$5),BQ474*1000000-MIN(BR474,999)*1000+BS474-461/100000,-1000000000-461)</f>
        <v/>
      </c>
    </row>
    <row r="475">
      <c r="BN475">
        <f>IF(462&lt;$U$9,INT(462/($U$7*$U$8))+1,1)</f>
        <v/>
      </c>
      <c r="BO475">
        <f>IF(462&lt;$U$9,MOD(INT(462/$U$8),$U$7)+1,1)</f>
        <v/>
      </c>
      <c r="BP475">
        <f>IF(462&lt;$U$9,MOD(462,$U$8)+1,1)</f>
        <v/>
      </c>
      <c r="BQ475">
        <f>IF(462&lt;$U$9,SUMPRODUCT(($D$10:$L$10&lt;&gt;"")*(($D$9:$L$9+INT(($S$12:$AA$12+INDEX($AJ$13:$AR$162,BN475,0)+INDEX($AT$13:$BB$162,BO475,0)+INDEX($BD$13:$BL$162,BP475,0))/100))&gt;=$D$10:$L$10)),0)</f>
        <v/>
      </c>
      <c r="BR475">
        <f>IF(462&lt;$U$9,SUMPRODUCT(($D$10:$L$10&lt;&gt;"")*(($D$10:$L$10-($D$9:$L$9+INT(($S$12:$AA$12+INDEX($AJ$13:$AR$162,BN475,0)+INDEX($AT$13:$BB$162,BO475,0)+INDEX($BD$13:$BL$162,BP475,0))/100)))&gt;0)*($D$10:$L$10-($D$9:$L$9+INT(($S$12:$AA$12+INDEX($AJ$13:$AR$162,BN475,0)+INDEX($AT$13:$BB$162,BO475,0)+INDEX($BD$13:$BL$162,BP475,0))/100)))),0)</f>
        <v/>
      </c>
      <c r="BS475">
        <f>IF(462&lt;$U$9,SUMPRODUCT(($D$9:$L$9+INT(($S$12:$AA$12+INDEX($AJ$13:$AR$162,BN475,0)+INDEX($AT$13:$BB$162,BO475,0)+INDEX($BD$13:$BL$162,BP475,0))/100))),0)</f>
        <v/>
      </c>
      <c r="BT475">
        <f>IF(AND(462&lt;$U$9,$W$5),BQ475*1000000-MIN(BR475,999)*1000+BS475-462/100000,-1000000000-462)</f>
        <v/>
      </c>
    </row>
    <row r="476">
      <c r="BN476">
        <f>IF(463&lt;$U$9,INT(463/($U$7*$U$8))+1,1)</f>
        <v/>
      </c>
      <c r="BO476">
        <f>IF(463&lt;$U$9,MOD(INT(463/$U$8),$U$7)+1,1)</f>
        <v/>
      </c>
      <c r="BP476">
        <f>IF(463&lt;$U$9,MOD(463,$U$8)+1,1)</f>
        <v/>
      </c>
      <c r="BQ476">
        <f>IF(463&lt;$U$9,SUMPRODUCT(($D$10:$L$10&lt;&gt;"")*(($D$9:$L$9+INT(($S$12:$AA$12+INDEX($AJ$13:$AR$162,BN476,0)+INDEX($AT$13:$BB$162,BO476,0)+INDEX($BD$13:$BL$162,BP476,0))/100))&gt;=$D$10:$L$10)),0)</f>
        <v/>
      </c>
      <c r="BR476">
        <f>IF(463&lt;$U$9,SUMPRODUCT(($D$10:$L$10&lt;&gt;"")*(($D$10:$L$10-($D$9:$L$9+INT(($S$12:$AA$12+INDEX($AJ$13:$AR$162,BN476,0)+INDEX($AT$13:$BB$162,BO476,0)+INDEX($BD$13:$BL$162,BP476,0))/100)))&gt;0)*($D$10:$L$10-($D$9:$L$9+INT(($S$12:$AA$12+INDEX($AJ$13:$AR$162,BN476,0)+INDEX($AT$13:$BB$162,BO476,0)+INDEX($BD$13:$BL$162,BP476,0))/100)))),0)</f>
        <v/>
      </c>
      <c r="BS476">
        <f>IF(463&lt;$U$9,SUMPRODUCT(($D$9:$L$9+INT(($S$12:$AA$12+INDEX($AJ$13:$AR$162,BN476,0)+INDEX($AT$13:$BB$162,BO476,0)+INDEX($BD$13:$BL$162,BP476,0))/100))),0)</f>
        <v/>
      </c>
      <c r="BT476">
        <f>IF(AND(463&lt;$U$9,$W$5),BQ476*1000000-MIN(BR476,999)*1000+BS476-463/100000,-1000000000-463)</f>
        <v/>
      </c>
    </row>
    <row r="477">
      <c r="BN477">
        <f>IF(464&lt;$U$9,INT(464/($U$7*$U$8))+1,1)</f>
        <v/>
      </c>
      <c r="BO477">
        <f>IF(464&lt;$U$9,MOD(INT(464/$U$8),$U$7)+1,1)</f>
        <v/>
      </c>
      <c r="BP477">
        <f>IF(464&lt;$U$9,MOD(464,$U$8)+1,1)</f>
        <v/>
      </c>
      <c r="BQ477">
        <f>IF(464&lt;$U$9,SUMPRODUCT(($D$10:$L$10&lt;&gt;"")*(($D$9:$L$9+INT(($S$12:$AA$12+INDEX($AJ$13:$AR$162,BN477,0)+INDEX($AT$13:$BB$162,BO477,0)+INDEX($BD$13:$BL$162,BP477,0))/100))&gt;=$D$10:$L$10)),0)</f>
        <v/>
      </c>
      <c r="BR477">
        <f>IF(464&lt;$U$9,SUMPRODUCT(($D$10:$L$10&lt;&gt;"")*(($D$10:$L$10-($D$9:$L$9+INT(($S$12:$AA$12+INDEX($AJ$13:$AR$162,BN477,0)+INDEX($AT$13:$BB$162,BO477,0)+INDEX($BD$13:$BL$162,BP477,0))/100)))&gt;0)*($D$10:$L$10-($D$9:$L$9+INT(($S$12:$AA$12+INDEX($AJ$13:$AR$162,BN477,0)+INDEX($AT$13:$BB$162,BO477,0)+INDEX($BD$13:$BL$162,BP477,0))/100)))),0)</f>
        <v/>
      </c>
      <c r="BS477">
        <f>IF(464&lt;$U$9,SUMPRODUCT(($D$9:$L$9+INT(($S$12:$AA$12+INDEX($AJ$13:$AR$162,BN477,0)+INDEX($AT$13:$BB$162,BO477,0)+INDEX($BD$13:$BL$162,BP477,0))/100))),0)</f>
        <v/>
      </c>
      <c r="BT477">
        <f>IF(AND(464&lt;$U$9,$W$5),BQ477*1000000-MIN(BR477,999)*1000+BS477-464/100000,-1000000000-464)</f>
        <v/>
      </c>
    </row>
    <row r="478">
      <c r="BN478">
        <f>IF(465&lt;$U$9,INT(465/($U$7*$U$8))+1,1)</f>
        <v/>
      </c>
      <c r="BO478">
        <f>IF(465&lt;$U$9,MOD(INT(465/$U$8),$U$7)+1,1)</f>
        <v/>
      </c>
      <c r="BP478">
        <f>IF(465&lt;$U$9,MOD(465,$U$8)+1,1)</f>
        <v/>
      </c>
      <c r="BQ478">
        <f>IF(465&lt;$U$9,SUMPRODUCT(($D$10:$L$10&lt;&gt;"")*(($D$9:$L$9+INT(($S$12:$AA$12+INDEX($AJ$13:$AR$162,BN478,0)+INDEX($AT$13:$BB$162,BO478,0)+INDEX($BD$13:$BL$162,BP478,0))/100))&gt;=$D$10:$L$10)),0)</f>
        <v/>
      </c>
      <c r="BR478">
        <f>IF(465&lt;$U$9,SUMPRODUCT(($D$10:$L$10&lt;&gt;"")*(($D$10:$L$10-($D$9:$L$9+INT(($S$12:$AA$12+INDEX($AJ$13:$AR$162,BN478,0)+INDEX($AT$13:$BB$162,BO478,0)+INDEX($BD$13:$BL$162,BP478,0))/100)))&gt;0)*($D$10:$L$10-($D$9:$L$9+INT(($S$12:$AA$12+INDEX($AJ$13:$AR$162,BN478,0)+INDEX($AT$13:$BB$162,BO478,0)+INDEX($BD$13:$BL$162,BP478,0))/100)))),0)</f>
        <v/>
      </c>
      <c r="BS478">
        <f>IF(465&lt;$U$9,SUMPRODUCT(($D$9:$L$9+INT(($S$12:$AA$12+INDEX($AJ$13:$AR$162,BN478,0)+INDEX($AT$13:$BB$162,BO478,0)+INDEX($BD$13:$BL$162,BP478,0))/100))),0)</f>
        <v/>
      </c>
      <c r="BT478">
        <f>IF(AND(465&lt;$U$9,$W$5),BQ478*1000000-MIN(BR478,999)*1000+BS478-465/100000,-1000000000-465)</f>
        <v/>
      </c>
    </row>
    <row r="479">
      <c r="BN479">
        <f>IF(466&lt;$U$9,INT(466/($U$7*$U$8))+1,1)</f>
        <v/>
      </c>
      <c r="BO479">
        <f>IF(466&lt;$U$9,MOD(INT(466/$U$8),$U$7)+1,1)</f>
        <v/>
      </c>
      <c r="BP479">
        <f>IF(466&lt;$U$9,MOD(466,$U$8)+1,1)</f>
        <v/>
      </c>
      <c r="BQ479">
        <f>IF(466&lt;$U$9,SUMPRODUCT(($D$10:$L$10&lt;&gt;"")*(($D$9:$L$9+INT(($S$12:$AA$12+INDEX($AJ$13:$AR$162,BN479,0)+INDEX($AT$13:$BB$162,BO479,0)+INDEX($BD$13:$BL$162,BP479,0))/100))&gt;=$D$10:$L$10)),0)</f>
        <v/>
      </c>
      <c r="BR479">
        <f>IF(466&lt;$U$9,SUMPRODUCT(($D$10:$L$10&lt;&gt;"")*(($D$10:$L$10-($D$9:$L$9+INT(($S$12:$AA$12+INDEX($AJ$13:$AR$162,BN479,0)+INDEX($AT$13:$BB$162,BO479,0)+INDEX($BD$13:$BL$162,BP479,0))/100)))&gt;0)*($D$10:$L$10-($D$9:$L$9+INT(($S$12:$AA$12+INDEX($AJ$13:$AR$162,BN479,0)+INDEX($AT$13:$BB$162,BO479,0)+INDEX($BD$13:$BL$162,BP479,0))/100)))),0)</f>
        <v/>
      </c>
      <c r="BS479">
        <f>IF(466&lt;$U$9,SUMPRODUCT(($D$9:$L$9+INT(($S$12:$AA$12+INDEX($AJ$13:$AR$162,BN479,0)+INDEX($AT$13:$BB$162,BO479,0)+INDEX($BD$13:$BL$162,BP479,0))/100))),0)</f>
        <v/>
      </c>
      <c r="BT479">
        <f>IF(AND(466&lt;$U$9,$W$5),BQ479*1000000-MIN(BR479,999)*1000+BS479-466/100000,-1000000000-466)</f>
        <v/>
      </c>
    </row>
    <row r="480">
      <c r="BN480">
        <f>IF(467&lt;$U$9,INT(467/($U$7*$U$8))+1,1)</f>
        <v/>
      </c>
      <c r="BO480">
        <f>IF(467&lt;$U$9,MOD(INT(467/$U$8),$U$7)+1,1)</f>
        <v/>
      </c>
      <c r="BP480">
        <f>IF(467&lt;$U$9,MOD(467,$U$8)+1,1)</f>
        <v/>
      </c>
      <c r="BQ480">
        <f>IF(467&lt;$U$9,SUMPRODUCT(($D$10:$L$10&lt;&gt;"")*(($D$9:$L$9+INT(($S$12:$AA$12+INDEX($AJ$13:$AR$162,BN480,0)+INDEX($AT$13:$BB$162,BO480,0)+INDEX($BD$13:$BL$162,BP480,0))/100))&gt;=$D$10:$L$10)),0)</f>
        <v/>
      </c>
      <c r="BR480">
        <f>IF(467&lt;$U$9,SUMPRODUCT(($D$10:$L$10&lt;&gt;"")*(($D$10:$L$10-($D$9:$L$9+INT(($S$12:$AA$12+INDEX($AJ$13:$AR$162,BN480,0)+INDEX($AT$13:$BB$162,BO480,0)+INDEX($BD$13:$BL$162,BP480,0))/100)))&gt;0)*($D$10:$L$10-($D$9:$L$9+INT(($S$12:$AA$12+INDEX($AJ$13:$AR$162,BN480,0)+INDEX($AT$13:$BB$162,BO480,0)+INDEX($BD$13:$BL$162,BP480,0))/100)))),0)</f>
        <v/>
      </c>
      <c r="BS480">
        <f>IF(467&lt;$U$9,SUMPRODUCT(($D$9:$L$9+INT(($S$12:$AA$12+INDEX($AJ$13:$AR$162,BN480,0)+INDEX($AT$13:$BB$162,BO480,0)+INDEX($BD$13:$BL$162,BP480,0))/100))),0)</f>
        <v/>
      </c>
      <c r="BT480">
        <f>IF(AND(467&lt;$U$9,$W$5),BQ480*1000000-MIN(BR480,999)*1000+BS480-467/100000,-1000000000-467)</f>
        <v/>
      </c>
    </row>
    <row r="481">
      <c r="BN481">
        <f>IF(468&lt;$U$9,INT(468/($U$7*$U$8))+1,1)</f>
        <v/>
      </c>
      <c r="BO481">
        <f>IF(468&lt;$U$9,MOD(INT(468/$U$8),$U$7)+1,1)</f>
        <v/>
      </c>
      <c r="BP481">
        <f>IF(468&lt;$U$9,MOD(468,$U$8)+1,1)</f>
        <v/>
      </c>
      <c r="BQ481">
        <f>IF(468&lt;$U$9,SUMPRODUCT(($D$10:$L$10&lt;&gt;"")*(($D$9:$L$9+INT(($S$12:$AA$12+INDEX($AJ$13:$AR$162,BN481,0)+INDEX($AT$13:$BB$162,BO481,0)+INDEX($BD$13:$BL$162,BP481,0))/100))&gt;=$D$10:$L$10)),0)</f>
        <v/>
      </c>
      <c r="BR481">
        <f>IF(468&lt;$U$9,SUMPRODUCT(($D$10:$L$10&lt;&gt;"")*(($D$10:$L$10-($D$9:$L$9+INT(($S$12:$AA$12+INDEX($AJ$13:$AR$162,BN481,0)+INDEX($AT$13:$BB$162,BO481,0)+INDEX($BD$13:$BL$162,BP481,0))/100)))&gt;0)*($D$10:$L$10-($D$9:$L$9+INT(($S$12:$AA$12+INDEX($AJ$13:$AR$162,BN481,0)+INDEX($AT$13:$BB$162,BO481,0)+INDEX($BD$13:$BL$162,BP481,0))/100)))),0)</f>
        <v/>
      </c>
      <c r="BS481">
        <f>IF(468&lt;$U$9,SUMPRODUCT(($D$9:$L$9+INT(($S$12:$AA$12+INDEX($AJ$13:$AR$162,BN481,0)+INDEX($AT$13:$BB$162,BO481,0)+INDEX($BD$13:$BL$162,BP481,0))/100))),0)</f>
        <v/>
      </c>
      <c r="BT481">
        <f>IF(AND(468&lt;$U$9,$W$5),BQ481*1000000-MIN(BR481,999)*1000+BS481-468/100000,-1000000000-468)</f>
        <v/>
      </c>
    </row>
    <row r="482">
      <c r="BN482">
        <f>IF(469&lt;$U$9,INT(469/($U$7*$U$8))+1,1)</f>
        <v/>
      </c>
      <c r="BO482">
        <f>IF(469&lt;$U$9,MOD(INT(469/$U$8),$U$7)+1,1)</f>
        <v/>
      </c>
      <c r="BP482">
        <f>IF(469&lt;$U$9,MOD(469,$U$8)+1,1)</f>
        <v/>
      </c>
      <c r="BQ482">
        <f>IF(469&lt;$U$9,SUMPRODUCT(($D$10:$L$10&lt;&gt;"")*(($D$9:$L$9+INT(($S$12:$AA$12+INDEX($AJ$13:$AR$162,BN482,0)+INDEX($AT$13:$BB$162,BO482,0)+INDEX($BD$13:$BL$162,BP482,0))/100))&gt;=$D$10:$L$10)),0)</f>
        <v/>
      </c>
      <c r="BR482">
        <f>IF(469&lt;$U$9,SUMPRODUCT(($D$10:$L$10&lt;&gt;"")*(($D$10:$L$10-($D$9:$L$9+INT(($S$12:$AA$12+INDEX($AJ$13:$AR$162,BN482,0)+INDEX($AT$13:$BB$162,BO482,0)+INDEX($BD$13:$BL$162,BP482,0))/100)))&gt;0)*($D$10:$L$10-($D$9:$L$9+INT(($S$12:$AA$12+INDEX($AJ$13:$AR$162,BN482,0)+INDEX($AT$13:$BB$162,BO482,0)+INDEX($BD$13:$BL$162,BP482,0))/100)))),0)</f>
        <v/>
      </c>
      <c r="BS482">
        <f>IF(469&lt;$U$9,SUMPRODUCT(($D$9:$L$9+INT(($S$12:$AA$12+INDEX($AJ$13:$AR$162,BN482,0)+INDEX($AT$13:$BB$162,BO482,0)+INDEX($BD$13:$BL$162,BP482,0))/100))),0)</f>
        <v/>
      </c>
      <c r="BT482">
        <f>IF(AND(469&lt;$U$9,$W$5),BQ482*1000000-MIN(BR482,999)*1000+BS482-469/100000,-1000000000-469)</f>
        <v/>
      </c>
    </row>
    <row r="483">
      <c r="BN483">
        <f>IF(470&lt;$U$9,INT(470/($U$7*$U$8))+1,1)</f>
        <v/>
      </c>
      <c r="BO483">
        <f>IF(470&lt;$U$9,MOD(INT(470/$U$8),$U$7)+1,1)</f>
        <v/>
      </c>
      <c r="BP483">
        <f>IF(470&lt;$U$9,MOD(470,$U$8)+1,1)</f>
        <v/>
      </c>
      <c r="BQ483">
        <f>IF(470&lt;$U$9,SUMPRODUCT(($D$10:$L$10&lt;&gt;"")*(($D$9:$L$9+INT(($S$12:$AA$12+INDEX($AJ$13:$AR$162,BN483,0)+INDEX($AT$13:$BB$162,BO483,0)+INDEX($BD$13:$BL$162,BP483,0))/100))&gt;=$D$10:$L$10)),0)</f>
        <v/>
      </c>
      <c r="BR483">
        <f>IF(470&lt;$U$9,SUMPRODUCT(($D$10:$L$10&lt;&gt;"")*(($D$10:$L$10-($D$9:$L$9+INT(($S$12:$AA$12+INDEX($AJ$13:$AR$162,BN483,0)+INDEX($AT$13:$BB$162,BO483,0)+INDEX($BD$13:$BL$162,BP483,0))/100)))&gt;0)*($D$10:$L$10-($D$9:$L$9+INT(($S$12:$AA$12+INDEX($AJ$13:$AR$162,BN483,0)+INDEX($AT$13:$BB$162,BO483,0)+INDEX($BD$13:$BL$162,BP483,0))/100)))),0)</f>
        <v/>
      </c>
      <c r="BS483">
        <f>IF(470&lt;$U$9,SUMPRODUCT(($D$9:$L$9+INT(($S$12:$AA$12+INDEX($AJ$13:$AR$162,BN483,0)+INDEX($AT$13:$BB$162,BO483,0)+INDEX($BD$13:$BL$162,BP483,0))/100))),0)</f>
        <v/>
      </c>
      <c r="BT483">
        <f>IF(AND(470&lt;$U$9,$W$5),BQ483*1000000-MIN(BR483,999)*1000+BS483-470/100000,-1000000000-470)</f>
        <v/>
      </c>
    </row>
    <row r="484">
      <c r="BN484">
        <f>IF(471&lt;$U$9,INT(471/($U$7*$U$8))+1,1)</f>
        <v/>
      </c>
      <c r="BO484">
        <f>IF(471&lt;$U$9,MOD(INT(471/$U$8),$U$7)+1,1)</f>
        <v/>
      </c>
      <c r="BP484">
        <f>IF(471&lt;$U$9,MOD(471,$U$8)+1,1)</f>
        <v/>
      </c>
      <c r="BQ484">
        <f>IF(471&lt;$U$9,SUMPRODUCT(($D$10:$L$10&lt;&gt;"")*(($D$9:$L$9+INT(($S$12:$AA$12+INDEX($AJ$13:$AR$162,BN484,0)+INDEX($AT$13:$BB$162,BO484,0)+INDEX($BD$13:$BL$162,BP484,0))/100))&gt;=$D$10:$L$10)),0)</f>
        <v/>
      </c>
      <c r="BR484">
        <f>IF(471&lt;$U$9,SUMPRODUCT(($D$10:$L$10&lt;&gt;"")*(($D$10:$L$10-($D$9:$L$9+INT(($S$12:$AA$12+INDEX($AJ$13:$AR$162,BN484,0)+INDEX($AT$13:$BB$162,BO484,0)+INDEX($BD$13:$BL$162,BP484,0))/100)))&gt;0)*($D$10:$L$10-($D$9:$L$9+INT(($S$12:$AA$12+INDEX($AJ$13:$AR$162,BN484,0)+INDEX($AT$13:$BB$162,BO484,0)+INDEX($BD$13:$BL$162,BP484,0))/100)))),0)</f>
        <v/>
      </c>
      <c r="BS484">
        <f>IF(471&lt;$U$9,SUMPRODUCT(($D$9:$L$9+INT(($S$12:$AA$12+INDEX($AJ$13:$AR$162,BN484,0)+INDEX($AT$13:$BB$162,BO484,0)+INDEX($BD$13:$BL$162,BP484,0))/100))),0)</f>
        <v/>
      </c>
      <c r="BT484">
        <f>IF(AND(471&lt;$U$9,$W$5),BQ484*1000000-MIN(BR484,999)*1000+BS484-471/100000,-1000000000-471)</f>
        <v/>
      </c>
    </row>
    <row r="485">
      <c r="BN485">
        <f>IF(472&lt;$U$9,INT(472/($U$7*$U$8))+1,1)</f>
        <v/>
      </c>
      <c r="BO485">
        <f>IF(472&lt;$U$9,MOD(INT(472/$U$8),$U$7)+1,1)</f>
        <v/>
      </c>
      <c r="BP485">
        <f>IF(472&lt;$U$9,MOD(472,$U$8)+1,1)</f>
        <v/>
      </c>
      <c r="BQ485">
        <f>IF(472&lt;$U$9,SUMPRODUCT(($D$10:$L$10&lt;&gt;"")*(($D$9:$L$9+INT(($S$12:$AA$12+INDEX($AJ$13:$AR$162,BN485,0)+INDEX($AT$13:$BB$162,BO485,0)+INDEX($BD$13:$BL$162,BP485,0))/100))&gt;=$D$10:$L$10)),0)</f>
        <v/>
      </c>
      <c r="BR485">
        <f>IF(472&lt;$U$9,SUMPRODUCT(($D$10:$L$10&lt;&gt;"")*(($D$10:$L$10-($D$9:$L$9+INT(($S$12:$AA$12+INDEX($AJ$13:$AR$162,BN485,0)+INDEX($AT$13:$BB$162,BO485,0)+INDEX($BD$13:$BL$162,BP485,0))/100)))&gt;0)*($D$10:$L$10-($D$9:$L$9+INT(($S$12:$AA$12+INDEX($AJ$13:$AR$162,BN485,0)+INDEX($AT$13:$BB$162,BO485,0)+INDEX($BD$13:$BL$162,BP485,0))/100)))),0)</f>
        <v/>
      </c>
      <c r="BS485">
        <f>IF(472&lt;$U$9,SUMPRODUCT(($D$9:$L$9+INT(($S$12:$AA$12+INDEX($AJ$13:$AR$162,BN485,0)+INDEX($AT$13:$BB$162,BO485,0)+INDEX($BD$13:$BL$162,BP485,0))/100))),0)</f>
        <v/>
      </c>
      <c r="BT485">
        <f>IF(AND(472&lt;$U$9,$W$5),BQ485*1000000-MIN(BR485,999)*1000+BS485-472/100000,-1000000000-472)</f>
        <v/>
      </c>
    </row>
    <row r="486">
      <c r="BN486">
        <f>IF(473&lt;$U$9,INT(473/($U$7*$U$8))+1,1)</f>
        <v/>
      </c>
      <c r="BO486">
        <f>IF(473&lt;$U$9,MOD(INT(473/$U$8),$U$7)+1,1)</f>
        <v/>
      </c>
      <c r="BP486">
        <f>IF(473&lt;$U$9,MOD(473,$U$8)+1,1)</f>
        <v/>
      </c>
      <c r="BQ486">
        <f>IF(473&lt;$U$9,SUMPRODUCT(($D$10:$L$10&lt;&gt;"")*(($D$9:$L$9+INT(($S$12:$AA$12+INDEX($AJ$13:$AR$162,BN486,0)+INDEX($AT$13:$BB$162,BO486,0)+INDEX($BD$13:$BL$162,BP486,0))/100))&gt;=$D$10:$L$10)),0)</f>
        <v/>
      </c>
      <c r="BR486">
        <f>IF(473&lt;$U$9,SUMPRODUCT(($D$10:$L$10&lt;&gt;"")*(($D$10:$L$10-($D$9:$L$9+INT(($S$12:$AA$12+INDEX($AJ$13:$AR$162,BN486,0)+INDEX($AT$13:$BB$162,BO486,0)+INDEX($BD$13:$BL$162,BP486,0))/100)))&gt;0)*($D$10:$L$10-($D$9:$L$9+INT(($S$12:$AA$12+INDEX($AJ$13:$AR$162,BN486,0)+INDEX($AT$13:$BB$162,BO486,0)+INDEX($BD$13:$BL$162,BP486,0))/100)))),0)</f>
        <v/>
      </c>
      <c r="BS486">
        <f>IF(473&lt;$U$9,SUMPRODUCT(($D$9:$L$9+INT(($S$12:$AA$12+INDEX($AJ$13:$AR$162,BN486,0)+INDEX($AT$13:$BB$162,BO486,0)+INDEX($BD$13:$BL$162,BP486,0))/100))),0)</f>
        <v/>
      </c>
      <c r="BT486">
        <f>IF(AND(473&lt;$U$9,$W$5),BQ486*1000000-MIN(BR486,999)*1000+BS486-473/100000,-1000000000-473)</f>
        <v/>
      </c>
    </row>
    <row r="487">
      <c r="BN487">
        <f>IF(474&lt;$U$9,INT(474/($U$7*$U$8))+1,1)</f>
        <v/>
      </c>
      <c r="BO487">
        <f>IF(474&lt;$U$9,MOD(INT(474/$U$8),$U$7)+1,1)</f>
        <v/>
      </c>
      <c r="BP487">
        <f>IF(474&lt;$U$9,MOD(474,$U$8)+1,1)</f>
        <v/>
      </c>
      <c r="BQ487">
        <f>IF(474&lt;$U$9,SUMPRODUCT(($D$10:$L$10&lt;&gt;"")*(($D$9:$L$9+INT(($S$12:$AA$12+INDEX($AJ$13:$AR$162,BN487,0)+INDEX($AT$13:$BB$162,BO487,0)+INDEX($BD$13:$BL$162,BP487,0))/100))&gt;=$D$10:$L$10)),0)</f>
        <v/>
      </c>
      <c r="BR487">
        <f>IF(474&lt;$U$9,SUMPRODUCT(($D$10:$L$10&lt;&gt;"")*(($D$10:$L$10-($D$9:$L$9+INT(($S$12:$AA$12+INDEX($AJ$13:$AR$162,BN487,0)+INDEX($AT$13:$BB$162,BO487,0)+INDEX($BD$13:$BL$162,BP487,0))/100)))&gt;0)*($D$10:$L$10-($D$9:$L$9+INT(($S$12:$AA$12+INDEX($AJ$13:$AR$162,BN487,0)+INDEX($AT$13:$BB$162,BO487,0)+INDEX($BD$13:$BL$162,BP487,0))/100)))),0)</f>
        <v/>
      </c>
      <c r="BS487">
        <f>IF(474&lt;$U$9,SUMPRODUCT(($D$9:$L$9+INT(($S$12:$AA$12+INDEX($AJ$13:$AR$162,BN487,0)+INDEX($AT$13:$BB$162,BO487,0)+INDEX($BD$13:$BL$162,BP487,0))/100))),0)</f>
        <v/>
      </c>
      <c r="BT487">
        <f>IF(AND(474&lt;$U$9,$W$5),BQ487*1000000-MIN(BR487,999)*1000+BS487-474/100000,-1000000000-474)</f>
        <v/>
      </c>
    </row>
    <row r="488">
      <c r="BN488">
        <f>IF(475&lt;$U$9,INT(475/($U$7*$U$8))+1,1)</f>
        <v/>
      </c>
      <c r="BO488">
        <f>IF(475&lt;$U$9,MOD(INT(475/$U$8),$U$7)+1,1)</f>
        <v/>
      </c>
      <c r="BP488">
        <f>IF(475&lt;$U$9,MOD(475,$U$8)+1,1)</f>
        <v/>
      </c>
      <c r="BQ488">
        <f>IF(475&lt;$U$9,SUMPRODUCT(($D$10:$L$10&lt;&gt;"")*(($D$9:$L$9+INT(($S$12:$AA$12+INDEX($AJ$13:$AR$162,BN488,0)+INDEX($AT$13:$BB$162,BO488,0)+INDEX($BD$13:$BL$162,BP488,0))/100))&gt;=$D$10:$L$10)),0)</f>
        <v/>
      </c>
      <c r="BR488">
        <f>IF(475&lt;$U$9,SUMPRODUCT(($D$10:$L$10&lt;&gt;"")*(($D$10:$L$10-($D$9:$L$9+INT(($S$12:$AA$12+INDEX($AJ$13:$AR$162,BN488,0)+INDEX($AT$13:$BB$162,BO488,0)+INDEX($BD$13:$BL$162,BP488,0))/100)))&gt;0)*($D$10:$L$10-($D$9:$L$9+INT(($S$12:$AA$12+INDEX($AJ$13:$AR$162,BN488,0)+INDEX($AT$13:$BB$162,BO488,0)+INDEX($BD$13:$BL$162,BP488,0))/100)))),0)</f>
        <v/>
      </c>
      <c r="BS488">
        <f>IF(475&lt;$U$9,SUMPRODUCT(($D$9:$L$9+INT(($S$12:$AA$12+INDEX($AJ$13:$AR$162,BN488,0)+INDEX($AT$13:$BB$162,BO488,0)+INDEX($BD$13:$BL$162,BP488,0))/100))),0)</f>
        <v/>
      </c>
      <c r="BT488">
        <f>IF(AND(475&lt;$U$9,$W$5),BQ488*1000000-MIN(BR488,999)*1000+BS488-475/100000,-1000000000-475)</f>
        <v/>
      </c>
    </row>
    <row r="489">
      <c r="BN489">
        <f>IF(476&lt;$U$9,INT(476/($U$7*$U$8))+1,1)</f>
        <v/>
      </c>
      <c r="BO489">
        <f>IF(476&lt;$U$9,MOD(INT(476/$U$8),$U$7)+1,1)</f>
        <v/>
      </c>
      <c r="BP489">
        <f>IF(476&lt;$U$9,MOD(476,$U$8)+1,1)</f>
        <v/>
      </c>
      <c r="BQ489">
        <f>IF(476&lt;$U$9,SUMPRODUCT(($D$10:$L$10&lt;&gt;"")*(($D$9:$L$9+INT(($S$12:$AA$12+INDEX($AJ$13:$AR$162,BN489,0)+INDEX($AT$13:$BB$162,BO489,0)+INDEX($BD$13:$BL$162,BP489,0))/100))&gt;=$D$10:$L$10)),0)</f>
        <v/>
      </c>
      <c r="BR489">
        <f>IF(476&lt;$U$9,SUMPRODUCT(($D$10:$L$10&lt;&gt;"")*(($D$10:$L$10-($D$9:$L$9+INT(($S$12:$AA$12+INDEX($AJ$13:$AR$162,BN489,0)+INDEX($AT$13:$BB$162,BO489,0)+INDEX($BD$13:$BL$162,BP489,0))/100)))&gt;0)*($D$10:$L$10-($D$9:$L$9+INT(($S$12:$AA$12+INDEX($AJ$13:$AR$162,BN489,0)+INDEX($AT$13:$BB$162,BO489,0)+INDEX($BD$13:$BL$162,BP489,0))/100)))),0)</f>
        <v/>
      </c>
      <c r="BS489">
        <f>IF(476&lt;$U$9,SUMPRODUCT(($D$9:$L$9+INT(($S$12:$AA$12+INDEX($AJ$13:$AR$162,BN489,0)+INDEX($AT$13:$BB$162,BO489,0)+INDEX($BD$13:$BL$162,BP489,0))/100))),0)</f>
        <v/>
      </c>
      <c r="BT489">
        <f>IF(AND(476&lt;$U$9,$W$5),BQ489*1000000-MIN(BR489,999)*1000+BS489-476/100000,-1000000000-476)</f>
        <v/>
      </c>
    </row>
    <row r="490">
      <c r="BN490">
        <f>IF(477&lt;$U$9,INT(477/($U$7*$U$8))+1,1)</f>
        <v/>
      </c>
      <c r="BO490">
        <f>IF(477&lt;$U$9,MOD(INT(477/$U$8),$U$7)+1,1)</f>
        <v/>
      </c>
      <c r="BP490">
        <f>IF(477&lt;$U$9,MOD(477,$U$8)+1,1)</f>
        <v/>
      </c>
      <c r="BQ490">
        <f>IF(477&lt;$U$9,SUMPRODUCT(($D$10:$L$10&lt;&gt;"")*(($D$9:$L$9+INT(($S$12:$AA$12+INDEX($AJ$13:$AR$162,BN490,0)+INDEX($AT$13:$BB$162,BO490,0)+INDEX($BD$13:$BL$162,BP490,0))/100))&gt;=$D$10:$L$10)),0)</f>
        <v/>
      </c>
      <c r="BR490">
        <f>IF(477&lt;$U$9,SUMPRODUCT(($D$10:$L$10&lt;&gt;"")*(($D$10:$L$10-($D$9:$L$9+INT(($S$12:$AA$12+INDEX($AJ$13:$AR$162,BN490,0)+INDEX($AT$13:$BB$162,BO490,0)+INDEX($BD$13:$BL$162,BP490,0))/100)))&gt;0)*($D$10:$L$10-($D$9:$L$9+INT(($S$12:$AA$12+INDEX($AJ$13:$AR$162,BN490,0)+INDEX($AT$13:$BB$162,BO490,0)+INDEX($BD$13:$BL$162,BP490,0))/100)))),0)</f>
        <v/>
      </c>
      <c r="BS490">
        <f>IF(477&lt;$U$9,SUMPRODUCT(($D$9:$L$9+INT(($S$12:$AA$12+INDEX($AJ$13:$AR$162,BN490,0)+INDEX($AT$13:$BB$162,BO490,0)+INDEX($BD$13:$BL$162,BP490,0))/100))),0)</f>
        <v/>
      </c>
      <c r="BT490">
        <f>IF(AND(477&lt;$U$9,$W$5),BQ490*1000000-MIN(BR490,999)*1000+BS490-477/100000,-1000000000-477)</f>
        <v/>
      </c>
    </row>
    <row r="491">
      <c r="BN491">
        <f>IF(478&lt;$U$9,INT(478/($U$7*$U$8))+1,1)</f>
        <v/>
      </c>
      <c r="BO491">
        <f>IF(478&lt;$U$9,MOD(INT(478/$U$8),$U$7)+1,1)</f>
        <v/>
      </c>
      <c r="BP491">
        <f>IF(478&lt;$U$9,MOD(478,$U$8)+1,1)</f>
        <v/>
      </c>
      <c r="BQ491">
        <f>IF(478&lt;$U$9,SUMPRODUCT(($D$10:$L$10&lt;&gt;"")*(($D$9:$L$9+INT(($S$12:$AA$12+INDEX($AJ$13:$AR$162,BN491,0)+INDEX($AT$13:$BB$162,BO491,0)+INDEX($BD$13:$BL$162,BP491,0))/100))&gt;=$D$10:$L$10)),0)</f>
        <v/>
      </c>
      <c r="BR491">
        <f>IF(478&lt;$U$9,SUMPRODUCT(($D$10:$L$10&lt;&gt;"")*(($D$10:$L$10-($D$9:$L$9+INT(($S$12:$AA$12+INDEX($AJ$13:$AR$162,BN491,0)+INDEX($AT$13:$BB$162,BO491,0)+INDEX($BD$13:$BL$162,BP491,0))/100)))&gt;0)*($D$10:$L$10-($D$9:$L$9+INT(($S$12:$AA$12+INDEX($AJ$13:$AR$162,BN491,0)+INDEX($AT$13:$BB$162,BO491,0)+INDEX($BD$13:$BL$162,BP491,0))/100)))),0)</f>
        <v/>
      </c>
      <c r="BS491">
        <f>IF(478&lt;$U$9,SUMPRODUCT(($D$9:$L$9+INT(($S$12:$AA$12+INDEX($AJ$13:$AR$162,BN491,0)+INDEX($AT$13:$BB$162,BO491,0)+INDEX($BD$13:$BL$162,BP491,0))/100))),0)</f>
        <v/>
      </c>
      <c r="BT491">
        <f>IF(AND(478&lt;$U$9,$W$5),BQ491*1000000-MIN(BR491,999)*1000+BS491-478/100000,-1000000000-478)</f>
        <v/>
      </c>
    </row>
    <row r="492">
      <c r="BN492">
        <f>IF(479&lt;$U$9,INT(479/($U$7*$U$8))+1,1)</f>
        <v/>
      </c>
      <c r="BO492">
        <f>IF(479&lt;$U$9,MOD(INT(479/$U$8),$U$7)+1,1)</f>
        <v/>
      </c>
      <c r="BP492">
        <f>IF(479&lt;$U$9,MOD(479,$U$8)+1,1)</f>
        <v/>
      </c>
      <c r="BQ492">
        <f>IF(479&lt;$U$9,SUMPRODUCT(($D$10:$L$10&lt;&gt;"")*(($D$9:$L$9+INT(($S$12:$AA$12+INDEX($AJ$13:$AR$162,BN492,0)+INDEX($AT$13:$BB$162,BO492,0)+INDEX($BD$13:$BL$162,BP492,0))/100))&gt;=$D$10:$L$10)),0)</f>
        <v/>
      </c>
      <c r="BR492">
        <f>IF(479&lt;$U$9,SUMPRODUCT(($D$10:$L$10&lt;&gt;"")*(($D$10:$L$10-($D$9:$L$9+INT(($S$12:$AA$12+INDEX($AJ$13:$AR$162,BN492,0)+INDEX($AT$13:$BB$162,BO492,0)+INDEX($BD$13:$BL$162,BP492,0))/100)))&gt;0)*($D$10:$L$10-($D$9:$L$9+INT(($S$12:$AA$12+INDEX($AJ$13:$AR$162,BN492,0)+INDEX($AT$13:$BB$162,BO492,0)+INDEX($BD$13:$BL$162,BP492,0))/100)))),0)</f>
        <v/>
      </c>
      <c r="BS492">
        <f>IF(479&lt;$U$9,SUMPRODUCT(($D$9:$L$9+INT(($S$12:$AA$12+INDEX($AJ$13:$AR$162,BN492,0)+INDEX($AT$13:$BB$162,BO492,0)+INDEX($BD$13:$BL$162,BP492,0))/100))),0)</f>
        <v/>
      </c>
      <c r="BT492">
        <f>IF(AND(479&lt;$U$9,$W$5),BQ492*1000000-MIN(BR492,999)*1000+BS492-479/100000,-1000000000-479)</f>
        <v/>
      </c>
    </row>
    <row r="493">
      <c r="BN493">
        <f>IF(480&lt;$U$9,INT(480/($U$7*$U$8))+1,1)</f>
        <v/>
      </c>
      <c r="BO493">
        <f>IF(480&lt;$U$9,MOD(INT(480/$U$8),$U$7)+1,1)</f>
        <v/>
      </c>
      <c r="BP493">
        <f>IF(480&lt;$U$9,MOD(480,$U$8)+1,1)</f>
        <v/>
      </c>
      <c r="BQ493">
        <f>IF(480&lt;$U$9,SUMPRODUCT(($D$10:$L$10&lt;&gt;"")*(($D$9:$L$9+INT(($S$12:$AA$12+INDEX($AJ$13:$AR$162,BN493,0)+INDEX($AT$13:$BB$162,BO493,0)+INDEX($BD$13:$BL$162,BP493,0))/100))&gt;=$D$10:$L$10)),0)</f>
        <v/>
      </c>
      <c r="BR493">
        <f>IF(480&lt;$U$9,SUMPRODUCT(($D$10:$L$10&lt;&gt;"")*(($D$10:$L$10-($D$9:$L$9+INT(($S$12:$AA$12+INDEX($AJ$13:$AR$162,BN493,0)+INDEX($AT$13:$BB$162,BO493,0)+INDEX($BD$13:$BL$162,BP493,0))/100)))&gt;0)*($D$10:$L$10-($D$9:$L$9+INT(($S$12:$AA$12+INDEX($AJ$13:$AR$162,BN493,0)+INDEX($AT$13:$BB$162,BO493,0)+INDEX($BD$13:$BL$162,BP493,0))/100)))),0)</f>
        <v/>
      </c>
      <c r="BS493">
        <f>IF(480&lt;$U$9,SUMPRODUCT(($D$9:$L$9+INT(($S$12:$AA$12+INDEX($AJ$13:$AR$162,BN493,0)+INDEX($AT$13:$BB$162,BO493,0)+INDEX($BD$13:$BL$162,BP493,0))/100))),0)</f>
        <v/>
      </c>
      <c r="BT493">
        <f>IF(AND(480&lt;$U$9,$W$5),BQ493*1000000-MIN(BR493,999)*1000+BS493-480/100000,-1000000000-480)</f>
        <v/>
      </c>
    </row>
    <row r="494">
      <c r="BN494">
        <f>IF(481&lt;$U$9,INT(481/($U$7*$U$8))+1,1)</f>
        <v/>
      </c>
      <c r="BO494">
        <f>IF(481&lt;$U$9,MOD(INT(481/$U$8),$U$7)+1,1)</f>
        <v/>
      </c>
      <c r="BP494">
        <f>IF(481&lt;$U$9,MOD(481,$U$8)+1,1)</f>
        <v/>
      </c>
      <c r="BQ494">
        <f>IF(481&lt;$U$9,SUMPRODUCT(($D$10:$L$10&lt;&gt;"")*(($D$9:$L$9+INT(($S$12:$AA$12+INDEX($AJ$13:$AR$162,BN494,0)+INDEX($AT$13:$BB$162,BO494,0)+INDEX($BD$13:$BL$162,BP494,0))/100))&gt;=$D$10:$L$10)),0)</f>
        <v/>
      </c>
      <c r="BR494">
        <f>IF(481&lt;$U$9,SUMPRODUCT(($D$10:$L$10&lt;&gt;"")*(($D$10:$L$10-($D$9:$L$9+INT(($S$12:$AA$12+INDEX($AJ$13:$AR$162,BN494,0)+INDEX($AT$13:$BB$162,BO494,0)+INDEX($BD$13:$BL$162,BP494,0))/100)))&gt;0)*($D$10:$L$10-($D$9:$L$9+INT(($S$12:$AA$12+INDEX($AJ$13:$AR$162,BN494,0)+INDEX($AT$13:$BB$162,BO494,0)+INDEX($BD$13:$BL$162,BP494,0))/100)))),0)</f>
        <v/>
      </c>
      <c r="BS494">
        <f>IF(481&lt;$U$9,SUMPRODUCT(($D$9:$L$9+INT(($S$12:$AA$12+INDEX($AJ$13:$AR$162,BN494,0)+INDEX($AT$13:$BB$162,BO494,0)+INDEX($BD$13:$BL$162,BP494,0))/100))),0)</f>
        <v/>
      </c>
      <c r="BT494">
        <f>IF(AND(481&lt;$U$9,$W$5),BQ494*1000000-MIN(BR494,999)*1000+BS494-481/100000,-1000000000-481)</f>
        <v/>
      </c>
    </row>
    <row r="495">
      <c r="BN495">
        <f>IF(482&lt;$U$9,INT(482/($U$7*$U$8))+1,1)</f>
        <v/>
      </c>
      <c r="BO495">
        <f>IF(482&lt;$U$9,MOD(INT(482/$U$8),$U$7)+1,1)</f>
        <v/>
      </c>
      <c r="BP495">
        <f>IF(482&lt;$U$9,MOD(482,$U$8)+1,1)</f>
        <v/>
      </c>
      <c r="BQ495">
        <f>IF(482&lt;$U$9,SUMPRODUCT(($D$10:$L$10&lt;&gt;"")*(($D$9:$L$9+INT(($S$12:$AA$12+INDEX($AJ$13:$AR$162,BN495,0)+INDEX($AT$13:$BB$162,BO495,0)+INDEX($BD$13:$BL$162,BP495,0))/100))&gt;=$D$10:$L$10)),0)</f>
        <v/>
      </c>
      <c r="BR495">
        <f>IF(482&lt;$U$9,SUMPRODUCT(($D$10:$L$10&lt;&gt;"")*(($D$10:$L$10-($D$9:$L$9+INT(($S$12:$AA$12+INDEX($AJ$13:$AR$162,BN495,0)+INDEX($AT$13:$BB$162,BO495,0)+INDEX($BD$13:$BL$162,BP495,0))/100)))&gt;0)*($D$10:$L$10-($D$9:$L$9+INT(($S$12:$AA$12+INDEX($AJ$13:$AR$162,BN495,0)+INDEX($AT$13:$BB$162,BO495,0)+INDEX($BD$13:$BL$162,BP495,0))/100)))),0)</f>
        <v/>
      </c>
      <c r="BS495">
        <f>IF(482&lt;$U$9,SUMPRODUCT(($D$9:$L$9+INT(($S$12:$AA$12+INDEX($AJ$13:$AR$162,BN495,0)+INDEX($AT$13:$BB$162,BO495,0)+INDEX($BD$13:$BL$162,BP495,0))/100))),0)</f>
        <v/>
      </c>
      <c r="BT495">
        <f>IF(AND(482&lt;$U$9,$W$5),BQ495*1000000-MIN(BR495,999)*1000+BS495-482/100000,-1000000000-482)</f>
        <v/>
      </c>
    </row>
    <row r="496">
      <c r="BN496">
        <f>IF(483&lt;$U$9,INT(483/($U$7*$U$8))+1,1)</f>
        <v/>
      </c>
      <c r="BO496">
        <f>IF(483&lt;$U$9,MOD(INT(483/$U$8),$U$7)+1,1)</f>
        <v/>
      </c>
      <c r="BP496">
        <f>IF(483&lt;$U$9,MOD(483,$U$8)+1,1)</f>
        <v/>
      </c>
      <c r="BQ496">
        <f>IF(483&lt;$U$9,SUMPRODUCT(($D$10:$L$10&lt;&gt;"")*(($D$9:$L$9+INT(($S$12:$AA$12+INDEX($AJ$13:$AR$162,BN496,0)+INDEX($AT$13:$BB$162,BO496,0)+INDEX($BD$13:$BL$162,BP496,0))/100))&gt;=$D$10:$L$10)),0)</f>
        <v/>
      </c>
      <c r="BR496">
        <f>IF(483&lt;$U$9,SUMPRODUCT(($D$10:$L$10&lt;&gt;"")*(($D$10:$L$10-($D$9:$L$9+INT(($S$12:$AA$12+INDEX($AJ$13:$AR$162,BN496,0)+INDEX($AT$13:$BB$162,BO496,0)+INDEX($BD$13:$BL$162,BP496,0))/100)))&gt;0)*($D$10:$L$10-($D$9:$L$9+INT(($S$12:$AA$12+INDEX($AJ$13:$AR$162,BN496,0)+INDEX($AT$13:$BB$162,BO496,0)+INDEX($BD$13:$BL$162,BP496,0))/100)))),0)</f>
        <v/>
      </c>
      <c r="BS496">
        <f>IF(483&lt;$U$9,SUMPRODUCT(($D$9:$L$9+INT(($S$12:$AA$12+INDEX($AJ$13:$AR$162,BN496,0)+INDEX($AT$13:$BB$162,BO496,0)+INDEX($BD$13:$BL$162,BP496,0))/100))),0)</f>
        <v/>
      </c>
      <c r="BT496">
        <f>IF(AND(483&lt;$U$9,$W$5),BQ496*1000000-MIN(BR496,999)*1000+BS496-483/100000,-1000000000-483)</f>
        <v/>
      </c>
    </row>
    <row r="497">
      <c r="BN497">
        <f>IF(484&lt;$U$9,INT(484/($U$7*$U$8))+1,1)</f>
        <v/>
      </c>
      <c r="BO497">
        <f>IF(484&lt;$U$9,MOD(INT(484/$U$8),$U$7)+1,1)</f>
        <v/>
      </c>
      <c r="BP497">
        <f>IF(484&lt;$U$9,MOD(484,$U$8)+1,1)</f>
        <v/>
      </c>
      <c r="BQ497">
        <f>IF(484&lt;$U$9,SUMPRODUCT(($D$10:$L$10&lt;&gt;"")*(($D$9:$L$9+INT(($S$12:$AA$12+INDEX($AJ$13:$AR$162,BN497,0)+INDEX($AT$13:$BB$162,BO497,0)+INDEX($BD$13:$BL$162,BP497,0))/100))&gt;=$D$10:$L$10)),0)</f>
        <v/>
      </c>
      <c r="BR497">
        <f>IF(484&lt;$U$9,SUMPRODUCT(($D$10:$L$10&lt;&gt;"")*(($D$10:$L$10-($D$9:$L$9+INT(($S$12:$AA$12+INDEX($AJ$13:$AR$162,BN497,0)+INDEX($AT$13:$BB$162,BO497,0)+INDEX($BD$13:$BL$162,BP497,0))/100)))&gt;0)*($D$10:$L$10-($D$9:$L$9+INT(($S$12:$AA$12+INDEX($AJ$13:$AR$162,BN497,0)+INDEX($AT$13:$BB$162,BO497,0)+INDEX($BD$13:$BL$162,BP497,0))/100)))),0)</f>
        <v/>
      </c>
      <c r="BS497">
        <f>IF(484&lt;$U$9,SUMPRODUCT(($D$9:$L$9+INT(($S$12:$AA$12+INDEX($AJ$13:$AR$162,BN497,0)+INDEX($AT$13:$BB$162,BO497,0)+INDEX($BD$13:$BL$162,BP497,0))/100))),0)</f>
        <v/>
      </c>
      <c r="BT497">
        <f>IF(AND(484&lt;$U$9,$W$5),BQ497*1000000-MIN(BR497,999)*1000+BS497-484/100000,-1000000000-484)</f>
        <v/>
      </c>
    </row>
    <row r="498">
      <c r="BN498">
        <f>IF(485&lt;$U$9,INT(485/($U$7*$U$8))+1,1)</f>
        <v/>
      </c>
      <c r="BO498">
        <f>IF(485&lt;$U$9,MOD(INT(485/$U$8),$U$7)+1,1)</f>
        <v/>
      </c>
      <c r="BP498">
        <f>IF(485&lt;$U$9,MOD(485,$U$8)+1,1)</f>
        <v/>
      </c>
      <c r="BQ498">
        <f>IF(485&lt;$U$9,SUMPRODUCT(($D$10:$L$10&lt;&gt;"")*(($D$9:$L$9+INT(($S$12:$AA$12+INDEX($AJ$13:$AR$162,BN498,0)+INDEX($AT$13:$BB$162,BO498,0)+INDEX($BD$13:$BL$162,BP498,0))/100))&gt;=$D$10:$L$10)),0)</f>
        <v/>
      </c>
      <c r="BR498">
        <f>IF(485&lt;$U$9,SUMPRODUCT(($D$10:$L$10&lt;&gt;"")*(($D$10:$L$10-($D$9:$L$9+INT(($S$12:$AA$12+INDEX($AJ$13:$AR$162,BN498,0)+INDEX($AT$13:$BB$162,BO498,0)+INDEX($BD$13:$BL$162,BP498,0))/100)))&gt;0)*($D$10:$L$10-($D$9:$L$9+INT(($S$12:$AA$12+INDEX($AJ$13:$AR$162,BN498,0)+INDEX($AT$13:$BB$162,BO498,0)+INDEX($BD$13:$BL$162,BP498,0))/100)))),0)</f>
        <v/>
      </c>
      <c r="BS498">
        <f>IF(485&lt;$U$9,SUMPRODUCT(($D$9:$L$9+INT(($S$12:$AA$12+INDEX($AJ$13:$AR$162,BN498,0)+INDEX($AT$13:$BB$162,BO498,0)+INDEX($BD$13:$BL$162,BP498,0))/100))),0)</f>
        <v/>
      </c>
      <c r="BT498">
        <f>IF(AND(485&lt;$U$9,$W$5),BQ498*1000000-MIN(BR498,999)*1000+BS498-485/100000,-1000000000-485)</f>
        <v/>
      </c>
    </row>
    <row r="499">
      <c r="BN499">
        <f>IF(486&lt;$U$9,INT(486/($U$7*$U$8))+1,1)</f>
        <v/>
      </c>
      <c r="BO499">
        <f>IF(486&lt;$U$9,MOD(INT(486/$U$8),$U$7)+1,1)</f>
        <v/>
      </c>
      <c r="BP499">
        <f>IF(486&lt;$U$9,MOD(486,$U$8)+1,1)</f>
        <v/>
      </c>
      <c r="BQ499">
        <f>IF(486&lt;$U$9,SUMPRODUCT(($D$10:$L$10&lt;&gt;"")*(($D$9:$L$9+INT(($S$12:$AA$12+INDEX($AJ$13:$AR$162,BN499,0)+INDEX($AT$13:$BB$162,BO499,0)+INDEX($BD$13:$BL$162,BP499,0))/100))&gt;=$D$10:$L$10)),0)</f>
        <v/>
      </c>
      <c r="BR499">
        <f>IF(486&lt;$U$9,SUMPRODUCT(($D$10:$L$10&lt;&gt;"")*(($D$10:$L$10-($D$9:$L$9+INT(($S$12:$AA$12+INDEX($AJ$13:$AR$162,BN499,0)+INDEX($AT$13:$BB$162,BO499,0)+INDEX($BD$13:$BL$162,BP499,0))/100)))&gt;0)*($D$10:$L$10-($D$9:$L$9+INT(($S$12:$AA$12+INDEX($AJ$13:$AR$162,BN499,0)+INDEX($AT$13:$BB$162,BO499,0)+INDEX($BD$13:$BL$162,BP499,0))/100)))),0)</f>
        <v/>
      </c>
      <c r="BS499">
        <f>IF(486&lt;$U$9,SUMPRODUCT(($D$9:$L$9+INT(($S$12:$AA$12+INDEX($AJ$13:$AR$162,BN499,0)+INDEX($AT$13:$BB$162,BO499,0)+INDEX($BD$13:$BL$162,BP499,0))/100))),0)</f>
        <v/>
      </c>
      <c r="BT499">
        <f>IF(AND(486&lt;$U$9,$W$5),BQ499*1000000-MIN(BR499,999)*1000+BS499-486/100000,-1000000000-486)</f>
        <v/>
      </c>
    </row>
    <row r="500">
      <c r="BN500">
        <f>IF(487&lt;$U$9,INT(487/($U$7*$U$8))+1,1)</f>
        <v/>
      </c>
      <c r="BO500">
        <f>IF(487&lt;$U$9,MOD(INT(487/$U$8),$U$7)+1,1)</f>
        <v/>
      </c>
      <c r="BP500">
        <f>IF(487&lt;$U$9,MOD(487,$U$8)+1,1)</f>
        <v/>
      </c>
      <c r="BQ500">
        <f>IF(487&lt;$U$9,SUMPRODUCT(($D$10:$L$10&lt;&gt;"")*(($D$9:$L$9+INT(($S$12:$AA$12+INDEX($AJ$13:$AR$162,BN500,0)+INDEX($AT$13:$BB$162,BO500,0)+INDEX($BD$13:$BL$162,BP500,0))/100))&gt;=$D$10:$L$10)),0)</f>
        <v/>
      </c>
      <c r="BR500">
        <f>IF(487&lt;$U$9,SUMPRODUCT(($D$10:$L$10&lt;&gt;"")*(($D$10:$L$10-($D$9:$L$9+INT(($S$12:$AA$12+INDEX($AJ$13:$AR$162,BN500,0)+INDEX($AT$13:$BB$162,BO500,0)+INDEX($BD$13:$BL$162,BP500,0))/100)))&gt;0)*($D$10:$L$10-($D$9:$L$9+INT(($S$12:$AA$12+INDEX($AJ$13:$AR$162,BN500,0)+INDEX($AT$13:$BB$162,BO500,0)+INDEX($BD$13:$BL$162,BP500,0))/100)))),0)</f>
        <v/>
      </c>
      <c r="BS500">
        <f>IF(487&lt;$U$9,SUMPRODUCT(($D$9:$L$9+INT(($S$12:$AA$12+INDEX($AJ$13:$AR$162,BN500,0)+INDEX($AT$13:$BB$162,BO500,0)+INDEX($BD$13:$BL$162,BP500,0))/100))),0)</f>
        <v/>
      </c>
      <c r="BT500">
        <f>IF(AND(487&lt;$U$9,$W$5),BQ500*1000000-MIN(BR500,999)*1000+BS500-487/100000,-1000000000-487)</f>
        <v/>
      </c>
    </row>
    <row r="501">
      <c r="BN501">
        <f>IF(488&lt;$U$9,INT(488/($U$7*$U$8))+1,1)</f>
        <v/>
      </c>
      <c r="BO501">
        <f>IF(488&lt;$U$9,MOD(INT(488/$U$8),$U$7)+1,1)</f>
        <v/>
      </c>
      <c r="BP501">
        <f>IF(488&lt;$U$9,MOD(488,$U$8)+1,1)</f>
        <v/>
      </c>
      <c r="BQ501">
        <f>IF(488&lt;$U$9,SUMPRODUCT(($D$10:$L$10&lt;&gt;"")*(($D$9:$L$9+INT(($S$12:$AA$12+INDEX($AJ$13:$AR$162,BN501,0)+INDEX($AT$13:$BB$162,BO501,0)+INDEX($BD$13:$BL$162,BP501,0))/100))&gt;=$D$10:$L$10)),0)</f>
        <v/>
      </c>
      <c r="BR501">
        <f>IF(488&lt;$U$9,SUMPRODUCT(($D$10:$L$10&lt;&gt;"")*(($D$10:$L$10-($D$9:$L$9+INT(($S$12:$AA$12+INDEX($AJ$13:$AR$162,BN501,0)+INDEX($AT$13:$BB$162,BO501,0)+INDEX($BD$13:$BL$162,BP501,0))/100)))&gt;0)*($D$10:$L$10-($D$9:$L$9+INT(($S$12:$AA$12+INDEX($AJ$13:$AR$162,BN501,0)+INDEX($AT$13:$BB$162,BO501,0)+INDEX($BD$13:$BL$162,BP501,0))/100)))),0)</f>
        <v/>
      </c>
      <c r="BS501">
        <f>IF(488&lt;$U$9,SUMPRODUCT(($D$9:$L$9+INT(($S$12:$AA$12+INDEX($AJ$13:$AR$162,BN501,0)+INDEX($AT$13:$BB$162,BO501,0)+INDEX($BD$13:$BL$162,BP501,0))/100))),0)</f>
        <v/>
      </c>
      <c r="BT501">
        <f>IF(AND(488&lt;$U$9,$W$5),BQ501*1000000-MIN(BR501,999)*1000+BS501-488/100000,-1000000000-488)</f>
        <v/>
      </c>
    </row>
    <row r="502">
      <c r="BN502">
        <f>IF(489&lt;$U$9,INT(489/($U$7*$U$8))+1,1)</f>
        <v/>
      </c>
      <c r="BO502">
        <f>IF(489&lt;$U$9,MOD(INT(489/$U$8),$U$7)+1,1)</f>
        <v/>
      </c>
      <c r="BP502">
        <f>IF(489&lt;$U$9,MOD(489,$U$8)+1,1)</f>
        <v/>
      </c>
      <c r="BQ502">
        <f>IF(489&lt;$U$9,SUMPRODUCT(($D$10:$L$10&lt;&gt;"")*(($D$9:$L$9+INT(($S$12:$AA$12+INDEX($AJ$13:$AR$162,BN502,0)+INDEX($AT$13:$BB$162,BO502,0)+INDEX($BD$13:$BL$162,BP502,0))/100))&gt;=$D$10:$L$10)),0)</f>
        <v/>
      </c>
      <c r="BR502">
        <f>IF(489&lt;$U$9,SUMPRODUCT(($D$10:$L$10&lt;&gt;"")*(($D$10:$L$10-($D$9:$L$9+INT(($S$12:$AA$12+INDEX($AJ$13:$AR$162,BN502,0)+INDEX($AT$13:$BB$162,BO502,0)+INDEX($BD$13:$BL$162,BP502,0))/100)))&gt;0)*($D$10:$L$10-($D$9:$L$9+INT(($S$12:$AA$12+INDEX($AJ$13:$AR$162,BN502,0)+INDEX($AT$13:$BB$162,BO502,0)+INDEX($BD$13:$BL$162,BP502,0))/100)))),0)</f>
        <v/>
      </c>
      <c r="BS502">
        <f>IF(489&lt;$U$9,SUMPRODUCT(($D$9:$L$9+INT(($S$12:$AA$12+INDEX($AJ$13:$AR$162,BN502,0)+INDEX($AT$13:$BB$162,BO502,0)+INDEX($BD$13:$BL$162,BP502,0))/100))),0)</f>
        <v/>
      </c>
      <c r="BT502">
        <f>IF(AND(489&lt;$U$9,$W$5),BQ502*1000000-MIN(BR502,999)*1000+BS502-489/100000,-1000000000-489)</f>
        <v/>
      </c>
    </row>
    <row r="503">
      <c r="BN503">
        <f>IF(490&lt;$U$9,INT(490/($U$7*$U$8))+1,1)</f>
        <v/>
      </c>
      <c r="BO503">
        <f>IF(490&lt;$U$9,MOD(INT(490/$U$8),$U$7)+1,1)</f>
        <v/>
      </c>
      <c r="BP503">
        <f>IF(490&lt;$U$9,MOD(490,$U$8)+1,1)</f>
        <v/>
      </c>
      <c r="BQ503">
        <f>IF(490&lt;$U$9,SUMPRODUCT(($D$10:$L$10&lt;&gt;"")*(($D$9:$L$9+INT(($S$12:$AA$12+INDEX($AJ$13:$AR$162,BN503,0)+INDEX($AT$13:$BB$162,BO503,0)+INDEX($BD$13:$BL$162,BP503,0))/100))&gt;=$D$10:$L$10)),0)</f>
        <v/>
      </c>
      <c r="BR503">
        <f>IF(490&lt;$U$9,SUMPRODUCT(($D$10:$L$10&lt;&gt;"")*(($D$10:$L$10-($D$9:$L$9+INT(($S$12:$AA$12+INDEX($AJ$13:$AR$162,BN503,0)+INDEX($AT$13:$BB$162,BO503,0)+INDEX($BD$13:$BL$162,BP503,0))/100)))&gt;0)*($D$10:$L$10-($D$9:$L$9+INT(($S$12:$AA$12+INDEX($AJ$13:$AR$162,BN503,0)+INDEX($AT$13:$BB$162,BO503,0)+INDEX($BD$13:$BL$162,BP503,0))/100)))),0)</f>
        <v/>
      </c>
      <c r="BS503">
        <f>IF(490&lt;$U$9,SUMPRODUCT(($D$9:$L$9+INT(($S$12:$AA$12+INDEX($AJ$13:$AR$162,BN503,0)+INDEX($AT$13:$BB$162,BO503,0)+INDEX($BD$13:$BL$162,BP503,0))/100))),0)</f>
        <v/>
      </c>
      <c r="BT503">
        <f>IF(AND(490&lt;$U$9,$W$5),BQ503*1000000-MIN(BR503,999)*1000+BS503-490/100000,-1000000000-490)</f>
        <v/>
      </c>
    </row>
    <row r="504">
      <c r="BN504">
        <f>IF(491&lt;$U$9,INT(491/($U$7*$U$8))+1,1)</f>
        <v/>
      </c>
      <c r="BO504">
        <f>IF(491&lt;$U$9,MOD(INT(491/$U$8),$U$7)+1,1)</f>
        <v/>
      </c>
      <c r="BP504">
        <f>IF(491&lt;$U$9,MOD(491,$U$8)+1,1)</f>
        <v/>
      </c>
      <c r="BQ504">
        <f>IF(491&lt;$U$9,SUMPRODUCT(($D$10:$L$10&lt;&gt;"")*(($D$9:$L$9+INT(($S$12:$AA$12+INDEX($AJ$13:$AR$162,BN504,0)+INDEX($AT$13:$BB$162,BO504,0)+INDEX($BD$13:$BL$162,BP504,0))/100))&gt;=$D$10:$L$10)),0)</f>
        <v/>
      </c>
      <c r="BR504">
        <f>IF(491&lt;$U$9,SUMPRODUCT(($D$10:$L$10&lt;&gt;"")*(($D$10:$L$10-($D$9:$L$9+INT(($S$12:$AA$12+INDEX($AJ$13:$AR$162,BN504,0)+INDEX($AT$13:$BB$162,BO504,0)+INDEX($BD$13:$BL$162,BP504,0))/100)))&gt;0)*($D$10:$L$10-($D$9:$L$9+INT(($S$12:$AA$12+INDEX($AJ$13:$AR$162,BN504,0)+INDEX($AT$13:$BB$162,BO504,0)+INDEX($BD$13:$BL$162,BP504,0))/100)))),0)</f>
        <v/>
      </c>
      <c r="BS504">
        <f>IF(491&lt;$U$9,SUMPRODUCT(($D$9:$L$9+INT(($S$12:$AA$12+INDEX($AJ$13:$AR$162,BN504,0)+INDEX($AT$13:$BB$162,BO504,0)+INDEX($BD$13:$BL$162,BP504,0))/100))),0)</f>
        <v/>
      </c>
      <c r="BT504">
        <f>IF(AND(491&lt;$U$9,$W$5),BQ504*1000000-MIN(BR504,999)*1000+BS504-491/100000,-1000000000-491)</f>
        <v/>
      </c>
    </row>
    <row r="505">
      <c r="BN505">
        <f>IF(492&lt;$U$9,INT(492/($U$7*$U$8))+1,1)</f>
        <v/>
      </c>
      <c r="BO505">
        <f>IF(492&lt;$U$9,MOD(INT(492/$U$8),$U$7)+1,1)</f>
        <v/>
      </c>
      <c r="BP505">
        <f>IF(492&lt;$U$9,MOD(492,$U$8)+1,1)</f>
        <v/>
      </c>
      <c r="BQ505">
        <f>IF(492&lt;$U$9,SUMPRODUCT(($D$10:$L$10&lt;&gt;"")*(($D$9:$L$9+INT(($S$12:$AA$12+INDEX($AJ$13:$AR$162,BN505,0)+INDEX($AT$13:$BB$162,BO505,0)+INDEX($BD$13:$BL$162,BP505,0))/100))&gt;=$D$10:$L$10)),0)</f>
        <v/>
      </c>
      <c r="BR505">
        <f>IF(492&lt;$U$9,SUMPRODUCT(($D$10:$L$10&lt;&gt;"")*(($D$10:$L$10-($D$9:$L$9+INT(($S$12:$AA$12+INDEX($AJ$13:$AR$162,BN505,0)+INDEX($AT$13:$BB$162,BO505,0)+INDEX($BD$13:$BL$162,BP505,0))/100)))&gt;0)*($D$10:$L$10-($D$9:$L$9+INT(($S$12:$AA$12+INDEX($AJ$13:$AR$162,BN505,0)+INDEX($AT$13:$BB$162,BO505,0)+INDEX($BD$13:$BL$162,BP505,0))/100)))),0)</f>
        <v/>
      </c>
      <c r="BS505">
        <f>IF(492&lt;$U$9,SUMPRODUCT(($D$9:$L$9+INT(($S$12:$AA$12+INDEX($AJ$13:$AR$162,BN505,0)+INDEX($AT$13:$BB$162,BO505,0)+INDEX($BD$13:$BL$162,BP505,0))/100))),0)</f>
        <v/>
      </c>
      <c r="BT505">
        <f>IF(AND(492&lt;$U$9,$W$5),BQ505*1000000-MIN(BR505,999)*1000+BS505-492/100000,-1000000000-492)</f>
        <v/>
      </c>
    </row>
    <row r="506">
      <c r="BN506">
        <f>IF(493&lt;$U$9,INT(493/($U$7*$U$8))+1,1)</f>
        <v/>
      </c>
      <c r="BO506">
        <f>IF(493&lt;$U$9,MOD(INT(493/$U$8),$U$7)+1,1)</f>
        <v/>
      </c>
      <c r="BP506">
        <f>IF(493&lt;$U$9,MOD(493,$U$8)+1,1)</f>
        <v/>
      </c>
      <c r="BQ506">
        <f>IF(493&lt;$U$9,SUMPRODUCT(($D$10:$L$10&lt;&gt;"")*(($D$9:$L$9+INT(($S$12:$AA$12+INDEX($AJ$13:$AR$162,BN506,0)+INDEX($AT$13:$BB$162,BO506,0)+INDEX($BD$13:$BL$162,BP506,0))/100))&gt;=$D$10:$L$10)),0)</f>
        <v/>
      </c>
      <c r="BR506">
        <f>IF(493&lt;$U$9,SUMPRODUCT(($D$10:$L$10&lt;&gt;"")*(($D$10:$L$10-($D$9:$L$9+INT(($S$12:$AA$12+INDEX($AJ$13:$AR$162,BN506,0)+INDEX($AT$13:$BB$162,BO506,0)+INDEX($BD$13:$BL$162,BP506,0))/100)))&gt;0)*($D$10:$L$10-($D$9:$L$9+INT(($S$12:$AA$12+INDEX($AJ$13:$AR$162,BN506,0)+INDEX($AT$13:$BB$162,BO506,0)+INDEX($BD$13:$BL$162,BP506,0))/100)))),0)</f>
        <v/>
      </c>
      <c r="BS506">
        <f>IF(493&lt;$U$9,SUMPRODUCT(($D$9:$L$9+INT(($S$12:$AA$12+INDEX($AJ$13:$AR$162,BN506,0)+INDEX($AT$13:$BB$162,BO506,0)+INDEX($BD$13:$BL$162,BP506,0))/100))),0)</f>
        <v/>
      </c>
      <c r="BT506">
        <f>IF(AND(493&lt;$U$9,$W$5),BQ506*1000000-MIN(BR506,999)*1000+BS506-493/100000,-1000000000-493)</f>
        <v/>
      </c>
    </row>
    <row r="507">
      <c r="BN507">
        <f>IF(494&lt;$U$9,INT(494/($U$7*$U$8))+1,1)</f>
        <v/>
      </c>
      <c r="BO507">
        <f>IF(494&lt;$U$9,MOD(INT(494/$U$8),$U$7)+1,1)</f>
        <v/>
      </c>
      <c r="BP507">
        <f>IF(494&lt;$U$9,MOD(494,$U$8)+1,1)</f>
        <v/>
      </c>
      <c r="BQ507">
        <f>IF(494&lt;$U$9,SUMPRODUCT(($D$10:$L$10&lt;&gt;"")*(($D$9:$L$9+INT(($S$12:$AA$12+INDEX($AJ$13:$AR$162,BN507,0)+INDEX($AT$13:$BB$162,BO507,0)+INDEX($BD$13:$BL$162,BP507,0))/100))&gt;=$D$10:$L$10)),0)</f>
        <v/>
      </c>
      <c r="BR507">
        <f>IF(494&lt;$U$9,SUMPRODUCT(($D$10:$L$10&lt;&gt;"")*(($D$10:$L$10-($D$9:$L$9+INT(($S$12:$AA$12+INDEX($AJ$13:$AR$162,BN507,0)+INDEX($AT$13:$BB$162,BO507,0)+INDEX($BD$13:$BL$162,BP507,0))/100)))&gt;0)*($D$10:$L$10-($D$9:$L$9+INT(($S$12:$AA$12+INDEX($AJ$13:$AR$162,BN507,0)+INDEX($AT$13:$BB$162,BO507,0)+INDEX($BD$13:$BL$162,BP507,0))/100)))),0)</f>
        <v/>
      </c>
      <c r="BS507">
        <f>IF(494&lt;$U$9,SUMPRODUCT(($D$9:$L$9+INT(($S$12:$AA$12+INDEX($AJ$13:$AR$162,BN507,0)+INDEX($AT$13:$BB$162,BO507,0)+INDEX($BD$13:$BL$162,BP507,0))/100))),0)</f>
        <v/>
      </c>
      <c r="BT507">
        <f>IF(AND(494&lt;$U$9,$W$5),BQ507*1000000-MIN(BR507,999)*1000+BS507-494/100000,-1000000000-494)</f>
        <v/>
      </c>
    </row>
    <row r="508">
      <c r="BN508">
        <f>IF(495&lt;$U$9,INT(495/($U$7*$U$8))+1,1)</f>
        <v/>
      </c>
      <c r="BO508">
        <f>IF(495&lt;$U$9,MOD(INT(495/$U$8),$U$7)+1,1)</f>
        <v/>
      </c>
      <c r="BP508">
        <f>IF(495&lt;$U$9,MOD(495,$U$8)+1,1)</f>
        <v/>
      </c>
      <c r="BQ508">
        <f>IF(495&lt;$U$9,SUMPRODUCT(($D$10:$L$10&lt;&gt;"")*(($D$9:$L$9+INT(($S$12:$AA$12+INDEX($AJ$13:$AR$162,BN508,0)+INDEX($AT$13:$BB$162,BO508,0)+INDEX($BD$13:$BL$162,BP508,0))/100))&gt;=$D$10:$L$10)),0)</f>
        <v/>
      </c>
      <c r="BR508">
        <f>IF(495&lt;$U$9,SUMPRODUCT(($D$10:$L$10&lt;&gt;"")*(($D$10:$L$10-($D$9:$L$9+INT(($S$12:$AA$12+INDEX($AJ$13:$AR$162,BN508,0)+INDEX($AT$13:$BB$162,BO508,0)+INDEX($BD$13:$BL$162,BP508,0))/100)))&gt;0)*($D$10:$L$10-($D$9:$L$9+INT(($S$12:$AA$12+INDEX($AJ$13:$AR$162,BN508,0)+INDEX($AT$13:$BB$162,BO508,0)+INDEX($BD$13:$BL$162,BP508,0))/100)))),0)</f>
        <v/>
      </c>
      <c r="BS508">
        <f>IF(495&lt;$U$9,SUMPRODUCT(($D$9:$L$9+INT(($S$12:$AA$12+INDEX($AJ$13:$AR$162,BN508,0)+INDEX($AT$13:$BB$162,BO508,0)+INDEX($BD$13:$BL$162,BP508,0))/100))),0)</f>
        <v/>
      </c>
      <c r="BT508">
        <f>IF(AND(495&lt;$U$9,$W$5),BQ508*1000000-MIN(BR508,999)*1000+BS508-495/100000,-1000000000-495)</f>
        <v/>
      </c>
    </row>
    <row r="509">
      <c r="BN509">
        <f>IF(496&lt;$U$9,INT(496/($U$7*$U$8))+1,1)</f>
        <v/>
      </c>
      <c r="BO509">
        <f>IF(496&lt;$U$9,MOD(INT(496/$U$8),$U$7)+1,1)</f>
        <v/>
      </c>
      <c r="BP509">
        <f>IF(496&lt;$U$9,MOD(496,$U$8)+1,1)</f>
        <v/>
      </c>
      <c r="BQ509">
        <f>IF(496&lt;$U$9,SUMPRODUCT(($D$10:$L$10&lt;&gt;"")*(($D$9:$L$9+INT(($S$12:$AA$12+INDEX($AJ$13:$AR$162,BN509,0)+INDEX($AT$13:$BB$162,BO509,0)+INDEX($BD$13:$BL$162,BP509,0))/100))&gt;=$D$10:$L$10)),0)</f>
        <v/>
      </c>
      <c r="BR509">
        <f>IF(496&lt;$U$9,SUMPRODUCT(($D$10:$L$10&lt;&gt;"")*(($D$10:$L$10-($D$9:$L$9+INT(($S$12:$AA$12+INDEX($AJ$13:$AR$162,BN509,0)+INDEX($AT$13:$BB$162,BO509,0)+INDEX($BD$13:$BL$162,BP509,0))/100)))&gt;0)*($D$10:$L$10-($D$9:$L$9+INT(($S$12:$AA$12+INDEX($AJ$13:$AR$162,BN509,0)+INDEX($AT$13:$BB$162,BO509,0)+INDEX($BD$13:$BL$162,BP509,0))/100)))),0)</f>
        <v/>
      </c>
      <c r="BS509">
        <f>IF(496&lt;$U$9,SUMPRODUCT(($D$9:$L$9+INT(($S$12:$AA$12+INDEX($AJ$13:$AR$162,BN509,0)+INDEX($AT$13:$BB$162,BO509,0)+INDEX($BD$13:$BL$162,BP509,0))/100))),0)</f>
        <v/>
      </c>
      <c r="BT509">
        <f>IF(AND(496&lt;$U$9,$W$5),BQ509*1000000-MIN(BR509,999)*1000+BS509-496/100000,-1000000000-496)</f>
        <v/>
      </c>
    </row>
    <row r="510">
      <c r="BN510">
        <f>IF(497&lt;$U$9,INT(497/($U$7*$U$8))+1,1)</f>
        <v/>
      </c>
      <c r="BO510">
        <f>IF(497&lt;$U$9,MOD(INT(497/$U$8),$U$7)+1,1)</f>
        <v/>
      </c>
      <c r="BP510">
        <f>IF(497&lt;$U$9,MOD(497,$U$8)+1,1)</f>
        <v/>
      </c>
      <c r="BQ510">
        <f>IF(497&lt;$U$9,SUMPRODUCT(($D$10:$L$10&lt;&gt;"")*(($D$9:$L$9+INT(($S$12:$AA$12+INDEX($AJ$13:$AR$162,BN510,0)+INDEX($AT$13:$BB$162,BO510,0)+INDEX($BD$13:$BL$162,BP510,0))/100))&gt;=$D$10:$L$10)),0)</f>
        <v/>
      </c>
      <c r="BR510">
        <f>IF(497&lt;$U$9,SUMPRODUCT(($D$10:$L$10&lt;&gt;"")*(($D$10:$L$10-($D$9:$L$9+INT(($S$12:$AA$12+INDEX($AJ$13:$AR$162,BN510,0)+INDEX($AT$13:$BB$162,BO510,0)+INDEX($BD$13:$BL$162,BP510,0))/100)))&gt;0)*($D$10:$L$10-($D$9:$L$9+INT(($S$12:$AA$12+INDEX($AJ$13:$AR$162,BN510,0)+INDEX($AT$13:$BB$162,BO510,0)+INDEX($BD$13:$BL$162,BP510,0))/100)))),0)</f>
        <v/>
      </c>
      <c r="BS510">
        <f>IF(497&lt;$U$9,SUMPRODUCT(($D$9:$L$9+INT(($S$12:$AA$12+INDEX($AJ$13:$AR$162,BN510,0)+INDEX($AT$13:$BB$162,BO510,0)+INDEX($BD$13:$BL$162,BP510,0))/100))),0)</f>
        <v/>
      </c>
      <c r="BT510">
        <f>IF(AND(497&lt;$U$9,$W$5),BQ510*1000000-MIN(BR510,999)*1000+BS510-497/100000,-1000000000-497)</f>
        <v/>
      </c>
    </row>
    <row r="511">
      <c r="BN511">
        <f>IF(498&lt;$U$9,INT(498/($U$7*$U$8))+1,1)</f>
        <v/>
      </c>
      <c r="BO511">
        <f>IF(498&lt;$U$9,MOD(INT(498/$U$8),$U$7)+1,1)</f>
        <v/>
      </c>
      <c r="BP511">
        <f>IF(498&lt;$U$9,MOD(498,$U$8)+1,1)</f>
        <v/>
      </c>
      <c r="BQ511">
        <f>IF(498&lt;$U$9,SUMPRODUCT(($D$10:$L$10&lt;&gt;"")*(($D$9:$L$9+INT(($S$12:$AA$12+INDEX($AJ$13:$AR$162,BN511,0)+INDEX($AT$13:$BB$162,BO511,0)+INDEX($BD$13:$BL$162,BP511,0))/100))&gt;=$D$10:$L$10)),0)</f>
        <v/>
      </c>
      <c r="BR511">
        <f>IF(498&lt;$U$9,SUMPRODUCT(($D$10:$L$10&lt;&gt;"")*(($D$10:$L$10-($D$9:$L$9+INT(($S$12:$AA$12+INDEX($AJ$13:$AR$162,BN511,0)+INDEX($AT$13:$BB$162,BO511,0)+INDEX($BD$13:$BL$162,BP511,0))/100)))&gt;0)*($D$10:$L$10-($D$9:$L$9+INT(($S$12:$AA$12+INDEX($AJ$13:$AR$162,BN511,0)+INDEX($AT$13:$BB$162,BO511,0)+INDEX($BD$13:$BL$162,BP511,0))/100)))),0)</f>
        <v/>
      </c>
      <c r="BS511">
        <f>IF(498&lt;$U$9,SUMPRODUCT(($D$9:$L$9+INT(($S$12:$AA$12+INDEX($AJ$13:$AR$162,BN511,0)+INDEX($AT$13:$BB$162,BO511,0)+INDEX($BD$13:$BL$162,BP511,0))/100))),0)</f>
        <v/>
      </c>
      <c r="BT511">
        <f>IF(AND(498&lt;$U$9,$W$5),BQ511*1000000-MIN(BR511,999)*1000+BS511-498/100000,-1000000000-498)</f>
        <v/>
      </c>
    </row>
    <row r="512">
      <c r="BN512">
        <f>IF(499&lt;$U$9,INT(499/($U$7*$U$8))+1,1)</f>
        <v/>
      </c>
      <c r="BO512">
        <f>IF(499&lt;$U$9,MOD(INT(499/$U$8),$U$7)+1,1)</f>
        <v/>
      </c>
      <c r="BP512">
        <f>IF(499&lt;$U$9,MOD(499,$U$8)+1,1)</f>
        <v/>
      </c>
      <c r="BQ512">
        <f>IF(499&lt;$U$9,SUMPRODUCT(($D$10:$L$10&lt;&gt;"")*(($D$9:$L$9+INT(($S$12:$AA$12+INDEX($AJ$13:$AR$162,BN512,0)+INDEX($AT$13:$BB$162,BO512,0)+INDEX($BD$13:$BL$162,BP512,0))/100))&gt;=$D$10:$L$10)),0)</f>
        <v/>
      </c>
      <c r="BR512">
        <f>IF(499&lt;$U$9,SUMPRODUCT(($D$10:$L$10&lt;&gt;"")*(($D$10:$L$10-($D$9:$L$9+INT(($S$12:$AA$12+INDEX($AJ$13:$AR$162,BN512,0)+INDEX($AT$13:$BB$162,BO512,0)+INDEX($BD$13:$BL$162,BP512,0))/100)))&gt;0)*($D$10:$L$10-($D$9:$L$9+INT(($S$12:$AA$12+INDEX($AJ$13:$AR$162,BN512,0)+INDEX($AT$13:$BB$162,BO512,0)+INDEX($BD$13:$BL$162,BP512,0))/100)))),0)</f>
        <v/>
      </c>
      <c r="BS512">
        <f>IF(499&lt;$U$9,SUMPRODUCT(($D$9:$L$9+INT(($S$12:$AA$12+INDEX($AJ$13:$AR$162,BN512,0)+INDEX($AT$13:$BB$162,BO512,0)+INDEX($BD$13:$BL$162,BP512,0))/100))),0)</f>
        <v/>
      </c>
      <c r="BT512">
        <f>IF(AND(499&lt;$U$9,$W$5),BQ512*1000000-MIN(BR512,999)*1000+BS512-499/100000,-1000000000-499)</f>
        <v/>
      </c>
    </row>
    <row r="513">
      <c r="BN513">
        <f>IF(500&lt;$U$9,INT(500/($U$7*$U$8))+1,1)</f>
        <v/>
      </c>
      <c r="BO513">
        <f>IF(500&lt;$U$9,MOD(INT(500/$U$8),$U$7)+1,1)</f>
        <v/>
      </c>
      <c r="BP513">
        <f>IF(500&lt;$U$9,MOD(500,$U$8)+1,1)</f>
        <v/>
      </c>
      <c r="BQ513">
        <f>IF(500&lt;$U$9,SUMPRODUCT(($D$10:$L$10&lt;&gt;"")*(($D$9:$L$9+INT(($S$12:$AA$12+INDEX($AJ$13:$AR$162,BN513,0)+INDEX($AT$13:$BB$162,BO513,0)+INDEX($BD$13:$BL$162,BP513,0))/100))&gt;=$D$10:$L$10)),0)</f>
        <v/>
      </c>
      <c r="BR513">
        <f>IF(500&lt;$U$9,SUMPRODUCT(($D$10:$L$10&lt;&gt;"")*(($D$10:$L$10-($D$9:$L$9+INT(($S$12:$AA$12+INDEX($AJ$13:$AR$162,BN513,0)+INDEX($AT$13:$BB$162,BO513,0)+INDEX($BD$13:$BL$162,BP513,0))/100)))&gt;0)*($D$10:$L$10-($D$9:$L$9+INT(($S$12:$AA$12+INDEX($AJ$13:$AR$162,BN513,0)+INDEX($AT$13:$BB$162,BO513,0)+INDEX($BD$13:$BL$162,BP513,0))/100)))),0)</f>
        <v/>
      </c>
      <c r="BS513">
        <f>IF(500&lt;$U$9,SUMPRODUCT(($D$9:$L$9+INT(($S$12:$AA$12+INDEX($AJ$13:$AR$162,BN513,0)+INDEX($AT$13:$BB$162,BO513,0)+INDEX($BD$13:$BL$162,BP513,0))/100))),0)</f>
        <v/>
      </c>
      <c r="BT513">
        <f>IF(AND(500&lt;$U$9,$W$5),BQ513*1000000-MIN(BR513,999)*1000+BS513-500/100000,-1000000000-500)</f>
        <v/>
      </c>
    </row>
    <row r="514">
      <c r="BN514">
        <f>IF(501&lt;$U$9,INT(501/($U$7*$U$8))+1,1)</f>
        <v/>
      </c>
      <c r="BO514">
        <f>IF(501&lt;$U$9,MOD(INT(501/$U$8),$U$7)+1,1)</f>
        <v/>
      </c>
      <c r="BP514">
        <f>IF(501&lt;$U$9,MOD(501,$U$8)+1,1)</f>
        <v/>
      </c>
      <c r="BQ514">
        <f>IF(501&lt;$U$9,SUMPRODUCT(($D$10:$L$10&lt;&gt;"")*(($D$9:$L$9+INT(($S$12:$AA$12+INDEX($AJ$13:$AR$162,BN514,0)+INDEX($AT$13:$BB$162,BO514,0)+INDEX($BD$13:$BL$162,BP514,0))/100))&gt;=$D$10:$L$10)),0)</f>
        <v/>
      </c>
      <c r="BR514">
        <f>IF(501&lt;$U$9,SUMPRODUCT(($D$10:$L$10&lt;&gt;"")*(($D$10:$L$10-($D$9:$L$9+INT(($S$12:$AA$12+INDEX($AJ$13:$AR$162,BN514,0)+INDEX($AT$13:$BB$162,BO514,0)+INDEX($BD$13:$BL$162,BP514,0))/100)))&gt;0)*($D$10:$L$10-($D$9:$L$9+INT(($S$12:$AA$12+INDEX($AJ$13:$AR$162,BN514,0)+INDEX($AT$13:$BB$162,BO514,0)+INDEX($BD$13:$BL$162,BP514,0))/100)))),0)</f>
        <v/>
      </c>
      <c r="BS514">
        <f>IF(501&lt;$U$9,SUMPRODUCT(($D$9:$L$9+INT(($S$12:$AA$12+INDEX($AJ$13:$AR$162,BN514,0)+INDEX($AT$13:$BB$162,BO514,0)+INDEX($BD$13:$BL$162,BP514,0))/100))),0)</f>
        <v/>
      </c>
      <c r="BT514">
        <f>IF(AND(501&lt;$U$9,$W$5),BQ514*1000000-MIN(BR514,999)*1000+BS514-501/100000,-1000000000-501)</f>
        <v/>
      </c>
    </row>
    <row r="515">
      <c r="BN515">
        <f>IF(502&lt;$U$9,INT(502/($U$7*$U$8))+1,1)</f>
        <v/>
      </c>
      <c r="BO515">
        <f>IF(502&lt;$U$9,MOD(INT(502/$U$8),$U$7)+1,1)</f>
        <v/>
      </c>
      <c r="BP515">
        <f>IF(502&lt;$U$9,MOD(502,$U$8)+1,1)</f>
        <v/>
      </c>
      <c r="BQ515">
        <f>IF(502&lt;$U$9,SUMPRODUCT(($D$10:$L$10&lt;&gt;"")*(($D$9:$L$9+INT(($S$12:$AA$12+INDEX($AJ$13:$AR$162,BN515,0)+INDEX($AT$13:$BB$162,BO515,0)+INDEX($BD$13:$BL$162,BP515,0))/100))&gt;=$D$10:$L$10)),0)</f>
        <v/>
      </c>
      <c r="BR515">
        <f>IF(502&lt;$U$9,SUMPRODUCT(($D$10:$L$10&lt;&gt;"")*(($D$10:$L$10-($D$9:$L$9+INT(($S$12:$AA$12+INDEX($AJ$13:$AR$162,BN515,0)+INDEX($AT$13:$BB$162,BO515,0)+INDEX($BD$13:$BL$162,BP515,0))/100)))&gt;0)*($D$10:$L$10-($D$9:$L$9+INT(($S$12:$AA$12+INDEX($AJ$13:$AR$162,BN515,0)+INDEX($AT$13:$BB$162,BO515,0)+INDEX($BD$13:$BL$162,BP515,0))/100)))),0)</f>
        <v/>
      </c>
      <c r="BS515">
        <f>IF(502&lt;$U$9,SUMPRODUCT(($D$9:$L$9+INT(($S$12:$AA$12+INDEX($AJ$13:$AR$162,BN515,0)+INDEX($AT$13:$BB$162,BO515,0)+INDEX($BD$13:$BL$162,BP515,0))/100))),0)</f>
        <v/>
      </c>
      <c r="BT515">
        <f>IF(AND(502&lt;$U$9,$W$5),BQ515*1000000-MIN(BR515,999)*1000+BS515-502/100000,-1000000000-502)</f>
        <v/>
      </c>
    </row>
    <row r="516">
      <c r="BN516">
        <f>IF(503&lt;$U$9,INT(503/($U$7*$U$8))+1,1)</f>
        <v/>
      </c>
      <c r="BO516">
        <f>IF(503&lt;$U$9,MOD(INT(503/$U$8),$U$7)+1,1)</f>
        <v/>
      </c>
      <c r="BP516">
        <f>IF(503&lt;$U$9,MOD(503,$U$8)+1,1)</f>
        <v/>
      </c>
      <c r="BQ516">
        <f>IF(503&lt;$U$9,SUMPRODUCT(($D$10:$L$10&lt;&gt;"")*(($D$9:$L$9+INT(($S$12:$AA$12+INDEX($AJ$13:$AR$162,BN516,0)+INDEX($AT$13:$BB$162,BO516,0)+INDEX($BD$13:$BL$162,BP516,0))/100))&gt;=$D$10:$L$10)),0)</f>
        <v/>
      </c>
      <c r="BR516">
        <f>IF(503&lt;$U$9,SUMPRODUCT(($D$10:$L$10&lt;&gt;"")*(($D$10:$L$10-($D$9:$L$9+INT(($S$12:$AA$12+INDEX($AJ$13:$AR$162,BN516,0)+INDEX($AT$13:$BB$162,BO516,0)+INDEX($BD$13:$BL$162,BP516,0))/100)))&gt;0)*($D$10:$L$10-($D$9:$L$9+INT(($S$12:$AA$12+INDEX($AJ$13:$AR$162,BN516,0)+INDEX($AT$13:$BB$162,BO516,0)+INDEX($BD$13:$BL$162,BP516,0))/100)))),0)</f>
        <v/>
      </c>
      <c r="BS516">
        <f>IF(503&lt;$U$9,SUMPRODUCT(($D$9:$L$9+INT(($S$12:$AA$12+INDEX($AJ$13:$AR$162,BN516,0)+INDEX($AT$13:$BB$162,BO516,0)+INDEX($BD$13:$BL$162,BP516,0))/100))),0)</f>
        <v/>
      </c>
      <c r="BT516">
        <f>IF(AND(503&lt;$U$9,$W$5),BQ516*1000000-MIN(BR516,999)*1000+BS516-503/100000,-1000000000-503)</f>
        <v/>
      </c>
    </row>
    <row r="517">
      <c r="BN517">
        <f>IF(504&lt;$U$9,INT(504/($U$7*$U$8))+1,1)</f>
        <v/>
      </c>
      <c r="BO517">
        <f>IF(504&lt;$U$9,MOD(INT(504/$U$8),$U$7)+1,1)</f>
        <v/>
      </c>
      <c r="BP517">
        <f>IF(504&lt;$U$9,MOD(504,$U$8)+1,1)</f>
        <v/>
      </c>
      <c r="BQ517">
        <f>IF(504&lt;$U$9,SUMPRODUCT(($D$10:$L$10&lt;&gt;"")*(($D$9:$L$9+INT(($S$12:$AA$12+INDEX($AJ$13:$AR$162,BN517,0)+INDEX($AT$13:$BB$162,BO517,0)+INDEX($BD$13:$BL$162,BP517,0))/100))&gt;=$D$10:$L$10)),0)</f>
        <v/>
      </c>
      <c r="BR517">
        <f>IF(504&lt;$U$9,SUMPRODUCT(($D$10:$L$10&lt;&gt;"")*(($D$10:$L$10-($D$9:$L$9+INT(($S$12:$AA$12+INDEX($AJ$13:$AR$162,BN517,0)+INDEX($AT$13:$BB$162,BO517,0)+INDEX($BD$13:$BL$162,BP517,0))/100)))&gt;0)*($D$10:$L$10-($D$9:$L$9+INT(($S$12:$AA$12+INDEX($AJ$13:$AR$162,BN517,0)+INDEX($AT$13:$BB$162,BO517,0)+INDEX($BD$13:$BL$162,BP517,0))/100)))),0)</f>
        <v/>
      </c>
      <c r="BS517">
        <f>IF(504&lt;$U$9,SUMPRODUCT(($D$9:$L$9+INT(($S$12:$AA$12+INDEX($AJ$13:$AR$162,BN517,0)+INDEX($AT$13:$BB$162,BO517,0)+INDEX($BD$13:$BL$162,BP517,0))/100))),0)</f>
        <v/>
      </c>
      <c r="BT517">
        <f>IF(AND(504&lt;$U$9,$W$5),BQ517*1000000-MIN(BR517,999)*1000+BS517-504/100000,-1000000000-504)</f>
        <v/>
      </c>
    </row>
    <row r="518">
      <c r="BN518">
        <f>IF(505&lt;$U$9,INT(505/($U$7*$U$8))+1,1)</f>
        <v/>
      </c>
      <c r="BO518">
        <f>IF(505&lt;$U$9,MOD(INT(505/$U$8),$U$7)+1,1)</f>
        <v/>
      </c>
      <c r="BP518">
        <f>IF(505&lt;$U$9,MOD(505,$U$8)+1,1)</f>
        <v/>
      </c>
      <c r="BQ518">
        <f>IF(505&lt;$U$9,SUMPRODUCT(($D$10:$L$10&lt;&gt;"")*(($D$9:$L$9+INT(($S$12:$AA$12+INDEX($AJ$13:$AR$162,BN518,0)+INDEX($AT$13:$BB$162,BO518,0)+INDEX($BD$13:$BL$162,BP518,0))/100))&gt;=$D$10:$L$10)),0)</f>
        <v/>
      </c>
      <c r="BR518">
        <f>IF(505&lt;$U$9,SUMPRODUCT(($D$10:$L$10&lt;&gt;"")*(($D$10:$L$10-($D$9:$L$9+INT(($S$12:$AA$12+INDEX($AJ$13:$AR$162,BN518,0)+INDEX($AT$13:$BB$162,BO518,0)+INDEX($BD$13:$BL$162,BP518,0))/100)))&gt;0)*($D$10:$L$10-($D$9:$L$9+INT(($S$12:$AA$12+INDEX($AJ$13:$AR$162,BN518,0)+INDEX($AT$13:$BB$162,BO518,0)+INDEX($BD$13:$BL$162,BP518,0))/100)))),0)</f>
        <v/>
      </c>
      <c r="BS518">
        <f>IF(505&lt;$U$9,SUMPRODUCT(($D$9:$L$9+INT(($S$12:$AA$12+INDEX($AJ$13:$AR$162,BN518,0)+INDEX($AT$13:$BB$162,BO518,0)+INDEX($BD$13:$BL$162,BP518,0))/100))),0)</f>
        <v/>
      </c>
      <c r="BT518">
        <f>IF(AND(505&lt;$U$9,$W$5),BQ518*1000000-MIN(BR518,999)*1000+BS518-505/100000,-1000000000-505)</f>
        <v/>
      </c>
    </row>
    <row r="519">
      <c r="BN519">
        <f>IF(506&lt;$U$9,INT(506/($U$7*$U$8))+1,1)</f>
        <v/>
      </c>
      <c r="BO519">
        <f>IF(506&lt;$U$9,MOD(INT(506/$U$8),$U$7)+1,1)</f>
        <v/>
      </c>
      <c r="BP519">
        <f>IF(506&lt;$U$9,MOD(506,$U$8)+1,1)</f>
        <v/>
      </c>
      <c r="BQ519">
        <f>IF(506&lt;$U$9,SUMPRODUCT(($D$10:$L$10&lt;&gt;"")*(($D$9:$L$9+INT(($S$12:$AA$12+INDEX($AJ$13:$AR$162,BN519,0)+INDEX($AT$13:$BB$162,BO519,0)+INDEX($BD$13:$BL$162,BP519,0))/100))&gt;=$D$10:$L$10)),0)</f>
        <v/>
      </c>
      <c r="BR519">
        <f>IF(506&lt;$U$9,SUMPRODUCT(($D$10:$L$10&lt;&gt;"")*(($D$10:$L$10-($D$9:$L$9+INT(($S$12:$AA$12+INDEX($AJ$13:$AR$162,BN519,0)+INDEX($AT$13:$BB$162,BO519,0)+INDEX($BD$13:$BL$162,BP519,0))/100)))&gt;0)*($D$10:$L$10-($D$9:$L$9+INT(($S$12:$AA$12+INDEX($AJ$13:$AR$162,BN519,0)+INDEX($AT$13:$BB$162,BO519,0)+INDEX($BD$13:$BL$162,BP519,0))/100)))),0)</f>
        <v/>
      </c>
      <c r="BS519">
        <f>IF(506&lt;$U$9,SUMPRODUCT(($D$9:$L$9+INT(($S$12:$AA$12+INDEX($AJ$13:$AR$162,BN519,0)+INDEX($AT$13:$BB$162,BO519,0)+INDEX($BD$13:$BL$162,BP519,0))/100))),0)</f>
        <v/>
      </c>
      <c r="BT519">
        <f>IF(AND(506&lt;$U$9,$W$5),BQ519*1000000-MIN(BR519,999)*1000+BS519-506/100000,-1000000000-506)</f>
        <v/>
      </c>
    </row>
    <row r="520">
      <c r="BN520">
        <f>IF(507&lt;$U$9,INT(507/($U$7*$U$8))+1,1)</f>
        <v/>
      </c>
      <c r="BO520">
        <f>IF(507&lt;$U$9,MOD(INT(507/$U$8),$U$7)+1,1)</f>
        <v/>
      </c>
      <c r="BP520">
        <f>IF(507&lt;$U$9,MOD(507,$U$8)+1,1)</f>
        <v/>
      </c>
      <c r="BQ520">
        <f>IF(507&lt;$U$9,SUMPRODUCT(($D$10:$L$10&lt;&gt;"")*(($D$9:$L$9+INT(($S$12:$AA$12+INDEX($AJ$13:$AR$162,BN520,0)+INDEX($AT$13:$BB$162,BO520,0)+INDEX($BD$13:$BL$162,BP520,0))/100))&gt;=$D$10:$L$10)),0)</f>
        <v/>
      </c>
      <c r="BR520">
        <f>IF(507&lt;$U$9,SUMPRODUCT(($D$10:$L$10&lt;&gt;"")*(($D$10:$L$10-($D$9:$L$9+INT(($S$12:$AA$12+INDEX($AJ$13:$AR$162,BN520,0)+INDEX($AT$13:$BB$162,BO520,0)+INDEX($BD$13:$BL$162,BP520,0))/100)))&gt;0)*($D$10:$L$10-($D$9:$L$9+INT(($S$12:$AA$12+INDEX($AJ$13:$AR$162,BN520,0)+INDEX($AT$13:$BB$162,BO520,0)+INDEX($BD$13:$BL$162,BP520,0))/100)))),0)</f>
        <v/>
      </c>
      <c r="BS520">
        <f>IF(507&lt;$U$9,SUMPRODUCT(($D$9:$L$9+INT(($S$12:$AA$12+INDEX($AJ$13:$AR$162,BN520,0)+INDEX($AT$13:$BB$162,BO520,0)+INDEX($BD$13:$BL$162,BP520,0))/100))),0)</f>
        <v/>
      </c>
      <c r="BT520">
        <f>IF(AND(507&lt;$U$9,$W$5),BQ520*1000000-MIN(BR520,999)*1000+BS520-507/100000,-1000000000-507)</f>
        <v/>
      </c>
    </row>
    <row r="521">
      <c r="BN521">
        <f>IF(508&lt;$U$9,INT(508/($U$7*$U$8))+1,1)</f>
        <v/>
      </c>
      <c r="BO521">
        <f>IF(508&lt;$U$9,MOD(INT(508/$U$8),$U$7)+1,1)</f>
        <v/>
      </c>
      <c r="BP521">
        <f>IF(508&lt;$U$9,MOD(508,$U$8)+1,1)</f>
        <v/>
      </c>
      <c r="BQ521">
        <f>IF(508&lt;$U$9,SUMPRODUCT(($D$10:$L$10&lt;&gt;"")*(($D$9:$L$9+INT(($S$12:$AA$12+INDEX($AJ$13:$AR$162,BN521,0)+INDEX($AT$13:$BB$162,BO521,0)+INDEX($BD$13:$BL$162,BP521,0))/100))&gt;=$D$10:$L$10)),0)</f>
        <v/>
      </c>
      <c r="BR521">
        <f>IF(508&lt;$U$9,SUMPRODUCT(($D$10:$L$10&lt;&gt;"")*(($D$10:$L$10-($D$9:$L$9+INT(($S$12:$AA$12+INDEX($AJ$13:$AR$162,BN521,0)+INDEX($AT$13:$BB$162,BO521,0)+INDEX($BD$13:$BL$162,BP521,0))/100)))&gt;0)*($D$10:$L$10-($D$9:$L$9+INT(($S$12:$AA$12+INDEX($AJ$13:$AR$162,BN521,0)+INDEX($AT$13:$BB$162,BO521,0)+INDEX($BD$13:$BL$162,BP521,0))/100)))),0)</f>
        <v/>
      </c>
      <c r="BS521">
        <f>IF(508&lt;$U$9,SUMPRODUCT(($D$9:$L$9+INT(($S$12:$AA$12+INDEX($AJ$13:$AR$162,BN521,0)+INDEX($AT$13:$BB$162,BO521,0)+INDEX($BD$13:$BL$162,BP521,0))/100))),0)</f>
        <v/>
      </c>
      <c r="BT521">
        <f>IF(AND(508&lt;$U$9,$W$5),BQ521*1000000-MIN(BR521,999)*1000+BS521-508/100000,-1000000000-508)</f>
        <v/>
      </c>
    </row>
    <row r="522">
      <c r="BN522">
        <f>IF(509&lt;$U$9,INT(509/($U$7*$U$8))+1,1)</f>
        <v/>
      </c>
      <c r="BO522">
        <f>IF(509&lt;$U$9,MOD(INT(509/$U$8),$U$7)+1,1)</f>
        <v/>
      </c>
      <c r="BP522">
        <f>IF(509&lt;$U$9,MOD(509,$U$8)+1,1)</f>
        <v/>
      </c>
      <c r="BQ522">
        <f>IF(509&lt;$U$9,SUMPRODUCT(($D$10:$L$10&lt;&gt;"")*(($D$9:$L$9+INT(($S$12:$AA$12+INDEX($AJ$13:$AR$162,BN522,0)+INDEX($AT$13:$BB$162,BO522,0)+INDEX($BD$13:$BL$162,BP522,0))/100))&gt;=$D$10:$L$10)),0)</f>
        <v/>
      </c>
      <c r="BR522">
        <f>IF(509&lt;$U$9,SUMPRODUCT(($D$10:$L$10&lt;&gt;"")*(($D$10:$L$10-($D$9:$L$9+INT(($S$12:$AA$12+INDEX($AJ$13:$AR$162,BN522,0)+INDEX($AT$13:$BB$162,BO522,0)+INDEX($BD$13:$BL$162,BP522,0))/100)))&gt;0)*($D$10:$L$10-($D$9:$L$9+INT(($S$12:$AA$12+INDEX($AJ$13:$AR$162,BN522,0)+INDEX($AT$13:$BB$162,BO522,0)+INDEX($BD$13:$BL$162,BP522,0))/100)))),0)</f>
        <v/>
      </c>
      <c r="BS522">
        <f>IF(509&lt;$U$9,SUMPRODUCT(($D$9:$L$9+INT(($S$12:$AA$12+INDEX($AJ$13:$AR$162,BN522,0)+INDEX($AT$13:$BB$162,BO522,0)+INDEX($BD$13:$BL$162,BP522,0))/100))),0)</f>
        <v/>
      </c>
      <c r="BT522">
        <f>IF(AND(509&lt;$U$9,$W$5),BQ522*1000000-MIN(BR522,999)*1000+BS522-509/100000,-1000000000-509)</f>
        <v/>
      </c>
    </row>
    <row r="523">
      <c r="BN523">
        <f>IF(510&lt;$U$9,INT(510/($U$7*$U$8))+1,1)</f>
        <v/>
      </c>
      <c r="BO523">
        <f>IF(510&lt;$U$9,MOD(INT(510/$U$8),$U$7)+1,1)</f>
        <v/>
      </c>
      <c r="BP523">
        <f>IF(510&lt;$U$9,MOD(510,$U$8)+1,1)</f>
        <v/>
      </c>
      <c r="BQ523">
        <f>IF(510&lt;$U$9,SUMPRODUCT(($D$10:$L$10&lt;&gt;"")*(($D$9:$L$9+INT(($S$12:$AA$12+INDEX($AJ$13:$AR$162,BN523,0)+INDEX($AT$13:$BB$162,BO523,0)+INDEX($BD$13:$BL$162,BP523,0))/100))&gt;=$D$10:$L$10)),0)</f>
        <v/>
      </c>
      <c r="BR523">
        <f>IF(510&lt;$U$9,SUMPRODUCT(($D$10:$L$10&lt;&gt;"")*(($D$10:$L$10-($D$9:$L$9+INT(($S$12:$AA$12+INDEX($AJ$13:$AR$162,BN523,0)+INDEX($AT$13:$BB$162,BO523,0)+INDEX($BD$13:$BL$162,BP523,0))/100)))&gt;0)*($D$10:$L$10-($D$9:$L$9+INT(($S$12:$AA$12+INDEX($AJ$13:$AR$162,BN523,0)+INDEX($AT$13:$BB$162,BO523,0)+INDEX($BD$13:$BL$162,BP523,0))/100)))),0)</f>
        <v/>
      </c>
      <c r="BS523">
        <f>IF(510&lt;$U$9,SUMPRODUCT(($D$9:$L$9+INT(($S$12:$AA$12+INDEX($AJ$13:$AR$162,BN523,0)+INDEX($AT$13:$BB$162,BO523,0)+INDEX($BD$13:$BL$162,BP523,0))/100))),0)</f>
        <v/>
      </c>
      <c r="BT523">
        <f>IF(AND(510&lt;$U$9,$W$5),BQ523*1000000-MIN(BR523,999)*1000+BS523-510/100000,-1000000000-510)</f>
        <v/>
      </c>
    </row>
    <row r="524">
      <c r="BN524">
        <f>IF(511&lt;$U$9,INT(511/($U$7*$U$8))+1,1)</f>
        <v/>
      </c>
      <c r="BO524">
        <f>IF(511&lt;$U$9,MOD(INT(511/$U$8),$U$7)+1,1)</f>
        <v/>
      </c>
      <c r="BP524">
        <f>IF(511&lt;$U$9,MOD(511,$U$8)+1,1)</f>
        <v/>
      </c>
      <c r="BQ524">
        <f>IF(511&lt;$U$9,SUMPRODUCT(($D$10:$L$10&lt;&gt;"")*(($D$9:$L$9+INT(($S$12:$AA$12+INDEX($AJ$13:$AR$162,BN524,0)+INDEX($AT$13:$BB$162,BO524,0)+INDEX($BD$13:$BL$162,BP524,0))/100))&gt;=$D$10:$L$10)),0)</f>
        <v/>
      </c>
      <c r="BR524">
        <f>IF(511&lt;$U$9,SUMPRODUCT(($D$10:$L$10&lt;&gt;"")*(($D$10:$L$10-($D$9:$L$9+INT(($S$12:$AA$12+INDEX($AJ$13:$AR$162,BN524,0)+INDEX($AT$13:$BB$162,BO524,0)+INDEX($BD$13:$BL$162,BP524,0))/100)))&gt;0)*($D$10:$L$10-($D$9:$L$9+INT(($S$12:$AA$12+INDEX($AJ$13:$AR$162,BN524,0)+INDEX($AT$13:$BB$162,BO524,0)+INDEX($BD$13:$BL$162,BP524,0))/100)))),0)</f>
        <v/>
      </c>
      <c r="BS524">
        <f>IF(511&lt;$U$9,SUMPRODUCT(($D$9:$L$9+INT(($S$12:$AA$12+INDEX($AJ$13:$AR$162,BN524,0)+INDEX($AT$13:$BB$162,BO524,0)+INDEX($BD$13:$BL$162,BP524,0))/100))),0)</f>
        <v/>
      </c>
      <c r="BT524">
        <f>IF(AND(511&lt;$U$9,$W$5),BQ524*1000000-MIN(BR524,999)*1000+BS524-511/100000,-1000000000-511)</f>
        <v/>
      </c>
    </row>
    <row r="525">
      <c r="BN525">
        <f>IF(512&lt;$U$9,INT(512/($U$7*$U$8))+1,1)</f>
        <v/>
      </c>
      <c r="BO525">
        <f>IF(512&lt;$U$9,MOD(INT(512/$U$8),$U$7)+1,1)</f>
        <v/>
      </c>
      <c r="BP525">
        <f>IF(512&lt;$U$9,MOD(512,$U$8)+1,1)</f>
        <v/>
      </c>
      <c r="BQ525">
        <f>IF(512&lt;$U$9,SUMPRODUCT(($D$10:$L$10&lt;&gt;"")*(($D$9:$L$9+INT(($S$12:$AA$12+INDEX($AJ$13:$AR$162,BN525,0)+INDEX($AT$13:$BB$162,BO525,0)+INDEX($BD$13:$BL$162,BP525,0))/100))&gt;=$D$10:$L$10)),0)</f>
        <v/>
      </c>
      <c r="BR525">
        <f>IF(512&lt;$U$9,SUMPRODUCT(($D$10:$L$10&lt;&gt;"")*(($D$10:$L$10-($D$9:$L$9+INT(($S$12:$AA$12+INDEX($AJ$13:$AR$162,BN525,0)+INDEX($AT$13:$BB$162,BO525,0)+INDEX($BD$13:$BL$162,BP525,0))/100)))&gt;0)*($D$10:$L$10-($D$9:$L$9+INT(($S$12:$AA$12+INDEX($AJ$13:$AR$162,BN525,0)+INDEX($AT$13:$BB$162,BO525,0)+INDEX($BD$13:$BL$162,BP525,0))/100)))),0)</f>
        <v/>
      </c>
      <c r="BS525">
        <f>IF(512&lt;$U$9,SUMPRODUCT(($D$9:$L$9+INT(($S$12:$AA$12+INDEX($AJ$13:$AR$162,BN525,0)+INDEX($AT$13:$BB$162,BO525,0)+INDEX($BD$13:$BL$162,BP525,0))/100))),0)</f>
        <v/>
      </c>
      <c r="BT525">
        <f>IF(AND(512&lt;$U$9,$W$5),BQ525*1000000-MIN(BR525,999)*1000+BS525-512/100000,-1000000000-512)</f>
        <v/>
      </c>
    </row>
    <row r="526">
      <c r="BN526">
        <f>IF(513&lt;$U$9,INT(513/($U$7*$U$8))+1,1)</f>
        <v/>
      </c>
      <c r="BO526">
        <f>IF(513&lt;$U$9,MOD(INT(513/$U$8),$U$7)+1,1)</f>
        <v/>
      </c>
      <c r="BP526">
        <f>IF(513&lt;$U$9,MOD(513,$U$8)+1,1)</f>
        <v/>
      </c>
      <c r="BQ526">
        <f>IF(513&lt;$U$9,SUMPRODUCT(($D$10:$L$10&lt;&gt;"")*(($D$9:$L$9+INT(($S$12:$AA$12+INDEX($AJ$13:$AR$162,BN526,0)+INDEX($AT$13:$BB$162,BO526,0)+INDEX($BD$13:$BL$162,BP526,0))/100))&gt;=$D$10:$L$10)),0)</f>
        <v/>
      </c>
      <c r="BR526">
        <f>IF(513&lt;$U$9,SUMPRODUCT(($D$10:$L$10&lt;&gt;"")*(($D$10:$L$10-($D$9:$L$9+INT(($S$12:$AA$12+INDEX($AJ$13:$AR$162,BN526,0)+INDEX($AT$13:$BB$162,BO526,0)+INDEX($BD$13:$BL$162,BP526,0))/100)))&gt;0)*($D$10:$L$10-($D$9:$L$9+INT(($S$12:$AA$12+INDEX($AJ$13:$AR$162,BN526,0)+INDEX($AT$13:$BB$162,BO526,0)+INDEX($BD$13:$BL$162,BP526,0))/100)))),0)</f>
        <v/>
      </c>
      <c r="BS526">
        <f>IF(513&lt;$U$9,SUMPRODUCT(($D$9:$L$9+INT(($S$12:$AA$12+INDEX($AJ$13:$AR$162,BN526,0)+INDEX($AT$13:$BB$162,BO526,0)+INDEX($BD$13:$BL$162,BP526,0))/100))),0)</f>
        <v/>
      </c>
      <c r="BT526">
        <f>IF(AND(513&lt;$U$9,$W$5),BQ526*1000000-MIN(BR526,999)*1000+BS526-513/100000,-1000000000-513)</f>
        <v/>
      </c>
    </row>
    <row r="527">
      <c r="BN527">
        <f>IF(514&lt;$U$9,INT(514/($U$7*$U$8))+1,1)</f>
        <v/>
      </c>
      <c r="BO527">
        <f>IF(514&lt;$U$9,MOD(INT(514/$U$8),$U$7)+1,1)</f>
        <v/>
      </c>
      <c r="BP527">
        <f>IF(514&lt;$U$9,MOD(514,$U$8)+1,1)</f>
        <v/>
      </c>
      <c r="BQ527">
        <f>IF(514&lt;$U$9,SUMPRODUCT(($D$10:$L$10&lt;&gt;"")*(($D$9:$L$9+INT(($S$12:$AA$12+INDEX($AJ$13:$AR$162,BN527,0)+INDEX($AT$13:$BB$162,BO527,0)+INDEX($BD$13:$BL$162,BP527,0))/100))&gt;=$D$10:$L$10)),0)</f>
        <v/>
      </c>
      <c r="BR527">
        <f>IF(514&lt;$U$9,SUMPRODUCT(($D$10:$L$10&lt;&gt;"")*(($D$10:$L$10-($D$9:$L$9+INT(($S$12:$AA$12+INDEX($AJ$13:$AR$162,BN527,0)+INDEX($AT$13:$BB$162,BO527,0)+INDEX($BD$13:$BL$162,BP527,0))/100)))&gt;0)*($D$10:$L$10-($D$9:$L$9+INT(($S$12:$AA$12+INDEX($AJ$13:$AR$162,BN527,0)+INDEX($AT$13:$BB$162,BO527,0)+INDEX($BD$13:$BL$162,BP527,0))/100)))),0)</f>
        <v/>
      </c>
      <c r="BS527">
        <f>IF(514&lt;$U$9,SUMPRODUCT(($D$9:$L$9+INT(($S$12:$AA$12+INDEX($AJ$13:$AR$162,BN527,0)+INDEX($AT$13:$BB$162,BO527,0)+INDEX($BD$13:$BL$162,BP527,0))/100))),0)</f>
        <v/>
      </c>
      <c r="BT527">
        <f>IF(AND(514&lt;$U$9,$W$5),BQ527*1000000-MIN(BR527,999)*1000+BS527-514/100000,-1000000000-514)</f>
        <v/>
      </c>
    </row>
    <row r="528">
      <c r="BN528">
        <f>IF(515&lt;$U$9,INT(515/($U$7*$U$8))+1,1)</f>
        <v/>
      </c>
      <c r="BO528">
        <f>IF(515&lt;$U$9,MOD(INT(515/$U$8),$U$7)+1,1)</f>
        <v/>
      </c>
      <c r="BP528">
        <f>IF(515&lt;$U$9,MOD(515,$U$8)+1,1)</f>
        <v/>
      </c>
      <c r="BQ528">
        <f>IF(515&lt;$U$9,SUMPRODUCT(($D$10:$L$10&lt;&gt;"")*(($D$9:$L$9+INT(($S$12:$AA$12+INDEX($AJ$13:$AR$162,BN528,0)+INDEX($AT$13:$BB$162,BO528,0)+INDEX($BD$13:$BL$162,BP528,0))/100))&gt;=$D$10:$L$10)),0)</f>
        <v/>
      </c>
      <c r="BR528">
        <f>IF(515&lt;$U$9,SUMPRODUCT(($D$10:$L$10&lt;&gt;"")*(($D$10:$L$10-($D$9:$L$9+INT(($S$12:$AA$12+INDEX($AJ$13:$AR$162,BN528,0)+INDEX($AT$13:$BB$162,BO528,0)+INDEX($BD$13:$BL$162,BP528,0))/100)))&gt;0)*($D$10:$L$10-($D$9:$L$9+INT(($S$12:$AA$12+INDEX($AJ$13:$AR$162,BN528,0)+INDEX($AT$13:$BB$162,BO528,0)+INDEX($BD$13:$BL$162,BP528,0))/100)))),0)</f>
        <v/>
      </c>
      <c r="BS528">
        <f>IF(515&lt;$U$9,SUMPRODUCT(($D$9:$L$9+INT(($S$12:$AA$12+INDEX($AJ$13:$AR$162,BN528,0)+INDEX($AT$13:$BB$162,BO528,0)+INDEX($BD$13:$BL$162,BP528,0))/100))),0)</f>
        <v/>
      </c>
      <c r="BT528">
        <f>IF(AND(515&lt;$U$9,$W$5),BQ528*1000000-MIN(BR528,999)*1000+BS528-515/100000,-1000000000-515)</f>
        <v/>
      </c>
    </row>
    <row r="529">
      <c r="BN529">
        <f>IF(516&lt;$U$9,INT(516/($U$7*$U$8))+1,1)</f>
        <v/>
      </c>
      <c r="BO529">
        <f>IF(516&lt;$U$9,MOD(INT(516/$U$8),$U$7)+1,1)</f>
        <v/>
      </c>
      <c r="BP529">
        <f>IF(516&lt;$U$9,MOD(516,$U$8)+1,1)</f>
        <v/>
      </c>
      <c r="BQ529">
        <f>IF(516&lt;$U$9,SUMPRODUCT(($D$10:$L$10&lt;&gt;"")*(($D$9:$L$9+INT(($S$12:$AA$12+INDEX($AJ$13:$AR$162,BN529,0)+INDEX($AT$13:$BB$162,BO529,0)+INDEX($BD$13:$BL$162,BP529,0))/100))&gt;=$D$10:$L$10)),0)</f>
        <v/>
      </c>
      <c r="BR529">
        <f>IF(516&lt;$U$9,SUMPRODUCT(($D$10:$L$10&lt;&gt;"")*(($D$10:$L$10-($D$9:$L$9+INT(($S$12:$AA$12+INDEX($AJ$13:$AR$162,BN529,0)+INDEX($AT$13:$BB$162,BO529,0)+INDEX($BD$13:$BL$162,BP529,0))/100)))&gt;0)*($D$10:$L$10-($D$9:$L$9+INT(($S$12:$AA$12+INDEX($AJ$13:$AR$162,BN529,0)+INDEX($AT$13:$BB$162,BO529,0)+INDEX($BD$13:$BL$162,BP529,0))/100)))),0)</f>
        <v/>
      </c>
      <c r="BS529">
        <f>IF(516&lt;$U$9,SUMPRODUCT(($D$9:$L$9+INT(($S$12:$AA$12+INDEX($AJ$13:$AR$162,BN529,0)+INDEX($AT$13:$BB$162,BO529,0)+INDEX($BD$13:$BL$162,BP529,0))/100))),0)</f>
        <v/>
      </c>
      <c r="BT529">
        <f>IF(AND(516&lt;$U$9,$W$5),BQ529*1000000-MIN(BR529,999)*1000+BS529-516/100000,-1000000000-516)</f>
        <v/>
      </c>
    </row>
    <row r="530">
      <c r="BN530">
        <f>IF(517&lt;$U$9,INT(517/($U$7*$U$8))+1,1)</f>
        <v/>
      </c>
      <c r="BO530">
        <f>IF(517&lt;$U$9,MOD(INT(517/$U$8),$U$7)+1,1)</f>
        <v/>
      </c>
      <c r="BP530">
        <f>IF(517&lt;$U$9,MOD(517,$U$8)+1,1)</f>
        <v/>
      </c>
      <c r="BQ530">
        <f>IF(517&lt;$U$9,SUMPRODUCT(($D$10:$L$10&lt;&gt;"")*(($D$9:$L$9+INT(($S$12:$AA$12+INDEX($AJ$13:$AR$162,BN530,0)+INDEX($AT$13:$BB$162,BO530,0)+INDEX($BD$13:$BL$162,BP530,0))/100))&gt;=$D$10:$L$10)),0)</f>
        <v/>
      </c>
      <c r="BR530">
        <f>IF(517&lt;$U$9,SUMPRODUCT(($D$10:$L$10&lt;&gt;"")*(($D$10:$L$10-($D$9:$L$9+INT(($S$12:$AA$12+INDEX($AJ$13:$AR$162,BN530,0)+INDEX($AT$13:$BB$162,BO530,0)+INDEX($BD$13:$BL$162,BP530,0))/100)))&gt;0)*($D$10:$L$10-($D$9:$L$9+INT(($S$12:$AA$12+INDEX($AJ$13:$AR$162,BN530,0)+INDEX($AT$13:$BB$162,BO530,0)+INDEX($BD$13:$BL$162,BP530,0))/100)))),0)</f>
        <v/>
      </c>
      <c r="BS530">
        <f>IF(517&lt;$U$9,SUMPRODUCT(($D$9:$L$9+INT(($S$12:$AA$12+INDEX($AJ$13:$AR$162,BN530,0)+INDEX($AT$13:$BB$162,BO530,0)+INDEX($BD$13:$BL$162,BP530,0))/100))),0)</f>
        <v/>
      </c>
      <c r="BT530">
        <f>IF(AND(517&lt;$U$9,$W$5),BQ530*1000000-MIN(BR530,999)*1000+BS530-517/100000,-1000000000-517)</f>
        <v/>
      </c>
    </row>
    <row r="531">
      <c r="BN531">
        <f>IF(518&lt;$U$9,INT(518/($U$7*$U$8))+1,1)</f>
        <v/>
      </c>
      <c r="BO531">
        <f>IF(518&lt;$U$9,MOD(INT(518/$U$8),$U$7)+1,1)</f>
        <v/>
      </c>
      <c r="BP531">
        <f>IF(518&lt;$U$9,MOD(518,$U$8)+1,1)</f>
        <v/>
      </c>
      <c r="BQ531">
        <f>IF(518&lt;$U$9,SUMPRODUCT(($D$10:$L$10&lt;&gt;"")*(($D$9:$L$9+INT(($S$12:$AA$12+INDEX($AJ$13:$AR$162,BN531,0)+INDEX($AT$13:$BB$162,BO531,0)+INDEX($BD$13:$BL$162,BP531,0))/100))&gt;=$D$10:$L$10)),0)</f>
        <v/>
      </c>
      <c r="BR531">
        <f>IF(518&lt;$U$9,SUMPRODUCT(($D$10:$L$10&lt;&gt;"")*(($D$10:$L$10-($D$9:$L$9+INT(($S$12:$AA$12+INDEX($AJ$13:$AR$162,BN531,0)+INDEX($AT$13:$BB$162,BO531,0)+INDEX($BD$13:$BL$162,BP531,0))/100)))&gt;0)*($D$10:$L$10-($D$9:$L$9+INT(($S$12:$AA$12+INDEX($AJ$13:$AR$162,BN531,0)+INDEX($AT$13:$BB$162,BO531,0)+INDEX($BD$13:$BL$162,BP531,0))/100)))),0)</f>
        <v/>
      </c>
      <c r="BS531">
        <f>IF(518&lt;$U$9,SUMPRODUCT(($D$9:$L$9+INT(($S$12:$AA$12+INDEX($AJ$13:$AR$162,BN531,0)+INDEX($AT$13:$BB$162,BO531,0)+INDEX($BD$13:$BL$162,BP531,0))/100))),0)</f>
        <v/>
      </c>
      <c r="BT531">
        <f>IF(AND(518&lt;$U$9,$W$5),BQ531*1000000-MIN(BR531,999)*1000+BS531-518/100000,-1000000000-518)</f>
        <v/>
      </c>
    </row>
    <row r="532">
      <c r="BN532">
        <f>IF(519&lt;$U$9,INT(519/($U$7*$U$8))+1,1)</f>
        <v/>
      </c>
      <c r="BO532">
        <f>IF(519&lt;$U$9,MOD(INT(519/$U$8),$U$7)+1,1)</f>
        <v/>
      </c>
      <c r="BP532">
        <f>IF(519&lt;$U$9,MOD(519,$U$8)+1,1)</f>
        <v/>
      </c>
      <c r="BQ532">
        <f>IF(519&lt;$U$9,SUMPRODUCT(($D$10:$L$10&lt;&gt;"")*(($D$9:$L$9+INT(($S$12:$AA$12+INDEX($AJ$13:$AR$162,BN532,0)+INDEX($AT$13:$BB$162,BO532,0)+INDEX($BD$13:$BL$162,BP532,0))/100))&gt;=$D$10:$L$10)),0)</f>
        <v/>
      </c>
      <c r="BR532">
        <f>IF(519&lt;$U$9,SUMPRODUCT(($D$10:$L$10&lt;&gt;"")*(($D$10:$L$10-($D$9:$L$9+INT(($S$12:$AA$12+INDEX($AJ$13:$AR$162,BN532,0)+INDEX($AT$13:$BB$162,BO532,0)+INDEX($BD$13:$BL$162,BP532,0))/100)))&gt;0)*($D$10:$L$10-($D$9:$L$9+INT(($S$12:$AA$12+INDEX($AJ$13:$AR$162,BN532,0)+INDEX($AT$13:$BB$162,BO532,0)+INDEX($BD$13:$BL$162,BP532,0))/100)))),0)</f>
        <v/>
      </c>
      <c r="BS532">
        <f>IF(519&lt;$U$9,SUMPRODUCT(($D$9:$L$9+INT(($S$12:$AA$12+INDEX($AJ$13:$AR$162,BN532,0)+INDEX($AT$13:$BB$162,BO532,0)+INDEX($BD$13:$BL$162,BP532,0))/100))),0)</f>
        <v/>
      </c>
      <c r="BT532">
        <f>IF(AND(519&lt;$U$9,$W$5),BQ532*1000000-MIN(BR532,999)*1000+BS532-519/100000,-1000000000-519)</f>
        <v/>
      </c>
    </row>
    <row r="533">
      <c r="BN533">
        <f>IF(520&lt;$U$9,INT(520/($U$7*$U$8))+1,1)</f>
        <v/>
      </c>
      <c r="BO533">
        <f>IF(520&lt;$U$9,MOD(INT(520/$U$8),$U$7)+1,1)</f>
        <v/>
      </c>
      <c r="BP533">
        <f>IF(520&lt;$U$9,MOD(520,$U$8)+1,1)</f>
        <v/>
      </c>
      <c r="BQ533">
        <f>IF(520&lt;$U$9,SUMPRODUCT(($D$10:$L$10&lt;&gt;"")*(($D$9:$L$9+INT(($S$12:$AA$12+INDEX($AJ$13:$AR$162,BN533,0)+INDEX($AT$13:$BB$162,BO533,0)+INDEX($BD$13:$BL$162,BP533,0))/100))&gt;=$D$10:$L$10)),0)</f>
        <v/>
      </c>
      <c r="BR533">
        <f>IF(520&lt;$U$9,SUMPRODUCT(($D$10:$L$10&lt;&gt;"")*(($D$10:$L$10-($D$9:$L$9+INT(($S$12:$AA$12+INDEX($AJ$13:$AR$162,BN533,0)+INDEX($AT$13:$BB$162,BO533,0)+INDEX($BD$13:$BL$162,BP533,0))/100)))&gt;0)*($D$10:$L$10-($D$9:$L$9+INT(($S$12:$AA$12+INDEX($AJ$13:$AR$162,BN533,0)+INDEX($AT$13:$BB$162,BO533,0)+INDEX($BD$13:$BL$162,BP533,0))/100)))),0)</f>
        <v/>
      </c>
      <c r="BS533">
        <f>IF(520&lt;$U$9,SUMPRODUCT(($D$9:$L$9+INT(($S$12:$AA$12+INDEX($AJ$13:$AR$162,BN533,0)+INDEX($AT$13:$BB$162,BO533,0)+INDEX($BD$13:$BL$162,BP533,0))/100))),0)</f>
        <v/>
      </c>
      <c r="BT533">
        <f>IF(AND(520&lt;$U$9,$W$5),BQ533*1000000-MIN(BR533,999)*1000+BS533-520/100000,-1000000000-520)</f>
        <v/>
      </c>
    </row>
    <row r="534">
      <c r="BN534">
        <f>IF(521&lt;$U$9,INT(521/($U$7*$U$8))+1,1)</f>
        <v/>
      </c>
      <c r="BO534">
        <f>IF(521&lt;$U$9,MOD(INT(521/$U$8),$U$7)+1,1)</f>
        <v/>
      </c>
      <c r="BP534">
        <f>IF(521&lt;$U$9,MOD(521,$U$8)+1,1)</f>
        <v/>
      </c>
      <c r="BQ534">
        <f>IF(521&lt;$U$9,SUMPRODUCT(($D$10:$L$10&lt;&gt;"")*(($D$9:$L$9+INT(($S$12:$AA$12+INDEX($AJ$13:$AR$162,BN534,0)+INDEX($AT$13:$BB$162,BO534,0)+INDEX($BD$13:$BL$162,BP534,0))/100))&gt;=$D$10:$L$10)),0)</f>
        <v/>
      </c>
      <c r="BR534">
        <f>IF(521&lt;$U$9,SUMPRODUCT(($D$10:$L$10&lt;&gt;"")*(($D$10:$L$10-($D$9:$L$9+INT(($S$12:$AA$12+INDEX($AJ$13:$AR$162,BN534,0)+INDEX($AT$13:$BB$162,BO534,0)+INDEX($BD$13:$BL$162,BP534,0))/100)))&gt;0)*($D$10:$L$10-($D$9:$L$9+INT(($S$12:$AA$12+INDEX($AJ$13:$AR$162,BN534,0)+INDEX($AT$13:$BB$162,BO534,0)+INDEX($BD$13:$BL$162,BP534,0))/100)))),0)</f>
        <v/>
      </c>
      <c r="BS534">
        <f>IF(521&lt;$U$9,SUMPRODUCT(($D$9:$L$9+INT(($S$12:$AA$12+INDEX($AJ$13:$AR$162,BN534,0)+INDEX($AT$13:$BB$162,BO534,0)+INDEX($BD$13:$BL$162,BP534,0))/100))),0)</f>
        <v/>
      </c>
      <c r="BT534">
        <f>IF(AND(521&lt;$U$9,$W$5),BQ534*1000000-MIN(BR534,999)*1000+BS534-521/100000,-1000000000-521)</f>
        <v/>
      </c>
    </row>
    <row r="535">
      <c r="BN535">
        <f>IF(522&lt;$U$9,INT(522/($U$7*$U$8))+1,1)</f>
        <v/>
      </c>
      <c r="BO535">
        <f>IF(522&lt;$U$9,MOD(INT(522/$U$8),$U$7)+1,1)</f>
        <v/>
      </c>
      <c r="BP535">
        <f>IF(522&lt;$U$9,MOD(522,$U$8)+1,1)</f>
        <v/>
      </c>
      <c r="BQ535">
        <f>IF(522&lt;$U$9,SUMPRODUCT(($D$10:$L$10&lt;&gt;"")*(($D$9:$L$9+INT(($S$12:$AA$12+INDEX($AJ$13:$AR$162,BN535,0)+INDEX($AT$13:$BB$162,BO535,0)+INDEX($BD$13:$BL$162,BP535,0))/100))&gt;=$D$10:$L$10)),0)</f>
        <v/>
      </c>
      <c r="BR535">
        <f>IF(522&lt;$U$9,SUMPRODUCT(($D$10:$L$10&lt;&gt;"")*(($D$10:$L$10-($D$9:$L$9+INT(($S$12:$AA$12+INDEX($AJ$13:$AR$162,BN535,0)+INDEX($AT$13:$BB$162,BO535,0)+INDEX($BD$13:$BL$162,BP535,0))/100)))&gt;0)*($D$10:$L$10-($D$9:$L$9+INT(($S$12:$AA$12+INDEX($AJ$13:$AR$162,BN535,0)+INDEX($AT$13:$BB$162,BO535,0)+INDEX($BD$13:$BL$162,BP535,0))/100)))),0)</f>
        <v/>
      </c>
      <c r="BS535">
        <f>IF(522&lt;$U$9,SUMPRODUCT(($D$9:$L$9+INT(($S$12:$AA$12+INDEX($AJ$13:$AR$162,BN535,0)+INDEX($AT$13:$BB$162,BO535,0)+INDEX($BD$13:$BL$162,BP535,0))/100))),0)</f>
        <v/>
      </c>
      <c r="BT535">
        <f>IF(AND(522&lt;$U$9,$W$5),BQ535*1000000-MIN(BR535,999)*1000+BS535-522/100000,-1000000000-522)</f>
        <v/>
      </c>
    </row>
    <row r="536">
      <c r="BN536">
        <f>IF(523&lt;$U$9,INT(523/($U$7*$U$8))+1,1)</f>
        <v/>
      </c>
      <c r="BO536">
        <f>IF(523&lt;$U$9,MOD(INT(523/$U$8),$U$7)+1,1)</f>
        <v/>
      </c>
      <c r="BP536">
        <f>IF(523&lt;$U$9,MOD(523,$U$8)+1,1)</f>
        <v/>
      </c>
      <c r="BQ536">
        <f>IF(523&lt;$U$9,SUMPRODUCT(($D$10:$L$10&lt;&gt;"")*(($D$9:$L$9+INT(($S$12:$AA$12+INDEX($AJ$13:$AR$162,BN536,0)+INDEX($AT$13:$BB$162,BO536,0)+INDEX($BD$13:$BL$162,BP536,0))/100))&gt;=$D$10:$L$10)),0)</f>
        <v/>
      </c>
      <c r="BR536">
        <f>IF(523&lt;$U$9,SUMPRODUCT(($D$10:$L$10&lt;&gt;"")*(($D$10:$L$10-($D$9:$L$9+INT(($S$12:$AA$12+INDEX($AJ$13:$AR$162,BN536,0)+INDEX($AT$13:$BB$162,BO536,0)+INDEX($BD$13:$BL$162,BP536,0))/100)))&gt;0)*($D$10:$L$10-($D$9:$L$9+INT(($S$12:$AA$12+INDEX($AJ$13:$AR$162,BN536,0)+INDEX($AT$13:$BB$162,BO536,0)+INDEX($BD$13:$BL$162,BP536,0))/100)))),0)</f>
        <v/>
      </c>
      <c r="BS536">
        <f>IF(523&lt;$U$9,SUMPRODUCT(($D$9:$L$9+INT(($S$12:$AA$12+INDEX($AJ$13:$AR$162,BN536,0)+INDEX($AT$13:$BB$162,BO536,0)+INDEX($BD$13:$BL$162,BP536,0))/100))),0)</f>
        <v/>
      </c>
      <c r="BT536">
        <f>IF(AND(523&lt;$U$9,$W$5),BQ536*1000000-MIN(BR536,999)*1000+BS536-523/100000,-1000000000-523)</f>
        <v/>
      </c>
    </row>
    <row r="537">
      <c r="BN537">
        <f>IF(524&lt;$U$9,INT(524/($U$7*$U$8))+1,1)</f>
        <v/>
      </c>
      <c r="BO537">
        <f>IF(524&lt;$U$9,MOD(INT(524/$U$8),$U$7)+1,1)</f>
        <v/>
      </c>
      <c r="BP537">
        <f>IF(524&lt;$U$9,MOD(524,$U$8)+1,1)</f>
        <v/>
      </c>
      <c r="BQ537">
        <f>IF(524&lt;$U$9,SUMPRODUCT(($D$10:$L$10&lt;&gt;"")*(($D$9:$L$9+INT(($S$12:$AA$12+INDEX($AJ$13:$AR$162,BN537,0)+INDEX($AT$13:$BB$162,BO537,0)+INDEX($BD$13:$BL$162,BP537,0))/100))&gt;=$D$10:$L$10)),0)</f>
        <v/>
      </c>
      <c r="BR537">
        <f>IF(524&lt;$U$9,SUMPRODUCT(($D$10:$L$10&lt;&gt;"")*(($D$10:$L$10-($D$9:$L$9+INT(($S$12:$AA$12+INDEX($AJ$13:$AR$162,BN537,0)+INDEX($AT$13:$BB$162,BO537,0)+INDEX($BD$13:$BL$162,BP537,0))/100)))&gt;0)*($D$10:$L$10-($D$9:$L$9+INT(($S$12:$AA$12+INDEX($AJ$13:$AR$162,BN537,0)+INDEX($AT$13:$BB$162,BO537,0)+INDEX($BD$13:$BL$162,BP537,0))/100)))),0)</f>
        <v/>
      </c>
      <c r="BS537">
        <f>IF(524&lt;$U$9,SUMPRODUCT(($D$9:$L$9+INT(($S$12:$AA$12+INDEX($AJ$13:$AR$162,BN537,0)+INDEX($AT$13:$BB$162,BO537,0)+INDEX($BD$13:$BL$162,BP537,0))/100))),0)</f>
        <v/>
      </c>
      <c r="BT537">
        <f>IF(AND(524&lt;$U$9,$W$5),BQ537*1000000-MIN(BR537,999)*1000+BS537-524/100000,-1000000000-524)</f>
        <v/>
      </c>
    </row>
    <row r="538">
      <c r="BN538">
        <f>IF(525&lt;$U$9,INT(525/($U$7*$U$8))+1,1)</f>
        <v/>
      </c>
      <c r="BO538">
        <f>IF(525&lt;$U$9,MOD(INT(525/$U$8),$U$7)+1,1)</f>
        <v/>
      </c>
      <c r="BP538">
        <f>IF(525&lt;$U$9,MOD(525,$U$8)+1,1)</f>
        <v/>
      </c>
      <c r="BQ538">
        <f>IF(525&lt;$U$9,SUMPRODUCT(($D$10:$L$10&lt;&gt;"")*(($D$9:$L$9+INT(($S$12:$AA$12+INDEX($AJ$13:$AR$162,BN538,0)+INDEX($AT$13:$BB$162,BO538,0)+INDEX($BD$13:$BL$162,BP538,0))/100))&gt;=$D$10:$L$10)),0)</f>
        <v/>
      </c>
      <c r="BR538">
        <f>IF(525&lt;$U$9,SUMPRODUCT(($D$10:$L$10&lt;&gt;"")*(($D$10:$L$10-($D$9:$L$9+INT(($S$12:$AA$12+INDEX($AJ$13:$AR$162,BN538,0)+INDEX($AT$13:$BB$162,BO538,0)+INDEX($BD$13:$BL$162,BP538,0))/100)))&gt;0)*($D$10:$L$10-($D$9:$L$9+INT(($S$12:$AA$12+INDEX($AJ$13:$AR$162,BN538,0)+INDEX($AT$13:$BB$162,BO538,0)+INDEX($BD$13:$BL$162,BP538,0))/100)))),0)</f>
        <v/>
      </c>
      <c r="BS538">
        <f>IF(525&lt;$U$9,SUMPRODUCT(($D$9:$L$9+INT(($S$12:$AA$12+INDEX($AJ$13:$AR$162,BN538,0)+INDEX($AT$13:$BB$162,BO538,0)+INDEX($BD$13:$BL$162,BP538,0))/100))),0)</f>
        <v/>
      </c>
      <c r="BT538">
        <f>IF(AND(525&lt;$U$9,$W$5),BQ538*1000000-MIN(BR538,999)*1000+BS538-525/100000,-1000000000-525)</f>
        <v/>
      </c>
    </row>
    <row r="539">
      <c r="BN539">
        <f>IF(526&lt;$U$9,INT(526/($U$7*$U$8))+1,1)</f>
        <v/>
      </c>
      <c r="BO539">
        <f>IF(526&lt;$U$9,MOD(INT(526/$U$8),$U$7)+1,1)</f>
        <v/>
      </c>
      <c r="BP539">
        <f>IF(526&lt;$U$9,MOD(526,$U$8)+1,1)</f>
        <v/>
      </c>
      <c r="BQ539">
        <f>IF(526&lt;$U$9,SUMPRODUCT(($D$10:$L$10&lt;&gt;"")*(($D$9:$L$9+INT(($S$12:$AA$12+INDEX($AJ$13:$AR$162,BN539,0)+INDEX($AT$13:$BB$162,BO539,0)+INDEX($BD$13:$BL$162,BP539,0))/100))&gt;=$D$10:$L$10)),0)</f>
        <v/>
      </c>
      <c r="BR539">
        <f>IF(526&lt;$U$9,SUMPRODUCT(($D$10:$L$10&lt;&gt;"")*(($D$10:$L$10-($D$9:$L$9+INT(($S$12:$AA$12+INDEX($AJ$13:$AR$162,BN539,0)+INDEX($AT$13:$BB$162,BO539,0)+INDEX($BD$13:$BL$162,BP539,0))/100)))&gt;0)*($D$10:$L$10-($D$9:$L$9+INT(($S$12:$AA$12+INDEX($AJ$13:$AR$162,BN539,0)+INDEX($AT$13:$BB$162,BO539,0)+INDEX($BD$13:$BL$162,BP539,0))/100)))),0)</f>
        <v/>
      </c>
      <c r="BS539">
        <f>IF(526&lt;$U$9,SUMPRODUCT(($D$9:$L$9+INT(($S$12:$AA$12+INDEX($AJ$13:$AR$162,BN539,0)+INDEX($AT$13:$BB$162,BO539,0)+INDEX($BD$13:$BL$162,BP539,0))/100))),0)</f>
        <v/>
      </c>
      <c r="BT539">
        <f>IF(AND(526&lt;$U$9,$W$5),BQ539*1000000-MIN(BR539,999)*1000+BS539-526/100000,-1000000000-526)</f>
        <v/>
      </c>
    </row>
    <row r="540">
      <c r="BN540">
        <f>IF(527&lt;$U$9,INT(527/($U$7*$U$8))+1,1)</f>
        <v/>
      </c>
      <c r="BO540">
        <f>IF(527&lt;$U$9,MOD(INT(527/$U$8),$U$7)+1,1)</f>
        <v/>
      </c>
      <c r="BP540">
        <f>IF(527&lt;$U$9,MOD(527,$U$8)+1,1)</f>
        <v/>
      </c>
      <c r="BQ540">
        <f>IF(527&lt;$U$9,SUMPRODUCT(($D$10:$L$10&lt;&gt;"")*(($D$9:$L$9+INT(($S$12:$AA$12+INDEX($AJ$13:$AR$162,BN540,0)+INDEX($AT$13:$BB$162,BO540,0)+INDEX($BD$13:$BL$162,BP540,0))/100))&gt;=$D$10:$L$10)),0)</f>
        <v/>
      </c>
      <c r="BR540">
        <f>IF(527&lt;$U$9,SUMPRODUCT(($D$10:$L$10&lt;&gt;"")*(($D$10:$L$10-($D$9:$L$9+INT(($S$12:$AA$12+INDEX($AJ$13:$AR$162,BN540,0)+INDEX($AT$13:$BB$162,BO540,0)+INDEX($BD$13:$BL$162,BP540,0))/100)))&gt;0)*($D$10:$L$10-($D$9:$L$9+INT(($S$12:$AA$12+INDEX($AJ$13:$AR$162,BN540,0)+INDEX($AT$13:$BB$162,BO540,0)+INDEX($BD$13:$BL$162,BP540,0))/100)))),0)</f>
        <v/>
      </c>
      <c r="BS540">
        <f>IF(527&lt;$U$9,SUMPRODUCT(($D$9:$L$9+INT(($S$12:$AA$12+INDEX($AJ$13:$AR$162,BN540,0)+INDEX($AT$13:$BB$162,BO540,0)+INDEX($BD$13:$BL$162,BP540,0))/100))),0)</f>
        <v/>
      </c>
      <c r="BT540">
        <f>IF(AND(527&lt;$U$9,$W$5),BQ540*1000000-MIN(BR540,999)*1000+BS540-527/100000,-1000000000-527)</f>
        <v/>
      </c>
    </row>
    <row r="541">
      <c r="BN541">
        <f>IF(528&lt;$U$9,INT(528/($U$7*$U$8))+1,1)</f>
        <v/>
      </c>
      <c r="BO541">
        <f>IF(528&lt;$U$9,MOD(INT(528/$U$8),$U$7)+1,1)</f>
        <v/>
      </c>
      <c r="BP541">
        <f>IF(528&lt;$U$9,MOD(528,$U$8)+1,1)</f>
        <v/>
      </c>
      <c r="BQ541">
        <f>IF(528&lt;$U$9,SUMPRODUCT(($D$10:$L$10&lt;&gt;"")*(($D$9:$L$9+INT(($S$12:$AA$12+INDEX($AJ$13:$AR$162,BN541,0)+INDEX($AT$13:$BB$162,BO541,0)+INDEX($BD$13:$BL$162,BP541,0))/100))&gt;=$D$10:$L$10)),0)</f>
        <v/>
      </c>
      <c r="BR541">
        <f>IF(528&lt;$U$9,SUMPRODUCT(($D$10:$L$10&lt;&gt;"")*(($D$10:$L$10-($D$9:$L$9+INT(($S$12:$AA$12+INDEX($AJ$13:$AR$162,BN541,0)+INDEX($AT$13:$BB$162,BO541,0)+INDEX($BD$13:$BL$162,BP541,0))/100)))&gt;0)*($D$10:$L$10-($D$9:$L$9+INT(($S$12:$AA$12+INDEX($AJ$13:$AR$162,BN541,0)+INDEX($AT$13:$BB$162,BO541,0)+INDEX($BD$13:$BL$162,BP541,0))/100)))),0)</f>
        <v/>
      </c>
      <c r="BS541">
        <f>IF(528&lt;$U$9,SUMPRODUCT(($D$9:$L$9+INT(($S$12:$AA$12+INDEX($AJ$13:$AR$162,BN541,0)+INDEX($AT$13:$BB$162,BO541,0)+INDEX($BD$13:$BL$162,BP541,0))/100))),0)</f>
        <v/>
      </c>
      <c r="BT541">
        <f>IF(AND(528&lt;$U$9,$W$5),BQ541*1000000-MIN(BR541,999)*1000+BS541-528/100000,-1000000000-528)</f>
        <v/>
      </c>
    </row>
    <row r="542">
      <c r="BN542">
        <f>IF(529&lt;$U$9,INT(529/($U$7*$U$8))+1,1)</f>
        <v/>
      </c>
      <c r="BO542">
        <f>IF(529&lt;$U$9,MOD(INT(529/$U$8),$U$7)+1,1)</f>
        <v/>
      </c>
      <c r="BP542">
        <f>IF(529&lt;$U$9,MOD(529,$U$8)+1,1)</f>
        <v/>
      </c>
      <c r="BQ542">
        <f>IF(529&lt;$U$9,SUMPRODUCT(($D$10:$L$10&lt;&gt;"")*(($D$9:$L$9+INT(($S$12:$AA$12+INDEX($AJ$13:$AR$162,BN542,0)+INDEX($AT$13:$BB$162,BO542,0)+INDEX($BD$13:$BL$162,BP542,0))/100))&gt;=$D$10:$L$10)),0)</f>
        <v/>
      </c>
      <c r="BR542">
        <f>IF(529&lt;$U$9,SUMPRODUCT(($D$10:$L$10&lt;&gt;"")*(($D$10:$L$10-($D$9:$L$9+INT(($S$12:$AA$12+INDEX($AJ$13:$AR$162,BN542,0)+INDEX($AT$13:$BB$162,BO542,0)+INDEX($BD$13:$BL$162,BP542,0))/100)))&gt;0)*($D$10:$L$10-($D$9:$L$9+INT(($S$12:$AA$12+INDEX($AJ$13:$AR$162,BN542,0)+INDEX($AT$13:$BB$162,BO542,0)+INDEX($BD$13:$BL$162,BP542,0))/100)))),0)</f>
        <v/>
      </c>
      <c r="BS542">
        <f>IF(529&lt;$U$9,SUMPRODUCT(($D$9:$L$9+INT(($S$12:$AA$12+INDEX($AJ$13:$AR$162,BN542,0)+INDEX($AT$13:$BB$162,BO542,0)+INDEX($BD$13:$BL$162,BP542,0))/100))),0)</f>
        <v/>
      </c>
      <c r="BT542">
        <f>IF(AND(529&lt;$U$9,$W$5),BQ542*1000000-MIN(BR542,999)*1000+BS542-529/100000,-1000000000-529)</f>
        <v/>
      </c>
    </row>
    <row r="543">
      <c r="BN543">
        <f>IF(530&lt;$U$9,INT(530/($U$7*$U$8))+1,1)</f>
        <v/>
      </c>
      <c r="BO543">
        <f>IF(530&lt;$U$9,MOD(INT(530/$U$8),$U$7)+1,1)</f>
        <v/>
      </c>
      <c r="BP543">
        <f>IF(530&lt;$U$9,MOD(530,$U$8)+1,1)</f>
        <v/>
      </c>
      <c r="BQ543">
        <f>IF(530&lt;$U$9,SUMPRODUCT(($D$10:$L$10&lt;&gt;"")*(($D$9:$L$9+INT(($S$12:$AA$12+INDEX($AJ$13:$AR$162,BN543,0)+INDEX($AT$13:$BB$162,BO543,0)+INDEX($BD$13:$BL$162,BP543,0))/100))&gt;=$D$10:$L$10)),0)</f>
        <v/>
      </c>
      <c r="BR543">
        <f>IF(530&lt;$U$9,SUMPRODUCT(($D$10:$L$10&lt;&gt;"")*(($D$10:$L$10-($D$9:$L$9+INT(($S$12:$AA$12+INDEX($AJ$13:$AR$162,BN543,0)+INDEX($AT$13:$BB$162,BO543,0)+INDEX($BD$13:$BL$162,BP543,0))/100)))&gt;0)*($D$10:$L$10-($D$9:$L$9+INT(($S$12:$AA$12+INDEX($AJ$13:$AR$162,BN543,0)+INDEX($AT$13:$BB$162,BO543,0)+INDEX($BD$13:$BL$162,BP543,0))/100)))),0)</f>
        <v/>
      </c>
      <c r="BS543">
        <f>IF(530&lt;$U$9,SUMPRODUCT(($D$9:$L$9+INT(($S$12:$AA$12+INDEX($AJ$13:$AR$162,BN543,0)+INDEX($AT$13:$BB$162,BO543,0)+INDEX($BD$13:$BL$162,BP543,0))/100))),0)</f>
        <v/>
      </c>
      <c r="BT543">
        <f>IF(AND(530&lt;$U$9,$W$5),BQ543*1000000-MIN(BR543,999)*1000+BS543-530/100000,-1000000000-530)</f>
        <v/>
      </c>
    </row>
    <row r="544">
      <c r="BN544">
        <f>IF(531&lt;$U$9,INT(531/($U$7*$U$8))+1,1)</f>
        <v/>
      </c>
      <c r="BO544">
        <f>IF(531&lt;$U$9,MOD(INT(531/$U$8),$U$7)+1,1)</f>
        <v/>
      </c>
      <c r="BP544">
        <f>IF(531&lt;$U$9,MOD(531,$U$8)+1,1)</f>
        <v/>
      </c>
      <c r="BQ544">
        <f>IF(531&lt;$U$9,SUMPRODUCT(($D$10:$L$10&lt;&gt;"")*(($D$9:$L$9+INT(($S$12:$AA$12+INDEX($AJ$13:$AR$162,BN544,0)+INDEX($AT$13:$BB$162,BO544,0)+INDEX($BD$13:$BL$162,BP544,0))/100))&gt;=$D$10:$L$10)),0)</f>
        <v/>
      </c>
      <c r="BR544">
        <f>IF(531&lt;$U$9,SUMPRODUCT(($D$10:$L$10&lt;&gt;"")*(($D$10:$L$10-($D$9:$L$9+INT(($S$12:$AA$12+INDEX($AJ$13:$AR$162,BN544,0)+INDEX($AT$13:$BB$162,BO544,0)+INDEX($BD$13:$BL$162,BP544,0))/100)))&gt;0)*($D$10:$L$10-($D$9:$L$9+INT(($S$12:$AA$12+INDEX($AJ$13:$AR$162,BN544,0)+INDEX($AT$13:$BB$162,BO544,0)+INDEX($BD$13:$BL$162,BP544,0))/100)))),0)</f>
        <v/>
      </c>
      <c r="BS544">
        <f>IF(531&lt;$U$9,SUMPRODUCT(($D$9:$L$9+INT(($S$12:$AA$12+INDEX($AJ$13:$AR$162,BN544,0)+INDEX($AT$13:$BB$162,BO544,0)+INDEX($BD$13:$BL$162,BP544,0))/100))),0)</f>
        <v/>
      </c>
      <c r="BT544">
        <f>IF(AND(531&lt;$U$9,$W$5),BQ544*1000000-MIN(BR544,999)*1000+BS544-531/100000,-1000000000-531)</f>
        <v/>
      </c>
    </row>
    <row r="545">
      <c r="BN545">
        <f>IF(532&lt;$U$9,INT(532/($U$7*$U$8))+1,1)</f>
        <v/>
      </c>
      <c r="BO545">
        <f>IF(532&lt;$U$9,MOD(INT(532/$U$8),$U$7)+1,1)</f>
        <v/>
      </c>
      <c r="BP545">
        <f>IF(532&lt;$U$9,MOD(532,$U$8)+1,1)</f>
        <v/>
      </c>
      <c r="BQ545">
        <f>IF(532&lt;$U$9,SUMPRODUCT(($D$10:$L$10&lt;&gt;"")*(($D$9:$L$9+INT(($S$12:$AA$12+INDEX($AJ$13:$AR$162,BN545,0)+INDEX($AT$13:$BB$162,BO545,0)+INDEX($BD$13:$BL$162,BP545,0))/100))&gt;=$D$10:$L$10)),0)</f>
        <v/>
      </c>
      <c r="BR545">
        <f>IF(532&lt;$U$9,SUMPRODUCT(($D$10:$L$10&lt;&gt;"")*(($D$10:$L$10-($D$9:$L$9+INT(($S$12:$AA$12+INDEX($AJ$13:$AR$162,BN545,0)+INDEX($AT$13:$BB$162,BO545,0)+INDEX($BD$13:$BL$162,BP545,0))/100)))&gt;0)*($D$10:$L$10-($D$9:$L$9+INT(($S$12:$AA$12+INDEX($AJ$13:$AR$162,BN545,0)+INDEX($AT$13:$BB$162,BO545,0)+INDEX($BD$13:$BL$162,BP545,0))/100)))),0)</f>
        <v/>
      </c>
      <c r="BS545">
        <f>IF(532&lt;$U$9,SUMPRODUCT(($D$9:$L$9+INT(($S$12:$AA$12+INDEX($AJ$13:$AR$162,BN545,0)+INDEX($AT$13:$BB$162,BO545,0)+INDEX($BD$13:$BL$162,BP545,0))/100))),0)</f>
        <v/>
      </c>
      <c r="BT545">
        <f>IF(AND(532&lt;$U$9,$W$5),BQ545*1000000-MIN(BR545,999)*1000+BS545-532/100000,-1000000000-532)</f>
        <v/>
      </c>
    </row>
    <row r="546">
      <c r="BN546">
        <f>IF(533&lt;$U$9,INT(533/($U$7*$U$8))+1,1)</f>
        <v/>
      </c>
      <c r="BO546">
        <f>IF(533&lt;$U$9,MOD(INT(533/$U$8),$U$7)+1,1)</f>
        <v/>
      </c>
      <c r="BP546">
        <f>IF(533&lt;$U$9,MOD(533,$U$8)+1,1)</f>
        <v/>
      </c>
      <c r="BQ546">
        <f>IF(533&lt;$U$9,SUMPRODUCT(($D$10:$L$10&lt;&gt;"")*(($D$9:$L$9+INT(($S$12:$AA$12+INDEX($AJ$13:$AR$162,BN546,0)+INDEX($AT$13:$BB$162,BO546,0)+INDEX($BD$13:$BL$162,BP546,0))/100))&gt;=$D$10:$L$10)),0)</f>
        <v/>
      </c>
      <c r="BR546">
        <f>IF(533&lt;$U$9,SUMPRODUCT(($D$10:$L$10&lt;&gt;"")*(($D$10:$L$10-($D$9:$L$9+INT(($S$12:$AA$12+INDEX($AJ$13:$AR$162,BN546,0)+INDEX($AT$13:$BB$162,BO546,0)+INDEX($BD$13:$BL$162,BP546,0))/100)))&gt;0)*($D$10:$L$10-($D$9:$L$9+INT(($S$12:$AA$12+INDEX($AJ$13:$AR$162,BN546,0)+INDEX($AT$13:$BB$162,BO546,0)+INDEX($BD$13:$BL$162,BP546,0))/100)))),0)</f>
        <v/>
      </c>
      <c r="BS546">
        <f>IF(533&lt;$U$9,SUMPRODUCT(($D$9:$L$9+INT(($S$12:$AA$12+INDEX($AJ$13:$AR$162,BN546,0)+INDEX($AT$13:$BB$162,BO546,0)+INDEX($BD$13:$BL$162,BP546,0))/100))),0)</f>
        <v/>
      </c>
      <c r="BT546">
        <f>IF(AND(533&lt;$U$9,$W$5),BQ546*1000000-MIN(BR546,999)*1000+BS546-533/100000,-1000000000-533)</f>
        <v/>
      </c>
    </row>
    <row r="547">
      <c r="BN547">
        <f>IF(534&lt;$U$9,INT(534/($U$7*$U$8))+1,1)</f>
        <v/>
      </c>
      <c r="BO547">
        <f>IF(534&lt;$U$9,MOD(INT(534/$U$8),$U$7)+1,1)</f>
        <v/>
      </c>
      <c r="BP547">
        <f>IF(534&lt;$U$9,MOD(534,$U$8)+1,1)</f>
        <v/>
      </c>
      <c r="BQ547">
        <f>IF(534&lt;$U$9,SUMPRODUCT(($D$10:$L$10&lt;&gt;"")*(($D$9:$L$9+INT(($S$12:$AA$12+INDEX($AJ$13:$AR$162,BN547,0)+INDEX($AT$13:$BB$162,BO547,0)+INDEX($BD$13:$BL$162,BP547,0))/100))&gt;=$D$10:$L$10)),0)</f>
        <v/>
      </c>
      <c r="BR547">
        <f>IF(534&lt;$U$9,SUMPRODUCT(($D$10:$L$10&lt;&gt;"")*(($D$10:$L$10-($D$9:$L$9+INT(($S$12:$AA$12+INDEX($AJ$13:$AR$162,BN547,0)+INDEX($AT$13:$BB$162,BO547,0)+INDEX($BD$13:$BL$162,BP547,0))/100)))&gt;0)*($D$10:$L$10-($D$9:$L$9+INT(($S$12:$AA$12+INDEX($AJ$13:$AR$162,BN547,0)+INDEX($AT$13:$BB$162,BO547,0)+INDEX($BD$13:$BL$162,BP547,0))/100)))),0)</f>
        <v/>
      </c>
      <c r="BS547">
        <f>IF(534&lt;$U$9,SUMPRODUCT(($D$9:$L$9+INT(($S$12:$AA$12+INDEX($AJ$13:$AR$162,BN547,0)+INDEX($AT$13:$BB$162,BO547,0)+INDEX($BD$13:$BL$162,BP547,0))/100))),0)</f>
        <v/>
      </c>
      <c r="BT547">
        <f>IF(AND(534&lt;$U$9,$W$5),BQ547*1000000-MIN(BR547,999)*1000+BS547-534/100000,-1000000000-534)</f>
        <v/>
      </c>
    </row>
    <row r="548">
      <c r="BN548">
        <f>IF(535&lt;$U$9,INT(535/($U$7*$U$8))+1,1)</f>
        <v/>
      </c>
      <c r="BO548">
        <f>IF(535&lt;$U$9,MOD(INT(535/$U$8),$U$7)+1,1)</f>
        <v/>
      </c>
      <c r="BP548">
        <f>IF(535&lt;$U$9,MOD(535,$U$8)+1,1)</f>
        <v/>
      </c>
      <c r="BQ548">
        <f>IF(535&lt;$U$9,SUMPRODUCT(($D$10:$L$10&lt;&gt;"")*(($D$9:$L$9+INT(($S$12:$AA$12+INDEX($AJ$13:$AR$162,BN548,0)+INDEX($AT$13:$BB$162,BO548,0)+INDEX($BD$13:$BL$162,BP548,0))/100))&gt;=$D$10:$L$10)),0)</f>
        <v/>
      </c>
      <c r="BR548">
        <f>IF(535&lt;$U$9,SUMPRODUCT(($D$10:$L$10&lt;&gt;"")*(($D$10:$L$10-($D$9:$L$9+INT(($S$12:$AA$12+INDEX($AJ$13:$AR$162,BN548,0)+INDEX($AT$13:$BB$162,BO548,0)+INDEX($BD$13:$BL$162,BP548,0))/100)))&gt;0)*($D$10:$L$10-($D$9:$L$9+INT(($S$12:$AA$12+INDEX($AJ$13:$AR$162,BN548,0)+INDEX($AT$13:$BB$162,BO548,0)+INDEX($BD$13:$BL$162,BP548,0))/100)))),0)</f>
        <v/>
      </c>
      <c r="BS548">
        <f>IF(535&lt;$U$9,SUMPRODUCT(($D$9:$L$9+INT(($S$12:$AA$12+INDEX($AJ$13:$AR$162,BN548,0)+INDEX($AT$13:$BB$162,BO548,0)+INDEX($BD$13:$BL$162,BP548,0))/100))),0)</f>
        <v/>
      </c>
      <c r="BT548">
        <f>IF(AND(535&lt;$U$9,$W$5),BQ548*1000000-MIN(BR548,999)*1000+BS548-535/100000,-1000000000-535)</f>
        <v/>
      </c>
    </row>
    <row r="549">
      <c r="BN549">
        <f>IF(536&lt;$U$9,INT(536/($U$7*$U$8))+1,1)</f>
        <v/>
      </c>
      <c r="BO549">
        <f>IF(536&lt;$U$9,MOD(INT(536/$U$8),$U$7)+1,1)</f>
        <v/>
      </c>
      <c r="BP549">
        <f>IF(536&lt;$U$9,MOD(536,$U$8)+1,1)</f>
        <v/>
      </c>
      <c r="BQ549">
        <f>IF(536&lt;$U$9,SUMPRODUCT(($D$10:$L$10&lt;&gt;"")*(($D$9:$L$9+INT(($S$12:$AA$12+INDEX($AJ$13:$AR$162,BN549,0)+INDEX($AT$13:$BB$162,BO549,0)+INDEX($BD$13:$BL$162,BP549,0))/100))&gt;=$D$10:$L$10)),0)</f>
        <v/>
      </c>
      <c r="BR549">
        <f>IF(536&lt;$U$9,SUMPRODUCT(($D$10:$L$10&lt;&gt;"")*(($D$10:$L$10-($D$9:$L$9+INT(($S$12:$AA$12+INDEX($AJ$13:$AR$162,BN549,0)+INDEX($AT$13:$BB$162,BO549,0)+INDEX($BD$13:$BL$162,BP549,0))/100)))&gt;0)*($D$10:$L$10-($D$9:$L$9+INT(($S$12:$AA$12+INDEX($AJ$13:$AR$162,BN549,0)+INDEX($AT$13:$BB$162,BO549,0)+INDEX($BD$13:$BL$162,BP549,0))/100)))),0)</f>
        <v/>
      </c>
      <c r="BS549">
        <f>IF(536&lt;$U$9,SUMPRODUCT(($D$9:$L$9+INT(($S$12:$AA$12+INDEX($AJ$13:$AR$162,BN549,0)+INDEX($AT$13:$BB$162,BO549,0)+INDEX($BD$13:$BL$162,BP549,0))/100))),0)</f>
        <v/>
      </c>
      <c r="BT549">
        <f>IF(AND(536&lt;$U$9,$W$5),BQ549*1000000-MIN(BR549,999)*1000+BS549-536/100000,-1000000000-536)</f>
        <v/>
      </c>
    </row>
    <row r="550">
      <c r="BN550">
        <f>IF(537&lt;$U$9,INT(537/($U$7*$U$8))+1,1)</f>
        <v/>
      </c>
      <c r="BO550">
        <f>IF(537&lt;$U$9,MOD(INT(537/$U$8),$U$7)+1,1)</f>
        <v/>
      </c>
      <c r="BP550">
        <f>IF(537&lt;$U$9,MOD(537,$U$8)+1,1)</f>
        <v/>
      </c>
      <c r="BQ550">
        <f>IF(537&lt;$U$9,SUMPRODUCT(($D$10:$L$10&lt;&gt;"")*(($D$9:$L$9+INT(($S$12:$AA$12+INDEX($AJ$13:$AR$162,BN550,0)+INDEX($AT$13:$BB$162,BO550,0)+INDEX($BD$13:$BL$162,BP550,0))/100))&gt;=$D$10:$L$10)),0)</f>
        <v/>
      </c>
      <c r="BR550">
        <f>IF(537&lt;$U$9,SUMPRODUCT(($D$10:$L$10&lt;&gt;"")*(($D$10:$L$10-($D$9:$L$9+INT(($S$12:$AA$12+INDEX($AJ$13:$AR$162,BN550,0)+INDEX($AT$13:$BB$162,BO550,0)+INDEX($BD$13:$BL$162,BP550,0))/100)))&gt;0)*($D$10:$L$10-($D$9:$L$9+INT(($S$12:$AA$12+INDEX($AJ$13:$AR$162,BN550,0)+INDEX($AT$13:$BB$162,BO550,0)+INDEX($BD$13:$BL$162,BP550,0))/100)))),0)</f>
        <v/>
      </c>
      <c r="BS550">
        <f>IF(537&lt;$U$9,SUMPRODUCT(($D$9:$L$9+INT(($S$12:$AA$12+INDEX($AJ$13:$AR$162,BN550,0)+INDEX($AT$13:$BB$162,BO550,0)+INDEX($BD$13:$BL$162,BP550,0))/100))),0)</f>
        <v/>
      </c>
      <c r="BT550">
        <f>IF(AND(537&lt;$U$9,$W$5),BQ550*1000000-MIN(BR550,999)*1000+BS550-537/100000,-1000000000-537)</f>
        <v/>
      </c>
    </row>
    <row r="551">
      <c r="BN551">
        <f>IF(538&lt;$U$9,INT(538/($U$7*$U$8))+1,1)</f>
        <v/>
      </c>
      <c r="BO551">
        <f>IF(538&lt;$U$9,MOD(INT(538/$U$8),$U$7)+1,1)</f>
        <v/>
      </c>
      <c r="BP551">
        <f>IF(538&lt;$U$9,MOD(538,$U$8)+1,1)</f>
        <v/>
      </c>
      <c r="BQ551">
        <f>IF(538&lt;$U$9,SUMPRODUCT(($D$10:$L$10&lt;&gt;"")*(($D$9:$L$9+INT(($S$12:$AA$12+INDEX($AJ$13:$AR$162,BN551,0)+INDEX($AT$13:$BB$162,BO551,0)+INDEX($BD$13:$BL$162,BP551,0))/100))&gt;=$D$10:$L$10)),0)</f>
        <v/>
      </c>
      <c r="BR551">
        <f>IF(538&lt;$U$9,SUMPRODUCT(($D$10:$L$10&lt;&gt;"")*(($D$10:$L$10-($D$9:$L$9+INT(($S$12:$AA$12+INDEX($AJ$13:$AR$162,BN551,0)+INDEX($AT$13:$BB$162,BO551,0)+INDEX($BD$13:$BL$162,BP551,0))/100)))&gt;0)*($D$10:$L$10-($D$9:$L$9+INT(($S$12:$AA$12+INDEX($AJ$13:$AR$162,BN551,0)+INDEX($AT$13:$BB$162,BO551,0)+INDEX($BD$13:$BL$162,BP551,0))/100)))),0)</f>
        <v/>
      </c>
      <c r="BS551">
        <f>IF(538&lt;$U$9,SUMPRODUCT(($D$9:$L$9+INT(($S$12:$AA$12+INDEX($AJ$13:$AR$162,BN551,0)+INDEX($AT$13:$BB$162,BO551,0)+INDEX($BD$13:$BL$162,BP551,0))/100))),0)</f>
        <v/>
      </c>
      <c r="BT551">
        <f>IF(AND(538&lt;$U$9,$W$5),BQ551*1000000-MIN(BR551,999)*1000+BS551-538/100000,-1000000000-538)</f>
        <v/>
      </c>
    </row>
    <row r="552">
      <c r="BN552">
        <f>IF(539&lt;$U$9,INT(539/($U$7*$U$8))+1,1)</f>
        <v/>
      </c>
      <c r="BO552">
        <f>IF(539&lt;$U$9,MOD(INT(539/$U$8),$U$7)+1,1)</f>
        <v/>
      </c>
      <c r="BP552">
        <f>IF(539&lt;$U$9,MOD(539,$U$8)+1,1)</f>
        <v/>
      </c>
      <c r="BQ552">
        <f>IF(539&lt;$U$9,SUMPRODUCT(($D$10:$L$10&lt;&gt;"")*(($D$9:$L$9+INT(($S$12:$AA$12+INDEX($AJ$13:$AR$162,BN552,0)+INDEX($AT$13:$BB$162,BO552,0)+INDEX($BD$13:$BL$162,BP552,0))/100))&gt;=$D$10:$L$10)),0)</f>
        <v/>
      </c>
      <c r="BR552">
        <f>IF(539&lt;$U$9,SUMPRODUCT(($D$10:$L$10&lt;&gt;"")*(($D$10:$L$10-($D$9:$L$9+INT(($S$12:$AA$12+INDEX($AJ$13:$AR$162,BN552,0)+INDEX($AT$13:$BB$162,BO552,0)+INDEX($BD$13:$BL$162,BP552,0))/100)))&gt;0)*($D$10:$L$10-($D$9:$L$9+INT(($S$12:$AA$12+INDEX($AJ$13:$AR$162,BN552,0)+INDEX($AT$13:$BB$162,BO552,0)+INDEX($BD$13:$BL$162,BP552,0))/100)))),0)</f>
        <v/>
      </c>
      <c r="BS552">
        <f>IF(539&lt;$U$9,SUMPRODUCT(($D$9:$L$9+INT(($S$12:$AA$12+INDEX($AJ$13:$AR$162,BN552,0)+INDEX($AT$13:$BB$162,BO552,0)+INDEX($BD$13:$BL$162,BP552,0))/100))),0)</f>
        <v/>
      </c>
      <c r="BT552">
        <f>IF(AND(539&lt;$U$9,$W$5),BQ552*1000000-MIN(BR552,999)*1000+BS552-539/100000,-1000000000-539)</f>
        <v/>
      </c>
    </row>
    <row r="553">
      <c r="BN553">
        <f>IF(540&lt;$U$9,INT(540/($U$7*$U$8))+1,1)</f>
        <v/>
      </c>
      <c r="BO553">
        <f>IF(540&lt;$U$9,MOD(INT(540/$U$8),$U$7)+1,1)</f>
        <v/>
      </c>
      <c r="BP553">
        <f>IF(540&lt;$U$9,MOD(540,$U$8)+1,1)</f>
        <v/>
      </c>
      <c r="BQ553">
        <f>IF(540&lt;$U$9,SUMPRODUCT(($D$10:$L$10&lt;&gt;"")*(($D$9:$L$9+INT(($S$12:$AA$12+INDEX($AJ$13:$AR$162,BN553,0)+INDEX($AT$13:$BB$162,BO553,0)+INDEX($BD$13:$BL$162,BP553,0))/100))&gt;=$D$10:$L$10)),0)</f>
        <v/>
      </c>
      <c r="BR553">
        <f>IF(540&lt;$U$9,SUMPRODUCT(($D$10:$L$10&lt;&gt;"")*(($D$10:$L$10-($D$9:$L$9+INT(($S$12:$AA$12+INDEX($AJ$13:$AR$162,BN553,0)+INDEX($AT$13:$BB$162,BO553,0)+INDEX($BD$13:$BL$162,BP553,0))/100)))&gt;0)*($D$10:$L$10-($D$9:$L$9+INT(($S$12:$AA$12+INDEX($AJ$13:$AR$162,BN553,0)+INDEX($AT$13:$BB$162,BO553,0)+INDEX($BD$13:$BL$162,BP553,0))/100)))),0)</f>
        <v/>
      </c>
      <c r="BS553">
        <f>IF(540&lt;$U$9,SUMPRODUCT(($D$9:$L$9+INT(($S$12:$AA$12+INDEX($AJ$13:$AR$162,BN553,0)+INDEX($AT$13:$BB$162,BO553,0)+INDEX($BD$13:$BL$162,BP553,0))/100))),0)</f>
        <v/>
      </c>
      <c r="BT553">
        <f>IF(AND(540&lt;$U$9,$W$5),BQ553*1000000-MIN(BR553,999)*1000+BS553-540/100000,-1000000000-540)</f>
        <v/>
      </c>
    </row>
    <row r="554">
      <c r="BN554">
        <f>IF(541&lt;$U$9,INT(541/($U$7*$U$8))+1,1)</f>
        <v/>
      </c>
      <c r="BO554">
        <f>IF(541&lt;$U$9,MOD(INT(541/$U$8),$U$7)+1,1)</f>
        <v/>
      </c>
      <c r="BP554">
        <f>IF(541&lt;$U$9,MOD(541,$U$8)+1,1)</f>
        <v/>
      </c>
      <c r="BQ554">
        <f>IF(541&lt;$U$9,SUMPRODUCT(($D$10:$L$10&lt;&gt;"")*(($D$9:$L$9+INT(($S$12:$AA$12+INDEX($AJ$13:$AR$162,BN554,0)+INDEX($AT$13:$BB$162,BO554,0)+INDEX($BD$13:$BL$162,BP554,0))/100))&gt;=$D$10:$L$10)),0)</f>
        <v/>
      </c>
      <c r="BR554">
        <f>IF(541&lt;$U$9,SUMPRODUCT(($D$10:$L$10&lt;&gt;"")*(($D$10:$L$10-($D$9:$L$9+INT(($S$12:$AA$12+INDEX($AJ$13:$AR$162,BN554,0)+INDEX($AT$13:$BB$162,BO554,0)+INDEX($BD$13:$BL$162,BP554,0))/100)))&gt;0)*($D$10:$L$10-($D$9:$L$9+INT(($S$12:$AA$12+INDEX($AJ$13:$AR$162,BN554,0)+INDEX($AT$13:$BB$162,BO554,0)+INDEX($BD$13:$BL$162,BP554,0))/100)))),0)</f>
        <v/>
      </c>
      <c r="BS554">
        <f>IF(541&lt;$U$9,SUMPRODUCT(($D$9:$L$9+INT(($S$12:$AA$12+INDEX($AJ$13:$AR$162,BN554,0)+INDEX($AT$13:$BB$162,BO554,0)+INDEX($BD$13:$BL$162,BP554,0))/100))),0)</f>
        <v/>
      </c>
      <c r="BT554">
        <f>IF(AND(541&lt;$U$9,$W$5),BQ554*1000000-MIN(BR554,999)*1000+BS554-541/100000,-1000000000-541)</f>
        <v/>
      </c>
    </row>
    <row r="555">
      <c r="BN555">
        <f>IF(542&lt;$U$9,INT(542/($U$7*$U$8))+1,1)</f>
        <v/>
      </c>
      <c r="BO555">
        <f>IF(542&lt;$U$9,MOD(INT(542/$U$8),$U$7)+1,1)</f>
        <v/>
      </c>
      <c r="BP555">
        <f>IF(542&lt;$U$9,MOD(542,$U$8)+1,1)</f>
        <v/>
      </c>
      <c r="BQ555">
        <f>IF(542&lt;$U$9,SUMPRODUCT(($D$10:$L$10&lt;&gt;"")*(($D$9:$L$9+INT(($S$12:$AA$12+INDEX($AJ$13:$AR$162,BN555,0)+INDEX($AT$13:$BB$162,BO555,0)+INDEX($BD$13:$BL$162,BP555,0))/100))&gt;=$D$10:$L$10)),0)</f>
        <v/>
      </c>
      <c r="BR555">
        <f>IF(542&lt;$U$9,SUMPRODUCT(($D$10:$L$10&lt;&gt;"")*(($D$10:$L$10-($D$9:$L$9+INT(($S$12:$AA$12+INDEX($AJ$13:$AR$162,BN555,0)+INDEX($AT$13:$BB$162,BO555,0)+INDEX($BD$13:$BL$162,BP555,0))/100)))&gt;0)*($D$10:$L$10-($D$9:$L$9+INT(($S$12:$AA$12+INDEX($AJ$13:$AR$162,BN555,0)+INDEX($AT$13:$BB$162,BO555,0)+INDEX($BD$13:$BL$162,BP555,0))/100)))),0)</f>
        <v/>
      </c>
      <c r="BS555">
        <f>IF(542&lt;$U$9,SUMPRODUCT(($D$9:$L$9+INT(($S$12:$AA$12+INDEX($AJ$13:$AR$162,BN555,0)+INDEX($AT$13:$BB$162,BO555,0)+INDEX($BD$13:$BL$162,BP555,0))/100))),0)</f>
        <v/>
      </c>
      <c r="BT555">
        <f>IF(AND(542&lt;$U$9,$W$5),BQ555*1000000-MIN(BR555,999)*1000+BS555-542/100000,-1000000000-542)</f>
        <v/>
      </c>
    </row>
    <row r="556">
      <c r="BN556">
        <f>IF(543&lt;$U$9,INT(543/($U$7*$U$8))+1,1)</f>
        <v/>
      </c>
      <c r="BO556">
        <f>IF(543&lt;$U$9,MOD(INT(543/$U$8),$U$7)+1,1)</f>
        <v/>
      </c>
      <c r="BP556">
        <f>IF(543&lt;$U$9,MOD(543,$U$8)+1,1)</f>
        <v/>
      </c>
      <c r="BQ556">
        <f>IF(543&lt;$U$9,SUMPRODUCT(($D$10:$L$10&lt;&gt;"")*(($D$9:$L$9+INT(($S$12:$AA$12+INDEX($AJ$13:$AR$162,BN556,0)+INDEX($AT$13:$BB$162,BO556,0)+INDEX($BD$13:$BL$162,BP556,0))/100))&gt;=$D$10:$L$10)),0)</f>
        <v/>
      </c>
      <c r="BR556">
        <f>IF(543&lt;$U$9,SUMPRODUCT(($D$10:$L$10&lt;&gt;"")*(($D$10:$L$10-($D$9:$L$9+INT(($S$12:$AA$12+INDEX($AJ$13:$AR$162,BN556,0)+INDEX($AT$13:$BB$162,BO556,0)+INDEX($BD$13:$BL$162,BP556,0))/100)))&gt;0)*($D$10:$L$10-($D$9:$L$9+INT(($S$12:$AA$12+INDEX($AJ$13:$AR$162,BN556,0)+INDEX($AT$13:$BB$162,BO556,0)+INDEX($BD$13:$BL$162,BP556,0))/100)))),0)</f>
        <v/>
      </c>
      <c r="BS556">
        <f>IF(543&lt;$U$9,SUMPRODUCT(($D$9:$L$9+INT(($S$12:$AA$12+INDEX($AJ$13:$AR$162,BN556,0)+INDEX($AT$13:$BB$162,BO556,0)+INDEX($BD$13:$BL$162,BP556,0))/100))),0)</f>
        <v/>
      </c>
      <c r="BT556">
        <f>IF(AND(543&lt;$U$9,$W$5),BQ556*1000000-MIN(BR556,999)*1000+BS556-543/100000,-1000000000-543)</f>
        <v/>
      </c>
    </row>
    <row r="557">
      <c r="BN557">
        <f>IF(544&lt;$U$9,INT(544/($U$7*$U$8))+1,1)</f>
        <v/>
      </c>
      <c r="BO557">
        <f>IF(544&lt;$U$9,MOD(INT(544/$U$8),$U$7)+1,1)</f>
        <v/>
      </c>
      <c r="BP557">
        <f>IF(544&lt;$U$9,MOD(544,$U$8)+1,1)</f>
        <v/>
      </c>
      <c r="BQ557">
        <f>IF(544&lt;$U$9,SUMPRODUCT(($D$10:$L$10&lt;&gt;"")*(($D$9:$L$9+INT(($S$12:$AA$12+INDEX($AJ$13:$AR$162,BN557,0)+INDEX($AT$13:$BB$162,BO557,0)+INDEX($BD$13:$BL$162,BP557,0))/100))&gt;=$D$10:$L$10)),0)</f>
        <v/>
      </c>
      <c r="BR557">
        <f>IF(544&lt;$U$9,SUMPRODUCT(($D$10:$L$10&lt;&gt;"")*(($D$10:$L$10-($D$9:$L$9+INT(($S$12:$AA$12+INDEX($AJ$13:$AR$162,BN557,0)+INDEX($AT$13:$BB$162,BO557,0)+INDEX($BD$13:$BL$162,BP557,0))/100)))&gt;0)*($D$10:$L$10-($D$9:$L$9+INT(($S$12:$AA$12+INDEX($AJ$13:$AR$162,BN557,0)+INDEX($AT$13:$BB$162,BO557,0)+INDEX($BD$13:$BL$162,BP557,0))/100)))),0)</f>
        <v/>
      </c>
      <c r="BS557">
        <f>IF(544&lt;$U$9,SUMPRODUCT(($D$9:$L$9+INT(($S$12:$AA$12+INDEX($AJ$13:$AR$162,BN557,0)+INDEX($AT$13:$BB$162,BO557,0)+INDEX($BD$13:$BL$162,BP557,0))/100))),0)</f>
        <v/>
      </c>
      <c r="BT557">
        <f>IF(AND(544&lt;$U$9,$W$5),BQ557*1000000-MIN(BR557,999)*1000+BS557-544/100000,-1000000000-544)</f>
        <v/>
      </c>
    </row>
    <row r="558">
      <c r="BN558">
        <f>IF(545&lt;$U$9,INT(545/($U$7*$U$8))+1,1)</f>
        <v/>
      </c>
      <c r="BO558">
        <f>IF(545&lt;$U$9,MOD(INT(545/$U$8),$U$7)+1,1)</f>
        <v/>
      </c>
      <c r="BP558">
        <f>IF(545&lt;$U$9,MOD(545,$U$8)+1,1)</f>
        <v/>
      </c>
      <c r="BQ558">
        <f>IF(545&lt;$U$9,SUMPRODUCT(($D$10:$L$10&lt;&gt;"")*(($D$9:$L$9+INT(($S$12:$AA$12+INDEX($AJ$13:$AR$162,BN558,0)+INDEX($AT$13:$BB$162,BO558,0)+INDEX($BD$13:$BL$162,BP558,0))/100))&gt;=$D$10:$L$10)),0)</f>
        <v/>
      </c>
      <c r="BR558">
        <f>IF(545&lt;$U$9,SUMPRODUCT(($D$10:$L$10&lt;&gt;"")*(($D$10:$L$10-($D$9:$L$9+INT(($S$12:$AA$12+INDEX($AJ$13:$AR$162,BN558,0)+INDEX($AT$13:$BB$162,BO558,0)+INDEX($BD$13:$BL$162,BP558,0))/100)))&gt;0)*($D$10:$L$10-($D$9:$L$9+INT(($S$12:$AA$12+INDEX($AJ$13:$AR$162,BN558,0)+INDEX($AT$13:$BB$162,BO558,0)+INDEX($BD$13:$BL$162,BP558,0))/100)))),0)</f>
        <v/>
      </c>
      <c r="BS558">
        <f>IF(545&lt;$U$9,SUMPRODUCT(($D$9:$L$9+INT(($S$12:$AA$12+INDEX($AJ$13:$AR$162,BN558,0)+INDEX($AT$13:$BB$162,BO558,0)+INDEX($BD$13:$BL$162,BP558,0))/100))),0)</f>
        <v/>
      </c>
      <c r="BT558">
        <f>IF(AND(545&lt;$U$9,$W$5),BQ558*1000000-MIN(BR558,999)*1000+BS558-545/100000,-1000000000-545)</f>
        <v/>
      </c>
    </row>
    <row r="559">
      <c r="BN559">
        <f>IF(546&lt;$U$9,INT(546/($U$7*$U$8))+1,1)</f>
        <v/>
      </c>
      <c r="BO559">
        <f>IF(546&lt;$U$9,MOD(INT(546/$U$8),$U$7)+1,1)</f>
        <v/>
      </c>
      <c r="BP559">
        <f>IF(546&lt;$U$9,MOD(546,$U$8)+1,1)</f>
        <v/>
      </c>
      <c r="BQ559">
        <f>IF(546&lt;$U$9,SUMPRODUCT(($D$10:$L$10&lt;&gt;"")*(($D$9:$L$9+INT(($S$12:$AA$12+INDEX($AJ$13:$AR$162,BN559,0)+INDEX($AT$13:$BB$162,BO559,0)+INDEX($BD$13:$BL$162,BP559,0))/100))&gt;=$D$10:$L$10)),0)</f>
        <v/>
      </c>
      <c r="BR559">
        <f>IF(546&lt;$U$9,SUMPRODUCT(($D$10:$L$10&lt;&gt;"")*(($D$10:$L$10-($D$9:$L$9+INT(($S$12:$AA$12+INDEX($AJ$13:$AR$162,BN559,0)+INDEX($AT$13:$BB$162,BO559,0)+INDEX($BD$13:$BL$162,BP559,0))/100)))&gt;0)*($D$10:$L$10-($D$9:$L$9+INT(($S$12:$AA$12+INDEX($AJ$13:$AR$162,BN559,0)+INDEX($AT$13:$BB$162,BO559,0)+INDEX($BD$13:$BL$162,BP559,0))/100)))),0)</f>
        <v/>
      </c>
      <c r="BS559">
        <f>IF(546&lt;$U$9,SUMPRODUCT(($D$9:$L$9+INT(($S$12:$AA$12+INDEX($AJ$13:$AR$162,BN559,0)+INDEX($AT$13:$BB$162,BO559,0)+INDEX($BD$13:$BL$162,BP559,0))/100))),0)</f>
        <v/>
      </c>
      <c r="BT559">
        <f>IF(AND(546&lt;$U$9,$W$5),BQ559*1000000-MIN(BR559,999)*1000+BS559-546/100000,-1000000000-546)</f>
        <v/>
      </c>
    </row>
    <row r="560">
      <c r="BN560">
        <f>IF(547&lt;$U$9,INT(547/($U$7*$U$8))+1,1)</f>
        <v/>
      </c>
      <c r="BO560">
        <f>IF(547&lt;$U$9,MOD(INT(547/$U$8),$U$7)+1,1)</f>
        <v/>
      </c>
      <c r="BP560">
        <f>IF(547&lt;$U$9,MOD(547,$U$8)+1,1)</f>
        <v/>
      </c>
      <c r="BQ560">
        <f>IF(547&lt;$U$9,SUMPRODUCT(($D$10:$L$10&lt;&gt;"")*(($D$9:$L$9+INT(($S$12:$AA$12+INDEX($AJ$13:$AR$162,BN560,0)+INDEX($AT$13:$BB$162,BO560,0)+INDEX($BD$13:$BL$162,BP560,0))/100))&gt;=$D$10:$L$10)),0)</f>
        <v/>
      </c>
      <c r="BR560">
        <f>IF(547&lt;$U$9,SUMPRODUCT(($D$10:$L$10&lt;&gt;"")*(($D$10:$L$10-($D$9:$L$9+INT(($S$12:$AA$12+INDEX($AJ$13:$AR$162,BN560,0)+INDEX($AT$13:$BB$162,BO560,0)+INDEX($BD$13:$BL$162,BP560,0))/100)))&gt;0)*($D$10:$L$10-($D$9:$L$9+INT(($S$12:$AA$12+INDEX($AJ$13:$AR$162,BN560,0)+INDEX($AT$13:$BB$162,BO560,0)+INDEX($BD$13:$BL$162,BP560,0))/100)))),0)</f>
        <v/>
      </c>
      <c r="BS560">
        <f>IF(547&lt;$U$9,SUMPRODUCT(($D$9:$L$9+INT(($S$12:$AA$12+INDEX($AJ$13:$AR$162,BN560,0)+INDEX($AT$13:$BB$162,BO560,0)+INDEX($BD$13:$BL$162,BP560,0))/100))),0)</f>
        <v/>
      </c>
      <c r="BT560">
        <f>IF(AND(547&lt;$U$9,$W$5),BQ560*1000000-MIN(BR560,999)*1000+BS560-547/100000,-1000000000-547)</f>
        <v/>
      </c>
    </row>
    <row r="561">
      <c r="BN561">
        <f>IF(548&lt;$U$9,INT(548/($U$7*$U$8))+1,1)</f>
        <v/>
      </c>
      <c r="BO561">
        <f>IF(548&lt;$U$9,MOD(INT(548/$U$8),$U$7)+1,1)</f>
        <v/>
      </c>
      <c r="BP561">
        <f>IF(548&lt;$U$9,MOD(548,$U$8)+1,1)</f>
        <v/>
      </c>
      <c r="BQ561">
        <f>IF(548&lt;$U$9,SUMPRODUCT(($D$10:$L$10&lt;&gt;"")*(($D$9:$L$9+INT(($S$12:$AA$12+INDEX($AJ$13:$AR$162,BN561,0)+INDEX($AT$13:$BB$162,BO561,0)+INDEX($BD$13:$BL$162,BP561,0))/100))&gt;=$D$10:$L$10)),0)</f>
        <v/>
      </c>
      <c r="BR561">
        <f>IF(548&lt;$U$9,SUMPRODUCT(($D$10:$L$10&lt;&gt;"")*(($D$10:$L$10-($D$9:$L$9+INT(($S$12:$AA$12+INDEX($AJ$13:$AR$162,BN561,0)+INDEX($AT$13:$BB$162,BO561,0)+INDEX($BD$13:$BL$162,BP561,0))/100)))&gt;0)*($D$10:$L$10-($D$9:$L$9+INT(($S$12:$AA$12+INDEX($AJ$13:$AR$162,BN561,0)+INDEX($AT$13:$BB$162,BO561,0)+INDEX($BD$13:$BL$162,BP561,0))/100)))),0)</f>
        <v/>
      </c>
      <c r="BS561">
        <f>IF(548&lt;$U$9,SUMPRODUCT(($D$9:$L$9+INT(($S$12:$AA$12+INDEX($AJ$13:$AR$162,BN561,0)+INDEX($AT$13:$BB$162,BO561,0)+INDEX($BD$13:$BL$162,BP561,0))/100))),0)</f>
        <v/>
      </c>
      <c r="BT561">
        <f>IF(AND(548&lt;$U$9,$W$5),BQ561*1000000-MIN(BR561,999)*1000+BS561-548/100000,-1000000000-548)</f>
        <v/>
      </c>
    </row>
    <row r="562">
      <c r="BN562">
        <f>IF(549&lt;$U$9,INT(549/($U$7*$U$8))+1,1)</f>
        <v/>
      </c>
      <c r="BO562">
        <f>IF(549&lt;$U$9,MOD(INT(549/$U$8),$U$7)+1,1)</f>
        <v/>
      </c>
      <c r="BP562">
        <f>IF(549&lt;$U$9,MOD(549,$U$8)+1,1)</f>
        <v/>
      </c>
      <c r="BQ562">
        <f>IF(549&lt;$U$9,SUMPRODUCT(($D$10:$L$10&lt;&gt;"")*(($D$9:$L$9+INT(($S$12:$AA$12+INDEX($AJ$13:$AR$162,BN562,0)+INDEX($AT$13:$BB$162,BO562,0)+INDEX($BD$13:$BL$162,BP562,0))/100))&gt;=$D$10:$L$10)),0)</f>
        <v/>
      </c>
      <c r="BR562">
        <f>IF(549&lt;$U$9,SUMPRODUCT(($D$10:$L$10&lt;&gt;"")*(($D$10:$L$10-($D$9:$L$9+INT(($S$12:$AA$12+INDEX($AJ$13:$AR$162,BN562,0)+INDEX($AT$13:$BB$162,BO562,0)+INDEX($BD$13:$BL$162,BP562,0))/100)))&gt;0)*($D$10:$L$10-($D$9:$L$9+INT(($S$12:$AA$12+INDEX($AJ$13:$AR$162,BN562,0)+INDEX($AT$13:$BB$162,BO562,0)+INDEX($BD$13:$BL$162,BP562,0))/100)))),0)</f>
        <v/>
      </c>
      <c r="BS562">
        <f>IF(549&lt;$U$9,SUMPRODUCT(($D$9:$L$9+INT(($S$12:$AA$12+INDEX($AJ$13:$AR$162,BN562,0)+INDEX($AT$13:$BB$162,BO562,0)+INDEX($BD$13:$BL$162,BP562,0))/100))),0)</f>
        <v/>
      </c>
      <c r="BT562">
        <f>IF(AND(549&lt;$U$9,$W$5),BQ562*1000000-MIN(BR562,999)*1000+BS562-549/100000,-1000000000-549)</f>
        <v/>
      </c>
    </row>
    <row r="563">
      <c r="BN563">
        <f>IF(550&lt;$U$9,INT(550/($U$7*$U$8))+1,1)</f>
        <v/>
      </c>
      <c r="BO563">
        <f>IF(550&lt;$U$9,MOD(INT(550/$U$8),$U$7)+1,1)</f>
        <v/>
      </c>
      <c r="BP563">
        <f>IF(550&lt;$U$9,MOD(550,$U$8)+1,1)</f>
        <v/>
      </c>
      <c r="BQ563">
        <f>IF(550&lt;$U$9,SUMPRODUCT(($D$10:$L$10&lt;&gt;"")*(($D$9:$L$9+INT(($S$12:$AA$12+INDEX($AJ$13:$AR$162,BN563,0)+INDEX($AT$13:$BB$162,BO563,0)+INDEX($BD$13:$BL$162,BP563,0))/100))&gt;=$D$10:$L$10)),0)</f>
        <v/>
      </c>
      <c r="BR563">
        <f>IF(550&lt;$U$9,SUMPRODUCT(($D$10:$L$10&lt;&gt;"")*(($D$10:$L$10-($D$9:$L$9+INT(($S$12:$AA$12+INDEX($AJ$13:$AR$162,BN563,0)+INDEX($AT$13:$BB$162,BO563,0)+INDEX($BD$13:$BL$162,BP563,0))/100)))&gt;0)*($D$10:$L$10-($D$9:$L$9+INT(($S$12:$AA$12+INDEX($AJ$13:$AR$162,BN563,0)+INDEX($AT$13:$BB$162,BO563,0)+INDEX($BD$13:$BL$162,BP563,0))/100)))),0)</f>
        <v/>
      </c>
      <c r="BS563">
        <f>IF(550&lt;$U$9,SUMPRODUCT(($D$9:$L$9+INT(($S$12:$AA$12+INDEX($AJ$13:$AR$162,BN563,0)+INDEX($AT$13:$BB$162,BO563,0)+INDEX($BD$13:$BL$162,BP563,0))/100))),0)</f>
        <v/>
      </c>
      <c r="BT563">
        <f>IF(AND(550&lt;$U$9,$W$5),BQ563*1000000-MIN(BR563,999)*1000+BS563-550/100000,-1000000000-550)</f>
        <v/>
      </c>
    </row>
    <row r="564">
      <c r="BN564">
        <f>IF(551&lt;$U$9,INT(551/($U$7*$U$8))+1,1)</f>
        <v/>
      </c>
      <c r="BO564">
        <f>IF(551&lt;$U$9,MOD(INT(551/$U$8),$U$7)+1,1)</f>
        <v/>
      </c>
      <c r="BP564">
        <f>IF(551&lt;$U$9,MOD(551,$U$8)+1,1)</f>
        <v/>
      </c>
      <c r="BQ564">
        <f>IF(551&lt;$U$9,SUMPRODUCT(($D$10:$L$10&lt;&gt;"")*(($D$9:$L$9+INT(($S$12:$AA$12+INDEX($AJ$13:$AR$162,BN564,0)+INDEX($AT$13:$BB$162,BO564,0)+INDEX($BD$13:$BL$162,BP564,0))/100))&gt;=$D$10:$L$10)),0)</f>
        <v/>
      </c>
      <c r="BR564">
        <f>IF(551&lt;$U$9,SUMPRODUCT(($D$10:$L$10&lt;&gt;"")*(($D$10:$L$10-($D$9:$L$9+INT(($S$12:$AA$12+INDEX($AJ$13:$AR$162,BN564,0)+INDEX($AT$13:$BB$162,BO564,0)+INDEX($BD$13:$BL$162,BP564,0))/100)))&gt;0)*($D$10:$L$10-($D$9:$L$9+INT(($S$12:$AA$12+INDEX($AJ$13:$AR$162,BN564,0)+INDEX($AT$13:$BB$162,BO564,0)+INDEX($BD$13:$BL$162,BP564,0))/100)))),0)</f>
        <v/>
      </c>
      <c r="BS564">
        <f>IF(551&lt;$U$9,SUMPRODUCT(($D$9:$L$9+INT(($S$12:$AA$12+INDEX($AJ$13:$AR$162,BN564,0)+INDEX($AT$13:$BB$162,BO564,0)+INDEX($BD$13:$BL$162,BP564,0))/100))),0)</f>
        <v/>
      </c>
      <c r="BT564">
        <f>IF(AND(551&lt;$U$9,$W$5),BQ564*1000000-MIN(BR564,999)*1000+BS564-551/100000,-1000000000-551)</f>
        <v/>
      </c>
    </row>
    <row r="565">
      <c r="BN565">
        <f>IF(552&lt;$U$9,INT(552/($U$7*$U$8))+1,1)</f>
        <v/>
      </c>
      <c r="BO565">
        <f>IF(552&lt;$U$9,MOD(INT(552/$U$8),$U$7)+1,1)</f>
        <v/>
      </c>
      <c r="BP565">
        <f>IF(552&lt;$U$9,MOD(552,$U$8)+1,1)</f>
        <v/>
      </c>
      <c r="BQ565">
        <f>IF(552&lt;$U$9,SUMPRODUCT(($D$10:$L$10&lt;&gt;"")*(($D$9:$L$9+INT(($S$12:$AA$12+INDEX($AJ$13:$AR$162,BN565,0)+INDEX($AT$13:$BB$162,BO565,0)+INDEX($BD$13:$BL$162,BP565,0))/100))&gt;=$D$10:$L$10)),0)</f>
        <v/>
      </c>
      <c r="BR565">
        <f>IF(552&lt;$U$9,SUMPRODUCT(($D$10:$L$10&lt;&gt;"")*(($D$10:$L$10-($D$9:$L$9+INT(($S$12:$AA$12+INDEX($AJ$13:$AR$162,BN565,0)+INDEX($AT$13:$BB$162,BO565,0)+INDEX($BD$13:$BL$162,BP565,0))/100)))&gt;0)*($D$10:$L$10-($D$9:$L$9+INT(($S$12:$AA$12+INDEX($AJ$13:$AR$162,BN565,0)+INDEX($AT$13:$BB$162,BO565,0)+INDEX($BD$13:$BL$162,BP565,0))/100)))),0)</f>
        <v/>
      </c>
      <c r="BS565">
        <f>IF(552&lt;$U$9,SUMPRODUCT(($D$9:$L$9+INT(($S$12:$AA$12+INDEX($AJ$13:$AR$162,BN565,0)+INDEX($AT$13:$BB$162,BO565,0)+INDEX($BD$13:$BL$162,BP565,0))/100))),0)</f>
        <v/>
      </c>
      <c r="BT565">
        <f>IF(AND(552&lt;$U$9,$W$5),BQ565*1000000-MIN(BR565,999)*1000+BS565-552/100000,-1000000000-552)</f>
        <v/>
      </c>
    </row>
    <row r="566">
      <c r="BN566">
        <f>IF(553&lt;$U$9,INT(553/($U$7*$U$8))+1,1)</f>
        <v/>
      </c>
      <c r="BO566">
        <f>IF(553&lt;$U$9,MOD(INT(553/$U$8),$U$7)+1,1)</f>
        <v/>
      </c>
      <c r="BP566">
        <f>IF(553&lt;$U$9,MOD(553,$U$8)+1,1)</f>
        <v/>
      </c>
      <c r="BQ566">
        <f>IF(553&lt;$U$9,SUMPRODUCT(($D$10:$L$10&lt;&gt;"")*(($D$9:$L$9+INT(($S$12:$AA$12+INDEX($AJ$13:$AR$162,BN566,0)+INDEX($AT$13:$BB$162,BO566,0)+INDEX($BD$13:$BL$162,BP566,0))/100))&gt;=$D$10:$L$10)),0)</f>
        <v/>
      </c>
      <c r="BR566">
        <f>IF(553&lt;$U$9,SUMPRODUCT(($D$10:$L$10&lt;&gt;"")*(($D$10:$L$10-($D$9:$L$9+INT(($S$12:$AA$12+INDEX($AJ$13:$AR$162,BN566,0)+INDEX($AT$13:$BB$162,BO566,0)+INDEX($BD$13:$BL$162,BP566,0))/100)))&gt;0)*($D$10:$L$10-($D$9:$L$9+INT(($S$12:$AA$12+INDEX($AJ$13:$AR$162,BN566,0)+INDEX($AT$13:$BB$162,BO566,0)+INDEX($BD$13:$BL$162,BP566,0))/100)))),0)</f>
        <v/>
      </c>
      <c r="BS566">
        <f>IF(553&lt;$U$9,SUMPRODUCT(($D$9:$L$9+INT(($S$12:$AA$12+INDEX($AJ$13:$AR$162,BN566,0)+INDEX($AT$13:$BB$162,BO566,0)+INDEX($BD$13:$BL$162,BP566,0))/100))),0)</f>
        <v/>
      </c>
      <c r="BT566">
        <f>IF(AND(553&lt;$U$9,$W$5),BQ566*1000000-MIN(BR566,999)*1000+BS566-553/100000,-1000000000-553)</f>
        <v/>
      </c>
    </row>
    <row r="567">
      <c r="BN567">
        <f>IF(554&lt;$U$9,INT(554/($U$7*$U$8))+1,1)</f>
        <v/>
      </c>
      <c r="BO567">
        <f>IF(554&lt;$U$9,MOD(INT(554/$U$8),$U$7)+1,1)</f>
        <v/>
      </c>
      <c r="BP567">
        <f>IF(554&lt;$U$9,MOD(554,$U$8)+1,1)</f>
        <v/>
      </c>
      <c r="BQ567">
        <f>IF(554&lt;$U$9,SUMPRODUCT(($D$10:$L$10&lt;&gt;"")*(($D$9:$L$9+INT(($S$12:$AA$12+INDEX($AJ$13:$AR$162,BN567,0)+INDEX($AT$13:$BB$162,BO567,0)+INDEX($BD$13:$BL$162,BP567,0))/100))&gt;=$D$10:$L$10)),0)</f>
        <v/>
      </c>
      <c r="BR567">
        <f>IF(554&lt;$U$9,SUMPRODUCT(($D$10:$L$10&lt;&gt;"")*(($D$10:$L$10-($D$9:$L$9+INT(($S$12:$AA$12+INDEX($AJ$13:$AR$162,BN567,0)+INDEX($AT$13:$BB$162,BO567,0)+INDEX($BD$13:$BL$162,BP567,0))/100)))&gt;0)*($D$10:$L$10-($D$9:$L$9+INT(($S$12:$AA$12+INDEX($AJ$13:$AR$162,BN567,0)+INDEX($AT$13:$BB$162,BO567,0)+INDEX($BD$13:$BL$162,BP567,0))/100)))),0)</f>
        <v/>
      </c>
      <c r="BS567">
        <f>IF(554&lt;$U$9,SUMPRODUCT(($D$9:$L$9+INT(($S$12:$AA$12+INDEX($AJ$13:$AR$162,BN567,0)+INDEX($AT$13:$BB$162,BO567,0)+INDEX($BD$13:$BL$162,BP567,0))/100))),0)</f>
        <v/>
      </c>
      <c r="BT567">
        <f>IF(AND(554&lt;$U$9,$W$5),BQ567*1000000-MIN(BR567,999)*1000+BS567-554/100000,-1000000000-554)</f>
        <v/>
      </c>
    </row>
    <row r="568">
      <c r="BN568">
        <f>IF(555&lt;$U$9,INT(555/($U$7*$U$8))+1,1)</f>
        <v/>
      </c>
      <c r="BO568">
        <f>IF(555&lt;$U$9,MOD(INT(555/$U$8),$U$7)+1,1)</f>
        <v/>
      </c>
      <c r="BP568">
        <f>IF(555&lt;$U$9,MOD(555,$U$8)+1,1)</f>
        <v/>
      </c>
      <c r="BQ568">
        <f>IF(555&lt;$U$9,SUMPRODUCT(($D$10:$L$10&lt;&gt;"")*(($D$9:$L$9+INT(($S$12:$AA$12+INDEX($AJ$13:$AR$162,BN568,0)+INDEX($AT$13:$BB$162,BO568,0)+INDEX($BD$13:$BL$162,BP568,0))/100))&gt;=$D$10:$L$10)),0)</f>
        <v/>
      </c>
      <c r="BR568">
        <f>IF(555&lt;$U$9,SUMPRODUCT(($D$10:$L$10&lt;&gt;"")*(($D$10:$L$10-($D$9:$L$9+INT(($S$12:$AA$12+INDEX($AJ$13:$AR$162,BN568,0)+INDEX($AT$13:$BB$162,BO568,0)+INDEX($BD$13:$BL$162,BP568,0))/100)))&gt;0)*($D$10:$L$10-($D$9:$L$9+INT(($S$12:$AA$12+INDEX($AJ$13:$AR$162,BN568,0)+INDEX($AT$13:$BB$162,BO568,0)+INDEX($BD$13:$BL$162,BP568,0))/100)))),0)</f>
        <v/>
      </c>
      <c r="BS568">
        <f>IF(555&lt;$U$9,SUMPRODUCT(($D$9:$L$9+INT(($S$12:$AA$12+INDEX($AJ$13:$AR$162,BN568,0)+INDEX($AT$13:$BB$162,BO568,0)+INDEX($BD$13:$BL$162,BP568,0))/100))),0)</f>
        <v/>
      </c>
      <c r="BT568">
        <f>IF(AND(555&lt;$U$9,$W$5),BQ568*1000000-MIN(BR568,999)*1000+BS568-555/100000,-1000000000-555)</f>
        <v/>
      </c>
    </row>
    <row r="569">
      <c r="BN569">
        <f>IF(556&lt;$U$9,INT(556/($U$7*$U$8))+1,1)</f>
        <v/>
      </c>
      <c r="BO569">
        <f>IF(556&lt;$U$9,MOD(INT(556/$U$8),$U$7)+1,1)</f>
        <v/>
      </c>
      <c r="BP569">
        <f>IF(556&lt;$U$9,MOD(556,$U$8)+1,1)</f>
        <v/>
      </c>
      <c r="BQ569">
        <f>IF(556&lt;$U$9,SUMPRODUCT(($D$10:$L$10&lt;&gt;"")*(($D$9:$L$9+INT(($S$12:$AA$12+INDEX($AJ$13:$AR$162,BN569,0)+INDEX($AT$13:$BB$162,BO569,0)+INDEX($BD$13:$BL$162,BP569,0))/100))&gt;=$D$10:$L$10)),0)</f>
        <v/>
      </c>
      <c r="BR569">
        <f>IF(556&lt;$U$9,SUMPRODUCT(($D$10:$L$10&lt;&gt;"")*(($D$10:$L$10-($D$9:$L$9+INT(($S$12:$AA$12+INDEX($AJ$13:$AR$162,BN569,0)+INDEX($AT$13:$BB$162,BO569,0)+INDEX($BD$13:$BL$162,BP569,0))/100)))&gt;0)*($D$10:$L$10-($D$9:$L$9+INT(($S$12:$AA$12+INDEX($AJ$13:$AR$162,BN569,0)+INDEX($AT$13:$BB$162,BO569,0)+INDEX($BD$13:$BL$162,BP569,0))/100)))),0)</f>
        <v/>
      </c>
      <c r="BS569">
        <f>IF(556&lt;$U$9,SUMPRODUCT(($D$9:$L$9+INT(($S$12:$AA$12+INDEX($AJ$13:$AR$162,BN569,0)+INDEX($AT$13:$BB$162,BO569,0)+INDEX($BD$13:$BL$162,BP569,0))/100))),0)</f>
        <v/>
      </c>
      <c r="BT569">
        <f>IF(AND(556&lt;$U$9,$W$5),BQ569*1000000-MIN(BR569,999)*1000+BS569-556/100000,-1000000000-556)</f>
        <v/>
      </c>
    </row>
    <row r="570">
      <c r="BN570">
        <f>IF(557&lt;$U$9,INT(557/($U$7*$U$8))+1,1)</f>
        <v/>
      </c>
      <c r="BO570">
        <f>IF(557&lt;$U$9,MOD(INT(557/$U$8),$U$7)+1,1)</f>
        <v/>
      </c>
      <c r="BP570">
        <f>IF(557&lt;$U$9,MOD(557,$U$8)+1,1)</f>
        <v/>
      </c>
      <c r="BQ570">
        <f>IF(557&lt;$U$9,SUMPRODUCT(($D$10:$L$10&lt;&gt;"")*(($D$9:$L$9+INT(($S$12:$AA$12+INDEX($AJ$13:$AR$162,BN570,0)+INDEX($AT$13:$BB$162,BO570,0)+INDEX($BD$13:$BL$162,BP570,0))/100))&gt;=$D$10:$L$10)),0)</f>
        <v/>
      </c>
      <c r="BR570">
        <f>IF(557&lt;$U$9,SUMPRODUCT(($D$10:$L$10&lt;&gt;"")*(($D$10:$L$10-($D$9:$L$9+INT(($S$12:$AA$12+INDEX($AJ$13:$AR$162,BN570,0)+INDEX($AT$13:$BB$162,BO570,0)+INDEX($BD$13:$BL$162,BP570,0))/100)))&gt;0)*($D$10:$L$10-($D$9:$L$9+INT(($S$12:$AA$12+INDEX($AJ$13:$AR$162,BN570,0)+INDEX($AT$13:$BB$162,BO570,0)+INDEX($BD$13:$BL$162,BP570,0))/100)))),0)</f>
        <v/>
      </c>
      <c r="BS570">
        <f>IF(557&lt;$U$9,SUMPRODUCT(($D$9:$L$9+INT(($S$12:$AA$12+INDEX($AJ$13:$AR$162,BN570,0)+INDEX($AT$13:$BB$162,BO570,0)+INDEX($BD$13:$BL$162,BP570,0))/100))),0)</f>
        <v/>
      </c>
      <c r="BT570">
        <f>IF(AND(557&lt;$U$9,$W$5),BQ570*1000000-MIN(BR570,999)*1000+BS570-557/100000,-1000000000-557)</f>
        <v/>
      </c>
    </row>
    <row r="571">
      <c r="BN571">
        <f>IF(558&lt;$U$9,INT(558/($U$7*$U$8))+1,1)</f>
        <v/>
      </c>
      <c r="BO571">
        <f>IF(558&lt;$U$9,MOD(INT(558/$U$8),$U$7)+1,1)</f>
        <v/>
      </c>
      <c r="BP571">
        <f>IF(558&lt;$U$9,MOD(558,$U$8)+1,1)</f>
        <v/>
      </c>
      <c r="BQ571">
        <f>IF(558&lt;$U$9,SUMPRODUCT(($D$10:$L$10&lt;&gt;"")*(($D$9:$L$9+INT(($S$12:$AA$12+INDEX($AJ$13:$AR$162,BN571,0)+INDEX($AT$13:$BB$162,BO571,0)+INDEX($BD$13:$BL$162,BP571,0))/100))&gt;=$D$10:$L$10)),0)</f>
        <v/>
      </c>
      <c r="BR571">
        <f>IF(558&lt;$U$9,SUMPRODUCT(($D$10:$L$10&lt;&gt;"")*(($D$10:$L$10-($D$9:$L$9+INT(($S$12:$AA$12+INDEX($AJ$13:$AR$162,BN571,0)+INDEX($AT$13:$BB$162,BO571,0)+INDEX($BD$13:$BL$162,BP571,0))/100)))&gt;0)*($D$10:$L$10-($D$9:$L$9+INT(($S$12:$AA$12+INDEX($AJ$13:$AR$162,BN571,0)+INDEX($AT$13:$BB$162,BO571,0)+INDEX($BD$13:$BL$162,BP571,0))/100)))),0)</f>
        <v/>
      </c>
      <c r="BS571">
        <f>IF(558&lt;$U$9,SUMPRODUCT(($D$9:$L$9+INT(($S$12:$AA$12+INDEX($AJ$13:$AR$162,BN571,0)+INDEX($AT$13:$BB$162,BO571,0)+INDEX($BD$13:$BL$162,BP571,0))/100))),0)</f>
        <v/>
      </c>
      <c r="BT571">
        <f>IF(AND(558&lt;$U$9,$W$5),BQ571*1000000-MIN(BR571,999)*1000+BS571-558/100000,-1000000000-558)</f>
        <v/>
      </c>
    </row>
    <row r="572">
      <c r="BN572">
        <f>IF(559&lt;$U$9,INT(559/($U$7*$U$8))+1,1)</f>
        <v/>
      </c>
      <c r="BO572">
        <f>IF(559&lt;$U$9,MOD(INT(559/$U$8),$U$7)+1,1)</f>
        <v/>
      </c>
      <c r="BP572">
        <f>IF(559&lt;$U$9,MOD(559,$U$8)+1,1)</f>
        <v/>
      </c>
      <c r="BQ572">
        <f>IF(559&lt;$U$9,SUMPRODUCT(($D$10:$L$10&lt;&gt;"")*(($D$9:$L$9+INT(($S$12:$AA$12+INDEX($AJ$13:$AR$162,BN572,0)+INDEX($AT$13:$BB$162,BO572,0)+INDEX($BD$13:$BL$162,BP572,0))/100))&gt;=$D$10:$L$10)),0)</f>
        <v/>
      </c>
      <c r="BR572">
        <f>IF(559&lt;$U$9,SUMPRODUCT(($D$10:$L$10&lt;&gt;"")*(($D$10:$L$10-($D$9:$L$9+INT(($S$12:$AA$12+INDEX($AJ$13:$AR$162,BN572,0)+INDEX($AT$13:$BB$162,BO572,0)+INDEX($BD$13:$BL$162,BP572,0))/100)))&gt;0)*($D$10:$L$10-($D$9:$L$9+INT(($S$12:$AA$12+INDEX($AJ$13:$AR$162,BN572,0)+INDEX($AT$13:$BB$162,BO572,0)+INDEX($BD$13:$BL$162,BP572,0))/100)))),0)</f>
        <v/>
      </c>
      <c r="BS572">
        <f>IF(559&lt;$U$9,SUMPRODUCT(($D$9:$L$9+INT(($S$12:$AA$12+INDEX($AJ$13:$AR$162,BN572,0)+INDEX($AT$13:$BB$162,BO572,0)+INDEX($BD$13:$BL$162,BP572,0))/100))),0)</f>
        <v/>
      </c>
      <c r="BT572">
        <f>IF(AND(559&lt;$U$9,$W$5),BQ572*1000000-MIN(BR572,999)*1000+BS572-559/100000,-1000000000-559)</f>
        <v/>
      </c>
    </row>
    <row r="573">
      <c r="BN573">
        <f>IF(560&lt;$U$9,INT(560/($U$7*$U$8))+1,1)</f>
        <v/>
      </c>
      <c r="BO573">
        <f>IF(560&lt;$U$9,MOD(INT(560/$U$8),$U$7)+1,1)</f>
        <v/>
      </c>
      <c r="BP573">
        <f>IF(560&lt;$U$9,MOD(560,$U$8)+1,1)</f>
        <v/>
      </c>
      <c r="BQ573">
        <f>IF(560&lt;$U$9,SUMPRODUCT(($D$10:$L$10&lt;&gt;"")*(($D$9:$L$9+INT(($S$12:$AA$12+INDEX($AJ$13:$AR$162,BN573,0)+INDEX($AT$13:$BB$162,BO573,0)+INDEX($BD$13:$BL$162,BP573,0))/100))&gt;=$D$10:$L$10)),0)</f>
        <v/>
      </c>
      <c r="BR573">
        <f>IF(560&lt;$U$9,SUMPRODUCT(($D$10:$L$10&lt;&gt;"")*(($D$10:$L$10-($D$9:$L$9+INT(($S$12:$AA$12+INDEX($AJ$13:$AR$162,BN573,0)+INDEX($AT$13:$BB$162,BO573,0)+INDEX($BD$13:$BL$162,BP573,0))/100)))&gt;0)*($D$10:$L$10-($D$9:$L$9+INT(($S$12:$AA$12+INDEX($AJ$13:$AR$162,BN573,0)+INDEX($AT$13:$BB$162,BO573,0)+INDEX($BD$13:$BL$162,BP573,0))/100)))),0)</f>
        <v/>
      </c>
      <c r="BS573">
        <f>IF(560&lt;$U$9,SUMPRODUCT(($D$9:$L$9+INT(($S$12:$AA$12+INDEX($AJ$13:$AR$162,BN573,0)+INDEX($AT$13:$BB$162,BO573,0)+INDEX($BD$13:$BL$162,BP573,0))/100))),0)</f>
        <v/>
      </c>
      <c r="BT573">
        <f>IF(AND(560&lt;$U$9,$W$5),BQ573*1000000-MIN(BR573,999)*1000+BS573-560/100000,-1000000000-560)</f>
        <v/>
      </c>
    </row>
    <row r="574">
      <c r="BN574">
        <f>IF(561&lt;$U$9,INT(561/($U$7*$U$8))+1,1)</f>
        <v/>
      </c>
      <c r="BO574">
        <f>IF(561&lt;$U$9,MOD(INT(561/$U$8),$U$7)+1,1)</f>
        <v/>
      </c>
      <c r="BP574">
        <f>IF(561&lt;$U$9,MOD(561,$U$8)+1,1)</f>
        <v/>
      </c>
      <c r="BQ574">
        <f>IF(561&lt;$U$9,SUMPRODUCT(($D$10:$L$10&lt;&gt;"")*(($D$9:$L$9+INT(($S$12:$AA$12+INDEX($AJ$13:$AR$162,BN574,0)+INDEX($AT$13:$BB$162,BO574,0)+INDEX($BD$13:$BL$162,BP574,0))/100))&gt;=$D$10:$L$10)),0)</f>
        <v/>
      </c>
      <c r="BR574">
        <f>IF(561&lt;$U$9,SUMPRODUCT(($D$10:$L$10&lt;&gt;"")*(($D$10:$L$10-($D$9:$L$9+INT(($S$12:$AA$12+INDEX($AJ$13:$AR$162,BN574,0)+INDEX($AT$13:$BB$162,BO574,0)+INDEX($BD$13:$BL$162,BP574,0))/100)))&gt;0)*($D$10:$L$10-($D$9:$L$9+INT(($S$12:$AA$12+INDEX($AJ$13:$AR$162,BN574,0)+INDEX($AT$13:$BB$162,BO574,0)+INDEX($BD$13:$BL$162,BP574,0))/100)))),0)</f>
        <v/>
      </c>
      <c r="BS574">
        <f>IF(561&lt;$U$9,SUMPRODUCT(($D$9:$L$9+INT(($S$12:$AA$12+INDEX($AJ$13:$AR$162,BN574,0)+INDEX($AT$13:$BB$162,BO574,0)+INDEX($BD$13:$BL$162,BP574,0))/100))),0)</f>
        <v/>
      </c>
      <c r="BT574">
        <f>IF(AND(561&lt;$U$9,$W$5),BQ574*1000000-MIN(BR574,999)*1000+BS574-561/100000,-1000000000-561)</f>
        <v/>
      </c>
    </row>
    <row r="575">
      <c r="BN575">
        <f>IF(562&lt;$U$9,INT(562/($U$7*$U$8))+1,1)</f>
        <v/>
      </c>
      <c r="BO575">
        <f>IF(562&lt;$U$9,MOD(INT(562/$U$8),$U$7)+1,1)</f>
        <v/>
      </c>
      <c r="BP575">
        <f>IF(562&lt;$U$9,MOD(562,$U$8)+1,1)</f>
        <v/>
      </c>
      <c r="BQ575">
        <f>IF(562&lt;$U$9,SUMPRODUCT(($D$10:$L$10&lt;&gt;"")*(($D$9:$L$9+INT(($S$12:$AA$12+INDEX($AJ$13:$AR$162,BN575,0)+INDEX($AT$13:$BB$162,BO575,0)+INDEX($BD$13:$BL$162,BP575,0))/100))&gt;=$D$10:$L$10)),0)</f>
        <v/>
      </c>
      <c r="BR575">
        <f>IF(562&lt;$U$9,SUMPRODUCT(($D$10:$L$10&lt;&gt;"")*(($D$10:$L$10-($D$9:$L$9+INT(($S$12:$AA$12+INDEX($AJ$13:$AR$162,BN575,0)+INDEX($AT$13:$BB$162,BO575,0)+INDEX($BD$13:$BL$162,BP575,0))/100)))&gt;0)*($D$10:$L$10-($D$9:$L$9+INT(($S$12:$AA$12+INDEX($AJ$13:$AR$162,BN575,0)+INDEX($AT$13:$BB$162,BO575,0)+INDEX($BD$13:$BL$162,BP575,0))/100)))),0)</f>
        <v/>
      </c>
      <c r="BS575">
        <f>IF(562&lt;$U$9,SUMPRODUCT(($D$9:$L$9+INT(($S$12:$AA$12+INDEX($AJ$13:$AR$162,BN575,0)+INDEX($AT$13:$BB$162,BO575,0)+INDEX($BD$13:$BL$162,BP575,0))/100))),0)</f>
        <v/>
      </c>
      <c r="BT575">
        <f>IF(AND(562&lt;$U$9,$W$5),BQ575*1000000-MIN(BR575,999)*1000+BS575-562/100000,-1000000000-562)</f>
        <v/>
      </c>
    </row>
    <row r="576">
      <c r="BN576">
        <f>IF(563&lt;$U$9,INT(563/($U$7*$U$8))+1,1)</f>
        <v/>
      </c>
      <c r="BO576">
        <f>IF(563&lt;$U$9,MOD(INT(563/$U$8),$U$7)+1,1)</f>
        <v/>
      </c>
      <c r="BP576">
        <f>IF(563&lt;$U$9,MOD(563,$U$8)+1,1)</f>
        <v/>
      </c>
      <c r="BQ576">
        <f>IF(563&lt;$U$9,SUMPRODUCT(($D$10:$L$10&lt;&gt;"")*(($D$9:$L$9+INT(($S$12:$AA$12+INDEX($AJ$13:$AR$162,BN576,0)+INDEX($AT$13:$BB$162,BO576,0)+INDEX($BD$13:$BL$162,BP576,0))/100))&gt;=$D$10:$L$10)),0)</f>
        <v/>
      </c>
      <c r="BR576">
        <f>IF(563&lt;$U$9,SUMPRODUCT(($D$10:$L$10&lt;&gt;"")*(($D$10:$L$10-($D$9:$L$9+INT(($S$12:$AA$12+INDEX($AJ$13:$AR$162,BN576,0)+INDEX($AT$13:$BB$162,BO576,0)+INDEX($BD$13:$BL$162,BP576,0))/100)))&gt;0)*($D$10:$L$10-($D$9:$L$9+INT(($S$12:$AA$12+INDEX($AJ$13:$AR$162,BN576,0)+INDEX($AT$13:$BB$162,BO576,0)+INDEX($BD$13:$BL$162,BP576,0))/100)))),0)</f>
        <v/>
      </c>
      <c r="BS576">
        <f>IF(563&lt;$U$9,SUMPRODUCT(($D$9:$L$9+INT(($S$12:$AA$12+INDEX($AJ$13:$AR$162,BN576,0)+INDEX($AT$13:$BB$162,BO576,0)+INDEX($BD$13:$BL$162,BP576,0))/100))),0)</f>
        <v/>
      </c>
      <c r="BT576">
        <f>IF(AND(563&lt;$U$9,$W$5),BQ576*1000000-MIN(BR576,999)*1000+BS576-563/100000,-1000000000-563)</f>
        <v/>
      </c>
    </row>
    <row r="577">
      <c r="BN577">
        <f>IF(564&lt;$U$9,INT(564/($U$7*$U$8))+1,1)</f>
        <v/>
      </c>
      <c r="BO577">
        <f>IF(564&lt;$U$9,MOD(INT(564/$U$8),$U$7)+1,1)</f>
        <v/>
      </c>
      <c r="BP577">
        <f>IF(564&lt;$U$9,MOD(564,$U$8)+1,1)</f>
        <v/>
      </c>
      <c r="BQ577">
        <f>IF(564&lt;$U$9,SUMPRODUCT(($D$10:$L$10&lt;&gt;"")*(($D$9:$L$9+INT(($S$12:$AA$12+INDEX($AJ$13:$AR$162,BN577,0)+INDEX($AT$13:$BB$162,BO577,0)+INDEX($BD$13:$BL$162,BP577,0))/100))&gt;=$D$10:$L$10)),0)</f>
        <v/>
      </c>
      <c r="BR577">
        <f>IF(564&lt;$U$9,SUMPRODUCT(($D$10:$L$10&lt;&gt;"")*(($D$10:$L$10-($D$9:$L$9+INT(($S$12:$AA$12+INDEX($AJ$13:$AR$162,BN577,0)+INDEX($AT$13:$BB$162,BO577,0)+INDEX($BD$13:$BL$162,BP577,0))/100)))&gt;0)*($D$10:$L$10-($D$9:$L$9+INT(($S$12:$AA$12+INDEX($AJ$13:$AR$162,BN577,0)+INDEX($AT$13:$BB$162,BO577,0)+INDEX($BD$13:$BL$162,BP577,0))/100)))),0)</f>
        <v/>
      </c>
      <c r="BS577">
        <f>IF(564&lt;$U$9,SUMPRODUCT(($D$9:$L$9+INT(($S$12:$AA$12+INDEX($AJ$13:$AR$162,BN577,0)+INDEX($AT$13:$BB$162,BO577,0)+INDEX($BD$13:$BL$162,BP577,0))/100))),0)</f>
        <v/>
      </c>
      <c r="BT577">
        <f>IF(AND(564&lt;$U$9,$W$5),BQ577*1000000-MIN(BR577,999)*1000+BS577-564/100000,-1000000000-564)</f>
        <v/>
      </c>
    </row>
    <row r="578">
      <c r="BN578">
        <f>IF(565&lt;$U$9,INT(565/($U$7*$U$8))+1,1)</f>
        <v/>
      </c>
      <c r="BO578">
        <f>IF(565&lt;$U$9,MOD(INT(565/$U$8),$U$7)+1,1)</f>
        <v/>
      </c>
      <c r="BP578">
        <f>IF(565&lt;$U$9,MOD(565,$U$8)+1,1)</f>
        <v/>
      </c>
      <c r="BQ578">
        <f>IF(565&lt;$U$9,SUMPRODUCT(($D$10:$L$10&lt;&gt;"")*(($D$9:$L$9+INT(($S$12:$AA$12+INDEX($AJ$13:$AR$162,BN578,0)+INDEX($AT$13:$BB$162,BO578,0)+INDEX($BD$13:$BL$162,BP578,0))/100))&gt;=$D$10:$L$10)),0)</f>
        <v/>
      </c>
      <c r="BR578">
        <f>IF(565&lt;$U$9,SUMPRODUCT(($D$10:$L$10&lt;&gt;"")*(($D$10:$L$10-($D$9:$L$9+INT(($S$12:$AA$12+INDEX($AJ$13:$AR$162,BN578,0)+INDEX($AT$13:$BB$162,BO578,0)+INDEX($BD$13:$BL$162,BP578,0))/100)))&gt;0)*($D$10:$L$10-($D$9:$L$9+INT(($S$12:$AA$12+INDEX($AJ$13:$AR$162,BN578,0)+INDEX($AT$13:$BB$162,BO578,0)+INDEX($BD$13:$BL$162,BP578,0))/100)))),0)</f>
        <v/>
      </c>
      <c r="BS578">
        <f>IF(565&lt;$U$9,SUMPRODUCT(($D$9:$L$9+INT(($S$12:$AA$12+INDEX($AJ$13:$AR$162,BN578,0)+INDEX($AT$13:$BB$162,BO578,0)+INDEX($BD$13:$BL$162,BP578,0))/100))),0)</f>
        <v/>
      </c>
      <c r="BT578">
        <f>IF(AND(565&lt;$U$9,$W$5),BQ578*1000000-MIN(BR578,999)*1000+BS578-565/100000,-1000000000-565)</f>
        <v/>
      </c>
    </row>
    <row r="579">
      <c r="BN579">
        <f>IF(566&lt;$U$9,INT(566/($U$7*$U$8))+1,1)</f>
        <v/>
      </c>
      <c r="BO579">
        <f>IF(566&lt;$U$9,MOD(INT(566/$U$8),$U$7)+1,1)</f>
        <v/>
      </c>
      <c r="BP579">
        <f>IF(566&lt;$U$9,MOD(566,$U$8)+1,1)</f>
        <v/>
      </c>
      <c r="BQ579">
        <f>IF(566&lt;$U$9,SUMPRODUCT(($D$10:$L$10&lt;&gt;"")*(($D$9:$L$9+INT(($S$12:$AA$12+INDEX($AJ$13:$AR$162,BN579,0)+INDEX($AT$13:$BB$162,BO579,0)+INDEX($BD$13:$BL$162,BP579,0))/100))&gt;=$D$10:$L$10)),0)</f>
        <v/>
      </c>
      <c r="BR579">
        <f>IF(566&lt;$U$9,SUMPRODUCT(($D$10:$L$10&lt;&gt;"")*(($D$10:$L$10-($D$9:$L$9+INT(($S$12:$AA$12+INDEX($AJ$13:$AR$162,BN579,0)+INDEX($AT$13:$BB$162,BO579,0)+INDEX($BD$13:$BL$162,BP579,0))/100)))&gt;0)*($D$10:$L$10-($D$9:$L$9+INT(($S$12:$AA$12+INDEX($AJ$13:$AR$162,BN579,0)+INDEX($AT$13:$BB$162,BO579,0)+INDEX($BD$13:$BL$162,BP579,0))/100)))),0)</f>
        <v/>
      </c>
      <c r="BS579">
        <f>IF(566&lt;$U$9,SUMPRODUCT(($D$9:$L$9+INT(($S$12:$AA$12+INDEX($AJ$13:$AR$162,BN579,0)+INDEX($AT$13:$BB$162,BO579,0)+INDEX($BD$13:$BL$162,BP579,0))/100))),0)</f>
        <v/>
      </c>
      <c r="BT579">
        <f>IF(AND(566&lt;$U$9,$W$5),BQ579*1000000-MIN(BR579,999)*1000+BS579-566/100000,-1000000000-566)</f>
        <v/>
      </c>
    </row>
    <row r="580">
      <c r="BN580">
        <f>IF(567&lt;$U$9,INT(567/($U$7*$U$8))+1,1)</f>
        <v/>
      </c>
      <c r="BO580">
        <f>IF(567&lt;$U$9,MOD(INT(567/$U$8),$U$7)+1,1)</f>
        <v/>
      </c>
      <c r="BP580">
        <f>IF(567&lt;$U$9,MOD(567,$U$8)+1,1)</f>
        <v/>
      </c>
      <c r="BQ580">
        <f>IF(567&lt;$U$9,SUMPRODUCT(($D$10:$L$10&lt;&gt;"")*(($D$9:$L$9+INT(($S$12:$AA$12+INDEX($AJ$13:$AR$162,BN580,0)+INDEX($AT$13:$BB$162,BO580,0)+INDEX($BD$13:$BL$162,BP580,0))/100))&gt;=$D$10:$L$10)),0)</f>
        <v/>
      </c>
      <c r="BR580">
        <f>IF(567&lt;$U$9,SUMPRODUCT(($D$10:$L$10&lt;&gt;"")*(($D$10:$L$10-($D$9:$L$9+INT(($S$12:$AA$12+INDEX($AJ$13:$AR$162,BN580,0)+INDEX($AT$13:$BB$162,BO580,0)+INDEX($BD$13:$BL$162,BP580,0))/100)))&gt;0)*($D$10:$L$10-($D$9:$L$9+INT(($S$12:$AA$12+INDEX($AJ$13:$AR$162,BN580,0)+INDEX($AT$13:$BB$162,BO580,0)+INDEX($BD$13:$BL$162,BP580,0))/100)))),0)</f>
        <v/>
      </c>
      <c r="BS580">
        <f>IF(567&lt;$U$9,SUMPRODUCT(($D$9:$L$9+INT(($S$12:$AA$12+INDEX($AJ$13:$AR$162,BN580,0)+INDEX($AT$13:$BB$162,BO580,0)+INDEX($BD$13:$BL$162,BP580,0))/100))),0)</f>
        <v/>
      </c>
      <c r="BT580">
        <f>IF(AND(567&lt;$U$9,$W$5),BQ580*1000000-MIN(BR580,999)*1000+BS580-567/100000,-1000000000-567)</f>
        <v/>
      </c>
    </row>
    <row r="581">
      <c r="BN581">
        <f>IF(568&lt;$U$9,INT(568/($U$7*$U$8))+1,1)</f>
        <v/>
      </c>
      <c r="BO581">
        <f>IF(568&lt;$U$9,MOD(INT(568/$U$8),$U$7)+1,1)</f>
        <v/>
      </c>
      <c r="BP581">
        <f>IF(568&lt;$U$9,MOD(568,$U$8)+1,1)</f>
        <v/>
      </c>
      <c r="BQ581">
        <f>IF(568&lt;$U$9,SUMPRODUCT(($D$10:$L$10&lt;&gt;"")*(($D$9:$L$9+INT(($S$12:$AA$12+INDEX($AJ$13:$AR$162,BN581,0)+INDEX($AT$13:$BB$162,BO581,0)+INDEX($BD$13:$BL$162,BP581,0))/100))&gt;=$D$10:$L$10)),0)</f>
        <v/>
      </c>
      <c r="BR581">
        <f>IF(568&lt;$U$9,SUMPRODUCT(($D$10:$L$10&lt;&gt;"")*(($D$10:$L$10-($D$9:$L$9+INT(($S$12:$AA$12+INDEX($AJ$13:$AR$162,BN581,0)+INDEX($AT$13:$BB$162,BO581,0)+INDEX($BD$13:$BL$162,BP581,0))/100)))&gt;0)*($D$10:$L$10-($D$9:$L$9+INT(($S$12:$AA$12+INDEX($AJ$13:$AR$162,BN581,0)+INDEX($AT$13:$BB$162,BO581,0)+INDEX($BD$13:$BL$162,BP581,0))/100)))),0)</f>
        <v/>
      </c>
      <c r="BS581">
        <f>IF(568&lt;$U$9,SUMPRODUCT(($D$9:$L$9+INT(($S$12:$AA$12+INDEX($AJ$13:$AR$162,BN581,0)+INDEX($AT$13:$BB$162,BO581,0)+INDEX($BD$13:$BL$162,BP581,0))/100))),0)</f>
        <v/>
      </c>
      <c r="BT581">
        <f>IF(AND(568&lt;$U$9,$W$5),BQ581*1000000-MIN(BR581,999)*1000+BS581-568/100000,-1000000000-568)</f>
        <v/>
      </c>
    </row>
    <row r="582">
      <c r="BN582">
        <f>IF(569&lt;$U$9,INT(569/($U$7*$U$8))+1,1)</f>
        <v/>
      </c>
      <c r="BO582">
        <f>IF(569&lt;$U$9,MOD(INT(569/$U$8),$U$7)+1,1)</f>
        <v/>
      </c>
      <c r="BP582">
        <f>IF(569&lt;$U$9,MOD(569,$U$8)+1,1)</f>
        <v/>
      </c>
      <c r="BQ582">
        <f>IF(569&lt;$U$9,SUMPRODUCT(($D$10:$L$10&lt;&gt;"")*(($D$9:$L$9+INT(($S$12:$AA$12+INDEX($AJ$13:$AR$162,BN582,0)+INDEX($AT$13:$BB$162,BO582,0)+INDEX($BD$13:$BL$162,BP582,0))/100))&gt;=$D$10:$L$10)),0)</f>
        <v/>
      </c>
      <c r="BR582">
        <f>IF(569&lt;$U$9,SUMPRODUCT(($D$10:$L$10&lt;&gt;"")*(($D$10:$L$10-($D$9:$L$9+INT(($S$12:$AA$12+INDEX($AJ$13:$AR$162,BN582,0)+INDEX($AT$13:$BB$162,BO582,0)+INDEX($BD$13:$BL$162,BP582,0))/100)))&gt;0)*($D$10:$L$10-($D$9:$L$9+INT(($S$12:$AA$12+INDEX($AJ$13:$AR$162,BN582,0)+INDEX($AT$13:$BB$162,BO582,0)+INDEX($BD$13:$BL$162,BP582,0))/100)))),0)</f>
        <v/>
      </c>
      <c r="BS582">
        <f>IF(569&lt;$U$9,SUMPRODUCT(($D$9:$L$9+INT(($S$12:$AA$12+INDEX($AJ$13:$AR$162,BN582,0)+INDEX($AT$13:$BB$162,BO582,0)+INDEX($BD$13:$BL$162,BP582,0))/100))),0)</f>
        <v/>
      </c>
      <c r="BT582">
        <f>IF(AND(569&lt;$U$9,$W$5),BQ582*1000000-MIN(BR582,999)*1000+BS582-569/100000,-1000000000-569)</f>
        <v/>
      </c>
    </row>
    <row r="583">
      <c r="BN583">
        <f>IF(570&lt;$U$9,INT(570/($U$7*$U$8))+1,1)</f>
        <v/>
      </c>
      <c r="BO583">
        <f>IF(570&lt;$U$9,MOD(INT(570/$U$8),$U$7)+1,1)</f>
        <v/>
      </c>
      <c r="BP583">
        <f>IF(570&lt;$U$9,MOD(570,$U$8)+1,1)</f>
        <v/>
      </c>
      <c r="BQ583">
        <f>IF(570&lt;$U$9,SUMPRODUCT(($D$10:$L$10&lt;&gt;"")*(($D$9:$L$9+INT(($S$12:$AA$12+INDEX($AJ$13:$AR$162,BN583,0)+INDEX($AT$13:$BB$162,BO583,0)+INDEX($BD$13:$BL$162,BP583,0))/100))&gt;=$D$10:$L$10)),0)</f>
        <v/>
      </c>
      <c r="BR583">
        <f>IF(570&lt;$U$9,SUMPRODUCT(($D$10:$L$10&lt;&gt;"")*(($D$10:$L$10-($D$9:$L$9+INT(($S$12:$AA$12+INDEX($AJ$13:$AR$162,BN583,0)+INDEX($AT$13:$BB$162,BO583,0)+INDEX($BD$13:$BL$162,BP583,0))/100)))&gt;0)*($D$10:$L$10-($D$9:$L$9+INT(($S$12:$AA$12+INDEX($AJ$13:$AR$162,BN583,0)+INDEX($AT$13:$BB$162,BO583,0)+INDEX($BD$13:$BL$162,BP583,0))/100)))),0)</f>
        <v/>
      </c>
      <c r="BS583">
        <f>IF(570&lt;$U$9,SUMPRODUCT(($D$9:$L$9+INT(($S$12:$AA$12+INDEX($AJ$13:$AR$162,BN583,0)+INDEX($AT$13:$BB$162,BO583,0)+INDEX($BD$13:$BL$162,BP583,0))/100))),0)</f>
        <v/>
      </c>
      <c r="BT583">
        <f>IF(AND(570&lt;$U$9,$W$5),BQ583*1000000-MIN(BR583,999)*1000+BS583-570/100000,-1000000000-570)</f>
        <v/>
      </c>
    </row>
    <row r="584">
      <c r="BN584">
        <f>IF(571&lt;$U$9,INT(571/($U$7*$U$8))+1,1)</f>
        <v/>
      </c>
      <c r="BO584">
        <f>IF(571&lt;$U$9,MOD(INT(571/$U$8),$U$7)+1,1)</f>
        <v/>
      </c>
      <c r="BP584">
        <f>IF(571&lt;$U$9,MOD(571,$U$8)+1,1)</f>
        <v/>
      </c>
      <c r="BQ584">
        <f>IF(571&lt;$U$9,SUMPRODUCT(($D$10:$L$10&lt;&gt;"")*(($D$9:$L$9+INT(($S$12:$AA$12+INDEX($AJ$13:$AR$162,BN584,0)+INDEX($AT$13:$BB$162,BO584,0)+INDEX($BD$13:$BL$162,BP584,0))/100))&gt;=$D$10:$L$10)),0)</f>
        <v/>
      </c>
      <c r="BR584">
        <f>IF(571&lt;$U$9,SUMPRODUCT(($D$10:$L$10&lt;&gt;"")*(($D$10:$L$10-($D$9:$L$9+INT(($S$12:$AA$12+INDEX($AJ$13:$AR$162,BN584,0)+INDEX($AT$13:$BB$162,BO584,0)+INDEX($BD$13:$BL$162,BP584,0))/100)))&gt;0)*($D$10:$L$10-($D$9:$L$9+INT(($S$12:$AA$12+INDEX($AJ$13:$AR$162,BN584,0)+INDEX($AT$13:$BB$162,BO584,0)+INDEX($BD$13:$BL$162,BP584,0))/100)))),0)</f>
        <v/>
      </c>
      <c r="BS584">
        <f>IF(571&lt;$U$9,SUMPRODUCT(($D$9:$L$9+INT(($S$12:$AA$12+INDEX($AJ$13:$AR$162,BN584,0)+INDEX($AT$13:$BB$162,BO584,0)+INDEX($BD$13:$BL$162,BP584,0))/100))),0)</f>
        <v/>
      </c>
      <c r="BT584">
        <f>IF(AND(571&lt;$U$9,$W$5),BQ584*1000000-MIN(BR584,999)*1000+BS584-571/100000,-1000000000-571)</f>
        <v/>
      </c>
    </row>
    <row r="585">
      <c r="BN585">
        <f>IF(572&lt;$U$9,INT(572/($U$7*$U$8))+1,1)</f>
        <v/>
      </c>
      <c r="BO585">
        <f>IF(572&lt;$U$9,MOD(INT(572/$U$8),$U$7)+1,1)</f>
        <v/>
      </c>
      <c r="BP585">
        <f>IF(572&lt;$U$9,MOD(572,$U$8)+1,1)</f>
        <v/>
      </c>
      <c r="BQ585">
        <f>IF(572&lt;$U$9,SUMPRODUCT(($D$10:$L$10&lt;&gt;"")*(($D$9:$L$9+INT(($S$12:$AA$12+INDEX($AJ$13:$AR$162,BN585,0)+INDEX($AT$13:$BB$162,BO585,0)+INDEX($BD$13:$BL$162,BP585,0))/100))&gt;=$D$10:$L$10)),0)</f>
        <v/>
      </c>
      <c r="BR585">
        <f>IF(572&lt;$U$9,SUMPRODUCT(($D$10:$L$10&lt;&gt;"")*(($D$10:$L$10-($D$9:$L$9+INT(($S$12:$AA$12+INDEX($AJ$13:$AR$162,BN585,0)+INDEX($AT$13:$BB$162,BO585,0)+INDEX($BD$13:$BL$162,BP585,0))/100)))&gt;0)*($D$10:$L$10-($D$9:$L$9+INT(($S$12:$AA$12+INDEX($AJ$13:$AR$162,BN585,0)+INDEX($AT$13:$BB$162,BO585,0)+INDEX($BD$13:$BL$162,BP585,0))/100)))),0)</f>
        <v/>
      </c>
      <c r="BS585">
        <f>IF(572&lt;$U$9,SUMPRODUCT(($D$9:$L$9+INT(($S$12:$AA$12+INDEX($AJ$13:$AR$162,BN585,0)+INDEX($AT$13:$BB$162,BO585,0)+INDEX($BD$13:$BL$162,BP585,0))/100))),0)</f>
        <v/>
      </c>
      <c r="BT585">
        <f>IF(AND(572&lt;$U$9,$W$5),BQ585*1000000-MIN(BR585,999)*1000+BS585-572/100000,-1000000000-572)</f>
        <v/>
      </c>
    </row>
    <row r="586">
      <c r="BN586">
        <f>IF(573&lt;$U$9,INT(573/($U$7*$U$8))+1,1)</f>
        <v/>
      </c>
      <c r="BO586">
        <f>IF(573&lt;$U$9,MOD(INT(573/$U$8),$U$7)+1,1)</f>
        <v/>
      </c>
      <c r="BP586">
        <f>IF(573&lt;$U$9,MOD(573,$U$8)+1,1)</f>
        <v/>
      </c>
      <c r="BQ586">
        <f>IF(573&lt;$U$9,SUMPRODUCT(($D$10:$L$10&lt;&gt;"")*(($D$9:$L$9+INT(($S$12:$AA$12+INDEX($AJ$13:$AR$162,BN586,0)+INDEX($AT$13:$BB$162,BO586,0)+INDEX($BD$13:$BL$162,BP586,0))/100))&gt;=$D$10:$L$10)),0)</f>
        <v/>
      </c>
      <c r="BR586">
        <f>IF(573&lt;$U$9,SUMPRODUCT(($D$10:$L$10&lt;&gt;"")*(($D$10:$L$10-($D$9:$L$9+INT(($S$12:$AA$12+INDEX($AJ$13:$AR$162,BN586,0)+INDEX($AT$13:$BB$162,BO586,0)+INDEX($BD$13:$BL$162,BP586,0))/100)))&gt;0)*($D$10:$L$10-($D$9:$L$9+INT(($S$12:$AA$12+INDEX($AJ$13:$AR$162,BN586,0)+INDEX($AT$13:$BB$162,BO586,0)+INDEX($BD$13:$BL$162,BP586,0))/100)))),0)</f>
        <v/>
      </c>
      <c r="BS586">
        <f>IF(573&lt;$U$9,SUMPRODUCT(($D$9:$L$9+INT(($S$12:$AA$12+INDEX($AJ$13:$AR$162,BN586,0)+INDEX($AT$13:$BB$162,BO586,0)+INDEX($BD$13:$BL$162,BP586,0))/100))),0)</f>
        <v/>
      </c>
      <c r="BT586">
        <f>IF(AND(573&lt;$U$9,$W$5),BQ586*1000000-MIN(BR586,999)*1000+BS586-573/100000,-1000000000-573)</f>
        <v/>
      </c>
    </row>
    <row r="587">
      <c r="BN587">
        <f>IF(574&lt;$U$9,INT(574/($U$7*$U$8))+1,1)</f>
        <v/>
      </c>
      <c r="BO587">
        <f>IF(574&lt;$U$9,MOD(INT(574/$U$8),$U$7)+1,1)</f>
        <v/>
      </c>
      <c r="BP587">
        <f>IF(574&lt;$U$9,MOD(574,$U$8)+1,1)</f>
        <v/>
      </c>
      <c r="BQ587">
        <f>IF(574&lt;$U$9,SUMPRODUCT(($D$10:$L$10&lt;&gt;"")*(($D$9:$L$9+INT(($S$12:$AA$12+INDEX($AJ$13:$AR$162,BN587,0)+INDEX($AT$13:$BB$162,BO587,0)+INDEX($BD$13:$BL$162,BP587,0))/100))&gt;=$D$10:$L$10)),0)</f>
        <v/>
      </c>
      <c r="BR587">
        <f>IF(574&lt;$U$9,SUMPRODUCT(($D$10:$L$10&lt;&gt;"")*(($D$10:$L$10-($D$9:$L$9+INT(($S$12:$AA$12+INDEX($AJ$13:$AR$162,BN587,0)+INDEX($AT$13:$BB$162,BO587,0)+INDEX($BD$13:$BL$162,BP587,0))/100)))&gt;0)*($D$10:$L$10-($D$9:$L$9+INT(($S$12:$AA$12+INDEX($AJ$13:$AR$162,BN587,0)+INDEX($AT$13:$BB$162,BO587,0)+INDEX($BD$13:$BL$162,BP587,0))/100)))),0)</f>
        <v/>
      </c>
      <c r="BS587">
        <f>IF(574&lt;$U$9,SUMPRODUCT(($D$9:$L$9+INT(($S$12:$AA$12+INDEX($AJ$13:$AR$162,BN587,0)+INDEX($AT$13:$BB$162,BO587,0)+INDEX($BD$13:$BL$162,BP587,0))/100))),0)</f>
        <v/>
      </c>
      <c r="BT587">
        <f>IF(AND(574&lt;$U$9,$W$5),BQ587*1000000-MIN(BR587,999)*1000+BS587-574/100000,-1000000000-574)</f>
        <v/>
      </c>
    </row>
    <row r="588">
      <c r="BN588">
        <f>IF(575&lt;$U$9,INT(575/($U$7*$U$8))+1,1)</f>
        <v/>
      </c>
      <c r="BO588">
        <f>IF(575&lt;$U$9,MOD(INT(575/$U$8),$U$7)+1,1)</f>
        <v/>
      </c>
      <c r="BP588">
        <f>IF(575&lt;$U$9,MOD(575,$U$8)+1,1)</f>
        <v/>
      </c>
      <c r="BQ588">
        <f>IF(575&lt;$U$9,SUMPRODUCT(($D$10:$L$10&lt;&gt;"")*(($D$9:$L$9+INT(($S$12:$AA$12+INDEX($AJ$13:$AR$162,BN588,0)+INDEX($AT$13:$BB$162,BO588,0)+INDEX($BD$13:$BL$162,BP588,0))/100))&gt;=$D$10:$L$10)),0)</f>
        <v/>
      </c>
      <c r="BR588">
        <f>IF(575&lt;$U$9,SUMPRODUCT(($D$10:$L$10&lt;&gt;"")*(($D$10:$L$10-($D$9:$L$9+INT(($S$12:$AA$12+INDEX($AJ$13:$AR$162,BN588,0)+INDEX($AT$13:$BB$162,BO588,0)+INDEX($BD$13:$BL$162,BP588,0))/100)))&gt;0)*($D$10:$L$10-($D$9:$L$9+INT(($S$12:$AA$12+INDEX($AJ$13:$AR$162,BN588,0)+INDEX($AT$13:$BB$162,BO588,0)+INDEX($BD$13:$BL$162,BP588,0))/100)))),0)</f>
        <v/>
      </c>
      <c r="BS588">
        <f>IF(575&lt;$U$9,SUMPRODUCT(($D$9:$L$9+INT(($S$12:$AA$12+INDEX($AJ$13:$AR$162,BN588,0)+INDEX($AT$13:$BB$162,BO588,0)+INDEX($BD$13:$BL$162,BP588,0))/100))),0)</f>
        <v/>
      </c>
      <c r="BT588">
        <f>IF(AND(575&lt;$U$9,$W$5),BQ588*1000000-MIN(BR588,999)*1000+BS588-575/100000,-1000000000-575)</f>
        <v/>
      </c>
    </row>
    <row r="589">
      <c r="BN589">
        <f>IF(576&lt;$U$9,INT(576/($U$7*$U$8))+1,1)</f>
        <v/>
      </c>
      <c r="BO589">
        <f>IF(576&lt;$U$9,MOD(INT(576/$U$8),$U$7)+1,1)</f>
        <v/>
      </c>
      <c r="BP589">
        <f>IF(576&lt;$U$9,MOD(576,$U$8)+1,1)</f>
        <v/>
      </c>
      <c r="BQ589">
        <f>IF(576&lt;$U$9,SUMPRODUCT(($D$10:$L$10&lt;&gt;"")*(($D$9:$L$9+INT(($S$12:$AA$12+INDEX($AJ$13:$AR$162,BN589,0)+INDEX($AT$13:$BB$162,BO589,0)+INDEX($BD$13:$BL$162,BP589,0))/100))&gt;=$D$10:$L$10)),0)</f>
        <v/>
      </c>
      <c r="BR589">
        <f>IF(576&lt;$U$9,SUMPRODUCT(($D$10:$L$10&lt;&gt;"")*(($D$10:$L$10-($D$9:$L$9+INT(($S$12:$AA$12+INDEX($AJ$13:$AR$162,BN589,0)+INDEX($AT$13:$BB$162,BO589,0)+INDEX($BD$13:$BL$162,BP589,0))/100)))&gt;0)*($D$10:$L$10-($D$9:$L$9+INT(($S$12:$AA$12+INDEX($AJ$13:$AR$162,BN589,0)+INDEX($AT$13:$BB$162,BO589,0)+INDEX($BD$13:$BL$162,BP589,0))/100)))),0)</f>
        <v/>
      </c>
      <c r="BS589">
        <f>IF(576&lt;$U$9,SUMPRODUCT(($D$9:$L$9+INT(($S$12:$AA$12+INDEX($AJ$13:$AR$162,BN589,0)+INDEX($AT$13:$BB$162,BO589,0)+INDEX($BD$13:$BL$162,BP589,0))/100))),0)</f>
        <v/>
      </c>
      <c r="BT589">
        <f>IF(AND(576&lt;$U$9,$W$5),BQ589*1000000-MIN(BR589,999)*1000+BS589-576/100000,-1000000000-576)</f>
        <v/>
      </c>
    </row>
    <row r="590">
      <c r="BN590">
        <f>IF(577&lt;$U$9,INT(577/($U$7*$U$8))+1,1)</f>
        <v/>
      </c>
      <c r="BO590">
        <f>IF(577&lt;$U$9,MOD(INT(577/$U$8),$U$7)+1,1)</f>
        <v/>
      </c>
      <c r="BP590">
        <f>IF(577&lt;$U$9,MOD(577,$U$8)+1,1)</f>
        <v/>
      </c>
      <c r="BQ590">
        <f>IF(577&lt;$U$9,SUMPRODUCT(($D$10:$L$10&lt;&gt;"")*(($D$9:$L$9+INT(($S$12:$AA$12+INDEX($AJ$13:$AR$162,BN590,0)+INDEX($AT$13:$BB$162,BO590,0)+INDEX($BD$13:$BL$162,BP590,0))/100))&gt;=$D$10:$L$10)),0)</f>
        <v/>
      </c>
      <c r="BR590">
        <f>IF(577&lt;$U$9,SUMPRODUCT(($D$10:$L$10&lt;&gt;"")*(($D$10:$L$10-($D$9:$L$9+INT(($S$12:$AA$12+INDEX($AJ$13:$AR$162,BN590,0)+INDEX($AT$13:$BB$162,BO590,0)+INDEX($BD$13:$BL$162,BP590,0))/100)))&gt;0)*($D$10:$L$10-($D$9:$L$9+INT(($S$12:$AA$12+INDEX($AJ$13:$AR$162,BN590,0)+INDEX($AT$13:$BB$162,BO590,0)+INDEX($BD$13:$BL$162,BP590,0))/100)))),0)</f>
        <v/>
      </c>
      <c r="BS590">
        <f>IF(577&lt;$U$9,SUMPRODUCT(($D$9:$L$9+INT(($S$12:$AA$12+INDEX($AJ$13:$AR$162,BN590,0)+INDEX($AT$13:$BB$162,BO590,0)+INDEX($BD$13:$BL$162,BP590,0))/100))),0)</f>
        <v/>
      </c>
      <c r="BT590">
        <f>IF(AND(577&lt;$U$9,$W$5),BQ590*1000000-MIN(BR590,999)*1000+BS590-577/100000,-1000000000-577)</f>
        <v/>
      </c>
    </row>
    <row r="591">
      <c r="BN591">
        <f>IF(578&lt;$U$9,INT(578/($U$7*$U$8))+1,1)</f>
        <v/>
      </c>
      <c r="BO591">
        <f>IF(578&lt;$U$9,MOD(INT(578/$U$8),$U$7)+1,1)</f>
        <v/>
      </c>
      <c r="BP591">
        <f>IF(578&lt;$U$9,MOD(578,$U$8)+1,1)</f>
        <v/>
      </c>
      <c r="BQ591">
        <f>IF(578&lt;$U$9,SUMPRODUCT(($D$10:$L$10&lt;&gt;"")*(($D$9:$L$9+INT(($S$12:$AA$12+INDEX($AJ$13:$AR$162,BN591,0)+INDEX($AT$13:$BB$162,BO591,0)+INDEX($BD$13:$BL$162,BP591,0))/100))&gt;=$D$10:$L$10)),0)</f>
        <v/>
      </c>
      <c r="BR591">
        <f>IF(578&lt;$U$9,SUMPRODUCT(($D$10:$L$10&lt;&gt;"")*(($D$10:$L$10-($D$9:$L$9+INT(($S$12:$AA$12+INDEX($AJ$13:$AR$162,BN591,0)+INDEX($AT$13:$BB$162,BO591,0)+INDEX($BD$13:$BL$162,BP591,0))/100)))&gt;0)*($D$10:$L$10-($D$9:$L$9+INT(($S$12:$AA$12+INDEX($AJ$13:$AR$162,BN591,0)+INDEX($AT$13:$BB$162,BO591,0)+INDEX($BD$13:$BL$162,BP591,0))/100)))),0)</f>
        <v/>
      </c>
      <c r="BS591">
        <f>IF(578&lt;$U$9,SUMPRODUCT(($D$9:$L$9+INT(($S$12:$AA$12+INDEX($AJ$13:$AR$162,BN591,0)+INDEX($AT$13:$BB$162,BO591,0)+INDEX($BD$13:$BL$162,BP591,0))/100))),0)</f>
        <v/>
      </c>
      <c r="BT591">
        <f>IF(AND(578&lt;$U$9,$W$5),BQ591*1000000-MIN(BR591,999)*1000+BS591-578/100000,-1000000000-578)</f>
        <v/>
      </c>
    </row>
    <row r="592">
      <c r="BN592">
        <f>IF(579&lt;$U$9,INT(579/($U$7*$U$8))+1,1)</f>
        <v/>
      </c>
      <c r="BO592">
        <f>IF(579&lt;$U$9,MOD(INT(579/$U$8),$U$7)+1,1)</f>
        <v/>
      </c>
      <c r="BP592">
        <f>IF(579&lt;$U$9,MOD(579,$U$8)+1,1)</f>
        <v/>
      </c>
      <c r="BQ592">
        <f>IF(579&lt;$U$9,SUMPRODUCT(($D$10:$L$10&lt;&gt;"")*(($D$9:$L$9+INT(($S$12:$AA$12+INDEX($AJ$13:$AR$162,BN592,0)+INDEX($AT$13:$BB$162,BO592,0)+INDEX($BD$13:$BL$162,BP592,0))/100))&gt;=$D$10:$L$10)),0)</f>
        <v/>
      </c>
      <c r="BR592">
        <f>IF(579&lt;$U$9,SUMPRODUCT(($D$10:$L$10&lt;&gt;"")*(($D$10:$L$10-($D$9:$L$9+INT(($S$12:$AA$12+INDEX($AJ$13:$AR$162,BN592,0)+INDEX($AT$13:$BB$162,BO592,0)+INDEX($BD$13:$BL$162,BP592,0))/100)))&gt;0)*($D$10:$L$10-($D$9:$L$9+INT(($S$12:$AA$12+INDEX($AJ$13:$AR$162,BN592,0)+INDEX($AT$13:$BB$162,BO592,0)+INDEX($BD$13:$BL$162,BP592,0))/100)))),0)</f>
        <v/>
      </c>
      <c r="BS592">
        <f>IF(579&lt;$U$9,SUMPRODUCT(($D$9:$L$9+INT(($S$12:$AA$12+INDEX($AJ$13:$AR$162,BN592,0)+INDEX($AT$13:$BB$162,BO592,0)+INDEX($BD$13:$BL$162,BP592,0))/100))),0)</f>
        <v/>
      </c>
      <c r="BT592">
        <f>IF(AND(579&lt;$U$9,$W$5),BQ592*1000000-MIN(BR592,999)*1000+BS592-579/100000,-1000000000-579)</f>
        <v/>
      </c>
    </row>
    <row r="593">
      <c r="BN593">
        <f>IF(580&lt;$U$9,INT(580/($U$7*$U$8))+1,1)</f>
        <v/>
      </c>
      <c r="BO593">
        <f>IF(580&lt;$U$9,MOD(INT(580/$U$8),$U$7)+1,1)</f>
        <v/>
      </c>
      <c r="BP593">
        <f>IF(580&lt;$U$9,MOD(580,$U$8)+1,1)</f>
        <v/>
      </c>
      <c r="BQ593">
        <f>IF(580&lt;$U$9,SUMPRODUCT(($D$10:$L$10&lt;&gt;"")*(($D$9:$L$9+INT(($S$12:$AA$12+INDEX($AJ$13:$AR$162,BN593,0)+INDEX($AT$13:$BB$162,BO593,0)+INDEX($BD$13:$BL$162,BP593,0))/100))&gt;=$D$10:$L$10)),0)</f>
        <v/>
      </c>
      <c r="BR593">
        <f>IF(580&lt;$U$9,SUMPRODUCT(($D$10:$L$10&lt;&gt;"")*(($D$10:$L$10-($D$9:$L$9+INT(($S$12:$AA$12+INDEX($AJ$13:$AR$162,BN593,0)+INDEX($AT$13:$BB$162,BO593,0)+INDEX($BD$13:$BL$162,BP593,0))/100)))&gt;0)*($D$10:$L$10-($D$9:$L$9+INT(($S$12:$AA$12+INDEX($AJ$13:$AR$162,BN593,0)+INDEX($AT$13:$BB$162,BO593,0)+INDEX($BD$13:$BL$162,BP593,0))/100)))),0)</f>
        <v/>
      </c>
      <c r="BS593">
        <f>IF(580&lt;$U$9,SUMPRODUCT(($D$9:$L$9+INT(($S$12:$AA$12+INDEX($AJ$13:$AR$162,BN593,0)+INDEX($AT$13:$BB$162,BO593,0)+INDEX($BD$13:$BL$162,BP593,0))/100))),0)</f>
        <v/>
      </c>
      <c r="BT593">
        <f>IF(AND(580&lt;$U$9,$W$5),BQ593*1000000-MIN(BR593,999)*1000+BS593-580/100000,-1000000000-580)</f>
        <v/>
      </c>
    </row>
    <row r="594">
      <c r="BN594">
        <f>IF(581&lt;$U$9,INT(581/($U$7*$U$8))+1,1)</f>
        <v/>
      </c>
      <c r="BO594">
        <f>IF(581&lt;$U$9,MOD(INT(581/$U$8),$U$7)+1,1)</f>
        <v/>
      </c>
      <c r="BP594">
        <f>IF(581&lt;$U$9,MOD(581,$U$8)+1,1)</f>
        <v/>
      </c>
      <c r="BQ594">
        <f>IF(581&lt;$U$9,SUMPRODUCT(($D$10:$L$10&lt;&gt;"")*(($D$9:$L$9+INT(($S$12:$AA$12+INDEX($AJ$13:$AR$162,BN594,0)+INDEX($AT$13:$BB$162,BO594,0)+INDEX($BD$13:$BL$162,BP594,0))/100))&gt;=$D$10:$L$10)),0)</f>
        <v/>
      </c>
      <c r="BR594">
        <f>IF(581&lt;$U$9,SUMPRODUCT(($D$10:$L$10&lt;&gt;"")*(($D$10:$L$10-($D$9:$L$9+INT(($S$12:$AA$12+INDEX($AJ$13:$AR$162,BN594,0)+INDEX($AT$13:$BB$162,BO594,0)+INDEX($BD$13:$BL$162,BP594,0))/100)))&gt;0)*($D$10:$L$10-($D$9:$L$9+INT(($S$12:$AA$12+INDEX($AJ$13:$AR$162,BN594,0)+INDEX($AT$13:$BB$162,BO594,0)+INDEX($BD$13:$BL$162,BP594,0))/100)))),0)</f>
        <v/>
      </c>
      <c r="BS594">
        <f>IF(581&lt;$U$9,SUMPRODUCT(($D$9:$L$9+INT(($S$12:$AA$12+INDEX($AJ$13:$AR$162,BN594,0)+INDEX($AT$13:$BB$162,BO594,0)+INDEX($BD$13:$BL$162,BP594,0))/100))),0)</f>
        <v/>
      </c>
      <c r="BT594">
        <f>IF(AND(581&lt;$U$9,$W$5),BQ594*1000000-MIN(BR594,999)*1000+BS594-581/100000,-1000000000-581)</f>
        <v/>
      </c>
    </row>
    <row r="595">
      <c r="BN595">
        <f>IF(582&lt;$U$9,INT(582/($U$7*$U$8))+1,1)</f>
        <v/>
      </c>
      <c r="BO595">
        <f>IF(582&lt;$U$9,MOD(INT(582/$U$8),$U$7)+1,1)</f>
        <v/>
      </c>
      <c r="BP595">
        <f>IF(582&lt;$U$9,MOD(582,$U$8)+1,1)</f>
        <v/>
      </c>
      <c r="BQ595">
        <f>IF(582&lt;$U$9,SUMPRODUCT(($D$10:$L$10&lt;&gt;"")*(($D$9:$L$9+INT(($S$12:$AA$12+INDEX($AJ$13:$AR$162,BN595,0)+INDEX($AT$13:$BB$162,BO595,0)+INDEX($BD$13:$BL$162,BP595,0))/100))&gt;=$D$10:$L$10)),0)</f>
        <v/>
      </c>
      <c r="BR595">
        <f>IF(582&lt;$U$9,SUMPRODUCT(($D$10:$L$10&lt;&gt;"")*(($D$10:$L$10-($D$9:$L$9+INT(($S$12:$AA$12+INDEX($AJ$13:$AR$162,BN595,0)+INDEX($AT$13:$BB$162,BO595,0)+INDEX($BD$13:$BL$162,BP595,0))/100)))&gt;0)*($D$10:$L$10-($D$9:$L$9+INT(($S$12:$AA$12+INDEX($AJ$13:$AR$162,BN595,0)+INDEX($AT$13:$BB$162,BO595,0)+INDEX($BD$13:$BL$162,BP595,0))/100)))),0)</f>
        <v/>
      </c>
      <c r="BS595">
        <f>IF(582&lt;$U$9,SUMPRODUCT(($D$9:$L$9+INT(($S$12:$AA$12+INDEX($AJ$13:$AR$162,BN595,0)+INDEX($AT$13:$BB$162,BO595,0)+INDEX($BD$13:$BL$162,BP595,0))/100))),0)</f>
        <v/>
      </c>
      <c r="BT595">
        <f>IF(AND(582&lt;$U$9,$W$5),BQ595*1000000-MIN(BR595,999)*1000+BS595-582/100000,-1000000000-582)</f>
        <v/>
      </c>
    </row>
    <row r="596">
      <c r="BN596">
        <f>IF(583&lt;$U$9,INT(583/($U$7*$U$8))+1,1)</f>
        <v/>
      </c>
      <c r="BO596">
        <f>IF(583&lt;$U$9,MOD(INT(583/$U$8),$U$7)+1,1)</f>
        <v/>
      </c>
      <c r="BP596">
        <f>IF(583&lt;$U$9,MOD(583,$U$8)+1,1)</f>
        <v/>
      </c>
      <c r="BQ596">
        <f>IF(583&lt;$U$9,SUMPRODUCT(($D$10:$L$10&lt;&gt;"")*(($D$9:$L$9+INT(($S$12:$AA$12+INDEX($AJ$13:$AR$162,BN596,0)+INDEX($AT$13:$BB$162,BO596,0)+INDEX($BD$13:$BL$162,BP596,0))/100))&gt;=$D$10:$L$10)),0)</f>
        <v/>
      </c>
      <c r="BR596">
        <f>IF(583&lt;$U$9,SUMPRODUCT(($D$10:$L$10&lt;&gt;"")*(($D$10:$L$10-($D$9:$L$9+INT(($S$12:$AA$12+INDEX($AJ$13:$AR$162,BN596,0)+INDEX($AT$13:$BB$162,BO596,0)+INDEX($BD$13:$BL$162,BP596,0))/100)))&gt;0)*($D$10:$L$10-($D$9:$L$9+INT(($S$12:$AA$12+INDEX($AJ$13:$AR$162,BN596,0)+INDEX($AT$13:$BB$162,BO596,0)+INDEX($BD$13:$BL$162,BP596,0))/100)))),0)</f>
        <v/>
      </c>
      <c r="BS596">
        <f>IF(583&lt;$U$9,SUMPRODUCT(($D$9:$L$9+INT(($S$12:$AA$12+INDEX($AJ$13:$AR$162,BN596,0)+INDEX($AT$13:$BB$162,BO596,0)+INDEX($BD$13:$BL$162,BP596,0))/100))),0)</f>
        <v/>
      </c>
      <c r="BT596">
        <f>IF(AND(583&lt;$U$9,$W$5),BQ596*1000000-MIN(BR596,999)*1000+BS596-583/100000,-1000000000-583)</f>
        <v/>
      </c>
    </row>
    <row r="597">
      <c r="BN597">
        <f>IF(584&lt;$U$9,INT(584/($U$7*$U$8))+1,1)</f>
        <v/>
      </c>
      <c r="BO597">
        <f>IF(584&lt;$U$9,MOD(INT(584/$U$8),$U$7)+1,1)</f>
        <v/>
      </c>
      <c r="BP597">
        <f>IF(584&lt;$U$9,MOD(584,$U$8)+1,1)</f>
        <v/>
      </c>
      <c r="BQ597">
        <f>IF(584&lt;$U$9,SUMPRODUCT(($D$10:$L$10&lt;&gt;"")*(($D$9:$L$9+INT(($S$12:$AA$12+INDEX($AJ$13:$AR$162,BN597,0)+INDEX($AT$13:$BB$162,BO597,0)+INDEX($BD$13:$BL$162,BP597,0))/100))&gt;=$D$10:$L$10)),0)</f>
        <v/>
      </c>
      <c r="BR597">
        <f>IF(584&lt;$U$9,SUMPRODUCT(($D$10:$L$10&lt;&gt;"")*(($D$10:$L$10-($D$9:$L$9+INT(($S$12:$AA$12+INDEX($AJ$13:$AR$162,BN597,0)+INDEX($AT$13:$BB$162,BO597,0)+INDEX($BD$13:$BL$162,BP597,0))/100)))&gt;0)*($D$10:$L$10-($D$9:$L$9+INT(($S$12:$AA$12+INDEX($AJ$13:$AR$162,BN597,0)+INDEX($AT$13:$BB$162,BO597,0)+INDEX($BD$13:$BL$162,BP597,0))/100)))),0)</f>
        <v/>
      </c>
      <c r="BS597">
        <f>IF(584&lt;$U$9,SUMPRODUCT(($D$9:$L$9+INT(($S$12:$AA$12+INDEX($AJ$13:$AR$162,BN597,0)+INDEX($AT$13:$BB$162,BO597,0)+INDEX($BD$13:$BL$162,BP597,0))/100))),0)</f>
        <v/>
      </c>
      <c r="BT597">
        <f>IF(AND(584&lt;$U$9,$W$5),BQ597*1000000-MIN(BR597,999)*1000+BS597-584/100000,-1000000000-584)</f>
        <v/>
      </c>
    </row>
    <row r="598">
      <c r="BN598">
        <f>IF(585&lt;$U$9,INT(585/($U$7*$U$8))+1,1)</f>
        <v/>
      </c>
      <c r="BO598">
        <f>IF(585&lt;$U$9,MOD(INT(585/$U$8),$U$7)+1,1)</f>
        <v/>
      </c>
      <c r="BP598">
        <f>IF(585&lt;$U$9,MOD(585,$U$8)+1,1)</f>
        <v/>
      </c>
      <c r="BQ598">
        <f>IF(585&lt;$U$9,SUMPRODUCT(($D$10:$L$10&lt;&gt;"")*(($D$9:$L$9+INT(($S$12:$AA$12+INDEX($AJ$13:$AR$162,BN598,0)+INDEX($AT$13:$BB$162,BO598,0)+INDEX($BD$13:$BL$162,BP598,0))/100))&gt;=$D$10:$L$10)),0)</f>
        <v/>
      </c>
      <c r="BR598">
        <f>IF(585&lt;$U$9,SUMPRODUCT(($D$10:$L$10&lt;&gt;"")*(($D$10:$L$10-($D$9:$L$9+INT(($S$12:$AA$12+INDEX($AJ$13:$AR$162,BN598,0)+INDEX($AT$13:$BB$162,BO598,0)+INDEX($BD$13:$BL$162,BP598,0))/100)))&gt;0)*($D$10:$L$10-($D$9:$L$9+INT(($S$12:$AA$12+INDEX($AJ$13:$AR$162,BN598,0)+INDEX($AT$13:$BB$162,BO598,0)+INDEX($BD$13:$BL$162,BP598,0))/100)))),0)</f>
        <v/>
      </c>
      <c r="BS598">
        <f>IF(585&lt;$U$9,SUMPRODUCT(($D$9:$L$9+INT(($S$12:$AA$12+INDEX($AJ$13:$AR$162,BN598,0)+INDEX($AT$13:$BB$162,BO598,0)+INDEX($BD$13:$BL$162,BP598,0))/100))),0)</f>
        <v/>
      </c>
      <c r="BT598">
        <f>IF(AND(585&lt;$U$9,$W$5),BQ598*1000000-MIN(BR598,999)*1000+BS598-585/100000,-1000000000-585)</f>
        <v/>
      </c>
    </row>
    <row r="599">
      <c r="BN599">
        <f>IF(586&lt;$U$9,INT(586/($U$7*$U$8))+1,1)</f>
        <v/>
      </c>
      <c r="BO599">
        <f>IF(586&lt;$U$9,MOD(INT(586/$U$8),$U$7)+1,1)</f>
        <v/>
      </c>
      <c r="BP599">
        <f>IF(586&lt;$U$9,MOD(586,$U$8)+1,1)</f>
        <v/>
      </c>
      <c r="BQ599">
        <f>IF(586&lt;$U$9,SUMPRODUCT(($D$10:$L$10&lt;&gt;"")*(($D$9:$L$9+INT(($S$12:$AA$12+INDEX($AJ$13:$AR$162,BN599,0)+INDEX($AT$13:$BB$162,BO599,0)+INDEX($BD$13:$BL$162,BP599,0))/100))&gt;=$D$10:$L$10)),0)</f>
        <v/>
      </c>
      <c r="BR599">
        <f>IF(586&lt;$U$9,SUMPRODUCT(($D$10:$L$10&lt;&gt;"")*(($D$10:$L$10-($D$9:$L$9+INT(($S$12:$AA$12+INDEX($AJ$13:$AR$162,BN599,0)+INDEX($AT$13:$BB$162,BO599,0)+INDEX($BD$13:$BL$162,BP599,0))/100)))&gt;0)*($D$10:$L$10-($D$9:$L$9+INT(($S$12:$AA$12+INDEX($AJ$13:$AR$162,BN599,0)+INDEX($AT$13:$BB$162,BO599,0)+INDEX($BD$13:$BL$162,BP599,0))/100)))),0)</f>
        <v/>
      </c>
      <c r="BS599">
        <f>IF(586&lt;$U$9,SUMPRODUCT(($D$9:$L$9+INT(($S$12:$AA$12+INDEX($AJ$13:$AR$162,BN599,0)+INDEX($AT$13:$BB$162,BO599,0)+INDEX($BD$13:$BL$162,BP599,0))/100))),0)</f>
        <v/>
      </c>
      <c r="BT599">
        <f>IF(AND(586&lt;$U$9,$W$5),BQ599*1000000-MIN(BR599,999)*1000+BS599-586/100000,-1000000000-586)</f>
        <v/>
      </c>
    </row>
    <row r="600">
      <c r="BN600">
        <f>IF(587&lt;$U$9,INT(587/($U$7*$U$8))+1,1)</f>
        <v/>
      </c>
      <c r="BO600">
        <f>IF(587&lt;$U$9,MOD(INT(587/$U$8),$U$7)+1,1)</f>
        <v/>
      </c>
      <c r="BP600">
        <f>IF(587&lt;$U$9,MOD(587,$U$8)+1,1)</f>
        <v/>
      </c>
      <c r="BQ600">
        <f>IF(587&lt;$U$9,SUMPRODUCT(($D$10:$L$10&lt;&gt;"")*(($D$9:$L$9+INT(($S$12:$AA$12+INDEX($AJ$13:$AR$162,BN600,0)+INDEX($AT$13:$BB$162,BO600,0)+INDEX($BD$13:$BL$162,BP600,0))/100))&gt;=$D$10:$L$10)),0)</f>
        <v/>
      </c>
      <c r="BR600">
        <f>IF(587&lt;$U$9,SUMPRODUCT(($D$10:$L$10&lt;&gt;"")*(($D$10:$L$10-($D$9:$L$9+INT(($S$12:$AA$12+INDEX($AJ$13:$AR$162,BN600,0)+INDEX($AT$13:$BB$162,BO600,0)+INDEX($BD$13:$BL$162,BP600,0))/100)))&gt;0)*($D$10:$L$10-($D$9:$L$9+INT(($S$12:$AA$12+INDEX($AJ$13:$AR$162,BN600,0)+INDEX($AT$13:$BB$162,BO600,0)+INDEX($BD$13:$BL$162,BP600,0))/100)))),0)</f>
        <v/>
      </c>
      <c r="BS600">
        <f>IF(587&lt;$U$9,SUMPRODUCT(($D$9:$L$9+INT(($S$12:$AA$12+INDEX($AJ$13:$AR$162,BN600,0)+INDEX($AT$13:$BB$162,BO600,0)+INDEX($BD$13:$BL$162,BP600,0))/100))),0)</f>
        <v/>
      </c>
      <c r="BT600">
        <f>IF(AND(587&lt;$U$9,$W$5),BQ600*1000000-MIN(BR600,999)*1000+BS600-587/100000,-1000000000-587)</f>
        <v/>
      </c>
    </row>
    <row r="601">
      <c r="BN601">
        <f>IF(588&lt;$U$9,INT(588/($U$7*$U$8))+1,1)</f>
        <v/>
      </c>
      <c r="BO601">
        <f>IF(588&lt;$U$9,MOD(INT(588/$U$8),$U$7)+1,1)</f>
        <v/>
      </c>
      <c r="BP601">
        <f>IF(588&lt;$U$9,MOD(588,$U$8)+1,1)</f>
        <v/>
      </c>
      <c r="BQ601">
        <f>IF(588&lt;$U$9,SUMPRODUCT(($D$10:$L$10&lt;&gt;"")*(($D$9:$L$9+INT(($S$12:$AA$12+INDEX($AJ$13:$AR$162,BN601,0)+INDEX($AT$13:$BB$162,BO601,0)+INDEX($BD$13:$BL$162,BP601,0))/100))&gt;=$D$10:$L$10)),0)</f>
        <v/>
      </c>
      <c r="BR601">
        <f>IF(588&lt;$U$9,SUMPRODUCT(($D$10:$L$10&lt;&gt;"")*(($D$10:$L$10-($D$9:$L$9+INT(($S$12:$AA$12+INDEX($AJ$13:$AR$162,BN601,0)+INDEX($AT$13:$BB$162,BO601,0)+INDEX($BD$13:$BL$162,BP601,0))/100)))&gt;0)*($D$10:$L$10-($D$9:$L$9+INT(($S$12:$AA$12+INDEX($AJ$13:$AR$162,BN601,0)+INDEX($AT$13:$BB$162,BO601,0)+INDEX($BD$13:$BL$162,BP601,0))/100)))),0)</f>
        <v/>
      </c>
      <c r="BS601">
        <f>IF(588&lt;$U$9,SUMPRODUCT(($D$9:$L$9+INT(($S$12:$AA$12+INDEX($AJ$13:$AR$162,BN601,0)+INDEX($AT$13:$BB$162,BO601,0)+INDEX($BD$13:$BL$162,BP601,0))/100))),0)</f>
        <v/>
      </c>
      <c r="BT601">
        <f>IF(AND(588&lt;$U$9,$W$5),BQ601*1000000-MIN(BR601,999)*1000+BS601-588/100000,-1000000000-588)</f>
        <v/>
      </c>
    </row>
    <row r="602">
      <c r="BN602">
        <f>IF(589&lt;$U$9,INT(589/($U$7*$U$8))+1,1)</f>
        <v/>
      </c>
      <c r="BO602">
        <f>IF(589&lt;$U$9,MOD(INT(589/$U$8),$U$7)+1,1)</f>
        <v/>
      </c>
      <c r="BP602">
        <f>IF(589&lt;$U$9,MOD(589,$U$8)+1,1)</f>
        <v/>
      </c>
      <c r="BQ602">
        <f>IF(589&lt;$U$9,SUMPRODUCT(($D$10:$L$10&lt;&gt;"")*(($D$9:$L$9+INT(($S$12:$AA$12+INDEX($AJ$13:$AR$162,BN602,0)+INDEX($AT$13:$BB$162,BO602,0)+INDEX($BD$13:$BL$162,BP602,0))/100))&gt;=$D$10:$L$10)),0)</f>
        <v/>
      </c>
      <c r="BR602">
        <f>IF(589&lt;$U$9,SUMPRODUCT(($D$10:$L$10&lt;&gt;"")*(($D$10:$L$10-($D$9:$L$9+INT(($S$12:$AA$12+INDEX($AJ$13:$AR$162,BN602,0)+INDEX($AT$13:$BB$162,BO602,0)+INDEX($BD$13:$BL$162,BP602,0))/100)))&gt;0)*($D$10:$L$10-($D$9:$L$9+INT(($S$12:$AA$12+INDEX($AJ$13:$AR$162,BN602,0)+INDEX($AT$13:$BB$162,BO602,0)+INDEX($BD$13:$BL$162,BP602,0))/100)))),0)</f>
        <v/>
      </c>
      <c r="BS602">
        <f>IF(589&lt;$U$9,SUMPRODUCT(($D$9:$L$9+INT(($S$12:$AA$12+INDEX($AJ$13:$AR$162,BN602,0)+INDEX($AT$13:$BB$162,BO602,0)+INDEX($BD$13:$BL$162,BP602,0))/100))),0)</f>
        <v/>
      </c>
      <c r="BT602">
        <f>IF(AND(589&lt;$U$9,$W$5),BQ602*1000000-MIN(BR602,999)*1000+BS602-589/100000,-1000000000-589)</f>
        <v/>
      </c>
    </row>
    <row r="603">
      <c r="BN603">
        <f>IF(590&lt;$U$9,INT(590/($U$7*$U$8))+1,1)</f>
        <v/>
      </c>
      <c r="BO603">
        <f>IF(590&lt;$U$9,MOD(INT(590/$U$8),$U$7)+1,1)</f>
        <v/>
      </c>
      <c r="BP603">
        <f>IF(590&lt;$U$9,MOD(590,$U$8)+1,1)</f>
        <v/>
      </c>
      <c r="BQ603">
        <f>IF(590&lt;$U$9,SUMPRODUCT(($D$10:$L$10&lt;&gt;"")*(($D$9:$L$9+INT(($S$12:$AA$12+INDEX($AJ$13:$AR$162,BN603,0)+INDEX($AT$13:$BB$162,BO603,0)+INDEX($BD$13:$BL$162,BP603,0))/100))&gt;=$D$10:$L$10)),0)</f>
        <v/>
      </c>
      <c r="BR603">
        <f>IF(590&lt;$U$9,SUMPRODUCT(($D$10:$L$10&lt;&gt;"")*(($D$10:$L$10-($D$9:$L$9+INT(($S$12:$AA$12+INDEX($AJ$13:$AR$162,BN603,0)+INDEX($AT$13:$BB$162,BO603,0)+INDEX($BD$13:$BL$162,BP603,0))/100)))&gt;0)*($D$10:$L$10-($D$9:$L$9+INT(($S$12:$AA$12+INDEX($AJ$13:$AR$162,BN603,0)+INDEX($AT$13:$BB$162,BO603,0)+INDEX($BD$13:$BL$162,BP603,0))/100)))),0)</f>
        <v/>
      </c>
      <c r="BS603">
        <f>IF(590&lt;$U$9,SUMPRODUCT(($D$9:$L$9+INT(($S$12:$AA$12+INDEX($AJ$13:$AR$162,BN603,0)+INDEX($AT$13:$BB$162,BO603,0)+INDEX($BD$13:$BL$162,BP603,0))/100))),0)</f>
        <v/>
      </c>
      <c r="BT603">
        <f>IF(AND(590&lt;$U$9,$W$5),BQ603*1000000-MIN(BR603,999)*1000+BS603-590/100000,-1000000000-590)</f>
        <v/>
      </c>
    </row>
    <row r="604">
      <c r="BN604">
        <f>IF(591&lt;$U$9,INT(591/($U$7*$U$8))+1,1)</f>
        <v/>
      </c>
      <c r="BO604">
        <f>IF(591&lt;$U$9,MOD(INT(591/$U$8),$U$7)+1,1)</f>
        <v/>
      </c>
      <c r="BP604">
        <f>IF(591&lt;$U$9,MOD(591,$U$8)+1,1)</f>
        <v/>
      </c>
      <c r="BQ604">
        <f>IF(591&lt;$U$9,SUMPRODUCT(($D$10:$L$10&lt;&gt;"")*(($D$9:$L$9+INT(($S$12:$AA$12+INDEX($AJ$13:$AR$162,BN604,0)+INDEX($AT$13:$BB$162,BO604,0)+INDEX($BD$13:$BL$162,BP604,0))/100))&gt;=$D$10:$L$10)),0)</f>
        <v/>
      </c>
      <c r="BR604">
        <f>IF(591&lt;$U$9,SUMPRODUCT(($D$10:$L$10&lt;&gt;"")*(($D$10:$L$10-($D$9:$L$9+INT(($S$12:$AA$12+INDEX($AJ$13:$AR$162,BN604,0)+INDEX($AT$13:$BB$162,BO604,0)+INDEX($BD$13:$BL$162,BP604,0))/100)))&gt;0)*($D$10:$L$10-($D$9:$L$9+INT(($S$12:$AA$12+INDEX($AJ$13:$AR$162,BN604,0)+INDEX($AT$13:$BB$162,BO604,0)+INDEX($BD$13:$BL$162,BP604,0))/100)))),0)</f>
        <v/>
      </c>
      <c r="BS604">
        <f>IF(591&lt;$U$9,SUMPRODUCT(($D$9:$L$9+INT(($S$12:$AA$12+INDEX($AJ$13:$AR$162,BN604,0)+INDEX($AT$13:$BB$162,BO604,0)+INDEX($BD$13:$BL$162,BP604,0))/100))),0)</f>
        <v/>
      </c>
      <c r="BT604">
        <f>IF(AND(591&lt;$U$9,$W$5),BQ604*1000000-MIN(BR604,999)*1000+BS604-591/100000,-1000000000-591)</f>
        <v/>
      </c>
    </row>
    <row r="605">
      <c r="BN605">
        <f>IF(592&lt;$U$9,INT(592/($U$7*$U$8))+1,1)</f>
        <v/>
      </c>
      <c r="BO605">
        <f>IF(592&lt;$U$9,MOD(INT(592/$U$8),$U$7)+1,1)</f>
        <v/>
      </c>
      <c r="BP605">
        <f>IF(592&lt;$U$9,MOD(592,$U$8)+1,1)</f>
        <v/>
      </c>
      <c r="BQ605">
        <f>IF(592&lt;$U$9,SUMPRODUCT(($D$10:$L$10&lt;&gt;"")*(($D$9:$L$9+INT(($S$12:$AA$12+INDEX($AJ$13:$AR$162,BN605,0)+INDEX($AT$13:$BB$162,BO605,0)+INDEX($BD$13:$BL$162,BP605,0))/100))&gt;=$D$10:$L$10)),0)</f>
        <v/>
      </c>
      <c r="BR605">
        <f>IF(592&lt;$U$9,SUMPRODUCT(($D$10:$L$10&lt;&gt;"")*(($D$10:$L$10-($D$9:$L$9+INT(($S$12:$AA$12+INDEX($AJ$13:$AR$162,BN605,0)+INDEX($AT$13:$BB$162,BO605,0)+INDEX($BD$13:$BL$162,BP605,0))/100)))&gt;0)*($D$10:$L$10-($D$9:$L$9+INT(($S$12:$AA$12+INDEX($AJ$13:$AR$162,BN605,0)+INDEX($AT$13:$BB$162,BO605,0)+INDEX($BD$13:$BL$162,BP605,0))/100)))),0)</f>
        <v/>
      </c>
      <c r="BS605">
        <f>IF(592&lt;$U$9,SUMPRODUCT(($D$9:$L$9+INT(($S$12:$AA$12+INDEX($AJ$13:$AR$162,BN605,0)+INDEX($AT$13:$BB$162,BO605,0)+INDEX($BD$13:$BL$162,BP605,0))/100))),0)</f>
        <v/>
      </c>
      <c r="BT605">
        <f>IF(AND(592&lt;$U$9,$W$5),BQ605*1000000-MIN(BR605,999)*1000+BS605-592/100000,-1000000000-592)</f>
        <v/>
      </c>
    </row>
    <row r="606">
      <c r="BN606">
        <f>IF(593&lt;$U$9,INT(593/($U$7*$U$8))+1,1)</f>
        <v/>
      </c>
      <c r="BO606">
        <f>IF(593&lt;$U$9,MOD(INT(593/$U$8),$U$7)+1,1)</f>
        <v/>
      </c>
      <c r="BP606">
        <f>IF(593&lt;$U$9,MOD(593,$U$8)+1,1)</f>
        <v/>
      </c>
      <c r="BQ606">
        <f>IF(593&lt;$U$9,SUMPRODUCT(($D$10:$L$10&lt;&gt;"")*(($D$9:$L$9+INT(($S$12:$AA$12+INDEX($AJ$13:$AR$162,BN606,0)+INDEX($AT$13:$BB$162,BO606,0)+INDEX($BD$13:$BL$162,BP606,0))/100))&gt;=$D$10:$L$10)),0)</f>
        <v/>
      </c>
      <c r="BR606">
        <f>IF(593&lt;$U$9,SUMPRODUCT(($D$10:$L$10&lt;&gt;"")*(($D$10:$L$10-($D$9:$L$9+INT(($S$12:$AA$12+INDEX($AJ$13:$AR$162,BN606,0)+INDEX($AT$13:$BB$162,BO606,0)+INDEX($BD$13:$BL$162,BP606,0))/100)))&gt;0)*($D$10:$L$10-($D$9:$L$9+INT(($S$12:$AA$12+INDEX($AJ$13:$AR$162,BN606,0)+INDEX($AT$13:$BB$162,BO606,0)+INDEX($BD$13:$BL$162,BP606,0))/100)))),0)</f>
        <v/>
      </c>
      <c r="BS606">
        <f>IF(593&lt;$U$9,SUMPRODUCT(($D$9:$L$9+INT(($S$12:$AA$12+INDEX($AJ$13:$AR$162,BN606,0)+INDEX($AT$13:$BB$162,BO606,0)+INDEX($BD$13:$BL$162,BP606,0))/100))),0)</f>
        <v/>
      </c>
      <c r="BT606">
        <f>IF(AND(593&lt;$U$9,$W$5),BQ606*1000000-MIN(BR606,999)*1000+BS606-593/100000,-1000000000-593)</f>
        <v/>
      </c>
    </row>
    <row r="607">
      <c r="BN607">
        <f>IF(594&lt;$U$9,INT(594/($U$7*$U$8))+1,1)</f>
        <v/>
      </c>
      <c r="BO607">
        <f>IF(594&lt;$U$9,MOD(INT(594/$U$8),$U$7)+1,1)</f>
        <v/>
      </c>
      <c r="BP607">
        <f>IF(594&lt;$U$9,MOD(594,$U$8)+1,1)</f>
        <v/>
      </c>
      <c r="BQ607">
        <f>IF(594&lt;$U$9,SUMPRODUCT(($D$10:$L$10&lt;&gt;"")*(($D$9:$L$9+INT(($S$12:$AA$12+INDEX($AJ$13:$AR$162,BN607,0)+INDEX($AT$13:$BB$162,BO607,0)+INDEX($BD$13:$BL$162,BP607,0))/100))&gt;=$D$10:$L$10)),0)</f>
        <v/>
      </c>
      <c r="BR607">
        <f>IF(594&lt;$U$9,SUMPRODUCT(($D$10:$L$10&lt;&gt;"")*(($D$10:$L$10-($D$9:$L$9+INT(($S$12:$AA$12+INDEX($AJ$13:$AR$162,BN607,0)+INDEX($AT$13:$BB$162,BO607,0)+INDEX($BD$13:$BL$162,BP607,0))/100)))&gt;0)*($D$10:$L$10-($D$9:$L$9+INT(($S$12:$AA$12+INDEX($AJ$13:$AR$162,BN607,0)+INDEX($AT$13:$BB$162,BO607,0)+INDEX($BD$13:$BL$162,BP607,0))/100)))),0)</f>
        <v/>
      </c>
      <c r="BS607">
        <f>IF(594&lt;$U$9,SUMPRODUCT(($D$9:$L$9+INT(($S$12:$AA$12+INDEX($AJ$13:$AR$162,BN607,0)+INDEX($AT$13:$BB$162,BO607,0)+INDEX($BD$13:$BL$162,BP607,0))/100))),0)</f>
        <v/>
      </c>
      <c r="BT607">
        <f>IF(AND(594&lt;$U$9,$W$5),BQ607*1000000-MIN(BR607,999)*1000+BS607-594/100000,-1000000000-594)</f>
        <v/>
      </c>
    </row>
    <row r="608">
      <c r="BN608">
        <f>IF(595&lt;$U$9,INT(595/($U$7*$U$8))+1,1)</f>
        <v/>
      </c>
      <c r="BO608">
        <f>IF(595&lt;$U$9,MOD(INT(595/$U$8),$U$7)+1,1)</f>
        <v/>
      </c>
      <c r="BP608">
        <f>IF(595&lt;$U$9,MOD(595,$U$8)+1,1)</f>
        <v/>
      </c>
      <c r="BQ608">
        <f>IF(595&lt;$U$9,SUMPRODUCT(($D$10:$L$10&lt;&gt;"")*(($D$9:$L$9+INT(($S$12:$AA$12+INDEX($AJ$13:$AR$162,BN608,0)+INDEX($AT$13:$BB$162,BO608,0)+INDEX($BD$13:$BL$162,BP608,0))/100))&gt;=$D$10:$L$10)),0)</f>
        <v/>
      </c>
      <c r="BR608">
        <f>IF(595&lt;$U$9,SUMPRODUCT(($D$10:$L$10&lt;&gt;"")*(($D$10:$L$10-($D$9:$L$9+INT(($S$12:$AA$12+INDEX($AJ$13:$AR$162,BN608,0)+INDEX($AT$13:$BB$162,BO608,0)+INDEX($BD$13:$BL$162,BP608,0))/100)))&gt;0)*($D$10:$L$10-($D$9:$L$9+INT(($S$12:$AA$12+INDEX($AJ$13:$AR$162,BN608,0)+INDEX($AT$13:$BB$162,BO608,0)+INDEX($BD$13:$BL$162,BP608,0))/100)))),0)</f>
        <v/>
      </c>
      <c r="BS608">
        <f>IF(595&lt;$U$9,SUMPRODUCT(($D$9:$L$9+INT(($S$12:$AA$12+INDEX($AJ$13:$AR$162,BN608,0)+INDEX($AT$13:$BB$162,BO608,0)+INDEX($BD$13:$BL$162,BP608,0))/100))),0)</f>
        <v/>
      </c>
      <c r="BT608">
        <f>IF(AND(595&lt;$U$9,$W$5),BQ608*1000000-MIN(BR608,999)*1000+BS608-595/100000,-1000000000-595)</f>
        <v/>
      </c>
    </row>
    <row r="609">
      <c r="BN609">
        <f>IF(596&lt;$U$9,INT(596/($U$7*$U$8))+1,1)</f>
        <v/>
      </c>
      <c r="BO609">
        <f>IF(596&lt;$U$9,MOD(INT(596/$U$8),$U$7)+1,1)</f>
        <v/>
      </c>
      <c r="BP609">
        <f>IF(596&lt;$U$9,MOD(596,$U$8)+1,1)</f>
        <v/>
      </c>
      <c r="BQ609">
        <f>IF(596&lt;$U$9,SUMPRODUCT(($D$10:$L$10&lt;&gt;"")*(($D$9:$L$9+INT(($S$12:$AA$12+INDEX($AJ$13:$AR$162,BN609,0)+INDEX($AT$13:$BB$162,BO609,0)+INDEX($BD$13:$BL$162,BP609,0))/100))&gt;=$D$10:$L$10)),0)</f>
        <v/>
      </c>
      <c r="BR609">
        <f>IF(596&lt;$U$9,SUMPRODUCT(($D$10:$L$10&lt;&gt;"")*(($D$10:$L$10-($D$9:$L$9+INT(($S$12:$AA$12+INDEX($AJ$13:$AR$162,BN609,0)+INDEX($AT$13:$BB$162,BO609,0)+INDEX($BD$13:$BL$162,BP609,0))/100)))&gt;0)*($D$10:$L$10-($D$9:$L$9+INT(($S$12:$AA$12+INDEX($AJ$13:$AR$162,BN609,0)+INDEX($AT$13:$BB$162,BO609,0)+INDEX($BD$13:$BL$162,BP609,0))/100)))),0)</f>
        <v/>
      </c>
      <c r="BS609">
        <f>IF(596&lt;$U$9,SUMPRODUCT(($D$9:$L$9+INT(($S$12:$AA$12+INDEX($AJ$13:$AR$162,BN609,0)+INDEX($AT$13:$BB$162,BO609,0)+INDEX($BD$13:$BL$162,BP609,0))/100))),0)</f>
        <v/>
      </c>
      <c r="BT609">
        <f>IF(AND(596&lt;$U$9,$W$5),BQ609*1000000-MIN(BR609,999)*1000+BS609-596/100000,-1000000000-596)</f>
        <v/>
      </c>
    </row>
    <row r="610">
      <c r="BN610">
        <f>IF(597&lt;$U$9,INT(597/($U$7*$U$8))+1,1)</f>
        <v/>
      </c>
      <c r="BO610">
        <f>IF(597&lt;$U$9,MOD(INT(597/$U$8),$U$7)+1,1)</f>
        <v/>
      </c>
      <c r="BP610">
        <f>IF(597&lt;$U$9,MOD(597,$U$8)+1,1)</f>
        <v/>
      </c>
      <c r="BQ610">
        <f>IF(597&lt;$U$9,SUMPRODUCT(($D$10:$L$10&lt;&gt;"")*(($D$9:$L$9+INT(($S$12:$AA$12+INDEX($AJ$13:$AR$162,BN610,0)+INDEX($AT$13:$BB$162,BO610,0)+INDEX($BD$13:$BL$162,BP610,0))/100))&gt;=$D$10:$L$10)),0)</f>
        <v/>
      </c>
      <c r="BR610">
        <f>IF(597&lt;$U$9,SUMPRODUCT(($D$10:$L$10&lt;&gt;"")*(($D$10:$L$10-($D$9:$L$9+INT(($S$12:$AA$12+INDEX($AJ$13:$AR$162,BN610,0)+INDEX($AT$13:$BB$162,BO610,0)+INDEX($BD$13:$BL$162,BP610,0))/100)))&gt;0)*($D$10:$L$10-($D$9:$L$9+INT(($S$12:$AA$12+INDEX($AJ$13:$AR$162,BN610,0)+INDEX($AT$13:$BB$162,BO610,0)+INDEX($BD$13:$BL$162,BP610,0))/100)))),0)</f>
        <v/>
      </c>
      <c r="BS610">
        <f>IF(597&lt;$U$9,SUMPRODUCT(($D$9:$L$9+INT(($S$12:$AA$12+INDEX($AJ$13:$AR$162,BN610,0)+INDEX($AT$13:$BB$162,BO610,0)+INDEX($BD$13:$BL$162,BP610,0))/100))),0)</f>
        <v/>
      </c>
      <c r="BT610">
        <f>IF(AND(597&lt;$U$9,$W$5),BQ610*1000000-MIN(BR610,999)*1000+BS610-597/100000,-1000000000-597)</f>
        <v/>
      </c>
    </row>
    <row r="611">
      <c r="BN611">
        <f>IF(598&lt;$U$9,INT(598/($U$7*$U$8))+1,1)</f>
        <v/>
      </c>
      <c r="BO611">
        <f>IF(598&lt;$U$9,MOD(INT(598/$U$8),$U$7)+1,1)</f>
        <v/>
      </c>
      <c r="BP611">
        <f>IF(598&lt;$U$9,MOD(598,$U$8)+1,1)</f>
        <v/>
      </c>
      <c r="BQ611">
        <f>IF(598&lt;$U$9,SUMPRODUCT(($D$10:$L$10&lt;&gt;"")*(($D$9:$L$9+INT(($S$12:$AA$12+INDEX($AJ$13:$AR$162,BN611,0)+INDEX($AT$13:$BB$162,BO611,0)+INDEX($BD$13:$BL$162,BP611,0))/100))&gt;=$D$10:$L$10)),0)</f>
        <v/>
      </c>
      <c r="BR611">
        <f>IF(598&lt;$U$9,SUMPRODUCT(($D$10:$L$10&lt;&gt;"")*(($D$10:$L$10-($D$9:$L$9+INT(($S$12:$AA$12+INDEX($AJ$13:$AR$162,BN611,0)+INDEX($AT$13:$BB$162,BO611,0)+INDEX($BD$13:$BL$162,BP611,0))/100)))&gt;0)*($D$10:$L$10-($D$9:$L$9+INT(($S$12:$AA$12+INDEX($AJ$13:$AR$162,BN611,0)+INDEX($AT$13:$BB$162,BO611,0)+INDEX($BD$13:$BL$162,BP611,0))/100)))),0)</f>
        <v/>
      </c>
      <c r="BS611">
        <f>IF(598&lt;$U$9,SUMPRODUCT(($D$9:$L$9+INT(($S$12:$AA$12+INDEX($AJ$13:$AR$162,BN611,0)+INDEX($AT$13:$BB$162,BO611,0)+INDEX($BD$13:$BL$162,BP611,0))/100))),0)</f>
        <v/>
      </c>
      <c r="BT611">
        <f>IF(AND(598&lt;$U$9,$W$5),BQ611*1000000-MIN(BR611,999)*1000+BS611-598/100000,-1000000000-598)</f>
        <v/>
      </c>
    </row>
    <row r="612">
      <c r="BN612">
        <f>IF(599&lt;$U$9,INT(599/($U$7*$U$8))+1,1)</f>
        <v/>
      </c>
      <c r="BO612">
        <f>IF(599&lt;$U$9,MOD(INT(599/$U$8),$U$7)+1,1)</f>
        <v/>
      </c>
      <c r="BP612">
        <f>IF(599&lt;$U$9,MOD(599,$U$8)+1,1)</f>
        <v/>
      </c>
      <c r="BQ612">
        <f>IF(599&lt;$U$9,SUMPRODUCT(($D$10:$L$10&lt;&gt;"")*(($D$9:$L$9+INT(($S$12:$AA$12+INDEX($AJ$13:$AR$162,BN612,0)+INDEX($AT$13:$BB$162,BO612,0)+INDEX($BD$13:$BL$162,BP612,0))/100))&gt;=$D$10:$L$10)),0)</f>
        <v/>
      </c>
      <c r="BR612">
        <f>IF(599&lt;$U$9,SUMPRODUCT(($D$10:$L$10&lt;&gt;"")*(($D$10:$L$10-($D$9:$L$9+INT(($S$12:$AA$12+INDEX($AJ$13:$AR$162,BN612,0)+INDEX($AT$13:$BB$162,BO612,0)+INDEX($BD$13:$BL$162,BP612,0))/100)))&gt;0)*($D$10:$L$10-($D$9:$L$9+INT(($S$12:$AA$12+INDEX($AJ$13:$AR$162,BN612,0)+INDEX($AT$13:$BB$162,BO612,0)+INDEX($BD$13:$BL$162,BP612,0))/100)))),0)</f>
        <v/>
      </c>
      <c r="BS612">
        <f>IF(599&lt;$U$9,SUMPRODUCT(($D$9:$L$9+INT(($S$12:$AA$12+INDEX($AJ$13:$AR$162,BN612,0)+INDEX($AT$13:$BB$162,BO612,0)+INDEX($BD$13:$BL$162,BP612,0))/100))),0)</f>
        <v/>
      </c>
      <c r="BT612">
        <f>IF(AND(599&lt;$U$9,$W$5),BQ612*1000000-MIN(BR612,999)*1000+BS612-599/100000,-1000000000-599)</f>
        <v/>
      </c>
    </row>
    <row r="613">
      <c r="BN613">
        <f>IF(600&lt;$U$9,INT(600/($U$7*$U$8))+1,1)</f>
        <v/>
      </c>
      <c r="BO613">
        <f>IF(600&lt;$U$9,MOD(INT(600/$U$8),$U$7)+1,1)</f>
        <v/>
      </c>
      <c r="BP613">
        <f>IF(600&lt;$U$9,MOD(600,$U$8)+1,1)</f>
        <v/>
      </c>
      <c r="BQ613">
        <f>IF(600&lt;$U$9,SUMPRODUCT(($D$10:$L$10&lt;&gt;"")*(($D$9:$L$9+INT(($S$12:$AA$12+INDEX($AJ$13:$AR$162,BN613,0)+INDEX($AT$13:$BB$162,BO613,0)+INDEX($BD$13:$BL$162,BP613,0))/100))&gt;=$D$10:$L$10)),0)</f>
        <v/>
      </c>
      <c r="BR613">
        <f>IF(600&lt;$U$9,SUMPRODUCT(($D$10:$L$10&lt;&gt;"")*(($D$10:$L$10-($D$9:$L$9+INT(($S$12:$AA$12+INDEX($AJ$13:$AR$162,BN613,0)+INDEX($AT$13:$BB$162,BO613,0)+INDEX($BD$13:$BL$162,BP613,0))/100)))&gt;0)*($D$10:$L$10-($D$9:$L$9+INT(($S$12:$AA$12+INDEX($AJ$13:$AR$162,BN613,0)+INDEX($AT$13:$BB$162,BO613,0)+INDEX($BD$13:$BL$162,BP613,0))/100)))),0)</f>
        <v/>
      </c>
      <c r="BS613">
        <f>IF(600&lt;$U$9,SUMPRODUCT(($D$9:$L$9+INT(($S$12:$AA$12+INDEX($AJ$13:$AR$162,BN613,0)+INDEX($AT$13:$BB$162,BO613,0)+INDEX($BD$13:$BL$162,BP613,0))/100))),0)</f>
        <v/>
      </c>
      <c r="BT613">
        <f>IF(AND(600&lt;$U$9,$W$5),BQ613*1000000-MIN(BR613,999)*1000+BS613-600/100000,-1000000000-600)</f>
        <v/>
      </c>
    </row>
    <row r="614">
      <c r="BN614">
        <f>IF(601&lt;$U$9,INT(601/($U$7*$U$8))+1,1)</f>
        <v/>
      </c>
      <c r="BO614">
        <f>IF(601&lt;$U$9,MOD(INT(601/$U$8),$U$7)+1,1)</f>
        <v/>
      </c>
      <c r="BP614">
        <f>IF(601&lt;$U$9,MOD(601,$U$8)+1,1)</f>
        <v/>
      </c>
      <c r="BQ614">
        <f>IF(601&lt;$U$9,SUMPRODUCT(($D$10:$L$10&lt;&gt;"")*(($D$9:$L$9+INT(($S$12:$AA$12+INDEX($AJ$13:$AR$162,BN614,0)+INDEX($AT$13:$BB$162,BO614,0)+INDEX($BD$13:$BL$162,BP614,0))/100))&gt;=$D$10:$L$10)),0)</f>
        <v/>
      </c>
      <c r="BR614">
        <f>IF(601&lt;$U$9,SUMPRODUCT(($D$10:$L$10&lt;&gt;"")*(($D$10:$L$10-($D$9:$L$9+INT(($S$12:$AA$12+INDEX($AJ$13:$AR$162,BN614,0)+INDEX($AT$13:$BB$162,BO614,0)+INDEX($BD$13:$BL$162,BP614,0))/100)))&gt;0)*($D$10:$L$10-($D$9:$L$9+INT(($S$12:$AA$12+INDEX($AJ$13:$AR$162,BN614,0)+INDEX($AT$13:$BB$162,BO614,0)+INDEX($BD$13:$BL$162,BP614,0))/100)))),0)</f>
        <v/>
      </c>
      <c r="BS614">
        <f>IF(601&lt;$U$9,SUMPRODUCT(($D$9:$L$9+INT(($S$12:$AA$12+INDEX($AJ$13:$AR$162,BN614,0)+INDEX($AT$13:$BB$162,BO614,0)+INDEX($BD$13:$BL$162,BP614,0))/100))),0)</f>
        <v/>
      </c>
      <c r="BT614">
        <f>IF(AND(601&lt;$U$9,$W$5),BQ614*1000000-MIN(BR614,999)*1000+BS614-601/100000,-1000000000-601)</f>
        <v/>
      </c>
    </row>
    <row r="615">
      <c r="BN615">
        <f>IF(602&lt;$U$9,INT(602/($U$7*$U$8))+1,1)</f>
        <v/>
      </c>
      <c r="BO615">
        <f>IF(602&lt;$U$9,MOD(INT(602/$U$8),$U$7)+1,1)</f>
        <v/>
      </c>
      <c r="BP615">
        <f>IF(602&lt;$U$9,MOD(602,$U$8)+1,1)</f>
        <v/>
      </c>
      <c r="BQ615">
        <f>IF(602&lt;$U$9,SUMPRODUCT(($D$10:$L$10&lt;&gt;"")*(($D$9:$L$9+INT(($S$12:$AA$12+INDEX($AJ$13:$AR$162,BN615,0)+INDEX($AT$13:$BB$162,BO615,0)+INDEX($BD$13:$BL$162,BP615,0))/100))&gt;=$D$10:$L$10)),0)</f>
        <v/>
      </c>
      <c r="BR615">
        <f>IF(602&lt;$U$9,SUMPRODUCT(($D$10:$L$10&lt;&gt;"")*(($D$10:$L$10-($D$9:$L$9+INT(($S$12:$AA$12+INDEX($AJ$13:$AR$162,BN615,0)+INDEX($AT$13:$BB$162,BO615,0)+INDEX($BD$13:$BL$162,BP615,0))/100)))&gt;0)*($D$10:$L$10-($D$9:$L$9+INT(($S$12:$AA$12+INDEX($AJ$13:$AR$162,BN615,0)+INDEX($AT$13:$BB$162,BO615,0)+INDEX($BD$13:$BL$162,BP615,0))/100)))),0)</f>
        <v/>
      </c>
      <c r="BS615">
        <f>IF(602&lt;$U$9,SUMPRODUCT(($D$9:$L$9+INT(($S$12:$AA$12+INDEX($AJ$13:$AR$162,BN615,0)+INDEX($AT$13:$BB$162,BO615,0)+INDEX($BD$13:$BL$162,BP615,0))/100))),0)</f>
        <v/>
      </c>
      <c r="BT615">
        <f>IF(AND(602&lt;$U$9,$W$5),BQ615*1000000-MIN(BR615,999)*1000+BS615-602/100000,-1000000000-602)</f>
        <v/>
      </c>
    </row>
    <row r="616">
      <c r="BN616">
        <f>IF(603&lt;$U$9,INT(603/($U$7*$U$8))+1,1)</f>
        <v/>
      </c>
      <c r="BO616">
        <f>IF(603&lt;$U$9,MOD(INT(603/$U$8),$U$7)+1,1)</f>
        <v/>
      </c>
      <c r="BP616">
        <f>IF(603&lt;$U$9,MOD(603,$U$8)+1,1)</f>
        <v/>
      </c>
      <c r="BQ616">
        <f>IF(603&lt;$U$9,SUMPRODUCT(($D$10:$L$10&lt;&gt;"")*(($D$9:$L$9+INT(($S$12:$AA$12+INDEX($AJ$13:$AR$162,BN616,0)+INDEX($AT$13:$BB$162,BO616,0)+INDEX($BD$13:$BL$162,BP616,0))/100))&gt;=$D$10:$L$10)),0)</f>
        <v/>
      </c>
      <c r="BR616">
        <f>IF(603&lt;$U$9,SUMPRODUCT(($D$10:$L$10&lt;&gt;"")*(($D$10:$L$10-($D$9:$L$9+INT(($S$12:$AA$12+INDEX($AJ$13:$AR$162,BN616,0)+INDEX($AT$13:$BB$162,BO616,0)+INDEX($BD$13:$BL$162,BP616,0))/100)))&gt;0)*($D$10:$L$10-($D$9:$L$9+INT(($S$12:$AA$12+INDEX($AJ$13:$AR$162,BN616,0)+INDEX($AT$13:$BB$162,BO616,0)+INDEX($BD$13:$BL$162,BP616,0))/100)))),0)</f>
        <v/>
      </c>
      <c r="BS616">
        <f>IF(603&lt;$U$9,SUMPRODUCT(($D$9:$L$9+INT(($S$12:$AA$12+INDEX($AJ$13:$AR$162,BN616,0)+INDEX($AT$13:$BB$162,BO616,0)+INDEX($BD$13:$BL$162,BP616,0))/100))),0)</f>
        <v/>
      </c>
      <c r="BT616">
        <f>IF(AND(603&lt;$U$9,$W$5),BQ616*1000000-MIN(BR616,999)*1000+BS616-603/100000,-1000000000-603)</f>
        <v/>
      </c>
    </row>
    <row r="617">
      <c r="BN617">
        <f>IF(604&lt;$U$9,INT(604/($U$7*$U$8))+1,1)</f>
        <v/>
      </c>
      <c r="BO617">
        <f>IF(604&lt;$U$9,MOD(INT(604/$U$8),$U$7)+1,1)</f>
        <v/>
      </c>
      <c r="BP617">
        <f>IF(604&lt;$U$9,MOD(604,$U$8)+1,1)</f>
        <v/>
      </c>
      <c r="BQ617">
        <f>IF(604&lt;$U$9,SUMPRODUCT(($D$10:$L$10&lt;&gt;"")*(($D$9:$L$9+INT(($S$12:$AA$12+INDEX($AJ$13:$AR$162,BN617,0)+INDEX($AT$13:$BB$162,BO617,0)+INDEX($BD$13:$BL$162,BP617,0))/100))&gt;=$D$10:$L$10)),0)</f>
        <v/>
      </c>
      <c r="BR617">
        <f>IF(604&lt;$U$9,SUMPRODUCT(($D$10:$L$10&lt;&gt;"")*(($D$10:$L$10-($D$9:$L$9+INT(($S$12:$AA$12+INDEX($AJ$13:$AR$162,BN617,0)+INDEX($AT$13:$BB$162,BO617,0)+INDEX($BD$13:$BL$162,BP617,0))/100)))&gt;0)*($D$10:$L$10-($D$9:$L$9+INT(($S$12:$AA$12+INDEX($AJ$13:$AR$162,BN617,0)+INDEX($AT$13:$BB$162,BO617,0)+INDEX($BD$13:$BL$162,BP617,0))/100)))),0)</f>
        <v/>
      </c>
      <c r="BS617">
        <f>IF(604&lt;$U$9,SUMPRODUCT(($D$9:$L$9+INT(($S$12:$AA$12+INDEX($AJ$13:$AR$162,BN617,0)+INDEX($AT$13:$BB$162,BO617,0)+INDEX($BD$13:$BL$162,BP617,0))/100))),0)</f>
        <v/>
      </c>
      <c r="BT617">
        <f>IF(AND(604&lt;$U$9,$W$5),BQ617*1000000-MIN(BR617,999)*1000+BS617-604/100000,-1000000000-604)</f>
        <v/>
      </c>
    </row>
    <row r="618">
      <c r="BN618">
        <f>IF(605&lt;$U$9,INT(605/($U$7*$U$8))+1,1)</f>
        <v/>
      </c>
      <c r="BO618">
        <f>IF(605&lt;$U$9,MOD(INT(605/$U$8),$U$7)+1,1)</f>
        <v/>
      </c>
      <c r="BP618">
        <f>IF(605&lt;$U$9,MOD(605,$U$8)+1,1)</f>
        <v/>
      </c>
      <c r="BQ618">
        <f>IF(605&lt;$U$9,SUMPRODUCT(($D$10:$L$10&lt;&gt;"")*(($D$9:$L$9+INT(($S$12:$AA$12+INDEX($AJ$13:$AR$162,BN618,0)+INDEX($AT$13:$BB$162,BO618,0)+INDEX($BD$13:$BL$162,BP618,0))/100))&gt;=$D$10:$L$10)),0)</f>
        <v/>
      </c>
      <c r="BR618">
        <f>IF(605&lt;$U$9,SUMPRODUCT(($D$10:$L$10&lt;&gt;"")*(($D$10:$L$10-($D$9:$L$9+INT(($S$12:$AA$12+INDEX($AJ$13:$AR$162,BN618,0)+INDEX($AT$13:$BB$162,BO618,0)+INDEX($BD$13:$BL$162,BP618,0))/100)))&gt;0)*($D$10:$L$10-($D$9:$L$9+INT(($S$12:$AA$12+INDEX($AJ$13:$AR$162,BN618,0)+INDEX($AT$13:$BB$162,BO618,0)+INDEX($BD$13:$BL$162,BP618,0))/100)))),0)</f>
        <v/>
      </c>
      <c r="BS618">
        <f>IF(605&lt;$U$9,SUMPRODUCT(($D$9:$L$9+INT(($S$12:$AA$12+INDEX($AJ$13:$AR$162,BN618,0)+INDEX($AT$13:$BB$162,BO618,0)+INDEX($BD$13:$BL$162,BP618,0))/100))),0)</f>
        <v/>
      </c>
      <c r="BT618">
        <f>IF(AND(605&lt;$U$9,$W$5),BQ618*1000000-MIN(BR618,999)*1000+BS618-605/100000,-1000000000-605)</f>
        <v/>
      </c>
    </row>
    <row r="619">
      <c r="BN619">
        <f>IF(606&lt;$U$9,INT(606/($U$7*$U$8))+1,1)</f>
        <v/>
      </c>
      <c r="BO619">
        <f>IF(606&lt;$U$9,MOD(INT(606/$U$8),$U$7)+1,1)</f>
        <v/>
      </c>
      <c r="BP619">
        <f>IF(606&lt;$U$9,MOD(606,$U$8)+1,1)</f>
        <v/>
      </c>
      <c r="BQ619">
        <f>IF(606&lt;$U$9,SUMPRODUCT(($D$10:$L$10&lt;&gt;"")*(($D$9:$L$9+INT(($S$12:$AA$12+INDEX($AJ$13:$AR$162,BN619,0)+INDEX($AT$13:$BB$162,BO619,0)+INDEX($BD$13:$BL$162,BP619,0))/100))&gt;=$D$10:$L$10)),0)</f>
        <v/>
      </c>
      <c r="BR619">
        <f>IF(606&lt;$U$9,SUMPRODUCT(($D$10:$L$10&lt;&gt;"")*(($D$10:$L$10-($D$9:$L$9+INT(($S$12:$AA$12+INDEX($AJ$13:$AR$162,BN619,0)+INDEX($AT$13:$BB$162,BO619,0)+INDEX($BD$13:$BL$162,BP619,0))/100)))&gt;0)*($D$10:$L$10-($D$9:$L$9+INT(($S$12:$AA$12+INDEX($AJ$13:$AR$162,BN619,0)+INDEX($AT$13:$BB$162,BO619,0)+INDEX($BD$13:$BL$162,BP619,0))/100)))),0)</f>
        <v/>
      </c>
      <c r="BS619">
        <f>IF(606&lt;$U$9,SUMPRODUCT(($D$9:$L$9+INT(($S$12:$AA$12+INDEX($AJ$13:$AR$162,BN619,0)+INDEX($AT$13:$BB$162,BO619,0)+INDEX($BD$13:$BL$162,BP619,0))/100))),0)</f>
        <v/>
      </c>
      <c r="BT619">
        <f>IF(AND(606&lt;$U$9,$W$5),BQ619*1000000-MIN(BR619,999)*1000+BS619-606/100000,-1000000000-606)</f>
        <v/>
      </c>
    </row>
    <row r="620">
      <c r="BN620">
        <f>IF(607&lt;$U$9,INT(607/($U$7*$U$8))+1,1)</f>
        <v/>
      </c>
      <c r="BO620">
        <f>IF(607&lt;$U$9,MOD(INT(607/$U$8),$U$7)+1,1)</f>
        <v/>
      </c>
      <c r="BP620">
        <f>IF(607&lt;$U$9,MOD(607,$U$8)+1,1)</f>
        <v/>
      </c>
      <c r="BQ620">
        <f>IF(607&lt;$U$9,SUMPRODUCT(($D$10:$L$10&lt;&gt;"")*(($D$9:$L$9+INT(($S$12:$AA$12+INDEX($AJ$13:$AR$162,BN620,0)+INDEX($AT$13:$BB$162,BO620,0)+INDEX($BD$13:$BL$162,BP620,0))/100))&gt;=$D$10:$L$10)),0)</f>
        <v/>
      </c>
      <c r="BR620">
        <f>IF(607&lt;$U$9,SUMPRODUCT(($D$10:$L$10&lt;&gt;"")*(($D$10:$L$10-($D$9:$L$9+INT(($S$12:$AA$12+INDEX($AJ$13:$AR$162,BN620,0)+INDEX($AT$13:$BB$162,BO620,0)+INDEX($BD$13:$BL$162,BP620,0))/100)))&gt;0)*($D$10:$L$10-($D$9:$L$9+INT(($S$12:$AA$12+INDEX($AJ$13:$AR$162,BN620,0)+INDEX($AT$13:$BB$162,BO620,0)+INDEX($BD$13:$BL$162,BP620,0))/100)))),0)</f>
        <v/>
      </c>
      <c r="BS620">
        <f>IF(607&lt;$U$9,SUMPRODUCT(($D$9:$L$9+INT(($S$12:$AA$12+INDEX($AJ$13:$AR$162,BN620,0)+INDEX($AT$13:$BB$162,BO620,0)+INDEX($BD$13:$BL$162,BP620,0))/100))),0)</f>
        <v/>
      </c>
      <c r="BT620">
        <f>IF(AND(607&lt;$U$9,$W$5),BQ620*1000000-MIN(BR620,999)*1000+BS620-607/100000,-1000000000-607)</f>
        <v/>
      </c>
    </row>
    <row r="621">
      <c r="BN621">
        <f>IF(608&lt;$U$9,INT(608/($U$7*$U$8))+1,1)</f>
        <v/>
      </c>
      <c r="BO621">
        <f>IF(608&lt;$U$9,MOD(INT(608/$U$8),$U$7)+1,1)</f>
        <v/>
      </c>
      <c r="BP621">
        <f>IF(608&lt;$U$9,MOD(608,$U$8)+1,1)</f>
        <v/>
      </c>
      <c r="BQ621">
        <f>IF(608&lt;$U$9,SUMPRODUCT(($D$10:$L$10&lt;&gt;"")*(($D$9:$L$9+INT(($S$12:$AA$12+INDEX($AJ$13:$AR$162,BN621,0)+INDEX($AT$13:$BB$162,BO621,0)+INDEX($BD$13:$BL$162,BP621,0))/100))&gt;=$D$10:$L$10)),0)</f>
        <v/>
      </c>
      <c r="BR621">
        <f>IF(608&lt;$U$9,SUMPRODUCT(($D$10:$L$10&lt;&gt;"")*(($D$10:$L$10-($D$9:$L$9+INT(($S$12:$AA$12+INDEX($AJ$13:$AR$162,BN621,0)+INDEX($AT$13:$BB$162,BO621,0)+INDEX($BD$13:$BL$162,BP621,0))/100)))&gt;0)*($D$10:$L$10-($D$9:$L$9+INT(($S$12:$AA$12+INDEX($AJ$13:$AR$162,BN621,0)+INDEX($AT$13:$BB$162,BO621,0)+INDEX($BD$13:$BL$162,BP621,0))/100)))),0)</f>
        <v/>
      </c>
      <c r="BS621">
        <f>IF(608&lt;$U$9,SUMPRODUCT(($D$9:$L$9+INT(($S$12:$AA$12+INDEX($AJ$13:$AR$162,BN621,0)+INDEX($AT$13:$BB$162,BO621,0)+INDEX($BD$13:$BL$162,BP621,0))/100))),0)</f>
        <v/>
      </c>
      <c r="BT621">
        <f>IF(AND(608&lt;$U$9,$W$5),BQ621*1000000-MIN(BR621,999)*1000+BS621-608/100000,-1000000000-608)</f>
        <v/>
      </c>
    </row>
    <row r="622">
      <c r="BN622">
        <f>IF(609&lt;$U$9,INT(609/($U$7*$U$8))+1,1)</f>
        <v/>
      </c>
      <c r="BO622">
        <f>IF(609&lt;$U$9,MOD(INT(609/$U$8),$U$7)+1,1)</f>
        <v/>
      </c>
      <c r="BP622">
        <f>IF(609&lt;$U$9,MOD(609,$U$8)+1,1)</f>
        <v/>
      </c>
      <c r="BQ622">
        <f>IF(609&lt;$U$9,SUMPRODUCT(($D$10:$L$10&lt;&gt;"")*(($D$9:$L$9+INT(($S$12:$AA$12+INDEX($AJ$13:$AR$162,BN622,0)+INDEX($AT$13:$BB$162,BO622,0)+INDEX($BD$13:$BL$162,BP622,0))/100))&gt;=$D$10:$L$10)),0)</f>
        <v/>
      </c>
      <c r="BR622">
        <f>IF(609&lt;$U$9,SUMPRODUCT(($D$10:$L$10&lt;&gt;"")*(($D$10:$L$10-($D$9:$L$9+INT(($S$12:$AA$12+INDEX($AJ$13:$AR$162,BN622,0)+INDEX($AT$13:$BB$162,BO622,0)+INDEX($BD$13:$BL$162,BP622,0))/100)))&gt;0)*($D$10:$L$10-($D$9:$L$9+INT(($S$12:$AA$12+INDEX($AJ$13:$AR$162,BN622,0)+INDEX($AT$13:$BB$162,BO622,0)+INDEX($BD$13:$BL$162,BP622,0))/100)))),0)</f>
        <v/>
      </c>
      <c r="BS622">
        <f>IF(609&lt;$U$9,SUMPRODUCT(($D$9:$L$9+INT(($S$12:$AA$12+INDEX($AJ$13:$AR$162,BN622,0)+INDEX($AT$13:$BB$162,BO622,0)+INDEX($BD$13:$BL$162,BP622,0))/100))),0)</f>
        <v/>
      </c>
      <c r="BT622">
        <f>IF(AND(609&lt;$U$9,$W$5),BQ622*1000000-MIN(BR622,999)*1000+BS622-609/100000,-1000000000-609)</f>
        <v/>
      </c>
    </row>
    <row r="623">
      <c r="BN623">
        <f>IF(610&lt;$U$9,INT(610/($U$7*$U$8))+1,1)</f>
        <v/>
      </c>
      <c r="BO623">
        <f>IF(610&lt;$U$9,MOD(INT(610/$U$8),$U$7)+1,1)</f>
        <v/>
      </c>
      <c r="BP623">
        <f>IF(610&lt;$U$9,MOD(610,$U$8)+1,1)</f>
        <v/>
      </c>
      <c r="BQ623">
        <f>IF(610&lt;$U$9,SUMPRODUCT(($D$10:$L$10&lt;&gt;"")*(($D$9:$L$9+INT(($S$12:$AA$12+INDEX($AJ$13:$AR$162,BN623,0)+INDEX($AT$13:$BB$162,BO623,0)+INDEX($BD$13:$BL$162,BP623,0))/100))&gt;=$D$10:$L$10)),0)</f>
        <v/>
      </c>
      <c r="BR623">
        <f>IF(610&lt;$U$9,SUMPRODUCT(($D$10:$L$10&lt;&gt;"")*(($D$10:$L$10-($D$9:$L$9+INT(($S$12:$AA$12+INDEX($AJ$13:$AR$162,BN623,0)+INDEX($AT$13:$BB$162,BO623,0)+INDEX($BD$13:$BL$162,BP623,0))/100)))&gt;0)*($D$10:$L$10-($D$9:$L$9+INT(($S$12:$AA$12+INDEX($AJ$13:$AR$162,BN623,0)+INDEX($AT$13:$BB$162,BO623,0)+INDEX($BD$13:$BL$162,BP623,0))/100)))),0)</f>
        <v/>
      </c>
      <c r="BS623">
        <f>IF(610&lt;$U$9,SUMPRODUCT(($D$9:$L$9+INT(($S$12:$AA$12+INDEX($AJ$13:$AR$162,BN623,0)+INDEX($AT$13:$BB$162,BO623,0)+INDEX($BD$13:$BL$162,BP623,0))/100))),0)</f>
        <v/>
      </c>
      <c r="BT623">
        <f>IF(AND(610&lt;$U$9,$W$5),BQ623*1000000-MIN(BR623,999)*1000+BS623-610/100000,-1000000000-610)</f>
        <v/>
      </c>
    </row>
    <row r="624">
      <c r="BN624">
        <f>IF(611&lt;$U$9,INT(611/($U$7*$U$8))+1,1)</f>
        <v/>
      </c>
      <c r="BO624">
        <f>IF(611&lt;$U$9,MOD(INT(611/$U$8),$U$7)+1,1)</f>
        <v/>
      </c>
      <c r="BP624">
        <f>IF(611&lt;$U$9,MOD(611,$U$8)+1,1)</f>
        <v/>
      </c>
      <c r="BQ624">
        <f>IF(611&lt;$U$9,SUMPRODUCT(($D$10:$L$10&lt;&gt;"")*(($D$9:$L$9+INT(($S$12:$AA$12+INDEX($AJ$13:$AR$162,BN624,0)+INDEX($AT$13:$BB$162,BO624,0)+INDEX($BD$13:$BL$162,BP624,0))/100))&gt;=$D$10:$L$10)),0)</f>
        <v/>
      </c>
      <c r="BR624">
        <f>IF(611&lt;$U$9,SUMPRODUCT(($D$10:$L$10&lt;&gt;"")*(($D$10:$L$10-($D$9:$L$9+INT(($S$12:$AA$12+INDEX($AJ$13:$AR$162,BN624,0)+INDEX($AT$13:$BB$162,BO624,0)+INDEX($BD$13:$BL$162,BP624,0))/100)))&gt;0)*($D$10:$L$10-($D$9:$L$9+INT(($S$12:$AA$12+INDEX($AJ$13:$AR$162,BN624,0)+INDEX($AT$13:$BB$162,BO624,0)+INDEX($BD$13:$BL$162,BP624,0))/100)))),0)</f>
        <v/>
      </c>
      <c r="BS624">
        <f>IF(611&lt;$U$9,SUMPRODUCT(($D$9:$L$9+INT(($S$12:$AA$12+INDEX($AJ$13:$AR$162,BN624,0)+INDEX($AT$13:$BB$162,BO624,0)+INDEX($BD$13:$BL$162,BP624,0))/100))),0)</f>
        <v/>
      </c>
      <c r="BT624">
        <f>IF(AND(611&lt;$U$9,$W$5),BQ624*1000000-MIN(BR624,999)*1000+BS624-611/100000,-1000000000-611)</f>
        <v/>
      </c>
    </row>
    <row r="625">
      <c r="BN625">
        <f>IF(612&lt;$U$9,INT(612/($U$7*$U$8))+1,1)</f>
        <v/>
      </c>
      <c r="BO625">
        <f>IF(612&lt;$U$9,MOD(INT(612/$U$8),$U$7)+1,1)</f>
        <v/>
      </c>
      <c r="BP625">
        <f>IF(612&lt;$U$9,MOD(612,$U$8)+1,1)</f>
        <v/>
      </c>
      <c r="BQ625">
        <f>IF(612&lt;$U$9,SUMPRODUCT(($D$10:$L$10&lt;&gt;"")*(($D$9:$L$9+INT(($S$12:$AA$12+INDEX($AJ$13:$AR$162,BN625,0)+INDEX($AT$13:$BB$162,BO625,0)+INDEX($BD$13:$BL$162,BP625,0))/100))&gt;=$D$10:$L$10)),0)</f>
        <v/>
      </c>
      <c r="BR625">
        <f>IF(612&lt;$U$9,SUMPRODUCT(($D$10:$L$10&lt;&gt;"")*(($D$10:$L$10-($D$9:$L$9+INT(($S$12:$AA$12+INDEX($AJ$13:$AR$162,BN625,0)+INDEX($AT$13:$BB$162,BO625,0)+INDEX($BD$13:$BL$162,BP625,0))/100)))&gt;0)*($D$10:$L$10-($D$9:$L$9+INT(($S$12:$AA$12+INDEX($AJ$13:$AR$162,BN625,0)+INDEX($AT$13:$BB$162,BO625,0)+INDEX($BD$13:$BL$162,BP625,0))/100)))),0)</f>
        <v/>
      </c>
      <c r="BS625">
        <f>IF(612&lt;$U$9,SUMPRODUCT(($D$9:$L$9+INT(($S$12:$AA$12+INDEX($AJ$13:$AR$162,BN625,0)+INDEX($AT$13:$BB$162,BO625,0)+INDEX($BD$13:$BL$162,BP625,0))/100))),0)</f>
        <v/>
      </c>
      <c r="BT625">
        <f>IF(AND(612&lt;$U$9,$W$5),BQ625*1000000-MIN(BR625,999)*1000+BS625-612/100000,-1000000000-612)</f>
        <v/>
      </c>
    </row>
    <row r="626">
      <c r="BN626">
        <f>IF(613&lt;$U$9,INT(613/($U$7*$U$8))+1,1)</f>
        <v/>
      </c>
      <c r="BO626">
        <f>IF(613&lt;$U$9,MOD(INT(613/$U$8),$U$7)+1,1)</f>
        <v/>
      </c>
      <c r="BP626">
        <f>IF(613&lt;$U$9,MOD(613,$U$8)+1,1)</f>
        <v/>
      </c>
      <c r="BQ626">
        <f>IF(613&lt;$U$9,SUMPRODUCT(($D$10:$L$10&lt;&gt;"")*(($D$9:$L$9+INT(($S$12:$AA$12+INDEX($AJ$13:$AR$162,BN626,0)+INDEX($AT$13:$BB$162,BO626,0)+INDEX($BD$13:$BL$162,BP626,0))/100))&gt;=$D$10:$L$10)),0)</f>
        <v/>
      </c>
      <c r="BR626">
        <f>IF(613&lt;$U$9,SUMPRODUCT(($D$10:$L$10&lt;&gt;"")*(($D$10:$L$10-($D$9:$L$9+INT(($S$12:$AA$12+INDEX($AJ$13:$AR$162,BN626,0)+INDEX($AT$13:$BB$162,BO626,0)+INDEX($BD$13:$BL$162,BP626,0))/100)))&gt;0)*($D$10:$L$10-($D$9:$L$9+INT(($S$12:$AA$12+INDEX($AJ$13:$AR$162,BN626,0)+INDEX($AT$13:$BB$162,BO626,0)+INDEX($BD$13:$BL$162,BP626,0))/100)))),0)</f>
        <v/>
      </c>
      <c r="BS626">
        <f>IF(613&lt;$U$9,SUMPRODUCT(($D$9:$L$9+INT(($S$12:$AA$12+INDEX($AJ$13:$AR$162,BN626,0)+INDEX($AT$13:$BB$162,BO626,0)+INDEX($BD$13:$BL$162,BP626,0))/100))),0)</f>
        <v/>
      </c>
      <c r="BT626">
        <f>IF(AND(613&lt;$U$9,$W$5),BQ626*1000000-MIN(BR626,999)*1000+BS626-613/100000,-1000000000-613)</f>
        <v/>
      </c>
    </row>
    <row r="627">
      <c r="BN627">
        <f>IF(614&lt;$U$9,INT(614/($U$7*$U$8))+1,1)</f>
        <v/>
      </c>
      <c r="BO627">
        <f>IF(614&lt;$U$9,MOD(INT(614/$U$8),$U$7)+1,1)</f>
        <v/>
      </c>
      <c r="BP627">
        <f>IF(614&lt;$U$9,MOD(614,$U$8)+1,1)</f>
        <v/>
      </c>
      <c r="BQ627">
        <f>IF(614&lt;$U$9,SUMPRODUCT(($D$10:$L$10&lt;&gt;"")*(($D$9:$L$9+INT(($S$12:$AA$12+INDEX($AJ$13:$AR$162,BN627,0)+INDEX($AT$13:$BB$162,BO627,0)+INDEX($BD$13:$BL$162,BP627,0))/100))&gt;=$D$10:$L$10)),0)</f>
        <v/>
      </c>
      <c r="BR627">
        <f>IF(614&lt;$U$9,SUMPRODUCT(($D$10:$L$10&lt;&gt;"")*(($D$10:$L$10-($D$9:$L$9+INT(($S$12:$AA$12+INDEX($AJ$13:$AR$162,BN627,0)+INDEX($AT$13:$BB$162,BO627,0)+INDEX($BD$13:$BL$162,BP627,0))/100)))&gt;0)*($D$10:$L$10-($D$9:$L$9+INT(($S$12:$AA$12+INDEX($AJ$13:$AR$162,BN627,0)+INDEX($AT$13:$BB$162,BO627,0)+INDEX($BD$13:$BL$162,BP627,0))/100)))),0)</f>
        <v/>
      </c>
      <c r="BS627">
        <f>IF(614&lt;$U$9,SUMPRODUCT(($D$9:$L$9+INT(($S$12:$AA$12+INDEX($AJ$13:$AR$162,BN627,0)+INDEX($AT$13:$BB$162,BO627,0)+INDEX($BD$13:$BL$162,BP627,0))/100))),0)</f>
        <v/>
      </c>
      <c r="BT627">
        <f>IF(AND(614&lt;$U$9,$W$5),BQ627*1000000-MIN(BR627,999)*1000+BS627-614/100000,-1000000000-614)</f>
        <v/>
      </c>
    </row>
    <row r="628">
      <c r="BN628">
        <f>IF(615&lt;$U$9,INT(615/($U$7*$U$8))+1,1)</f>
        <v/>
      </c>
      <c r="BO628">
        <f>IF(615&lt;$U$9,MOD(INT(615/$U$8),$U$7)+1,1)</f>
        <v/>
      </c>
      <c r="BP628">
        <f>IF(615&lt;$U$9,MOD(615,$U$8)+1,1)</f>
        <v/>
      </c>
      <c r="BQ628">
        <f>IF(615&lt;$U$9,SUMPRODUCT(($D$10:$L$10&lt;&gt;"")*(($D$9:$L$9+INT(($S$12:$AA$12+INDEX($AJ$13:$AR$162,BN628,0)+INDEX($AT$13:$BB$162,BO628,0)+INDEX($BD$13:$BL$162,BP628,0))/100))&gt;=$D$10:$L$10)),0)</f>
        <v/>
      </c>
      <c r="BR628">
        <f>IF(615&lt;$U$9,SUMPRODUCT(($D$10:$L$10&lt;&gt;"")*(($D$10:$L$10-($D$9:$L$9+INT(($S$12:$AA$12+INDEX($AJ$13:$AR$162,BN628,0)+INDEX($AT$13:$BB$162,BO628,0)+INDEX($BD$13:$BL$162,BP628,0))/100)))&gt;0)*($D$10:$L$10-($D$9:$L$9+INT(($S$12:$AA$12+INDEX($AJ$13:$AR$162,BN628,0)+INDEX($AT$13:$BB$162,BO628,0)+INDEX($BD$13:$BL$162,BP628,0))/100)))),0)</f>
        <v/>
      </c>
      <c r="BS628">
        <f>IF(615&lt;$U$9,SUMPRODUCT(($D$9:$L$9+INT(($S$12:$AA$12+INDEX($AJ$13:$AR$162,BN628,0)+INDEX($AT$13:$BB$162,BO628,0)+INDEX($BD$13:$BL$162,BP628,0))/100))),0)</f>
        <v/>
      </c>
      <c r="BT628">
        <f>IF(AND(615&lt;$U$9,$W$5),BQ628*1000000-MIN(BR628,999)*1000+BS628-615/100000,-1000000000-615)</f>
        <v/>
      </c>
    </row>
    <row r="629">
      <c r="BN629">
        <f>IF(616&lt;$U$9,INT(616/($U$7*$U$8))+1,1)</f>
        <v/>
      </c>
      <c r="BO629">
        <f>IF(616&lt;$U$9,MOD(INT(616/$U$8),$U$7)+1,1)</f>
        <v/>
      </c>
      <c r="BP629">
        <f>IF(616&lt;$U$9,MOD(616,$U$8)+1,1)</f>
        <v/>
      </c>
      <c r="BQ629">
        <f>IF(616&lt;$U$9,SUMPRODUCT(($D$10:$L$10&lt;&gt;"")*(($D$9:$L$9+INT(($S$12:$AA$12+INDEX($AJ$13:$AR$162,BN629,0)+INDEX($AT$13:$BB$162,BO629,0)+INDEX($BD$13:$BL$162,BP629,0))/100))&gt;=$D$10:$L$10)),0)</f>
        <v/>
      </c>
      <c r="BR629">
        <f>IF(616&lt;$U$9,SUMPRODUCT(($D$10:$L$10&lt;&gt;"")*(($D$10:$L$10-($D$9:$L$9+INT(($S$12:$AA$12+INDEX($AJ$13:$AR$162,BN629,0)+INDEX($AT$13:$BB$162,BO629,0)+INDEX($BD$13:$BL$162,BP629,0))/100)))&gt;0)*($D$10:$L$10-($D$9:$L$9+INT(($S$12:$AA$12+INDEX($AJ$13:$AR$162,BN629,0)+INDEX($AT$13:$BB$162,BO629,0)+INDEX($BD$13:$BL$162,BP629,0))/100)))),0)</f>
        <v/>
      </c>
      <c r="BS629">
        <f>IF(616&lt;$U$9,SUMPRODUCT(($D$9:$L$9+INT(($S$12:$AA$12+INDEX($AJ$13:$AR$162,BN629,0)+INDEX($AT$13:$BB$162,BO629,0)+INDEX($BD$13:$BL$162,BP629,0))/100))),0)</f>
        <v/>
      </c>
      <c r="BT629">
        <f>IF(AND(616&lt;$U$9,$W$5),BQ629*1000000-MIN(BR629,999)*1000+BS629-616/100000,-1000000000-616)</f>
        <v/>
      </c>
    </row>
    <row r="630">
      <c r="BN630">
        <f>IF(617&lt;$U$9,INT(617/($U$7*$U$8))+1,1)</f>
        <v/>
      </c>
      <c r="BO630">
        <f>IF(617&lt;$U$9,MOD(INT(617/$U$8),$U$7)+1,1)</f>
        <v/>
      </c>
      <c r="BP630">
        <f>IF(617&lt;$U$9,MOD(617,$U$8)+1,1)</f>
        <v/>
      </c>
      <c r="BQ630">
        <f>IF(617&lt;$U$9,SUMPRODUCT(($D$10:$L$10&lt;&gt;"")*(($D$9:$L$9+INT(($S$12:$AA$12+INDEX($AJ$13:$AR$162,BN630,0)+INDEX($AT$13:$BB$162,BO630,0)+INDEX($BD$13:$BL$162,BP630,0))/100))&gt;=$D$10:$L$10)),0)</f>
        <v/>
      </c>
      <c r="BR630">
        <f>IF(617&lt;$U$9,SUMPRODUCT(($D$10:$L$10&lt;&gt;"")*(($D$10:$L$10-($D$9:$L$9+INT(($S$12:$AA$12+INDEX($AJ$13:$AR$162,BN630,0)+INDEX($AT$13:$BB$162,BO630,0)+INDEX($BD$13:$BL$162,BP630,0))/100)))&gt;0)*($D$10:$L$10-($D$9:$L$9+INT(($S$12:$AA$12+INDEX($AJ$13:$AR$162,BN630,0)+INDEX($AT$13:$BB$162,BO630,0)+INDEX($BD$13:$BL$162,BP630,0))/100)))),0)</f>
        <v/>
      </c>
      <c r="BS630">
        <f>IF(617&lt;$U$9,SUMPRODUCT(($D$9:$L$9+INT(($S$12:$AA$12+INDEX($AJ$13:$AR$162,BN630,0)+INDEX($AT$13:$BB$162,BO630,0)+INDEX($BD$13:$BL$162,BP630,0))/100))),0)</f>
        <v/>
      </c>
      <c r="BT630">
        <f>IF(AND(617&lt;$U$9,$W$5),BQ630*1000000-MIN(BR630,999)*1000+BS630-617/100000,-1000000000-617)</f>
        <v/>
      </c>
    </row>
    <row r="631">
      <c r="BN631">
        <f>IF(618&lt;$U$9,INT(618/($U$7*$U$8))+1,1)</f>
        <v/>
      </c>
      <c r="BO631">
        <f>IF(618&lt;$U$9,MOD(INT(618/$U$8),$U$7)+1,1)</f>
        <v/>
      </c>
      <c r="BP631">
        <f>IF(618&lt;$U$9,MOD(618,$U$8)+1,1)</f>
        <v/>
      </c>
      <c r="BQ631">
        <f>IF(618&lt;$U$9,SUMPRODUCT(($D$10:$L$10&lt;&gt;"")*(($D$9:$L$9+INT(($S$12:$AA$12+INDEX($AJ$13:$AR$162,BN631,0)+INDEX($AT$13:$BB$162,BO631,0)+INDEX($BD$13:$BL$162,BP631,0))/100))&gt;=$D$10:$L$10)),0)</f>
        <v/>
      </c>
      <c r="BR631">
        <f>IF(618&lt;$U$9,SUMPRODUCT(($D$10:$L$10&lt;&gt;"")*(($D$10:$L$10-($D$9:$L$9+INT(($S$12:$AA$12+INDEX($AJ$13:$AR$162,BN631,0)+INDEX($AT$13:$BB$162,BO631,0)+INDEX($BD$13:$BL$162,BP631,0))/100)))&gt;0)*($D$10:$L$10-($D$9:$L$9+INT(($S$12:$AA$12+INDEX($AJ$13:$AR$162,BN631,0)+INDEX($AT$13:$BB$162,BO631,0)+INDEX($BD$13:$BL$162,BP631,0))/100)))),0)</f>
        <v/>
      </c>
      <c r="BS631">
        <f>IF(618&lt;$U$9,SUMPRODUCT(($D$9:$L$9+INT(($S$12:$AA$12+INDEX($AJ$13:$AR$162,BN631,0)+INDEX($AT$13:$BB$162,BO631,0)+INDEX($BD$13:$BL$162,BP631,0))/100))),0)</f>
        <v/>
      </c>
      <c r="BT631">
        <f>IF(AND(618&lt;$U$9,$W$5),BQ631*1000000-MIN(BR631,999)*1000+BS631-618/100000,-1000000000-618)</f>
        <v/>
      </c>
    </row>
    <row r="632">
      <c r="BN632">
        <f>IF(619&lt;$U$9,INT(619/($U$7*$U$8))+1,1)</f>
        <v/>
      </c>
      <c r="BO632">
        <f>IF(619&lt;$U$9,MOD(INT(619/$U$8),$U$7)+1,1)</f>
        <v/>
      </c>
      <c r="BP632">
        <f>IF(619&lt;$U$9,MOD(619,$U$8)+1,1)</f>
        <v/>
      </c>
      <c r="BQ632">
        <f>IF(619&lt;$U$9,SUMPRODUCT(($D$10:$L$10&lt;&gt;"")*(($D$9:$L$9+INT(($S$12:$AA$12+INDEX($AJ$13:$AR$162,BN632,0)+INDEX($AT$13:$BB$162,BO632,0)+INDEX($BD$13:$BL$162,BP632,0))/100))&gt;=$D$10:$L$10)),0)</f>
        <v/>
      </c>
      <c r="BR632">
        <f>IF(619&lt;$U$9,SUMPRODUCT(($D$10:$L$10&lt;&gt;"")*(($D$10:$L$10-($D$9:$L$9+INT(($S$12:$AA$12+INDEX($AJ$13:$AR$162,BN632,0)+INDEX($AT$13:$BB$162,BO632,0)+INDEX($BD$13:$BL$162,BP632,0))/100)))&gt;0)*($D$10:$L$10-($D$9:$L$9+INT(($S$12:$AA$12+INDEX($AJ$13:$AR$162,BN632,0)+INDEX($AT$13:$BB$162,BO632,0)+INDEX($BD$13:$BL$162,BP632,0))/100)))),0)</f>
        <v/>
      </c>
      <c r="BS632">
        <f>IF(619&lt;$U$9,SUMPRODUCT(($D$9:$L$9+INT(($S$12:$AA$12+INDEX($AJ$13:$AR$162,BN632,0)+INDEX($AT$13:$BB$162,BO632,0)+INDEX($BD$13:$BL$162,BP632,0))/100))),0)</f>
        <v/>
      </c>
      <c r="BT632">
        <f>IF(AND(619&lt;$U$9,$W$5),BQ632*1000000-MIN(BR632,999)*1000+BS632-619/100000,-1000000000-619)</f>
        <v/>
      </c>
    </row>
    <row r="633">
      <c r="BN633">
        <f>IF(620&lt;$U$9,INT(620/($U$7*$U$8))+1,1)</f>
        <v/>
      </c>
      <c r="BO633">
        <f>IF(620&lt;$U$9,MOD(INT(620/$U$8),$U$7)+1,1)</f>
        <v/>
      </c>
      <c r="BP633">
        <f>IF(620&lt;$U$9,MOD(620,$U$8)+1,1)</f>
        <v/>
      </c>
      <c r="BQ633">
        <f>IF(620&lt;$U$9,SUMPRODUCT(($D$10:$L$10&lt;&gt;"")*(($D$9:$L$9+INT(($S$12:$AA$12+INDEX($AJ$13:$AR$162,BN633,0)+INDEX($AT$13:$BB$162,BO633,0)+INDEX($BD$13:$BL$162,BP633,0))/100))&gt;=$D$10:$L$10)),0)</f>
        <v/>
      </c>
      <c r="BR633">
        <f>IF(620&lt;$U$9,SUMPRODUCT(($D$10:$L$10&lt;&gt;"")*(($D$10:$L$10-($D$9:$L$9+INT(($S$12:$AA$12+INDEX($AJ$13:$AR$162,BN633,0)+INDEX($AT$13:$BB$162,BO633,0)+INDEX($BD$13:$BL$162,BP633,0))/100)))&gt;0)*($D$10:$L$10-($D$9:$L$9+INT(($S$12:$AA$12+INDEX($AJ$13:$AR$162,BN633,0)+INDEX($AT$13:$BB$162,BO633,0)+INDEX($BD$13:$BL$162,BP633,0))/100)))),0)</f>
        <v/>
      </c>
      <c r="BS633">
        <f>IF(620&lt;$U$9,SUMPRODUCT(($D$9:$L$9+INT(($S$12:$AA$12+INDEX($AJ$13:$AR$162,BN633,0)+INDEX($AT$13:$BB$162,BO633,0)+INDEX($BD$13:$BL$162,BP633,0))/100))),0)</f>
        <v/>
      </c>
      <c r="BT633">
        <f>IF(AND(620&lt;$U$9,$W$5),BQ633*1000000-MIN(BR633,999)*1000+BS633-620/100000,-1000000000-620)</f>
        <v/>
      </c>
    </row>
    <row r="634">
      <c r="BN634">
        <f>IF(621&lt;$U$9,INT(621/($U$7*$U$8))+1,1)</f>
        <v/>
      </c>
      <c r="BO634">
        <f>IF(621&lt;$U$9,MOD(INT(621/$U$8),$U$7)+1,1)</f>
        <v/>
      </c>
      <c r="BP634">
        <f>IF(621&lt;$U$9,MOD(621,$U$8)+1,1)</f>
        <v/>
      </c>
      <c r="BQ634">
        <f>IF(621&lt;$U$9,SUMPRODUCT(($D$10:$L$10&lt;&gt;"")*(($D$9:$L$9+INT(($S$12:$AA$12+INDEX($AJ$13:$AR$162,BN634,0)+INDEX($AT$13:$BB$162,BO634,0)+INDEX($BD$13:$BL$162,BP634,0))/100))&gt;=$D$10:$L$10)),0)</f>
        <v/>
      </c>
      <c r="BR634">
        <f>IF(621&lt;$U$9,SUMPRODUCT(($D$10:$L$10&lt;&gt;"")*(($D$10:$L$10-($D$9:$L$9+INT(($S$12:$AA$12+INDEX($AJ$13:$AR$162,BN634,0)+INDEX($AT$13:$BB$162,BO634,0)+INDEX($BD$13:$BL$162,BP634,0))/100)))&gt;0)*($D$10:$L$10-($D$9:$L$9+INT(($S$12:$AA$12+INDEX($AJ$13:$AR$162,BN634,0)+INDEX($AT$13:$BB$162,BO634,0)+INDEX($BD$13:$BL$162,BP634,0))/100)))),0)</f>
        <v/>
      </c>
      <c r="BS634">
        <f>IF(621&lt;$U$9,SUMPRODUCT(($D$9:$L$9+INT(($S$12:$AA$12+INDEX($AJ$13:$AR$162,BN634,0)+INDEX($AT$13:$BB$162,BO634,0)+INDEX($BD$13:$BL$162,BP634,0))/100))),0)</f>
        <v/>
      </c>
      <c r="BT634">
        <f>IF(AND(621&lt;$U$9,$W$5),BQ634*1000000-MIN(BR634,999)*1000+BS634-621/100000,-1000000000-621)</f>
        <v/>
      </c>
    </row>
    <row r="635">
      <c r="BN635">
        <f>IF(622&lt;$U$9,INT(622/($U$7*$U$8))+1,1)</f>
        <v/>
      </c>
      <c r="BO635">
        <f>IF(622&lt;$U$9,MOD(INT(622/$U$8),$U$7)+1,1)</f>
        <v/>
      </c>
      <c r="BP635">
        <f>IF(622&lt;$U$9,MOD(622,$U$8)+1,1)</f>
        <v/>
      </c>
      <c r="BQ635">
        <f>IF(622&lt;$U$9,SUMPRODUCT(($D$10:$L$10&lt;&gt;"")*(($D$9:$L$9+INT(($S$12:$AA$12+INDEX($AJ$13:$AR$162,BN635,0)+INDEX($AT$13:$BB$162,BO635,0)+INDEX($BD$13:$BL$162,BP635,0))/100))&gt;=$D$10:$L$10)),0)</f>
        <v/>
      </c>
      <c r="BR635">
        <f>IF(622&lt;$U$9,SUMPRODUCT(($D$10:$L$10&lt;&gt;"")*(($D$10:$L$10-($D$9:$L$9+INT(($S$12:$AA$12+INDEX($AJ$13:$AR$162,BN635,0)+INDEX($AT$13:$BB$162,BO635,0)+INDEX($BD$13:$BL$162,BP635,0))/100)))&gt;0)*($D$10:$L$10-($D$9:$L$9+INT(($S$12:$AA$12+INDEX($AJ$13:$AR$162,BN635,0)+INDEX($AT$13:$BB$162,BO635,0)+INDEX($BD$13:$BL$162,BP635,0))/100)))),0)</f>
        <v/>
      </c>
      <c r="BS635">
        <f>IF(622&lt;$U$9,SUMPRODUCT(($D$9:$L$9+INT(($S$12:$AA$12+INDEX($AJ$13:$AR$162,BN635,0)+INDEX($AT$13:$BB$162,BO635,0)+INDEX($BD$13:$BL$162,BP635,0))/100))),0)</f>
        <v/>
      </c>
      <c r="BT635">
        <f>IF(AND(622&lt;$U$9,$W$5),BQ635*1000000-MIN(BR635,999)*1000+BS635-622/100000,-1000000000-622)</f>
        <v/>
      </c>
    </row>
    <row r="636">
      <c r="BN636">
        <f>IF(623&lt;$U$9,INT(623/($U$7*$U$8))+1,1)</f>
        <v/>
      </c>
      <c r="BO636">
        <f>IF(623&lt;$U$9,MOD(INT(623/$U$8),$U$7)+1,1)</f>
        <v/>
      </c>
      <c r="BP636">
        <f>IF(623&lt;$U$9,MOD(623,$U$8)+1,1)</f>
        <v/>
      </c>
      <c r="BQ636">
        <f>IF(623&lt;$U$9,SUMPRODUCT(($D$10:$L$10&lt;&gt;"")*(($D$9:$L$9+INT(($S$12:$AA$12+INDEX($AJ$13:$AR$162,BN636,0)+INDEX($AT$13:$BB$162,BO636,0)+INDEX($BD$13:$BL$162,BP636,0))/100))&gt;=$D$10:$L$10)),0)</f>
        <v/>
      </c>
      <c r="BR636">
        <f>IF(623&lt;$U$9,SUMPRODUCT(($D$10:$L$10&lt;&gt;"")*(($D$10:$L$10-($D$9:$L$9+INT(($S$12:$AA$12+INDEX($AJ$13:$AR$162,BN636,0)+INDEX($AT$13:$BB$162,BO636,0)+INDEX($BD$13:$BL$162,BP636,0))/100)))&gt;0)*($D$10:$L$10-($D$9:$L$9+INT(($S$12:$AA$12+INDEX($AJ$13:$AR$162,BN636,0)+INDEX($AT$13:$BB$162,BO636,0)+INDEX($BD$13:$BL$162,BP636,0))/100)))),0)</f>
        <v/>
      </c>
      <c r="BS636">
        <f>IF(623&lt;$U$9,SUMPRODUCT(($D$9:$L$9+INT(($S$12:$AA$12+INDEX($AJ$13:$AR$162,BN636,0)+INDEX($AT$13:$BB$162,BO636,0)+INDEX($BD$13:$BL$162,BP636,0))/100))),0)</f>
        <v/>
      </c>
      <c r="BT636">
        <f>IF(AND(623&lt;$U$9,$W$5),BQ636*1000000-MIN(BR636,999)*1000+BS636-623/100000,-1000000000-623)</f>
        <v/>
      </c>
    </row>
    <row r="637">
      <c r="BN637">
        <f>IF(624&lt;$U$9,INT(624/($U$7*$U$8))+1,1)</f>
        <v/>
      </c>
      <c r="BO637">
        <f>IF(624&lt;$U$9,MOD(INT(624/$U$8),$U$7)+1,1)</f>
        <v/>
      </c>
      <c r="BP637">
        <f>IF(624&lt;$U$9,MOD(624,$U$8)+1,1)</f>
        <v/>
      </c>
      <c r="BQ637">
        <f>IF(624&lt;$U$9,SUMPRODUCT(($D$10:$L$10&lt;&gt;"")*(($D$9:$L$9+INT(($S$12:$AA$12+INDEX($AJ$13:$AR$162,BN637,0)+INDEX($AT$13:$BB$162,BO637,0)+INDEX($BD$13:$BL$162,BP637,0))/100))&gt;=$D$10:$L$10)),0)</f>
        <v/>
      </c>
      <c r="BR637">
        <f>IF(624&lt;$U$9,SUMPRODUCT(($D$10:$L$10&lt;&gt;"")*(($D$10:$L$10-($D$9:$L$9+INT(($S$12:$AA$12+INDEX($AJ$13:$AR$162,BN637,0)+INDEX($AT$13:$BB$162,BO637,0)+INDEX($BD$13:$BL$162,BP637,0))/100)))&gt;0)*($D$10:$L$10-($D$9:$L$9+INT(($S$12:$AA$12+INDEX($AJ$13:$AR$162,BN637,0)+INDEX($AT$13:$BB$162,BO637,0)+INDEX($BD$13:$BL$162,BP637,0))/100)))),0)</f>
        <v/>
      </c>
      <c r="BS637">
        <f>IF(624&lt;$U$9,SUMPRODUCT(($D$9:$L$9+INT(($S$12:$AA$12+INDEX($AJ$13:$AR$162,BN637,0)+INDEX($AT$13:$BB$162,BO637,0)+INDEX($BD$13:$BL$162,BP637,0))/100))),0)</f>
        <v/>
      </c>
      <c r="BT637">
        <f>IF(AND(624&lt;$U$9,$W$5),BQ637*1000000-MIN(BR637,999)*1000+BS637-624/100000,-1000000000-624)</f>
        <v/>
      </c>
    </row>
    <row r="638">
      <c r="BN638">
        <f>IF(625&lt;$U$9,INT(625/($U$7*$U$8))+1,1)</f>
        <v/>
      </c>
      <c r="BO638">
        <f>IF(625&lt;$U$9,MOD(INT(625/$U$8),$U$7)+1,1)</f>
        <v/>
      </c>
      <c r="BP638">
        <f>IF(625&lt;$U$9,MOD(625,$U$8)+1,1)</f>
        <v/>
      </c>
      <c r="BQ638">
        <f>IF(625&lt;$U$9,SUMPRODUCT(($D$10:$L$10&lt;&gt;"")*(($D$9:$L$9+INT(($S$12:$AA$12+INDEX($AJ$13:$AR$162,BN638,0)+INDEX($AT$13:$BB$162,BO638,0)+INDEX($BD$13:$BL$162,BP638,0))/100))&gt;=$D$10:$L$10)),0)</f>
        <v/>
      </c>
      <c r="BR638">
        <f>IF(625&lt;$U$9,SUMPRODUCT(($D$10:$L$10&lt;&gt;"")*(($D$10:$L$10-($D$9:$L$9+INT(($S$12:$AA$12+INDEX($AJ$13:$AR$162,BN638,0)+INDEX($AT$13:$BB$162,BO638,0)+INDEX($BD$13:$BL$162,BP638,0))/100)))&gt;0)*($D$10:$L$10-($D$9:$L$9+INT(($S$12:$AA$12+INDEX($AJ$13:$AR$162,BN638,0)+INDEX($AT$13:$BB$162,BO638,0)+INDEX($BD$13:$BL$162,BP638,0))/100)))),0)</f>
        <v/>
      </c>
      <c r="BS638">
        <f>IF(625&lt;$U$9,SUMPRODUCT(($D$9:$L$9+INT(($S$12:$AA$12+INDEX($AJ$13:$AR$162,BN638,0)+INDEX($AT$13:$BB$162,BO638,0)+INDEX($BD$13:$BL$162,BP638,0))/100))),0)</f>
        <v/>
      </c>
      <c r="BT638">
        <f>IF(AND(625&lt;$U$9,$W$5),BQ638*1000000-MIN(BR638,999)*1000+BS638-625/100000,-1000000000-625)</f>
        <v/>
      </c>
    </row>
    <row r="639">
      <c r="BN639">
        <f>IF(626&lt;$U$9,INT(626/($U$7*$U$8))+1,1)</f>
        <v/>
      </c>
      <c r="BO639">
        <f>IF(626&lt;$U$9,MOD(INT(626/$U$8),$U$7)+1,1)</f>
        <v/>
      </c>
      <c r="BP639">
        <f>IF(626&lt;$U$9,MOD(626,$U$8)+1,1)</f>
        <v/>
      </c>
      <c r="BQ639">
        <f>IF(626&lt;$U$9,SUMPRODUCT(($D$10:$L$10&lt;&gt;"")*(($D$9:$L$9+INT(($S$12:$AA$12+INDEX($AJ$13:$AR$162,BN639,0)+INDEX($AT$13:$BB$162,BO639,0)+INDEX($BD$13:$BL$162,BP639,0))/100))&gt;=$D$10:$L$10)),0)</f>
        <v/>
      </c>
      <c r="BR639">
        <f>IF(626&lt;$U$9,SUMPRODUCT(($D$10:$L$10&lt;&gt;"")*(($D$10:$L$10-($D$9:$L$9+INT(($S$12:$AA$12+INDEX($AJ$13:$AR$162,BN639,0)+INDEX($AT$13:$BB$162,BO639,0)+INDEX($BD$13:$BL$162,BP639,0))/100)))&gt;0)*($D$10:$L$10-($D$9:$L$9+INT(($S$12:$AA$12+INDEX($AJ$13:$AR$162,BN639,0)+INDEX($AT$13:$BB$162,BO639,0)+INDEX($BD$13:$BL$162,BP639,0))/100)))),0)</f>
        <v/>
      </c>
      <c r="BS639">
        <f>IF(626&lt;$U$9,SUMPRODUCT(($D$9:$L$9+INT(($S$12:$AA$12+INDEX($AJ$13:$AR$162,BN639,0)+INDEX($AT$13:$BB$162,BO639,0)+INDEX($BD$13:$BL$162,BP639,0))/100))),0)</f>
        <v/>
      </c>
      <c r="BT639">
        <f>IF(AND(626&lt;$U$9,$W$5),BQ639*1000000-MIN(BR639,999)*1000+BS639-626/100000,-1000000000-626)</f>
        <v/>
      </c>
    </row>
    <row r="640">
      <c r="BN640">
        <f>IF(627&lt;$U$9,INT(627/($U$7*$U$8))+1,1)</f>
        <v/>
      </c>
      <c r="BO640">
        <f>IF(627&lt;$U$9,MOD(INT(627/$U$8),$U$7)+1,1)</f>
        <v/>
      </c>
      <c r="BP640">
        <f>IF(627&lt;$U$9,MOD(627,$U$8)+1,1)</f>
        <v/>
      </c>
      <c r="BQ640">
        <f>IF(627&lt;$U$9,SUMPRODUCT(($D$10:$L$10&lt;&gt;"")*(($D$9:$L$9+INT(($S$12:$AA$12+INDEX($AJ$13:$AR$162,BN640,0)+INDEX($AT$13:$BB$162,BO640,0)+INDEX($BD$13:$BL$162,BP640,0))/100))&gt;=$D$10:$L$10)),0)</f>
        <v/>
      </c>
      <c r="BR640">
        <f>IF(627&lt;$U$9,SUMPRODUCT(($D$10:$L$10&lt;&gt;"")*(($D$10:$L$10-($D$9:$L$9+INT(($S$12:$AA$12+INDEX($AJ$13:$AR$162,BN640,0)+INDEX($AT$13:$BB$162,BO640,0)+INDEX($BD$13:$BL$162,BP640,0))/100)))&gt;0)*($D$10:$L$10-($D$9:$L$9+INT(($S$12:$AA$12+INDEX($AJ$13:$AR$162,BN640,0)+INDEX($AT$13:$BB$162,BO640,0)+INDEX($BD$13:$BL$162,BP640,0))/100)))),0)</f>
        <v/>
      </c>
      <c r="BS640">
        <f>IF(627&lt;$U$9,SUMPRODUCT(($D$9:$L$9+INT(($S$12:$AA$12+INDEX($AJ$13:$AR$162,BN640,0)+INDEX($AT$13:$BB$162,BO640,0)+INDEX($BD$13:$BL$162,BP640,0))/100))),0)</f>
        <v/>
      </c>
      <c r="BT640">
        <f>IF(AND(627&lt;$U$9,$W$5),BQ640*1000000-MIN(BR640,999)*1000+BS640-627/100000,-1000000000-627)</f>
        <v/>
      </c>
    </row>
    <row r="641">
      <c r="BN641">
        <f>IF(628&lt;$U$9,INT(628/($U$7*$U$8))+1,1)</f>
        <v/>
      </c>
      <c r="BO641">
        <f>IF(628&lt;$U$9,MOD(INT(628/$U$8),$U$7)+1,1)</f>
        <v/>
      </c>
      <c r="BP641">
        <f>IF(628&lt;$U$9,MOD(628,$U$8)+1,1)</f>
        <v/>
      </c>
      <c r="BQ641">
        <f>IF(628&lt;$U$9,SUMPRODUCT(($D$10:$L$10&lt;&gt;"")*(($D$9:$L$9+INT(($S$12:$AA$12+INDEX($AJ$13:$AR$162,BN641,0)+INDEX($AT$13:$BB$162,BO641,0)+INDEX($BD$13:$BL$162,BP641,0))/100))&gt;=$D$10:$L$10)),0)</f>
        <v/>
      </c>
      <c r="BR641">
        <f>IF(628&lt;$U$9,SUMPRODUCT(($D$10:$L$10&lt;&gt;"")*(($D$10:$L$10-($D$9:$L$9+INT(($S$12:$AA$12+INDEX($AJ$13:$AR$162,BN641,0)+INDEX($AT$13:$BB$162,BO641,0)+INDEX($BD$13:$BL$162,BP641,0))/100)))&gt;0)*($D$10:$L$10-($D$9:$L$9+INT(($S$12:$AA$12+INDEX($AJ$13:$AR$162,BN641,0)+INDEX($AT$13:$BB$162,BO641,0)+INDEX($BD$13:$BL$162,BP641,0))/100)))),0)</f>
        <v/>
      </c>
      <c r="BS641">
        <f>IF(628&lt;$U$9,SUMPRODUCT(($D$9:$L$9+INT(($S$12:$AA$12+INDEX($AJ$13:$AR$162,BN641,0)+INDEX($AT$13:$BB$162,BO641,0)+INDEX($BD$13:$BL$162,BP641,0))/100))),0)</f>
        <v/>
      </c>
      <c r="BT641">
        <f>IF(AND(628&lt;$U$9,$W$5),BQ641*1000000-MIN(BR641,999)*1000+BS641-628/100000,-1000000000-628)</f>
        <v/>
      </c>
    </row>
    <row r="642">
      <c r="BN642">
        <f>IF(629&lt;$U$9,INT(629/($U$7*$U$8))+1,1)</f>
        <v/>
      </c>
      <c r="BO642">
        <f>IF(629&lt;$U$9,MOD(INT(629/$U$8),$U$7)+1,1)</f>
        <v/>
      </c>
      <c r="BP642">
        <f>IF(629&lt;$U$9,MOD(629,$U$8)+1,1)</f>
        <v/>
      </c>
      <c r="BQ642">
        <f>IF(629&lt;$U$9,SUMPRODUCT(($D$10:$L$10&lt;&gt;"")*(($D$9:$L$9+INT(($S$12:$AA$12+INDEX($AJ$13:$AR$162,BN642,0)+INDEX($AT$13:$BB$162,BO642,0)+INDEX($BD$13:$BL$162,BP642,0))/100))&gt;=$D$10:$L$10)),0)</f>
        <v/>
      </c>
      <c r="BR642">
        <f>IF(629&lt;$U$9,SUMPRODUCT(($D$10:$L$10&lt;&gt;"")*(($D$10:$L$10-($D$9:$L$9+INT(($S$12:$AA$12+INDEX($AJ$13:$AR$162,BN642,0)+INDEX($AT$13:$BB$162,BO642,0)+INDEX($BD$13:$BL$162,BP642,0))/100)))&gt;0)*($D$10:$L$10-($D$9:$L$9+INT(($S$12:$AA$12+INDEX($AJ$13:$AR$162,BN642,0)+INDEX($AT$13:$BB$162,BO642,0)+INDEX($BD$13:$BL$162,BP642,0))/100)))),0)</f>
        <v/>
      </c>
      <c r="BS642">
        <f>IF(629&lt;$U$9,SUMPRODUCT(($D$9:$L$9+INT(($S$12:$AA$12+INDEX($AJ$13:$AR$162,BN642,0)+INDEX($AT$13:$BB$162,BO642,0)+INDEX($BD$13:$BL$162,BP642,0))/100))),0)</f>
        <v/>
      </c>
      <c r="BT642">
        <f>IF(AND(629&lt;$U$9,$W$5),BQ642*1000000-MIN(BR642,999)*1000+BS642-629/100000,-1000000000-629)</f>
        <v/>
      </c>
    </row>
    <row r="643">
      <c r="BN643">
        <f>IF(630&lt;$U$9,INT(630/($U$7*$U$8))+1,1)</f>
        <v/>
      </c>
      <c r="BO643">
        <f>IF(630&lt;$U$9,MOD(INT(630/$U$8),$U$7)+1,1)</f>
        <v/>
      </c>
      <c r="BP643">
        <f>IF(630&lt;$U$9,MOD(630,$U$8)+1,1)</f>
        <v/>
      </c>
      <c r="BQ643">
        <f>IF(630&lt;$U$9,SUMPRODUCT(($D$10:$L$10&lt;&gt;"")*(($D$9:$L$9+INT(($S$12:$AA$12+INDEX($AJ$13:$AR$162,BN643,0)+INDEX($AT$13:$BB$162,BO643,0)+INDEX($BD$13:$BL$162,BP643,0))/100))&gt;=$D$10:$L$10)),0)</f>
        <v/>
      </c>
      <c r="BR643">
        <f>IF(630&lt;$U$9,SUMPRODUCT(($D$10:$L$10&lt;&gt;"")*(($D$10:$L$10-($D$9:$L$9+INT(($S$12:$AA$12+INDEX($AJ$13:$AR$162,BN643,0)+INDEX($AT$13:$BB$162,BO643,0)+INDEX($BD$13:$BL$162,BP643,0))/100)))&gt;0)*($D$10:$L$10-($D$9:$L$9+INT(($S$12:$AA$12+INDEX($AJ$13:$AR$162,BN643,0)+INDEX($AT$13:$BB$162,BO643,0)+INDEX($BD$13:$BL$162,BP643,0))/100)))),0)</f>
        <v/>
      </c>
      <c r="BS643">
        <f>IF(630&lt;$U$9,SUMPRODUCT(($D$9:$L$9+INT(($S$12:$AA$12+INDEX($AJ$13:$AR$162,BN643,0)+INDEX($AT$13:$BB$162,BO643,0)+INDEX($BD$13:$BL$162,BP643,0))/100))),0)</f>
        <v/>
      </c>
      <c r="BT643">
        <f>IF(AND(630&lt;$U$9,$W$5),BQ643*1000000-MIN(BR643,999)*1000+BS643-630/100000,-1000000000-630)</f>
        <v/>
      </c>
    </row>
    <row r="644">
      <c r="BN644">
        <f>IF(631&lt;$U$9,INT(631/($U$7*$U$8))+1,1)</f>
        <v/>
      </c>
      <c r="BO644">
        <f>IF(631&lt;$U$9,MOD(INT(631/$U$8),$U$7)+1,1)</f>
        <v/>
      </c>
      <c r="BP644">
        <f>IF(631&lt;$U$9,MOD(631,$U$8)+1,1)</f>
        <v/>
      </c>
      <c r="BQ644">
        <f>IF(631&lt;$U$9,SUMPRODUCT(($D$10:$L$10&lt;&gt;"")*(($D$9:$L$9+INT(($S$12:$AA$12+INDEX($AJ$13:$AR$162,BN644,0)+INDEX($AT$13:$BB$162,BO644,0)+INDEX($BD$13:$BL$162,BP644,0))/100))&gt;=$D$10:$L$10)),0)</f>
        <v/>
      </c>
      <c r="BR644">
        <f>IF(631&lt;$U$9,SUMPRODUCT(($D$10:$L$10&lt;&gt;"")*(($D$10:$L$10-($D$9:$L$9+INT(($S$12:$AA$12+INDEX($AJ$13:$AR$162,BN644,0)+INDEX($AT$13:$BB$162,BO644,0)+INDEX($BD$13:$BL$162,BP644,0))/100)))&gt;0)*($D$10:$L$10-($D$9:$L$9+INT(($S$12:$AA$12+INDEX($AJ$13:$AR$162,BN644,0)+INDEX($AT$13:$BB$162,BO644,0)+INDEX($BD$13:$BL$162,BP644,0))/100)))),0)</f>
        <v/>
      </c>
      <c r="BS644">
        <f>IF(631&lt;$U$9,SUMPRODUCT(($D$9:$L$9+INT(($S$12:$AA$12+INDEX($AJ$13:$AR$162,BN644,0)+INDEX($AT$13:$BB$162,BO644,0)+INDEX($BD$13:$BL$162,BP644,0))/100))),0)</f>
        <v/>
      </c>
      <c r="BT644">
        <f>IF(AND(631&lt;$U$9,$W$5),BQ644*1000000-MIN(BR644,999)*1000+BS644-631/100000,-1000000000-631)</f>
        <v/>
      </c>
    </row>
    <row r="645">
      <c r="BN645">
        <f>IF(632&lt;$U$9,INT(632/($U$7*$U$8))+1,1)</f>
        <v/>
      </c>
      <c r="BO645">
        <f>IF(632&lt;$U$9,MOD(INT(632/$U$8),$U$7)+1,1)</f>
        <v/>
      </c>
      <c r="BP645">
        <f>IF(632&lt;$U$9,MOD(632,$U$8)+1,1)</f>
        <v/>
      </c>
      <c r="BQ645">
        <f>IF(632&lt;$U$9,SUMPRODUCT(($D$10:$L$10&lt;&gt;"")*(($D$9:$L$9+INT(($S$12:$AA$12+INDEX($AJ$13:$AR$162,BN645,0)+INDEX($AT$13:$BB$162,BO645,0)+INDEX($BD$13:$BL$162,BP645,0))/100))&gt;=$D$10:$L$10)),0)</f>
        <v/>
      </c>
      <c r="BR645">
        <f>IF(632&lt;$U$9,SUMPRODUCT(($D$10:$L$10&lt;&gt;"")*(($D$10:$L$10-($D$9:$L$9+INT(($S$12:$AA$12+INDEX($AJ$13:$AR$162,BN645,0)+INDEX($AT$13:$BB$162,BO645,0)+INDEX($BD$13:$BL$162,BP645,0))/100)))&gt;0)*($D$10:$L$10-($D$9:$L$9+INT(($S$12:$AA$12+INDEX($AJ$13:$AR$162,BN645,0)+INDEX($AT$13:$BB$162,BO645,0)+INDEX($BD$13:$BL$162,BP645,0))/100)))),0)</f>
        <v/>
      </c>
      <c r="BS645">
        <f>IF(632&lt;$U$9,SUMPRODUCT(($D$9:$L$9+INT(($S$12:$AA$12+INDEX($AJ$13:$AR$162,BN645,0)+INDEX($AT$13:$BB$162,BO645,0)+INDEX($BD$13:$BL$162,BP645,0))/100))),0)</f>
        <v/>
      </c>
      <c r="BT645">
        <f>IF(AND(632&lt;$U$9,$W$5),BQ645*1000000-MIN(BR645,999)*1000+BS645-632/100000,-1000000000-632)</f>
        <v/>
      </c>
    </row>
    <row r="646">
      <c r="BN646">
        <f>IF(633&lt;$U$9,INT(633/($U$7*$U$8))+1,1)</f>
        <v/>
      </c>
      <c r="BO646">
        <f>IF(633&lt;$U$9,MOD(INT(633/$U$8),$U$7)+1,1)</f>
        <v/>
      </c>
      <c r="BP646">
        <f>IF(633&lt;$U$9,MOD(633,$U$8)+1,1)</f>
        <v/>
      </c>
      <c r="BQ646">
        <f>IF(633&lt;$U$9,SUMPRODUCT(($D$10:$L$10&lt;&gt;"")*(($D$9:$L$9+INT(($S$12:$AA$12+INDEX($AJ$13:$AR$162,BN646,0)+INDEX($AT$13:$BB$162,BO646,0)+INDEX($BD$13:$BL$162,BP646,0))/100))&gt;=$D$10:$L$10)),0)</f>
        <v/>
      </c>
      <c r="BR646">
        <f>IF(633&lt;$U$9,SUMPRODUCT(($D$10:$L$10&lt;&gt;"")*(($D$10:$L$10-($D$9:$L$9+INT(($S$12:$AA$12+INDEX($AJ$13:$AR$162,BN646,0)+INDEX($AT$13:$BB$162,BO646,0)+INDEX($BD$13:$BL$162,BP646,0))/100)))&gt;0)*($D$10:$L$10-($D$9:$L$9+INT(($S$12:$AA$12+INDEX($AJ$13:$AR$162,BN646,0)+INDEX($AT$13:$BB$162,BO646,0)+INDEX($BD$13:$BL$162,BP646,0))/100)))),0)</f>
        <v/>
      </c>
      <c r="BS646">
        <f>IF(633&lt;$U$9,SUMPRODUCT(($D$9:$L$9+INT(($S$12:$AA$12+INDEX($AJ$13:$AR$162,BN646,0)+INDEX($AT$13:$BB$162,BO646,0)+INDEX($BD$13:$BL$162,BP646,0))/100))),0)</f>
        <v/>
      </c>
      <c r="BT646">
        <f>IF(AND(633&lt;$U$9,$W$5),BQ646*1000000-MIN(BR646,999)*1000+BS646-633/100000,-1000000000-633)</f>
        <v/>
      </c>
    </row>
    <row r="647">
      <c r="BN647">
        <f>IF(634&lt;$U$9,INT(634/($U$7*$U$8))+1,1)</f>
        <v/>
      </c>
      <c r="BO647">
        <f>IF(634&lt;$U$9,MOD(INT(634/$U$8),$U$7)+1,1)</f>
        <v/>
      </c>
      <c r="BP647">
        <f>IF(634&lt;$U$9,MOD(634,$U$8)+1,1)</f>
        <v/>
      </c>
      <c r="BQ647">
        <f>IF(634&lt;$U$9,SUMPRODUCT(($D$10:$L$10&lt;&gt;"")*(($D$9:$L$9+INT(($S$12:$AA$12+INDEX($AJ$13:$AR$162,BN647,0)+INDEX($AT$13:$BB$162,BO647,0)+INDEX($BD$13:$BL$162,BP647,0))/100))&gt;=$D$10:$L$10)),0)</f>
        <v/>
      </c>
      <c r="BR647">
        <f>IF(634&lt;$U$9,SUMPRODUCT(($D$10:$L$10&lt;&gt;"")*(($D$10:$L$10-($D$9:$L$9+INT(($S$12:$AA$12+INDEX($AJ$13:$AR$162,BN647,0)+INDEX($AT$13:$BB$162,BO647,0)+INDEX($BD$13:$BL$162,BP647,0))/100)))&gt;0)*($D$10:$L$10-($D$9:$L$9+INT(($S$12:$AA$12+INDEX($AJ$13:$AR$162,BN647,0)+INDEX($AT$13:$BB$162,BO647,0)+INDEX($BD$13:$BL$162,BP647,0))/100)))),0)</f>
        <v/>
      </c>
      <c r="BS647">
        <f>IF(634&lt;$U$9,SUMPRODUCT(($D$9:$L$9+INT(($S$12:$AA$12+INDEX($AJ$13:$AR$162,BN647,0)+INDEX($AT$13:$BB$162,BO647,0)+INDEX($BD$13:$BL$162,BP647,0))/100))),0)</f>
        <v/>
      </c>
      <c r="BT647">
        <f>IF(AND(634&lt;$U$9,$W$5),BQ647*1000000-MIN(BR647,999)*1000+BS647-634/100000,-1000000000-634)</f>
        <v/>
      </c>
    </row>
    <row r="648">
      <c r="BN648">
        <f>IF(635&lt;$U$9,INT(635/($U$7*$U$8))+1,1)</f>
        <v/>
      </c>
      <c r="BO648">
        <f>IF(635&lt;$U$9,MOD(INT(635/$U$8),$U$7)+1,1)</f>
        <v/>
      </c>
      <c r="BP648">
        <f>IF(635&lt;$U$9,MOD(635,$U$8)+1,1)</f>
        <v/>
      </c>
      <c r="BQ648">
        <f>IF(635&lt;$U$9,SUMPRODUCT(($D$10:$L$10&lt;&gt;"")*(($D$9:$L$9+INT(($S$12:$AA$12+INDEX($AJ$13:$AR$162,BN648,0)+INDEX($AT$13:$BB$162,BO648,0)+INDEX($BD$13:$BL$162,BP648,0))/100))&gt;=$D$10:$L$10)),0)</f>
        <v/>
      </c>
      <c r="BR648">
        <f>IF(635&lt;$U$9,SUMPRODUCT(($D$10:$L$10&lt;&gt;"")*(($D$10:$L$10-($D$9:$L$9+INT(($S$12:$AA$12+INDEX($AJ$13:$AR$162,BN648,0)+INDEX($AT$13:$BB$162,BO648,0)+INDEX($BD$13:$BL$162,BP648,0))/100)))&gt;0)*($D$10:$L$10-($D$9:$L$9+INT(($S$12:$AA$12+INDEX($AJ$13:$AR$162,BN648,0)+INDEX($AT$13:$BB$162,BO648,0)+INDEX($BD$13:$BL$162,BP648,0))/100)))),0)</f>
        <v/>
      </c>
      <c r="BS648">
        <f>IF(635&lt;$U$9,SUMPRODUCT(($D$9:$L$9+INT(($S$12:$AA$12+INDEX($AJ$13:$AR$162,BN648,0)+INDEX($AT$13:$BB$162,BO648,0)+INDEX($BD$13:$BL$162,BP648,0))/100))),0)</f>
        <v/>
      </c>
      <c r="BT648">
        <f>IF(AND(635&lt;$U$9,$W$5),BQ648*1000000-MIN(BR648,999)*1000+BS648-635/100000,-1000000000-635)</f>
        <v/>
      </c>
    </row>
    <row r="649">
      <c r="BN649">
        <f>IF(636&lt;$U$9,INT(636/($U$7*$U$8))+1,1)</f>
        <v/>
      </c>
      <c r="BO649">
        <f>IF(636&lt;$U$9,MOD(INT(636/$U$8),$U$7)+1,1)</f>
        <v/>
      </c>
      <c r="BP649">
        <f>IF(636&lt;$U$9,MOD(636,$U$8)+1,1)</f>
        <v/>
      </c>
      <c r="BQ649">
        <f>IF(636&lt;$U$9,SUMPRODUCT(($D$10:$L$10&lt;&gt;"")*(($D$9:$L$9+INT(($S$12:$AA$12+INDEX($AJ$13:$AR$162,BN649,0)+INDEX($AT$13:$BB$162,BO649,0)+INDEX($BD$13:$BL$162,BP649,0))/100))&gt;=$D$10:$L$10)),0)</f>
        <v/>
      </c>
      <c r="BR649">
        <f>IF(636&lt;$U$9,SUMPRODUCT(($D$10:$L$10&lt;&gt;"")*(($D$10:$L$10-($D$9:$L$9+INT(($S$12:$AA$12+INDEX($AJ$13:$AR$162,BN649,0)+INDEX($AT$13:$BB$162,BO649,0)+INDEX($BD$13:$BL$162,BP649,0))/100)))&gt;0)*($D$10:$L$10-($D$9:$L$9+INT(($S$12:$AA$12+INDEX($AJ$13:$AR$162,BN649,0)+INDEX($AT$13:$BB$162,BO649,0)+INDEX($BD$13:$BL$162,BP649,0))/100)))),0)</f>
        <v/>
      </c>
      <c r="BS649">
        <f>IF(636&lt;$U$9,SUMPRODUCT(($D$9:$L$9+INT(($S$12:$AA$12+INDEX($AJ$13:$AR$162,BN649,0)+INDEX($AT$13:$BB$162,BO649,0)+INDEX($BD$13:$BL$162,BP649,0))/100))),0)</f>
        <v/>
      </c>
      <c r="BT649">
        <f>IF(AND(636&lt;$U$9,$W$5),BQ649*1000000-MIN(BR649,999)*1000+BS649-636/100000,-1000000000-636)</f>
        <v/>
      </c>
    </row>
    <row r="650">
      <c r="BN650">
        <f>IF(637&lt;$U$9,INT(637/($U$7*$U$8))+1,1)</f>
        <v/>
      </c>
      <c r="BO650">
        <f>IF(637&lt;$U$9,MOD(INT(637/$U$8),$U$7)+1,1)</f>
        <v/>
      </c>
      <c r="BP650">
        <f>IF(637&lt;$U$9,MOD(637,$U$8)+1,1)</f>
        <v/>
      </c>
      <c r="BQ650">
        <f>IF(637&lt;$U$9,SUMPRODUCT(($D$10:$L$10&lt;&gt;"")*(($D$9:$L$9+INT(($S$12:$AA$12+INDEX($AJ$13:$AR$162,BN650,0)+INDEX($AT$13:$BB$162,BO650,0)+INDEX($BD$13:$BL$162,BP650,0))/100))&gt;=$D$10:$L$10)),0)</f>
        <v/>
      </c>
      <c r="BR650">
        <f>IF(637&lt;$U$9,SUMPRODUCT(($D$10:$L$10&lt;&gt;"")*(($D$10:$L$10-($D$9:$L$9+INT(($S$12:$AA$12+INDEX($AJ$13:$AR$162,BN650,0)+INDEX($AT$13:$BB$162,BO650,0)+INDEX($BD$13:$BL$162,BP650,0))/100)))&gt;0)*($D$10:$L$10-($D$9:$L$9+INT(($S$12:$AA$12+INDEX($AJ$13:$AR$162,BN650,0)+INDEX($AT$13:$BB$162,BO650,0)+INDEX($BD$13:$BL$162,BP650,0))/100)))),0)</f>
        <v/>
      </c>
      <c r="BS650">
        <f>IF(637&lt;$U$9,SUMPRODUCT(($D$9:$L$9+INT(($S$12:$AA$12+INDEX($AJ$13:$AR$162,BN650,0)+INDEX($AT$13:$BB$162,BO650,0)+INDEX($BD$13:$BL$162,BP650,0))/100))),0)</f>
        <v/>
      </c>
      <c r="BT650">
        <f>IF(AND(637&lt;$U$9,$W$5),BQ650*1000000-MIN(BR650,999)*1000+BS650-637/100000,-1000000000-637)</f>
        <v/>
      </c>
    </row>
    <row r="651">
      <c r="BN651">
        <f>IF(638&lt;$U$9,INT(638/($U$7*$U$8))+1,1)</f>
        <v/>
      </c>
      <c r="BO651">
        <f>IF(638&lt;$U$9,MOD(INT(638/$U$8),$U$7)+1,1)</f>
        <v/>
      </c>
      <c r="BP651">
        <f>IF(638&lt;$U$9,MOD(638,$U$8)+1,1)</f>
        <v/>
      </c>
      <c r="BQ651">
        <f>IF(638&lt;$U$9,SUMPRODUCT(($D$10:$L$10&lt;&gt;"")*(($D$9:$L$9+INT(($S$12:$AA$12+INDEX($AJ$13:$AR$162,BN651,0)+INDEX($AT$13:$BB$162,BO651,0)+INDEX($BD$13:$BL$162,BP651,0))/100))&gt;=$D$10:$L$10)),0)</f>
        <v/>
      </c>
      <c r="BR651">
        <f>IF(638&lt;$U$9,SUMPRODUCT(($D$10:$L$10&lt;&gt;"")*(($D$10:$L$10-($D$9:$L$9+INT(($S$12:$AA$12+INDEX($AJ$13:$AR$162,BN651,0)+INDEX($AT$13:$BB$162,BO651,0)+INDEX($BD$13:$BL$162,BP651,0))/100)))&gt;0)*($D$10:$L$10-($D$9:$L$9+INT(($S$12:$AA$12+INDEX($AJ$13:$AR$162,BN651,0)+INDEX($AT$13:$BB$162,BO651,0)+INDEX($BD$13:$BL$162,BP651,0))/100)))),0)</f>
        <v/>
      </c>
      <c r="BS651">
        <f>IF(638&lt;$U$9,SUMPRODUCT(($D$9:$L$9+INT(($S$12:$AA$12+INDEX($AJ$13:$AR$162,BN651,0)+INDEX($AT$13:$BB$162,BO651,0)+INDEX($BD$13:$BL$162,BP651,0))/100))),0)</f>
        <v/>
      </c>
      <c r="BT651">
        <f>IF(AND(638&lt;$U$9,$W$5),BQ651*1000000-MIN(BR651,999)*1000+BS651-638/100000,-1000000000-638)</f>
        <v/>
      </c>
    </row>
    <row r="652">
      <c r="BN652">
        <f>IF(639&lt;$U$9,INT(639/($U$7*$U$8))+1,1)</f>
        <v/>
      </c>
      <c r="BO652">
        <f>IF(639&lt;$U$9,MOD(INT(639/$U$8),$U$7)+1,1)</f>
        <v/>
      </c>
      <c r="BP652">
        <f>IF(639&lt;$U$9,MOD(639,$U$8)+1,1)</f>
        <v/>
      </c>
      <c r="BQ652">
        <f>IF(639&lt;$U$9,SUMPRODUCT(($D$10:$L$10&lt;&gt;"")*(($D$9:$L$9+INT(($S$12:$AA$12+INDEX($AJ$13:$AR$162,BN652,0)+INDEX($AT$13:$BB$162,BO652,0)+INDEX($BD$13:$BL$162,BP652,0))/100))&gt;=$D$10:$L$10)),0)</f>
        <v/>
      </c>
      <c r="BR652">
        <f>IF(639&lt;$U$9,SUMPRODUCT(($D$10:$L$10&lt;&gt;"")*(($D$10:$L$10-($D$9:$L$9+INT(($S$12:$AA$12+INDEX($AJ$13:$AR$162,BN652,0)+INDEX($AT$13:$BB$162,BO652,0)+INDEX($BD$13:$BL$162,BP652,0))/100)))&gt;0)*($D$10:$L$10-($D$9:$L$9+INT(($S$12:$AA$12+INDEX($AJ$13:$AR$162,BN652,0)+INDEX($AT$13:$BB$162,BO652,0)+INDEX($BD$13:$BL$162,BP652,0))/100)))),0)</f>
        <v/>
      </c>
      <c r="BS652">
        <f>IF(639&lt;$U$9,SUMPRODUCT(($D$9:$L$9+INT(($S$12:$AA$12+INDEX($AJ$13:$AR$162,BN652,0)+INDEX($AT$13:$BB$162,BO652,0)+INDEX($BD$13:$BL$162,BP652,0))/100))),0)</f>
        <v/>
      </c>
      <c r="BT652">
        <f>IF(AND(639&lt;$U$9,$W$5),BQ652*1000000-MIN(BR652,999)*1000+BS652-639/100000,-1000000000-639)</f>
        <v/>
      </c>
    </row>
    <row r="653">
      <c r="BN653">
        <f>IF(640&lt;$U$9,INT(640/($U$7*$U$8))+1,1)</f>
        <v/>
      </c>
      <c r="BO653">
        <f>IF(640&lt;$U$9,MOD(INT(640/$U$8),$U$7)+1,1)</f>
        <v/>
      </c>
      <c r="BP653">
        <f>IF(640&lt;$U$9,MOD(640,$U$8)+1,1)</f>
        <v/>
      </c>
      <c r="BQ653">
        <f>IF(640&lt;$U$9,SUMPRODUCT(($D$10:$L$10&lt;&gt;"")*(($D$9:$L$9+INT(($S$12:$AA$12+INDEX($AJ$13:$AR$162,BN653,0)+INDEX($AT$13:$BB$162,BO653,0)+INDEX($BD$13:$BL$162,BP653,0))/100))&gt;=$D$10:$L$10)),0)</f>
        <v/>
      </c>
      <c r="BR653">
        <f>IF(640&lt;$U$9,SUMPRODUCT(($D$10:$L$10&lt;&gt;"")*(($D$10:$L$10-($D$9:$L$9+INT(($S$12:$AA$12+INDEX($AJ$13:$AR$162,BN653,0)+INDEX($AT$13:$BB$162,BO653,0)+INDEX($BD$13:$BL$162,BP653,0))/100)))&gt;0)*($D$10:$L$10-($D$9:$L$9+INT(($S$12:$AA$12+INDEX($AJ$13:$AR$162,BN653,0)+INDEX($AT$13:$BB$162,BO653,0)+INDEX($BD$13:$BL$162,BP653,0))/100)))),0)</f>
        <v/>
      </c>
      <c r="BS653">
        <f>IF(640&lt;$U$9,SUMPRODUCT(($D$9:$L$9+INT(($S$12:$AA$12+INDEX($AJ$13:$AR$162,BN653,0)+INDEX($AT$13:$BB$162,BO653,0)+INDEX($BD$13:$BL$162,BP653,0))/100))),0)</f>
        <v/>
      </c>
      <c r="BT653">
        <f>IF(AND(640&lt;$U$9,$W$5),BQ653*1000000-MIN(BR653,999)*1000+BS653-640/100000,-1000000000-640)</f>
        <v/>
      </c>
    </row>
    <row r="654">
      <c r="BN654">
        <f>IF(641&lt;$U$9,INT(641/($U$7*$U$8))+1,1)</f>
        <v/>
      </c>
      <c r="BO654">
        <f>IF(641&lt;$U$9,MOD(INT(641/$U$8),$U$7)+1,1)</f>
        <v/>
      </c>
      <c r="BP654">
        <f>IF(641&lt;$U$9,MOD(641,$U$8)+1,1)</f>
        <v/>
      </c>
      <c r="BQ654">
        <f>IF(641&lt;$U$9,SUMPRODUCT(($D$10:$L$10&lt;&gt;"")*(($D$9:$L$9+INT(($S$12:$AA$12+INDEX($AJ$13:$AR$162,BN654,0)+INDEX($AT$13:$BB$162,BO654,0)+INDEX($BD$13:$BL$162,BP654,0))/100))&gt;=$D$10:$L$10)),0)</f>
        <v/>
      </c>
      <c r="BR654">
        <f>IF(641&lt;$U$9,SUMPRODUCT(($D$10:$L$10&lt;&gt;"")*(($D$10:$L$10-($D$9:$L$9+INT(($S$12:$AA$12+INDEX($AJ$13:$AR$162,BN654,0)+INDEX($AT$13:$BB$162,BO654,0)+INDEX($BD$13:$BL$162,BP654,0))/100)))&gt;0)*($D$10:$L$10-($D$9:$L$9+INT(($S$12:$AA$12+INDEX($AJ$13:$AR$162,BN654,0)+INDEX($AT$13:$BB$162,BO654,0)+INDEX($BD$13:$BL$162,BP654,0))/100)))),0)</f>
        <v/>
      </c>
      <c r="BS654">
        <f>IF(641&lt;$U$9,SUMPRODUCT(($D$9:$L$9+INT(($S$12:$AA$12+INDEX($AJ$13:$AR$162,BN654,0)+INDEX($AT$13:$BB$162,BO654,0)+INDEX($BD$13:$BL$162,BP654,0))/100))),0)</f>
        <v/>
      </c>
      <c r="BT654">
        <f>IF(AND(641&lt;$U$9,$W$5),BQ654*1000000-MIN(BR654,999)*1000+BS654-641/100000,-1000000000-641)</f>
        <v/>
      </c>
    </row>
    <row r="655">
      <c r="BN655">
        <f>IF(642&lt;$U$9,INT(642/($U$7*$U$8))+1,1)</f>
        <v/>
      </c>
      <c r="BO655">
        <f>IF(642&lt;$U$9,MOD(INT(642/$U$8),$U$7)+1,1)</f>
        <v/>
      </c>
      <c r="BP655">
        <f>IF(642&lt;$U$9,MOD(642,$U$8)+1,1)</f>
        <v/>
      </c>
      <c r="BQ655">
        <f>IF(642&lt;$U$9,SUMPRODUCT(($D$10:$L$10&lt;&gt;"")*(($D$9:$L$9+INT(($S$12:$AA$12+INDEX($AJ$13:$AR$162,BN655,0)+INDEX($AT$13:$BB$162,BO655,0)+INDEX($BD$13:$BL$162,BP655,0))/100))&gt;=$D$10:$L$10)),0)</f>
        <v/>
      </c>
      <c r="BR655">
        <f>IF(642&lt;$U$9,SUMPRODUCT(($D$10:$L$10&lt;&gt;"")*(($D$10:$L$10-($D$9:$L$9+INT(($S$12:$AA$12+INDEX($AJ$13:$AR$162,BN655,0)+INDEX($AT$13:$BB$162,BO655,0)+INDEX($BD$13:$BL$162,BP655,0))/100)))&gt;0)*($D$10:$L$10-($D$9:$L$9+INT(($S$12:$AA$12+INDEX($AJ$13:$AR$162,BN655,0)+INDEX($AT$13:$BB$162,BO655,0)+INDEX($BD$13:$BL$162,BP655,0))/100)))),0)</f>
        <v/>
      </c>
      <c r="BS655">
        <f>IF(642&lt;$U$9,SUMPRODUCT(($D$9:$L$9+INT(($S$12:$AA$12+INDEX($AJ$13:$AR$162,BN655,0)+INDEX($AT$13:$BB$162,BO655,0)+INDEX($BD$13:$BL$162,BP655,0))/100))),0)</f>
        <v/>
      </c>
      <c r="BT655">
        <f>IF(AND(642&lt;$U$9,$W$5),BQ655*1000000-MIN(BR655,999)*1000+BS655-642/100000,-1000000000-642)</f>
        <v/>
      </c>
    </row>
    <row r="656">
      <c r="BN656">
        <f>IF(643&lt;$U$9,INT(643/($U$7*$U$8))+1,1)</f>
        <v/>
      </c>
      <c r="BO656">
        <f>IF(643&lt;$U$9,MOD(INT(643/$U$8),$U$7)+1,1)</f>
        <v/>
      </c>
      <c r="BP656">
        <f>IF(643&lt;$U$9,MOD(643,$U$8)+1,1)</f>
        <v/>
      </c>
      <c r="BQ656">
        <f>IF(643&lt;$U$9,SUMPRODUCT(($D$10:$L$10&lt;&gt;"")*(($D$9:$L$9+INT(($S$12:$AA$12+INDEX($AJ$13:$AR$162,BN656,0)+INDEX($AT$13:$BB$162,BO656,0)+INDEX($BD$13:$BL$162,BP656,0))/100))&gt;=$D$10:$L$10)),0)</f>
        <v/>
      </c>
      <c r="BR656">
        <f>IF(643&lt;$U$9,SUMPRODUCT(($D$10:$L$10&lt;&gt;"")*(($D$10:$L$10-($D$9:$L$9+INT(($S$12:$AA$12+INDEX($AJ$13:$AR$162,BN656,0)+INDEX($AT$13:$BB$162,BO656,0)+INDEX($BD$13:$BL$162,BP656,0))/100)))&gt;0)*($D$10:$L$10-($D$9:$L$9+INT(($S$12:$AA$12+INDEX($AJ$13:$AR$162,BN656,0)+INDEX($AT$13:$BB$162,BO656,0)+INDEX($BD$13:$BL$162,BP656,0))/100)))),0)</f>
        <v/>
      </c>
      <c r="BS656">
        <f>IF(643&lt;$U$9,SUMPRODUCT(($D$9:$L$9+INT(($S$12:$AA$12+INDEX($AJ$13:$AR$162,BN656,0)+INDEX($AT$13:$BB$162,BO656,0)+INDEX($BD$13:$BL$162,BP656,0))/100))),0)</f>
        <v/>
      </c>
      <c r="BT656">
        <f>IF(AND(643&lt;$U$9,$W$5),BQ656*1000000-MIN(BR656,999)*1000+BS656-643/100000,-1000000000-643)</f>
        <v/>
      </c>
    </row>
    <row r="657">
      <c r="BN657">
        <f>IF(644&lt;$U$9,INT(644/($U$7*$U$8))+1,1)</f>
        <v/>
      </c>
      <c r="BO657">
        <f>IF(644&lt;$U$9,MOD(INT(644/$U$8),$U$7)+1,1)</f>
        <v/>
      </c>
      <c r="BP657">
        <f>IF(644&lt;$U$9,MOD(644,$U$8)+1,1)</f>
        <v/>
      </c>
      <c r="BQ657">
        <f>IF(644&lt;$U$9,SUMPRODUCT(($D$10:$L$10&lt;&gt;"")*(($D$9:$L$9+INT(($S$12:$AA$12+INDEX($AJ$13:$AR$162,BN657,0)+INDEX($AT$13:$BB$162,BO657,0)+INDEX($BD$13:$BL$162,BP657,0))/100))&gt;=$D$10:$L$10)),0)</f>
        <v/>
      </c>
      <c r="BR657">
        <f>IF(644&lt;$U$9,SUMPRODUCT(($D$10:$L$10&lt;&gt;"")*(($D$10:$L$10-($D$9:$L$9+INT(($S$12:$AA$12+INDEX($AJ$13:$AR$162,BN657,0)+INDEX($AT$13:$BB$162,BO657,0)+INDEX($BD$13:$BL$162,BP657,0))/100)))&gt;0)*($D$10:$L$10-($D$9:$L$9+INT(($S$12:$AA$12+INDEX($AJ$13:$AR$162,BN657,0)+INDEX($AT$13:$BB$162,BO657,0)+INDEX($BD$13:$BL$162,BP657,0))/100)))),0)</f>
        <v/>
      </c>
      <c r="BS657">
        <f>IF(644&lt;$U$9,SUMPRODUCT(($D$9:$L$9+INT(($S$12:$AA$12+INDEX($AJ$13:$AR$162,BN657,0)+INDEX($AT$13:$BB$162,BO657,0)+INDEX($BD$13:$BL$162,BP657,0))/100))),0)</f>
        <v/>
      </c>
      <c r="BT657">
        <f>IF(AND(644&lt;$U$9,$W$5),BQ657*1000000-MIN(BR657,999)*1000+BS657-644/100000,-1000000000-644)</f>
        <v/>
      </c>
    </row>
    <row r="658">
      <c r="BN658">
        <f>IF(645&lt;$U$9,INT(645/($U$7*$U$8))+1,1)</f>
        <v/>
      </c>
      <c r="BO658">
        <f>IF(645&lt;$U$9,MOD(INT(645/$U$8),$U$7)+1,1)</f>
        <v/>
      </c>
      <c r="BP658">
        <f>IF(645&lt;$U$9,MOD(645,$U$8)+1,1)</f>
        <v/>
      </c>
      <c r="BQ658">
        <f>IF(645&lt;$U$9,SUMPRODUCT(($D$10:$L$10&lt;&gt;"")*(($D$9:$L$9+INT(($S$12:$AA$12+INDEX($AJ$13:$AR$162,BN658,0)+INDEX($AT$13:$BB$162,BO658,0)+INDEX($BD$13:$BL$162,BP658,0))/100))&gt;=$D$10:$L$10)),0)</f>
        <v/>
      </c>
      <c r="BR658">
        <f>IF(645&lt;$U$9,SUMPRODUCT(($D$10:$L$10&lt;&gt;"")*(($D$10:$L$10-($D$9:$L$9+INT(($S$12:$AA$12+INDEX($AJ$13:$AR$162,BN658,0)+INDEX($AT$13:$BB$162,BO658,0)+INDEX($BD$13:$BL$162,BP658,0))/100)))&gt;0)*($D$10:$L$10-($D$9:$L$9+INT(($S$12:$AA$12+INDEX($AJ$13:$AR$162,BN658,0)+INDEX($AT$13:$BB$162,BO658,0)+INDEX($BD$13:$BL$162,BP658,0))/100)))),0)</f>
        <v/>
      </c>
      <c r="BS658">
        <f>IF(645&lt;$U$9,SUMPRODUCT(($D$9:$L$9+INT(($S$12:$AA$12+INDEX($AJ$13:$AR$162,BN658,0)+INDEX($AT$13:$BB$162,BO658,0)+INDEX($BD$13:$BL$162,BP658,0))/100))),0)</f>
        <v/>
      </c>
      <c r="BT658">
        <f>IF(AND(645&lt;$U$9,$W$5),BQ658*1000000-MIN(BR658,999)*1000+BS658-645/100000,-1000000000-645)</f>
        <v/>
      </c>
    </row>
    <row r="659">
      <c r="BN659">
        <f>IF(646&lt;$U$9,INT(646/($U$7*$U$8))+1,1)</f>
        <v/>
      </c>
      <c r="BO659">
        <f>IF(646&lt;$U$9,MOD(INT(646/$U$8),$U$7)+1,1)</f>
        <v/>
      </c>
      <c r="BP659">
        <f>IF(646&lt;$U$9,MOD(646,$U$8)+1,1)</f>
        <v/>
      </c>
      <c r="BQ659">
        <f>IF(646&lt;$U$9,SUMPRODUCT(($D$10:$L$10&lt;&gt;"")*(($D$9:$L$9+INT(($S$12:$AA$12+INDEX($AJ$13:$AR$162,BN659,0)+INDEX($AT$13:$BB$162,BO659,0)+INDEX($BD$13:$BL$162,BP659,0))/100))&gt;=$D$10:$L$10)),0)</f>
        <v/>
      </c>
      <c r="BR659">
        <f>IF(646&lt;$U$9,SUMPRODUCT(($D$10:$L$10&lt;&gt;"")*(($D$10:$L$10-($D$9:$L$9+INT(($S$12:$AA$12+INDEX($AJ$13:$AR$162,BN659,0)+INDEX($AT$13:$BB$162,BO659,0)+INDEX($BD$13:$BL$162,BP659,0))/100)))&gt;0)*($D$10:$L$10-($D$9:$L$9+INT(($S$12:$AA$12+INDEX($AJ$13:$AR$162,BN659,0)+INDEX($AT$13:$BB$162,BO659,0)+INDEX($BD$13:$BL$162,BP659,0))/100)))),0)</f>
        <v/>
      </c>
      <c r="BS659">
        <f>IF(646&lt;$U$9,SUMPRODUCT(($D$9:$L$9+INT(($S$12:$AA$12+INDEX($AJ$13:$AR$162,BN659,0)+INDEX($AT$13:$BB$162,BO659,0)+INDEX($BD$13:$BL$162,BP659,0))/100))),0)</f>
        <v/>
      </c>
      <c r="BT659">
        <f>IF(AND(646&lt;$U$9,$W$5),BQ659*1000000-MIN(BR659,999)*1000+BS659-646/100000,-1000000000-646)</f>
        <v/>
      </c>
    </row>
    <row r="660">
      <c r="BN660">
        <f>IF(647&lt;$U$9,INT(647/($U$7*$U$8))+1,1)</f>
        <v/>
      </c>
      <c r="BO660">
        <f>IF(647&lt;$U$9,MOD(INT(647/$U$8),$U$7)+1,1)</f>
        <v/>
      </c>
      <c r="BP660">
        <f>IF(647&lt;$U$9,MOD(647,$U$8)+1,1)</f>
        <v/>
      </c>
      <c r="BQ660">
        <f>IF(647&lt;$U$9,SUMPRODUCT(($D$10:$L$10&lt;&gt;"")*(($D$9:$L$9+INT(($S$12:$AA$12+INDEX($AJ$13:$AR$162,BN660,0)+INDEX($AT$13:$BB$162,BO660,0)+INDEX($BD$13:$BL$162,BP660,0))/100))&gt;=$D$10:$L$10)),0)</f>
        <v/>
      </c>
      <c r="BR660">
        <f>IF(647&lt;$U$9,SUMPRODUCT(($D$10:$L$10&lt;&gt;"")*(($D$10:$L$10-($D$9:$L$9+INT(($S$12:$AA$12+INDEX($AJ$13:$AR$162,BN660,0)+INDEX($AT$13:$BB$162,BO660,0)+INDEX($BD$13:$BL$162,BP660,0))/100)))&gt;0)*($D$10:$L$10-($D$9:$L$9+INT(($S$12:$AA$12+INDEX($AJ$13:$AR$162,BN660,0)+INDEX($AT$13:$BB$162,BO660,0)+INDEX($BD$13:$BL$162,BP660,0))/100)))),0)</f>
        <v/>
      </c>
      <c r="BS660">
        <f>IF(647&lt;$U$9,SUMPRODUCT(($D$9:$L$9+INT(($S$12:$AA$12+INDEX($AJ$13:$AR$162,BN660,0)+INDEX($AT$13:$BB$162,BO660,0)+INDEX($BD$13:$BL$162,BP660,0))/100))),0)</f>
        <v/>
      </c>
      <c r="BT660">
        <f>IF(AND(647&lt;$U$9,$W$5),BQ660*1000000-MIN(BR660,999)*1000+BS660-647/100000,-1000000000-647)</f>
        <v/>
      </c>
    </row>
    <row r="661">
      <c r="BN661">
        <f>IF(648&lt;$U$9,INT(648/($U$7*$U$8))+1,1)</f>
        <v/>
      </c>
      <c r="BO661">
        <f>IF(648&lt;$U$9,MOD(INT(648/$U$8),$U$7)+1,1)</f>
        <v/>
      </c>
      <c r="BP661">
        <f>IF(648&lt;$U$9,MOD(648,$U$8)+1,1)</f>
        <v/>
      </c>
      <c r="BQ661">
        <f>IF(648&lt;$U$9,SUMPRODUCT(($D$10:$L$10&lt;&gt;"")*(($D$9:$L$9+INT(($S$12:$AA$12+INDEX($AJ$13:$AR$162,BN661,0)+INDEX($AT$13:$BB$162,BO661,0)+INDEX($BD$13:$BL$162,BP661,0))/100))&gt;=$D$10:$L$10)),0)</f>
        <v/>
      </c>
      <c r="BR661">
        <f>IF(648&lt;$U$9,SUMPRODUCT(($D$10:$L$10&lt;&gt;"")*(($D$10:$L$10-($D$9:$L$9+INT(($S$12:$AA$12+INDEX($AJ$13:$AR$162,BN661,0)+INDEX($AT$13:$BB$162,BO661,0)+INDEX($BD$13:$BL$162,BP661,0))/100)))&gt;0)*($D$10:$L$10-($D$9:$L$9+INT(($S$12:$AA$12+INDEX($AJ$13:$AR$162,BN661,0)+INDEX($AT$13:$BB$162,BO661,0)+INDEX($BD$13:$BL$162,BP661,0))/100)))),0)</f>
        <v/>
      </c>
      <c r="BS661">
        <f>IF(648&lt;$U$9,SUMPRODUCT(($D$9:$L$9+INT(($S$12:$AA$12+INDEX($AJ$13:$AR$162,BN661,0)+INDEX($AT$13:$BB$162,BO661,0)+INDEX($BD$13:$BL$162,BP661,0))/100))),0)</f>
        <v/>
      </c>
      <c r="BT661">
        <f>IF(AND(648&lt;$U$9,$W$5),BQ661*1000000-MIN(BR661,999)*1000+BS661-648/100000,-1000000000-648)</f>
        <v/>
      </c>
    </row>
    <row r="662">
      <c r="BN662">
        <f>IF(649&lt;$U$9,INT(649/($U$7*$U$8))+1,1)</f>
        <v/>
      </c>
      <c r="BO662">
        <f>IF(649&lt;$U$9,MOD(INT(649/$U$8),$U$7)+1,1)</f>
        <v/>
      </c>
      <c r="BP662">
        <f>IF(649&lt;$U$9,MOD(649,$U$8)+1,1)</f>
        <v/>
      </c>
      <c r="BQ662">
        <f>IF(649&lt;$U$9,SUMPRODUCT(($D$10:$L$10&lt;&gt;"")*(($D$9:$L$9+INT(($S$12:$AA$12+INDEX($AJ$13:$AR$162,BN662,0)+INDEX($AT$13:$BB$162,BO662,0)+INDEX($BD$13:$BL$162,BP662,0))/100))&gt;=$D$10:$L$10)),0)</f>
        <v/>
      </c>
      <c r="BR662">
        <f>IF(649&lt;$U$9,SUMPRODUCT(($D$10:$L$10&lt;&gt;"")*(($D$10:$L$10-($D$9:$L$9+INT(($S$12:$AA$12+INDEX($AJ$13:$AR$162,BN662,0)+INDEX($AT$13:$BB$162,BO662,0)+INDEX($BD$13:$BL$162,BP662,0))/100)))&gt;0)*($D$10:$L$10-($D$9:$L$9+INT(($S$12:$AA$12+INDEX($AJ$13:$AR$162,BN662,0)+INDEX($AT$13:$BB$162,BO662,0)+INDEX($BD$13:$BL$162,BP662,0))/100)))),0)</f>
        <v/>
      </c>
      <c r="BS662">
        <f>IF(649&lt;$U$9,SUMPRODUCT(($D$9:$L$9+INT(($S$12:$AA$12+INDEX($AJ$13:$AR$162,BN662,0)+INDEX($AT$13:$BB$162,BO662,0)+INDEX($BD$13:$BL$162,BP662,0))/100))),0)</f>
        <v/>
      </c>
      <c r="BT662">
        <f>IF(AND(649&lt;$U$9,$W$5),BQ662*1000000-MIN(BR662,999)*1000+BS662-649/100000,-1000000000-649)</f>
        <v/>
      </c>
    </row>
    <row r="663">
      <c r="BN663">
        <f>IF(650&lt;$U$9,INT(650/($U$7*$U$8))+1,1)</f>
        <v/>
      </c>
      <c r="BO663">
        <f>IF(650&lt;$U$9,MOD(INT(650/$U$8),$U$7)+1,1)</f>
        <v/>
      </c>
      <c r="BP663">
        <f>IF(650&lt;$U$9,MOD(650,$U$8)+1,1)</f>
        <v/>
      </c>
      <c r="BQ663">
        <f>IF(650&lt;$U$9,SUMPRODUCT(($D$10:$L$10&lt;&gt;"")*(($D$9:$L$9+INT(($S$12:$AA$12+INDEX($AJ$13:$AR$162,BN663,0)+INDEX($AT$13:$BB$162,BO663,0)+INDEX($BD$13:$BL$162,BP663,0))/100))&gt;=$D$10:$L$10)),0)</f>
        <v/>
      </c>
      <c r="BR663">
        <f>IF(650&lt;$U$9,SUMPRODUCT(($D$10:$L$10&lt;&gt;"")*(($D$10:$L$10-($D$9:$L$9+INT(($S$12:$AA$12+INDEX($AJ$13:$AR$162,BN663,0)+INDEX($AT$13:$BB$162,BO663,0)+INDEX($BD$13:$BL$162,BP663,0))/100)))&gt;0)*($D$10:$L$10-($D$9:$L$9+INT(($S$12:$AA$12+INDEX($AJ$13:$AR$162,BN663,0)+INDEX($AT$13:$BB$162,BO663,0)+INDEX($BD$13:$BL$162,BP663,0))/100)))),0)</f>
        <v/>
      </c>
      <c r="BS663">
        <f>IF(650&lt;$U$9,SUMPRODUCT(($D$9:$L$9+INT(($S$12:$AA$12+INDEX($AJ$13:$AR$162,BN663,0)+INDEX($AT$13:$BB$162,BO663,0)+INDEX($BD$13:$BL$162,BP663,0))/100))),0)</f>
        <v/>
      </c>
      <c r="BT663">
        <f>IF(AND(650&lt;$U$9,$W$5),BQ663*1000000-MIN(BR663,999)*1000+BS663-650/100000,-1000000000-650)</f>
        <v/>
      </c>
    </row>
    <row r="664">
      <c r="BN664">
        <f>IF(651&lt;$U$9,INT(651/($U$7*$U$8))+1,1)</f>
        <v/>
      </c>
      <c r="BO664">
        <f>IF(651&lt;$U$9,MOD(INT(651/$U$8),$U$7)+1,1)</f>
        <v/>
      </c>
      <c r="BP664">
        <f>IF(651&lt;$U$9,MOD(651,$U$8)+1,1)</f>
        <v/>
      </c>
      <c r="BQ664">
        <f>IF(651&lt;$U$9,SUMPRODUCT(($D$10:$L$10&lt;&gt;"")*(($D$9:$L$9+INT(($S$12:$AA$12+INDEX($AJ$13:$AR$162,BN664,0)+INDEX($AT$13:$BB$162,BO664,0)+INDEX($BD$13:$BL$162,BP664,0))/100))&gt;=$D$10:$L$10)),0)</f>
        <v/>
      </c>
      <c r="BR664">
        <f>IF(651&lt;$U$9,SUMPRODUCT(($D$10:$L$10&lt;&gt;"")*(($D$10:$L$10-($D$9:$L$9+INT(($S$12:$AA$12+INDEX($AJ$13:$AR$162,BN664,0)+INDEX($AT$13:$BB$162,BO664,0)+INDEX($BD$13:$BL$162,BP664,0))/100)))&gt;0)*($D$10:$L$10-($D$9:$L$9+INT(($S$12:$AA$12+INDEX($AJ$13:$AR$162,BN664,0)+INDEX($AT$13:$BB$162,BO664,0)+INDEX($BD$13:$BL$162,BP664,0))/100)))),0)</f>
        <v/>
      </c>
      <c r="BS664">
        <f>IF(651&lt;$U$9,SUMPRODUCT(($D$9:$L$9+INT(($S$12:$AA$12+INDEX($AJ$13:$AR$162,BN664,0)+INDEX($AT$13:$BB$162,BO664,0)+INDEX($BD$13:$BL$162,BP664,0))/100))),0)</f>
        <v/>
      </c>
      <c r="BT664">
        <f>IF(AND(651&lt;$U$9,$W$5),BQ664*1000000-MIN(BR664,999)*1000+BS664-651/100000,-1000000000-651)</f>
        <v/>
      </c>
    </row>
    <row r="665">
      <c r="BN665">
        <f>IF(652&lt;$U$9,INT(652/($U$7*$U$8))+1,1)</f>
        <v/>
      </c>
      <c r="BO665">
        <f>IF(652&lt;$U$9,MOD(INT(652/$U$8),$U$7)+1,1)</f>
        <v/>
      </c>
      <c r="BP665">
        <f>IF(652&lt;$U$9,MOD(652,$U$8)+1,1)</f>
        <v/>
      </c>
      <c r="BQ665">
        <f>IF(652&lt;$U$9,SUMPRODUCT(($D$10:$L$10&lt;&gt;"")*(($D$9:$L$9+INT(($S$12:$AA$12+INDEX($AJ$13:$AR$162,BN665,0)+INDEX($AT$13:$BB$162,BO665,0)+INDEX($BD$13:$BL$162,BP665,0))/100))&gt;=$D$10:$L$10)),0)</f>
        <v/>
      </c>
      <c r="BR665">
        <f>IF(652&lt;$U$9,SUMPRODUCT(($D$10:$L$10&lt;&gt;"")*(($D$10:$L$10-($D$9:$L$9+INT(($S$12:$AA$12+INDEX($AJ$13:$AR$162,BN665,0)+INDEX($AT$13:$BB$162,BO665,0)+INDEX($BD$13:$BL$162,BP665,0))/100)))&gt;0)*($D$10:$L$10-($D$9:$L$9+INT(($S$12:$AA$12+INDEX($AJ$13:$AR$162,BN665,0)+INDEX($AT$13:$BB$162,BO665,0)+INDEX($BD$13:$BL$162,BP665,0))/100)))),0)</f>
        <v/>
      </c>
      <c r="BS665">
        <f>IF(652&lt;$U$9,SUMPRODUCT(($D$9:$L$9+INT(($S$12:$AA$12+INDEX($AJ$13:$AR$162,BN665,0)+INDEX($AT$13:$BB$162,BO665,0)+INDEX($BD$13:$BL$162,BP665,0))/100))),0)</f>
        <v/>
      </c>
      <c r="BT665">
        <f>IF(AND(652&lt;$U$9,$W$5),BQ665*1000000-MIN(BR665,999)*1000+BS665-652/100000,-1000000000-652)</f>
        <v/>
      </c>
    </row>
    <row r="666">
      <c r="BN666">
        <f>IF(653&lt;$U$9,INT(653/($U$7*$U$8))+1,1)</f>
        <v/>
      </c>
      <c r="BO666">
        <f>IF(653&lt;$U$9,MOD(INT(653/$U$8),$U$7)+1,1)</f>
        <v/>
      </c>
      <c r="BP666">
        <f>IF(653&lt;$U$9,MOD(653,$U$8)+1,1)</f>
        <v/>
      </c>
      <c r="BQ666">
        <f>IF(653&lt;$U$9,SUMPRODUCT(($D$10:$L$10&lt;&gt;"")*(($D$9:$L$9+INT(($S$12:$AA$12+INDEX($AJ$13:$AR$162,BN666,0)+INDEX($AT$13:$BB$162,BO666,0)+INDEX($BD$13:$BL$162,BP666,0))/100))&gt;=$D$10:$L$10)),0)</f>
        <v/>
      </c>
      <c r="BR666">
        <f>IF(653&lt;$U$9,SUMPRODUCT(($D$10:$L$10&lt;&gt;"")*(($D$10:$L$10-($D$9:$L$9+INT(($S$12:$AA$12+INDEX($AJ$13:$AR$162,BN666,0)+INDEX($AT$13:$BB$162,BO666,0)+INDEX($BD$13:$BL$162,BP666,0))/100)))&gt;0)*($D$10:$L$10-($D$9:$L$9+INT(($S$12:$AA$12+INDEX($AJ$13:$AR$162,BN666,0)+INDEX($AT$13:$BB$162,BO666,0)+INDEX($BD$13:$BL$162,BP666,0))/100)))),0)</f>
        <v/>
      </c>
      <c r="BS666">
        <f>IF(653&lt;$U$9,SUMPRODUCT(($D$9:$L$9+INT(($S$12:$AA$12+INDEX($AJ$13:$AR$162,BN666,0)+INDEX($AT$13:$BB$162,BO666,0)+INDEX($BD$13:$BL$162,BP666,0))/100))),0)</f>
        <v/>
      </c>
      <c r="BT666">
        <f>IF(AND(653&lt;$U$9,$W$5),BQ666*1000000-MIN(BR666,999)*1000+BS666-653/100000,-1000000000-653)</f>
        <v/>
      </c>
    </row>
    <row r="667">
      <c r="BN667">
        <f>IF(654&lt;$U$9,INT(654/($U$7*$U$8))+1,1)</f>
        <v/>
      </c>
      <c r="BO667">
        <f>IF(654&lt;$U$9,MOD(INT(654/$U$8),$U$7)+1,1)</f>
        <v/>
      </c>
      <c r="BP667">
        <f>IF(654&lt;$U$9,MOD(654,$U$8)+1,1)</f>
        <v/>
      </c>
      <c r="BQ667">
        <f>IF(654&lt;$U$9,SUMPRODUCT(($D$10:$L$10&lt;&gt;"")*(($D$9:$L$9+INT(($S$12:$AA$12+INDEX($AJ$13:$AR$162,BN667,0)+INDEX($AT$13:$BB$162,BO667,0)+INDEX($BD$13:$BL$162,BP667,0))/100))&gt;=$D$10:$L$10)),0)</f>
        <v/>
      </c>
      <c r="BR667">
        <f>IF(654&lt;$U$9,SUMPRODUCT(($D$10:$L$10&lt;&gt;"")*(($D$10:$L$10-($D$9:$L$9+INT(($S$12:$AA$12+INDEX($AJ$13:$AR$162,BN667,0)+INDEX($AT$13:$BB$162,BO667,0)+INDEX($BD$13:$BL$162,BP667,0))/100)))&gt;0)*($D$10:$L$10-($D$9:$L$9+INT(($S$12:$AA$12+INDEX($AJ$13:$AR$162,BN667,0)+INDEX($AT$13:$BB$162,BO667,0)+INDEX($BD$13:$BL$162,BP667,0))/100)))),0)</f>
        <v/>
      </c>
      <c r="BS667">
        <f>IF(654&lt;$U$9,SUMPRODUCT(($D$9:$L$9+INT(($S$12:$AA$12+INDEX($AJ$13:$AR$162,BN667,0)+INDEX($AT$13:$BB$162,BO667,0)+INDEX($BD$13:$BL$162,BP667,0))/100))),0)</f>
        <v/>
      </c>
      <c r="BT667">
        <f>IF(AND(654&lt;$U$9,$W$5),BQ667*1000000-MIN(BR667,999)*1000+BS667-654/100000,-1000000000-654)</f>
        <v/>
      </c>
    </row>
    <row r="668">
      <c r="BN668">
        <f>IF(655&lt;$U$9,INT(655/($U$7*$U$8))+1,1)</f>
        <v/>
      </c>
      <c r="BO668">
        <f>IF(655&lt;$U$9,MOD(INT(655/$U$8),$U$7)+1,1)</f>
        <v/>
      </c>
      <c r="BP668">
        <f>IF(655&lt;$U$9,MOD(655,$U$8)+1,1)</f>
        <v/>
      </c>
      <c r="BQ668">
        <f>IF(655&lt;$U$9,SUMPRODUCT(($D$10:$L$10&lt;&gt;"")*(($D$9:$L$9+INT(($S$12:$AA$12+INDEX($AJ$13:$AR$162,BN668,0)+INDEX($AT$13:$BB$162,BO668,0)+INDEX($BD$13:$BL$162,BP668,0))/100))&gt;=$D$10:$L$10)),0)</f>
        <v/>
      </c>
      <c r="BR668">
        <f>IF(655&lt;$U$9,SUMPRODUCT(($D$10:$L$10&lt;&gt;"")*(($D$10:$L$10-($D$9:$L$9+INT(($S$12:$AA$12+INDEX($AJ$13:$AR$162,BN668,0)+INDEX($AT$13:$BB$162,BO668,0)+INDEX($BD$13:$BL$162,BP668,0))/100)))&gt;0)*($D$10:$L$10-($D$9:$L$9+INT(($S$12:$AA$12+INDEX($AJ$13:$AR$162,BN668,0)+INDEX($AT$13:$BB$162,BO668,0)+INDEX($BD$13:$BL$162,BP668,0))/100)))),0)</f>
        <v/>
      </c>
      <c r="BS668">
        <f>IF(655&lt;$U$9,SUMPRODUCT(($D$9:$L$9+INT(($S$12:$AA$12+INDEX($AJ$13:$AR$162,BN668,0)+INDEX($AT$13:$BB$162,BO668,0)+INDEX($BD$13:$BL$162,BP668,0))/100))),0)</f>
        <v/>
      </c>
      <c r="BT668">
        <f>IF(AND(655&lt;$U$9,$W$5),BQ668*1000000-MIN(BR668,999)*1000+BS668-655/100000,-1000000000-655)</f>
        <v/>
      </c>
    </row>
    <row r="669">
      <c r="BN669">
        <f>IF(656&lt;$U$9,INT(656/($U$7*$U$8))+1,1)</f>
        <v/>
      </c>
      <c r="BO669">
        <f>IF(656&lt;$U$9,MOD(INT(656/$U$8),$U$7)+1,1)</f>
        <v/>
      </c>
      <c r="BP669">
        <f>IF(656&lt;$U$9,MOD(656,$U$8)+1,1)</f>
        <v/>
      </c>
      <c r="BQ669">
        <f>IF(656&lt;$U$9,SUMPRODUCT(($D$10:$L$10&lt;&gt;"")*(($D$9:$L$9+INT(($S$12:$AA$12+INDEX($AJ$13:$AR$162,BN669,0)+INDEX($AT$13:$BB$162,BO669,0)+INDEX($BD$13:$BL$162,BP669,0))/100))&gt;=$D$10:$L$10)),0)</f>
        <v/>
      </c>
      <c r="BR669">
        <f>IF(656&lt;$U$9,SUMPRODUCT(($D$10:$L$10&lt;&gt;"")*(($D$10:$L$10-($D$9:$L$9+INT(($S$12:$AA$12+INDEX($AJ$13:$AR$162,BN669,0)+INDEX($AT$13:$BB$162,BO669,0)+INDEX($BD$13:$BL$162,BP669,0))/100)))&gt;0)*($D$10:$L$10-($D$9:$L$9+INT(($S$12:$AA$12+INDEX($AJ$13:$AR$162,BN669,0)+INDEX($AT$13:$BB$162,BO669,0)+INDEX($BD$13:$BL$162,BP669,0))/100)))),0)</f>
        <v/>
      </c>
      <c r="BS669">
        <f>IF(656&lt;$U$9,SUMPRODUCT(($D$9:$L$9+INT(($S$12:$AA$12+INDEX($AJ$13:$AR$162,BN669,0)+INDEX($AT$13:$BB$162,BO669,0)+INDEX($BD$13:$BL$162,BP669,0))/100))),0)</f>
        <v/>
      </c>
      <c r="BT669">
        <f>IF(AND(656&lt;$U$9,$W$5),BQ669*1000000-MIN(BR669,999)*1000+BS669-656/100000,-1000000000-656)</f>
        <v/>
      </c>
    </row>
    <row r="670">
      <c r="BN670">
        <f>IF(657&lt;$U$9,INT(657/($U$7*$U$8))+1,1)</f>
        <v/>
      </c>
      <c r="BO670">
        <f>IF(657&lt;$U$9,MOD(INT(657/$U$8),$U$7)+1,1)</f>
        <v/>
      </c>
      <c r="BP670">
        <f>IF(657&lt;$U$9,MOD(657,$U$8)+1,1)</f>
        <v/>
      </c>
      <c r="BQ670">
        <f>IF(657&lt;$U$9,SUMPRODUCT(($D$10:$L$10&lt;&gt;"")*(($D$9:$L$9+INT(($S$12:$AA$12+INDEX($AJ$13:$AR$162,BN670,0)+INDEX($AT$13:$BB$162,BO670,0)+INDEX($BD$13:$BL$162,BP670,0))/100))&gt;=$D$10:$L$10)),0)</f>
        <v/>
      </c>
      <c r="BR670">
        <f>IF(657&lt;$U$9,SUMPRODUCT(($D$10:$L$10&lt;&gt;"")*(($D$10:$L$10-($D$9:$L$9+INT(($S$12:$AA$12+INDEX($AJ$13:$AR$162,BN670,0)+INDEX($AT$13:$BB$162,BO670,0)+INDEX($BD$13:$BL$162,BP670,0))/100)))&gt;0)*($D$10:$L$10-($D$9:$L$9+INT(($S$12:$AA$12+INDEX($AJ$13:$AR$162,BN670,0)+INDEX($AT$13:$BB$162,BO670,0)+INDEX($BD$13:$BL$162,BP670,0))/100)))),0)</f>
        <v/>
      </c>
      <c r="BS670">
        <f>IF(657&lt;$U$9,SUMPRODUCT(($D$9:$L$9+INT(($S$12:$AA$12+INDEX($AJ$13:$AR$162,BN670,0)+INDEX($AT$13:$BB$162,BO670,0)+INDEX($BD$13:$BL$162,BP670,0))/100))),0)</f>
        <v/>
      </c>
      <c r="BT670">
        <f>IF(AND(657&lt;$U$9,$W$5),BQ670*1000000-MIN(BR670,999)*1000+BS670-657/100000,-1000000000-657)</f>
        <v/>
      </c>
    </row>
    <row r="671">
      <c r="BN671">
        <f>IF(658&lt;$U$9,INT(658/($U$7*$U$8))+1,1)</f>
        <v/>
      </c>
      <c r="BO671">
        <f>IF(658&lt;$U$9,MOD(INT(658/$U$8),$U$7)+1,1)</f>
        <v/>
      </c>
      <c r="BP671">
        <f>IF(658&lt;$U$9,MOD(658,$U$8)+1,1)</f>
        <v/>
      </c>
      <c r="BQ671">
        <f>IF(658&lt;$U$9,SUMPRODUCT(($D$10:$L$10&lt;&gt;"")*(($D$9:$L$9+INT(($S$12:$AA$12+INDEX($AJ$13:$AR$162,BN671,0)+INDEX($AT$13:$BB$162,BO671,0)+INDEX($BD$13:$BL$162,BP671,0))/100))&gt;=$D$10:$L$10)),0)</f>
        <v/>
      </c>
      <c r="BR671">
        <f>IF(658&lt;$U$9,SUMPRODUCT(($D$10:$L$10&lt;&gt;"")*(($D$10:$L$10-($D$9:$L$9+INT(($S$12:$AA$12+INDEX($AJ$13:$AR$162,BN671,0)+INDEX($AT$13:$BB$162,BO671,0)+INDEX($BD$13:$BL$162,BP671,0))/100)))&gt;0)*($D$10:$L$10-($D$9:$L$9+INT(($S$12:$AA$12+INDEX($AJ$13:$AR$162,BN671,0)+INDEX($AT$13:$BB$162,BO671,0)+INDEX($BD$13:$BL$162,BP671,0))/100)))),0)</f>
        <v/>
      </c>
      <c r="BS671">
        <f>IF(658&lt;$U$9,SUMPRODUCT(($D$9:$L$9+INT(($S$12:$AA$12+INDEX($AJ$13:$AR$162,BN671,0)+INDEX($AT$13:$BB$162,BO671,0)+INDEX($BD$13:$BL$162,BP671,0))/100))),0)</f>
        <v/>
      </c>
      <c r="BT671">
        <f>IF(AND(658&lt;$U$9,$W$5),BQ671*1000000-MIN(BR671,999)*1000+BS671-658/100000,-1000000000-658)</f>
        <v/>
      </c>
    </row>
    <row r="672">
      <c r="BN672">
        <f>IF(659&lt;$U$9,INT(659/($U$7*$U$8))+1,1)</f>
        <v/>
      </c>
      <c r="BO672">
        <f>IF(659&lt;$U$9,MOD(INT(659/$U$8),$U$7)+1,1)</f>
        <v/>
      </c>
      <c r="BP672">
        <f>IF(659&lt;$U$9,MOD(659,$U$8)+1,1)</f>
        <v/>
      </c>
      <c r="BQ672">
        <f>IF(659&lt;$U$9,SUMPRODUCT(($D$10:$L$10&lt;&gt;"")*(($D$9:$L$9+INT(($S$12:$AA$12+INDEX($AJ$13:$AR$162,BN672,0)+INDEX($AT$13:$BB$162,BO672,0)+INDEX($BD$13:$BL$162,BP672,0))/100))&gt;=$D$10:$L$10)),0)</f>
        <v/>
      </c>
      <c r="BR672">
        <f>IF(659&lt;$U$9,SUMPRODUCT(($D$10:$L$10&lt;&gt;"")*(($D$10:$L$10-($D$9:$L$9+INT(($S$12:$AA$12+INDEX($AJ$13:$AR$162,BN672,0)+INDEX($AT$13:$BB$162,BO672,0)+INDEX($BD$13:$BL$162,BP672,0))/100)))&gt;0)*($D$10:$L$10-($D$9:$L$9+INT(($S$12:$AA$12+INDEX($AJ$13:$AR$162,BN672,0)+INDEX($AT$13:$BB$162,BO672,0)+INDEX($BD$13:$BL$162,BP672,0))/100)))),0)</f>
        <v/>
      </c>
      <c r="BS672">
        <f>IF(659&lt;$U$9,SUMPRODUCT(($D$9:$L$9+INT(($S$12:$AA$12+INDEX($AJ$13:$AR$162,BN672,0)+INDEX($AT$13:$BB$162,BO672,0)+INDEX($BD$13:$BL$162,BP672,0))/100))),0)</f>
        <v/>
      </c>
      <c r="BT672">
        <f>IF(AND(659&lt;$U$9,$W$5),BQ672*1000000-MIN(BR672,999)*1000+BS672-659/100000,-1000000000-659)</f>
        <v/>
      </c>
    </row>
    <row r="673">
      <c r="BN673">
        <f>IF(660&lt;$U$9,INT(660/($U$7*$U$8))+1,1)</f>
        <v/>
      </c>
      <c r="BO673">
        <f>IF(660&lt;$U$9,MOD(INT(660/$U$8),$U$7)+1,1)</f>
        <v/>
      </c>
      <c r="BP673">
        <f>IF(660&lt;$U$9,MOD(660,$U$8)+1,1)</f>
        <v/>
      </c>
      <c r="BQ673">
        <f>IF(660&lt;$U$9,SUMPRODUCT(($D$10:$L$10&lt;&gt;"")*(($D$9:$L$9+INT(($S$12:$AA$12+INDEX($AJ$13:$AR$162,BN673,0)+INDEX($AT$13:$BB$162,BO673,0)+INDEX($BD$13:$BL$162,BP673,0))/100))&gt;=$D$10:$L$10)),0)</f>
        <v/>
      </c>
      <c r="BR673">
        <f>IF(660&lt;$U$9,SUMPRODUCT(($D$10:$L$10&lt;&gt;"")*(($D$10:$L$10-($D$9:$L$9+INT(($S$12:$AA$12+INDEX($AJ$13:$AR$162,BN673,0)+INDEX($AT$13:$BB$162,BO673,0)+INDEX($BD$13:$BL$162,BP673,0))/100)))&gt;0)*($D$10:$L$10-($D$9:$L$9+INT(($S$12:$AA$12+INDEX($AJ$13:$AR$162,BN673,0)+INDEX($AT$13:$BB$162,BO673,0)+INDEX($BD$13:$BL$162,BP673,0))/100)))),0)</f>
        <v/>
      </c>
      <c r="BS673">
        <f>IF(660&lt;$U$9,SUMPRODUCT(($D$9:$L$9+INT(($S$12:$AA$12+INDEX($AJ$13:$AR$162,BN673,0)+INDEX($AT$13:$BB$162,BO673,0)+INDEX($BD$13:$BL$162,BP673,0))/100))),0)</f>
        <v/>
      </c>
      <c r="BT673">
        <f>IF(AND(660&lt;$U$9,$W$5),BQ673*1000000-MIN(BR673,999)*1000+BS673-660/100000,-1000000000-660)</f>
        <v/>
      </c>
    </row>
    <row r="674">
      <c r="BN674">
        <f>IF(661&lt;$U$9,INT(661/($U$7*$U$8))+1,1)</f>
        <v/>
      </c>
      <c r="BO674">
        <f>IF(661&lt;$U$9,MOD(INT(661/$U$8),$U$7)+1,1)</f>
        <v/>
      </c>
      <c r="BP674">
        <f>IF(661&lt;$U$9,MOD(661,$U$8)+1,1)</f>
        <v/>
      </c>
      <c r="BQ674">
        <f>IF(661&lt;$U$9,SUMPRODUCT(($D$10:$L$10&lt;&gt;"")*(($D$9:$L$9+INT(($S$12:$AA$12+INDEX($AJ$13:$AR$162,BN674,0)+INDEX($AT$13:$BB$162,BO674,0)+INDEX($BD$13:$BL$162,BP674,0))/100))&gt;=$D$10:$L$10)),0)</f>
        <v/>
      </c>
      <c r="BR674">
        <f>IF(661&lt;$U$9,SUMPRODUCT(($D$10:$L$10&lt;&gt;"")*(($D$10:$L$10-($D$9:$L$9+INT(($S$12:$AA$12+INDEX($AJ$13:$AR$162,BN674,0)+INDEX($AT$13:$BB$162,BO674,0)+INDEX($BD$13:$BL$162,BP674,0))/100)))&gt;0)*($D$10:$L$10-($D$9:$L$9+INT(($S$12:$AA$12+INDEX($AJ$13:$AR$162,BN674,0)+INDEX($AT$13:$BB$162,BO674,0)+INDEX($BD$13:$BL$162,BP674,0))/100)))),0)</f>
        <v/>
      </c>
      <c r="BS674">
        <f>IF(661&lt;$U$9,SUMPRODUCT(($D$9:$L$9+INT(($S$12:$AA$12+INDEX($AJ$13:$AR$162,BN674,0)+INDEX($AT$13:$BB$162,BO674,0)+INDEX($BD$13:$BL$162,BP674,0))/100))),0)</f>
        <v/>
      </c>
      <c r="BT674">
        <f>IF(AND(661&lt;$U$9,$W$5),BQ674*1000000-MIN(BR674,999)*1000+BS674-661/100000,-1000000000-661)</f>
        <v/>
      </c>
    </row>
    <row r="675">
      <c r="BN675">
        <f>IF(662&lt;$U$9,INT(662/($U$7*$U$8))+1,1)</f>
        <v/>
      </c>
      <c r="BO675">
        <f>IF(662&lt;$U$9,MOD(INT(662/$U$8),$U$7)+1,1)</f>
        <v/>
      </c>
      <c r="BP675">
        <f>IF(662&lt;$U$9,MOD(662,$U$8)+1,1)</f>
        <v/>
      </c>
      <c r="BQ675">
        <f>IF(662&lt;$U$9,SUMPRODUCT(($D$10:$L$10&lt;&gt;"")*(($D$9:$L$9+INT(($S$12:$AA$12+INDEX($AJ$13:$AR$162,BN675,0)+INDEX($AT$13:$BB$162,BO675,0)+INDEX($BD$13:$BL$162,BP675,0))/100))&gt;=$D$10:$L$10)),0)</f>
        <v/>
      </c>
      <c r="BR675">
        <f>IF(662&lt;$U$9,SUMPRODUCT(($D$10:$L$10&lt;&gt;"")*(($D$10:$L$10-($D$9:$L$9+INT(($S$12:$AA$12+INDEX($AJ$13:$AR$162,BN675,0)+INDEX($AT$13:$BB$162,BO675,0)+INDEX($BD$13:$BL$162,BP675,0))/100)))&gt;0)*($D$10:$L$10-($D$9:$L$9+INT(($S$12:$AA$12+INDEX($AJ$13:$AR$162,BN675,0)+INDEX($AT$13:$BB$162,BO675,0)+INDEX($BD$13:$BL$162,BP675,0))/100)))),0)</f>
        <v/>
      </c>
      <c r="BS675">
        <f>IF(662&lt;$U$9,SUMPRODUCT(($D$9:$L$9+INT(($S$12:$AA$12+INDEX($AJ$13:$AR$162,BN675,0)+INDEX($AT$13:$BB$162,BO675,0)+INDEX($BD$13:$BL$162,BP675,0))/100))),0)</f>
        <v/>
      </c>
      <c r="BT675">
        <f>IF(AND(662&lt;$U$9,$W$5),BQ675*1000000-MIN(BR675,999)*1000+BS675-662/100000,-1000000000-662)</f>
        <v/>
      </c>
    </row>
    <row r="676">
      <c r="BN676">
        <f>IF(663&lt;$U$9,INT(663/($U$7*$U$8))+1,1)</f>
        <v/>
      </c>
      <c r="BO676">
        <f>IF(663&lt;$U$9,MOD(INT(663/$U$8),$U$7)+1,1)</f>
        <v/>
      </c>
      <c r="BP676">
        <f>IF(663&lt;$U$9,MOD(663,$U$8)+1,1)</f>
        <v/>
      </c>
      <c r="BQ676">
        <f>IF(663&lt;$U$9,SUMPRODUCT(($D$10:$L$10&lt;&gt;"")*(($D$9:$L$9+INT(($S$12:$AA$12+INDEX($AJ$13:$AR$162,BN676,0)+INDEX($AT$13:$BB$162,BO676,0)+INDEX($BD$13:$BL$162,BP676,0))/100))&gt;=$D$10:$L$10)),0)</f>
        <v/>
      </c>
      <c r="BR676">
        <f>IF(663&lt;$U$9,SUMPRODUCT(($D$10:$L$10&lt;&gt;"")*(($D$10:$L$10-($D$9:$L$9+INT(($S$12:$AA$12+INDEX($AJ$13:$AR$162,BN676,0)+INDEX($AT$13:$BB$162,BO676,0)+INDEX($BD$13:$BL$162,BP676,0))/100)))&gt;0)*($D$10:$L$10-($D$9:$L$9+INT(($S$12:$AA$12+INDEX($AJ$13:$AR$162,BN676,0)+INDEX($AT$13:$BB$162,BO676,0)+INDEX($BD$13:$BL$162,BP676,0))/100)))),0)</f>
        <v/>
      </c>
      <c r="BS676">
        <f>IF(663&lt;$U$9,SUMPRODUCT(($D$9:$L$9+INT(($S$12:$AA$12+INDEX($AJ$13:$AR$162,BN676,0)+INDEX($AT$13:$BB$162,BO676,0)+INDEX($BD$13:$BL$162,BP676,0))/100))),0)</f>
        <v/>
      </c>
      <c r="BT676">
        <f>IF(AND(663&lt;$U$9,$W$5),BQ676*1000000-MIN(BR676,999)*1000+BS676-663/100000,-1000000000-663)</f>
        <v/>
      </c>
    </row>
    <row r="677">
      <c r="BN677">
        <f>IF(664&lt;$U$9,INT(664/($U$7*$U$8))+1,1)</f>
        <v/>
      </c>
      <c r="BO677">
        <f>IF(664&lt;$U$9,MOD(INT(664/$U$8),$U$7)+1,1)</f>
        <v/>
      </c>
      <c r="BP677">
        <f>IF(664&lt;$U$9,MOD(664,$U$8)+1,1)</f>
        <v/>
      </c>
      <c r="BQ677">
        <f>IF(664&lt;$U$9,SUMPRODUCT(($D$10:$L$10&lt;&gt;"")*(($D$9:$L$9+INT(($S$12:$AA$12+INDEX($AJ$13:$AR$162,BN677,0)+INDEX($AT$13:$BB$162,BO677,0)+INDEX($BD$13:$BL$162,BP677,0))/100))&gt;=$D$10:$L$10)),0)</f>
        <v/>
      </c>
      <c r="BR677">
        <f>IF(664&lt;$U$9,SUMPRODUCT(($D$10:$L$10&lt;&gt;"")*(($D$10:$L$10-($D$9:$L$9+INT(($S$12:$AA$12+INDEX($AJ$13:$AR$162,BN677,0)+INDEX($AT$13:$BB$162,BO677,0)+INDEX($BD$13:$BL$162,BP677,0))/100)))&gt;0)*($D$10:$L$10-($D$9:$L$9+INT(($S$12:$AA$12+INDEX($AJ$13:$AR$162,BN677,0)+INDEX($AT$13:$BB$162,BO677,0)+INDEX($BD$13:$BL$162,BP677,0))/100)))),0)</f>
        <v/>
      </c>
      <c r="BS677">
        <f>IF(664&lt;$U$9,SUMPRODUCT(($D$9:$L$9+INT(($S$12:$AA$12+INDEX($AJ$13:$AR$162,BN677,0)+INDEX($AT$13:$BB$162,BO677,0)+INDEX($BD$13:$BL$162,BP677,0))/100))),0)</f>
        <v/>
      </c>
      <c r="BT677">
        <f>IF(AND(664&lt;$U$9,$W$5),BQ677*1000000-MIN(BR677,999)*1000+BS677-664/100000,-1000000000-664)</f>
        <v/>
      </c>
    </row>
    <row r="678">
      <c r="BN678">
        <f>IF(665&lt;$U$9,INT(665/($U$7*$U$8))+1,1)</f>
        <v/>
      </c>
      <c r="BO678">
        <f>IF(665&lt;$U$9,MOD(INT(665/$U$8),$U$7)+1,1)</f>
        <v/>
      </c>
      <c r="BP678">
        <f>IF(665&lt;$U$9,MOD(665,$U$8)+1,1)</f>
        <v/>
      </c>
      <c r="BQ678">
        <f>IF(665&lt;$U$9,SUMPRODUCT(($D$10:$L$10&lt;&gt;"")*(($D$9:$L$9+INT(($S$12:$AA$12+INDEX($AJ$13:$AR$162,BN678,0)+INDEX($AT$13:$BB$162,BO678,0)+INDEX($BD$13:$BL$162,BP678,0))/100))&gt;=$D$10:$L$10)),0)</f>
        <v/>
      </c>
      <c r="BR678">
        <f>IF(665&lt;$U$9,SUMPRODUCT(($D$10:$L$10&lt;&gt;"")*(($D$10:$L$10-($D$9:$L$9+INT(($S$12:$AA$12+INDEX($AJ$13:$AR$162,BN678,0)+INDEX($AT$13:$BB$162,BO678,0)+INDEX($BD$13:$BL$162,BP678,0))/100)))&gt;0)*($D$10:$L$10-($D$9:$L$9+INT(($S$12:$AA$12+INDEX($AJ$13:$AR$162,BN678,0)+INDEX($AT$13:$BB$162,BO678,0)+INDEX($BD$13:$BL$162,BP678,0))/100)))),0)</f>
        <v/>
      </c>
      <c r="BS678">
        <f>IF(665&lt;$U$9,SUMPRODUCT(($D$9:$L$9+INT(($S$12:$AA$12+INDEX($AJ$13:$AR$162,BN678,0)+INDEX($AT$13:$BB$162,BO678,0)+INDEX($BD$13:$BL$162,BP678,0))/100))),0)</f>
        <v/>
      </c>
      <c r="BT678">
        <f>IF(AND(665&lt;$U$9,$W$5),BQ678*1000000-MIN(BR678,999)*1000+BS678-665/100000,-1000000000-665)</f>
        <v/>
      </c>
    </row>
    <row r="679">
      <c r="BN679">
        <f>IF(666&lt;$U$9,INT(666/($U$7*$U$8))+1,1)</f>
        <v/>
      </c>
      <c r="BO679">
        <f>IF(666&lt;$U$9,MOD(INT(666/$U$8),$U$7)+1,1)</f>
        <v/>
      </c>
      <c r="BP679">
        <f>IF(666&lt;$U$9,MOD(666,$U$8)+1,1)</f>
        <v/>
      </c>
      <c r="BQ679">
        <f>IF(666&lt;$U$9,SUMPRODUCT(($D$10:$L$10&lt;&gt;"")*(($D$9:$L$9+INT(($S$12:$AA$12+INDEX($AJ$13:$AR$162,BN679,0)+INDEX($AT$13:$BB$162,BO679,0)+INDEX($BD$13:$BL$162,BP679,0))/100))&gt;=$D$10:$L$10)),0)</f>
        <v/>
      </c>
      <c r="BR679">
        <f>IF(666&lt;$U$9,SUMPRODUCT(($D$10:$L$10&lt;&gt;"")*(($D$10:$L$10-($D$9:$L$9+INT(($S$12:$AA$12+INDEX($AJ$13:$AR$162,BN679,0)+INDEX($AT$13:$BB$162,BO679,0)+INDEX($BD$13:$BL$162,BP679,0))/100)))&gt;0)*($D$10:$L$10-($D$9:$L$9+INT(($S$12:$AA$12+INDEX($AJ$13:$AR$162,BN679,0)+INDEX($AT$13:$BB$162,BO679,0)+INDEX($BD$13:$BL$162,BP679,0))/100)))),0)</f>
        <v/>
      </c>
      <c r="BS679">
        <f>IF(666&lt;$U$9,SUMPRODUCT(($D$9:$L$9+INT(($S$12:$AA$12+INDEX($AJ$13:$AR$162,BN679,0)+INDEX($AT$13:$BB$162,BO679,0)+INDEX($BD$13:$BL$162,BP679,0))/100))),0)</f>
        <v/>
      </c>
      <c r="BT679">
        <f>IF(AND(666&lt;$U$9,$W$5),BQ679*1000000-MIN(BR679,999)*1000+BS679-666/100000,-1000000000-666)</f>
        <v/>
      </c>
    </row>
    <row r="680">
      <c r="BN680">
        <f>IF(667&lt;$U$9,INT(667/($U$7*$U$8))+1,1)</f>
        <v/>
      </c>
      <c r="BO680">
        <f>IF(667&lt;$U$9,MOD(INT(667/$U$8),$U$7)+1,1)</f>
        <v/>
      </c>
      <c r="BP680">
        <f>IF(667&lt;$U$9,MOD(667,$U$8)+1,1)</f>
        <v/>
      </c>
      <c r="BQ680">
        <f>IF(667&lt;$U$9,SUMPRODUCT(($D$10:$L$10&lt;&gt;"")*(($D$9:$L$9+INT(($S$12:$AA$12+INDEX($AJ$13:$AR$162,BN680,0)+INDEX($AT$13:$BB$162,BO680,0)+INDEX($BD$13:$BL$162,BP680,0))/100))&gt;=$D$10:$L$10)),0)</f>
        <v/>
      </c>
      <c r="BR680">
        <f>IF(667&lt;$U$9,SUMPRODUCT(($D$10:$L$10&lt;&gt;"")*(($D$10:$L$10-($D$9:$L$9+INT(($S$12:$AA$12+INDEX($AJ$13:$AR$162,BN680,0)+INDEX($AT$13:$BB$162,BO680,0)+INDEX($BD$13:$BL$162,BP680,0))/100)))&gt;0)*($D$10:$L$10-($D$9:$L$9+INT(($S$12:$AA$12+INDEX($AJ$13:$AR$162,BN680,0)+INDEX($AT$13:$BB$162,BO680,0)+INDEX($BD$13:$BL$162,BP680,0))/100)))),0)</f>
        <v/>
      </c>
      <c r="BS680">
        <f>IF(667&lt;$U$9,SUMPRODUCT(($D$9:$L$9+INT(($S$12:$AA$12+INDEX($AJ$13:$AR$162,BN680,0)+INDEX($AT$13:$BB$162,BO680,0)+INDEX($BD$13:$BL$162,BP680,0))/100))),0)</f>
        <v/>
      </c>
      <c r="BT680">
        <f>IF(AND(667&lt;$U$9,$W$5),BQ680*1000000-MIN(BR680,999)*1000+BS680-667/100000,-1000000000-667)</f>
        <v/>
      </c>
    </row>
    <row r="681">
      <c r="BN681">
        <f>IF(668&lt;$U$9,INT(668/($U$7*$U$8))+1,1)</f>
        <v/>
      </c>
      <c r="BO681">
        <f>IF(668&lt;$U$9,MOD(INT(668/$U$8),$U$7)+1,1)</f>
        <v/>
      </c>
      <c r="BP681">
        <f>IF(668&lt;$U$9,MOD(668,$U$8)+1,1)</f>
        <v/>
      </c>
      <c r="BQ681">
        <f>IF(668&lt;$U$9,SUMPRODUCT(($D$10:$L$10&lt;&gt;"")*(($D$9:$L$9+INT(($S$12:$AA$12+INDEX($AJ$13:$AR$162,BN681,0)+INDEX($AT$13:$BB$162,BO681,0)+INDEX($BD$13:$BL$162,BP681,0))/100))&gt;=$D$10:$L$10)),0)</f>
        <v/>
      </c>
      <c r="BR681">
        <f>IF(668&lt;$U$9,SUMPRODUCT(($D$10:$L$10&lt;&gt;"")*(($D$10:$L$10-($D$9:$L$9+INT(($S$12:$AA$12+INDEX($AJ$13:$AR$162,BN681,0)+INDEX($AT$13:$BB$162,BO681,0)+INDEX($BD$13:$BL$162,BP681,0))/100)))&gt;0)*($D$10:$L$10-($D$9:$L$9+INT(($S$12:$AA$12+INDEX($AJ$13:$AR$162,BN681,0)+INDEX($AT$13:$BB$162,BO681,0)+INDEX($BD$13:$BL$162,BP681,0))/100)))),0)</f>
        <v/>
      </c>
      <c r="BS681">
        <f>IF(668&lt;$U$9,SUMPRODUCT(($D$9:$L$9+INT(($S$12:$AA$12+INDEX($AJ$13:$AR$162,BN681,0)+INDEX($AT$13:$BB$162,BO681,0)+INDEX($BD$13:$BL$162,BP681,0))/100))),0)</f>
        <v/>
      </c>
      <c r="BT681">
        <f>IF(AND(668&lt;$U$9,$W$5),BQ681*1000000-MIN(BR681,999)*1000+BS681-668/100000,-1000000000-668)</f>
        <v/>
      </c>
    </row>
    <row r="682">
      <c r="BN682">
        <f>IF(669&lt;$U$9,INT(669/($U$7*$U$8))+1,1)</f>
        <v/>
      </c>
      <c r="BO682">
        <f>IF(669&lt;$U$9,MOD(INT(669/$U$8),$U$7)+1,1)</f>
        <v/>
      </c>
      <c r="BP682">
        <f>IF(669&lt;$U$9,MOD(669,$U$8)+1,1)</f>
        <v/>
      </c>
      <c r="BQ682">
        <f>IF(669&lt;$U$9,SUMPRODUCT(($D$10:$L$10&lt;&gt;"")*(($D$9:$L$9+INT(($S$12:$AA$12+INDEX($AJ$13:$AR$162,BN682,0)+INDEX($AT$13:$BB$162,BO682,0)+INDEX($BD$13:$BL$162,BP682,0))/100))&gt;=$D$10:$L$10)),0)</f>
        <v/>
      </c>
      <c r="BR682">
        <f>IF(669&lt;$U$9,SUMPRODUCT(($D$10:$L$10&lt;&gt;"")*(($D$10:$L$10-($D$9:$L$9+INT(($S$12:$AA$12+INDEX($AJ$13:$AR$162,BN682,0)+INDEX($AT$13:$BB$162,BO682,0)+INDEX($BD$13:$BL$162,BP682,0))/100)))&gt;0)*($D$10:$L$10-($D$9:$L$9+INT(($S$12:$AA$12+INDEX($AJ$13:$AR$162,BN682,0)+INDEX($AT$13:$BB$162,BO682,0)+INDEX($BD$13:$BL$162,BP682,0))/100)))),0)</f>
        <v/>
      </c>
      <c r="BS682">
        <f>IF(669&lt;$U$9,SUMPRODUCT(($D$9:$L$9+INT(($S$12:$AA$12+INDEX($AJ$13:$AR$162,BN682,0)+INDEX($AT$13:$BB$162,BO682,0)+INDEX($BD$13:$BL$162,BP682,0))/100))),0)</f>
        <v/>
      </c>
      <c r="BT682">
        <f>IF(AND(669&lt;$U$9,$W$5),BQ682*1000000-MIN(BR682,999)*1000+BS682-669/100000,-1000000000-669)</f>
        <v/>
      </c>
    </row>
    <row r="683">
      <c r="BN683">
        <f>IF(670&lt;$U$9,INT(670/($U$7*$U$8))+1,1)</f>
        <v/>
      </c>
      <c r="BO683">
        <f>IF(670&lt;$U$9,MOD(INT(670/$U$8),$U$7)+1,1)</f>
        <v/>
      </c>
      <c r="BP683">
        <f>IF(670&lt;$U$9,MOD(670,$U$8)+1,1)</f>
        <v/>
      </c>
      <c r="BQ683">
        <f>IF(670&lt;$U$9,SUMPRODUCT(($D$10:$L$10&lt;&gt;"")*(($D$9:$L$9+INT(($S$12:$AA$12+INDEX($AJ$13:$AR$162,BN683,0)+INDEX($AT$13:$BB$162,BO683,0)+INDEX($BD$13:$BL$162,BP683,0))/100))&gt;=$D$10:$L$10)),0)</f>
        <v/>
      </c>
      <c r="BR683">
        <f>IF(670&lt;$U$9,SUMPRODUCT(($D$10:$L$10&lt;&gt;"")*(($D$10:$L$10-($D$9:$L$9+INT(($S$12:$AA$12+INDEX($AJ$13:$AR$162,BN683,0)+INDEX($AT$13:$BB$162,BO683,0)+INDEX($BD$13:$BL$162,BP683,0))/100)))&gt;0)*($D$10:$L$10-($D$9:$L$9+INT(($S$12:$AA$12+INDEX($AJ$13:$AR$162,BN683,0)+INDEX($AT$13:$BB$162,BO683,0)+INDEX($BD$13:$BL$162,BP683,0))/100)))),0)</f>
        <v/>
      </c>
      <c r="BS683">
        <f>IF(670&lt;$U$9,SUMPRODUCT(($D$9:$L$9+INT(($S$12:$AA$12+INDEX($AJ$13:$AR$162,BN683,0)+INDEX($AT$13:$BB$162,BO683,0)+INDEX($BD$13:$BL$162,BP683,0))/100))),0)</f>
        <v/>
      </c>
      <c r="BT683">
        <f>IF(AND(670&lt;$U$9,$W$5),BQ683*1000000-MIN(BR683,999)*1000+BS683-670/100000,-1000000000-670)</f>
        <v/>
      </c>
    </row>
    <row r="684">
      <c r="BN684">
        <f>IF(671&lt;$U$9,INT(671/($U$7*$U$8))+1,1)</f>
        <v/>
      </c>
      <c r="BO684">
        <f>IF(671&lt;$U$9,MOD(INT(671/$U$8),$U$7)+1,1)</f>
        <v/>
      </c>
      <c r="BP684">
        <f>IF(671&lt;$U$9,MOD(671,$U$8)+1,1)</f>
        <v/>
      </c>
      <c r="BQ684">
        <f>IF(671&lt;$U$9,SUMPRODUCT(($D$10:$L$10&lt;&gt;"")*(($D$9:$L$9+INT(($S$12:$AA$12+INDEX($AJ$13:$AR$162,BN684,0)+INDEX($AT$13:$BB$162,BO684,0)+INDEX($BD$13:$BL$162,BP684,0))/100))&gt;=$D$10:$L$10)),0)</f>
        <v/>
      </c>
      <c r="BR684">
        <f>IF(671&lt;$U$9,SUMPRODUCT(($D$10:$L$10&lt;&gt;"")*(($D$10:$L$10-($D$9:$L$9+INT(($S$12:$AA$12+INDEX($AJ$13:$AR$162,BN684,0)+INDEX($AT$13:$BB$162,BO684,0)+INDEX($BD$13:$BL$162,BP684,0))/100)))&gt;0)*($D$10:$L$10-($D$9:$L$9+INT(($S$12:$AA$12+INDEX($AJ$13:$AR$162,BN684,0)+INDEX($AT$13:$BB$162,BO684,0)+INDEX($BD$13:$BL$162,BP684,0))/100)))),0)</f>
        <v/>
      </c>
      <c r="BS684">
        <f>IF(671&lt;$U$9,SUMPRODUCT(($D$9:$L$9+INT(($S$12:$AA$12+INDEX($AJ$13:$AR$162,BN684,0)+INDEX($AT$13:$BB$162,BO684,0)+INDEX($BD$13:$BL$162,BP684,0))/100))),0)</f>
        <v/>
      </c>
      <c r="BT684">
        <f>IF(AND(671&lt;$U$9,$W$5),BQ684*1000000-MIN(BR684,999)*1000+BS684-671/100000,-1000000000-671)</f>
        <v/>
      </c>
    </row>
    <row r="685">
      <c r="BN685">
        <f>IF(672&lt;$U$9,INT(672/($U$7*$U$8))+1,1)</f>
        <v/>
      </c>
      <c r="BO685">
        <f>IF(672&lt;$U$9,MOD(INT(672/$U$8),$U$7)+1,1)</f>
        <v/>
      </c>
      <c r="BP685">
        <f>IF(672&lt;$U$9,MOD(672,$U$8)+1,1)</f>
        <v/>
      </c>
      <c r="BQ685">
        <f>IF(672&lt;$U$9,SUMPRODUCT(($D$10:$L$10&lt;&gt;"")*(($D$9:$L$9+INT(($S$12:$AA$12+INDEX($AJ$13:$AR$162,BN685,0)+INDEX($AT$13:$BB$162,BO685,0)+INDEX($BD$13:$BL$162,BP685,0))/100))&gt;=$D$10:$L$10)),0)</f>
        <v/>
      </c>
      <c r="BR685">
        <f>IF(672&lt;$U$9,SUMPRODUCT(($D$10:$L$10&lt;&gt;"")*(($D$10:$L$10-($D$9:$L$9+INT(($S$12:$AA$12+INDEX($AJ$13:$AR$162,BN685,0)+INDEX($AT$13:$BB$162,BO685,0)+INDEX($BD$13:$BL$162,BP685,0))/100)))&gt;0)*($D$10:$L$10-($D$9:$L$9+INT(($S$12:$AA$12+INDEX($AJ$13:$AR$162,BN685,0)+INDEX($AT$13:$BB$162,BO685,0)+INDEX($BD$13:$BL$162,BP685,0))/100)))),0)</f>
        <v/>
      </c>
      <c r="BS685">
        <f>IF(672&lt;$U$9,SUMPRODUCT(($D$9:$L$9+INT(($S$12:$AA$12+INDEX($AJ$13:$AR$162,BN685,0)+INDEX($AT$13:$BB$162,BO685,0)+INDEX($BD$13:$BL$162,BP685,0))/100))),0)</f>
        <v/>
      </c>
      <c r="BT685">
        <f>IF(AND(672&lt;$U$9,$W$5),BQ685*1000000-MIN(BR685,999)*1000+BS685-672/100000,-1000000000-672)</f>
        <v/>
      </c>
    </row>
    <row r="686">
      <c r="BN686">
        <f>IF(673&lt;$U$9,INT(673/($U$7*$U$8))+1,1)</f>
        <v/>
      </c>
      <c r="BO686">
        <f>IF(673&lt;$U$9,MOD(INT(673/$U$8),$U$7)+1,1)</f>
        <v/>
      </c>
      <c r="BP686">
        <f>IF(673&lt;$U$9,MOD(673,$U$8)+1,1)</f>
        <v/>
      </c>
      <c r="BQ686">
        <f>IF(673&lt;$U$9,SUMPRODUCT(($D$10:$L$10&lt;&gt;"")*(($D$9:$L$9+INT(($S$12:$AA$12+INDEX($AJ$13:$AR$162,BN686,0)+INDEX($AT$13:$BB$162,BO686,0)+INDEX($BD$13:$BL$162,BP686,0))/100))&gt;=$D$10:$L$10)),0)</f>
        <v/>
      </c>
      <c r="BR686">
        <f>IF(673&lt;$U$9,SUMPRODUCT(($D$10:$L$10&lt;&gt;"")*(($D$10:$L$10-($D$9:$L$9+INT(($S$12:$AA$12+INDEX($AJ$13:$AR$162,BN686,0)+INDEX($AT$13:$BB$162,BO686,0)+INDEX($BD$13:$BL$162,BP686,0))/100)))&gt;0)*($D$10:$L$10-($D$9:$L$9+INT(($S$12:$AA$12+INDEX($AJ$13:$AR$162,BN686,0)+INDEX($AT$13:$BB$162,BO686,0)+INDEX($BD$13:$BL$162,BP686,0))/100)))),0)</f>
        <v/>
      </c>
      <c r="BS686">
        <f>IF(673&lt;$U$9,SUMPRODUCT(($D$9:$L$9+INT(($S$12:$AA$12+INDEX($AJ$13:$AR$162,BN686,0)+INDEX($AT$13:$BB$162,BO686,0)+INDEX($BD$13:$BL$162,BP686,0))/100))),0)</f>
        <v/>
      </c>
      <c r="BT686">
        <f>IF(AND(673&lt;$U$9,$W$5),BQ686*1000000-MIN(BR686,999)*1000+BS686-673/100000,-1000000000-673)</f>
        <v/>
      </c>
    </row>
    <row r="687">
      <c r="BN687">
        <f>IF(674&lt;$U$9,INT(674/($U$7*$U$8))+1,1)</f>
        <v/>
      </c>
      <c r="BO687">
        <f>IF(674&lt;$U$9,MOD(INT(674/$U$8),$U$7)+1,1)</f>
        <v/>
      </c>
      <c r="BP687">
        <f>IF(674&lt;$U$9,MOD(674,$U$8)+1,1)</f>
        <v/>
      </c>
      <c r="BQ687">
        <f>IF(674&lt;$U$9,SUMPRODUCT(($D$10:$L$10&lt;&gt;"")*(($D$9:$L$9+INT(($S$12:$AA$12+INDEX($AJ$13:$AR$162,BN687,0)+INDEX($AT$13:$BB$162,BO687,0)+INDEX($BD$13:$BL$162,BP687,0))/100))&gt;=$D$10:$L$10)),0)</f>
        <v/>
      </c>
      <c r="BR687">
        <f>IF(674&lt;$U$9,SUMPRODUCT(($D$10:$L$10&lt;&gt;"")*(($D$10:$L$10-($D$9:$L$9+INT(($S$12:$AA$12+INDEX($AJ$13:$AR$162,BN687,0)+INDEX($AT$13:$BB$162,BO687,0)+INDEX($BD$13:$BL$162,BP687,0))/100)))&gt;0)*($D$10:$L$10-($D$9:$L$9+INT(($S$12:$AA$12+INDEX($AJ$13:$AR$162,BN687,0)+INDEX($AT$13:$BB$162,BO687,0)+INDEX($BD$13:$BL$162,BP687,0))/100)))),0)</f>
        <v/>
      </c>
      <c r="BS687">
        <f>IF(674&lt;$U$9,SUMPRODUCT(($D$9:$L$9+INT(($S$12:$AA$12+INDEX($AJ$13:$AR$162,BN687,0)+INDEX($AT$13:$BB$162,BO687,0)+INDEX($BD$13:$BL$162,BP687,0))/100))),0)</f>
        <v/>
      </c>
      <c r="BT687">
        <f>IF(AND(674&lt;$U$9,$W$5),BQ687*1000000-MIN(BR687,999)*1000+BS687-674/100000,-1000000000-674)</f>
        <v/>
      </c>
    </row>
    <row r="688">
      <c r="BN688">
        <f>IF(675&lt;$U$9,INT(675/($U$7*$U$8))+1,1)</f>
        <v/>
      </c>
      <c r="BO688">
        <f>IF(675&lt;$U$9,MOD(INT(675/$U$8),$U$7)+1,1)</f>
        <v/>
      </c>
      <c r="BP688">
        <f>IF(675&lt;$U$9,MOD(675,$U$8)+1,1)</f>
        <v/>
      </c>
      <c r="BQ688">
        <f>IF(675&lt;$U$9,SUMPRODUCT(($D$10:$L$10&lt;&gt;"")*(($D$9:$L$9+INT(($S$12:$AA$12+INDEX($AJ$13:$AR$162,BN688,0)+INDEX($AT$13:$BB$162,BO688,0)+INDEX($BD$13:$BL$162,BP688,0))/100))&gt;=$D$10:$L$10)),0)</f>
        <v/>
      </c>
      <c r="BR688">
        <f>IF(675&lt;$U$9,SUMPRODUCT(($D$10:$L$10&lt;&gt;"")*(($D$10:$L$10-($D$9:$L$9+INT(($S$12:$AA$12+INDEX($AJ$13:$AR$162,BN688,0)+INDEX($AT$13:$BB$162,BO688,0)+INDEX($BD$13:$BL$162,BP688,0))/100)))&gt;0)*($D$10:$L$10-($D$9:$L$9+INT(($S$12:$AA$12+INDEX($AJ$13:$AR$162,BN688,0)+INDEX($AT$13:$BB$162,BO688,0)+INDEX($BD$13:$BL$162,BP688,0))/100)))),0)</f>
        <v/>
      </c>
      <c r="BS688">
        <f>IF(675&lt;$U$9,SUMPRODUCT(($D$9:$L$9+INT(($S$12:$AA$12+INDEX($AJ$13:$AR$162,BN688,0)+INDEX($AT$13:$BB$162,BO688,0)+INDEX($BD$13:$BL$162,BP688,0))/100))),0)</f>
        <v/>
      </c>
      <c r="BT688">
        <f>IF(AND(675&lt;$U$9,$W$5),BQ688*1000000-MIN(BR688,999)*1000+BS688-675/100000,-1000000000-675)</f>
        <v/>
      </c>
    </row>
    <row r="689">
      <c r="BN689">
        <f>IF(676&lt;$U$9,INT(676/($U$7*$U$8))+1,1)</f>
        <v/>
      </c>
      <c r="BO689">
        <f>IF(676&lt;$U$9,MOD(INT(676/$U$8),$U$7)+1,1)</f>
        <v/>
      </c>
      <c r="BP689">
        <f>IF(676&lt;$U$9,MOD(676,$U$8)+1,1)</f>
        <v/>
      </c>
      <c r="BQ689">
        <f>IF(676&lt;$U$9,SUMPRODUCT(($D$10:$L$10&lt;&gt;"")*(($D$9:$L$9+INT(($S$12:$AA$12+INDEX($AJ$13:$AR$162,BN689,0)+INDEX($AT$13:$BB$162,BO689,0)+INDEX($BD$13:$BL$162,BP689,0))/100))&gt;=$D$10:$L$10)),0)</f>
        <v/>
      </c>
      <c r="BR689">
        <f>IF(676&lt;$U$9,SUMPRODUCT(($D$10:$L$10&lt;&gt;"")*(($D$10:$L$10-($D$9:$L$9+INT(($S$12:$AA$12+INDEX($AJ$13:$AR$162,BN689,0)+INDEX($AT$13:$BB$162,BO689,0)+INDEX($BD$13:$BL$162,BP689,0))/100)))&gt;0)*($D$10:$L$10-($D$9:$L$9+INT(($S$12:$AA$12+INDEX($AJ$13:$AR$162,BN689,0)+INDEX($AT$13:$BB$162,BO689,0)+INDEX($BD$13:$BL$162,BP689,0))/100)))),0)</f>
        <v/>
      </c>
      <c r="BS689">
        <f>IF(676&lt;$U$9,SUMPRODUCT(($D$9:$L$9+INT(($S$12:$AA$12+INDEX($AJ$13:$AR$162,BN689,0)+INDEX($AT$13:$BB$162,BO689,0)+INDEX($BD$13:$BL$162,BP689,0))/100))),0)</f>
        <v/>
      </c>
      <c r="BT689">
        <f>IF(AND(676&lt;$U$9,$W$5),BQ689*1000000-MIN(BR689,999)*1000+BS689-676/100000,-1000000000-676)</f>
        <v/>
      </c>
    </row>
    <row r="690">
      <c r="BN690">
        <f>IF(677&lt;$U$9,INT(677/($U$7*$U$8))+1,1)</f>
        <v/>
      </c>
      <c r="BO690">
        <f>IF(677&lt;$U$9,MOD(INT(677/$U$8),$U$7)+1,1)</f>
        <v/>
      </c>
      <c r="BP690">
        <f>IF(677&lt;$U$9,MOD(677,$U$8)+1,1)</f>
        <v/>
      </c>
      <c r="BQ690">
        <f>IF(677&lt;$U$9,SUMPRODUCT(($D$10:$L$10&lt;&gt;"")*(($D$9:$L$9+INT(($S$12:$AA$12+INDEX($AJ$13:$AR$162,BN690,0)+INDEX($AT$13:$BB$162,BO690,0)+INDEX($BD$13:$BL$162,BP690,0))/100))&gt;=$D$10:$L$10)),0)</f>
        <v/>
      </c>
      <c r="BR690">
        <f>IF(677&lt;$U$9,SUMPRODUCT(($D$10:$L$10&lt;&gt;"")*(($D$10:$L$10-($D$9:$L$9+INT(($S$12:$AA$12+INDEX($AJ$13:$AR$162,BN690,0)+INDEX($AT$13:$BB$162,BO690,0)+INDEX($BD$13:$BL$162,BP690,0))/100)))&gt;0)*($D$10:$L$10-($D$9:$L$9+INT(($S$12:$AA$12+INDEX($AJ$13:$AR$162,BN690,0)+INDEX($AT$13:$BB$162,BO690,0)+INDEX($BD$13:$BL$162,BP690,0))/100)))),0)</f>
        <v/>
      </c>
      <c r="BS690">
        <f>IF(677&lt;$U$9,SUMPRODUCT(($D$9:$L$9+INT(($S$12:$AA$12+INDEX($AJ$13:$AR$162,BN690,0)+INDEX($AT$13:$BB$162,BO690,0)+INDEX($BD$13:$BL$162,BP690,0))/100))),0)</f>
        <v/>
      </c>
      <c r="BT690">
        <f>IF(AND(677&lt;$U$9,$W$5),BQ690*1000000-MIN(BR690,999)*1000+BS690-677/100000,-1000000000-677)</f>
        <v/>
      </c>
    </row>
    <row r="691">
      <c r="BN691">
        <f>IF(678&lt;$U$9,INT(678/($U$7*$U$8))+1,1)</f>
        <v/>
      </c>
      <c r="BO691">
        <f>IF(678&lt;$U$9,MOD(INT(678/$U$8),$U$7)+1,1)</f>
        <v/>
      </c>
      <c r="BP691">
        <f>IF(678&lt;$U$9,MOD(678,$U$8)+1,1)</f>
        <v/>
      </c>
      <c r="BQ691">
        <f>IF(678&lt;$U$9,SUMPRODUCT(($D$10:$L$10&lt;&gt;"")*(($D$9:$L$9+INT(($S$12:$AA$12+INDEX($AJ$13:$AR$162,BN691,0)+INDEX($AT$13:$BB$162,BO691,0)+INDEX($BD$13:$BL$162,BP691,0))/100))&gt;=$D$10:$L$10)),0)</f>
        <v/>
      </c>
      <c r="BR691">
        <f>IF(678&lt;$U$9,SUMPRODUCT(($D$10:$L$10&lt;&gt;"")*(($D$10:$L$10-($D$9:$L$9+INT(($S$12:$AA$12+INDEX($AJ$13:$AR$162,BN691,0)+INDEX($AT$13:$BB$162,BO691,0)+INDEX($BD$13:$BL$162,BP691,0))/100)))&gt;0)*($D$10:$L$10-($D$9:$L$9+INT(($S$12:$AA$12+INDEX($AJ$13:$AR$162,BN691,0)+INDEX($AT$13:$BB$162,BO691,0)+INDEX($BD$13:$BL$162,BP691,0))/100)))),0)</f>
        <v/>
      </c>
      <c r="BS691">
        <f>IF(678&lt;$U$9,SUMPRODUCT(($D$9:$L$9+INT(($S$12:$AA$12+INDEX($AJ$13:$AR$162,BN691,0)+INDEX($AT$13:$BB$162,BO691,0)+INDEX($BD$13:$BL$162,BP691,0))/100))),0)</f>
        <v/>
      </c>
      <c r="BT691">
        <f>IF(AND(678&lt;$U$9,$W$5),BQ691*1000000-MIN(BR691,999)*1000+BS691-678/100000,-1000000000-678)</f>
        <v/>
      </c>
    </row>
    <row r="692">
      <c r="BN692">
        <f>IF(679&lt;$U$9,INT(679/($U$7*$U$8))+1,1)</f>
        <v/>
      </c>
      <c r="BO692">
        <f>IF(679&lt;$U$9,MOD(INT(679/$U$8),$U$7)+1,1)</f>
        <v/>
      </c>
      <c r="BP692">
        <f>IF(679&lt;$U$9,MOD(679,$U$8)+1,1)</f>
        <v/>
      </c>
      <c r="BQ692">
        <f>IF(679&lt;$U$9,SUMPRODUCT(($D$10:$L$10&lt;&gt;"")*(($D$9:$L$9+INT(($S$12:$AA$12+INDEX($AJ$13:$AR$162,BN692,0)+INDEX($AT$13:$BB$162,BO692,0)+INDEX($BD$13:$BL$162,BP692,0))/100))&gt;=$D$10:$L$10)),0)</f>
        <v/>
      </c>
      <c r="BR692">
        <f>IF(679&lt;$U$9,SUMPRODUCT(($D$10:$L$10&lt;&gt;"")*(($D$10:$L$10-($D$9:$L$9+INT(($S$12:$AA$12+INDEX($AJ$13:$AR$162,BN692,0)+INDEX($AT$13:$BB$162,BO692,0)+INDEX($BD$13:$BL$162,BP692,0))/100)))&gt;0)*($D$10:$L$10-($D$9:$L$9+INT(($S$12:$AA$12+INDEX($AJ$13:$AR$162,BN692,0)+INDEX($AT$13:$BB$162,BO692,0)+INDEX($BD$13:$BL$162,BP692,0))/100)))),0)</f>
        <v/>
      </c>
      <c r="BS692">
        <f>IF(679&lt;$U$9,SUMPRODUCT(($D$9:$L$9+INT(($S$12:$AA$12+INDEX($AJ$13:$AR$162,BN692,0)+INDEX($AT$13:$BB$162,BO692,0)+INDEX($BD$13:$BL$162,BP692,0))/100))),0)</f>
        <v/>
      </c>
      <c r="BT692">
        <f>IF(AND(679&lt;$U$9,$W$5),BQ692*1000000-MIN(BR692,999)*1000+BS692-679/100000,-1000000000-679)</f>
        <v/>
      </c>
    </row>
    <row r="693">
      <c r="BN693">
        <f>IF(680&lt;$U$9,INT(680/($U$7*$U$8))+1,1)</f>
        <v/>
      </c>
      <c r="BO693">
        <f>IF(680&lt;$U$9,MOD(INT(680/$U$8),$U$7)+1,1)</f>
        <v/>
      </c>
      <c r="BP693">
        <f>IF(680&lt;$U$9,MOD(680,$U$8)+1,1)</f>
        <v/>
      </c>
      <c r="BQ693">
        <f>IF(680&lt;$U$9,SUMPRODUCT(($D$10:$L$10&lt;&gt;"")*(($D$9:$L$9+INT(($S$12:$AA$12+INDEX($AJ$13:$AR$162,BN693,0)+INDEX($AT$13:$BB$162,BO693,0)+INDEX($BD$13:$BL$162,BP693,0))/100))&gt;=$D$10:$L$10)),0)</f>
        <v/>
      </c>
      <c r="BR693">
        <f>IF(680&lt;$U$9,SUMPRODUCT(($D$10:$L$10&lt;&gt;"")*(($D$10:$L$10-($D$9:$L$9+INT(($S$12:$AA$12+INDEX($AJ$13:$AR$162,BN693,0)+INDEX($AT$13:$BB$162,BO693,0)+INDEX($BD$13:$BL$162,BP693,0))/100)))&gt;0)*($D$10:$L$10-($D$9:$L$9+INT(($S$12:$AA$12+INDEX($AJ$13:$AR$162,BN693,0)+INDEX($AT$13:$BB$162,BO693,0)+INDEX($BD$13:$BL$162,BP693,0))/100)))),0)</f>
        <v/>
      </c>
      <c r="BS693">
        <f>IF(680&lt;$U$9,SUMPRODUCT(($D$9:$L$9+INT(($S$12:$AA$12+INDEX($AJ$13:$AR$162,BN693,0)+INDEX($AT$13:$BB$162,BO693,0)+INDEX($BD$13:$BL$162,BP693,0))/100))),0)</f>
        <v/>
      </c>
      <c r="BT693">
        <f>IF(AND(680&lt;$U$9,$W$5),BQ693*1000000-MIN(BR693,999)*1000+BS693-680/100000,-1000000000-680)</f>
        <v/>
      </c>
    </row>
    <row r="694">
      <c r="BN694">
        <f>IF(681&lt;$U$9,INT(681/($U$7*$U$8))+1,1)</f>
        <v/>
      </c>
      <c r="BO694">
        <f>IF(681&lt;$U$9,MOD(INT(681/$U$8),$U$7)+1,1)</f>
        <v/>
      </c>
      <c r="BP694">
        <f>IF(681&lt;$U$9,MOD(681,$U$8)+1,1)</f>
        <v/>
      </c>
      <c r="BQ694">
        <f>IF(681&lt;$U$9,SUMPRODUCT(($D$10:$L$10&lt;&gt;"")*(($D$9:$L$9+INT(($S$12:$AA$12+INDEX($AJ$13:$AR$162,BN694,0)+INDEX($AT$13:$BB$162,BO694,0)+INDEX($BD$13:$BL$162,BP694,0))/100))&gt;=$D$10:$L$10)),0)</f>
        <v/>
      </c>
      <c r="BR694">
        <f>IF(681&lt;$U$9,SUMPRODUCT(($D$10:$L$10&lt;&gt;"")*(($D$10:$L$10-($D$9:$L$9+INT(($S$12:$AA$12+INDEX($AJ$13:$AR$162,BN694,0)+INDEX($AT$13:$BB$162,BO694,0)+INDEX($BD$13:$BL$162,BP694,0))/100)))&gt;0)*($D$10:$L$10-($D$9:$L$9+INT(($S$12:$AA$12+INDEX($AJ$13:$AR$162,BN694,0)+INDEX($AT$13:$BB$162,BO694,0)+INDEX($BD$13:$BL$162,BP694,0))/100)))),0)</f>
        <v/>
      </c>
      <c r="BS694">
        <f>IF(681&lt;$U$9,SUMPRODUCT(($D$9:$L$9+INT(($S$12:$AA$12+INDEX($AJ$13:$AR$162,BN694,0)+INDEX($AT$13:$BB$162,BO694,0)+INDEX($BD$13:$BL$162,BP694,0))/100))),0)</f>
        <v/>
      </c>
      <c r="BT694">
        <f>IF(AND(681&lt;$U$9,$W$5),BQ694*1000000-MIN(BR694,999)*1000+BS694-681/100000,-1000000000-681)</f>
        <v/>
      </c>
    </row>
    <row r="695">
      <c r="BN695">
        <f>IF(682&lt;$U$9,INT(682/($U$7*$U$8))+1,1)</f>
        <v/>
      </c>
      <c r="BO695">
        <f>IF(682&lt;$U$9,MOD(INT(682/$U$8),$U$7)+1,1)</f>
        <v/>
      </c>
      <c r="BP695">
        <f>IF(682&lt;$U$9,MOD(682,$U$8)+1,1)</f>
        <v/>
      </c>
      <c r="BQ695">
        <f>IF(682&lt;$U$9,SUMPRODUCT(($D$10:$L$10&lt;&gt;"")*(($D$9:$L$9+INT(($S$12:$AA$12+INDEX($AJ$13:$AR$162,BN695,0)+INDEX($AT$13:$BB$162,BO695,0)+INDEX($BD$13:$BL$162,BP695,0))/100))&gt;=$D$10:$L$10)),0)</f>
        <v/>
      </c>
      <c r="BR695">
        <f>IF(682&lt;$U$9,SUMPRODUCT(($D$10:$L$10&lt;&gt;"")*(($D$10:$L$10-($D$9:$L$9+INT(($S$12:$AA$12+INDEX($AJ$13:$AR$162,BN695,0)+INDEX($AT$13:$BB$162,BO695,0)+INDEX($BD$13:$BL$162,BP695,0))/100)))&gt;0)*($D$10:$L$10-($D$9:$L$9+INT(($S$12:$AA$12+INDEX($AJ$13:$AR$162,BN695,0)+INDEX($AT$13:$BB$162,BO695,0)+INDEX($BD$13:$BL$162,BP695,0))/100)))),0)</f>
        <v/>
      </c>
      <c r="BS695">
        <f>IF(682&lt;$U$9,SUMPRODUCT(($D$9:$L$9+INT(($S$12:$AA$12+INDEX($AJ$13:$AR$162,BN695,0)+INDEX($AT$13:$BB$162,BO695,0)+INDEX($BD$13:$BL$162,BP695,0))/100))),0)</f>
        <v/>
      </c>
      <c r="BT695">
        <f>IF(AND(682&lt;$U$9,$W$5),BQ695*1000000-MIN(BR695,999)*1000+BS695-682/100000,-1000000000-682)</f>
        <v/>
      </c>
    </row>
    <row r="696">
      <c r="BN696">
        <f>IF(683&lt;$U$9,INT(683/($U$7*$U$8))+1,1)</f>
        <v/>
      </c>
      <c r="BO696">
        <f>IF(683&lt;$U$9,MOD(INT(683/$U$8),$U$7)+1,1)</f>
        <v/>
      </c>
      <c r="BP696">
        <f>IF(683&lt;$U$9,MOD(683,$U$8)+1,1)</f>
        <v/>
      </c>
      <c r="BQ696">
        <f>IF(683&lt;$U$9,SUMPRODUCT(($D$10:$L$10&lt;&gt;"")*(($D$9:$L$9+INT(($S$12:$AA$12+INDEX($AJ$13:$AR$162,BN696,0)+INDEX($AT$13:$BB$162,BO696,0)+INDEX($BD$13:$BL$162,BP696,0))/100))&gt;=$D$10:$L$10)),0)</f>
        <v/>
      </c>
      <c r="BR696">
        <f>IF(683&lt;$U$9,SUMPRODUCT(($D$10:$L$10&lt;&gt;"")*(($D$10:$L$10-($D$9:$L$9+INT(($S$12:$AA$12+INDEX($AJ$13:$AR$162,BN696,0)+INDEX($AT$13:$BB$162,BO696,0)+INDEX($BD$13:$BL$162,BP696,0))/100)))&gt;0)*($D$10:$L$10-($D$9:$L$9+INT(($S$12:$AA$12+INDEX($AJ$13:$AR$162,BN696,0)+INDEX($AT$13:$BB$162,BO696,0)+INDEX($BD$13:$BL$162,BP696,0))/100)))),0)</f>
        <v/>
      </c>
      <c r="BS696">
        <f>IF(683&lt;$U$9,SUMPRODUCT(($D$9:$L$9+INT(($S$12:$AA$12+INDEX($AJ$13:$AR$162,BN696,0)+INDEX($AT$13:$BB$162,BO696,0)+INDEX($BD$13:$BL$162,BP696,0))/100))),0)</f>
        <v/>
      </c>
      <c r="BT696">
        <f>IF(AND(683&lt;$U$9,$W$5),BQ696*1000000-MIN(BR696,999)*1000+BS696-683/100000,-1000000000-683)</f>
        <v/>
      </c>
    </row>
    <row r="697">
      <c r="BN697">
        <f>IF(684&lt;$U$9,INT(684/($U$7*$U$8))+1,1)</f>
        <v/>
      </c>
      <c r="BO697">
        <f>IF(684&lt;$U$9,MOD(INT(684/$U$8),$U$7)+1,1)</f>
        <v/>
      </c>
      <c r="BP697">
        <f>IF(684&lt;$U$9,MOD(684,$U$8)+1,1)</f>
        <v/>
      </c>
      <c r="BQ697">
        <f>IF(684&lt;$U$9,SUMPRODUCT(($D$10:$L$10&lt;&gt;"")*(($D$9:$L$9+INT(($S$12:$AA$12+INDEX($AJ$13:$AR$162,BN697,0)+INDEX($AT$13:$BB$162,BO697,0)+INDEX($BD$13:$BL$162,BP697,0))/100))&gt;=$D$10:$L$10)),0)</f>
        <v/>
      </c>
      <c r="BR697">
        <f>IF(684&lt;$U$9,SUMPRODUCT(($D$10:$L$10&lt;&gt;"")*(($D$10:$L$10-($D$9:$L$9+INT(($S$12:$AA$12+INDEX($AJ$13:$AR$162,BN697,0)+INDEX($AT$13:$BB$162,BO697,0)+INDEX($BD$13:$BL$162,BP697,0))/100)))&gt;0)*($D$10:$L$10-($D$9:$L$9+INT(($S$12:$AA$12+INDEX($AJ$13:$AR$162,BN697,0)+INDEX($AT$13:$BB$162,BO697,0)+INDEX($BD$13:$BL$162,BP697,0))/100)))),0)</f>
        <v/>
      </c>
      <c r="BS697">
        <f>IF(684&lt;$U$9,SUMPRODUCT(($D$9:$L$9+INT(($S$12:$AA$12+INDEX($AJ$13:$AR$162,BN697,0)+INDEX($AT$13:$BB$162,BO697,0)+INDEX($BD$13:$BL$162,BP697,0))/100))),0)</f>
        <v/>
      </c>
      <c r="BT697">
        <f>IF(AND(684&lt;$U$9,$W$5),BQ697*1000000-MIN(BR697,999)*1000+BS697-684/100000,-1000000000-684)</f>
        <v/>
      </c>
    </row>
    <row r="698">
      <c r="BN698">
        <f>IF(685&lt;$U$9,INT(685/($U$7*$U$8))+1,1)</f>
        <v/>
      </c>
      <c r="BO698">
        <f>IF(685&lt;$U$9,MOD(INT(685/$U$8),$U$7)+1,1)</f>
        <v/>
      </c>
      <c r="BP698">
        <f>IF(685&lt;$U$9,MOD(685,$U$8)+1,1)</f>
        <v/>
      </c>
      <c r="BQ698">
        <f>IF(685&lt;$U$9,SUMPRODUCT(($D$10:$L$10&lt;&gt;"")*(($D$9:$L$9+INT(($S$12:$AA$12+INDEX($AJ$13:$AR$162,BN698,0)+INDEX($AT$13:$BB$162,BO698,0)+INDEX($BD$13:$BL$162,BP698,0))/100))&gt;=$D$10:$L$10)),0)</f>
        <v/>
      </c>
      <c r="BR698">
        <f>IF(685&lt;$U$9,SUMPRODUCT(($D$10:$L$10&lt;&gt;"")*(($D$10:$L$10-($D$9:$L$9+INT(($S$12:$AA$12+INDEX($AJ$13:$AR$162,BN698,0)+INDEX($AT$13:$BB$162,BO698,0)+INDEX($BD$13:$BL$162,BP698,0))/100)))&gt;0)*($D$10:$L$10-($D$9:$L$9+INT(($S$12:$AA$12+INDEX($AJ$13:$AR$162,BN698,0)+INDEX($AT$13:$BB$162,BO698,0)+INDEX($BD$13:$BL$162,BP698,0))/100)))),0)</f>
        <v/>
      </c>
      <c r="BS698">
        <f>IF(685&lt;$U$9,SUMPRODUCT(($D$9:$L$9+INT(($S$12:$AA$12+INDEX($AJ$13:$AR$162,BN698,0)+INDEX($AT$13:$BB$162,BO698,0)+INDEX($BD$13:$BL$162,BP698,0))/100))),0)</f>
        <v/>
      </c>
      <c r="BT698">
        <f>IF(AND(685&lt;$U$9,$W$5),BQ698*1000000-MIN(BR698,999)*1000+BS698-685/100000,-1000000000-685)</f>
        <v/>
      </c>
    </row>
    <row r="699">
      <c r="BN699">
        <f>IF(686&lt;$U$9,INT(686/($U$7*$U$8))+1,1)</f>
        <v/>
      </c>
      <c r="BO699">
        <f>IF(686&lt;$U$9,MOD(INT(686/$U$8),$U$7)+1,1)</f>
        <v/>
      </c>
      <c r="BP699">
        <f>IF(686&lt;$U$9,MOD(686,$U$8)+1,1)</f>
        <v/>
      </c>
      <c r="BQ699">
        <f>IF(686&lt;$U$9,SUMPRODUCT(($D$10:$L$10&lt;&gt;"")*(($D$9:$L$9+INT(($S$12:$AA$12+INDEX($AJ$13:$AR$162,BN699,0)+INDEX($AT$13:$BB$162,BO699,0)+INDEX($BD$13:$BL$162,BP699,0))/100))&gt;=$D$10:$L$10)),0)</f>
        <v/>
      </c>
      <c r="BR699">
        <f>IF(686&lt;$U$9,SUMPRODUCT(($D$10:$L$10&lt;&gt;"")*(($D$10:$L$10-($D$9:$L$9+INT(($S$12:$AA$12+INDEX($AJ$13:$AR$162,BN699,0)+INDEX($AT$13:$BB$162,BO699,0)+INDEX($BD$13:$BL$162,BP699,0))/100)))&gt;0)*($D$10:$L$10-($D$9:$L$9+INT(($S$12:$AA$12+INDEX($AJ$13:$AR$162,BN699,0)+INDEX($AT$13:$BB$162,BO699,0)+INDEX($BD$13:$BL$162,BP699,0))/100)))),0)</f>
        <v/>
      </c>
      <c r="BS699">
        <f>IF(686&lt;$U$9,SUMPRODUCT(($D$9:$L$9+INT(($S$12:$AA$12+INDEX($AJ$13:$AR$162,BN699,0)+INDEX($AT$13:$BB$162,BO699,0)+INDEX($BD$13:$BL$162,BP699,0))/100))),0)</f>
        <v/>
      </c>
      <c r="BT699">
        <f>IF(AND(686&lt;$U$9,$W$5),BQ699*1000000-MIN(BR699,999)*1000+BS699-686/100000,-1000000000-686)</f>
        <v/>
      </c>
    </row>
    <row r="700">
      <c r="BN700">
        <f>IF(687&lt;$U$9,INT(687/($U$7*$U$8))+1,1)</f>
        <v/>
      </c>
      <c r="BO700">
        <f>IF(687&lt;$U$9,MOD(INT(687/$U$8),$U$7)+1,1)</f>
        <v/>
      </c>
      <c r="BP700">
        <f>IF(687&lt;$U$9,MOD(687,$U$8)+1,1)</f>
        <v/>
      </c>
      <c r="BQ700">
        <f>IF(687&lt;$U$9,SUMPRODUCT(($D$10:$L$10&lt;&gt;"")*(($D$9:$L$9+INT(($S$12:$AA$12+INDEX($AJ$13:$AR$162,BN700,0)+INDEX($AT$13:$BB$162,BO700,0)+INDEX($BD$13:$BL$162,BP700,0))/100))&gt;=$D$10:$L$10)),0)</f>
        <v/>
      </c>
      <c r="BR700">
        <f>IF(687&lt;$U$9,SUMPRODUCT(($D$10:$L$10&lt;&gt;"")*(($D$10:$L$10-($D$9:$L$9+INT(($S$12:$AA$12+INDEX($AJ$13:$AR$162,BN700,0)+INDEX($AT$13:$BB$162,BO700,0)+INDEX($BD$13:$BL$162,BP700,0))/100)))&gt;0)*($D$10:$L$10-($D$9:$L$9+INT(($S$12:$AA$12+INDEX($AJ$13:$AR$162,BN700,0)+INDEX($AT$13:$BB$162,BO700,0)+INDEX($BD$13:$BL$162,BP700,0))/100)))),0)</f>
        <v/>
      </c>
      <c r="BS700">
        <f>IF(687&lt;$U$9,SUMPRODUCT(($D$9:$L$9+INT(($S$12:$AA$12+INDEX($AJ$13:$AR$162,BN700,0)+INDEX($AT$13:$BB$162,BO700,0)+INDEX($BD$13:$BL$162,BP700,0))/100))),0)</f>
        <v/>
      </c>
      <c r="BT700">
        <f>IF(AND(687&lt;$U$9,$W$5),BQ700*1000000-MIN(BR700,999)*1000+BS700-687/100000,-1000000000-687)</f>
        <v/>
      </c>
    </row>
    <row r="701">
      <c r="BN701">
        <f>IF(688&lt;$U$9,INT(688/($U$7*$U$8))+1,1)</f>
        <v/>
      </c>
      <c r="BO701">
        <f>IF(688&lt;$U$9,MOD(INT(688/$U$8),$U$7)+1,1)</f>
        <v/>
      </c>
      <c r="BP701">
        <f>IF(688&lt;$U$9,MOD(688,$U$8)+1,1)</f>
        <v/>
      </c>
      <c r="BQ701">
        <f>IF(688&lt;$U$9,SUMPRODUCT(($D$10:$L$10&lt;&gt;"")*(($D$9:$L$9+INT(($S$12:$AA$12+INDEX($AJ$13:$AR$162,BN701,0)+INDEX($AT$13:$BB$162,BO701,0)+INDEX($BD$13:$BL$162,BP701,0))/100))&gt;=$D$10:$L$10)),0)</f>
        <v/>
      </c>
      <c r="BR701">
        <f>IF(688&lt;$U$9,SUMPRODUCT(($D$10:$L$10&lt;&gt;"")*(($D$10:$L$10-($D$9:$L$9+INT(($S$12:$AA$12+INDEX($AJ$13:$AR$162,BN701,0)+INDEX($AT$13:$BB$162,BO701,0)+INDEX($BD$13:$BL$162,BP701,0))/100)))&gt;0)*($D$10:$L$10-($D$9:$L$9+INT(($S$12:$AA$12+INDEX($AJ$13:$AR$162,BN701,0)+INDEX($AT$13:$BB$162,BO701,0)+INDEX($BD$13:$BL$162,BP701,0))/100)))),0)</f>
        <v/>
      </c>
      <c r="BS701">
        <f>IF(688&lt;$U$9,SUMPRODUCT(($D$9:$L$9+INT(($S$12:$AA$12+INDEX($AJ$13:$AR$162,BN701,0)+INDEX($AT$13:$BB$162,BO701,0)+INDEX($BD$13:$BL$162,BP701,0))/100))),0)</f>
        <v/>
      </c>
      <c r="BT701">
        <f>IF(AND(688&lt;$U$9,$W$5),BQ701*1000000-MIN(BR701,999)*1000+BS701-688/100000,-1000000000-688)</f>
        <v/>
      </c>
    </row>
    <row r="702">
      <c r="BN702">
        <f>IF(689&lt;$U$9,INT(689/($U$7*$U$8))+1,1)</f>
        <v/>
      </c>
      <c r="BO702">
        <f>IF(689&lt;$U$9,MOD(INT(689/$U$8),$U$7)+1,1)</f>
        <v/>
      </c>
      <c r="BP702">
        <f>IF(689&lt;$U$9,MOD(689,$U$8)+1,1)</f>
        <v/>
      </c>
      <c r="BQ702">
        <f>IF(689&lt;$U$9,SUMPRODUCT(($D$10:$L$10&lt;&gt;"")*(($D$9:$L$9+INT(($S$12:$AA$12+INDEX($AJ$13:$AR$162,BN702,0)+INDEX($AT$13:$BB$162,BO702,0)+INDEX($BD$13:$BL$162,BP702,0))/100))&gt;=$D$10:$L$10)),0)</f>
        <v/>
      </c>
      <c r="BR702">
        <f>IF(689&lt;$U$9,SUMPRODUCT(($D$10:$L$10&lt;&gt;"")*(($D$10:$L$10-($D$9:$L$9+INT(($S$12:$AA$12+INDEX($AJ$13:$AR$162,BN702,0)+INDEX($AT$13:$BB$162,BO702,0)+INDEX($BD$13:$BL$162,BP702,0))/100)))&gt;0)*($D$10:$L$10-($D$9:$L$9+INT(($S$12:$AA$12+INDEX($AJ$13:$AR$162,BN702,0)+INDEX($AT$13:$BB$162,BO702,0)+INDEX($BD$13:$BL$162,BP702,0))/100)))),0)</f>
        <v/>
      </c>
      <c r="BS702">
        <f>IF(689&lt;$U$9,SUMPRODUCT(($D$9:$L$9+INT(($S$12:$AA$12+INDEX($AJ$13:$AR$162,BN702,0)+INDEX($AT$13:$BB$162,BO702,0)+INDEX($BD$13:$BL$162,BP702,0))/100))),0)</f>
        <v/>
      </c>
      <c r="BT702">
        <f>IF(AND(689&lt;$U$9,$W$5),BQ702*1000000-MIN(BR702,999)*1000+BS702-689/100000,-1000000000-689)</f>
        <v/>
      </c>
    </row>
    <row r="703">
      <c r="BN703">
        <f>IF(690&lt;$U$9,INT(690/($U$7*$U$8))+1,1)</f>
        <v/>
      </c>
      <c r="BO703">
        <f>IF(690&lt;$U$9,MOD(INT(690/$U$8),$U$7)+1,1)</f>
        <v/>
      </c>
      <c r="BP703">
        <f>IF(690&lt;$U$9,MOD(690,$U$8)+1,1)</f>
        <v/>
      </c>
      <c r="BQ703">
        <f>IF(690&lt;$U$9,SUMPRODUCT(($D$10:$L$10&lt;&gt;"")*(($D$9:$L$9+INT(($S$12:$AA$12+INDEX($AJ$13:$AR$162,BN703,0)+INDEX($AT$13:$BB$162,BO703,0)+INDEX($BD$13:$BL$162,BP703,0))/100))&gt;=$D$10:$L$10)),0)</f>
        <v/>
      </c>
      <c r="BR703">
        <f>IF(690&lt;$U$9,SUMPRODUCT(($D$10:$L$10&lt;&gt;"")*(($D$10:$L$10-($D$9:$L$9+INT(($S$12:$AA$12+INDEX($AJ$13:$AR$162,BN703,0)+INDEX($AT$13:$BB$162,BO703,0)+INDEX($BD$13:$BL$162,BP703,0))/100)))&gt;0)*($D$10:$L$10-($D$9:$L$9+INT(($S$12:$AA$12+INDEX($AJ$13:$AR$162,BN703,0)+INDEX($AT$13:$BB$162,BO703,0)+INDEX($BD$13:$BL$162,BP703,0))/100)))),0)</f>
        <v/>
      </c>
      <c r="BS703">
        <f>IF(690&lt;$U$9,SUMPRODUCT(($D$9:$L$9+INT(($S$12:$AA$12+INDEX($AJ$13:$AR$162,BN703,0)+INDEX($AT$13:$BB$162,BO703,0)+INDEX($BD$13:$BL$162,BP703,0))/100))),0)</f>
        <v/>
      </c>
      <c r="BT703">
        <f>IF(AND(690&lt;$U$9,$W$5),BQ703*1000000-MIN(BR703,999)*1000+BS703-690/100000,-1000000000-690)</f>
        <v/>
      </c>
    </row>
    <row r="704">
      <c r="BN704">
        <f>IF(691&lt;$U$9,INT(691/($U$7*$U$8))+1,1)</f>
        <v/>
      </c>
      <c r="BO704">
        <f>IF(691&lt;$U$9,MOD(INT(691/$U$8),$U$7)+1,1)</f>
        <v/>
      </c>
      <c r="BP704">
        <f>IF(691&lt;$U$9,MOD(691,$U$8)+1,1)</f>
        <v/>
      </c>
      <c r="BQ704">
        <f>IF(691&lt;$U$9,SUMPRODUCT(($D$10:$L$10&lt;&gt;"")*(($D$9:$L$9+INT(($S$12:$AA$12+INDEX($AJ$13:$AR$162,BN704,0)+INDEX($AT$13:$BB$162,BO704,0)+INDEX($BD$13:$BL$162,BP704,0))/100))&gt;=$D$10:$L$10)),0)</f>
        <v/>
      </c>
      <c r="BR704">
        <f>IF(691&lt;$U$9,SUMPRODUCT(($D$10:$L$10&lt;&gt;"")*(($D$10:$L$10-($D$9:$L$9+INT(($S$12:$AA$12+INDEX($AJ$13:$AR$162,BN704,0)+INDEX($AT$13:$BB$162,BO704,0)+INDEX($BD$13:$BL$162,BP704,0))/100)))&gt;0)*($D$10:$L$10-($D$9:$L$9+INT(($S$12:$AA$12+INDEX($AJ$13:$AR$162,BN704,0)+INDEX($AT$13:$BB$162,BO704,0)+INDEX($BD$13:$BL$162,BP704,0))/100)))),0)</f>
        <v/>
      </c>
      <c r="BS704">
        <f>IF(691&lt;$U$9,SUMPRODUCT(($D$9:$L$9+INT(($S$12:$AA$12+INDEX($AJ$13:$AR$162,BN704,0)+INDEX($AT$13:$BB$162,BO704,0)+INDEX($BD$13:$BL$162,BP704,0))/100))),0)</f>
        <v/>
      </c>
      <c r="BT704">
        <f>IF(AND(691&lt;$U$9,$W$5),BQ704*1000000-MIN(BR704,999)*1000+BS704-691/100000,-1000000000-691)</f>
        <v/>
      </c>
    </row>
    <row r="705">
      <c r="BN705">
        <f>IF(692&lt;$U$9,INT(692/($U$7*$U$8))+1,1)</f>
        <v/>
      </c>
      <c r="BO705">
        <f>IF(692&lt;$U$9,MOD(INT(692/$U$8),$U$7)+1,1)</f>
        <v/>
      </c>
      <c r="BP705">
        <f>IF(692&lt;$U$9,MOD(692,$U$8)+1,1)</f>
        <v/>
      </c>
      <c r="BQ705">
        <f>IF(692&lt;$U$9,SUMPRODUCT(($D$10:$L$10&lt;&gt;"")*(($D$9:$L$9+INT(($S$12:$AA$12+INDEX($AJ$13:$AR$162,BN705,0)+INDEX($AT$13:$BB$162,BO705,0)+INDEX($BD$13:$BL$162,BP705,0))/100))&gt;=$D$10:$L$10)),0)</f>
        <v/>
      </c>
      <c r="BR705">
        <f>IF(692&lt;$U$9,SUMPRODUCT(($D$10:$L$10&lt;&gt;"")*(($D$10:$L$10-($D$9:$L$9+INT(($S$12:$AA$12+INDEX($AJ$13:$AR$162,BN705,0)+INDEX($AT$13:$BB$162,BO705,0)+INDEX($BD$13:$BL$162,BP705,0))/100)))&gt;0)*($D$10:$L$10-($D$9:$L$9+INT(($S$12:$AA$12+INDEX($AJ$13:$AR$162,BN705,0)+INDEX($AT$13:$BB$162,BO705,0)+INDEX($BD$13:$BL$162,BP705,0))/100)))),0)</f>
        <v/>
      </c>
      <c r="BS705">
        <f>IF(692&lt;$U$9,SUMPRODUCT(($D$9:$L$9+INT(($S$12:$AA$12+INDEX($AJ$13:$AR$162,BN705,0)+INDEX($AT$13:$BB$162,BO705,0)+INDEX($BD$13:$BL$162,BP705,0))/100))),0)</f>
        <v/>
      </c>
      <c r="BT705">
        <f>IF(AND(692&lt;$U$9,$W$5),BQ705*1000000-MIN(BR705,999)*1000+BS705-692/100000,-1000000000-692)</f>
        <v/>
      </c>
    </row>
    <row r="706">
      <c r="BN706">
        <f>IF(693&lt;$U$9,INT(693/($U$7*$U$8))+1,1)</f>
        <v/>
      </c>
      <c r="BO706">
        <f>IF(693&lt;$U$9,MOD(INT(693/$U$8),$U$7)+1,1)</f>
        <v/>
      </c>
      <c r="BP706">
        <f>IF(693&lt;$U$9,MOD(693,$U$8)+1,1)</f>
        <v/>
      </c>
      <c r="BQ706">
        <f>IF(693&lt;$U$9,SUMPRODUCT(($D$10:$L$10&lt;&gt;"")*(($D$9:$L$9+INT(($S$12:$AA$12+INDEX($AJ$13:$AR$162,BN706,0)+INDEX($AT$13:$BB$162,BO706,0)+INDEX($BD$13:$BL$162,BP706,0))/100))&gt;=$D$10:$L$10)),0)</f>
        <v/>
      </c>
      <c r="BR706">
        <f>IF(693&lt;$U$9,SUMPRODUCT(($D$10:$L$10&lt;&gt;"")*(($D$10:$L$10-($D$9:$L$9+INT(($S$12:$AA$12+INDEX($AJ$13:$AR$162,BN706,0)+INDEX($AT$13:$BB$162,BO706,0)+INDEX($BD$13:$BL$162,BP706,0))/100)))&gt;0)*($D$10:$L$10-($D$9:$L$9+INT(($S$12:$AA$12+INDEX($AJ$13:$AR$162,BN706,0)+INDEX($AT$13:$BB$162,BO706,0)+INDEX($BD$13:$BL$162,BP706,0))/100)))),0)</f>
        <v/>
      </c>
      <c r="BS706">
        <f>IF(693&lt;$U$9,SUMPRODUCT(($D$9:$L$9+INT(($S$12:$AA$12+INDEX($AJ$13:$AR$162,BN706,0)+INDEX($AT$13:$BB$162,BO706,0)+INDEX($BD$13:$BL$162,BP706,0))/100))),0)</f>
        <v/>
      </c>
      <c r="BT706">
        <f>IF(AND(693&lt;$U$9,$W$5),BQ706*1000000-MIN(BR706,999)*1000+BS706-693/100000,-1000000000-693)</f>
        <v/>
      </c>
    </row>
    <row r="707">
      <c r="BN707">
        <f>IF(694&lt;$U$9,INT(694/($U$7*$U$8))+1,1)</f>
        <v/>
      </c>
      <c r="BO707">
        <f>IF(694&lt;$U$9,MOD(INT(694/$U$8),$U$7)+1,1)</f>
        <v/>
      </c>
      <c r="BP707">
        <f>IF(694&lt;$U$9,MOD(694,$U$8)+1,1)</f>
        <v/>
      </c>
      <c r="BQ707">
        <f>IF(694&lt;$U$9,SUMPRODUCT(($D$10:$L$10&lt;&gt;"")*(($D$9:$L$9+INT(($S$12:$AA$12+INDEX($AJ$13:$AR$162,BN707,0)+INDEX($AT$13:$BB$162,BO707,0)+INDEX($BD$13:$BL$162,BP707,0))/100))&gt;=$D$10:$L$10)),0)</f>
        <v/>
      </c>
      <c r="BR707">
        <f>IF(694&lt;$U$9,SUMPRODUCT(($D$10:$L$10&lt;&gt;"")*(($D$10:$L$10-($D$9:$L$9+INT(($S$12:$AA$12+INDEX($AJ$13:$AR$162,BN707,0)+INDEX($AT$13:$BB$162,BO707,0)+INDEX($BD$13:$BL$162,BP707,0))/100)))&gt;0)*($D$10:$L$10-($D$9:$L$9+INT(($S$12:$AA$12+INDEX($AJ$13:$AR$162,BN707,0)+INDEX($AT$13:$BB$162,BO707,0)+INDEX($BD$13:$BL$162,BP707,0))/100)))),0)</f>
        <v/>
      </c>
      <c r="BS707">
        <f>IF(694&lt;$U$9,SUMPRODUCT(($D$9:$L$9+INT(($S$12:$AA$12+INDEX($AJ$13:$AR$162,BN707,0)+INDEX($AT$13:$BB$162,BO707,0)+INDEX($BD$13:$BL$162,BP707,0))/100))),0)</f>
        <v/>
      </c>
      <c r="BT707">
        <f>IF(AND(694&lt;$U$9,$W$5),BQ707*1000000-MIN(BR707,999)*1000+BS707-694/100000,-1000000000-694)</f>
        <v/>
      </c>
    </row>
    <row r="708">
      <c r="BN708">
        <f>IF(695&lt;$U$9,INT(695/($U$7*$U$8))+1,1)</f>
        <v/>
      </c>
      <c r="BO708">
        <f>IF(695&lt;$U$9,MOD(INT(695/$U$8),$U$7)+1,1)</f>
        <v/>
      </c>
      <c r="BP708">
        <f>IF(695&lt;$U$9,MOD(695,$U$8)+1,1)</f>
        <v/>
      </c>
      <c r="BQ708">
        <f>IF(695&lt;$U$9,SUMPRODUCT(($D$10:$L$10&lt;&gt;"")*(($D$9:$L$9+INT(($S$12:$AA$12+INDEX($AJ$13:$AR$162,BN708,0)+INDEX($AT$13:$BB$162,BO708,0)+INDEX($BD$13:$BL$162,BP708,0))/100))&gt;=$D$10:$L$10)),0)</f>
        <v/>
      </c>
      <c r="BR708">
        <f>IF(695&lt;$U$9,SUMPRODUCT(($D$10:$L$10&lt;&gt;"")*(($D$10:$L$10-($D$9:$L$9+INT(($S$12:$AA$12+INDEX($AJ$13:$AR$162,BN708,0)+INDEX($AT$13:$BB$162,BO708,0)+INDEX($BD$13:$BL$162,BP708,0))/100)))&gt;0)*($D$10:$L$10-($D$9:$L$9+INT(($S$12:$AA$12+INDEX($AJ$13:$AR$162,BN708,0)+INDEX($AT$13:$BB$162,BO708,0)+INDEX($BD$13:$BL$162,BP708,0))/100)))),0)</f>
        <v/>
      </c>
      <c r="BS708">
        <f>IF(695&lt;$U$9,SUMPRODUCT(($D$9:$L$9+INT(($S$12:$AA$12+INDEX($AJ$13:$AR$162,BN708,0)+INDEX($AT$13:$BB$162,BO708,0)+INDEX($BD$13:$BL$162,BP708,0))/100))),0)</f>
        <v/>
      </c>
      <c r="BT708">
        <f>IF(AND(695&lt;$U$9,$W$5),BQ708*1000000-MIN(BR708,999)*1000+BS708-695/100000,-1000000000-695)</f>
        <v/>
      </c>
    </row>
    <row r="709">
      <c r="BN709">
        <f>IF(696&lt;$U$9,INT(696/($U$7*$U$8))+1,1)</f>
        <v/>
      </c>
      <c r="BO709">
        <f>IF(696&lt;$U$9,MOD(INT(696/$U$8),$U$7)+1,1)</f>
        <v/>
      </c>
      <c r="BP709">
        <f>IF(696&lt;$U$9,MOD(696,$U$8)+1,1)</f>
        <v/>
      </c>
      <c r="BQ709">
        <f>IF(696&lt;$U$9,SUMPRODUCT(($D$10:$L$10&lt;&gt;"")*(($D$9:$L$9+INT(($S$12:$AA$12+INDEX($AJ$13:$AR$162,BN709,0)+INDEX($AT$13:$BB$162,BO709,0)+INDEX($BD$13:$BL$162,BP709,0))/100))&gt;=$D$10:$L$10)),0)</f>
        <v/>
      </c>
      <c r="BR709">
        <f>IF(696&lt;$U$9,SUMPRODUCT(($D$10:$L$10&lt;&gt;"")*(($D$10:$L$10-($D$9:$L$9+INT(($S$12:$AA$12+INDEX($AJ$13:$AR$162,BN709,0)+INDEX($AT$13:$BB$162,BO709,0)+INDEX($BD$13:$BL$162,BP709,0))/100)))&gt;0)*($D$10:$L$10-($D$9:$L$9+INT(($S$12:$AA$12+INDEX($AJ$13:$AR$162,BN709,0)+INDEX($AT$13:$BB$162,BO709,0)+INDEX($BD$13:$BL$162,BP709,0))/100)))),0)</f>
        <v/>
      </c>
      <c r="BS709">
        <f>IF(696&lt;$U$9,SUMPRODUCT(($D$9:$L$9+INT(($S$12:$AA$12+INDEX($AJ$13:$AR$162,BN709,0)+INDEX($AT$13:$BB$162,BO709,0)+INDEX($BD$13:$BL$162,BP709,0))/100))),0)</f>
        <v/>
      </c>
      <c r="BT709">
        <f>IF(AND(696&lt;$U$9,$W$5),BQ709*1000000-MIN(BR709,999)*1000+BS709-696/100000,-1000000000-696)</f>
        <v/>
      </c>
    </row>
    <row r="710">
      <c r="BN710">
        <f>IF(697&lt;$U$9,INT(697/($U$7*$U$8))+1,1)</f>
        <v/>
      </c>
      <c r="BO710">
        <f>IF(697&lt;$U$9,MOD(INT(697/$U$8),$U$7)+1,1)</f>
        <v/>
      </c>
      <c r="BP710">
        <f>IF(697&lt;$U$9,MOD(697,$U$8)+1,1)</f>
        <v/>
      </c>
      <c r="BQ710">
        <f>IF(697&lt;$U$9,SUMPRODUCT(($D$10:$L$10&lt;&gt;"")*(($D$9:$L$9+INT(($S$12:$AA$12+INDEX($AJ$13:$AR$162,BN710,0)+INDEX($AT$13:$BB$162,BO710,0)+INDEX($BD$13:$BL$162,BP710,0))/100))&gt;=$D$10:$L$10)),0)</f>
        <v/>
      </c>
      <c r="BR710">
        <f>IF(697&lt;$U$9,SUMPRODUCT(($D$10:$L$10&lt;&gt;"")*(($D$10:$L$10-($D$9:$L$9+INT(($S$12:$AA$12+INDEX($AJ$13:$AR$162,BN710,0)+INDEX($AT$13:$BB$162,BO710,0)+INDEX($BD$13:$BL$162,BP710,0))/100)))&gt;0)*($D$10:$L$10-($D$9:$L$9+INT(($S$12:$AA$12+INDEX($AJ$13:$AR$162,BN710,0)+INDEX($AT$13:$BB$162,BO710,0)+INDEX($BD$13:$BL$162,BP710,0))/100)))),0)</f>
        <v/>
      </c>
      <c r="BS710">
        <f>IF(697&lt;$U$9,SUMPRODUCT(($D$9:$L$9+INT(($S$12:$AA$12+INDEX($AJ$13:$AR$162,BN710,0)+INDEX($AT$13:$BB$162,BO710,0)+INDEX($BD$13:$BL$162,BP710,0))/100))),0)</f>
        <v/>
      </c>
      <c r="BT710">
        <f>IF(AND(697&lt;$U$9,$W$5),BQ710*1000000-MIN(BR710,999)*1000+BS710-697/100000,-1000000000-697)</f>
        <v/>
      </c>
    </row>
    <row r="711">
      <c r="BN711">
        <f>IF(698&lt;$U$9,INT(698/($U$7*$U$8))+1,1)</f>
        <v/>
      </c>
      <c r="BO711">
        <f>IF(698&lt;$U$9,MOD(INT(698/$U$8),$U$7)+1,1)</f>
        <v/>
      </c>
      <c r="BP711">
        <f>IF(698&lt;$U$9,MOD(698,$U$8)+1,1)</f>
        <v/>
      </c>
      <c r="BQ711">
        <f>IF(698&lt;$U$9,SUMPRODUCT(($D$10:$L$10&lt;&gt;"")*(($D$9:$L$9+INT(($S$12:$AA$12+INDEX($AJ$13:$AR$162,BN711,0)+INDEX($AT$13:$BB$162,BO711,0)+INDEX($BD$13:$BL$162,BP711,0))/100))&gt;=$D$10:$L$10)),0)</f>
        <v/>
      </c>
      <c r="BR711">
        <f>IF(698&lt;$U$9,SUMPRODUCT(($D$10:$L$10&lt;&gt;"")*(($D$10:$L$10-($D$9:$L$9+INT(($S$12:$AA$12+INDEX($AJ$13:$AR$162,BN711,0)+INDEX($AT$13:$BB$162,BO711,0)+INDEX($BD$13:$BL$162,BP711,0))/100)))&gt;0)*($D$10:$L$10-($D$9:$L$9+INT(($S$12:$AA$12+INDEX($AJ$13:$AR$162,BN711,0)+INDEX($AT$13:$BB$162,BO711,0)+INDEX($BD$13:$BL$162,BP711,0))/100)))),0)</f>
        <v/>
      </c>
      <c r="BS711">
        <f>IF(698&lt;$U$9,SUMPRODUCT(($D$9:$L$9+INT(($S$12:$AA$12+INDEX($AJ$13:$AR$162,BN711,0)+INDEX($AT$13:$BB$162,BO711,0)+INDEX($BD$13:$BL$162,BP711,0))/100))),0)</f>
        <v/>
      </c>
      <c r="BT711">
        <f>IF(AND(698&lt;$U$9,$W$5),BQ711*1000000-MIN(BR711,999)*1000+BS711-698/100000,-1000000000-698)</f>
        <v/>
      </c>
    </row>
    <row r="712">
      <c r="BN712">
        <f>IF(699&lt;$U$9,INT(699/($U$7*$U$8))+1,1)</f>
        <v/>
      </c>
      <c r="BO712">
        <f>IF(699&lt;$U$9,MOD(INT(699/$U$8),$U$7)+1,1)</f>
        <v/>
      </c>
      <c r="BP712">
        <f>IF(699&lt;$U$9,MOD(699,$U$8)+1,1)</f>
        <v/>
      </c>
      <c r="BQ712">
        <f>IF(699&lt;$U$9,SUMPRODUCT(($D$10:$L$10&lt;&gt;"")*(($D$9:$L$9+INT(($S$12:$AA$12+INDEX($AJ$13:$AR$162,BN712,0)+INDEX($AT$13:$BB$162,BO712,0)+INDEX($BD$13:$BL$162,BP712,0))/100))&gt;=$D$10:$L$10)),0)</f>
        <v/>
      </c>
      <c r="BR712">
        <f>IF(699&lt;$U$9,SUMPRODUCT(($D$10:$L$10&lt;&gt;"")*(($D$10:$L$10-($D$9:$L$9+INT(($S$12:$AA$12+INDEX($AJ$13:$AR$162,BN712,0)+INDEX($AT$13:$BB$162,BO712,0)+INDEX($BD$13:$BL$162,BP712,0))/100)))&gt;0)*($D$10:$L$10-($D$9:$L$9+INT(($S$12:$AA$12+INDEX($AJ$13:$AR$162,BN712,0)+INDEX($AT$13:$BB$162,BO712,0)+INDEX($BD$13:$BL$162,BP712,0))/100)))),0)</f>
        <v/>
      </c>
      <c r="BS712">
        <f>IF(699&lt;$U$9,SUMPRODUCT(($D$9:$L$9+INT(($S$12:$AA$12+INDEX($AJ$13:$AR$162,BN712,0)+INDEX($AT$13:$BB$162,BO712,0)+INDEX($BD$13:$BL$162,BP712,0))/100))),0)</f>
        <v/>
      </c>
      <c r="BT712">
        <f>IF(AND(699&lt;$U$9,$W$5),BQ712*1000000-MIN(BR712,999)*1000+BS712-699/100000,-1000000000-699)</f>
        <v/>
      </c>
    </row>
    <row r="713">
      <c r="BN713">
        <f>IF(700&lt;$U$9,INT(700/($U$7*$U$8))+1,1)</f>
        <v/>
      </c>
      <c r="BO713">
        <f>IF(700&lt;$U$9,MOD(INT(700/$U$8),$U$7)+1,1)</f>
        <v/>
      </c>
      <c r="BP713">
        <f>IF(700&lt;$U$9,MOD(700,$U$8)+1,1)</f>
        <v/>
      </c>
      <c r="BQ713">
        <f>IF(700&lt;$U$9,SUMPRODUCT(($D$10:$L$10&lt;&gt;"")*(($D$9:$L$9+INT(($S$12:$AA$12+INDEX($AJ$13:$AR$162,BN713,0)+INDEX($AT$13:$BB$162,BO713,0)+INDEX($BD$13:$BL$162,BP713,0))/100))&gt;=$D$10:$L$10)),0)</f>
        <v/>
      </c>
      <c r="BR713">
        <f>IF(700&lt;$U$9,SUMPRODUCT(($D$10:$L$10&lt;&gt;"")*(($D$10:$L$10-($D$9:$L$9+INT(($S$12:$AA$12+INDEX($AJ$13:$AR$162,BN713,0)+INDEX($AT$13:$BB$162,BO713,0)+INDEX($BD$13:$BL$162,BP713,0))/100)))&gt;0)*($D$10:$L$10-($D$9:$L$9+INT(($S$12:$AA$12+INDEX($AJ$13:$AR$162,BN713,0)+INDEX($AT$13:$BB$162,BO713,0)+INDEX($BD$13:$BL$162,BP713,0))/100)))),0)</f>
        <v/>
      </c>
      <c r="BS713">
        <f>IF(700&lt;$U$9,SUMPRODUCT(($D$9:$L$9+INT(($S$12:$AA$12+INDEX($AJ$13:$AR$162,BN713,0)+INDEX($AT$13:$BB$162,BO713,0)+INDEX($BD$13:$BL$162,BP713,0))/100))),0)</f>
        <v/>
      </c>
      <c r="BT713">
        <f>IF(AND(700&lt;$U$9,$W$5),BQ713*1000000-MIN(BR713,999)*1000+BS713-700/100000,-1000000000-700)</f>
        <v/>
      </c>
    </row>
    <row r="714">
      <c r="BN714">
        <f>IF(701&lt;$U$9,INT(701/($U$7*$U$8))+1,1)</f>
        <v/>
      </c>
      <c r="BO714">
        <f>IF(701&lt;$U$9,MOD(INT(701/$U$8),$U$7)+1,1)</f>
        <v/>
      </c>
      <c r="BP714">
        <f>IF(701&lt;$U$9,MOD(701,$U$8)+1,1)</f>
        <v/>
      </c>
      <c r="BQ714">
        <f>IF(701&lt;$U$9,SUMPRODUCT(($D$10:$L$10&lt;&gt;"")*(($D$9:$L$9+INT(($S$12:$AA$12+INDEX($AJ$13:$AR$162,BN714,0)+INDEX($AT$13:$BB$162,BO714,0)+INDEX($BD$13:$BL$162,BP714,0))/100))&gt;=$D$10:$L$10)),0)</f>
        <v/>
      </c>
      <c r="BR714">
        <f>IF(701&lt;$U$9,SUMPRODUCT(($D$10:$L$10&lt;&gt;"")*(($D$10:$L$10-($D$9:$L$9+INT(($S$12:$AA$12+INDEX($AJ$13:$AR$162,BN714,0)+INDEX($AT$13:$BB$162,BO714,0)+INDEX($BD$13:$BL$162,BP714,0))/100)))&gt;0)*($D$10:$L$10-($D$9:$L$9+INT(($S$12:$AA$12+INDEX($AJ$13:$AR$162,BN714,0)+INDEX($AT$13:$BB$162,BO714,0)+INDEX($BD$13:$BL$162,BP714,0))/100)))),0)</f>
        <v/>
      </c>
      <c r="BS714">
        <f>IF(701&lt;$U$9,SUMPRODUCT(($D$9:$L$9+INT(($S$12:$AA$12+INDEX($AJ$13:$AR$162,BN714,0)+INDEX($AT$13:$BB$162,BO714,0)+INDEX($BD$13:$BL$162,BP714,0))/100))),0)</f>
        <v/>
      </c>
      <c r="BT714">
        <f>IF(AND(701&lt;$U$9,$W$5),BQ714*1000000-MIN(BR714,999)*1000+BS714-701/100000,-1000000000-701)</f>
        <v/>
      </c>
    </row>
    <row r="715">
      <c r="BN715">
        <f>IF(702&lt;$U$9,INT(702/($U$7*$U$8))+1,1)</f>
        <v/>
      </c>
      <c r="BO715">
        <f>IF(702&lt;$U$9,MOD(INT(702/$U$8),$U$7)+1,1)</f>
        <v/>
      </c>
      <c r="BP715">
        <f>IF(702&lt;$U$9,MOD(702,$U$8)+1,1)</f>
        <v/>
      </c>
      <c r="BQ715">
        <f>IF(702&lt;$U$9,SUMPRODUCT(($D$10:$L$10&lt;&gt;"")*(($D$9:$L$9+INT(($S$12:$AA$12+INDEX($AJ$13:$AR$162,BN715,0)+INDEX($AT$13:$BB$162,BO715,0)+INDEX($BD$13:$BL$162,BP715,0))/100))&gt;=$D$10:$L$10)),0)</f>
        <v/>
      </c>
      <c r="BR715">
        <f>IF(702&lt;$U$9,SUMPRODUCT(($D$10:$L$10&lt;&gt;"")*(($D$10:$L$10-($D$9:$L$9+INT(($S$12:$AA$12+INDEX($AJ$13:$AR$162,BN715,0)+INDEX($AT$13:$BB$162,BO715,0)+INDEX($BD$13:$BL$162,BP715,0))/100)))&gt;0)*($D$10:$L$10-($D$9:$L$9+INT(($S$12:$AA$12+INDEX($AJ$13:$AR$162,BN715,0)+INDEX($AT$13:$BB$162,BO715,0)+INDEX($BD$13:$BL$162,BP715,0))/100)))),0)</f>
        <v/>
      </c>
      <c r="BS715">
        <f>IF(702&lt;$U$9,SUMPRODUCT(($D$9:$L$9+INT(($S$12:$AA$12+INDEX($AJ$13:$AR$162,BN715,0)+INDEX($AT$13:$BB$162,BO715,0)+INDEX($BD$13:$BL$162,BP715,0))/100))),0)</f>
        <v/>
      </c>
      <c r="BT715">
        <f>IF(AND(702&lt;$U$9,$W$5),BQ715*1000000-MIN(BR715,999)*1000+BS715-702/100000,-1000000000-702)</f>
        <v/>
      </c>
    </row>
    <row r="716">
      <c r="BN716">
        <f>IF(703&lt;$U$9,INT(703/($U$7*$U$8))+1,1)</f>
        <v/>
      </c>
      <c r="BO716">
        <f>IF(703&lt;$U$9,MOD(INT(703/$U$8),$U$7)+1,1)</f>
        <v/>
      </c>
      <c r="BP716">
        <f>IF(703&lt;$U$9,MOD(703,$U$8)+1,1)</f>
        <v/>
      </c>
      <c r="BQ716">
        <f>IF(703&lt;$U$9,SUMPRODUCT(($D$10:$L$10&lt;&gt;"")*(($D$9:$L$9+INT(($S$12:$AA$12+INDEX($AJ$13:$AR$162,BN716,0)+INDEX($AT$13:$BB$162,BO716,0)+INDEX($BD$13:$BL$162,BP716,0))/100))&gt;=$D$10:$L$10)),0)</f>
        <v/>
      </c>
      <c r="BR716">
        <f>IF(703&lt;$U$9,SUMPRODUCT(($D$10:$L$10&lt;&gt;"")*(($D$10:$L$10-($D$9:$L$9+INT(($S$12:$AA$12+INDEX($AJ$13:$AR$162,BN716,0)+INDEX($AT$13:$BB$162,BO716,0)+INDEX($BD$13:$BL$162,BP716,0))/100)))&gt;0)*($D$10:$L$10-($D$9:$L$9+INT(($S$12:$AA$12+INDEX($AJ$13:$AR$162,BN716,0)+INDEX($AT$13:$BB$162,BO716,0)+INDEX($BD$13:$BL$162,BP716,0))/100)))),0)</f>
        <v/>
      </c>
      <c r="BS716">
        <f>IF(703&lt;$U$9,SUMPRODUCT(($D$9:$L$9+INT(($S$12:$AA$12+INDEX($AJ$13:$AR$162,BN716,0)+INDEX($AT$13:$BB$162,BO716,0)+INDEX($BD$13:$BL$162,BP716,0))/100))),0)</f>
        <v/>
      </c>
      <c r="BT716">
        <f>IF(AND(703&lt;$U$9,$W$5),BQ716*1000000-MIN(BR716,999)*1000+BS716-703/100000,-1000000000-703)</f>
        <v/>
      </c>
    </row>
    <row r="717">
      <c r="BN717">
        <f>IF(704&lt;$U$9,INT(704/($U$7*$U$8))+1,1)</f>
        <v/>
      </c>
      <c r="BO717">
        <f>IF(704&lt;$U$9,MOD(INT(704/$U$8),$U$7)+1,1)</f>
        <v/>
      </c>
      <c r="BP717">
        <f>IF(704&lt;$U$9,MOD(704,$U$8)+1,1)</f>
        <v/>
      </c>
      <c r="BQ717">
        <f>IF(704&lt;$U$9,SUMPRODUCT(($D$10:$L$10&lt;&gt;"")*(($D$9:$L$9+INT(($S$12:$AA$12+INDEX($AJ$13:$AR$162,BN717,0)+INDEX($AT$13:$BB$162,BO717,0)+INDEX($BD$13:$BL$162,BP717,0))/100))&gt;=$D$10:$L$10)),0)</f>
        <v/>
      </c>
      <c r="BR717">
        <f>IF(704&lt;$U$9,SUMPRODUCT(($D$10:$L$10&lt;&gt;"")*(($D$10:$L$10-($D$9:$L$9+INT(($S$12:$AA$12+INDEX($AJ$13:$AR$162,BN717,0)+INDEX($AT$13:$BB$162,BO717,0)+INDEX($BD$13:$BL$162,BP717,0))/100)))&gt;0)*($D$10:$L$10-($D$9:$L$9+INT(($S$12:$AA$12+INDEX($AJ$13:$AR$162,BN717,0)+INDEX($AT$13:$BB$162,BO717,0)+INDEX($BD$13:$BL$162,BP717,0))/100)))),0)</f>
        <v/>
      </c>
      <c r="BS717">
        <f>IF(704&lt;$U$9,SUMPRODUCT(($D$9:$L$9+INT(($S$12:$AA$12+INDEX($AJ$13:$AR$162,BN717,0)+INDEX($AT$13:$BB$162,BO717,0)+INDEX($BD$13:$BL$162,BP717,0))/100))),0)</f>
        <v/>
      </c>
      <c r="BT717">
        <f>IF(AND(704&lt;$U$9,$W$5),BQ717*1000000-MIN(BR717,999)*1000+BS717-704/100000,-1000000000-704)</f>
        <v/>
      </c>
    </row>
    <row r="718">
      <c r="BN718">
        <f>IF(705&lt;$U$9,INT(705/($U$7*$U$8))+1,1)</f>
        <v/>
      </c>
      <c r="BO718">
        <f>IF(705&lt;$U$9,MOD(INT(705/$U$8),$U$7)+1,1)</f>
        <v/>
      </c>
      <c r="BP718">
        <f>IF(705&lt;$U$9,MOD(705,$U$8)+1,1)</f>
        <v/>
      </c>
      <c r="BQ718">
        <f>IF(705&lt;$U$9,SUMPRODUCT(($D$10:$L$10&lt;&gt;"")*(($D$9:$L$9+INT(($S$12:$AA$12+INDEX($AJ$13:$AR$162,BN718,0)+INDEX($AT$13:$BB$162,BO718,0)+INDEX($BD$13:$BL$162,BP718,0))/100))&gt;=$D$10:$L$10)),0)</f>
        <v/>
      </c>
      <c r="BR718">
        <f>IF(705&lt;$U$9,SUMPRODUCT(($D$10:$L$10&lt;&gt;"")*(($D$10:$L$10-($D$9:$L$9+INT(($S$12:$AA$12+INDEX($AJ$13:$AR$162,BN718,0)+INDEX($AT$13:$BB$162,BO718,0)+INDEX($BD$13:$BL$162,BP718,0))/100)))&gt;0)*($D$10:$L$10-($D$9:$L$9+INT(($S$12:$AA$12+INDEX($AJ$13:$AR$162,BN718,0)+INDEX($AT$13:$BB$162,BO718,0)+INDEX($BD$13:$BL$162,BP718,0))/100)))),0)</f>
        <v/>
      </c>
      <c r="BS718">
        <f>IF(705&lt;$U$9,SUMPRODUCT(($D$9:$L$9+INT(($S$12:$AA$12+INDEX($AJ$13:$AR$162,BN718,0)+INDEX($AT$13:$BB$162,BO718,0)+INDEX($BD$13:$BL$162,BP718,0))/100))),0)</f>
        <v/>
      </c>
      <c r="BT718">
        <f>IF(AND(705&lt;$U$9,$W$5),BQ718*1000000-MIN(BR718,999)*1000+BS718-705/100000,-1000000000-705)</f>
        <v/>
      </c>
    </row>
    <row r="719">
      <c r="BN719">
        <f>IF(706&lt;$U$9,INT(706/($U$7*$U$8))+1,1)</f>
        <v/>
      </c>
      <c r="BO719">
        <f>IF(706&lt;$U$9,MOD(INT(706/$U$8),$U$7)+1,1)</f>
        <v/>
      </c>
      <c r="BP719">
        <f>IF(706&lt;$U$9,MOD(706,$U$8)+1,1)</f>
        <v/>
      </c>
      <c r="BQ719">
        <f>IF(706&lt;$U$9,SUMPRODUCT(($D$10:$L$10&lt;&gt;"")*(($D$9:$L$9+INT(($S$12:$AA$12+INDEX($AJ$13:$AR$162,BN719,0)+INDEX($AT$13:$BB$162,BO719,0)+INDEX($BD$13:$BL$162,BP719,0))/100))&gt;=$D$10:$L$10)),0)</f>
        <v/>
      </c>
      <c r="BR719">
        <f>IF(706&lt;$U$9,SUMPRODUCT(($D$10:$L$10&lt;&gt;"")*(($D$10:$L$10-($D$9:$L$9+INT(($S$12:$AA$12+INDEX($AJ$13:$AR$162,BN719,0)+INDEX($AT$13:$BB$162,BO719,0)+INDEX($BD$13:$BL$162,BP719,0))/100)))&gt;0)*($D$10:$L$10-($D$9:$L$9+INT(($S$12:$AA$12+INDEX($AJ$13:$AR$162,BN719,0)+INDEX($AT$13:$BB$162,BO719,0)+INDEX($BD$13:$BL$162,BP719,0))/100)))),0)</f>
        <v/>
      </c>
      <c r="BS719">
        <f>IF(706&lt;$U$9,SUMPRODUCT(($D$9:$L$9+INT(($S$12:$AA$12+INDEX($AJ$13:$AR$162,BN719,0)+INDEX($AT$13:$BB$162,BO719,0)+INDEX($BD$13:$BL$162,BP719,0))/100))),0)</f>
        <v/>
      </c>
      <c r="BT719">
        <f>IF(AND(706&lt;$U$9,$W$5),BQ719*1000000-MIN(BR719,999)*1000+BS719-706/100000,-1000000000-706)</f>
        <v/>
      </c>
    </row>
    <row r="720">
      <c r="BN720">
        <f>IF(707&lt;$U$9,INT(707/($U$7*$U$8))+1,1)</f>
        <v/>
      </c>
      <c r="BO720">
        <f>IF(707&lt;$U$9,MOD(INT(707/$U$8),$U$7)+1,1)</f>
        <v/>
      </c>
      <c r="BP720">
        <f>IF(707&lt;$U$9,MOD(707,$U$8)+1,1)</f>
        <v/>
      </c>
      <c r="BQ720">
        <f>IF(707&lt;$U$9,SUMPRODUCT(($D$10:$L$10&lt;&gt;"")*(($D$9:$L$9+INT(($S$12:$AA$12+INDEX($AJ$13:$AR$162,BN720,0)+INDEX($AT$13:$BB$162,BO720,0)+INDEX($BD$13:$BL$162,BP720,0))/100))&gt;=$D$10:$L$10)),0)</f>
        <v/>
      </c>
      <c r="BR720">
        <f>IF(707&lt;$U$9,SUMPRODUCT(($D$10:$L$10&lt;&gt;"")*(($D$10:$L$10-($D$9:$L$9+INT(($S$12:$AA$12+INDEX($AJ$13:$AR$162,BN720,0)+INDEX($AT$13:$BB$162,BO720,0)+INDEX($BD$13:$BL$162,BP720,0))/100)))&gt;0)*($D$10:$L$10-($D$9:$L$9+INT(($S$12:$AA$12+INDEX($AJ$13:$AR$162,BN720,0)+INDEX($AT$13:$BB$162,BO720,0)+INDEX($BD$13:$BL$162,BP720,0))/100)))),0)</f>
        <v/>
      </c>
      <c r="BS720">
        <f>IF(707&lt;$U$9,SUMPRODUCT(($D$9:$L$9+INT(($S$12:$AA$12+INDEX($AJ$13:$AR$162,BN720,0)+INDEX($AT$13:$BB$162,BO720,0)+INDEX($BD$13:$BL$162,BP720,0))/100))),0)</f>
        <v/>
      </c>
      <c r="BT720">
        <f>IF(AND(707&lt;$U$9,$W$5),BQ720*1000000-MIN(BR720,999)*1000+BS720-707/100000,-1000000000-707)</f>
        <v/>
      </c>
    </row>
    <row r="721">
      <c r="BN721">
        <f>IF(708&lt;$U$9,INT(708/($U$7*$U$8))+1,1)</f>
        <v/>
      </c>
      <c r="BO721">
        <f>IF(708&lt;$U$9,MOD(INT(708/$U$8),$U$7)+1,1)</f>
        <v/>
      </c>
      <c r="BP721">
        <f>IF(708&lt;$U$9,MOD(708,$U$8)+1,1)</f>
        <v/>
      </c>
      <c r="BQ721">
        <f>IF(708&lt;$U$9,SUMPRODUCT(($D$10:$L$10&lt;&gt;"")*(($D$9:$L$9+INT(($S$12:$AA$12+INDEX($AJ$13:$AR$162,BN721,0)+INDEX($AT$13:$BB$162,BO721,0)+INDEX($BD$13:$BL$162,BP721,0))/100))&gt;=$D$10:$L$10)),0)</f>
        <v/>
      </c>
      <c r="BR721">
        <f>IF(708&lt;$U$9,SUMPRODUCT(($D$10:$L$10&lt;&gt;"")*(($D$10:$L$10-($D$9:$L$9+INT(($S$12:$AA$12+INDEX($AJ$13:$AR$162,BN721,0)+INDEX($AT$13:$BB$162,BO721,0)+INDEX($BD$13:$BL$162,BP721,0))/100)))&gt;0)*($D$10:$L$10-($D$9:$L$9+INT(($S$12:$AA$12+INDEX($AJ$13:$AR$162,BN721,0)+INDEX($AT$13:$BB$162,BO721,0)+INDEX($BD$13:$BL$162,BP721,0))/100)))),0)</f>
        <v/>
      </c>
      <c r="BS721">
        <f>IF(708&lt;$U$9,SUMPRODUCT(($D$9:$L$9+INT(($S$12:$AA$12+INDEX($AJ$13:$AR$162,BN721,0)+INDEX($AT$13:$BB$162,BO721,0)+INDEX($BD$13:$BL$162,BP721,0))/100))),0)</f>
        <v/>
      </c>
      <c r="BT721">
        <f>IF(AND(708&lt;$U$9,$W$5),BQ721*1000000-MIN(BR721,999)*1000+BS721-708/100000,-1000000000-708)</f>
        <v/>
      </c>
    </row>
    <row r="722">
      <c r="BN722">
        <f>IF(709&lt;$U$9,INT(709/($U$7*$U$8))+1,1)</f>
        <v/>
      </c>
      <c r="BO722">
        <f>IF(709&lt;$U$9,MOD(INT(709/$U$8),$U$7)+1,1)</f>
        <v/>
      </c>
      <c r="BP722">
        <f>IF(709&lt;$U$9,MOD(709,$U$8)+1,1)</f>
        <v/>
      </c>
      <c r="BQ722">
        <f>IF(709&lt;$U$9,SUMPRODUCT(($D$10:$L$10&lt;&gt;"")*(($D$9:$L$9+INT(($S$12:$AA$12+INDEX($AJ$13:$AR$162,BN722,0)+INDEX($AT$13:$BB$162,BO722,0)+INDEX($BD$13:$BL$162,BP722,0))/100))&gt;=$D$10:$L$10)),0)</f>
        <v/>
      </c>
      <c r="BR722">
        <f>IF(709&lt;$U$9,SUMPRODUCT(($D$10:$L$10&lt;&gt;"")*(($D$10:$L$10-($D$9:$L$9+INT(($S$12:$AA$12+INDEX($AJ$13:$AR$162,BN722,0)+INDEX($AT$13:$BB$162,BO722,0)+INDEX($BD$13:$BL$162,BP722,0))/100)))&gt;0)*($D$10:$L$10-($D$9:$L$9+INT(($S$12:$AA$12+INDEX($AJ$13:$AR$162,BN722,0)+INDEX($AT$13:$BB$162,BO722,0)+INDEX($BD$13:$BL$162,BP722,0))/100)))),0)</f>
        <v/>
      </c>
      <c r="BS722">
        <f>IF(709&lt;$U$9,SUMPRODUCT(($D$9:$L$9+INT(($S$12:$AA$12+INDEX($AJ$13:$AR$162,BN722,0)+INDEX($AT$13:$BB$162,BO722,0)+INDEX($BD$13:$BL$162,BP722,0))/100))),0)</f>
        <v/>
      </c>
      <c r="BT722">
        <f>IF(AND(709&lt;$U$9,$W$5),BQ722*1000000-MIN(BR722,999)*1000+BS722-709/100000,-1000000000-709)</f>
        <v/>
      </c>
    </row>
    <row r="723">
      <c r="BN723">
        <f>IF(710&lt;$U$9,INT(710/($U$7*$U$8))+1,1)</f>
        <v/>
      </c>
      <c r="BO723">
        <f>IF(710&lt;$U$9,MOD(INT(710/$U$8),$U$7)+1,1)</f>
        <v/>
      </c>
      <c r="BP723">
        <f>IF(710&lt;$U$9,MOD(710,$U$8)+1,1)</f>
        <v/>
      </c>
      <c r="BQ723">
        <f>IF(710&lt;$U$9,SUMPRODUCT(($D$10:$L$10&lt;&gt;"")*(($D$9:$L$9+INT(($S$12:$AA$12+INDEX($AJ$13:$AR$162,BN723,0)+INDEX($AT$13:$BB$162,BO723,0)+INDEX($BD$13:$BL$162,BP723,0))/100))&gt;=$D$10:$L$10)),0)</f>
        <v/>
      </c>
      <c r="BR723">
        <f>IF(710&lt;$U$9,SUMPRODUCT(($D$10:$L$10&lt;&gt;"")*(($D$10:$L$10-($D$9:$L$9+INT(($S$12:$AA$12+INDEX($AJ$13:$AR$162,BN723,0)+INDEX($AT$13:$BB$162,BO723,0)+INDEX($BD$13:$BL$162,BP723,0))/100)))&gt;0)*($D$10:$L$10-($D$9:$L$9+INT(($S$12:$AA$12+INDEX($AJ$13:$AR$162,BN723,0)+INDEX($AT$13:$BB$162,BO723,0)+INDEX($BD$13:$BL$162,BP723,0))/100)))),0)</f>
        <v/>
      </c>
      <c r="BS723">
        <f>IF(710&lt;$U$9,SUMPRODUCT(($D$9:$L$9+INT(($S$12:$AA$12+INDEX($AJ$13:$AR$162,BN723,0)+INDEX($AT$13:$BB$162,BO723,0)+INDEX($BD$13:$BL$162,BP723,0))/100))),0)</f>
        <v/>
      </c>
      <c r="BT723">
        <f>IF(AND(710&lt;$U$9,$W$5),BQ723*1000000-MIN(BR723,999)*1000+BS723-710/100000,-1000000000-710)</f>
        <v/>
      </c>
    </row>
    <row r="724">
      <c r="BN724">
        <f>IF(711&lt;$U$9,INT(711/($U$7*$U$8))+1,1)</f>
        <v/>
      </c>
      <c r="BO724">
        <f>IF(711&lt;$U$9,MOD(INT(711/$U$8),$U$7)+1,1)</f>
        <v/>
      </c>
      <c r="BP724">
        <f>IF(711&lt;$U$9,MOD(711,$U$8)+1,1)</f>
        <v/>
      </c>
      <c r="BQ724">
        <f>IF(711&lt;$U$9,SUMPRODUCT(($D$10:$L$10&lt;&gt;"")*(($D$9:$L$9+INT(($S$12:$AA$12+INDEX($AJ$13:$AR$162,BN724,0)+INDEX($AT$13:$BB$162,BO724,0)+INDEX($BD$13:$BL$162,BP724,0))/100))&gt;=$D$10:$L$10)),0)</f>
        <v/>
      </c>
      <c r="BR724">
        <f>IF(711&lt;$U$9,SUMPRODUCT(($D$10:$L$10&lt;&gt;"")*(($D$10:$L$10-($D$9:$L$9+INT(($S$12:$AA$12+INDEX($AJ$13:$AR$162,BN724,0)+INDEX($AT$13:$BB$162,BO724,0)+INDEX($BD$13:$BL$162,BP724,0))/100)))&gt;0)*($D$10:$L$10-($D$9:$L$9+INT(($S$12:$AA$12+INDEX($AJ$13:$AR$162,BN724,0)+INDEX($AT$13:$BB$162,BO724,0)+INDEX($BD$13:$BL$162,BP724,0))/100)))),0)</f>
        <v/>
      </c>
      <c r="BS724">
        <f>IF(711&lt;$U$9,SUMPRODUCT(($D$9:$L$9+INT(($S$12:$AA$12+INDEX($AJ$13:$AR$162,BN724,0)+INDEX($AT$13:$BB$162,BO724,0)+INDEX($BD$13:$BL$162,BP724,0))/100))),0)</f>
        <v/>
      </c>
      <c r="BT724">
        <f>IF(AND(711&lt;$U$9,$W$5),BQ724*1000000-MIN(BR724,999)*1000+BS724-711/100000,-1000000000-711)</f>
        <v/>
      </c>
    </row>
    <row r="725">
      <c r="BN725">
        <f>IF(712&lt;$U$9,INT(712/($U$7*$U$8))+1,1)</f>
        <v/>
      </c>
      <c r="BO725">
        <f>IF(712&lt;$U$9,MOD(INT(712/$U$8),$U$7)+1,1)</f>
        <v/>
      </c>
      <c r="BP725">
        <f>IF(712&lt;$U$9,MOD(712,$U$8)+1,1)</f>
        <v/>
      </c>
      <c r="BQ725">
        <f>IF(712&lt;$U$9,SUMPRODUCT(($D$10:$L$10&lt;&gt;"")*(($D$9:$L$9+INT(($S$12:$AA$12+INDEX($AJ$13:$AR$162,BN725,0)+INDEX($AT$13:$BB$162,BO725,0)+INDEX($BD$13:$BL$162,BP725,0))/100))&gt;=$D$10:$L$10)),0)</f>
        <v/>
      </c>
      <c r="BR725">
        <f>IF(712&lt;$U$9,SUMPRODUCT(($D$10:$L$10&lt;&gt;"")*(($D$10:$L$10-($D$9:$L$9+INT(($S$12:$AA$12+INDEX($AJ$13:$AR$162,BN725,0)+INDEX($AT$13:$BB$162,BO725,0)+INDEX($BD$13:$BL$162,BP725,0))/100)))&gt;0)*($D$10:$L$10-($D$9:$L$9+INT(($S$12:$AA$12+INDEX($AJ$13:$AR$162,BN725,0)+INDEX($AT$13:$BB$162,BO725,0)+INDEX($BD$13:$BL$162,BP725,0))/100)))),0)</f>
        <v/>
      </c>
      <c r="BS725">
        <f>IF(712&lt;$U$9,SUMPRODUCT(($D$9:$L$9+INT(($S$12:$AA$12+INDEX($AJ$13:$AR$162,BN725,0)+INDEX($AT$13:$BB$162,BO725,0)+INDEX($BD$13:$BL$162,BP725,0))/100))),0)</f>
        <v/>
      </c>
      <c r="BT725">
        <f>IF(AND(712&lt;$U$9,$W$5),BQ725*1000000-MIN(BR725,999)*1000+BS725-712/100000,-1000000000-712)</f>
        <v/>
      </c>
    </row>
    <row r="726">
      <c r="BN726">
        <f>IF(713&lt;$U$9,INT(713/($U$7*$U$8))+1,1)</f>
        <v/>
      </c>
      <c r="BO726">
        <f>IF(713&lt;$U$9,MOD(INT(713/$U$8),$U$7)+1,1)</f>
        <v/>
      </c>
      <c r="BP726">
        <f>IF(713&lt;$U$9,MOD(713,$U$8)+1,1)</f>
        <v/>
      </c>
      <c r="BQ726">
        <f>IF(713&lt;$U$9,SUMPRODUCT(($D$10:$L$10&lt;&gt;"")*(($D$9:$L$9+INT(($S$12:$AA$12+INDEX($AJ$13:$AR$162,BN726,0)+INDEX($AT$13:$BB$162,BO726,0)+INDEX($BD$13:$BL$162,BP726,0))/100))&gt;=$D$10:$L$10)),0)</f>
        <v/>
      </c>
      <c r="BR726">
        <f>IF(713&lt;$U$9,SUMPRODUCT(($D$10:$L$10&lt;&gt;"")*(($D$10:$L$10-($D$9:$L$9+INT(($S$12:$AA$12+INDEX($AJ$13:$AR$162,BN726,0)+INDEX($AT$13:$BB$162,BO726,0)+INDEX($BD$13:$BL$162,BP726,0))/100)))&gt;0)*($D$10:$L$10-($D$9:$L$9+INT(($S$12:$AA$12+INDEX($AJ$13:$AR$162,BN726,0)+INDEX($AT$13:$BB$162,BO726,0)+INDEX($BD$13:$BL$162,BP726,0))/100)))),0)</f>
        <v/>
      </c>
      <c r="BS726">
        <f>IF(713&lt;$U$9,SUMPRODUCT(($D$9:$L$9+INT(($S$12:$AA$12+INDEX($AJ$13:$AR$162,BN726,0)+INDEX($AT$13:$BB$162,BO726,0)+INDEX($BD$13:$BL$162,BP726,0))/100))),0)</f>
        <v/>
      </c>
      <c r="BT726">
        <f>IF(AND(713&lt;$U$9,$W$5),BQ726*1000000-MIN(BR726,999)*1000+BS726-713/100000,-1000000000-713)</f>
        <v/>
      </c>
    </row>
    <row r="727">
      <c r="BN727">
        <f>IF(714&lt;$U$9,INT(714/($U$7*$U$8))+1,1)</f>
        <v/>
      </c>
      <c r="BO727">
        <f>IF(714&lt;$U$9,MOD(INT(714/$U$8),$U$7)+1,1)</f>
        <v/>
      </c>
      <c r="BP727">
        <f>IF(714&lt;$U$9,MOD(714,$U$8)+1,1)</f>
        <v/>
      </c>
      <c r="BQ727">
        <f>IF(714&lt;$U$9,SUMPRODUCT(($D$10:$L$10&lt;&gt;"")*(($D$9:$L$9+INT(($S$12:$AA$12+INDEX($AJ$13:$AR$162,BN727,0)+INDEX($AT$13:$BB$162,BO727,0)+INDEX($BD$13:$BL$162,BP727,0))/100))&gt;=$D$10:$L$10)),0)</f>
        <v/>
      </c>
      <c r="BR727">
        <f>IF(714&lt;$U$9,SUMPRODUCT(($D$10:$L$10&lt;&gt;"")*(($D$10:$L$10-($D$9:$L$9+INT(($S$12:$AA$12+INDEX($AJ$13:$AR$162,BN727,0)+INDEX($AT$13:$BB$162,BO727,0)+INDEX($BD$13:$BL$162,BP727,0))/100)))&gt;0)*($D$10:$L$10-($D$9:$L$9+INT(($S$12:$AA$12+INDEX($AJ$13:$AR$162,BN727,0)+INDEX($AT$13:$BB$162,BO727,0)+INDEX($BD$13:$BL$162,BP727,0))/100)))),0)</f>
        <v/>
      </c>
      <c r="BS727">
        <f>IF(714&lt;$U$9,SUMPRODUCT(($D$9:$L$9+INT(($S$12:$AA$12+INDEX($AJ$13:$AR$162,BN727,0)+INDEX($AT$13:$BB$162,BO727,0)+INDEX($BD$13:$BL$162,BP727,0))/100))),0)</f>
        <v/>
      </c>
      <c r="BT727">
        <f>IF(AND(714&lt;$U$9,$W$5),BQ727*1000000-MIN(BR727,999)*1000+BS727-714/100000,-1000000000-714)</f>
        <v/>
      </c>
    </row>
    <row r="728">
      <c r="BN728">
        <f>IF(715&lt;$U$9,INT(715/($U$7*$U$8))+1,1)</f>
        <v/>
      </c>
      <c r="BO728">
        <f>IF(715&lt;$U$9,MOD(INT(715/$U$8),$U$7)+1,1)</f>
        <v/>
      </c>
      <c r="BP728">
        <f>IF(715&lt;$U$9,MOD(715,$U$8)+1,1)</f>
        <v/>
      </c>
      <c r="BQ728">
        <f>IF(715&lt;$U$9,SUMPRODUCT(($D$10:$L$10&lt;&gt;"")*(($D$9:$L$9+INT(($S$12:$AA$12+INDEX($AJ$13:$AR$162,BN728,0)+INDEX($AT$13:$BB$162,BO728,0)+INDEX($BD$13:$BL$162,BP728,0))/100))&gt;=$D$10:$L$10)),0)</f>
        <v/>
      </c>
      <c r="BR728">
        <f>IF(715&lt;$U$9,SUMPRODUCT(($D$10:$L$10&lt;&gt;"")*(($D$10:$L$10-($D$9:$L$9+INT(($S$12:$AA$12+INDEX($AJ$13:$AR$162,BN728,0)+INDEX($AT$13:$BB$162,BO728,0)+INDEX($BD$13:$BL$162,BP728,0))/100)))&gt;0)*($D$10:$L$10-($D$9:$L$9+INT(($S$12:$AA$12+INDEX($AJ$13:$AR$162,BN728,0)+INDEX($AT$13:$BB$162,BO728,0)+INDEX($BD$13:$BL$162,BP728,0))/100)))),0)</f>
        <v/>
      </c>
      <c r="BS728">
        <f>IF(715&lt;$U$9,SUMPRODUCT(($D$9:$L$9+INT(($S$12:$AA$12+INDEX($AJ$13:$AR$162,BN728,0)+INDEX($AT$13:$BB$162,BO728,0)+INDEX($BD$13:$BL$162,BP728,0))/100))),0)</f>
        <v/>
      </c>
      <c r="BT728">
        <f>IF(AND(715&lt;$U$9,$W$5),BQ728*1000000-MIN(BR728,999)*1000+BS728-715/100000,-1000000000-715)</f>
        <v/>
      </c>
    </row>
    <row r="729">
      <c r="BN729">
        <f>IF(716&lt;$U$9,INT(716/($U$7*$U$8))+1,1)</f>
        <v/>
      </c>
      <c r="BO729">
        <f>IF(716&lt;$U$9,MOD(INT(716/$U$8),$U$7)+1,1)</f>
        <v/>
      </c>
      <c r="BP729">
        <f>IF(716&lt;$U$9,MOD(716,$U$8)+1,1)</f>
        <v/>
      </c>
      <c r="BQ729">
        <f>IF(716&lt;$U$9,SUMPRODUCT(($D$10:$L$10&lt;&gt;"")*(($D$9:$L$9+INT(($S$12:$AA$12+INDEX($AJ$13:$AR$162,BN729,0)+INDEX($AT$13:$BB$162,BO729,0)+INDEX($BD$13:$BL$162,BP729,0))/100))&gt;=$D$10:$L$10)),0)</f>
        <v/>
      </c>
      <c r="BR729">
        <f>IF(716&lt;$U$9,SUMPRODUCT(($D$10:$L$10&lt;&gt;"")*(($D$10:$L$10-($D$9:$L$9+INT(($S$12:$AA$12+INDEX($AJ$13:$AR$162,BN729,0)+INDEX($AT$13:$BB$162,BO729,0)+INDEX($BD$13:$BL$162,BP729,0))/100)))&gt;0)*($D$10:$L$10-($D$9:$L$9+INT(($S$12:$AA$12+INDEX($AJ$13:$AR$162,BN729,0)+INDEX($AT$13:$BB$162,BO729,0)+INDEX($BD$13:$BL$162,BP729,0))/100)))),0)</f>
        <v/>
      </c>
      <c r="BS729">
        <f>IF(716&lt;$U$9,SUMPRODUCT(($D$9:$L$9+INT(($S$12:$AA$12+INDEX($AJ$13:$AR$162,BN729,0)+INDEX($AT$13:$BB$162,BO729,0)+INDEX($BD$13:$BL$162,BP729,0))/100))),0)</f>
        <v/>
      </c>
      <c r="BT729">
        <f>IF(AND(716&lt;$U$9,$W$5),BQ729*1000000-MIN(BR729,999)*1000+BS729-716/100000,-1000000000-716)</f>
        <v/>
      </c>
    </row>
    <row r="730">
      <c r="BN730">
        <f>IF(717&lt;$U$9,INT(717/($U$7*$U$8))+1,1)</f>
        <v/>
      </c>
      <c r="BO730">
        <f>IF(717&lt;$U$9,MOD(INT(717/$U$8),$U$7)+1,1)</f>
        <v/>
      </c>
      <c r="BP730">
        <f>IF(717&lt;$U$9,MOD(717,$U$8)+1,1)</f>
        <v/>
      </c>
      <c r="BQ730">
        <f>IF(717&lt;$U$9,SUMPRODUCT(($D$10:$L$10&lt;&gt;"")*(($D$9:$L$9+INT(($S$12:$AA$12+INDEX($AJ$13:$AR$162,BN730,0)+INDEX($AT$13:$BB$162,BO730,0)+INDEX($BD$13:$BL$162,BP730,0))/100))&gt;=$D$10:$L$10)),0)</f>
        <v/>
      </c>
      <c r="BR730">
        <f>IF(717&lt;$U$9,SUMPRODUCT(($D$10:$L$10&lt;&gt;"")*(($D$10:$L$10-($D$9:$L$9+INT(($S$12:$AA$12+INDEX($AJ$13:$AR$162,BN730,0)+INDEX($AT$13:$BB$162,BO730,0)+INDEX($BD$13:$BL$162,BP730,0))/100)))&gt;0)*($D$10:$L$10-($D$9:$L$9+INT(($S$12:$AA$12+INDEX($AJ$13:$AR$162,BN730,0)+INDEX($AT$13:$BB$162,BO730,0)+INDEX($BD$13:$BL$162,BP730,0))/100)))),0)</f>
        <v/>
      </c>
      <c r="BS730">
        <f>IF(717&lt;$U$9,SUMPRODUCT(($D$9:$L$9+INT(($S$12:$AA$12+INDEX($AJ$13:$AR$162,BN730,0)+INDEX($AT$13:$BB$162,BO730,0)+INDEX($BD$13:$BL$162,BP730,0))/100))),0)</f>
        <v/>
      </c>
      <c r="BT730">
        <f>IF(AND(717&lt;$U$9,$W$5),BQ730*1000000-MIN(BR730,999)*1000+BS730-717/100000,-1000000000-717)</f>
        <v/>
      </c>
    </row>
    <row r="731">
      <c r="BN731">
        <f>IF(718&lt;$U$9,INT(718/($U$7*$U$8))+1,1)</f>
        <v/>
      </c>
      <c r="BO731">
        <f>IF(718&lt;$U$9,MOD(INT(718/$U$8),$U$7)+1,1)</f>
        <v/>
      </c>
      <c r="BP731">
        <f>IF(718&lt;$U$9,MOD(718,$U$8)+1,1)</f>
        <v/>
      </c>
      <c r="BQ731">
        <f>IF(718&lt;$U$9,SUMPRODUCT(($D$10:$L$10&lt;&gt;"")*(($D$9:$L$9+INT(($S$12:$AA$12+INDEX($AJ$13:$AR$162,BN731,0)+INDEX($AT$13:$BB$162,BO731,0)+INDEX($BD$13:$BL$162,BP731,0))/100))&gt;=$D$10:$L$10)),0)</f>
        <v/>
      </c>
      <c r="BR731">
        <f>IF(718&lt;$U$9,SUMPRODUCT(($D$10:$L$10&lt;&gt;"")*(($D$10:$L$10-($D$9:$L$9+INT(($S$12:$AA$12+INDEX($AJ$13:$AR$162,BN731,0)+INDEX($AT$13:$BB$162,BO731,0)+INDEX($BD$13:$BL$162,BP731,0))/100)))&gt;0)*($D$10:$L$10-($D$9:$L$9+INT(($S$12:$AA$12+INDEX($AJ$13:$AR$162,BN731,0)+INDEX($AT$13:$BB$162,BO731,0)+INDEX($BD$13:$BL$162,BP731,0))/100)))),0)</f>
        <v/>
      </c>
      <c r="BS731">
        <f>IF(718&lt;$U$9,SUMPRODUCT(($D$9:$L$9+INT(($S$12:$AA$12+INDEX($AJ$13:$AR$162,BN731,0)+INDEX($AT$13:$BB$162,BO731,0)+INDEX($BD$13:$BL$162,BP731,0))/100))),0)</f>
        <v/>
      </c>
      <c r="BT731">
        <f>IF(AND(718&lt;$U$9,$W$5),BQ731*1000000-MIN(BR731,999)*1000+BS731-718/100000,-1000000000-718)</f>
        <v/>
      </c>
    </row>
    <row r="732">
      <c r="BN732">
        <f>IF(719&lt;$U$9,INT(719/($U$7*$U$8))+1,1)</f>
        <v/>
      </c>
      <c r="BO732">
        <f>IF(719&lt;$U$9,MOD(INT(719/$U$8),$U$7)+1,1)</f>
        <v/>
      </c>
      <c r="BP732">
        <f>IF(719&lt;$U$9,MOD(719,$U$8)+1,1)</f>
        <v/>
      </c>
      <c r="BQ732">
        <f>IF(719&lt;$U$9,SUMPRODUCT(($D$10:$L$10&lt;&gt;"")*(($D$9:$L$9+INT(($S$12:$AA$12+INDEX($AJ$13:$AR$162,BN732,0)+INDEX($AT$13:$BB$162,BO732,0)+INDEX($BD$13:$BL$162,BP732,0))/100))&gt;=$D$10:$L$10)),0)</f>
        <v/>
      </c>
      <c r="BR732">
        <f>IF(719&lt;$U$9,SUMPRODUCT(($D$10:$L$10&lt;&gt;"")*(($D$10:$L$10-($D$9:$L$9+INT(($S$12:$AA$12+INDEX($AJ$13:$AR$162,BN732,0)+INDEX($AT$13:$BB$162,BO732,0)+INDEX($BD$13:$BL$162,BP732,0))/100)))&gt;0)*($D$10:$L$10-($D$9:$L$9+INT(($S$12:$AA$12+INDEX($AJ$13:$AR$162,BN732,0)+INDEX($AT$13:$BB$162,BO732,0)+INDEX($BD$13:$BL$162,BP732,0))/100)))),0)</f>
        <v/>
      </c>
      <c r="BS732">
        <f>IF(719&lt;$U$9,SUMPRODUCT(($D$9:$L$9+INT(($S$12:$AA$12+INDEX($AJ$13:$AR$162,BN732,0)+INDEX($AT$13:$BB$162,BO732,0)+INDEX($BD$13:$BL$162,BP732,0))/100))),0)</f>
        <v/>
      </c>
      <c r="BT732">
        <f>IF(AND(719&lt;$U$9,$W$5),BQ732*1000000-MIN(BR732,999)*1000+BS732-719/100000,-1000000000-719)</f>
        <v/>
      </c>
    </row>
    <row r="733">
      <c r="BN733">
        <f>IF(720&lt;$U$9,INT(720/($U$7*$U$8))+1,1)</f>
        <v/>
      </c>
      <c r="BO733">
        <f>IF(720&lt;$U$9,MOD(INT(720/$U$8),$U$7)+1,1)</f>
        <v/>
      </c>
      <c r="BP733">
        <f>IF(720&lt;$U$9,MOD(720,$U$8)+1,1)</f>
        <v/>
      </c>
      <c r="BQ733">
        <f>IF(720&lt;$U$9,SUMPRODUCT(($D$10:$L$10&lt;&gt;"")*(($D$9:$L$9+INT(($S$12:$AA$12+INDEX($AJ$13:$AR$162,BN733,0)+INDEX($AT$13:$BB$162,BO733,0)+INDEX($BD$13:$BL$162,BP733,0))/100))&gt;=$D$10:$L$10)),0)</f>
        <v/>
      </c>
      <c r="BR733">
        <f>IF(720&lt;$U$9,SUMPRODUCT(($D$10:$L$10&lt;&gt;"")*(($D$10:$L$10-($D$9:$L$9+INT(($S$12:$AA$12+INDEX($AJ$13:$AR$162,BN733,0)+INDEX($AT$13:$BB$162,BO733,0)+INDEX($BD$13:$BL$162,BP733,0))/100)))&gt;0)*($D$10:$L$10-($D$9:$L$9+INT(($S$12:$AA$12+INDEX($AJ$13:$AR$162,BN733,0)+INDEX($AT$13:$BB$162,BO733,0)+INDEX($BD$13:$BL$162,BP733,0))/100)))),0)</f>
        <v/>
      </c>
      <c r="BS733">
        <f>IF(720&lt;$U$9,SUMPRODUCT(($D$9:$L$9+INT(($S$12:$AA$12+INDEX($AJ$13:$AR$162,BN733,0)+INDEX($AT$13:$BB$162,BO733,0)+INDEX($BD$13:$BL$162,BP733,0))/100))),0)</f>
        <v/>
      </c>
      <c r="BT733">
        <f>IF(AND(720&lt;$U$9,$W$5),BQ733*1000000-MIN(BR733,999)*1000+BS733-720/100000,-1000000000-720)</f>
        <v/>
      </c>
    </row>
    <row r="734">
      <c r="BN734">
        <f>IF(721&lt;$U$9,INT(721/($U$7*$U$8))+1,1)</f>
        <v/>
      </c>
      <c r="BO734">
        <f>IF(721&lt;$U$9,MOD(INT(721/$U$8),$U$7)+1,1)</f>
        <v/>
      </c>
      <c r="BP734">
        <f>IF(721&lt;$U$9,MOD(721,$U$8)+1,1)</f>
        <v/>
      </c>
      <c r="BQ734">
        <f>IF(721&lt;$U$9,SUMPRODUCT(($D$10:$L$10&lt;&gt;"")*(($D$9:$L$9+INT(($S$12:$AA$12+INDEX($AJ$13:$AR$162,BN734,0)+INDEX($AT$13:$BB$162,BO734,0)+INDEX($BD$13:$BL$162,BP734,0))/100))&gt;=$D$10:$L$10)),0)</f>
        <v/>
      </c>
      <c r="BR734">
        <f>IF(721&lt;$U$9,SUMPRODUCT(($D$10:$L$10&lt;&gt;"")*(($D$10:$L$10-($D$9:$L$9+INT(($S$12:$AA$12+INDEX($AJ$13:$AR$162,BN734,0)+INDEX($AT$13:$BB$162,BO734,0)+INDEX($BD$13:$BL$162,BP734,0))/100)))&gt;0)*($D$10:$L$10-($D$9:$L$9+INT(($S$12:$AA$12+INDEX($AJ$13:$AR$162,BN734,0)+INDEX($AT$13:$BB$162,BO734,0)+INDEX($BD$13:$BL$162,BP734,0))/100)))),0)</f>
        <v/>
      </c>
      <c r="BS734">
        <f>IF(721&lt;$U$9,SUMPRODUCT(($D$9:$L$9+INT(($S$12:$AA$12+INDEX($AJ$13:$AR$162,BN734,0)+INDEX($AT$13:$BB$162,BO734,0)+INDEX($BD$13:$BL$162,BP734,0))/100))),0)</f>
        <v/>
      </c>
      <c r="BT734">
        <f>IF(AND(721&lt;$U$9,$W$5),BQ734*1000000-MIN(BR734,999)*1000+BS734-721/100000,-1000000000-721)</f>
        <v/>
      </c>
    </row>
    <row r="735">
      <c r="BN735">
        <f>IF(722&lt;$U$9,INT(722/($U$7*$U$8))+1,1)</f>
        <v/>
      </c>
      <c r="BO735">
        <f>IF(722&lt;$U$9,MOD(INT(722/$U$8),$U$7)+1,1)</f>
        <v/>
      </c>
      <c r="BP735">
        <f>IF(722&lt;$U$9,MOD(722,$U$8)+1,1)</f>
        <v/>
      </c>
      <c r="BQ735">
        <f>IF(722&lt;$U$9,SUMPRODUCT(($D$10:$L$10&lt;&gt;"")*(($D$9:$L$9+INT(($S$12:$AA$12+INDEX($AJ$13:$AR$162,BN735,0)+INDEX($AT$13:$BB$162,BO735,0)+INDEX($BD$13:$BL$162,BP735,0))/100))&gt;=$D$10:$L$10)),0)</f>
        <v/>
      </c>
      <c r="BR735">
        <f>IF(722&lt;$U$9,SUMPRODUCT(($D$10:$L$10&lt;&gt;"")*(($D$10:$L$10-($D$9:$L$9+INT(($S$12:$AA$12+INDEX($AJ$13:$AR$162,BN735,0)+INDEX($AT$13:$BB$162,BO735,0)+INDEX($BD$13:$BL$162,BP735,0))/100)))&gt;0)*($D$10:$L$10-($D$9:$L$9+INT(($S$12:$AA$12+INDEX($AJ$13:$AR$162,BN735,0)+INDEX($AT$13:$BB$162,BO735,0)+INDEX($BD$13:$BL$162,BP735,0))/100)))),0)</f>
        <v/>
      </c>
      <c r="BS735">
        <f>IF(722&lt;$U$9,SUMPRODUCT(($D$9:$L$9+INT(($S$12:$AA$12+INDEX($AJ$13:$AR$162,BN735,0)+INDEX($AT$13:$BB$162,BO735,0)+INDEX($BD$13:$BL$162,BP735,0))/100))),0)</f>
        <v/>
      </c>
      <c r="BT735">
        <f>IF(AND(722&lt;$U$9,$W$5),BQ735*1000000-MIN(BR735,999)*1000+BS735-722/100000,-1000000000-722)</f>
        <v/>
      </c>
    </row>
    <row r="736">
      <c r="BN736">
        <f>IF(723&lt;$U$9,INT(723/($U$7*$U$8))+1,1)</f>
        <v/>
      </c>
      <c r="BO736">
        <f>IF(723&lt;$U$9,MOD(INT(723/$U$8),$U$7)+1,1)</f>
        <v/>
      </c>
      <c r="BP736">
        <f>IF(723&lt;$U$9,MOD(723,$U$8)+1,1)</f>
        <v/>
      </c>
      <c r="BQ736">
        <f>IF(723&lt;$U$9,SUMPRODUCT(($D$10:$L$10&lt;&gt;"")*(($D$9:$L$9+INT(($S$12:$AA$12+INDEX($AJ$13:$AR$162,BN736,0)+INDEX($AT$13:$BB$162,BO736,0)+INDEX($BD$13:$BL$162,BP736,0))/100))&gt;=$D$10:$L$10)),0)</f>
        <v/>
      </c>
      <c r="BR736">
        <f>IF(723&lt;$U$9,SUMPRODUCT(($D$10:$L$10&lt;&gt;"")*(($D$10:$L$10-($D$9:$L$9+INT(($S$12:$AA$12+INDEX($AJ$13:$AR$162,BN736,0)+INDEX($AT$13:$BB$162,BO736,0)+INDEX($BD$13:$BL$162,BP736,0))/100)))&gt;0)*($D$10:$L$10-($D$9:$L$9+INT(($S$12:$AA$12+INDEX($AJ$13:$AR$162,BN736,0)+INDEX($AT$13:$BB$162,BO736,0)+INDEX($BD$13:$BL$162,BP736,0))/100)))),0)</f>
        <v/>
      </c>
      <c r="BS736">
        <f>IF(723&lt;$U$9,SUMPRODUCT(($D$9:$L$9+INT(($S$12:$AA$12+INDEX($AJ$13:$AR$162,BN736,0)+INDEX($AT$13:$BB$162,BO736,0)+INDEX($BD$13:$BL$162,BP736,0))/100))),0)</f>
        <v/>
      </c>
      <c r="BT736">
        <f>IF(AND(723&lt;$U$9,$W$5),BQ736*1000000-MIN(BR736,999)*1000+BS736-723/100000,-1000000000-723)</f>
        <v/>
      </c>
    </row>
    <row r="737">
      <c r="BN737">
        <f>IF(724&lt;$U$9,INT(724/($U$7*$U$8))+1,1)</f>
        <v/>
      </c>
      <c r="BO737">
        <f>IF(724&lt;$U$9,MOD(INT(724/$U$8),$U$7)+1,1)</f>
        <v/>
      </c>
      <c r="BP737">
        <f>IF(724&lt;$U$9,MOD(724,$U$8)+1,1)</f>
        <v/>
      </c>
      <c r="BQ737">
        <f>IF(724&lt;$U$9,SUMPRODUCT(($D$10:$L$10&lt;&gt;"")*(($D$9:$L$9+INT(($S$12:$AA$12+INDEX($AJ$13:$AR$162,BN737,0)+INDEX($AT$13:$BB$162,BO737,0)+INDEX($BD$13:$BL$162,BP737,0))/100))&gt;=$D$10:$L$10)),0)</f>
        <v/>
      </c>
      <c r="BR737">
        <f>IF(724&lt;$U$9,SUMPRODUCT(($D$10:$L$10&lt;&gt;"")*(($D$10:$L$10-($D$9:$L$9+INT(($S$12:$AA$12+INDEX($AJ$13:$AR$162,BN737,0)+INDEX($AT$13:$BB$162,BO737,0)+INDEX($BD$13:$BL$162,BP737,0))/100)))&gt;0)*($D$10:$L$10-($D$9:$L$9+INT(($S$12:$AA$12+INDEX($AJ$13:$AR$162,BN737,0)+INDEX($AT$13:$BB$162,BO737,0)+INDEX($BD$13:$BL$162,BP737,0))/100)))),0)</f>
        <v/>
      </c>
      <c r="BS737">
        <f>IF(724&lt;$U$9,SUMPRODUCT(($D$9:$L$9+INT(($S$12:$AA$12+INDEX($AJ$13:$AR$162,BN737,0)+INDEX($AT$13:$BB$162,BO737,0)+INDEX($BD$13:$BL$162,BP737,0))/100))),0)</f>
        <v/>
      </c>
      <c r="BT737">
        <f>IF(AND(724&lt;$U$9,$W$5),BQ737*1000000-MIN(BR737,999)*1000+BS737-724/100000,-1000000000-724)</f>
        <v/>
      </c>
    </row>
    <row r="738">
      <c r="BN738">
        <f>IF(725&lt;$U$9,INT(725/($U$7*$U$8))+1,1)</f>
        <v/>
      </c>
      <c r="BO738">
        <f>IF(725&lt;$U$9,MOD(INT(725/$U$8),$U$7)+1,1)</f>
        <v/>
      </c>
      <c r="BP738">
        <f>IF(725&lt;$U$9,MOD(725,$U$8)+1,1)</f>
        <v/>
      </c>
      <c r="BQ738">
        <f>IF(725&lt;$U$9,SUMPRODUCT(($D$10:$L$10&lt;&gt;"")*(($D$9:$L$9+INT(($S$12:$AA$12+INDEX($AJ$13:$AR$162,BN738,0)+INDEX($AT$13:$BB$162,BO738,0)+INDEX($BD$13:$BL$162,BP738,0))/100))&gt;=$D$10:$L$10)),0)</f>
        <v/>
      </c>
      <c r="BR738">
        <f>IF(725&lt;$U$9,SUMPRODUCT(($D$10:$L$10&lt;&gt;"")*(($D$10:$L$10-($D$9:$L$9+INT(($S$12:$AA$12+INDEX($AJ$13:$AR$162,BN738,0)+INDEX($AT$13:$BB$162,BO738,0)+INDEX($BD$13:$BL$162,BP738,0))/100)))&gt;0)*($D$10:$L$10-($D$9:$L$9+INT(($S$12:$AA$12+INDEX($AJ$13:$AR$162,BN738,0)+INDEX($AT$13:$BB$162,BO738,0)+INDEX($BD$13:$BL$162,BP738,0))/100)))),0)</f>
        <v/>
      </c>
      <c r="BS738">
        <f>IF(725&lt;$U$9,SUMPRODUCT(($D$9:$L$9+INT(($S$12:$AA$12+INDEX($AJ$13:$AR$162,BN738,0)+INDEX($AT$13:$BB$162,BO738,0)+INDEX($BD$13:$BL$162,BP738,0))/100))),0)</f>
        <v/>
      </c>
      <c r="BT738">
        <f>IF(AND(725&lt;$U$9,$W$5),BQ738*1000000-MIN(BR738,999)*1000+BS738-725/100000,-1000000000-725)</f>
        <v/>
      </c>
    </row>
    <row r="739">
      <c r="BN739">
        <f>IF(726&lt;$U$9,INT(726/($U$7*$U$8))+1,1)</f>
        <v/>
      </c>
      <c r="BO739">
        <f>IF(726&lt;$U$9,MOD(INT(726/$U$8),$U$7)+1,1)</f>
        <v/>
      </c>
      <c r="BP739">
        <f>IF(726&lt;$U$9,MOD(726,$U$8)+1,1)</f>
        <v/>
      </c>
      <c r="BQ739">
        <f>IF(726&lt;$U$9,SUMPRODUCT(($D$10:$L$10&lt;&gt;"")*(($D$9:$L$9+INT(($S$12:$AA$12+INDEX($AJ$13:$AR$162,BN739,0)+INDEX($AT$13:$BB$162,BO739,0)+INDEX($BD$13:$BL$162,BP739,0))/100))&gt;=$D$10:$L$10)),0)</f>
        <v/>
      </c>
      <c r="BR739">
        <f>IF(726&lt;$U$9,SUMPRODUCT(($D$10:$L$10&lt;&gt;"")*(($D$10:$L$10-($D$9:$L$9+INT(($S$12:$AA$12+INDEX($AJ$13:$AR$162,BN739,0)+INDEX($AT$13:$BB$162,BO739,0)+INDEX($BD$13:$BL$162,BP739,0))/100)))&gt;0)*($D$10:$L$10-($D$9:$L$9+INT(($S$12:$AA$12+INDEX($AJ$13:$AR$162,BN739,0)+INDEX($AT$13:$BB$162,BO739,0)+INDEX($BD$13:$BL$162,BP739,0))/100)))),0)</f>
        <v/>
      </c>
      <c r="BS739">
        <f>IF(726&lt;$U$9,SUMPRODUCT(($D$9:$L$9+INT(($S$12:$AA$12+INDEX($AJ$13:$AR$162,BN739,0)+INDEX($AT$13:$BB$162,BO739,0)+INDEX($BD$13:$BL$162,BP739,0))/100))),0)</f>
        <v/>
      </c>
      <c r="BT739">
        <f>IF(AND(726&lt;$U$9,$W$5),BQ739*1000000-MIN(BR739,999)*1000+BS739-726/100000,-1000000000-726)</f>
        <v/>
      </c>
    </row>
    <row r="740">
      <c r="BN740">
        <f>IF(727&lt;$U$9,INT(727/($U$7*$U$8))+1,1)</f>
        <v/>
      </c>
      <c r="BO740">
        <f>IF(727&lt;$U$9,MOD(INT(727/$U$8),$U$7)+1,1)</f>
        <v/>
      </c>
      <c r="BP740">
        <f>IF(727&lt;$U$9,MOD(727,$U$8)+1,1)</f>
        <v/>
      </c>
      <c r="BQ740">
        <f>IF(727&lt;$U$9,SUMPRODUCT(($D$10:$L$10&lt;&gt;"")*(($D$9:$L$9+INT(($S$12:$AA$12+INDEX($AJ$13:$AR$162,BN740,0)+INDEX($AT$13:$BB$162,BO740,0)+INDEX($BD$13:$BL$162,BP740,0))/100))&gt;=$D$10:$L$10)),0)</f>
        <v/>
      </c>
      <c r="BR740">
        <f>IF(727&lt;$U$9,SUMPRODUCT(($D$10:$L$10&lt;&gt;"")*(($D$10:$L$10-($D$9:$L$9+INT(($S$12:$AA$12+INDEX($AJ$13:$AR$162,BN740,0)+INDEX($AT$13:$BB$162,BO740,0)+INDEX($BD$13:$BL$162,BP740,0))/100)))&gt;0)*($D$10:$L$10-($D$9:$L$9+INT(($S$12:$AA$12+INDEX($AJ$13:$AR$162,BN740,0)+INDEX($AT$13:$BB$162,BO740,0)+INDEX($BD$13:$BL$162,BP740,0))/100)))),0)</f>
        <v/>
      </c>
      <c r="BS740">
        <f>IF(727&lt;$U$9,SUMPRODUCT(($D$9:$L$9+INT(($S$12:$AA$12+INDEX($AJ$13:$AR$162,BN740,0)+INDEX($AT$13:$BB$162,BO740,0)+INDEX($BD$13:$BL$162,BP740,0))/100))),0)</f>
        <v/>
      </c>
      <c r="BT740">
        <f>IF(AND(727&lt;$U$9,$W$5),BQ740*1000000-MIN(BR740,999)*1000+BS740-727/100000,-1000000000-727)</f>
        <v/>
      </c>
    </row>
    <row r="741">
      <c r="BN741">
        <f>IF(728&lt;$U$9,INT(728/($U$7*$U$8))+1,1)</f>
        <v/>
      </c>
      <c r="BO741">
        <f>IF(728&lt;$U$9,MOD(INT(728/$U$8),$U$7)+1,1)</f>
        <v/>
      </c>
      <c r="BP741">
        <f>IF(728&lt;$U$9,MOD(728,$U$8)+1,1)</f>
        <v/>
      </c>
      <c r="BQ741">
        <f>IF(728&lt;$U$9,SUMPRODUCT(($D$10:$L$10&lt;&gt;"")*(($D$9:$L$9+INT(($S$12:$AA$12+INDEX($AJ$13:$AR$162,BN741,0)+INDEX($AT$13:$BB$162,BO741,0)+INDEX($BD$13:$BL$162,BP741,0))/100))&gt;=$D$10:$L$10)),0)</f>
        <v/>
      </c>
      <c r="BR741">
        <f>IF(728&lt;$U$9,SUMPRODUCT(($D$10:$L$10&lt;&gt;"")*(($D$10:$L$10-($D$9:$L$9+INT(($S$12:$AA$12+INDEX($AJ$13:$AR$162,BN741,0)+INDEX($AT$13:$BB$162,BO741,0)+INDEX($BD$13:$BL$162,BP741,0))/100)))&gt;0)*($D$10:$L$10-($D$9:$L$9+INT(($S$12:$AA$12+INDEX($AJ$13:$AR$162,BN741,0)+INDEX($AT$13:$BB$162,BO741,0)+INDEX($BD$13:$BL$162,BP741,0))/100)))),0)</f>
        <v/>
      </c>
      <c r="BS741">
        <f>IF(728&lt;$U$9,SUMPRODUCT(($D$9:$L$9+INT(($S$12:$AA$12+INDEX($AJ$13:$AR$162,BN741,0)+INDEX($AT$13:$BB$162,BO741,0)+INDEX($BD$13:$BL$162,BP741,0))/100))),0)</f>
        <v/>
      </c>
      <c r="BT741">
        <f>IF(AND(728&lt;$U$9,$W$5),BQ741*1000000-MIN(BR741,999)*1000+BS741-728/100000,-1000000000-728)</f>
        <v/>
      </c>
    </row>
    <row r="742">
      <c r="BN742">
        <f>IF(729&lt;$U$9,INT(729/($U$7*$U$8))+1,1)</f>
        <v/>
      </c>
      <c r="BO742">
        <f>IF(729&lt;$U$9,MOD(INT(729/$U$8),$U$7)+1,1)</f>
        <v/>
      </c>
      <c r="BP742">
        <f>IF(729&lt;$U$9,MOD(729,$U$8)+1,1)</f>
        <v/>
      </c>
      <c r="BQ742">
        <f>IF(729&lt;$U$9,SUMPRODUCT(($D$10:$L$10&lt;&gt;"")*(($D$9:$L$9+INT(($S$12:$AA$12+INDEX($AJ$13:$AR$162,BN742,0)+INDEX($AT$13:$BB$162,BO742,0)+INDEX($BD$13:$BL$162,BP742,0))/100))&gt;=$D$10:$L$10)),0)</f>
        <v/>
      </c>
      <c r="BR742">
        <f>IF(729&lt;$U$9,SUMPRODUCT(($D$10:$L$10&lt;&gt;"")*(($D$10:$L$10-($D$9:$L$9+INT(($S$12:$AA$12+INDEX($AJ$13:$AR$162,BN742,0)+INDEX($AT$13:$BB$162,BO742,0)+INDEX($BD$13:$BL$162,BP742,0))/100)))&gt;0)*($D$10:$L$10-($D$9:$L$9+INT(($S$12:$AA$12+INDEX($AJ$13:$AR$162,BN742,0)+INDEX($AT$13:$BB$162,BO742,0)+INDEX($BD$13:$BL$162,BP742,0))/100)))),0)</f>
        <v/>
      </c>
      <c r="BS742">
        <f>IF(729&lt;$U$9,SUMPRODUCT(($D$9:$L$9+INT(($S$12:$AA$12+INDEX($AJ$13:$AR$162,BN742,0)+INDEX($AT$13:$BB$162,BO742,0)+INDEX($BD$13:$BL$162,BP742,0))/100))),0)</f>
        <v/>
      </c>
      <c r="BT742">
        <f>IF(AND(729&lt;$U$9,$W$5),BQ742*1000000-MIN(BR742,999)*1000+BS742-729/100000,-1000000000-729)</f>
        <v/>
      </c>
    </row>
    <row r="743">
      <c r="BN743">
        <f>IF(730&lt;$U$9,INT(730/($U$7*$U$8))+1,1)</f>
        <v/>
      </c>
      <c r="BO743">
        <f>IF(730&lt;$U$9,MOD(INT(730/$U$8),$U$7)+1,1)</f>
        <v/>
      </c>
      <c r="BP743">
        <f>IF(730&lt;$U$9,MOD(730,$U$8)+1,1)</f>
        <v/>
      </c>
      <c r="BQ743">
        <f>IF(730&lt;$U$9,SUMPRODUCT(($D$10:$L$10&lt;&gt;"")*(($D$9:$L$9+INT(($S$12:$AA$12+INDEX($AJ$13:$AR$162,BN743,0)+INDEX($AT$13:$BB$162,BO743,0)+INDEX($BD$13:$BL$162,BP743,0))/100))&gt;=$D$10:$L$10)),0)</f>
        <v/>
      </c>
      <c r="BR743">
        <f>IF(730&lt;$U$9,SUMPRODUCT(($D$10:$L$10&lt;&gt;"")*(($D$10:$L$10-($D$9:$L$9+INT(($S$12:$AA$12+INDEX($AJ$13:$AR$162,BN743,0)+INDEX($AT$13:$BB$162,BO743,0)+INDEX($BD$13:$BL$162,BP743,0))/100)))&gt;0)*($D$10:$L$10-($D$9:$L$9+INT(($S$12:$AA$12+INDEX($AJ$13:$AR$162,BN743,0)+INDEX($AT$13:$BB$162,BO743,0)+INDEX($BD$13:$BL$162,BP743,0))/100)))),0)</f>
        <v/>
      </c>
      <c r="BS743">
        <f>IF(730&lt;$U$9,SUMPRODUCT(($D$9:$L$9+INT(($S$12:$AA$12+INDEX($AJ$13:$AR$162,BN743,0)+INDEX($AT$13:$BB$162,BO743,0)+INDEX($BD$13:$BL$162,BP743,0))/100))),0)</f>
        <v/>
      </c>
      <c r="BT743">
        <f>IF(AND(730&lt;$U$9,$W$5),BQ743*1000000-MIN(BR743,999)*1000+BS743-730/100000,-1000000000-730)</f>
        <v/>
      </c>
    </row>
    <row r="744">
      <c r="BN744">
        <f>IF(731&lt;$U$9,INT(731/($U$7*$U$8))+1,1)</f>
        <v/>
      </c>
      <c r="BO744">
        <f>IF(731&lt;$U$9,MOD(INT(731/$U$8),$U$7)+1,1)</f>
        <v/>
      </c>
      <c r="BP744">
        <f>IF(731&lt;$U$9,MOD(731,$U$8)+1,1)</f>
        <v/>
      </c>
      <c r="BQ744">
        <f>IF(731&lt;$U$9,SUMPRODUCT(($D$10:$L$10&lt;&gt;"")*(($D$9:$L$9+INT(($S$12:$AA$12+INDEX($AJ$13:$AR$162,BN744,0)+INDEX($AT$13:$BB$162,BO744,0)+INDEX($BD$13:$BL$162,BP744,0))/100))&gt;=$D$10:$L$10)),0)</f>
        <v/>
      </c>
      <c r="BR744">
        <f>IF(731&lt;$U$9,SUMPRODUCT(($D$10:$L$10&lt;&gt;"")*(($D$10:$L$10-($D$9:$L$9+INT(($S$12:$AA$12+INDEX($AJ$13:$AR$162,BN744,0)+INDEX($AT$13:$BB$162,BO744,0)+INDEX($BD$13:$BL$162,BP744,0))/100)))&gt;0)*($D$10:$L$10-($D$9:$L$9+INT(($S$12:$AA$12+INDEX($AJ$13:$AR$162,BN744,0)+INDEX($AT$13:$BB$162,BO744,0)+INDEX($BD$13:$BL$162,BP744,0))/100)))),0)</f>
        <v/>
      </c>
      <c r="BS744">
        <f>IF(731&lt;$U$9,SUMPRODUCT(($D$9:$L$9+INT(($S$12:$AA$12+INDEX($AJ$13:$AR$162,BN744,0)+INDEX($AT$13:$BB$162,BO744,0)+INDEX($BD$13:$BL$162,BP744,0))/100))),0)</f>
        <v/>
      </c>
      <c r="BT744">
        <f>IF(AND(731&lt;$U$9,$W$5),BQ744*1000000-MIN(BR744,999)*1000+BS744-731/100000,-1000000000-731)</f>
        <v/>
      </c>
    </row>
    <row r="745">
      <c r="BN745">
        <f>IF(732&lt;$U$9,INT(732/($U$7*$U$8))+1,1)</f>
        <v/>
      </c>
      <c r="BO745">
        <f>IF(732&lt;$U$9,MOD(INT(732/$U$8),$U$7)+1,1)</f>
        <v/>
      </c>
      <c r="BP745">
        <f>IF(732&lt;$U$9,MOD(732,$U$8)+1,1)</f>
        <v/>
      </c>
      <c r="BQ745">
        <f>IF(732&lt;$U$9,SUMPRODUCT(($D$10:$L$10&lt;&gt;"")*(($D$9:$L$9+INT(($S$12:$AA$12+INDEX($AJ$13:$AR$162,BN745,0)+INDEX($AT$13:$BB$162,BO745,0)+INDEX($BD$13:$BL$162,BP745,0))/100))&gt;=$D$10:$L$10)),0)</f>
        <v/>
      </c>
      <c r="BR745">
        <f>IF(732&lt;$U$9,SUMPRODUCT(($D$10:$L$10&lt;&gt;"")*(($D$10:$L$10-($D$9:$L$9+INT(($S$12:$AA$12+INDEX($AJ$13:$AR$162,BN745,0)+INDEX($AT$13:$BB$162,BO745,0)+INDEX($BD$13:$BL$162,BP745,0))/100)))&gt;0)*($D$10:$L$10-($D$9:$L$9+INT(($S$12:$AA$12+INDEX($AJ$13:$AR$162,BN745,0)+INDEX($AT$13:$BB$162,BO745,0)+INDEX($BD$13:$BL$162,BP745,0))/100)))),0)</f>
        <v/>
      </c>
      <c r="BS745">
        <f>IF(732&lt;$U$9,SUMPRODUCT(($D$9:$L$9+INT(($S$12:$AA$12+INDEX($AJ$13:$AR$162,BN745,0)+INDEX($AT$13:$BB$162,BO745,0)+INDEX($BD$13:$BL$162,BP745,0))/100))),0)</f>
        <v/>
      </c>
      <c r="BT745">
        <f>IF(AND(732&lt;$U$9,$W$5),BQ745*1000000-MIN(BR745,999)*1000+BS745-732/100000,-1000000000-732)</f>
        <v/>
      </c>
    </row>
    <row r="746">
      <c r="BN746">
        <f>IF(733&lt;$U$9,INT(733/($U$7*$U$8))+1,1)</f>
        <v/>
      </c>
      <c r="BO746">
        <f>IF(733&lt;$U$9,MOD(INT(733/$U$8),$U$7)+1,1)</f>
        <v/>
      </c>
      <c r="BP746">
        <f>IF(733&lt;$U$9,MOD(733,$U$8)+1,1)</f>
        <v/>
      </c>
      <c r="BQ746">
        <f>IF(733&lt;$U$9,SUMPRODUCT(($D$10:$L$10&lt;&gt;"")*(($D$9:$L$9+INT(($S$12:$AA$12+INDEX($AJ$13:$AR$162,BN746,0)+INDEX($AT$13:$BB$162,BO746,0)+INDEX($BD$13:$BL$162,BP746,0))/100))&gt;=$D$10:$L$10)),0)</f>
        <v/>
      </c>
      <c r="BR746">
        <f>IF(733&lt;$U$9,SUMPRODUCT(($D$10:$L$10&lt;&gt;"")*(($D$10:$L$10-($D$9:$L$9+INT(($S$12:$AA$12+INDEX($AJ$13:$AR$162,BN746,0)+INDEX($AT$13:$BB$162,BO746,0)+INDEX($BD$13:$BL$162,BP746,0))/100)))&gt;0)*($D$10:$L$10-($D$9:$L$9+INT(($S$12:$AA$12+INDEX($AJ$13:$AR$162,BN746,0)+INDEX($AT$13:$BB$162,BO746,0)+INDEX($BD$13:$BL$162,BP746,0))/100)))),0)</f>
        <v/>
      </c>
      <c r="BS746">
        <f>IF(733&lt;$U$9,SUMPRODUCT(($D$9:$L$9+INT(($S$12:$AA$12+INDEX($AJ$13:$AR$162,BN746,0)+INDEX($AT$13:$BB$162,BO746,0)+INDEX($BD$13:$BL$162,BP746,0))/100))),0)</f>
        <v/>
      </c>
      <c r="BT746">
        <f>IF(AND(733&lt;$U$9,$W$5),BQ746*1000000-MIN(BR746,999)*1000+BS746-733/100000,-1000000000-733)</f>
        <v/>
      </c>
    </row>
    <row r="747">
      <c r="BN747">
        <f>IF(734&lt;$U$9,INT(734/($U$7*$U$8))+1,1)</f>
        <v/>
      </c>
      <c r="BO747">
        <f>IF(734&lt;$U$9,MOD(INT(734/$U$8),$U$7)+1,1)</f>
        <v/>
      </c>
      <c r="BP747">
        <f>IF(734&lt;$U$9,MOD(734,$U$8)+1,1)</f>
        <v/>
      </c>
      <c r="BQ747">
        <f>IF(734&lt;$U$9,SUMPRODUCT(($D$10:$L$10&lt;&gt;"")*(($D$9:$L$9+INT(($S$12:$AA$12+INDEX($AJ$13:$AR$162,BN747,0)+INDEX($AT$13:$BB$162,BO747,0)+INDEX($BD$13:$BL$162,BP747,0))/100))&gt;=$D$10:$L$10)),0)</f>
        <v/>
      </c>
      <c r="BR747">
        <f>IF(734&lt;$U$9,SUMPRODUCT(($D$10:$L$10&lt;&gt;"")*(($D$10:$L$10-($D$9:$L$9+INT(($S$12:$AA$12+INDEX($AJ$13:$AR$162,BN747,0)+INDEX($AT$13:$BB$162,BO747,0)+INDEX($BD$13:$BL$162,BP747,0))/100)))&gt;0)*($D$10:$L$10-($D$9:$L$9+INT(($S$12:$AA$12+INDEX($AJ$13:$AR$162,BN747,0)+INDEX($AT$13:$BB$162,BO747,0)+INDEX($BD$13:$BL$162,BP747,0))/100)))),0)</f>
        <v/>
      </c>
      <c r="BS747">
        <f>IF(734&lt;$U$9,SUMPRODUCT(($D$9:$L$9+INT(($S$12:$AA$12+INDEX($AJ$13:$AR$162,BN747,0)+INDEX($AT$13:$BB$162,BO747,0)+INDEX($BD$13:$BL$162,BP747,0))/100))),0)</f>
        <v/>
      </c>
      <c r="BT747">
        <f>IF(AND(734&lt;$U$9,$W$5),BQ747*1000000-MIN(BR747,999)*1000+BS747-734/100000,-1000000000-734)</f>
        <v/>
      </c>
    </row>
    <row r="748">
      <c r="BN748">
        <f>IF(735&lt;$U$9,INT(735/($U$7*$U$8))+1,1)</f>
        <v/>
      </c>
      <c r="BO748">
        <f>IF(735&lt;$U$9,MOD(INT(735/$U$8),$U$7)+1,1)</f>
        <v/>
      </c>
      <c r="BP748">
        <f>IF(735&lt;$U$9,MOD(735,$U$8)+1,1)</f>
        <v/>
      </c>
      <c r="BQ748">
        <f>IF(735&lt;$U$9,SUMPRODUCT(($D$10:$L$10&lt;&gt;"")*(($D$9:$L$9+INT(($S$12:$AA$12+INDEX($AJ$13:$AR$162,BN748,0)+INDEX($AT$13:$BB$162,BO748,0)+INDEX($BD$13:$BL$162,BP748,0))/100))&gt;=$D$10:$L$10)),0)</f>
        <v/>
      </c>
      <c r="BR748">
        <f>IF(735&lt;$U$9,SUMPRODUCT(($D$10:$L$10&lt;&gt;"")*(($D$10:$L$10-($D$9:$L$9+INT(($S$12:$AA$12+INDEX($AJ$13:$AR$162,BN748,0)+INDEX($AT$13:$BB$162,BO748,0)+INDEX($BD$13:$BL$162,BP748,0))/100)))&gt;0)*($D$10:$L$10-($D$9:$L$9+INT(($S$12:$AA$12+INDEX($AJ$13:$AR$162,BN748,0)+INDEX($AT$13:$BB$162,BO748,0)+INDEX($BD$13:$BL$162,BP748,0))/100)))),0)</f>
        <v/>
      </c>
      <c r="BS748">
        <f>IF(735&lt;$U$9,SUMPRODUCT(($D$9:$L$9+INT(($S$12:$AA$12+INDEX($AJ$13:$AR$162,BN748,0)+INDEX($AT$13:$BB$162,BO748,0)+INDEX($BD$13:$BL$162,BP748,0))/100))),0)</f>
        <v/>
      </c>
      <c r="BT748">
        <f>IF(AND(735&lt;$U$9,$W$5),BQ748*1000000-MIN(BR748,999)*1000+BS748-735/100000,-1000000000-735)</f>
        <v/>
      </c>
    </row>
    <row r="749">
      <c r="BN749">
        <f>IF(736&lt;$U$9,INT(736/($U$7*$U$8))+1,1)</f>
        <v/>
      </c>
      <c r="BO749">
        <f>IF(736&lt;$U$9,MOD(INT(736/$U$8),$U$7)+1,1)</f>
        <v/>
      </c>
      <c r="BP749">
        <f>IF(736&lt;$U$9,MOD(736,$U$8)+1,1)</f>
        <v/>
      </c>
      <c r="BQ749">
        <f>IF(736&lt;$U$9,SUMPRODUCT(($D$10:$L$10&lt;&gt;"")*(($D$9:$L$9+INT(($S$12:$AA$12+INDEX($AJ$13:$AR$162,BN749,0)+INDEX($AT$13:$BB$162,BO749,0)+INDEX($BD$13:$BL$162,BP749,0))/100))&gt;=$D$10:$L$10)),0)</f>
        <v/>
      </c>
      <c r="BR749">
        <f>IF(736&lt;$U$9,SUMPRODUCT(($D$10:$L$10&lt;&gt;"")*(($D$10:$L$10-($D$9:$L$9+INT(($S$12:$AA$12+INDEX($AJ$13:$AR$162,BN749,0)+INDEX($AT$13:$BB$162,BO749,0)+INDEX($BD$13:$BL$162,BP749,0))/100)))&gt;0)*($D$10:$L$10-($D$9:$L$9+INT(($S$12:$AA$12+INDEX($AJ$13:$AR$162,BN749,0)+INDEX($AT$13:$BB$162,BO749,0)+INDEX($BD$13:$BL$162,BP749,0))/100)))),0)</f>
        <v/>
      </c>
      <c r="BS749">
        <f>IF(736&lt;$U$9,SUMPRODUCT(($D$9:$L$9+INT(($S$12:$AA$12+INDEX($AJ$13:$AR$162,BN749,0)+INDEX($AT$13:$BB$162,BO749,0)+INDEX($BD$13:$BL$162,BP749,0))/100))),0)</f>
        <v/>
      </c>
      <c r="BT749">
        <f>IF(AND(736&lt;$U$9,$W$5),BQ749*1000000-MIN(BR749,999)*1000+BS749-736/100000,-1000000000-736)</f>
        <v/>
      </c>
    </row>
    <row r="750">
      <c r="BN750">
        <f>IF(737&lt;$U$9,INT(737/($U$7*$U$8))+1,1)</f>
        <v/>
      </c>
      <c r="BO750">
        <f>IF(737&lt;$U$9,MOD(INT(737/$U$8),$U$7)+1,1)</f>
        <v/>
      </c>
      <c r="BP750">
        <f>IF(737&lt;$U$9,MOD(737,$U$8)+1,1)</f>
        <v/>
      </c>
      <c r="BQ750">
        <f>IF(737&lt;$U$9,SUMPRODUCT(($D$10:$L$10&lt;&gt;"")*(($D$9:$L$9+INT(($S$12:$AA$12+INDEX($AJ$13:$AR$162,BN750,0)+INDEX($AT$13:$BB$162,BO750,0)+INDEX($BD$13:$BL$162,BP750,0))/100))&gt;=$D$10:$L$10)),0)</f>
        <v/>
      </c>
      <c r="BR750">
        <f>IF(737&lt;$U$9,SUMPRODUCT(($D$10:$L$10&lt;&gt;"")*(($D$10:$L$10-($D$9:$L$9+INT(($S$12:$AA$12+INDEX($AJ$13:$AR$162,BN750,0)+INDEX($AT$13:$BB$162,BO750,0)+INDEX($BD$13:$BL$162,BP750,0))/100)))&gt;0)*($D$10:$L$10-($D$9:$L$9+INT(($S$12:$AA$12+INDEX($AJ$13:$AR$162,BN750,0)+INDEX($AT$13:$BB$162,BO750,0)+INDEX($BD$13:$BL$162,BP750,0))/100)))),0)</f>
        <v/>
      </c>
      <c r="BS750">
        <f>IF(737&lt;$U$9,SUMPRODUCT(($D$9:$L$9+INT(($S$12:$AA$12+INDEX($AJ$13:$AR$162,BN750,0)+INDEX($AT$13:$BB$162,BO750,0)+INDEX($BD$13:$BL$162,BP750,0))/100))),0)</f>
        <v/>
      </c>
      <c r="BT750">
        <f>IF(AND(737&lt;$U$9,$W$5),BQ750*1000000-MIN(BR750,999)*1000+BS750-737/100000,-1000000000-737)</f>
        <v/>
      </c>
    </row>
    <row r="751">
      <c r="BN751">
        <f>IF(738&lt;$U$9,INT(738/($U$7*$U$8))+1,1)</f>
        <v/>
      </c>
      <c r="BO751">
        <f>IF(738&lt;$U$9,MOD(INT(738/$U$8),$U$7)+1,1)</f>
        <v/>
      </c>
      <c r="BP751">
        <f>IF(738&lt;$U$9,MOD(738,$U$8)+1,1)</f>
        <v/>
      </c>
      <c r="BQ751">
        <f>IF(738&lt;$U$9,SUMPRODUCT(($D$10:$L$10&lt;&gt;"")*(($D$9:$L$9+INT(($S$12:$AA$12+INDEX($AJ$13:$AR$162,BN751,0)+INDEX($AT$13:$BB$162,BO751,0)+INDEX($BD$13:$BL$162,BP751,0))/100))&gt;=$D$10:$L$10)),0)</f>
        <v/>
      </c>
      <c r="BR751">
        <f>IF(738&lt;$U$9,SUMPRODUCT(($D$10:$L$10&lt;&gt;"")*(($D$10:$L$10-($D$9:$L$9+INT(($S$12:$AA$12+INDEX($AJ$13:$AR$162,BN751,0)+INDEX($AT$13:$BB$162,BO751,0)+INDEX($BD$13:$BL$162,BP751,0))/100)))&gt;0)*($D$10:$L$10-($D$9:$L$9+INT(($S$12:$AA$12+INDEX($AJ$13:$AR$162,BN751,0)+INDEX($AT$13:$BB$162,BO751,0)+INDEX($BD$13:$BL$162,BP751,0))/100)))),0)</f>
        <v/>
      </c>
      <c r="BS751">
        <f>IF(738&lt;$U$9,SUMPRODUCT(($D$9:$L$9+INT(($S$12:$AA$12+INDEX($AJ$13:$AR$162,BN751,0)+INDEX($AT$13:$BB$162,BO751,0)+INDEX($BD$13:$BL$162,BP751,0))/100))),0)</f>
        <v/>
      </c>
      <c r="BT751">
        <f>IF(AND(738&lt;$U$9,$W$5),BQ751*1000000-MIN(BR751,999)*1000+BS751-738/100000,-1000000000-738)</f>
        <v/>
      </c>
    </row>
    <row r="752">
      <c r="BN752">
        <f>IF(739&lt;$U$9,INT(739/($U$7*$U$8))+1,1)</f>
        <v/>
      </c>
      <c r="BO752">
        <f>IF(739&lt;$U$9,MOD(INT(739/$U$8),$U$7)+1,1)</f>
        <v/>
      </c>
      <c r="BP752">
        <f>IF(739&lt;$U$9,MOD(739,$U$8)+1,1)</f>
        <v/>
      </c>
      <c r="BQ752">
        <f>IF(739&lt;$U$9,SUMPRODUCT(($D$10:$L$10&lt;&gt;"")*(($D$9:$L$9+INT(($S$12:$AA$12+INDEX($AJ$13:$AR$162,BN752,0)+INDEX($AT$13:$BB$162,BO752,0)+INDEX($BD$13:$BL$162,BP752,0))/100))&gt;=$D$10:$L$10)),0)</f>
        <v/>
      </c>
      <c r="BR752">
        <f>IF(739&lt;$U$9,SUMPRODUCT(($D$10:$L$10&lt;&gt;"")*(($D$10:$L$10-($D$9:$L$9+INT(($S$12:$AA$12+INDEX($AJ$13:$AR$162,BN752,0)+INDEX($AT$13:$BB$162,BO752,0)+INDEX($BD$13:$BL$162,BP752,0))/100)))&gt;0)*($D$10:$L$10-($D$9:$L$9+INT(($S$12:$AA$12+INDEX($AJ$13:$AR$162,BN752,0)+INDEX($AT$13:$BB$162,BO752,0)+INDEX($BD$13:$BL$162,BP752,0))/100)))),0)</f>
        <v/>
      </c>
      <c r="BS752">
        <f>IF(739&lt;$U$9,SUMPRODUCT(($D$9:$L$9+INT(($S$12:$AA$12+INDEX($AJ$13:$AR$162,BN752,0)+INDEX($AT$13:$BB$162,BO752,0)+INDEX($BD$13:$BL$162,BP752,0))/100))),0)</f>
        <v/>
      </c>
      <c r="BT752">
        <f>IF(AND(739&lt;$U$9,$W$5),BQ752*1000000-MIN(BR752,999)*1000+BS752-739/100000,-1000000000-739)</f>
        <v/>
      </c>
    </row>
    <row r="753">
      <c r="BN753">
        <f>IF(740&lt;$U$9,INT(740/($U$7*$U$8))+1,1)</f>
        <v/>
      </c>
      <c r="BO753">
        <f>IF(740&lt;$U$9,MOD(INT(740/$U$8),$U$7)+1,1)</f>
        <v/>
      </c>
      <c r="BP753">
        <f>IF(740&lt;$U$9,MOD(740,$U$8)+1,1)</f>
        <v/>
      </c>
      <c r="BQ753">
        <f>IF(740&lt;$U$9,SUMPRODUCT(($D$10:$L$10&lt;&gt;"")*(($D$9:$L$9+INT(($S$12:$AA$12+INDEX($AJ$13:$AR$162,BN753,0)+INDEX($AT$13:$BB$162,BO753,0)+INDEX($BD$13:$BL$162,BP753,0))/100))&gt;=$D$10:$L$10)),0)</f>
        <v/>
      </c>
      <c r="BR753">
        <f>IF(740&lt;$U$9,SUMPRODUCT(($D$10:$L$10&lt;&gt;"")*(($D$10:$L$10-($D$9:$L$9+INT(($S$12:$AA$12+INDEX($AJ$13:$AR$162,BN753,0)+INDEX($AT$13:$BB$162,BO753,0)+INDEX($BD$13:$BL$162,BP753,0))/100)))&gt;0)*($D$10:$L$10-($D$9:$L$9+INT(($S$12:$AA$12+INDEX($AJ$13:$AR$162,BN753,0)+INDEX($AT$13:$BB$162,BO753,0)+INDEX($BD$13:$BL$162,BP753,0))/100)))),0)</f>
        <v/>
      </c>
      <c r="BS753">
        <f>IF(740&lt;$U$9,SUMPRODUCT(($D$9:$L$9+INT(($S$12:$AA$12+INDEX($AJ$13:$AR$162,BN753,0)+INDEX($AT$13:$BB$162,BO753,0)+INDEX($BD$13:$BL$162,BP753,0))/100))),0)</f>
        <v/>
      </c>
      <c r="BT753">
        <f>IF(AND(740&lt;$U$9,$W$5),BQ753*1000000-MIN(BR753,999)*1000+BS753-740/100000,-1000000000-740)</f>
        <v/>
      </c>
    </row>
    <row r="754">
      <c r="BN754">
        <f>IF(741&lt;$U$9,INT(741/($U$7*$U$8))+1,1)</f>
        <v/>
      </c>
      <c r="BO754">
        <f>IF(741&lt;$U$9,MOD(INT(741/$U$8),$U$7)+1,1)</f>
        <v/>
      </c>
      <c r="BP754">
        <f>IF(741&lt;$U$9,MOD(741,$U$8)+1,1)</f>
        <v/>
      </c>
      <c r="BQ754">
        <f>IF(741&lt;$U$9,SUMPRODUCT(($D$10:$L$10&lt;&gt;"")*(($D$9:$L$9+INT(($S$12:$AA$12+INDEX($AJ$13:$AR$162,BN754,0)+INDEX($AT$13:$BB$162,BO754,0)+INDEX($BD$13:$BL$162,BP754,0))/100))&gt;=$D$10:$L$10)),0)</f>
        <v/>
      </c>
      <c r="BR754">
        <f>IF(741&lt;$U$9,SUMPRODUCT(($D$10:$L$10&lt;&gt;"")*(($D$10:$L$10-($D$9:$L$9+INT(($S$12:$AA$12+INDEX($AJ$13:$AR$162,BN754,0)+INDEX($AT$13:$BB$162,BO754,0)+INDEX($BD$13:$BL$162,BP754,0))/100)))&gt;0)*($D$10:$L$10-($D$9:$L$9+INT(($S$12:$AA$12+INDEX($AJ$13:$AR$162,BN754,0)+INDEX($AT$13:$BB$162,BO754,0)+INDEX($BD$13:$BL$162,BP754,0))/100)))),0)</f>
        <v/>
      </c>
      <c r="BS754">
        <f>IF(741&lt;$U$9,SUMPRODUCT(($D$9:$L$9+INT(($S$12:$AA$12+INDEX($AJ$13:$AR$162,BN754,0)+INDEX($AT$13:$BB$162,BO754,0)+INDEX($BD$13:$BL$162,BP754,0))/100))),0)</f>
        <v/>
      </c>
      <c r="BT754">
        <f>IF(AND(741&lt;$U$9,$W$5),BQ754*1000000-MIN(BR754,999)*1000+BS754-741/100000,-1000000000-741)</f>
        <v/>
      </c>
    </row>
    <row r="755">
      <c r="BN755">
        <f>IF(742&lt;$U$9,INT(742/($U$7*$U$8))+1,1)</f>
        <v/>
      </c>
      <c r="BO755">
        <f>IF(742&lt;$U$9,MOD(INT(742/$U$8),$U$7)+1,1)</f>
        <v/>
      </c>
      <c r="BP755">
        <f>IF(742&lt;$U$9,MOD(742,$U$8)+1,1)</f>
        <v/>
      </c>
      <c r="BQ755">
        <f>IF(742&lt;$U$9,SUMPRODUCT(($D$10:$L$10&lt;&gt;"")*(($D$9:$L$9+INT(($S$12:$AA$12+INDEX($AJ$13:$AR$162,BN755,0)+INDEX($AT$13:$BB$162,BO755,0)+INDEX($BD$13:$BL$162,BP755,0))/100))&gt;=$D$10:$L$10)),0)</f>
        <v/>
      </c>
      <c r="BR755">
        <f>IF(742&lt;$U$9,SUMPRODUCT(($D$10:$L$10&lt;&gt;"")*(($D$10:$L$10-($D$9:$L$9+INT(($S$12:$AA$12+INDEX($AJ$13:$AR$162,BN755,0)+INDEX($AT$13:$BB$162,BO755,0)+INDEX($BD$13:$BL$162,BP755,0))/100)))&gt;0)*($D$10:$L$10-($D$9:$L$9+INT(($S$12:$AA$12+INDEX($AJ$13:$AR$162,BN755,0)+INDEX($AT$13:$BB$162,BO755,0)+INDEX($BD$13:$BL$162,BP755,0))/100)))),0)</f>
        <v/>
      </c>
      <c r="BS755">
        <f>IF(742&lt;$U$9,SUMPRODUCT(($D$9:$L$9+INT(($S$12:$AA$12+INDEX($AJ$13:$AR$162,BN755,0)+INDEX($AT$13:$BB$162,BO755,0)+INDEX($BD$13:$BL$162,BP755,0))/100))),0)</f>
        <v/>
      </c>
      <c r="BT755">
        <f>IF(AND(742&lt;$U$9,$W$5),BQ755*1000000-MIN(BR755,999)*1000+BS755-742/100000,-1000000000-742)</f>
        <v/>
      </c>
    </row>
    <row r="756">
      <c r="BN756">
        <f>IF(743&lt;$U$9,INT(743/($U$7*$U$8))+1,1)</f>
        <v/>
      </c>
      <c r="BO756">
        <f>IF(743&lt;$U$9,MOD(INT(743/$U$8),$U$7)+1,1)</f>
        <v/>
      </c>
      <c r="BP756">
        <f>IF(743&lt;$U$9,MOD(743,$U$8)+1,1)</f>
        <v/>
      </c>
      <c r="BQ756">
        <f>IF(743&lt;$U$9,SUMPRODUCT(($D$10:$L$10&lt;&gt;"")*(($D$9:$L$9+INT(($S$12:$AA$12+INDEX($AJ$13:$AR$162,BN756,0)+INDEX($AT$13:$BB$162,BO756,0)+INDEX($BD$13:$BL$162,BP756,0))/100))&gt;=$D$10:$L$10)),0)</f>
        <v/>
      </c>
      <c r="BR756">
        <f>IF(743&lt;$U$9,SUMPRODUCT(($D$10:$L$10&lt;&gt;"")*(($D$10:$L$10-($D$9:$L$9+INT(($S$12:$AA$12+INDEX($AJ$13:$AR$162,BN756,0)+INDEX($AT$13:$BB$162,BO756,0)+INDEX($BD$13:$BL$162,BP756,0))/100)))&gt;0)*($D$10:$L$10-($D$9:$L$9+INT(($S$12:$AA$12+INDEX($AJ$13:$AR$162,BN756,0)+INDEX($AT$13:$BB$162,BO756,0)+INDEX($BD$13:$BL$162,BP756,0))/100)))),0)</f>
        <v/>
      </c>
      <c r="BS756">
        <f>IF(743&lt;$U$9,SUMPRODUCT(($D$9:$L$9+INT(($S$12:$AA$12+INDEX($AJ$13:$AR$162,BN756,0)+INDEX($AT$13:$BB$162,BO756,0)+INDEX($BD$13:$BL$162,BP756,0))/100))),0)</f>
        <v/>
      </c>
      <c r="BT756">
        <f>IF(AND(743&lt;$U$9,$W$5),BQ756*1000000-MIN(BR756,999)*1000+BS756-743/100000,-1000000000-743)</f>
        <v/>
      </c>
    </row>
    <row r="757">
      <c r="BN757">
        <f>IF(744&lt;$U$9,INT(744/($U$7*$U$8))+1,1)</f>
        <v/>
      </c>
      <c r="BO757">
        <f>IF(744&lt;$U$9,MOD(INT(744/$U$8),$U$7)+1,1)</f>
        <v/>
      </c>
      <c r="BP757">
        <f>IF(744&lt;$U$9,MOD(744,$U$8)+1,1)</f>
        <v/>
      </c>
      <c r="BQ757">
        <f>IF(744&lt;$U$9,SUMPRODUCT(($D$10:$L$10&lt;&gt;"")*(($D$9:$L$9+INT(($S$12:$AA$12+INDEX($AJ$13:$AR$162,BN757,0)+INDEX($AT$13:$BB$162,BO757,0)+INDEX($BD$13:$BL$162,BP757,0))/100))&gt;=$D$10:$L$10)),0)</f>
        <v/>
      </c>
      <c r="BR757">
        <f>IF(744&lt;$U$9,SUMPRODUCT(($D$10:$L$10&lt;&gt;"")*(($D$10:$L$10-($D$9:$L$9+INT(($S$12:$AA$12+INDEX($AJ$13:$AR$162,BN757,0)+INDEX($AT$13:$BB$162,BO757,0)+INDEX($BD$13:$BL$162,BP757,0))/100)))&gt;0)*($D$10:$L$10-($D$9:$L$9+INT(($S$12:$AA$12+INDEX($AJ$13:$AR$162,BN757,0)+INDEX($AT$13:$BB$162,BO757,0)+INDEX($BD$13:$BL$162,BP757,0))/100)))),0)</f>
        <v/>
      </c>
      <c r="BS757">
        <f>IF(744&lt;$U$9,SUMPRODUCT(($D$9:$L$9+INT(($S$12:$AA$12+INDEX($AJ$13:$AR$162,BN757,0)+INDEX($AT$13:$BB$162,BO757,0)+INDEX($BD$13:$BL$162,BP757,0))/100))),0)</f>
        <v/>
      </c>
      <c r="BT757">
        <f>IF(AND(744&lt;$U$9,$W$5),BQ757*1000000-MIN(BR757,999)*1000+BS757-744/100000,-1000000000-744)</f>
        <v/>
      </c>
    </row>
    <row r="758">
      <c r="BN758">
        <f>IF(745&lt;$U$9,INT(745/($U$7*$U$8))+1,1)</f>
        <v/>
      </c>
      <c r="BO758">
        <f>IF(745&lt;$U$9,MOD(INT(745/$U$8),$U$7)+1,1)</f>
        <v/>
      </c>
      <c r="BP758">
        <f>IF(745&lt;$U$9,MOD(745,$U$8)+1,1)</f>
        <v/>
      </c>
      <c r="BQ758">
        <f>IF(745&lt;$U$9,SUMPRODUCT(($D$10:$L$10&lt;&gt;"")*(($D$9:$L$9+INT(($S$12:$AA$12+INDEX($AJ$13:$AR$162,BN758,0)+INDEX($AT$13:$BB$162,BO758,0)+INDEX($BD$13:$BL$162,BP758,0))/100))&gt;=$D$10:$L$10)),0)</f>
        <v/>
      </c>
      <c r="BR758">
        <f>IF(745&lt;$U$9,SUMPRODUCT(($D$10:$L$10&lt;&gt;"")*(($D$10:$L$10-($D$9:$L$9+INT(($S$12:$AA$12+INDEX($AJ$13:$AR$162,BN758,0)+INDEX($AT$13:$BB$162,BO758,0)+INDEX($BD$13:$BL$162,BP758,0))/100)))&gt;0)*($D$10:$L$10-($D$9:$L$9+INT(($S$12:$AA$12+INDEX($AJ$13:$AR$162,BN758,0)+INDEX($AT$13:$BB$162,BO758,0)+INDEX($BD$13:$BL$162,BP758,0))/100)))),0)</f>
        <v/>
      </c>
      <c r="BS758">
        <f>IF(745&lt;$U$9,SUMPRODUCT(($D$9:$L$9+INT(($S$12:$AA$12+INDEX($AJ$13:$AR$162,BN758,0)+INDEX($AT$13:$BB$162,BO758,0)+INDEX($BD$13:$BL$162,BP758,0))/100))),0)</f>
        <v/>
      </c>
      <c r="BT758">
        <f>IF(AND(745&lt;$U$9,$W$5),BQ758*1000000-MIN(BR758,999)*1000+BS758-745/100000,-1000000000-745)</f>
        <v/>
      </c>
    </row>
    <row r="759">
      <c r="BN759">
        <f>IF(746&lt;$U$9,INT(746/($U$7*$U$8))+1,1)</f>
        <v/>
      </c>
      <c r="BO759">
        <f>IF(746&lt;$U$9,MOD(INT(746/$U$8),$U$7)+1,1)</f>
        <v/>
      </c>
      <c r="BP759">
        <f>IF(746&lt;$U$9,MOD(746,$U$8)+1,1)</f>
        <v/>
      </c>
      <c r="BQ759">
        <f>IF(746&lt;$U$9,SUMPRODUCT(($D$10:$L$10&lt;&gt;"")*(($D$9:$L$9+INT(($S$12:$AA$12+INDEX($AJ$13:$AR$162,BN759,0)+INDEX($AT$13:$BB$162,BO759,0)+INDEX($BD$13:$BL$162,BP759,0))/100))&gt;=$D$10:$L$10)),0)</f>
        <v/>
      </c>
      <c r="BR759">
        <f>IF(746&lt;$U$9,SUMPRODUCT(($D$10:$L$10&lt;&gt;"")*(($D$10:$L$10-($D$9:$L$9+INT(($S$12:$AA$12+INDEX($AJ$13:$AR$162,BN759,0)+INDEX($AT$13:$BB$162,BO759,0)+INDEX($BD$13:$BL$162,BP759,0))/100)))&gt;0)*($D$10:$L$10-($D$9:$L$9+INT(($S$12:$AA$12+INDEX($AJ$13:$AR$162,BN759,0)+INDEX($AT$13:$BB$162,BO759,0)+INDEX($BD$13:$BL$162,BP759,0))/100)))),0)</f>
        <v/>
      </c>
      <c r="BS759">
        <f>IF(746&lt;$U$9,SUMPRODUCT(($D$9:$L$9+INT(($S$12:$AA$12+INDEX($AJ$13:$AR$162,BN759,0)+INDEX($AT$13:$BB$162,BO759,0)+INDEX($BD$13:$BL$162,BP759,0))/100))),0)</f>
        <v/>
      </c>
      <c r="BT759">
        <f>IF(AND(746&lt;$U$9,$W$5),BQ759*1000000-MIN(BR759,999)*1000+BS759-746/100000,-1000000000-746)</f>
        <v/>
      </c>
    </row>
    <row r="760">
      <c r="BN760">
        <f>IF(747&lt;$U$9,INT(747/($U$7*$U$8))+1,1)</f>
        <v/>
      </c>
      <c r="BO760">
        <f>IF(747&lt;$U$9,MOD(INT(747/$U$8),$U$7)+1,1)</f>
        <v/>
      </c>
      <c r="BP760">
        <f>IF(747&lt;$U$9,MOD(747,$U$8)+1,1)</f>
        <v/>
      </c>
      <c r="BQ760">
        <f>IF(747&lt;$U$9,SUMPRODUCT(($D$10:$L$10&lt;&gt;"")*(($D$9:$L$9+INT(($S$12:$AA$12+INDEX($AJ$13:$AR$162,BN760,0)+INDEX($AT$13:$BB$162,BO760,0)+INDEX($BD$13:$BL$162,BP760,0))/100))&gt;=$D$10:$L$10)),0)</f>
        <v/>
      </c>
      <c r="BR760">
        <f>IF(747&lt;$U$9,SUMPRODUCT(($D$10:$L$10&lt;&gt;"")*(($D$10:$L$10-($D$9:$L$9+INT(($S$12:$AA$12+INDEX($AJ$13:$AR$162,BN760,0)+INDEX($AT$13:$BB$162,BO760,0)+INDEX($BD$13:$BL$162,BP760,0))/100)))&gt;0)*($D$10:$L$10-($D$9:$L$9+INT(($S$12:$AA$12+INDEX($AJ$13:$AR$162,BN760,0)+INDEX($AT$13:$BB$162,BO760,0)+INDEX($BD$13:$BL$162,BP760,0))/100)))),0)</f>
        <v/>
      </c>
      <c r="BS760">
        <f>IF(747&lt;$U$9,SUMPRODUCT(($D$9:$L$9+INT(($S$12:$AA$12+INDEX($AJ$13:$AR$162,BN760,0)+INDEX($AT$13:$BB$162,BO760,0)+INDEX($BD$13:$BL$162,BP760,0))/100))),0)</f>
        <v/>
      </c>
      <c r="BT760">
        <f>IF(AND(747&lt;$U$9,$W$5),BQ760*1000000-MIN(BR760,999)*1000+BS760-747/100000,-1000000000-747)</f>
        <v/>
      </c>
    </row>
    <row r="761">
      <c r="BN761">
        <f>IF(748&lt;$U$9,INT(748/($U$7*$U$8))+1,1)</f>
        <v/>
      </c>
      <c r="BO761">
        <f>IF(748&lt;$U$9,MOD(INT(748/$U$8),$U$7)+1,1)</f>
        <v/>
      </c>
      <c r="BP761">
        <f>IF(748&lt;$U$9,MOD(748,$U$8)+1,1)</f>
        <v/>
      </c>
      <c r="BQ761">
        <f>IF(748&lt;$U$9,SUMPRODUCT(($D$10:$L$10&lt;&gt;"")*(($D$9:$L$9+INT(($S$12:$AA$12+INDEX($AJ$13:$AR$162,BN761,0)+INDEX($AT$13:$BB$162,BO761,0)+INDEX($BD$13:$BL$162,BP761,0))/100))&gt;=$D$10:$L$10)),0)</f>
        <v/>
      </c>
      <c r="BR761">
        <f>IF(748&lt;$U$9,SUMPRODUCT(($D$10:$L$10&lt;&gt;"")*(($D$10:$L$10-($D$9:$L$9+INT(($S$12:$AA$12+INDEX($AJ$13:$AR$162,BN761,0)+INDEX($AT$13:$BB$162,BO761,0)+INDEX($BD$13:$BL$162,BP761,0))/100)))&gt;0)*($D$10:$L$10-($D$9:$L$9+INT(($S$12:$AA$12+INDEX($AJ$13:$AR$162,BN761,0)+INDEX($AT$13:$BB$162,BO761,0)+INDEX($BD$13:$BL$162,BP761,0))/100)))),0)</f>
        <v/>
      </c>
      <c r="BS761">
        <f>IF(748&lt;$U$9,SUMPRODUCT(($D$9:$L$9+INT(($S$12:$AA$12+INDEX($AJ$13:$AR$162,BN761,0)+INDEX($AT$13:$BB$162,BO761,0)+INDEX($BD$13:$BL$162,BP761,0))/100))),0)</f>
        <v/>
      </c>
      <c r="BT761">
        <f>IF(AND(748&lt;$U$9,$W$5),BQ761*1000000-MIN(BR761,999)*1000+BS761-748/100000,-1000000000-748)</f>
        <v/>
      </c>
    </row>
    <row r="762">
      <c r="BN762">
        <f>IF(749&lt;$U$9,INT(749/($U$7*$U$8))+1,1)</f>
        <v/>
      </c>
      <c r="BO762">
        <f>IF(749&lt;$U$9,MOD(INT(749/$U$8),$U$7)+1,1)</f>
        <v/>
      </c>
      <c r="BP762">
        <f>IF(749&lt;$U$9,MOD(749,$U$8)+1,1)</f>
        <v/>
      </c>
      <c r="BQ762">
        <f>IF(749&lt;$U$9,SUMPRODUCT(($D$10:$L$10&lt;&gt;"")*(($D$9:$L$9+INT(($S$12:$AA$12+INDEX($AJ$13:$AR$162,BN762,0)+INDEX($AT$13:$BB$162,BO762,0)+INDEX($BD$13:$BL$162,BP762,0))/100))&gt;=$D$10:$L$10)),0)</f>
        <v/>
      </c>
      <c r="BR762">
        <f>IF(749&lt;$U$9,SUMPRODUCT(($D$10:$L$10&lt;&gt;"")*(($D$10:$L$10-($D$9:$L$9+INT(($S$12:$AA$12+INDEX($AJ$13:$AR$162,BN762,0)+INDEX($AT$13:$BB$162,BO762,0)+INDEX($BD$13:$BL$162,BP762,0))/100)))&gt;0)*($D$10:$L$10-($D$9:$L$9+INT(($S$12:$AA$12+INDEX($AJ$13:$AR$162,BN762,0)+INDEX($AT$13:$BB$162,BO762,0)+INDEX($BD$13:$BL$162,BP762,0))/100)))),0)</f>
        <v/>
      </c>
      <c r="BS762">
        <f>IF(749&lt;$U$9,SUMPRODUCT(($D$9:$L$9+INT(($S$12:$AA$12+INDEX($AJ$13:$AR$162,BN762,0)+INDEX($AT$13:$BB$162,BO762,0)+INDEX($BD$13:$BL$162,BP762,0))/100))),0)</f>
        <v/>
      </c>
      <c r="BT762">
        <f>IF(AND(749&lt;$U$9,$W$5),BQ762*1000000-MIN(BR762,999)*1000+BS762-749/100000,-1000000000-749)</f>
        <v/>
      </c>
    </row>
    <row r="763">
      <c r="BN763">
        <f>IF(750&lt;$U$9,INT(750/($U$7*$U$8))+1,1)</f>
        <v/>
      </c>
      <c r="BO763">
        <f>IF(750&lt;$U$9,MOD(INT(750/$U$8),$U$7)+1,1)</f>
        <v/>
      </c>
      <c r="BP763">
        <f>IF(750&lt;$U$9,MOD(750,$U$8)+1,1)</f>
        <v/>
      </c>
      <c r="BQ763">
        <f>IF(750&lt;$U$9,SUMPRODUCT(($D$10:$L$10&lt;&gt;"")*(($D$9:$L$9+INT(($S$12:$AA$12+INDEX($AJ$13:$AR$162,BN763,0)+INDEX($AT$13:$BB$162,BO763,0)+INDEX($BD$13:$BL$162,BP763,0))/100))&gt;=$D$10:$L$10)),0)</f>
        <v/>
      </c>
      <c r="BR763">
        <f>IF(750&lt;$U$9,SUMPRODUCT(($D$10:$L$10&lt;&gt;"")*(($D$10:$L$10-($D$9:$L$9+INT(($S$12:$AA$12+INDEX($AJ$13:$AR$162,BN763,0)+INDEX($AT$13:$BB$162,BO763,0)+INDEX($BD$13:$BL$162,BP763,0))/100)))&gt;0)*($D$10:$L$10-($D$9:$L$9+INT(($S$12:$AA$12+INDEX($AJ$13:$AR$162,BN763,0)+INDEX($AT$13:$BB$162,BO763,0)+INDEX($BD$13:$BL$162,BP763,0))/100)))),0)</f>
        <v/>
      </c>
      <c r="BS763">
        <f>IF(750&lt;$U$9,SUMPRODUCT(($D$9:$L$9+INT(($S$12:$AA$12+INDEX($AJ$13:$AR$162,BN763,0)+INDEX($AT$13:$BB$162,BO763,0)+INDEX($BD$13:$BL$162,BP763,0))/100))),0)</f>
        <v/>
      </c>
      <c r="BT763">
        <f>IF(AND(750&lt;$U$9,$W$5),BQ763*1000000-MIN(BR763,999)*1000+BS763-750/100000,-1000000000-750)</f>
        <v/>
      </c>
    </row>
    <row r="764">
      <c r="BN764">
        <f>IF(751&lt;$U$9,INT(751/($U$7*$U$8))+1,1)</f>
        <v/>
      </c>
      <c r="BO764">
        <f>IF(751&lt;$U$9,MOD(INT(751/$U$8),$U$7)+1,1)</f>
        <v/>
      </c>
      <c r="BP764">
        <f>IF(751&lt;$U$9,MOD(751,$U$8)+1,1)</f>
        <v/>
      </c>
      <c r="BQ764">
        <f>IF(751&lt;$U$9,SUMPRODUCT(($D$10:$L$10&lt;&gt;"")*(($D$9:$L$9+INT(($S$12:$AA$12+INDEX($AJ$13:$AR$162,BN764,0)+INDEX($AT$13:$BB$162,BO764,0)+INDEX($BD$13:$BL$162,BP764,0))/100))&gt;=$D$10:$L$10)),0)</f>
        <v/>
      </c>
      <c r="BR764">
        <f>IF(751&lt;$U$9,SUMPRODUCT(($D$10:$L$10&lt;&gt;"")*(($D$10:$L$10-($D$9:$L$9+INT(($S$12:$AA$12+INDEX($AJ$13:$AR$162,BN764,0)+INDEX($AT$13:$BB$162,BO764,0)+INDEX($BD$13:$BL$162,BP764,0))/100)))&gt;0)*($D$10:$L$10-($D$9:$L$9+INT(($S$12:$AA$12+INDEX($AJ$13:$AR$162,BN764,0)+INDEX($AT$13:$BB$162,BO764,0)+INDEX($BD$13:$BL$162,BP764,0))/100)))),0)</f>
        <v/>
      </c>
      <c r="BS764">
        <f>IF(751&lt;$U$9,SUMPRODUCT(($D$9:$L$9+INT(($S$12:$AA$12+INDEX($AJ$13:$AR$162,BN764,0)+INDEX($AT$13:$BB$162,BO764,0)+INDEX($BD$13:$BL$162,BP764,0))/100))),0)</f>
        <v/>
      </c>
      <c r="BT764">
        <f>IF(AND(751&lt;$U$9,$W$5),BQ764*1000000-MIN(BR764,999)*1000+BS764-751/100000,-1000000000-751)</f>
        <v/>
      </c>
    </row>
    <row r="765">
      <c r="BN765">
        <f>IF(752&lt;$U$9,INT(752/($U$7*$U$8))+1,1)</f>
        <v/>
      </c>
      <c r="BO765">
        <f>IF(752&lt;$U$9,MOD(INT(752/$U$8),$U$7)+1,1)</f>
        <v/>
      </c>
      <c r="BP765">
        <f>IF(752&lt;$U$9,MOD(752,$U$8)+1,1)</f>
        <v/>
      </c>
      <c r="BQ765">
        <f>IF(752&lt;$U$9,SUMPRODUCT(($D$10:$L$10&lt;&gt;"")*(($D$9:$L$9+INT(($S$12:$AA$12+INDEX($AJ$13:$AR$162,BN765,0)+INDEX($AT$13:$BB$162,BO765,0)+INDEX($BD$13:$BL$162,BP765,0))/100))&gt;=$D$10:$L$10)),0)</f>
        <v/>
      </c>
      <c r="BR765">
        <f>IF(752&lt;$U$9,SUMPRODUCT(($D$10:$L$10&lt;&gt;"")*(($D$10:$L$10-($D$9:$L$9+INT(($S$12:$AA$12+INDEX($AJ$13:$AR$162,BN765,0)+INDEX($AT$13:$BB$162,BO765,0)+INDEX($BD$13:$BL$162,BP765,0))/100)))&gt;0)*($D$10:$L$10-($D$9:$L$9+INT(($S$12:$AA$12+INDEX($AJ$13:$AR$162,BN765,0)+INDEX($AT$13:$BB$162,BO765,0)+INDEX($BD$13:$BL$162,BP765,0))/100)))),0)</f>
        <v/>
      </c>
      <c r="BS765">
        <f>IF(752&lt;$U$9,SUMPRODUCT(($D$9:$L$9+INT(($S$12:$AA$12+INDEX($AJ$13:$AR$162,BN765,0)+INDEX($AT$13:$BB$162,BO765,0)+INDEX($BD$13:$BL$162,BP765,0))/100))),0)</f>
        <v/>
      </c>
      <c r="BT765">
        <f>IF(AND(752&lt;$U$9,$W$5),BQ765*1000000-MIN(BR765,999)*1000+BS765-752/100000,-1000000000-752)</f>
        <v/>
      </c>
    </row>
    <row r="766">
      <c r="BN766">
        <f>IF(753&lt;$U$9,INT(753/($U$7*$U$8))+1,1)</f>
        <v/>
      </c>
      <c r="BO766">
        <f>IF(753&lt;$U$9,MOD(INT(753/$U$8),$U$7)+1,1)</f>
        <v/>
      </c>
      <c r="BP766">
        <f>IF(753&lt;$U$9,MOD(753,$U$8)+1,1)</f>
        <v/>
      </c>
      <c r="BQ766">
        <f>IF(753&lt;$U$9,SUMPRODUCT(($D$10:$L$10&lt;&gt;"")*(($D$9:$L$9+INT(($S$12:$AA$12+INDEX($AJ$13:$AR$162,BN766,0)+INDEX($AT$13:$BB$162,BO766,0)+INDEX($BD$13:$BL$162,BP766,0))/100))&gt;=$D$10:$L$10)),0)</f>
        <v/>
      </c>
      <c r="BR766">
        <f>IF(753&lt;$U$9,SUMPRODUCT(($D$10:$L$10&lt;&gt;"")*(($D$10:$L$10-($D$9:$L$9+INT(($S$12:$AA$12+INDEX($AJ$13:$AR$162,BN766,0)+INDEX($AT$13:$BB$162,BO766,0)+INDEX($BD$13:$BL$162,BP766,0))/100)))&gt;0)*($D$10:$L$10-($D$9:$L$9+INT(($S$12:$AA$12+INDEX($AJ$13:$AR$162,BN766,0)+INDEX($AT$13:$BB$162,BO766,0)+INDEX($BD$13:$BL$162,BP766,0))/100)))),0)</f>
        <v/>
      </c>
      <c r="BS766">
        <f>IF(753&lt;$U$9,SUMPRODUCT(($D$9:$L$9+INT(($S$12:$AA$12+INDEX($AJ$13:$AR$162,BN766,0)+INDEX($AT$13:$BB$162,BO766,0)+INDEX($BD$13:$BL$162,BP766,0))/100))),0)</f>
        <v/>
      </c>
      <c r="BT766">
        <f>IF(AND(753&lt;$U$9,$W$5),BQ766*1000000-MIN(BR766,999)*1000+BS766-753/100000,-1000000000-753)</f>
        <v/>
      </c>
    </row>
    <row r="767">
      <c r="BN767">
        <f>IF(754&lt;$U$9,INT(754/($U$7*$U$8))+1,1)</f>
        <v/>
      </c>
      <c r="BO767">
        <f>IF(754&lt;$U$9,MOD(INT(754/$U$8),$U$7)+1,1)</f>
        <v/>
      </c>
      <c r="BP767">
        <f>IF(754&lt;$U$9,MOD(754,$U$8)+1,1)</f>
        <v/>
      </c>
      <c r="BQ767">
        <f>IF(754&lt;$U$9,SUMPRODUCT(($D$10:$L$10&lt;&gt;"")*(($D$9:$L$9+INT(($S$12:$AA$12+INDEX($AJ$13:$AR$162,BN767,0)+INDEX($AT$13:$BB$162,BO767,0)+INDEX($BD$13:$BL$162,BP767,0))/100))&gt;=$D$10:$L$10)),0)</f>
        <v/>
      </c>
      <c r="BR767">
        <f>IF(754&lt;$U$9,SUMPRODUCT(($D$10:$L$10&lt;&gt;"")*(($D$10:$L$10-($D$9:$L$9+INT(($S$12:$AA$12+INDEX($AJ$13:$AR$162,BN767,0)+INDEX($AT$13:$BB$162,BO767,0)+INDEX($BD$13:$BL$162,BP767,0))/100)))&gt;0)*($D$10:$L$10-($D$9:$L$9+INT(($S$12:$AA$12+INDEX($AJ$13:$AR$162,BN767,0)+INDEX($AT$13:$BB$162,BO767,0)+INDEX($BD$13:$BL$162,BP767,0))/100)))),0)</f>
        <v/>
      </c>
      <c r="BS767">
        <f>IF(754&lt;$U$9,SUMPRODUCT(($D$9:$L$9+INT(($S$12:$AA$12+INDEX($AJ$13:$AR$162,BN767,0)+INDEX($AT$13:$BB$162,BO767,0)+INDEX($BD$13:$BL$162,BP767,0))/100))),0)</f>
        <v/>
      </c>
      <c r="BT767">
        <f>IF(AND(754&lt;$U$9,$W$5),BQ767*1000000-MIN(BR767,999)*1000+BS767-754/100000,-1000000000-754)</f>
        <v/>
      </c>
    </row>
    <row r="768">
      <c r="BN768">
        <f>IF(755&lt;$U$9,INT(755/($U$7*$U$8))+1,1)</f>
        <v/>
      </c>
      <c r="BO768">
        <f>IF(755&lt;$U$9,MOD(INT(755/$U$8),$U$7)+1,1)</f>
        <v/>
      </c>
      <c r="BP768">
        <f>IF(755&lt;$U$9,MOD(755,$U$8)+1,1)</f>
        <v/>
      </c>
      <c r="BQ768">
        <f>IF(755&lt;$U$9,SUMPRODUCT(($D$10:$L$10&lt;&gt;"")*(($D$9:$L$9+INT(($S$12:$AA$12+INDEX($AJ$13:$AR$162,BN768,0)+INDEX($AT$13:$BB$162,BO768,0)+INDEX($BD$13:$BL$162,BP768,0))/100))&gt;=$D$10:$L$10)),0)</f>
        <v/>
      </c>
      <c r="BR768">
        <f>IF(755&lt;$U$9,SUMPRODUCT(($D$10:$L$10&lt;&gt;"")*(($D$10:$L$10-($D$9:$L$9+INT(($S$12:$AA$12+INDEX($AJ$13:$AR$162,BN768,0)+INDEX($AT$13:$BB$162,BO768,0)+INDEX($BD$13:$BL$162,BP768,0))/100)))&gt;0)*($D$10:$L$10-($D$9:$L$9+INT(($S$12:$AA$12+INDEX($AJ$13:$AR$162,BN768,0)+INDEX($AT$13:$BB$162,BO768,0)+INDEX($BD$13:$BL$162,BP768,0))/100)))),0)</f>
        <v/>
      </c>
      <c r="BS768">
        <f>IF(755&lt;$U$9,SUMPRODUCT(($D$9:$L$9+INT(($S$12:$AA$12+INDEX($AJ$13:$AR$162,BN768,0)+INDEX($AT$13:$BB$162,BO768,0)+INDEX($BD$13:$BL$162,BP768,0))/100))),0)</f>
        <v/>
      </c>
      <c r="BT768">
        <f>IF(AND(755&lt;$U$9,$W$5),BQ768*1000000-MIN(BR768,999)*1000+BS768-755/100000,-1000000000-755)</f>
        <v/>
      </c>
    </row>
    <row r="769">
      <c r="BN769">
        <f>IF(756&lt;$U$9,INT(756/($U$7*$U$8))+1,1)</f>
        <v/>
      </c>
      <c r="BO769">
        <f>IF(756&lt;$U$9,MOD(INT(756/$U$8),$U$7)+1,1)</f>
        <v/>
      </c>
      <c r="BP769">
        <f>IF(756&lt;$U$9,MOD(756,$U$8)+1,1)</f>
        <v/>
      </c>
      <c r="BQ769">
        <f>IF(756&lt;$U$9,SUMPRODUCT(($D$10:$L$10&lt;&gt;"")*(($D$9:$L$9+INT(($S$12:$AA$12+INDEX($AJ$13:$AR$162,BN769,0)+INDEX($AT$13:$BB$162,BO769,0)+INDEX($BD$13:$BL$162,BP769,0))/100))&gt;=$D$10:$L$10)),0)</f>
        <v/>
      </c>
      <c r="BR769">
        <f>IF(756&lt;$U$9,SUMPRODUCT(($D$10:$L$10&lt;&gt;"")*(($D$10:$L$10-($D$9:$L$9+INT(($S$12:$AA$12+INDEX($AJ$13:$AR$162,BN769,0)+INDEX($AT$13:$BB$162,BO769,0)+INDEX($BD$13:$BL$162,BP769,0))/100)))&gt;0)*($D$10:$L$10-($D$9:$L$9+INT(($S$12:$AA$12+INDEX($AJ$13:$AR$162,BN769,0)+INDEX($AT$13:$BB$162,BO769,0)+INDEX($BD$13:$BL$162,BP769,0))/100)))),0)</f>
        <v/>
      </c>
      <c r="BS769">
        <f>IF(756&lt;$U$9,SUMPRODUCT(($D$9:$L$9+INT(($S$12:$AA$12+INDEX($AJ$13:$AR$162,BN769,0)+INDEX($AT$13:$BB$162,BO769,0)+INDEX($BD$13:$BL$162,BP769,0))/100))),0)</f>
        <v/>
      </c>
      <c r="BT769">
        <f>IF(AND(756&lt;$U$9,$W$5),BQ769*1000000-MIN(BR769,999)*1000+BS769-756/100000,-1000000000-756)</f>
        <v/>
      </c>
    </row>
    <row r="770">
      <c r="BN770">
        <f>IF(757&lt;$U$9,INT(757/($U$7*$U$8))+1,1)</f>
        <v/>
      </c>
      <c r="BO770">
        <f>IF(757&lt;$U$9,MOD(INT(757/$U$8),$U$7)+1,1)</f>
        <v/>
      </c>
      <c r="BP770">
        <f>IF(757&lt;$U$9,MOD(757,$U$8)+1,1)</f>
        <v/>
      </c>
      <c r="BQ770">
        <f>IF(757&lt;$U$9,SUMPRODUCT(($D$10:$L$10&lt;&gt;"")*(($D$9:$L$9+INT(($S$12:$AA$12+INDEX($AJ$13:$AR$162,BN770,0)+INDEX($AT$13:$BB$162,BO770,0)+INDEX($BD$13:$BL$162,BP770,0))/100))&gt;=$D$10:$L$10)),0)</f>
        <v/>
      </c>
      <c r="BR770">
        <f>IF(757&lt;$U$9,SUMPRODUCT(($D$10:$L$10&lt;&gt;"")*(($D$10:$L$10-($D$9:$L$9+INT(($S$12:$AA$12+INDEX($AJ$13:$AR$162,BN770,0)+INDEX($AT$13:$BB$162,BO770,0)+INDEX($BD$13:$BL$162,BP770,0))/100)))&gt;0)*($D$10:$L$10-($D$9:$L$9+INT(($S$12:$AA$12+INDEX($AJ$13:$AR$162,BN770,0)+INDEX($AT$13:$BB$162,BO770,0)+INDEX($BD$13:$BL$162,BP770,0))/100)))),0)</f>
        <v/>
      </c>
      <c r="BS770">
        <f>IF(757&lt;$U$9,SUMPRODUCT(($D$9:$L$9+INT(($S$12:$AA$12+INDEX($AJ$13:$AR$162,BN770,0)+INDEX($AT$13:$BB$162,BO770,0)+INDEX($BD$13:$BL$162,BP770,0))/100))),0)</f>
        <v/>
      </c>
      <c r="BT770">
        <f>IF(AND(757&lt;$U$9,$W$5),BQ770*1000000-MIN(BR770,999)*1000+BS770-757/100000,-1000000000-757)</f>
        <v/>
      </c>
    </row>
    <row r="771">
      <c r="BN771">
        <f>IF(758&lt;$U$9,INT(758/($U$7*$U$8))+1,1)</f>
        <v/>
      </c>
      <c r="BO771">
        <f>IF(758&lt;$U$9,MOD(INT(758/$U$8),$U$7)+1,1)</f>
        <v/>
      </c>
      <c r="BP771">
        <f>IF(758&lt;$U$9,MOD(758,$U$8)+1,1)</f>
        <v/>
      </c>
      <c r="BQ771">
        <f>IF(758&lt;$U$9,SUMPRODUCT(($D$10:$L$10&lt;&gt;"")*(($D$9:$L$9+INT(($S$12:$AA$12+INDEX($AJ$13:$AR$162,BN771,0)+INDEX($AT$13:$BB$162,BO771,0)+INDEX($BD$13:$BL$162,BP771,0))/100))&gt;=$D$10:$L$10)),0)</f>
        <v/>
      </c>
      <c r="BR771">
        <f>IF(758&lt;$U$9,SUMPRODUCT(($D$10:$L$10&lt;&gt;"")*(($D$10:$L$10-($D$9:$L$9+INT(($S$12:$AA$12+INDEX($AJ$13:$AR$162,BN771,0)+INDEX($AT$13:$BB$162,BO771,0)+INDEX($BD$13:$BL$162,BP771,0))/100)))&gt;0)*($D$10:$L$10-($D$9:$L$9+INT(($S$12:$AA$12+INDEX($AJ$13:$AR$162,BN771,0)+INDEX($AT$13:$BB$162,BO771,0)+INDEX($BD$13:$BL$162,BP771,0))/100)))),0)</f>
        <v/>
      </c>
      <c r="BS771">
        <f>IF(758&lt;$U$9,SUMPRODUCT(($D$9:$L$9+INT(($S$12:$AA$12+INDEX($AJ$13:$AR$162,BN771,0)+INDEX($AT$13:$BB$162,BO771,0)+INDEX($BD$13:$BL$162,BP771,0))/100))),0)</f>
        <v/>
      </c>
      <c r="BT771">
        <f>IF(AND(758&lt;$U$9,$W$5),BQ771*1000000-MIN(BR771,999)*1000+BS771-758/100000,-1000000000-758)</f>
        <v/>
      </c>
    </row>
    <row r="772">
      <c r="BN772">
        <f>IF(759&lt;$U$9,INT(759/($U$7*$U$8))+1,1)</f>
        <v/>
      </c>
      <c r="BO772">
        <f>IF(759&lt;$U$9,MOD(INT(759/$U$8),$U$7)+1,1)</f>
        <v/>
      </c>
      <c r="BP772">
        <f>IF(759&lt;$U$9,MOD(759,$U$8)+1,1)</f>
        <v/>
      </c>
      <c r="BQ772">
        <f>IF(759&lt;$U$9,SUMPRODUCT(($D$10:$L$10&lt;&gt;"")*(($D$9:$L$9+INT(($S$12:$AA$12+INDEX($AJ$13:$AR$162,BN772,0)+INDEX($AT$13:$BB$162,BO772,0)+INDEX($BD$13:$BL$162,BP772,0))/100))&gt;=$D$10:$L$10)),0)</f>
        <v/>
      </c>
      <c r="BR772">
        <f>IF(759&lt;$U$9,SUMPRODUCT(($D$10:$L$10&lt;&gt;"")*(($D$10:$L$10-($D$9:$L$9+INT(($S$12:$AA$12+INDEX($AJ$13:$AR$162,BN772,0)+INDEX($AT$13:$BB$162,BO772,0)+INDEX($BD$13:$BL$162,BP772,0))/100)))&gt;0)*($D$10:$L$10-($D$9:$L$9+INT(($S$12:$AA$12+INDEX($AJ$13:$AR$162,BN772,0)+INDEX($AT$13:$BB$162,BO772,0)+INDEX($BD$13:$BL$162,BP772,0))/100)))),0)</f>
        <v/>
      </c>
      <c r="BS772">
        <f>IF(759&lt;$U$9,SUMPRODUCT(($D$9:$L$9+INT(($S$12:$AA$12+INDEX($AJ$13:$AR$162,BN772,0)+INDEX($AT$13:$BB$162,BO772,0)+INDEX($BD$13:$BL$162,BP772,0))/100))),0)</f>
        <v/>
      </c>
      <c r="BT772">
        <f>IF(AND(759&lt;$U$9,$W$5),BQ772*1000000-MIN(BR772,999)*1000+BS772-759/100000,-1000000000-759)</f>
        <v/>
      </c>
    </row>
    <row r="773">
      <c r="BN773">
        <f>IF(760&lt;$U$9,INT(760/($U$7*$U$8))+1,1)</f>
        <v/>
      </c>
      <c r="BO773">
        <f>IF(760&lt;$U$9,MOD(INT(760/$U$8),$U$7)+1,1)</f>
        <v/>
      </c>
      <c r="BP773">
        <f>IF(760&lt;$U$9,MOD(760,$U$8)+1,1)</f>
        <v/>
      </c>
      <c r="BQ773">
        <f>IF(760&lt;$U$9,SUMPRODUCT(($D$10:$L$10&lt;&gt;"")*(($D$9:$L$9+INT(($S$12:$AA$12+INDEX($AJ$13:$AR$162,BN773,0)+INDEX($AT$13:$BB$162,BO773,0)+INDEX($BD$13:$BL$162,BP773,0))/100))&gt;=$D$10:$L$10)),0)</f>
        <v/>
      </c>
      <c r="BR773">
        <f>IF(760&lt;$U$9,SUMPRODUCT(($D$10:$L$10&lt;&gt;"")*(($D$10:$L$10-($D$9:$L$9+INT(($S$12:$AA$12+INDEX($AJ$13:$AR$162,BN773,0)+INDEX($AT$13:$BB$162,BO773,0)+INDEX($BD$13:$BL$162,BP773,0))/100)))&gt;0)*($D$10:$L$10-($D$9:$L$9+INT(($S$12:$AA$12+INDEX($AJ$13:$AR$162,BN773,0)+INDEX($AT$13:$BB$162,BO773,0)+INDEX($BD$13:$BL$162,BP773,0))/100)))),0)</f>
        <v/>
      </c>
      <c r="BS773">
        <f>IF(760&lt;$U$9,SUMPRODUCT(($D$9:$L$9+INT(($S$12:$AA$12+INDEX($AJ$13:$AR$162,BN773,0)+INDEX($AT$13:$BB$162,BO773,0)+INDEX($BD$13:$BL$162,BP773,0))/100))),0)</f>
        <v/>
      </c>
      <c r="BT773">
        <f>IF(AND(760&lt;$U$9,$W$5),BQ773*1000000-MIN(BR773,999)*1000+BS773-760/100000,-1000000000-760)</f>
        <v/>
      </c>
    </row>
    <row r="774">
      <c r="BN774">
        <f>IF(761&lt;$U$9,INT(761/($U$7*$U$8))+1,1)</f>
        <v/>
      </c>
      <c r="BO774">
        <f>IF(761&lt;$U$9,MOD(INT(761/$U$8),$U$7)+1,1)</f>
        <v/>
      </c>
      <c r="BP774">
        <f>IF(761&lt;$U$9,MOD(761,$U$8)+1,1)</f>
        <v/>
      </c>
      <c r="BQ774">
        <f>IF(761&lt;$U$9,SUMPRODUCT(($D$10:$L$10&lt;&gt;"")*(($D$9:$L$9+INT(($S$12:$AA$12+INDEX($AJ$13:$AR$162,BN774,0)+INDEX($AT$13:$BB$162,BO774,0)+INDEX($BD$13:$BL$162,BP774,0))/100))&gt;=$D$10:$L$10)),0)</f>
        <v/>
      </c>
      <c r="BR774">
        <f>IF(761&lt;$U$9,SUMPRODUCT(($D$10:$L$10&lt;&gt;"")*(($D$10:$L$10-($D$9:$L$9+INT(($S$12:$AA$12+INDEX($AJ$13:$AR$162,BN774,0)+INDEX($AT$13:$BB$162,BO774,0)+INDEX($BD$13:$BL$162,BP774,0))/100)))&gt;0)*($D$10:$L$10-($D$9:$L$9+INT(($S$12:$AA$12+INDEX($AJ$13:$AR$162,BN774,0)+INDEX($AT$13:$BB$162,BO774,0)+INDEX($BD$13:$BL$162,BP774,0))/100)))),0)</f>
        <v/>
      </c>
      <c r="BS774">
        <f>IF(761&lt;$U$9,SUMPRODUCT(($D$9:$L$9+INT(($S$12:$AA$12+INDEX($AJ$13:$AR$162,BN774,0)+INDEX($AT$13:$BB$162,BO774,0)+INDEX($BD$13:$BL$162,BP774,0))/100))),0)</f>
        <v/>
      </c>
      <c r="BT774">
        <f>IF(AND(761&lt;$U$9,$W$5),BQ774*1000000-MIN(BR774,999)*1000+BS774-761/100000,-1000000000-761)</f>
        <v/>
      </c>
    </row>
    <row r="775">
      <c r="BN775">
        <f>IF(762&lt;$U$9,INT(762/($U$7*$U$8))+1,1)</f>
        <v/>
      </c>
      <c r="BO775">
        <f>IF(762&lt;$U$9,MOD(INT(762/$U$8),$U$7)+1,1)</f>
        <v/>
      </c>
      <c r="BP775">
        <f>IF(762&lt;$U$9,MOD(762,$U$8)+1,1)</f>
        <v/>
      </c>
      <c r="BQ775">
        <f>IF(762&lt;$U$9,SUMPRODUCT(($D$10:$L$10&lt;&gt;"")*(($D$9:$L$9+INT(($S$12:$AA$12+INDEX($AJ$13:$AR$162,BN775,0)+INDEX($AT$13:$BB$162,BO775,0)+INDEX($BD$13:$BL$162,BP775,0))/100))&gt;=$D$10:$L$10)),0)</f>
        <v/>
      </c>
      <c r="BR775">
        <f>IF(762&lt;$U$9,SUMPRODUCT(($D$10:$L$10&lt;&gt;"")*(($D$10:$L$10-($D$9:$L$9+INT(($S$12:$AA$12+INDEX($AJ$13:$AR$162,BN775,0)+INDEX($AT$13:$BB$162,BO775,0)+INDEX($BD$13:$BL$162,BP775,0))/100)))&gt;0)*($D$10:$L$10-($D$9:$L$9+INT(($S$12:$AA$12+INDEX($AJ$13:$AR$162,BN775,0)+INDEX($AT$13:$BB$162,BO775,0)+INDEX($BD$13:$BL$162,BP775,0))/100)))),0)</f>
        <v/>
      </c>
      <c r="BS775">
        <f>IF(762&lt;$U$9,SUMPRODUCT(($D$9:$L$9+INT(($S$12:$AA$12+INDEX($AJ$13:$AR$162,BN775,0)+INDEX($AT$13:$BB$162,BO775,0)+INDEX($BD$13:$BL$162,BP775,0))/100))),0)</f>
        <v/>
      </c>
      <c r="BT775">
        <f>IF(AND(762&lt;$U$9,$W$5),BQ775*1000000-MIN(BR775,999)*1000+BS775-762/100000,-1000000000-762)</f>
        <v/>
      </c>
    </row>
    <row r="776">
      <c r="BN776">
        <f>IF(763&lt;$U$9,INT(763/($U$7*$U$8))+1,1)</f>
        <v/>
      </c>
      <c r="BO776">
        <f>IF(763&lt;$U$9,MOD(INT(763/$U$8),$U$7)+1,1)</f>
        <v/>
      </c>
      <c r="BP776">
        <f>IF(763&lt;$U$9,MOD(763,$U$8)+1,1)</f>
        <v/>
      </c>
      <c r="BQ776">
        <f>IF(763&lt;$U$9,SUMPRODUCT(($D$10:$L$10&lt;&gt;"")*(($D$9:$L$9+INT(($S$12:$AA$12+INDEX($AJ$13:$AR$162,BN776,0)+INDEX($AT$13:$BB$162,BO776,0)+INDEX($BD$13:$BL$162,BP776,0))/100))&gt;=$D$10:$L$10)),0)</f>
        <v/>
      </c>
      <c r="BR776">
        <f>IF(763&lt;$U$9,SUMPRODUCT(($D$10:$L$10&lt;&gt;"")*(($D$10:$L$10-($D$9:$L$9+INT(($S$12:$AA$12+INDEX($AJ$13:$AR$162,BN776,0)+INDEX($AT$13:$BB$162,BO776,0)+INDEX($BD$13:$BL$162,BP776,0))/100)))&gt;0)*($D$10:$L$10-($D$9:$L$9+INT(($S$12:$AA$12+INDEX($AJ$13:$AR$162,BN776,0)+INDEX($AT$13:$BB$162,BO776,0)+INDEX($BD$13:$BL$162,BP776,0))/100)))),0)</f>
        <v/>
      </c>
      <c r="BS776">
        <f>IF(763&lt;$U$9,SUMPRODUCT(($D$9:$L$9+INT(($S$12:$AA$12+INDEX($AJ$13:$AR$162,BN776,0)+INDEX($AT$13:$BB$162,BO776,0)+INDEX($BD$13:$BL$162,BP776,0))/100))),0)</f>
        <v/>
      </c>
      <c r="BT776">
        <f>IF(AND(763&lt;$U$9,$W$5),BQ776*1000000-MIN(BR776,999)*1000+BS776-763/100000,-1000000000-763)</f>
        <v/>
      </c>
    </row>
    <row r="777">
      <c r="BN777">
        <f>IF(764&lt;$U$9,INT(764/($U$7*$U$8))+1,1)</f>
        <v/>
      </c>
      <c r="BO777">
        <f>IF(764&lt;$U$9,MOD(INT(764/$U$8),$U$7)+1,1)</f>
        <v/>
      </c>
      <c r="BP777">
        <f>IF(764&lt;$U$9,MOD(764,$U$8)+1,1)</f>
        <v/>
      </c>
      <c r="BQ777">
        <f>IF(764&lt;$U$9,SUMPRODUCT(($D$10:$L$10&lt;&gt;"")*(($D$9:$L$9+INT(($S$12:$AA$12+INDEX($AJ$13:$AR$162,BN777,0)+INDEX($AT$13:$BB$162,BO777,0)+INDEX($BD$13:$BL$162,BP777,0))/100))&gt;=$D$10:$L$10)),0)</f>
        <v/>
      </c>
      <c r="BR777">
        <f>IF(764&lt;$U$9,SUMPRODUCT(($D$10:$L$10&lt;&gt;"")*(($D$10:$L$10-($D$9:$L$9+INT(($S$12:$AA$12+INDEX($AJ$13:$AR$162,BN777,0)+INDEX($AT$13:$BB$162,BO777,0)+INDEX($BD$13:$BL$162,BP777,0))/100)))&gt;0)*($D$10:$L$10-($D$9:$L$9+INT(($S$12:$AA$12+INDEX($AJ$13:$AR$162,BN777,0)+INDEX($AT$13:$BB$162,BO777,0)+INDEX($BD$13:$BL$162,BP777,0))/100)))),0)</f>
        <v/>
      </c>
      <c r="BS777">
        <f>IF(764&lt;$U$9,SUMPRODUCT(($D$9:$L$9+INT(($S$12:$AA$12+INDEX($AJ$13:$AR$162,BN777,0)+INDEX($AT$13:$BB$162,BO777,0)+INDEX($BD$13:$BL$162,BP777,0))/100))),0)</f>
        <v/>
      </c>
      <c r="BT777">
        <f>IF(AND(764&lt;$U$9,$W$5),BQ777*1000000-MIN(BR777,999)*1000+BS777-764/100000,-1000000000-764)</f>
        <v/>
      </c>
    </row>
    <row r="778">
      <c r="BN778">
        <f>IF(765&lt;$U$9,INT(765/($U$7*$U$8))+1,1)</f>
        <v/>
      </c>
      <c r="BO778">
        <f>IF(765&lt;$U$9,MOD(INT(765/$U$8),$U$7)+1,1)</f>
        <v/>
      </c>
      <c r="BP778">
        <f>IF(765&lt;$U$9,MOD(765,$U$8)+1,1)</f>
        <v/>
      </c>
      <c r="BQ778">
        <f>IF(765&lt;$U$9,SUMPRODUCT(($D$10:$L$10&lt;&gt;"")*(($D$9:$L$9+INT(($S$12:$AA$12+INDEX($AJ$13:$AR$162,BN778,0)+INDEX($AT$13:$BB$162,BO778,0)+INDEX($BD$13:$BL$162,BP778,0))/100))&gt;=$D$10:$L$10)),0)</f>
        <v/>
      </c>
      <c r="BR778">
        <f>IF(765&lt;$U$9,SUMPRODUCT(($D$10:$L$10&lt;&gt;"")*(($D$10:$L$10-($D$9:$L$9+INT(($S$12:$AA$12+INDEX($AJ$13:$AR$162,BN778,0)+INDEX($AT$13:$BB$162,BO778,0)+INDEX($BD$13:$BL$162,BP778,0))/100)))&gt;0)*($D$10:$L$10-($D$9:$L$9+INT(($S$12:$AA$12+INDEX($AJ$13:$AR$162,BN778,0)+INDEX($AT$13:$BB$162,BO778,0)+INDEX($BD$13:$BL$162,BP778,0))/100)))),0)</f>
        <v/>
      </c>
      <c r="BS778">
        <f>IF(765&lt;$U$9,SUMPRODUCT(($D$9:$L$9+INT(($S$12:$AA$12+INDEX($AJ$13:$AR$162,BN778,0)+INDEX($AT$13:$BB$162,BO778,0)+INDEX($BD$13:$BL$162,BP778,0))/100))),0)</f>
        <v/>
      </c>
      <c r="BT778">
        <f>IF(AND(765&lt;$U$9,$W$5),BQ778*1000000-MIN(BR778,999)*1000+BS778-765/100000,-1000000000-765)</f>
        <v/>
      </c>
    </row>
    <row r="779">
      <c r="BN779">
        <f>IF(766&lt;$U$9,INT(766/($U$7*$U$8))+1,1)</f>
        <v/>
      </c>
      <c r="BO779">
        <f>IF(766&lt;$U$9,MOD(INT(766/$U$8),$U$7)+1,1)</f>
        <v/>
      </c>
      <c r="BP779">
        <f>IF(766&lt;$U$9,MOD(766,$U$8)+1,1)</f>
        <v/>
      </c>
      <c r="BQ779">
        <f>IF(766&lt;$U$9,SUMPRODUCT(($D$10:$L$10&lt;&gt;"")*(($D$9:$L$9+INT(($S$12:$AA$12+INDEX($AJ$13:$AR$162,BN779,0)+INDEX($AT$13:$BB$162,BO779,0)+INDEX($BD$13:$BL$162,BP779,0))/100))&gt;=$D$10:$L$10)),0)</f>
        <v/>
      </c>
      <c r="BR779">
        <f>IF(766&lt;$U$9,SUMPRODUCT(($D$10:$L$10&lt;&gt;"")*(($D$10:$L$10-($D$9:$L$9+INT(($S$12:$AA$12+INDEX($AJ$13:$AR$162,BN779,0)+INDEX($AT$13:$BB$162,BO779,0)+INDEX($BD$13:$BL$162,BP779,0))/100)))&gt;0)*($D$10:$L$10-($D$9:$L$9+INT(($S$12:$AA$12+INDEX($AJ$13:$AR$162,BN779,0)+INDEX($AT$13:$BB$162,BO779,0)+INDEX($BD$13:$BL$162,BP779,0))/100)))),0)</f>
        <v/>
      </c>
      <c r="BS779">
        <f>IF(766&lt;$U$9,SUMPRODUCT(($D$9:$L$9+INT(($S$12:$AA$12+INDEX($AJ$13:$AR$162,BN779,0)+INDEX($AT$13:$BB$162,BO779,0)+INDEX($BD$13:$BL$162,BP779,0))/100))),0)</f>
        <v/>
      </c>
      <c r="BT779">
        <f>IF(AND(766&lt;$U$9,$W$5),BQ779*1000000-MIN(BR779,999)*1000+BS779-766/100000,-1000000000-766)</f>
        <v/>
      </c>
    </row>
    <row r="780">
      <c r="BN780">
        <f>IF(767&lt;$U$9,INT(767/($U$7*$U$8))+1,1)</f>
        <v/>
      </c>
      <c r="BO780">
        <f>IF(767&lt;$U$9,MOD(INT(767/$U$8),$U$7)+1,1)</f>
        <v/>
      </c>
      <c r="BP780">
        <f>IF(767&lt;$U$9,MOD(767,$U$8)+1,1)</f>
        <v/>
      </c>
      <c r="BQ780">
        <f>IF(767&lt;$U$9,SUMPRODUCT(($D$10:$L$10&lt;&gt;"")*(($D$9:$L$9+INT(($S$12:$AA$12+INDEX($AJ$13:$AR$162,BN780,0)+INDEX($AT$13:$BB$162,BO780,0)+INDEX($BD$13:$BL$162,BP780,0))/100))&gt;=$D$10:$L$10)),0)</f>
        <v/>
      </c>
      <c r="BR780">
        <f>IF(767&lt;$U$9,SUMPRODUCT(($D$10:$L$10&lt;&gt;"")*(($D$10:$L$10-($D$9:$L$9+INT(($S$12:$AA$12+INDEX($AJ$13:$AR$162,BN780,0)+INDEX($AT$13:$BB$162,BO780,0)+INDEX($BD$13:$BL$162,BP780,0))/100)))&gt;0)*($D$10:$L$10-($D$9:$L$9+INT(($S$12:$AA$12+INDEX($AJ$13:$AR$162,BN780,0)+INDEX($AT$13:$BB$162,BO780,0)+INDEX($BD$13:$BL$162,BP780,0))/100)))),0)</f>
        <v/>
      </c>
      <c r="BS780">
        <f>IF(767&lt;$U$9,SUMPRODUCT(($D$9:$L$9+INT(($S$12:$AA$12+INDEX($AJ$13:$AR$162,BN780,0)+INDEX($AT$13:$BB$162,BO780,0)+INDEX($BD$13:$BL$162,BP780,0))/100))),0)</f>
        <v/>
      </c>
      <c r="BT780">
        <f>IF(AND(767&lt;$U$9,$W$5),BQ780*1000000-MIN(BR780,999)*1000+BS780-767/100000,-1000000000-767)</f>
        <v/>
      </c>
    </row>
    <row r="781">
      <c r="BN781">
        <f>IF(768&lt;$U$9,INT(768/($U$7*$U$8))+1,1)</f>
        <v/>
      </c>
      <c r="BO781">
        <f>IF(768&lt;$U$9,MOD(INT(768/$U$8),$U$7)+1,1)</f>
        <v/>
      </c>
      <c r="BP781">
        <f>IF(768&lt;$U$9,MOD(768,$U$8)+1,1)</f>
        <v/>
      </c>
      <c r="BQ781">
        <f>IF(768&lt;$U$9,SUMPRODUCT(($D$10:$L$10&lt;&gt;"")*(($D$9:$L$9+INT(($S$12:$AA$12+INDEX($AJ$13:$AR$162,BN781,0)+INDEX($AT$13:$BB$162,BO781,0)+INDEX($BD$13:$BL$162,BP781,0))/100))&gt;=$D$10:$L$10)),0)</f>
        <v/>
      </c>
      <c r="BR781">
        <f>IF(768&lt;$U$9,SUMPRODUCT(($D$10:$L$10&lt;&gt;"")*(($D$10:$L$10-($D$9:$L$9+INT(($S$12:$AA$12+INDEX($AJ$13:$AR$162,BN781,0)+INDEX($AT$13:$BB$162,BO781,0)+INDEX($BD$13:$BL$162,BP781,0))/100)))&gt;0)*($D$10:$L$10-($D$9:$L$9+INT(($S$12:$AA$12+INDEX($AJ$13:$AR$162,BN781,0)+INDEX($AT$13:$BB$162,BO781,0)+INDEX($BD$13:$BL$162,BP781,0))/100)))),0)</f>
        <v/>
      </c>
      <c r="BS781">
        <f>IF(768&lt;$U$9,SUMPRODUCT(($D$9:$L$9+INT(($S$12:$AA$12+INDEX($AJ$13:$AR$162,BN781,0)+INDEX($AT$13:$BB$162,BO781,0)+INDEX($BD$13:$BL$162,BP781,0))/100))),0)</f>
        <v/>
      </c>
      <c r="BT781">
        <f>IF(AND(768&lt;$U$9,$W$5),BQ781*1000000-MIN(BR781,999)*1000+BS781-768/100000,-1000000000-768)</f>
        <v/>
      </c>
    </row>
    <row r="782">
      <c r="BN782">
        <f>IF(769&lt;$U$9,INT(769/($U$7*$U$8))+1,1)</f>
        <v/>
      </c>
      <c r="BO782">
        <f>IF(769&lt;$U$9,MOD(INT(769/$U$8),$U$7)+1,1)</f>
        <v/>
      </c>
      <c r="BP782">
        <f>IF(769&lt;$U$9,MOD(769,$U$8)+1,1)</f>
        <v/>
      </c>
      <c r="BQ782">
        <f>IF(769&lt;$U$9,SUMPRODUCT(($D$10:$L$10&lt;&gt;"")*(($D$9:$L$9+INT(($S$12:$AA$12+INDEX($AJ$13:$AR$162,BN782,0)+INDEX($AT$13:$BB$162,BO782,0)+INDEX($BD$13:$BL$162,BP782,0))/100))&gt;=$D$10:$L$10)),0)</f>
        <v/>
      </c>
      <c r="BR782">
        <f>IF(769&lt;$U$9,SUMPRODUCT(($D$10:$L$10&lt;&gt;"")*(($D$10:$L$10-($D$9:$L$9+INT(($S$12:$AA$12+INDEX($AJ$13:$AR$162,BN782,0)+INDEX($AT$13:$BB$162,BO782,0)+INDEX($BD$13:$BL$162,BP782,0))/100)))&gt;0)*($D$10:$L$10-($D$9:$L$9+INT(($S$12:$AA$12+INDEX($AJ$13:$AR$162,BN782,0)+INDEX($AT$13:$BB$162,BO782,0)+INDEX($BD$13:$BL$162,BP782,0))/100)))),0)</f>
        <v/>
      </c>
      <c r="BS782">
        <f>IF(769&lt;$U$9,SUMPRODUCT(($D$9:$L$9+INT(($S$12:$AA$12+INDEX($AJ$13:$AR$162,BN782,0)+INDEX($AT$13:$BB$162,BO782,0)+INDEX($BD$13:$BL$162,BP782,0))/100))),0)</f>
        <v/>
      </c>
      <c r="BT782">
        <f>IF(AND(769&lt;$U$9,$W$5),BQ782*1000000-MIN(BR782,999)*1000+BS782-769/100000,-1000000000-769)</f>
        <v/>
      </c>
    </row>
    <row r="783">
      <c r="BN783">
        <f>IF(770&lt;$U$9,INT(770/($U$7*$U$8))+1,1)</f>
        <v/>
      </c>
      <c r="BO783">
        <f>IF(770&lt;$U$9,MOD(INT(770/$U$8),$U$7)+1,1)</f>
        <v/>
      </c>
      <c r="BP783">
        <f>IF(770&lt;$U$9,MOD(770,$U$8)+1,1)</f>
        <v/>
      </c>
      <c r="BQ783">
        <f>IF(770&lt;$U$9,SUMPRODUCT(($D$10:$L$10&lt;&gt;"")*(($D$9:$L$9+INT(($S$12:$AA$12+INDEX($AJ$13:$AR$162,BN783,0)+INDEX($AT$13:$BB$162,BO783,0)+INDEX($BD$13:$BL$162,BP783,0))/100))&gt;=$D$10:$L$10)),0)</f>
        <v/>
      </c>
      <c r="BR783">
        <f>IF(770&lt;$U$9,SUMPRODUCT(($D$10:$L$10&lt;&gt;"")*(($D$10:$L$10-($D$9:$L$9+INT(($S$12:$AA$12+INDEX($AJ$13:$AR$162,BN783,0)+INDEX($AT$13:$BB$162,BO783,0)+INDEX($BD$13:$BL$162,BP783,0))/100)))&gt;0)*($D$10:$L$10-($D$9:$L$9+INT(($S$12:$AA$12+INDEX($AJ$13:$AR$162,BN783,0)+INDEX($AT$13:$BB$162,BO783,0)+INDEX($BD$13:$BL$162,BP783,0))/100)))),0)</f>
        <v/>
      </c>
      <c r="BS783">
        <f>IF(770&lt;$U$9,SUMPRODUCT(($D$9:$L$9+INT(($S$12:$AA$12+INDEX($AJ$13:$AR$162,BN783,0)+INDEX($AT$13:$BB$162,BO783,0)+INDEX($BD$13:$BL$162,BP783,0))/100))),0)</f>
        <v/>
      </c>
      <c r="BT783">
        <f>IF(AND(770&lt;$U$9,$W$5),BQ783*1000000-MIN(BR783,999)*1000+BS783-770/100000,-1000000000-770)</f>
        <v/>
      </c>
    </row>
    <row r="784">
      <c r="BN784">
        <f>IF(771&lt;$U$9,INT(771/($U$7*$U$8))+1,1)</f>
        <v/>
      </c>
      <c r="BO784">
        <f>IF(771&lt;$U$9,MOD(INT(771/$U$8),$U$7)+1,1)</f>
        <v/>
      </c>
      <c r="BP784">
        <f>IF(771&lt;$U$9,MOD(771,$U$8)+1,1)</f>
        <v/>
      </c>
      <c r="BQ784">
        <f>IF(771&lt;$U$9,SUMPRODUCT(($D$10:$L$10&lt;&gt;"")*(($D$9:$L$9+INT(($S$12:$AA$12+INDEX($AJ$13:$AR$162,BN784,0)+INDEX($AT$13:$BB$162,BO784,0)+INDEX($BD$13:$BL$162,BP784,0))/100))&gt;=$D$10:$L$10)),0)</f>
        <v/>
      </c>
      <c r="BR784">
        <f>IF(771&lt;$U$9,SUMPRODUCT(($D$10:$L$10&lt;&gt;"")*(($D$10:$L$10-($D$9:$L$9+INT(($S$12:$AA$12+INDEX($AJ$13:$AR$162,BN784,0)+INDEX($AT$13:$BB$162,BO784,0)+INDEX($BD$13:$BL$162,BP784,0))/100)))&gt;0)*($D$10:$L$10-($D$9:$L$9+INT(($S$12:$AA$12+INDEX($AJ$13:$AR$162,BN784,0)+INDEX($AT$13:$BB$162,BO784,0)+INDEX($BD$13:$BL$162,BP784,0))/100)))),0)</f>
        <v/>
      </c>
      <c r="BS784">
        <f>IF(771&lt;$U$9,SUMPRODUCT(($D$9:$L$9+INT(($S$12:$AA$12+INDEX($AJ$13:$AR$162,BN784,0)+INDEX($AT$13:$BB$162,BO784,0)+INDEX($BD$13:$BL$162,BP784,0))/100))),0)</f>
        <v/>
      </c>
      <c r="BT784">
        <f>IF(AND(771&lt;$U$9,$W$5),BQ784*1000000-MIN(BR784,999)*1000+BS784-771/100000,-1000000000-771)</f>
        <v/>
      </c>
    </row>
    <row r="785">
      <c r="BN785">
        <f>IF(772&lt;$U$9,INT(772/($U$7*$U$8))+1,1)</f>
        <v/>
      </c>
      <c r="BO785">
        <f>IF(772&lt;$U$9,MOD(INT(772/$U$8),$U$7)+1,1)</f>
        <v/>
      </c>
      <c r="BP785">
        <f>IF(772&lt;$U$9,MOD(772,$U$8)+1,1)</f>
        <v/>
      </c>
      <c r="BQ785">
        <f>IF(772&lt;$U$9,SUMPRODUCT(($D$10:$L$10&lt;&gt;"")*(($D$9:$L$9+INT(($S$12:$AA$12+INDEX($AJ$13:$AR$162,BN785,0)+INDEX($AT$13:$BB$162,BO785,0)+INDEX($BD$13:$BL$162,BP785,0))/100))&gt;=$D$10:$L$10)),0)</f>
        <v/>
      </c>
      <c r="BR785">
        <f>IF(772&lt;$U$9,SUMPRODUCT(($D$10:$L$10&lt;&gt;"")*(($D$10:$L$10-($D$9:$L$9+INT(($S$12:$AA$12+INDEX($AJ$13:$AR$162,BN785,0)+INDEX($AT$13:$BB$162,BO785,0)+INDEX($BD$13:$BL$162,BP785,0))/100)))&gt;0)*($D$10:$L$10-($D$9:$L$9+INT(($S$12:$AA$12+INDEX($AJ$13:$AR$162,BN785,0)+INDEX($AT$13:$BB$162,BO785,0)+INDEX($BD$13:$BL$162,BP785,0))/100)))),0)</f>
        <v/>
      </c>
      <c r="BS785">
        <f>IF(772&lt;$U$9,SUMPRODUCT(($D$9:$L$9+INT(($S$12:$AA$12+INDEX($AJ$13:$AR$162,BN785,0)+INDEX($AT$13:$BB$162,BO785,0)+INDEX($BD$13:$BL$162,BP785,0))/100))),0)</f>
        <v/>
      </c>
      <c r="BT785">
        <f>IF(AND(772&lt;$U$9,$W$5),BQ785*1000000-MIN(BR785,999)*1000+BS785-772/100000,-1000000000-772)</f>
        <v/>
      </c>
    </row>
    <row r="786">
      <c r="BN786">
        <f>IF(773&lt;$U$9,INT(773/($U$7*$U$8))+1,1)</f>
        <v/>
      </c>
      <c r="BO786">
        <f>IF(773&lt;$U$9,MOD(INT(773/$U$8),$U$7)+1,1)</f>
        <v/>
      </c>
      <c r="BP786">
        <f>IF(773&lt;$U$9,MOD(773,$U$8)+1,1)</f>
        <v/>
      </c>
      <c r="BQ786">
        <f>IF(773&lt;$U$9,SUMPRODUCT(($D$10:$L$10&lt;&gt;"")*(($D$9:$L$9+INT(($S$12:$AA$12+INDEX($AJ$13:$AR$162,BN786,0)+INDEX($AT$13:$BB$162,BO786,0)+INDEX($BD$13:$BL$162,BP786,0))/100))&gt;=$D$10:$L$10)),0)</f>
        <v/>
      </c>
      <c r="BR786">
        <f>IF(773&lt;$U$9,SUMPRODUCT(($D$10:$L$10&lt;&gt;"")*(($D$10:$L$10-($D$9:$L$9+INT(($S$12:$AA$12+INDEX($AJ$13:$AR$162,BN786,0)+INDEX($AT$13:$BB$162,BO786,0)+INDEX($BD$13:$BL$162,BP786,0))/100)))&gt;0)*($D$10:$L$10-($D$9:$L$9+INT(($S$12:$AA$12+INDEX($AJ$13:$AR$162,BN786,0)+INDEX($AT$13:$BB$162,BO786,0)+INDEX($BD$13:$BL$162,BP786,0))/100)))),0)</f>
        <v/>
      </c>
      <c r="BS786">
        <f>IF(773&lt;$U$9,SUMPRODUCT(($D$9:$L$9+INT(($S$12:$AA$12+INDEX($AJ$13:$AR$162,BN786,0)+INDEX($AT$13:$BB$162,BO786,0)+INDEX($BD$13:$BL$162,BP786,0))/100))),0)</f>
        <v/>
      </c>
      <c r="BT786">
        <f>IF(AND(773&lt;$U$9,$W$5),BQ786*1000000-MIN(BR786,999)*1000+BS786-773/100000,-1000000000-773)</f>
        <v/>
      </c>
    </row>
    <row r="787">
      <c r="BN787">
        <f>IF(774&lt;$U$9,INT(774/($U$7*$U$8))+1,1)</f>
        <v/>
      </c>
      <c r="BO787">
        <f>IF(774&lt;$U$9,MOD(INT(774/$U$8),$U$7)+1,1)</f>
        <v/>
      </c>
      <c r="BP787">
        <f>IF(774&lt;$U$9,MOD(774,$U$8)+1,1)</f>
        <v/>
      </c>
      <c r="BQ787">
        <f>IF(774&lt;$U$9,SUMPRODUCT(($D$10:$L$10&lt;&gt;"")*(($D$9:$L$9+INT(($S$12:$AA$12+INDEX($AJ$13:$AR$162,BN787,0)+INDEX($AT$13:$BB$162,BO787,0)+INDEX($BD$13:$BL$162,BP787,0))/100))&gt;=$D$10:$L$10)),0)</f>
        <v/>
      </c>
      <c r="BR787">
        <f>IF(774&lt;$U$9,SUMPRODUCT(($D$10:$L$10&lt;&gt;"")*(($D$10:$L$10-($D$9:$L$9+INT(($S$12:$AA$12+INDEX($AJ$13:$AR$162,BN787,0)+INDEX($AT$13:$BB$162,BO787,0)+INDEX($BD$13:$BL$162,BP787,0))/100)))&gt;0)*($D$10:$L$10-($D$9:$L$9+INT(($S$12:$AA$12+INDEX($AJ$13:$AR$162,BN787,0)+INDEX($AT$13:$BB$162,BO787,0)+INDEX($BD$13:$BL$162,BP787,0))/100)))),0)</f>
        <v/>
      </c>
      <c r="BS787">
        <f>IF(774&lt;$U$9,SUMPRODUCT(($D$9:$L$9+INT(($S$12:$AA$12+INDEX($AJ$13:$AR$162,BN787,0)+INDEX($AT$13:$BB$162,BO787,0)+INDEX($BD$13:$BL$162,BP787,0))/100))),0)</f>
        <v/>
      </c>
      <c r="BT787">
        <f>IF(AND(774&lt;$U$9,$W$5),BQ787*1000000-MIN(BR787,999)*1000+BS787-774/100000,-1000000000-774)</f>
        <v/>
      </c>
    </row>
    <row r="788">
      <c r="BN788">
        <f>IF(775&lt;$U$9,INT(775/($U$7*$U$8))+1,1)</f>
        <v/>
      </c>
      <c r="BO788">
        <f>IF(775&lt;$U$9,MOD(INT(775/$U$8),$U$7)+1,1)</f>
        <v/>
      </c>
      <c r="BP788">
        <f>IF(775&lt;$U$9,MOD(775,$U$8)+1,1)</f>
        <v/>
      </c>
      <c r="BQ788">
        <f>IF(775&lt;$U$9,SUMPRODUCT(($D$10:$L$10&lt;&gt;"")*(($D$9:$L$9+INT(($S$12:$AA$12+INDEX($AJ$13:$AR$162,BN788,0)+INDEX($AT$13:$BB$162,BO788,0)+INDEX($BD$13:$BL$162,BP788,0))/100))&gt;=$D$10:$L$10)),0)</f>
        <v/>
      </c>
      <c r="BR788">
        <f>IF(775&lt;$U$9,SUMPRODUCT(($D$10:$L$10&lt;&gt;"")*(($D$10:$L$10-($D$9:$L$9+INT(($S$12:$AA$12+INDEX($AJ$13:$AR$162,BN788,0)+INDEX($AT$13:$BB$162,BO788,0)+INDEX($BD$13:$BL$162,BP788,0))/100)))&gt;0)*($D$10:$L$10-($D$9:$L$9+INT(($S$12:$AA$12+INDEX($AJ$13:$AR$162,BN788,0)+INDEX($AT$13:$BB$162,BO788,0)+INDEX($BD$13:$BL$162,BP788,0))/100)))),0)</f>
        <v/>
      </c>
      <c r="BS788">
        <f>IF(775&lt;$U$9,SUMPRODUCT(($D$9:$L$9+INT(($S$12:$AA$12+INDEX($AJ$13:$AR$162,BN788,0)+INDEX($AT$13:$BB$162,BO788,0)+INDEX($BD$13:$BL$162,BP788,0))/100))),0)</f>
        <v/>
      </c>
      <c r="BT788">
        <f>IF(AND(775&lt;$U$9,$W$5),BQ788*1000000-MIN(BR788,999)*1000+BS788-775/100000,-1000000000-775)</f>
        <v/>
      </c>
    </row>
    <row r="789">
      <c r="BN789">
        <f>IF(776&lt;$U$9,INT(776/($U$7*$U$8))+1,1)</f>
        <v/>
      </c>
      <c r="BO789">
        <f>IF(776&lt;$U$9,MOD(INT(776/$U$8),$U$7)+1,1)</f>
        <v/>
      </c>
      <c r="BP789">
        <f>IF(776&lt;$U$9,MOD(776,$U$8)+1,1)</f>
        <v/>
      </c>
      <c r="BQ789">
        <f>IF(776&lt;$U$9,SUMPRODUCT(($D$10:$L$10&lt;&gt;"")*(($D$9:$L$9+INT(($S$12:$AA$12+INDEX($AJ$13:$AR$162,BN789,0)+INDEX($AT$13:$BB$162,BO789,0)+INDEX($BD$13:$BL$162,BP789,0))/100))&gt;=$D$10:$L$10)),0)</f>
        <v/>
      </c>
      <c r="BR789">
        <f>IF(776&lt;$U$9,SUMPRODUCT(($D$10:$L$10&lt;&gt;"")*(($D$10:$L$10-($D$9:$L$9+INT(($S$12:$AA$12+INDEX($AJ$13:$AR$162,BN789,0)+INDEX($AT$13:$BB$162,BO789,0)+INDEX($BD$13:$BL$162,BP789,0))/100)))&gt;0)*($D$10:$L$10-($D$9:$L$9+INT(($S$12:$AA$12+INDEX($AJ$13:$AR$162,BN789,0)+INDEX($AT$13:$BB$162,BO789,0)+INDEX($BD$13:$BL$162,BP789,0))/100)))),0)</f>
        <v/>
      </c>
      <c r="BS789">
        <f>IF(776&lt;$U$9,SUMPRODUCT(($D$9:$L$9+INT(($S$12:$AA$12+INDEX($AJ$13:$AR$162,BN789,0)+INDEX($AT$13:$BB$162,BO789,0)+INDEX($BD$13:$BL$162,BP789,0))/100))),0)</f>
        <v/>
      </c>
      <c r="BT789">
        <f>IF(AND(776&lt;$U$9,$W$5),BQ789*1000000-MIN(BR789,999)*1000+BS789-776/100000,-1000000000-776)</f>
        <v/>
      </c>
    </row>
    <row r="790">
      <c r="BN790">
        <f>IF(777&lt;$U$9,INT(777/($U$7*$U$8))+1,1)</f>
        <v/>
      </c>
      <c r="BO790">
        <f>IF(777&lt;$U$9,MOD(INT(777/$U$8),$U$7)+1,1)</f>
        <v/>
      </c>
      <c r="BP790">
        <f>IF(777&lt;$U$9,MOD(777,$U$8)+1,1)</f>
        <v/>
      </c>
      <c r="BQ790">
        <f>IF(777&lt;$U$9,SUMPRODUCT(($D$10:$L$10&lt;&gt;"")*(($D$9:$L$9+INT(($S$12:$AA$12+INDEX($AJ$13:$AR$162,BN790,0)+INDEX($AT$13:$BB$162,BO790,0)+INDEX($BD$13:$BL$162,BP790,0))/100))&gt;=$D$10:$L$10)),0)</f>
        <v/>
      </c>
      <c r="BR790">
        <f>IF(777&lt;$U$9,SUMPRODUCT(($D$10:$L$10&lt;&gt;"")*(($D$10:$L$10-($D$9:$L$9+INT(($S$12:$AA$12+INDEX($AJ$13:$AR$162,BN790,0)+INDEX($AT$13:$BB$162,BO790,0)+INDEX($BD$13:$BL$162,BP790,0))/100)))&gt;0)*($D$10:$L$10-($D$9:$L$9+INT(($S$12:$AA$12+INDEX($AJ$13:$AR$162,BN790,0)+INDEX($AT$13:$BB$162,BO790,0)+INDEX($BD$13:$BL$162,BP790,0))/100)))),0)</f>
        <v/>
      </c>
      <c r="BS790">
        <f>IF(777&lt;$U$9,SUMPRODUCT(($D$9:$L$9+INT(($S$12:$AA$12+INDEX($AJ$13:$AR$162,BN790,0)+INDEX($AT$13:$BB$162,BO790,0)+INDEX($BD$13:$BL$162,BP790,0))/100))),0)</f>
        <v/>
      </c>
      <c r="BT790">
        <f>IF(AND(777&lt;$U$9,$W$5),BQ790*1000000-MIN(BR790,999)*1000+BS790-777/100000,-1000000000-777)</f>
        <v/>
      </c>
    </row>
    <row r="791">
      <c r="BN791">
        <f>IF(778&lt;$U$9,INT(778/($U$7*$U$8))+1,1)</f>
        <v/>
      </c>
      <c r="BO791">
        <f>IF(778&lt;$U$9,MOD(INT(778/$U$8),$U$7)+1,1)</f>
        <v/>
      </c>
      <c r="BP791">
        <f>IF(778&lt;$U$9,MOD(778,$U$8)+1,1)</f>
        <v/>
      </c>
      <c r="BQ791">
        <f>IF(778&lt;$U$9,SUMPRODUCT(($D$10:$L$10&lt;&gt;"")*(($D$9:$L$9+INT(($S$12:$AA$12+INDEX($AJ$13:$AR$162,BN791,0)+INDEX($AT$13:$BB$162,BO791,0)+INDEX($BD$13:$BL$162,BP791,0))/100))&gt;=$D$10:$L$10)),0)</f>
        <v/>
      </c>
      <c r="BR791">
        <f>IF(778&lt;$U$9,SUMPRODUCT(($D$10:$L$10&lt;&gt;"")*(($D$10:$L$10-($D$9:$L$9+INT(($S$12:$AA$12+INDEX($AJ$13:$AR$162,BN791,0)+INDEX($AT$13:$BB$162,BO791,0)+INDEX($BD$13:$BL$162,BP791,0))/100)))&gt;0)*($D$10:$L$10-($D$9:$L$9+INT(($S$12:$AA$12+INDEX($AJ$13:$AR$162,BN791,0)+INDEX($AT$13:$BB$162,BO791,0)+INDEX($BD$13:$BL$162,BP791,0))/100)))),0)</f>
        <v/>
      </c>
      <c r="BS791">
        <f>IF(778&lt;$U$9,SUMPRODUCT(($D$9:$L$9+INT(($S$12:$AA$12+INDEX($AJ$13:$AR$162,BN791,0)+INDEX($AT$13:$BB$162,BO791,0)+INDEX($BD$13:$BL$162,BP791,0))/100))),0)</f>
        <v/>
      </c>
      <c r="BT791">
        <f>IF(AND(778&lt;$U$9,$W$5),BQ791*1000000-MIN(BR791,999)*1000+BS791-778/100000,-1000000000-778)</f>
        <v/>
      </c>
    </row>
    <row r="792">
      <c r="BN792">
        <f>IF(779&lt;$U$9,INT(779/($U$7*$U$8))+1,1)</f>
        <v/>
      </c>
      <c r="BO792">
        <f>IF(779&lt;$U$9,MOD(INT(779/$U$8),$U$7)+1,1)</f>
        <v/>
      </c>
      <c r="BP792">
        <f>IF(779&lt;$U$9,MOD(779,$U$8)+1,1)</f>
        <v/>
      </c>
      <c r="BQ792">
        <f>IF(779&lt;$U$9,SUMPRODUCT(($D$10:$L$10&lt;&gt;"")*(($D$9:$L$9+INT(($S$12:$AA$12+INDEX($AJ$13:$AR$162,BN792,0)+INDEX($AT$13:$BB$162,BO792,0)+INDEX($BD$13:$BL$162,BP792,0))/100))&gt;=$D$10:$L$10)),0)</f>
        <v/>
      </c>
      <c r="BR792">
        <f>IF(779&lt;$U$9,SUMPRODUCT(($D$10:$L$10&lt;&gt;"")*(($D$10:$L$10-($D$9:$L$9+INT(($S$12:$AA$12+INDEX($AJ$13:$AR$162,BN792,0)+INDEX($AT$13:$BB$162,BO792,0)+INDEX($BD$13:$BL$162,BP792,0))/100)))&gt;0)*($D$10:$L$10-($D$9:$L$9+INT(($S$12:$AA$12+INDEX($AJ$13:$AR$162,BN792,0)+INDEX($AT$13:$BB$162,BO792,0)+INDEX($BD$13:$BL$162,BP792,0))/100)))),0)</f>
        <v/>
      </c>
      <c r="BS792">
        <f>IF(779&lt;$U$9,SUMPRODUCT(($D$9:$L$9+INT(($S$12:$AA$12+INDEX($AJ$13:$AR$162,BN792,0)+INDEX($AT$13:$BB$162,BO792,0)+INDEX($BD$13:$BL$162,BP792,0))/100))),0)</f>
        <v/>
      </c>
      <c r="BT792">
        <f>IF(AND(779&lt;$U$9,$W$5),BQ792*1000000-MIN(BR792,999)*1000+BS792-779/100000,-1000000000-779)</f>
        <v/>
      </c>
    </row>
    <row r="793">
      <c r="BN793">
        <f>IF(780&lt;$U$9,INT(780/($U$7*$U$8))+1,1)</f>
        <v/>
      </c>
      <c r="BO793">
        <f>IF(780&lt;$U$9,MOD(INT(780/$U$8),$U$7)+1,1)</f>
        <v/>
      </c>
      <c r="BP793">
        <f>IF(780&lt;$U$9,MOD(780,$U$8)+1,1)</f>
        <v/>
      </c>
      <c r="BQ793">
        <f>IF(780&lt;$U$9,SUMPRODUCT(($D$10:$L$10&lt;&gt;"")*(($D$9:$L$9+INT(($S$12:$AA$12+INDEX($AJ$13:$AR$162,BN793,0)+INDEX($AT$13:$BB$162,BO793,0)+INDEX($BD$13:$BL$162,BP793,0))/100))&gt;=$D$10:$L$10)),0)</f>
        <v/>
      </c>
      <c r="BR793">
        <f>IF(780&lt;$U$9,SUMPRODUCT(($D$10:$L$10&lt;&gt;"")*(($D$10:$L$10-($D$9:$L$9+INT(($S$12:$AA$12+INDEX($AJ$13:$AR$162,BN793,0)+INDEX($AT$13:$BB$162,BO793,0)+INDEX($BD$13:$BL$162,BP793,0))/100)))&gt;0)*($D$10:$L$10-($D$9:$L$9+INT(($S$12:$AA$12+INDEX($AJ$13:$AR$162,BN793,0)+INDEX($AT$13:$BB$162,BO793,0)+INDEX($BD$13:$BL$162,BP793,0))/100)))),0)</f>
        <v/>
      </c>
      <c r="BS793">
        <f>IF(780&lt;$U$9,SUMPRODUCT(($D$9:$L$9+INT(($S$12:$AA$12+INDEX($AJ$13:$AR$162,BN793,0)+INDEX($AT$13:$BB$162,BO793,0)+INDEX($BD$13:$BL$162,BP793,0))/100))),0)</f>
        <v/>
      </c>
      <c r="BT793">
        <f>IF(AND(780&lt;$U$9,$W$5),BQ793*1000000-MIN(BR793,999)*1000+BS793-780/100000,-1000000000-780)</f>
        <v/>
      </c>
    </row>
    <row r="794">
      <c r="BN794">
        <f>IF(781&lt;$U$9,INT(781/($U$7*$U$8))+1,1)</f>
        <v/>
      </c>
      <c r="BO794">
        <f>IF(781&lt;$U$9,MOD(INT(781/$U$8),$U$7)+1,1)</f>
        <v/>
      </c>
      <c r="BP794">
        <f>IF(781&lt;$U$9,MOD(781,$U$8)+1,1)</f>
        <v/>
      </c>
      <c r="BQ794">
        <f>IF(781&lt;$U$9,SUMPRODUCT(($D$10:$L$10&lt;&gt;"")*(($D$9:$L$9+INT(($S$12:$AA$12+INDEX($AJ$13:$AR$162,BN794,0)+INDEX($AT$13:$BB$162,BO794,0)+INDEX($BD$13:$BL$162,BP794,0))/100))&gt;=$D$10:$L$10)),0)</f>
        <v/>
      </c>
      <c r="BR794">
        <f>IF(781&lt;$U$9,SUMPRODUCT(($D$10:$L$10&lt;&gt;"")*(($D$10:$L$10-($D$9:$L$9+INT(($S$12:$AA$12+INDEX($AJ$13:$AR$162,BN794,0)+INDEX($AT$13:$BB$162,BO794,0)+INDEX($BD$13:$BL$162,BP794,0))/100)))&gt;0)*($D$10:$L$10-($D$9:$L$9+INT(($S$12:$AA$12+INDEX($AJ$13:$AR$162,BN794,0)+INDEX($AT$13:$BB$162,BO794,0)+INDEX($BD$13:$BL$162,BP794,0))/100)))),0)</f>
        <v/>
      </c>
      <c r="BS794">
        <f>IF(781&lt;$U$9,SUMPRODUCT(($D$9:$L$9+INT(($S$12:$AA$12+INDEX($AJ$13:$AR$162,BN794,0)+INDEX($AT$13:$BB$162,BO794,0)+INDEX($BD$13:$BL$162,BP794,0))/100))),0)</f>
        <v/>
      </c>
      <c r="BT794">
        <f>IF(AND(781&lt;$U$9,$W$5),BQ794*1000000-MIN(BR794,999)*1000+BS794-781/100000,-1000000000-781)</f>
        <v/>
      </c>
    </row>
    <row r="795">
      <c r="BN795">
        <f>IF(782&lt;$U$9,INT(782/($U$7*$U$8))+1,1)</f>
        <v/>
      </c>
      <c r="BO795">
        <f>IF(782&lt;$U$9,MOD(INT(782/$U$8),$U$7)+1,1)</f>
        <v/>
      </c>
      <c r="BP795">
        <f>IF(782&lt;$U$9,MOD(782,$U$8)+1,1)</f>
        <v/>
      </c>
      <c r="BQ795">
        <f>IF(782&lt;$U$9,SUMPRODUCT(($D$10:$L$10&lt;&gt;"")*(($D$9:$L$9+INT(($S$12:$AA$12+INDEX($AJ$13:$AR$162,BN795,0)+INDEX($AT$13:$BB$162,BO795,0)+INDEX($BD$13:$BL$162,BP795,0))/100))&gt;=$D$10:$L$10)),0)</f>
        <v/>
      </c>
      <c r="BR795">
        <f>IF(782&lt;$U$9,SUMPRODUCT(($D$10:$L$10&lt;&gt;"")*(($D$10:$L$10-($D$9:$L$9+INT(($S$12:$AA$12+INDEX($AJ$13:$AR$162,BN795,0)+INDEX($AT$13:$BB$162,BO795,0)+INDEX($BD$13:$BL$162,BP795,0))/100)))&gt;0)*($D$10:$L$10-($D$9:$L$9+INT(($S$12:$AA$12+INDEX($AJ$13:$AR$162,BN795,0)+INDEX($AT$13:$BB$162,BO795,0)+INDEX($BD$13:$BL$162,BP795,0))/100)))),0)</f>
        <v/>
      </c>
      <c r="BS795">
        <f>IF(782&lt;$U$9,SUMPRODUCT(($D$9:$L$9+INT(($S$12:$AA$12+INDEX($AJ$13:$AR$162,BN795,0)+INDEX($AT$13:$BB$162,BO795,0)+INDEX($BD$13:$BL$162,BP795,0))/100))),0)</f>
        <v/>
      </c>
      <c r="BT795">
        <f>IF(AND(782&lt;$U$9,$W$5),BQ795*1000000-MIN(BR795,999)*1000+BS795-782/100000,-1000000000-782)</f>
        <v/>
      </c>
    </row>
    <row r="796">
      <c r="BN796">
        <f>IF(783&lt;$U$9,INT(783/($U$7*$U$8))+1,1)</f>
        <v/>
      </c>
      <c r="BO796">
        <f>IF(783&lt;$U$9,MOD(INT(783/$U$8),$U$7)+1,1)</f>
        <v/>
      </c>
      <c r="BP796">
        <f>IF(783&lt;$U$9,MOD(783,$U$8)+1,1)</f>
        <v/>
      </c>
      <c r="BQ796">
        <f>IF(783&lt;$U$9,SUMPRODUCT(($D$10:$L$10&lt;&gt;"")*(($D$9:$L$9+INT(($S$12:$AA$12+INDEX($AJ$13:$AR$162,BN796,0)+INDEX($AT$13:$BB$162,BO796,0)+INDEX($BD$13:$BL$162,BP796,0))/100))&gt;=$D$10:$L$10)),0)</f>
        <v/>
      </c>
      <c r="BR796">
        <f>IF(783&lt;$U$9,SUMPRODUCT(($D$10:$L$10&lt;&gt;"")*(($D$10:$L$10-($D$9:$L$9+INT(($S$12:$AA$12+INDEX($AJ$13:$AR$162,BN796,0)+INDEX($AT$13:$BB$162,BO796,0)+INDEX($BD$13:$BL$162,BP796,0))/100)))&gt;0)*($D$10:$L$10-($D$9:$L$9+INT(($S$12:$AA$12+INDEX($AJ$13:$AR$162,BN796,0)+INDEX($AT$13:$BB$162,BO796,0)+INDEX($BD$13:$BL$162,BP796,0))/100)))),0)</f>
        <v/>
      </c>
      <c r="BS796">
        <f>IF(783&lt;$U$9,SUMPRODUCT(($D$9:$L$9+INT(($S$12:$AA$12+INDEX($AJ$13:$AR$162,BN796,0)+INDEX($AT$13:$BB$162,BO796,0)+INDEX($BD$13:$BL$162,BP796,0))/100))),0)</f>
        <v/>
      </c>
      <c r="BT796">
        <f>IF(AND(783&lt;$U$9,$W$5),BQ796*1000000-MIN(BR796,999)*1000+BS796-783/100000,-1000000000-783)</f>
        <v/>
      </c>
    </row>
    <row r="797">
      <c r="BN797">
        <f>IF(784&lt;$U$9,INT(784/($U$7*$U$8))+1,1)</f>
        <v/>
      </c>
      <c r="BO797">
        <f>IF(784&lt;$U$9,MOD(INT(784/$U$8),$U$7)+1,1)</f>
        <v/>
      </c>
      <c r="BP797">
        <f>IF(784&lt;$U$9,MOD(784,$U$8)+1,1)</f>
        <v/>
      </c>
      <c r="BQ797">
        <f>IF(784&lt;$U$9,SUMPRODUCT(($D$10:$L$10&lt;&gt;"")*(($D$9:$L$9+INT(($S$12:$AA$12+INDEX($AJ$13:$AR$162,BN797,0)+INDEX($AT$13:$BB$162,BO797,0)+INDEX($BD$13:$BL$162,BP797,0))/100))&gt;=$D$10:$L$10)),0)</f>
        <v/>
      </c>
      <c r="BR797">
        <f>IF(784&lt;$U$9,SUMPRODUCT(($D$10:$L$10&lt;&gt;"")*(($D$10:$L$10-($D$9:$L$9+INT(($S$12:$AA$12+INDEX($AJ$13:$AR$162,BN797,0)+INDEX($AT$13:$BB$162,BO797,0)+INDEX($BD$13:$BL$162,BP797,0))/100)))&gt;0)*($D$10:$L$10-($D$9:$L$9+INT(($S$12:$AA$12+INDEX($AJ$13:$AR$162,BN797,0)+INDEX($AT$13:$BB$162,BO797,0)+INDEX($BD$13:$BL$162,BP797,0))/100)))),0)</f>
        <v/>
      </c>
      <c r="BS797">
        <f>IF(784&lt;$U$9,SUMPRODUCT(($D$9:$L$9+INT(($S$12:$AA$12+INDEX($AJ$13:$AR$162,BN797,0)+INDEX($AT$13:$BB$162,BO797,0)+INDEX($BD$13:$BL$162,BP797,0))/100))),0)</f>
        <v/>
      </c>
      <c r="BT797">
        <f>IF(AND(784&lt;$U$9,$W$5),BQ797*1000000-MIN(BR797,999)*1000+BS797-784/100000,-1000000000-784)</f>
        <v/>
      </c>
    </row>
    <row r="798">
      <c r="BN798">
        <f>IF(785&lt;$U$9,INT(785/($U$7*$U$8))+1,1)</f>
        <v/>
      </c>
      <c r="BO798">
        <f>IF(785&lt;$U$9,MOD(INT(785/$U$8),$U$7)+1,1)</f>
        <v/>
      </c>
      <c r="BP798">
        <f>IF(785&lt;$U$9,MOD(785,$U$8)+1,1)</f>
        <v/>
      </c>
      <c r="BQ798">
        <f>IF(785&lt;$U$9,SUMPRODUCT(($D$10:$L$10&lt;&gt;"")*(($D$9:$L$9+INT(($S$12:$AA$12+INDEX($AJ$13:$AR$162,BN798,0)+INDEX($AT$13:$BB$162,BO798,0)+INDEX($BD$13:$BL$162,BP798,0))/100))&gt;=$D$10:$L$10)),0)</f>
        <v/>
      </c>
      <c r="BR798">
        <f>IF(785&lt;$U$9,SUMPRODUCT(($D$10:$L$10&lt;&gt;"")*(($D$10:$L$10-($D$9:$L$9+INT(($S$12:$AA$12+INDEX($AJ$13:$AR$162,BN798,0)+INDEX($AT$13:$BB$162,BO798,0)+INDEX($BD$13:$BL$162,BP798,0))/100)))&gt;0)*($D$10:$L$10-($D$9:$L$9+INT(($S$12:$AA$12+INDEX($AJ$13:$AR$162,BN798,0)+INDEX($AT$13:$BB$162,BO798,0)+INDEX($BD$13:$BL$162,BP798,0))/100)))),0)</f>
        <v/>
      </c>
      <c r="BS798">
        <f>IF(785&lt;$U$9,SUMPRODUCT(($D$9:$L$9+INT(($S$12:$AA$12+INDEX($AJ$13:$AR$162,BN798,0)+INDEX($AT$13:$BB$162,BO798,0)+INDEX($BD$13:$BL$162,BP798,0))/100))),0)</f>
        <v/>
      </c>
      <c r="BT798">
        <f>IF(AND(785&lt;$U$9,$W$5),BQ798*1000000-MIN(BR798,999)*1000+BS798-785/100000,-1000000000-785)</f>
        <v/>
      </c>
    </row>
    <row r="799">
      <c r="BN799">
        <f>IF(786&lt;$U$9,INT(786/($U$7*$U$8))+1,1)</f>
        <v/>
      </c>
      <c r="BO799">
        <f>IF(786&lt;$U$9,MOD(INT(786/$U$8),$U$7)+1,1)</f>
        <v/>
      </c>
      <c r="BP799">
        <f>IF(786&lt;$U$9,MOD(786,$U$8)+1,1)</f>
        <v/>
      </c>
      <c r="BQ799">
        <f>IF(786&lt;$U$9,SUMPRODUCT(($D$10:$L$10&lt;&gt;"")*(($D$9:$L$9+INT(($S$12:$AA$12+INDEX($AJ$13:$AR$162,BN799,0)+INDEX($AT$13:$BB$162,BO799,0)+INDEX($BD$13:$BL$162,BP799,0))/100))&gt;=$D$10:$L$10)),0)</f>
        <v/>
      </c>
      <c r="BR799">
        <f>IF(786&lt;$U$9,SUMPRODUCT(($D$10:$L$10&lt;&gt;"")*(($D$10:$L$10-($D$9:$L$9+INT(($S$12:$AA$12+INDEX($AJ$13:$AR$162,BN799,0)+INDEX($AT$13:$BB$162,BO799,0)+INDEX($BD$13:$BL$162,BP799,0))/100)))&gt;0)*($D$10:$L$10-($D$9:$L$9+INT(($S$12:$AA$12+INDEX($AJ$13:$AR$162,BN799,0)+INDEX($AT$13:$BB$162,BO799,0)+INDEX($BD$13:$BL$162,BP799,0))/100)))),0)</f>
        <v/>
      </c>
      <c r="BS799">
        <f>IF(786&lt;$U$9,SUMPRODUCT(($D$9:$L$9+INT(($S$12:$AA$12+INDEX($AJ$13:$AR$162,BN799,0)+INDEX($AT$13:$BB$162,BO799,0)+INDEX($BD$13:$BL$162,BP799,0))/100))),0)</f>
        <v/>
      </c>
      <c r="BT799">
        <f>IF(AND(786&lt;$U$9,$W$5),BQ799*1000000-MIN(BR799,999)*1000+BS799-786/100000,-1000000000-786)</f>
        <v/>
      </c>
    </row>
    <row r="800">
      <c r="BN800">
        <f>IF(787&lt;$U$9,INT(787/($U$7*$U$8))+1,1)</f>
        <v/>
      </c>
      <c r="BO800">
        <f>IF(787&lt;$U$9,MOD(INT(787/$U$8),$U$7)+1,1)</f>
        <v/>
      </c>
      <c r="BP800">
        <f>IF(787&lt;$U$9,MOD(787,$U$8)+1,1)</f>
        <v/>
      </c>
      <c r="BQ800">
        <f>IF(787&lt;$U$9,SUMPRODUCT(($D$10:$L$10&lt;&gt;"")*(($D$9:$L$9+INT(($S$12:$AA$12+INDEX($AJ$13:$AR$162,BN800,0)+INDEX($AT$13:$BB$162,BO800,0)+INDEX($BD$13:$BL$162,BP800,0))/100))&gt;=$D$10:$L$10)),0)</f>
        <v/>
      </c>
      <c r="BR800">
        <f>IF(787&lt;$U$9,SUMPRODUCT(($D$10:$L$10&lt;&gt;"")*(($D$10:$L$10-($D$9:$L$9+INT(($S$12:$AA$12+INDEX($AJ$13:$AR$162,BN800,0)+INDEX($AT$13:$BB$162,BO800,0)+INDEX($BD$13:$BL$162,BP800,0))/100)))&gt;0)*($D$10:$L$10-($D$9:$L$9+INT(($S$12:$AA$12+INDEX($AJ$13:$AR$162,BN800,0)+INDEX($AT$13:$BB$162,BO800,0)+INDEX($BD$13:$BL$162,BP800,0))/100)))),0)</f>
        <v/>
      </c>
      <c r="BS800">
        <f>IF(787&lt;$U$9,SUMPRODUCT(($D$9:$L$9+INT(($S$12:$AA$12+INDEX($AJ$13:$AR$162,BN800,0)+INDEX($AT$13:$BB$162,BO800,0)+INDEX($BD$13:$BL$162,BP800,0))/100))),0)</f>
        <v/>
      </c>
      <c r="BT800">
        <f>IF(AND(787&lt;$U$9,$W$5),BQ800*1000000-MIN(BR800,999)*1000+BS800-787/100000,-1000000000-787)</f>
        <v/>
      </c>
    </row>
    <row r="801">
      <c r="BN801">
        <f>IF(788&lt;$U$9,INT(788/($U$7*$U$8))+1,1)</f>
        <v/>
      </c>
      <c r="BO801">
        <f>IF(788&lt;$U$9,MOD(INT(788/$U$8),$U$7)+1,1)</f>
        <v/>
      </c>
      <c r="BP801">
        <f>IF(788&lt;$U$9,MOD(788,$U$8)+1,1)</f>
        <v/>
      </c>
      <c r="BQ801">
        <f>IF(788&lt;$U$9,SUMPRODUCT(($D$10:$L$10&lt;&gt;"")*(($D$9:$L$9+INT(($S$12:$AA$12+INDEX($AJ$13:$AR$162,BN801,0)+INDEX($AT$13:$BB$162,BO801,0)+INDEX($BD$13:$BL$162,BP801,0))/100))&gt;=$D$10:$L$10)),0)</f>
        <v/>
      </c>
      <c r="BR801">
        <f>IF(788&lt;$U$9,SUMPRODUCT(($D$10:$L$10&lt;&gt;"")*(($D$10:$L$10-($D$9:$L$9+INT(($S$12:$AA$12+INDEX($AJ$13:$AR$162,BN801,0)+INDEX($AT$13:$BB$162,BO801,0)+INDEX($BD$13:$BL$162,BP801,0))/100)))&gt;0)*($D$10:$L$10-($D$9:$L$9+INT(($S$12:$AA$12+INDEX($AJ$13:$AR$162,BN801,0)+INDEX($AT$13:$BB$162,BO801,0)+INDEX($BD$13:$BL$162,BP801,0))/100)))),0)</f>
        <v/>
      </c>
      <c r="BS801">
        <f>IF(788&lt;$U$9,SUMPRODUCT(($D$9:$L$9+INT(($S$12:$AA$12+INDEX($AJ$13:$AR$162,BN801,0)+INDEX($AT$13:$BB$162,BO801,0)+INDEX($BD$13:$BL$162,BP801,0))/100))),0)</f>
        <v/>
      </c>
      <c r="BT801">
        <f>IF(AND(788&lt;$U$9,$W$5),BQ801*1000000-MIN(BR801,999)*1000+BS801-788/100000,-1000000000-788)</f>
        <v/>
      </c>
    </row>
    <row r="802">
      <c r="BN802">
        <f>IF(789&lt;$U$9,INT(789/($U$7*$U$8))+1,1)</f>
        <v/>
      </c>
      <c r="BO802">
        <f>IF(789&lt;$U$9,MOD(INT(789/$U$8),$U$7)+1,1)</f>
        <v/>
      </c>
      <c r="BP802">
        <f>IF(789&lt;$U$9,MOD(789,$U$8)+1,1)</f>
        <v/>
      </c>
      <c r="BQ802">
        <f>IF(789&lt;$U$9,SUMPRODUCT(($D$10:$L$10&lt;&gt;"")*(($D$9:$L$9+INT(($S$12:$AA$12+INDEX($AJ$13:$AR$162,BN802,0)+INDEX($AT$13:$BB$162,BO802,0)+INDEX($BD$13:$BL$162,BP802,0))/100))&gt;=$D$10:$L$10)),0)</f>
        <v/>
      </c>
      <c r="BR802">
        <f>IF(789&lt;$U$9,SUMPRODUCT(($D$10:$L$10&lt;&gt;"")*(($D$10:$L$10-($D$9:$L$9+INT(($S$12:$AA$12+INDEX($AJ$13:$AR$162,BN802,0)+INDEX($AT$13:$BB$162,BO802,0)+INDEX($BD$13:$BL$162,BP802,0))/100)))&gt;0)*($D$10:$L$10-($D$9:$L$9+INT(($S$12:$AA$12+INDEX($AJ$13:$AR$162,BN802,0)+INDEX($AT$13:$BB$162,BO802,0)+INDEX($BD$13:$BL$162,BP802,0))/100)))),0)</f>
        <v/>
      </c>
      <c r="BS802">
        <f>IF(789&lt;$U$9,SUMPRODUCT(($D$9:$L$9+INT(($S$12:$AA$12+INDEX($AJ$13:$AR$162,BN802,0)+INDEX($AT$13:$BB$162,BO802,0)+INDEX($BD$13:$BL$162,BP802,0))/100))),0)</f>
        <v/>
      </c>
      <c r="BT802">
        <f>IF(AND(789&lt;$U$9,$W$5),BQ802*1000000-MIN(BR802,999)*1000+BS802-789/100000,-1000000000-789)</f>
        <v/>
      </c>
    </row>
    <row r="803">
      <c r="BN803">
        <f>IF(790&lt;$U$9,INT(790/($U$7*$U$8))+1,1)</f>
        <v/>
      </c>
      <c r="BO803">
        <f>IF(790&lt;$U$9,MOD(INT(790/$U$8),$U$7)+1,1)</f>
        <v/>
      </c>
      <c r="BP803">
        <f>IF(790&lt;$U$9,MOD(790,$U$8)+1,1)</f>
        <v/>
      </c>
      <c r="BQ803">
        <f>IF(790&lt;$U$9,SUMPRODUCT(($D$10:$L$10&lt;&gt;"")*(($D$9:$L$9+INT(($S$12:$AA$12+INDEX($AJ$13:$AR$162,BN803,0)+INDEX($AT$13:$BB$162,BO803,0)+INDEX($BD$13:$BL$162,BP803,0))/100))&gt;=$D$10:$L$10)),0)</f>
        <v/>
      </c>
      <c r="BR803">
        <f>IF(790&lt;$U$9,SUMPRODUCT(($D$10:$L$10&lt;&gt;"")*(($D$10:$L$10-($D$9:$L$9+INT(($S$12:$AA$12+INDEX($AJ$13:$AR$162,BN803,0)+INDEX($AT$13:$BB$162,BO803,0)+INDEX($BD$13:$BL$162,BP803,0))/100)))&gt;0)*($D$10:$L$10-($D$9:$L$9+INT(($S$12:$AA$12+INDEX($AJ$13:$AR$162,BN803,0)+INDEX($AT$13:$BB$162,BO803,0)+INDEX($BD$13:$BL$162,BP803,0))/100)))),0)</f>
        <v/>
      </c>
      <c r="BS803">
        <f>IF(790&lt;$U$9,SUMPRODUCT(($D$9:$L$9+INT(($S$12:$AA$12+INDEX($AJ$13:$AR$162,BN803,0)+INDEX($AT$13:$BB$162,BO803,0)+INDEX($BD$13:$BL$162,BP803,0))/100))),0)</f>
        <v/>
      </c>
      <c r="BT803">
        <f>IF(AND(790&lt;$U$9,$W$5),BQ803*1000000-MIN(BR803,999)*1000+BS803-790/100000,-1000000000-790)</f>
        <v/>
      </c>
    </row>
    <row r="804">
      <c r="BN804">
        <f>IF(791&lt;$U$9,INT(791/($U$7*$U$8))+1,1)</f>
        <v/>
      </c>
      <c r="BO804">
        <f>IF(791&lt;$U$9,MOD(INT(791/$U$8),$U$7)+1,1)</f>
        <v/>
      </c>
      <c r="BP804">
        <f>IF(791&lt;$U$9,MOD(791,$U$8)+1,1)</f>
        <v/>
      </c>
      <c r="BQ804">
        <f>IF(791&lt;$U$9,SUMPRODUCT(($D$10:$L$10&lt;&gt;"")*(($D$9:$L$9+INT(($S$12:$AA$12+INDEX($AJ$13:$AR$162,BN804,0)+INDEX($AT$13:$BB$162,BO804,0)+INDEX($BD$13:$BL$162,BP804,0))/100))&gt;=$D$10:$L$10)),0)</f>
        <v/>
      </c>
      <c r="BR804">
        <f>IF(791&lt;$U$9,SUMPRODUCT(($D$10:$L$10&lt;&gt;"")*(($D$10:$L$10-($D$9:$L$9+INT(($S$12:$AA$12+INDEX($AJ$13:$AR$162,BN804,0)+INDEX($AT$13:$BB$162,BO804,0)+INDEX($BD$13:$BL$162,BP804,0))/100)))&gt;0)*($D$10:$L$10-($D$9:$L$9+INT(($S$12:$AA$12+INDEX($AJ$13:$AR$162,BN804,0)+INDEX($AT$13:$BB$162,BO804,0)+INDEX($BD$13:$BL$162,BP804,0))/100)))),0)</f>
        <v/>
      </c>
      <c r="BS804">
        <f>IF(791&lt;$U$9,SUMPRODUCT(($D$9:$L$9+INT(($S$12:$AA$12+INDEX($AJ$13:$AR$162,BN804,0)+INDEX($AT$13:$BB$162,BO804,0)+INDEX($BD$13:$BL$162,BP804,0))/100))),0)</f>
        <v/>
      </c>
      <c r="BT804">
        <f>IF(AND(791&lt;$U$9,$W$5),BQ804*1000000-MIN(BR804,999)*1000+BS804-791/100000,-1000000000-791)</f>
        <v/>
      </c>
    </row>
    <row r="805">
      <c r="BN805">
        <f>IF(792&lt;$U$9,INT(792/($U$7*$U$8))+1,1)</f>
        <v/>
      </c>
      <c r="BO805">
        <f>IF(792&lt;$U$9,MOD(INT(792/$U$8),$U$7)+1,1)</f>
        <v/>
      </c>
      <c r="BP805">
        <f>IF(792&lt;$U$9,MOD(792,$U$8)+1,1)</f>
        <v/>
      </c>
      <c r="BQ805">
        <f>IF(792&lt;$U$9,SUMPRODUCT(($D$10:$L$10&lt;&gt;"")*(($D$9:$L$9+INT(($S$12:$AA$12+INDEX($AJ$13:$AR$162,BN805,0)+INDEX($AT$13:$BB$162,BO805,0)+INDEX($BD$13:$BL$162,BP805,0))/100))&gt;=$D$10:$L$10)),0)</f>
        <v/>
      </c>
      <c r="BR805">
        <f>IF(792&lt;$U$9,SUMPRODUCT(($D$10:$L$10&lt;&gt;"")*(($D$10:$L$10-($D$9:$L$9+INT(($S$12:$AA$12+INDEX($AJ$13:$AR$162,BN805,0)+INDEX($AT$13:$BB$162,BO805,0)+INDEX($BD$13:$BL$162,BP805,0))/100)))&gt;0)*($D$10:$L$10-($D$9:$L$9+INT(($S$12:$AA$12+INDEX($AJ$13:$AR$162,BN805,0)+INDEX($AT$13:$BB$162,BO805,0)+INDEX($BD$13:$BL$162,BP805,0))/100)))),0)</f>
        <v/>
      </c>
      <c r="BS805">
        <f>IF(792&lt;$U$9,SUMPRODUCT(($D$9:$L$9+INT(($S$12:$AA$12+INDEX($AJ$13:$AR$162,BN805,0)+INDEX($AT$13:$BB$162,BO805,0)+INDEX($BD$13:$BL$162,BP805,0))/100))),0)</f>
        <v/>
      </c>
      <c r="BT805">
        <f>IF(AND(792&lt;$U$9,$W$5),BQ805*1000000-MIN(BR805,999)*1000+BS805-792/100000,-1000000000-792)</f>
        <v/>
      </c>
    </row>
    <row r="806">
      <c r="BN806">
        <f>IF(793&lt;$U$9,INT(793/($U$7*$U$8))+1,1)</f>
        <v/>
      </c>
      <c r="BO806">
        <f>IF(793&lt;$U$9,MOD(INT(793/$U$8),$U$7)+1,1)</f>
        <v/>
      </c>
      <c r="BP806">
        <f>IF(793&lt;$U$9,MOD(793,$U$8)+1,1)</f>
        <v/>
      </c>
      <c r="BQ806">
        <f>IF(793&lt;$U$9,SUMPRODUCT(($D$10:$L$10&lt;&gt;"")*(($D$9:$L$9+INT(($S$12:$AA$12+INDEX($AJ$13:$AR$162,BN806,0)+INDEX($AT$13:$BB$162,BO806,0)+INDEX($BD$13:$BL$162,BP806,0))/100))&gt;=$D$10:$L$10)),0)</f>
        <v/>
      </c>
      <c r="BR806">
        <f>IF(793&lt;$U$9,SUMPRODUCT(($D$10:$L$10&lt;&gt;"")*(($D$10:$L$10-($D$9:$L$9+INT(($S$12:$AA$12+INDEX($AJ$13:$AR$162,BN806,0)+INDEX($AT$13:$BB$162,BO806,0)+INDEX($BD$13:$BL$162,BP806,0))/100)))&gt;0)*($D$10:$L$10-($D$9:$L$9+INT(($S$12:$AA$12+INDEX($AJ$13:$AR$162,BN806,0)+INDEX($AT$13:$BB$162,BO806,0)+INDEX($BD$13:$BL$162,BP806,0))/100)))),0)</f>
        <v/>
      </c>
      <c r="BS806">
        <f>IF(793&lt;$U$9,SUMPRODUCT(($D$9:$L$9+INT(($S$12:$AA$12+INDEX($AJ$13:$AR$162,BN806,0)+INDEX($AT$13:$BB$162,BO806,0)+INDEX($BD$13:$BL$162,BP806,0))/100))),0)</f>
        <v/>
      </c>
      <c r="BT806">
        <f>IF(AND(793&lt;$U$9,$W$5),BQ806*1000000-MIN(BR806,999)*1000+BS806-793/100000,-1000000000-793)</f>
        <v/>
      </c>
    </row>
    <row r="807">
      <c r="BN807">
        <f>IF(794&lt;$U$9,INT(794/($U$7*$U$8))+1,1)</f>
        <v/>
      </c>
      <c r="BO807">
        <f>IF(794&lt;$U$9,MOD(INT(794/$U$8),$U$7)+1,1)</f>
        <v/>
      </c>
      <c r="BP807">
        <f>IF(794&lt;$U$9,MOD(794,$U$8)+1,1)</f>
        <v/>
      </c>
      <c r="BQ807">
        <f>IF(794&lt;$U$9,SUMPRODUCT(($D$10:$L$10&lt;&gt;"")*(($D$9:$L$9+INT(($S$12:$AA$12+INDEX($AJ$13:$AR$162,BN807,0)+INDEX($AT$13:$BB$162,BO807,0)+INDEX($BD$13:$BL$162,BP807,0))/100))&gt;=$D$10:$L$10)),0)</f>
        <v/>
      </c>
      <c r="BR807">
        <f>IF(794&lt;$U$9,SUMPRODUCT(($D$10:$L$10&lt;&gt;"")*(($D$10:$L$10-($D$9:$L$9+INT(($S$12:$AA$12+INDEX($AJ$13:$AR$162,BN807,0)+INDEX($AT$13:$BB$162,BO807,0)+INDEX($BD$13:$BL$162,BP807,0))/100)))&gt;0)*($D$10:$L$10-($D$9:$L$9+INT(($S$12:$AA$12+INDEX($AJ$13:$AR$162,BN807,0)+INDEX($AT$13:$BB$162,BO807,0)+INDEX($BD$13:$BL$162,BP807,0))/100)))),0)</f>
        <v/>
      </c>
      <c r="BS807">
        <f>IF(794&lt;$U$9,SUMPRODUCT(($D$9:$L$9+INT(($S$12:$AA$12+INDEX($AJ$13:$AR$162,BN807,0)+INDEX($AT$13:$BB$162,BO807,0)+INDEX($BD$13:$BL$162,BP807,0))/100))),0)</f>
        <v/>
      </c>
      <c r="BT807">
        <f>IF(AND(794&lt;$U$9,$W$5),BQ807*1000000-MIN(BR807,999)*1000+BS807-794/100000,-1000000000-794)</f>
        <v/>
      </c>
    </row>
    <row r="808">
      <c r="BN808">
        <f>IF(795&lt;$U$9,INT(795/($U$7*$U$8))+1,1)</f>
        <v/>
      </c>
      <c r="BO808">
        <f>IF(795&lt;$U$9,MOD(INT(795/$U$8),$U$7)+1,1)</f>
        <v/>
      </c>
      <c r="BP808">
        <f>IF(795&lt;$U$9,MOD(795,$U$8)+1,1)</f>
        <v/>
      </c>
      <c r="BQ808">
        <f>IF(795&lt;$U$9,SUMPRODUCT(($D$10:$L$10&lt;&gt;"")*(($D$9:$L$9+INT(($S$12:$AA$12+INDEX($AJ$13:$AR$162,BN808,0)+INDEX($AT$13:$BB$162,BO808,0)+INDEX($BD$13:$BL$162,BP808,0))/100))&gt;=$D$10:$L$10)),0)</f>
        <v/>
      </c>
      <c r="BR808">
        <f>IF(795&lt;$U$9,SUMPRODUCT(($D$10:$L$10&lt;&gt;"")*(($D$10:$L$10-($D$9:$L$9+INT(($S$12:$AA$12+INDEX($AJ$13:$AR$162,BN808,0)+INDEX($AT$13:$BB$162,BO808,0)+INDEX($BD$13:$BL$162,BP808,0))/100)))&gt;0)*($D$10:$L$10-($D$9:$L$9+INT(($S$12:$AA$12+INDEX($AJ$13:$AR$162,BN808,0)+INDEX($AT$13:$BB$162,BO808,0)+INDEX($BD$13:$BL$162,BP808,0))/100)))),0)</f>
        <v/>
      </c>
      <c r="BS808">
        <f>IF(795&lt;$U$9,SUMPRODUCT(($D$9:$L$9+INT(($S$12:$AA$12+INDEX($AJ$13:$AR$162,BN808,0)+INDEX($AT$13:$BB$162,BO808,0)+INDEX($BD$13:$BL$162,BP808,0))/100))),0)</f>
        <v/>
      </c>
      <c r="BT808">
        <f>IF(AND(795&lt;$U$9,$W$5),BQ808*1000000-MIN(BR808,999)*1000+BS808-795/100000,-1000000000-795)</f>
        <v/>
      </c>
    </row>
    <row r="809">
      <c r="BN809">
        <f>IF(796&lt;$U$9,INT(796/($U$7*$U$8))+1,1)</f>
        <v/>
      </c>
      <c r="BO809">
        <f>IF(796&lt;$U$9,MOD(INT(796/$U$8),$U$7)+1,1)</f>
        <v/>
      </c>
      <c r="BP809">
        <f>IF(796&lt;$U$9,MOD(796,$U$8)+1,1)</f>
        <v/>
      </c>
      <c r="BQ809">
        <f>IF(796&lt;$U$9,SUMPRODUCT(($D$10:$L$10&lt;&gt;"")*(($D$9:$L$9+INT(($S$12:$AA$12+INDEX($AJ$13:$AR$162,BN809,0)+INDEX($AT$13:$BB$162,BO809,0)+INDEX($BD$13:$BL$162,BP809,0))/100))&gt;=$D$10:$L$10)),0)</f>
        <v/>
      </c>
      <c r="BR809">
        <f>IF(796&lt;$U$9,SUMPRODUCT(($D$10:$L$10&lt;&gt;"")*(($D$10:$L$10-($D$9:$L$9+INT(($S$12:$AA$12+INDEX($AJ$13:$AR$162,BN809,0)+INDEX($AT$13:$BB$162,BO809,0)+INDEX($BD$13:$BL$162,BP809,0))/100)))&gt;0)*($D$10:$L$10-($D$9:$L$9+INT(($S$12:$AA$12+INDEX($AJ$13:$AR$162,BN809,0)+INDEX($AT$13:$BB$162,BO809,0)+INDEX($BD$13:$BL$162,BP809,0))/100)))),0)</f>
        <v/>
      </c>
      <c r="BS809">
        <f>IF(796&lt;$U$9,SUMPRODUCT(($D$9:$L$9+INT(($S$12:$AA$12+INDEX($AJ$13:$AR$162,BN809,0)+INDEX($AT$13:$BB$162,BO809,0)+INDEX($BD$13:$BL$162,BP809,0))/100))),0)</f>
        <v/>
      </c>
      <c r="BT809">
        <f>IF(AND(796&lt;$U$9,$W$5),BQ809*1000000-MIN(BR809,999)*1000+BS809-796/100000,-1000000000-796)</f>
        <v/>
      </c>
    </row>
    <row r="810">
      <c r="BN810">
        <f>IF(797&lt;$U$9,INT(797/($U$7*$U$8))+1,1)</f>
        <v/>
      </c>
      <c r="BO810">
        <f>IF(797&lt;$U$9,MOD(INT(797/$U$8),$U$7)+1,1)</f>
        <v/>
      </c>
      <c r="BP810">
        <f>IF(797&lt;$U$9,MOD(797,$U$8)+1,1)</f>
        <v/>
      </c>
      <c r="BQ810">
        <f>IF(797&lt;$U$9,SUMPRODUCT(($D$10:$L$10&lt;&gt;"")*(($D$9:$L$9+INT(($S$12:$AA$12+INDEX($AJ$13:$AR$162,BN810,0)+INDEX($AT$13:$BB$162,BO810,0)+INDEX($BD$13:$BL$162,BP810,0))/100))&gt;=$D$10:$L$10)),0)</f>
        <v/>
      </c>
      <c r="BR810">
        <f>IF(797&lt;$U$9,SUMPRODUCT(($D$10:$L$10&lt;&gt;"")*(($D$10:$L$10-($D$9:$L$9+INT(($S$12:$AA$12+INDEX($AJ$13:$AR$162,BN810,0)+INDEX($AT$13:$BB$162,BO810,0)+INDEX($BD$13:$BL$162,BP810,0))/100)))&gt;0)*($D$10:$L$10-($D$9:$L$9+INT(($S$12:$AA$12+INDEX($AJ$13:$AR$162,BN810,0)+INDEX($AT$13:$BB$162,BO810,0)+INDEX($BD$13:$BL$162,BP810,0))/100)))),0)</f>
        <v/>
      </c>
      <c r="BS810">
        <f>IF(797&lt;$U$9,SUMPRODUCT(($D$9:$L$9+INT(($S$12:$AA$12+INDEX($AJ$13:$AR$162,BN810,0)+INDEX($AT$13:$BB$162,BO810,0)+INDEX($BD$13:$BL$162,BP810,0))/100))),0)</f>
        <v/>
      </c>
      <c r="BT810">
        <f>IF(AND(797&lt;$U$9,$W$5),BQ810*1000000-MIN(BR810,999)*1000+BS810-797/100000,-1000000000-797)</f>
        <v/>
      </c>
    </row>
    <row r="811">
      <c r="BN811">
        <f>IF(798&lt;$U$9,INT(798/($U$7*$U$8))+1,1)</f>
        <v/>
      </c>
      <c r="BO811">
        <f>IF(798&lt;$U$9,MOD(INT(798/$U$8),$U$7)+1,1)</f>
        <v/>
      </c>
      <c r="BP811">
        <f>IF(798&lt;$U$9,MOD(798,$U$8)+1,1)</f>
        <v/>
      </c>
      <c r="BQ811">
        <f>IF(798&lt;$U$9,SUMPRODUCT(($D$10:$L$10&lt;&gt;"")*(($D$9:$L$9+INT(($S$12:$AA$12+INDEX($AJ$13:$AR$162,BN811,0)+INDEX($AT$13:$BB$162,BO811,0)+INDEX($BD$13:$BL$162,BP811,0))/100))&gt;=$D$10:$L$10)),0)</f>
        <v/>
      </c>
      <c r="BR811">
        <f>IF(798&lt;$U$9,SUMPRODUCT(($D$10:$L$10&lt;&gt;"")*(($D$10:$L$10-($D$9:$L$9+INT(($S$12:$AA$12+INDEX($AJ$13:$AR$162,BN811,0)+INDEX($AT$13:$BB$162,BO811,0)+INDEX($BD$13:$BL$162,BP811,0))/100)))&gt;0)*($D$10:$L$10-($D$9:$L$9+INT(($S$12:$AA$12+INDEX($AJ$13:$AR$162,BN811,0)+INDEX($AT$13:$BB$162,BO811,0)+INDEX($BD$13:$BL$162,BP811,0))/100)))),0)</f>
        <v/>
      </c>
      <c r="BS811">
        <f>IF(798&lt;$U$9,SUMPRODUCT(($D$9:$L$9+INT(($S$12:$AA$12+INDEX($AJ$13:$AR$162,BN811,0)+INDEX($AT$13:$BB$162,BO811,0)+INDEX($BD$13:$BL$162,BP811,0))/100))),0)</f>
        <v/>
      </c>
      <c r="BT811">
        <f>IF(AND(798&lt;$U$9,$W$5),BQ811*1000000-MIN(BR811,999)*1000+BS811-798/100000,-1000000000-798)</f>
        <v/>
      </c>
    </row>
    <row r="812">
      <c r="BN812">
        <f>IF(799&lt;$U$9,INT(799/($U$7*$U$8))+1,1)</f>
        <v/>
      </c>
      <c r="BO812">
        <f>IF(799&lt;$U$9,MOD(INT(799/$U$8),$U$7)+1,1)</f>
        <v/>
      </c>
      <c r="BP812">
        <f>IF(799&lt;$U$9,MOD(799,$U$8)+1,1)</f>
        <v/>
      </c>
      <c r="BQ812">
        <f>IF(799&lt;$U$9,SUMPRODUCT(($D$10:$L$10&lt;&gt;"")*(($D$9:$L$9+INT(($S$12:$AA$12+INDEX($AJ$13:$AR$162,BN812,0)+INDEX($AT$13:$BB$162,BO812,0)+INDEX($BD$13:$BL$162,BP812,0))/100))&gt;=$D$10:$L$10)),0)</f>
        <v/>
      </c>
      <c r="BR812">
        <f>IF(799&lt;$U$9,SUMPRODUCT(($D$10:$L$10&lt;&gt;"")*(($D$10:$L$10-($D$9:$L$9+INT(($S$12:$AA$12+INDEX($AJ$13:$AR$162,BN812,0)+INDEX($AT$13:$BB$162,BO812,0)+INDEX($BD$13:$BL$162,BP812,0))/100)))&gt;0)*($D$10:$L$10-($D$9:$L$9+INT(($S$12:$AA$12+INDEX($AJ$13:$AR$162,BN812,0)+INDEX($AT$13:$BB$162,BO812,0)+INDEX($BD$13:$BL$162,BP812,0))/100)))),0)</f>
        <v/>
      </c>
      <c r="BS812">
        <f>IF(799&lt;$U$9,SUMPRODUCT(($D$9:$L$9+INT(($S$12:$AA$12+INDEX($AJ$13:$AR$162,BN812,0)+INDEX($AT$13:$BB$162,BO812,0)+INDEX($BD$13:$BL$162,BP812,0))/100))),0)</f>
        <v/>
      </c>
      <c r="BT812">
        <f>IF(AND(799&lt;$U$9,$W$5),BQ812*1000000-MIN(BR812,999)*1000+BS812-799/100000,-1000000000-799)</f>
        <v/>
      </c>
    </row>
    <row r="813">
      <c r="BN813">
        <f>IF(800&lt;$U$9,INT(800/($U$7*$U$8))+1,1)</f>
        <v/>
      </c>
      <c r="BO813">
        <f>IF(800&lt;$U$9,MOD(INT(800/$U$8),$U$7)+1,1)</f>
        <v/>
      </c>
      <c r="BP813">
        <f>IF(800&lt;$U$9,MOD(800,$U$8)+1,1)</f>
        <v/>
      </c>
      <c r="BQ813">
        <f>IF(800&lt;$U$9,SUMPRODUCT(($D$10:$L$10&lt;&gt;"")*(($D$9:$L$9+INT(($S$12:$AA$12+INDEX($AJ$13:$AR$162,BN813,0)+INDEX($AT$13:$BB$162,BO813,0)+INDEX($BD$13:$BL$162,BP813,0))/100))&gt;=$D$10:$L$10)),0)</f>
        <v/>
      </c>
      <c r="BR813">
        <f>IF(800&lt;$U$9,SUMPRODUCT(($D$10:$L$10&lt;&gt;"")*(($D$10:$L$10-($D$9:$L$9+INT(($S$12:$AA$12+INDEX($AJ$13:$AR$162,BN813,0)+INDEX($AT$13:$BB$162,BO813,0)+INDEX($BD$13:$BL$162,BP813,0))/100)))&gt;0)*($D$10:$L$10-($D$9:$L$9+INT(($S$12:$AA$12+INDEX($AJ$13:$AR$162,BN813,0)+INDEX($AT$13:$BB$162,BO813,0)+INDEX($BD$13:$BL$162,BP813,0))/100)))),0)</f>
        <v/>
      </c>
      <c r="BS813">
        <f>IF(800&lt;$U$9,SUMPRODUCT(($D$9:$L$9+INT(($S$12:$AA$12+INDEX($AJ$13:$AR$162,BN813,0)+INDEX($AT$13:$BB$162,BO813,0)+INDEX($BD$13:$BL$162,BP813,0))/100))),0)</f>
        <v/>
      </c>
      <c r="BT813">
        <f>IF(AND(800&lt;$U$9,$W$5),BQ813*1000000-MIN(BR813,999)*1000+BS813-800/100000,-1000000000-800)</f>
        <v/>
      </c>
    </row>
    <row r="814">
      <c r="BN814">
        <f>IF(801&lt;$U$9,INT(801/($U$7*$U$8))+1,1)</f>
        <v/>
      </c>
      <c r="BO814">
        <f>IF(801&lt;$U$9,MOD(INT(801/$U$8),$U$7)+1,1)</f>
        <v/>
      </c>
      <c r="BP814">
        <f>IF(801&lt;$U$9,MOD(801,$U$8)+1,1)</f>
        <v/>
      </c>
      <c r="BQ814">
        <f>IF(801&lt;$U$9,SUMPRODUCT(($D$10:$L$10&lt;&gt;"")*(($D$9:$L$9+INT(($S$12:$AA$12+INDEX($AJ$13:$AR$162,BN814,0)+INDEX($AT$13:$BB$162,BO814,0)+INDEX($BD$13:$BL$162,BP814,0))/100))&gt;=$D$10:$L$10)),0)</f>
        <v/>
      </c>
      <c r="BR814">
        <f>IF(801&lt;$U$9,SUMPRODUCT(($D$10:$L$10&lt;&gt;"")*(($D$10:$L$10-($D$9:$L$9+INT(($S$12:$AA$12+INDEX($AJ$13:$AR$162,BN814,0)+INDEX($AT$13:$BB$162,BO814,0)+INDEX($BD$13:$BL$162,BP814,0))/100)))&gt;0)*($D$10:$L$10-($D$9:$L$9+INT(($S$12:$AA$12+INDEX($AJ$13:$AR$162,BN814,0)+INDEX($AT$13:$BB$162,BO814,0)+INDEX($BD$13:$BL$162,BP814,0))/100)))),0)</f>
        <v/>
      </c>
      <c r="BS814">
        <f>IF(801&lt;$U$9,SUMPRODUCT(($D$9:$L$9+INT(($S$12:$AA$12+INDEX($AJ$13:$AR$162,BN814,0)+INDEX($AT$13:$BB$162,BO814,0)+INDEX($BD$13:$BL$162,BP814,0))/100))),0)</f>
        <v/>
      </c>
      <c r="BT814">
        <f>IF(AND(801&lt;$U$9,$W$5),BQ814*1000000-MIN(BR814,999)*1000+BS814-801/100000,-1000000000-801)</f>
        <v/>
      </c>
    </row>
    <row r="815">
      <c r="BN815">
        <f>IF(802&lt;$U$9,INT(802/($U$7*$U$8))+1,1)</f>
        <v/>
      </c>
      <c r="BO815">
        <f>IF(802&lt;$U$9,MOD(INT(802/$U$8),$U$7)+1,1)</f>
        <v/>
      </c>
      <c r="BP815">
        <f>IF(802&lt;$U$9,MOD(802,$U$8)+1,1)</f>
        <v/>
      </c>
      <c r="BQ815">
        <f>IF(802&lt;$U$9,SUMPRODUCT(($D$10:$L$10&lt;&gt;"")*(($D$9:$L$9+INT(($S$12:$AA$12+INDEX($AJ$13:$AR$162,BN815,0)+INDEX($AT$13:$BB$162,BO815,0)+INDEX($BD$13:$BL$162,BP815,0))/100))&gt;=$D$10:$L$10)),0)</f>
        <v/>
      </c>
      <c r="BR815">
        <f>IF(802&lt;$U$9,SUMPRODUCT(($D$10:$L$10&lt;&gt;"")*(($D$10:$L$10-($D$9:$L$9+INT(($S$12:$AA$12+INDEX($AJ$13:$AR$162,BN815,0)+INDEX($AT$13:$BB$162,BO815,0)+INDEX($BD$13:$BL$162,BP815,0))/100)))&gt;0)*($D$10:$L$10-($D$9:$L$9+INT(($S$12:$AA$12+INDEX($AJ$13:$AR$162,BN815,0)+INDEX($AT$13:$BB$162,BO815,0)+INDEX($BD$13:$BL$162,BP815,0))/100)))),0)</f>
        <v/>
      </c>
      <c r="BS815">
        <f>IF(802&lt;$U$9,SUMPRODUCT(($D$9:$L$9+INT(($S$12:$AA$12+INDEX($AJ$13:$AR$162,BN815,0)+INDEX($AT$13:$BB$162,BO815,0)+INDEX($BD$13:$BL$162,BP815,0))/100))),0)</f>
        <v/>
      </c>
      <c r="BT815">
        <f>IF(AND(802&lt;$U$9,$W$5),BQ815*1000000-MIN(BR815,999)*1000+BS815-802/100000,-1000000000-802)</f>
        <v/>
      </c>
    </row>
    <row r="816">
      <c r="BN816">
        <f>IF(803&lt;$U$9,INT(803/($U$7*$U$8))+1,1)</f>
        <v/>
      </c>
      <c r="BO816">
        <f>IF(803&lt;$U$9,MOD(INT(803/$U$8),$U$7)+1,1)</f>
        <v/>
      </c>
      <c r="BP816">
        <f>IF(803&lt;$U$9,MOD(803,$U$8)+1,1)</f>
        <v/>
      </c>
      <c r="BQ816">
        <f>IF(803&lt;$U$9,SUMPRODUCT(($D$10:$L$10&lt;&gt;"")*(($D$9:$L$9+INT(($S$12:$AA$12+INDEX($AJ$13:$AR$162,BN816,0)+INDEX($AT$13:$BB$162,BO816,0)+INDEX($BD$13:$BL$162,BP816,0))/100))&gt;=$D$10:$L$10)),0)</f>
        <v/>
      </c>
      <c r="BR816">
        <f>IF(803&lt;$U$9,SUMPRODUCT(($D$10:$L$10&lt;&gt;"")*(($D$10:$L$10-($D$9:$L$9+INT(($S$12:$AA$12+INDEX($AJ$13:$AR$162,BN816,0)+INDEX($AT$13:$BB$162,BO816,0)+INDEX($BD$13:$BL$162,BP816,0))/100)))&gt;0)*($D$10:$L$10-($D$9:$L$9+INT(($S$12:$AA$12+INDEX($AJ$13:$AR$162,BN816,0)+INDEX($AT$13:$BB$162,BO816,0)+INDEX($BD$13:$BL$162,BP816,0))/100)))),0)</f>
        <v/>
      </c>
      <c r="BS816">
        <f>IF(803&lt;$U$9,SUMPRODUCT(($D$9:$L$9+INT(($S$12:$AA$12+INDEX($AJ$13:$AR$162,BN816,0)+INDEX($AT$13:$BB$162,BO816,0)+INDEX($BD$13:$BL$162,BP816,0))/100))),0)</f>
        <v/>
      </c>
      <c r="BT816">
        <f>IF(AND(803&lt;$U$9,$W$5),BQ816*1000000-MIN(BR816,999)*1000+BS816-803/100000,-1000000000-803)</f>
        <v/>
      </c>
    </row>
    <row r="817">
      <c r="BN817">
        <f>IF(804&lt;$U$9,INT(804/($U$7*$U$8))+1,1)</f>
        <v/>
      </c>
      <c r="BO817">
        <f>IF(804&lt;$U$9,MOD(INT(804/$U$8),$U$7)+1,1)</f>
        <v/>
      </c>
      <c r="BP817">
        <f>IF(804&lt;$U$9,MOD(804,$U$8)+1,1)</f>
        <v/>
      </c>
      <c r="BQ817">
        <f>IF(804&lt;$U$9,SUMPRODUCT(($D$10:$L$10&lt;&gt;"")*(($D$9:$L$9+INT(($S$12:$AA$12+INDEX($AJ$13:$AR$162,BN817,0)+INDEX($AT$13:$BB$162,BO817,0)+INDEX($BD$13:$BL$162,BP817,0))/100))&gt;=$D$10:$L$10)),0)</f>
        <v/>
      </c>
      <c r="BR817">
        <f>IF(804&lt;$U$9,SUMPRODUCT(($D$10:$L$10&lt;&gt;"")*(($D$10:$L$10-($D$9:$L$9+INT(($S$12:$AA$12+INDEX($AJ$13:$AR$162,BN817,0)+INDEX($AT$13:$BB$162,BO817,0)+INDEX($BD$13:$BL$162,BP817,0))/100)))&gt;0)*($D$10:$L$10-($D$9:$L$9+INT(($S$12:$AA$12+INDEX($AJ$13:$AR$162,BN817,0)+INDEX($AT$13:$BB$162,BO817,0)+INDEX($BD$13:$BL$162,BP817,0))/100)))),0)</f>
        <v/>
      </c>
      <c r="BS817">
        <f>IF(804&lt;$U$9,SUMPRODUCT(($D$9:$L$9+INT(($S$12:$AA$12+INDEX($AJ$13:$AR$162,BN817,0)+INDEX($AT$13:$BB$162,BO817,0)+INDEX($BD$13:$BL$162,BP817,0))/100))),0)</f>
        <v/>
      </c>
      <c r="BT817">
        <f>IF(AND(804&lt;$U$9,$W$5),BQ817*1000000-MIN(BR817,999)*1000+BS817-804/100000,-1000000000-804)</f>
        <v/>
      </c>
    </row>
    <row r="818">
      <c r="BN818">
        <f>IF(805&lt;$U$9,INT(805/($U$7*$U$8))+1,1)</f>
        <v/>
      </c>
      <c r="BO818">
        <f>IF(805&lt;$U$9,MOD(INT(805/$U$8),$U$7)+1,1)</f>
        <v/>
      </c>
      <c r="BP818">
        <f>IF(805&lt;$U$9,MOD(805,$U$8)+1,1)</f>
        <v/>
      </c>
      <c r="BQ818">
        <f>IF(805&lt;$U$9,SUMPRODUCT(($D$10:$L$10&lt;&gt;"")*(($D$9:$L$9+INT(($S$12:$AA$12+INDEX($AJ$13:$AR$162,BN818,0)+INDEX($AT$13:$BB$162,BO818,0)+INDEX($BD$13:$BL$162,BP818,0))/100))&gt;=$D$10:$L$10)),0)</f>
        <v/>
      </c>
      <c r="BR818">
        <f>IF(805&lt;$U$9,SUMPRODUCT(($D$10:$L$10&lt;&gt;"")*(($D$10:$L$10-($D$9:$L$9+INT(($S$12:$AA$12+INDEX($AJ$13:$AR$162,BN818,0)+INDEX($AT$13:$BB$162,BO818,0)+INDEX($BD$13:$BL$162,BP818,0))/100)))&gt;0)*($D$10:$L$10-($D$9:$L$9+INT(($S$12:$AA$12+INDEX($AJ$13:$AR$162,BN818,0)+INDEX($AT$13:$BB$162,BO818,0)+INDEX($BD$13:$BL$162,BP818,0))/100)))),0)</f>
        <v/>
      </c>
      <c r="BS818">
        <f>IF(805&lt;$U$9,SUMPRODUCT(($D$9:$L$9+INT(($S$12:$AA$12+INDEX($AJ$13:$AR$162,BN818,0)+INDEX($AT$13:$BB$162,BO818,0)+INDEX($BD$13:$BL$162,BP818,0))/100))),0)</f>
        <v/>
      </c>
      <c r="BT818">
        <f>IF(AND(805&lt;$U$9,$W$5),BQ818*1000000-MIN(BR818,999)*1000+BS818-805/100000,-1000000000-805)</f>
        <v/>
      </c>
    </row>
    <row r="819">
      <c r="BN819">
        <f>IF(806&lt;$U$9,INT(806/($U$7*$U$8))+1,1)</f>
        <v/>
      </c>
      <c r="BO819">
        <f>IF(806&lt;$U$9,MOD(INT(806/$U$8),$U$7)+1,1)</f>
        <v/>
      </c>
      <c r="BP819">
        <f>IF(806&lt;$U$9,MOD(806,$U$8)+1,1)</f>
        <v/>
      </c>
      <c r="BQ819">
        <f>IF(806&lt;$U$9,SUMPRODUCT(($D$10:$L$10&lt;&gt;"")*(($D$9:$L$9+INT(($S$12:$AA$12+INDEX($AJ$13:$AR$162,BN819,0)+INDEX($AT$13:$BB$162,BO819,0)+INDEX($BD$13:$BL$162,BP819,0))/100))&gt;=$D$10:$L$10)),0)</f>
        <v/>
      </c>
      <c r="BR819">
        <f>IF(806&lt;$U$9,SUMPRODUCT(($D$10:$L$10&lt;&gt;"")*(($D$10:$L$10-($D$9:$L$9+INT(($S$12:$AA$12+INDEX($AJ$13:$AR$162,BN819,0)+INDEX($AT$13:$BB$162,BO819,0)+INDEX($BD$13:$BL$162,BP819,0))/100)))&gt;0)*($D$10:$L$10-($D$9:$L$9+INT(($S$12:$AA$12+INDEX($AJ$13:$AR$162,BN819,0)+INDEX($AT$13:$BB$162,BO819,0)+INDEX($BD$13:$BL$162,BP819,0))/100)))),0)</f>
        <v/>
      </c>
      <c r="BS819">
        <f>IF(806&lt;$U$9,SUMPRODUCT(($D$9:$L$9+INT(($S$12:$AA$12+INDEX($AJ$13:$AR$162,BN819,0)+INDEX($AT$13:$BB$162,BO819,0)+INDEX($BD$13:$BL$162,BP819,0))/100))),0)</f>
        <v/>
      </c>
      <c r="BT819">
        <f>IF(AND(806&lt;$U$9,$W$5),BQ819*1000000-MIN(BR819,999)*1000+BS819-806/100000,-1000000000-806)</f>
        <v/>
      </c>
    </row>
    <row r="820">
      <c r="BN820">
        <f>IF(807&lt;$U$9,INT(807/($U$7*$U$8))+1,1)</f>
        <v/>
      </c>
      <c r="BO820">
        <f>IF(807&lt;$U$9,MOD(INT(807/$U$8),$U$7)+1,1)</f>
        <v/>
      </c>
      <c r="BP820">
        <f>IF(807&lt;$U$9,MOD(807,$U$8)+1,1)</f>
        <v/>
      </c>
      <c r="BQ820">
        <f>IF(807&lt;$U$9,SUMPRODUCT(($D$10:$L$10&lt;&gt;"")*(($D$9:$L$9+INT(($S$12:$AA$12+INDEX($AJ$13:$AR$162,BN820,0)+INDEX($AT$13:$BB$162,BO820,0)+INDEX($BD$13:$BL$162,BP820,0))/100))&gt;=$D$10:$L$10)),0)</f>
        <v/>
      </c>
      <c r="BR820">
        <f>IF(807&lt;$U$9,SUMPRODUCT(($D$10:$L$10&lt;&gt;"")*(($D$10:$L$10-($D$9:$L$9+INT(($S$12:$AA$12+INDEX($AJ$13:$AR$162,BN820,0)+INDEX($AT$13:$BB$162,BO820,0)+INDEX($BD$13:$BL$162,BP820,0))/100)))&gt;0)*($D$10:$L$10-($D$9:$L$9+INT(($S$12:$AA$12+INDEX($AJ$13:$AR$162,BN820,0)+INDEX($AT$13:$BB$162,BO820,0)+INDEX($BD$13:$BL$162,BP820,0))/100)))),0)</f>
        <v/>
      </c>
      <c r="BS820">
        <f>IF(807&lt;$U$9,SUMPRODUCT(($D$9:$L$9+INT(($S$12:$AA$12+INDEX($AJ$13:$AR$162,BN820,0)+INDEX($AT$13:$BB$162,BO820,0)+INDEX($BD$13:$BL$162,BP820,0))/100))),0)</f>
        <v/>
      </c>
      <c r="BT820">
        <f>IF(AND(807&lt;$U$9,$W$5),BQ820*1000000-MIN(BR820,999)*1000+BS820-807/100000,-1000000000-807)</f>
        <v/>
      </c>
    </row>
    <row r="821">
      <c r="BN821">
        <f>IF(808&lt;$U$9,INT(808/($U$7*$U$8))+1,1)</f>
        <v/>
      </c>
      <c r="BO821">
        <f>IF(808&lt;$U$9,MOD(INT(808/$U$8),$U$7)+1,1)</f>
        <v/>
      </c>
      <c r="BP821">
        <f>IF(808&lt;$U$9,MOD(808,$U$8)+1,1)</f>
        <v/>
      </c>
      <c r="BQ821">
        <f>IF(808&lt;$U$9,SUMPRODUCT(($D$10:$L$10&lt;&gt;"")*(($D$9:$L$9+INT(($S$12:$AA$12+INDEX($AJ$13:$AR$162,BN821,0)+INDEX($AT$13:$BB$162,BO821,0)+INDEX($BD$13:$BL$162,BP821,0))/100))&gt;=$D$10:$L$10)),0)</f>
        <v/>
      </c>
      <c r="BR821">
        <f>IF(808&lt;$U$9,SUMPRODUCT(($D$10:$L$10&lt;&gt;"")*(($D$10:$L$10-($D$9:$L$9+INT(($S$12:$AA$12+INDEX($AJ$13:$AR$162,BN821,0)+INDEX($AT$13:$BB$162,BO821,0)+INDEX($BD$13:$BL$162,BP821,0))/100)))&gt;0)*($D$10:$L$10-($D$9:$L$9+INT(($S$12:$AA$12+INDEX($AJ$13:$AR$162,BN821,0)+INDEX($AT$13:$BB$162,BO821,0)+INDEX($BD$13:$BL$162,BP821,0))/100)))),0)</f>
        <v/>
      </c>
      <c r="BS821">
        <f>IF(808&lt;$U$9,SUMPRODUCT(($D$9:$L$9+INT(($S$12:$AA$12+INDEX($AJ$13:$AR$162,BN821,0)+INDEX($AT$13:$BB$162,BO821,0)+INDEX($BD$13:$BL$162,BP821,0))/100))),0)</f>
        <v/>
      </c>
      <c r="BT821">
        <f>IF(AND(808&lt;$U$9,$W$5),BQ821*1000000-MIN(BR821,999)*1000+BS821-808/100000,-1000000000-808)</f>
        <v/>
      </c>
    </row>
    <row r="822">
      <c r="BN822">
        <f>IF(809&lt;$U$9,INT(809/($U$7*$U$8))+1,1)</f>
        <v/>
      </c>
      <c r="BO822">
        <f>IF(809&lt;$U$9,MOD(INT(809/$U$8),$U$7)+1,1)</f>
        <v/>
      </c>
      <c r="BP822">
        <f>IF(809&lt;$U$9,MOD(809,$U$8)+1,1)</f>
        <v/>
      </c>
      <c r="BQ822">
        <f>IF(809&lt;$U$9,SUMPRODUCT(($D$10:$L$10&lt;&gt;"")*(($D$9:$L$9+INT(($S$12:$AA$12+INDEX($AJ$13:$AR$162,BN822,0)+INDEX($AT$13:$BB$162,BO822,0)+INDEX($BD$13:$BL$162,BP822,0))/100))&gt;=$D$10:$L$10)),0)</f>
        <v/>
      </c>
      <c r="BR822">
        <f>IF(809&lt;$U$9,SUMPRODUCT(($D$10:$L$10&lt;&gt;"")*(($D$10:$L$10-($D$9:$L$9+INT(($S$12:$AA$12+INDEX($AJ$13:$AR$162,BN822,0)+INDEX($AT$13:$BB$162,BO822,0)+INDEX($BD$13:$BL$162,BP822,0))/100)))&gt;0)*($D$10:$L$10-($D$9:$L$9+INT(($S$12:$AA$12+INDEX($AJ$13:$AR$162,BN822,0)+INDEX($AT$13:$BB$162,BO822,0)+INDEX($BD$13:$BL$162,BP822,0))/100)))),0)</f>
        <v/>
      </c>
      <c r="BS822">
        <f>IF(809&lt;$U$9,SUMPRODUCT(($D$9:$L$9+INT(($S$12:$AA$12+INDEX($AJ$13:$AR$162,BN822,0)+INDEX($AT$13:$BB$162,BO822,0)+INDEX($BD$13:$BL$162,BP822,0))/100))),0)</f>
        <v/>
      </c>
      <c r="BT822">
        <f>IF(AND(809&lt;$U$9,$W$5),BQ822*1000000-MIN(BR822,999)*1000+BS822-809/100000,-1000000000-809)</f>
        <v/>
      </c>
    </row>
    <row r="823">
      <c r="BN823">
        <f>IF(810&lt;$U$9,INT(810/($U$7*$U$8))+1,1)</f>
        <v/>
      </c>
      <c r="BO823">
        <f>IF(810&lt;$U$9,MOD(INT(810/$U$8),$U$7)+1,1)</f>
        <v/>
      </c>
      <c r="BP823">
        <f>IF(810&lt;$U$9,MOD(810,$U$8)+1,1)</f>
        <v/>
      </c>
      <c r="BQ823">
        <f>IF(810&lt;$U$9,SUMPRODUCT(($D$10:$L$10&lt;&gt;"")*(($D$9:$L$9+INT(($S$12:$AA$12+INDEX($AJ$13:$AR$162,BN823,0)+INDEX($AT$13:$BB$162,BO823,0)+INDEX($BD$13:$BL$162,BP823,0))/100))&gt;=$D$10:$L$10)),0)</f>
        <v/>
      </c>
      <c r="BR823">
        <f>IF(810&lt;$U$9,SUMPRODUCT(($D$10:$L$10&lt;&gt;"")*(($D$10:$L$10-($D$9:$L$9+INT(($S$12:$AA$12+INDEX($AJ$13:$AR$162,BN823,0)+INDEX($AT$13:$BB$162,BO823,0)+INDEX($BD$13:$BL$162,BP823,0))/100)))&gt;0)*($D$10:$L$10-($D$9:$L$9+INT(($S$12:$AA$12+INDEX($AJ$13:$AR$162,BN823,0)+INDEX($AT$13:$BB$162,BO823,0)+INDEX($BD$13:$BL$162,BP823,0))/100)))),0)</f>
        <v/>
      </c>
      <c r="BS823">
        <f>IF(810&lt;$U$9,SUMPRODUCT(($D$9:$L$9+INT(($S$12:$AA$12+INDEX($AJ$13:$AR$162,BN823,0)+INDEX($AT$13:$BB$162,BO823,0)+INDEX($BD$13:$BL$162,BP823,0))/100))),0)</f>
        <v/>
      </c>
      <c r="BT823">
        <f>IF(AND(810&lt;$U$9,$W$5),BQ823*1000000-MIN(BR823,999)*1000+BS823-810/100000,-1000000000-810)</f>
        <v/>
      </c>
    </row>
    <row r="824">
      <c r="BN824">
        <f>IF(811&lt;$U$9,INT(811/($U$7*$U$8))+1,1)</f>
        <v/>
      </c>
      <c r="BO824">
        <f>IF(811&lt;$U$9,MOD(INT(811/$U$8),$U$7)+1,1)</f>
        <v/>
      </c>
      <c r="BP824">
        <f>IF(811&lt;$U$9,MOD(811,$U$8)+1,1)</f>
        <v/>
      </c>
      <c r="BQ824">
        <f>IF(811&lt;$U$9,SUMPRODUCT(($D$10:$L$10&lt;&gt;"")*(($D$9:$L$9+INT(($S$12:$AA$12+INDEX($AJ$13:$AR$162,BN824,0)+INDEX($AT$13:$BB$162,BO824,0)+INDEX($BD$13:$BL$162,BP824,0))/100))&gt;=$D$10:$L$10)),0)</f>
        <v/>
      </c>
      <c r="BR824">
        <f>IF(811&lt;$U$9,SUMPRODUCT(($D$10:$L$10&lt;&gt;"")*(($D$10:$L$10-($D$9:$L$9+INT(($S$12:$AA$12+INDEX($AJ$13:$AR$162,BN824,0)+INDEX($AT$13:$BB$162,BO824,0)+INDEX($BD$13:$BL$162,BP824,0))/100)))&gt;0)*($D$10:$L$10-($D$9:$L$9+INT(($S$12:$AA$12+INDEX($AJ$13:$AR$162,BN824,0)+INDEX($AT$13:$BB$162,BO824,0)+INDEX($BD$13:$BL$162,BP824,0))/100)))),0)</f>
        <v/>
      </c>
      <c r="BS824">
        <f>IF(811&lt;$U$9,SUMPRODUCT(($D$9:$L$9+INT(($S$12:$AA$12+INDEX($AJ$13:$AR$162,BN824,0)+INDEX($AT$13:$BB$162,BO824,0)+INDEX($BD$13:$BL$162,BP824,0))/100))),0)</f>
        <v/>
      </c>
      <c r="BT824">
        <f>IF(AND(811&lt;$U$9,$W$5),BQ824*1000000-MIN(BR824,999)*1000+BS824-811/100000,-1000000000-811)</f>
        <v/>
      </c>
    </row>
    <row r="825">
      <c r="BN825">
        <f>IF(812&lt;$U$9,INT(812/($U$7*$U$8))+1,1)</f>
        <v/>
      </c>
      <c r="BO825">
        <f>IF(812&lt;$U$9,MOD(INT(812/$U$8),$U$7)+1,1)</f>
        <v/>
      </c>
      <c r="BP825">
        <f>IF(812&lt;$U$9,MOD(812,$U$8)+1,1)</f>
        <v/>
      </c>
      <c r="BQ825">
        <f>IF(812&lt;$U$9,SUMPRODUCT(($D$10:$L$10&lt;&gt;"")*(($D$9:$L$9+INT(($S$12:$AA$12+INDEX($AJ$13:$AR$162,BN825,0)+INDEX($AT$13:$BB$162,BO825,0)+INDEX($BD$13:$BL$162,BP825,0))/100))&gt;=$D$10:$L$10)),0)</f>
        <v/>
      </c>
      <c r="BR825">
        <f>IF(812&lt;$U$9,SUMPRODUCT(($D$10:$L$10&lt;&gt;"")*(($D$10:$L$10-($D$9:$L$9+INT(($S$12:$AA$12+INDEX($AJ$13:$AR$162,BN825,0)+INDEX($AT$13:$BB$162,BO825,0)+INDEX($BD$13:$BL$162,BP825,0))/100)))&gt;0)*($D$10:$L$10-($D$9:$L$9+INT(($S$12:$AA$12+INDEX($AJ$13:$AR$162,BN825,0)+INDEX($AT$13:$BB$162,BO825,0)+INDEX($BD$13:$BL$162,BP825,0))/100)))),0)</f>
        <v/>
      </c>
      <c r="BS825">
        <f>IF(812&lt;$U$9,SUMPRODUCT(($D$9:$L$9+INT(($S$12:$AA$12+INDEX($AJ$13:$AR$162,BN825,0)+INDEX($AT$13:$BB$162,BO825,0)+INDEX($BD$13:$BL$162,BP825,0))/100))),0)</f>
        <v/>
      </c>
      <c r="BT825">
        <f>IF(AND(812&lt;$U$9,$W$5),BQ825*1000000-MIN(BR825,999)*1000+BS825-812/100000,-1000000000-812)</f>
        <v/>
      </c>
    </row>
    <row r="826">
      <c r="BN826">
        <f>IF(813&lt;$U$9,INT(813/($U$7*$U$8))+1,1)</f>
        <v/>
      </c>
      <c r="BO826">
        <f>IF(813&lt;$U$9,MOD(INT(813/$U$8),$U$7)+1,1)</f>
        <v/>
      </c>
      <c r="BP826">
        <f>IF(813&lt;$U$9,MOD(813,$U$8)+1,1)</f>
        <v/>
      </c>
      <c r="BQ826">
        <f>IF(813&lt;$U$9,SUMPRODUCT(($D$10:$L$10&lt;&gt;"")*(($D$9:$L$9+INT(($S$12:$AA$12+INDEX($AJ$13:$AR$162,BN826,0)+INDEX($AT$13:$BB$162,BO826,0)+INDEX($BD$13:$BL$162,BP826,0))/100))&gt;=$D$10:$L$10)),0)</f>
        <v/>
      </c>
      <c r="BR826">
        <f>IF(813&lt;$U$9,SUMPRODUCT(($D$10:$L$10&lt;&gt;"")*(($D$10:$L$10-($D$9:$L$9+INT(($S$12:$AA$12+INDEX($AJ$13:$AR$162,BN826,0)+INDEX($AT$13:$BB$162,BO826,0)+INDEX($BD$13:$BL$162,BP826,0))/100)))&gt;0)*($D$10:$L$10-($D$9:$L$9+INT(($S$12:$AA$12+INDEX($AJ$13:$AR$162,BN826,0)+INDEX($AT$13:$BB$162,BO826,0)+INDEX($BD$13:$BL$162,BP826,0))/100)))),0)</f>
        <v/>
      </c>
      <c r="BS826">
        <f>IF(813&lt;$U$9,SUMPRODUCT(($D$9:$L$9+INT(($S$12:$AA$12+INDEX($AJ$13:$AR$162,BN826,0)+INDEX($AT$13:$BB$162,BO826,0)+INDEX($BD$13:$BL$162,BP826,0))/100))),0)</f>
        <v/>
      </c>
      <c r="BT826">
        <f>IF(AND(813&lt;$U$9,$W$5),BQ826*1000000-MIN(BR826,999)*1000+BS826-813/100000,-1000000000-813)</f>
        <v/>
      </c>
    </row>
    <row r="827">
      <c r="BN827">
        <f>IF(814&lt;$U$9,INT(814/($U$7*$U$8))+1,1)</f>
        <v/>
      </c>
      <c r="BO827">
        <f>IF(814&lt;$U$9,MOD(INT(814/$U$8),$U$7)+1,1)</f>
        <v/>
      </c>
      <c r="BP827">
        <f>IF(814&lt;$U$9,MOD(814,$U$8)+1,1)</f>
        <v/>
      </c>
      <c r="BQ827">
        <f>IF(814&lt;$U$9,SUMPRODUCT(($D$10:$L$10&lt;&gt;"")*(($D$9:$L$9+INT(($S$12:$AA$12+INDEX($AJ$13:$AR$162,BN827,0)+INDEX($AT$13:$BB$162,BO827,0)+INDEX($BD$13:$BL$162,BP827,0))/100))&gt;=$D$10:$L$10)),0)</f>
        <v/>
      </c>
      <c r="BR827">
        <f>IF(814&lt;$U$9,SUMPRODUCT(($D$10:$L$10&lt;&gt;"")*(($D$10:$L$10-($D$9:$L$9+INT(($S$12:$AA$12+INDEX($AJ$13:$AR$162,BN827,0)+INDEX($AT$13:$BB$162,BO827,0)+INDEX($BD$13:$BL$162,BP827,0))/100)))&gt;0)*($D$10:$L$10-($D$9:$L$9+INT(($S$12:$AA$12+INDEX($AJ$13:$AR$162,BN827,0)+INDEX($AT$13:$BB$162,BO827,0)+INDEX($BD$13:$BL$162,BP827,0))/100)))),0)</f>
        <v/>
      </c>
      <c r="BS827">
        <f>IF(814&lt;$U$9,SUMPRODUCT(($D$9:$L$9+INT(($S$12:$AA$12+INDEX($AJ$13:$AR$162,BN827,0)+INDEX($AT$13:$BB$162,BO827,0)+INDEX($BD$13:$BL$162,BP827,0))/100))),0)</f>
        <v/>
      </c>
      <c r="BT827">
        <f>IF(AND(814&lt;$U$9,$W$5),BQ827*1000000-MIN(BR827,999)*1000+BS827-814/100000,-1000000000-814)</f>
        <v/>
      </c>
    </row>
    <row r="828">
      <c r="BN828">
        <f>IF(815&lt;$U$9,INT(815/($U$7*$U$8))+1,1)</f>
        <v/>
      </c>
      <c r="BO828">
        <f>IF(815&lt;$U$9,MOD(INT(815/$U$8),$U$7)+1,1)</f>
        <v/>
      </c>
      <c r="BP828">
        <f>IF(815&lt;$U$9,MOD(815,$U$8)+1,1)</f>
        <v/>
      </c>
      <c r="BQ828">
        <f>IF(815&lt;$U$9,SUMPRODUCT(($D$10:$L$10&lt;&gt;"")*(($D$9:$L$9+INT(($S$12:$AA$12+INDEX($AJ$13:$AR$162,BN828,0)+INDEX($AT$13:$BB$162,BO828,0)+INDEX($BD$13:$BL$162,BP828,0))/100))&gt;=$D$10:$L$10)),0)</f>
        <v/>
      </c>
      <c r="BR828">
        <f>IF(815&lt;$U$9,SUMPRODUCT(($D$10:$L$10&lt;&gt;"")*(($D$10:$L$10-($D$9:$L$9+INT(($S$12:$AA$12+INDEX($AJ$13:$AR$162,BN828,0)+INDEX($AT$13:$BB$162,BO828,0)+INDEX($BD$13:$BL$162,BP828,0))/100)))&gt;0)*($D$10:$L$10-($D$9:$L$9+INT(($S$12:$AA$12+INDEX($AJ$13:$AR$162,BN828,0)+INDEX($AT$13:$BB$162,BO828,0)+INDEX($BD$13:$BL$162,BP828,0))/100)))),0)</f>
        <v/>
      </c>
      <c r="BS828">
        <f>IF(815&lt;$U$9,SUMPRODUCT(($D$9:$L$9+INT(($S$12:$AA$12+INDEX($AJ$13:$AR$162,BN828,0)+INDEX($AT$13:$BB$162,BO828,0)+INDEX($BD$13:$BL$162,BP828,0))/100))),0)</f>
        <v/>
      </c>
      <c r="BT828">
        <f>IF(AND(815&lt;$U$9,$W$5),BQ828*1000000-MIN(BR828,999)*1000+BS828-815/100000,-1000000000-815)</f>
        <v/>
      </c>
    </row>
    <row r="829">
      <c r="BN829">
        <f>IF(816&lt;$U$9,INT(816/($U$7*$U$8))+1,1)</f>
        <v/>
      </c>
      <c r="BO829">
        <f>IF(816&lt;$U$9,MOD(INT(816/$U$8),$U$7)+1,1)</f>
        <v/>
      </c>
      <c r="BP829">
        <f>IF(816&lt;$U$9,MOD(816,$U$8)+1,1)</f>
        <v/>
      </c>
      <c r="BQ829">
        <f>IF(816&lt;$U$9,SUMPRODUCT(($D$10:$L$10&lt;&gt;"")*(($D$9:$L$9+INT(($S$12:$AA$12+INDEX($AJ$13:$AR$162,BN829,0)+INDEX($AT$13:$BB$162,BO829,0)+INDEX($BD$13:$BL$162,BP829,0))/100))&gt;=$D$10:$L$10)),0)</f>
        <v/>
      </c>
      <c r="BR829">
        <f>IF(816&lt;$U$9,SUMPRODUCT(($D$10:$L$10&lt;&gt;"")*(($D$10:$L$10-($D$9:$L$9+INT(($S$12:$AA$12+INDEX($AJ$13:$AR$162,BN829,0)+INDEX($AT$13:$BB$162,BO829,0)+INDEX($BD$13:$BL$162,BP829,0))/100)))&gt;0)*($D$10:$L$10-($D$9:$L$9+INT(($S$12:$AA$12+INDEX($AJ$13:$AR$162,BN829,0)+INDEX($AT$13:$BB$162,BO829,0)+INDEX($BD$13:$BL$162,BP829,0))/100)))),0)</f>
        <v/>
      </c>
      <c r="BS829">
        <f>IF(816&lt;$U$9,SUMPRODUCT(($D$9:$L$9+INT(($S$12:$AA$12+INDEX($AJ$13:$AR$162,BN829,0)+INDEX($AT$13:$BB$162,BO829,0)+INDEX($BD$13:$BL$162,BP829,0))/100))),0)</f>
        <v/>
      </c>
      <c r="BT829">
        <f>IF(AND(816&lt;$U$9,$W$5),BQ829*1000000-MIN(BR829,999)*1000+BS829-816/100000,-1000000000-816)</f>
        <v/>
      </c>
    </row>
    <row r="830">
      <c r="BN830">
        <f>IF(817&lt;$U$9,INT(817/($U$7*$U$8))+1,1)</f>
        <v/>
      </c>
      <c r="BO830">
        <f>IF(817&lt;$U$9,MOD(INT(817/$U$8),$U$7)+1,1)</f>
        <v/>
      </c>
      <c r="BP830">
        <f>IF(817&lt;$U$9,MOD(817,$U$8)+1,1)</f>
        <v/>
      </c>
      <c r="BQ830">
        <f>IF(817&lt;$U$9,SUMPRODUCT(($D$10:$L$10&lt;&gt;"")*(($D$9:$L$9+INT(($S$12:$AA$12+INDEX($AJ$13:$AR$162,BN830,0)+INDEX($AT$13:$BB$162,BO830,0)+INDEX($BD$13:$BL$162,BP830,0))/100))&gt;=$D$10:$L$10)),0)</f>
        <v/>
      </c>
      <c r="BR830">
        <f>IF(817&lt;$U$9,SUMPRODUCT(($D$10:$L$10&lt;&gt;"")*(($D$10:$L$10-($D$9:$L$9+INT(($S$12:$AA$12+INDEX($AJ$13:$AR$162,BN830,0)+INDEX($AT$13:$BB$162,BO830,0)+INDEX($BD$13:$BL$162,BP830,0))/100)))&gt;0)*($D$10:$L$10-($D$9:$L$9+INT(($S$12:$AA$12+INDEX($AJ$13:$AR$162,BN830,0)+INDEX($AT$13:$BB$162,BO830,0)+INDEX($BD$13:$BL$162,BP830,0))/100)))),0)</f>
        <v/>
      </c>
      <c r="BS830">
        <f>IF(817&lt;$U$9,SUMPRODUCT(($D$9:$L$9+INT(($S$12:$AA$12+INDEX($AJ$13:$AR$162,BN830,0)+INDEX($AT$13:$BB$162,BO830,0)+INDEX($BD$13:$BL$162,BP830,0))/100))),0)</f>
        <v/>
      </c>
      <c r="BT830">
        <f>IF(AND(817&lt;$U$9,$W$5),BQ830*1000000-MIN(BR830,999)*1000+BS830-817/100000,-1000000000-817)</f>
        <v/>
      </c>
    </row>
    <row r="831">
      <c r="BN831">
        <f>IF(818&lt;$U$9,INT(818/($U$7*$U$8))+1,1)</f>
        <v/>
      </c>
      <c r="BO831">
        <f>IF(818&lt;$U$9,MOD(INT(818/$U$8),$U$7)+1,1)</f>
        <v/>
      </c>
      <c r="BP831">
        <f>IF(818&lt;$U$9,MOD(818,$U$8)+1,1)</f>
        <v/>
      </c>
      <c r="BQ831">
        <f>IF(818&lt;$U$9,SUMPRODUCT(($D$10:$L$10&lt;&gt;"")*(($D$9:$L$9+INT(($S$12:$AA$12+INDEX($AJ$13:$AR$162,BN831,0)+INDEX($AT$13:$BB$162,BO831,0)+INDEX($BD$13:$BL$162,BP831,0))/100))&gt;=$D$10:$L$10)),0)</f>
        <v/>
      </c>
      <c r="BR831">
        <f>IF(818&lt;$U$9,SUMPRODUCT(($D$10:$L$10&lt;&gt;"")*(($D$10:$L$10-($D$9:$L$9+INT(($S$12:$AA$12+INDEX($AJ$13:$AR$162,BN831,0)+INDEX($AT$13:$BB$162,BO831,0)+INDEX($BD$13:$BL$162,BP831,0))/100)))&gt;0)*($D$10:$L$10-($D$9:$L$9+INT(($S$12:$AA$12+INDEX($AJ$13:$AR$162,BN831,0)+INDEX($AT$13:$BB$162,BO831,0)+INDEX($BD$13:$BL$162,BP831,0))/100)))),0)</f>
        <v/>
      </c>
      <c r="BS831">
        <f>IF(818&lt;$U$9,SUMPRODUCT(($D$9:$L$9+INT(($S$12:$AA$12+INDEX($AJ$13:$AR$162,BN831,0)+INDEX($AT$13:$BB$162,BO831,0)+INDEX($BD$13:$BL$162,BP831,0))/100))),0)</f>
        <v/>
      </c>
      <c r="BT831">
        <f>IF(AND(818&lt;$U$9,$W$5),BQ831*1000000-MIN(BR831,999)*1000+BS831-818/100000,-1000000000-818)</f>
        <v/>
      </c>
    </row>
    <row r="832">
      <c r="BN832">
        <f>IF(819&lt;$U$9,INT(819/($U$7*$U$8))+1,1)</f>
        <v/>
      </c>
      <c r="BO832">
        <f>IF(819&lt;$U$9,MOD(INT(819/$U$8),$U$7)+1,1)</f>
        <v/>
      </c>
      <c r="BP832">
        <f>IF(819&lt;$U$9,MOD(819,$U$8)+1,1)</f>
        <v/>
      </c>
      <c r="BQ832">
        <f>IF(819&lt;$U$9,SUMPRODUCT(($D$10:$L$10&lt;&gt;"")*(($D$9:$L$9+INT(($S$12:$AA$12+INDEX($AJ$13:$AR$162,BN832,0)+INDEX($AT$13:$BB$162,BO832,0)+INDEX($BD$13:$BL$162,BP832,0))/100))&gt;=$D$10:$L$10)),0)</f>
        <v/>
      </c>
      <c r="BR832">
        <f>IF(819&lt;$U$9,SUMPRODUCT(($D$10:$L$10&lt;&gt;"")*(($D$10:$L$10-($D$9:$L$9+INT(($S$12:$AA$12+INDEX($AJ$13:$AR$162,BN832,0)+INDEX($AT$13:$BB$162,BO832,0)+INDEX($BD$13:$BL$162,BP832,0))/100)))&gt;0)*($D$10:$L$10-($D$9:$L$9+INT(($S$12:$AA$12+INDEX($AJ$13:$AR$162,BN832,0)+INDEX($AT$13:$BB$162,BO832,0)+INDEX($BD$13:$BL$162,BP832,0))/100)))),0)</f>
        <v/>
      </c>
      <c r="BS832">
        <f>IF(819&lt;$U$9,SUMPRODUCT(($D$9:$L$9+INT(($S$12:$AA$12+INDEX($AJ$13:$AR$162,BN832,0)+INDEX($AT$13:$BB$162,BO832,0)+INDEX($BD$13:$BL$162,BP832,0))/100))),0)</f>
        <v/>
      </c>
      <c r="BT832">
        <f>IF(AND(819&lt;$U$9,$W$5),BQ832*1000000-MIN(BR832,999)*1000+BS832-819/100000,-1000000000-819)</f>
        <v/>
      </c>
    </row>
    <row r="833">
      <c r="BN833">
        <f>IF(820&lt;$U$9,INT(820/($U$7*$U$8))+1,1)</f>
        <v/>
      </c>
      <c r="BO833">
        <f>IF(820&lt;$U$9,MOD(INT(820/$U$8),$U$7)+1,1)</f>
        <v/>
      </c>
      <c r="BP833">
        <f>IF(820&lt;$U$9,MOD(820,$U$8)+1,1)</f>
        <v/>
      </c>
      <c r="BQ833">
        <f>IF(820&lt;$U$9,SUMPRODUCT(($D$10:$L$10&lt;&gt;"")*(($D$9:$L$9+INT(($S$12:$AA$12+INDEX($AJ$13:$AR$162,BN833,0)+INDEX($AT$13:$BB$162,BO833,0)+INDEX($BD$13:$BL$162,BP833,0))/100))&gt;=$D$10:$L$10)),0)</f>
        <v/>
      </c>
      <c r="BR833">
        <f>IF(820&lt;$U$9,SUMPRODUCT(($D$10:$L$10&lt;&gt;"")*(($D$10:$L$10-($D$9:$L$9+INT(($S$12:$AA$12+INDEX($AJ$13:$AR$162,BN833,0)+INDEX($AT$13:$BB$162,BO833,0)+INDEX($BD$13:$BL$162,BP833,0))/100)))&gt;0)*($D$10:$L$10-($D$9:$L$9+INT(($S$12:$AA$12+INDEX($AJ$13:$AR$162,BN833,0)+INDEX($AT$13:$BB$162,BO833,0)+INDEX($BD$13:$BL$162,BP833,0))/100)))),0)</f>
        <v/>
      </c>
      <c r="BS833">
        <f>IF(820&lt;$U$9,SUMPRODUCT(($D$9:$L$9+INT(($S$12:$AA$12+INDEX($AJ$13:$AR$162,BN833,0)+INDEX($AT$13:$BB$162,BO833,0)+INDEX($BD$13:$BL$162,BP833,0))/100))),0)</f>
        <v/>
      </c>
      <c r="BT833">
        <f>IF(AND(820&lt;$U$9,$W$5),BQ833*1000000-MIN(BR833,999)*1000+BS833-820/100000,-1000000000-820)</f>
        <v/>
      </c>
    </row>
    <row r="834">
      <c r="BN834">
        <f>IF(821&lt;$U$9,INT(821/($U$7*$U$8))+1,1)</f>
        <v/>
      </c>
      <c r="BO834">
        <f>IF(821&lt;$U$9,MOD(INT(821/$U$8),$U$7)+1,1)</f>
        <v/>
      </c>
      <c r="BP834">
        <f>IF(821&lt;$U$9,MOD(821,$U$8)+1,1)</f>
        <v/>
      </c>
      <c r="BQ834">
        <f>IF(821&lt;$U$9,SUMPRODUCT(($D$10:$L$10&lt;&gt;"")*(($D$9:$L$9+INT(($S$12:$AA$12+INDEX($AJ$13:$AR$162,BN834,0)+INDEX($AT$13:$BB$162,BO834,0)+INDEX($BD$13:$BL$162,BP834,0))/100))&gt;=$D$10:$L$10)),0)</f>
        <v/>
      </c>
      <c r="BR834">
        <f>IF(821&lt;$U$9,SUMPRODUCT(($D$10:$L$10&lt;&gt;"")*(($D$10:$L$10-($D$9:$L$9+INT(($S$12:$AA$12+INDEX($AJ$13:$AR$162,BN834,0)+INDEX($AT$13:$BB$162,BO834,0)+INDEX($BD$13:$BL$162,BP834,0))/100)))&gt;0)*($D$10:$L$10-($D$9:$L$9+INT(($S$12:$AA$12+INDEX($AJ$13:$AR$162,BN834,0)+INDEX($AT$13:$BB$162,BO834,0)+INDEX($BD$13:$BL$162,BP834,0))/100)))),0)</f>
        <v/>
      </c>
      <c r="BS834">
        <f>IF(821&lt;$U$9,SUMPRODUCT(($D$9:$L$9+INT(($S$12:$AA$12+INDEX($AJ$13:$AR$162,BN834,0)+INDEX($AT$13:$BB$162,BO834,0)+INDEX($BD$13:$BL$162,BP834,0))/100))),0)</f>
        <v/>
      </c>
      <c r="BT834">
        <f>IF(AND(821&lt;$U$9,$W$5),BQ834*1000000-MIN(BR834,999)*1000+BS834-821/100000,-1000000000-821)</f>
        <v/>
      </c>
    </row>
    <row r="835">
      <c r="BN835">
        <f>IF(822&lt;$U$9,INT(822/($U$7*$U$8))+1,1)</f>
        <v/>
      </c>
      <c r="BO835">
        <f>IF(822&lt;$U$9,MOD(INT(822/$U$8),$U$7)+1,1)</f>
        <v/>
      </c>
      <c r="BP835">
        <f>IF(822&lt;$U$9,MOD(822,$U$8)+1,1)</f>
        <v/>
      </c>
      <c r="BQ835">
        <f>IF(822&lt;$U$9,SUMPRODUCT(($D$10:$L$10&lt;&gt;"")*(($D$9:$L$9+INT(($S$12:$AA$12+INDEX($AJ$13:$AR$162,BN835,0)+INDEX($AT$13:$BB$162,BO835,0)+INDEX($BD$13:$BL$162,BP835,0))/100))&gt;=$D$10:$L$10)),0)</f>
        <v/>
      </c>
      <c r="BR835">
        <f>IF(822&lt;$U$9,SUMPRODUCT(($D$10:$L$10&lt;&gt;"")*(($D$10:$L$10-($D$9:$L$9+INT(($S$12:$AA$12+INDEX($AJ$13:$AR$162,BN835,0)+INDEX($AT$13:$BB$162,BO835,0)+INDEX($BD$13:$BL$162,BP835,0))/100)))&gt;0)*($D$10:$L$10-($D$9:$L$9+INT(($S$12:$AA$12+INDEX($AJ$13:$AR$162,BN835,0)+INDEX($AT$13:$BB$162,BO835,0)+INDEX($BD$13:$BL$162,BP835,0))/100)))),0)</f>
        <v/>
      </c>
      <c r="BS835">
        <f>IF(822&lt;$U$9,SUMPRODUCT(($D$9:$L$9+INT(($S$12:$AA$12+INDEX($AJ$13:$AR$162,BN835,0)+INDEX($AT$13:$BB$162,BO835,0)+INDEX($BD$13:$BL$162,BP835,0))/100))),0)</f>
        <v/>
      </c>
      <c r="BT835">
        <f>IF(AND(822&lt;$U$9,$W$5),BQ835*1000000-MIN(BR835,999)*1000+BS835-822/100000,-1000000000-822)</f>
        <v/>
      </c>
    </row>
    <row r="836">
      <c r="BN836">
        <f>IF(823&lt;$U$9,INT(823/($U$7*$U$8))+1,1)</f>
        <v/>
      </c>
      <c r="BO836">
        <f>IF(823&lt;$U$9,MOD(INT(823/$U$8),$U$7)+1,1)</f>
        <v/>
      </c>
      <c r="BP836">
        <f>IF(823&lt;$U$9,MOD(823,$U$8)+1,1)</f>
        <v/>
      </c>
      <c r="BQ836">
        <f>IF(823&lt;$U$9,SUMPRODUCT(($D$10:$L$10&lt;&gt;"")*(($D$9:$L$9+INT(($S$12:$AA$12+INDEX($AJ$13:$AR$162,BN836,0)+INDEX($AT$13:$BB$162,BO836,0)+INDEX($BD$13:$BL$162,BP836,0))/100))&gt;=$D$10:$L$10)),0)</f>
        <v/>
      </c>
      <c r="BR836">
        <f>IF(823&lt;$U$9,SUMPRODUCT(($D$10:$L$10&lt;&gt;"")*(($D$10:$L$10-($D$9:$L$9+INT(($S$12:$AA$12+INDEX($AJ$13:$AR$162,BN836,0)+INDEX($AT$13:$BB$162,BO836,0)+INDEX($BD$13:$BL$162,BP836,0))/100)))&gt;0)*($D$10:$L$10-($D$9:$L$9+INT(($S$12:$AA$12+INDEX($AJ$13:$AR$162,BN836,0)+INDEX($AT$13:$BB$162,BO836,0)+INDEX($BD$13:$BL$162,BP836,0))/100)))),0)</f>
        <v/>
      </c>
      <c r="BS836">
        <f>IF(823&lt;$U$9,SUMPRODUCT(($D$9:$L$9+INT(($S$12:$AA$12+INDEX($AJ$13:$AR$162,BN836,0)+INDEX($AT$13:$BB$162,BO836,0)+INDEX($BD$13:$BL$162,BP836,0))/100))),0)</f>
        <v/>
      </c>
      <c r="BT836">
        <f>IF(AND(823&lt;$U$9,$W$5),BQ836*1000000-MIN(BR836,999)*1000+BS836-823/100000,-1000000000-823)</f>
        <v/>
      </c>
    </row>
    <row r="837">
      <c r="BN837">
        <f>IF(824&lt;$U$9,INT(824/($U$7*$U$8))+1,1)</f>
        <v/>
      </c>
      <c r="BO837">
        <f>IF(824&lt;$U$9,MOD(INT(824/$U$8),$U$7)+1,1)</f>
        <v/>
      </c>
      <c r="BP837">
        <f>IF(824&lt;$U$9,MOD(824,$U$8)+1,1)</f>
        <v/>
      </c>
      <c r="BQ837">
        <f>IF(824&lt;$U$9,SUMPRODUCT(($D$10:$L$10&lt;&gt;"")*(($D$9:$L$9+INT(($S$12:$AA$12+INDEX($AJ$13:$AR$162,BN837,0)+INDEX($AT$13:$BB$162,BO837,0)+INDEX($BD$13:$BL$162,BP837,0))/100))&gt;=$D$10:$L$10)),0)</f>
        <v/>
      </c>
      <c r="BR837">
        <f>IF(824&lt;$U$9,SUMPRODUCT(($D$10:$L$10&lt;&gt;"")*(($D$10:$L$10-($D$9:$L$9+INT(($S$12:$AA$12+INDEX($AJ$13:$AR$162,BN837,0)+INDEX($AT$13:$BB$162,BO837,0)+INDEX($BD$13:$BL$162,BP837,0))/100)))&gt;0)*($D$10:$L$10-($D$9:$L$9+INT(($S$12:$AA$12+INDEX($AJ$13:$AR$162,BN837,0)+INDEX($AT$13:$BB$162,BO837,0)+INDEX($BD$13:$BL$162,BP837,0))/100)))),0)</f>
        <v/>
      </c>
      <c r="BS837">
        <f>IF(824&lt;$U$9,SUMPRODUCT(($D$9:$L$9+INT(($S$12:$AA$12+INDEX($AJ$13:$AR$162,BN837,0)+INDEX($AT$13:$BB$162,BO837,0)+INDEX($BD$13:$BL$162,BP837,0))/100))),0)</f>
        <v/>
      </c>
      <c r="BT837">
        <f>IF(AND(824&lt;$U$9,$W$5),BQ837*1000000-MIN(BR837,999)*1000+BS837-824/100000,-1000000000-824)</f>
        <v/>
      </c>
    </row>
    <row r="838">
      <c r="BN838">
        <f>IF(825&lt;$U$9,INT(825/($U$7*$U$8))+1,1)</f>
        <v/>
      </c>
      <c r="BO838">
        <f>IF(825&lt;$U$9,MOD(INT(825/$U$8),$U$7)+1,1)</f>
        <v/>
      </c>
      <c r="BP838">
        <f>IF(825&lt;$U$9,MOD(825,$U$8)+1,1)</f>
        <v/>
      </c>
      <c r="BQ838">
        <f>IF(825&lt;$U$9,SUMPRODUCT(($D$10:$L$10&lt;&gt;"")*(($D$9:$L$9+INT(($S$12:$AA$12+INDEX($AJ$13:$AR$162,BN838,0)+INDEX($AT$13:$BB$162,BO838,0)+INDEX($BD$13:$BL$162,BP838,0))/100))&gt;=$D$10:$L$10)),0)</f>
        <v/>
      </c>
      <c r="BR838">
        <f>IF(825&lt;$U$9,SUMPRODUCT(($D$10:$L$10&lt;&gt;"")*(($D$10:$L$10-($D$9:$L$9+INT(($S$12:$AA$12+INDEX($AJ$13:$AR$162,BN838,0)+INDEX($AT$13:$BB$162,BO838,0)+INDEX($BD$13:$BL$162,BP838,0))/100)))&gt;0)*($D$10:$L$10-($D$9:$L$9+INT(($S$12:$AA$12+INDEX($AJ$13:$AR$162,BN838,0)+INDEX($AT$13:$BB$162,BO838,0)+INDEX($BD$13:$BL$162,BP838,0))/100)))),0)</f>
        <v/>
      </c>
      <c r="BS838">
        <f>IF(825&lt;$U$9,SUMPRODUCT(($D$9:$L$9+INT(($S$12:$AA$12+INDEX($AJ$13:$AR$162,BN838,0)+INDEX($AT$13:$BB$162,BO838,0)+INDEX($BD$13:$BL$162,BP838,0))/100))),0)</f>
        <v/>
      </c>
      <c r="BT838">
        <f>IF(AND(825&lt;$U$9,$W$5),BQ838*1000000-MIN(BR838,999)*1000+BS838-825/100000,-1000000000-825)</f>
        <v/>
      </c>
    </row>
    <row r="839">
      <c r="BN839">
        <f>IF(826&lt;$U$9,INT(826/($U$7*$U$8))+1,1)</f>
        <v/>
      </c>
      <c r="BO839">
        <f>IF(826&lt;$U$9,MOD(INT(826/$U$8),$U$7)+1,1)</f>
        <v/>
      </c>
      <c r="BP839">
        <f>IF(826&lt;$U$9,MOD(826,$U$8)+1,1)</f>
        <v/>
      </c>
      <c r="BQ839">
        <f>IF(826&lt;$U$9,SUMPRODUCT(($D$10:$L$10&lt;&gt;"")*(($D$9:$L$9+INT(($S$12:$AA$12+INDEX($AJ$13:$AR$162,BN839,0)+INDEX($AT$13:$BB$162,BO839,0)+INDEX($BD$13:$BL$162,BP839,0))/100))&gt;=$D$10:$L$10)),0)</f>
        <v/>
      </c>
      <c r="BR839">
        <f>IF(826&lt;$U$9,SUMPRODUCT(($D$10:$L$10&lt;&gt;"")*(($D$10:$L$10-($D$9:$L$9+INT(($S$12:$AA$12+INDEX($AJ$13:$AR$162,BN839,0)+INDEX($AT$13:$BB$162,BO839,0)+INDEX($BD$13:$BL$162,BP839,0))/100)))&gt;0)*($D$10:$L$10-($D$9:$L$9+INT(($S$12:$AA$12+INDEX($AJ$13:$AR$162,BN839,0)+INDEX($AT$13:$BB$162,BO839,0)+INDEX($BD$13:$BL$162,BP839,0))/100)))),0)</f>
        <v/>
      </c>
      <c r="BS839">
        <f>IF(826&lt;$U$9,SUMPRODUCT(($D$9:$L$9+INT(($S$12:$AA$12+INDEX($AJ$13:$AR$162,BN839,0)+INDEX($AT$13:$BB$162,BO839,0)+INDEX($BD$13:$BL$162,BP839,0))/100))),0)</f>
        <v/>
      </c>
      <c r="BT839">
        <f>IF(AND(826&lt;$U$9,$W$5),BQ839*1000000-MIN(BR839,999)*1000+BS839-826/100000,-1000000000-826)</f>
        <v/>
      </c>
    </row>
    <row r="840">
      <c r="BN840">
        <f>IF(827&lt;$U$9,INT(827/($U$7*$U$8))+1,1)</f>
        <v/>
      </c>
      <c r="BO840">
        <f>IF(827&lt;$U$9,MOD(INT(827/$U$8),$U$7)+1,1)</f>
        <v/>
      </c>
      <c r="BP840">
        <f>IF(827&lt;$U$9,MOD(827,$U$8)+1,1)</f>
        <v/>
      </c>
      <c r="BQ840">
        <f>IF(827&lt;$U$9,SUMPRODUCT(($D$10:$L$10&lt;&gt;"")*(($D$9:$L$9+INT(($S$12:$AA$12+INDEX($AJ$13:$AR$162,BN840,0)+INDEX($AT$13:$BB$162,BO840,0)+INDEX($BD$13:$BL$162,BP840,0))/100))&gt;=$D$10:$L$10)),0)</f>
        <v/>
      </c>
      <c r="BR840">
        <f>IF(827&lt;$U$9,SUMPRODUCT(($D$10:$L$10&lt;&gt;"")*(($D$10:$L$10-($D$9:$L$9+INT(($S$12:$AA$12+INDEX($AJ$13:$AR$162,BN840,0)+INDEX($AT$13:$BB$162,BO840,0)+INDEX($BD$13:$BL$162,BP840,0))/100)))&gt;0)*($D$10:$L$10-($D$9:$L$9+INT(($S$12:$AA$12+INDEX($AJ$13:$AR$162,BN840,0)+INDEX($AT$13:$BB$162,BO840,0)+INDEX($BD$13:$BL$162,BP840,0))/100)))),0)</f>
        <v/>
      </c>
      <c r="BS840">
        <f>IF(827&lt;$U$9,SUMPRODUCT(($D$9:$L$9+INT(($S$12:$AA$12+INDEX($AJ$13:$AR$162,BN840,0)+INDEX($AT$13:$BB$162,BO840,0)+INDEX($BD$13:$BL$162,BP840,0))/100))),0)</f>
        <v/>
      </c>
      <c r="BT840">
        <f>IF(AND(827&lt;$U$9,$W$5),BQ840*1000000-MIN(BR840,999)*1000+BS840-827/100000,-1000000000-827)</f>
        <v/>
      </c>
    </row>
    <row r="841">
      <c r="BN841">
        <f>IF(828&lt;$U$9,INT(828/($U$7*$U$8))+1,1)</f>
        <v/>
      </c>
      <c r="BO841">
        <f>IF(828&lt;$U$9,MOD(INT(828/$U$8),$U$7)+1,1)</f>
        <v/>
      </c>
      <c r="BP841">
        <f>IF(828&lt;$U$9,MOD(828,$U$8)+1,1)</f>
        <v/>
      </c>
      <c r="BQ841">
        <f>IF(828&lt;$U$9,SUMPRODUCT(($D$10:$L$10&lt;&gt;"")*(($D$9:$L$9+INT(($S$12:$AA$12+INDEX($AJ$13:$AR$162,BN841,0)+INDEX($AT$13:$BB$162,BO841,0)+INDEX($BD$13:$BL$162,BP841,0))/100))&gt;=$D$10:$L$10)),0)</f>
        <v/>
      </c>
      <c r="BR841">
        <f>IF(828&lt;$U$9,SUMPRODUCT(($D$10:$L$10&lt;&gt;"")*(($D$10:$L$10-($D$9:$L$9+INT(($S$12:$AA$12+INDEX($AJ$13:$AR$162,BN841,0)+INDEX($AT$13:$BB$162,BO841,0)+INDEX($BD$13:$BL$162,BP841,0))/100)))&gt;0)*($D$10:$L$10-($D$9:$L$9+INT(($S$12:$AA$12+INDEX($AJ$13:$AR$162,BN841,0)+INDEX($AT$13:$BB$162,BO841,0)+INDEX($BD$13:$BL$162,BP841,0))/100)))),0)</f>
        <v/>
      </c>
      <c r="BS841">
        <f>IF(828&lt;$U$9,SUMPRODUCT(($D$9:$L$9+INT(($S$12:$AA$12+INDEX($AJ$13:$AR$162,BN841,0)+INDEX($AT$13:$BB$162,BO841,0)+INDEX($BD$13:$BL$162,BP841,0))/100))),0)</f>
        <v/>
      </c>
      <c r="BT841">
        <f>IF(AND(828&lt;$U$9,$W$5),BQ841*1000000-MIN(BR841,999)*1000+BS841-828/100000,-1000000000-828)</f>
        <v/>
      </c>
    </row>
    <row r="842">
      <c r="BN842">
        <f>IF(829&lt;$U$9,INT(829/($U$7*$U$8))+1,1)</f>
        <v/>
      </c>
      <c r="BO842">
        <f>IF(829&lt;$U$9,MOD(INT(829/$U$8),$U$7)+1,1)</f>
        <v/>
      </c>
      <c r="BP842">
        <f>IF(829&lt;$U$9,MOD(829,$U$8)+1,1)</f>
        <v/>
      </c>
      <c r="BQ842">
        <f>IF(829&lt;$U$9,SUMPRODUCT(($D$10:$L$10&lt;&gt;"")*(($D$9:$L$9+INT(($S$12:$AA$12+INDEX($AJ$13:$AR$162,BN842,0)+INDEX($AT$13:$BB$162,BO842,0)+INDEX($BD$13:$BL$162,BP842,0))/100))&gt;=$D$10:$L$10)),0)</f>
        <v/>
      </c>
      <c r="BR842">
        <f>IF(829&lt;$U$9,SUMPRODUCT(($D$10:$L$10&lt;&gt;"")*(($D$10:$L$10-($D$9:$L$9+INT(($S$12:$AA$12+INDEX($AJ$13:$AR$162,BN842,0)+INDEX($AT$13:$BB$162,BO842,0)+INDEX($BD$13:$BL$162,BP842,0))/100)))&gt;0)*($D$10:$L$10-($D$9:$L$9+INT(($S$12:$AA$12+INDEX($AJ$13:$AR$162,BN842,0)+INDEX($AT$13:$BB$162,BO842,0)+INDEX($BD$13:$BL$162,BP842,0))/100)))),0)</f>
        <v/>
      </c>
      <c r="BS842">
        <f>IF(829&lt;$U$9,SUMPRODUCT(($D$9:$L$9+INT(($S$12:$AA$12+INDEX($AJ$13:$AR$162,BN842,0)+INDEX($AT$13:$BB$162,BO842,0)+INDEX($BD$13:$BL$162,BP842,0))/100))),0)</f>
        <v/>
      </c>
      <c r="BT842">
        <f>IF(AND(829&lt;$U$9,$W$5),BQ842*1000000-MIN(BR842,999)*1000+BS842-829/100000,-1000000000-829)</f>
        <v/>
      </c>
    </row>
    <row r="843">
      <c r="BN843">
        <f>IF(830&lt;$U$9,INT(830/($U$7*$U$8))+1,1)</f>
        <v/>
      </c>
      <c r="BO843">
        <f>IF(830&lt;$U$9,MOD(INT(830/$U$8),$U$7)+1,1)</f>
        <v/>
      </c>
      <c r="BP843">
        <f>IF(830&lt;$U$9,MOD(830,$U$8)+1,1)</f>
        <v/>
      </c>
      <c r="BQ843">
        <f>IF(830&lt;$U$9,SUMPRODUCT(($D$10:$L$10&lt;&gt;"")*(($D$9:$L$9+INT(($S$12:$AA$12+INDEX($AJ$13:$AR$162,BN843,0)+INDEX($AT$13:$BB$162,BO843,0)+INDEX($BD$13:$BL$162,BP843,0))/100))&gt;=$D$10:$L$10)),0)</f>
        <v/>
      </c>
      <c r="BR843">
        <f>IF(830&lt;$U$9,SUMPRODUCT(($D$10:$L$10&lt;&gt;"")*(($D$10:$L$10-($D$9:$L$9+INT(($S$12:$AA$12+INDEX($AJ$13:$AR$162,BN843,0)+INDEX($AT$13:$BB$162,BO843,0)+INDEX($BD$13:$BL$162,BP843,0))/100)))&gt;0)*($D$10:$L$10-($D$9:$L$9+INT(($S$12:$AA$12+INDEX($AJ$13:$AR$162,BN843,0)+INDEX($AT$13:$BB$162,BO843,0)+INDEX($BD$13:$BL$162,BP843,0))/100)))),0)</f>
        <v/>
      </c>
      <c r="BS843">
        <f>IF(830&lt;$U$9,SUMPRODUCT(($D$9:$L$9+INT(($S$12:$AA$12+INDEX($AJ$13:$AR$162,BN843,0)+INDEX($AT$13:$BB$162,BO843,0)+INDEX($BD$13:$BL$162,BP843,0))/100))),0)</f>
        <v/>
      </c>
      <c r="BT843">
        <f>IF(AND(830&lt;$U$9,$W$5),BQ843*1000000-MIN(BR843,999)*1000+BS843-830/100000,-1000000000-830)</f>
        <v/>
      </c>
    </row>
    <row r="844">
      <c r="BN844">
        <f>IF(831&lt;$U$9,INT(831/($U$7*$U$8))+1,1)</f>
        <v/>
      </c>
      <c r="BO844">
        <f>IF(831&lt;$U$9,MOD(INT(831/$U$8),$U$7)+1,1)</f>
        <v/>
      </c>
      <c r="BP844">
        <f>IF(831&lt;$U$9,MOD(831,$U$8)+1,1)</f>
        <v/>
      </c>
      <c r="BQ844">
        <f>IF(831&lt;$U$9,SUMPRODUCT(($D$10:$L$10&lt;&gt;"")*(($D$9:$L$9+INT(($S$12:$AA$12+INDEX($AJ$13:$AR$162,BN844,0)+INDEX($AT$13:$BB$162,BO844,0)+INDEX($BD$13:$BL$162,BP844,0))/100))&gt;=$D$10:$L$10)),0)</f>
        <v/>
      </c>
      <c r="BR844">
        <f>IF(831&lt;$U$9,SUMPRODUCT(($D$10:$L$10&lt;&gt;"")*(($D$10:$L$10-($D$9:$L$9+INT(($S$12:$AA$12+INDEX($AJ$13:$AR$162,BN844,0)+INDEX($AT$13:$BB$162,BO844,0)+INDEX($BD$13:$BL$162,BP844,0))/100)))&gt;0)*($D$10:$L$10-($D$9:$L$9+INT(($S$12:$AA$12+INDEX($AJ$13:$AR$162,BN844,0)+INDEX($AT$13:$BB$162,BO844,0)+INDEX($BD$13:$BL$162,BP844,0))/100)))),0)</f>
        <v/>
      </c>
      <c r="BS844">
        <f>IF(831&lt;$U$9,SUMPRODUCT(($D$9:$L$9+INT(($S$12:$AA$12+INDEX($AJ$13:$AR$162,BN844,0)+INDEX($AT$13:$BB$162,BO844,0)+INDEX($BD$13:$BL$162,BP844,0))/100))),0)</f>
        <v/>
      </c>
      <c r="BT844">
        <f>IF(AND(831&lt;$U$9,$W$5),BQ844*1000000-MIN(BR844,999)*1000+BS844-831/100000,-1000000000-831)</f>
        <v/>
      </c>
    </row>
    <row r="845">
      <c r="BN845">
        <f>IF(832&lt;$U$9,INT(832/($U$7*$U$8))+1,1)</f>
        <v/>
      </c>
      <c r="BO845">
        <f>IF(832&lt;$U$9,MOD(INT(832/$U$8),$U$7)+1,1)</f>
        <v/>
      </c>
      <c r="BP845">
        <f>IF(832&lt;$U$9,MOD(832,$U$8)+1,1)</f>
        <v/>
      </c>
      <c r="BQ845">
        <f>IF(832&lt;$U$9,SUMPRODUCT(($D$10:$L$10&lt;&gt;"")*(($D$9:$L$9+INT(($S$12:$AA$12+INDEX($AJ$13:$AR$162,BN845,0)+INDEX($AT$13:$BB$162,BO845,0)+INDEX($BD$13:$BL$162,BP845,0))/100))&gt;=$D$10:$L$10)),0)</f>
        <v/>
      </c>
      <c r="BR845">
        <f>IF(832&lt;$U$9,SUMPRODUCT(($D$10:$L$10&lt;&gt;"")*(($D$10:$L$10-($D$9:$L$9+INT(($S$12:$AA$12+INDEX($AJ$13:$AR$162,BN845,0)+INDEX($AT$13:$BB$162,BO845,0)+INDEX($BD$13:$BL$162,BP845,0))/100)))&gt;0)*($D$10:$L$10-($D$9:$L$9+INT(($S$12:$AA$12+INDEX($AJ$13:$AR$162,BN845,0)+INDEX($AT$13:$BB$162,BO845,0)+INDEX($BD$13:$BL$162,BP845,0))/100)))),0)</f>
        <v/>
      </c>
      <c r="BS845">
        <f>IF(832&lt;$U$9,SUMPRODUCT(($D$9:$L$9+INT(($S$12:$AA$12+INDEX($AJ$13:$AR$162,BN845,0)+INDEX($AT$13:$BB$162,BO845,0)+INDEX($BD$13:$BL$162,BP845,0))/100))),0)</f>
        <v/>
      </c>
      <c r="BT845">
        <f>IF(AND(832&lt;$U$9,$W$5),BQ845*1000000-MIN(BR845,999)*1000+BS845-832/100000,-1000000000-832)</f>
        <v/>
      </c>
    </row>
    <row r="846">
      <c r="BN846">
        <f>IF(833&lt;$U$9,INT(833/($U$7*$U$8))+1,1)</f>
        <v/>
      </c>
      <c r="BO846">
        <f>IF(833&lt;$U$9,MOD(INT(833/$U$8),$U$7)+1,1)</f>
        <v/>
      </c>
      <c r="BP846">
        <f>IF(833&lt;$U$9,MOD(833,$U$8)+1,1)</f>
        <v/>
      </c>
      <c r="BQ846">
        <f>IF(833&lt;$U$9,SUMPRODUCT(($D$10:$L$10&lt;&gt;"")*(($D$9:$L$9+INT(($S$12:$AA$12+INDEX($AJ$13:$AR$162,BN846,0)+INDEX($AT$13:$BB$162,BO846,0)+INDEX($BD$13:$BL$162,BP846,0))/100))&gt;=$D$10:$L$10)),0)</f>
        <v/>
      </c>
      <c r="BR846">
        <f>IF(833&lt;$U$9,SUMPRODUCT(($D$10:$L$10&lt;&gt;"")*(($D$10:$L$10-($D$9:$L$9+INT(($S$12:$AA$12+INDEX($AJ$13:$AR$162,BN846,0)+INDEX($AT$13:$BB$162,BO846,0)+INDEX($BD$13:$BL$162,BP846,0))/100)))&gt;0)*($D$10:$L$10-($D$9:$L$9+INT(($S$12:$AA$12+INDEX($AJ$13:$AR$162,BN846,0)+INDEX($AT$13:$BB$162,BO846,0)+INDEX($BD$13:$BL$162,BP846,0))/100)))),0)</f>
        <v/>
      </c>
      <c r="BS846">
        <f>IF(833&lt;$U$9,SUMPRODUCT(($D$9:$L$9+INT(($S$12:$AA$12+INDEX($AJ$13:$AR$162,BN846,0)+INDEX($AT$13:$BB$162,BO846,0)+INDEX($BD$13:$BL$162,BP846,0))/100))),0)</f>
        <v/>
      </c>
      <c r="BT846">
        <f>IF(AND(833&lt;$U$9,$W$5),BQ846*1000000-MIN(BR846,999)*1000+BS846-833/100000,-1000000000-833)</f>
        <v/>
      </c>
    </row>
    <row r="847">
      <c r="BN847">
        <f>IF(834&lt;$U$9,INT(834/($U$7*$U$8))+1,1)</f>
        <v/>
      </c>
      <c r="BO847">
        <f>IF(834&lt;$U$9,MOD(INT(834/$U$8),$U$7)+1,1)</f>
        <v/>
      </c>
      <c r="BP847">
        <f>IF(834&lt;$U$9,MOD(834,$U$8)+1,1)</f>
        <v/>
      </c>
      <c r="BQ847">
        <f>IF(834&lt;$U$9,SUMPRODUCT(($D$10:$L$10&lt;&gt;"")*(($D$9:$L$9+INT(($S$12:$AA$12+INDEX($AJ$13:$AR$162,BN847,0)+INDEX($AT$13:$BB$162,BO847,0)+INDEX($BD$13:$BL$162,BP847,0))/100))&gt;=$D$10:$L$10)),0)</f>
        <v/>
      </c>
      <c r="BR847">
        <f>IF(834&lt;$U$9,SUMPRODUCT(($D$10:$L$10&lt;&gt;"")*(($D$10:$L$10-($D$9:$L$9+INT(($S$12:$AA$12+INDEX($AJ$13:$AR$162,BN847,0)+INDEX($AT$13:$BB$162,BO847,0)+INDEX($BD$13:$BL$162,BP847,0))/100)))&gt;0)*($D$10:$L$10-($D$9:$L$9+INT(($S$12:$AA$12+INDEX($AJ$13:$AR$162,BN847,0)+INDEX($AT$13:$BB$162,BO847,0)+INDEX($BD$13:$BL$162,BP847,0))/100)))),0)</f>
        <v/>
      </c>
      <c r="BS847">
        <f>IF(834&lt;$U$9,SUMPRODUCT(($D$9:$L$9+INT(($S$12:$AA$12+INDEX($AJ$13:$AR$162,BN847,0)+INDEX($AT$13:$BB$162,BO847,0)+INDEX($BD$13:$BL$162,BP847,0))/100))),0)</f>
        <v/>
      </c>
      <c r="BT847">
        <f>IF(AND(834&lt;$U$9,$W$5),BQ847*1000000-MIN(BR847,999)*1000+BS847-834/100000,-1000000000-834)</f>
        <v/>
      </c>
    </row>
    <row r="848">
      <c r="BN848">
        <f>IF(835&lt;$U$9,INT(835/($U$7*$U$8))+1,1)</f>
        <v/>
      </c>
      <c r="BO848">
        <f>IF(835&lt;$U$9,MOD(INT(835/$U$8),$U$7)+1,1)</f>
        <v/>
      </c>
      <c r="BP848">
        <f>IF(835&lt;$U$9,MOD(835,$U$8)+1,1)</f>
        <v/>
      </c>
      <c r="BQ848">
        <f>IF(835&lt;$U$9,SUMPRODUCT(($D$10:$L$10&lt;&gt;"")*(($D$9:$L$9+INT(($S$12:$AA$12+INDEX($AJ$13:$AR$162,BN848,0)+INDEX($AT$13:$BB$162,BO848,0)+INDEX($BD$13:$BL$162,BP848,0))/100))&gt;=$D$10:$L$10)),0)</f>
        <v/>
      </c>
      <c r="BR848">
        <f>IF(835&lt;$U$9,SUMPRODUCT(($D$10:$L$10&lt;&gt;"")*(($D$10:$L$10-($D$9:$L$9+INT(($S$12:$AA$12+INDEX($AJ$13:$AR$162,BN848,0)+INDEX($AT$13:$BB$162,BO848,0)+INDEX($BD$13:$BL$162,BP848,0))/100)))&gt;0)*($D$10:$L$10-($D$9:$L$9+INT(($S$12:$AA$12+INDEX($AJ$13:$AR$162,BN848,0)+INDEX($AT$13:$BB$162,BO848,0)+INDEX($BD$13:$BL$162,BP848,0))/100)))),0)</f>
        <v/>
      </c>
      <c r="BS848">
        <f>IF(835&lt;$U$9,SUMPRODUCT(($D$9:$L$9+INT(($S$12:$AA$12+INDEX($AJ$13:$AR$162,BN848,0)+INDEX($AT$13:$BB$162,BO848,0)+INDEX($BD$13:$BL$162,BP848,0))/100))),0)</f>
        <v/>
      </c>
      <c r="BT848">
        <f>IF(AND(835&lt;$U$9,$W$5),BQ848*1000000-MIN(BR848,999)*1000+BS848-835/100000,-1000000000-835)</f>
        <v/>
      </c>
    </row>
    <row r="849">
      <c r="BN849">
        <f>IF(836&lt;$U$9,INT(836/($U$7*$U$8))+1,1)</f>
        <v/>
      </c>
      <c r="BO849">
        <f>IF(836&lt;$U$9,MOD(INT(836/$U$8),$U$7)+1,1)</f>
        <v/>
      </c>
      <c r="BP849">
        <f>IF(836&lt;$U$9,MOD(836,$U$8)+1,1)</f>
        <v/>
      </c>
      <c r="BQ849">
        <f>IF(836&lt;$U$9,SUMPRODUCT(($D$10:$L$10&lt;&gt;"")*(($D$9:$L$9+INT(($S$12:$AA$12+INDEX($AJ$13:$AR$162,BN849,0)+INDEX($AT$13:$BB$162,BO849,0)+INDEX($BD$13:$BL$162,BP849,0))/100))&gt;=$D$10:$L$10)),0)</f>
        <v/>
      </c>
      <c r="BR849">
        <f>IF(836&lt;$U$9,SUMPRODUCT(($D$10:$L$10&lt;&gt;"")*(($D$10:$L$10-($D$9:$L$9+INT(($S$12:$AA$12+INDEX($AJ$13:$AR$162,BN849,0)+INDEX($AT$13:$BB$162,BO849,0)+INDEX($BD$13:$BL$162,BP849,0))/100)))&gt;0)*($D$10:$L$10-($D$9:$L$9+INT(($S$12:$AA$12+INDEX($AJ$13:$AR$162,BN849,0)+INDEX($AT$13:$BB$162,BO849,0)+INDEX($BD$13:$BL$162,BP849,0))/100)))),0)</f>
        <v/>
      </c>
      <c r="BS849">
        <f>IF(836&lt;$U$9,SUMPRODUCT(($D$9:$L$9+INT(($S$12:$AA$12+INDEX($AJ$13:$AR$162,BN849,0)+INDEX($AT$13:$BB$162,BO849,0)+INDEX($BD$13:$BL$162,BP849,0))/100))),0)</f>
        <v/>
      </c>
      <c r="BT849">
        <f>IF(AND(836&lt;$U$9,$W$5),BQ849*1000000-MIN(BR849,999)*1000+BS849-836/100000,-1000000000-836)</f>
        <v/>
      </c>
    </row>
    <row r="850">
      <c r="BN850">
        <f>IF(837&lt;$U$9,INT(837/($U$7*$U$8))+1,1)</f>
        <v/>
      </c>
      <c r="BO850">
        <f>IF(837&lt;$U$9,MOD(INT(837/$U$8),$U$7)+1,1)</f>
        <v/>
      </c>
      <c r="BP850">
        <f>IF(837&lt;$U$9,MOD(837,$U$8)+1,1)</f>
        <v/>
      </c>
      <c r="BQ850">
        <f>IF(837&lt;$U$9,SUMPRODUCT(($D$10:$L$10&lt;&gt;"")*(($D$9:$L$9+INT(($S$12:$AA$12+INDEX($AJ$13:$AR$162,BN850,0)+INDEX($AT$13:$BB$162,BO850,0)+INDEX($BD$13:$BL$162,BP850,0))/100))&gt;=$D$10:$L$10)),0)</f>
        <v/>
      </c>
      <c r="BR850">
        <f>IF(837&lt;$U$9,SUMPRODUCT(($D$10:$L$10&lt;&gt;"")*(($D$10:$L$10-($D$9:$L$9+INT(($S$12:$AA$12+INDEX($AJ$13:$AR$162,BN850,0)+INDEX($AT$13:$BB$162,BO850,0)+INDEX($BD$13:$BL$162,BP850,0))/100)))&gt;0)*($D$10:$L$10-($D$9:$L$9+INT(($S$12:$AA$12+INDEX($AJ$13:$AR$162,BN850,0)+INDEX($AT$13:$BB$162,BO850,0)+INDEX($BD$13:$BL$162,BP850,0))/100)))),0)</f>
        <v/>
      </c>
      <c r="BS850">
        <f>IF(837&lt;$U$9,SUMPRODUCT(($D$9:$L$9+INT(($S$12:$AA$12+INDEX($AJ$13:$AR$162,BN850,0)+INDEX($AT$13:$BB$162,BO850,0)+INDEX($BD$13:$BL$162,BP850,0))/100))),0)</f>
        <v/>
      </c>
      <c r="BT850">
        <f>IF(AND(837&lt;$U$9,$W$5),BQ850*1000000-MIN(BR850,999)*1000+BS850-837/100000,-1000000000-837)</f>
        <v/>
      </c>
    </row>
    <row r="851">
      <c r="BN851">
        <f>IF(838&lt;$U$9,INT(838/($U$7*$U$8))+1,1)</f>
        <v/>
      </c>
      <c r="BO851">
        <f>IF(838&lt;$U$9,MOD(INT(838/$U$8),$U$7)+1,1)</f>
        <v/>
      </c>
      <c r="BP851">
        <f>IF(838&lt;$U$9,MOD(838,$U$8)+1,1)</f>
        <v/>
      </c>
      <c r="BQ851">
        <f>IF(838&lt;$U$9,SUMPRODUCT(($D$10:$L$10&lt;&gt;"")*(($D$9:$L$9+INT(($S$12:$AA$12+INDEX($AJ$13:$AR$162,BN851,0)+INDEX($AT$13:$BB$162,BO851,0)+INDEX($BD$13:$BL$162,BP851,0))/100))&gt;=$D$10:$L$10)),0)</f>
        <v/>
      </c>
      <c r="BR851">
        <f>IF(838&lt;$U$9,SUMPRODUCT(($D$10:$L$10&lt;&gt;"")*(($D$10:$L$10-($D$9:$L$9+INT(($S$12:$AA$12+INDEX($AJ$13:$AR$162,BN851,0)+INDEX($AT$13:$BB$162,BO851,0)+INDEX($BD$13:$BL$162,BP851,0))/100)))&gt;0)*($D$10:$L$10-($D$9:$L$9+INT(($S$12:$AA$12+INDEX($AJ$13:$AR$162,BN851,0)+INDEX($AT$13:$BB$162,BO851,0)+INDEX($BD$13:$BL$162,BP851,0))/100)))),0)</f>
        <v/>
      </c>
      <c r="BS851">
        <f>IF(838&lt;$U$9,SUMPRODUCT(($D$9:$L$9+INT(($S$12:$AA$12+INDEX($AJ$13:$AR$162,BN851,0)+INDEX($AT$13:$BB$162,BO851,0)+INDEX($BD$13:$BL$162,BP851,0))/100))),0)</f>
        <v/>
      </c>
      <c r="BT851">
        <f>IF(AND(838&lt;$U$9,$W$5),BQ851*1000000-MIN(BR851,999)*1000+BS851-838/100000,-1000000000-838)</f>
        <v/>
      </c>
    </row>
    <row r="852">
      <c r="BN852">
        <f>IF(839&lt;$U$9,INT(839/($U$7*$U$8))+1,1)</f>
        <v/>
      </c>
      <c r="BO852">
        <f>IF(839&lt;$U$9,MOD(INT(839/$U$8),$U$7)+1,1)</f>
        <v/>
      </c>
      <c r="BP852">
        <f>IF(839&lt;$U$9,MOD(839,$U$8)+1,1)</f>
        <v/>
      </c>
      <c r="BQ852">
        <f>IF(839&lt;$U$9,SUMPRODUCT(($D$10:$L$10&lt;&gt;"")*(($D$9:$L$9+INT(($S$12:$AA$12+INDEX($AJ$13:$AR$162,BN852,0)+INDEX($AT$13:$BB$162,BO852,0)+INDEX($BD$13:$BL$162,BP852,0))/100))&gt;=$D$10:$L$10)),0)</f>
        <v/>
      </c>
      <c r="BR852">
        <f>IF(839&lt;$U$9,SUMPRODUCT(($D$10:$L$10&lt;&gt;"")*(($D$10:$L$10-($D$9:$L$9+INT(($S$12:$AA$12+INDEX($AJ$13:$AR$162,BN852,0)+INDEX($AT$13:$BB$162,BO852,0)+INDEX($BD$13:$BL$162,BP852,0))/100)))&gt;0)*($D$10:$L$10-($D$9:$L$9+INT(($S$12:$AA$12+INDEX($AJ$13:$AR$162,BN852,0)+INDEX($AT$13:$BB$162,BO852,0)+INDEX($BD$13:$BL$162,BP852,0))/100)))),0)</f>
        <v/>
      </c>
      <c r="BS852">
        <f>IF(839&lt;$U$9,SUMPRODUCT(($D$9:$L$9+INT(($S$12:$AA$12+INDEX($AJ$13:$AR$162,BN852,0)+INDEX($AT$13:$BB$162,BO852,0)+INDEX($BD$13:$BL$162,BP852,0))/100))),0)</f>
        <v/>
      </c>
      <c r="BT852">
        <f>IF(AND(839&lt;$U$9,$W$5),BQ852*1000000-MIN(BR852,999)*1000+BS852-839/100000,-1000000000-839)</f>
        <v/>
      </c>
    </row>
    <row r="853">
      <c r="BN853">
        <f>IF(840&lt;$U$9,INT(840/($U$7*$U$8))+1,1)</f>
        <v/>
      </c>
      <c r="BO853">
        <f>IF(840&lt;$U$9,MOD(INT(840/$U$8),$U$7)+1,1)</f>
        <v/>
      </c>
      <c r="BP853">
        <f>IF(840&lt;$U$9,MOD(840,$U$8)+1,1)</f>
        <v/>
      </c>
      <c r="BQ853">
        <f>IF(840&lt;$U$9,SUMPRODUCT(($D$10:$L$10&lt;&gt;"")*(($D$9:$L$9+INT(($S$12:$AA$12+INDEX($AJ$13:$AR$162,BN853,0)+INDEX($AT$13:$BB$162,BO853,0)+INDEX($BD$13:$BL$162,BP853,0))/100))&gt;=$D$10:$L$10)),0)</f>
        <v/>
      </c>
      <c r="BR853">
        <f>IF(840&lt;$U$9,SUMPRODUCT(($D$10:$L$10&lt;&gt;"")*(($D$10:$L$10-($D$9:$L$9+INT(($S$12:$AA$12+INDEX($AJ$13:$AR$162,BN853,0)+INDEX($AT$13:$BB$162,BO853,0)+INDEX($BD$13:$BL$162,BP853,0))/100)))&gt;0)*($D$10:$L$10-($D$9:$L$9+INT(($S$12:$AA$12+INDEX($AJ$13:$AR$162,BN853,0)+INDEX($AT$13:$BB$162,BO853,0)+INDEX($BD$13:$BL$162,BP853,0))/100)))),0)</f>
        <v/>
      </c>
      <c r="BS853">
        <f>IF(840&lt;$U$9,SUMPRODUCT(($D$9:$L$9+INT(($S$12:$AA$12+INDEX($AJ$13:$AR$162,BN853,0)+INDEX($AT$13:$BB$162,BO853,0)+INDEX($BD$13:$BL$162,BP853,0))/100))),0)</f>
        <v/>
      </c>
      <c r="BT853">
        <f>IF(AND(840&lt;$U$9,$W$5),BQ853*1000000-MIN(BR853,999)*1000+BS853-840/100000,-1000000000-840)</f>
        <v/>
      </c>
    </row>
    <row r="854">
      <c r="BN854">
        <f>IF(841&lt;$U$9,INT(841/($U$7*$U$8))+1,1)</f>
        <v/>
      </c>
      <c r="BO854">
        <f>IF(841&lt;$U$9,MOD(INT(841/$U$8),$U$7)+1,1)</f>
        <v/>
      </c>
      <c r="BP854">
        <f>IF(841&lt;$U$9,MOD(841,$U$8)+1,1)</f>
        <v/>
      </c>
      <c r="BQ854">
        <f>IF(841&lt;$U$9,SUMPRODUCT(($D$10:$L$10&lt;&gt;"")*(($D$9:$L$9+INT(($S$12:$AA$12+INDEX($AJ$13:$AR$162,BN854,0)+INDEX($AT$13:$BB$162,BO854,0)+INDEX($BD$13:$BL$162,BP854,0))/100))&gt;=$D$10:$L$10)),0)</f>
        <v/>
      </c>
      <c r="BR854">
        <f>IF(841&lt;$U$9,SUMPRODUCT(($D$10:$L$10&lt;&gt;"")*(($D$10:$L$10-($D$9:$L$9+INT(($S$12:$AA$12+INDEX($AJ$13:$AR$162,BN854,0)+INDEX($AT$13:$BB$162,BO854,0)+INDEX($BD$13:$BL$162,BP854,0))/100)))&gt;0)*($D$10:$L$10-($D$9:$L$9+INT(($S$12:$AA$12+INDEX($AJ$13:$AR$162,BN854,0)+INDEX($AT$13:$BB$162,BO854,0)+INDEX($BD$13:$BL$162,BP854,0))/100)))),0)</f>
        <v/>
      </c>
      <c r="BS854">
        <f>IF(841&lt;$U$9,SUMPRODUCT(($D$9:$L$9+INT(($S$12:$AA$12+INDEX($AJ$13:$AR$162,BN854,0)+INDEX($AT$13:$BB$162,BO854,0)+INDEX($BD$13:$BL$162,BP854,0))/100))),0)</f>
        <v/>
      </c>
      <c r="BT854">
        <f>IF(AND(841&lt;$U$9,$W$5),BQ854*1000000-MIN(BR854,999)*1000+BS854-841/100000,-1000000000-841)</f>
        <v/>
      </c>
    </row>
    <row r="855">
      <c r="BN855">
        <f>IF(842&lt;$U$9,INT(842/($U$7*$U$8))+1,1)</f>
        <v/>
      </c>
      <c r="BO855">
        <f>IF(842&lt;$U$9,MOD(INT(842/$U$8),$U$7)+1,1)</f>
        <v/>
      </c>
      <c r="BP855">
        <f>IF(842&lt;$U$9,MOD(842,$U$8)+1,1)</f>
        <v/>
      </c>
      <c r="BQ855">
        <f>IF(842&lt;$U$9,SUMPRODUCT(($D$10:$L$10&lt;&gt;"")*(($D$9:$L$9+INT(($S$12:$AA$12+INDEX($AJ$13:$AR$162,BN855,0)+INDEX($AT$13:$BB$162,BO855,0)+INDEX($BD$13:$BL$162,BP855,0))/100))&gt;=$D$10:$L$10)),0)</f>
        <v/>
      </c>
      <c r="BR855">
        <f>IF(842&lt;$U$9,SUMPRODUCT(($D$10:$L$10&lt;&gt;"")*(($D$10:$L$10-($D$9:$L$9+INT(($S$12:$AA$12+INDEX($AJ$13:$AR$162,BN855,0)+INDEX($AT$13:$BB$162,BO855,0)+INDEX($BD$13:$BL$162,BP855,0))/100)))&gt;0)*($D$10:$L$10-($D$9:$L$9+INT(($S$12:$AA$12+INDEX($AJ$13:$AR$162,BN855,0)+INDEX($AT$13:$BB$162,BO855,0)+INDEX($BD$13:$BL$162,BP855,0))/100)))),0)</f>
        <v/>
      </c>
      <c r="BS855">
        <f>IF(842&lt;$U$9,SUMPRODUCT(($D$9:$L$9+INT(($S$12:$AA$12+INDEX($AJ$13:$AR$162,BN855,0)+INDEX($AT$13:$BB$162,BO855,0)+INDEX($BD$13:$BL$162,BP855,0))/100))),0)</f>
        <v/>
      </c>
      <c r="BT855">
        <f>IF(AND(842&lt;$U$9,$W$5),BQ855*1000000-MIN(BR855,999)*1000+BS855-842/100000,-1000000000-842)</f>
        <v/>
      </c>
    </row>
    <row r="856">
      <c r="BN856">
        <f>IF(843&lt;$U$9,INT(843/($U$7*$U$8))+1,1)</f>
        <v/>
      </c>
      <c r="BO856">
        <f>IF(843&lt;$U$9,MOD(INT(843/$U$8),$U$7)+1,1)</f>
        <v/>
      </c>
      <c r="BP856">
        <f>IF(843&lt;$U$9,MOD(843,$U$8)+1,1)</f>
        <v/>
      </c>
      <c r="BQ856">
        <f>IF(843&lt;$U$9,SUMPRODUCT(($D$10:$L$10&lt;&gt;"")*(($D$9:$L$9+INT(($S$12:$AA$12+INDEX($AJ$13:$AR$162,BN856,0)+INDEX($AT$13:$BB$162,BO856,0)+INDEX($BD$13:$BL$162,BP856,0))/100))&gt;=$D$10:$L$10)),0)</f>
        <v/>
      </c>
      <c r="BR856">
        <f>IF(843&lt;$U$9,SUMPRODUCT(($D$10:$L$10&lt;&gt;"")*(($D$10:$L$10-($D$9:$L$9+INT(($S$12:$AA$12+INDEX($AJ$13:$AR$162,BN856,0)+INDEX($AT$13:$BB$162,BO856,0)+INDEX($BD$13:$BL$162,BP856,0))/100)))&gt;0)*($D$10:$L$10-($D$9:$L$9+INT(($S$12:$AA$12+INDEX($AJ$13:$AR$162,BN856,0)+INDEX($AT$13:$BB$162,BO856,0)+INDEX($BD$13:$BL$162,BP856,0))/100)))),0)</f>
        <v/>
      </c>
      <c r="BS856">
        <f>IF(843&lt;$U$9,SUMPRODUCT(($D$9:$L$9+INT(($S$12:$AA$12+INDEX($AJ$13:$AR$162,BN856,0)+INDEX($AT$13:$BB$162,BO856,0)+INDEX($BD$13:$BL$162,BP856,0))/100))),0)</f>
        <v/>
      </c>
      <c r="BT856">
        <f>IF(AND(843&lt;$U$9,$W$5),BQ856*1000000-MIN(BR856,999)*1000+BS856-843/100000,-1000000000-843)</f>
        <v/>
      </c>
    </row>
    <row r="857">
      <c r="BN857">
        <f>IF(844&lt;$U$9,INT(844/($U$7*$U$8))+1,1)</f>
        <v/>
      </c>
      <c r="BO857">
        <f>IF(844&lt;$U$9,MOD(INT(844/$U$8),$U$7)+1,1)</f>
        <v/>
      </c>
      <c r="BP857">
        <f>IF(844&lt;$U$9,MOD(844,$U$8)+1,1)</f>
        <v/>
      </c>
      <c r="BQ857">
        <f>IF(844&lt;$U$9,SUMPRODUCT(($D$10:$L$10&lt;&gt;"")*(($D$9:$L$9+INT(($S$12:$AA$12+INDEX($AJ$13:$AR$162,BN857,0)+INDEX($AT$13:$BB$162,BO857,0)+INDEX($BD$13:$BL$162,BP857,0))/100))&gt;=$D$10:$L$10)),0)</f>
        <v/>
      </c>
      <c r="BR857">
        <f>IF(844&lt;$U$9,SUMPRODUCT(($D$10:$L$10&lt;&gt;"")*(($D$10:$L$10-($D$9:$L$9+INT(($S$12:$AA$12+INDEX($AJ$13:$AR$162,BN857,0)+INDEX($AT$13:$BB$162,BO857,0)+INDEX($BD$13:$BL$162,BP857,0))/100)))&gt;0)*($D$10:$L$10-($D$9:$L$9+INT(($S$12:$AA$12+INDEX($AJ$13:$AR$162,BN857,0)+INDEX($AT$13:$BB$162,BO857,0)+INDEX($BD$13:$BL$162,BP857,0))/100)))),0)</f>
        <v/>
      </c>
      <c r="BS857">
        <f>IF(844&lt;$U$9,SUMPRODUCT(($D$9:$L$9+INT(($S$12:$AA$12+INDEX($AJ$13:$AR$162,BN857,0)+INDEX($AT$13:$BB$162,BO857,0)+INDEX($BD$13:$BL$162,BP857,0))/100))),0)</f>
        <v/>
      </c>
      <c r="BT857">
        <f>IF(AND(844&lt;$U$9,$W$5),BQ857*1000000-MIN(BR857,999)*1000+BS857-844/100000,-1000000000-844)</f>
        <v/>
      </c>
    </row>
    <row r="858">
      <c r="BN858">
        <f>IF(845&lt;$U$9,INT(845/($U$7*$U$8))+1,1)</f>
        <v/>
      </c>
      <c r="BO858">
        <f>IF(845&lt;$U$9,MOD(INT(845/$U$8),$U$7)+1,1)</f>
        <v/>
      </c>
      <c r="BP858">
        <f>IF(845&lt;$U$9,MOD(845,$U$8)+1,1)</f>
        <v/>
      </c>
      <c r="BQ858">
        <f>IF(845&lt;$U$9,SUMPRODUCT(($D$10:$L$10&lt;&gt;"")*(($D$9:$L$9+INT(($S$12:$AA$12+INDEX($AJ$13:$AR$162,BN858,0)+INDEX($AT$13:$BB$162,BO858,0)+INDEX($BD$13:$BL$162,BP858,0))/100))&gt;=$D$10:$L$10)),0)</f>
        <v/>
      </c>
      <c r="BR858">
        <f>IF(845&lt;$U$9,SUMPRODUCT(($D$10:$L$10&lt;&gt;"")*(($D$10:$L$10-($D$9:$L$9+INT(($S$12:$AA$12+INDEX($AJ$13:$AR$162,BN858,0)+INDEX($AT$13:$BB$162,BO858,0)+INDEX($BD$13:$BL$162,BP858,0))/100)))&gt;0)*($D$10:$L$10-($D$9:$L$9+INT(($S$12:$AA$12+INDEX($AJ$13:$AR$162,BN858,0)+INDEX($AT$13:$BB$162,BO858,0)+INDEX($BD$13:$BL$162,BP858,0))/100)))),0)</f>
        <v/>
      </c>
      <c r="BS858">
        <f>IF(845&lt;$U$9,SUMPRODUCT(($D$9:$L$9+INT(($S$12:$AA$12+INDEX($AJ$13:$AR$162,BN858,0)+INDEX($AT$13:$BB$162,BO858,0)+INDEX($BD$13:$BL$162,BP858,0))/100))),0)</f>
        <v/>
      </c>
      <c r="BT858">
        <f>IF(AND(845&lt;$U$9,$W$5),BQ858*1000000-MIN(BR858,999)*1000+BS858-845/100000,-1000000000-845)</f>
        <v/>
      </c>
    </row>
    <row r="859">
      <c r="BN859">
        <f>IF(846&lt;$U$9,INT(846/($U$7*$U$8))+1,1)</f>
        <v/>
      </c>
      <c r="BO859">
        <f>IF(846&lt;$U$9,MOD(INT(846/$U$8),$U$7)+1,1)</f>
        <v/>
      </c>
      <c r="BP859">
        <f>IF(846&lt;$U$9,MOD(846,$U$8)+1,1)</f>
        <v/>
      </c>
      <c r="BQ859">
        <f>IF(846&lt;$U$9,SUMPRODUCT(($D$10:$L$10&lt;&gt;"")*(($D$9:$L$9+INT(($S$12:$AA$12+INDEX($AJ$13:$AR$162,BN859,0)+INDEX($AT$13:$BB$162,BO859,0)+INDEX($BD$13:$BL$162,BP859,0))/100))&gt;=$D$10:$L$10)),0)</f>
        <v/>
      </c>
      <c r="BR859">
        <f>IF(846&lt;$U$9,SUMPRODUCT(($D$10:$L$10&lt;&gt;"")*(($D$10:$L$10-($D$9:$L$9+INT(($S$12:$AA$12+INDEX($AJ$13:$AR$162,BN859,0)+INDEX($AT$13:$BB$162,BO859,0)+INDEX($BD$13:$BL$162,BP859,0))/100)))&gt;0)*($D$10:$L$10-($D$9:$L$9+INT(($S$12:$AA$12+INDEX($AJ$13:$AR$162,BN859,0)+INDEX($AT$13:$BB$162,BO859,0)+INDEX($BD$13:$BL$162,BP859,0))/100)))),0)</f>
        <v/>
      </c>
      <c r="BS859">
        <f>IF(846&lt;$U$9,SUMPRODUCT(($D$9:$L$9+INT(($S$12:$AA$12+INDEX($AJ$13:$AR$162,BN859,0)+INDEX($AT$13:$BB$162,BO859,0)+INDEX($BD$13:$BL$162,BP859,0))/100))),0)</f>
        <v/>
      </c>
      <c r="BT859">
        <f>IF(AND(846&lt;$U$9,$W$5),BQ859*1000000-MIN(BR859,999)*1000+BS859-846/100000,-1000000000-846)</f>
        <v/>
      </c>
    </row>
    <row r="860">
      <c r="BN860">
        <f>IF(847&lt;$U$9,INT(847/($U$7*$U$8))+1,1)</f>
        <v/>
      </c>
      <c r="BO860">
        <f>IF(847&lt;$U$9,MOD(INT(847/$U$8),$U$7)+1,1)</f>
        <v/>
      </c>
      <c r="BP860">
        <f>IF(847&lt;$U$9,MOD(847,$U$8)+1,1)</f>
        <v/>
      </c>
      <c r="BQ860">
        <f>IF(847&lt;$U$9,SUMPRODUCT(($D$10:$L$10&lt;&gt;"")*(($D$9:$L$9+INT(($S$12:$AA$12+INDEX($AJ$13:$AR$162,BN860,0)+INDEX($AT$13:$BB$162,BO860,0)+INDEX($BD$13:$BL$162,BP860,0))/100))&gt;=$D$10:$L$10)),0)</f>
        <v/>
      </c>
      <c r="BR860">
        <f>IF(847&lt;$U$9,SUMPRODUCT(($D$10:$L$10&lt;&gt;"")*(($D$10:$L$10-($D$9:$L$9+INT(($S$12:$AA$12+INDEX($AJ$13:$AR$162,BN860,0)+INDEX($AT$13:$BB$162,BO860,0)+INDEX($BD$13:$BL$162,BP860,0))/100)))&gt;0)*($D$10:$L$10-($D$9:$L$9+INT(($S$12:$AA$12+INDEX($AJ$13:$AR$162,BN860,0)+INDEX($AT$13:$BB$162,BO860,0)+INDEX($BD$13:$BL$162,BP860,0))/100)))),0)</f>
        <v/>
      </c>
      <c r="BS860">
        <f>IF(847&lt;$U$9,SUMPRODUCT(($D$9:$L$9+INT(($S$12:$AA$12+INDEX($AJ$13:$AR$162,BN860,0)+INDEX($AT$13:$BB$162,BO860,0)+INDEX($BD$13:$BL$162,BP860,0))/100))),0)</f>
        <v/>
      </c>
      <c r="BT860">
        <f>IF(AND(847&lt;$U$9,$W$5),BQ860*1000000-MIN(BR860,999)*1000+BS860-847/100000,-1000000000-847)</f>
        <v/>
      </c>
    </row>
    <row r="861">
      <c r="BN861">
        <f>IF(848&lt;$U$9,INT(848/($U$7*$U$8))+1,1)</f>
        <v/>
      </c>
      <c r="BO861">
        <f>IF(848&lt;$U$9,MOD(INT(848/$U$8),$U$7)+1,1)</f>
        <v/>
      </c>
      <c r="BP861">
        <f>IF(848&lt;$U$9,MOD(848,$U$8)+1,1)</f>
        <v/>
      </c>
      <c r="BQ861">
        <f>IF(848&lt;$U$9,SUMPRODUCT(($D$10:$L$10&lt;&gt;"")*(($D$9:$L$9+INT(($S$12:$AA$12+INDEX($AJ$13:$AR$162,BN861,0)+INDEX($AT$13:$BB$162,BO861,0)+INDEX($BD$13:$BL$162,BP861,0))/100))&gt;=$D$10:$L$10)),0)</f>
        <v/>
      </c>
      <c r="BR861">
        <f>IF(848&lt;$U$9,SUMPRODUCT(($D$10:$L$10&lt;&gt;"")*(($D$10:$L$10-($D$9:$L$9+INT(($S$12:$AA$12+INDEX($AJ$13:$AR$162,BN861,0)+INDEX($AT$13:$BB$162,BO861,0)+INDEX($BD$13:$BL$162,BP861,0))/100)))&gt;0)*($D$10:$L$10-($D$9:$L$9+INT(($S$12:$AA$12+INDEX($AJ$13:$AR$162,BN861,0)+INDEX($AT$13:$BB$162,BO861,0)+INDEX($BD$13:$BL$162,BP861,0))/100)))),0)</f>
        <v/>
      </c>
      <c r="BS861">
        <f>IF(848&lt;$U$9,SUMPRODUCT(($D$9:$L$9+INT(($S$12:$AA$12+INDEX($AJ$13:$AR$162,BN861,0)+INDEX($AT$13:$BB$162,BO861,0)+INDEX($BD$13:$BL$162,BP861,0))/100))),0)</f>
        <v/>
      </c>
      <c r="BT861">
        <f>IF(AND(848&lt;$U$9,$W$5),BQ861*1000000-MIN(BR861,999)*1000+BS861-848/100000,-1000000000-848)</f>
        <v/>
      </c>
    </row>
    <row r="862">
      <c r="BN862">
        <f>IF(849&lt;$U$9,INT(849/($U$7*$U$8))+1,1)</f>
        <v/>
      </c>
      <c r="BO862">
        <f>IF(849&lt;$U$9,MOD(INT(849/$U$8),$U$7)+1,1)</f>
        <v/>
      </c>
      <c r="BP862">
        <f>IF(849&lt;$U$9,MOD(849,$U$8)+1,1)</f>
        <v/>
      </c>
      <c r="BQ862">
        <f>IF(849&lt;$U$9,SUMPRODUCT(($D$10:$L$10&lt;&gt;"")*(($D$9:$L$9+INT(($S$12:$AA$12+INDEX($AJ$13:$AR$162,BN862,0)+INDEX($AT$13:$BB$162,BO862,0)+INDEX($BD$13:$BL$162,BP862,0))/100))&gt;=$D$10:$L$10)),0)</f>
        <v/>
      </c>
      <c r="BR862">
        <f>IF(849&lt;$U$9,SUMPRODUCT(($D$10:$L$10&lt;&gt;"")*(($D$10:$L$10-($D$9:$L$9+INT(($S$12:$AA$12+INDEX($AJ$13:$AR$162,BN862,0)+INDEX($AT$13:$BB$162,BO862,0)+INDEX($BD$13:$BL$162,BP862,0))/100)))&gt;0)*($D$10:$L$10-($D$9:$L$9+INT(($S$12:$AA$12+INDEX($AJ$13:$AR$162,BN862,0)+INDEX($AT$13:$BB$162,BO862,0)+INDEX($BD$13:$BL$162,BP862,0))/100)))),0)</f>
        <v/>
      </c>
      <c r="BS862">
        <f>IF(849&lt;$U$9,SUMPRODUCT(($D$9:$L$9+INT(($S$12:$AA$12+INDEX($AJ$13:$AR$162,BN862,0)+INDEX($AT$13:$BB$162,BO862,0)+INDEX($BD$13:$BL$162,BP862,0))/100))),0)</f>
        <v/>
      </c>
      <c r="BT862">
        <f>IF(AND(849&lt;$U$9,$W$5),BQ862*1000000-MIN(BR862,999)*1000+BS862-849/100000,-1000000000-849)</f>
        <v/>
      </c>
    </row>
    <row r="863">
      <c r="BN863">
        <f>IF(850&lt;$U$9,INT(850/($U$7*$U$8))+1,1)</f>
        <v/>
      </c>
      <c r="BO863">
        <f>IF(850&lt;$U$9,MOD(INT(850/$U$8),$U$7)+1,1)</f>
        <v/>
      </c>
      <c r="BP863">
        <f>IF(850&lt;$U$9,MOD(850,$U$8)+1,1)</f>
        <v/>
      </c>
      <c r="BQ863">
        <f>IF(850&lt;$U$9,SUMPRODUCT(($D$10:$L$10&lt;&gt;"")*(($D$9:$L$9+INT(($S$12:$AA$12+INDEX($AJ$13:$AR$162,BN863,0)+INDEX($AT$13:$BB$162,BO863,0)+INDEX($BD$13:$BL$162,BP863,0))/100))&gt;=$D$10:$L$10)),0)</f>
        <v/>
      </c>
      <c r="BR863">
        <f>IF(850&lt;$U$9,SUMPRODUCT(($D$10:$L$10&lt;&gt;"")*(($D$10:$L$10-($D$9:$L$9+INT(($S$12:$AA$12+INDEX($AJ$13:$AR$162,BN863,0)+INDEX($AT$13:$BB$162,BO863,0)+INDEX($BD$13:$BL$162,BP863,0))/100)))&gt;0)*($D$10:$L$10-($D$9:$L$9+INT(($S$12:$AA$12+INDEX($AJ$13:$AR$162,BN863,0)+INDEX($AT$13:$BB$162,BO863,0)+INDEX($BD$13:$BL$162,BP863,0))/100)))),0)</f>
        <v/>
      </c>
      <c r="BS863">
        <f>IF(850&lt;$U$9,SUMPRODUCT(($D$9:$L$9+INT(($S$12:$AA$12+INDEX($AJ$13:$AR$162,BN863,0)+INDEX($AT$13:$BB$162,BO863,0)+INDEX($BD$13:$BL$162,BP863,0))/100))),0)</f>
        <v/>
      </c>
      <c r="BT863">
        <f>IF(AND(850&lt;$U$9,$W$5),BQ863*1000000-MIN(BR863,999)*1000+BS863-850/100000,-1000000000-850)</f>
        <v/>
      </c>
    </row>
    <row r="864">
      <c r="BN864">
        <f>IF(851&lt;$U$9,INT(851/($U$7*$U$8))+1,1)</f>
        <v/>
      </c>
      <c r="BO864">
        <f>IF(851&lt;$U$9,MOD(INT(851/$U$8),$U$7)+1,1)</f>
        <v/>
      </c>
      <c r="BP864">
        <f>IF(851&lt;$U$9,MOD(851,$U$8)+1,1)</f>
        <v/>
      </c>
      <c r="BQ864">
        <f>IF(851&lt;$U$9,SUMPRODUCT(($D$10:$L$10&lt;&gt;"")*(($D$9:$L$9+INT(($S$12:$AA$12+INDEX($AJ$13:$AR$162,BN864,0)+INDEX($AT$13:$BB$162,BO864,0)+INDEX($BD$13:$BL$162,BP864,0))/100))&gt;=$D$10:$L$10)),0)</f>
        <v/>
      </c>
      <c r="BR864">
        <f>IF(851&lt;$U$9,SUMPRODUCT(($D$10:$L$10&lt;&gt;"")*(($D$10:$L$10-($D$9:$L$9+INT(($S$12:$AA$12+INDEX($AJ$13:$AR$162,BN864,0)+INDEX($AT$13:$BB$162,BO864,0)+INDEX($BD$13:$BL$162,BP864,0))/100)))&gt;0)*($D$10:$L$10-($D$9:$L$9+INT(($S$12:$AA$12+INDEX($AJ$13:$AR$162,BN864,0)+INDEX($AT$13:$BB$162,BO864,0)+INDEX($BD$13:$BL$162,BP864,0))/100)))),0)</f>
        <v/>
      </c>
      <c r="BS864">
        <f>IF(851&lt;$U$9,SUMPRODUCT(($D$9:$L$9+INT(($S$12:$AA$12+INDEX($AJ$13:$AR$162,BN864,0)+INDEX($AT$13:$BB$162,BO864,0)+INDEX($BD$13:$BL$162,BP864,0))/100))),0)</f>
        <v/>
      </c>
      <c r="BT864">
        <f>IF(AND(851&lt;$U$9,$W$5),BQ864*1000000-MIN(BR864,999)*1000+BS864-851/100000,-1000000000-851)</f>
        <v/>
      </c>
    </row>
    <row r="865">
      <c r="BN865">
        <f>IF(852&lt;$U$9,INT(852/($U$7*$U$8))+1,1)</f>
        <v/>
      </c>
      <c r="BO865">
        <f>IF(852&lt;$U$9,MOD(INT(852/$U$8),$U$7)+1,1)</f>
        <v/>
      </c>
      <c r="BP865">
        <f>IF(852&lt;$U$9,MOD(852,$U$8)+1,1)</f>
        <v/>
      </c>
      <c r="BQ865">
        <f>IF(852&lt;$U$9,SUMPRODUCT(($D$10:$L$10&lt;&gt;"")*(($D$9:$L$9+INT(($S$12:$AA$12+INDEX($AJ$13:$AR$162,BN865,0)+INDEX($AT$13:$BB$162,BO865,0)+INDEX($BD$13:$BL$162,BP865,0))/100))&gt;=$D$10:$L$10)),0)</f>
        <v/>
      </c>
      <c r="BR865">
        <f>IF(852&lt;$U$9,SUMPRODUCT(($D$10:$L$10&lt;&gt;"")*(($D$10:$L$10-($D$9:$L$9+INT(($S$12:$AA$12+INDEX($AJ$13:$AR$162,BN865,0)+INDEX($AT$13:$BB$162,BO865,0)+INDEX($BD$13:$BL$162,BP865,0))/100)))&gt;0)*($D$10:$L$10-($D$9:$L$9+INT(($S$12:$AA$12+INDEX($AJ$13:$AR$162,BN865,0)+INDEX($AT$13:$BB$162,BO865,0)+INDEX($BD$13:$BL$162,BP865,0))/100)))),0)</f>
        <v/>
      </c>
      <c r="BS865">
        <f>IF(852&lt;$U$9,SUMPRODUCT(($D$9:$L$9+INT(($S$12:$AA$12+INDEX($AJ$13:$AR$162,BN865,0)+INDEX($AT$13:$BB$162,BO865,0)+INDEX($BD$13:$BL$162,BP865,0))/100))),0)</f>
        <v/>
      </c>
      <c r="BT865">
        <f>IF(AND(852&lt;$U$9,$W$5),BQ865*1000000-MIN(BR865,999)*1000+BS865-852/100000,-1000000000-852)</f>
        <v/>
      </c>
    </row>
    <row r="866">
      <c r="BN866">
        <f>IF(853&lt;$U$9,INT(853/($U$7*$U$8))+1,1)</f>
        <v/>
      </c>
      <c r="BO866">
        <f>IF(853&lt;$U$9,MOD(INT(853/$U$8),$U$7)+1,1)</f>
        <v/>
      </c>
      <c r="BP866">
        <f>IF(853&lt;$U$9,MOD(853,$U$8)+1,1)</f>
        <v/>
      </c>
      <c r="BQ866">
        <f>IF(853&lt;$U$9,SUMPRODUCT(($D$10:$L$10&lt;&gt;"")*(($D$9:$L$9+INT(($S$12:$AA$12+INDEX($AJ$13:$AR$162,BN866,0)+INDEX($AT$13:$BB$162,BO866,0)+INDEX($BD$13:$BL$162,BP866,0))/100))&gt;=$D$10:$L$10)),0)</f>
        <v/>
      </c>
      <c r="BR866">
        <f>IF(853&lt;$U$9,SUMPRODUCT(($D$10:$L$10&lt;&gt;"")*(($D$10:$L$10-($D$9:$L$9+INT(($S$12:$AA$12+INDEX($AJ$13:$AR$162,BN866,0)+INDEX($AT$13:$BB$162,BO866,0)+INDEX($BD$13:$BL$162,BP866,0))/100)))&gt;0)*($D$10:$L$10-($D$9:$L$9+INT(($S$12:$AA$12+INDEX($AJ$13:$AR$162,BN866,0)+INDEX($AT$13:$BB$162,BO866,0)+INDEX($BD$13:$BL$162,BP866,0))/100)))),0)</f>
        <v/>
      </c>
      <c r="BS866">
        <f>IF(853&lt;$U$9,SUMPRODUCT(($D$9:$L$9+INT(($S$12:$AA$12+INDEX($AJ$13:$AR$162,BN866,0)+INDEX($AT$13:$BB$162,BO866,0)+INDEX($BD$13:$BL$162,BP866,0))/100))),0)</f>
        <v/>
      </c>
      <c r="BT866">
        <f>IF(AND(853&lt;$U$9,$W$5),BQ866*1000000-MIN(BR866,999)*1000+BS866-853/100000,-1000000000-853)</f>
        <v/>
      </c>
    </row>
    <row r="867">
      <c r="BN867">
        <f>IF(854&lt;$U$9,INT(854/($U$7*$U$8))+1,1)</f>
        <v/>
      </c>
      <c r="BO867">
        <f>IF(854&lt;$U$9,MOD(INT(854/$U$8),$U$7)+1,1)</f>
        <v/>
      </c>
      <c r="BP867">
        <f>IF(854&lt;$U$9,MOD(854,$U$8)+1,1)</f>
        <v/>
      </c>
      <c r="BQ867">
        <f>IF(854&lt;$U$9,SUMPRODUCT(($D$10:$L$10&lt;&gt;"")*(($D$9:$L$9+INT(($S$12:$AA$12+INDEX($AJ$13:$AR$162,BN867,0)+INDEX($AT$13:$BB$162,BO867,0)+INDEX($BD$13:$BL$162,BP867,0))/100))&gt;=$D$10:$L$10)),0)</f>
        <v/>
      </c>
      <c r="BR867">
        <f>IF(854&lt;$U$9,SUMPRODUCT(($D$10:$L$10&lt;&gt;"")*(($D$10:$L$10-($D$9:$L$9+INT(($S$12:$AA$12+INDEX($AJ$13:$AR$162,BN867,0)+INDEX($AT$13:$BB$162,BO867,0)+INDEX($BD$13:$BL$162,BP867,0))/100)))&gt;0)*($D$10:$L$10-($D$9:$L$9+INT(($S$12:$AA$12+INDEX($AJ$13:$AR$162,BN867,0)+INDEX($AT$13:$BB$162,BO867,0)+INDEX($BD$13:$BL$162,BP867,0))/100)))),0)</f>
        <v/>
      </c>
      <c r="BS867">
        <f>IF(854&lt;$U$9,SUMPRODUCT(($D$9:$L$9+INT(($S$12:$AA$12+INDEX($AJ$13:$AR$162,BN867,0)+INDEX($AT$13:$BB$162,BO867,0)+INDEX($BD$13:$BL$162,BP867,0))/100))),0)</f>
        <v/>
      </c>
      <c r="BT867">
        <f>IF(AND(854&lt;$U$9,$W$5),BQ867*1000000-MIN(BR867,999)*1000+BS867-854/100000,-1000000000-854)</f>
        <v/>
      </c>
    </row>
    <row r="868">
      <c r="BN868">
        <f>IF(855&lt;$U$9,INT(855/($U$7*$U$8))+1,1)</f>
        <v/>
      </c>
      <c r="BO868">
        <f>IF(855&lt;$U$9,MOD(INT(855/$U$8),$U$7)+1,1)</f>
        <v/>
      </c>
      <c r="BP868">
        <f>IF(855&lt;$U$9,MOD(855,$U$8)+1,1)</f>
        <v/>
      </c>
      <c r="BQ868">
        <f>IF(855&lt;$U$9,SUMPRODUCT(($D$10:$L$10&lt;&gt;"")*(($D$9:$L$9+INT(($S$12:$AA$12+INDEX($AJ$13:$AR$162,BN868,0)+INDEX($AT$13:$BB$162,BO868,0)+INDEX($BD$13:$BL$162,BP868,0))/100))&gt;=$D$10:$L$10)),0)</f>
        <v/>
      </c>
      <c r="BR868">
        <f>IF(855&lt;$U$9,SUMPRODUCT(($D$10:$L$10&lt;&gt;"")*(($D$10:$L$10-($D$9:$L$9+INT(($S$12:$AA$12+INDEX($AJ$13:$AR$162,BN868,0)+INDEX($AT$13:$BB$162,BO868,0)+INDEX($BD$13:$BL$162,BP868,0))/100)))&gt;0)*($D$10:$L$10-($D$9:$L$9+INT(($S$12:$AA$12+INDEX($AJ$13:$AR$162,BN868,0)+INDEX($AT$13:$BB$162,BO868,0)+INDEX($BD$13:$BL$162,BP868,0))/100)))),0)</f>
        <v/>
      </c>
      <c r="BS868">
        <f>IF(855&lt;$U$9,SUMPRODUCT(($D$9:$L$9+INT(($S$12:$AA$12+INDEX($AJ$13:$AR$162,BN868,0)+INDEX($AT$13:$BB$162,BO868,0)+INDEX($BD$13:$BL$162,BP868,0))/100))),0)</f>
        <v/>
      </c>
      <c r="BT868">
        <f>IF(AND(855&lt;$U$9,$W$5),BQ868*1000000-MIN(BR868,999)*1000+BS868-855/100000,-1000000000-855)</f>
        <v/>
      </c>
    </row>
    <row r="869">
      <c r="BN869">
        <f>IF(856&lt;$U$9,INT(856/($U$7*$U$8))+1,1)</f>
        <v/>
      </c>
      <c r="BO869">
        <f>IF(856&lt;$U$9,MOD(INT(856/$U$8),$U$7)+1,1)</f>
        <v/>
      </c>
      <c r="BP869">
        <f>IF(856&lt;$U$9,MOD(856,$U$8)+1,1)</f>
        <v/>
      </c>
      <c r="BQ869">
        <f>IF(856&lt;$U$9,SUMPRODUCT(($D$10:$L$10&lt;&gt;"")*(($D$9:$L$9+INT(($S$12:$AA$12+INDEX($AJ$13:$AR$162,BN869,0)+INDEX($AT$13:$BB$162,BO869,0)+INDEX($BD$13:$BL$162,BP869,0))/100))&gt;=$D$10:$L$10)),0)</f>
        <v/>
      </c>
      <c r="BR869">
        <f>IF(856&lt;$U$9,SUMPRODUCT(($D$10:$L$10&lt;&gt;"")*(($D$10:$L$10-($D$9:$L$9+INT(($S$12:$AA$12+INDEX($AJ$13:$AR$162,BN869,0)+INDEX($AT$13:$BB$162,BO869,0)+INDEX($BD$13:$BL$162,BP869,0))/100)))&gt;0)*($D$10:$L$10-($D$9:$L$9+INT(($S$12:$AA$12+INDEX($AJ$13:$AR$162,BN869,0)+INDEX($AT$13:$BB$162,BO869,0)+INDEX($BD$13:$BL$162,BP869,0))/100)))),0)</f>
        <v/>
      </c>
      <c r="BS869">
        <f>IF(856&lt;$U$9,SUMPRODUCT(($D$9:$L$9+INT(($S$12:$AA$12+INDEX($AJ$13:$AR$162,BN869,0)+INDEX($AT$13:$BB$162,BO869,0)+INDEX($BD$13:$BL$162,BP869,0))/100))),0)</f>
        <v/>
      </c>
      <c r="BT869">
        <f>IF(AND(856&lt;$U$9,$W$5),BQ869*1000000-MIN(BR869,999)*1000+BS869-856/100000,-1000000000-856)</f>
        <v/>
      </c>
    </row>
    <row r="870">
      <c r="BN870">
        <f>IF(857&lt;$U$9,INT(857/($U$7*$U$8))+1,1)</f>
        <v/>
      </c>
      <c r="BO870">
        <f>IF(857&lt;$U$9,MOD(INT(857/$U$8),$U$7)+1,1)</f>
        <v/>
      </c>
      <c r="BP870">
        <f>IF(857&lt;$U$9,MOD(857,$U$8)+1,1)</f>
        <v/>
      </c>
      <c r="BQ870">
        <f>IF(857&lt;$U$9,SUMPRODUCT(($D$10:$L$10&lt;&gt;"")*(($D$9:$L$9+INT(($S$12:$AA$12+INDEX($AJ$13:$AR$162,BN870,0)+INDEX($AT$13:$BB$162,BO870,0)+INDEX($BD$13:$BL$162,BP870,0))/100))&gt;=$D$10:$L$10)),0)</f>
        <v/>
      </c>
      <c r="BR870">
        <f>IF(857&lt;$U$9,SUMPRODUCT(($D$10:$L$10&lt;&gt;"")*(($D$10:$L$10-($D$9:$L$9+INT(($S$12:$AA$12+INDEX($AJ$13:$AR$162,BN870,0)+INDEX($AT$13:$BB$162,BO870,0)+INDEX($BD$13:$BL$162,BP870,0))/100)))&gt;0)*($D$10:$L$10-($D$9:$L$9+INT(($S$12:$AA$12+INDEX($AJ$13:$AR$162,BN870,0)+INDEX($AT$13:$BB$162,BO870,0)+INDEX($BD$13:$BL$162,BP870,0))/100)))),0)</f>
        <v/>
      </c>
      <c r="BS870">
        <f>IF(857&lt;$U$9,SUMPRODUCT(($D$9:$L$9+INT(($S$12:$AA$12+INDEX($AJ$13:$AR$162,BN870,0)+INDEX($AT$13:$BB$162,BO870,0)+INDEX($BD$13:$BL$162,BP870,0))/100))),0)</f>
        <v/>
      </c>
      <c r="BT870">
        <f>IF(AND(857&lt;$U$9,$W$5),BQ870*1000000-MIN(BR870,999)*1000+BS870-857/100000,-1000000000-857)</f>
        <v/>
      </c>
    </row>
    <row r="871">
      <c r="BN871">
        <f>IF(858&lt;$U$9,INT(858/($U$7*$U$8))+1,1)</f>
        <v/>
      </c>
      <c r="BO871">
        <f>IF(858&lt;$U$9,MOD(INT(858/$U$8),$U$7)+1,1)</f>
        <v/>
      </c>
      <c r="BP871">
        <f>IF(858&lt;$U$9,MOD(858,$U$8)+1,1)</f>
        <v/>
      </c>
      <c r="BQ871">
        <f>IF(858&lt;$U$9,SUMPRODUCT(($D$10:$L$10&lt;&gt;"")*(($D$9:$L$9+INT(($S$12:$AA$12+INDEX($AJ$13:$AR$162,BN871,0)+INDEX($AT$13:$BB$162,BO871,0)+INDEX($BD$13:$BL$162,BP871,0))/100))&gt;=$D$10:$L$10)),0)</f>
        <v/>
      </c>
      <c r="BR871">
        <f>IF(858&lt;$U$9,SUMPRODUCT(($D$10:$L$10&lt;&gt;"")*(($D$10:$L$10-($D$9:$L$9+INT(($S$12:$AA$12+INDEX($AJ$13:$AR$162,BN871,0)+INDEX($AT$13:$BB$162,BO871,0)+INDEX($BD$13:$BL$162,BP871,0))/100)))&gt;0)*($D$10:$L$10-($D$9:$L$9+INT(($S$12:$AA$12+INDEX($AJ$13:$AR$162,BN871,0)+INDEX($AT$13:$BB$162,BO871,0)+INDEX($BD$13:$BL$162,BP871,0))/100)))),0)</f>
        <v/>
      </c>
      <c r="BS871">
        <f>IF(858&lt;$U$9,SUMPRODUCT(($D$9:$L$9+INT(($S$12:$AA$12+INDEX($AJ$13:$AR$162,BN871,0)+INDEX($AT$13:$BB$162,BO871,0)+INDEX($BD$13:$BL$162,BP871,0))/100))),0)</f>
        <v/>
      </c>
      <c r="BT871">
        <f>IF(AND(858&lt;$U$9,$W$5),BQ871*1000000-MIN(BR871,999)*1000+BS871-858/100000,-1000000000-858)</f>
        <v/>
      </c>
    </row>
    <row r="872">
      <c r="BN872">
        <f>IF(859&lt;$U$9,INT(859/($U$7*$U$8))+1,1)</f>
        <v/>
      </c>
      <c r="BO872">
        <f>IF(859&lt;$U$9,MOD(INT(859/$U$8),$U$7)+1,1)</f>
        <v/>
      </c>
      <c r="BP872">
        <f>IF(859&lt;$U$9,MOD(859,$U$8)+1,1)</f>
        <v/>
      </c>
      <c r="BQ872">
        <f>IF(859&lt;$U$9,SUMPRODUCT(($D$10:$L$10&lt;&gt;"")*(($D$9:$L$9+INT(($S$12:$AA$12+INDEX($AJ$13:$AR$162,BN872,0)+INDEX($AT$13:$BB$162,BO872,0)+INDEX($BD$13:$BL$162,BP872,0))/100))&gt;=$D$10:$L$10)),0)</f>
        <v/>
      </c>
      <c r="BR872">
        <f>IF(859&lt;$U$9,SUMPRODUCT(($D$10:$L$10&lt;&gt;"")*(($D$10:$L$10-($D$9:$L$9+INT(($S$12:$AA$12+INDEX($AJ$13:$AR$162,BN872,0)+INDEX($AT$13:$BB$162,BO872,0)+INDEX($BD$13:$BL$162,BP872,0))/100)))&gt;0)*($D$10:$L$10-($D$9:$L$9+INT(($S$12:$AA$12+INDEX($AJ$13:$AR$162,BN872,0)+INDEX($AT$13:$BB$162,BO872,0)+INDEX($BD$13:$BL$162,BP872,0))/100)))),0)</f>
        <v/>
      </c>
      <c r="BS872">
        <f>IF(859&lt;$U$9,SUMPRODUCT(($D$9:$L$9+INT(($S$12:$AA$12+INDEX($AJ$13:$AR$162,BN872,0)+INDEX($AT$13:$BB$162,BO872,0)+INDEX($BD$13:$BL$162,BP872,0))/100))),0)</f>
        <v/>
      </c>
      <c r="BT872">
        <f>IF(AND(859&lt;$U$9,$W$5),BQ872*1000000-MIN(BR872,999)*1000+BS872-859/100000,-1000000000-859)</f>
        <v/>
      </c>
    </row>
    <row r="873">
      <c r="BN873">
        <f>IF(860&lt;$U$9,INT(860/($U$7*$U$8))+1,1)</f>
        <v/>
      </c>
      <c r="BO873">
        <f>IF(860&lt;$U$9,MOD(INT(860/$U$8),$U$7)+1,1)</f>
        <v/>
      </c>
      <c r="BP873">
        <f>IF(860&lt;$U$9,MOD(860,$U$8)+1,1)</f>
        <v/>
      </c>
      <c r="BQ873">
        <f>IF(860&lt;$U$9,SUMPRODUCT(($D$10:$L$10&lt;&gt;"")*(($D$9:$L$9+INT(($S$12:$AA$12+INDEX($AJ$13:$AR$162,BN873,0)+INDEX($AT$13:$BB$162,BO873,0)+INDEX($BD$13:$BL$162,BP873,0))/100))&gt;=$D$10:$L$10)),0)</f>
        <v/>
      </c>
      <c r="BR873">
        <f>IF(860&lt;$U$9,SUMPRODUCT(($D$10:$L$10&lt;&gt;"")*(($D$10:$L$10-($D$9:$L$9+INT(($S$12:$AA$12+INDEX($AJ$13:$AR$162,BN873,0)+INDEX($AT$13:$BB$162,BO873,0)+INDEX($BD$13:$BL$162,BP873,0))/100)))&gt;0)*($D$10:$L$10-($D$9:$L$9+INT(($S$12:$AA$12+INDEX($AJ$13:$AR$162,BN873,0)+INDEX($AT$13:$BB$162,BO873,0)+INDEX($BD$13:$BL$162,BP873,0))/100)))),0)</f>
        <v/>
      </c>
      <c r="BS873">
        <f>IF(860&lt;$U$9,SUMPRODUCT(($D$9:$L$9+INT(($S$12:$AA$12+INDEX($AJ$13:$AR$162,BN873,0)+INDEX($AT$13:$BB$162,BO873,0)+INDEX($BD$13:$BL$162,BP873,0))/100))),0)</f>
        <v/>
      </c>
      <c r="BT873">
        <f>IF(AND(860&lt;$U$9,$W$5),BQ873*1000000-MIN(BR873,999)*1000+BS873-860/100000,-1000000000-860)</f>
        <v/>
      </c>
    </row>
    <row r="874">
      <c r="BN874">
        <f>IF(861&lt;$U$9,INT(861/($U$7*$U$8))+1,1)</f>
        <v/>
      </c>
      <c r="BO874">
        <f>IF(861&lt;$U$9,MOD(INT(861/$U$8),$U$7)+1,1)</f>
        <v/>
      </c>
      <c r="BP874">
        <f>IF(861&lt;$U$9,MOD(861,$U$8)+1,1)</f>
        <v/>
      </c>
      <c r="BQ874">
        <f>IF(861&lt;$U$9,SUMPRODUCT(($D$10:$L$10&lt;&gt;"")*(($D$9:$L$9+INT(($S$12:$AA$12+INDEX($AJ$13:$AR$162,BN874,0)+INDEX($AT$13:$BB$162,BO874,0)+INDEX($BD$13:$BL$162,BP874,0))/100))&gt;=$D$10:$L$10)),0)</f>
        <v/>
      </c>
      <c r="BR874">
        <f>IF(861&lt;$U$9,SUMPRODUCT(($D$10:$L$10&lt;&gt;"")*(($D$10:$L$10-($D$9:$L$9+INT(($S$12:$AA$12+INDEX($AJ$13:$AR$162,BN874,0)+INDEX($AT$13:$BB$162,BO874,0)+INDEX($BD$13:$BL$162,BP874,0))/100)))&gt;0)*($D$10:$L$10-($D$9:$L$9+INT(($S$12:$AA$12+INDEX($AJ$13:$AR$162,BN874,0)+INDEX($AT$13:$BB$162,BO874,0)+INDEX($BD$13:$BL$162,BP874,0))/100)))),0)</f>
        <v/>
      </c>
      <c r="BS874">
        <f>IF(861&lt;$U$9,SUMPRODUCT(($D$9:$L$9+INT(($S$12:$AA$12+INDEX($AJ$13:$AR$162,BN874,0)+INDEX($AT$13:$BB$162,BO874,0)+INDEX($BD$13:$BL$162,BP874,0))/100))),0)</f>
        <v/>
      </c>
      <c r="BT874">
        <f>IF(AND(861&lt;$U$9,$W$5),BQ874*1000000-MIN(BR874,999)*1000+BS874-861/100000,-1000000000-861)</f>
        <v/>
      </c>
    </row>
    <row r="875">
      <c r="BN875">
        <f>IF(862&lt;$U$9,INT(862/($U$7*$U$8))+1,1)</f>
        <v/>
      </c>
      <c r="BO875">
        <f>IF(862&lt;$U$9,MOD(INT(862/$U$8),$U$7)+1,1)</f>
        <v/>
      </c>
      <c r="BP875">
        <f>IF(862&lt;$U$9,MOD(862,$U$8)+1,1)</f>
        <v/>
      </c>
      <c r="BQ875">
        <f>IF(862&lt;$U$9,SUMPRODUCT(($D$10:$L$10&lt;&gt;"")*(($D$9:$L$9+INT(($S$12:$AA$12+INDEX($AJ$13:$AR$162,BN875,0)+INDEX($AT$13:$BB$162,BO875,0)+INDEX($BD$13:$BL$162,BP875,0))/100))&gt;=$D$10:$L$10)),0)</f>
        <v/>
      </c>
      <c r="BR875">
        <f>IF(862&lt;$U$9,SUMPRODUCT(($D$10:$L$10&lt;&gt;"")*(($D$10:$L$10-($D$9:$L$9+INT(($S$12:$AA$12+INDEX($AJ$13:$AR$162,BN875,0)+INDEX($AT$13:$BB$162,BO875,0)+INDEX($BD$13:$BL$162,BP875,0))/100)))&gt;0)*($D$10:$L$10-($D$9:$L$9+INT(($S$12:$AA$12+INDEX($AJ$13:$AR$162,BN875,0)+INDEX($AT$13:$BB$162,BO875,0)+INDEX($BD$13:$BL$162,BP875,0))/100)))),0)</f>
        <v/>
      </c>
      <c r="BS875">
        <f>IF(862&lt;$U$9,SUMPRODUCT(($D$9:$L$9+INT(($S$12:$AA$12+INDEX($AJ$13:$AR$162,BN875,0)+INDEX($AT$13:$BB$162,BO875,0)+INDEX($BD$13:$BL$162,BP875,0))/100))),0)</f>
        <v/>
      </c>
      <c r="BT875">
        <f>IF(AND(862&lt;$U$9,$W$5),BQ875*1000000-MIN(BR875,999)*1000+BS875-862/100000,-1000000000-862)</f>
        <v/>
      </c>
    </row>
    <row r="876">
      <c r="BN876">
        <f>IF(863&lt;$U$9,INT(863/($U$7*$U$8))+1,1)</f>
        <v/>
      </c>
      <c r="BO876">
        <f>IF(863&lt;$U$9,MOD(INT(863/$U$8),$U$7)+1,1)</f>
        <v/>
      </c>
      <c r="BP876">
        <f>IF(863&lt;$U$9,MOD(863,$U$8)+1,1)</f>
        <v/>
      </c>
      <c r="BQ876">
        <f>IF(863&lt;$U$9,SUMPRODUCT(($D$10:$L$10&lt;&gt;"")*(($D$9:$L$9+INT(($S$12:$AA$12+INDEX($AJ$13:$AR$162,BN876,0)+INDEX($AT$13:$BB$162,BO876,0)+INDEX($BD$13:$BL$162,BP876,0))/100))&gt;=$D$10:$L$10)),0)</f>
        <v/>
      </c>
      <c r="BR876">
        <f>IF(863&lt;$U$9,SUMPRODUCT(($D$10:$L$10&lt;&gt;"")*(($D$10:$L$10-($D$9:$L$9+INT(($S$12:$AA$12+INDEX($AJ$13:$AR$162,BN876,0)+INDEX($AT$13:$BB$162,BO876,0)+INDEX($BD$13:$BL$162,BP876,0))/100)))&gt;0)*($D$10:$L$10-($D$9:$L$9+INT(($S$12:$AA$12+INDEX($AJ$13:$AR$162,BN876,0)+INDEX($AT$13:$BB$162,BO876,0)+INDEX($BD$13:$BL$162,BP876,0))/100)))),0)</f>
        <v/>
      </c>
      <c r="BS876">
        <f>IF(863&lt;$U$9,SUMPRODUCT(($D$9:$L$9+INT(($S$12:$AA$12+INDEX($AJ$13:$AR$162,BN876,0)+INDEX($AT$13:$BB$162,BO876,0)+INDEX($BD$13:$BL$162,BP876,0))/100))),0)</f>
        <v/>
      </c>
      <c r="BT876">
        <f>IF(AND(863&lt;$U$9,$W$5),BQ876*1000000-MIN(BR876,999)*1000+BS876-863/100000,-1000000000-863)</f>
        <v/>
      </c>
    </row>
    <row r="877">
      <c r="BN877">
        <f>IF(864&lt;$U$9,INT(864/($U$7*$U$8))+1,1)</f>
        <v/>
      </c>
      <c r="BO877">
        <f>IF(864&lt;$U$9,MOD(INT(864/$U$8),$U$7)+1,1)</f>
        <v/>
      </c>
      <c r="BP877">
        <f>IF(864&lt;$U$9,MOD(864,$U$8)+1,1)</f>
        <v/>
      </c>
      <c r="BQ877">
        <f>IF(864&lt;$U$9,SUMPRODUCT(($D$10:$L$10&lt;&gt;"")*(($D$9:$L$9+INT(($S$12:$AA$12+INDEX($AJ$13:$AR$162,BN877,0)+INDEX($AT$13:$BB$162,BO877,0)+INDEX($BD$13:$BL$162,BP877,0))/100))&gt;=$D$10:$L$10)),0)</f>
        <v/>
      </c>
      <c r="BR877">
        <f>IF(864&lt;$U$9,SUMPRODUCT(($D$10:$L$10&lt;&gt;"")*(($D$10:$L$10-($D$9:$L$9+INT(($S$12:$AA$12+INDEX($AJ$13:$AR$162,BN877,0)+INDEX($AT$13:$BB$162,BO877,0)+INDEX($BD$13:$BL$162,BP877,0))/100)))&gt;0)*($D$10:$L$10-($D$9:$L$9+INT(($S$12:$AA$12+INDEX($AJ$13:$AR$162,BN877,0)+INDEX($AT$13:$BB$162,BO877,0)+INDEX($BD$13:$BL$162,BP877,0))/100)))),0)</f>
        <v/>
      </c>
      <c r="BS877">
        <f>IF(864&lt;$U$9,SUMPRODUCT(($D$9:$L$9+INT(($S$12:$AA$12+INDEX($AJ$13:$AR$162,BN877,0)+INDEX($AT$13:$BB$162,BO877,0)+INDEX($BD$13:$BL$162,BP877,0))/100))),0)</f>
        <v/>
      </c>
      <c r="BT877">
        <f>IF(AND(864&lt;$U$9,$W$5),BQ877*1000000-MIN(BR877,999)*1000+BS877-864/100000,-1000000000-864)</f>
        <v/>
      </c>
    </row>
    <row r="878">
      <c r="BN878">
        <f>IF(865&lt;$U$9,INT(865/($U$7*$U$8))+1,1)</f>
        <v/>
      </c>
      <c r="BO878">
        <f>IF(865&lt;$U$9,MOD(INT(865/$U$8),$U$7)+1,1)</f>
        <v/>
      </c>
      <c r="BP878">
        <f>IF(865&lt;$U$9,MOD(865,$U$8)+1,1)</f>
        <v/>
      </c>
      <c r="BQ878">
        <f>IF(865&lt;$U$9,SUMPRODUCT(($D$10:$L$10&lt;&gt;"")*(($D$9:$L$9+INT(($S$12:$AA$12+INDEX($AJ$13:$AR$162,BN878,0)+INDEX($AT$13:$BB$162,BO878,0)+INDEX($BD$13:$BL$162,BP878,0))/100))&gt;=$D$10:$L$10)),0)</f>
        <v/>
      </c>
      <c r="BR878">
        <f>IF(865&lt;$U$9,SUMPRODUCT(($D$10:$L$10&lt;&gt;"")*(($D$10:$L$10-($D$9:$L$9+INT(($S$12:$AA$12+INDEX($AJ$13:$AR$162,BN878,0)+INDEX($AT$13:$BB$162,BO878,0)+INDEX($BD$13:$BL$162,BP878,0))/100)))&gt;0)*($D$10:$L$10-($D$9:$L$9+INT(($S$12:$AA$12+INDEX($AJ$13:$AR$162,BN878,0)+INDEX($AT$13:$BB$162,BO878,0)+INDEX($BD$13:$BL$162,BP878,0))/100)))),0)</f>
        <v/>
      </c>
      <c r="BS878">
        <f>IF(865&lt;$U$9,SUMPRODUCT(($D$9:$L$9+INT(($S$12:$AA$12+INDEX($AJ$13:$AR$162,BN878,0)+INDEX($AT$13:$BB$162,BO878,0)+INDEX($BD$13:$BL$162,BP878,0))/100))),0)</f>
        <v/>
      </c>
      <c r="BT878">
        <f>IF(AND(865&lt;$U$9,$W$5),BQ878*1000000-MIN(BR878,999)*1000+BS878-865/100000,-1000000000-865)</f>
        <v/>
      </c>
    </row>
    <row r="879">
      <c r="BN879">
        <f>IF(866&lt;$U$9,INT(866/($U$7*$U$8))+1,1)</f>
        <v/>
      </c>
      <c r="BO879">
        <f>IF(866&lt;$U$9,MOD(INT(866/$U$8),$U$7)+1,1)</f>
        <v/>
      </c>
      <c r="BP879">
        <f>IF(866&lt;$U$9,MOD(866,$U$8)+1,1)</f>
        <v/>
      </c>
      <c r="BQ879">
        <f>IF(866&lt;$U$9,SUMPRODUCT(($D$10:$L$10&lt;&gt;"")*(($D$9:$L$9+INT(($S$12:$AA$12+INDEX($AJ$13:$AR$162,BN879,0)+INDEX($AT$13:$BB$162,BO879,0)+INDEX($BD$13:$BL$162,BP879,0))/100))&gt;=$D$10:$L$10)),0)</f>
        <v/>
      </c>
      <c r="BR879">
        <f>IF(866&lt;$U$9,SUMPRODUCT(($D$10:$L$10&lt;&gt;"")*(($D$10:$L$10-($D$9:$L$9+INT(($S$12:$AA$12+INDEX($AJ$13:$AR$162,BN879,0)+INDEX($AT$13:$BB$162,BO879,0)+INDEX($BD$13:$BL$162,BP879,0))/100)))&gt;0)*($D$10:$L$10-($D$9:$L$9+INT(($S$12:$AA$12+INDEX($AJ$13:$AR$162,BN879,0)+INDEX($AT$13:$BB$162,BO879,0)+INDEX($BD$13:$BL$162,BP879,0))/100)))),0)</f>
        <v/>
      </c>
      <c r="BS879">
        <f>IF(866&lt;$U$9,SUMPRODUCT(($D$9:$L$9+INT(($S$12:$AA$12+INDEX($AJ$13:$AR$162,BN879,0)+INDEX($AT$13:$BB$162,BO879,0)+INDEX($BD$13:$BL$162,BP879,0))/100))),0)</f>
        <v/>
      </c>
      <c r="BT879">
        <f>IF(AND(866&lt;$U$9,$W$5),BQ879*1000000-MIN(BR879,999)*1000+BS879-866/100000,-1000000000-866)</f>
        <v/>
      </c>
    </row>
    <row r="880">
      <c r="BN880">
        <f>IF(867&lt;$U$9,INT(867/($U$7*$U$8))+1,1)</f>
        <v/>
      </c>
      <c r="BO880">
        <f>IF(867&lt;$U$9,MOD(INT(867/$U$8),$U$7)+1,1)</f>
        <v/>
      </c>
      <c r="BP880">
        <f>IF(867&lt;$U$9,MOD(867,$U$8)+1,1)</f>
        <v/>
      </c>
      <c r="BQ880">
        <f>IF(867&lt;$U$9,SUMPRODUCT(($D$10:$L$10&lt;&gt;"")*(($D$9:$L$9+INT(($S$12:$AA$12+INDEX($AJ$13:$AR$162,BN880,0)+INDEX($AT$13:$BB$162,BO880,0)+INDEX($BD$13:$BL$162,BP880,0))/100))&gt;=$D$10:$L$10)),0)</f>
        <v/>
      </c>
      <c r="BR880">
        <f>IF(867&lt;$U$9,SUMPRODUCT(($D$10:$L$10&lt;&gt;"")*(($D$10:$L$10-($D$9:$L$9+INT(($S$12:$AA$12+INDEX($AJ$13:$AR$162,BN880,0)+INDEX($AT$13:$BB$162,BO880,0)+INDEX($BD$13:$BL$162,BP880,0))/100)))&gt;0)*($D$10:$L$10-($D$9:$L$9+INT(($S$12:$AA$12+INDEX($AJ$13:$AR$162,BN880,0)+INDEX($AT$13:$BB$162,BO880,0)+INDEX($BD$13:$BL$162,BP880,0))/100)))),0)</f>
        <v/>
      </c>
      <c r="BS880">
        <f>IF(867&lt;$U$9,SUMPRODUCT(($D$9:$L$9+INT(($S$12:$AA$12+INDEX($AJ$13:$AR$162,BN880,0)+INDEX($AT$13:$BB$162,BO880,0)+INDEX($BD$13:$BL$162,BP880,0))/100))),0)</f>
        <v/>
      </c>
      <c r="BT880">
        <f>IF(AND(867&lt;$U$9,$W$5),BQ880*1000000-MIN(BR880,999)*1000+BS880-867/100000,-1000000000-867)</f>
        <v/>
      </c>
    </row>
    <row r="881">
      <c r="BN881">
        <f>IF(868&lt;$U$9,INT(868/($U$7*$U$8))+1,1)</f>
        <v/>
      </c>
      <c r="BO881">
        <f>IF(868&lt;$U$9,MOD(INT(868/$U$8),$U$7)+1,1)</f>
        <v/>
      </c>
      <c r="BP881">
        <f>IF(868&lt;$U$9,MOD(868,$U$8)+1,1)</f>
        <v/>
      </c>
      <c r="BQ881">
        <f>IF(868&lt;$U$9,SUMPRODUCT(($D$10:$L$10&lt;&gt;"")*(($D$9:$L$9+INT(($S$12:$AA$12+INDEX($AJ$13:$AR$162,BN881,0)+INDEX($AT$13:$BB$162,BO881,0)+INDEX($BD$13:$BL$162,BP881,0))/100))&gt;=$D$10:$L$10)),0)</f>
        <v/>
      </c>
      <c r="BR881">
        <f>IF(868&lt;$U$9,SUMPRODUCT(($D$10:$L$10&lt;&gt;"")*(($D$10:$L$10-($D$9:$L$9+INT(($S$12:$AA$12+INDEX($AJ$13:$AR$162,BN881,0)+INDEX($AT$13:$BB$162,BO881,0)+INDEX($BD$13:$BL$162,BP881,0))/100)))&gt;0)*($D$10:$L$10-($D$9:$L$9+INT(($S$12:$AA$12+INDEX($AJ$13:$AR$162,BN881,0)+INDEX($AT$13:$BB$162,BO881,0)+INDEX($BD$13:$BL$162,BP881,0))/100)))),0)</f>
        <v/>
      </c>
      <c r="BS881">
        <f>IF(868&lt;$U$9,SUMPRODUCT(($D$9:$L$9+INT(($S$12:$AA$12+INDEX($AJ$13:$AR$162,BN881,0)+INDEX($AT$13:$BB$162,BO881,0)+INDEX($BD$13:$BL$162,BP881,0))/100))),0)</f>
        <v/>
      </c>
      <c r="BT881">
        <f>IF(AND(868&lt;$U$9,$W$5),BQ881*1000000-MIN(BR881,999)*1000+BS881-868/100000,-1000000000-868)</f>
        <v/>
      </c>
    </row>
    <row r="882">
      <c r="BN882">
        <f>IF(869&lt;$U$9,INT(869/($U$7*$U$8))+1,1)</f>
        <v/>
      </c>
      <c r="BO882">
        <f>IF(869&lt;$U$9,MOD(INT(869/$U$8),$U$7)+1,1)</f>
        <v/>
      </c>
      <c r="BP882">
        <f>IF(869&lt;$U$9,MOD(869,$U$8)+1,1)</f>
        <v/>
      </c>
      <c r="BQ882">
        <f>IF(869&lt;$U$9,SUMPRODUCT(($D$10:$L$10&lt;&gt;"")*(($D$9:$L$9+INT(($S$12:$AA$12+INDEX($AJ$13:$AR$162,BN882,0)+INDEX($AT$13:$BB$162,BO882,0)+INDEX($BD$13:$BL$162,BP882,0))/100))&gt;=$D$10:$L$10)),0)</f>
        <v/>
      </c>
      <c r="BR882">
        <f>IF(869&lt;$U$9,SUMPRODUCT(($D$10:$L$10&lt;&gt;"")*(($D$10:$L$10-($D$9:$L$9+INT(($S$12:$AA$12+INDEX($AJ$13:$AR$162,BN882,0)+INDEX($AT$13:$BB$162,BO882,0)+INDEX($BD$13:$BL$162,BP882,0))/100)))&gt;0)*($D$10:$L$10-($D$9:$L$9+INT(($S$12:$AA$12+INDEX($AJ$13:$AR$162,BN882,0)+INDEX($AT$13:$BB$162,BO882,0)+INDEX($BD$13:$BL$162,BP882,0))/100)))),0)</f>
        <v/>
      </c>
      <c r="BS882">
        <f>IF(869&lt;$U$9,SUMPRODUCT(($D$9:$L$9+INT(($S$12:$AA$12+INDEX($AJ$13:$AR$162,BN882,0)+INDEX($AT$13:$BB$162,BO882,0)+INDEX($BD$13:$BL$162,BP882,0))/100))),0)</f>
        <v/>
      </c>
      <c r="BT882">
        <f>IF(AND(869&lt;$U$9,$W$5),BQ882*1000000-MIN(BR882,999)*1000+BS882-869/100000,-1000000000-869)</f>
        <v/>
      </c>
    </row>
    <row r="883">
      <c r="BN883">
        <f>IF(870&lt;$U$9,INT(870/($U$7*$U$8))+1,1)</f>
        <v/>
      </c>
      <c r="BO883">
        <f>IF(870&lt;$U$9,MOD(INT(870/$U$8),$U$7)+1,1)</f>
        <v/>
      </c>
      <c r="BP883">
        <f>IF(870&lt;$U$9,MOD(870,$U$8)+1,1)</f>
        <v/>
      </c>
      <c r="BQ883">
        <f>IF(870&lt;$U$9,SUMPRODUCT(($D$10:$L$10&lt;&gt;"")*(($D$9:$L$9+INT(($S$12:$AA$12+INDEX($AJ$13:$AR$162,BN883,0)+INDEX($AT$13:$BB$162,BO883,0)+INDEX($BD$13:$BL$162,BP883,0))/100))&gt;=$D$10:$L$10)),0)</f>
        <v/>
      </c>
      <c r="BR883">
        <f>IF(870&lt;$U$9,SUMPRODUCT(($D$10:$L$10&lt;&gt;"")*(($D$10:$L$10-($D$9:$L$9+INT(($S$12:$AA$12+INDEX($AJ$13:$AR$162,BN883,0)+INDEX($AT$13:$BB$162,BO883,0)+INDEX($BD$13:$BL$162,BP883,0))/100)))&gt;0)*($D$10:$L$10-($D$9:$L$9+INT(($S$12:$AA$12+INDEX($AJ$13:$AR$162,BN883,0)+INDEX($AT$13:$BB$162,BO883,0)+INDEX($BD$13:$BL$162,BP883,0))/100)))),0)</f>
        <v/>
      </c>
      <c r="BS883">
        <f>IF(870&lt;$U$9,SUMPRODUCT(($D$9:$L$9+INT(($S$12:$AA$12+INDEX($AJ$13:$AR$162,BN883,0)+INDEX($AT$13:$BB$162,BO883,0)+INDEX($BD$13:$BL$162,BP883,0))/100))),0)</f>
        <v/>
      </c>
      <c r="BT883">
        <f>IF(AND(870&lt;$U$9,$W$5),BQ883*1000000-MIN(BR883,999)*1000+BS883-870/100000,-1000000000-870)</f>
        <v/>
      </c>
    </row>
    <row r="884">
      <c r="BN884">
        <f>IF(871&lt;$U$9,INT(871/($U$7*$U$8))+1,1)</f>
        <v/>
      </c>
      <c r="BO884">
        <f>IF(871&lt;$U$9,MOD(INT(871/$U$8),$U$7)+1,1)</f>
        <v/>
      </c>
      <c r="BP884">
        <f>IF(871&lt;$U$9,MOD(871,$U$8)+1,1)</f>
        <v/>
      </c>
      <c r="BQ884">
        <f>IF(871&lt;$U$9,SUMPRODUCT(($D$10:$L$10&lt;&gt;"")*(($D$9:$L$9+INT(($S$12:$AA$12+INDEX($AJ$13:$AR$162,BN884,0)+INDEX($AT$13:$BB$162,BO884,0)+INDEX($BD$13:$BL$162,BP884,0))/100))&gt;=$D$10:$L$10)),0)</f>
        <v/>
      </c>
      <c r="BR884">
        <f>IF(871&lt;$U$9,SUMPRODUCT(($D$10:$L$10&lt;&gt;"")*(($D$10:$L$10-($D$9:$L$9+INT(($S$12:$AA$12+INDEX($AJ$13:$AR$162,BN884,0)+INDEX($AT$13:$BB$162,BO884,0)+INDEX($BD$13:$BL$162,BP884,0))/100)))&gt;0)*($D$10:$L$10-($D$9:$L$9+INT(($S$12:$AA$12+INDEX($AJ$13:$AR$162,BN884,0)+INDEX($AT$13:$BB$162,BO884,0)+INDEX($BD$13:$BL$162,BP884,0))/100)))),0)</f>
        <v/>
      </c>
      <c r="BS884">
        <f>IF(871&lt;$U$9,SUMPRODUCT(($D$9:$L$9+INT(($S$12:$AA$12+INDEX($AJ$13:$AR$162,BN884,0)+INDEX($AT$13:$BB$162,BO884,0)+INDEX($BD$13:$BL$162,BP884,0))/100))),0)</f>
        <v/>
      </c>
      <c r="BT884">
        <f>IF(AND(871&lt;$U$9,$W$5),BQ884*1000000-MIN(BR884,999)*1000+BS884-871/100000,-1000000000-871)</f>
        <v/>
      </c>
    </row>
    <row r="885">
      <c r="BN885">
        <f>IF(872&lt;$U$9,INT(872/($U$7*$U$8))+1,1)</f>
        <v/>
      </c>
      <c r="BO885">
        <f>IF(872&lt;$U$9,MOD(INT(872/$U$8),$U$7)+1,1)</f>
        <v/>
      </c>
      <c r="BP885">
        <f>IF(872&lt;$U$9,MOD(872,$U$8)+1,1)</f>
        <v/>
      </c>
      <c r="BQ885">
        <f>IF(872&lt;$U$9,SUMPRODUCT(($D$10:$L$10&lt;&gt;"")*(($D$9:$L$9+INT(($S$12:$AA$12+INDEX($AJ$13:$AR$162,BN885,0)+INDEX($AT$13:$BB$162,BO885,0)+INDEX($BD$13:$BL$162,BP885,0))/100))&gt;=$D$10:$L$10)),0)</f>
        <v/>
      </c>
      <c r="BR885">
        <f>IF(872&lt;$U$9,SUMPRODUCT(($D$10:$L$10&lt;&gt;"")*(($D$10:$L$10-($D$9:$L$9+INT(($S$12:$AA$12+INDEX($AJ$13:$AR$162,BN885,0)+INDEX($AT$13:$BB$162,BO885,0)+INDEX($BD$13:$BL$162,BP885,0))/100)))&gt;0)*($D$10:$L$10-($D$9:$L$9+INT(($S$12:$AA$12+INDEX($AJ$13:$AR$162,BN885,0)+INDEX($AT$13:$BB$162,BO885,0)+INDEX($BD$13:$BL$162,BP885,0))/100)))),0)</f>
        <v/>
      </c>
      <c r="BS885">
        <f>IF(872&lt;$U$9,SUMPRODUCT(($D$9:$L$9+INT(($S$12:$AA$12+INDEX($AJ$13:$AR$162,BN885,0)+INDEX($AT$13:$BB$162,BO885,0)+INDEX($BD$13:$BL$162,BP885,0))/100))),0)</f>
        <v/>
      </c>
      <c r="BT885">
        <f>IF(AND(872&lt;$U$9,$W$5),BQ885*1000000-MIN(BR885,999)*1000+BS885-872/100000,-1000000000-872)</f>
        <v/>
      </c>
    </row>
    <row r="886">
      <c r="BN886">
        <f>IF(873&lt;$U$9,INT(873/($U$7*$U$8))+1,1)</f>
        <v/>
      </c>
      <c r="BO886">
        <f>IF(873&lt;$U$9,MOD(INT(873/$U$8),$U$7)+1,1)</f>
        <v/>
      </c>
      <c r="BP886">
        <f>IF(873&lt;$U$9,MOD(873,$U$8)+1,1)</f>
        <v/>
      </c>
      <c r="BQ886">
        <f>IF(873&lt;$U$9,SUMPRODUCT(($D$10:$L$10&lt;&gt;"")*(($D$9:$L$9+INT(($S$12:$AA$12+INDEX($AJ$13:$AR$162,BN886,0)+INDEX($AT$13:$BB$162,BO886,0)+INDEX($BD$13:$BL$162,BP886,0))/100))&gt;=$D$10:$L$10)),0)</f>
        <v/>
      </c>
      <c r="BR886">
        <f>IF(873&lt;$U$9,SUMPRODUCT(($D$10:$L$10&lt;&gt;"")*(($D$10:$L$10-($D$9:$L$9+INT(($S$12:$AA$12+INDEX($AJ$13:$AR$162,BN886,0)+INDEX($AT$13:$BB$162,BO886,0)+INDEX($BD$13:$BL$162,BP886,0))/100)))&gt;0)*($D$10:$L$10-($D$9:$L$9+INT(($S$12:$AA$12+INDEX($AJ$13:$AR$162,BN886,0)+INDEX($AT$13:$BB$162,BO886,0)+INDEX($BD$13:$BL$162,BP886,0))/100)))),0)</f>
        <v/>
      </c>
      <c r="BS886">
        <f>IF(873&lt;$U$9,SUMPRODUCT(($D$9:$L$9+INT(($S$12:$AA$12+INDEX($AJ$13:$AR$162,BN886,0)+INDEX($AT$13:$BB$162,BO886,0)+INDEX($BD$13:$BL$162,BP886,0))/100))),0)</f>
        <v/>
      </c>
      <c r="BT886">
        <f>IF(AND(873&lt;$U$9,$W$5),BQ886*1000000-MIN(BR886,999)*1000+BS886-873/100000,-1000000000-873)</f>
        <v/>
      </c>
    </row>
    <row r="887">
      <c r="BN887">
        <f>IF(874&lt;$U$9,INT(874/($U$7*$U$8))+1,1)</f>
        <v/>
      </c>
      <c r="BO887">
        <f>IF(874&lt;$U$9,MOD(INT(874/$U$8),$U$7)+1,1)</f>
        <v/>
      </c>
      <c r="BP887">
        <f>IF(874&lt;$U$9,MOD(874,$U$8)+1,1)</f>
        <v/>
      </c>
      <c r="BQ887">
        <f>IF(874&lt;$U$9,SUMPRODUCT(($D$10:$L$10&lt;&gt;"")*(($D$9:$L$9+INT(($S$12:$AA$12+INDEX($AJ$13:$AR$162,BN887,0)+INDEX($AT$13:$BB$162,BO887,0)+INDEX($BD$13:$BL$162,BP887,0))/100))&gt;=$D$10:$L$10)),0)</f>
        <v/>
      </c>
      <c r="BR887">
        <f>IF(874&lt;$U$9,SUMPRODUCT(($D$10:$L$10&lt;&gt;"")*(($D$10:$L$10-($D$9:$L$9+INT(($S$12:$AA$12+INDEX($AJ$13:$AR$162,BN887,0)+INDEX($AT$13:$BB$162,BO887,0)+INDEX($BD$13:$BL$162,BP887,0))/100)))&gt;0)*($D$10:$L$10-($D$9:$L$9+INT(($S$12:$AA$12+INDEX($AJ$13:$AR$162,BN887,0)+INDEX($AT$13:$BB$162,BO887,0)+INDEX($BD$13:$BL$162,BP887,0))/100)))),0)</f>
        <v/>
      </c>
      <c r="BS887">
        <f>IF(874&lt;$U$9,SUMPRODUCT(($D$9:$L$9+INT(($S$12:$AA$12+INDEX($AJ$13:$AR$162,BN887,0)+INDEX($AT$13:$BB$162,BO887,0)+INDEX($BD$13:$BL$162,BP887,0))/100))),0)</f>
        <v/>
      </c>
      <c r="BT887">
        <f>IF(AND(874&lt;$U$9,$W$5),BQ887*1000000-MIN(BR887,999)*1000+BS887-874/100000,-1000000000-874)</f>
        <v/>
      </c>
    </row>
    <row r="888">
      <c r="BN888">
        <f>IF(875&lt;$U$9,INT(875/($U$7*$U$8))+1,1)</f>
        <v/>
      </c>
      <c r="BO888">
        <f>IF(875&lt;$U$9,MOD(INT(875/$U$8),$U$7)+1,1)</f>
        <v/>
      </c>
      <c r="BP888">
        <f>IF(875&lt;$U$9,MOD(875,$U$8)+1,1)</f>
        <v/>
      </c>
      <c r="BQ888">
        <f>IF(875&lt;$U$9,SUMPRODUCT(($D$10:$L$10&lt;&gt;"")*(($D$9:$L$9+INT(($S$12:$AA$12+INDEX($AJ$13:$AR$162,BN888,0)+INDEX($AT$13:$BB$162,BO888,0)+INDEX($BD$13:$BL$162,BP888,0))/100))&gt;=$D$10:$L$10)),0)</f>
        <v/>
      </c>
      <c r="BR888">
        <f>IF(875&lt;$U$9,SUMPRODUCT(($D$10:$L$10&lt;&gt;"")*(($D$10:$L$10-($D$9:$L$9+INT(($S$12:$AA$12+INDEX($AJ$13:$AR$162,BN888,0)+INDEX($AT$13:$BB$162,BO888,0)+INDEX($BD$13:$BL$162,BP888,0))/100)))&gt;0)*($D$10:$L$10-($D$9:$L$9+INT(($S$12:$AA$12+INDEX($AJ$13:$AR$162,BN888,0)+INDEX($AT$13:$BB$162,BO888,0)+INDEX($BD$13:$BL$162,BP888,0))/100)))),0)</f>
        <v/>
      </c>
      <c r="BS888">
        <f>IF(875&lt;$U$9,SUMPRODUCT(($D$9:$L$9+INT(($S$12:$AA$12+INDEX($AJ$13:$AR$162,BN888,0)+INDEX($AT$13:$BB$162,BO888,0)+INDEX($BD$13:$BL$162,BP888,0))/100))),0)</f>
        <v/>
      </c>
      <c r="BT888">
        <f>IF(AND(875&lt;$U$9,$W$5),BQ888*1000000-MIN(BR888,999)*1000+BS888-875/100000,-1000000000-875)</f>
        <v/>
      </c>
    </row>
    <row r="889">
      <c r="BN889">
        <f>IF(876&lt;$U$9,INT(876/($U$7*$U$8))+1,1)</f>
        <v/>
      </c>
      <c r="BO889">
        <f>IF(876&lt;$U$9,MOD(INT(876/$U$8),$U$7)+1,1)</f>
        <v/>
      </c>
      <c r="BP889">
        <f>IF(876&lt;$U$9,MOD(876,$U$8)+1,1)</f>
        <v/>
      </c>
      <c r="BQ889">
        <f>IF(876&lt;$U$9,SUMPRODUCT(($D$10:$L$10&lt;&gt;"")*(($D$9:$L$9+INT(($S$12:$AA$12+INDEX($AJ$13:$AR$162,BN889,0)+INDEX($AT$13:$BB$162,BO889,0)+INDEX($BD$13:$BL$162,BP889,0))/100))&gt;=$D$10:$L$10)),0)</f>
        <v/>
      </c>
      <c r="BR889">
        <f>IF(876&lt;$U$9,SUMPRODUCT(($D$10:$L$10&lt;&gt;"")*(($D$10:$L$10-($D$9:$L$9+INT(($S$12:$AA$12+INDEX($AJ$13:$AR$162,BN889,0)+INDEX($AT$13:$BB$162,BO889,0)+INDEX($BD$13:$BL$162,BP889,0))/100)))&gt;0)*($D$10:$L$10-($D$9:$L$9+INT(($S$12:$AA$12+INDEX($AJ$13:$AR$162,BN889,0)+INDEX($AT$13:$BB$162,BO889,0)+INDEX($BD$13:$BL$162,BP889,0))/100)))),0)</f>
        <v/>
      </c>
      <c r="BS889">
        <f>IF(876&lt;$U$9,SUMPRODUCT(($D$9:$L$9+INT(($S$12:$AA$12+INDEX($AJ$13:$AR$162,BN889,0)+INDEX($AT$13:$BB$162,BO889,0)+INDEX($BD$13:$BL$162,BP889,0))/100))),0)</f>
        <v/>
      </c>
      <c r="BT889">
        <f>IF(AND(876&lt;$U$9,$W$5),BQ889*1000000-MIN(BR889,999)*1000+BS889-876/100000,-1000000000-876)</f>
        <v/>
      </c>
    </row>
    <row r="890">
      <c r="BN890">
        <f>IF(877&lt;$U$9,INT(877/($U$7*$U$8))+1,1)</f>
        <v/>
      </c>
      <c r="BO890">
        <f>IF(877&lt;$U$9,MOD(INT(877/$U$8),$U$7)+1,1)</f>
        <v/>
      </c>
      <c r="BP890">
        <f>IF(877&lt;$U$9,MOD(877,$U$8)+1,1)</f>
        <v/>
      </c>
      <c r="BQ890">
        <f>IF(877&lt;$U$9,SUMPRODUCT(($D$10:$L$10&lt;&gt;"")*(($D$9:$L$9+INT(($S$12:$AA$12+INDEX($AJ$13:$AR$162,BN890,0)+INDEX($AT$13:$BB$162,BO890,0)+INDEX($BD$13:$BL$162,BP890,0))/100))&gt;=$D$10:$L$10)),0)</f>
        <v/>
      </c>
      <c r="BR890">
        <f>IF(877&lt;$U$9,SUMPRODUCT(($D$10:$L$10&lt;&gt;"")*(($D$10:$L$10-($D$9:$L$9+INT(($S$12:$AA$12+INDEX($AJ$13:$AR$162,BN890,0)+INDEX($AT$13:$BB$162,BO890,0)+INDEX($BD$13:$BL$162,BP890,0))/100)))&gt;0)*($D$10:$L$10-($D$9:$L$9+INT(($S$12:$AA$12+INDEX($AJ$13:$AR$162,BN890,0)+INDEX($AT$13:$BB$162,BO890,0)+INDEX($BD$13:$BL$162,BP890,0))/100)))),0)</f>
        <v/>
      </c>
      <c r="BS890">
        <f>IF(877&lt;$U$9,SUMPRODUCT(($D$9:$L$9+INT(($S$12:$AA$12+INDEX($AJ$13:$AR$162,BN890,0)+INDEX($AT$13:$BB$162,BO890,0)+INDEX($BD$13:$BL$162,BP890,0))/100))),0)</f>
        <v/>
      </c>
      <c r="BT890">
        <f>IF(AND(877&lt;$U$9,$W$5),BQ890*1000000-MIN(BR890,999)*1000+BS890-877/100000,-1000000000-877)</f>
        <v/>
      </c>
    </row>
    <row r="891">
      <c r="BN891">
        <f>IF(878&lt;$U$9,INT(878/($U$7*$U$8))+1,1)</f>
        <v/>
      </c>
      <c r="BO891">
        <f>IF(878&lt;$U$9,MOD(INT(878/$U$8),$U$7)+1,1)</f>
        <v/>
      </c>
      <c r="BP891">
        <f>IF(878&lt;$U$9,MOD(878,$U$8)+1,1)</f>
        <v/>
      </c>
      <c r="BQ891">
        <f>IF(878&lt;$U$9,SUMPRODUCT(($D$10:$L$10&lt;&gt;"")*(($D$9:$L$9+INT(($S$12:$AA$12+INDEX($AJ$13:$AR$162,BN891,0)+INDEX($AT$13:$BB$162,BO891,0)+INDEX($BD$13:$BL$162,BP891,0))/100))&gt;=$D$10:$L$10)),0)</f>
        <v/>
      </c>
      <c r="BR891">
        <f>IF(878&lt;$U$9,SUMPRODUCT(($D$10:$L$10&lt;&gt;"")*(($D$10:$L$10-($D$9:$L$9+INT(($S$12:$AA$12+INDEX($AJ$13:$AR$162,BN891,0)+INDEX($AT$13:$BB$162,BO891,0)+INDEX($BD$13:$BL$162,BP891,0))/100)))&gt;0)*($D$10:$L$10-($D$9:$L$9+INT(($S$12:$AA$12+INDEX($AJ$13:$AR$162,BN891,0)+INDEX($AT$13:$BB$162,BO891,0)+INDEX($BD$13:$BL$162,BP891,0))/100)))),0)</f>
        <v/>
      </c>
      <c r="BS891">
        <f>IF(878&lt;$U$9,SUMPRODUCT(($D$9:$L$9+INT(($S$12:$AA$12+INDEX($AJ$13:$AR$162,BN891,0)+INDEX($AT$13:$BB$162,BO891,0)+INDEX($BD$13:$BL$162,BP891,0))/100))),0)</f>
        <v/>
      </c>
      <c r="BT891">
        <f>IF(AND(878&lt;$U$9,$W$5),BQ891*1000000-MIN(BR891,999)*1000+BS891-878/100000,-1000000000-878)</f>
        <v/>
      </c>
    </row>
    <row r="892">
      <c r="BN892">
        <f>IF(879&lt;$U$9,INT(879/($U$7*$U$8))+1,1)</f>
        <v/>
      </c>
      <c r="BO892">
        <f>IF(879&lt;$U$9,MOD(INT(879/$U$8),$U$7)+1,1)</f>
        <v/>
      </c>
      <c r="BP892">
        <f>IF(879&lt;$U$9,MOD(879,$U$8)+1,1)</f>
        <v/>
      </c>
      <c r="BQ892">
        <f>IF(879&lt;$U$9,SUMPRODUCT(($D$10:$L$10&lt;&gt;"")*(($D$9:$L$9+INT(($S$12:$AA$12+INDEX($AJ$13:$AR$162,BN892,0)+INDEX($AT$13:$BB$162,BO892,0)+INDEX($BD$13:$BL$162,BP892,0))/100))&gt;=$D$10:$L$10)),0)</f>
        <v/>
      </c>
      <c r="BR892">
        <f>IF(879&lt;$U$9,SUMPRODUCT(($D$10:$L$10&lt;&gt;"")*(($D$10:$L$10-($D$9:$L$9+INT(($S$12:$AA$12+INDEX($AJ$13:$AR$162,BN892,0)+INDEX($AT$13:$BB$162,BO892,0)+INDEX($BD$13:$BL$162,BP892,0))/100)))&gt;0)*($D$10:$L$10-($D$9:$L$9+INT(($S$12:$AA$12+INDEX($AJ$13:$AR$162,BN892,0)+INDEX($AT$13:$BB$162,BO892,0)+INDEX($BD$13:$BL$162,BP892,0))/100)))),0)</f>
        <v/>
      </c>
      <c r="BS892">
        <f>IF(879&lt;$U$9,SUMPRODUCT(($D$9:$L$9+INT(($S$12:$AA$12+INDEX($AJ$13:$AR$162,BN892,0)+INDEX($AT$13:$BB$162,BO892,0)+INDEX($BD$13:$BL$162,BP892,0))/100))),0)</f>
        <v/>
      </c>
      <c r="BT892">
        <f>IF(AND(879&lt;$U$9,$W$5),BQ892*1000000-MIN(BR892,999)*1000+BS892-879/100000,-1000000000-879)</f>
        <v/>
      </c>
    </row>
    <row r="893">
      <c r="BN893">
        <f>IF(880&lt;$U$9,INT(880/($U$7*$U$8))+1,1)</f>
        <v/>
      </c>
      <c r="BO893">
        <f>IF(880&lt;$U$9,MOD(INT(880/$U$8),$U$7)+1,1)</f>
        <v/>
      </c>
      <c r="BP893">
        <f>IF(880&lt;$U$9,MOD(880,$U$8)+1,1)</f>
        <v/>
      </c>
      <c r="BQ893">
        <f>IF(880&lt;$U$9,SUMPRODUCT(($D$10:$L$10&lt;&gt;"")*(($D$9:$L$9+INT(($S$12:$AA$12+INDEX($AJ$13:$AR$162,BN893,0)+INDEX($AT$13:$BB$162,BO893,0)+INDEX($BD$13:$BL$162,BP893,0))/100))&gt;=$D$10:$L$10)),0)</f>
        <v/>
      </c>
      <c r="BR893">
        <f>IF(880&lt;$U$9,SUMPRODUCT(($D$10:$L$10&lt;&gt;"")*(($D$10:$L$10-($D$9:$L$9+INT(($S$12:$AA$12+INDEX($AJ$13:$AR$162,BN893,0)+INDEX($AT$13:$BB$162,BO893,0)+INDEX($BD$13:$BL$162,BP893,0))/100)))&gt;0)*($D$10:$L$10-($D$9:$L$9+INT(($S$12:$AA$12+INDEX($AJ$13:$AR$162,BN893,0)+INDEX($AT$13:$BB$162,BO893,0)+INDEX($BD$13:$BL$162,BP893,0))/100)))),0)</f>
        <v/>
      </c>
      <c r="BS893">
        <f>IF(880&lt;$U$9,SUMPRODUCT(($D$9:$L$9+INT(($S$12:$AA$12+INDEX($AJ$13:$AR$162,BN893,0)+INDEX($AT$13:$BB$162,BO893,0)+INDEX($BD$13:$BL$162,BP893,0))/100))),0)</f>
        <v/>
      </c>
      <c r="BT893">
        <f>IF(AND(880&lt;$U$9,$W$5),BQ893*1000000-MIN(BR893,999)*1000+BS893-880/100000,-1000000000-880)</f>
        <v/>
      </c>
    </row>
    <row r="894">
      <c r="BN894">
        <f>IF(881&lt;$U$9,INT(881/($U$7*$U$8))+1,1)</f>
        <v/>
      </c>
      <c r="BO894">
        <f>IF(881&lt;$U$9,MOD(INT(881/$U$8),$U$7)+1,1)</f>
        <v/>
      </c>
      <c r="BP894">
        <f>IF(881&lt;$U$9,MOD(881,$U$8)+1,1)</f>
        <v/>
      </c>
      <c r="BQ894">
        <f>IF(881&lt;$U$9,SUMPRODUCT(($D$10:$L$10&lt;&gt;"")*(($D$9:$L$9+INT(($S$12:$AA$12+INDEX($AJ$13:$AR$162,BN894,0)+INDEX($AT$13:$BB$162,BO894,0)+INDEX($BD$13:$BL$162,BP894,0))/100))&gt;=$D$10:$L$10)),0)</f>
        <v/>
      </c>
      <c r="BR894">
        <f>IF(881&lt;$U$9,SUMPRODUCT(($D$10:$L$10&lt;&gt;"")*(($D$10:$L$10-($D$9:$L$9+INT(($S$12:$AA$12+INDEX($AJ$13:$AR$162,BN894,0)+INDEX($AT$13:$BB$162,BO894,0)+INDEX($BD$13:$BL$162,BP894,0))/100)))&gt;0)*($D$10:$L$10-($D$9:$L$9+INT(($S$12:$AA$12+INDEX($AJ$13:$AR$162,BN894,0)+INDEX($AT$13:$BB$162,BO894,0)+INDEX($BD$13:$BL$162,BP894,0))/100)))),0)</f>
        <v/>
      </c>
      <c r="BS894">
        <f>IF(881&lt;$U$9,SUMPRODUCT(($D$9:$L$9+INT(($S$12:$AA$12+INDEX($AJ$13:$AR$162,BN894,0)+INDEX($AT$13:$BB$162,BO894,0)+INDEX($BD$13:$BL$162,BP894,0))/100))),0)</f>
        <v/>
      </c>
      <c r="BT894">
        <f>IF(AND(881&lt;$U$9,$W$5),BQ894*1000000-MIN(BR894,999)*1000+BS894-881/100000,-1000000000-881)</f>
        <v/>
      </c>
    </row>
    <row r="895">
      <c r="BN895">
        <f>IF(882&lt;$U$9,INT(882/($U$7*$U$8))+1,1)</f>
        <v/>
      </c>
      <c r="BO895">
        <f>IF(882&lt;$U$9,MOD(INT(882/$U$8),$U$7)+1,1)</f>
        <v/>
      </c>
      <c r="BP895">
        <f>IF(882&lt;$U$9,MOD(882,$U$8)+1,1)</f>
        <v/>
      </c>
      <c r="BQ895">
        <f>IF(882&lt;$U$9,SUMPRODUCT(($D$10:$L$10&lt;&gt;"")*(($D$9:$L$9+INT(($S$12:$AA$12+INDEX($AJ$13:$AR$162,BN895,0)+INDEX($AT$13:$BB$162,BO895,0)+INDEX($BD$13:$BL$162,BP895,0))/100))&gt;=$D$10:$L$10)),0)</f>
        <v/>
      </c>
      <c r="BR895">
        <f>IF(882&lt;$U$9,SUMPRODUCT(($D$10:$L$10&lt;&gt;"")*(($D$10:$L$10-($D$9:$L$9+INT(($S$12:$AA$12+INDEX($AJ$13:$AR$162,BN895,0)+INDEX($AT$13:$BB$162,BO895,0)+INDEX($BD$13:$BL$162,BP895,0))/100)))&gt;0)*($D$10:$L$10-($D$9:$L$9+INT(($S$12:$AA$12+INDEX($AJ$13:$AR$162,BN895,0)+INDEX($AT$13:$BB$162,BO895,0)+INDEX($BD$13:$BL$162,BP895,0))/100)))),0)</f>
        <v/>
      </c>
      <c r="BS895">
        <f>IF(882&lt;$U$9,SUMPRODUCT(($D$9:$L$9+INT(($S$12:$AA$12+INDEX($AJ$13:$AR$162,BN895,0)+INDEX($AT$13:$BB$162,BO895,0)+INDEX($BD$13:$BL$162,BP895,0))/100))),0)</f>
        <v/>
      </c>
      <c r="BT895">
        <f>IF(AND(882&lt;$U$9,$W$5),BQ895*1000000-MIN(BR895,999)*1000+BS895-882/100000,-1000000000-882)</f>
        <v/>
      </c>
    </row>
    <row r="896">
      <c r="BN896">
        <f>IF(883&lt;$U$9,INT(883/($U$7*$U$8))+1,1)</f>
        <v/>
      </c>
      <c r="BO896">
        <f>IF(883&lt;$U$9,MOD(INT(883/$U$8),$U$7)+1,1)</f>
        <v/>
      </c>
      <c r="BP896">
        <f>IF(883&lt;$U$9,MOD(883,$U$8)+1,1)</f>
        <v/>
      </c>
      <c r="BQ896">
        <f>IF(883&lt;$U$9,SUMPRODUCT(($D$10:$L$10&lt;&gt;"")*(($D$9:$L$9+INT(($S$12:$AA$12+INDEX($AJ$13:$AR$162,BN896,0)+INDEX($AT$13:$BB$162,BO896,0)+INDEX($BD$13:$BL$162,BP896,0))/100))&gt;=$D$10:$L$10)),0)</f>
        <v/>
      </c>
      <c r="BR896">
        <f>IF(883&lt;$U$9,SUMPRODUCT(($D$10:$L$10&lt;&gt;"")*(($D$10:$L$10-($D$9:$L$9+INT(($S$12:$AA$12+INDEX($AJ$13:$AR$162,BN896,0)+INDEX($AT$13:$BB$162,BO896,0)+INDEX($BD$13:$BL$162,BP896,0))/100)))&gt;0)*($D$10:$L$10-($D$9:$L$9+INT(($S$12:$AA$12+INDEX($AJ$13:$AR$162,BN896,0)+INDEX($AT$13:$BB$162,BO896,0)+INDEX($BD$13:$BL$162,BP896,0))/100)))),0)</f>
        <v/>
      </c>
      <c r="BS896">
        <f>IF(883&lt;$U$9,SUMPRODUCT(($D$9:$L$9+INT(($S$12:$AA$12+INDEX($AJ$13:$AR$162,BN896,0)+INDEX($AT$13:$BB$162,BO896,0)+INDEX($BD$13:$BL$162,BP896,0))/100))),0)</f>
        <v/>
      </c>
      <c r="BT896">
        <f>IF(AND(883&lt;$U$9,$W$5),BQ896*1000000-MIN(BR896,999)*1000+BS896-883/100000,-1000000000-883)</f>
        <v/>
      </c>
    </row>
    <row r="897">
      <c r="BN897">
        <f>IF(884&lt;$U$9,INT(884/($U$7*$U$8))+1,1)</f>
        <v/>
      </c>
      <c r="BO897">
        <f>IF(884&lt;$U$9,MOD(INT(884/$U$8),$U$7)+1,1)</f>
        <v/>
      </c>
      <c r="BP897">
        <f>IF(884&lt;$U$9,MOD(884,$U$8)+1,1)</f>
        <v/>
      </c>
      <c r="BQ897">
        <f>IF(884&lt;$U$9,SUMPRODUCT(($D$10:$L$10&lt;&gt;"")*(($D$9:$L$9+INT(($S$12:$AA$12+INDEX($AJ$13:$AR$162,BN897,0)+INDEX($AT$13:$BB$162,BO897,0)+INDEX($BD$13:$BL$162,BP897,0))/100))&gt;=$D$10:$L$10)),0)</f>
        <v/>
      </c>
      <c r="BR897">
        <f>IF(884&lt;$U$9,SUMPRODUCT(($D$10:$L$10&lt;&gt;"")*(($D$10:$L$10-($D$9:$L$9+INT(($S$12:$AA$12+INDEX($AJ$13:$AR$162,BN897,0)+INDEX($AT$13:$BB$162,BO897,0)+INDEX($BD$13:$BL$162,BP897,0))/100)))&gt;0)*($D$10:$L$10-($D$9:$L$9+INT(($S$12:$AA$12+INDEX($AJ$13:$AR$162,BN897,0)+INDEX($AT$13:$BB$162,BO897,0)+INDEX($BD$13:$BL$162,BP897,0))/100)))),0)</f>
        <v/>
      </c>
      <c r="BS897">
        <f>IF(884&lt;$U$9,SUMPRODUCT(($D$9:$L$9+INT(($S$12:$AA$12+INDEX($AJ$13:$AR$162,BN897,0)+INDEX($AT$13:$BB$162,BO897,0)+INDEX($BD$13:$BL$162,BP897,0))/100))),0)</f>
        <v/>
      </c>
      <c r="BT897">
        <f>IF(AND(884&lt;$U$9,$W$5),BQ897*1000000-MIN(BR897,999)*1000+BS897-884/100000,-1000000000-884)</f>
        <v/>
      </c>
    </row>
    <row r="898">
      <c r="BN898">
        <f>IF(885&lt;$U$9,INT(885/($U$7*$U$8))+1,1)</f>
        <v/>
      </c>
      <c r="BO898">
        <f>IF(885&lt;$U$9,MOD(INT(885/$U$8),$U$7)+1,1)</f>
        <v/>
      </c>
      <c r="BP898">
        <f>IF(885&lt;$U$9,MOD(885,$U$8)+1,1)</f>
        <v/>
      </c>
      <c r="BQ898">
        <f>IF(885&lt;$U$9,SUMPRODUCT(($D$10:$L$10&lt;&gt;"")*(($D$9:$L$9+INT(($S$12:$AA$12+INDEX($AJ$13:$AR$162,BN898,0)+INDEX($AT$13:$BB$162,BO898,0)+INDEX($BD$13:$BL$162,BP898,0))/100))&gt;=$D$10:$L$10)),0)</f>
        <v/>
      </c>
      <c r="BR898">
        <f>IF(885&lt;$U$9,SUMPRODUCT(($D$10:$L$10&lt;&gt;"")*(($D$10:$L$10-($D$9:$L$9+INT(($S$12:$AA$12+INDEX($AJ$13:$AR$162,BN898,0)+INDEX($AT$13:$BB$162,BO898,0)+INDEX($BD$13:$BL$162,BP898,0))/100)))&gt;0)*($D$10:$L$10-($D$9:$L$9+INT(($S$12:$AA$12+INDEX($AJ$13:$AR$162,BN898,0)+INDEX($AT$13:$BB$162,BO898,0)+INDEX($BD$13:$BL$162,BP898,0))/100)))),0)</f>
        <v/>
      </c>
      <c r="BS898">
        <f>IF(885&lt;$U$9,SUMPRODUCT(($D$9:$L$9+INT(($S$12:$AA$12+INDEX($AJ$13:$AR$162,BN898,0)+INDEX($AT$13:$BB$162,BO898,0)+INDEX($BD$13:$BL$162,BP898,0))/100))),0)</f>
        <v/>
      </c>
      <c r="BT898">
        <f>IF(AND(885&lt;$U$9,$W$5),BQ898*1000000-MIN(BR898,999)*1000+BS898-885/100000,-1000000000-885)</f>
        <v/>
      </c>
    </row>
    <row r="899">
      <c r="BN899">
        <f>IF(886&lt;$U$9,INT(886/($U$7*$U$8))+1,1)</f>
        <v/>
      </c>
      <c r="BO899">
        <f>IF(886&lt;$U$9,MOD(INT(886/$U$8),$U$7)+1,1)</f>
        <v/>
      </c>
      <c r="BP899">
        <f>IF(886&lt;$U$9,MOD(886,$U$8)+1,1)</f>
        <v/>
      </c>
      <c r="BQ899">
        <f>IF(886&lt;$U$9,SUMPRODUCT(($D$10:$L$10&lt;&gt;"")*(($D$9:$L$9+INT(($S$12:$AA$12+INDEX($AJ$13:$AR$162,BN899,0)+INDEX($AT$13:$BB$162,BO899,0)+INDEX($BD$13:$BL$162,BP899,0))/100))&gt;=$D$10:$L$10)),0)</f>
        <v/>
      </c>
      <c r="BR899">
        <f>IF(886&lt;$U$9,SUMPRODUCT(($D$10:$L$10&lt;&gt;"")*(($D$10:$L$10-($D$9:$L$9+INT(($S$12:$AA$12+INDEX($AJ$13:$AR$162,BN899,0)+INDEX($AT$13:$BB$162,BO899,0)+INDEX($BD$13:$BL$162,BP899,0))/100)))&gt;0)*($D$10:$L$10-($D$9:$L$9+INT(($S$12:$AA$12+INDEX($AJ$13:$AR$162,BN899,0)+INDEX($AT$13:$BB$162,BO899,0)+INDEX($BD$13:$BL$162,BP899,0))/100)))),0)</f>
        <v/>
      </c>
      <c r="BS899">
        <f>IF(886&lt;$U$9,SUMPRODUCT(($D$9:$L$9+INT(($S$12:$AA$12+INDEX($AJ$13:$AR$162,BN899,0)+INDEX($AT$13:$BB$162,BO899,0)+INDEX($BD$13:$BL$162,BP899,0))/100))),0)</f>
        <v/>
      </c>
      <c r="BT899">
        <f>IF(AND(886&lt;$U$9,$W$5),BQ899*1000000-MIN(BR899,999)*1000+BS899-886/100000,-1000000000-886)</f>
        <v/>
      </c>
    </row>
    <row r="900">
      <c r="BN900">
        <f>IF(887&lt;$U$9,INT(887/($U$7*$U$8))+1,1)</f>
        <v/>
      </c>
      <c r="BO900">
        <f>IF(887&lt;$U$9,MOD(INT(887/$U$8),$U$7)+1,1)</f>
        <v/>
      </c>
      <c r="BP900">
        <f>IF(887&lt;$U$9,MOD(887,$U$8)+1,1)</f>
        <v/>
      </c>
      <c r="BQ900">
        <f>IF(887&lt;$U$9,SUMPRODUCT(($D$10:$L$10&lt;&gt;"")*(($D$9:$L$9+INT(($S$12:$AA$12+INDEX($AJ$13:$AR$162,BN900,0)+INDEX($AT$13:$BB$162,BO900,0)+INDEX($BD$13:$BL$162,BP900,0))/100))&gt;=$D$10:$L$10)),0)</f>
        <v/>
      </c>
      <c r="BR900">
        <f>IF(887&lt;$U$9,SUMPRODUCT(($D$10:$L$10&lt;&gt;"")*(($D$10:$L$10-($D$9:$L$9+INT(($S$12:$AA$12+INDEX($AJ$13:$AR$162,BN900,0)+INDEX($AT$13:$BB$162,BO900,0)+INDEX($BD$13:$BL$162,BP900,0))/100)))&gt;0)*($D$10:$L$10-($D$9:$L$9+INT(($S$12:$AA$12+INDEX($AJ$13:$AR$162,BN900,0)+INDEX($AT$13:$BB$162,BO900,0)+INDEX($BD$13:$BL$162,BP900,0))/100)))),0)</f>
        <v/>
      </c>
      <c r="BS900">
        <f>IF(887&lt;$U$9,SUMPRODUCT(($D$9:$L$9+INT(($S$12:$AA$12+INDEX($AJ$13:$AR$162,BN900,0)+INDEX($AT$13:$BB$162,BO900,0)+INDEX($BD$13:$BL$162,BP900,0))/100))),0)</f>
        <v/>
      </c>
      <c r="BT900">
        <f>IF(AND(887&lt;$U$9,$W$5),BQ900*1000000-MIN(BR900,999)*1000+BS900-887/100000,-1000000000-887)</f>
        <v/>
      </c>
    </row>
    <row r="901">
      <c r="BN901">
        <f>IF(888&lt;$U$9,INT(888/($U$7*$U$8))+1,1)</f>
        <v/>
      </c>
      <c r="BO901">
        <f>IF(888&lt;$U$9,MOD(INT(888/$U$8),$U$7)+1,1)</f>
        <v/>
      </c>
      <c r="BP901">
        <f>IF(888&lt;$U$9,MOD(888,$U$8)+1,1)</f>
        <v/>
      </c>
      <c r="BQ901">
        <f>IF(888&lt;$U$9,SUMPRODUCT(($D$10:$L$10&lt;&gt;"")*(($D$9:$L$9+INT(($S$12:$AA$12+INDEX($AJ$13:$AR$162,BN901,0)+INDEX($AT$13:$BB$162,BO901,0)+INDEX($BD$13:$BL$162,BP901,0))/100))&gt;=$D$10:$L$10)),0)</f>
        <v/>
      </c>
      <c r="BR901">
        <f>IF(888&lt;$U$9,SUMPRODUCT(($D$10:$L$10&lt;&gt;"")*(($D$10:$L$10-($D$9:$L$9+INT(($S$12:$AA$12+INDEX($AJ$13:$AR$162,BN901,0)+INDEX($AT$13:$BB$162,BO901,0)+INDEX($BD$13:$BL$162,BP901,0))/100)))&gt;0)*($D$10:$L$10-($D$9:$L$9+INT(($S$12:$AA$12+INDEX($AJ$13:$AR$162,BN901,0)+INDEX($AT$13:$BB$162,BO901,0)+INDEX($BD$13:$BL$162,BP901,0))/100)))),0)</f>
        <v/>
      </c>
      <c r="BS901">
        <f>IF(888&lt;$U$9,SUMPRODUCT(($D$9:$L$9+INT(($S$12:$AA$12+INDEX($AJ$13:$AR$162,BN901,0)+INDEX($AT$13:$BB$162,BO901,0)+INDEX($BD$13:$BL$162,BP901,0))/100))),0)</f>
        <v/>
      </c>
      <c r="BT901">
        <f>IF(AND(888&lt;$U$9,$W$5),BQ901*1000000-MIN(BR901,999)*1000+BS901-888/100000,-1000000000-888)</f>
        <v/>
      </c>
    </row>
    <row r="902">
      <c r="BN902">
        <f>IF(889&lt;$U$9,INT(889/($U$7*$U$8))+1,1)</f>
        <v/>
      </c>
      <c r="BO902">
        <f>IF(889&lt;$U$9,MOD(INT(889/$U$8),$U$7)+1,1)</f>
        <v/>
      </c>
      <c r="BP902">
        <f>IF(889&lt;$U$9,MOD(889,$U$8)+1,1)</f>
        <v/>
      </c>
      <c r="BQ902">
        <f>IF(889&lt;$U$9,SUMPRODUCT(($D$10:$L$10&lt;&gt;"")*(($D$9:$L$9+INT(($S$12:$AA$12+INDEX($AJ$13:$AR$162,BN902,0)+INDEX($AT$13:$BB$162,BO902,0)+INDEX($BD$13:$BL$162,BP902,0))/100))&gt;=$D$10:$L$10)),0)</f>
        <v/>
      </c>
      <c r="BR902">
        <f>IF(889&lt;$U$9,SUMPRODUCT(($D$10:$L$10&lt;&gt;"")*(($D$10:$L$10-($D$9:$L$9+INT(($S$12:$AA$12+INDEX($AJ$13:$AR$162,BN902,0)+INDEX($AT$13:$BB$162,BO902,0)+INDEX($BD$13:$BL$162,BP902,0))/100)))&gt;0)*($D$10:$L$10-($D$9:$L$9+INT(($S$12:$AA$12+INDEX($AJ$13:$AR$162,BN902,0)+INDEX($AT$13:$BB$162,BO902,0)+INDEX($BD$13:$BL$162,BP902,0))/100)))),0)</f>
        <v/>
      </c>
      <c r="BS902">
        <f>IF(889&lt;$U$9,SUMPRODUCT(($D$9:$L$9+INT(($S$12:$AA$12+INDEX($AJ$13:$AR$162,BN902,0)+INDEX($AT$13:$BB$162,BO902,0)+INDEX($BD$13:$BL$162,BP902,0))/100))),0)</f>
        <v/>
      </c>
      <c r="BT902">
        <f>IF(AND(889&lt;$U$9,$W$5),BQ902*1000000-MIN(BR902,999)*1000+BS902-889/100000,-1000000000-889)</f>
        <v/>
      </c>
    </row>
    <row r="903">
      <c r="BN903">
        <f>IF(890&lt;$U$9,INT(890/($U$7*$U$8))+1,1)</f>
        <v/>
      </c>
      <c r="BO903">
        <f>IF(890&lt;$U$9,MOD(INT(890/$U$8),$U$7)+1,1)</f>
        <v/>
      </c>
      <c r="BP903">
        <f>IF(890&lt;$U$9,MOD(890,$U$8)+1,1)</f>
        <v/>
      </c>
      <c r="BQ903">
        <f>IF(890&lt;$U$9,SUMPRODUCT(($D$10:$L$10&lt;&gt;"")*(($D$9:$L$9+INT(($S$12:$AA$12+INDEX($AJ$13:$AR$162,BN903,0)+INDEX($AT$13:$BB$162,BO903,0)+INDEX($BD$13:$BL$162,BP903,0))/100))&gt;=$D$10:$L$10)),0)</f>
        <v/>
      </c>
      <c r="BR903">
        <f>IF(890&lt;$U$9,SUMPRODUCT(($D$10:$L$10&lt;&gt;"")*(($D$10:$L$10-($D$9:$L$9+INT(($S$12:$AA$12+INDEX($AJ$13:$AR$162,BN903,0)+INDEX($AT$13:$BB$162,BO903,0)+INDEX($BD$13:$BL$162,BP903,0))/100)))&gt;0)*($D$10:$L$10-($D$9:$L$9+INT(($S$12:$AA$12+INDEX($AJ$13:$AR$162,BN903,0)+INDEX($AT$13:$BB$162,BO903,0)+INDEX($BD$13:$BL$162,BP903,0))/100)))),0)</f>
        <v/>
      </c>
      <c r="BS903">
        <f>IF(890&lt;$U$9,SUMPRODUCT(($D$9:$L$9+INT(($S$12:$AA$12+INDEX($AJ$13:$AR$162,BN903,0)+INDEX($AT$13:$BB$162,BO903,0)+INDEX($BD$13:$BL$162,BP903,0))/100))),0)</f>
        <v/>
      </c>
      <c r="BT903">
        <f>IF(AND(890&lt;$U$9,$W$5),BQ903*1000000-MIN(BR903,999)*1000+BS903-890/100000,-1000000000-890)</f>
        <v/>
      </c>
    </row>
    <row r="904">
      <c r="BN904">
        <f>IF(891&lt;$U$9,INT(891/($U$7*$U$8))+1,1)</f>
        <v/>
      </c>
      <c r="BO904">
        <f>IF(891&lt;$U$9,MOD(INT(891/$U$8),$U$7)+1,1)</f>
        <v/>
      </c>
      <c r="BP904">
        <f>IF(891&lt;$U$9,MOD(891,$U$8)+1,1)</f>
        <v/>
      </c>
      <c r="BQ904">
        <f>IF(891&lt;$U$9,SUMPRODUCT(($D$10:$L$10&lt;&gt;"")*(($D$9:$L$9+INT(($S$12:$AA$12+INDEX($AJ$13:$AR$162,BN904,0)+INDEX($AT$13:$BB$162,BO904,0)+INDEX($BD$13:$BL$162,BP904,0))/100))&gt;=$D$10:$L$10)),0)</f>
        <v/>
      </c>
      <c r="BR904">
        <f>IF(891&lt;$U$9,SUMPRODUCT(($D$10:$L$10&lt;&gt;"")*(($D$10:$L$10-($D$9:$L$9+INT(($S$12:$AA$12+INDEX($AJ$13:$AR$162,BN904,0)+INDEX($AT$13:$BB$162,BO904,0)+INDEX($BD$13:$BL$162,BP904,0))/100)))&gt;0)*($D$10:$L$10-($D$9:$L$9+INT(($S$12:$AA$12+INDEX($AJ$13:$AR$162,BN904,0)+INDEX($AT$13:$BB$162,BO904,0)+INDEX($BD$13:$BL$162,BP904,0))/100)))),0)</f>
        <v/>
      </c>
      <c r="BS904">
        <f>IF(891&lt;$U$9,SUMPRODUCT(($D$9:$L$9+INT(($S$12:$AA$12+INDEX($AJ$13:$AR$162,BN904,0)+INDEX($AT$13:$BB$162,BO904,0)+INDEX($BD$13:$BL$162,BP904,0))/100))),0)</f>
        <v/>
      </c>
      <c r="BT904">
        <f>IF(AND(891&lt;$U$9,$W$5),BQ904*1000000-MIN(BR904,999)*1000+BS904-891/100000,-1000000000-891)</f>
        <v/>
      </c>
    </row>
    <row r="905">
      <c r="BN905">
        <f>IF(892&lt;$U$9,INT(892/($U$7*$U$8))+1,1)</f>
        <v/>
      </c>
      <c r="BO905">
        <f>IF(892&lt;$U$9,MOD(INT(892/$U$8),$U$7)+1,1)</f>
        <v/>
      </c>
      <c r="BP905">
        <f>IF(892&lt;$U$9,MOD(892,$U$8)+1,1)</f>
        <v/>
      </c>
      <c r="BQ905">
        <f>IF(892&lt;$U$9,SUMPRODUCT(($D$10:$L$10&lt;&gt;"")*(($D$9:$L$9+INT(($S$12:$AA$12+INDEX($AJ$13:$AR$162,BN905,0)+INDEX($AT$13:$BB$162,BO905,0)+INDEX($BD$13:$BL$162,BP905,0))/100))&gt;=$D$10:$L$10)),0)</f>
        <v/>
      </c>
      <c r="BR905">
        <f>IF(892&lt;$U$9,SUMPRODUCT(($D$10:$L$10&lt;&gt;"")*(($D$10:$L$10-($D$9:$L$9+INT(($S$12:$AA$12+INDEX($AJ$13:$AR$162,BN905,0)+INDEX($AT$13:$BB$162,BO905,0)+INDEX($BD$13:$BL$162,BP905,0))/100)))&gt;0)*($D$10:$L$10-($D$9:$L$9+INT(($S$12:$AA$12+INDEX($AJ$13:$AR$162,BN905,0)+INDEX($AT$13:$BB$162,BO905,0)+INDEX($BD$13:$BL$162,BP905,0))/100)))),0)</f>
        <v/>
      </c>
      <c r="BS905">
        <f>IF(892&lt;$U$9,SUMPRODUCT(($D$9:$L$9+INT(($S$12:$AA$12+INDEX($AJ$13:$AR$162,BN905,0)+INDEX($AT$13:$BB$162,BO905,0)+INDEX($BD$13:$BL$162,BP905,0))/100))),0)</f>
        <v/>
      </c>
      <c r="BT905">
        <f>IF(AND(892&lt;$U$9,$W$5),BQ905*1000000-MIN(BR905,999)*1000+BS905-892/100000,-1000000000-892)</f>
        <v/>
      </c>
    </row>
    <row r="906">
      <c r="BN906">
        <f>IF(893&lt;$U$9,INT(893/($U$7*$U$8))+1,1)</f>
        <v/>
      </c>
      <c r="BO906">
        <f>IF(893&lt;$U$9,MOD(INT(893/$U$8),$U$7)+1,1)</f>
        <v/>
      </c>
      <c r="BP906">
        <f>IF(893&lt;$U$9,MOD(893,$U$8)+1,1)</f>
        <v/>
      </c>
      <c r="BQ906">
        <f>IF(893&lt;$U$9,SUMPRODUCT(($D$10:$L$10&lt;&gt;"")*(($D$9:$L$9+INT(($S$12:$AA$12+INDEX($AJ$13:$AR$162,BN906,0)+INDEX($AT$13:$BB$162,BO906,0)+INDEX($BD$13:$BL$162,BP906,0))/100))&gt;=$D$10:$L$10)),0)</f>
        <v/>
      </c>
      <c r="BR906">
        <f>IF(893&lt;$U$9,SUMPRODUCT(($D$10:$L$10&lt;&gt;"")*(($D$10:$L$10-($D$9:$L$9+INT(($S$12:$AA$12+INDEX($AJ$13:$AR$162,BN906,0)+INDEX($AT$13:$BB$162,BO906,0)+INDEX($BD$13:$BL$162,BP906,0))/100)))&gt;0)*($D$10:$L$10-($D$9:$L$9+INT(($S$12:$AA$12+INDEX($AJ$13:$AR$162,BN906,0)+INDEX($AT$13:$BB$162,BO906,0)+INDEX($BD$13:$BL$162,BP906,0))/100)))),0)</f>
        <v/>
      </c>
      <c r="BS906">
        <f>IF(893&lt;$U$9,SUMPRODUCT(($D$9:$L$9+INT(($S$12:$AA$12+INDEX($AJ$13:$AR$162,BN906,0)+INDEX($AT$13:$BB$162,BO906,0)+INDEX($BD$13:$BL$162,BP906,0))/100))),0)</f>
        <v/>
      </c>
      <c r="BT906">
        <f>IF(AND(893&lt;$U$9,$W$5),BQ906*1000000-MIN(BR906,999)*1000+BS906-893/100000,-1000000000-893)</f>
        <v/>
      </c>
    </row>
    <row r="907">
      <c r="BN907">
        <f>IF(894&lt;$U$9,INT(894/($U$7*$U$8))+1,1)</f>
        <v/>
      </c>
      <c r="BO907">
        <f>IF(894&lt;$U$9,MOD(INT(894/$U$8),$U$7)+1,1)</f>
        <v/>
      </c>
      <c r="BP907">
        <f>IF(894&lt;$U$9,MOD(894,$U$8)+1,1)</f>
        <v/>
      </c>
      <c r="BQ907">
        <f>IF(894&lt;$U$9,SUMPRODUCT(($D$10:$L$10&lt;&gt;"")*(($D$9:$L$9+INT(($S$12:$AA$12+INDEX($AJ$13:$AR$162,BN907,0)+INDEX($AT$13:$BB$162,BO907,0)+INDEX($BD$13:$BL$162,BP907,0))/100))&gt;=$D$10:$L$10)),0)</f>
        <v/>
      </c>
      <c r="BR907">
        <f>IF(894&lt;$U$9,SUMPRODUCT(($D$10:$L$10&lt;&gt;"")*(($D$10:$L$10-($D$9:$L$9+INT(($S$12:$AA$12+INDEX($AJ$13:$AR$162,BN907,0)+INDEX($AT$13:$BB$162,BO907,0)+INDEX($BD$13:$BL$162,BP907,0))/100)))&gt;0)*($D$10:$L$10-($D$9:$L$9+INT(($S$12:$AA$12+INDEX($AJ$13:$AR$162,BN907,0)+INDEX($AT$13:$BB$162,BO907,0)+INDEX($BD$13:$BL$162,BP907,0))/100)))),0)</f>
        <v/>
      </c>
      <c r="BS907">
        <f>IF(894&lt;$U$9,SUMPRODUCT(($D$9:$L$9+INT(($S$12:$AA$12+INDEX($AJ$13:$AR$162,BN907,0)+INDEX($AT$13:$BB$162,BO907,0)+INDEX($BD$13:$BL$162,BP907,0))/100))),0)</f>
        <v/>
      </c>
      <c r="BT907">
        <f>IF(AND(894&lt;$U$9,$W$5),BQ907*1000000-MIN(BR907,999)*1000+BS907-894/100000,-1000000000-894)</f>
        <v/>
      </c>
    </row>
    <row r="908">
      <c r="BN908">
        <f>IF(895&lt;$U$9,INT(895/($U$7*$U$8))+1,1)</f>
        <v/>
      </c>
      <c r="BO908">
        <f>IF(895&lt;$U$9,MOD(INT(895/$U$8),$U$7)+1,1)</f>
        <v/>
      </c>
      <c r="BP908">
        <f>IF(895&lt;$U$9,MOD(895,$U$8)+1,1)</f>
        <v/>
      </c>
      <c r="BQ908">
        <f>IF(895&lt;$U$9,SUMPRODUCT(($D$10:$L$10&lt;&gt;"")*(($D$9:$L$9+INT(($S$12:$AA$12+INDEX($AJ$13:$AR$162,BN908,0)+INDEX($AT$13:$BB$162,BO908,0)+INDEX($BD$13:$BL$162,BP908,0))/100))&gt;=$D$10:$L$10)),0)</f>
        <v/>
      </c>
      <c r="BR908">
        <f>IF(895&lt;$U$9,SUMPRODUCT(($D$10:$L$10&lt;&gt;"")*(($D$10:$L$10-($D$9:$L$9+INT(($S$12:$AA$12+INDEX($AJ$13:$AR$162,BN908,0)+INDEX($AT$13:$BB$162,BO908,0)+INDEX($BD$13:$BL$162,BP908,0))/100)))&gt;0)*($D$10:$L$10-($D$9:$L$9+INT(($S$12:$AA$12+INDEX($AJ$13:$AR$162,BN908,0)+INDEX($AT$13:$BB$162,BO908,0)+INDEX($BD$13:$BL$162,BP908,0))/100)))),0)</f>
        <v/>
      </c>
      <c r="BS908">
        <f>IF(895&lt;$U$9,SUMPRODUCT(($D$9:$L$9+INT(($S$12:$AA$12+INDEX($AJ$13:$AR$162,BN908,0)+INDEX($AT$13:$BB$162,BO908,0)+INDEX($BD$13:$BL$162,BP908,0))/100))),0)</f>
        <v/>
      </c>
      <c r="BT908">
        <f>IF(AND(895&lt;$U$9,$W$5),BQ908*1000000-MIN(BR908,999)*1000+BS908-895/100000,-1000000000-895)</f>
        <v/>
      </c>
    </row>
    <row r="909">
      <c r="BN909">
        <f>IF(896&lt;$U$9,INT(896/($U$7*$U$8))+1,1)</f>
        <v/>
      </c>
      <c r="BO909">
        <f>IF(896&lt;$U$9,MOD(INT(896/$U$8),$U$7)+1,1)</f>
        <v/>
      </c>
      <c r="BP909">
        <f>IF(896&lt;$U$9,MOD(896,$U$8)+1,1)</f>
        <v/>
      </c>
      <c r="BQ909">
        <f>IF(896&lt;$U$9,SUMPRODUCT(($D$10:$L$10&lt;&gt;"")*(($D$9:$L$9+INT(($S$12:$AA$12+INDEX($AJ$13:$AR$162,BN909,0)+INDEX($AT$13:$BB$162,BO909,0)+INDEX($BD$13:$BL$162,BP909,0))/100))&gt;=$D$10:$L$10)),0)</f>
        <v/>
      </c>
      <c r="BR909">
        <f>IF(896&lt;$U$9,SUMPRODUCT(($D$10:$L$10&lt;&gt;"")*(($D$10:$L$10-($D$9:$L$9+INT(($S$12:$AA$12+INDEX($AJ$13:$AR$162,BN909,0)+INDEX($AT$13:$BB$162,BO909,0)+INDEX($BD$13:$BL$162,BP909,0))/100)))&gt;0)*($D$10:$L$10-($D$9:$L$9+INT(($S$12:$AA$12+INDEX($AJ$13:$AR$162,BN909,0)+INDEX($AT$13:$BB$162,BO909,0)+INDEX($BD$13:$BL$162,BP909,0))/100)))),0)</f>
        <v/>
      </c>
      <c r="BS909">
        <f>IF(896&lt;$U$9,SUMPRODUCT(($D$9:$L$9+INT(($S$12:$AA$12+INDEX($AJ$13:$AR$162,BN909,0)+INDEX($AT$13:$BB$162,BO909,0)+INDEX($BD$13:$BL$162,BP909,0))/100))),0)</f>
        <v/>
      </c>
      <c r="BT909">
        <f>IF(AND(896&lt;$U$9,$W$5),BQ909*1000000-MIN(BR909,999)*1000+BS909-896/100000,-1000000000-896)</f>
        <v/>
      </c>
    </row>
    <row r="910">
      <c r="BN910">
        <f>IF(897&lt;$U$9,INT(897/($U$7*$U$8))+1,1)</f>
        <v/>
      </c>
      <c r="BO910">
        <f>IF(897&lt;$U$9,MOD(INT(897/$U$8),$U$7)+1,1)</f>
        <v/>
      </c>
      <c r="BP910">
        <f>IF(897&lt;$U$9,MOD(897,$U$8)+1,1)</f>
        <v/>
      </c>
      <c r="BQ910">
        <f>IF(897&lt;$U$9,SUMPRODUCT(($D$10:$L$10&lt;&gt;"")*(($D$9:$L$9+INT(($S$12:$AA$12+INDEX($AJ$13:$AR$162,BN910,0)+INDEX($AT$13:$BB$162,BO910,0)+INDEX($BD$13:$BL$162,BP910,0))/100))&gt;=$D$10:$L$10)),0)</f>
        <v/>
      </c>
      <c r="BR910">
        <f>IF(897&lt;$U$9,SUMPRODUCT(($D$10:$L$10&lt;&gt;"")*(($D$10:$L$10-($D$9:$L$9+INT(($S$12:$AA$12+INDEX($AJ$13:$AR$162,BN910,0)+INDEX($AT$13:$BB$162,BO910,0)+INDEX($BD$13:$BL$162,BP910,0))/100)))&gt;0)*($D$10:$L$10-($D$9:$L$9+INT(($S$12:$AA$12+INDEX($AJ$13:$AR$162,BN910,0)+INDEX($AT$13:$BB$162,BO910,0)+INDEX($BD$13:$BL$162,BP910,0))/100)))),0)</f>
        <v/>
      </c>
      <c r="BS910">
        <f>IF(897&lt;$U$9,SUMPRODUCT(($D$9:$L$9+INT(($S$12:$AA$12+INDEX($AJ$13:$AR$162,BN910,0)+INDEX($AT$13:$BB$162,BO910,0)+INDEX($BD$13:$BL$162,BP910,0))/100))),0)</f>
        <v/>
      </c>
      <c r="BT910">
        <f>IF(AND(897&lt;$U$9,$W$5),BQ910*1000000-MIN(BR910,999)*1000+BS910-897/100000,-1000000000-897)</f>
        <v/>
      </c>
    </row>
    <row r="911">
      <c r="BN911">
        <f>IF(898&lt;$U$9,INT(898/($U$7*$U$8))+1,1)</f>
        <v/>
      </c>
      <c r="BO911">
        <f>IF(898&lt;$U$9,MOD(INT(898/$U$8),$U$7)+1,1)</f>
        <v/>
      </c>
      <c r="BP911">
        <f>IF(898&lt;$U$9,MOD(898,$U$8)+1,1)</f>
        <v/>
      </c>
      <c r="BQ911">
        <f>IF(898&lt;$U$9,SUMPRODUCT(($D$10:$L$10&lt;&gt;"")*(($D$9:$L$9+INT(($S$12:$AA$12+INDEX($AJ$13:$AR$162,BN911,0)+INDEX($AT$13:$BB$162,BO911,0)+INDEX($BD$13:$BL$162,BP911,0))/100))&gt;=$D$10:$L$10)),0)</f>
        <v/>
      </c>
      <c r="BR911">
        <f>IF(898&lt;$U$9,SUMPRODUCT(($D$10:$L$10&lt;&gt;"")*(($D$10:$L$10-($D$9:$L$9+INT(($S$12:$AA$12+INDEX($AJ$13:$AR$162,BN911,0)+INDEX($AT$13:$BB$162,BO911,0)+INDEX($BD$13:$BL$162,BP911,0))/100)))&gt;0)*($D$10:$L$10-($D$9:$L$9+INT(($S$12:$AA$12+INDEX($AJ$13:$AR$162,BN911,0)+INDEX($AT$13:$BB$162,BO911,0)+INDEX($BD$13:$BL$162,BP911,0))/100)))),0)</f>
        <v/>
      </c>
      <c r="BS911">
        <f>IF(898&lt;$U$9,SUMPRODUCT(($D$9:$L$9+INT(($S$12:$AA$12+INDEX($AJ$13:$AR$162,BN911,0)+INDEX($AT$13:$BB$162,BO911,0)+INDEX($BD$13:$BL$162,BP911,0))/100))),0)</f>
        <v/>
      </c>
      <c r="BT911">
        <f>IF(AND(898&lt;$U$9,$W$5),BQ911*1000000-MIN(BR911,999)*1000+BS911-898/100000,-1000000000-898)</f>
        <v/>
      </c>
    </row>
    <row r="912">
      <c r="BN912">
        <f>IF(899&lt;$U$9,INT(899/($U$7*$U$8))+1,1)</f>
        <v/>
      </c>
      <c r="BO912">
        <f>IF(899&lt;$U$9,MOD(INT(899/$U$8),$U$7)+1,1)</f>
        <v/>
      </c>
      <c r="BP912">
        <f>IF(899&lt;$U$9,MOD(899,$U$8)+1,1)</f>
        <v/>
      </c>
      <c r="BQ912">
        <f>IF(899&lt;$U$9,SUMPRODUCT(($D$10:$L$10&lt;&gt;"")*(($D$9:$L$9+INT(($S$12:$AA$12+INDEX($AJ$13:$AR$162,BN912,0)+INDEX($AT$13:$BB$162,BO912,0)+INDEX($BD$13:$BL$162,BP912,0))/100))&gt;=$D$10:$L$10)),0)</f>
        <v/>
      </c>
      <c r="BR912">
        <f>IF(899&lt;$U$9,SUMPRODUCT(($D$10:$L$10&lt;&gt;"")*(($D$10:$L$10-($D$9:$L$9+INT(($S$12:$AA$12+INDEX($AJ$13:$AR$162,BN912,0)+INDEX($AT$13:$BB$162,BO912,0)+INDEX($BD$13:$BL$162,BP912,0))/100)))&gt;0)*($D$10:$L$10-($D$9:$L$9+INT(($S$12:$AA$12+INDEX($AJ$13:$AR$162,BN912,0)+INDEX($AT$13:$BB$162,BO912,0)+INDEX($BD$13:$BL$162,BP912,0))/100)))),0)</f>
        <v/>
      </c>
      <c r="BS912">
        <f>IF(899&lt;$U$9,SUMPRODUCT(($D$9:$L$9+INT(($S$12:$AA$12+INDEX($AJ$13:$AR$162,BN912,0)+INDEX($AT$13:$BB$162,BO912,0)+INDEX($BD$13:$BL$162,BP912,0))/100))),0)</f>
        <v/>
      </c>
      <c r="BT912">
        <f>IF(AND(899&lt;$U$9,$W$5),BQ912*1000000-MIN(BR912,999)*1000+BS912-899/100000,-1000000000-899)</f>
        <v/>
      </c>
    </row>
    <row r="913">
      <c r="BN913">
        <f>IF(900&lt;$U$9,INT(900/($U$7*$U$8))+1,1)</f>
        <v/>
      </c>
      <c r="BO913">
        <f>IF(900&lt;$U$9,MOD(INT(900/$U$8),$U$7)+1,1)</f>
        <v/>
      </c>
      <c r="BP913">
        <f>IF(900&lt;$U$9,MOD(900,$U$8)+1,1)</f>
        <v/>
      </c>
      <c r="BQ913">
        <f>IF(900&lt;$U$9,SUMPRODUCT(($D$10:$L$10&lt;&gt;"")*(($D$9:$L$9+INT(($S$12:$AA$12+INDEX($AJ$13:$AR$162,BN913,0)+INDEX($AT$13:$BB$162,BO913,0)+INDEX($BD$13:$BL$162,BP913,0))/100))&gt;=$D$10:$L$10)),0)</f>
        <v/>
      </c>
      <c r="BR913">
        <f>IF(900&lt;$U$9,SUMPRODUCT(($D$10:$L$10&lt;&gt;"")*(($D$10:$L$10-($D$9:$L$9+INT(($S$12:$AA$12+INDEX($AJ$13:$AR$162,BN913,0)+INDEX($AT$13:$BB$162,BO913,0)+INDEX($BD$13:$BL$162,BP913,0))/100)))&gt;0)*($D$10:$L$10-($D$9:$L$9+INT(($S$12:$AA$12+INDEX($AJ$13:$AR$162,BN913,0)+INDEX($AT$13:$BB$162,BO913,0)+INDEX($BD$13:$BL$162,BP913,0))/100)))),0)</f>
        <v/>
      </c>
      <c r="BS913">
        <f>IF(900&lt;$U$9,SUMPRODUCT(($D$9:$L$9+INT(($S$12:$AA$12+INDEX($AJ$13:$AR$162,BN913,0)+INDEX($AT$13:$BB$162,BO913,0)+INDEX($BD$13:$BL$162,BP913,0))/100))),0)</f>
        <v/>
      </c>
      <c r="BT913">
        <f>IF(AND(900&lt;$U$9,$W$5),BQ913*1000000-MIN(BR913,999)*1000+BS913-900/100000,-1000000000-900)</f>
        <v/>
      </c>
    </row>
    <row r="914">
      <c r="BN914">
        <f>IF(901&lt;$U$9,INT(901/($U$7*$U$8))+1,1)</f>
        <v/>
      </c>
      <c r="BO914">
        <f>IF(901&lt;$U$9,MOD(INT(901/$U$8),$U$7)+1,1)</f>
        <v/>
      </c>
      <c r="BP914">
        <f>IF(901&lt;$U$9,MOD(901,$U$8)+1,1)</f>
        <v/>
      </c>
      <c r="BQ914">
        <f>IF(901&lt;$U$9,SUMPRODUCT(($D$10:$L$10&lt;&gt;"")*(($D$9:$L$9+INT(($S$12:$AA$12+INDEX($AJ$13:$AR$162,BN914,0)+INDEX($AT$13:$BB$162,BO914,0)+INDEX($BD$13:$BL$162,BP914,0))/100))&gt;=$D$10:$L$10)),0)</f>
        <v/>
      </c>
      <c r="BR914">
        <f>IF(901&lt;$U$9,SUMPRODUCT(($D$10:$L$10&lt;&gt;"")*(($D$10:$L$10-($D$9:$L$9+INT(($S$12:$AA$12+INDEX($AJ$13:$AR$162,BN914,0)+INDEX($AT$13:$BB$162,BO914,0)+INDEX($BD$13:$BL$162,BP914,0))/100)))&gt;0)*($D$10:$L$10-($D$9:$L$9+INT(($S$12:$AA$12+INDEX($AJ$13:$AR$162,BN914,0)+INDEX($AT$13:$BB$162,BO914,0)+INDEX($BD$13:$BL$162,BP914,0))/100)))),0)</f>
        <v/>
      </c>
      <c r="BS914">
        <f>IF(901&lt;$U$9,SUMPRODUCT(($D$9:$L$9+INT(($S$12:$AA$12+INDEX($AJ$13:$AR$162,BN914,0)+INDEX($AT$13:$BB$162,BO914,0)+INDEX($BD$13:$BL$162,BP914,0))/100))),0)</f>
        <v/>
      </c>
      <c r="BT914">
        <f>IF(AND(901&lt;$U$9,$W$5),BQ914*1000000-MIN(BR914,999)*1000+BS914-901/100000,-1000000000-901)</f>
        <v/>
      </c>
    </row>
    <row r="915">
      <c r="BN915">
        <f>IF(902&lt;$U$9,INT(902/($U$7*$U$8))+1,1)</f>
        <v/>
      </c>
      <c r="BO915">
        <f>IF(902&lt;$U$9,MOD(INT(902/$U$8),$U$7)+1,1)</f>
        <v/>
      </c>
      <c r="BP915">
        <f>IF(902&lt;$U$9,MOD(902,$U$8)+1,1)</f>
        <v/>
      </c>
      <c r="BQ915">
        <f>IF(902&lt;$U$9,SUMPRODUCT(($D$10:$L$10&lt;&gt;"")*(($D$9:$L$9+INT(($S$12:$AA$12+INDEX($AJ$13:$AR$162,BN915,0)+INDEX($AT$13:$BB$162,BO915,0)+INDEX($BD$13:$BL$162,BP915,0))/100))&gt;=$D$10:$L$10)),0)</f>
        <v/>
      </c>
      <c r="BR915">
        <f>IF(902&lt;$U$9,SUMPRODUCT(($D$10:$L$10&lt;&gt;"")*(($D$10:$L$10-($D$9:$L$9+INT(($S$12:$AA$12+INDEX($AJ$13:$AR$162,BN915,0)+INDEX($AT$13:$BB$162,BO915,0)+INDEX($BD$13:$BL$162,BP915,0))/100)))&gt;0)*($D$10:$L$10-($D$9:$L$9+INT(($S$12:$AA$12+INDEX($AJ$13:$AR$162,BN915,0)+INDEX($AT$13:$BB$162,BO915,0)+INDEX($BD$13:$BL$162,BP915,0))/100)))),0)</f>
        <v/>
      </c>
      <c r="BS915">
        <f>IF(902&lt;$U$9,SUMPRODUCT(($D$9:$L$9+INT(($S$12:$AA$12+INDEX($AJ$13:$AR$162,BN915,0)+INDEX($AT$13:$BB$162,BO915,0)+INDEX($BD$13:$BL$162,BP915,0))/100))),0)</f>
        <v/>
      </c>
      <c r="BT915">
        <f>IF(AND(902&lt;$U$9,$W$5),BQ915*1000000-MIN(BR915,999)*1000+BS915-902/100000,-1000000000-902)</f>
        <v/>
      </c>
    </row>
    <row r="916">
      <c r="BN916">
        <f>IF(903&lt;$U$9,INT(903/($U$7*$U$8))+1,1)</f>
        <v/>
      </c>
      <c r="BO916">
        <f>IF(903&lt;$U$9,MOD(INT(903/$U$8),$U$7)+1,1)</f>
        <v/>
      </c>
      <c r="BP916">
        <f>IF(903&lt;$U$9,MOD(903,$U$8)+1,1)</f>
        <v/>
      </c>
      <c r="BQ916">
        <f>IF(903&lt;$U$9,SUMPRODUCT(($D$10:$L$10&lt;&gt;"")*(($D$9:$L$9+INT(($S$12:$AA$12+INDEX($AJ$13:$AR$162,BN916,0)+INDEX($AT$13:$BB$162,BO916,0)+INDEX($BD$13:$BL$162,BP916,0))/100))&gt;=$D$10:$L$10)),0)</f>
        <v/>
      </c>
      <c r="BR916">
        <f>IF(903&lt;$U$9,SUMPRODUCT(($D$10:$L$10&lt;&gt;"")*(($D$10:$L$10-($D$9:$L$9+INT(($S$12:$AA$12+INDEX($AJ$13:$AR$162,BN916,0)+INDEX($AT$13:$BB$162,BO916,0)+INDEX($BD$13:$BL$162,BP916,0))/100)))&gt;0)*($D$10:$L$10-($D$9:$L$9+INT(($S$12:$AA$12+INDEX($AJ$13:$AR$162,BN916,0)+INDEX($AT$13:$BB$162,BO916,0)+INDEX($BD$13:$BL$162,BP916,0))/100)))),0)</f>
        <v/>
      </c>
      <c r="BS916">
        <f>IF(903&lt;$U$9,SUMPRODUCT(($D$9:$L$9+INT(($S$12:$AA$12+INDEX($AJ$13:$AR$162,BN916,0)+INDEX($AT$13:$BB$162,BO916,0)+INDEX($BD$13:$BL$162,BP916,0))/100))),0)</f>
        <v/>
      </c>
      <c r="BT916">
        <f>IF(AND(903&lt;$U$9,$W$5),BQ916*1000000-MIN(BR916,999)*1000+BS916-903/100000,-1000000000-903)</f>
        <v/>
      </c>
    </row>
    <row r="917">
      <c r="BN917">
        <f>IF(904&lt;$U$9,INT(904/($U$7*$U$8))+1,1)</f>
        <v/>
      </c>
      <c r="BO917">
        <f>IF(904&lt;$U$9,MOD(INT(904/$U$8),$U$7)+1,1)</f>
        <v/>
      </c>
      <c r="BP917">
        <f>IF(904&lt;$U$9,MOD(904,$U$8)+1,1)</f>
        <v/>
      </c>
      <c r="BQ917">
        <f>IF(904&lt;$U$9,SUMPRODUCT(($D$10:$L$10&lt;&gt;"")*(($D$9:$L$9+INT(($S$12:$AA$12+INDEX($AJ$13:$AR$162,BN917,0)+INDEX($AT$13:$BB$162,BO917,0)+INDEX($BD$13:$BL$162,BP917,0))/100))&gt;=$D$10:$L$10)),0)</f>
        <v/>
      </c>
      <c r="BR917">
        <f>IF(904&lt;$U$9,SUMPRODUCT(($D$10:$L$10&lt;&gt;"")*(($D$10:$L$10-($D$9:$L$9+INT(($S$12:$AA$12+INDEX($AJ$13:$AR$162,BN917,0)+INDEX($AT$13:$BB$162,BO917,0)+INDEX($BD$13:$BL$162,BP917,0))/100)))&gt;0)*($D$10:$L$10-($D$9:$L$9+INT(($S$12:$AA$12+INDEX($AJ$13:$AR$162,BN917,0)+INDEX($AT$13:$BB$162,BO917,0)+INDEX($BD$13:$BL$162,BP917,0))/100)))),0)</f>
        <v/>
      </c>
      <c r="BS917">
        <f>IF(904&lt;$U$9,SUMPRODUCT(($D$9:$L$9+INT(($S$12:$AA$12+INDEX($AJ$13:$AR$162,BN917,0)+INDEX($AT$13:$BB$162,BO917,0)+INDEX($BD$13:$BL$162,BP917,0))/100))),0)</f>
        <v/>
      </c>
      <c r="BT917">
        <f>IF(AND(904&lt;$U$9,$W$5),BQ917*1000000-MIN(BR917,999)*1000+BS917-904/100000,-1000000000-904)</f>
        <v/>
      </c>
    </row>
    <row r="918">
      <c r="BN918">
        <f>IF(905&lt;$U$9,INT(905/($U$7*$U$8))+1,1)</f>
        <v/>
      </c>
      <c r="BO918">
        <f>IF(905&lt;$U$9,MOD(INT(905/$U$8),$U$7)+1,1)</f>
        <v/>
      </c>
      <c r="BP918">
        <f>IF(905&lt;$U$9,MOD(905,$U$8)+1,1)</f>
        <v/>
      </c>
      <c r="BQ918">
        <f>IF(905&lt;$U$9,SUMPRODUCT(($D$10:$L$10&lt;&gt;"")*(($D$9:$L$9+INT(($S$12:$AA$12+INDEX($AJ$13:$AR$162,BN918,0)+INDEX($AT$13:$BB$162,BO918,0)+INDEX($BD$13:$BL$162,BP918,0))/100))&gt;=$D$10:$L$10)),0)</f>
        <v/>
      </c>
      <c r="BR918">
        <f>IF(905&lt;$U$9,SUMPRODUCT(($D$10:$L$10&lt;&gt;"")*(($D$10:$L$10-($D$9:$L$9+INT(($S$12:$AA$12+INDEX($AJ$13:$AR$162,BN918,0)+INDEX($AT$13:$BB$162,BO918,0)+INDEX($BD$13:$BL$162,BP918,0))/100)))&gt;0)*($D$10:$L$10-($D$9:$L$9+INT(($S$12:$AA$12+INDEX($AJ$13:$AR$162,BN918,0)+INDEX($AT$13:$BB$162,BO918,0)+INDEX($BD$13:$BL$162,BP918,0))/100)))),0)</f>
        <v/>
      </c>
      <c r="BS918">
        <f>IF(905&lt;$U$9,SUMPRODUCT(($D$9:$L$9+INT(($S$12:$AA$12+INDEX($AJ$13:$AR$162,BN918,0)+INDEX($AT$13:$BB$162,BO918,0)+INDEX($BD$13:$BL$162,BP918,0))/100))),0)</f>
        <v/>
      </c>
      <c r="BT918">
        <f>IF(AND(905&lt;$U$9,$W$5),BQ918*1000000-MIN(BR918,999)*1000+BS918-905/100000,-1000000000-905)</f>
        <v/>
      </c>
    </row>
    <row r="919">
      <c r="BN919">
        <f>IF(906&lt;$U$9,INT(906/($U$7*$U$8))+1,1)</f>
        <v/>
      </c>
      <c r="BO919">
        <f>IF(906&lt;$U$9,MOD(INT(906/$U$8),$U$7)+1,1)</f>
        <v/>
      </c>
      <c r="BP919">
        <f>IF(906&lt;$U$9,MOD(906,$U$8)+1,1)</f>
        <v/>
      </c>
      <c r="BQ919">
        <f>IF(906&lt;$U$9,SUMPRODUCT(($D$10:$L$10&lt;&gt;"")*(($D$9:$L$9+INT(($S$12:$AA$12+INDEX($AJ$13:$AR$162,BN919,0)+INDEX($AT$13:$BB$162,BO919,0)+INDEX($BD$13:$BL$162,BP919,0))/100))&gt;=$D$10:$L$10)),0)</f>
        <v/>
      </c>
      <c r="BR919">
        <f>IF(906&lt;$U$9,SUMPRODUCT(($D$10:$L$10&lt;&gt;"")*(($D$10:$L$10-($D$9:$L$9+INT(($S$12:$AA$12+INDEX($AJ$13:$AR$162,BN919,0)+INDEX($AT$13:$BB$162,BO919,0)+INDEX($BD$13:$BL$162,BP919,0))/100)))&gt;0)*($D$10:$L$10-($D$9:$L$9+INT(($S$12:$AA$12+INDEX($AJ$13:$AR$162,BN919,0)+INDEX($AT$13:$BB$162,BO919,0)+INDEX($BD$13:$BL$162,BP919,0))/100)))),0)</f>
        <v/>
      </c>
      <c r="BS919">
        <f>IF(906&lt;$U$9,SUMPRODUCT(($D$9:$L$9+INT(($S$12:$AA$12+INDEX($AJ$13:$AR$162,BN919,0)+INDEX($AT$13:$BB$162,BO919,0)+INDEX($BD$13:$BL$162,BP919,0))/100))),0)</f>
        <v/>
      </c>
      <c r="BT919">
        <f>IF(AND(906&lt;$U$9,$W$5),BQ919*1000000-MIN(BR919,999)*1000+BS919-906/100000,-1000000000-906)</f>
        <v/>
      </c>
    </row>
    <row r="920">
      <c r="BN920">
        <f>IF(907&lt;$U$9,INT(907/($U$7*$U$8))+1,1)</f>
        <v/>
      </c>
      <c r="BO920">
        <f>IF(907&lt;$U$9,MOD(INT(907/$U$8),$U$7)+1,1)</f>
        <v/>
      </c>
      <c r="BP920">
        <f>IF(907&lt;$U$9,MOD(907,$U$8)+1,1)</f>
        <v/>
      </c>
      <c r="BQ920">
        <f>IF(907&lt;$U$9,SUMPRODUCT(($D$10:$L$10&lt;&gt;"")*(($D$9:$L$9+INT(($S$12:$AA$12+INDEX($AJ$13:$AR$162,BN920,0)+INDEX($AT$13:$BB$162,BO920,0)+INDEX($BD$13:$BL$162,BP920,0))/100))&gt;=$D$10:$L$10)),0)</f>
        <v/>
      </c>
      <c r="BR920">
        <f>IF(907&lt;$U$9,SUMPRODUCT(($D$10:$L$10&lt;&gt;"")*(($D$10:$L$10-($D$9:$L$9+INT(($S$12:$AA$12+INDEX($AJ$13:$AR$162,BN920,0)+INDEX($AT$13:$BB$162,BO920,0)+INDEX($BD$13:$BL$162,BP920,0))/100)))&gt;0)*($D$10:$L$10-($D$9:$L$9+INT(($S$12:$AA$12+INDEX($AJ$13:$AR$162,BN920,0)+INDEX($AT$13:$BB$162,BO920,0)+INDEX($BD$13:$BL$162,BP920,0))/100)))),0)</f>
        <v/>
      </c>
      <c r="BS920">
        <f>IF(907&lt;$U$9,SUMPRODUCT(($D$9:$L$9+INT(($S$12:$AA$12+INDEX($AJ$13:$AR$162,BN920,0)+INDEX($AT$13:$BB$162,BO920,0)+INDEX($BD$13:$BL$162,BP920,0))/100))),0)</f>
        <v/>
      </c>
      <c r="BT920">
        <f>IF(AND(907&lt;$U$9,$W$5),BQ920*1000000-MIN(BR920,999)*1000+BS920-907/100000,-1000000000-907)</f>
        <v/>
      </c>
    </row>
    <row r="921">
      <c r="BN921">
        <f>IF(908&lt;$U$9,INT(908/($U$7*$U$8))+1,1)</f>
        <v/>
      </c>
      <c r="BO921">
        <f>IF(908&lt;$U$9,MOD(INT(908/$U$8),$U$7)+1,1)</f>
        <v/>
      </c>
      <c r="BP921">
        <f>IF(908&lt;$U$9,MOD(908,$U$8)+1,1)</f>
        <v/>
      </c>
      <c r="BQ921">
        <f>IF(908&lt;$U$9,SUMPRODUCT(($D$10:$L$10&lt;&gt;"")*(($D$9:$L$9+INT(($S$12:$AA$12+INDEX($AJ$13:$AR$162,BN921,0)+INDEX($AT$13:$BB$162,BO921,0)+INDEX($BD$13:$BL$162,BP921,0))/100))&gt;=$D$10:$L$10)),0)</f>
        <v/>
      </c>
      <c r="BR921">
        <f>IF(908&lt;$U$9,SUMPRODUCT(($D$10:$L$10&lt;&gt;"")*(($D$10:$L$10-($D$9:$L$9+INT(($S$12:$AA$12+INDEX($AJ$13:$AR$162,BN921,0)+INDEX($AT$13:$BB$162,BO921,0)+INDEX($BD$13:$BL$162,BP921,0))/100)))&gt;0)*($D$10:$L$10-($D$9:$L$9+INT(($S$12:$AA$12+INDEX($AJ$13:$AR$162,BN921,0)+INDEX($AT$13:$BB$162,BO921,0)+INDEX($BD$13:$BL$162,BP921,0))/100)))),0)</f>
        <v/>
      </c>
      <c r="BS921">
        <f>IF(908&lt;$U$9,SUMPRODUCT(($D$9:$L$9+INT(($S$12:$AA$12+INDEX($AJ$13:$AR$162,BN921,0)+INDEX($AT$13:$BB$162,BO921,0)+INDEX($BD$13:$BL$162,BP921,0))/100))),0)</f>
        <v/>
      </c>
      <c r="BT921">
        <f>IF(AND(908&lt;$U$9,$W$5),BQ921*1000000-MIN(BR921,999)*1000+BS921-908/100000,-1000000000-908)</f>
        <v/>
      </c>
    </row>
    <row r="922">
      <c r="BN922">
        <f>IF(909&lt;$U$9,INT(909/($U$7*$U$8))+1,1)</f>
        <v/>
      </c>
      <c r="BO922">
        <f>IF(909&lt;$U$9,MOD(INT(909/$U$8),$U$7)+1,1)</f>
        <v/>
      </c>
      <c r="BP922">
        <f>IF(909&lt;$U$9,MOD(909,$U$8)+1,1)</f>
        <v/>
      </c>
      <c r="BQ922">
        <f>IF(909&lt;$U$9,SUMPRODUCT(($D$10:$L$10&lt;&gt;"")*(($D$9:$L$9+INT(($S$12:$AA$12+INDEX($AJ$13:$AR$162,BN922,0)+INDEX($AT$13:$BB$162,BO922,0)+INDEX($BD$13:$BL$162,BP922,0))/100))&gt;=$D$10:$L$10)),0)</f>
        <v/>
      </c>
      <c r="BR922">
        <f>IF(909&lt;$U$9,SUMPRODUCT(($D$10:$L$10&lt;&gt;"")*(($D$10:$L$10-($D$9:$L$9+INT(($S$12:$AA$12+INDEX($AJ$13:$AR$162,BN922,0)+INDEX($AT$13:$BB$162,BO922,0)+INDEX($BD$13:$BL$162,BP922,0))/100)))&gt;0)*($D$10:$L$10-($D$9:$L$9+INT(($S$12:$AA$12+INDEX($AJ$13:$AR$162,BN922,0)+INDEX($AT$13:$BB$162,BO922,0)+INDEX($BD$13:$BL$162,BP922,0))/100)))),0)</f>
        <v/>
      </c>
      <c r="BS922">
        <f>IF(909&lt;$U$9,SUMPRODUCT(($D$9:$L$9+INT(($S$12:$AA$12+INDEX($AJ$13:$AR$162,BN922,0)+INDEX($AT$13:$BB$162,BO922,0)+INDEX($BD$13:$BL$162,BP922,0))/100))),0)</f>
        <v/>
      </c>
      <c r="BT922">
        <f>IF(AND(909&lt;$U$9,$W$5),BQ922*1000000-MIN(BR922,999)*1000+BS922-909/100000,-1000000000-909)</f>
        <v/>
      </c>
    </row>
    <row r="923">
      <c r="BN923">
        <f>IF(910&lt;$U$9,INT(910/($U$7*$U$8))+1,1)</f>
        <v/>
      </c>
      <c r="BO923">
        <f>IF(910&lt;$U$9,MOD(INT(910/$U$8),$U$7)+1,1)</f>
        <v/>
      </c>
      <c r="BP923">
        <f>IF(910&lt;$U$9,MOD(910,$U$8)+1,1)</f>
        <v/>
      </c>
      <c r="BQ923">
        <f>IF(910&lt;$U$9,SUMPRODUCT(($D$10:$L$10&lt;&gt;"")*(($D$9:$L$9+INT(($S$12:$AA$12+INDEX($AJ$13:$AR$162,BN923,0)+INDEX($AT$13:$BB$162,BO923,0)+INDEX($BD$13:$BL$162,BP923,0))/100))&gt;=$D$10:$L$10)),0)</f>
        <v/>
      </c>
      <c r="BR923">
        <f>IF(910&lt;$U$9,SUMPRODUCT(($D$10:$L$10&lt;&gt;"")*(($D$10:$L$10-($D$9:$L$9+INT(($S$12:$AA$12+INDEX($AJ$13:$AR$162,BN923,0)+INDEX($AT$13:$BB$162,BO923,0)+INDEX($BD$13:$BL$162,BP923,0))/100)))&gt;0)*($D$10:$L$10-($D$9:$L$9+INT(($S$12:$AA$12+INDEX($AJ$13:$AR$162,BN923,0)+INDEX($AT$13:$BB$162,BO923,0)+INDEX($BD$13:$BL$162,BP923,0))/100)))),0)</f>
        <v/>
      </c>
      <c r="BS923">
        <f>IF(910&lt;$U$9,SUMPRODUCT(($D$9:$L$9+INT(($S$12:$AA$12+INDEX($AJ$13:$AR$162,BN923,0)+INDEX($AT$13:$BB$162,BO923,0)+INDEX($BD$13:$BL$162,BP923,0))/100))),0)</f>
        <v/>
      </c>
      <c r="BT923">
        <f>IF(AND(910&lt;$U$9,$W$5),BQ923*1000000-MIN(BR923,999)*1000+BS923-910/100000,-1000000000-910)</f>
        <v/>
      </c>
    </row>
    <row r="924">
      <c r="BN924">
        <f>IF(911&lt;$U$9,INT(911/($U$7*$U$8))+1,1)</f>
        <v/>
      </c>
      <c r="BO924">
        <f>IF(911&lt;$U$9,MOD(INT(911/$U$8),$U$7)+1,1)</f>
        <v/>
      </c>
      <c r="BP924">
        <f>IF(911&lt;$U$9,MOD(911,$U$8)+1,1)</f>
        <v/>
      </c>
      <c r="BQ924">
        <f>IF(911&lt;$U$9,SUMPRODUCT(($D$10:$L$10&lt;&gt;"")*(($D$9:$L$9+INT(($S$12:$AA$12+INDEX($AJ$13:$AR$162,BN924,0)+INDEX($AT$13:$BB$162,BO924,0)+INDEX($BD$13:$BL$162,BP924,0))/100))&gt;=$D$10:$L$10)),0)</f>
        <v/>
      </c>
      <c r="BR924">
        <f>IF(911&lt;$U$9,SUMPRODUCT(($D$10:$L$10&lt;&gt;"")*(($D$10:$L$10-($D$9:$L$9+INT(($S$12:$AA$12+INDEX($AJ$13:$AR$162,BN924,0)+INDEX($AT$13:$BB$162,BO924,0)+INDEX($BD$13:$BL$162,BP924,0))/100)))&gt;0)*($D$10:$L$10-($D$9:$L$9+INT(($S$12:$AA$12+INDEX($AJ$13:$AR$162,BN924,0)+INDEX($AT$13:$BB$162,BO924,0)+INDEX($BD$13:$BL$162,BP924,0))/100)))),0)</f>
        <v/>
      </c>
      <c r="BS924">
        <f>IF(911&lt;$U$9,SUMPRODUCT(($D$9:$L$9+INT(($S$12:$AA$12+INDEX($AJ$13:$AR$162,BN924,0)+INDEX($AT$13:$BB$162,BO924,0)+INDEX($BD$13:$BL$162,BP924,0))/100))),0)</f>
        <v/>
      </c>
      <c r="BT924">
        <f>IF(AND(911&lt;$U$9,$W$5),BQ924*1000000-MIN(BR924,999)*1000+BS924-911/100000,-1000000000-911)</f>
        <v/>
      </c>
    </row>
    <row r="925">
      <c r="BN925">
        <f>IF(912&lt;$U$9,INT(912/($U$7*$U$8))+1,1)</f>
        <v/>
      </c>
      <c r="BO925">
        <f>IF(912&lt;$U$9,MOD(INT(912/$U$8),$U$7)+1,1)</f>
        <v/>
      </c>
      <c r="BP925">
        <f>IF(912&lt;$U$9,MOD(912,$U$8)+1,1)</f>
        <v/>
      </c>
      <c r="BQ925">
        <f>IF(912&lt;$U$9,SUMPRODUCT(($D$10:$L$10&lt;&gt;"")*(($D$9:$L$9+INT(($S$12:$AA$12+INDEX($AJ$13:$AR$162,BN925,0)+INDEX($AT$13:$BB$162,BO925,0)+INDEX($BD$13:$BL$162,BP925,0))/100))&gt;=$D$10:$L$10)),0)</f>
        <v/>
      </c>
      <c r="BR925">
        <f>IF(912&lt;$U$9,SUMPRODUCT(($D$10:$L$10&lt;&gt;"")*(($D$10:$L$10-($D$9:$L$9+INT(($S$12:$AA$12+INDEX($AJ$13:$AR$162,BN925,0)+INDEX($AT$13:$BB$162,BO925,0)+INDEX($BD$13:$BL$162,BP925,0))/100)))&gt;0)*($D$10:$L$10-($D$9:$L$9+INT(($S$12:$AA$12+INDEX($AJ$13:$AR$162,BN925,0)+INDEX($AT$13:$BB$162,BO925,0)+INDEX($BD$13:$BL$162,BP925,0))/100)))),0)</f>
        <v/>
      </c>
      <c r="BS925">
        <f>IF(912&lt;$U$9,SUMPRODUCT(($D$9:$L$9+INT(($S$12:$AA$12+INDEX($AJ$13:$AR$162,BN925,0)+INDEX($AT$13:$BB$162,BO925,0)+INDEX($BD$13:$BL$162,BP925,0))/100))),0)</f>
        <v/>
      </c>
      <c r="BT925">
        <f>IF(AND(912&lt;$U$9,$W$5),BQ925*1000000-MIN(BR925,999)*1000+BS925-912/100000,-1000000000-912)</f>
        <v/>
      </c>
    </row>
    <row r="926">
      <c r="BN926">
        <f>IF(913&lt;$U$9,INT(913/($U$7*$U$8))+1,1)</f>
        <v/>
      </c>
      <c r="BO926">
        <f>IF(913&lt;$U$9,MOD(INT(913/$U$8),$U$7)+1,1)</f>
        <v/>
      </c>
      <c r="BP926">
        <f>IF(913&lt;$U$9,MOD(913,$U$8)+1,1)</f>
        <v/>
      </c>
      <c r="BQ926">
        <f>IF(913&lt;$U$9,SUMPRODUCT(($D$10:$L$10&lt;&gt;"")*(($D$9:$L$9+INT(($S$12:$AA$12+INDEX($AJ$13:$AR$162,BN926,0)+INDEX($AT$13:$BB$162,BO926,0)+INDEX($BD$13:$BL$162,BP926,0))/100))&gt;=$D$10:$L$10)),0)</f>
        <v/>
      </c>
      <c r="BR926">
        <f>IF(913&lt;$U$9,SUMPRODUCT(($D$10:$L$10&lt;&gt;"")*(($D$10:$L$10-($D$9:$L$9+INT(($S$12:$AA$12+INDEX($AJ$13:$AR$162,BN926,0)+INDEX($AT$13:$BB$162,BO926,0)+INDEX($BD$13:$BL$162,BP926,0))/100)))&gt;0)*($D$10:$L$10-($D$9:$L$9+INT(($S$12:$AA$12+INDEX($AJ$13:$AR$162,BN926,0)+INDEX($AT$13:$BB$162,BO926,0)+INDEX($BD$13:$BL$162,BP926,0))/100)))),0)</f>
        <v/>
      </c>
      <c r="BS926">
        <f>IF(913&lt;$U$9,SUMPRODUCT(($D$9:$L$9+INT(($S$12:$AA$12+INDEX($AJ$13:$AR$162,BN926,0)+INDEX($AT$13:$BB$162,BO926,0)+INDEX($BD$13:$BL$162,BP926,0))/100))),0)</f>
        <v/>
      </c>
      <c r="BT926">
        <f>IF(AND(913&lt;$U$9,$W$5),BQ926*1000000-MIN(BR926,999)*1000+BS926-913/100000,-1000000000-913)</f>
        <v/>
      </c>
    </row>
    <row r="927">
      <c r="BN927">
        <f>IF(914&lt;$U$9,INT(914/($U$7*$U$8))+1,1)</f>
        <v/>
      </c>
      <c r="BO927">
        <f>IF(914&lt;$U$9,MOD(INT(914/$U$8),$U$7)+1,1)</f>
        <v/>
      </c>
      <c r="BP927">
        <f>IF(914&lt;$U$9,MOD(914,$U$8)+1,1)</f>
        <v/>
      </c>
      <c r="BQ927">
        <f>IF(914&lt;$U$9,SUMPRODUCT(($D$10:$L$10&lt;&gt;"")*(($D$9:$L$9+INT(($S$12:$AA$12+INDEX($AJ$13:$AR$162,BN927,0)+INDEX($AT$13:$BB$162,BO927,0)+INDEX($BD$13:$BL$162,BP927,0))/100))&gt;=$D$10:$L$10)),0)</f>
        <v/>
      </c>
      <c r="BR927">
        <f>IF(914&lt;$U$9,SUMPRODUCT(($D$10:$L$10&lt;&gt;"")*(($D$10:$L$10-($D$9:$L$9+INT(($S$12:$AA$12+INDEX($AJ$13:$AR$162,BN927,0)+INDEX($AT$13:$BB$162,BO927,0)+INDEX($BD$13:$BL$162,BP927,0))/100)))&gt;0)*($D$10:$L$10-($D$9:$L$9+INT(($S$12:$AA$12+INDEX($AJ$13:$AR$162,BN927,0)+INDEX($AT$13:$BB$162,BO927,0)+INDEX($BD$13:$BL$162,BP927,0))/100)))),0)</f>
        <v/>
      </c>
      <c r="BS927">
        <f>IF(914&lt;$U$9,SUMPRODUCT(($D$9:$L$9+INT(($S$12:$AA$12+INDEX($AJ$13:$AR$162,BN927,0)+INDEX($AT$13:$BB$162,BO927,0)+INDEX($BD$13:$BL$162,BP927,0))/100))),0)</f>
        <v/>
      </c>
      <c r="BT927">
        <f>IF(AND(914&lt;$U$9,$W$5),BQ927*1000000-MIN(BR927,999)*1000+BS927-914/100000,-1000000000-914)</f>
        <v/>
      </c>
    </row>
    <row r="928">
      <c r="BN928">
        <f>IF(915&lt;$U$9,INT(915/($U$7*$U$8))+1,1)</f>
        <v/>
      </c>
      <c r="BO928">
        <f>IF(915&lt;$U$9,MOD(INT(915/$U$8),$U$7)+1,1)</f>
        <v/>
      </c>
      <c r="BP928">
        <f>IF(915&lt;$U$9,MOD(915,$U$8)+1,1)</f>
        <v/>
      </c>
      <c r="BQ928">
        <f>IF(915&lt;$U$9,SUMPRODUCT(($D$10:$L$10&lt;&gt;"")*(($D$9:$L$9+INT(($S$12:$AA$12+INDEX($AJ$13:$AR$162,BN928,0)+INDEX($AT$13:$BB$162,BO928,0)+INDEX($BD$13:$BL$162,BP928,0))/100))&gt;=$D$10:$L$10)),0)</f>
        <v/>
      </c>
      <c r="BR928">
        <f>IF(915&lt;$U$9,SUMPRODUCT(($D$10:$L$10&lt;&gt;"")*(($D$10:$L$10-($D$9:$L$9+INT(($S$12:$AA$12+INDEX($AJ$13:$AR$162,BN928,0)+INDEX($AT$13:$BB$162,BO928,0)+INDEX($BD$13:$BL$162,BP928,0))/100)))&gt;0)*($D$10:$L$10-($D$9:$L$9+INT(($S$12:$AA$12+INDEX($AJ$13:$AR$162,BN928,0)+INDEX($AT$13:$BB$162,BO928,0)+INDEX($BD$13:$BL$162,BP928,0))/100)))),0)</f>
        <v/>
      </c>
      <c r="BS928">
        <f>IF(915&lt;$U$9,SUMPRODUCT(($D$9:$L$9+INT(($S$12:$AA$12+INDEX($AJ$13:$AR$162,BN928,0)+INDEX($AT$13:$BB$162,BO928,0)+INDEX($BD$13:$BL$162,BP928,0))/100))),0)</f>
        <v/>
      </c>
      <c r="BT928">
        <f>IF(AND(915&lt;$U$9,$W$5),BQ928*1000000-MIN(BR928,999)*1000+BS928-915/100000,-1000000000-915)</f>
        <v/>
      </c>
    </row>
    <row r="929">
      <c r="BN929">
        <f>IF(916&lt;$U$9,INT(916/($U$7*$U$8))+1,1)</f>
        <v/>
      </c>
      <c r="BO929">
        <f>IF(916&lt;$U$9,MOD(INT(916/$U$8),$U$7)+1,1)</f>
        <v/>
      </c>
      <c r="BP929">
        <f>IF(916&lt;$U$9,MOD(916,$U$8)+1,1)</f>
        <v/>
      </c>
      <c r="BQ929">
        <f>IF(916&lt;$U$9,SUMPRODUCT(($D$10:$L$10&lt;&gt;"")*(($D$9:$L$9+INT(($S$12:$AA$12+INDEX($AJ$13:$AR$162,BN929,0)+INDEX($AT$13:$BB$162,BO929,0)+INDEX($BD$13:$BL$162,BP929,0))/100))&gt;=$D$10:$L$10)),0)</f>
        <v/>
      </c>
      <c r="BR929">
        <f>IF(916&lt;$U$9,SUMPRODUCT(($D$10:$L$10&lt;&gt;"")*(($D$10:$L$10-($D$9:$L$9+INT(($S$12:$AA$12+INDEX($AJ$13:$AR$162,BN929,0)+INDEX($AT$13:$BB$162,BO929,0)+INDEX($BD$13:$BL$162,BP929,0))/100)))&gt;0)*($D$10:$L$10-($D$9:$L$9+INT(($S$12:$AA$12+INDEX($AJ$13:$AR$162,BN929,0)+INDEX($AT$13:$BB$162,BO929,0)+INDEX($BD$13:$BL$162,BP929,0))/100)))),0)</f>
        <v/>
      </c>
      <c r="BS929">
        <f>IF(916&lt;$U$9,SUMPRODUCT(($D$9:$L$9+INT(($S$12:$AA$12+INDEX($AJ$13:$AR$162,BN929,0)+INDEX($AT$13:$BB$162,BO929,0)+INDEX($BD$13:$BL$162,BP929,0))/100))),0)</f>
        <v/>
      </c>
      <c r="BT929">
        <f>IF(AND(916&lt;$U$9,$W$5),BQ929*1000000-MIN(BR929,999)*1000+BS929-916/100000,-1000000000-916)</f>
        <v/>
      </c>
    </row>
    <row r="930">
      <c r="BN930">
        <f>IF(917&lt;$U$9,INT(917/($U$7*$U$8))+1,1)</f>
        <v/>
      </c>
      <c r="BO930">
        <f>IF(917&lt;$U$9,MOD(INT(917/$U$8),$U$7)+1,1)</f>
        <v/>
      </c>
      <c r="BP930">
        <f>IF(917&lt;$U$9,MOD(917,$U$8)+1,1)</f>
        <v/>
      </c>
      <c r="BQ930">
        <f>IF(917&lt;$U$9,SUMPRODUCT(($D$10:$L$10&lt;&gt;"")*(($D$9:$L$9+INT(($S$12:$AA$12+INDEX($AJ$13:$AR$162,BN930,0)+INDEX($AT$13:$BB$162,BO930,0)+INDEX($BD$13:$BL$162,BP930,0))/100))&gt;=$D$10:$L$10)),0)</f>
        <v/>
      </c>
      <c r="BR930">
        <f>IF(917&lt;$U$9,SUMPRODUCT(($D$10:$L$10&lt;&gt;"")*(($D$10:$L$10-($D$9:$L$9+INT(($S$12:$AA$12+INDEX($AJ$13:$AR$162,BN930,0)+INDEX($AT$13:$BB$162,BO930,0)+INDEX($BD$13:$BL$162,BP930,0))/100)))&gt;0)*($D$10:$L$10-($D$9:$L$9+INT(($S$12:$AA$12+INDEX($AJ$13:$AR$162,BN930,0)+INDEX($AT$13:$BB$162,BO930,0)+INDEX($BD$13:$BL$162,BP930,0))/100)))),0)</f>
        <v/>
      </c>
      <c r="BS930">
        <f>IF(917&lt;$U$9,SUMPRODUCT(($D$9:$L$9+INT(($S$12:$AA$12+INDEX($AJ$13:$AR$162,BN930,0)+INDEX($AT$13:$BB$162,BO930,0)+INDEX($BD$13:$BL$162,BP930,0))/100))),0)</f>
        <v/>
      </c>
      <c r="BT930">
        <f>IF(AND(917&lt;$U$9,$W$5),BQ930*1000000-MIN(BR930,999)*1000+BS930-917/100000,-1000000000-917)</f>
        <v/>
      </c>
    </row>
    <row r="931">
      <c r="BN931">
        <f>IF(918&lt;$U$9,INT(918/($U$7*$U$8))+1,1)</f>
        <v/>
      </c>
      <c r="BO931">
        <f>IF(918&lt;$U$9,MOD(INT(918/$U$8),$U$7)+1,1)</f>
        <v/>
      </c>
      <c r="BP931">
        <f>IF(918&lt;$U$9,MOD(918,$U$8)+1,1)</f>
        <v/>
      </c>
      <c r="BQ931">
        <f>IF(918&lt;$U$9,SUMPRODUCT(($D$10:$L$10&lt;&gt;"")*(($D$9:$L$9+INT(($S$12:$AA$12+INDEX($AJ$13:$AR$162,BN931,0)+INDEX($AT$13:$BB$162,BO931,0)+INDEX($BD$13:$BL$162,BP931,0))/100))&gt;=$D$10:$L$10)),0)</f>
        <v/>
      </c>
      <c r="BR931">
        <f>IF(918&lt;$U$9,SUMPRODUCT(($D$10:$L$10&lt;&gt;"")*(($D$10:$L$10-($D$9:$L$9+INT(($S$12:$AA$12+INDEX($AJ$13:$AR$162,BN931,0)+INDEX($AT$13:$BB$162,BO931,0)+INDEX($BD$13:$BL$162,BP931,0))/100)))&gt;0)*($D$10:$L$10-($D$9:$L$9+INT(($S$12:$AA$12+INDEX($AJ$13:$AR$162,BN931,0)+INDEX($AT$13:$BB$162,BO931,0)+INDEX($BD$13:$BL$162,BP931,0))/100)))),0)</f>
        <v/>
      </c>
      <c r="BS931">
        <f>IF(918&lt;$U$9,SUMPRODUCT(($D$9:$L$9+INT(($S$12:$AA$12+INDEX($AJ$13:$AR$162,BN931,0)+INDEX($AT$13:$BB$162,BO931,0)+INDEX($BD$13:$BL$162,BP931,0))/100))),0)</f>
        <v/>
      </c>
      <c r="BT931">
        <f>IF(AND(918&lt;$U$9,$W$5),BQ931*1000000-MIN(BR931,999)*1000+BS931-918/100000,-1000000000-918)</f>
        <v/>
      </c>
    </row>
    <row r="932">
      <c r="BN932">
        <f>IF(919&lt;$U$9,INT(919/($U$7*$U$8))+1,1)</f>
        <v/>
      </c>
      <c r="BO932">
        <f>IF(919&lt;$U$9,MOD(INT(919/$U$8),$U$7)+1,1)</f>
        <v/>
      </c>
      <c r="BP932">
        <f>IF(919&lt;$U$9,MOD(919,$U$8)+1,1)</f>
        <v/>
      </c>
      <c r="BQ932">
        <f>IF(919&lt;$U$9,SUMPRODUCT(($D$10:$L$10&lt;&gt;"")*(($D$9:$L$9+INT(($S$12:$AA$12+INDEX($AJ$13:$AR$162,BN932,0)+INDEX($AT$13:$BB$162,BO932,0)+INDEX($BD$13:$BL$162,BP932,0))/100))&gt;=$D$10:$L$10)),0)</f>
        <v/>
      </c>
      <c r="BR932">
        <f>IF(919&lt;$U$9,SUMPRODUCT(($D$10:$L$10&lt;&gt;"")*(($D$10:$L$10-($D$9:$L$9+INT(($S$12:$AA$12+INDEX($AJ$13:$AR$162,BN932,0)+INDEX($AT$13:$BB$162,BO932,0)+INDEX($BD$13:$BL$162,BP932,0))/100)))&gt;0)*($D$10:$L$10-($D$9:$L$9+INT(($S$12:$AA$12+INDEX($AJ$13:$AR$162,BN932,0)+INDEX($AT$13:$BB$162,BO932,0)+INDEX($BD$13:$BL$162,BP932,0))/100)))),0)</f>
        <v/>
      </c>
      <c r="BS932">
        <f>IF(919&lt;$U$9,SUMPRODUCT(($D$9:$L$9+INT(($S$12:$AA$12+INDEX($AJ$13:$AR$162,BN932,0)+INDEX($AT$13:$BB$162,BO932,0)+INDEX($BD$13:$BL$162,BP932,0))/100))),0)</f>
        <v/>
      </c>
      <c r="BT932">
        <f>IF(AND(919&lt;$U$9,$W$5),BQ932*1000000-MIN(BR932,999)*1000+BS932-919/100000,-1000000000-919)</f>
        <v/>
      </c>
    </row>
    <row r="933">
      <c r="BN933">
        <f>IF(920&lt;$U$9,INT(920/($U$7*$U$8))+1,1)</f>
        <v/>
      </c>
      <c r="BO933">
        <f>IF(920&lt;$U$9,MOD(INT(920/$U$8),$U$7)+1,1)</f>
        <v/>
      </c>
      <c r="BP933">
        <f>IF(920&lt;$U$9,MOD(920,$U$8)+1,1)</f>
        <v/>
      </c>
      <c r="BQ933">
        <f>IF(920&lt;$U$9,SUMPRODUCT(($D$10:$L$10&lt;&gt;"")*(($D$9:$L$9+INT(($S$12:$AA$12+INDEX($AJ$13:$AR$162,BN933,0)+INDEX($AT$13:$BB$162,BO933,0)+INDEX($BD$13:$BL$162,BP933,0))/100))&gt;=$D$10:$L$10)),0)</f>
        <v/>
      </c>
      <c r="BR933">
        <f>IF(920&lt;$U$9,SUMPRODUCT(($D$10:$L$10&lt;&gt;"")*(($D$10:$L$10-($D$9:$L$9+INT(($S$12:$AA$12+INDEX($AJ$13:$AR$162,BN933,0)+INDEX($AT$13:$BB$162,BO933,0)+INDEX($BD$13:$BL$162,BP933,0))/100)))&gt;0)*($D$10:$L$10-($D$9:$L$9+INT(($S$12:$AA$12+INDEX($AJ$13:$AR$162,BN933,0)+INDEX($AT$13:$BB$162,BO933,0)+INDEX($BD$13:$BL$162,BP933,0))/100)))),0)</f>
        <v/>
      </c>
      <c r="BS933">
        <f>IF(920&lt;$U$9,SUMPRODUCT(($D$9:$L$9+INT(($S$12:$AA$12+INDEX($AJ$13:$AR$162,BN933,0)+INDEX($AT$13:$BB$162,BO933,0)+INDEX($BD$13:$BL$162,BP933,0))/100))),0)</f>
        <v/>
      </c>
      <c r="BT933">
        <f>IF(AND(920&lt;$U$9,$W$5),BQ933*1000000-MIN(BR933,999)*1000+BS933-920/100000,-1000000000-920)</f>
        <v/>
      </c>
    </row>
    <row r="934">
      <c r="BN934">
        <f>IF(921&lt;$U$9,INT(921/($U$7*$U$8))+1,1)</f>
        <v/>
      </c>
      <c r="BO934">
        <f>IF(921&lt;$U$9,MOD(INT(921/$U$8),$U$7)+1,1)</f>
        <v/>
      </c>
      <c r="BP934">
        <f>IF(921&lt;$U$9,MOD(921,$U$8)+1,1)</f>
        <v/>
      </c>
      <c r="BQ934">
        <f>IF(921&lt;$U$9,SUMPRODUCT(($D$10:$L$10&lt;&gt;"")*(($D$9:$L$9+INT(($S$12:$AA$12+INDEX($AJ$13:$AR$162,BN934,0)+INDEX($AT$13:$BB$162,BO934,0)+INDEX($BD$13:$BL$162,BP934,0))/100))&gt;=$D$10:$L$10)),0)</f>
        <v/>
      </c>
      <c r="BR934">
        <f>IF(921&lt;$U$9,SUMPRODUCT(($D$10:$L$10&lt;&gt;"")*(($D$10:$L$10-($D$9:$L$9+INT(($S$12:$AA$12+INDEX($AJ$13:$AR$162,BN934,0)+INDEX($AT$13:$BB$162,BO934,0)+INDEX($BD$13:$BL$162,BP934,0))/100)))&gt;0)*($D$10:$L$10-($D$9:$L$9+INT(($S$12:$AA$12+INDEX($AJ$13:$AR$162,BN934,0)+INDEX($AT$13:$BB$162,BO934,0)+INDEX($BD$13:$BL$162,BP934,0))/100)))),0)</f>
        <v/>
      </c>
      <c r="BS934">
        <f>IF(921&lt;$U$9,SUMPRODUCT(($D$9:$L$9+INT(($S$12:$AA$12+INDEX($AJ$13:$AR$162,BN934,0)+INDEX($AT$13:$BB$162,BO934,0)+INDEX($BD$13:$BL$162,BP934,0))/100))),0)</f>
        <v/>
      </c>
      <c r="BT934">
        <f>IF(AND(921&lt;$U$9,$W$5),BQ934*1000000-MIN(BR934,999)*1000+BS934-921/100000,-1000000000-921)</f>
        <v/>
      </c>
    </row>
    <row r="935">
      <c r="BN935">
        <f>IF(922&lt;$U$9,INT(922/($U$7*$U$8))+1,1)</f>
        <v/>
      </c>
      <c r="BO935">
        <f>IF(922&lt;$U$9,MOD(INT(922/$U$8),$U$7)+1,1)</f>
        <v/>
      </c>
      <c r="BP935">
        <f>IF(922&lt;$U$9,MOD(922,$U$8)+1,1)</f>
        <v/>
      </c>
      <c r="BQ935">
        <f>IF(922&lt;$U$9,SUMPRODUCT(($D$10:$L$10&lt;&gt;"")*(($D$9:$L$9+INT(($S$12:$AA$12+INDEX($AJ$13:$AR$162,BN935,0)+INDEX($AT$13:$BB$162,BO935,0)+INDEX($BD$13:$BL$162,BP935,0))/100))&gt;=$D$10:$L$10)),0)</f>
        <v/>
      </c>
      <c r="BR935">
        <f>IF(922&lt;$U$9,SUMPRODUCT(($D$10:$L$10&lt;&gt;"")*(($D$10:$L$10-($D$9:$L$9+INT(($S$12:$AA$12+INDEX($AJ$13:$AR$162,BN935,0)+INDEX($AT$13:$BB$162,BO935,0)+INDEX($BD$13:$BL$162,BP935,0))/100)))&gt;0)*($D$10:$L$10-($D$9:$L$9+INT(($S$12:$AA$12+INDEX($AJ$13:$AR$162,BN935,0)+INDEX($AT$13:$BB$162,BO935,0)+INDEX($BD$13:$BL$162,BP935,0))/100)))),0)</f>
        <v/>
      </c>
      <c r="BS935">
        <f>IF(922&lt;$U$9,SUMPRODUCT(($D$9:$L$9+INT(($S$12:$AA$12+INDEX($AJ$13:$AR$162,BN935,0)+INDEX($AT$13:$BB$162,BO935,0)+INDEX($BD$13:$BL$162,BP935,0))/100))),0)</f>
        <v/>
      </c>
      <c r="BT935">
        <f>IF(AND(922&lt;$U$9,$W$5),BQ935*1000000-MIN(BR935,999)*1000+BS935-922/100000,-1000000000-922)</f>
        <v/>
      </c>
    </row>
    <row r="936">
      <c r="BN936">
        <f>IF(923&lt;$U$9,INT(923/($U$7*$U$8))+1,1)</f>
        <v/>
      </c>
      <c r="BO936">
        <f>IF(923&lt;$U$9,MOD(INT(923/$U$8),$U$7)+1,1)</f>
        <v/>
      </c>
      <c r="BP936">
        <f>IF(923&lt;$U$9,MOD(923,$U$8)+1,1)</f>
        <v/>
      </c>
      <c r="BQ936">
        <f>IF(923&lt;$U$9,SUMPRODUCT(($D$10:$L$10&lt;&gt;"")*(($D$9:$L$9+INT(($S$12:$AA$12+INDEX($AJ$13:$AR$162,BN936,0)+INDEX($AT$13:$BB$162,BO936,0)+INDEX($BD$13:$BL$162,BP936,0))/100))&gt;=$D$10:$L$10)),0)</f>
        <v/>
      </c>
      <c r="BR936">
        <f>IF(923&lt;$U$9,SUMPRODUCT(($D$10:$L$10&lt;&gt;"")*(($D$10:$L$10-($D$9:$L$9+INT(($S$12:$AA$12+INDEX($AJ$13:$AR$162,BN936,0)+INDEX($AT$13:$BB$162,BO936,0)+INDEX($BD$13:$BL$162,BP936,0))/100)))&gt;0)*($D$10:$L$10-($D$9:$L$9+INT(($S$12:$AA$12+INDEX($AJ$13:$AR$162,BN936,0)+INDEX($AT$13:$BB$162,BO936,0)+INDEX($BD$13:$BL$162,BP936,0))/100)))),0)</f>
        <v/>
      </c>
      <c r="BS936">
        <f>IF(923&lt;$U$9,SUMPRODUCT(($D$9:$L$9+INT(($S$12:$AA$12+INDEX($AJ$13:$AR$162,BN936,0)+INDEX($AT$13:$BB$162,BO936,0)+INDEX($BD$13:$BL$162,BP936,0))/100))),0)</f>
        <v/>
      </c>
      <c r="BT936">
        <f>IF(AND(923&lt;$U$9,$W$5),BQ936*1000000-MIN(BR936,999)*1000+BS936-923/100000,-1000000000-923)</f>
        <v/>
      </c>
    </row>
    <row r="937">
      <c r="BN937">
        <f>IF(924&lt;$U$9,INT(924/($U$7*$U$8))+1,1)</f>
        <v/>
      </c>
      <c r="BO937">
        <f>IF(924&lt;$U$9,MOD(INT(924/$U$8),$U$7)+1,1)</f>
        <v/>
      </c>
      <c r="BP937">
        <f>IF(924&lt;$U$9,MOD(924,$U$8)+1,1)</f>
        <v/>
      </c>
      <c r="BQ937">
        <f>IF(924&lt;$U$9,SUMPRODUCT(($D$10:$L$10&lt;&gt;"")*(($D$9:$L$9+INT(($S$12:$AA$12+INDEX($AJ$13:$AR$162,BN937,0)+INDEX($AT$13:$BB$162,BO937,0)+INDEX($BD$13:$BL$162,BP937,0))/100))&gt;=$D$10:$L$10)),0)</f>
        <v/>
      </c>
      <c r="BR937">
        <f>IF(924&lt;$U$9,SUMPRODUCT(($D$10:$L$10&lt;&gt;"")*(($D$10:$L$10-($D$9:$L$9+INT(($S$12:$AA$12+INDEX($AJ$13:$AR$162,BN937,0)+INDEX($AT$13:$BB$162,BO937,0)+INDEX($BD$13:$BL$162,BP937,0))/100)))&gt;0)*($D$10:$L$10-($D$9:$L$9+INT(($S$12:$AA$12+INDEX($AJ$13:$AR$162,BN937,0)+INDEX($AT$13:$BB$162,BO937,0)+INDEX($BD$13:$BL$162,BP937,0))/100)))),0)</f>
        <v/>
      </c>
      <c r="BS937">
        <f>IF(924&lt;$U$9,SUMPRODUCT(($D$9:$L$9+INT(($S$12:$AA$12+INDEX($AJ$13:$AR$162,BN937,0)+INDEX($AT$13:$BB$162,BO937,0)+INDEX($BD$13:$BL$162,BP937,0))/100))),0)</f>
        <v/>
      </c>
      <c r="BT937">
        <f>IF(AND(924&lt;$U$9,$W$5),BQ937*1000000-MIN(BR937,999)*1000+BS937-924/100000,-1000000000-924)</f>
        <v/>
      </c>
    </row>
    <row r="938">
      <c r="BN938">
        <f>IF(925&lt;$U$9,INT(925/($U$7*$U$8))+1,1)</f>
        <v/>
      </c>
      <c r="BO938">
        <f>IF(925&lt;$U$9,MOD(INT(925/$U$8),$U$7)+1,1)</f>
        <v/>
      </c>
      <c r="BP938">
        <f>IF(925&lt;$U$9,MOD(925,$U$8)+1,1)</f>
        <v/>
      </c>
      <c r="BQ938">
        <f>IF(925&lt;$U$9,SUMPRODUCT(($D$10:$L$10&lt;&gt;"")*(($D$9:$L$9+INT(($S$12:$AA$12+INDEX($AJ$13:$AR$162,BN938,0)+INDEX($AT$13:$BB$162,BO938,0)+INDEX($BD$13:$BL$162,BP938,0))/100))&gt;=$D$10:$L$10)),0)</f>
        <v/>
      </c>
      <c r="BR938">
        <f>IF(925&lt;$U$9,SUMPRODUCT(($D$10:$L$10&lt;&gt;"")*(($D$10:$L$10-($D$9:$L$9+INT(($S$12:$AA$12+INDEX($AJ$13:$AR$162,BN938,0)+INDEX($AT$13:$BB$162,BO938,0)+INDEX($BD$13:$BL$162,BP938,0))/100)))&gt;0)*($D$10:$L$10-($D$9:$L$9+INT(($S$12:$AA$12+INDEX($AJ$13:$AR$162,BN938,0)+INDEX($AT$13:$BB$162,BO938,0)+INDEX($BD$13:$BL$162,BP938,0))/100)))),0)</f>
        <v/>
      </c>
      <c r="BS938">
        <f>IF(925&lt;$U$9,SUMPRODUCT(($D$9:$L$9+INT(($S$12:$AA$12+INDEX($AJ$13:$AR$162,BN938,0)+INDEX($AT$13:$BB$162,BO938,0)+INDEX($BD$13:$BL$162,BP938,0))/100))),0)</f>
        <v/>
      </c>
      <c r="BT938">
        <f>IF(AND(925&lt;$U$9,$W$5),BQ938*1000000-MIN(BR938,999)*1000+BS938-925/100000,-1000000000-925)</f>
        <v/>
      </c>
    </row>
    <row r="939">
      <c r="BN939">
        <f>IF(926&lt;$U$9,INT(926/($U$7*$U$8))+1,1)</f>
        <v/>
      </c>
      <c r="BO939">
        <f>IF(926&lt;$U$9,MOD(INT(926/$U$8),$U$7)+1,1)</f>
        <v/>
      </c>
      <c r="BP939">
        <f>IF(926&lt;$U$9,MOD(926,$U$8)+1,1)</f>
        <v/>
      </c>
      <c r="BQ939">
        <f>IF(926&lt;$U$9,SUMPRODUCT(($D$10:$L$10&lt;&gt;"")*(($D$9:$L$9+INT(($S$12:$AA$12+INDEX($AJ$13:$AR$162,BN939,0)+INDEX($AT$13:$BB$162,BO939,0)+INDEX($BD$13:$BL$162,BP939,0))/100))&gt;=$D$10:$L$10)),0)</f>
        <v/>
      </c>
      <c r="BR939">
        <f>IF(926&lt;$U$9,SUMPRODUCT(($D$10:$L$10&lt;&gt;"")*(($D$10:$L$10-($D$9:$L$9+INT(($S$12:$AA$12+INDEX($AJ$13:$AR$162,BN939,0)+INDEX($AT$13:$BB$162,BO939,0)+INDEX($BD$13:$BL$162,BP939,0))/100)))&gt;0)*($D$10:$L$10-($D$9:$L$9+INT(($S$12:$AA$12+INDEX($AJ$13:$AR$162,BN939,0)+INDEX($AT$13:$BB$162,BO939,0)+INDEX($BD$13:$BL$162,BP939,0))/100)))),0)</f>
        <v/>
      </c>
      <c r="BS939">
        <f>IF(926&lt;$U$9,SUMPRODUCT(($D$9:$L$9+INT(($S$12:$AA$12+INDEX($AJ$13:$AR$162,BN939,0)+INDEX($AT$13:$BB$162,BO939,0)+INDEX($BD$13:$BL$162,BP939,0))/100))),0)</f>
        <v/>
      </c>
      <c r="BT939">
        <f>IF(AND(926&lt;$U$9,$W$5),BQ939*1000000-MIN(BR939,999)*1000+BS939-926/100000,-1000000000-926)</f>
        <v/>
      </c>
    </row>
    <row r="940">
      <c r="BN940">
        <f>IF(927&lt;$U$9,INT(927/($U$7*$U$8))+1,1)</f>
        <v/>
      </c>
      <c r="BO940">
        <f>IF(927&lt;$U$9,MOD(INT(927/$U$8),$U$7)+1,1)</f>
        <v/>
      </c>
      <c r="BP940">
        <f>IF(927&lt;$U$9,MOD(927,$U$8)+1,1)</f>
        <v/>
      </c>
      <c r="BQ940">
        <f>IF(927&lt;$U$9,SUMPRODUCT(($D$10:$L$10&lt;&gt;"")*(($D$9:$L$9+INT(($S$12:$AA$12+INDEX($AJ$13:$AR$162,BN940,0)+INDEX($AT$13:$BB$162,BO940,0)+INDEX($BD$13:$BL$162,BP940,0))/100))&gt;=$D$10:$L$10)),0)</f>
        <v/>
      </c>
      <c r="BR940">
        <f>IF(927&lt;$U$9,SUMPRODUCT(($D$10:$L$10&lt;&gt;"")*(($D$10:$L$10-($D$9:$L$9+INT(($S$12:$AA$12+INDEX($AJ$13:$AR$162,BN940,0)+INDEX($AT$13:$BB$162,BO940,0)+INDEX($BD$13:$BL$162,BP940,0))/100)))&gt;0)*($D$10:$L$10-($D$9:$L$9+INT(($S$12:$AA$12+INDEX($AJ$13:$AR$162,BN940,0)+INDEX($AT$13:$BB$162,BO940,0)+INDEX($BD$13:$BL$162,BP940,0))/100)))),0)</f>
        <v/>
      </c>
      <c r="BS940">
        <f>IF(927&lt;$U$9,SUMPRODUCT(($D$9:$L$9+INT(($S$12:$AA$12+INDEX($AJ$13:$AR$162,BN940,0)+INDEX($AT$13:$BB$162,BO940,0)+INDEX($BD$13:$BL$162,BP940,0))/100))),0)</f>
        <v/>
      </c>
      <c r="BT940">
        <f>IF(AND(927&lt;$U$9,$W$5),BQ940*1000000-MIN(BR940,999)*1000+BS940-927/100000,-1000000000-927)</f>
        <v/>
      </c>
    </row>
    <row r="941">
      <c r="BN941">
        <f>IF(928&lt;$U$9,INT(928/($U$7*$U$8))+1,1)</f>
        <v/>
      </c>
      <c r="BO941">
        <f>IF(928&lt;$U$9,MOD(INT(928/$U$8),$U$7)+1,1)</f>
        <v/>
      </c>
      <c r="BP941">
        <f>IF(928&lt;$U$9,MOD(928,$U$8)+1,1)</f>
        <v/>
      </c>
      <c r="BQ941">
        <f>IF(928&lt;$U$9,SUMPRODUCT(($D$10:$L$10&lt;&gt;"")*(($D$9:$L$9+INT(($S$12:$AA$12+INDEX($AJ$13:$AR$162,BN941,0)+INDEX($AT$13:$BB$162,BO941,0)+INDEX($BD$13:$BL$162,BP941,0))/100))&gt;=$D$10:$L$10)),0)</f>
        <v/>
      </c>
      <c r="BR941">
        <f>IF(928&lt;$U$9,SUMPRODUCT(($D$10:$L$10&lt;&gt;"")*(($D$10:$L$10-($D$9:$L$9+INT(($S$12:$AA$12+INDEX($AJ$13:$AR$162,BN941,0)+INDEX($AT$13:$BB$162,BO941,0)+INDEX($BD$13:$BL$162,BP941,0))/100)))&gt;0)*($D$10:$L$10-($D$9:$L$9+INT(($S$12:$AA$12+INDEX($AJ$13:$AR$162,BN941,0)+INDEX($AT$13:$BB$162,BO941,0)+INDEX($BD$13:$BL$162,BP941,0))/100)))),0)</f>
        <v/>
      </c>
      <c r="BS941">
        <f>IF(928&lt;$U$9,SUMPRODUCT(($D$9:$L$9+INT(($S$12:$AA$12+INDEX($AJ$13:$AR$162,BN941,0)+INDEX($AT$13:$BB$162,BO941,0)+INDEX($BD$13:$BL$162,BP941,0))/100))),0)</f>
        <v/>
      </c>
      <c r="BT941">
        <f>IF(AND(928&lt;$U$9,$W$5),BQ941*1000000-MIN(BR941,999)*1000+BS941-928/100000,-1000000000-928)</f>
        <v/>
      </c>
    </row>
    <row r="942">
      <c r="BN942">
        <f>IF(929&lt;$U$9,INT(929/($U$7*$U$8))+1,1)</f>
        <v/>
      </c>
      <c r="BO942">
        <f>IF(929&lt;$U$9,MOD(INT(929/$U$8),$U$7)+1,1)</f>
        <v/>
      </c>
      <c r="BP942">
        <f>IF(929&lt;$U$9,MOD(929,$U$8)+1,1)</f>
        <v/>
      </c>
      <c r="BQ942">
        <f>IF(929&lt;$U$9,SUMPRODUCT(($D$10:$L$10&lt;&gt;"")*(($D$9:$L$9+INT(($S$12:$AA$12+INDEX($AJ$13:$AR$162,BN942,0)+INDEX($AT$13:$BB$162,BO942,0)+INDEX($BD$13:$BL$162,BP942,0))/100))&gt;=$D$10:$L$10)),0)</f>
        <v/>
      </c>
      <c r="BR942">
        <f>IF(929&lt;$U$9,SUMPRODUCT(($D$10:$L$10&lt;&gt;"")*(($D$10:$L$10-($D$9:$L$9+INT(($S$12:$AA$12+INDEX($AJ$13:$AR$162,BN942,0)+INDEX($AT$13:$BB$162,BO942,0)+INDEX($BD$13:$BL$162,BP942,0))/100)))&gt;0)*($D$10:$L$10-($D$9:$L$9+INT(($S$12:$AA$12+INDEX($AJ$13:$AR$162,BN942,0)+INDEX($AT$13:$BB$162,BO942,0)+INDEX($BD$13:$BL$162,BP942,0))/100)))),0)</f>
        <v/>
      </c>
      <c r="BS942">
        <f>IF(929&lt;$U$9,SUMPRODUCT(($D$9:$L$9+INT(($S$12:$AA$12+INDEX($AJ$13:$AR$162,BN942,0)+INDEX($AT$13:$BB$162,BO942,0)+INDEX($BD$13:$BL$162,BP942,0))/100))),0)</f>
        <v/>
      </c>
      <c r="BT942">
        <f>IF(AND(929&lt;$U$9,$W$5),BQ942*1000000-MIN(BR942,999)*1000+BS942-929/100000,-1000000000-929)</f>
        <v/>
      </c>
    </row>
    <row r="943">
      <c r="BN943">
        <f>IF(930&lt;$U$9,INT(930/($U$7*$U$8))+1,1)</f>
        <v/>
      </c>
      <c r="BO943">
        <f>IF(930&lt;$U$9,MOD(INT(930/$U$8),$U$7)+1,1)</f>
        <v/>
      </c>
      <c r="BP943">
        <f>IF(930&lt;$U$9,MOD(930,$U$8)+1,1)</f>
        <v/>
      </c>
      <c r="BQ943">
        <f>IF(930&lt;$U$9,SUMPRODUCT(($D$10:$L$10&lt;&gt;"")*(($D$9:$L$9+INT(($S$12:$AA$12+INDEX($AJ$13:$AR$162,BN943,0)+INDEX($AT$13:$BB$162,BO943,0)+INDEX($BD$13:$BL$162,BP943,0))/100))&gt;=$D$10:$L$10)),0)</f>
        <v/>
      </c>
      <c r="BR943">
        <f>IF(930&lt;$U$9,SUMPRODUCT(($D$10:$L$10&lt;&gt;"")*(($D$10:$L$10-($D$9:$L$9+INT(($S$12:$AA$12+INDEX($AJ$13:$AR$162,BN943,0)+INDEX($AT$13:$BB$162,BO943,0)+INDEX($BD$13:$BL$162,BP943,0))/100)))&gt;0)*($D$10:$L$10-($D$9:$L$9+INT(($S$12:$AA$12+INDEX($AJ$13:$AR$162,BN943,0)+INDEX($AT$13:$BB$162,BO943,0)+INDEX($BD$13:$BL$162,BP943,0))/100)))),0)</f>
        <v/>
      </c>
      <c r="BS943">
        <f>IF(930&lt;$U$9,SUMPRODUCT(($D$9:$L$9+INT(($S$12:$AA$12+INDEX($AJ$13:$AR$162,BN943,0)+INDEX($AT$13:$BB$162,BO943,0)+INDEX($BD$13:$BL$162,BP943,0))/100))),0)</f>
        <v/>
      </c>
      <c r="BT943">
        <f>IF(AND(930&lt;$U$9,$W$5),BQ943*1000000-MIN(BR943,999)*1000+BS943-930/100000,-1000000000-930)</f>
        <v/>
      </c>
    </row>
    <row r="944">
      <c r="BN944">
        <f>IF(931&lt;$U$9,INT(931/($U$7*$U$8))+1,1)</f>
        <v/>
      </c>
      <c r="BO944">
        <f>IF(931&lt;$U$9,MOD(INT(931/$U$8),$U$7)+1,1)</f>
        <v/>
      </c>
      <c r="BP944">
        <f>IF(931&lt;$U$9,MOD(931,$U$8)+1,1)</f>
        <v/>
      </c>
      <c r="BQ944">
        <f>IF(931&lt;$U$9,SUMPRODUCT(($D$10:$L$10&lt;&gt;"")*(($D$9:$L$9+INT(($S$12:$AA$12+INDEX($AJ$13:$AR$162,BN944,0)+INDEX($AT$13:$BB$162,BO944,0)+INDEX($BD$13:$BL$162,BP944,0))/100))&gt;=$D$10:$L$10)),0)</f>
        <v/>
      </c>
      <c r="BR944">
        <f>IF(931&lt;$U$9,SUMPRODUCT(($D$10:$L$10&lt;&gt;"")*(($D$10:$L$10-($D$9:$L$9+INT(($S$12:$AA$12+INDEX($AJ$13:$AR$162,BN944,0)+INDEX($AT$13:$BB$162,BO944,0)+INDEX($BD$13:$BL$162,BP944,0))/100)))&gt;0)*($D$10:$L$10-($D$9:$L$9+INT(($S$12:$AA$12+INDEX($AJ$13:$AR$162,BN944,0)+INDEX($AT$13:$BB$162,BO944,0)+INDEX($BD$13:$BL$162,BP944,0))/100)))),0)</f>
        <v/>
      </c>
      <c r="BS944">
        <f>IF(931&lt;$U$9,SUMPRODUCT(($D$9:$L$9+INT(($S$12:$AA$12+INDEX($AJ$13:$AR$162,BN944,0)+INDEX($AT$13:$BB$162,BO944,0)+INDEX($BD$13:$BL$162,BP944,0))/100))),0)</f>
        <v/>
      </c>
      <c r="BT944">
        <f>IF(AND(931&lt;$U$9,$W$5),BQ944*1000000-MIN(BR944,999)*1000+BS944-931/100000,-1000000000-931)</f>
        <v/>
      </c>
    </row>
    <row r="945">
      <c r="BN945">
        <f>IF(932&lt;$U$9,INT(932/($U$7*$U$8))+1,1)</f>
        <v/>
      </c>
      <c r="BO945">
        <f>IF(932&lt;$U$9,MOD(INT(932/$U$8),$U$7)+1,1)</f>
        <v/>
      </c>
      <c r="BP945">
        <f>IF(932&lt;$U$9,MOD(932,$U$8)+1,1)</f>
        <v/>
      </c>
      <c r="BQ945">
        <f>IF(932&lt;$U$9,SUMPRODUCT(($D$10:$L$10&lt;&gt;"")*(($D$9:$L$9+INT(($S$12:$AA$12+INDEX($AJ$13:$AR$162,BN945,0)+INDEX($AT$13:$BB$162,BO945,0)+INDEX($BD$13:$BL$162,BP945,0))/100))&gt;=$D$10:$L$10)),0)</f>
        <v/>
      </c>
      <c r="BR945">
        <f>IF(932&lt;$U$9,SUMPRODUCT(($D$10:$L$10&lt;&gt;"")*(($D$10:$L$10-($D$9:$L$9+INT(($S$12:$AA$12+INDEX($AJ$13:$AR$162,BN945,0)+INDEX($AT$13:$BB$162,BO945,0)+INDEX($BD$13:$BL$162,BP945,0))/100)))&gt;0)*($D$10:$L$10-($D$9:$L$9+INT(($S$12:$AA$12+INDEX($AJ$13:$AR$162,BN945,0)+INDEX($AT$13:$BB$162,BO945,0)+INDEX($BD$13:$BL$162,BP945,0))/100)))),0)</f>
        <v/>
      </c>
      <c r="BS945">
        <f>IF(932&lt;$U$9,SUMPRODUCT(($D$9:$L$9+INT(($S$12:$AA$12+INDEX($AJ$13:$AR$162,BN945,0)+INDEX($AT$13:$BB$162,BO945,0)+INDEX($BD$13:$BL$162,BP945,0))/100))),0)</f>
        <v/>
      </c>
      <c r="BT945">
        <f>IF(AND(932&lt;$U$9,$W$5),BQ945*1000000-MIN(BR945,999)*1000+BS945-932/100000,-1000000000-932)</f>
        <v/>
      </c>
    </row>
    <row r="946">
      <c r="BN946">
        <f>IF(933&lt;$U$9,INT(933/($U$7*$U$8))+1,1)</f>
        <v/>
      </c>
      <c r="BO946">
        <f>IF(933&lt;$U$9,MOD(INT(933/$U$8),$U$7)+1,1)</f>
        <v/>
      </c>
      <c r="BP946">
        <f>IF(933&lt;$U$9,MOD(933,$U$8)+1,1)</f>
        <v/>
      </c>
      <c r="BQ946">
        <f>IF(933&lt;$U$9,SUMPRODUCT(($D$10:$L$10&lt;&gt;"")*(($D$9:$L$9+INT(($S$12:$AA$12+INDEX($AJ$13:$AR$162,BN946,0)+INDEX($AT$13:$BB$162,BO946,0)+INDEX($BD$13:$BL$162,BP946,0))/100))&gt;=$D$10:$L$10)),0)</f>
        <v/>
      </c>
      <c r="BR946">
        <f>IF(933&lt;$U$9,SUMPRODUCT(($D$10:$L$10&lt;&gt;"")*(($D$10:$L$10-($D$9:$L$9+INT(($S$12:$AA$12+INDEX($AJ$13:$AR$162,BN946,0)+INDEX($AT$13:$BB$162,BO946,0)+INDEX($BD$13:$BL$162,BP946,0))/100)))&gt;0)*($D$10:$L$10-($D$9:$L$9+INT(($S$12:$AA$12+INDEX($AJ$13:$AR$162,BN946,0)+INDEX($AT$13:$BB$162,BO946,0)+INDEX($BD$13:$BL$162,BP946,0))/100)))),0)</f>
        <v/>
      </c>
      <c r="BS946">
        <f>IF(933&lt;$U$9,SUMPRODUCT(($D$9:$L$9+INT(($S$12:$AA$12+INDEX($AJ$13:$AR$162,BN946,0)+INDEX($AT$13:$BB$162,BO946,0)+INDEX($BD$13:$BL$162,BP946,0))/100))),0)</f>
        <v/>
      </c>
      <c r="BT946">
        <f>IF(AND(933&lt;$U$9,$W$5),BQ946*1000000-MIN(BR946,999)*1000+BS946-933/100000,-1000000000-933)</f>
        <v/>
      </c>
    </row>
    <row r="947">
      <c r="BN947">
        <f>IF(934&lt;$U$9,INT(934/($U$7*$U$8))+1,1)</f>
        <v/>
      </c>
      <c r="BO947">
        <f>IF(934&lt;$U$9,MOD(INT(934/$U$8),$U$7)+1,1)</f>
        <v/>
      </c>
      <c r="BP947">
        <f>IF(934&lt;$U$9,MOD(934,$U$8)+1,1)</f>
        <v/>
      </c>
      <c r="BQ947">
        <f>IF(934&lt;$U$9,SUMPRODUCT(($D$10:$L$10&lt;&gt;"")*(($D$9:$L$9+INT(($S$12:$AA$12+INDEX($AJ$13:$AR$162,BN947,0)+INDEX($AT$13:$BB$162,BO947,0)+INDEX($BD$13:$BL$162,BP947,0))/100))&gt;=$D$10:$L$10)),0)</f>
        <v/>
      </c>
      <c r="BR947">
        <f>IF(934&lt;$U$9,SUMPRODUCT(($D$10:$L$10&lt;&gt;"")*(($D$10:$L$10-($D$9:$L$9+INT(($S$12:$AA$12+INDEX($AJ$13:$AR$162,BN947,0)+INDEX($AT$13:$BB$162,BO947,0)+INDEX($BD$13:$BL$162,BP947,0))/100)))&gt;0)*($D$10:$L$10-($D$9:$L$9+INT(($S$12:$AA$12+INDEX($AJ$13:$AR$162,BN947,0)+INDEX($AT$13:$BB$162,BO947,0)+INDEX($BD$13:$BL$162,BP947,0))/100)))),0)</f>
        <v/>
      </c>
      <c r="BS947">
        <f>IF(934&lt;$U$9,SUMPRODUCT(($D$9:$L$9+INT(($S$12:$AA$12+INDEX($AJ$13:$AR$162,BN947,0)+INDEX($AT$13:$BB$162,BO947,0)+INDEX($BD$13:$BL$162,BP947,0))/100))),0)</f>
        <v/>
      </c>
      <c r="BT947">
        <f>IF(AND(934&lt;$U$9,$W$5),BQ947*1000000-MIN(BR947,999)*1000+BS947-934/100000,-1000000000-934)</f>
        <v/>
      </c>
    </row>
    <row r="948">
      <c r="BN948">
        <f>IF(935&lt;$U$9,INT(935/($U$7*$U$8))+1,1)</f>
        <v/>
      </c>
      <c r="BO948">
        <f>IF(935&lt;$U$9,MOD(INT(935/$U$8),$U$7)+1,1)</f>
        <v/>
      </c>
      <c r="BP948">
        <f>IF(935&lt;$U$9,MOD(935,$U$8)+1,1)</f>
        <v/>
      </c>
      <c r="BQ948">
        <f>IF(935&lt;$U$9,SUMPRODUCT(($D$10:$L$10&lt;&gt;"")*(($D$9:$L$9+INT(($S$12:$AA$12+INDEX($AJ$13:$AR$162,BN948,0)+INDEX($AT$13:$BB$162,BO948,0)+INDEX($BD$13:$BL$162,BP948,0))/100))&gt;=$D$10:$L$10)),0)</f>
        <v/>
      </c>
      <c r="BR948">
        <f>IF(935&lt;$U$9,SUMPRODUCT(($D$10:$L$10&lt;&gt;"")*(($D$10:$L$10-($D$9:$L$9+INT(($S$12:$AA$12+INDEX($AJ$13:$AR$162,BN948,0)+INDEX($AT$13:$BB$162,BO948,0)+INDEX($BD$13:$BL$162,BP948,0))/100)))&gt;0)*($D$10:$L$10-($D$9:$L$9+INT(($S$12:$AA$12+INDEX($AJ$13:$AR$162,BN948,0)+INDEX($AT$13:$BB$162,BO948,0)+INDEX($BD$13:$BL$162,BP948,0))/100)))),0)</f>
        <v/>
      </c>
      <c r="BS948">
        <f>IF(935&lt;$U$9,SUMPRODUCT(($D$9:$L$9+INT(($S$12:$AA$12+INDEX($AJ$13:$AR$162,BN948,0)+INDEX($AT$13:$BB$162,BO948,0)+INDEX($BD$13:$BL$162,BP948,0))/100))),0)</f>
        <v/>
      </c>
      <c r="BT948">
        <f>IF(AND(935&lt;$U$9,$W$5),BQ948*1000000-MIN(BR948,999)*1000+BS948-935/100000,-1000000000-935)</f>
        <v/>
      </c>
    </row>
    <row r="949">
      <c r="BN949">
        <f>IF(936&lt;$U$9,INT(936/($U$7*$U$8))+1,1)</f>
        <v/>
      </c>
      <c r="BO949">
        <f>IF(936&lt;$U$9,MOD(INT(936/$U$8),$U$7)+1,1)</f>
        <v/>
      </c>
      <c r="BP949">
        <f>IF(936&lt;$U$9,MOD(936,$U$8)+1,1)</f>
        <v/>
      </c>
      <c r="BQ949">
        <f>IF(936&lt;$U$9,SUMPRODUCT(($D$10:$L$10&lt;&gt;"")*(($D$9:$L$9+INT(($S$12:$AA$12+INDEX($AJ$13:$AR$162,BN949,0)+INDEX($AT$13:$BB$162,BO949,0)+INDEX($BD$13:$BL$162,BP949,0))/100))&gt;=$D$10:$L$10)),0)</f>
        <v/>
      </c>
      <c r="BR949">
        <f>IF(936&lt;$U$9,SUMPRODUCT(($D$10:$L$10&lt;&gt;"")*(($D$10:$L$10-($D$9:$L$9+INT(($S$12:$AA$12+INDEX($AJ$13:$AR$162,BN949,0)+INDEX($AT$13:$BB$162,BO949,0)+INDEX($BD$13:$BL$162,BP949,0))/100)))&gt;0)*($D$10:$L$10-($D$9:$L$9+INT(($S$12:$AA$12+INDEX($AJ$13:$AR$162,BN949,0)+INDEX($AT$13:$BB$162,BO949,0)+INDEX($BD$13:$BL$162,BP949,0))/100)))),0)</f>
        <v/>
      </c>
      <c r="BS949">
        <f>IF(936&lt;$U$9,SUMPRODUCT(($D$9:$L$9+INT(($S$12:$AA$12+INDEX($AJ$13:$AR$162,BN949,0)+INDEX($AT$13:$BB$162,BO949,0)+INDEX($BD$13:$BL$162,BP949,0))/100))),0)</f>
        <v/>
      </c>
      <c r="BT949">
        <f>IF(AND(936&lt;$U$9,$W$5),BQ949*1000000-MIN(BR949,999)*1000+BS949-936/100000,-1000000000-936)</f>
        <v/>
      </c>
    </row>
    <row r="950">
      <c r="BN950">
        <f>IF(937&lt;$U$9,INT(937/($U$7*$U$8))+1,1)</f>
        <v/>
      </c>
      <c r="BO950">
        <f>IF(937&lt;$U$9,MOD(INT(937/$U$8),$U$7)+1,1)</f>
        <v/>
      </c>
      <c r="BP950">
        <f>IF(937&lt;$U$9,MOD(937,$U$8)+1,1)</f>
        <v/>
      </c>
      <c r="BQ950">
        <f>IF(937&lt;$U$9,SUMPRODUCT(($D$10:$L$10&lt;&gt;"")*(($D$9:$L$9+INT(($S$12:$AA$12+INDEX($AJ$13:$AR$162,BN950,0)+INDEX($AT$13:$BB$162,BO950,0)+INDEX($BD$13:$BL$162,BP950,0))/100))&gt;=$D$10:$L$10)),0)</f>
        <v/>
      </c>
      <c r="BR950">
        <f>IF(937&lt;$U$9,SUMPRODUCT(($D$10:$L$10&lt;&gt;"")*(($D$10:$L$10-($D$9:$L$9+INT(($S$12:$AA$12+INDEX($AJ$13:$AR$162,BN950,0)+INDEX($AT$13:$BB$162,BO950,0)+INDEX($BD$13:$BL$162,BP950,0))/100)))&gt;0)*($D$10:$L$10-($D$9:$L$9+INT(($S$12:$AA$12+INDEX($AJ$13:$AR$162,BN950,0)+INDEX($AT$13:$BB$162,BO950,0)+INDEX($BD$13:$BL$162,BP950,0))/100)))),0)</f>
        <v/>
      </c>
      <c r="BS950">
        <f>IF(937&lt;$U$9,SUMPRODUCT(($D$9:$L$9+INT(($S$12:$AA$12+INDEX($AJ$13:$AR$162,BN950,0)+INDEX($AT$13:$BB$162,BO950,0)+INDEX($BD$13:$BL$162,BP950,0))/100))),0)</f>
        <v/>
      </c>
      <c r="BT950">
        <f>IF(AND(937&lt;$U$9,$W$5),BQ950*1000000-MIN(BR950,999)*1000+BS950-937/100000,-1000000000-937)</f>
        <v/>
      </c>
    </row>
    <row r="951">
      <c r="BN951">
        <f>IF(938&lt;$U$9,INT(938/($U$7*$U$8))+1,1)</f>
        <v/>
      </c>
      <c r="BO951">
        <f>IF(938&lt;$U$9,MOD(INT(938/$U$8),$U$7)+1,1)</f>
        <v/>
      </c>
      <c r="BP951">
        <f>IF(938&lt;$U$9,MOD(938,$U$8)+1,1)</f>
        <v/>
      </c>
      <c r="BQ951">
        <f>IF(938&lt;$U$9,SUMPRODUCT(($D$10:$L$10&lt;&gt;"")*(($D$9:$L$9+INT(($S$12:$AA$12+INDEX($AJ$13:$AR$162,BN951,0)+INDEX($AT$13:$BB$162,BO951,0)+INDEX($BD$13:$BL$162,BP951,0))/100))&gt;=$D$10:$L$10)),0)</f>
        <v/>
      </c>
      <c r="BR951">
        <f>IF(938&lt;$U$9,SUMPRODUCT(($D$10:$L$10&lt;&gt;"")*(($D$10:$L$10-($D$9:$L$9+INT(($S$12:$AA$12+INDEX($AJ$13:$AR$162,BN951,0)+INDEX($AT$13:$BB$162,BO951,0)+INDEX($BD$13:$BL$162,BP951,0))/100)))&gt;0)*($D$10:$L$10-($D$9:$L$9+INT(($S$12:$AA$12+INDEX($AJ$13:$AR$162,BN951,0)+INDEX($AT$13:$BB$162,BO951,0)+INDEX($BD$13:$BL$162,BP951,0))/100)))),0)</f>
        <v/>
      </c>
      <c r="BS951">
        <f>IF(938&lt;$U$9,SUMPRODUCT(($D$9:$L$9+INT(($S$12:$AA$12+INDEX($AJ$13:$AR$162,BN951,0)+INDEX($AT$13:$BB$162,BO951,0)+INDEX($BD$13:$BL$162,BP951,0))/100))),0)</f>
        <v/>
      </c>
      <c r="BT951">
        <f>IF(AND(938&lt;$U$9,$W$5),BQ951*1000000-MIN(BR951,999)*1000+BS951-938/100000,-1000000000-938)</f>
        <v/>
      </c>
    </row>
    <row r="952">
      <c r="BN952">
        <f>IF(939&lt;$U$9,INT(939/($U$7*$U$8))+1,1)</f>
        <v/>
      </c>
      <c r="BO952">
        <f>IF(939&lt;$U$9,MOD(INT(939/$U$8),$U$7)+1,1)</f>
        <v/>
      </c>
      <c r="BP952">
        <f>IF(939&lt;$U$9,MOD(939,$U$8)+1,1)</f>
        <v/>
      </c>
      <c r="BQ952">
        <f>IF(939&lt;$U$9,SUMPRODUCT(($D$10:$L$10&lt;&gt;"")*(($D$9:$L$9+INT(($S$12:$AA$12+INDEX($AJ$13:$AR$162,BN952,0)+INDEX($AT$13:$BB$162,BO952,0)+INDEX($BD$13:$BL$162,BP952,0))/100))&gt;=$D$10:$L$10)),0)</f>
        <v/>
      </c>
      <c r="BR952">
        <f>IF(939&lt;$U$9,SUMPRODUCT(($D$10:$L$10&lt;&gt;"")*(($D$10:$L$10-($D$9:$L$9+INT(($S$12:$AA$12+INDEX($AJ$13:$AR$162,BN952,0)+INDEX($AT$13:$BB$162,BO952,0)+INDEX($BD$13:$BL$162,BP952,0))/100)))&gt;0)*($D$10:$L$10-($D$9:$L$9+INT(($S$12:$AA$12+INDEX($AJ$13:$AR$162,BN952,0)+INDEX($AT$13:$BB$162,BO952,0)+INDEX($BD$13:$BL$162,BP952,0))/100)))),0)</f>
        <v/>
      </c>
      <c r="BS952">
        <f>IF(939&lt;$U$9,SUMPRODUCT(($D$9:$L$9+INT(($S$12:$AA$12+INDEX($AJ$13:$AR$162,BN952,0)+INDEX($AT$13:$BB$162,BO952,0)+INDEX($BD$13:$BL$162,BP952,0))/100))),0)</f>
        <v/>
      </c>
      <c r="BT952">
        <f>IF(AND(939&lt;$U$9,$W$5),BQ952*1000000-MIN(BR952,999)*1000+BS952-939/100000,-1000000000-939)</f>
        <v/>
      </c>
    </row>
    <row r="953">
      <c r="BN953">
        <f>IF(940&lt;$U$9,INT(940/($U$7*$U$8))+1,1)</f>
        <v/>
      </c>
      <c r="BO953">
        <f>IF(940&lt;$U$9,MOD(INT(940/$U$8),$U$7)+1,1)</f>
        <v/>
      </c>
      <c r="BP953">
        <f>IF(940&lt;$U$9,MOD(940,$U$8)+1,1)</f>
        <v/>
      </c>
      <c r="BQ953">
        <f>IF(940&lt;$U$9,SUMPRODUCT(($D$10:$L$10&lt;&gt;"")*(($D$9:$L$9+INT(($S$12:$AA$12+INDEX($AJ$13:$AR$162,BN953,0)+INDEX($AT$13:$BB$162,BO953,0)+INDEX($BD$13:$BL$162,BP953,0))/100))&gt;=$D$10:$L$10)),0)</f>
        <v/>
      </c>
      <c r="BR953">
        <f>IF(940&lt;$U$9,SUMPRODUCT(($D$10:$L$10&lt;&gt;"")*(($D$10:$L$10-($D$9:$L$9+INT(($S$12:$AA$12+INDEX($AJ$13:$AR$162,BN953,0)+INDEX($AT$13:$BB$162,BO953,0)+INDEX($BD$13:$BL$162,BP953,0))/100)))&gt;0)*($D$10:$L$10-($D$9:$L$9+INT(($S$12:$AA$12+INDEX($AJ$13:$AR$162,BN953,0)+INDEX($AT$13:$BB$162,BO953,0)+INDEX($BD$13:$BL$162,BP953,0))/100)))),0)</f>
        <v/>
      </c>
      <c r="BS953">
        <f>IF(940&lt;$U$9,SUMPRODUCT(($D$9:$L$9+INT(($S$12:$AA$12+INDEX($AJ$13:$AR$162,BN953,0)+INDEX($AT$13:$BB$162,BO953,0)+INDEX($BD$13:$BL$162,BP953,0))/100))),0)</f>
        <v/>
      </c>
      <c r="BT953">
        <f>IF(AND(940&lt;$U$9,$W$5),BQ953*1000000-MIN(BR953,999)*1000+BS953-940/100000,-1000000000-940)</f>
        <v/>
      </c>
    </row>
    <row r="954">
      <c r="BN954">
        <f>IF(941&lt;$U$9,INT(941/($U$7*$U$8))+1,1)</f>
        <v/>
      </c>
      <c r="BO954">
        <f>IF(941&lt;$U$9,MOD(INT(941/$U$8),$U$7)+1,1)</f>
        <v/>
      </c>
      <c r="BP954">
        <f>IF(941&lt;$U$9,MOD(941,$U$8)+1,1)</f>
        <v/>
      </c>
      <c r="BQ954">
        <f>IF(941&lt;$U$9,SUMPRODUCT(($D$10:$L$10&lt;&gt;"")*(($D$9:$L$9+INT(($S$12:$AA$12+INDEX($AJ$13:$AR$162,BN954,0)+INDEX($AT$13:$BB$162,BO954,0)+INDEX($BD$13:$BL$162,BP954,0))/100))&gt;=$D$10:$L$10)),0)</f>
        <v/>
      </c>
      <c r="BR954">
        <f>IF(941&lt;$U$9,SUMPRODUCT(($D$10:$L$10&lt;&gt;"")*(($D$10:$L$10-($D$9:$L$9+INT(($S$12:$AA$12+INDEX($AJ$13:$AR$162,BN954,0)+INDEX($AT$13:$BB$162,BO954,0)+INDEX($BD$13:$BL$162,BP954,0))/100)))&gt;0)*($D$10:$L$10-($D$9:$L$9+INT(($S$12:$AA$12+INDEX($AJ$13:$AR$162,BN954,0)+INDEX($AT$13:$BB$162,BO954,0)+INDEX($BD$13:$BL$162,BP954,0))/100)))),0)</f>
        <v/>
      </c>
      <c r="BS954">
        <f>IF(941&lt;$U$9,SUMPRODUCT(($D$9:$L$9+INT(($S$12:$AA$12+INDEX($AJ$13:$AR$162,BN954,0)+INDEX($AT$13:$BB$162,BO954,0)+INDEX($BD$13:$BL$162,BP954,0))/100))),0)</f>
        <v/>
      </c>
      <c r="BT954">
        <f>IF(AND(941&lt;$U$9,$W$5),BQ954*1000000-MIN(BR954,999)*1000+BS954-941/100000,-1000000000-941)</f>
        <v/>
      </c>
    </row>
    <row r="955">
      <c r="BN955">
        <f>IF(942&lt;$U$9,INT(942/($U$7*$U$8))+1,1)</f>
        <v/>
      </c>
      <c r="BO955">
        <f>IF(942&lt;$U$9,MOD(INT(942/$U$8),$U$7)+1,1)</f>
        <v/>
      </c>
      <c r="BP955">
        <f>IF(942&lt;$U$9,MOD(942,$U$8)+1,1)</f>
        <v/>
      </c>
      <c r="BQ955">
        <f>IF(942&lt;$U$9,SUMPRODUCT(($D$10:$L$10&lt;&gt;"")*(($D$9:$L$9+INT(($S$12:$AA$12+INDEX($AJ$13:$AR$162,BN955,0)+INDEX($AT$13:$BB$162,BO955,0)+INDEX($BD$13:$BL$162,BP955,0))/100))&gt;=$D$10:$L$10)),0)</f>
        <v/>
      </c>
      <c r="BR955">
        <f>IF(942&lt;$U$9,SUMPRODUCT(($D$10:$L$10&lt;&gt;"")*(($D$10:$L$10-($D$9:$L$9+INT(($S$12:$AA$12+INDEX($AJ$13:$AR$162,BN955,0)+INDEX($AT$13:$BB$162,BO955,0)+INDEX($BD$13:$BL$162,BP955,0))/100)))&gt;0)*($D$10:$L$10-($D$9:$L$9+INT(($S$12:$AA$12+INDEX($AJ$13:$AR$162,BN955,0)+INDEX($AT$13:$BB$162,BO955,0)+INDEX($BD$13:$BL$162,BP955,0))/100)))),0)</f>
        <v/>
      </c>
      <c r="BS955">
        <f>IF(942&lt;$U$9,SUMPRODUCT(($D$9:$L$9+INT(($S$12:$AA$12+INDEX($AJ$13:$AR$162,BN955,0)+INDEX($AT$13:$BB$162,BO955,0)+INDEX($BD$13:$BL$162,BP955,0))/100))),0)</f>
        <v/>
      </c>
      <c r="BT955">
        <f>IF(AND(942&lt;$U$9,$W$5),BQ955*1000000-MIN(BR955,999)*1000+BS955-942/100000,-1000000000-942)</f>
        <v/>
      </c>
    </row>
    <row r="956">
      <c r="BN956">
        <f>IF(943&lt;$U$9,INT(943/($U$7*$U$8))+1,1)</f>
        <v/>
      </c>
      <c r="BO956">
        <f>IF(943&lt;$U$9,MOD(INT(943/$U$8),$U$7)+1,1)</f>
        <v/>
      </c>
      <c r="BP956">
        <f>IF(943&lt;$U$9,MOD(943,$U$8)+1,1)</f>
        <v/>
      </c>
      <c r="BQ956">
        <f>IF(943&lt;$U$9,SUMPRODUCT(($D$10:$L$10&lt;&gt;"")*(($D$9:$L$9+INT(($S$12:$AA$12+INDEX($AJ$13:$AR$162,BN956,0)+INDEX($AT$13:$BB$162,BO956,0)+INDEX($BD$13:$BL$162,BP956,0))/100))&gt;=$D$10:$L$10)),0)</f>
        <v/>
      </c>
      <c r="BR956">
        <f>IF(943&lt;$U$9,SUMPRODUCT(($D$10:$L$10&lt;&gt;"")*(($D$10:$L$10-($D$9:$L$9+INT(($S$12:$AA$12+INDEX($AJ$13:$AR$162,BN956,0)+INDEX($AT$13:$BB$162,BO956,0)+INDEX($BD$13:$BL$162,BP956,0))/100)))&gt;0)*($D$10:$L$10-($D$9:$L$9+INT(($S$12:$AA$12+INDEX($AJ$13:$AR$162,BN956,0)+INDEX($AT$13:$BB$162,BO956,0)+INDEX($BD$13:$BL$162,BP956,0))/100)))),0)</f>
        <v/>
      </c>
      <c r="BS956">
        <f>IF(943&lt;$U$9,SUMPRODUCT(($D$9:$L$9+INT(($S$12:$AA$12+INDEX($AJ$13:$AR$162,BN956,0)+INDEX($AT$13:$BB$162,BO956,0)+INDEX($BD$13:$BL$162,BP956,0))/100))),0)</f>
        <v/>
      </c>
      <c r="BT956">
        <f>IF(AND(943&lt;$U$9,$W$5),BQ956*1000000-MIN(BR956,999)*1000+BS956-943/100000,-1000000000-943)</f>
        <v/>
      </c>
    </row>
    <row r="957">
      <c r="BN957">
        <f>IF(944&lt;$U$9,INT(944/($U$7*$U$8))+1,1)</f>
        <v/>
      </c>
      <c r="BO957">
        <f>IF(944&lt;$U$9,MOD(INT(944/$U$8),$U$7)+1,1)</f>
        <v/>
      </c>
      <c r="BP957">
        <f>IF(944&lt;$U$9,MOD(944,$U$8)+1,1)</f>
        <v/>
      </c>
      <c r="BQ957">
        <f>IF(944&lt;$U$9,SUMPRODUCT(($D$10:$L$10&lt;&gt;"")*(($D$9:$L$9+INT(($S$12:$AA$12+INDEX($AJ$13:$AR$162,BN957,0)+INDEX($AT$13:$BB$162,BO957,0)+INDEX($BD$13:$BL$162,BP957,0))/100))&gt;=$D$10:$L$10)),0)</f>
        <v/>
      </c>
      <c r="BR957">
        <f>IF(944&lt;$U$9,SUMPRODUCT(($D$10:$L$10&lt;&gt;"")*(($D$10:$L$10-($D$9:$L$9+INT(($S$12:$AA$12+INDEX($AJ$13:$AR$162,BN957,0)+INDEX($AT$13:$BB$162,BO957,0)+INDEX($BD$13:$BL$162,BP957,0))/100)))&gt;0)*($D$10:$L$10-($D$9:$L$9+INT(($S$12:$AA$12+INDEX($AJ$13:$AR$162,BN957,0)+INDEX($AT$13:$BB$162,BO957,0)+INDEX($BD$13:$BL$162,BP957,0))/100)))),0)</f>
        <v/>
      </c>
      <c r="BS957">
        <f>IF(944&lt;$U$9,SUMPRODUCT(($D$9:$L$9+INT(($S$12:$AA$12+INDEX($AJ$13:$AR$162,BN957,0)+INDEX($AT$13:$BB$162,BO957,0)+INDEX($BD$13:$BL$162,BP957,0))/100))),0)</f>
        <v/>
      </c>
      <c r="BT957">
        <f>IF(AND(944&lt;$U$9,$W$5),BQ957*1000000-MIN(BR957,999)*1000+BS957-944/100000,-1000000000-944)</f>
        <v/>
      </c>
    </row>
    <row r="958">
      <c r="BN958">
        <f>IF(945&lt;$U$9,INT(945/($U$7*$U$8))+1,1)</f>
        <v/>
      </c>
      <c r="BO958">
        <f>IF(945&lt;$U$9,MOD(INT(945/$U$8),$U$7)+1,1)</f>
        <v/>
      </c>
      <c r="BP958">
        <f>IF(945&lt;$U$9,MOD(945,$U$8)+1,1)</f>
        <v/>
      </c>
      <c r="BQ958">
        <f>IF(945&lt;$U$9,SUMPRODUCT(($D$10:$L$10&lt;&gt;"")*(($D$9:$L$9+INT(($S$12:$AA$12+INDEX($AJ$13:$AR$162,BN958,0)+INDEX($AT$13:$BB$162,BO958,0)+INDEX($BD$13:$BL$162,BP958,0))/100))&gt;=$D$10:$L$10)),0)</f>
        <v/>
      </c>
      <c r="BR958">
        <f>IF(945&lt;$U$9,SUMPRODUCT(($D$10:$L$10&lt;&gt;"")*(($D$10:$L$10-($D$9:$L$9+INT(($S$12:$AA$12+INDEX($AJ$13:$AR$162,BN958,0)+INDEX($AT$13:$BB$162,BO958,0)+INDEX($BD$13:$BL$162,BP958,0))/100)))&gt;0)*($D$10:$L$10-($D$9:$L$9+INT(($S$12:$AA$12+INDEX($AJ$13:$AR$162,BN958,0)+INDEX($AT$13:$BB$162,BO958,0)+INDEX($BD$13:$BL$162,BP958,0))/100)))),0)</f>
        <v/>
      </c>
      <c r="BS958">
        <f>IF(945&lt;$U$9,SUMPRODUCT(($D$9:$L$9+INT(($S$12:$AA$12+INDEX($AJ$13:$AR$162,BN958,0)+INDEX($AT$13:$BB$162,BO958,0)+INDEX($BD$13:$BL$162,BP958,0))/100))),0)</f>
        <v/>
      </c>
      <c r="BT958">
        <f>IF(AND(945&lt;$U$9,$W$5),BQ958*1000000-MIN(BR958,999)*1000+BS958-945/100000,-1000000000-945)</f>
        <v/>
      </c>
    </row>
    <row r="959">
      <c r="BN959">
        <f>IF(946&lt;$U$9,INT(946/($U$7*$U$8))+1,1)</f>
        <v/>
      </c>
      <c r="BO959">
        <f>IF(946&lt;$U$9,MOD(INT(946/$U$8),$U$7)+1,1)</f>
        <v/>
      </c>
      <c r="BP959">
        <f>IF(946&lt;$U$9,MOD(946,$U$8)+1,1)</f>
        <v/>
      </c>
      <c r="BQ959">
        <f>IF(946&lt;$U$9,SUMPRODUCT(($D$10:$L$10&lt;&gt;"")*(($D$9:$L$9+INT(($S$12:$AA$12+INDEX($AJ$13:$AR$162,BN959,0)+INDEX($AT$13:$BB$162,BO959,0)+INDEX($BD$13:$BL$162,BP959,0))/100))&gt;=$D$10:$L$10)),0)</f>
        <v/>
      </c>
      <c r="BR959">
        <f>IF(946&lt;$U$9,SUMPRODUCT(($D$10:$L$10&lt;&gt;"")*(($D$10:$L$10-($D$9:$L$9+INT(($S$12:$AA$12+INDEX($AJ$13:$AR$162,BN959,0)+INDEX($AT$13:$BB$162,BO959,0)+INDEX($BD$13:$BL$162,BP959,0))/100)))&gt;0)*($D$10:$L$10-($D$9:$L$9+INT(($S$12:$AA$12+INDEX($AJ$13:$AR$162,BN959,0)+INDEX($AT$13:$BB$162,BO959,0)+INDEX($BD$13:$BL$162,BP959,0))/100)))),0)</f>
        <v/>
      </c>
      <c r="BS959">
        <f>IF(946&lt;$U$9,SUMPRODUCT(($D$9:$L$9+INT(($S$12:$AA$12+INDEX($AJ$13:$AR$162,BN959,0)+INDEX($AT$13:$BB$162,BO959,0)+INDEX($BD$13:$BL$162,BP959,0))/100))),0)</f>
        <v/>
      </c>
      <c r="BT959">
        <f>IF(AND(946&lt;$U$9,$W$5),BQ959*1000000-MIN(BR959,999)*1000+BS959-946/100000,-1000000000-946)</f>
        <v/>
      </c>
    </row>
    <row r="960">
      <c r="BN960">
        <f>IF(947&lt;$U$9,INT(947/($U$7*$U$8))+1,1)</f>
        <v/>
      </c>
      <c r="BO960">
        <f>IF(947&lt;$U$9,MOD(INT(947/$U$8),$U$7)+1,1)</f>
        <v/>
      </c>
      <c r="BP960">
        <f>IF(947&lt;$U$9,MOD(947,$U$8)+1,1)</f>
        <v/>
      </c>
      <c r="BQ960">
        <f>IF(947&lt;$U$9,SUMPRODUCT(($D$10:$L$10&lt;&gt;"")*(($D$9:$L$9+INT(($S$12:$AA$12+INDEX($AJ$13:$AR$162,BN960,0)+INDEX($AT$13:$BB$162,BO960,0)+INDEX($BD$13:$BL$162,BP960,0))/100))&gt;=$D$10:$L$10)),0)</f>
        <v/>
      </c>
      <c r="BR960">
        <f>IF(947&lt;$U$9,SUMPRODUCT(($D$10:$L$10&lt;&gt;"")*(($D$10:$L$10-($D$9:$L$9+INT(($S$12:$AA$12+INDEX($AJ$13:$AR$162,BN960,0)+INDEX($AT$13:$BB$162,BO960,0)+INDEX($BD$13:$BL$162,BP960,0))/100)))&gt;0)*($D$10:$L$10-($D$9:$L$9+INT(($S$12:$AA$12+INDEX($AJ$13:$AR$162,BN960,0)+INDEX($AT$13:$BB$162,BO960,0)+INDEX($BD$13:$BL$162,BP960,0))/100)))),0)</f>
        <v/>
      </c>
      <c r="BS960">
        <f>IF(947&lt;$U$9,SUMPRODUCT(($D$9:$L$9+INT(($S$12:$AA$12+INDEX($AJ$13:$AR$162,BN960,0)+INDEX($AT$13:$BB$162,BO960,0)+INDEX($BD$13:$BL$162,BP960,0))/100))),0)</f>
        <v/>
      </c>
      <c r="BT960">
        <f>IF(AND(947&lt;$U$9,$W$5),BQ960*1000000-MIN(BR960,999)*1000+BS960-947/100000,-1000000000-947)</f>
        <v/>
      </c>
    </row>
    <row r="961">
      <c r="BN961">
        <f>IF(948&lt;$U$9,INT(948/($U$7*$U$8))+1,1)</f>
        <v/>
      </c>
      <c r="BO961">
        <f>IF(948&lt;$U$9,MOD(INT(948/$U$8),$U$7)+1,1)</f>
        <v/>
      </c>
      <c r="BP961">
        <f>IF(948&lt;$U$9,MOD(948,$U$8)+1,1)</f>
        <v/>
      </c>
      <c r="BQ961">
        <f>IF(948&lt;$U$9,SUMPRODUCT(($D$10:$L$10&lt;&gt;"")*(($D$9:$L$9+INT(($S$12:$AA$12+INDEX($AJ$13:$AR$162,BN961,0)+INDEX($AT$13:$BB$162,BO961,0)+INDEX($BD$13:$BL$162,BP961,0))/100))&gt;=$D$10:$L$10)),0)</f>
        <v/>
      </c>
      <c r="BR961">
        <f>IF(948&lt;$U$9,SUMPRODUCT(($D$10:$L$10&lt;&gt;"")*(($D$10:$L$10-($D$9:$L$9+INT(($S$12:$AA$12+INDEX($AJ$13:$AR$162,BN961,0)+INDEX($AT$13:$BB$162,BO961,0)+INDEX($BD$13:$BL$162,BP961,0))/100)))&gt;0)*($D$10:$L$10-($D$9:$L$9+INT(($S$12:$AA$12+INDEX($AJ$13:$AR$162,BN961,0)+INDEX($AT$13:$BB$162,BO961,0)+INDEX($BD$13:$BL$162,BP961,0))/100)))),0)</f>
        <v/>
      </c>
      <c r="BS961">
        <f>IF(948&lt;$U$9,SUMPRODUCT(($D$9:$L$9+INT(($S$12:$AA$12+INDEX($AJ$13:$AR$162,BN961,0)+INDEX($AT$13:$BB$162,BO961,0)+INDEX($BD$13:$BL$162,BP961,0))/100))),0)</f>
        <v/>
      </c>
      <c r="BT961">
        <f>IF(AND(948&lt;$U$9,$W$5),BQ961*1000000-MIN(BR961,999)*1000+BS961-948/100000,-1000000000-948)</f>
        <v/>
      </c>
    </row>
    <row r="962">
      <c r="BN962">
        <f>IF(949&lt;$U$9,INT(949/($U$7*$U$8))+1,1)</f>
        <v/>
      </c>
      <c r="BO962">
        <f>IF(949&lt;$U$9,MOD(INT(949/$U$8),$U$7)+1,1)</f>
        <v/>
      </c>
      <c r="BP962">
        <f>IF(949&lt;$U$9,MOD(949,$U$8)+1,1)</f>
        <v/>
      </c>
      <c r="BQ962">
        <f>IF(949&lt;$U$9,SUMPRODUCT(($D$10:$L$10&lt;&gt;"")*(($D$9:$L$9+INT(($S$12:$AA$12+INDEX($AJ$13:$AR$162,BN962,0)+INDEX($AT$13:$BB$162,BO962,0)+INDEX($BD$13:$BL$162,BP962,0))/100))&gt;=$D$10:$L$10)),0)</f>
        <v/>
      </c>
      <c r="BR962">
        <f>IF(949&lt;$U$9,SUMPRODUCT(($D$10:$L$10&lt;&gt;"")*(($D$10:$L$10-($D$9:$L$9+INT(($S$12:$AA$12+INDEX($AJ$13:$AR$162,BN962,0)+INDEX($AT$13:$BB$162,BO962,0)+INDEX($BD$13:$BL$162,BP962,0))/100)))&gt;0)*($D$10:$L$10-($D$9:$L$9+INT(($S$12:$AA$12+INDEX($AJ$13:$AR$162,BN962,0)+INDEX($AT$13:$BB$162,BO962,0)+INDEX($BD$13:$BL$162,BP962,0))/100)))),0)</f>
        <v/>
      </c>
      <c r="BS962">
        <f>IF(949&lt;$U$9,SUMPRODUCT(($D$9:$L$9+INT(($S$12:$AA$12+INDEX($AJ$13:$AR$162,BN962,0)+INDEX($AT$13:$BB$162,BO962,0)+INDEX($BD$13:$BL$162,BP962,0))/100))),0)</f>
        <v/>
      </c>
      <c r="BT962">
        <f>IF(AND(949&lt;$U$9,$W$5),BQ962*1000000-MIN(BR962,999)*1000+BS962-949/100000,-1000000000-949)</f>
        <v/>
      </c>
    </row>
    <row r="963">
      <c r="BN963">
        <f>IF(950&lt;$U$9,INT(950/($U$7*$U$8))+1,1)</f>
        <v/>
      </c>
      <c r="BO963">
        <f>IF(950&lt;$U$9,MOD(INT(950/$U$8),$U$7)+1,1)</f>
        <v/>
      </c>
      <c r="BP963">
        <f>IF(950&lt;$U$9,MOD(950,$U$8)+1,1)</f>
        <v/>
      </c>
      <c r="BQ963">
        <f>IF(950&lt;$U$9,SUMPRODUCT(($D$10:$L$10&lt;&gt;"")*(($D$9:$L$9+INT(($S$12:$AA$12+INDEX($AJ$13:$AR$162,BN963,0)+INDEX($AT$13:$BB$162,BO963,0)+INDEX($BD$13:$BL$162,BP963,0))/100))&gt;=$D$10:$L$10)),0)</f>
        <v/>
      </c>
      <c r="BR963">
        <f>IF(950&lt;$U$9,SUMPRODUCT(($D$10:$L$10&lt;&gt;"")*(($D$10:$L$10-($D$9:$L$9+INT(($S$12:$AA$12+INDEX($AJ$13:$AR$162,BN963,0)+INDEX($AT$13:$BB$162,BO963,0)+INDEX($BD$13:$BL$162,BP963,0))/100)))&gt;0)*($D$10:$L$10-($D$9:$L$9+INT(($S$12:$AA$12+INDEX($AJ$13:$AR$162,BN963,0)+INDEX($AT$13:$BB$162,BO963,0)+INDEX($BD$13:$BL$162,BP963,0))/100)))),0)</f>
        <v/>
      </c>
      <c r="BS963">
        <f>IF(950&lt;$U$9,SUMPRODUCT(($D$9:$L$9+INT(($S$12:$AA$12+INDEX($AJ$13:$AR$162,BN963,0)+INDEX($AT$13:$BB$162,BO963,0)+INDEX($BD$13:$BL$162,BP963,0))/100))),0)</f>
        <v/>
      </c>
      <c r="BT963">
        <f>IF(AND(950&lt;$U$9,$W$5),BQ963*1000000-MIN(BR963,999)*1000+BS963-950/100000,-1000000000-950)</f>
        <v/>
      </c>
    </row>
    <row r="964">
      <c r="BN964">
        <f>IF(951&lt;$U$9,INT(951/($U$7*$U$8))+1,1)</f>
        <v/>
      </c>
      <c r="BO964">
        <f>IF(951&lt;$U$9,MOD(INT(951/$U$8),$U$7)+1,1)</f>
        <v/>
      </c>
      <c r="BP964">
        <f>IF(951&lt;$U$9,MOD(951,$U$8)+1,1)</f>
        <v/>
      </c>
      <c r="BQ964">
        <f>IF(951&lt;$U$9,SUMPRODUCT(($D$10:$L$10&lt;&gt;"")*(($D$9:$L$9+INT(($S$12:$AA$12+INDEX($AJ$13:$AR$162,BN964,0)+INDEX($AT$13:$BB$162,BO964,0)+INDEX($BD$13:$BL$162,BP964,0))/100))&gt;=$D$10:$L$10)),0)</f>
        <v/>
      </c>
      <c r="BR964">
        <f>IF(951&lt;$U$9,SUMPRODUCT(($D$10:$L$10&lt;&gt;"")*(($D$10:$L$10-($D$9:$L$9+INT(($S$12:$AA$12+INDEX($AJ$13:$AR$162,BN964,0)+INDEX($AT$13:$BB$162,BO964,0)+INDEX($BD$13:$BL$162,BP964,0))/100)))&gt;0)*($D$10:$L$10-($D$9:$L$9+INT(($S$12:$AA$12+INDEX($AJ$13:$AR$162,BN964,0)+INDEX($AT$13:$BB$162,BO964,0)+INDEX($BD$13:$BL$162,BP964,0))/100)))),0)</f>
        <v/>
      </c>
      <c r="BS964">
        <f>IF(951&lt;$U$9,SUMPRODUCT(($D$9:$L$9+INT(($S$12:$AA$12+INDEX($AJ$13:$AR$162,BN964,0)+INDEX($AT$13:$BB$162,BO964,0)+INDEX($BD$13:$BL$162,BP964,0))/100))),0)</f>
        <v/>
      </c>
      <c r="BT964">
        <f>IF(AND(951&lt;$U$9,$W$5),BQ964*1000000-MIN(BR964,999)*1000+BS964-951/100000,-1000000000-951)</f>
        <v/>
      </c>
    </row>
    <row r="965">
      <c r="BN965">
        <f>IF(952&lt;$U$9,INT(952/($U$7*$U$8))+1,1)</f>
        <v/>
      </c>
      <c r="BO965">
        <f>IF(952&lt;$U$9,MOD(INT(952/$U$8),$U$7)+1,1)</f>
        <v/>
      </c>
      <c r="BP965">
        <f>IF(952&lt;$U$9,MOD(952,$U$8)+1,1)</f>
        <v/>
      </c>
      <c r="BQ965">
        <f>IF(952&lt;$U$9,SUMPRODUCT(($D$10:$L$10&lt;&gt;"")*(($D$9:$L$9+INT(($S$12:$AA$12+INDEX($AJ$13:$AR$162,BN965,0)+INDEX($AT$13:$BB$162,BO965,0)+INDEX($BD$13:$BL$162,BP965,0))/100))&gt;=$D$10:$L$10)),0)</f>
        <v/>
      </c>
      <c r="BR965">
        <f>IF(952&lt;$U$9,SUMPRODUCT(($D$10:$L$10&lt;&gt;"")*(($D$10:$L$10-($D$9:$L$9+INT(($S$12:$AA$12+INDEX($AJ$13:$AR$162,BN965,0)+INDEX($AT$13:$BB$162,BO965,0)+INDEX($BD$13:$BL$162,BP965,0))/100)))&gt;0)*($D$10:$L$10-($D$9:$L$9+INT(($S$12:$AA$12+INDEX($AJ$13:$AR$162,BN965,0)+INDEX($AT$13:$BB$162,BO965,0)+INDEX($BD$13:$BL$162,BP965,0))/100)))),0)</f>
        <v/>
      </c>
      <c r="BS965">
        <f>IF(952&lt;$U$9,SUMPRODUCT(($D$9:$L$9+INT(($S$12:$AA$12+INDEX($AJ$13:$AR$162,BN965,0)+INDEX($AT$13:$BB$162,BO965,0)+INDEX($BD$13:$BL$162,BP965,0))/100))),0)</f>
        <v/>
      </c>
      <c r="BT965">
        <f>IF(AND(952&lt;$U$9,$W$5),BQ965*1000000-MIN(BR965,999)*1000+BS965-952/100000,-1000000000-952)</f>
        <v/>
      </c>
    </row>
    <row r="966">
      <c r="BN966">
        <f>IF(953&lt;$U$9,INT(953/($U$7*$U$8))+1,1)</f>
        <v/>
      </c>
      <c r="BO966">
        <f>IF(953&lt;$U$9,MOD(INT(953/$U$8),$U$7)+1,1)</f>
        <v/>
      </c>
      <c r="BP966">
        <f>IF(953&lt;$U$9,MOD(953,$U$8)+1,1)</f>
        <v/>
      </c>
      <c r="BQ966">
        <f>IF(953&lt;$U$9,SUMPRODUCT(($D$10:$L$10&lt;&gt;"")*(($D$9:$L$9+INT(($S$12:$AA$12+INDEX($AJ$13:$AR$162,BN966,0)+INDEX($AT$13:$BB$162,BO966,0)+INDEX($BD$13:$BL$162,BP966,0))/100))&gt;=$D$10:$L$10)),0)</f>
        <v/>
      </c>
      <c r="BR966">
        <f>IF(953&lt;$U$9,SUMPRODUCT(($D$10:$L$10&lt;&gt;"")*(($D$10:$L$10-($D$9:$L$9+INT(($S$12:$AA$12+INDEX($AJ$13:$AR$162,BN966,0)+INDEX($AT$13:$BB$162,BO966,0)+INDEX($BD$13:$BL$162,BP966,0))/100)))&gt;0)*($D$10:$L$10-($D$9:$L$9+INT(($S$12:$AA$12+INDEX($AJ$13:$AR$162,BN966,0)+INDEX($AT$13:$BB$162,BO966,0)+INDEX($BD$13:$BL$162,BP966,0))/100)))),0)</f>
        <v/>
      </c>
      <c r="BS966">
        <f>IF(953&lt;$U$9,SUMPRODUCT(($D$9:$L$9+INT(($S$12:$AA$12+INDEX($AJ$13:$AR$162,BN966,0)+INDEX($AT$13:$BB$162,BO966,0)+INDEX($BD$13:$BL$162,BP966,0))/100))),0)</f>
        <v/>
      </c>
      <c r="BT966">
        <f>IF(AND(953&lt;$U$9,$W$5),BQ966*1000000-MIN(BR966,999)*1000+BS966-953/100000,-1000000000-953)</f>
        <v/>
      </c>
    </row>
    <row r="967">
      <c r="BN967">
        <f>IF(954&lt;$U$9,INT(954/($U$7*$U$8))+1,1)</f>
        <v/>
      </c>
      <c r="BO967">
        <f>IF(954&lt;$U$9,MOD(INT(954/$U$8),$U$7)+1,1)</f>
        <v/>
      </c>
      <c r="BP967">
        <f>IF(954&lt;$U$9,MOD(954,$U$8)+1,1)</f>
        <v/>
      </c>
      <c r="BQ967">
        <f>IF(954&lt;$U$9,SUMPRODUCT(($D$10:$L$10&lt;&gt;"")*(($D$9:$L$9+INT(($S$12:$AA$12+INDEX($AJ$13:$AR$162,BN967,0)+INDEX($AT$13:$BB$162,BO967,0)+INDEX($BD$13:$BL$162,BP967,0))/100))&gt;=$D$10:$L$10)),0)</f>
        <v/>
      </c>
      <c r="BR967">
        <f>IF(954&lt;$U$9,SUMPRODUCT(($D$10:$L$10&lt;&gt;"")*(($D$10:$L$10-($D$9:$L$9+INT(($S$12:$AA$12+INDEX($AJ$13:$AR$162,BN967,0)+INDEX($AT$13:$BB$162,BO967,0)+INDEX($BD$13:$BL$162,BP967,0))/100)))&gt;0)*($D$10:$L$10-($D$9:$L$9+INT(($S$12:$AA$12+INDEX($AJ$13:$AR$162,BN967,0)+INDEX($AT$13:$BB$162,BO967,0)+INDEX($BD$13:$BL$162,BP967,0))/100)))),0)</f>
        <v/>
      </c>
      <c r="BS967">
        <f>IF(954&lt;$U$9,SUMPRODUCT(($D$9:$L$9+INT(($S$12:$AA$12+INDEX($AJ$13:$AR$162,BN967,0)+INDEX($AT$13:$BB$162,BO967,0)+INDEX($BD$13:$BL$162,BP967,0))/100))),0)</f>
        <v/>
      </c>
      <c r="BT967">
        <f>IF(AND(954&lt;$U$9,$W$5),BQ967*1000000-MIN(BR967,999)*1000+BS967-954/100000,-1000000000-954)</f>
        <v/>
      </c>
    </row>
    <row r="968">
      <c r="BN968">
        <f>IF(955&lt;$U$9,INT(955/($U$7*$U$8))+1,1)</f>
        <v/>
      </c>
      <c r="BO968">
        <f>IF(955&lt;$U$9,MOD(INT(955/$U$8),$U$7)+1,1)</f>
        <v/>
      </c>
      <c r="BP968">
        <f>IF(955&lt;$U$9,MOD(955,$U$8)+1,1)</f>
        <v/>
      </c>
      <c r="BQ968">
        <f>IF(955&lt;$U$9,SUMPRODUCT(($D$10:$L$10&lt;&gt;"")*(($D$9:$L$9+INT(($S$12:$AA$12+INDEX($AJ$13:$AR$162,BN968,0)+INDEX($AT$13:$BB$162,BO968,0)+INDEX($BD$13:$BL$162,BP968,0))/100))&gt;=$D$10:$L$10)),0)</f>
        <v/>
      </c>
      <c r="BR968">
        <f>IF(955&lt;$U$9,SUMPRODUCT(($D$10:$L$10&lt;&gt;"")*(($D$10:$L$10-($D$9:$L$9+INT(($S$12:$AA$12+INDEX($AJ$13:$AR$162,BN968,0)+INDEX($AT$13:$BB$162,BO968,0)+INDEX($BD$13:$BL$162,BP968,0))/100)))&gt;0)*($D$10:$L$10-($D$9:$L$9+INT(($S$12:$AA$12+INDEX($AJ$13:$AR$162,BN968,0)+INDEX($AT$13:$BB$162,BO968,0)+INDEX($BD$13:$BL$162,BP968,0))/100)))),0)</f>
        <v/>
      </c>
      <c r="BS968">
        <f>IF(955&lt;$U$9,SUMPRODUCT(($D$9:$L$9+INT(($S$12:$AA$12+INDEX($AJ$13:$AR$162,BN968,0)+INDEX($AT$13:$BB$162,BO968,0)+INDEX($BD$13:$BL$162,BP968,0))/100))),0)</f>
        <v/>
      </c>
      <c r="BT968">
        <f>IF(AND(955&lt;$U$9,$W$5),BQ968*1000000-MIN(BR968,999)*1000+BS968-955/100000,-1000000000-955)</f>
        <v/>
      </c>
    </row>
    <row r="969">
      <c r="BN969">
        <f>IF(956&lt;$U$9,INT(956/($U$7*$U$8))+1,1)</f>
        <v/>
      </c>
      <c r="BO969">
        <f>IF(956&lt;$U$9,MOD(INT(956/$U$8),$U$7)+1,1)</f>
        <v/>
      </c>
      <c r="BP969">
        <f>IF(956&lt;$U$9,MOD(956,$U$8)+1,1)</f>
        <v/>
      </c>
      <c r="BQ969">
        <f>IF(956&lt;$U$9,SUMPRODUCT(($D$10:$L$10&lt;&gt;"")*(($D$9:$L$9+INT(($S$12:$AA$12+INDEX($AJ$13:$AR$162,BN969,0)+INDEX($AT$13:$BB$162,BO969,0)+INDEX($BD$13:$BL$162,BP969,0))/100))&gt;=$D$10:$L$10)),0)</f>
        <v/>
      </c>
      <c r="BR969">
        <f>IF(956&lt;$U$9,SUMPRODUCT(($D$10:$L$10&lt;&gt;"")*(($D$10:$L$10-($D$9:$L$9+INT(($S$12:$AA$12+INDEX($AJ$13:$AR$162,BN969,0)+INDEX($AT$13:$BB$162,BO969,0)+INDEX($BD$13:$BL$162,BP969,0))/100)))&gt;0)*($D$10:$L$10-($D$9:$L$9+INT(($S$12:$AA$12+INDEX($AJ$13:$AR$162,BN969,0)+INDEX($AT$13:$BB$162,BO969,0)+INDEX($BD$13:$BL$162,BP969,0))/100)))),0)</f>
        <v/>
      </c>
      <c r="BS969">
        <f>IF(956&lt;$U$9,SUMPRODUCT(($D$9:$L$9+INT(($S$12:$AA$12+INDEX($AJ$13:$AR$162,BN969,0)+INDEX($AT$13:$BB$162,BO969,0)+INDEX($BD$13:$BL$162,BP969,0))/100))),0)</f>
        <v/>
      </c>
      <c r="BT969">
        <f>IF(AND(956&lt;$U$9,$W$5),BQ969*1000000-MIN(BR969,999)*1000+BS969-956/100000,-1000000000-956)</f>
        <v/>
      </c>
    </row>
    <row r="970">
      <c r="BN970">
        <f>IF(957&lt;$U$9,INT(957/($U$7*$U$8))+1,1)</f>
        <v/>
      </c>
      <c r="BO970">
        <f>IF(957&lt;$U$9,MOD(INT(957/$U$8),$U$7)+1,1)</f>
        <v/>
      </c>
      <c r="BP970">
        <f>IF(957&lt;$U$9,MOD(957,$U$8)+1,1)</f>
        <v/>
      </c>
      <c r="BQ970">
        <f>IF(957&lt;$U$9,SUMPRODUCT(($D$10:$L$10&lt;&gt;"")*(($D$9:$L$9+INT(($S$12:$AA$12+INDEX($AJ$13:$AR$162,BN970,0)+INDEX($AT$13:$BB$162,BO970,0)+INDEX($BD$13:$BL$162,BP970,0))/100))&gt;=$D$10:$L$10)),0)</f>
        <v/>
      </c>
      <c r="BR970">
        <f>IF(957&lt;$U$9,SUMPRODUCT(($D$10:$L$10&lt;&gt;"")*(($D$10:$L$10-($D$9:$L$9+INT(($S$12:$AA$12+INDEX($AJ$13:$AR$162,BN970,0)+INDEX($AT$13:$BB$162,BO970,0)+INDEX($BD$13:$BL$162,BP970,0))/100)))&gt;0)*($D$10:$L$10-($D$9:$L$9+INT(($S$12:$AA$12+INDEX($AJ$13:$AR$162,BN970,0)+INDEX($AT$13:$BB$162,BO970,0)+INDEX($BD$13:$BL$162,BP970,0))/100)))),0)</f>
        <v/>
      </c>
      <c r="BS970">
        <f>IF(957&lt;$U$9,SUMPRODUCT(($D$9:$L$9+INT(($S$12:$AA$12+INDEX($AJ$13:$AR$162,BN970,0)+INDEX($AT$13:$BB$162,BO970,0)+INDEX($BD$13:$BL$162,BP970,0))/100))),0)</f>
        <v/>
      </c>
      <c r="BT970">
        <f>IF(AND(957&lt;$U$9,$W$5),BQ970*1000000-MIN(BR970,999)*1000+BS970-957/100000,-1000000000-957)</f>
        <v/>
      </c>
    </row>
    <row r="971">
      <c r="BN971">
        <f>IF(958&lt;$U$9,INT(958/($U$7*$U$8))+1,1)</f>
        <v/>
      </c>
      <c r="BO971">
        <f>IF(958&lt;$U$9,MOD(INT(958/$U$8),$U$7)+1,1)</f>
        <v/>
      </c>
      <c r="BP971">
        <f>IF(958&lt;$U$9,MOD(958,$U$8)+1,1)</f>
        <v/>
      </c>
      <c r="BQ971">
        <f>IF(958&lt;$U$9,SUMPRODUCT(($D$10:$L$10&lt;&gt;"")*(($D$9:$L$9+INT(($S$12:$AA$12+INDEX($AJ$13:$AR$162,BN971,0)+INDEX($AT$13:$BB$162,BO971,0)+INDEX($BD$13:$BL$162,BP971,0))/100))&gt;=$D$10:$L$10)),0)</f>
        <v/>
      </c>
      <c r="BR971">
        <f>IF(958&lt;$U$9,SUMPRODUCT(($D$10:$L$10&lt;&gt;"")*(($D$10:$L$10-($D$9:$L$9+INT(($S$12:$AA$12+INDEX($AJ$13:$AR$162,BN971,0)+INDEX($AT$13:$BB$162,BO971,0)+INDEX($BD$13:$BL$162,BP971,0))/100)))&gt;0)*($D$10:$L$10-($D$9:$L$9+INT(($S$12:$AA$12+INDEX($AJ$13:$AR$162,BN971,0)+INDEX($AT$13:$BB$162,BO971,0)+INDEX($BD$13:$BL$162,BP971,0))/100)))),0)</f>
        <v/>
      </c>
      <c r="BS971">
        <f>IF(958&lt;$U$9,SUMPRODUCT(($D$9:$L$9+INT(($S$12:$AA$12+INDEX($AJ$13:$AR$162,BN971,0)+INDEX($AT$13:$BB$162,BO971,0)+INDEX($BD$13:$BL$162,BP971,0))/100))),0)</f>
        <v/>
      </c>
      <c r="BT971">
        <f>IF(AND(958&lt;$U$9,$W$5),BQ971*1000000-MIN(BR971,999)*1000+BS971-958/100000,-1000000000-958)</f>
        <v/>
      </c>
    </row>
    <row r="972">
      <c r="BN972">
        <f>IF(959&lt;$U$9,INT(959/($U$7*$U$8))+1,1)</f>
        <v/>
      </c>
      <c r="BO972">
        <f>IF(959&lt;$U$9,MOD(INT(959/$U$8),$U$7)+1,1)</f>
        <v/>
      </c>
      <c r="BP972">
        <f>IF(959&lt;$U$9,MOD(959,$U$8)+1,1)</f>
        <v/>
      </c>
      <c r="BQ972">
        <f>IF(959&lt;$U$9,SUMPRODUCT(($D$10:$L$10&lt;&gt;"")*(($D$9:$L$9+INT(($S$12:$AA$12+INDEX($AJ$13:$AR$162,BN972,0)+INDEX($AT$13:$BB$162,BO972,0)+INDEX($BD$13:$BL$162,BP972,0))/100))&gt;=$D$10:$L$10)),0)</f>
        <v/>
      </c>
      <c r="BR972">
        <f>IF(959&lt;$U$9,SUMPRODUCT(($D$10:$L$10&lt;&gt;"")*(($D$10:$L$10-($D$9:$L$9+INT(($S$12:$AA$12+INDEX($AJ$13:$AR$162,BN972,0)+INDEX($AT$13:$BB$162,BO972,0)+INDEX($BD$13:$BL$162,BP972,0))/100)))&gt;0)*($D$10:$L$10-($D$9:$L$9+INT(($S$12:$AA$12+INDEX($AJ$13:$AR$162,BN972,0)+INDEX($AT$13:$BB$162,BO972,0)+INDEX($BD$13:$BL$162,BP972,0))/100)))),0)</f>
        <v/>
      </c>
      <c r="BS972">
        <f>IF(959&lt;$U$9,SUMPRODUCT(($D$9:$L$9+INT(($S$12:$AA$12+INDEX($AJ$13:$AR$162,BN972,0)+INDEX($AT$13:$BB$162,BO972,0)+INDEX($BD$13:$BL$162,BP972,0))/100))),0)</f>
        <v/>
      </c>
      <c r="BT972">
        <f>IF(AND(959&lt;$U$9,$W$5),BQ972*1000000-MIN(BR972,999)*1000+BS972-959/100000,-1000000000-959)</f>
        <v/>
      </c>
    </row>
    <row r="973">
      <c r="BN973">
        <f>IF(960&lt;$U$9,INT(960/($U$7*$U$8))+1,1)</f>
        <v/>
      </c>
      <c r="BO973">
        <f>IF(960&lt;$U$9,MOD(INT(960/$U$8),$U$7)+1,1)</f>
        <v/>
      </c>
      <c r="BP973">
        <f>IF(960&lt;$U$9,MOD(960,$U$8)+1,1)</f>
        <v/>
      </c>
      <c r="BQ973">
        <f>IF(960&lt;$U$9,SUMPRODUCT(($D$10:$L$10&lt;&gt;"")*(($D$9:$L$9+INT(($S$12:$AA$12+INDEX($AJ$13:$AR$162,BN973,0)+INDEX($AT$13:$BB$162,BO973,0)+INDEX($BD$13:$BL$162,BP973,0))/100))&gt;=$D$10:$L$10)),0)</f>
        <v/>
      </c>
      <c r="BR973">
        <f>IF(960&lt;$U$9,SUMPRODUCT(($D$10:$L$10&lt;&gt;"")*(($D$10:$L$10-($D$9:$L$9+INT(($S$12:$AA$12+INDEX($AJ$13:$AR$162,BN973,0)+INDEX($AT$13:$BB$162,BO973,0)+INDEX($BD$13:$BL$162,BP973,0))/100)))&gt;0)*($D$10:$L$10-($D$9:$L$9+INT(($S$12:$AA$12+INDEX($AJ$13:$AR$162,BN973,0)+INDEX($AT$13:$BB$162,BO973,0)+INDEX($BD$13:$BL$162,BP973,0))/100)))),0)</f>
        <v/>
      </c>
      <c r="BS973">
        <f>IF(960&lt;$U$9,SUMPRODUCT(($D$9:$L$9+INT(($S$12:$AA$12+INDEX($AJ$13:$AR$162,BN973,0)+INDEX($AT$13:$BB$162,BO973,0)+INDEX($BD$13:$BL$162,BP973,0))/100))),0)</f>
        <v/>
      </c>
      <c r="BT973">
        <f>IF(AND(960&lt;$U$9,$W$5),BQ973*1000000-MIN(BR973,999)*1000+BS973-960/100000,-1000000000-960)</f>
        <v/>
      </c>
    </row>
    <row r="974">
      <c r="BN974">
        <f>IF(961&lt;$U$9,INT(961/($U$7*$U$8))+1,1)</f>
        <v/>
      </c>
      <c r="BO974">
        <f>IF(961&lt;$U$9,MOD(INT(961/$U$8),$U$7)+1,1)</f>
        <v/>
      </c>
      <c r="BP974">
        <f>IF(961&lt;$U$9,MOD(961,$U$8)+1,1)</f>
        <v/>
      </c>
      <c r="BQ974">
        <f>IF(961&lt;$U$9,SUMPRODUCT(($D$10:$L$10&lt;&gt;"")*(($D$9:$L$9+INT(($S$12:$AA$12+INDEX($AJ$13:$AR$162,BN974,0)+INDEX($AT$13:$BB$162,BO974,0)+INDEX($BD$13:$BL$162,BP974,0))/100))&gt;=$D$10:$L$10)),0)</f>
        <v/>
      </c>
      <c r="BR974">
        <f>IF(961&lt;$U$9,SUMPRODUCT(($D$10:$L$10&lt;&gt;"")*(($D$10:$L$10-($D$9:$L$9+INT(($S$12:$AA$12+INDEX($AJ$13:$AR$162,BN974,0)+INDEX($AT$13:$BB$162,BO974,0)+INDEX($BD$13:$BL$162,BP974,0))/100)))&gt;0)*($D$10:$L$10-($D$9:$L$9+INT(($S$12:$AA$12+INDEX($AJ$13:$AR$162,BN974,0)+INDEX($AT$13:$BB$162,BO974,0)+INDEX($BD$13:$BL$162,BP974,0))/100)))),0)</f>
        <v/>
      </c>
      <c r="BS974">
        <f>IF(961&lt;$U$9,SUMPRODUCT(($D$9:$L$9+INT(($S$12:$AA$12+INDEX($AJ$13:$AR$162,BN974,0)+INDEX($AT$13:$BB$162,BO974,0)+INDEX($BD$13:$BL$162,BP974,0))/100))),0)</f>
        <v/>
      </c>
      <c r="BT974">
        <f>IF(AND(961&lt;$U$9,$W$5),BQ974*1000000-MIN(BR974,999)*1000+BS974-961/100000,-1000000000-961)</f>
        <v/>
      </c>
    </row>
    <row r="975">
      <c r="BN975">
        <f>IF(962&lt;$U$9,INT(962/($U$7*$U$8))+1,1)</f>
        <v/>
      </c>
      <c r="BO975">
        <f>IF(962&lt;$U$9,MOD(INT(962/$U$8),$U$7)+1,1)</f>
        <v/>
      </c>
      <c r="BP975">
        <f>IF(962&lt;$U$9,MOD(962,$U$8)+1,1)</f>
        <v/>
      </c>
      <c r="BQ975">
        <f>IF(962&lt;$U$9,SUMPRODUCT(($D$10:$L$10&lt;&gt;"")*(($D$9:$L$9+INT(($S$12:$AA$12+INDEX($AJ$13:$AR$162,BN975,0)+INDEX($AT$13:$BB$162,BO975,0)+INDEX($BD$13:$BL$162,BP975,0))/100))&gt;=$D$10:$L$10)),0)</f>
        <v/>
      </c>
      <c r="BR975">
        <f>IF(962&lt;$U$9,SUMPRODUCT(($D$10:$L$10&lt;&gt;"")*(($D$10:$L$10-($D$9:$L$9+INT(($S$12:$AA$12+INDEX($AJ$13:$AR$162,BN975,0)+INDEX($AT$13:$BB$162,BO975,0)+INDEX($BD$13:$BL$162,BP975,0))/100)))&gt;0)*($D$10:$L$10-($D$9:$L$9+INT(($S$12:$AA$12+INDEX($AJ$13:$AR$162,BN975,0)+INDEX($AT$13:$BB$162,BO975,0)+INDEX($BD$13:$BL$162,BP975,0))/100)))),0)</f>
        <v/>
      </c>
      <c r="BS975">
        <f>IF(962&lt;$U$9,SUMPRODUCT(($D$9:$L$9+INT(($S$12:$AA$12+INDEX($AJ$13:$AR$162,BN975,0)+INDEX($AT$13:$BB$162,BO975,0)+INDEX($BD$13:$BL$162,BP975,0))/100))),0)</f>
        <v/>
      </c>
      <c r="BT975">
        <f>IF(AND(962&lt;$U$9,$W$5),BQ975*1000000-MIN(BR975,999)*1000+BS975-962/100000,-1000000000-962)</f>
        <v/>
      </c>
    </row>
    <row r="976">
      <c r="BN976">
        <f>IF(963&lt;$U$9,INT(963/($U$7*$U$8))+1,1)</f>
        <v/>
      </c>
      <c r="BO976">
        <f>IF(963&lt;$U$9,MOD(INT(963/$U$8),$U$7)+1,1)</f>
        <v/>
      </c>
      <c r="BP976">
        <f>IF(963&lt;$U$9,MOD(963,$U$8)+1,1)</f>
        <v/>
      </c>
      <c r="BQ976">
        <f>IF(963&lt;$U$9,SUMPRODUCT(($D$10:$L$10&lt;&gt;"")*(($D$9:$L$9+INT(($S$12:$AA$12+INDEX($AJ$13:$AR$162,BN976,0)+INDEX($AT$13:$BB$162,BO976,0)+INDEX($BD$13:$BL$162,BP976,0))/100))&gt;=$D$10:$L$10)),0)</f>
        <v/>
      </c>
      <c r="BR976">
        <f>IF(963&lt;$U$9,SUMPRODUCT(($D$10:$L$10&lt;&gt;"")*(($D$10:$L$10-($D$9:$L$9+INT(($S$12:$AA$12+INDEX($AJ$13:$AR$162,BN976,0)+INDEX($AT$13:$BB$162,BO976,0)+INDEX($BD$13:$BL$162,BP976,0))/100)))&gt;0)*($D$10:$L$10-($D$9:$L$9+INT(($S$12:$AA$12+INDEX($AJ$13:$AR$162,BN976,0)+INDEX($AT$13:$BB$162,BO976,0)+INDEX($BD$13:$BL$162,BP976,0))/100)))),0)</f>
        <v/>
      </c>
      <c r="BS976">
        <f>IF(963&lt;$U$9,SUMPRODUCT(($D$9:$L$9+INT(($S$12:$AA$12+INDEX($AJ$13:$AR$162,BN976,0)+INDEX($AT$13:$BB$162,BO976,0)+INDEX($BD$13:$BL$162,BP976,0))/100))),0)</f>
        <v/>
      </c>
      <c r="BT976">
        <f>IF(AND(963&lt;$U$9,$W$5),BQ976*1000000-MIN(BR976,999)*1000+BS976-963/100000,-1000000000-963)</f>
        <v/>
      </c>
    </row>
    <row r="977">
      <c r="BN977">
        <f>IF(964&lt;$U$9,INT(964/($U$7*$U$8))+1,1)</f>
        <v/>
      </c>
      <c r="BO977">
        <f>IF(964&lt;$U$9,MOD(INT(964/$U$8),$U$7)+1,1)</f>
        <v/>
      </c>
      <c r="BP977">
        <f>IF(964&lt;$U$9,MOD(964,$U$8)+1,1)</f>
        <v/>
      </c>
      <c r="BQ977">
        <f>IF(964&lt;$U$9,SUMPRODUCT(($D$10:$L$10&lt;&gt;"")*(($D$9:$L$9+INT(($S$12:$AA$12+INDEX($AJ$13:$AR$162,BN977,0)+INDEX($AT$13:$BB$162,BO977,0)+INDEX($BD$13:$BL$162,BP977,0))/100))&gt;=$D$10:$L$10)),0)</f>
        <v/>
      </c>
      <c r="BR977">
        <f>IF(964&lt;$U$9,SUMPRODUCT(($D$10:$L$10&lt;&gt;"")*(($D$10:$L$10-($D$9:$L$9+INT(($S$12:$AA$12+INDEX($AJ$13:$AR$162,BN977,0)+INDEX($AT$13:$BB$162,BO977,0)+INDEX($BD$13:$BL$162,BP977,0))/100)))&gt;0)*($D$10:$L$10-($D$9:$L$9+INT(($S$12:$AA$12+INDEX($AJ$13:$AR$162,BN977,0)+INDEX($AT$13:$BB$162,BO977,0)+INDEX($BD$13:$BL$162,BP977,0))/100)))),0)</f>
        <v/>
      </c>
      <c r="BS977">
        <f>IF(964&lt;$U$9,SUMPRODUCT(($D$9:$L$9+INT(($S$12:$AA$12+INDEX($AJ$13:$AR$162,BN977,0)+INDEX($AT$13:$BB$162,BO977,0)+INDEX($BD$13:$BL$162,BP977,0))/100))),0)</f>
        <v/>
      </c>
      <c r="BT977">
        <f>IF(AND(964&lt;$U$9,$W$5),BQ977*1000000-MIN(BR977,999)*1000+BS977-964/100000,-1000000000-964)</f>
        <v/>
      </c>
    </row>
    <row r="978">
      <c r="BN978">
        <f>IF(965&lt;$U$9,INT(965/($U$7*$U$8))+1,1)</f>
        <v/>
      </c>
      <c r="BO978">
        <f>IF(965&lt;$U$9,MOD(INT(965/$U$8),$U$7)+1,1)</f>
        <v/>
      </c>
      <c r="BP978">
        <f>IF(965&lt;$U$9,MOD(965,$U$8)+1,1)</f>
        <v/>
      </c>
      <c r="BQ978">
        <f>IF(965&lt;$U$9,SUMPRODUCT(($D$10:$L$10&lt;&gt;"")*(($D$9:$L$9+INT(($S$12:$AA$12+INDEX($AJ$13:$AR$162,BN978,0)+INDEX($AT$13:$BB$162,BO978,0)+INDEX($BD$13:$BL$162,BP978,0))/100))&gt;=$D$10:$L$10)),0)</f>
        <v/>
      </c>
      <c r="BR978">
        <f>IF(965&lt;$U$9,SUMPRODUCT(($D$10:$L$10&lt;&gt;"")*(($D$10:$L$10-($D$9:$L$9+INT(($S$12:$AA$12+INDEX($AJ$13:$AR$162,BN978,0)+INDEX($AT$13:$BB$162,BO978,0)+INDEX($BD$13:$BL$162,BP978,0))/100)))&gt;0)*($D$10:$L$10-($D$9:$L$9+INT(($S$12:$AA$12+INDEX($AJ$13:$AR$162,BN978,0)+INDEX($AT$13:$BB$162,BO978,0)+INDEX($BD$13:$BL$162,BP978,0))/100)))),0)</f>
        <v/>
      </c>
      <c r="BS978">
        <f>IF(965&lt;$U$9,SUMPRODUCT(($D$9:$L$9+INT(($S$12:$AA$12+INDEX($AJ$13:$AR$162,BN978,0)+INDEX($AT$13:$BB$162,BO978,0)+INDEX($BD$13:$BL$162,BP978,0))/100))),0)</f>
        <v/>
      </c>
      <c r="BT978">
        <f>IF(AND(965&lt;$U$9,$W$5),BQ978*1000000-MIN(BR978,999)*1000+BS978-965/100000,-1000000000-965)</f>
        <v/>
      </c>
    </row>
    <row r="979">
      <c r="BN979">
        <f>IF(966&lt;$U$9,INT(966/($U$7*$U$8))+1,1)</f>
        <v/>
      </c>
      <c r="BO979">
        <f>IF(966&lt;$U$9,MOD(INT(966/$U$8),$U$7)+1,1)</f>
        <v/>
      </c>
      <c r="BP979">
        <f>IF(966&lt;$U$9,MOD(966,$U$8)+1,1)</f>
        <v/>
      </c>
      <c r="BQ979">
        <f>IF(966&lt;$U$9,SUMPRODUCT(($D$10:$L$10&lt;&gt;"")*(($D$9:$L$9+INT(($S$12:$AA$12+INDEX($AJ$13:$AR$162,BN979,0)+INDEX($AT$13:$BB$162,BO979,0)+INDEX($BD$13:$BL$162,BP979,0))/100))&gt;=$D$10:$L$10)),0)</f>
        <v/>
      </c>
      <c r="BR979">
        <f>IF(966&lt;$U$9,SUMPRODUCT(($D$10:$L$10&lt;&gt;"")*(($D$10:$L$10-($D$9:$L$9+INT(($S$12:$AA$12+INDEX($AJ$13:$AR$162,BN979,0)+INDEX($AT$13:$BB$162,BO979,0)+INDEX($BD$13:$BL$162,BP979,0))/100)))&gt;0)*($D$10:$L$10-($D$9:$L$9+INT(($S$12:$AA$12+INDEX($AJ$13:$AR$162,BN979,0)+INDEX($AT$13:$BB$162,BO979,0)+INDEX($BD$13:$BL$162,BP979,0))/100)))),0)</f>
        <v/>
      </c>
      <c r="BS979">
        <f>IF(966&lt;$U$9,SUMPRODUCT(($D$9:$L$9+INT(($S$12:$AA$12+INDEX($AJ$13:$AR$162,BN979,0)+INDEX($AT$13:$BB$162,BO979,0)+INDEX($BD$13:$BL$162,BP979,0))/100))),0)</f>
        <v/>
      </c>
      <c r="BT979">
        <f>IF(AND(966&lt;$U$9,$W$5),BQ979*1000000-MIN(BR979,999)*1000+BS979-966/100000,-1000000000-966)</f>
        <v/>
      </c>
    </row>
    <row r="980">
      <c r="BN980">
        <f>IF(967&lt;$U$9,INT(967/($U$7*$U$8))+1,1)</f>
        <v/>
      </c>
      <c r="BO980">
        <f>IF(967&lt;$U$9,MOD(INT(967/$U$8),$U$7)+1,1)</f>
        <v/>
      </c>
      <c r="BP980">
        <f>IF(967&lt;$U$9,MOD(967,$U$8)+1,1)</f>
        <v/>
      </c>
      <c r="BQ980">
        <f>IF(967&lt;$U$9,SUMPRODUCT(($D$10:$L$10&lt;&gt;"")*(($D$9:$L$9+INT(($S$12:$AA$12+INDEX($AJ$13:$AR$162,BN980,0)+INDEX($AT$13:$BB$162,BO980,0)+INDEX($BD$13:$BL$162,BP980,0))/100))&gt;=$D$10:$L$10)),0)</f>
        <v/>
      </c>
      <c r="BR980">
        <f>IF(967&lt;$U$9,SUMPRODUCT(($D$10:$L$10&lt;&gt;"")*(($D$10:$L$10-($D$9:$L$9+INT(($S$12:$AA$12+INDEX($AJ$13:$AR$162,BN980,0)+INDEX($AT$13:$BB$162,BO980,0)+INDEX($BD$13:$BL$162,BP980,0))/100)))&gt;0)*($D$10:$L$10-($D$9:$L$9+INT(($S$12:$AA$12+INDEX($AJ$13:$AR$162,BN980,0)+INDEX($AT$13:$BB$162,BO980,0)+INDEX($BD$13:$BL$162,BP980,0))/100)))),0)</f>
        <v/>
      </c>
      <c r="BS980">
        <f>IF(967&lt;$U$9,SUMPRODUCT(($D$9:$L$9+INT(($S$12:$AA$12+INDEX($AJ$13:$AR$162,BN980,0)+INDEX($AT$13:$BB$162,BO980,0)+INDEX($BD$13:$BL$162,BP980,0))/100))),0)</f>
        <v/>
      </c>
      <c r="BT980">
        <f>IF(AND(967&lt;$U$9,$W$5),BQ980*1000000-MIN(BR980,999)*1000+BS980-967/100000,-1000000000-967)</f>
        <v/>
      </c>
    </row>
    <row r="981">
      <c r="BN981">
        <f>IF(968&lt;$U$9,INT(968/($U$7*$U$8))+1,1)</f>
        <v/>
      </c>
      <c r="BO981">
        <f>IF(968&lt;$U$9,MOD(INT(968/$U$8),$U$7)+1,1)</f>
        <v/>
      </c>
      <c r="BP981">
        <f>IF(968&lt;$U$9,MOD(968,$U$8)+1,1)</f>
        <v/>
      </c>
      <c r="BQ981">
        <f>IF(968&lt;$U$9,SUMPRODUCT(($D$10:$L$10&lt;&gt;"")*(($D$9:$L$9+INT(($S$12:$AA$12+INDEX($AJ$13:$AR$162,BN981,0)+INDEX($AT$13:$BB$162,BO981,0)+INDEX($BD$13:$BL$162,BP981,0))/100))&gt;=$D$10:$L$10)),0)</f>
        <v/>
      </c>
      <c r="BR981">
        <f>IF(968&lt;$U$9,SUMPRODUCT(($D$10:$L$10&lt;&gt;"")*(($D$10:$L$10-($D$9:$L$9+INT(($S$12:$AA$12+INDEX($AJ$13:$AR$162,BN981,0)+INDEX($AT$13:$BB$162,BO981,0)+INDEX($BD$13:$BL$162,BP981,0))/100)))&gt;0)*($D$10:$L$10-($D$9:$L$9+INT(($S$12:$AA$12+INDEX($AJ$13:$AR$162,BN981,0)+INDEX($AT$13:$BB$162,BO981,0)+INDEX($BD$13:$BL$162,BP981,0))/100)))),0)</f>
        <v/>
      </c>
      <c r="BS981">
        <f>IF(968&lt;$U$9,SUMPRODUCT(($D$9:$L$9+INT(($S$12:$AA$12+INDEX($AJ$13:$AR$162,BN981,0)+INDEX($AT$13:$BB$162,BO981,0)+INDEX($BD$13:$BL$162,BP981,0))/100))),0)</f>
        <v/>
      </c>
      <c r="BT981">
        <f>IF(AND(968&lt;$U$9,$W$5),BQ981*1000000-MIN(BR981,999)*1000+BS981-968/100000,-1000000000-968)</f>
        <v/>
      </c>
    </row>
    <row r="982">
      <c r="BN982">
        <f>IF(969&lt;$U$9,INT(969/($U$7*$U$8))+1,1)</f>
        <v/>
      </c>
      <c r="BO982">
        <f>IF(969&lt;$U$9,MOD(INT(969/$U$8),$U$7)+1,1)</f>
        <v/>
      </c>
      <c r="BP982">
        <f>IF(969&lt;$U$9,MOD(969,$U$8)+1,1)</f>
        <v/>
      </c>
      <c r="BQ982">
        <f>IF(969&lt;$U$9,SUMPRODUCT(($D$10:$L$10&lt;&gt;"")*(($D$9:$L$9+INT(($S$12:$AA$12+INDEX($AJ$13:$AR$162,BN982,0)+INDEX($AT$13:$BB$162,BO982,0)+INDEX($BD$13:$BL$162,BP982,0))/100))&gt;=$D$10:$L$10)),0)</f>
        <v/>
      </c>
      <c r="BR982">
        <f>IF(969&lt;$U$9,SUMPRODUCT(($D$10:$L$10&lt;&gt;"")*(($D$10:$L$10-($D$9:$L$9+INT(($S$12:$AA$12+INDEX($AJ$13:$AR$162,BN982,0)+INDEX($AT$13:$BB$162,BO982,0)+INDEX($BD$13:$BL$162,BP982,0))/100)))&gt;0)*($D$10:$L$10-($D$9:$L$9+INT(($S$12:$AA$12+INDEX($AJ$13:$AR$162,BN982,0)+INDEX($AT$13:$BB$162,BO982,0)+INDEX($BD$13:$BL$162,BP982,0))/100)))),0)</f>
        <v/>
      </c>
      <c r="BS982">
        <f>IF(969&lt;$U$9,SUMPRODUCT(($D$9:$L$9+INT(($S$12:$AA$12+INDEX($AJ$13:$AR$162,BN982,0)+INDEX($AT$13:$BB$162,BO982,0)+INDEX($BD$13:$BL$162,BP982,0))/100))),0)</f>
        <v/>
      </c>
      <c r="BT982">
        <f>IF(AND(969&lt;$U$9,$W$5),BQ982*1000000-MIN(BR982,999)*1000+BS982-969/100000,-1000000000-969)</f>
        <v/>
      </c>
    </row>
    <row r="983">
      <c r="BN983">
        <f>IF(970&lt;$U$9,INT(970/($U$7*$U$8))+1,1)</f>
        <v/>
      </c>
      <c r="BO983">
        <f>IF(970&lt;$U$9,MOD(INT(970/$U$8),$U$7)+1,1)</f>
        <v/>
      </c>
      <c r="BP983">
        <f>IF(970&lt;$U$9,MOD(970,$U$8)+1,1)</f>
        <v/>
      </c>
      <c r="BQ983">
        <f>IF(970&lt;$U$9,SUMPRODUCT(($D$10:$L$10&lt;&gt;"")*(($D$9:$L$9+INT(($S$12:$AA$12+INDEX($AJ$13:$AR$162,BN983,0)+INDEX($AT$13:$BB$162,BO983,0)+INDEX($BD$13:$BL$162,BP983,0))/100))&gt;=$D$10:$L$10)),0)</f>
        <v/>
      </c>
      <c r="BR983">
        <f>IF(970&lt;$U$9,SUMPRODUCT(($D$10:$L$10&lt;&gt;"")*(($D$10:$L$10-($D$9:$L$9+INT(($S$12:$AA$12+INDEX($AJ$13:$AR$162,BN983,0)+INDEX($AT$13:$BB$162,BO983,0)+INDEX($BD$13:$BL$162,BP983,0))/100)))&gt;0)*($D$10:$L$10-($D$9:$L$9+INT(($S$12:$AA$12+INDEX($AJ$13:$AR$162,BN983,0)+INDEX($AT$13:$BB$162,BO983,0)+INDEX($BD$13:$BL$162,BP983,0))/100)))),0)</f>
        <v/>
      </c>
      <c r="BS983">
        <f>IF(970&lt;$U$9,SUMPRODUCT(($D$9:$L$9+INT(($S$12:$AA$12+INDEX($AJ$13:$AR$162,BN983,0)+INDEX($AT$13:$BB$162,BO983,0)+INDEX($BD$13:$BL$162,BP983,0))/100))),0)</f>
        <v/>
      </c>
      <c r="BT983">
        <f>IF(AND(970&lt;$U$9,$W$5),BQ983*1000000-MIN(BR983,999)*1000+BS983-970/100000,-1000000000-970)</f>
        <v/>
      </c>
    </row>
    <row r="984">
      <c r="BN984">
        <f>IF(971&lt;$U$9,INT(971/($U$7*$U$8))+1,1)</f>
        <v/>
      </c>
      <c r="BO984">
        <f>IF(971&lt;$U$9,MOD(INT(971/$U$8),$U$7)+1,1)</f>
        <v/>
      </c>
      <c r="BP984">
        <f>IF(971&lt;$U$9,MOD(971,$U$8)+1,1)</f>
        <v/>
      </c>
      <c r="BQ984">
        <f>IF(971&lt;$U$9,SUMPRODUCT(($D$10:$L$10&lt;&gt;"")*(($D$9:$L$9+INT(($S$12:$AA$12+INDEX($AJ$13:$AR$162,BN984,0)+INDEX($AT$13:$BB$162,BO984,0)+INDEX($BD$13:$BL$162,BP984,0))/100))&gt;=$D$10:$L$10)),0)</f>
        <v/>
      </c>
      <c r="BR984">
        <f>IF(971&lt;$U$9,SUMPRODUCT(($D$10:$L$10&lt;&gt;"")*(($D$10:$L$10-($D$9:$L$9+INT(($S$12:$AA$12+INDEX($AJ$13:$AR$162,BN984,0)+INDEX($AT$13:$BB$162,BO984,0)+INDEX($BD$13:$BL$162,BP984,0))/100)))&gt;0)*($D$10:$L$10-($D$9:$L$9+INT(($S$12:$AA$12+INDEX($AJ$13:$AR$162,BN984,0)+INDEX($AT$13:$BB$162,BO984,0)+INDEX($BD$13:$BL$162,BP984,0))/100)))),0)</f>
        <v/>
      </c>
      <c r="BS984">
        <f>IF(971&lt;$U$9,SUMPRODUCT(($D$9:$L$9+INT(($S$12:$AA$12+INDEX($AJ$13:$AR$162,BN984,0)+INDEX($AT$13:$BB$162,BO984,0)+INDEX($BD$13:$BL$162,BP984,0))/100))),0)</f>
        <v/>
      </c>
      <c r="BT984">
        <f>IF(AND(971&lt;$U$9,$W$5),BQ984*1000000-MIN(BR984,999)*1000+BS984-971/100000,-1000000000-971)</f>
        <v/>
      </c>
    </row>
    <row r="985">
      <c r="BN985">
        <f>IF(972&lt;$U$9,INT(972/($U$7*$U$8))+1,1)</f>
        <v/>
      </c>
      <c r="BO985">
        <f>IF(972&lt;$U$9,MOD(INT(972/$U$8),$U$7)+1,1)</f>
        <v/>
      </c>
      <c r="BP985">
        <f>IF(972&lt;$U$9,MOD(972,$U$8)+1,1)</f>
        <v/>
      </c>
      <c r="BQ985">
        <f>IF(972&lt;$U$9,SUMPRODUCT(($D$10:$L$10&lt;&gt;"")*(($D$9:$L$9+INT(($S$12:$AA$12+INDEX($AJ$13:$AR$162,BN985,0)+INDEX($AT$13:$BB$162,BO985,0)+INDEX($BD$13:$BL$162,BP985,0))/100))&gt;=$D$10:$L$10)),0)</f>
        <v/>
      </c>
      <c r="BR985">
        <f>IF(972&lt;$U$9,SUMPRODUCT(($D$10:$L$10&lt;&gt;"")*(($D$10:$L$10-($D$9:$L$9+INT(($S$12:$AA$12+INDEX($AJ$13:$AR$162,BN985,0)+INDEX($AT$13:$BB$162,BO985,0)+INDEX($BD$13:$BL$162,BP985,0))/100)))&gt;0)*($D$10:$L$10-($D$9:$L$9+INT(($S$12:$AA$12+INDEX($AJ$13:$AR$162,BN985,0)+INDEX($AT$13:$BB$162,BO985,0)+INDEX($BD$13:$BL$162,BP985,0))/100)))),0)</f>
        <v/>
      </c>
      <c r="BS985">
        <f>IF(972&lt;$U$9,SUMPRODUCT(($D$9:$L$9+INT(($S$12:$AA$12+INDEX($AJ$13:$AR$162,BN985,0)+INDEX($AT$13:$BB$162,BO985,0)+INDEX($BD$13:$BL$162,BP985,0))/100))),0)</f>
        <v/>
      </c>
      <c r="BT985">
        <f>IF(AND(972&lt;$U$9,$W$5),BQ985*1000000-MIN(BR985,999)*1000+BS985-972/100000,-1000000000-972)</f>
        <v/>
      </c>
    </row>
    <row r="986">
      <c r="BN986">
        <f>IF(973&lt;$U$9,INT(973/($U$7*$U$8))+1,1)</f>
        <v/>
      </c>
      <c r="BO986">
        <f>IF(973&lt;$U$9,MOD(INT(973/$U$8),$U$7)+1,1)</f>
        <v/>
      </c>
      <c r="BP986">
        <f>IF(973&lt;$U$9,MOD(973,$U$8)+1,1)</f>
        <v/>
      </c>
      <c r="BQ986">
        <f>IF(973&lt;$U$9,SUMPRODUCT(($D$10:$L$10&lt;&gt;"")*(($D$9:$L$9+INT(($S$12:$AA$12+INDEX($AJ$13:$AR$162,BN986,0)+INDEX($AT$13:$BB$162,BO986,0)+INDEX($BD$13:$BL$162,BP986,0))/100))&gt;=$D$10:$L$10)),0)</f>
        <v/>
      </c>
      <c r="BR986">
        <f>IF(973&lt;$U$9,SUMPRODUCT(($D$10:$L$10&lt;&gt;"")*(($D$10:$L$10-($D$9:$L$9+INT(($S$12:$AA$12+INDEX($AJ$13:$AR$162,BN986,0)+INDEX($AT$13:$BB$162,BO986,0)+INDEX($BD$13:$BL$162,BP986,0))/100)))&gt;0)*($D$10:$L$10-($D$9:$L$9+INT(($S$12:$AA$12+INDEX($AJ$13:$AR$162,BN986,0)+INDEX($AT$13:$BB$162,BO986,0)+INDEX($BD$13:$BL$162,BP986,0))/100)))),0)</f>
        <v/>
      </c>
      <c r="BS986">
        <f>IF(973&lt;$U$9,SUMPRODUCT(($D$9:$L$9+INT(($S$12:$AA$12+INDEX($AJ$13:$AR$162,BN986,0)+INDEX($AT$13:$BB$162,BO986,0)+INDEX($BD$13:$BL$162,BP986,0))/100))),0)</f>
        <v/>
      </c>
      <c r="BT986">
        <f>IF(AND(973&lt;$U$9,$W$5),BQ986*1000000-MIN(BR986,999)*1000+BS986-973/100000,-1000000000-973)</f>
        <v/>
      </c>
    </row>
    <row r="987">
      <c r="BN987">
        <f>IF(974&lt;$U$9,INT(974/($U$7*$U$8))+1,1)</f>
        <v/>
      </c>
      <c r="BO987">
        <f>IF(974&lt;$U$9,MOD(INT(974/$U$8),$U$7)+1,1)</f>
        <v/>
      </c>
      <c r="BP987">
        <f>IF(974&lt;$U$9,MOD(974,$U$8)+1,1)</f>
        <v/>
      </c>
      <c r="BQ987">
        <f>IF(974&lt;$U$9,SUMPRODUCT(($D$10:$L$10&lt;&gt;"")*(($D$9:$L$9+INT(($S$12:$AA$12+INDEX($AJ$13:$AR$162,BN987,0)+INDEX($AT$13:$BB$162,BO987,0)+INDEX($BD$13:$BL$162,BP987,0))/100))&gt;=$D$10:$L$10)),0)</f>
        <v/>
      </c>
      <c r="BR987">
        <f>IF(974&lt;$U$9,SUMPRODUCT(($D$10:$L$10&lt;&gt;"")*(($D$10:$L$10-($D$9:$L$9+INT(($S$12:$AA$12+INDEX($AJ$13:$AR$162,BN987,0)+INDEX($AT$13:$BB$162,BO987,0)+INDEX($BD$13:$BL$162,BP987,0))/100)))&gt;0)*($D$10:$L$10-($D$9:$L$9+INT(($S$12:$AA$12+INDEX($AJ$13:$AR$162,BN987,0)+INDEX($AT$13:$BB$162,BO987,0)+INDEX($BD$13:$BL$162,BP987,0))/100)))),0)</f>
        <v/>
      </c>
      <c r="BS987">
        <f>IF(974&lt;$U$9,SUMPRODUCT(($D$9:$L$9+INT(($S$12:$AA$12+INDEX($AJ$13:$AR$162,BN987,0)+INDEX($AT$13:$BB$162,BO987,0)+INDEX($BD$13:$BL$162,BP987,0))/100))),0)</f>
        <v/>
      </c>
      <c r="BT987">
        <f>IF(AND(974&lt;$U$9,$W$5),BQ987*1000000-MIN(BR987,999)*1000+BS987-974/100000,-1000000000-974)</f>
        <v/>
      </c>
    </row>
    <row r="988">
      <c r="BN988">
        <f>IF(975&lt;$U$9,INT(975/($U$7*$U$8))+1,1)</f>
        <v/>
      </c>
      <c r="BO988">
        <f>IF(975&lt;$U$9,MOD(INT(975/$U$8),$U$7)+1,1)</f>
        <v/>
      </c>
      <c r="BP988">
        <f>IF(975&lt;$U$9,MOD(975,$U$8)+1,1)</f>
        <v/>
      </c>
      <c r="BQ988">
        <f>IF(975&lt;$U$9,SUMPRODUCT(($D$10:$L$10&lt;&gt;"")*(($D$9:$L$9+INT(($S$12:$AA$12+INDEX($AJ$13:$AR$162,BN988,0)+INDEX($AT$13:$BB$162,BO988,0)+INDEX($BD$13:$BL$162,BP988,0))/100))&gt;=$D$10:$L$10)),0)</f>
        <v/>
      </c>
      <c r="BR988">
        <f>IF(975&lt;$U$9,SUMPRODUCT(($D$10:$L$10&lt;&gt;"")*(($D$10:$L$10-($D$9:$L$9+INT(($S$12:$AA$12+INDEX($AJ$13:$AR$162,BN988,0)+INDEX($AT$13:$BB$162,BO988,0)+INDEX($BD$13:$BL$162,BP988,0))/100)))&gt;0)*($D$10:$L$10-($D$9:$L$9+INT(($S$12:$AA$12+INDEX($AJ$13:$AR$162,BN988,0)+INDEX($AT$13:$BB$162,BO988,0)+INDEX($BD$13:$BL$162,BP988,0))/100)))),0)</f>
        <v/>
      </c>
      <c r="BS988">
        <f>IF(975&lt;$U$9,SUMPRODUCT(($D$9:$L$9+INT(($S$12:$AA$12+INDEX($AJ$13:$AR$162,BN988,0)+INDEX($AT$13:$BB$162,BO988,0)+INDEX($BD$13:$BL$162,BP988,0))/100))),0)</f>
        <v/>
      </c>
      <c r="BT988">
        <f>IF(AND(975&lt;$U$9,$W$5),BQ988*1000000-MIN(BR988,999)*1000+BS988-975/100000,-1000000000-975)</f>
        <v/>
      </c>
    </row>
    <row r="989">
      <c r="BN989">
        <f>IF(976&lt;$U$9,INT(976/($U$7*$U$8))+1,1)</f>
        <v/>
      </c>
      <c r="BO989">
        <f>IF(976&lt;$U$9,MOD(INT(976/$U$8),$U$7)+1,1)</f>
        <v/>
      </c>
      <c r="BP989">
        <f>IF(976&lt;$U$9,MOD(976,$U$8)+1,1)</f>
        <v/>
      </c>
      <c r="BQ989">
        <f>IF(976&lt;$U$9,SUMPRODUCT(($D$10:$L$10&lt;&gt;"")*(($D$9:$L$9+INT(($S$12:$AA$12+INDEX($AJ$13:$AR$162,BN989,0)+INDEX($AT$13:$BB$162,BO989,0)+INDEX($BD$13:$BL$162,BP989,0))/100))&gt;=$D$10:$L$10)),0)</f>
        <v/>
      </c>
      <c r="BR989">
        <f>IF(976&lt;$U$9,SUMPRODUCT(($D$10:$L$10&lt;&gt;"")*(($D$10:$L$10-($D$9:$L$9+INT(($S$12:$AA$12+INDEX($AJ$13:$AR$162,BN989,0)+INDEX($AT$13:$BB$162,BO989,0)+INDEX($BD$13:$BL$162,BP989,0))/100)))&gt;0)*($D$10:$L$10-($D$9:$L$9+INT(($S$12:$AA$12+INDEX($AJ$13:$AR$162,BN989,0)+INDEX($AT$13:$BB$162,BO989,0)+INDEX($BD$13:$BL$162,BP989,0))/100)))),0)</f>
        <v/>
      </c>
      <c r="BS989">
        <f>IF(976&lt;$U$9,SUMPRODUCT(($D$9:$L$9+INT(($S$12:$AA$12+INDEX($AJ$13:$AR$162,BN989,0)+INDEX($AT$13:$BB$162,BO989,0)+INDEX($BD$13:$BL$162,BP989,0))/100))),0)</f>
        <v/>
      </c>
      <c r="BT989">
        <f>IF(AND(976&lt;$U$9,$W$5),BQ989*1000000-MIN(BR989,999)*1000+BS989-976/100000,-1000000000-976)</f>
        <v/>
      </c>
    </row>
    <row r="990">
      <c r="BN990">
        <f>IF(977&lt;$U$9,INT(977/($U$7*$U$8))+1,1)</f>
        <v/>
      </c>
      <c r="BO990">
        <f>IF(977&lt;$U$9,MOD(INT(977/$U$8),$U$7)+1,1)</f>
        <v/>
      </c>
      <c r="BP990">
        <f>IF(977&lt;$U$9,MOD(977,$U$8)+1,1)</f>
        <v/>
      </c>
      <c r="BQ990">
        <f>IF(977&lt;$U$9,SUMPRODUCT(($D$10:$L$10&lt;&gt;"")*(($D$9:$L$9+INT(($S$12:$AA$12+INDEX($AJ$13:$AR$162,BN990,0)+INDEX($AT$13:$BB$162,BO990,0)+INDEX($BD$13:$BL$162,BP990,0))/100))&gt;=$D$10:$L$10)),0)</f>
        <v/>
      </c>
      <c r="BR990">
        <f>IF(977&lt;$U$9,SUMPRODUCT(($D$10:$L$10&lt;&gt;"")*(($D$10:$L$10-($D$9:$L$9+INT(($S$12:$AA$12+INDEX($AJ$13:$AR$162,BN990,0)+INDEX($AT$13:$BB$162,BO990,0)+INDEX($BD$13:$BL$162,BP990,0))/100)))&gt;0)*($D$10:$L$10-($D$9:$L$9+INT(($S$12:$AA$12+INDEX($AJ$13:$AR$162,BN990,0)+INDEX($AT$13:$BB$162,BO990,0)+INDEX($BD$13:$BL$162,BP990,0))/100)))),0)</f>
        <v/>
      </c>
      <c r="BS990">
        <f>IF(977&lt;$U$9,SUMPRODUCT(($D$9:$L$9+INT(($S$12:$AA$12+INDEX($AJ$13:$AR$162,BN990,0)+INDEX($AT$13:$BB$162,BO990,0)+INDEX($BD$13:$BL$162,BP990,0))/100))),0)</f>
        <v/>
      </c>
      <c r="BT990">
        <f>IF(AND(977&lt;$U$9,$W$5),BQ990*1000000-MIN(BR990,999)*1000+BS990-977/100000,-1000000000-977)</f>
        <v/>
      </c>
    </row>
    <row r="991">
      <c r="BN991">
        <f>IF(978&lt;$U$9,INT(978/($U$7*$U$8))+1,1)</f>
        <v/>
      </c>
      <c r="BO991">
        <f>IF(978&lt;$U$9,MOD(INT(978/$U$8),$U$7)+1,1)</f>
        <v/>
      </c>
      <c r="BP991">
        <f>IF(978&lt;$U$9,MOD(978,$U$8)+1,1)</f>
        <v/>
      </c>
      <c r="BQ991">
        <f>IF(978&lt;$U$9,SUMPRODUCT(($D$10:$L$10&lt;&gt;"")*(($D$9:$L$9+INT(($S$12:$AA$12+INDEX($AJ$13:$AR$162,BN991,0)+INDEX($AT$13:$BB$162,BO991,0)+INDEX($BD$13:$BL$162,BP991,0))/100))&gt;=$D$10:$L$10)),0)</f>
        <v/>
      </c>
      <c r="BR991">
        <f>IF(978&lt;$U$9,SUMPRODUCT(($D$10:$L$10&lt;&gt;"")*(($D$10:$L$10-($D$9:$L$9+INT(($S$12:$AA$12+INDEX($AJ$13:$AR$162,BN991,0)+INDEX($AT$13:$BB$162,BO991,0)+INDEX($BD$13:$BL$162,BP991,0))/100)))&gt;0)*($D$10:$L$10-($D$9:$L$9+INT(($S$12:$AA$12+INDEX($AJ$13:$AR$162,BN991,0)+INDEX($AT$13:$BB$162,BO991,0)+INDEX($BD$13:$BL$162,BP991,0))/100)))),0)</f>
        <v/>
      </c>
      <c r="BS991">
        <f>IF(978&lt;$U$9,SUMPRODUCT(($D$9:$L$9+INT(($S$12:$AA$12+INDEX($AJ$13:$AR$162,BN991,0)+INDEX($AT$13:$BB$162,BO991,0)+INDEX($BD$13:$BL$162,BP991,0))/100))),0)</f>
        <v/>
      </c>
      <c r="BT991">
        <f>IF(AND(978&lt;$U$9,$W$5),BQ991*1000000-MIN(BR991,999)*1000+BS991-978/100000,-1000000000-978)</f>
        <v/>
      </c>
    </row>
    <row r="992">
      <c r="BN992">
        <f>IF(979&lt;$U$9,INT(979/($U$7*$U$8))+1,1)</f>
        <v/>
      </c>
      <c r="BO992">
        <f>IF(979&lt;$U$9,MOD(INT(979/$U$8),$U$7)+1,1)</f>
        <v/>
      </c>
      <c r="BP992">
        <f>IF(979&lt;$U$9,MOD(979,$U$8)+1,1)</f>
        <v/>
      </c>
      <c r="BQ992">
        <f>IF(979&lt;$U$9,SUMPRODUCT(($D$10:$L$10&lt;&gt;"")*(($D$9:$L$9+INT(($S$12:$AA$12+INDEX($AJ$13:$AR$162,BN992,0)+INDEX($AT$13:$BB$162,BO992,0)+INDEX($BD$13:$BL$162,BP992,0))/100))&gt;=$D$10:$L$10)),0)</f>
        <v/>
      </c>
      <c r="BR992">
        <f>IF(979&lt;$U$9,SUMPRODUCT(($D$10:$L$10&lt;&gt;"")*(($D$10:$L$10-($D$9:$L$9+INT(($S$12:$AA$12+INDEX($AJ$13:$AR$162,BN992,0)+INDEX($AT$13:$BB$162,BO992,0)+INDEX($BD$13:$BL$162,BP992,0))/100)))&gt;0)*($D$10:$L$10-($D$9:$L$9+INT(($S$12:$AA$12+INDEX($AJ$13:$AR$162,BN992,0)+INDEX($AT$13:$BB$162,BO992,0)+INDEX($BD$13:$BL$162,BP992,0))/100)))),0)</f>
        <v/>
      </c>
      <c r="BS992">
        <f>IF(979&lt;$U$9,SUMPRODUCT(($D$9:$L$9+INT(($S$12:$AA$12+INDEX($AJ$13:$AR$162,BN992,0)+INDEX($AT$13:$BB$162,BO992,0)+INDEX($BD$13:$BL$162,BP992,0))/100))),0)</f>
        <v/>
      </c>
      <c r="BT992">
        <f>IF(AND(979&lt;$U$9,$W$5),BQ992*1000000-MIN(BR992,999)*1000+BS992-979/100000,-1000000000-979)</f>
        <v/>
      </c>
    </row>
    <row r="993">
      <c r="BN993">
        <f>IF(980&lt;$U$9,INT(980/($U$7*$U$8))+1,1)</f>
        <v/>
      </c>
      <c r="BO993">
        <f>IF(980&lt;$U$9,MOD(INT(980/$U$8),$U$7)+1,1)</f>
        <v/>
      </c>
      <c r="BP993">
        <f>IF(980&lt;$U$9,MOD(980,$U$8)+1,1)</f>
        <v/>
      </c>
      <c r="BQ993">
        <f>IF(980&lt;$U$9,SUMPRODUCT(($D$10:$L$10&lt;&gt;"")*(($D$9:$L$9+INT(($S$12:$AA$12+INDEX($AJ$13:$AR$162,BN993,0)+INDEX($AT$13:$BB$162,BO993,0)+INDEX($BD$13:$BL$162,BP993,0))/100))&gt;=$D$10:$L$10)),0)</f>
        <v/>
      </c>
      <c r="BR993">
        <f>IF(980&lt;$U$9,SUMPRODUCT(($D$10:$L$10&lt;&gt;"")*(($D$10:$L$10-($D$9:$L$9+INT(($S$12:$AA$12+INDEX($AJ$13:$AR$162,BN993,0)+INDEX($AT$13:$BB$162,BO993,0)+INDEX($BD$13:$BL$162,BP993,0))/100)))&gt;0)*($D$10:$L$10-($D$9:$L$9+INT(($S$12:$AA$12+INDEX($AJ$13:$AR$162,BN993,0)+INDEX($AT$13:$BB$162,BO993,0)+INDEX($BD$13:$BL$162,BP993,0))/100)))),0)</f>
        <v/>
      </c>
      <c r="BS993">
        <f>IF(980&lt;$U$9,SUMPRODUCT(($D$9:$L$9+INT(($S$12:$AA$12+INDEX($AJ$13:$AR$162,BN993,0)+INDEX($AT$13:$BB$162,BO993,0)+INDEX($BD$13:$BL$162,BP993,0))/100))),0)</f>
        <v/>
      </c>
      <c r="BT993">
        <f>IF(AND(980&lt;$U$9,$W$5),BQ993*1000000-MIN(BR993,999)*1000+BS993-980/100000,-1000000000-980)</f>
        <v/>
      </c>
    </row>
    <row r="994">
      <c r="BN994">
        <f>IF(981&lt;$U$9,INT(981/($U$7*$U$8))+1,1)</f>
        <v/>
      </c>
      <c r="BO994">
        <f>IF(981&lt;$U$9,MOD(INT(981/$U$8),$U$7)+1,1)</f>
        <v/>
      </c>
      <c r="BP994">
        <f>IF(981&lt;$U$9,MOD(981,$U$8)+1,1)</f>
        <v/>
      </c>
      <c r="BQ994">
        <f>IF(981&lt;$U$9,SUMPRODUCT(($D$10:$L$10&lt;&gt;"")*(($D$9:$L$9+INT(($S$12:$AA$12+INDEX($AJ$13:$AR$162,BN994,0)+INDEX($AT$13:$BB$162,BO994,0)+INDEX($BD$13:$BL$162,BP994,0))/100))&gt;=$D$10:$L$10)),0)</f>
        <v/>
      </c>
      <c r="BR994">
        <f>IF(981&lt;$U$9,SUMPRODUCT(($D$10:$L$10&lt;&gt;"")*(($D$10:$L$10-($D$9:$L$9+INT(($S$12:$AA$12+INDEX($AJ$13:$AR$162,BN994,0)+INDEX($AT$13:$BB$162,BO994,0)+INDEX($BD$13:$BL$162,BP994,0))/100)))&gt;0)*($D$10:$L$10-($D$9:$L$9+INT(($S$12:$AA$12+INDEX($AJ$13:$AR$162,BN994,0)+INDEX($AT$13:$BB$162,BO994,0)+INDEX($BD$13:$BL$162,BP994,0))/100)))),0)</f>
        <v/>
      </c>
      <c r="BS994">
        <f>IF(981&lt;$U$9,SUMPRODUCT(($D$9:$L$9+INT(($S$12:$AA$12+INDEX($AJ$13:$AR$162,BN994,0)+INDEX($AT$13:$BB$162,BO994,0)+INDEX($BD$13:$BL$162,BP994,0))/100))),0)</f>
        <v/>
      </c>
      <c r="BT994">
        <f>IF(AND(981&lt;$U$9,$W$5),BQ994*1000000-MIN(BR994,999)*1000+BS994-981/100000,-1000000000-981)</f>
        <v/>
      </c>
    </row>
    <row r="995">
      <c r="BN995">
        <f>IF(982&lt;$U$9,INT(982/($U$7*$U$8))+1,1)</f>
        <v/>
      </c>
      <c r="BO995">
        <f>IF(982&lt;$U$9,MOD(INT(982/$U$8),$U$7)+1,1)</f>
        <v/>
      </c>
      <c r="BP995">
        <f>IF(982&lt;$U$9,MOD(982,$U$8)+1,1)</f>
        <v/>
      </c>
      <c r="BQ995">
        <f>IF(982&lt;$U$9,SUMPRODUCT(($D$10:$L$10&lt;&gt;"")*(($D$9:$L$9+INT(($S$12:$AA$12+INDEX($AJ$13:$AR$162,BN995,0)+INDEX($AT$13:$BB$162,BO995,0)+INDEX($BD$13:$BL$162,BP995,0))/100))&gt;=$D$10:$L$10)),0)</f>
        <v/>
      </c>
      <c r="BR995">
        <f>IF(982&lt;$U$9,SUMPRODUCT(($D$10:$L$10&lt;&gt;"")*(($D$10:$L$10-($D$9:$L$9+INT(($S$12:$AA$12+INDEX($AJ$13:$AR$162,BN995,0)+INDEX($AT$13:$BB$162,BO995,0)+INDEX($BD$13:$BL$162,BP995,0))/100)))&gt;0)*($D$10:$L$10-($D$9:$L$9+INT(($S$12:$AA$12+INDEX($AJ$13:$AR$162,BN995,0)+INDEX($AT$13:$BB$162,BO995,0)+INDEX($BD$13:$BL$162,BP995,0))/100)))),0)</f>
        <v/>
      </c>
      <c r="BS995">
        <f>IF(982&lt;$U$9,SUMPRODUCT(($D$9:$L$9+INT(($S$12:$AA$12+INDEX($AJ$13:$AR$162,BN995,0)+INDEX($AT$13:$BB$162,BO995,0)+INDEX($BD$13:$BL$162,BP995,0))/100))),0)</f>
        <v/>
      </c>
      <c r="BT995">
        <f>IF(AND(982&lt;$U$9,$W$5),BQ995*1000000-MIN(BR995,999)*1000+BS995-982/100000,-1000000000-982)</f>
        <v/>
      </c>
    </row>
    <row r="996">
      <c r="BN996">
        <f>IF(983&lt;$U$9,INT(983/($U$7*$U$8))+1,1)</f>
        <v/>
      </c>
      <c r="BO996">
        <f>IF(983&lt;$U$9,MOD(INT(983/$U$8),$U$7)+1,1)</f>
        <v/>
      </c>
      <c r="BP996">
        <f>IF(983&lt;$U$9,MOD(983,$U$8)+1,1)</f>
        <v/>
      </c>
      <c r="BQ996">
        <f>IF(983&lt;$U$9,SUMPRODUCT(($D$10:$L$10&lt;&gt;"")*(($D$9:$L$9+INT(($S$12:$AA$12+INDEX($AJ$13:$AR$162,BN996,0)+INDEX($AT$13:$BB$162,BO996,0)+INDEX($BD$13:$BL$162,BP996,0))/100))&gt;=$D$10:$L$10)),0)</f>
        <v/>
      </c>
      <c r="BR996">
        <f>IF(983&lt;$U$9,SUMPRODUCT(($D$10:$L$10&lt;&gt;"")*(($D$10:$L$10-($D$9:$L$9+INT(($S$12:$AA$12+INDEX($AJ$13:$AR$162,BN996,0)+INDEX($AT$13:$BB$162,BO996,0)+INDEX($BD$13:$BL$162,BP996,0))/100)))&gt;0)*($D$10:$L$10-($D$9:$L$9+INT(($S$12:$AA$12+INDEX($AJ$13:$AR$162,BN996,0)+INDEX($AT$13:$BB$162,BO996,0)+INDEX($BD$13:$BL$162,BP996,0))/100)))),0)</f>
        <v/>
      </c>
      <c r="BS996">
        <f>IF(983&lt;$U$9,SUMPRODUCT(($D$9:$L$9+INT(($S$12:$AA$12+INDEX($AJ$13:$AR$162,BN996,0)+INDEX($AT$13:$BB$162,BO996,0)+INDEX($BD$13:$BL$162,BP996,0))/100))),0)</f>
        <v/>
      </c>
      <c r="BT996">
        <f>IF(AND(983&lt;$U$9,$W$5),BQ996*1000000-MIN(BR996,999)*1000+BS996-983/100000,-1000000000-983)</f>
        <v/>
      </c>
    </row>
    <row r="997">
      <c r="BN997">
        <f>IF(984&lt;$U$9,INT(984/($U$7*$U$8))+1,1)</f>
        <v/>
      </c>
      <c r="BO997">
        <f>IF(984&lt;$U$9,MOD(INT(984/$U$8),$U$7)+1,1)</f>
        <v/>
      </c>
      <c r="BP997">
        <f>IF(984&lt;$U$9,MOD(984,$U$8)+1,1)</f>
        <v/>
      </c>
      <c r="BQ997">
        <f>IF(984&lt;$U$9,SUMPRODUCT(($D$10:$L$10&lt;&gt;"")*(($D$9:$L$9+INT(($S$12:$AA$12+INDEX($AJ$13:$AR$162,BN997,0)+INDEX($AT$13:$BB$162,BO997,0)+INDEX($BD$13:$BL$162,BP997,0))/100))&gt;=$D$10:$L$10)),0)</f>
        <v/>
      </c>
      <c r="BR997">
        <f>IF(984&lt;$U$9,SUMPRODUCT(($D$10:$L$10&lt;&gt;"")*(($D$10:$L$10-($D$9:$L$9+INT(($S$12:$AA$12+INDEX($AJ$13:$AR$162,BN997,0)+INDEX($AT$13:$BB$162,BO997,0)+INDEX($BD$13:$BL$162,BP997,0))/100)))&gt;0)*($D$10:$L$10-($D$9:$L$9+INT(($S$12:$AA$12+INDEX($AJ$13:$AR$162,BN997,0)+INDEX($AT$13:$BB$162,BO997,0)+INDEX($BD$13:$BL$162,BP997,0))/100)))),0)</f>
        <v/>
      </c>
      <c r="BS997">
        <f>IF(984&lt;$U$9,SUMPRODUCT(($D$9:$L$9+INT(($S$12:$AA$12+INDEX($AJ$13:$AR$162,BN997,0)+INDEX($AT$13:$BB$162,BO997,0)+INDEX($BD$13:$BL$162,BP997,0))/100))),0)</f>
        <v/>
      </c>
      <c r="BT997">
        <f>IF(AND(984&lt;$U$9,$W$5),BQ997*1000000-MIN(BR997,999)*1000+BS997-984/100000,-1000000000-984)</f>
        <v/>
      </c>
    </row>
    <row r="998">
      <c r="BN998">
        <f>IF(985&lt;$U$9,INT(985/($U$7*$U$8))+1,1)</f>
        <v/>
      </c>
      <c r="BO998">
        <f>IF(985&lt;$U$9,MOD(INT(985/$U$8),$U$7)+1,1)</f>
        <v/>
      </c>
      <c r="BP998">
        <f>IF(985&lt;$U$9,MOD(985,$U$8)+1,1)</f>
        <v/>
      </c>
      <c r="BQ998">
        <f>IF(985&lt;$U$9,SUMPRODUCT(($D$10:$L$10&lt;&gt;"")*(($D$9:$L$9+INT(($S$12:$AA$12+INDEX($AJ$13:$AR$162,BN998,0)+INDEX($AT$13:$BB$162,BO998,0)+INDEX($BD$13:$BL$162,BP998,0))/100))&gt;=$D$10:$L$10)),0)</f>
        <v/>
      </c>
      <c r="BR998">
        <f>IF(985&lt;$U$9,SUMPRODUCT(($D$10:$L$10&lt;&gt;"")*(($D$10:$L$10-($D$9:$L$9+INT(($S$12:$AA$12+INDEX($AJ$13:$AR$162,BN998,0)+INDEX($AT$13:$BB$162,BO998,0)+INDEX($BD$13:$BL$162,BP998,0))/100)))&gt;0)*($D$10:$L$10-($D$9:$L$9+INT(($S$12:$AA$12+INDEX($AJ$13:$AR$162,BN998,0)+INDEX($AT$13:$BB$162,BO998,0)+INDEX($BD$13:$BL$162,BP998,0))/100)))),0)</f>
        <v/>
      </c>
      <c r="BS998">
        <f>IF(985&lt;$U$9,SUMPRODUCT(($D$9:$L$9+INT(($S$12:$AA$12+INDEX($AJ$13:$AR$162,BN998,0)+INDEX($AT$13:$BB$162,BO998,0)+INDEX($BD$13:$BL$162,BP998,0))/100))),0)</f>
        <v/>
      </c>
      <c r="BT998">
        <f>IF(AND(985&lt;$U$9,$W$5),BQ998*1000000-MIN(BR998,999)*1000+BS998-985/100000,-1000000000-985)</f>
        <v/>
      </c>
    </row>
    <row r="999">
      <c r="BN999">
        <f>IF(986&lt;$U$9,INT(986/($U$7*$U$8))+1,1)</f>
        <v/>
      </c>
      <c r="BO999">
        <f>IF(986&lt;$U$9,MOD(INT(986/$U$8),$U$7)+1,1)</f>
        <v/>
      </c>
      <c r="BP999">
        <f>IF(986&lt;$U$9,MOD(986,$U$8)+1,1)</f>
        <v/>
      </c>
      <c r="BQ999">
        <f>IF(986&lt;$U$9,SUMPRODUCT(($D$10:$L$10&lt;&gt;"")*(($D$9:$L$9+INT(($S$12:$AA$12+INDEX($AJ$13:$AR$162,BN999,0)+INDEX($AT$13:$BB$162,BO999,0)+INDEX($BD$13:$BL$162,BP999,0))/100))&gt;=$D$10:$L$10)),0)</f>
        <v/>
      </c>
      <c r="BR999">
        <f>IF(986&lt;$U$9,SUMPRODUCT(($D$10:$L$10&lt;&gt;"")*(($D$10:$L$10-($D$9:$L$9+INT(($S$12:$AA$12+INDEX($AJ$13:$AR$162,BN999,0)+INDEX($AT$13:$BB$162,BO999,0)+INDEX($BD$13:$BL$162,BP999,0))/100)))&gt;0)*($D$10:$L$10-($D$9:$L$9+INT(($S$12:$AA$12+INDEX($AJ$13:$AR$162,BN999,0)+INDEX($AT$13:$BB$162,BO999,0)+INDEX($BD$13:$BL$162,BP999,0))/100)))),0)</f>
        <v/>
      </c>
      <c r="BS999">
        <f>IF(986&lt;$U$9,SUMPRODUCT(($D$9:$L$9+INT(($S$12:$AA$12+INDEX($AJ$13:$AR$162,BN999,0)+INDEX($AT$13:$BB$162,BO999,0)+INDEX($BD$13:$BL$162,BP999,0))/100))),0)</f>
        <v/>
      </c>
      <c r="BT999">
        <f>IF(AND(986&lt;$U$9,$W$5),BQ999*1000000-MIN(BR999,999)*1000+BS999-986/100000,-1000000000-986)</f>
        <v/>
      </c>
    </row>
    <row r="1000">
      <c r="BN1000">
        <f>IF(987&lt;$U$9,INT(987/($U$7*$U$8))+1,1)</f>
        <v/>
      </c>
      <c r="BO1000">
        <f>IF(987&lt;$U$9,MOD(INT(987/$U$8),$U$7)+1,1)</f>
        <v/>
      </c>
      <c r="BP1000">
        <f>IF(987&lt;$U$9,MOD(987,$U$8)+1,1)</f>
        <v/>
      </c>
      <c r="BQ1000">
        <f>IF(987&lt;$U$9,SUMPRODUCT(($D$10:$L$10&lt;&gt;"")*(($D$9:$L$9+INT(($S$12:$AA$12+INDEX($AJ$13:$AR$162,BN1000,0)+INDEX($AT$13:$BB$162,BO1000,0)+INDEX($BD$13:$BL$162,BP1000,0))/100))&gt;=$D$10:$L$10)),0)</f>
        <v/>
      </c>
      <c r="BR1000">
        <f>IF(987&lt;$U$9,SUMPRODUCT(($D$10:$L$10&lt;&gt;"")*(($D$10:$L$10-($D$9:$L$9+INT(($S$12:$AA$12+INDEX($AJ$13:$AR$162,BN1000,0)+INDEX($AT$13:$BB$162,BO1000,0)+INDEX($BD$13:$BL$162,BP1000,0))/100)))&gt;0)*($D$10:$L$10-($D$9:$L$9+INT(($S$12:$AA$12+INDEX($AJ$13:$AR$162,BN1000,0)+INDEX($AT$13:$BB$162,BO1000,0)+INDEX($BD$13:$BL$162,BP1000,0))/100)))),0)</f>
        <v/>
      </c>
      <c r="BS1000">
        <f>IF(987&lt;$U$9,SUMPRODUCT(($D$9:$L$9+INT(($S$12:$AA$12+INDEX($AJ$13:$AR$162,BN1000,0)+INDEX($AT$13:$BB$162,BO1000,0)+INDEX($BD$13:$BL$162,BP1000,0))/100))),0)</f>
        <v/>
      </c>
      <c r="BT1000">
        <f>IF(AND(987&lt;$U$9,$W$5),BQ1000*1000000-MIN(BR1000,999)*1000+BS1000-987/100000,-1000000000-987)</f>
        <v/>
      </c>
    </row>
    <row r="1001">
      <c r="BN1001">
        <f>IF(988&lt;$U$9,INT(988/($U$7*$U$8))+1,1)</f>
        <v/>
      </c>
      <c r="BO1001">
        <f>IF(988&lt;$U$9,MOD(INT(988/$U$8),$U$7)+1,1)</f>
        <v/>
      </c>
      <c r="BP1001">
        <f>IF(988&lt;$U$9,MOD(988,$U$8)+1,1)</f>
        <v/>
      </c>
      <c r="BQ1001">
        <f>IF(988&lt;$U$9,SUMPRODUCT(($D$10:$L$10&lt;&gt;"")*(($D$9:$L$9+INT(($S$12:$AA$12+INDEX($AJ$13:$AR$162,BN1001,0)+INDEX($AT$13:$BB$162,BO1001,0)+INDEX($BD$13:$BL$162,BP1001,0))/100))&gt;=$D$10:$L$10)),0)</f>
        <v/>
      </c>
      <c r="BR1001">
        <f>IF(988&lt;$U$9,SUMPRODUCT(($D$10:$L$10&lt;&gt;"")*(($D$10:$L$10-($D$9:$L$9+INT(($S$12:$AA$12+INDEX($AJ$13:$AR$162,BN1001,0)+INDEX($AT$13:$BB$162,BO1001,0)+INDEX($BD$13:$BL$162,BP1001,0))/100)))&gt;0)*($D$10:$L$10-($D$9:$L$9+INT(($S$12:$AA$12+INDEX($AJ$13:$AR$162,BN1001,0)+INDEX($AT$13:$BB$162,BO1001,0)+INDEX($BD$13:$BL$162,BP1001,0))/100)))),0)</f>
        <v/>
      </c>
      <c r="BS1001">
        <f>IF(988&lt;$U$9,SUMPRODUCT(($D$9:$L$9+INT(($S$12:$AA$12+INDEX($AJ$13:$AR$162,BN1001,0)+INDEX($AT$13:$BB$162,BO1001,0)+INDEX($BD$13:$BL$162,BP1001,0))/100))),0)</f>
        <v/>
      </c>
      <c r="BT1001">
        <f>IF(AND(988&lt;$U$9,$W$5),BQ1001*1000000-MIN(BR1001,999)*1000+BS1001-988/100000,-1000000000-988)</f>
        <v/>
      </c>
    </row>
    <row r="1002">
      <c r="BN1002">
        <f>IF(989&lt;$U$9,INT(989/($U$7*$U$8))+1,1)</f>
        <v/>
      </c>
      <c r="BO1002">
        <f>IF(989&lt;$U$9,MOD(INT(989/$U$8),$U$7)+1,1)</f>
        <v/>
      </c>
      <c r="BP1002">
        <f>IF(989&lt;$U$9,MOD(989,$U$8)+1,1)</f>
        <v/>
      </c>
      <c r="BQ1002">
        <f>IF(989&lt;$U$9,SUMPRODUCT(($D$10:$L$10&lt;&gt;"")*(($D$9:$L$9+INT(($S$12:$AA$12+INDEX($AJ$13:$AR$162,BN1002,0)+INDEX($AT$13:$BB$162,BO1002,0)+INDEX($BD$13:$BL$162,BP1002,0))/100))&gt;=$D$10:$L$10)),0)</f>
        <v/>
      </c>
      <c r="BR1002">
        <f>IF(989&lt;$U$9,SUMPRODUCT(($D$10:$L$10&lt;&gt;"")*(($D$10:$L$10-($D$9:$L$9+INT(($S$12:$AA$12+INDEX($AJ$13:$AR$162,BN1002,0)+INDEX($AT$13:$BB$162,BO1002,0)+INDEX($BD$13:$BL$162,BP1002,0))/100)))&gt;0)*($D$10:$L$10-($D$9:$L$9+INT(($S$12:$AA$12+INDEX($AJ$13:$AR$162,BN1002,0)+INDEX($AT$13:$BB$162,BO1002,0)+INDEX($BD$13:$BL$162,BP1002,0))/100)))),0)</f>
        <v/>
      </c>
      <c r="BS1002">
        <f>IF(989&lt;$U$9,SUMPRODUCT(($D$9:$L$9+INT(($S$12:$AA$12+INDEX($AJ$13:$AR$162,BN1002,0)+INDEX($AT$13:$BB$162,BO1002,0)+INDEX($BD$13:$BL$162,BP1002,0))/100))),0)</f>
        <v/>
      </c>
      <c r="BT1002">
        <f>IF(AND(989&lt;$U$9,$W$5),BQ1002*1000000-MIN(BR1002,999)*1000+BS1002-989/100000,-1000000000-989)</f>
        <v/>
      </c>
    </row>
    <row r="1003">
      <c r="BN1003">
        <f>IF(990&lt;$U$9,INT(990/($U$7*$U$8))+1,1)</f>
        <v/>
      </c>
      <c r="BO1003">
        <f>IF(990&lt;$U$9,MOD(INT(990/$U$8),$U$7)+1,1)</f>
        <v/>
      </c>
      <c r="BP1003">
        <f>IF(990&lt;$U$9,MOD(990,$U$8)+1,1)</f>
        <v/>
      </c>
      <c r="BQ1003">
        <f>IF(990&lt;$U$9,SUMPRODUCT(($D$10:$L$10&lt;&gt;"")*(($D$9:$L$9+INT(($S$12:$AA$12+INDEX($AJ$13:$AR$162,BN1003,0)+INDEX($AT$13:$BB$162,BO1003,0)+INDEX($BD$13:$BL$162,BP1003,0))/100))&gt;=$D$10:$L$10)),0)</f>
        <v/>
      </c>
      <c r="BR1003">
        <f>IF(990&lt;$U$9,SUMPRODUCT(($D$10:$L$10&lt;&gt;"")*(($D$10:$L$10-($D$9:$L$9+INT(($S$12:$AA$12+INDEX($AJ$13:$AR$162,BN1003,0)+INDEX($AT$13:$BB$162,BO1003,0)+INDEX($BD$13:$BL$162,BP1003,0))/100)))&gt;0)*($D$10:$L$10-($D$9:$L$9+INT(($S$12:$AA$12+INDEX($AJ$13:$AR$162,BN1003,0)+INDEX($AT$13:$BB$162,BO1003,0)+INDEX($BD$13:$BL$162,BP1003,0))/100)))),0)</f>
        <v/>
      </c>
      <c r="BS1003">
        <f>IF(990&lt;$U$9,SUMPRODUCT(($D$9:$L$9+INT(($S$12:$AA$12+INDEX($AJ$13:$AR$162,BN1003,0)+INDEX($AT$13:$BB$162,BO1003,0)+INDEX($BD$13:$BL$162,BP1003,0))/100))),0)</f>
        <v/>
      </c>
      <c r="BT1003">
        <f>IF(AND(990&lt;$U$9,$W$5),BQ1003*1000000-MIN(BR1003,999)*1000+BS1003-990/100000,-1000000000-990)</f>
        <v/>
      </c>
    </row>
    <row r="1004">
      <c r="BN1004">
        <f>IF(991&lt;$U$9,INT(991/($U$7*$U$8))+1,1)</f>
        <v/>
      </c>
      <c r="BO1004">
        <f>IF(991&lt;$U$9,MOD(INT(991/$U$8),$U$7)+1,1)</f>
        <v/>
      </c>
      <c r="BP1004">
        <f>IF(991&lt;$U$9,MOD(991,$U$8)+1,1)</f>
        <v/>
      </c>
      <c r="BQ1004">
        <f>IF(991&lt;$U$9,SUMPRODUCT(($D$10:$L$10&lt;&gt;"")*(($D$9:$L$9+INT(($S$12:$AA$12+INDEX($AJ$13:$AR$162,BN1004,0)+INDEX($AT$13:$BB$162,BO1004,0)+INDEX($BD$13:$BL$162,BP1004,0))/100))&gt;=$D$10:$L$10)),0)</f>
        <v/>
      </c>
      <c r="BR1004">
        <f>IF(991&lt;$U$9,SUMPRODUCT(($D$10:$L$10&lt;&gt;"")*(($D$10:$L$10-($D$9:$L$9+INT(($S$12:$AA$12+INDEX($AJ$13:$AR$162,BN1004,0)+INDEX($AT$13:$BB$162,BO1004,0)+INDEX($BD$13:$BL$162,BP1004,0))/100)))&gt;0)*($D$10:$L$10-($D$9:$L$9+INT(($S$12:$AA$12+INDEX($AJ$13:$AR$162,BN1004,0)+INDEX($AT$13:$BB$162,BO1004,0)+INDEX($BD$13:$BL$162,BP1004,0))/100)))),0)</f>
        <v/>
      </c>
      <c r="BS1004">
        <f>IF(991&lt;$U$9,SUMPRODUCT(($D$9:$L$9+INT(($S$12:$AA$12+INDEX($AJ$13:$AR$162,BN1004,0)+INDEX($AT$13:$BB$162,BO1004,0)+INDEX($BD$13:$BL$162,BP1004,0))/100))),0)</f>
        <v/>
      </c>
      <c r="BT1004">
        <f>IF(AND(991&lt;$U$9,$W$5),BQ1004*1000000-MIN(BR1004,999)*1000+BS1004-991/100000,-1000000000-991)</f>
        <v/>
      </c>
    </row>
    <row r="1005">
      <c r="BN1005">
        <f>IF(992&lt;$U$9,INT(992/($U$7*$U$8))+1,1)</f>
        <v/>
      </c>
      <c r="BO1005">
        <f>IF(992&lt;$U$9,MOD(INT(992/$U$8),$U$7)+1,1)</f>
        <v/>
      </c>
      <c r="BP1005">
        <f>IF(992&lt;$U$9,MOD(992,$U$8)+1,1)</f>
        <v/>
      </c>
      <c r="BQ1005">
        <f>IF(992&lt;$U$9,SUMPRODUCT(($D$10:$L$10&lt;&gt;"")*(($D$9:$L$9+INT(($S$12:$AA$12+INDEX($AJ$13:$AR$162,BN1005,0)+INDEX($AT$13:$BB$162,BO1005,0)+INDEX($BD$13:$BL$162,BP1005,0))/100))&gt;=$D$10:$L$10)),0)</f>
        <v/>
      </c>
      <c r="BR1005">
        <f>IF(992&lt;$U$9,SUMPRODUCT(($D$10:$L$10&lt;&gt;"")*(($D$10:$L$10-($D$9:$L$9+INT(($S$12:$AA$12+INDEX($AJ$13:$AR$162,BN1005,0)+INDEX($AT$13:$BB$162,BO1005,0)+INDEX($BD$13:$BL$162,BP1005,0))/100)))&gt;0)*($D$10:$L$10-($D$9:$L$9+INT(($S$12:$AA$12+INDEX($AJ$13:$AR$162,BN1005,0)+INDEX($AT$13:$BB$162,BO1005,0)+INDEX($BD$13:$BL$162,BP1005,0))/100)))),0)</f>
        <v/>
      </c>
      <c r="BS1005">
        <f>IF(992&lt;$U$9,SUMPRODUCT(($D$9:$L$9+INT(($S$12:$AA$12+INDEX($AJ$13:$AR$162,BN1005,0)+INDEX($AT$13:$BB$162,BO1005,0)+INDEX($BD$13:$BL$162,BP1005,0))/100))),0)</f>
        <v/>
      </c>
      <c r="BT1005">
        <f>IF(AND(992&lt;$U$9,$W$5),BQ1005*1000000-MIN(BR1005,999)*1000+BS1005-992/100000,-1000000000-992)</f>
        <v/>
      </c>
    </row>
    <row r="1006">
      <c r="BN1006">
        <f>IF(993&lt;$U$9,INT(993/($U$7*$U$8))+1,1)</f>
        <v/>
      </c>
      <c r="BO1006">
        <f>IF(993&lt;$U$9,MOD(INT(993/$U$8),$U$7)+1,1)</f>
        <v/>
      </c>
      <c r="BP1006">
        <f>IF(993&lt;$U$9,MOD(993,$U$8)+1,1)</f>
        <v/>
      </c>
      <c r="BQ1006">
        <f>IF(993&lt;$U$9,SUMPRODUCT(($D$10:$L$10&lt;&gt;"")*(($D$9:$L$9+INT(($S$12:$AA$12+INDEX($AJ$13:$AR$162,BN1006,0)+INDEX($AT$13:$BB$162,BO1006,0)+INDEX($BD$13:$BL$162,BP1006,0))/100))&gt;=$D$10:$L$10)),0)</f>
        <v/>
      </c>
      <c r="BR1006">
        <f>IF(993&lt;$U$9,SUMPRODUCT(($D$10:$L$10&lt;&gt;"")*(($D$10:$L$10-($D$9:$L$9+INT(($S$12:$AA$12+INDEX($AJ$13:$AR$162,BN1006,0)+INDEX($AT$13:$BB$162,BO1006,0)+INDEX($BD$13:$BL$162,BP1006,0))/100)))&gt;0)*($D$10:$L$10-($D$9:$L$9+INT(($S$12:$AA$12+INDEX($AJ$13:$AR$162,BN1006,0)+INDEX($AT$13:$BB$162,BO1006,0)+INDEX($BD$13:$BL$162,BP1006,0))/100)))),0)</f>
        <v/>
      </c>
      <c r="BS1006">
        <f>IF(993&lt;$U$9,SUMPRODUCT(($D$9:$L$9+INT(($S$12:$AA$12+INDEX($AJ$13:$AR$162,BN1006,0)+INDEX($AT$13:$BB$162,BO1006,0)+INDEX($BD$13:$BL$162,BP1006,0))/100))),0)</f>
        <v/>
      </c>
      <c r="BT1006">
        <f>IF(AND(993&lt;$U$9,$W$5),BQ1006*1000000-MIN(BR1006,999)*1000+BS1006-993/100000,-1000000000-993)</f>
        <v/>
      </c>
    </row>
    <row r="1007">
      <c r="BN1007">
        <f>IF(994&lt;$U$9,INT(994/($U$7*$U$8))+1,1)</f>
        <v/>
      </c>
      <c r="BO1007">
        <f>IF(994&lt;$U$9,MOD(INT(994/$U$8),$U$7)+1,1)</f>
        <v/>
      </c>
      <c r="BP1007">
        <f>IF(994&lt;$U$9,MOD(994,$U$8)+1,1)</f>
        <v/>
      </c>
      <c r="BQ1007">
        <f>IF(994&lt;$U$9,SUMPRODUCT(($D$10:$L$10&lt;&gt;"")*(($D$9:$L$9+INT(($S$12:$AA$12+INDEX($AJ$13:$AR$162,BN1007,0)+INDEX($AT$13:$BB$162,BO1007,0)+INDEX($BD$13:$BL$162,BP1007,0))/100))&gt;=$D$10:$L$10)),0)</f>
        <v/>
      </c>
      <c r="BR1007">
        <f>IF(994&lt;$U$9,SUMPRODUCT(($D$10:$L$10&lt;&gt;"")*(($D$10:$L$10-($D$9:$L$9+INT(($S$12:$AA$12+INDEX($AJ$13:$AR$162,BN1007,0)+INDEX($AT$13:$BB$162,BO1007,0)+INDEX($BD$13:$BL$162,BP1007,0))/100)))&gt;0)*($D$10:$L$10-($D$9:$L$9+INT(($S$12:$AA$12+INDEX($AJ$13:$AR$162,BN1007,0)+INDEX($AT$13:$BB$162,BO1007,0)+INDEX($BD$13:$BL$162,BP1007,0))/100)))),0)</f>
        <v/>
      </c>
      <c r="BS1007">
        <f>IF(994&lt;$U$9,SUMPRODUCT(($D$9:$L$9+INT(($S$12:$AA$12+INDEX($AJ$13:$AR$162,BN1007,0)+INDEX($AT$13:$BB$162,BO1007,0)+INDEX($BD$13:$BL$162,BP1007,0))/100))),0)</f>
        <v/>
      </c>
      <c r="BT1007">
        <f>IF(AND(994&lt;$U$9,$W$5),BQ1007*1000000-MIN(BR1007,999)*1000+BS1007-994/100000,-1000000000-994)</f>
        <v/>
      </c>
    </row>
    <row r="1008">
      <c r="BN1008">
        <f>IF(995&lt;$U$9,INT(995/($U$7*$U$8))+1,1)</f>
        <v/>
      </c>
      <c r="BO1008">
        <f>IF(995&lt;$U$9,MOD(INT(995/$U$8),$U$7)+1,1)</f>
        <v/>
      </c>
      <c r="BP1008">
        <f>IF(995&lt;$U$9,MOD(995,$U$8)+1,1)</f>
        <v/>
      </c>
      <c r="BQ1008">
        <f>IF(995&lt;$U$9,SUMPRODUCT(($D$10:$L$10&lt;&gt;"")*(($D$9:$L$9+INT(($S$12:$AA$12+INDEX($AJ$13:$AR$162,BN1008,0)+INDEX($AT$13:$BB$162,BO1008,0)+INDEX($BD$13:$BL$162,BP1008,0))/100))&gt;=$D$10:$L$10)),0)</f>
        <v/>
      </c>
      <c r="BR1008">
        <f>IF(995&lt;$U$9,SUMPRODUCT(($D$10:$L$10&lt;&gt;"")*(($D$10:$L$10-($D$9:$L$9+INT(($S$12:$AA$12+INDEX($AJ$13:$AR$162,BN1008,0)+INDEX($AT$13:$BB$162,BO1008,0)+INDEX($BD$13:$BL$162,BP1008,0))/100)))&gt;0)*($D$10:$L$10-($D$9:$L$9+INT(($S$12:$AA$12+INDEX($AJ$13:$AR$162,BN1008,0)+INDEX($AT$13:$BB$162,BO1008,0)+INDEX($BD$13:$BL$162,BP1008,0))/100)))),0)</f>
        <v/>
      </c>
      <c r="BS1008">
        <f>IF(995&lt;$U$9,SUMPRODUCT(($D$9:$L$9+INT(($S$12:$AA$12+INDEX($AJ$13:$AR$162,BN1008,0)+INDEX($AT$13:$BB$162,BO1008,0)+INDEX($BD$13:$BL$162,BP1008,0))/100))),0)</f>
        <v/>
      </c>
      <c r="BT1008">
        <f>IF(AND(995&lt;$U$9,$W$5),BQ1008*1000000-MIN(BR1008,999)*1000+BS1008-995/100000,-1000000000-995)</f>
        <v/>
      </c>
    </row>
    <row r="1009">
      <c r="BN1009">
        <f>IF(996&lt;$U$9,INT(996/($U$7*$U$8))+1,1)</f>
        <v/>
      </c>
      <c r="BO1009">
        <f>IF(996&lt;$U$9,MOD(INT(996/$U$8),$U$7)+1,1)</f>
        <v/>
      </c>
      <c r="BP1009">
        <f>IF(996&lt;$U$9,MOD(996,$U$8)+1,1)</f>
        <v/>
      </c>
      <c r="BQ1009">
        <f>IF(996&lt;$U$9,SUMPRODUCT(($D$10:$L$10&lt;&gt;"")*(($D$9:$L$9+INT(($S$12:$AA$12+INDEX($AJ$13:$AR$162,BN1009,0)+INDEX($AT$13:$BB$162,BO1009,0)+INDEX($BD$13:$BL$162,BP1009,0))/100))&gt;=$D$10:$L$10)),0)</f>
        <v/>
      </c>
      <c r="BR1009">
        <f>IF(996&lt;$U$9,SUMPRODUCT(($D$10:$L$10&lt;&gt;"")*(($D$10:$L$10-($D$9:$L$9+INT(($S$12:$AA$12+INDEX($AJ$13:$AR$162,BN1009,0)+INDEX($AT$13:$BB$162,BO1009,0)+INDEX($BD$13:$BL$162,BP1009,0))/100)))&gt;0)*($D$10:$L$10-($D$9:$L$9+INT(($S$12:$AA$12+INDEX($AJ$13:$AR$162,BN1009,0)+INDEX($AT$13:$BB$162,BO1009,0)+INDEX($BD$13:$BL$162,BP1009,0))/100)))),0)</f>
        <v/>
      </c>
      <c r="BS1009">
        <f>IF(996&lt;$U$9,SUMPRODUCT(($D$9:$L$9+INT(($S$12:$AA$12+INDEX($AJ$13:$AR$162,BN1009,0)+INDEX($AT$13:$BB$162,BO1009,0)+INDEX($BD$13:$BL$162,BP1009,0))/100))),0)</f>
        <v/>
      </c>
      <c r="BT1009">
        <f>IF(AND(996&lt;$U$9,$W$5),BQ1009*1000000-MIN(BR1009,999)*1000+BS1009-996/100000,-1000000000-996)</f>
        <v/>
      </c>
    </row>
    <row r="1010">
      <c r="BN1010">
        <f>IF(997&lt;$U$9,INT(997/($U$7*$U$8))+1,1)</f>
        <v/>
      </c>
      <c r="BO1010">
        <f>IF(997&lt;$U$9,MOD(INT(997/$U$8),$U$7)+1,1)</f>
        <v/>
      </c>
      <c r="BP1010">
        <f>IF(997&lt;$U$9,MOD(997,$U$8)+1,1)</f>
        <v/>
      </c>
      <c r="BQ1010">
        <f>IF(997&lt;$U$9,SUMPRODUCT(($D$10:$L$10&lt;&gt;"")*(($D$9:$L$9+INT(($S$12:$AA$12+INDEX($AJ$13:$AR$162,BN1010,0)+INDEX($AT$13:$BB$162,BO1010,0)+INDEX($BD$13:$BL$162,BP1010,0))/100))&gt;=$D$10:$L$10)),0)</f>
        <v/>
      </c>
      <c r="BR1010">
        <f>IF(997&lt;$U$9,SUMPRODUCT(($D$10:$L$10&lt;&gt;"")*(($D$10:$L$10-($D$9:$L$9+INT(($S$12:$AA$12+INDEX($AJ$13:$AR$162,BN1010,0)+INDEX($AT$13:$BB$162,BO1010,0)+INDEX($BD$13:$BL$162,BP1010,0))/100)))&gt;0)*($D$10:$L$10-($D$9:$L$9+INT(($S$12:$AA$12+INDEX($AJ$13:$AR$162,BN1010,0)+INDEX($AT$13:$BB$162,BO1010,0)+INDEX($BD$13:$BL$162,BP1010,0))/100)))),0)</f>
        <v/>
      </c>
      <c r="BS1010">
        <f>IF(997&lt;$U$9,SUMPRODUCT(($D$9:$L$9+INT(($S$12:$AA$12+INDEX($AJ$13:$AR$162,BN1010,0)+INDEX($AT$13:$BB$162,BO1010,0)+INDEX($BD$13:$BL$162,BP1010,0))/100))),0)</f>
        <v/>
      </c>
      <c r="BT1010">
        <f>IF(AND(997&lt;$U$9,$W$5),BQ1010*1000000-MIN(BR1010,999)*1000+BS1010-997/100000,-1000000000-997)</f>
        <v/>
      </c>
    </row>
    <row r="1011">
      <c r="BN1011">
        <f>IF(998&lt;$U$9,INT(998/($U$7*$U$8))+1,1)</f>
        <v/>
      </c>
      <c r="BO1011">
        <f>IF(998&lt;$U$9,MOD(INT(998/$U$8),$U$7)+1,1)</f>
        <v/>
      </c>
      <c r="BP1011">
        <f>IF(998&lt;$U$9,MOD(998,$U$8)+1,1)</f>
        <v/>
      </c>
      <c r="BQ1011">
        <f>IF(998&lt;$U$9,SUMPRODUCT(($D$10:$L$10&lt;&gt;"")*(($D$9:$L$9+INT(($S$12:$AA$12+INDEX($AJ$13:$AR$162,BN1011,0)+INDEX($AT$13:$BB$162,BO1011,0)+INDEX($BD$13:$BL$162,BP1011,0))/100))&gt;=$D$10:$L$10)),0)</f>
        <v/>
      </c>
      <c r="BR1011">
        <f>IF(998&lt;$U$9,SUMPRODUCT(($D$10:$L$10&lt;&gt;"")*(($D$10:$L$10-($D$9:$L$9+INT(($S$12:$AA$12+INDEX($AJ$13:$AR$162,BN1011,0)+INDEX($AT$13:$BB$162,BO1011,0)+INDEX($BD$13:$BL$162,BP1011,0))/100)))&gt;0)*($D$10:$L$10-($D$9:$L$9+INT(($S$12:$AA$12+INDEX($AJ$13:$AR$162,BN1011,0)+INDEX($AT$13:$BB$162,BO1011,0)+INDEX($BD$13:$BL$162,BP1011,0))/100)))),0)</f>
        <v/>
      </c>
      <c r="BS1011">
        <f>IF(998&lt;$U$9,SUMPRODUCT(($D$9:$L$9+INT(($S$12:$AA$12+INDEX($AJ$13:$AR$162,BN1011,0)+INDEX($AT$13:$BB$162,BO1011,0)+INDEX($BD$13:$BL$162,BP1011,0))/100))),0)</f>
        <v/>
      </c>
      <c r="BT1011">
        <f>IF(AND(998&lt;$U$9,$W$5),BQ1011*1000000-MIN(BR1011,999)*1000+BS1011-998/100000,-1000000000-998)</f>
        <v/>
      </c>
    </row>
    <row r="1012">
      <c r="BN1012">
        <f>IF(999&lt;$U$9,INT(999/($U$7*$U$8))+1,1)</f>
        <v/>
      </c>
      <c r="BO1012">
        <f>IF(999&lt;$U$9,MOD(INT(999/$U$8),$U$7)+1,1)</f>
        <v/>
      </c>
      <c r="BP1012">
        <f>IF(999&lt;$U$9,MOD(999,$U$8)+1,1)</f>
        <v/>
      </c>
      <c r="BQ1012">
        <f>IF(999&lt;$U$9,SUMPRODUCT(($D$10:$L$10&lt;&gt;"")*(($D$9:$L$9+INT(($S$12:$AA$12+INDEX($AJ$13:$AR$162,BN1012,0)+INDEX($AT$13:$BB$162,BO1012,0)+INDEX($BD$13:$BL$162,BP1012,0))/100))&gt;=$D$10:$L$10)),0)</f>
        <v/>
      </c>
      <c r="BR1012">
        <f>IF(999&lt;$U$9,SUMPRODUCT(($D$10:$L$10&lt;&gt;"")*(($D$10:$L$10-($D$9:$L$9+INT(($S$12:$AA$12+INDEX($AJ$13:$AR$162,BN1012,0)+INDEX($AT$13:$BB$162,BO1012,0)+INDEX($BD$13:$BL$162,BP1012,0))/100)))&gt;0)*($D$10:$L$10-($D$9:$L$9+INT(($S$12:$AA$12+INDEX($AJ$13:$AR$162,BN1012,0)+INDEX($AT$13:$BB$162,BO1012,0)+INDEX($BD$13:$BL$162,BP1012,0))/100)))),0)</f>
        <v/>
      </c>
      <c r="BS1012">
        <f>IF(999&lt;$U$9,SUMPRODUCT(($D$9:$L$9+INT(($S$12:$AA$12+INDEX($AJ$13:$AR$162,BN1012,0)+INDEX($AT$13:$BB$162,BO1012,0)+INDEX($BD$13:$BL$162,BP1012,0))/100))),0)</f>
        <v/>
      </c>
      <c r="BT1012">
        <f>IF(AND(999&lt;$U$9,$W$5),BQ1012*1000000-MIN(BR1012,999)*1000+BS1012-999/100000,-1000000000-999)</f>
        <v/>
      </c>
    </row>
    <row r="1013">
      <c r="BN1013">
        <f>IF(1000&lt;$U$9,INT(1000/($U$7*$U$8))+1,1)</f>
        <v/>
      </c>
      <c r="BO1013">
        <f>IF(1000&lt;$U$9,MOD(INT(1000/$U$8),$U$7)+1,1)</f>
        <v/>
      </c>
      <c r="BP1013">
        <f>IF(1000&lt;$U$9,MOD(1000,$U$8)+1,1)</f>
        <v/>
      </c>
      <c r="BQ1013">
        <f>IF(1000&lt;$U$9,SUMPRODUCT(($D$10:$L$10&lt;&gt;"")*(($D$9:$L$9+INT(($S$12:$AA$12+INDEX($AJ$13:$AR$162,BN1013,0)+INDEX($AT$13:$BB$162,BO1013,0)+INDEX($BD$13:$BL$162,BP1013,0))/100))&gt;=$D$10:$L$10)),0)</f>
        <v/>
      </c>
      <c r="BR1013">
        <f>IF(1000&lt;$U$9,SUMPRODUCT(($D$10:$L$10&lt;&gt;"")*(($D$10:$L$10-($D$9:$L$9+INT(($S$12:$AA$12+INDEX($AJ$13:$AR$162,BN1013,0)+INDEX($AT$13:$BB$162,BO1013,0)+INDEX($BD$13:$BL$162,BP1013,0))/100)))&gt;0)*($D$10:$L$10-($D$9:$L$9+INT(($S$12:$AA$12+INDEX($AJ$13:$AR$162,BN1013,0)+INDEX($AT$13:$BB$162,BO1013,0)+INDEX($BD$13:$BL$162,BP1013,0))/100)))),0)</f>
        <v/>
      </c>
      <c r="BS1013">
        <f>IF(1000&lt;$U$9,SUMPRODUCT(($D$9:$L$9+INT(($S$12:$AA$12+INDEX($AJ$13:$AR$162,BN1013,0)+INDEX($AT$13:$BB$162,BO1013,0)+INDEX($BD$13:$BL$162,BP1013,0))/100))),0)</f>
        <v/>
      </c>
      <c r="BT1013">
        <f>IF(AND(1000&lt;$U$9,$W$5),BQ1013*1000000-MIN(BR1013,999)*1000+BS1013-1000/100000,-1000000000-1000)</f>
        <v/>
      </c>
    </row>
    <row r="1014">
      <c r="BN1014">
        <f>IF(1001&lt;$U$9,INT(1001/($U$7*$U$8))+1,1)</f>
        <v/>
      </c>
      <c r="BO1014">
        <f>IF(1001&lt;$U$9,MOD(INT(1001/$U$8),$U$7)+1,1)</f>
        <v/>
      </c>
      <c r="BP1014">
        <f>IF(1001&lt;$U$9,MOD(1001,$U$8)+1,1)</f>
        <v/>
      </c>
      <c r="BQ1014">
        <f>IF(1001&lt;$U$9,SUMPRODUCT(($D$10:$L$10&lt;&gt;"")*(($D$9:$L$9+INT(($S$12:$AA$12+INDEX($AJ$13:$AR$162,BN1014,0)+INDEX($AT$13:$BB$162,BO1014,0)+INDEX($BD$13:$BL$162,BP1014,0))/100))&gt;=$D$10:$L$10)),0)</f>
        <v/>
      </c>
      <c r="BR1014">
        <f>IF(1001&lt;$U$9,SUMPRODUCT(($D$10:$L$10&lt;&gt;"")*(($D$10:$L$10-($D$9:$L$9+INT(($S$12:$AA$12+INDEX($AJ$13:$AR$162,BN1014,0)+INDEX($AT$13:$BB$162,BO1014,0)+INDEX($BD$13:$BL$162,BP1014,0))/100)))&gt;0)*($D$10:$L$10-($D$9:$L$9+INT(($S$12:$AA$12+INDEX($AJ$13:$AR$162,BN1014,0)+INDEX($AT$13:$BB$162,BO1014,0)+INDEX($BD$13:$BL$162,BP1014,0))/100)))),0)</f>
        <v/>
      </c>
      <c r="BS1014">
        <f>IF(1001&lt;$U$9,SUMPRODUCT(($D$9:$L$9+INT(($S$12:$AA$12+INDEX($AJ$13:$AR$162,BN1014,0)+INDEX($AT$13:$BB$162,BO1014,0)+INDEX($BD$13:$BL$162,BP1014,0))/100))),0)</f>
        <v/>
      </c>
      <c r="BT1014">
        <f>IF(AND(1001&lt;$U$9,$W$5),BQ1014*1000000-MIN(BR1014,999)*1000+BS1014-1001/100000,-1000000000-1001)</f>
        <v/>
      </c>
    </row>
    <row r="1015">
      <c r="BN1015">
        <f>IF(1002&lt;$U$9,INT(1002/($U$7*$U$8))+1,1)</f>
        <v/>
      </c>
      <c r="BO1015">
        <f>IF(1002&lt;$U$9,MOD(INT(1002/$U$8),$U$7)+1,1)</f>
        <v/>
      </c>
      <c r="BP1015">
        <f>IF(1002&lt;$U$9,MOD(1002,$U$8)+1,1)</f>
        <v/>
      </c>
      <c r="BQ1015">
        <f>IF(1002&lt;$U$9,SUMPRODUCT(($D$10:$L$10&lt;&gt;"")*(($D$9:$L$9+INT(($S$12:$AA$12+INDEX($AJ$13:$AR$162,BN1015,0)+INDEX($AT$13:$BB$162,BO1015,0)+INDEX($BD$13:$BL$162,BP1015,0))/100))&gt;=$D$10:$L$10)),0)</f>
        <v/>
      </c>
      <c r="BR1015">
        <f>IF(1002&lt;$U$9,SUMPRODUCT(($D$10:$L$10&lt;&gt;"")*(($D$10:$L$10-($D$9:$L$9+INT(($S$12:$AA$12+INDEX($AJ$13:$AR$162,BN1015,0)+INDEX($AT$13:$BB$162,BO1015,0)+INDEX($BD$13:$BL$162,BP1015,0))/100)))&gt;0)*($D$10:$L$10-($D$9:$L$9+INT(($S$12:$AA$12+INDEX($AJ$13:$AR$162,BN1015,0)+INDEX($AT$13:$BB$162,BO1015,0)+INDEX($BD$13:$BL$162,BP1015,0))/100)))),0)</f>
        <v/>
      </c>
      <c r="BS1015">
        <f>IF(1002&lt;$U$9,SUMPRODUCT(($D$9:$L$9+INT(($S$12:$AA$12+INDEX($AJ$13:$AR$162,BN1015,0)+INDEX($AT$13:$BB$162,BO1015,0)+INDEX($BD$13:$BL$162,BP1015,0))/100))),0)</f>
        <v/>
      </c>
      <c r="BT1015">
        <f>IF(AND(1002&lt;$U$9,$W$5),BQ1015*1000000-MIN(BR1015,999)*1000+BS1015-1002/100000,-1000000000-1002)</f>
        <v/>
      </c>
    </row>
    <row r="1016">
      <c r="BN1016">
        <f>IF(1003&lt;$U$9,INT(1003/($U$7*$U$8))+1,1)</f>
        <v/>
      </c>
      <c r="BO1016">
        <f>IF(1003&lt;$U$9,MOD(INT(1003/$U$8),$U$7)+1,1)</f>
        <v/>
      </c>
      <c r="BP1016">
        <f>IF(1003&lt;$U$9,MOD(1003,$U$8)+1,1)</f>
        <v/>
      </c>
      <c r="BQ1016">
        <f>IF(1003&lt;$U$9,SUMPRODUCT(($D$10:$L$10&lt;&gt;"")*(($D$9:$L$9+INT(($S$12:$AA$12+INDEX($AJ$13:$AR$162,BN1016,0)+INDEX($AT$13:$BB$162,BO1016,0)+INDEX($BD$13:$BL$162,BP1016,0))/100))&gt;=$D$10:$L$10)),0)</f>
        <v/>
      </c>
      <c r="BR1016">
        <f>IF(1003&lt;$U$9,SUMPRODUCT(($D$10:$L$10&lt;&gt;"")*(($D$10:$L$10-($D$9:$L$9+INT(($S$12:$AA$12+INDEX($AJ$13:$AR$162,BN1016,0)+INDEX($AT$13:$BB$162,BO1016,0)+INDEX($BD$13:$BL$162,BP1016,0))/100)))&gt;0)*($D$10:$L$10-($D$9:$L$9+INT(($S$12:$AA$12+INDEX($AJ$13:$AR$162,BN1016,0)+INDEX($AT$13:$BB$162,BO1016,0)+INDEX($BD$13:$BL$162,BP1016,0))/100)))),0)</f>
        <v/>
      </c>
      <c r="BS1016">
        <f>IF(1003&lt;$U$9,SUMPRODUCT(($D$9:$L$9+INT(($S$12:$AA$12+INDEX($AJ$13:$AR$162,BN1016,0)+INDEX($AT$13:$BB$162,BO1016,0)+INDEX($BD$13:$BL$162,BP1016,0))/100))),0)</f>
        <v/>
      </c>
      <c r="BT1016">
        <f>IF(AND(1003&lt;$U$9,$W$5),BQ1016*1000000-MIN(BR1016,999)*1000+BS1016-1003/100000,-1000000000-1003)</f>
        <v/>
      </c>
    </row>
    <row r="1017">
      <c r="BN1017">
        <f>IF(1004&lt;$U$9,INT(1004/($U$7*$U$8))+1,1)</f>
        <v/>
      </c>
      <c r="BO1017">
        <f>IF(1004&lt;$U$9,MOD(INT(1004/$U$8),$U$7)+1,1)</f>
        <v/>
      </c>
      <c r="BP1017">
        <f>IF(1004&lt;$U$9,MOD(1004,$U$8)+1,1)</f>
        <v/>
      </c>
      <c r="BQ1017">
        <f>IF(1004&lt;$U$9,SUMPRODUCT(($D$10:$L$10&lt;&gt;"")*(($D$9:$L$9+INT(($S$12:$AA$12+INDEX($AJ$13:$AR$162,BN1017,0)+INDEX($AT$13:$BB$162,BO1017,0)+INDEX($BD$13:$BL$162,BP1017,0))/100))&gt;=$D$10:$L$10)),0)</f>
        <v/>
      </c>
      <c r="BR1017">
        <f>IF(1004&lt;$U$9,SUMPRODUCT(($D$10:$L$10&lt;&gt;"")*(($D$10:$L$10-($D$9:$L$9+INT(($S$12:$AA$12+INDEX($AJ$13:$AR$162,BN1017,0)+INDEX($AT$13:$BB$162,BO1017,0)+INDEX($BD$13:$BL$162,BP1017,0))/100)))&gt;0)*($D$10:$L$10-($D$9:$L$9+INT(($S$12:$AA$12+INDEX($AJ$13:$AR$162,BN1017,0)+INDEX($AT$13:$BB$162,BO1017,0)+INDEX($BD$13:$BL$162,BP1017,0))/100)))),0)</f>
        <v/>
      </c>
      <c r="BS1017">
        <f>IF(1004&lt;$U$9,SUMPRODUCT(($D$9:$L$9+INT(($S$12:$AA$12+INDEX($AJ$13:$AR$162,BN1017,0)+INDEX($AT$13:$BB$162,BO1017,0)+INDEX($BD$13:$BL$162,BP1017,0))/100))),0)</f>
        <v/>
      </c>
      <c r="BT1017">
        <f>IF(AND(1004&lt;$U$9,$W$5),BQ1017*1000000-MIN(BR1017,999)*1000+BS1017-1004/100000,-1000000000-1004)</f>
        <v/>
      </c>
    </row>
    <row r="1018">
      <c r="BN1018">
        <f>IF(1005&lt;$U$9,INT(1005/($U$7*$U$8))+1,1)</f>
        <v/>
      </c>
      <c r="BO1018">
        <f>IF(1005&lt;$U$9,MOD(INT(1005/$U$8),$U$7)+1,1)</f>
        <v/>
      </c>
      <c r="BP1018">
        <f>IF(1005&lt;$U$9,MOD(1005,$U$8)+1,1)</f>
        <v/>
      </c>
      <c r="BQ1018">
        <f>IF(1005&lt;$U$9,SUMPRODUCT(($D$10:$L$10&lt;&gt;"")*(($D$9:$L$9+INT(($S$12:$AA$12+INDEX($AJ$13:$AR$162,BN1018,0)+INDEX($AT$13:$BB$162,BO1018,0)+INDEX($BD$13:$BL$162,BP1018,0))/100))&gt;=$D$10:$L$10)),0)</f>
        <v/>
      </c>
      <c r="BR1018">
        <f>IF(1005&lt;$U$9,SUMPRODUCT(($D$10:$L$10&lt;&gt;"")*(($D$10:$L$10-($D$9:$L$9+INT(($S$12:$AA$12+INDEX($AJ$13:$AR$162,BN1018,0)+INDEX($AT$13:$BB$162,BO1018,0)+INDEX($BD$13:$BL$162,BP1018,0))/100)))&gt;0)*($D$10:$L$10-($D$9:$L$9+INT(($S$12:$AA$12+INDEX($AJ$13:$AR$162,BN1018,0)+INDEX($AT$13:$BB$162,BO1018,0)+INDEX($BD$13:$BL$162,BP1018,0))/100)))),0)</f>
        <v/>
      </c>
      <c r="BS1018">
        <f>IF(1005&lt;$U$9,SUMPRODUCT(($D$9:$L$9+INT(($S$12:$AA$12+INDEX($AJ$13:$AR$162,BN1018,0)+INDEX($AT$13:$BB$162,BO1018,0)+INDEX($BD$13:$BL$162,BP1018,0))/100))),0)</f>
        <v/>
      </c>
      <c r="BT1018">
        <f>IF(AND(1005&lt;$U$9,$W$5),BQ1018*1000000-MIN(BR1018,999)*1000+BS1018-1005/100000,-1000000000-1005)</f>
        <v/>
      </c>
    </row>
    <row r="1019">
      <c r="BN1019">
        <f>IF(1006&lt;$U$9,INT(1006/($U$7*$U$8))+1,1)</f>
        <v/>
      </c>
      <c r="BO1019">
        <f>IF(1006&lt;$U$9,MOD(INT(1006/$U$8),$U$7)+1,1)</f>
        <v/>
      </c>
      <c r="BP1019">
        <f>IF(1006&lt;$U$9,MOD(1006,$U$8)+1,1)</f>
        <v/>
      </c>
      <c r="BQ1019">
        <f>IF(1006&lt;$U$9,SUMPRODUCT(($D$10:$L$10&lt;&gt;"")*(($D$9:$L$9+INT(($S$12:$AA$12+INDEX($AJ$13:$AR$162,BN1019,0)+INDEX($AT$13:$BB$162,BO1019,0)+INDEX($BD$13:$BL$162,BP1019,0))/100))&gt;=$D$10:$L$10)),0)</f>
        <v/>
      </c>
      <c r="BR1019">
        <f>IF(1006&lt;$U$9,SUMPRODUCT(($D$10:$L$10&lt;&gt;"")*(($D$10:$L$10-($D$9:$L$9+INT(($S$12:$AA$12+INDEX($AJ$13:$AR$162,BN1019,0)+INDEX($AT$13:$BB$162,BO1019,0)+INDEX($BD$13:$BL$162,BP1019,0))/100)))&gt;0)*($D$10:$L$10-($D$9:$L$9+INT(($S$12:$AA$12+INDEX($AJ$13:$AR$162,BN1019,0)+INDEX($AT$13:$BB$162,BO1019,0)+INDEX($BD$13:$BL$162,BP1019,0))/100)))),0)</f>
        <v/>
      </c>
      <c r="BS1019">
        <f>IF(1006&lt;$U$9,SUMPRODUCT(($D$9:$L$9+INT(($S$12:$AA$12+INDEX($AJ$13:$AR$162,BN1019,0)+INDEX($AT$13:$BB$162,BO1019,0)+INDEX($BD$13:$BL$162,BP1019,0))/100))),0)</f>
        <v/>
      </c>
      <c r="BT1019">
        <f>IF(AND(1006&lt;$U$9,$W$5),BQ1019*1000000-MIN(BR1019,999)*1000+BS1019-1006/100000,-1000000000-1006)</f>
        <v/>
      </c>
    </row>
    <row r="1020">
      <c r="BN1020">
        <f>IF(1007&lt;$U$9,INT(1007/($U$7*$U$8))+1,1)</f>
        <v/>
      </c>
      <c r="BO1020">
        <f>IF(1007&lt;$U$9,MOD(INT(1007/$U$8),$U$7)+1,1)</f>
        <v/>
      </c>
      <c r="BP1020">
        <f>IF(1007&lt;$U$9,MOD(1007,$U$8)+1,1)</f>
        <v/>
      </c>
      <c r="BQ1020">
        <f>IF(1007&lt;$U$9,SUMPRODUCT(($D$10:$L$10&lt;&gt;"")*(($D$9:$L$9+INT(($S$12:$AA$12+INDEX($AJ$13:$AR$162,BN1020,0)+INDEX($AT$13:$BB$162,BO1020,0)+INDEX($BD$13:$BL$162,BP1020,0))/100))&gt;=$D$10:$L$10)),0)</f>
        <v/>
      </c>
      <c r="BR1020">
        <f>IF(1007&lt;$U$9,SUMPRODUCT(($D$10:$L$10&lt;&gt;"")*(($D$10:$L$10-($D$9:$L$9+INT(($S$12:$AA$12+INDEX($AJ$13:$AR$162,BN1020,0)+INDEX($AT$13:$BB$162,BO1020,0)+INDEX($BD$13:$BL$162,BP1020,0))/100)))&gt;0)*($D$10:$L$10-($D$9:$L$9+INT(($S$12:$AA$12+INDEX($AJ$13:$AR$162,BN1020,0)+INDEX($AT$13:$BB$162,BO1020,0)+INDEX($BD$13:$BL$162,BP1020,0))/100)))),0)</f>
        <v/>
      </c>
      <c r="BS1020">
        <f>IF(1007&lt;$U$9,SUMPRODUCT(($D$9:$L$9+INT(($S$12:$AA$12+INDEX($AJ$13:$AR$162,BN1020,0)+INDEX($AT$13:$BB$162,BO1020,0)+INDEX($BD$13:$BL$162,BP1020,0))/100))),0)</f>
        <v/>
      </c>
      <c r="BT1020">
        <f>IF(AND(1007&lt;$U$9,$W$5),BQ1020*1000000-MIN(BR1020,999)*1000+BS1020-1007/100000,-1000000000-1007)</f>
        <v/>
      </c>
    </row>
    <row r="1021">
      <c r="BN1021">
        <f>IF(1008&lt;$U$9,INT(1008/($U$7*$U$8))+1,1)</f>
        <v/>
      </c>
      <c r="BO1021">
        <f>IF(1008&lt;$U$9,MOD(INT(1008/$U$8),$U$7)+1,1)</f>
        <v/>
      </c>
      <c r="BP1021">
        <f>IF(1008&lt;$U$9,MOD(1008,$U$8)+1,1)</f>
        <v/>
      </c>
      <c r="BQ1021">
        <f>IF(1008&lt;$U$9,SUMPRODUCT(($D$10:$L$10&lt;&gt;"")*(($D$9:$L$9+INT(($S$12:$AA$12+INDEX($AJ$13:$AR$162,BN1021,0)+INDEX($AT$13:$BB$162,BO1021,0)+INDEX($BD$13:$BL$162,BP1021,0))/100))&gt;=$D$10:$L$10)),0)</f>
        <v/>
      </c>
      <c r="BR1021">
        <f>IF(1008&lt;$U$9,SUMPRODUCT(($D$10:$L$10&lt;&gt;"")*(($D$10:$L$10-($D$9:$L$9+INT(($S$12:$AA$12+INDEX($AJ$13:$AR$162,BN1021,0)+INDEX($AT$13:$BB$162,BO1021,0)+INDEX($BD$13:$BL$162,BP1021,0))/100)))&gt;0)*($D$10:$L$10-($D$9:$L$9+INT(($S$12:$AA$12+INDEX($AJ$13:$AR$162,BN1021,0)+INDEX($AT$13:$BB$162,BO1021,0)+INDEX($BD$13:$BL$162,BP1021,0))/100)))),0)</f>
        <v/>
      </c>
      <c r="BS1021">
        <f>IF(1008&lt;$U$9,SUMPRODUCT(($D$9:$L$9+INT(($S$12:$AA$12+INDEX($AJ$13:$AR$162,BN1021,0)+INDEX($AT$13:$BB$162,BO1021,0)+INDEX($BD$13:$BL$162,BP1021,0))/100))),0)</f>
        <v/>
      </c>
      <c r="BT1021">
        <f>IF(AND(1008&lt;$U$9,$W$5),BQ1021*1000000-MIN(BR1021,999)*1000+BS1021-1008/100000,-1000000000-1008)</f>
        <v/>
      </c>
    </row>
    <row r="1022">
      <c r="BN1022">
        <f>IF(1009&lt;$U$9,INT(1009/($U$7*$U$8))+1,1)</f>
        <v/>
      </c>
      <c r="BO1022">
        <f>IF(1009&lt;$U$9,MOD(INT(1009/$U$8),$U$7)+1,1)</f>
        <v/>
      </c>
      <c r="BP1022">
        <f>IF(1009&lt;$U$9,MOD(1009,$U$8)+1,1)</f>
        <v/>
      </c>
      <c r="BQ1022">
        <f>IF(1009&lt;$U$9,SUMPRODUCT(($D$10:$L$10&lt;&gt;"")*(($D$9:$L$9+INT(($S$12:$AA$12+INDEX($AJ$13:$AR$162,BN1022,0)+INDEX($AT$13:$BB$162,BO1022,0)+INDEX($BD$13:$BL$162,BP1022,0))/100))&gt;=$D$10:$L$10)),0)</f>
        <v/>
      </c>
      <c r="BR1022">
        <f>IF(1009&lt;$U$9,SUMPRODUCT(($D$10:$L$10&lt;&gt;"")*(($D$10:$L$10-($D$9:$L$9+INT(($S$12:$AA$12+INDEX($AJ$13:$AR$162,BN1022,0)+INDEX($AT$13:$BB$162,BO1022,0)+INDEX($BD$13:$BL$162,BP1022,0))/100)))&gt;0)*($D$10:$L$10-($D$9:$L$9+INT(($S$12:$AA$12+INDEX($AJ$13:$AR$162,BN1022,0)+INDEX($AT$13:$BB$162,BO1022,0)+INDEX($BD$13:$BL$162,BP1022,0))/100)))),0)</f>
        <v/>
      </c>
      <c r="BS1022">
        <f>IF(1009&lt;$U$9,SUMPRODUCT(($D$9:$L$9+INT(($S$12:$AA$12+INDEX($AJ$13:$AR$162,BN1022,0)+INDEX($AT$13:$BB$162,BO1022,0)+INDEX($BD$13:$BL$162,BP1022,0))/100))),0)</f>
        <v/>
      </c>
      <c r="BT1022">
        <f>IF(AND(1009&lt;$U$9,$W$5),BQ1022*1000000-MIN(BR1022,999)*1000+BS1022-1009/100000,-1000000000-1009)</f>
        <v/>
      </c>
    </row>
    <row r="1023">
      <c r="BN1023">
        <f>IF(1010&lt;$U$9,INT(1010/($U$7*$U$8))+1,1)</f>
        <v/>
      </c>
      <c r="BO1023">
        <f>IF(1010&lt;$U$9,MOD(INT(1010/$U$8),$U$7)+1,1)</f>
        <v/>
      </c>
      <c r="BP1023">
        <f>IF(1010&lt;$U$9,MOD(1010,$U$8)+1,1)</f>
        <v/>
      </c>
      <c r="BQ1023">
        <f>IF(1010&lt;$U$9,SUMPRODUCT(($D$10:$L$10&lt;&gt;"")*(($D$9:$L$9+INT(($S$12:$AA$12+INDEX($AJ$13:$AR$162,BN1023,0)+INDEX($AT$13:$BB$162,BO1023,0)+INDEX($BD$13:$BL$162,BP1023,0))/100))&gt;=$D$10:$L$10)),0)</f>
        <v/>
      </c>
      <c r="BR1023">
        <f>IF(1010&lt;$U$9,SUMPRODUCT(($D$10:$L$10&lt;&gt;"")*(($D$10:$L$10-($D$9:$L$9+INT(($S$12:$AA$12+INDEX($AJ$13:$AR$162,BN1023,0)+INDEX($AT$13:$BB$162,BO1023,0)+INDEX($BD$13:$BL$162,BP1023,0))/100)))&gt;0)*($D$10:$L$10-($D$9:$L$9+INT(($S$12:$AA$12+INDEX($AJ$13:$AR$162,BN1023,0)+INDEX($AT$13:$BB$162,BO1023,0)+INDEX($BD$13:$BL$162,BP1023,0))/100)))),0)</f>
        <v/>
      </c>
      <c r="BS1023">
        <f>IF(1010&lt;$U$9,SUMPRODUCT(($D$9:$L$9+INT(($S$12:$AA$12+INDEX($AJ$13:$AR$162,BN1023,0)+INDEX($AT$13:$BB$162,BO1023,0)+INDEX($BD$13:$BL$162,BP1023,0))/100))),0)</f>
        <v/>
      </c>
      <c r="BT1023">
        <f>IF(AND(1010&lt;$U$9,$W$5),BQ1023*1000000-MIN(BR1023,999)*1000+BS1023-1010/100000,-1000000000-1010)</f>
        <v/>
      </c>
    </row>
    <row r="1024">
      <c r="BN1024">
        <f>IF(1011&lt;$U$9,INT(1011/($U$7*$U$8))+1,1)</f>
        <v/>
      </c>
      <c r="BO1024">
        <f>IF(1011&lt;$U$9,MOD(INT(1011/$U$8),$U$7)+1,1)</f>
        <v/>
      </c>
      <c r="BP1024">
        <f>IF(1011&lt;$U$9,MOD(1011,$U$8)+1,1)</f>
        <v/>
      </c>
      <c r="BQ1024">
        <f>IF(1011&lt;$U$9,SUMPRODUCT(($D$10:$L$10&lt;&gt;"")*(($D$9:$L$9+INT(($S$12:$AA$12+INDEX($AJ$13:$AR$162,BN1024,0)+INDEX($AT$13:$BB$162,BO1024,0)+INDEX($BD$13:$BL$162,BP1024,0))/100))&gt;=$D$10:$L$10)),0)</f>
        <v/>
      </c>
      <c r="BR1024">
        <f>IF(1011&lt;$U$9,SUMPRODUCT(($D$10:$L$10&lt;&gt;"")*(($D$10:$L$10-($D$9:$L$9+INT(($S$12:$AA$12+INDEX($AJ$13:$AR$162,BN1024,0)+INDEX($AT$13:$BB$162,BO1024,0)+INDEX($BD$13:$BL$162,BP1024,0))/100)))&gt;0)*($D$10:$L$10-($D$9:$L$9+INT(($S$12:$AA$12+INDEX($AJ$13:$AR$162,BN1024,0)+INDEX($AT$13:$BB$162,BO1024,0)+INDEX($BD$13:$BL$162,BP1024,0))/100)))),0)</f>
        <v/>
      </c>
      <c r="BS1024">
        <f>IF(1011&lt;$U$9,SUMPRODUCT(($D$9:$L$9+INT(($S$12:$AA$12+INDEX($AJ$13:$AR$162,BN1024,0)+INDEX($AT$13:$BB$162,BO1024,0)+INDEX($BD$13:$BL$162,BP1024,0))/100))),0)</f>
        <v/>
      </c>
      <c r="BT1024">
        <f>IF(AND(1011&lt;$U$9,$W$5),BQ1024*1000000-MIN(BR1024,999)*1000+BS1024-1011/100000,-1000000000-1011)</f>
        <v/>
      </c>
    </row>
    <row r="1025">
      <c r="BN1025">
        <f>IF(1012&lt;$U$9,INT(1012/($U$7*$U$8))+1,1)</f>
        <v/>
      </c>
      <c r="BO1025">
        <f>IF(1012&lt;$U$9,MOD(INT(1012/$U$8),$U$7)+1,1)</f>
        <v/>
      </c>
      <c r="BP1025">
        <f>IF(1012&lt;$U$9,MOD(1012,$U$8)+1,1)</f>
        <v/>
      </c>
      <c r="BQ1025">
        <f>IF(1012&lt;$U$9,SUMPRODUCT(($D$10:$L$10&lt;&gt;"")*(($D$9:$L$9+INT(($S$12:$AA$12+INDEX($AJ$13:$AR$162,BN1025,0)+INDEX($AT$13:$BB$162,BO1025,0)+INDEX($BD$13:$BL$162,BP1025,0))/100))&gt;=$D$10:$L$10)),0)</f>
        <v/>
      </c>
      <c r="BR1025">
        <f>IF(1012&lt;$U$9,SUMPRODUCT(($D$10:$L$10&lt;&gt;"")*(($D$10:$L$10-($D$9:$L$9+INT(($S$12:$AA$12+INDEX($AJ$13:$AR$162,BN1025,0)+INDEX($AT$13:$BB$162,BO1025,0)+INDEX($BD$13:$BL$162,BP1025,0))/100)))&gt;0)*($D$10:$L$10-($D$9:$L$9+INT(($S$12:$AA$12+INDEX($AJ$13:$AR$162,BN1025,0)+INDEX($AT$13:$BB$162,BO1025,0)+INDEX($BD$13:$BL$162,BP1025,0))/100)))),0)</f>
        <v/>
      </c>
      <c r="BS1025">
        <f>IF(1012&lt;$U$9,SUMPRODUCT(($D$9:$L$9+INT(($S$12:$AA$12+INDEX($AJ$13:$AR$162,BN1025,0)+INDEX($AT$13:$BB$162,BO1025,0)+INDEX($BD$13:$BL$162,BP1025,0))/100))),0)</f>
        <v/>
      </c>
      <c r="BT1025">
        <f>IF(AND(1012&lt;$U$9,$W$5),BQ1025*1000000-MIN(BR1025,999)*1000+BS1025-1012/100000,-1000000000-1012)</f>
        <v/>
      </c>
    </row>
    <row r="1026">
      <c r="BN1026">
        <f>IF(1013&lt;$U$9,INT(1013/($U$7*$U$8))+1,1)</f>
        <v/>
      </c>
      <c r="BO1026">
        <f>IF(1013&lt;$U$9,MOD(INT(1013/$U$8),$U$7)+1,1)</f>
        <v/>
      </c>
      <c r="BP1026">
        <f>IF(1013&lt;$U$9,MOD(1013,$U$8)+1,1)</f>
        <v/>
      </c>
      <c r="BQ1026">
        <f>IF(1013&lt;$U$9,SUMPRODUCT(($D$10:$L$10&lt;&gt;"")*(($D$9:$L$9+INT(($S$12:$AA$12+INDEX($AJ$13:$AR$162,BN1026,0)+INDEX($AT$13:$BB$162,BO1026,0)+INDEX($BD$13:$BL$162,BP1026,0))/100))&gt;=$D$10:$L$10)),0)</f>
        <v/>
      </c>
      <c r="BR1026">
        <f>IF(1013&lt;$U$9,SUMPRODUCT(($D$10:$L$10&lt;&gt;"")*(($D$10:$L$10-($D$9:$L$9+INT(($S$12:$AA$12+INDEX($AJ$13:$AR$162,BN1026,0)+INDEX($AT$13:$BB$162,BO1026,0)+INDEX($BD$13:$BL$162,BP1026,0))/100)))&gt;0)*($D$10:$L$10-($D$9:$L$9+INT(($S$12:$AA$12+INDEX($AJ$13:$AR$162,BN1026,0)+INDEX($AT$13:$BB$162,BO1026,0)+INDEX($BD$13:$BL$162,BP1026,0))/100)))),0)</f>
        <v/>
      </c>
      <c r="BS1026">
        <f>IF(1013&lt;$U$9,SUMPRODUCT(($D$9:$L$9+INT(($S$12:$AA$12+INDEX($AJ$13:$AR$162,BN1026,0)+INDEX($AT$13:$BB$162,BO1026,0)+INDEX($BD$13:$BL$162,BP1026,0))/100))),0)</f>
        <v/>
      </c>
      <c r="BT1026">
        <f>IF(AND(1013&lt;$U$9,$W$5),BQ1026*1000000-MIN(BR1026,999)*1000+BS1026-1013/100000,-1000000000-1013)</f>
        <v/>
      </c>
    </row>
    <row r="1027">
      <c r="BN1027">
        <f>IF(1014&lt;$U$9,INT(1014/($U$7*$U$8))+1,1)</f>
        <v/>
      </c>
      <c r="BO1027">
        <f>IF(1014&lt;$U$9,MOD(INT(1014/$U$8),$U$7)+1,1)</f>
        <v/>
      </c>
      <c r="BP1027">
        <f>IF(1014&lt;$U$9,MOD(1014,$U$8)+1,1)</f>
        <v/>
      </c>
      <c r="BQ1027">
        <f>IF(1014&lt;$U$9,SUMPRODUCT(($D$10:$L$10&lt;&gt;"")*(($D$9:$L$9+INT(($S$12:$AA$12+INDEX($AJ$13:$AR$162,BN1027,0)+INDEX($AT$13:$BB$162,BO1027,0)+INDEX($BD$13:$BL$162,BP1027,0))/100))&gt;=$D$10:$L$10)),0)</f>
        <v/>
      </c>
      <c r="BR1027">
        <f>IF(1014&lt;$U$9,SUMPRODUCT(($D$10:$L$10&lt;&gt;"")*(($D$10:$L$10-($D$9:$L$9+INT(($S$12:$AA$12+INDEX($AJ$13:$AR$162,BN1027,0)+INDEX($AT$13:$BB$162,BO1027,0)+INDEX($BD$13:$BL$162,BP1027,0))/100)))&gt;0)*($D$10:$L$10-($D$9:$L$9+INT(($S$12:$AA$12+INDEX($AJ$13:$AR$162,BN1027,0)+INDEX($AT$13:$BB$162,BO1027,0)+INDEX($BD$13:$BL$162,BP1027,0))/100)))),0)</f>
        <v/>
      </c>
      <c r="BS1027">
        <f>IF(1014&lt;$U$9,SUMPRODUCT(($D$9:$L$9+INT(($S$12:$AA$12+INDEX($AJ$13:$AR$162,BN1027,0)+INDEX($AT$13:$BB$162,BO1027,0)+INDEX($BD$13:$BL$162,BP1027,0))/100))),0)</f>
        <v/>
      </c>
      <c r="BT1027">
        <f>IF(AND(1014&lt;$U$9,$W$5),BQ1027*1000000-MIN(BR1027,999)*1000+BS1027-1014/100000,-1000000000-1014)</f>
        <v/>
      </c>
    </row>
    <row r="1028">
      <c r="BN1028">
        <f>IF(1015&lt;$U$9,INT(1015/($U$7*$U$8))+1,1)</f>
        <v/>
      </c>
      <c r="BO1028">
        <f>IF(1015&lt;$U$9,MOD(INT(1015/$U$8),$U$7)+1,1)</f>
        <v/>
      </c>
      <c r="BP1028">
        <f>IF(1015&lt;$U$9,MOD(1015,$U$8)+1,1)</f>
        <v/>
      </c>
      <c r="BQ1028">
        <f>IF(1015&lt;$U$9,SUMPRODUCT(($D$10:$L$10&lt;&gt;"")*(($D$9:$L$9+INT(($S$12:$AA$12+INDEX($AJ$13:$AR$162,BN1028,0)+INDEX($AT$13:$BB$162,BO1028,0)+INDEX($BD$13:$BL$162,BP1028,0))/100))&gt;=$D$10:$L$10)),0)</f>
        <v/>
      </c>
      <c r="BR1028">
        <f>IF(1015&lt;$U$9,SUMPRODUCT(($D$10:$L$10&lt;&gt;"")*(($D$10:$L$10-($D$9:$L$9+INT(($S$12:$AA$12+INDEX($AJ$13:$AR$162,BN1028,0)+INDEX($AT$13:$BB$162,BO1028,0)+INDEX($BD$13:$BL$162,BP1028,0))/100)))&gt;0)*($D$10:$L$10-($D$9:$L$9+INT(($S$12:$AA$12+INDEX($AJ$13:$AR$162,BN1028,0)+INDEX($AT$13:$BB$162,BO1028,0)+INDEX($BD$13:$BL$162,BP1028,0))/100)))),0)</f>
        <v/>
      </c>
      <c r="BS1028">
        <f>IF(1015&lt;$U$9,SUMPRODUCT(($D$9:$L$9+INT(($S$12:$AA$12+INDEX($AJ$13:$AR$162,BN1028,0)+INDEX($AT$13:$BB$162,BO1028,0)+INDEX($BD$13:$BL$162,BP1028,0))/100))),0)</f>
        <v/>
      </c>
      <c r="BT1028">
        <f>IF(AND(1015&lt;$U$9,$W$5),BQ1028*1000000-MIN(BR1028,999)*1000+BS1028-1015/100000,-1000000000-1015)</f>
        <v/>
      </c>
    </row>
    <row r="1029">
      <c r="BN1029">
        <f>IF(1016&lt;$U$9,INT(1016/($U$7*$U$8))+1,1)</f>
        <v/>
      </c>
      <c r="BO1029">
        <f>IF(1016&lt;$U$9,MOD(INT(1016/$U$8),$U$7)+1,1)</f>
        <v/>
      </c>
      <c r="BP1029">
        <f>IF(1016&lt;$U$9,MOD(1016,$U$8)+1,1)</f>
        <v/>
      </c>
      <c r="BQ1029">
        <f>IF(1016&lt;$U$9,SUMPRODUCT(($D$10:$L$10&lt;&gt;"")*(($D$9:$L$9+INT(($S$12:$AA$12+INDEX($AJ$13:$AR$162,BN1029,0)+INDEX($AT$13:$BB$162,BO1029,0)+INDEX($BD$13:$BL$162,BP1029,0))/100))&gt;=$D$10:$L$10)),0)</f>
        <v/>
      </c>
      <c r="BR1029">
        <f>IF(1016&lt;$U$9,SUMPRODUCT(($D$10:$L$10&lt;&gt;"")*(($D$10:$L$10-($D$9:$L$9+INT(($S$12:$AA$12+INDEX($AJ$13:$AR$162,BN1029,0)+INDEX($AT$13:$BB$162,BO1029,0)+INDEX($BD$13:$BL$162,BP1029,0))/100)))&gt;0)*($D$10:$L$10-($D$9:$L$9+INT(($S$12:$AA$12+INDEX($AJ$13:$AR$162,BN1029,0)+INDEX($AT$13:$BB$162,BO1029,0)+INDEX($BD$13:$BL$162,BP1029,0))/100)))),0)</f>
        <v/>
      </c>
      <c r="BS1029">
        <f>IF(1016&lt;$U$9,SUMPRODUCT(($D$9:$L$9+INT(($S$12:$AA$12+INDEX($AJ$13:$AR$162,BN1029,0)+INDEX($AT$13:$BB$162,BO1029,0)+INDEX($BD$13:$BL$162,BP1029,0))/100))),0)</f>
        <v/>
      </c>
      <c r="BT1029">
        <f>IF(AND(1016&lt;$U$9,$W$5),BQ1029*1000000-MIN(BR1029,999)*1000+BS1029-1016/100000,-1000000000-1016)</f>
        <v/>
      </c>
    </row>
    <row r="1030">
      <c r="BN1030">
        <f>IF(1017&lt;$U$9,INT(1017/($U$7*$U$8))+1,1)</f>
        <v/>
      </c>
      <c r="BO1030">
        <f>IF(1017&lt;$U$9,MOD(INT(1017/$U$8),$U$7)+1,1)</f>
        <v/>
      </c>
      <c r="BP1030">
        <f>IF(1017&lt;$U$9,MOD(1017,$U$8)+1,1)</f>
        <v/>
      </c>
      <c r="BQ1030">
        <f>IF(1017&lt;$U$9,SUMPRODUCT(($D$10:$L$10&lt;&gt;"")*(($D$9:$L$9+INT(($S$12:$AA$12+INDEX($AJ$13:$AR$162,BN1030,0)+INDEX($AT$13:$BB$162,BO1030,0)+INDEX($BD$13:$BL$162,BP1030,0))/100))&gt;=$D$10:$L$10)),0)</f>
        <v/>
      </c>
      <c r="BR1030">
        <f>IF(1017&lt;$U$9,SUMPRODUCT(($D$10:$L$10&lt;&gt;"")*(($D$10:$L$10-($D$9:$L$9+INT(($S$12:$AA$12+INDEX($AJ$13:$AR$162,BN1030,0)+INDEX($AT$13:$BB$162,BO1030,0)+INDEX($BD$13:$BL$162,BP1030,0))/100)))&gt;0)*($D$10:$L$10-($D$9:$L$9+INT(($S$12:$AA$12+INDEX($AJ$13:$AR$162,BN1030,0)+INDEX($AT$13:$BB$162,BO1030,0)+INDEX($BD$13:$BL$162,BP1030,0))/100)))),0)</f>
        <v/>
      </c>
      <c r="BS1030">
        <f>IF(1017&lt;$U$9,SUMPRODUCT(($D$9:$L$9+INT(($S$12:$AA$12+INDEX($AJ$13:$AR$162,BN1030,0)+INDEX($AT$13:$BB$162,BO1030,0)+INDEX($BD$13:$BL$162,BP1030,0))/100))),0)</f>
        <v/>
      </c>
      <c r="BT1030">
        <f>IF(AND(1017&lt;$U$9,$W$5),BQ1030*1000000-MIN(BR1030,999)*1000+BS1030-1017/100000,-1000000000-1017)</f>
        <v/>
      </c>
    </row>
    <row r="1031">
      <c r="BN1031">
        <f>IF(1018&lt;$U$9,INT(1018/($U$7*$U$8))+1,1)</f>
        <v/>
      </c>
      <c r="BO1031">
        <f>IF(1018&lt;$U$9,MOD(INT(1018/$U$8),$U$7)+1,1)</f>
        <v/>
      </c>
      <c r="BP1031">
        <f>IF(1018&lt;$U$9,MOD(1018,$U$8)+1,1)</f>
        <v/>
      </c>
      <c r="BQ1031">
        <f>IF(1018&lt;$U$9,SUMPRODUCT(($D$10:$L$10&lt;&gt;"")*(($D$9:$L$9+INT(($S$12:$AA$12+INDEX($AJ$13:$AR$162,BN1031,0)+INDEX($AT$13:$BB$162,BO1031,0)+INDEX($BD$13:$BL$162,BP1031,0))/100))&gt;=$D$10:$L$10)),0)</f>
        <v/>
      </c>
      <c r="BR1031">
        <f>IF(1018&lt;$U$9,SUMPRODUCT(($D$10:$L$10&lt;&gt;"")*(($D$10:$L$10-($D$9:$L$9+INT(($S$12:$AA$12+INDEX($AJ$13:$AR$162,BN1031,0)+INDEX($AT$13:$BB$162,BO1031,0)+INDEX($BD$13:$BL$162,BP1031,0))/100)))&gt;0)*($D$10:$L$10-($D$9:$L$9+INT(($S$12:$AA$12+INDEX($AJ$13:$AR$162,BN1031,0)+INDEX($AT$13:$BB$162,BO1031,0)+INDEX($BD$13:$BL$162,BP1031,0))/100)))),0)</f>
        <v/>
      </c>
      <c r="BS1031">
        <f>IF(1018&lt;$U$9,SUMPRODUCT(($D$9:$L$9+INT(($S$12:$AA$12+INDEX($AJ$13:$AR$162,BN1031,0)+INDEX($AT$13:$BB$162,BO1031,0)+INDEX($BD$13:$BL$162,BP1031,0))/100))),0)</f>
        <v/>
      </c>
      <c r="BT1031">
        <f>IF(AND(1018&lt;$U$9,$W$5),BQ1031*1000000-MIN(BR1031,999)*1000+BS1031-1018/100000,-1000000000-1018)</f>
        <v/>
      </c>
    </row>
    <row r="1032">
      <c r="BN1032">
        <f>IF(1019&lt;$U$9,INT(1019/($U$7*$U$8))+1,1)</f>
        <v/>
      </c>
      <c r="BO1032">
        <f>IF(1019&lt;$U$9,MOD(INT(1019/$U$8),$U$7)+1,1)</f>
        <v/>
      </c>
      <c r="BP1032">
        <f>IF(1019&lt;$U$9,MOD(1019,$U$8)+1,1)</f>
        <v/>
      </c>
      <c r="BQ1032">
        <f>IF(1019&lt;$U$9,SUMPRODUCT(($D$10:$L$10&lt;&gt;"")*(($D$9:$L$9+INT(($S$12:$AA$12+INDEX($AJ$13:$AR$162,BN1032,0)+INDEX($AT$13:$BB$162,BO1032,0)+INDEX($BD$13:$BL$162,BP1032,0))/100))&gt;=$D$10:$L$10)),0)</f>
        <v/>
      </c>
      <c r="BR1032">
        <f>IF(1019&lt;$U$9,SUMPRODUCT(($D$10:$L$10&lt;&gt;"")*(($D$10:$L$10-($D$9:$L$9+INT(($S$12:$AA$12+INDEX($AJ$13:$AR$162,BN1032,0)+INDEX($AT$13:$BB$162,BO1032,0)+INDEX($BD$13:$BL$162,BP1032,0))/100)))&gt;0)*($D$10:$L$10-($D$9:$L$9+INT(($S$12:$AA$12+INDEX($AJ$13:$AR$162,BN1032,0)+INDEX($AT$13:$BB$162,BO1032,0)+INDEX($BD$13:$BL$162,BP1032,0))/100)))),0)</f>
        <v/>
      </c>
      <c r="BS1032">
        <f>IF(1019&lt;$U$9,SUMPRODUCT(($D$9:$L$9+INT(($S$12:$AA$12+INDEX($AJ$13:$AR$162,BN1032,0)+INDEX($AT$13:$BB$162,BO1032,0)+INDEX($BD$13:$BL$162,BP1032,0))/100))),0)</f>
        <v/>
      </c>
      <c r="BT1032">
        <f>IF(AND(1019&lt;$U$9,$W$5),BQ1032*1000000-MIN(BR1032,999)*1000+BS1032-1019/100000,-1000000000-1019)</f>
        <v/>
      </c>
    </row>
    <row r="1033">
      <c r="BN1033">
        <f>IF(1020&lt;$U$9,INT(1020/($U$7*$U$8))+1,1)</f>
        <v/>
      </c>
      <c r="BO1033">
        <f>IF(1020&lt;$U$9,MOD(INT(1020/$U$8),$U$7)+1,1)</f>
        <v/>
      </c>
      <c r="BP1033">
        <f>IF(1020&lt;$U$9,MOD(1020,$U$8)+1,1)</f>
        <v/>
      </c>
      <c r="BQ1033">
        <f>IF(1020&lt;$U$9,SUMPRODUCT(($D$10:$L$10&lt;&gt;"")*(($D$9:$L$9+INT(($S$12:$AA$12+INDEX($AJ$13:$AR$162,BN1033,0)+INDEX($AT$13:$BB$162,BO1033,0)+INDEX($BD$13:$BL$162,BP1033,0))/100))&gt;=$D$10:$L$10)),0)</f>
        <v/>
      </c>
      <c r="BR1033">
        <f>IF(1020&lt;$U$9,SUMPRODUCT(($D$10:$L$10&lt;&gt;"")*(($D$10:$L$10-($D$9:$L$9+INT(($S$12:$AA$12+INDEX($AJ$13:$AR$162,BN1033,0)+INDEX($AT$13:$BB$162,BO1033,0)+INDEX($BD$13:$BL$162,BP1033,0))/100)))&gt;0)*($D$10:$L$10-($D$9:$L$9+INT(($S$12:$AA$12+INDEX($AJ$13:$AR$162,BN1033,0)+INDEX($AT$13:$BB$162,BO1033,0)+INDEX($BD$13:$BL$162,BP1033,0))/100)))),0)</f>
        <v/>
      </c>
      <c r="BS1033">
        <f>IF(1020&lt;$U$9,SUMPRODUCT(($D$9:$L$9+INT(($S$12:$AA$12+INDEX($AJ$13:$AR$162,BN1033,0)+INDEX($AT$13:$BB$162,BO1033,0)+INDEX($BD$13:$BL$162,BP1033,0))/100))),0)</f>
        <v/>
      </c>
      <c r="BT1033">
        <f>IF(AND(1020&lt;$U$9,$W$5),BQ1033*1000000-MIN(BR1033,999)*1000+BS1033-1020/100000,-1000000000-1020)</f>
        <v/>
      </c>
    </row>
    <row r="1034">
      <c r="BN1034">
        <f>IF(1021&lt;$U$9,INT(1021/($U$7*$U$8))+1,1)</f>
        <v/>
      </c>
      <c r="BO1034">
        <f>IF(1021&lt;$U$9,MOD(INT(1021/$U$8),$U$7)+1,1)</f>
        <v/>
      </c>
      <c r="BP1034">
        <f>IF(1021&lt;$U$9,MOD(1021,$U$8)+1,1)</f>
        <v/>
      </c>
      <c r="BQ1034">
        <f>IF(1021&lt;$U$9,SUMPRODUCT(($D$10:$L$10&lt;&gt;"")*(($D$9:$L$9+INT(($S$12:$AA$12+INDEX($AJ$13:$AR$162,BN1034,0)+INDEX($AT$13:$BB$162,BO1034,0)+INDEX($BD$13:$BL$162,BP1034,0))/100))&gt;=$D$10:$L$10)),0)</f>
        <v/>
      </c>
      <c r="BR1034">
        <f>IF(1021&lt;$U$9,SUMPRODUCT(($D$10:$L$10&lt;&gt;"")*(($D$10:$L$10-($D$9:$L$9+INT(($S$12:$AA$12+INDEX($AJ$13:$AR$162,BN1034,0)+INDEX($AT$13:$BB$162,BO1034,0)+INDEX($BD$13:$BL$162,BP1034,0))/100)))&gt;0)*($D$10:$L$10-($D$9:$L$9+INT(($S$12:$AA$12+INDEX($AJ$13:$AR$162,BN1034,0)+INDEX($AT$13:$BB$162,BO1034,0)+INDEX($BD$13:$BL$162,BP1034,0))/100)))),0)</f>
        <v/>
      </c>
      <c r="BS1034">
        <f>IF(1021&lt;$U$9,SUMPRODUCT(($D$9:$L$9+INT(($S$12:$AA$12+INDEX($AJ$13:$AR$162,BN1034,0)+INDEX($AT$13:$BB$162,BO1034,0)+INDEX($BD$13:$BL$162,BP1034,0))/100))),0)</f>
        <v/>
      </c>
      <c r="BT1034">
        <f>IF(AND(1021&lt;$U$9,$W$5),BQ1034*1000000-MIN(BR1034,999)*1000+BS1034-1021/100000,-1000000000-1021)</f>
        <v/>
      </c>
    </row>
    <row r="1035">
      <c r="BN1035">
        <f>IF(1022&lt;$U$9,INT(1022/($U$7*$U$8))+1,1)</f>
        <v/>
      </c>
      <c r="BO1035">
        <f>IF(1022&lt;$U$9,MOD(INT(1022/$U$8),$U$7)+1,1)</f>
        <v/>
      </c>
      <c r="BP1035">
        <f>IF(1022&lt;$U$9,MOD(1022,$U$8)+1,1)</f>
        <v/>
      </c>
      <c r="BQ1035">
        <f>IF(1022&lt;$U$9,SUMPRODUCT(($D$10:$L$10&lt;&gt;"")*(($D$9:$L$9+INT(($S$12:$AA$12+INDEX($AJ$13:$AR$162,BN1035,0)+INDEX($AT$13:$BB$162,BO1035,0)+INDEX($BD$13:$BL$162,BP1035,0))/100))&gt;=$D$10:$L$10)),0)</f>
        <v/>
      </c>
      <c r="BR1035">
        <f>IF(1022&lt;$U$9,SUMPRODUCT(($D$10:$L$10&lt;&gt;"")*(($D$10:$L$10-($D$9:$L$9+INT(($S$12:$AA$12+INDEX($AJ$13:$AR$162,BN1035,0)+INDEX($AT$13:$BB$162,BO1035,0)+INDEX($BD$13:$BL$162,BP1035,0))/100)))&gt;0)*($D$10:$L$10-($D$9:$L$9+INT(($S$12:$AA$12+INDEX($AJ$13:$AR$162,BN1035,0)+INDEX($AT$13:$BB$162,BO1035,0)+INDEX($BD$13:$BL$162,BP1035,0))/100)))),0)</f>
        <v/>
      </c>
      <c r="BS1035">
        <f>IF(1022&lt;$U$9,SUMPRODUCT(($D$9:$L$9+INT(($S$12:$AA$12+INDEX($AJ$13:$AR$162,BN1035,0)+INDEX($AT$13:$BB$162,BO1035,0)+INDEX($BD$13:$BL$162,BP1035,0))/100))),0)</f>
        <v/>
      </c>
      <c r="BT1035">
        <f>IF(AND(1022&lt;$U$9,$W$5),BQ1035*1000000-MIN(BR1035,999)*1000+BS1035-1022/100000,-1000000000-1022)</f>
        <v/>
      </c>
    </row>
    <row r="1036">
      <c r="BN1036">
        <f>IF(1023&lt;$U$9,INT(1023/($U$7*$U$8))+1,1)</f>
        <v/>
      </c>
      <c r="BO1036">
        <f>IF(1023&lt;$U$9,MOD(INT(1023/$U$8),$U$7)+1,1)</f>
        <v/>
      </c>
      <c r="BP1036">
        <f>IF(1023&lt;$U$9,MOD(1023,$U$8)+1,1)</f>
        <v/>
      </c>
      <c r="BQ1036">
        <f>IF(1023&lt;$U$9,SUMPRODUCT(($D$10:$L$10&lt;&gt;"")*(($D$9:$L$9+INT(($S$12:$AA$12+INDEX($AJ$13:$AR$162,BN1036,0)+INDEX($AT$13:$BB$162,BO1036,0)+INDEX($BD$13:$BL$162,BP1036,0))/100))&gt;=$D$10:$L$10)),0)</f>
        <v/>
      </c>
      <c r="BR1036">
        <f>IF(1023&lt;$U$9,SUMPRODUCT(($D$10:$L$10&lt;&gt;"")*(($D$10:$L$10-($D$9:$L$9+INT(($S$12:$AA$12+INDEX($AJ$13:$AR$162,BN1036,0)+INDEX($AT$13:$BB$162,BO1036,0)+INDEX($BD$13:$BL$162,BP1036,0))/100)))&gt;0)*($D$10:$L$10-($D$9:$L$9+INT(($S$12:$AA$12+INDEX($AJ$13:$AR$162,BN1036,0)+INDEX($AT$13:$BB$162,BO1036,0)+INDEX($BD$13:$BL$162,BP1036,0))/100)))),0)</f>
        <v/>
      </c>
      <c r="BS1036">
        <f>IF(1023&lt;$U$9,SUMPRODUCT(($D$9:$L$9+INT(($S$12:$AA$12+INDEX($AJ$13:$AR$162,BN1036,0)+INDEX($AT$13:$BB$162,BO1036,0)+INDEX($BD$13:$BL$162,BP1036,0))/100))),0)</f>
        <v/>
      </c>
      <c r="BT1036">
        <f>IF(AND(1023&lt;$U$9,$W$5),BQ1036*1000000-MIN(BR1036,999)*1000+BS1036-1023/100000,-1000000000-1023)</f>
        <v/>
      </c>
    </row>
    <row r="1037">
      <c r="BN1037">
        <f>IF(1024&lt;$U$9,INT(1024/($U$7*$U$8))+1,1)</f>
        <v/>
      </c>
      <c r="BO1037">
        <f>IF(1024&lt;$U$9,MOD(INT(1024/$U$8),$U$7)+1,1)</f>
        <v/>
      </c>
      <c r="BP1037">
        <f>IF(1024&lt;$U$9,MOD(1024,$U$8)+1,1)</f>
        <v/>
      </c>
      <c r="BQ1037">
        <f>IF(1024&lt;$U$9,SUMPRODUCT(($D$10:$L$10&lt;&gt;"")*(($D$9:$L$9+INT(($S$12:$AA$12+INDEX($AJ$13:$AR$162,BN1037,0)+INDEX($AT$13:$BB$162,BO1037,0)+INDEX($BD$13:$BL$162,BP1037,0))/100))&gt;=$D$10:$L$10)),0)</f>
        <v/>
      </c>
      <c r="BR1037">
        <f>IF(1024&lt;$U$9,SUMPRODUCT(($D$10:$L$10&lt;&gt;"")*(($D$10:$L$10-($D$9:$L$9+INT(($S$12:$AA$12+INDEX($AJ$13:$AR$162,BN1037,0)+INDEX($AT$13:$BB$162,BO1037,0)+INDEX($BD$13:$BL$162,BP1037,0))/100)))&gt;0)*($D$10:$L$10-($D$9:$L$9+INT(($S$12:$AA$12+INDEX($AJ$13:$AR$162,BN1037,0)+INDEX($AT$13:$BB$162,BO1037,0)+INDEX($BD$13:$BL$162,BP1037,0))/100)))),0)</f>
        <v/>
      </c>
      <c r="BS1037">
        <f>IF(1024&lt;$U$9,SUMPRODUCT(($D$9:$L$9+INT(($S$12:$AA$12+INDEX($AJ$13:$AR$162,BN1037,0)+INDEX($AT$13:$BB$162,BO1037,0)+INDEX($BD$13:$BL$162,BP1037,0))/100))),0)</f>
        <v/>
      </c>
      <c r="BT1037">
        <f>IF(AND(1024&lt;$U$9,$W$5),BQ1037*1000000-MIN(BR1037,999)*1000+BS1037-1024/100000,-1000000000-1024)</f>
        <v/>
      </c>
    </row>
    <row r="1038">
      <c r="BN1038">
        <f>IF(1025&lt;$U$9,INT(1025/($U$7*$U$8))+1,1)</f>
        <v/>
      </c>
      <c r="BO1038">
        <f>IF(1025&lt;$U$9,MOD(INT(1025/$U$8),$U$7)+1,1)</f>
        <v/>
      </c>
      <c r="BP1038">
        <f>IF(1025&lt;$U$9,MOD(1025,$U$8)+1,1)</f>
        <v/>
      </c>
      <c r="BQ1038">
        <f>IF(1025&lt;$U$9,SUMPRODUCT(($D$10:$L$10&lt;&gt;"")*(($D$9:$L$9+INT(($S$12:$AA$12+INDEX($AJ$13:$AR$162,BN1038,0)+INDEX($AT$13:$BB$162,BO1038,0)+INDEX($BD$13:$BL$162,BP1038,0))/100))&gt;=$D$10:$L$10)),0)</f>
        <v/>
      </c>
      <c r="BR1038">
        <f>IF(1025&lt;$U$9,SUMPRODUCT(($D$10:$L$10&lt;&gt;"")*(($D$10:$L$10-($D$9:$L$9+INT(($S$12:$AA$12+INDEX($AJ$13:$AR$162,BN1038,0)+INDEX($AT$13:$BB$162,BO1038,0)+INDEX($BD$13:$BL$162,BP1038,0))/100)))&gt;0)*($D$10:$L$10-($D$9:$L$9+INT(($S$12:$AA$12+INDEX($AJ$13:$AR$162,BN1038,0)+INDEX($AT$13:$BB$162,BO1038,0)+INDEX($BD$13:$BL$162,BP1038,0))/100)))),0)</f>
        <v/>
      </c>
      <c r="BS1038">
        <f>IF(1025&lt;$U$9,SUMPRODUCT(($D$9:$L$9+INT(($S$12:$AA$12+INDEX($AJ$13:$AR$162,BN1038,0)+INDEX($AT$13:$BB$162,BO1038,0)+INDEX($BD$13:$BL$162,BP1038,0))/100))),0)</f>
        <v/>
      </c>
      <c r="BT1038">
        <f>IF(AND(1025&lt;$U$9,$W$5),BQ1038*1000000-MIN(BR1038,999)*1000+BS1038-1025/100000,-1000000000-1025)</f>
        <v/>
      </c>
    </row>
    <row r="1039">
      <c r="BN1039">
        <f>IF(1026&lt;$U$9,INT(1026/($U$7*$U$8))+1,1)</f>
        <v/>
      </c>
      <c r="BO1039">
        <f>IF(1026&lt;$U$9,MOD(INT(1026/$U$8),$U$7)+1,1)</f>
        <v/>
      </c>
      <c r="BP1039">
        <f>IF(1026&lt;$U$9,MOD(1026,$U$8)+1,1)</f>
        <v/>
      </c>
      <c r="BQ1039">
        <f>IF(1026&lt;$U$9,SUMPRODUCT(($D$10:$L$10&lt;&gt;"")*(($D$9:$L$9+INT(($S$12:$AA$12+INDEX($AJ$13:$AR$162,BN1039,0)+INDEX($AT$13:$BB$162,BO1039,0)+INDEX($BD$13:$BL$162,BP1039,0))/100))&gt;=$D$10:$L$10)),0)</f>
        <v/>
      </c>
      <c r="BR1039">
        <f>IF(1026&lt;$U$9,SUMPRODUCT(($D$10:$L$10&lt;&gt;"")*(($D$10:$L$10-($D$9:$L$9+INT(($S$12:$AA$12+INDEX($AJ$13:$AR$162,BN1039,0)+INDEX($AT$13:$BB$162,BO1039,0)+INDEX($BD$13:$BL$162,BP1039,0))/100)))&gt;0)*($D$10:$L$10-($D$9:$L$9+INT(($S$12:$AA$12+INDEX($AJ$13:$AR$162,BN1039,0)+INDEX($AT$13:$BB$162,BO1039,0)+INDEX($BD$13:$BL$162,BP1039,0))/100)))),0)</f>
        <v/>
      </c>
      <c r="BS1039">
        <f>IF(1026&lt;$U$9,SUMPRODUCT(($D$9:$L$9+INT(($S$12:$AA$12+INDEX($AJ$13:$AR$162,BN1039,0)+INDEX($AT$13:$BB$162,BO1039,0)+INDEX($BD$13:$BL$162,BP1039,0))/100))),0)</f>
        <v/>
      </c>
      <c r="BT1039">
        <f>IF(AND(1026&lt;$U$9,$W$5),BQ1039*1000000-MIN(BR1039,999)*1000+BS1039-1026/100000,-1000000000-1026)</f>
        <v/>
      </c>
    </row>
    <row r="1040">
      <c r="BN1040">
        <f>IF(1027&lt;$U$9,INT(1027/($U$7*$U$8))+1,1)</f>
        <v/>
      </c>
      <c r="BO1040">
        <f>IF(1027&lt;$U$9,MOD(INT(1027/$U$8),$U$7)+1,1)</f>
        <v/>
      </c>
      <c r="BP1040">
        <f>IF(1027&lt;$U$9,MOD(1027,$U$8)+1,1)</f>
        <v/>
      </c>
      <c r="BQ1040">
        <f>IF(1027&lt;$U$9,SUMPRODUCT(($D$10:$L$10&lt;&gt;"")*(($D$9:$L$9+INT(($S$12:$AA$12+INDEX($AJ$13:$AR$162,BN1040,0)+INDEX($AT$13:$BB$162,BO1040,0)+INDEX($BD$13:$BL$162,BP1040,0))/100))&gt;=$D$10:$L$10)),0)</f>
        <v/>
      </c>
      <c r="BR1040">
        <f>IF(1027&lt;$U$9,SUMPRODUCT(($D$10:$L$10&lt;&gt;"")*(($D$10:$L$10-($D$9:$L$9+INT(($S$12:$AA$12+INDEX($AJ$13:$AR$162,BN1040,0)+INDEX($AT$13:$BB$162,BO1040,0)+INDEX($BD$13:$BL$162,BP1040,0))/100)))&gt;0)*($D$10:$L$10-($D$9:$L$9+INT(($S$12:$AA$12+INDEX($AJ$13:$AR$162,BN1040,0)+INDEX($AT$13:$BB$162,BO1040,0)+INDEX($BD$13:$BL$162,BP1040,0))/100)))),0)</f>
        <v/>
      </c>
      <c r="BS1040">
        <f>IF(1027&lt;$U$9,SUMPRODUCT(($D$9:$L$9+INT(($S$12:$AA$12+INDEX($AJ$13:$AR$162,BN1040,0)+INDEX($AT$13:$BB$162,BO1040,0)+INDEX($BD$13:$BL$162,BP1040,0))/100))),0)</f>
        <v/>
      </c>
      <c r="BT1040">
        <f>IF(AND(1027&lt;$U$9,$W$5),BQ1040*1000000-MIN(BR1040,999)*1000+BS1040-1027/100000,-1000000000-1027)</f>
        <v/>
      </c>
    </row>
    <row r="1041">
      <c r="BN1041">
        <f>IF(1028&lt;$U$9,INT(1028/($U$7*$U$8))+1,1)</f>
        <v/>
      </c>
      <c r="BO1041">
        <f>IF(1028&lt;$U$9,MOD(INT(1028/$U$8),$U$7)+1,1)</f>
        <v/>
      </c>
      <c r="BP1041">
        <f>IF(1028&lt;$U$9,MOD(1028,$U$8)+1,1)</f>
        <v/>
      </c>
      <c r="BQ1041">
        <f>IF(1028&lt;$U$9,SUMPRODUCT(($D$10:$L$10&lt;&gt;"")*(($D$9:$L$9+INT(($S$12:$AA$12+INDEX($AJ$13:$AR$162,BN1041,0)+INDEX($AT$13:$BB$162,BO1041,0)+INDEX($BD$13:$BL$162,BP1041,0))/100))&gt;=$D$10:$L$10)),0)</f>
        <v/>
      </c>
      <c r="BR1041">
        <f>IF(1028&lt;$U$9,SUMPRODUCT(($D$10:$L$10&lt;&gt;"")*(($D$10:$L$10-($D$9:$L$9+INT(($S$12:$AA$12+INDEX($AJ$13:$AR$162,BN1041,0)+INDEX($AT$13:$BB$162,BO1041,0)+INDEX($BD$13:$BL$162,BP1041,0))/100)))&gt;0)*($D$10:$L$10-($D$9:$L$9+INT(($S$12:$AA$12+INDEX($AJ$13:$AR$162,BN1041,0)+INDEX($AT$13:$BB$162,BO1041,0)+INDEX($BD$13:$BL$162,BP1041,0))/100)))),0)</f>
        <v/>
      </c>
      <c r="BS1041">
        <f>IF(1028&lt;$U$9,SUMPRODUCT(($D$9:$L$9+INT(($S$12:$AA$12+INDEX($AJ$13:$AR$162,BN1041,0)+INDEX($AT$13:$BB$162,BO1041,0)+INDEX($BD$13:$BL$162,BP1041,0))/100))),0)</f>
        <v/>
      </c>
      <c r="BT1041">
        <f>IF(AND(1028&lt;$U$9,$W$5),BQ1041*1000000-MIN(BR1041,999)*1000+BS1041-1028/100000,-1000000000-1028)</f>
        <v/>
      </c>
    </row>
    <row r="1042">
      <c r="BN1042">
        <f>IF(1029&lt;$U$9,INT(1029/($U$7*$U$8))+1,1)</f>
        <v/>
      </c>
      <c r="BO1042">
        <f>IF(1029&lt;$U$9,MOD(INT(1029/$U$8),$U$7)+1,1)</f>
        <v/>
      </c>
      <c r="BP1042">
        <f>IF(1029&lt;$U$9,MOD(1029,$U$8)+1,1)</f>
        <v/>
      </c>
      <c r="BQ1042">
        <f>IF(1029&lt;$U$9,SUMPRODUCT(($D$10:$L$10&lt;&gt;"")*(($D$9:$L$9+INT(($S$12:$AA$12+INDEX($AJ$13:$AR$162,BN1042,0)+INDEX($AT$13:$BB$162,BO1042,0)+INDEX($BD$13:$BL$162,BP1042,0))/100))&gt;=$D$10:$L$10)),0)</f>
        <v/>
      </c>
      <c r="BR1042">
        <f>IF(1029&lt;$U$9,SUMPRODUCT(($D$10:$L$10&lt;&gt;"")*(($D$10:$L$10-($D$9:$L$9+INT(($S$12:$AA$12+INDEX($AJ$13:$AR$162,BN1042,0)+INDEX($AT$13:$BB$162,BO1042,0)+INDEX($BD$13:$BL$162,BP1042,0))/100)))&gt;0)*($D$10:$L$10-($D$9:$L$9+INT(($S$12:$AA$12+INDEX($AJ$13:$AR$162,BN1042,0)+INDEX($AT$13:$BB$162,BO1042,0)+INDEX($BD$13:$BL$162,BP1042,0))/100)))),0)</f>
        <v/>
      </c>
      <c r="BS1042">
        <f>IF(1029&lt;$U$9,SUMPRODUCT(($D$9:$L$9+INT(($S$12:$AA$12+INDEX($AJ$13:$AR$162,BN1042,0)+INDEX($AT$13:$BB$162,BO1042,0)+INDEX($BD$13:$BL$162,BP1042,0))/100))),0)</f>
        <v/>
      </c>
      <c r="BT1042">
        <f>IF(AND(1029&lt;$U$9,$W$5),BQ1042*1000000-MIN(BR1042,999)*1000+BS1042-1029/100000,-1000000000-1029)</f>
        <v/>
      </c>
    </row>
    <row r="1043">
      <c r="BN1043">
        <f>IF(1030&lt;$U$9,INT(1030/($U$7*$U$8))+1,1)</f>
        <v/>
      </c>
      <c r="BO1043">
        <f>IF(1030&lt;$U$9,MOD(INT(1030/$U$8),$U$7)+1,1)</f>
        <v/>
      </c>
      <c r="BP1043">
        <f>IF(1030&lt;$U$9,MOD(1030,$U$8)+1,1)</f>
        <v/>
      </c>
      <c r="BQ1043">
        <f>IF(1030&lt;$U$9,SUMPRODUCT(($D$10:$L$10&lt;&gt;"")*(($D$9:$L$9+INT(($S$12:$AA$12+INDEX($AJ$13:$AR$162,BN1043,0)+INDEX($AT$13:$BB$162,BO1043,0)+INDEX($BD$13:$BL$162,BP1043,0))/100))&gt;=$D$10:$L$10)),0)</f>
        <v/>
      </c>
      <c r="BR1043">
        <f>IF(1030&lt;$U$9,SUMPRODUCT(($D$10:$L$10&lt;&gt;"")*(($D$10:$L$10-($D$9:$L$9+INT(($S$12:$AA$12+INDEX($AJ$13:$AR$162,BN1043,0)+INDEX($AT$13:$BB$162,BO1043,0)+INDEX($BD$13:$BL$162,BP1043,0))/100)))&gt;0)*($D$10:$L$10-($D$9:$L$9+INT(($S$12:$AA$12+INDEX($AJ$13:$AR$162,BN1043,0)+INDEX($AT$13:$BB$162,BO1043,0)+INDEX($BD$13:$BL$162,BP1043,0))/100)))),0)</f>
        <v/>
      </c>
      <c r="BS1043">
        <f>IF(1030&lt;$U$9,SUMPRODUCT(($D$9:$L$9+INT(($S$12:$AA$12+INDEX($AJ$13:$AR$162,BN1043,0)+INDEX($AT$13:$BB$162,BO1043,0)+INDEX($BD$13:$BL$162,BP1043,0))/100))),0)</f>
        <v/>
      </c>
      <c r="BT1043">
        <f>IF(AND(1030&lt;$U$9,$W$5),BQ1043*1000000-MIN(BR1043,999)*1000+BS1043-1030/100000,-1000000000-1030)</f>
        <v/>
      </c>
    </row>
    <row r="1044">
      <c r="BN1044">
        <f>IF(1031&lt;$U$9,INT(1031/($U$7*$U$8))+1,1)</f>
        <v/>
      </c>
      <c r="BO1044">
        <f>IF(1031&lt;$U$9,MOD(INT(1031/$U$8),$U$7)+1,1)</f>
        <v/>
      </c>
      <c r="BP1044">
        <f>IF(1031&lt;$U$9,MOD(1031,$U$8)+1,1)</f>
        <v/>
      </c>
      <c r="BQ1044">
        <f>IF(1031&lt;$U$9,SUMPRODUCT(($D$10:$L$10&lt;&gt;"")*(($D$9:$L$9+INT(($S$12:$AA$12+INDEX($AJ$13:$AR$162,BN1044,0)+INDEX($AT$13:$BB$162,BO1044,0)+INDEX($BD$13:$BL$162,BP1044,0))/100))&gt;=$D$10:$L$10)),0)</f>
        <v/>
      </c>
      <c r="BR1044">
        <f>IF(1031&lt;$U$9,SUMPRODUCT(($D$10:$L$10&lt;&gt;"")*(($D$10:$L$10-($D$9:$L$9+INT(($S$12:$AA$12+INDEX($AJ$13:$AR$162,BN1044,0)+INDEX($AT$13:$BB$162,BO1044,0)+INDEX($BD$13:$BL$162,BP1044,0))/100)))&gt;0)*($D$10:$L$10-($D$9:$L$9+INT(($S$12:$AA$12+INDEX($AJ$13:$AR$162,BN1044,0)+INDEX($AT$13:$BB$162,BO1044,0)+INDEX($BD$13:$BL$162,BP1044,0))/100)))),0)</f>
        <v/>
      </c>
      <c r="BS1044">
        <f>IF(1031&lt;$U$9,SUMPRODUCT(($D$9:$L$9+INT(($S$12:$AA$12+INDEX($AJ$13:$AR$162,BN1044,0)+INDEX($AT$13:$BB$162,BO1044,0)+INDEX($BD$13:$BL$162,BP1044,0))/100))),0)</f>
        <v/>
      </c>
      <c r="BT1044">
        <f>IF(AND(1031&lt;$U$9,$W$5),BQ1044*1000000-MIN(BR1044,999)*1000+BS1044-1031/100000,-1000000000-1031)</f>
        <v/>
      </c>
    </row>
    <row r="1045">
      <c r="BN1045">
        <f>IF(1032&lt;$U$9,INT(1032/($U$7*$U$8))+1,1)</f>
        <v/>
      </c>
      <c r="BO1045">
        <f>IF(1032&lt;$U$9,MOD(INT(1032/$U$8),$U$7)+1,1)</f>
        <v/>
      </c>
      <c r="BP1045">
        <f>IF(1032&lt;$U$9,MOD(1032,$U$8)+1,1)</f>
        <v/>
      </c>
      <c r="BQ1045">
        <f>IF(1032&lt;$U$9,SUMPRODUCT(($D$10:$L$10&lt;&gt;"")*(($D$9:$L$9+INT(($S$12:$AA$12+INDEX($AJ$13:$AR$162,BN1045,0)+INDEX($AT$13:$BB$162,BO1045,0)+INDEX($BD$13:$BL$162,BP1045,0))/100))&gt;=$D$10:$L$10)),0)</f>
        <v/>
      </c>
      <c r="BR1045">
        <f>IF(1032&lt;$U$9,SUMPRODUCT(($D$10:$L$10&lt;&gt;"")*(($D$10:$L$10-($D$9:$L$9+INT(($S$12:$AA$12+INDEX($AJ$13:$AR$162,BN1045,0)+INDEX($AT$13:$BB$162,BO1045,0)+INDEX($BD$13:$BL$162,BP1045,0))/100)))&gt;0)*($D$10:$L$10-($D$9:$L$9+INT(($S$12:$AA$12+INDEX($AJ$13:$AR$162,BN1045,0)+INDEX($AT$13:$BB$162,BO1045,0)+INDEX($BD$13:$BL$162,BP1045,0))/100)))),0)</f>
        <v/>
      </c>
      <c r="BS1045">
        <f>IF(1032&lt;$U$9,SUMPRODUCT(($D$9:$L$9+INT(($S$12:$AA$12+INDEX($AJ$13:$AR$162,BN1045,0)+INDEX($AT$13:$BB$162,BO1045,0)+INDEX($BD$13:$BL$162,BP1045,0))/100))),0)</f>
        <v/>
      </c>
      <c r="BT1045">
        <f>IF(AND(1032&lt;$U$9,$W$5),BQ1045*1000000-MIN(BR1045,999)*1000+BS1045-1032/100000,-1000000000-1032)</f>
        <v/>
      </c>
    </row>
    <row r="1046">
      <c r="BN1046">
        <f>IF(1033&lt;$U$9,INT(1033/($U$7*$U$8))+1,1)</f>
        <v/>
      </c>
      <c r="BO1046">
        <f>IF(1033&lt;$U$9,MOD(INT(1033/$U$8),$U$7)+1,1)</f>
        <v/>
      </c>
      <c r="BP1046">
        <f>IF(1033&lt;$U$9,MOD(1033,$U$8)+1,1)</f>
        <v/>
      </c>
      <c r="BQ1046">
        <f>IF(1033&lt;$U$9,SUMPRODUCT(($D$10:$L$10&lt;&gt;"")*(($D$9:$L$9+INT(($S$12:$AA$12+INDEX($AJ$13:$AR$162,BN1046,0)+INDEX($AT$13:$BB$162,BO1046,0)+INDEX($BD$13:$BL$162,BP1046,0))/100))&gt;=$D$10:$L$10)),0)</f>
        <v/>
      </c>
      <c r="BR1046">
        <f>IF(1033&lt;$U$9,SUMPRODUCT(($D$10:$L$10&lt;&gt;"")*(($D$10:$L$10-($D$9:$L$9+INT(($S$12:$AA$12+INDEX($AJ$13:$AR$162,BN1046,0)+INDEX($AT$13:$BB$162,BO1046,0)+INDEX($BD$13:$BL$162,BP1046,0))/100)))&gt;0)*($D$10:$L$10-($D$9:$L$9+INT(($S$12:$AA$12+INDEX($AJ$13:$AR$162,BN1046,0)+INDEX($AT$13:$BB$162,BO1046,0)+INDEX($BD$13:$BL$162,BP1046,0))/100)))),0)</f>
        <v/>
      </c>
      <c r="BS1046">
        <f>IF(1033&lt;$U$9,SUMPRODUCT(($D$9:$L$9+INT(($S$12:$AA$12+INDEX($AJ$13:$AR$162,BN1046,0)+INDEX($AT$13:$BB$162,BO1046,0)+INDEX($BD$13:$BL$162,BP1046,0))/100))),0)</f>
        <v/>
      </c>
      <c r="BT1046">
        <f>IF(AND(1033&lt;$U$9,$W$5),BQ1046*1000000-MIN(BR1046,999)*1000+BS1046-1033/100000,-1000000000-1033)</f>
        <v/>
      </c>
    </row>
    <row r="1047">
      <c r="BN1047">
        <f>IF(1034&lt;$U$9,INT(1034/($U$7*$U$8))+1,1)</f>
        <v/>
      </c>
      <c r="BO1047">
        <f>IF(1034&lt;$U$9,MOD(INT(1034/$U$8),$U$7)+1,1)</f>
        <v/>
      </c>
      <c r="BP1047">
        <f>IF(1034&lt;$U$9,MOD(1034,$U$8)+1,1)</f>
        <v/>
      </c>
      <c r="BQ1047">
        <f>IF(1034&lt;$U$9,SUMPRODUCT(($D$10:$L$10&lt;&gt;"")*(($D$9:$L$9+INT(($S$12:$AA$12+INDEX($AJ$13:$AR$162,BN1047,0)+INDEX($AT$13:$BB$162,BO1047,0)+INDEX($BD$13:$BL$162,BP1047,0))/100))&gt;=$D$10:$L$10)),0)</f>
        <v/>
      </c>
      <c r="BR1047">
        <f>IF(1034&lt;$U$9,SUMPRODUCT(($D$10:$L$10&lt;&gt;"")*(($D$10:$L$10-($D$9:$L$9+INT(($S$12:$AA$12+INDEX($AJ$13:$AR$162,BN1047,0)+INDEX($AT$13:$BB$162,BO1047,0)+INDEX($BD$13:$BL$162,BP1047,0))/100)))&gt;0)*($D$10:$L$10-($D$9:$L$9+INT(($S$12:$AA$12+INDEX($AJ$13:$AR$162,BN1047,0)+INDEX($AT$13:$BB$162,BO1047,0)+INDEX($BD$13:$BL$162,BP1047,0))/100)))),0)</f>
        <v/>
      </c>
      <c r="BS1047">
        <f>IF(1034&lt;$U$9,SUMPRODUCT(($D$9:$L$9+INT(($S$12:$AA$12+INDEX($AJ$13:$AR$162,BN1047,0)+INDEX($AT$13:$BB$162,BO1047,0)+INDEX($BD$13:$BL$162,BP1047,0))/100))),0)</f>
        <v/>
      </c>
      <c r="BT1047">
        <f>IF(AND(1034&lt;$U$9,$W$5),BQ1047*1000000-MIN(BR1047,999)*1000+BS1047-1034/100000,-1000000000-1034)</f>
        <v/>
      </c>
    </row>
    <row r="1048">
      <c r="BN1048">
        <f>IF(1035&lt;$U$9,INT(1035/($U$7*$U$8))+1,1)</f>
        <v/>
      </c>
      <c r="BO1048">
        <f>IF(1035&lt;$U$9,MOD(INT(1035/$U$8),$U$7)+1,1)</f>
        <v/>
      </c>
      <c r="BP1048">
        <f>IF(1035&lt;$U$9,MOD(1035,$U$8)+1,1)</f>
        <v/>
      </c>
      <c r="BQ1048">
        <f>IF(1035&lt;$U$9,SUMPRODUCT(($D$10:$L$10&lt;&gt;"")*(($D$9:$L$9+INT(($S$12:$AA$12+INDEX($AJ$13:$AR$162,BN1048,0)+INDEX($AT$13:$BB$162,BO1048,0)+INDEX($BD$13:$BL$162,BP1048,0))/100))&gt;=$D$10:$L$10)),0)</f>
        <v/>
      </c>
      <c r="BR1048">
        <f>IF(1035&lt;$U$9,SUMPRODUCT(($D$10:$L$10&lt;&gt;"")*(($D$10:$L$10-($D$9:$L$9+INT(($S$12:$AA$12+INDEX($AJ$13:$AR$162,BN1048,0)+INDEX($AT$13:$BB$162,BO1048,0)+INDEX($BD$13:$BL$162,BP1048,0))/100)))&gt;0)*($D$10:$L$10-($D$9:$L$9+INT(($S$12:$AA$12+INDEX($AJ$13:$AR$162,BN1048,0)+INDEX($AT$13:$BB$162,BO1048,0)+INDEX($BD$13:$BL$162,BP1048,0))/100)))),0)</f>
        <v/>
      </c>
      <c r="BS1048">
        <f>IF(1035&lt;$U$9,SUMPRODUCT(($D$9:$L$9+INT(($S$12:$AA$12+INDEX($AJ$13:$AR$162,BN1048,0)+INDEX($AT$13:$BB$162,BO1048,0)+INDEX($BD$13:$BL$162,BP1048,0))/100))),0)</f>
        <v/>
      </c>
      <c r="BT1048">
        <f>IF(AND(1035&lt;$U$9,$W$5),BQ1048*1000000-MIN(BR1048,999)*1000+BS1048-1035/100000,-1000000000-1035)</f>
        <v/>
      </c>
    </row>
    <row r="1049">
      <c r="BN1049">
        <f>IF(1036&lt;$U$9,INT(1036/($U$7*$U$8))+1,1)</f>
        <v/>
      </c>
      <c r="BO1049">
        <f>IF(1036&lt;$U$9,MOD(INT(1036/$U$8),$U$7)+1,1)</f>
        <v/>
      </c>
      <c r="BP1049">
        <f>IF(1036&lt;$U$9,MOD(1036,$U$8)+1,1)</f>
        <v/>
      </c>
      <c r="BQ1049">
        <f>IF(1036&lt;$U$9,SUMPRODUCT(($D$10:$L$10&lt;&gt;"")*(($D$9:$L$9+INT(($S$12:$AA$12+INDEX($AJ$13:$AR$162,BN1049,0)+INDEX($AT$13:$BB$162,BO1049,0)+INDEX($BD$13:$BL$162,BP1049,0))/100))&gt;=$D$10:$L$10)),0)</f>
        <v/>
      </c>
      <c r="BR1049">
        <f>IF(1036&lt;$U$9,SUMPRODUCT(($D$10:$L$10&lt;&gt;"")*(($D$10:$L$10-($D$9:$L$9+INT(($S$12:$AA$12+INDEX($AJ$13:$AR$162,BN1049,0)+INDEX($AT$13:$BB$162,BO1049,0)+INDEX($BD$13:$BL$162,BP1049,0))/100)))&gt;0)*($D$10:$L$10-($D$9:$L$9+INT(($S$12:$AA$12+INDEX($AJ$13:$AR$162,BN1049,0)+INDEX($AT$13:$BB$162,BO1049,0)+INDEX($BD$13:$BL$162,BP1049,0))/100)))),0)</f>
        <v/>
      </c>
      <c r="BS1049">
        <f>IF(1036&lt;$U$9,SUMPRODUCT(($D$9:$L$9+INT(($S$12:$AA$12+INDEX($AJ$13:$AR$162,BN1049,0)+INDEX($AT$13:$BB$162,BO1049,0)+INDEX($BD$13:$BL$162,BP1049,0))/100))),0)</f>
        <v/>
      </c>
      <c r="BT1049">
        <f>IF(AND(1036&lt;$U$9,$W$5),BQ1049*1000000-MIN(BR1049,999)*1000+BS1049-1036/100000,-1000000000-1036)</f>
        <v/>
      </c>
    </row>
    <row r="1050">
      <c r="BN1050">
        <f>IF(1037&lt;$U$9,INT(1037/($U$7*$U$8))+1,1)</f>
        <v/>
      </c>
      <c r="BO1050">
        <f>IF(1037&lt;$U$9,MOD(INT(1037/$U$8),$U$7)+1,1)</f>
        <v/>
      </c>
      <c r="BP1050">
        <f>IF(1037&lt;$U$9,MOD(1037,$U$8)+1,1)</f>
        <v/>
      </c>
      <c r="BQ1050">
        <f>IF(1037&lt;$U$9,SUMPRODUCT(($D$10:$L$10&lt;&gt;"")*(($D$9:$L$9+INT(($S$12:$AA$12+INDEX($AJ$13:$AR$162,BN1050,0)+INDEX($AT$13:$BB$162,BO1050,0)+INDEX($BD$13:$BL$162,BP1050,0))/100))&gt;=$D$10:$L$10)),0)</f>
        <v/>
      </c>
      <c r="BR1050">
        <f>IF(1037&lt;$U$9,SUMPRODUCT(($D$10:$L$10&lt;&gt;"")*(($D$10:$L$10-($D$9:$L$9+INT(($S$12:$AA$12+INDEX($AJ$13:$AR$162,BN1050,0)+INDEX($AT$13:$BB$162,BO1050,0)+INDEX($BD$13:$BL$162,BP1050,0))/100)))&gt;0)*($D$10:$L$10-($D$9:$L$9+INT(($S$12:$AA$12+INDEX($AJ$13:$AR$162,BN1050,0)+INDEX($AT$13:$BB$162,BO1050,0)+INDEX($BD$13:$BL$162,BP1050,0))/100)))),0)</f>
        <v/>
      </c>
      <c r="BS1050">
        <f>IF(1037&lt;$U$9,SUMPRODUCT(($D$9:$L$9+INT(($S$12:$AA$12+INDEX($AJ$13:$AR$162,BN1050,0)+INDEX($AT$13:$BB$162,BO1050,0)+INDEX($BD$13:$BL$162,BP1050,0))/100))),0)</f>
        <v/>
      </c>
      <c r="BT1050">
        <f>IF(AND(1037&lt;$U$9,$W$5),BQ1050*1000000-MIN(BR1050,999)*1000+BS1050-1037/100000,-1000000000-1037)</f>
        <v/>
      </c>
    </row>
    <row r="1051">
      <c r="BN1051">
        <f>IF(1038&lt;$U$9,INT(1038/($U$7*$U$8))+1,1)</f>
        <v/>
      </c>
      <c r="BO1051">
        <f>IF(1038&lt;$U$9,MOD(INT(1038/$U$8),$U$7)+1,1)</f>
        <v/>
      </c>
      <c r="BP1051">
        <f>IF(1038&lt;$U$9,MOD(1038,$U$8)+1,1)</f>
        <v/>
      </c>
      <c r="BQ1051">
        <f>IF(1038&lt;$U$9,SUMPRODUCT(($D$10:$L$10&lt;&gt;"")*(($D$9:$L$9+INT(($S$12:$AA$12+INDEX($AJ$13:$AR$162,BN1051,0)+INDEX($AT$13:$BB$162,BO1051,0)+INDEX($BD$13:$BL$162,BP1051,0))/100))&gt;=$D$10:$L$10)),0)</f>
        <v/>
      </c>
      <c r="BR1051">
        <f>IF(1038&lt;$U$9,SUMPRODUCT(($D$10:$L$10&lt;&gt;"")*(($D$10:$L$10-($D$9:$L$9+INT(($S$12:$AA$12+INDEX($AJ$13:$AR$162,BN1051,0)+INDEX($AT$13:$BB$162,BO1051,0)+INDEX($BD$13:$BL$162,BP1051,0))/100)))&gt;0)*($D$10:$L$10-($D$9:$L$9+INT(($S$12:$AA$12+INDEX($AJ$13:$AR$162,BN1051,0)+INDEX($AT$13:$BB$162,BO1051,0)+INDEX($BD$13:$BL$162,BP1051,0))/100)))),0)</f>
        <v/>
      </c>
      <c r="BS1051">
        <f>IF(1038&lt;$U$9,SUMPRODUCT(($D$9:$L$9+INT(($S$12:$AA$12+INDEX($AJ$13:$AR$162,BN1051,0)+INDEX($AT$13:$BB$162,BO1051,0)+INDEX($BD$13:$BL$162,BP1051,0))/100))),0)</f>
        <v/>
      </c>
      <c r="BT1051">
        <f>IF(AND(1038&lt;$U$9,$W$5),BQ1051*1000000-MIN(BR1051,999)*1000+BS1051-1038/100000,-1000000000-1038)</f>
        <v/>
      </c>
    </row>
    <row r="1052">
      <c r="BN1052">
        <f>IF(1039&lt;$U$9,INT(1039/($U$7*$U$8))+1,1)</f>
        <v/>
      </c>
      <c r="BO1052">
        <f>IF(1039&lt;$U$9,MOD(INT(1039/$U$8),$U$7)+1,1)</f>
        <v/>
      </c>
      <c r="BP1052">
        <f>IF(1039&lt;$U$9,MOD(1039,$U$8)+1,1)</f>
        <v/>
      </c>
      <c r="BQ1052">
        <f>IF(1039&lt;$U$9,SUMPRODUCT(($D$10:$L$10&lt;&gt;"")*(($D$9:$L$9+INT(($S$12:$AA$12+INDEX($AJ$13:$AR$162,BN1052,0)+INDEX($AT$13:$BB$162,BO1052,0)+INDEX($BD$13:$BL$162,BP1052,0))/100))&gt;=$D$10:$L$10)),0)</f>
        <v/>
      </c>
      <c r="BR1052">
        <f>IF(1039&lt;$U$9,SUMPRODUCT(($D$10:$L$10&lt;&gt;"")*(($D$10:$L$10-($D$9:$L$9+INT(($S$12:$AA$12+INDEX($AJ$13:$AR$162,BN1052,0)+INDEX($AT$13:$BB$162,BO1052,0)+INDEX($BD$13:$BL$162,BP1052,0))/100)))&gt;0)*($D$10:$L$10-($D$9:$L$9+INT(($S$12:$AA$12+INDEX($AJ$13:$AR$162,BN1052,0)+INDEX($AT$13:$BB$162,BO1052,0)+INDEX($BD$13:$BL$162,BP1052,0))/100)))),0)</f>
        <v/>
      </c>
      <c r="BS1052">
        <f>IF(1039&lt;$U$9,SUMPRODUCT(($D$9:$L$9+INT(($S$12:$AA$12+INDEX($AJ$13:$AR$162,BN1052,0)+INDEX($AT$13:$BB$162,BO1052,0)+INDEX($BD$13:$BL$162,BP1052,0))/100))),0)</f>
        <v/>
      </c>
      <c r="BT1052">
        <f>IF(AND(1039&lt;$U$9,$W$5),BQ1052*1000000-MIN(BR1052,999)*1000+BS1052-1039/100000,-1000000000-1039)</f>
        <v/>
      </c>
    </row>
    <row r="1053">
      <c r="BN1053">
        <f>IF(1040&lt;$U$9,INT(1040/($U$7*$U$8))+1,1)</f>
        <v/>
      </c>
      <c r="BO1053">
        <f>IF(1040&lt;$U$9,MOD(INT(1040/$U$8),$U$7)+1,1)</f>
        <v/>
      </c>
      <c r="BP1053">
        <f>IF(1040&lt;$U$9,MOD(1040,$U$8)+1,1)</f>
        <v/>
      </c>
      <c r="BQ1053">
        <f>IF(1040&lt;$U$9,SUMPRODUCT(($D$10:$L$10&lt;&gt;"")*(($D$9:$L$9+INT(($S$12:$AA$12+INDEX($AJ$13:$AR$162,BN1053,0)+INDEX($AT$13:$BB$162,BO1053,0)+INDEX($BD$13:$BL$162,BP1053,0))/100))&gt;=$D$10:$L$10)),0)</f>
        <v/>
      </c>
      <c r="BR1053">
        <f>IF(1040&lt;$U$9,SUMPRODUCT(($D$10:$L$10&lt;&gt;"")*(($D$10:$L$10-($D$9:$L$9+INT(($S$12:$AA$12+INDEX($AJ$13:$AR$162,BN1053,0)+INDEX($AT$13:$BB$162,BO1053,0)+INDEX($BD$13:$BL$162,BP1053,0))/100)))&gt;0)*($D$10:$L$10-($D$9:$L$9+INT(($S$12:$AA$12+INDEX($AJ$13:$AR$162,BN1053,0)+INDEX($AT$13:$BB$162,BO1053,0)+INDEX($BD$13:$BL$162,BP1053,0))/100)))),0)</f>
        <v/>
      </c>
      <c r="BS1053">
        <f>IF(1040&lt;$U$9,SUMPRODUCT(($D$9:$L$9+INT(($S$12:$AA$12+INDEX($AJ$13:$AR$162,BN1053,0)+INDEX($AT$13:$BB$162,BO1053,0)+INDEX($BD$13:$BL$162,BP1053,0))/100))),0)</f>
        <v/>
      </c>
      <c r="BT1053">
        <f>IF(AND(1040&lt;$U$9,$W$5),BQ1053*1000000-MIN(BR1053,999)*1000+BS1053-1040/100000,-1000000000-1040)</f>
        <v/>
      </c>
    </row>
    <row r="1054">
      <c r="BN1054">
        <f>IF(1041&lt;$U$9,INT(1041/($U$7*$U$8))+1,1)</f>
        <v/>
      </c>
      <c r="BO1054">
        <f>IF(1041&lt;$U$9,MOD(INT(1041/$U$8),$U$7)+1,1)</f>
        <v/>
      </c>
      <c r="BP1054">
        <f>IF(1041&lt;$U$9,MOD(1041,$U$8)+1,1)</f>
        <v/>
      </c>
      <c r="BQ1054">
        <f>IF(1041&lt;$U$9,SUMPRODUCT(($D$10:$L$10&lt;&gt;"")*(($D$9:$L$9+INT(($S$12:$AA$12+INDEX($AJ$13:$AR$162,BN1054,0)+INDEX($AT$13:$BB$162,BO1054,0)+INDEX($BD$13:$BL$162,BP1054,0))/100))&gt;=$D$10:$L$10)),0)</f>
        <v/>
      </c>
      <c r="BR1054">
        <f>IF(1041&lt;$U$9,SUMPRODUCT(($D$10:$L$10&lt;&gt;"")*(($D$10:$L$10-($D$9:$L$9+INT(($S$12:$AA$12+INDEX($AJ$13:$AR$162,BN1054,0)+INDEX($AT$13:$BB$162,BO1054,0)+INDEX($BD$13:$BL$162,BP1054,0))/100)))&gt;0)*($D$10:$L$10-($D$9:$L$9+INT(($S$12:$AA$12+INDEX($AJ$13:$AR$162,BN1054,0)+INDEX($AT$13:$BB$162,BO1054,0)+INDEX($BD$13:$BL$162,BP1054,0))/100)))),0)</f>
        <v/>
      </c>
      <c r="BS1054">
        <f>IF(1041&lt;$U$9,SUMPRODUCT(($D$9:$L$9+INT(($S$12:$AA$12+INDEX($AJ$13:$AR$162,BN1054,0)+INDEX($AT$13:$BB$162,BO1054,0)+INDEX($BD$13:$BL$162,BP1054,0))/100))),0)</f>
        <v/>
      </c>
      <c r="BT1054">
        <f>IF(AND(1041&lt;$U$9,$W$5),BQ1054*1000000-MIN(BR1054,999)*1000+BS1054-1041/100000,-1000000000-1041)</f>
        <v/>
      </c>
    </row>
    <row r="1055">
      <c r="BN1055">
        <f>IF(1042&lt;$U$9,INT(1042/($U$7*$U$8))+1,1)</f>
        <v/>
      </c>
      <c r="BO1055">
        <f>IF(1042&lt;$U$9,MOD(INT(1042/$U$8),$U$7)+1,1)</f>
        <v/>
      </c>
      <c r="BP1055">
        <f>IF(1042&lt;$U$9,MOD(1042,$U$8)+1,1)</f>
        <v/>
      </c>
      <c r="BQ1055">
        <f>IF(1042&lt;$U$9,SUMPRODUCT(($D$10:$L$10&lt;&gt;"")*(($D$9:$L$9+INT(($S$12:$AA$12+INDEX($AJ$13:$AR$162,BN1055,0)+INDEX($AT$13:$BB$162,BO1055,0)+INDEX($BD$13:$BL$162,BP1055,0))/100))&gt;=$D$10:$L$10)),0)</f>
        <v/>
      </c>
      <c r="BR1055">
        <f>IF(1042&lt;$U$9,SUMPRODUCT(($D$10:$L$10&lt;&gt;"")*(($D$10:$L$10-($D$9:$L$9+INT(($S$12:$AA$12+INDEX($AJ$13:$AR$162,BN1055,0)+INDEX($AT$13:$BB$162,BO1055,0)+INDEX($BD$13:$BL$162,BP1055,0))/100)))&gt;0)*($D$10:$L$10-($D$9:$L$9+INT(($S$12:$AA$12+INDEX($AJ$13:$AR$162,BN1055,0)+INDEX($AT$13:$BB$162,BO1055,0)+INDEX($BD$13:$BL$162,BP1055,0))/100)))),0)</f>
        <v/>
      </c>
      <c r="BS1055">
        <f>IF(1042&lt;$U$9,SUMPRODUCT(($D$9:$L$9+INT(($S$12:$AA$12+INDEX($AJ$13:$AR$162,BN1055,0)+INDEX($AT$13:$BB$162,BO1055,0)+INDEX($BD$13:$BL$162,BP1055,0))/100))),0)</f>
        <v/>
      </c>
      <c r="BT1055">
        <f>IF(AND(1042&lt;$U$9,$W$5),BQ1055*1000000-MIN(BR1055,999)*1000+BS1055-1042/100000,-1000000000-1042)</f>
        <v/>
      </c>
    </row>
    <row r="1056">
      <c r="BN1056">
        <f>IF(1043&lt;$U$9,INT(1043/($U$7*$U$8))+1,1)</f>
        <v/>
      </c>
      <c r="BO1056">
        <f>IF(1043&lt;$U$9,MOD(INT(1043/$U$8),$U$7)+1,1)</f>
        <v/>
      </c>
      <c r="BP1056">
        <f>IF(1043&lt;$U$9,MOD(1043,$U$8)+1,1)</f>
        <v/>
      </c>
      <c r="BQ1056">
        <f>IF(1043&lt;$U$9,SUMPRODUCT(($D$10:$L$10&lt;&gt;"")*(($D$9:$L$9+INT(($S$12:$AA$12+INDEX($AJ$13:$AR$162,BN1056,0)+INDEX($AT$13:$BB$162,BO1056,0)+INDEX($BD$13:$BL$162,BP1056,0))/100))&gt;=$D$10:$L$10)),0)</f>
        <v/>
      </c>
      <c r="BR1056">
        <f>IF(1043&lt;$U$9,SUMPRODUCT(($D$10:$L$10&lt;&gt;"")*(($D$10:$L$10-($D$9:$L$9+INT(($S$12:$AA$12+INDEX($AJ$13:$AR$162,BN1056,0)+INDEX($AT$13:$BB$162,BO1056,0)+INDEX($BD$13:$BL$162,BP1056,0))/100)))&gt;0)*($D$10:$L$10-($D$9:$L$9+INT(($S$12:$AA$12+INDEX($AJ$13:$AR$162,BN1056,0)+INDEX($AT$13:$BB$162,BO1056,0)+INDEX($BD$13:$BL$162,BP1056,0))/100)))),0)</f>
        <v/>
      </c>
      <c r="BS1056">
        <f>IF(1043&lt;$U$9,SUMPRODUCT(($D$9:$L$9+INT(($S$12:$AA$12+INDEX($AJ$13:$AR$162,BN1056,0)+INDEX($AT$13:$BB$162,BO1056,0)+INDEX($BD$13:$BL$162,BP1056,0))/100))),0)</f>
        <v/>
      </c>
      <c r="BT1056">
        <f>IF(AND(1043&lt;$U$9,$W$5),BQ1056*1000000-MIN(BR1056,999)*1000+BS1056-1043/100000,-1000000000-1043)</f>
        <v/>
      </c>
    </row>
    <row r="1057">
      <c r="BN1057">
        <f>IF(1044&lt;$U$9,INT(1044/($U$7*$U$8))+1,1)</f>
        <v/>
      </c>
      <c r="BO1057">
        <f>IF(1044&lt;$U$9,MOD(INT(1044/$U$8),$U$7)+1,1)</f>
        <v/>
      </c>
      <c r="BP1057">
        <f>IF(1044&lt;$U$9,MOD(1044,$U$8)+1,1)</f>
        <v/>
      </c>
      <c r="BQ1057">
        <f>IF(1044&lt;$U$9,SUMPRODUCT(($D$10:$L$10&lt;&gt;"")*(($D$9:$L$9+INT(($S$12:$AA$12+INDEX($AJ$13:$AR$162,BN1057,0)+INDEX($AT$13:$BB$162,BO1057,0)+INDEX($BD$13:$BL$162,BP1057,0))/100))&gt;=$D$10:$L$10)),0)</f>
        <v/>
      </c>
      <c r="BR1057">
        <f>IF(1044&lt;$U$9,SUMPRODUCT(($D$10:$L$10&lt;&gt;"")*(($D$10:$L$10-($D$9:$L$9+INT(($S$12:$AA$12+INDEX($AJ$13:$AR$162,BN1057,0)+INDEX($AT$13:$BB$162,BO1057,0)+INDEX($BD$13:$BL$162,BP1057,0))/100)))&gt;0)*($D$10:$L$10-($D$9:$L$9+INT(($S$12:$AA$12+INDEX($AJ$13:$AR$162,BN1057,0)+INDEX($AT$13:$BB$162,BO1057,0)+INDEX($BD$13:$BL$162,BP1057,0))/100)))),0)</f>
        <v/>
      </c>
      <c r="BS1057">
        <f>IF(1044&lt;$U$9,SUMPRODUCT(($D$9:$L$9+INT(($S$12:$AA$12+INDEX($AJ$13:$AR$162,BN1057,0)+INDEX($AT$13:$BB$162,BO1057,0)+INDEX($BD$13:$BL$162,BP1057,0))/100))),0)</f>
        <v/>
      </c>
      <c r="BT1057">
        <f>IF(AND(1044&lt;$U$9,$W$5),BQ1057*1000000-MIN(BR1057,999)*1000+BS1057-1044/100000,-1000000000-1044)</f>
        <v/>
      </c>
    </row>
    <row r="1058">
      <c r="BN1058">
        <f>IF(1045&lt;$U$9,INT(1045/($U$7*$U$8))+1,1)</f>
        <v/>
      </c>
      <c r="BO1058">
        <f>IF(1045&lt;$U$9,MOD(INT(1045/$U$8),$U$7)+1,1)</f>
        <v/>
      </c>
      <c r="BP1058">
        <f>IF(1045&lt;$U$9,MOD(1045,$U$8)+1,1)</f>
        <v/>
      </c>
      <c r="BQ1058">
        <f>IF(1045&lt;$U$9,SUMPRODUCT(($D$10:$L$10&lt;&gt;"")*(($D$9:$L$9+INT(($S$12:$AA$12+INDEX($AJ$13:$AR$162,BN1058,0)+INDEX($AT$13:$BB$162,BO1058,0)+INDEX($BD$13:$BL$162,BP1058,0))/100))&gt;=$D$10:$L$10)),0)</f>
        <v/>
      </c>
      <c r="BR1058">
        <f>IF(1045&lt;$U$9,SUMPRODUCT(($D$10:$L$10&lt;&gt;"")*(($D$10:$L$10-($D$9:$L$9+INT(($S$12:$AA$12+INDEX($AJ$13:$AR$162,BN1058,0)+INDEX($AT$13:$BB$162,BO1058,0)+INDEX($BD$13:$BL$162,BP1058,0))/100)))&gt;0)*($D$10:$L$10-($D$9:$L$9+INT(($S$12:$AA$12+INDEX($AJ$13:$AR$162,BN1058,0)+INDEX($AT$13:$BB$162,BO1058,0)+INDEX($BD$13:$BL$162,BP1058,0))/100)))),0)</f>
        <v/>
      </c>
      <c r="BS1058">
        <f>IF(1045&lt;$U$9,SUMPRODUCT(($D$9:$L$9+INT(($S$12:$AA$12+INDEX($AJ$13:$AR$162,BN1058,0)+INDEX($AT$13:$BB$162,BO1058,0)+INDEX($BD$13:$BL$162,BP1058,0))/100))),0)</f>
        <v/>
      </c>
      <c r="BT1058">
        <f>IF(AND(1045&lt;$U$9,$W$5),BQ1058*1000000-MIN(BR1058,999)*1000+BS1058-1045/100000,-1000000000-1045)</f>
        <v/>
      </c>
    </row>
    <row r="1059">
      <c r="BN1059">
        <f>IF(1046&lt;$U$9,INT(1046/($U$7*$U$8))+1,1)</f>
        <v/>
      </c>
      <c r="BO1059">
        <f>IF(1046&lt;$U$9,MOD(INT(1046/$U$8),$U$7)+1,1)</f>
        <v/>
      </c>
      <c r="BP1059">
        <f>IF(1046&lt;$U$9,MOD(1046,$U$8)+1,1)</f>
        <v/>
      </c>
      <c r="BQ1059">
        <f>IF(1046&lt;$U$9,SUMPRODUCT(($D$10:$L$10&lt;&gt;"")*(($D$9:$L$9+INT(($S$12:$AA$12+INDEX($AJ$13:$AR$162,BN1059,0)+INDEX($AT$13:$BB$162,BO1059,0)+INDEX($BD$13:$BL$162,BP1059,0))/100))&gt;=$D$10:$L$10)),0)</f>
        <v/>
      </c>
      <c r="BR1059">
        <f>IF(1046&lt;$U$9,SUMPRODUCT(($D$10:$L$10&lt;&gt;"")*(($D$10:$L$10-($D$9:$L$9+INT(($S$12:$AA$12+INDEX($AJ$13:$AR$162,BN1059,0)+INDEX($AT$13:$BB$162,BO1059,0)+INDEX($BD$13:$BL$162,BP1059,0))/100)))&gt;0)*($D$10:$L$10-($D$9:$L$9+INT(($S$12:$AA$12+INDEX($AJ$13:$AR$162,BN1059,0)+INDEX($AT$13:$BB$162,BO1059,0)+INDEX($BD$13:$BL$162,BP1059,0))/100)))),0)</f>
        <v/>
      </c>
      <c r="BS1059">
        <f>IF(1046&lt;$U$9,SUMPRODUCT(($D$9:$L$9+INT(($S$12:$AA$12+INDEX($AJ$13:$AR$162,BN1059,0)+INDEX($AT$13:$BB$162,BO1059,0)+INDEX($BD$13:$BL$162,BP1059,0))/100))),0)</f>
        <v/>
      </c>
      <c r="BT1059">
        <f>IF(AND(1046&lt;$U$9,$W$5),BQ1059*1000000-MIN(BR1059,999)*1000+BS1059-1046/100000,-1000000000-1046)</f>
        <v/>
      </c>
    </row>
    <row r="1060">
      <c r="BN1060">
        <f>IF(1047&lt;$U$9,INT(1047/($U$7*$U$8))+1,1)</f>
        <v/>
      </c>
      <c r="BO1060">
        <f>IF(1047&lt;$U$9,MOD(INT(1047/$U$8),$U$7)+1,1)</f>
        <v/>
      </c>
      <c r="BP1060">
        <f>IF(1047&lt;$U$9,MOD(1047,$U$8)+1,1)</f>
        <v/>
      </c>
      <c r="BQ1060">
        <f>IF(1047&lt;$U$9,SUMPRODUCT(($D$10:$L$10&lt;&gt;"")*(($D$9:$L$9+INT(($S$12:$AA$12+INDEX($AJ$13:$AR$162,BN1060,0)+INDEX($AT$13:$BB$162,BO1060,0)+INDEX($BD$13:$BL$162,BP1060,0))/100))&gt;=$D$10:$L$10)),0)</f>
        <v/>
      </c>
      <c r="BR1060">
        <f>IF(1047&lt;$U$9,SUMPRODUCT(($D$10:$L$10&lt;&gt;"")*(($D$10:$L$10-($D$9:$L$9+INT(($S$12:$AA$12+INDEX($AJ$13:$AR$162,BN1060,0)+INDEX($AT$13:$BB$162,BO1060,0)+INDEX($BD$13:$BL$162,BP1060,0))/100)))&gt;0)*($D$10:$L$10-($D$9:$L$9+INT(($S$12:$AA$12+INDEX($AJ$13:$AR$162,BN1060,0)+INDEX($AT$13:$BB$162,BO1060,0)+INDEX($BD$13:$BL$162,BP1060,0))/100)))),0)</f>
        <v/>
      </c>
      <c r="BS1060">
        <f>IF(1047&lt;$U$9,SUMPRODUCT(($D$9:$L$9+INT(($S$12:$AA$12+INDEX($AJ$13:$AR$162,BN1060,0)+INDEX($AT$13:$BB$162,BO1060,0)+INDEX($BD$13:$BL$162,BP1060,0))/100))),0)</f>
        <v/>
      </c>
      <c r="BT1060">
        <f>IF(AND(1047&lt;$U$9,$W$5),BQ1060*1000000-MIN(BR1060,999)*1000+BS1060-1047/100000,-1000000000-1047)</f>
        <v/>
      </c>
    </row>
    <row r="1061">
      <c r="BN1061">
        <f>IF(1048&lt;$U$9,INT(1048/($U$7*$U$8))+1,1)</f>
        <v/>
      </c>
      <c r="BO1061">
        <f>IF(1048&lt;$U$9,MOD(INT(1048/$U$8),$U$7)+1,1)</f>
        <v/>
      </c>
      <c r="BP1061">
        <f>IF(1048&lt;$U$9,MOD(1048,$U$8)+1,1)</f>
        <v/>
      </c>
      <c r="BQ1061">
        <f>IF(1048&lt;$U$9,SUMPRODUCT(($D$10:$L$10&lt;&gt;"")*(($D$9:$L$9+INT(($S$12:$AA$12+INDEX($AJ$13:$AR$162,BN1061,0)+INDEX($AT$13:$BB$162,BO1061,0)+INDEX($BD$13:$BL$162,BP1061,0))/100))&gt;=$D$10:$L$10)),0)</f>
        <v/>
      </c>
      <c r="BR1061">
        <f>IF(1048&lt;$U$9,SUMPRODUCT(($D$10:$L$10&lt;&gt;"")*(($D$10:$L$10-($D$9:$L$9+INT(($S$12:$AA$12+INDEX($AJ$13:$AR$162,BN1061,0)+INDEX($AT$13:$BB$162,BO1061,0)+INDEX($BD$13:$BL$162,BP1061,0))/100)))&gt;0)*($D$10:$L$10-($D$9:$L$9+INT(($S$12:$AA$12+INDEX($AJ$13:$AR$162,BN1061,0)+INDEX($AT$13:$BB$162,BO1061,0)+INDEX($BD$13:$BL$162,BP1061,0))/100)))),0)</f>
        <v/>
      </c>
      <c r="BS1061">
        <f>IF(1048&lt;$U$9,SUMPRODUCT(($D$9:$L$9+INT(($S$12:$AA$12+INDEX($AJ$13:$AR$162,BN1061,0)+INDEX($AT$13:$BB$162,BO1061,0)+INDEX($BD$13:$BL$162,BP1061,0))/100))),0)</f>
        <v/>
      </c>
      <c r="BT1061">
        <f>IF(AND(1048&lt;$U$9,$W$5),BQ1061*1000000-MIN(BR1061,999)*1000+BS1061-1048/100000,-1000000000-1048)</f>
        <v/>
      </c>
    </row>
    <row r="1062">
      <c r="BN1062">
        <f>IF(1049&lt;$U$9,INT(1049/($U$7*$U$8))+1,1)</f>
        <v/>
      </c>
      <c r="BO1062">
        <f>IF(1049&lt;$U$9,MOD(INT(1049/$U$8),$U$7)+1,1)</f>
        <v/>
      </c>
      <c r="BP1062">
        <f>IF(1049&lt;$U$9,MOD(1049,$U$8)+1,1)</f>
        <v/>
      </c>
      <c r="BQ1062">
        <f>IF(1049&lt;$U$9,SUMPRODUCT(($D$10:$L$10&lt;&gt;"")*(($D$9:$L$9+INT(($S$12:$AA$12+INDEX($AJ$13:$AR$162,BN1062,0)+INDEX($AT$13:$BB$162,BO1062,0)+INDEX($BD$13:$BL$162,BP1062,0))/100))&gt;=$D$10:$L$10)),0)</f>
        <v/>
      </c>
      <c r="BR1062">
        <f>IF(1049&lt;$U$9,SUMPRODUCT(($D$10:$L$10&lt;&gt;"")*(($D$10:$L$10-($D$9:$L$9+INT(($S$12:$AA$12+INDEX($AJ$13:$AR$162,BN1062,0)+INDEX($AT$13:$BB$162,BO1062,0)+INDEX($BD$13:$BL$162,BP1062,0))/100)))&gt;0)*($D$10:$L$10-($D$9:$L$9+INT(($S$12:$AA$12+INDEX($AJ$13:$AR$162,BN1062,0)+INDEX($AT$13:$BB$162,BO1062,0)+INDEX($BD$13:$BL$162,BP1062,0))/100)))),0)</f>
        <v/>
      </c>
      <c r="BS1062">
        <f>IF(1049&lt;$U$9,SUMPRODUCT(($D$9:$L$9+INT(($S$12:$AA$12+INDEX($AJ$13:$AR$162,BN1062,0)+INDEX($AT$13:$BB$162,BO1062,0)+INDEX($BD$13:$BL$162,BP1062,0))/100))),0)</f>
        <v/>
      </c>
      <c r="BT1062">
        <f>IF(AND(1049&lt;$U$9,$W$5),BQ1062*1000000-MIN(BR1062,999)*1000+BS1062-1049/100000,-1000000000-1049)</f>
        <v/>
      </c>
    </row>
    <row r="1063">
      <c r="BN1063">
        <f>IF(1050&lt;$U$9,INT(1050/($U$7*$U$8))+1,1)</f>
        <v/>
      </c>
      <c r="BO1063">
        <f>IF(1050&lt;$U$9,MOD(INT(1050/$U$8),$U$7)+1,1)</f>
        <v/>
      </c>
      <c r="BP1063">
        <f>IF(1050&lt;$U$9,MOD(1050,$U$8)+1,1)</f>
        <v/>
      </c>
      <c r="BQ1063">
        <f>IF(1050&lt;$U$9,SUMPRODUCT(($D$10:$L$10&lt;&gt;"")*(($D$9:$L$9+INT(($S$12:$AA$12+INDEX($AJ$13:$AR$162,BN1063,0)+INDEX($AT$13:$BB$162,BO1063,0)+INDEX($BD$13:$BL$162,BP1063,0))/100))&gt;=$D$10:$L$10)),0)</f>
        <v/>
      </c>
      <c r="BR1063">
        <f>IF(1050&lt;$U$9,SUMPRODUCT(($D$10:$L$10&lt;&gt;"")*(($D$10:$L$10-($D$9:$L$9+INT(($S$12:$AA$12+INDEX($AJ$13:$AR$162,BN1063,0)+INDEX($AT$13:$BB$162,BO1063,0)+INDEX($BD$13:$BL$162,BP1063,0))/100)))&gt;0)*($D$10:$L$10-($D$9:$L$9+INT(($S$12:$AA$12+INDEX($AJ$13:$AR$162,BN1063,0)+INDEX($AT$13:$BB$162,BO1063,0)+INDEX($BD$13:$BL$162,BP1063,0))/100)))),0)</f>
        <v/>
      </c>
      <c r="BS1063">
        <f>IF(1050&lt;$U$9,SUMPRODUCT(($D$9:$L$9+INT(($S$12:$AA$12+INDEX($AJ$13:$AR$162,BN1063,0)+INDEX($AT$13:$BB$162,BO1063,0)+INDEX($BD$13:$BL$162,BP1063,0))/100))),0)</f>
        <v/>
      </c>
      <c r="BT1063">
        <f>IF(AND(1050&lt;$U$9,$W$5),BQ1063*1000000-MIN(BR1063,999)*1000+BS1063-1050/100000,-1000000000-1050)</f>
        <v/>
      </c>
    </row>
    <row r="1064">
      <c r="BN1064">
        <f>IF(1051&lt;$U$9,INT(1051/($U$7*$U$8))+1,1)</f>
        <v/>
      </c>
      <c r="BO1064">
        <f>IF(1051&lt;$U$9,MOD(INT(1051/$U$8),$U$7)+1,1)</f>
        <v/>
      </c>
      <c r="BP1064">
        <f>IF(1051&lt;$U$9,MOD(1051,$U$8)+1,1)</f>
        <v/>
      </c>
      <c r="BQ1064">
        <f>IF(1051&lt;$U$9,SUMPRODUCT(($D$10:$L$10&lt;&gt;"")*(($D$9:$L$9+INT(($S$12:$AA$12+INDEX($AJ$13:$AR$162,BN1064,0)+INDEX($AT$13:$BB$162,BO1064,0)+INDEX($BD$13:$BL$162,BP1064,0))/100))&gt;=$D$10:$L$10)),0)</f>
        <v/>
      </c>
      <c r="BR1064">
        <f>IF(1051&lt;$U$9,SUMPRODUCT(($D$10:$L$10&lt;&gt;"")*(($D$10:$L$10-($D$9:$L$9+INT(($S$12:$AA$12+INDEX($AJ$13:$AR$162,BN1064,0)+INDEX($AT$13:$BB$162,BO1064,0)+INDEX($BD$13:$BL$162,BP1064,0))/100)))&gt;0)*($D$10:$L$10-($D$9:$L$9+INT(($S$12:$AA$12+INDEX($AJ$13:$AR$162,BN1064,0)+INDEX($AT$13:$BB$162,BO1064,0)+INDEX($BD$13:$BL$162,BP1064,0))/100)))),0)</f>
        <v/>
      </c>
      <c r="BS1064">
        <f>IF(1051&lt;$U$9,SUMPRODUCT(($D$9:$L$9+INT(($S$12:$AA$12+INDEX($AJ$13:$AR$162,BN1064,0)+INDEX($AT$13:$BB$162,BO1064,0)+INDEX($BD$13:$BL$162,BP1064,0))/100))),0)</f>
        <v/>
      </c>
      <c r="BT1064">
        <f>IF(AND(1051&lt;$U$9,$W$5),BQ1064*1000000-MIN(BR1064,999)*1000+BS1064-1051/100000,-1000000000-1051)</f>
        <v/>
      </c>
    </row>
    <row r="1065">
      <c r="BN1065">
        <f>IF(1052&lt;$U$9,INT(1052/($U$7*$U$8))+1,1)</f>
        <v/>
      </c>
      <c r="BO1065">
        <f>IF(1052&lt;$U$9,MOD(INT(1052/$U$8),$U$7)+1,1)</f>
        <v/>
      </c>
      <c r="BP1065">
        <f>IF(1052&lt;$U$9,MOD(1052,$U$8)+1,1)</f>
        <v/>
      </c>
      <c r="BQ1065">
        <f>IF(1052&lt;$U$9,SUMPRODUCT(($D$10:$L$10&lt;&gt;"")*(($D$9:$L$9+INT(($S$12:$AA$12+INDEX($AJ$13:$AR$162,BN1065,0)+INDEX($AT$13:$BB$162,BO1065,0)+INDEX($BD$13:$BL$162,BP1065,0))/100))&gt;=$D$10:$L$10)),0)</f>
        <v/>
      </c>
      <c r="BR1065">
        <f>IF(1052&lt;$U$9,SUMPRODUCT(($D$10:$L$10&lt;&gt;"")*(($D$10:$L$10-($D$9:$L$9+INT(($S$12:$AA$12+INDEX($AJ$13:$AR$162,BN1065,0)+INDEX($AT$13:$BB$162,BO1065,0)+INDEX($BD$13:$BL$162,BP1065,0))/100)))&gt;0)*($D$10:$L$10-($D$9:$L$9+INT(($S$12:$AA$12+INDEX($AJ$13:$AR$162,BN1065,0)+INDEX($AT$13:$BB$162,BO1065,0)+INDEX($BD$13:$BL$162,BP1065,0))/100)))),0)</f>
        <v/>
      </c>
      <c r="BS1065">
        <f>IF(1052&lt;$U$9,SUMPRODUCT(($D$9:$L$9+INT(($S$12:$AA$12+INDEX($AJ$13:$AR$162,BN1065,0)+INDEX($AT$13:$BB$162,BO1065,0)+INDEX($BD$13:$BL$162,BP1065,0))/100))),0)</f>
        <v/>
      </c>
      <c r="BT1065">
        <f>IF(AND(1052&lt;$U$9,$W$5),BQ1065*1000000-MIN(BR1065,999)*1000+BS1065-1052/100000,-1000000000-1052)</f>
        <v/>
      </c>
    </row>
    <row r="1066">
      <c r="BN1066">
        <f>IF(1053&lt;$U$9,INT(1053/($U$7*$U$8))+1,1)</f>
        <v/>
      </c>
      <c r="BO1066">
        <f>IF(1053&lt;$U$9,MOD(INT(1053/$U$8),$U$7)+1,1)</f>
        <v/>
      </c>
      <c r="BP1066">
        <f>IF(1053&lt;$U$9,MOD(1053,$U$8)+1,1)</f>
        <v/>
      </c>
      <c r="BQ1066">
        <f>IF(1053&lt;$U$9,SUMPRODUCT(($D$10:$L$10&lt;&gt;"")*(($D$9:$L$9+INT(($S$12:$AA$12+INDEX($AJ$13:$AR$162,BN1066,0)+INDEX($AT$13:$BB$162,BO1066,0)+INDEX($BD$13:$BL$162,BP1066,0))/100))&gt;=$D$10:$L$10)),0)</f>
        <v/>
      </c>
      <c r="BR1066">
        <f>IF(1053&lt;$U$9,SUMPRODUCT(($D$10:$L$10&lt;&gt;"")*(($D$10:$L$10-($D$9:$L$9+INT(($S$12:$AA$12+INDEX($AJ$13:$AR$162,BN1066,0)+INDEX($AT$13:$BB$162,BO1066,0)+INDEX($BD$13:$BL$162,BP1066,0))/100)))&gt;0)*($D$10:$L$10-($D$9:$L$9+INT(($S$12:$AA$12+INDEX($AJ$13:$AR$162,BN1066,0)+INDEX($AT$13:$BB$162,BO1066,0)+INDEX($BD$13:$BL$162,BP1066,0))/100)))),0)</f>
        <v/>
      </c>
      <c r="BS1066">
        <f>IF(1053&lt;$U$9,SUMPRODUCT(($D$9:$L$9+INT(($S$12:$AA$12+INDEX($AJ$13:$AR$162,BN1066,0)+INDEX($AT$13:$BB$162,BO1066,0)+INDEX($BD$13:$BL$162,BP1066,0))/100))),0)</f>
        <v/>
      </c>
      <c r="BT1066">
        <f>IF(AND(1053&lt;$U$9,$W$5),BQ1066*1000000-MIN(BR1066,999)*1000+BS1066-1053/100000,-1000000000-1053)</f>
        <v/>
      </c>
    </row>
    <row r="1067">
      <c r="BN1067">
        <f>IF(1054&lt;$U$9,INT(1054/($U$7*$U$8))+1,1)</f>
        <v/>
      </c>
      <c r="BO1067">
        <f>IF(1054&lt;$U$9,MOD(INT(1054/$U$8),$U$7)+1,1)</f>
        <v/>
      </c>
      <c r="BP1067">
        <f>IF(1054&lt;$U$9,MOD(1054,$U$8)+1,1)</f>
        <v/>
      </c>
      <c r="BQ1067">
        <f>IF(1054&lt;$U$9,SUMPRODUCT(($D$10:$L$10&lt;&gt;"")*(($D$9:$L$9+INT(($S$12:$AA$12+INDEX($AJ$13:$AR$162,BN1067,0)+INDEX($AT$13:$BB$162,BO1067,0)+INDEX($BD$13:$BL$162,BP1067,0))/100))&gt;=$D$10:$L$10)),0)</f>
        <v/>
      </c>
      <c r="BR1067">
        <f>IF(1054&lt;$U$9,SUMPRODUCT(($D$10:$L$10&lt;&gt;"")*(($D$10:$L$10-($D$9:$L$9+INT(($S$12:$AA$12+INDEX($AJ$13:$AR$162,BN1067,0)+INDEX($AT$13:$BB$162,BO1067,0)+INDEX($BD$13:$BL$162,BP1067,0))/100)))&gt;0)*($D$10:$L$10-($D$9:$L$9+INT(($S$12:$AA$12+INDEX($AJ$13:$AR$162,BN1067,0)+INDEX($AT$13:$BB$162,BO1067,0)+INDEX($BD$13:$BL$162,BP1067,0))/100)))),0)</f>
        <v/>
      </c>
      <c r="BS1067">
        <f>IF(1054&lt;$U$9,SUMPRODUCT(($D$9:$L$9+INT(($S$12:$AA$12+INDEX($AJ$13:$AR$162,BN1067,0)+INDEX($AT$13:$BB$162,BO1067,0)+INDEX($BD$13:$BL$162,BP1067,0))/100))),0)</f>
        <v/>
      </c>
      <c r="BT1067">
        <f>IF(AND(1054&lt;$U$9,$W$5),BQ1067*1000000-MIN(BR1067,999)*1000+BS1067-1054/100000,-1000000000-1054)</f>
        <v/>
      </c>
    </row>
    <row r="1068">
      <c r="BN1068">
        <f>IF(1055&lt;$U$9,INT(1055/($U$7*$U$8))+1,1)</f>
        <v/>
      </c>
      <c r="BO1068">
        <f>IF(1055&lt;$U$9,MOD(INT(1055/$U$8),$U$7)+1,1)</f>
        <v/>
      </c>
      <c r="BP1068">
        <f>IF(1055&lt;$U$9,MOD(1055,$U$8)+1,1)</f>
        <v/>
      </c>
      <c r="BQ1068">
        <f>IF(1055&lt;$U$9,SUMPRODUCT(($D$10:$L$10&lt;&gt;"")*(($D$9:$L$9+INT(($S$12:$AA$12+INDEX($AJ$13:$AR$162,BN1068,0)+INDEX($AT$13:$BB$162,BO1068,0)+INDEX($BD$13:$BL$162,BP1068,0))/100))&gt;=$D$10:$L$10)),0)</f>
        <v/>
      </c>
      <c r="BR1068">
        <f>IF(1055&lt;$U$9,SUMPRODUCT(($D$10:$L$10&lt;&gt;"")*(($D$10:$L$10-($D$9:$L$9+INT(($S$12:$AA$12+INDEX($AJ$13:$AR$162,BN1068,0)+INDEX($AT$13:$BB$162,BO1068,0)+INDEX($BD$13:$BL$162,BP1068,0))/100)))&gt;0)*($D$10:$L$10-($D$9:$L$9+INT(($S$12:$AA$12+INDEX($AJ$13:$AR$162,BN1068,0)+INDEX($AT$13:$BB$162,BO1068,0)+INDEX($BD$13:$BL$162,BP1068,0))/100)))),0)</f>
        <v/>
      </c>
      <c r="BS1068">
        <f>IF(1055&lt;$U$9,SUMPRODUCT(($D$9:$L$9+INT(($S$12:$AA$12+INDEX($AJ$13:$AR$162,BN1068,0)+INDEX($AT$13:$BB$162,BO1068,0)+INDEX($BD$13:$BL$162,BP1068,0))/100))),0)</f>
        <v/>
      </c>
      <c r="BT1068">
        <f>IF(AND(1055&lt;$U$9,$W$5),BQ1068*1000000-MIN(BR1068,999)*1000+BS1068-1055/100000,-1000000000-1055)</f>
        <v/>
      </c>
    </row>
    <row r="1069">
      <c r="BN1069">
        <f>IF(1056&lt;$U$9,INT(1056/($U$7*$U$8))+1,1)</f>
        <v/>
      </c>
      <c r="BO1069">
        <f>IF(1056&lt;$U$9,MOD(INT(1056/$U$8),$U$7)+1,1)</f>
        <v/>
      </c>
      <c r="BP1069">
        <f>IF(1056&lt;$U$9,MOD(1056,$U$8)+1,1)</f>
        <v/>
      </c>
      <c r="BQ1069">
        <f>IF(1056&lt;$U$9,SUMPRODUCT(($D$10:$L$10&lt;&gt;"")*(($D$9:$L$9+INT(($S$12:$AA$12+INDEX($AJ$13:$AR$162,BN1069,0)+INDEX($AT$13:$BB$162,BO1069,0)+INDEX($BD$13:$BL$162,BP1069,0))/100))&gt;=$D$10:$L$10)),0)</f>
        <v/>
      </c>
      <c r="BR1069">
        <f>IF(1056&lt;$U$9,SUMPRODUCT(($D$10:$L$10&lt;&gt;"")*(($D$10:$L$10-($D$9:$L$9+INT(($S$12:$AA$12+INDEX($AJ$13:$AR$162,BN1069,0)+INDEX($AT$13:$BB$162,BO1069,0)+INDEX($BD$13:$BL$162,BP1069,0))/100)))&gt;0)*($D$10:$L$10-($D$9:$L$9+INT(($S$12:$AA$12+INDEX($AJ$13:$AR$162,BN1069,0)+INDEX($AT$13:$BB$162,BO1069,0)+INDEX($BD$13:$BL$162,BP1069,0))/100)))),0)</f>
        <v/>
      </c>
      <c r="BS1069">
        <f>IF(1056&lt;$U$9,SUMPRODUCT(($D$9:$L$9+INT(($S$12:$AA$12+INDEX($AJ$13:$AR$162,BN1069,0)+INDEX($AT$13:$BB$162,BO1069,0)+INDEX($BD$13:$BL$162,BP1069,0))/100))),0)</f>
        <v/>
      </c>
      <c r="BT1069">
        <f>IF(AND(1056&lt;$U$9,$W$5),BQ1069*1000000-MIN(BR1069,999)*1000+BS1069-1056/100000,-1000000000-1056)</f>
        <v/>
      </c>
    </row>
    <row r="1070">
      <c r="BN1070">
        <f>IF(1057&lt;$U$9,INT(1057/($U$7*$U$8))+1,1)</f>
        <v/>
      </c>
      <c r="BO1070">
        <f>IF(1057&lt;$U$9,MOD(INT(1057/$U$8),$U$7)+1,1)</f>
        <v/>
      </c>
      <c r="BP1070">
        <f>IF(1057&lt;$U$9,MOD(1057,$U$8)+1,1)</f>
        <v/>
      </c>
      <c r="BQ1070">
        <f>IF(1057&lt;$U$9,SUMPRODUCT(($D$10:$L$10&lt;&gt;"")*(($D$9:$L$9+INT(($S$12:$AA$12+INDEX($AJ$13:$AR$162,BN1070,0)+INDEX($AT$13:$BB$162,BO1070,0)+INDEX($BD$13:$BL$162,BP1070,0))/100))&gt;=$D$10:$L$10)),0)</f>
        <v/>
      </c>
      <c r="BR1070">
        <f>IF(1057&lt;$U$9,SUMPRODUCT(($D$10:$L$10&lt;&gt;"")*(($D$10:$L$10-($D$9:$L$9+INT(($S$12:$AA$12+INDEX($AJ$13:$AR$162,BN1070,0)+INDEX($AT$13:$BB$162,BO1070,0)+INDEX($BD$13:$BL$162,BP1070,0))/100)))&gt;0)*($D$10:$L$10-($D$9:$L$9+INT(($S$12:$AA$12+INDEX($AJ$13:$AR$162,BN1070,0)+INDEX($AT$13:$BB$162,BO1070,0)+INDEX($BD$13:$BL$162,BP1070,0))/100)))),0)</f>
        <v/>
      </c>
      <c r="BS1070">
        <f>IF(1057&lt;$U$9,SUMPRODUCT(($D$9:$L$9+INT(($S$12:$AA$12+INDEX($AJ$13:$AR$162,BN1070,0)+INDEX($AT$13:$BB$162,BO1070,0)+INDEX($BD$13:$BL$162,BP1070,0))/100))),0)</f>
        <v/>
      </c>
      <c r="BT1070">
        <f>IF(AND(1057&lt;$U$9,$W$5),BQ1070*1000000-MIN(BR1070,999)*1000+BS1070-1057/100000,-1000000000-1057)</f>
        <v/>
      </c>
    </row>
    <row r="1071">
      <c r="BN1071">
        <f>IF(1058&lt;$U$9,INT(1058/($U$7*$U$8))+1,1)</f>
        <v/>
      </c>
      <c r="BO1071">
        <f>IF(1058&lt;$U$9,MOD(INT(1058/$U$8),$U$7)+1,1)</f>
        <v/>
      </c>
      <c r="BP1071">
        <f>IF(1058&lt;$U$9,MOD(1058,$U$8)+1,1)</f>
        <v/>
      </c>
      <c r="BQ1071">
        <f>IF(1058&lt;$U$9,SUMPRODUCT(($D$10:$L$10&lt;&gt;"")*(($D$9:$L$9+INT(($S$12:$AA$12+INDEX($AJ$13:$AR$162,BN1071,0)+INDEX($AT$13:$BB$162,BO1071,0)+INDEX($BD$13:$BL$162,BP1071,0))/100))&gt;=$D$10:$L$10)),0)</f>
        <v/>
      </c>
      <c r="BR1071">
        <f>IF(1058&lt;$U$9,SUMPRODUCT(($D$10:$L$10&lt;&gt;"")*(($D$10:$L$10-($D$9:$L$9+INT(($S$12:$AA$12+INDEX($AJ$13:$AR$162,BN1071,0)+INDEX($AT$13:$BB$162,BO1071,0)+INDEX($BD$13:$BL$162,BP1071,0))/100)))&gt;0)*($D$10:$L$10-($D$9:$L$9+INT(($S$12:$AA$12+INDEX($AJ$13:$AR$162,BN1071,0)+INDEX($AT$13:$BB$162,BO1071,0)+INDEX($BD$13:$BL$162,BP1071,0))/100)))),0)</f>
        <v/>
      </c>
      <c r="BS1071">
        <f>IF(1058&lt;$U$9,SUMPRODUCT(($D$9:$L$9+INT(($S$12:$AA$12+INDEX($AJ$13:$AR$162,BN1071,0)+INDEX($AT$13:$BB$162,BO1071,0)+INDEX($BD$13:$BL$162,BP1071,0))/100))),0)</f>
        <v/>
      </c>
      <c r="BT1071">
        <f>IF(AND(1058&lt;$U$9,$W$5),BQ1071*1000000-MIN(BR1071,999)*1000+BS1071-1058/100000,-1000000000-1058)</f>
        <v/>
      </c>
    </row>
    <row r="1072">
      <c r="BN1072">
        <f>IF(1059&lt;$U$9,INT(1059/($U$7*$U$8))+1,1)</f>
        <v/>
      </c>
      <c r="BO1072">
        <f>IF(1059&lt;$U$9,MOD(INT(1059/$U$8),$U$7)+1,1)</f>
        <v/>
      </c>
      <c r="BP1072">
        <f>IF(1059&lt;$U$9,MOD(1059,$U$8)+1,1)</f>
        <v/>
      </c>
      <c r="BQ1072">
        <f>IF(1059&lt;$U$9,SUMPRODUCT(($D$10:$L$10&lt;&gt;"")*(($D$9:$L$9+INT(($S$12:$AA$12+INDEX($AJ$13:$AR$162,BN1072,0)+INDEX($AT$13:$BB$162,BO1072,0)+INDEX($BD$13:$BL$162,BP1072,0))/100))&gt;=$D$10:$L$10)),0)</f>
        <v/>
      </c>
      <c r="BR1072">
        <f>IF(1059&lt;$U$9,SUMPRODUCT(($D$10:$L$10&lt;&gt;"")*(($D$10:$L$10-($D$9:$L$9+INT(($S$12:$AA$12+INDEX($AJ$13:$AR$162,BN1072,0)+INDEX($AT$13:$BB$162,BO1072,0)+INDEX($BD$13:$BL$162,BP1072,0))/100)))&gt;0)*($D$10:$L$10-($D$9:$L$9+INT(($S$12:$AA$12+INDEX($AJ$13:$AR$162,BN1072,0)+INDEX($AT$13:$BB$162,BO1072,0)+INDEX($BD$13:$BL$162,BP1072,0))/100)))),0)</f>
        <v/>
      </c>
      <c r="BS1072">
        <f>IF(1059&lt;$U$9,SUMPRODUCT(($D$9:$L$9+INT(($S$12:$AA$12+INDEX($AJ$13:$AR$162,BN1072,0)+INDEX($AT$13:$BB$162,BO1072,0)+INDEX($BD$13:$BL$162,BP1072,0))/100))),0)</f>
        <v/>
      </c>
      <c r="BT1072">
        <f>IF(AND(1059&lt;$U$9,$W$5),BQ1072*1000000-MIN(BR1072,999)*1000+BS1072-1059/100000,-1000000000-1059)</f>
        <v/>
      </c>
    </row>
    <row r="1073">
      <c r="BN1073">
        <f>IF(1060&lt;$U$9,INT(1060/($U$7*$U$8))+1,1)</f>
        <v/>
      </c>
      <c r="BO1073">
        <f>IF(1060&lt;$U$9,MOD(INT(1060/$U$8),$U$7)+1,1)</f>
        <v/>
      </c>
      <c r="BP1073">
        <f>IF(1060&lt;$U$9,MOD(1060,$U$8)+1,1)</f>
        <v/>
      </c>
      <c r="BQ1073">
        <f>IF(1060&lt;$U$9,SUMPRODUCT(($D$10:$L$10&lt;&gt;"")*(($D$9:$L$9+INT(($S$12:$AA$12+INDEX($AJ$13:$AR$162,BN1073,0)+INDEX($AT$13:$BB$162,BO1073,0)+INDEX($BD$13:$BL$162,BP1073,0))/100))&gt;=$D$10:$L$10)),0)</f>
        <v/>
      </c>
      <c r="BR1073">
        <f>IF(1060&lt;$U$9,SUMPRODUCT(($D$10:$L$10&lt;&gt;"")*(($D$10:$L$10-($D$9:$L$9+INT(($S$12:$AA$12+INDEX($AJ$13:$AR$162,BN1073,0)+INDEX($AT$13:$BB$162,BO1073,0)+INDEX($BD$13:$BL$162,BP1073,0))/100)))&gt;0)*($D$10:$L$10-($D$9:$L$9+INT(($S$12:$AA$12+INDEX($AJ$13:$AR$162,BN1073,0)+INDEX($AT$13:$BB$162,BO1073,0)+INDEX($BD$13:$BL$162,BP1073,0))/100)))),0)</f>
        <v/>
      </c>
      <c r="BS1073">
        <f>IF(1060&lt;$U$9,SUMPRODUCT(($D$9:$L$9+INT(($S$12:$AA$12+INDEX($AJ$13:$AR$162,BN1073,0)+INDEX($AT$13:$BB$162,BO1073,0)+INDEX($BD$13:$BL$162,BP1073,0))/100))),0)</f>
        <v/>
      </c>
      <c r="BT1073">
        <f>IF(AND(1060&lt;$U$9,$W$5),BQ1073*1000000-MIN(BR1073,999)*1000+BS1073-1060/100000,-1000000000-1060)</f>
        <v/>
      </c>
    </row>
    <row r="1074">
      <c r="BN1074">
        <f>IF(1061&lt;$U$9,INT(1061/($U$7*$U$8))+1,1)</f>
        <v/>
      </c>
      <c r="BO1074">
        <f>IF(1061&lt;$U$9,MOD(INT(1061/$U$8),$U$7)+1,1)</f>
        <v/>
      </c>
      <c r="BP1074">
        <f>IF(1061&lt;$U$9,MOD(1061,$U$8)+1,1)</f>
        <v/>
      </c>
      <c r="BQ1074">
        <f>IF(1061&lt;$U$9,SUMPRODUCT(($D$10:$L$10&lt;&gt;"")*(($D$9:$L$9+INT(($S$12:$AA$12+INDEX($AJ$13:$AR$162,BN1074,0)+INDEX($AT$13:$BB$162,BO1074,0)+INDEX($BD$13:$BL$162,BP1074,0))/100))&gt;=$D$10:$L$10)),0)</f>
        <v/>
      </c>
      <c r="BR1074">
        <f>IF(1061&lt;$U$9,SUMPRODUCT(($D$10:$L$10&lt;&gt;"")*(($D$10:$L$10-($D$9:$L$9+INT(($S$12:$AA$12+INDEX($AJ$13:$AR$162,BN1074,0)+INDEX($AT$13:$BB$162,BO1074,0)+INDEX($BD$13:$BL$162,BP1074,0))/100)))&gt;0)*($D$10:$L$10-($D$9:$L$9+INT(($S$12:$AA$12+INDEX($AJ$13:$AR$162,BN1074,0)+INDEX($AT$13:$BB$162,BO1074,0)+INDEX($BD$13:$BL$162,BP1074,0))/100)))),0)</f>
        <v/>
      </c>
      <c r="BS1074">
        <f>IF(1061&lt;$U$9,SUMPRODUCT(($D$9:$L$9+INT(($S$12:$AA$12+INDEX($AJ$13:$AR$162,BN1074,0)+INDEX($AT$13:$BB$162,BO1074,0)+INDEX($BD$13:$BL$162,BP1074,0))/100))),0)</f>
        <v/>
      </c>
      <c r="BT1074">
        <f>IF(AND(1061&lt;$U$9,$W$5),BQ1074*1000000-MIN(BR1074,999)*1000+BS1074-1061/100000,-1000000000-1061)</f>
        <v/>
      </c>
    </row>
    <row r="1075">
      <c r="BN1075">
        <f>IF(1062&lt;$U$9,INT(1062/($U$7*$U$8))+1,1)</f>
        <v/>
      </c>
      <c r="BO1075">
        <f>IF(1062&lt;$U$9,MOD(INT(1062/$U$8),$U$7)+1,1)</f>
        <v/>
      </c>
      <c r="BP1075">
        <f>IF(1062&lt;$U$9,MOD(1062,$U$8)+1,1)</f>
        <v/>
      </c>
      <c r="BQ1075">
        <f>IF(1062&lt;$U$9,SUMPRODUCT(($D$10:$L$10&lt;&gt;"")*(($D$9:$L$9+INT(($S$12:$AA$12+INDEX($AJ$13:$AR$162,BN1075,0)+INDEX($AT$13:$BB$162,BO1075,0)+INDEX($BD$13:$BL$162,BP1075,0))/100))&gt;=$D$10:$L$10)),0)</f>
        <v/>
      </c>
      <c r="BR1075">
        <f>IF(1062&lt;$U$9,SUMPRODUCT(($D$10:$L$10&lt;&gt;"")*(($D$10:$L$10-($D$9:$L$9+INT(($S$12:$AA$12+INDEX($AJ$13:$AR$162,BN1075,0)+INDEX($AT$13:$BB$162,BO1075,0)+INDEX($BD$13:$BL$162,BP1075,0))/100)))&gt;0)*($D$10:$L$10-($D$9:$L$9+INT(($S$12:$AA$12+INDEX($AJ$13:$AR$162,BN1075,0)+INDEX($AT$13:$BB$162,BO1075,0)+INDEX($BD$13:$BL$162,BP1075,0))/100)))),0)</f>
        <v/>
      </c>
      <c r="BS1075">
        <f>IF(1062&lt;$U$9,SUMPRODUCT(($D$9:$L$9+INT(($S$12:$AA$12+INDEX($AJ$13:$AR$162,BN1075,0)+INDEX($AT$13:$BB$162,BO1075,0)+INDEX($BD$13:$BL$162,BP1075,0))/100))),0)</f>
        <v/>
      </c>
      <c r="BT1075">
        <f>IF(AND(1062&lt;$U$9,$W$5),BQ1075*1000000-MIN(BR1075,999)*1000+BS1075-1062/100000,-1000000000-1062)</f>
        <v/>
      </c>
    </row>
    <row r="1076">
      <c r="BN1076">
        <f>IF(1063&lt;$U$9,INT(1063/($U$7*$U$8))+1,1)</f>
        <v/>
      </c>
      <c r="BO1076">
        <f>IF(1063&lt;$U$9,MOD(INT(1063/$U$8),$U$7)+1,1)</f>
        <v/>
      </c>
      <c r="BP1076">
        <f>IF(1063&lt;$U$9,MOD(1063,$U$8)+1,1)</f>
        <v/>
      </c>
      <c r="BQ1076">
        <f>IF(1063&lt;$U$9,SUMPRODUCT(($D$10:$L$10&lt;&gt;"")*(($D$9:$L$9+INT(($S$12:$AA$12+INDEX($AJ$13:$AR$162,BN1076,0)+INDEX($AT$13:$BB$162,BO1076,0)+INDEX($BD$13:$BL$162,BP1076,0))/100))&gt;=$D$10:$L$10)),0)</f>
        <v/>
      </c>
      <c r="BR1076">
        <f>IF(1063&lt;$U$9,SUMPRODUCT(($D$10:$L$10&lt;&gt;"")*(($D$10:$L$10-($D$9:$L$9+INT(($S$12:$AA$12+INDEX($AJ$13:$AR$162,BN1076,0)+INDEX($AT$13:$BB$162,BO1076,0)+INDEX($BD$13:$BL$162,BP1076,0))/100)))&gt;0)*($D$10:$L$10-($D$9:$L$9+INT(($S$12:$AA$12+INDEX($AJ$13:$AR$162,BN1076,0)+INDEX($AT$13:$BB$162,BO1076,0)+INDEX($BD$13:$BL$162,BP1076,0))/100)))),0)</f>
        <v/>
      </c>
      <c r="BS1076">
        <f>IF(1063&lt;$U$9,SUMPRODUCT(($D$9:$L$9+INT(($S$12:$AA$12+INDEX($AJ$13:$AR$162,BN1076,0)+INDEX($AT$13:$BB$162,BO1076,0)+INDEX($BD$13:$BL$162,BP1076,0))/100))),0)</f>
        <v/>
      </c>
      <c r="BT1076">
        <f>IF(AND(1063&lt;$U$9,$W$5),BQ1076*1000000-MIN(BR1076,999)*1000+BS1076-1063/100000,-1000000000-1063)</f>
        <v/>
      </c>
    </row>
    <row r="1077">
      <c r="BN1077">
        <f>IF(1064&lt;$U$9,INT(1064/($U$7*$U$8))+1,1)</f>
        <v/>
      </c>
      <c r="BO1077">
        <f>IF(1064&lt;$U$9,MOD(INT(1064/$U$8),$U$7)+1,1)</f>
        <v/>
      </c>
      <c r="BP1077">
        <f>IF(1064&lt;$U$9,MOD(1064,$U$8)+1,1)</f>
        <v/>
      </c>
      <c r="BQ1077">
        <f>IF(1064&lt;$U$9,SUMPRODUCT(($D$10:$L$10&lt;&gt;"")*(($D$9:$L$9+INT(($S$12:$AA$12+INDEX($AJ$13:$AR$162,BN1077,0)+INDEX($AT$13:$BB$162,BO1077,0)+INDEX($BD$13:$BL$162,BP1077,0))/100))&gt;=$D$10:$L$10)),0)</f>
        <v/>
      </c>
      <c r="BR1077">
        <f>IF(1064&lt;$U$9,SUMPRODUCT(($D$10:$L$10&lt;&gt;"")*(($D$10:$L$10-($D$9:$L$9+INT(($S$12:$AA$12+INDEX($AJ$13:$AR$162,BN1077,0)+INDEX($AT$13:$BB$162,BO1077,0)+INDEX($BD$13:$BL$162,BP1077,0))/100)))&gt;0)*($D$10:$L$10-($D$9:$L$9+INT(($S$12:$AA$12+INDEX($AJ$13:$AR$162,BN1077,0)+INDEX($AT$13:$BB$162,BO1077,0)+INDEX($BD$13:$BL$162,BP1077,0))/100)))),0)</f>
        <v/>
      </c>
      <c r="BS1077">
        <f>IF(1064&lt;$U$9,SUMPRODUCT(($D$9:$L$9+INT(($S$12:$AA$12+INDEX($AJ$13:$AR$162,BN1077,0)+INDEX($AT$13:$BB$162,BO1077,0)+INDEX($BD$13:$BL$162,BP1077,0))/100))),0)</f>
        <v/>
      </c>
      <c r="BT1077">
        <f>IF(AND(1064&lt;$U$9,$W$5),BQ1077*1000000-MIN(BR1077,999)*1000+BS1077-1064/100000,-1000000000-1064)</f>
        <v/>
      </c>
    </row>
    <row r="1078">
      <c r="BN1078">
        <f>IF(1065&lt;$U$9,INT(1065/($U$7*$U$8))+1,1)</f>
        <v/>
      </c>
      <c r="BO1078">
        <f>IF(1065&lt;$U$9,MOD(INT(1065/$U$8),$U$7)+1,1)</f>
        <v/>
      </c>
      <c r="BP1078">
        <f>IF(1065&lt;$U$9,MOD(1065,$U$8)+1,1)</f>
        <v/>
      </c>
      <c r="BQ1078">
        <f>IF(1065&lt;$U$9,SUMPRODUCT(($D$10:$L$10&lt;&gt;"")*(($D$9:$L$9+INT(($S$12:$AA$12+INDEX($AJ$13:$AR$162,BN1078,0)+INDEX($AT$13:$BB$162,BO1078,0)+INDEX($BD$13:$BL$162,BP1078,0))/100))&gt;=$D$10:$L$10)),0)</f>
        <v/>
      </c>
      <c r="BR1078">
        <f>IF(1065&lt;$U$9,SUMPRODUCT(($D$10:$L$10&lt;&gt;"")*(($D$10:$L$10-($D$9:$L$9+INT(($S$12:$AA$12+INDEX($AJ$13:$AR$162,BN1078,0)+INDEX($AT$13:$BB$162,BO1078,0)+INDEX($BD$13:$BL$162,BP1078,0))/100)))&gt;0)*($D$10:$L$10-($D$9:$L$9+INT(($S$12:$AA$12+INDEX($AJ$13:$AR$162,BN1078,0)+INDEX($AT$13:$BB$162,BO1078,0)+INDEX($BD$13:$BL$162,BP1078,0))/100)))),0)</f>
        <v/>
      </c>
      <c r="BS1078">
        <f>IF(1065&lt;$U$9,SUMPRODUCT(($D$9:$L$9+INT(($S$12:$AA$12+INDEX($AJ$13:$AR$162,BN1078,0)+INDEX($AT$13:$BB$162,BO1078,0)+INDEX($BD$13:$BL$162,BP1078,0))/100))),0)</f>
        <v/>
      </c>
      <c r="BT1078">
        <f>IF(AND(1065&lt;$U$9,$W$5),BQ1078*1000000-MIN(BR1078,999)*1000+BS1078-1065/100000,-1000000000-1065)</f>
        <v/>
      </c>
    </row>
    <row r="1079">
      <c r="BN1079">
        <f>IF(1066&lt;$U$9,INT(1066/($U$7*$U$8))+1,1)</f>
        <v/>
      </c>
      <c r="BO1079">
        <f>IF(1066&lt;$U$9,MOD(INT(1066/$U$8),$U$7)+1,1)</f>
        <v/>
      </c>
      <c r="BP1079">
        <f>IF(1066&lt;$U$9,MOD(1066,$U$8)+1,1)</f>
        <v/>
      </c>
      <c r="BQ1079">
        <f>IF(1066&lt;$U$9,SUMPRODUCT(($D$10:$L$10&lt;&gt;"")*(($D$9:$L$9+INT(($S$12:$AA$12+INDEX($AJ$13:$AR$162,BN1079,0)+INDEX($AT$13:$BB$162,BO1079,0)+INDEX($BD$13:$BL$162,BP1079,0))/100))&gt;=$D$10:$L$10)),0)</f>
        <v/>
      </c>
      <c r="BR1079">
        <f>IF(1066&lt;$U$9,SUMPRODUCT(($D$10:$L$10&lt;&gt;"")*(($D$10:$L$10-($D$9:$L$9+INT(($S$12:$AA$12+INDEX($AJ$13:$AR$162,BN1079,0)+INDEX($AT$13:$BB$162,BO1079,0)+INDEX($BD$13:$BL$162,BP1079,0))/100)))&gt;0)*($D$10:$L$10-($D$9:$L$9+INT(($S$12:$AA$12+INDEX($AJ$13:$AR$162,BN1079,0)+INDEX($AT$13:$BB$162,BO1079,0)+INDEX($BD$13:$BL$162,BP1079,0))/100)))),0)</f>
        <v/>
      </c>
      <c r="BS1079">
        <f>IF(1066&lt;$U$9,SUMPRODUCT(($D$9:$L$9+INT(($S$12:$AA$12+INDEX($AJ$13:$AR$162,BN1079,0)+INDEX($AT$13:$BB$162,BO1079,0)+INDEX($BD$13:$BL$162,BP1079,0))/100))),0)</f>
        <v/>
      </c>
      <c r="BT1079">
        <f>IF(AND(1066&lt;$U$9,$W$5),BQ1079*1000000-MIN(BR1079,999)*1000+BS1079-1066/100000,-1000000000-1066)</f>
        <v/>
      </c>
    </row>
    <row r="1080">
      <c r="BN1080">
        <f>IF(1067&lt;$U$9,INT(1067/($U$7*$U$8))+1,1)</f>
        <v/>
      </c>
      <c r="BO1080">
        <f>IF(1067&lt;$U$9,MOD(INT(1067/$U$8),$U$7)+1,1)</f>
        <v/>
      </c>
      <c r="BP1080">
        <f>IF(1067&lt;$U$9,MOD(1067,$U$8)+1,1)</f>
        <v/>
      </c>
      <c r="BQ1080">
        <f>IF(1067&lt;$U$9,SUMPRODUCT(($D$10:$L$10&lt;&gt;"")*(($D$9:$L$9+INT(($S$12:$AA$12+INDEX($AJ$13:$AR$162,BN1080,0)+INDEX($AT$13:$BB$162,BO1080,0)+INDEX($BD$13:$BL$162,BP1080,0))/100))&gt;=$D$10:$L$10)),0)</f>
        <v/>
      </c>
      <c r="BR1080">
        <f>IF(1067&lt;$U$9,SUMPRODUCT(($D$10:$L$10&lt;&gt;"")*(($D$10:$L$10-($D$9:$L$9+INT(($S$12:$AA$12+INDEX($AJ$13:$AR$162,BN1080,0)+INDEX($AT$13:$BB$162,BO1080,0)+INDEX($BD$13:$BL$162,BP1080,0))/100)))&gt;0)*($D$10:$L$10-($D$9:$L$9+INT(($S$12:$AA$12+INDEX($AJ$13:$AR$162,BN1080,0)+INDEX($AT$13:$BB$162,BO1080,0)+INDEX($BD$13:$BL$162,BP1080,0))/100)))),0)</f>
        <v/>
      </c>
      <c r="BS1080">
        <f>IF(1067&lt;$U$9,SUMPRODUCT(($D$9:$L$9+INT(($S$12:$AA$12+INDEX($AJ$13:$AR$162,BN1080,0)+INDEX($AT$13:$BB$162,BO1080,0)+INDEX($BD$13:$BL$162,BP1080,0))/100))),0)</f>
        <v/>
      </c>
      <c r="BT1080">
        <f>IF(AND(1067&lt;$U$9,$W$5),BQ1080*1000000-MIN(BR1080,999)*1000+BS1080-1067/100000,-1000000000-1067)</f>
        <v/>
      </c>
    </row>
    <row r="1081">
      <c r="BN1081">
        <f>IF(1068&lt;$U$9,INT(1068/($U$7*$U$8))+1,1)</f>
        <v/>
      </c>
      <c r="BO1081">
        <f>IF(1068&lt;$U$9,MOD(INT(1068/$U$8),$U$7)+1,1)</f>
        <v/>
      </c>
      <c r="BP1081">
        <f>IF(1068&lt;$U$9,MOD(1068,$U$8)+1,1)</f>
        <v/>
      </c>
      <c r="BQ1081">
        <f>IF(1068&lt;$U$9,SUMPRODUCT(($D$10:$L$10&lt;&gt;"")*(($D$9:$L$9+INT(($S$12:$AA$12+INDEX($AJ$13:$AR$162,BN1081,0)+INDEX($AT$13:$BB$162,BO1081,0)+INDEX($BD$13:$BL$162,BP1081,0))/100))&gt;=$D$10:$L$10)),0)</f>
        <v/>
      </c>
      <c r="BR1081">
        <f>IF(1068&lt;$U$9,SUMPRODUCT(($D$10:$L$10&lt;&gt;"")*(($D$10:$L$10-($D$9:$L$9+INT(($S$12:$AA$12+INDEX($AJ$13:$AR$162,BN1081,0)+INDEX($AT$13:$BB$162,BO1081,0)+INDEX($BD$13:$BL$162,BP1081,0))/100)))&gt;0)*($D$10:$L$10-($D$9:$L$9+INT(($S$12:$AA$12+INDEX($AJ$13:$AR$162,BN1081,0)+INDEX($AT$13:$BB$162,BO1081,0)+INDEX($BD$13:$BL$162,BP1081,0))/100)))),0)</f>
        <v/>
      </c>
      <c r="BS1081">
        <f>IF(1068&lt;$U$9,SUMPRODUCT(($D$9:$L$9+INT(($S$12:$AA$12+INDEX($AJ$13:$AR$162,BN1081,0)+INDEX($AT$13:$BB$162,BO1081,0)+INDEX($BD$13:$BL$162,BP1081,0))/100))),0)</f>
        <v/>
      </c>
      <c r="BT1081">
        <f>IF(AND(1068&lt;$U$9,$W$5),BQ1081*1000000-MIN(BR1081,999)*1000+BS1081-1068/100000,-1000000000-1068)</f>
        <v/>
      </c>
    </row>
    <row r="1082">
      <c r="BN1082">
        <f>IF(1069&lt;$U$9,INT(1069/($U$7*$U$8))+1,1)</f>
        <v/>
      </c>
      <c r="BO1082">
        <f>IF(1069&lt;$U$9,MOD(INT(1069/$U$8),$U$7)+1,1)</f>
        <v/>
      </c>
      <c r="BP1082">
        <f>IF(1069&lt;$U$9,MOD(1069,$U$8)+1,1)</f>
        <v/>
      </c>
      <c r="BQ1082">
        <f>IF(1069&lt;$U$9,SUMPRODUCT(($D$10:$L$10&lt;&gt;"")*(($D$9:$L$9+INT(($S$12:$AA$12+INDEX($AJ$13:$AR$162,BN1082,0)+INDEX($AT$13:$BB$162,BO1082,0)+INDEX($BD$13:$BL$162,BP1082,0))/100))&gt;=$D$10:$L$10)),0)</f>
        <v/>
      </c>
      <c r="BR1082">
        <f>IF(1069&lt;$U$9,SUMPRODUCT(($D$10:$L$10&lt;&gt;"")*(($D$10:$L$10-($D$9:$L$9+INT(($S$12:$AA$12+INDEX($AJ$13:$AR$162,BN1082,0)+INDEX($AT$13:$BB$162,BO1082,0)+INDEX($BD$13:$BL$162,BP1082,0))/100)))&gt;0)*($D$10:$L$10-($D$9:$L$9+INT(($S$12:$AA$12+INDEX($AJ$13:$AR$162,BN1082,0)+INDEX($AT$13:$BB$162,BO1082,0)+INDEX($BD$13:$BL$162,BP1082,0))/100)))),0)</f>
        <v/>
      </c>
      <c r="BS1082">
        <f>IF(1069&lt;$U$9,SUMPRODUCT(($D$9:$L$9+INT(($S$12:$AA$12+INDEX($AJ$13:$AR$162,BN1082,0)+INDEX($AT$13:$BB$162,BO1082,0)+INDEX($BD$13:$BL$162,BP1082,0))/100))),0)</f>
        <v/>
      </c>
      <c r="BT1082">
        <f>IF(AND(1069&lt;$U$9,$W$5),BQ1082*1000000-MIN(BR1082,999)*1000+BS1082-1069/100000,-1000000000-1069)</f>
        <v/>
      </c>
    </row>
    <row r="1083">
      <c r="BN1083">
        <f>IF(1070&lt;$U$9,INT(1070/($U$7*$U$8))+1,1)</f>
        <v/>
      </c>
      <c r="BO1083">
        <f>IF(1070&lt;$U$9,MOD(INT(1070/$U$8),$U$7)+1,1)</f>
        <v/>
      </c>
      <c r="BP1083">
        <f>IF(1070&lt;$U$9,MOD(1070,$U$8)+1,1)</f>
        <v/>
      </c>
      <c r="BQ1083">
        <f>IF(1070&lt;$U$9,SUMPRODUCT(($D$10:$L$10&lt;&gt;"")*(($D$9:$L$9+INT(($S$12:$AA$12+INDEX($AJ$13:$AR$162,BN1083,0)+INDEX($AT$13:$BB$162,BO1083,0)+INDEX($BD$13:$BL$162,BP1083,0))/100))&gt;=$D$10:$L$10)),0)</f>
        <v/>
      </c>
      <c r="BR1083">
        <f>IF(1070&lt;$U$9,SUMPRODUCT(($D$10:$L$10&lt;&gt;"")*(($D$10:$L$10-($D$9:$L$9+INT(($S$12:$AA$12+INDEX($AJ$13:$AR$162,BN1083,0)+INDEX($AT$13:$BB$162,BO1083,0)+INDEX($BD$13:$BL$162,BP1083,0))/100)))&gt;0)*($D$10:$L$10-($D$9:$L$9+INT(($S$12:$AA$12+INDEX($AJ$13:$AR$162,BN1083,0)+INDEX($AT$13:$BB$162,BO1083,0)+INDEX($BD$13:$BL$162,BP1083,0))/100)))),0)</f>
        <v/>
      </c>
      <c r="BS1083">
        <f>IF(1070&lt;$U$9,SUMPRODUCT(($D$9:$L$9+INT(($S$12:$AA$12+INDEX($AJ$13:$AR$162,BN1083,0)+INDEX($AT$13:$BB$162,BO1083,0)+INDEX($BD$13:$BL$162,BP1083,0))/100))),0)</f>
        <v/>
      </c>
      <c r="BT1083">
        <f>IF(AND(1070&lt;$U$9,$W$5),BQ1083*1000000-MIN(BR1083,999)*1000+BS1083-1070/100000,-1000000000-1070)</f>
        <v/>
      </c>
    </row>
    <row r="1084">
      <c r="BN1084">
        <f>IF(1071&lt;$U$9,INT(1071/($U$7*$U$8))+1,1)</f>
        <v/>
      </c>
      <c r="BO1084">
        <f>IF(1071&lt;$U$9,MOD(INT(1071/$U$8),$U$7)+1,1)</f>
        <v/>
      </c>
      <c r="BP1084">
        <f>IF(1071&lt;$U$9,MOD(1071,$U$8)+1,1)</f>
        <v/>
      </c>
      <c r="BQ1084">
        <f>IF(1071&lt;$U$9,SUMPRODUCT(($D$10:$L$10&lt;&gt;"")*(($D$9:$L$9+INT(($S$12:$AA$12+INDEX($AJ$13:$AR$162,BN1084,0)+INDEX($AT$13:$BB$162,BO1084,0)+INDEX($BD$13:$BL$162,BP1084,0))/100))&gt;=$D$10:$L$10)),0)</f>
        <v/>
      </c>
      <c r="BR1084">
        <f>IF(1071&lt;$U$9,SUMPRODUCT(($D$10:$L$10&lt;&gt;"")*(($D$10:$L$10-($D$9:$L$9+INT(($S$12:$AA$12+INDEX($AJ$13:$AR$162,BN1084,0)+INDEX($AT$13:$BB$162,BO1084,0)+INDEX($BD$13:$BL$162,BP1084,0))/100)))&gt;0)*($D$10:$L$10-($D$9:$L$9+INT(($S$12:$AA$12+INDEX($AJ$13:$AR$162,BN1084,0)+INDEX($AT$13:$BB$162,BO1084,0)+INDEX($BD$13:$BL$162,BP1084,0))/100)))),0)</f>
        <v/>
      </c>
      <c r="BS1084">
        <f>IF(1071&lt;$U$9,SUMPRODUCT(($D$9:$L$9+INT(($S$12:$AA$12+INDEX($AJ$13:$AR$162,BN1084,0)+INDEX($AT$13:$BB$162,BO1084,0)+INDEX($BD$13:$BL$162,BP1084,0))/100))),0)</f>
        <v/>
      </c>
      <c r="BT1084">
        <f>IF(AND(1071&lt;$U$9,$W$5),BQ1084*1000000-MIN(BR1084,999)*1000+BS1084-1071/100000,-1000000000-1071)</f>
        <v/>
      </c>
    </row>
    <row r="1085">
      <c r="BN1085">
        <f>IF(1072&lt;$U$9,INT(1072/($U$7*$U$8))+1,1)</f>
        <v/>
      </c>
      <c r="BO1085">
        <f>IF(1072&lt;$U$9,MOD(INT(1072/$U$8),$U$7)+1,1)</f>
        <v/>
      </c>
      <c r="BP1085">
        <f>IF(1072&lt;$U$9,MOD(1072,$U$8)+1,1)</f>
        <v/>
      </c>
      <c r="BQ1085">
        <f>IF(1072&lt;$U$9,SUMPRODUCT(($D$10:$L$10&lt;&gt;"")*(($D$9:$L$9+INT(($S$12:$AA$12+INDEX($AJ$13:$AR$162,BN1085,0)+INDEX($AT$13:$BB$162,BO1085,0)+INDEX($BD$13:$BL$162,BP1085,0))/100))&gt;=$D$10:$L$10)),0)</f>
        <v/>
      </c>
      <c r="BR1085">
        <f>IF(1072&lt;$U$9,SUMPRODUCT(($D$10:$L$10&lt;&gt;"")*(($D$10:$L$10-($D$9:$L$9+INT(($S$12:$AA$12+INDEX($AJ$13:$AR$162,BN1085,0)+INDEX($AT$13:$BB$162,BO1085,0)+INDEX($BD$13:$BL$162,BP1085,0))/100)))&gt;0)*($D$10:$L$10-($D$9:$L$9+INT(($S$12:$AA$12+INDEX($AJ$13:$AR$162,BN1085,0)+INDEX($AT$13:$BB$162,BO1085,0)+INDEX($BD$13:$BL$162,BP1085,0))/100)))),0)</f>
        <v/>
      </c>
      <c r="BS1085">
        <f>IF(1072&lt;$U$9,SUMPRODUCT(($D$9:$L$9+INT(($S$12:$AA$12+INDEX($AJ$13:$AR$162,BN1085,0)+INDEX($AT$13:$BB$162,BO1085,0)+INDEX($BD$13:$BL$162,BP1085,0))/100))),0)</f>
        <v/>
      </c>
      <c r="BT1085">
        <f>IF(AND(1072&lt;$U$9,$W$5),BQ1085*1000000-MIN(BR1085,999)*1000+BS1085-1072/100000,-1000000000-1072)</f>
        <v/>
      </c>
    </row>
    <row r="1086">
      <c r="BN1086">
        <f>IF(1073&lt;$U$9,INT(1073/($U$7*$U$8))+1,1)</f>
        <v/>
      </c>
      <c r="BO1086">
        <f>IF(1073&lt;$U$9,MOD(INT(1073/$U$8),$U$7)+1,1)</f>
        <v/>
      </c>
      <c r="BP1086">
        <f>IF(1073&lt;$U$9,MOD(1073,$U$8)+1,1)</f>
        <v/>
      </c>
      <c r="BQ1086">
        <f>IF(1073&lt;$U$9,SUMPRODUCT(($D$10:$L$10&lt;&gt;"")*(($D$9:$L$9+INT(($S$12:$AA$12+INDEX($AJ$13:$AR$162,BN1086,0)+INDEX($AT$13:$BB$162,BO1086,0)+INDEX($BD$13:$BL$162,BP1086,0))/100))&gt;=$D$10:$L$10)),0)</f>
        <v/>
      </c>
      <c r="BR1086">
        <f>IF(1073&lt;$U$9,SUMPRODUCT(($D$10:$L$10&lt;&gt;"")*(($D$10:$L$10-($D$9:$L$9+INT(($S$12:$AA$12+INDEX($AJ$13:$AR$162,BN1086,0)+INDEX($AT$13:$BB$162,BO1086,0)+INDEX($BD$13:$BL$162,BP1086,0))/100)))&gt;0)*($D$10:$L$10-($D$9:$L$9+INT(($S$12:$AA$12+INDEX($AJ$13:$AR$162,BN1086,0)+INDEX($AT$13:$BB$162,BO1086,0)+INDEX($BD$13:$BL$162,BP1086,0))/100)))),0)</f>
        <v/>
      </c>
      <c r="BS1086">
        <f>IF(1073&lt;$U$9,SUMPRODUCT(($D$9:$L$9+INT(($S$12:$AA$12+INDEX($AJ$13:$AR$162,BN1086,0)+INDEX($AT$13:$BB$162,BO1086,0)+INDEX($BD$13:$BL$162,BP1086,0))/100))),0)</f>
        <v/>
      </c>
      <c r="BT1086">
        <f>IF(AND(1073&lt;$U$9,$W$5),BQ1086*1000000-MIN(BR1086,999)*1000+BS1086-1073/100000,-1000000000-1073)</f>
        <v/>
      </c>
    </row>
    <row r="1087">
      <c r="BN1087">
        <f>IF(1074&lt;$U$9,INT(1074/($U$7*$U$8))+1,1)</f>
        <v/>
      </c>
      <c r="BO1087">
        <f>IF(1074&lt;$U$9,MOD(INT(1074/$U$8),$U$7)+1,1)</f>
        <v/>
      </c>
      <c r="BP1087">
        <f>IF(1074&lt;$U$9,MOD(1074,$U$8)+1,1)</f>
        <v/>
      </c>
      <c r="BQ1087">
        <f>IF(1074&lt;$U$9,SUMPRODUCT(($D$10:$L$10&lt;&gt;"")*(($D$9:$L$9+INT(($S$12:$AA$12+INDEX($AJ$13:$AR$162,BN1087,0)+INDEX($AT$13:$BB$162,BO1087,0)+INDEX($BD$13:$BL$162,BP1087,0))/100))&gt;=$D$10:$L$10)),0)</f>
        <v/>
      </c>
      <c r="BR1087">
        <f>IF(1074&lt;$U$9,SUMPRODUCT(($D$10:$L$10&lt;&gt;"")*(($D$10:$L$10-($D$9:$L$9+INT(($S$12:$AA$12+INDEX($AJ$13:$AR$162,BN1087,0)+INDEX($AT$13:$BB$162,BO1087,0)+INDEX($BD$13:$BL$162,BP1087,0))/100)))&gt;0)*($D$10:$L$10-($D$9:$L$9+INT(($S$12:$AA$12+INDEX($AJ$13:$AR$162,BN1087,0)+INDEX($AT$13:$BB$162,BO1087,0)+INDEX($BD$13:$BL$162,BP1087,0))/100)))),0)</f>
        <v/>
      </c>
      <c r="BS1087">
        <f>IF(1074&lt;$U$9,SUMPRODUCT(($D$9:$L$9+INT(($S$12:$AA$12+INDEX($AJ$13:$AR$162,BN1087,0)+INDEX($AT$13:$BB$162,BO1087,0)+INDEX($BD$13:$BL$162,BP1087,0))/100))),0)</f>
        <v/>
      </c>
      <c r="BT1087">
        <f>IF(AND(1074&lt;$U$9,$W$5),BQ1087*1000000-MIN(BR1087,999)*1000+BS1087-1074/100000,-1000000000-1074)</f>
        <v/>
      </c>
    </row>
    <row r="1088">
      <c r="BN1088">
        <f>IF(1075&lt;$U$9,INT(1075/($U$7*$U$8))+1,1)</f>
        <v/>
      </c>
      <c r="BO1088">
        <f>IF(1075&lt;$U$9,MOD(INT(1075/$U$8),$U$7)+1,1)</f>
        <v/>
      </c>
      <c r="BP1088">
        <f>IF(1075&lt;$U$9,MOD(1075,$U$8)+1,1)</f>
        <v/>
      </c>
      <c r="BQ1088">
        <f>IF(1075&lt;$U$9,SUMPRODUCT(($D$10:$L$10&lt;&gt;"")*(($D$9:$L$9+INT(($S$12:$AA$12+INDEX($AJ$13:$AR$162,BN1088,0)+INDEX($AT$13:$BB$162,BO1088,0)+INDEX($BD$13:$BL$162,BP1088,0))/100))&gt;=$D$10:$L$10)),0)</f>
        <v/>
      </c>
      <c r="BR1088">
        <f>IF(1075&lt;$U$9,SUMPRODUCT(($D$10:$L$10&lt;&gt;"")*(($D$10:$L$10-($D$9:$L$9+INT(($S$12:$AA$12+INDEX($AJ$13:$AR$162,BN1088,0)+INDEX($AT$13:$BB$162,BO1088,0)+INDEX($BD$13:$BL$162,BP1088,0))/100)))&gt;0)*($D$10:$L$10-($D$9:$L$9+INT(($S$12:$AA$12+INDEX($AJ$13:$AR$162,BN1088,0)+INDEX($AT$13:$BB$162,BO1088,0)+INDEX($BD$13:$BL$162,BP1088,0))/100)))),0)</f>
        <v/>
      </c>
      <c r="BS1088">
        <f>IF(1075&lt;$U$9,SUMPRODUCT(($D$9:$L$9+INT(($S$12:$AA$12+INDEX($AJ$13:$AR$162,BN1088,0)+INDEX($AT$13:$BB$162,BO1088,0)+INDEX($BD$13:$BL$162,BP1088,0))/100))),0)</f>
        <v/>
      </c>
      <c r="BT1088">
        <f>IF(AND(1075&lt;$U$9,$W$5),BQ1088*1000000-MIN(BR1088,999)*1000+BS1088-1075/100000,-1000000000-1075)</f>
        <v/>
      </c>
    </row>
    <row r="1089">
      <c r="BN1089">
        <f>IF(1076&lt;$U$9,INT(1076/($U$7*$U$8))+1,1)</f>
        <v/>
      </c>
      <c r="BO1089">
        <f>IF(1076&lt;$U$9,MOD(INT(1076/$U$8),$U$7)+1,1)</f>
        <v/>
      </c>
      <c r="BP1089">
        <f>IF(1076&lt;$U$9,MOD(1076,$U$8)+1,1)</f>
        <v/>
      </c>
      <c r="BQ1089">
        <f>IF(1076&lt;$U$9,SUMPRODUCT(($D$10:$L$10&lt;&gt;"")*(($D$9:$L$9+INT(($S$12:$AA$12+INDEX($AJ$13:$AR$162,BN1089,0)+INDEX($AT$13:$BB$162,BO1089,0)+INDEX($BD$13:$BL$162,BP1089,0))/100))&gt;=$D$10:$L$10)),0)</f>
        <v/>
      </c>
      <c r="BR1089">
        <f>IF(1076&lt;$U$9,SUMPRODUCT(($D$10:$L$10&lt;&gt;"")*(($D$10:$L$10-($D$9:$L$9+INT(($S$12:$AA$12+INDEX($AJ$13:$AR$162,BN1089,0)+INDEX($AT$13:$BB$162,BO1089,0)+INDEX($BD$13:$BL$162,BP1089,0))/100)))&gt;0)*($D$10:$L$10-($D$9:$L$9+INT(($S$12:$AA$12+INDEX($AJ$13:$AR$162,BN1089,0)+INDEX($AT$13:$BB$162,BO1089,0)+INDEX($BD$13:$BL$162,BP1089,0))/100)))),0)</f>
        <v/>
      </c>
      <c r="BS1089">
        <f>IF(1076&lt;$U$9,SUMPRODUCT(($D$9:$L$9+INT(($S$12:$AA$12+INDEX($AJ$13:$AR$162,BN1089,0)+INDEX($AT$13:$BB$162,BO1089,0)+INDEX($BD$13:$BL$162,BP1089,0))/100))),0)</f>
        <v/>
      </c>
      <c r="BT1089">
        <f>IF(AND(1076&lt;$U$9,$W$5),BQ1089*1000000-MIN(BR1089,999)*1000+BS1089-1076/100000,-1000000000-1076)</f>
        <v/>
      </c>
    </row>
    <row r="1090">
      <c r="BN1090">
        <f>IF(1077&lt;$U$9,INT(1077/($U$7*$U$8))+1,1)</f>
        <v/>
      </c>
      <c r="BO1090">
        <f>IF(1077&lt;$U$9,MOD(INT(1077/$U$8),$U$7)+1,1)</f>
        <v/>
      </c>
      <c r="BP1090">
        <f>IF(1077&lt;$U$9,MOD(1077,$U$8)+1,1)</f>
        <v/>
      </c>
      <c r="BQ1090">
        <f>IF(1077&lt;$U$9,SUMPRODUCT(($D$10:$L$10&lt;&gt;"")*(($D$9:$L$9+INT(($S$12:$AA$12+INDEX($AJ$13:$AR$162,BN1090,0)+INDEX($AT$13:$BB$162,BO1090,0)+INDEX($BD$13:$BL$162,BP1090,0))/100))&gt;=$D$10:$L$10)),0)</f>
        <v/>
      </c>
      <c r="BR1090">
        <f>IF(1077&lt;$U$9,SUMPRODUCT(($D$10:$L$10&lt;&gt;"")*(($D$10:$L$10-($D$9:$L$9+INT(($S$12:$AA$12+INDEX($AJ$13:$AR$162,BN1090,0)+INDEX($AT$13:$BB$162,BO1090,0)+INDEX($BD$13:$BL$162,BP1090,0))/100)))&gt;0)*($D$10:$L$10-($D$9:$L$9+INT(($S$12:$AA$12+INDEX($AJ$13:$AR$162,BN1090,0)+INDEX($AT$13:$BB$162,BO1090,0)+INDEX($BD$13:$BL$162,BP1090,0))/100)))),0)</f>
        <v/>
      </c>
      <c r="BS1090">
        <f>IF(1077&lt;$U$9,SUMPRODUCT(($D$9:$L$9+INT(($S$12:$AA$12+INDEX($AJ$13:$AR$162,BN1090,0)+INDEX($AT$13:$BB$162,BO1090,0)+INDEX($BD$13:$BL$162,BP1090,0))/100))),0)</f>
        <v/>
      </c>
      <c r="BT1090">
        <f>IF(AND(1077&lt;$U$9,$W$5),BQ1090*1000000-MIN(BR1090,999)*1000+BS1090-1077/100000,-1000000000-1077)</f>
        <v/>
      </c>
    </row>
    <row r="1091">
      <c r="BN1091">
        <f>IF(1078&lt;$U$9,INT(1078/($U$7*$U$8))+1,1)</f>
        <v/>
      </c>
      <c r="BO1091">
        <f>IF(1078&lt;$U$9,MOD(INT(1078/$U$8),$U$7)+1,1)</f>
        <v/>
      </c>
      <c r="BP1091">
        <f>IF(1078&lt;$U$9,MOD(1078,$U$8)+1,1)</f>
        <v/>
      </c>
      <c r="BQ1091">
        <f>IF(1078&lt;$U$9,SUMPRODUCT(($D$10:$L$10&lt;&gt;"")*(($D$9:$L$9+INT(($S$12:$AA$12+INDEX($AJ$13:$AR$162,BN1091,0)+INDEX($AT$13:$BB$162,BO1091,0)+INDEX($BD$13:$BL$162,BP1091,0))/100))&gt;=$D$10:$L$10)),0)</f>
        <v/>
      </c>
      <c r="BR1091">
        <f>IF(1078&lt;$U$9,SUMPRODUCT(($D$10:$L$10&lt;&gt;"")*(($D$10:$L$10-($D$9:$L$9+INT(($S$12:$AA$12+INDEX($AJ$13:$AR$162,BN1091,0)+INDEX($AT$13:$BB$162,BO1091,0)+INDEX($BD$13:$BL$162,BP1091,0))/100)))&gt;0)*($D$10:$L$10-($D$9:$L$9+INT(($S$12:$AA$12+INDEX($AJ$13:$AR$162,BN1091,0)+INDEX($AT$13:$BB$162,BO1091,0)+INDEX($BD$13:$BL$162,BP1091,0))/100)))),0)</f>
        <v/>
      </c>
      <c r="BS1091">
        <f>IF(1078&lt;$U$9,SUMPRODUCT(($D$9:$L$9+INT(($S$12:$AA$12+INDEX($AJ$13:$AR$162,BN1091,0)+INDEX($AT$13:$BB$162,BO1091,0)+INDEX($BD$13:$BL$162,BP1091,0))/100))),0)</f>
        <v/>
      </c>
      <c r="BT1091">
        <f>IF(AND(1078&lt;$U$9,$W$5),BQ1091*1000000-MIN(BR1091,999)*1000+BS1091-1078/100000,-1000000000-1078)</f>
        <v/>
      </c>
    </row>
    <row r="1092">
      <c r="BN1092">
        <f>IF(1079&lt;$U$9,INT(1079/($U$7*$U$8))+1,1)</f>
        <v/>
      </c>
      <c r="BO1092">
        <f>IF(1079&lt;$U$9,MOD(INT(1079/$U$8),$U$7)+1,1)</f>
        <v/>
      </c>
      <c r="BP1092">
        <f>IF(1079&lt;$U$9,MOD(1079,$U$8)+1,1)</f>
        <v/>
      </c>
      <c r="BQ1092">
        <f>IF(1079&lt;$U$9,SUMPRODUCT(($D$10:$L$10&lt;&gt;"")*(($D$9:$L$9+INT(($S$12:$AA$12+INDEX($AJ$13:$AR$162,BN1092,0)+INDEX($AT$13:$BB$162,BO1092,0)+INDEX($BD$13:$BL$162,BP1092,0))/100))&gt;=$D$10:$L$10)),0)</f>
        <v/>
      </c>
      <c r="BR1092">
        <f>IF(1079&lt;$U$9,SUMPRODUCT(($D$10:$L$10&lt;&gt;"")*(($D$10:$L$10-($D$9:$L$9+INT(($S$12:$AA$12+INDEX($AJ$13:$AR$162,BN1092,0)+INDEX($AT$13:$BB$162,BO1092,0)+INDEX($BD$13:$BL$162,BP1092,0))/100)))&gt;0)*($D$10:$L$10-($D$9:$L$9+INT(($S$12:$AA$12+INDEX($AJ$13:$AR$162,BN1092,0)+INDEX($AT$13:$BB$162,BO1092,0)+INDEX($BD$13:$BL$162,BP1092,0))/100)))),0)</f>
        <v/>
      </c>
      <c r="BS1092">
        <f>IF(1079&lt;$U$9,SUMPRODUCT(($D$9:$L$9+INT(($S$12:$AA$12+INDEX($AJ$13:$AR$162,BN1092,0)+INDEX($AT$13:$BB$162,BO1092,0)+INDEX($BD$13:$BL$162,BP1092,0))/100))),0)</f>
        <v/>
      </c>
      <c r="BT1092">
        <f>IF(AND(1079&lt;$U$9,$W$5),BQ1092*1000000-MIN(BR1092,999)*1000+BS1092-1079/100000,-1000000000-1079)</f>
        <v/>
      </c>
    </row>
    <row r="1093">
      <c r="BN1093">
        <f>IF(1080&lt;$U$9,INT(1080/($U$7*$U$8))+1,1)</f>
        <v/>
      </c>
      <c r="BO1093">
        <f>IF(1080&lt;$U$9,MOD(INT(1080/$U$8),$U$7)+1,1)</f>
        <v/>
      </c>
      <c r="BP1093">
        <f>IF(1080&lt;$U$9,MOD(1080,$U$8)+1,1)</f>
        <v/>
      </c>
      <c r="BQ1093">
        <f>IF(1080&lt;$U$9,SUMPRODUCT(($D$10:$L$10&lt;&gt;"")*(($D$9:$L$9+INT(($S$12:$AA$12+INDEX($AJ$13:$AR$162,BN1093,0)+INDEX($AT$13:$BB$162,BO1093,0)+INDEX($BD$13:$BL$162,BP1093,0))/100))&gt;=$D$10:$L$10)),0)</f>
        <v/>
      </c>
      <c r="BR1093">
        <f>IF(1080&lt;$U$9,SUMPRODUCT(($D$10:$L$10&lt;&gt;"")*(($D$10:$L$10-($D$9:$L$9+INT(($S$12:$AA$12+INDEX($AJ$13:$AR$162,BN1093,0)+INDEX($AT$13:$BB$162,BO1093,0)+INDEX($BD$13:$BL$162,BP1093,0))/100)))&gt;0)*($D$10:$L$10-($D$9:$L$9+INT(($S$12:$AA$12+INDEX($AJ$13:$AR$162,BN1093,0)+INDEX($AT$13:$BB$162,BO1093,0)+INDEX($BD$13:$BL$162,BP1093,0))/100)))),0)</f>
        <v/>
      </c>
      <c r="BS1093">
        <f>IF(1080&lt;$U$9,SUMPRODUCT(($D$9:$L$9+INT(($S$12:$AA$12+INDEX($AJ$13:$AR$162,BN1093,0)+INDEX($AT$13:$BB$162,BO1093,0)+INDEX($BD$13:$BL$162,BP1093,0))/100))),0)</f>
        <v/>
      </c>
      <c r="BT1093">
        <f>IF(AND(1080&lt;$U$9,$W$5),BQ1093*1000000-MIN(BR1093,999)*1000+BS1093-1080/100000,-1000000000-1080)</f>
        <v/>
      </c>
    </row>
    <row r="1094">
      <c r="BN1094">
        <f>IF(1081&lt;$U$9,INT(1081/($U$7*$U$8))+1,1)</f>
        <v/>
      </c>
      <c r="BO1094">
        <f>IF(1081&lt;$U$9,MOD(INT(1081/$U$8),$U$7)+1,1)</f>
        <v/>
      </c>
      <c r="BP1094">
        <f>IF(1081&lt;$U$9,MOD(1081,$U$8)+1,1)</f>
        <v/>
      </c>
      <c r="BQ1094">
        <f>IF(1081&lt;$U$9,SUMPRODUCT(($D$10:$L$10&lt;&gt;"")*(($D$9:$L$9+INT(($S$12:$AA$12+INDEX($AJ$13:$AR$162,BN1094,0)+INDEX($AT$13:$BB$162,BO1094,0)+INDEX($BD$13:$BL$162,BP1094,0))/100))&gt;=$D$10:$L$10)),0)</f>
        <v/>
      </c>
      <c r="BR1094">
        <f>IF(1081&lt;$U$9,SUMPRODUCT(($D$10:$L$10&lt;&gt;"")*(($D$10:$L$10-($D$9:$L$9+INT(($S$12:$AA$12+INDEX($AJ$13:$AR$162,BN1094,0)+INDEX($AT$13:$BB$162,BO1094,0)+INDEX($BD$13:$BL$162,BP1094,0))/100)))&gt;0)*($D$10:$L$10-($D$9:$L$9+INT(($S$12:$AA$12+INDEX($AJ$13:$AR$162,BN1094,0)+INDEX($AT$13:$BB$162,BO1094,0)+INDEX($BD$13:$BL$162,BP1094,0))/100)))),0)</f>
        <v/>
      </c>
      <c r="BS1094">
        <f>IF(1081&lt;$U$9,SUMPRODUCT(($D$9:$L$9+INT(($S$12:$AA$12+INDEX($AJ$13:$AR$162,BN1094,0)+INDEX($AT$13:$BB$162,BO1094,0)+INDEX($BD$13:$BL$162,BP1094,0))/100))),0)</f>
        <v/>
      </c>
      <c r="BT1094">
        <f>IF(AND(1081&lt;$U$9,$W$5),BQ1094*1000000-MIN(BR1094,999)*1000+BS1094-1081/100000,-1000000000-1081)</f>
        <v/>
      </c>
    </row>
    <row r="1095">
      <c r="BN1095">
        <f>IF(1082&lt;$U$9,INT(1082/($U$7*$U$8))+1,1)</f>
        <v/>
      </c>
      <c r="BO1095">
        <f>IF(1082&lt;$U$9,MOD(INT(1082/$U$8),$U$7)+1,1)</f>
        <v/>
      </c>
      <c r="BP1095">
        <f>IF(1082&lt;$U$9,MOD(1082,$U$8)+1,1)</f>
        <v/>
      </c>
      <c r="BQ1095">
        <f>IF(1082&lt;$U$9,SUMPRODUCT(($D$10:$L$10&lt;&gt;"")*(($D$9:$L$9+INT(($S$12:$AA$12+INDEX($AJ$13:$AR$162,BN1095,0)+INDEX($AT$13:$BB$162,BO1095,0)+INDEX($BD$13:$BL$162,BP1095,0))/100))&gt;=$D$10:$L$10)),0)</f>
        <v/>
      </c>
      <c r="BR1095">
        <f>IF(1082&lt;$U$9,SUMPRODUCT(($D$10:$L$10&lt;&gt;"")*(($D$10:$L$10-($D$9:$L$9+INT(($S$12:$AA$12+INDEX($AJ$13:$AR$162,BN1095,0)+INDEX($AT$13:$BB$162,BO1095,0)+INDEX($BD$13:$BL$162,BP1095,0))/100)))&gt;0)*($D$10:$L$10-($D$9:$L$9+INT(($S$12:$AA$12+INDEX($AJ$13:$AR$162,BN1095,0)+INDEX($AT$13:$BB$162,BO1095,0)+INDEX($BD$13:$BL$162,BP1095,0))/100)))),0)</f>
        <v/>
      </c>
      <c r="BS1095">
        <f>IF(1082&lt;$U$9,SUMPRODUCT(($D$9:$L$9+INT(($S$12:$AA$12+INDEX($AJ$13:$AR$162,BN1095,0)+INDEX($AT$13:$BB$162,BO1095,0)+INDEX($BD$13:$BL$162,BP1095,0))/100))),0)</f>
        <v/>
      </c>
      <c r="BT1095">
        <f>IF(AND(1082&lt;$U$9,$W$5),BQ1095*1000000-MIN(BR1095,999)*1000+BS1095-1082/100000,-1000000000-1082)</f>
        <v/>
      </c>
    </row>
    <row r="1096">
      <c r="BN1096">
        <f>IF(1083&lt;$U$9,INT(1083/($U$7*$U$8))+1,1)</f>
        <v/>
      </c>
      <c r="BO1096">
        <f>IF(1083&lt;$U$9,MOD(INT(1083/$U$8),$U$7)+1,1)</f>
        <v/>
      </c>
      <c r="BP1096">
        <f>IF(1083&lt;$U$9,MOD(1083,$U$8)+1,1)</f>
        <v/>
      </c>
      <c r="BQ1096">
        <f>IF(1083&lt;$U$9,SUMPRODUCT(($D$10:$L$10&lt;&gt;"")*(($D$9:$L$9+INT(($S$12:$AA$12+INDEX($AJ$13:$AR$162,BN1096,0)+INDEX($AT$13:$BB$162,BO1096,0)+INDEX($BD$13:$BL$162,BP1096,0))/100))&gt;=$D$10:$L$10)),0)</f>
        <v/>
      </c>
      <c r="BR1096">
        <f>IF(1083&lt;$U$9,SUMPRODUCT(($D$10:$L$10&lt;&gt;"")*(($D$10:$L$10-($D$9:$L$9+INT(($S$12:$AA$12+INDEX($AJ$13:$AR$162,BN1096,0)+INDEX($AT$13:$BB$162,BO1096,0)+INDEX($BD$13:$BL$162,BP1096,0))/100)))&gt;0)*($D$10:$L$10-($D$9:$L$9+INT(($S$12:$AA$12+INDEX($AJ$13:$AR$162,BN1096,0)+INDEX($AT$13:$BB$162,BO1096,0)+INDEX($BD$13:$BL$162,BP1096,0))/100)))),0)</f>
        <v/>
      </c>
      <c r="BS1096">
        <f>IF(1083&lt;$U$9,SUMPRODUCT(($D$9:$L$9+INT(($S$12:$AA$12+INDEX($AJ$13:$AR$162,BN1096,0)+INDEX($AT$13:$BB$162,BO1096,0)+INDEX($BD$13:$BL$162,BP1096,0))/100))),0)</f>
        <v/>
      </c>
      <c r="BT1096">
        <f>IF(AND(1083&lt;$U$9,$W$5),BQ1096*1000000-MIN(BR1096,999)*1000+BS1096-1083/100000,-1000000000-1083)</f>
        <v/>
      </c>
    </row>
    <row r="1097">
      <c r="BN1097">
        <f>IF(1084&lt;$U$9,INT(1084/($U$7*$U$8))+1,1)</f>
        <v/>
      </c>
      <c r="BO1097">
        <f>IF(1084&lt;$U$9,MOD(INT(1084/$U$8),$U$7)+1,1)</f>
        <v/>
      </c>
      <c r="BP1097">
        <f>IF(1084&lt;$U$9,MOD(1084,$U$8)+1,1)</f>
        <v/>
      </c>
      <c r="BQ1097">
        <f>IF(1084&lt;$U$9,SUMPRODUCT(($D$10:$L$10&lt;&gt;"")*(($D$9:$L$9+INT(($S$12:$AA$12+INDEX($AJ$13:$AR$162,BN1097,0)+INDEX($AT$13:$BB$162,BO1097,0)+INDEX($BD$13:$BL$162,BP1097,0))/100))&gt;=$D$10:$L$10)),0)</f>
        <v/>
      </c>
      <c r="BR1097">
        <f>IF(1084&lt;$U$9,SUMPRODUCT(($D$10:$L$10&lt;&gt;"")*(($D$10:$L$10-($D$9:$L$9+INT(($S$12:$AA$12+INDEX($AJ$13:$AR$162,BN1097,0)+INDEX($AT$13:$BB$162,BO1097,0)+INDEX($BD$13:$BL$162,BP1097,0))/100)))&gt;0)*($D$10:$L$10-($D$9:$L$9+INT(($S$12:$AA$12+INDEX($AJ$13:$AR$162,BN1097,0)+INDEX($AT$13:$BB$162,BO1097,0)+INDEX($BD$13:$BL$162,BP1097,0))/100)))),0)</f>
        <v/>
      </c>
      <c r="BS1097">
        <f>IF(1084&lt;$U$9,SUMPRODUCT(($D$9:$L$9+INT(($S$12:$AA$12+INDEX($AJ$13:$AR$162,BN1097,0)+INDEX($AT$13:$BB$162,BO1097,0)+INDEX($BD$13:$BL$162,BP1097,0))/100))),0)</f>
        <v/>
      </c>
      <c r="BT1097">
        <f>IF(AND(1084&lt;$U$9,$W$5),BQ1097*1000000-MIN(BR1097,999)*1000+BS1097-1084/100000,-1000000000-1084)</f>
        <v/>
      </c>
    </row>
    <row r="1098">
      <c r="BN1098">
        <f>IF(1085&lt;$U$9,INT(1085/($U$7*$U$8))+1,1)</f>
        <v/>
      </c>
      <c r="BO1098">
        <f>IF(1085&lt;$U$9,MOD(INT(1085/$U$8),$U$7)+1,1)</f>
        <v/>
      </c>
      <c r="BP1098">
        <f>IF(1085&lt;$U$9,MOD(1085,$U$8)+1,1)</f>
        <v/>
      </c>
      <c r="BQ1098">
        <f>IF(1085&lt;$U$9,SUMPRODUCT(($D$10:$L$10&lt;&gt;"")*(($D$9:$L$9+INT(($S$12:$AA$12+INDEX($AJ$13:$AR$162,BN1098,0)+INDEX($AT$13:$BB$162,BO1098,0)+INDEX($BD$13:$BL$162,BP1098,0))/100))&gt;=$D$10:$L$10)),0)</f>
        <v/>
      </c>
      <c r="BR1098">
        <f>IF(1085&lt;$U$9,SUMPRODUCT(($D$10:$L$10&lt;&gt;"")*(($D$10:$L$10-($D$9:$L$9+INT(($S$12:$AA$12+INDEX($AJ$13:$AR$162,BN1098,0)+INDEX($AT$13:$BB$162,BO1098,0)+INDEX($BD$13:$BL$162,BP1098,0))/100)))&gt;0)*($D$10:$L$10-($D$9:$L$9+INT(($S$12:$AA$12+INDEX($AJ$13:$AR$162,BN1098,0)+INDEX($AT$13:$BB$162,BO1098,0)+INDEX($BD$13:$BL$162,BP1098,0))/100)))),0)</f>
        <v/>
      </c>
      <c r="BS1098">
        <f>IF(1085&lt;$U$9,SUMPRODUCT(($D$9:$L$9+INT(($S$12:$AA$12+INDEX($AJ$13:$AR$162,BN1098,0)+INDEX($AT$13:$BB$162,BO1098,0)+INDEX($BD$13:$BL$162,BP1098,0))/100))),0)</f>
        <v/>
      </c>
      <c r="BT1098">
        <f>IF(AND(1085&lt;$U$9,$W$5),BQ1098*1000000-MIN(BR1098,999)*1000+BS1098-1085/100000,-1000000000-1085)</f>
        <v/>
      </c>
    </row>
    <row r="1099">
      <c r="BN1099">
        <f>IF(1086&lt;$U$9,INT(1086/($U$7*$U$8))+1,1)</f>
        <v/>
      </c>
      <c r="BO1099">
        <f>IF(1086&lt;$U$9,MOD(INT(1086/$U$8),$U$7)+1,1)</f>
        <v/>
      </c>
      <c r="BP1099">
        <f>IF(1086&lt;$U$9,MOD(1086,$U$8)+1,1)</f>
        <v/>
      </c>
      <c r="BQ1099">
        <f>IF(1086&lt;$U$9,SUMPRODUCT(($D$10:$L$10&lt;&gt;"")*(($D$9:$L$9+INT(($S$12:$AA$12+INDEX($AJ$13:$AR$162,BN1099,0)+INDEX($AT$13:$BB$162,BO1099,0)+INDEX($BD$13:$BL$162,BP1099,0))/100))&gt;=$D$10:$L$10)),0)</f>
        <v/>
      </c>
      <c r="BR1099">
        <f>IF(1086&lt;$U$9,SUMPRODUCT(($D$10:$L$10&lt;&gt;"")*(($D$10:$L$10-($D$9:$L$9+INT(($S$12:$AA$12+INDEX($AJ$13:$AR$162,BN1099,0)+INDEX($AT$13:$BB$162,BO1099,0)+INDEX($BD$13:$BL$162,BP1099,0))/100)))&gt;0)*($D$10:$L$10-($D$9:$L$9+INT(($S$12:$AA$12+INDEX($AJ$13:$AR$162,BN1099,0)+INDEX($AT$13:$BB$162,BO1099,0)+INDEX($BD$13:$BL$162,BP1099,0))/100)))),0)</f>
        <v/>
      </c>
      <c r="BS1099">
        <f>IF(1086&lt;$U$9,SUMPRODUCT(($D$9:$L$9+INT(($S$12:$AA$12+INDEX($AJ$13:$AR$162,BN1099,0)+INDEX($AT$13:$BB$162,BO1099,0)+INDEX($BD$13:$BL$162,BP1099,0))/100))),0)</f>
        <v/>
      </c>
      <c r="BT1099">
        <f>IF(AND(1086&lt;$U$9,$W$5),BQ1099*1000000-MIN(BR1099,999)*1000+BS1099-1086/100000,-1000000000-1086)</f>
        <v/>
      </c>
    </row>
    <row r="1100">
      <c r="BN1100">
        <f>IF(1087&lt;$U$9,INT(1087/($U$7*$U$8))+1,1)</f>
        <v/>
      </c>
      <c r="BO1100">
        <f>IF(1087&lt;$U$9,MOD(INT(1087/$U$8),$U$7)+1,1)</f>
        <v/>
      </c>
      <c r="BP1100">
        <f>IF(1087&lt;$U$9,MOD(1087,$U$8)+1,1)</f>
        <v/>
      </c>
      <c r="BQ1100">
        <f>IF(1087&lt;$U$9,SUMPRODUCT(($D$10:$L$10&lt;&gt;"")*(($D$9:$L$9+INT(($S$12:$AA$12+INDEX($AJ$13:$AR$162,BN1100,0)+INDEX($AT$13:$BB$162,BO1100,0)+INDEX($BD$13:$BL$162,BP1100,0))/100))&gt;=$D$10:$L$10)),0)</f>
        <v/>
      </c>
      <c r="BR1100">
        <f>IF(1087&lt;$U$9,SUMPRODUCT(($D$10:$L$10&lt;&gt;"")*(($D$10:$L$10-($D$9:$L$9+INT(($S$12:$AA$12+INDEX($AJ$13:$AR$162,BN1100,0)+INDEX($AT$13:$BB$162,BO1100,0)+INDEX($BD$13:$BL$162,BP1100,0))/100)))&gt;0)*($D$10:$L$10-($D$9:$L$9+INT(($S$12:$AA$12+INDEX($AJ$13:$AR$162,BN1100,0)+INDEX($AT$13:$BB$162,BO1100,0)+INDEX($BD$13:$BL$162,BP1100,0))/100)))),0)</f>
        <v/>
      </c>
      <c r="BS1100">
        <f>IF(1087&lt;$U$9,SUMPRODUCT(($D$9:$L$9+INT(($S$12:$AA$12+INDEX($AJ$13:$AR$162,BN1100,0)+INDEX($AT$13:$BB$162,BO1100,0)+INDEX($BD$13:$BL$162,BP1100,0))/100))),0)</f>
        <v/>
      </c>
      <c r="BT1100">
        <f>IF(AND(1087&lt;$U$9,$W$5),BQ1100*1000000-MIN(BR1100,999)*1000+BS1100-1087/100000,-1000000000-1087)</f>
        <v/>
      </c>
    </row>
    <row r="1101">
      <c r="BN1101">
        <f>IF(1088&lt;$U$9,INT(1088/($U$7*$U$8))+1,1)</f>
        <v/>
      </c>
      <c r="BO1101">
        <f>IF(1088&lt;$U$9,MOD(INT(1088/$U$8),$U$7)+1,1)</f>
        <v/>
      </c>
      <c r="BP1101">
        <f>IF(1088&lt;$U$9,MOD(1088,$U$8)+1,1)</f>
        <v/>
      </c>
      <c r="BQ1101">
        <f>IF(1088&lt;$U$9,SUMPRODUCT(($D$10:$L$10&lt;&gt;"")*(($D$9:$L$9+INT(($S$12:$AA$12+INDEX($AJ$13:$AR$162,BN1101,0)+INDEX($AT$13:$BB$162,BO1101,0)+INDEX($BD$13:$BL$162,BP1101,0))/100))&gt;=$D$10:$L$10)),0)</f>
        <v/>
      </c>
      <c r="BR1101">
        <f>IF(1088&lt;$U$9,SUMPRODUCT(($D$10:$L$10&lt;&gt;"")*(($D$10:$L$10-($D$9:$L$9+INT(($S$12:$AA$12+INDEX($AJ$13:$AR$162,BN1101,0)+INDEX($AT$13:$BB$162,BO1101,0)+INDEX($BD$13:$BL$162,BP1101,0))/100)))&gt;0)*($D$10:$L$10-($D$9:$L$9+INT(($S$12:$AA$12+INDEX($AJ$13:$AR$162,BN1101,0)+INDEX($AT$13:$BB$162,BO1101,0)+INDEX($BD$13:$BL$162,BP1101,0))/100)))),0)</f>
        <v/>
      </c>
      <c r="BS1101">
        <f>IF(1088&lt;$U$9,SUMPRODUCT(($D$9:$L$9+INT(($S$12:$AA$12+INDEX($AJ$13:$AR$162,BN1101,0)+INDEX($AT$13:$BB$162,BO1101,0)+INDEX($BD$13:$BL$162,BP1101,0))/100))),0)</f>
        <v/>
      </c>
      <c r="BT1101">
        <f>IF(AND(1088&lt;$U$9,$W$5),BQ1101*1000000-MIN(BR1101,999)*1000+BS1101-1088/100000,-1000000000-1088)</f>
        <v/>
      </c>
    </row>
    <row r="1102">
      <c r="BN1102">
        <f>IF(1089&lt;$U$9,INT(1089/($U$7*$U$8))+1,1)</f>
        <v/>
      </c>
      <c r="BO1102">
        <f>IF(1089&lt;$U$9,MOD(INT(1089/$U$8),$U$7)+1,1)</f>
        <v/>
      </c>
      <c r="BP1102">
        <f>IF(1089&lt;$U$9,MOD(1089,$U$8)+1,1)</f>
        <v/>
      </c>
      <c r="BQ1102">
        <f>IF(1089&lt;$U$9,SUMPRODUCT(($D$10:$L$10&lt;&gt;"")*(($D$9:$L$9+INT(($S$12:$AA$12+INDEX($AJ$13:$AR$162,BN1102,0)+INDEX($AT$13:$BB$162,BO1102,0)+INDEX($BD$13:$BL$162,BP1102,0))/100))&gt;=$D$10:$L$10)),0)</f>
        <v/>
      </c>
      <c r="BR1102">
        <f>IF(1089&lt;$U$9,SUMPRODUCT(($D$10:$L$10&lt;&gt;"")*(($D$10:$L$10-($D$9:$L$9+INT(($S$12:$AA$12+INDEX($AJ$13:$AR$162,BN1102,0)+INDEX($AT$13:$BB$162,BO1102,0)+INDEX($BD$13:$BL$162,BP1102,0))/100)))&gt;0)*($D$10:$L$10-($D$9:$L$9+INT(($S$12:$AA$12+INDEX($AJ$13:$AR$162,BN1102,0)+INDEX($AT$13:$BB$162,BO1102,0)+INDEX($BD$13:$BL$162,BP1102,0))/100)))),0)</f>
        <v/>
      </c>
      <c r="BS1102">
        <f>IF(1089&lt;$U$9,SUMPRODUCT(($D$9:$L$9+INT(($S$12:$AA$12+INDEX($AJ$13:$AR$162,BN1102,0)+INDEX($AT$13:$BB$162,BO1102,0)+INDEX($BD$13:$BL$162,BP1102,0))/100))),0)</f>
        <v/>
      </c>
      <c r="BT1102">
        <f>IF(AND(1089&lt;$U$9,$W$5),BQ1102*1000000-MIN(BR1102,999)*1000+BS1102-1089/100000,-1000000000-1089)</f>
        <v/>
      </c>
    </row>
    <row r="1103">
      <c r="BN1103">
        <f>IF(1090&lt;$U$9,INT(1090/($U$7*$U$8))+1,1)</f>
        <v/>
      </c>
      <c r="BO1103">
        <f>IF(1090&lt;$U$9,MOD(INT(1090/$U$8),$U$7)+1,1)</f>
        <v/>
      </c>
      <c r="BP1103">
        <f>IF(1090&lt;$U$9,MOD(1090,$U$8)+1,1)</f>
        <v/>
      </c>
      <c r="BQ1103">
        <f>IF(1090&lt;$U$9,SUMPRODUCT(($D$10:$L$10&lt;&gt;"")*(($D$9:$L$9+INT(($S$12:$AA$12+INDEX($AJ$13:$AR$162,BN1103,0)+INDEX($AT$13:$BB$162,BO1103,0)+INDEX($BD$13:$BL$162,BP1103,0))/100))&gt;=$D$10:$L$10)),0)</f>
        <v/>
      </c>
      <c r="BR1103">
        <f>IF(1090&lt;$U$9,SUMPRODUCT(($D$10:$L$10&lt;&gt;"")*(($D$10:$L$10-($D$9:$L$9+INT(($S$12:$AA$12+INDEX($AJ$13:$AR$162,BN1103,0)+INDEX($AT$13:$BB$162,BO1103,0)+INDEX($BD$13:$BL$162,BP1103,0))/100)))&gt;0)*($D$10:$L$10-($D$9:$L$9+INT(($S$12:$AA$12+INDEX($AJ$13:$AR$162,BN1103,0)+INDEX($AT$13:$BB$162,BO1103,0)+INDEX($BD$13:$BL$162,BP1103,0))/100)))),0)</f>
        <v/>
      </c>
      <c r="BS1103">
        <f>IF(1090&lt;$U$9,SUMPRODUCT(($D$9:$L$9+INT(($S$12:$AA$12+INDEX($AJ$13:$AR$162,BN1103,0)+INDEX($AT$13:$BB$162,BO1103,0)+INDEX($BD$13:$BL$162,BP1103,0))/100))),0)</f>
        <v/>
      </c>
      <c r="BT1103">
        <f>IF(AND(1090&lt;$U$9,$W$5),BQ1103*1000000-MIN(BR1103,999)*1000+BS1103-1090/100000,-1000000000-1090)</f>
        <v/>
      </c>
    </row>
    <row r="1104">
      <c r="BN1104">
        <f>IF(1091&lt;$U$9,INT(1091/($U$7*$U$8))+1,1)</f>
        <v/>
      </c>
      <c r="BO1104">
        <f>IF(1091&lt;$U$9,MOD(INT(1091/$U$8),$U$7)+1,1)</f>
        <v/>
      </c>
      <c r="BP1104">
        <f>IF(1091&lt;$U$9,MOD(1091,$U$8)+1,1)</f>
        <v/>
      </c>
      <c r="BQ1104">
        <f>IF(1091&lt;$U$9,SUMPRODUCT(($D$10:$L$10&lt;&gt;"")*(($D$9:$L$9+INT(($S$12:$AA$12+INDEX($AJ$13:$AR$162,BN1104,0)+INDEX($AT$13:$BB$162,BO1104,0)+INDEX($BD$13:$BL$162,BP1104,0))/100))&gt;=$D$10:$L$10)),0)</f>
        <v/>
      </c>
      <c r="BR1104">
        <f>IF(1091&lt;$U$9,SUMPRODUCT(($D$10:$L$10&lt;&gt;"")*(($D$10:$L$10-($D$9:$L$9+INT(($S$12:$AA$12+INDEX($AJ$13:$AR$162,BN1104,0)+INDEX($AT$13:$BB$162,BO1104,0)+INDEX($BD$13:$BL$162,BP1104,0))/100)))&gt;0)*($D$10:$L$10-($D$9:$L$9+INT(($S$12:$AA$12+INDEX($AJ$13:$AR$162,BN1104,0)+INDEX($AT$13:$BB$162,BO1104,0)+INDEX($BD$13:$BL$162,BP1104,0))/100)))),0)</f>
        <v/>
      </c>
      <c r="BS1104">
        <f>IF(1091&lt;$U$9,SUMPRODUCT(($D$9:$L$9+INT(($S$12:$AA$12+INDEX($AJ$13:$AR$162,BN1104,0)+INDEX($AT$13:$BB$162,BO1104,0)+INDEX($BD$13:$BL$162,BP1104,0))/100))),0)</f>
        <v/>
      </c>
      <c r="BT1104">
        <f>IF(AND(1091&lt;$U$9,$W$5),BQ1104*1000000-MIN(BR1104,999)*1000+BS1104-1091/100000,-1000000000-1091)</f>
        <v/>
      </c>
    </row>
    <row r="1105">
      <c r="BN1105">
        <f>IF(1092&lt;$U$9,INT(1092/($U$7*$U$8))+1,1)</f>
        <v/>
      </c>
      <c r="BO1105">
        <f>IF(1092&lt;$U$9,MOD(INT(1092/$U$8),$U$7)+1,1)</f>
        <v/>
      </c>
      <c r="BP1105">
        <f>IF(1092&lt;$U$9,MOD(1092,$U$8)+1,1)</f>
        <v/>
      </c>
      <c r="BQ1105">
        <f>IF(1092&lt;$U$9,SUMPRODUCT(($D$10:$L$10&lt;&gt;"")*(($D$9:$L$9+INT(($S$12:$AA$12+INDEX($AJ$13:$AR$162,BN1105,0)+INDEX($AT$13:$BB$162,BO1105,0)+INDEX($BD$13:$BL$162,BP1105,0))/100))&gt;=$D$10:$L$10)),0)</f>
        <v/>
      </c>
      <c r="BR1105">
        <f>IF(1092&lt;$U$9,SUMPRODUCT(($D$10:$L$10&lt;&gt;"")*(($D$10:$L$10-($D$9:$L$9+INT(($S$12:$AA$12+INDEX($AJ$13:$AR$162,BN1105,0)+INDEX($AT$13:$BB$162,BO1105,0)+INDEX($BD$13:$BL$162,BP1105,0))/100)))&gt;0)*($D$10:$L$10-($D$9:$L$9+INT(($S$12:$AA$12+INDEX($AJ$13:$AR$162,BN1105,0)+INDEX($AT$13:$BB$162,BO1105,0)+INDEX($BD$13:$BL$162,BP1105,0))/100)))),0)</f>
        <v/>
      </c>
      <c r="BS1105">
        <f>IF(1092&lt;$U$9,SUMPRODUCT(($D$9:$L$9+INT(($S$12:$AA$12+INDEX($AJ$13:$AR$162,BN1105,0)+INDEX($AT$13:$BB$162,BO1105,0)+INDEX($BD$13:$BL$162,BP1105,0))/100))),0)</f>
        <v/>
      </c>
      <c r="BT1105">
        <f>IF(AND(1092&lt;$U$9,$W$5),BQ1105*1000000-MIN(BR1105,999)*1000+BS1105-1092/100000,-1000000000-1092)</f>
        <v/>
      </c>
    </row>
    <row r="1106">
      <c r="BN1106">
        <f>IF(1093&lt;$U$9,INT(1093/($U$7*$U$8))+1,1)</f>
        <v/>
      </c>
      <c r="BO1106">
        <f>IF(1093&lt;$U$9,MOD(INT(1093/$U$8),$U$7)+1,1)</f>
        <v/>
      </c>
      <c r="BP1106">
        <f>IF(1093&lt;$U$9,MOD(1093,$U$8)+1,1)</f>
        <v/>
      </c>
      <c r="BQ1106">
        <f>IF(1093&lt;$U$9,SUMPRODUCT(($D$10:$L$10&lt;&gt;"")*(($D$9:$L$9+INT(($S$12:$AA$12+INDEX($AJ$13:$AR$162,BN1106,0)+INDEX($AT$13:$BB$162,BO1106,0)+INDEX($BD$13:$BL$162,BP1106,0))/100))&gt;=$D$10:$L$10)),0)</f>
        <v/>
      </c>
      <c r="BR1106">
        <f>IF(1093&lt;$U$9,SUMPRODUCT(($D$10:$L$10&lt;&gt;"")*(($D$10:$L$10-($D$9:$L$9+INT(($S$12:$AA$12+INDEX($AJ$13:$AR$162,BN1106,0)+INDEX($AT$13:$BB$162,BO1106,0)+INDEX($BD$13:$BL$162,BP1106,0))/100)))&gt;0)*($D$10:$L$10-($D$9:$L$9+INT(($S$12:$AA$12+INDEX($AJ$13:$AR$162,BN1106,0)+INDEX($AT$13:$BB$162,BO1106,0)+INDEX($BD$13:$BL$162,BP1106,0))/100)))),0)</f>
        <v/>
      </c>
      <c r="BS1106">
        <f>IF(1093&lt;$U$9,SUMPRODUCT(($D$9:$L$9+INT(($S$12:$AA$12+INDEX($AJ$13:$AR$162,BN1106,0)+INDEX($AT$13:$BB$162,BO1106,0)+INDEX($BD$13:$BL$162,BP1106,0))/100))),0)</f>
        <v/>
      </c>
      <c r="BT1106">
        <f>IF(AND(1093&lt;$U$9,$W$5),BQ1106*1000000-MIN(BR1106,999)*1000+BS1106-1093/100000,-1000000000-1093)</f>
        <v/>
      </c>
    </row>
    <row r="1107">
      <c r="BN1107">
        <f>IF(1094&lt;$U$9,INT(1094/($U$7*$U$8))+1,1)</f>
        <v/>
      </c>
      <c r="BO1107">
        <f>IF(1094&lt;$U$9,MOD(INT(1094/$U$8),$U$7)+1,1)</f>
        <v/>
      </c>
      <c r="BP1107">
        <f>IF(1094&lt;$U$9,MOD(1094,$U$8)+1,1)</f>
        <v/>
      </c>
      <c r="BQ1107">
        <f>IF(1094&lt;$U$9,SUMPRODUCT(($D$10:$L$10&lt;&gt;"")*(($D$9:$L$9+INT(($S$12:$AA$12+INDEX($AJ$13:$AR$162,BN1107,0)+INDEX($AT$13:$BB$162,BO1107,0)+INDEX($BD$13:$BL$162,BP1107,0))/100))&gt;=$D$10:$L$10)),0)</f>
        <v/>
      </c>
      <c r="BR1107">
        <f>IF(1094&lt;$U$9,SUMPRODUCT(($D$10:$L$10&lt;&gt;"")*(($D$10:$L$10-($D$9:$L$9+INT(($S$12:$AA$12+INDEX($AJ$13:$AR$162,BN1107,0)+INDEX($AT$13:$BB$162,BO1107,0)+INDEX($BD$13:$BL$162,BP1107,0))/100)))&gt;0)*($D$10:$L$10-($D$9:$L$9+INT(($S$12:$AA$12+INDEX($AJ$13:$AR$162,BN1107,0)+INDEX($AT$13:$BB$162,BO1107,0)+INDEX($BD$13:$BL$162,BP1107,0))/100)))),0)</f>
        <v/>
      </c>
      <c r="BS1107">
        <f>IF(1094&lt;$U$9,SUMPRODUCT(($D$9:$L$9+INT(($S$12:$AA$12+INDEX($AJ$13:$AR$162,BN1107,0)+INDEX($AT$13:$BB$162,BO1107,0)+INDEX($BD$13:$BL$162,BP1107,0))/100))),0)</f>
        <v/>
      </c>
      <c r="BT1107">
        <f>IF(AND(1094&lt;$U$9,$W$5),BQ1107*1000000-MIN(BR1107,999)*1000+BS1107-1094/100000,-1000000000-1094)</f>
        <v/>
      </c>
    </row>
    <row r="1108">
      <c r="BN1108">
        <f>IF(1095&lt;$U$9,INT(1095/($U$7*$U$8))+1,1)</f>
        <v/>
      </c>
      <c r="BO1108">
        <f>IF(1095&lt;$U$9,MOD(INT(1095/$U$8),$U$7)+1,1)</f>
        <v/>
      </c>
      <c r="BP1108">
        <f>IF(1095&lt;$U$9,MOD(1095,$U$8)+1,1)</f>
        <v/>
      </c>
      <c r="BQ1108">
        <f>IF(1095&lt;$U$9,SUMPRODUCT(($D$10:$L$10&lt;&gt;"")*(($D$9:$L$9+INT(($S$12:$AA$12+INDEX($AJ$13:$AR$162,BN1108,0)+INDEX($AT$13:$BB$162,BO1108,0)+INDEX($BD$13:$BL$162,BP1108,0))/100))&gt;=$D$10:$L$10)),0)</f>
        <v/>
      </c>
      <c r="BR1108">
        <f>IF(1095&lt;$U$9,SUMPRODUCT(($D$10:$L$10&lt;&gt;"")*(($D$10:$L$10-($D$9:$L$9+INT(($S$12:$AA$12+INDEX($AJ$13:$AR$162,BN1108,0)+INDEX($AT$13:$BB$162,BO1108,0)+INDEX($BD$13:$BL$162,BP1108,0))/100)))&gt;0)*($D$10:$L$10-($D$9:$L$9+INT(($S$12:$AA$12+INDEX($AJ$13:$AR$162,BN1108,0)+INDEX($AT$13:$BB$162,BO1108,0)+INDEX($BD$13:$BL$162,BP1108,0))/100)))),0)</f>
        <v/>
      </c>
      <c r="BS1108">
        <f>IF(1095&lt;$U$9,SUMPRODUCT(($D$9:$L$9+INT(($S$12:$AA$12+INDEX($AJ$13:$AR$162,BN1108,0)+INDEX($AT$13:$BB$162,BO1108,0)+INDEX($BD$13:$BL$162,BP1108,0))/100))),0)</f>
        <v/>
      </c>
      <c r="BT1108">
        <f>IF(AND(1095&lt;$U$9,$W$5),BQ1108*1000000-MIN(BR1108,999)*1000+BS1108-1095/100000,-1000000000-1095)</f>
        <v/>
      </c>
    </row>
    <row r="1109">
      <c r="BN1109">
        <f>IF(1096&lt;$U$9,INT(1096/($U$7*$U$8))+1,1)</f>
        <v/>
      </c>
      <c r="BO1109">
        <f>IF(1096&lt;$U$9,MOD(INT(1096/$U$8),$U$7)+1,1)</f>
        <v/>
      </c>
      <c r="BP1109">
        <f>IF(1096&lt;$U$9,MOD(1096,$U$8)+1,1)</f>
        <v/>
      </c>
      <c r="BQ1109">
        <f>IF(1096&lt;$U$9,SUMPRODUCT(($D$10:$L$10&lt;&gt;"")*(($D$9:$L$9+INT(($S$12:$AA$12+INDEX($AJ$13:$AR$162,BN1109,0)+INDEX($AT$13:$BB$162,BO1109,0)+INDEX($BD$13:$BL$162,BP1109,0))/100))&gt;=$D$10:$L$10)),0)</f>
        <v/>
      </c>
      <c r="BR1109">
        <f>IF(1096&lt;$U$9,SUMPRODUCT(($D$10:$L$10&lt;&gt;"")*(($D$10:$L$10-($D$9:$L$9+INT(($S$12:$AA$12+INDEX($AJ$13:$AR$162,BN1109,0)+INDEX($AT$13:$BB$162,BO1109,0)+INDEX($BD$13:$BL$162,BP1109,0))/100)))&gt;0)*($D$10:$L$10-($D$9:$L$9+INT(($S$12:$AA$12+INDEX($AJ$13:$AR$162,BN1109,0)+INDEX($AT$13:$BB$162,BO1109,0)+INDEX($BD$13:$BL$162,BP1109,0))/100)))),0)</f>
        <v/>
      </c>
      <c r="BS1109">
        <f>IF(1096&lt;$U$9,SUMPRODUCT(($D$9:$L$9+INT(($S$12:$AA$12+INDEX($AJ$13:$AR$162,BN1109,0)+INDEX($AT$13:$BB$162,BO1109,0)+INDEX($BD$13:$BL$162,BP1109,0))/100))),0)</f>
        <v/>
      </c>
      <c r="BT1109">
        <f>IF(AND(1096&lt;$U$9,$W$5),BQ1109*1000000-MIN(BR1109,999)*1000+BS1109-1096/100000,-1000000000-1096)</f>
        <v/>
      </c>
    </row>
    <row r="1110">
      <c r="BN1110">
        <f>IF(1097&lt;$U$9,INT(1097/($U$7*$U$8))+1,1)</f>
        <v/>
      </c>
      <c r="BO1110">
        <f>IF(1097&lt;$U$9,MOD(INT(1097/$U$8),$U$7)+1,1)</f>
        <v/>
      </c>
      <c r="BP1110">
        <f>IF(1097&lt;$U$9,MOD(1097,$U$8)+1,1)</f>
        <v/>
      </c>
      <c r="BQ1110">
        <f>IF(1097&lt;$U$9,SUMPRODUCT(($D$10:$L$10&lt;&gt;"")*(($D$9:$L$9+INT(($S$12:$AA$12+INDEX($AJ$13:$AR$162,BN1110,0)+INDEX($AT$13:$BB$162,BO1110,0)+INDEX($BD$13:$BL$162,BP1110,0))/100))&gt;=$D$10:$L$10)),0)</f>
        <v/>
      </c>
      <c r="BR1110">
        <f>IF(1097&lt;$U$9,SUMPRODUCT(($D$10:$L$10&lt;&gt;"")*(($D$10:$L$10-($D$9:$L$9+INT(($S$12:$AA$12+INDEX($AJ$13:$AR$162,BN1110,0)+INDEX($AT$13:$BB$162,BO1110,0)+INDEX($BD$13:$BL$162,BP1110,0))/100)))&gt;0)*($D$10:$L$10-($D$9:$L$9+INT(($S$12:$AA$12+INDEX($AJ$13:$AR$162,BN1110,0)+INDEX($AT$13:$BB$162,BO1110,0)+INDEX($BD$13:$BL$162,BP1110,0))/100)))),0)</f>
        <v/>
      </c>
      <c r="BS1110">
        <f>IF(1097&lt;$U$9,SUMPRODUCT(($D$9:$L$9+INT(($S$12:$AA$12+INDEX($AJ$13:$AR$162,BN1110,0)+INDEX($AT$13:$BB$162,BO1110,0)+INDEX($BD$13:$BL$162,BP1110,0))/100))),0)</f>
        <v/>
      </c>
      <c r="BT1110">
        <f>IF(AND(1097&lt;$U$9,$W$5),BQ1110*1000000-MIN(BR1110,999)*1000+BS1110-1097/100000,-1000000000-1097)</f>
        <v/>
      </c>
    </row>
    <row r="1111">
      <c r="BN1111">
        <f>IF(1098&lt;$U$9,INT(1098/($U$7*$U$8))+1,1)</f>
        <v/>
      </c>
      <c r="BO1111">
        <f>IF(1098&lt;$U$9,MOD(INT(1098/$U$8),$U$7)+1,1)</f>
        <v/>
      </c>
      <c r="BP1111">
        <f>IF(1098&lt;$U$9,MOD(1098,$U$8)+1,1)</f>
        <v/>
      </c>
      <c r="BQ1111">
        <f>IF(1098&lt;$U$9,SUMPRODUCT(($D$10:$L$10&lt;&gt;"")*(($D$9:$L$9+INT(($S$12:$AA$12+INDEX($AJ$13:$AR$162,BN1111,0)+INDEX($AT$13:$BB$162,BO1111,0)+INDEX($BD$13:$BL$162,BP1111,0))/100))&gt;=$D$10:$L$10)),0)</f>
        <v/>
      </c>
      <c r="BR1111">
        <f>IF(1098&lt;$U$9,SUMPRODUCT(($D$10:$L$10&lt;&gt;"")*(($D$10:$L$10-($D$9:$L$9+INT(($S$12:$AA$12+INDEX($AJ$13:$AR$162,BN1111,0)+INDEX($AT$13:$BB$162,BO1111,0)+INDEX($BD$13:$BL$162,BP1111,0))/100)))&gt;0)*($D$10:$L$10-($D$9:$L$9+INT(($S$12:$AA$12+INDEX($AJ$13:$AR$162,BN1111,0)+INDEX($AT$13:$BB$162,BO1111,0)+INDEX($BD$13:$BL$162,BP1111,0))/100)))),0)</f>
        <v/>
      </c>
      <c r="BS1111">
        <f>IF(1098&lt;$U$9,SUMPRODUCT(($D$9:$L$9+INT(($S$12:$AA$12+INDEX($AJ$13:$AR$162,BN1111,0)+INDEX($AT$13:$BB$162,BO1111,0)+INDEX($BD$13:$BL$162,BP1111,0))/100))),0)</f>
        <v/>
      </c>
      <c r="BT1111">
        <f>IF(AND(1098&lt;$U$9,$W$5),BQ1111*1000000-MIN(BR1111,999)*1000+BS1111-1098/100000,-1000000000-1098)</f>
        <v/>
      </c>
    </row>
    <row r="1112">
      <c r="BN1112">
        <f>IF(1099&lt;$U$9,INT(1099/($U$7*$U$8))+1,1)</f>
        <v/>
      </c>
      <c r="BO1112">
        <f>IF(1099&lt;$U$9,MOD(INT(1099/$U$8),$U$7)+1,1)</f>
        <v/>
      </c>
      <c r="BP1112">
        <f>IF(1099&lt;$U$9,MOD(1099,$U$8)+1,1)</f>
        <v/>
      </c>
      <c r="BQ1112">
        <f>IF(1099&lt;$U$9,SUMPRODUCT(($D$10:$L$10&lt;&gt;"")*(($D$9:$L$9+INT(($S$12:$AA$12+INDEX($AJ$13:$AR$162,BN1112,0)+INDEX($AT$13:$BB$162,BO1112,0)+INDEX($BD$13:$BL$162,BP1112,0))/100))&gt;=$D$10:$L$10)),0)</f>
        <v/>
      </c>
      <c r="BR1112">
        <f>IF(1099&lt;$U$9,SUMPRODUCT(($D$10:$L$10&lt;&gt;"")*(($D$10:$L$10-($D$9:$L$9+INT(($S$12:$AA$12+INDEX($AJ$13:$AR$162,BN1112,0)+INDEX($AT$13:$BB$162,BO1112,0)+INDEX($BD$13:$BL$162,BP1112,0))/100)))&gt;0)*($D$10:$L$10-($D$9:$L$9+INT(($S$12:$AA$12+INDEX($AJ$13:$AR$162,BN1112,0)+INDEX($AT$13:$BB$162,BO1112,0)+INDEX($BD$13:$BL$162,BP1112,0))/100)))),0)</f>
        <v/>
      </c>
      <c r="BS1112">
        <f>IF(1099&lt;$U$9,SUMPRODUCT(($D$9:$L$9+INT(($S$12:$AA$12+INDEX($AJ$13:$AR$162,BN1112,0)+INDEX($AT$13:$BB$162,BO1112,0)+INDEX($BD$13:$BL$162,BP1112,0))/100))),0)</f>
        <v/>
      </c>
      <c r="BT1112">
        <f>IF(AND(1099&lt;$U$9,$W$5),BQ1112*1000000-MIN(BR1112,999)*1000+BS1112-1099/100000,-1000000000-1099)</f>
        <v/>
      </c>
    </row>
    <row r="1113">
      <c r="BN1113">
        <f>IF(1100&lt;$U$9,INT(1100/($U$7*$U$8))+1,1)</f>
        <v/>
      </c>
      <c r="BO1113">
        <f>IF(1100&lt;$U$9,MOD(INT(1100/$U$8),$U$7)+1,1)</f>
        <v/>
      </c>
      <c r="BP1113">
        <f>IF(1100&lt;$U$9,MOD(1100,$U$8)+1,1)</f>
        <v/>
      </c>
      <c r="BQ1113">
        <f>IF(1100&lt;$U$9,SUMPRODUCT(($D$10:$L$10&lt;&gt;"")*(($D$9:$L$9+INT(($S$12:$AA$12+INDEX($AJ$13:$AR$162,BN1113,0)+INDEX($AT$13:$BB$162,BO1113,0)+INDEX($BD$13:$BL$162,BP1113,0))/100))&gt;=$D$10:$L$10)),0)</f>
        <v/>
      </c>
      <c r="BR1113">
        <f>IF(1100&lt;$U$9,SUMPRODUCT(($D$10:$L$10&lt;&gt;"")*(($D$10:$L$10-($D$9:$L$9+INT(($S$12:$AA$12+INDEX($AJ$13:$AR$162,BN1113,0)+INDEX($AT$13:$BB$162,BO1113,0)+INDEX($BD$13:$BL$162,BP1113,0))/100)))&gt;0)*($D$10:$L$10-($D$9:$L$9+INT(($S$12:$AA$12+INDEX($AJ$13:$AR$162,BN1113,0)+INDEX($AT$13:$BB$162,BO1113,0)+INDEX($BD$13:$BL$162,BP1113,0))/100)))),0)</f>
        <v/>
      </c>
      <c r="BS1113">
        <f>IF(1100&lt;$U$9,SUMPRODUCT(($D$9:$L$9+INT(($S$12:$AA$12+INDEX($AJ$13:$AR$162,BN1113,0)+INDEX($AT$13:$BB$162,BO1113,0)+INDEX($BD$13:$BL$162,BP1113,0))/100))),0)</f>
        <v/>
      </c>
      <c r="BT1113">
        <f>IF(AND(1100&lt;$U$9,$W$5),BQ1113*1000000-MIN(BR1113,999)*1000+BS1113-1100/100000,-1000000000-1100)</f>
        <v/>
      </c>
    </row>
    <row r="1114">
      <c r="BN1114">
        <f>IF(1101&lt;$U$9,INT(1101/($U$7*$U$8))+1,1)</f>
        <v/>
      </c>
      <c r="BO1114">
        <f>IF(1101&lt;$U$9,MOD(INT(1101/$U$8),$U$7)+1,1)</f>
        <v/>
      </c>
      <c r="BP1114">
        <f>IF(1101&lt;$U$9,MOD(1101,$U$8)+1,1)</f>
        <v/>
      </c>
      <c r="BQ1114">
        <f>IF(1101&lt;$U$9,SUMPRODUCT(($D$10:$L$10&lt;&gt;"")*(($D$9:$L$9+INT(($S$12:$AA$12+INDEX($AJ$13:$AR$162,BN1114,0)+INDEX($AT$13:$BB$162,BO1114,0)+INDEX($BD$13:$BL$162,BP1114,0))/100))&gt;=$D$10:$L$10)),0)</f>
        <v/>
      </c>
      <c r="BR1114">
        <f>IF(1101&lt;$U$9,SUMPRODUCT(($D$10:$L$10&lt;&gt;"")*(($D$10:$L$10-($D$9:$L$9+INT(($S$12:$AA$12+INDEX($AJ$13:$AR$162,BN1114,0)+INDEX($AT$13:$BB$162,BO1114,0)+INDEX($BD$13:$BL$162,BP1114,0))/100)))&gt;0)*($D$10:$L$10-($D$9:$L$9+INT(($S$12:$AA$12+INDEX($AJ$13:$AR$162,BN1114,0)+INDEX($AT$13:$BB$162,BO1114,0)+INDEX($BD$13:$BL$162,BP1114,0))/100)))),0)</f>
        <v/>
      </c>
      <c r="BS1114">
        <f>IF(1101&lt;$U$9,SUMPRODUCT(($D$9:$L$9+INT(($S$12:$AA$12+INDEX($AJ$13:$AR$162,BN1114,0)+INDEX($AT$13:$BB$162,BO1114,0)+INDEX($BD$13:$BL$162,BP1114,0))/100))),0)</f>
        <v/>
      </c>
      <c r="BT1114">
        <f>IF(AND(1101&lt;$U$9,$W$5),BQ1114*1000000-MIN(BR1114,999)*1000+BS1114-1101/100000,-1000000000-1101)</f>
        <v/>
      </c>
    </row>
    <row r="1115">
      <c r="BN1115">
        <f>IF(1102&lt;$U$9,INT(1102/($U$7*$U$8))+1,1)</f>
        <v/>
      </c>
      <c r="BO1115">
        <f>IF(1102&lt;$U$9,MOD(INT(1102/$U$8),$U$7)+1,1)</f>
        <v/>
      </c>
      <c r="BP1115">
        <f>IF(1102&lt;$U$9,MOD(1102,$U$8)+1,1)</f>
        <v/>
      </c>
      <c r="BQ1115">
        <f>IF(1102&lt;$U$9,SUMPRODUCT(($D$10:$L$10&lt;&gt;"")*(($D$9:$L$9+INT(($S$12:$AA$12+INDEX($AJ$13:$AR$162,BN1115,0)+INDEX($AT$13:$BB$162,BO1115,0)+INDEX($BD$13:$BL$162,BP1115,0))/100))&gt;=$D$10:$L$10)),0)</f>
        <v/>
      </c>
      <c r="BR1115">
        <f>IF(1102&lt;$U$9,SUMPRODUCT(($D$10:$L$10&lt;&gt;"")*(($D$10:$L$10-($D$9:$L$9+INT(($S$12:$AA$12+INDEX($AJ$13:$AR$162,BN1115,0)+INDEX($AT$13:$BB$162,BO1115,0)+INDEX($BD$13:$BL$162,BP1115,0))/100)))&gt;0)*($D$10:$L$10-($D$9:$L$9+INT(($S$12:$AA$12+INDEX($AJ$13:$AR$162,BN1115,0)+INDEX($AT$13:$BB$162,BO1115,0)+INDEX($BD$13:$BL$162,BP1115,0))/100)))),0)</f>
        <v/>
      </c>
      <c r="BS1115">
        <f>IF(1102&lt;$U$9,SUMPRODUCT(($D$9:$L$9+INT(($S$12:$AA$12+INDEX($AJ$13:$AR$162,BN1115,0)+INDEX($AT$13:$BB$162,BO1115,0)+INDEX($BD$13:$BL$162,BP1115,0))/100))),0)</f>
        <v/>
      </c>
      <c r="BT1115">
        <f>IF(AND(1102&lt;$U$9,$W$5),BQ1115*1000000-MIN(BR1115,999)*1000+BS1115-1102/100000,-1000000000-1102)</f>
        <v/>
      </c>
    </row>
    <row r="1116">
      <c r="BN1116">
        <f>IF(1103&lt;$U$9,INT(1103/($U$7*$U$8))+1,1)</f>
        <v/>
      </c>
      <c r="BO1116">
        <f>IF(1103&lt;$U$9,MOD(INT(1103/$U$8),$U$7)+1,1)</f>
        <v/>
      </c>
      <c r="BP1116">
        <f>IF(1103&lt;$U$9,MOD(1103,$U$8)+1,1)</f>
        <v/>
      </c>
      <c r="BQ1116">
        <f>IF(1103&lt;$U$9,SUMPRODUCT(($D$10:$L$10&lt;&gt;"")*(($D$9:$L$9+INT(($S$12:$AA$12+INDEX($AJ$13:$AR$162,BN1116,0)+INDEX($AT$13:$BB$162,BO1116,0)+INDEX($BD$13:$BL$162,BP1116,0))/100))&gt;=$D$10:$L$10)),0)</f>
        <v/>
      </c>
      <c r="BR1116">
        <f>IF(1103&lt;$U$9,SUMPRODUCT(($D$10:$L$10&lt;&gt;"")*(($D$10:$L$10-($D$9:$L$9+INT(($S$12:$AA$12+INDEX($AJ$13:$AR$162,BN1116,0)+INDEX($AT$13:$BB$162,BO1116,0)+INDEX($BD$13:$BL$162,BP1116,0))/100)))&gt;0)*($D$10:$L$10-($D$9:$L$9+INT(($S$12:$AA$12+INDEX($AJ$13:$AR$162,BN1116,0)+INDEX($AT$13:$BB$162,BO1116,0)+INDEX($BD$13:$BL$162,BP1116,0))/100)))),0)</f>
        <v/>
      </c>
      <c r="BS1116">
        <f>IF(1103&lt;$U$9,SUMPRODUCT(($D$9:$L$9+INT(($S$12:$AA$12+INDEX($AJ$13:$AR$162,BN1116,0)+INDEX($AT$13:$BB$162,BO1116,0)+INDEX($BD$13:$BL$162,BP1116,0))/100))),0)</f>
        <v/>
      </c>
      <c r="BT1116">
        <f>IF(AND(1103&lt;$U$9,$W$5),BQ1116*1000000-MIN(BR1116,999)*1000+BS1116-1103/100000,-1000000000-1103)</f>
        <v/>
      </c>
    </row>
    <row r="1117">
      <c r="BN1117">
        <f>IF(1104&lt;$U$9,INT(1104/($U$7*$U$8))+1,1)</f>
        <v/>
      </c>
      <c r="BO1117">
        <f>IF(1104&lt;$U$9,MOD(INT(1104/$U$8),$U$7)+1,1)</f>
        <v/>
      </c>
      <c r="BP1117">
        <f>IF(1104&lt;$U$9,MOD(1104,$U$8)+1,1)</f>
        <v/>
      </c>
      <c r="BQ1117">
        <f>IF(1104&lt;$U$9,SUMPRODUCT(($D$10:$L$10&lt;&gt;"")*(($D$9:$L$9+INT(($S$12:$AA$12+INDEX($AJ$13:$AR$162,BN1117,0)+INDEX($AT$13:$BB$162,BO1117,0)+INDEX($BD$13:$BL$162,BP1117,0))/100))&gt;=$D$10:$L$10)),0)</f>
        <v/>
      </c>
      <c r="BR1117">
        <f>IF(1104&lt;$U$9,SUMPRODUCT(($D$10:$L$10&lt;&gt;"")*(($D$10:$L$10-($D$9:$L$9+INT(($S$12:$AA$12+INDEX($AJ$13:$AR$162,BN1117,0)+INDEX($AT$13:$BB$162,BO1117,0)+INDEX($BD$13:$BL$162,BP1117,0))/100)))&gt;0)*($D$10:$L$10-($D$9:$L$9+INT(($S$12:$AA$12+INDEX($AJ$13:$AR$162,BN1117,0)+INDEX($AT$13:$BB$162,BO1117,0)+INDEX($BD$13:$BL$162,BP1117,0))/100)))),0)</f>
        <v/>
      </c>
      <c r="BS1117">
        <f>IF(1104&lt;$U$9,SUMPRODUCT(($D$9:$L$9+INT(($S$12:$AA$12+INDEX($AJ$13:$AR$162,BN1117,0)+INDEX($AT$13:$BB$162,BO1117,0)+INDEX($BD$13:$BL$162,BP1117,0))/100))),0)</f>
        <v/>
      </c>
      <c r="BT1117">
        <f>IF(AND(1104&lt;$U$9,$W$5),BQ1117*1000000-MIN(BR1117,999)*1000+BS1117-1104/100000,-1000000000-1104)</f>
        <v/>
      </c>
    </row>
    <row r="1118">
      <c r="BN1118">
        <f>IF(1105&lt;$U$9,INT(1105/($U$7*$U$8))+1,1)</f>
        <v/>
      </c>
      <c r="BO1118">
        <f>IF(1105&lt;$U$9,MOD(INT(1105/$U$8),$U$7)+1,1)</f>
        <v/>
      </c>
      <c r="BP1118">
        <f>IF(1105&lt;$U$9,MOD(1105,$U$8)+1,1)</f>
        <v/>
      </c>
      <c r="BQ1118">
        <f>IF(1105&lt;$U$9,SUMPRODUCT(($D$10:$L$10&lt;&gt;"")*(($D$9:$L$9+INT(($S$12:$AA$12+INDEX($AJ$13:$AR$162,BN1118,0)+INDEX($AT$13:$BB$162,BO1118,0)+INDEX($BD$13:$BL$162,BP1118,0))/100))&gt;=$D$10:$L$10)),0)</f>
        <v/>
      </c>
      <c r="BR1118">
        <f>IF(1105&lt;$U$9,SUMPRODUCT(($D$10:$L$10&lt;&gt;"")*(($D$10:$L$10-($D$9:$L$9+INT(($S$12:$AA$12+INDEX($AJ$13:$AR$162,BN1118,0)+INDEX($AT$13:$BB$162,BO1118,0)+INDEX($BD$13:$BL$162,BP1118,0))/100)))&gt;0)*($D$10:$L$10-($D$9:$L$9+INT(($S$12:$AA$12+INDEX($AJ$13:$AR$162,BN1118,0)+INDEX($AT$13:$BB$162,BO1118,0)+INDEX($BD$13:$BL$162,BP1118,0))/100)))),0)</f>
        <v/>
      </c>
      <c r="BS1118">
        <f>IF(1105&lt;$U$9,SUMPRODUCT(($D$9:$L$9+INT(($S$12:$AA$12+INDEX($AJ$13:$AR$162,BN1118,0)+INDEX($AT$13:$BB$162,BO1118,0)+INDEX($BD$13:$BL$162,BP1118,0))/100))),0)</f>
        <v/>
      </c>
      <c r="BT1118">
        <f>IF(AND(1105&lt;$U$9,$W$5),BQ1118*1000000-MIN(BR1118,999)*1000+BS1118-1105/100000,-1000000000-1105)</f>
        <v/>
      </c>
    </row>
    <row r="1119">
      <c r="BN1119">
        <f>IF(1106&lt;$U$9,INT(1106/($U$7*$U$8))+1,1)</f>
        <v/>
      </c>
      <c r="BO1119">
        <f>IF(1106&lt;$U$9,MOD(INT(1106/$U$8),$U$7)+1,1)</f>
        <v/>
      </c>
      <c r="BP1119">
        <f>IF(1106&lt;$U$9,MOD(1106,$U$8)+1,1)</f>
        <v/>
      </c>
      <c r="BQ1119">
        <f>IF(1106&lt;$U$9,SUMPRODUCT(($D$10:$L$10&lt;&gt;"")*(($D$9:$L$9+INT(($S$12:$AA$12+INDEX($AJ$13:$AR$162,BN1119,0)+INDEX($AT$13:$BB$162,BO1119,0)+INDEX($BD$13:$BL$162,BP1119,0))/100))&gt;=$D$10:$L$10)),0)</f>
        <v/>
      </c>
      <c r="BR1119">
        <f>IF(1106&lt;$U$9,SUMPRODUCT(($D$10:$L$10&lt;&gt;"")*(($D$10:$L$10-($D$9:$L$9+INT(($S$12:$AA$12+INDEX($AJ$13:$AR$162,BN1119,0)+INDEX($AT$13:$BB$162,BO1119,0)+INDEX($BD$13:$BL$162,BP1119,0))/100)))&gt;0)*($D$10:$L$10-($D$9:$L$9+INT(($S$12:$AA$12+INDEX($AJ$13:$AR$162,BN1119,0)+INDEX($AT$13:$BB$162,BO1119,0)+INDEX($BD$13:$BL$162,BP1119,0))/100)))),0)</f>
        <v/>
      </c>
      <c r="BS1119">
        <f>IF(1106&lt;$U$9,SUMPRODUCT(($D$9:$L$9+INT(($S$12:$AA$12+INDEX($AJ$13:$AR$162,BN1119,0)+INDEX($AT$13:$BB$162,BO1119,0)+INDEX($BD$13:$BL$162,BP1119,0))/100))),0)</f>
        <v/>
      </c>
      <c r="BT1119">
        <f>IF(AND(1106&lt;$U$9,$W$5),BQ1119*1000000-MIN(BR1119,999)*1000+BS1119-1106/100000,-1000000000-1106)</f>
        <v/>
      </c>
    </row>
    <row r="1120">
      <c r="BN1120">
        <f>IF(1107&lt;$U$9,INT(1107/($U$7*$U$8))+1,1)</f>
        <v/>
      </c>
      <c r="BO1120">
        <f>IF(1107&lt;$U$9,MOD(INT(1107/$U$8),$U$7)+1,1)</f>
        <v/>
      </c>
      <c r="BP1120">
        <f>IF(1107&lt;$U$9,MOD(1107,$U$8)+1,1)</f>
        <v/>
      </c>
      <c r="BQ1120">
        <f>IF(1107&lt;$U$9,SUMPRODUCT(($D$10:$L$10&lt;&gt;"")*(($D$9:$L$9+INT(($S$12:$AA$12+INDEX($AJ$13:$AR$162,BN1120,0)+INDEX($AT$13:$BB$162,BO1120,0)+INDEX($BD$13:$BL$162,BP1120,0))/100))&gt;=$D$10:$L$10)),0)</f>
        <v/>
      </c>
      <c r="BR1120">
        <f>IF(1107&lt;$U$9,SUMPRODUCT(($D$10:$L$10&lt;&gt;"")*(($D$10:$L$10-($D$9:$L$9+INT(($S$12:$AA$12+INDEX($AJ$13:$AR$162,BN1120,0)+INDEX($AT$13:$BB$162,BO1120,0)+INDEX($BD$13:$BL$162,BP1120,0))/100)))&gt;0)*($D$10:$L$10-($D$9:$L$9+INT(($S$12:$AA$12+INDEX($AJ$13:$AR$162,BN1120,0)+INDEX($AT$13:$BB$162,BO1120,0)+INDEX($BD$13:$BL$162,BP1120,0))/100)))),0)</f>
        <v/>
      </c>
      <c r="BS1120">
        <f>IF(1107&lt;$U$9,SUMPRODUCT(($D$9:$L$9+INT(($S$12:$AA$12+INDEX($AJ$13:$AR$162,BN1120,0)+INDEX($AT$13:$BB$162,BO1120,0)+INDEX($BD$13:$BL$162,BP1120,0))/100))),0)</f>
        <v/>
      </c>
      <c r="BT1120">
        <f>IF(AND(1107&lt;$U$9,$W$5),BQ1120*1000000-MIN(BR1120,999)*1000+BS1120-1107/100000,-1000000000-1107)</f>
        <v/>
      </c>
    </row>
    <row r="1121">
      <c r="BN1121">
        <f>IF(1108&lt;$U$9,INT(1108/($U$7*$U$8))+1,1)</f>
        <v/>
      </c>
      <c r="BO1121">
        <f>IF(1108&lt;$U$9,MOD(INT(1108/$U$8),$U$7)+1,1)</f>
        <v/>
      </c>
      <c r="BP1121">
        <f>IF(1108&lt;$U$9,MOD(1108,$U$8)+1,1)</f>
        <v/>
      </c>
      <c r="BQ1121">
        <f>IF(1108&lt;$U$9,SUMPRODUCT(($D$10:$L$10&lt;&gt;"")*(($D$9:$L$9+INT(($S$12:$AA$12+INDEX($AJ$13:$AR$162,BN1121,0)+INDEX($AT$13:$BB$162,BO1121,0)+INDEX($BD$13:$BL$162,BP1121,0))/100))&gt;=$D$10:$L$10)),0)</f>
        <v/>
      </c>
      <c r="BR1121">
        <f>IF(1108&lt;$U$9,SUMPRODUCT(($D$10:$L$10&lt;&gt;"")*(($D$10:$L$10-($D$9:$L$9+INT(($S$12:$AA$12+INDEX($AJ$13:$AR$162,BN1121,0)+INDEX($AT$13:$BB$162,BO1121,0)+INDEX($BD$13:$BL$162,BP1121,0))/100)))&gt;0)*($D$10:$L$10-($D$9:$L$9+INT(($S$12:$AA$12+INDEX($AJ$13:$AR$162,BN1121,0)+INDEX($AT$13:$BB$162,BO1121,0)+INDEX($BD$13:$BL$162,BP1121,0))/100)))),0)</f>
        <v/>
      </c>
      <c r="BS1121">
        <f>IF(1108&lt;$U$9,SUMPRODUCT(($D$9:$L$9+INT(($S$12:$AA$12+INDEX($AJ$13:$AR$162,BN1121,0)+INDEX($AT$13:$BB$162,BO1121,0)+INDEX($BD$13:$BL$162,BP1121,0))/100))),0)</f>
        <v/>
      </c>
      <c r="BT1121">
        <f>IF(AND(1108&lt;$U$9,$W$5),BQ1121*1000000-MIN(BR1121,999)*1000+BS1121-1108/100000,-1000000000-1108)</f>
        <v/>
      </c>
    </row>
    <row r="1122">
      <c r="BN1122">
        <f>IF(1109&lt;$U$9,INT(1109/($U$7*$U$8))+1,1)</f>
        <v/>
      </c>
      <c r="BO1122">
        <f>IF(1109&lt;$U$9,MOD(INT(1109/$U$8),$U$7)+1,1)</f>
        <v/>
      </c>
      <c r="BP1122">
        <f>IF(1109&lt;$U$9,MOD(1109,$U$8)+1,1)</f>
        <v/>
      </c>
      <c r="BQ1122">
        <f>IF(1109&lt;$U$9,SUMPRODUCT(($D$10:$L$10&lt;&gt;"")*(($D$9:$L$9+INT(($S$12:$AA$12+INDEX($AJ$13:$AR$162,BN1122,0)+INDEX($AT$13:$BB$162,BO1122,0)+INDEX($BD$13:$BL$162,BP1122,0))/100))&gt;=$D$10:$L$10)),0)</f>
        <v/>
      </c>
      <c r="BR1122">
        <f>IF(1109&lt;$U$9,SUMPRODUCT(($D$10:$L$10&lt;&gt;"")*(($D$10:$L$10-($D$9:$L$9+INT(($S$12:$AA$12+INDEX($AJ$13:$AR$162,BN1122,0)+INDEX($AT$13:$BB$162,BO1122,0)+INDEX($BD$13:$BL$162,BP1122,0))/100)))&gt;0)*($D$10:$L$10-($D$9:$L$9+INT(($S$12:$AA$12+INDEX($AJ$13:$AR$162,BN1122,0)+INDEX($AT$13:$BB$162,BO1122,0)+INDEX($BD$13:$BL$162,BP1122,0))/100)))),0)</f>
        <v/>
      </c>
      <c r="BS1122">
        <f>IF(1109&lt;$U$9,SUMPRODUCT(($D$9:$L$9+INT(($S$12:$AA$12+INDEX($AJ$13:$AR$162,BN1122,0)+INDEX($AT$13:$BB$162,BO1122,0)+INDEX($BD$13:$BL$162,BP1122,0))/100))),0)</f>
        <v/>
      </c>
      <c r="BT1122">
        <f>IF(AND(1109&lt;$U$9,$W$5),BQ1122*1000000-MIN(BR1122,999)*1000+BS1122-1109/100000,-1000000000-1109)</f>
        <v/>
      </c>
    </row>
    <row r="1123">
      <c r="BN1123">
        <f>IF(1110&lt;$U$9,INT(1110/($U$7*$U$8))+1,1)</f>
        <v/>
      </c>
      <c r="BO1123">
        <f>IF(1110&lt;$U$9,MOD(INT(1110/$U$8),$U$7)+1,1)</f>
        <v/>
      </c>
      <c r="BP1123">
        <f>IF(1110&lt;$U$9,MOD(1110,$U$8)+1,1)</f>
        <v/>
      </c>
      <c r="BQ1123">
        <f>IF(1110&lt;$U$9,SUMPRODUCT(($D$10:$L$10&lt;&gt;"")*(($D$9:$L$9+INT(($S$12:$AA$12+INDEX($AJ$13:$AR$162,BN1123,0)+INDEX($AT$13:$BB$162,BO1123,0)+INDEX($BD$13:$BL$162,BP1123,0))/100))&gt;=$D$10:$L$10)),0)</f>
        <v/>
      </c>
      <c r="BR1123">
        <f>IF(1110&lt;$U$9,SUMPRODUCT(($D$10:$L$10&lt;&gt;"")*(($D$10:$L$10-($D$9:$L$9+INT(($S$12:$AA$12+INDEX($AJ$13:$AR$162,BN1123,0)+INDEX($AT$13:$BB$162,BO1123,0)+INDEX($BD$13:$BL$162,BP1123,0))/100)))&gt;0)*($D$10:$L$10-($D$9:$L$9+INT(($S$12:$AA$12+INDEX($AJ$13:$AR$162,BN1123,0)+INDEX($AT$13:$BB$162,BO1123,0)+INDEX($BD$13:$BL$162,BP1123,0))/100)))),0)</f>
        <v/>
      </c>
      <c r="BS1123">
        <f>IF(1110&lt;$U$9,SUMPRODUCT(($D$9:$L$9+INT(($S$12:$AA$12+INDEX($AJ$13:$AR$162,BN1123,0)+INDEX($AT$13:$BB$162,BO1123,0)+INDEX($BD$13:$BL$162,BP1123,0))/100))),0)</f>
        <v/>
      </c>
      <c r="BT1123">
        <f>IF(AND(1110&lt;$U$9,$W$5),BQ1123*1000000-MIN(BR1123,999)*1000+BS1123-1110/100000,-1000000000-1110)</f>
        <v/>
      </c>
    </row>
    <row r="1124">
      <c r="BN1124">
        <f>IF(1111&lt;$U$9,INT(1111/($U$7*$U$8))+1,1)</f>
        <v/>
      </c>
      <c r="BO1124">
        <f>IF(1111&lt;$U$9,MOD(INT(1111/$U$8),$U$7)+1,1)</f>
        <v/>
      </c>
      <c r="BP1124">
        <f>IF(1111&lt;$U$9,MOD(1111,$U$8)+1,1)</f>
        <v/>
      </c>
      <c r="BQ1124">
        <f>IF(1111&lt;$U$9,SUMPRODUCT(($D$10:$L$10&lt;&gt;"")*(($D$9:$L$9+INT(($S$12:$AA$12+INDEX($AJ$13:$AR$162,BN1124,0)+INDEX($AT$13:$BB$162,BO1124,0)+INDEX($BD$13:$BL$162,BP1124,0))/100))&gt;=$D$10:$L$10)),0)</f>
        <v/>
      </c>
      <c r="BR1124">
        <f>IF(1111&lt;$U$9,SUMPRODUCT(($D$10:$L$10&lt;&gt;"")*(($D$10:$L$10-($D$9:$L$9+INT(($S$12:$AA$12+INDEX($AJ$13:$AR$162,BN1124,0)+INDEX($AT$13:$BB$162,BO1124,0)+INDEX($BD$13:$BL$162,BP1124,0))/100)))&gt;0)*($D$10:$L$10-($D$9:$L$9+INT(($S$12:$AA$12+INDEX($AJ$13:$AR$162,BN1124,0)+INDEX($AT$13:$BB$162,BO1124,0)+INDEX($BD$13:$BL$162,BP1124,0))/100)))),0)</f>
        <v/>
      </c>
      <c r="BS1124">
        <f>IF(1111&lt;$U$9,SUMPRODUCT(($D$9:$L$9+INT(($S$12:$AA$12+INDEX($AJ$13:$AR$162,BN1124,0)+INDEX($AT$13:$BB$162,BO1124,0)+INDEX($BD$13:$BL$162,BP1124,0))/100))),0)</f>
        <v/>
      </c>
      <c r="BT1124">
        <f>IF(AND(1111&lt;$U$9,$W$5),BQ1124*1000000-MIN(BR1124,999)*1000+BS1124-1111/100000,-1000000000-1111)</f>
        <v/>
      </c>
    </row>
    <row r="1125">
      <c r="BN1125">
        <f>IF(1112&lt;$U$9,INT(1112/($U$7*$U$8))+1,1)</f>
        <v/>
      </c>
      <c r="BO1125">
        <f>IF(1112&lt;$U$9,MOD(INT(1112/$U$8),$U$7)+1,1)</f>
        <v/>
      </c>
      <c r="BP1125">
        <f>IF(1112&lt;$U$9,MOD(1112,$U$8)+1,1)</f>
        <v/>
      </c>
      <c r="BQ1125">
        <f>IF(1112&lt;$U$9,SUMPRODUCT(($D$10:$L$10&lt;&gt;"")*(($D$9:$L$9+INT(($S$12:$AA$12+INDEX($AJ$13:$AR$162,BN1125,0)+INDEX($AT$13:$BB$162,BO1125,0)+INDEX($BD$13:$BL$162,BP1125,0))/100))&gt;=$D$10:$L$10)),0)</f>
        <v/>
      </c>
      <c r="BR1125">
        <f>IF(1112&lt;$U$9,SUMPRODUCT(($D$10:$L$10&lt;&gt;"")*(($D$10:$L$10-($D$9:$L$9+INT(($S$12:$AA$12+INDEX($AJ$13:$AR$162,BN1125,0)+INDEX($AT$13:$BB$162,BO1125,0)+INDEX($BD$13:$BL$162,BP1125,0))/100)))&gt;0)*($D$10:$L$10-($D$9:$L$9+INT(($S$12:$AA$12+INDEX($AJ$13:$AR$162,BN1125,0)+INDEX($AT$13:$BB$162,BO1125,0)+INDEX($BD$13:$BL$162,BP1125,0))/100)))),0)</f>
        <v/>
      </c>
      <c r="BS1125">
        <f>IF(1112&lt;$U$9,SUMPRODUCT(($D$9:$L$9+INT(($S$12:$AA$12+INDEX($AJ$13:$AR$162,BN1125,0)+INDEX($AT$13:$BB$162,BO1125,0)+INDEX($BD$13:$BL$162,BP1125,0))/100))),0)</f>
        <v/>
      </c>
      <c r="BT1125">
        <f>IF(AND(1112&lt;$U$9,$W$5),BQ1125*1000000-MIN(BR1125,999)*1000+BS1125-1112/100000,-1000000000-1112)</f>
        <v/>
      </c>
    </row>
    <row r="1126">
      <c r="BN1126">
        <f>IF(1113&lt;$U$9,INT(1113/($U$7*$U$8))+1,1)</f>
        <v/>
      </c>
      <c r="BO1126">
        <f>IF(1113&lt;$U$9,MOD(INT(1113/$U$8),$U$7)+1,1)</f>
        <v/>
      </c>
      <c r="BP1126">
        <f>IF(1113&lt;$U$9,MOD(1113,$U$8)+1,1)</f>
        <v/>
      </c>
      <c r="BQ1126">
        <f>IF(1113&lt;$U$9,SUMPRODUCT(($D$10:$L$10&lt;&gt;"")*(($D$9:$L$9+INT(($S$12:$AA$12+INDEX($AJ$13:$AR$162,BN1126,0)+INDEX($AT$13:$BB$162,BO1126,0)+INDEX($BD$13:$BL$162,BP1126,0))/100))&gt;=$D$10:$L$10)),0)</f>
        <v/>
      </c>
      <c r="BR1126">
        <f>IF(1113&lt;$U$9,SUMPRODUCT(($D$10:$L$10&lt;&gt;"")*(($D$10:$L$10-($D$9:$L$9+INT(($S$12:$AA$12+INDEX($AJ$13:$AR$162,BN1126,0)+INDEX($AT$13:$BB$162,BO1126,0)+INDEX($BD$13:$BL$162,BP1126,0))/100)))&gt;0)*($D$10:$L$10-($D$9:$L$9+INT(($S$12:$AA$12+INDEX($AJ$13:$AR$162,BN1126,0)+INDEX($AT$13:$BB$162,BO1126,0)+INDEX($BD$13:$BL$162,BP1126,0))/100)))),0)</f>
        <v/>
      </c>
      <c r="BS1126">
        <f>IF(1113&lt;$U$9,SUMPRODUCT(($D$9:$L$9+INT(($S$12:$AA$12+INDEX($AJ$13:$AR$162,BN1126,0)+INDEX($AT$13:$BB$162,BO1126,0)+INDEX($BD$13:$BL$162,BP1126,0))/100))),0)</f>
        <v/>
      </c>
      <c r="BT1126">
        <f>IF(AND(1113&lt;$U$9,$W$5),BQ1126*1000000-MIN(BR1126,999)*1000+BS1126-1113/100000,-1000000000-1113)</f>
        <v/>
      </c>
    </row>
    <row r="1127">
      <c r="BN1127">
        <f>IF(1114&lt;$U$9,INT(1114/($U$7*$U$8))+1,1)</f>
        <v/>
      </c>
      <c r="BO1127">
        <f>IF(1114&lt;$U$9,MOD(INT(1114/$U$8),$U$7)+1,1)</f>
        <v/>
      </c>
      <c r="BP1127">
        <f>IF(1114&lt;$U$9,MOD(1114,$U$8)+1,1)</f>
        <v/>
      </c>
      <c r="BQ1127">
        <f>IF(1114&lt;$U$9,SUMPRODUCT(($D$10:$L$10&lt;&gt;"")*(($D$9:$L$9+INT(($S$12:$AA$12+INDEX($AJ$13:$AR$162,BN1127,0)+INDEX($AT$13:$BB$162,BO1127,0)+INDEX($BD$13:$BL$162,BP1127,0))/100))&gt;=$D$10:$L$10)),0)</f>
        <v/>
      </c>
      <c r="BR1127">
        <f>IF(1114&lt;$U$9,SUMPRODUCT(($D$10:$L$10&lt;&gt;"")*(($D$10:$L$10-($D$9:$L$9+INT(($S$12:$AA$12+INDEX($AJ$13:$AR$162,BN1127,0)+INDEX($AT$13:$BB$162,BO1127,0)+INDEX($BD$13:$BL$162,BP1127,0))/100)))&gt;0)*($D$10:$L$10-($D$9:$L$9+INT(($S$12:$AA$12+INDEX($AJ$13:$AR$162,BN1127,0)+INDEX($AT$13:$BB$162,BO1127,0)+INDEX($BD$13:$BL$162,BP1127,0))/100)))),0)</f>
        <v/>
      </c>
      <c r="BS1127">
        <f>IF(1114&lt;$U$9,SUMPRODUCT(($D$9:$L$9+INT(($S$12:$AA$12+INDEX($AJ$13:$AR$162,BN1127,0)+INDEX($AT$13:$BB$162,BO1127,0)+INDEX($BD$13:$BL$162,BP1127,0))/100))),0)</f>
        <v/>
      </c>
      <c r="BT1127">
        <f>IF(AND(1114&lt;$U$9,$W$5),BQ1127*1000000-MIN(BR1127,999)*1000+BS1127-1114/100000,-1000000000-1114)</f>
        <v/>
      </c>
    </row>
    <row r="1128">
      <c r="BN1128">
        <f>IF(1115&lt;$U$9,INT(1115/($U$7*$U$8))+1,1)</f>
        <v/>
      </c>
      <c r="BO1128">
        <f>IF(1115&lt;$U$9,MOD(INT(1115/$U$8),$U$7)+1,1)</f>
        <v/>
      </c>
      <c r="BP1128">
        <f>IF(1115&lt;$U$9,MOD(1115,$U$8)+1,1)</f>
        <v/>
      </c>
      <c r="BQ1128">
        <f>IF(1115&lt;$U$9,SUMPRODUCT(($D$10:$L$10&lt;&gt;"")*(($D$9:$L$9+INT(($S$12:$AA$12+INDEX($AJ$13:$AR$162,BN1128,0)+INDEX($AT$13:$BB$162,BO1128,0)+INDEX($BD$13:$BL$162,BP1128,0))/100))&gt;=$D$10:$L$10)),0)</f>
        <v/>
      </c>
      <c r="BR1128">
        <f>IF(1115&lt;$U$9,SUMPRODUCT(($D$10:$L$10&lt;&gt;"")*(($D$10:$L$10-($D$9:$L$9+INT(($S$12:$AA$12+INDEX($AJ$13:$AR$162,BN1128,0)+INDEX($AT$13:$BB$162,BO1128,0)+INDEX($BD$13:$BL$162,BP1128,0))/100)))&gt;0)*($D$10:$L$10-($D$9:$L$9+INT(($S$12:$AA$12+INDEX($AJ$13:$AR$162,BN1128,0)+INDEX($AT$13:$BB$162,BO1128,0)+INDEX($BD$13:$BL$162,BP1128,0))/100)))),0)</f>
        <v/>
      </c>
      <c r="BS1128">
        <f>IF(1115&lt;$U$9,SUMPRODUCT(($D$9:$L$9+INT(($S$12:$AA$12+INDEX($AJ$13:$AR$162,BN1128,0)+INDEX($AT$13:$BB$162,BO1128,0)+INDEX($BD$13:$BL$162,BP1128,0))/100))),0)</f>
        <v/>
      </c>
      <c r="BT1128">
        <f>IF(AND(1115&lt;$U$9,$W$5),BQ1128*1000000-MIN(BR1128,999)*1000+BS1128-1115/100000,-1000000000-1115)</f>
        <v/>
      </c>
    </row>
    <row r="1129">
      <c r="BN1129">
        <f>IF(1116&lt;$U$9,INT(1116/($U$7*$U$8))+1,1)</f>
        <v/>
      </c>
      <c r="BO1129">
        <f>IF(1116&lt;$U$9,MOD(INT(1116/$U$8),$U$7)+1,1)</f>
        <v/>
      </c>
      <c r="BP1129">
        <f>IF(1116&lt;$U$9,MOD(1116,$U$8)+1,1)</f>
        <v/>
      </c>
      <c r="BQ1129">
        <f>IF(1116&lt;$U$9,SUMPRODUCT(($D$10:$L$10&lt;&gt;"")*(($D$9:$L$9+INT(($S$12:$AA$12+INDEX($AJ$13:$AR$162,BN1129,0)+INDEX($AT$13:$BB$162,BO1129,0)+INDEX($BD$13:$BL$162,BP1129,0))/100))&gt;=$D$10:$L$10)),0)</f>
        <v/>
      </c>
      <c r="BR1129">
        <f>IF(1116&lt;$U$9,SUMPRODUCT(($D$10:$L$10&lt;&gt;"")*(($D$10:$L$10-($D$9:$L$9+INT(($S$12:$AA$12+INDEX($AJ$13:$AR$162,BN1129,0)+INDEX($AT$13:$BB$162,BO1129,0)+INDEX($BD$13:$BL$162,BP1129,0))/100)))&gt;0)*($D$10:$L$10-($D$9:$L$9+INT(($S$12:$AA$12+INDEX($AJ$13:$AR$162,BN1129,0)+INDEX($AT$13:$BB$162,BO1129,0)+INDEX($BD$13:$BL$162,BP1129,0))/100)))),0)</f>
        <v/>
      </c>
      <c r="BS1129">
        <f>IF(1116&lt;$U$9,SUMPRODUCT(($D$9:$L$9+INT(($S$12:$AA$12+INDEX($AJ$13:$AR$162,BN1129,0)+INDEX($AT$13:$BB$162,BO1129,0)+INDEX($BD$13:$BL$162,BP1129,0))/100))),0)</f>
        <v/>
      </c>
      <c r="BT1129">
        <f>IF(AND(1116&lt;$U$9,$W$5),BQ1129*1000000-MIN(BR1129,999)*1000+BS1129-1116/100000,-1000000000-1116)</f>
        <v/>
      </c>
    </row>
    <row r="1130">
      <c r="BN1130">
        <f>IF(1117&lt;$U$9,INT(1117/($U$7*$U$8))+1,1)</f>
        <v/>
      </c>
      <c r="BO1130">
        <f>IF(1117&lt;$U$9,MOD(INT(1117/$U$8),$U$7)+1,1)</f>
        <v/>
      </c>
      <c r="BP1130">
        <f>IF(1117&lt;$U$9,MOD(1117,$U$8)+1,1)</f>
        <v/>
      </c>
      <c r="BQ1130">
        <f>IF(1117&lt;$U$9,SUMPRODUCT(($D$10:$L$10&lt;&gt;"")*(($D$9:$L$9+INT(($S$12:$AA$12+INDEX($AJ$13:$AR$162,BN1130,0)+INDEX($AT$13:$BB$162,BO1130,0)+INDEX($BD$13:$BL$162,BP1130,0))/100))&gt;=$D$10:$L$10)),0)</f>
        <v/>
      </c>
      <c r="BR1130">
        <f>IF(1117&lt;$U$9,SUMPRODUCT(($D$10:$L$10&lt;&gt;"")*(($D$10:$L$10-($D$9:$L$9+INT(($S$12:$AA$12+INDEX($AJ$13:$AR$162,BN1130,0)+INDEX($AT$13:$BB$162,BO1130,0)+INDEX($BD$13:$BL$162,BP1130,0))/100)))&gt;0)*($D$10:$L$10-($D$9:$L$9+INT(($S$12:$AA$12+INDEX($AJ$13:$AR$162,BN1130,0)+INDEX($AT$13:$BB$162,BO1130,0)+INDEX($BD$13:$BL$162,BP1130,0))/100)))),0)</f>
        <v/>
      </c>
      <c r="BS1130">
        <f>IF(1117&lt;$U$9,SUMPRODUCT(($D$9:$L$9+INT(($S$12:$AA$12+INDEX($AJ$13:$AR$162,BN1130,0)+INDEX($AT$13:$BB$162,BO1130,0)+INDEX($BD$13:$BL$162,BP1130,0))/100))),0)</f>
        <v/>
      </c>
      <c r="BT1130">
        <f>IF(AND(1117&lt;$U$9,$W$5),BQ1130*1000000-MIN(BR1130,999)*1000+BS1130-1117/100000,-1000000000-1117)</f>
        <v/>
      </c>
    </row>
    <row r="1131">
      <c r="BN1131">
        <f>IF(1118&lt;$U$9,INT(1118/($U$7*$U$8))+1,1)</f>
        <v/>
      </c>
      <c r="BO1131">
        <f>IF(1118&lt;$U$9,MOD(INT(1118/$U$8),$U$7)+1,1)</f>
        <v/>
      </c>
      <c r="BP1131">
        <f>IF(1118&lt;$U$9,MOD(1118,$U$8)+1,1)</f>
        <v/>
      </c>
      <c r="BQ1131">
        <f>IF(1118&lt;$U$9,SUMPRODUCT(($D$10:$L$10&lt;&gt;"")*(($D$9:$L$9+INT(($S$12:$AA$12+INDEX($AJ$13:$AR$162,BN1131,0)+INDEX($AT$13:$BB$162,BO1131,0)+INDEX($BD$13:$BL$162,BP1131,0))/100))&gt;=$D$10:$L$10)),0)</f>
        <v/>
      </c>
      <c r="BR1131">
        <f>IF(1118&lt;$U$9,SUMPRODUCT(($D$10:$L$10&lt;&gt;"")*(($D$10:$L$10-($D$9:$L$9+INT(($S$12:$AA$12+INDEX($AJ$13:$AR$162,BN1131,0)+INDEX($AT$13:$BB$162,BO1131,0)+INDEX($BD$13:$BL$162,BP1131,0))/100)))&gt;0)*($D$10:$L$10-($D$9:$L$9+INT(($S$12:$AA$12+INDEX($AJ$13:$AR$162,BN1131,0)+INDEX($AT$13:$BB$162,BO1131,0)+INDEX($BD$13:$BL$162,BP1131,0))/100)))),0)</f>
        <v/>
      </c>
      <c r="BS1131">
        <f>IF(1118&lt;$U$9,SUMPRODUCT(($D$9:$L$9+INT(($S$12:$AA$12+INDEX($AJ$13:$AR$162,BN1131,0)+INDEX($AT$13:$BB$162,BO1131,0)+INDEX($BD$13:$BL$162,BP1131,0))/100))),0)</f>
        <v/>
      </c>
      <c r="BT1131">
        <f>IF(AND(1118&lt;$U$9,$W$5),BQ1131*1000000-MIN(BR1131,999)*1000+BS1131-1118/100000,-1000000000-1118)</f>
        <v/>
      </c>
    </row>
    <row r="1132">
      <c r="BN1132">
        <f>IF(1119&lt;$U$9,INT(1119/($U$7*$U$8))+1,1)</f>
        <v/>
      </c>
      <c r="BO1132">
        <f>IF(1119&lt;$U$9,MOD(INT(1119/$U$8),$U$7)+1,1)</f>
        <v/>
      </c>
      <c r="BP1132">
        <f>IF(1119&lt;$U$9,MOD(1119,$U$8)+1,1)</f>
        <v/>
      </c>
      <c r="BQ1132">
        <f>IF(1119&lt;$U$9,SUMPRODUCT(($D$10:$L$10&lt;&gt;"")*(($D$9:$L$9+INT(($S$12:$AA$12+INDEX($AJ$13:$AR$162,BN1132,0)+INDEX($AT$13:$BB$162,BO1132,0)+INDEX($BD$13:$BL$162,BP1132,0))/100))&gt;=$D$10:$L$10)),0)</f>
        <v/>
      </c>
      <c r="BR1132">
        <f>IF(1119&lt;$U$9,SUMPRODUCT(($D$10:$L$10&lt;&gt;"")*(($D$10:$L$10-($D$9:$L$9+INT(($S$12:$AA$12+INDEX($AJ$13:$AR$162,BN1132,0)+INDEX($AT$13:$BB$162,BO1132,0)+INDEX($BD$13:$BL$162,BP1132,0))/100)))&gt;0)*($D$10:$L$10-($D$9:$L$9+INT(($S$12:$AA$12+INDEX($AJ$13:$AR$162,BN1132,0)+INDEX($AT$13:$BB$162,BO1132,0)+INDEX($BD$13:$BL$162,BP1132,0))/100)))),0)</f>
        <v/>
      </c>
      <c r="BS1132">
        <f>IF(1119&lt;$U$9,SUMPRODUCT(($D$9:$L$9+INT(($S$12:$AA$12+INDEX($AJ$13:$AR$162,BN1132,0)+INDEX($AT$13:$BB$162,BO1132,0)+INDEX($BD$13:$BL$162,BP1132,0))/100))),0)</f>
        <v/>
      </c>
      <c r="BT1132">
        <f>IF(AND(1119&lt;$U$9,$W$5),BQ1132*1000000-MIN(BR1132,999)*1000+BS1132-1119/100000,-1000000000-1119)</f>
        <v/>
      </c>
    </row>
    <row r="1133">
      <c r="BN1133">
        <f>IF(1120&lt;$U$9,INT(1120/($U$7*$U$8))+1,1)</f>
        <v/>
      </c>
      <c r="BO1133">
        <f>IF(1120&lt;$U$9,MOD(INT(1120/$U$8),$U$7)+1,1)</f>
        <v/>
      </c>
      <c r="BP1133">
        <f>IF(1120&lt;$U$9,MOD(1120,$U$8)+1,1)</f>
        <v/>
      </c>
      <c r="BQ1133">
        <f>IF(1120&lt;$U$9,SUMPRODUCT(($D$10:$L$10&lt;&gt;"")*(($D$9:$L$9+INT(($S$12:$AA$12+INDEX($AJ$13:$AR$162,BN1133,0)+INDEX($AT$13:$BB$162,BO1133,0)+INDEX($BD$13:$BL$162,BP1133,0))/100))&gt;=$D$10:$L$10)),0)</f>
        <v/>
      </c>
      <c r="BR1133">
        <f>IF(1120&lt;$U$9,SUMPRODUCT(($D$10:$L$10&lt;&gt;"")*(($D$10:$L$10-($D$9:$L$9+INT(($S$12:$AA$12+INDEX($AJ$13:$AR$162,BN1133,0)+INDEX($AT$13:$BB$162,BO1133,0)+INDEX($BD$13:$BL$162,BP1133,0))/100)))&gt;0)*($D$10:$L$10-($D$9:$L$9+INT(($S$12:$AA$12+INDEX($AJ$13:$AR$162,BN1133,0)+INDEX($AT$13:$BB$162,BO1133,0)+INDEX($BD$13:$BL$162,BP1133,0))/100)))),0)</f>
        <v/>
      </c>
      <c r="BS1133">
        <f>IF(1120&lt;$U$9,SUMPRODUCT(($D$9:$L$9+INT(($S$12:$AA$12+INDEX($AJ$13:$AR$162,BN1133,0)+INDEX($AT$13:$BB$162,BO1133,0)+INDEX($BD$13:$BL$162,BP1133,0))/100))),0)</f>
        <v/>
      </c>
      <c r="BT1133">
        <f>IF(AND(1120&lt;$U$9,$W$5),BQ1133*1000000-MIN(BR1133,999)*1000+BS1133-1120/100000,-1000000000-1120)</f>
        <v/>
      </c>
    </row>
    <row r="1134">
      <c r="BN1134">
        <f>IF(1121&lt;$U$9,INT(1121/($U$7*$U$8))+1,1)</f>
        <v/>
      </c>
      <c r="BO1134">
        <f>IF(1121&lt;$U$9,MOD(INT(1121/$U$8),$U$7)+1,1)</f>
        <v/>
      </c>
      <c r="BP1134">
        <f>IF(1121&lt;$U$9,MOD(1121,$U$8)+1,1)</f>
        <v/>
      </c>
      <c r="BQ1134">
        <f>IF(1121&lt;$U$9,SUMPRODUCT(($D$10:$L$10&lt;&gt;"")*(($D$9:$L$9+INT(($S$12:$AA$12+INDEX($AJ$13:$AR$162,BN1134,0)+INDEX($AT$13:$BB$162,BO1134,0)+INDEX($BD$13:$BL$162,BP1134,0))/100))&gt;=$D$10:$L$10)),0)</f>
        <v/>
      </c>
      <c r="BR1134">
        <f>IF(1121&lt;$U$9,SUMPRODUCT(($D$10:$L$10&lt;&gt;"")*(($D$10:$L$10-($D$9:$L$9+INT(($S$12:$AA$12+INDEX($AJ$13:$AR$162,BN1134,0)+INDEX($AT$13:$BB$162,BO1134,0)+INDEX($BD$13:$BL$162,BP1134,0))/100)))&gt;0)*($D$10:$L$10-($D$9:$L$9+INT(($S$12:$AA$12+INDEX($AJ$13:$AR$162,BN1134,0)+INDEX($AT$13:$BB$162,BO1134,0)+INDEX($BD$13:$BL$162,BP1134,0))/100)))),0)</f>
        <v/>
      </c>
      <c r="BS1134">
        <f>IF(1121&lt;$U$9,SUMPRODUCT(($D$9:$L$9+INT(($S$12:$AA$12+INDEX($AJ$13:$AR$162,BN1134,0)+INDEX($AT$13:$BB$162,BO1134,0)+INDEX($BD$13:$BL$162,BP1134,0))/100))),0)</f>
        <v/>
      </c>
      <c r="BT1134">
        <f>IF(AND(1121&lt;$U$9,$W$5),BQ1134*1000000-MIN(BR1134,999)*1000+BS1134-1121/100000,-1000000000-1121)</f>
        <v/>
      </c>
    </row>
    <row r="1135">
      <c r="BN1135">
        <f>IF(1122&lt;$U$9,INT(1122/($U$7*$U$8))+1,1)</f>
        <v/>
      </c>
      <c r="BO1135">
        <f>IF(1122&lt;$U$9,MOD(INT(1122/$U$8),$U$7)+1,1)</f>
        <v/>
      </c>
      <c r="BP1135">
        <f>IF(1122&lt;$U$9,MOD(1122,$U$8)+1,1)</f>
        <v/>
      </c>
      <c r="BQ1135">
        <f>IF(1122&lt;$U$9,SUMPRODUCT(($D$10:$L$10&lt;&gt;"")*(($D$9:$L$9+INT(($S$12:$AA$12+INDEX($AJ$13:$AR$162,BN1135,0)+INDEX($AT$13:$BB$162,BO1135,0)+INDEX($BD$13:$BL$162,BP1135,0))/100))&gt;=$D$10:$L$10)),0)</f>
        <v/>
      </c>
      <c r="BR1135">
        <f>IF(1122&lt;$U$9,SUMPRODUCT(($D$10:$L$10&lt;&gt;"")*(($D$10:$L$10-($D$9:$L$9+INT(($S$12:$AA$12+INDEX($AJ$13:$AR$162,BN1135,0)+INDEX($AT$13:$BB$162,BO1135,0)+INDEX($BD$13:$BL$162,BP1135,0))/100)))&gt;0)*($D$10:$L$10-($D$9:$L$9+INT(($S$12:$AA$12+INDEX($AJ$13:$AR$162,BN1135,0)+INDEX($AT$13:$BB$162,BO1135,0)+INDEX($BD$13:$BL$162,BP1135,0))/100)))),0)</f>
        <v/>
      </c>
      <c r="BS1135">
        <f>IF(1122&lt;$U$9,SUMPRODUCT(($D$9:$L$9+INT(($S$12:$AA$12+INDEX($AJ$13:$AR$162,BN1135,0)+INDEX($AT$13:$BB$162,BO1135,0)+INDEX($BD$13:$BL$162,BP1135,0))/100))),0)</f>
        <v/>
      </c>
      <c r="BT1135">
        <f>IF(AND(1122&lt;$U$9,$W$5),BQ1135*1000000-MIN(BR1135,999)*1000+BS1135-1122/100000,-1000000000-1122)</f>
        <v/>
      </c>
    </row>
    <row r="1136">
      <c r="BN1136">
        <f>IF(1123&lt;$U$9,INT(1123/($U$7*$U$8))+1,1)</f>
        <v/>
      </c>
      <c r="BO1136">
        <f>IF(1123&lt;$U$9,MOD(INT(1123/$U$8),$U$7)+1,1)</f>
        <v/>
      </c>
      <c r="BP1136">
        <f>IF(1123&lt;$U$9,MOD(1123,$U$8)+1,1)</f>
        <v/>
      </c>
      <c r="BQ1136">
        <f>IF(1123&lt;$U$9,SUMPRODUCT(($D$10:$L$10&lt;&gt;"")*(($D$9:$L$9+INT(($S$12:$AA$12+INDEX($AJ$13:$AR$162,BN1136,0)+INDEX($AT$13:$BB$162,BO1136,0)+INDEX($BD$13:$BL$162,BP1136,0))/100))&gt;=$D$10:$L$10)),0)</f>
        <v/>
      </c>
      <c r="BR1136">
        <f>IF(1123&lt;$U$9,SUMPRODUCT(($D$10:$L$10&lt;&gt;"")*(($D$10:$L$10-($D$9:$L$9+INT(($S$12:$AA$12+INDEX($AJ$13:$AR$162,BN1136,0)+INDEX($AT$13:$BB$162,BO1136,0)+INDEX($BD$13:$BL$162,BP1136,0))/100)))&gt;0)*($D$10:$L$10-($D$9:$L$9+INT(($S$12:$AA$12+INDEX($AJ$13:$AR$162,BN1136,0)+INDEX($AT$13:$BB$162,BO1136,0)+INDEX($BD$13:$BL$162,BP1136,0))/100)))),0)</f>
        <v/>
      </c>
      <c r="BS1136">
        <f>IF(1123&lt;$U$9,SUMPRODUCT(($D$9:$L$9+INT(($S$12:$AA$12+INDEX($AJ$13:$AR$162,BN1136,0)+INDEX($AT$13:$BB$162,BO1136,0)+INDEX($BD$13:$BL$162,BP1136,0))/100))),0)</f>
        <v/>
      </c>
      <c r="BT1136">
        <f>IF(AND(1123&lt;$U$9,$W$5),BQ1136*1000000-MIN(BR1136,999)*1000+BS1136-1123/100000,-1000000000-1123)</f>
        <v/>
      </c>
    </row>
    <row r="1137">
      <c r="BN1137">
        <f>IF(1124&lt;$U$9,INT(1124/($U$7*$U$8))+1,1)</f>
        <v/>
      </c>
      <c r="BO1137">
        <f>IF(1124&lt;$U$9,MOD(INT(1124/$U$8),$U$7)+1,1)</f>
        <v/>
      </c>
      <c r="BP1137">
        <f>IF(1124&lt;$U$9,MOD(1124,$U$8)+1,1)</f>
        <v/>
      </c>
      <c r="BQ1137">
        <f>IF(1124&lt;$U$9,SUMPRODUCT(($D$10:$L$10&lt;&gt;"")*(($D$9:$L$9+INT(($S$12:$AA$12+INDEX($AJ$13:$AR$162,BN1137,0)+INDEX($AT$13:$BB$162,BO1137,0)+INDEX($BD$13:$BL$162,BP1137,0))/100))&gt;=$D$10:$L$10)),0)</f>
        <v/>
      </c>
      <c r="BR1137">
        <f>IF(1124&lt;$U$9,SUMPRODUCT(($D$10:$L$10&lt;&gt;"")*(($D$10:$L$10-($D$9:$L$9+INT(($S$12:$AA$12+INDEX($AJ$13:$AR$162,BN1137,0)+INDEX($AT$13:$BB$162,BO1137,0)+INDEX($BD$13:$BL$162,BP1137,0))/100)))&gt;0)*($D$10:$L$10-($D$9:$L$9+INT(($S$12:$AA$12+INDEX($AJ$13:$AR$162,BN1137,0)+INDEX($AT$13:$BB$162,BO1137,0)+INDEX($BD$13:$BL$162,BP1137,0))/100)))),0)</f>
        <v/>
      </c>
      <c r="BS1137">
        <f>IF(1124&lt;$U$9,SUMPRODUCT(($D$9:$L$9+INT(($S$12:$AA$12+INDEX($AJ$13:$AR$162,BN1137,0)+INDEX($AT$13:$BB$162,BO1137,0)+INDEX($BD$13:$BL$162,BP1137,0))/100))),0)</f>
        <v/>
      </c>
      <c r="BT1137">
        <f>IF(AND(1124&lt;$U$9,$W$5),BQ1137*1000000-MIN(BR1137,999)*1000+BS1137-1124/100000,-1000000000-1124)</f>
        <v/>
      </c>
    </row>
    <row r="1138">
      <c r="BN1138">
        <f>IF(1125&lt;$U$9,INT(1125/($U$7*$U$8))+1,1)</f>
        <v/>
      </c>
      <c r="BO1138">
        <f>IF(1125&lt;$U$9,MOD(INT(1125/$U$8),$U$7)+1,1)</f>
        <v/>
      </c>
      <c r="BP1138">
        <f>IF(1125&lt;$U$9,MOD(1125,$U$8)+1,1)</f>
        <v/>
      </c>
      <c r="BQ1138">
        <f>IF(1125&lt;$U$9,SUMPRODUCT(($D$10:$L$10&lt;&gt;"")*(($D$9:$L$9+INT(($S$12:$AA$12+INDEX($AJ$13:$AR$162,BN1138,0)+INDEX($AT$13:$BB$162,BO1138,0)+INDEX($BD$13:$BL$162,BP1138,0))/100))&gt;=$D$10:$L$10)),0)</f>
        <v/>
      </c>
      <c r="BR1138">
        <f>IF(1125&lt;$U$9,SUMPRODUCT(($D$10:$L$10&lt;&gt;"")*(($D$10:$L$10-($D$9:$L$9+INT(($S$12:$AA$12+INDEX($AJ$13:$AR$162,BN1138,0)+INDEX($AT$13:$BB$162,BO1138,0)+INDEX($BD$13:$BL$162,BP1138,0))/100)))&gt;0)*($D$10:$L$10-($D$9:$L$9+INT(($S$12:$AA$12+INDEX($AJ$13:$AR$162,BN1138,0)+INDEX($AT$13:$BB$162,BO1138,0)+INDEX($BD$13:$BL$162,BP1138,0))/100)))),0)</f>
        <v/>
      </c>
      <c r="BS1138">
        <f>IF(1125&lt;$U$9,SUMPRODUCT(($D$9:$L$9+INT(($S$12:$AA$12+INDEX($AJ$13:$AR$162,BN1138,0)+INDEX($AT$13:$BB$162,BO1138,0)+INDEX($BD$13:$BL$162,BP1138,0))/100))),0)</f>
        <v/>
      </c>
      <c r="BT1138">
        <f>IF(AND(1125&lt;$U$9,$W$5),BQ1138*1000000-MIN(BR1138,999)*1000+BS1138-1125/100000,-1000000000-1125)</f>
        <v/>
      </c>
    </row>
    <row r="1139">
      <c r="BN1139">
        <f>IF(1126&lt;$U$9,INT(1126/($U$7*$U$8))+1,1)</f>
        <v/>
      </c>
      <c r="BO1139">
        <f>IF(1126&lt;$U$9,MOD(INT(1126/$U$8),$U$7)+1,1)</f>
        <v/>
      </c>
      <c r="BP1139">
        <f>IF(1126&lt;$U$9,MOD(1126,$U$8)+1,1)</f>
        <v/>
      </c>
      <c r="BQ1139">
        <f>IF(1126&lt;$U$9,SUMPRODUCT(($D$10:$L$10&lt;&gt;"")*(($D$9:$L$9+INT(($S$12:$AA$12+INDEX($AJ$13:$AR$162,BN1139,0)+INDEX($AT$13:$BB$162,BO1139,0)+INDEX($BD$13:$BL$162,BP1139,0))/100))&gt;=$D$10:$L$10)),0)</f>
        <v/>
      </c>
      <c r="BR1139">
        <f>IF(1126&lt;$U$9,SUMPRODUCT(($D$10:$L$10&lt;&gt;"")*(($D$10:$L$10-($D$9:$L$9+INT(($S$12:$AA$12+INDEX($AJ$13:$AR$162,BN1139,0)+INDEX($AT$13:$BB$162,BO1139,0)+INDEX($BD$13:$BL$162,BP1139,0))/100)))&gt;0)*($D$10:$L$10-($D$9:$L$9+INT(($S$12:$AA$12+INDEX($AJ$13:$AR$162,BN1139,0)+INDEX($AT$13:$BB$162,BO1139,0)+INDEX($BD$13:$BL$162,BP1139,0))/100)))),0)</f>
        <v/>
      </c>
      <c r="BS1139">
        <f>IF(1126&lt;$U$9,SUMPRODUCT(($D$9:$L$9+INT(($S$12:$AA$12+INDEX($AJ$13:$AR$162,BN1139,0)+INDEX($AT$13:$BB$162,BO1139,0)+INDEX($BD$13:$BL$162,BP1139,0))/100))),0)</f>
        <v/>
      </c>
      <c r="BT1139">
        <f>IF(AND(1126&lt;$U$9,$W$5),BQ1139*1000000-MIN(BR1139,999)*1000+BS1139-1126/100000,-1000000000-1126)</f>
        <v/>
      </c>
    </row>
    <row r="1140">
      <c r="BN1140">
        <f>IF(1127&lt;$U$9,INT(1127/($U$7*$U$8))+1,1)</f>
        <v/>
      </c>
      <c r="BO1140">
        <f>IF(1127&lt;$U$9,MOD(INT(1127/$U$8),$U$7)+1,1)</f>
        <v/>
      </c>
      <c r="BP1140">
        <f>IF(1127&lt;$U$9,MOD(1127,$U$8)+1,1)</f>
        <v/>
      </c>
      <c r="BQ1140">
        <f>IF(1127&lt;$U$9,SUMPRODUCT(($D$10:$L$10&lt;&gt;"")*(($D$9:$L$9+INT(($S$12:$AA$12+INDEX($AJ$13:$AR$162,BN1140,0)+INDEX($AT$13:$BB$162,BO1140,0)+INDEX($BD$13:$BL$162,BP1140,0))/100))&gt;=$D$10:$L$10)),0)</f>
        <v/>
      </c>
      <c r="BR1140">
        <f>IF(1127&lt;$U$9,SUMPRODUCT(($D$10:$L$10&lt;&gt;"")*(($D$10:$L$10-($D$9:$L$9+INT(($S$12:$AA$12+INDEX($AJ$13:$AR$162,BN1140,0)+INDEX($AT$13:$BB$162,BO1140,0)+INDEX($BD$13:$BL$162,BP1140,0))/100)))&gt;0)*($D$10:$L$10-($D$9:$L$9+INT(($S$12:$AA$12+INDEX($AJ$13:$AR$162,BN1140,0)+INDEX($AT$13:$BB$162,BO1140,0)+INDEX($BD$13:$BL$162,BP1140,0))/100)))),0)</f>
        <v/>
      </c>
      <c r="BS1140">
        <f>IF(1127&lt;$U$9,SUMPRODUCT(($D$9:$L$9+INT(($S$12:$AA$12+INDEX($AJ$13:$AR$162,BN1140,0)+INDEX($AT$13:$BB$162,BO1140,0)+INDEX($BD$13:$BL$162,BP1140,0))/100))),0)</f>
        <v/>
      </c>
      <c r="BT1140">
        <f>IF(AND(1127&lt;$U$9,$W$5),BQ1140*1000000-MIN(BR1140,999)*1000+BS1140-1127/100000,-1000000000-1127)</f>
        <v/>
      </c>
    </row>
    <row r="1141">
      <c r="BN1141">
        <f>IF(1128&lt;$U$9,INT(1128/($U$7*$U$8))+1,1)</f>
        <v/>
      </c>
      <c r="BO1141">
        <f>IF(1128&lt;$U$9,MOD(INT(1128/$U$8),$U$7)+1,1)</f>
        <v/>
      </c>
      <c r="BP1141">
        <f>IF(1128&lt;$U$9,MOD(1128,$U$8)+1,1)</f>
        <v/>
      </c>
      <c r="BQ1141">
        <f>IF(1128&lt;$U$9,SUMPRODUCT(($D$10:$L$10&lt;&gt;"")*(($D$9:$L$9+INT(($S$12:$AA$12+INDEX($AJ$13:$AR$162,BN1141,0)+INDEX($AT$13:$BB$162,BO1141,0)+INDEX($BD$13:$BL$162,BP1141,0))/100))&gt;=$D$10:$L$10)),0)</f>
        <v/>
      </c>
      <c r="BR1141">
        <f>IF(1128&lt;$U$9,SUMPRODUCT(($D$10:$L$10&lt;&gt;"")*(($D$10:$L$10-($D$9:$L$9+INT(($S$12:$AA$12+INDEX($AJ$13:$AR$162,BN1141,0)+INDEX($AT$13:$BB$162,BO1141,0)+INDEX($BD$13:$BL$162,BP1141,0))/100)))&gt;0)*($D$10:$L$10-($D$9:$L$9+INT(($S$12:$AA$12+INDEX($AJ$13:$AR$162,BN1141,0)+INDEX($AT$13:$BB$162,BO1141,0)+INDEX($BD$13:$BL$162,BP1141,0))/100)))),0)</f>
        <v/>
      </c>
      <c r="BS1141">
        <f>IF(1128&lt;$U$9,SUMPRODUCT(($D$9:$L$9+INT(($S$12:$AA$12+INDEX($AJ$13:$AR$162,BN1141,0)+INDEX($AT$13:$BB$162,BO1141,0)+INDEX($BD$13:$BL$162,BP1141,0))/100))),0)</f>
        <v/>
      </c>
      <c r="BT1141">
        <f>IF(AND(1128&lt;$U$9,$W$5),BQ1141*1000000-MIN(BR1141,999)*1000+BS1141-1128/100000,-1000000000-1128)</f>
        <v/>
      </c>
    </row>
    <row r="1142">
      <c r="BN1142">
        <f>IF(1129&lt;$U$9,INT(1129/($U$7*$U$8))+1,1)</f>
        <v/>
      </c>
      <c r="BO1142">
        <f>IF(1129&lt;$U$9,MOD(INT(1129/$U$8),$U$7)+1,1)</f>
        <v/>
      </c>
      <c r="BP1142">
        <f>IF(1129&lt;$U$9,MOD(1129,$U$8)+1,1)</f>
        <v/>
      </c>
      <c r="BQ1142">
        <f>IF(1129&lt;$U$9,SUMPRODUCT(($D$10:$L$10&lt;&gt;"")*(($D$9:$L$9+INT(($S$12:$AA$12+INDEX($AJ$13:$AR$162,BN1142,0)+INDEX($AT$13:$BB$162,BO1142,0)+INDEX($BD$13:$BL$162,BP1142,0))/100))&gt;=$D$10:$L$10)),0)</f>
        <v/>
      </c>
      <c r="BR1142">
        <f>IF(1129&lt;$U$9,SUMPRODUCT(($D$10:$L$10&lt;&gt;"")*(($D$10:$L$10-($D$9:$L$9+INT(($S$12:$AA$12+INDEX($AJ$13:$AR$162,BN1142,0)+INDEX($AT$13:$BB$162,BO1142,0)+INDEX($BD$13:$BL$162,BP1142,0))/100)))&gt;0)*($D$10:$L$10-($D$9:$L$9+INT(($S$12:$AA$12+INDEX($AJ$13:$AR$162,BN1142,0)+INDEX($AT$13:$BB$162,BO1142,0)+INDEX($BD$13:$BL$162,BP1142,0))/100)))),0)</f>
        <v/>
      </c>
      <c r="BS1142">
        <f>IF(1129&lt;$U$9,SUMPRODUCT(($D$9:$L$9+INT(($S$12:$AA$12+INDEX($AJ$13:$AR$162,BN1142,0)+INDEX($AT$13:$BB$162,BO1142,0)+INDEX($BD$13:$BL$162,BP1142,0))/100))),0)</f>
        <v/>
      </c>
      <c r="BT1142">
        <f>IF(AND(1129&lt;$U$9,$W$5),BQ1142*1000000-MIN(BR1142,999)*1000+BS1142-1129/100000,-1000000000-1129)</f>
        <v/>
      </c>
    </row>
    <row r="1143">
      <c r="BN1143">
        <f>IF(1130&lt;$U$9,INT(1130/($U$7*$U$8))+1,1)</f>
        <v/>
      </c>
      <c r="BO1143">
        <f>IF(1130&lt;$U$9,MOD(INT(1130/$U$8),$U$7)+1,1)</f>
        <v/>
      </c>
      <c r="BP1143">
        <f>IF(1130&lt;$U$9,MOD(1130,$U$8)+1,1)</f>
        <v/>
      </c>
      <c r="BQ1143">
        <f>IF(1130&lt;$U$9,SUMPRODUCT(($D$10:$L$10&lt;&gt;"")*(($D$9:$L$9+INT(($S$12:$AA$12+INDEX($AJ$13:$AR$162,BN1143,0)+INDEX($AT$13:$BB$162,BO1143,0)+INDEX($BD$13:$BL$162,BP1143,0))/100))&gt;=$D$10:$L$10)),0)</f>
        <v/>
      </c>
      <c r="BR1143">
        <f>IF(1130&lt;$U$9,SUMPRODUCT(($D$10:$L$10&lt;&gt;"")*(($D$10:$L$10-($D$9:$L$9+INT(($S$12:$AA$12+INDEX($AJ$13:$AR$162,BN1143,0)+INDEX($AT$13:$BB$162,BO1143,0)+INDEX($BD$13:$BL$162,BP1143,0))/100)))&gt;0)*($D$10:$L$10-($D$9:$L$9+INT(($S$12:$AA$12+INDEX($AJ$13:$AR$162,BN1143,0)+INDEX($AT$13:$BB$162,BO1143,0)+INDEX($BD$13:$BL$162,BP1143,0))/100)))),0)</f>
        <v/>
      </c>
      <c r="BS1143">
        <f>IF(1130&lt;$U$9,SUMPRODUCT(($D$9:$L$9+INT(($S$12:$AA$12+INDEX($AJ$13:$AR$162,BN1143,0)+INDEX($AT$13:$BB$162,BO1143,0)+INDEX($BD$13:$BL$162,BP1143,0))/100))),0)</f>
        <v/>
      </c>
      <c r="BT1143">
        <f>IF(AND(1130&lt;$U$9,$W$5),BQ1143*1000000-MIN(BR1143,999)*1000+BS1143-1130/100000,-1000000000-1130)</f>
        <v/>
      </c>
    </row>
    <row r="1144">
      <c r="BN1144">
        <f>IF(1131&lt;$U$9,INT(1131/($U$7*$U$8))+1,1)</f>
        <v/>
      </c>
      <c r="BO1144">
        <f>IF(1131&lt;$U$9,MOD(INT(1131/$U$8),$U$7)+1,1)</f>
        <v/>
      </c>
      <c r="BP1144">
        <f>IF(1131&lt;$U$9,MOD(1131,$U$8)+1,1)</f>
        <v/>
      </c>
      <c r="BQ1144">
        <f>IF(1131&lt;$U$9,SUMPRODUCT(($D$10:$L$10&lt;&gt;"")*(($D$9:$L$9+INT(($S$12:$AA$12+INDEX($AJ$13:$AR$162,BN1144,0)+INDEX($AT$13:$BB$162,BO1144,0)+INDEX($BD$13:$BL$162,BP1144,0))/100))&gt;=$D$10:$L$10)),0)</f>
        <v/>
      </c>
      <c r="BR1144">
        <f>IF(1131&lt;$U$9,SUMPRODUCT(($D$10:$L$10&lt;&gt;"")*(($D$10:$L$10-($D$9:$L$9+INT(($S$12:$AA$12+INDEX($AJ$13:$AR$162,BN1144,0)+INDEX($AT$13:$BB$162,BO1144,0)+INDEX($BD$13:$BL$162,BP1144,0))/100)))&gt;0)*($D$10:$L$10-($D$9:$L$9+INT(($S$12:$AA$12+INDEX($AJ$13:$AR$162,BN1144,0)+INDEX($AT$13:$BB$162,BO1144,0)+INDEX($BD$13:$BL$162,BP1144,0))/100)))),0)</f>
        <v/>
      </c>
      <c r="BS1144">
        <f>IF(1131&lt;$U$9,SUMPRODUCT(($D$9:$L$9+INT(($S$12:$AA$12+INDEX($AJ$13:$AR$162,BN1144,0)+INDEX($AT$13:$BB$162,BO1144,0)+INDEX($BD$13:$BL$162,BP1144,0))/100))),0)</f>
        <v/>
      </c>
      <c r="BT1144">
        <f>IF(AND(1131&lt;$U$9,$W$5),BQ1144*1000000-MIN(BR1144,999)*1000+BS1144-1131/100000,-1000000000-1131)</f>
        <v/>
      </c>
    </row>
    <row r="1145">
      <c r="BN1145">
        <f>IF(1132&lt;$U$9,INT(1132/($U$7*$U$8))+1,1)</f>
        <v/>
      </c>
      <c r="BO1145">
        <f>IF(1132&lt;$U$9,MOD(INT(1132/$U$8),$U$7)+1,1)</f>
        <v/>
      </c>
      <c r="BP1145">
        <f>IF(1132&lt;$U$9,MOD(1132,$U$8)+1,1)</f>
        <v/>
      </c>
      <c r="BQ1145">
        <f>IF(1132&lt;$U$9,SUMPRODUCT(($D$10:$L$10&lt;&gt;"")*(($D$9:$L$9+INT(($S$12:$AA$12+INDEX($AJ$13:$AR$162,BN1145,0)+INDEX($AT$13:$BB$162,BO1145,0)+INDEX($BD$13:$BL$162,BP1145,0))/100))&gt;=$D$10:$L$10)),0)</f>
        <v/>
      </c>
      <c r="BR1145">
        <f>IF(1132&lt;$U$9,SUMPRODUCT(($D$10:$L$10&lt;&gt;"")*(($D$10:$L$10-($D$9:$L$9+INT(($S$12:$AA$12+INDEX($AJ$13:$AR$162,BN1145,0)+INDEX($AT$13:$BB$162,BO1145,0)+INDEX($BD$13:$BL$162,BP1145,0))/100)))&gt;0)*($D$10:$L$10-($D$9:$L$9+INT(($S$12:$AA$12+INDEX($AJ$13:$AR$162,BN1145,0)+INDEX($AT$13:$BB$162,BO1145,0)+INDEX($BD$13:$BL$162,BP1145,0))/100)))),0)</f>
        <v/>
      </c>
      <c r="BS1145">
        <f>IF(1132&lt;$U$9,SUMPRODUCT(($D$9:$L$9+INT(($S$12:$AA$12+INDEX($AJ$13:$AR$162,BN1145,0)+INDEX($AT$13:$BB$162,BO1145,0)+INDEX($BD$13:$BL$162,BP1145,0))/100))),0)</f>
        <v/>
      </c>
      <c r="BT1145">
        <f>IF(AND(1132&lt;$U$9,$W$5),BQ1145*1000000-MIN(BR1145,999)*1000+BS1145-1132/100000,-1000000000-1132)</f>
        <v/>
      </c>
    </row>
    <row r="1146">
      <c r="BN1146">
        <f>IF(1133&lt;$U$9,INT(1133/($U$7*$U$8))+1,1)</f>
        <v/>
      </c>
      <c r="BO1146">
        <f>IF(1133&lt;$U$9,MOD(INT(1133/$U$8),$U$7)+1,1)</f>
        <v/>
      </c>
      <c r="BP1146">
        <f>IF(1133&lt;$U$9,MOD(1133,$U$8)+1,1)</f>
        <v/>
      </c>
      <c r="BQ1146">
        <f>IF(1133&lt;$U$9,SUMPRODUCT(($D$10:$L$10&lt;&gt;"")*(($D$9:$L$9+INT(($S$12:$AA$12+INDEX($AJ$13:$AR$162,BN1146,0)+INDEX($AT$13:$BB$162,BO1146,0)+INDEX($BD$13:$BL$162,BP1146,0))/100))&gt;=$D$10:$L$10)),0)</f>
        <v/>
      </c>
      <c r="BR1146">
        <f>IF(1133&lt;$U$9,SUMPRODUCT(($D$10:$L$10&lt;&gt;"")*(($D$10:$L$10-($D$9:$L$9+INT(($S$12:$AA$12+INDEX($AJ$13:$AR$162,BN1146,0)+INDEX($AT$13:$BB$162,BO1146,0)+INDEX($BD$13:$BL$162,BP1146,0))/100)))&gt;0)*($D$10:$L$10-($D$9:$L$9+INT(($S$12:$AA$12+INDEX($AJ$13:$AR$162,BN1146,0)+INDEX($AT$13:$BB$162,BO1146,0)+INDEX($BD$13:$BL$162,BP1146,0))/100)))),0)</f>
        <v/>
      </c>
      <c r="BS1146">
        <f>IF(1133&lt;$U$9,SUMPRODUCT(($D$9:$L$9+INT(($S$12:$AA$12+INDEX($AJ$13:$AR$162,BN1146,0)+INDEX($AT$13:$BB$162,BO1146,0)+INDEX($BD$13:$BL$162,BP1146,0))/100))),0)</f>
        <v/>
      </c>
      <c r="BT1146">
        <f>IF(AND(1133&lt;$U$9,$W$5),BQ1146*1000000-MIN(BR1146,999)*1000+BS1146-1133/100000,-1000000000-1133)</f>
        <v/>
      </c>
    </row>
    <row r="1147">
      <c r="BN1147">
        <f>IF(1134&lt;$U$9,INT(1134/($U$7*$U$8))+1,1)</f>
        <v/>
      </c>
      <c r="BO1147">
        <f>IF(1134&lt;$U$9,MOD(INT(1134/$U$8),$U$7)+1,1)</f>
        <v/>
      </c>
      <c r="BP1147">
        <f>IF(1134&lt;$U$9,MOD(1134,$U$8)+1,1)</f>
        <v/>
      </c>
      <c r="BQ1147">
        <f>IF(1134&lt;$U$9,SUMPRODUCT(($D$10:$L$10&lt;&gt;"")*(($D$9:$L$9+INT(($S$12:$AA$12+INDEX($AJ$13:$AR$162,BN1147,0)+INDEX($AT$13:$BB$162,BO1147,0)+INDEX($BD$13:$BL$162,BP1147,0))/100))&gt;=$D$10:$L$10)),0)</f>
        <v/>
      </c>
      <c r="BR1147">
        <f>IF(1134&lt;$U$9,SUMPRODUCT(($D$10:$L$10&lt;&gt;"")*(($D$10:$L$10-($D$9:$L$9+INT(($S$12:$AA$12+INDEX($AJ$13:$AR$162,BN1147,0)+INDEX($AT$13:$BB$162,BO1147,0)+INDEX($BD$13:$BL$162,BP1147,0))/100)))&gt;0)*($D$10:$L$10-($D$9:$L$9+INT(($S$12:$AA$12+INDEX($AJ$13:$AR$162,BN1147,0)+INDEX($AT$13:$BB$162,BO1147,0)+INDEX($BD$13:$BL$162,BP1147,0))/100)))),0)</f>
        <v/>
      </c>
      <c r="BS1147">
        <f>IF(1134&lt;$U$9,SUMPRODUCT(($D$9:$L$9+INT(($S$12:$AA$12+INDEX($AJ$13:$AR$162,BN1147,0)+INDEX($AT$13:$BB$162,BO1147,0)+INDEX($BD$13:$BL$162,BP1147,0))/100))),0)</f>
        <v/>
      </c>
      <c r="BT1147">
        <f>IF(AND(1134&lt;$U$9,$W$5),BQ1147*1000000-MIN(BR1147,999)*1000+BS1147-1134/100000,-1000000000-1134)</f>
        <v/>
      </c>
    </row>
    <row r="1148">
      <c r="BN1148">
        <f>IF(1135&lt;$U$9,INT(1135/($U$7*$U$8))+1,1)</f>
        <v/>
      </c>
      <c r="BO1148">
        <f>IF(1135&lt;$U$9,MOD(INT(1135/$U$8),$U$7)+1,1)</f>
        <v/>
      </c>
      <c r="BP1148">
        <f>IF(1135&lt;$U$9,MOD(1135,$U$8)+1,1)</f>
        <v/>
      </c>
      <c r="BQ1148">
        <f>IF(1135&lt;$U$9,SUMPRODUCT(($D$10:$L$10&lt;&gt;"")*(($D$9:$L$9+INT(($S$12:$AA$12+INDEX($AJ$13:$AR$162,BN1148,0)+INDEX($AT$13:$BB$162,BO1148,0)+INDEX($BD$13:$BL$162,BP1148,0))/100))&gt;=$D$10:$L$10)),0)</f>
        <v/>
      </c>
      <c r="BR1148">
        <f>IF(1135&lt;$U$9,SUMPRODUCT(($D$10:$L$10&lt;&gt;"")*(($D$10:$L$10-($D$9:$L$9+INT(($S$12:$AA$12+INDEX($AJ$13:$AR$162,BN1148,0)+INDEX($AT$13:$BB$162,BO1148,0)+INDEX($BD$13:$BL$162,BP1148,0))/100)))&gt;0)*($D$10:$L$10-($D$9:$L$9+INT(($S$12:$AA$12+INDEX($AJ$13:$AR$162,BN1148,0)+INDEX($AT$13:$BB$162,BO1148,0)+INDEX($BD$13:$BL$162,BP1148,0))/100)))),0)</f>
        <v/>
      </c>
      <c r="BS1148">
        <f>IF(1135&lt;$U$9,SUMPRODUCT(($D$9:$L$9+INT(($S$12:$AA$12+INDEX($AJ$13:$AR$162,BN1148,0)+INDEX($AT$13:$BB$162,BO1148,0)+INDEX($BD$13:$BL$162,BP1148,0))/100))),0)</f>
        <v/>
      </c>
      <c r="BT1148">
        <f>IF(AND(1135&lt;$U$9,$W$5),BQ1148*1000000-MIN(BR1148,999)*1000+BS1148-1135/100000,-1000000000-1135)</f>
        <v/>
      </c>
    </row>
    <row r="1149">
      <c r="BN1149">
        <f>IF(1136&lt;$U$9,INT(1136/($U$7*$U$8))+1,1)</f>
        <v/>
      </c>
      <c r="BO1149">
        <f>IF(1136&lt;$U$9,MOD(INT(1136/$U$8),$U$7)+1,1)</f>
        <v/>
      </c>
      <c r="BP1149">
        <f>IF(1136&lt;$U$9,MOD(1136,$U$8)+1,1)</f>
        <v/>
      </c>
      <c r="BQ1149">
        <f>IF(1136&lt;$U$9,SUMPRODUCT(($D$10:$L$10&lt;&gt;"")*(($D$9:$L$9+INT(($S$12:$AA$12+INDEX($AJ$13:$AR$162,BN1149,0)+INDEX($AT$13:$BB$162,BO1149,0)+INDEX($BD$13:$BL$162,BP1149,0))/100))&gt;=$D$10:$L$10)),0)</f>
        <v/>
      </c>
      <c r="BR1149">
        <f>IF(1136&lt;$U$9,SUMPRODUCT(($D$10:$L$10&lt;&gt;"")*(($D$10:$L$10-($D$9:$L$9+INT(($S$12:$AA$12+INDEX($AJ$13:$AR$162,BN1149,0)+INDEX($AT$13:$BB$162,BO1149,0)+INDEX($BD$13:$BL$162,BP1149,0))/100)))&gt;0)*($D$10:$L$10-($D$9:$L$9+INT(($S$12:$AA$12+INDEX($AJ$13:$AR$162,BN1149,0)+INDEX($AT$13:$BB$162,BO1149,0)+INDEX($BD$13:$BL$162,BP1149,0))/100)))),0)</f>
        <v/>
      </c>
      <c r="BS1149">
        <f>IF(1136&lt;$U$9,SUMPRODUCT(($D$9:$L$9+INT(($S$12:$AA$12+INDEX($AJ$13:$AR$162,BN1149,0)+INDEX($AT$13:$BB$162,BO1149,0)+INDEX($BD$13:$BL$162,BP1149,0))/100))),0)</f>
        <v/>
      </c>
      <c r="BT1149">
        <f>IF(AND(1136&lt;$U$9,$W$5),BQ1149*1000000-MIN(BR1149,999)*1000+BS1149-1136/100000,-1000000000-1136)</f>
        <v/>
      </c>
    </row>
    <row r="1150">
      <c r="BN1150">
        <f>IF(1137&lt;$U$9,INT(1137/($U$7*$U$8))+1,1)</f>
        <v/>
      </c>
      <c r="BO1150">
        <f>IF(1137&lt;$U$9,MOD(INT(1137/$U$8),$U$7)+1,1)</f>
        <v/>
      </c>
      <c r="BP1150">
        <f>IF(1137&lt;$U$9,MOD(1137,$U$8)+1,1)</f>
        <v/>
      </c>
      <c r="BQ1150">
        <f>IF(1137&lt;$U$9,SUMPRODUCT(($D$10:$L$10&lt;&gt;"")*(($D$9:$L$9+INT(($S$12:$AA$12+INDEX($AJ$13:$AR$162,BN1150,0)+INDEX($AT$13:$BB$162,BO1150,0)+INDEX($BD$13:$BL$162,BP1150,0))/100))&gt;=$D$10:$L$10)),0)</f>
        <v/>
      </c>
      <c r="BR1150">
        <f>IF(1137&lt;$U$9,SUMPRODUCT(($D$10:$L$10&lt;&gt;"")*(($D$10:$L$10-($D$9:$L$9+INT(($S$12:$AA$12+INDEX($AJ$13:$AR$162,BN1150,0)+INDEX($AT$13:$BB$162,BO1150,0)+INDEX($BD$13:$BL$162,BP1150,0))/100)))&gt;0)*($D$10:$L$10-($D$9:$L$9+INT(($S$12:$AA$12+INDEX($AJ$13:$AR$162,BN1150,0)+INDEX($AT$13:$BB$162,BO1150,0)+INDEX($BD$13:$BL$162,BP1150,0))/100)))),0)</f>
        <v/>
      </c>
      <c r="BS1150">
        <f>IF(1137&lt;$U$9,SUMPRODUCT(($D$9:$L$9+INT(($S$12:$AA$12+INDEX($AJ$13:$AR$162,BN1150,0)+INDEX($AT$13:$BB$162,BO1150,0)+INDEX($BD$13:$BL$162,BP1150,0))/100))),0)</f>
        <v/>
      </c>
      <c r="BT1150">
        <f>IF(AND(1137&lt;$U$9,$W$5),BQ1150*1000000-MIN(BR1150,999)*1000+BS1150-1137/100000,-1000000000-1137)</f>
        <v/>
      </c>
    </row>
    <row r="1151">
      <c r="BN1151">
        <f>IF(1138&lt;$U$9,INT(1138/($U$7*$U$8))+1,1)</f>
        <v/>
      </c>
      <c r="BO1151">
        <f>IF(1138&lt;$U$9,MOD(INT(1138/$U$8),$U$7)+1,1)</f>
        <v/>
      </c>
      <c r="BP1151">
        <f>IF(1138&lt;$U$9,MOD(1138,$U$8)+1,1)</f>
        <v/>
      </c>
      <c r="BQ1151">
        <f>IF(1138&lt;$U$9,SUMPRODUCT(($D$10:$L$10&lt;&gt;"")*(($D$9:$L$9+INT(($S$12:$AA$12+INDEX($AJ$13:$AR$162,BN1151,0)+INDEX($AT$13:$BB$162,BO1151,0)+INDEX($BD$13:$BL$162,BP1151,0))/100))&gt;=$D$10:$L$10)),0)</f>
        <v/>
      </c>
      <c r="BR1151">
        <f>IF(1138&lt;$U$9,SUMPRODUCT(($D$10:$L$10&lt;&gt;"")*(($D$10:$L$10-($D$9:$L$9+INT(($S$12:$AA$12+INDEX($AJ$13:$AR$162,BN1151,0)+INDEX($AT$13:$BB$162,BO1151,0)+INDEX($BD$13:$BL$162,BP1151,0))/100)))&gt;0)*($D$10:$L$10-($D$9:$L$9+INT(($S$12:$AA$12+INDEX($AJ$13:$AR$162,BN1151,0)+INDEX($AT$13:$BB$162,BO1151,0)+INDEX($BD$13:$BL$162,BP1151,0))/100)))),0)</f>
        <v/>
      </c>
      <c r="BS1151">
        <f>IF(1138&lt;$U$9,SUMPRODUCT(($D$9:$L$9+INT(($S$12:$AA$12+INDEX($AJ$13:$AR$162,BN1151,0)+INDEX($AT$13:$BB$162,BO1151,0)+INDEX($BD$13:$BL$162,BP1151,0))/100))),0)</f>
        <v/>
      </c>
      <c r="BT1151">
        <f>IF(AND(1138&lt;$U$9,$W$5),BQ1151*1000000-MIN(BR1151,999)*1000+BS1151-1138/100000,-1000000000-1138)</f>
        <v/>
      </c>
    </row>
    <row r="1152">
      <c r="BN1152">
        <f>IF(1139&lt;$U$9,INT(1139/($U$7*$U$8))+1,1)</f>
        <v/>
      </c>
      <c r="BO1152">
        <f>IF(1139&lt;$U$9,MOD(INT(1139/$U$8),$U$7)+1,1)</f>
        <v/>
      </c>
      <c r="BP1152">
        <f>IF(1139&lt;$U$9,MOD(1139,$U$8)+1,1)</f>
        <v/>
      </c>
      <c r="BQ1152">
        <f>IF(1139&lt;$U$9,SUMPRODUCT(($D$10:$L$10&lt;&gt;"")*(($D$9:$L$9+INT(($S$12:$AA$12+INDEX($AJ$13:$AR$162,BN1152,0)+INDEX($AT$13:$BB$162,BO1152,0)+INDEX($BD$13:$BL$162,BP1152,0))/100))&gt;=$D$10:$L$10)),0)</f>
        <v/>
      </c>
      <c r="BR1152">
        <f>IF(1139&lt;$U$9,SUMPRODUCT(($D$10:$L$10&lt;&gt;"")*(($D$10:$L$10-($D$9:$L$9+INT(($S$12:$AA$12+INDEX($AJ$13:$AR$162,BN1152,0)+INDEX($AT$13:$BB$162,BO1152,0)+INDEX($BD$13:$BL$162,BP1152,0))/100)))&gt;0)*($D$10:$L$10-($D$9:$L$9+INT(($S$12:$AA$12+INDEX($AJ$13:$AR$162,BN1152,0)+INDEX($AT$13:$BB$162,BO1152,0)+INDEX($BD$13:$BL$162,BP1152,0))/100)))),0)</f>
        <v/>
      </c>
      <c r="BS1152">
        <f>IF(1139&lt;$U$9,SUMPRODUCT(($D$9:$L$9+INT(($S$12:$AA$12+INDEX($AJ$13:$AR$162,BN1152,0)+INDEX($AT$13:$BB$162,BO1152,0)+INDEX($BD$13:$BL$162,BP1152,0))/100))),0)</f>
        <v/>
      </c>
      <c r="BT1152">
        <f>IF(AND(1139&lt;$U$9,$W$5),BQ1152*1000000-MIN(BR1152,999)*1000+BS1152-1139/100000,-1000000000-1139)</f>
        <v/>
      </c>
    </row>
    <row r="1153">
      <c r="BN1153">
        <f>IF(1140&lt;$U$9,INT(1140/($U$7*$U$8))+1,1)</f>
        <v/>
      </c>
      <c r="BO1153">
        <f>IF(1140&lt;$U$9,MOD(INT(1140/$U$8),$U$7)+1,1)</f>
        <v/>
      </c>
      <c r="BP1153">
        <f>IF(1140&lt;$U$9,MOD(1140,$U$8)+1,1)</f>
        <v/>
      </c>
      <c r="BQ1153">
        <f>IF(1140&lt;$U$9,SUMPRODUCT(($D$10:$L$10&lt;&gt;"")*(($D$9:$L$9+INT(($S$12:$AA$12+INDEX($AJ$13:$AR$162,BN1153,0)+INDEX($AT$13:$BB$162,BO1153,0)+INDEX($BD$13:$BL$162,BP1153,0))/100))&gt;=$D$10:$L$10)),0)</f>
        <v/>
      </c>
      <c r="BR1153">
        <f>IF(1140&lt;$U$9,SUMPRODUCT(($D$10:$L$10&lt;&gt;"")*(($D$10:$L$10-($D$9:$L$9+INT(($S$12:$AA$12+INDEX($AJ$13:$AR$162,BN1153,0)+INDEX($AT$13:$BB$162,BO1153,0)+INDEX($BD$13:$BL$162,BP1153,0))/100)))&gt;0)*($D$10:$L$10-($D$9:$L$9+INT(($S$12:$AA$12+INDEX($AJ$13:$AR$162,BN1153,0)+INDEX($AT$13:$BB$162,BO1153,0)+INDEX($BD$13:$BL$162,BP1153,0))/100)))),0)</f>
        <v/>
      </c>
      <c r="BS1153">
        <f>IF(1140&lt;$U$9,SUMPRODUCT(($D$9:$L$9+INT(($S$12:$AA$12+INDEX($AJ$13:$AR$162,BN1153,0)+INDEX($AT$13:$BB$162,BO1153,0)+INDEX($BD$13:$BL$162,BP1153,0))/100))),0)</f>
        <v/>
      </c>
      <c r="BT1153">
        <f>IF(AND(1140&lt;$U$9,$W$5),BQ1153*1000000-MIN(BR1153,999)*1000+BS1153-1140/100000,-1000000000-1140)</f>
        <v/>
      </c>
    </row>
    <row r="1154">
      <c r="BN1154">
        <f>IF(1141&lt;$U$9,INT(1141/($U$7*$U$8))+1,1)</f>
        <v/>
      </c>
      <c r="BO1154">
        <f>IF(1141&lt;$U$9,MOD(INT(1141/$U$8),$U$7)+1,1)</f>
        <v/>
      </c>
      <c r="BP1154">
        <f>IF(1141&lt;$U$9,MOD(1141,$U$8)+1,1)</f>
        <v/>
      </c>
      <c r="BQ1154">
        <f>IF(1141&lt;$U$9,SUMPRODUCT(($D$10:$L$10&lt;&gt;"")*(($D$9:$L$9+INT(($S$12:$AA$12+INDEX($AJ$13:$AR$162,BN1154,0)+INDEX($AT$13:$BB$162,BO1154,0)+INDEX($BD$13:$BL$162,BP1154,0))/100))&gt;=$D$10:$L$10)),0)</f>
        <v/>
      </c>
      <c r="BR1154">
        <f>IF(1141&lt;$U$9,SUMPRODUCT(($D$10:$L$10&lt;&gt;"")*(($D$10:$L$10-($D$9:$L$9+INT(($S$12:$AA$12+INDEX($AJ$13:$AR$162,BN1154,0)+INDEX($AT$13:$BB$162,BO1154,0)+INDEX($BD$13:$BL$162,BP1154,0))/100)))&gt;0)*($D$10:$L$10-($D$9:$L$9+INT(($S$12:$AA$12+INDEX($AJ$13:$AR$162,BN1154,0)+INDEX($AT$13:$BB$162,BO1154,0)+INDEX($BD$13:$BL$162,BP1154,0))/100)))),0)</f>
        <v/>
      </c>
      <c r="BS1154">
        <f>IF(1141&lt;$U$9,SUMPRODUCT(($D$9:$L$9+INT(($S$12:$AA$12+INDEX($AJ$13:$AR$162,BN1154,0)+INDEX($AT$13:$BB$162,BO1154,0)+INDEX($BD$13:$BL$162,BP1154,0))/100))),0)</f>
        <v/>
      </c>
      <c r="BT1154">
        <f>IF(AND(1141&lt;$U$9,$W$5),BQ1154*1000000-MIN(BR1154,999)*1000+BS1154-1141/100000,-1000000000-1141)</f>
        <v/>
      </c>
    </row>
    <row r="1155">
      <c r="BN1155">
        <f>IF(1142&lt;$U$9,INT(1142/($U$7*$U$8))+1,1)</f>
        <v/>
      </c>
      <c r="BO1155">
        <f>IF(1142&lt;$U$9,MOD(INT(1142/$U$8),$U$7)+1,1)</f>
        <v/>
      </c>
      <c r="BP1155">
        <f>IF(1142&lt;$U$9,MOD(1142,$U$8)+1,1)</f>
        <v/>
      </c>
      <c r="BQ1155">
        <f>IF(1142&lt;$U$9,SUMPRODUCT(($D$10:$L$10&lt;&gt;"")*(($D$9:$L$9+INT(($S$12:$AA$12+INDEX($AJ$13:$AR$162,BN1155,0)+INDEX($AT$13:$BB$162,BO1155,0)+INDEX($BD$13:$BL$162,BP1155,0))/100))&gt;=$D$10:$L$10)),0)</f>
        <v/>
      </c>
      <c r="BR1155">
        <f>IF(1142&lt;$U$9,SUMPRODUCT(($D$10:$L$10&lt;&gt;"")*(($D$10:$L$10-($D$9:$L$9+INT(($S$12:$AA$12+INDEX($AJ$13:$AR$162,BN1155,0)+INDEX($AT$13:$BB$162,BO1155,0)+INDEX($BD$13:$BL$162,BP1155,0))/100)))&gt;0)*($D$10:$L$10-($D$9:$L$9+INT(($S$12:$AA$12+INDEX($AJ$13:$AR$162,BN1155,0)+INDEX($AT$13:$BB$162,BO1155,0)+INDEX($BD$13:$BL$162,BP1155,0))/100)))),0)</f>
        <v/>
      </c>
      <c r="BS1155">
        <f>IF(1142&lt;$U$9,SUMPRODUCT(($D$9:$L$9+INT(($S$12:$AA$12+INDEX($AJ$13:$AR$162,BN1155,0)+INDEX($AT$13:$BB$162,BO1155,0)+INDEX($BD$13:$BL$162,BP1155,0))/100))),0)</f>
        <v/>
      </c>
      <c r="BT1155">
        <f>IF(AND(1142&lt;$U$9,$W$5),BQ1155*1000000-MIN(BR1155,999)*1000+BS1155-1142/100000,-1000000000-1142)</f>
        <v/>
      </c>
    </row>
    <row r="1156">
      <c r="BN1156">
        <f>IF(1143&lt;$U$9,INT(1143/($U$7*$U$8))+1,1)</f>
        <v/>
      </c>
      <c r="BO1156">
        <f>IF(1143&lt;$U$9,MOD(INT(1143/$U$8),$U$7)+1,1)</f>
        <v/>
      </c>
      <c r="BP1156">
        <f>IF(1143&lt;$U$9,MOD(1143,$U$8)+1,1)</f>
        <v/>
      </c>
      <c r="BQ1156">
        <f>IF(1143&lt;$U$9,SUMPRODUCT(($D$10:$L$10&lt;&gt;"")*(($D$9:$L$9+INT(($S$12:$AA$12+INDEX($AJ$13:$AR$162,BN1156,0)+INDEX($AT$13:$BB$162,BO1156,0)+INDEX($BD$13:$BL$162,BP1156,0))/100))&gt;=$D$10:$L$10)),0)</f>
        <v/>
      </c>
      <c r="BR1156">
        <f>IF(1143&lt;$U$9,SUMPRODUCT(($D$10:$L$10&lt;&gt;"")*(($D$10:$L$10-($D$9:$L$9+INT(($S$12:$AA$12+INDEX($AJ$13:$AR$162,BN1156,0)+INDEX($AT$13:$BB$162,BO1156,0)+INDEX($BD$13:$BL$162,BP1156,0))/100)))&gt;0)*($D$10:$L$10-($D$9:$L$9+INT(($S$12:$AA$12+INDEX($AJ$13:$AR$162,BN1156,0)+INDEX($AT$13:$BB$162,BO1156,0)+INDEX($BD$13:$BL$162,BP1156,0))/100)))),0)</f>
        <v/>
      </c>
      <c r="BS1156">
        <f>IF(1143&lt;$U$9,SUMPRODUCT(($D$9:$L$9+INT(($S$12:$AA$12+INDEX($AJ$13:$AR$162,BN1156,0)+INDEX($AT$13:$BB$162,BO1156,0)+INDEX($BD$13:$BL$162,BP1156,0))/100))),0)</f>
        <v/>
      </c>
      <c r="BT1156">
        <f>IF(AND(1143&lt;$U$9,$W$5),BQ1156*1000000-MIN(BR1156,999)*1000+BS1156-1143/100000,-1000000000-1143)</f>
        <v/>
      </c>
    </row>
    <row r="1157">
      <c r="BN1157">
        <f>IF(1144&lt;$U$9,INT(1144/($U$7*$U$8))+1,1)</f>
        <v/>
      </c>
      <c r="BO1157">
        <f>IF(1144&lt;$U$9,MOD(INT(1144/$U$8),$U$7)+1,1)</f>
        <v/>
      </c>
      <c r="BP1157">
        <f>IF(1144&lt;$U$9,MOD(1144,$U$8)+1,1)</f>
        <v/>
      </c>
      <c r="BQ1157">
        <f>IF(1144&lt;$U$9,SUMPRODUCT(($D$10:$L$10&lt;&gt;"")*(($D$9:$L$9+INT(($S$12:$AA$12+INDEX($AJ$13:$AR$162,BN1157,0)+INDEX($AT$13:$BB$162,BO1157,0)+INDEX($BD$13:$BL$162,BP1157,0))/100))&gt;=$D$10:$L$10)),0)</f>
        <v/>
      </c>
      <c r="BR1157">
        <f>IF(1144&lt;$U$9,SUMPRODUCT(($D$10:$L$10&lt;&gt;"")*(($D$10:$L$10-($D$9:$L$9+INT(($S$12:$AA$12+INDEX($AJ$13:$AR$162,BN1157,0)+INDEX($AT$13:$BB$162,BO1157,0)+INDEX($BD$13:$BL$162,BP1157,0))/100)))&gt;0)*($D$10:$L$10-($D$9:$L$9+INT(($S$12:$AA$12+INDEX($AJ$13:$AR$162,BN1157,0)+INDEX($AT$13:$BB$162,BO1157,0)+INDEX($BD$13:$BL$162,BP1157,0))/100)))),0)</f>
        <v/>
      </c>
      <c r="BS1157">
        <f>IF(1144&lt;$U$9,SUMPRODUCT(($D$9:$L$9+INT(($S$12:$AA$12+INDEX($AJ$13:$AR$162,BN1157,0)+INDEX($AT$13:$BB$162,BO1157,0)+INDEX($BD$13:$BL$162,BP1157,0))/100))),0)</f>
        <v/>
      </c>
      <c r="BT1157">
        <f>IF(AND(1144&lt;$U$9,$W$5),BQ1157*1000000-MIN(BR1157,999)*1000+BS1157-1144/100000,-1000000000-1144)</f>
        <v/>
      </c>
    </row>
    <row r="1158">
      <c r="BN1158">
        <f>IF(1145&lt;$U$9,INT(1145/($U$7*$U$8))+1,1)</f>
        <v/>
      </c>
      <c r="BO1158">
        <f>IF(1145&lt;$U$9,MOD(INT(1145/$U$8),$U$7)+1,1)</f>
        <v/>
      </c>
      <c r="BP1158">
        <f>IF(1145&lt;$U$9,MOD(1145,$U$8)+1,1)</f>
        <v/>
      </c>
      <c r="BQ1158">
        <f>IF(1145&lt;$U$9,SUMPRODUCT(($D$10:$L$10&lt;&gt;"")*(($D$9:$L$9+INT(($S$12:$AA$12+INDEX($AJ$13:$AR$162,BN1158,0)+INDEX($AT$13:$BB$162,BO1158,0)+INDEX($BD$13:$BL$162,BP1158,0))/100))&gt;=$D$10:$L$10)),0)</f>
        <v/>
      </c>
      <c r="BR1158">
        <f>IF(1145&lt;$U$9,SUMPRODUCT(($D$10:$L$10&lt;&gt;"")*(($D$10:$L$10-($D$9:$L$9+INT(($S$12:$AA$12+INDEX($AJ$13:$AR$162,BN1158,0)+INDEX($AT$13:$BB$162,BO1158,0)+INDEX($BD$13:$BL$162,BP1158,0))/100)))&gt;0)*($D$10:$L$10-($D$9:$L$9+INT(($S$12:$AA$12+INDEX($AJ$13:$AR$162,BN1158,0)+INDEX($AT$13:$BB$162,BO1158,0)+INDEX($BD$13:$BL$162,BP1158,0))/100)))),0)</f>
        <v/>
      </c>
      <c r="BS1158">
        <f>IF(1145&lt;$U$9,SUMPRODUCT(($D$9:$L$9+INT(($S$12:$AA$12+INDEX($AJ$13:$AR$162,BN1158,0)+INDEX($AT$13:$BB$162,BO1158,0)+INDEX($BD$13:$BL$162,BP1158,0))/100))),0)</f>
        <v/>
      </c>
      <c r="BT1158">
        <f>IF(AND(1145&lt;$U$9,$W$5),BQ1158*1000000-MIN(BR1158,999)*1000+BS1158-1145/100000,-1000000000-1145)</f>
        <v/>
      </c>
    </row>
    <row r="1159">
      <c r="BN1159">
        <f>IF(1146&lt;$U$9,INT(1146/($U$7*$U$8))+1,1)</f>
        <v/>
      </c>
      <c r="BO1159">
        <f>IF(1146&lt;$U$9,MOD(INT(1146/$U$8),$U$7)+1,1)</f>
        <v/>
      </c>
      <c r="BP1159">
        <f>IF(1146&lt;$U$9,MOD(1146,$U$8)+1,1)</f>
        <v/>
      </c>
      <c r="BQ1159">
        <f>IF(1146&lt;$U$9,SUMPRODUCT(($D$10:$L$10&lt;&gt;"")*(($D$9:$L$9+INT(($S$12:$AA$12+INDEX($AJ$13:$AR$162,BN1159,0)+INDEX($AT$13:$BB$162,BO1159,0)+INDEX($BD$13:$BL$162,BP1159,0))/100))&gt;=$D$10:$L$10)),0)</f>
        <v/>
      </c>
      <c r="BR1159">
        <f>IF(1146&lt;$U$9,SUMPRODUCT(($D$10:$L$10&lt;&gt;"")*(($D$10:$L$10-($D$9:$L$9+INT(($S$12:$AA$12+INDEX($AJ$13:$AR$162,BN1159,0)+INDEX($AT$13:$BB$162,BO1159,0)+INDEX($BD$13:$BL$162,BP1159,0))/100)))&gt;0)*($D$10:$L$10-($D$9:$L$9+INT(($S$12:$AA$12+INDEX($AJ$13:$AR$162,BN1159,0)+INDEX($AT$13:$BB$162,BO1159,0)+INDEX($BD$13:$BL$162,BP1159,0))/100)))),0)</f>
        <v/>
      </c>
      <c r="BS1159">
        <f>IF(1146&lt;$U$9,SUMPRODUCT(($D$9:$L$9+INT(($S$12:$AA$12+INDEX($AJ$13:$AR$162,BN1159,0)+INDEX($AT$13:$BB$162,BO1159,0)+INDEX($BD$13:$BL$162,BP1159,0))/100))),0)</f>
        <v/>
      </c>
      <c r="BT1159">
        <f>IF(AND(1146&lt;$U$9,$W$5),BQ1159*1000000-MIN(BR1159,999)*1000+BS1159-1146/100000,-1000000000-1146)</f>
        <v/>
      </c>
    </row>
    <row r="1160">
      <c r="BN1160">
        <f>IF(1147&lt;$U$9,INT(1147/($U$7*$U$8))+1,1)</f>
        <v/>
      </c>
      <c r="BO1160">
        <f>IF(1147&lt;$U$9,MOD(INT(1147/$U$8),$U$7)+1,1)</f>
        <v/>
      </c>
      <c r="BP1160">
        <f>IF(1147&lt;$U$9,MOD(1147,$U$8)+1,1)</f>
        <v/>
      </c>
      <c r="BQ1160">
        <f>IF(1147&lt;$U$9,SUMPRODUCT(($D$10:$L$10&lt;&gt;"")*(($D$9:$L$9+INT(($S$12:$AA$12+INDEX($AJ$13:$AR$162,BN1160,0)+INDEX($AT$13:$BB$162,BO1160,0)+INDEX($BD$13:$BL$162,BP1160,0))/100))&gt;=$D$10:$L$10)),0)</f>
        <v/>
      </c>
      <c r="BR1160">
        <f>IF(1147&lt;$U$9,SUMPRODUCT(($D$10:$L$10&lt;&gt;"")*(($D$10:$L$10-($D$9:$L$9+INT(($S$12:$AA$12+INDEX($AJ$13:$AR$162,BN1160,0)+INDEX($AT$13:$BB$162,BO1160,0)+INDEX($BD$13:$BL$162,BP1160,0))/100)))&gt;0)*($D$10:$L$10-($D$9:$L$9+INT(($S$12:$AA$12+INDEX($AJ$13:$AR$162,BN1160,0)+INDEX($AT$13:$BB$162,BO1160,0)+INDEX($BD$13:$BL$162,BP1160,0))/100)))),0)</f>
        <v/>
      </c>
      <c r="BS1160">
        <f>IF(1147&lt;$U$9,SUMPRODUCT(($D$9:$L$9+INT(($S$12:$AA$12+INDEX($AJ$13:$AR$162,BN1160,0)+INDEX($AT$13:$BB$162,BO1160,0)+INDEX($BD$13:$BL$162,BP1160,0))/100))),0)</f>
        <v/>
      </c>
      <c r="BT1160">
        <f>IF(AND(1147&lt;$U$9,$W$5),BQ1160*1000000-MIN(BR1160,999)*1000+BS1160-1147/100000,-1000000000-1147)</f>
        <v/>
      </c>
    </row>
    <row r="1161">
      <c r="BN1161">
        <f>IF(1148&lt;$U$9,INT(1148/($U$7*$U$8))+1,1)</f>
        <v/>
      </c>
      <c r="BO1161">
        <f>IF(1148&lt;$U$9,MOD(INT(1148/$U$8),$U$7)+1,1)</f>
        <v/>
      </c>
      <c r="BP1161">
        <f>IF(1148&lt;$U$9,MOD(1148,$U$8)+1,1)</f>
        <v/>
      </c>
      <c r="BQ1161">
        <f>IF(1148&lt;$U$9,SUMPRODUCT(($D$10:$L$10&lt;&gt;"")*(($D$9:$L$9+INT(($S$12:$AA$12+INDEX($AJ$13:$AR$162,BN1161,0)+INDEX($AT$13:$BB$162,BO1161,0)+INDEX($BD$13:$BL$162,BP1161,0))/100))&gt;=$D$10:$L$10)),0)</f>
        <v/>
      </c>
      <c r="BR1161">
        <f>IF(1148&lt;$U$9,SUMPRODUCT(($D$10:$L$10&lt;&gt;"")*(($D$10:$L$10-($D$9:$L$9+INT(($S$12:$AA$12+INDEX($AJ$13:$AR$162,BN1161,0)+INDEX($AT$13:$BB$162,BO1161,0)+INDEX($BD$13:$BL$162,BP1161,0))/100)))&gt;0)*($D$10:$L$10-($D$9:$L$9+INT(($S$12:$AA$12+INDEX($AJ$13:$AR$162,BN1161,0)+INDEX($AT$13:$BB$162,BO1161,0)+INDEX($BD$13:$BL$162,BP1161,0))/100)))),0)</f>
        <v/>
      </c>
      <c r="BS1161">
        <f>IF(1148&lt;$U$9,SUMPRODUCT(($D$9:$L$9+INT(($S$12:$AA$12+INDEX($AJ$13:$AR$162,BN1161,0)+INDEX($AT$13:$BB$162,BO1161,0)+INDEX($BD$13:$BL$162,BP1161,0))/100))),0)</f>
        <v/>
      </c>
      <c r="BT1161">
        <f>IF(AND(1148&lt;$U$9,$W$5),BQ1161*1000000-MIN(BR1161,999)*1000+BS1161-1148/100000,-1000000000-1148)</f>
        <v/>
      </c>
    </row>
    <row r="1162">
      <c r="BN1162">
        <f>IF(1149&lt;$U$9,INT(1149/($U$7*$U$8))+1,1)</f>
        <v/>
      </c>
      <c r="BO1162">
        <f>IF(1149&lt;$U$9,MOD(INT(1149/$U$8),$U$7)+1,1)</f>
        <v/>
      </c>
      <c r="BP1162">
        <f>IF(1149&lt;$U$9,MOD(1149,$U$8)+1,1)</f>
        <v/>
      </c>
      <c r="BQ1162">
        <f>IF(1149&lt;$U$9,SUMPRODUCT(($D$10:$L$10&lt;&gt;"")*(($D$9:$L$9+INT(($S$12:$AA$12+INDEX($AJ$13:$AR$162,BN1162,0)+INDEX($AT$13:$BB$162,BO1162,0)+INDEX($BD$13:$BL$162,BP1162,0))/100))&gt;=$D$10:$L$10)),0)</f>
        <v/>
      </c>
      <c r="BR1162">
        <f>IF(1149&lt;$U$9,SUMPRODUCT(($D$10:$L$10&lt;&gt;"")*(($D$10:$L$10-($D$9:$L$9+INT(($S$12:$AA$12+INDEX($AJ$13:$AR$162,BN1162,0)+INDEX($AT$13:$BB$162,BO1162,0)+INDEX($BD$13:$BL$162,BP1162,0))/100)))&gt;0)*($D$10:$L$10-($D$9:$L$9+INT(($S$12:$AA$12+INDEX($AJ$13:$AR$162,BN1162,0)+INDEX($AT$13:$BB$162,BO1162,0)+INDEX($BD$13:$BL$162,BP1162,0))/100)))),0)</f>
        <v/>
      </c>
      <c r="BS1162">
        <f>IF(1149&lt;$U$9,SUMPRODUCT(($D$9:$L$9+INT(($S$12:$AA$12+INDEX($AJ$13:$AR$162,BN1162,0)+INDEX($AT$13:$BB$162,BO1162,0)+INDEX($BD$13:$BL$162,BP1162,0))/100))),0)</f>
        <v/>
      </c>
      <c r="BT1162">
        <f>IF(AND(1149&lt;$U$9,$W$5),BQ1162*1000000-MIN(BR1162,999)*1000+BS1162-1149/100000,-1000000000-1149)</f>
        <v/>
      </c>
    </row>
    <row r="1163">
      <c r="BN1163">
        <f>IF(1150&lt;$U$9,INT(1150/($U$7*$U$8))+1,1)</f>
        <v/>
      </c>
      <c r="BO1163">
        <f>IF(1150&lt;$U$9,MOD(INT(1150/$U$8),$U$7)+1,1)</f>
        <v/>
      </c>
      <c r="BP1163">
        <f>IF(1150&lt;$U$9,MOD(1150,$U$8)+1,1)</f>
        <v/>
      </c>
      <c r="BQ1163">
        <f>IF(1150&lt;$U$9,SUMPRODUCT(($D$10:$L$10&lt;&gt;"")*(($D$9:$L$9+INT(($S$12:$AA$12+INDEX($AJ$13:$AR$162,BN1163,0)+INDEX($AT$13:$BB$162,BO1163,0)+INDEX($BD$13:$BL$162,BP1163,0))/100))&gt;=$D$10:$L$10)),0)</f>
        <v/>
      </c>
      <c r="BR1163">
        <f>IF(1150&lt;$U$9,SUMPRODUCT(($D$10:$L$10&lt;&gt;"")*(($D$10:$L$10-($D$9:$L$9+INT(($S$12:$AA$12+INDEX($AJ$13:$AR$162,BN1163,0)+INDEX($AT$13:$BB$162,BO1163,0)+INDEX($BD$13:$BL$162,BP1163,0))/100)))&gt;0)*($D$10:$L$10-($D$9:$L$9+INT(($S$12:$AA$12+INDEX($AJ$13:$AR$162,BN1163,0)+INDEX($AT$13:$BB$162,BO1163,0)+INDEX($BD$13:$BL$162,BP1163,0))/100)))),0)</f>
        <v/>
      </c>
      <c r="BS1163">
        <f>IF(1150&lt;$U$9,SUMPRODUCT(($D$9:$L$9+INT(($S$12:$AA$12+INDEX($AJ$13:$AR$162,BN1163,0)+INDEX($AT$13:$BB$162,BO1163,0)+INDEX($BD$13:$BL$162,BP1163,0))/100))),0)</f>
        <v/>
      </c>
      <c r="BT1163">
        <f>IF(AND(1150&lt;$U$9,$W$5),BQ1163*1000000-MIN(BR1163,999)*1000+BS1163-1150/100000,-1000000000-1150)</f>
        <v/>
      </c>
    </row>
    <row r="1164">
      <c r="BN1164">
        <f>IF(1151&lt;$U$9,INT(1151/($U$7*$U$8))+1,1)</f>
        <v/>
      </c>
      <c r="BO1164">
        <f>IF(1151&lt;$U$9,MOD(INT(1151/$U$8),$U$7)+1,1)</f>
        <v/>
      </c>
      <c r="BP1164">
        <f>IF(1151&lt;$U$9,MOD(1151,$U$8)+1,1)</f>
        <v/>
      </c>
      <c r="BQ1164">
        <f>IF(1151&lt;$U$9,SUMPRODUCT(($D$10:$L$10&lt;&gt;"")*(($D$9:$L$9+INT(($S$12:$AA$12+INDEX($AJ$13:$AR$162,BN1164,0)+INDEX($AT$13:$BB$162,BO1164,0)+INDEX($BD$13:$BL$162,BP1164,0))/100))&gt;=$D$10:$L$10)),0)</f>
        <v/>
      </c>
      <c r="BR1164">
        <f>IF(1151&lt;$U$9,SUMPRODUCT(($D$10:$L$10&lt;&gt;"")*(($D$10:$L$10-($D$9:$L$9+INT(($S$12:$AA$12+INDEX($AJ$13:$AR$162,BN1164,0)+INDEX($AT$13:$BB$162,BO1164,0)+INDEX($BD$13:$BL$162,BP1164,0))/100)))&gt;0)*($D$10:$L$10-($D$9:$L$9+INT(($S$12:$AA$12+INDEX($AJ$13:$AR$162,BN1164,0)+INDEX($AT$13:$BB$162,BO1164,0)+INDEX($BD$13:$BL$162,BP1164,0))/100)))),0)</f>
        <v/>
      </c>
      <c r="BS1164">
        <f>IF(1151&lt;$U$9,SUMPRODUCT(($D$9:$L$9+INT(($S$12:$AA$12+INDEX($AJ$13:$AR$162,BN1164,0)+INDEX($AT$13:$BB$162,BO1164,0)+INDEX($BD$13:$BL$162,BP1164,0))/100))),0)</f>
        <v/>
      </c>
      <c r="BT1164">
        <f>IF(AND(1151&lt;$U$9,$W$5),BQ1164*1000000-MIN(BR1164,999)*1000+BS1164-1151/100000,-1000000000-1151)</f>
        <v/>
      </c>
    </row>
    <row r="1165">
      <c r="BN1165">
        <f>IF(1152&lt;$U$9,INT(1152/($U$7*$U$8))+1,1)</f>
        <v/>
      </c>
      <c r="BO1165">
        <f>IF(1152&lt;$U$9,MOD(INT(1152/$U$8),$U$7)+1,1)</f>
        <v/>
      </c>
      <c r="BP1165">
        <f>IF(1152&lt;$U$9,MOD(1152,$U$8)+1,1)</f>
        <v/>
      </c>
      <c r="BQ1165">
        <f>IF(1152&lt;$U$9,SUMPRODUCT(($D$10:$L$10&lt;&gt;"")*(($D$9:$L$9+INT(($S$12:$AA$12+INDEX($AJ$13:$AR$162,BN1165,0)+INDEX($AT$13:$BB$162,BO1165,0)+INDEX($BD$13:$BL$162,BP1165,0))/100))&gt;=$D$10:$L$10)),0)</f>
        <v/>
      </c>
      <c r="BR1165">
        <f>IF(1152&lt;$U$9,SUMPRODUCT(($D$10:$L$10&lt;&gt;"")*(($D$10:$L$10-($D$9:$L$9+INT(($S$12:$AA$12+INDEX($AJ$13:$AR$162,BN1165,0)+INDEX($AT$13:$BB$162,BO1165,0)+INDEX($BD$13:$BL$162,BP1165,0))/100)))&gt;0)*($D$10:$L$10-($D$9:$L$9+INT(($S$12:$AA$12+INDEX($AJ$13:$AR$162,BN1165,0)+INDEX($AT$13:$BB$162,BO1165,0)+INDEX($BD$13:$BL$162,BP1165,0))/100)))),0)</f>
        <v/>
      </c>
      <c r="BS1165">
        <f>IF(1152&lt;$U$9,SUMPRODUCT(($D$9:$L$9+INT(($S$12:$AA$12+INDEX($AJ$13:$AR$162,BN1165,0)+INDEX($AT$13:$BB$162,BO1165,0)+INDEX($BD$13:$BL$162,BP1165,0))/100))),0)</f>
        <v/>
      </c>
      <c r="BT1165">
        <f>IF(AND(1152&lt;$U$9,$W$5),BQ1165*1000000-MIN(BR1165,999)*1000+BS1165-1152/100000,-1000000000-1152)</f>
        <v/>
      </c>
    </row>
    <row r="1166">
      <c r="BN1166">
        <f>IF(1153&lt;$U$9,INT(1153/($U$7*$U$8))+1,1)</f>
        <v/>
      </c>
      <c r="BO1166">
        <f>IF(1153&lt;$U$9,MOD(INT(1153/$U$8),$U$7)+1,1)</f>
        <v/>
      </c>
      <c r="BP1166">
        <f>IF(1153&lt;$U$9,MOD(1153,$U$8)+1,1)</f>
        <v/>
      </c>
      <c r="BQ1166">
        <f>IF(1153&lt;$U$9,SUMPRODUCT(($D$10:$L$10&lt;&gt;"")*(($D$9:$L$9+INT(($S$12:$AA$12+INDEX($AJ$13:$AR$162,BN1166,0)+INDEX($AT$13:$BB$162,BO1166,0)+INDEX($BD$13:$BL$162,BP1166,0))/100))&gt;=$D$10:$L$10)),0)</f>
        <v/>
      </c>
      <c r="BR1166">
        <f>IF(1153&lt;$U$9,SUMPRODUCT(($D$10:$L$10&lt;&gt;"")*(($D$10:$L$10-($D$9:$L$9+INT(($S$12:$AA$12+INDEX($AJ$13:$AR$162,BN1166,0)+INDEX($AT$13:$BB$162,BO1166,0)+INDEX($BD$13:$BL$162,BP1166,0))/100)))&gt;0)*($D$10:$L$10-($D$9:$L$9+INT(($S$12:$AA$12+INDEX($AJ$13:$AR$162,BN1166,0)+INDEX($AT$13:$BB$162,BO1166,0)+INDEX($BD$13:$BL$162,BP1166,0))/100)))),0)</f>
        <v/>
      </c>
      <c r="BS1166">
        <f>IF(1153&lt;$U$9,SUMPRODUCT(($D$9:$L$9+INT(($S$12:$AA$12+INDEX($AJ$13:$AR$162,BN1166,0)+INDEX($AT$13:$BB$162,BO1166,0)+INDEX($BD$13:$BL$162,BP1166,0))/100))),0)</f>
        <v/>
      </c>
      <c r="BT1166">
        <f>IF(AND(1153&lt;$U$9,$W$5),BQ1166*1000000-MIN(BR1166,999)*1000+BS1166-1153/100000,-1000000000-1153)</f>
        <v/>
      </c>
    </row>
    <row r="1167">
      <c r="BN1167">
        <f>IF(1154&lt;$U$9,INT(1154/($U$7*$U$8))+1,1)</f>
        <v/>
      </c>
      <c r="BO1167">
        <f>IF(1154&lt;$U$9,MOD(INT(1154/$U$8),$U$7)+1,1)</f>
        <v/>
      </c>
      <c r="BP1167">
        <f>IF(1154&lt;$U$9,MOD(1154,$U$8)+1,1)</f>
        <v/>
      </c>
      <c r="BQ1167">
        <f>IF(1154&lt;$U$9,SUMPRODUCT(($D$10:$L$10&lt;&gt;"")*(($D$9:$L$9+INT(($S$12:$AA$12+INDEX($AJ$13:$AR$162,BN1167,0)+INDEX($AT$13:$BB$162,BO1167,0)+INDEX($BD$13:$BL$162,BP1167,0))/100))&gt;=$D$10:$L$10)),0)</f>
        <v/>
      </c>
      <c r="BR1167">
        <f>IF(1154&lt;$U$9,SUMPRODUCT(($D$10:$L$10&lt;&gt;"")*(($D$10:$L$10-($D$9:$L$9+INT(($S$12:$AA$12+INDEX($AJ$13:$AR$162,BN1167,0)+INDEX($AT$13:$BB$162,BO1167,0)+INDEX($BD$13:$BL$162,BP1167,0))/100)))&gt;0)*($D$10:$L$10-($D$9:$L$9+INT(($S$12:$AA$12+INDEX($AJ$13:$AR$162,BN1167,0)+INDEX($AT$13:$BB$162,BO1167,0)+INDEX($BD$13:$BL$162,BP1167,0))/100)))),0)</f>
        <v/>
      </c>
      <c r="BS1167">
        <f>IF(1154&lt;$U$9,SUMPRODUCT(($D$9:$L$9+INT(($S$12:$AA$12+INDEX($AJ$13:$AR$162,BN1167,0)+INDEX($AT$13:$BB$162,BO1167,0)+INDEX($BD$13:$BL$162,BP1167,0))/100))),0)</f>
        <v/>
      </c>
      <c r="BT1167">
        <f>IF(AND(1154&lt;$U$9,$W$5),BQ1167*1000000-MIN(BR1167,999)*1000+BS1167-1154/100000,-1000000000-1154)</f>
        <v/>
      </c>
    </row>
    <row r="1168">
      <c r="BN1168">
        <f>IF(1155&lt;$U$9,INT(1155/($U$7*$U$8))+1,1)</f>
        <v/>
      </c>
      <c r="BO1168">
        <f>IF(1155&lt;$U$9,MOD(INT(1155/$U$8),$U$7)+1,1)</f>
        <v/>
      </c>
      <c r="BP1168">
        <f>IF(1155&lt;$U$9,MOD(1155,$U$8)+1,1)</f>
        <v/>
      </c>
      <c r="BQ1168">
        <f>IF(1155&lt;$U$9,SUMPRODUCT(($D$10:$L$10&lt;&gt;"")*(($D$9:$L$9+INT(($S$12:$AA$12+INDEX($AJ$13:$AR$162,BN1168,0)+INDEX($AT$13:$BB$162,BO1168,0)+INDEX($BD$13:$BL$162,BP1168,0))/100))&gt;=$D$10:$L$10)),0)</f>
        <v/>
      </c>
      <c r="BR1168">
        <f>IF(1155&lt;$U$9,SUMPRODUCT(($D$10:$L$10&lt;&gt;"")*(($D$10:$L$10-($D$9:$L$9+INT(($S$12:$AA$12+INDEX($AJ$13:$AR$162,BN1168,0)+INDEX($AT$13:$BB$162,BO1168,0)+INDEX($BD$13:$BL$162,BP1168,0))/100)))&gt;0)*($D$10:$L$10-($D$9:$L$9+INT(($S$12:$AA$12+INDEX($AJ$13:$AR$162,BN1168,0)+INDEX($AT$13:$BB$162,BO1168,0)+INDEX($BD$13:$BL$162,BP1168,0))/100)))),0)</f>
        <v/>
      </c>
      <c r="BS1168">
        <f>IF(1155&lt;$U$9,SUMPRODUCT(($D$9:$L$9+INT(($S$12:$AA$12+INDEX($AJ$13:$AR$162,BN1168,0)+INDEX($AT$13:$BB$162,BO1168,0)+INDEX($BD$13:$BL$162,BP1168,0))/100))),0)</f>
        <v/>
      </c>
      <c r="BT1168">
        <f>IF(AND(1155&lt;$U$9,$W$5),BQ1168*1000000-MIN(BR1168,999)*1000+BS1168-1155/100000,-1000000000-1155)</f>
        <v/>
      </c>
    </row>
    <row r="1169">
      <c r="BN1169">
        <f>IF(1156&lt;$U$9,INT(1156/($U$7*$U$8))+1,1)</f>
        <v/>
      </c>
      <c r="BO1169">
        <f>IF(1156&lt;$U$9,MOD(INT(1156/$U$8),$U$7)+1,1)</f>
        <v/>
      </c>
      <c r="BP1169">
        <f>IF(1156&lt;$U$9,MOD(1156,$U$8)+1,1)</f>
        <v/>
      </c>
      <c r="BQ1169">
        <f>IF(1156&lt;$U$9,SUMPRODUCT(($D$10:$L$10&lt;&gt;"")*(($D$9:$L$9+INT(($S$12:$AA$12+INDEX($AJ$13:$AR$162,BN1169,0)+INDEX($AT$13:$BB$162,BO1169,0)+INDEX($BD$13:$BL$162,BP1169,0))/100))&gt;=$D$10:$L$10)),0)</f>
        <v/>
      </c>
      <c r="BR1169">
        <f>IF(1156&lt;$U$9,SUMPRODUCT(($D$10:$L$10&lt;&gt;"")*(($D$10:$L$10-($D$9:$L$9+INT(($S$12:$AA$12+INDEX($AJ$13:$AR$162,BN1169,0)+INDEX($AT$13:$BB$162,BO1169,0)+INDEX($BD$13:$BL$162,BP1169,0))/100)))&gt;0)*($D$10:$L$10-($D$9:$L$9+INT(($S$12:$AA$12+INDEX($AJ$13:$AR$162,BN1169,0)+INDEX($AT$13:$BB$162,BO1169,0)+INDEX($BD$13:$BL$162,BP1169,0))/100)))),0)</f>
        <v/>
      </c>
      <c r="BS1169">
        <f>IF(1156&lt;$U$9,SUMPRODUCT(($D$9:$L$9+INT(($S$12:$AA$12+INDEX($AJ$13:$AR$162,BN1169,0)+INDEX($AT$13:$BB$162,BO1169,0)+INDEX($BD$13:$BL$162,BP1169,0))/100))),0)</f>
        <v/>
      </c>
      <c r="BT1169">
        <f>IF(AND(1156&lt;$U$9,$W$5),BQ1169*1000000-MIN(BR1169,999)*1000+BS1169-1156/100000,-1000000000-1156)</f>
        <v/>
      </c>
    </row>
    <row r="1170">
      <c r="BN1170">
        <f>IF(1157&lt;$U$9,INT(1157/($U$7*$U$8))+1,1)</f>
        <v/>
      </c>
      <c r="BO1170">
        <f>IF(1157&lt;$U$9,MOD(INT(1157/$U$8),$U$7)+1,1)</f>
        <v/>
      </c>
      <c r="BP1170">
        <f>IF(1157&lt;$U$9,MOD(1157,$U$8)+1,1)</f>
        <v/>
      </c>
      <c r="BQ1170">
        <f>IF(1157&lt;$U$9,SUMPRODUCT(($D$10:$L$10&lt;&gt;"")*(($D$9:$L$9+INT(($S$12:$AA$12+INDEX($AJ$13:$AR$162,BN1170,0)+INDEX($AT$13:$BB$162,BO1170,0)+INDEX($BD$13:$BL$162,BP1170,0))/100))&gt;=$D$10:$L$10)),0)</f>
        <v/>
      </c>
      <c r="BR1170">
        <f>IF(1157&lt;$U$9,SUMPRODUCT(($D$10:$L$10&lt;&gt;"")*(($D$10:$L$10-($D$9:$L$9+INT(($S$12:$AA$12+INDEX($AJ$13:$AR$162,BN1170,0)+INDEX($AT$13:$BB$162,BO1170,0)+INDEX($BD$13:$BL$162,BP1170,0))/100)))&gt;0)*($D$10:$L$10-($D$9:$L$9+INT(($S$12:$AA$12+INDEX($AJ$13:$AR$162,BN1170,0)+INDEX($AT$13:$BB$162,BO1170,0)+INDEX($BD$13:$BL$162,BP1170,0))/100)))),0)</f>
        <v/>
      </c>
      <c r="BS1170">
        <f>IF(1157&lt;$U$9,SUMPRODUCT(($D$9:$L$9+INT(($S$12:$AA$12+INDEX($AJ$13:$AR$162,BN1170,0)+INDEX($AT$13:$BB$162,BO1170,0)+INDEX($BD$13:$BL$162,BP1170,0))/100))),0)</f>
        <v/>
      </c>
      <c r="BT1170">
        <f>IF(AND(1157&lt;$U$9,$W$5),BQ1170*1000000-MIN(BR1170,999)*1000+BS1170-1157/100000,-1000000000-1157)</f>
        <v/>
      </c>
    </row>
    <row r="1171">
      <c r="BN1171">
        <f>IF(1158&lt;$U$9,INT(1158/($U$7*$U$8))+1,1)</f>
        <v/>
      </c>
      <c r="BO1171">
        <f>IF(1158&lt;$U$9,MOD(INT(1158/$U$8),$U$7)+1,1)</f>
        <v/>
      </c>
      <c r="BP1171">
        <f>IF(1158&lt;$U$9,MOD(1158,$U$8)+1,1)</f>
        <v/>
      </c>
      <c r="BQ1171">
        <f>IF(1158&lt;$U$9,SUMPRODUCT(($D$10:$L$10&lt;&gt;"")*(($D$9:$L$9+INT(($S$12:$AA$12+INDEX($AJ$13:$AR$162,BN1171,0)+INDEX($AT$13:$BB$162,BO1171,0)+INDEX($BD$13:$BL$162,BP1171,0))/100))&gt;=$D$10:$L$10)),0)</f>
        <v/>
      </c>
      <c r="BR1171">
        <f>IF(1158&lt;$U$9,SUMPRODUCT(($D$10:$L$10&lt;&gt;"")*(($D$10:$L$10-($D$9:$L$9+INT(($S$12:$AA$12+INDEX($AJ$13:$AR$162,BN1171,0)+INDEX($AT$13:$BB$162,BO1171,0)+INDEX($BD$13:$BL$162,BP1171,0))/100)))&gt;0)*($D$10:$L$10-($D$9:$L$9+INT(($S$12:$AA$12+INDEX($AJ$13:$AR$162,BN1171,0)+INDEX($AT$13:$BB$162,BO1171,0)+INDEX($BD$13:$BL$162,BP1171,0))/100)))),0)</f>
        <v/>
      </c>
      <c r="BS1171">
        <f>IF(1158&lt;$U$9,SUMPRODUCT(($D$9:$L$9+INT(($S$12:$AA$12+INDEX($AJ$13:$AR$162,BN1171,0)+INDEX($AT$13:$BB$162,BO1171,0)+INDEX($BD$13:$BL$162,BP1171,0))/100))),0)</f>
        <v/>
      </c>
      <c r="BT1171">
        <f>IF(AND(1158&lt;$U$9,$W$5),BQ1171*1000000-MIN(BR1171,999)*1000+BS1171-1158/100000,-1000000000-1158)</f>
        <v/>
      </c>
    </row>
    <row r="1172">
      <c r="BN1172">
        <f>IF(1159&lt;$U$9,INT(1159/($U$7*$U$8))+1,1)</f>
        <v/>
      </c>
      <c r="BO1172">
        <f>IF(1159&lt;$U$9,MOD(INT(1159/$U$8),$U$7)+1,1)</f>
        <v/>
      </c>
      <c r="BP1172">
        <f>IF(1159&lt;$U$9,MOD(1159,$U$8)+1,1)</f>
        <v/>
      </c>
      <c r="BQ1172">
        <f>IF(1159&lt;$U$9,SUMPRODUCT(($D$10:$L$10&lt;&gt;"")*(($D$9:$L$9+INT(($S$12:$AA$12+INDEX($AJ$13:$AR$162,BN1172,0)+INDEX($AT$13:$BB$162,BO1172,0)+INDEX($BD$13:$BL$162,BP1172,0))/100))&gt;=$D$10:$L$10)),0)</f>
        <v/>
      </c>
      <c r="BR1172">
        <f>IF(1159&lt;$U$9,SUMPRODUCT(($D$10:$L$10&lt;&gt;"")*(($D$10:$L$10-($D$9:$L$9+INT(($S$12:$AA$12+INDEX($AJ$13:$AR$162,BN1172,0)+INDEX($AT$13:$BB$162,BO1172,0)+INDEX($BD$13:$BL$162,BP1172,0))/100)))&gt;0)*($D$10:$L$10-($D$9:$L$9+INT(($S$12:$AA$12+INDEX($AJ$13:$AR$162,BN1172,0)+INDEX($AT$13:$BB$162,BO1172,0)+INDEX($BD$13:$BL$162,BP1172,0))/100)))),0)</f>
        <v/>
      </c>
      <c r="BS1172">
        <f>IF(1159&lt;$U$9,SUMPRODUCT(($D$9:$L$9+INT(($S$12:$AA$12+INDEX($AJ$13:$AR$162,BN1172,0)+INDEX($AT$13:$BB$162,BO1172,0)+INDEX($BD$13:$BL$162,BP1172,0))/100))),0)</f>
        <v/>
      </c>
      <c r="BT1172">
        <f>IF(AND(1159&lt;$U$9,$W$5),BQ1172*1000000-MIN(BR1172,999)*1000+BS1172-1159/100000,-1000000000-1159)</f>
        <v/>
      </c>
    </row>
    <row r="1173">
      <c r="BN1173">
        <f>IF(1160&lt;$U$9,INT(1160/($U$7*$U$8))+1,1)</f>
        <v/>
      </c>
      <c r="BO1173">
        <f>IF(1160&lt;$U$9,MOD(INT(1160/$U$8),$U$7)+1,1)</f>
        <v/>
      </c>
      <c r="BP1173">
        <f>IF(1160&lt;$U$9,MOD(1160,$U$8)+1,1)</f>
        <v/>
      </c>
      <c r="BQ1173">
        <f>IF(1160&lt;$U$9,SUMPRODUCT(($D$10:$L$10&lt;&gt;"")*(($D$9:$L$9+INT(($S$12:$AA$12+INDEX($AJ$13:$AR$162,BN1173,0)+INDEX($AT$13:$BB$162,BO1173,0)+INDEX($BD$13:$BL$162,BP1173,0))/100))&gt;=$D$10:$L$10)),0)</f>
        <v/>
      </c>
      <c r="BR1173">
        <f>IF(1160&lt;$U$9,SUMPRODUCT(($D$10:$L$10&lt;&gt;"")*(($D$10:$L$10-($D$9:$L$9+INT(($S$12:$AA$12+INDEX($AJ$13:$AR$162,BN1173,0)+INDEX($AT$13:$BB$162,BO1173,0)+INDEX($BD$13:$BL$162,BP1173,0))/100)))&gt;0)*($D$10:$L$10-($D$9:$L$9+INT(($S$12:$AA$12+INDEX($AJ$13:$AR$162,BN1173,0)+INDEX($AT$13:$BB$162,BO1173,0)+INDEX($BD$13:$BL$162,BP1173,0))/100)))),0)</f>
        <v/>
      </c>
      <c r="BS1173">
        <f>IF(1160&lt;$U$9,SUMPRODUCT(($D$9:$L$9+INT(($S$12:$AA$12+INDEX($AJ$13:$AR$162,BN1173,0)+INDEX($AT$13:$BB$162,BO1173,0)+INDEX($BD$13:$BL$162,BP1173,0))/100))),0)</f>
        <v/>
      </c>
      <c r="BT1173">
        <f>IF(AND(1160&lt;$U$9,$W$5),BQ1173*1000000-MIN(BR1173,999)*1000+BS1173-1160/100000,-1000000000-1160)</f>
        <v/>
      </c>
    </row>
    <row r="1174">
      <c r="BN1174">
        <f>IF(1161&lt;$U$9,INT(1161/($U$7*$U$8))+1,1)</f>
        <v/>
      </c>
      <c r="BO1174">
        <f>IF(1161&lt;$U$9,MOD(INT(1161/$U$8),$U$7)+1,1)</f>
        <v/>
      </c>
      <c r="BP1174">
        <f>IF(1161&lt;$U$9,MOD(1161,$U$8)+1,1)</f>
        <v/>
      </c>
      <c r="BQ1174">
        <f>IF(1161&lt;$U$9,SUMPRODUCT(($D$10:$L$10&lt;&gt;"")*(($D$9:$L$9+INT(($S$12:$AA$12+INDEX($AJ$13:$AR$162,BN1174,0)+INDEX($AT$13:$BB$162,BO1174,0)+INDEX($BD$13:$BL$162,BP1174,0))/100))&gt;=$D$10:$L$10)),0)</f>
        <v/>
      </c>
      <c r="BR1174">
        <f>IF(1161&lt;$U$9,SUMPRODUCT(($D$10:$L$10&lt;&gt;"")*(($D$10:$L$10-($D$9:$L$9+INT(($S$12:$AA$12+INDEX($AJ$13:$AR$162,BN1174,0)+INDEX($AT$13:$BB$162,BO1174,0)+INDEX($BD$13:$BL$162,BP1174,0))/100)))&gt;0)*($D$10:$L$10-($D$9:$L$9+INT(($S$12:$AA$12+INDEX($AJ$13:$AR$162,BN1174,0)+INDEX($AT$13:$BB$162,BO1174,0)+INDEX($BD$13:$BL$162,BP1174,0))/100)))),0)</f>
        <v/>
      </c>
      <c r="BS1174">
        <f>IF(1161&lt;$U$9,SUMPRODUCT(($D$9:$L$9+INT(($S$12:$AA$12+INDEX($AJ$13:$AR$162,BN1174,0)+INDEX($AT$13:$BB$162,BO1174,0)+INDEX($BD$13:$BL$162,BP1174,0))/100))),0)</f>
        <v/>
      </c>
      <c r="BT1174">
        <f>IF(AND(1161&lt;$U$9,$W$5),BQ1174*1000000-MIN(BR1174,999)*1000+BS1174-1161/100000,-1000000000-1161)</f>
        <v/>
      </c>
    </row>
    <row r="1175">
      <c r="BN1175">
        <f>IF(1162&lt;$U$9,INT(1162/($U$7*$U$8))+1,1)</f>
        <v/>
      </c>
      <c r="BO1175">
        <f>IF(1162&lt;$U$9,MOD(INT(1162/$U$8),$U$7)+1,1)</f>
        <v/>
      </c>
      <c r="BP1175">
        <f>IF(1162&lt;$U$9,MOD(1162,$U$8)+1,1)</f>
        <v/>
      </c>
      <c r="BQ1175">
        <f>IF(1162&lt;$U$9,SUMPRODUCT(($D$10:$L$10&lt;&gt;"")*(($D$9:$L$9+INT(($S$12:$AA$12+INDEX($AJ$13:$AR$162,BN1175,0)+INDEX($AT$13:$BB$162,BO1175,0)+INDEX($BD$13:$BL$162,BP1175,0))/100))&gt;=$D$10:$L$10)),0)</f>
        <v/>
      </c>
      <c r="BR1175">
        <f>IF(1162&lt;$U$9,SUMPRODUCT(($D$10:$L$10&lt;&gt;"")*(($D$10:$L$10-($D$9:$L$9+INT(($S$12:$AA$12+INDEX($AJ$13:$AR$162,BN1175,0)+INDEX($AT$13:$BB$162,BO1175,0)+INDEX($BD$13:$BL$162,BP1175,0))/100)))&gt;0)*($D$10:$L$10-($D$9:$L$9+INT(($S$12:$AA$12+INDEX($AJ$13:$AR$162,BN1175,0)+INDEX($AT$13:$BB$162,BO1175,0)+INDEX($BD$13:$BL$162,BP1175,0))/100)))),0)</f>
        <v/>
      </c>
      <c r="BS1175">
        <f>IF(1162&lt;$U$9,SUMPRODUCT(($D$9:$L$9+INT(($S$12:$AA$12+INDEX($AJ$13:$AR$162,BN1175,0)+INDEX($AT$13:$BB$162,BO1175,0)+INDEX($BD$13:$BL$162,BP1175,0))/100))),0)</f>
        <v/>
      </c>
      <c r="BT1175">
        <f>IF(AND(1162&lt;$U$9,$W$5),BQ1175*1000000-MIN(BR1175,999)*1000+BS1175-1162/100000,-1000000000-1162)</f>
        <v/>
      </c>
    </row>
    <row r="1176">
      <c r="BN1176">
        <f>IF(1163&lt;$U$9,INT(1163/($U$7*$U$8))+1,1)</f>
        <v/>
      </c>
      <c r="BO1176">
        <f>IF(1163&lt;$U$9,MOD(INT(1163/$U$8),$U$7)+1,1)</f>
        <v/>
      </c>
      <c r="BP1176">
        <f>IF(1163&lt;$U$9,MOD(1163,$U$8)+1,1)</f>
        <v/>
      </c>
      <c r="BQ1176">
        <f>IF(1163&lt;$U$9,SUMPRODUCT(($D$10:$L$10&lt;&gt;"")*(($D$9:$L$9+INT(($S$12:$AA$12+INDEX($AJ$13:$AR$162,BN1176,0)+INDEX($AT$13:$BB$162,BO1176,0)+INDEX($BD$13:$BL$162,BP1176,0))/100))&gt;=$D$10:$L$10)),0)</f>
        <v/>
      </c>
      <c r="BR1176">
        <f>IF(1163&lt;$U$9,SUMPRODUCT(($D$10:$L$10&lt;&gt;"")*(($D$10:$L$10-($D$9:$L$9+INT(($S$12:$AA$12+INDEX($AJ$13:$AR$162,BN1176,0)+INDEX($AT$13:$BB$162,BO1176,0)+INDEX($BD$13:$BL$162,BP1176,0))/100)))&gt;0)*($D$10:$L$10-($D$9:$L$9+INT(($S$12:$AA$12+INDEX($AJ$13:$AR$162,BN1176,0)+INDEX($AT$13:$BB$162,BO1176,0)+INDEX($BD$13:$BL$162,BP1176,0))/100)))),0)</f>
        <v/>
      </c>
      <c r="BS1176">
        <f>IF(1163&lt;$U$9,SUMPRODUCT(($D$9:$L$9+INT(($S$12:$AA$12+INDEX($AJ$13:$AR$162,BN1176,0)+INDEX($AT$13:$BB$162,BO1176,0)+INDEX($BD$13:$BL$162,BP1176,0))/100))),0)</f>
        <v/>
      </c>
      <c r="BT1176">
        <f>IF(AND(1163&lt;$U$9,$W$5),BQ1176*1000000-MIN(BR1176,999)*1000+BS1176-1163/100000,-1000000000-1163)</f>
        <v/>
      </c>
    </row>
    <row r="1177">
      <c r="BN1177">
        <f>IF(1164&lt;$U$9,INT(1164/($U$7*$U$8))+1,1)</f>
        <v/>
      </c>
      <c r="BO1177">
        <f>IF(1164&lt;$U$9,MOD(INT(1164/$U$8),$U$7)+1,1)</f>
        <v/>
      </c>
      <c r="BP1177">
        <f>IF(1164&lt;$U$9,MOD(1164,$U$8)+1,1)</f>
        <v/>
      </c>
      <c r="BQ1177">
        <f>IF(1164&lt;$U$9,SUMPRODUCT(($D$10:$L$10&lt;&gt;"")*(($D$9:$L$9+INT(($S$12:$AA$12+INDEX($AJ$13:$AR$162,BN1177,0)+INDEX($AT$13:$BB$162,BO1177,0)+INDEX($BD$13:$BL$162,BP1177,0))/100))&gt;=$D$10:$L$10)),0)</f>
        <v/>
      </c>
      <c r="BR1177">
        <f>IF(1164&lt;$U$9,SUMPRODUCT(($D$10:$L$10&lt;&gt;"")*(($D$10:$L$10-($D$9:$L$9+INT(($S$12:$AA$12+INDEX($AJ$13:$AR$162,BN1177,0)+INDEX($AT$13:$BB$162,BO1177,0)+INDEX($BD$13:$BL$162,BP1177,0))/100)))&gt;0)*($D$10:$L$10-($D$9:$L$9+INT(($S$12:$AA$12+INDEX($AJ$13:$AR$162,BN1177,0)+INDEX($AT$13:$BB$162,BO1177,0)+INDEX($BD$13:$BL$162,BP1177,0))/100)))),0)</f>
        <v/>
      </c>
      <c r="BS1177">
        <f>IF(1164&lt;$U$9,SUMPRODUCT(($D$9:$L$9+INT(($S$12:$AA$12+INDEX($AJ$13:$AR$162,BN1177,0)+INDEX($AT$13:$BB$162,BO1177,0)+INDEX($BD$13:$BL$162,BP1177,0))/100))),0)</f>
        <v/>
      </c>
      <c r="BT1177">
        <f>IF(AND(1164&lt;$U$9,$W$5),BQ1177*1000000-MIN(BR1177,999)*1000+BS1177-1164/100000,-1000000000-1164)</f>
        <v/>
      </c>
    </row>
    <row r="1178">
      <c r="BN1178">
        <f>IF(1165&lt;$U$9,INT(1165/($U$7*$U$8))+1,1)</f>
        <v/>
      </c>
      <c r="BO1178">
        <f>IF(1165&lt;$U$9,MOD(INT(1165/$U$8),$U$7)+1,1)</f>
        <v/>
      </c>
      <c r="BP1178">
        <f>IF(1165&lt;$U$9,MOD(1165,$U$8)+1,1)</f>
        <v/>
      </c>
      <c r="BQ1178">
        <f>IF(1165&lt;$U$9,SUMPRODUCT(($D$10:$L$10&lt;&gt;"")*(($D$9:$L$9+INT(($S$12:$AA$12+INDEX($AJ$13:$AR$162,BN1178,0)+INDEX($AT$13:$BB$162,BO1178,0)+INDEX($BD$13:$BL$162,BP1178,0))/100))&gt;=$D$10:$L$10)),0)</f>
        <v/>
      </c>
      <c r="BR1178">
        <f>IF(1165&lt;$U$9,SUMPRODUCT(($D$10:$L$10&lt;&gt;"")*(($D$10:$L$10-($D$9:$L$9+INT(($S$12:$AA$12+INDEX($AJ$13:$AR$162,BN1178,0)+INDEX($AT$13:$BB$162,BO1178,0)+INDEX($BD$13:$BL$162,BP1178,0))/100)))&gt;0)*($D$10:$L$10-($D$9:$L$9+INT(($S$12:$AA$12+INDEX($AJ$13:$AR$162,BN1178,0)+INDEX($AT$13:$BB$162,BO1178,0)+INDEX($BD$13:$BL$162,BP1178,0))/100)))),0)</f>
        <v/>
      </c>
      <c r="BS1178">
        <f>IF(1165&lt;$U$9,SUMPRODUCT(($D$9:$L$9+INT(($S$12:$AA$12+INDEX($AJ$13:$AR$162,BN1178,0)+INDEX($AT$13:$BB$162,BO1178,0)+INDEX($BD$13:$BL$162,BP1178,0))/100))),0)</f>
        <v/>
      </c>
      <c r="BT1178">
        <f>IF(AND(1165&lt;$U$9,$W$5),BQ1178*1000000-MIN(BR1178,999)*1000+BS1178-1165/100000,-1000000000-1165)</f>
        <v/>
      </c>
    </row>
    <row r="1179">
      <c r="BN1179">
        <f>IF(1166&lt;$U$9,INT(1166/($U$7*$U$8))+1,1)</f>
        <v/>
      </c>
      <c r="BO1179">
        <f>IF(1166&lt;$U$9,MOD(INT(1166/$U$8),$U$7)+1,1)</f>
        <v/>
      </c>
      <c r="BP1179">
        <f>IF(1166&lt;$U$9,MOD(1166,$U$8)+1,1)</f>
        <v/>
      </c>
      <c r="BQ1179">
        <f>IF(1166&lt;$U$9,SUMPRODUCT(($D$10:$L$10&lt;&gt;"")*(($D$9:$L$9+INT(($S$12:$AA$12+INDEX($AJ$13:$AR$162,BN1179,0)+INDEX($AT$13:$BB$162,BO1179,0)+INDEX($BD$13:$BL$162,BP1179,0))/100))&gt;=$D$10:$L$10)),0)</f>
        <v/>
      </c>
      <c r="BR1179">
        <f>IF(1166&lt;$U$9,SUMPRODUCT(($D$10:$L$10&lt;&gt;"")*(($D$10:$L$10-($D$9:$L$9+INT(($S$12:$AA$12+INDEX($AJ$13:$AR$162,BN1179,0)+INDEX($AT$13:$BB$162,BO1179,0)+INDEX($BD$13:$BL$162,BP1179,0))/100)))&gt;0)*($D$10:$L$10-($D$9:$L$9+INT(($S$12:$AA$12+INDEX($AJ$13:$AR$162,BN1179,0)+INDEX($AT$13:$BB$162,BO1179,0)+INDEX($BD$13:$BL$162,BP1179,0))/100)))),0)</f>
        <v/>
      </c>
      <c r="BS1179">
        <f>IF(1166&lt;$U$9,SUMPRODUCT(($D$9:$L$9+INT(($S$12:$AA$12+INDEX($AJ$13:$AR$162,BN1179,0)+INDEX($AT$13:$BB$162,BO1179,0)+INDEX($BD$13:$BL$162,BP1179,0))/100))),0)</f>
        <v/>
      </c>
      <c r="BT1179">
        <f>IF(AND(1166&lt;$U$9,$W$5),BQ1179*1000000-MIN(BR1179,999)*1000+BS1179-1166/100000,-1000000000-1166)</f>
        <v/>
      </c>
    </row>
    <row r="1180">
      <c r="BN1180">
        <f>IF(1167&lt;$U$9,INT(1167/($U$7*$U$8))+1,1)</f>
        <v/>
      </c>
      <c r="BO1180">
        <f>IF(1167&lt;$U$9,MOD(INT(1167/$U$8),$U$7)+1,1)</f>
        <v/>
      </c>
      <c r="BP1180">
        <f>IF(1167&lt;$U$9,MOD(1167,$U$8)+1,1)</f>
        <v/>
      </c>
      <c r="BQ1180">
        <f>IF(1167&lt;$U$9,SUMPRODUCT(($D$10:$L$10&lt;&gt;"")*(($D$9:$L$9+INT(($S$12:$AA$12+INDEX($AJ$13:$AR$162,BN1180,0)+INDEX($AT$13:$BB$162,BO1180,0)+INDEX($BD$13:$BL$162,BP1180,0))/100))&gt;=$D$10:$L$10)),0)</f>
        <v/>
      </c>
      <c r="BR1180">
        <f>IF(1167&lt;$U$9,SUMPRODUCT(($D$10:$L$10&lt;&gt;"")*(($D$10:$L$10-($D$9:$L$9+INT(($S$12:$AA$12+INDEX($AJ$13:$AR$162,BN1180,0)+INDEX($AT$13:$BB$162,BO1180,0)+INDEX($BD$13:$BL$162,BP1180,0))/100)))&gt;0)*($D$10:$L$10-($D$9:$L$9+INT(($S$12:$AA$12+INDEX($AJ$13:$AR$162,BN1180,0)+INDEX($AT$13:$BB$162,BO1180,0)+INDEX($BD$13:$BL$162,BP1180,0))/100)))),0)</f>
        <v/>
      </c>
      <c r="BS1180">
        <f>IF(1167&lt;$U$9,SUMPRODUCT(($D$9:$L$9+INT(($S$12:$AA$12+INDEX($AJ$13:$AR$162,BN1180,0)+INDEX($AT$13:$BB$162,BO1180,0)+INDEX($BD$13:$BL$162,BP1180,0))/100))),0)</f>
        <v/>
      </c>
      <c r="BT1180">
        <f>IF(AND(1167&lt;$U$9,$W$5),BQ1180*1000000-MIN(BR1180,999)*1000+BS1180-1167/100000,-1000000000-1167)</f>
        <v/>
      </c>
    </row>
    <row r="1181">
      <c r="BN1181">
        <f>IF(1168&lt;$U$9,INT(1168/($U$7*$U$8))+1,1)</f>
        <v/>
      </c>
      <c r="BO1181">
        <f>IF(1168&lt;$U$9,MOD(INT(1168/$U$8),$U$7)+1,1)</f>
        <v/>
      </c>
      <c r="BP1181">
        <f>IF(1168&lt;$U$9,MOD(1168,$U$8)+1,1)</f>
        <v/>
      </c>
      <c r="BQ1181">
        <f>IF(1168&lt;$U$9,SUMPRODUCT(($D$10:$L$10&lt;&gt;"")*(($D$9:$L$9+INT(($S$12:$AA$12+INDEX($AJ$13:$AR$162,BN1181,0)+INDEX($AT$13:$BB$162,BO1181,0)+INDEX($BD$13:$BL$162,BP1181,0))/100))&gt;=$D$10:$L$10)),0)</f>
        <v/>
      </c>
      <c r="BR1181">
        <f>IF(1168&lt;$U$9,SUMPRODUCT(($D$10:$L$10&lt;&gt;"")*(($D$10:$L$10-($D$9:$L$9+INT(($S$12:$AA$12+INDEX($AJ$13:$AR$162,BN1181,0)+INDEX($AT$13:$BB$162,BO1181,0)+INDEX($BD$13:$BL$162,BP1181,0))/100)))&gt;0)*($D$10:$L$10-($D$9:$L$9+INT(($S$12:$AA$12+INDEX($AJ$13:$AR$162,BN1181,0)+INDEX($AT$13:$BB$162,BO1181,0)+INDEX($BD$13:$BL$162,BP1181,0))/100)))),0)</f>
        <v/>
      </c>
      <c r="BS1181">
        <f>IF(1168&lt;$U$9,SUMPRODUCT(($D$9:$L$9+INT(($S$12:$AA$12+INDEX($AJ$13:$AR$162,BN1181,0)+INDEX($AT$13:$BB$162,BO1181,0)+INDEX($BD$13:$BL$162,BP1181,0))/100))),0)</f>
        <v/>
      </c>
      <c r="BT1181">
        <f>IF(AND(1168&lt;$U$9,$W$5),BQ1181*1000000-MIN(BR1181,999)*1000+BS1181-1168/100000,-1000000000-1168)</f>
        <v/>
      </c>
    </row>
    <row r="1182">
      <c r="BN1182">
        <f>IF(1169&lt;$U$9,INT(1169/($U$7*$U$8))+1,1)</f>
        <v/>
      </c>
      <c r="BO1182">
        <f>IF(1169&lt;$U$9,MOD(INT(1169/$U$8),$U$7)+1,1)</f>
        <v/>
      </c>
      <c r="BP1182">
        <f>IF(1169&lt;$U$9,MOD(1169,$U$8)+1,1)</f>
        <v/>
      </c>
      <c r="BQ1182">
        <f>IF(1169&lt;$U$9,SUMPRODUCT(($D$10:$L$10&lt;&gt;"")*(($D$9:$L$9+INT(($S$12:$AA$12+INDEX($AJ$13:$AR$162,BN1182,0)+INDEX($AT$13:$BB$162,BO1182,0)+INDEX($BD$13:$BL$162,BP1182,0))/100))&gt;=$D$10:$L$10)),0)</f>
        <v/>
      </c>
      <c r="BR1182">
        <f>IF(1169&lt;$U$9,SUMPRODUCT(($D$10:$L$10&lt;&gt;"")*(($D$10:$L$10-($D$9:$L$9+INT(($S$12:$AA$12+INDEX($AJ$13:$AR$162,BN1182,0)+INDEX($AT$13:$BB$162,BO1182,0)+INDEX($BD$13:$BL$162,BP1182,0))/100)))&gt;0)*($D$10:$L$10-($D$9:$L$9+INT(($S$12:$AA$12+INDEX($AJ$13:$AR$162,BN1182,0)+INDEX($AT$13:$BB$162,BO1182,0)+INDEX($BD$13:$BL$162,BP1182,0))/100)))),0)</f>
        <v/>
      </c>
      <c r="BS1182">
        <f>IF(1169&lt;$U$9,SUMPRODUCT(($D$9:$L$9+INT(($S$12:$AA$12+INDEX($AJ$13:$AR$162,BN1182,0)+INDEX($AT$13:$BB$162,BO1182,0)+INDEX($BD$13:$BL$162,BP1182,0))/100))),0)</f>
        <v/>
      </c>
      <c r="BT1182">
        <f>IF(AND(1169&lt;$U$9,$W$5),BQ1182*1000000-MIN(BR1182,999)*1000+BS1182-1169/100000,-1000000000-1169)</f>
        <v/>
      </c>
    </row>
    <row r="1183">
      <c r="BN1183">
        <f>IF(1170&lt;$U$9,INT(1170/($U$7*$U$8))+1,1)</f>
        <v/>
      </c>
      <c r="BO1183">
        <f>IF(1170&lt;$U$9,MOD(INT(1170/$U$8),$U$7)+1,1)</f>
        <v/>
      </c>
      <c r="BP1183">
        <f>IF(1170&lt;$U$9,MOD(1170,$U$8)+1,1)</f>
        <v/>
      </c>
      <c r="BQ1183">
        <f>IF(1170&lt;$U$9,SUMPRODUCT(($D$10:$L$10&lt;&gt;"")*(($D$9:$L$9+INT(($S$12:$AA$12+INDEX($AJ$13:$AR$162,BN1183,0)+INDEX($AT$13:$BB$162,BO1183,0)+INDEX($BD$13:$BL$162,BP1183,0))/100))&gt;=$D$10:$L$10)),0)</f>
        <v/>
      </c>
      <c r="BR1183">
        <f>IF(1170&lt;$U$9,SUMPRODUCT(($D$10:$L$10&lt;&gt;"")*(($D$10:$L$10-($D$9:$L$9+INT(($S$12:$AA$12+INDEX($AJ$13:$AR$162,BN1183,0)+INDEX($AT$13:$BB$162,BO1183,0)+INDEX($BD$13:$BL$162,BP1183,0))/100)))&gt;0)*($D$10:$L$10-($D$9:$L$9+INT(($S$12:$AA$12+INDEX($AJ$13:$AR$162,BN1183,0)+INDEX($AT$13:$BB$162,BO1183,0)+INDEX($BD$13:$BL$162,BP1183,0))/100)))),0)</f>
        <v/>
      </c>
      <c r="BS1183">
        <f>IF(1170&lt;$U$9,SUMPRODUCT(($D$9:$L$9+INT(($S$12:$AA$12+INDEX($AJ$13:$AR$162,BN1183,0)+INDEX($AT$13:$BB$162,BO1183,0)+INDEX($BD$13:$BL$162,BP1183,0))/100))),0)</f>
        <v/>
      </c>
      <c r="BT1183">
        <f>IF(AND(1170&lt;$U$9,$W$5),BQ1183*1000000-MIN(BR1183,999)*1000+BS1183-1170/100000,-1000000000-1170)</f>
        <v/>
      </c>
    </row>
    <row r="1184">
      <c r="BN1184">
        <f>IF(1171&lt;$U$9,INT(1171/($U$7*$U$8))+1,1)</f>
        <v/>
      </c>
      <c r="BO1184">
        <f>IF(1171&lt;$U$9,MOD(INT(1171/$U$8),$U$7)+1,1)</f>
        <v/>
      </c>
      <c r="BP1184">
        <f>IF(1171&lt;$U$9,MOD(1171,$U$8)+1,1)</f>
        <v/>
      </c>
      <c r="BQ1184">
        <f>IF(1171&lt;$U$9,SUMPRODUCT(($D$10:$L$10&lt;&gt;"")*(($D$9:$L$9+INT(($S$12:$AA$12+INDEX($AJ$13:$AR$162,BN1184,0)+INDEX($AT$13:$BB$162,BO1184,0)+INDEX($BD$13:$BL$162,BP1184,0))/100))&gt;=$D$10:$L$10)),0)</f>
        <v/>
      </c>
      <c r="BR1184">
        <f>IF(1171&lt;$U$9,SUMPRODUCT(($D$10:$L$10&lt;&gt;"")*(($D$10:$L$10-($D$9:$L$9+INT(($S$12:$AA$12+INDEX($AJ$13:$AR$162,BN1184,0)+INDEX($AT$13:$BB$162,BO1184,0)+INDEX($BD$13:$BL$162,BP1184,0))/100)))&gt;0)*($D$10:$L$10-($D$9:$L$9+INT(($S$12:$AA$12+INDEX($AJ$13:$AR$162,BN1184,0)+INDEX($AT$13:$BB$162,BO1184,0)+INDEX($BD$13:$BL$162,BP1184,0))/100)))),0)</f>
        <v/>
      </c>
      <c r="BS1184">
        <f>IF(1171&lt;$U$9,SUMPRODUCT(($D$9:$L$9+INT(($S$12:$AA$12+INDEX($AJ$13:$AR$162,BN1184,0)+INDEX($AT$13:$BB$162,BO1184,0)+INDEX($BD$13:$BL$162,BP1184,0))/100))),0)</f>
        <v/>
      </c>
      <c r="BT1184">
        <f>IF(AND(1171&lt;$U$9,$W$5),BQ1184*1000000-MIN(BR1184,999)*1000+BS1184-1171/100000,-1000000000-1171)</f>
        <v/>
      </c>
    </row>
    <row r="1185">
      <c r="BN1185">
        <f>IF(1172&lt;$U$9,INT(1172/($U$7*$U$8))+1,1)</f>
        <v/>
      </c>
      <c r="BO1185">
        <f>IF(1172&lt;$U$9,MOD(INT(1172/$U$8),$U$7)+1,1)</f>
        <v/>
      </c>
      <c r="BP1185">
        <f>IF(1172&lt;$U$9,MOD(1172,$U$8)+1,1)</f>
        <v/>
      </c>
      <c r="BQ1185">
        <f>IF(1172&lt;$U$9,SUMPRODUCT(($D$10:$L$10&lt;&gt;"")*(($D$9:$L$9+INT(($S$12:$AA$12+INDEX($AJ$13:$AR$162,BN1185,0)+INDEX($AT$13:$BB$162,BO1185,0)+INDEX($BD$13:$BL$162,BP1185,0))/100))&gt;=$D$10:$L$10)),0)</f>
        <v/>
      </c>
      <c r="BR1185">
        <f>IF(1172&lt;$U$9,SUMPRODUCT(($D$10:$L$10&lt;&gt;"")*(($D$10:$L$10-($D$9:$L$9+INT(($S$12:$AA$12+INDEX($AJ$13:$AR$162,BN1185,0)+INDEX($AT$13:$BB$162,BO1185,0)+INDEX($BD$13:$BL$162,BP1185,0))/100)))&gt;0)*($D$10:$L$10-($D$9:$L$9+INT(($S$12:$AA$12+INDEX($AJ$13:$AR$162,BN1185,0)+INDEX($AT$13:$BB$162,BO1185,0)+INDEX($BD$13:$BL$162,BP1185,0))/100)))),0)</f>
        <v/>
      </c>
      <c r="BS1185">
        <f>IF(1172&lt;$U$9,SUMPRODUCT(($D$9:$L$9+INT(($S$12:$AA$12+INDEX($AJ$13:$AR$162,BN1185,0)+INDEX($AT$13:$BB$162,BO1185,0)+INDEX($BD$13:$BL$162,BP1185,0))/100))),0)</f>
        <v/>
      </c>
      <c r="BT1185">
        <f>IF(AND(1172&lt;$U$9,$W$5),BQ1185*1000000-MIN(BR1185,999)*1000+BS1185-1172/100000,-1000000000-1172)</f>
        <v/>
      </c>
    </row>
    <row r="1186">
      <c r="BN1186">
        <f>IF(1173&lt;$U$9,INT(1173/($U$7*$U$8))+1,1)</f>
        <v/>
      </c>
      <c r="BO1186">
        <f>IF(1173&lt;$U$9,MOD(INT(1173/$U$8),$U$7)+1,1)</f>
        <v/>
      </c>
      <c r="BP1186">
        <f>IF(1173&lt;$U$9,MOD(1173,$U$8)+1,1)</f>
        <v/>
      </c>
      <c r="BQ1186">
        <f>IF(1173&lt;$U$9,SUMPRODUCT(($D$10:$L$10&lt;&gt;"")*(($D$9:$L$9+INT(($S$12:$AA$12+INDEX($AJ$13:$AR$162,BN1186,0)+INDEX($AT$13:$BB$162,BO1186,0)+INDEX($BD$13:$BL$162,BP1186,0))/100))&gt;=$D$10:$L$10)),0)</f>
        <v/>
      </c>
      <c r="BR1186">
        <f>IF(1173&lt;$U$9,SUMPRODUCT(($D$10:$L$10&lt;&gt;"")*(($D$10:$L$10-($D$9:$L$9+INT(($S$12:$AA$12+INDEX($AJ$13:$AR$162,BN1186,0)+INDEX($AT$13:$BB$162,BO1186,0)+INDEX($BD$13:$BL$162,BP1186,0))/100)))&gt;0)*($D$10:$L$10-($D$9:$L$9+INT(($S$12:$AA$12+INDEX($AJ$13:$AR$162,BN1186,0)+INDEX($AT$13:$BB$162,BO1186,0)+INDEX($BD$13:$BL$162,BP1186,0))/100)))),0)</f>
        <v/>
      </c>
      <c r="BS1186">
        <f>IF(1173&lt;$U$9,SUMPRODUCT(($D$9:$L$9+INT(($S$12:$AA$12+INDEX($AJ$13:$AR$162,BN1186,0)+INDEX($AT$13:$BB$162,BO1186,0)+INDEX($BD$13:$BL$162,BP1186,0))/100))),0)</f>
        <v/>
      </c>
      <c r="BT1186">
        <f>IF(AND(1173&lt;$U$9,$W$5),BQ1186*1000000-MIN(BR1186,999)*1000+BS1186-1173/100000,-1000000000-1173)</f>
        <v/>
      </c>
    </row>
    <row r="1187">
      <c r="BN1187">
        <f>IF(1174&lt;$U$9,INT(1174/($U$7*$U$8))+1,1)</f>
        <v/>
      </c>
      <c r="BO1187">
        <f>IF(1174&lt;$U$9,MOD(INT(1174/$U$8),$U$7)+1,1)</f>
        <v/>
      </c>
      <c r="BP1187">
        <f>IF(1174&lt;$U$9,MOD(1174,$U$8)+1,1)</f>
        <v/>
      </c>
      <c r="BQ1187">
        <f>IF(1174&lt;$U$9,SUMPRODUCT(($D$10:$L$10&lt;&gt;"")*(($D$9:$L$9+INT(($S$12:$AA$12+INDEX($AJ$13:$AR$162,BN1187,0)+INDEX($AT$13:$BB$162,BO1187,0)+INDEX($BD$13:$BL$162,BP1187,0))/100))&gt;=$D$10:$L$10)),0)</f>
        <v/>
      </c>
      <c r="BR1187">
        <f>IF(1174&lt;$U$9,SUMPRODUCT(($D$10:$L$10&lt;&gt;"")*(($D$10:$L$10-($D$9:$L$9+INT(($S$12:$AA$12+INDEX($AJ$13:$AR$162,BN1187,0)+INDEX($AT$13:$BB$162,BO1187,0)+INDEX($BD$13:$BL$162,BP1187,0))/100)))&gt;0)*($D$10:$L$10-($D$9:$L$9+INT(($S$12:$AA$12+INDEX($AJ$13:$AR$162,BN1187,0)+INDEX($AT$13:$BB$162,BO1187,0)+INDEX($BD$13:$BL$162,BP1187,0))/100)))),0)</f>
        <v/>
      </c>
      <c r="BS1187">
        <f>IF(1174&lt;$U$9,SUMPRODUCT(($D$9:$L$9+INT(($S$12:$AA$12+INDEX($AJ$13:$AR$162,BN1187,0)+INDEX($AT$13:$BB$162,BO1187,0)+INDEX($BD$13:$BL$162,BP1187,0))/100))),0)</f>
        <v/>
      </c>
      <c r="BT1187">
        <f>IF(AND(1174&lt;$U$9,$W$5),BQ1187*1000000-MIN(BR1187,999)*1000+BS1187-1174/100000,-1000000000-1174)</f>
        <v/>
      </c>
    </row>
    <row r="1188">
      <c r="BN1188">
        <f>IF(1175&lt;$U$9,INT(1175/($U$7*$U$8))+1,1)</f>
        <v/>
      </c>
      <c r="BO1188">
        <f>IF(1175&lt;$U$9,MOD(INT(1175/$U$8),$U$7)+1,1)</f>
        <v/>
      </c>
      <c r="BP1188">
        <f>IF(1175&lt;$U$9,MOD(1175,$U$8)+1,1)</f>
        <v/>
      </c>
      <c r="BQ1188">
        <f>IF(1175&lt;$U$9,SUMPRODUCT(($D$10:$L$10&lt;&gt;"")*(($D$9:$L$9+INT(($S$12:$AA$12+INDEX($AJ$13:$AR$162,BN1188,0)+INDEX($AT$13:$BB$162,BO1188,0)+INDEX($BD$13:$BL$162,BP1188,0))/100))&gt;=$D$10:$L$10)),0)</f>
        <v/>
      </c>
      <c r="BR1188">
        <f>IF(1175&lt;$U$9,SUMPRODUCT(($D$10:$L$10&lt;&gt;"")*(($D$10:$L$10-($D$9:$L$9+INT(($S$12:$AA$12+INDEX($AJ$13:$AR$162,BN1188,0)+INDEX($AT$13:$BB$162,BO1188,0)+INDEX($BD$13:$BL$162,BP1188,0))/100)))&gt;0)*($D$10:$L$10-($D$9:$L$9+INT(($S$12:$AA$12+INDEX($AJ$13:$AR$162,BN1188,0)+INDEX($AT$13:$BB$162,BO1188,0)+INDEX($BD$13:$BL$162,BP1188,0))/100)))),0)</f>
        <v/>
      </c>
      <c r="BS1188">
        <f>IF(1175&lt;$U$9,SUMPRODUCT(($D$9:$L$9+INT(($S$12:$AA$12+INDEX($AJ$13:$AR$162,BN1188,0)+INDEX($AT$13:$BB$162,BO1188,0)+INDEX($BD$13:$BL$162,BP1188,0))/100))),0)</f>
        <v/>
      </c>
      <c r="BT1188">
        <f>IF(AND(1175&lt;$U$9,$W$5),BQ1188*1000000-MIN(BR1188,999)*1000+BS1188-1175/100000,-1000000000-1175)</f>
        <v/>
      </c>
    </row>
    <row r="1189">
      <c r="BN1189">
        <f>IF(1176&lt;$U$9,INT(1176/($U$7*$U$8))+1,1)</f>
        <v/>
      </c>
      <c r="BO1189">
        <f>IF(1176&lt;$U$9,MOD(INT(1176/$U$8),$U$7)+1,1)</f>
        <v/>
      </c>
      <c r="BP1189">
        <f>IF(1176&lt;$U$9,MOD(1176,$U$8)+1,1)</f>
        <v/>
      </c>
      <c r="BQ1189">
        <f>IF(1176&lt;$U$9,SUMPRODUCT(($D$10:$L$10&lt;&gt;"")*(($D$9:$L$9+INT(($S$12:$AA$12+INDEX($AJ$13:$AR$162,BN1189,0)+INDEX($AT$13:$BB$162,BO1189,0)+INDEX($BD$13:$BL$162,BP1189,0))/100))&gt;=$D$10:$L$10)),0)</f>
        <v/>
      </c>
      <c r="BR1189">
        <f>IF(1176&lt;$U$9,SUMPRODUCT(($D$10:$L$10&lt;&gt;"")*(($D$10:$L$10-($D$9:$L$9+INT(($S$12:$AA$12+INDEX($AJ$13:$AR$162,BN1189,0)+INDEX($AT$13:$BB$162,BO1189,0)+INDEX($BD$13:$BL$162,BP1189,0))/100)))&gt;0)*($D$10:$L$10-($D$9:$L$9+INT(($S$12:$AA$12+INDEX($AJ$13:$AR$162,BN1189,0)+INDEX($AT$13:$BB$162,BO1189,0)+INDEX($BD$13:$BL$162,BP1189,0))/100)))),0)</f>
        <v/>
      </c>
      <c r="BS1189">
        <f>IF(1176&lt;$U$9,SUMPRODUCT(($D$9:$L$9+INT(($S$12:$AA$12+INDEX($AJ$13:$AR$162,BN1189,0)+INDEX($AT$13:$BB$162,BO1189,0)+INDEX($BD$13:$BL$162,BP1189,0))/100))),0)</f>
        <v/>
      </c>
      <c r="BT1189">
        <f>IF(AND(1176&lt;$U$9,$W$5),BQ1189*1000000-MIN(BR1189,999)*1000+BS1189-1176/100000,-1000000000-1176)</f>
        <v/>
      </c>
    </row>
    <row r="1190">
      <c r="BN1190">
        <f>IF(1177&lt;$U$9,INT(1177/($U$7*$U$8))+1,1)</f>
        <v/>
      </c>
      <c r="BO1190">
        <f>IF(1177&lt;$U$9,MOD(INT(1177/$U$8),$U$7)+1,1)</f>
        <v/>
      </c>
      <c r="BP1190">
        <f>IF(1177&lt;$U$9,MOD(1177,$U$8)+1,1)</f>
        <v/>
      </c>
      <c r="BQ1190">
        <f>IF(1177&lt;$U$9,SUMPRODUCT(($D$10:$L$10&lt;&gt;"")*(($D$9:$L$9+INT(($S$12:$AA$12+INDEX($AJ$13:$AR$162,BN1190,0)+INDEX($AT$13:$BB$162,BO1190,0)+INDEX($BD$13:$BL$162,BP1190,0))/100))&gt;=$D$10:$L$10)),0)</f>
        <v/>
      </c>
      <c r="BR1190">
        <f>IF(1177&lt;$U$9,SUMPRODUCT(($D$10:$L$10&lt;&gt;"")*(($D$10:$L$10-($D$9:$L$9+INT(($S$12:$AA$12+INDEX($AJ$13:$AR$162,BN1190,0)+INDEX($AT$13:$BB$162,BO1190,0)+INDEX($BD$13:$BL$162,BP1190,0))/100)))&gt;0)*($D$10:$L$10-($D$9:$L$9+INT(($S$12:$AA$12+INDEX($AJ$13:$AR$162,BN1190,0)+INDEX($AT$13:$BB$162,BO1190,0)+INDEX($BD$13:$BL$162,BP1190,0))/100)))),0)</f>
        <v/>
      </c>
      <c r="BS1190">
        <f>IF(1177&lt;$U$9,SUMPRODUCT(($D$9:$L$9+INT(($S$12:$AA$12+INDEX($AJ$13:$AR$162,BN1190,0)+INDEX($AT$13:$BB$162,BO1190,0)+INDEX($BD$13:$BL$162,BP1190,0))/100))),0)</f>
        <v/>
      </c>
      <c r="BT1190">
        <f>IF(AND(1177&lt;$U$9,$W$5),BQ1190*1000000-MIN(BR1190,999)*1000+BS1190-1177/100000,-1000000000-1177)</f>
        <v/>
      </c>
    </row>
    <row r="1191">
      <c r="BN1191">
        <f>IF(1178&lt;$U$9,INT(1178/($U$7*$U$8))+1,1)</f>
        <v/>
      </c>
      <c r="BO1191">
        <f>IF(1178&lt;$U$9,MOD(INT(1178/$U$8),$U$7)+1,1)</f>
        <v/>
      </c>
      <c r="BP1191">
        <f>IF(1178&lt;$U$9,MOD(1178,$U$8)+1,1)</f>
        <v/>
      </c>
      <c r="BQ1191">
        <f>IF(1178&lt;$U$9,SUMPRODUCT(($D$10:$L$10&lt;&gt;"")*(($D$9:$L$9+INT(($S$12:$AA$12+INDEX($AJ$13:$AR$162,BN1191,0)+INDEX($AT$13:$BB$162,BO1191,0)+INDEX($BD$13:$BL$162,BP1191,0))/100))&gt;=$D$10:$L$10)),0)</f>
        <v/>
      </c>
      <c r="BR1191">
        <f>IF(1178&lt;$U$9,SUMPRODUCT(($D$10:$L$10&lt;&gt;"")*(($D$10:$L$10-($D$9:$L$9+INT(($S$12:$AA$12+INDEX($AJ$13:$AR$162,BN1191,0)+INDEX($AT$13:$BB$162,BO1191,0)+INDEX($BD$13:$BL$162,BP1191,0))/100)))&gt;0)*($D$10:$L$10-($D$9:$L$9+INT(($S$12:$AA$12+INDEX($AJ$13:$AR$162,BN1191,0)+INDEX($AT$13:$BB$162,BO1191,0)+INDEX($BD$13:$BL$162,BP1191,0))/100)))),0)</f>
        <v/>
      </c>
      <c r="BS1191">
        <f>IF(1178&lt;$U$9,SUMPRODUCT(($D$9:$L$9+INT(($S$12:$AA$12+INDEX($AJ$13:$AR$162,BN1191,0)+INDEX($AT$13:$BB$162,BO1191,0)+INDEX($BD$13:$BL$162,BP1191,0))/100))),0)</f>
        <v/>
      </c>
      <c r="BT1191">
        <f>IF(AND(1178&lt;$U$9,$W$5),BQ1191*1000000-MIN(BR1191,999)*1000+BS1191-1178/100000,-1000000000-1178)</f>
        <v/>
      </c>
    </row>
    <row r="1192">
      <c r="BN1192">
        <f>IF(1179&lt;$U$9,INT(1179/($U$7*$U$8))+1,1)</f>
        <v/>
      </c>
      <c r="BO1192">
        <f>IF(1179&lt;$U$9,MOD(INT(1179/$U$8),$U$7)+1,1)</f>
        <v/>
      </c>
      <c r="BP1192">
        <f>IF(1179&lt;$U$9,MOD(1179,$U$8)+1,1)</f>
        <v/>
      </c>
      <c r="BQ1192">
        <f>IF(1179&lt;$U$9,SUMPRODUCT(($D$10:$L$10&lt;&gt;"")*(($D$9:$L$9+INT(($S$12:$AA$12+INDEX($AJ$13:$AR$162,BN1192,0)+INDEX($AT$13:$BB$162,BO1192,0)+INDEX($BD$13:$BL$162,BP1192,0))/100))&gt;=$D$10:$L$10)),0)</f>
        <v/>
      </c>
      <c r="BR1192">
        <f>IF(1179&lt;$U$9,SUMPRODUCT(($D$10:$L$10&lt;&gt;"")*(($D$10:$L$10-($D$9:$L$9+INT(($S$12:$AA$12+INDEX($AJ$13:$AR$162,BN1192,0)+INDEX($AT$13:$BB$162,BO1192,0)+INDEX($BD$13:$BL$162,BP1192,0))/100)))&gt;0)*($D$10:$L$10-($D$9:$L$9+INT(($S$12:$AA$12+INDEX($AJ$13:$AR$162,BN1192,0)+INDEX($AT$13:$BB$162,BO1192,0)+INDEX($BD$13:$BL$162,BP1192,0))/100)))),0)</f>
        <v/>
      </c>
      <c r="BS1192">
        <f>IF(1179&lt;$U$9,SUMPRODUCT(($D$9:$L$9+INT(($S$12:$AA$12+INDEX($AJ$13:$AR$162,BN1192,0)+INDEX($AT$13:$BB$162,BO1192,0)+INDEX($BD$13:$BL$162,BP1192,0))/100))),0)</f>
        <v/>
      </c>
      <c r="BT1192">
        <f>IF(AND(1179&lt;$U$9,$W$5),BQ1192*1000000-MIN(BR1192,999)*1000+BS1192-1179/100000,-1000000000-1179)</f>
        <v/>
      </c>
    </row>
    <row r="1193">
      <c r="BN1193">
        <f>IF(1180&lt;$U$9,INT(1180/($U$7*$U$8))+1,1)</f>
        <v/>
      </c>
      <c r="BO1193">
        <f>IF(1180&lt;$U$9,MOD(INT(1180/$U$8),$U$7)+1,1)</f>
        <v/>
      </c>
      <c r="BP1193">
        <f>IF(1180&lt;$U$9,MOD(1180,$U$8)+1,1)</f>
        <v/>
      </c>
      <c r="BQ1193">
        <f>IF(1180&lt;$U$9,SUMPRODUCT(($D$10:$L$10&lt;&gt;"")*(($D$9:$L$9+INT(($S$12:$AA$12+INDEX($AJ$13:$AR$162,BN1193,0)+INDEX($AT$13:$BB$162,BO1193,0)+INDEX($BD$13:$BL$162,BP1193,0))/100))&gt;=$D$10:$L$10)),0)</f>
        <v/>
      </c>
      <c r="BR1193">
        <f>IF(1180&lt;$U$9,SUMPRODUCT(($D$10:$L$10&lt;&gt;"")*(($D$10:$L$10-($D$9:$L$9+INT(($S$12:$AA$12+INDEX($AJ$13:$AR$162,BN1193,0)+INDEX($AT$13:$BB$162,BO1193,0)+INDEX($BD$13:$BL$162,BP1193,0))/100)))&gt;0)*($D$10:$L$10-($D$9:$L$9+INT(($S$12:$AA$12+INDEX($AJ$13:$AR$162,BN1193,0)+INDEX($AT$13:$BB$162,BO1193,0)+INDEX($BD$13:$BL$162,BP1193,0))/100)))),0)</f>
        <v/>
      </c>
      <c r="BS1193">
        <f>IF(1180&lt;$U$9,SUMPRODUCT(($D$9:$L$9+INT(($S$12:$AA$12+INDEX($AJ$13:$AR$162,BN1193,0)+INDEX($AT$13:$BB$162,BO1193,0)+INDEX($BD$13:$BL$162,BP1193,0))/100))),0)</f>
        <v/>
      </c>
      <c r="BT1193">
        <f>IF(AND(1180&lt;$U$9,$W$5),BQ1193*1000000-MIN(BR1193,999)*1000+BS1193-1180/100000,-1000000000-1180)</f>
        <v/>
      </c>
    </row>
    <row r="1194">
      <c r="BN1194">
        <f>IF(1181&lt;$U$9,INT(1181/($U$7*$U$8))+1,1)</f>
        <v/>
      </c>
      <c r="BO1194">
        <f>IF(1181&lt;$U$9,MOD(INT(1181/$U$8),$U$7)+1,1)</f>
        <v/>
      </c>
      <c r="BP1194">
        <f>IF(1181&lt;$U$9,MOD(1181,$U$8)+1,1)</f>
        <v/>
      </c>
      <c r="BQ1194">
        <f>IF(1181&lt;$U$9,SUMPRODUCT(($D$10:$L$10&lt;&gt;"")*(($D$9:$L$9+INT(($S$12:$AA$12+INDEX($AJ$13:$AR$162,BN1194,0)+INDEX($AT$13:$BB$162,BO1194,0)+INDEX($BD$13:$BL$162,BP1194,0))/100))&gt;=$D$10:$L$10)),0)</f>
        <v/>
      </c>
      <c r="BR1194">
        <f>IF(1181&lt;$U$9,SUMPRODUCT(($D$10:$L$10&lt;&gt;"")*(($D$10:$L$10-($D$9:$L$9+INT(($S$12:$AA$12+INDEX($AJ$13:$AR$162,BN1194,0)+INDEX($AT$13:$BB$162,BO1194,0)+INDEX($BD$13:$BL$162,BP1194,0))/100)))&gt;0)*($D$10:$L$10-($D$9:$L$9+INT(($S$12:$AA$12+INDEX($AJ$13:$AR$162,BN1194,0)+INDEX($AT$13:$BB$162,BO1194,0)+INDEX($BD$13:$BL$162,BP1194,0))/100)))),0)</f>
        <v/>
      </c>
      <c r="BS1194">
        <f>IF(1181&lt;$U$9,SUMPRODUCT(($D$9:$L$9+INT(($S$12:$AA$12+INDEX($AJ$13:$AR$162,BN1194,0)+INDEX($AT$13:$BB$162,BO1194,0)+INDEX($BD$13:$BL$162,BP1194,0))/100))),0)</f>
        <v/>
      </c>
      <c r="BT1194">
        <f>IF(AND(1181&lt;$U$9,$W$5),BQ1194*1000000-MIN(BR1194,999)*1000+BS1194-1181/100000,-1000000000-1181)</f>
        <v/>
      </c>
    </row>
    <row r="1195">
      <c r="BN1195">
        <f>IF(1182&lt;$U$9,INT(1182/($U$7*$U$8))+1,1)</f>
        <v/>
      </c>
      <c r="BO1195">
        <f>IF(1182&lt;$U$9,MOD(INT(1182/$U$8),$U$7)+1,1)</f>
        <v/>
      </c>
      <c r="BP1195">
        <f>IF(1182&lt;$U$9,MOD(1182,$U$8)+1,1)</f>
        <v/>
      </c>
      <c r="BQ1195">
        <f>IF(1182&lt;$U$9,SUMPRODUCT(($D$10:$L$10&lt;&gt;"")*(($D$9:$L$9+INT(($S$12:$AA$12+INDEX($AJ$13:$AR$162,BN1195,0)+INDEX($AT$13:$BB$162,BO1195,0)+INDEX($BD$13:$BL$162,BP1195,0))/100))&gt;=$D$10:$L$10)),0)</f>
        <v/>
      </c>
      <c r="BR1195">
        <f>IF(1182&lt;$U$9,SUMPRODUCT(($D$10:$L$10&lt;&gt;"")*(($D$10:$L$10-($D$9:$L$9+INT(($S$12:$AA$12+INDEX($AJ$13:$AR$162,BN1195,0)+INDEX($AT$13:$BB$162,BO1195,0)+INDEX($BD$13:$BL$162,BP1195,0))/100)))&gt;0)*($D$10:$L$10-($D$9:$L$9+INT(($S$12:$AA$12+INDEX($AJ$13:$AR$162,BN1195,0)+INDEX($AT$13:$BB$162,BO1195,0)+INDEX($BD$13:$BL$162,BP1195,0))/100)))),0)</f>
        <v/>
      </c>
      <c r="BS1195">
        <f>IF(1182&lt;$U$9,SUMPRODUCT(($D$9:$L$9+INT(($S$12:$AA$12+INDEX($AJ$13:$AR$162,BN1195,0)+INDEX($AT$13:$BB$162,BO1195,0)+INDEX($BD$13:$BL$162,BP1195,0))/100))),0)</f>
        <v/>
      </c>
      <c r="BT1195">
        <f>IF(AND(1182&lt;$U$9,$W$5),BQ1195*1000000-MIN(BR1195,999)*1000+BS1195-1182/100000,-1000000000-1182)</f>
        <v/>
      </c>
    </row>
    <row r="1196">
      <c r="BN1196">
        <f>IF(1183&lt;$U$9,INT(1183/($U$7*$U$8))+1,1)</f>
        <v/>
      </c>
      <c r="BO1196">
        <f>IF(1183&lt;$U$9,MOD(INT(1183/$U$8),$U$7)+1,1)</f>
        <v/>
      </c>
      <c r="BP1196">
        <f>IF(1183&lt;$U$9,MOD(1183,$U$8)+1,1)</f>
        <v/>
      </c>
      <c r="BQ1196">
        <f>IF(1183&lt;$U$9,SUMPRODUCT(($D$10:$L$10&lt;&gt;"")*(($D$9:$L$9+INT(($S$12:$AA$12+INDEX($AJ$13:$AR$162,BN1196,0)+INDEX($AT$13:$BB$162,BO1196,0)+INDEX($BD$13:$BL$162,BP1196,0))/100))&gt;=$D$10:$L$10)),0)</f>
        <v/>
      </c>
      <c r="BR1196">
        <f>IF(1183&lt;$U$9,SUMPRODUCT(($D$10:$L$10&lt;&gt;"")*(($D$10:$L$10-($D$9:$L$9+INT(($S$12:$AA$12+INDEX($AJ$13:$AR$162,BN1196,0)+INDEX($AT$13:$BB$162,BO1196,0)+INDEX($BD$13:$BL$162,BP1196,0))/100)))&gt;0)*($D$10:$L$10-($D$9:$L$9+INT(($S$12:$AA$12+INDEX($AJ$13:$AR$162,BN1196,0)+INDEX($AT$13:$BB$162,BO1196,0)+INDEX($BD$13:$BL$162,BP1196,0))/100)))),0)</f>
        <v/>
      </c>
      <c r="BS1196">
        <f>IF(1183&lt;$U$9,SUMPRODUCT(($D$9:$L$9+INT(($S$12:$AA$12+INDEX($AJ$13:$AR$162,BN1196,0)+INDEX($AT$13:$BB$162,BO1196,0)+INDEX($BD$13:$BL$162,BP1196,0))/100))),0)</f>
        <v/>
      </c>
      <c r="BT1196">
        <f>IF(AND(1183&lt;$U$9,$W$5),BQ1196*1000000-MIN(BR1196,999)*1000+BS1196-1183/100000,-1000000000-1183)</f>
        <v/>
      </c>
    </row>
    <row r="1197">
      <c r="BN1197">
        <f>IF(1184&lt;$U$9,INT(1184/($U$7*$U$8))+1,1)</f>
        <v/>
      </c>
      <c r="BO1197">
        <f>IF(1184&lt;$U$9,MOD(INT(1184/$U$8),$U$7)+1,1)</f>
        <v/>
      </c>
      <c r="BP1197">
        <f>IF(1184&lt;$U$9,MOD(1184,$U$8)+1,1)</f>
        <v/>
      </c>
      <c r="BQ1197">
        <f>IF(1184&lt;$U$9,SUMPRODUCT(($D$10:$L$10&lt;&gt;"")*(($D$9:$L$9+INT(($S$12:$AA$12+INDEX($AJ$13:$AR$162,BN1197,0)+INDEX($AT$13:$BB$162,BO1197,0)+INDEX($BD$13:$BL$162,BP1197,0))/100))&gt;=$D$10:$L$10)),0)</f>
        <v/>
      </c>
      <c r="BR1197">
        <f>IF(1184&lt;$U$9,SUMPRODUCT(($D$10:$L$10&lt;&gt;"")*(($D$10:$L$10-($D$9:$L$9+INT(($S$12:$AA$12+INDEX($AJ$13:$AR$162,BN1197,0)+INDEX($AT$13:$BB$162,BO1197,0)+INDEX($BD$13:$BL$162,BP1197,0))/100)))&gt;0)*($D$10:$L$10-($D$9:$L$9+INT(($S$12:$AA$12+INDEX($AJ$13:$AR$162,BN1197,0)+INDEX($AT$13:$BB$162,BO1197,0)+INDEX($BD$13:$BL$162,BP1197,0))/100)))),0)</f>
        <v/>
      </c>
      <c r="BS1197">
        <f>IF(1184&lt;$U$9,SUMPRODUCT(($D$9:$L$9+INT(($S$12:$AA$12+INDEX($AJ$13:$AR$162,BN1197,0)+INDEX($AT$13:$BB$162,BO1197,0)+INDEX($BD$13:$BL$162,BP1197,0))/100))),0)</f>
        <v/>
      </c>
      <c r="BT1197">
        <f>IF(AND(1184&lt;$U$9,$W$5),BQ1197*1000000-MIN(BR1197,999)*1000+BS1197-1184/100000,-1000000000-1184)</f>
        <v/>
      </c>
    </row>
    <row r="1198">
      <c r="BN1198">
        <f>IF(1185&lt;$U$9,INT(1185/($U$7*$U$8))+1,1)</f>
        <v/>
      </c>
      <c r="BO1198">
        <f>IF(1185&lt;$U$9,MOD(INT(1185/$U$8),$U$7)+1,1)</f>
        <v/>
      </c>
      <c r="BP1198">
        <f>IF(1185&lt;$U$9,MOD(1185,$U$8)+1,1)</f>
        <v/>
      </c>
      <c r="BQ1198">
        <f>IF(1185&lt;$U$9,SUMPRODUCT(($D$10:$L$10&lt;&gt;"")*(($D$9:$L$9+INT(($S$12:$AA$12+INDEX($AJ$13:$AR$162,BN1198,0)+INDEX($AT$13:$BB$162,BO1198,0)+INDEX($BD$13:$BL$162,BP1198,0))/100))&gt;=$D$10:$L$10)),0)</f>
        <v/>
      </c>
      <c r="BR1198">
        <f>IF(1185&lt;$U$9,SUMPRODUCT(($D$10:$L$10&lt;&gt;"")*(($D$10:$L$10-($D$9:$L$9+INT(($S$12:$AA$12+INDEX($AJ$13:$AR$162,BN1198,0)+INDEX($AT$13:$BB$162,BO1198,0)+INDEX($BD$13:$BL$162,BP1198,0))/100)))&gt;0)*($D$10:$L$10-($D$9:$L$9+INT(($S$12:$AA$12+INDEX($AJ$13:$AR$162,BN1198,0)+INDEX($AT$13:$BB$162,BO1198,0)+INDEX($BD$13:$BL$162,BP1198,0))/100)))),0)</f>
        <v/>
      </c>
      <c r="BS1198">
        <f>IF(1185&lt;$U$9,SUMPRODUCT(($D$9:$L$9+INT(($S$12:$AA$12+INDEX($AJ$13:$AR$162,BN1198,0)+INDEX($AT$13:$BB$162,BO1198,0)+INDEX($BD$13:$BL$162,BP1198,0))/100))),0)</f>
        <v/>
      </c>
      <c r="BT1198">
        <f>IF(AND(1185&lt;$U$9,$W$5),BQ1198*1000000-MIN(BR1198,999)*1000+BS1198-1185/100000,-1000000000-1185)</f>
        <v/>
      </c>
    </row>
    <row r="1199">
      <c r="BN1199">
        <f>IF(1186&lt;$U$9,INT(1186/($U$7*$U$8))+1,1)</f>
        <v/>
      </c>
      <c r="BO1199">
        <f>IF(1186&lt;$U$9,MOD(INT(1186/$U$8),$U$7)+1,1)</f>
        <v/>
      </c>
      <c r="BP1199">
        <f>IF(1186&lt;$U$9,MOD(1186,$U$8)+1,1)</f>
        <v/>
      </c>
      <c r="BQ1199">
        <f>IF(1186&lt;$U$9,SUMPRODUCT(($D$10:$L$10&lt;&gt;"")*(($D$9:$L$9+INT(($S$12:$AA$12+INDEX($AJ$13:$AR$162,BN1199,0)+INDEX($AT$13:$BB$162,BO1199,0)+INDEX($BD$13:$BL$162,BP1199,0))/100))&gt;=$D$10:$L$10)),0)</f>
        <v/>
      </c>
      <c r="BR1199">
        <f>IF(1186&lt;$U$9,SUMPRODUCT(($D$10:$L$10&lt;&gt;"")*(($D$10:$L$10-($D$9:$L$9+INT(($S$12:$AA$12+INDEX($AJ$13:$AR$162,BN1199,0)+INDEX($AT$13:$BB$162,BO1199,0)+INDEX($BD$13:$BL$162,BP1199,0))/100)))&gt;0)*($D$10:$L$10-($D$9:$L$9+INT(($S$12:$AA$12+INDEX($AJ$13:$AR$162,BN1199,0)+INDEX($AT$13:$BB$162,BO1199,0)+INDEX($BD$13:$BL$162,BP1199,0))/100)))),0)</f>
        <v/>
      </c>
      <c r="BS1199">
        <f>IF(1186&lt;$U$9,SUMPRODUCT(($D$9:$L$9+INT(($S$12:$AA$12+INDEX($AJ$13:$AR$162,BN1199,0)+INDEX($AT$13:$BB$162,BO1199,0)+INDEX($BD$13:$BL$162,BP1199,0))/100))),0)</f>
        <v/>
      </c>
      <c r="BT1199">
        <f>IF(AND(1186&lt;$U$9,$W$5),BQ1199*1000000-MIN(BR1199,999)*1000+BS1199-1186/100000,-1000000000-1186)</f>
        <v/>
      </c>
    </row>
    <row r="1200">
      <c r="BN1200">
        <f>IF(1187&lt;$U$9,INT(1187/($U$7*$U$8))+1,1)</f>
        <v/>
      </c>
      <c r="BO1200">
        <f>IF(1187&lt;$U$9,MOD(INT(1187/$U$8),$U$7)+1,1)</f>
        <v/>
      </c>
      <c r="BP1200">
        <f>IF(1187&lt;$U$9,MOD(1187,$U$8)+1,1)</f>
        <v/>
      </c>
      <c r="BQ1200">
        <f>IF(1187&lt;$U$9,SUMPRODUCT(($D$10:$L$10&lt;&gt;"")*(($D$9:$L$9+INT(($S$12:$AA$12+INDEX($AJ$13:$AR$162,BN1200,0)+INDEX($AT$13:$BB$162,BO1200,0)+INDEX($BD$13:$BL$162,BP1200,0))/100))&gt;=$D$10:$L$10)),0)</f>
        <v/>
      </c>
      <c r="BR1200">
        <f>IF(1187&lt;$U$9,SUMPRODUCT(($D$10:$L$10&lt;&gt;"")*(($D$10:$L$10-($D$9:$L$9+INT(($S$12:$AA$12+INDEX($AJ$13:$AR$162,BN1200,0)+INDEX($AT$13:$BB$162,BO1200,0)+INDEX($BD$13:$BL$162,BP1200,0))/100)))&gt;0)*($D$10:$L$10-($D$9:$L$9+INT(($S$12:$AA$12+INDEX($AJ$13:$AR$162,BN1200,0)+INDEX($AT$13:$BB$162,BO1200,0)+INDEX($BD$13:$BL$162,BP1200,0))/100)))),0)</f>
        <v/>
      </c>
      <c r="BS1200">
        <f>IF(1187&lt;$U$9,SUMPRODUCT(($D$9:$L$9+INT(($S$12:$AA$12+INDEX($AJ$13:$AR$162,BN1200,0)+INDEX($AT$13:$BB$162,BO1200,0)+INDEX($BD$13:$BL$162,BP1200,0))/100))),0)</f>
        <v/>
      </c>
      <c r="BT1200">
        <f>IF(AND(1187&lt;$U$9,$W$5),BQ1200*1000000-MIN(BR1200,999)*1000+BS1200-1187/100000,-1000000000-1187)</f>
        <v/>
      </c>
    </row>
    <row r="1201">
      <c r="BN1201">
        <f>IF(1188&lt;$U$9,INT(1188/($U$7*$U$8))+1,1)</f>
        <v/>
      </c>
      <c r="BO1201">
        <f>IF(1188&lt;$U$9,MOD(INT(1188/$U$8),$U$7)+1,1)</f>
        <v/>
      </c>
      <c r="BP1201">
        <f>IF(1188&lt;$U$9,MOD(1188,$U$8)+1,1)</f>
        <v/>
      </c>
      <c r="BQ1201">
        <f>IF(1188&lt;$U$9,SUMPRODUCT(($D$10:$L$10&lt;&gt;"")*(($D$9:$L$9+INT(($S$12:$AA$12+INDEX($AJ$13:$AR$162,BN1201,0)+INDEX($AT$13:$BB$162,BO1201,0)+INDEX($BD$13:$BL$162,BP1201,0))/100))&gt;=$D$10:$L$10)),0)</f>
        <v/>
      </c>
      <c r="BR1201">
        <f>IF(1188&lt;$U$9,SUMPRODUCT(($D$10:$L$10&lt;&gt;"")*(($D$10:$L$10-($D$9:$L$9+INT(($S$12:$AA$12+INDEX($AJ$13:$AR$162,BN1201,0)+INDEX($AT$13:$BB$162,BO1201,0)+INDEX($BD$13:$BL$162,BP1201,0))/100)))&gt;0)*($D$10:$L$10-($D$9:$L$9+INT(($S$12:$AA$12+INDEX($AJ$13:$AR$162,BN1201,0)+INDEX($AT$13:$BB$162,BO1201,0)+INDEX($BD$13:$BL$162,BP1201,0))/100)))),0)</f>
        <v/>
      </c>
      <c r="BS1201">
        <f>IF(1188&lt;$U$9,SUMPRODUCT(($D$9:$L$9+INT(($S$12:$AA$12+INDEX($AJ$13:$AR$162,BN1201,0)+INDEX($AT$13:$BB$162,BO1201,0)+INDEX($BD$13:$BL$162,BP1201,0))/100))),0)</f>
        <v/>
      </c>
      <c r="BT1201">
        <f>IF(AND(1188&lt;$U$9,$W$5),BQ1201*1000000-MIN(BR1201,999)*1000+BS1201-1188/100000,-1000000000-1188)</f>
        <v/>
      </c>
    </row>
    <row r="1202">
      <c r="BN1202">
        <f>IF(1189&lt;$U$9,INT(1189/($U$7*$U$8))+1,1)</f>
        <v/>
      </c>
      <c r="BO1202">
        <f>IF(1189&lt;$U$9,MOD(INT(1189/$U$8),$U$7)+1,1)</f>
        <v/>
      </c>
      <c r="BP1202">
        <f>IF(1189&lt;$U$9,MOD(1189,$U$8)+1,1)</f>
        <v/>
      </c>
      <c r="BQ1202">
        <f>IF(1189&lt;$U$9,SUMPRODUCT(($D$10:$L$10&lt;&gt;"")*(($D$9:$L$9+INT(($S$12:$AA$12+INDEX($AJ$13:$AR$162,BN1202,0)+INDEX($AT$13:$BB$162,BO1202,0)+INDEX($BD$13:$BL$162,BP1202,0))/100))&gt;=$D$10:$L$10)),0)</f>
        <v/>
      </c>
      <c r="BR1202">
        <f>IF(1189&lt;$U$9,SUMPRODUCT(($D$10:$L$10&lt;&gt;"")*(($D$10:$L$10-($D$9:$L$9+INT(($S$12:$AA$12+INDEX($AJ$13:$AR$162,BN1202,0)+INDEX($AT$13:$BB$162,BO1202,0)+INDEX($BD$13:$BL$162,BP1202,0))/100)))&gt;0)*($D$10:$L$10-($D$9:$L$9+INT(($S$12:$AA$12+INDEX($AJ$13:$AR$162,BN1202,0)+INDEX($AT$13:$BB$162,BO1202,0)+INDEX($BD$13:$BL$162,BP1202,0))/100)))),0)</f>
        <v/>
      </c>
      <c r="BS1202">
        <f>IF(1189&lt;$U$9,SUMPRODUCT(($D$9:$L$9+INT(($S$12:$AA$12+INDEX($AJ$13:$AR$162,BN1202,0)+INDEX($AT$13:$BB$162,BO1202,0)+INDEX($BD$13:$BL$162,BP1202,0))/100))),0)</f>
        <v/>
      </c>
      <c r="BT1202">
        <f>IF(AND(1189&lt;$U$9,$W$5),BQ1202*1000000-MIN(BR1202,999)*1000+BS1202-1189/100000,-1000000000-1189)</f>
        <v/>
      </c>
    </row>
    <row r="1203">
      <c r="BN1203">
        <f>IF(1190&lt;$U$9,INT(1190/($U$7*$U$8))+1,1)</f>
        <v/>
      </c>
      <c r="BO1203">
        <f>IF(1190&lt;$U$9,MOD(INT(1190/$U$8),$U$7)+1,1)</f>
        <v/>
      </c>
      <c r="BP1203">
        <f>IF(1190&lt;$U$9,MOD(1190,$U$8)+1,1)</f>
        <v/>
      </c>
      <c r="BQ1203">
        <f>IF(1190&lt;$U$9,SUMPRODUCT(($D$10:$L$10&lt;&gt;"")*(($D$9:$L$9+INT(($S$12:$AA$12+INDEX($AJ$13:$AR$162,BN1203,0)+INDEX($AT$13:$BB$162,BO1203,0)+INDEX($BD$13:$BL$162,BP1203,0))/100))&gt;=$D$10:$L$10)),0)</f>
        <v/>
      </c>
      <c r="BR1203">
        <f>IF(1190&lt;$U$9,SUMPRODUCT(($D$10:$L$10&lt;&gt;"")*(($D$10:$L$10-($D$9:$L$9+INT(($S$12:$AA$12+INDEX($AJ$13:$AR$162,BN1203,0)+INDEX($AT$13:$BB$162,BO1203,0)+INDEX($BD$13:$BL$162,BP1203,0))/100)))&gt;0)*($D$10:$L$10-($D$9:$L$9+INT(($S$12:$AA$12+INDEX($AJ$13:$AR$162,BN1203,0)+INDEX($AT$13:$BB$162,BO1203,0)+INDEX($BD$13:$BL$162,BP1203,0))/100)))),0)</f>
        <v/>
      </c>
      <c r="BS1203">
        <f>IF(1190&lt;$U$9,SUMPRODUCT(($D$9:$L$9+INT(($S$12:$AA$12+INDEX($AJ$13:$AR$162,BN1203,0)+INDEX($AT$13:$BB$162,BO1203,0)+INDEX($BD$13:$BL$162,BP1203,0))/100))),0)</f>
        <v/>
      </c>
      <c r="BT1203">
        <f>IF(AND(1190&lt;$U$9,$W$5),BQ1203*1000000-MIN(BR1203,999)*1000+BS1203-1190/100000,-1000000000-1190)</f>
        <v/>
      </c>
    </row>
    <row r="1204">
      <c r="BN1204">
        <f>IF(1191&lt;$U$9,INT(1191/($U$7*$U$8))+1,1)</f>
        <v/>
      </c>
      <c r="BO1204">
        <f>IF(1191&lt;$U$9,MOD(INT(1191/$U$8),$U$7)+1,1)</f>
        <v/>
      </c>
      <c r="BP1204">
        <f>IF(1191&lt;$U$9,MOD(1191,$U$8)+1,1)</f>
        <v/>
      </c>
      <c r="BQ1204">
        <f>IF(1191&lt;$U$9,SUMPRODUCT(($D$10:$L$10&lt;&gt;"")*(($D$9:$L$9+INT(($S$12:$AA$12+INDEX($AJ$13:$AR$162,BN1204,0)+INDEX($AT$13:$BB$162,BO1204,0)+INDEX($BD$13:$BL$162,BP1204,0))/100))&gt;=$D$10:$L$10)),0)</f>
        <v/>
      </c>
      <c r="BR1204">
        <f>IF(1191&lt;$U$9,SUMPRODUCT(($D$10:$L$10&lt;&gt;"")*(($D$10:$L$10-($D$9:$L$9+INT(($S$12:$AA$12+INDEX($AJ$13:$AR$162,BN1204,0)+INDEX($AT$13:$BB$162,BO1204,0)+INDEX($BD$13:$BL$162,BP1204,0))/100)))&gt;0)*($D$10:$L$10-($D$9:$L$9+INT(($S$12:$AA$12+INDEX($AJ$13:$AR$162,BN1204,0)+INDEX($AT$13:$BB$162,BO1204,0)+INDEX($BD$13:$BL$162,BP1204,0))/100)))),0)</f>
        <v/>
      </c>
      <c r="BS1204">
        <f>IF(1191&lt;$U$9,SUMPRODUCT(($D$9:$L$9+INT(($S$12:$AA$12+INDEX($AJ$13:$AR$162,BN1204,0)+INDEX($AT$13:$BB$162,BO1204,0)+INDEX($BD$13:$BL$162,BP1204,0))/100))),0)</f>
        <v/>
      </c>
      <c r="BT1204">
        <f>IF(AND(1191&lt;$U$9,$W$5),BQ1204*1000000-MIN(BR1204,999)*1000+BS1204-1191/100000,-1000000000-1191)</f>
        <v/>
      </c>
    </row>
    <row r="1205">
      <c r="BN1205">
        <f>IF(1192&lt;$U$9,INT(1192/($U$7*$U$8))+1,1)</f>
        <v/>
      </c>
      <c r="BO1205">
        <f>IF(1192&lt;$U$9,MOD(INT(1192/$U$8),$U$7)+1,1)</f>
        <v/>
      </c>
      <c r="BP1205">
        <f>IF(1192&lt;$U$9,MOD(1192,$U$8)+1,1)</f>
        <v/>
      </c>
      <c r="BQ1205">
        <f>IF(1192&lt;$U$9,SUMPRODUCT(($D$10:$L$10&lt;&gt;"")*(($D$9:$L$9+INT(($S$12:$AA$12+INDEX($AJ$13:$AR$162,BN1205,0)+INDEX($AT$13:$BB$162,BO1205,0)+INDEX($BD$13:$BL$162,BP1205,0))/100))&gt;=$D$10:$L$10)),0)</f>
        <v/>
      </c>
      <c r="BR1205">
        <f>IF(1192&lt;$U$9,SUMPRODUCT(($D$10:$L$10&lt;&gt;"")*(($D$10:$L$10-($D$9:$L$9+INT(($S$12:$AA$12+INDEX($AJ$13:$AR$162,BN1205,0)+INDEX($AT$13:$BB$162,BO1205,0)+INDEX($BD$13:$BL$162,BP1205,0))/100)))&gt;0)*($D$10:$L$10-($D$9:$L$9+INT(($S$12:$AA$12+INDEX($AJ$13:$AR$162,BN1205,0)+INDEX($AT$13:$BB$162,BO1205,0)+INDEX($BD$13:$BL$162,BP1205,0))/100)))),0)</f>
        <v/>
      </c>
      <c r="BS1205">
        <f>IF(1192&lt;$U$9,SUMPRODUCT(($D$9:$L$9+INT(($S$12:$AA$12+INDEX($AJ$13:$AR$162,BN1205,0)+INDEX($AT$13:$BB$162,BO1205,0)+INDEX($BD$13:$BL$162,BP1205,0))/100))),0)</f>
        <v/>
      </c>
      <c r="BT1205">
        <f>IF(AND(1192&lt;$U$9,$W$5),BQ1205*1000000-MIN(BR1205,999)*1000+BS1205-1192/100000,-1000000000-1192)</f>
        <v/>
      </c>
    </row>
    <row r="1206">
      <c r="BN1206">
        <f>IF(1193&lt;$U$9,INT(1193/($U$7*$U$8))+1,1)</f>
        <v/>
      </c>
      <c r="BO1206">
        <f>IF(1193&lt;$U$9,MOD(INT(1193/$U$8),$U$7)+1,1)</f>
        <v/>
      </c>
      <c r="BP1206">
        <f>IF(1193&lt;$U$9,MOD(1193,$U$8)+1,1)</f>
        <v/>
      </c>
      <c r="BQ1206">
        <f>IF(1193&lt;$U$9,SUMPRODUCT(($D$10:$L$10&lt;&gt;"")*(($D$9:$L$9+INT(($S$12:$AA$12+INDEX($AJ$13:$AR$162,BN1206,0)+INDEX($AT$13:$BB$162,BO1206,0)+INDEX($BD$13:$BL$162,BP1206,0))/100))&gt;=$D$10:$L$10)),0)</f>
        <v/>
      </c>
      <c r="BR1206">
        <f>IF(1193&lt;$U$9,SUMPRODUCT(($D$10:$L$10&lt;&gt;"")*(($D$10:$L$10-($D$9:$L$9+INT(($S$12:$AA$12+INDEX($AJ$13:$AR$162,BN1206,0)+INDEX($AT$13:$BB$162,BO1206,0)+INDEX($BD$13:$BL$162,BP1206,0))/100)))&gt;0)*($D$10:$L$10-($D$9:$L$9+INT(($S$12:$AA$12+INDEX($AJ$13:$AR$162,BN1206,0)+INDEX($AT$13:$BB$162,BO1206,0)+INDEX($BD$13:$BL$162,BP1206,0))/100)))),0)</f>
        <v/>
      </c>
      <c r="BS1206">
        <f>IF(1193&lt;$U$9,SUMPRODUCT(($D$9:$L$9+INT(($S$12:$AA$12+INDEX($AJ$13:$AR$162,BN1206,0)+INDEX($AT$13:$BB$162,BO1206,0)+INDEX($BD$13:$BL$162,BP1206,0))/100))),0)</f>
        <v/>
      </c>
      <c r="BT1206">
        <f>IF(AND(1193&lt;$U$9,$W$5),BQ1206*1000000-MIN(BR1206,999)*1000+BS1206-1193/100000,-1000000000-1193)</f>
        <v/>
      </c>
    </row>
    <row r="1207">
      <c r="BN1207">
        <f>IF(1194&lt;$U$9,INT(1194/($U$7*$U$8))+1,1)</f>
        <v/>
      </c>
      <c r="BO1207">
        <f>IF(1194&lt;$U$9,MOD(INT(1194/$U$8),$U$7)+1,1)</f>
        <v/>
      </c>
      <c r="BP1207">
        <f>IF(1194&lt;$U$9,MOD(1194,$U$8)+1,1)</f>
        <v/>
      </c>
      <c r="BQ1207">
        <f>IF(1194&lt;$U$9,SUMPRODUCT(($D$10:$L$10&lt;&gt;"")*(($D$9:$L$9+INT(($S$12:$AA$12+INDEX($AJ$13:$AR$162,BN1207,0)+INDEX($AT$13:$BB$162,BO1207,0)+INDEX($BD$13:$BL$162,BP1207,0))/100))&gt;=$D$10:$L$10)),0)</f>
        <v/>
      </c>
      <c r="BR1207">
        <f>IF(1194&lt;$U$9,SUMPRODUCT(($D$10:$L$10&lt;&gt;"")*(($D$10:$L$10-($D$9:$L$9+INT(($S$12:$AA$12+INDEX($AJ$13:$AR$162,BN1207,0)+INDEX($AT$13:$BB$162,BO1207,0)+INDEX($BD$13:$BL$162,BP1207,0))/100)))&gt;0)*($D$10:$L$10-($D$9:$L$9+INT(($S$12:$AA$12+INDEX($AJ$13:$AR$162,BN1207,0)+INDEX($AT$13:$BB$162,BO1207,0)+INDEX($BD$13:$BL$162,BP1207,0))/100)))),0)</f>
        <v/>
      </c>
      <c r="BS1207">
        <f>IF(1194&lt;$U$9,SUMPRODUCT(($D$9:$L$9+INT(($S$12:$AA$12+INDEX($AJ$13:$AR$162,BN1207,0)+INDEX($AT$13:$BB$162,BO1207,0)+INDEX($BD$13:$BL$162,BP1207,0))/100))),0)</f>
        <v/>
      </c>
      <c r="BT1207">
        <f>IF(AND(1194&lt;$U$9,$W$5),BQ1207*1000000-MIN(BR1207,999)*1000+BS1207-1194/100000,-1000000000-1194)</f>
        <v/>
      </c>
    </row>
    <row r="1208">
      <c r="BN1208">
        <f>IF(1195&lt;$U$9,INT(1195/($U$7*$U$8))+1,1)</f>
        <v/>
      </c>
      <c r="BO1208">
        <f>IF(1195&lt;$U$9,MOD(INT(1195/$U$8),$U$7)+1,1)</f>
        <v/>
      </c>
      <c r="BP1208">
        <f>IF(1195&lt;$U$9,MOD(1195,$U$8)+1,1)</f>
        <v/>
      </c>
      <c r="BQ1208">
        <f>IF(1195&lt;$U$9,SUMPRODUCT(($D$10:$L$10&lt;&gt;"")*(($D$9:$L$9+INT(($S$12:$AA$12+INDEX($AJ$13:$AR$162,BN1208,0)+INDEX($AT$13:$BB$162,BO1208,0)+INDEX($BD$13:$BL$162,BP1208,0))/100))&gt;=$D$10:$L$10)),0)</f>
        <v/>
      </c>
      <c r="BR1208">
        <f>IF(1195&lt;$U$9,SUMPRODUCT(($D$10:$L$10&lt;&gt;"")*(($D$10:$L$10-($D$9:$L$9+INT(($S$12:$AA$12+INDEX($AJ$13:$AR$162,BN1208,0)+INDEX($AT$13:$BB$162,BO1208,0)+INDEX($BD$13:$BL$162,BP1208,0))/100)))&gt;0)*($D$10:$L$10-($D$9:$L$9+INT(($S$12:$AA$12+INDEX($AJ$13:$AR$162,BN1208,0)+INDEX($AT$13:$BB$162,BO1208,0)+INDEX($BD$13:$BL$162,BP1208,0))/100)))),0)</f>
        <v/>
      </c>
      <c r="BS1208">
        <f>IF(1195&lt;$U$9,SUMPRODUCT(($D$9:$L$9+INT(($S$12:$AA$12+INDEX($AJ$13:$AR$162,BN1208,0)+INDEX($AT$13:$BB$162,BO1208,0)+INDEX($BD$13:$BL$162,BP1208,0))/100))),0)</f>
        <v/>
      </c>
      <c r="BT1208">
        <f>IF(AND(1195&lt;$U$9,$W$5),BQ1208*1000000-MIN(BR1208,999)*1000+BS1208-1195/100000,-1000000000-1195)</f>
        <v/>
      </c>
    </row>
    <row r="1209">
      <c r="BN1209">
        <f>IF(1196&lt;$U$9,INT(1196/($U$7*$U$8))+1,1)</f>
        <v/>
      </c>
      <c r="BO1209">
        <f>IF(1196&lt;$U$9,MOD(INT(1196/$U$8),$U$7)+1,1)</f>
        <v/>
      </c>
      <c r="BP1209">
        <f>IF(1196&lt;$U$9,MOD(1196,$U$8)+1,1)</f>
        <v/>
      </c>
      <c r="BQ1209">
        <f>IF(1196&lt;$U$9,SUMPRODUCT(($D$10:$L$10&lt;&gt;"")*(($D$9:$L$9+INT(($S$12:$AA$12+INDEX($AJ$13:$AR$162,BN1209,0)+INDEX($AT$13:$BB$162,BO1209,0)+INDEX($BD$13:$BL$162,BP1209,0))/100))&gt;=$D$10:$L$10)),0)</f>
        <v/>
      </c>
      <c r="BR1209">
        <f>IF(1196&lt;$U$9,SUMPRODUCT(($D$10:$L$10&lt;&gt;"")*(($D$10:$L$10-($D$9:$L$9+INT(($S$12:$AA$12+INDEX($AJ$13:$AR$162,BN1209,0)+INDEX($AT$13:$BB$162,BO1209,0)+INDEX($BD$13:$BL$162,BP1209,0))/100)))&gt;0)*($D$10:$L$10-($D$9:$L$9+INT(($S$12:$AA$12+INDEX($AJ$13:$AR$162,BN1209,0)+INDEX($AT$13:$BB$162,BO1209,0)+INDEX($BD$13:$BL$162,BP1209,0))/100)))),0)</f>
        <v/>
      </c>
      <c r="BS1209">
        <f>IF(1196&lt;$U$9,SUMPRODUCT(($D$9:$L$9+INT(($S$12:$AA$12+INDEX($AJ$13:$AR$162,BN1209,0)+INDEX($AT$13:$BB$162,BO1209,0)+INDEX($BD$13:$BL$162,BP1209,0))/100))),0)</f>
        <v/>
      </c>
      <c r="BT1209">
        <f>IF(AND(1196&lt;$U$9,$W$5),BQ1209*1000000-MIN(BR1209,999)*1000+BS1209-1196/100000,-1000000000-1196)</f>
        <v/>
      </c>
    </row>
    <row r="1210">
      <c r="BN1210">
        <f>IF(1197&lt;$U$9,INT(1197/($U$7*$U$8))+1,1)</f>
        <v/>
      </c>
      <c r="BO1210">
        <f>IF(1197&lt;$U$9,MOD(INT(1197/$U$8),$U$7)+1,1)</f>
        <v/>
      </c>
      <c r="BP1210">
        <f>IF(1197&lt;$U$9,MOD(1197,$U$8)+1,1)</f>
        <v/>
      </c>
      <c r="BQ1210">
        <f>IF(1197&lt;$U$9,SUMPRODUCT(($D$10:$L$10&lt;&gt;"")*(($D$9:$L$9+INT(($S$12:$AA$12+INDEX($AJ$13:$AR$162,BN1210,0)+INDEX($AT$13:$BB$162,BO1210,0)+INDEX($BD$13:$BL$162,BP1210,0))/100))&gt;=$D$10:$L$10)),0)</f>
        <v/>
      </c>
      <c r="BR1210">
        <f>IF(1197&lt;$U$9,SUMPRODUCT(($D$10:$L$10&lt;&gt;"")*(($D$10:$L$10-($D$9:$L$9+INT(($S$12:$AA$12+INDEX($AJ$13:$AR$162,BN1210,0)+INDEX($AT$13:$BB$162,BO1210,0)+INDEX($BD$13:$BL$162,BP1210,0))/100)))&gt;0)*($D$10:$L$10-($D$9:$L$9+INT(($S$12:$AA$12+INDEX($AJ$13:$AR$162,BN1210,0)+INDEX($AT$13:$BB$162,BO1210,0)+INDEX($BD$13:$BL$162,BP1210,0))/100)))),0)</f>
        <v/>
      </c>
      <c r="BS1210">
        <f>IF(1197&lt;$U$9,SUMPRODUCT(($D$9:$L$9+INT(($S$12:$AA$12+INDEX($AJ$13:$AR$162,BN1210,0)+INDEX($AT$13:$BB$162,BO1210,0)+INDEX($BD$13:$BL$162,BP1210,0))/100))),0)</f>
        <v/>
      </c>
      <c r="BT1210">
        <f>IF(AND(1197&lt;$U$9,$W$5),BQ1210*1000000-MIN(BR1210,999)*1000+BS1210-1197/100000,-1000000000-1197)</f>
        <v/>
      </c>
    </row>
    <row r="1211">
      <c r="BN1211">
        <f>IF(1198&lt;$U$9,INT(1198/($U$7*$U$8))+1,1)</f>
        <v/>
      </c>
      <c r="BO1211">
        <f>IF(1198&lt;$U$9,MOD(INT(1198/$U$8),$U$7)+1,1)</f>
        <v/>
      </c>
      <c r="BP1211">
        <f>IF(1198&lt;$U$9,MOD(1198,$U$8)+1,1)</f>
        <v/>
      </c>
      <c r="BQ1211">
        <f>IF(1198&lt;$U$9,SUMPRODUCT(($D$10:$L$10&lt;&gt;"")*(($D$9:$L$9+INT(($S$12:$AA$12+INDEX($AJ$13:$AR$162,BN1211,0)+INDEX($AT$13:$BB$162,BO1211,0)+INDEX($BD$13:$BL$162,BP1211,0))/100))&gt;=$D$10:$L$10)),0)</f>
        <v/>
      </c>
      <c r="BR1211">
        <f>IF(1198&lt;$U$9,SUMPRODUCT(($D$10:$L$10&lt;&gt;"")*(($D$10:$L$10-($D$9:$L$9+INT(($S$12:$AA$12+INDEX($AJ$13:$AR$162,BN1211,0)+INDEX($AT$13:$BB$162,BO1211,0)+INDEX($BD$13:$BL$162,BP1211,0))/100)))&gt;0)*($D$10:$L$10-($D$9:$L$9+INT(($S$12:$AA$12+INDEX($AJ$13:$AR$162,BN1211,0)+INDEX($AT$13:$BB$162,BO1211,0)+INDEX($BD$13:$BL$162,BP1211,0))/100)))),0)</f>
        <v/>
      </c>
      <c r="BS1211">
        <f>IF(1198&lt;$U$9,SUMPRODUCT(($D$9:$L$9+INT(($S$12:$AA$12+INDEX($AJ$13:$AR$162,BN1211,0)+INDEX($AT$13:$BB$162,BO1211,0)+INDEX($BD$13:$BL$162,BP1211,0))/100))),0)</f>
        <v/>
      </c>
      <c r="BT1211">
        <f>IF(AND(1198&lt;$U$9,$W$5),BQ1211*1000000-MIN(BR1211,999)*1000+BS1211-1198/100000,-1000000000-1198)</f>
        <v/>
      </c>
    </row>
    <row r="1212">
      <c r="BN1212">
        <f>IF(1199&lt;$U$9,INT(1199/($U$7*$U$8))+1,1)</f>
        <v/>
      </c>
      <c r="BO1212">
        <f>IF(1199&lt;$U$9,MOD(INT(1199/$U$8),$U$7)+1,1)</f>
        <v/>
      </c>
      <c r="BP1212">
        <f>IF(1199&lt;$U$9,MOD(1199,$U$8)+1,1)</f>
        <v/>
      </c>
      <c r="BQ1212">
        <f>IF(1199&lt;$U$9,SUMPRODUCT(($D$10:$L$10&lt;&gt;"")*(($D$9:$L$9+INT(($S$12:$AA$12+INDEX($AJ$13:$AR$162,BN1212,0)+INDEX($AT$13:$BB$162,BO1212,0)+INDEX($BD$13:$BL$162,BP1212,0))/100))&gt;=$D$10:$L$10)),0)</f>
        <v/>
      </c>
      <c r="BR1212">
        <f>IF(1199&lt;$U$9,SUMPRODUCT(($D$10:$L$10&lt;&gt;"")*(($D$10:$L$10-($D$9:$L$9+INT(($S$12:$AA$12+INDEX($AJ$13:$AR$162,BN1212,0)+INDEX($AT$13:$BB$162,BO1212,0)+INDEX($BD$13:$BL$162,BP1212,0))/100)))&gt;0)*($D$10:$L$10-($D$9:$L$9+INT(($S$12:$AA$12+INDEX($AJ$13:$AR$162,BN1212,0)+INDEX($AT$13:$BB$162,BO1212,0)+INDEX($BD$13:$BL$162,BP1212,0))/100)))),0)</f>
        <v/>
      </c>
      <c r="BS1212">
        <f>IF(1199&lt;$U$9,SUMPRODUCT(($D$9:$L$9+INT(($S$12:$AA$12+INDEX($AJ$13:$AR$162,BN1212,0)+INDEX($AT$13:$BB$162,BO1212,0)+INDEX($BD$13:$BL$162,BP1212,0))/100))),0)</f>
        <v/>
      </c>
      <c r="BT1212">
        <f>IF(AND(1199&lt;$U$9,$W$5),BQ1212*1000000-MIN(BR1212,999)*1000+BS1212-1199/100000,-1000000000-1199)</f>
        <v/>
      </c>
    </row>
    <row r="1213">
      <c r="BN1213">
        <f>IF(1200&lt;$U$9,INT(1200/($U$7*$U$8))+1,1)</f>
        <v/>
      </c>
      <c r="BO1213">
        <f>IF(1200&lt;$U$9,MOD(INT(1200/$U$8),$U$7)+1,1)</f>
        <v/>
      </c>
      <c r="BP1213">
        <f>IF(1200&lt;$U$9,MOD(1200,$U$8)+1,1)</f>
        <v/>
      </c>
      <c r="BQ1213">
        <f>IF(1200&lt;$U$9,SUMPRODUCT(($D$10:$L$10&lt;&gt;"")*(($D$9:$L$9+INT(($S$12:$AA$12+INDEX($AJ$13:$AR$162,BN1213,0)+INDEX($AT$13:$BB$162,BO1213,0)+INDEX($BD$13:$BL$162,BP1213,0))/100))&gt;=$D$10:$L$10)),0)</f>
        <v/>
      </c>
      <c r="BR1213">
        <f>IF(1200&lt;$U$9,SUMPRODUCT(($D$10:$L$10&lt;&gt;"")*(($D$10:$L$10-($D$9:$L$9+INT(($S$12:$AA$12+INDEX($AJ$13:$AR$162,BN1213,0)+INDEX($AT$13:$BB$162,BO1213,0)+INDEX($BD$13:$BL$162,BP1213,0))/100)))&gt;0)*($D$10:$L$10-($D$9:$L$9+INT(($S$12:$AA$12+INDEX($AJ$13:$AR$162,BN1213,0)+INDEX($AT$13:$BB$162,BO1213,0)+INDEX($BD$13:$BL$162,BP1213,0))/100)))),0)</f>
        <v/>
      </c>
      <c r="BS1213">
        <f>IF(1200&lt;$U$9,SUMPRODUCT(($D$9:$L$9+INT(($S$12:$AA$12+INDEX($AJ$13:$AR$162,BN1213,0)+INDEX($AT$13:$BB$162,BO1213,0)+INDEX($BD$13:$BL$162,BP1213,0))/100))),0)</f>
        <v/>
      </c>
      <c r="BT1213">
        <f>IF(AND(1200&lt;$U$9,$W$5),BQ1213*1000000-MIN(BR1213,999)*1000+BS1213-1200/100000,-1000000000-1200)</f>
        <v/>
      </c>
    </row>
    <row r="1214">
      <c r="BN1214">
        <f>IF(1201&lt;$U$9,INT(1201/($U$7*$U$8))+1,1)</f>
        <v/>
      </c>
      <c r="BO1214">
        <f>IF(1201&lt;$U$9,MOD(INT(1201/$U$8),$U$7)+1,1)</f>
        <v/>
      </c>
      <c r="BP1214">
        <f>IF(1201&lt;$U$9,MOD(1201,$U$8)+1,1)</f>
        <v/>
      </c>
      <c r="BQ1214">
        <f>IF(1201&lt;$U$9,SUMPRODUCT(($D$10:$L$10&lt;&gt;"")*(($D$9:$L$9+INT(($S$12:$AA$12+INDEX($AJ$13:$AR$162,BN1214,0)+INDEX($AT$13:$BB$162,BO1214,0)+INDEX($BD$13:$BL$162,BP1214,0))/100))&gt;=$D$10:$L$10)),0)</f>
        <v/>
      </c>
      <c r="BR1214">
        <f>IF(1201&lt;$U$9,SUMPRODUCT(($D$10:$L$10&lt;&gt;"")*(($D$10:$L$10-($D$9:$L$9+INT(($S$12:$AA$12+INDEX($AJ$13:$AR$162,BN1214,0)+INDEX($AT$13:$BB$162,BO1214,0)+INDEX($BD$13:$BL$162,BP1214,0))/100)))&gt;0)*($D$10:$L$10-($D$9:$L$9+INT(($S$12:$AA$12+INDEX($AJ$13:$AR$162,BN1214,0)+INDEX($AT$13:$BB$162,BO1214,0)+INDEX($BD$13:$BL$162,BP1214,0))/100)))),0)</f>
        <v/>
      </c>
      <c r="BS1214">
        <f>IF(1201&lt;$U$9,SUMPRODUCT(($D$9:$L$9+INT(($S$12:$AA$12+INDEX($AJ$13:$AR$162,BN1214,0)+INDEX($AT$13:$BB$162,BO1214,0)+INDEX($BD$13:$BL$162,BP1214,0))/100))),0)</f>
        <v/>
      </c>
      <c r="BT1214">
        <f>IF(AND(1201&lt;$U$9,$W$5),BQ1214*1000000-MIN(BR1214,999)*1000+BS1214-1201/100000,-1000000000-1201)</f>
        <v/>
      </c>
    </row>
    <row r="1215">
      <c r="BN1215">
        <f>IF(1202&lt;$U$9,INT(1202/($U$7*$U$8))+1,1)</f>
        <v/>
      </c>
      <c r="BO1215">
        <f>IF(1202&lt;$U$9,MOD(INT(1202/$U$8),$U$7)+1,1)</f>
        <v/>
      </c>
      <c r="BP1215">
        <f>IF(1202&lt;$U$9,MOD(1202,$U$8)+1,1)</f>
        <v/>
      </c>
      <c r="BQ1215">
        <f>IF(1202&lt;$U$9,SUMPRODUCT(($D$10:$L$10&lt;&gt;"")*(($D$9:$L$9+INT(($S$12:$AA$12+INDEX($AJ$13:$AR$162,BN1215,0)+INDEX($AT$13:$BB$162,BO1215,0)+INDEX($BD$13:$BL$162,BP1215,0))/100))&gt;=$D$10:$L$10)),0)</f>
        <v/>
      </c>
      <c r="BR1215">
        <f>IF(1202&lt;$U$9,SUMPRODUCT(($D$10:$L$10&lt;&gt;"")*(($D$10:$L$10-($D$9:$L$9+INT(($S$12:$AA$12+INDEX($AJ$13:$AR$162,BN1215,0)+INDEX($AT$13:$BB$162,BO1215,0)+INDEX($BD$13:$BL$162,BP1215,0))/100)))&gt;0)*($D$10:$L$10-($D$9:$L$9+INT(($S$12:$AA$12+INDEX($AJ$13:$AR$162,BN1215,0)+INDEX($AT$13:$BB$162,BO1215,0)+INDEX($BD$13:$BL$162,BP1215,0))/100)))),0)</f>
        <v/>
      </c>
      <c r="BS1215">
        <f>IF(1202&lt;$U$9,SUMPRODUCT(($D$9:$L$9+INT(($S$12:$AA$12+INDEX($AJ$13:$AR$162,BN1215,0)+INDEX($AT$13:$BB$162,BO1215,0)+INDEX($BD$13:$BL$162,BP1215,0))/100))),0)</f>
        <v/>
      </c>
      <c r="BT1215">
        <f>IF(AND(1202&lt;$U$9,$W$5),BQ1215*1000000-MIN(BR1215,999)*1000+BS1215-1202/100000,-1000000000-1202)</f>
        <v/>
      </c>
    </row>
    <row r="1216">
      <c r="BN1216">
        <f>IF(1203&lt;$U$9,INT(1203/($U$7*$U$8))+1,1)</f>
        <v/>
      </c>
      <c r="BO1216">
        <f>IF(1203&lt;$U$9,MOD(INT(1203/$U$8),$U$7)+1,1)</f>
        <v/>
      </c>
      <c r="BP1216">
        <f>IF(1203&lt;$U$9,MOD(1203,$U$8)+1,1)</f>
        <v/>
      </c>
      <c r="BQ1216">
        <f>IF(1203&lt;$U$9,SUMPRODUCT(($D$10:$L$10&lt;&gt;"")*(($D$9:$L$9+INT(($S$12:$AA$12+INDEX($AJ$13:$AR$162,BN1216,0)+INDEX($AT$13:$BB$162,BO1216,0)+INDEX($BD$13:$BL$162,BP1216,0))/100))&gt;=$D$10:$L$10)),0)</f>
        <v/>
      </c>
      <c r="BR1216">
        <f>IF(1203&lt;$U$9,SUMPRODUCT(($D$10:$L$10&lt;&gt;"")*(($D$10:$L$10-($D$9:$L$9+INT(($S$12:$AA$12+INDEX($AJ$13:$AR$162,BN1216,0)+INDEX($AT$13:$BB$162,BO1216,0)+INDEX($BD$13:$BL$162,BP1216,0))/100)))&gt;0)*($D$10:$L$10-($D$9:$L$9+INT(($S$12:$AA$12+INDEX($AJ$13:$AR$162,BN1216,0)+INDEX($AT$13:$BB$162,BO1216,0)+INDEX($BD$13:$BL$162,BP1216,0))/100)))),0)</f>
        <v/>
      </c>
      <c r="BS1216">
        <f>IF(1203&lt;$U$9,SUMPRODUCT(($D$9:$L$9+INT(($S$12:$AA$12+INDEX($AJ$13:$AR$162,BN1216,0)+INDEX($AT$13:$BB$162,BO1216,0)+INDEX($BD$13:$BL$162,BP1216,0))/100))),0)</f>
        <v/>
      </c>
      <c r="BT1216">
        <f>IF(AND(1203&lt;$U$9,$W$5),BQ1216*1000000-MIN(BR1216,999)*1000+BS1216-1203/100000,-1000000000-1203)</f>
        <v/>
      </c>
    </row>
    <row r="1217">
      <c r="BN1217">
        <f>IF(1204&lt;$U$9,INT(1204/($U$7*$U$8))+1,1)</f>
        <v/>
      </c>
      <c r="BO1217">
        <f>IF(1204&lt;$U$9,MOD(INT(1204/$U$8),$U$7)+1,1)</f>
        <v/>
      </c>
      <c r="BP1217">
        <f>IF(1204&lt;$U$9,MOD(1204,$U$8)+1,1)</f>
        <v/>
      </c>
      <c r="BQ1217">
        <f>IF(1204&lt;$U$9,SUMPRODUCT(($D$10:$L$10&lt;&gt;"")*(($D$9:$L$9+INT(($S$12:$AA$12+INDEX($AJ$13:$AR$162,BN1217,0)+INDEX($AT$13:$BB$162,BO1217,0)+INDEX($BD$13:$BL$162,BP1217,0))/100))&gt;=$D$10:$L$10)),0)</f>
        <v/>
      </c>
      <c r="BR1217">
        <f>IF(1204&lt;$U$9,SUMPRODUCT(($D$10:$L$10&lt;&gt;"")*(($D$10:$L$10-($D$9:$L$9+INT(($S$12:$AA$12+INDEX($AJ$13:$AR$162,BN1217,0)+INDEX($AT$13:$BB$162,BO1217,0)+INDEX($BD$13:$BL$162,BP1217,0))/100)))&gt;0)*($D$10:$L$10-($D$9:$L$9+INT(($S$12:$AA$12+INDEX($AJ$13:$AR$162,BN1217,0)+INDEX($AT$13:$BB$162,BO1217,0)+INDEX($BD$13:$BL$162,BP1217,0))/100)))),0)</f>
        <v/>
      </c>
      <c r="BS1217">
        <f>IF(1204&lt;$U$9,SUMPRODUCT(($D$9:$L$9+INT(($S$12:$AA$12+INDEX($AJ$13:$AR$162,BN1217,0)+INDEX($AT$13:$BB$162,BO1217,0)+INDEX($BD$13:$BL$162,BP1217,0))/100))),0)</f>
        <v/>
      </c>
      <c r="BT1217">
        <f>IF(AND(1204&lt;$U$9,$W$5),BQ1217*1000000-MIN(BR1217,999)*1000+BS1217-1204/100000,-1000000000-1204)</f>
        <v/>
      </c>
    </row>
    <row r="1218">
      <c r="BN1218">
        <f>IF(1205&lt;$U$9,INT(1205/($U$7*$U$8))+1,1)</f>
        <v/>
      </c>
      <c r="BO1218">
        <f>IF(1205&lt;$U$9,MOD(INT(1205/$U$8),$U$7)+1,1)</f>
        <v/>
      </c>
      <c r="BP1218">
        <f>IF(1205&lt;$U$9,MOD(1205,$U$8)+1,1)</f>
        <v/>
      </c>
      <c r="BQ1218">
        <f>IF(1205&lt;$U$9,SUMPRODUCT(($D$10:$L$10&lt;&gt;"")*(($D$9:$L$9+INT(($S$12:$AA$12+INDEX($AJ$13:$AR$162,BN1218,0)+INDEX($AT$13:$BB$162,BO1218,0)+INDEX($BD$13:$BL$162,BP1218,0))/100))&gt;=$D$10:$L$10)),0)</f>
        <v/>
      </c>
      <c r="BR1218">
        <f>IF(1205&lt;$U$9,SUMPRODUCT(($D$10:$L$10&lt;&gt;"")*(($D$10:$L$10-($D$9:$L$9+INT(($S$12:$AA$12+INDEX($AJ$13:$AR$162,BN1218,0)+INDEX($AT$13:$BB$162,BO1218,0)+INDEX($BD$13:$BL$162,BP1218,0))/100)))&gt;0)*($D$10:$L$10-($D$9:$L$9+INT(($S$12:$AA$12+INDEX($AJ$13:$AR$162,BN1218,0)+INDEX($AT$13:$BB$162,BO1218,0)+INDEX($BD$13:$BL$162,BP1218,0))/100)))),0)</f>
        <v/>
      </c>
      <c r="BS1218">
        <f>IF(1205&lt;$U$9,SUMPRODUCT(($D$9:$L$9+INT(($S$12:$AA$12+INDEX($AJ$13:$AR$162,BN1218,0)+INDEX($AT$13:$BB$162,BO1218,0)+INDEX($BD$13:$BL$162,BP1218,0))/100))),0)</f>
        <v/>
      </c>
      <c r="BT1218">
        <f>IF(AND(1205&lt;$U$9,$W$5),BQ1218*1000000-MIN(BR1218,999)*1000+BS1218-1205/100000,-1000000000-1205)</f>
        <v/>
      </c>
    </row>
    <row r="1219">
      <c r="BN1219">
        <f>IF(1206&lt;$U$9,INT(1206/($U$7*$U$8))+1,1)</f>
        <v/>
      </c>
      <c r="BO1219">
        <f>IF(1206&lt;$U$9,MOD(INT(1206/$U$8),$U$7)+1,1)</f>
        <v/>
      </c>
      <c r="BP1219">
        <f>IF(1206&lt;$U$9,MOD(1206,$U$8)+1,1)</f>
        <v/>
      </c>
      <c r="BQ1219">
        <f>IF(1206&lt;$U$9,SUMPRODUCT(($D$10:$L$10&lt;&gt;"")*(($D$9:$L$9+INT(($S$12:$AA$12+INDEX($AJ$13:$AR$162,BN1219,0)+INDEX($AT$13:$BB$162,BO1219,0)+INDEX($BD$13:$BL$162,BP1219,0))/100))&gt;=$D$10:$L$10)),0)</f>
        <v/>
      </c>
      <c r="BR1219">
        <f>IF(1206&lt;$U$9,SUMPRODUCT(($D$10:$L$10&lt;&gt;"")*(($D$10:$L$10-($D$9:$L$9+INT(($S$12:$AA$12+INDEX($AJ$13:$AR$162,BN1219,0)+INDEX($AT$13:$BB$162,BO1219,0)+INDEX($BD$13:$BL$162,BP1219,0))/100)))&gt;0)*($D$10:$L$10-($D$9:$L$9+INT(($S$12:$AA$12+INDEX($AJ$13:$AR$162,BN1219,0)+INDEX($AT$13:$BB$162,BO1219,0)+INDEX($BD$13:$BL$162,BP1219,0))/100)))),0)</f>
        <v/>
      </c>
      <c r="BS1219">
        <f>IF(1206&lt;$U$9,SUMPRODUCT(($D$9:$L$9+INT(($S$12:$AA$12+INDEX($AJ$13:$AR$162,BN1219,0)+INDEX($AT$13:$BB$162,BO1219,0)+INDEX($BD$13:$BL$162,BP1219,0))/100))),0)</f>
        <v/>
      </c>
      <c r="BT1219">
        <f>IF(AND(1206&lt;$U$9,$W$5),BQ1219*1000000-MIN(BR1219,999)*1000+BS1219-1206/100000,-1000000000-1206)</f>
        <v/>
      </c>
    </row>
    <row r="1220">
      <c r="BN1220">
        <f>IF(1207&lt;$U$9,INT(1207/($U$7*$U$8))+1,1)</f>
        <v/>
      </c>
      <c r="BO1220">
        <f>IF(1207&lt;$U$9,MOD(INT(1207/$U$8),$U$7)+1,1)</f>
        <v/>
      </c>
      <c r="BP1220">
        <f>IF(1207&lt;$U$9,MOD(1207,$U$8)+1,1)</f>
        <v/>
      </c>
      <c r="BQ1220">
        <f>IF(1207&lt;$U$9,SUMPRODUCT(($D$10:$L$10&lt;&gt;"")*(($D$9:$L$9+INT(($S$12:$AA$12+INDEX($AJ$13:$AR$162,BN1220,0)+INDEX($AT$13:$BB$162,BO1220,0)+INDEX($BD$13:$BL$162,BP1220,0))/100))&gt;=$D$10:$L$10)),0)</f>
        <v/>
      </c>
      <c r="BR1220">
        <f>IF(1207&lt;$U$9,SUMPRODUCT(($D$10:$L$10&lt;&gt;"")*(($D$10:$L$10-($D$9:$L$9+INT(($S$12:$AA$12+INDEX($AJ$13:$AR$162,BN1220,0)+INDEX($AT$13:$BB$162,BO1220,0)+INDEX($BD$13:$BL$162,BP1220,0))/100)))&gt;0)*($D$10:$L$10-($D$9:$L$9+INT(($S$12:$AA$12+INDEX($AJ$13:$AR$162,BN1220,0)+INDEX($AT$13:$BB$162,BO1220,0)+INDEX($BD$13:$BL$162,BP1220,0))/100)))),0)</f>
        <v/>
      </c>
      <c r="BS1220">
        <f>IF(1207&lt;$U$9,SUMPRODUCT(($D$9:$L$9+INT(($S$12:$AA$12+INDEX($AJ$13:$AR$162,BN1220,0)+INDEX($AT$13:$BB$162,BO1220,0)+INDEX($BD$13:$BL$162,BP1220,0))/100))),0)</f>
        <v/>
      </c>
      <c r="BT1220">
        <f>IF(AND(1207&lt;$U$9,$W$5),BQ1220*1000000-MIN(BR1220,999)*1000+BS1220-1207/100000,-1000000000-1207)</f>
        <v/>
      </c>
    </row>
    <row r="1221">
      <c r="BN1221">
        <f>IF(1208&lt;$U$9,INT(1208/($U$7*$U$8))+1,1)</f>
        <v/>
      </c>
      <c r="BO1221">
        <f>IF(1208&lt;$U$9,MOD(INT(1208/$U$8),$U$7)+1,1)</f>
        <v/>
      </c>
      <c r="BP1221">
        <f>IF(1208&lt;$U$9,MOD(1208,$U$8)+1,1)</f>
        <v/>
      </c>
      <c r="BQ1221">
        <f>IF(1208&lt;$U$9,SUMPRODUCT(($D$10:$L$10&lt;&gt;"")*(($D$9:$L$9+INT(($S$12:$AA$12+INDEX($AJ$13:$AR$162,BN1221,0)+INDEX($AT$13:$BB$162,BO1221,0)+INDEX($BD$13:$BL$162,BP1221,0))/100))&gt;=$D$10:$L$10)),0)</f>
        <v/>
      </c>
      <c r="BR1221">
        <f>IF(1208&lt;$U$9,SUMPRODUCT(($D$10:$L$10&lt;&gt;"")*(($D$10:$L$10-($D$9:$L$9+INT(($S$12:$AA$12+INDEX($AJ$13:$AR$162,BN1221,0)+INDEX($AT$13:$BB$162,BO1221,0)+INDEX($BD$13:$BL$162,BP1221,0))/100)))&gt;0)*($D$10:$L$10-($D$9:$L$9+INT(($S$12:$AA$12+INDEX($AJ$13:$AR$162,BN1221,0)+INDEX($AT$13:$BB$162,BO1221,0)+INDEX($BD$13:$BL$162,BP1221,0))/100)))),0)</f>
        <v/>
      </c>
      <c r="BS1221">
        <f>IF(1208&lt;$U$9,SUMPRODUCT(($D$9:$L$9+INT(($S$12:$AA$12+INDEX($AJ$13:$AR$162,BN1221,0)+INDEX($AT$13:$BB$162,BO1221,0)+INDEX($BD$13:$BL$162,BP1221,0))/100))),0)</f>
        <v/>
      </c>
      <c r="BT1221">
        <f>IF(AND(1208&lt;$U$9,$W$5),BQ1221*1000000-MIN(BR1221,999)*1000+BS1221-1208/100000,-1000000000-1208)</f>
        <v/>
      </c>
    </row>
    <row r="1222">
      <c r="BN1222">
        <f>IF(1209&lt;$U$9,INT(1209/($U$7*$U$8))+1,1)</f>
        <v/>
      </c>
      <c r="BO1222">
        <f>IF(1209&lt;$U$9,MOD(INT(1209/$U$8),$U$7)+1,1)</f>
        <v/>
      </c>
      <c r="BP1222">
        <f>IF(1209&lt;$U$9,MOD(1209,$U$8)+1,1)</f>
        <v/>
      </c>
      <c r="BQ1222">
        <f>IF(1209&lt;$U$9,SUMPRODUCT(($D$10:$L$10&lt;&gt;"")*(($D$9:$L$9+INT(($S$12:$AA$12+INDEX($AJ$13:$AR$162,BN1222,0)+INDEX($AT$13:$BB$162,BO1222,0)+INDEX($BD$13:$BL$162,BP1222,0))/100))&gt;=$D$10:$L$10)),0)</f>
        <v/>
      </c>
      <c r="BR1222">
        <f>IF(1209&lt;$U$9,SUMPRODUCT(($D$10:$L$10&lt;&gt;"")*(($D$10:$L$10-($D$9:$L$9+INT(($S$12:$AA$12+INDEX($AJ$13:$AR$162,BN1222,0)+INDEX($AT$13:$BB$162,BO1222,0)+INDEX($BD$13:$BL$162,BP1222,0))/100)))&gt;0)*($D$10:$L$10-($D$9:$L$9+INT(($S$12:$AA$12+INDEX($AJ$13:$AR$162,BN1222,0)+INDEX($AT$13:$BB$162,BO1222,0)+INDEX($BD$13:$BL$162,BP1222,0))/100)))),0)</f>
        <v/>
      </c>
      <c r="BS1222">
        <f>IF(1209&lt;$U$9,SUMPRODUCT(($D$9:$L$9+INT(($S$12:$AA$12+INDEX($AJ$13:$AR$162,BN1222,0)+INDEX($AT$13:$BB$162,BO1222,0)+INDEX($BD$13:$BL$162,BP1222,0))/100))),0)</f>
        <v/>
      </c>
      <c r="BT1222">
        <f>IF(AND(1209&lt;$U$9,$W$5),BQ1222*1000000-MIN(BR1222,999)*1000+BS1222-1209/100000,-1000000000-1209)</f>
        <v/>
      </c>
    </row>
    <row r="1223">
      <c r="BN1223">
        <f>IF(1210&lt;$U$9,INT(1210/($U$7*$U$8))+1,1)</f>
        <v/>
      </c>
      <c r="BO1223">
        <f>IF(1210&lt;$U$9,MOD(INT(1210/$U$8),$U$7)+1,1)</f>
        <v/>
      </c>
      <c r="BP1223">
        <f>IF(1210&lt;$U$9,MOD(1210,$U$8)+1,1)</f>
        <v/>
      </c>
      <c r="BQ1223">
        <f>IF(1210&lt;$U$9,SUMPRODUCT(($D$10:$L$10&lt;&gt;"")*(($D$9:$L$9+INT(($S$12:$AA$12+INDEX($AJ$13:$AR$162,BN1223,0)+INDEX($AT$13:$BB$162,BO1223,0)+INDEX($BD$13:$BL$162,BP1223,0))/100))&gt;=$D$10:$L$10)),0)</f>
        <v/>
      </c>
      <c r="BR1223">
        <f>IF(1210&lt;$U$9,SUMPRODUCT(($D$10:$L$10&lt;&gt;"")*(($D$10:$L$10-($D$9:$L$9+INT(($S$12:$AA$12+INDEX($AJ$13:$AR$162,BN1223,0)+INDEX($AT$13:$BB$162,BO1223,0)+INDEX($BD$13:$BL$162,BP1223,0))/100)))&gt;0)*($D$10:$L$10-($D$9:$L$9+INT(($S$12:$AA$12+INDEX($AJ$13:$AR$162,BN1223,0)+INDEX($AT$13:$BB$162,BO1223,0)+INDEX($BD$13:$BL$162,BP1223,0))/100)))),0)</f>
        <v/>
      </c>
      <c r="BS1223">
        <f>IF(1210&lt;$U$9,SUMPRODUCT(($D$9:$L$9+INT(($S$12:$AA$12+INDEX($AJ$13:$AR$162,BN1223,0)+INDEX($AT$13:$BB$162,BO1223,0)+INDEX($BD$13:$BL$162,BP1223,0))/100))),0)</f>
        <v/>
      </c>
      <c r="BT1223">
        <f>IF(AND(1210&lt;$U$9,$W$5),BQ1223*1000000-MIN(BR1223,999)*1000+BS1223-1210/100000,-1000000000-1210)</f>
        <v/>
      </c>
    </row>
    <row r="1224">
      <c r="BN1224">
        <f>IF(1211&lt;$U$9,INT(1211/($U$7*$U$8))+1,1)</f>
        <v/>
      </c>
      <c r="BO1224">
        <f>IF(1211&lt;$U$9,MOD(INT(1211/$U$8),$U$7)+1,1)</f>
        <v/>
      </c>
      <c r="BP1224">
        <f>IF(1211&lt;$U$9,MOD(1211,$U$8)+1,1)</f>
        <v/>
      </c>
      <c r="BQ1224">
        <f>IF(1211&lt;$U$9,SUMPRODUCT(($D$10:$L$10&lt;&gt;"")*(($D$9:$L$9+INT(($S$12:$AA$12+INDEX($AJ$13:$AR$162,BN1224,0)+INDEX($AT$13:$BB$162,BO1224,0)+INDEX($BD$13:$BL$162,BP1224,0))/100))&gt;=$D$10:$L$10)),0)</f>
        <v/>
      </c>
      <c r="BR1224">
        <f>IF(1211&lt;$U$9,SUMPRODUCT(($D$10:$L$10&lt;&gt;"")*(($D$10:$L$10-($D$9:$L$9+INT(($S$12:$AA$12+INDEX($AJ$13:$AR$162,BN1224,0)+INDEX($AT$13:$BB$162,BO1224,0)+INDEX($BD$13:$BL$162,BP1224,0))/100)))&gt;0)*($D$10:$L$10-($D$9:$L$9+INT(($S$12:$AA$12+INDEX($AJ$13:$AR$162,BN1224,0)+INDEX($AT$13:$BB$162,BO1224,0)+INDEX($BD$13:$BL$162,BP1224,0))/100)))),0)</f>
        <v/>
      </c>
      <c r="BS1224">
        <f>IF(1211&lt;$U$9,SUMPRODUCT(($D$9:$L$9+INT(($S$12:$AA$12+INDEX($AJ$13:$AR$162,BN1224,0)+INDEX($AT$13:$BB$162,BO1224,0)+INDEX($BD$13:$BL$162,BP1224,0))/100))),0)</f>
        <v/>
      </c>
      <c r="BT1224">
        <f>IF(AND(1211&lt;$U$9,$W$5),BQ1224*1000000-MIN(BR1224,999)*1000+BS1224-1211/100000,-1000000000-1211)</f>
        <v/>
      </c>
    </row>
    <row r="1225">
      <c r="BN1225">
        <f>IF(1212&lt;$U$9,INT(1212/($U$7*$U$8))+1,1)</f>
        <v/>
      </c>
      <c r="BO1225">
        <f>IF(1212&lt;$U$9,MOD(INT(1212/$U$8),$U$7)+1,1)</f>
        <v/>
      </c>
      <c r="BP1225">
        <f>IF(1212&lt;$U$9,MOD(1212,$U$8)+1,1)</f>
        <v/>
      </c>
      <c r="BQ1225">
        <f>IF(1212&lt;$U$9,SUMPRODUCT(($D$10:$L$10&lt;&gt;"")*(($D$9:$L$9+INT(($S$12:$AA$12+INDEX($AJ$13:$AR$162,BN1225,0)+INDEX($AT$13:$BB$162,BO1225,0)+INDEX($BD$13:$BL$162,BP1225,0))/100))&gt;=$D$10:$L$10)),0)</f>
        <v/>
      </c>
      <c r="BR1225">
        <f>IF(1212&lt;$U$9,SUMPRODUCT(($D$10:$L$10&lt;&gt;"")*(($D$10:$L$10-($D$9:$L$9+INT(($S$12:$AA$12+INDEX($AJ$13:$AR$162,BN1225,0)+INDEX($AT$13:$BB$162,BO1225,0)+INDEX($BD$13:$BL$162,BP1225,0))/100)))&gt;0)*($D$10:$L$10-($D$9:$L$9+INT(($S$12:$AA$12+INDEX($AJ$13:$AR$162,BN1225,0)+INDEX($AT$13:$BB$162,BO1225,0)+INDEX($BD$13:$BL$162,BP1225,0))/100)))),0)</f>
        <v/>
      </c>
      <c r="BS1225">
        <f>IF(1212&lt;$U$9,SUMPRODUCT(($D$9:$L$9+INT(($S$12:$AA$12+INDEX($AJ$13:$AR$162,BN1225,0)+INDEX($AT$13:$BB$162,BO1225,0)+INDEX($BD$13:$BL$162,BP1225,0))/100))),0)</f>
        <v/>
      </c>
      <c r="BT1225">
        <f>IF(AND(1212&lt;$U$9,$W$5),BQ1225*1000000-MIN(BR1225,999)*1000+BS1225-1212/100000,-1000000000-1212)</f>
        <v/>
      </c>
    </row>
    <row r="1226">
      <c r="BN1226">
        <f>IF(1213&lt;$U$9,INT(1213/($U$7*$U$8))+1,1)</f>
        <v/>
      </c>
      <c r="BO1226">
        <f>IF(1213&lt;$U$9,MOD(INT(1213/$U$8),$U$7)+1,1)</f>
        <v/>
      </c>
      <c r="BP1226">
        <f>IF(1213&lt;$U$9,MOD(1213,$U$8)+1,1)</f>
        <v/>
      </c>
      <c r="BQ1226">
        <f>IF(1213&lt;$U$9,SUMPRODUCT(($D$10:$L$10&lt;&gt;"")*(($D$9:$L$9+INT(($S$12:$AA$12+INDEX($AJ$13:$AR$162,BN1226,0)+INDEX($AT$13:$BB$162,BO1226,0)+INDEX($BD$13:$BL$162,BP1226,0))/100))&gt;=$D$10:$L$10)),0)</f>
        <v/>
      </c>
      <c r="BR1226">
        <f>IF(1213&lt;$U$9,SUMPRODUCT(($D$10:$L$10&lt;&gt;"")*(($D$10:$L$10-($D$9:$L$9+INT(($S$12:$AA$12+INDEX($AJ$13:$AR$162,BN1226,0)+INDEX($AT$13:$BB$162,BO1226,0)+INDEX($BD$13:$BL$162,BP1226,0))/100)))&gt;0)*($D$10:$L$10-($D$9:$L$9+INT(($S$12:$AA$12+INDEX($AJ$13:$AR$162,BN1226,0)+INDEX($AT$13:$BB$162,BO1226,0)+INDEX($BD$13:$BL$162,BP1226,0))/100)))),0)</f>
        <v/>
      </c>
      <c r="BS1226">
        <f>IF(1213&lt;$U$9,SUMPRODUCT(($D$9:$L$9+INT(($S$12:$AA$12+INDEX($AJ$13:$AR$162,BN1226,0)+INDEX($AT$13:$BB$162,BO1226,0)+INDEX($BD$13:$BL$162,BP1226,0))/100))),0)</f>
        <v/>
      </c>
      <c r="BT1226">
        <f>IF(AND(1213&lt;$U$9,$W$5),BQ1226*1000000-MIN(BR1226,999)*1000+BS1226-1213/100000,-1000000000-1213)</f>
        <v/>
      </c>
    </row>
    <row r="1227">
      <c r="BN1227">
        <f>IF(1214&lt;$U$9,INT(1214/($U$7*$U$8))+1,1)</f>
        <v/>
      </c>
      <c r="BO1227">
        <f>IF(1214&lt;$U$9,MOD(INT(1214/$U$8),$U$7)+1,1)</f>
        <v/>
      </c>
      <c r="BP1227">
        <f>IF(1214&lt;$U$9,MOD(1214,$U$8)+1,1)</f>
        <v/>
      </c>
      <c r="BQ1227">
        <f>IF(1214&lt;$U$9,SUMPRODUCT(($D$10:$L$10&lt;&gt;"")*(($D$9:$L$9+INT(($S$12:$AA$12+INDEX($AJ$13:$AR$162,BN1227,0)+INDEX($AT$13:$BB$162,BO1227,0)+INDEX($BD$13:$BL$162,BP1227,0))/100))&gt;=$D$10:$L$10)),0)</f>
        <v/>
      </c>
      <c r="BR1227">
        <f>IF(1214&lt;$U$9,SUMPRODUCT(($D$10:$L$10&lt;&gt;"")*(($D$10:$L$10-($D$9:$L$9+INT(($S$12:$AA$12+INDEX($AJ$13:$AR$162,BN1227,0)+INDEX($AT$13:$BB$162,BO1227,0)+INDEX($BD$13:$BL$162,BP1227,0))/100)))&gt;0)*($D$10:$L$10-($D$9:$L$9+INT(($S$12:$AA$12+INDEX($AJ$13:$AR$162,BN1227,0)+INDEX($AT$13:$BB$162,BO1227,0)+INDEX($BD$13:$BL$162,BP1227,0))/100)))),0)</f>
        <v/>
      </c>
      <c r="BS1227">
        <f>IF(1214&lt;$U$9,SUMPRODUCT(($D$9:$L$9+INT(($S$12:$AA$12+INDEX($AJ$13:$AR$162,BN1227,0)+INDEX($AT$13:$BB$162,BO1227,0)+INDEX($BD$13:$BL$162,BP1227,0))/100))),0)</f>
        <v/>
      </c>
      <c r="BT1227">
        <f>IF(AND(1214&lt;$U$9,$W$5),BQ1227*1000000-MIN(BR1227,999)*1000+BS1227-1214/100000,-1000000000-1214)</f>
        <v/>
      </c>
    </row>
    <row r="1228">
      <c r="BN1228">
        <f>IF(1215&lt;$U$9,INT(1215/($U$7*$U$8))+1,1)</f>
        <v/>
      </c>
      <c r="BO1228">
        <f>IF(1215&lt;$U$9,MOD(INT(1215/$U$8),$U$7)+1,1)</f>
        <v/>
      </c>
      <c r="BP1228">
        <f>IF(1215&lt;$U$9,MOD(1215,$U$8)+1,1)</f>
        <v/>
      </c>
      <c r="BQ1228">
        <f>IF(1215&lt;$U$9,SUMPRODUCT(($D$10:$L$10&lt;&gt;"")*(($D$9:$L$9+INT(($S$12:$AA$12+INDEX($AJ$13:$AR$162,BN1228,0)+INDEX($AT$13:$BB$162,BO1228,0)+INDEX($BD$13:$BL$162,BP1228,0))/100))&gt;=$D$10:$L$10)),0)</f>
        <v/>
      </c>
      <c r="BR1228">
        <f>IF(1215&lt;$U$9,SUMPRODUCT(($D$10:$L$10&lt;&gt;"")*(($D$10:$L$10-($D$9:$L$9+INT(($S$12:$AA$12+INDEX($AJ$13:$AR$162,BN1228,0)+INDEX($AT$13:$BB$162,BO1228,0)+INDEX($BD$13:$BL$162,BP1228,0))/100)))&gt;0)*($D$10:$L$10-($D$9:$L$9+INT(($S$12:$AA$12+INDEX($AJ$13:$AR$162,BN1228,0)+INDEX($AT$13:$BB$162,BO1228,0)+INDEX($BD$13:$BL$162,BP1228,0))/100)))),0)</f>
        <v/>
      </c>
      <c r="BS1228">
        <f>IF(1215&lt;$U$9,SUMPRODUCT(($D$9:$L$9+INT(($S$12:$AA$12+INDEX($AJ$13:$AR$162,BN1228,0)+INDEX($AT$13:$BB$162,BO1228,0)+INDEX($BD$13:$BL$162,BP1228,0))/100))),0)</f>
        <v/>
      </c>
      <c r="BT1228">
        <f>IF(AND(1215&lt;$U$9,$W$5),BQ1228*1000000-MIN(BR1228,999)*1000+BS1228-1215/100000,-1000000000-1215)</f>
        <v/>
      </c>
    </row>
    <row r="1229">
      <c r="BN1229">
        <f>IF(1216&lt;$U$9,INT(1216/($U$7*$U$8))+1,1)</f>
        <v/>
      </c>
      <c r="BO1229">
        <f>IF(1216&lt;$U$9,MOD(INT(1216/$U$8),$U$7)+1,1)</f>
        <v/>
      </c>
      <c r="BP1229">
        <f>IF(1216&lt;$U$9,MOD(1216,$U$8)+1,1)</f>
        <v/>
      </c>
      <c r="BQ1229">
        <f>IF(1216&lt;$U$9,SUMPRODUCT(($D$10:$L$10&lt;&gt;"")*(($D$9:$L$9+INT(($S$12:$AA$12+INDEX($AJ$13:$AR$162,BN1229,0)+INDEX($AT$13:$BB$162,BO1229,0)+INDEX($BD$13:$BL$162,BP1229,0))/100))&gt;=$D$10:$L$10)),0)</f>
        <v/>
      </c>
      <c r="BR1229">
        <f>IF(1216&lt;$U$9,SUMPRODUCT(($D$10:$L$10&lt;&gt;"")*(($D$10:$L$10-($D$9:$L$9+INT(($S$12:$AA$12+INDEX($AJ$13:$AR$162,BN1229,0)+INDEX($AT$13:$BB$162,BO1229,0)+INDEX($BD$13:$BL$162,BP1229,0))/100)))&gt;0)*($D$10:$L$10-($D$9:$L$9+INT(($S$12:$AA$12+INDEX($AJ$13:$AR$162,BN1229,0)+INDEX($AT$13:$BB$162,BO1229,0)+INDEX($BD$13:$BL$162,BP1229,0))/100)))),0)</f>
        <v/>
      </c>
      <c r="BS1229">
        <f>IF(1216&lt;$U$9,SUMPRODUCT(($D$9:$L$9+INT(($S$12:$AA$12+INDEX($AJ$13:$AR$162,BN1229,0)+INDEX($AT$13:$BB$162,BO1229,0)+INDEX($BD$13:$BL$162,BP1229,0))/100))),0)</f>
        <v/>
      </c>
      <c r="BT1229">
        <f>IF(AND(1216&lt;$U$9,$W$5),BQ1229*1000000-MIN(BR1229,999)*1000+BS1229-1216/100000,-1000000000-1216)</f>
        <v/>
      </c>
    </row>
    <row r="1230">
      <c r="BN1230">
        <f>IF(1217&lt;$U$9,INT(1217/($U$7*$U$8))+1,1)</f>
        <v/>
      </c>
      <c r="BO1230">
        <f>IF(1217&lt;$U$9,MOD(INT(1217/$U$8),$U$7)+1,1)</f>
        <v/>
      </c>
      <c r="BP1230">
        <f>IF(1217&lt;$U$9,MOD(1217,$U$8)+1,1)</f>
        <v/>
      </c>
      <c r="BQ1230">
        <f>IF(1217&lt;$U$9,SUMPRODUCT(($D$10:$L$10&lt;&gt;"")*(($D$9:$L$9+INT(($S$12:$AA$12+INDEX($AJ$13:$AR$162,BN1230,0)+INDEX($AT$13:$BB$162,BO1230,0)+INDEX($BD$13:$BL$162,BP1230,0))/100))&gt;=$D$10:$L$10)),0)</f>
        <v/>
      </c>
      <c r="BR1230">
        <f>IF(1217&lt;$U$9,SUMPRODUCT(($D$10:$L$10&lt;&gt;"")*(($D$10:$L$10-($D$9:$L$9+INT(($S$12:$AA$12+INDEX($AJ$13:$AR$162,BN1230,0)+INDEX($AT$13:$BB$162,BO1230,0)+INDEX($BD$13:$BL$162,BP1230,0))/100)))&gt;0)*($D$10:$L$10-($D$9:$L$9+INT(($S$12:$AA$12+INDEX($AJ$13:$AR$162,BN1230,0)+INDEX($AT$13:$BB$162,BO1230,0)+INDEX($BD$13:$BL$162,BP1230,0))/100)))),0)</f>
        <v/>
      </c>
      <c r="BS1230">
        <f>IF(1217&lt;$U$9,SUMPRODUCT(($D$9:$L$9+INT(($S$12:$AA$12+INDEX($AJ$13:$AR$162,BN1230,0)+INDEX($AT$13:$BB$162,BO1230,0)+INDEX($BD$13:$BL$162,BP1230,0))/100))),0)</f>
        <v/>
      </c>
      <c r="BT1230">
        <f>IF(AND(1217&lt;$U$9,$W$5),BQ1230*1000000-MIN(BR1230,999)*1000+BS1230-1217/100000,-1000000000-1217)</f>
        <v/>
      </c>
    </row>
    <row r="1231">
      <c r="BN1231">
        <f>IF(1218&lt;$U$9,INT(1218/($U$7*$U$8))+1,1)</f>
        <v/>
      </c>
      <c r="BO1231">
        <f>IF(1218&lt;$U$9,MOD(INT(1218/$U$8),$U$7)+1,1)</f>
        <v/>
      </c>
      <c r="BP1231">
        <f>IF(1218&lt;$U$9,MOD(1218,$U$8)+1,1)</f>
        <v/>
      </c>
      <c r="BQ1231">
        <f>IF(1218&lt;$U$9,SUMPRODUCT(($D$10:$L$10&lt;&gt;"")*(($D$9:$L$9+INT(($S$12:$AA$12+INDEX($AJ$13:$AR$162,BN1231,0)+INDEX($AT$13:$BB$162,BO1231,0)+INDEX($BD$13:$BL$162,BP1231,0))/100))&gt;=$D$10:$L$10)),0)</f>
        <v/>
      </c>
      <c r="BR1231">
        <f>IF(1218&lt;$U$9,SUMPRODUCT(($D$10:$L$10&lt;&gt;"")*(($D$10:$L$10-($D$9:$L$9+INT(($S$12:$AA$12+INDEX($AJ$13:$AR$162,BN1231,0)+INDEX($AT$13:$BB$162,BO1231,0)+INDEX($BD$13:$BL$162,BP1231,0))/100)))&gt;0)*($D$10:$L$10-($D$9:$L$9+INT(($S$12:$AA$12+INDEX($AJ$13:$AR$162,BN1231,0)+INDEX($AT$13:$BB$162,BO1231,0)+INDEX($BD$13:$BL$162,BP1231,0))/100)))),0)</f>
        <v/>
      </c>
      <c r="BS1231">
        <f>IF(1218&lt;$U$9,SUMPRODUCT(($D$9:$L$9+INT(($S$12:$AA$12+INDEX($AJ$13:$AR$162,BN1231,0)+INDEX($AT$13:$BB$162,BO1231,0)+INDEX($BD$13:$BL$162,BP1231,0))/100))),0)</f>
        <v/>
      </c>
      <c r="BT1231">
        <f>IF(AND(1218&lt;$U$9,$W$5),BQ1231*1000000-MIN(BR1231,999)*1000+BS1231-1218/100000,-1000000000-1218)</f>
        <v/>
      </c>
    </row>
    <row r="1232">
      <c r="BN1232">
        <f>IF(1219&lt;$U$9,INT(1219/($U$7*$U$8))+1,1)</f>
        <v/>
      </c>
      <c r="BO1232">
        <f>IF(1219&lt;$U$9,MOD(INT(1219/$U$8),$U$7)+1,1)</f>
        <v/>
      </c>
      <c r="BP1232">
        <f>IF(1219&lt;$U$9,MOD(1219,$U$8)+1,1)</f>
        <v/>
      </c>
      <c r="BQ1232">
        <f>IF(1219&lt;$U$9,SUMPRODUCT(($D$10:$L$10&lt;&gt;"")*(($D$9:$L$9+INT(($S$12:$AA$12+INDEX($AJ$13:$AR$162,BN1232,0)+INDEX($AT$13:$BB$162,BO1232,0)+INDEX($BD$13:$BL$162,BP1232,0))/100))&gt;=$D$10:$L$10)),0)</f>
        <v/>
      </c>
      <c r="BR1232">
        <f>IF(1219&lt;$U$9,SUMPRODUCT(($D$10:$L$10&lt;&gt;"")*(($D$10:$L$10-($D$9:$L$9+INT(($S$12:$AA$12+INDEX($AJ$13:$AR$162,BN1232,0)+INDEX($AT$13:$BB$162,BO1232,0)+INDEX($BD$13:$BL$162,BP1232,0))/100)))&gt;0)*($D$10:$L$10-($D$9:$L$9+INT(($S$12:$AA$12+INDEX($AJ$13:$AR$162,BN1232,0)+INDEX($AT$13:$BB$162,BO1232,0)+INDEX($BD$13:$BL$162,BP1232,0))/100)))),0)</f>
        <v/>
      </c>
      <c r="BS1232">
        <f>IF(1219&lt;$U$9,SUMPRODUCT(($D$9:$L$9+INT(($S$12:$AA$12+INDEX($AJ$13:$AR$162,BN1232,0)+INDEX($AT$13:$BB$162,BO1232,0)+INDEX($BD$13:$BL$162,BP1232,0))/100))),0)</f>
        <v/>
      </c>
      <c r="BT1232">
        <f>IF(AND(1219&lt;$U$9,$W$5),BQ1232*1000000-MIN(BR1232,999)*1000+BS1232-1219/100000,-1000000000-1219)</f>
        <v/>
      </c>
    </row>
    <row r="1233">
      <c r="BN1233">
        <f>IF(1220&lt;$U$9,INT(1220/($U$7*$U$8))+1,1)</f>
        <v/>
      </c>
      <c r="BO1233">
        <f>IF(1220&lt;$U$9,MOD(INT(1220/$U$8),$U$7)+1,1)</f>
        <v/>
      </c>
      <c r="BP1233">
        <f>IF(1220&lt;$U$9,MOD(1220,$U$8)+1,1)</f>
        <v/>
      </c>
      <c r="BQ1233">
        <f>IF(1220&lt;$U$9,SUMPRODUCT(($D$10:$L$10&lt;&gt;"")*(($D$9:$L$9+INT(($S$12:$AA$12+INDEX($AJ$13:$AR$162,BN1233,0)+INDEX($AT$13:$BB$162,BO1233,0)+INDEX($BD$13:$BL$162,BP1233,0))/100))&gt;=$D$10:$L$10)),0)</f>
        <v/>
      </c>
      <c r="BR1233">
        <f>IF(1220&lt;$U$9,SUMPRODUCT(($D$10:$L$10&lt;&gt;"")*(($D$10:$L$10-($D$9:$L$9+INT(($S$12:$AA$12+INDEX($AJ$13:$AR$162,BN1233,0)+INDEX($AT$13:$BB$162,BO1233,0)+INDEX($BD$13:$BL$162,BP1233,0))/100)))&gt;0)*($D$10:$L$10-($D$9:$L$9+INT(($S$12:$AA$12+INDEX($AJ$13:$AR$162,BN1233,0)+INDEX($AT$13:$BB$162,BO1233,0)+INDEX($BD$13:$BL$162,BP1233,0))/100)))),0)</f>
        <v/>
      </c>
      <c r="BS1233">
        <f>IF(1220&lt;$U$9,SUMPRODUCT(($D$9:$L$9+INT(($S$12:$AA$12+INDEX($AJ$13:$AR$162,BN1233,0)+INDEX($AT$13:$BB$162,BO1233,0)+INDEX($BD$13:$BL$162,BP1233,0))/100))),0)</f>
        <v/>
      </c>
      <c r="BT1233">
        <f>IF(AND(1220&lt;$U$9,$W$5),BQ1233*1000000-MIN(BR1233,999)*1000+BS1233-1220/100000,-1000000000-1220)</f>
        <v/>
      </c>
    </row>
    <row r="1234">
      <c r="BN1234">
        <f>IF(1221&lt;$U$9,INT(1221/($U$7*$U$8))+1,1)</f>
        <v/>
      </c>
      <c r="BO1234">
        <f>IF(1221&lt;$U$9,MOD(INT(1221/$U$8),$U$7)+1,1)</f>
        <v/>
      </c>
      <c r="BP1234">
        <f>IF(1221&lt;$U$9,MOD(1221,$U$8)+1,1)</f>
        <v/>
      </c>
      <c r="BQ1234">
        <f>IF(1221&lt;$U$9,SUMPRODUCT(($D$10:$L$10&lt;&gt;"")*(($D$9:$L$9+INT(($S$12:$AA$12+INDEX($AJ$13:$AR$162,BN1234,0)+INDEX($AT$13:$BB$162,BO1234,0)+INDEX($BD$13:$BL$162,BP1234,0))/100))&gt;=$D$10:$L$10)),0)</f>
        <v/>
      </c>
      <c r="BR1234">
        <f>IF(1221&lt;$U$9,SUMPRODUCT(($D$10:$L$10&lt;&gt;"")*(($D$10:$L$10-($D$9:$L$9+INT(($S$12:$AA$12+INDEX($AJ$13:$AR$162,BN1234,0)+INDEX($AT$13:$BB$162,BO1234,0)+INDEX($BD$13:$BL$162,BP1234,0))/100)))&gt;0)*($D$10:$L$10-($D$9:$L$9+INT(($S$12:$AA$12+INDEX($AJ$13:$AR$162,BN1234,0)+INDEX($AT$13:$BB$162,BO1234,0)+INDEX($BD$13:$BL$162,BP1234,0))/100)))),0)</f>
        <v/>
      </c>
      <c r="BS1234">
        <f>IF(1221&lt;$U$9,SUMPRODUCT(($D$9:$L$9+INT(($S$12:$AA$12+INDEX($AJ$13:$AR$162,BN1234,0)+INDEX($AT$13:$BB$162,BO1234,0)+INDEX($BD$13:$BL$162,BP1234,0))/100))),0)</f>
        <v/>
      </c>
      <c r="BT1234">
        <f>IF(AND(1221&lt;$U$9,$W$5),BQ1234*1000000-MIN(BR1234,999)*1000+BS1234-1221/100000,-1000000000-1221)</f>
        <v/>
      </c>
    </row>
    <row r="1235">
      <c r="BN1235">
        <f>IF(1222&lt;$U$9,INT(1222/($U$7*$U$8))+1,1)</f>
        <v/>
      </c>
      <c r="BO1235">
        <f>IF(1222&lt;$U$9,MOD(INT(1222/$U$8),$U$7)+1,1)</f>
        <v/>
      </c>
      <c r="BP1235">
        <f>IF(1222&lt;$U$9,MOD(1222,$U$8)+1,1)</f>
        <v/>
      </c>
      <c r="BQ1235">
        <f>IF(1222&lt;$U$9,SUMPRODUCT(($D$10:$L$10&lt;&gt;"")*(($D$9:$L$9+INT(($S$12:$AA$12+INDEX($AJ$13:$AR$162,BN1235,0)+INDEX($AT$13:$BB$162,BO1235,0)+INDEX($BD$13:$BL$162,BP1235,0))/100))&gt;=$D$10:$L$10)),0)</f>
        <v/>
      </c>
      <c r="BR1235">
        <f>IF(1222&lt;$U$9,SUMPRODUCT(($D$10:$L$10&lt;&gt;"")*(($D$10:$L$10-($D$9:$L$9+INT(($S$12:$AA$12+INDEX($AJ$13:$AR$162,BN1235,0)+INDEX($AT$13:$BB$162,BO1235,0)+INDEX($BD$13:$BL$162,BP1235,0))/100)))&gt;0)*($D$10:$L$10-($D$9:$L$9+INT(($S$12:$AA$12+INDEX($AJ$13:$AR$162,BN1235,0)+INDEX($AT$13:$BB$162,BO1235,0)+INDEX($BD$13:$BL$162,BP1235,0))/100)))),0)</f>
        <v/>
      </c>
      <c r="BS1235">
        <f>IF(1222&lt;$U$9,SUMPRODUCT(($D$9:$L$9+INT(($S$12:$AA$12+INDEX($AJ$13:$AR$162,BN1235,0)+INDEX($AT$13:$BB$162,BO1235,0)+INDEX($BD$13:$BL$162,BP1235,0))/100))),0)</f>
        <v/>
      </c>
      <c r="BT1235">
        <f>IF(AND(1222&lt;$U$9,$W$5),BQ1235*1000000-MIN(BR1235,999)*1000+BS1235-1222/100000,-1000000000-1222)</f>
        <v/>
      </c>
    </row>
    <row r="1236">
      <c r="BN1236">
        <f>IF(1223&lt;$U$9,INT(1223/($U$7*$U$8))+1,1)</f>
        <v/>
      </c>
      <c r="BO1236">
        <f>IF(1223&lt;$U$9,MOD(INT(1223/$U$8),$U$7)+1,1)</f>
        <v/>
      </c>
      <c r="BP1236">
        <f>IF(1223&lt;$U$9,MOD(1223,$U$8)+1,1)</f>
        <v/>
      </c>
      <c r="BQ1236">
        <f>IF(1223&lt;$U$9,SUMPRODUCT(($D$10:$L$10&lt;&gt;"")*(($D$9:$L$9+INT(($S$12:$AA$12+INDEX($AJ$13:$AR$162,BN1236,0)+INDEX($AT$13:$BB$162,BO1236,0)+INDEX($BD$13:$BL$162,BP1236,0))/100))&gt;=$D$10:$L$10)),0)</f>
        <v/>
      </c>
      <c r="BR1236">
        <f>IF(1223&lt;$U$9,SUMPRODUCT(($D$10:$L$10&lt;&gt;"")*(($D$10:$L$10-($D$9:$L$9+INT(($S$12:$AA$12+INDEX($AJ$13:$AR$162,BN1236,0)+INDEX($AT$13:$BB$162,BO1236,0)+INDEX($BD$13:$BL$162,BP1236,0))/100)))&gt;0)*($D$10:$L$10-($D$9:$L$9+INT(($S$12:$AA$12+INDEX($AJ$13:$AR$162,BN1236,0)+INDEX($AT$13:$BB$162,BO1236,0)+INDEX($BD$13:$BL$162,BP1236,0))/100)))),0)</f>
        <v/>
      </c>
      <c r="BS1236">
        <f>IF(1223&lt;$U$9,SUMPRODUCT(($D$9:$L$9+INT(($S$12:$AA$12+INDEX($AJ$13:$AR$162,BN1236,0)+INDEX($AT$13:$BB$162,BO1236,0)+INDEX($BD$13:$BL$162,BP1236,0))/100))),0)</f>
        <v/>
      </c>
      <c r="BT1236">
        <f>IF(AND(1223&lt;$U$9,$W$5),BQ1236*1000000-MIN(BR1236,999)*1000+BS1236-1223/100000,-1000000000-1223)</f>
        <v/>
      </c>
    </row>
    <row r="1237">
      <c r="BN1237">
        <f>IF(1224&lt;$U$9,INT(1224/($U$7*$U$8))+1,1)</f>
        <v/>
      </c>
      <c r="BO1237">
        <f>IF(1224&lt;$U$9,MOD(INT(1224/$U$8),$U$7)+1,1)</f>
        <v/>
      </c>
      <c r="BP1237">
        <f>IF(1224&lt;$U$9,MOD(1224,$U$8)+1,1)</f>
        <v/>
      </c>
      <c r="BQ1237">
        <f>IF(1224&lt;$U$9,SUMPRODUCT(($D$10:$L$10&lt;&gt;"")*(($D$9:$L$9+INT(($S$12:$AA$12+INDEX($AJ$13:$AR$162,BN1237,0)+INDEX($AT$13:$BB$162,BO1237,0)+INDEX($BD$13:$BL$162,BP1237,0))/100))&gt;=$D$10:$L$10)),0)</f>
        <v/>
      </c>
      <c r="BR1237">
        <f>IF(1224&lt;$U$9,SUMPRODUCT(($D$10:$L$10&lt;&gt;"")*(($D$10:$L$10-($D$9:$L$9+INT(($S$12:$AA$12+INDEX($AJ$13:$AR$162,BN1237,0)+INDEX($AT$13:$BB$162,BO1237,0)+INDEX($BD$13:$BL$162,BP1237,0))/100)))&gt;0)*($D$10:$L$10-($D$9:$L$9+INT(($S$12:$AA$12+INDEX($AJ$13:$AR$162,BN1237,0)+INDEX($AT$13:$BB$162,BO1237,0)+INDEX($BD$13:$BL$162,BP1237,0))/100)))),0)</f>
        <v/>
      </c>
      <c r="BS1237">
        <f>IF(1224&lt;$U$9,SUMPRODUCT(($D$9:$L$9+INT(($S$12:$AA$12+INDEX($AJ$13:$AR$162,BN1237,0)+INDEX($AT$13:$BB$162,BO1237,0)+INDEX($BD$13:$BL$162,BP1237,0))/100))),0)</f>
        <v/>
      </c>
      <c r="BT1237">
        <f>IF(AND(1224&lt;$U$9,$W$5),BQ1237*1000000-MIN(BR1237,999)*1000+BS1237-1224/100000,-1000000000-1224)</f>
        <v/>
      </c>
    </row>
    <row r="1238">
      <c r="BN1238">
        <f>IF(1225&lt;$U$9,INT(1225/($U$7*$U$8))+1,1)</f>
        <v/>
      </c>
      <c r="BO1238">
        <f>IF(1225&lt;$U$9,MOD(INT(1225/$U$8),$U$7)+1,1)</f>
        <v/>
      </c>
      <c r="BP1238">
        <f>IF(1225&lt;$U$9,MOD(1225,$U$8)+1,1)</f>
        <v/>
      </c>
      <c r="BQ1238">
        <f>IF(1225&lt;$U$9,SUMPRODUCT(($D$10:$L$10&lt;&gt;"")*(($D$9:$L$9+INT(($S$12:$AA$12+INDEX($AJ$13:$AR$162,BN1238,0)+INDEX($AT$13:$BB$162,BO1238,0)+INDEX($BD$13:$BL$162,BP1238,0))/100))&gt;=$D$10:$L$10)),0)</f>
        <v/>
      </c>
      <c r="BR1238">
        <f>IF(1225&lt;$U$9,SUMPRODUCT(($D$10:$L$10&lt;&gt;"")*(($D$10:$L$10-($D$9:$L$9+INT(($S$12:$AA$12+INDEX($AJ$13:$AR$162,BN1238,0)+INDEX($AT$13:$BB$162,BO1238,0)+INDEX($BD$13:$BL$162,BP1238,0))/100)))&gt;0)*($D$10:$L$10-($D$9:$L$9+INT(($S$12:$AA$12+INDEX($AJ$13:$AR$162,BN1238,0)+INDEX($AT$13:$BB$162,BO1238,0)+INDEX($BD$13:$BL$162,BP1238,0))/100)))),0)</f>
        <v/>
      </c>
      <c r="BS1238">
        <f>IF(1225&lt;$U$9,SUMPRODUCT(($D$9:$L$9+INT(($S$12:$AA$12+INDEX($AJ$13:$AR$162,BN1238,0)+INDEX($AT$13:$BB$162,BO1238,0)+INDEX($BD$13:$BL$162,BP1238,0))/100))),0)</f>
        <v/>
      </c>
      <c r="BT1238">
        <f>IF(AND(1225&lt;$U$9,$W$5),BQ1238*1000000-MIN(BR1238,999)*1000+BS1238-1225/100000,-1000000000-1225)</f>
        <v/>
      </c>
    </row>
    <row r="1239">
      <c r="BN1239">
        <f>IF(1226&lt;$U$9,INT(1226/($U$7*$U$8))+1,1)</f>
        <v/>
      </c>
      <c r="BO1239">
        <f>IF(1226&lt;$U$9,MOD(INT(1226/$U$8),$U$7)+1,1)</f>
        <v/>
      </c>
      <c r="BP1239">
        <f>IF(1226&lt;$U$9,MOD(1226,$U$8)+1,1)</f>
        <v/>
      </c>
      <c r="BQ1239">
        <f>IF(1226&lt;$U$9,SUMPRODUCT(($D$10:$L$10&lt;&gt;"")*(($D$9:$L$9+INT(($S$12:$AA$12+INDEX($AJ$13:$AR$162,BN1239,0)+INDEX($AT$13:$BB$162,BO1239,0)+INDEX($BD$13:$BL$162,BP1239,0))/100))&gt;=$D$10:$L$10)),0)</f>
        <v/>
      </c>
      <c r="BR1239">
        <f>IF(1226&lt;$U$9,SUMPRODUCT(($D$10:$L$10&lt;&gt;"")*(($D$10:$L$10-($D$9:$L$9+INT(($S$12:$AA$12+INDEX($AJ$13:$AR$162,BN1239,0)+INDEX($AT$13:$BB$162,BO1239,0)+INDEX($BD$13:$BL$162,BP1239,0))/100)))&gt;0)*($D$10:$L$10-($D$9:$L$9+INT(($S$12:$AA$12+INDEX($AJ$13:$AR$162,BN1239,0)+INDEX($AT$13:$BB$162,BO1239,0)+INDEX($BD$13:$BL$162,BP1239,0))/100)))),0)</f>
        <v/>
      </c>
      <c r="BS1239">
        <f>IF(1226&lt;$U$9,SUMPRODUCT(($D$9:$L$9+INT(($S$12:$AA$12+INDEX($AJ$13:$AR$162,BN1239,0)+INDEX($AT$13:$BB$162,BO1239,0)+INDEX($BD$13:$BL$162,BP1239,0))/100))),0)</f>
        <v/>
      </c>
      <c r="BT1239">
        <f>IF(AND(1226&lt;$U$9,$W$5),BQ1239*1000000-MIN(BR1239,999)*1000+BS1239-1226/100000,-1000000000-1226)</f>
        <v/>
      </c>
    </row>
    <row r="1240">
      <c r="BN1240">
        <f>IF(1227&lt;$U$9,INT(1227/($U$7*$U$8))+1,1)</f>
        <v/>
      </c>
      <c r="BO1240">
        <f>IF(1227&lt;$U$9,MOD(INT(1227/$U$8),$U$7)+1,1)</f>
        <v/>
      </c>
      <c r="BP1240">
        <f>IF(1227&lt;$U$9,MOD(1227,$U$8)+1,1)</f>
        <v/>
      </c>
      <c r="BQ1240">
        <f>IF(1227&lt;$U$9,SUMPRODUCT(($D$10:$L$10&lt;&gt;"")*(($D$9:$L$9+INT(($S$12:$AA$12+INDEX($AJ$13:$AR$162,BN1240,0)+INDEX($AT$13:$BB$162,BO1240,0)+INDEX($BD$13:$BL$162,BP1240,0))/100))&gt;=$D$10:$L$10)),0)</f>
        <v/>
      </c>
      <c r="BR1240">
        <f>IF(1227&lt;$U$9,SUMPRODUCT(($D$10:$L$10&lt;&gt;"")*(($D$10:$L$10-($D$9:$L$9+INT(($S$12:$AA$12+INDEX($AJ$13:$AR$162,BN1240,0)+INDEX($AT$13:$BB$162,BO1240,0)+INDEX($BD$13:$BL$162,BP1240,0))/100)))&gt;0)*($D$10:$L$10-($D$9:$L$9+INT(($S$12:$AA$12+INDEX($AJ$13:$AR$162,BN1240,0)+INDEX($AT$13:$BB$162,BO1240,0)+INDEX($BD$13:$BL$162,BP1240,0))/100)))),0)</f>
        <v/>
      </c>
      <c r="BS1240">
        <f>IF(1227&lt;$U$9,SUMPRODUCT(($D$9:$L$9+INT(($S$12:$AA$12+INDEX($AJ$13:$AR$162,BN1240,0)+INDEX($AT$13:$BB$162,BO1240,0)+INDEX($BD$13:$BL$162,BP1240,0))/100))),0)</f>
        <v/>
      </c>
      <c r="BT1240">
        <f>IF(AND(1227&lt;$U$9,$W$5),BQ1240*1000000-MIN(BR1240,999)*1000+BS1240-1227/100000,-1000000000-1227)</f>
        <v/>
      </c>
    </row>
    <row r="1241">
      <c r="BN1241">
        <f>IF(1228&lt;$U$9,INT(1228/($U$7*$U$8))+1,1)</f>
        <v/>
      </c>
      <c r="BO1241">
        <f>IF(1228&lt;$U$9,MOD(INT(1228/$U$8),$U$7)+1,1)</f>
        <v/>
      </c>
      <c r="BP1241">
        <f>IF(1228&lt;$U$9,MOD(1228,$U$8)+1,1)</f>
        <v/>
      </c>
      <c r="BQ1241">
        <f>IF(1228&lt;$U$9,SUMPRODUCT(($D$10:$L$10&lt;&gt;"")*(($D$9:$L$9+INT(($S$12:$AA$12+INDEX($AJ$13:$AR$162,BN1241,0)+INDEX($AT$13:$BB$162,BO1241,0)+INDEX($BD$13:$BL$162,BP1241,0))/100))&gt;=$D$10:$L$10)),0)</f>
        <v/>
      </c>
      <c r="BR1241">
        <f>IF(1228&lt;$U$9,SUMPRODUCT(($D$10:$L$10&lt;&gt;"")*(($D$10:$L$10-($D$9:$L$9+INT(($S$12:$AA$12+INDEX($AJ$13:$AR$162,BN1241,0)+INDEX($AT$13:$BB$162,BO1241,0)+INDEX($BD$13:$BL$162,BP1241,0))/100)))&gt;0)*($D$10:$L$10-($D$9:$L$9+INT(($S$12:$AA$12+INDEX($AJ$13:$AR$162,BN1241,0)+INDEX($AT$13:$BB$162,BO1241,0)+INDEX($BD$13:$BL$162,BP1241,0))/100)))),0)</f>
        <v/>
      </c>
      <c r="BS1241">
        <f>IF(1228&lt;$U$9,SUMPRODUCT(($D$9:$L$9+INT(($S$12:$AA$12+INDEX($AJ$13:$AR$162,BN1241,0)+INDEX($AT$13:$BB$162,BO1241,0)+INDEX($BD$13:$BL$162,BP1241,0))/100))),0)</f>
        <v/>
      </c>
      <c r="BT1241">
        <f>IF(AND(1228&lt;$U$9,$W$5),BQ1241*1000000-MIN(BR1241,999)*1000+BS1241-1228/100000,-1000000000-1228)</f>
        <v/>
      </c>
    </row>
    <row r="1242">
      <c r="BN1242">
        <f>IF(1229&lt;$U$9,INT(1229/($U$7*$U$8))+1,1)</f>
        <v/>
      </c>
      <c r="BO1242">
        <f>IF(1229&lt;$U$9,MOD(INT(1229/$U$8),$U$7)+1,1)</f>
        <v/>
      </c>
      <c r="BP1242">
        <f>IF(1229&lt;$U$9,MOD(1229,$U$8)+1,1)</f>
        <v/>
      </c>
      <c r="BQ1242">
        <f>IF(1229&lt;$U$9,SUMPRODUCT(($D$10:$L$10&lt;&gt;"")*(($D$9:$L$9+INT(($S$12:$AA$12+INDEX($AJ$13:$AR$162,BN1242,0)+INDEX($AT$13:$BB$162,BO1242,0)+INDEX($BD$13:$BL$162,BP1242,0))/100))&gt;=$D$10:$L$10)),0)</f>
        <v/>
      </c>
      <c r="BR1242">
        <f>IF(1229&lt;$U$9,SUMPRODUCT(($D$10:$L$10&lt;&gt;"")*(($D$10:$L$10-($D$9:$L$9+INT(($S$12:$AA$12+INDEX($AJ$13:$AR$162,BN1242,0)+INDEX($AT$13:$BB$162,BO1242,0)+INDEX($BD$13:$BL$162,BP1242,0))/100)))&gt;0)*($D$10:$L$10-($D$9:$L$9+INT(($S$12:$AA$12+INDEX($AJ$13:$AR$162,BN1242,0)+INDEX($AT$13:$BB$162,BO1242,0)+INDEX($BD$13:$BL$162,BP1242,0))/100)))),0)</f>
        <v/>
      </c>
      <c r="BS1242">
        <f>IF(1229&lt;$U$9,SUMPRODUCT(($D$9:$L$9+INT(($S$12:$AA$12+INDEX($AJ$13:$AR$162,BN1242,0)+INDEX($AT$13:$BB$162,BO1242,0)+INDEX($BD$13:$BL$162,BP1242,0))/100))),0)</f>
        <v/>
      </c>
      <c r="BT1242">
        <f>IF(AND(1229&lt;$U$9,$W$5),BQ1242*1000000-MIN(BR1242,999)*1000+BS1242-1229/100000,-1000000000-1229)</f>
        <v/>
      </c>
    </row>
    <row r="1243">
      <c r="BN1243">
        <f>IF(1230&lt;$U$9,INT(1230/($U$7*$U$8))+1,1)</f>
        <v/>
      </c>
      <c r="BO1243">
        <f>IF(1230&lt;$U$9,MOD(INT(1230/$U$8),$U$7)+1,1)</f>
        <v/>
      </c>
      <c r="BP1243">
        <f>IF(1230&lt;$U$9,MOD(1230,$U$8)+1,1)</f>
        <v/>
      </c>
      <c r="BQ1243">
        <f>IF(1230&lt;$U$9,SUMPRODUCT(($D$10:$L$10&lt;&gt;"")*(($D$9:$L$9+INT(($S$12:$AA$12+INDEX($AJ$13:$AR$162,BN1243,0)+INDEX($AT$13:$BB$162,BO1243,0)+INDEX($BD$13:$BL$162,BP1243,0))/100))&gt;=$D$10:$L$10)),0)</f>
        <v/>
      </c>
      <c r="BR1243">
        <f>IF(1230&lt;$U$9,SUMPRODUCT(($D$10:$L$10&lt;&gt;"")*(($D$10:$L$10-($D$9:$L$9+INT(($S$12:$AA$12+INDEX($AJ$13:$AR$162,BN1243,0)+INDEX($AT$13:$BB$162,BO1243,0)+INDEX($BD$13:$BL$162,BP1243,0))/100)))&gt;0)*($D$10:$L$10-($D$9:$L$9+INT(($S$12:$AA$12+INDEX($AJ$13:$AR$162,BN1243,0)+INDEX($AT$13:$BB$162,BO1243,0)+INDEX($BD$13:$BL$162,BP1243,0))/100)))),0)</f>
        <v/>
      </c>
      <c r="BS1243">
        <f>IF(1230&lt;$U$9,SUMPRODUCT(($D$9:$L$9+INT(($S$12:$AA$12+INDEX($AJ$13:$AR$162,BN1243,0)+INDEX($AT$13:$BB$162,BO1243,0)+INDEX($BD$13:$BL$162,BP1243,0))/100))),0)</f>
        <v/>
      </c>
      <c r="BT1243">
        <f>IF(AND(1230&lt;$U$9,$W$5),BQ1243*1000000-MIN(BR1243,999)*1000+BS1243-1230/100000,-1000000000-1230)</f>
        <v/>
      </c>
    </row>
    <row r="1244">
      <c r="BN1244">
        <f>IF(1231&lt;$U$9,INT(1231/($U$7*$U$8))+1,1)</f>
        <v/>
      </c>
      <c r="BO1244">
        <f>IF(1231&lt;$U$9,MOD(INT(1231/$U$8),$U$7)+1,1)</f>
        <v/>
      </c>
      <c r="BP1244">
        <f>IF(1231&lt;$U$9,MOD(1231,$U$8)+1,1)</f>
        <v/>
      </c>
      <c r="BQ1244">
        <f>IF(1231&lt;$U$9,SUMPRODUCT(($D$10:$L$10&lt;&gt;"")*(($D$9:$L$9+INT(($S$12:$AA$12+INDEX($AJ$13:$AR$162,BN1244,0)+INDEX($AT$13:$BB$162,BO1244,0)+INDEX($BD$13:$BL$162,BP1244,0))/100))&gt;=$D$10:$L$10)),0)</f>
        <v/>
      </c>
      <c r="BR1244">
        <f>IF(1231&lt;$U$9,SUMPRODUCT(($D$10:$L$10&lt;&gt;"")*(($D$10:$L$10-($D$9:$L$9+INT(($S$12:$AA$12+INDEX($AJ$13:$AR$162,BN1244,0)+INDEX($AT$13:$BB$162,BO1244,0)+INDEX($BD$13:$BL$162,BP1244,0))/100)))&gt;0)*($D$10:$L$10-($D$9:$L$9+INT(($S$12:$AA$12+INDEX($AJ$13:$AR$162,BN1244,0)+INDEX($AT$13:$BB$162,BO1244,0)+INDEX($BD$13:$BL$162,BP1244,0))/100)))),0)</f>
        <v/>
      </c>
      <c r="BS1244">
        <f>IF(1231&lt;$U$9,SUMPRODUCT(($D$9:$L$9+INT(($S$12:$AA$12+INDEX($AJ$13:$AR$162,BN1244,0)+INDEX($AT$13:$BB$162,BO1244,0)+INDEX($BD$13:$BL$162,BP1244,0))/100))),0)</f>
        <v/>
      </c>
      <c r="BT1244">
        <f>IF(AND(1231&lt;$U$9,$W$5),BQ1244*1000000-MIN(BR1244,999)*1000+BS1244-1231/100000,-1000000000-1231)</f>
        <v/>
      </c>
    </row>
    <row r="1245">
      <c r="BN1245">
        <f>IF(1232&lt;$U$9,INT(1232/($U$7*$U$8))+1,1)</f>
        <v/>
      </c>
      <c r="BO1245">
        <f>IF(1232&lt;$U$9,MOD(INT(1232/$U$8),$U$7)+1,1)</f>
        <v/>
      </c>
      <c r="BP1245">
        <f>IF(1232&lt;$U$9,MOD(1232,$U$8)+1,1)</f>
        <v/>
      </c>
      <c r="BQ1245">
        <f>IF(1232&lt;$U$9,SUMPRODUCT(($D$10:$L$10&lt;&gt;"")*(($D$9:$L$9+INT(($S$12:$AA$12+INDEX($AJ$13:$AR$162,BN1245,0)+INDEX($AT$13:$BB$162,BO1245,0)+INDEX($BD$13:$BL$162,BP1245,0))/100))&gt;=$D$10:$L$10)),0)</f>
        <v/>
      </c>
      <c r="BR1245">
        <f>IF(1232&lt;$U$9,SUMPRODUCT(($D$10:$L$10&lt;&gt;"")*(($D$10:$L$10-($D$9:$L$9+INT(($S$12:$AA$12+INDEX($AJ$13:$AR$162,BN1245,0)+INDEX($AT$13:$BB$162,BO1245,0)+INDEX($BD$13:$BL$162,BP1245,0))/100)))&gt;0)*($D$10:$L$10-($D$9:$L$9+INT(($S$12:$AA$12+INDEX($AJ$13:$AR$162,BN1245,0)+INDEX($AT$13:$BB$162,BO1245,0)+INDEX($BD$13:$BL$162,BP1245,0))/100)))),0)</f>
        <v/>
      </c>
      <c r="BS1245">
        <f>IF(1232&lt;$U$9,SUMPRODUCT(($D$9:$L$9+INT(($S$12:$AA$12+INDEX($AJ$13:$AR$162,BN1245,0)+INDEX($AT$13:$BB$162,BO1245,0)+INDEX($BD$13:$BL$162,BP1245,0))/100))),0)</f>
        <v/>
      </c>
      <c r="BT1245">
        <f>IF(AND(1232&lt;$U$9,$W$5),BQ1245*1000000-MIN(BR1245,999)*1000+BS1245-1232/100000,-1000000000-1232)</f>
        <v/>
      </c>
    </row>
    <row r="1246">
      <c r="BN1246">
        <f>IF(1233&lt;$U$9,INT(1233/($U$7*$U$8))+1,1)</f>
        <v/>
      </c>
      <c r="BO1246">
        <f>IF(1233&lt;$U$9,MOD(INT(1233/$U$8),$U$7)+1,1)</f>
        <v/>
      </c>
      <c r="BP1246">
        <f>IF(1233&lt;$U$9,MOD(1233,$U$8)+1,1)</f>
        <v/>
      </c>
      <c r="BQ1246">
        <f>IF(1233&lt;$U$9,SUMPRODUCT(($D$10:$L$10&lt;&gt;"")*(($D$9:$L$9+INT(($S$12:$AA$12+INDEX($AJ$13:$AR$162,BN1246,0)+INDEX($AT$13:$BB$162,BO1246,0)+INDEX($BD$13:$BL$162,BP1246,0))/100))&gt;=$D$10:$L$10)),0)</f>
        <v/>
      </c>
      <c r="BR1246">
        <f>IF(1233&lt;$U$9,SUMPRODUCT(($D$10:$L$10&lt;&gt;"")*(($D$10:$L$10-($D$9:$L$9+INT(($S$12:$AA$12+INDEX($AJ$13:$AR$162,BN1246,0)+INDEX($AT$13:$BB$162,BO1246,0)+INDEX($BD$13:$BL$162,BP1246,0))/100)))&gt;0)*($D$10:$L$10-($D$9:$L$9+INT(($S$12:$AA$12+INDEX($AJ$13:$AR$162,BN1246,0)+INDEX($AT$13:$BB$162,BO1246,0)+INDEX($BD$13:$BL$162,BP1246,0))/100)))),0)</f>
        <v/>
      </c>
      <c r="BS1246">
        <f>IF(1233&lt;$U$9,SUMPRODUCT(($D$9:$L$9+INT(($S$12:$AA$12+INDEX($AJ$13:$AR$162,BN1246,0)+INDEX($AT$13:$BB$162,BO1246,0)+INDEX($BD$13:$BL$162,BP1246,0))/100))),0)</f>
        <v/>
      </c>
      <c r="BT1246">
        <f>IF(AND(1233&lt;$U$9,$W$5),BQ1246*1000000-MIN(BR1246,999)*1000+BS1246-1233/100000,-1000000000-1233)</f>
        <v/>
      </c>
    </row>
    <row r="1247">
      <c r="BN1247">
        <f>IF(1234&lt;$U$9,INT(1234/($U$7*$U$8))+1,1)</f>
        <v/>
      </c>
      <c r="BO1247">
        <f>IF(1234&lt;$U$9,MOD(INT(1234/$U$8),$U$7)+1,1)</f>
        <v/>
      </c>
      <c r="BP1247">
        <f>IF(1234&lt;$U$9,MOD(1234,$U$8)+1,1)</f>
        <v/>
      </c>
      <c r="BQ1247">
        <f>IF(1234&lt;$U$9,SUMPRODUCT(($D$10:$L$10&lt;&gt;"")*(($D$9:$L$9+INT(($S$12:$AA$12+INDEX($AJ$13:$AR$162,BN1247,0)+INDEX($AT$13:$BB$162,BO1247,0)+INDEX($BD$13:$BL$162,BP1247,0))/100))&gt;=$D$10:$L$10)),0)</f>
        <v/>
      </c>
      <c r="BR1247">
        <f>IF(1234&lt;$U$9,SUMPRODUCT(($D$10:$L$10&lt;&gt;"")*(($D$10:$L$10-($D$9:$L$9+INT(($S$12:$AA$12+INDEX($AJ$13:$AR$162,BN1247,0)+INDEX($AT$13:$BB$162,BO1247,0)+INDEX($BD$13:$BL$162,BP1247,0))/100)))&gt;0)*($D$10:$L$10-($D$9:$L$9+INT(($S$12:$AA$12+INDEX($AJ$13:$AR$162,BN1247,0)+INDEX($AT$13:$BB$162,BO1247,0)+INDEX($BD$13:$BL$162,BP1247,0))/100)))),0)</f>
        <v/>
      </c>
      <c r="BS1247">
        <f>IF(1234&lt;$U$9,SUMPRODUCT(($D$9:$L$9+INT(($S$12:$AA$12+INDEX($AJ$13:$AR$162,BN1247,0)+INDEX($AT$13:$BB$162,BO1247,0)+INDEX($BD$13:$BL$162,BP1247,0))/100))),0)</f>
        <v/>
      </c>
      <c r="BT1247">
        <f>IF(AND(1234&lt;$U$9,$W$5),BQ1247*1000000-MIN(BR1247,999)*1000+BS1247-1234/100000,-1000000000-1234)</f>
        <v/>
      </c>
    </row>
    <row r="1248">
      <c r="BN1248">
        <f>IF(1235&lt;$U$9,INT(1235/($U$7*$U$8))+1,1)</f>
        <v/>
      </c>
      <c r="BO1248">
        <f>IF(1235&lt;$U$9,MOD(INT(1235/$U$8),$U$7)+1,1)</f>
        <v/>
      </c>
      <c r="BP1248">
        <f>IF(1235&lt;$U$9,MOD(1235,$U$8)+1,1)</f>
        <v/>
      </c>
      <c r="BQ1248">
        <f>IF(1235&lt;$U$9,SUMPRODUCT(($D$10:$L$10&lt;&gt;"")*(($D$9:$L$9+INT(($S$12:$AA$12+INDEX($AJ$13:$AR$162,BN1248,0)+INDEX($AT$13:$BB$162,BO1248,0)+INDEX($BD$13:$BL$162,BP1248,0))/100))&gt;=$D$10:$L$10)),0)</f>
        <v/>
      </c>
      <c r="BR1248">
        <f>IF(1235&lt;$U$9,SUMPRODUCT(($D$10:$L$10&lt;&gt;"")*(($D$10:$L$10-($D$9:$L$9+INT(($S$12:$AA$12+INDEX($AJ$13:$AR$162,BN1248,0)+INDEX($AT$13:$BB$162,BO1248,0)+INDEX($BD$13:$BL$162,BP1248,0))/100)))&gt;0)*($D$10:$L$10-($D$9:$L$9+INT(($S$12:$AA$12+INDEX($AJ$13:$AR$162,BN1248,0)+INDEX($AT$13:$BB$162,BO1248,0)+INDEX($BD$13:$BL$162,BP1248,0))/100)))),0)</f>
        <v/>
      </c>
      <c r="BS1248">
        <f>IF(1235&lt;$U$9,SUMPRODUCT(($D$9:$L$9+INT(($S$12:$AA$12+INDEX($AJ$13:$AR$162,BN1248,0)+INDEX($AT$13:$BB$162,BO1248,0)+INDEX($BD$13:$BL$162,BP1248,0))/100))),0)</f>
        <v/>
      </c>
      <c r="BT1248">
        <f>IF(AND(1235&lt;$U$9,$W$5),BQ1248*1000000-MIN(BR1248,999)*1000+BS1248-1235/100000,-1000000000-1235)</f>
        <v/>
      </c>
    </row>
    <row r="1249">
      <c r="BN1249">
        <f>IF(1236&lt;$U$9,INT(1236/($U$7*$U$8))+1,1)</f>
        <v/>
      </c>
      <c r="BO1249">
        <f>IF(1236&lt;$U$9,MOD(INT(1236/$U$8),$U$7)+1,1)</f>
        <v/>
      </c>
      <c r="BP1249">
        <f>IF(1236&lt;$U$9,MOD(1236,$U$8)+1,1)</f>
        <v/>
      </c>
      <c r="BQ1249">
        <f>IF(1236&lt;$U$9,SUMPRODUCT(($D$10:$L$10&lt;&gt;"")*(($D$9:$L$9+INT(($S$12:$AA$12+INDEX($AJ$13:$AR$162,BN1249,0)+INDEX($AT$13:$BB$162,BO1249,0)+INDEX($BD$13:$BL$162,BP1249,0))/100))&gt;=$D$10:$L$10)),0)</f>
        <v/>
      </c>
      <c r="BR1249">
        <f>IF(1236&lt;$U$9,SUMPRODUCT(($D$10:$L$10&lt;&gt;"")*(($D$10:$L$10-($D$9:$L$9+INT(($S$12:$AA$12+INDEX($AJ$13:$AR$162,BN1249,0)+INDEX($AT$13:$BB$162,BO1249,0)+INDEX($BD$13:$BL$162,BP1249,0))/100)))&gt;0)*($D$10:$L$10-($D$9:$L$9+INT(($S$12:$AA$12+INDEX($AJ$13:$AR$162,BN1249,0)+INDEX($AT$13:$BB$162,BO1249,0)+INDEX($BD$13:$BL$162,BP1249,0))/100)))),0)</f>
        <v/>
      </c>
      <c r="BS1249">
        <f>IF(1236&lt;$U$9,SUMPRODUCT(($D$9:$L$9+INT(($S$12:$AA$12+INDEX($AJ$13:$AR$162,BN1249,0)+INDEX($AT$13:$BB$162,BO1249,0)+INDEX($BD$13:$BL$162,BP1249,0))/100))),0)</f>
        <v/>
      </c>
      <c r="BT1249">
        <f>IF(AND(1236&lt;$U$9,$W$5),BQ1249*1000000-MIN(BR1249,999)*1000+BS1249-1236/100000,-1000000000-1236)</f>
        <v/>
      </c>
    </row>
    <row r="1250">
      <c r="BN1250">
        <f>IF(1237&lt;$U$9,INT(1237/($U$7*$U$8))+1,1)</f>
        <v/>
      </c>
      <c r="BO1250">
        <f>IF(1237&lt;$U$9,MOD(INT(1237/$U$8),$U$7)+1,1)</f>
        <v/>
      </c>
      <c r="BP1250">
        <f>IF(1237&lt;$U$9,MOD(1237,$U$8)+1,1)</f>
        <v/>
      </c>
      <c r="BQ1250">
        <f>IF(1237&lt;$U$9,SUMPRODUCT(($D$10:$L$10&lt;&gt;"")*(($D$9:$L$9+INT(($S$12:$AA$12+INDEX($AJ$13:$AR$162,BN1250,0)+INDEX($AT$13:$BB$162,BO1250,0)+INDEX($BD$13:$BL$162,BP1250,0))/100))&gt;=$D$10:$L$10)),0)</f>
        <v/>
      </c>
      <c r="BR1250">
        <f>IF(1237&lt;$U$9,SUMPRODUCT(($D$10:$L$10&lt;&gt;"")*(($D$10:$L$10-($D$9:$L$9+INT(($S$12:$AA$12+INDEX($AJ$13:$AR$162,BN1250,0)+INDEX($AT$13:$BB$162,BO1250,0)+INDEX($BD$13:$BL$162,BP1250,0))/100)))&gt;0)*($D$10:$L$10-($D$9:$L$9+INT(($S$12:$AA$12+INDEX($AJ$13:$AR$162,BN1250,0)+INDEX($AT$13:$BB$162,BO1250,0)+INDEX($BD$13:$BL$162,BP1250,0))/100)))),0)</f>
        <v/>
      </c>
      <c r="BS1250">
        <f>IF(1237&lt;$U$9,SUMPRODUCT(($D$9:$L$9+INT(($S$12:$AA$12+INDEX($AJ$13:$AR$162,BN1250,0)+INDEX($AT$13:$BB$162,BO1250,0)+INDEX($BD$13:$BL$162,BP1250,0))/100))),0)</f>
        <v/>
      </c>
      <c r="BT1250">
        <f>IF(AND(1237&lt;$U$9,$W$5),BQ1250*1000000-MIN(BR1250,999)*1000+BS1250-1237/100000,-1000000000-1237)</f>
        <v/>
      </c>
    </row>
    <row r="1251">
      <c r="BN1251">
        <f>IF(1238&lt;$U$9,INT(1238/($U$7*$U$8))+1,1)</f>
        <v/>
      </c>
      <c r="BO1251">
        <f>IF(1238&lt;$U$9,MOD(INT(1238/$U$8),$U$7)+1,1)</f>
        <v/>
      </c>
      <c r="BP1251">
        <f>IF(1238&lt;$U$9,MOD(1238,$U$8)+1,1)</f>
        <v/>
      </c>
      <c r="BQ1251">
        <f>IF(1238&lt;$U$9,SUMPRODUCT(($D$10:$L$10&lt;&gt;"")*(($D$9:$L$9+INT(($S$12:$AA$12+INDEX($AJ$13:$AR$162,BN1251,0)+INDEX($AT$13:$BB$162,BO1251,0)+INDEX($BD$13:$BL$162,BP1251,0))/100))&gt;=$D$10:$L$10)),0)</f>
        <v/>
      </c>
      <c r="BR1251">
        <f>IF(1238&lt;$U$9,SUMPRODUCT(($D$10:$L$10&lt;&gt;"")*(($D$10:$L$10-($D$9:$L$9+INT(($S$12:$AA$12+INDEX($AJ$13:$AR$162,BN1251,0)+INDEX($AT$13:$BB$162,BO1251,0)+INDEX($BD$13:$BL$162,BP1251,0))/100)))&gt;0)*($D$10:$L$10-($D$9:$L$9+INT(($S$12:$AA$12+INDEX($AJ$13:$AR$162,BN1251,0)+INDEX($AT$13:$BB$162,BO1251,0)+INDEX($BD$13:$BL$162,BP1251,0))/100)))),0)</f>
        <v/>
      </c>
      <c r="BS1251">
        <f>IF(1238&lt;$U$9,SUMPRODUCT(($D$9:$L$9+INT(($S$12:$AA$12+INDEX($AJ$13:$AR$162,BN1251,0)+INDEX($AT$13:$BB$162,BO1251,0)+INDEX($BD$13:$BL$162,BP1251,0))/100))),0)</f>
        <v/>
      </c>
      <c r="BT1251">
        <f>IF(AND(1238&lt;$U$9,$W$5),BQ1251*1000000-MIN(BR1251,999)*1000+BS1251-1238/100000,-1000000000-1238)</f>
        <v/>
      </c>
    </row>
    <row r="1252">
      <c r="BN1252">
        <f>IF(1239&lt;$U$9,INT(1239/($U$7*$U$8))+1,1)</f>
        <v/>
      </c>
      <c r="BO1252">
        <f>IF(1239&lt;$U$9,MOD(INT(1239/$U$8),$U$7)+1,1)</f>
        <v/>
      </c>
      <c r="BP1252">
        <f>IF(1239&lt;$U$9,MOD(1239,$U$8)+1,1)</f>
        <v/>
      </c>
      <c r="BQ1252">
        <f>IF(1239&lt;$U$9,SUMPRODUCT(($D$10:$L$10&lt;&gt;"")*(($D$9:$L$9+INT(($S$12:$AA$12+INDEX($AJ$13:$AR$162,BN1252,0)+INDEX($AT$13:$BB$162,BO1252,0)+INDEX($BD$13:$BL$162,BP1252,0))/100))&gt;=$D$10:$L$10)),0)</f>
        <v/>
      </c>
      <c r="BR1252">
        <f>IF(1239&lt;$U$9,SUMPRODUCT(($D$10:$L$10&lt;&gt;"")*(($D$10:$L$10-($D$9:$L$9+INT(($S$12:$AA$12+INDEX($AJ$13:$AR$162,BN1252,0)+INDEX($AT$13:$BB$162,BO1252,0)+INDEX($BD$13:$BL$162,BP1252,0))/100)))&gt;0)*($D$10:$L$10-($D$9:$L$9+INT(($S$12:$AA$12+INDEX($AJ$13:$AR$162,BN1252,0)+INDEX($AT$13:$BB$162,BO1252,0)+INDEX($BD$13:$BL$162,BP1252,0))/100)))),0)</f>
        <v/>
      </c>
      <c r="BS1252">
        <f>IF(1239&lt;$U$9,SUMPRODUCT(($D$9:$L$9+INT(($S$12:$AA$12+INDEX($AJ$13:$AR$162,BN1252,0)+INDEX($AT$13:$BB$162,BO1252,0)+INDEX($BD$13:$BL$162,BP1252,0))/100))),0)</f>
        <v/>
      </c>
      <c r="BT1252">
        <f>IF(AND(1239&lt;$U$9,$W$5),BQ1252*1000000-MIN(BR1252,999)*1000+BS1252-1239/100000,-1000000000-1239)</f>
        <v/>
      </c>
    </row>
    <row r="1253">
      <c r="BN1253">
        <f>IF(1240&lt;$U$9,INT(1240/($U$7*$U$8))+1,1)</f>
        <v/>
      </c>
      <c r="BO1253">
        <f>IF(1240&lt;$U$9,MOD(INT(1240/$U$8),$U$7)+1,1)</f>
        <v/>
      </c>
      <c r="BP1253">
        <f>IF(1240&lt;$U$9,MOD(1240,$U$8)+1,1)</f>
        <v/>
      </c>
      <c r="BQ1253">
        <f>IF(1240&lt;$U$9,SUMPRODUCT(($D$10:$L$10&lt;&gt;"")*(($D$9:$L$9+INT(($S$12:$AA$12+INDEX($AJ$13:$AR$162,BN1253,0)+INDEX($AT$13:$BB$162,BO1253,0)+INDEX($BD$13:$BL$162,BP1253,0))/100))&gt;=$D$10:$L$10)),0)</f>
        <v/>
      </c>
      <c r="BR1253">
        <f>IF(1240&lt;$U$9,SUMPRODUCT(($D$10:$L$10&lt;&gt;"")*(($D$10:$L$10-($D$9:$L$9+INT(($S$12:$AA$12+INDEX($AJ$13:$AR$162,BN1253,0)+INDEX($AT$13:$BB$162,BO1253,0)+INDEX($BD$13:$BL$162,BP1253,0))/100)))&gt;0)*($D$10:$L$10-($D$9:$L$9+INT(($S$12:$AA$12+INDEX($AJ$13:$AR$162,BN1253,0)+INDEX($AT$13:$BB$162,BO1253,0)+INDEX($BD$13:$BL$162,BP1253,0))/100)))),0)</f>
        <v/>
      </c>
      <c r="BS1253">
        <f>IF(1240&lt;$U$9,SUMPRODUCT(($D$9:$L$9+INT(($S$12:$AA$12+INDEX($AJ$13:$AR$162,BN1253,0)+INDEX($AT$13:$BB$162,BO1253,0)+INDEX($BD$13:$BL$162,BP1253,0))/100))),0)</f>
        <v/>
      </c>
      <c r="BT1253">
        <f>IF(AND(1240&lt;$U$9,$W$5),BQ1253*1000000-MIN(BR1253,999)*1000+BS1253-1240/100000,-1000000000-1240)</f>
        <v/>
      </c>
    </row>
    <row r="1254">
      <c r="BN1254">
        <f>IF(1241&lt;$U$9,INT(1241/($U$7*$U$8))+1,1)</f>
        <v/>
      </c>
      <c r="BO1254">
        <f>IF(1241&lt;$U$9,MOD(INT(1241/$U$8),$U$7)+1,1)</f>
        <v/>
      </c>
      <c r="BP1254">
        <f>IF(1241&lt;$U$9,MOD(1241,$U$8)+1,1)</f>
        <v/>
      </c>
      <c r="BQ1254">
        <f>IF(1241&lt;$U$9,SUMPRODUCT(($D$10:$L$10&lt;&gt;"")*(($D$9:$L$9+INT(($S$12:$AA$12+INDEX($AJ$13:$AR$162,BN1254,0)+INDEX($AT$13:$BB$162,BO1254,0)+INDEX($BD$13:$BL$162,BP1254,0))/100))&gt;=$D$10:$L$10)),0)</f>
        <v/>
      </c>
      <c r="BR1254">
        <f>IF(1241&lt;$U$9,SUMPRODUCT(($D$10:$L$10&lt;&gt;"")*(($D$10:$L$10-($D$9:$L$9+INT(($S$12:$AA$12+INDEX($AJ$13:$AR$162,BN1254,0)+INDEX($AT$13:$BB$162,BO1254,0)+INDEX($BD$13:$BL$162,BP1254,0))/100)))&gt;0)*($D$10:$L$10-($D$9:$L$9+INT(($S$12:$AA$12+INDEX($AJ$13:$AR$162,BN1254,0)+INDEX($AT$13:$BB$162,BO1254,0)+INDEX($BD$13:$BL$162,BP1254,0))/100)))),0)</f>
        <v/>
      </c>
      <c r="BS1254">
        <f>IF(1241&lt;$U$9,SUMPRODUCT(($D$9:$L$9+INT(($S$12:$AA$12+INDEX($AJ$13:$AR$162,BN1254,0)+INDEX($AT$13:$BB$162,BO1254,0)+INDEX($BD$13:$BL$162,BP1254,0))/100))),0)</f>
        <v/>
      </c>
      <c r="BT1254">
        <f>IF(AND(1241&lt;$U$9,$W$5),BQ1254*1000000-MIN(BR1254,999)*1000+BS1254-1241/100000,-1000000000-1241)</f>
        <v/>
      </c>
    </row>
    <row r="1255">
      <c r="BN1255">
        <f>IF(1242&lt;$U$9,INT(1242/($U$7*$U$8))+1,1)</f>
        <v/>
      </c>
      <c r="BO1255">
        <f>IF(1242&lt;$U$9,MOD(INT(1242/$U$8),$U$7)+1,1)</f>
        <v/>
      </c>
      <c r="BP1255">
        <f>IF(1242&lt;$U$9,MOD(1242,$U$8)+1,1)</f>
        <v/>
      </c>
      <c r="BQ1255">
        <f>IF(1242&lt;$U$9,SUMPRODUCT(($D$10:$L$10&lt;&gt;"")*(($D$9:$L$9+INT(($S$12:$AA$12+INDEX($AJ$13:$AR$162,BN1255,0)+INDEX($AT$13:$BB$162,BO1255,0)+INDEX($BD$13:$BL$162,BP1255,0))/100))&gt;=$D$10:$L$10)),0)</f>
        <v/>
      </c>
      <c r="BR1255">
        <f>IF(1242&lt;$U$9,SUMPRODUCT(($D$10:$L$10&lt;&gt;"")*(($D$10:$L$10-($D$9:$L$9+INT(($S$12:$AA$12+INDEX($AJ$13:$AR$162,BN1255,0)+INDEX($AT$13:$BB$162,BO1255,0)+INDEX($BD$13:$BL$162,BP1255,0))/100)))&gt;0)*($D$10:$L$10-($D$9:$L$9+INT(($S$12:$AA$12+INDEX($AJ$13:$AR$162,BN1255,0)+INDEX($AT$13:$BB$162,BO1255,0)+INDEX($BD$13:$BL$162,BP1255,0))/100)))),0)</f>
        <v/>
      </c>
      <c r="BS1255">
        <f>IF(1242&lt;$U$9,SUMPRODUCT(($D$9:$L$9+INT(($S$12:$AA$12+INDEX($AJ$13:$AR$162,BN1255,0)+INDEX($AT$13:$BB$162,BO1255,0)+INDEX($BD$13:$BL$162,BP1255,0))/100))),0)</f>
        <v/>
      </c>
      <c r="BT1255">
        <f>IF(AND(1242&lt;$U$9,$W$5),BQ1255*1000000-MIN(BR1255,999)*1000+BS1255-1242/100000,-1000000000-1242)</f>
        <v/>
      </c>
    </row>
    <row r="1256">
      <c r="BN1256">
        <f>IF(1243&lt;$U$9,INT(1243/($U$7*$U$8))+1,1)</f>
        <v/>
      </c>
      <c r="BO1256">
        <f>IF(1243&lt;$U$9,MOD(INT(1243/$U$8),$U$7)+1,1)</f>
        <v/>
      </c>
      <c r="BP1256">
        <f>IF(1243&lt;$U$9,MOD(1243,$U$8)+1,1)</f>
        <v/>
      </c>
      <c r="BQ1256">
        <f>IF(1243&lt;$U$9,SUMPRODUCT(($D$10:$L$10&lt;&gt;"")*(($D$9:$L$9+INT(($S$12:$AA$12+INDEX($AJ$13:$AR$162,BN1256,0)+INDEX($AT$13:$BB$162,BO1256,0)+INDEX($BD$13:$BL$162,BP1256,0))/100))&gt;=$D$10:$L$10)),0)</f>
        <v/>
      </c>
      <c r="BR1256">
        <f>IF(1243&lt;$U$9,SUMPRODUCT(($D$10:$L$10&lt;&gt;"")*(($D$10:$L$10-($D$9:$L$9+INT(($S$12:$AA$12+INDEX($AJ$13:$AR$162,BN1256,0)+INDEX($AT$13:$BB$162,BO1256,0)+INDEX($BD$13:$BL$162,BP1256,0))/100)))&gt;0)*($D$10:$L$10-($D$9:$L$9+INT(($S$12:$AA$12+INDEX($AJ$13:$AR$162,BN1256,0)+INDEX($AT$13:$BB$162,BO1256,0)+INDEX($BD$13:$BL$162,BP1256,0))/100)))),0)</f>
        <v/>
      </c>
      <c r="BS1256">
        <f>IF(1243&lt;$U$9,SUMPRODUCT(($D$9:$L$9+INT(($S$12:$AA$12+INDEX($AJ$13:$AR$162,BN1256,0)+INDEX($AT$13:$BB$162,BO1256,0)+INDEX($BD$13:$BL$162,BP1256,0))/100))),0)</f>
        <v/>
      </c>
      <c r="BT1256">
        <f>IF(AND(1243&lt;$U$9,$W$5),BQ1256*1000000-MIN(BR1256,999)*1000+BS1256-1243/100000,-1000000000-1243)</f>
        <v/>
      </c>
    </row>
    <row r="1257">
      <c r="BN1257">
        <f>IF(1244&lt;$U$9,INT(1244/($U$7*$U$8))+1,1)</f>
        <v/>
      </c>
      <c r="BO1257">
        <f>IF(1244&lt;$U$9,MOD(INT(1244/$U$8),$U$7)+1,1)</f>
        <v/>
      </c>
      <c r="BP1257">
        <f>IF(1244&lt;$U$9,MOD(1244,$U$8)+1,1)</f>
        <v/>
      </c>
      <c r="BQ1257">
        <f>IF(1244&lt;$U$9,SUMPRODUCT(($D$10:$L$10&lt;&gt;"")*(($D$9:$L$9+INT(($S$12:$AA$12+INDEX($AJ$13:$AR$162,BN1257,0)+INDEX($AT$13:$BB$162,BO1257,0)+INDEX($BD$13:$BL$162,BP1257,0))/100))&gt;=$D$10:$L$10)),0)</f>
        <v/>
      </c>
      <c r="BR1257">
        <f>IF(1244&lt;$U$9,SUMPRODUCT(($D$10:$L$10&lt;&gt;"")*(($D$10:$L$10-($D$9:$L$9+INT(($S$12:$AA$12+INDEX($AJ$13:$AR$162,BN1257,0)+INDEX($AT$13:$BB$162,BO1257,0)+INDEX($BD$13:$BL$162,BP1257,0))/100)))&gt;0)*($D$10:$L$10-($D$9:$L$9+INT(($S$12:$AA$12+INDEX($AJ$13:$AR$162,BN1257,0)+INDEX($AT$13:$BB$162,BO1257,0)+INDEX($BD$13:$BL$162,BP1257,0))/100)))),0)</f>
        <v/>
      </c>
      <c r="BS1257">
        <f>IF(1244&lt;$U$9,SUMPRODUCT(($D$9:$L$9+INT(($S$12:$AA$12+INDEX($AJ$13:$AR$162,BN1257,0)+INDEX($AT$13:$BB$162,BO1257,0)+INDEX($BD$13:$BL$162,BP1257,0))/100))),0)</f>
        <v/>
      </c>
      <c r="BT1257">
        <f>IF(AND(1244&lt;$U$9,$W$5),BQ1257*1000000-MIN(BR1257,999)*1000+BS1257-1244/100000,-1000000000-1244)</f>
        <v/>
      </c>
    </row>
    <row r="1258">
      <c r="BN1258">
        <f>IF(1245&lt;$U$9,INT(1245/($U$7*$U$8))+1,1)</f>
        <v/>
      </c>
      <c r="BO1258">
        <f>IF(1245&lt;$U$9,MOD(INT(1245/$U$8),$U$7)+1,1)</f>
        <v/>
      </c>
      <c r="BP1258">
        <f>IF(1245&lt;$U$9,MOD(1245,$U$8)+1,1)</f>
        <v/>
      </c>
      <c r="BQ1258">
        <f>IF(1245&lt;$U$9,SUMPRODUCT(($D$10:$L$10&lt;&gt;"")*(($D$9:$L$9+INT(($S$12:$AA$12+INDEX($AJ$13:$AR$162,BN1258,0)+INDEX($AT$13:$BB$162,BO1258,0)+INDEX($BD$13:$BL$162,BP1258,0))/100))&gt;=$D$10:$L$10)),0)</f>
        <v/>
      </c>
      <c r="BR1258">
        <f>IF(1245&lt;$U$9,SUMPRODUCT(($D$10:$L$10&lt;&gt;"")*(($D$10:$L$10-($D$9:$L$9+INT(($S$12:$AA$12+INDEX($AJ$13:$AR$162,BN1258,0)+INDEX($AT$13:$BB$162,BO1258,0)+INDEX($BD$13:$BL$162,BP1258,0))/100)))&gt;0)*($D$10:$L$10-($D$9:$L$9+INT(($S$12:$AA$12+INDEX($AJ$13:$AR$162,BN1258,0)+INDEX($AT$13:$BB$162,BO1258,0)+INDEX($BD$13:$BL$162,BP1258,0))/100)))),0)</f>
        <v/>
      </c>
      <c r="BS1258">
        <f>IF(1245&lt;$U$9,SUMPRODUCT(($D$9:$L$9+INT(($S$12:$AA$12+INDEX($AJ$13:$AR$162,BN1258,0)+INDEX($AT$13:$BB$162,BO1258,0)+INDEX($BD$13:$BL$162,BP1258,0))/100))),0)</f>
        <v/>
      </c>
      <c r="BT1258">
        <f>IF(AND(1245&lt;$U$9,$W$5),BQ1258*1000000-MIN(BR1258,999)*1000+BS1258-1245/100000,-1000000000-1245)</f>
        <v/>
      </c>
    </row>
    <row r="1259">
      <c r="BN1259">
        <f>IF(1246&lt;$U$9,INT(1246/($U$7*$U$8))+1,1)</f>
        <v/>
      </c>
      <c r="BO1259">
        <f>IF(1246&lt;$U$9,MOD(INT(1246/$U$8),$U$7)+1,1)</f>
        <v/>
      </c>
      <c r="BP1259">
        <f>IF(1246&lt;$U$9,MOD(1246,$U$8)+1,1)</f>
        <v/>
      </c>
      <c r="BQ1259">
        <f>IF(1246&lt;$U$9,SUMPRODUCT(($D$10:$L$10&lt;&gt;"")*(($D$9:$L$9+INT(($S$12:$AA$12+INDEX($AJ$13:$AR$162,BN1259,0)+INDEX($AT$13:$BB$162,BO1259,0)+INDEX($BD$13:$BL$162,BP1259,0))/100))&gt;=$D$10:$L$10)),0)</f>
        <v/>
      </c>
      <c r="BR1259">
        <f>IF(1246&lt;$U$9,SUMPRODUCT(($D$10:$L$10&lt;&gt;"")*(($D$10:$L$10-($D$9:$L$9+INT(($S$12:$AA$12+INDEX($AJ$13:$AR$162,BN1259,0)+INDEX($AT$13:$BB$162,BO1259,0)+INDEX($BD$13:$BL$162,BP1259,0))/100)))&gt;0)*($D$10:$L$10-($D$9:$L$9+INT(($S$12:$AA$12+INDEX($AJ$13:$AR$162,BN1259,0)+INDEX($AT$13:$BB$162,BO1259,0)+INDEX($BD$13:$BL$162,BP1259,0))/100)))),0)</f>
        <v/>
      </c>
      <c r="BS1259">
        <f>IF(1246&lt;$U$9,SUMPRODUCT(($D$9:$L$9+INT(($S$12:$AA$12+INDEX($AJ$13:$AR$162,BN1259,0)+INDEX($AT$13:$BB$162,BO1259,0)+INDEX($BD$13:$BL$162,BP1259,0))/100))),0)</f>
        <v/>
      </c>
      <c r="BT1259">
        <f>IF(AND(1246&lt;$U$9,$W$5),BQ1259*1000000-MIN(BR1259,999)*1000+BS1259-1246/100000,-1000000000-1246)</f>
        <v/>
      </c>
    </row>
    <row r="1260">
      <c r="BN1260">
        <f>IF(1247&lt;$U$9,INT(1247/($U$7*$U$8))+1,1)</f>
        <v/>
      </c>
      <c r="BO1260">
        <f>IF(1247&lt;$U$9,MOD(INT(1247/$U$8),$U$7)+1,1)</f>
        <v/>
      </c>
      <c r="BP1260">
        <f>IF(1247&lt;$U$9,MOD(1247,$U$8)+1,1)</f>
        <v/>
      </c>
      <c r="BQ1260">
        <f>IF(1247&lt;$U$9,SUMPRODUCT(($D$10:$L$10&lt;&gt;"")*(($D$9:$L$9+INT(($S$12:$AA$12+INDEX($AJ$13:$AR$162,BN1260,0)+INDEX($AT$13:$BB$162,BO1260,0)+INDEX($BD$13:$BL$162,BP1260,0))/100))&gt;=$D$10:$L$10)),0)</f>
        <v/>
      </c>
      <c r="BR1260">
        <f>IF(1247&lt;$U$9,SUMPRODUCT(($D$10:$L$10&lt;&gt;"")*(($D$10:$L$10-($D$9:$L$9+INT(($S$12:$AA$12+INDEX($AJ$13:$AR$162,BN1260,0)+INDEX($AT$13:$BB$162,BO1260,0)+INDEX($BD$13:$BL$162,BP1260,0))/100)))&gt;0)*($D$10:$L$10-($D$9:$L$9+INT(($S$12:$AA$12+INDEX($AJ$13:$AR$162,BN1260,0)+INDEX($AT$13:$BB$162,BO1260,0)+INDEX($BD$13:$BL$162,BP1260,0))/100)))),0)</f>
        <v/>
      </c>
      <c r="BS1260">
        <f>IF(1247&lt;$U$9,SUMPRODUCT(($D$9:$L$9+INT(($S$12:$AA$12+INDEX($AJ$13:$AR$162,BN1260,0)+INDEX($AT$13:$BB$162,BO1260,0)+INDEX($BD$13:$BL$162,BP1260,0))/100))),0)</f>
        <v/>
      </c>
      <c r="BT1260">
        <f>IF(AND(1247&lt;$U$9,$W$5),BQ1260*1000000-MIN(BR1260,999)*1000+BS1260-1247/100000,-1000000000-1247)</f>
        <v/>
      </c>
    </row>
    <row r="1261">
      <c r="BN1261">
        <f>IF(1248&lt;$U$9,INT(1248/($U$7*$U$8))+1,1)</f>
        <v/>
      </c>
      <c r="BO1261">
        <f>IF(1248&lt;$U$9,MOD(INT(1248/$U$8),$U$7)+1,1)</f>
        <v/>
      </c>
      <c r="BP1261">
        <f>IF(1248&lt;$U$9,MOD(1248,$U$8)+1,1)</f>
        <v/>
      </c>
      <c r="BQ1261">
        <f>IF(1248&lt;$U$9,SUMPRODUCT(($D$10:$L$10&lt;&gt;"")*(($D$9:$L$9+INT(($S$12:$AA$12+INDEX($AJ$13:$AR$162,BN1261,0)+INDEX($AT$13:$BB$162,BO1261,0)+INDEX($BD$13:$BL$162,BP1261,0))/100))&gt;=$D$10:$L$10)),0)</f>
        <v/>
      </c>
      <c r="BR1261">
        <f>IF(1248&lt;$U$9,SUMPRODUCT(($D$10:$L$10&lt;&gt;"")*(($D$10:$L$10-($D$9:$L$9+INT(($S$12:$AA$12+INDEX($AJ$13:$AR$162,BN1261,0)+INDEX($AT$13:$BB$162,BO1261,0)+INDEX($BD$13:$BL$162,BP1261,0))/100)))&gt;0)*($D$10:$L$10-($D$9:$L$9+INT(($S$12:$AA$12+INDEX($AJ$13:$AR$162,BN1261,0)+INDEX($AT$13:$BB$162,BO1261,0)+INDEX($BD$13:$BL$162,BP1261,0))/100)))),0)</f>
        <v/>
      </c>
      <c r="BS1261">
        <f>IF(1248&lt;$U$9,SUMPRODUCT(($D$9:$L$9+INT(($S$12:$AA$12+INDEX($AJ$13:$AR$162,BN1261,0)+INDEX($AT$13:$BB$162,BO1261,0)+INDEX($BD$13:$BL$162,BP1261,0))/100))),0)</f>
        <v/>
      </c>
      <c r="BT1261">
        <f>IF(AND(1248&lt;$U$9,$W$5),BQ1261*1000000-MIN(BR1261,999)*1000+BS1261-1248/100000,-1000000000-1248)</f>
        <v/>
      </c>
    </row>
    <row r="1262">
      <c r="BN1262">
        <f>IF(1249&lt;$U$9,INT(1249/($U$7*$U$8))+1,1)</f>
        <v/>
      </c>
      <c r="BO1262">
        <f>IF(1249&lt;$U$9,MOD(INT(1249/$U$8),$U$7)+1,1)</f>
        <v/>
      </c>
      <c r="BP1262">
        <f>IF(1249&lt;$U$9,MOD(1249,$U$8)+1,1)</f>
        <v/>
      </c>
      <c r="BQ1262">
        <f>IF(1249&lt;$U$9,SUMPRODUCT(($D$10:$L$10&lt;&gt;"")*(($D$9:$L$9+INT(($S$12:$AA$12+INDEX($AJ$13:$AR$162,BN1262,0)+INDEX($AT$13:$BB$162,BO1262,0)+INDEX($BD$13:$BL$162,BP1262,0))/100))&gt;=$D$10:$L$10)),0)</f>
        <v/>
      </c>
      <c r="BR1262">
        <f>IF(1249&lt;$U$9,SUMPRODUCT(($D$10:$L$10&lt;&gt;"")*(($D$10:$L$10-($D$9:$L$9+INT(($S$12:$AA$12+INDEX($AJ$13:$AR$162,BN1262,0)+INDEX($AT$13:$BB$162,BO1262,0)+INDEX($BD$13:$BL$162,BP1262,0))/100)))&gt;0)*($D$10:$L$10-($D$9:$L$9+INT(($S$12:$AA$12+INDEX($AJ$13:$AR$162,BN1262,0)+INDEX($AT$13:$BB$162,BO1262,0)+INDEX($BD$13:$BL$162,BP1262,0))/100)))),0)</f>
        <v/>
      </c>
      <c r="BS1262">
        <f>IF(1249&lt;$U$9,SUMPRODUCT(($D$9:$L$9+INT(($S$12:$AA$12+INDEX($AJ$13:$AR$162,BN1262,0)+INDEX($AT$13:$BB$162,BO1262,0)+INDEX($BD$13:$BL$162,BP1262,0))/100))),0)</f>
        <v/>
      </c>
      <c r="BT1262">
        <f>IF(AND(1249&lt;$U$9,$W$5),BQ1262*1000000-MIN(BR1262,999)*1000+BS1262-1249/100000,-1000000000-1249)</f>
        <v/>
      </c>
    </row>
    <row r="1263">
      <c r="BN1263">
        <f>IF(1250&lt;$U$9,INT(1250/($U$7*$U$8))+1,1)</f>
        <v/>
      </c>
      <c r="BO1263">
        <f>IF(1250&lt;$U$9,MOD(INT(1250/$U$8),$U$7)+1,1)</f>
        <v/>
      </c>
      <c r="BP1263">
        <f>IF(1250&lt;$U$9,MOD(1250,$U$8)+1,1)</f>
        <v/>
      </c>
      <c r="BQ1263">
        <f>IF(1250&lt;$U$9,SUMPRODUCT(($D$10:$L$10&lt;&gt;"")*(($D$9:$L$9+INT(($S$12:$AA$12+INDEX($AJ$13:$AR$162,BN1263,0)+INDEX($AT$13:$BB$162,BO1263,0)+INDEX($BD$13:$BL$162,BP1263,0))/100))&gt;=$D$10:$L$10)),0)</f>
        <v/>
      </c>
      <c r="BR1263">
        <f>IF(1250&lt;$U$9,SUMPRODUCT(($D$10:$L$10&lt;&gt;"")*(($D$10:$L$10-($D$9:$L$9+INT(($S$12:$AA$12+INDEX($AJ$13:$AR$162,BN1263,0)+INDEX($AT$13:$BB$162,BO1263,0)+INDEX($BD$13:$BL$162,BP1263,0))/100)))&gt;0)*($D$10:$L$10-($D$9:$L$9+INT(($S$12:$AA$12+INDEX($AJ$13:$AR$162,BN1263,0)+INDEX($AT$13:$BB$162,BO1263,0)+INDEX($BD$13:$BL$162,BP1263,0))/100)))),0)</f>
        <v/>
      </c>
      <c r="BS1263">
        <f>IF(1250&lt;$U$9,SUMPRODUCT(($D$9:$L$9+INT(($S$12:$AA$12+INDEX($AJ$13:$AR$162,BN1263,0)+INDEX($AT$13:$BB$162,BO1263,0)+INDEX($BD$13:$BL$162,BP1263,0))/100))),0)</f>
        <v/>
      </c>
      <c r="BT1263">
        <f>IF(AND(1250&lt;$U$9,$W$5),BQ1263*1000000-MIN(BR1263,999)*1000+BS1263-1250/100000,-1000000000-1250)</f>
        <v/>
      </c>
    </row>
    <row r="1264">
      <c r="BN1264">
        <f>IF(1251&lt;$U$9,INT(1251/($U$7*$U$8))+1,1)</f>
        <v/>
      </c>
      <c r="BO1264">
        <f>IF(1251&lt;$U$9,MOD(INT(1251/$U$8),$U$7)+1,1)</f>
        <v/>
      </c>
      <c r="BP1264">
        <f>IF(1251&lt;$U$9,MOD(1251,$U$8)+1,1)</f>
        <v/>
      </c>
      <c r="BQ1264">
        <f>IF(1251&lt;$U$9,SUMPRODUCT(($D$10:$L$10&lt;&gt;"")*(($D$9:$L$9+INT(($S$12:$AA$12+INDEX($AJ$13:$AR$162,BN1264,0)+INDEX($AT$13:$BB$162,BO1264,0)+INDEX($BD$13:$BL$162,BP1264,0))/100))&gt;=$D$10:$L$10)),0)</f>
        <v/>
      </c>
      <c r="BR1264">
        <f>IF(1251&lt;$U$9,SUMPRODUCT(($D$10:$L$10&lt;&gt;"")*(($D$10:$L$10-($D$9:$L$9+INT(($S$12:$AA$12+INDEX($AJ$13:$AR$162,BN1264,0)+INDEX($AT$13:$BB$162,BO1264,0)+INDEX($BD$13:$BL$162,BP1264,0))/100)))&gt;0)*($D$10:$L$10-($D$9:$L$9+INT(($S$12:$AA$12+INDEX($AJ$13:$AR$162,BN1264,0)+INDEX($AT$13:$BB$162,BO1264,0)+INDEX($BD$13:$BL$162,BP1264,0))/100)))),0)</f>
        <v/>
      </c>
      <c r="BS1264">
        <f>IF(1251&lt;$U$9,SUMPRODUCT(($D$9:$L$9+INT(($S$12:$AA$12+INDEX($AJ$13:$AR$162,BN1264,0)+INDEX($AT$13:$BB$162,BO1264,0)+INDEX($BD$13:$BL$162,BP1264,0))/100))),0)</f>
        <v/>
      </c>
      <c r="BT1264">
        <f>IF(AND(1251&lt;$U$9,$W$5),BQ1264*1000000-MIN(BR1264,999)*1000+BS1264-1251/100000,-1000000000-1251)</f>
        <v/>
      </c>
    </row>
    <row r="1265">
      <c r="BN1265">
        <f>IF(1252&lt;$U$9,INT(1252/($U$7*$U$8))+1,1)</f>
        <v/>
      </c>
      <c r="BO1265">
        <f>IF(1252&lt;$U$9,MOD(INT(1252/$U$8),$U$7)+1,1)</f>
        <v/>
      </c>
      <c r="BP1265">
        <f>IF(1252&lt;$U$9,MOD(1252,$U$8)+1,1)</f>
        <v/>
      </c>
      <c r="BQ1265">
        <f>IF(1252&lt;$U$9,SUMPRODUCT(($D$10:$L$10&lt;&gt;"")*(($D$9:$L$9+INT(($S$12:$AA$12+INDEX($AJ$13:$AR$162,BN1265,0)+INDEX($AT$13:$BB$162,BO1265,0)+INDEX($BD$13:$BL$162,BP1265,0))/100))&gt;=$D$10:$L$10)),0)</f>
        <v/>
      </c>
      <c r="BR1265">
        <f>IF(1252&lt;$U$9,SUMPRODUCT(($D$10:$L$10&lt;&gt;"")*(($D$10:$L$10-($D$9:$L$9+INT(($S$12:$AA$12+INDEX($AJ$13:$AR$162,BN1265,0)+INDEX($AT$13:$BB$162,BO1265,0)+INDEX($BD$13:$BL$162,BP1265,0))/100)))&gt;0)*($D$10:$L$10-($D$9:$L$9+INT(($S$12:$AA$12+INDEX($AJ$13:$AR$162,BN1265,0)+INDEX($AT$13:$BB$162,BO1265,0)+INDEX($BD$13:$BL$162,BP1265,0))/100)))),0)</f>
        <v/>
      </c>
      <c r="BS1265">
        <f>IF(1252&lt;$U$9,SUMPRODUCT(($D$9:$L$9+INT(($S$12:$AA$12+INDEX($AJ$13:$AR$162,BN1265,0)+INDEX($AT$13:$BB$162,BO1265,0)+INDEX($BD$13:$BL$162,BP1265,0))/100))),0)</f>
        <v/>
      </c>
      <c r="BT1265">
        <f>IF(AND(1252&lt;$U$9,$W$5),BQ1265*1000000-MIN(BR1265,999)*1000+BS1265-1252/100000,-1000000000-1252)</f>
        <v/>
      </c>
    </row>
    <row r="1266">
      <c r="BN1266">
        <f>IF(1253&lt;$U$9,INT(1253/($U$7*$U$8))+1,1)</f>
        <v/>
      </c>
      <c r="BO1266">
        <f>IF(1253&lt;$U$9,MOD(INT(1253/$U$8),$U$7)+1,1)</f>
        <v/>
      </c>
      <c r="BP1266">
        <f>IF(1253&lt;$U$9,MOD(1253,$U$8)+1,1)</f>
        <v/>
      </c>
      <c r="BQ1266">
        <f>IF(1253&lt;$U$9,SUMPRODUCT(($D$10:$L$10&lt;&gt;"")*(($D$9:$L$9+INT(($S$12:$AA$12+INDEX($AJ$13:$AR$162,BN1266,0)+INDEX($AT$13:$BB$162,BO1266,0)+INDEX($BD$13:$BL$162,BP1266,0))/100))&gt;=$D$10:$L$10)),0)</f>
        <v/>
      </c>
      <c r="BR1266">
        <f>IF(1253&lt;$U$9,SUMPRODUCT(($D$10:$L$10&lt;&gt;"")*(($D$10:$L$10-($D$9:$L$9+INT(($S$12:$AA$12+INDEX($AJ$13:$AR$162,BN1266,0)+INDEX($AT$13:$BB$162,BO1266,0)+INDEX($BD$13:$BL$162,BP1266,0))/100)))&gt;0)*($D$10:$L$10-($D$9:$L$9+INT(($S$12:$AA$12+INDEX($AJ$13:$AR$162,BN1266,0)+INDEX($AT$13:$BB$162,BO1266,0)+INDEX($BD$13:$BL$162,BP1266,0))/100)))),0)</f>
        <v/>
      </c>
      <c r="BS1266">
        <f>IF(1253&lt;$U$9,SUMPRODUCT(($D$9:$L$9+INT(($S$12:$AA$12+INDEX($AJ$13:$AR$162,BN1266,0)+INDEX($AT$13:$BB$162,BO1266,0)+INDEX($BD$13:$BL$162,BP1266,0))/100))),0)</f>
        <v/>
      </c>
      <c r="BT1266">
        <f>IF(AND(1253&lt;$U$9,$W$5),BQ1266*1000000-MIN(BR1266,999)*1000+BS1266-1253/100000,-1000000000-1253)</f>
        <v/>
      </c>
    </row>
    <row r="1267">
      <c r="BN1267">
        <f>IF(1254&lt;$U$9,INT(1254/($U$7*$U$8))+1,1)</f>
        <v/>
      </c>
      <c r="BO1267">
        <f>IF(1254&lt;$U$9,MOD(INT(1254/$U$8),$U$7)+1,1)</f>
        <v/>
      </c>
      <c r="BP1267">
        <f>IF(1254&lt;$U$9,MOD(1254,$U$8)+1,1)</f>
        <v/>
      </c>
      <c r="BQ1267">
        <f>IF(1254&lt;$U$9,SUMPRODUCT(($D$10:$L$10&lt;&gt;"")*(($D$9:$L$9+INT(($S$12:$AA$12+INDEX($AJ$13:$AR$162,BN1267,0)+INDEX($AT$13:$BB$162,BO1267,0)+INDEX($BD$13:$BL$162,BP1267,0))/100))&gt;=$D$10:$L$10)),0)</f>
        <v/>
      </c>
      <c r="BR1267">
        <f>IF(1254&lt;$U$9,SUMPRODUCT(($D$10:$L$10&lt;&gt;"")*(($D$10:$L$10-($D$9:$L$9+INT(($S$12:$AA$12+INDEX($AJ$13:$AR$162,BN1267,0)+INDEX($AT$13:$BB$162,BO1267,0)+INDEX($BD$13:$BL$162,BP1267,0))/100)))&gt;0)*($D$10:$L$10-($D$9:$L$9+INT(($S$12:$AA$12+INDEX($AJ$13:$AR$162,BN1267,0)+INDEX($AT$13:$BB$162,BO1267,0)+INDEX($BD$13:$BL$162,BP1267,0))/100)))),0)</f>
        <v/>
      </c>
      <c r="BS1267">
        <f>IF(1254&lt;$U$9,SUMPRODUCT(($D$9:$L$9+INT(($S$12:$AA$12+INDEX($AJ$13:$AR$162,BN1267,0)+INDEX($AT$13:$BB$162,BO1267,0)+INDEX($BD$13:$BL$162,BP1267,0))/100))),0)</f>
        <v/>
      </c>
      <c r="BT1267">
        <f>IF(AND(1254&lt;$U$9,$W$5),BQ1267*1000000-MIN(BR1267,999)*1000+BS1267-1254/100000,-1000000000-1254)</f>
        <v/>
      </c>
    </row>
    <row r="1268">
      <c r="BN1268">
        <f>IF(1255&lt;$U$9,INT(1255/($U$7*$U$8))+1,1)</f>
        <v/>
      </c>
      <c r="BO1268">
        <f>IF(1255&lt;$U$9,MOD(INT(1255/$U$8),$U$7)+1,1)</f>
        <v/>
      </c>
      <c r="BP1268">
        <f>IF(1255&lt;$U$9,MOD(1255,$U$8)+1,1)</f>
        <v/>
      </c>
      <c r="BQ1268">
        <f>IF(1255&lt;$U$9,SUMPRODUCT(($D$10:$L$10&lt;&gt;"")*(($D$9:$L$9+INT(($S$12:$AA$12+INDEX($AJ$13:$AR$162,BN1268,0)+INDEX($AT$13:$BB$162,BO1268,0)+INDEX($BD$13:$BL$162,BP1268,0))/100))&gt;=$D$10:$L$10)),0)</f>
        <v/>
      </c>
      <c r="BR1268">
        <f>IF(1255&lt;$U$9,SUMPRODUCT(($D$10:$L$10&lt;&gt;"")*(($D$10:$L$10-($D$9:$L$9+INT(($S$12:$AA$12+INDEX($AJ$13:$AR$162,BN1268,0)+INDEX($AT$13:$BB$162,BO1268,0)+INDEX($BD$13:$BL$162,BP1268,0))/100)))&gt;0)*($D$10:$L$10-($D$9:$L$9+INT(($S$12:$AA$12+INDEX($AJ$13:$AR$162,BN1268,0)+INDEX($AT$13:$BB$162,BO1268,0)+INDEX($BD$13:$BL$162,BP1268,0))/100)))),0)</f>
        <v/>
      </c>
      <c r="BS1268">
        <f>IF(1255&lt;$U$9,SUMPRODUCT(($D$9:$L$9+INT(($S$12:$AA$12+INDEX($AJ$13:$AR$162,BN1268,0)+INDEX($AT$13:$BB$162,BO1268,0)+INDEX($BD$13:$BL$162,BP1268,0))/100))),0)</f>
        <v/>
      </c>
      <c r="BT1268">
        <f>IF(AND(1255&lt;$U$9,$W$5),BQ1268*1000000-MIN(BR1268,999)*1000+BS1268-1255/100000,-1000000000-1255)</f>
        <v/>
      </c>
    </row>
    <row r="1269">
      <c r="BN1269">
        <f>IF(1256&lt;$U$9,INT(1256/($U$7*$U$8))+1,1)</f>
        <v/>
      </c>
      <c r="BO1269">
        <f>IF(1256&lt;$U$9,MOD(INT(1256/$U$8),$U$7)+1,1)</f>
        <v/>
      </c>
      <c r="BP1269">
        <f>IF(1256&lt;$U$9,MOD(1256,$U$8)+1,1)</f>
        <v/>
      </c>
      <c r="BQ1269">
        <f>IF(1256&lt;$U$9,SUMPRODUCT(($D$10:$L$10&lt;&gt;"")*(($D$9:$L$9+INT(($S$12:$AA$12+INDEX($AJ$13:$AR$162,BN1269,0)+INDEX($AT$13:$BB$162,BO1269,0)+INDEX($BD$13:$BL$162,BP1269,0))/100))&gt;=$D$10:$L$10)),0)</f>
        <v/>
      </c>
      <c r="BR1269">
        <f>IF(1256&lt;$U$9,SUMPRODUCT(($D$10:$L$10&lt;&gt;"")*(($D$10:$L$10-($D$9:$L$9+INT(($S$12:$AA$12+INDEX($AJ$13:$AR$162,BN1269,0)+INDEX($AT$13:$BB$162,BO1269,0)+INDEX($BD$13:$BL$162,BP1269,0))/100)))&gt;0)*($D$10:$L$10-($D$9:$L$9+INT(($S$12:$AA$12+INDEX($AJ$13:$AR$162,BN1269,0)+INDEX($AT$13:$BB$162,BO1269,0)+INDEX($BD$13:$BL$162,BP1269,0))/100)))),0)</f>
        <v/>
      </c>
      <c r="BS1269">
        <f>IF(1256&lt;$U$9,SUMPRODUCT(($D$9:$L$9+INT(($S$12:$AA$12+INDEX($AJ$13:$AR$162,BN1269,0)+INDEX($AT$13:$BB$162,BO1269,0)+INDEX($BD$13:$BL$162,BP1269,0))/100))),0)</f>
        <v/>
      </c>
      <c r="BT1269">
        <f>IF(AND(1256&lt;$U$9,$W$5),BQ1269*1000000-MIN(BR1269,999)*1000+BS1269-1256/100000,-1000000000-1256)</f>
        <v/>
      </c>
    </row>
    <row r="1270">
      <c r="BN1270">
        <f>IF(1257&lt;$U$9,INT(1257/($U$7*$U$8))+1,1)</f>
        <v/>
      </c>
      <c r="BO1270">
        <f>IF(1257&lt;$U$9,MOD(INT(1257/$U$8),$U$7)+1,1)</f>
        <v/>
      </c>
      <c r="BP1270">
        <f>IF(1257&lt;$U$9,MOD(1257,$U$8)+1,1)</f>
        <v/>
      </c>
      <c r="BQ1270">
        <f>IF(1257&lt;$U$9,SUMPRODUCT(($D$10:$L$10&lt;&gt;"")*(($D$9:$L$9+INT(($S$12:$AA$12+INDEX($AJ$13:$AR$162,BN1270,0)+INDEX($AT$13:$BB$162,BO1270,0)+INDEX($BD$13:$BL$162,BP1270,0))/100))&gt;=$D$10:$L$10)),0)</f>
        <v/>
      </c>
      <c r="BR1270">
        <f>IF(1257&lt;$U$9,SUMPRODUCT(($D$10:$L$10&lt;&gt;"")*(($D$10:$L$10-($D$9:$L$9+INT(($S$12:$AA$12+INDEX($AJ$13:$AR$162,BN1270,0)+INDEX($AT$13:$BB$162,BO1270,0)+INDEX($BD$13:$BL$162,BP1270,0))/100)))&gt;0)*($D$10:$L$10-($D$9:$L$9+INT(($S$12:$AA$12+INDEX($AJ$13:$AR$162,BN1270,0)+INDEX($AT$13:$BB$162,BO1270,0)+INDEX($BD$13:$BL$162,BP1270,0))/100)))),0)</f>
        <v/>
      </c>
      <c r="BS1270">
        <f>IF(1257&lt;$U$9,SUMPRODUCT(($D$9:$L$9+INT(($S$12:$AA$12+INDEX($AJ$13:$AR$162,BN1270,0)+INDEX($AT$13:$BB$162,BO1270,0)+INDEX($BD$13:$BL$162,BP1270,0))/100))),0)</f>
        <v/>
      </c>
      <c r="BT1270">
        <f>IF(AND(1257&lt;$U$9,$W$5),BQ1270*1000000-MIN(BR1270,999)*1000+BS1270-1257/100000,-1000000000-1257)</f>
        <v/>
      </c>
    </row>
    <row r="1271">
      <c r="BN1271">
        <f>IF(1258&lt;$U$9,INT(1258/($U$7*$U$8))+1,1)</f>
        <v/>
      </c>
      <c r="BO1271">
        <f>IF(1258&lt;$U$9,MOD(INT(1258/$U$8),$U$7)+1,1)</f>
        <v/>
      </c>
      <c r="BP1271">
        <f>IF(1258&lt;$U$9,MOD(1258,$U$8)+1,1)</f>
        <v/>
      </c>
      <c r="BQ1271">
        <f>IF(1258&lt;$U$9,SUMPRODUCT(($D$10:$L$10&lt;&gt;"")*(($D$9:$L$9+INT(($S$12:$AA$12+INDEX($AJ$13:$AR$162,BN1271,0)+INDEX($AT$13:$BB$162,BO1271,0)+INDEX($BD$13:$BL$162,BP1271,0))/100))&gt;=$D$10:$L$10)),0)</f>
        <v/>
      </c>
      <c r="BR1271">
        <f>IF(1258&lt;$U$9,SUMPRODUCT(($D$10:$L$10&lt;&gt;"")*(($D$10:$L$10-($D$9:$L$9+INT(($S$12:$AA$12+INDEX($AJ$13:$AR$162,BN1271,0)+INDEX($AT$13:$BB$162,BO1271,0)+INDEX($BD$13:$BL$162,BP1271,0))/100)))&gt;0)*($D$10:$L$10-($D$9:$L$9+INT(($S$12:$AA$12+INDEX($AJ$13:$AR$162,BN1271,0)+INDEX($AT$13:$BB$162,BO1271,0)+INDEX($BD$13:$BL$162,BP1271,0))/100)))),0)</f>
        <v/>
      </c>
      <c r="BS1271">
        <f>IF(1258&lt;$U$9,SUMPRODUCT(($D$9:$L$9+INT(($S$12:$AA$12+INDEX($AJ$13:$AR$162,BN1271,0)+INDEX($AT$13:$BB$162,BO1271,0)+INDEX($BD$13:$BL$162,BP1271,0))/100))),0)</f>
        <v/>
      </c>
      <c r="BT1271">
        <f>IF(AND(1258&lt;$U$9,$W$5),BQ1271*1000000-MIN(BR1271,999)*1000+BS1271-1258/100000,-1000000000-1258)</f>
        <v/>
      </c>
    </row>
    <row r="1272">
      <c r="BN1272">
        <f>IF(1259&lt;$U$9,INT(1259/($U$7*$U$8))+1,1)</f>
        <v/>
      </c>
      <c r="BO1272">
        <f>IF(1259&lt;$U$9,MOD(INT(1259/$U$8),$U$7)+1,1)</f>
        <v/>
      </c>
      <c r="BP1272">
        <f>IF(1259&lt;$U$9,MOD(1259,$U$8)+1,1)</f>
        <v/>
      </c>
      <c r="BQ1272">
        <f>IF(1259&lt;$U$9,SUMPRODUCT(($D$10:$L$10&lt;&gt;"")*(($D$9:$L$9+INT(($S$12:$AA$12+INDEX($AJ$13:$AR$162,BN1272,0)+INDEX($AT$13:$BB$162,BO1272,0)+INDEX($BD$13:$BL$162,BP1272,0))/100))&gt;=$D$10:$L$10)),0)</f>
        <v/>
      </c>
      <c r="BR1272">
        <f>IF(1259&lt;$U$9,SUMPRODUCT(($D$10:$L$10&lt;&gt;"")*(($D$10:$L$10-($D$9:$L$9+INT(($S$12:$AA$12+INDEX($AJ$13:$AR$162,BN1272,0)+INDEX($AT$13:$BB$162,BO1272,0)+INDEX($BD$13:$BL$162,BP1272,0))/100)))&gt;0)*($D$10:$L$10-($D$9:$L$9+INT(($S$12:$AA$12+INDEX($AJ$13:$AR$162,BN1272,0)+INDEX($AT$13:$BB$162,BO1272,0)+INDEX($BD$13:$BL$162,BP1272,0))/100)))),0)</f>
        <v/>
      </c>
      <c r="BS1272">
        <f>IF(1259&lt;$U$9,SUMPRODUCT(($D$9:$L$9+INT(($S$12:$AA$12+INDEX($AJ$13:$AR$162,BN1272,0)+INDEX($AT$13:$BB$162,BO1272,0)+INDEX($BD$13:$BL$162,BP1272,0))/100))),0)</f>
        <v/>
      </c>
      <c r="BT1272">
        <f>IF(AND(1259&lt;$U$9,$W$5),BQ1272*1000000-MIN(BR1272,999)*1000+BS1272-1259/100000,-1000000000-1259)</f>
        <v/>
      </c>
    </row>
    <row r="1273">
      <c r="BN1273">
        <f>IF(1260&lt;$U$9,INT(1260/($U$7*$U$8))+1,1)</f>
        <v/>
      </c>
      <c r="BO1273">
        <f>IF(1260&lt;$U$9,MOD(INT(1260/$U$8),$U$7)+1,1)</f>
        <v/>
      </c>
      <c r="BP1273">
        <f>IF(1260&lt;$U$9,MOD(1260,$U$8)+1,1)</f>
        <v/>
      </c>
      <c r="BQ1273">
        <f>IF(1260&lt;$U$9,SUMPRODUCT(($D$10:$L$10&lt;&gt;"")*(($D$9:$L$9+INT(($S$12:$AA$12+INDEX($AJ$13:$AR$162,BN1273,0)+INDEX($AT$13:$BB$162,BO1273,0)+INDEX($BD$13:$BL$162,BP1273,0))/100))&gt;=$D$10:$L$10)),0)</f>
        <v/>
      </c>
      <c r="BR1273">
        <f>IF(1260&lt;$U$9,SUMPRODUCT(($D$10:$L$10&lt;&gt;"")*(($D$10:$L$10-($D$9:$L$9+INT(($S$12:$AA$12+INDEX($AJ$13:$AR$162,BN1273,0)+INDEX($AT$13:$BB$162,BO1273,0)+INDEX($BD$13:$BL$162,BP1273,0))/100)))&gt;0)*($D$10:$L$10-($D$9:$L$9+INT(($S$12:$AA$12+INDEX($AJ$13:$AR$162,BN1273,0)+INDEX($AT$13:$BB$162,BO1273,0)+INDEX($BD$13:$BL$162,BP1273,0))/100)))),0)</f>
        <v/>
      </c>
      <c r="BS1273">
        <f>IF(1260&lt;$U$9,SUMPRODUCT(($D$9:$L$9+INT(($S$12:$AA$12+INDEX($AJ$13:$AR$162,BN1273,0)+INDEX($AT$13:$BB$162,BO1273,0)+INDEX($BD$13:$BL$162,BP1273,0))/100))),0)</f>
        <v/>
      </c>
      <c r="BT1273">
        <f>IF(AND(1260&lt;$U$9,$W$5),BQ1273*1000000-MIN(BR1273,999)*1000+BS1273-1260/100000,-1000000000-1260)</f>
        <v/>
      </c>
    </row>
    <row r="1274">
      <c r="BN1274">
        <f>IF(1261&lt;$U$9,INT(1261/($U$7*$U$8))+1,1)</f>
        <v/>
      </c>
      <c r="BO1274">
        <f>IF(1261&lt;$U$9,MOD(INT(1261/$U$8),$U$7)+1,1)</f>
        <v/>
      </c>
      <c r="BP1274">
        <f>IF(1261&lt;$U$9,MOD(1261,$U$8)+1,1)</f>
        <v/>
      </c>
      <c r="BQ1274">
        <f>IF(1261&lt;$U$9,SUMPRODUCT(($D$10:$L$10&lt;&gt;"")*(($D$9:$L$9+INT(($S$12:$AA$12+INDEX($AJ$13:$AR$162,BN1274,0)+INDEX($AT$13:$BB$162,BO1274,0)+INDEX($BD$13:$BL$162,BP1274,0))/100))&gt;=$D$10:$L$10)),0)</f>
        <v/>
      </c>
      <c r="BR1274">
        <f>IF(1261&lt;$U$9,SUMPRODUCT(($D$10:$L$10&lt;&gt;"")*(($D$10:$L$10-($D$9:$L$9+INT(($S$12:$AA$12+INDEX($AJ$13:$AR$162,BN1274,0)+INDEX($AT$13:$BB$162,BO1274,0)+INDEX($BD$13:$BL$162,BP1274,0))/100)))&gt;0)*($D$10:$L$10-($D$9:$L$9+INT(($S$12:$AA$12+INDEX($AJ$13:$AR$162,BN1274,0)+INDEX($AT$13:$BB$162,BO1274,0)+INDEX($BD$13:$BL$162,BP1274,0))/100)))),0)</f>
        <v/>
      </c>
      <c r="BS1274">
        <f>IF(1261&lt;$U$9,SUMPRODUCT(($D$9:$L$9+INT(($S$12:$AA$12+INDEX($AJ$13:$AR$162,BN1274,0)+INDEX($AT$13:$BB$162,BO1274,0)+INDEX($BD$13:$BL$162,BP1274,0))/100))),0)</f>
        <v/>
      </c>
      <c r="BT1274">
        <f>IF(AND(1261&lt;$U$9,$W$5),BQ1274*1000000-MIN(BR1274,999)*1000+BS1274-1261/100000,-1000000000-1261)</f>
        <v/>
      </c>
    </row>
    <row r="1275">
      <c r="BN1275">
        <f>IF(1262&lt;$U$9,INT(1262/($U$7*$U$8))+1,1)</f>
        <v/>
      </c>
      <c r="BO1275">
        <f>IF(1262&lt;$U$9,MOD(INT(1262/$U$8),$U$7)+1,1)</f>
        <v/>
      </c>
      <c r="BP1275">
        <f>IF(1262&lt;$U$9,MOD(1262,$U$8)+1,1)</f>
        <v/>
      </c>
      <c r="BQ1275">
        <f>IF(1262&lt;$U$9,SUMPRODUCT(($D$10:$L$10&lt;&gt;"")*(($D$9:$L$9+INT(($S$12:$AA$12+INDEX($AJ$13:$AR$162,BN1275,0)+INDEX($AT$13:$BB$162,BO1275,0)+INDEX($BD$13:$BL$162,BP1275,0))/100))&gt;=$D$10:$L$10)),0)</f>
        <v/>
      </c>
      <c r="BR1275">
        <f>IF(1262&lt;$U$9,SUMPRODUCT(($D$10:$L$10&lt;&gt;"")*(($D$10:$L$10-($D$9:$L$9+INT(($S$12:$AA$12+INDEX($AJ$13:$AR$162,BN1275,0)+INDEX($AT$13:$BB$162,BO1275,0)+INDEX($BD$13:$BL$162,BP1275,0))/100)))&gt;0)*($D$10:$L$10-($D$9:$L$9+INT(($S$12:$AA$12+INDEX($AJ$13:$AR$162,BN1275,0)+INDEX($AT$13:$BB$162,BO1275,0)+INDEX($BD$13:$BL$162,BP1275,0))/100)))),0)</f>
        <v/>
      </c>
      <c r="BS1275">
        <f>IF(1262&lt;$U$9,SUMPRODUCT(($D$9:$L$9+INT(($S$12:$AA$12+INDEX($AJ$13:$AR$162,BN1275,0)+INDEX($AT$13:$BB$162,BO1275,0)+INDEX($BD$13:$BL$162,BP1275,0))/100))),0)</f>
        <v/>
      </c>
      <c r="BT1275">
        <f>IF(AND(1262&lt;$U$9,$W$5),BQ1275*1000000-MIN(BR1275,999)*1000+BS1275-1262/100000,-1000000000-1262)</f>
        <v/>
      </c>
    </row>
    <row r="1276">
      <c r="BN1276">
        <f>IF(1263&lt;$U$9,INT(1263/($U$7*$U$8))+1,1)</f>
        <v/>
      </c>
      <c r="BO1276">
        <f>IF(1263&lt;$U$9,MOD(INT(1263/$U$8),$U$7)+1,1)</f>
        <v/>
      </c>
      <c r="BP1276">
        <f>IF(1263&lt;$U$9,MOD(1263,$U$8)+1,1)</f>
        <v/>
      </c>
      <c r="BQ1276">
        <f>IF(1263&lt;$U$9,SUMPRODUCT(($D$10:$L$10&lt;&gt;"")*(($D$9:$L$9+INT(($S$12:$AA$12+INDEX($AJ$13:$AR$162,BN1276,0)+INDEX($AT$13:$BB$162,BO1276,0)+INDEX($BD$13:$BL$162,BP1276,0))/100))&gt;=$D$10:$L$10)),0)</f>
        <v/>
      </c>
      <c r="BR1276">
        <f>IF(1263&lt;$U$9,SUMPRODUCT(($D$10:$L$10&lt;&gt;"")*(($D$10:$L$10-($D$9:$L$9+INT(($S$12:$AA$12+INDEX($AJ$13:$AR$162,BN1276,0)+INDEX($AT$13:$BB$162,BO1276,0)+INDEX($BD$13:$BL$162,BP1276,0))/100)))&gt;0)*($D$10:$L$10-($D$9:$L$9+INT(($S$12:$AA$12+INDEX($AJ$13:$AR$162,BN1276,0)+INDEX($AT$13:$BB$162,BO1276,0)+INDEX($BD$13:$BL$162,BP1276,0))/100)))),0)</f>
        <v/>
      </c>
      <c r="BS1276">
        <f>IF(1263&lt;$U$9,SUMPRODUCT(($D$9:$L$9+INT(($S$12:$AA$12+INDEX($AJ$13:$AR$162,BN1276,0)+INDEX($AT$13:$BB$162,BO1276,0)+INDEX($BD$13:$BL$162,BP1276,0))/100))),0)</f>
        <v/>
      </c>
      <c r="BT1276">
        <f>IF(AND(1263&lt;$U$9,$W$5),BQ1276*1000000-MIN(BR1276,999)*1000+BS1276-1263/100000,-1000000000-1263)</f>
        <v/>
      </c>
    </row>
    <row r="1277">
      <c r="BN1277">
        <f>IF(1264&lt;$U$9,INT(1264/($U$7*$U$8))+1,1)</f>
        <v/>
      </c>
      <c r="BO1277">
        <f>IF(1264&lt;$U$9,MOD(INT(1264/$U$8),$U$7)+1,1)</f>
        <v/>
      </c>
      <c r="BP1277">
        <f>IF(1264&lt;$U$9,MOD(1264,$U$8)+1,1)</f>
        <v/>
      </c>
      <c r="BQ1277">
        <f>IF(1264&lt;$U$9,SUMPRODUCT(($D$10:$L$10&lt;&gt;"")*(($D$9:$L$9+INT(($S$12:$AA$12+INDEX($AJ$13:$AR$162,BN1277,0)+INDEX($AT$13:$BB$162,BO1277,0)+INDEX($BD$13:$BL$162,BP1277,0))/100))&gt;=$D$10:$L$10)),0)</f>
        <v/>
      </c>
      <c r="BR1277">
        <f>IF(1264&lt;$U$9,SUMPRODUCT(($D$10:$L$10&lt;&gt;"")*(($D$10:$L$10-($D$9:$L$9+INT(($S$12:$AA$12+INDEX($AJ$13:$AR$162,BN1277,0)+INDEX($AT$13:$BB$162,BO1277,0)+INDEX($BD$13:$BL$162,BP1277,0))/100)))&gt;0)*($D$10:$L$10-($D$9:$L$9+INT(($S$12:$AA$12+INDEX($AJ$13:$AR$162,BN1277,0)+INDEX($AT$13:$BB$162,BO1277,0)+INDEX($BD$13:$BL$162,BP1277,0))/100)))),0)</f>
        <v/>
      </c>
      <c r="BS1277">
        <f>IF(1264&lt;$U$9,SUMPRODUCT(($D$9:$L$9+INT(($S$12:$AA$12+INDEX($AJ$13:$AR$162,BN1277,0)+INDEX($AT$13:$BB$162,BO1277,0)+INDEX($BD$13:$BL$162,BP1277,0))/100))),0)</f>
        <v/>
      </c>
      <c r="BT1277">
        <f>IF(AND(1264&lt;$U$9,$W$5),BQ1277*1000000-MIN(BR1277,999)*1000+BS1277-1264/100000,-1000000000-1264)</f>
        <v/>
      </c>
    </row>
    <row r="1278">
      <c r="BN1278">
        <f>IF(1265&lt;$U$9,INT(1265/($U$7*$U$8))+1,1)</f>
        <v/>
      </c>
      <c r="BO1278">
        <f>IF(1265&lt;$U$9,MOD(INT(1265/$U$8),$U$7)+1,1)</f>
        <v/>
      </c>
      <c r="BP1278">
        <f>IF(1265&lt;$U$9,MOD(1265,$U$8)+1,1)</f>
        <v/>
      </c>
      <c r="BQ1278">
        <f>IF(1265&lt;$U$9,SUMPRODUCT(($D$10:$L$10&lt;&gt;"")*(($D$9:$L$9+INT(($S$12:$AA$12+INDEX($AJ$13:$AR$162,BN1278,0)+INDEX($AT$13:$BB$162,BO1278,0)+INDEX($BD$13:$BL$162,BP1278,0))/100))&gt;=$D$10:$L$10)),0)</f>
        <v/>
      </c>
      <c r="BR1278">
        <f>IF(1265&lt;$U$9,SUMPRODUCT(($D$10:$L$10&lt;&gt;"")*(($D$10:$L$10-($D$9:$L$9+INT(($S$12:$AA$12+INDEX($AJ$13:$AR$162,BN1278,0)+INDEX($AT$13:$BB$162,BO1278,0)+INDEX($BD$13:$BL$162,BP1278,0))/100)))&gt;0)*($D$10:$L$10-($D$9:$L$9+INT(($S$12:$AA$12+INDEX($AJ$13:$AR$162,BN1278,0)+INDEX($AT$13:$BB$162,BO1278,0)+INDEX($BD$13:$BL$162,BP1278,0))/100)))),0)</f>
        <v/>
      </c>
      <c r="BS1278">
        <f>IF(1265&lt;$U$9,SUMPRODUCT(($D$9:$L$9+INT(($S$12:$AA$12+INDEX($AJ$13:$AR$162,BN1278,0)+INDEX($AT$13:$BB$162,BO1278,0)+INDEX($BD$13:$BL$162,BP1278,0))/100))),0)</f>
        <v/>
      </c>
      <c r="BT1278">
        <f>IF(AND(1265&lt;$U$9,$W$5),BQ1278*1000000-MIN(BR1278,999)*1000+BS1278-1265/100000,-1000000000-1265)</f>
        <v/>
      </c>
    </row>
    <row r="1279">
      <c r="BN1279">
        <f>IF(1266&lt;$U$9,INT(1266/($U$7*$U$8))+1,1)</f>
        <v/>
      </c>
      <c r="BO1279">
        <f>IF(1266&lt;$U$9,MOD(INT(1266/$U$8),$U$7)+1,1)</f>
        <v/>
      </c>
      <c r="BP1279">
        <f>IF(1266&lt;$U$9,MOD(1266,$U$8)+1,1)</f>
        <v/>
      </c>
      <c r="BQ1279">
        <f>IF(1266&lt;$U$9,SUMPRODUCT(($D$10:$L$10&lt;&gt;"")*(($D$9:$L$9+INT(($S$12:$AA$12+INDEX($AJ$13:$AR$162,BN1279,0)+INDEX($AT$13:$BB$162,BO1279,0)+INDEX($BD$13:$BL$162,BP1279,0))/100))&gt;=$D$10:$L$10)),0)</f>
        <v/>
      </c>
      <c r="BR1279">
        <f>IF(1266&lt;$U$9,SUMPRODUCT(($D$10:$L$10&lt;&gt;"")*(($D$10:$L$10-($D$9:$L$9+INT(($S$12:$AA$12+INDEX($AJ$13:$AR$162,BN1279,0)+INDEX($AT$13:$BB$162,BO1279,0)+INDEX($BD$13:$BL$162,BP1279,0))/100)))&gt;0)*($D$10:$L$10-($D$9:$L$9+INT(($S$12:$AA$12+INDEX($AJ$13:$AR$162,BN1279,0)+INDEX($AT$13:$BB$162,BO1279,0)+INDEX($BD$13:$BL$162,BP1279,0))/100)))),0)</f>
        <v/>
      </c>
      <c r="BS1279">
        <f>IF(1266&lt;$U$9,SUMPRODUCT(($D$9:$L$9+INT(($S$12:$AA$12+INDEX($AJ$13:$AR$162,BN1279,0)+INDEX($AT$13:$BB$162,BO1279,0)+INDEX($BD$13:$BL$162,BP1279,0))/100))),0)</f>
        <v/>
      </c>
      <c r="BT1279">
        <f>IF(AND(1266&lt;$U$9,$W$5),BQ1279*1000000-MIN(BR1279,999)*1000+BS1279-1266/100000,-1000000000-1266)</f>
        <v/>
      </c>
    </row>
    <row r="1280">
      <c r="BN1280">
        <f>IF(1267&lt;$U$9,INT(1267/($U$7*$U$8))+1,1)</f>
        <v/>
      </c>
      <c r="BO1280">
        <f>IF(1267&lt;$U$9,MOD(INT(1267/$U$8),$U$7)+1,1)</f>
        <v/>
      </c>
      <c r="BP1280">
        <f>IF(1267&lt;$U$9,MOD(1267,$U$8)+1,1)</f>
        <v/>
      </c>
      <c r="BQ1280">
        <f>IF(1267&lt;$U$9,SUMPRODUCT(($D$10:$L$10&lt;&gt;"")*(($D$9:$L$9+INT(($S$12:$AA$12+INDEX($AJ$13:$AR$162,BN1280,0)+INDEX($AT$13:$BB$162,BO1280,0)+INDEX($BD$13:$BL$162,BP1280,0))/100))&gt;=$D$10:$L$10)),0)</f>
        <v/>
      </c>
      <c r="BR1280">
        <f>IF(1267&lt;$U$9,SUMPRODUCT(($D$10:$L$10&lt;&gt;"")*(($D$10:$L$10-($D$9:$L$9+INT(($S$12:$AA$12+INDEX($AJ$13:$AR$162,BN1280,0)+INDEX($AT$13:$BB$162,BO1280,0)+INDEX($BD$13:$BL$162,BP1280,0))/100)))&gt;0)*($D$10:$L$10-($D$9:$L$9+INT(($S$12:$AA$12+INDEX($AJ$13:$AR$162,BN1280,0)+INDEX($AT$13:$BB$162,BO1280,0)+INDEX($BD$13:$BL$162,BP1280,0))/100)))),0)</f>
        <v/>
      </c>
      <c r="BS1280">
        <f>IF(1267&lt;$U$9,SUMPRODUCT(($D$9:$L$9+INT(($S$12:$AA$12+INDEX($AJ$13:$AR$162,BN1280,0)+INDEX($AT$13:$BB$162,BO1280,0)+INDEX($BD$13:$BL$162,BP1280,0))/100))),0)</f>
        <v/>
      </c>
      <c r="BT1280">
        <f>IF(AND(1267&lt;$U$9,$W$5),BQ1280*1000000-MIN(BR1280,999)*1000+BS1280-1267/100000,-1000000000-1267)</f>
        <v/>
      </c>
    </row>
    <row r="1281">
      <c r="BN1281">
        <f>IF(1268&lt;$U$9,INT(1268/($U$7*$U$8))+1,1)</f>
        <v/>
      </c>
      <c r="BO1281">
        <f>IF(1268&lt;$U$9,MOD(INT(1268/$U$8),$U$7)+1,1)</f>
        <v/>
      </c>
      <c r="BP1281">
        <f>IF(1268&lt;$U$9,MOD(1268,$U$8)+1,1)</f>
        <v/>
      </c>
      <c r="BQ1281">
        <f>IF(1268&lt;$U$9,SUMPRODUCT(($D$10:$L$10&lt;&gt;"")*(($D$9:$L$9+INT(($S$12:$AA$12+INDEX($AJ$13:$AR$162,BN1281,0)+INDEX($AT$13:$BB$162,BO1281,0)+INDEX($BD$13:$BL$162,BP1281,0))/100))&gt;=$D$10:$L$10)),0)</f>
        <v/>
      </c>
      <c r="BR1281">
        <f>IF(1268&lt;$U$9,SUMPRODUCT(($D$10:$L$10&lt;&gt;"")*(($D$10:$L$10-($D$9:$L$9+INT(($S$12:$AA$12+INDEX($AJ$13:$AR$162,BN1281,0)+INDEX($AT$13:$BB$162,BO1281,0)+INDEX($BD$13:$BL$162,BP1281,0))/100)))&gt;0)*($D$10:$L$10-($D$9:$L$9+INT(($S$12:$AA$12+INDEX($AJ$13:$AR$162,BN1281,0)+INDEX($AT$13:$BB$162,BO1281,0)+INDEX($BD$13:$BL$162,BP1281,0))/100)))),0)</f>
        <v/>
      </c>
      <c r="BS1281">
        <f>IF(1268&lt;$U$9,SUMPRODUCT(($D$9:$L$9+INT(($S$12:$AA$12+INDEX($AJ$13:$AR$162,BN1281,0)+INDEX($AT$13:$BB$162,BO1281,0)+INDEX($BD$13:$BL$162,BP1281,0))/100))),0)</f>
        <v/>
      </c>
      <c r="BT1281">
        <f>IF(AND(1268&lt;$U$9,$W$5),BQ1281*1000000-MIN(BR1281,999)*1000+BS1281-1268/100000,-1000000000-1268)</f>
        <v/>
      </c>
    </row>
    <row r="1282">
      <c r="BN1282">
        <f>IF(1269&lt;$U$9,INT(1269/($U$7*$U$8))+1,1)</f>
        <v/>
      </c>
      <c r="BO1282">
        <f>IF(1269&lt;$U$9,MOD(INT(1269/$U$8),$U$7)+1,1)</f>
        <v/>
      </c>
      <c r="BP1282">
        <f>IF(1269&lt;$U$9,MOD(1269,$U$8)+1,1)</f>
        <v/>
      </c>
      <c r="BQ1282">
        <f>IF(1269&lt;$U$9,SUMPRODUCT(($D$10:$L$10&lt;&gt;"")*(($D$9:$L$9+INT(($S$12:$AA$12+INDEX($AJ$13:$AR$162,BN1282,0)+INDEX($AT$13:$BB$162,BO1282,0)+INDEX($BD$13:$BL$162,BP1282,0))/100))&gt;=$D$10:$L$10)),0)</f>
        <v/>
      </c>
      <c r="BR1282">
        <f>IF(1269&lt;$U$9,SUMPRODUCT(($D$10:$L$10&lt;&gt;"")*(($D$10:$L$10-($D$9:$L$9+INT(($S$12:$AA$12+INDEX($AJ$13:$AR$162,BN1282,0)+INDEX($AT$13:$BB$162,BO1282,0)+INDEX($BD$13:$BL$162,BP1282,0))/100)))&gt;0)*($D$10:$L$10-($D$9:$L$9+INT(($S$12:$AA$12+INDEX($AJ$13:$AR$162,BN1282,0)+INDEX($AT$13:$BB$162,BO1282,0)+INDEX($BD$13:$BL$162,BP1282,0))/100)))),0)</f>
        <v/>
      </c>
      <c r="BS1282">
        <f>IF(1269&lt;$U$9,SUMPRODUCT(($D$9:$L$9+INT(($S$12:$AA$12+INDEX($AJ$13:$AR$162,BN1282,0)+INDEX($AT$13:$BB$162,BO1282,0)+INDEX($BD$13:$BL$162,BP1282,0))/100))),0)</f>
        <v/>
      </c>
      <c r="BT1282">
        <f>IF(AND(1269&lt;$U$9,$W$5),BQ1282*1000000-MIN(BR1282,999)*1000+BS1282-1269/100000,-1000000000-1269)</f>
        <v/>
      </c>
    </row>
    <row r="1283">
      <c r="BN1283">
        <f>IF(1270&lt;$U$9,INT(1270/($U$7*$U$8))+1,1)</f>
        <v/>
      </c>
      <c r="BO1283">
        <f>IF(1270&lt;$U$9,MOD(INT(1270/$U$8),$U$7)+1,1)</f>
        <v/>
      </c>
      <c r="BP1283">
        <f>IF(1270&lt;$U$9,MOD(1270,$U$8)+1,1)</f>
        <v/>
      </c>
      <c r="BQ1283">
        <f>IF(1270&lt;$U$9,SUMPRODUCT(($D$10:$L$10&lt;&gt;"")*(($D$9:$L$9+INT(($S$12:$AA$12+INDEX($AJ$13:$AR$162,BN1283,0)+INDEX($AT$13:$BB$162,BO1283,0)+INDEX($BD$13:$BL$162,BP1283,0))/100))&gt;=$D$10:$L$10)),0)</f>
        <v/>
      </c>
      <c r="BR1283">
        <f>IF(1270&lt;$U$9,SUMPRODUCT(($D$10:$L$10&lt;&gt;"")*(($D$10:$L$10-($D$9:$L$9+INT(($S$12:$AA$12+INDEX($AJ$13:$AR$162,BN1283,0)+INDEX($AT$13:$BB$162,BO1283,0)+INDEX($BD$13:$BL$162,BP1283,0))/100)))&gt;0)*($D$10:$L$10-($D$9:$L$9+INT(($S$12:$AA$12+INDEX($AJ$13:$AR$162,BN1283,0)+INDEX($AT$13:$BB$162,BO1283,0)+INDEX($BD$13:$BL$162,BP1283,0))/100)))),0)</f>
        <v/>
      </c>
      <c r="BS1283">
        <f>IF(1270&lt;$U$9,SUMPRODUCT(($D$9:$L$9+INT(($S$12:$AA$12+INDEX($AJ$13:$AR$162,BN1283,0)+INDEX($AT$13:$BB$162,BO1283,0)+INDEX($BD$13:$BL$162,BP1283,0))/100))),0)</f>
        <v/>
      </c>
      <c r="BT1283">
        <f>IF(AND(1270&lt;$U$9,$W$5),BQ1283*1000000-MIN(BR1283,999)*1000+BS1283-1270/100000,-1000000000-1270)</f>
        <v/>
      </c>
    </row>
    <row r="1284">
      <c r="BN1284">
        <f>IF(1271&lt;$U$9,INT(1271/($U$7*$U$8))+1,1)</f>
        <v/>
      </c>
      <c r="BO1284">
        <f>IF(1271&lt;$U$9,MOD(INT(1271/$U$8),$U$7)+1,1)</f>
        <v/>
      </c>
      <c r="BP1284">
        <f>IF(1271&lt;$U$9,MOD(1271,$U$8)+1,1)</f>
        <v/>
      </c>
      <c r="BQ1284">
        <f>IF(1271&lt;$U$9,SUMPRODUCT(($D$10:$L$10&lt;&gt;"")*(($D$9:$L$9+INT(($S$12:$AA$12+INDEX($AJ$13:$AR$162,BN1284,0)+INDEX($AT$13:$BB$162,BO1284,0)+INDEX($BD$13:$BL$162,BP1284,0))/100))&gt;=$D$10:$L$10)),0)</f>
        <v/>
      </c>
      <c r="BR1284">
        <f>IF(1271&lt;$U$9,SUMPRODUCT(($D$10:$L$10&lt;&gt;"")*(($D$10:$L$10-($D$9:$L$9+INT(($S$12:$AA$12+INDEX($AJ$13:$AR$162,BN1284,0)+INDEX($AT$13:$BB$162,BO1284,0)+INDEX($BD$13:$BL$162,BP1284,0))/100)))&gt;0)*($D$10:$L$10-($D$9:$L$9+INT(($S$12:$AA$12+INDEX($AJ$13:$AR$162,BN1284,0)+INDEX($AT$13:$BB$162,BO1284,0)+INDEX($BD$13:$BL$162,BP1284,0))/100)))),0)</f>
        <v/>
      </c>
      <c r="BS1284">
        <f>IF(1271&lt;$U$9,SUMPRODUCT(($D$9:$L$9+INT(($S$12:$AA$12+INDEX($AJ$13:$AR$162,BN1284,0)+INDEX($AT$13:$BB$162,BO1284,0)+INDEX($BD$13:$BL$162,BP1284,0))/100))),0)</f>
        <v/>
      </c>
      <c r="BT1284">
        <f>IF(AND(1271&lt;$U$9,$W$5),BQ1284*1000000-MIN(BR1284,999)*1000+BS1284-1271/100000,-1000000000-1271)</f>
        <v/>
      </c>
    </row>
    <row r="1285">
      <c r="BN1285">
        <f>IF(1272&lt;$U$9,INT(1272/($U$7*$U$8))+1,1)</f>
        <v/>
      </c>
      <c r="BO1285">
        <f>IF(1272&lt;$U$9,MOD(INT(1272/$U$8),$U$7)+1,1)</f>
        <v/>
      </c>
      <c r="BP1285">
        <f>IF(1272&lt;$U$9,MOD(1272,$U$8)+1,1)</f>
        <v/>
      </c>
      <c r="BQ1285">
        <f>IF(1272&lt;$U$9,SUMPRODUCT(($D$10:$L$10&lt;&gt;"")*(($D$9:$L$9+INT(($S$12:$AA$12+INDEX($AJ$13:$AR$162,BN1285,0)+INDEX($AT$13:$BB$162,BO1285,0)+INDEX($BD$13:$BL$162,BP1285,0))/100))&gt;=$D$10:$L$10)),0)</f>
        <v/>
      </c>
      <c r="BR1285">
        <f>IF(1272&lt;$U$9,SUMPRODUCT(($D$10:$L$10&lt;&gt;"")*(($D$10:$L$10-($D$9:$L$9+INT(($S$12:$AA$12+INDEX($AJ$13:$AR$162,BN1285,0)+INDEX($AT$13:$BB$162,BO1285,0)+INDEX($BD$13:$BL$162,BP1285,0))/100)))&gt;0)*($D$10:$L$10-($D$9:$L$9+INT(($S$12:$AA$12+INDEX($AJ$13:$AR$162,BN1285,0)+INDEX($AT$13:$BB$162,BO1285,0)+INDEX($BD$13:$BL$162,BP1285,0))/100)))),0)</f>
        <v/>
      </c>
      <c r="BS1285">
        <f>IF(1272&lt;$U$9,SUMPRODUCT(($D$9:$L$9+INT(($S$12:$AA$12+INDEX($AJ$13:$AR$162,BN1285,0)+INDEX($AT$13:$BB$162,BO1285,0)+INDEX($BD$13:$BL$162,BP1285,0))/100))),0)</f>
        <v/>
      </c>
      <c r="BT1285">
        <f>IF(AND(1272&lt;$U$9,$W$5),BQ1285*1000000-MIN(BR1285,999)*1000+BS1285-1272/100000,-1000000000-1272)</f>
        <v/>
      </c>
    </row>
    <row r="1286">
      <c r="BN1286">
        <f>IF(1273&lt;$U$9,INT(1273/($U$7*$U$8))+1,1)</f>
        <v/>
      </c>
      <c r="BO1286">
        <f>IF(1273&lt;$U$9,MOD(INT(1273/$U$8),$U$7)+1,1)</f>
        <v/>
      </c>
      <c r="BP1286">
        <f>IF(1273&lt;$U$9,MOD(1273,$U$8)+1,1)</f>
        <v/>
      </c>
      <c r="BQ1286">
        <f>IF(1273&lt;$U$9,SUMPRODUCT(($D$10:$L$10&lt;&gt;"")*(($D$9:$L$9+INT(($S$12:$AA$12+INDEX($AJ$13:$AR$162,BN1286,0)+INDEX($AT$13:$BB$162,BO1286,0)+INDEX($BD$13:$BL$162,BP1286,0))/100))&gt;=$D$10:$L$10)),0)</f>
        <v/>
      </c>
      <c r="BR1286">
        <f>IF(1273&lt;$U$9,SUMPRODUCT(($D$10:$L$10&lt;&gt;"")*(($D$10:$L$10-($D$9:$L$9+INT(($S$12:$AA$12+INDEX($AJ$13:$AR$162,BN1286,0)+INDEX($AT$13:$BB$162,BO1286,0)+INDEX($BD$13:$BL$162,BP1286,0))/100)))&gt;0)*($D$10:$L$10-($D$9:$L$9+INT(($S$12:$AA$12+INDEX($AJ$13:$AR$162,BN1286,0)+INDEX($AT$13:$BB$162,BO1286,0)+INDEX($BD$13:$BL$162,BP1286,0))/100)))),0)</f>
        <v/>
      </c>
      <c r="BS1286">
        <f>IF(1273&lt;$U$9,SUMPRODUCT(($D$9:$L$9+INT(($S$12:$AA$12+INDEX($AJ$13:$AR$162,BN1286,0)+INDEX($AT$13:$BB$162,BO1286,0)+INDEX($BD$13:$BL$162,BP1286,0))/100))),0)</f>
        <v/>
      </c>
      <c r="BT1286">
        <f>IF(AND(1273&lt;$U$9,$W$5),BQ1286*1000000-MIN(BR1286,999)*1000+BS1286-1273/100000,-1000000000-1273)</f>
        <v/>
      </c>
    </row>
    <row r="1287">
      <c r="BN1287">
        <f>IF(1274&lt;$U$9,INT(1274/($U$7*$U$8))+1,1)</f>
        <v/>
      </c>
      <c r="BO1287">
        <f>IF(1274&lt;$U$9,MOD(INT(1274/$U$8),$U$7)+1,1)</f>
        <v/>
      </c>
      <c r="BP1287">
        <f>IF(1274&lt;$U$9,MOD(1274,$U$8)+1,1)</f>
        <v/>
      </c>
      <c r="BQ1287">
        <f>IF(1274&lt;$U$9,SUMPRODUCT(($D$10:$L$10&lt;&gt;"")*(($D$9:$L$9+INT(($S$12:$AA$12+INDEX($AJ$13:$AR$162,BN1287,0)+INDEX($AT$13:$BB$162,BO1287,0)+INDEX($BD$13:$BL$162,BP1287,0))/100))&gt;=$D$10:$L$10)),0)</f>
        <v/>
      </c>
      <c r="BR1287">
        <f>IF(1274&lt;$U$9,SUMPRODUCT(($D$10:$L$10&lt;&gt;"")*(($D$10:$L$10-($D$9:$L$9+INT(($S$12:$AA$12+INDEX($AJ$13:$AR$162,BN1287,0)+INDEX($AT$13:$BB$162,BO1287,0)+INDEX($BD$13:$BL$162,BP1287,0))/100)))&gt;0)*($D$10:$L$10-($D$9:$L$9+INT(($S$12:$AA$12+INDEX($AJ$13:$AR$162,BN1287,0)+INDEX($AT$13:$BB$162,BO1287,0)+INDEX($BD$13:$BL$162,BP1287,0))/100)))),0)</f>
        <v/>
      </c>
      <c r="BS1287">
        <f>IF(1274&lt;$U$9,SUMPRODUCT(($D$9:$L$9+INT(($S$12:$AA$12+INDEX($AJ$13:$AR$162,BN1287,0)+INDEX($AT$13:$BB$162,BO1287,0)+INDEX($BD$13:$BL$162,BP1287,0))/100))),0)</f>
        <v/>
      </c>
      <c r="BT1287">
        <f>IF(AND(1274&lt;$U$9,$W$5),BQ1287*1000000-MIN(BR1287,999)*1000+BS1287-1274/100000,-1000000000-1274)</f>
        <v/>
      </c>
    </row>
    <row r="1288">
      <c r="BN1288">
        <f>IF(1275&lt;$U$9,INT(1275/($U$7*$U$8))+1,1)</f>
        <v/>
      </c>
      <c r="BO1288">
        <f>IF(1275&lt;$U$9,MOD(INT(1275/$U$8),$U$7)+1,1)</f>
        <v/>
      </c>
      <c r="BP1288">
        <f>IF(1275&lt;$U$9,MOD(1275,$U$8)+1,1)</f>
        <v/>
      </c>
      <c r="BQ1288">
        <f>IF(1275&lt;$U$9,SUMPRODUCT(($D$10:$L$10&lt;&gt;"")*(($D$9:$L$9+INT(($S$12:$AA$12+INDEX($AJ$13:$AR$162,BN1288,0)+INDEX($AT$13:$BB$162,BO1288,0)+INDEX($BD$13:$BL$162,BP1288,0))/100))&gt;=$D$10:$L$10)),0)</f>
        <v/>
      </c>
      <c r="BR1288">
        <f>IF(1275&lt;$U$9,SUMPRODUCT(($D$10:$L$10&lt;&gt;"")*(($D$10:$L$10-($D$9:$L$9+INT(($S$12:$AA$12+INDEX($AJ$13:$AR$162,BN1288,0)+INDEX($AT$13:$BB$162,BO1288,0)+INDEX($BD$13:$BL$162,BP1288,0))/100)))&gt;0)*($D$10:$L$10-($D$9:$L$9+INT(($S$12:$AA$12+INDEX($AJ$13:$AR$162,BN1288,0)+INDEX($AT$13:$BB$162,BO1288,0)+INDEX($BD$13:$BL$162,BP1288,0))/100)))),0)</f>
        <v/>
      </c>
      <c r="BS1288">
        <f>IF(1275&lt;$U$9,SUMPRODUCT(($D$9:$L$9+INT(($S$12:$AA$12+INDEX($AJ$13:$AR$162,BN1288,0)+INDEX($AT$13:$BB$162,BO1288,0)+INDEX($BD$13:$BL$162,BP1288,0))/100))),0)</f>
        <v/>
      </c>
      <c r="BT1288">
        <f>IF(AND(1275&lt;$U$9,$W$5),BQ1288*1000000-MIN(BR1288,999)*1000+BS1288-1275/100000,-1000000000-1275)</f>
        <v/>
      </c>
    </row>
    <row r="1289">
      <c r="BN1289">
        <f>IF(1276&lt;$U$9,INT(1276/($U$7*$U$8))+1,1)</f>
        <v/>
      </c>
      <c r="BO1289">
        <f>IF(1276&lt;$U$9,MOD(INT(1276/$U$8),$U$7)+1,1)</f>
        <v/>
      </c>
      <c r="BP1289">
        <f>IF(1276&lt;$U$9,MOD(1276,$U$8)+1,1)</f>
        <v/>
      </c>
      <c r="BQ1289">
        <f>IF(1276&lt;$U$9,SUMPRODUCT(($D$10:$L$10&lt;&gt;"")*(($D$9:$L$9+INT(($S$12:$AA$12+INDEX($AJ$13:$AR$162,BN1289,0)+INDEX($AT$13:$BB$162,BO1289,0)+INDEX($BD$13:$BL$162,BP1289,0))/100))&gt;=$D$10:$L$10)),0)</f>
        <v/>
      </c>
      <c r="BR1289">
        <f>IF(1276&lt;$U$9,SUMPRODUCT(($D$10:$L$10&lt;&gt;"")*(($D$10:$L$10-($D$9:$L$9+INT(($S$12:$AA$12+INDEX($AJ$13:$AR$162,BN1289,0)+INDEX($AT$13:$BB$162,BO1289,0)+INDEX($BD$13:$BL$162,BP1289,0))/100)))&gt;0)*($D$10:$L$10-($D$9:$L$9+INT(($S$12:$AA$12+INDEX($AJ$13:$AR$162,BN1289,0)+INDEX($AT$13:$BB$162,BO1289,0)+INDEX($BD$13:$BL$162,BP1289,0))/100)))),0)</f>
        <v/>
      </c>
      <c r="BS1289">
        <f>IF(1276&lt;$U$9,SUMPRODUCT(($D$9:$L$9+INT(($S$12:$AA$12+INDEX($AJ$13:$AR$162,BN1289,0)+INDEX($AT$13:$BB$162,BO1289,0)+INDEX($BD$13:$BL$162,BP1289,0))/100))),0)</f>
        <v/>
      </c>
      <c r="BT1289">
        <f>IF(AND(1276&lt;$U$9,$W$5),BQ1289*1000000-MIN(BR1289,999)*1000+BS1289-1276/100000,-1000000000-1276)</f>
        <v/>
      </c>
    </row>
    <row r="1290">
      <c r="BN1290">
        <f>IF(1277&lt;$U$9,INT(1277/($U$7*$U$8))+1,1)</f>
        <v/>
      </c>
      <c r="BO1290">
        <f>IF(1277&lt;$U$9,MOD(INT(1277/$U$8),$U$7)+1,1)</f>
        <v/>
      </c>
      <c r="BP1290">
        <f>IF(1277&lt;$U$9,MOD(1277,$U$8)+1,1)</f>
        <v/>
      </c>
      <c r="BQ1290">
        <f>IF(1277&lt;$U$9,SUMPRODUCT(($D$10:$L$10&lt;&gt;"")*(($D$9:$L$9+INT(($S$12:$AA$12+INDEX($AJ$13:$AR$162,BN1290,0)+INDEX($AT$13:$BB$162,BO1290,0)+INDEX($BD$13:$BL$162,BP1290,0))/100))&gt;=$D$10:$L$10)),0)</f>
        <v/>
      </c>
      <c r="BR1290">
        <f>IF(1277&lt;$U$9,SUMPRODUCT(($D$10:$L$10&lt;&gt;"")*(($D$10:$L$10-($D$9:$L$9+INT(($S$12:$AA$12+INDEX($AJ$13:$AR$162,BN1290,0)+INDEX($AT$13:$BB$162,BO1290,0)+INDEX($BD$13:$BL$162,BP1290,0))/100)))&gt;0)*($D$10:$L$10-($D$9:$L$9+INT(($S$12:$AA$12+INDEX($AJ$13:$AR$162,BN1290,0)+INDEX($AT$13:$BB$162,BO1290,0)+INDEX($BD$13:$BL$162,BP1290,0))/100)))),0)</f>
        <v/>
      </c>
      <c r="BS1290">
        <f>IF(1277&lt;$U$9,SUMPRODUCT(($D$9:$L$9+INT(($S$12:$AA$12+INDEX($AJ$13:$AR$162,BN1290,0)+INDEX($AT$13:$BB$162,BO1290,0)+INDEX($BD$13:$BL$162,BP1290,0))/100))),0)</f>
        <v/>
      </c>
      <c r="BT1290">
        <f>IF(AND(1277&lt;$U$9,$W$5),BQ1290*1000000-MIN(BR1290,999)*1000+BS1290-1277/100000,-1000000000-1277)</f>
        <v/>
      </c>
    </row>
    <row r="1291">
      <c r="BN1291">
        <f>IF(1278&lt;$U$9,INT(1278/($U$7*$U$8))+1,1)</f>
        <v/>
      </c>
      <c r="BO1291">
        <f>IF(1278&lt;$U$9,MOD(INT(1278/$U$8),$U$7)+1,1)</f>
        <v/>
      </c>
      <c r="BP1291">
        <f>IF(1278&lt;$U$9,MOD(1278,$U$8)+1,1)</f>
        <v/>
      </c>
      <c r="BQ1291">
        <f>IF(1278&lt;$U$9,SUMPRODUCT(($D$10:$L$10&lt;&gt;"")*(($D$9:$L$9+INT(($S$12:$AA$12+INDEX($AJ$13:$AR$162,BN1291,0)+INDEX($AT$13:$BB$162,BO1291,0)+INDEX($BD$13:$BL$162,BP1291,0))/100))&gt;=$D$10:$L$10)),0)</f>
        <v/>
      </c>
      <c r="BR1291">
        <f>IF(1278&lt;$U$9,SUMPRODUCT(($D$10:$L$10&lt;&gt;"")*(($D$10:$L$10-($D$9:$L$9+INT(($S$12:$AA$12+INDEX($AJ$13:$AR$162,BN1291,0)+INDEX($AT$13:$BB$162,BO1291,0)+INDEX($BD$13:$BL$162,BP1291,0))/100)))&gt;0)*($D$10:$L$10-($D$9:$L$9+INT(($S$12:$AA$12+INDEX($AJ$13:$AR$162,BN1291,0)+INDEX($AT$13:$BB$162,BO1291,0)+INDEX($BD$13:$BL$162,BP1291,0))/100)))),0)</f>
        <v/>
      </c>
      <c r="BS1291">
        <f>IF(1278&lt;$U$9,SUMPRODUCT(($D$9:$L$9+INT(($S$12:$AA$12+INDEX($AJ$13:$AR$162,BN1291,0)+INDEX($AT$13:$BB$162,BO1291,0)+INDEX($BD$13:$BL$162,BP1291,0))/100))),0)</f>
        <v/>
      </c>
      <c r="BT1291">
        <f>IF(AND(1278&lt;$U$9,$W$5),BQ1291*1000000-MIN(BR1291,999)*1000+BS1291-1278/100000,-1000000000-1278)</f>
        <v/>
      </c>
    </row>
    <row r="1292">
      <c r="BN1292">
        <f>IF(1279&lt;$U$9,INT(1279/($U$7*$U$8))+1,1)</f>
        <v/>
      </c>
      <c r="BO1292">
        <f>IF(1279&lt;$U$9,MOD(INT(1279/$U$8),$U$7)+1,1)</f>
        <v/>
      </c>
      <c r="BP1292">
        <f>IF(1279&lt;$U$9,MOD(1279,$U$8)+1,1)</f>
        <v/>
      </c>
      <c r="BQ1292">
        <f>IF(1279&lt;$U$9,SUMPRODUCT(($D$10:$L$10&lt;&gt;"")*(($D$9:$L$9+INT(($S$12:$AA$12+INDEX($AJ$13:$AR$162,BN1292,0)+INDEX($AT$13:$BB$162,BO1292,0)+INDEX($BD$13:$BL$162,BP1292,0))/100))&gt;=$D$10:$L$10)),0)</f>
        <v/>
      </c>
      <c r="BR1292">
        <f>IF(1279&lt;$U$9,SUMPRODUCT(($D$10:$L$10&lt;&gt;"")*(($D$10:$L$10-($D$9:$L$9+INT(($S$12:$AA$12+INDEX($AJ$13:$AR$162,BN1292,0)+INDEX($AT$13:$BB$162,BO1292,0)+INDEX($BD$13:$BL$162,BP1292,0))/100)))&gt;0)*($D$10:$L$10-($D$9:$L$9+INT(($S$12:$AA$12+INDEX($AJ$13:$AR$162,BN1292,0)+INDEX($AT$13:$BB$162,BO1292,0)+INDEX($BD$13:$BL$162,BP1292,0))/100)))),0)</f>
        <v/>
      </c>
      <c r="BS1292">
        <f>IF(1279&lt;$U$9,SUMPRODUCT(($D$9:$L$9+INT(($S$12:$AA$12+INDEX($AJ$13:$AR$162,BN1292,0)+INDEX($AT$13:$BB$162,BO1292,0)+INDEX($BD$13:$BL$162,BP1292,0))/100))),0)</f>
        <v/>
      </c>
      <c r="BT1292">
        <f>IF(AND(1279&lt;$U$9,$W$5),BQ1292*1000000-MIN(BR1292,999)*1000+BS1292-1279/100000,-1000000000-1279)</f>
        <v/>
      </c>
    </row>
    <row r="1293">
      <c r="BN1293">
        <f>IF(1280&lt;$U$9,INT(1280/($U$7*$U$8))+1,1)</f>
        <v/>
      </c>
      <c r="BO1293">
        <f>IF(1280&lt;$U$9,MOD(INT(1280/$U$8),$U$7)+1,1)</f>
        <v/>
      </c>
      <c r="BP1293">
        <f>IF(1280&lt;$U$9,MOD(1280,$U$8)+1,1)</f>
        <v/>
      </c>
      <c r="BQ1293">
        <f>IF(1280&lt;$U$9,SUMPRODUCT(($D$10:$L$10&lt;&gt;"")*(($D$9:$L$9+INT(($S$12:$AA$12+INDEX($AJ$13:$AR$162,BN1293,0)+INDEX($AT$13:$BB$162,BO1293,0)+INDEX($BD$13:$BL$162,BP1293,0))/100))&gt;=$D$10:$L$10)),0)</f>
        <v/>
      </c>
      <c r="BR1293">
        <f>IF(1280&lt;$U$9,SUMPRODUCT(($D$10:$L$10&lt;&gt;"")*(($D$10:$L$10-($D$9:$L$9+INT(($S$12:$AA$12+INDEX($AJ$13:$AR$162,BN1293,0)+INDEX($AT$13:$BB$162,BO1293,0)+INDEX($BD$13:$BL$162,BP1293,0))/100)))&gt;0)*($D$10:$L$10-($D$9:$L$9+INT(($S$12:$AA$12+INDEX($AJ$13:$AR$162,BN1293,0)+INDEX($AT$13:$BB$162,BO1293,0)+INDEX($BD$13:$BL$162,BP1293,0))/100)))),0)</f>
        <v/>
      </c>
      <c r="BS1293">
        <f>IF(1280&lt;$U$9,SUMPRODUCT(($D$9:$L$9+INT(($S$12:$AA$12+INDEX($AJ$13:$AR$162,BN1293,0)+INDEX($AT$13:$BB$162,BO1293,0)+INDEX($BD$13:$BL$162,BP1293,0))/100))),0)</f>
        <v/>
      </c>
      <c r="BT1293">
        <f>IF(AND(1280&lt;$U$9,$W$5),BQ1293*1000000-MIN(BR1293,999)*1000+BS1293-1280/100000,-1000000000-1280)</f>
        <v/>
      </c>
    </row>
    <row r="1294">
      <c r="BN1294">
        <f>IF(1281&lt;$U$9,INT(1281/($U$7*$U$8))+1,1)</f>
        <v/>
      </c>
      <c r="BO1294">
        <f>IF(1281&lt;$U$9,MOD(INT(1281/$U$8),$U$7)+1,1)</f>
        <v/>
      </c>
      <c r="BP1294">
        <f>IF(1281&lt;$U$9,MOD(1281,$U$8)+1,1)</f>
        <v/>
      </c>
      <c r="BQ1294">
        <f>IF(1281&lt;$U$9,SUMPRODUCT(($D$10:$L$10&lt;&gt;"")*(($D$9:$L$9+INT(($S$12:$AA$12+INDEX($AJ$13:$AR$162,BN1294,0)+INDEX($AT$13:$BB$162,BO1294,0)+INDEX($BD$13:$BL$162,BP1294,0))/100))&gt;=$D$10:$L$10)),0)</f>
        <v/>
      </c>
      <c r="BR1294">
        <f>IF(1281&lt;$U$9,SUMPRODUCT(($D$10:$L$10&lt;&gt;"")*(($D$10:$L$10-($D$9:$L$9+INT(($S$12:$AA$12+INDEX($AJ$13:$AR$162,BN1294,0)+INDEX($AT$13:$BB$162,BO1294,0)+INDEX($BD$13:$BL$162,BP1294,0))/100)))&gt;0)*($D$10:$L$10-($D$9:$L$9+INT(($S$12:$AA$12+INDEX($AJ$13:$AR$162,BN1294,0)+INDEX($AT$13:$BB$162,BO1294,0)+INDEX($BD$13:$BL$162,BP1294,0))/100)))),0)</f>
        <v/>
      </c>
      <c r="BS1294">
        <f>IF(1281&lt;$U$9,SUMPRODUCT(($D$9:$L$9+INT(($S$12:$AA$12+INDEX($AJ$13:$AR$162,BN1294,0)+INDEX($AT$13:$BB$162,BO1294,0)+INDEX($BD$13:$BL$162,BP1294,0))/100))),0)</f>
        <v/>
      </c>
      <c r="BT1294">
        <f>IF(AND(1281&lt;$U$9,$W$5),BQ1294*1000000-MIN(BR1294,999)*1000+BS1294-1281/100000,-1000000000-1281)</f>
        <v/>
      </c>
    </row>
    <row r="1295">
      <c r="BN1295">
        <f>IF(1282&lt;$U$9,INT(1282/($U$7*$U$8))+1,1)</f>
        <v/>
      </c>
      <c r="BO1295">
        <f>IF(1282&lt;$U$9,MOD(INT(1282/$U$8),$U$7)+1,1)</f>
        <v/>
      </c>
      <c r="BP1295">
        <f>IF(1282&lt;$U$9,MOD(1282,$U$8)+1,1)</f>
        <v/>
      </c>
      <c r="BQ1295">
        <f>IF(1282&lt;$U$9,SUMPRODUCT(($D$10:$L$10&lt;&gt;"")*(($D$9:$L$9+INT(($S$12:$AA$12+INDEX($AJ$13:$AR$162,BN1295,0)+INDEX($AT$13:$BB$162,BO1295,0)+INDEX($BD$13:$BL$162,BP1295,0))/100))&gt;=$D$10:$L$10)),0)</f>
        <v/>
      </c>
      <c r="BR1295">
        <f>IF(1282&lt;$U$9,SUMPRODUCT(($D$10:$L$10&lt;&gt;"")*(($D$10:$L$10-($D$9:$L$9+INT(($S$12:$AA$12+INDEX($AJ$13:$AR$162,BN1295,0)+INDEX($AT$13:$BB$162,BO1295,0)+INDEX($BD$13:$BL$162,BP1295,0))/100)))&gt;0)*($D$10:$L$10-($D$9:$L$9+INT(($S$12:$AA$12+INDEX($AJ$13:$AR$162,BN1295,0)+INDEX($AT$13:$BB$162,BO1295,0)+INDEX($BD$13:$BL$162,BP1295,0))/100)))),0)</f>
        <v/>
      </c>
      <c r="BS1295">
        <f>IF(1282&lt;$U$9,SUMPRODUCT(($D$9:$L$9+INT(($S$12:$AA$12+INDEX($AJ$13:$AR$162,BN1295,0)+INDEX($AT$13:$BB$162,BO1295,0)+INDEX($BD$13:$BL$162,BP1295,0))/100))),0)</f>
        <v/>
      </c>
      <c r="BT1295">
        <f>IF(AND(1282&lt;$U$9,$W$5),BQ1295*1000000-MIN(BR1295,999)*1000+BS1295-1282/100000,-1000000000-1282)</f>
        <v/>
      </c>
    </row>
    <row r="1296">
      <c r="BN1296">
        <f>IF(1283&lt;$U$9,INT(1283/($U$7*$U$8))+1,1)</f>
        <v/>
      </c>
      <c r="BO1296">
        <f>IF(1283&lt;$U$9,MOD(INT(1283/$U$8),$U$7)+1,1)</f>
        <v/>
      </c>
      <c r="BP1296">
        <f>IF(1283&lt;$U$9,MOD(1283,$U$8)+1,1)</f>
        <v/>
      </c>
      <c r="BQ1296">
        <f>IF(1283&lt;$U$9,SUMPRODUCT(($D$10:$L$10&lt;&gt;"")*(($D$9:$L$9+INT(($S$12:$AA$12+INDEX($AJ$13:$AR$162,BN1296,0)+INDEX($AT$13:$BB$162,BO1296,0)+INDEX($BD$13:$BL$162,BP1296,0))/100))&gt;=$D$10:$L$10)),0)</f>
        <v/>
      </c>
      <c r="BR1296">
        <f>IF(1283&lt;$U$9,SUMPRODUCT(($D$10:$L$10&lt;&gt;"")*(($D$10:$L$10-($D$9:$L$9+INT(($S$12:$AA$12+INDEX($AJ$13:$AR$162,BN1296,0)+INDEX($AT$13:$BB$162,BO1296,0)+INDEX($BD$13:$BL$162,BP1296,0))/100)))&gt;0)*($D$10:$L$10-($D$9:$L$9+INT(($S$12:$AA$12+INDEX($AJ$13:$AR$162,BN1296,0)+INDEX($AT$13:$BB$162,BO1296,0)+INDEX($BD$13:$BL$162,BP1296,0))/100)))),0)</f>
        <v/>
      </c>
      <c r="BS1296">
        <f>IF(1283&lt;$U$9,SUMPRODUCT(($D$9:$L$9+INT(($S$12:$AA$12+INDEX($AJ$13:$AR$162,BN1296,0)+INDEX($AT$13:$BB$162,BO1296,0)+INDEX($BD$13:$BL$162,BP1296,0))/100))),0)</f>
        <v/>
      </c>
      <c r="BT1296">
        <f>IF(AND(1283&lt;$U$9,$W$5),BQ1296*1000000-MIN(BR1296,999)*1000+BS1296-1283/100000,-1000000000-1283)</f>
        <v/>
      </c>
    </row>
    <row r="1297">
      <c r="BN1297">
        <f>IF(1284&lt;$U$9,INT(1284/($U$7*$U$8))+1,1)</f>
        <v/>
      </c>
      <c r="BO1297">
        <f>IF(1284&lt;$U$9,MOD(INT(1284/$U$8),$U$7)+1,1)</f>
        <v/>
      </c>
      <c r="BP1297">
        <f>IF(1284&lt;$U$9,MOD(1284,$U$8)+1,1)</f>
        <v/>
      </c>
      <c r="BQ1297">
        <f>IF(1284&lt;$U$9,SUMPRODUCT(($D$10:$L$10&lt;&gt;"")*(($D$9:$L$9+INT(($S$12:$AA$12+INDEX($AJ$13:$AR$162,BN1297,0)+INDEX($AT$13:$BB$162,BO1297,0)+INDEX($BD$13:$BL$162,BP1297,0))/100))&gt;=$D$10:$L$10)),0)</f>
        <v/>
      </c>
      <c r="BR1297">
        <f>IF(1284&lt;$U$9,SUMPRODUCT(($D$10:$L$10&lt;&gt;"")*(($D$10:$L$10-($D$9:$L$9+INT(($S$12:$AA$12+INDEX($AJ$13:$AR$162,BN1297,0)+INDEX($AT$13:$BB$162,BO1297,0)+INDEX($BD$13:$BL$162,BP1297,0))/100)))&gt;0)*($D$10:$L$10-($D$9:$L$9+INT(($S$12:$AA$12+INDEX($AJ$13:$AR$162,BN1297,0)+INDEX($AT$13:$BB$162,BO1297,0)+INDEX($BD$13:$BL$162,BP1297,0))/100)))),0)</f>
        <v/>
      </c>
      <c r="BS1297">
        <f>IF(1284&lt;$U$9,SUMPRODUCT(($D$9:$L$9+INT(($S$12:$AA$12+INDEX($AJ$13:$AR$162,BN1297,0)+INDEX($AT$13:$BB$162,BO1297,0)+INDEX($BD$13:$BL$162,BP1297,0))/100))),0)</f>
        <v/>
      </c>
      <c r="BT1297">
        <f>IF(AND(1284&lt;$U$9,$W$5),BQ1297*1000000-MIN(BR1297,999)*1000+BS1297-1284/100000,-1000000000-1284)</f>
        <v/>
      </c>
    </row>
    <row r="1298">
      <c r="BN1298">
        <f>IF(1285&lt;$U$9,INT(1285/($U$7*$U$8))+1,1)</f>
        <v/>
      </c>
      <c r="BO1298">
        <f>IF(1285&lt;$U$9,MOD(INT(1285/$U$8),$U$7)+1,1)</f>
        <v/>
      </c>
      <c r="BP1298">
        <f>IF(1285&lt;$U$9,MOD(1285,$U$8)+1,1)</f>
        <v/>
      </c>
      <c r="BQ1298">
        <f>IF(1285&lt;$U$9,SUMPRODUCT(($D$10:$L$10&lt;&gt;"")*(($D$9:$L$9+INT(($S$12:$AA$12+INDEX($AJ$13:$AR$162,BN1298,0)+INDEX($AT$13:$BB$162,BO1298,0)+INDEX($BD$13:$BL$162,BP1298,0))/100))&gt;=$D$10:$L$10)),0)</f>
        <v/>
      </c>
      <c r="BR1298">
        <f>IF(1285&lt;$U$9,SUMPRODUCT(($D$10:$L$10&lt;&gt;"")*(($D$10:$L$10-($D$9:$L$9+INT(($S$12:$AA$12+INDEX($AJ$13:$AR$162,BN1298,0)+INDEX($AT$13:$BB$162,BO1298,0)+INDEX($BD$13:$BL$162,BP1298,0))/100)))&gt;0)*($D$10:$L$10-($D$9:$L$9+INT(($S$12:$AA$12+INDEX($AJ$13:$AR$162,BN1298,0)+INDEX($AT$13:$BB$162,BO1298,0)+INDEX($BD$13:$BL$162,BP1298,0))/100)))),0)</f>
        <v/>
      </c>
      <c r="BS1298">
        <f>IF(1285&lt;$U$9,SUMPRODUCT(($D$9:$L$9+INT(($S$12:$AA$12+INDEX($AJ$13:$AR$162,BN1298,0)+INDEX($AT$13:$BB$162,BO1298,0)+INDEX($BD$13:$BL$162,BP1298,0))/100))),0)</f>
        <v/>
      </c>
      <c r="BT1298">
        <f>IF(AND(1285&lt;$U$9,$W$5),BQ1298*1000000-MIN(BR1298,999)*1000+BS1298-1285/100000,-1000000000-1285)</f>
        <v/>
      </c>
    </row>
    <row r="1299">
      <c r="BN1299">
        <f>IF(1286&lt;$U$9,INT(1286/($U$7*$U$8))+1,1)</f>
        <v/>
      </c>
      <c r="BO1299">
        <f>IF(1286&lt;$U$9,MOD(INT(1286/$U$8),$U$7)+1,1)</f>
        <v/>
      </c>
      <c r="BP1299">
        <f>IF(1286&lt;$U$9,MOD(1286,$U$8)+1,1)</f>
        <v/>
      </c>
      <c r="BQ1299">
        <f>IF(1286&lt;$U$9,SUMPRODUCT(($D$10:$L$10&lt;&gt;"")*(($D$9:$L$9+INT(($S$12:$AA$12+INDEX($AJ$13:$AR$162,BN1299,0)+INDEX($AT$13:$BB$162,BO1299,0)+INDEX($BD$13:$BL$162,BP1299,0))/100))&gt;=$D$10:$L$10)),0)</f>
        <v/>
      </c>
      <c r="BR1299">
        <f>IF(1286&lt;$U$9,SUMPRODUCT(($D$10:$L$10&lt;&gt;"")*(($D$10:$L$10-($D$9:$L$9+INT(($S$12:$AA$12+INDEX($AJ$13:$AR$162,BN1299,0)+INDEX($AT$13:$BB$162,BO1299,0)+INDEX($BD$13:$BL$162,BP1299,0))/100)))&gt;0)*($D$10:$L$10-($D$9:$L$9+INT(($S$12:$AA$12+INDEX($AJ$13:$AR$162,BN1299,0)+INDEX($AT$13:$BB$162,BO1299,0)+INDEX($BD$13:$BL$162,BP1299,0))/100)))),0)</f>
        <v/>
      </c>
      <c r="BS1299">
        <f>IF(1286&lt;$U$9,SUMPRODUCT(($D$9:$L$9+INT(($S$12:$AA$12+INDEX($AJ$13:$AR$162,BN1299,0)+INDEX($AT$13:$BB$162,BO1299,0)+INDEX($BD$13:$BL$162,BP1299,0))/100))),0)</f>
        <v/>
      </c>
      <c r="BT1299">
        <f>IF(AND(1286&lt;$U$9,$W$5),BQ1299*1000000-MIN(BR1299,999)*1000+BS1299-1286/100000,-1000000000-1286)</f>
        <v/>
      </c>
    </row>
    <row r="1300">
      <c r="BN1300">
        <f>IF(1287&lt;$U$9,INT(1287/($U$7*$U$8))+1,1)</f>
        <v/>
      </c>
      <c r="BO1300">
        <f>IF(1287&lt;$U$9,MOD(INT(1287/$U$8),$U$7)+1,1)</f>
        <v/>
      </c>
      <c r="BP1300">
        <f>IF(1287&lt;$U$9,MOD(1287,$U$8)+1,1)</f>
        <v/>
      </c>
      <c r="BQ1300">
        <f>IF(1287&lt;$U$9,SUMPRODUCT(($D$10:$L$10&lt;&gt;"")*(($D$9:$L$9+INT(($S$12:$AA$12+INDEX($AJ$13:$AR$162,BN1300,0)+INDEX($AT$13:$BB$162,BO1300,0)+INDEX($BD$13:$BL$162,BP1300,0))/100))&gt;=$D$10:$L$10)),0)</f>
        <v/>
      </c>
      <c r="BR1300">
        <f>IF(1287&lt;$U$9,SUMPRODUCT(($D$10:$L$10&lt;&gt;"")*(($D$10:$L$10-($D$9:$L$9+INT(($S$12:$AA$12+INDEX($AJ$13:$AR$162,BN1300,0)+INDEX($AT$13:$BB$162,BO1300,0)+INDEX($BD$13:$BL$162,BP1300,0))/100)))&gt;0)*($D$10:$L$10-($D$9:$L$9+INT(($S$12:$AA$12+INDEX($AJ$13:$AR$162,BN1300,0)+INDEX($AT$13:$BB$162,BO1300,0)+INDEX($BD$13:$BL$162,BP1300,0))/100)))),0)</f>
        <v/>
      </c>
      <c r="BS1300">
        <f>IF(1287&lt;$U$9,SUMPRODUCT(($D$9:$L$9+INT(($S$12:$AA$12+INDEX($AJ$13:$AR$162,BN1300,0)+INDEX($AT$13:$BB$162,BO1300,0)+INDEX($BD$13:$BL$162,BP1300,0))/100))),0)</f>
        <v/>
      </c>
      <c r="BT1300">
        <f>IF(AND(1287&lt;$U$9,$W$5),BQ1300*1000000-MIN(BR1300,999)*1000+BS1300-1287/100000,-1000000000-1287)</f>
        <v/>
      </c>
    </row>
    <row r="1301">
      <c r="BN1301">
        <f>IF(1288&lt;$U$9,INT(1288/($U$7*$U$8))+1,1)</f>
        <v/>
      </c>
      <c r="BO1301">
        <f>IF(1288&lt;$U$9,MOD(INT(1288/$U$8),$U$7)+1,1)</f>
        <v/>
      </c>
      <c r="BP1301">
        <f>IF(1288&lt;$U$9,MOD(1288,$U$8)+1,1)</f>
        <v/>
      </c>
      <c r="BQ1301">
        <f>IF(1288&lt;$U$9,SUMPRODUCT(($D$10:$L$10&lt;&gt;"")*(($D$9:$L$9+INT(($S$12:$AA$12+INDEX($AJ$13:$AR$162,BN1301,0)+INDEX($AT$13:$BB$162,BO1301,0)+INDEX($BD$13:$BL$162,BP1301,0))/100))&gt;=$D$10:$L$10)),0)</f>
        <v/>
      </c>
      <c r="BR1301">
        <f>IF(1288&lt;$U$9,SUMPRODUCT(($D$10:$L$10&lt;&gt;"")*(($D$10:$L$10-($D$9:$L$9+INT(($S$12:$AA$12+INDEX($AJ$13:$AR$162,BN1301,0)+INDEX($AT$13:$BB$162,BO1301,0)+INDEX($BD$13:$BL$162,BP1301,0))/100)))&gt;0)*($D$10:$L$10-($D$9:$L$9+INT(($S$12:$AA$12+INDEX($AJ$13:$AR$162,BN1301,0)+INDEX($AT$13:$BB$162,BO1301,0)+INDEX($BD$13:$BL$162,BP1301,0))/100)))),0)</f>
        <v/>
      </c>
      <c r="BS1301">
        <f>IF(1288&lt;$U$9,SUMPRODUCT(($D$9:$L$9+INT(($S$12:$AA$12+INDEX($AJ$13:$AR$162,BN1301,0)+INDEX($AT$13:$BB$162,BO1301,0)+INDEX($BD$13:$BL$162,BP1301,0))/100))),0)</f>
        <v/>
      </c>
      <c r="BT1301">
        <f>IF(AND(1288&lt;$U$9,$W$5),BQ1301*1000000-MIN(BR1301,999)*1000+BS1301-1288/100000,-1000000000-1288)</f>
        <v/>
      </c>
    </row>
    <row r="1302">
      <c r="BN1302">
        <f>IF(1289&lt;$U$9,INT(1289/($U$7*$U$8))+1,1)</f>
        <v/>
      </c>
      <c r="BO1302">
        <f>IF(1289&lt;$U$9,MOD(INT(1289/$U$8),$U$7)+1,1)</f>
        <v/>
      </c>
      <c r="BP1302">
        <f>IF(1289&lt;$U$9,MOD(1289,$U$8)+1,1)</f>
        <v/>
      </c>
      <c r="BQ1302">
        <f>IF(1289&lt;$U$9,SUMPRODUCT(($D$10:$L$10&lt;&gt;"")*(($D$9:$L$9+INT(($S$12:$AA$12+INDEX($AJ$13:$AR$162,BN1302,0)+INDEX($AT$13:$BB$162,BO1302,0)+INDEX($BD$13:$BL$162,BP1302,0))/100))&gt;=$D$10:$L$10)),0)</f>
        <v/>
      </c>
      <c r="BR1302">
        <f>IF(1289&lt;$U$9,SUMPRODUCT(($D$10:$L$10&lt;&gt;"")*(($D$10:$L$10-($D$9:$L$9+INT(($S$12:$AA$12+INDEX($AJ$13:$AR$162,BN1302,0)+INDEX($AT$13:$BB$162,BO1302,0)+INDEX($BD$13:$BL$162,BP1302,0))/100)))&gt;0)*($D$10:$L$10-($D$9:$L$9+INT(($S$12:$AA$12+INDEX($AJ$13:$AR$162,BN1302,0)+INDEX($AT$13:$BB$162,BO1302,0)+INDEX($BD$13:$BL$162,BP1302,0))/100)))),0)</f>
        <v/>
      </c>
      <c r="BS1302">
        <f>IF(1289&lt;$U$9,SUMPRODUCT(($D$9:$L$9+INT(($S$12:$AA$12+INDEX($AJ$13:$AR$162,BN1302,0)+INDEX($AT$13:$BB$162,BO1302,0)+INDEX($BD$13:$BL$162,BP1302,0))/100))),0)</f>
        <v/>
      </c>
      <c r="BT1302">
        <f>IF(AND(1289&lt;$U$9,$W$5),BQ1302*1000000-MIN(BR1302,999)*1000+BS1302-1289/100000,-1000000000-1289)</f>
        <v/>
      </c>
    </row>
    <row r="1303">
      <c r="BN1303">
        <f>IF(1290&lt;$U$9,INT(1290/($U$7*$U$8))+1,1)</f>
        <v/>
      </c>
      <c r="BO1303">
        <f>IF(1290&lt;$U$9,MOD(INT(1290/$U$8),$U$7)+1,1)</f>
        <v/>
      </c>
      <c r="BP1303">
        <f>IF(1290&lt;$U$9,MOD(1290,$U$8)+1,1)</f>
        <v/>
      </c>
      <c r="BQ1303">
        <f>IF(1290&lt;$U$9,SUMPRODUCT(($D$10:$L$10&lt;&gt;"")*(($D$9:$L$9+INT(($S$12:$AA$12+INDEX($AJ$13:$AR$162,BN1303,0)+INDEX($AT$13:$BB$162,BO1303,0)+INDEX($BD$13:$BL$162,BP1303,0))/100))&gt;=$D$10:$L$10)),0)</f>
        <v/>
      </c>
      <c r="BR1303">
        <f>IF(1290&lt;$U$9,SUMPRODUCT(($D$10:$L$10&lt;&gt;"")*(($D$10:$L$10-($D$9:$L$9+INT(($S$12:$AA$12+INDEX($AJ$13:$AR$162,BN1303,0)+INDEX($AT$13:$BB$162,BO1303,0)+INDEX($BD$13:$BL$162,BP1303,0))/100)))&gt;0)*($D$10:$L$10-($D$9:$L$9+INT(($S$12:$AA$12+INDEX($AJ$13:$AR$162,BN1303,0)+INDEX($AT$13:$BB$162,BO1303,0)+INDEX($BD$13:$BL$162,BP1303,0))/100)))),0)</f>
        <v/>
      </c>
      <c r="BS1303">
        <f>IF(1290&lt;$U$9,SUMPRODUCT(($D$9:$L$9+INT(($S$12:$AA$12+INDEX($AJ$13:$AR$162,BN1303,0)+INDEX($AT$13:$BB$162,BO1303,0)+INDEX($BD$13:$BL$162,BP1303,0))/100))),0)</f>
        <v/>
      </c>
      <c r="BT1303">
        <f>IF(AND(1290&lt;$U$9,$W$5),BQ1303*1000000-MIN(BR1303,999)*1000+BS1303-1290/100000,-1000000000-1290)</f>
        <v/>
      </c>
    </row>
    <row r="1304">
      <c r="BN1304">
        <f>IF(1291&lt;$U$9,INT(1291/($U$7*$U$8))+1,1)</f>
        <v/>
      </c>
      <c r="BO1304">
        <f>IF(1291&lt;$U$9,MOD(INT(1291/$U$8),$U$7)+1,1)</f>
        <v/>
      </c>
      <c r="BP1304">
        <f>IF(1291&lt;$U$9,MOD(1291,$U$8)+1,1)</f>
        <v/>
      </c>
      <c r="BQ1304">
        <f>IF(1291&lt;$U$9,SUMPRODUCT(($D$10:$L$10&lt;&gt;"")*(($D$9:$L$9+INT(($S$12:$AA$12+INDEX($AJ$13:$AR$162,BN1304,0)+INDEX($AT$13:$BB$162,BO1304,0)+INDEX($BD$13:$BL$162,BP1304,0))/100))&gt;=$D$10:$L$10)),0)</f>
        <v/>
      </c>
      <c r="BR1304">
        <f>IF(1291&lt;$U$9,SUMPRODUCT(($D$10:$L$10&lt;&gt;"")*(($D$10:$L$10-($D$9:$L$9+INT(($S$12:$AA$12+INDEX($AJ$13:$AR$162,BN1304,0)+INDEX($AT$13:$BB$162,BO1304,0)+INDEX($BD$13:$BL$162,BP1304,0))/100)))&gt;0)*($D$10:$L$10-($D$9:$L$9+INT(($S$12:$AA$12+INDEX($AJ$13:$AR$162,BN1304,0)+INDEX($AT$13:$BB$162,BO1304,0)+INDEX($BD$13:$BL$162,BP1304,0))/100)))),0)</f>
        <v/>
      </c>
      <c r="BS1304">
        <f>IF(1291&lt;$U$9,SUMPRODUCT(($D$9:$L$9+INT(($S$12:$AA$12+INDEX($AJ$13:$AR$162,BN1304,0)+INDEX($AT$13:$BB$162,BO1304,0)+INDEX($BD$13:$BL$162,BP1304,0))/100))),0)</f>
        <v/>
      </c>
      <c r="BT1304">
        <f>IF(AND(1291&lt;$U$9,$W$5),BQ1304*1000000-MIN(BR1304,999)*1000+BS1304-1291/100000,-1000000000-1291)</f>
        <v/>
      </c>
    </row>
    <row r="1305">
      <c r="BN1305">
        <f>IF(1292&lt;$U$9,INT(1292/($U$7*$U$8))+1,1)</f>
        <v/>
      </c>
      <c r="BO1305">
        <f>IF(1292&lt;$U$9,MOD(INT(1292/$U$8),$U$7)+1,1)</f>
        <v/>
      </c>
      <c r="BP1305">
        <f>IF(1292&lt;$U$9,MOD(1292,$U$8)+1,1)</f>
        <v/>
      </c>
      <c r="BQ1305">
        <f>IF(1292&lt;$U$9,SUMPRODUCT(($D$10:$L$10&lt;&gt;"")*(($D$9:$L$9+INT(($S$12:$AA$12+INDEX($AJ$13:$AR$162,BN1305,0)+INDEX($AT$13:$BB$162,BO1305,0)+INDEX($BD$13:$BL$162,BP1305,0))/100))&gt;=$D$10:$L$10)),0)</f>
        <v/>
      </c>
      <c r="BR1305">
        <f>IF(1292&lt;$U$9,SUMPRODUCT(($D$10:$L$10&lt;&gt;"")*(($D$10:$L$10-($D$9:$L$9+INT(($S$12:$AA$12+INDEX($AJ$13:$AR$162,BN1305,0)+INDEX($AT$13:$BB$162,BO1305,0)+INDEX($BD$13:$BL$162,BP1305,0))/100)))&gt;0)*($D$10:$L$10-($D$9:$L$9+INT(($S$12:$AA$12+INDEX($AJ$13:$AR$162,BN1305,0)+INDEX($AT$13:$BB$162,BO1305,0)+INDEX($BD$13:$BL$162,BP1305,0))/100)))),0)</f>
        <v/>
      </c>
      <c r="BS1305">
        <f>IF(1292&lt;$U$9,SUMPRODUCT(($D$9:$L$9+INT(($S$12:$AA$12+INDEX($AJ$13:$AR$162,BN1305,0)+INDEX($AT$13:$BB$162,BO1305,0)+INDEX($BD$13:$BL$162,BP1305,0))/100))),0)</f>
        <v/>
      </c>
      <c r="BT1305">
        <f>IF(AND(1292&lt;$U$9,$W$5),BQ1305*1000000-MIN(BR1305,999)*1000+BS1305-1292/100000,-1000000000-1292)</f>
        <v/>
      </c>
    </row>
    <row r="1306">
      <c r="BN1306">
        <f>IF(1293&lt;$U$9,INT(1293/($U$7*$U$8))+1,1)</f>
        <v/>
      </c>
      <c r="BO1306">
        <f>IF(1293&lt;$U$9,MOD(INT(1293/$U$8),$U$7)+1,1)</f>
        <v/>
      </c>
      <c r="BP1306">
        <f>IF(1293&lt;$U$9,MOD(1293,$U$8)+1,1)</f>
        <v/>
      </c>
      <c r="BQ1306">
        <f>IF(1293&lt;$U$9,SUMPRODUCT(($D$10:$L$10&lt;&gt;"")*(($D$9:$L$9+INT(($S$12:$AA$12+INDEX($AJ$13:$AR$162,BN1306,0)+INDEX($AT$13:$BB$162,BO1306,0)+INDEX($BD$13:$BL$162,BP1306,0))/100))&gt;=$D$10:$L$10)),0)</f>
        <v/>
      </c>
      <c r="BR1306">
        <f>IF(1293&lt;$U$9,SUMPRODUCT(($D$10:$L$10&lt;&gt;"")*(($D$10:$L$10-($D$9:$L$9+INT(($S$12:$AA$12+INDEX($AJ$13:$AR$162,BN1306,0)+INDEX($AT$13:$BB$162,BO1306,0)+INDEX($BD$13:$BL$162,BP1306,0))/100)))&gt;0)*($D$10:$L$10-($D$9:$L$9+INT(($S$12:$AA$12+INDEX($AJ$13:$AR$162,BN1306,0)+INDEX($AT$13:$BB$162,BO1306,0)+INDEX($BD$13:$BL$162,BP1306,0))/100)))),0)</f>
        <v/>
      </c>
      <c r="BS1306">
        <f>IF(1293&lt;$U$9,SUMPRODUCT(($D$9:$L$9+INT(($S$12:$AA$12+INDEX($AJ$13:$AR$162,BN1306,0)+INDEX($AT$13:$BB$162,BO1306,0)+INDEX($BD$13:$BL$162,BP1306,0))/100))),0)</f>
        <v/>
      </c>
      <c r="BT1306">
        <f>IF(AND(1293&lt;$U$9,$W$5),BQ1306*1000000-MIN(BR1306,999)*1000+BS1306-1293/100000,-1000000000-1293)</f>
        <v/>
      </c>
    </row>
    <row r="1307">
      <c r="BN1307">
        <f>IF(1294&lt;$U$9,INT(1294/($U$7*$U$8))+1,1)</f>
        <v/>
      </c>
      <c r="BO1307">
        <f>IF(1294&lt;$U$9,MOD(INT(1294/$U$8),$U$7)+1,1)</f>
        <v/>
      </c>
      <c r="BP1307">
        <f>IF(1294&lt;$U$9,MOD(1294,$U$8)+1,1)</f>
        <v/>
      </c>
      <c r="BQ1307">
        <f>IF(1294&lt;$U$9,SUMPRODUCT(($D$10:$L$10&lt;&gt;"")*(($D$9:$L$9+INT(($S$12:$AA$12+INDEX($AJ$13:$AR$162,BN1307,0)+INDEX($AT$13:$BB$162,BO1307,0)+INDEX($BD$13:$BL$162,BP1307,0))/100))&gt;=$D$10:$L$10)),0)</f>
        <v/>
      </c>
      <c r="BR1307">
        <f>IF(1294&lt;$U$9,SUMPRODUCT(($D$10:$L$10&lt;&gt;"")*(($D$10:$L$10-($D$9:$L$9+INT(($S$12:$AA$12+INDEX($AJ$13:$AR$162,BN1307,0)+INDEX($AT$13:$BB$162,BO1307,0)+INDEX($BD$13:$BL$162,BP1307,0))/100)))&gt;0)*($D$10:$L$10-($D$9:$L$9+INT(($S$12:$AA$12+INDEX($AJ$13:$AR$162,BN1307,0)+INDEX($AT$13:$BB$162,BO1307,0)+INDEX($BD$13:$BL$162,BP1307,0))/100)))),0)</f>
        <v/>
      </c>
      <c r="BS1307">
        <f>IF(1294&lt;$U$9,SUMPRODUCT(($D$9:$L$9+INT(($S$12:$AA$12+INDEX($AJ$13:$AR$162,BN1307,0)+INDEX($AT$13:$BB$162,BO1307,0)+INDEX($BD$13:$BL$162,BP1307,0))/100))),0)</f>
        <v/>
      </c>
      <c r="BT1307">
        <f>IF(AND(1294&lt;$U$9,$W$5),BQ1307*1000000-MIN(BR1307,999)*1000+BS1307-1294/100000,-1000000000-1294)</f>
        <v/>
      </c>
    </row>
    <row r="1308">
      <c r="BN1308">
        <f>IF(1295&lt;$U$9,INT(1295/($U$7*$U$8))+1,1)</f>
        <v/>
      </c>
      <c r="BO1308">
        <f>IF(1295&lt;$U$9,MOD(INT(1295/$U$8),$U$7)+1,1)</f>
        <v/>
      </c>
      <c r="BP1308">
        <f>IF(1295&lt;$U$9,MOD(1295,$U$8)+1,1)</f>
        <v/>
      </c>
      <c r="BQ1308">
        <f>IF(1295&lt;$U$9,SUMPRODUCT(($D$10:$L$10&lt;&gt;"")*(($D$9:$L$9+INT(($S$12:$AA$12+INDEX($AJ$13:$AR$162,BN1308,0)+INDEX($AT$13:$BB$162,BO1308,0)+INDEX($BD$13:$BL$162,BP1308,0))/100))&gt;=$D$10:$L$10)),0)</f>
        <v/>
      </c>
      <c r="BR1308">
        <f>IF(1295&lt;$U$9,SUMPRODUCT(($D$10:$L$10&lt;&gt;"")*(($D$10:$L$10-($D$9:$L$9+INT(($S$12:$AA$12+INDEX($AJ$13:$AR$162,BN1308,0)+INDEX($AT$13:$BB$162,BO1308,0)+INDEX($BD$13:$BL$162,BP1308,0))/100)))&gt;0)*($D$10:$L$10-($D$9:$L$9+INT(($S$12:$AA$12+INDEX($AJ$13:$AR$162,BN1308,0)+INDEX($AT$13:$BB$162,BO1308,0)+INDEX($BD$13:$BL$162,BP1308,0))/100)))),0)</f>
        <v/>
      </c>
      <c r="BS1308">
        <f>IF(1295&lt;$U$9,SUMPRODUCT(($D$9:$L$9+INT(($S$12:$AA$12+INDEX($AJ$13:$AR$162,BN1308,0)+INDEX($AT$13:$BB$162,BO1308,0)+INDEX($BD$13:$BL$162,BP1308,0))/100))),0)</f>
        <v/>
      </c>
      <c r="BT1308">
        <f>IF(AND(1295&lt;$U$9,$W$5),BQ1308*1000000-MIN(BR1308,999)*1000+BS1308-1295/100000,-1000000000-1295)</f>
        <v/>
      </c>
    </row>
    <row r="1309">
      <c r="BN1309">
        <f>IF(1296&lt;$U$9,INT(1296/($U$7*$U$8))+1,1)</f>
        <v/>
      </c>
      <c r="BO1309">
        <f>IF(1296&lt;$U$9,MOD(INT(1296/$U$8),$U$7)+1,1)</f>
        <v/>
      </c>
      <c r="BP1309">
        <f>IF(1296&lt;$U$9,MOD(1296,$U$8)+1,1)</f>
        <v/>
      </c>
      <c r="BQ1309">
        <f>IF(1296&lt;$U$9,SUMPRODUCT(($D$10:$L$10&lt;&gt;"")*(($D$9:$L$9+INT(($S$12:$AA$12+INDEX($AJ$13:$AR$162,BN1309,0)+INDEX($AT$13:$BB$162,BO1309,0)+INDEX($BD$13:$BL$162,BP1309,0))/100))&gt;=$D$10:$L$10)),0)</f>
        <v/>
      </c>
      <c r="BR1309">
        <f>IF(1296&lt;$U$9,SUMPRODUCT(($D$10:$L$10&lt;&gt;"")*(($D$10:$L$10-($D$9:$L$9+INT(($S$12:$AA$12+INDEX($AJ$13:$AR$162,BN1309,0)+INDEX($AT$13:$BB$162,BO1309,0)+INDEX($BD$13:$BL$162,BP1309,0))/100)))&gt;0)*($D$10:$L$10-($D$9:$L$9+INT(($S$12:$AA$12+INDEX($AJ$13:$AR$162,BN1309,0)+INDEX($AT$13:$BB$162,BO1309,0)+INDEX($BD$13:$BL$162,BP1309,0))/100)))),0)</f>
        <v/>
      </c>
      <c r="BS1309">
        <f>IF(1296&lt;$U$9,SUMPRODUCT(($D$9:$L$9+INT(($S$12:$AA$12+INDEX($AJ$13:$AR$162,BN1309,0)+INDEX($AT$13:$BB$162,BO1309,0)+INDEX($BD$13:$BL$162,BP1309,0))/100))),0)</f>
        <v/>
      </c>
      <c r="BT1309">
        <f>IF(AND(1296&lt;$U$9,$W$5),BQ1309*1000000-MIN(BR1309,999)*1000+BS1309-1296/100000,-1000000000-1296)</f>
        <v/>
      </c>
    </row>
    <row r="1310">
      <c r="BN1310">
        <f>IF(1297&lt;$U$9,INT(1297/($U$7*$U$8))+1,1)</f>
        <v/>
      </c>
      <c r="BO1310">
        <f>IF(1297&lt;$U$9,MOD(INT(1297/$U$8),$U$7)+1,1)</f>
        <v/>
      </c>
      <c r="BP1310">
        <f>IF(1297&lt;$U$9,MOD(1297,$U$8)+1,1)</f>
        <v/>
      </c>
      <c r="BQ1310">
        <f>IF(1297&lt;$U$9,SUMPRODUCT(($D$10:$L$10&lt;&gt;"")*(($D$9:$L$9+INT(($S$12:$AA$12+INDEX($AJ$13:$AR$162,BN1310,0)+INDEX($AT$13:$BB$162,BO1310,0)+INDEX($BD$13:$BL$162,BP1310,0))/100))&gt;=$D$10:$L$10)),0)</f>
        <v/>
      </c>
      <c r="BR1310">
        <f>IF(1297&lt;$U$9,SUMPRODUCT(($D$10:$L$10&lt;&gt;"")*(($D$10:$L$10-($D$9:$L$9+INT(($S$12:$AA$12+INDEX($AJ$13:$AR$162,BN1310,0)+INDEX($AT$13:$BB$162,BO1310,0)+INDEX($BD$13:$BL$162,BP1310,0))/100)))&gt;0)*($D$10:$L$10-($D$9:$L$9+INT(($S$12:$AA$12+INDEX($AJ$13:$AR$162,BN1310,0)+INDEX($AT$13:$BB$162,BO1310,0)+INDEX($BD$13:$BL$162,BP1310,0))/100)))),0)</f>
        <v/>
      </c>
      <c r="BS1310">
        <f>IF(1297&lt;$U$9,SUMPRODUCT(($D$9:$L$9+INT(($S$12:$AA$12+INDEX($AJ$13:$AR$162,BN1310,0)+INDEX($AT$13:$BB$162,BO1310,0)+INDEX($BD$13:$BL$162,BP1310,0))/100))),0)</f>
        <v/>
      </c>
      <c r="BT1310">
        <f>IF(AND(1297&lt;$U$9,$W$5),BQ1310*1000000-MIN(BR1310,999)*1000+BS1310-1297/100000,-1000000000-1297)</f>
        <v/>
      </c>
    </row>
    <row r="1311">
      <c r="BN1311">
        <f>IF(1298&lt;$U$9,INT(1298/($U$7*$U$8))+1,1)</f>
        <v/>
      </c>
      <c r="BO1311">
        <f>IF(1298&lt;$U$9,MOD(INT(1298/$U$8),$U$7)+1,1)</f>
        <v/>
      </c>
      <c r="BP1311">
        <f>IF(1298&lt;$U$9,MOD(1298,$U$8)+1,1)</f>
        <v/>
      </c>
      <c r="BQ1311">
        <f>IF(1298&lt;$U$9,SUMPRODUCT(($D$10:$L$10&lt;&gt;"")*(($D$9:$L$9+INT(($S$12:$AA$12+INDEX($AJ$13:$AR$162,BN1311,0)+INDEX($AT$13:$BB$162,BO1311,0)+INDEX($BD$13:$BL$162,BP1311,0))/100))&gt;=$D$10:$L$10)),0)</f>
        <v/>
      </c>
      <c r="BR1311">
        <f>IF(1298&lt;$U$9,SUMPRODUCT(($D$10:$L$10&lt;&gt;"")*(($D$10:$L$10-($D$9:$L$9+INT(($S$12:$AA$12+INDEX($AJ$13:$AR$162,BN1311,0)+INDEX($AT$13:$BB$162,BO1311,0)+INDEX($BD$13:$BL$162,BP1311,0))/100)))&gt;0)*($D$10:$L$10-($D$9:$L$9+INT(($S$12:$AA$12+INDEX($AJ$13:$AR$162,BN1311,0)+INDEX($AT$13:$BB$162,BO1311,0)+INDEX($BD$13:$BL$162,BP1311,0))/100)))),0)</f>
        <v/>
      </c>
      <c r="BS1311">
        <f>IF(1298&lt;$U$9,SUMPRODUCT(($D$9:$L$9+INT(($S$12:$AA$12+INDEX($AJ$13:$AR$162,BN1311,0)+INDEX($AT$13:$BB$162,BO1311,0)+INDEX($BD$13:$BL$162,BP1311,0))/100))),0)</f>
        <v/>
      </c>
      <c r="BT1311">
        <f>IF(AND(1298&lt;$U$9,$W$5),BQ1311*1000000-MIN(BR1311,999)*1000+BS1311-1298/100000,-1000000000-1298)</f>
        <v/>
      </c>
    </row>
    <row r="1312">
      <c r="BN1312">
        <f>IF(1299&lt;$U$9,INT(1299/($U$7*$U$8))+1,1)</f>
        <v/>
      </c>
      <c r="BO1312">
        <f>IF(1299&lt;$U$9,MOD(INT(1299/$U$8),$U$7)+1,1)</f>
        <v/>
      </c>
      <c r="BP1312">
        <f>IF(1299&lt;$U$9,MOD(1299,$U$8)+1,1)</f>
        <v/>
      </c>
      <c r="BQ1312">
        <f>IF(1299&lt;$U$9,SUMPRODUCT(($D$10:$L$10&lt;&gt;"")*(($D$9:$L$9+INT(($S$12:$AA$12+INDEX($AJ$13:$AR$162,BN1312,0)+INDEX($AT$13:$BB$162,BO1312,0)+INDEX($BD$13:$BL$162,BP1312,0))/100))&gt;=$D$10:$L$10)),0)</f>
        <v/>
      </c>
      <c r="BR1312">
        <f>IF(1299&lt;$U$9,SUMPRODUCT(($D$10:$L$10&lt;&gt;"")*(($D$10:$L$10-($D$9:$L$9+INT(($S$12:$AA$12+INDEX($AJ$13:$AR$162,BN1312,0)+INDEX($AT$13:$BB$162,BO1312,0)+INDEX($BD$13:$BL$162,BP1312,0))/100)))&gt;0)*($D$10:$L$10-($D$9:$L$9+INT(($S$12:$AA$12+INDEX($AJ$13:$AR$162,BN1312,0)+INDEX($AT$13:$BB$162,BO1312,0)+INDEX($BD$13:$BL$162,BP1312,0))/100)))),0)</f>
        <v/>
      </c>
      <c r="BS1312">
        <f>IF(1299&lt;$U$9,SUMPRODUCT(($D$9:$L$9+INT(($S$12:$AA$12+INDEX($AJ$13:$AR$162,BN1312,0)+INDEX($AT$13:$BB$162,BO1312,0)+INDEX($BD$13:$BL$162,BP1312,0))/100))),0)</f>
        <v/>
      </c>
      <c r="BT1312">
        <f>IF(AND(1299&lt;$U$9,$W$5),BQ1312*1000000-MIN(BR1312,999)*1000+BS1312-1299/100000,-1000000000-1299)</f>
        <v/>
      </c>
    </row>
    <row r="1313">
      <c r="BN1313">
        <f>IF(1300&lt;$U$9,INT(1300/($U$7*$U$8))+1,1)</f>
        <v/>
      </c>
      <c r="BO1313">
        <f>IF(1300&lt;$U$9,MOD(INT(1300/$U$8),$U$7)+1,1)</f>
        <v/>
      </c>
      <c r="BP1313">
        <f>IF(1300&lt;$U$9,MOD(1300,$U$8)+1,1)</f>
        <v/>
      </c>
      <c r="BQ1313">
        <f>IF(1300&lt;$U$9,SUMPRODUCT(($D$10:$L$10&lt;&gt;"")*(($D$9:$L$9+INT(($S$12:$AA$12+INDEX($AJ$13:$AR$162,BN1313,0)+INDEX($AT$13:$BB$162,BO1313,0)+INDEX($BD$13:$BL$162,BP1313,0))/100))&gt;=$D$10:$L$10)),0)</f>
        <v/>
      </c>
      <c r="BR1313">
        <f>IF(1300&lt;$U$9,SUMPRODUCT(($D$10:$L$10&lt;&gt;"")*(($D$10:$L$10-($D$9:$L$9+INT(($S$12:$AA$12+INDEX($AJ$13:$AR$162,BN1313,0)+INDEX($AT$13:$BB$162,BO1313,0)+INDEX($BD$13:$BL$162,BP1313,0))/100)))&gt;0)*($D$10:$L$10-($D$9:$L$9+INT(($S$12:$AA$12+INDEX($AJ$13:$AR$162,BN1313,0)+INDEX($AT$13:$BB$162,BO1313,0)+INDEX($BD$13:$BL$162,BP1313,0))/100)))),0)</f>
        <v/>
      </c>
      <c r="BS1313">
        <f>IF(1300&lt;$U$9,SUMPRODUCT(($D$9:$L$9+INT(($S$12:$AA$12+INDEX($AJ$13:$AR$162,BN1313,0)+INDEX($AT$13:$BB$162,BO1313,0)+INDEX($BD$13:$BL$162,BP1313,0))/100))),0)</f>
        <v/>
      </c>
      <c r="BT1313">
        <f>IF(AND(1300&lt;$U$9,$W$5),BQ1313*1000000-MIN(BR1313,999)*1000+BS1313-1300/100000,-1000000000-1300)</f>
        <v/>
      </c>
    </row>
    <row r="1314">
      <c r="BN1314">
        <f>IF(1301&lt;$U$9,INT(1301/($U$7*$U$8))+1,1)</f>
        <v/>
      </c>
      <c r="BO1314">
        <f>IF(1301&lt;$U$9,MOD(INT(1301/$U$8),$U$7)+1,1)</f>
        <v/>
      </c>
      <c r="BP1314">
        <f>IF(1301&lt;$U$9,MOD(1301,$U$8)+1,1)</f>
        <v/>
      </c>
      <c r="BQ1314">
        <f>IF(1301&lt;$U$9,SUMPRODUCT(($D$10:$L$10&lt;&gt;"")*(($D$9:$L$9+INT(($S$12:$AA$12+INDEX($AJ$13:$AR$162,BN1314,0)+INDEX($AT$13:$BB$162,BO1314,0)+INDEX($BD$13:$BL$162,BP1314,0))/100))&gt;=$D$10:$L$10)),0)</f>
        <v/>
      </c>
      <c r="BR1314">
        <f>IF(1301&lt;$U$9,SUMPRODUCT(($D$10:$L$10&lt;&gt;"")*(($D$10:$L$10-($D$9:$L$9+INT(($S$12:$AA$12+INDEX($AJ$13:$AR$162,BN1314,0)+INDEX($AT$13:$BB$162,BO1314,0)+INDEX($BD$13:$BL$162,BP1314,0))/100)))&gt;0)*($D$10:$L$10-($D$9:$L$9+INT(($S$12:$AA$12+INDEX($AJ$13:$AR$162,BN1314,0)+INDEX($AT$13:$BB$162,BO1314,0)+INDEX($BD$13:$BL$162,BP1314,0))/100)))),0)</f>
        <v/>
      </c>
      <c r="BS1314">
        <f>IF(1301&lt;$U$9,SUMPRODUCT(($D$9:$L$9+INT(($S$12:$AA$12+INDEX($AJ$13:$AR$162,BN1314,0)+INDEX($AT$13:$BB$162,BO1314,0)+INDEX($BD$13:$BL$162,BP1314,0))/100))),0)</f>
        <v/>
      </c>
      <c r="BT1314">
        <f>IF(AND(1301&lt;$U$9,$W$5),BQ1314*1000000-MIN(BR1314,999)*1000+BS1314-1301/100000,-1000000000-1301)</f>
        <v/>
      </c>
    </row>
    <row r="1315">
      <c r="BN1315">
        <f>IF(1302&lt;$U$9,INT(1302/($U$7*$U$8))+1,1)</f>
        <v/>
      </c>
      <c r="BO1315">
        <f>IF(1302&lt;$U$9,MOD(INT(1302/$U$8),$U$7)+1,1)</f>
        <v/>
      </c>
      <c r="BP1315">
        <f>IF(1302&lt;$U$9,MOD(1302,$U$8)+1,1)</f>
        <v/>
      </c>
      <c r="BQ1315">
        <f>IF(1302&lt;$U$9,SUMPRODUCT(($D$10:$L$10&lt;&gt;"")*(($D$9:$L$9+INT(($S$12:$AA$12+INDEX($AJ$13:$AR$162,BN1315,0)+INDEX($AT$13:$BB$162,BO1315,0)+INDEX($BD$13:$BL$162,BP1315,0))/100))&gt;=$D$10:$L$10)),0)</f>
        <v/>
      </c>
      <c r="BR1315">
        <f>IF(1302&lt;$U$9,SUMPRODUCT(($D$10:$L$10&lt;&gt;"")*(($D$10:$L$10-($D$9:$L$9+INT(($S$12:$AA$12+INDEX($AJ$13:$AR$162,BN1315,0)+INDEX($AT$13:$BB$162,BO1315,0)+INDEX($BD$13:$BL$162,BP1315,0))/100)))&gt;0)*($D$10:$L$10-($D$9:$L$9+INT(($S$12:$AA$12+INDEX($AJ$13:$AR$162,BN1315,0)+INDEX($AT$13:$BB$162,BO1315,0)+INDEX($BD$13:$BL$162,BP1315,0))/100)))),0)</f>
        <v/>
      </c>
      <c r="BS1315">
        <f>IF(1302&lt;$U$9,SUMPRODUCT(($D$9:$L$9+INT(($S$12:$AA$12+INDEX($AJ$13:$AR$162,BN1315,0)+INDEX($AT$13:$BB$162,BO1315,0)+INDEX($BD$13:$BL$162,BP1315,0))/100))),0)</f>
        <v/>
      </c>
      <c r="BT1315">
        <f>IF(AND(1302&lt;$U$9,$W$5),BQ1315*1000000-MIN(BR1315,999)*1000+BS1315-1302/100000,-1000000000-1302)</f>
        <v/>
      </c>
    </row>
    <row r="1316">
      <c r="BN1316">
        <f>IF(1303&lt;$U$9,INT(1303/($U$7*$U$8))+1,1)</f>
        <v/>
      </c>
      <c r="BO1316">
        <f>IF(1303&lt;$U$9,MOD(INT(1303/$U$8),$U$7)+1,1)</f>
        <v/>
      </c>
      <c r="BP1316">
        <f>IF(1303&lt;$U$9,MOD(1303,$U$8)+1,1)</f>
        <v/>
      </c>
      <c r="BQ1316">
        <f>IF(1303&lt;$U$9,SUMPRODUCT(($D$10:$L$10&lt;&gt;"")*(($D$9:$L$9+INT(($S$12:$AA$12+INDEX($AJ$13:$AR$162,BN1316,0)+INDEX($AT$13:$BB$162,BO1316,0)+INDEX($BD$13:$BL$162,BP1316,0))/100))&gt;=$D$10:$L$10)),0)</f>
        <v/>
      </c>
      <c r="BR1316">
        <f>IF(1303&lt;$U$9,SUMPRODUCT(($D$10:$L$10&lt;&gt;"")*(($D$10:$L$10-($D$9:$L$9+INT(($S$12:$AA$12+INDEX($AJ$13:$AR$162,BN1316,0)+INDEX($AT$13:$BB$162,BO1316,0)+INDEX($BD$13:$BL$162,BP1316,0))/100)))&gt;0)*($D$10:$L$10-($D$9:$L$9+INT(($S$12:$AA$12+INDEX($AJ$13:$AR$162,BN1316,0)+INDEX($AT$13:$BB$162,BO1316,0)+INDEX($BD$13:$BL$162,BP1316,0))/100)))),0)</f>
        <v/>
      </c>
      <c r="BS1316">
        <f>IF(1303&lt;$U$9,SUMPRODUCT(($D$9:$L$9+INT(($S$12:$AA$12+INDEX($AJ$13:$AR$162,BN1316,0)+INDEX($AT$13:$BB$162,BO1316,0)+INDEX($BD$13:$BL$162,BP1316,0))/100))),0)</f>
        <v/>
      </c>
      <c r="BT1316">
        <f>IF(AND(1303&lt;$U$9,$W$5),BQ1316*1000000-MIN(BR1316,999)*1000+BS1316-1303/100000,-1000000000-1303)</f>
        <v/>
      </c>
    </row>
    <row r="1317">
      <c r="BN1317">
        <f>IF(1304&lt;$U$9,INT(1304/($U$7*$U$8))+1,1)</f>
        <v/>
      </c>
      <c r="BO1317">
        <f>IF(1304&lt;$U$9,MOD(INT(1304/$U$8),$U$7)+1,1)</f>
        <v/>
      </c>
      <c r="BP1317">
        <f>IF(1304&lt;$U$9,MOD(1304,$U$8)+1,1)</f>
        <v/>
      </c>
      <c r="BQ1317">
        <f>IF(1304&lt;$U$9,SUMPRODUCT(($D$10:$L$10&lt;&gt;"")*(($D$9:$L$9+INT(($S$12:$AA$12+INDEX($AJ$13:$AR$162,BN1317,0)+INDEX($AT$13:$BB$162,BO1317,0)+INDEX($BD$13:$BL$162,BP1317,0))/100))&gt;=$D$10:$L$10)),0)</f>
        <v/>
      </c>
      <c r="BR1317">
        <f>IF(1304&lt;$U$9,SUMPRODUCT(($D$10:$L$10&lt;&gt;"")*(($D$10:$L$10-($D$9:$L$9+INT(($S$12:$AA$12+INDEX($AJ$13:$AR$162,BN1317,0)+INDEX($AT$13:$BB$162,BO1317,0)+INDEX($BD$13:$BL$162,BP1317,0))/100)))&gt;0)*($D$10:$L$10-($D$9:$L$9+INT(($S$12:$AA$12+INDEX($AJ$13:$AR$162,BN1317,0)+INDEX($AT$13:$BB$162,BO1317,0)+INDEX($BD$13:$BL$162,BP1317,0))/100)))),0)</f>
        <v/>
      </c>
      <c r="BS1317">
        <f>IF(1304&lt;$U$9,SUMPRODUCT(($D$9:$L$9+INT(($S$12:$AA$12+INDEX($AJ$13:$AR$162,BN1317,0)+INDEX($AT$13:$BB$162,BO1317,0)+INDEX($BD$13:$BL$162,BP1317,0))/100))),0)</f>
        <v/>
      </c>
      <c r="BT1317">
        <f>IF(AND(1304&lt;$U$9,$W$5),BQ1317*1000000-MIN(BR1317,999)*1000+BS1317-1304/100000,-1000000000-1304)</f>
        <v/>
      </c>
    </row>
    <row r="1318">
      <c r="BN1318">
        <f>IF(1305&lt;$U$9,INT(1305/($U$7*$U$8))+1,1)</f>
        <v/>
      </c>
      <c r="BO1318">
        <f>IF(1305&lt;$U$9,MOD(INT(1305/$U$8),$U$7)+1,1)</f>
        <v/>
      </c>
      <c r="BP1318">
        <f>IF(1305&lt;$U$9,MOD(1305,$U$8)+1,1)</f>
        <v/>
      </c>
      <c r="BQ1318">
        <f>IF(1305&lt;$U$9,SUMPRODUCT(($D$10:$L$10&lt;&gt;"")*(($D$9:$L$9+INT(($S$12:$AA$12+INDEX($AJ$13:$AR$162,BN1318,0)+INDEX($AT$13:$BB$162,BO1318,0)+INDEX($BD$13:$BL$162,BP1318,0))/100))&gt;=$D$10:$L$10)),0)</f>
        <v/>
      </c>
      <c r="BR1318">
        <f>IF(1305&lt;$U$9,SUMPRODUCT(($D$10:$L$10&lt;&gt;"")*(($D$10:$L$10-($D$9:$L$9+INT(($S$12:$AA$12+INDEX($AJ$13:$AR$162,BN1318,0)+INDEX($AT$13:$BB$162,BO1318,0)+INDEX($BD$13:$BL$162,BP1318,0))/100)))&gt;0)*($D$10:$L$10-($D$9:$L$9+INT(($S$12:$AA$12+INDEX($AJ$13:$AR$162,BN1318,0)+INDEX($AT$13:$BB$162,BO1318,0)+INDEX($BD$13:$BL$162,BP1318,0))/100)))),0)</f>
        <v/>
      </c>
      <c r="BS1318">
        <f>IF(1305&lt;$U$9,SUMPRODUCT(($D$9:$L$9+INT(($S$12:$AA$12+INDEX($AJ$13:$AR$162,BN1318,0)+INDEX($AT$13:$BB$162,BO1318,0)+INDEX($BD$13:$BL$162,BP1318,0))/100))),0)</f>
        <v/>
      </c>
      <c r="BT1318">
        <f>IF(AND(1305&lt;$U$9,$W$5),BQ1318*1000000-MIN(BR1318,999)*1000+BS1318-1305/100000,-1000000000-1305)</f>
        <v/>
      </c>
    </row>
    <row r="1319">
      <c r="BN1319">
        <f>IF(1306&lt;$U$9,INT(1306/($U$7*$U$8))+1,1)</f>
        <v/>
      </c>
      <c r="BO1319">
        <f>IF(1306&lt;$U$9,MOD(INT(1306/$U$8),$U$7)+1,1)</f>
        <v/>
      </c>
      <c r="BP1319">
        <f>IF(1306&lt;$U$9,MOD(1306,$U$8)+1,1)</f>
        <v/>
      </c>
      <c r="BQ1319">
        <f>IF(1306&lt;$U$9,SUMPRODUCT(($D$10:$L$10&lt;&gt;"")*(($D$9:$L$9+INT(($S$12:$AA$12+INDEX($AJ$13:$AR$162,BN1319,0)+INDEX($AT$13:$BB$162,BO1319,0)+INDEX($BD$13:$BL$162,BP1319,0))/100))&gt;=$D$10:$L$10)),0)</f>
        <v/>
      </c>
      <c r="BR1319">
        <f>IF(1306&lt;$U$9,SUMPRODUCT(($D$10:$L$10&lt;&gt;"")*(($D$10:$L$10-($D$9:$L$9+INT(($S$12:$AA$12+INDEX($AJ$13:$AR$162,BN1319,0)+INDEX($AT$13:$BB$162,BO1319,0)+INDEX($BD$13:$BL$162,BP1319,0))/100)))&gt;0)*($D$10:$L$10-($D$9:$L$9+INT(($S$12:$AA$12+INDEX($AJ$13:$AR$162,BN1319,0)+INDEX($AT$13:$BB$162,BO1319,0)+INDEX($BD$13:$BL$162,BP1319,0))/100)))),0)</f>
        <v/>
      </c>
      <c r="BS1319">
        <f>IF(1306&lt;$U$9,SUMPRODUCT(($D$9:$L$9+INT(($S$12:$AA$12+INDEX($AJ$13:$AR$162,BN1319,0)+INDEX($AT$13:$BB$162,BO1319,0)+INDEX($BD$13:$BL$162,BP1319,0))/100))),0)</f>
        <v/>
      </c>
      <c r="BT1319">
        <f>IF(AND(1306&lt;$U$9,$W$5),BQ1319*1000000-MIN(BR1319,999)*1000+BS1319-1306/100000,-1000000000-1306)</f>
        <v/>
      </c>
    </row>
    <row r="1320">
      <c r="BN1320">
        <f>IF(1307&lt;$U$9,INT(1307/($U$7*$U$8))+1,1)</f>
        <v/>
      </c>
      <c r="BO1320">
        <f>IF(1307&lt;$U$9,MOD(INT(1307/$U$8),$U$7)+1,1)</f>
        <v/>
      </c>
      <c r="BP1320">
        <f>IF(1307&lt;$U$9,MOD(1307,$U$8)+1,1)</f>
        <v/>
      </c>
      <c r="BQ1320">
        <f>IF(1307&lt;$U$9,SUMPRODUCT(($D$10:$L$10&lt;&gt;"")*(($D$9:$L$9+INT(($S$12:$AA$12+INDEX($AJ$13:$AR$162,BN1320,0)+INDEX($AT$13:$BB$162,BO1320,0)+INDEX($BD$13:$BL$162,BP1320,0))/100))&gt;=$D$10:$L$10)),0)</f>
        <v/>
      </c>
      <c r="BR1320">
        <f>IF(1307&lt;$U$9,SUMPRODUCT(($D$10:$L$10&lt;&gt;"")*(($D$10:$L$10-($D$9:$L$9+INT(($S$12:$AA$12+INDEX($AJ$13:$AR$162,BN1320,0)+INDEX($AT$13:$BB$162,BO1320,0)+INDEX($BD$13:$BL$162,BP1320,0))/100)))&gt;0)*($D$10:$L$10-($D$9:$L$9+INT(($S$12:$AA$12+INDEX($AJ$13:$AR$162,BN1320,0)+INDEX($AT$13:$BB$162,BO1320,0)+INDEX($BD$13:$BL$162,BP1320,0))/100)))),0)</f>
        <v/>
      </c>
      <c r="BS1320">
        <f>IF(1307&lt;$U$9,SUMPRODUCT(($D$9:$L$9+INT(($S$12:$AA$12+INDEX($AJ$13:$AR$162,BN1320,0)+INDEX($AT$13:$BB$162,BO1320,0)+INDEX($BD$13:$BL$162,BP1320,0))/100))),0)</f>
        <v/>
      </c>
      <c r="BT1320">
        <f>IF(AND(1307&lt;$U$9,$W$5),BQ1320*1000000-MIN(BR1320,999)*1000+BS1320-1307/100000,-1000000000-1307)</f>
        <v/>
      </c>
    </row>
    <row r="1321">
      <c r="BN1321">
        <f>IF(1308&lt;$U$9,INT(1308/($U$7*$U$8))+1,1)</f>
        <v/>
      </c>
      <c r="BO1321">
        <f>IF(1308&lt;$U$9,MOD(INT(1308/$U$8),$U$7)+1,1)</f>
        <v/>
      </c>
      <c r="BP1321">
        <f>IF(1308&lt;$U$9,MOD(1308,$U$8)+1,1)</f>
        <v/>
      </c>
      <c r="BQ1321">
        <f>IF(1308&lt;$U$9,SUMPRODUCT(($D$10:$L$10&lt;&gt;"")*(($D$9:$L$9+INT(($S$12:$AA$12+INDEX($AJ$13:$AR$162,BN1321,0)+INDEX($AT$13:$BB$162,BO1321,0)+INDEX($BD$13:$BL$162,BP1321,0))/100))&gt;=$D$10:$L$10)),0)</f>
        <v/>
      </c>
      <c r="BR1321">
        <f>IF(1308&lt;$U$9,SUMPRODUCT(($D$10:$L$10&lt;&gt;"")*(($D$10:$L$10-($D$9:$L$9+INT(($S$12:$AA$12+INDEX($AJ$13:$AR$162,BN1321,0)+INDEX($AT$13:$BB$162,BO1321,0)+INDEX($BD$13:$BL$162,BP1321,0))/100)))&gt;0)*($D$10:$L$10-($D$9:$L$9+INT(($S$12:$AA$12+INDEX($AJ$13:$AR$162,BN1321,0)+INDEX($AT$13:$BB$162,BO1321,0)+INDEX($BD$13:$BL$162,BP1321,0))/100)))),0)</f>
        <v/>
      </c>
      <c r="BS1321">
        <f>IF(1308&lt;$U$9,SUMPRODUCT(($D$9:$L$9+INT(($S$12:$AA$12+INDEX($AJ$13:$AR$162,BN1321,0)+INDEX($AT$13:$BB$162,BO1321,0)+INDEX($BD$13:$BL$162,BP1321,0))/100))),0)</f>
        <v/>
      </c>
      <c r="BT1321">
        <f>IF(AND(1308&lt;$U$9,$W$5),BQ1321*1000000-MIN(BR1321,999)*1000+BS1321-1308/100000,-1000000000-1308)</f>
        <v/>
      </c>
    </row>
    <row r="1322">
      <c r="BN1322">
        <f>IF(1309&lt;$U$9,INT(1309/($U$7*$U$8))+1,1)</f>
        <v/>
      </c>
      <c r="BO1322">
        <f>IF(1309&lt;$U$9,MOD(INT(1309/$U$8),$U$7)+1,1)</f>
        <v/>
      </c>
      <c r="BP1322">
        <f>IF(1309&lt;$U$9,MOD(1309,$U$8)+1,1)</f>
        <v/>
      </c>
      <c r="BQ1322">
        <f>IF(1309&lt;$U$9,SUMPRODUCT(($D$10:$L$10&lt;&gt;"")*(($D$9:$L$9+INT(($S$12:$AA$12+INDEX($AJ$13:$AR$162,BN1322,0)+INDEX($AT$13:$BB$162,BO1322,0)+INDEX($BD$13:$BL$162,BP1322,0))/100))&gt;=$D$10:$L$10)),0)</f>
        <v/>
      </c>
      <c r="BR1322">
        <f>IF(1309&lt;$U$9,SUMPRODUCT(($D$10:$L$10&lt;&gt;"")*(($D$10:$L$10-($D$9:$L$9+INT(($S$12:$AA$12+INDEX($AJ$13:$AR$162,BN1322,0)+INDEX($AT$13:$BB$162,BO1322,0)+INDEX($BD$13:$BL$162,BP1322,0))/100)))&gt;0)*($D$10:$L$10-($D$9:$L$9+INT(($S$12:$AA$12+INDEX($AJ$13:$AR$162,BN1322,0)+INDEX($AT$13:$BB$162,BO1322,0)+INDEX($BD$13:$BL$162,BP1322,0))/100)))),0)</f>
        <v/>
      </c>
      <c r="BS1322">
        <f>IF(1309&lt;$U$9,SUMPRODUCT(($D$9:$L$9+INT(($S$12:$AA$12+INDEX($AJ$13:$AR$162,BN1322,0)+INDEX($AT$13:$BB$162,BO1322,0)+INDEX($BD$13:$BL$162,BP1322,0))/100))),0)</f>
        <v/>
      </c>
      <c r="BT1322">
        <f>IF(AND(1309&lt;$U$9,$W$5),BQ1322*1000000-MIN(BR1322,999)*1000+BS1322-1309/100000,-1000000000-1309)</f>
        <v/>
      </c>
    </row>
    <row r="1323">
      <c r="BN1323">
        <f>IF(1310&lt;$U$9,INT(1310/($U$7*$U$8))+1,1)</f>
        <v/>
      </c>
      <c r="BO1323">
        <f>IF(1310&lt;$U$9,MOD(INT(1310/$U$8),$U$7)+1,1)</f>
        <v/>
      </c>
      <c r="BP1323">
        <f>IF(1310&lt;$U$9,MOD(1310,$U$8)+1,1)</f>
        <v/>
      </c>
      <c r="BQ1323">
        <f>IF(1310&lt;$U$9,SUMPRODUCT(($D$10:$L$10&lt;&gt;"")*(($D$9:$L$9+INT(($S$12:$AA$12+INDEX($AJ$13:$AR$162,BN1323,0)+INDEX($AT$13:$BB$162,BO1323,0)+INDEX($BD$13:$BL$162,BP1323,0))/100))&gt;=$D$10:$L$10)),0)</f>
        <v/>
      </c>
      <c r="BR1323">
        <f>IF(1310&lt;$U$9,SUMPRODUCT(($D$10:$L$10&lt;&gt;"")*(($D$10:$L$10-($D$9:$L$9+INT(($S$12:$AA$12+INDEX($AJ$13:$AR$162,BN1323,0)+INDEX($AT$13:$BB$162,BO1323,0)+INDEX($BD$13:$BL$162,BP1323,0))/100)))&gt;0)*($D$10:$L$10-($D$9:$L$9+INT(($S$12:$AA$12+INDEX($AJ$13:$AR$162,BN1323,0)+INDEX($AT$13:$BB$162,BO1323,0)+INDEX($BD$13:$BL$162,BP1323,0))/100)))),0)</f>
        <v/>
      </c>
      <c r="BS1323">
        <f>IF(1310&lt;$U$9,SUMPRODUCT(($D$9:$L$9+INT(($S$12:$AA$12+INDEX($AJ$13:$AR$162,BN1323,0)+INDEX($AT$13:$BB$162,BO1323,0)+INDEX($BD$13:$BL$162,BP1323,0))/100))),0)</f>
        <v/>
      </c>
      <c r="BT1323">
        <f>IF(AND(1310&lt;$U$9,$W$5),BQ1323*1000000-MIN(BR1323,999)*1000+BS1323-1310/100000,-1000000000-1310)</f>
        <v/>
      </c>
    </row>
    <row r="1324">
      <c r="BN1324">
        <f>IF(1311&lt;$U$9,INT(1311/($U$7*$U$8))+1,1)</f>
        <v/>
      </c>
      <c r="BO1324">
        <f>IF(1311&lt;$U$9,MOD(INT(1311/$U$8),$U$7)+1,1)</f>
        <v/>
      </c>
      <c r="BP1324">
        <f>IF(1311&lt;$U$9,MOD(1311,$U$8)+1,1)</f>
        <v/>
      </c>
      <c r="BQ1324">
        <f>IF(1311&lt;$U$9,SUMPRODUCT(($D$10:$L$10&lt;&gt;"")*(($D$9:$L$9+INT(($S$12:$AA$12+INDEX($AJ$13:$AR$162,BN1324,0)+INDEX($AT$13:$BB$162,BO1324,0)+INDEX($BD$13:$BL$162,BP1324,0))/100))&gt;=$D$10:$L$10)),0)</f>
        <v/>
      </c>
      <c r="BR1324">
        <f>IF(1311&lt;$U$9,SUMPRODUCT(($D$10:$L$10&lt;&gt;"")*(($D$10:$L$10-($D$9:$L$9+INT(($S$12:$AA$12+INDEX($AJ$13:$AR$162,BN1324,0)+INDEX($AT$13:$BB$162,BO1324,0)+INDEX($BD$13:$BL$162,BP1324,0))/100)))&gt;0)*($D$10:$L$10-($D$9:$L$9+INT(($S$12:$AA$12+INDEX($AJ$13:$AR$162,BN1324,0)+INDEX($AT$13:$BB$162,BO1324,0)+INDEX($BD$13:$BL$162,BP1324,0))/100)))),0)</f>
        <v/>
      </c>
      <c r="BS1324">
        <f>IF(1311&lt;$U$9,SUMPRODUCT(($D$9:$L$9+INT(($S$12:$AA$12+INDEX($AJ$13:$AR$162,BN1324,0)+INDEX($AT$13:$BB$162,BO1324,0)+INDEX($BD$13:$BL$162,BP1324,0))/100))),0)</f>
        <v/>
      </c>
      <c r="BT1324">
        <f>IF(AND(1311&lt;$U$9,$W$5),BQ1324*1000000-MIN(BR1324,999)*1000+BS1324-1311/100000,-1000000000-1311)</f>
        <v/>
      </c>
    </row>
    <row r="1325">
      <c r="BN1325">
        <f>IF(1312&lt;$U$9,INT(1312/($U$7*$U$8))+1,1)</f>
        <v/>
      </c>
      <c r="BO1325">
        <f>IF(1312&lt;$U$9,MOD(INT(1312/$U$8),$U$7)+1,1)</f>
        <v/>
      </c>
      <c r="BP1325">
        <f>IF(1312&lt;$U$9,MOD(1312,$U$8)+1,1)</f>
        <v/>
      </c>
      <c r="BQ1325">
        <f>IF(1312&lt;$U$9,SUMPRODUCT(($D$10:$L$10&lt;&gt;"")*(($D$9:$L$9+INT(($S$12:$AA$12+INDEX($AJ$13:$AR$162,BN1325,0)+INDEX($AT$13:$BB$162,BO1325,0)+INDEX($BD$13:$BL$162,BP1325,0))/100))&gt;=$D$10:$L$10)),0)</f>
        <v/>
      </c>
      <c r="BR1325">
        <f>IF(1312&lt;$U$9,SUMPRODUCT(($D$10:$L$10&lt;&gt;"")*(($D$10:$L$10-($D$9:$L$9+INT(($S$12:$AA$12+INDEX($AJ$13:$AR$162,BN1325,0)+INDEX($AT$13:$BB$162,BO1325,0)+INDEX($BD$13:$BL$162,BP1325,0))/100)))&gt;0)*($D$10:$L$10-($D$9:$L$9+INT(($S$12:$AA$12+INDEX($AJ$13:$AR$162,BN1325,0)+INDEX($AT$13:$BB$162,BO1325,0)+INDEX($BD$13:$BL$162,BP1325,0))/100)))),0)</f>
        <v/>
      </c>
      <c r="BS1325">
        <f>IF(1312&lt;$U$9,SUMPRODUCT(($D$9:$L$9+INT(($S$12:$AA$12+INDEX($AJ$13:$AR$162,BN1325,0)+INDEX($AT$13:$BB$162,BO1325,0)+INDEX($BD$13:$BL$162,BP1325,0))/100))),0)</f>
        <v/>
      </c>
      <c r="BT1325">
        <f>IF(AND(1312&lt;$U$9,$W$5),BQ1325*1000000-MIN(BR1325,999)*1000+BS1325-1312/100000,-1000000000-1312)</f>
        <v/>
      </c>
    </row>
    <row r="1326">
      <c r="BN1326">
        <f>IF(1313&lt;$U$9,INT(1313/($U$7*$U$8))+1,1)</f>
        <v/>
      </c>
      <c r="BO1326">
        <f>IF(1313&lt;$U$9,MOD(INT(1313/$U$8),$U$7)+1,1)</f>
        <v/>
      </c>
      <c r="BP1326">
        <f>IF(1313&lt;$U$9,MOD(1313,$U$8)+1,1)</f>
        <v/>
      </c>
      <c r="BQ1326">
        <f>IF(1313&lt;$U$9,SUMPRODUCT(($D$10:$L$10&lt;&gt;"")*(($D$9:$L$9+INT(($S$12:$AA$12+INDEX($AJ$13:$AR$162,BN1326,0)+INDEX($AT$13:$BB$162,BO1326,0)+INDEX($BD$13:$BL$162,BP1326,0))/100))&gt;=$D$10:$L$10)),0)</f>
        <v/>
      </c>
      <c r="BR1326">
        <f>IF(1313&lt;$U$9,SUMPRODUCT(($D$10:$L$10&lt;&gt;"")*(($D$10:$L$10-($D$9:$L$9+INT(($S$12:$AA$12+INDEX($AJ$13:$AR$162,BN1326,0)+INDEX($AT$13:$BB$162,BO1326,0)+INDEX($BD$13:$BL$162,BP1326,0))/100)))&gt;0)*($D$10:$L$10-($D$9:$L$9+INT(($S$12:$AA$12+INDEX($AJ$13:$AR$162,BN1326,0)+INDEX($AT$13:$BB$162,BO1326,0)+INDEX($BD$13:$BL$162,BP1326,0))/100)))),0)</f>
        <v/>
      </c>
      <c r="BS1326">
        <f>IF(1313&lt;$U$9,SUMPRODUCT(($D$9:$L$9+INT(($S$12:$AA$12+INDEX($AJ$13:$AR$162,BN1326,0)+INDEX($AT$13:$BB$162,BO1326,0)+INDEX($BD$13:$BL$162,BP1326,0))/100))),0)</f>
        <v/>
      </c>
      <c r="BT1326">
        <f>IF(AND(1313&lt;$U$9,$W$5),BQ1326*1000000-MIN(BR1326,999)*1000+BS1326-1313/100000,-1000000000-1313)</f>
        <v/>
      </c>
    </row>
    <row r="1327">
      <c r="BN1327">
        <f>IF(1314&lt;$U$9,INT(1314/($U$7*$U$8))+1,1)</f>
        <v/>
      </c>
      <c r="BO1327">
        <f>IF(1314&lt;$U$9,MOD(INT(1314/$U$8),$U$7)+1,1)</f>
        <v/>
      </c>
      <c r="BP1327">
        <f>IF(1314&lt;$U$9,MOD(1314,$U$8)+1,1)</f>
        <v/>
      </c>
      <c r="BQ1327">
        <f>IF(1314&lt;$U$9,SUMPRODUCT(($D$10:$L$10&lt;&gt;"")*(($D$9:$L$9+INT(($S$12:$AA$12+INDEX($AJ$13:$AR$162,BN1327,0)+INDEX($AT$13:$BB$162,BO1327,0)+INDEX($BD$13:$BL$162,BP1327,0))/100))&gt;=$D$10:$L$10)),0)</f>
        <v/>
      </c>
      <c r="BR1327">
        <f>IF(1314&lt;$U$9,SUMPRODUCT(($D$10:$L$10&lt;&gt;"")*(($D$10:$L$10-($D$9:$L$9+INT(($S$12:$AA$12+INDEX($AJ$13:$AR$162,BN1327,0)+INDEX($AT$13:$BB$162,BO1327,0)+INDEX($BD$13:$BL$162,BP1327,0))/100)))&gt;0)*($D$10:$L$10-($D$9:$L$9+INT(($S$12:$AA$12+INDEX($AJ$13:$AR$162,BN1327,0)+INDEX($AT$13:$BB$162,BO1327,0)+INDEX($BD$13:$BL$162,BP1327,0))/100)))),0)</f>
        <v/>
      </c>
      <c r="BS1327">
        <f>IF(1314&lt;$U$9,SUMPRODUCT(($D$9:$L$9+INT(($S$12:$AA$12+INDEX($AJ$13:$AR$162,BN1327,0)+INDEX($AT$13:$BB$162,BO1327,0)+INDEX($BD$13:$BL$162,BP1327,0))/100))),0)</f>
        <v/>
      </c>
      <c r="BT1327">
        <f>IF(AND(1314&lt;$U$9,$W$5),BQ1327*1000000-MIN(BR1327,999)*1000+BS1327-1314/100000,-1000000000-1314)</f>
        <v/>
      </c>
    </row>
    <row r="1328">
      <c r="BN1328">
        <f>IF(1315&lt;$U$9,INT(1315/($U$7*$U$8))+1,1)</f>
        <v/>
      </c>
      <c r="BO1328">
        <f>IF(1315&lt;$U$9,MOD(INT(1315/$U$8),$U$7)+1,1)</f>
        <v/>
      </c>
      <c r="BP1328">
        <f>IF(1315&lt;$U$9,MOD(1315,$U$8)+1,1)</f>
        <v/>
      </c>
      <c r="BQ1328">
        <f>IF(1315&lt;$U$9,SUMPRODUCT(($D$10:$L$10&lt;&gt;"")*(($D$9:$L$9+INT(($S$12:$AA$12+INDEX($AJ$13:$AR$162,BN1328,0)+INDEX($AT$13:$BB$162,BO1328,0)+INDEX($BD$13:$BL$162,BP1328,0))/100))&gt;=$D$10:$L$10)),0)</f>
        <v/>
      </c>
      <c r="BR1328">
        <f>IF(1315&lt;$U$9,SUMPRODUCT(($D$10:$L$10&lt;&gt;"")*(($D$10:$L$10-($D$9:$L$9+INT(($S$12:$AA$12+INDEX($AJ$13:$AR$162,BN1328,0)+INDEX($AT$13:$BB$162,BO1328,0)+INDEX($BD$13:$BL$162,BP1328,0))/100)))&gt;0)*($D$10:$L$10-($D$9:$L$9+INT(($S$12:$AA$12+INDEX($AJ$13:$AR$162,BN1328,0)+INDEX($AT$13:$BB$162,BO1328,0)+INDEX($BD$13:$BL$162,BP1328,0))/100)))),0)</f>
        <v/>
      </c>
      <c r="BS1328">
        <f>IF(1315&lt;$U$9,SUMPRODUCT(($D$9:$L$9+INT(($S$12:$AA$12+INDEX($AJ$13:$AR$162,BN1328,0)+INDEX($AT$13:$BB$162,BO1328,0)+INDEX($BD$13:$BL$162,BP1328,0))/100))),0)</f>
        <v/>
      </c>
      <c r="BT1328">
        <f>IF(AND(1315&lt;$U$9,$W$5),BQ1328*1000000-MIN(BR1328,999)*1000+BS1328-1315/100000,-1000000000-1315)</f>
        <v/>
      </c>
    </row>
    <row r="1329">
      <c r="BN1329">
        <f>IF(1316&lt;$U$9,INT(1316/($U$7*$U$8))+1,1)</f>
        <v/>
      </c>
      <c r="BO1329">
        <f>IF(1316&lt;$U$9,MOD(INT(1316/$U$8),$U$7)+1,1)</f>
        <v/>
      </c>
      <c r="BP1329">
        <f>IF(1316&lt;$U$9,MOD(1316,$U$8)+1,1)</f>
        <v/>
      </c>
      <c r="BQ1329">
        <f>IF(1316&lt;$U$9,SUMPRODUCT(($D$10:$L$10&lt;&gt;"")*(($D$9:$L$9+INT(($S$12:$AA$12+INDEX($AJ$13:$AR$162,BN1329,0)+INDEX($AT$13:$BB$162,BO1329,0)+INDEX($BD$13:$BL$162,BP1329,0))/100))&gt;=$D$10:$L$10)),0)</f>
        <v/>
      </c>
      <c r="BR1329">
        <f>IF(1316&lt;$U$9,SUMPRODUCT(($D$10:$L$10&lt;&gt;"")*(($D$10:$L$10-($D$9:$L$9+INT(($S$12:$AA$12+INDEX($AJ$13:$AR$162,BN1329,0)+INDEX($AT$13:$BB$162,BO1329,0)+INDEX($BD$13:$BL$162,BP1329,0))/100)))&gt;0)*($D$10:$L$10-($D$9:$L$9+INT(($S$12:$AA$12+INDEX($AJ$13:$AR$162,BN1329,0)+INDEX($AT$13:$BB$162,BO1329,0)+INDEX($BD$13:$BL$162,BP1329,0))/100)))),0)</f>
        <v/>
      </c>
      <c r="BS1329">
        <f>IF(1316&lt;$U$9,SUMPRODUCT(($D$9:$L$9+INT(($S$12:$AA$12+INDEX($AJ$13:$AR$162,BN1329,0)+INDEX($AT$13:$BB$162,BO1329,0)+INDEX($BD$13:$BL$162,BP1329,0))/100))),0)</f>
        <v/>
      </c>
      <c r="BT1329">
        <f>IF(AND(1316&lt;$U$9,$W$5),BQ1329*1000000-MIN(BR1329,999)*1000+BS1329-1316/100000,-1000000000-1316)</f>
        <v/>
      </c>
    </row>
    <row r="1330">
      <c r="BN1330">
        <f>IF(1317&lt;$U$9,INT(1317/($U$7*$U$8))+1,1)</f>
        <v/>
      </c>
      <c r="BO1330">
        <f>IF(1317&lt;$U$9,MOD(INT(1317/$U$8),$U$7)+1,1)</f>
        <v/>
      </c>
      <c r="BP1330">
        <f>IF(1317&lt;$U$9,MOD(1317,$U$8)+1,1)</f>
        <v/>
      </c>
      <c r="BQ1330">
        <f>IF(1317&lt;$U$9,SUMPRODUCT(($D$10:$L$10&lt;&gt;"")*(($D$9:$L$9+INT(($S$12:$AA$12+INDEX($AJ$13:$AR$162,BN1330,0)+INDEX($AT$13:$BB$162,BO1330,0)+INDEX($BD$13:$BL$162,BP1330,0))/100))&gt;=$D$10:$L$10)),0)</f>
        <v/>
      </c>
      <c r="BR1330">
        <f>IF(1317&lt;$U$9,SUMPRODUCT(($D$10:$L$10&lt;&gt;"")*(($D$10:$L$10-($D$9:$L$9+INT(($S$12:$AA$12+INDEX($AJ$13:$AR$162,BN1330,0)+INDEX($AT$13:$BB$162,BO1330,0)+INDEX($BD$13:$BL$162,BP1330,0))/100)))&gt;0)*($D$10:$L$10-($D$9:$L$9+INT(($S$12:$AA$12+INDEX($AJ$13:$AR$162,BN1330,0)+INDEX($AT$13:$BB$162,BO1330,0)+INDEX($BD$13:$BL$162,BP1330,0))/100)))),0)</f>
        <v/>
      </c>
      <c r="BS1330">
        <f>IF(1317&lt;$U$9,SUMPRODUCT(($D$9:$L$9+INT(($S$12:$AA$12+INDEX($AJ$13:$AR$162,BN1330,0)+INDEX($AT$13:$BB$162,BO1330,0)+INDEX($BD$13:$BL$162,BP1330,0))/100))),0)</f>
        <v/>
      </c>
      <c r="BT1330">
        <f>IF(AND(1317&lt;$U$9,$W$5),BQ1330*1000000-MIN(BR1330,999)*1000+BS1330-1317/100000,-1000000000-1317)</f>
        <v/>
      </c>
    </row>
    <row r="1331">
      <c r="BN1331">
        <f>IF(1318&lt;$U$9,INT(1318/($U$7*$U$8))+1,1)</f>
        <v/>
      </c>
      <c r="BO1331">
        <f>IF(1318&lt;$U$9,MOD(INT(1318/$U$8),$U$7)+1,1)</f>
        <v/>
      </c>
      <c r="BP1331">
        <f>IF(1318&lt;$U$9,MOD(1318,$U$8)+1,1)</f>
        <v/>
      </c>
      <c r="BQ1331">
        <f>IF(1318&lt;$U$9,SUMPRODUCT(($D$10:$L$10&lt;&gt;"")*(($D$9:$L$9+INT(($S$12:$AA$12+INDEX($AJ$13:$AR$162,BN1331,0)+INDEX($AT$13:$BB$162,BO1331,0)+INDEX($BD$13:$BL$162,BP1331,0))/100))&gt;=$D$10:$L$10)),0)</f>
        <v/>
      </c>
      <c r="BR1331">
        <f>IF(1318&lt;$U$9,SUMPRODUCT(($D$10:$L$10&lt;&gt;"")*(($D$10:$L$10-($D$9:$L$9+INT(($S$12:$AA$12+INDEX($AJ$13:$AR$162,BN1331,0)+INDEX($AT$13:$BB$162,BO1331,0)+INDEX($BD$13:$BL$162,BP1331,0))/100)))&gt;0)*($D$10:$L$10-($D$9:$L$9+INT(($S$12:$AA$12+INDEX($AJ$13:$AR$162,BN1331,0)+INDEX($AT$13:$BB$162,BO1331,0)+INDEX($BD$13:$BL$162,BP1331,0))/100)))),0)</f>
        <v/>
      </c>
      <c r="BS1331">
        <f>IF(1318&lt;$U$9,SUMPRODUCT(($D$9:$L$9+INT(($S$12:$AA$12+INDEX($AJ$13:$AR$162,BN1331,0)+INDEX($AT$13:$BB$162,BO1331,0)+INDEX($BD$13:$BL$162,BP1331,0))/100))),0)</f>
        <v/>
      </c>
      <c r="BT1331">
        <f>IF(AND(1318&lt;$U$9,$W$5),BQ1331*1000000-MIN(BR1331,999)*1000+BS1331-1318/100000,-1000000000-1318)</f>
        <v/>
      </c>
    </row>
    <row r="1332">
      <c r="BN1332">
        <f>IF(1319&lt;$U$9,INT(1319/($U$7*$U$8))+1,1)</f>
        <v/>
      </c>
      <c r="BO1332">
        <f>IF(1319&lt;$U$9,MOD(INT(1319/$U$8),$U$7)+1,1)</f>
        <v/>
      </c>
      <c r="BP1332">
        <f>IF(1319&lt;$U$9,MOD(1319,$U$8)+1,1)</f>
        <v/>
      </c>
      <c r="BQ1332">
        <f>IF(1319&lt;$U$9,SUMPRODUCT(($D$10:$L$10&lt;&gt;"")*(($D$9:$L$9+INT(($S$12:$AA$12+INDEX($AJ$13:$AR$162,BN1332,0)+INDEX($AT$13:$BB$162,BO1332,0)+INDEX($BD$13:$BL$162,BP1332,0))/100))&gt;=$D$10:$L$10)),0)</f>
        <v/>
      </c>
      <c r="BR1332">
        <f>IF(1319&lt;$U$9,SUMPRODUCT(($D$10:$L$10&lt;&gt;"")*(($D$10:$L$10-($D$9:$L$9+INT(($S$12:$AA$12+INDEX($AJ$13:$AR$162,BN1332,0)+INDEX($AT$13:$BB$162,BO1332,0)+INDEX($BD$13:$BL$162,BP1332,0))/100)))&gt;0)*($D$10:$L$10-($D$9:$L$9+INT(($S$12:$AA$12+INDEX($AJ$13:$AR$162,BN1332,0)+INDEX($AT$13:$BB$162,BO1332,0)+INDEX($BD$13:$BL$162,BP1332,0))/100)))),0)</f>
        <v/>
      </c>
      <c r="BS1332">
        <f>IF(1319&lt;$U$9,SUMPRODUCT(($D$9:$L$9+INT(($S$12:$AA$12+INDEX($AJ$13:$AR$162,BN1332,0)+INDEX($AT$13:$BB$162,BO1332,0)+INDEX($BD$13:$BL$162,BP1332,0))/100))),0)</f>
        <v/>
      </c>
      <c r="BT1332">
        <f>IF(AND(1319&lt;$U$9,$W$5),BQ1332*1000000-MIN(BR1332,999)*1000+BS1332-1319/100000,-1000000000-1319)</f>
        <v/>
      </c>
    </row>
    <row r="1333">
      <c r="BN1333">
        <f>IF(1320&lt;$U$9,INT(1320/($U$7*$U$8))+1,1)</f>
        <v/>
      </c>
      <c r="BO1333">
        <f>IF(1320&lt;$U$9,MOD(INT(1320/$U$8),$U$7)+1,1)</f>
        <v/>
      </c>
      <c r="BP1333">
        <f>IF(1320&lt;$U$9,MOD(1320,$U$8)+1,1)</f>
        <v/>
      </c>
      <c r="BQ1333">
        <f>IF(1320&lt;$U$9,SUMPRODUCT(($D$10:$L$10&lt;&gt;"")*(($D$9:$L$9+INT(($S$12:$AA$12+INDEX($AJ$13:$AR$162,BN1333,0)+INDEX($AT$13:$BB$162,BO1333,0)+INDEX($BD$13:$BL$162,BP1333,0))/100))&gt;=$D$10:$L$10)),0)</f>
        <v/>
      </c>
      <c r="BR1333">
        <f>IF(1320&lt;$U$9,SUMPRODUCT(($D$10:$L$10&lt;&gt;"")*(($D$10:$L$10-($D$9:$L$9+INT(($S$12:$AA$12+INDEX($AJ$13:$AR$162,BN1333,0)+INDEX($AT$13:$BB$162,BO1333,0)+INDEX($BD$13:$BL$162,BP1333,0))/100)))&gt;0)*($D$10:$L$10-($D$9:$L$9+INT(($S$12:$AA$12+INDEX($AJ$13:$AR$162,BN1333,0)+INDEX($AT$13:$BB$162,BO1333,0)+INDEX($BD$13:$BL$162,BP1333,0))/100)))),0)</f>
        <v/>
      </c>
      <c r="BS1333">
        <f>IF(1320&lt;$U$9,SUMPRODUCT(($D$9:$L$9+INT(($S$12:$AA$12+INDEX($AJ$13:$AR$162,BN1333,0)+INDEX($AT$13:$BB$162,BO1333,0)+INDEX($BD$13:$BL$162,BP1333,0))/100))),0)</f>
        <v/>
      </c>
      <c r="BT1333">
        <f>IF(AND(1320&lt;$U$9,$W$5),BQ1333*1000000-MIN(BR1333,999)*1000+BS1333-1320/100000,-1000000000-1320)</f>
        <v/>
      </c>
    </row>
    <row r="1334">
      <c r="BN1334">
        <f>IF(1321&lt;$U$9,INT(1321/($U$7*$U$8))+1,1)</f>
        <v/>
      </c>
      <c r="BO1334">
        <f>IF(1321&lt;$U$9,MOD(INT(1321/$U$8),$U$7)+1,1)</f>
        <v/>
      </c>
      <c r="BP1334">
        <f>IF(1321&lt;$U$9,MOD(1321,$U$8)+1,1)</f>
        <v/>
      </c>
      <c r="BQ1334">
        <f>IF(1321&lt;$U$9,SUMPRODUCT(($D$10:$L$10&lt;&gt;"")*(($D$9:$L$9+INT(($S$12:$AA$12+INDEX($AJ$13:$AR$162,BN1334,0)+INDEX($AT$13:$BB$162,BO1334,0)+INDEX($BD$13:$BL$162,BP1334,0))/100))&gt;=$D$10:$L$10)),0)</f>
        <v/>
      </c>
      <c r="BR1334">
        <f>IF(1321&lt;$U$9,SUMPRODUCT(($D$10:$L$10&lt;&gt;"")*(($D$10:$L$10-($D$9:$L$9+INT(($S$12:$AA$12+INDEX($AJ$13:$AR$162,BN1334,0)+INDEX($AT$13:$BB$162,BO1334,0)+INDEX($BD$13:$BL$162,BP1334,0))/100)))&gt;0)*($D$10:$L$10-($D$9:$L$9+INT(($S$12:$AA$12+INDEX($AJ$13:$AR$162,BN1334,0)+INDEX($AT$13:$BB$162,BO1334,0)+INDEX($BD$13:$BL$162,BP1334,0))/100)))),0)</f>
        <v/>
      </c>
      <c r="BS1334">
        <f>IF(1321&lt;$U$9,SUMPRODUCT(($D$9:$L$9+INT(($S$12:$AA$12+INDEX($AJ$13:$AR$162,BN1334,0)+INDEX($AT$13:$BB$162,BO1334,0)+INDEX($BD$13:$BL$162,BP1334,0))/100))),0)</f>
        <v/>
      </c>
      <c r="BT1334">
        <f>IF(AND(1321&lt;$U$9,$W$5),BQ1334*1000000-MIN(BR1334,999)*1000+BS1334-1321/100000,-1000000000-1321)</f>
        <v/>
      </c>
    </row>
    <row r="1335">
      <c r="BN1335">
        <f>IF(1322&lt;$U$9,INT(1322/($U$7*$U$8))+1,1)</f>
        <v/>
      </c>
      <c r="BO1335">
        <f>IF(1322&lt;$U$9,MOD(INT(1322/$U$8),$U$7)+1,1)</f>
        <v/>
      </c>
      <c r="BP1335">
        <f>IF(1322&lt;$U$9,MOD(1322,$U$8)+1,1)</f>
        <v/>
      </c>
      <c r="BQ1335">
        <f>IF(1322&lt;$U$9,SUMPRODUCT(($D$10:$L$10&lt;&gt;"")*(($D$9:$L$9+INT(($S$12:$AA$12+INDEX($AJ$13:$AR$162,BN1335,0)+INDEX($AT$13:$BB$162,BO1335,0)+INDEX($BD$13:$BL$162,BP1335,0))/100))&gt;=$D$10:$L$10)),0)</f>
        <v/>
      </c>
      <c r="BR1335">
        <f>IF(1322&lt;$U$9,SUMPRODUCT(($D$10:$L$10&lt;&gt;"")*(($D$10:$L$10-($D$9:$L$9+INT(($S$12:$AA$12+INDEX($AJ$13:$AR$162,BN1335,0)+INDEX($AT$13:$BB$162,BO1335,0)+INDEX($BD$13:$BL$162,BP1335,0))/100)))&gt;0)*($D$10:$L$10-($D$9:$L$9+INT(($S$12:$AA$12+INDEX($AJ$13:$AR$162,BN1335,0)+INDEX($AT$13:$BB$162,BO1335,0)+INDEX($BD$13:$BL$162,BP1335,0))/100)))),0)</f>
        <v/>
      </c>
      <c r="BS1335">
        <f>IF(1322&lt;$U$9,SUMPRODUCT(($D$9:$L$9+INT(($S$12:$AA$12+INDEX($AJ$13:$AR$162,BN1335,0)+INDEX($AT$13:$BB$162,BO1335,0)+INDEX($BD$13:$BL$162,BP1335,0))/100))),0)</f>
        <v/>
      </c>
      <c r="BT1335">
        <f>IF(AND(1322&lt;$U$9,$W$5),BQ1335*1000000-MIN(BR1335,999)*1000+BS1335-1322/100000,-1000000000-1322)</f>
        <v/>
      </c>
    </row>
    <row r="1336">
      <c r="BN1336">
        <f>IF(1323&lt;$U$9,INT(1323/($U$7*$U$8))+1,1)</f>
        <v/>
      </c>
      <c r="BO1336">
        <f>IF(1323&lt;$U$9,MOD(INT(1323/$U$8),$U$7)+1,1)</f>
        <v/>
      </c>
      <c r="BP1336">
        <f>IF(1323&lt;$U$9,MOD(1323,$U$8)+1,1)</f>
        <v/>
      </c>
      <c r="BQ1336">
        <f>IF(1323&lt;$U$9,SUMPRODUCT(($D$10:$L$10&lt;&gt;"")*(($D$9:$L$9+INT(($S$12:$AA$12+INDEX($AJ$13:$AR$162,BN1336,0)+INDEX($AT$13:$BB$162,BO1336,0)+INDEX($BD$13:$BL$162,BP1336,0))/100))&gt;=$D$10:$L$10)),0)</f>
        <v/>
      </c>
      <c r="BR1336">
        <f>IF(1323&lt;$U$9,SUMPRODUCT(($D$10:$L$10&lt;&gt;"")*(($D$10:$L$10-($D$9:$L$9+INT(($S$12:$AA$12+INDEX($AJ$13:$AR$162,BN1336,0)+INDEX($AT$13:$BB$162,BO1336,0)+INDEX($BD$13:$BL$162,BP1336,0))/100)))&gt;0)*($D$10:$L$10-($D$9:$L$9+INT(($S$12:$AA$12+INDEX($AJ$13:$AR$162,BN1336,0)+INDEX($AT$13:$BB$162,BO1336,0)+INDEX($BD$13:$BL$162,BP1336,0))/100)))),0)</f>
        <v/>
      </c>
      <c r="BS1336">
        <f>IF(1323&lt;$U$9,SUMPRODUCT(($D$9:$L$9+INT(($S$12:$AA$12+INDEX($AJ$13:$AR$162,BN1336,0)+INDEX($AT$13:$BB$162,BO1336,0)+INDEX($BD$13:$BL$162,BP1336,0))/100))),0)</f>
        <v/>
      </c>
      <c r="BT1336">
        <f>IF(AND(1323&lt;$U$9,$W$5),BQ1336*1000000-MIN(BR1336,999)*1000+BS1336-1323/100000,-1000000000-1323)</f>
        <v/>
      </c>
    </row>
    <row r="1337">
      <c r="BN1337">
        <f>IF(1324&lt;$U$9,INT(1324/($U$7*$U$8))+1,1)</f>
        <v/>
      </c>
      <c r="BO1337">
        <f>IF(1324&lt;$U$9,MOD(INT(1324/$U$8),$U$7)+1,1)</f>
        <v/>
      </c>
      <c r="BP1337">
        <f>IF(1324&lt;$U$9,MOD(1324,$U$8)+1,1)</f>
        <v/>
      </c>
      <c r="BQ1337">
        <f>IF(1324&lt;$U$9,SUMPRODUCT(($D$10:$L$10&lt;&gt;"")*(($D$9:$L$9+INT(($S$12:$AA$12+INDEX($AJ$13:$AR$162,BN1337,0)+INDEX($AT$13:$BB$162,BO1337,0)+INDEX($BD$13:$BL$162,BP1337,0))/100))&gt;=$D$10:$L$10)),0)</f>
        <v/>
      </c>
      <c r="BR1337">
        <f>IF(1324&lt;$U$9,SUMPRODUCT(($D$10:$L$10&lt;&gt;"")*(($D$10:$L$10-($D$9:$L$9+INT(($S$12:$AA$12+INDEX($AJ$13:$AR$162,BN1337,0)+INDEX($AT$13:$BB$162,BO1337,0)+INDEX($BD$13:$BL$162,BP1337,0))/100)))&gt;0)*($D$10:$L$10-($D$9:$L$9+INT(($S$12:$AA$12+INDEX($AJ$13:$AR$162,BN1337,0)+INDEX($AT$13:$BB$162,BO1337,0)+INDEX($BD$13:$BL$162,BP1337,0))/100)))),0)</f>
        <v/>
      </c>
      <c r="BS1337">
        <f>IF(1324&lt;$U$9,SUMPRODUCT(($D$9:$L$9+INT(($S$12:$AA$12+INDEX($AJ$13:$AR$162,BN1337,0)+INDEX($AT$13:$BB$162,BO1337,0)+INDEX($BD$13:$BL$162,BP1337,0))/100))),0)</f>
        <v/>
      </c>
      <c r="BT1337">
        <f>IF(AND(1324&lt;$U$9,$W$5),BQ1337*1000000-MIN(BR1337,999)*1000+BS1337-1324/100000,-1000000000-1324)</f>
        <v/>
      </c>
    </row>
    <row r="1338">
      <c r="BN1338">
        <f>IF(1325&lt;$U$9,INT(1325/($U$7*$U$8))+1,1)</f>
        <v/>
      </c>
      <c r="BO1338">
        <f>IF(1325&lt;$U$9,MOD(INT(1325/$U$8),$U$7)+1,1)</f>
        <v/>
      </c>
      <c r="BP1338">
        <f>IF(1325&lt;$U$9,MOD(1325,$U$8)+1,1)</f>
        <v/>
      </c>
      <c r="BQ1338">
        <f>IF(1325&lt;$U$9,SUMPRODUCT(($D$10:$L$10&lt;&gt;"")*(($D$9:$L$9+INT(($S$12:$AA$12+INDEX($AJ$13:$AR$162,BN1338,0)+INDEX($AT$13:$BB$162,BO1338,0)+INDEX($BD$13:$BL$162,BP1338,0))/100))&gt;=$D$10:$L$10)),0)</f>
        <v/>
      </c>
      <c r="BR1338">
        <f>IF(1325&lt;$U$9,SUMPRODUCT(($D$10:$L$10&lt;&gt;"")*(($D$10:$L$10-($D$9:$L$9+INT(($S$12:$AA$12+INDEX($AJ$13:$AR$162,BN1338,0)+INDEX($AT$13:$BB$162,BO1338,0)+INDEX($BD$13:$BL$162,BP1338,0))/100)))&gt;0)*($D$10:$L$10-($D$9:$L$9+INT(($S$12:$AA$12+INDEX($AJ$13:$AR$162,BN1338,0)+INDEX($AT$13:$BB$162,BO1338,0)+INDEX($BD$13:$BL$162,BP1338,0))/100)))),0)</f>
        <v/>
      </c>
      <c r="BS1338">
        <f>IF(1325&lt;$U$9,SUMPRODUCT(($D$9:$L$9+INT(($S$12:$AA$12+INDEX($AJ$13:$AR$162,BN1338,0)+INDEX($AT$13:$BB$162,BO1338,0)+INDEX($BD$13:$BL$162,BP1338,0))/100))),0)</f>
        <v/>
      </c>
      <c r="BT1338">
        <f>IF(AND(1325&lt;$U$9,$W$5),BQ1338*1000000-MIN(BR1338,999)*1000+BS1338-1325/100000,-1000000000-1325)</f>
        <v/>
      </c>
    </row>
    <row r="1339">
      <c r="BN1339">
        <f>IF(1326&lt;$U$9,INT(1326/($U$7*$U$8))+1,1)</f>
        <v/>
      </c>
      <c r="BO1339">
        <f>IF(1326&lt;$U$9,MOD(INT(1326/$U$8),$U$7)+1,1)</f>
        <v/>
      </c>
      <c r="BP1339">
        <f>IF(1326&lt;$U$9,MOD(1326,$U$8)+1,1)</f>
        <v/>
      </c>
      <c r="BQ1339">
        <f>IF(1326&lt;$U$9,SUMPRODUCT(($D$10:$L$10&lt;&gt;"")*(($D$9:$L$9+INT(($S$12:$AA$12+INDEX($AJ$13:$AR$162,BN1339,0)+INDEX($AT$13:$BB$162,BO1339,0)+INDEX($BD$13:$BL$162,BP1339,0))/100))&gt;=$D$10:$L$10)),0)</f>
        <v/>
      </c>
      <c r="BR1339">
        <f>IF(1326&lt;$U$9,SUMPRODUCT(($D$10:$L$10&lt;&gt;"")*(($D$10:$L$10-($D$9:$L$9+INT(($S$12:$AA$12+INDEX($AJ$13:$AR$162,BN1339,0)+INDEX($AT$13:$BB$162,BO1339,0)+INDEX($BD$13:$BL$162,BP1339,0))/100)))&gt;0)*($D$10:$L$10-($D$9:$L$9+INT(($S$12:$AA$12+INDEX($AJ$13:$AR$162,BN1339,0)+INDEX($AT$13:$BB$162,BO1339,0)+INDEX($BD$13:$BL$162,BP1339,0))/100)))),0)</f>
        <v/>
      </c>
      <c r="BS1339">
        <f>IF(1326&lt;$U$9,SUMPRODUCT(($D$9:$L$9+INT(($S$12:$AA$12+INDEX($AJ$13:$AR$162,BN1339,0)+INDEX($AT$13:$BB$162,BO1339,0)+INDEX($BD$13:$BL$162,BP1339,0))/100))),0)</f>
        <v/>
      </c>
      <c r="BT1339">
        <f>IF(AND(1326&lt;$U$9,$W$5),BQ1339*1000000-MIN(BR1339,999)*1000+BS1339-1326/100000,-1000000000-1326)</f>
        <v/>
      </c>
    </row>
    <row r="1340">
      <c r="BN1340">
        <f>IF(1327&lt;$U$9,INT(1327/($U$7*$U$8))+1,1)</f>
        <v/>
      </c>
      <c r="BO1340">
        <f>IF(1327&lt;$U$9,MOD(INT(1327/$U$8),$U$7)+1,1)</f>
        <v/>
      </c>
      <c r="BP1340">
        <f>IF(1327&lt;$U$9,MOD(1327,$U$8)+1,1)</f>
        <v/>
      </c>
      <c r="BQ1340">
        <f>IF(1327&lt;$U$9,SUMPRODUCT(($D$10:$L$10&lt;&gt;"")*(($D$9:$L$9+INT(($S$12:$AA$12+INDEX($AJ$13:$AR$162,BN1340,0)+INDEX($AT$13:$BB$162,BO1340,0)+INDEX($BD$13:$BL$162,BP1340,0))/100))&gt;=$D$10:$L$10)),0)</f>
        <v/>
      </c>
      <c r="BR1340">
        <f>IF(1327&lt;$U$9,SUMPRODUCT(($D$10:$L$10&lt;&gt;"")*(($D$10:$L$10-($D$9:$L$9+INT(($S$12:$AA$12+INDEX($AJ$13:$AR$162,BN1340,0)+INDEX($AT$13:$BB$162,BO1340,0)+INDEX($BD$13:$BL$162,BP1340,0))/100)))&gt;0)*($D$10:$L$10-($D$9:$L$9+INT(($S$12:$AA$12+INDEX($AJ$13:$AR$162,BN1340,0)+INDEX($AT$13:$BB$162,BO1340,0)+INDEX($BD$13:$BL$162,BP1340,0))/100)))),0)</f>
        <v/>
      </c>
      <c r="BS1340">
        <f>IF(1327&lt;$U$9,SUMPRODUCT(($D$9:$L$9+INT(($S$12:$AA$12+INDEX($AJ$13:$AR$162,BN1340,0)+INDEX($AT$13:$BB$162,BO1340,0)+INDEX($BD$13:$BL$162,BP1340,0))/100))),0)</f>
        <v/>
      </c>
      <c r="BT1340">
        <f>IF(AND(1327&lt;$U$9,$W$5),BQ1340*1000000-MIN(BR1340,999)*1000+BS1340-1327/100000,-1000000000-1327)</f>
        <v/>
      </c>
    </row>
    <row r="1341">
      <c r="BN1341">
        <f>IF(1328&lt;$U$9,INT(1328/($U$7*$U$8))+1,1)</f>
        <v/>
      </c>
      <c r="BO1341">
        <f>IF(1328&lt;$U$9,MOD(INT(1328/$U$8),$U$7)+1,1)</f>
        <v/>
      </c>
      <c r="BP1341">
        <f>IF(1328&lt;$U$9,MOD(1328,$U$8)+1,1)</f>
        <v/>
      </c>
      <c r="BQ1341">
        <f>IF(1328&lt;$U$9,SUMPRODUCT(($D$10:$L$10&lt;&gt;"")*(($D$9:$L$9+INT(($S$12:$AA$12+INDEX($AJ$13:$AR$162,BN1341,0)+INDEX($AT$13:$BB$162,BO1341,0)+INDEX($BD$13:$BL$162,BP1341,0))/100))&gt;=$D$10:$L$10)),0)</f>
        <v/>
      </c>
      <c r="BR1341">
        <f>IF(1328&lt;$U$9,SUMPRODUCT(($D$10:$L$10&lt;&gt;"")*(($D$10:$L$10-($D$9:$L$9+INT(($S$12:$AA$12+INDEX($AJ$13:$AR$162,BN1341,0)+INDEX($AT$13:$BB$162,BO1341,0)+INDEX($BD$13:$BL$162,BP1341,0))/100)))&gt;0)*($D$10:$L$10-($D$9:$L$9+INT(($S$12:$AA$12+INDEX($AJ$13:$AR$162,BN1341,0)+INDEX($AT$13:$BB$162,BO1341,0)+INDEX($BD$13:$BL$162,BP1341,0))/100)))),0)</f>
        <v/>
      </c>
      <c r="BS1341">
        <f>IF(1328&lt;$U$9,SUMPRODUCT(($D$9:$L$9+INT(($S$12:$AA$12+INDEX($AJ$13:$AR$162,BN1341,0)+INDEX($AT$13:$BB$162,BO1341,0)+INDEX($BD$13:$BL$162,BP1341,0))/100))),0)</f>
        <v/>
      </c>
      <c r="BT1341">
        <f>IF(AND(1328&lt;$U$9,$W$5),BQ1341*1000000-MIN(BR1341,999)*1000+BS1341-1328/100000,-1000000000-1328)</f>
        <v/>
      </c>
    </row>
    <row r="1342">
      <c r="BN1342">
        <f>IF(1329&lt;$U$9,INT(1329/($U$7*$U$8))+1,1)</f>
        <v/>
      </c>
      <c r="BO1342">
        <f>IF(1329&lt;$U$9,MOD(INT(1329/$U$8),$U$7)+1,1)</f>
        <v/>
      </c>
      <c r="BP1342">
        <f>IF(1329&lt;$U$9,MOD(1329,$U$8)+1,1)</f>
        <v/>
      </c>
      <c r="BQ1342">
        <f>IF(1329&lt;$U$9,SUMPRODUCT(($D$10:$L$10&lt;&gt;"")*(($D$9:$L$9+INT(($S$12:$AA$12+INDEX($AJ$13:$AR$162,BN1342,0)+INDEX($AT$13:$BB$162,BO1342,0)+INDEX($BD$13:$BL$162,BP1342,0))/100))&gt;=$D$10:$L$10)),0)</f>
        <v/>
      </c>
      <c r="BR1342">
        <f>IF(1329&lt;$U$9,SUMPRODUCT(($D$10:$L$10&lt;&gt;"")*(($D$10:$L$10-($D$9:$L$9+INT(($S$12:$AA$12+INDEX($AJ$13:$AR$162,BN1342,0)+INDEX($AT$13:$BB$162,BO1342,0)+INDEX($BD$13:$BL$162,BP1342,0))/100)))&gt;0)*($D$10:$L$10-($D$9:$L$9+INT(($S$12:$AA$12+INDEX($AJ$13:$AR$162,BN1342,0)+INDEX($AT$13:$BB$162,BO1342,0)+INDEX($BD$13:$BL$162,BP1342,0))/100)))),0)</f>
        <v/>
      </c>
      <c r="BS1342">
        <f>IF(1329&lt;$U$9,SUMPRODUCT(($D$9:$L$9+INT(($S$12:$AA$12+INDEX($AJ$13:$AR$162,BN1342,0)+INDEX($AT$13:$BB$162,BO1342,0)+INDEX($BD$13:$BL$162,BP1342,0))/100))),0)</f>
        <v/>
      </c>
      <c r="BT1342">
        <f>IF(AND(1329&lt;$U$9,$W$5),BQ1342*1000000-MIN(BR1342,999)*1000+BS1342-1329/100000,-1000000000-1329)</f>
        <v/>
      </c>
    </row>
    <row r="1343">
      <c r="BN1343">
        <f>IF(1330&lt;$U$9,INT(1330/($U$7*$U$8))+1,1)</f>
        <v/>
      </c>
      <c r="BO1343">
        <f>IF(1330&lt;$U$9,MOD(INT(1330/$U$8),$U$7)+1,1)</f>
        <v/>
      </c>
      <c r="BP1343">
        <f>IF(1330&lt;$U$9,MOD(1330,$U$8)+1,1)</f>
        <v/>
      </c>
      <c r="BQ1343">
        <f>IF(1330&lt;$U$9,SUMPRODUCT(($D$10:$L$10&lt;&gt;"")*(($D$9:$L$9+INT(($S$12:$AA$12+INDEX($AJ$13:$AR$162,BN1343,0)+INDEX($AT$13:$BB$162,BO1343,0)+INDEX($BD$13:$BL$162,BP1343,0))/100))&gt;=$D$10:$L$10)),0)</f>
        <v/>
      </c>
      <c r="BR1343">
        <f>IF(1330&lt;$U$9,SUMPRODUCT(($D$10:$L$10&lt;&gt;"")*(($D$10:$L$10-($D$9:$L$9+INT(($S$12:$AA$12+INDEX($AJ$13:$AR$162,BN1343,0)+INDEX($AT$13:$BB$162,BO1343,0)+INDEX($BD$13:$BL$162,BP1343,0))/100)))&gt;0)*($D$10:$L$10-($D$9:$L$9+INT(($S$12:$AA$12+INDEX($AJ$13:$AR$162,BN1343,0)+INDEX($AT$13:$BB$162,BO1343,0)+INDEX($BD$13:$BL$162,BP1343,0))/100)))),0)</f>
        <v/>
      </c>
      <c r="BS1343">
        <f>IF(1330&lt;$U$9,SUMPRODUCT(($D$9:$L$9+INT(($S$12:$AA$12+INDEX($AJ$13:$AR$162,BN1343,0)+INDEX($AT$13:$BB$162,BO1343,0)+INDEX($BD$13:$BL$162,BP1343,0))/100))),0)</f>
        <v/>
      </c>
      <c r="BT1343">
        <f>IF(AND(1330&lt;$U$9,$W$5),BQ1343*1000000-MIN(BR1343,999)*1000+BS1343-1330/100000,-1000000000-1330)</f>
        <v/>
      </c>
    </row>
    <row r="1344">
      <c r="BN1344">
        <f>IF(1331&lt;$U$9,INT(1331/($U$7*$U$8))+1,1)</f>
        <v/>
      </c>
      <c r="BO1344">
        <f>IF(1331&lt;$U$9,MOD(INT(1331/$U$8),$U$7)+1,1)</f>
        <v/>
      </c>
      <c r="BP1344">
        <f>IF(1331&lt;$U$9,MOD(1331,$U$8)+1,1)</f>
        <v/>
      </c>
      <c r="BQ1344">
        <f>IF(1331&lt;$U$9,SUMPRODUCT(($D$10:$L$10&lt;&gt;"")*(($D$9:$L$9+INT(($S$12:$AA$12+INDEX($AJ$13:$AR$162,BN1344,0)+INDEX($AT$13:$BB$162,BO1344,0)+INDEX($BD$13:$BL$162,BP1344,0))/100))&gt;=$D$10:$L$10)),0)</f>
        <v/>
      </c>
      <c r="BR1344">
        <f>IF(1331&lt;$U$9,SUMPRODUCT(($D$10:$L$10&lt;&gt;"")*(($D$10:$L$10-($D$9:$L$9+INT(($S$12:$AA$12+INDEX($AJ$13:$AR$162,BN1344,0)+INDEX($AT$13:$BB$162,BO1344,0)+INDEX($BD$13:$BL$162,BP1344,0))/100)))&gt;0)*($D$10:$L$10-($D$9:$L$9+INT(($S$12:$AA$12+INDEX($AJ$13:$AR$162,BN1344,0)+INDEX($AT$13:$BB$162,BO1344,0)+INDEX($BD$13:$BL$162,BP1344,0))/100)))),0)</f>
        <v/>
      </c>
      <c r="BS1344">
        <f>IF(1331&lt;$U$9,SUMPRODUCT(($D$9:$L$9+INT(($S$12:$AA$12+INDEX($AJ$13:$AR$162,BN1344,0)+INDEX($AT$13:$BB$162,BO1344,0)+INDEX($BD$13:$BL$162,BP1344,0))/100))),0)</f>
        <v/>
      </c>
      <c r="BT1344">
        <f>IF(AND(1331&lt;$U$9,$W$5),BQ1344*1000000-MIN(BR1344,999)*1000+BS1344-1331/100000,-1000000000-1331)</f>
        <v/>
      </c>
    </row>
    <row r="1345">
      <c r="BN1345">
        <f>IF(1332&lt;$U$9,INT(1332/($U$7*$U$8))+1,1)</f>
        <v/>
      </c>
      <c r="BO1345">
        <f>IF(1332&lt;$U$9,MOD(INT(1332/$U$8),$U$7)+1,1)</f>
        <v/>
      </c>
      <c r="BP1345">
        <f>IF(1332&lt;$U$9,MOD(1332,$U$8)+1,1)</f>
        <v/>
      </c>
      <c r="BQ1345">
        <f>IF(1332&lt;$U$9,SUMPRODUCT(($D$10:$L$10&lt;&gt;"")*(($D$9:$L$9+INT(($S$12:$AA$12+INDEX($AJ$13:$AR$162,BN1345,0)+INDEX($AT$13:$BB$162,BO1345,0)+INDEX($BD$13:$BL$162,BP1345,0))/100))&gt;=$D$10:$L$10)),0)</f>
        <v/>
      </c>
      <c r="BR1345">
        <f>IF(1332&lt;$U$9,SUMPRODUCT(($D$10:$L$10&lt;&gt;"")*(($D$10:$L$10-($D$9:$L$9+INT(($S$12:$AA$12+INDEX($AJ$13:$AR$162,BN1345,0)+INDEX($AT$13:$BB$162,BO1345,0)+INDEX($BD$13:$BL$162,BP1345,0))/100)))&gt;0)*($D$10:$L$10-($D$9:$L$9+INT(($S$12:$AA$12+INDEX($AJ$13:$AR$162,BN1345,0)+INDEX($AT$13:$BB$162,BO1345,0)+INDEX($BD$13:$BL$162,BP1345,0))/100)))),0)</f>
        <v/>
      </c>
      <c r="BS1345">
        <f>IF(1332&lt;$U$9,SUMPRODUCT(($D$9:$L$9+INT(($S$12:$AA$12+INDEX($AJ$13:$AR$162,BN1345,0)+INDEX($AT$13:$BB$162,BO1345,0)+INDEX($BD$13:$BL$162,BP1345,0))/100))),0)</f>
        <v/>
      </c>
      <c r="BT1345">
        <f>IF(AND(1332&lt;$U$9,$W$5),BQ1345*1000000-MIN(BR1345,999)*1000+BS1345-1332/100000,-1000000000-1332)</f>
        <v/>
      </c>
    </row>
    <row r="1346">
      <c r="BN1346">
        <f>IF(1333&lt;$U$9,INT(1333/($U$7*$U$8))+1,1)</f>
        <v/>
      </c>
      <c r="BO1346">
        <f>IF(1333&lt;$U$9,MOD(INT(1333/$U$8),$U$7)+1,1)</f>
        <v/>
      </c>
      <c r="BP1346">
        <f>IF(1333&lt;$U$9,MOD(1333,$U$8)+1,1)</f>
        <v/>
      </c>
      <c r="BQ1346">
        <f>IF(1333&lt;$U$9,SUMPRODUCT(($D$10:$L$10&lt;&gt;"")*(($D$9:$L$9+INT(($S$12:$AA$12+INDEX($AJ$13:$AR$162,BN1346,0)+INDEX($AT$13:$BB$162,BO1346,0)+INDEX($BD$13:$BL$162,BP1346,0))/100))&gt;=$D$10:$L$10)),0)</f>
        <v/>
      </c>
      <c r="BR1346">
        <f>IF(1333&lt;$U$9,SUMPRODUCT(($D$10:$L$10&lt;&gt;"")*(($D$10:$L$10-($D$9:$L$9+INT(($S$12:$AA$12+INDEX($AJ$13:$AR$162,BN1346,0)+INDEX($AT$13:$BB$162,BO1346,0)+INDEX($BD$13:$BL$162,BP1346,0))/100)))&gt;0)*($D$10:$L$10-($D$9:$L$9+INT(($S$12:$AA$12+INDEX($AJ$13:$AR$162,BN1346,0)+INDEX($AT$13:$BB$162,BO1346,0)+INDEX($BD$13:$BL$162,BP1346,0))/100)))),0)</f>
        <v/>
      </c>
      <c r="BS1346">
        <f>IF(1333&lt;$U$9,SUMPRODUCT(($D$9:$L$9+INT(($S$12:$AA$12+INDEX($AJ$13:$AR$162,BN1346,0)+INDEX($AT$13:$BB$162,BO1346,0)+INDEX($BD$13:$BL$162,BP1346,0))/100))),0)</f>
        <v/>
      </c>
      <c r="BT1346">
        <f>IF(AND(1333&lt;$U$9,$W$5),BQ1346*1000000-MIN(BR1346,999)*1000+BS1346-1333/100000,-1000000000-1333)</f>
        <v/>
      </c>
    </row>
    <row r="1347">
      <c r="BN1347">
        <f>IF(1334&lt;$U$9,INT(1334/($U$7*$U$8))+1,1)</f>
        <v/>
      </c>
      <c r="BO1347">
        <f>IF(1334&lt;$U$9,MOD(INT(1334/$U$8),$U$7)+1,1)</f>
        <v/>
      </c>
      <c r="BP1347">
        <f>IF(1334&lt;$U$9,MOD(1334,$U$8)+1,1)</f>
        <v/>
      </c>
      <c r="BQ1347">
        <f>IF(1334&lt;$U$9,SUMPRODUCT(($D$10:$L$10&lt;&gt;"")*(($D$9:$L$9+INT(($S$12:$AA$12+INDEX($AJ$13:$AR$162,BN1347,0)+INDEX($AT$13:$BB$162,BO1347,0)+INDEX($BD$13:$BL$162,BP1347,0))/100))&gt;=$D$10:$L$10)),0)</f>
        <v/>
      </c>
      <c r="BR1347">
        <f>IF(1334&lt;$U$9,SUMPRODUCT(($D$10:$L$10&lt;&gt;"")*(($D$10:$L$10-($D$9:$L$9+INT(($S$12:$AA$12+INDEX($AJ$13:$AR$162,BN1347,0)+INDEX($AT$13:$BB$162,BO1347,0)+INDEX($BD$13:$BL$162,BP1347,0))/100)))&gt;0)*($D$10:$L$10-($D$9:$L$9+INT(($S$12:$AA$12+INDEX($AJ$13:$AR$162,BN1347,0)+INDEX($AT$13:$BB$162,BO1347,0)+INDEX($BD$13:$BL$162,BP1347,0))/100)))),0)</f>
        <v/>
      </c>
      <c r="BS1347">
        <f>IF(1334&lt;$U$9,SUMPRODUCT(($D$9:$L$9+INT(($S$12:$AA$12+INDEX($AJ$13:$AR$162,BN1347,0)+INDEX($AT$13:$BB$162,BO1347,0)+INDEX($BD$13:$BL$162,BP1347,0))/100))),0)</f>
        <v/>
      </c>
      <c r="BT1347">
        <f>IF(AND(1334&lt;$U$9,$W$5),BQ1347*1000000-MIN(BR1347,999)*1000+BS1347-1334/100000,-1000000000-1334)</f>
        <v/>
      </c>
    </row>
    <row r="1348">
      <c r="BN1348">
        <f>IF(1335&lt;$U$9,INT(1335/($U$7*$U$8))+1,1)</f>
        <v/>
      </c>
      <c r="BO1348">
        <f>IF(1335&lt;$U$9,MOD(INT(1335/$U$8),$U$7)+1,1)</f>
        <v/>
      </c>
      <c r="BP1348">
        <f>IF(1335&lt;$U$9,MOD(1335,$U$8)+1,1)</f>
        <v/>
      </c>
      <c r="BQ1348">
        <f>IF(1335&lt;$U$9,SUMPRODUCT(($D$10:$L$10&lt;&gt;"")*(($D$9:$L$9+INT(($S$12:$AA$12+INDEX($AJ$13:$AR$162,BN1348,0)+INDEX($AT$13:$BB$162,BO1348,0)+INDEX($BD$13:$BL$162,BP1348,0))/100))&gt;=$D$10:$L$10)),0)</f>
        <v/>
      </c>
      <c r="BR1348">
        <f>IF(1335&lt;$U$9,SUMPRODUCT(($D$10:$L$10&lt;&gt;"")*(($D$10:$L$10-($D$9:$L$9+INT(($S$12:$AA$12+INDEX($AJ$13:$AR$162,BN1348,0)+INDEX($AT$13:$BB$162,BO1348,0)+INDEX($BD$13:$BL$162,BP1348,0))/100)))&gt;0)*($D$10:$L$10-($D$9:$L$9+INT(($S$12:$AA$12+INDEX($AJ$13:$AR$162,BN1348,0)+INDEX($AT$13:$BB$162,BO1348,0)+INDEX($BD$13:$BL$162,BP1348,0))/100)))),0)</f>
        <v/>
      </c>
      <c r="BS1348">
        <f>IF(1335&lt;$U$9,SUMPRODUCT(($D$9:$L$9+INT(($S$12:$AA$12+INDEX($AJ$13:$AR$162,BN1348,0)+INDEX($AT$13:$BB$162,BO1348,0)+INDEX($BD$13:$BL$162,BP1348,0))/100))),0)</f>
        <v/>
      </c>
      <c r="BT1348">
        <f>IF(AND(1335&lt;$U$9,$W$5),BQ1348*1000000-MIN(BR1348,999)*1000+BS1348-1335/100000,-1000000000-1335)</f>
        <v/>
      </c>
    </row>
    <row r="1349">
      <c r="BN1349">
        <f>IF(1336&lt;$U$9,INT(1336/($U$7*$U$8))+1,1)</f>
        <v/>
      </c>
      <c r="BO1349">
        <f>IF(1336&lt;$U$9,MOD(INT(1336/$U$8),$U$7)+1,1)</f>
        <v/>
      </c>
      <c r="BP1349">
        <f>IF(1336&lt;$U$9,MOD(1336,$U$8)+1,1)</f>
        <v/>
      </c>
      <c r="BQ1349">
        <f>IF(1336&lt;$U$9,SUMPRODUCT(($D$10:$L$10&lt;&gt;"")*(($D$9:$L$9+INT(($S$12:$AA$12+INDEX($AJ$13:$AR$162,BN1349,0)+INDEX($AT$13:$BB$162,BO1349,0)+INDEX($BD$13:$BL$162,BP1349,0))/100))&gt;=$D$10:$L$10)),0)</f>
        <v/>
      </c>
      <c r="BR1349">
        <f>IF(1336&lt;$U$9,SUMPRODUCT(($D$10:$L$10&lt;&gt;"")*(($D$10:$L$10-($D$9:$L$9+INT(($S$12:$AA$12+INDEX($AJ$13:$AR$162,BN1349,0)+INDEX($AT$13:$BB$162,BO1349,0)+INDEX($BD$13:$BL$162,BP1349,0))/100)))&gt;0)*($D$10:$L$10-($D$9:$L$9+INT(($S$12:$AA$12+INDEX($AJ$13:$AR$162,BN1349,0)+INDEX($AT$13:$BB$162,BO1349,0)+INDEX($BD$13:$BL$162,BP1349,0))/100)))),0)</f>
        <v/>
      </c>
      <c r="BS1349">
        <f>IF(1336&lt;$U$9,SUMPRODUCT(($D$9:$L$9+INT(($S$12:$AA$12+INDEX($AJ$13:$AR$162,BN1349,0)+INDEX($AT$13:$BB$162,BO1349,0)+INDEX($BD$13:$BL$162,BP1349,0))/100))),0)</f>
        <v/>
      </c>
      <c r="BT1349">
        <f>IF(AND(1336&lt;$U$9,$W$5),BQ1349*1000000-MIN(BR1349,999)*1000+BS1349-1336/100000,-1000000000-1336)</f>
        <v/>
      </c>
    </row>
    <row r="1350">
      <c r="BN1350">
        <f>IF(1337&lt;$U$9,INT(1337/($U$7*$U$8))+1,1)</f>
        <v/>
      </c>
      <c r="BO1350">
        <f>IF(1337&lt;$U$9,MOD(INT(1337/$U$8),$U$7)+1,1)</f>
        <v/>
      </c>
      <c r="BP1350">
        <f>IF(1337&lt;$U$9,MOD(1337,$U$8)+1,1)</f>
        <v/>
      </c>
      <c r="BQ1350">
        <f>IF(1337&lt;$U$9,SUMPRODUCT(($D$10:$L$10&lt;&gt;"")*(($D$9:$L$9+INT(($S$12:$AA$12+INDEX($AJ$13:$AR$162,BN1350,0)+INDEX($AT$13:$BB$162,BO1350,0)+INDEX($BD$13:$BL$162,BP1350,0))/100))&gt;=$D$10:$L$10)),0)</f>
        <v/>
      </c>
      <c r="BR1350">
        <f>IF(1337&lt;$U$9,SUMPRODUCT(($D$10:$L$10&lt;&gt;"")*(($D$10:$L$10-($D$9:$L$9+INT(($S$12:$AA$12+INDEX($AJ$13:$AR$162,BN1350,0)+INDEX($AT$13:$BB$162,BO1350,0)+INDEX($BD$13:$BL$162,BP1350,0))/100)))&gt;0)*($D$10:$L$10-($D$9:$L$9+INT(($S$12:$AA$12+INDEX($AJ$13:$AR$162,BN1350,0)+INDEX($AT$13:$BB$162,BO1350,0)+INDEX($BD$13:$BL$162,BP1350,0))/100)))),0)</f>
        <v/>
      </c>
      <c r="BS1350">
        <f>IF(1337&lt;$U$9,SUMPRODUCT(($D$9:$L$9+INT(($S$12:$AA$12+INDEX($AJ$13:$AR$162,BN1350,0)+INDEX($AT$13:$BB$162,BO1350,0)+INDEX($BD$13:$BL$162,BP1350,0))/100))),0)</f>
        <v/>
      </c>
      <c r="BT1350">
        <f>IF(AND(1337&lt;$U$9,$W$5),BQ1350*1000000-MIN(BR1350,999)*1000+BS1350-1337/100000,-1000000000-1337)</f>
        <v/>
      </c>
    </row>
    <row r="1351">
      <c r="BN1351">
        <f>IF(1338&lt;$U$9,INT(1338/($U$7*$U$8))+1,1)</f>
        <v/>
      </c>
      <c r="BO1351">
        <f>IF(1338&lt;$U$9,MOD(INT(1338/$U$8),$U$7)+1,1)</f>
        <v/>
      </c>
      <c r="BP1351">
        <f>IF(1338&lt;$U$9,MOD(1338,$U$8)+1,1)</f>
        <v/>
      </c>
      <c r="BQ1351">
        <f>IF(1338&lt;$U$9,SUMPRODUCT(($D$10:$L$10&lt;&gt;"")*(($D$9:$L$9+INT(($S$12:$AA$12+INDEX($AJ$13:$AR$162,BN1351,0)+INDEX($AT$13:$BB$162,BO1351,0)+INDEX($BD$13:$BL$162,BP1351,0))/100))&gt;=$D$10:$L$10)),0)</f>
        <v/>
      </c>
      <c r="BR1351">
        <f>IF(1338&lt;$U$9,SUMPRODUCT(($D$10:$L$10&lt;&gt;"")*(($D$10:$L$10-($D$9:$L$9+INT(($S$12:$AA$12+INDEX($AJ$13:$AR$162,BN1351,0)+INDEX($AT$13:$BB$162,BO1351,0)+INDEX($BD$13:$BL$162,BP1351,0))/100)))&gt;0)*($D$10:$L$10-($D$9:$L$9+INT(($S$12:$AA$12+INDEX($AJ$13:$AR$162,BN1351,0)+INDEX($AT$13:$BB$162,BO1351,0)+INDEX($BD$13:$BL$162,BP1351,0))/100)))),0)</f>
        <v/>
      </c>
      <c r="BS1351">
        <f>IF(1338&lt;$U$9,SUMPRODUCT(($D$9:$L$9+INT(($S$12:$AA$12+INDEX($AJ$13:$AR$162,BN1351,0)+INDEX($AT$13:$BB$162,BO1351,0)+INDEX($BD$13:$BL$162,BP1351,0))/100))),0)</f>
        <v/>
      </c>
      <c r="BT1351">
        <f>IF(AND(1338&lt;$U$9,$W$5),BQ1351*1000000-MIN(BR1351,999)*1000+BS1351-1338/100000,-1000000000-1338)</f>
        <v/>
      </c>
    </row>
    <row r="1352">
      <c r="BN1352">
        <f>IF(1339&lt;$U$9,INT(1339/($U$7*$U$8))+1,1)</f>
        <v/>
      </c>
      <c r="BO1352">
        <f>IF(1339&lt;$U$9,MOD(INT(1339/$U$8),$U$7)+1,1)</f>
        <v/>
      </c>
      <c r="BP1352">
        <f>IF(1339&lt;$U$9,MOD(1339,$U$8)+1,1)</f>
        <v/>
      </c>
      <c r="BQ1352">
        <f>IF(1339&lt;$U$9,SUMPRODUCT(($D$10:$L$10&lt;&gt;"")*(($D$9:$L$9+INT(($S$12:$AA$12+INDEX($AJ$13:$AR$162,BN1352,0)+INDEX($AT$13:$BB$162,BO1352,0)+INDEX($BD$13:$BL$162,BP1352,0))/100))&gt;=$D$10:$L$10)),0)</f>
        <v/>
      </c>
      <c r="BR1352">
        <f>IF(1339&lt;$U$9,SUMPRODUCT(($D$10:$L$10&lt;&gt;"")*(($D$10:$L$10-($D$9:$L$9+INT(($S$12:$AA$12+INDEX($AJ$13:$AR$162,BN1352,0)+INDEX($AT$13:$BB$162,BO1352,0)+INDEX($BD$13:$BL$162,BP1352,0))/100)))&gt;0)*($D$10:$L$10-($D$9:$L$9+INT(($S$12:$AA$12+INDEX($AJ$13:$AR$162,BN1352,0)+INDEX($AT$13:$BB$162,BO1352,0)+INDEX($BD$13:$BL$162,BP1352,0))/100)))),0)</f>
        <v/>
      </c>
      <c r="BS1352">
        <f>IF(1339&lt;$U$9,SUMPRODUCT(($D$9:$L$9+INT(($S$12:$AA$12+INDEX($AJ$13:$AR$162,BN1352,0)+INDEX($AT$13:$BB$162,BO1352,0)+INDEX($BD$13:$BL$162,BP1352,0))/100))),0)</f>
        <v/>
      </c>
      <c r="BT1352">
        <f>IF(AND(1339&lt;$U$9,$W$5),BQ1352*1000000-MIN(BR1352,999)*1000+BS1352-1339/100000,-1000000000-1339)</f>
        <v/>
      </c>
    </row>
    <row r="1353">
      <c r="BN1353">
        <f>IF(1340&lt;$U$9,INT(1340/($U$7*$U$8))+1,1)</f>
        <v/>
      </c>
      <c r="BO1353">
        <f>IF(1340&lt;$U$9,MOD(INT(1340/$U$8),$U$7)+1,1)</f>
        <v/>
      </c>
      <c r="BP1353">
        <f>IF(1340&lt;$U$9,MOD(1340,$U$8)+1,1)</f>
        <v/>
      </c>
      <c r="BQ1353">
        <f>IF(1340&lt;$U$9,SUMPRODUCT(($D$10:$L$10&lt;&gt;"")*(($D$9:$L$9+INT(($S$12:$AA$12+INDEX($AJ$13:$AR$162,BN1353,0)+INDEX($AT$13:$BB$162,BO1353,0)+INDEX($BD$13:$BL$162,BP1353,0))/100))&gt;=$D$10:$L$10)),0)</f>
        <v/>
      </c>
      <c r="BR1353">
        <f>IF(1340&lt;$U$9,SUMPRODUCT(($D$10:$L$10&lt;&gt;"")*(($D$10:$L$10-($D$9:$L$9+INT(($S$12:$AA$12+INDEX($AJ$13:$AR$162,BN1353,0)+INDEX($AT$13:$BB$162,BO1353,0)+INDEX($BD$13:$BL$162,BP1353,0))/100)))&gt;0)*($D$10:$L$10-($D$9:$L$9+INT(($S$12:$AA$12+INDEX($AJ$13:$AR$162,BN1353,0)+INDEX($AT$13:$BB$162,BO1353,0)+INDEX($BD$13:$BL$162,BP1353,0))/100)))),0)</f>
        <v/>
      </c>
      <c r="BS1353">
        <f>IF(1340&lt;$U$9,SUMPRODUCT(($D$9:$L$9+INT(($S$12:$AA$12+INDEX($AJ$13:$AR$162,BN1353,0)+INDEX($AT$13:$BB$162,BO1353,0)+INDEX($BD$13:$BL$162,BP1353,0))/100))),0)</f>
        <v/>
      </c>
      <c r="BT1353">
        <f>IF(AND(1340&lt;$U$9,$W$5),BQ1353*1000000-MIN(BR1353,999)*1000+BS1353-1340/100000,-1000000000-1340)</f>
        <v/>
      </c>
    </row>
    <row r="1354">
      <c r="BN1354">
        <f>IF(1341&lt;$U$9,INT(1341/($U$7*$U$8))+1,1)</f>
        <v/>
      </c>
      <c r="BO1354">
        <f>IF(1341&lt;$U$9,MOD(INT(1341/$U$8),$U$7)+1,1)</f>
        <v/>
      </c>
      <c r="BP1354">
        <f>IF(1341&lt;$U$9,MOD(1341,$U$8)+1,1)</f>
        <v/>
      </c>
      <c r="BQ1354">
        <f>IF(1341&lt;$U$9,SUMPRODUCT(($D$10:$L$10&lt;&gt;"")*(($D$9:$L$9+INT(($S$12:$AA$12+INDEX($AJ$13:$AR$162,BN1354,0)+INDEX($AT$13:$BB$162,BO1354,0)+INDEX($BD$13:$BL$162,BP1354,0))/100))&gt;=$D$10:$L$10)),0)</f>
        <v/>
      </c>
      <c r="BR1354">
        <f>IF(1341&lt;$U$9,SUMPRODUCT(($D$10:$L$10&lt;&gt;"")*(($D$10:$L$10-($D$9:$L$9+INT(($S$12:$AA$12+INDEX($AJ$13:$AR$162,BN1354,0)+INDEX($AT$13:$BB$162,BO1354,0)+INDEX($BD$13:$BL$162,BP1354,0))/100)))&gt;0)*($D$10:$L$10-($D$9:$L$9+INT(($S$12:$AA$12+INDEX($AJ$13:$AR$162,BN1354,0)+INDEX($AT$13:$BB$162,BO1354,0)+INDEX($BD$13:$BL$162,BP1354,0))/100)))),0)</f>
        <v/>
      </c>
      <c r="BS1354">
        <f>IF(1341&lt;$U$9,SUMPRODUCT(($D$9:$L$9+INT(($S$12:$AA$12+INDEX($AJ$13:$AR$162,BN1354,0)+INDEX($AT$13:$BB$162,BO1354,0)+INDEX($BD$13:$BL$162,BP1354,0))/100))),0)</f>
        <v/>
      </c>
      <c r="BT1354">
        <f>IF(AND(1341&lt;$U$9,$W$5),BQ1354*1000000-MIN(BR1354,999)*1000+BS1354-1341/100000,-1000000000-1341)</f>
        <v/>
      </c>
    </row>
    <row r="1355">
      <c r="BN1355">
        <f>IF(1342&lt;$U$9,INT(1342/($U$7*$U$8))+1,1)</f>
        <v/>
      </c>
      <c r="BO1355">
        <f>IF(1342&lt;$U$9,MOD(INT(1342/$U$8),$U$7)+1,1)</f>
        <v/>
      </c>
      <c r="BP1355">
        <f>IF(1342&lt;$U$9,MOD(1342,$U$8)+1,1)</f>
        <v/>
      </c>
      <c r="BQ1355">
        <f>IF(1342&lt;$U$9,SUMPRODUCT(($D$10:$L$10&lt;&gt;"")*(($D$9:$L$9+INT(($S$12:$AA$12+INDEX($AJ$13:$AR$162,BN1355,0)+INDEX($AT$13:$BB$162,BO1355,0)+INDEX($BD$13:$BL$162,BP1355,0))/100))&gt;=$D$10:$L$10)),0)</f>
        <v/>
      </c>
      <c r="BR1355">
        <f>IF(1342&lt;$U$9,SUMPRODUCT(($D$10:$L$10&lt;&gt;"")*(($D$10:$L$10-($D$9:$L$9+INT(($S$12:$AA$12+INDEX($AJ$13:$AR$162,BN1355,0)+INDEX($AT$13:$BB$162,BO1355,0)+INDEX($BD$13:$BL$162,BP1355,0))/100)))&gt;0)*($D$10:$L$10-($D$9:$L$9+INT(($S$12:$AA$12+INDEX($AJ$13:$AR$162,BN1355,0)+INDEX($AT$13:$BB$162,BO1355,0)+INDEX($BD$13:$BL$162,BP1355,0))/100)))),0)</f>
        <v/>
      </c>
      <c r="BS1355">
        <f>IF(1342&lt;$U$9,SUMPRODUCT(($D$9:$L$9+INT(($S$12:$AA$12+INDEX($AJ$13:$AR$162,BN1355,0)+INDEX($AT$13:$BB$162,BO1355,0)+INDEX($BD$13:$BL$162,BP1355,0))/100))),0)</f>
        <v/>
      </c>
      <c r="BT1355">
        <f>IF(AND(1342&lt;$U$9,$W$5),BQ1355*1000000-MIN(BR1355,999)*1000+BS1355-1342/100000,-1000000000-1342)</f>
        <v/>
      </c>
    </row>
    <row r="1356">
      <c r="BN1356">
        <f>IF(1343&lt;$U$9,INT(1343/($U$7*$U$8))+1,1)</f>
        <v/>
      </c>
      <c r="BO1356">
        <f>IF(1343&lt;$U$9,MOD(INT(1343/$U$8),$U$7)+1,1)</f>
        <v/>
      </c>
      <c r="BP1356">
        <f>IF(1343&lt;$U$9,MOD(1343,$U$8)+1,1)</f>
        <v/>
      </c>
      <c r="BQ1356">
        <f>IF(1343&lt;$U$9,SUMPRODUCT(($D$10:$L$10&lt;&gt;"")*(($D$9:$L$9+INT(($S$12:$AA$12+INDEX($AJ$13:$AR$162,BN1356,0)+INDEX($AT$13:$BB$162,BO1356,0)+INDEX($BD$13:$BL$162,BP1356,0))/100))&gt;=$D$10:$L$10)),0)</f>
        <v/>
      </c>
      <c r="BR1356">
        <f>IF(1343&lt;$U$9,SUMPRODUCT(($D$10:$L$10&lt;&gt;"")*(($D$10:$L$10-($D$9:$L$9+INT(($S$12:$AA$12+INDEX($AJ$13:$AR$162,BN1356,0)+INDEX($AT$13:$BB$162,BO1356,0)+INDEX($BD$13:$BL$162,BP1356,0))/100)))&gt;0)*($D$10:$L$10-($D$9:$L$9+INT(($S$12:$AA$12+INDEX($AJ$13:$AR$162,BN1356,0)+INDEX($AT$13:$BB$162,BO1356,0)+INDEX($BD$13:$BL$162,BP1356,0))/100)))),0)</f>
        <v/>
      </c>
      <c r="BS1356">
        <f>IF(1343&lt;$U$9,SUMPRODUCT(($D$9:$L$9+INT(($S$12:$AA$12+INDEX($AJ$13:$AR$162,BN1356,0)+INDEX($AT$13:$BB$162,BO1356,0)+INDEX($BD$13:$BL$162,BP1356,0))/100))),0)</f>
        <v/>
      </c>
      <c r="BT1356">
        <f>IF(AND(1343&lt;$U$9,$W$5),BQ1356*1000000-MIN(BR1356,999)*1000+BS1356-1343/100000,-1000000000-1343)</f>
        <v/>
      </c>
    </row>
    <row r="1357">
      <c r="BN1357">
        <f>IF(1344&lt;$U$9,INT(1344/($U$7*$U$8))+1,1)</f>
        <v/>
      </c>
      <c r="BO1357">
        <f>IF(1344&lt;$U$9,MOD(INT(1344/$U$8),$U$7)+1,1)</f>
        <v/>
      </c>
      <c r="BP1357">
        <f>IF(1344&lt;$U$9,MOD(1344,$U$8)+1,1)</f>
        <v/>
      </c>
      <c r="BQ1357">
        <f>IF(1344&lt;$U$9,SUMPRODUCT(($D$10:$L$10&lt;&gt;"")*(($D$9:$L$9+INT(($S$12:$AA$12+INDEX($AJ$13:$AR$162,BN1357,0)+INDEX($AT$13:$BB$162,BO1357,0)+INDEX($BD$13:$BL$162,BP1357,0))/100))&gt;=$D$10:$L$10)),0)</f>
        <v/>
      </c>
      <c r="BR1357">
        <f>IF(1344&lt;$U$9,SUMPRODUCT(($D$10:$L$10&lt;&gt;"")*(($D$10:$L$10-($D$9:$L$9+INT(($S$12:$AA$12+INDEX($AJ$13:$AR$162,BN1357,0)+INDEX($AT$13:$BB$162,BO1357,0)+INDEX($BD$13:$BL$162,BP1357,0))/100)))&gt;0)*($D$10:$L$10-($D$9:$L$9+INT(($S$12:$AA$12+INDEX($AJ$13:$AR$162,BN1357,0)+INDEX($AT$13:$BB$162,BO1357,0)+INDEX($BD$13:$BL$162,BP1357,0))/100)))),0)</f>
        <v/>
      </c>
      <c r="BS1357">
        <f>IF(1344&lt;$U$9,SUMPRODUCT(($D$9:$L$9+INT(($S$12:$AA$12+INDEX($AJ$13:$AR$162,BN1357,0)+INDEX($AT$13:$BB$162,BO1357,0)+INDEX($BD$13:$BL$162,BP1357,0))/100))),0)</f>
        <v/>
      </c>
      <c r="BT1357">
        <f>IF(AND(1344&lt;$U$9,$W$5),BQ1357*1000000-MIN(BR1357,999)*1000+BS1357-1344/100000,-1000000000-1344)</f>
        <v/>
      </c>
    </row>
    <row r="1358">
      <c r="BN1358">
        <f>IF(1345&lt;$U$9,INT(1345/($U$7*$U$8))+1,1)</f>
        <v/>
      </c>
      <c r="BO1358">
        <f>IF(1345&lt;$U$9,MOD(INT(1345/$U$8),$U$7)+1,1)</f>
        <v/>
      </c>
      <c r="BP1358">
        <f>IF(1345&lt;$U$9,MOD(1345,$U$8)+1,1)</f>
        <v/>
      </c>
      <c r="BQ1358">
        <f>IF(1345&lt;$U$9,SUMPRODUCT(($D$10:$L$10&lt;&gt;"")*(($D$9:$L$9+INT(($S$12:$AA$12+INDEX($AJ$13:$AR$162,BN1358,0)+INDEX($AT$13:$BB$162,BO1358,0)+INDEX($BD$13:$BL$162,BP1358,0))/100))&gt;=$D$10:$L$10)),0)</f>
        <v/>
      </c>
      <c r="BR1358">
        <f>IF(1345&lt;$U$9,SUMPRODUCT(($D$10:$L$10&lt;&gt;"")*(($D$10:$L$10-($D$9:$L$9+INT(($S$12:$AA$12+INDEX($AJ$13:$AR$162,BN1358,0)+INDEX($AT$13:$BB$162,BO1358,0)+INDEX($BD$13:$BL$162,BP1358,0))/100)))&gt;0)*($D$10:$L$10-($D$9:$L$9+INT(($S$12:$AA$12+INDEX($AJ$13:$AR$162,BN1358,0)+INDEX($AT$13:$BB$162,BO1358,0)+INDEX($BD$13:$BL$162,BP1358,0))/100)))),0)</f>
        <v/>
      </c>
      <c r="BS1358">
        <f>IF(1345&lt;$U$9,SUMPRODUCT(($D$9:$L$9+INT(($S$12:$AA$12+INDEX($AJ$13:$AR$162,BN1358,0)+INDEX($AT$13:$BB$162,BO1358,0)+INDEX($BD$13:$BL$162,BP1358,0))/100))),0)</f>
        <v/>
      </c>
      <c r="BT1358">
        <f>IF(AND(1345&lt;$U$9,$W$5),BQ1358*1000000-MIN(BR1358,999)*1000+BS1358-1345/100000,-1000000000-1345)</f>
        <v/>
      </c>
    </row>
    <row r="1359">
      <c r="BN1359">
        <f>IF(1346&lt;$U$9,INT(1346/($U$7*$U$8))+1,1)</f>
        <v/>
      </c>
      <c r="BO1359">
        <f>IF(1346&lt;$U$9,MOD(INT(1346/$U$8),$U$7)+1,1)</f>
        <v/>
      </c>
      <c r="BP1359">
        <f>IF(1346&lt;$U$9,MOD(1346,$U$8)+1,1)</f>
        <v/>
      </c>
      <c r="BQ1359">
        <f>IF(1346&lt;$U$9,SUMPRODUCT(($D$10:$L$10&lt;&gt;"")*(($D$9:$L$9+INT(($S$12:$AA$12+INDEX($AJ$13:$AR$162,BN1359,0)+INDEX($AT$13:$BB$162,BO1359,0)+INDEX($BD$13:$BL$162,BP1359,0))/100))&gt;=$D$10:$L$10)),0)</f>
        <v/>
      </c>
      <c r="BR1359">
        <f>IF(1346&lt;$U$9,SUMPRODUCT(($D$10:$L$10&lt;&gt;"")*(($D$10:$L$10-($D$9:$L$9+INT(($S$12:$AA$12+INDEX($AJ$13:$AR$162,BN1359,0)+INDEX($AT$13:$BB$162,BO1359,0)+INDEX($BD$13:$BL$162,BP1359,0))/100)))&gt;0)*($D$10:$L$10-($D$9:$L$9+INT(($S$12:$AA$12+INDEX($AJ$13:$AR$162,BN1359,0)+INDEX($AT$13:$BB$162,BO1359,0)+INDEX($BD$13:$BL$162,BP1359,0))/100)))),0)</f>
        <v/>
      </c>
      <c r="BS1359">
        <f>IF(1346&lt;$U$9,SUMPRODUCT(($D$9:$L$9+INT(($S$12:$AA$12+INDEX($AJ$13:$AR$162,BN1359,0)+INDEX($AT$13:$BB$162,BO1359,0)+INDEX($BD$13:$BL$162,BP1359,0))/100))),0)</f>
        <v/>
      </c>
      <c r="BT1359">
        <f>IF(AND(1346&lt;$U$9,$W$5),BQ1359*1000000-MIN(BR1359,999)*1000+BS1359-1346/100000,-1000000000-1346)</f>
        <v/>
      </c>
    </row>
    <row r="1360">
      <c r="BN1360">
        <f>IF(1347&lt;$U$9,INT(1347/($U$7*$U$8))+1,1)</f>
        <v/>
      </c>
      <c r="BO1360">
        <f>IF(1347&lt;$U$9,MOD(INT(1347/$U$8),$U$7)+1,1)</f>
        <v/>
      </c>
      <c r="BP1360">
        <f>IF(1347&lt;$U$9,MOD(1347,$U$8)+1,1)</f>
        <v/>
      </c>
      <c r="BQ1360">
        <f>IF(1347&lt;$U$9,SUMPRODUCT(($D$10:$L$10&lt;&gt;"")*(($D$9:$L$9+INT(($S$12:$AA$12+INDEX($AJ$13:$AR$162,BN1360,0)+INDEX($AT$13:$BB$162,BO1360,0)+INDEX($BD$13:$BL$162,BP1360,0))/100))&gt;=$D$10:$L$10)),0)</f>
        <v/>
      </c>
      <c r="BR1360">
        <f>IF(1347&lt;$U$9,SUMPRODUCT(($D$10:$L$10&lt;&gt;"")*(($D$10:$L$10-($D$9:$L$9+INT(($S$12:$AA$12+INDEX($AJ$13:$AR$162,BN1360,0)+INDEX($AT$13:$BB$162,BO1360,0)+INDEX($BD$13:$BL$162,BP1360,0))/100)))&gt;0)*($D$10:$L$10-($D$9:$L$9+INT(($S$12:$AA$12+INDEX($AJ$13:$AR$162,BN1360,0)+INDEX($AT$13:$BB$162,BO1360,0)+INDEX($BD$13:$BL$162,BP1360,0))/100)))),0)</f>
        <v/>
      </c>
      <c r="BS1360">
        <f>IF(1347&lt;$U$9,SUMPRODUCT(($D$9:$L$9+INT(($S$12:$AA$12+INDEX($AJ$13:$AR$162,BN1360,0)+INDEX($AT$13:$BB$162,BO1360,0)+INDEX($BD$13:$BL$162,BP1360,0))/100))),0)</f>
        <v/>
      </c>
      <c r="BT1360">
        <f>IF(AND(1347&lt;$U$9,$W$5),BQ1360*1000000-MIN(BR1360,999)*1000+BS1360-1347/100000,-1000000000-1347)</f>
        <v/>
      </c>
    </row>
    <row r="1361">
      <c r="BN1361">
        <f>IF(1348&lt;$U$9,INT(1348/($U$7*$U$8))+1,1)</f>
        <v/>
      </c>
      <c r="BO1361">
        <f>IF(1348&lt;$U$9,MOD(INT(1348/$U$8),$U$7)+1,1)</f>
        <v/>
      </c>
      <c r="BP1361">
        <f>IF(1348&lt;$U$9,MOD(1348,$U$8)+1,1)</f>
        <v/>
      </c>
      <c r="BQ1361">
        <f>IF(1348&lt;$U$9,SUMPRODUCT(($D$10:$L$10&lt;&gt;"")*(($D$9:$L$9+INT(($S$12:$AA$12+INDEX($AJ$13:$AR$162,BN1361,0)+INDEX($AT$13:$BB$162,BO1361,0)+INDEX($BD$13:$BL$162,BP1361,0))/100))&gt;=$D$10:$L$10)),0)</f>
        <v/>
      </c>
      <c r="BR1361">
        <f>IF(1348&lt;$U$9,SUMPRODUCT(($D$10:$L$10&lt;&gt;"")*(($D$10:$L$10-($D$9:$L$9+INT(($S$12:$AA$12+INDEX($AJ$13:$AR$162,BN1361,0)+INDEX($AT$13:$BB$162,BO1361,0)+INDEX($BD$13:$BL$162,BP1361,0))/100)))&gt;0)*($D$10:$L$10-($D$9:$L$9+INT(($S$12:$AA$12+INDEX($AJ$13:$AR$162,BN1361,0)+INDEX($AT$13:$BB$162,BO1361,0)+INDEX($BD$13:$BL$162,BP1361,0))/100)))),0)</f>
        <v/>
      </c>
      <c r="BS1361">
        <f>IF(1348&lt;$U$9,SUMPRODUCT(($D$9:$L$9+INT(($S$12:$AA$12+INDEX($AJ$13:$AR$162,BN1361,0)+INDEX($AT$13:$BB$162,BO1361,0)+INDEX($BD$13:$BL$162,BP1361,0))/100))),0)</f>
        <v/>
      </c>
      <c r="BT1361">
        <f>IF(AND(1348&lt;$U$9,$W$5),BQ1361*1000000-MIN(BR1361,999)*1000+BS1361-1348/100000,-1000000000-1348)</f>
        <v/>
      </c>
    </row>
    <row r="1362">
      <c r="BN1362">
        <f>IF(1349&lt;$U$9,INT(1349/($U$7*$U$8))+1,1)</f>
        <v/>
      </c>
      <c r="BO1362">
        <f>IF(1349&lt;$U$9,MOD(INT(1349/$U$8),$U$7)+1,1)</f>
        <v/>
      </c>
      <c r="BP1362">
        <f>IF(1349&lt;$U$9,MOD(1349,$U$8)+1,1)</f>
        <v/>
      </c>
      <c r="BQ1362">
        <f>IF(1349&lt;$U$9,SUMPRODUCT(($D$10:$L$10&lt;&gt;"")*(($D$9:$L$9+INT(($S$12:$AA$12+INDEX($AJ$13:$AR$162,BN1362,0)+INDEX($AT$13:$BB$162,BO1362,0)+INDEX($BD$13:$BL$162,BP1362,0))/100))&gt;=$D$10:$L$10)),0)</f>
        <v/>
      </c>
      <c r="BR1362">
        <f>IF(1349&lt;$U$9,SUMPRODUCT(($D$10:$L$10&lt;&gt;"")*(($D$10:$L$10-($D$9:$L$9+INT(($S$12:$AA$12+INDEX($AJ$13:$AR$162,BN1362,0)+INDEX($AT$13:$BB$162,BO1362,0)+INDEX($BD$13:$BL$162,BP1362,0))/100)))&gt;0)*($D$10:$L$10-($D$9:$L$9+INT(($S$12:$AA$12+INDEX($AJ$13:$AR$162,BN1362,0)+INDEX($AT$13:$BB$162,BO1362,0)+INDEX($BD$13:$BL$162,BP1362,0))/100)))),0)</f>
        <v/>
      </c>
      <c r="BS1362">
        <f>IF(1349&lt;$U$9,SUMPRODUCT(($D$9:$L$9+INT(($S$12:$AA$12+INDEX($AJ$13:$AR$162,BN1362,0)+INDEX($AT$13:$BB$162,BO1362,0)+INDEX($BD$13:$BL$162,BP1362,0))/100))),0)</f>
        <v/>
      </c>
      <c r="BT1362">
        <f>IF(AND(1349&lt;$U$9,$W$5),BQ1362*1000000-MIN(BR1362,999)*1000+BS1362-1349/100000,-1000000000-1349)</f>
        <v/>
      </c>
    </row>
    <row r="1363">
      <c r="BN1363">
        <f>IF(1350&lt;$U$9,INT(1350/($U$7*$U$8))+1,1)</f>
        <v/>
      </c>
      <c r="BO1363">
        <f>IF(1350&lt;$U$9,MOD(INT(1350/$U$8),$U$7)+1,1)</f>
        <v/>
      </c>
      <c r="BP1363">
        <f>IF(1350&lt;$U$9,MOD(1350,$U$8)+1,1)</f>
        <v/>
      </c>
      <c r="BQ1363">
        <f>IF(1350&lt;$U$9,SUMPRODUCT(($D$10:$L$10&lt;&gt;"")*(($D$9:$L$9+INT(($S$12:$AA$12+INDEX($AJ$13:$AR$162,BN1363,0)+INDEX($AT$13:$BB$162,BO1363,0)+INDEX($BD$13:$BL$162,BP1363,0))/100))&gt;=$D$10:$L$10)),0)</f>
        <v/>
      </c>
      <c r="BR1363">
        <f>IF(1350&lt;$U$9,SUMPRODUCT(($D$10:$L$10&lt;&gt;"")*(($D$10:$L$10-($D$9:$L$9+INT(($S$12:$AA$12+INDEX($AJ$13:$AR$162,BN1363,0)+INDEX($AT$13:$BB$162,BO1363,0)+INDEX($BD$13:$BL$162,BP1363,0))/100)))&gt;0)*($D$10:$L$10-($D$9:$L$9+INT(($S$12:$AA$12+INDEX($AJ$13:$AR$162,BN1363,0)+INDEX($AT$13:$BB$162,BO1363,0)+INDEX($BD$13:$BL$162,BP1363,0))/100)))),0)</f>
        <v/>
      </c>
      <c r="BS1363">
        <f>IF(1350&lt;$U$9,SUMPRODUCT(($D$9:$L$9+INT(($S$12:$AA$12+INDEX($AJ$13:$AR$162,BN1363,0)+INDEX($AT$13:$BB$162,BO1363,0)+INDEX($BD$13:$BL$162,BP1363,0))/100))),0)</f>
        <v/>
      </c>
      <c r="BT1363">
        <f>IF(AND(1350&lt;$U$9,$W$5),BQ1363*1000000-MIN(BR1363,999)*1000+BS1363-1350/100000,-1000000000-1350)</f>
        <v/>
      </c>
    </row>
    <row r="1364">
      <c r="BN1364">
        <f>IF(1351&lt;$U$9,INT(1351/($U$7*$U$8))+1,1)</f>
        <v/>
      </c>
      <c r="BO1364">
        <f>IF(1351&lt;$U$9,MOD(INT(1351/$U$8),$U$7)+1,1)</f>
        <v/>
      </c>
      <c r="BP1364">
        <f>IF(1351&lt;$U$9,MOD(1351,$U$8)+1,1)</f>
        <v/>
      </c>
      <c r="BQ1364">
        <f>IF(1351&lt;$U$9,SUMPRODUCT(($D$10:$L$10&lt;&gt;"")*(($D$9:$L$9+INT(($S$12:$AA$12+INDEX($AJ$13:$AR$162,BN1364,0)+INDEX($AT$13:$BB$162,BO1364,0)+INDEX($BD$13:$BL$162,BP1364,0))/100))&gt;=$D$10:$L$10)),0)</f>
        <v/>
      </c>
      <c r="BR1364">
        <f>IF(1351&lt;$U$9,SUMPRODUCT(($D$10:$L$10&lt;&gt;"")*(($D$10:$L$10-($D$9:$L$9+INT(($S$12:$AA$12+INDEX($AJ$13:$AR$162,BN1364,0)+INDEX($AT$13:$BB$162,BO1364,0)+INDEX($BD$13:$BL$162,BP1364,0))/100)))&gt;0)*($D$10:$L$10-($D$9:$L$9+INT(($S$12:$AA$12+INDEX($AJ$13:$AR$162,BN1364,0)+INDEX($AT$13:$BB$162,BO1364,0)+INDEX($BD$13:$BL$162,BP1364,0))/100)))),0)</f>
        <v/>
      </c>
      <c r="BS1364">
        <f>IF(1351&lt;$U$9,SUMPRODUCT(($D$9:$L$9+INT(($S$12:$AA$12+INDEX($AJ$13:$AR$162,BN1364,0)+INDEX($AT$13:$BB$162,BO1364,0)+INDEX($BD$13:$BL$162,BP1364,0))/100))),0)</f>
        <v/>
      </c>
      <c r="BT1364">
        <f>IF(AND(1351&lt;$U$9,$W$5),BQ1364*1000000-MIN(BR1364,999)*1000+BS1364-1351/100000,-1000000000-1351)</f>
        <v/>
      </c>
    </row>
    <row r="1365">
      <c r="BN1365">
        <f>IF(1352&lt;$U$9,INT(1352/($U$7*$U$8))+1,1)</f>
        <v/>
      </c>
      <c r="BO1365">
        <f>IF(1352&lt;$U$9,MOD(INT(1352/$U$8),$U$7)+1,1)</f>
        <v/>
      </c>
      <c r="BP1365">
        <f>IF(1352&lt;$U$9,MOD(1352,$U$8)+1,1)</f>
        <v/>
      </c>
      <c r="BQ1365">
        <f>IF(1352&lt;$U$9,SUMPRODUCT(($D$10:$L$10&lt;&gt;"")*(($D$9:$L$9+INT(($S$12:$AA$12+INDEX($AJ$13:$AR$162,BN1365,0)+INDEX($AT$13:$BB$162,BO1365,0)+INDEX($BD$13:$BL$162,BP1365,0))/100))&gt;=$D$10:$L$10)),0)</f>
        <v/>
      </c>
      <c r="BR1365">
        <f>IF(1352&lt;$U$9,SUMPRODUCT(($D$10:$L$10&lt;&gt;"")*(($D$10:$L$10-($D$9:$L$9+INT(($S$12:$AA$12+INDEX($AJ$13:$AR$162,BN1365,0)+INDEX($AT$13:$BB$162,BO1365,0)+INDEX($BD$13:$BL$162,BP1365,0))/100)))&gt;0)*($D$10:$L$10-($D$9:$L$9+INT(($S$12:$AA$12+INDEX($AJ$13:$AR$162,BN1365,0)+INDEX($AT$13:$BB$162,BO1365,0)+INDEX($BD$13:$BL$162,BP1365,0))/100)))),0)</f>
        <v/>
      </c>
      <c r="BS1365">
        <f>IF(1352&lt;$U$9,SUMPRODUCT(($D$9:$L$9+INT(($S$12:$AA$12+INDEX($AJ$13:$AR$162,BN1365,0)+INDEX($AT$13:$BB$162,BO1365,0)+INDEX($BD$13:$BL$162,BP1365,0))/100))),0)</f>
        <v/>
      </c>
      <c r="BT1365">
        <f>IF(AND(1352&lt;$U$9,$W$5),BQ1365*1000000-MIN(BR1365,999)*1000+BS1365-1352/100000,-1000000000-1352)</f>
        <v/>
      </c>
    </row>
    <row r="1366">
      <c r="BN1366">
        <f>IF(1353&lt;$U$9,INT(1353/($U$7*$U$8))+1,1)</f>
        <v/>
      </c>
      <c r="BO1366">
        <f>IF(1353&lt;$U$9,MOD(INT(1353/$U$8),$U$7)+1,1)</f>
        <v/>
      </c>
      <c r="BP1366">
        <f>IF(1353&lt;$U$9,MOD(1353,$U$8)+1,1)</f>
        <v/>
      </c>
      <c r="BQ1366">
        <f>IF(1353&lt;$U$9,SUMPRODUCT(($D$10:$L$10&lt;&gt;"")*(($D$9:$L$9+INT(($S$12:$AA$12+INDEX($AJ$13:$AR$162,BN1366,0)+INDEX($AT$13:$BB$162,BO1366,0)+INDEX($BD$13:$BL$162,BP1366,0))/100))&gt;=$D$10:$L$10)),0)</f>
        <v/>
      </c>
      <c r="BR1366">
        <f>IF(1353&lt;$U$9,SUMPRODUCT(($D$10:$L$10&lt;&gt;"")*(($D$10:$L$10-($D$9:$L$9+INT(($S$12:$AA$12+INDEX($AJ$13:$AR$162,BN1366,0)+INDEX($AT$13:$BB$162,BO1366,0)+INDEX($BD$13:$BL$162,BP1366,0))/100)))&gt;0)*($D$10:$L$10-($D$9:$L$9+INT(($S$12:$AA$12+INDEX($AJ$13:$AR$162,BN1366,0)+INDEX($AT$13:$BB$162,BO1366,0)+INDEX($BD$13:$BL$162,BP1366,0))/100)))),0)</f>
        <v/>
      </c>
      <c r="BS1366">
        <f>IF(1353&lt;$U$9,SUMPRODUCT(($D$9:$L$9+INT(($S$12:$AA$12+INDEX($AJ$13:$AR$162,BN1366,0)+INDEX($AT$13:$BB$162,BO1366,0)+INDEX($BD$13:$BL$162,BP1366,0))/100))),0)</f>
        <v/>
      </c>
      <c r="BT1366">
        <f>IF(AND(1353&lt;$U$9,$W$5),BQ1366*1000000-MIN(BR1366,999)*1000+BS1366-1353/100000,-1000000000-1353)</f>
        <v/>
      </c>
    </row>
    <row r="1367">
      <c r="BN1367">
        <f>IF(1354&lt;$U$9,INT(1354/($U$7*$U$8))+1,1)</f>
        <v/>
      </c>
      <c r="BO1367">
        <f>IF(1354&lt;$U$9,MOD(INT(1354/$U$8),$U$7)+1,1)</f>
        <v/>
      </c>
      <c r="BP1367">
        <f>IF(1354&lt;$U$9,MOD(1354,$U$8)+1,1)</f>
        <v/>
      </c>
      <c r="BQ1367">
        <f>IF(1354&lt;$U$9,SUMPRODUCT(($D$10:$L$10&lt;&gt;"")*(($D$9:$L$9+INT(($S$12:$AA$12+INDEX($AJ$13:$AR$162,BN1367,0)+INDEX($AT$13:$BB$162,BO1367,0)+INDEX($BD$13:$BL$162,BP1367,0))/100))&gt;=$D$10:$L$10)),0)</f>
        <v/>
      </c>
      <c r="BR1367">
        <f>IF(1354&lt;$U$9,SUMPRODUCT(($D$10:$L$10&lt;&gt;"")*(($D$10:$L$10-($D$9:$L$9+INT(($S$12:$AA$12+INDEX($AJ$13:$AR$162,BN1367,0)+INDEX($AT$13:$BB$162,BO1367,0)+INDEX($BD$13:$BL$162,BP1367,0))/100)))&gt;0)*($D$10:$L$10-($D$9:$L$9+INT(($S$12:$AA$12+INDEX($AJ$13:$AR$162,BN1367,0)+INDEX($AT$13:$BB$162,BO1367,0)+INDEX($BD$13:$BL$162,BP1367,0))/100)))),0)</f>
        <v/>
      </c>
      <c r="BS1367">
        <f>IF(1354&lt;$U$9,SUMPRODUCT(($D$9:$L$9+INT(($S$12:$AA$12+INDEX($AJ$13:$AR$162,BN1367,0)+INDEX($AT$13:$BB$162,BO1367,0)+INDEX($BD$13:$BL$162,BP1367,0))/100))),0)</f>
        <v/>
      </c>
      <c r="BT1367">
        <f>IF(AND(1354&lt;$U$9,$W$5),BQ1367*1000000-MIN(BR1367,999)*1000+BS1367-1354/100000,-1000000000-1354)</f>
        <v/>
      </c>
    </row>
    <row r="1368">
      <c r="BN1368">
        <f>IF(1355&lt;$U$9,INT(1355/($U$7*$U$8))+1,1)</f>
        <v/>
      </c>
      <c r="BO1368">
        <f>IF(1355&lt;$U$9,MOD(INT(1355/$U$8),$U$7)+1,1)</f>
        <v/>
      </c>
      <c r="BP1368">
        <f>IF(1355&lt;$U$9,MOD(1355,$U$8)+1,1)</f>
        <v/>
      </c>
      <c r="BQ1368">
        <f>IF(1355&lt;$U$9,SUMPRODUCT(($D$10:$L$10&lt;&gt;"")*(($D$9:$L$9+INT(($S$12:$AA$12+INDEX($AJ$13:$AR$162,BN1368,0)+INDEX($AT$13:$BB$162,BO1368,0)+INDEX($BD$13:$BL$162,BP1368,0))/100))&gt;=$D$10:$L$10)),0)</f>
        <v/>
      </c>
      <c r="BR1368">
        <f>IF(1355&lt;$U$9,SUMPRODUCT(($D$10:$L$10&lt;&gt;"")*(($D$10:$L$10-($D$9:$L$9+INT(($S$12:$AA$12+INDEX($AJ$13:$AR$162,BN1368,0)+INDEX($AT$13:$BB$162,BO1368,0)+INDEX($BD$13:$BL$162,BP1368,0))/100)))&gt;0)*($D$10:$L$10-($D$9:$L$9+INT(($S$12:$AA$12+INDEX($AJ$13:$AR$162,BN1368,0)+INDEX($AT$13:$BB$162,BO1368,0)+INDEX($BD$13:$BL$162,BP1368,0))/100)))),0)</f>
        <v/>
      </c>
      <c r="BS1368">
        <f>IF(1355&lt;$U$9,SUMPRODUCT(($D$9:$L$9+INT(($S$12:$AA$12+INDEX($AJ$13:$AR$162,BN1368,0)+INDEX($AT$13:$BB$162,BO1368,0)+INDEX($BD$13:$BL$162,BP1368,0))/100))),0)</f>
        <v/>
      </c>
      <c r="BT1368">
        <f>IF(AND(1355&lt;$U$9,$W$5),BQ1368*1000000-MIN(BR1368,999)*1000+BS1368-1355/100000,-1000000000-1355)</f>
        <v/>
      </c>
    </row>
    <row r="1369">
      <c r="BN1369">
        <f>IF(1356&lt;$U$9,INT(1356/($U$7*$U$8))+1,1)</f>
        <v/>
      </c>
      <c r="BO1369">
        <f>IF(1356&lt;$U$9,MOD(INT(1356/$U$8),$U$7)+1,1)</f>
        <v/>
      </c>
      <c r="BP1369">
        <f>IF(1356&lt;$U$9,MOD(1356,$U$8)+1,1)</f>
        <v/>
      </c>
      <c r="BQ1369">
        <f>IF(1356&lt;$U$9,SUMPRODUCT(($D$10:$L$10&lt;&gt;"")*(($D$9:$L$9+INT(($S$12:$AA$12+INDEX($AJ$13:$AR$162,BN1369,0)+INDEX($AT$13:$BB$162,BO1369,0)+INDEX($BD$13:$BL$162,BP1369,0))/100))&gt;=$D$10:$L$10)),0)</f>
        <v/>
      </c>
      <c r="BR1369">
        <f>IF(1356&lt;$U$9,SUMPRODUCT(($D$10:$L$10&lt;&gt;"")*(($D$10:$L$10-($D$9:$L$9+INT(($S$12:$AA$12+INDEX($AJ$13:$AR$162,BN1369,0)+INDEX($AT$13:$BB$162,BO1369,0)+INDEX($BD$13:$BL$162,BP1369,0))/100)))&gt;0)*($D$10:$L$10-($D$9:$L$9+INT(($S$12:$AA$12+INDEX($AJ$13:$AR$162,BN1369,0)+INDEX($AT$13:$BB$162,BO1369,0)+INDEX($BD$13:$BL$162,BP1369,0))/100)))),0)</f>
        <v/>
      </c>
      <c r="BS1369">
        <f>IF(1356&lt;$U$9,SUMPRODUCT(($D$9:$L$9+INT(($S$12:$AA$12+INDEX($AJ$13:$AR$162,BN1369,0)+INDEX($AT$13:$BB$162,BO1369,0)+INDEX($BD$13:$BL$162,BP1369,0))/100))),0)</f>
        <v/>
      </c>
      <c r="BT1369">
        <f>IF(AND(1356&lt;$U$9,$W$5),BQ1369*1000000-MIN(BR1369,999)*1000+BS1369-1356/100000,-1000000000-1356)</f>
        <v/>
      </c>
    </row>
    <row r="1370">
      <c r="BN1370">
        <f>IF(1357&lt;$U$9,INT(1357/($U$7*$U$8))+1,1)</f>
        <v/>
      </c>
      <c r="BO1370">
        <f>IF(1357&lt;$U$9,MOD(INT(1357/$U$8),$U$7)+1,1)</f>
        <v/>
      </c>
      <c r="BP1370">
        <f>IF(1357&lt;$U$9,MOD(1357,$U$8)+1,1)</f>
        <v/>
      </c>
      <c r="BQ1370">
        <f>IF(1357&lt;$U$9,SUMPRODUCT(($D$10:$L$10&lt;&gt;"")*(($D$9:$L$9+INT(($S$12:$AA$12+INDEX($AJ$13:$AR$162,BN1370,0)+INDEX($AT$13:$BB$162,BO1370,0)+INDEX($BD$13:$BL$162,BP1370,0))/100))&gt;=$D$10:$L$10)),0)</f>
        <v/>
      </c>
      <c r="BR1370">
        <f>IF(1357&lt;$U$9,SUMPRODUCT(($D$10:$L$10&lt;&gt;"")*(($D$10:$L$10-($D$9:$L$9+INT(($S$12:$AA$12+INDEX($AJ$13:$AR$162,BN1370,0)+INDEX($AT$13:$BB$162,BO1370,0)+INDEX($BD$13:$BL$162,BP1370,0))/100)))&gt;0)*($D$10:$L$10-($D$9:$L$9+INT(($S$12:$AA$12+INDEX($AJ$13:$AR$162,BN1370,0)+INDEX($AT$13:$BB$162,BO1370,0)+INDEX($BD$13:$BL$162,BP1370,0))/100)))),0)</f>
        <v/>
      </c>
      <c r="BS1370">
        <f>IF(1357&lt;$U$9,SUMPRODUCT(($D$9:$L$9+INT(($S$12:$AA$12+INDEX($AJ$13:$AR$162,BN1370,0)+INDEX($AT$13:$BB$162,BO1370,0)+INDEX($BD$13:$BL$162,BP1370,0))/100))),0)</f>
        <v/>
      </c>
      <c r="BT1370">
        <f>IF(AND(1357&lt;$U$9,$W$5),BQ1370*1000000-MIN(BR1370,999)*1000+BS1370-1357/100000,-1000000000-1357)</f>
        <v/>
      </c>
    </row>
    <row r="1371">
      <c r="BN1371">
        <f>IF(1358&lt;$U$9,INT(1358/($U$7*$U$8))+1,1)</f>
        <v/>
      </c>
      <c r="BO1371">
        <f>IF(1358&lt;$U$9,MOD(INT(1358/$U$8),$U$7)+1,1)</f>
        <v/>
      </c>
      <c r="BP1371">
        <f>IF(1358&lt;$U$9,MOD(1358,$U$8)+1,1)</f>
        <v/>
      </c>
      <c r="BQ1371">
        <f>IF(1358&lt;$U$9,SUMPRODUCT(($D$10:$L$10&lt;&gt;"")*(($D$9:$L$9+INT(($S$12:$AA$12+INDEX($AJ$13:$AR$162,BN1371,0)+INDEX($AT$13:$BB$162,BO1371,0)+INDEX($BD$13:$BL$162,BP1371,0))/100))&gt;=$D$10:$L$10)),0)</f>
        <v/>
      </c>
      <c r="BR1371">
        <f>IF(1358&lt;$U$9,SUMPRODUCT(($D$10:$L$10&lt;&gt;"")*(($D$10:$L$10-($D$9:$L$9+INT(($S$12:$AA$12+INDEX($AJ$13:$AR$162,BN1371,0)+INDEX($AT$13:$BB$162,BO1371,0)+INDEX($BD$13:$BL$162,BP1371,0))/100)))&gt;0)*($D$10:$L$10-($D$9:$L$9+INT(($S$12:$AA$12+INDEX($AJ$13:$AR$162,BN1371,0)+INDEX($AT$13:$BB$162,BO1371,0)+INDEX($BD$13:$BL$162,BP1371,0))/100)))),0)</f>
        <v/>
      </c>
      <c r="BS1371">
        <f>IF(1358&lt;$U$9,SUMPRODUCT(($D$9:$L$9+INT(($S$12:$AA$12+INDEX($AJ$13:$AR$162,BN1371,0)+INDEX($AT$13:$BB$162,BO1371,0)+INDEX($BD$13:$BL$162,BP1371,0))/100))),0)</f>
        <v/>
      </c>
      <c r="BT1371">
        <f>IF(AND(1358&lt;$U$9,$W$5),BQ1371*1000000-MIN(BR1371,999)*1000+BS1371-1358/100000,-1000000000-1358)</f>
        <v/>
      </c>
    </row>
    <row r="1372">
      <c r="BN1372">
        <f>IF(1359&lt;$U$9,INT(1359/($U$7*$U$8))+1,1)</f>
        <v/>
      </c>
      <c r="BO1372">
        <f>IF(1359&lt;$U$9,MOD(INT(1359/$U$8),$U$7)+1,1)</f>
        <v/>
      </c>
      <c r="BP1372">
        <f>IF(1359&lt;$U$9,MOD(1359,$U$8)+1,1)</f>
        <v/>
      </c>
      <c r="BQ1372">
        <f>IF(1359&lt;$U$9,SUMPRODUCT(($D$10:$L$10&lt;&gt;"")*(($D$9:$L$9+INT(($S$12:$AA$12+INDEX($AJ$13:$AR$162,BN1372,0)+INDEX($AT$13:$BB$162,BO1372,0)+INDEX($BD$13:$BL$162,BP1372,0))/100))&gt;=$D$10:$L$10)),0)</f>
        <v/>
      </c>
      <c r="BR1372">
        <f>IF(1359&lt;$U$9,SUMPRODUCT(($D$10:$L$10&lt;&gt;"")*(($D$10:$L$10-($D$9:$L$9+INT(($S$12:$AA$12+INDEX($AJ$13:$AR$162,BN1372,0)+INDEX($AT$13:$BB$162,BO1372,0)+INDEX($BD$13:$BL$162,BP1372,0))/100)))&gt;0)*($D$10:$L$10-($D$9:$L$9+INT(($S$12:$AA$12+INDEX($AJ$13:$AR$162,BN1372,0)+INDEX($AT$13:$BB$162,BO1372,0)+INDEX($BD$13:$BL$162,BP1372,0))/100)))),0)</f>
        <v/>
      </c>
      <c r="BS1372">
        <f>IF(1359&lt;$U$9,SUMPRODUCT(($D$9:$L$9+INT(($S$12:$AA$12+INDEX($AJ$13:$AR$162,BN1372,0)+INDEX($AT$13:$BB$162,BO1372,0)+INDEX($BD$13:$BL$162,BP1372,0))/100))),0)</f>
        <v/>
      </c>
      <c r="BT1372">
        <f>IF(AND(1359&lt;$U$9,$W$5),BQ1372*1000000-MIN(BR1372,999)*1000+BS1372-1359/100000,-1000000000-1359)</f>
        <v/>
      </c>
    </row>
    <row r="1373">
      <c r="BN1373">
        <f>IF(1360&lt;$U$9,INT(1360/($U$7*$U$8))+1,1)</f>
        <v/>
      </c>
      <c r="BO1373">
        <f>IF(1360&lt;$U$9,MOD(INT(1360/$U$8),$U$7)+1,1)</f>
        <v/>
      </c>
      <c r="BP1373">
        <f>IF(1360&lt;$U$9,MOD(1360,$U$8)+1,1)</f>
        <v/>
      </c>
      <c r="BQ1373">
        <f>IF(1360&lt;$U$9,SUMPRODUCT(($D$10:$L$10&lt;&gt;"")*(($D$9:$L$9+INT(($S$12:$AA$12+INDEX($AJ$13:$AR$162,BN1373,0)+INDEX($AT$13:$BB$162,BO1373,0)+INDEX($BD$13:$BL$162,BP1373,0))/100))&gt;=$D$10:$L$10)),0)</f>
        <v/>
      </c>
      <c r="BR1373">
        <f>IF(1360&lt;$U$9,SUMPRODUCT(($D$10:$L$10&lt;&gt;"")*(($D$10:$L$10-($D$9:$L$9+INT(($S$12:$AA$12+INDEX($AJ$13:$AR$162,BN1373,0)+INDEX($AT$13:$BB$162,BO1373,0)+INDEX($BD$13:$BL$162,BP1373,0))/100)))&gt;0)*($D$10:$L$10-($D$9:$L$9+INT(($S$12:$AA$12+INDEX($AJ$13:$AR$162,BN1373,0)+INDEX($AT$13:$BB$162,BO1373,0)+INDEX($BD$13:$BL$162,BP1373,0))/100)))),0)</f>
        <v/>
      </c>
      <c r="BS1373">
        <f>IF(1360&lt;$U$9,SUMPRODUCT(($D$9:$L$9+INT(($S$12:$AA$12+INDEX($AJ$13:$AR$162,BN1373,0)+INDEX($AT$13:$BB$162,BO1373,0)+INDEX($BD$13:$BL$162,BP1373,0))/100))),0)</f>
        <v/>
      </c>
      <c r="BT1373">
        <f>IF(AND(1360&lt;$U$9,$W$5),BQ1373*1000000-MIN(BR1373,999)*1000+BS1373-1360/100000,-1000000000-1360)</f>
        <v/>
      </c>
    </row>
    <row r="1374">
      <c r="BN1374">
        <f>IF(1361&lt;$U$9,INT(1361/($U$7*$U$8))+1,1)</f>
        <v/>
      </c>
      <c r="BO1374">
        <f>IF(1361&lt;$U$9,MOD(INT(1361/$U$8),$U$7)+1,1)</f>
        <v/>
      </c>
      <c r="BP1374">
        <f>IF(1361&lt;$U$9,MOD(1361,$U$8)+1,1)</f>
        <v/>
      </c>
      <c r="BQ1374">
        <f>IF(1361&lt;$U$9,SUMPRODUCT(($D$10:$L$10&lt;&gt;"")*(($D$9:$L$9+INT(($S$12:$AA$12+INDEX($AJ$13:$AR$162,BN1374,0)+INDEX($AT$13:$BB$162,BO1374,0)+INDEX($BD$13:$BL$162,BP1374,0))/100))&gt;=$D$10:$L$10)),0)</f>
        <v/>
      </c>
      <c r="BR1374">
        <f>IF(1361&lt;$U$9,SUMPRODUCT(($D$10:$L$10&lt;&gt;"")*(($D$10:$L$10-($D$9:$L$9+INT(($S$12:$AA$12+INDEX($AJ$13:$AR$162,BN1374,0)+INDEX($AT$13:$BB$162,BO1374,0)+INDEX($BD$13:$BL$162,BP1374,0))/100)))&gt;0)*($D$10:$L$10-($D$9:$L$9+INT(($S$12:$AA$12+INDEX($AJ$13:$AR$162,BN1374,0)+INDEX($AT$13:$BB$162,BO1374,0)+INDEX($BD$13:$BL$162,BP1374,0))/100)))),0)</f>
        <v/>
      </c>
      <c r="BS1374">
        <f>IF(1361&lt;$U$9,SUMPRODUCT(($D$9:$L$9+INT(($S$12:$AA$12+INDEX($AJ$13:$AR$162,BN1374,0)+INDEX($AT$13:$BB$162,BO1374,0)+INDEX($BD$13:$BL$162,BP1374,0))/100))),0)</f>
        <v/>
      </c>
      <c r="BT1374">
        <f>IF(AND(1361&lt;$U$9,$W$5),BQ1374*1000000-MIN(BR1374,999)*1000+BS1374-1361/100000,-1000000000-1361)</f>
        <v/>
      </c>
    </row>
    <row r="1375">
      <c r="BN1375">
        <f>IF(1362&lt;$U$9,INT(1362/($U$7*$U$8))+1,1)</f>
        <v/>
      </c>
      <c r="BO1375">
        <f>IF(1362&lt;$U$9,MOD(INT(1362/$U$8),$U$7)+1,1)</f>
        <v/>
      </c>
      <c r="BP1375">
        <f>IF(1362&lt;$U$9,MOD(1362,$U$8)+1,1)</f>
        <v/>
      </c>
      <c r="BQ1375">
        <f>IF(1362&lt;$U$9,SUMPRODUCT(($D$10:$L$10&lt;&gt;"")*(($D$9:$L$9+INT(($S$12:$AA$12+INDEX($AJ$13:$AR$162,BN1375,0)+INDEX($AT$13:$BB$162,BO1375,0)+INDEX($BD$13:$BL$162,BP1375,0))/100))&gt;=$D$10:$L$10)),0)</f>
        <v/>
      </c>
      <c r="BR1375">
        <f>IF(1362&lt;$U$9,SUMPRODUCT(($D$10:$L$10&lt;&gt;"")*(($D$10:$L$10-($D$9:$L$9+INT(($S$12:$AA$12+INDEX($AJ$13:$AR$162,BN1375,0)+INDEX($AT$13:$BB$162,BO1375,0)+INDEX($BD$13:$BL$162,BP1375,0))/100)))&gt;0)*($D$10:$L$10-($D$9:$L$9+INT(($S$12:$AA$12+INDEX($AJ$13:$AR$162,BN1375,0)+INDEX($AT$13:$BB$162,BO1375,0)+INDEX($BD$13:$BL$162,BP1375,0))/100)))),0)</f>
        <v/>
      </c>
      <c r="BS1375">
        <f>IF(1362&lt;$U$9,SUMPRODUCT(($D$9:$L$9+INT(($S$12:$AA$12+INDEX($AJ$13:$AR$162,BN1375,0)+INDEX($AT$13:$BB$162,BO1375,0)+INDEX($BD$13:$BL$162,BP1375,0))/100))),0)</f>
        <v/>
      </c>
      <c r="BT1375">
        <f>IF(AND(1362&lt;$U$9,$W$5),BQ1375*1000000-MIN(BR1375,999)*1000+BS1375-1362/100000,-1000000000-1362)</f>
        <v/>
      </c>
    </row>
    <row r="1376">
      <c r="BN1376">
        <f>IF(1363&lt;$U$9,INT(1363/($U$7*$U$8))+1,1)</f>
        <v/>
      </c>
      <c r="BO1376">
        <f>IF(1363&lt;$U$9,MOD(INT(1363/$U$8),$U$7)+1,1)</f>
        <v/>
      </c>
      <c r="BP1376">
        <f>IF(1363&lt;$U$9,MOD(1363,$U$8)+1,1)</f>
        <v/>
      </c>
      <c r="BQ1376">
        <f>IF(1363&lt;$U$9,SUMPRODUCT(($D$10:$L$10&lt;&gt;"")*(($D$9:$L$9+INT(($S$12:$AA$12+INDEX($AJ$13:$AR$162,BN1376,0)+INDEX($AT$13:$BB$162,BO1376,0)+INDEX($BD$13:$BL$162,BP1376,0))/100))&gt;=$D$10:$L$10)),0)</f>
        <v/>
      </c>
      <c r="BR1376">
        <f>IF(1363&lt;$U$9,SUMPRODUCT(($D$10:$L$10&lt;&gt;"")*(($D$10:$L$10-($D$9:$L$9+INT(($S$12:$AA$12+INDEX($AJ$13:$AR$162,BN1376,0)+INDEX($AT$13:$BB$162,BO1376,0)+INDEX($BD$13:$BL$162,BP1376,0))/100)))&gt;0)*($D$10:$L$10-($D$9:$L$9+INT(($S$12:$AA$12+INDEX($AJ$13:$AR$162,BN1376,0)+INDEX($AT$13:$BB$162,BO1376,0)+INDEX($BD$13:$BL$162,BP1376,0))/100)))),0)</f>
        <v/>
      </c>
      <c r="BS1376">
        <f>IF(1363&lt;$U$9,SUMPRODUCT(($D$9:$L$9+INT(($S$12:$AA$12+INDEX($AJ$13:$AR$162,BN1376,0)+INDEX($AT$13:$BB$162,BO1376,0)+INDEX($BD$13:$BL$162,BP1376,0))/100))),0)</f>
        <v/>
      </c>
      <c r="BT1376">
        <f>IF(AND(1363&lt;$U$9,$W$5),BQ1376*1000000-MIN(BR1376,999)*1000+BS1376-1363/100000,-1000000000-1363)</f>
        <v/>
      </c>
    </row>
    <row r="1377">
      <c r="BN1377">
        <f>IF(1364&lt;$U$9,INT(1364/($U$7*$U$8))+1,1)</f>
        <v/>
      </c>
      <c r="BO1377">
        <f>IF(1364&lt;$U$9,MOD(INT(1364/$U$8),$U$7)+1,1)</f>
        <v/>
      </c>
      <c r="BP1377">
        <f>IF(1364&lt;$U$9,MOD(1364,$U$8)+1,1)</f>
        <v/>
      </c>
      <c r="BQ1377">
        <f>IF(1364&lt;$U$9,SUMPRODUCT(($D$10:$L$10&lt;&gt;"")*(($D$9:$L$9+INT(($S$12:$AA$12+INDEX($AJ$13:$AR$162,BN1377,0)+INDEX($AT$13:$BB$162,BO1377,0)+INDEX($BD$13:$BL$162,BP1377,0))/100))&gt;=$D$10:$L$10)),0)</f>
        <v/>
      </c>
      <c r="BR1377">
        <f>IF(1364&lt;$U$9,SUMPRODUCT(($D$10:$L$10&lt;&gt;"")*(($D$10:$L$10-($D$9:$L$9+INT(($S$12:$AA$12+INDEX($AJ$13:$AR$162,BN1377,0)+INDEX($AT$13:$BB$162,BO1377,0)+INDEX($BD$13:$BL$162,BP1377,0))/100)))&gt;0)*($D$10:$L$10-($D$9:$L$9+INT(($S$12:$AA$12+INDEX($AJ$13:$AR$162,BN1377,0)+INDEX($AT$13:$BB$162,BO1377,0)+INDEX($BD$13:$BL$162,BP1377,0))/100)))),0)</f>
        <v/>
      </c>
      <c r="BS1377">
        <f>IF(1364&lt;$U$9,SUMPRODUCT(($D$9:$L$9+INT(($S$12:$AA$12+INDEX($AJ$13:$AR$162,BN1377,0)+INDEX($AT$13:$BB$162,BO1377,0)+INDEX($BD$13:$BL$162,BP1377,0))/100))),0)</f>
        <v/>
      </c>
      <c r="BT1377">
        <f>IF(AND(1364&lt;$U$9,$W$5),BQ1377*1000000-MIN(BR1377,999)*1000+BS1377-1364/100000,-1000000000-1364)</f>
        <v/>
      </c>
    </row>
    <row r="1378">
      <c r="BN1378">
        <f>IF(1365&lt;$U$9,INT(1365/($U$7*$U$8))+1,1)</f>
        <v/>
      </c>
      <c r="BO1378">
        <f>IF(1365&lt;$U$9,MOD(INT(1365/$U$8),$U$7)+1,1)</f>
        <v/>
      </c>
      <c r="BP1378">
        <f>IF(1365&lt;$U$9,MOD(1365,$U$8)+1,1)</f>
        <v/>
      </c>
      <c r="BQ1378">
        <f>IF(1365&lt;$U$9,SUMPRODUCT(($D$10:$L$10&lt;&gt;"")*(($D$9:$L$9+INT(($S$12:$AA$12+INDEX($AJ$13:$AR$162,BN1378,0)+INDEX($AT$13:$BB$162,BO1378,0)+INDEX($BD$13:$BL$162,BP1378,0))/100))&gt;=$D$10:$L$10)),0)</f>
        <v/>
      </c>
      <c r="BR1378">
        <f>IF(1365&lt;$U$9,SUMPRODUCT(($D$10:$L$10&lt;&gt;"")*(($D$10:$L$10-($D$9:$L$9+INT(($S$12:$AA$12+INDEX($AJ$13:$AR$162,BN1378,0)+INDEX($AT$13:$BB$162,BO1378,0)+INDEX($BD$13:$BL$162,BP1378,0))/100)))&gt;0)*($D$10:$L$10-($D$9:$L$9+INT(($S$12:$AA$12+INDEX($AJ$13:$AR$162,BN1378,0)+INDEX($AT$13:$BB$162,BO1378,0)+INDEX($BD$13:$BL$162,BP1378,0))/100)))),0)</f>
        <v/>
      </c>
      <c r="BS1378">
        <f>IF(1365&lt;$U$9,SUMPRODUCT(($D$9:$L$9+INT(($S$12:$AA$12+INDEX($AJ$13:$AR$162,BN1378,0)+INDEX($AT$13:$BB$162,BO1378,0)+INDEX($BD$13:$BL$162,BP1378,0))/100))),0)</f>
        <v/>
      </c>
      <c r="BT1378">
        <f>IF(AND(1365&lt;$U$9,$W$5),BQ1378*1000000-MIN(BR1378,999)*1000+BS1378-1365/100000,-1000000000-1365)</f>
        <v/>
      </c>
    </row>
    <row r="1379">
      <c r="BN1379">
        <f>IF(1366&lt;$U$9,INT(1366/($U$7*$U$8))+1,1)</f>
        <v/>
      </c>
      <c r="BO1379">
        <f>IF(1366&lt;$U$9,MOD(INT(1366/$U$8),$U$7)+1,1)</f>
        <v/>
      </c>
      <c r="BP1379">
        <f>IF(1366&lt;$U$9,MOD(1366,$U$8)+1,1)</f>
        <v/>
      </c>
      <c r="BQ1379">
        <f>IF(1366&lt;$U$9,SUMPRODUCT(($D$10:$L$10&lt;&gt;"")*(($D$9:$L$9+INT(($S$12:$AA$12+INDEX($AJ$13:$AR$162,BN1379,0)+INDEX($AT$13:$BB$162,BO1379,0)+INDEX($BD$13:$BL$162,BP1379,0))/100))&gt;=$D$10:$L$10)),0)</f>
        <v/>
      </c>
      <c r="BR1379">
        <f>IF(1366&lt;$U$9,SUMPRODUCT(($D$10:$L$10&lt;&gt;"")*(($D$10:$L$10-($D$9:$L$9+INT(($S$12:$AA$12+INDEX($AJ$13:$AR$162,BN1379,0)+INDEX($AT$13:$BB$162,BO1379,0)+INDEX($BD$13:$BL$162,BP1379,0))/100)))&gt;0)*($D$10:$L$10-($D$9:$L$9+INT(($S$12:$AA$12+INDEX($AJ$13:$AR$162,BN1379,0)+INDEX($AT$13:$BB$162,BO1379,0)+INDEX($BD$13:$BL$162,BP1379,0))/100)))),0)</f>
        <v/>
      </c>
      <c r="BS1379">
        <f>IF(1366&lt;$U$9,SUMPRODUCT(($D$9:$L$9+INT(($S$12:$AA$12+INDEX($AJ$13:$AR$162,BN1379,0)+INDEX($AT$13:$BB$162,BO1379,0)+INDEX($BD$13:$BL$162,BP1379,0))/100))),0)</f>
        <v/>
      </c>
      <c r="BT1379">
        <f>IF(AND(1366&lt;$U$9,$W$5),BQ1379*1000000-MIN(BR1379,999)*1000+BS1379-1366/100000,-1000000000-1366)</f>
        <v/>
      </c>
    </row>
    <row r="1380">
      <c r="BN1380">
        <f>IF(1367&lt;$U$9,INT(1367/($U$7*$U$8))+1,1)</f>
        <v/>
      </c>
      <c r="BO1380">
        <f>IF(1367&lt;$U$9,MOD(INT(1367/$U$8),$U$7)+1,1)</f>
        <v/>
      </c>
      <c r="BP1380">
        <f>IF(1367&lt;$U$9,MOD(1367,$U$8)+1,1)</f>
        <v/>
      </c>
      <c r="BQ1380">
        <f>IF(1367&lt;$U$9,SUMPRODUCT(($D$10:$L$10&lt;&gt;"")*(($D$9:$L$9+INT(($S$12:$AA$12+INDEX($AJ$13:$AR$162,BN1380,0)+INDEX($AT$13:$BB$162,BO1380,0)+INDEX($BD$13:$BL$162,BP1380,0))/100))&gt;=$D$10:$L$10)),0)</f>
        <v/>
      </c>
      <c r="BR1380">
        <f>IF(1367&lt;$U$9,SUMPRODUCT(($D$10:$L$10&lt;&gt;"")*(($D$10:$L$10-($D$9:$L$9+INT(($S$12:$AA$12+INDEX($AJ$13:$AR$162,BN1380,0)+INDEX($AT$13:$BB$162,BO1380,0)+INDEX($BD$13:$BL$162,BP1380,0))/100)))&gt;0)*($D$10:$L$10-($D$9:$L$9+INT(($S$12:$AA$12+INDEX($AJ$13:$AR$162,BN1380,0)+INDEX($AT$13:$BB$162,BO1380,0)+INDEX($BD$13:$BL$162,BP1380,0))/100)))),0)</f>
        <v/>
      </c>
      <c r="BS1380">
        <f>IF(1367&lt;$U$9,SUMPRODUCT(($D$9:$L$9+INT(($S$12:$AA$12+INDEX($AJ$13:$AR$162,BN1380,0)+INDEX($AT$13:$BB$162,BO1380,0)+INDEX($BD$13:$BL$162,BP1380,0))/100))),0)</f>
        <v/>
      </c>
      <c r="BT1380">
        <f>IF(AND(1367&lt;$U$9,$W$5),BQ1380*1000000-MIN(BR1380,999)*1000+BS1380-1367/100000,-1000000000-1367)</f>
        <v/>
      </c>
    </row>
    <row r="1381">
      <c r="BN1381">
        <f>IF(1368&lt;$U$9,INT(1368/($U$7*$U$8))+1,1)</f>
        <v/>
      </c>
      <c r="BO1381">
        <f>IF(1368&lt;$U$9,MOD(INT(1368/$U$8),$U$7)+1,1)</f>
        <v/>
      </c>
      <c r="BP1381">
        <f>IF(1368&lt;$U$9,MOD(1368,$U$8)+1,1)</f>
        <v/>
      </c>
      <c r="BQ1381">
        <f>IF(1368&lt;$U$9,SUMPRODUCT(($D$10:$L$10&lt;&gt;"")*(($D$9:$L$9+INT(($S$12:$AA$12+INDEX($AJ$13:$AR$162,BN1381,0)+INDEX($AT$13:$BB$162,BO1381,0)+INDEX($BD$13:$BL$162,BP1381,0))/100))&gt;=$D$10:$L$10)),0)</f>
        <v/>
      </c>
      <c r="BR1381">
        <f>IF(1368&lt;$U$9,SUMPRODUCT(($D$10:$L$10&lt;&gt;"")*(($D$10:$L$10-($D$9:$L$9+INT(($S$12:$AA$12+INDEX($AJ$13:$AR$162,BN1381,0)+INDEX($AT$13:$BB$162,BO1381,0)+INDEX($BD$13:$BL$162,BP1381,0))/100)))&gt;0)*($D$10:$L$10-($D$9:$L$9+INT(($S$12:$AA$12+INDEX($AJ$13:$AR$162,BN1381,0)+INDEX($AT$13:$BB$162,BO1381,0)+INDEX($BD$13:$BL$162,BP1381,0))/100)))),0)</f>
        <v/>
      </c>
      <c r="BS1381">
        <f>IF(1368&lt;$U$9,SUMPRODUCT(($D$9:$L$9+INT(($S$12:$AA$12+INDEX($AJ$13:$AR$162,BN1381,0)+INDEX($AT$13:$BB$162,BO1381,0)+INDEX($BD$13:$BL$162,BP1381,0))/100))),0)</f>
        <v/>
      </c>
      <c r="BT1381">
        <f>IF(AND(1368&lt;$U$9,$W$5),BQ1381*1000000-MIN(BR1381,999)*1000+BS1381-1368/100000,-1000000000-1368)</f>
        <v/>
      </c>
    </row>
    <row r="1382">
      <c r="BN1382">
        <f>IF(1369&lt;$U$9,INT(1369/($U$7*$U$8))+1,1)</f>
        <v/>
      </c>
      <c r="BO1382">
        <f>IF(1369&lt;$U$9,MOD(INT(1369/$U$8),$U$7)+1,1)</f>
        <v/>
      </c>
      <c r="BP1382">
        <f>IF(1369&lt;$U$9,MOD(1369,$U$8)+1,1)</f>
        <v/>
      </c>
      <c r="BQ1382">
        <f>IF(1369&lt;$U$9,SUMPRODUCT(($D$10:$L$10&lt;&gt;"")*(($D$9:$L$9+INT(($S$12:$AA$12+INDEX($AJ$13:$AR$162,BN1382,0)+INDEX($AT$13:$BB$162,BO1382,0)+INDEX($BD$13:$BL$162,BP1382,0))/100))&gt;=$D$10:$L$10)),0)</f>
        <v/>
      </c>
      <c r="BR1382">
        <f>IF(1369&lt;$U$9,SUMPRODUCT(($D$10:$L$10&lt;&gt;"")*(($D$10:$L$10-($D$9:$L$9+INT(($S$12:$AA$12+INDEX($AJ$13:$AR$162,BN1382,0)+INDEX($AT$13:$BB$162,BO1382,0)+INDEX($BD$13:$BL$162,BP1382,0))/100)))&gt;0)*($D$10:$L$10-($D$9:$L$9+INT(($S$12:$AA$12+INDEX($AJ$13:$AR$162,BN1382,0)+INDEX($AT$13:$BB$162,BO1382,0)+INDEX($BD$13:$BL$162,BP1382,0))/100)))),0)</f>
        <v/>
      </c>
      <c r="BS1382">
        <f>IF(1369&lt;$U$9,SUMPRODUCT(($D$9:$L$9+INT(($S$12:$AA$12+INDEX($AJ$13:$AR$162,BN1382,0)+INDEX($AT$13:$BB$162,BO1382,0)+INDEX($BD$13:$BL$162,BP1382,0))/100))),0)</f>
        <v/>
      </c>
      <c r="BT1382">
        <f>IF(AND(1369&lt;$U$9,$W$5),BQ1382*1000000-MIN(BR1382,999)*1000+BS1382-1369/100000,-1000000000-1369)</f>
        <v/>
      </c>
    </row>
    <row r="1383">
      <c r="BN1383">
        <f>IF(1370&lt;$U$9,INT(1370/($U$7*$U$8))+1,1)</f>
        <v/>
      </c>
      <c r="BO1383">
        <f>IF(1370&lt;$U$9,MOD(INT(1370/$U$8),$U$7)+1,1)</f>
        <v/>
      </c>
      <c r="BP1383">
        <f>IF(1370&lt;$U$9,MOD(1370,$U$8)+1,1)</f>
        <v/>
      </c>
      <c r="BQ1383">
        <f>IF(1370&lt;$U$9,SUMPRODUCT(($D$10:$L$10&lt;&gt;"")*(($D$9:$L$9+INT(($S$12:$AA$12+INDEX($AJ$13:$AR$162,BN1383,0)+INDEX($AT$13:$BB$162,BO1383,0)+INDEX($BD$13:$BL$162,BP1383,0))/100))&gt;=$D$10:$L$10)),0)</f>
        <v/>
      </c>
      <c r="BR1383">
        <f>IF(1370&lt;$U$9,SUMPRODUCT(($D$10:$L$10&lt;&gt;"")*(($D$10:$L$10-($D$9:$L$9+INT(($S$12:$AA$12+INDEX($AJ$13:$AR$162,BN1383,0)+INDEX($AT$13:$BB$162,BO1383,0)+INDEX($BD$13:$BL$162,BP1383,0))/100)))&gt;0)*($D$10:$L$10-($D$9:$L$9+INT(($S$12:$AA$12+INDEX($AJ$13:$AR$162,BN1383,0)+INDEX($AT$13:$BB$162,BO1383,0)+INDEX($BD$13:$BL$162,BP1383,0))/100)))),0)</f>
        <v/>
      </c>
      <c r="BS1383">
        <f>IF(1370&lt;$U$9,SUMPRODUCT(($D$9:$L$9+INT(($S$12:$AA$12+INDEX($AJ$13:$AR$162,BN1383,0)+INDEX($AT$13:$BB$162,BO1383,0)+INDEX($BD$13:$BL$162,BP1383,0))/100))),0)</f>
        <v/>
      </c>
      <c r="BT1383">
        <f>IF(AND(1370&lt;$U$9,$W$5),BQ1383*1000000-MIN(BR1383,999)*1000+BS1383-1370/100000,-1000000000-1370)</f>
        <v/>
      </c>
    </row>
    <row r="1384">
      <c r="BN1384">
        <f>IF(1371&lt;$U$9,INT(1371/($U$7*$U$8))+1,1)</f>
        <v/>
      </c>
      <c r="BO1384">
        <f>IF(1371&lt;$U$9,MOD(INT(1371/$U$8),$U$7)+1,1)</f>
        <v/>
      </c>
      <c r="BP1384">
        <f>IF(1371&lt;$U$9,MOD(1371,$U$8)+1,1)</f>
        <v/>
      </c>
      <c r="BQ1384">
        <f>IF(1371&lt;$U$9,SUMPRODUCT(($D$10:$L$10&lt;&gt;"")*(($D$9:$L$9+INT(($S$12:$AA$12+INDEX($AJ$13:$AR$162,BN1384,0)+INDEX($AT$13:$BB$162,BO1384,0)+INDEX($BD$13:$BL$162,BP1384,0))/100))&gt;=$D$10:$L$10)),0)</f>
        <v/>
      </c>
      <c r="BR1384">
        <f>IF(1371&lt;$U$9,SUMPRODUCT(($D$10:$L$10&lt;&gt;"")*(($D$10:$L$10-($D$9:$L$9+INT(($S$12:$AA$12+INDEX($AJ$13:$AR$162,BN1384,0)+INDEX($AT$13:$BB$162,BO1384,0)+INDEX($BD$13:$BL$162,BP1384,0))/100)))&gt;0)*($D$10:$L$10-($D$9:$L$9+INT(($S$12:$AA$12+INDEX($AJ$13:$AR$162,BN1384,0)+INDEX($AT$13:$BB$162,BO1384,0)+INDEX($BD$13:$BL$162,BP1384,0))/100)))),0)</f>
        <v/>
      </c>
      <c r="BS1384">
        <f>IF(1371&lt;$U$9,SUMPRODUCT(($D$9:$L$9+INT(($S$12:$AA$12+INDEX($AJ$13:$AR$162,BN1384,0)+INDEX($AT$13:$BB$162,BO1384,0)+INDEX($BD$13:$BL$162,BP1384,0))/100))),0)</f>
        <v/>
      </c>
      <c r="BT1384">
        <f>IF(AND(1371&lt;$U$9,$W$5),BQ1384*1000000-MIN(BR1384,999)*1000+BS1384-1371/100000,-1000000000-1371)</f>
        <v/>
      </c>
    </row>
    <row r="1385">
      <c r="BN1385">
        <f>IF(1372&lt;$U$9,INT(1372/($U$7*$U$8))+1,1)</f>
        <v/>
      </c>
      <c r="BO1385">
        <f>IF(1372&lt;$U$9,MOD(INT(1372/$U$8),$U$7)+1,1)</f>
        <v/>
      </c>
      <c r="BP1385">
        <f>IF(1372&lt;$U$9,MOD(1372,$U$8)+1,1)</f>
        <v/>
      </c>
      <c r="BQ1385">
        <f>IF(1372&lt;$U$9,SUMPRODUCT(($D$10:$L$10&lt;&gt;"")*(($D$9:$L$9+INT(($S$12:$AA$12+INDEX($AJ$13:$AR$162,BN1385,0)+INDEX($AT$13:$BB$162,BO1385,0)+INDEX($BD$13:$BL$162,BP1385,0))/100))&gt;=$D$10:$L$10)),0)</f>
        <v/>
      </c>
      <c r="BR1385">
        <f>IF(1372&lt;$U$9,SUMPRODUCT(($D$10:$L$10&lt;&gt;"")*(($D$10:$L$10-($D$9:$L$9+INT(($S$12:$AA$12+INDEX($AJ$13:$AR$162,BN1385,0)+INDEX($AT$13:$BB$162,BO1385,0)+INDEX($BD$13:$BL$162,BP1385,0))/100)))&gt;0)*($D$10:$L$10-($D$9:$L$9+INT(($S$12:$AA$12+INDEX($AJ$13:$AR$162,BN1385,0)+INDEX($AT$13:$BB$162,BO1385,0)+INDEX($BD$13:$BL$162,BP1385,0))/100)))),0)</f>
        <v/>
      </c>
      <c r="BS1385">
        <f>IF(1372&lt;$U$9,SUMPRODUCT(($D$9:$L$9+INT(($S$12:$AA$12+INDEX($AJ$13:$AR$162,BN1385,0)+INDEX($AT$13:$BB$162,BO1385,0)+INDEX($BD$13:$BL$162,BP1385,0))/100))),0)</f>
        <v/>
      </c>
      <c r="BT1385">
        <f>IF(AND(1372&lt;$U$9,$W$5),BQ1385*1000000-MIN(BR1385,999)*1000+BS1385-1372/100000,-1000000000-1372)</f>
        <v/>
      </c>
    </row>
    <row r="1386">
      <c r="BN1386">
        <f>IF(1373&lt;$U$9,INT(1373/($U$7*$U$8))+1,1)</f>
        <v/>
      </c>
      <c r="BO1386">
        <f>IF(1373&lt;$U$9,MOD(INT(1373/$U$8),$U$7)+1,1)</f>
        <v/>
      </c>
      <c r="BP1386">
        <f>IF(1373&lt;$U$9,MOD(1373,$U$8)+1,1)</f>
        <v/>
      </c>
      <c r="BQ1386">
        <f>IF(1373&lt;$U$9,SUMPRODUCT(($D$10:$L$10&lt;&gt;"")*(($D$9:$L$9+INT(($S$12:$AA$12+INDEX($AJ$13:$AR$162,BN1386,0)+INDEX($AT$13:$BB$162,BO1386,0)+INDEX($BD$13:$BL$162,BP1386,0))/100))&gt;=$D$10:$L$10)),0)</f>
        <v/>
      </c>
      <c r="BR1386">
        <f>IF(1373&lt;$U$9,SUMPRODUCT(($D$10:$L$10&lt;&gt;"")*(($D$10:$L$10-($D$9:$L$9+INT(($S$12:$AA$12+INDEX($AJ$13:$AR$162,BN1386,0)+INDEX($AT$13:$BB$162,BO1386,0)+INDEX($BD$13:$BL$162,BP1386,0))/100)))&gt;0)*($D$10:$L$10-($D$9:$L$9+INT(($S$12:$AA$12+INDEX($AJ$13:$AR$162,BN1386,0)+INDEX($AT$13:$BB$162,BO1386,0)+INDEX($BD$13:$BL$162,BP1386,0))/100)))),0)</f>
        <v/>
      </c>
      <c r="BS1386">
        <f>IF(1373&lt;$U$9,SUMPRODUCT(($D$9:$L$9+INT(($S$12:$AA$12+INDEX($AJ$13:$AR$162,BN1386,0)+INDEX($AT$13:$BB$162,BO1386,0)+INDEX($BD$13:$BL$162,BP1386,0))/100))),0)</f>
        <v/>
      </c>
      <c r="BT1386">
        <f>IF(AND(1373&lt;$U$9,$W$5),BQ1386*1000000-MIN(BR1386,999)*1000+BS1386-1373/100000,-1000000000-1373)</f>
        <v/>
      </c>
    </row>
    <row r="1387">
      <c r="BN1387">
        <f>IF(1374&lt;$U$9,INT(1374/($U$7*$U$8))+1,1)</f>
        <v/>
      </c>
      <c r="BO1387">
        <f>IF(1374&lt;$U$9,MOD(INT(1374/$U$8),$U$7)+1,1)</f>
        <v/>
      </c>
      <c r="BP1387">
        <f>IF(1374&lt;$U$9,MOD(1374,$U$8)+1,1)</f>
        <v/>
      </c>
      <c r="BQ1387">
        <f>IF(1374&lt;$U$9,SUMPRODUCT(($D$10:$L$10&lt;&gt;"")*(($D$9:$L$9+INT(($S$12:$AA$12+INDEX($AJ$13:$AR$162,BN1387,0)+INDEX($AT$13:$BB$162,BO1387,0)+INDEX($BD$13:$BL$162,BP1387,0))/100))&gt;=$D$10:$L$10)),0)</f>
        <v/>
      </c>
      <c r="BR1387">
        <f>IF(1374&lt;$U$9,SUMPRODUCT(($D$10:$L$10&lt;&gt;"")*(($D$10:$L$10-($D$9:$L$9+INT(($S$12:$AA$12+INDEX($AJ$13:$AR$162,BN1387,0)+INDEX($AT$13:$BB$162,BO1387,0)+INDEX($BD$13:$BL$162,BP1387,0))/100)))&gt;0)*($D$10:$L$10-($D$9:$L$9+INT(($S$12:$AA$12+INDEX($AJ$13:$AR$162,BN1387,0)+INDEX($AT$13:$BB$162,BO1387,0)+INDEX($BD$13:$BL$162,BP1387,0))/100)))),0)</f>
        <v/>
      </c>
      <c r="BS1387">
        <f>IF(1374&lt;$U$9,SUMPRODUCT(($D$9:$L$9+INT(($S$12:$AA$12+INDEX($AJ$13:$AR$162,BN1387,0)+INDEX($AT$13:$BB$162,BO1387,0)+INDEX($BD$13:$BL$162,BP1387,0))/100))),0)</f>
        <v/>
      </c>
      <c r="BT1387">
        <f>IF(AND(1374&lt;$U$9,$W$5),BQ1387*1000000-MIN(BR1387,999)*1000+BS1387-1374/100000,-1000000000-1374)</f>
        <v/>
      </c>
    </row>
    <row r="1388">
      <c r="BN1388">
        <f>IF(1375&lt;$U$9,INT(1375/($U$7*$U$8))+1,1)</f>
        <v/>
      </c>
      <c r="BO1388">
        <f>IF(1375&lt;$U$9,MOD(INT(1375/$U$8),$U$7)+1,1)</f>
        <v/>
      </c>
      <c r="BP1388">
        <f>IF(1375&lt;$U$9,MOD(1375,$U$8)+1,1)</f>
        <v/>
      </c>
      <c r="BQ1388">
        <f>IF(1375&lt;$U$9,SUMPRODUCT(($D$10:$L$10&lt;&gt;"")*(($D$9:$L$9+INT(($S$12:$AA$12+INDEX($AJ$13:$AR$162,BN1388,0)+INDEX($AT$13:$BB$162,BO1388,0)+INDEX($BD$13:$BL$162,BP1388,0))/100))&gt;=$D$10:$L$10)),0)</f>
        <v/>
      </c>
      <c r="BR1388">
        <f>IF(1375&lt;$U$9,SUMPRODUCT(($D$10:$L$10&lt;&gt;"")*(($D$10:$L$10-($D$9:$L$9+INT(($S$12:$AA$12+INDEX($AJ$13:$AR$162,BN1388,0)+INDEX($AT$13:$BB$162,BO1388,0)+INDEX($BD$13:$BL$162,BP1388,0))/100)))&gt;0)*($D$10:$L$10-($D$9:$L$9+INT(($S$12:$AA$12+INDEX($AJ$13:$AR$162,BN1388,0)+INDEX($AT$13:$BB$162,BO1388,0)+INDEX($BD$13:$BL$162,BP1388,0))/100)))),0)</f>
        <v/>
      </c>
      <c r="BS1388">
        <f>IF(1375&lt;$U$9,SUMPRODUCT(($D$9:$L$9+INT(($S$12:$AA$12+INDEX($AJ$13:$AR$162,BN1388,0)+INDEX($AT$13:$BB$162,BO1388,0)+INDEX($BD$13:$BL$162,BP1388,0))/100))),0)</f>
        <v/>
      </c>
      <c r="BT1388">
        <f>IF(AND(1375&lt;$U$9,$W$5),BQ1388*1000000-MIN(BR1388,999)*1000+BS1388-1375/100000,-1000000000-1375)</f>
        <v/>
      </c>
    </row>
    <row r="1389">
      <c r="BN1389">
        <f>IF(1376&lt;$U$9,INT(1376/($U$7*$U$8))+1,1)</f>
        <v/>
      </c>
      <c r="BO1389">
        <f>IF(1376&lt;$U$9,MOD(INT(1376/$U$8),$U$7)+1,1)</f>
        <v/>
      </c>
      <c r="BP1389">
        <f>IF(1376&lt;$U$9,MOD(1376,$U$8)+1,1)</f>
        <v/>
      </c>
      <c r="BQ1389">
        <f>IF(1376&lt;$U$9,SUMPRODUCT(($D$10:$L$10&lt;&gt;"")*(($D$9:$L$9+INT(($S$12:$AA$12+INDEX($AJ$13:$AR$162,BN1389,0)+INDEX($AT$13:$BB$162,BO1389,0)+INDEX($BD$13:$BL$162,BP1389,0))/100))&gt;=$D$10:$L$10)),0)</f>
        <v/>
      </c>
      <c r="BR1389">
        <f>IF(1376&lt;$U$9,SUMPRODUCT(($D$10:$L$10&lt;&gt;"")*(($D$10:$L$10-($D$9:$L$9+INT(($S$12:$AA$12+INDEX($AJ$13:$AR$162,BN1389,0)+INDEX($AT$13:$BB$162,BO1389,0)+INDEX($BD$13:$BL$162,BP1389,0))/100)))&gt;0)*($D$10:$L$10-($D$9:$L$9+INT(($S$12:$AA$12+INDEX($AJ$13:$AR$162,BN1389,0)+INDEX($AT$13:$BB$162,BO1389,0)+INDEX($BD$13:$BL$162,BP1389,0))/100)))),0)</f>
        <v/>
      </c>
      <c r="BS1389">
        <f>IF(1376&lt;$U$9,SUMPRODUCT(($D$9:$L$9+INT(($S$12:$AA$12+INDEX($AJ$13:$AR$162,BN1389,0)+INDEX($AT$13:$BB$162,BO1389,0)+INDEX($BD$13:$BL$162,BP1389,0))/100))),0)</f>
        <v/>
      </c>
      <c r="BT1389">
        <f>IF(AND(1376&lt;$U$9,$W$5),BQ1389*1000000-MIN(BR1389,999)*1000+BS1389-1376/100000,-1000000000-1376)</f>
        <v/>
      </c>
    </row>
    <row r="1390">
      <c r="BN1390">
        <f>IF(1377&lt;$U$9,INT(1377/($U$7*$U$8))+1,1)</f>
        <v/>
      </c>
      <c r="BO1390">
        <f>IF(1377&lt;$U$9,MOD(INT(1377/$U$8),$U$7)+1,1)</f>
        <v/>
      </c>
      <c r="BP1390">
        <f>IF(1377&lt;$U$9,MOD(1377,$U$8)+1,1)</f>
        <v/>
      </c>
      <c r="BQ1390">
        <f>IF(1377&lt;$U$9,SUMPRODUCT(($D$10:$L$10&lt;&gt;"")*(($D$9:$L$9+INT(($S$12:$AA$12+INDEX($AJ$13:$AR$162,BN1390,0)+INDEX($AT$13:$BB$162,BO1390,0)+INDEX($BD$13:$BL$162,BP1390,0))/100))&gt;=$D$10:$L$10)),0)</f>
        <v/>
      </c>
      <c r="BR1390">
        <f>IF(1377&lt;$U$9,SUMPRODUCT(($D$10:$L$10&lt;&gt;"")*(($D$10:$L$10-($D$9:$L$9+INT(($S$12:$AA$12+INDEX($AJ$13:$AR$162,BN1390,0)+INDEX($AT$13:$BB$162,BO1390,0)+INDEX($BD$13:$BL$162,BP1390,0))/100)))&gt;0)*($D$10:$L$10-($D$9:$L$9+INT(($S$12:$AA$12+INDEX($AJ$13:$AR$162,BN1390,0)+INDEX($AT$13:$BB$162,BO1390,0)+INDEX($BD$13:$BL$162,BP1390,0))/100)))),0)</f>
        <v/>
      </c>
      <c r="BS1390">
        <f>IF(1377&lt;$U$9,SUMPRODUCT(($D$9:$L$9+INT(($S$12:$AA$12+INDEX($AJ$13:$AR$162,BN1390,0)+INDEX($AT$13:$BB$162,BO1390,0)+INDEX($BD$13:$BL$162,BP1390,0))/100))),0)</f>
        <v/>
      </c>
      <c r="BT1390">
        <f>IF(AND(1377&lt;$U$9,$W$5),BQ1390*1000000-MIN(BR1390,999)*1000+BS1390-1377/100000,-1000000000-1377)</f>
        <v/>
      </c>
    </row>
    <row r="1391">
      <c r="BN1391">
        <f>IF(1378&lt;$U$9,INT(1378/($U$7*$U$8))+1,1)</f>
        <v/>
      </c>
      <c r="BO1391">
        <f>IF(1378&lt;$U$9,MOD(INT(1378/$U$8),$U$7)+1,1)</f>
        <v/>
      </c>
      <c r="BP1391">
        <f>IF(1378&lt;$U$9,MOD(1378,$U$8)+1,1)</f>
        <v/>
      </c>
      <c r="BQ1391">
        <f>IF(1378&lt;$U$9,SUMPRODUCT(($D$10:$L$10&lt;&gt;"")*(($D$9:$L$9+INT(($S$12:$AA$12+INDEX($AJ$13:$AR$162,BN1391,0)+INDEX($AT$13:$BB$162,BO1391,0)+INDEX($BD$13:$BL$162,BP1391,0))/100))&gt;=$D$10:$L$10)),0)</f>
        <v/>
      </c>
      <c r="BR1391">
        <f>IF(1378&lt;$U$9,SUMPRODUCT(($D$10:$L$10&lt;&gt;"")*(($D$10:$L$10-($D$9:$L$9+INT(($S$12:$AA$12+INDEX($AJ$13:$AR$162,BN1391,0)+INDEX($AT$13:$BB$162,BO1391,0)+INDEX($BD$13:$BL$162,BP1391,0))/100)))&gt;0)*($D$10:$L$10-($D$9:$L$9+INT(($S$12:$AA$12+INDEX($AJ$13:$AR$162,BN1391,0)+INDEX($AT$13:$BB$162,BO1391,0)+INDEX($BD$13:$BL$162,BP1391,0))/100)))),0)</f>
        <v/>
      </c>
      <c r="BS1391">
        <f>IF(1378&lt;$U$9,SUMPRODUCT(($D$9:$L$9+INT(($S$12:$AA$12+INDEX($AJ$13:$AR$162,BN1391,0)+INDEX($AT$13:$BB$162,BO1391,0)+INDEX($BD$13:$BL$162,BP1391,0))/100))),0)</f>
        <v/>
      </c>
      <c r="BT1391">
        <f>IF(AND(1378&lt;$U$9,$W$5),BQ1391*1000000-MIN(BR1391,999)*1000+BS1391-1378/100000,-1000000000-1378)</f>
        <v/>
      </c>
    </row>
    <row r="1392">
      <c r="BN1392">
        <f>IF(1379&lt;$U$9,INT(1379/($U$7*$U$8))+1,1)</f>
        <v/>
      </c>
      <c r="BO1392">
        <f>IF(1379&lt;$U$9,MOD(INT(1379/$U$8),$U$7)+1,1)</f>
        <v/>
      </c>
      <c r="BP1392">
        <f>IF(1379&lt;$U$9,MOD(1379,$U$8)+1,1)</f>
        <v/>
      </c>
      <c r="BQ1392">
        <f>IF(1379&lt;$U$9,SUMPRODUCT(($D$10:$L$10&lt;&gt;"")*(($D$9:$L$9+INT(($S$12:$AA$12+INDEX($AJ$13:$AR$162,BN1392,0)+INDEX($AT$13:$BB$162,BO1392,0)+INDEX($BD$13:$BL$162,BP1392,0))/100))&gt;=$D$10:$L$10)),0)</f>
        <v/>
      </c>
      <c r="BR1392">
        <f>IF(1379&lt;$U$9,SUMPRODUCT(($D$10:$L$10&lt;&gt;"")*(($D$10:$L$10-($D$9:$L$9+INT(($S$12:$AA$12+INDEX($AJ$13:$AR$162,BN1392,0)+INDEX($AT$13:$BB$162,BO1392,0)+INDEX($BD$13:$BL$162,BP1392,0))/100)))&gt;0)*($D$10:$L$10-($D$9:$L$9+INT(($S$12:$AA$12+INDEX($AJ$13:$AR$162,BN1392,0)+INDEX($AT$13:$BB$162,BO1392,0)+INDEX($BD$13:$BL$162,BP1392,0))/100)))),0)</f>
        <v/>
      </c>
      <c r="BS1392">
        <f>IF(1379&lt;$U$9,SUMPRODUCT(($D$9:$L$9+INT(($S$12:$AA$12+INDEX($AJ$13:$AR$162,BN1392,0)+INDEX($AT$13:$BB$162,BO1392,0)+INDEX($BD$13:$BL$162,BP1392,0))/100))),0)</f>
        <v/>
      </c>
      <c r="BT1392">
        <f>IF(AND(1379&lt;$U$9,$W$5),BQ1392*1000000-MIN(BR1392,999)*1000+BS1392-1379/100000,-1000000000-1379)</f>
        <v/>
      </c>
    </row>
    <row r="1393">
      <c r="BN1393">
        <f>IF(1380&lt;$U$9,INT(1380/($U$7*$U$8))+1,1)</f>
        <v/>
      </c>
      <c r="BO1393">
        <f>IF(1380&lt;$U$9,MOD(INT(1380/$U$8),$U$7)+1,1)</f>
        <v/>
      </c>
      <c r="BP1393">
        <f>IF(1380&lt;$U$9,MOD(1380,$U$8)+1,1)</f>
        <v/>
      </c>
      <c r="BQ1393">
        <f>IF(1380&lt;$U$9,SUMPRODUCT(($D$10:$L$10&lt;&gt;"")*(($D$9:$L$9+INT(($S$12:$AA$12+INDEX($AJ$13:$AR$162,BN1393,0)+INDEX($AT$13:$BB$162,BO1393,0)+INDEX($BD$13:$BL$162,BP1393,0))/100))&gt;=$D$10:$L$10)),0)</f>
        <v/>
      </c>
      <c r="BR1393">
        <f>IF(1380&lt;$U$9,SUMPRODUCT(($D$10:$L$10&lt;&gt;"")*(($D$10:$L$10-($D$9:$L$9+INT(($S$12:$AA$12+INDEX($AJ$13:$AR$162,BN1393,0)+INDEX($AT$13:$BB$162,BO1393,0)+INDEX($BD$13:$BL$162,BP1393,0))/100)))&gt;0)*($D$10:$L$10-($D$9:$L$9+INT(($S$12:$AA$12+INDEX($AJ$13:$AR$162,BN1393,0)+INDEX($AT$13:$BB$162,BO1393,0)+INDEX($BD$13:$BL$162,BP1393,0))/100)))),0)</f>
        <v/>
      </c>
      <c r="BS1393">
        <f>IF(1380&lt;$U$9,SUMPRODUCT(($D$9:$L$9+INT(($S$12:$AA$12+INDEX($AJ$13:$AR$162,BN1393,0)+INDEX($AT$13:$BB$162,BO1393,0)+INDEX($BD$13:$BL$162,BP1393,0))/100))),0)</f>
        <v/>
      </c>
      <c r="BT1393">
        <f>IF(AND(1380&lt;$U$9,$W$5),BQ1393*1000000-MIN(BR1393,999)*1000+BS1393-1380/100000,-1000000000-1380)</f>
        <v/>
      </c>
    </row>
    <row r="1394">
      <c r="BN1394">
        <f>IF(1381&lt;$U$9,INT(1381/($U$7*$U$8))+1,1)</f>
        <v/>
      </c>
      <c r="BO1394">
        <f>IF(1381&lt;$U$9,MOD(INT(1381/$U$8),$U$7)+1,1)</f>
        <v/>
      </c>
      <c r="BP1394">
        <f>IF(1381&lt;$U$9,MOD(1381,$U$8)+1,1)</f>
        <v/>
      </c>
      <c r="BQ1394">
        <f>IF(1381&lt;$U$9,SUMPRODUCT(($D$10:$L$10&lt;&gt;"")*(($D$9:$L$9+INT(($S$12:$AA$12+INDEX($AJ$13:$AR$162,BN1394,0)+INDEX($AT$13:$BB$162,BO1394,0)+INDEX($BD$13:$BL$162,BP1394,0))/100))&gt;=$D$10:$L$10)),0)</f>
        <v/>
      </c>
      <c r="BR1394">
        <f>IF(1381&lt;$U$9,SUMPRODUCT(($D$10:$L$10&lt;&gt;"")*(($D$10:$L$10-($D$9:$L$9+INT(($S$12:$AA$12+INDEX($AJ$13:$AR$162,BN1394,0)+INDEX($AT$13:$BB$162,BO1394,0)+INDEX($BD$13:$BL$162,BP1394,0))/100)))&gt;0)*($D$10:$L$10-($D$9:$L$9+INT(($S$12:$AA$12+INDEX($AJ$13:$AR$162,BN1394,0)+INDEX($AT$13:$BB$162,BO1394,0)+INDEX($BD$13:$BL$162,BP1394,0))/100)))),0)</f>
        <v/>
      </c>
      <c r="BS1394">
        <f>IF(1381&lt;$U$9,SUMPRODUCT(($D$9:$L$9+INT(($S$12:$AA$12+INDEX($AJ$13:$AR$162,BN1394,0)+INDEX($AT$13:$BB$162,BO1394,0)+INDEX($BD$13:$BL$162,BP1394,0))/100))),0)</f>
        <v/>
      </c>
      <c r="BT1394">
        <f>IF(AND(1381&lt;$U$9,$W$5),BQ1394*1000000-MIN(BR1394,999)*1000+BS1394-1381/100000,-1000000000-1381)</f>
        <v/>
      </c>
    </row>
    <row r="1395">
      <c r="BN1395">
        <f>IF(1382&lt;$U$9,INT(1382/($U$7*$U$8))+1,1)</f>
        <v/>
      </c>
      <c r="BO1395">
        <f>IF(1382&lt;$U$9,MOD(INT(1382/$U$8),$U$7)+1,1)</f>
        <v/>
      </c>
      <c r="BP1395">
        <f>IF(1382&lt;$U$9,MOD(1382,$U$8)+1,1)</f>
        <v/>
      </c>
      <c r="BQ1395">
        <f>IF(1382&lt;$U$9,SUMPRODUCT(($D$10:$L$10&lt;&gt;"")*(($D$9:$L$9+INT(($S$12:$AA$12+INDEX($AJ$13:$AR$162,BN1395,0)+INDEX($AT$13:$BB$162,BO1395,0)+INDEX($BD$13:$BL$162,BP1395,0))/100))&gt;=$D$10:$L$10)),0)</f>
        <v/>
      </c>
      <c r="BR1395">
        <f>IF(1382&lt;$U$9,SUMPRODUCT(($D$10:$L$10&lt;&gt;"")*(($D$10:$L$10-($D$9:$L$9+INT(($S$12:$AA$12+INDEX($AJ$13:$AR$162,BN1395,0)+INDEX($AT$13:$BB$162,BO1395,0)+INDEX($BD$13:$BL$162,BP1395,0))/100)))&gt;0)*($D$10:$L$10-($D$9:$L$9+INT(($S$12:$AA$12+INDEX($AJ$13:$AR$162,BN1395,0)+INDEX($AT$13:$BB$162,BO1395,0)+INDEX($BD$13:$BL$162,BP1395,0))/100)))),0)</f>
        <v/>
      </c>
      <c r="BS1395">
        <f>IF(1382&lt;$U$9,SUMPRODUCT(($D$9:$L$9+INT(($S$12:$AA$12+INDEX($AJ$13:$AR$162,BN1395,0)+INDEX($AT$13:$BB$162,BO1395,0)+INDEX($BD$13:$BL$162,BP1395,0))/100))),0)</f>
        <v/>
      </c>
      <c r="BT1395">
        <f>IF(AND(1382&lt;$U$9,$W$5),BQ1395*1000000-MIN(BR1395,999)*1000+BS1395-1382/100000,-1000000000-1382)</f>
        <v/>
      </c>
    </row>
    <row r="1396">
      <c r="BN1396">
        <f>IF(1383&lt;$U$9,INT(1383/($U$7*$U$8))+1,1)</f>
        <v/>
      </c>
      <c r="BO1396">
        <f>IF(1383&lt;$U$9,MOD(INT(1383/$U$8),$U$7)+1,1)</f>
        <v/>
      </c>
      <c r="BP1396">
        <f>IF(1383&lt;$U$9,MOD(1383,$U$8)+1,1)</f>
        <v/>
      </c>
      <c r="BQ1396">
        <f>IF(1383&lt;$U$9,SUMPRODUCT(($D$10:$L$10&lt;&gt;"")*(($D$9:$L$9+INT(($S$12:$AA$12+INDEX($AJ$13:$AR$162,BN1396,0)+INDEX($AT$13:$BB$162,BO1396,0)+INDEX($BD$13:$BL$162,BP1396,0))/100))&gt;=$D$10:$L$10)),0)</f>
        <v/>
      </c>
      <c r="BR1396">
        <f>IF(1383&lt;$U$9,SUMPRODUCT(($D$10:$L$10&lt;&gt;"")*(($D$10:$L$10-($D$9:$L$9+INT(($S$12:$AA$12+INDEX($AJ$13:$AR$162,BN1396,0)+INDEX($AT$13:$BB$162,BO1396,0)+INDEX($BD$13:$BL$162,BP1396,0))/100)))&gt;0)*($D$10:$L$10-($D$9:$L$9+INT(($S$12:$AA$12+INDEX($AJ$13:$AR$162,BN1396,0)+INDEX($AT$13:$BB$162,BO1396,0)+INDEX($BD$13:$BL$162,BP1396,0))/100)))),0)</f>
        <v/>
      </c>
      <c r="BS1396">
        <f>IF(1383&lt;$U$9,SUMPRODUCT(($D$9:$L$9+INT(($S$12:$AA$12+INDEX($AJ$13:$AR$162,BN1396,0)+INDEX($AT$13:$BB$162,BO1396,0)+INDEX($BD$13:$BL$162,BP1396,0))/100))),0)</f>
        <v/>
      </c>
      <c r="BT1396">
        <f>IF(AND(1383&lt;$U$9,$W$5),BQ1396*1000000-MIN(BR1396,999)*1000+BS1396-1383/100000,-1000000000-1383)</f>
        <v/>
      </c>
    </row>
    <row r="1397">
      <c r="BN1397">
        <f>IF(1384&lt;$U$9,INT(1384/($U$7*$U$8))+1,1)</f>
        <v/>
      </c>
      <c r="BO1397">
        <f>IF(1384&lt;$U$9,MOD(INT(1384/$U$8),$U$7)+1,1)</f>
        <v/>
      </c>
      <c r="BP1397">
        <f>IF(1384&lt;$U$9,MOD(1384,$U$8)+1,1)</f>
        <v/>
      </c>
      <c r="BQ1397">
        <f>IF(1384&lt;$U$9,SUMPRODUCT(($D$10:$L$10&lt;&gt;"")*(($D$9:$L$9+INT(($S$12:$AA$12+INDEX($AJ$13:$AR$162,BN1397,0)+INDEX($AT$13:$BB$162,BO1397,0)+INDEX($BD$13:$BL$162,BP1397,0))/100))&gt;=$D$10:$L$10)),0)</f>
        <v/>
      </c>
      <c r="BR1397">
        <f>IF(1384&lt;$U$9,SUMPRODUCT(($D$10:$L$10&lt;&gt;"")*(($D$10:$L$10-($D$9:$L$9+INT(($S$12:$AA$12+INDEX($AJ$13:$AR$162,BN1397,0)+INDEX($AT$13:$BB$162,BO1397,0)+INDEX($BD$13:$BL$162,BP1397,0))/100)))&gt;0)*($D$10:$L$10-($D$9:$L$9+INT(($S$12:$AA$12+INDEX($AJ$13:$AR$162,BN1397,0)+INDEX($AT$13:$BB$162,BO1397,0)+INDEX($BD$13:$BL$162,BP1397,0))/100)))),0)</f>
        <v/>
      </c>
      <c r="BS1397">
        <f>IF(1384&lt;$U$9,SUMPRODUCT(($D$9:$L$9+INT(($S$12:$AA$12+INDEX($AJ$13:$AR$162,BN1397,0)+INDEX($AT$13:$BB$162,BO1397,0)+INDEX($BD$13:$BL$162,BP1397,0))/100))),0)</f>
        <v/>
      </c>
      <c r="BT1397">
        <f>IF(AND(1384&lt;$U$9,$W$5),BQ1397*1000000-MIN(BR1397,999)*1000+BS1397-1384/100000,-1000000000-1384)</f>
        <v/>
      </c>
    </row>
    <row r="1398">
      <c r="BN1398">
        <f>IF(1385&lt;$U$9,INT(1385/($U$7*$U$8))+1,1)</f>
        <v/>
      </c>
      <c r="BO1398">
        <f>IF(1385&lt;$U$9,MOD(INT(1385/$U$8),$U$7)+1,1)</f>
        <v/>
      </c>
      <c r="BP1398">
        <f>IF(1385&lt;$U$9,MOD(1385,$U$8)+1,1)</f>
        <v/>
      </c>
      <c r="BQ1398">
        <f>IF(1385&lt;$U$9,SUMPRODUCT(($D$10:$L$10&lt;&gt;"")*(($D$9:$L$9+INT(($S$12:$AA$12+INDEX($AJ$13:$AR$162,BN1398,0)+INDEX($AT$13:$BB$162,BO1398,0)+INDEX($BD$13:$BL$162,BP1398,0))/100))&gt;=$D$10:$L$10)),0)</f>
        <v/>
      </c>
      <c r="BR1398">
        <f>IF(1385&lt;$U$9,SUMPRODUCT(($D$10:$L$10&lt;&gt;"")*(($D$10:$L$10-($D$9:$L$9+INT(($S$12:$AA$12+INDEX($AJ$13:$AR$162,BN1398,0)+INDEX($AT$13:$BB$162,BO1398,0)+INDEX($BD$13:$BL$162,BP1398,0))/100)))&gt;0)*($D$10:$L$10-($D$9:$L$9+INT(($S$12:$AA$12+INDEX($AJ$13:$AR$162,BN1398,0)+INDEX($AT$13:$BB$162,BO1398,0)+INDEX($BD$13:$BL$162,BP1398,0))/100)))),0)</f>
        <v/>
      </c>
      <c r="BS1398">
        <f>IF(1385&lt;$U$9,SUMPRODUCT(($D$9:$L$9+INT(($S$12:$AA$12+INDEX($AJ$13:$AR$162,BN1398,0)+INDEX($AT$13:$BB$162,BO1398,0)+INDEX($BD$13:$BL$162,BP1398,0))/100))),0)</f>
        <v/>
      </c>
      <c r="BT1398">
        <f>IF(AND(1385&lt;$U$9,$W$5),BQ1398*1000000-MIN(BR1398,999)*1000+BS1398-1385/100000,-1000000000-1385)</f>
        <v/>
      </c>
    </row>
    <row r="1399">
      <c r="BN1399">
        <f>IF(1386&lt;$U$9,INT(1386/($U$7*$U$8))+1,1)</f>
        <v/>
      </c>
      <c r="BO1399">
        <f>IF(1386&lt;$U$9,MOD(INT(1386/$U$8),$U$7)+1,1)</f>
        <v/>
      </c>
      <c r="BP1399">
        <f>IF(1386&lt;$U$9,MOD(1386,$U$8)+1,1)</f>
        <v/>
      </c>
      <c r="BQ1399">
        <f>IF(1386&lt;$U$9,SUMPRODUCT(($D$10:$L$10&lt;&gt;"")*(($D$9:$L$9+INT(($S$12:$AA$12+INDEX($AJ$13:$AR$162,BN1399,0)+INDEX($AT$13:$BB$162,BO1399,0)+INDEX($BD$13:$BL$162,BP1399,0))/100))&gt;=$D$10:$L$10)),0)</f>
        <v/>
      </c>
      <c r="BR1399">
        <f>IF(1386&lt;$U$9,SUMPRODUCT(($D$10:$L$10&lt;&gt;"")*(($D$10:$L$10-($D$9:$L$9+INT(($S$12:$AA$12+INDEX($AJ$13:$AR$162,BN1399,0)+INDEX($AT$13:$BB$162,BO1399,0)+INDEX($BD$13:$BL$162,BP1399,0))/100)))&gt;0)*($D$10:$L$10-($D$9:$L$9+INT(($S$12:$AA$12+INDEX($AJ$13:$AR$162,BN1399,0)+INDEX($AT$13:$BB$162,BO1399,0)+INDEX($BD$13:$BL$162,BP1399,0))/100)))),0)</f>
        <v/>
      </c>
      <c r="BS1399">
        <f>IF(1386&lt;$U$9,SUMPRODUCT(($D$9:$L$9+INT(($S$12:$AA$12+INDEX($AJ$13:$AR$162,BN1399,0)+INDEX($AT$13:$BB$162,BO1399,0)+INDEX($BD$13:$BL$162,BP1399,0))/100))),0)</f>
        <v/>
      </c>
      <c r="BT1399">
        <f>IF(AND(1386&lt;$U$9,$W$5),BQ1399*1000000-MIN(BR1399,999)*1000+BS1399-1386/100000,-1000000000-1386)</f>
        <v/>
      </c>
    </row>
    <row r="1400">
      <c r="BN1400">
        <f>IF(1387&lt;$U$9,INT(1387/($U$7*$U$8))+1,1)</f>
        <v/>
      </c>
      <c r="BO1400">
        <f>IF(1387&lt;$U$9,MOD(INT(1387/$U$8),$U$7)+1,1)</f>
        <v/>
      </c>
      <c r="BP1400">
        <f>IF(1387&lt;$U$9,MOD(1387,$U$8)+1,1)</f>
        <v/>
      </c>
      <c r="BQ1400">
        <f>IF(1387&lt;$U$9,SUMPRODUCT(($D$10:$L$10&lt;&gt;"")*(($D$9:$L$9+INT(($S$12:$AA$12+INDEX($AJ$13:$AR$162,BN1400,0)+INDEX($AT$13:$BB$162,BO1400,0)+INDEX($BD$13:$BL$162,BP1400,0))/100))&gt;=$D$10:$L$10)),0)</f>
        <v/>
      </c>
      <c r="BR1400">
        <f>IF(1387&lt;$U$9,SUMPRODUCT(($D$10:$L$10&lt;&gt;"")*(($D$10:$L$10-($D$9:$L$9+INT(($S$12:$AA$12+INDEX($AJ$13:$AR$162,BN1400,0)+INDEX($AT$13:$BB$162,BO1400,0)+INDEX($BD$13:$BL$162,BP1400,0))/100)))&gt;0)*($D$10:$L$10-($D$9:$L$9+INT(($S$12:$AA$12+INDEX($AJ$13:$AR$162,BN1400,0)+INDEX($AT$13:$BB$162,BO1400,0)+INDEX($BD$13:$BL$162,BP1400,0))/100)))),0)</f>
        <v/>
      </c>
      <c r="BS1400">
        <f>IF(1387&lt;$U$9,SUMPRODUCT(($D$9:$L$9+INT(($S$12:$AA$12+INDEX($AJ$13:$AR$162,BN1400,0)+INDEX($AT$13:$BB$162,BO1400,0)+INDEX($BD$13:$BL$162,BP1400,0))/100))),0)</f>
        <v/>
      </c>
      <c r="BT1400">
        <f>IF(AND(1387&lt;$U$9,$W$5),BQ1400*1000000-MIN(BR1400,999)*1000+BS1400-1387/100000,-1000000000-1387)</f>
        <v/>
      </c>
    </row>
    <row r="1401">
      <c r="BN1401">
        <f>IF(1388&lt;$U$9,INT(1388/($U$7*$U$8))+1,1)</f>
        <v/>
      </c>
      <c r="BO1401">
        <f>IF(1388&lt;$U$9,MOD(INT(1388/$U$8),$U$7)+1,1)</f>
        <v/>
      </c>
      <c r="BP1401">
        <f>IF(1388&lt;$U$9,MOD(1388,$U$8)+1,1)</f>
        <v/>
      </c>
      <c r="BQ1401">
        <f>IF(1388&lt;$U$9,SUMPRODUCT(($D$10:$L$10&lt;&gt;"")*(($D$9:$L$9+INT(($S$12:$AA$12+INDEX($AJ$13:$AR$162,BN1401,0)+INDEX($AT$13:$BB$162,BO1401,0)+INDEX($BD$13:$BL$162,BP1401,0))/100))&gt;=$D$10:$L$10)),0)</f>
        <v/>
      </c>
      <c r="BR1401">
        <f>IF(1388&lt;$U$9,SUMPRODUCT(($D$10:$L$10&lt;&gt;"")*(($D$10:$L$10-($D$9:$L$9+INT(($S$12:$AA$12+INDEX($AJ$13:$AR$162,BN1401,0)+INDEX($AT$13:$BB$162,BO1401,0)+INDEX($BD$13:$BL$162,BP1401,0))/100)))&gt;0)*($D$10:$L$10-($D$9:$L$9+INT(($S$12:$AA$12+INDEX($AJ$13:$AR$162,BN1401,0)+INDEX($AT$13:$BB$162,BO1401,0)+INDEX($BD$13:$BL$162,BP1401,0))/100)))),0)</f>
        <v/>
      </c>
      <c r="BS1401">
        <f>IF(1388&lt;$U$9,SUMPRODUCT(($D$9:$L$9+INT(($S$12:$AA$12+INDEX($AJ$13:$AR$162,BN1401,0)+INDEX($AT$13:$BB$162,BO1401,0)+INDEX($BD$13:$BL$162,BP1401,0))/100))),0)</f>
        <v/>
      </c>
      <c r="BT1401">
        <f>IF(AND(1388&lt;$U$9,$W$5),BQ1401*1000000-MIN(BR1401,999)*1000+BS1401-1388/100000,-1000000000-1388)</f>
        <v/>
      </c>
    </row>
    <row r="1402">
      <c r="BN1402">
        <f>IF(1389&lt;$U$9,INT(1389/($U$7*$U$8))+1,1)</f>
        <v/>
      </c>
      <c r="BO1402">
        <f>IF(1389&lt;$U$9,MOD(INT(1389/$U$8),$U$7)+1,1)</f>
        <v/>
      </c>
      <c r="BP1402">
        <f>IF(1389&lt;$U$9,MOD(1389,$U$8)+1,1)</f>
        <v/>
      </c>
      <c r="BQ1402">
        <f>IF(1389&lt;$U$9,SUMPRODUCT(($D$10:$L$10&lt;&gt;"")*(($D$9:$L$9+INT(($S$12:$AA$12+INDEX($AJ$13:$AR$162,BN1402,0)+INDEX($AT$13:$BB$162,BO1402,0)+INDEX($BD$13:$BL$162,BP1402,0))/100))&gt;=$D$10:$L$10)),0)</f>
        <v/>
      </c>
      <c r="BR1402">
        <f>IF(1389&lt;$U$9,SUMPRODUCT(($D$10:$L$10&lt;&gt;"")*(($D$10:$L$10-($D$9:$L$9+INT(($S$12:$AA$12+INDEX($AJ$13:$AR$162,BN1402,0)+INDEX($AT$13:$BB$162,BO1402,0)+INDEX($BD$13:$BL$162,BP1402,0))/100)))&gt;0)*($D$10:$L$10-($D$9:$L$9+INT(($S$12:$AA$12+INDEX($AJ$13:$AR$162,BN1402,0)+INDEX($AT$13:$BB$162,BO1402,0)+INDEX($BD$13:$BL$162,BP1402,0))/100)))),0)</f>
        <v/>
      </c>
      <c r="BS1402">
        <f>IF(1389&lt;$U$9,SUMPRODUCT(($D$9:$L$9+INT(($S$12:$AA$12+INDEX($AJ$13:$AR$162,BN1402,0)+INDEX($AT$13:$BB$162,BO1402,0)+INDEX($BD$13:$BL$162,BP1402,0))/100))),0)</f>
        <v/>
      </c>
      <c r="BT1402">
        <f>IF(AND(1389&lt;$U$9,$W$5),BQ1402*1000000-MIN(BR1402,999)*1000+BS1402-1389/100000,-1000000000-1389)</f>
        <v/>
      </c>
    </row>
    <row r="1403">
      <c r="BN1403">
        <f>IF(1390&lt;$U$9,INT(1390/($U$7*$U$8))+1,1)</f>
        <v/>
      </c>
      <c r="BO1403">
        <f>IF(1390&lt;$U$9,MOD(INT(1390/$U$8),$U$7)+1,1)</f>
        <v/>
      </c>
      <c r="BP1403">
        <f>IF(1390&lt;$U$9,MOD(1390,$U$8)+1,1)</f>
        <v/>
      </c>
      <c r="BQ1403">
        <f>IF(1390&lt;$U$9,SUMPRODUCT(($D$10:$L$10&lt;&gt;"")*(($D$9:$L$9+INT(($S$12:$AA$12+INDEX($AJ$13:$AR$162,BN1403,0)+INDEX($AT$13:$BB$162,BO1403,0)+INDEX($BD$13:$BL$162,BP1403,0))/100))&gt;=$D$10:$L$10)),0)</f>
        <v/>
      </c>
      <c r="BR1403">
        <f>IF(1390&lt;$U$9,SUMPRODUCT(($D$10:$L$10&lt;&gt;"")*(($D$10:$L$10-($D$9:$L$9+INT(($S$12:$AA$12+INDEX($AJ$13:$AR$162,BN1403,0)+INDEX($AT$13:$BB$162,BO1403,0)+INDEX($BD$13:$BL$162,BP1403,0))/100)))&gt;0)*($D$10:$L$10-($D$9:$L$9+INT(($S$12:$AA$12+INDEX($AJ$13:$AR$162,BN1403,0)+INDEX($AT$13:$BB$162,BO1403,0)+INDEX($BD$13:$BL$162,BP1403,0))/100)))),0)</f>
        <v/>
      </c>
      <c r="BS1403">
        <f>IF(1390&lt;$U$9,SUMPRODUCT(($D$9:$L$9+INT(($S$12:$AA$12+INDEX($AJ$13:$AR$162,BN1403,0)+INDEX($AT$13:$BB$162,BO1403,0)+INDEX($BD$13:$BL$162,BP1403,0))/100))),0)</f>
        <v/>
      </c>
      <c r="BT1403">
        <f>IF(AND(1390&lt;$U$9,$W$5),BQ1403*1000000-MIN(BR1403,999)*1000+BS1403-1390/100000,-1000000000-1390)</f>
        <v/>
      </c>
    </row>
    <row r="1404">
      <c r="BN1404">
        <f>IF(1391&lt;$U$9,INT(1391/($U$7*$U$8))+1,1)</f>
        <v/>
      </c>
      <c r="BO1404">
        <f>IF(1391&lt;$U$9,MOD(INT(1391/$U$8),$U$7)+1,1)</f>
        <v/>
      </c>
      <c r="BP1404">
        <f>IF(1391&lt;$U$9,MOD(1391,$U$8)+1,1)</f>
        <v/>
      </c>
      <c r="BQ1404">
        <f>IF(1391&lt;$U$9,SUMPRODUCT(($D$10:$L$10&lt;&gt;"")*(($D$9:$L$9+INT(($S$12:$AA$12+INDEX($AJ$13:$AR$162,BN1404,0)+INDEX($AT$13:$BB$162,BO1404,0)+INDEX($BD$13:$BL$162,BP1404,0))/100))&gt;=$D$10:$L$10)),0)</f>
        <v/>
      </c>
      <c r="BR1404">
        <f>IF(1391&lt;$U$9,SUMPRODUCT(($D$10:$L$10&lt;&gt;"")*(($D$10:$L$10-($D$9:$L$9+INT(($S$12:$AA$12+INDEX($AJ$13:$AR$162,BN1404,0)+INDEX($AT$13:$BB$162,BO1404,0)+INDEX($BD$13:$BL$162,BP1404,0))/100)))&gt;0)*($D$10:$L$10-($D$9:$L$9+INT(($S$12:$AA$12+INDEX($AJ$13:$AR$162,BN1404,0)+INDEX($AT$13:$BB$162,BO1404,0)+INDEX($BD$13:$BL$162,BP1404,0))/100)))),0)</f>
        <v/>
      </c>
      <c r="BS1404">
        <f>IF(1391&lt;$U$9,SUMPRODUCT(($D$9:$L$9+INT(($S$12:$AA$12+INDEX($AJ$13:$AR$162,BN1404,0)+INDEX($AT$13:$BB$162,BO1404,0)+INDEX($BD$13:$BL$162,BP1404,0))/100))),0)</f>
        <v/>
      </c>
      <c r="BT1404">
        <f>IF(AND(1391&lt;$U$9,$W$5),BQ1404*1000000-MIN(BR1404,999)*1000+BS1404-1391/100000,-1000000000-1391)</f>
        <v/>
      </c>
    </row>
    <row r="1405">
      <c r="BN1405">
        <f>IF(1392&lt;$U$9,INT(1392/($U$7*$U$8))+1,1)</f>
        <v/>
      </c>
      <c r="BO1405">
        <f>IF(1392&lt;$U$9,MOD(INT(1392/$U$8),$U$7)+1,1)</f>
        <v/>
      </c>
      <c r="BP1405">
        <f>IF(1392&lt;$U$9,MOD(1392,$U$8)+1,1)</f>
        <v/>
      </c>
      <c r="BQ1405">
        <f>IF(1392&lt;$U$9,SUMPRODUCT(($D$10:$L$10&lt;&gt;"")*(($D$9:$L$9+INT(($S$12:$AA$12+INDEX($AJ$13:$AR$162,BN1405,0)+INDEX($AT$13:$BB$162,BO1405,0)+INDEX($BD$13:$BL$162,BP1405,0))/100))&gt;=$D$10:$L$10)),0)</f>
        <v/>
      </c>
      <c r="BR1405">
        <f>IF(1392&lt;$U$9,SUMPRODUCT(($D$10:$L$10&lt;&gt;"")*(($D$10:$L$10-($D$9:$L$9+INT(($S$12:$AA$12+INDEX($AJ$13:$AR$162,BN1405,0)+INDEX($AT$13:$BB$162,BO1405,0)+INDEX($BD$13:$BL$162,BP1405,0))/100)))&gt;0)*($D$10:$L$10-($D$9:$L$9+INT(($S$12:$AA$12+INDEX($AJ$13:$AR$162,BN1405,0)+INDEX($AT$13:$BB$162,BO1405,0)+INDEX($BD$13:$BL$162,BP1405,0))/100)))),0)</f>
        <v/>
      </c>
      <c r="BS1405">
        <f>IF(1392&lt;$U$9,SUMPRODUCT(($D$9:$L$9+INT(($S$12:$AA$12+INDEX($AJ$13:$AR$162,BN1405,0)+INDEX($AT$13:$BB$162,BO1405,0)+INDEX($BD$13:$BL$162,BP1405,0))/100))),0)</f>
        <v/>
      </c>
      <c r="BT1405">
        <f>IF(AND(1392&lt;$U$9,$W$5),BQ1405*1000000-MIN(BR1405,999)*1000+BS1405-1392/100000,-1000000000-1392)</f>
        <v/>
      </c>
    </row>
    <row r="1406">
      <c r="BN1406">
        <f>IF(1393&lt;$U$9,INT(1393/($U$7*$U$8))+1,1)</f>
        <v/>
      </c>
      <c r="BO1406">
        <f>IF(1393&lt;$U$9,MOD(INT(1393/$U$8),$U$7)+1,1)</f>
        <v/>
      </c>
      <c r="BP1406">
        <f>IF(1393&lt;$U$9,MOD(1393,$U$8)+1,1)</f>
        <v/>
      </c>
      <c r="BQ1406">
        <f>IF(1393&lt;$U$9,SUMPRODUCT(($D$10:$L$10&lt;&gt;"")*(($D$9:$L$9+INT(($S$12:$AA$12+INDEX($AJ$13:$AR$162,BN1406,0)+INDEX($AT$13:$BB$162,BO1406,0)+INDEX($BD$13:$BL$162,BP1406,0))/100))&gt;=$D$10:$L$10)),0)</f>
        <v/>
      </c>
      <c r="BR1406">
        <f>IF(1393&lt;$U$9,SUMPRODUCT(($D$10:$L$10&lt;&gt;"")*(($D$10:$L$10-($D$9:$L$9+INT(($S$12:$AA$12+INDEX($AJ$13:$AR$162,BN1406,0)+INDEX($AT$13:$BB$162,BO1406,0)+INDEX($BD$13:$BL$162,BP1406,0))/100)))&gt;0)*($D$10:$L$10-($D$9:$L$9+INT(($S$12:$AA$12+INDEX($AJ$13:$AR$162,BN1406,0)+INDEX($AT$13:$BB$162,BO1406,0)+INDEX($BD$13:$BL$162,BP1406,0))/100)))),0)</f>
        <v/>
      </c>
      <c r="BS1406">
        <f>IF(1393&lt;$U$9,SUMPRODUCT(($D$9:$L$9+INT(($S$12:$AA$12+INDEX($AJ$13:$AR$162,BN1406,0)+INDEX($AT$13:$BB$162,BO1406,0)+INDEX($BD$13:$BL$162,BP1406,0))/100))),0)</f>
        <v/>
      </c>
      <c r="BT1406">
        <f>IF(AND(1393&lt;$U$9,$W$5),BQ1406*1000000-MIN(BR1406,999)*1000+BS1406-1393/100000,-1000000000-1393)</f>
        <v/>
      </c>
    </row>
    <row r="1407">
      <c r="BN1407">
        <f>IF(1394&lt;$U$9,INT(1394/($U$7*$U$8))+1,1)</f>
        <v/>
      </c>
      <c r="BO1407">
        <f>IF(1394&lt;$U$9,MOD(INT(1394/$U$8),$U$7)+1,1)</f>
        <v/>
      </c>
      <c r="BP1407">
        <f>IF(1394&lt;$U$9,MOD(1394,$U$8)+1,1)</f>
        <v/>
      </c>
      <c r="BQ1407">
        <f>IF(1394&lt;$U$9,SUMPRODUCT(($D$10:$L$10&lt;&gt;"")*(($D$9:$L$9+INT(($S$12:$AA$12+INDEX($AJ$13:$AR$162,BN1407,0)+INDEX($AT$13:$BB$162,BO1407,0)+INDEX($BD$13:$BL$162,BP1407,0))/100))&gt;=$D$10:$L$10)),0)</f>
        <v/>
      </c>
      <c r="BR1407">
        <f>IF(1394&lt;$U$9,SUMPRODUCT(($D$10:$L$10&lt;&gt;"")*(($D$10:$L$10-($D$9:$L$9+INT(($S$12:$AA$12+INDEX($AJ$13:$AR$162,BN1407,0)+INDEX($AT$13:$BB$162,BO1407,0)+INDEX($BD$13:$BL$162,BP1407,0))/100)))&gt;0)*($D$10:$L$10-($D$9:$L$9+INT(($S$12:$AA$12+INDEX($AJ$13:$AR$162,BN1407,0)+INDEX($AT$13:$BB$162,BO1407,0)+INDEX($BD$13:$BL$162,BP1407,0))/100)))),0)</f>
        <v/>
      </c>
      <c r="BS1407">
        <f>IF(1394&lt;$U$9,SUMPRODUCT(($D$9:$L$9+INT(($S$12:$AA$12+INDEX($AJ$13:$AR$162,BN1407,0)+INDEX($AT$13:$BB$162,BO1407,0)+INDEX($BD$13:$BL$162,BP1407,0))/100))),0)</f>
        <v/>
      </c>
      <c r="BT1407">
        <f>IF(AND(1394&lt;$U$9,$W$5),BQ1407*1000000-MIN(BR1407,999)*1000+BS1407-1394/100000,-1000000000-1394)</f>
        <v/>
      </c>
    </row>
    <row r="1408">
      <c r="BN1408">
        <f>IF(1395&lt;$U$9,INT(1395/($U$7*$U$8))+1,1)</f>
        <v/>
      </c>
      <c r="BO1408">
        <f>IF(1395&lt;$U$9,MOD(INT(1395/$U$8),$U$7)+1,1)</f>
        <v/>
      </c>
      <c r="BP1408">
        <f>IF(1395&lt;$U$9,MOD(1395,$U$8)+1,1)</f>
        <v/>
      </c>
      <c r="BQ1408">
        <f>IF(1395&lt;$U$9,SUMPRODUCT(($D$10:$L$10&lt;&gt;"")*(($D$9:$L$9+INT(($S$12:$AA$12+INDEX($AJ$13:$AR$162,BN1408,0)+INDEX($AT$13:$BB$162,BO1408,0)+INDEX($BD$13:$BL$162,BP1408,0))/100))&gt;=$D$10:$L$10)),0)</f>
        <v/>
      </c>
      <c r="BR1408">
        <f>IF(1395&lt;$U$9,SUMPRODUCT(($D$10:$L$10&lt;&gt;"")*(($D$10:$L$10-($D$9:$L$9+INT(($S$12:$AA$12+INDEX($AJ$13:$AR$162,BN1408,0)+INDEX($AT$13:$BB$162,BO1408,0)+INDEX($BD$13:$BL$162,BP1408,0))/100)))&gt;0)*($D$10:$L$10-($D$9:$L$9+INT(($S$12:$AA$12+INDEX($AJ$13:$AR$162,BN1408,0)+INDEX($AT$13:$BB$162,BO1408,0)+INDEX($BD$13:$BL$162,BP1408,0))/100)))),0)</f>
        <v/>
      </c>
      <c r="BS1408">
        <f>IF(1395&lt;$U$9,SUMPRODUCT(($D$9:$L$9+INT(($S$12:$AA$12+INDEX($AJ$13:$AR$162,BN1408,0)+INDEX($AT$13:$BB$162,BO1408,0)+INDEX($BD$13:$BL$162,BP1408,0))/100))),0)</f>
        <v/>
      </c>
      <c r="BT1408">
        <f>IF(AND(1395&lt;$U$9,$W$5),BQ1408*1000000-MIN(BR1408,999)*1000+BS1408-1395/100000,-1000000000-1395)</f>
        <v/>
      </c>
    </row>
    <row r="1409">
      <c r="BN1409">
        <f>IF(1396&lt;$U$9,INT(1396/($U$7*$U$8))+1,1)</f>
        <v/>
      </c>
      <c r="BO1409">
        <f>IF(1396&lt;$U$9,MOD(INT(1396/$U$8),$U$7)+1,1)</f>
        <v/>
      </c>
      <c r="BP1409">
        <f>IF(1396&lt;$U$9,MOD(1396,$U$8)+1,1)</f>
        <v/>
      </c>
      <c r="BQ1409">
        <f>IF(1396&lt;$U$9,SUMPRODUCT(($D$10:$L$10&lt;&gt;"")*(($D$9:$L$9+INT(($S$12:$AA$12+INDEX($AJ$13:$AR$162,BN1409,0)+INDEX($AT$13:$BB$162,BO1409,0)+INDEX($BD$13:$BL$162,BP1409,0))/100))&gt;=$D$10:$L$10)),0)</f>
        <v/>
      </c>
      <c r="BR1409">
        <f>IF(1396&lt;$U$9,SUMPRODUCT(($D$10:$L$10&lt;&gt;"")*(($D$10:$L$10-($D$9:$L$9+INT(($S$12:$AA$12+INDEX($AJ$13:$AR$162,BN1409,0)+INDEX($AT$13:$BB$162,BO1409,0)+INDEX($BD$13:$BL$162,BP1409,0))/100)))&gt;0)*($D$10:$L$10-($D$9:$L$9+INT(($S$12:$AA$12+INDEX($AJ$13:$AR$162,BN1409,0)+INDEX($AT$13:$BB$162,BO1409,0)+INDEX($BD$13:$BL$162,BP1409,0))/100)))),0)</f>
        <v/>
      </c>
      <c r="BS1409">
        <f>IF(1396&lt;$U$9,SUMPRODUCT(($D$9:$L$9+INT(($S$12:$AA$12+INDEX($AJ$13:$AR$162,BN1409,0)+INDEX($AT$13:$BB$162,BO1409,0)+INDEX($BD$13:$BL$162,BP1409,0))/100))),0)</f>
        <v/>
      </c>
      <c r="BT1409">
        <f>IF(AND(1396&lt;$U$9,$W$5),BQ1409*1000000-MIN(BR1409,999)*1000+BS1409-1396/100000,-1000000000-1396)</f>
        <v/>
      </c>
    </row>
    <row r="1410">
      <c r="BN1410">
        <f>IF(1397&lt;$U$9,INT(1397/($U$7*$U$8))+1,1)</f>
        <v/>
      </c>
      <c r="BO1410">
        <f>IF(1397&lt;$U$9,MOD(INT(1397/$U$8),$U$7)+1,1)</f>
        <v/>
      </c>
      <c r="BP1410">
        <f>IF(1397&lt;$U$9,MOD(1397,$U$8)+1,1)</f>
        <v/>
      </c>
      <c r="BQ1410">
        <f>IF(1397&lt;$U$9,SUMPRODUCT(($D$10:$L$10&lt;&gt;"")*(($D$9:$L$9+INT(($S$12:$AA$12+INDEX($AJ$13:$AR$162,BN1410,0)+INDEX($AT$13:$BB$162,BO1410,0)+INDEX($BD$13:$BL$162,BP1410,0))/100))&gt;=$D$10:$L$10)),0)</f>
        <v/>
      </c>
      <c r="BR1410">
        <f>IF(1397&lt;$U$9,SUMPRODUCT(($D$10:$L$10&lt;&gt;"")*(($D$10:$L$10-($D$9:$L$9+INT(($S$12:$AA$12+INDEX($AJ$13:$AR$162,BN1410,0)+INDEX($AT$13:$BB$162,BO1410,0)+INDEX($BD$13:$BL$162,BP1410,0))/100)))&gt;0)*($D$10:$L$10-($D$9:$L$9+INT(($S$12:$AA$12+INDEX($AJ$13:$AR$162,BN1410,0)+INDEX($AT$13:$BB$162,BO1410,0)+INDEX($BD$13:$BL$162,BP1410,0))/100)))),0)</f>
        <v/>
      </c>
      <c r="BS1410">
        <f>IF(1397&lt;$U$9,SUMPRODUCT(($D$9:$L$9+INT(($S$12:$AA$12+INDEX($AJ$13:$AR$162,BN1410,0)+INDEX($AT$13:$BB$162,BO1410,0)+INDEX($BD$13:$BL$162,BP1410,0))/100))),0)</f>
        <v/>
      </c>
      <c r="BT1410">
        <f>IF(AND(1397&lt;$U$9,$W$5),BQ1410*1000000-MIN(BR1410,999)*1000+BS1410-1397/100000,-1000000000-1397)</f>
        <v/>
      </c>
    </row>
    <row r="1411">
      <c r="BN1411">
        <f>IF(1398&lt;$U$9,INT(1398/($U$7*$U$8))+1,1)</f>
        <v/>
      </c>
      <c r="BO1411">
        <f>IF(1398&lt;$U$9,MOD(INT(1398/$U$8),$U$7)+1,1)</f>
        <v/>
      </c>
      <c r="BP1411">
        <f>IF(1398&lt;$U$9,MOD(1398,$U$8)+1,1)</f>
        <v/>
      </c>
      <c r="BQ1411">
        <f>IF(1398&lt;$U$9,SUMPRODUCT(($D$10:$L$10&lt;&gt;"")*(($D$9:$L$9+INT(($S$12:$AA$12+INDEX($AJ$13:$AR$162,BN1411,0)+INDEX($AT$13:$BB$162,BO1411,0)+INDEX($BD$13:$BL$162,BP1411,0))/100))&gt;=$D$10:$L$10)),0)</f>
        <v/>
      </c>
      <c r="BR1411">
        <f>IF(1398&lt;$U$9,SUMPRODUCT(($D$10:$L$10&lt;&gt;"")*(($D$10:$L$10-($D$9:$L$9+INT(($S$12:$AA$12+INDEX($AJ$13:$AR$162,BN1411,0)+INDEX($AT$13:$BB$162,BO1411,0)+INDEX($BD$13:$BL$162,BP1411,0))/100)))&gt;0)*($D$10:$L$10-($D$9:$L$9+INT(($S$12:$AA$12+INDEX($AJ$13:$AR$162,BN1411,0)+INDEX($AT$13:$BB$162,BO1411,0)+INDEX($BD$13:$BL$162,BP1411,0))/100)))),0)</f>
        <v/>
      </c>
      <c r="BS1411">
        <f>IF(1398&lt;$U$9,SUMPRODUCT(($D$9:$L$9+INT(($S$12:$AA$12+INDEX($AJ$13:$AR$162,BN1411,0)+INDEX($AT$13:$BB$162,BO1411,0)+INDEX($BD$13:$BL$162,BP1411,0))/100))),0)</f>
        <v/>
      </c>
      <c r="BT1411">
        <f>IF(AND(1398&lt;$U$9,$W$5),BQ1411*1000000-MIN(BR1411,999)*1000+BS1411-1398/100000,-1000000000-1398)</f>
        <v/>
      </c>
    </row>
    <row r="1412">
      <c r="BN1412">
        <f>IF(1399&lt;$U$9,INT(1399/($U$7*$U$8))+1,1)</f>
        <v/>
      </c>
      <c r="BO1412">
        <f>IF(1399&lt;$U$9,MOD(INT(1399/$U$8),$U$7)+1,1)</f>
        <v/>
      </c>
      <c r="BP1412">
        <f>IF(1399&lt;$U$9,MOD(1399,$U$8)+1,1)</f>
        <v/>
      </c>
      <c r="BQ1412">
        <f>IF(1399&lt;$U$9,SUMPRODUCT(($D$10:$L$10&lt;&gt;"")*(($D$9:$L$9+INT(($S$12:$AA$12+INDEX($AJ$13:$AR$162,BN1412,0)+INDEX($AT$13:$BB$162,BO1412,0)+INDEX($BD$13:$BL$162,BP1412,0))/100))&gt;=$D$10:$L$10)),0)</f>
        <v/>
      </c>
      <c r="BR1412">
        <f>IF(1399&lt;$U$9,SUMPRODUCT(($D$10:$L$10&lt;&gt;"")*(($D$10:$L$10-($D$9:$L$9+INT(($S$12:$AA$12+INDEX($AJ$13:$AR$162,BN1412,0)+INDEX($AT$13:$BB$162,BO1412,0)+INDEX($BD$13:$BL$162,BP1412,0))/100)))&gt;0)*($D$10:$L$10-($D$9:$L$9+INT(($S$12:$AA$12+INDEX($AJ$13:$AR$162,BN1412,0)+INDEX($AT$13:$BB$162,BO1412,0)+INDEX($BD$13:$BL$162,BP1412,0))/100)))),0)</f>
        <v/>
      </c>
      <c r="BS1412">
        <f>IF(1399&lt;$U$9,SUMPRODUCT(($D$9:$L$9+INT(($S$12:$AA$12+INDEX($AJ$13:$AR$162,BN1412,0)+INDEX($AT$13:$BB$162,BO1412,0)+INDEX($BD$13:$BL$162,BP1412,0))/100))),0)</f>
        <v/>
      </c>
      <c r="BT1412">
        <f>IF(AND(1399&lt;$U$9,$W$5),BQ1412*1000000-MIN(BR1412,999)*1000+BS1412-1399/100000,-1000000000-1399)</f>
        <v/>
      </c>
    </row>
    <row r="1413">
      <c r="BN1413">
        <f>IF(1400&lt;$U$9,INT(1400/($U$7*$U$8))+1,1)</f>
        <v/>
      </c>
      <c r="BO1413">
        <f>IF(1400&lt;$U$9,MOD(INT(1400/$U$8),$U$7)+1,1)</f>
        <v/>
      </c>
      <c r="BP1413">
        <f>IF(1400&lt;$U$9,MOD(1400,$U$8)+1,1)</f>
        <v/>
      </c>
      <c r="BQ1413">
        <f>IF(1400&lt;$U$9,SUMPRODUCT(($D$10:$L$10&lt;&gt;"")*(($D$9:$L$9+INT(($S$12:$AA$12+INDEX($AJ$13:$AR$162,BN1413,0)+INDEX($AT$13:$BB$162,BO1413,0)+INDEX($BD$13:$BL$162,BP1413,0))/100))&gt;=$D$10:$L$10)),0)</f>
        <v/>
      </c>
      <c r="BR1413">
        <f>IF(1400&lt;$U$9,SUMPRODUCT(($D$10:$L$10&lt;&gt;"")*(($D$10:$L$10-($D$9:$L$9+INT(($S$12:$AA$12+INDEX($AJ$13:$AR$162,BN1413,0)+INDEX($AT$13:$BB$162,BO1413,0)+INDEX($BD$13:$BL$162,BP1413,0))/100)))&gt;0)*($D$10:$L$10-($D$9:$L$9+INT(($S$12:$AA$12+INDEX($AJ$13:$AR$162,BN1413,0)+INDEX($AT$13:$BB$162,BO1413,0)+INDEX($BD$13:$BL$162,BP1413,0))/100)))),0)</f>
        <v/>
      </c>
      <c r="BS1413">
        <f>IF(1400&lt;$U$9,SUMPRODUCT(($D$9:$L$9+INT(($S$12:$AA$12+INDEX($AJ$13:$AR$162,BN1413,0)+INDEX($AT$13:$BB$162,BO1413,0)+INDEX($BD$13:$BL$162,BP1413,0))/100))),0)</f>
        <v/>
      </c>
      <c r="BT1413">
        <f>IF(AND(1400&lt;$U$9,$W$5),BQ1413*1000000-MIN(BR1413,999)*1000+BS1413-1400/100000,-1000000000-1400)</f>
        <v/>
      </c>
    </row>
    <row r="1414">
      <c r="BN1414">
        <f>IF(1401&lt;$U$9,INT(1401/($U$7*$U$8))+1,1)</f>
        <v/>
      </c>
      <c r="BO1414">
        <f>IF(1401&lt;$U$9,MOD(INT(1401/$U$8),$U$7)+1,1)</f>
        <v/>
      </c>
      <c r="BP1414">
        <f>IF(1401&lt;$U$9,MOD(1401,$U$8)+1,1)</f>
        <v/>
      </c>
      <c r="BQ1414">
        <f>IF(1401&lt;$U$9,SUMPRODUCT(($D$10:$L$10&lt;&gt;"")*(($D$9:$L$9+INT(($S$12:$AA$12+INDEX($AJ$13:$AR$162,BN1414,0)+INDEX($AT$13:$BB$162,BO1414,0)+INDEX($BD$13:$BL$162,BP1414,0))/100))&gt;=$D$10:$L$10)),0)</f>
        <v/>
      </c>
      <c r="BR1414">
        <f>IF(1401&lt;$U$9,SUMPRODUCT(($D$10:$L$10&lt;&gt;"")*(($D$10:$L$10-($D$9:$L$9+INT(($S$12:$AA$12+INDEX($AJ$13:$AR$162,BN1414,0)+INDEX($AT$13:$BB$162,BO1414,0)+INDEX($BD$13:$BL$162,BP1414,0))/100)))&gt;0)*($D$10:$L$10-($D$9:$L$9+INT(($S$12:$AA$12+INDEX($AJ$13:$AR$162,BN1414,0)+INDEX($AT$13:$BB$162,BO1414,0)+INDEX($BD$13:$BL$162,BP1414,0))/100)))),0)</f>
        <v/>
      </c>
      <c r="BS1414">
        <f>IF(1401&lt;$U$9,SUMPRODUCT(($D$9:$L$9+INT(($S$12:$AA$12+INDEX($AJ$13:$AR$162,BN1414,0)+INDEX($AT$13:$BB$162,BO1414,0)+INDEX($BD$13:$BL$162,BP1414,0))/100))),0)</f>
        <v/>
      </c>
      <c r="BT1414">
        <f>IF(AND(1401&lt;$U$9,$W$5),BQ1414*1000000-MIN(BR1414,999)*1000+BS1414-1401/100000,-1000000000-1401)</f>
        <v/>
      </c>
    </row>
    <row r="1415">
      <c r="BN1415">
        <f>IF(1402&lt;$U$9,INT(1402/($U$7*$U$8))+1,1)</f>
        <v/>
      </c>
      <c r="BO1415">
        <f>IF(1402&lt;$U$9,MOD(INT(1402/$U$8),$U$7)+1,1)</f>
        <v/>
      </c>
      <c r="BP1415">
        <f>IF(1402&lt;$U$9,MOD(1402,$U$8)+1,1)</f>
        <v/>
      </c>
      <c r="BQ1415">
        <f>IF(1402&lt;$U$9,SUMPRODUCT(($D$10:$L$10&lt;&gt;"")*(($D$9:$L$9+INT(($S$12:$AA$12+INDEX($AJ$13:$AR$162,BN1415,0)+INDEX($AT$13:$BB$162,BO1415,0)+INDEX($BD$13:$BL$162,BP1415,0))/100))&gt;=$D$10:$L$10)),0)</f>
        <v/>
      </c>
      <c r="BR1415">
        <f>IF(1402&lt;$U$9,SUMPRODUCT(($D$10:$L$10&lt;&gt;"")*(($D$10:$L$10-($D$9:$L$9+INT(($S$12:$AA$12+INDEX($AJ$13:$AR$162,BN1415,0)+INDEX($AT$13:$BB$162,BO1415,0)+INDEX($BD$13:$BL$162,BP1415,0))/100)))&gt;0)*($D$10:$L$10-($D$9:$L$9+INT(($S$12:$AA$12+INDEX($AJ$13:$AR$162,BN1415,0)+INDEX($AT$13:$BB$162,BO1415,0)+INDEX($BD$13:$BL$162,BP1415,0))/100)))),0)</f>
        <v/>
      </c>
      <c r="BS1415">
        <f>IF(1402&lt;$U$9,SUMPRODUCT(($D$9:$L$9+INT(($S$12:$AA$12+INDEX($AJ$13:$AR$162,BN1415,0)+INDEX($AT$13:$BB$162,BO1415,0)+INDEX($BD$13:$BL$162,BP1415,0))/100))),0)</f>
        <v/>
      </c>
      <c r="BT1415">
        <f>IF(AND(1402&lt;$U$9,$W$5),BQ1415*1000000-MIN(BR1415,999)*1000+BS1415-1402/100000,-1000000000-1402)</f>
        <v/>
      </c>
    </row>
    <row r="1416">
      <c r="BN1416">
        <f>IF(1403&lt;$U$9,INT(1403/($U$7*$U$8))+1,1)</f>
        <v/>
      </c>
      <c r="BO1416">
        <f>IF(1403&lt;$U$9,MOD(INT(1403/$U$8),$U$7)+1,1)</f>
        <v/>
      </c>
      <c r="BP1416">
        <f>IF(1403&lt;$U$9,MOD(1403,$U$8)+1,1)</f>
        <v/>
      </c>
      <c r="BQ1416">
        <f>IF(1403&lt;$U$9,SUMPRODUCT(($D$10:$L$10&lt;&gt;"")*(($D$9:$L$9+INT(($S$12:$AA$12+INDEX($AJ$13:$AR$162,BN1416,0)+INDEX($AT$13:$BB$162,BO1416,0)+INDEX($BD$13:$BL$162,BP1416,0))/100))&gt;=$D$10:$L$10)),0)</f>
        <v/>
      </c>
      <c r="BR1416">
        <f>IF(1403&lt;$U$9,SUMPRODUCT(($D$10:$L$10&lt;&gt;"")*(($D$10:$L$10-($D$9:$L$9+INT(($S$12:$AA$12+INDEX($AJ$13:$AR$162,BN1416,0)+INDEX($AT$13:$BB$162,BO1416,0)+INDEX($BD$13:$BL$162,BP1416,0))/100)))&gt;0)*($D$10:$L$10-($D$9:$L$9+INT(($S$12:$AA$12+INDEX($AJ$13:$AR$162,BN1416,0)+INDEX($AT$13:$BB$162,BO1416,0)+INDEX($BD$13:$BL$162,BP1416,0))/100)))),0)</f>
        <v/>
      </c>
      <c r="BS1416">
        <f>IF(1403&lt;$U$9,SUMPRODUCT(($D$9:$L$9+INT(($S$12:$AA$12+INDEX($AJ$13:$AR$162,BN1416,0)+INDEX($AT$13:$BB$162,BO1416,0)+INDEX($BD$13:$BL$162,BP1416,0))/100))),0)</f>
        <v/>
      </c>
      <c r="BT1416">
        <f>IF(AND(1403&lt;$U$9,$W$5),BQ1416*1000000-MIN(BR1416,999)*1000+BS1416-1403/100000,-1000000000-1403)</f>
        <v/>
      </c>
    </row>
    <row r="1417">
      <c r="BN1417">
        <f>IF(1404&lt;$U$9,INT(1404/($U$7*$U$8))+1,1)</f>
        <v/>
      </c>
      <c r="BO1417">
        <f>IF(1404&lt;$U$9,MOD(INT(1404/$U$8),$U$7)+1,1)</f>
        <v/>
      </c>
      <c r="BP1417">
        <f>IF(1404&lt;$U$9,MOD(1404,$U$8)+1,1)</f>
        <v/>
      </c>
      <c r="BQ1417">
        <f>IF(1404&lt;$U$9,SUMPRODUCT(($D$10:$L$10&lt;&gt;"")*(($D$9:$L$9+INT(($S$12:$AA$12+INDEX($AJ$13:$AR$162,BN1417,0)+INDEX($AT$13:$BB$162,BO1417,0)+INDEX($BD$13:$BL$162,BP1417,0))/100))&gt;=$D$10:$L$10)),0)</f>
        <v/>
      </c>
      <c r="BR1417">
        <f>IF(1404&lt;$U$9,SUMPRODUCT(($D$10:$L$10&lt;&gt;"")*(($D$10:$L$10-($D$9:$L$9+INT(($S$12:$AA$12+INDEX($AJ$13:$AR$162,BN1417,0)+INDEX($AT$13:$BB$162,BO1417,0)+INDEX($BD$13:$BL$162,BP1417,0))/100)))&gt;0)*($D$10:$L$10-($D$9:$L$9+INT(($S$12:$AA$12+INDEX($AJ$13:$AR$162,BN1417,0)+INDEX($AT$13:$BB$162,BO1417,0)+INDEX($BD$13:$BL$162,BP1417,0))/100)))),0)</f>
        <v/>
      </c>
      <c r="BS1417">
        <f>IF(1404&lt;$U$9,SUMPRODUCT(($D$9:$L$9+INT(($S$12:$AA$12+INDEX($AJ$13:$AR$162,BN1417,0)+INDEX($AT$13:$BB$162,BO1417,0)+INDEX($BD$13:$BL$162,BP1417,0))/100))),0)</f>
        <v/>
      </c>
      <c r="BT1417">
        <f>IF(AND(1404&lt;$U$9,$W$5),BQ1417*1000000-MIN(BR1417,999)*1000+BS1417-1404/100000,-1000000000-1404)</f>
        <v/>
      </c>
    </row>
    <row r="1418">
      <c r="BN1418">
        <f>IF(1405&lt;$U$9,INT(1405/($U$7*$U$8))+1,1)</f>
        <v/>
      </c>
      <c r="BO1418">
        <f>IF(1405&lt;$U$9,MOD(INT(1405/$U$8),$U$7)+1,1)</f>
        <v/>
      </c>
      <c r="BP1418">
        <f>IF(1405&lt;$U$9,MOD(1405,$U$8)+1,1)</f>
        <v/>
      </c>
      <c r="BQ1418">
        <f>IF(1405&lt;$U$9,SUMPRODUCT(($D$10:$L$10&lt;&gt;"")*(($D$9:$L$9+INT(($S$12:$AA$12+INDEX($AJ$13:$AR$162,BN1418,0)+INDEX($AT$13:$BB$162,BO1418,0)+INDEX($BD$13:$BL$162,BP1418,0))/100))&gt;=$D$10:$L$10)),0)</f>
        <v/>
      </c>
      <c r="BR1418">
        <f>IF(1405&lt;$U$9,SUMPRODUCT(($D$10:$L$10&lt;&gt;"")*(($D$10:$L$10-($D$9:$L$9+INT(($S$12:$AA$12+INDEX($AJ$13:$AR$162,BN1418,0)+INDEX($AT$13:$BB$162,BO1418,0)+INDEX($BD$13:$BL$162,BP1418,0))/100)))&gt;0)*($D$10:$L$10-($D$9:$L$9+INT(($S$12:$AA$12+INDEX($AJ$13:$AR$162,BN1418,0)+INDEX($AT$13:$BB$162,BO1418,0)+INDEX($BD$13:$BL$162,BP1418,0))/100)))),0)</f>
        <v/>
      </c>
      <c r="BS1418">
        <f>IF(1405&lt;$U$9,SUMPRODUCT(($D$9:$L$9+INT(($S$12:$AA$12+INDEX($AJ$13:$AR$162,BN1418,0)+INDEX($AT$13:$BB$162,BO1418,0)+INDEX($BD$13:$BL$162,BP1418,0))/100))),0)</f>
        <v/>
      </c>
      <c r="BT1418">
        <f>IF(AND(1405&lt;$U$9,$W$5),BQ1418*1000000-MIN(BR1418,999)*1000+BS1418-1405/100000,-1000000000-1405)</f>
        <v/>
      </c>
    </row>
    <row r="1419">
      <c r="BN1419">
        <f>IF(1406&lt;$U$9,INT(1406/($U$7*$U$8))+1,1)</f>
        <v/>
      </c>
      <c r="BO1419">
        <f>IF(1406&lt;$U$9,MOD(INT(1406/$U$8),$U$7)+1,1)</f>
        <v/>
      </c>
      <c r="BP1419">
        <f>IF(1406&lt;$U$9,MOD(1406,$U$8)+1,1)</f>
        <v/>
      </c>
      <c r="BQ1419">
        <f>IF(1406&lt;$U$9,SUMPRODUCT(($D$10:$L$10&lt;&gt;"")*(($D$9:$L$9+INT(($S$12:$AA$12+INDEX($AJ$13:$AR$162,BN1419,0)+INDEX($AT$13:$BB$162,BO1419,0)+INDEX($BD$13:$BL$162,BP1419,0))/100))&gt;=$D$10:$L$10)),0)</f>
        <v/>
      </c>
      <c r="BR1419">
        <f>IF(1406&lt;$U$9,SUMPRODUCT(($D$10:$L$10&lt;&gt;"")*(($D$10:$L$10-($D$9:$L$9+INT(($S$12:$AA$12+INDEX($AJ$13:$AR$162,BN1419,0)+INDEX($AT$13:$BB$162,BO1419,0)+INDEX($BD$13:$BL$162,BP1419,0))/100)))&gt;0)*($D$10:$L$10-($D$9:$L$9+INT(($S$12:$AA$12+INDEX($AJ$13:$AR$162,BN1419,0)+INDEX($AT$13:$BB$162,BO1419,0)+INDEX($BD$13:$BL$162,BP1419,0))/100)))),0)</f>
        <v/>
      </c>
      <c r="BS1419">
        <f>IF(1406&lt;$U$9,SUMPRODUCT(($D$9:$L$9+INT(($S$12:$AA$12+INDEX($AJ$13:$AR$162,BN1419,0)+INDEX($AT$13:$BB$162,BO1419,0)+INDEX($BD$13:$BL$162,BP1419,0))/100))),0)</f>
        <v/>
      </c>
      <c r="BT1419">
        <f>IF(AND(1406&lt;$U$9,$W$5),BQ1419*1000000-MIN(BR1419,999)*1000+BS1419-1406/100000,-1000000000-1406)</f>
        <v/>
      </c>
    </row>
    <row r="1420">
      <c r="BN1420">
        <f>IF(1407&lt;$U$9,INT(1407/($U$7*$U$8))+1,1)</f>
        <v/>
      </c>
      <c r="BO1420">
        <f>IF(1407&lt;$U$9,MOD(INT(1407/$U$8),$U$7)+1,1)</f>
        <v/>
      </c>
      <c r="BP1420">
        <f>IF(1407&lt;$U$9,MOD(1407,$U$8)+1,1)</f>
        <v/>
      </c>
      <c r="BQ1420">
        <f>IF(1407&lt;$U$9,SUMPRODUCT(($D$10:$L$10&lt;&gt;"")*(($D$9:$L$9+INT(($S$12:$AA$12+INDEX($AJ$13:$AR$162,BN1420,0)+INDEX($AT$13:$BB$162,BO1420,0)+INDEX($BD$13:$BL$162,BP1420,0))/100))&gt;=$D$10:$L$10)),0)</f>
        <v/>
      </c>
      <c r="BR1420">
        <f>IF(1407&lt;$U$9,SUMPRODUCT(($D$10:$L$10&lt;&gt;"")*(($D$10:$L$10-($D$9:$L$9+INT(($S$12:$AA$12+INDEX($AJ$13:$AR$162,BN1420,0)+INDEX($AT$13:$BB$162,BO1420,0)+INDEX($BD$13:$BL$162,BP1420,0))/100)))&gt;0)*($D$10:$L$10-($D$9:$L$9+INT(($S$12:$AA$12+INDEX($AJ$13:$AR$162,BN1420,0)+INDEX($AT$13:$BB$162,BO1420,0)+INDEX($BD$13:$BL$162,BP1420,0))/100)))),0)</f>
        <v/>
      </c>
      <c r="BS1420">
        <f>IF(1407&lt;$U$9,SUMPRODUCT(($D$9:$L$9+INT(($S$12:$AA$12+INDEX($AJ$13:$AR$162,BN1420,0)+INDEX($AT$13:$BB$162,BO1420,0)+INDEX($BD$13:$BL$162,BP1420,0))/100))),0)</f>
        <v/>
      </c>
      <c r="BT1420">
        <f>IF(AND(1407&lt;$U$9,$W$5),BQ1420*1000000-MIN(BR1420,999)*1000+BS1420-1407/100000,-1000000000-1407)</f>
        <v/>
      </c>
    </row>
    <row r="1421">
      <c r="BN1421">
        <f>IF(1408&lt;$U$9,INT(1408/($U$7*$U$8))+1,1)</f>
        <v/>
      </c>
      <c r="BO1421">
        <f>IF(1408&lt;$U$9,MOD(INT(1408/$U$8),$U$7)+1,1)</f>
        <v/>
      </c>
      <c r="BP1421">
        <f>IF(1408&lt;$U$9,MOD(1408,$U$8)+1,1)</f>
        <v/>
      </c>
      <c r="BQ1421">
        <f>IF(1408&lt;$U$9,SUMPRODUCT(($D$10:$L$10&lt;&gt;"")*(($D$9:$L$9+INT(($S$12:$AA$12+INDEX($AJ$13:$AR$162,BN1421,0)+INDEX($AT$13:$BB$162,BO1421,0)+INDEX($BD$13:$BL$162,BP1421,0))/100))&gt;=$D$10:$L$10)),0)</f>
        <v/>
      </c>
      <c r="BR1421">
        <f>IF(1408&lt;$U$9,SUMPRODUCT(($D$10:$L$10&lt;&gt;"")*(($D$10:$L$10-($D$9:$L$9+INT(($S$12:$AA$12+INDEX($AJ$13:$AR$162,BN1421,0)+INDEX($AT$13:$BB$162,BO1421,0)+INDEX($BD$13:$BL$162,BP1421,0))/100)))&gt;0)*($D$10:$L$10-($D$9:$L$9+INT(($S$12:$AA$12+INDEX($AJ$13:$AR$162,BN1421,0)+INDEX($AT$13:$BB$162,BO1421,0)+INDEX($BD$13:$BL$162,BP1421,0))/100)))),0)</f>
        <v/>
      </c>
      <c r="BS1421">
        <f>IF(1408&lt;$U$9,SUMPRODUCT(($D$9:$L$9+INT(($S$12:$AA$12+INDEX($AJ$13:$AR$162,BN1421,0)+INDEX($AT$13:$BB$162,BO1421,0)+INDEX($BD$13:$BL$162,BP1421,0))/100))),0)</f>
        <v/>
      </c>
      <c r="BT1421">
        <f>IF(AND(1408&lt;$U$9,$W$5),BQ1421*1000000-MIN(BR1421,999)*1000+BS1421-1408/100000,-1000000000-1408)</f>
        <v/>
      </c>
    </row>
    <row r="1422">
      <c r="BN1422">
        <f>IF(1409&lt;$U$9,INT(1409/($U$7*$U$8))+1,1)</f>
        <v/>
      </c>
      <c r="BO1422">
        <f>IF(1409&lt;$U$9,MOD(INT(1409/$U$8),$U$7)+1,1)</f>
        <v/>
      </c>
      <c r="BP1422">
        <f>IF(1409&lt;$U$9,MOD(1409,$U$8)+1,1)</f>
        <v/>
      </c>
      <c r="BQ1422">
        <f>IF(1409&lt;$U$9,SUMPRODUCT(($D$10:$L$10&lt;&gt;"")*(($D$9:$L$9+INT(($S$12:$AA$12+INDEX($AJ$13:$AR$162,BN1422,0)+INDEX($AT$13:$BB$162,BO1422,0)+INDEX($BD$13:$BL$162,BP1422,0))/100))&gt;=$D$10:$L$10)),0)</f>
        <v/>
      </c>
      <c r="BR1422">
        <f>IF(1409&lt;$U$9,SUMPRODUCT(($D$10:$L$10&lt;&gt;"")*(($D$10:$L$10-($D$9:$L$9+INT(($S$12:$AA$12+INDEX($AJ$13:$AR$162,BN1422,0)+INDEX($AT$13:$BB$162,BO1422,0)+INDEX($BD$13:$BL$162,BP1422,0))/100)))&gt;0)*($D$10:$L$10-($D$9:$L$9+INT(($S$12:$AA$12+INDEX($AJ$13:$AR$162,BN1422,0)+INDEX($AT$13:$BB$162,BO1422,0)+INDEX($BD$13:$BL$162,BP1422,0))/100)))),0)</f>
        <v/>
      </c>
      <c r="BS1422">
        <f>IF(1409&lt;$U$9,SUMPRODUCT(($D$9:$L$9+INT(($S$12:$AA$12+INDEX($AJ$13:$AR$162,BN1422,0)+INDEX($AT$13:$BB$162,BO1422,0)+INDEX($BD$13:$BL$162,BP1422,0))/100))),0)</f>
        <v/>
      </c>
      <c r="BT1422">
        <f>IF(AND(1409&lt;$U$9,$W$5),BQ1422*1000000-MIN(BR1422,999)*1000+BS1422-1409/100000,-1000000000-1409)</f>
        <v/>
      </c>
    </row>
    <row r="1423">
      <c r="BN1423">
        <f>IF(1410&lt;$U$9,INT(1410/($U$7*$U$8))+1,1)</f>
        <v/>
      </c>
      <c r="BO1423">
        <f>IF(1410&lt;$U$9,MOD(INT(1410/$U$8),$U$7)+1,1)</f>
        <v/>
      </c>
      <c r="BP1423">
        <f>IF(1410&lt;$U$9,MOD(1410,$U$8)+1,1)</f>
        <v/>
      </c>
      <c r="BQ1423">
        <f>IF(1410&lt;$U$9,SUMPRODUCT(($D$10:$L$10&lt;&gt;"")*(($D$9:$L$9+INT(($S$12:$AA$12+INDEX($AJ$13:$AR$162,BN1423,0)+INDEX($AT$13:$BB$162,BO1423,0)+INDEX($BD$13:$BL$162,BP1423,0))/100))&gt;=$D$10:$L$10)),0)</f>
        <v/>
      </c>
      <c r="BR1423">
        <f>IF(1410&lt;$U$9,SUMPRODUCT(($D$10:$L$10&lt;&gt;"")*(($D$10:$L$10-($D$9:$L$9+INT(($S$12:$AA$12+INDEX($AJ$13:$AR$162,BN1423,0)+INDEX($AT$13:$BB$162,BO1423,0)+INDEX($BD$13:$BL$162,BP1423,0))/100)))&gt;0)*($D$10:$L$10-($D$9:$L$9+INT(($S$12:$AA$12+INDEX($AJ$13:$AR$162,BN1423,0)+INDEX($AT$13:$BB$162,BO1423,0)+INDEX($BD$13:$BL$162,BP1423,0))/100)))),0)</f>
        <v/>
      </c>
      <c r="BS1423">
        <f>IF(1410&lt;$U$9,SUMPRODUCT(($D$9:$L$9+INT(($S$12:$AA$12+INDEX($AJ$13:$AR$162,BN1423,0)+INDEX($AT$13:$BB$162,BO1423,0)+INDEX($BD$13:$BL$162,BP1423,0))/100))),0)</f>
        <v/>
      </c>
      <c r="BT1423">
        <f>IF(AND(1410&lt;$U$9,$W$5),BQ1423*1000000-MIN(BR1423,999)*1000+BS1423-1410/100000,-1000000000-1410)</f>
        <v/>
      </c>
    </row>
    <row r="1424">
      <c r="BN1424">
        <f>IF(1411&lt;$U$9,INT(1411/($U$7*$U$8))+1,1)</f>
        <v/>
      </c>
      <c r="BO1424">
        <f>IF(1411&lt;$U$9,MOD(INT(1411/$U$8),$U$7)+1,1)</f>
        <v/>
      </c>
      <c r="BP1424">
        <f>IF(1411&lt;$U$9,MOD(1411,$U$8)+1,1)</f>
        <v/>
      </c>
      <c r="BQ1424">
        <f>IF(1411&lt;$U$9,SUMPRODUCT(($D$10:$L$10&lt;&gt;"")*(($D$9:$L$9+INT(($S$12:$AA$12+INDEX($AJ$13:$AR$162,BN1424,0)+INDEX($AT$13:$BB$162,BO1424,0)+INDEX($BD$13:$BL$162,BP1424,0))/100))&gt;=$D$10:$L$10)),0)</f>
        <v/>
      </c>
      <c r="BR1424">
        <f>IF(1411&lt;$U$9,SUMPRODUCT(($D$10:$L$10&lt;&gt;"")*(($D$10:$L$10-($D$9:$L$9+INT(($S$12:$AA$12+INDEX($AJ$13:$AR$162,BN1424,0)+INDEX($AT$13:$BB$162,BO1424,0)+INDEX($BD$13:$BL$162,BP1424,0))/100)))&gt;0)*($D$10:$L$10-($D$9:$L$9+INT(($S$12:$AA$12+INDEX($AJ$13:$AR$162,BN1424,0)+INDEX($AT$13:$BB$162,BO1424,0)+INDEX($BD$13:$BL$162,BP1424,0))/100)))),0)</f>
        <v/>
      </c>
      <c r="BS1424">
        <f>IF(1411&lt;$U$9,SUMPRODUCT(($D$9:$L$9+INT(($S$12:$AA$12+INDEX($AJ$13:$AR$162,BN1424,0)+INDEX($AT$13:$BB$162,BO1424,0)+INDEX($BD$13:$BL$162,BP1424,0))/100))),0)</f>
        <v/>
      </c>
      <c r="BT1424">
        <f>IF(AND(1411&lt;$U$9,$W$5),BQ1424*1000000-MIN(BR1424,999)*1000+BS1424-1411/100000,-1000000000-1411)</f>
        <v/>
      </c>
    </row>
    <row r="1425">
      <c r="BN1425">
        <f>IF(1412&lt;$U$9,INT(1412/($U$7*$U$8))+1,1)</f>
        <v/>
      </c>
      <c r="BO1425">
        <f>IF(1412&lt;$U$9,MOD(INT(1412/$U$8),$U$7)+1,1)</f>
        <v/>
      </c>
      <c r="BP1425">
        <f>IF(1412&lt;$U$9,MOD(1412,$U$8)+1,1)</f>
        <v/>
      </c>
      <c r="BQ1425">
        <f>IF(1412&lt;$U$9,SUMPRODUCT(($D$10:$L$10&lt;&gt;"")*(($D$9:$L$9+INT(($S$12:$AA$12+INDEX($AJ$13:$AR$162,BN1425,0)+INDEX($AT$13:$BB$162,BO1425,0)+INDEX($BD$13:$BL$162,BP1425,0))/100))&gt;=$D$10:$L$10)),0)</f>
        <v/>
      </c>
      <c r="BR1425">
        <f>IF(1412&lt;$U$9,SUMPRODUCT(($D$10:$L$10&lt;&gt;"")*(($D$10:$L$10-($D$9:$L$9+INT(($S$12:$AA$12+INDEX($AJ$13:$AR$162,BN1425,0)+INDEX($AT$13:$BB$162,BO1425,0)+INDEX($BD$13:$BL$162,BP1425,0))/100)))&gt;0)*($D$10:$L$10-($D$9:$L$9+INT(($S$12:$AA$12+INDEX($AJ$13:$AR$162,BN1425,0)+INDEX($AT$13:$BB$162,BO1425,0)+INDEX($BD$13:$BL$162,BP1425,0))/100)))),0)</f>
        <v/>
      </c>
      <c r="BS1425">
        <f>IF(1412&lt;$U$9,SUMPRODUCT(($D$9:$L$9+INT(($S$12:$AA$12+INDEX($AJ$13:$AR$162,BN1425,0)+INDEX($AT$13:$BB$162,BO1425,0)+INDEX($BD$13:$BL$162,BP1425,0))/100))),0)</f>
        <v/>
      </c>
      <c r="BT1425">
        <f>IF(AND(1412&lt;$U$9,$W$5),BQ1425*1000000-MIN(BR1425,999)*1000+BS1425-1412/100000,-1000000000-1412)</f>
        <v/>
      </c>
    </row>
    <row r="1426">
      <c r="BN1426">
        <f>IF(1413&lt;$U$9,INT(1413/($U$7*$U$8))+1,1)</f>
        <v/>
      </c>
      <c r="BO1426">
        <f>IF(1413&lt;$U$9,MOD(INT(1413/$U$8),$U$7)+1,1)</f>
        <v/>
      </c>
      <c r="BP1426">
        <f>IF(1413&lt;$U$9,MOD(1413,$U$8)+1,1)</f>
        <v/>
      </c>
      <c r="BQ1426">
        <f>IF(1413&lt;$U$9,SUMPRODUCT(($D$10:$L$10&lt;&gt;"")*(($D$9:$L$9+INT(($S$12:$AA$12+INDEX($AJ$13:$AR$162,BN1426,0)+INDEX($AT$13:$BB$162,BO1426,0)+INDEX($BD$13:$BL$162,BP1426,0))/100))&gt;=$D$10:$L$10)),0)</f>
        <v/>
      </c>
      <c r="BR1426">
        <f>IF(1413&lt;$U$9,SUMPRODUCT(($D$10:$L$10&lt;&gt;"")*(($D$10:$L$10-($D$9:$L$9+INT(($S$12:$AA$12+INDEX($AJ$13:$AR$162,BN1426,0)+INDEX($AT$13:$BB$162,BO1426,0)+INDEX($BD$13:$BL$162,BP1426,0))/100)))&gt;0)*($D$10:$L$10-($D$9:$L$9+INT(($S$12:$AA$12+INDEX($AJ$13:$AR$162,BN1426,0)+INDEX($AT$13:$BB$162,BO1426,0)+INDEX($BD$13:$BL$162,BP1426,0))/100)))),0)</f>
        <v/>
      </c>
      <c r="BS1426">
        <f>IF(1413&lt;$U$9,SUMPRODUCT(($D$9:$L$9+INT(($S$12:$AA$12+INDEX($AJ$13:$AR$162,BN1426,0)+INDEX($AT$13:$BB$162,BO1426,0)+INDEX($BD$13:$BL$162,BP1426,0))/100))),0)</f>
        <v/>
      </c>
      <c r="BT1426">
        <f>IF(AND(1413&lt;$U$9,$W$5),BQ1426*1000000-MIN(BR1426,999)*1000+BS1426-1413/100000,-1000000000-1413)</f>
        <v/>
      </c>
    </row>
    <row r="1427">
      <c r="BN1427">
        <f>IF(1414&lt;$U$9,INT(1414/($U$7*$U$8))+1,1)</f>
        <v/>
      </c>
      <c r="BO1427">
        <f>IF(1414&lt;$U$9,MOD(INT(1414/$U$8),$U$7)+1,1)</f>
        <v/>
      </c>
      <c r="BP1427">
        <f>IF(1414&lt;$U$9,MOD(1414,$U$8)+1,1)</f>
        <v/>
      </c>
      <c r="BQ1427">
        <f>IF(1414&lt;$U$9,SUMPRODUCT(($D$10:$L$10&lt;&gt;"")*(($D$9:$L$9+INT(($S$12:$AA$12+INDEX($AJ$13:$AR$162,BN1427,0)+INDEX($AT$13:$BB$162,BO1427,0)+INDEX($BD$13:$BL$162,BP1427,0))/100))&gt;=$D$10:$L$10)),0)</f>
        <v/>
      </c>
      <c r="BR1427">
        <f>IF(1414&lt;$U$9,SUMPRODUCT(($D$10:$L$10&lt;&gt;"")*(($D$10:$L$10-($D$9:$L$9+INT(($S$12:$AA$12+INDEX($AJ$13:$AR$162,BN1427,0)+INDEX($AT$13:$BB$162,BO1427,0)+INDEX($BD$13:$BL$162,BP1427,0))/100)))&gt;0)*($D$10:$L$10-($D$9:$L$9+INT(($S$12:$AA$12+INDEX($AJ$13:$AR$162,BN1427,0)+INDEX($AT$13:$BB$162,BO1427,0)+INDEX($BD$13:$BL$162,BP1427,0))/100)))),0)</f>
        <v/>
      </c>
      <c r="BS1427">
        <f>IF(1414&lt;$U$9,SUMPRODUCT(($D$9:$L$9+INT(($S$12:$AA$12+INDEX($AJ$13:$AR$162,BN1427,0)+INDEX($AT$13:$BB$162,BO1427,0)+INDEX($BD$13:$BL$162,BP1427,0))/100))),0)</f>
        <v/>
      </c>
      <c r="BT1427">
        <f>IF(AND(1414&lt;$U$9,$W$5),BQ1427*1000000-MIN(BR1427,999)*1000+BS1427-1414/100000,-1000000000-1414)</f>
        <v/>
      </c>
    </row>
    <row r="1428">
      <c r="BN1428">
        <f>IF(1415&lt;$U$9,INT(1415/($U$7*$U$8))+1,1)</f>
        <v/>
      </c>
      <c r="BO1428">
        <f>IF(1415&lt;$U$9,MOD(INT(1415/$U$8),$U$7)+1,1)</f>
        <v/>
      </c>
      <c r="BP1428">
        <f>IF(1415&lt;$U$9,MOD(1415,$U$8)+1,1)</f>
        <v/>
      </c>
      <c r="BQ1428">
        <f>IF(1415&lt;$U$9,SUMPRODUCT(($D$10:$L$10&lt;&gt;"")*(($D$9:$L$9+INT(($S$12:$AA$12+INDEX($AJ$13:$AR$162,BN1428,0)+INDEX($AT$13:$BB$162,BO1428,0)+INDEX($BD$13:$BL$162,BP1428,0))/100))&gt;=$D$10:$L$10)),0)</f>
        <v/>
      </c>
      <c r="BR1428">
        <f>IF(1415&lt;$U$9,SUMPRODUCT(($D$10:$L$10&lt;&gt;"")*(($D$10:$L$10-($D$9:$L$9+INT(($S$12:$AA$12+INDEX($AJ$13:$AR$162,BN1428,0)+INDEX($AT$13:$BB$162,BO1428,0)+INDEX($BD$13:$BL$162,BP1428,0))/100)))&gt;0)*($D$10:$L$10-($D$9:$L$9+INT(($S$12:$AA$12+INDEX($AJ$13:$AR$162,BN1428,0)+INDEX($AT$13:$BB$162,BO1428,0)+INDEX($BD$13:$BL$162,BP1428,0))/100)))),0)</f>
        <v/>
      </c>
      <c r="BS1428">
        <f>IF(1415&lt;$U$9,SUMPRODUCT(($D$9:$L$9+INT(($S$12:$AA$12+INDEX($AJ$13:$AR$162,BN1428,0)+INDEX($AT$13:$BB$162,BO1428,0)+INDEX($BD$13:$BL$162,BP1428,0))/100))),0)</f>
        <v/>
      </c>
      <c r="BT1428">
        <f>IF(AND(1415&lt;$U$9,$W$5),BQ1428*1000000-MIN(BR1428,999)*1000+BS1428-1415/100000,-1000000000-1415)</f>
        <v/>
      </c>
    </row>
    <row r="1429">
      <c r="BN1429">
        <f>IF(1416&lt;$U$9,INT(1416/($U$7*$U$8))+1,1)</f>
        <v/>
      </c>
      <c r="BO1429">
        <f>IF(1416&lt;$U$9,MOD(INT(1416/$U$8),$U$7)+1,1)</f>
        <v/>
      </c>
      <c r="BP1429">
        <f>IF(1416&lt;$U$9,MOD(1416,$U$8)+1,1)</f>
        <v/>
      </c>
      <c r="BQ1429">
        <f>IF(1416&lt;$U$9,SUMPRODUCT(($D$10:$L$10&lt;&gt;"")*(($D$9:$L$9+INT(($S$12:$AA$12+INDEX($AJ$13:$AR$162,BN1429,0)+INDEX($AT$13:$BB$162,BO1429,0)+INDEX($BD$13:$BL$162,BP1429,0))/100))&gt;=$D$10:$L$10)),0)</f>
        <v/>
      </c>
      <c r="BR1429">
        <f>IF(1416&lt;$U$9,SUMPRODUCT(($D$10:$L$10&lt;&gt;"")*(($D$10:$L$10-($D$9:$L$9+INT(($S$12:$AA$12+INDEX($AJ$13:$AR$162,BN1429,0)+INDEX($AT$13:$BB$162,BO1429,0)+INDEX($BD$13:$BL$162,BP1429,0))/100)))&gt;0)*($D$10:$L$10-($D$9:$L$9+INT(($S$12:$AA$12+INDEX($AJ$13:$AR$162,BN1429,0)+INDEX($AT$13:$BB$162,BO1429,0)+INDEX($BD$13:$BL$162,BP1429,0))/100)))),0)</f>
        <v/>
      </c>
      <c r="BS1429">
        <f>IF(1416&lt;$U$9,SUMPRODUCT(($D$9:$L$9+INT(($S$12:$AA$12+INDEX($AJ$13:$AR$162,BN1429,0)+INDEX($AT$13:$BB$162,BO1429,0)+INDEX($BD$13:$BL$162,BP1429,0))/100))),0)</f>
        <v/>
      </c>
      <c r="BT1429">
        <f>IF(AND(1416&lt;$U$9,$W$5),BQ1429*1000000-MIN(BR1429,999)*1000+BS1429-1416/100000,-1000000000-1416)</f>
        <v/>
      </c>
    </row>
    <row r="1430">
      <c r="BN1430">
        <f>IF(1417&lt;$U$9,INT(1417/($U$7*$U$8))+1,1)</f>
        <v/>
      </c>
      <c r="BO1430">
        <f>IF(1417&lt;$U$9,MOD(INT(1417/$U$8),$U$7)+1,1)</f>
        <v/>
      </c>
      <c r="BP1430">
        <f>IF(1417&lt;$U$9,MOD(1417,$U$8)+1,1)</f>
        <v/>
      </c>
      <c r="BQ1430">
        <f>IF(1417&lt;$U$9,SUMPRODUCT(($D$10:$L$10&lt;&gt;"")*(($D$9:$L$9+INT(($S$12:$AA$12+INDEX($AJ$13:$AR$162,BN1430,0)+INDEX($AT$13:$BB$162,BO1430,0)+INDEX($BD$13:$BL$162,BP1430,0))/100))&gt;=$D$10:$L$10)),0)</f>
        <v/>
      </c>
      <c r="BR1430">
        <f>IF(1417&lt;$U$9,SUMPRODUCT(($D$10:$L$10&lt;&gt;"")*(($D$10:$L$10-($D$9:$L$9+INT(($S$12:$AA$12+INDEX($AJ$13:$AR$162,BN1430,0)+INDEX($AT$13:$BB$162,BO1430,0)+INDEX($BD$13:$BL$162,BP1430,0))/100)))&gt;0)*($D$10:$L$10-($D$9:$L$9+INT(($S$12:$AA$12+INDEX($AJ$13:$AR$162,BN1430,0)+INDEX($AT$13:$BB$162,BO1430,0)+INDEX($BD$13:$BL$162,BP1430,0))/100)))),0)</f>
        <v/>
      </c>
      <c r="BS1430">
        <f>IF(1417&lt;$U$9,SUMPRODUCT(($D$9:$L$9+INT(($S$12:$AA$12+INDEX($AJ$13:$AR$162,BN1430,0)+INDEX($AT$13:$BB$162,BO1430,0)+INDEX($BD$13:$BL$162,BP1430,0))/100))),0)</f>
        <v/>
      </c>
      <c r="BT1430">
        <f>IF(AND(1417&lt;$U$9,$W$5),BQ1430*1000000-MIN(BR1430,999)*1000+BS1430-1417/100000,-1000000000-1417)</f>
        <v/>
      </c>
    </row>
    <row r="1431">
      <c r="BN1431">
        <f>IF(1418&lt;$U$9,INT(1418/($U$7*$U$8))+1,1)</f>
        <v/>
      </c>
      <c r="BO1431">
        <f>IF(1418&lt;$U$9,MOD(INT(1418/$U$8),$U$7)+1,1)</f>
        <v/>
      </c>
      <c r="BP1431">
        <f>IF(1418&lt;$U$9,MOD(1418,$U$8)+1,1)</f>
        <v/>
      </c>
      <c r="BQ1431">
        <f>IF(1418&lt;$U$9,SUMPRODUCT(($D$10:$L$10&lt;&gt;"")*(($D$9:$L$9+INT(($S$12:$AA$12+INDEX($AJ$13:$AR$162,BN1431,0)+INDEX($AT$13:$BB$162,BO1431,0)+INDEX($BD$13:$BL$162,BP1431,0))/100))&gt;=$D$10:$L$10)),0)</f>
        <v/>
      </c>
      <c r="BR1431">
        <f>IF(1418&lt;$U$9,SUMPRODUCT(($D$10:$L$10&lt;&gt;"")*(($D$10:$L$10-($D$9:$L$9+INT(($S$12:$AA$12+INDEX($AJ$13:$AR$162,BN1431,0)+INDEX($AT$13:$BB$162,BO1431,0)+INDEX($BD$13:$BL$162,BP1431,0))/100)))&gt;0)*($D$10:$L$10-($D$9:$L$9+INT(($S$12:$AA$12+INDEX($AJ$13:$AR$162,BN1431,0)+INDEX($AT$13:$BB$162,BO1431,0)+INDEX($BD$13:$BL$162,BP1431,0))/100)))),0)</f>
        <v/>
      </c>
      <c r="BS1431">
        <f>IF(1418&lt;$U$9,SUMPRODUCT(($D$9:$L$9+INT(($S$12:$AA$12+INDEX($AJ$13:$AR$162,BN1431,0)+INDEX($AT$13:$BB$162,BO1431,0)+INDEX($BD$13:$BL$162,BP1431,0))/100))),0)</f>
        <v/>
      </c>
      <c r="BT1431">
        <f>IF(AND(1418&lt;$U$9,$W$5),BQ1431*1000000-MIN(BR1431,999)*1000+BS1431-1418/100000,-1000000000-1418)</f>
        <v/>
      </c>
    </row>
    <row r="1432">
      <c r="BN1432">
        <f>IF(1419&lt;$U$9,INT(1419/($U$7*$U$8))+1,1)</f>
        <v/>
      </c>
      <c r="BO1432">
        <f>IF(1419&lt;$U$9,MOD(INT(1419/$U$8),$U$7)+1,1)</f>
        <v/>
      </c>
      <c r="BP1432">
        <f>IF(1419&lt;$U$9,MOD(1419,$U$8)+1,1)</f>
        <v/>
      </c>
      <c r="BQ1432">
        <f>IF(1419&lt;$U$9,SUMPRODUCT(($D$10:$L$10&lt;&gt;"")*(($D$9:$L$9+INT(($S$12:$AA$12+INDEX($AJ$13:$AR$162,BN1432,0)+INDEX($AT$13:$BB$162,BO1432,0)+INDEX($BD$13:$BL$162,BP1432,0))/100))&gt;=$D$10:$L$10)),0)</f>
        <v/>
      </c>
      <c r="BR1432">
        <f>IF(1419&lt;$U$9,SUMPRODUCT(($D$10:$L$10&lt;&gt;"")*(($D$10:$L$10-($D$9:$L$9+INT(($S$12:$AA$12+INDEX($AJ$13:$AR$162,BN1432,0)+INDEX($AT$13:$BB$162,BO1432,0)+INDEX($BD$13:$BL$162,BP1432,0))/100)))&gt;0)*($D$10:$L$10-($D$9:$L$9+INT(($S$12:$AA$12+INDEX($AJ$13:$AR$162,BN1432,0)+INDEX($AT$13:$BB$162,BO1432,0)+INDEX($BD$13:$BL$162,BP1432,0))/100)))),0)</f>
        <v/>
      </c>
      <c r="BS1432">
        <f>IF(1419&lt;$U$9,SUMPRODUCT(($D$9:$L$9+INT(($S$12:$AA$12+INDEX($AJ$13:$AR$162,BN1432,0)+INDEX($AT$13:$BB$162,BO1432,0)+INDEX($BD$13:$BL$162,BP1432,0))/100))),0)</f>
        <v/>
      </c>
      <c r="BT1432">
        <f>IF(AND(1419&lt;$U$9,$W$5),BQ1432*1000000-MIN(BR1432,999)*1000+BS1432-1419/100000,-1000000000-1419)</f>
        <v/>
      </c>
    </row>
    <row r="1433">
      <c r="BN1433">
        <f>IF(1420&lt;$U$9,INT(1420/($U$7*$U$8))+1,1)</f>
        <v/>
      </c>
      <c r="BO1433">
        <f>IF(1420&lt;$U$9,MOD(INT(1420/$U$8),$U$7)+1,1)</f>
        <v/>
      </c>
      <c r="BP1433">
        <f>IF(1420&lt;$U$9,MOD(1420,$U$8)+1,1)</f>
        <v/>
      </c>
      <c r="BQ1433">
        <f>IF(1420&lt;$U$9,SUMPRODUCT(($D$10:$L$10&lt;&gt;"")*(($D$9:$L$9+INT(($S$12:$AA$12+INDEX($AJ$13:$AR$162,BN1433,0)+INDEX($AT$13:$BB$162,BO1433,0)+INDEX($BD$13:$BL$162,BP1433,0))/100))&gt;=$D$10:$L$10)),0)</f>
        <v/>
      </c>
      <c r="BR1433">
        <f>IF(1420&lt;$U$9,SUMPRODUCT(($D$10:$L$10&lt;&gt;"")*(($D$10:$L$10-($D$9:$L$9+INT(($S$12:$AA$12+INDEX($AJ$13:$AR$162,BN1433,0)+INDEX($AT$13:$BB$162,BO1433,0)+INDEX($BD$13:$BL$162,BP1433,0))/100)))&gt;0)*($D$10:$L$10-($D$9:$L$9+INT(($S$12:$AA$12+INDEX($AJ$13:$AR$162,BN1433,0)+INDEX($AT$13:$BB$162,BO1433,0)+INDEX($BD$13:$BL$162,BP1433,0))/100)))),0)</f>
        <v/>
      </c>
      <c r="BS1433">
        <f>IF(1420&lt;$U$9,SUMPRODUCT(($D$9:$L$9+INT(($S$12:$AA$12+INDEX($AJ$13:$AR$162,BN1433,0)+INDEX($AT$13:$BB$162,BO1433,0)+INDEX($BD$13:$BL$162,BP1433,0))/100))),0)</f>
        <v/>
      </c>
      <c r="BT1433">
        <f>IF(AND(1420&lt;$U$9,$W$5),BQ1433*1000000-MIN(BR1433,999)*1000+BS1433-1420/100000,-1000000000-1420)</f>
        <v/>
      </c>
    </row>
    <row r="1434">
      <c r="BN1434">
        <f>IF(1421&lt;$U$9,INT(1421/($U$7*$U$8))+1,1)</f>
        <v/>
      </c>
      <c r="BO1434">
        <f>IF(1421&lt;$U$9,MOD(INT(1421/$U$8),$U$7)+1,1)</f>
        <v/>
      </c>
      <c r="BP1434">
        <f>IF(1421&lt;$U$9,MOD(1421,$U$8)+1,1)</f>
        <v/>
      </c>
      <c r="BQ1434">
        <f>IF(1421&lt;$U$9,SUMPRODUCT(($D$10:$L$10&lt;&gt;"")*(($D$9:$L$9+INT(($S$12:$AA$12+INDEX($AJ$13:$AR$162,BN1434,0)+INDEX($AT$13:$BB$162,BO1434,0)+INDEX($BD$13:$BL$162,BP1434,0))/100))&gt;=$D$10:$L$10)),0)</f>
        <v/>
      </c>
      <c r="BR1434">
        <f>IF(1421&lt;$U$9,SUMPRODUCT(($D$10:$L$10&lt;&gt;"")*(($D$10:$L$10-($D$9:$L$9+INT(($S$12:$AA$12+INDEX($AJ$13:$AR$162,BN1434,0)+INDEX($AT$13:$BB$162,BO1434,0)+INDEX($BD$13:$BL$162,BP1434,0))/100)))&gt;0)*($D$10:$L$10-($D$9:$L$9+INT(($S$12:$AA$12+INDEX($AJ$13:$AR$162,BN1434,0)+INDEX($AT$13:$BB$162,BO1434,0)+INDEX($BD$13:$BL$162,BP1434,0))/100)))),0)</f>
        <v/>
      </c>
      <c r="BS1434">
        <f>IF(1421&lt;$U$9,SUMPRODUCT(($D$9:$L$9+INT(($S$12:$AA$12+INDEX($AJ$13:$AR$162,BN1434,0)+INDEX($AT$13:$BB$162,BO1434,0)+INDEX($BD$13:$BL$162,BP1434,0))/100))),0)</f>
        <v/>
      </c>
      <c r="BT1434">
        <f>IF(AND(1421&lt;$U$9,$W$5),BQ1434*1000000-MIN(BR1434,999)*1000+BS1434-1421/100000,-1000000000-1421)</f>
        <v/>
      </c>
    </row>
    <row r="1435">
      <c r="BN1435">
        <f>IF(1422&lt;$U$9,INT(1422/($U$7*$U$8))+1,1)</f>
        <v/>
      </c>
      <c r="BO1435">
        <f>IF(1422&lt;$U$9,MOD(INT(1422/$U$8),$U$7)+1,1)</f>
        <v/>
      </c>
      <c r="BP1435">
        <f>IF(1422&lt;$U$9,MOD(1422,$U$8)+1,1)</f>
        <v/>
      </c>
      <c r="BQ1435">
        <f>IF(1422&lt;$U$9,SUMPRODUCT(($D$10:$L$10&lt;&gt;"")*(($D$9:$L$9+INT(($S$12:$AA$12+INDEX($AJ$13:$AR$162,BN1435,0)+INDEX($AT$13:$BB$162,BO1435,0)+INDEX($BD$13:$BL$162,BP1435,0))/100))&gt;=$D$10:$L$10)),0)</f>
        <v/>
      </c>
      <c r="BR1435">
        <f>IF(1422&lt;$U$9,SUMPRODUCT(($D$10:$L$10&lt;&gt;"")*(($D$10:$L$10-($D$9:$L$9+INT(($S$12:$AA$12+INDEX($AJ$13:$AR$162,BN1435,0)+INDEX($AT$13:$BB$162,BO1435,0)+INDEX($BD$13:$BL$162,BP1435,0))/100)))&gt;0)*($D$10:$L$10-($D$9:$L$9+INT(($S$12:$AA$12+INDEX($AJ$13:$AR$162,BN1435,0)+INDEX($AT$13:$BB$162,BO1435,0)+INDEX($BD$13:$BL$162,BP1435,0))/100)))),0)</f>
        <v/>
      </c>
      <c r="BS1435">
        <f>IF(1422&lt;$U$9,SUMPRODUCT(($D$9:$L$9+INT(($S$12:$AA$12+INDEX($AJ$13:$AR$162,BN1435,0)+INDEX($AT$13:$BB$162,BO1435,0)+INDEX($BD$13:$BL$162,BP1435,0))/100))),0)</f>
        <v/>
      </c>
      <c r="BT1435">
        <f>IF(AND(1422&lt;$U$9,$W$5),BQ1435*1000000-MIN(BR1435,999)*1000+BS1435-1422/100000,-1000000000-1422)</f>
        <v/>
      </c>
    </row>
    <row r="1436">
      <c r="BN1436">
        <f>IF(1423&lt;$U$9,INT(1423/($U$7*$U$8))+1,1)</f>
        <v/>
      </c>
      <c r="BO1436">
        <f>IF(1423&lt;$U$9,MOD(INT(1423/$U$8),$U$7)+1,1)</f>
        <v/>
      </c>
      <c r="BP1436">
        <f>IF(1423&lt;$U$9,MOD(1423,$U$8)+1,1)</f>
        <v/>
      </c>
      <c r="BQ1436">
        <f>IF(1423&lt;$U$9,SUMPRODUCT(($D$10:$L$10&lt;&gt;"")*(($D$9:$L$9+INT(($S$12:$AA$12+INDEX($AJ$13:$AR$162,BN1436,0)+INDEX($AT$13:$BB$162,BO1436,0)+INDEX($BD$13:$BL$162,BP1436,0))/100))&gt;=$D$10:$L$10)),0)</f>
        <v/>
      </c>
      <c r="BR1436">
        <f>IF(1423&lt;$U$9,SUMPRODUCT(($D$10:$L$10&lt;&gt;"")*(($D$10:$L$10-($D$9:$L$9+INT(($S$12:$AA$12+INDEX($AJ$13:$AR$162,BN1436,0)+INDEX($AT$13:$BB$162,BO1436,0)+INDEX($BD$13:$BL$162,BP1436,0))/100)))&gt;0)*($D$10:$L$10-($D$9:$L$9+INT(($S$12:$AA$12+INDEX($AJ$13:$AR$162,BN1436,0)+INDEX($AT$13:$BB$162,BO1436,0)+INDEX($BD$13:$BL$162,BP1436,0))/100)))),0)</f>
        <v/>
      </c>
      <c r="BS1436">
        <f>IF(1423&lt;$U$9,SUMPRODUCT(($D$9:$L$9+INT(($S$12:$AA$12+INDEX($AJ$13:$AR$162,BN1436,0)+INDEX($AT$13:$BB$162,BO1436,0)+INDEX($BD$13:$BL$162,BP1436,0))/100))),0)</f>
        <v/>
      </c>
      <c r="BT1436">
        <f>IF(AND(1423&lt;$U$9,$W$5),BQ1436*1000000-MIN(BR1436,999)*1000+BS1436-1423/100000,-1000000000-1423)</f>
        <v/>
      </c>
    </row>
    <row r="1437">
      <c r="BN1437">
        <f>IF(1424&lt;$U$9,INT(1424/($U$7*$U$8))+1,1)</f>
        <v/>
      </c>
      <c r="BO1437">
        <f>IF(1424&lt;$U$9,MOD(INT(1424/$U$8),$U$7)+1,1)</f>
        <v/>
      </c>
      <c r="BP1437">
        <f>IF(1424&lt;$U$9,MOD(1424,$U$8)+1,1)</f>
        <v/>
      </c>
      <c r="BQ1437">
        <f>IF(1424&lt;$U$9,SUMPRODUCT(($D$10:$L$10&lt;&gt;"")*(($D$9:$L$9+INT(($S$12:$AA$12+INDEX($AJ$13:$AR$162,BN1437,0)+INDEX($AT$13:$BB$162,BO1437,0)+INDEX($BD$13:$BL$162,BP1437,0))/100))&gt;=$D$10:$L$10)),0)</f>
        <v/>
      </c>
      <c r="BR1437">
        <f>IF(1424&lt;$U$9,SUMPRODUCT(($D$10:$L$10&lt;&gt;"")*(($D$10:$L$10-($D$9:$L$9+INT(($S$12:$AA$12+INDEX($AJ$13:$AR$162,BN1437,0)+INDEX($AT$13:$BB$162,BO1437,0)+INDEX($BD$13:$BL$162,BP1437,0))/100)))&gt;0)*($D$10:$L$10-($D$9:$L$9+INT(($S$12:$AA$12+INDEX($AJ$13:$AR$162,BN1437,0)+INDEX($AT$13:$BB$162,BO1437,0)+INDEX($BD$13:$BL$162,BP1437,0))/100)))),0)</f>
        <v/>
      </c>
      <c r="BS1437">
        <f>IF(1424&lt;$U$9,SUMPRODUCT(($D$9:$L$9+INT(($S$12:$AA$12+INDEX($AJ$13:$AR$162,BN1437,0)+INDEX($AT$13:$BB$162,BO1437,0)+INDEX($BD$13:$BL$162,BP1437,0))/100))),0)</f>
        <v/>
      </c>
      <c r="BT1437">
        <f>IF(AND(1424&lt;$U$9,$W$5),BQ1437*1000000-MIN(BR1437,999)*1000+BS1437-1424/100000,-1000000000-1424)</f>
        <v/>
      </c>
    </row>
    <row r="1438">
      <c r="BN1438">
        <f>IF(1425&lt;$U$9,INT(1425/($U$7*$U$8))+1,1)</f>
        <v/>
      </c>
      <c r="BO1438">
        <f>IF(1425&lt;$U$9,MOD(INT(1425/$U$8),$U$7)+1,1)</f>
        <v/>
      </c>
      <c r="BP1438">
        <f>IF(1425&lt;$U$9,MOD(1425,$U$8)+1,1)</f>
        <v/>
      </c>
      <c r="BQ1438">
        <f>IF(1425&lt;$U$9,SUMPRODUCT(($D$10:$L$10&lt;&gt;"")*(($D$9:$L$9+INT(($S$12:$AA$12+INDEX($AJ$13:$AR$162,BN1438,0)+INDEX($AT$13:$BB$162,BO1438,0)+INDEX($BD$13:$BL$162,BP1438,0))/100))&gt;=$D$10:$L$10)),0)</f>
        <v/>
      </c>
      <c r="BR1438">
        <f>IF(1425&lt;$U$9,SUMPRODUCT(($D$10:$L$10&lt;&gt;"")*(($D$10:$L$10-($D$9:$L$9+INT(($S$12:$AA$12+INDEX($AJ$13:$AR$162,BN1438,0)+INDEX($AT$13:$BB$162,BO1438,0)+INDEX($BD$13:$BL$162,BP1438,0))/100)))&gt;0)*($D$10:$L$10-($D$9:$L$9+INT(($S$12:$AA$12+INDEX($AJ$13:$AR$162,BN1438,0)+INDEX($AT$13:$BB$162,BO1438,0)+INDEX($BD$13:$BL$162,BP1438,0))/100)))),0)</f>
        <v/>
      </c>
      <c r="BS1438">
        <f>IF(1425&lt;$U$9,SUMPRODUCT(($D$9:$L$9+INT(($S$12:$AA$12+INDEX($AJ$13:$AR$162,BN1438,0)+INDEX($AT$13:$BB$162,BO1438,0)+INDEX($BD$13:$BL$162,BP1438,0))/100))),0)</f>
        <v/>
      </c>
      <c r="BT1438">
        <f>IF(AND(1425&lt;$U$9,$W$5),BQ1438*1000000-MIN(BR1438,999)*1000+BS1438-1425/100000,-1000000000-1425)</f>
        <v/>
      </c>
    </row>
    <row r="1439">
      <c r="BN1439">
        <f>IF(1426&lt;$U$9,INT(1426/($U$7*$U$8))+1,1)</f>
        <v/>
      </c>
      <c r="BO1439">
        <f>IF(1426&lt;$U$9,MOD(INT(1426/$U$8),$U$7)+1,1)</f>
        <v/>
      </c>
      <c r="BP1439">
        <f>IF(1426&lt;$U$9,MOD(1426,$U$8)+1,1)</f>
        <v/>
      </c>
      <c r="BQ1439">
        <f>IF(1426&lt;$U$9,SUMPRODUCT(($D$10:$L$10&lt;&gt;"")*(($D$9:$L$9+INT(($S$12:$AA$12+INDEX($AJ$13:$AR$162,BN1439,0)+INDEX($AT$13:$BB$162,BO1439,0)+INDEX($BD$13:$BL$162,BP1439,0))/100))&gt;=$D$10:$L$10)),0)</f>
        <v/>
      </c>
      <c r="BR1439">
        <f>IF(1426&lt;$U$9,SUMPRODUCT(($D$10:$L$10&lt;&gt;"")*(($D$10:$L$10-($D$9:$L$9+INT(($S$12:$AA$12+INDEX($AJ$13:$AR$162,BN1439,0)+INDEX($AT$13:$BB$162,BO1439,0)+INDEX($BD$13:$BL$162,BP1439,0))/100)))&gt;0)*($D$10:$L$10-($D$9:$L$9+INT(($S$12:$AA$12+INDEX($AJ$13:$AR$162,BN1439,0)+INDEX($AT$13:$BB$162,BO1439,0)+INDEX($BD$13:$BL$162,BP1439,0))/100)))),0)</f>
        <v/>
      </c>
      <c r="BS1439">
        <f>IF(1426&lt;$U$9,SUMPRODUCT(($D$9:$L$9+INT(($S$12:$AA$12+INDEX($AJ$13:$AR$162,BN1439,0)+INDEX($AT$13:$BB$162,BO1439,0)+INDEX($BD$13:$BL$162,BP1439,0))/100))),0)</f>
        <v/>
      </c>
      <c r="BT1439">
        <f>IF(AND(1426&lt;$U$9,$W$5),BQ1439*1000000-MIN(BR1439,999)*1000+BS1439-1426/100000,-1000000000-1426)</f>
        <v/>
      </c>
    </row>
    <row r="1440">
      <c r="BN1440">
        <f>IF(1427&lt;$U$9,INT(1427/($U$7*$U$8))+1,1)</f>
        <v/>
      </c>
      <c r="BO1440">
        <f>IF(1427&lt;$U$9,MOD(INT(1427/$U$8),$U$7)+1,1)</f>
        <v/>
      </c>
      <c r="BP1440">
        <f>IF(1427&lt;$U$9,MOD(1427,$U$8)+1,1)</f>
        <v/>
      </c>
      <c r="BQ1440">
        <f>IF(1427&lt;$U$9,SUMPRODUCT(($D$10:$L$10&lt;&gt;"")*(($D$9:$L$9+INT(($S$12:$AA$12+INDEX($AJ$13:$AR$162,BN1440,0)+INDEX($AT$13:$BB$162,BO1440,0)+INDEX($BD$13:$BL$162,BP1440,0))/100))&gt;=$D$10:$L$10)),0)</f>
        <v/>
      </c>
      <c r="BR1440">
        <f>IF(1427&lt;$U$9,SUMPRODUCT(($D$10:$L$10&lt;&gt;"")*(($D$10:$L$10-($D$9:$L$9+INT(($S$12:$AA$12+INDEX($AJ$13:$AR$162,BN1440,0)+INDEX($AT$13:$BB$162,BO1440,0)+INDEX($BD$13:$BL$162,BP1440,0))/100)))&gt;0)*($D$10:$L$10-($D$9:$L$9+INT(($S$12:$AA$12+INDEX($AJ$13:$AR$162,BN1440,0)+INDEX($AT$13:$BB$162,BO1440,0)+INDEX($BD$13:$BL$162,BP1440,0))/100)))),0)</f>
        <v/>
      </c>
      <c r="BS1440">
        <f>IF(1427&lt;$U$9,SUMPRODUCT(($D$9:$L$9+INT(($S$12:$AA$12+INDEX($AJ$13:$AR$162,BN1440,0)+INDEX($AT$13:$BB$162,BO1440,0)+INDEX($BD$13:$BL$162,BP1440,0))/100))),0)</f>
        <v/>
      </c>
      <c r="BT1440">
        <f>IF(AND(1427&lt;$U$9,$W$5),BQ1440*1000000-MIN(BR1440,999)*1000+BS1440-1427/100000,-1000000000-1427)</f>
        <v/>
      </c>
    </row>
    <row r="1441">
      <c r="BN1441">
        <f>IF(1428&lt;$U$9,INT(1428/($U$7*$U$8))+1,1)</f>
        <v/>
      </c>
      <c r="BO1441">
        <f>IF(1428&lt;$U$9,MOD(INT(1428/$U$8),$U$7)+1,1)</f>
        <v/>
      </c>
      <c r="BP1441">
        <f>IF(1428&lt;$U$9,MOD(1428,$U$8)+1,1)</f>
        <v/>
      </c>
      <c r="BQ1441">
        <f>IF(1428&lt;$U$9,SUMPRODUCT(($D$10:$L$10&lt;&gt;"")*(($D$9:$L$9+INT(($S$12:$AA$12+INDEX($AJ$13:$AR$162,BN1441,0)+INDEX($AT$13:$BB$162,BO1441,0)+INDEX($BD$13:$BL$162,BP1441,0))/100))&gt;=$D$10:$L$10)),0)</f>
        <v/>
      </c>
      <c r="BR1441">
        <f>IF(1428&lt;$U$9,SUMPRODUCT(($D$10:$L$10&lt;&gt;"")*(($D$10:$L$10-($D$9:$L$9+INT(($S$12:$AA$12+INDEX($AJ$13:$AR$162,BN1441,0)+INDEX($AT$13:$BB$162,BO1441,0)+INDEX($BD$13:$BL$162,BP1441,0))/100)))&gt;0)*($D$10:$L$10-($D$9:$L$9+INT(($S$12:$AA$12+INDEX($AJ$13:$AR$162,BN1441,0)+INDEX($AT$13:$BB$162,BO1441,0)+INDEX($BD$13:$BL$162,BP1441,0))/100)))),0)</f>
        <v/>
      </c>
      <c r="BS1441">
        <f>IF(1428&lt;$U$9,SUMPRODUCT(($D$9:$L$9+INT(($S$12:$AA$12+INDEX($AJ$13:$AR$162,BN1441,0)+INDEX($AT$13:$BB$162,BO1441,0)+INDEX($BD$13:$BL$162,BP1441,0))/100))),0)</f>
        <v/>
      </c>
      <c r="BT1441">
        <f>IF(AND(1428&lt;$U$9,$W$5),BQ1441*1000000-MIN(BR1441,999)*1000+BS1441-1428/100000,-1000000000-1428)</f>
        <v/>
      </c>
    </row>
    <row r="1442">
      <c r="BN1442">
        <f>IF(1429&lt;$U$9,INT(1429/($U$7*$U$8))+1,1)</f>
        <v/>
      </c>
      <c r="BO1442">
        <f>IF(1429&lt;$U$9,MOD(INT(1429/$U$8),$U$7)+1,1)</f>
        <v/>
      </c>
      <c r="BP1442">
        <f>IF(1429&lt;$U$9,MOD(1429,$U$8)+1,1)</f>
        <v/>
      </c>
      <c r="BQ1442">
        <f>IF(1429&lt;$U$9,SUMPRODUCT(($D$10:$L$10&lt;&gt;"")*(($D$9:$L$9+INT(($S$12:$AA$12+INDEX($AJ$13:$AR$162,BN1442,0)+INDEX($AT$13:$BB$162,BO1442,0)+INDEX($BD$13:$BL$162,BP1442,0))/100))&gt;=$D$10:$L$10)),0)</f>
        <v/>
      </c>
      <c r="BR1442">
        <f>IF(1429&lt;$U$9,SUMPRODUCT(($D$10:$L$10&lt;&gt;"")*(($D$10:$L$10-($D$9:$L$9+INT(($S$12:$AA$12+INDEX($AJ$13:$AR$162,BN1442,0)+INDEX($AT$13:$BB$162,BO1442,0)+INDEX($BD$13:$BL$162,BP1442,0))/100)))&gt;0)*($D$10:$L$10-($D$9:$L$9+INT(($S$12:$AA$12+INDEX($AJ$13:$AR$162,BN1442,0)+INDEX($AT$13:$BB$162,BO1442,0)+INDEX($BD$13:$BL$162,BP1442,0))/100)))),0)</f>
        <v/>
      </c>
      <c r="BS1442">
        <f>IF(1429&lt;$U$9,SUMPRODUCT(($D$9:$L$9+INT(($S$12:$AA$12+INDEX($AJ$13:$AR$162,BN1442,0)+INDEX($AT$13:$BB$162,BO1442,0)+INDEX($BD$13:$BL$162,BP1442,0))/100))),0)</f>
        <v/>
      </c>
      <c r="BT1442">
        <f>IF(AND(1429&lt;$U$9,$W$5),BQ1442*1000000-MIN(BR1442,999)*1000+BS1442-1429/100000,-1000000000-1429)</f>
        <v/>
      </c>
    </row>
    <row r="1443">
      <c r="BN1443">
        <f>IF(1430&lt;$U$9,INT(1430/($U$7*$U$8))+1,1)</f>
        <v/>
      </c>
      <c r="BO1443">
        <f>IF(1430&lt;$U$9,MOD(INT(1430/$U$8),$U$7)+1,1)</f>
        <v/>
      </c>
      <c r="BP1443">
        <f>IF(1430&lt;$U$9,MOD(1430,$U$8)+1,1)</f>
        <v/>
      </c>
      <c r="BQ1443">
        <f>IF(1430&lt;$U$9,SUMPRODUCT(($D$10:$L$10&lt;&gt;"")*(($D$9:$L$9+INT(($S$12:$AA$12+INDEX($AJ$13:$AR$162,BN1443,0)+INDEX($AT$13:$BB$162,BO1443,0)+INDEX($BD$13:$BL$162,BP1443,0))/100))&gt;=$D$10:$L$10)),0)</f>
        <v/>
      </c>
      <c r="BR1443">
        <f>IF(1430&lt;$U$9,SUMPRODUCT(($D$10:$L$10&lt;&gt;"")*(($D$10:$L$10-($D$9:$L$9+INT(($S$12:$AA$12+INDEX($AJ$13:$AR$162,BN1443,0)+INDEX($AT$13:$BB$162,BO1443,0)+INDEX($BD$13:$BL$162,BP1443,0))/100)))&gt;0)*($D$10:$L$10-($D$9:$L$9+INT(($S$12:$AA$12+INDEX($AJ$13:$AR$162,BN1443,0)+INDEX($AT$13:$BB$162,BO1443,0)+INDEX($BD$13:$BL$162,BP1443,0))/100)))),0)</f>
        <v/>
      </c>
      <c r="BS1443">
        <f>IF(1430&lt;$U$9,SUMPRODUCT(($D$9:$L$9+INT(($S$12:$AA$12+INDEX($AJ$13:$AR$162,BN1443,0)+INDEX($AT$13:$BB$162,BO1443,0)+INDEX($BD$13:$BL$162,BP1443,0))/100))),0)</f>
        <v/>
      </c>
      <c r="BT1443">
        <f>IF(AND(1430&lt;$U$9,$W$5),BQ1443*1000000-MIN(BR1443,999)*1000+BS1443-1430/100000,-1000000000-1430)</f>
        <v/>
      </c>
    </row>
    <row r="1444">
      <c r="BN1444">
        <f>IF(1431&lt;$U$9,INT(1431/($U$7*$U$8))+1,1)</f>
        <v/>
      </c>
      <c r="BO1444">
        <f>IF(1431&lt;$U$9,MOD(INT(1431/$U$8),$U$7)+1,1)</f>
        <v/>
      </c>
      <c r="BP1444">
        <f>IF(1431&lt;$U$9,MOD(1431,$U$8)+1,1)</f>
        <v/>
      </c>
      <c r="BQ1444">
        <f>IF(1431&lt;$U$9,SUMPRODUCT(($D$10:$L$10&lt;&gt;"")*(($D$9:$L$9+INT(($S$12:$AA$12+INDEX($AJ$13:$AR$162,BN1444,0)+INDEX($AT$13:$BB$162,BO1444,0)+INDEX($BD$13:$BL$162,BP1444,0))/100))&gt;=$D$10:$L$10)),0)</f>
        <v/>
      </c>
      <c r="BR1444">
        <f>IF(1431&lt;$U$9,SUMPRODUCT(($D$10:$L$10&lt;&gt;"")*(($D$10:$L$10-($D$9:$L$9+INT(($S$12:$AA$12+INDEX($AJ$13:$AR$162,BN1444,0)+INDEX($AT$13:$BB$162,BO1444,0)+INDEX($BD$13:$BL$162,BP1444,0))/100)))&gt;0)*($D$10:$L$10-($D$9:$L$9+INT(($S$12:$AA$12+INDEX($AJ$13:$AR$162,BN1444,0)+INDEX($AT$13:$BB$162,BO1444,0)+INDEX($BD$13:$BL$162,BP1444,0))/100)))),0)</f>
        <v/>
      </c>
      <c r="BS1444">
        <f>IF(1431&lt;$U$9,SUMPRODUCT(($D$9:$L$9+INT(($S$12:$AA$12+INDEX($AJ$13:$AR$162,BN1444,0)+INDEX($AT$13:$BB$162,BO1444,0)+INDEX($BD$13:$BL$162,BP1444,0))/100))),0)</f>
        <v/>
      </c>
      <c r="BT1444">
        <f>IF(AND(1431&lt;$U$9,$W$5),BQ1444*1000000-MIN(BR1444,999)*1000+BS1444-1431/100000,-1000000000-1431)</f>
        <v/>
      </c>
    </row>
    <row r="1445">
      <c r="BN1445">
        <f>IF(1432&lt;$U$9,INT(1432/($U$7*$U$8))+1,1)</f>
        <v/>
      </c>
      <c r="BO1445">
        <f>IF(1432&lt;$U$9,MOD(INT(1432/$U$8),$U$7)+1,1)</f>
        <v/>
      </c>
      <c r="BP1445">
        <f>IF(1432&lt;$U$9,MOD(1432,$U$8)+1,1)</f>
        <v/>
      </c>
      <c r="BQ1445">
        <f>IF(1432&lt;$U$9,SUMPRODUCT(($D$10:$L$10&lt;&gt;"")*(($D$9:$L$9+INT(($S$12:$AA$12+INDEX($AJ$13:$AR$162,BN1445,0)+INDEX($AT$13:$BB$162,BO1445,0)+INDEX($BD$13:$BL$162,BP1445,0))/100))&gt;=$D$10:$L$10)),0)</f>
        <v/>
      </c>
      <c r="BR1445">
        <f>IF(1432&lt;$U$9,SUMPRODUCT(($D$10:$L$10&lt;&gt;"")*(($D$10:$L$10-($D$9:$L$9+INT(($S$12:$AA$12+INDEX($AJ$13:$AR$162,BN1445,0)+INDEX($AT$13:$BB$162,BO1445,0)+INDEX($BD$13:$BL$162,BP1445,0))/100)))&gt;0)*($D$10:$L$10-($D$9:$L$9+INT(($S$12:$AA$12+INDEX($AJ$13:$AR$162,BN1445,0)+INDEX($AT$13:$BB$162,BO1445,0)+INDEX($BD$13:$BL$162,BP1445,0))/100)))),0)</f>
        <v/>
      </c>
      <c r="BS1445">
        <f>IF(1432&lt;$U$9,SUMPRODUCT(($D$9:$L$9+INT(($S$12:$AA$12+INDEX($AJ$13:$AR$162,BN1445,0)+INDEX($AT$13:$BB$162,BO1445,0)+INDEX($BD$13:$BL$162,BP1445,0))/100))),0)</f>
        <v/>
      </c>
      <c r="BT1445">
        <f>IF(AND(1432&lt;$U$9,$W$5),BQ1445*1000000-MIN(BR1445,999)*1000+BS1445-1432/100000,-1000000000-1432)</f>
        <v/>
      </c>
    </row>
    <row r="1446">
      <c r="BN1446">
        <f>IF(1433&lt;$U$9,INT(1433/($U$7*$U$8))+1,1)</f>
        <v/>
      </c>
      <c r="BO1446">
        <f>IF(1433&lt;$U$9,MOD(INT(1433/$U$8),$U$7)+1,1)</f>
        <v/>
      </c>
      <c r="BP1446">
        <f>IF(1433&lt;$U$9,MOD(1433,$U$8)+1,1)</f>
        <v/>
      </c>
      <c r="BQ1446">
        <f>IF(1433&lt;$U$9,SUMPRODUCT(($D$10:$L$10&lt;&gt;"")*(($D$9:$L$9+INT(($S$12:$AA$12+INDEX($AJ$13:$AR$162,BN1446,0)+INDEX($AT$13:$BB$162,BO1446,0)+INDEX($BD$13:$BL$162,BP1446,0))/100))&gt;=$D$10:$L$10)),0)</f>
        <v/>
      </c>
      <c r="BR1446">
        <f>IF(1433&lt;$U$9,SUMPRODUCT(($D$10:$L$10&lt;&gt;"")*(($D$10:$L$10-($D$9:$L$9+INT(($S$12:$AA$12+INDEX($AJ$13:$AR$162,BN1446,0)+INDEX($AT$13:$BB$162,BO1446,0)+INDEX($BD$13:$BL$162,BP1446,0))/100)))&gt;0)*($D$10:$L$10-($D$9:$L$9+INT(($S$12:$AA$12+INDEX($AJ$13:$AR$162,BN1446,0)+INDEX($AT$13:$BB$162,BO1446,0)+INDEX($BD$13:$BL$162,BP1446,0))/100)))),0)</f>
        <v/>
      </c>
      <c r="BS1446">
        <f>IF(1433&lt;$U$9,SUMPRODUCT(($D$9:$L$9+INT(($S$12:$AA$12+INDEX($AJ$13:$AR$162,BN1446,0)+INDEX($AT$13:$BB$162,BO1446,0)+INDEX($BD$13:$BL$162,BP1446,0))/100))),0)</f>
        <v/>
      </c>
      <c r="BT1446">
        <f>IF(AND(1433&lt;$U$9,$W$5),BQ1446*1000000-MIN(BR1446,999)*1000+BS1446-1433/100000,-1000000000-1433)</f>
        <v/>
      </c>
    </row>
    <row r="1447">
      <c r="BN1447">
        <f>IF(1434&lt;$U$9,INT(1434/($U$7*$U$8))+1,1)</f>
        <v/>
      </c>
      <c r="BO1447">
        <f>IF(1434&lt;$U$9,MOD(INT(1434/$U$8),$U$7)+1,1)</f>
        <v/>
      </c>
      <c r="BP1447">
        <f>IF(1434&lt;$U$9,MOD(1434,$U$8)+1,1)</f>
        <v/>
      </c>
      <c r="BQ1447">
        <f>IF(1434&lt;$U$9,SUMPRODUCT(($D$10:$L$10&lt;&gt;"")*(($D$9:$L$9+INT(($S$12:$AA$12+INDEX($AJ$13:$AR$162,BN1447,0)+INDEX($AT$13:$BB$162,BO1447,0)+INDEX($BD$13:$BL$162,BP1447,0))/100))&gt;=$D$10:$L$10)),0)</f>
        <v/>
      </c>
      <c r="BR1447">
        <f>IF(1434&lt;$U$9,SUMPRODUCT(($D$10:$L$10&lt;&gt;"")*(($D$10:$L$10-($D$9:$L$9+INT(($S$12:$AA$12+INDEX($AJ$13:$AR$162,BN1447,0)+INDEX($AT$13:$BB$162,BO1447,0)+INDEX($BD$13:$BL$162,BP1447,0))/100)))&gt;0)*($D$10:$L$10-($D$9:$L$9+INT(($S$12:$AA$12+INDEX($AJ$13:$AR$162,BN1447,0)+INDEX($AT$13:$BB$162,BO1447,0)+INDEX($BD$13:$BL$162,BP1447,0))/100)))),0)</f>
        <v/>
      </c>
      <c r="BS1447">
        <f>IF(1434&lt;$U$9,SUMPRODUCT(($D$9:$L$9+INT(($S$12:$AA$12+INDEX($AJ$13:$AR$162,BN1447,0)+INDEX($AT$13:$BB$162,BO1447,0)+INDEX($BD$13:$BL$162,BP1447,0))/100))),0)</f>
        <v/>
      </c>
      <c r="BT1447">
        <f>IF(AND(1434&lt;$U$9,$W$5),BQ1447*1000000-MIN(BR1447,999)*1000+BS1447-1434/100000,-1000000000-1434)</f>
        <v/>
      </c>
    </row>
    <row r="1448">
      <c r="BN1448">
        <f>IF(1435&lt;$U$9,INT(1435/($U$7*$U$8))+1,1)</f>
        <v/>
      </c>
      <c r="BO1448">
        <f>IF(1435&lt;$U$9,MOD(INT(1435/$U$8),$U$7)+1,1)</f>
        <v/>
      </c>
      <c r="BP1448">
        <f>IF(1435&lt;$U$9,MOD(1435,$U$8)+1,1)</f>
        <v/>
      </c>
      <c r="BQ1448">
        <f>IF(1435&lt;$U$9,SUMPRODUCT(($D$10:$L$10&lt;&gt;"")*(($D$9:$L$9+INT(($S$12:$AA$12+INDEX($AJ$13:$AR$162,BN1448,0)+INDEX($AT$13:$BB$162,BO1448,0)+INDEX($BD$13:$BL$162,BP1448,0))/100))&gt;=$D$10:$L$10)),0)</f>
        <v/>
      </c>
      <c r="BR1448">
        <f>IF(1435&lt;$U$9,SUMPRODUCT(($D$10:$L$10&lt;&gt;"")*(($D$10:$L$10-($D$9:$L$9+INT(($S$12:$AA$12+INDEX($AJ$13:$AR$162,BN1448,0)+INDEX($AT$13:$BB$162,BO1448,0)+INDEX($BD$13:$BL$162,BP1448,0))/100)))&gt;0)*($D$10:$L$10-($D$9:$L$9+INT(($S$12:$AA$12+INDEX($AJ$13:$AR$162,BN1448,0)+INDEX($AT$13:$BB$162,BO1448,0)+INDEX($BD$13:$BL$162,BP1448,0))/100)))),0)</f>
        <v/>
      </c>
      <c r="BS1448">
        <f>IF(1435&lt;$U$9,SUMPRODUCT(($D$9:$L$9+INT(($S$12:$AA$12+INDEX($AJ$13:$AR$162,BN1448,0)+INDEX($AT$13:$BB$162,BO1448,0)+INDEX($BD$13:$BL$162,BP1448,0))/100))),0)</f>
        <v/>
      </c>
      <c r="BT1448">
        <f>IF(AND(1435&lt;$U$9,$W$5),BQ1448*1000000-MIN(BR1448,999)*1000+BS1448-1435/100000,-1000000000-1435)</f>
        <v/>
      </c>
    </row>
    <row r="1449">
      <c r="BN1449">
        <f>IF(1436&lt;$U$9,INT(1436/($U$7*$U$8))+1,1)</f>
        <v/>
      </c>
      <c r="BO1449">
        <f>IF(1436&lt;$U$9,MOD(INT(1436/$U$8),$U$7)+1,1)</f>
        <v/>
      </c>
      <c r="BP1449">
        <f>IF(1436&lt;$U$9,MOD(1436,$U$8)+1,1)</f>
        <v/>
      </c>
      <c r="BQ1449">
        <f>IF(1436&lt;$U$9,SUMPRODUCT(($D$10:$L$10&lt;&gt;"")*(($D$9:$L$9+INT(($S$12:$AA$12+INDEX($AJ$13:$AR$162,BN1449,0)+INDEX($AT$13:$BB$162,BO1449,0)+INDEX($BD$13:$BL$162,BP1449,0))/100))&gt;=$D$10:$L$10)),0)</f>
        <v/>
      </c>
      <c r="BR1449">
        <f>IF(1436&lt;$U$9,SUMPRODUCT(($D$10:$L$10&lt;&gt;"")*(($D$10:$L$10-($D$9:$L$9+INT(($S$12:$AA$12+INDEX($AJ$13:$AR$162,BN1449,0)+INDEX($AT$13:$BB$162,BO1449,0)+INDEX($BD$13:$BL$162,BP1449,0))/100)))&gt;0)*($D$10:$L$10-($D$9:$L$9+INT(($S$12:$AA$12+INDEX($AJ$13:$AR$162,BN1449,0)+INDEX($AT$13:$BB$162,BO1449,0)+INDEX($BD$13:$BL$162,BP1449,0))/100)))),0)</f>
        <v/>
      </c>
      <c r="BS1449">
        <f>IF(1436&lt;$U$9,SUMPRODUCT(($D$9:$L$9+INT(($S$12:$AA$12+INDEX($AJ$13:$AR$162,BN1449,0)+INDEX($AT$13:$BB$162,BO1449,0)+INDEX($BD$13:$BL$162,BP1449,0))/100))),0)</f>
        <v/>
      </c>
      <c r="BT1449">
        <f>IF(AND(1436&lt;$U$9,$W$5),BQ1449*1000000-MIN(BR1449,999)*1000+BS1449-1436/100000,-1000000000-1436)</f>
        <v/>
      </c>
    </row>
    <row r="1450">
      <c r="BN1450">
        <f>IF(1437&lt;$U$9,INT(1437/($U$7*$U$8))+1,1)</f>
        <v/>
      </c>
      <c r="BO1450">
        <f>IF(1437&lt;$U$9,MOD(INT(1437/$U$8),$U$7)+1,1)</f>
        <v/>
      </c>
      <c r="BP1450">
        <f>IF(1437&lt;$U$9,MOD(1437,$U$8)+1,1)</f>
        <v/>
      </c>
      <c r="BQ1450">
        <f>IF(1437&lt;$U$9,SUMPRODUCT(($D$10:$L$10&lt;&gt;"")*(($D$9:$L$9+INT(($S$12:$AA$12+INDEX($AJ$13:$AR$162,BN1450,0)+INDEX($AT$13:$BB$162,BO1450,0)+INDEX($BD$13:$BL$162,BP1450,0))/100))&gt;=$D$10:$L$10)),0)</f>
        <v/>
      </c>
      <c r="BR1450">
        <f>IF(1437&lt;$U$9,SUMPRODUCT(($D$10:$L$10&lt;&gt;"")*(($D$10:$L$10-($D$9:$L$9+INT(($S$12:$AA$12+INDEX($AJ$13:$AR$162,BN1450,0)+INDEX($AT$13:$BB$162,BO1450,0)+INDEX($BD$13:$BL$162,BP1450,0))/100)))&gt;0)*($D$10:$L$10-($D$9:$L$9+INT(($S$12:$AA$12+INDEX($AJ$13:$AR$162,BN1450,0)+INDEX($AT$13:$BB$162,BO1450,0)+INDEX($BD$13:$BL$162,BP1450,0))/100)))),0)</f>
        <v/>
      </c>
      <c r="BS1450">
        <f>IF(1437&lt;$U$9,SUMPRODUCT(($D$9:$L$9+INT(($S$12:$AA$12+INDEX($AJ$13:$AR$162,BN1450,0)+INDEX($AT$13:$BB$162,BO1450,0)+INDEX($BD$13:$BL$162,BP1450,0))/100))),0)</f>
        <v/>
      </c>
      <c r="BT1450">
        <f>IF(AND(1437&lt;$U$9,$W$5),BQ1450*1000000-MIN(BR1450,999)*1000+BS1450-1437/100000,-1000000000-1437)</f>
        <v/>
      </c>
    </row>
    <row r="1451">
      <c r="BN1451">
        <f>IF(1438&lt;$U$9,INT(1438/($U$7*$U$8))+1,1)</f>
        <v/>
      </c>
      <c r="BO1451">
        <f>IF(1438&lt;$U$9,MOD(INT(1438/$U$8),$U$7)+1,1)</f>
        <v/>
      </c>
      <c r="BP1451">
        <f>IF(1438&lt;$U$9,MOD(1438,$U$8)+1,1)</f>
        <v/>
      </c>
      <c r="BQ1451">
        <f>IF(1438&lt;$U$9,SUMPRODUCT(($D$10:$L$10&lt;&gt;"")*(($D$9:$L$9+INT(($S$12:$AA$12+INDEX($AJ$13:$AR$162,BN1451,0)+INDEX($AT$13:$BB$162,BO1451,0)+INDEX($BD$13:$BL$162,BP1451,0))/100))&gt;=$D$10:$L$10)),0)</f>
        <v/>
      </c>
      <c r="BR1451">
        <f>IF(1438&lt;$U$9,SUMPRODUCT(($D$10:$L$10&lt;&gt;"")*(($D$10:$L$10-($D$9:$L$9+INT(($S$12:$AA$12+INDEX($AJ$13:$AR$162,BN1451,0)+INDEX($AT$13:$BB$162,BO1451,0)+INDEX($BD$13:$BL$162,BP1451,0))/100)))&gt;0)*($D$10:$L$10-($D$9:$L$9+INT(($S$12:$AA$12+INDEX($AJ$13:$AR$162,BN1451,0)+INDEX($AT$13:$BB$162,BO1451,0)+INDEX($BD$13:$BL$162,BP1451,0))/100)))),0)</f>
        <v/>
      </c>
      <c r="BS1451">
        <f>IF(1438&lt;$U$9,SUMPRODUCT(($D$9:$L$9+INT(($S$12:$AA$12+INDEX($AJ$13:$AR$162,BN1451,0)+INDEX($AT$13:$BB$162,BO1451,0)+INDEX($BD$13:$BL$162,BP1451,0))/100))),0)</f>
        <v/>
      </c>
      <c r="BT1451">
        <f>IF(AND(1438&lt;$U$9,$W$5),BQ1451*1000000-MIN(BR1451,999)*1000+BS1451-1438/100000,-1000000000-1438)</f>
        <v/>
      </c>
    </row>
    <row r="1452">
      <c r="BN1452">
        <f>IF(1439&lt;$U$9,INT(1439/($U$7*$U$8))+1,1)</f>
        <v/>
      </c>
      <c r="BO1452">
        <f>IF(1439&lt;$U$9,MOD(INT(1439/$U$8),$U$7)+1,1)</f>
        <v/>
      </c>
      <c r="BP1452">
        <f>IF(1439&lt;$U$9,MOD(1439,$U$8)+1,1)</f>
        <v/>
      </c>
      <c r="BQ1452">
        <f>IF(1439&lt;$U$9,SUMPRODUCT(($D$10:$L$10&lt;&gt;"")*(($D$9:$L$9+INT(($S$12:$AA$12+INDEX($AJ$13:$AR$162,BN1452,0)+INDEX($AT$13:$BB$162,BO1452,0)+INDEX($BD$13:$BL$162,BP1452,0))/100))&gt;=$D$10:$L$10)),0)</f>
        <v/>
      </c>
      <c r="BR1452">
        <f>IF(1439&lt;$U$9,SUMPRODUCT(($D$10:$L$10&lt;&gt;"")*(($D$10:$L$10-($D$9:$L$9+INT(($S$12:$AA$12+INDEX($AJ$13:$AR$162,BN1452,0)+INDEX($AT$13:$BB$162,BO1452,0)+INDEX($BD$13:$BL$162,BP1452,0))/100)))&gt;0)*($D$10:$L$10-($D$9:$L$9+INT(($S$12:$AA$12+INDEX($AJ$13:$AR$162,BN1452,0)+INDEX($AT$13:$BB$162,BO1452,0)+INDEX($BD$13:$BL$162,BP1452,0))/100)))),0)</f>
        <v/>
      </c>
      <c r="BS1452">
        <f>IF(1439&lt;$U$9,SUMPRODUCT(($D$9:$L$9+INT(($S$12:$AA$12+INDEX($AJ$13:$AR$162,BN1452,0)+INDEX($AT$13:$BB$162,BO1452,0)+INDEX($BD$13:$BL$162,BP1452,0))/100))),0)</f>
        <v/>
      </c>
      <c r="BT1452">
        <f>IF(AND(1439&lt;$U$9,$W$5),BQ1452*1000000-MIN(BR1452,999)*1000+BS1452-1439/100000,-1000000000-1439)</f>
        <v/>
      </c>
    </row>
    <row r="1453">
      <c r="BN1453">
        <f>IF(1440&lt;$U$9,INT(1440/($U$7*$U$8))+1,1)</f>
        <v/>
      </c>
      <c r="BO1453">
        <f>IF(1440&lt;$U$9,MOD(INT(1440/$U$8),$U$7)+1,1)</f>
        <v/>
      </c>
      <c r="BP1453">
        <f>IF(1440&lt;$U$9,MOD(1440,$U$8)+1,1)</f>
        <v/>
      </c>
      <c r="BQ1453">
        <f>IF(1440&lt;$U$9,SUMPRODUCT(($D$10:$L$10&lt;&gt;"")*(($D$9:$L$9+INT(($S$12:$AA$12+INDEX($AJ$13:$AR$162,BN1453,0)+INDEX($AT$13:$BB$162,BO1453,0)+INDEX($BD$13:$BL$162,BP1453,0))/100))&gt;=$D$10:$L$10)),0)</f>
        <v/>
      </c>
      <c r="BR1453">
        <f>IF(1440&lt;$U$9,SUMPRODUCT(($D$10:$L$10&lt;&gt;"")*(($D$10:$L$10-($D$9:$L$9+INT(($S$12:$AA$12+INDEX($AJ$13:$AR$162,BN1453,0)+INDEX($AT$13:$BB$162,BO1453,0)+INDEX($BD$13:$BL$162,BP1453,0))/100)))&gt;0)*($D$10:$L$10-($D$9:$L$9+INT(($S$12:$AA$12+INDEX($AJ$13:$AR$162,BN1453,0)+INDEX($AT$13:$BB$162,BO1453,0)+INDEX($BD$13:$BL$162,BP1453,0))/100)))),0)</f>
        <v/>
      </c>
      <c r="BS1453">
        <f>IF(1440&lt;$U$9,SUMPRODUCT(($D$9:$L$9+INT(($S$12:$AA$12+INDEX($AJ$13:$AR$162,BN1453,0)+INDEX($AT$13:$BB$162,BO1453,0)+INDEX($BD$13:$BL$162,BP1453,0))/100))),0)</f>
        <v/>
      </c>
      <c r="BT1453">
        <f>IF(AND(1440&lt;$U$9,$W$5),BQ1453*1000000-MIN(BR1453,999)*1000+BS1453-1440/100000,-1000000000-1440)</f>
        <v/>
      </c>
    </row>
    <row r="1454">
      <c r="BN1454">
        <f>IF(1441&lt;$U$9,INT(1441/($U$7*$U$8))+1,1)</f>
        <v/>
      </c>
      <c r="BO1454">
        <f>IF(1441&lt;$U$9,MOD(INT(1441/$U$8),$U$7)+1,1)</f>
        <v/>
      </c>
      <c r="BP1454">
        <f>IF(1441&lt;$U$9,MOD(1441,$U$8)+1,1)</f>
        <v/>
      </c>
      <c r="BQ1454">
        <f>IF(1441&lt;$U$9,SUMPRODUCT(($D$10:$L$10&lt;&gt;"")*(($D$9:$L$9+INT(($S$12:$AA$12+INDEX($AJ$13:$AR$162,BN1454,0)+INDEX($AT$13:$BB$162,BO1454,0)+INDEX($BD$13:$BL$162,BP1454,0))/100))&gt;=$D$10:$L$10)),0)</f>
        <v/>
      </c>
      <c r="BR1454">
        <f>IF(1441&lt;$U$9,SUMPRODUCT(($D$10:$L$10&lt;&gt;"")*(($D$10:$L$10-($D$9:$L$9+INT(($S$12:$AA$12+INDEX($AJ$13:$AR$162,BN1454,0)+INDEX($AT$13:$BB$162,BO1454,0)+INDEX($BD$13:$BL$162,BP1454,0))/100)))&gt;0)*($D$10:$L$10-($D$9:$L$9+INT(($S$12:$AA$12+INDEX($AJ$13:$AR$162,BN1454,0)+INDEX($AT$13:$BB$162,BO1454,0)+INDEX($BD$13:$BL$162,BP1454,0))/100)))),0)</f>
        <v/>
      </c>
      <c r="BS1454">
        <f>IF(1441&lt;$U$9,SUMPRODUCT(($D$9:$L$9+INT(($S$12:$AA$12+INDEX($AJ$13:$AR$162,BN1454,0)+INDEX($AT$13:$BB$162,BO1454,0)+INDEX($BD$13:$BL$162,BP1454,0))/100))),0)</f>
        <v/>
      </c>
      <c r="BT1454">
        <f>IF(AND(1441&lt;$U$9,$W$5),BQ1454*1000000-MIN(BR1454,999)*1000+BS1454-1441/100000,-1000000000-1441)</f>
        <v/>
      </c>
    </row>
    <row r="1455">
      <c r="BN1455">
        <f>IF(1442&lt;$U$9,INT(1442/($U$7*$U$8))+1,1)</f>
        <v/>
      </c>
      <c r="BO1455">
        <f>IF(1442&lt;$U$9,MOD(INT(1442/$U$8),$U$7)+1,1)</f>
        <v/>
      </c>
      <c r="BP1455">
        <f>IF(1442&lt;$U$9,MOD(1442,$U$8)+1,1)</f>
        <v/>
      </c>
      <c r="BQ1455">
        <f>IF(1442&lt;$U$9,SUMPRODUCT(($D$10:$L$10&lt;&gt;"")*(($D$9:$L$9+INT(($S$12:$AA$12+INDEX($AJ$13:$AR$162,BN1455,0)+INDEX($AT$13:$BB$162,BO1455,0)+INDEX($BD$13:$BL$162,BP1455,0))/100))&gt;=$D$10:$L$10)),0)</f>
        <v/>
      </c>
      <c r="BR1455">
        <f>IF(1442&lt;$U$9,SUMPRODUCT(($D$10:$L$10&lt;&gt;"")*(($D$10:$L$10-($D$9:$L$9+INT(($S$12:$AA$12+INDEX($AJ$13:$AR$162,BN1455,0)+INDEX($AT$13:$BB$162,BO1455,0)+INDEX($BD$13:$BL$162,BP1455,0))/100)))&gt;0)*($D$10:$L$10-($D$9:$L$9+INT(($S$12:$AA$12+INDEX($AJ$13:$AR$162,BN1455,0)+INDEX($AT$13:$BB$162,BO1455,0)+INDEX($BD$13:$BL$162,BP1455,0))/100)))),0)</f>
        <v/>
      </c>
      <c r="BS1455">
        <f>IF(1442&lt;$U$9,SUMPRODUCT(($D$9:$L$9+INT(($S$12:$AA$12+INDEX($AJ$13:$AR$162,BN1455,0)+INDEX($AT$13:$BB$162,BO1455,0)+INDEX($BD$13:$BL$162,BP1455,0))/100))),0)</f>
        <v/>
      </c>
      <c r="BT1455">
        <f>IF(AND(1442&lt;$U$9,$W$5),BQ1455*1000000-MIN(BR1455,999)*1000+BS1455-1442/100000,-1000000000-1442)</f>
        <v/>
      </c>
    </row>
    <row r="1456">
      <c r="BN1456">
        <f>IF(1443&lt;$U$9,INT(1443/($U$7*$U$8))+1,1)</f>
        <v/>
      </c>
      <c r="BO1456">
        <f>IF(1443&lt;$U$9,MOD(INT(1443/$U$8),$U$7)+1,1)</f>
        <v/>
      </c>
      <c r="BP1456">
        <f>IF(1443&lt;$U$9,MOD(1443,$U$8)+1,1)</f>
        <v/>
      </c>
      <c r="BQ1456">
        <f>IF(1443&lt;$U$9,SUMPRODUCT(($D$10:$L$10&lt;&gt;"")*(($D$9:$L$9+INT(($S$12:$AA$12+INDEX($AJ$13:$AR$162,BN1456,0)+INDEX($AT$13:$BB$162,BO1456,0)+INDEX($BD$13:$BL$162,BP1456,0))/100))&gt;=$D$10:$L$10)),0)</f>
        <v/>
      </c>
      <c r="BR1456">
        <f>IF(1443&lt;$U$9,SUMPRODUCT(($D$10:$L$10&lt;&gt;"")*(($D$10:$L$10-($D$9:$L$9+INT(($S$12:$AA$12+INDEX($AJ$13:$AR$162,BN1456,0)+INDEX($AT$13:$BB$162,BO1456,0)+INDEX($BD$13:$BL$162,BP1456,0))/100)))&gt;0)*($D$10:$L$10-($D$9:$L$9+INT(($S$12:$AA$12+INDEX($AJ$13:$AR$162,BN1456,0)+INDEX($AT$13:$BB$162,BO1456,0)+INDEX($BD$13:$BL$162,BP1456,0))/100)))),0)</f>
        <v/>
      </c>
      <c r="BS1456">
        <f>IF(1443&lt;$U$9,SUMPRODUCT(($D$9:$L$9+INT(($S$12:$AA$12+INDEX($AJ$13:$AR$162,BN1456,0)+INDEX($AT$13:$BB$162,BO1456,0)+INDEX($BD$13:$BL$162,BP1456,0))/100))),0)</f>
        <v/>
      </c>
      <c r="BT1456">
        <f>IF(AND(1443&lt;$U$9,$W$5),BQ1456*1000000-MIN(BR1456,999)*1000+BS1456-1443/100000,-1000000000-1443)</f>
        <v/>
      </c>
    </row>
    <row r="1457">
      <c r="BN1457">
        <f>IF(1444&lt;$U$9,INT(1444/($U$7*$U$8))+1,1)</f>
        <v/>
      </c>
      <c r="BO1457">
        <f>IF(1444&lt;$U$9,MOD(INT(1444/$U$8),$U$7)+1,1)</f>
        <v/>
      </c>
      <c r="BP1457">
        <f>IF(1444&lt;$U$9,MOD(1444,$U$8)+1,1)</f>
        <v/>
      </c>
      <c r="BQ1457">
        <f>IF(1444&lt;$U$9,SUMPRODUCT(($D$10:$L$10&lt;&gt;"")*(($D$9:$L$9+INT(($S$12:$AA$12+INDEX($AJ$13:$AR$162,BN1457,0)+INDEX($AT$13:$BB$162,BO1457,0)+INDEX($BD$13:$BL$162,BP1457,0))/100))&gt;=$D$10:$L$10)),0)</f>
        <v/>
      </c>
      <c r="BR1457">
        <f>IF(1444&lt;$U$9,SUMPRODUCT(($D$10:$L$10&lt;&gt;"")*(($D$10:$L$10-($D$9:$L$9+INT(($S$12:$AA$12+INDEX($AJ$13:$AR$162,BN1457,0)+INDEX($AT$13:$BB$162,BO1457,0)+INDEX($BD$13:$BL$162,BP1457,0))/100)))&gt;0)*($D$10:$L$10-($D$9:$L$9+INT(($S$12:$AA$12+INDEX($AJ$13:$AR$162,BN1457,0)+INDEX($AT$13:$BB$162,BO1457,0)+INDEX($BD$13:$BL$162,BP1457,0))/100)))),0)</f>
        <v/>
      </c>
      <c r="BS1457">
        <f>IF(1444&lt;$U$9,SUMPRODUCT(($D$9:$L$9+INT(($S$12:$AA$12+INDEX($AJ$13:$AR$162,BN1457,0)+INDEX($AT$13:$BB$162,BO1457,0)+INDEX($BD$13:$BL$162,BP1457,0))/100))),0)</f>
        <v/>
      </c>
      <c r="BT1457">
        <f>IF(AND(1444&lt;$U$9,$W$5),BQ1457*1000000-MIN(BR1457,999)*1000+BS1457-1444/100000,-1000000000-1444)</f>
        <v/>
      </c>
    </row>
    <row r="1458">
      <c r="BN1458">
        <f>IF(1445&lt;$U$9,INT(1445/($U$7*$U$8))+1,1)</f>
        <v/>
      </c>
      <c r="BO1458">
        <f>IF(1445&lt;$U$9,MOD(INT(1445/$U$8),$U$7)+1,1)</f>
        <v/>
      </c>
      <c r="BP1458">
        <f>IF(1445&lt;$U$9,MOD(1445,$U$8)+1,1)</f>
        <v/>
      </c>
      <c r="BQ1458">
        <f>IF(1445&lt;$U$9,SUMPRODUCT(($D$10:$L$10&lt;&gt;"")*(($D$9:$L$9+INT(($S$12:$AA$12+INDEX($AJ$13:$AR$162,BN1458,0)+INDEX($AT$13:$BB$162,BO1458,0)+INDEX($BD$13:$BL$162,BP1458,0))/100))&gt;=$D$10:$L$10)),0)</f>
        <v/>
      </c>
      <c r="BR1458">
        <f>IF(1445&lt;$U$9,SUMPRODUCT(($D$10:$L$10&lt;&gt;"")*(($D$10:$L$10-($D$9:$L$9+INT(($S$12:$AA$12+INDEX($AJ$13:$AR$162,BN1458,0)+INDEX($AT$13:$BB$162,BO1458,0)+INDEX($BD$13:$BL$162,BP1458,0))/100)))&gt;0)*($D$10:$L$10-($D$9:$L$9+INT(($S$12:$AA$12+INDEX($AJ$13:$AR$162,BN1458,0)+INDEX($AT$13:$BB$162,BO1458,0)+INDEX($BD$13:$BL$162,BP1458,0))/100)))),0)</f>
        <v/>
      </c>
      <c r="BS1458">
        <f>IF(1445&lt;$U$9,SUMPRODUCT(($D$9:$L$9+INT(($S$12:$AA$12+INDEX($AJ$13:$AR$162,BN1458,0)+INDEX($AT$13:$BB$162,BO1458,0)+INDEX($BD$13:$BL$162,BP1458,0))/100))),0)</f>
        <v/>
      </c>
      <c r="BT1458">
        <f>IF(AND(1445&lt;$U$9,$W$5),BQ1458*1000000-MIN(BR1458,999)*1000+BS1458-1445/100000,-1000000000-1445)</f>
        <v/>
      </c>
    </row>
    <row r="1459">
      <c r="BN1459">
        <f>IF(1446&lt;$U$9,INT(1446/($U$7*$U$8))+1,1)</f>
        <v/>
      </c>
      <c r="BO1459">
        <f>IF(1446&lt;$U$9,MOD(INT(1446/$U$8),$U$7)+1,1)</f>
        <v/>
      </c>
      <c r="BP1459">
        <f>IF(1446&lt;$U$9,MOD(1446,$U$8)+1,1)</f>
        <v/>
      </c>
      <c r="BQ1459">
        <f>IF(1446&lt;$U$9,SUMPRODUCT(($D$10:$L$10&lt;&gt;"")*(($D$9:$L$9+INT(($S$12:$AA$12+INDEX($AJ$13:$AR$162,BN1459,0)+INDEX($AT$13:$BB$162,BO1459,0)+INDEX($BD$13:$BL$162,BP1459,0))/100))&gt;=$D$10:$L$10)),0)</f>
        <v/>
      </c>
      <c r="BR1459">
        <f>IF(1446&lt;$U$9,SUMPRODUCT(($D$10:$L$10&lt;&gt;"")*(($D$10:$L$10-($D$9:$L$9+INT(($S$12:$AA$12+INDEX($AJ$13:$AR$162,BN1459,0)+INDEX($AT$13:$BB$162,BO1459,0)+INDEX($BD$13:$BL$162,BP1459,0))/100)))&gt;0)*($D$10:$L$10-($D$9:$L$9+INT(($S$12:$AA$12+INDEX($AJ$13:$AR$162,BN1459,0)+INDEX($AT$13:$BB$162,BO1459,0)+INDEX($BD$13:$BL$162,BP1459,0))/100)))),0)</f>
        <v/>
      </c>
      <c r="BS1459">
        <f>IF(1446&lt;$U$9,SUMPRODUCT(($D$9:$L$9+INT(($S$12:$AA$12+INDEX($AJ$13:$AR$162,BN1459,0)+INDEX($AT$13:$BB$162,BO1459,0)+INDEX($BD$13:$BL$162,BP1459,0))/100))),0)</f>
        <v/>
      </c>
      <c r="BT1459">
        <f>IF(AND(1446&lt;$U$9,$W$5),BQ1459*1000000-MIN(BR1459,999)*1000+BS1459-1446/100000,-1000000000-1446)</f>
        <v/>
      </c>
    </row>
    <row r="1460">
      <c r="BN1460">
        <f>IF(1447&lt;$U$9,INT(1447/($U$7*$U$8))+1,1)</f>
        <v/>
      </c>
      <c r="BO1460">
        <f>IF(1447&lt;$U$9,MOD(INT(1447/$U$8),$U$7)+1,1)</f>
        <v/>
      </c>
      <c r="BP1460">
        <f>IF(1447&lt;$U$9,MOD(1447,$U$8)+1,1)</f>
        <v/>
      </c>
      <c r="BQ1460">
        <f>IF(1447&lt;$U$9,SUMPRODUCT(($D$10:$L$10&lt;&gt;"")*(($D$9:$L$9+INT(($S$12:$AA$12+INDEX($AJ$13:$AR$162,BN1460,0)+INDEX($AT$13:$BB$162,BO1460,0)+INDEX($BD$13:$BL$162,BP1460,0))/100))&gt;=$D$10:$L$10)),0)</f>
        <v/>
      </c>
      <c r="BR1460">
        <f>IF(1447&lt;$U$9,SUMPRODUCT(($D$10:$L$10&lt;&gt;"")*(($D$10:$L$10-($D$9:$L$9+INT(($S$12:$AA$12+INDEX($AJ$13:$AR$162,BN1460,0)+INDEX($AT$13:$BB$162,BO1460,0)+INDEX($BD$13:$BL$162,BP1460,0))/100)))&gt;0)*($D$10:$L$10-($D$9:$L$9+INT(($S$12:$AA$12+INDEX($AJ$13:$AR$162,BN1460,0)+INDEX($AT$13:$BB$162,BO1460,0)+INDEX($BD$13:$BL$162,BP1460,0))/100)))),0)</f>
        <v/>
      </c>
      <c r="BS1460">
        <f>IF(1447&lt;$U$9,SUMPRODUCT(($D$9:$L$9+INT(($S$12:$AA$12+INDEX($AJ$13:$AR$162,BN1460,0)+INDEX($AT$13:$BB$162,BO1460,0)+INDEX($BD$13:$BL$162,BP1460,0))/100))),0)</f>
        <v/>
      </c>
      <c r="BT1460">
        <f>IF(AND(1447&lt;$U$9,$W$5),BQ1460*1000000-MIN(BR1460,999)*1000+BS1460-1447/100000,-1000000000-1447)</f>
        <v/>
      </c>
    </row>
    <row r="1461">
      <c r="BN1461">
        <f>IF(1448&lt;$U$9,INT(1448/($U$7*$U$8))+1,1)</f>
        <v/>
      </c>
      <c r="BO1461">
        <f>IF(1448&lt;$U$9,MOD(INT(1448/$U$8),$U$7)+1,1)</f>
        <v/>
      </c>
      <c r="BP1461">
        <f>IF(1448&lt;$U$9,MOD(1448,$U$8)+1,1)</f>
        <v/>
      </c>
      <c r="BQ1461">
        <f>IF(1448&lt;$U$9,SUMPRODUCT(($D$10:$L$10&lt;&gt;"")*(($D$9:$L$9+INT(($S$12:$AA$12+INDEX($AJ$13:$AR$162,BN1461,0)+INDEX($AT$13:$BB$162,BO1461,0)+INDEX($BD$13:$BL$162,BP1461,0))/100))&gt;=$D$10:$L$10)),0)</f>
        <v/>
      </c>
      <c r="BR1461">
        <f>IF(1448&lt;$U$9,SUMPRODUCT(($D$10:$L$10&lt;&gt;"")*(($D$10:$L$10-($D$9:$L$9+INT(($S$12:$AA$12+INDEX($AJ$13:$AR$162,BN1461,0)+INDEX($AT$13:$BB$162,BO1461,0)+INDEX($BD$13:$BL$162,BP1461,0))/100)))&gt;0)*($D$10:$L$10-($D$9:$L$9+INT(($S$12:$AA$12+INDEX($AJ$13:$AR$162,BN1461,0)+INDEX($AT$13:$BB$162,BO1461,0)+INDEX($BD$13:$BL$162,BP1461,0))/100)))),0)</f>
        <v/>
      </c>
      <c r="BS1461">
        <f>IF(1448&lt;$U$9,SUMPRODUCT(($D$9:$L$9+INT(($S$12:$AA$12+INDEX($AJ$13:$AR$162,BN1461,0)+INDEX($AT$13:$BB$162,BO1461,0)+INDEX($BD$13:$BL$162,BP1461,0))/100))),0)</f>
        <v/>
      </c>
      <c r="BT1461">
        <f>IF(AND(1448&lt;$U$9,$W$5),BQ1461*1000000-MIN(BR1461,999)*1000+BS1461-1448/100000,-1000000000-1448)</f>
        <v/>
      </c>
    </row>
    <row r="1462">
      <c r="BN1462">
        <f>IF(1449&lt;$U$9,INT(1449/($U$7*$U$8))+1,1)</f>
        <v/>
      </c>
      <c r="BO1462">
        <f>IF(1449&lt;$U$9,MOD(INT(1449/$U$8),$U$7)+1,1)</f>
        <v/>
      </c>
      <c r="BP1462">
        <f>IF(1449&lt;$U$9,MOD(1449,$U$8)+1,1)</f>
        <v/>
      </c>
      <c r="BQ1462">
        <f>IF(1449&lt;$U$9,SUMPRODUCT(($D$10:$L$10&lt;&gt;"")*(($D$9:$L$9+INT(($S$12:$AA$12+INDEX($AJ$13:$AR$162,BN1462,0)+INDEX($AT$13:$BB$162,BO1462,0)+INDEX($BD$13:$BL$162,BP1462,0))/100))&gt;=$D$10:$L$10)),0)</f>
        <v/>
      </c>
      <c r="BR1462">
        <f>IF(1449&lt;$U$9,SUMPRODUCT(($D$10:$L$10&lt;&gt;"")*(($D$10:$L$10-($D$9:$L$9+INT(($S$12:$AA$12+INDEX($AJ$13:$AR$162,BN1462,0)+INDEX($AT$13:$BB$162,BO1462,0)+INDEX($BD$13:$BL$162,BP1462,0))/100)))&gt;0)*($D$10:$L$10-($D$9:$L$9+INT(($S$12:$AA$12+INDEX($AJ$13:$AR$162,BN1462,0)+INDEX($AT$13:$BB$162,BO1462,0)+INDEX($BD$13:$BL$162,BP1462,0))/100)))),0)</f>
        <v/>
      </c>
      <c r="BS1462">
        <f>IF(1449&lt;$U$9,SUMPRODUCT(($D$9:$L$9+INT(($S$12:$AA$12+INDEX($AJ$13:$AR$162,BN1462,0)+INDEX($AT$13:$BB$162,BO1462,0)+INDEX($BD$13:$BL$162,BP1462,0))/100))),0)</f>
        <v/>
      </c>
      <c r="BT1462">
        <f>IF(AND(1449&lt;$U$9,$W$5),BQ1462*1000000-MIN(BR1462,999)*1000+BS1462-1449/100000,-1000000000-1449)</f>
        <v/>
      </c>
    </row>
    <row r="1463">
      <c r="BN1463">
        <f>IF(1450&lt;$U$9,INT(1450/($U$7*$U$8))+1,1)</f>
        <v/>
      </c>
      <c r="BO1463">
        <f>IF(1450&lt;$U$9,MOD(INT(1450/$U$8),$U$7)+1,1)</f>
        <v/>
      </c>
      <c r="BP1463">
        <f>IF(1450&lt;$U$9,MOD(1450,$U$8)+1,1)</f>
        <v/>
      </c>
      <c r="BQ1463">
        <f>IF(1450&lt;$U$9,SUMPRODUCT(($D$10:$L$10&lt;&gt;"")*(($D$9:$L$9+INT(($S$12:$AA$12+INDEX($AJ$13:$AR$162,BN1463,0)+INDEX($AT$13:$BB$162,BO1463,0)+INDEX($BD$13:$BL$162,BP1463,0))/100))&gt;=$D$10:$L$10)),0)</f>
        <v/>
      </c>
      <c r="BR1463">
        <f>IF(1450&lt;$U$9,SUMPRODUCT(($D$10:$L$10&lt;&gt;"")*(($D$10:$L$10-($D$9:$L$9+INT(($S$12:$AA$12+INDEX($AJ$13:$AR$162,BN1463,0)+INDEX($AT$13:$BB$162,BO1463,0)+INDEX($BD$13:$BL$162,BP1463,0))/100)))&gt;0)*($D$10:$L$10-($D$9:$L$9+INT(($S$12:$AA$12+INDEX($AJ$13:$AR$162,BN1463,0)+INDEX($AT$13:$BB$162,BO1463,0)+INDEX($BD$13:$BL$162,BP1463,0))/100)))),0)</f>
        <v/>
      </c>
      <c r="BS1463">
        <f>IF(1450&lt;$U$9,SUMPRODUCT(($D$9:$L$9+INT(($S$12:$AA$12+INDEX($AJ$13:$AR$162,BN1463,0)+INDEX($AT$13:$BB$162,BO1463,0)+INDEX($BD$13:$BL$162,BP1463,0))/100))),0)</f>
        <v/>
      </c>
      <c r="BT1463">
        <f>IF(AND(1450&lt;$U$9,$W$5),BQ1463*1000000-MIN(BR1463,999)*1000+BS1463-1450/100000,-1000000000-1450)</f>
        <v/>
      </c>
    </row>
    <row r="1464">
      <c r="BN1464">
        <f>IF(1451&lt;$U$9,INT(1451/($U$7*$U$8))+1,1)</f>
        <v/>
      </c>
      <c r="BO1464">
        <f>IF(1451&lt;$U$9,MOD(INT(1451/$U$8),$U$7)+1,1)</f>
        <v/>
      </c>
      <c r="BP1464">
        <f>IF(1451&lt;$U$9,MOD(1451,$U$8)+1,1)</f>
        <v/>
      </c>
      <c r="BQ1464">
        <f>IF(1451&lt;$U$9,SUMPRODUCT(($D$10:$L$10&lt;&gt;"")*(($D$9:$L$9+INT(($S$12:$AA$12+INDEX($AJ$13:$AR$162,BN1464,0)+INDEX($AT$13:$BB$162,BO1464,0)+INDEX($BD$13:$BL$162,BP1464,0))/100))&gt;=$D$10:$L$10)),0)</f>
        <v/>
      </c>
      <c r="BR1464">
        <f>IF(1451&lt;$U$9,SUMPRODUCT(($D$10:$L$10&lt;&gt;"")*(($D$10:$L$10-($D$9:$L$9+INT(($S$12:$AA$12+INDEX($AJ$13:$AR$162,BN1464,0)+INDEX($AT$13:$BB$162,BO1464,0)+INDEX($BD$13:$BL$162,BP1464,0))/100)))&gt;0)*($D$10:$L$10-($D$9:$L$9+INT(($S$12:$AA$12+INDEX($AJ$13:$AR$162,BN1464,0)+INDEX($AT$13:$BB$162,BO1464,0)+INDEX($BD$13:$BL$162,BP1464,0))/100)))),0)</f>
        <v/>
      </c>
      <c r="BS1464">
        <f>IF(1451&lt;$U$9,SUMPRODUCT(($D$9:$L$9+INT(($S$12:$AA$12+INDEX($AJ$13:$AR$162,BN1464,0)+INDEX($AT$13:$BB$162,BO1464,0)+INDEX($BD$13:$BL$162,BP1464,0))/100))),0)</f>
        <v/>
      </c>
      <c r="BT1464">
        <f>IF(AND(1451&lt;$U$9,$W$5),BQ1464*1000000-MIN(BR1464,999)*1000+BS1464-1451/100000,-1000000000-1451)</f>
        <v/>
      </c>
    </row>
    <row r="1465">
      <c r="BN1465">
        <f>IF(1452&lt;$U$9,INT(1452/($U$7*$U$8))+1,1)</f>
        <v/>
      </c>
      <c r="BO1465">
        <f>IF(1452&lt;$U$9,MOD(INT(1452/$U$8),$U$7)+1,1)</f>
        <v/>
      </c>
      <c r="BP1465">
        <f>IF(1452&lt;$U$9,MOD(1452,$U$8)+1,1)</f>
        <v/>
      </c>
      <c r="BQ1465">
        <f>IF(1452&lt;$U$9,SUMPRODUCT(($D$10:$L$10&lt;&gt;"")*(($D$9:$L$9+INT(($S$12:$AA$12+INDEX($AJ$13:$AR$162,BN1465,0)+INDEX($AT$13:$BB$162,BO1465,0)+INDEX($BD$13:$BL$162,BP1465,0))/100))&gt;=$D$10:$L$10)),0)</f>
        <v/>
      </c>
      <c r="BR1465">
        <f>IF(1452&lt;$U$9,SUMPRODUCT(($D$10:$L$10&lt;&gt;"")*(($D$10:$L$10-($D$9:$L$9+INT(($S$12:$AA$12+INDEX($AJ$13:$AR$162,BN1465,0)+INDEX($AT$13:$BB$162,BO1465,0)+INDEX($BD$13:$BL$162,BP1465,0))/100)))&gt;0)*($D$10:$L$10-($D$9:$L$9+INT(($S$12:$AA$12+INDEX($AJ$13:$AR$162,BN1465,0)+INDEX($AT$13:$BB$162,BO1465,0)+INDEX($BD$13:$BL$162,BP1465,0))/100)))),0)</f>
        <v/>
      </c>
      <c r="BS1465">
        <f>IF(1452&lt;$U$9,SUMPRODUCT(($D$9:$L$9+INT(($S$12:$AA$12+INDEX($AJ$13:$AR$162,BN1465,0)+INDEX($AT$13:$BB$162,BO1465,0)+INDEX($BD$13:$BL$162,BP1465,0))/100))),0)</f>
        <v/>
      </c>
      <c r="BT1465">
        <f>IF(AND(1452&lt;$U$9,$W$5),BQ1465*1000000-MIN(BR1465,999)*1000+BS1465-1452/100000,-1000000000-1452)</f>
        <v/>
      </c>
    </row>
    <row r="1466">
      <c r="BN1466">
        <f>IF(1453&lt;$U$9,INT(1453/($U$7*$U$8))+1,1)</f>
        <v/>
      </c>
      <c r="BO1466">
        <f>IF(1453&lt;$U$9,MOD(INT(1453/$U$8),$U$7)+1,1)</f>
        <v/>
      </c>
      <c r="BP1466">
        <f>IF(1453&lt;$U$9,MOD(1453,$U$8)+1,1)</f>
        <v/>
      </c>
      <c r="BQ1466">
        <f>IF(1453&lt;$U$9,SUMPRODUCT(($D$10:$L$10&lt;&gt;"")*(($D$9:$L$9+INT(($S$12:$AA$12+INDEX($AJ$13:$AR$162,BN1466,0)+INDEX($AT$13:$BB$162,BO1466,0)+INDEX($BD$13:$BL$162,BP1466,0))/100))&gt;=$D$10:$L$10)),0)</f>
        <v/>
      </c>
      <c r="BR1466">
        <f>IF(1453&lt;$U$9,SUMPRODUCT(($D$10:$L$10&lt;&gt;"")*(($D$10:$L$10-($D$9:$L$9+INT(($S$12:$AA$12+INDEX($AJ$13:$AR$162,BN1466,0)+INDEX($AT$13:$BB$162,BO1466,0)+INDEX($BD$13:$BL$162,BP1466,0))/100)))&gt;0)*($D$10:$L$10-($D$9:$L$9+INT(($S$12:$AA$12+INDEX($AJ$13:$AR$162,BN1466,0)+INDEX($AT$13:$BB$162,BO1466,0)+INDEX($BD$13:$BL$162,BP1466,0))/100)))),0)</f>
        <v/>
      </c>
      <c r="BS1466">
        <f>IF(1453&lt;$U$9,SUMPRODUCT(($D$9:$L$9+INT(($S$12:$AA$12+INDEX($AJ$13:$AR$162,BN1466,0)+INDEX($AT$13:$BB$162,BO1466,0)+INDEX($BD$13:$BL$162,BP1466,0))/100))),0)</f>
        <v/>
      </c>
      <c r="BT1466">
        <f>IF(AND(1453&lt;$U$9,$W$5),BQ1466*1000000-MIN(BR1466,999)*1000+BS1466-1453/100000,-1000000000-1453)</f>
        <v/>
      </c>
    </row>
    <row r="1467">
      <c r="BN1467">
        <f>IF(1454&lt;$U$9,INT(1454/($U$7*$U$8))+1,1)</f>
        <v/>
      </c>
      <c r="BO1467">
        <f>IF(1454&lt;$U$9,MOD(INT(1454/$U$8),$U$7)+1,1)</f>
        <v/>
      </c>
      <c r="BP1467">
        <f>IF(1454&lt;$U$9,MOD(1454,$U$8)+1,1)</f>
        <v/>
      </c>
      <c r="BQ1467">
        <f>IF(1454&lt;$U$9,SUMPRODUCT(($D$10:$L$10&lt;&gt;"")*(($D$9:$L$9+INT(($S$12:$AA$12+INDEX($AJ$13:$AR$162,BN1467,0)+INDEX($AT$13:$BB$162,BO1467,0)+INDEX($BD$13:$BL$162,BP1467,0))/100))&gt;=$D$10:$L$10)),0)</f>
        <v/>
      </c>
      <c r="BR1467">
        <f>IF(1454&lt;$U$9,SUMPRODUCT(($D$10:$L$10&lt;&gt;"")*(($D$10:$L$10-($D$9:$L$9+INT(($S$12:$AA$12+INDEX($AJ$13:$AR$162,BN1467,0)+INDEX($AT$13:$BB$162,BO1467,0)+INDEX($BD$13:$BL$162,BP1467,0))/100)))&gt;0)*($D$10:$L$10-($D$9:$L$9+INT(($S$12:$AA$12+INDEX($AJ$13:$AR$162,BN1467,0)+INDEX($AT$13:$BB$162,BO1467,0)+INDEX($BD$13:$BL$162,BP1467,0))/100)))),0)</f>
        <v/>
      </c>
      <c r="BS1467">
        <f>IF(1454&lt;$U$9,SUMPRODUCT(($D$9:$L$9+INT(($S$12:$AA$12+INDEX($AJ$13:$AR$162,BN1467,0)+INDEX($AT$13:$BB$162,BO1467,0)+INDEX($BD$13:$BL$162,BP1467,0))/100))),0)</f>
        <v/>
      </c>
      <c r="BT1467">
        <f>IF(AND(1454&lt;$U$9,$W$5),BQ1467*1000000-MIN(BR1467,999)*1000+BS1467-1454/100000,-1000000000-1454)</f>
        <v/>
      </c>
    </row>
    <row r="1468">
      <c r="BN1468">
        <f>IF(1455&lt;$U$9,INT(1455/($U$7*$U$8))+1,1)</f>
        <v/>
      </c>
      <c r="BO1468">
        <f>IF(1455&lt;$U$9,MOD(INT(1455/$U$8),$U$7)+1,1)</f>
        <v/>
      </c>
      <c r="BP1468">
        <f>IF(1455&lt;$U$9,MOD(1455,$U$8)+1,1)</f>
        <v/>
      </c>
      <c r="BQ1468">
        <f>IF(1455&lt;$U$9,SUMPRODUCT(($D$10:$L$10&lt;&gt;"")*(($D$9:$L$9+INT(($S$12:$AA$12+INDEX($AJ$13:$AR$162,BN1468,0)+INDEX($AT$13:$BB$162,BO1468,0)+INDEX($BD$13:$BL$162,BP1468,0))/100))&gt;=$D$10:$L$10)),0)</f>
        <v/>
      </c>
      <c r="BR1468">
        <f>IF(1455&lt;$U$9,SUMPRODUCT(($D$10:$L$10&lt;&gt;"")*(($D$10:$L$10-($D$9:$L$9+INT(($S$12:$AA$12+INDEX($AJ$13:$AR$162,BN1468,0)+INDEX($AT$13:$BB$162,BO1468,0)+INDEX($BD$13:$BL$162,BP1468,0))/100)))&gt;0)*($D$10:$L$10-($D$9:$L$9+INT(($S$12:$AA$12+INDEX($AJ$13:$AR$162,BN1468,0)+INDEX($AT$13:$BB$162,BO1468,0)+INDEX($BD$13:$BL$162,BP1468,0))/100)))),0)</f>
        <v/>
      </c>
      <c r="BS1468">
        <f>IF(1455&lt;$U$9,SUMPRODUCT(($D$9:$L$9+INT(($S$12:$AA$12+INDEX($AJ$13:$AR$162,BN1468,0)+INDEX($AT$13:$BB$162,BO1468,0)+INDEX($BD$13:$BL$162,BP1468,0))/100))),0)</f>
        <v/>
      </c>
      <c r="BT1468">
        <f>IF(AND(1455&lt;$U$9,$W$5),BQ1468*1000000-MIN(BR1468,999)*1000+BS1468-1455/100000,-1000000000-1455)</f>
        <v/>
      </c>
    </row>
    <row r="1469">
      <c r="BN1469">
        <f>IF(1456&lt;$U$9,INT(1456/($U$7*$U$8))+1,1)</f>
        <v/>
      </c>
      <c r="BO1469">
        <f>IF(1456&lt;$U$9,MOD(INT(1456/$U$8),$U$7)+1,1)</f>
        <v/>
      </c>
      <c r="BP1469">
        <f>IF(1456&lt;$U$9,MOD(1456,$U$8)+1,1)</f>
        <v/>
      </c>
      <c r="BQ1469">
        <f>IF(1456&lt;$U$9,SUMPRODUCT(($D$10:$L$10&lt;&gt;"")*(($D$9:$L$9+INT(($S$12:$AA$12+INDEX($AJ$13:$AR$162,BN1469,0)+INDEX($AT$13:$BB$162,BO1469,0)+INDEX($BD$13:$BL$162,BP1469,0))/100))&gt;=$D$10:$L$10)),0)</f>
        <v/>
      </c>
      <c r="BR1469">
        <f>IF(1456&lt;$U$9,SUMPRODUCT(($D$10:$L$10&lt;&gt;"")*(($D$10:$L$10-($D$9:$L$9+INT(($S$12:$AA$12+INDEX($AJ$13:$AR$162,BN1469,0)+INDEX($AT$13:$BB$162,BO1469,0)+INDEX($BD$13:$BL$162,BP1469,0))/100)))&gt;0)*($D$10:$L$10-($D$9:$L$9+INT(($S$12:$AA$12+INDEX($AJ$13:$AR$162,BN1469,0)+INDEX($AT$13:$BB$162,BO1469,0)+INDEX($BD$13:$BL$162,BP1469,0))/100)))),0)</f>
        <v/>
      </c>
      <c r="BS1469">
        <f>IF(1456&lt;$U$9,SUMPRODUCT(($D$9:$L$9+INT(($S$12:$AA$12+INDEX($AJ$13:$AR$162,BN1469,0)+INDEX($AT$13:$BB$162,BO1469,0)+INDEX($BD$13:$BL$162,BP1469,0))/100))),0)</f>
        <v/>
      </c>
      <c r="BT1469">
        <f>IF(AND(1456&lt;$U$9,$W$5),BQ1469*1000000-MIN(BR1469,999)*1000+BS1469-1456/100000,-1000000000-1456)</f>
        <v/>
      </c>
    </row>
    <row r="1470">
      <c r="BN1470">
        <f>IF(1457&lt;$U$9,INT(1457/($U$7*$U$8))+1,1)</f>
        <v/>
      </c>
      <c r="BO1470">
        <f>IF(1457&lt;$U$9,MOD(INT(1457/$U$8),$U$7)+1,1)</f>
        <v/>
      </c>
      <c r="BP1470">
        <f>IF(1457&lt;$U$9,MOD(1457,$U$8)+1,1)</f>
        <v/>
      </c>
      <c r="BQ1470">
        <f>IF(1457&lt;$U$9,SUMPRODUCT(($D$10:$L$10&lt;&gt;"")*(($D$9:$L$9+INT(($S$12:$AA$12+INDEX($AJ$13:$AR$162,BN1470,0)+INDEX($AT$13:$BB$162,BO1470,0)+INDEX($BD$13:$BL$162,BP1470,0))/100))&gt;=$D$10:$L$10)),0)</f>
        <v/>
      </c>
      <c r="BR1470">
        <f>IF(1457&lt;$U$9,SUMPRODUCT(($D$10:$L$10&lt;&gt;"")*(($D$10:$L$10-($D$9:$L$9+INT(($S$12:$AA$12+INDEX($AJ$13:$AR$162,BN1470,0)+INDEX($AT$13:$BB$162,BO1470,0)+INDEX($BD$13:$BL$162,BP1470,0))/100)))&gt;0)*($D$10:$L$10-($D$9:$L$9+INT(($S$12:$AA$12+INDEX($AJ$13:$AR$162,BN1470,0)+INDEX($AT$13:$BB$162,BO1470,0)+INDEX($BD$13:$BL$162,BP1470,0))/100)))),0)</f>
        <v/>
      </c>
      <c r="BS1470">
        <f>IF(1457&lt;$U$9,SUMPRODUCT(($D$9:$L$9+INT(($S$12:$AA$12+INDEX($AJ$13:$AR$162,BN1470,0)+INDEX($AT$13:$BB$162,BO1470,0)+INDEX($BD$13:$BL$162,BP1470,0))/100))),0)</f>
        <v/>
      </c>
      <c r="BT1470">
        <f>IF(AND(1457&lt;$U$9,$W$5),BQ1470*1000000-MIN(BR1470,999)*1000+BS1470-1457/100000,-1000000000-1457)</f>
        <v/>
      </c>
    </row>
    <row r="1471">
      <c r="BN1471">
        <f>IF(1458&lt;$U$9,INT(1458/($U$7*$U$8))+1,1)</f>
        <v/>
      </c>
      <c r="BO1471">
        <f>IF(1458&lt;$U$9,MOD(INT(1458/$U$8),$U$7)+1,1)</f>
        <v/>
      </c>
      <c r="BP1471">
        <f>IF(1458&lt;$U$9,MOD(1458,$U$8)+1,1)</f>
        <v/>
      </c>
      <c r="BQ1471">
        <f>IF(1458&lt;$U$9,SUMPRODUCT(($D$10:$L$10&lt;&gt;"")*(($D$9:$L$9+INT(($S$12:$AA$12+INDEX($AJ$13:$AR$162,BN1471,0)+INDEX($AT$13:$BB$162,BO1471,0)+INDEX($BD$13:$BL$162,BP1471,0))/100))&gt;=$D$10:$L$10)),0)</f>
        <v/>
      </c>
      <c r="BR1471">
        <f>IF(1458&lt;$U$9,SUMPRODUCT(($D$10:$L$10&lt;&gt;"")*(($D$10:$L$10-($D$9:$L$9+INT(($S$12:$AA$12+INDEX($AJ$13:$AR$162,BN1471,0)+INDEX($AT$13:$BB$162,BO1471,0)+INDEX($BD$13:$BL$162,BP1471,0))/100)))&gt;0)*($D$10:$L$10-($D$9:$L$9+INT(($S$12:$AA$12+INDEX($AJ$13:$AR$162,BN1471,0)+INDEX($AT$13:$BB$162,BO1471,0)+INDEX($BD$13:$BL$162,BP1471,0))/100)))),0)</f>
        <v/>
      </c>
      <c r="BS1471">
        <f>IF(1458&lt;$U$9,SUMPRODUCT(($D$9:$L$9+INT(($S$12:$AA$12+INDEX($AJ$13:$AR$162,BN1471,0)+INDEX($AT$13:$BB$162,BO1471,0)+INDEX($BD$13:$BL$162,BP1471,0))/100))),0)</f>
        <v/>
      </c>
      <c r="BT1471">
        <f>IF(AND(1458&lt;$U$9,$W$5),BQ1471*1000000-MIN(BR1471,999)*1000+BS1471-1458/100000,-1000000000-1458)</f>
        <v/>
      </c>
    </row>
    <row r="1472">
      <c r="BN1472">
        <f>IF(1459&lt;$U$9,INT(1459/($U$7*$U$8))+1,1)</f>
        <v/>
      </c>
      <c r="BO1472">
        <f>IF(1459&lt;$U$9,MOD(INT(1459/$U$8),$U$7)+1,1)</f>
        <v/>
      </c>
      <c r="BP1472">
        <f>IF(1459&lt;$U$9,MOD(1459,$U$8)+1,1)</f>
        <v/>
      </c>
      <c r="BQ1472">
        <f>IF(1459&lt;$U$9,SUMPRODUCT(($D$10:$L$10&lt;&gt;"")*(($D$9:$L$9+INT(($S$12:$AA$12+INDEX($AJ$13:$AR$162,BN1472,0)+INDEX($AT$13:$BB$162,BO1472,0)+INDEX($BD$13:$BL$162,BP1472,0))/100))&gt;=$D$10:$L$10)),0)</f>
        <v/>
      </c>
      <c r="BR1472">
        <f>IF(1459&lt;$U$9,SUMPRODUCT(($D$10:$L$10&lt;&gt;"")*(($D$10:$L$10-($D$9:$L$9+INT(($S$12:$AA$12+INDEX($AJ$13:$AR$162,BN1472,0)+INDEX($AT$13:$BB$162,BO1472,0)+INDEX($BD$13:$BL$162,BP1472,0))/100)))&gt;0)*($D$10:$L$10-($D$9:$L$9+INT(($S$12:$AA$12+INDEX($AJ$13:$AR$162,BN1472,0)+INDEX($AT$13:$BB$162,BO1472,0)+INDEX($BD$13:$BL$162,BP1472,0))/100)))),0)</f>
        <v/>
      </c>
      <c r="BS1472">
        <f>IF(1459&lt;$U$9,SUMPRODUCT(($D$9:$L$9+INT(($S$12:$AA$12+INDEX($AJ$13:$AR$162,BN1472,0)+INDEX($AT$13:$BB$162,BO1472,0)+INDEX($BD$13:$BL$162,BP1472,0))/100))),0)</f>
        <v/>
      </c>
      <c r="BT1472">
        <f>IF(AND(1459&lt;$U$9,$W$5),BQ1472*1000000-MIN(BR1472,999)*1000+BS1472-1459/100000,-1000000000-1459)</f>
        <v/>
      </c>
    </row>
    <row r="1473">
      <c r="BN1473">
        <f>IF(1460&lt;$U$9,INT(1460/($U$7*$U$8))+1,1)</f>
        <v/>
      </c>
      <c r="BO1473">
        <f>IF(1460&lt;$U$9,MOD(INT(1460/$U$8),$U$7)+1,1)</f>
        <v/>
      </c>
      <c r="BP1473">
        <f>IF(1460&lt;$U$9,MOD(1460,$U$8)+1,1)</f>
        <v/>
      </c>
      <c r="BQ1473">
        <f>IF(1460&lt;$U$9,SUMPRODUCT(($D$10:$L$10&lt;&gt;"")*(($D$9:$L$9+INT(($S$12:$AA$12+INDEX($AJ$13:$AR$162,BN1473,0)+INDEX($AT$13:$BB$162,BO1473,0)+INDEX($BD$13:$BL$162,BP1473,0))/100))&gt;=$D$10:$L$10)),0)</f>
        <v/>
      </c>
      <c r="BR1473">
        <f>IF(1460&lt;$U$9,SUMPRODUCT(($D$10:$L$10&lt;&gt;"")*(($D$10:$L$10-($D$9:$L$9+INT(($S$12:$AA$12+INDEX($AJ$13:$AR$162,BN1473,0)+INDEX($AT$13:$BB$162,BO1473,0)+INDEX($BD$13:$BL$162,BP1473,0))/100)))&gt;0)*($D$10:$L$10-($D$9:$L$9+INT(($S$12:$AA$12+INDEX($AJ$13:$AR$162,BN1473,0)+INDEX($AT$13:$BB$162,BO1473,0)+INDEX($BD$13:$BL$162,BP1473,0))/100)))),0)</f>
        <v/>
      </c>
      <c r="BS1473">
        <f>IF(1460&lt;$U$9,SUMPRODUCT(($D$9:$L$9+INT(($S$12:$AA$12+INDEX($AJ$13:$AR$162,BN1473,0)+INDEX($AT$13:$BB$162,BO1473,0)+INDEX($BD$13:$BL$162,BP1473,0))/100))),0)</f>
        <v/>
      </c>
      <c r="BT1473">
        <f>IF(AND(1460&lt;$U$9,$W$5),BQ1473*1000000-MIN(BR1473,999)*1000+BS1473-1460/100000,-1000000000-1460)</f>
        <v/>
      </c>
    </row>
    <row r="1474">
      <c r="BN1474">
        <f>IF(1461&lt;$U$9,INT(1461/($U$7*$U$8))+1,1)</f>
        <v/>
      </c>
      <c r="BO1474">
        <f>IF(1461&lt;$U$9,MOD(INT(1461/$U$8),$U$7)+1,1)</f>
        <v/>
      </c>
      <c r="BP1474">
        <f>IF(1461&lt;$U$9,MOD(1461,$U$8)+1,1)</f>
        <v/>
      </c>
      <c r="BQ1474">
        <f>IF(1461&lt;$U$9,SUMPRODUCT(($D$10:$L$10&lt;&gt;"")*(($D$9:$L$9+INT(($S$12:$AA$12+INDEX($AJ$13:$AR$162,BN1474,0)+INDEX($AT$13:$BB$162,BO1474,0)+INDEX($BD$13:$BL$162,BP1474,0))/100))&gt;=$D$10:$L$10)),0)</f>
        <v/>
      </c>
      <c r="BR1474">
        <f>IF(1461&lt;$U$9,SUMPRODUCT(($D$10:$L$10&lt;&gt;"")*(($D$10:$L$10-($D$9:$L$9+INT(($S$12:$AA$12+INDEX($AJ$13:$AR$162,BN1474,0)+INDEX($AT$13:$BB$162,BO1474,0)+INDEX($BD$13:$BL$162,BP1474,0))/100)))&gt;0)*($D$10:$L$10-($D$9:$L$9+INT(($S$12:$AA$12+INDEX($AJ$13:$AR$162,BN1474,0)+INDEX($AT$13:$BB$162,BO1474,0)+INDEX($BD$13:$BL$162,BP1474,0))/100)))),0)</f>
        <v/>
      </c>
      <c r="BS1474">
        <f>IF(1461&lt;$U$9,SUMPRODUCT(($D$9:$L$9+INT(($S$12:$AA$12+INDEX($AJ$13:$AR$162,BN1474,0)+INDEX($AT$13:$BB$162,BO1474,0)+INDEX($BD$13:$BL$162,BP1474,0))/100))),0)</f>
        <v/>
      </c>
      <c r="BT1474">
        <f>IF(AND(1461&lt;$U$9,$W$5),BQ1474*1000000-MIN(BR1474,999)*1000+BS1474-1461/100000,-1000000000-1461)</f>
        <v/>
      </c>
    </row>
    <row r="1475">
      <c r="BN1475">
        <f>IF(1462&lt;$U$9,INT(1462/($U$7*$U$8))+1,1)</f>
        <v/>
      </c>
      <c r="BO1475">
        <f>IF(1462&lt;$U$9,MOD(INT(1462/$U$8),$U$7)+1,1)</f>
        <v/>
      </c>
      <c r="BP1475">
        <f>IF(1462&lt;$U$9,MOD(1462,$U$8)+1,1)</f>
        <v/>
      </c>
      <c r="BQ1475">
        <f>IF(1462&lt;$U$9,SUMPRODUCT(($D$10:$L$10&lt;&gt;"")*(($D$9:$L$9+INT(($S$12:$AA$12+INDEX($AJ$13:$AR$162,BN1475,0)+INDEX($AT$13:$BB$162,BO1475,0)+INDEX($BD$13:$BL$162,BP1475,0))/100))&gt;=$D$10:$L$10)),0)</f>
        <v/>
      </c>
      <c r="BR1475">
        <f>IF(1462&lt;$U$9,SUMPRODUCT(($D$10:$L$10&lt;&gt;"")*(($D$10:$L$10-($D$9:$L$9+INT(($S$12:$AA$12+INDEX($AJ$13:$AR$162,BN1475,0)+INDEX($AT$13:$BB$162,BO1475,0)+INDEX($BD$13:$BL$162,BP1475,0))/100)))&gt;0)*($D$10:$L$10-($D$9:$L$9+INT(($S$12:$AA$12+INDEX($AJ$13:$AR$162,BN1475,0)+INDEX($AT$13:$BB$162,BO1475,0)+INDEX($BD$13:$BL$162,BP1475,0))/100)))),0)</f>
        <v/>
      </c>
      <c r="BS1475">
        <f>IF(1462&lt;$U$9,SUMPRODUCT(($D$9:$L$9+INT(($S$12:$AA$12+INDEX($AJ$13:$AR$162,BN1475,0)+INDEX($AT$13:$BB$162,BO1475,0)+INDEX($BD$13:$BL$162,BP1475,0))/100))),0)</f>
        <v/>
      </c>
      <c r="BT1475">
        <f>IF(AND(1462&lt;$U$9,$W$5),BQ1475*1000000-MIN(BR1475,999)*1000+BS1475-1462/100000,-1000000000-1462)</f>
        <v/>
      </c>
    </row>
    <row r="1476">
      <c r="BN1476">
        <f>IF(1463&lt;$U$9,INT(1463/($U$7*$U$8))+1,1)</f>
        <v/>
      </c>
      <c r="BO1476">
        <f>IF(1463&lt;$U$9,MOD(INT(1463/$U$8),$U$7)+1,1)</f>
        <v/>
      </c>
      <c r="BP1476">
        <f>IF(1463&lt;$U$9,MOD(1463,$U$8)+1,1)</f>
        <v/>
      </c>
      <c r="BQ1476">
        <f>IF(1463&lt;$U$9,SUMPRODUCT(($D$10:$L$10&lt;&gt;"")*(($D$9:$L$9+INT(($S$12:$AA$12+INDEX($AJ$13:$AR$162,BN1476,0)+INDEX($AT$13:$BB$162,BO1476,0)+INDEX($BD$13:$BL$162,BP1476,0))/100))&gt;=$D$10:$L$10)),0)</f>
        <v/>
      </c>
      <c r="BR1476">
        <f>IF(1463&lt;$U$9,SUMPRODUCT(($D$10:$L$10&lt;&gt;"")*(($D$10:$L$10-($D$9:$L$9+INT(($S$12:$AA$12+INDEX($AJ$13:$AR$162,BN1476,0)+INDEX($AT$13:$BB$162,BO1476,0)+INDEX($BD$13:$BL$162,BP1476,0))/100)))&gt;0)*($D$10:$L$10-($D$9:$L$9+INT(($S$12:$AA$12+INDEX($AJ$13:$AR$162,BN1476,0)+INDEX($AT$13:$BB$162,BO1476,0)+INDEX($BD$13:$BL$162,BP1476,0))/100)))),0)</f>
        <v/>
      </c>
      <c r="BS1476">
        <f>IF(1463&lt;$U$9,SUMPRODUCT(($D$9:$L$9+INT(($S$12:$AA$12+INDEX($AJ$13:$AR$162,BN1476,0)+INDEX($AT$13:$BB$162,BO1476,0)+INDEX($BD$13:$BL$162,BP1476,0))/100))),0)</f>
        <v/>
      </c>
      <c r="BT1476">
        <f>IF(AND(1463&lt;$U$9,$W$5),BQ1476*1000000-MIN(BR1476,999)*1000+BS1476-1463/100000,-1000000000-1463)</f>
        <v/>
      </c>
    </row>
    <row r="1477">
      <c r="BN1477">
        <f>IF(1464&lt;$U$9,INT(1464/($U$7*$U$8))+1,1)</f>
        <v/>
      </c>
      <c r="BO1477">
        <f>IF(1464&lt;$U$9,MOD(INT(1464/$U$8),$U$7)+1,1)</f>
        <v/>
      </c>
      <c r="BP1477">
        <f>IF(1464&lt;$U$9,MOD(1464,$U$8)+1,1)</f>
        <v/>
      </c>
      <c r="BQ1477">
        <f>IF(1464&lt;$U$9,SUMPRODUCT(($D$10:$L$10&lt;&gt;"")*(($D$9:$L$9+INT(($S$12:$AA$12+INDEX($AJ$13:$AR$162,BN1477,0)+INDEX($AT$13:$BB$162,BO1477,0)+INDEX($BD$13:$BL$162,BP1477,0))/100))&gt;=$D$10:$L$10)),0)</f>
        <v/>
      </c>
      <c r="BR1477">
        <f>IF(1464&lt;$U$9,SUMPRODUCT(($D$10:$L$10&lt;&gt;"")*(($D$10:$L$10-($D$9:$L$9+INT(($S$12:$AA$12+INDEX($AJ$13:$AR$162,BN1477,0)+INDEX($AT$13:$BB$162,BO1477,0)+INDEX($BD$13:$BL$162,BP1477,0))/100)))&gt;0)*($D$10:$L$10-($D$9:$L$9+INT(($S$12:$AA$12+INDEX($AJ$13:$AR$162,BN1477,0)+INDEX($AT$13:$BB$162,BO1477,0)+INDEX($BD$13:$BL$162,BP1477,0))/100)))),0)</f>
        <v/>
      </c>
      <c r="BS1477">
        <f>IF(1464&lt;$U$9,SUMPRODUCT(($D$9:$L$9+INT(($S$12:$AA$12+INDEX($AJ$13:$AR$162,BN1477,0)+INDEX($AT$13:$BB$162,BO1477,0)+INDEX($BD$13:$BL$162,BP1477,0))/100))),0)</f>
        <v/>
      </c>
      <c r="BT1477">
        <f>IF(AND(1464&lt;$U$9,$W$5),BQ1477*1000000-MIN(BR1477,999)*1000+BS1477-1464/100000,-1000000000-1464)</f>
        <v/>
      </c>
    </row>
    <row r="1478">
      <c r="BN1478">
        <f>IF(1465&lt;$U$9,INT(1465/($U$7*$U$8))+1,1)</f>
        <v/>
      </c>
      <c r="BO1478">
        <f>IF(1465&lt;$U$9,MOD(INT(1465/$U$8),$U$7)+1,1)</f>
        <v/>
      </c>
      <c r="BP1478">
        <f>IF(1465&lt;$U$9,MOD(1465,$U$8)+1,1)</f>
        <v/>
      </c>
      <c r="BQ1478">
        <f>IF(1465&lt;$U$9,SUMPRODUCT(($D$10:$L$10&lt;&gt;"")*(($D$9:$L$9+INT(($S$12:$AA$12+INDEX($AJ$13:$AR$162,BN1478,0)+INDEX($AT$13:$BB$162,BO1478,0)+INDEX($BD$13:$BL$162,BP1478,0))/100))&gt;=$D$10:$L$10)),0)</f>
        <v/>
      </c>
      <c r="BR1478">
        <f>IF(1465&lt;$U$9,SUMPRODUCT(($D$10:$L$10&lt;&gt;"")*(($D$10:$L$10-($D$9:$L$9+INT(($S$12:$AA$12+INDEX($AJ$13:$AR$162,BN1478,0)+INDEX($AT$13:$BB$162,BO1478,0)+INDEX($BD$13:$BL$162,BP1478,0))/100)))&gt;0)*($D$10:$L$10-($D$9:$L$9+INT(($S$12:$AA$12+INDEX($AJ$13:$AR$162,BN1478,0)+INDEX($AT$13:$BB$162,BO1478,0)+INDEX($BD$13:$BL$162,BP1478,0))/100)))),0)</f>
        <v/>
      </c>
      <c r="BS1478">
        <f>IF(1465&lt;$U$9,SUMPRODUCT(($D$9:$L$9+INT(($S$12:$AA$12+INDEX($AJ$13:$AR$162,BN1478,0)+INDEX($AT$13:$BB$162,BO1478,0)+INDEX($BD$13:$BL$162,BP1478,0))/100))),0)</f>
        <v/>
      </c>
      <c r="BT1478">
        <f>IF(AND(1465&lt;$U$9,$W$5),BQ1478*1000000-MIN(BR1478,999)*1000+BS1478-1465/100000,-1000000000-1465)</f>
        <v/>
      </c>
    </row>
    <row r="1479">
      <c r="BN1479">
        <f>IF(1466&lt;$U$9,INT(1466/($U$7*$U$8))+1,1)</f>
        <v/>
      </c>
      <c r="BO1479">
        <f>IF(1466&lt;$U$9,MOD(INT(1466/$U$8),$U$7)+1,1)</f>
        <v/>
      </c>
      <c r="BP1479">
        <f>IF(1466&lt;$U$9,MOD(1466,$U$8)+1,1)</f>
        <v/>
      </c>
      <c r="BQ1479">
        <f>IF(1466&lt;$U$9,SUMPRODUCT(($D$10:$L$10&lt;&gt;"")*(($D$9:$L$9+INT(($S$12:$AA$12+INDEX($AJ$13:$AR$162,BN1479,0)+INDEX($AT$13:$BB$162,BO1479,0)+INDEX($BD$13:$BL$162,BP1479,0))/100))&gt;=$D$10:$L$10)),0)</f>
        <v/>
      </c>
      <c r="BR1479">
        <f>IF(1466&lt;$U$9,SUMPRODUCT(($D$10:$L$10&lt;&gt;"")*(($D$10:$L$10-($D$9:$L$9+INT(($S$12:$AA$12+INDEX($AJ$13:$AR$162,BN1479,0)+INDEX($AT$13:$BB$162,BO1479,0)+INDEX($BD$13:$BL$162,BP1479,0))/100)))&gt;0)*($D$10:$L$10-($D$9:$L$9+INT(($S$12:$AA$12+INDEX($AJ$13:$AR$162,BN1479,0)+INDEX($AT$13:$BB$162,BO1479,0)+INDEX($BD$13:$BL$162,BP1479,0))/100)))),0)</f>
        <v/>
      </c>
      <c r="BS1479">
        <f>IF(1466&lt;$U$9,SUMPRODUCT(($D$9:$L$9+INT(($S$12:$AA$12+INDEX($AJ$13:$AR$162,BN1479,0)+INDEX($AT$13:$BB$162,BO1479,0)+INDEX($BD$13:$BL$162,BP1479,0))/100))),0)</f>
        <v/>
      </c>
      <c r="BT1479">
        <f>IF(AND(1466&lt;$U$9,$W$5),BQ1479*1000000-MIN(BR1479,999)*1000+BS1479-1466/100000,-1000000000-1466)</f>
        <v/>
      </c>
    </row>
    <row r="1480">
      <c r="BN1480">
        <f>IF(1467&lt;$U$9,INT(1467/($U$7*$U$8))+1,1)</f>
        <v/>
      </c>
      <c r="BO1480">
        <f>IF(1467&lt;$U$9,MOD(INT(1467/$U$8),$U$7)+1,1)</f>
        <v/>
      </c>
      <c r="BP1480">
        <f>IF(1467&lt;$U$9,MOD(1467,$U$8)+1,1)</f>
        <v/>
      </c>
      <c r="BQ1480">
        <f>IF(1467&lt;$U$9,SUMPRODUCT(($D$10:$L$10&lt;&gt;"")*(($D$9:$L$9+INT(($S$12:$AA$12+INDEX($AJ$13:$AR$162,BN1480,0)+INDEX($AT$13:$BB$162,BO1480,0)+INDEX($BD$13:$BL$162,BP1480,0))/100))&gt;=$D$10:$L$10)),0)</f>
        <v/>
      </c>
      <c r="BR1480">
        <f>IF(1467&lt;$U$9,SUMPRODUCT(($D$10:$L$10&lt;&gt;"")*(($D$10:$L$10-($D$9:$L$9+INT(($S$12:$AA$12+INDEX($AJ$13:$AR$162,BN1480,0)+INDEX($AT$13:$BB$162,BO1480,0)+INDEX($BD$13:$BL$162,BP1480,0))/100)))&gt;0)*($D$10:$L$10-($D$9:$L$9+INT(($S$12:$AA$12+INDEX($AJ$13:$AR$162,BN1480,0)+INDEX($AT$13:$BB$162,BO1480,0)+INDEX($BD$13:$BL$162,BP1480,0))/100)))),0)</f>
        <v/>
      </c>
      <c r="BS1480">
        <f>IF(1467&lt;$U$9,SUMPRODUCT(($D$9:$L$9+INT(($S$12:$AA$12+INDEX($AJ$13:$AR$162,BN1480,0)+INDEX($AT$13:$BB$162,BO1480,0)+INDEX($BD$13:$BL$162,BP1480,0))/100))),0)</f>
        <v/>
      </c>
      <c r="BT1480">
        <f>IF(AND(1467&lt;$U$9,$W$5),BQ1480*1000000-MIN(BR1480,999)*1000+BS1480-1467/100000,-1000000000-1467)</f>
        <v/>
      </c>
    </row>
    <row r="1481">
      <c r="BN1481">
        <f>IF(1468&lt;$U$9,INT(1468/($U$7*$U$8))+1,1)</f>
        <v/>
      </c>
      <c r="BO1481">
        <f>IF(1468&lt;$U$9,MOD(INT(1468/$U$8),$U$7)+1,1)</f>
        <v/>
      </c>
      <c r="BP1481">
        <f>IF(1468&lt;$U$9,MOD(1468,$U$8)+1,1)</f>
        <v/>
      </c>
      <c r="BQ1481">
        <f>IF(1468&lt;$U$9,SUMPRODUCT(($D$10:$L$10&lt;&gt;"")*(($D$9:$L$9+INT(($S$12:$AA$12+INDEX($AJ$13:$AR$162,BN1481,0)+INDEX($AT$13:$BB$162,BO1481,0)+INDEX($BD$13:$BL$162,BP1481,0))/100))&gt;=$D$10:$L$10)),0)</f>
        <v/>
      </c>
      <c r="BR1481">
        <f>IF(1468&lt;$U$9,SUMPRODUCT(($D$10:$L$10&lt;&gt;"")*(($D$10:$L$10-($D$9:$L$9+INT(($S$12:$AA$12+INDEX($AJ$13:$AR$162,BN1481,0)+INDEX($AT$13:$BB$162,BO1481,0)+INDEX($BD$13:$BL$162,BP1481,0))/100)))&gt;0)*($D$10:$L$10-($D$9:$L$9+INT(($S$12:$AA$12+INDEX($AJ$13:$AR$162,BN1481,0)+INDEX($AT$13:$BB$162,BO1481,0)+INDEX($BD$13:$BL$162,BP1481,0))/100)))),0)</f>
        <v/>
      </c>
      <c r="BS1481">
        <f>IF(1468&lt;$U$9,SUMPRODUCT(($D$9:$L$9+INT(($S$12:$AA$12+INDEX($AJ$13:$AR$162,BN1481,0)+INDEX($AT$13:$BB$162,BO1481,0)+INDEX($BD$13:$BL$162,BP1481,0))/100))),0)</f>
        <v/>
      </c>
      <c r="BT1481">
        <f>IF(AND(1468&lt;$U$9,$W$5),BQ1481*1000000-MIN(BR1481,999)*1000+BS1481-1468/100000,-1000000000-1468)</f>
        <v/>
      </c>
    </row>
    <row r="1482">
      <c r="BN1482">
        <f>IF(1469&lt;$U$9,INT(1469/($U$7*$U$8))+1,1)</f>
        <v/>
      </c>
      <c r="BO1482">
        <f>IF(1469&lt;$U$9,MOD(INT(1469/$U$8),$U$7)+1,1)</f>
        <v/>
      </c>
      <c r="BP1482">
        <f>IF(1469&lt;$U$9,MOD(1469,$U$8)+1,1)</f>
        <v/>
      </c>
      <c r="BQ1482">
        <f>IF(1469&lt;$U$9,SUMPRODUCT(($D$10:$L$10&lt;&gt;"")*(($D$9:$L$9+INT(($S$12:$AA$12+INDEX($AJ$13:$AR$162,BN1482,0)+INDEX($AT$13:$BB$162,BO1482,0)+INDEX($BD$13:$BL$162,BP1482,0))/100))&gt;=$D$10:$L$10)),0)</f>
        <v/>
      </c>
      <c r="BR1482">
        <f>IF(1469&lt;$U$9,SUMPRODUCT(($D$10:$L$10&lt;&gt;"")*(($D$10:$L$10-($D$9:$L$9+INT(($S$12:$AA$12+INDEX($AJ$13:$AR$162,BN1482,0)+INDEX($AT$13:$BB$162,BO1482,0)+INDEX($BD$13:$BL$162,BP1482,0))/100)))&gt;0)*($D$10:$L$10-($D$9:$L$9+INT(($S$12:$AA$12+INDEX($AJ$13:$AR$162,BN1482,0)+INDEX($AT$13:$BB$162,BO1482,0)+INDEX($BD$13:$BL$162,BP1482,0))/100)))),0)</f>
        <v/>
      </c>
      <c r="BS1482">
        <f>IF(1469&lt;$U$9,SUMPRODUCT(($D$9:$L$9+INT(($S$12:$AA$12+INDEX($AJ$13:$AR$162,BN1482,0)+INDEX($AT$13:$BB$162,BO1482,0)+INDEX($BD$13:$BL$162,BP1482,0))/100))),0)</f>
        <v/>
      </c>
      <c r="BT1482">
        <f>IF(AND(1469&lt;$U$9,$W$5),BQ1482*1000000-MIN(BR1482,999)*1000+BS1482-1469/100000,-1000000000-1469)</f>
        <v/>
      </c>
    </row>
    <row r="1483">
      <c r="BN1483">
        <f>IF(1470&lt;$U$9,INT(1470/($U$7*$U$8))+1,1)</f>
        <v/>
      </c>
      <c r="BO1483">
        <f>IF(1470&lt;$U$9,MOD(INT(1470/$U$8),$U$7)+1,1)</f>
        <v/>
      </c>
      <c r="BP1483">
        <f>IF(1470&lt;$U$9,MOD(1470,$U$8)+1,1)</f>
        <v/>
      </c>
      <c r="BQ1483">
        <f>IF(1470&lt;$U$9,SUMPRODUCT(($D$10:$L$10&lt;&gt;"")*(($D$9:$L$9+INT(($S$12:$AA$12+INDEX($AJ$13:$AR$162,BN1483,0)+INDEX($AT$13:$BB$162,BO1483,0)+INDEX($BD$13:$BL$162,BP1483,0))/100))&gt;=$D$10:$L$10)),0)</f>
        <v/>
      </c>
      <c r="BR1483">
        <f>IF(1470&lt;$U$9,SUMPRODUCT(($D$10:$L$10&lt;&gt;"")*(($D$10:$L$10-($D$9:$L$9+INT(($S$12:$AA$12+INDEX($AJ$13:$AR$162,BN1483,0)+INDEX($AT$13:$BB$162,BO1483,0)+INDEX($BD$13:$BL$162,BP1483,0))/100)))&gt;0)*($D$10:$L$10-($D$9:$L$9+INT(($S$12:$AA$12+INDEX($AJ$13:$AR$162,BN1483,0)+INDEX($AT$13:$BB$162,BO1483,0)+INDEX($BD$13:$BL$162,BP1483,0))/100)))),0)</f>
        <v/>
      </c>
      <c r="BS1483">
        <f>IF(1470&lt;$U$9,SUMPRODUCT(($D$9:$L$9+INT(($S$12:$AA$12+INDEX($AJ$13:$AR$162,BN1483,0)+INDEX($AT$13:$BB$162,BO1483,0)+INDEX($BD$13:$BL$162,BP1483,0))/100))),0)</f>
        <v/>
      </c>
      <c r="BT1483">
        <f>IF(AND(1470&lt;$U$9,$W$5),BQ1483*1000000-MIN(BR1483,999)*1000+BS1483-1470/100000,-1000000000-1470)</f>
        <v/>
      </c>
    </row>
    <row r="1484">
      <c r="BN1484">
        <f>IF(1471&lt;$U$9,INT(1471/($U$7*$U$8))+1,1)</f>
        <v/>
      </c>
      <c r="BO1484">
        <f>IF(1471&lt;$U$9,MOD(INT(1471/$U$8),$U$7)+1,1)</f>
        <v/>
      </c>
      <c r="BP1484">
        <f>IF(1471&lt;$U$9,MOD(1471,$U$8)+1,1)</f>
        <v/>
      </c>
      <c r="BQ1484">
        <f>IF(1471&lt;$U$9,SUMPRODUCT(($D$10:$L$10&lt;&gt;"")*(($D$9:$L$9+INT(($S$12:$AA$12+INDEX($AJ$13:$AR$162,BN1484,0)+INDEX($AT$13:$BB$162,BO1484,0)+INDEX($BD$13:$BL$162,BP1484,0))/100))&gt;=$D$10:$L$10)),0)</f>
        <v/>
      </c>
      <c r="BR1484">
        <f>IF(1471&lt;$U$9,SUMPRODUCT(($D$10:$L$10&lt;&gt;"")*(($D$10:$L$10-($D$9:$L$9+INT(($S$12:$AA$12+INDEX($AJ$13:$AR$162,BN1484,0)+INDEX($AT$13:$BB$162,BO1484,0)+INDEX($BD$13:$BL$162,BP1484,0))/100)))&gt;0)*($D$10:$L$10-($D$9:$L$9+INT(($S$12:$AA$12+INDEX($AJ$13:$AR$162,BN1484,0)+INDEX($AT$13:$BB$162,BO1484,0)+INDEX($BD$13:$BL$162,BP1484,0))/100)))),0)</f>
        <v/>
      </c>
      <c r="BS1484">
        <f>IF(1471&lt;$U$9,SUMPRODUCT(($D$9:$L$9+INT(($S$12:$AA$12+INDEX($AJ$13:$AR$162,BN1484,0)+INDEX($AT$13:$BB$162,BO1484,0)+INDEX($BD$13:$BL$162,BP1484,0))/100))),0)</f>
        <v/>
      </c>
      <c r="BT1484">
        <f>IF(AND(1471&lt;$U$9,$W$5),BQ1484*1000000-MIN(BR1484,999)*1000+BS1484-1471/100000,-1000000000-1471)</f>
        <v/>
      </c>
    </row>
    <row r="1485">
      <c r="BN1485">
        <f>IF(1472&lt;$U$9,INT(1472/($U$7*$U$8))+1,1)</f>
        <v/>
      </c>
      <c r="BO1485">
        <f>IF(1472&lt;$U$9,MOD(INT(1472/$U$8),$U$7)+1,1)</f>
        <v/>
      </c>
      <c r="BP1485">
        <f>IF(1472&lt;$U$9,MOD(1472,$U$8)+1,1)</f>
        <v/>
      </c>
      <c r="BQ1485">
        <f>IF(1472&lt;$U$9,SUMPRODUCT(($D$10:$L$10&lt;&gt;"")*(($D$9:$L$9+INT(($S$12:$AA$12+INDEX($AJ$13:$AR$162,BN1485,0)+INDEX($AT$13:$BB$162,BO1485,0)+INDEX($BD$13:$BL$162,BP1485,0))/100))&gt;=$D$10:$L$10)),0)</f>
        <v/>
      </c>
      <c r="BR1485">
        <f>IF(1472&lt;$U$9,SUMPRODUCT(($D$10:$L$10&lt;&gt;"")*(($D$10:$L$10-($D$9:$L$9+INT(($S$12:$AA$12+INDEX($AJ$13:$AR$162,BN1485,0)+INDEX($AT$13:$BB$162,BO1485,0)+INDEX($BD$13:$BL$162,BP1485,0))/100)))&gt;0)*($D$10:$L$10-($D$9:$L$9+INT(($S$12:$AA$12+INDEX($AJ$13:$AR$162,BN1485,0)+INDEX($AT$13:$BB$162,BO1485,0)+INDEX($BD$13:$BL$162,BP1485,0))/100)))),0)</f>
        <v/>
      </c>
      <c r="BS1485">
        <f>IF(1472&lt;$U$9,SUMPRODUCT(($D$9:$L$9+INT(($S$12:$AA$12+INDEX($AJ$13:$AR$162,BN1485,0)+INDEX($AT$13:$BB$162,BO1485,0)+INDEX($BD$13:$BL$162,BP1485,0))/100))),0)</f>
        <v/>
      </c>
      <c r="BT1485">
        <f>IF(AND(1472&lt;$U$9,$W$5),BQ1485*1000000-MIN(BR1485,999)*1000+BS1485-1472/100000,-1000000000-1472)</f>
        <v/>
      </c>
    </row>
    <row r="1486">
      <c r="BN1486">
        <f>IF(1473&lt;$U$9,INT(1473/($U$7*$U$8))+1,1)</f>
        <v/>
      </c>
      <c r="BO1486">
        <f>IF(1473&lt;$U$9,MOD(INT(1473/$U$8),$U$7)+1,1)</f>
        <v/>
      </c>
      <c r="BP1486">
        <f>IF(1473&lt;$U$9,MOD(1473,$U$8)+1,1)</f>
        <v/>
      </c>
      <c r="BQ1486">
        <f>IF(1473&lt;$U$9,SUMPRODUCT(($D$10:$L$10&lt;&gt;"")*(($D$9:$L$9+INT(($S$12:$AA$12+INDEX($AJ$13:$AR$162,BN1486,0)+INDEX($AT$13:$BB$162,BO1486,0)+INDEX($BD$13:$BL$162,BP1486,0))/100))&gt;=$D$10:$L$10)),0)</f>
        <v/>
      </c>
      <c r="BR1486">
        <f>IF(1473&lt;$U$9,SUMPRODUCT(($D$10:$L$10&lt;&gt;"")*(($D$10:$L$10-($D$9:$L$9+INT(($S$12:$AA$12+INDEX($AJ$13:$AR$162,BN1486,0)+INDEX($AT$13:$BB$162,BO1486,0)+INDEX($BD$13:$BL$162,BP1486,0))/100)))&gt;0)*($D$10:$L$10-($D$9:$L$9+INT(($S$12:$AA$12+INDEX($AJ$13:$AR$162,BN1486,0)+INDEX($AT$13:$BB$162,BO1486,0)+INDEX($BD$13:$BL$162,BP1486,0))/100)))),0)</f>
        <v/>
      </c>
      <c r="BS1486">
        <f>IF(1473&lt;$U$9,SUMPRODUCT(($D$9:$L$9+INT(($S$12:$AA$12+INDEX($AJ$13:$AR$162,BN1486,0)+INDEX($AT$13:$BB$162,BO1486,0)+INDEX($BD$13:$BL$162,BP1486,0))/100))),0)</f>
        <v/>
      </c>
      <c r="BT1486">
        <f>IF(AND(1473&lt;$U$9,$W$5),BQ1486*1000000-MIN(BR1486,999)*1000+BS1486-1473/100000,-1000000000-1473)</f>
        <v/>
      </c>
    </row>
    <row r="1487">
      <c r="BN1487">
        <f>IF(1474&lt;$U$9,INT(1474/($U$7*$U$8))+1,1)</f>
        <v/>
      </c>
      <c r="BO1487">
        <f>IF(1474&lt;$U$9,MOD(INT(1474/$U$8),$U$7)+1,1)</f>
        <v/>
      </c>
      <c r="BP1487">
        <f>IF(1474&lt;$U$9,MOD(1474,$U$8)+1,1)</f>
        <v/>
      </c>
      <c r="BQ1487">
        <f>IF(1474&lt;$U$9,SUMPRODUCT(($D$10:$L$10&lt;&gt;"")*(($D$9:$L$9+INT(($S$12:$AA$12+INDEX($AJ$13:$AR$162,BN1487,0)+INDEX($AT$13:$BB$162,BO1487,0)+INDEX($BD$13:$BL$162,BP1487,0))/100))&gt;=$D$10:$L$10)),0)</f>
        <v/>
      </c>
      <c r="BR1487">
        <f>IF(1474&lt;$U$9,SUMPRODUCT(($D$10:$L$10&lt;&gt;"")*(($D$10:$L$10-($D$9:$L$9+INT(($S$12:$AA$12+INDEX($AJ$13:$AR$162,BN1487,0)+INDEX($AT$13:$BB$162,BO1487,0)+INDEX($BD$13:$BL$162,BP1487,0))/100)))&gt;0)*($D$10:$L$10-($D$9:$L$9+INT(($S$12:$AA$12+INDEX($AJ$13:$AR$162,BN1487,0)+INDEX($AT$13:$BB$162,BO1487,0)+INDEX($BD$13:$BL$162,BP1487,0))/100)))),0)</f>
        <v/>
      </c>
      <c r="BS1487">
        <f>IF(1474&lt;$U$9,SUMPRODUCT(($D$9:$L$9+INT(($S$12:$AA$12+INDEX($AJ$13:$AR$162,BN1487,0)+INDEX($AT$13:$BB$162,BO1487,0)+INDEX($BD$13:$BL$162,BP1487,0))/100))),0)</f>
        <v/>
      </c>
      <c r="BT1487">
        <f>IF(AND(1474&lt;$U$9,$W$5),BQ1487*1000000-MIN(BR1487,999)*1000+BS1487-1474/100000,-1000000000-1474)</f>
        <v/>
      </c>
    </row>
    <row r="1488">
      <c r="BN1488">
        <f>IF(1475&lt;$U$9,INT(1475/($U$7*$U$8))+1,1)</f>
        <v/>
      </c>
      <c r="BO1488">
        <f>IF(1475&lt;$U$9,MOD(INT(1475/$U$8),$U$7)+1,1)</f>
        <v/>
      </c>
      <c r="BP1488">
        <f>IF(1475&lt;$U$9,MOD(1475,$U$8)+1,1)</f>
        <v/>
      </c>
      <c r="BQ1488">
        <f>IF(1475&lt;$U$9,SUMPRODUCT(($D$10:$L$10&lt;&gt;"")*(($D$9:$L$9+INT(($S$12:$AA$12+INDEX($AJ$13:$AR$162,BN1488,0)+INDEX($AT$13:$BB$162,BO1488,0)+INDEX($BD$13:$BL$162,BP1488,0))/100))&gt;=$D$10:$L$10)),0)</f>
        <v/>
      </c>
      <c r="BR1488">
        <f>IF(1475&lt;$U$9,SUMPRODUCT(($D$10:$L$10&lt;&gt;"")*(($D$10:$L$10-($D$9:$L$9+INT(($S$12:$AA$12+INDEX($AJ$13:$AR$162,BN1488,0)+INDEX($AT$13:$BB$162,BO1488,0)+INDEX($BD$13:$BL$162,BP1488,0))/100)))&gt;0)*($D$10:$L$10-($D$9:$L$9+INT(($S$12:$AA$12+INDEX($AJ$13:$AR$162,BN1488,0)+INDEX($AT$13:$BB$162,BO1488,0)+INDEX($BD$13:$BL$162,BP1488,0))/100)))),0)</f>
        <v/>
      </c>
      <c r="BS1488">
        <f>IF(1475&lt;$U$9,SUMPRODUCT(($D$9:$L$9+INT(($S$12:$AA$12+INDEX($AJ$13:$AR$162,BN1488,0)+INDEX($AT$13:$BB$162,BO1488,0)+INDEX($BD$13:$BL$162,BP1488,0))/100))),0)</f>
        <v/>
      </c>
      <c r="BT1488">
        <f>IF(AND(1475&lt;$U$9,$W$5),BQ1488*1000000-MIN(BR1488,999)*1000+BS1488-1475/100000,-1000000000-1475)</f>
        <v/>
      </c>
    </row>
    <row r="1489">
      <c r="BN1489">
        <f>IF(1476&lt;$U$9,INT(1476/($U$7*$U$8))+1,1)</f>
        <v/>
      </c>
      <c r="BO1489">
        <f>IF(1476&lt;$U$9,MOD(INT(1476/$U$8),$U$7)+1,1)</f>
        <v/>
      </c>
      <c r="BP1489">
        <f>IF(1476&lt;$U$9,MOD(1476,$U$8)+1,1)</f>
        <v/>
      </c>
      <c r="BQ1489">
        <f>IF(1476&lt;$U$9,SUMPRODUCT(($D$10:$L$10&lt;&gt;"")*(($D$9:$L$9+INT(($S$12:$AA$12+INDEX($AJ$13:$AR$162,BN1489,0)+INDEX($AT$13:$BB$162,BO1489,0)+INDEX($BD$13:$BL$162,BP1489,0))/100))&gt;=$D$10:$L$10)),0)</f>
        <v/>
      </c>
      <c r="BR1489">
        <f>IF(1476&lt;$U$9,SUMPRODUCT(($D$10:$L$10&lt;&gt;"")*(($D$10:$L$10-($D$9:$L$9+INT(($S$12:$AA$12+INDEX($AJ$13:$AR$162,BN1489,0)+INDEX($AT$13:$BB$162,BO1489,0)+INDEX($BD$13:$BL$162,BP1489,0))/100)))&gt;0)*($D$10:$L$10-($D$9:$L$9+INT(($S$12:$AA$12+INDEX($AJ$13:$AR$162,BN1489,0)+INDEX($AT$13:$BB$162,BO1489,0)+INDEX($BD$13:$BL$162,BP1489,0))/100)))),0)</f>
        <v/>
      </c>
      <c r="BS1489">
        <f>IF(1476&lt;$U$9,SUMPRODUCT(($D$9:$L$9+INT(($S$12:$AA$12+INDEX($AJ$13:$AR$162,BN1489,0)+INDEX($AT$13:$BB$162,BO1489,0)+INDEX($BD$13:$BL$162,BP1489,0))/100))),0)</f>
        <v/>
      </c>
      <c r="BT1489">
        <f>IF(AND(1476&lt;$U$9,$W$5),BQ1489*1000000-MIN(BR1489,999)*1000+BS1489-1476/100000,-1000000000-1476)</f>
        <v/>
      </c>
    </row>
    <row r="1490">
      <c r="BN1490">
        <f>IF(1477&lt;$U$9,INT(1477/($U$7*$U$8))+1,1)</f>
        <v/>
      </c>
      <c r="BO1490">
        <f>IF(1477&lt;$U$9,MOD(INT(1477/$U$8),$U$7)+1,1)</f>
        <v/>
      </c>
      <c r="BP1490">
        <f>IF(1477&lt;$U$9,MOD(1477,$U$8)+1,1)</f>
        <v/>
      </c>
      <c r="BQ1490">
        <f>IF(1477&lt;$U$9,SUMPRODUCT(($D$10:$L$10&lt;&gt;"")*(($D$9:$L$9+INT(($S$12:$AA$12+INDEX($AJ$13:$AR$162,BN1490,0)+INDEX($AT$13:$BB$162,BO1490,0)+INDEX($BD$13:$BL$162,BP1490,0))/100))&gt;=$D$10:$L$10)),0)</f>
        <v/>
      </c>
      <c r="BR1490">
        <f>IF(1477&lt;$U$9,SUMPRODUCT(($D$10:$L$10&lt;&gt;"")*(($D$10:$L$10-($D$9:$L$9+INT(($S$12:$AA$12+INDEX($AJ$13:$AR$162,BN1490,0)+INDEX($AT$13:$BB$162,BO1490,0)+INDEX($BD$13:$BL$162,BP1490,0))/100)))&gt;0)*($D$10:$L$10-($D$9:$L$9+INT(($S$12:$AA$12+INDEX($AJ$13:$AR$162,BN1490,0)+INDEX($AT$13:$BB$162,BO1490,0)+INDEX($BD$13:$BL$162,BP1490,0))/100)))),0)</f>
        <v/>
      </c>
      <c r="BS1490">
        <f>IF(1477&lt;$U$9,SUMPRODUCT(($D$9:$L$9+INT(($S$12:$AA$12+INDEX($AJ$13:$AR$162,BN1490,0)+INDEX($AT$13:$BB$162,BO1490,0)+INDEX($BD$13:$BL$162,BP1490,0))/100))),0)</f>
        <v/>
      </c>
      <c r="BT1490">
        <f>IF(AND(1477&lt;$U$9,$W$5),BQ1490*1000000-MIN(BR1490,999)*1000+BS1490-1477/100000,-1000000000-1477)</f>
        <v/>
      </c>
    </row>
    <row r="1491">
      <c r="BN1491">
        <f>IF(1478&lt;$U$9,INT(1478/($U$7*$U$8))+1,1)</f>
        <v/>
      </c>
      <c r="BO1491">
        <f>IF(1478&lt;$U$9,MOD(INT(1478/$U$8),$U$7)+1,1)</f>
        <v/>
      </c>
      <c r="BP1491">
        <f>IF(1478&lt;$U$9,MOD(1478,$U$8)+1,1)</f>
        <v/>
      </c>
      <c r="BQ1491">
        <f>IF(1478&lt;$U$9,SUMPRODUCT(($D$10:$L$10&lt;&gt;"")*(($D$9:$L$9+INT(($S$12:$AA$12+INDEX($AJ$13:$AR$162,BN1491,0)+INDEX($AT$13:$BB$162,BO1491,0)+INDEX($BD$13:$BL$162,BP1491,0))/100))&gt;=$D$10:$L$10)),0)</f>
        <v/>
      </c>
      <c r="BR1491">
        <f>IF(1478&lt;$U$9,SUMPRODUCT(($D$10:$L$10&lt;&gt;"")*(($D$10:$L$10-($D$9:$L$9+INT(($S$12:$AA$12+INDEX($AJ$13:$AR$162,BN1491,0)+INDEX($AT$13:$BB$162,BO1491,0)+INDEX($BD$13:$BL$162,BP1491,0))/100)))&gt;0)*($D$10:$L$10-($D$9:$L$9+INT(($S$12:$AA$12+INDEX($AJ$13:$AR$162,BN1491,0)+INDEX($AT$13:$BB$162,BO1491,0)+INDEX($BD$13:$BL$162,BP1491,0))/100)))),0)</f>
        <v/>
      </c>
      <c r="BS1491">
        <f>IF(1478&lt;$U$9,SUMPRODUCT(($D$9:$L$9+INT(($S$12:$AA$12+INDEX($AJ$13:$AR$162,BN1491,0)+INDEX($AT$13:$BB$162,BO1491,0)+INDEX($BD$13:$BL$162,BP1491,0))/100))),0)</f>
        <v/>
      </c>
      <c r="BT1491">
        <f>IF(AND(1478&lt;$U$9,$W$5),BQ1491*1000000-MIN(BR1491,999)*1000+BS1491-1478/100000,-1000000000-1478)</f>
        <v/>
      </c>
    </row>
    <row r="1492">
      <c r="BN1492">
        <f>IF(1479&lt;$U$9,INT(1479/($U$7*$U$8))+1,1)</f>
        <v/>
      </c>
      <c r="BO1492">
        <f>IF(1479&lt;$U$9,MOD(INT(1479/$U$8),$U$7)+1,1)</f>
        <v/>
      </c>
      <c r="BP1492">
        <f>IF(1479&lt;$U$9,MOD(1479,$U$8)+1,1)</f>
        <v/>
      </c>
      <c r="BQ1492">
        <f>IF(1479&lt;$U$9,SUMPRODUCT(($D$10:$L$10&lt;&gt;"")*(($D$9:$L$9+INT(($S$12:$AA$12+INDEX($AJ$13:$AR$162,BN1492,0)+INDEX($AT$13:$BB$162,BO1492,0)+INDEX($BD$13:$BL$162,BP1492,0))/100))&gt;=$D$10:$L$10)),0)</f>
        <v/>
      </c>
      <c r="BR1492">
        <f>IF(1479&lt;$U$9,SUMPRODUCT(($D$10:$L$10&lt;&gt;"")*(($D$10:$L$10-($D$9:$L$9+INT(($S$12:$AA$12+INDEX($AJ$13:$AR$162,BN1492,0)+INDEX($AT$13:$BB$162,BO1492,0)+INDEX($BD$13:$BL$162,BP1492,0))/100)))&gt;0)*($D$10:$L$10-($D$9:$L$9+INT(($S$12:$AA$12+INDEX($AJ$13:$AR$162,BN1492,0)+INDEX($AT$13:$BB$162,BO1492,0)+INDEX($BD$13:$BL$162,BP1492,0))/100)))),0)</f>
        <v/>
      </c>
      <c r="BS1492">
        <f>IF(1479&lt;$U$9,SUMPRODUCT(($D$9:$L$9+INT(($S$12:$AA$12+INDEX($AJ$13:$AR$162,BN1492,0)+INDEX($AT$13:$BB$162,BO1492,0)+INDEX($BD$13:$BL$162,BP1492,0))/100))),0)</f>
        <v/>
      </c>
      <c r="BT1492">
        <f>IF(AND(1479&lt;$U$9,$W$5),BQ1492*1000000-MIN(BR1492,999)*1000+BS1492-1479/100000,-1000000000-1479)</f>
        <v/>
      </c>
    </row>
    <row r="1493">
      <c r="BN1493">
        <f>IF(1480&lt;$U$9,INT(1480/($U$7*$U$8))+1,1)</f>
        <v/>
      </c>
      <c r="BO1493">
        <f>IF(1480&lt;$U$9,MOD(INT(1480/$U$8),$U$7)+1,1)</f>
        <v/>
      </c>
      <c r="BP1493">
        <f>IF(1480&lt;$U$9,MOD(1480,$U$8)+1,1)</f>
        <v/>
      </c>
      <c r="BQ1493">
        <f>IF(1480&lt;$U$9,SUMPRODUCT(($D$10:$L$10&lt;&gt;"")*(($D$9:$L$9+INT(($S$12:$AA$12+INDEX($AJ$13:$AR$162,BN1493,0)+INDEX($AT$13:$BB$162,BO1493,0)+INDEX($BD$13:$BL$162,BP1493,0))/100))&gt;=$D$10:$L$10)),0)</f>
        <v/>
      </c>
      <c r="BR1493">
        <f>IF(1480&lt;$U$9,SUMPRODUCT(($D$10:$L$10&lt;&gt;"")*(($D$10:$L$10-($D$9:$L$9+INT(($S$12:$AA$12+INDEX($AJ$13:$AR$162,BN1493,0)+INDEX($AT$13:$BB$162,BO1493,0)+INDEX($BD$13:$BL$162,BP1493,0))/100)))&gt;0)*($D$10:$L$10-($D$9:$L$9+INT(($S$12:$AA$12+INDEX($AJ$13:$AR$162,BN1493,0)+INDEX($AT$13:$BB$162,BO1493,0)+INDEX($BD$13:$BL$162,BP1493,0))/100)))),0)</f>
        <v/>
      </c>
      <c r="BS1493">
        <f>IF(1480&lt;$U$9,SUMPRODUCT(($D$9:$L$9+INT(($S$12:$AA$12+INDEX($AJ$13:$AR$162,BN1493,0)+INDEX($AT$13:$BB$162,BO1493,0)+INDEX($BD$13:$BL$162,BP1493,0))/100))),0)</f>
        <v/>
      </c>
      <c r="BT1493">
        <f>IF(AND(1480&lt;$U$9,$W$5),BQ1493*1000000-MIN(BR1493,999)*1000+BS1493-1480/100000,-1000000000-1480)</f>
        <v/>
      </c>
    </row>
    <row r="1494">
      <c r="BN1494">
        <f>IF(1481&lt;$U$9,INT(1481/($U$7*$U$8))+1,1)</f>
        <v/>
      </c>
      <c r="BO1494">
        <f>IF(1481&lt;$U$9,MOD(INT(1481/$U$8),$U$7)+1,1)</f>
        <v/>
      </c>
      <c r="BP1494">
        <f>IF(1481&lt;$U$9,MOD(1481,$U$8)+1,1)</f>
        <v/>
      </c>
      <c r="BQ1494">
        <f>IF(1481&lt;$U$9,SUMPRODUCT(($D$10:$L$10&lt;&gt;"")*(($D$9:$L$9+INT(($S$12:$AA$12+INDEX($AJ$13:$AR$162,BN1494,0)+INDEX($AT$13:$BB$162,BO1494,0)+INDEX($BD$13:$BL$162,BP1494,0))/100))&gt;=$D$10:$L$10)),0)</f>
        <v/>
      </c>
      <c r="BR1494">
        <f>IF(1481&lt;$U$9,SUMPRODUCT(($D$10:$L$10&lt;&gt;"")*(($D$10:$L$10-($D$9:$L$9+INT(($S$12:$AA$12+INDEX($AJ$13:$AR$162,BN1494,0)+INDEX($AT$13:$BB$162,BO1494,0)+INDEX($BD$13:$BL$162,BP1494,0))/100)))&gt;0)*($D$10:$L$10-($D$9:$L$9+INT(($S$12:$AA$12+INDEX($AJ$13:$AR$162,BN1494,0)+INDEX($AT$13:$BB$162,BO1494,0)+INDEX($BD$13:$BL$162,BP1494,0))/100)))),0)</f>
        <v/>
      </c>
      <c r="BS1494">
        <f>IF(1481&lt;$U$9,SUMPRODUCT(($D$9:$L$9+INT(($S$12:$AA$12+INDEX($AJ$13:$AR$162,BN1494,0)+INDEX($AT$13:$BB$162,BO1494,0)+INDEX($BD$13:$BL$162,BP1494,0))/100))),0)</f>
        <v/>
      </c>
      <c r="BT1494">
        <f>IF(AND(1481&lt;$U$9,$W$5),BQ1494*1000000-MIN(BR1494,999)*1000+BS1494-1481/100000,-1000000000-1481)</f>
        <v/>
      </c>
    </row>
    <row r="1495">
      <c r="BN1495">
        <f>IF(1482&lt;$U$9,INT(1482/($U$7*$U$8))+1,1)</f>
        <v/>
      </c>
      <c r="BO1495">
        <f>IF(1482&lt;$U$9,MOD(INT(1482/$U$8),$U$7)+1,1)</f>
        <v/>
      </c>
      <c r="BP1495">
        <f>IF(1482&lt;$U$9,MOD(1482,$U$8)+1,1)</f>
        <v/>
      </c>
      <c r="BQ1495">
        <f>IF(1482&lt;$U$9,SUMPRODUCT(($D$10:$L$10&lt;&gt;"")*(($D$9:$L$9+INT(($S$12:$AA$12+INDEX($AJ$13:$AR$162,BN1495,0)+INDEX($AT$13:$BB$162,BO1495,0)+INDEX($BD$13:$BL$162,BP1495,0))/100))&gt;=$D$10:$L$10)),0)</f>
        <v/>
      </c>
      <c r="BR1495">
        <f>IF(1482&lt;$U$9,SUMPRODUCT(($D$10:$L$10&lt;&gt;"")*(($D$10:$L$10-($D$9:$L$9+INT(($S$12:$AA$12+INDEX($AJ$13:$AR$162,BN1495,0)+INDEX($AT$13:$BB$162,BO1495,0)+INDEX($BD$13:$BL$162,BP1495,0))/100)))&gt;0)*($D$10:$L$10-($D$9:$L$9+INT(($S$12:$AA$12+INDEX($AJ$13:$AR$162,BN1495,0)+INDEX($AT$13:$BB$162,BO1495,0)+INDEX($BD$13:$BL$162,BP1495,0))/100)))),0)</f>
        <v/>
      </c>
      <c r="BS1495">
        <f>IF(1482&lt;$U$9,SUMPRODUCT(($D$9:$L$9+INT(($S$12:$AA$12+INDEX($AJ$13:$AR$162,BN1495,0)+INDEX($AT$13:$BB$162,BO1495,0)+INDEX($BD$13:$BL$162,BP1495,0))/100))),0)</f>
        <v/>
      </c>
      <c r="BT1495">
        <f>IF(AND(1482&lt;$U$9,$W$5),BQ1495*1000000-MIN(BR1495,999)*1000+BS1495-1482/100000,-1000000000-1482)</f>
        <v/>
      </c>
    </row>
    <row r="1496">
      <c r="BN1496">
        <f>IF(1483&lt;$U$9,INT(1483/($U$7*$U$8))+1,1)</f>
        <v/>
      </c>
      <c r="BO1496">
        <f>IF(1483&lt;$U$9,MOD(INT(1483/$U$8),$U$7)+1,1)</f>
        <v/>
      </c>
      <c r="BP1496">
        <f>IF(1483&lt;$U$9,MOD(1483,$U$8)+1,1)</f>
        <v/>
      </c>
      <c r="BQ1496">
        <f>IF(1483&lt;$U$9,SUMPRODUCT(($D$10:$L$10&lt;&gt;"")*(($D$9:$L$9+INT(($S$12:$AA$12+INDEX($AJ$13:$AR$162,BN1496,0)+INDEX($AT$13:$BB$162,BO1496,0)+INDEX($BD$13:$BL$162,BP1496,0))/100))&gt;=$D$10:$L$10)),0)</f>
        <v/>
      </c>
      <c r="BR1496">
        <f>IF(1483&lt;$U$9,SUMPRODUCT(($D$10:$L$10&lt;&gt;"")*(($D$10:$L$10-($D$9:$L$9+INT(($S$12:$AA$12+INDEX($AJ$13:$AR$162,BN1496,0)+INDEX($AT$13:$BB$162,BO1496,0)+INDEX($BD$13:$BL$162,BP1496,0))/100)))&gt;0)*($D$10:$L$10-($D$9:$L$9+INT(($S$12:$AA$12+INDEX($AJ$13:$AR$162,BN1496,0)+INDEX($AT$13:$BB$162,BO1496,0)+INDEX($BD$13:$BL$162,BP1496,0))/100)))),0)</f>
        <v/>
      </c>
      <c r="BS1496">
        <f>IF(1483&lt;$U$9,SUMPRODUCT(($D$9:$L$9+INT(($S$12:$AA$12+INDEX($AJ$13:$AR$162,BN1496,0)+INDEX($AT$13:$BB$162,BO1496,0)+INDEX($BD$13:$BL$162,BP1496,0))/100))),0)</f>
        <v/>
      </c>
      <c r="BT1496">
        <f>IF(AND(1483&lt;$U$9,$W$5),BQ1496*1000000-MIN(BR1496,999)*1000+BS1496-1483/100000,-1000000000-1483)</f>
        <v/>
      </c>
    </row>
    <row r="1497">
      <c r="BN1497">
        <f>IF(1484&lt;$U$9,INT(1484/($U$7*$U$8))+1,1)</f>
        <v/>
      </c>
      <c r="BO1497">
        <f>IF(1484&lt;$U$9,MOD(INT(1484/$U$8),$U$7)+1,1)</f>
        <v/>
      </c>
      <c r="BP1497">
        <f>IF(1484&lt;$U$9,MOD(1484,$U$8)+1,1)</f>
        <v/>
      </c>
      <c r="BQ1497">
        <f>IF(1484&lt;$U$9,SUMPRODUCT(($D$10:$L$10&lt;&gt;"")*(($D$9:$L$9+INT(($S$12:$AA$12+INDEX($AJ$13:$AR$162,BN1497,0)+INDEX($AT$13:$BB$162,BO1497,0)+INDEX($BD$13:$BL$162,BP1497,0))/100))&gt;=$D$10:$L$10)),0)</f>
        <v/>
      </c>
      <c r="BR1497">
        <f>IF(1484&lt;$U$9,SUMPRODUCT(($D$10:$L$10&lt;&gt;"")*(($D$10:$L$10-($D$9:$L$9+INT(($S$12:$AA$12+INDEX($AJ$13:$AR$162,BN1497,0)+INDEX($AT$13:$BB$162,BO1497,0)+INDEX($BD$13:$BL$162,BP1497,0))/100)))&gt;0)*($D$10:$L$10-($D$9:$L$9+INT(($S$12:$AA$12+INDEX($AJ$13:$AR$162,BN1497,0)+INDEX($AT$13:$BB$162,BO1497,0)+INDEX($BD$13:$BL$162,BP1497,0))/100)))),0)</f>
        <v/>
      </c>
      <c r="BS1497">
        <f>IF(1484&lt;$U$9,SUMPRODUCT(($D$9:$L$9+INT(($S$12:$AA$12+INDEX($AJ$13:$AR$162,BN1497,0)+INDEX($AT$13:$BB$162,BO1497,0)+INDEX($BD$13:$BL$162,BP1497,0))/100))),0)</f>
        <v/>
      </c>
      <c r="BT1497">
        <f>IF(AND(1484&lt;$U$9,$W$5),BQ1497*1000000-MIN(BR1497,999)*1000+BS1497-1484/100000,-1000000000-1484)</f>
        <v/>
      </c>
    </row>
    <row r="1498">
      <c r="BN1498">
        <f>IF(1485&lt;$U$9,INT(1485/($U$7*$U$8))+1,1)</f>
        <v/>
      </c>
      <c r="BO1498">
        <f>IF(1485&lt;$U$9,MOD(INT(1485/$U$8),$U$7)+1,1)</f>
        <v/>
      </c>
      <c r="BP1498">
        <f>IF(1485&lt;$U$9,MOD(1485,$U$8)+1,1)</f>
        <v/>
      </c>
      <c r="BQ1498">
        <f>IF(1485&lt;$U$9,SUMPRODUCT(($D$10:$L$10&lt;&gt;"")*(($D$9:$L$9+INT(($S$12:$AA$12+INDEX($AJ$13:$AR$162,BN1498,0)+INDEX($AT$13:$BB$162,BO1498,0)+INDEX($BD$13:$BL$162,BP1498,0))/100))&gt;=$D$10:$L$10)),0)</f>
        <v/>
      </c>
      <c r="BR1498">
        <f>IF(1485&lt;$U$9,SUMPRODUCT(($D$10:$L$10&lt;&gt;"")*(($D$10:$L$10-($D$9:$L$9+INT(($S$12:$AA$12+INDEX($AJ$13:$AR$162,BN1498,0)+INDEX($AT$13:$BB$162,BO1498,0)+INDEX($BD$13:$BL$162,BP1498,0))/100)))&gt;0)*($D$10:$L$10-($D$9:$L$9+INT(($S$12:$AA$12+INDEX($AJ$13:$AR$162,BN1498,0)+INDEX($AT$13:$BB$162,BO1498,0)+INDEX($BD$13:$BL$162,BP1498,0))/100)))),0)</f>
        <v/>
      </c>
      <c r="BS1498">
        <f>IF(1485&lt;$U$9,SUMPRODUCT(($D$9:$L$9+INT(($S$12:$AA$12+INDEX($AJ$13:$AR$162,BN1498,0)+INDEX($AT$13:$BB$162,BO1498,0)+INDEX($BD$13:$BL$162,BP1498,0))/100))),0)</f>
        <v/>
      </c>
      <c r="BT1498">
        <f>IF(AND(1485&lt;$U$9,$W$5),BQ1498*1000000-MIN(BR1498,999)*1000+BS1498-1485/100000,-1000000000-1485)</f>
        <v/>
      </c>
    </row>
    <row r="1499">
      <c r="BN1499">
        <f>IF(1486&lt;$U$9,INT(1486/($U$7*$U$8))+1,1)</f>
        <v/>
      </c>
      <c r="BO1499">
        <f>IF(1486&lt;$U$9,MOD(INT(1486/$U$8),$U$7)+1,1)</f>
        <v/>
      </c>
      <c r="BP1499">
        <f>IF(1486&lt;$U$9,MOD(1486,$U$8)+1,1)</f>
        <v/>
      </c>
      <c r="BQ1499">
        <f>IF(1486&lt;$U$9,SUMPRODUCT(($D$10:$L$10&lt;&gt;"")*(($D$9:$L$9+INT(($S$12:$AA$12+INDEX($AJ$13:$AR$162,BN1499,0)+INDEX($AT$13:$BB$162,BO1499,0)+INDEX($BD$13:$BL$162,BP1499,0))/100))&gt;=$D$10:$L$10)),0)</f>
        <v/>
      </c>
      <c r="BR1499">
        <f>IF(1486&lt;$U$9,SUMPRODUCT(($D$10:$L$10&lt;&gt;"")*(($D$10:$L$10-($D$9:$L$9+INT(($S$12:$AA$12+INDEX($AJ$13:$AR$162,BN1499,0)+INDEX($AT$13:$BB$162,BO1499,0)+INDEX($BD$13:$BL$162,BP1499,0))/100)))&gt;0)*($D$10:$L$10-($D$9:$L$9+INT(($S$12:$AA$12+INDEX($AJ$13:$AR$162,BN1499,0)+INDEX($AT$13:$BB$162,BO1499,0)+INDEX($BD$13:$BL$162,BP1499,0))/100)))),0)</f>
        <v/>
      </c>
      <c r="BS1499">
        <f>IF(1486&lt;$U$9,SUMPRODUCT(($D$9:$L$9+INT(($S$12:$AA$12+INDEX($AJ$13:$AR$162,BN1499,0)+INDEX($AT$13:$BB$162,BO1499,0)+INDEX($BD$13:$BL$162,BP1499,0))/100))),0)</f>
        <v/>
      </c>
      <c r="BT1499">
        <f>IF(AND(1486&lt;$U$9,$W$5),BQ1499*1000000-MIN(BR1499,999)*1000+BS1499-1486/100000,-1000000000-1486)</f>
        <v/>
      </c>
    </row>
    <row r="1500">
      <c r="BN1500">
        <f>IF(1487&lt;$U$9,INT(1487/($U$7*$U$8))+1,1)</f>
        <v/>
      </c>
      <c r="BO1500">
        <f>IF(1487&lt;$U$9,MOD(INT(1487/$U$8),$U$7)+1,1)</f>
        <v/>
      </c>
      <c r="BP1500">
        <f>IF(1487&lt;$U$9,MOD(1487,$U$8)+1,1)</f>
        <v/>
      </c>
      <c r="BQ1500">
        <f>IF(1487&lt;$U$9,SUMPRODUCT(($D$10:$L$10&lt;&gt;"")*(($D$9:$L$9+INT(($S$12:$AA$12+INDEX($AJ$13:$AR$162,BN1500,0)+INDEX($AT$13:$BB$162,BO1500,0)+INDEX($BD$13:$BL$162,BP1500,0))/100))&gt;=$D$10:$L$10)),0)</f>
        <v/>
      </c>
      <c r="BR1500">
        <f>IF(1487&lt;$U$9,SUMPRODUCT(($D$10:$L$10&lt;&gt;"")*(($D$10:$L$10-($D$9:$L$9+INT(($S$12:$AA$12+INDEX($AJ$13:$AR$162,BN1500,0)+INDEX($AT$13:$BB$162,BO1500,0)+INDEX($BD$13:$BL$162,BP1500,0))/100)))&gt;0)*($D$10:$L$10-($D$9:$L$9+INT(($S$12:$AA$12+INDEX($AJ$13:$AR$162,BN1500,0)+INDEX($AT$13:$BB$162,BO1500,0)+INDEX($BD$13:$BL$162,BP1500,0))/100)))),0)</f>
        <v/>
      </c>
      <c r="BS1500">
        <f>IF(1487&lt;$U$9,SUMPRODUCT(($D$9:$L$9+INT(($S$12:$AA$12+INDEX($AJ$13:$AR$162,BN1500,0)+INDEX($AT$13:$BB$162,BO1500,0)+INDEX($BD$13:$BL$162,BP1500,0))/100))),0)</f>
        <v/>
      </c>
      <c r="BT1500">
        <f>IF(AND(1487&lt;$U$9,$W$5),BQ1500*1000000-MIN(BR1500,999)*1000+BS1500-1487/100000,-1000000000-1487)</f>
        <v/>
      </c>
    </row>
    <row r="1501">
      <c r="BN1501">
        <f>IF(1488&lt;$U$9,INT(1488/($U$7*$U$8))+1,1)</f>
        <v/>
      </c>
      <c r="BO1501">
        <f>IF(1488&lt;$U$9,MOD(INT(1488/$U$8),$U$7)+1,1)</f>
        <v/>
      </c>
      <c r="BP1501">
        <f>IF(1488&lt;$U$9,MOD(1488,$U$8)+1,1)</f>
        <v/>
      </c>
      <c r="BQ1501">
        <f>IF(1488&lt;$U$9,SUMPRODUCT(($D$10:$L$10&lt;&gt;"")*(($D$9:$L$9+INT(($S$12:$AA$12+INDEX($AJ$13:$AR$162,BN1501,0)+INDEX($AT$13:$BB$162,BO1501,0)+INDEX($BD$13:$BL$162,BP1501,0))/100))&gt;=$D$10:$L$10)),0)</f>
        <v/>
      </c>
      <c r="BR1501">
        <f>IF(1488&lt;$U$9,SUMPRODUCT(($D$10:$L$10&lt;&gt;"")*(($D$10:$L$10-($D$9:$L$9+INT(($S$12:$AA$12+INDEX($AJ$13:$AR$162,BN1501,0)+INDEX($AT$13:$BB$162,BO1501,0)+INDEX($BD$13:$BL$162,BP1501,0))/100)))&gt;0)*($D$10:$L$10-($D$9:$L$9+INT(($S$12:$AA$12+INDEX($AJ$13:$AR$162,BN1501,0)+INDEX($AT$13:$BB$162,BO1501,0)+INDEX($BD$13:$BL$162,BP1501,0))/100)))),0)</f>
        <v/>
      </c>
      <c r="BS1501">
        <f>IF(1488&lt;$U$9,SUMPRODUCT(($D$9:$L$9+INT(($S$12:$AA$12+INDEX($AJ$13:$AR$162,BN1501,0)+INDEX($AT$13:$BB$162,BO1501,0)+INDEX($BD$13:$BL$162,BP1501,0))/100))),0)</f>
        <v/>
      </c>
      <c r="BT1501">
        <f>IF(AND(1488&lt;$U$9,$W$5),BQ1501*1000000-MIN(BR1501,999)*1000+BS1501-1488/100000,-1000000000-1488)</f>
        <v/>
      </c>
    </row>
    <row r="1502">
      <c r="BN1502">
        <f>IF(1489&lt;$U$9,INT(1489/($U$7*$U$8))+1,1)</f>
        <v/>
      </c>
      <c r="BO1502">
        <f>IF(1489&lt;$U$9,MOD(INT(1489/$U$8),$U$7)+1,1)</f>
        <v/>
      </c>
      <c r="BP1502">
        <f>IF(1489&lt;$U$9,MOD(1489,$U$8)+1,1)</f>
        <v/>
      </c>
      <c r="BQ1502">
        <f>IF(1489&lt;$U$9,SUMPRODUCT(($D$10:$L$10&lt;&gt;"")*(($D$9:$L$9+INT(($S$12:$AA$12+INDEX($AJ$13:$AR$162,BN1502,0)+INDEX($AT$13:$BB$162,BO1502,0)+INDEX($BD$13:$BL$162,BP1502,0))/100))&gt;=$D$10:$L$10)),0)</f>
        <v/>
      </c>
      <c r="BR1502">
        <f>IF(1489&lt;$U$9,SUMPRODUCT(($D$10:$L$10&lt;&gt;"")*(($D$10:$L$10-($D$9:$L$9+INT(($S$12:$AA$12+INDEX($AJ$13:$AR$162,BN1502,0)+INDEX($AT$13:$BB$162,BO1502,0)+INDEX($BD$13:$BL$162,BP1502,0))/100)))&gt;0)*($D$10:$L$10-($D$9:$L$9+INT(($S$12:$AA$12+INDEX($AJ$13:$AR$162,BN1502,0)+INDEX($AT$13:$BB$162,BO1502,0)+INDEX($BD$13:$BL$162,BP1502,0))/100)))),0)</f>
        <v/>
      </c>
      <c r="BS1502">
        <f>IF(1489&lt;$U$9,SUMPRODUCT(($D$9:$L$9+INT(($S$12:$AA$12+INDEX($AJ$13:$AR$162,BN1502,0)+INDEX($AT$13:$BB$162,BO1502,0)+INDEX($BD$13:$BL$162,BP1502,0))/100))),0)</f>
        <v/>
      </c>
      <c r="BT1502">
        <f>IF(AND(1489&lt;$U$9,$W$5),BQ1502*1000000-MIN(BR1502,999)*1000+BS1502-1489/100000,-1000000000-1489)</f>
        <v/>
      </c>
    </row>
    <row r="1503">
      <c r="BN1503">
        <f>IF(1490&lt;$U$9,INT(1490/($U$7*$U$8))+1,1)</f>
        <v/>
      </c>
      <c r="BO1503">
        <f>IF(1490&lt;$U$9,MOD(INT(1490/$U$8),$U$7)+1,1)</f>
        <v/>
      </c>
      <c r="BP1503">
        <f>IF(1490&lt;$U$9,MOD(1490,$U$8)+1,1)</f>
        <v/>
      </c>
      <c r="BQ1503">
        <f>IF(1490&lt;$U$9,SUMPRODUCT(($D$10:$L$10&lt;&gt;"")*(($D$9:$L$9+INT(($S$12:$AA$12+INDEX($AJ$13:$AR$162,BN1503,0)+INDEX($AT$13:$BB$162,BO1503,0)+INDEX($BD$13:$BL$162,BP1503,0))/100))&gt;=$D$10:$L$10)),0)</f>
        <v/>
      </c>
      <c r="BR1503">
        <f>IF(1490&lt;$U$9,SUMPRODUCT(($D$10:$L$10&lt;&gt;"")*(($D$10:$L$10-($D$9:$L$9+INT(($S$12:$AA$12+INDEX($AJ$13:$AR$162,BN1503,0)+INDEX($AT$13:$BB$162,BO1503,0)+INDEX($BD$13:$BL$162,BP1503,0))/100)))&gt;0)*($D$10:$L$10-($D$9:$L$9+INT(($S$12:$AA$12+INDEX($AJ$13:$AR$162,BN1503,0)+INDEX($AT$13:$BB$162,BO1503,0)+INDEX($BD$13:$BL$162,BP1503,0))/100)))),0)</f>
        <v/>
      </c>
      <c r="BS1503">
        <f>IF(1490&lt;$U$9,SUMPRODUCT(($D$9:$L$9+INT(($S$12:$AA$12+INDEX($AJ$13:$AR$162,BN1503,0)+INDEX($AT$13:$BB$162,BO1503,0)+INDEX($BD$13:$BL$162,BP1503,0))/100))),0)</f>
        <v/>
      </c>
      <c r="BT1503">
        <f>IF(AND(1490&lt;$U$9,$W$5),BQ1503*1000000-MIN(BR1503,999)*1000+BS1503-1490/100000,-1000000000-1490)</f>
        <v/>
      </c>
    </row>
    <row r="1504">
      <c r="BN1504">
        <f>IF(1491&lt;$U$9,INT(1491/($U$7*$U$8))+1,1)</f>
        <v/>
      </c>
      <c r="BO1504">
        <f>IF(1491&lt;$U$9,MOD(INT(1491/$U$8),$U$7)+1,1)</f>
        <v/>
      </c>
      <c r="BP1504">
        <f>IF(1491&lt;$U$9,MOD(1491,$U$8)+1,1)</f>
        <v/>
      </c>
      <c r="BQ1504">
        <f>IF(1491&lt;$U$9,SUMPRODUCT(($D$10:$L$10&lt;&gt;"")*(($D$9:$L$9+INT(($S$12:$AA$12+INDEX($AJ$13:$AR$162,BN1504,0)+INDEX($AT$13:$BB$162,BO1504,0)+INDEX($BD$13:$BL$162,BP1504,0))/100))&gt;=$D$10:$L$10)),0)</f>
        <v/>
      </c>
      <c r="BR1504">
        <f>IF(1491&lt;$U$9,SUMPRODUCT(($D$10:$L$10&lt;&gt;"")*(($D$10:$L$10-($D$9:$L$9+INT(($S$12:$AA$12+INDEX($AJ$13:$AR$162,BN1504,0)+INDEX($AT$13:$BB$162,BO1504,0)+INDEX($BD$13:$BL$162,BP1504,0))/100)))&gt;0)*($D$10:$L$10-($D$9:$L$9+INT(($S$12:$AA$12+INDEX($AJ$13:$AR$162,BN1504,0)+INDEX($AT$13:$BB$162,BO1504,0)+INDEX($BD$13:$BL$162,BP1504,0))/100)))),0)</f>
        <v/>
      </c>
      <c r="BS1504">
        <f>IF(1491&lt;$U$9,SUMPRODUCT(($D$9:$L$9+INT(($S$12:$AA$12+INDEX($AJ$13:$AR$162,BN1504,0)+INDEX($AT$13:$BB$162,BO1504,0)+INDEX($BD$13:$BL$162,BP1504,0))/100))),0)</f>
        <v/>
      </c>
      <c r="BT1504">
        <f>IF(AND(1491&lt;$U$9,$W$5),BQ1504*1000000-MIN(BR1504,999)*1000+BS1504-1491/100000,-1000000000-1491)</f>
        <v/>
      </c>
    </row>
    <row r="1505">
      <c r="BN1505">
        <f>IF(1492&lt;$U$9,INT(1492/($U$7*$U$8))+1,1)</f>
        <v/>
      </c>
      <c r="BO1505">
        <f>IF(1492&lt;$U$9,MOD(INT(1492/$U$8),$U$7)+1,1)</f>
        <v/>
      </c>
      <c r="BP1505">
        <f>IF(1492&lt;$U$9,MOD(1492,$U$8)+1,1)</f>
        <v/>
      </c>
      <c r="BQ1505">
        <f>IF(1492&lt;$U$9,SUMPRODUCT(($D$10:$L$10&lt;&gt;"")*(($D$9:$L$9+INT(($S$12:$AA$12+INDEX($AJ$13:$AR$162,BN1505,0)+INDEX($AT$13:$BB$162,BO1505,0)+INDEX($BD$13:$BL$162,BP1505,0))/100))&gt;=$D$10:$L$10)),0)</f>
        <v/>
      </c>
      <c r="BR1505">
        <f>IF(1492&lt;$U$9,SUMPRODUCT(($D$10:$L$10&lt;&gt;"")*(($D$10:$L$10-($D$9:$L$9+INT(($S$12:$AA$12+INDEX($AJ$13:$AR$162,BN1505,0)+INDEX($AT$13:$BB$162,BO1505,0)+INDEX($BD$13:$BL$162,BP1505,0))/100)))&gt;0)*($D$10:$L$10-($D$9:$L$9+INT(($S$12:$AA$12+INDEX($AJ$13:$AR$162,BN1505,0)+INDEX($AT$13:$BB$162,BO1505,0)+INDEX($BD$13:$BL$162,BP1505,0))/100)))),0)</f>
        <v/>
      </c>
      <c r="BS1505">
        <f>IF(1492&lt;$U$9,SUMPRODUCT(($D$9:$L$9+INT(($S$12:$AA$12+INDEX($AJ$13:$AR$162,BN1505,0)+INDEX($AT$13:$BB$162,BO1505,0)+INDEX($BD$13:$BL$162,BP1505,0))/100))),0)</f>
        <v/>
      </c>
      <c r="BT1505">
        <f>IF(AND(1492&lt;$U$9,$W$5),BQ1505*1000000-MIN(BR1505,999)*1000+BS1505-1492/100000,-1000000000-1492)</f>
        <v/>
      </c>
    </row>
    <row r="1506">
      <c r="BN1506">
        <f>IF(1493&lt;$U$9,INT(1493/($U$7*$U$8))+1,1)</f>
        <v/>
      </c>
      <c r="BO1506">
        <f>IF(1493&lt;$U$9,MOD(INT(1493/$U$8),$U$7)+1,1)</f>
        <v/>
      </c>
      <c r="BP1506">
        <f>IF(1493&lt;$U$9,MOD(1493,$U$8)+1,1)</f>
        <v/>
      </c>
      <c r="BQ1506">
        <f>IF(1493&lt;$U$9,SUMPRODUCT(($D$10:$L$10&lt;&gt;"")*(($D$9:$L$9+INT(($S$12:$AA$12+INDEX($AJ$13:$AR$162,BN1506,0)+INDEX($AT$13:$BB$162,BO1506,0)+INDEX($BD$13:$BL$162,BP1506,0))/100))&gt;=$D$10:$L$10)),0)</f>
        <v/>
      </c>
      <c r="BR1506">
        <f>IF(1493&lt;$U$9,SUMPRODUCT(($D$10:$L$10&lt;&gt;"")*(($D$10:$L$10-($D$9:$L$9+INT(($S$12:$AA$12+INDEX($AJ$13:$AR$162,BN1506,0)+INDEX($AT$13:$BB$162,BO1506,0)+INDEX($BD$13:$BL$162,BP1506,0))/100)))&gt;0)*($D$10:$L$10-($D$9:$L$9+INT(($S$12:$AA$12+INDEX($AJ$13:$AR$162,BN1506,0)+INDEX($AT$13:$BB$162,BO1506,0)+INDEX($BD$13:$BL$162,BP1506,0))/100)))),0)</f>
        <v/>
      </c>
      <c r="BS1506">
        <f>IF(1493&lt;$U$9,SUMPRODUCT(($D$9:$L$9+INT(($S$12:$AA$12+INDEX($AJ$13:$AR$162,BN1506,0)+INDEX($AT$13:$BB$162,BO1506,0)+INDEX($BD$13:$BL$162,BP1506,0))/100))),0)</f>
        <v/>
      </c>
      <c r="BT1506">
        <f>IF(AND(1493&lt;$U$9,$W$5),BQ1506*1000000-MIN(BR1506,999)*1000+BS1506-1493/100000,-1000000000-1493)</f>
        <v/>
      </c>
    </row>
    <row r="1507">
      <c r="BN1507">
        <f>IF(1494&lt;$U$9,INT(1494/($U$7*$U$8))+1,1)</f>
        <v/>
      </c>
      <c r="BO1507">
        <f>IF(1494&lt;$U$9,MOD(INT(1494/$U$8),$U$7)+1,1)</f>
        <v/>
      </c>
      <c r="BP1507">
        <f>IF(1494&lt;$U$9,MOD(1494,$U$8)+1,1)</f>
        <v/>
      </c>
      <c r="BQ1507">
        <f>IF(1494&lt;$U$9,SUMPRODUCT(($D$10:$L$10&lt;&gt;"")*(($D$9:$L$9+INT(($S$12:$AA$12+INDEX($AJ$13:$AR$162,BN1507,0)+INDEX($AT$13:$BB$162,BO1507,0)+INDEX($BD$13:$BL$162,BP1507,0))/100))&gt;=$D$10:$L$10)),0)</f>
        <v/>
      </c>
      <c r="BR1507">
        <f>IF(1494&lt;$U$9,SUMPRODUCT(($D$10:$L$10&lt;&gt;"")*(($D$10:$L$10-($D$9:$L$9+INT(($S$12:$AA$12+INDEX($AJ$13:$AR$162,BN1507,0)+INDEX($AT$13:$BB$162,BO1507,0)+INDEX($BD$13:$BL$162,BP1507,0))/100)))&gt;0)*($D$10:$L$10-($D$9:$L$9+INT(($S$12:$AA$12+INDEX($AJ$13:$AR$162,BN1507,0)+INDEX($AT$13:$BB$162,BO1507,0)+INDEX($BD$13:$BL$162,BP1507,0))/100)))),0)</f>
        <v/>
      </c>
      <c r="BS1507">
        <f>IF(1494&lt;$U$9,SUMPRODUCT(($D$9:$L$9+INT(($S$12:$AA$12+INDEX($AJ$13:$AR$162,BN1507,0)+INDEX($AT$13:$BB$162,BO1507,0)+INDEX($BD$13:$BL$162,BP1507,0))/100))),0)</f>
        <v/>
      </c>
      <c r="BT1507">
        <f>IF(AND(1494&lt;$U$9,$W$5),BQ1507*1000000-MIN(BR1507,999)*1000+BS1507-1494/100000,-1000000000-1494)</f>
        <v/>
      </c>
    </row>
    <row r="1508">
      <c r="BN1508">
        <f>IF(1495&lt;$U$9,INT(1495/($U$7*$U$8))+1,1)</f>
        <v/>
      </c>
      <c r="BO1508">
        <f>IF(1495&lt;$U$9,MOD(INT(1495/$U$8),$U$7)+1,1)</f>
        <v/>
      </c>
      <c r="BP1508">
        <f>IF(1495&lt;$U$9,MOD(1495,$U$8)+1,1)</f>
        <v/>
      </c>
      <c r="BQ1508">
        <f>IF(1495&lt;$U$9,SUMPRODUCT(($D$10:$L$10&lt;&gt;"")*(($D$9:$L$9+INT(($S$12:$AA$12+INDEX($AJ$13:$AR$162,BN1508,0)+INDEX($AT$13:$BB$162,BO1508,0)+INDEX($BD$13:$BL$162,BP1508,0))/100))&gt;=$D$10:$L$10)),0)</f>
        <v/>
      </c>
      <c r="BR1508">
        <f>IF(1495&lt;$U$9,SUMPRODUCT(($D$10:$L$10&lt;&gt;"")*(($D$10:$L$10-($D$9:$L$9+INT(($S$12:$AA$12+INDEX($AJ$13:$AR$162,BN1508,0)+INDEX($AT$13:$BB$162,BO1508,0)+INDEX($BD$13:$BL$162,BP1508,0))/100)))&gt;0)*($D$10:$L$10-($D$9:$L$9+INT(($S$12:$AA$12+INDEX($AJ$13:$AR$162,BN1508,0)+INDEX($AT$13:$BB$162,BO1508,0)+INDEX($BD$13:$BL$162,BP1508,0))/100)))),0)</f>
        <v/>
      </c>
      <c r="BS1508">
        <f>IF(1495&lt;$U$9,SUMPRODUCT(($D$9:$L$9+INT(($S$12:$AA$12+INDEX($AJ$13:$AR$162,BN1508,0)+INDEX($AT$13:$BB$162,BO1508,0)+INDEX($BD$13:$BL$162,BP1508,0))/100))),0)</f>
        <v/>
      </c>
      <c r="BT1508">
        <f>IF(AND(1495&lt;$U$9,$W$5),BQ1508*1000000-MIN(BR1508,999)*1000+BS1508-1495/100000,-1000000000-1495)</f>
        <v/>
      </c>
    </row>
    <row r="1509">
      <c r="BN1509">
        <f>IF(1496&lt;$U$9,INT(1496/($U$7*$U$8))+1,1)</f>
        <v/>
      </c>
      <c r="BO1509">
        <f>IF(1496&lt;$U$9,MOD(INT(1496/$U$8),$U$7)+1,1)</f>
        <v/>
      </c>
      <c r="BP1509">
        <f>IF(1496&lt;$U$9,MOD(1496,$U$8)+1,1)</f>
        <v/>
      </c>
      <c r="BQ1509">
        <f>IF(1496&lt;$U$9,SUMPRODUCT(($D$10:$L$10&lt;&gt;"")*(($D$9:$L$9+INT(($S$12:$AA$12+INDEX($AJ$13:$AR$162,BN1509,0)+INDEX($AT$13:$BB$162,BO1509,0)+INDEX($BD$13:$BL$162,BP1509,0))/100))&gt;=$D$10:$L$10)),0)</f>
        <v/>
      </c>
      <c r="BR1509">
        <f>IF(1496&lt;$U$9,SUMPRODUCT(($D$10:$L$10&lt;&gt;"")*(($D$10:$L$10-($D$9:$L$9+INT(($S$12:$AA$12+INDEX($AJ$13:$AR$162,BN1509,0)+INDEX($AT$13:$BB$162,BO1509,0)+INDEX($BD$13:$BL$162,BP1509,0))/100)))&gt;0)*($D$10:$L$10-($D$9:$L$9+INT(($S$12:$AA$12+INDEX($AJ$13:$AR$162,BN1509,0)+INDEX($AT$13:$BB$162,BO1509,0)+INDEX($BD$13:$BL$162,BP1509,0))/100)))),0)</f>
        <v/>
      </c>
      <c r="BS1509">
        <f>IF(1496&lt;$U$9,SUMPRODUCT(($D$9:$L$9+INT(($S$12:$AA$12+INDEX($AJ$13:$AR$162,BN1509,0)+INDEX($AT$13:$BB$162,BO1509,0)+INDEX($BD$13:$BL$162,BP1509,0))/100))),0)</f>
        <v/>
      </c>
      <c r="BT1509">
        <f>IF(AND(1496&lt;$U$9,$W$5),BQ1509*1000000-MIN(BR1509,999)*1000+BS1509-1496/100000,-1000000000-1496)</f>
        <v/>
      </c>
    </row>
    <row r="1510">
      <c r="BN1510">
        <f>IF(1497&lt;$U$9,INT(1497/($U$7*$U$8))+1,1)</f>
        <v/>
      </c>
      <c r="BO1510">
        <f>IF(1497&lt;$U$9,MOD(INT(1497/$U$8),$U$7)+1,1)</f>
        <v/>
      </c>
      <c r="BP1510">
        <f>IF(1497&lt;$U$9,MOD(1497,$U$8)+1,1)</f>
        <v/>
      </c>
      <c r="BQ1510">
        <f>IF(1497&lt;$U$9,SUMPRODUCT(($D$10:$L$10&lt;&gt;"")*(($D$9:$L$9+INT(($S$12:$AA$12+INDEX($AJ$13:$AR$162,BN1510,0)+INDEX($AT$13:$BB$162,BO1510,0)+INDEX($BD$13:$BL$162,BP1510,0))/100))&gt;=$D$10:$L$10)),0)</f>
        <v/>
      </c>
      <c r="BR1510">
        <f>IF(1497&lt;$U$9,SUMPRODUCT(($D$10:$L$10&lt;&gt;"")*(($D$10:$L$10-($D$9:$L$9+INT(($S$12:$AA$12+INDEX($AJ$13:$AR$162,BN1510,0)+INDEX($AT$13:$BB$162,BO1510,0)+INDEX($BD$13:$BL$162,BP1510,0))/100)))&gt;0)*($D$10:$L$10-($D$9:$L$9+INT(($S$12:$AA$12+INDEX($AJ$13:$AR$162,BN1510,0)+INDEX($AT$13:$BB$162,BO1510,0)+INDEX($BD$13:$BL$162,BP1510,0))/100)))),0)</f>
        <v/>
      </c>
      <c r="BS1510">
        <f>IF(1497&lt;$U$9,SUMPRODUCT(($D$9:$L$9+INT(($S$12:$AA$12+INDEX($AJ$13:$AR$162,BN1510,0)+INDEX($AT$13:$BB$162,BO1510,0)+INDEX($BD$13:$BL$162,BP1510,0))/100))),0)</f>
        <v/>
      </c>
      <c r="BT1510">
        <f>IF(AND(1497&lt;$U$9,$W$5),BQ1510*1000000-MIN(BR1510,999)*1000+BS1510-1497/100000,-1000000000-1497)</f>
        <v/>
      </c>
    </row>
    <row r="1511">
      <c r="BN1511">
        <f>IF(1498&lt;$U$9,INT(1498/($U$7*$U$8))+1,1)</f>
        <v/>
      </c>
      <c r="BO1511">
        <f>IF(1498&lt;$U$9,MOD(INT(1498/$U$8),$U$7)+1,1)</f>
        <v/>
      </c>
      <c r="BP1511">
        <f>IF(1498&lt;$U$9,MOD(1498,$U$8)+1,1)</f>
        <v/>
      </c>
      <c r="BQ1511">
        <f>IF(1498&lt;$U$9,SUMPRODUCT(($D$10:$L$10&lt;&gt;"")*(($D$9:$L$9+INT(($S$12:$AA$12+INDEX($AJ$13:$AR$162,BN1511,0)+INDEX($AT$13:$BB$162,BO1511,0)+INDEX($BD$13:$BL$162,BP1511,0))/100))&gt;=$D$10:$L$10)),0)</f>
        <v/>
      </c>
      <c r="BR1511">
        <f>IF(1498&lt;$U$9,SUMPRODUCT(($D$10:$L$10&lt;&gt;"")*(($D$10:$L$10-($D$9:$L$9+INT(($S$12:$AA$12+INDEX($AJ$13:$AR$162,BN1511,0)+INDEX($AT$13:$BB$162,BO1511,0)+INDEX($BD$13:$BL$162,BP1511,0))/100)))&gt;0)*($D$10:$L$10-($D$9:$L$9+INT(($S$12:$AA$12+INDEX($AJ$13:$AR$162,BN1511,0)+INDEX($AT$13:$BB$162,BO1511,0)+INDEX($BD$13:$BL$162,BP1511,0))/100)))),0)</f>
        <v/>
      </c>
      <c r="BS1511">
        <f>IF(1498&lt;$U$9,SUMPRODUCT(($D$9:$L$9+INT(($S$12:$AA$12+INDEX($AJ$13:$AR$162,BN1511,0)+INDEX($AT$13:$BB$162,BO1511,0)+INDEX($BD$13:$BL$162,BP1511,0))/100))),0)</f>
        <v/>
      </c>
      <c r="BT1511">
        <f>IF(AND(1498&lt;$U$9,$W$5),BQ1511*1000000-MIN(BR1511,999)*1000+BS1511-1498/100000,-1000000000-1498)</f>
        <v/>
      </c>
    </row>
    <row r="1512">
      <c r="BN1512">
        <f>IF(1499&lt;$U$9,INT(1499/($U$7*$U$8))+1,1)</f>
        <v/>
      </c>
      <c r="BO1512">
        <f>IF(1499&lt;$U$9,MOD(INT(1499/$U$8),$U$7)+1,1)</f>
        <v/>
      </c>
      <c r="BP1512">
        <f>IF(1499&lt;$U$9,MOD(1499,$U$8)+1,1)</f>
        <v/>
      </c>
      <c r="BQ1512">
        <f>IF(1499&lt;$U$9,SUMPRODUCT(($D$10:$L$10&lt;&gt;"")*(($D$9:$L$9+INT(($S$12:$AA$12+INDEX($AJ$13:$AR$162,BN1512,0)+INDEX($AT$13:$BB$162,BO1512,0)+INDEX($BD$13:$BL$162,BP1512,0))/100))&gt;=$D$10:$L$10)),0)</f>
        <v/>
      </c>
      <c r="BR1512">
        <f>IF(1499&lt;$U$9,SUMPRODUCT(($D$10:$L$10&lt;&gt;"")*(($D$10:$L$10-($D$9:$L$9+INT(($S$12:$AA$12+INDEX($AJ$13:$AR$162,BN1512,0)+INDEX($AT$13:$BB$162,BO1512,0)+INDEX($BD$13:$BL$162,BP1512,0))/100)))&gt;0)*($D$10:$L$10-($D$9:$L$9+INT(($S$12:$AA$12+INDEX($AJ$13:$AR$162,BN1512,0)+INDEX($AT$13:$BB$162,BO1512,0)+INDEX($BD$13:$BL$162,BP1512,0))/100)))),0)</f>
        <v/>
      </c>
      <c r="BS1512">
        <f>IF(1499&lt;$U$9,SUMPRODUCT(($D$9:$L$9+INT(($S$12:$AA$12+INDEX($AJ$13:$AR$162,BN1512,0)+INDEX($AT$13:$BB$162,BO1512,0)+INDEX($BD$13:$BL$162,BP1512,0))/100))),0)</f>
        <v/>
      </c>
      <c r="BT1512">
        <f>IF(AND(1499&lt;$U$9,$W$5),BQ1512*1000000-MIN(BR1512,999)*1000+BS1512-1499/100000,-1000000000-1499)</f>
        <v/>
      </c>
    </row>
    <row r="1513">
      <c r="BN1513">
        <f>IF(1500&lt;$U$9,INT(1500/($U$7*$U$8))+1,1)</f>
        <v/>
      </c>
      <c r="BO1513">
        <f>IF(1500&lt;$U$9,MOD(INT(1500/$U$8),$U$7)+1,1)</f>
        <v/>
      </c>
      <c r="BP1513">
        <f>IF(1500&lt;$U$9,MOD(1500,$U$8)+1,1)</f>
        <v/>
      </c>
      <c r="BQ1513">
        <f>IF(1500&lt;$U$9,SUMPRODUCT(($D$10:$L$10&lt;&gt;"")*(($D$9:$L$9+INT(($S$12:$AA$12+INDEX($AJ$13:$AR$162,BN1513,0)+INDEX($AT$13:$BB$162,BO1513,0)+INDEX($BD$13:$BL$162,BP1513,0))/100))&gt;=$D$10:$L$10)),0)</f>
        <v/>
      </c>
      <c r="BR1513">
        <f>IF(1500&lt;$U$9,SUMPRODUCT(($D$10:$L$10&lt;&gt;"")*(($D$10:$L$10-($D$9:$L$9+INT(($S$12:$AA$12+INDEX($AJ$13:$AR$162,BN1513,0)+INDEX($AT$13:$BB$162,BO1513,0)+INDEX($BD$13:$BL$162,BP1513,0))/100)))&gt;0)*($D$10:$L$10-($D$9:$L$9+INT(($S$12:$AA$12+INDEX($AJ$13:$AR$162,BN1513,0)+INDEX($AT$13:$BB$162,BO1513,0)+INDEX($BD$13:$BL$162,BP1513,0))/100)))),0)</f>
        <v/>
      </c>
      <c r="BS1513">
        <f>IF(1500&lt;$U$9,SUMPRODUCT(($D$9:$L$9+INT(($S$12:$AA$12+INDEX($AJ$13:$AR$162,BN1513,0)+INDEX($AT$13:$BB$162,BO1513,0)+INDEX($BD$13:$BL$162,BP1513,0))/100))),0)</f>
        <v/>
      </c>
      <c r="BT1513">
        <f>IF(AND(1500&lt;$U$9,$W$5),BQ1513*1000000-MIN(BR1513,999)*1000+BS1513-1500/100000,-1000000000-1500)</f>
        <v/>
      </c>
    </row>
    <row r="1514">
      <c r="BN1514">
        <f>IF(1501&lt;$U$9,INT(1501/($U$7*$U$8))+1,1)</f>
        <v/>
      </c>
      <c r="BO1514">
        <f>IF(1501&lt;$U$9,MOD(INT(1501/$U$8),$U$7)+1,1)</f>
        <v/>
      </c>
      <c r="BP1514">
        <f>IF(1501&lt;$U$9,MOD(1501,$U$8)+1,1)</f>
        <v/>
      </c>
      <c r="BQ1514">
        <f>IF(1501&lt;$U$9,SUMPRODUCT(($D$10:$L$10&lt;&gt;"")*(($D$9:$L$9+INT(($S$12:$AA$12+INDEX($AJ$13:$AR$162,BN1514,0)+INDEX($AT$13:$BB$162,BO1514,0)+INDEX($BD$13:$BL$162,BP1514,0))/100))&gt;=$D$10:$L$10)),0)</f>
        <v/>
      </c>
      <c r="BR1514">
        <f>IF(1501&lt;$U$9,SUMPRODUCT(($D$10:$L$10&lt;&gt;"")*(($D$10:$L$10-($D$9:$L$9+INT(($S$12:$AA$12+INDEX($AJ$13:$AR$162,BN1514,0)+INDEX($AT$13:$BB$162,BO1514,0)+INDEX($BD$13:$BL$162,BP1514,0))/100)))&gt;0)*($D$10:$L$10-($D$9:$L$9+INT(($S$12:$AA$12+INDEX($AJ$13:$AR$162,BN1514,0)+INDEX($AT$13:$BB$162,BO1514,0)+INDEX($BD$13:$BL$162,BP1514,0))/100)))),0)</f>
        <v/>
      </c>
      <c r="BS1514">
        <f>IF(1501&lt;$U$9,SUMPRODUCT(($D$9:$L$9+INT(($S$12:$AA$12+INDEX($AJ$13:$AR$162,BN1514,0)+INDEX($AT$13:$BB$162,BO1514,0)+INDEX($BD$13:$BL$162,BP1514,0))/100))),0)</f>
        <v/>
      </c>
      <c r="BT1514">
        <f>IF(AND(1501&lt;$U$9,$W$5),BQ1514*1000000-MIN(BR1514,999)*1000+BS1514-1501/100000,-1000000000-1501)</f>
        <v/>
      </c>
    </row>
    <row r="1515">
      <c r="BN1515">
        <f>IF(1502&lt;$U$9,INT(1502/($U$7*$U$8))+1,1)</f>
        <v/>
      </c>
      <c r="BO1515">
        <f>IF(1502&lt;$U$9,MOD(INT(1502/$U$8),$U$7)+1,1)</f>
        <v/>
      </c>
      <c r="BP1515">
        <f>IF(1502&lt;$U$9,MOD(1502,$U$8)+1,1)</f>
        <v/>
      </c>
      <c r="BQ1515">
        <f>IF(1502&lt;$U$9,SUMPRODUCT(($D$10:$L$10&lt;&gt;"")*(($D$9:$L$9+INT(($S$12:$AA$12+INDEX($AJ$13:$AR$162,BN1515,0)+INDEX($AT$13:$BB$162,BO1515,0)+INDEX($BD$13:$BL$162,BP1515,0))/100))&gt;=$D$10:$L$10)),0)</f>
        <v/>
      </c>
      <c r="BR1515">
        <f>IF(1502&lt;$U$9,SUMPRODUCT(($D$10:$L$10&lt;&gt;"")*(($D$10:$L$10-($D$9:$L$9+INT(($S$12:$AA$12+INDEX($AJ$13:$AR$162,BN1515,0)+INDEX($AT$13:$BB$162,BO1515,0)+INDEX($BD$13:$BL$162,BP1515,0))/100)))&gt;0)*($D$10:$L$10-($D$9:$L$9+INT(($S$12:$AA$12+INDEX($AJ$13:$AR$162,BN1515,0)+INDEX($AT$13:$BB$162,BO1515,0)+INDEX($BD$13:$BL$162,BP1515,0))/100)))),0)</f>
        <v/>
      </c>
      <c r="BS1515">
        <f>IF(1502&lt;$U$9,SUMPRODUCT(($D$9:$L$9+INT(($S$12:$AA$12+INDEX($AJ$13:$AR$162,BN1515,0)+INDEX($AT$13:$BB$162,BO1515,0)+INDEX($BD$13:$BL$162,BP1515,0))/100))),0)</f>
        <v/>
      </c>
      <c r="BT1515">
        <f>IF(AND(1502&lt;$U$9,$W$5),BQ1515*1000000-MIN(BR1515,999)*1000+BS1515-1502/100000,-1000000000-1502)</f>
        <v/>
      </c>
    </row>
    <row r="1516">
      <c r="BN1516">
        <f>IF(1503&lt;$U$9,INT(1503/($U$7*$U$8))+1,1)</f>
        <v/>
      </c>
      <c r="BO1516">
        <f>IF(1503&lt;$U$9,MOD(INT(1503/$U$8),$U$7)+1,1)</f>
        <v/>
      </c>
      <c r="BP1516">
        <f>IF(1503&lt;$U$9,MOD(1503,$U$8)+1,1)</f>
        <v/>
      </c>
      <c r="BQ1516">
        <f>IF(1503&lt;$U$9,SUMPRODUCT(($D$10:$L$10&lt;&gt;"")*(($D$9:$L$9+INT(($S$12:$AA$12+INDEX($AJ$13:$AR$162,BN1516,0)+INDEX($AT$13:$BB$162,BO1516,0)+INDEX($BD$13:$BL$162,BP1516,0))/100))&gt;=$D$10:$L$10)),0)</f>
        <v/>
      </c>
      <c r="BR1516">
        <f>IF(1503&lt;$U$9,SUMPRODUCT(($D$10:$L$10&lt;&gt;"")*(($D$10:$L$10-($D$9:$L$9+INT(($S$12:$AA$12+INDEX($AJ$13:$AR$162,BN1516,0)+INDEX($AT$13:$BB$162,BO1516,0)+INDEX($BD$13:$BL$162,BP1516,0))/100)))&gt;0)*($D$10:$L$10-($D$9:$L$9+INT(($S$12:$AA$12+INDEX($AJ$13:$AR$162,BN1516,0)+INDEX($AT$13:$BB$162,BO1516,0)+INDEX($BD$13:$BL$162,BP1516,0))/100)))),0)</f>
        <v/>
      </c>
      <c r="BS1516">
        <f>IF(1503&lt;$U$9,SUMPRODUCT(($D$9:$L$9+INT(($S$12:$AA$12+INDEX($AJ$13:$AR$162,BN1516,0)+INDEX($AT$13:$BB$162,BO1516,0)+INDEX($BD$13:$BL$162,BP1516,0))/100))),0)</f>
        <v/>
      </c>
      <c r="BT1516">
        <f>IF(AND(1503&lt;$U$9,$W$5),BQ1516*1000000-MIN(BR1516,999)*1000+BS1516-1503/100000,-1000000000-1503)</f>
        <v/>
      </c>
    </row>
    <row r="1517">
      <c r="BN1517">
        <f>IF(1504&lt;$U$9,INT(1504/($U$7*$U$8))+1,1)</f>
        <v/>
      </c>
      <c r="BO1517">
        <f>IF(1504&lt;$U$9,MOD(INT(1504/$U$8),$U$7)+1,1)</f>
        <v/>
      </c>
      <c r="BP1517">
        <f>IF(1504&lt;$U$9,MOD(1504,$U$8)+1,1)</f>
        <v/>
      </c>
      <c r="BQ1517">
        <f>IF(1504&lt;$U$9,SUMPRODUCT(($D$10:$L$10&lt;&gt;"")*(($D$9:$L$9+INT(($S$12:$AA$12+INDEX($AJ$13:$AR$162,BN1517,0)+INDEX($AT$13:$BB$162,BO1517,0)+INDEX($BD$13:$BL$162,BP1517,0))/100))&gt;=$D$10:$L$10)),0)</f>
        <v/>
      </c>
      <c r="BR1517">
        <f>IF(1504&lt;$U$9,SUMPRODUCT(($D$10:$L$10&lt;&gt;"")*(($D$10:$L$10-($D$9:$L$9+INT(($S$12:$AA$12+INDEX($AJ$13:$AR$162,BN1517,0)+INDEX($AT$13:$BB$162,BO1517,0)+INDEX($BD$13:$BL$162,BP1517,0))/100)))&gt;0)*($D$10:$L$10-($D$9:$L$9+INT(($S$12:$AA$12+INDEX($AJ$13:$AR$162,BN1517,0)+INDEX($AT$13:$BB$162,BO1517,0)+INDEX($BD$13:$BL$162,BP1517,0))/100)))),0)</f>
        <v/>
      </c>
      <c r="BS1517">
        <f>IF(1504&lt;$U$9,SUMPRODUCT(($D$9:$L$9+INT(($S$12:$AA$12+INDEX($AJ$13:$AR$162,BN1517,0)+INDEX($AT$13:$BB$162,BO1517,0)+INDEX($BD$13:$BL$162,BP1517,0))/100))),0)</f>
        <v/>
      </c>
      <c r="BT1517">
        <f>IF(AND(1504&lt;$U$9,$W$5),BQ1517*1000000-MIN(BR1517,999)*1000+BS1517-1504/100000,-1000000000-1504)</f>
        <v/>
      </c>
    </row>
    <row r="1518">
      <c r="BN1518">
        <f>IF(1505&lt;$U$9,INT(1505/($U$7*$U$8))+1,1)</f>
        <v/>
      </c>
      <c r="BO1518">
        <f>IF(1505&lt;$U$9,MOD(INT(1505/$U$8),$U$7)+1,1)</f>
        <v/>
      </c>
      <c r="BP1518">
        <f>IF(1505&lt;$U$9,MOD(1505,$U$8)+1,1)</f>
        <v/>
      </c>
      <c r="BQ1518">
        <f>IF(1505&lt;$U$9,SUMPRODUCT(($D$10:$L$10&lt;&gt;"")*(($D$9:$L$9+INT(($S$12:$AA$12+INDEX($AJ$13:$AR$162,BN1518,0)+INDEX($AT$13:$BB$162,BO1518,0)+INDEX($BD$13:$BL$162,BP1518,0))/100))&gt;=$D$10:$L$10)),0)</f>
        <v/>
      </c>
      <c r="BR1518">
        <f>IF(1505&lt;$U$9,SUMPRODUCT(($D$10:$L$10&lt;&gt;"")*(($D$10:$L$10-($D$9:$L$9+INT(($S$12:$AA$12+INDEX($AJ$13:$AR$162,BN1518,0)+INDEX($AT$13:$BB$162,BO1518,0)+INDEX($BD$13:$BL$162,BP1518,0))/100)))&gt;0)*($D$10:$L$10-($D$9:$L$9+INT(($S$12:$AA$12+INDEX($AJ$13:$AR$162,BN1518,0)+INDEX($AT$13:$BB$162,BO1518,0)+INDEX($BD$13:$BL$162,BP1518,0))/100)))),0)</f>
        <v/>
      </c>
      <c r="BS1518">
        <f>IF(1505&lt;$U$9,SUMPRODUCT(($D$9:$L$9+INT(($S$12:$AA$12+INDEX($AJ$13:$AR$162,BN1518,0)+INDEX($AT$13:$BB$162,BO1518,0)+INDEX($BD$13:$BL$162,BP1518,0))/100))),0)</f>
        <v/>
      </c>
      <c r="BT1518">
        <f>IF(AND(1505&lt;$U$9,$W$5),BQ1518*1000000-MIN(BR1518,999)*1000+BS1518-1505/100000,-1000000000-1505)</f>
        <v/>
      </c>
    </row>
    <row r="1519">
      <c r="BN1519">
        <f>IF(1506&lt;$U$9,INT(1506/($U$7*$U$8))+1,1)</f>
        <v/>
      </c>
      <c r="BO1519">
        <f>IF(1506&lt;$U$9,MOD(INT(1506/$U$8),$U$7)+1,1)</f>
        <v/>
      </c>
      <c r="BP1519">
        <f>IF(1506&lt;$U$9,MOD(1506,$U$8)+1,1)</f>
        <v/>
      </c>
      <c r="BQ1519">
        <f>IF(1506&lt;$U$9,SUMPRODUCT(($D$10:$L$10&lt;&gt;"")*(($D$9:$L$9+INT(($S$12:$AA$12+INDEX($AJ$13:$AR$162,BN1519,0)+INDEX($AT$13:$BB$162,BO1519,0)+INDEX($BD$13:$BL$162,BP1519,0))/100))&gt;=$D$10:$L$10)),0)</f>
        <v/>
      </c>
      <c r="BR1519">
        <f>IF(1506&lt;$U$9,SUMPRODUCT(($D$10:$L$10&lt;&gt;"")*(($D$10:$L$10-($D$9:$L$9+INT(($S$12:$AA$12+INDEX($AJ$13:$AR$162,BN1519,0)+INDEX($AT$13:$BB$162,BO1519,0)+INDEX($BD$13:$BL$162,BP1519,0))/100)))&gt;0)*($D$10:$L$10-($D$9:$L$9+INT(($S$12:$AA$12+INDEX($AJ$13:$AR$162,BN1519,0)+INDEX($AT$13:$BB$162,BO1519,0)+INDEX($BD$13:$BL$162,BP1519,0))/100)))),0)</f>
        <v/>
      </c>
      <c r="BS1519">
        <f>IF(1506&lt;$U$9,SUMPRODUCT(($D$9:$L$9+INT(($S$12:$AA$12+INDEX($AJ$13:$AR$162,BN1519,0)+INDEX($AT$13:$BB$162,BO1519,0)+INDEX($BD$13:$BL$162,BP1519,0))/100))),0)</f>
        <v/>
      </c>
      <c r="BT1519">
        <f>IF(AND(1506&lt;$U$9,$W$5),BQ1519*1000000-MIN(BR1519,999)*1000+BS1519-1506/100000,-1000000000-1506)</f>
        <v/>
      </c>
    </row>
    <row r="1520">
      <c r="BN1520">
        <f>IF(1507&lt;$U$9,INT(1507/($U$7*$U$8))+1,1)</f>
        <v/>
      </c>
      <c r="BO1520">
        <f>IF(1507&lt;$U$9,MOD(INT(1507/$U$8),$U$7)+1,1)</f>
        <v/>
      </c>
      <c r="BP1520">
        <f>IF(1507&lt;$U$9,MOD(1507,$U$8)+1,1)</f>
        <v/>
      </c>
      <c r="BQ1520">
        <f>IF(1507&lt;$U$9,SUMPRODUCT(($D$10:$L$10&lt;&gt;"")*(($D$9:$L$9+INT(($S$12:$AA$12+INDEX($AJ$13:$AR$162,BN1520,0)+INDEX($AT$13:$BB$162,BO1520,0)+INDEX($BD$13:$BL$162,BP1520,0))/100))&gt;=$D$10:$L$10)),0)</f>
        <v/>
      </c>
      <c r="BR1520">
        <f>IF(1507&lt;$U$9,SUMPRODUCT(($D$10:$L$10&lt;&gt;"")*(($D$10:$L$10-($D$9:$L$9+INT(($S$12:$AA$12+INDEX($AJ$13:$AR$162,BN1520,0)+INDEX($AT$13:$BB$162,BO1520,0)+INDEX($BD$13:$BL$162,BP1520,0))/100)))&gt;0)*($D$10:$L$10-($D$9:$L$9+INT(($S$12:$AA$12+INDEX($AJ$13:$AR$162,BN1520,0)+INDEX($AT$13:$BB$162,BO1520,0)+INDEX($BD$13:$BL$162,BP1520,0))/100)))),0)</f>
        <v/>
      </c>
      <c r="BS1520">
        <f>IF(1507&lt;$U$9,SUMPRODUCT(($D$9:$L$9+INT(($S$12:$AA$12+INDEX($AJ$13:$AR$162,BN1520,0)+INDEX($AT$13:$BB$162,BO1520,0)+INDEX($BD$13:$BL$162,BP1520,0))/100))),0)</f>
        <v/>
      </c>
      <c r="BT1520">
        <f>IF(AND(1507&lt;$U$9,$W$5),BQ1520*1000000-MIN(BR1520,999)*1000+BS1520-1507/100000,-1000000000-1507)</f>
        <v/>
      </c>
    </row>
    <row r="1521">
      <c r="BN1521">
        <f>IF(1508&lt;$U$9,INT(1508/($U$7*$U$8))+1,1)</f>
        <v/>
      </c>
      <c r="BO1521">
        <f>IF(1508&lt;$U$9,MOD(INT(1508/$U$8),$U$7)+1,1)</f>
        <v/>
      </c>
      <c r="BP1521">
        <f>IF(1508&lt;$U$9,MOD(1508,$U$8)+1,1)</f>
        <v/>
      </c>
      <c r="BQ1521">
        <f>IF(1508&lt;$U$9,SUMPRODUCT(($D$10:$L$10&lt;&gt;"")*(($D$9:$L$9+INT(($S$12:$AA$12+INDEX($AJ$13:$AR$162,BN1521,0)+INDEX($AT$13:$BB$162,BO1521,0)+INDEX($BD$13:$BL$162,BP1521,0))/100))&gt;=$D$10:$L$10)),0)</f>
        <v/>
      </c>
      <c r="BR1521">
        <f>IF(1508&lt;$U$9,SUMPRODUCT(($D$10:$L$10&lt;&gt;"")*(($D$10:$L$10-($D$9:$L$9+INT(($S$12:$AA$12+INDEX($AJ$13:$AR$162,BN1521,0)+INDEX($AT$13:$BB$162,BO1521,0)+INDEX($BD$13:$BL$162,BP1521,0))/100)))&gt;0)*($D$10:$L$10-($D$9:$L$9+INT(($S$12:$AA$12+INDEX($AJ$13:$AR$162,BN1521,0)+INDEX($AT$13:$BB$162,BO1521,0)+INDEX($BD$13:$BL$162,BP1521,0))/100)))),0)</f>
        <v/>
      </c>
      <c r="BS1521">
        <f>IF(1508&lt;$U$9,SUMPRODUCT(($D$9:$L$9+INT(($S$12:$AA$12+INDEX($AJ$13:$AR$162,BN1521,0)+INDEX($AT$13:$BB$162,BO1521,0)+INDEX($BD$13:$BL$162,BP1521,0))/100))),0)</f>
        <v/>
      </c>
      <c r="BT1521">
        <f>IF(AND(1508&lt;$U$9,$W$5),BQ1521*1000000-MIN(BR1521,999)*1000+BS1521-1508/100000,-1000000000-1508)</f>
        <v/>
      </c>
    </row>
    <row r="1522">
      <c r="BN1522">
        <f>IF(1509&lt;$U$9,INT(1509/($U$7*$U$8))+1,1)</f>
        <v/>
      </c>
      <c r="BO1522">
        <f>IF(1509&lt;$U$9,MOD(INT(1509/$U$8),$U$7)+1,1)</f>
        <v/>
      </c>
      <c r="BP1522">
        <f>IF(1509&lt;$U$9,MOD(1509,$U$8)+1,1)</f>
        <v/>
      </c>
      <c r="BQ1522">
        <f>IF(1509&lt;$U$9,SUMPRODUCT(($D$10:$L$10&lt;&gt;"")*(($D$9:$L$9+INT(($S$12:$AA$12+INDEX($AJ$13:$AR$162,BN1522,0)+INDEX($AT$13:$BB$162,BO1522,0)+INDEX($BD$13:$BL$162,BP1522,0))/100))&gt;=$D$10:$L$10)),0)</f>
        <v/>
      </c>
      <c r="BR1522">
        <f>IF(1509&lt;$U$9,SUMPRODUCT(($D$10:$L$10&lt;&gt;"")*(($D$10:$L$10-($D$9:$L$9+INT(($S$12:$AA$12+INDEX($AJ$13:$AR$162,BN1522,0)+INDEX($AT$13:$BB$162,BO1522,0)+INDEX($BD$13:$BL$162,BP1522,0))/100)))&gt;0)*($D$10:$L$10-($D$9:$L$9+INT(($S$12:$AA$12+INDEX($AJ$13:$AR$162,BN1522,0)+INDEX($AT$13:$BB$162,BO1522,0)+INDEX($BD$13:$BL$162,BP1522,0))/100)))),0)</f>
        <v/>
      </c>
      <c r="BS1522">
        <f>IF(1509&lt;$U$9,SUMPRODUCT(($D$9:$L$9+INT(($S$12:$AA$12+INDEX($AJ$13:$AR$162,BN1522,0)+INDEX($AT$13:$BB$162,BO1522,0)+INDEX($BD$13:$BL$162,BP1522,0))/100))),0)</f>
        <v/>
      </c>
      <c r="BT1522">
        <f>IF(AND(1509&lt;$U$9,$W$5),BQ1522*1000000-MIN(BR1522,999)*1000+BS1522-1509/100000,-1000000000-1509)</f>
        <v/>
      </c>
    </row>
    <row r="1523">
      <c r="BN1523">
        <f>IF(1510&lt;$U$9,INT(1510/($U$7*$U$8))+1,1)</f>
        <v/>
      </c>
      <c r="BO1523">
        <f>IF(1510&lt;$U$9,MOD(INT(1510/$U$8),$U$7)+1,1)</f>
        <v/>
      </c>
      <c r="BP1523">
        <f>IF(1510&lt;$U$9,MOD(1510,$U$8)+1,1)</f>
        <v/>
      </c>
      <c r="BQ1523">
        <f>IF(1510&lt;$U$9,SUMPRODUCT(($D$10:$L$10&lt;&gt;"")*(($D$9:$L$9+INT(($S$12:$AA$12+INDEX($AJ$13:$AR$162,BN1523,0)+INDEX($AT$13:$BB$162,BO1523,0)+INDEX($BD$13:$BL$162,BP1523,0))/100))&gt;=$D$10:$L$10)),0)</f>
        <v/>
      </c>
      <c r="BR1523">
        <f>IF(1510&lt;$U$9,SUMPRODUCT(($D$10:$L$10&lt;&gt;"")*(($D$10:$L$10-($D$9:$L$9+INT(($S$12:$AA$12+INDEX($AJ$13:$AR$162,BN1523,0)+INDEX($AT$13:$BB$162,BO1523,0)+INDEX($BD$13:$BL$162,BP1523,0))/100)))&gt;0)*($D$10:$L$10-($D$9:$L$9+INT(($S$12:$AA$12+INDEX($AJ$13:$AR$162,BN1523,0)+INDEX($AT$13:$BB$162,BO1523,0)+INDEX($BD$13:$BL$162,BP1523,0))/100)))),0)</f>
        <v/>
      </c>
      <c r="BS1523">
        <f>IF(1510&lt;$U$9,SUMPRODUCT(($D$9:$L$9+INT(($S$12:$AA$12+INDEX($AJ$13:$AR$162,BN1523,0)+INDEX($AT$13:$BB$162,BO1523,0)+INDEX($BD$13:$BL$162,BP1523,0))/100))),0)</f>
        <v/>
      </c>
      <c r="BT1523">
        <f>IF(AND(1510&lt;$U$9,$W$5),BQ1523*1000000-MIN(BR1523,999)*1000+BS1523-1510/100000,-1000000000-1510)</f>
        <v/>
      </c>
    </row>
    <row r="1524">
      <c r="BN1524">
        <f>IF(1511&lt;$U$9,INT(1511/($U$7*$U$8))+1,1)</f>
        <v/>
      </c>
      <c r="BO1524">
        <f>IF(1511&lt;$U$9,MOD(INT(1511/$U$8),$U$7)+1,1)</f>
        <v/>
      </c>
      <c r="BP1524">
        <f>IF(1511&lt;$U$9,MOD(1511,$U$8)+1,1)</f>
        <v/>
      </c>
      <c r="BQ1524">
        <f>IF(1511&lt;$U$9,SUMPRODUCT(($D$10:$L$10&lt;&gt;"")*(($D$9:$L$9+INT(($S$12:$AA$12+INDEX($AJ$13:$AR$162,BN1524,0)+INDEX($AT$13:$BB$162,BO1524,0)+INDEX($BD$13:$BL$162,BP1524,0))/100))&gt;=$D$10:$L$10)),0)</f>
        <v/>
      </c>
      <c r="BR1524">
        <f>IF(1511&lt;$U$9,SUMPRODUCT(($D$10:$L$10&lt;&gt;"")*(($D$10:$L$10-($D$9:$L$9+INT(($S$12:$AA$12+INDEX($AJ$13:$AR$162,BN1524,0)+INDEX($AT$13:$BB$162,BO1524,0)+INDEX($BD$13:$BL$162,BP1524,0))/100)))&gt;0)*($D$10:$L$10-($D$9:$L$9+INT(($S$12:$AA$12+INDEX($AJ$13:$AR$162,BN1524,0)+INDEX($AT$13:$BB$162,BO1524,0)+INDEX($BD$13:$BL$162,BP1524,0))/100)))),0)</f>
        <v/>
      </c>
      <c r="BS1524">
        <f>IF(1511&lt;$U$9,SUMPRODUCT(($D$9:$L$9+INT(($S$12:$AA$12+INDEX($AJ$13:$AR$162,BN1524,0)+INDEX($AT$13:$BB$162,BO1524,0)+INDEX($BD$13:$BL$162,BP1524,0))/100))),0)</f>
        <v/>
      </c>
      <c r="BT1524">
        <f>IF(AND(1511&lt;$U$9,$W$5),BQ1524*1000000-MIN(BR1524,999)*1000+BS1524-1511/100000,-1000000000-1511)</f>
        <v/>
      </c>
    </row>
    <row r="1525">
      <c r="BN1525">
        <f>IF(1512&lt;$U$9,INT(1512/($U$7*$U$8))+1,1)</f>
        <v/>
      </c>
      <c r="BO1525">
        <f>IF(1512&lt;$U$9,MOD(INT(1512/$U$8),$U$7)+1,1)</f>
        <v/>
      </c>
      <c r="BP1525">
        <f>IF(1512&lt;$U$9,MOD(1512,$U$8)+1,1)</f>
        <v/>
      </c>
      <c r="BQ1525">
        <f>IF(1512&lt;$U$9,SUMPRODUCT(($D$10:$L$10&lt;&gt;"")*(($D$9:$L$9+INT(($S$12:$AA$12+INDEX($AJ$13:$AR$162,BN1525,0)+INDEX($AT$13:$BB$162,BO1525,0)+INDEX($BD$13:$BL$162,BP1525,0))/100))&gt;=$D$10:$L$10)),0)</f>
        <v/>
      </c>
      <c r="BR1525">
        <f>IF(1512&lt;$U$9,SUMPRODUCT(($D$10:$L$10&lt;&gt;"")*(($D$10:$L$10-($D$9:$L$9+INT(($S$12:$AA$12+INDEX($AJ$13:$AR$162,BN1525,0)+INDEX($AT$13:$BB$162,BO1525,0)+INDEX($BD$13:$BL$162,BP1525,0))/100)))&gt;0)*($D$10:$L$10-($D$9:$L$9+INT(($S$12:$AA$12+INDEX($AJ$13:$AR$162,BN1525,0)+INDEX($AT$13:$BB$162,BO1525,0)+INDEX($BD$13:$BL$162,BP1525,0))/100)))),0)</f>
        <v/>
      </c>
      <c r="BS1525">
        <f>IF(1512&lt;$U$9,SUMPRODUCT(($D$9:$L$9+INT(($S$12:$AA$12+INDEX($AJ$13:$AR$162,BN1525,0)+INDEX($AT$13:$BB$162,BO1525,0)+INDEX($BD$13:$BL$162,BP1525,0))/100))),0)</f>
        <v/>
      </c>
      <c r="BT1525">
        <f>IF(AND(1512&lt;$U$9,$W$5),BQ1525*1000000-MIN(BR1525,999)*1000+BS1525-1512/100000,-1000000000-1512)</f>
        <v/>
      </c>
    </row>
    <row r="1526">
      <c r="BN1526">
        <f>IF(1513&lt;$U$9,INT(1513/($U$7*$U$8))+1,1)</f>
        <v/>
      </c>
      <c r="BO1526">
        <f>IF(1513&lt;$U$9,MOD(INT(1513/$U$8),$U$7)+1,1)</f>
        <v/>
      </c>
      <c r="BP1526">
        <f>IF(1513&lt;$U$9,MOD(1513,$U$8)+1,1)</f>
        <v/>
      </c>
      <c r="BQ1526">
        <f>IF(1513&lt;$U$9,SUMPRODUCT(($D$10:$L$10&lt;&gt;"")*(($D$9:$L$9+INT(($S$12:$AA$12+INDEX($AJ$13:$AR$162,BN1526,0)+INDEX($AT$13:$BB$162,BO1526,0)+INDEX($BD$13:$BL$162,BP1526,0))/100))&gt;=$D$10:$L$10)),0)</f>
        <v/>
      </c>
      <c r="BR1526">
        <f>IF(1513&lt;$U$9,SUMPRODUCT(($D$10:$L$10&lt;&gt;"")*(($D$10:$L$10-($D$9:$L$9+INT(($S$12:$AA$12+INDEX($AJ$13:$AR$162,BN1526,0)+INDEX($AT$13:$BB$162,BO1526,0)+INDEX($BD$13:$BL$162,BP1526,0))/100)))&gt;0)*($D$10:$L$10-($D$9:$L$9+INT(($S$12:$AA$12+INDEX($AJ$13:$AR$162,BN1526,0)+INDEX($AT$13:$BB$162,BO1526,0)+INDEX($BD$13:$BL$162,BP1526,0))/100)))),0)</f>
        <v/>
      </c>
      <c r="BS1526">
        <f>IF(1513&lt;$U$9,SUMPRODUCT(($D$9:$L$9+INT(($S$12:$AA$12+INDEX($AJ$13:$AR$162,BN1526,0)+INDEX($AT$13:$BB$162,BO1526,0)+INDEX($BD$13:$BL$162,BP1526,0))/100))),0)</f>
        <v/>
      </c>
      <c r="BT1526">
        <f>IF(AND(1513&lt;$U$9,$W$5),BQ1526*1000000-MIN(BR1526,999)*1000+BS1526-1513/100000,-1000000000-1513)</f>
        <v/>
      </c>
    </row>
    <row r="1527">
      <c r="BN1527">
        <f>IF(1514&lt;$U$9,INT(1514/($U$7*$U$8))+1,1)</f>
        <v/>
      </c>
      <c r="BO1527">
        <f>IF(1514&lt;$U$9,MOD(INT(1514/$U$8),$U$7)+1,1)</f>
        <v/>
      </c>
      <c r="BP1527">
        <f>IF(1514&lt;$U$9,MOD(1514,$U$8)+1,1)</f>
        <v/>
      </c>
      <c r="BQ1527">
        <f>IF(1514&lt;$U$9,SUMPRODUCT(($D$10:$L$10&lt;&gt;"")*(($D$9:$L$9+INT(($S$12:$AA$12+INDEX($AJ$13:$AR$162,BN1527,0)+INDEX($AT$13:$BB$162,BO1527,0)+INDEX($BD$13:$BL$162,BP1527,0))/100))&gt;=$D$10:$L$10)),0)</f>
        <v/>
      </c>
      <c r="BR1527">
        <f>IF(1514&lt;$U$9,SUMPRODUCT(($D$10:$L$10&lt;&gt;"")*(($D$10:$L$10-($D$9:$L$9+INT(($S$12:$AA$12+INDEX($AJ$13:$AR$162,BN1527,0)+INDEX($AT$13:$BB$162,BO1527,0)+INDEX($BD$13:$BL$162,BP1527,0))/100)))&gt;0)*($D$10:$L$10-($D$9:$L$9+INT(($S$12:$AA$12+INDEX($AJ$13:$AR$162,BN1527,0)+INDEX($AT$13:$BB$162,BO1527,0)+INDEX($BD$13:$BL$162,BP1527,0))/100)))),0)</f>
        <v/>
      </c>
      <c r="BS1527">
        <f>IF(1514&lt;$U$9,SUMPRODUCT(($D$9:$L$9+INT(($S$12:$AA$12+INDEX($AJ$13:$AR$162,BN1527,0)+INDEX($AT$13:$BB$162,BO1527,0)+INDEX($BD$13:$BL$162,BP1527,0))/100))),0)</f>
        <v/>
      </c>
      <c r="BT1527">
        <f>IF(AND(1514&lt;$U$9,$W$5),BQ1527*1000000-MIN(BR1527,999)*1000+BS1527-1514/100000,-1000000000-1514)</f>
        <v/>
      </c>
    </row>
    <row r="1528">
      <c r="BN1528">
        <f>IF(1515&lt;$U$9,INT(1515/($U$7*$U$8))+1,1)</f>
        <v/>
      </c>
      <c r="BO1528">
        <f>IF(1515&lt;$U$9,MOD(INT(1515/$U$8),$U$7)+1,1)</f>
        <v/>
      </c>
      <c r="BP1528">
        <f>IF(1515&lt;$U$9,MOD(1515,$U$8)+1,1)</f>
        <v/>
      </c>
      <c r="BQ1528">
        <f>IF(1515&lt;$U$9,SUMPRODUCT(($D$10:$L$10&lt;&gt;"")*(($D$9:$L$9+INT(($S$12:$AA$12+INDEX($AJ$13:$AR$162,BN1528,0)+INDEX($AT$13:$BB$162,BO1528,0)+INDEX($BD$13:$BL$162,BP1528,0))/100))&gt;=$D$10:$L$10)),0)</f>
        <v/>
      </c>
      <c r="BR1528">
        <f>IF(1515&lt;$U$9,SUMPRODUCT(($D$10:$L$10&lt;&gt;"")*(($D$10:$L$10-($D$9:$L$9+INT(($S$12:$AA$12+INDEX($AJ$13:$AR$162,BN1528,0)+INDEX($AT$13:$BB$162,BO1528,0)+INDEX($BD$13:$BL$162,BP1528,0))/100)))&gt;0)*($D$10:$L$10-($D$9:$L$9+INT(($S$12:$AA$12+INDEX($AJ$13:$AR$162,BN1528,0)+INDEX($AT$13:$BB$162,BO1528,0)+INDEX($BD$13:$BL$162,BP1528,0))/100)))),0)</f>
        <v/>
      </c>
      <c r="BS1528">
        <f>IF(1515&lt;$U$9,SUMPRODUCT(($D$9:$L$9+INT(($S$12:$AA$12+INDEX($AJ$13:$AR$162,BN1528,0)+INDEX($AT$13:$BB$162,BO1528,0)+INDEX($BD$13:$BL$162,BP1528,0))/100))),0)</f>
        <v/>
      </c>
      <c r="BT1528">
        <f>IF(AND(1515&lt;$U$9,$W$5),BQ1528*1000000-MIN(BR1528,999)*1000+BS1528-1515/100000,-1000000000-1515)</f>
        <v/>
      </c>
    </row>
    <row r="1529">
      <c r="BN1529">
        <f>IF(1516&lt;$U$9,INT(1516/($U$7*$U$8))+1,1)</f>
        <v/>
      </c>
      <c r="BO1529">
        <f>IF(1516&lt;$U$9,MOD(INT(1516/$U$8),$U$7)+1,1)</f>
        <v/>
      </c>
      <c r="BP1529">
        <f>IF(1516&lt;$U$9,MOD(1516,$U$8)+1,1)</f>
        <v/>
      </c>
      <c r="BQ1529">
        <f>IF(1516&lt;$U$9,SUMPRODUCT(($D$10:$L$10&lt;&gt;"")*(($D$9:$L$9+INT(($S$12:$AA$12+INDEX($AJ$13:$AR$162,BN1529,0)+INDEX($AT$13:$BB$162,BO1529,0)+INDEX($BD$13:$BL$162,BP1529,0))/100))&gt;=$D$10:$L$10)),0)</f>
        <v/>
      </c>
      <c r="BR1529">
        <f>IF(1516&lt;$U$9,SUMPRODUCT(($D$10:$L$10&lt;&gt;"")*(($D$10:$L$10-($D$9:$L$9+INT(($S$12:$AA$12+INDEX($AJ$13:$AR$162,BN1529,0)+INDEX($AT$13:$BB$162,BO1529,0)+INDEX($BD$13:$BL$162,BP1529,0))/100)))&gt;0)*($D$10:$L$10-($D$9:$L$9+INT(($S$12:$AA$12+INDEX($AJ$13:$AR$162,BN1529,0)+INDEX($AT$13:$BB$162,BO1529,0)+INDEX($BD$13:$BL$162,BP1529,0))/100)))),0)</f>
        <v/>
      </c>
      <c r="BS1529">
        <f>IF(1516&lt;$U$9,SUMPRODUCT(($D$9:$L$9+INT(($S$12:$AA$12+INDEX($AJ$13:$AR$162,BN1529,0)+INDEX($AT$13:$BB$162,BO1529,0)+INDEX($BD$13:$BL$162,BP1529,0))/100))),0)</f>
        <v/>
      </c>
      <c r="BT1529">
        <f>IF(AND(1516&lt;$U$9,$W$5),BQ1529*1000000-MIN(BR1529,999)*1000+BS1529-1516/100000,-1000000000-1516)</f>
        <v/>
      </c>
    </row>
    <row r="1530">
      <c r="BN1530">
        <f>IF(1517&lt;$U$9,INT(1517/($U$7*$U$8))+1,1)</f>
        <v/>
      </c>
      <c r="BO1530">
        <f>IF(1517&lt;$U$9,MOD(INT(1517/$U$8),$U$7)+1,1)</f>
        <v/>
      </c>
      <c r="BP1530">
        <f>IF(1517&lt;$U$9,MOD(1517,$U$8)+1,1)</f>
        <v/>
      </c>
      <c r="BQ1530">
        <f>IF(1517&lt;$U$9,SUMPRODUCT(($D$10:$L$10&lt;&gt;"")*(($D$9:$L$9+INT(($S$12:$AA$12+INDEX($AJ$13:$AR$162,BN1530,0)+INDEX($AT$13:$BB$162,BO1530,0)+INDEX($BD$13:$BL$162,BP1530,0))/100))&gt;=$D$10:$L$10)),0)</f>
        <v/>
      </c>
      <c r="BR1530">
        <f>IF(1517&lt;$U$9,SUMPRODUCT(($D$10:$L$10&lt;&gt;"")*(($D$10:$L$10-($D$9:$L$9+INT(($S$12:$AA$12+INDEX($AJ$13:$AR$162,BN1530,0)+INDEX($AT$13:$BB$162,BO1530,0)+INDEX($BD$13:$BL$162,BP1530,0))/100)))&gt;0)*($D$10:$L$10-($D$9:$L$9+INT(($S$12:$AA$12+INDEX($AJ$13:$AR$162,BN1530,0)+INDEX($AT$13:$BB$162,BO1530,0)+INDEX($BD$13:$BL$162,BP1530,0))/100)))),0)</f>
        <v/>
      </c>
      <c r="BS1530">
        <f>IF(1517&lt;$U$9,SUMPRODUCT(($D$9:$L$9+INT(($S$12:$AA$12+INDEX($AJ$13:$AR$162,BN1530,0)+INDEX($AT$13:$BB$162,BO1530,0)+INDEX($BD$13:$BL$162,BP1530,0))/100))),0)</f>
        <v/>
      </c>
      <c r="BT1530">
        <f>IF(AND(1517&lt;$U$9,$W$5),BQ1530*1000000-MIN(BR1530,999)*1000+BS1530-1517/100000,-1000000000-1517)</f>
        <v/>
      </c>
    </row>
    <row r="1531">
      <c r="BN1531">
        <f>IF(1518&lt;$U$9,INT(1518/($U$7*$U$8))+1,1)</f>
        <v/>
      </c>
      <c r="BO1531">
        <f>IF(1518&lt;$U$9,MOD(INT(1518/$U$8),$U$7)+1,1)</f>
        <v/>
      </c>
      <c r="BP1531">
        <f>IF(1518&lt;$U$9,MOD(1518,$U$8)+1,1)</f>
        <v/>
      </c>
      <c r="BQ1531">
        <f>IF(1518&lt;$U$9,SUMPRODUCT(($D$10:$L$10&lt;&gt;"")*(($D$9:$L$9+INT(($S$12:$AA$12+INDEX($AJ$13:$AR$162,BN1531,0)+INDEX($AT$13:$BB$162,BO1531,0)+INDEX($BD$13:$BL$162,BP1531,0))/100))&gt;=$D$10:$L$10)),0)</f>
        <v/>
      </c>
      <c r="BR1531">
        <f>IF(1518&lt;$U$9,SUMPRODUCT(($D$10:$L$10&lt;&gt;"")*(($D$10:$L$10-($D$9:$L$9+INT(($S$12:$AA$12+INDEX($AJ$13:$AR$162,BN1531,0)+INDEX($AT$13:$BB$162,BO1531,0)+INDEX($BD$13:$BL$162,BP1531,0))/100)))&gt;0)*($D$10:$L$10-($D$9:$L$9+INT(($S$12:$AA$12+INDEX($AJ$13:$AR$162,BN1531,0)+INDEX($AT$13:$BB$162,BO1531,0)+INDEX($BD$13:$BL$162,BP1531,0))/100)))),0)</f>
        <v/>
      </c>
      <c r="BS1531">
        <f>IF(1518&lt;$U$9,SUMPRODUCT(($D$9:$L$9+INT(($S$12:$AA$12+INDEX($AJ$13:$AR$162,BN1531,0)+INDEX($AT$13:$BB$162,BO1531,0)+INDEX($BD$13:$BL$162,BP1531,0))/100))),0)</f>
        <v/>
      </c>
      <c r="BT1531">
        <f>IF(AND(1518&lt;$U$9,$W$5),BQ1531*1000000-MIN(BR1531,999)*1000+BS1531-1518/100000,-1000000000-1518)</f>
        <v/>
      </c>
    </row>
    <row r="1532">
      <c r="BN1532">
        <f>IF(1519&lt;$U$9,INT(1519/($U$7*$U$8))+1,1)</f>
        <v/>
      </c>
      <c r="BO1532">
        <f>IF(1519&lt;$U$9,MOD(INT(1519/$U$8),$U$7)+1,1)</f>
        <v/>
      </c>
      <c r="BP1532">
        <f>IF(1519&lt;$U$9,MOD(1519,$U$8)+1,1)</f>
        <v/>
      </c>
      <c r="BQ1532">
        <f>IF(1519&lt;$U$9,SUMPRODUCT(($D$10:$L$10&lt;&gt;"")*(($D$9:$L$9+INT(($S$12:$AA$12+INDEX($AJ$13:$AR$162,BN1532,0)+INDEX($AT$13:$BB$162,BO1532,0)+INDEX($BD$13:$BL$162,BP1532,0))/100))&gt;=$D$10:$L$10)),0)</f>
        <v/>
      </c>
      <c r="BR1532">
        <f>IF(1519&lt;$U$9,SUMPRODUCT(($D$10:$L$10&lt;&gt;"")*(($D$10:$L$10-($D$9:$L$9+INT(($S$12:$AA$12+INDEX($AJ$13:$AR$162,BN1532,0)+INDEX($AT$13:$BB$162,BO1532,0)+INDEX($BD$13:$BL$162,BP1532,0))/100)))&gt;0)*($D$10:$L$10-($D$9:$L$9+INT(($S$12:$AA$12+INDEX($AJ$13:$AR$162,BN1532,0)+INDEX($AT$13:$BB$162,BO1532,0)+INDEX($BD$13:$BL$162,BP1532,0))/100)))),0)</f>
        <v/>
      </c>
      <c r="BS1532">
        <f>IF(1519&lt;$U$9,SUMPRODUCT(($D$9:$L$9+INT(($S$12:$AA$12+INDEX($AJ$13:$AR$162,BN1532,0)+INDEX($AT$13:$BB$162,BO1532,0)+INDEX($BD$13:$BL$162,BP1532,0))/100))),0)</f>
        <v/>
      </c>
      <c r="BT1532">
        <f>IF(AND(1519&lt;$U$9,$W$5),BQ1532*1000000-MIN(BR1532,999)*1000+BS1532-1519/100000,-1000000000-1519)</f>
        <v/>
      </c>
    </row>
    <row r="1533">
      <c r="BN1533">
        <f>IF(1520&lt;$U$9,INT(1520/($U$7*$U$8))+1,1)</f>
        <v/>
      </c>
      <c r="BO1533">
        <f>IF(1520&lt;$U$9,MOD(INT(1520/$U$8),$U$7)+1,1)</f>
        <v/>
      </c>
      <c r="BP1533">
        <f>IF(1520&lt;$U$9,MOD(1520,$U$8)+1,1)</f>
        <v/>
      </c>
      <c r="BQ1533">
        <f>IF(1520&lt;$U$9,SUMPRODUCT(($D$10:$L$10&lt;&gt;"")*(($D$9:$L$9+INT(($S$12:$AA$12+INDEX($AJ$13:$AR$162,BN1533,0)+INDEX($AT$13:$BB$162,BO1533,0)+INDEX($BD$13:$BL$162,BP1533,0))/100))&gt;=$D$10:$L$10)),0)</f>
        <v/>
      </c>
      <c r="BR1533">
        <f>IF(1520&lt;$U$9,SUMPRODUCT(($D$10:$L$10&lt;&gt;"")*(($D$10:$L$10-($D$9:$L$9+INT(($S$12:$AA$12+INDEX($AJ$13:$AR$162,BN1533,0)+INDEX($AT$13:$BB$162,BO1533,0)+INDEX($BD$13:$BL$162,BP1533,0))/100)))&gt;0)*($D$10:$L$10-($D$9:$L$9+INT(($S$12:$AA$12+INDEX($AJ$13:$AR$162,BN1533,0)+INDEX($AT$13:$BB$162,BO1533,0)+INDEX($BD$13:$BL$162,BP1533,0))/100)))),0)</f>
        <v/>
      </c>
      <c r="BS1533">
        <f>IF(1520&lt;$U$9,SUMPRODUCT(($D$9:$L$9+INT(($S$12:$AA$12+INDEX($AJ$13:$AR$162,BN1533,0)+INDEX($AT$13:$BB$162,BO1533,0)+INDEX($BD$13:$BL$162,BP1533,0))/100))),0)</f>
        <v/>
      </c>
      <c r="BT1533">
        <f>IF(AND(1520&lt;$U$9,$W$5),BQ1533*1000000-MIN(BR1533,999)*1000+BS1533-1520/100000,-1000000000-1520)</f>
        <v/>
      </c>
    </row>
    <row r="1534">
      <c r="BN1534">
        <f>IF(1521&lt;$U$9,INT(1521/($U$7*$U$8))+1,1)</f>
        <v/>
      </c>
      <c r="BO1534">
        <f>IF(1521&lt;$U$9,MOD(INT(1521/$U$8),$U$7)+1,1)</f>
        <v/>
      </c>
      <c r="BP1534">
        <f>IF(1521&lt;$U$9,MOD(1521,$U$8)+1,1)</f>
        <v/>
      </c>
      <c r="BQ1534">
        <f>IF(1521&lt;$U$9,SUMPRODUCT(($D$10:$L$10&lt;&gt;"")*(($D$9:$L$9+INT(($S$12:$AA$12+INDEX($AJ$13:$AR$162,BN1534,0)+INDEX($AT$13:$BB$162,BO1534,0)+INDEX($BD$13:$BL$162,BP1534,0))/100))&gt;=$D$10:$L$10)),0)</f>
        <v/>
      </c>
      <c r="BR1534">
        <f>IF(1521&lt;$U$9,SUMPRODUCT(($D$10:$L$10&lt;&gt;"")*(($D$10:$L$10-($D$9:$L$9+INT(($S$12:$AA$12+INDEX($AJ$13:$AR$162,BN1534,0)+INDEX($AT$13:$BB$162,BO1534,0)+INDEX($BD$13:$BL$162,BP1534,0))/100)))&gt;0)*($D$10:$L$10-($D$9:$L$9+INT(($S$12:$AA$12+INDEX($AJ$13:$AR$162,BN1534,0)+INDEX($AT$13:$BB$162,BO1534,0)+INDEX($BD$13:$BL$162,BP1534,0))/100)))),0)</f>
        <v/>
      </c>
      <c r="BS1534">
        <f>IF(1521&lt;$U$9,SUMPRODUCT(($D$9:$L$9+INT(($S$12:$AA$12+INDEX($AJ$13:$AR$162,BN1534,0)+INDEX($AT$13:$BB$162,BO1534,0)+INDEX($BD$13:$BL$162,BP1534,0))/100))),0)</f>
        <v/>
      </c>
      <c r="BT1534">
        <f>IF(AND(1521&lt;$U$9,$W$5),BQ1534*1000000-MIN(BR1534,999)*1000+BS1534-1521/100000,-1000000000-1521)</f>
        <v/>
      </c>
    </row>
    <row r="1535">
      <c r="BN1535">
        <f>IF(1522&lt;$U$9,INT(1522/($U$7*$U$8))+1,1)</f>
        <v/>
      </c>
      <c r="BO1535">
        <f>IF(1522&lt;$U$9,MOD(INT(1522/$U$8),$U$7)+1,1)</f>
        <v/>
      </c>
      <c r="BP1535">
        <f>IF(1522&lt;$U$9,MOD(1522,$U$8)+1,1)</f>
        <v/>
      </c>
      <c r="BQ1535">
        <f>IF(1522&lt;$U$9,SUMPRODUCT(($D$10:$L$10&lt;&gt;"")*(($D$9:$L$9+INT(($S$12:$AA$12+INDEX($AJ$13:$AR$162,BN1535,0)+INDEX($AT$13:$BB$162,BO1535,0)+INDEX($BD$13:$BL$162,BP1535,0))/100))&gt;=$D$10:$L$10)),0)</f>
        <v/>
      </c>
      <c r="BR1535">
        <f>IF(1522&lt;$U$9,SUMPRODUCT(($D$10:$L$10&lt;&gt;"")*(($D$10:$L$10-($D$9:$L$9+INT(($S$12:$AA$12+INDEX($AJ$13:$AR$162,BN1535,0)+INDEX($AT$13:$BB$162,BO1535,0)+INDEX($BD$13:$BL$162,BP1535,0))/100)))&gt;0)*($D$10:$L$10-($D$9:$L$9+INT(($S$12:$AA$12+INDEX($AJ$13:$AR$162,BN1535,0)+INDEX($AT$13:$BB$162,BO1535,0)+INDEX($BD$13:$BL$162,BP1535,0))/100)))),0)</f>
        <v/>
      </c>
      <c r="BS1535">
        <f>IF(1522&lt;$U$9,SUMPRODUCT(($D$9:$L$9+INT(($S$12:$AA$12+INDEX($AJ$13:$AR$162,BN1535,0)+INDEX($AT$13:$BB$162,BO1535,0)+INDEX($BD$13:$BL$162,BP1535,0))/100))),0)</f>
        <v/>
      </c>
      <c r="BT1535">
        <f>IF(AND(1522&lt;$U$9,$W$5),BQ1535*1000000-MIN(BR1535,999)*1000+BS1535-1522/100000,-1000000000-1522)</f>
        <v/>
      </c>
    </row>
    <row r="1536">
      <c r="BN1536">
        <f>IF(1523&lt;$U$9,INT(1523/($U$7*$U$8))+1,1)</f>
        <v/>
      </c>
      <c r="BO1536">
        <f>IF(1523&lt;$U$9,MOD(INT(1523/$U$8),$U$7)+1,1)</f>
        <v/>
      </c>
      <c r="BP1536">
        <f>IF(1523&lt;$U$9,MOD(1523,$U$8)+1,1)</f>
        <v/>
      </c>
      <c r="BQ1536">
        <f>IF(1523&lt;$U$9,SUMPRODUCT(($D$10:$L$10&lt;&gt;"")*(($D$9:$L$9+INT(($S$12:$AA$12+INDEX($AJ$13:$AR$162,BN1536,0)+INDEX($AT$13:$BB$162,BO1536,0)+INDEX($BD$13:$BL$162,BP1536,0))/100))&gt;=$D$10:$L$10)),0)</f>
        <v/>
      </c>
      <c r="BR1536">
        <f>IF(1523&lt;$U$9,SUMPRODUCT(($D$10:$L$10&lt;&gt;"")*(($D$10:$L$10-($D$9:$L$9+INT(($S$12:$AA$12+INDEX($AJ$13:$AR$162,BN1536,0)+INDEX($AT$13:$BB$162,BO1536,0)+INDEX($BD$13:$BL$162,BP1536,0))/100)))&gt;0)*($D$10:$L$10-($D$9:$L$9+INT(($S$12:$AA$12+INDEX($AJ$13:$AR$162,BN1536,0)+INDEX($AT$13:$BB$162,BO1536,0)+INDEX($BD$13:$BL$162,BP1536,0))/100)))),0)</f>
        <v/>
      </c>
      <c r="BS1536">
        <f>IF(1523&lt;$U$9,SUMPRODUCT(($D$9:$L$9+INT(($S$12:$AA$12+INDEX($AJ$13:$AR$162,BN1536,0)+INDEX($AT$13:$BB$162,BO1536,0)+INDEX($BD$13:$BL$162,BP1536,0))/100))),0)</f>
        <v/>
      </c>
      <c r="BT1536">
        <f>IF(AND(1523&lt;$U$9,$W$5),BQ1536*1000000-MIN(BR1536,999)*1000+BS1536-1523/100000,-1000000000-1523)</f>
        <v/>
      </c>
    </row>
    <row r="1537">
      <c r="BN1537">
        <f>IF(1524&lt;$U$9,INT(1524/($U$7*$U$8))+1,1)</f>
        <v/>
      </c>
      <c r="BO1537">
        <f>IF(1524&lt;$U$9,MOD(INT(1524/$U$8),$U$7)+1,1)</f>
        <v/>
      </c>
      <c r="BP1537">
        <f>IF(1524&lt;$U$9,MOD(1524,$U$8)+1,1)</f>
        <v/>
      </c>
      <c r="BQ1537">
        <f>IF(1524&lt;$U$9,SUMPRODUCT(($D$10:$L$10&lt;&gt;"")*(($D$9:$L$9+INT(($S$12:$AA$12+INDEX($AJ$13:$AR$162,BN1537,0)+INDEX($AT$13:$BB$162,BO1537,0)+INDEX($BD$13:$BL$162,BP1537,0))/100))&gt;=$D$10:$L$10)),0)</f>
        <v/>
      </c>
      <c r="BR1537">
        <f>IF(1524&lt;$U$9,SUMPRODUCT(($D$10:$L$10&lt;&gt;"")*(($D$10:$L$10-($D$9:$L$9+INT(($S$12:$AA$12+INDEX($AJ$13:$AR$162,BN1537,0)+INDEX($AT$13:$BB$162,BO1537,0)+INDEX($BD$13:$BL$162,BP1537,0))/100)))&gt;0)*($D$10:$L$10-($D$9:$L$9+INT(($S$12:$AA$12+INDEX($AJ$13:$AR$162,BN1537,0)+INDEX($AT$13:$BB$162,BO1537,0)+INDEX($BD$13:$BL$162,BP1537,0))/100)))),0)</f>
        <v/>
      </c>
      <c r="BS1537">
        <f>IF(1524&lt;$U$9,SUMPRODUCT(($D$9:$L$9+INT(($S$12:$AA$12+INDEX($AJ$13:$AR$162,BN1537,0)+INDEX($AT$13:$BB$162,BO1537,0)+INDEX($BD$13:$BL$162,BP1537,0))/100))),0)</f>
        <v/>
      </c>
      <c r="BT1537">
        <f>IF(AND(1524&lt;$U$9,$W$5),BQ1537*1000000-MIN(BR1537,999)*1000+BS1537-1524/100000,-1000000000-1524)</f>
        <v/>
      </c>
    </row>
    <row r="1538">
      <c r="BN1538">
        <f>IF(1525&lt;$U$9,INT(1525/($U$7*$U$8))+1,1)</f>
        <v/>
      </c>
      <c r="BO1538">
        <f>IF(1525&lt;$U$9,MOD(INT(1525/$U$8),$U$7)+1,1)</f>
        <v/>
      </c>
      <c r="BP1538">
        <f>IF(1525&lt;$U$9,MOD(1525,$U$8)+1,1)</f>
        <v/>
      </c>
      <c r="BQ1538">
        <f>IF(1525&lt;$U$9,SUMPRODUCT(($D$10:$L$10&lt;&gt;"")*(($D$9:$L$9+INT(($S$12:$AA$12+INDEX($AJ$13:$AR$162,BN1538,0)+INDEX($AT$13:$BB$162,BO1538,0)+INDEX($BD$13:$BL$162,BP1538,0))/100))&gt;=$D$10:$L$10)),0)</f>
        <v/>
      </c>
      <c r="BR1538">
        <f>IF(1525&lt;$U$9,SUMPRODUCT(($D$10:$L$10&lt;&gt;"")*(($D$10:$L$10-($D$9:$L$9+INT(($S$12:$AA$12+INDEX($AJ$13:$AR$162,BN1538,0)+INDEX($AT$13:$BB$162,BO1538,0)+INDEX($BD$13:$BL$162,BP1538,0))/100)))&gt;0)*($D$10:$L$10-($D$9:$L$9+INT(($S$12:$AA$12+INDEX($AJ$13:$AR$162,BN1538,0)+INDEX($AT$13:$BB$162,BO1538,0)+INDEX($BD$13:$BL$162,BP1538,0))/100)))),0)</f>
        <v/>
      </c>
      <c r="BS1538">
        <f>IF(1525&lt;$U$9,SUMPRODUCT(($D$9:$L$9+INT(($S$12:$AA$12+INDEX($AJ$13:$AR$162,BN1538,0)+INDEX($AT$13:$BB$162,BO1538,0)+INDEX($BD$13:$BL$162,BP1538,0))/100))),0)</f>
        <v/>
      </c>
      <c r="BT1538">
        <f>IF(AND(1525&lt;$U$9,$W$5),BQ1538*1000000-MIN(BR1538,999)*1000+BS1538-1525/100000,-1000000000-1525)</f>
        <v/>
      </c>
    </row>
    <row r="1539">
      <c r="BN1539">
        <f>IF(1526&lt;$U$9,INT(1526/($U$7*$U$8))+1,1)</f>
        <v/>
      </c>
      <c r="BO1539">
        <f>IF(1526&lt;$U$9,MOD(INT(1526/$U$8),$U$7)+1,1)</f>
        <v/>
      </c>
      <c r="BP1539">
        <f>IF(1526&lt;$U$9,MOD(1526,$U$8)+1,1)</f>
        <v/>
      </c>
      <c r="BQ1539">
        <f>IF(1526&lt;$U$9,SUMPRODUCT(($D$10:$L$10&lt;&gt;"")*(($D$9:$L$9+INT(($S$12:$AA$12+INDEX($AJ$13:$AR$162,BN1539,0)+INDEX($AT$13:$BB$162,BO1539,0)+INDEX($BD$13:$BL$162,BP1539,0))/100))&gt;=$D$10:$L$10)),0)</f>
        <v/>
      </c>
      <c r="BR1539">
        <f>IF(1526&lt;$U$9,SUMPRODUCT(($D$10:$L$10&lt;&gt;"")*(($D$10:$L$10-($D$9:$L$9+INT(($S$12:$AA$12+INDEX($AJ$13:$AR$162,BN1539,0)+INDEX($AT$13:$BB$162,BO1539,0)+INDEX($BD$13:$BL$162,BP1539,0))/100)))&gt;0)*($D$10:$L$10-($D$9:$L$9+INT(($S$12:$AA$12+INDEX($AJ$13:$AR$162,BN1539,0)+INDEX($AT$13:$BB$162,BO1539,0)+INDEX($BD$13:$BL$162,BP1539,0))/100)))),0)</f>
        <v/>
      </c>
      <c r="BS1539">
        <f>IF(1526&lt;$U$9,SUMPRODUCT(($D$9:$L$9+INT(($S$12:$AA$12+INDEX($AJ$13:$AR$162,BN1539,0)+INDEX($AT$13:$BB$162,BO1539,0)+INDEX($BD$13:$BL$162,BP1539,0))/100))),0)</f>
        <v/>
      </c>
      <c r="BT1539">
        <f>IF(AND(1526&lt;$U$9,$W$5),BQ1539*1000000-MIN(BR1539,999)*1000+BS1539-1526/100000,-1000000000-1526)</f>
        <v/>
      </c>
    </row>
    <row r="1540">
      <c r="BN1540">
        <f>IF(1527&lt;$U$9,INT(1527/($U$7*$U$8))+1,1)</f>
        <v/>
      </c>
      <c r="BO1540">
        <f>IF(1527&lt;$U$9,MOD(INT(1527/$U$8),$U$7)+1,1)</f>
        <v/>
      </c>
      <c r="BP1540">
        <f>IF(1527&lt;$U$9,MOD(1527,$U$8)+1,1)</f>
        <v/>
      </c>
      <c r="BQ1540">
        <f>IF(1527&lt;$U$9,SUMPRODUCT(($D$10:$L$10&lt;&gt;"")*(($D$9:$L$9+INT(($S$12:$AA$12+INDEX($AJ$13:$AR$162,BN1540,0)+INDEX($AT$13:$BB$162,BO1540,0)+INDEX($BD$13:$BL$162,BP1540,0))/100))&gt;=$D$10:$L$10)),0)</f>
        <v/>
      </c>
      <c r="BR1540">
        <f>IF(1527&lt;$U$9,SUMPRODUCT(($D$10:$L$10&lt;&gt;"")*(($D$10:$L$10-($D$9:$L$9+INT(($S$12:$AA$12+INDEX($AJ$13:$AR$162,BN1540,0)+INDEX($AT$13:$BB$162,BO1540,0)+INDEX($BD$13:$BL$162,BP1540,0))/100)))&gt;0)*($D$10:$L$10-($D$9:$L$9+INT(($S$12:$AA$12+INDEX($AJ$13:$AR$162,BN1540,0)+INDEX($AT$13:$BB$162,BO1540,0)+INDEX($BD$13:$BL$162,BP1540,0))/100)))),0)</f>
        <v/>
      </c>
      <c r="BS1540">
        <f>IF(1527&lt;$U$9,SUMPRODUCT(($D$9:$L$9+INT(($S$12:$AA$12+INDEX($AJ$13:$AR$162,BN1540,0)+INDEX($AT$13:$BB$162,BO1540,0)+INDEX($BD$13:$BL$162,BP1540,0))/100))),0)</f>
        <v/>
      </c>
      <c r="BT1540">
        <f>IF(AND(1527&lt;$U$9,$W$5),BQ1540*1000000-MIN(BR1540,999)*1000+BS1540-1527/100000,-1000000000-1527)</f>
        <v/>
      </c>
    </row>
    <row r="1541">
      <c r="BN1541">
        <f>IF(1528&lt;$U$9,INT(1528/($U$7*$U$8))+1,1)</f>
        <v/>
      </c>
      <c r="BO1541">
        <f>IF(1528&lt;$U$9,MOD(INT(1528/$U$8),$U$7)+1,1)</f>
        <v/>
      </c>
      <c r="BP1541">
        <f>IF(1528&lt;$U$9,MOD(1528,$U$8)+1,1)</f>
        <v/>
      </c>
      <c r="BQ1541">
        <f>IF(1528&lt;$U$9,SUMPRODUCT(($D$10:$L$10&lt;&gt;"")*(($D$9:$L$9+INT(($S$12:$AA$12+INDEX($AJ$13:$AR$162,BN1541,0)+INDEX($AT$13:$BB$162,BO1541,0)+INDEX($BD$13:$BL$162,BP1541,0))/100))&gt;=$D$10:$L$10)),0)</f>
        <v/>
      </c>
      <c r="BR1541">
        <f>IF(1528&lt;$U$9,SUMPRODUCT(($D$10:$L$10&lt;&gt;"")*(($D$10:$L$10-($D$9:$L$9+INT(($S$12:$AA$12+INDEX($AJ$13:$AR$162,BN1541,0)+INDEX($AT$13:$BB$162,BO1541,0)+INDEX($BD$13:$BL$162,BP1541,0))/100)))&gt;0)*($D$10:$L$10-($D$9:$L$9+INT(($S$12:$AA$12+INDEX($AJ$13:$AR$162,BN1541,0)+INDEX($AT$13:$BB$162,BO1541,0)+INDEX($BD$13:$BL$162,BP1541,0))/100)))),0)</f>
        <v/>
      </c>
      <c r="BS1541">
        <f>IF(1528&lt;$U$9,SUMPRODUCT(($D$9:$L$9+INT(($S$12:$AA$12+INDEX($AJ$13:$AR$162,BN1541,0)+INDEX($AT$13:$BB$162,BO1541,0)+INDEX($BD$13:$BL$162,BP1541,0))/100))),0)</f>
        <v/>
      </c>
      <c r="BT1541">
        <f>IF(AND(1528&lt;$U$9,$W$5),BQ1541*1000000-MIN(BR1541,999)*1000+BS1541-1528/100000,-1000000000-1528)</f>
        <v/>
      </c>
    </row>
    <row r="1542">
      <c r="BN1542">
        <f>IF(1529&lt;$U$9,INT(1529/($U$7*$U$8))+1,1)</f>
        <v/>
      </c>
      <c r="BO1542">
        <f>IF(1529&lt;$U$9,MOD(INT(1529/$U$8),$U$7)+1,1)</f>
        <v/>
      </c>
      <c r="BP1542">
        <f>IF(1529&lt;$U$9,MOD(1529,$U$8)+1,1)</f>
        <v/>
      </c>
      <c r="BQ1542">
        <f>IF(1529&lt;$U$9,SUMPRODUCT(($D$10:$L$10&lt;&gt;"")*(($D$9:$L$9+INT(($S$12:$AA$12+INDEX($AJ$13:$AR$162,BN1542,0)+INDEX($AT$13:$BB$162,BO1542,0)+INDEX($BD$13:$BL$162,BP1542,0))/100))&gt;=$D$10:$L$10)),0)</f>
        <v/>
      </c>
      <c r="BR1542">
        <f>IF(1529&lt;$U$9,SUMPRODUCT(($D$10:$L$10&lt;&gt;"")*(($D$10:$L$10-($D$9:$L$9+INT(($S$12:$AA$12+INDEX($AJ$13:$AR$162,BN1542,0)+INDEX($AT$13:$BB$162,BO1542,0)+INDEX($BD$13:$BL$162,BP1542,0))/100)))&gt;0)*($D$10:$L$10-($D$9:$L$9+INT(($S$12:$AA$12+INDEX($AJ$13:$AR$162,BN1542,0)+INDEX($AT$13:$BB$162,BO1542,0)+INDEX($BD$13:$BL$162,BP1542,0))/100)))),0)</f>
        <v/>
      </c>
      <c r="BS1542">
        <f>IF(1529&lt;$U$9,SUMPRODUCT(($D$9:$L$9+INT(($S$12:$AA$12+INDEX($AJ$13:$AR$162,BN1542,0)+INDEX($AT$13:$BB$162,BO1542,0)+INDEX($BD$13:$BL$162,BP1542,0))/100))),0)</f>
        <v/>
      </c>
      <c r="BT1542">
        <f>IF(AND(1529&lt;$U$9,$W$5),BQ1542*1000000-MIN(BR1542,999)*1000+BS1542-1529/100000,-1000000000-1529)</f>
        <v/>
      </c>
    </row>
    <row r="1543">
      <c r="BN1543">
        <f>IF(1530&lt;$U$9,INT(1530/($U$7*$U$8))+1,1)</f>
        <v/>
      </c>
      <c r="BO1543">
        <f>IF(1530&lt;$U$9,MOD(INT(1530/$U$8),$U$7)+1,1)</f>
        <v/>
      </c>
      <c r="BP1543">
        <f>IF(1530&lt;$U$9,MOD(1530,$U$8)+1,1)</f>
        <v/>
      </c>
      <c r="BQ1543">
        <f>IF(1530&lt;$U$9,SUMPRODUCT(($D$10:$L$10&lt;&gt;"")*(($D$9:$L$9+INT(($S$12:$AA$12+INDEX($AJ$13:$AR$162,BN1543,0)+INDEX($AT$13:$BB$162,BO1543,0)+INDEX($BD$13:$BL$162,BP1543,0))/100))&gt;=$D$10:$L$10)),0)</f>
        <v/>
      </c>
      <c r="BR1543">
        <f>IF(1530&lt;$U$9,SUMPRODUCT(($D$10:$L$10&lt;&gt;"")*(($D$10:$L$10-($D$9:$L$9+INT(($S$12:$AA$12+INDEX($AJ$13:$AR$162,BN1543,0)+INDEX($AT$13:$BB$162,BO1543,0)+INDEX($BD$13:$BL$162,BP1543,0))/100)))&gt;0)*($D$10:$L$10-($D$9:$L$9+INT(($S$12:$AA$12+INDEX($AJ$13:$AR$162,BN1543,0)+INDEX($AT$13:$BB$162,BO1543,0)+INDEX($BD$13:$BL$162,BP1543,0))/100)))),0)</f>
        <v/>
      </c>
      <c r="BS1543">
        <f>IF(1530&lt;$U$9,SUMPRODUCT(($D$9:$L$9+INT(($S$12:$AA$12+INDEX($AJ$13:$AR$162,BN1543,0)+INDEX($AT$13:$BB$162,BO1543,0)+INDEX($BD$13:$BL$162,BP1543,0))/100))),0)</f>
        <v/>
      </c>
      <c r="BT1543">
        <f>IF(AND(1530&lt;$U$9,$W$5),BQ1543*1000000-MIN(BR1543,999)*1000+BS1543-1530/100000,-1000000000-1530)</f>
        <v/>
      </c>
    </row>
    <row r="1544">
      <c r="BN1544">
        <f>IF(1531&lt;$U$9,INT(1531/($U$7*$U$8))+1,1)</f>
        <v/>
      </c>
      <c r="BO1544">
        <f>IF(1531&lt;$U$9,MOD(INT(1531/$U$8),$U$7)+1,1)</f>
        <v/>
      </c>
      <c r="BP1544">
        <f>IF(1531&lt;$U$9,MOD(1531,$U$8)+1,1)</f>
        <v/>
      </c>
      <c r="BQ1544">
        <f>IF(1531&lt;$U$9,SUMPRODUCT(($D$10:$L$10&lt;&gt;"")*(($D$9:$L$9+INT(($S$12:$AA$12+INDEX($AJ$13:$AR$162,BN1544,0)+INDEX($AT$13:$BB$162,BO1544,0)+INDEX($BD$13:$BL$162,BP1544,0))/100))&gt;=$D$10:$L$10)),0)</f>
        <v/>
      </c>
      <c r="BR1544">
        <f>IF(1531&lt;$U$9,SUMPRODUCT(($D$10:$L$10&lt;&gt;"")*(($D$10:$L$10-($D$9:$L$9+INT(($S$12:$AA$12+INDEX($AJ$13:$AR$162,BN1544,0)+INDEX($AT$13:$BB$162,BO1544,0)+INDEX($BD$13:$BL$162,BP1544,0))/100)))&gt;0)*($D$10:$L$10-($D$9:$L$9+INT(($S$12:$AA$12+INDEX($AJ$13:$AR$162,BN1544,0)+INDEX($AT$13:$BB$162,BO1544,0)+INDEX($BD$13:$BL$162,BP1544,0))/100)))),0)</f>
        <v/>
      </c>
      <c r="BS1544">
        <f>IF(1531&lt;$U$9,SUMPRODUCT(($D$9:$L$9+INT(($S$12:$AA$12+INDEX($AJ$13:$AR$162,BN1544,0)+INDEX($AT$13:$BB$162,BO1544,0)+INDEX($BD$13:$BL$162,BP1544,0))/100))),0)</f>
        <v/>
      </c>
      <c r="BT1544">
        <f>IF(AND(1531&lt;$U$9,$W$5),BQ1544*1000000-MIN(BR1544,999)*1000+BS1544-1531/100000,-1000000000-1531)</f>
        <v/>
      </c>
    </row>
    <row r="1545">
      <c r="BN1545">
        <f>IF(1532&lt;$U$9,INT(1532/($U$7*$U$8))+1,1)</f>
        <v/>
      </c>
      <c r="BO1545">
        <f>IF(1532&lt;$U$9,MOD(INT(1532/$U$8),$U$7)+1,1)</f>
        <v/>
      </c>
      <c r="BP1545">
        <f>IF(1532&lt;$U$9,MOD(1532,$U$8)+1,1)</f>
        <v/>
      </c>
      <c r="BQ1545">
        <f>IF(1532&lt;$U$9,SUMPRODUCT(($D$10:$L$10&lt;&gt;"")*(($D$9:$L$9+INT(($S$12:$AA$12+INDEX($AJ$13:$AR$162,BN1545,0)+INDEX($AT$13:$BB$162,BO1545,0)+INDEX($BD$13:$BL$162,BP1545,0))/100))&gt;=$D$10:$L$10)),0)</f>
        <v/>
      </c>
      <c r="BR1545">
        <f>IF(1532&lt;$U$9,SUMPRODUCT(($D$10:$L$10&lt;&gt;"")*(($D$10:$L$10-($D$9:$L$9+INT(($S$12:$AA$12+INDEX($AJ$13:$AR$162,BN1545,0)+INDEX($AT$13:$BB$162,BO1545,0)+INDEX($BD$13:$BL$162,BP1545,0))/100)))&gt;0)*($D$10:$L$10-($D$9:$L$9+INT(($S$12:$AA$12+INDEX($AJ$13:$AR$162,BN1545,0)+INDEX($AT$13:$BB$162,BO1545,0)+INDEX($BD$13:$BL$162,BP1545,0))/100)))),0)</f>
        <v/>
      </c>
      <c r="BS1545">
        <f>IF(1532&lt;$U$9,SUMPRODUCT(($D$9:$L$9+INT(($S$12:$AA$12+INDEX($AJ$13:$AR$162,BN1545,0)+INDEX($AT$13:$BB$162,BO1545,0)+INDEX($BD$13:$BL$162,BP1545,0))/100))),0)</f>
        <v/>
      </c>
      <c r="BT1545">
        <f>IF(AND(1532&lt;$U$9,$W$5),BQ1545*1000000-MIN(BR1545,999)*1000+BS1545-1532/100000,-1000000000-1532)</f>
        <v/>
      </c>
    </row>
    <row r="1546">
      <c r="BN1546">
        <f>IF(1533&lt;$U$9,INT(1533/($U$7*$U$8))+1,1)</f>
        <v/>
      </c>
      <c r="BO1546">
        <f>IF(1533&lt;$U$9,MOD(INT(1533/$U$8),$U$7)+1,1)</f>
        <v/>
      </c>
      <c r="BP1546">
        <f>IF(1533&lt;$U$9,MOD(1533,$U$8)+1,1)</f>
        <v/>
      </c>
      <c r="BQ1546">
        <f>IF(1533&lt;$U$9,SUMPRODUCT(($D$10:$L$10&lt;&gt;"")*(($D$9:$L$9+INT(($S$12:$AA$12+INDEX($AJ$13:$AR$162,BN1546,0)+INDEX($AT$13:$BB$162,BO1546,0)+INDEX($BD$13:$BL$162,BP1546,0))/100))&gt;=$D$10:$L$10)),0)</f>
        <v/>
      </c>
      <c r="BR1546">
        <f>IF(1533&lt;$U$9,SUMPRODUCT(($D$10:$L$10&lt;&gt;"")*(($D$10:$L$10-($D$9:$L$9+INT(($S$12:$AA$12+INDEX($AJ$13:$AR$162,BN1546,0)+INDEX($AT$13:$BB$162,BO1546,0)+INDEX($BD$13:$BL$162,BP1546,0))/100)))&gt;0)*($D$10:$L$10-($D$9:$L$9+INT(($S$12:$AA$12+INDEX($AJ$13:$AR$162,BN1546,0)+INDEX($AT$13:$BB$162,BO1546,0)+INDEX($BD$13:$BL$162,BP1546,0))/100)))),0)</f>
        <v/>
      </c>
      <c r="BS1546">
        <f>IF(1533&lt;$U$9,SUMPRODUCT(($D$9:$L$9+INT(($S$12:$AA$12+INDEX($AJ$13:$AR$162,BN1546,0)+INDEX($AT$13:$BB$162,BO1546,0)+INDEX($BD$13:$BL$162,BP1546,0))/100))),0)</f>
        <v/>
      </c>
      <c r="BT1546">
        <f>IF(AND(1533&lt;$U$9,$W$5),BQ1546*1000000-MIN(BR1546,999)*1000+BS1546-1533/100000,-1000000000-1533)</f>
        <v/>
      </c>
    </row>
    <row r="1547">
      <c r="BN1547">
        <f>IF(1534&lt;$U$9,INT(1534/($U$7*$U$8))+1,1)</f>
        <v/>
      </c>
      <c r="BO1547">
        <f>IF(1534&lt;$U$9,MOD(INT(1534/$U$8),$U$7)+1,1)</f>
        <v/>
      </c>
      <c r="BP1547">
        <f>IF(1534&lt;$U$9,MOD(1534,$U$8)+1,1)</f>
        <v/>
      </c>
      <c r="BQ1547">
        <f>IF(1534&lt;$U$9,SUMPRODUCT(($D$10:$L$10&lt;&gt;"")*(($D$9:$L$9+INT(($S$12:$AA$12+INDEX($AJ$13:$AR$162,BN1547,0)+INDEX($AT$13:$BB$162,BO1547,0)+INDEX($BD$13:$BL$162,BP1547,0))/100))&gt;=$D$10:$L$10)),0)</f>
        <v/>
      </c>
      <c r="BR1547">
        <f>IF(1534&lt;$U$9,SUMPRODUCT(($D$10:$L$10&lt;&gt;"")*(($D$10:$L$10-($D$9:$L$9+INT(($S$12:$AA$12+INDEX($AJ$13:$AR$162,BN1547,0)+INDEX($AT$13:$BB$162,BO1547,0)+INDEX($BD$13:$BL$162,BP1547,0))/100)))&gt;0)*($D$10:$L$10-($D$9:$L$9+INT(($S$12:$AA$12+INDEX($AJ$13:$AR$162,BN1547,0)+INDEX($AT$13:$BB$162,BO1547,0)+INDEX($BD$13:$BL$162,BP1547,0))/100)))),0)</f>
        <v/>
      </c>
      <c r="BS1547">
        <f>IF(1534&lt;$U$9,SUMPRODUCT(($D$9:$L$9+INT(($S$12:$AA$12+INDEX($AJ$13:$AR$162,BN1547,0)+INDEX($AT$13:$BB$162,BO1547,0)+INDEX($BD$13:$BL$162,BP1547,0))/100))),0)</f>
        <v/>
      </c>
      <c r="BT1547">
        <f>IF(AND(1534&lt;$U$9,$W$5),BQ1547*1000000-MIN(BR1547,999)*1000+BS1547-1534/100000,-1000000000-1534)</f>
        <v/>
      </c>
    </row>
    <row r="1548">
      <c r="BN1548">
        <f>IF(1535&lt;$U$9,INT(1535/($U$7*$U$8))+1,1)</f>
        <v/>
      </c>
      <c r="BO1548">
        <f>IF(1535&lt;$U$9,MOD(INT(1535/$U$8),$U$7)+1,1)</f>
        <v/>
      </c>
      <c r="BP1548">
        <f>IF(1535&lt;$U$9,MOD(1535,$U$8)+1,1)</f>
        <v/>
      </c>
      <c r="BQ1548">
        <f>IF(1535&lt;$U$9,SUMPRODUCT(($D$10:$L$10&lt;&gt;"")*(($D$9:$L$9+INT(($S$12:$AA$12+INDEX($AJ$13:$AR$162,BN1548,0)+INDEX($AT$13:$BB$162,BO1548,0)+INDEX($BD$13:$BL$162,BP1548,0))/100))&gt;=$D$10:$L$10)),0)</f>
        <v/>
      </c>
      <c r="BR1548">
        <f>IF(1535&lt;$U$9,SUMPRODUCT(($D$10:$L$10&lt;&gt;"")*(($D$10:$L$10-($D$9:$L$9+INT(($S$12:$AA$12+INDEX($AJ$13:$AR$162,BN1548,0)+INDEX($AT$13:$BB$162,BO1548,0)+INDEX($BD$13:$BL$162,BP1548,0))/100)))&gt;0)*($D$10:$L$10-($D$9:$L$9+INT(($S$12:$AA$12+INDEX($AJ$13:$AR$162,BN1548,0)+INDEX($AT$13:$BB$162,BO1548,0)+INDEX($BD$13:$BL$162,BP1548,0))/100)))),0)</f>
        <v/>
      </c>
      <c r="BS1548">
        <f>IF(1535&lt;$U$9,SUMPRODUCT(($D$9:$L$9+INT(($S$12:$AA$12+INDEX($AJ$13:$AR$162,BN1548,0)+INDEX($AT$13:$BB$162,BO1548,0)+INDEX($BD$13:$BL$162,BP1548,0))/100))),0)</f>
        <v/>
      </c>
      <c r="BT1548">
        <f>IF(AND(1535&lt;$U$9,$W$5),BQ1548*1000000-MIN(BR1548,999)*1000+BS1548-1535/100000,-1000000000-1535)</f>
        <v/>
      </c>
    </row>
    <row r="1549">
      <c r="BN1549">
        <f>IF(1536&lt;$U$9,INT(1536/($U$7*$U$8))+1,1)</f>
        <v/>
      </c>
      <c r="BO1549">
        <f>IF(1536&lt;$U$9,MOD(INT(1536/$U$8),$U$7)+1,1)</f>
        <v/>
      </c>
      <c r="BP1549">
        <f>IF(1536&lt;$U$9,MOD(1536,$U$8)+1,1)</f>
        <v/>
      </c>
      <c r="BQ1549">
        <f>IF(1536&lt;$U$9,SUMPRODUCT(($D$10:$L$10&lt;&gt;"")*(($D$9:$L$9+INT(($S$12:$AA$12+INDEX($AJ$13:$AR$162,BN1549,0)+INDEX($AT$13:$BB$162,BO1549,0)+INDEX($BD$13:$BL$162,BP1549,0))/100))&gt;=$D$10:$L$10)),0)</f>
        <v/>
      </c>
      <c r="BR1549">
        <f>IF(1536&lt;$U$9,SUMPRODUCT(($D$10:$L$10&lt;&gt;"")*(($D$10:$L$10-($D$9:$L$9+INT(($S$12:$AA$12+INDEX($AJ$13:$AR$162,BN1549,0)+INDEX($AT$13:$BB$162,BO1549,0)+INDEX($BD$13:$BL$162,BP1549,0))/100)))&gt;0)*($D$10:$L$10-($D$9:$L$9+INT(($S$12:$AA$12+INDEX($AJ$13:$AR$162,BN1549,0)+INDEX($AT$13:$BB$162,BO1549,0)+INDEX($BD$13:$BL$162,BP1549,0))/100)))),0)</f>
        <v/>
      </c>
      <c r="BS1549">
        <f>IF(1536&lt;$U$9,SUMPRODUCT(($D$9:$L$9+INT(($S$12:$AA$12+INDEX($AJ$13:$AR$162,BN1549,0)+INDEX($AT$13:$BB$162,BO1549,0)+INDEX($BD$13:$BL$162,BP1549,0))/100))),0)</f>
        <v/>
      </c>
      <c r="BT1549">
        <f>IF(AND(1536&lt;$U$9,$W$5),BQ1549*1000000-MIN(BR1549,999)*1000+BS1549-1536/100000,-1000000000-1536)</f>
        <v/>
      </c>
    </row>
    <row r="1550">
      <c r="BN1550">
        <f>IF(1537&lt;$U$9,INT(1537/($U$7*$U$8))+1,1)</f>
        <v/>
      </c>
      <c r="BO1550">
        <f>IF(1537&lt;$U$9,MOD(INT(1537/$U$8),$U$7)+1,1)</f>
        <v/>
      </c>
      <c r="BP1550">
        <f>IF(1537&lt;$U$9,MOD(1537,$U$8)+1,1)</f>
        <v/>
      </c>
      <c r="BQ1550">
        <f>IF(1537&lt;$U$9,SUMPRODUCT(($D$10:$L$10&lt;&gt;"")*(($D$9:$L$9+INT(($S$12:$AA$12+INDEX($AJ$13:$AR$162,BN1550,0)+INDEX($AT$13:$BB$162,BO1550,0)+INDEX($BD$13:$BL$162,BP1550,0))/100))&gt;=$D$10:$L$10)),0)</f>
        <v/>
      </c>
      <c r="BR1550">
        <f>IF(1537&lt;$U$9,SUMPRODUCT(($D$10:$L$10&lt;&gt;"")*(($D$10:$L$10-($D$9:$L$9+INT(($S$12:$AA$12+INDEX($AJ$13:$AR$162,BN1550,0)+INDEX($AT$13:$BB$162,BO1550,0)+INDEX($BD$13:$BL$162,BP1550,0))/100)))&gt;0)*($D$10:$L$10-($D$9:$L$9+INT(($S$12:$AA$12+INDEX($AJ$13:$AR$162,BN1550,0)+INDEX($AT$13:$BB$162,BO1550,0)+INDEX($BD$13:$BL$162,BP1550,0))/100)))),0)</f>
        <v/>
      </c>
      <c r="BS1550">
        <f>IF(1537&lt;$U$9,SUMPRODUCT(($D$9:$L$9+INT(($S$12:$AA$12+INDEX($AJ$13:$AR$162,BN1550,0)+INDEX($AT$13:$BB$162,BO1550,0)+INDEX($BD$13:$BL$162,BP1550,0))/100))),0)</f>
        <v/>
      </c>
      <c r="BT1550">
        <f>IF(AND(1537&lt;$U$9,$W$5),BQ1550*1000000-MIN(BR1550,999)*1000+BS1550-1537/100000,-1000000000-1537)</f>
        <v/>
      </c>
    </row>
    <row r="1551">
      <c r="BN1551">
        <f>IF(1538&lt;$U$9,INT(1538/($U$7*$U$8))+1,1)</f>
        <v/>
      </c>
      <c r="BO1551">
        <f>IF(1538&lt;$U$9,MOD(INT(1538/$U$8),$U$7)+1,1)</f>
        <v/>
      </c>
      <c r="BP1551">
        <f>IF(1538&lt;$U$9,MOD(1538,$U$8)+1,1)</f>
        <v/>
      </c>
      <c r="BQ1551">
        <f>IF(1538&lt;$U$9,SUMPRODUCT(($D$10:$L$10&lt;&gt;"")*(($D$9:$L$9+INT(($S$12:$AA$12+INDEX($AJ$13:$AR$162,BN1551,0)+INDEX($AT$13:$BB$162,BO1551,0)+INDEX($BD$13:$BL$162,BP1551,0))/100))&gt;=$D$10:$L$10)),0)</f>
        <v/>
      </c>
      <c r="BR1551">
        <f>IF(1538&lt;$U$9,SUMPRODUCT(($D$10:$L$10&lt;&gt;"")*(($D$10:$L$10-($D$9:$L$9+INT(($S$12:$AA$12+INDEX($AJ$13:$AR$162,BN1551,0)+INDEX($AT$13:$BB$162,BO1551,0)+INDEX($BD$13:$BL$162,BP1551,0))/100)))&gt;0)*($D$10:$L$10-($D$9:$L$9+INT(($S$12:$AA$12+INDEX($AJ$13:$AR$162,BN1551,0)+INDEX($AT$13:$BB$162,BO1551,0)+INDEX($BD$13:$BL$162,BP1551,0))/100)))),0)</f>
        <v/>
      </c>
      <c r="BS1551">
        <f>IF(1538&lt;$U$9,SUMPRODUCT(($D$9:$L$9+INT(($S$12:$AA$12+INDEX($AJ$13:$AR$162,BN1551,0)+INDEX($AT$13:$BB$162,BO1551,0)+INDEX($BD$13:$BL$162,BP1551,0))/100))),0)</f>
        <v/>
      </c>
      <c r="BT1551">
        <f>IF(AND(1538&lt;$U$9,$W$5),BQ1551*1000000-MIN(BR1551,999)*1000+BS1551-1538/100000,-1000000000-1538)</f>
        <v/>
      </c>
    </row>
    <row r="1552">
      <c r="BN1552">
        <f>IF(1539&lt;$U$9,INT(1539/($U$7*$U$8))+1,1)</f>
        <v/>
      </c>
      <c r="BO1552">
        <f>IF(1539&lt;$U$9,MOD(INT(1539/$U$8),$U$7)+1,1)</f>
        <v/>
      </c>
      <c r="BP1552">
        <f>IF(1539&lt;$U$9,MOD(1539,$U$8)+1,1)</f>
        <v/>
      </c>
      <c r="BQ1552">
        <f>IF(1539&lt;$U$9,SUMPRODUCT(($D$10:$L$10&lt;&gt;"")*(($D$9:$L$9+INT(($S$12:$AA$12+INDEX($AJ$13:$AR$162,BN1552,0)+INDEX($AT$13:$BB$162,BO1552,0)+INDEX($BD$13:$BL$162,BP1552,0))/100))&gt;=$D$10:$L$10)),0)</f>
        <v/>
      </c>
      <c r="BR1552">
        <f>IF(1539&lt;$U$9,SUMPRODUCT(($D$10:$L$10&lt;&gt;"")*(($D$10:$L$10-($D$9:$L$9+INT(($S$12:$AA$12+INDEX($AJ$13:$AR$162,BN1552,0)+INDEX($AT$13:$BB$162,BO1552,0)+INDEX($BD$13:$BL$162,BP1552,0))/100)))&gt;0)*($D$10:$L$10-($D$9:$L$9+INT(($S$12:$AA$12+INDEX($AJ$13:$AR$162,BN1552,0)+INDEX($AT$13:$BB$162,BO1552,0)+INDEX($BD$13:$BL$162,BP1552,0))/100)))),0)</f>
        <v/>
      </c>
      <c r="BS1552">
        <f>IF(1539&lt;$U$9,SUMPRODUCT(($D$9:$L$9+INT(($S$12:$AA$12+INDEX($AJ$13:$AR$162,BN1552,0)+INDEX($AT$13:$BB$162,BO1552,0)+INDEX($BD$13:$BL$162,BP1552,0))/100))),0)</f>
        <v/>
      </c>
      <c r="BT1552">
        <f>IF(AND(1539&lt;$U$9,$W$5),BQ1552*1000000-MIN(BR1552,999)*1000+BS1552-1539/100000,-1000000000-1539)</f>
        <v/>
      </c>
    </row>
    <row r="1553">
      <c r="BN1553">
        <f>IF(1540&lt;$U$9,INT(1540/($U$7*$U$8))+1,1)</f>
        <v/>
      </c>
      <c r="BO1553">
        <f>IF(1540&lt;$U$9,MOD(INT(1540/$U$8),$U$7)+1,1)</f>
        <v/>
      </c>
      <c r="BP1553">
        <f>IF(1540&lt;$U$9,MOD(1540,$U$8)+1,1)</f>
        <v/>
      </c>
      <c r="BQ1553">
        <f>IF(1540&lt;$U$9,SUMPRODUCT(($D$10:$L$10&lt;&gt;"")*(($D$9:$L$9+INT(($S$12:$AA$12+INDEX($AJ$13:$AR$162,BN1553,0)+INDEX($AT$13:$BB$162,BO1553,0)+INDEX($BD$13:$BL$162,BP1553,0))/100))&gt;=$D$10:$L$10)),0)</f>
        <v/>
      </c>
      <c r="BR1553">
        <f>IF(1540&lt;$U$9,SUMPRODUCT(($D$10:$L$10&lt;&gt;"")*(($D$10:$L$10-($D$9:$L$9+INT(($S$12:$AA$12+INDEX($AJ$13:$AR$162,BN1553,0)+INDEX($AT$13:$BB$162,BO1553,0)+INDEX($BD$13:$BL$162,BP1553,0))/100)))&gt;0)*($D$10:$L$10-($D$9:$L$9+INT(($S$12:$AA$12+INDEX($AJ$13:$AR$162,BN1553,0)+INDEX($AT$13:$BB$162,BO1553,0)+INDEX($BD$13:$BL$162,BP1553,0))/100)))),0)</f>
        <v/>
      </c>
      <c r="BS1553">
        <f>IF(1540&lt;$U$9,SUMPRODUCT(($D$9:$L$9+INT(($S$12:$AA$12+INDEX($AJ$13:$AR$162,BN1553,0)+INDEX($AT$13:$BB$162,BO1553,0)+INDEX($BD$13:$BL$162,BP1553,0))/100))),0)</f>
        <v/>
      </c>
      <c r="BT1553">
        <f>IF(AND(1540&lt;$U$9,$W$5),BQ1553*1000000-MIN(BR1553,999)*1000+BS1553-1540/100000,-1000000000-1540)</f>
        <v/>
      </c>
    </row>
    <row r="1554">
      <c r="BN1554">
        <f>IF(1541&lt;$U$9,INT(1541/($U$7*$U$8))+1,1)</f>
        <v/>
      </c>
      <c r="BO1554">
        <f>IF(1541&lt;$U$9,MOD(INT(1541/$U$8),$U$7)+1,1)</f>
        <v/>
      </c>
      <c r="BP1554">
        <f>IF(1541&lt;$U$9,MOD(1541,$U$8)+1,1)</f>
        <v/>
      </c>
      <c r="BQ1554">
        <f>IF(1541&lt;$U$9,SUMPRODUCT(($D$10:$L$10&lt;&gt;"")*(($D$9:$L$9+INT(($S$12:$AA$12+INDEX($AJ$13:$AR$162,BN1554,0)+INDEX($AT$13:$BB$162,BO1554,0)+INDEX($BD$13:$BL$162,BP1554,0))/100))&gt;=$D$10:$L$10)),0)</f>
        <v/>
      </c>
      <c r="BR1554">
        <f>IF(1541&lt;$U$9,SUMPRODUCT(($D$10:$L$10&lt;&gt;"")*(($D$10:$L$10-($D$9:$L$9+INT(($S$12:$AA$12+INDEX($AJ$13:$AR$162,BN1554,0)+INDEX($AT$13:$BB$162,BO1554,0)+INDEX($BD$13:$BL$162,BP1554,0))/100)))&gt;0)*($D$10:$L$10-($D$9:$L$9+INT(($S$12:$AA$12+INDEX($AJ$13:$AR$162,BN1554,0)+INDEX($AT$13:$BB$162,BO1554,0)+INDEX($BD$13:$BL$162,BP1554,0))/100)))),0)</f>
        <v/>
      </c>
      <c r="BS1554">
        <f>IF(1541&lt;$U$9,SUMPRODUCT(($D$9:$L$9+INT(($S$12:$AA$12+INDEX($AJ$13:$AR$162,BN1554,0)+INDEX($AT$13:$BB$162,BO1554,0)+INDEX($BD$13:$BL$162,BP1554,0))/100))),0)</f>
        <v/>
      </c>
      <c r="BT1554">
        <f>IF(AND(1541&lt;$U$9,$W$5),BQ1554*1000000-MIN(BR1554,999)*1000+BS1554-1541/100000,-1000000000-1541)</f>
        <v/>
      </c>
    </row>
    <row r="1555">
      <c r="BN1555">
        <f>IF(1542&lt;$U$9,INT(1542/($U$7*$U$8))+1,1)</f>
        <v/>
      </c>
      <c r="BO1555">
        <f>IF(1542&lt;$U$9,MOD(INT(1542/$U$8),$U$7)+1,1)</f>
        <v/>
      </c>
      <c r="BP1555">
        <f>IF(1542&lt;$U$9,MOD(1542,$U$8)+1,1)</f>
        <v/>
      </c>
      <c r="BQ1555">
        <f>IF(1542&lt;$U$9,SUMPRODUCT(($D$10:$L$10&lt;&gt;"")*(($D$9:$L$9+INT(($S$12:$AA$12+INDEX($AJ$13:$AR$162,BN1555,0)+INDEX($AT$13:$BB$162,BO1555,0)+INDEX($BD$13:$BL$162,BP1555,0))/100))&gt;=$D$10:$L$10)),0)</f>
        <v/>
      </c>
      <c r="BR1555">
        <f>IF(1542&lt;$U$9,SUMPRODUCT(($D$10:$L$10&lt;&gt;"")*(($D$10:$L$10-($D$9:$L$9+INT(($S$12:$AA$12+INDEX($AJ$13:$AR$162,BN1555,0)+INDEX($AT$13:$BB$162,BO1555,0)+INDEX($BD$13:$BL$162,BP1555,0))/100)))&gt;0)*($D$10:$L$10-($D$9:$L$9+INT(($S$12:$AA$12+INDEX($AJ$13:$AR$162,BN1555,0)+INDEX($AT$13:$BB$162,BO1555,0)+INDEX($BD$13:$BL$162,BP1555,0))/100)))),0)</f>
        <v/>
      </c>
      <c r="BS1555">
        <f>IF(1542&lt;$U$9,SUMPRODUCT(($D$9:$L$9+INT(($S$12:$AA$12+INDEX($AJ$13:$AR$162,BN1555,0)+INDEX($AT$13:$BB$162,BO1555,0)+INDEX($BD$13:$BL$162,BP1555,0))/100))),0)</f>
        <v/>
      </c>
      <c r="BT1555">
        <f>IF(AND(1542&lt;$U$9,$W$5),BQ1555*1000000-MIN(BR1555,999)*1000+BS1555-1542/100000,-1000000000-1542)</f>
        <v/>
      </c>
    </row>
    <row r="1556">
      <c r="BN1556">
        <f>IF(1543&lt;$U$9,INT(1543/($U$7*$U$8))+1,1)</f>
        <v/>
      </c>
      <c r="BO1556">
        <f>IF(1543&lt;$U$9,MOD(INT(1543/$U$8),$U$7)+1,1)</f>
        <v/>
      </c>
      <c r="BP1556">
        <f>IF(1543&lt;$U$9,MOD(1543,$U$8)+1,1)</f>
        <v/>
      </c>
      <c r="BQ1556">
        <f>IF(1543&lt;$U$9,SUMPRODUCT(($D$10:$L$10&lt;&gt;"")*(($D$9:$L$9+INT(($S$12:$AA$12+INDEX($AJ$13:$AR$162,BN1556,0)+INDEX($AT$13:$BB$162,BO1556,0)+INDEX($BD$13:$BL$162,BP1556,0))/100))&gt;=$D$10:$L$10)),0)</f>
        <v/>
      </c>
      <c r="BR1556">
        <f>IF(1543&lt;$U$9,SUMPRODUCT(($D$10:$L$10&lt;&gt;"")*(($D$10:$L$10-($D$9:$L$9+INT(($S$12:$AA$12+INDEX($AJ$13:$AR$162,BN1556,0)+INDEX($AT$13:$BB$162,BO1556,0)+INDEX($BD$13:$BL$162,BP1556,0))/100)))&gt;0)*($D$10:$L$10-($D$9:$L$9+INT(($S$12:$AA$12+INDEX($AJ$13:$AR$162,BN1556,0)+INDEX($AT$13:$BB$162,BO1556,0)+INDEX($BD$13:$BL$162,BP1556,0))/100)))),0)</f>
        <v/>
      </c>
      <c r="BS1556">
        <f>IF(1543&lt;$U$9,SUMPRODUCT(($D$9:$L$9+INT(($S$12:$AA$12+INDEX($AJ$13:$AR$162,BN1556,0)+INDEX($AT$13:$BB$162,BO1556,0)+INDEX($BD$13:$BL$162,BP1556,0))/100))),0)</f>
        <v/>
      </c>
      <c r="BT1556">
        <f>IF(AND(1543&lt;$U$9,$W$5),BQ1556*1000000-MIN(BR1556,999)*1000+BS1556-1543/100000,-1000000000-1543)</f>
        <v/>
      </c>
    </row>
    <row r="1557">
      <c r="BN1557">
        <f>IF(1544&lt;$U$9,INT(1544/($U$7*$U$8))+1,1)</f>
        <v/>
      </c>
      <c r="BO1557">
        <f>IF(1544&lt;$U$9,MOD(INT(1544/$U$8),$U$7)+1,1)</f>
        <v/>
      </c>
      <c r="BP1557">
        <f>IF(1544&lt;$U$9,MOD(1544,$U$8)+1,1)</f>
        <v/>
      </c>
      <c r="BQ1557">
        <f>IF(1544&lt;$U$9,SUMPRODUCT(($D$10:$L$10&lt;&gt;"")*(($D$9:$L$9+INT(($S$12:$AA$12+INDEX($AJ$13:$AR$162,BN1557,0)+INDEX($AT$13:$BB$162,BO1557,0)+INDEX($BD$13:$BL$162,BP1557,0))/100))&gt;=$D$10:$L$10)),0)</f>
        <v/>
      </c>
      <c r="BR1557">
        <f>IF(1544&lt;$U$9,SUMPRODUCT(($D$10:$L$10&lt;&gt;"")*(($D$10:$L$10-($D$9:$L$9+INT(($S$12:$AA$12+INDEX($AJ$13:$AR$162,BN1557,0)+INDEX($AT$13:$BB$162,BO1557,0)+INDEX($BD$13:$BL$162,BP1557,0))/100)))&gt;0)*($D$10:$L$10-($D$9:$L$9+INT(($S$12:$AA$12+INDEX($AJ$13:$AR$162,BN1557,0)+INDEX($AT$13:$BB$162,BO1557,0)+INDEX($BD$13:$BL$162,BP1557,0))/100)))),0)</f>
        <v/>
      </c>
      <c r="BS1557">
        <f>IF(1544&lt;$U$9,SUMPRODUCT(($D$9:$L$9+INT(($S$12:$AA$12+INDEX($AJ$13:$AR$162,BN1557,0)+INDEX($AT$13:$BB$162,BO1557,0)+INDEX($BD$13:$BL$162,BP1557,0))/100))),0)</f>
        <v/>
      </c>
      <c r="BT1557">
        <f>IF(AND(1544&lt;$U$9,$W$5),BQ1557*1000000-MIN(BR1557,999)*1000+BS1557-1544/100000,-1000000000-1544)</f>
        <v/>
      </c>
    </row>
    <row r="1558">
      <c r="BN1558">
        <f>IF(1545&lt;$U$9,INT(1545/($U$7*$U$8))+1,1)</f>
        <v/>
      </c>
      <c r="BO1558">
        <f>IF(1545&lt;$U$9,MOD(INT(1545/$U$8),$U$7)+1,1)</f>
        <v/>
      </c>
      <c r="BP1558">
        <f>IF(1545&lt;$U$9,MOD(1545,$U$8)+1,1)</f>
        <v/>
      </c>
      <c r="BQ1558">
        <f>IF(1545&lt;$U$9,SUMPRODUCT(($D$10:$L$10&lt;&gt;"")*(($D$9:$L$9+INT(($S$12:$AA$12+INDEX($AJ$13:$AR$162,BN1558,0)+INDEX($AT$13:$BB$162,BO1558,0)+INDEX($BD$13:$BL$162,BP1558,0))/100))&gt;=$D$10:$L$10)),0)</f>
        <v/>
      </c>
      <c r="BR1558">
        <f>IF(1545&lt;$U$9,SUMPRODUCT(($D$10:$L$10&lt;&gt;"")*(($D$10:$L$10-($D$9:$L$9+INT(($S$12:$AA$12+INDEX($AJ$13:$AR$162,BN1558,0)+INDEX($AT$13:$BB$162,BO1558,0)+INDEX($BD$13:$BL$162,BP1558,0))/100)))&gt;0)*($D$10:$L$10-($D$9:$L$9+INT(($S$12:$AA$12+INDEX($AJ$13:$AR$162,BN1558,0)+INDEX($AT$13:$BB$162,BO1558,0)+INDEX($BD$13:$BL$162,BP1558,0))/100)))),0)</f>
        <v/>
      </c>
      <c r="BS1558">
        <f>IF(1545&lt;$U$9,SUMPRODUCT(($D$9:$L$9+INT(($S$12:$AA$12+INDEX($AJ$13:$AR$162,BN1558,0)+INDEX($AT$13:$BB$162,BO1558,0)+INDEX($BD$13:$BL$162,BP1558,0))/100))),0)</f>
        <v/>
      </c>
      <c r="BT1558">
        <f>IF(AND(1545&lt;$U$9,$W$5),BQ1558*1000000-MIN(BR1558,999)*1000+BS1558-1545/100000,-1000000000-1545)</f>
        <v/>
      </c>
    </row>
    <row r="1559">
      <c r="BN1559">
        <f>IF(1546&lt;$U$9,INT(1546/($U$7*$U$8))+1,1)</f>
        <v/>
      </c>
      <c r="BO1559">
        <f>IF(1546&lt;$U$9,MOD(INT(1546/$U$8),$U$7)+1,1)</f>
        <v/>
      </c>
      <c r="BP1559">
        <f>IF(1546&lt;$U$9,MOD(1546,$U$8)+1,1)</f>
        <v/>
      </c>
      <c r="BQ1559">
        <f>IF(1546&lt;$U$9,SUMPRODUCT(($D$10:$L$10&lt;&gt;"")*(($D$9:$L$9+INT(($S$12:$AA$12+INDEX($AJ$13:$AR$162,BN1559,0)+INDEX($AT$13:$BB$162,BO1559,0)+INDEX($BD$13:$BL$162,BP1559,0))/100))&gt;=$D$10:$L$10)),0)</f>
        <v/>
      </c>
      <c r="BR1559">
        <f>IF(1546&lt;$U$9,SUMPRODUCT(($D$10:$L$10&lt;&gt;"")*(($D$10:$L$10-($D$9:$L$9+INT(($S$12:$AA$12+INDEX($AJ$13:$AR$162,BN1559,0)+INDEX($AT$13:$BB$162,BO1559,0)+INDEX($BD$13:$BL$162,BP1559,0))/100)))&gt;0)*($D$10:$L$10-($D$9:$L$9+INT(($S$12:$AA$12+INDEX($AJ$13:$AR$162,BN1559,0)+INDEX($AT$13:$BB$162,BO1559,0)+INDEX($BD$13:$BL$162,BP1559,0))/100)))),0)</f>
        <v/>
      </c>
      <c r="BS1559">
        <f>IF(1546&lt;$U$9,SUMPRODUCT(($D$9:$L$9+INT(($S$12:$AA$12+INDEX($AJ$13:$AR$162,BN1559,0)+INDEX($AT$13:$BB$162,BO1559,0)+INDEX($BD$13:$BL$162,BP1559,0))/100))),0)</f>
        <v/>
      </c>
      <c r="BT1559">
        <f>IF(AND(1546&lt;$U$9,$W$5),BQ1559*1000000-MIN(BR1559,999)*1000+BS1559-1546/100000,-1000000000-1546)</f>
        <v/>
      </c>
    </row>
    <row r="1560">
      <c r="BN1560">
        <f>IF(1547&lt;$U$9,INT(1547/($U$7*$U$8))+1,1)</f>
        <v/>
      </c>
      <c r="BO1560">
        <f>IF(1547&lt;$U$9,MOD(INT(1547/$U$8),$U$7)+1,1)</f>
        <v/>
      </c>
      <c r="BP1560">
        <f>IF(1547&lt;$U$9,MOD(1547,$U$8)+1,1)</f>
        <v/>
      </c>
      <c r="BQ1560">
        <f>IF(1547&lt;$U$9,SUMPRODUCT(($D$10:$L$10&lt;&gt;"")*(($D$9:$L$9+INT(($S$12:$AA$12+INDEX($AJ$13:$AR$162,BN1560,0)+INDEX($AT$13:$BB$162,BO1560,0)+INDEX($BD$13:$BL$162,BP1560,0))/100))&gt;=$D$10:$L$10)),0)</f>
        <v/>
      </c>
      <c r="BR1560">
        <f>IF(1547&lt;$U$9,SUMPRODUCT(($D$10:$L$10&lt;&gt;"")*(($D$10:$L$10-($D$9:$L$9+INT(($S$12:$AA$12+INDEX($AJ$13:$AR$162,BN1560,0)+INDEX($AT$13:$BB$162,BO1560,0)+INDEX($BD$13:$BL$162,BP1560,0))/100)))&gt;0)*($D$10:$L$10-($D$9:$L$9+INT(($S$12:$AA$12+INDEX($AJ$13:$AR$162,BN1560,0)+INDEX($AT$13:$BB$162,BO1560,0)+INDEX($BD$13:$BL$162,BP1560,0))/100)))),0)</f>
        <v/>
      </c>
      <c r="BS1560">
        <f>IF(1547&lt;$U$9,SUMPRODUCT(($D$9:$L$9+INT(($S$12:$AA$12+INDEX($AJ$13:$AR$162,BN1560,0)+INDEX($AT$13:$BB$162,BO1560,0)+INDEX($BD$13:$BL$162,BP1560,0))/100))),0)</f>
        <v/>
      </c>
      <c r="BT1560">
        <f>IF(AND(1547&lt;$U$9,$W$5),BQ1560*1000000-MIN(BR1560,999)*1000+BS1560-1547/100000,-1000000000-1547)</f>
        <v/>
      </c>
    </row>
    <row r="1561">
      <c r="BN1561">
        <f>IF(1548&lt;$U$9,INT(1548/($U$7*$U$8))+1,1)</f>
        <v/>
      </c>
      <c r="BO1561">
        <f>IF(1548&lt;$U$9,MOD(INT(1548/$U$8),$U$7)+1,1)</f>
        <v/>
      </c>
      <c r="BP1561">
        <f>IF(1548&lt;$U$9,MOD(1548,$U$8)+1,1)</f>
        <v/>
      </c>
      <c r="BQ1561">
        <f>IF(1548&lt;$U$9,SUMPRODUCT(($D$10:$L$10&lt;&gt;"")*(($D$9:$L$9+INT(($S$12:$AA$12+INDEX($AJ$13:$AR$162,BN1561,0)+INDEX($AT$13:$BB$162,BO1561,0)+INDEX($BD$13:$BL$162,BP1561,0))/100))&gt;=$D$10:$L$10)),0)</f>
        <v/>
      </c>
      <c r="BR1561">
        <f>IF(1548&lt;$U$9,SUMPRODUCT(($D$10:$L$10&lt;&gt;"")*(($D$10:$L$10-($D$9:$L$9+INT(($S$12:$AA$12+INDEX($AJ$13:$AR$162,BN1561,0)+INDEX($AT$13:$BB$162,BO1561,0)+INDEX($BD$13:$BL$162,BP1561,0))/100)))&gt;0)*($D$10:$L$10-($D$9:$L$9+INT(($S$12:$AA$12+INDEX($AJ$13:$AR$162,BN1561,0)+INDEX($AT$13:$BB$162,BO1561,0)+INDEX($BD$13:$BL$162,BP1561,0))/100)))),0)</f>
        <v/>
      </c>
      <c r="BS1561">
        <f>IF(1548&lt;$U$9,SUMPRODUCT(($D$9:$L$9+INT(($S$12:$AA$12+INDEX($AJ$13:$AR$162,BN1561,0)+INDEX($AT$13:$BB$162,BO1561,0)+INDEX($BD$13:$BL$162,BP1561,0))/100))),0)</f>
        <v/>
      </c>
      <c r="BT1561">
        <f>IF(AND(1548&lt;$U$9,$W$5),BQ1561*1000000-MIN(BR1561,999)*1000+BS1561-1548/100000,-1000000000-1548)</f>
        <v/>
      </c>
    </row>
    <row r="1562">
      <c r="BN1562">
        <f>IF(1549&lt;$U$9,INT(1549/($U$7*$U$8))+1,1)</f>
        <v/>
      </c>
      <c r="BO1562">
        <f>IF(1549&lt;$U$9,MOD(INT(1549/$U$8),$U$7)+1,1)</f>
        <v/>
      </c>
      <c r="BP1562">
        <f>IF(1549&lt;$U$9,MOD(1549,$U$8)+1,1)</f>
        <v/>
      </c>
      <c r="BQ1562">
        <f>IF(1549&lt;$U$9,SUMPRODUCT(($D$10:$L$10&lt;&gt;"")*(($D$9:$L$9+INT(($S$12:$AA$12+INDEX($AJ$13:$AR$162,BN1562,0)+INDEX($AT$13:$BB$162,BO1562,0)+INDEX($BD$13:$BL$162,BP1562,0))/100))&gt;=$D$10:$L$10)),0)</f>
        <v/>
      </c>
      <c r="BR1562">
        <f>IF(1549&lt;$U$9,SUMPRODUCT(($D$10:$L$10&lt;&gt;"")*(($D$10:$L$10-($D$9:$L$9+INT(($S$12:$AA$12+INDEX($AJ$13:$AR$162,BN1562,0)+INDEX($AT$13:$BB$162,BO1562,0)+INDEX($BD$13:$BL$162,BP1562,0))/100)))&gt;0)*($D$10:$L$10-($D$9:$L$9+INT(($S$12:$AA$12+INDEX($AJ$13:$AR$162,BN1562,0)+INDEX($AT$13:$BB$162,BO1562,0)+INDEX($BD$13:$BL$162,BP1562,0))/100)))),0)</f>
        <v/>
      </c>
      <c r="BS1562">
        <f>IF(1549&lt;$U$9,SUMPRODUCT(($D$9:$L$9+INT(($S$12:$AA$12+INDEX($AJ$13:$AR$162,BN1562,0)+INDEX($AT$13:$BB$162,BO1562,0)+INDEX($BD$13:$BL$162,BP1562,0))/100))),0)</f>
        <v/>
      </c>
      <c r="BT1562">
        <f>IF(AND(1549&lt;$U$9,$W$5),BQ1562*1000000-MIN(BR1562,999)*1000+BS1562-1549/100000,-1000000000-1549)</f>
        <v/>
      </c>
    </row>
    <row r="1563">
      <c r="BN1563">
        <f>IF(1550&lt;$U$9,INT(1550/($U$7*$U$8))+1,1)</f>
        <v/>
      </c>
      <c r="BO1563">
        <f>IF(1550&lt;$U$9,MOD(INT(1550/$U$8),$U$7)+1,1)</f>
        <v/>
      </c>
      <c r="BP1563">
        <f>IF(1550&lt;$U$9,MOD(1550,$U$8)+1,1)</f>
        <v/>
      </c>
      <c r="BQ1563">
        <f>IF(1550&lt;$U$9,SUMPRODUCT(($D$10:$L$10&lt;&gt;"")*(($D$9:$L$9+INT(($S$12:$AA$12+INDEX($AJ$13:$AR$162,BN1563,0)+INDEX($AT$13:$BB$162,BO1563,0)+INDEX($BD$13:$BL$162,BP1563,0))/100))&gt;=$D$10:$L$10)),0)</f>
        <v/>
      </c>
      <c r="BR1563">
        <f>IF(1550&lt;$U$9,SUMPRODUCT(($D$10:$L$10&lt;&gt;"")*(($D$10:$L$10-($D$9:$L$9+INT(($S$12:$AA$12+INDEX($AJ$13:$AR$162,BN1563,0)+INDEX($AT$13:$BB$162,BO1563,0)+INDEX($BD$13:$BL$162,BP1563,0))/100)))&gt;0)*($D$10:$L$10-($D$9:$L$9+INT(($S$12:$AA$12+INDEX($AJ$13:$AR$162,BN1563,0)+INDEX($AT$13:$BB$162,BO1563,0)+INDEX($BD$13:$BL$162,BP1563,0))/100)))),0)</f>
        <v/>
      </c>
      <c r="BS1563">
        <f>IF(1550&lt;$U$9,SUMPRODUCT(($D$9:$L$9+INT(($S$12:$AA$12+INDEX($AJ$13:$AR$162,BN1563,0)+INDEX($AT$13:$BB$162,BO1563,0)+INDEX($BD$13:$BL$162,BP1563,0))/100))),0)</f>
        <v/>
      </c>
      <c r="BT1563">
        <f>IF(AND(1550&lt;$U$9,$W$5),BQ1563*1000000-MIN(BR1563,999)*1000+BS1563-1550/100000,-1000000000-1550)</f>
        <v/>
      </c>
    </row>
    <row r="1564">
      <c r="BN1564">
        <f>IF(1551&lt;$U$9,INT(1551/($U$7*$U$8))+1,1)</f>
        <v/>
      </c>
      <c r="BO1564">
        <f>IF(1551&lt;$U$9,MOD(INT(1551/$U$8),$U$7)+1,1)</f>
        <v/>
      </c>
      <c r="BP1564">
        <f>IF(1551&lt;$U$9,MOD(1551,$U$8)+1,1)</f>
        <v/>
      </c>
      <c r="BQ1564">
        <f>IF(1551&lt;$U$9,SUMPRODUCT(($D$10:$L$10&lt;&gt;"")*(($D$9:$L$9+INT(($S$12:$AA$12+INDEX($AJ$13:$AR$162,BN1564,0)+INDEX($AT$13:$BB$162,BO1564,0)+INDEX($BD$13:$BL$162,BP1564,0))/100))&gt;=$D$10:$L$10)),0)</f>
        <v/>
      </c>
      <c r="BR1564">
        <f>IF(1551&lt;$U$9,SUMPRODUCT(($D$10:$L$10&lt;&gt;"")*(($D$10:$L$10-($D$9:$L$9+INT(($S$12:$AA$12+INDEX($AJ$13:$AR$162,BN1564,0)+INDEX($AT$13:$BB$162,BO1564,0)+INDEX($BD$13:$BL$162,BP1564,0))/100)))&gt;0)*($D$10:$L$10-($D$9:$L$9+INT(($S$12:$AA$12+INDEX($AJ$13:$AR$162,BN1564,0)+INDEX($AT$13:$BB$162,BO1564,0)+INDEX($BD$13:$BL$162,BP1564,0))/100)))),0)</f>
        <v/>
      </c>
      <c r="BS1564">
        <f>IF(1551&lt;$U$9,SUMPRODUCT(($D$9:$L$9+INT(($S$12:$AA$12+INDEX($AJ$13:$AR$162,BN1564,0)+INDEX($AT$13:$BB$162,BO1564,0)+INDEX($BD$13:$BL$162,BP1564,0))/100))),0)</f>
        <v/>
      </c>
      <c r="BT1564">
        <f>IF(AND(1551&lt;$U$9,$W$5),BQ1564*1000000-MIN(BR1564,999)*1000+BS1564-1551/100000,-1000000000-1551)</f>
        <v/>
      </c>
    </row>
    <row r="1565">
      <c r="BN1565">
        <f>IF(1552&lt;$U$9,INT(1552/($U$7*$U$8))+1,1)</f>
        <v/>
      </c>
      <c r="BO1565">
        <f>IF(1552&lt;$U$9,MOD(INT(1552/$U$8),$U$7)+1,1)</f>
        <v/>
      </c>
      <c r="BP1565">
        <f>IF(1552&lt;$U$9,MOD(1552,$U$8)+1,1)</f>
        <v/>
      </c>
      <c r="BQ1565">
        <f>IF(1552&lt;$U$9,SUMPRODUCT(($D$10:$L$10&lt;&gt;"")*(($D$9:$L$9+INT(($S$12:$AA$12+INDEX($AJ$13:$AR$162,BN1565,0)+INDEX($AT$13:$BB$162,BO1565,0)+INDEX($BD$13:$BL$162,BP1565,0))/100))&gt;=$D$10:$L$10)),0)</f>
        <v/>
      </c>
      <c r="BR1565">
        <f>IF(1552&lt;$U$9,SUMPRODUCT(($D$10:$L$10&lt;&gt;"")*(($D$10:$L$10-($D$9:$L$9+INT(($S$12:$AA$12+INDEX($AJ$13:$AR$162,BN1565,0)+INDEX($AT$13:$BB$162,BO1565,0)+INDEX($BD$13:$BL$162,BP1565,0))/100)))&gt;0)*($D$10:$L$10-($D$9:$L$9+INT(($S$12:$AA$12+INDEX($AJ$13:$AR$162,BN1565,0)+INDEX($AT$13:$BB$162,BO1565,0)+INDEX($BD$13:$BL$162,BP1565,0))/100)))),0)</f>
        <v/>
      </c>
      <c r="BS1565">
        <f>IF(1552&lt;$U$9,SUMPRODUCT(($D$9:$L$9+INT(($S$12:$AA$12+INDEX($AJ$13:$AR$162,BN1565,0)+INDEX($AT$13:$BB$162,BO1565,0)+INDEX($BD$13:$BL$162,BP1565,0))/100))),0)</f>
        <v/>
      </c>
      <c r="BT1565">
        <f>IF(AND(1552&lt;$U$9,$W$5),BQ1565*1000000-MIN(BR1565,999)*1000+BS1565-1552/100000,-1000000000-1552)</f>
        <v/>
      </c>
    </row>
    <row r="1566">
      <c r="BN1566">
        <f>IF(1553&lt;$U$9,INT(1553/($U$7*$U$8))+1,1)</f>
        <v/>
      </c>
      <c r="BO1566">
        <f>IF(1553&lt;$U$9,MOD(INT(1553/$U$8),$U$7)+1,1)</f>
        <v/>
      </c>
      <c r="BP1566">
        <f>IF(1553&lt;$U$9,MOD(1553,$U$8)+1,1)</f>
        <v/>
      </c>
      <c r="BQ1566">
        <f>IF(1553&lt;$U$9,SUMPRODUCT(($D$10:$L$10&lt;&gt;"")*(($D$9:$L$9+INT(($S$12:$AA$12+INDEX($AJ$13:$AR$162,BN1566,0)+INDEX($AT$13:$BB$162,BO1566,0)+INDEX($BD$13:$BL$162,BP1566,0))/100))&gt;=$D$10:$L$10)),0)</f>
        <v/>
      </c>
      <c r="BR1566">
        <f>IF(1553&lt;$U$9,SUMPRODUCT(($D$10:$L$10&lt;&gt;"")*(($D$10:$L$10-($D$9:$L$9+INT(($S$12:$AA$12+INDEX($AJ$13:$AR$162,BN1566,0)+INDEX($AT$13:$BB$162,BO1566,0)+INDEX($BD$13:$BL$162,BP1566,0))/100)))&gt;0)*($D$10:$L$10-($D$9:$L$9+INT(($S$12:$AA$12+INDEX($AJ$13:$AR$162,BN1566,0)+INDEX($AT$13:$BB$162,BO1566,0)+INDEX($BD$13:$BL$162,BP1566,0))/100)))),0)</f>
        <v/>
      </c>
      <c r="BS1566">
        <f>IF(1553&lt;$U$9,SUMPRODUCT(($D$9:$L$9+INT(($S$12:$AA$12+INDEX($AJ$13:$AR$162,BN1566,0)+INDEX($AT$13:$BB$162,BO1566,0)+INDEX($BD$13:$BL$162,BP1566,0))/100))),0)</f>
        <v/>
      </c>
      <c r="BT1566">
        <f>IF(AND(1553&lt;$U$9,$W$5),BQ1566*1000000-MIN(BR1566,999)*1000+BS1566-1553/100000,-1000000000-1553)</f>
        <v/>
      </c>
    </row>
    <row r="1567">
      <c r="BN1567">
        <f>IF(1554&lt;$U$9,INT(1554/($U$7*$U$8))+1,1)</f>
        <v/>
      </c>
      <c r="BO1567">
        <f>IF(1554&lt;$U$9,MOD(INT(1554/$U$8),$U$7)+1,1)</f>
        <v/>
      </c>
      <c r="BP1567">
        <f>IF(1554&lt;$U$9,MOD(1554,$U$8)+1,1)</f>
        <v/>
      </c>
      <c r="BQ1567">
        <f>IF(1554&lt;$U$9,SUMPRODUCT(($D$10:$L$10&lt;&gt;"")*(($D$9:$L$9+INT(($S$12:$AA$12+INDEX($AJ$13:$AR$162,BN1567,0)+INDEX($AT$13:$BB$162,BO1567,0)+INDEX($BD$13:$BL$162,BP1567,0))/100))&gt;=$D$10:$L$10)),0)</f>
        <v/>
      </c>
      <c r="BR1567">
        <f>IF(1554&lt;$U$9,SUMPRODUCT(($D$10:$L$10&lt;&gt;"")*(($D$10:$L$10-($D$9:$L$9+INT(($S$12:$AA$12+INDEX($AJ$13:$AR$162,BN1567,0)+INDEX($AT$13:$BB$162,BO1567,0)+INDEX($BD$13:$BL$162,BP1567,0))/100)))&gt;0)*($D$10:$L$10-($D$9:$L$9+INT(($S$12:$AA$12+INDEX($AJ$13:$AR$162,BN1567,0)+INDEX($AT$13:$BB$162,BO1567,0)+INDEX($BD$13:$BL$162,BP1567,0))/100)))),0)</f>
        <v/>
      </c>
      <c r="BS1567">
        <f>IF(1554&lt;$U$9,SUMPRODUCT(($D$9:$L$9+INT(($S$12:$AA$12+INDEX($AJ$13:$AR$162,BN1567,0)+INDEX($AT$13:$BB$162,BO1567,0)+INDEX($BD$13:$BL$162,BP1567,0))/100))),0)</f>
        <v/>
      </c>
      <c r="BT1567">
        <f>IF(AND(1554&lt;$U$9,$W$5),BQ1567*1000000-MIN(BR1567,999)*1000+BS1567-1554/100000,-1000000000-1554)</f>
        <v/>
      </c>
    </row>
    <row r="1568">
      <c r="BN1568">
        <f>IF(1555&lt;$U$9,INT(1555/($U$7*$U$8))+1,1)</f>
        <v/>
      </c>
      <c r="BO1568">
        <f>IF(1555&lt;$U$9,MOD(INT(1555/$U$8),$U$7)+1,1)</f>
        <v/>
      </c>
      <c r="BP1568">
        <f>IF(1555&lt;$U$9,MOD(1555,$U$8)+1,1)</f>
        <v/>
      </c>
      <c r="BQ1568">
        <f>IF(1555&lt;$U$9,SUMPRODUCT(($D$10:$L$10&lt;&gt;"")*(($D$9:$L$9+INT(($S$12:$AA$12+INDEX($AJ$13:$AR$162,BN1568,0)+INDEX($AT$13:$BB$162,BO1568,0)+INDEX($BD$13:$BL$162,BP1568,0))/100))&gt;=$D$10:$L$10)),0)</f>
        <v/>
      </c>
      <c r="BR1568">
        <f>IF(1555&lt;$U$9,SUMPRODUCT(($D$10:$L$10&lt;&gt;"")*(($D$10:$L$10-($D$9:$L$9+INT(($S$12:$AA$12+INDEX($AJ$13:$AR$162,BN1568,0)+INDEX($AT$13:$BB$162,BO1568,0)+INDEX($BD$13:$BL$162,BP1568,0))/100)))&gt;0)*($D$10:$L$10-($D$9:$L$9+INT(($S$12:$AA$12+INDEX($AJ$13:$AR$162,BN1568,0)+INDEX($AT$13:$BB$162,BO1568,0)+INDEX($BD$13:$BL$162,BP1568,0))/100)))),0)</f>
        <v/>
      </c>
      <c r="BS1568">
        <f>IF(1555&lt;$U$9,SUMPRODUCT(($D$9:$L$9+INT(($S$12:$AA$12+INDEX($AJ$13:$AR$162,BN1568,0)+INDEX($AT$13:$BB$162,BO1568,0)+INDEX($BD$13:$BL$162,BP1568,0))/100))),0)</f>
        <v/>
      </c>
      <c r="BT1568">
        <f>IF(AND(1555&lt;$U$9,$W$5),BQ1568*1000000-MIN(BR1568,999)*1000+BS1568-1555/100000,-1000000000-1555)</f>
        <v/>
      </c>
    </row>
    <row r="1569">
      <c r="BN1569">
        <f>IF(1556&lt;$U$9,INT(1556/($U$7*$U$8))+1,1)</f>
        <v/>
      </c>
      <c r="BO1569">
        <f>IF(1556&lt;$U$9,MOD(INT(1556/$U$8),$U$7)+1,1)</f>
        <v/>
      </c>
      <c r="BP1569">
        <f>IF(1556&lt;$U$9,MOD(1556,$U$8)+1,1)</f>
        <v/>
      </c>
      <c r="BQ1569">
        <f>IF(1556&lt;$U$9,SUMPRODUCT(($D$10:$L$10&lt;&gt;"")*(($D$9:$L$9+INT(($S$12:$AA$12+INDEX($AJ$13:$AR$162,BN1569,0)+INDEX($AT$13:$BB$162,BO1569,0)+INDEX($BD$13:$BL$162,BP1569,0))/100))&gt;=$D$10:$L$10)),0)</f>
        <v/>
      </c>
      <c r="BR1569">
        <f>IF(1556&lt;$U$9,SUMPRODUCT(($D$10:$L$10&lt;&gt;"")*(($D$10:$L$10-($D$9:$L$9+INT(($S$12:$AA$12+INDEX($AJ$13:$AR$162,BN1569,0)+INDEX($AT$13:$BB$162,BO1569,0)+INDEX($BD$13:$BL$162,BP1569,0))/100)))&gt;0)*($D$10:$L$10-($D$9:$L$9+INT(($S$12:$AA$12+INDEX($AJ$13:$AR$162,BN1569,0)+INDEX($AT$13:$BB$162,BO1569,0)+INDEX($BD$13:$BL$162,BP1569,0))/100)))),0)</f>
        <v/>
      </c>
      <c r="BS1569">
        <f>IF(1556&lt;$U$9,SUMPRODUCT(($D$9:$L$9+INT(($S$12:$AA$12+INDEX($AJ$13:$AR$162,BN1569,0)+INDEX($AT$13:$BB$162,BO1569,0)+INDEX($BD$13:$BL$162,BP1569,0))/100))),0)</f>
        <v/>
      </c>
      <c r="BT1569">
        <f>IF(AND(1556&lt;$U$9,$W$5),BQ1569*1000000-MIN(BR1569,999)*1000+BS1569-1556/100000,-1000000000-1556)</f>
        <v/>
      </c>
    </row>
    <row r="1570">
      <c r="BN1570">
        <f>IF(1557&lt;$U$9,INT(1557/($U$7*$U$8))+1,1)</f>
        <v/>
      </c>
      <c r="BO1570">
        <f>IF(1557&lt;$U$9,MOD(INT(1557/$U$8),$U$7)+1,1)</f>
        <v/>
      </c>
      <c r="BP1570">
        <f>IF(1557&lt;$U$9,MOD(1557,$U$8)+1,1)</f>
        <v/>
      </c>
      <c r="BQ1570">
        <f>IF(1557&lt;$U$9,SUMPRODUCT(($D$10:$L$10&lt;&gt;"")*(($D$9:$L$9+INT(($S$12:$AA$12+INDEX($AJ$13:$AR$162,BN1570,0)+INDEX($AT$13:$BB$162,BO1570,0)+INDEX($BD$13:$BL$162,BP1570,0))/100))&gt;=$D$10:$L$10)),0)</f>
        <v/>
      </c>
      <c r="BR1570">
        <f>IF(1557&lt;$U$9,SUMPRODUCT(($D$10:$L$10&lt;&gt;"")*(($D$10:$L$10-($D$9:$L$9+INT(($S$12:$AA$12+INDEX($AJ$13:$AR$162,BN1570,0)+INDEX($AT$13:$BB$162,BO1570,0)+INDEX($BD$13:$BL$162,BP1570,0))/100)))&gt;0)*($D$10:$L$10-($D$9:$L$9+INT(($S$12:$AA$12+INDEX($AJ$13:$AR$162,BN1570,0)+INDEX($AT$13:$BB$162,BO1570,0)+INDEX($BD$13:$BL$162,BP1570,0))/100)))),0)</f>
        <v/>
      </c>
      <c r="BS1570">
        <f>IF(1557&lt;$U$9,SUMPRODUCT(($D$9:$L$9+INT(($S$12:$AA$12+INDEX($AJ$13:$AR$162,BN1570,0)+INDEX($AT$13:$BB$162,BO1570,0)+INDEX($BD$13:$BL$162,BP1570,0))/100))),0)</f>
        <v/>
      </c>
      <c r="BT1570">
        <f>IF(AND(1557&lt;$U$9,$W$5),BQ1570*1000000-MIN(BR1570,999)*1000+BS1570-1557/100000,-1000000000-1557)</f>
        <v/>
      </c>
    </row>
    <row r="1571">
      <c r="BN1571">
        <f>IF(1558&lt;$U$9,INT(1558/($U$7*$U$8))+1,1)</f>
        <v/>
      </c>
      <c r="BO1571">
        <f>IF(1558&lt;$U$9,MOD(INT(1558/$U$8),$U$7)+1,1)</f>
        <v/>
      </c>
      <c r="BP1571">
        <f>IF(1558&lt;$U$9,MOD(1558,$U$8)+1,1)</f>
        <v/>
      </c>
      <c r="BQ1571">
        <f>IF(1558&lt;$U$9,SUMPRODUCT(($D$10:$L$10&lt;&gt;"")*(($D$9:$L$9+INT(($S$12:$AA$12+INDEX($AJ$13:$AR$162,BN1571,0)+INDEX($AT$13:$BB$162,BO1571,0)+INDEX($BD$13:$BL$162,BP1571,0))/100))&gt;=$D$10:$L$10)),0)</f>
        <v/>
      </c>
      <c r="BR1571">
        <f>IF(1558&lt;$U$9,SUMPRODUCT(($D$10:$L$10&lt;&gt;"")*(($D$10:$L$10-($D$9:$L$9+INT(($S$12:$AA$12+INDEX($AJ$13:$AR$162,BN1571,0)+INDEX($AT$13:$BB$162,BO1571,0)+INDEX($BD$13:$BL$162,BP1571,0))/100)))&gt;0)*($D$10:$L$10-($D$9:$L$9+INT(($S$12:$AA$12+INDEX($AJ$13:$AR$162,BN1571,0)+INDEX($AT$13:$BB$162,BO1571,0)+INDEX($BD$13:$BL$162,BP1571,0))/100)))),0)</f>
        <v/>
      </c>
      <c r="BS1571">
        <f>IF(1558&lt;$U$9,SUMPRODUCT(($D$9:$L$9+INT(($S$12:$AA$12+INDEX($AJ$13:$AR$162,BN1571,0)+INDEX($AT$13:$BB$162,BO1571,0)+INDEX($BD$13:$BL$162,BP1571,0))/100))),0)</f>
        <v/>
      </c>
      <c r="BT1571">
        <f>IF(AND(1558&lt;$U$9,$W$5),BQ1571*1000000-MIN(BR1571,999)*1000+BS1571-1558/100000,-1000000000-1558)</f>
        <v/>
      </c>
    </row>
    <row r="1572">
      <c r="BN1572">
        <f>IF(1559&lt;$U$9,INT(1559/($U$7*$U$8))+1,1)</f>
        <v/>
      </c>
      <c r="BO1572">
        <f>IF(1559&lt;$U$9,MOD(INT(1559/$U$8),$U$7)+1,1)</f>
        <v/>
      </c>
      <c r="BP1572">
        <f>IF(1559&lt;$U$9,MOD(1559,$U$8)+1,1)</f>
        <v/>
      </c>
      <c r="BQ1572">
        <f>IF(1559&lt;$U$9,SUMPRODUCT(($D$10:$L$10&lt;&gt;"")*(($D$9:$L$9+INT(($S$12:$AA$12+INDEX($AJ$13:$AR$162,BN1572,0)+INDEX($AT$13:$BB$162,BO1572,0)+INDEX($BD$13:$BL$162,BP1572,0))/100))&gt;=$D$10:$L$10)),0)</f>
        <v/>
      </c>
      <c r="BR1572">
        <f>IF(1559&lt;$U$9,SUMPRODUCT(($D$10:$L$10&lt;&gt;"")*(($D$10:$L$10-($D$9:$L$9+INT(($S$12:$AA$12+INDEX($AJ$13:$AR$162,BN1572,0)+INDEX($AT$13:$BB$162,BO1572,0)+INDEX($BD$13:$BL$162,BP1572,0))/100)))&gt;0)*($D$10:$L$10-($D$9:$L$9+INT(($S$12:$AA$12+INDEX($AJ$13:$AR$162,BN1572,0)+INDEX($AT$13:$BB$162,BO1572,0)+INDEX($BD$13:$BL$162,BP1572,0))/100)))),0)</f>
        <v/>
      </c>
      <c r="BS1572">
        <f>IF(1559&lt;$U$9,SUMPRODUCT(($D$9:$L$9+INT(($S$12:$AA$12+INDEX($AJ$13:$AR$162,BN1572,0)+INDEX($AT$13:$BB$162,BO1572,0)+INDEX($BD$13:$BL$162,BP1572,0))/100))),0)</f>
        <v/>
      </c>
      <c r="BT1572">
        <f>IF(AND(1559&lt;$U$9,$W$5),BQ1572*1000000-MIN(BR1572,999)*1000+BS1572-1559/100000,-1000000000-1559)</f>
        <v/>
      </c>
    </row>
    <row r="1573">
      <c r="BN1573">
        <f>IF(1560&lt;$U$9,INT(1560/($U$7*$U$8))+1,1)</f>
        <v/>
      </c>
      <c r="BO1573">
        <f>IF(1560&lt;$U$9,MOD(INT(1560/$U$8),$U$7)+1,1)</f>
        <v/>
      </c>
      <c r="BP1573">
        <f>IF(1560&lt;$U$9,MOD(1560,$U$8)+1,1)</f>
        <v/>
      </c>
      <c r="BQ1573">
        <f>IF(1560&lt;$U$9,SUMPRODUCT(($D$10:$L$10&lt;&gt;"")*(($D$9:$L$9+INT(($S$12:$AA$12+INDEX($AJ$13:$AR$162,BN1573,0)+INDEX($AT$13:$BB$162,BO1573,0)+INDEX($BD$13:$BL$162,BP1573,0))/100))&gt;=$D$10:$L$10)),0)</f>
        <v/>
      </c>
      <c r="BR1573">
        <f>IF(1560&lt;$U$9,SUMPRODUCT(($D$10:$L$10&lt;&gt;"")*(($D$10:$L$10-($D$9:$L$9+INT(($S$12:$AA$12+INDEX($AJ$13:$AR$162,BN1573,0)+INDEX($AT$13:$BB$162,BO1573,0)+INDEX($BD$13:$BL$162,BP1573,0))/100)))&gt;0)*($D$10:$L$10-($D$9:$L$9+INT(($S$12:$AA$12+INDEX($AJ$13:$AR$162,BN1573,0)+INDEX($AT$13:$BB$162,BO1573,0)+INDEX($BD$13:$BL$162,BP1573,0))/100)))),0)</f>
        <v/>
      </c>
      <c r="BS1573">
        <f>IF(1560&lt;$U$9,SUMPRODUCT(($D$9:$L$9+INT(($S$12:$AA$12+INDEX($AJ$13:$AR$162,BN1573,0)+INDEX($AT$13:$BB$162,BO1573,0)+INDEX($BD$13:$BL$162,BP1573,0))/100))),0)</f>
        <v/>
      </c>
      <c r="BT1573">
        <f>IF(AND(1560&lt;$U$9,$W$5),BQ1573*1000000-MIN(BR1573,999)*1000+BS1573-1560/100000,-1000000000-1560)</f>
        <v/>
      </c>
    </row>
    <row r="1574">
      <c r="BN1574">
        <f>IF(1561&lt;$U$9,INT(1561/($U$7*$U$8))+1,1)</f>
        <v/>
      </c>
      <c r="BO1574">
        <f>IF(1561&lt;$U$9,MOD(INT(1561/$U$8),$U$7)+1,1)</f>
        <v/>
      </c>
      <c r="BP1574">
        <f>IF(1561&lt;$U$9,MOD(1561,$U$8)+1,1)</f>
        <v/>
      </c>
      <c r="BQ1574">
        <f>IF(1561&lt;$U$9,SUMPRODUCT(($D$10:$L$10&lt;&gt;"")*(($D$9:$L$9+INT(($S$12:$AA$12+INDEX($AJ$13:$AR$162,BN1574,0)+INDEX($AT$13:$BB$162,BO1574,0)+INDEX($BD$13:$BL$162,BP1574,0))/100))&gt;=$D$10:$L$10)),0)</f>
        <v/>
      </c>
      <c r="BR1574">
        <f>IF(1561&lt;$U$9,SUMPRODUCT(($D$10:$L$10&lt;&gt;"")*(($D$10:$L$10-($D$9:$L$9+INT(($S$12:$AA$12+INDEX($AJ$13:$AR$162,BN1574,0)+INDEX($AT$13:$BB$162,BO1574,0)+INDEX($BD$13:$BL$162,BP1574,0))/100)))&gt;0)*($D$10:$L$10-($D$9:$L$9+INT(($S$12:$AA$12+INDEX($AJ$13:$AR$162,BN1574,0)+INDEX($AT$13:$BB$162,BO1574,0)+INDEX($BD$13:$BL$162,BP1574,0))/100)))),0)</f>
        <v/>
      </c>
      <c r="BS1574">
        <f>IF(1561&lt;$U$9,SUMPRODUCT(($D$9:$L$9+INT(($S$12:$AA$12+INDEX($AJ$13:$AR$162,BN1574,0)+INDEX($AT$13:$BB$162,BO1574,0)+INDEX($BD$13:$BL$162,BP1574,0))/100))),0)</f>
        <v/>
      </c>
      <c r="BT1574">
        <f>IF(AND(1561&lt;$U$9,$W$5),BQ1574*1000000-MIN(BR1574,999)*1000+BS1574-1561/100000,-1000000000-1561)</f>
        <v/>
      </c>
    </row>
    <row r="1575">
      <c r="BN1575">
        <f>IF(1562&lt;$U$9,INT(1562/($U$7*$U$8))+1,1)</f>
        <v/>
      </c>
      <c r="BO1575">
        <f>IF(1562&lt;$U$9,MOD(INT(1562/$U$8),$U$7)+1,1)</f>
        <v/>
      </c>
      <c r="BP1575">
        <f>IF(1562&lt;$U$9,MOD(1562,$U$8)+1,1)</f>
        <v/>
      </c>
      <c r="BQ1575">
        <f>IF(1562&lt;$U$9,SUMPRODUCT(($D$10:$L$10&lt;&gt;"")*(($D$9:$L$9+INT(($S$12:$AA$12+INDEX($AJ$13:$AR$162,BN1575,0)+INDEX($AT$13:$BB$162,BO1575,0)+INDEX($BD$13:$BL$162,BP1575,0))/100))&gt;=$D$10:$L$10)),0)</f>
        <v/>
      </c>
      <c r="BR1575">
        <f>IF(1562&lt;$U$9,SUMPRODUCT(($D$10:$L$10&lt;&gt;"")*(($D$10:$L$10-($D$9:$L$9+INT(($S$12:$AA$12+INDEX($AJ$13:$AR$162,BN1575,0)+INDEX($AT$13:$BB$162,BO1575,0)+INDEX($BD$13:$BL$162,BP1575,0))/100)))&gt;0)*($D$10:$L$10-($D$9:$L$9+INT(($S$12:$AA$12+INDEX($AJ$13:$AR$162,BN1575,0)+INDEX($AT$13:$BB$162,BO1575,0)+INDEX($BD$13:$BL$162,BP1575,0))/100)))),0)</f>
        <v/>
      </c>
      <c r="BS1575">
        <f>IF(1562&lt;$U$9,SUMPRODUCT(($D$9:$L$9+INT(($S$12:$AA$12+INDEX($AJ$13:$AR$162,BN1575,0)+INDEX($AT$13:$BB$162,BO1575,0)+INDEX($BD$13:$BL$162,BP1575,0))/100))),0)</f>
        <v/>
      </c>
      <c r="BT1575">
        <f>IF(AND(1562&lt;$U$9,$W$5),BQ1575*1000000-MIN(BR1575,999)*1000+BS1575-1562/100000,-1000000000-1562)</f>
        <v/>
      </c>
    </row>
    <row r="1576">
      <c r="BN1576">
        <f>IF(1563&lt;$U$9,INT(1563/($U$7*$U$8))+1,1)</f>
        <v/>
      </c>
      <c r="BO1576">
        <f>IF(1563&lt;$U$9,MOD(INT(1563/$U$8),$U$7)+1,1)</f>
        <v/>
      </c>
      <c r="BP1576">
        <f>IF(1563&lt;$U$9,MOD(1563,$U$8)+1,1)</f>
        <v/>
      </c>
      <c r="BQ1576">
        <f>IF(1563&lt;$U$9,SUMPRODUCT(($D$10:$L$10&lt;&gt;"")*(($D$9:$L$9+INT(($S$12:$AA$12+INDEX($AJ$13:$AR$162,BN1576,0)+INDEX($AT$13:$BB$162,BO1576,0)+INDEX($BD$13:$BL$162,BP1576,0))/100))&gt;=$D$10:$L$10)),0)</f>
        <v/>
      </c>
      <c r="BR1576">
        <f>IF(1563&lt;$U$9,SUMPRODUCT(($D$10:$L$10&lt;&gt;"")*(($D$10:$L$10-($D$9:$L$9+INT(($S$12:$AA$12+INDEX($AJ$13:$AR$162,BN1576,0)+INDEX($AT$13:$BB$162,BO1576,0)+INDEX($BD$13:$BL$162,BP1576,0))/100)))&gt;0)*($D$10:$L$10-($D$9:$L$9+INT(($S$12:$AA$12+INDEX($AJ$13:$AR$162,BN1576,0)+INDEX($AT$13:$BB$162,BO1576,0)+INDEX($BD$13:$BL$162,BP1576,0))/100)))),0)</f>
        <v/>
      </c>
      <c r="BS1576">
        <f>IF(1563&lt;$U$9,SUMPRODUCT(($D$9:$L$9+INT(($S$12:$AA$12+INDEX($AJ$13:$AR$162,BN1576,0)+INDEX($AT$13:$BB$162,BO1576,0)+INDEX($BD$13:$BL$162,BP1576,0))/100))),0)</f>
        <v/>
      </c>
      <c r="BT1576">
        <f>IF(AND(1563&lt;$U$9,$W$5),BQ1576*1000000-MIN(BR1576,999)*1000+BS1576-1563/100000,-1000000000-1563)</f>
        <v/>
      </c>
    </row>
    <row r="1577">
      <c r="BN1577">
        <f>IF(1564&lt;$U$9,INT(1564/($U$7*$U$8))+1,1)</f>
        <v/>
      </c>
      <c r="BO1577">
        <f>IF(1564&lt;$U$9,MOD(INT(1564/$U$8),$U$7)+1,1)</f>
        <v/>
      </c>
      <c r="BP1577">
        <f>IF(1564&lt;$U$9,MOD(1564,$U$8)+1,1)</f>
        <v/>
      </c>
      <c r="BQ1577">
        <f>IF(1564&lt;$U$9,SUMPRODUCT(($D$10:$L$10&lt;&gt;"")*(($D$9:$L$9+INT(($S$12:$AA$12+INDEX($AJ$13:$AR$162,BN1577,0)+INDEX($AT$13:$BB$162,BO1577,0)+INDEX($BD$13:$BL$162,BP1577,0))/100))&gt;=$D$10:$L$10)),0)</f>
        <v/>
      </c>
      <c r="BR1577">
        <f>IF(1564&lt;$U$9,SUMPRODUCT(($D$10:$L$10&lt;&gt;"")*(($D$10:$L$10-($D$9:$L$9+INT(($S$12:$AA$12+INDEX($AJ$13:$AR$162,BN1577,0)+INDEX($AT$13:$BB$162,BO1577,0)+INDEX($BD$13:$BL$162,BP1577,0))/100)))&gt;0)*($D$10:$L$10-($D$9:$L$9+INT(($S$12:$AA$12+INDEX($AJ$13:$AR$162,BN1577,0)+INDEX($AT$13:$BB$162,BO1577,0)+INDEX($BD$13:$BL$162,BP1577,0))/100)))),0)</f>
        <v/>
      </c>
      <c r="BS1577">
        <f>IF(1564&lt;$U$9,SUMPRODUCT(($D$9:$L$9+INT(($S$12:$AA$12+INDEX($AJ$13:$AR$162,BN1577,0)+INDEX($AT$13:$BB$162,BO1577,0)+INDEX($BD$13:$BL$162,BP1577,0))/100))),0)</f>
        <v/>
      </c>
      <c r="BT1577">
        <f>IF(AND(1564&lt;$U$9,$W$5),BQ1577*1000000-MIN(BR1577,999)*1000+BS1577-1564/100000,-1000000000-1564)</f>
        <v/>
      </c>
    </row>
    <row r="1578">
      <c r="BN1578">
        <f>IF(1565&lt;$U$9,INT(1565/($U$7*$U$8))+1,1)</f>
        <v/>
      </c>
      <c r="BO1578">
        <f>IF(1565&lt;$U$9,MOD(INT(1565/$U$8),$U$7)+1,1)</f>
        <v/>
      </c>
      <c r="BP1578">
        <f>IF(1565&lt;$U$9,MOD(1565,$U$8)+1,1)</f>
        <v/>
      </c>
      <c r="BQ1578">
        <f>IF(1565&lt;$U$9,SUMPRODUCT(($D$10:$L$10&lt;&gt;"")*(($D$9:$L$9+INT(($S$12:$AA$12+INDEX($AJ$13:$AR$162,BN1578,0)+INDEX($AT$13:$BB$162,BO1578,0)+INDEX($BD$13:$BL$162,BP1578,0))/100))&gt;=$D$10:$L$10)),0)</f>
        <v/>
      </c>
      <c r="BR1578">
        <f>IF(1565&lt;$U$9,SUMPRODUCT(($D$10:$L$10&lt;&gt;"")*(($D$10:$L$10-($D$9:$L$9+INT(($S$12:$AA$12+INDEX($AJ$13:$AR$162,BN1578,0)+INDEX($AT$13:$BB$162,BO1578,0)+INDEX($BD$13:$BL$162,BP1578,0))/100)))&gt;0)*($D$10:$L$10-($D$9:$L$9+INT(($S$12:$AA$12+INDEX($AJ$13:$AR$162,BN1578,0)+INDEX($AT$13:$BB$162,BO1578,0)+INDEX($BD$13:$BL$162,BP1578,0))/100)))),0)</f>
        <v/>
      </c>
      <c r="BS1578">
        <f>IF(1565&lt;$U$9,SUMPRODUCT(($D$9:$L$9+INT(($S$12:$AA$12+INDEX($AJ$13:$AR$162,BN1578,0)+INDEX($AT$13:$BB$162,BO1578,0)+INDEX($BD$13:$BL$162,BP1578,0))/100))),0)</f>
        <v/>
      </c>
      <c r="BT1578">
        <f>IF(AND(1565&lt;$U$9,$W$5),BQ1578*1000000-MIN(BR1578,999)*1000+BS1578-1565/100000,-1000000000-1565)</f>
        <v/>
      </c>
    </row>
    <row r="1579">
      <c r="BN1579">
        <f>IF(1566&lt;$U$9,INT(1566/($U$7*$U$8))+1,1)</f>
        <v/>
      </c>
      <c r="BO1579">
        <f>IF(1566&lt;$U$9,MOD(INT(1566/$U$8),$U$7)+1,1)</f>
        <v/>
      </c>
      <c r="BP1579">
        <f>IF(1566&lt;$U$9,MOD(1566,$U$8)+1,1)</f>
        <v/>
      </c>
      <c r="BQ1579">
        <f>IF(1566&lt;$U$9,SUMPRODUCT(($D$10:$L$10&lt;&gt;"")*(($D$9:$L$9+INT(($S$12:$AA$12+INDEX($AJ$13:$AR$162,BN1579,0)+INDEX($AT$13:$BB$162,BO1579,0)+INDEX($BD$13:$BL$162,BP1579,0))/100))&gt;=$D$10:$L$10)),0)</f>
        <v/>
      </c>
      <c r="BR1579">
        <f>IF(1566&lt;$U$9,SUMPRODUCT(($D$10:$L$10&lt;&gt;"")*(($D$10:$L$10-($D$9:$L$9+INT(($S$12:$AA$12+INDEX($AJ$13:$AR$162,BN1579,0)+INDEX($AT$13:$BB$162,BO1579,0)+INDEX($BD$13:$BL$162,BP1579,0))/100)))&gt;0)*($D$10:$L$10-($D$9:$L$9+INT(($S$12:$AA$12+INDEX($AJ$13:$AR$162,BN1579,0)+INDEX($AT$13:$BB$162,BO1579,0)+INDEX($BD$13:$BL$162,BP1579,0))/100)))),0)</f>
        <v/>
      </c>
      <c r="BS1579">
        <f>IF(1566&lt;$U$9,SUMPRODUCT(($D$9:$L$9+INT(($S$12:$AA$12+INDEX($AJ$13:$AR$162,BN1579,0)+INDEX($AT$13:$BB$162,BO1579,0)+INDEX($BD$13:$BL$162,BP1579,0))/100))),0)</f>
        <v/>
      </c>
      <c r="BT1579">
        <f>IF(AND(1566&lt;$U$9,$W$5),BQ1579*1000000-MIN(BR1579,999)*1000+BS1579-1566/100000,-1000000000-1566)</f>
        <v/>
      </c>
    </row>
    <row r="1580">
      <c r="BN1580">
        <f>IF(1567&lt;$U$9,INT(1567/($U$7*$U$8))+1,1)</f>
        <v/>
      </c>
      <c r="BO1580">
        <f>IF(1567&lt;$U$9,MOD(INT(1567/$U$8),$U$7)+1,1)</f>
        <v/>
      </c>
      <c r="BP1580">
        <f>IF(1567&lt;$U$9,MOD(1567,$U$8)+1,1)</f>
        <v/>
      </c>
      <c r="BQ1580">
        <f>IF(1567&lt;$U$9,SUMPRODUCT(($D$10:$L$10&lt;&gt;"")*(($D$9:$L$9+INT(($S$12:$AA$12+INDEX($AJ$13:$AR$162,BN1580,0)+INDEX($AT$13:$BB$162,BO1580,0)+INDEX($BD$13:$BL$162,BP1580,0))/100))&gt;=$D$10:$L$10)),0)</f>
        <v/>
      </c>
      <c r="BR1580">
        <f>IF(1567&lt;$U$9,SUMPRODUCT(($D$10:$L$10&lt;&gt;"")*(($D$10:$L$10-($D$9:$L$9+INT(($S$12:$AA$12+INDEX($AJ$13:$AR$162,BN1580,0)+INDEX($AT$13:$BB$162,BO1580,0)+INDEX($BD$13:$BL$162,BP1580,0))/100)))&gt;0)*($D$10:$L$10-($D$9:$L$9+INT(($S$12:$AA$12+INDEX($AJ$13:$AR$162,BN1580,0)+INDEX($AT$13:$BB$162,BO1580,0)+INDEX($BD$13:$BL$162,BP1580,0))/100)))),0)</f>
        <v/>
      </c>
      <c r="BS1580">
        <f>IF(1567&lt;$U$9,SUMPRODUCT(($D$9:$L$9+INT(($S$12:$AA$12+INDEX($AJ$13:$AR$162,BN1580,0)+INDEX($AT$13:$BB$162,BO1580,0)+INDEX($BD$13:$BL$162,BP1580,0))/100))),0)</f>
        <v/>
      </c>
      <c r="BT1580">
        <f>IF(AND(1567&lt;$U$9,$W$5),BQ1580*1000000-MIN(BR1580,999)*1000+BS1580-1567/100000,-1000000000-1567)</f>
        <v/>
      </c>
    </row>
    <row r="1581">
      <c r="BN1581">
        <f>IF(1568&lt;$U$9,INT(1568/($U$7*$U$8))+1,1)</f>
        <v/>
      </c>
      <c r="BO1581">
        <f>IF(1568&lt;$U$9,MOD(INT(1568/$U$8),$U$7)+1,1)</f>
        <v/>
      </c>
      <c r="BP1581">
        <f>IF(1568&lt;$U$9,MOD(1568,$U$8)+1,1)</f>
        <v/>
      </c>
      <c r="BQ1581">
        <f>IF(1568&lt;$U$9,SUMPRODUCT(($D$10:$L$10&lt;&gt;"")*(($D$9:$L$9+INT(($S$12:$AA$12+INDEX($AJ$13:$AR$162,BN1581,0)+INDEX($AT$13:$BB$162,BO1581,0)+INDEX($BD$13:$BL$162,BP1581,0))/100))&gt;=$D$10:$L$10)),0)</f>
        <v/>
      </c>
      <c r="BR1581">
        <f>IF(1568&lt;$U$9,SUMPRODUCT(($D$10:$L$10&lt;&gt;"")*(($D$10:$L$10-($D$9:$L$9+INT(($S$12:$AA$12+INDEX($AJ$13:$AR$162,BN1581,0)+INDEX($AT$13:$BB$162,BO1581,0)+INDEX($BD$13:$BL$162,BP1581,0))/100)))&gt;0)*($D$10:$L$10-($D$9:$L$9+INT(($S$12:$AA$12+INDEX($AJ$13:$AR$162,BN1581,0)+INDEX($AT$13:$BB$162,BO1581,0)+INDEX($BD$13:$BL$162,BP1581,0))/100)))),0)</f>
        <v/>
      </c>
      <c r="BS1581">
        <f>IF(1568&lt;$U$9,SUMPRODUCT(($D$9:$L$9+INT(($S$12:$AA$12+INDEX($AJ$13:$AR$162,BN1581,0)+INDEX($AT$13:$BB$162,BO1581,0)+INDEX($BD$13:$BL$162,BP1581,0))/100))),0)</f>
        <v/>
      </c>
      <c r="BT1581">
        <f>IF(AND(1568&lt;$U$9,$W$5),BQ1581*1000000-MIN(BR1581,999)*1000+BS1581-1568/100000,-1000000000-1568)</f>
        <v/>
      </c>
    </row>
    <row r="1582">
      <c r="BN1582">
        <f>IF(1569&lt;$U$9,INT(1569/($U$7*$U$8))+1,1)</f>
        <v/>
      </c>
      <c r="BO1582">
        <f>IF(1569&lt;$U$9,MOD(INT(1569/$U$8),$U$7)+1,1)</f>
        <v/>
      </c>
      <c r="BP1582">
        <f>IF(1569&lt;$U$9,MOD(1569,$U$8)+1,1)</f>
        <v/>
      </c>
      <c r="BQ1582">
        <f>IF(1569&lt;$U$9,SUMPRODUCT(($D$10:$L$10&lt;&gt;"")*(($D$9:$L$9+INT(($S$12:$AA$12+INDEX($AJ$13:$AR$162,BN1582,0)+INDEX($AT$13:$BB$162,BO1582,0)+INDEX($BD$13:$BL$162,BP1582,0))/100))&gt;=$D$10:$L$10)),0)</f>
        <v/>
      </c>
      <c r="BR1582">
        <f>IF(1569&lt;$U$9,SUMPRODUCT(($D$10:$L$10&lt;&gt;"")*(($D$10:$L$10-($D$9:$L$9+INT(($S$12:$AA$12+INDEX($AJ$13:$AR$162,BN1582,0)+INDEX($AT$13:$BB$162,BO1582,0)+INDEX($BD$13:$BL$162,BP1582,0))/100)))&gt;0)*($D$10:$L$10-($D$9:$L$9+INT(($S$12:$AA$12+INDEX($AJ$13:$AR$162,BN1582,0)+INDEX($AT$13:$BB$162,BO1582,0)+INDEX($BD$13:$BL$162,BP1582,0))/100)))),0)</f>
        <v/>
      </c>
      <c r="BS1582">
        <f>IF(1569&lt;$U$9,SUMPRODUCT(($D$9:$L$9+INT(($S$12:$AA$12+INDEX($AJ$13:$AR$162,BN1582,0)+INDEX($AT$13:$BB$162,BO1582,0)+INDEX($BD$13:$BL$162,BP1582,0))/100))),0)</f>
        <v/>
      </c>
      <c r="BT1582">
        <f>IF(AND(1569&lt;$U$9,$W$5),BQ1582*1000000-MIN(BR1582,999)*1000+BS1582-1569/100000,-1000000000-1569)</f>
        <v/>
      </c>
    </row>
    <row r="1583">
      <c r="BN1583">
        <f>IF(1570&lt;$U$9,INT(1570/($U$7*$U$8))+1,1)</f>
        <v/>
      </c>
      <c r="BO1583">
        <f>IF(1570&lt;$U$9,MOD(INT(1570/$U$8),$U$7)+1,1)</f>
        <v/>
      </c>
      <c r="BP1583">
        <f>IF(1570&lt;$U$9,MOD(1570,$U$8)+1,1)</f>
        <v/>
      </c>
      <c r="BQ1583">
        <f>IF(1570&lt;$U$9,SUMPRODUCT(($D$10:$L$10&lt;&gt;"")*(($D$9:$L$9+INT(($S$12:$AA$12+INDEX($AJ$13:$AR$162,BN1583,0)+INDEX($AT$13:$BB$162,BO1583,0)+INDEX($BD$13:$BL$162,BP1583,0))/100))&gt;=$D$10:$L$10)),0)</f>
        <v/>
      </c>
      <c r="BR1583">
        <f>IF(1570&lt;$U$9,SUMPRODUCT(($D$10:$L$10&lt;&gt;"")*(($D$10:$L$10-($D$9:$L$9+INT(($S$12:$AA$12+INDEX($AJ$13:$AR$162,BN1583,0)+INDEX($AT$13:$BB$162,BO1583,0)+INDEX($BD$13:$BL$162,BP1583,0))/100)))&gt;0)*($D$10:$L$10-($D$9:$L$9+INT(($S$12:$AA$12+INDEX($AJ$13:$AR$162,BN1583,0)+INDEX($AT$13:$BB$162,BO1583,0)+INDEX($BD$13:$BL$162,BP1583,0))/100)))),0)</f>
        <v/>
      </c>
      <c r="BS1583">
        <f>IF(1570&lt;$U$9,SUMPRODUCT(($D$9:$L$9+INT(($S$12:$AA$12+INDEX($AJ$13:$AR$162,BN1583,0)+INDEX($AT$13:$BB$162,BO1583,0)+INDEX($BD$13:$BL$162,BP1583,0))/100))),0)</f>
        <v/>
      </c>
      <c r="BT1583">
        <f>IF(AND(1570&lt;$U$9,$W$5),BQ1583*1000000-MIN(BR1583,999)*1000+BS1583-1570/100000,-1000000000-1570)</f>
        <v/>
      </c>
    </row>
    <row r="1584">
      <c r="BN1584">
        <f>IF(1571&lt;$U$9,INT(1571/($U$7*$U$8))+1,1)</f>
        <v/>
      </c>
      <c r="BO1584">
        <f>IF(1571&lt;$U$9,MOD(INT(1571/$U$8),$U$7)+1,1)</f>
        <v/>
      </c>
      <c r="BP1584">
        <f>IF(1571&lt;$U$9,MOD(1571,$U$8)+1,1)</f>
        <v/>
      </c>
      <c r="BQ1584">
        <f>IF(1571&lt;$U$9,SUMPRODUCT(($D$10:$L$10&lt;&gt;"")*(($D$9:$L$9+INT(($S$12:$AA$12+INDEX($AJ$13:$AR$162,BN1584,0)+INDEX($AT$13:$BB$162,BO1584,0)+INDEX($BD$13:$BL$162,BP1584,0))/100))&gt;=$D$10:$L$10)),0)</f>
        <v/>
      </c>
      <c r="BR1584">
        <f>IF(1571&lt;$U$9,SUMPRODUCT(($D$10:$L$10&lt;&gt;"")*(($D$10:$L$10-($D$9:$L$9+INT(($S$12:$AA$12+INDEX($AJ$13:$AR$162,BN1584,0)+INDEX($AT$13:$BB$162,BO1584,0)+INDEX($BD$13:$BL$162,BP1584,0))/100)))&gt;0)*($D$10:$L$10-($D$9:$L$9+INT(($S$12:$AA$12+INDEX($AJ$13:$AR$162,BN1584,0)+INDEX($AT$13:$BB$162,BO1584,0)+INDEX($BD$13:$BL$162,BP1584,0))/100)))),0)</f>
        <v/>
      </c>
      <c r="BS1584">
        <f>IF(1571&lt;$U$9,SUMPRODUCT(($D$9:$L$9+INT(($S$12:$AA$12+INDEX($AJ$13:$AR$162,BN1584,0)+INDEX($AT$13:$BB$162,BO1584,0)+INDEX($BD$13:$BL$162,BP1584,0))/100))),0)</f>
        <v/>
      </c>
      <c r="BT1584">
        <f>IF(AND(1571&lt;$U$9,$W$5),BQ1584*1000000-MIN(BR1584,999)*1000+BS1584-1571/100000,-1000000000-1571)</f>
        <v/>
      </c>
    </row>
    <row r="1585">
      <c r="BN1585">
        <f>IF(1572&lt;$U$9,INT(1572/($U$7*$U$8))+1,1)</f>
        <v/>
      </c>
      <c r="BO1585">
        <f>IF(1572&lt;$U$9,MOD(INT(1572/$U$8),$U$7)+1,1)</f>
        <v/>
      </c>
      <c r="BP1585">
        <f>IF(1572&lt;$U$9,MOD(1572,$U$8)+1,1)</f>
        <v/>
      </c>
      <c r="BQ1585">
        <f>IF(1572&lt;$U$9,SUMPRODUCT(($D$10:$L$10&lt;&gt;"")*(($D$9:$L$9+INT(($S$12:$AA$12+INDEX($AJ$13:$AR$162,BN1585,0)+INDEX($AT$13:$BB$162,BO1585,0)+INDEX($BD$13:$BL$162,BP1585,0))/100))&gt;=$D$10:$L$10)),0)</f>
        <v/>
      </c>
      <c r="BR1585">
        <f>IF(1572&lt;$U$9,SUMPRODUCT(($D$10:$L$10&lt;&gt;"")*(($D$10:$L$10-($D$9:$L$9+INT(($S$12:$AA$12+INDEX($AJ$13:$AR$162,BN1585,0)+INDEX($AT$13:$BB$162,BO1585,0)+INDEX($BD$13:$BL$162,BP1585,0))/100)))&gt;0)*($D$10:$L$10-($D$9:$L$9+INT(($S$12:$AA$12+INDEX($AJ$13:$AR$162,BN1585,0)+INDEX($AT$13:$BB$162,BO1585,0)+INDEX($BD$13:$BL$162,BP1585,0))/100)))),0)</f>
        <v/>
      </c>
      <c r="BS1585">
        <f>IF(1572&lt;$U$9,SUMPRODUCT(($D$9:$L$9+INT(($S$12:$AA$12+INDEX($AJ$13:$AR$162,BN1585,0)+INDEX($AT$13:$BB$162,BO1585,0)+INDEX($BD$13:$BL$162,BP1585,0))/100))),0)</f>
        <v/>
      </c>
      <c r="BT1585">
        <f>IF(AND(1572&lt;$U$9,$W$5),BQ1585*1000000-MIN(BR1585,999)*1000+BS1585-1572/100000,-1000000000-1572)</f>
        <v/>
      </c>
    </row>
    <row r="1586">
      <c r="BN1586">
        <f>IF(1573&lt;$U$9,INT(1573/($U$7*$U$8))+1,1)</f>
        <v/>
      </c>
      <c r="BO1586">
        <f>IF(1573&lt;$U$9,MOD(INT(1573/$U$8),$U$7)+1,1)</f>
        <v/>
      </c>
      <c r="BP1586">
        <f>IF(1573&lt;$U$9,MOD(1573,$U$8)+1,1)</f>
        <v/>
      </c>
      <c r="BQ1586">
        <f>IF(1573&lt;$U$9,SUMPRODUCT(($D$10:$L$10&lt;&gt;"")*(($D$9:$L$9+INT(($S$12:$AA$12+INDEX($AJ$13:$AR$162,BN1586,0)+INDEX($AT$13:$BB$162,BO1586,0)+INDEX($BD$13:$BL$162,BP1586,0))/100))&gt;=$D$10:$L$10)),0)</f>
        <v/>
      </c>
      <c r="BR1586">
        <f>IF(1573&lt;$U$9,SUMPRODUCT(($D$10:$L$10&lt;&gt;"")*(($D$10:$L$10-($D$9:$L$9+INT(($S$12:$AA$12+INDEX($AJ$13:$AR$162,BN1586,0)+INDEX($AT$13:$BB$162,BO1586,0)+INDEX($BD$13:$BL$162,BP1586,0))/100)))&gt;0)*($D$10:$L$10-($D$9:$L$9+INT(($S$12:$AA$12+INDEX($AJ$13:$AR$162,BN1586,0)+INDEX($AT$13:$BB$162,BO1586,0)+INDEX($BD$13:$BL$162,BP1586,0))/100)))),0)</f>
        <v/>
      </c>
      <c r="BS1586">
        <f>IF(1573&lt;$U$9,SUMPRODUCT(($D$9:$L$9+INT(($S$12:$AA$12+INDEX($AJ$13:$AR$162,BN1586,0)+INDEX($AT$13:$BB$162,BO1586,0)+INDEX($BD$13:$BL$162,BP1586,0))/100))),0)</f>
        <v/>
      </c>
      <c r="BT1586">
        <f>IF(AND(1573&lt;$U$9,$W$5),BQ1586*1000000-MIN(BR1586,999)*1000+BS1586-1573/100000,-1000000000-1573)</f>
        <v/>
      </c>
    </row>
    <row r="1587">
      <c r="BN1587">
        <f>IF(1574&lt;$U$9,INT(1574/($U$7*$U$8))+1,1)</f>
        <v/>
      </c>
      <c r="BO1587">
        <f>IF(1574&lt;$U$9,MOD(INT(1574/$U$8),$U$7)+1,1)</f>
        <v/>
      </c>
      <c r="BP1587">
        <f>IF(1574&lt;$U$9,MOD(1574,$U$8)+1,1)</f>
        <v/>
      </c>
      <c r="BQ1587">
        <f>IF(1574&lt;$U$9,SUMPRODUCT(($D$10:$L$10&lt;&gt;"")*(($D$9:$L$9+INT(($S$12:$AA$12+INDEX($AJ$13:$AR$162,BN1587,0)+INDEX($AT$13:$BB$162,BO1587,0)+INDEX($BD$13:$BL$162,BP1587,0))/100))&gt;=$D$10:$L$10)),0)</f>
        <v/>
      </c>
      <c r="BR1587">
        <f>IF(1574&lt;$U$9,SUMPRODUCT(($D$10:$L$10&lt;&gt;"")*(($D$10:$L$10-($D$9:$L$9+INT(($S$12:$AA$12+INDEX($AJ$13:$AR$162,BN1587,0)+INDEX($AT$13:$BB$162,BO1587,0)+INDEX($BD$13:$BL$162,BP1587,0))/100)))&gt;0)*($D$10:$L$10-($D$9:$L$9+INT(($S$12:$AA$12+INDEX($AJ$13:$AR$162,BN1587,0)+INDEX($AT$13:$BB$162,BO1587,0)+INDEX($BD$13:$BL$162,BP1587,0))/100)))),0)</f>
        <v/>
      </c>
      <c r="BS1587">
        <f>IF(1574&lt;$U$9,SUMPRODUCT(($D$9:$L$9+INT(($S$12:$AA$12+INDEX($AJ$13:$AR$162,BN1587,0)+INDEX($AT$13:$BB$162,BO1587,0)+INDEX($BD$13:$BL$162,BP1587,0))/100))),0)</f>
        <v/>
      </c>
      <c r="BT1587">
        <f>IF(AND(1574&lt;$U$9,$W$5),BQ1587*1000000-MIN(BR1587,999)*1000+BS1587-1574/100000,-1000000000-1574)</f>
        <v/>
      </c>
    </row>
    <row r="1588">
      <c r="BN1588">
        <f>IF(1575&lt;$U$9,INT(1575/($U$7*$U$8))+1,1)</f>
        <v/>
      </c>
      <c r="BO1588">
        <f>IF(1575&lt;$U$9,MOD(INT(1575/$U$8),$U$7)+1,1)</f>
        <v/>
      </c>
      <c r="BP1588">
        <f>IF(1575&lt;$U$9,MOD(1575,$U$8)+1,1)</f>
        <v/>
      </c>
      <c r="BQ1588">
        <f>IF(1575&lt;$U$9,SUMPRODUCT(($D$10:$L$10&lt;&gt;"")*(($D$9:$L$9+INT(($S$12:$AA$12+INDEX($AJ$13:$AR$162,BN1588,0)+INDEX($AT$13:$BB$162,BO1588,0)+INDEX($BD$13:$BL$162,BP1588,0))/100))&gt;=$D$10:$L$10)),0)</f>
        <v/>
      </c>
      <c r="BR1588">
        <f>IF(1575&lt;$U$9,SUMPRODUCT(($D$10:$L$10&lt;&gt;"")*(($D$10:$L$10-($D$9:$L$9+INT(($S$12:$AA$12+INDEX($AJ$13:$AR$162,BN1588,0)+INDEX($AT$13:$BB$162,BO1588,0)+INDEX($BD$13:$BL$162,BP1588,0))/100)))&gt;0)*($D$10:$L$10-($D$9:$L$9+INT(($S$12:$AA$12+INDEX($AJ$13:$AR$162,BN1588,0)+INDEX($AT$13:$BB$162,BO1588,0)+INDEX($BD$13:$BL$162,BP1588,0))/100)))),0)</f>
        <v/>
      </c>
      <c r="BS1588">
        <f>IF(1575&lt;$U$9,SUMPRODUCT(($D$9:$L$9+INT(($S$12:$AA$12+INDEX($AJ$13:$AR$162,BN1588,0)+INDEX($AT$13:$BB$162,BO1588,0)+INDEX($BD$13:$BL$162,BP1588,0))/100))),0)</f>
        <v/>
      </c>
      <c r="BT1588">
        <f>IF(AND(1575&lt;$U$9,$W$5),BQ1588*1000000-MIN(BR1588,999)*1000+BS1588-1575/100000,-1000000000-1575)</f>
        <v/>
      </c>
    </row>
    <row r="1589">
      <c r="BN1589">
        <f>IF(1576&lt;$U$9,INT(1576/($U$7*$U$8))+1,1)</f>
        <v/>
      </c>
      <c r="BO1589">
        <f>IF(1576&lt;$U$9,MOD(INT(1576/$U$8),$U$7)+1,1)</f>
        <v/>
      </c>
      <c r="BP1589">
        <f>IF(1576&lt;$U$9,MOD(1576,$U$8)+1,1)</f>
        <v/>
      </c>
      <c r="BQ1589">
        <f>IF(1576&lt;$U$9,SUMPRODUCT(($D$10:$L$10&lt;&gt;"")*(($D$9:$L$9+INT(($S$12:$AA$12+INDEX($AJ$13:$AR$162,BN1589,0)+INDEX($AT$13:$BB$162,BO1589,0)+INDEX($BD$13:$BL$162,BP1589,0))/100))&gt;=$D$10:$L$10)),0)</f>
        <v/>
      </c>
      <c r="BR1589">
        <f>IF(1576&lt;$U$9,SUMPRODUCT(($D$10:$L$10&lt;&gt;"")*(($D$10:$L$10-($D$9:$L$9+INT(($S$12:$AA$12+INDEX($AJ$13:$AR$162,BN1589,0)+INDEX($AT$13:$BB$162,BO1589,0)+INDEX($BD$13:$BL$162,BP1589,0))/100)))&gt;0)*($D$10:$L$10-($D$9:$L$9+INT(($S$12:$AA$12+INDEX($AJ$13:$AR$162,BN1589,0)+INDEX($AT$13:$BB$162,BO1589,0)+INDEX($BD$13:$BL$162,BP1589,0))/100)))),0)</f>
        <v/>
      </c>
      <c r="BS1589">
        <f>IF(1576&lt;$U$9,SUMPRODUCT(($D$9:$L$9+INT(($S$12:$AA$12+INDEX($AJ$13:$AR$162,BN1589,0)+INDEX($AT$13:$BB$162,BO1589,0)+INDEX($BD$13:$BL$162,BP1589,0))/100))),0)</f>
        <v/>
      </c>
      <c r="BT1589">
        <f>IF(AND(1576&lt;$U$9,$W$5),BQ1589*1000000-MIN(BR1589,999)*1000+BS1589-1576/100000,-1000000000-1576)</f>
        <v/>
      </c>
    </row>
    <row r="1590">
      <c r="BN1590">
        <f>IF(1577&lt;$U$9,INT(1577/($U$7*$U$8))+1,1)</f>
        <v/>
      </c>
      <c r="BO1590">
        <f>IF(1577&lt;$U$9,MOD(INT(1577/$U$8),$U$7)+1,1)</f>
        <v/>
      </c>
      <c r="BP1590">
        <f>IF(1577&lt;$U$9,MOD(1577,$U$8)+1,1)</f>
        <v/>
      </c>
      <c r="BQ1590">
        <f>IF(1577&lt;$U$9,SUMPRODUCT(($D$10:$L$10&lt;&gt;"")*(($D$9:$L$9+INT(($S$12:$AA$12+INDEX($AJ$13:$AR$162,BN1590,0)+INDEX($AT$13:$BB$162,BO1590,0)+INDEX($BD$13:$BL$162,BP1590,0))/100))&gt;=$D$10:$L$10)),0)</f>
        <v/>
      </c>
      <c r="BR1590">
        <f>IF(1577&lt;$U$9,SUMPRODUCT(($D$10:$L$10&lt;&gt;"")*(($D$10:$L$10-($D$9:$L$9+INT(($S$12:$AA$12+INDEX($AJ$13:$AR$162,BN1590,0)+INDEX($AT$13:$BB$162,BO1590,0)+INDEX($BD$13:$BL$162,BP1590,0))/100)))&gt;0)*($D$10:$L$10-($D$9:$L$9+INT(($S$12:$AA$12+INDEX($AJ$13:$AR$162,BN1590,0)+INDEX($AT$13:$BB$162,BO1590,0)+INDEX($BD$13:$BL$162,BP1590,0))/100)))),0)</f>
        <v/>
      </c>
      <c r="BS1590">
        <f>IF(1577&lt;$U$9,SUMPRODUCT(($D$9:$L$9+INT(($S$12:$AA$12+INDEX($AJ$13:$AR$162,BN1590,0)+INDEX($AT$13:$BB$162,BO1590,0)+INDEX($BD$13:$BL$162,BP1590,0))/100))),0)</f>
        <v/>
      </c>
      <c r="BT1590">
        <f>IF(AND(1577&lt;$U$9,$W$5),BQ1590*1000000-MIN(BR1590,999)*1000+BS1590-1577/100000,-1000000000-1577)</f>
        <v/>
      </c>
    </row>
    <row r="1591">
      <c r="BN1591">
        <f>IF(1578&lt;$U$9,INT(1578/($U$7*$U$8))+1,1)</f>
        <v/>
      </c>
      <c r="BO1591">
        <f>IF(1578&lt;$U$9,MOD(INT(1578/$U$8),$U$7)+1,1)</f>
        <v/>
      </c>
      <c r="BP1591">
        <f>IF(1578&lt;$U$9,MOD(1578,$U$8)+1,1)</f>
        <v/>
      </c>
      <c r="BQ1591">
        <f>IF(1578&lt;$U$9,SUMPRODUCT(($D$10:$L$10&lt;&gt;"")*(($D$9:$L$9+INT(($S$12:$AA$12+INDEX($AJ$13:$AR$162,BN1591,0)+INDEX($AT$13:$BB$162,BO1591,0)+INDEX($BD$13:$BL$162,BP1591,0))/100))&gt;=$D$10:$L$10)),0)</f>
        <v/>
      </c>
      <c r="BR1591">
        <f>IF(1578&lt;$U$9,SUMPRODUCT(($D$10:$L$10&lt;&gt;"")*(($D$10:$L$10-($D$9:$L$9+INT(($S$12:$AA$12+INDEX($AJ$13:$AR$162,BN1591,0)+INDEX($AT$13:$BB$162,BO1591,0)+INDEX($BD$13:$BL$162,BP1591,0))/100)))&gt;0)*($D$10:$L$10-($D$9:$L$9+INT(($S$12:$AA$12+INDEX($AJ$13:$AR$162,BN1591,0)+INDEX($AT$13:$BB$162,BO1591,0)+INDEX($BD$13:$BL$162,BP1591,0))/100)))),0)</f>
        <v/>
      </c>
      <c r="BS1591">
        <f>IF(1578&lt;$U$9,SUMPRODUCT(($D$9:$L$9+INT(($S$12:$AA$12+INDEX($AJ$13:$AR$162,BN1591,0)+INDEX($AT$13:$BB$162,BO1591,0)+INDEX($BD$13:$BL$162,BP1591,0))/100))),0)</f>
        <v/>
      </c>
      <c r="BT1591">
        <f>IF(AND(1578&lt;$U$9,$W$5),BQ1591*1000000-MIN(BR1591,999)*1000+BS1591-1578/100000,-1000000000-1578)</f>
        <v/>
      </c>
    </row>
    <row r="1592">
      <c r="BN1592">
        <f>IF(1579&lt;$U$9,INT(1579/($U$7*$U$8))+1,1)</f>
        <v/>
      </c>
      <c r="BO1592">
        <f>IF(1579&lt;$U$9,MOD(INT(1579/$U$8),$U$7)+1,1)</f>
        <v/>
      </c>
      <c r="BP1592">
        <f>IF(1579&lt;$U$9,MOD(1579,$U$8)+1,1)</f>
        <v/>
      </c>
      <c r="BQ1592">
        <f>IF(1579&lt;$U$9,SUMPRODUCT(($D$10:$L$10&lt;&gt;"")*(($D$9:$L$9+INT(($S$12:$AA$12+INDEX($AJ$13:$AR$162,BN1592,0)+INDEX($AT$13:$BB$162,BO1592,0)+INDEX($BD$13:$BL$162,BP1592,0))/100))&gt;=$D$10:$L$10)),0)</f>
        <v/>
      </c>
      <c r="BR1592">
        <f>IF(1579&lt;$U$9,SUMPRODUCT(($D$10:$L$10&lt;&gt;"")*(($D$10:$L$10-($D$9:$L$9+INT(($S$12:$AA$12+INDEX($AJ$13:$AR$162,BN1592,0)+INDEX($AT$13:$BB$162,BO1592,0)+INDEX($BD$13:$BL$162,BP1592,0))/100)))&gt;0)*($D$10:$L$10-($D$9:$L$9+INT(($S$12:$AA$12+INDEX($AJ$13:$AR$162,BN1592,0)+INDEX($AT$13:$BB$162,BO1592,0)+INDEX($BD$13:$BL$162,BP1592,0))/100)))),0)</f>
        <v/>
      </c>
      <c r="BS1592">
        <f>IF(1579&lt;$U$9,SUMPRODUCT(($D$9:$L$9+INT(($S$12:$AA$12+INDEX($AJ$13:$AR$162,BN1592,0)+INDEX($AT$13:$BB$162,BO1592,0)+INDEX($BD$13:$BL$162,BP1592,0))/100))),0)</f>
        <v/>
      </c>
      <c r="BT1592">
        <f>IF(AND(1579&lt;$U$9,$W$5),BQ1592*1000000-MIN(BR1592,999)*1000+BS1592-1579/100000,-1000000000-1579)</f>
        <v/>
      </c>
    </row>
    <row r="1593">
      <c r="BN1593">
        <f>IF(1580&lt;$U$9,INT(1580/($U$7*$U$8))+1,1)</f>
        <v/>
      </c>
      <c r="BO1593">
        <f>IF(1580&lt;$U$9,MOD(INT(1580/$U$8),$U$7)+1,1)</f>
        <v/>
      </c>
      <c r="BP1593">
        <f>IF(1580&lt;$U$9,MOD(1580,$U$8)+1,1)</f>
        <v/>
      </c>
      <c r="BQ1593">
        <f>IF(1580&lt;$U$9,SUMPRODUCT(($D$10:$L$10&lt;&gt;"")*(($D$9:$L$9+INT(($S$12:$AA$12+INDEX($AJ$13:$AR$162,BN1593,0)+INDEX($AT$13:$BB$162,BO1593,0)+INDEX($BD$13:$BL$162,BP1593,0))/100))&gt;=$D$10:$L$10)),0)</f>
        <v/>
      </c>
      <c r="BR1593">
        <f>IF(1580&lt;$U$9,SUMPRODUCT(($D$10:$L$10&lt;&gt;"")*(($D$10:$L$10-($D$9:$L$9+INT(($S$12:$AA$12+INDEX($AJ$13:$AR$162,BN1593,0)+INDEX($AT$13:$BB$162,BO1593,0)+INDEX($BD$13:$BL$162,BP1593,0))/100)))&gt;0)*($D$10:$L$10-($D$9:$L$9+INT(($S$12:$AA$12+INDEX($AJ$13:$AR$162,BN1593,0)+INDEX($AT$13:$BB$162,BO1593,0)+INDEX($BD$13:$BL$162,BP1593,0))/100)))),0)</f>
        <v/>
      </c>
      <c r="BS1593">
        <f>IF(1580&lt;$U$9,SUMPRODUCT(($D$9:$L$9+INT(($S$12:$AA$12+INDEX($AJ$13:$AR$162,BN1593,0)+INDEX($AT$13:$BB$162,BO1593,0)+INDEX($BD$13:$BL$162,BP1593,0))/100))),0)</f>
        <v/>
      </c>
      <c r="BT1593">
        <f>IF(AND(1580&lt;$U$9,$W$5),BQ1593*1000000-MIN(BR1593,999)*1000+BS1593-1580/100000,-1000000000-1580)</f>
        <v/>
      </c>
    </row>
    <row r="1594">
      <c r="BN1594">
        <f>IF(1581&lt;$U$9,INT(1581/($U$7*$U$8))+1,1)</f>
        <v/>
      </c>
      <c r="BO1594">
        <f>IF(1581&lt;$U$9,MOD(INT(1581/$U$8),$U$7)+1,1)</f>
        <v/>
      </c>
      <c r="BP1594">
        <f>IF(1581&lt;$U$9,MOD(1581,$U$8)+1,1)</f>
        <v/>
      </c>
      <c r="BQ1594">
        <f>IF(1581&lt;$U$9,SUMPRODUCT(($D$10:$L$10&lt;&gt;"")*(($D$9:$L$9+INT(($S$12:$AA$12+INDEX($AJ$13:$AR$162,BN1594,0)+INDEX($AT$13:$BB$162,BO1594,0)+INDEX($BD$13:$BL$162,BP1594,0))/100))&gt;=$D$10:$L$10)),0)</f>
        <v/>
      </c>
      <c r="BR1594">
        <f>IF(1581&lt;$U$9,SUMPRODUCT(($D$10:$L$10&lt;&gt;"")*(($D$10:$L$10-($D$9:$L$9+INT(($S$12:$AA$12+INDEX($AJ$13:$AR$162,BN1594,0)+INDEX($AT$13:$BB$162,BO1594,0)+INDEX($BD$13:$BL$162,BP1594,0))/100)))&gt;0)*($D$10:$L$10-($D$9:$L$9+INT(($S$12:$AA$12+INDEX($AJ$13:$AR$162,BN1594,0)+INDEX($AT$13:$BB$162,BO1594,0)+INDEX($BD$13:$BL$162,BP1594,0))/100)))),0)</f>
        <v/>
      </c>
      <c r="BS1594">
        <f>IF(1581&lt;$U$9,SUMPRODUCT(($D$9:$L$9+INT(($S$12:$AA$12+INDEX($AJ$13:$AR$162,BN1594,0)+INDEX($AT$13:$BB$162,BO1594,0)+INDEX($BD$13:$BL$162,BP1594,0))/100))),0)</f>
        <v/>
      </c>
      <c r="BT1594">
        <f>IF(AND(1581&lt;$U$9,$W$5),BQ1594*1000000-MIN(BR1594,999)*1000+BS1594-1581/100000,-1000000000-1581)</f>
        <v/>
      </c>
    </row>
    <row r="1595">
      <c r="BN1595">
        <f>IF(1582&lt;$U$9,INT(1582/($U$7*$U$8))+1,1)</f>
        <v/>
      </c>
      <c r="BO1595">
        <f>IF(1582&lt;$U$9,MOD(INT(1582/$U$8),$U$7)+1,1)</f>
        <v/>
      </c>
      <c r="BP1595">
        <f>IF(1582&lt;$U$9,MOD(1582,$U$8)+1,1)</f>
        <v/>
      </c>
      <c r="BQ1595">
        <f>IF(1582&lt;$U$9,SUMPRODUCT(($D$10:$L$10&lt;&gt;"")*(($D$9:$L$9+INT(($S$12:$AA$12+INDEX($AJ$13:$AR$162,BN1595,0)+INDEX($AT$13:$BB$162,BO1595,0)+INDEX($BD$13:$BL$162,BP1595,0))/100))&gt;=$D$10:$L$10)),0)</f>
        <v/>
      </c>
      <c r="BR1595">
        <f>IF(1582&lt;$U$9,SUMPRODUCT(($D$10:$L$10&lt;&gt;"")*(($D$10:$L$10-($D$9:$L$9+INT(($S$12:$AA$12+INDEX($AJ$13:$AR$162,BN1595,0)+INDEX($AT$13:$BB$162,BO1595,0)+INDEX($BD$13:$BL$162,BP1595,0))/100)))&gt;0)*($D$10:$L$10-($D$9:$L$9+INT(($S$12:$AA$12+INDEX($AJ$13:$AR$162,BN1595,0)+INDEX($AT$13:$BB$162,BO1595,0)+INDEX($BD$13:$BL$162,BP1595,0))/100)))),0)</f>
        <v/>
      </c>
      <c r="BS1595">
        <f>IF(1582&lt;$U$9,SUMPRODUCT(($D$9:$L$9+INT(($S$12:$AA$12+INDEX($AJ$13:$AR$162,BN1595,0)+INDEX($AT$13:$BB$162,BO1595,0)+INDEX($BD$13:$BL$162,BP1595,0))/100))),0)</f>
        <v/>
      </c>
      <c r="BT1595">
        <f>IF(AND(1582&lt;$U$9,$W$5),BQ1595*1000000-MIN(BR1595,999)*1000+BS1595-1582/100000,-1000000000-1582)</f>
        <v/>
      </c>
    </row>
    <row r="1596">
      <c r="BN1596">
        <f>IF(1583&lt;$U$9,INT(1583/($U$7*$U$8))+1,1)</f>
        <v/>
      </c>
      <c r="BO1596">
        <f>IF(1583&lt;$U$9,MOD(INT(1583/$U$8),$U$7)+1,1)</f>
        <v/>
      </c>
      <c r="BP1596">
        <f>IF(1583&lt;$U$9,MOD(1583,$U$8)+1,1)</f>
        <v/>
      </c>
      <c r="BQ1596">
        <f>IF(1583&lt;$U$9,SUMPRODUCT(($D$10:$L$10&lt;&gt;"")*(($D$9:$L$9+INT(($S$12:$AA$12+INDEX($AJ$13:$AR$162,BN1596,0)+INDEX($AT$13:$BB$162,BO1596,0)+INDEX($BD$13:$BL$162,BP1596,0))/100))&gt;=$D$10:$L$10)),0)</f>
        <v/>
      </c>
      <c r="BR1596">
        <f>IF(1583&lt;$U$9,SUMPRODUCT(($D$10:$L$10&lt;&gt;"")*(($D$10:$L$10-($D$9:$L$9+INT(($S$12:$AA$12+INDEX($AJ$13:$AR$162,BN1596,0)+INDEX($AT$13:$BB$162,BO1596,0)+INDEX($BD$13:$BL$162,BP1596,0))/100)))&gt;0)*($D$10:$L$10-($D$9:$L$9+INT(($S$12:$AA$12+INDEX($AJ$13:$AR$162,BN1596,0)+INDEX($AT$13:$BB$162,BO1596,0)+INDEX($BD$13:$BL$162,BP1596,0))/100)))),0)</f>
        <v/>
      </c>
      <c r="BS1596">
        <f>IF(1583&lt;$U$9,SUMPRODUCT(($D$9:$L$9+INT(($S$12:$AA$12+INDEX($AJ$13:$AR$162,BN1596,0)+INDEX($AT$13:$BB$162,BO1596,0)+INDEX($BD$13:$BL$162,BP1596,0))/100))),0)</f>
        <v/>
      </c>
      <c r="BT1596">
        <f>IF(AND(1583&lt;$U$9,$W$5),BQ1596*1000000-MIN(BR1596,999)*1000+BS1596-1583/100000,-1000000000-1583)</f>
        <v/>
      </c>
    </row>
    <row r="1597">
      <c r="BN1597">
        <f>IF(1584&lt;$U$9,INT(1584/($U$7*$U$8))+1,1)</f>
        <v/>
      </c>
      <c r="BO1597">
        <f>IF(1584&lt;$U$9,MOD(INT(1584/$U$8),$U$7)+1,1)</f>
        <v/>
      </c>
      <c r="BP1597">
        <f>IF(1584&lt;$U$9,MOD(1584,$U$8)+1,1)</f>
        <v/>
      </c>
      <c r="BQ1597">
        <f>IF(1584&lt;$U$9,SUMPRODUCT(($D$10:$L$10&lt;&gt;"")*(($D$9:$L$9+INT(($S$12:$AA$12+INDEX($AJ$13:$AR$162,BN1597,0)+INDEX($AT$13:$BB$162,BO1597,0)+INDEX($BD$13:$BL$162,BP1597,0))/100))&gt;=$D$10:$L$10)),0)</f>
        <v/>
      </c>
      <c r="BR1597">
        <f>IF(1584&lt;$U$9,SUMPRODUCT(($D$10:$L$10&lt;&gt;"")*(($D$10:$L$10-($D$9:$L$9+INT(($S$12:$AA$12+INDEX($AJ$13:$AR$162,BN1597,0)+INDEX($AT$13:$BB$162,BO1597,0)+INDEX($BD$13:$BL$162,BP1597,0))/100)))&gt;0)*($D$10:$L$10-($D$9:$L$9+INT(($S$12:$AA$12+INDEX($AJ$13:$AR$162,BN1597,0)+INDEX($AT$13:$BB$162,BO1597,0)+INDEX($BD$13:$BL$162,BP1597,0))/100)))),0)</f>
        <v/>
      </c>
      <c r="BS1597">
        <f>IF(1584&lt;$U$9,SUMPRODUCT(($D$9:$L$9+INT(($S$12:$AA$12+INDEX($AJ$13:$AR$162,BN1597,0)+INDEX($AT$13:$BB$162,BO1597,0)+INDEX($BD$13:$BL$162,BP1597,0))/100))),0)</f>
        <v/>
      </c>
      <c r="BT1597">
        <f>IF(AND(1584&lt;$U$9,$W$5),BQ1597*1000000-MIN(BR1597,999)*1000+BS1597-1584/100000,-1000000000-1584)</f>
        <v/>
      </c>
    </row>
    <row r="1598">
      <c r="BN1598">
        <f>IF(1585&lt;$U$9,INT(1585/($U$7*$U$8))+1,1)</f>
        <v/>
      </c>
      <c r="BO1598">
        <f>IF(1585&lt;$U$9,MOD(INT(1585/$U$8),$U$7)+1,1)</f>
        <v/>
      </c>
      <c r="BP1598">
        <f>IF(1585&lt;$U$9,MOD(1585,$U$8)+1,1)</f>
        <v/>
      </c>
      <c r="BQ1598">
        <f>IF(1585&lt;$U$9,SUMPRODUCT(($D$10:$L$10&lt;&gt;"")*(($D$9:$L$9+INT(($S$12:$AA$12+INDEX($AJ$13:$AR$162,BN1598,0)+INDEX($AT$13:$BB$162,BO1598,0)+INDEX($BD$13:$BL$162,BP1598,0))/100))&gt;=$D$10:$L$10)),0)</f>
        <v/>
      </c>
      <c r="BR1598">
        <f>IF(1585&lt;$U$9,SUMPRODUCT(($D$10:$L$10&lt;&gt;"")*(($D$10:$L$10-($D$9:$L$9+INT(($S$12:$AA$12+INDEX($AJ$13:$AR$162,BN1598,0)+INDEX($AT$13:$BB$162,BO1598,0)+INDEX($BD$13:$BL$162,BP1598,0))/100)))&gt;0)*($D$10:$L$10-($D$9:$L$9+INT(($S$12:$AA$12+INDEX($AJ$13:$AR$162,BN1598,0)+INDEX($AT$13:$BB$162,BO1598,0)+INDEX($BD$13:$BL$162,BP1598,0))/100)))),0)</f>
        <v/>
      </c>
      <c r="BS1598">
        <f>IF(1585&lt;$U$9,SUMPRODUCT(($D$9:$L$9+INT(($S$12:$AA$12+INDEX($AJ$13:$AR$162,BN1598,0)+INDEX($AT$13:$BB$162,BO1598,0)+INDEX($BD$13:$BL$162,BP1598,0))/100))),0)</f>
        <v/>
      </c>
      <c r="BT1598">
        <f>IF(AND(1585&lt;$U$9,$W$5),BQ1598*1000000-MIN(BR1598,999)*1000+BS1598-1585/100000,-1000000000-1585)</f>
        <v/>
      </c>
    </row>
    <row r="1599">
      <c r="BN1599">
        <f>IF(1586&lt;$U$9,INT(1586/($U$7*$U$8))+1,1)</f>
        <v/>
      </c>
      <c r="BO1599">
        <f>IF(1586&lt;$U$9,MOD(INT(1586/$U$8),$U$7)+1,1)</f>
        <v/>
      </c>
      <c r="BP1599">
        <f>IF(1586&lt;$U$9,MOD(1586,$U$8)+1,1)</f>
        <v/>
      </c>
      <c r="BQ1599">
        <f>IF(1586&lt;$U$9,SUMPRODUCT(($D$10:$L$10&lt;&gt;"")*(($D$9:$L$9+INT(($S$12:$AA$12+INDEX($AJ$13:$AR$162,BN1599,0)+INDEX($AT$13:$BB$162,BO1599,0)+INDEX($BD$13:$BL$162,BP1599,0))/100))&gt;=$D$10:$L$10)),0)</f>
        <v/>
      </c>
      <c r="BR1599">
        <f>IF(1586&lt;$U$9,SUMPRODUCT(($D$10:$L$10&lt;&gt;"")*(($D$10:$L$10-($D$9:$L$9+INT(($S$12:$AA$12+INDEX($AJ$13:$AR$162,BN1599,0)+INDEX($AT$13:$BB$162,BO1599,0)+INDEX($BD$13:$BL$162,BP1599,0))/100)))&gt;0)*($D$10:$L$10-($D$9:$L$9+INT(($S$12:$AA$12+INDEX($AJ$13:$AR$162,BN1599,0)+INDEX($AT$13:$BB$162,BO1599,0)+INDEX($BD$13:$BL$162,BP1599,0))/100)))),0)</f>
        <v/>
      </c>
      <c r="BS1599">
        <f>IF(1586&lt;$U$9,SUMPRODUCT(($D$9:$L$9+INT(($S$12:$AA$12+INDEX($AJ$13:$AR$162,BN1599,0)+INDEX($AT$13:$BB$162,BO1599,0)+INDEX($BD$13:$BL$162,BP1599,0))/100))),0)</f>
        <v/>
      </c>
      <c r="BT1599">
        <f>IF(AND(1586&lt;$U$9,$W$5),BQ1599*1000000-MIN(BR1599,999)*1000+BS1599-1586/100000,-1000000000-1586)</f>
        <v/>
      </c>
    </row>
    <row r="1600">
      <c r="BN1600">
        <f>IF(1587&lt;$U$9,INT(1587/($U$7*$U$8))+1,1)</f>
        <v/>
      </c>
      <c r="BO1600">
        <f>IF(1587&lt;$U$9,MOD(INT(1587/$U$8),$U$7)+1,1)</f>
        <v/>
      </c>
      <c r="BP1600">
        <f>IF(1587&lt;$U$9,MOD(1587,$U$8)+1,1)</f>
        <v/>
      </c>
      <c r="BQ1600">
        <f>IF(1587&lt;$U$9,SUMPRODUCT(($D$10:$L$10&lt;&gt;"")*(($D$9:$L$9+INT(($S$12:$AA$12+INDEX($AJ$13:$AR$162,BN1600,0)+INDEX($AT$13:$BB$162,BO1600,0)+INDEX($BD$13:$BL$162,BP1600,0))/100))&gt;=$D$10:$L$10)),0)</f>
        <v/>
      </c>
      <c r="BR1600">
        <f>IF(1587&lt;$U$9,SUMPRODUCT(($D$10:$L$10&lt;&gt;"")*(($D$10:$L$10-($D$9:$L$9+INT(($S$12:$AA$12+INDEX($AJ$13:$AR$162,BN1600,0)+INDEX($AT$13:$BB$162,BO1600,0)+INDEX($BD$13:$BL$162,BP1600,0))/100)))&gt;0)*($D$10:$L$10-($D$9:$L$9+INT(($S$12:$AA$12+INDEX($AJ$13:$AR$162,BN1600,0)+INDEX($AT$13:$BB$162,BO1600,0)+INDEX($BD$13:$BL$162,BP1600,0))/100)))),0)</f>
        <v/>
      </c>
      <c r="BS1600">
        <f>IF(1587&lt;$U$9,SUMPRODUCT(($D$9:$L$9+INT(($S$12:$AA$12+INDEX($AJ$13:$AR$162,BN1600,0)+INDEX($AT$13:$BB$162,BO1600,0)+INDEX($BD$13:$BL$162,BP1600,0))/100))),0)</f>
        <v/>
      </c>
      <c r="BT1600">
        <f>IF(AND(1587&lt;$U$9,$W$5),BQ1600*1000000-MIN(BR1600,999)*1000+BS1600-1587/100000,-1000000000-1587)</f>
        <v/>
      </c>
    </row>
    <row r="1601">
      <c r="BN1601">
        <f>IF(1588&lt;$U$9,INT(1588/($U$7*$U$8))+1,1)</f>
        <v/>
      </c>
      <c r="BO1601">
        <f>IF(1588&lt;$U$9,MOD(INT(1588/$U$8),$U$7)+1,1)</f>
        <v/>
      </c>
      <c r="BP1601">
        <f>IF(1588&lt;$U$9,MOD(1588,$U$8)+1,1)</f>
        <v/>
      </c>
      <c r="BQ1601">
        <f>IF(1588&lt;$U$9,SUMPRODUCT(($D$10:$L$10&lt;&gt;"")*(($D$9:$L$9+INT(($S$12:$AA$12+INDEX($AJ$13:$AR$162,BN1601,0)+INDEX($AT$13:$BB$162,BO1601,0)+INDEX($BD$13:$BL$162,BP1601,0))/100))&gt;=$D$10:$L$10)),0)</f>
        <v/>
      </c>
      <c r="BR1601">
        <f>IF(1588&lt;$U$9,SUMPRODUCT(($D$10:$L$10&lt;&gt;"")*(($D$10:$L$10-($D$9:$L$9+INT(($S$12:$AA$12+INDEX($AJ$13:$AR$162,BN1601,0)+INDEX($AT$13:$BB$162,BO1601,0)+INDEX($BD$13:$BL$162,BP1601,0))/100)))&gt;0)*($D$10:$L$10-($D$9:$L$9+INT(($S$12:$AA$12+INDEX($AJ$13:$AR$162,BN1601,0)+INDEX($AT$13:$BB$162,BO1601,0)+INDEX($BD$13:$BL$162,BP1601,0))/100)))),0)</f>
        <v/>
      </c>
      <c r="BS1601">
        <f>IF(1588&lt;$U$9,SUMPRODUCT(($D$9:$L$9+INT(($S$12:$AA$12+INDEX($AJ$13:$AR$162,BN1601,0)+INDEX($AT$13:$BB$162,BO1601,0)+INDEX($BD$13:$BL$162,BP1601,0))/100))),0)</f>
        <v/>
      </c>
      <c r="BT1601">
        <f>IF(AND(1588&lt;$U$9,$W$5),BQ1601*1000000-MIN(BR1601,999)*1000+BS1601-1588/100000,-1000000000-1588)</f>
        <v/>
      </c>
    </row>
    <row r="1602">
      <c r="BN1602">
        <f>IF(1589&lt;$U$9,INT(1589/($U$7*$U$8))+1,1)</f>
        <v/>
      </c>
      <c r="BO1602">
        <f>IF(1589&lt;$U$9,MOD(INT(1589/$U$8),$U$7)+1,1)</f>
        <v/>
      </c>
      <c r="BP1602">
        <f>IF(1589&lt;$U$9,MOD(1589,$U$8)+1,1)</f>
        <v/>
      </c>
      <c r="BQ1602">
        <f>IF(1589&lt;$U$9,SUMPRODUCT(($D$10:$L$10&lt;&gt;"")*(($D$9:$L$9+INT(($S$12:$AA$12+INDEX($AJ$13:$AR$162,BN1602,0)+INDEX($AT$13:$BB$162,BO1602,0)+INDEX($BD$13:$BL$162,BP1602,0))/100))&gt;=$D$10:$L$10)),0)</f>
        <v/>
      </c>
      <c r="BR1602">
        <f>IF(1589&lt;$U$9,SUMPRODUCT(($D$10:$L$10&lt;&gt;"")*(($D$10:$L$10-($D$9:$L$9+INT(($S$12:$AA$12+INDEX($AJ$13:$AR$162,BN1602,0)+INDEX($AT$13:$BB$162,BO1602,0)+INDEX($BD$13:$BL$162,BP1602,0))/100)))&gt;0)*($D$10:$L$10-($D$9:$L$9+INT(($S$12:$AA$12+INDEX($AJ$13:$AR$162,BN1602,0)+INDEX($AT$13:$BB$162,BO1602,0)+INDEX($BD$13:$BL$162,BP1602,0))/100)))),0)</f>
        <v/>
      </c>
      <c r="BS1602">
        <f>IF(1589&lt;$U$9,SUMPRODUCT(($D$9:$L$9+INT(($S$12:$AA$12+INDEX($AJ$13:$AR$162,BN1602,0)+INDEX($AT$13:$BB$162,BO1602,0)+INDEX($BD$13:$BL$162,BP1602,0))/100))),0)</f>
        <v/>
      </c>
      <c r="BT1602">
        <f>IF(AND(1589&lt;$U$9,$W$5),BQ1602*1000000-MIN(BR1602,999)*1000+BS1602-1589/100000,-1000000000-1589)</f>
        <v/>
      </c>
    </row>
    <row r="1603">
      <c r="BN1603">
        <f>IF(1590&lt;$U$9,INT(1590/($U$7*$U$8))+1,1)</f>
        <v/>
      </c>
      <c r="BO1603">
        <f>IF(1590&lt;$U$9,MOD(INT(1590/$U$8),$U$7)+1,1)</f>
        <v/>
      </c>
      <c r="BP1603">
        <f>IF(1590&lt;$U$9,MOD(1590,$U$8)+1,1)</f>
        <v/>
      </c>
      <c r="BQ1603">
        <f>IF(1590&lt;$U$9,SUMPRODUCT(($D$10:$L$10&lt;&gt;"")*(($D$9:$L$9+INT(($S$12:$AA$12+INDEX($AJ$13:$AR$162,BN1603,0)+INDEX($AT$13:$BB$162,BO1603,0)+INDEX($BD$13:$BL$162,BP1603,0))/100))&gt;=$D$10:$L$10)),0)</f>
        <v/>
      </c>
      <c r="BR1603">
        <f>IF(1590&lt;$U$9,SUMPRODUCT(($D$10:$L$10&lt;&gt;"")*(($D$10:$L$10-($D$9:$L$9+INT(($S$12:$AA$12+INDEX($AJ$13:$AR$162,BN1603,0)+INDEX($AT$13:$BB$162,BO1603,0)+INDEX($BD$13:$BL$162,BP1603,0))/100)))&gt;0)*($D$10:$L$10-($D$9:$L$9+INT(($S$12:$AA$12+INDEX($AJ$13:$AR$162,BN1603,0)+INDEX($AT$13:$BB$162,BO1603,0)+INDEX($BD$13:$BL$162,BP1603,0))/100)))),0)</f>
        <v/>
      </c>
      <c r="BS1603">
        <f>IF(1590&lt;$U$9,SUMPRODUCT(($D$9:$L$9+INT(($S$12:$AA$12+INDEX($AJ$13:$AR$162,BN1603,0)+INDEX($AT$13:$BB$162,BO1603,0)+INDEX($BD$13:$BL$162,BP1603,0))/100))),0)</f>
        <v/>
      </c>
      <c r="BT1603">
        <f>IF(AND(1590&lt;$U$9,$W$5),BQ1603*1000000-MIN(BR1603,999)*1000+BS1603-1590/100000,-1000000000-1590)</f>
        <v/>
      </c>
    </row>
    <row r="1604">
      <c r="BN1604">
        <f>IF(1591&lt;$U$9,INT(1591/($U$7*$U$8))+1,1)</f>
        <v/>
      </c>
      <c r="BO1604">
        <f>IF(1591&lt;$U$9,MOD(INT(1591/$U$8),$U$7)+1,1)</f>
        <v/>
      </c>
      <c r="BP1604">
        <f>IF(1591&lt;$U$9,MOD(1591,$U$8)+1,1)</f>
        <v/>
      </c>
      <c r="BQ1604">
        <f>IF(1591&lt;$U$9,SUMPRODUCT(($D$10:$L$10&lt;&gt;"")*(($D$9:$L$9+INT(($S$12:$AA$12+INDEX($AJ$13:$AR$162,BN1604,0)+INDEX($AT$13:$BB$162,BO1604,0)+INDEX($BD$13:$BL$162,BP1604,0))/100))&gt;=$D$10:$L$10)),0)</f>
        <v/>
      </c>
      <c r="BR1604">
        <f>IF(1591&lt;$U$9,SUMPRODUCT(($D$10:$L$10&lt;&gt;"")*(($D$10:$L$10-($D$9:$L$9+INT(($S$12:$AA$12+INDEX($AJ$13:$AR$162,BN1604,0)+INDEX($AT$13:$BB$162,BO1604,0)+INDEX($BD$13:$BL$162,BP1604,0))/100)))&gt;0)*($D$10:$L$10-($D$9:$L$9+INT(($S$12:$AA$12+INDEX($AJ$13:$AR$162,BN1604,0)+INDEX($AT$13:$BB$162,BO1604,0)+INDEX($BD$13:$BL$162,BP1604,0))/100)))),0)</f>
        <v/>
      </c>
      <c r="BS1604">
        <f>IF(1591&lt;$U$9,SUMPRODUCT(($D$9:$L$9+INT(($S$12:$AA$12+INDEX($AJ$13:$AR$162,BN1604,0)+INDEX($AT$13:$BB$162,BO1604,0)+INDEX($BD$13:$BL$162,BP1604,0))/100))),0)</f>
        <v/>
      </c>
      <c r="BT1604">
        <f>IF(AND(1591&lt;$U$9,$W$5),BQ1604*1000000-MIN(BR1604,999)*1000+BS1604-1591/100000,-1000000000-1591)</f>
        <v/>
      </c>
    </row>
    <row r="1605">
      <c r="BN1605">
        <f>IF(1592&lt;$U$9,INT(1592/($U$7*$U$8))+1,1)</f>
        <v/>
      </c>
      <c r="BO1605">
        <f>IF(1592&lt;$U$9,MOD(INT(1592/$U$8),$U$7)+1,1)</f>
        <v/>
      </c>
      <c r="BP1605">
        <f>IF(1592&lt;$U$9,MOD(1592,$U$8)+1,1)</f>
        <v/>
      </c>
      <c r="BQ1605">
        <f>IF(1592&lt;$U$9,SUMPRODUCT(($D$10:$L$10&lt;&gt;"")*(($D$9:$L$9+INT(($S$12:$AA$12+INDEX($AJ$13:$AR$162,BN1605,0)+INDEX($AT$13:$BB$162,BO1605,0)+INDEX($BD$13:$BL$162,BP1605,0))/100))&gt;=$D$10:$L$10)),0)</f>
        <v/>
      </c>
      <c r="BR1605">
        <f>IF(1592&lt;$U$9,SUMPRODUCT(($D$10:$L$10&lt;&gt;"")*(($D$10:$L$10-($D$9:$L$9+INT(($S$12:$AA$12+INDEX($AJ$13:$AR$162,BN1605,0)+INDEX($AT$13:$BB$162,BO1605,0)+INDEX($BD$13:$BL$162,BP1605,0))/100)))&gt;0)*($D$10:$L$10-($D$9:$L$9+INT(($S$12:$AA$12+INDEX($AJ$13:$AR$162,BN1605,0)+INDEX($AT$13:$BB$162,BO1605,0)+INDEX($BD$13:$BL$162,BP1605,0))/100)))),0)</f>
        <v/>
      </c>
      <c r="BS1605">
        <f>IF(1592&lt;$U$9,SUMPRODUCT(($D$9:$L$9+INT(($S$12:$AA$12+INDEX($AJ$13:$AR$162,BN1605,0)+INDEX($AT$13:$BB$162,BO1605,0)+INDEX($BD$13:$BL$162,BP1605,0))/100))),0)</f>
        <v/>
      </c>
      <c r="BT1605">
        <f>IF(AND(1592&lt;$U$9,$W$5),BQ1605*1000000-MIN(BR1605,999)*1000+BS1605-1592/100000,-1000000000-1592)</f>
        <v/>
      </c>
    </row>
    <row r="1606">
      <c r="BN1606">
        <f>IF(1593&lt;$U$9,INT(1593/($U$7*$U$8))+1,1)</f>
        <v/>
      </c>
      <c r="BO1606">
        <f>IF(1593&lt;$U$9,MOD(INT(1593/$U$8),$U$7)+1,1)</f>
        <v/>
      </c>
      <c r="BP1606">
        <f>IF(1593&lt;$U$9,MOD(1593,$U$8)+1,1)</f>
        <v/>
      </c>
      <c r="BQ1606">
        <f>IF(1593&lt;$U$9,SUMPRODUCT(($D$10:$L$10&lt;&gt;"")*(($D$9:$L$9+INT(($S$12:$AA$12+INDEX($AJ$13:$AR$162,BN1606,0)+INDEX($AT$13:$BB$162,BO1606,0)+INDEX($BD$13:$BL$162,BP1606,0))/100))&gt;=$D$10:$L$10)),0)</f>
        <v/>
      </c>
      <c r="BR1606">
        <f>IF(1593&lt;$U$9,SUMPRODUCT(($D$10:$L$10&lt;&gt;"")*(($D$10:$L$10-($D$9:$L$9+INT(($S$12:$AA$12+INDEX($AJ$13:$AR$162,BN1606,0)+INDEX($AT$13:$BB$162,BO1606,0)+INDEX($BD$13:$BL$162,BP1606,0))/100)))&gt;0)*($D$10:$L$10-($D$9:$L$9+INT(($S$12:$AA$12+INDEX($AJ$13:$AR$162,BN1606,0)+INDEX($AT$13:$BB$162,BO1606,0)+INDEX($BD$13:$BL$162,BP1606,0))/100)))),0)</f>
        <v/>
      </c>
      <c r="BS1606">
        <f>IF(1593&lt;$U$9,SUMPRODUCT(($D$9:$L$9+INT(($S$12:$AA$12+INDEX($AJ$13:$AR$162,BN1606,0)+INDEX($AT$13:$BB$162,BO1606,0)+INDEX($BD$13:$BL$162,BP1606,0))/100))),0)</f>
        <v/>
      </c>
      <c r="BT1606">
        <f>IF(AND(1593&lt;$U$9,$W$5),BQ1606*1000000-MIN(BR1606,999)*1000+BS1606-1593/100000,-1000000000-1593)</f>
        <v/>
      </c>
    </row>
    <row r="1607">
      <c r="BN1607">
        <f>IF(1594&lt;$U$9,INT(1594/($U$7*$U$8))+1,1)</f>
        <v/>
      </c>
      <c r="BO1607">
        <f>IF(1594&lt;$U$9,MOD(INT(1594/$U$8),$U$7)+1,1)</f>
        <v/>
      </c>
      <c r="BP1607">
        <f>IF(1594&lt;$U$9,MOD(1594,$U$8)+1,1)</f>
        <v/>
      </c>
      <c r="BQ1607">
        <f>IF(1594&lt;$U$9,SUMPRODUCT(($D$10:$L$10&lt;&gt;"")*(($D$9:$L$9+INT(($S$12:$AA$12+INDEX($AJ$13:$AR$162,BN1607,0)+INDEX($AT$13:$BB$162,BO1607,0)+INDEX($BD$13:$BL$162,BP1607,0))/100))&gt;=$D$10:$L$10)),0)</f>
        <v/>
      </c>
      <c r="BR1607">
        <f>IF(1594&lt;$U$9,SUMPRODUCT(($D$10:$L$10&lt;&gt;"")*(($D$10:$L$10-($D$9:$L$9+INT(($S$12:$AA$12+INDEX($AJ$13:$AR$162,BN1607,0)+INDEX($AT$13:$BB$162,BO1607,0)+INDEX($BD$13:$BL$162,BP1607,0))/100)))&gt;0)*($D$10:$L$10-($D$9:$L$9+INT(($S$12:$AA$12+INDEX($AJ$13:$AR$162,BN1607,0)+INDEX($AT$13:$BB$162,BO1607,0)+INDEX($BD$13:$BL$162,BP1607,0))/100)))),0)</f>
        <v/>
      </c>
      <c r="BS1607">
        <f>IF(1594&lt;$U$9,SUMPRODUCT(($D$9:$L$9+INT(($S$12:$AA$12+INDEX($AJ$13:$AR$162,BN1607,0)+INDEX($AT$13:$BB$162,BO1607,0)+INDEX($BD$13:$BL$162,BP1607,0))/100))),0)</f>
        <v/>
      </c>
      <c r="BT1607">
        <f>IF(AND(1594&lt;$U$9,$W$5),BQ1607*1000000-MIN(BR1607,999)*1000+BS1607-1594/100000,-1000000000-1594)</f>
        <v/>
      </c>
    </row>
    <row r="1608">
      <c r="BN1608">
        <f>IF(1595&lt;$U$9,INT(1595/($U$7*$U$8))+1,1)</f>
        <v/>
      </c>
      <c r="BO1608">
        <f>IF(1595&lt;$U$9,MOD(INT(1595/$U$8),$U$7)+1,1)</f>
        <v/>
      </c>
      <c r="BP1608">
        <f>IF(1595&lt;$U$9,MOD(1595,$U$8)+1,1)</f>
        <v/>
      </c>
      <c r="BQ1608">
        <f>IF(1595&lt;$U$9,SUMPRODUCT(($D$10:$L$10&lt;&gt;"")*(($D$9:$L$9+INT(($S$12:$AA$12+INDEX($AJ$13:$AR$162,BN1608,0)+INDEX($AT$13:$BB$162,BO1608,0)+INDEX($BD$13:$BL$162,BP1608,0))/100))&gt;=$D$10:$L$10)),0)</f>
        <v/>
      </c>
      <c r="BR1608">
        <f>IF(1595&lt;$U$9,SUMPRODUCT(($D$10:$L$10&lt;&gt;"")*(($D$10:$L$10-($D$9:$L$9+INT(($S$12:$AA$12+INDEX($AJ$13:$AR$162,BN1608,0)+INDEX($AT$13:$BB$162,BO1608,0)+INDEX($BD$13:$BL$162,BP1608,0))/100)))&gt;0)*($D$10:$L$10-($D$9:$L$9+INT(($S$12:$AA$12+INDEX($AJ$13:$AR$162,BN1608,0)+INDEX($AT$13:$BB$162,BO1608,0)+INDEX($BD$13:$BL$162,BP1608,0))/100)))),0)</f>
        <v/>
      </c>
      <c r="BS1608">
        <f>IF(1595&lt;$U$9,SUMPRODUCT(($D$9:$L$9+INT(($S$12:$AA$12+INDEX($AJ$13:$AR$162,BN1608,0)+INDEX($AT$13:$BB$162,BO1608,0)+INDEX($BD$13:$BL$162,BP1608,0))/100))),0)</f>
        <v/>
      </c>
      <c r="BT1608">
        <f>IF(AND(1595&lt;$U$9,$W$5),BQ1608*1000000-MIN(BR1608,999)*1000+BS1608-1595/100000,-1000000000-1595)</f>
        <v/>
      </c>
    </row>
    <row r="1609">
      <c r="BN1609">
        <f>IF(1596&lt;$U$9,INT(1596/($U$7*$U$8))+1,1)</f>
        <v/>
      </c>
      <c r="BO1609">
        <f>IF(1596&lt;$U$9,MOD(INT(1596/$U$8),$U$7)+1,1)</f>
        <v/>
      </c>
      <c r="BP1609">
        <f>IF(1596&lt;$U$9,MOD(1596,$U$8)+1,1)</f>
        <v/>
      </c>
      <c r="BQ1609">
        <f>IF(1596&lt;$U$9,SUMPRODUCT(($D$10:$L$10&lt;&gt;"")*(($D$9:$L$9+INT(($S$12:$AA$12+INDEX($AJ$13:$AR$162,BN1609,0)+INDEX($AT$13:$BB$162,BO1609,0)+INDEX($BD$13:$BL$162,BP1609,0))/100))&gt;=$D$10:$L$10)),0)</f>
        <v/>
      </c>
      <c r="BR1609">
        <f>IF(1596&lt;$U$9,SUMPRODUCT(($D$10:$L$10&lt;&gt;"")*(($D$10:$L$10-($D$9:$L$9+INT(($S$12:$AA$12+INDEX($AJ$13:$AR$162,BN1609,0)+INDEX($AT$13:$BB$162,BO1609,0)+INDEX($BD$13:$BL$162,BP1609,0))/100)))&gt;0)*($D$10:$L$10-($D$9:$L$9+INT(($S$12:$AA$12+INDEX($AJ$13:$AR$162,BN1609,0)+INDEX($AT$13:$BB$162,BO1609,0)+INDEX($BD$13:$BL$162,BP1609,0))/100)))),0)</f>
        <v/>
      </c>
      <c r="BS1609">
        <f>IF(1596&lt;$U$9,SUMPRODUCT(($D$9:$L$9+INT(($S$12:$AA$12+INDEX($AJ$13:$AR$162,BN1609,0)+INDEX($AT$13:$BB$162,BO1609,0)+INDEX($BD$13:$BL$162,BP1609,0))/100))),0)</f>
        <v/>
      </c>
      <c r="BT1609">
        <f>IF(AND(1596&lt;$U$9,$W$5),BQ1609*1000000-MIN(BR1609,999)*1000+BS1609-1596/100000,-1000000000-1596)</f>
        <v/>
      </c>
    </row>
    <row r="1610">
      <c r="BN1610">
        <f>IF(1597&lt;$U$9,INT(1597/($U$7*$U$8))+1,1)</f>
        <v/>
      </c>
      <c r="BO1610">
        <f>IF(1597&lt;$U$9,MOD(INT(1597/$U$8),$U$7)+1,1)</f>
        <v/>
      </c>
      <c r="BP1610">
        <f>IF(1597&lt;$U$9,MOD(1597,$U$8)+1,1)</f>
        <v/>
      </c>
      <c r="BQ1610">
        <f>IF(1597&lt;$U$9,SUMPRODUCT(($D$10:$L$10&lt;&gt;"")*(($D$9:$L$9+INT(($S$12:$AA$12+INDEX($AJ$13:$AR$162,BN1610,0)+INDEX($AT$13:$BB$162,BO1610,0)+INDEX($BD$13:$BL$162,BP1610,0))/100))&gt;=$D$10:$L$10)),0)</f>
        <v/>
      </c>
      <c r="BR1610">
        <f>IF(1597&lt;$U$9,SUMPRODUCT(($D$10:$L$10&lt;&gt;"")*(($D$10:$L$10-($D$9:$L$9+INT(($S$12:$AA$12+INDEX($AJ$13:$AR$162,BN1610,0)+INDEX($AT$13:$BB$162,BO1610,0)+INDEX($BD$13:$BL$162,BP1610,0))/100)))&gt;0)*($D$10:$L$10-($D$9:$L$9+INT(($S$12:$AA$12+INDEX($AJ$13:$AR$162,BN1610,0)+INDEX($AT$13:$BB$162,BO1610,0)+INDEX($BD$13:$BL$162,BP1610,0))/100)))),0)</f>
        <v/>
      </c>
      <c r="BS1610">
        <f>IF(1597&lt;$U$9,SUMPRODUCT(($D$9:$L$9+INT(($S$12:$AA$12+INDEX($AJ$13:$AR$162,BN1610,0)+INDEX($AT$13:$BB$162,BO1610,0)+INDEX($BD$13:$BL$162,BP1610,0))/100))),0)</f>
        <v/>
      </c>
      <c r="BT1610">
        <f>IF(AND(1597&lt;$U$9,$W$5),BQ1610*1000000-MIN(BR1610,999)*1000+BS1610-1597/100000,-1000000000-1597)</f>
        <v/>
      </c>
    </row>
    <row r="1611">
      <c r="BN1611">
        <f>IF(1598&lt;$U$9,INT(1598/($U$7*$U$8))+1,1)</f>
        <v/>
      </c>
      <c r="BO1611">
        <f>IF(1598&lt;$U$9,MOD(INT(1598/$U$8),$U$7)+1,1)</f>
        <v/>
      </c>
      <c r="BP1611">
        <f>IF(1598&lt;$U$9,MOD(1598,$U$8)+1,1)</f>
        <v/>
      </c>
      <c r="BQ1611">
        <f>IF(1598&lt;$U$9,SUMPRODUCT(($D$10:$L$10&lt;&gt;"")*(($D$9:$L$9+INT(($S$12:$AA$12+INDEX($AJ$13:$AR$162,BN1611,0)+INDEX($AT$13:$BB$162,BO1611,0)+INDEX($BD$13:$BL$162,BP1611,0))/100))&gt;=$D$10:$L$10)),0)</f>
        <v/>
      </c>
      <c r="BR1611">
        <f>IF(1598&lt;$U$9,SUMPRODUCT(($D$10:$L$10&lt;&gt;"")*(($D$10:$L$10-($D$9:$L$9+INT(($S$12:$AA$12+INDEX($AJ$13:$AR$162,BN1611,0)+INDEX($AT$13:$BB$162,BO1611,0)+INDEX($BD$13:$BL$162,BP1611,0))/100)))&gt;0)*($D$10:$L$10-($D$9:$L$9+INT(($S$12:$AA$12+INDEX($AJ$13:$AR$162,BN1611,0)+INDEX($AT$13:$BB$162,BO1611,0)+INDEX($BD$13:$BL$162,BP1611,0))/100)))),0)</f>
        <v/>
      </c>
      <c r="BS1611">
        <f>IF(1598&lt;$U$9,SUMPRODUCT(($D$9:$L$9+INT(($S$12:$AA$12+INDEX($AJ$13:$AR$162,BN1611,0)+INDEX($AT$13:$BB$162,BO1611,0)+INDEX($BD$13:$BL$162,BP1611,0))/100))),0)</f>
        <v/>
      </c>
      <c r="BT1611">
        <f>IF(AND(1598&lt;$U$9,$W$5),BQ1611*1000000-MIN(BR1611,999)*1000+BS1611-1598/100000,-1000000000-1598)</f>
        <v/>
      </c>
    </row>
    <row r="1612">
      <c r="BN1612">
        <f>IF(1599&lt;$U$9,INT(1599/($U$7*$U$8))+1,1)</f>
        <v/>
      </c>
      <c r="BO1612">
        <f>IF(1599&lt;$U$9,MOD(INT(1599/$U$8),$U$7)+1,1)</f>
        <v/>
      </c>
      <c r="BP1612">
        <f>IF(1599&lt;$U$9,MOD(1599,$U$8)+1,1)</f>
        <v/>
      </c>
      <c r="BQ1612">
        <f>IF(1599&lt;$U$9,SUMPRODUCT(($D$10:$L$10&lt;&gt;"")*(($D$9:$L$9+INT(($S$12:$AA$12+INDEX($AJ$13:$AR$162,BN1612,0)+INDEX($AT$13:$BB$162,BO1612,0)+INDEX($BD$13:$BL$162,BP1612,0))/100))&gt;=$D$10:$L$10)),0)</f>
        <v/>
      </c>
      <c r="BR1612">
        <f>IF(1599&lt;$U$9,SUMPRODUCT(($D$10:$L$10&lt;&gt;"")*(($D$10:$L$10-($D$9:$L$9+INT(($S$12:$AA$12+INDEX($AJ$13:$AR$162,BN1612,0)+INDEX($AT$13:$BB$162,BO1612,0)+INDEX($BD$13:$BL$162,BP1612,0))/100)))&gt;0)*($D$10:$L$10-($D$9:$L$9+INT(($S$12:$AA$12+INDEX($AJ$13:$AR$162,BN1612,0)+INDEX($AT$13:$BB$162,BO1612,0)+INDEX($BD$13:$BL$162,BP1612,0))/100)))),0)</f>
        <v/>
      </c>
      <c r="BS1612">
        <f>IF(1599&lt;$U$9,SUMPRODUCT(($D$9:$L$9+INT(($S$12:$AA$12+INDEX($AJ$13:$AR$162,BN1612,0)+INDEX($AT$13:$BB$162,BO1612,0)+INDEX($BD$13:$BL$162,BP1612,0))/100))),0)</f>
        <v/>
      </c>
      <c r="BT1612">
        <f>IF(AND(1599&lt;$U$9,$W$5),BQ1612*1000000-MIN(BR1612,999)*1000+BS1612-1599/100000,-1000000000-1599)</f>
        <v/>
      </c>
    </row>
    <row r="1613">
      <c r="BN1613">
        <f>IF(1600&lt;$U$9,INT(1600/($U$7*$U$8))+1,1)</f>
        <v/>
      </c>
      <c r="BO1613">
        <f>IF(1600&lt;$U$9,MOD(INT(1600/$U$8),$U$7)+1,1)</f>
        <v/>
      </c>
      <c r="BP1613">
        <f>IF(1600&lt;$U$9,MOD(1600,$U$8)+1,1)</f>
        <v/>
      </c>
      <c r="BQ1613">
        <f>IF(1600&lt;$U$9,SUMPRODUCT(($D$10:$L$10&lt;&gt;"")*(($D$9:$L$9+INT(($S$12:$AA$12+INDEX($AJ$13:$AR$162,BN1613,0)+INDEX($AT$13:$BB$162,BO1613,0)+INDEX($BD$13:$BL$162,BP1613,0))/100))&gt;=$D$10:$L$10)),0)</f>
        <v/>
      </c>
      <c r="BR1613">
        <f>IF(1600&lt;$U$9,SUMPRODUCT(($D$10:$L$10&lt;&gt;"")*(($D$10:$L$10-($D$9:$L$9+INT(($S$12:$AA$12+INDEX($AJ$13:$AR$162,BN1613,0)+INDEX($AT$13:$BB$162,BO1613,0)+INDEX($BD$13:$BL$162,BP1613,0))/100)))&gt;0)*($D$10:$L$10-($D$9:$L$9+INT(($S$12:$AA$12+INDEX($AJ$13:$AR$162,BN1613,0)+INDEX($AT$13:$BB$162,BO1613,0)+INDEX($BD$13:$BL$162,BP1613,0))/100)))),0)</f>
        <v/>
      </c>
      <c r="BS1613">
        <f>IF(1600&lt;$U$9,SUMPRODUCT(($D$9:$L$9+INT(($S$12:$AA$12+INDEX($AJ$13:$AR$162,BN1613,0)+INDEX($AT$13:$BB$162,BO1613,0)+INDEX($BD$13:$BL$162,BP1613,0))/100))),0)</f>
        <v/>
      </c>
      <c r="BT1613">
        <f>IF(AND(1600&lt;$U$9,$W$5),BQ1613*1000000-MIN(BR1613,999)*1000+BS1613-1600/100000,-1000000000-1600)</f>
        <v/>
      </c>
    </row>
    <row r="1614">
      <c r="BN1614">
        <f>IF(1601&lt;$U$9,INT(1601/($U$7*$U$8))+1,1)</f>
        <v/>
      </c>
      <c r="BO1614">
        <f>IF(1601&lt;$U$9,MOD(INT(1601/$U$8),$U$7)+1,1)</f>
        <v/>
      </c>
      <c r="BP1614">
        <f>IF(1601&lt;$U$9,MOD(1601,$U$8)+1,1)</f>
        <v/>
      </c>
      <c r="BQ1614">
        <f>IF(1601&lt;$U$9,SUMPRODUCT(($D$10:$L$10&lt;&gt;"")*(($D$9:$L$9+INT(($S$12:$AA$12+INDEX($AJ$13:$AR$162,BN1614,0)+INDEX($AT$13:$BB$162,BO1614,0)+INDEX($BD$13:$BL$162,BP1614,0))/100))&gt;=$D$10:$L$10)),0)</f>
        <v/>
      </c>
      <c r="BR1614">
        <f>IF(1601&lt;$U$9,SUMPRODUCT(($D$10:$L$10&lt;&gt;"")*(($D$10:$L$10-($D$9:$L$9+INT(($S$12:$AA$12+INDEX($AJ$13:$AR$162,BN1614,0)+INDEX($AT$13:$BB$162,BO1614,0)+INDEX($BD$13:$BL$162,BP1614,0))/100)))&gt;0)*($D$10:$L$10-($D$9:$L$9+INT(($S$12:$AA$12+INDEX($AJ$13:$AR$162,BN1614,0)+INDEX($AT$13:$BB$162,BO1614,0)+INDEX($BD$13:$BL$162,BP1614,0))/100)))),0)</f>
        <v/>
      </c>
      <c r="BS1614">
        <f>IF(1601&lt;$U$9,SUMPRODUCT(($D$9:$L$9+INT(($S$12:$AA$12+INDEX($AJ$13:$AR$162,BN1614,0)+INDEX($AT$13:$BB$162,BO1614,0)+INDEX($BD$13:$BL$162,BP1614,0))/100))),0)</f>
        <v/>
      </c>
      <c r="BT1614">
        <f>IF(AND(1601&lt;$U$9,$W$5),BQ1614*1000000-MIN(BR1614,999)*1000+BS1614-1601/100000,-1000000000-1601)</f>
        <v/>
      </c>
    </row>
    <row r="1615">
      <c r="BN1615">
        <f>IF(1602&lt;$U$9,INT(1602/($U$7*$U$8))+1,1)</f>
        <v/>
      </c>
      <c r="BO1615">
        <f>IF(1602&lt;$U$9,MOD(INT(1602/$U$8),$U$7)+1,1)</f>
        <v/>
      </c>
      <c r="BP1615">
        <f>IF(1602&lt;$U$9,MOD(1602,$U$8)+1,1)</f>
        <v/>
      </c>
      <c r="BQ1615">
        <f>IF(1602&lt;$U$9,SUMPRODUCT(($D$10:$L$10&lt;&gt;"")*(($D$9:$L$9+INT(($S$12:$AA$12+INDEX($AJ$13:$AR$162,BN1615,0)+INDEX($AT$13:$BB$162,BO1615,0)+INDEX($BD$13:$BL$162,BP1615,0))/100))&gt;=$D$10:$L$10)),0)</f>
        <v/>
      </c>
      <c r="BR1615">
        <f>IF(1602&lt;$U$9,SUMPRODUCT(($D$10:$L$10&lt;&gt;"")*(($D$10:$L$10-($D$9:$L$9+INT(($S$12:$AA$12+INDEX($AJ$13:$AR$162,BN1615,0)+INDEX($AT$13:$BB$162,BO1615,0)+INDEX($BD$13:$BL$162,BP1615,0))/100)))&gt;0)*($D$10:$L$10-($D$9:$L$9+INT(($S$12:$AA$12+INDEX($AJ$13:$AR$162,BN1615,0)+INDEX($AT$13:$BB$162,BO1615,0)+INDEX($BD$13:$BL$162,BP1615,0))/100)))),0)</f>
        <v/>
      </c>
      <c r="BS1615">
        <f>IF(1602&lt;$U$9,SUMPRODUCT(($D$9:$L$9+INT(($S$12:$AA$12+INDEX($AJ$13:$AR$162,BN1615,0)+INDEX($AT$13:$BB$162,BO1615,0)+INDEX($BD$13:$BL$162,BP1615,0))/100))),0)</f>
        <v/>
      </c>
      <c r="BT1615">
        <f>IF(AND(1602&lt;$U$9,$W$5),BQ1615*1000000-MIN(BR1615,999)*1000+BS1615-1602/100000,-1000000000-1602)</f>
        <v/>
      </c>
    </row>
    <row r="1616">
      <c r="BN1616">
        <f>IF(1603&lt;$U$9,INT(1603/($U$7*$U$8))+1,1)</f>
        <v/>
      </c>
      <c r="BO1616">
        <f>IF(1603&lt;$U$9,MOD(INT(1603/$U$8),$U$7)+1,1)</f>
        <v/>
      </c>
      <c r="BP1616">
        <f>IF(1603&lt;$U$9,MOD(1603,$U$8)+1,1)</f>
        <v/>
      </c>
      <c r="BQ1616">
        <f>IF(1603&lt;$U$9,SUMPRODUCT(($D$10:$L$10&lt;&gt;"")*(($D$9:$L$9+INT(($S$12:$AA$12+INDEX($AJ$13:$AR$162,BN1616,0)+INDEX($AT$13:$BB$162,BO1616,0)+INDEX($BD$13:$BL$162,BP1616,0))/100))&gt;=$D$10:$L$10)),0)</f>
        <v/>
      </c>
      <c r="BR1616">
        <f>IF(1603&lt;$U$9,SUMPRODUCT(($D$10:$L$10&lt;&gt;"")*(($D$10:$L$10-($D$9:$L$9+INT(($S$12:$AA$12+INDEX($AJ$13:$AR$162,BN1616,0)+INDEX($AT$13:$BB$162,BO1616,0)+INDEX($BD$13:$BL$162,BP1616,0))/100)))&gt;0)*($D$10:$L$10-($D$9:$L$9+INT(($S$12:$AA$12+INDEX($AJ$13:$AR$162,BN1616,0)+INDEX($AT$13:$BB$162,BO1616,0)+INDEX($BD$13:$BL$162,BP1616,0))/100)))),0)</f>
        <v/>
      </c>
      <c r="BS1616">
        <f>IF(1603&lt;$U$9,SUMPRODUCT(($D$9:$L$9+INT(($S$12:$AA$12+INDEX($AJ$13:$AR$162,BN1616,0)+INDEX($AT$13:$BB$162,BO1616,0)+INDEX($BD$13:$BL$162,BP1616,0))/100))),0)</f>
        <v/>
      </c>
      <c r="BT1616">
        <f>IF(AND(1603&lt;$U$9,$W$5),BQ1616*1000000-MIN(BR1616,999)*1000+BS1616-1603/100000,-1000000000-1603)</f>
        <v/>
      </c>
    </row>
    <row r="1617">
      <c r="BN1617">
        <f>IF(1604&lt;$U$9,INT(1604/($U$7*$U$8))+1,1)</f>
        <v/>
      </c>
      <c r="BO1617">
        <f>IF(1604&lt;$U$9,MOD(INT(1604/$U$8),$U$7)+1,1)</f>
        <v/>
      </c>
      <c r="BP1617">
        <f>IF(1604&lt;$U$9,MOD(1604,$U$8)+1,1)</f>
        <v/>
      </c>
      <c r="BQ1617">
        <f>IF(1604&lt;$U$9,SUMPRODUCT(($D$10:$L$10&lt;&gt;"")*(($D$9:$L$9+INT(($S$12:$AA$12+INDEX($AJ$13:$AR$162,BN1617,0)+INDEX($AT$13:$BB$162,BO1617,0)+INDEX($BD$13:$BL$162,BP1617,0))/100))&gt;=$D$10:$L$10)),0)</f>
        <v/>
      </c>
      <c r="BR1617">
        <f>IF(1604&lt;$U$9,SUMPRODUCT(($D$10:$L$10&lt;&gt;"")*(($D$10:$L$10-($D$9:$L$9+INT(($S$12:$AA$12+INDEX($AJ$13:$AR$162,BN1617,0)+INDEX($AT$13:$BB$162,BO1617,0)+INDEX($BD$13:$BL$162,BP1617,0))/100)))&gt;0)*($D$10:$L$10-($D$9:$L$9+INT(($S$12:$AA$12+INDEX($AJ$13:$AR$162,BN1617,0)+INDEX($AT$13:$BB$162,BO1617,0)+INDEX($BD$13:$BL$162,BP1617,0))/100)))),0)</f>
        <v/>
      </c>
      <c r="BS1617">
        <f>IF(1604&lt;$U$9,SUMPRODUCT(($D$9:$L$9+INT(($S$12:$AA$12+INDEX($AJ$13:$AR$162,BN1617,0)+INDEX($AT$13:$BB$162,BO1617,0)+INDEX($BD$13:$BL$162,BP1617,0))/100))),0)</f>
        <v/>
      </c>
      <c r="BT1617">
        <f>IF(AND(1604&lt;$U$9,$W$5),BQ1617*1000000-MIN(BR1617,999)*1000+BS1617-1604/100000,-1000000000-1604)</f>
        <v/>
      </c>
    </row>
    <row r="1618">
      <c r="BN1618">
        <f>IF(1605&lt;$U$9,INT(1605/($U$7*$U$8))+1,1)</f>
        <v/>
      </c>
      <c r="BO1618">
        <f>IF(1605&lt;$U$9,MOD(INT(1605/$U$8),$U$7)+1,1)</f>
        <v/>
      </c>
      <c r="BP1618">
        <f>IF(1605&lt;$U$9,MOD(1605,$U$8)+1,1)</f>
        <v/>
      </c>
      <c r="BQ1618">
        <f>IF(1605&lt;$U$9,SUMPRODUCT(($D$10:$L$10&lt;&gt;"")*(($D$9:$L$9+INT(($S$12:$AA$12+INDEX($AJ$13:$AR$162,BN1618,0)+INDEX($AT$13:$BB$162,BO1618,0)+INDEX($BD$13:$BL$162,BP1618,0))/100))&gt;=$D$10:$L$10)),0)</f>
        <v/>
      </c>
      <c r="BR1618">
        <f>IF(1605&lt;$U$9,SUMPRODUCT(($D$10:$L$10&lt;&gt;"")*(($D$10:$L$10-($D$9:$L$9+INT(($S$12:$AA$12+INDEX($AJ$13:$AR$162,BN1618,0)+INDEX($AT$13:$BB$162,BO1618,0)+INDEX($BD$13:$BL$162,BP1618,0))/100)))&gt;0)*($D$10:$L$10-($D$9:$L$9+INT(($S$12:$AA$12+INDEX($AJ$13:$AR$162,BN1618,0)+INDEX($AT$13:$BB$162,BO1618,0)+INDEX($BD$13:$BL$162,BP1618,0))/100)))),0)</f>
        <v/>
      </c>
      <c r="BS1618">
        <f>IF(1605&lt;$U$9,SUMPRODUCT(($D$9:$L$9+INT(($S$12:$AA$12+INDEX($AJ$13:$AR$162,BN1618,0)+INDEX($AT$13:$BB$162,BO1618,0)+INDEX($BD$13:$BL$162,BP1618,0))/100))),0)</f>
        <v/>
      </c>
      <c r="BT1618">
        <f>IF(AND(1605&lt;$U$9,$W$5),BQ1618*1000000-MIN(BR1618,999)*1000+BS1618-1605/100000,-1000000000-1605)</f>
        <v/>
      </c>
    </row>
    <row r="1619">
      <c r="BN1619">
        <f>IF(1606&lt;$U$9,INT(1606/($U$7*$U$8))+1,1)</f>
        <v/>
      </c>
      <c r="BO1619">
        <f>IF(1606&lt;$U$9,MOD(INT(1606/$U$8),$U$7)+1,1)</f>
        <v/>
      </c>
      <c r="BP1619">
        <f>IF(1606&lt;$U$9,MOD(1606,$U$8)+1,1)</f>
        <v/>
      </c>
      <c r="BQ1619">
        <f>IF(1606&lt;$U$9,SUMPRODUCT(($D$10:$L$10&lt;&gt;"")*(($D$9:$L$9+INT(($S$12:$AA$12+INDEX($AJ$13:$AR$162,BN1619,0)+INDEX($AT$13:$BB$162,BO1619,0)+INDEX($BD$13:$BL$162,BP1619,0))/100))&gt;=$D$10:$L$10)),0)</f>
        <v/>
      </c>
      <c r="BR1619">
        <f>IF(1606&lt;$U$9,SUMPRODUCT(($D$10:$L$10&lt;&gt;"")*(($D$10:$L$10-($D$9:$L$9+INT(($S$12:$AA$12+INDEX($AJ$13:$AR$162,BN1619,0)+INDEX($AT$13:$BB$162,BO1619,0)+INDEX($BD$13:$BL$162,BP1619,0))/100)))&gt;0)*($D$10:$L$10-($D$9:$L$9+INT(($S$12:$AA$12+INDEX($AJ$13:$AR$162,BN1619,0)+INDEX($AT$13:$BB$162,BO1619,0)+INDEX($BD$13:$BL$162,BP1619,0))/100)))),0)</f>
        <v/>
      </c>
      <c r="BS1619">
        <f>IF(1606&lt;$U$9,SUMPRODUCT(($D$9:$L$9+INT(($S$12:$AA$12+INDEX($AJ$13:$AR$162,BN1619,0)+INDEX($AT$13:$BB$162,BO1619,0)+INDEX($BD$13:$BL$162,BP1619,0))/100))),0)</f>
        <v/>
      </c>
      <c r="BT1619">
        <f>IF(AND(1606&lt;$U$9,$W$5),BQ1619*1000000-MIN(BR1619,999)*1000+BS1619-1606/100000,-1000000000-1606)</f>
        <v/>
      </c>
    </row>
    <row r="1620">
      <c r="BN1620">
        <f>IF(1607&lt;$U$9,INT(1607/($U$7*$U$8))+1,1)</f>
        <v/>
      </c>
      <c r="BO1620">
        <f>IF(1607&lt;$U$9,MOD(INT(1607/$U$8),$U$7)+1,1)</f>
        <v/>
      </c>
      <c r="BP1620">
        <f>IF(1607&lt;$U$9,MOD(1607,$U$8)+1,1)</f>
        <v/>
      </c>
      <c r="BQ1620">
        <f>IF(1607&lt;$U$9,SUMPRODUCT(($D$10:$L$10&lt;&gt;"")*(($D$9:$L$9+INT(($S$12:$AA$12+INDEX($AJ$13:$AR$162,BN1620,0)+INDEX($AT$13:$BB$162,BO1620,0)+INDEX($BD$13:$BL$162,BP1620,0))/100))&gt;=$D$10:$L$10)),0)</f>
        <v/>
      </c>
      <c r="BR1620">
        <f>IF(1607&lt;$U$9,SUMPRODUCT(($D$10:$L$10&lt;&gt;"")*(($D$10:$L$10-($D$9:$L$9+INT(($S$12:$AA$12+INDEX($AJ$13:$AR$162,BN1620,0)+INDEX($AT$13:$BB$162,BO1620,0)+INDEX($BD$13:$BL$162,BP1620,0))/100)))&gt;0)*($D$10:$L$10-($D$9:$L$9+INT(($S$12:$AA$12+INDEX($AJ$13:$AR$162,BN1620,0)+INDEX($AT$13:$BB$162,BO1620,0)+INDEX($BD$13:$BL$162,BP1620,0))/100)))),0)</f>
        <v/>
      </c>
      <c r="BS1620">
        <f>IF(1607&lt;$U$9,SUMPRODUCT(($D$9:$L$9+INT(($S$12:$AA$12+INDEX($AJ$13:$AR$162,BN1620,0)+INDEX($AT$13:$BB$162,BO1620,0)+INDEX($BD$13:$BL$162,BP1620,0))/100))),0)</f>
        <v/>
      </c>
      <c r="BT1620">
        <f>IF(AND(1607&lt;$U$9,$W$5),BQ1620*1000000-MIN(BR1620,999)*1000+BS1620-1607/100000,-1000000000-1607)</f>
        <v/>
      </c>
    </row>
    <row r="1621">
      <c r="BN1621">
        <f>IF(1608&lt;$U$9,INT(1608/($U$7*$U$8))+1,1)</f>
        <v/>
      </c>
      <c r="BO1621">
        <f>IF(1608&lt;$U$9,MOD(INT(1608/$U$8),$U$7)+1,1)</f>
        <v/>
      </c>
      <c r="BP1621">
        <f>IF(1608&lt;$U$9,MOD(1608,$U$8)+1,1)</f>
        <v/>
      </c>
      <c r="BQ1621">
        <f>IF(1608&lt;$U$9,SUMPRODUCT(($D$10:$L$10&lt;&gt;"")*(($D$9:$L$9+INT(($S$12:$AA$12+INDEX($AJ$13:$AR$162,BN1621,0)+INDEX($AT$13:$BB$162,BO1621,0)+INDEX($BD$13:$BL$162,BP1621,0))/100))&gt;=$D$10:$L$10)),0)</f>
        <v/>
      </c>
      <c r="BR1621">
        <f>IF(1608&lt;$U$9,SUMPRODUCT(($D$10:$L$10&lt;&gt;"")*(($D$10:$L$10-($D$9:$L$9+INT(($S$12:$AA$12+INDEX($AJ$13:$AR$162,BN1621,0)+INDEX($AT$13:$BB$162,BO1621,0)+INDEX($BD$13:$BL$162,BP1621,0))/100)))&gt;0)*($D$10:$L$10-($D$9:$L$9+INT(($S$12:$AA$12+INDEX($AJ$13:$AR$162,BN1621,0)+INDEX($AT$13:$BB$162,BO1621,0)+INDEX($BD$13:$BL$162,BP1621,0))/100)))),0)</f>
        <v/>
      </c>
      <c r="BS1621">
        <f>IF(1608&lt;$U$9,SUMPRODUCT(($D$9:$L$9+INT(($S$12:$AA$12+INDEX($AJ$13:$AR$162,BN1621,0)+INDEX($AT$13:$BB$162,BO1621,0)+INDEX($BD$13:$BL$162,BP1621,0))/100))),0)</f>
        <v/>
      </c>
      <c r="BT1621">
        <f>IF(AND(1608&lt;$U$9,$W$5),BQ1621*1000000-MIN(BR1621,999)*1000+BS1621-1608/100000,-1000000000-1608)</f>
        <v/>
      </c>
    </row>
    <row r="1622">
      <c r="BN1622">
        <f>IF(1609&lt;$U$9,INT(1609/($U$7*$U$8))+1,1)</f>
        <v/>
      </c>
      <c r="BO1622">
        <f>IF(1609&lt;$U$9,MOD(INT(1609/$U$8),$U$7)+1,1)</f>
        <v/>
      </c>
      <c r="BP1622">
        <f>IF(1609&lt;$U$9,MOD(1609,$U$8)+1,1)</f>
        <v/>
      </c>
      <c r="BQ1622">
        <f>IF(1609&lt;$U$9,SUMPRODUCT(($D$10:$L$10&lt;&gt;"")*(($D$9:$L$9+INT(($S$12:$AA$12+INDEX($AJ$13:$AR$162,BN1622,0)+INDEX($AT$13:$BB$162,BO1622,0)+INDEX($BD$13:$BL$162,BP1622,0))/100))&gt;=$D$10:$L$10)),0)</f>
        <v/>
      </c>
      <c r="BR1622">
        <f>IF(1609&lt;$U$9,SUMPRODUCT(($D$10:$L$10&lt;&gt;"")*(($D$10:$L$10-($D$9:$L$9+INT(($S$12:$AA$12+INDEX($AJ$13:$AR$162,BN1622,0)+INDEX($AT$13:$BB$162,BO1622,0)+INDEX($BD$13:$BL$162,BP1622,0))/100)))&gt;0)*($D$10:$L$10-($D$9:$L$9+INT(($S$12:$AA$12+INDEX($AJ$13:$AR$162,BN1622,0)+INDEX($AT$13:$BB$162,BO1622,0)+INDEX($BD$13:$BL$162,BP1622,0))/100)))),0)</f>
        <v/>
      </c>
      <c r="BS1622">
        <f>IF(1609&lt;$U$9,SUMPRODUCT(($D$9:$L$9+INT(($S$12:$AA$12+INDEX($AJ$13:$AR$162,BN1622,0)+INDEX($AT$13:$BB$162,BO1622,0)+INDEX($BD$13:$BL$162,BP1622,0))/100))),0)</f>
        <v/>
      </c>
      <c r="BT1622">
        <f>IF(AND(1609&lt;$U$9,$W$5),BQ1622*1000000-MIN(BR1622,999)*1000+BS1622-1609/100000,-1000000000-1609)</f>
        <v/>
      </c>
    </row>
    <row r="1623">
      <c r="BN1623">
        <f>IF(1610&lt;$U$9,INT(1610/($U$7*$U$8))+1,1)</f>
        <v/>
      </c>
      <c r="BO1623">
        <f>IF(1610&lt;$U$9,MOD(INT(1610/$U$8),$U$7)+1,1)</f>
        <v/>
      </c>
      <c r="BP1623">
        <f>IF(1610&lt;$U$9,MOD(1610,$U$8)+1,1)</f>
        <v/>
      </c>
      <c r="BQ1623">
        <f>IF(1610&lt;$U$9,SUMPRODUCT(($D$10:$L$10&lt;&gt;"")*(($D$9:$L$9+INT(($S$12:$AA$12+INDEX($AJ$13:$AR$162,BN1623,0)+INDEX($AT$13:$BB$162,BO1623,0)+INDEX($BD$13:$BL$162,BP1623,0))/100))&gt;=$D$10:$L$10)),0)</f>
        <v/>
      </c>
      <c r="BR1623">
        <f>IF(1610&lt;$U$9,SUMPRODUCT(($D$10:$L$10&lt;&gt;"")*(($D$10:$L$10-($D$9:$L$9+INT(($S$12:$AA$12+INDEX($AJ$13:$AR$162,BN1623,0)+INDEX($AT$13:$BB$162,BO1623,0)+INDEX($BD$13:$BL$162,BP1623,0))/100)))&gt;0)*($D$10:$L$10-($D$9:$L$9+INT(($S$12:$AA$12+INDEX($AJ$13:$AR$162,BN1623,0)+INDEX($AT$13:$BB$162,BO1623,0)+INDEX($BD$13:$BL$162,BP1623,0))/100)))),0)</f>
        <v/>
      </c>
      <c r="BS1623">
        <f>IF(1610&lt;$U$9,SUMPRODUCT(($D$9:$L$9+INT(($S$12:$AA$12+INDEX($AJ$13:$AR$162,BN1623,0)+INDEX($AT$13:$BB$162,BO1623,0)+INDEX($BD$13:$BL$162,BP1623,0))/100))),0)</f>
        <v/>
      </c>
      <c r="BT1623">
        <f>IF(AND(1610&lt;$U$9,$W$5),BQ1623*1000000-MIN(BR1623,999)*1000+BS1623-1610/100000,-1000000000-1610)</f>
        <v/>
      </c>
    </row>
    <row r="1624">
      <c r="BN1624">
        <f>IF(1611&lt;$U$9,INT(1611/($U$7*$U$8))+1,1)</f>
        <v/>
      </c>
      <c r="BO1624">
        <f>IF(1611&lt;$U$9,MOD(INT(1611/$U$8),$U$7)+1,1)</f>
        <v/>
      </c>
      <c r="BP1624">
        <f>IF(1611&lt;$U$9,MOD(1611,$U$8)+1,1)</f>
        <v/>
      </c>
      <c r="BQ1624">
        <f>IF(1611&lt;$U$9,SUMPRODUCT(($D$10:$L$10&lt;&gt;"")*(($D$9:$L$9+INT(($S$12:$AA$12+INDEX($AJ$13:$AR$162,BN1624,0)+INDEX($AT$13:$BB$162,BO1624,0)+INDEX($BD$13:$BL$162,BP1624,0))/100))&gt;=$D$10:$L$10)),0)</f>
        <v/>
      </c>
      <c r="BR1624">
        <f>IF(1611&lt;$U$9,SUMPRODUCT(($D$10:$L$10&lt;&gt;"")*(($D$10:$L$10-($D$9:$L$9+INT(($S$12:$AA$12+INDEX($AJ$13:$AR$162,BN1624,0)+INDEX($AT$13:$BB$162,BO1624,0)+INDEX($BD$13:$BL$162,BP1624,0))/100)))&gt;0)*($D$10:$L$10-($D$9:$L$9+INT(($S$12:$AA$12+INDEX($AJ$13:$AR$162,BN1624,0)+INDEX($AT$13:$BB$162,BO1624,0)+INDEX($BD$13:$BL$162,BP1624,0))/100)))),0)</f>
        <v/>
      </c>
      <c r="BS1624">
        <f>IF(1611&lt;$U$9,SUMPRODUCT(($D$9:$L$9+INT(($S$12:$AA$12+INDEX($AJ$13:$AR$162,BN1624,0)+INDEX($AT$13:$BB$162,BO1624,0)+INDEX($BD$13:$BL$162,BP1624,0))/100))),0)</f>
        <v/>
      </c>
      <c r="BT1624">
        <f>IF(AND(1611&lt;$U$9,$W$5),BQ1624*1000000-MIN(BR1624,999)*1000+BS1624-1611/100000,-1000000000-1611)</f>
        <v/>
      </c>
    </row>
    <row r="1625">
      <c r="BN1625">
        <f>IF(1612&lt;$U$9,INT(1612/($U$7*$U$8))+1,1)</f>
        <v/>
      </c>
      <c r="BO1625">
        <f>IF(1612&lt;$U$9,MOD(INT(1612/$U$8),$U$7)+1,1)</f>
        <v/>
      </c>
      <c r="BP1625">
        <f>IF(1612&lt;$U$9,MOD(1612,$U$8)+1,1)</f>
        <v/>
      </c>
      <c r="BQ1625">
        <f>IF(1612&lt;$U$9,SUMPRODUCT(($D$10:$L$10&lt;&gt;"")*(($D$9:$L$9+INT(($S$12:$AA$12+INDEX($AJ$13:$AR$162,BN1625,0)+INDEX($AT$13:$BB$162,BO1625,0)+INDEX($BD$13:$BL$162,BP1625,0))/100))&gt;=$D$10:$L$10)),0)</f>
        <v/>
      </c>
      <c r="BR1625">
        <f>IF(1612&lt;$U$9,SUMPRODUCT(($D$10:$L$10&lt;&gt;"")*(($D$10:$L$10-($D$9:$L$9+INT(($S$12:$AA$12+INDEX($AJ$13:$AR$162,BN1625,0)+INDEX($AT$13:$BB$162,BO1625,0)+INDEX($BD$13:$BL$162,BP1625,0))/100)))&gt;0)*($D$10:$L$10-($D$9:$L$9+INT(($S$12:$AA$12+INDEX($AJ$13:$AR$162,BN1625,0)+INDEX($AT$13:$BB$162,BO1625,0)+INDEX($BD$13:$BL$162,BP1625,0))/100)))),0)</f>
        <v/>
      </c>
      <c r="BS1625">
        <f>IF(1612&lt;$U$9,SUMPRODUCT(($D$9:$L$9+INT(($S$12:$AA$12+INDEX($AJ$13:$AR$162,BN1625,0)+INDEX($AT$13:$BB$162,BO1625,0)+INDEX($BD$13:$BL$162,BP1625,0))/100))),0)</f>
        <v/>
      </c>
      <c r="BT1625">
        <f>IF(AND(1612&lt;$U$9,$W$5),BQ1625*1000000-MIN(BR1625,999)*1000+BS1625-1612/100000,-1000000000-1612)</f>
        <v/>
      </c>
    </row>
    <row r="1626">
      <c r="BN1626">
        <f>IF(1613&lt;$U$9,INT(1613/($U$7*$U$8))+1,1)</f>
        <v/>
      </c>
      <c r="BO1626">
        <f>IF(1613&lt;$U$9,MOD(INT(1613/$U$8),$U$7)+1,1)</f>
        <v/>
      </c>
      <c r="BP1626">
        <f>IF(1613&lt;$U$9,MOD(1613,$U$8)+1,1)</f>
        <v/>
      </c>
      <c r="BQ1626">
        <f>IF(1613&lt;$U$9,SUMPRODUCT(($D$10:$L$10&lt;&gt;"")*(($D$9:$L$9+INT(($S$12:$AA$12+INDEX($AJ$13:$AR$162,BN1626,0)+INDEX($AT$13:$BB$162,BO1626,0)+INDEX($BD$13:$BL$162,BP1626,0))/100))&gt;=$D$10:$L$10)),0)</f>
        <v/>
      </c>
      <c r="BR1626">
        <f>IF(1613&lt;$U$9,SUMPRODUCT(($D$10:$L$10&lt;&gt;"")*(($D$10:$L$10-($D$9:$L$9+INT(($S$12:$AA$12+INDEX($AJ$13:$AR$162,BN1626,0)+INDEX($AT$13:$BB$162,BO1626,0)+INDEX($BD$13:$BL$162,BP1626,0))/100)))&gt;0)*($D$10:$L$10-($D$9:$L$9+INT(($S$12:$AA$12+INDEX($AJ$13:$AR$162,BN1626,0)+INDEX($AT$13:$BB$162,BO1626,0)+INDEX($BD$13:$BL$162,BP1626,0))/100)))),0)</f>
        <v/>
      </c>
      <c r="BS1626">
        <f>IF(1613&lt;$U$9,SUMPRODUCT(($D$9:$L$9+INT(($S$12:$AA$12+INDEX($AJ$13:$AR$162,BN1626,0)+INDEX($AT$13:$BB$162,BO1626,0)+INDEX($BD$13:$BL$162,BP1626,0))/100))),0)</f>
        <v/>
      </c>
      <c r="BT1626">
        <f>IF(AND(1613&lt;$U$9,$W$5),BQ1626*1000000-MIN(BR1626,999)*1000+BS1626-1613/100000,-1000000000-1613)</f>
        <v/>
      </c>
    </row>
    <row r="1627">
      <c r="BN1627">
        <f>IF(1614&lt;$U$9,INT(1614/($U$7*$U$8))+1,1)</f>
        <v/>
      </c>
      <c r="BO1627">
        <f>IF(1614&lt;$U$9,MOD(INT(1614/$U$8),$U$7)+1,1)</f>
        <v/>
      </c>
      <c r="BP1627">
        <f>IF(1614&lt;$U$9,MOD(1614,$U$8)+1,1)</f>
        <v/>
      </c>
      <c r="BQ1627">
        <f>IF(1614&lt;$U$9,SUMPRODUCT(($D$10:$L$10&lt;&gt;"")*(($D$9:$L$9+INT(($S$12:$AA$12+INDEX($AJ$13:$AR$162,BN1627,0)+INDEX($AT$13:$BB$162,BO1627,0)+INDEX($BD$13:$BL$162,BP1627,0))/100))&gt;=$D$10:$L$10)),0)</f>
        <v/>
      </c>
      <c r="BR1627">
        <f>IF(1614&lt;$U$9,SUMPRODUCT(($D$10:$L$10&lt;&gt;"")*(($D$10:$L$10-($D$9:$L$9+INT(($S$12:$AA$12+INDEX($AJ$13:$AR$162,BN1627,0)+INDEX($AT$13:$BB$162,BO1627,0)+INDEX($BD$13:$BL$162,BP1627,0))/100)))&gt;0)*($D$10:$L$10-($D$9:$L$9+INT(($S$12:$AA$12+INDEX($AJ$13:$AR$162,BN1627,0)+INDEX($AT$13:$BB$162,BO1627,0)+INDEX($BD$13:$BL$162,BP1627,0))/100)))),0)</f>
        <v/>
      </c>
      <c r="BS1627">
        <f>IF(1614&lt;$U$9,SUMPRODUCT(($D$9:$L$9+INT(($S$12:$AA$12+INDEX($AJ$13:$AR$162,BN1627,0)+INDEX($AT$13:$BB$162,BO1627,0)+INDEX($BD$13:$BL$162,BP1627,0))/100))),0)</f>
        <v/>
      </c>
      <c r="BT1627">
        <f>IF(AND(1614&lt;$U$9,$W$5),BQ1627*1000000-MIN(BR1627,999)*1000+BS1627-1614/100000,-1000000000-1614)</f>
        <v/>
      </c>
    </row>
    <row r="1628">
      <c r="BN1628">
        <f>IF(1615&lt;$U$9,INT(1615/($U$7*$U$8))+1,1)</f>
        <v/>
      </c>
      <c r="BO1628">
        <f>IF(1615&lt;$U$9,MOD(INT(1615/$U$8),$U$7)+1,1)</f>
        <v/>
      </c>
      <c r="BP1628">
        <f>IF(1615&lt;$U$9,MOD(1615,$U$8)+1,1)</f>
        <v/>
      </c>
      <c r="BQ1628">
        <f>IF(1615&lt;$U$9,SUMPRODUCT(($D$10:$L$10&lt;&gt;"")*(($D$9:$L$9+INT(($S$12:$AA$12+INDEX($AJ$13:$AR$162,BN1628,0)+INDEX($AT$13:$BB$162,BO1628,0)+INDEX($BD$13:$BL$162,BP1628,0))/100))&gt;=$D$10:$L$10)),0)</f>
        <v/>
      </c>
      <c r="BR1628">
        <f>IF(1615&lt;$U$9,SUMPRODUCT(($D$10:$L$10&lt;&gt;"")*(($D$10:$L$10-($D$9:$L$9+INT(($S$12:$AA$12+INDEX($AJ$13:$AR$162,BN1628,0)+INDEX($AT$13:$BB$162,BO1628,0)+INDEX($BD$13:$BL$162,BP1628,0))/100)))&gt;0)*($D$10:$L$10-($D$9:$L$9+INT(($S$12:$AA$12+INDEX($AJ$13:$AR$162,BN1628,0)+INDEX($AT$13:$BB$162,BO1628,0)+INDEX($BD$13:$BL$162,BP1628,0))/100)))),0)</f>
        <v/>
      </c>
      <c r="BS1628">
        <f>IF(1615&lt;$U$9,SUMPRODUCT(($D$9:$L$9+INT(($S$12:$AA$12+INDEX($AJ$13:$AR$162,BN1628,0)+INDEX($AT$13:$BB$162,BO1628,0)+INDEX($BD$13:$BL$162,BP1628,0))/100))),0)</f>
        <v/>
      </c>
      <c r="BT1628">
        <f>IF(AND(1615&lt;$U$9,$W$5),BQ1628*1000000-MIN(BR1628,999)*1000+BS1628-1615/100000,-1000000000-1615)</f>
        <v/>
      </c>
    </row>
    <row r="1629">
      <c r="BN1629">
        <f>IF(1616&lt;$U$9,INT(1616/($U$7*$U$8))+1,1)</f>
        <v/>
      </c>
      <c r="BO1629">
        <f>IF(1616&lt;$U$9,MOD(INT(1616/$U$8),$U$7)+1,1)</f>
        <v/>
      </c>
      <c r="BP1629">
        <f>IF(1616&lt;$U$9,MOD(1616,$U$8)+1,1)</f>
        <v/>
      </c>
      <c r="BQ1629">
        <f>IF(1616&lt;$U$9,SUMPRODUCT(($D$10:$L$10&lt;&gt;"")*(($D$9:$L$9+INT(($S$12:$AA$12+INDEX($AJ$13:$AR$162,BN1629,0)+INDEX($AT$13:$BB$162,BO1629,0)+INDEX($BD$13:$BL$162,BP1629,0))/100))&gt;=$D$10:$L$10)),0)</f>
        <v/>
      </c>
      <c r="BR1629">
        <f>IF(1616&lt;$U$9,SUMPRODUCT(($D$10:$L$10&lt;&gt;"")*(($D$10:$L$10-($D$9:$L$9+INT(($S$12:$AA$12+INDEX($AJ$13:$AR$162,BN1629,0)+INDEX($AT$13:$BB$162,BO1629,0)+INDEX($BD$13:$BL$162,BP1629,0))/100)))&gt;0)*($D$10:$L$10-($D$9:$L$9+INT(($S$12:$AA$12+INDEX($AJ$13:$AR$162,BN1629,0)+INDEX($AT$13:$BB$162,BO1629,0)+INDEX($BD$13:$BL$162,BP1629,0))/100)))),0)</f>
        <v/>
      </c>
      <c r="BS1629">
        <f>IF(1616&lt;$U$9,SUMPRODUCT(($D$9:$L$9+INT(($S$12:$AA$12+INDEX($AJ$13:$AR$162,BN1629,0)+INDEX($AT$13:$BB$162,BO1629,0)+INDEX($BD$13:$BL$162,BP1629,0))/100))),0)</f>
        <v/>
      </c>
      <c r="BT1629">
        <f>IF(AND(1616&lt;$U$9,$W$5),BQ1629*1000000-MIN(BR1629,999)*1000+BS1629-1616/100000,-1000000000-1616)</f>
        <v/>
      </c>
    </row>
    <row r="1630">
      <c r="BN1630">
        <f>IF(1617&lt;$U$9,INT(1617/($U$7*$U$8))+1,1)</f>
        <v/>
      </c>
      <c r="BO1630">
        <f>IF(1617&lt;$U$9,MOD(INT(1617/$U$8),$U$7)+1,1)</f>
        <v/>
      </c>
      <c r="BP1630">
        <f>IF(1617&lt;$U$9,MOD(1617,$U$8)+1,1)</f>
        <v/>
      </c>
      <c r="BQ1630">
        <f>IF(1617&lt;$U$9,SUMPRODUCT(($D$10:$L$10&lt;&gt;"")*(($D$9:$L$9+INT(($S$12:$AA$12+INDEX($AJ$13:$AR$162,BN1630,0)+INDEX($AT$13:$BB$162,BO1630,0)+INDEX($BD$13:$BL$162,BP1630,0))/100))&gt;=$D$10:$L$10)),0)</f>
        <v/>
      </c>
      <c r="BR1630">
        <f>IF(1617&lt;$U$9,SUMPRODUCT(($D$10:$L$10&lt;&gt;"")*(($D$10:$L$10-($D$9:$L$9+INT(($S$12:$AA$12+INDEX($AJ$13:$AR$162,BN1630,0)+INDEX($AT$13:$BB$162,BO1630,0)+INDEX($BD$13:$BL$162,BP1630,0))/100)))&gt;0)*($D$10:$L$10-($D$9:$L$9+INT(($S$12:$AA$12+INDEX($AJ$13:$AR$162,BN1630,0)+INDEX($AT$13:$BB$162,BO1630,0)+INDEX($BD$13:$BL$162,BP1630,0))/100)))),0)</f>
        <v/>
      </c>
      <c r="BS1630">
        <f>IF(1617&lt;$U$9,SUMPRODUCT(($D$9:$L$9+INT(($S$12:$AA$12+INDEX($AJ$13:$AR$162,BN1630,0)+INDEX($AT$13:$BB$162,BO1630,0)+INDEX($BD$13:$BL$162,BP1630,0))/100))),0)</f>
        <v/>
      </c>
      <c r="BT1630">
        <f>IF(AND(1617&lt;$U$9,$W$5),BQ1630*1000000-MIN(BR1630,999)*1000+BS1630-1617/100000,-1000000000-1617)</f>
        <v/>
      </c>
    </row>
    <row r="1631">
      <c r="BN1631">
        <f>IF(1618&lt;$U$9,INT(1618/($U$7*$U$8))+1,1)</f>
        <v/>
      </c>
      <c r="BO1631">
        <f>IF(1618&lt;$U$9,MOD(INT(1618/$U$8),$U$7)+1,1)</f>
        <v/>
      </c>
      <c r="BP1631">
        <f>IF(1618&lt;$U$9,MOD(1618,$U$8)+1,1)</f>
        <v/>
      </c>
      <c r="BQ1631">
        <f>IF(1618&lt;$U$9,SUMPRODUCT(($D$10:$L$10&lt;&gt;"")*(($D$9:$L$9+INT(($S$12:$AA$12+INDEX($AJ$13:$AR$162,BN1631,0)+INDEX($AT$13:$BB$162,BO1631,0)+INDEX($BD$13:$BL$162,BP1631,0))/100))&gt;=$D$10:$L$10)),0)</f>
        <v/>
      </c>
      <c r="BR1631">
        <f>IF(1618&lt;$U$9,SUMPRODUCT(($D$10:$L$10&lt;&gt;"")*(($D$10:$L$10-($D$9:$L$9+INT(($S$12:$AA$12+INDEX($AJ$13:$AR$162,BN1631,0)+INDEX($AT$13:$BB$162,BO1631,0)+INDEX($BD$13:$BL$162,BP1631,0))/100)))&gt;0)*($D$10:$L$10-($D$9:$L$9+INT(($S$12:$AA$12+INDEX($AJ$13:$AR$162,BN1631,0)+INDEX($AT$13:$BB$162,BO1631,0)+INDEX($BD$13:$BL$162,BP1631,0))/100)))),0)</f>
        <v/>
      </c>
      <c r="BS1631">
        <f>IF(1618&lt;$U$9,SUMPRODUCT(($D$9:$L$9+INT(($S$12:$AA$12+INDEX($AJ$13:$AR$162,BN1631,0)+INDEX($AT$13:$BB$162,BO1631,0)+INDEX($BD$13:$BL$162,BP1631,0))/100))),0)</f>
        <v/>
      </c>
      <c r="BT1631">
        <f>IF(AND(1618&lt;$U$9,$W$5),BQ1631*1000000-MIN(BR1631,999)*1000+BS1631-1618/100000,-1000000000-1618)</f>
        <v/>
      </c>
    </row>
    <row r="1632">
      <c r="BN1632">
        <f>IF(1619&lt;$U$9,INT(1619/($U$7*$U$8))+1,1)</f>
        <v/>
      </c>
      <c r="BO1632">
        <f>IF(1619&lt;$U$9,MOD(INT(1619/$U$8),$U$7)+1,1)</f>
        <v/>
      </c>
      <c r="BP1632">
        <f>IF(1619&lt;$U$9,MOD(1619,$U$8)+1,1)</f>
        <v/>
      </c>
      <c r="BQ1632">
        <f>IF(1619&lt;$U$9,SUMPRODUCT(($D$10:$L$10&lt;&gt;"")*(($D$9:$L$9+INT(($S$12:$AA$12+INDEX($AJ$13:$AR$162,BN1632,0)+INDEX($AT$13:$BB$162,BO1632,0)+INDEX($BD$13:$BL$162,BP1632,0))/100))&gt;=$D$10:$L$10)),0)</f>
        <v/>
      </c>
      <c r="BR1632">
        <f>IF(1619&lt;$U$9,SUMPRODUCT(($D$10:$L$10&lt;&gt;"")*(($D$10:$L$10-($D$9:$L$9+INT(($S$12:$AA$12+INDEX($AJ$13:$AR$162,BN1632,0)+INDEX($AT$13:$BB$162,BO1632,0)+INDEX($BD$13:$BL$162,BP1632,0))/100)))&gt;0)*($D$10:$L$10-($D$9:$L$9+INT(($S$12:$AA$12+INDEX($AJ$13:$AR$162,BN1632,0)+INDEX($AT$13:$BB$162,BO1632,0)+INDEX($BD$13:$BL$162,BP1632,0))/100)))),0)</f>
        <v/>
      </c>
      <c r="BS1632">
        <f>IF(1619&lt;$U$9,SUMPRODUCT(($D$9:$L$9+INT(($S$12:$AA$12+INDEX($AJ$13:$AR$162,BN1632,0)+INDEX($AT$13:$BB$162,BO1632,0)+INDEX($BD$13:$BL$162,BP1632,0))/100))),0)</f>
        <v/>
      </c>
      <c r="BT1632">
        <f>IF(AND(1619&lt;$U$9,$W$5),BQ1632*1000000-MIN(BR1632,999)*1000+BS1632-1619/100000,-1000000000-1619)</f>
        <v/>
      </c>
    </row>
    <row r="1633">
      <c r="BN1633">
        <f>IF(1620&lt;$U$9,INT(1620/($U$7*$U$8))+1,1)</f>
        <v/>
      </c>
      <c r="BO1633">
        <f>IF(1620&lt;$U$9,MOD(INT(1620/$U$8),$U$7)+1,1)</f>
        <v/>
      </c>
      <c r="BP1633">
        <f>IF(1620&lt;$U$9,MOD(1620,$U$8)+1,1)</f>
        <v/>
      </c>
      <c r="BQ1633">
        <f>IF(1620&lt;$U$9,SUMPRODUCT(($D$10:$L$10&lt;&gt;"")*(($D$9:$L$9+INT(($S$12:$AA$12+INDEX($AJ$13:$AR$162,BN1633,0)+INDEX($AT$13:$BB$162,BO1633,0)+INDEX($BD$13:$BL$162,BP1633,0))/100))&gt;=$D$10:$L$10)),0)</f>
        <v/>
      </c>
      <c r="BR1633">
        <f>IF(1620&lt;$U$9,SUMPRODUCT(($D$10:$L$10&lt;&gt;"")*(($D$10:$L$10-($D$9:$L$9+INT(($S$12:$AA$12+INDEX($AJ$13:$AR$162,BN1633,0)+INDEX($AT$13:$BB$162,BO1633,0)+INDEX($BD$13:$BL$162,BP1633,0))/100)))&gt;0)*($D$10:$L$10-($D$9:$L$9+INT(($S$12:$AA$12+INDEX($AJ$13:$AR$162,BN1633,0)+INDEX($AT$13:$BB$162,BO1633,0)+INDEX($BD$13:$BL$162,BP1633,0))/100)))),0)</f>
        <v/>
      </c>
      <c r="BS1633">
        <f>IF(1620&lt;$U$9,SUMPRODUCT(($D$9:$L$9+INT(($S$12:$AA$12+INDEX($AJ$13:$AR$162,BN1633,0)+INDEX($AT$13:$BB$162,BO1633,0)+INDEX($BD$13:$BL$162,BP1633,0))/100))),0)</f>
        <v/>
      </c>
      <c r="BT1633">
        <f>IF(AND(1620&lt;$U$9,$W$5),BQ1633*1000000-MIN(BR1633,999)*1000+BS1633-1620/100000,-1000000000-1620)</f>
        <v/>
      </c>
    </row>
    <row r="1634">
      <c r="BN1634">
        <f>IF(1621&lt;$U$9,INT(1621/($U$7*$U$8))+1,1)</f>
        <v/>
      </c>
      <c r="BO1634">
        <f>IF(1621&lt;$U$9,MOD(INT(1621/$U$8),$U$7)+1,1)</f>
        <v/>
      </c>
      <c r="BP1634">
        <f>IF(1621&lt;$U$9,MOD(1621,$U$8)+1,1)</f>
        <v/>
      </c>
      <c r="BQ1634">
        <f>IF(1621&lt;$U$9,SUMPRODUCT(($D$10:$L$10&lt;&gt;"")*(($D$9:$L$9+INT(($S$12:$AA$12+INDEX($AJ$13:$AR$162,BN1634,0)+INDEX($AT$13:$BB$162,BO1634,0)+INDEX($BD$13:$BL$162,BP1634,0))/100))&gt;=$D$10:$L$10)),0)</f>
        <v/>
      </c>
      <c r="BR1634">
        <f>IF(1621&lt;$U$9,SUMPRODUCT(($D$10:$L$10&lt;&gt;"")*(($D$10:$L$10-($D$9:$L$9+INT(($S$12:$AA$12+INDEX($AJ$13:$AR$162,BN1634,0)+INDEX($AT$13:$BB$162,BO1634,0)+INDEX($BD$13:$BL$162,BP1634,0))/100)))&gt;0)*($D$10:$L$10-($D$9:$L$9+INT(($S$12:$AA$12+INDEX($AJ$13:$AR$162,BN1634,0)+INDEX($AT$13:$BB$162,BO1634,0)+INDEX($BD$13:$BL$162,BP1634,0))/100)))),0)</f>
        <v/>
      </c>
      <c r="BS1634">
        <f>IF(1621&lt;$U$9,SUMPRODUCT(($D$9:$L$9+INT(($S$12:$AA$12+INDEX($AJ$13:$AR$162,BN1634,0)+INDEX($AT$13:$BB$162,BO1634,0)+INDEX($BD$13:$BL$162,BP1634,0))/100))),0)</f>
        <v/>
      </c>
      <c r="BT1634">
        <f>IF(AND(1621&lt;$U$9,$W$5),BQ1634*1000000-MIN(BR1634,999)*1000+BS1634-1621/100000,-1000000000-1621)</f>
        <v/>
      </c>
    </row>
    <row r="1635">
      <c r="BN1635">
        <f>IF(1622&lt;$U$9,INT(1622/($U$7*$U$8))+1,1)</f>
        <v/>
      </c>
      <c r="BO1635">
        <f>IF(1622&lt;$U$9,MOD(INT(1622/$U$8),$U$7)+1,1)</f>
        <v/>
      </c>
      <c r="BP1635">
        <f>IF(1622&lt;$U$9,MOD(1622,$U$8)+1,1)</f>
        <v/>
      </c>
      <c r="BQ1635">
        <f>IF(1622&lt;$U$9,SUMPRODUCT(($D$10:$L$10&lt;&gt;"")*(($D$9:$L$9+INT(($S$12:$AA$12+INDEX($AJ$13:$AR$162,BN1635,0)+INDEX($AT$13:$BB$162,BO1635,0)+INDEX($BD$13:$BL$162,BP1635,0))/100))&gt;=$D$10:$L$10)),0)</f>
        <v/>
      </c>
      <c r="BR1635">
        <f>IF(1622&lt;$U$9,SUMPRODUCT(($D$10:$L$10&lt;&gt;"")*(($D$10:$L$10-($D$9:$L$9+INT(($S$12:$AA$12+INDEX($AJ$13:$AR$162,BN1635,0)+INDEX($AT$13:$BB$162,BO1635,0)+INDEX($BD$13:$BL$162,BP1635,0))/100)))&gt;0)*($D$10:$L$10-($D$9:$L$9+INT(($S$12:$AA$12+INDEX($AJ$13:$AR$162,BN1635,0)+INDEX($AT$13:$BB$162,BO1635,0)+INDEX($BD$13:$BL$162,BP1635,0))/100)))),0)</f>
        <v/>
      </c>
      <c r="BS1635">
        <f>IF(1622&lt;$U$9,SUMPRODUCT(($D$9:$L$9+INT(($S$12:$AA$12+INDEX($AJ$13:$AR$162,BN1635,0)+INDEX($AT$13:$BB$162,BO1635,0)+INDEX($BD$13:$BL$162,BP1635,0))/100))),0)</f>
        <v/>
      </c>
      <c r="BT1635">
        <f>IF(AND(1622&lt;$U$9,$W$5),BQ1635*1000000-MIN(BR1635,999)*1000+BS1635-1622/100000,-1000000000-1622)</f>
        <v/>
      </c>
    </row>
    <row r="1636">
      <c r="BN1636">
        <f>IF(1623&lt;$U$9,INT(1623/($U$7*$U$8))+1,1)</f>
        <v/>
      </c>
      <c r="BO1636">
        <f>IF(1623&lt;$U$9,MOD(INT(1623/$U$8),$U$7)+1,1)</f>
        <v/>
      </c>
      <c r="BP1636">
        <f>IF(1623&lt;$U$9,MOD(1623,$U$8)+1,1)</f>
        <v/>
      </c>
      <c r="BQ1636">
        <f>IF(1623&lt;$U$9,SUMPRODUCT(($D$10:$L$10&lt;&gt;"")*(($D$9:$L$9+INT(($S$12:$AA$12+INDEX($AJ$13:$AR$162,BN1636,0)+INDEX($AT$13:$BB$162,BO1636,0)+INDEX($BD$13:$BL$162,BP1636,0))/100))&gt;=$D$10:$L$10)),0)</f>
        <v/>
      </c>
      <c r="BR1636">
        <f>IF(1623&lt;$U$9,SUMPRODUCT(($D$10:$L$10&lt;&gt;"")*(($D$10:$L$10-($D$9:$L$9+INT(($S$12:$AA$12+INDEX($AJ$13:$AR$162,BN1636,0)+INDEX($AT$13:$BB$162,BO1636,0)+INDEX($BD$13:$BL$162,BP1636,0))/100)))&gt;0)*($D$10:$L$10-($D$9:$L$9+INT(($S$12:$AA$12+INDEX($AJ$13:$AR$162,BN1636,0)+INDEX($AT$13:$BB$162,BO1636,0)+INDEX($BD$13:$BL$162,BP1636,0))/100)))),0)</f>
        <v/>
      </c>
      <c r="BS1636">
        <f>IF(1623&lt;$U$9,SUMPRODUCT(($D$9:$L$9+INT(($S$12:$AA$12+INDEX($AJ$13:$AR$162,BN1636,0)+INDEX($AT$13:$BB$162,BO1636,0)+INDEX($BD$13:$BL$162,BP1636,0))/100))),0)</f>
        <v/>
      </c>
      <c r="BT1636">
        <f>IF(AND(1623&lt;$U$9,$W$5),BQ1636*1000000-MIN(BR1636,999)*1000+BS1636-1623/100000,-1000000000-1623)</f>
        <v/>
      </c>
    </row>
    <row r="1637">
      <c r="BN1637">
        <f>IF(1624&lt;$U$9,INT(1624/($U$7*$U$8))+1,1)</f>
        <v/>
      </c>
      <c r="BO1637">
        <f>IF(1624&lt;$U$9,MOD(INT(1624/$U$8),$U$7)+1,1)</f>
        <v/>
      </c>
      <c r="BP1637">
        <f>IF(1624&lt;$U$9,MOD(1624,$U$8)+1,1)</f>
        <v/>
      </c>
      <c r="BQ1637">
        <f>IF(1624&lt;$U$9,SUMPRODUCT(($D$10:$L$10&lt;&gt;"")*(($D$9:$L$9+INT(($S$12:$AA$12+INDEX($AJ$13:$AR$162,BN1637,0)+INDEX($AT$13:$BB$162,BO1637,0)+INDEX($BD$13:$BL$162,BP1637,0))/100))&gt;=$D$10:$L$10)),0)</f>
        <v/>
      </c>
      <c r="BR1637">
        <f>IF(1624&lt;$U$9,SUMPRODUCT(($D$10:$L$10&lt;&gt;"")*(($D$10:$L$10-($D$9:$L$9+INT(($S$12:$AA$12+INDEX($AJ$13:$AR$162,BN1637,0)+INDEX($AT$13:$BB$162,BO1637,0)+INDEX($BD$13:$BL$162,BP1637,0))/100)))&gt;0)*($D$10:$L$10-($D$9:$L$9+INT(($S$12:$AA$12+INDEX($AJ$13:$AR$162,BN1637,0)+INDEX($AT$13:$BB$162,BO1637,0)+INDEX($BD$13:$BL$162,BP1637,0))/100)))),0)</f>
        <v/>
      </c>
      <c r="BS1637">
        <f>IF(1624&lt;$U$9,SUMPRODUCT(($D$9:$L$9+INT(($S$12:$AA$12+INDEX($AJ$13:$AR$162,BN1637,0)+INDEX($AT$13:$BB$162,BO1637,0)+INDEX($BD$13:$BL$162,BP1637,0))/100))),0)</f>
        <v/>
      </c>
      <c r="BT1637">
        <f>IF(AND(1624&lt;$U$9,$W$5),BQ1637*1000000-MIN(BR1637,999)*1000+BS1637-1624/100000,-1000000000-1624)</f>
        <v/>
      </c>
    </row>
    <row r="1638">
      <c r="BN1638">
        <f>IF(1625&lt;$U$9,INT(1625/($U$7*$U$8))+1,1)</f>
        <v/>
      </c>
      <c r="BO1638">
        <f>IF(1625&lt;$U$9,MOD(INT(1625/$U$8),$U$7)+1,1)</f>
        <v/>
      </c>
      <c r="BP1638">
        <f>IF(1625&lt;$U$9,MOD(1625,$U$8)+1,1)</f>
        <v/>
      </c>
      <c r="BQ1638">
        <f>IF(1625&lt;$U$9,SUMPRODUCT(($D$10:$L$10&lt;&gt;"")*(($D$9:$L$9+INT(($S$12:$AA$12+INDEX($AJ$13:$AR$162,BN1638,0)+INDEX($AT$13:$BB$162,BO1638,0)+INDEX($BD$13:$BL$162,BP1638,0))/100))&gt;=$D$10:$L$10)),0)</f>
        <v/>
      </c>
      <c r="BR1638">
        <f>IF(1625&lt;$U$9,SUMPRODUCT(($D$10:$L$10&lt;&gt;"")*(($D$10:$L$10-($D$9:$L$9+INT(($S$12:$AA$12+INDEX($AJ$13:$AR$162,BN1638,0)+INDEX($AT$13:$BB$162,BO1638,0)+INDEX($BD$13:$BL$162,BP1638,0))/100)))&gt;0)*($D$10:$L$10-($D$9:$L$9+INT(($S$12:$AA$12+INDEX($AJ$13:$AR$162,BN1638,0)+INDEX($AT$13:$BB$162,BO1638,0)+INDEX($BD$13:$BL$162,BP1638,0))/100)))),0)</f>
        <v/>
      </c>
      <c r="BS1638">
        <f>IF(1625&lt;$U$9,SUMPRODUCT(($D$9:$L$9+INT(($S$12:$AA$12+INDEX($AJ$13:$AR$162,BN1638,0)+INDEX($AT$13:$BB$162,BO1638,0)+INDEX($BD$13:$BL$162,BP1638,0))/100))),0)</f>
        <v/>
      </c>
      <c r="BT1638">
        <f>IF(AND(1625&lt;$U$9,$W$5),BQ1638*1000000-MIN(BR1638,999)*1000+BS1638-1625/100000,-1000000000-1625)</f>
        <v/>
      </c>
    </row>
    <row r="1639">
      <c r="BN1639">
        <f>IF(1626&lt;$U$9,INT(1626/($U$7*$U$8))+1,1)</f>
        <v/>
      </c>
      <c r="BO1639">
        <f>IF(1626&lt;$U$9,MOD(INT(1626/$U$8),$U$7)+1,1)</f>
        <v/>
      </c>
      <c r="BP1639">
        <f>IF(1626&lt;$U$9,MOD(1626,$U$8)+1,1)</f>
        <v/>
      </c>
      <c r="BQ1639">
        <f>IF(1626&lt;$U$9,SUMPRODUCT(($D$10:$L$10&lt;&gt;"")*(($D$9:$L$9+INT(($S$12:$AA$12+INDEX($AJ$13:$AR$162,BN1639,0)+INDEX($AT$13:$BB$162,BO1639,0)+INDEX($BD$13:$BL$162,BP1639,0))/100))&gt;=$D$10:$L$10)),0)</f>
        <v/>
      </c>
      <c r="BR1639">
        <f>IF(1626&lt;$U$9,SUMPRODUCT(($D$10:$L$10&lt;&gt;"")*(($D$10:$L$10-($D$9:$L$9+INT(($S$12:$AA$12+INDEX($AJ$13:$AR$162,BN1639,0)+INDEX($AT$13:$BB$162,BO1639,0)+INDEX($BD$13:$BL$162,BP1639,0))/100)))&gt;0)*($D$10:$L$10-($D$9:$L$9+INT(($S$12:$AA$12+INDEX($AJ$13:$AR$162,BN1639,0)+INDEX($AT$13:$BB$162,BO1639,0)+INDEX($BD$13:$BL$162,BP1639,0))/100)))),0)</f>
        <v/>
      </c>
      <c r="BS1639">
        <f>IF(1626&lt;$U$9,SUMPRODUCT(($D$9:$L$9+INT(($S$12:$AA$12+INDEX($AJ$13:$AR$162,BN1639,0)+INDEX($AT$13:$BB$162,BO1639,0)+INDEX($BD$13:$BL$162,BP1639,0))/100))),0)</f>
        <v/>
      </c>
      <c r="BT1639">
        <f>IF(AND(1626&lt;$U$9,$W$5),BQ1639*1000000-MIN(BR1639,999)*1000+BS1639-1626/100000,-1000000000-1626)</f>
        <v/>
      </c>
    </row>
    <row r="1640">
      <c r="BN1640">
        <f>IF(1627&lt;$U$9,INT(1627/($U$7*$U$8))+1,1)</f>
        <v/>
      </c>
      <c r="BO1640">
        <f>IF(1627&lt;$U$9,MOD(INT(1627/$U$8),$U$7)+1,1)</f>
        <v/>
      </c>
      <c r="BP1640">
        <f>IF(1627&lt;$U$9,MOD(1627,$U$8)+1,1)</f>
        <v/>
      </c>
      <c r="BQ1640">
        <f>IF(1627&lt;$U$9,SUMPRODUCT(($D$10:$L$10&lt;&gt;"")*(($D$9:$L$9+INT(($S$12:$AA$12+INDEX($AJ$13:$AR$162,BN1640,0)+INDEX($AT$13:$BB$162,BO1640,0)+INDEX($BD$13:$BL$162,BP1640,0))/100))&gt;=$D$10:$L$10)),0)</f>
        <v/>
      </c>
      <c r="BR1640">
        <f>IF(1627&lt;$U$9,SUMPRODUCT(($D$10:$L$10&lt;&gt;"")*(($D$10:$L$10-($D$9:$L$9+INT(($S$12:$AA$12+INDEX($AJ$13:$AR$162,BN1640,0)+INDEX($AT$13:$BB$162,BO1640,0)+INDEX($BD$13:$BL$162,BP1640,0))/100)))&gt;0)*($D$10:$L$10-($D$9:$L$9+INT(($S$12:$AA$12+INDEX($AJ$13:$AR$162,BN1640,0)+INDEX($AT$13:$BB$162,BO1640,0)+INDEX($BD$13:$BL$162,BP1640,0))/100)))),0)</f>
        <v/>
      </c>
      <c r="BS1640">
        <f>IF(1627&lt;$U$9,SUMPRODUCT(($D$9:$L$9+INT(($S$12:$AA$12+INDEX($AJ$13:$AR$162,BN1640,0)+INDEX($AT$13:$BB$162,BO1640,0)+INDEX($BD$13:$BL$162,BP1640,0))/100))),0)</f>
        <v/>
      </c>
      <c r="BT1640">
        <f>IF(AND(1627&lt;$U$9,$W$5),BQ1640*1000000-MIN(BR1640,999)*1000+BS1640-1627/100000,-1000000000-1627)</f>
        <v/>
      </c>
    </row>
    <row r="1641">
      <c r="BN1641">
        <f>IF(1628&lt;$U$9,INT(1628/($U$7*$U$8))+1,1)</f>
        <v/>
      </c>
      <c r="BO1641">
        <f>IF(1628&lt;$U$9,MOD(INT(1628/$U$8),$U$7)+1,1)</f>
        <v/>
      </c>
      <c r="BP1641">
        <f>IF(1628&lt;$U$9,MOD(1628,$U$8)+1,1)</f>
        <v/>
      </c>
      <c r="BQ1641">
        <f>IF(1628&lt;$U$9,SUMPRODUCT(($D$10:$L$10&lt;&gt;"")*(($D$9:$L$9+INT(($S$12:$AA$12+INDEX($AJ$13:$AR$162,BN1641,0)+INDEX($AT$13:$BB$162,BO1641,0)+INDEX($BD$13:$BL$162,BP1641,0))/100))&gt;=$D$10:$L$10)),0)</f>
        <v/>
      </c>
      <c r="BR1641">
        <f>IF(1628&lt;$U$9,SUMPRODUCT(($D$10:$L$10&lt;&gt;"")*(($D$10:$L$10-($D$9:$L$9+INT(($S$12:$AA$12+INDEX($AJ$13:$AR$162,BN1641,0)+INDEX($AT$13:$BB$162,BO1641,0)+INDEX($BD$13:$BL$162,BP1641,0))/100)))&gt;0)*($D$10:$L$10-($D$9:$L$9+INT(($S$12:$AA$12+INDEX($AJ$13:$AR$162,BN1641,0)+INDEX($AT$13:$BB$162,BO1641,0)+INDEX($BD$13:$BL$162,BP1641,0))/100)))),0)</f>
        <v/>
      </c>
      <c r="BS1641">
        <f>IF(1628&lt;$U$9,SUMPRODUCT(($D$9:$L$9+INT(($S$12:$AA$12+INDEX($AJ$13:$AR$162,BN1641,0)+INDEX($AT$13:$BB$162,BO1641,0)+INDEX($BD$13:$BL$162,BP1641,0))/100))),0)</f>
        <v/>
      </c>
      <c r="BT1641">
        <f>IF(AND(1628&lt;$U$9,$W$5),BQ1641*1000000-MIN(BR1641,999)*1000+BS1641-1628/100000,-1000000000-1628)</f>
        <v/>
      </c>
    </row>
    <row r="1642">
      <c r="BN1642">
        <f>IF(1629&lt;$U$9,INT(1629/($U$7*$U$8))+1,1)</f>
        <v/>
      </c>
      <c r="BO1642">
        <f>IF(1629&lt;$U$9,MOD(INT(1629/$U$8),$U$7)+1,1)</f>
        <v/>
      </c>
      <c r="BP1642">
        <f>IF(1629&lt;$U$9,MOD(1629,$U$8)+1,1)</f>
        <v/>
      </c>
      <c r="BQ1642">
        <f>IF(1629&lt;$U$9,SUMPRODUCT(($D$10:$L$10&lt;&gt;"")*(($D$9:$L$9+INT(($S$12:$AA$12+INDEX($AJ$13:$AR$162,BN1642,0)+INDEX($AT$13:$BB$162,BO1642,0)+INDEX($BD$13:$BL$162,BP1642,0))/100))&gt;=$D$10:$L$10)),0)</f>
        <v/>
      </c>
      <c r="BR1642">
        <f>IF(1629&lt;$U$9,SUMPRODUCT(($D$10:$L$10&lt;&gt;"")*(($D$10:$L$10-($D$9:$L$9+INT(($S$12:$AA$12+INDEX($AJ$13:$AR$162,BN1642,0)+INDEX($AT$13:$BB$162,BO1642,0)+INDEX($BD$13:$BL$162,BP1642,0))/100)))&gt;0)*($D$10:$L$10-($D$9:$L$9+INT(($S$12:$AA$12+INDEX($AJ$13:$AR$162,BN1642,0)+INDEX($AT$13:$BB$162,BO1642,0)+INDEX($BD$13:$BL$162,BP1642,0))/100)))),0)</f>
        <v/>
      </c>
      <c r="BS1642">
        <f>IF(1629&lt;$U$9,SUMPRODUCT(($D$9:$L$9+INT(($S$12:$AA$12+INDEX($AJ$13:$AR$162,BN1642,0)+INDEX($AT$13:$BB$162,BO1642,0)+INDEX($BD$13:$BL$162,BP1642,0))/100))),0)</f>
        <v/>
      </c>
      <c r="BT1642">
        <f>IF(AND(1629&lt;$U$9,$W$5),BQ1642*1000000-MIN(BR1642,999)*1000+BS1642-1629/100000,-1000000000-1629)</f>
        <v/>
      </c>
    </row>
    <row r="1643">
      <c r="BN1643">
        <f>IF(1630&lt;$U$9,INT(1630/($U$7*$U$8))+1,1)</f>
        <v/>
      </c>
      <c r="BO1643">
        <f>IF(1630&lt;$U$9,MOD(INT(1630/$U$8),$U$7)+1,1)</f>
        <v/>
      </c>
      <c r="BP1643">
        <f>IF(1630&lt;$U$9,MOD(1630,$U$8)+1,1)</f>
        <v/>
      </c>
      <c r="BQ1643">
        <f>IF(1630&lt;$U$9,SUMPRODUCT(($D$10:$L$10&lt;&gt;"")*(($D$9:$L$9+INT(($S$12:$AA$12+INDEX($AJ$13:$AR$162,BN1643,0)+INDEX($AT$13:$BB$162,BO1643,0)+INDEX($BD$13:$BL$162,BP1643,0))/100))&gt;=$D$10:$L$10)),0)</f>
        <v/>
      </c>
      <c r="BR1643">
        <f>IF(1630&lt;$U$9,SUMPRODUCT(($D$10:$L$10&lt;&gt;"")*(($D$10:$L$10-($D$9:$L$9+INT(($S$12:$AA$12+INDEX($AJ$13:$AR$162,BN1643,0)+INDEX($AT$13:$BB$162,BO1643,0)+INDEX($BD$13:$BL$162,BP1643,0))/100)))&gt;0)*($D$10:$L$10-($D$9:$L$9+INT(($S$12:$AA$12+INDEX($AJ$13:$AR$162,BN1643,0)+INDEX($AT$13:$BB$162,BO1643,0)+INDEX($BD$13:$BL$162,BP1643,0))/100)))),0)</f>
        <v/>
      </c>
      <c r="BS1643">
        <f>IF(1630&lt;$U$9,SUMPRODUCT(($D$9:$L$9+INT(($S$12:$AA$12+INDEX($AJ$13:$AR$162,BN1643,0)+INDEX($AT$13:$BB$162,BO1643,0)+INDEX($BD$13:$BL$162,BP1643,0))/100))),0)</f>
        <v/>
      </c>
      <c r="BT1643">
        <f>IF(AND(1630&lt;$U$9,$W$5),BQ1643*1000000-MIN(BR1643,999)*1000+BS1643-1630/100000,-1000000000-1630)</f>
        <v/>
      </c>
    </row>
    <row r="1644">
      <c r="BN1644">
        <f>IF(1631&lt;$U$9,INT(1631/($U$7*$U$8))+1,1)</f>
        <v/>
      </c>
      <c r="BO1644">
        <f>IF(1631&lt;$U$9,MOD(INT(1631/$U$8),$U$7)+1,1)</f>
        <v/>
      </c>
      <c r="BP1644">
        <f>IF(1631&lt;$U$9,MOD(1631,$U$8)+1,1)</f>
        <v/>
      </c>
      <c r="BQ1644">
        <f>IF(1631&lt;$U$9,SUMPRODUCT(($D$10:$L$10&lt;&gt;"")*(($D$9:$L$9+INT(($S$12:$AA$12+INDEX($AJ$13:$AR$162,BN1644,0)+INDEX($AT$13:$BB$162,BO1644,0)+INDEX($BD$13:$BL$162,BP1644,0))/100))&gt;=$D$10:$L$10)),0)</f>
        <v/>
      </c>
      <c r="BR1644">
        <f>IF(1631&lt;$U$9,SUMPRODUCT(($D$10:$L$10&lt;&gt;"")*(($D$10:$L$10-($D$9:$L$9+INT(($S$12:$AA$12+INDEX($AJ$13:$AR$162,BN1644,0)+INDEX($AT$13:$BB$162,BO1644,0)+INDEX($BD$13:$BL$162,BP1644,0))/100)))&gt;0)*($D$10:$L$10-($D$9:$L$9+INT(($S$12:$AA$12+INDEX($AJ$13:$AR$162,BN1644,0)+INDEX($AT$13:$BB$162,BO1644,0)+INDEX($BD$13:$BL$162,BP1644,0))/100)))),0)</f>
        <v/>
      </c>
      <c r="BS1644">
        <f>IF(1631&lt;$U$9,SUMPRODUCT(($D$9:$L$9+INT(($S$12:$AA$12+INDEX($AJ$13:$AR$162,BN1644,0)+INDEX($AT$13:$BB$162,BO1644,0)+INDEX($BD$13:$BL$162,BP1644,0))/100))),0)</f>
        <v/>
      </c>
      <c r="BT1644">
        <f>IF(AND(1631&lt;$U$9,$W$5),BQ1644*1000000-MIN(BR1644,999)*1000+BS1644-1631/100000,-1000000000-1631)</f>
        <v/>
      </c>
    </row>
    <row r="1645">
      <c r="BN1645">
        <f>IF(1632&lt;$U$9,INT(1632/($U$7*$U$8))+1,1)</f>
        <v/>
      </c>
      <c r="BO1645">
        <f>IF(1632&lt;$U$9,MOD(INT(1632/$U$8),$U$7)+1,1)</f>
        <v/>
      </c>
      <c r="BP1645">
        <f>IF(1632&lt;$U$9,MOD(1632,$U$8)+1,1)</f>
        <v/>
      </c>
      <c r="BQ1645">
        <f>IF(1632&lt;$U$9,SUMPRODUCT(($D$10:$L$10&lt;&gt;"")*(($D$9:$L$9+INT(($S$12:$AA$12+INDEX($AJ$13:$AR$162,BN1645,0)+INDEX($AT$13:$BB$162,BO1645,0)+INDEX($BD$13:$BL$162,BP1645,0))/100))&gt;=$D$10:$L$10)),0)</f>
        <v/>
      </c>
      <c r="BR1645">
        <f>IF(1632&lt;$U$9,SUMPRODUCT(($D$10:$L$10&lt;&gt;"")*(($D$10:$L$10-($D$9:$L$9+INT(($S$12:$AA$12+INDEX($AJ$13:$AR$162,BN1645,0)+INDEX($AT$13:$BB$162,BO1645,0)+INDEX($BD$13:$BL$162,BP1645,0))/100)))&gt;0)*($D$10:$L$10-($D$9:$L$9+INT(($S$12:$AA$12+INDEX($AJ$13:$AR$162,BN1645,0)+INDEX($AT$13:$BB$162,BO1645,0)+INDEX($BD$13:$BL$162,BP1645,0))/100)))),0)</f>
        <v/>
      </c>
      <c r="BS1645">
        <f>IF(1632&lt;$U$9,SUMPRODUCT(($D$9:$L$9+INT(($S$12:$AA$12+INDEX($AJ$13:$AR$162,BN1645,0)+INDEX($AT$13:$BB$162,BO1645,0)+INDEX($BD$13:$BL$162,BP1645,0))/100))),0)</f>
        <v/>
      </c>
      <c r="BT1645">
        <f>IF(AND(1632&lt;$U$9,$W$5),BQ1645*1000000-MIN(BR1645,999)*1000+BS1645-1632/100000,-1000000000-1632)</f>
        <v/>
      </c>
    </row>
    <row r="1646">
      <c r="BN1646">
        <f>IF(1633&lt;$U$9,INT(1633/($U$7*$U$8))+1,1)</f>
        <v/>
      </c>
      <c r="BO1646">
        <f>IF(1633&lt;$U$9,MOD(INT(1633/$U$8),$U$7)+1,1)</f>
        <v/>
      </c>
      <c r="BP1646">
        <f>IF(1633&lt;$U$9,MOD(1633,$U$8)+1,1)</f>
        <v/>
      </c>
      <c r="BQ1646">
        <f>IF(1633&lt;$U$9,SUMPRODUCT(($D$10:$L$10&lt;&gt;"")*(($D$9:$L$9+INT(($S$12:$AA$12+INDEX($AJ$13:$AR$162,BN1646,0)+INDEX($AT$13:$BB$162,BO1646,0)+INDEX($BD$13:$BL$162,BP1646,0))/100))&gt;=$D$10:$L$10)),0)</f>
        <v/>
      </c>
      <c r="BR1646">
        <f>IF(1633&lt;$U$9,SUMPRODUCT(($D$10:$L$10&lt;&gt;"")*(($D$10:$L$10-($D$9:$L$9+INT(($S$12:$AA$12+INDEX($AJ$13:$AR$162,BN1646,0)+INDEX($AT$13:$BB$162,BO1646,0)+INDEX($BD$13:$BL$162,BP1646,0))/100)))&gt;0)*($D$10:$L$10-($D$9:$L$9+INT(($S$12:$AA$12+INDEX($AJ$13:$AR$162,BN1646,0)+INDEX($AT$13:$BB$162,BO1646,0)+INDEX($BD$13:$BL$162,BP1646,0))/100)))),0)</f>
        <v/>
      </c>
      <c r="BS1646">
        <f>IF(1633&lt;$U$9,SUMPRODUCT(($D$9:$L$9+INT(($S$12:$AA$12+INDEX($AJ$13:$AR$162,BN1646,0)+INDEX($AT$13:$BB$162,BO1646,0)+INDEX($BD$13:$BL$162,BP1646,0))/100))),0)</f>
        <v/>
      </c>
      <c r="BT1646">
        <f>IF(AND(1633&lt;$U$9,$W$5),BQ1646*1000000-MIN(BR1646,999)*1000+BS1646-1633/100000,-1000000000-1633)</f>
        <v/>
      </c>
    </row>
    <row r="1647">
      <c r="BN1647">
        <f>IF(1634&lt;$U$9,INT(1634/($U$7*$U$8))+1,1)</f>
        <v/>
      </c>
      <c r="BO1647">
        <f>IF(1634&lt;$U$9,MOD(INT(1634/$U$8),$U$7)+1,1)</f>
        <v/>
      </c>
      <c r="BP1647">
        <f>IF(1634&lt;$U$9,MOD(1634,$U$8)+1,1)</f>
        <v/>
      </c>
      <c r="BQ1647">
        <f>IF(1634&lt;$U$9,SUMPRODUCT(($D$10:$L$10&lt;&gt;"")*(($D$9:$L$9+INT(($S$12:$AA$12+INDEX($AJ$13:$AR$162,BN1647,0)+INDEX($AT$13:$BB$162,BO1647,0)+INDEX($BD$13:$BL$162,BP1647,0))/100))&gt;=$D$10:$L$10)),0)</f>
        <v/>
      </c>
      <c r="BR1647">
        <f>IF(1634&lt;$U$9,SUMPRODUCT(($D$10:$L$10&lt;&gt;"")*(($D$10:$L$10-($D$9:$L$9+INT(($S$12:$AA$12+INDEX($AJ$13:$AR$162,BN1647,0)+INDEX($AT$13:$BB$162,BO1647,0)+INDEX($BD$13:$BL$162,BP1647,0))/100)))&gt;0)*($D$10:$L$10-($D$9:$L$9+INT(($S$12:$AA$12+INDEX($AJ$13:$AR$162,BN1647,0)+INDEX($AT$13:$BB$162,BO1647,0)+INDEX($BD$13:$BL$162,BP1647,0))/100)))),0)</f>
        <v/>
      </c>
      <c r="BS1647">
        <f>IF(1634&lt;$U$9,SUMPRODUCT(($D$9:$L$9+INT(($S$12:$AA$12+INDEX($AJ$13:$AR$162,BN1647,0)+INDEX($AT$13:$BB$162,BO1647,0)+INDEX($BD$13:$BL$162,BP1647,0))/100))),0)</f>
        <v/>
      </c>
      <c r="BT1647">
        <f>IF(AND(1634&lt;$U$9,$W$5),BQ1647*1000000-MIN(BR1647,999)*1000+BS1647-1634/100000,-1000000000-1634)</f>
        <v/>
      </c>
    </row>
    <row r="1648">
      <c r="BN1648">
        <f>IF(1635&lt;$U$9,INT(1635/($U$7*$U$8))+1,1)</f>
        <v/>
      </c>
      <c r="BO1648">
        <f>IF(1635&lt;$U$9,MOD(INT(1635/$U$8),$U$7)+1,1)</f>
        <v/>
      </c>
      <c r="BP1648">
        <f>IF(1635&lt;$U$9,MOD(1635,$U$8)+1,1)</f>
        <v/>
      </c>
      <c r="BQ1648">
        <f>IF(1635&lt;$U$9,SUMPRODUCT(($D$10:$L$10&lt;&gt;"")*(($D$9:$L$9+INT(($S$12:$AA$12+INDEX($AJ$13:$AR$162,BN1648,0)+INDEX($AT$13:$BB$162,BO1648,0)+INDEX($BD$13:$BL$162,BP1648,0))/100))&gt;=$D$10:$L$10)),0)</f>
        <v/>
      </c>
      <c r="BR1648">
        <f>IF(1635&lt;$U$9,SUMPRODUCT(($D$10:$L$10&lt;&gt;"")*(($D$10:$L$10-($D$9:$L$9+INT(($S$12:$AA$12+INDEX($AJ$13:$AR$162,BN1648,0)+INDEX($AT$13:$BB$162,BO1648,0)+INDEX($BD$13:$BL$162,BP1648,0))/100)))&gt;0)*($D$10:$L$10-($D$9:$L$9+INT(($S$12:$AA$12+INDEX($AJ$13:$AR$162,BN1648,0)+INDEX($AT$13:$BB$162,BO1648,0)+INDEX($BD$13:$BL$162,BP1648,0))/100)))),0)</f>
        <v/>
      </c>
      <c r="BS1648">
        <f>IF(1635&lt;$U$9,SUMPRODUCT(($D$9:$L$9+INT(($S$12:$AA$12+INDEX($AJ$13:$AR$162,BN1648,0)+INDEX($AT$13:$BB$162,BO1648,0)+INDEX($BD$13:$BL$162,BP1648,0))/100))),0)</f>
        <v/>
      </c>
      <c r="BT1648">
        <f>IF(AND(1635&lt;$U$9,$W$5),BQ1648*1000000-MIN(BR1648,999)*1000+BS1648-1635/100000,-1000000000-1635)</f>
        <v/>
      </c>
    </row>
    <row r="1649">
      <c r="BN1649">
        <f>IF(1636&lt;$U$9,INT(1636/($U$7*$U$8))+1,1)</f>
        <v/>
      </c>
      <c r="BO1649">
        <f>IF(1636&lt;$U$9,MOD(INT(1636/$U$8),$U$7)+1,1)</f>
        <v/>
      </c>
      <c r="BP1649">
        <f>IF(1636&lt;$U$9,MOD(1636,$U$8)+1,1)</f>
        <v/>
      </c>
      <c r="BQ1649">
        <f>IF(1636&lt;$U$9,SUMPRODUCT(($D$10:$L$10&lt;&gt;"")*(($D$9:$L$9+INT(($S$12:$AA$12+INDEX($AJ$13:$AR$162,BN1649,0)+INDEX($AT$13:$BB$162,BO1649,0)+INDEX($BD$13:$BL$162,BP1649,0))/100))&gt;=$D$10:$L$10)),0)</f>
        <v/>
      </c>
      <c r="BR1649">
        <f>IF(1636&lt;$U$9,SUMPRODUCT(($D$10:$L$10&lt;&gt;"")*(($D$10:$L$10-($D$9:$L$9+INT(($S$12:$AA$12+INDEX($AJ$13:$AR$162,BN1649,0)+INDEX($AT$13:$BB$162,BO1649,0)+INDEX($BD$13:$BL$162,BP1649,0))/100)))&gt;0)*($D$10:$L$10-($D$9:$L$9+INT(($S$12:$AA$12+INDEX($AJ$13:$AR$162,BN1649,0)+INDEX($AT$13:$BB$162,BO1649,0)+INDEX($BD$13:$BL$162,BP1649,0))/100)))),0)</f>
        <v/>
      </c>
      <c r="BS1649">
        <f>IF(1636&lt;$U$9,SUMPRODUCT(($D$9:$L$9+INT(($S$12:$AA$12+INDEX($AJ$13:$AR$162,BN1649,0)+INDEX($AT$13:$BB$162,BO1649,0)+INDEX($BD$13:$BL$162,BP1649,0))/100))),0)</f>
        <v/>
      </c>
      <c r="BT1649">
        <f>IF(AND(1636&lt;$U$9,$W$5),BQ1649*1000000-MIN(BR1649,999)*1000+BS1649-1636/100000,-1000000000-1636)</f>
        <v/>
      </c>
    </row>
    <row r="1650">
      <c r="BN1650">
        <f>IF(1637&lt;$U$9,INT(1637/($U$7*$U$8))+1,1)</f>
        <v/>
      </c>
      <c r="BO1650">
        <f>IF(1637&lt;$U$9,MOD(INT(1637/$U$8),$U$7)+1,1)</f>
        <v/>
      </c>
      <c r="BP1650">
        <f>IF(1637&lt;$U$9,MOD(1637,$U$8)+1,1)</f>
        <v/>
      </c>
      <c r="BQ1650">
        <f>IF(1637&lt;$U$9,SUMPRODUCT(($D$10:$L$10&lt;&gt;"")*(($D$9:$L$9+INT(($S$12:$AA$12+INDEX($AJ$13:$AR$162,BN1650,0)+INDEX($AT$13:$BB$162,BO1650,0)+INDEX($BD$13:$BL$162,BP1650,0))/100))&gt;=$D$10:$L$10)),0)</f>
        <v/>
      </c>
      <c r="BR1650">
        <f>IF(1637&lt;$U$9,SUMPRODUCT(($D$10:$L$10&lt;&gt;"")*(($D$10:$L$10-($D$9:$L$9+INT(($S$12:$AA$12+INDEX($AJ$13:$AR$162,BN1650,0)+INDEX($AT$13:$BB$162,BO1650,0)+INDEX($BD$13:$BL$162,BP1650,0))/100)))&gt;0)*($D$10:$L$10-($D$9:$L$9+INT(($S$12:$AA$12+INDEX($AJ$13:$AR$162,BN1650,0)+INDEX($AT$13:$BB$162,BO1650,0)+INDEX($BD$13:$BL$162,BP1650,0))/100)))),0)</f>
        <v/>
      </c>
      <c r="BS1650">
        <f>IF(1637&lt;$U$9,SUMPRODUCT(($D$9:$L$9+INT(($S$12:$AA$12+INDEX($AJ$13:$AR$162,BN1650,0)+INDEX($AT$13:$BB$162,BO1650,0)+INDEX($BD$13:$BL$162,BP1650,0))/100))),0)</f>
        <v/>
      </c>
      <c r="BT1650">
        <f>IF(AND(1637&lt;$U$9,$W$5),BQ1650*1000000-MIN(BR1650,999)*1000+BS1650-1637/100000,-1000000000-1637)</f>
        <v/>
      </c>
    </row>
    <row r="1651">
      <c r="BN1651">
        <f>IF(1638&lt;$U$9,INT(1638/($U$7*$U$8))+1,1)</f>
        <v/>
      </c>
      <c r="BO1651">
        <f>IF(1638&lt;$U$9,MOD(INT(1638/$U$8),$U$7)+1,1)</f>
        <v/>
      </c>
      <c r="BP1651">
        <f>IF(1638&lt;$U$9,MOD(1638,$U$8)+1,1)</f>
        <v/>
      </c>
      <c r="BQ1651">
        <f>IF(1638&lt;$U$9,SUMPRODUCT(($D$10:$L$10&lt;&gt;"")*(($D$9:$L$9+INT(($S$12:$AA$12+INDEX($AJ$13:$AR$162,BN1651,0)+INDEX($AT$13:$BB$162,BO1651,0)+INDEX($BD$13:$BL$162,BP1651,0))/100))&gt;=$D$10:$L$10)),0)</f>
        <v/>
      </c>
      <c r="BR1651">
        <f>IF(1638&lt;$U$9,SUMPRODUCT(($D$10:$L$10&lt;&gt;"")*(($D$10:$L$10-($D$9:$L$9+INT(($S$12:$AA$12+INDEX($AJ$13:$AR$162,BN1651,0)+INDEX($AT$13:$BB$162,BO1651,0)+INDEX($BD$13:$BL$162,BP1651,0))/100)))&gt;0)*($D$10:$L$10-($D$9:$L$9+INT(($S$12:$AA$12+INDEX($AJ$13:$AR$162,BN1651,0)+INDEX($AT$13:$BB$162,BO1651,0)+INDEX($BD$13:$BL$162,BP1651,0))/100)))),0)</f>
        <v/>
      </c>
      <c r="BS1651">
        <f>IF(1638&lt;$U$9,SUMPRODUCT(($D$9:$L$9+INT(($S$12:$AA$12+INDEX($AJ$13:$AR$162,BN1651,0)+INDEX($AT$13:$BB$162,BO1651,0)+INDEX($BD$13:$BL$162,BP1651,0))/100))),0)</f>
        <v/>
      </c>
      <c r="BT1651">
        <f>IF(AND(1638&lt;$U$9,$W$5),BQ1651*1000000-MIN(BR1651,999)*1000+BS1651-1638/100000,-1000000000-1638)</f>
        <v/>
      </c>
    </row>
    <row r="1652">
      <c r="BN1652">
        <f>IF(1639&lt;$U$9,INT(1639/($U$7*$U$8))+1,1)</f>
        <v/>
      </c>
      <c r="BO1652">
        <f>IF(1639&lt;$U$9,MOD(INT(1639/$U$8),$U$7)+1,1)</f>
        <v/>
      </c>
      <c r="BP1652">
        <f>IF(1639&lt;$U$9,MOD(1639,$U$8)+1,1)</f>
        <v/>
      </c>
      <c r="BQ1652">
        <f>IF(1639&lt;$U$9,SUMPRODUCT(($D$10:$L$10&lt;&gt;"")*(($D$9:$L$9+INT(($S$12:$AA$12+INDEX($AJ$13:$AR$162,BN1652,0)+INDEX($AT$13:$BB$162,BO1652,0)+INDEX($BD$13:$BL$162,BP1652,0))/100))&gt;=$D$10:$L$10)),0)</f>
        <v/>
      </c>
      <c r="BR1652">
        <f>IF(1639&lt;$U$9,SUMPRODUCT(($D$10:$L$10&lt;&gt;"")*(($D$10:$L$10-($D$9:$L$9+INT(($S$12:$AA$12+INDEX($AJ$13:$AR$162,BN1652,0)+INDEX($AT$13:$BB$162,BO1652,0)+INDEX($BD$13:$BL$162,BP1652,0))/100)))&gt;0)*($D$10:$L$10-($D$9:$L$9+INT(($S$12:$AA$12+INDEX($AJ$13:$AR$162,BN1652,0)+INDEX($AT$13:$BB$162,BO1652,0)+INDEX($BD$13:$BL$162,BP1652,0))/100)))),0)</f>
        <v/>
      </c>
      <c r="BS1652">
        <f>IF(1639&lt;$U$9,SUMPRODUCT(($D$9:$L$9+INT(($S$12:$AA$12+INDEX($AJ$13:$AR$162,BN1652,0)+INDEX($AT$13:$BB$162,BO1652,0)+INDEX($BD$13:$BL$162,BP1652,0))/100))),0)</f>
        <v/>
      </c>
      <c r="BT1652">
        <f>IF(AND(1639&lt;$U$9,$W$5),BQ1652*1000000-MIN(BR1652,999)*1000+BS1652-1639/100000,-1000000000-1639)</f>
        <v/>
      </c>
    </row>
    <row r="1653">
      <c r="BN1653">
        <f>IF(1640&lt;$U$9,INT(1640/($U$7*$U$8))+1,1)</f>
        <v/>
      </c>
      <c r="BO1653">
        <f>IF(1640&lt;$U$9,MOD(INT(1640/$U$8),$U$7)+1,1)</f>
        <v/>
      </c>
      <c r="BP1653">
        <f>IF(1640&lt;$U$9,MOD(1640,$U$8)+1,1)</f>
        <v/>
      </c>
      <c r="BQ1653">
        <f>IF(1640&lt;$U$9,SUMPRODUCT(($D$10:$L$10&lt;&gt;"")*(($D$9:$L$9+INT(($S$12:$AA$12+INDEX($AJ$13:$AR$162,BN1653,0)+INDEX($AT$13:$BB$162,BO1653,0)+INDEX($BD$13:$BL$162,BP1653,0))/100))&gt;=$D$10:$L$10)),0)</f>
        <v/>
      </c>
      <c r="BR1653">
        <f>IF(1640&lt;$U$9,SUMPRODUCT(($D$10:$L$10&lt;&gt;"")*(($D$10:$L$10-($D$9:$L$9+INT(($S$12:$AA$12+INDEX($AJ$13:$AR$162,BN1653,0)+INDEX($AT$13:$BB$162,BO1653,0)+INDEX($BD$13:$BL$162,BP1653,0))/100)))&gt;0)*($D$10:$L$10-($D$9:$L$9+INT(($S$12:$AA$12+INDEX($AJ$13:$AR$162,BN1653,0)+INDEX($AT$13:$BB$162,BO1653,0)+INDEX($BD$13:$BL$162,BP1653,0))/100)))),0)</f>
        <v/>
      </c>
      <c r="BS1653">
        <f>IF(1640&lt;$U$9,SUMPRODUCT(($D$9:$L$9+INT(($S$12:$AA$12+INDEX($AJ$13:$AR$162,BN1653,0)+INDEX($AT$13:$BB$162,BO1653,0)+INDEX($BD$13:$BL$162,BP1653,0))/100))),0)</f>
        <v/>
      </c>
      <c r="BT1653">
        <f>IF(AND(1640&lt;$U$9,$W$5),BQ1653*1000000-MIN(BR1653,999)*1000+BS1653-1640/100000,-1000000000-1640)</f>
        <v/>
      </c>
    </row>
    <row r="1654">
      <c r="BN1654">
        <f>IF(1641&lt;$U$9,INT(1641/($U$7*$U$8))+1,1)</f>
        <v/>
      </c>
      <c r="BO1654">
        <f>IF(1641&lt;$U$9,MOD(INT(1641/$U$8),$U$7)+1,1)</f>
        <v/>
      </c>
      <c r="BP1654">
        <f>IF(1641&lt;$U$9,MOD(1641,$U$8)+1,1)</f>
        <v/>
      </c>
      <c r="BQ1654">
        <f>IF(1641&lt;$U$9,SUMPRODUCT(($D$10:$L$10&lt;&gt;"")*(($D$9:$L$9+INT(($S$12:$AA$12+INDEX($AJ$13:$AR$162,BN1654,0)+INDEX($AT$13:$BB$162,BO1654,0)+INDEX($BD$13:$BL$162,BP1654,0))/100))&gt;=$D$10:$L$10)),0)</f>
        <v/>
      </c>
      <c r="BR1654">
        <f>IF(1641&lt;$U$9,SUMPRODUCT(($D$10:$L$10&lt;&gt;"")*(($D$10:$L$10-($D$9:$L$9+INT(($S$12:$AA$12+INDEX($AJ$13:$AR$162,BN1654,0)+INDEX($AT$13:$BB$162,BO1654,0)+INDEX($BD$13:$BL$162,BP1654,0))/100)))&gt;0)*($D$10:$L$10-($D$9:$L$9+INT(($S$12:$AA$12+INDEX($AJ$13:$AR$162,BN1654,0)+INDEX($AT$13:$BB$162,BO1654,0)+INDEX($BD$13:$BL$162,BP1654,0))/100)))),0)</f>
        <v/>
      </c>
      <c r="BS1654">
        <f>IF(1641&lt;$U$9,SUMPRODUCT(($D$9:$L$9+INT(($S$12:$AA$12+INDEX($AJ$13:$AR$162,BN1654,0)+INDEX($AT$13:$BB$162,BO1654,0)+INDEX($BD$13:$BL$162,BP1654,0))/100))),0)</f>
        <v/>
      </c>
      <c r="BT1654">
        <f>IF(AND(1641&lt;$U$9,$W$5),BQ1654*1000000-MIN(BR1654,999)*1000+BS1654-1641/100000,-1000000000-1641)</f>
        <v/>
      </c>
    </row>
    <row r="1655">
      <c r="BN1655">
        <f>IF(1642&lt;$U$9,INT(1642/($U$7*$U$8))+1,1)</f>
        <v/>
      </c>
      <c r="BO1655">
        <f>IF(1642&lt;$U$9,MOD(INT(1642/$U$8),$U$7)+1,1)</f>
        <v/>
      </c>
      <c r="BP1655">
        <f>IF(1642&lt;$U$9,MOD(1642,$U$8)+1,1)</f>
        <v/>
      </c>
      <c r="BQ1655">
        <f>IF(1642&lt;$U$9,SUMPRODUCT(($D$10:$L$10&lt;&gt;"")*(($D$9:$L$9+INT(($S$12:$AA$12+INDEX($AJ$13:$AR$162,BN1655,0)+INDEX($AT$13:$BB$162,BO1655,0)+INDEX($BD$13:$BL$162,BP1655,0))/100))&gt;=$D$10:$L$10)),0)</f>
        <v/>
      </c>
      <c r="BR1655">
        <f>IF(1642&lt;$U$9,SUMPRODUCT(($D$10:$L$10&lt;&gt;"")*(($D$10:$L$10-($D$9:$L$9+INT(($S$12:$AA$12+INDEX($AJ$13:$AR$162,BN1655,0)+INDEX($AT$13:$BB$162,BO1655,0)+INDEX($BD$13:$BL$162,BP1655,0))/100)))&gt;0)*($D$10:$L$10-($D$9:$L$9+INT(($S$12:$AA$12+INDEX($AJ$13:$AR$162,BN1655,0)+INDEX($AT$13:$BB$162,BO1655,0)+INDEX($BD$13:$BL$162,BP1655,0))/100)))),0)</f>
        <v/>
      </c>
      <c r="BS1655">
        <f>IF(1642&lt;$U$9,SUMPRODUCT(($D$9:$L$9+INT(($S$12:$AA$12+INDEX($AJ$13:$AR$162,BN1655,0)+INDEX($AT$13:$BB$162,BO1655,0)+INDEX($BD$13:$BL$162,BP1655,0))/100))),0)</f>
        <v/>
      </c>
      <c r="BT1655">
        <f>IF(AND(1642&lt;$U$9,$W$5),BQ1655*1000000-MIN(BR1655,999)*1000+BS1655-1642/100000,-1000000000-1642)</f>
        <v/>
      </c>
    </row>
    <row r="1656">
      <c r="BN1656">
        <f>IF(1643&lt;$U$9,INT(1643/($U$7*$U$8))+1,1)</f>
        <v/>
      </c>
      <c r="BO1656">
        <f>IF(1643&lt;$U$9,MOD(INT(1643/$U$8),$U$7)+1,1)</f>
        <v/>
      </c>
      <c r="BP1656">
        <f>IF(1643&lt;$U$9,MOD(1643,$U$8)+1,1)</f>
        <v/>
      </c>
      <c r="BQ1656">
        <f>IF(1643&lt;$U$9,SUMPRODUCT(($D$10:$L$10&lt;&gt;"")*(($D$9:$L$9+INT(($S$12:$AA$12+INDEX($AJ$13:$AR$162,BN1656,0)+INDEX($AT$13:$BB$162,BO1656,0)+INDEX($BD$13:$BL$162,BP1656,0))/100))&gt;=$D$10:$L$10)),0)</f>
        <v/>
      </c>
      <c r="BR1656">
        <f>IF(1643&lt;$U$9,SUMPRODUCT(($D$10:$L$10&lt;&gt;"")*(($D$10:$L$10-($D$9:$L$9+INT(($S$12:$AA$12+INDEX($AJ$13:$AR$162,BN1656,0)+INDEX($AT$13:$BB$162,BO1656,0)+INDEX($BD$13:$BL$162,BP1656,0))/100)))&gt;0)*($D$10:$L$10-($D$9:$L$9+INT(($S$12:$AA$12+INDEX($AJ$13:$AR$162,BN1656,0)+INDEX($AT$13:$BB$162,BO1656,0)+INDEX($BD$13:$BL$162,BP1656,0))/100)))),0)</f>
        <v/>
      </c>
      <c r="BS1656">
        <f>IF(1643&lt;$U$9,SUMPRODUCT(($D$9:$L$9+INT(($S$12:$AA$12+INDEX($AJ$13:$AR$162,BN1656,0)+INDEX($AT$13:$BB$162,BO1656,0)+INDEX($BD$13:$BL$162,BP1656,0))/100))),0)</f>
        <v/>
      </c>
      <c r="BT1656">
        <f>IF(AND(1643&lt;$U$9,$W$5),BQ1656*1000000-MIN(BR1656,999)*1000+BS1656-1643/100000,-1000000000-1643)</f>
        <v/>
      </c>
    </row>
    <row r="1657">
      <c r="BN1657">
        <f>IF(1644&lt;$U$9,INT(1644/($U$7*$U$8))+1,1)</f>
        <v/>
      </c>
      <c r="BO1657">
        <f>IF(1644&lt;$U$9,MOD(INT(1644/$U$8),$U$7)+1,1)</f>
        <v/>
      </c>
      <c r="BP1657">
        <f>IF(1644&lt;$U$9,MOD(1644,$U$8)+1,1)</f>
        <v/>
      </c>
      <c r="BQ1657">
        <f>IF(1644&lt;$U$9,SUMPRODUCT(($D$10:$L$10&lt;&gt;"")*(($D$9:$L$9+INT(($S$12:$AA$12+INDEX($AJ$13:$AR$162,BN1657,0)+INDEX($AT$13:$BB$162,BO1657,0)+INDEX($BD$13:$BL$162,BP1657,0))/100))&gt;=$D$10:$L$10)),0)</f>
        <v/>
      </c>
      <c r="BR1657">
        <f>IF(1644&lt;$U$9,SUMPRODUCT(($D$10:$L$10&lt;&gt;"")*(($D$10:$L$10-($D$9:$L$9+INT(($S$12:$AA$12+INDEX($AJ$13:$AR$162,BN1657,0)+INDEX($AT$13:$BB$162,BO1657,0)+INDEX($BD$13:$BL$162,BP1657,0))/100)))&gt;0)*($D$10:$L$10-($D$9:$L$9+INT(($S$12:$AA$12+INDEX($AJ$13:$AR$162,BN1657,0)+INDEX($AT$13:$BB$162,BO1657,0)+INDEX($BD$13:$BL$162,BP1657,0))/100)))),0)</f>
        <v/>
      </c>
      <c r="BS1657">
        <f>IF(1644&lt;$U$9,SUMPRODUCT(($D$9:$L$9+INT(($S$12:$AA$12+INDEX($AJ$13:$AR$162,BN1657,0)+INDEX($AT$13:$BB$162,BO1657,0)+INDEX($BD$13:$BL$162,BP1657,0))/100))),0)</f>
        <v/>
      </c>
      <c r="BT1657">
        <f>IF(AND(1644&lt;$U$9,$W$5),BQ1657*1000000-MIN(BR1657,999)*1000+BS1657-1644/100000,-1000000000-1644)</f>
        <v/>
      </c>
    </row>
    <row r="1658">
      <c r="BN1658">
        <f>IF(1645&lt;$U$9,INT(1645/($U$7*$U$8))+1,1)</f>
        <v/>
      </c>
      <c r="BO1658">
        <f>IF(1645&lt;$U$9,MOD(INT(1645/$U$8),$U$7)+1,1)</f>
        <v/>
      </c>
      <c r="BP1658">
        <f>IF(1645&lt;$U$9,MOD(1645,$U$8)+1,1)</f>
        <v/>
      </c>
      <c r="BQ1658">
        <f>IF(1645&lt;$U$9,SUMPRODUCT(($D$10:$L$10&lt;&gt;"")*(($D$9:$L$9+INT(($S$12:$AA$12+INDEX($AJ$13:$AR$162,BN1658,0)+INDEX($AT$13:$BB$162,BO1658,0)+INDEX($BD$13:$BL$162,BP1658,0))/100))&gt;=$D$10:$L$10)),0)</f>
        <v/>
      </c>
      <c r="BR1658">
        <f>IF(1645&lt;$U$9,SUMPRODUCT(($D$10:$L$10&lt;&gt;"")*(($D$10:$L$10-($D$9:$L$9+INT(($S$12:$AA$12+INDEX($AJ$13:$AR$162,BN1658,0)+INDEX($AT$13:$BB$162,BO1658,0)+INDEX($BD$13:$BL$162,BP1658,0))/100)))&gt;0)*($D$10:$L$10-($D$9:$L$9+INT(($S$12:$AA$12+INDEX($AJ$13:$AR$162,BN1658,0)+INDEX($AT$13:$BB$162,BO1658,0)+INDEX($BD$13:$BL$162,BP1658,0))/100)))),0)</f>
        <v/>
      </c>
      <c r="BS1658">
        <f>IF(1645&lt;$U$9,SUMPRODUCT(($D$9:$L$9+INT(($S$12:$AA$12+INDEX($AJ$13:$AR$162,BN1658,0)+INDEX($AT$13:$BB$162,BO1658,0)+INDEX($BD$13:$BL$162,BP1658,0))/100))),0)</f>
        <v/>
      </c>
      <c r="BT1658">
        <f>IF(AND(1645&lt;$U$9,$W$5),BQ1658*1000000-MIN(BR1658,999)*1000+BS1658-1645/100000,-1000000000-1645)</f>
        <v/>
      </c>
    </row>
    <row r="1659">
      <c r="BN1659">
        <f>IF(1646&lt;$U$9,INT(1646/($U$7*$U$8))+1,1)</f>
        <v/>
      </c>
      <c r="BO1659">
        <f>IF(1646&lt;$U$9,MOD(INT(1646/$U$8),$U$7)+1,1)</f>
        <v/>
      </c>
      <c r="BP1659">
        <f>IF(1646&lt;$U$9,MOD(1646,$U$8)+1,1)</f>
        <v/>
      </c>
      <c r="BQ1659">
        <f>IF(1646&lt;$U$9,SUMPRODUCT(($D$10:$L$10&lt;&gt;"")*(($D$9:$L$9+INT(($S$12:$AA$12+INDEX($AJ$13:$AR$162,BN1659,0)+INDEX($AT$13:$BB$162,BO1659,0)+INDEX($BD$13:$BL$162,BP1659,0))/100))&gt;=$D$10:$L$10)),0)</f>
        <v/>
      </c>
      <c r="BR1659">
        <f>IF(1646&lt;$U$9,SUMPRODUCT(($D$10:$L$10&lt;&gt;"")*(($D$10:$L$10-($D$9:$L$9+INT(($S$12:$AA$12+INDEX($AJ$13:$AR$162,BN1659,0)+INDEX($AT$13:$BB$162,BO1659,0)+INDEX($BD$13:$BL$162,BP1659,0))/100)))&gt;0)*($D$10:$L$10-($D$9:$L$9+INT(($S$12:$AA$12+INDEX($AJ$13:$AR$162,BN1659,0)+INDEX($AT$13:$BB$162,BO1659,0)+INDEX($BD$13:$BL$162,BP1659,0))/100)))),0)</f>
        <v/>
      </c>
      <c r="BS1659">
        <f>IF(1646&lt;$U$9,SUMPRODUCT(($D$9:$L$9+INT(($S$12:$AA$12+INDEX($AJ$13:$AR$162,BN1659,0)+INDEX($AT$13:$BB$162,BO1659,0)+INDEX($BD$13:$BL$162,BP1659,0))/100))),0)</f>
        <v/>
      </c>
      <c r="BT1659">
        <f>IF(AND(1646&lt;$U$9,$W$5),BQ1659*1000000-MIN(BR1659,999)*1000+BS1659-1646/100000,-1000000000-1646)</f>
        <v/>
      </c>
    </row>
    <row r="1660">
      <c r="BN1660">
        <f>IF(1647&lt;$U$9,INT(1647/($U$7*$U$8))+1,1)</f>
        <v/>
      </c>
      <c r="BO1660">
        <f>IF(1647&lt;$U$9,MOD(INT(1647/$U$8),$U$7)+1,1)</f>
        <v/>
      </c>
      <c r="BP1660">
        <f>IF(1647&lt;$U$9,MOD(1647,$U$8)+1,1)</f>
        <v/>
      </c>
      <c r="BQ1660">
        <f>IF(1647&lt;$U$9,SUMPRODUCT(($D$10:$L$10&lt;&gt;"")*(($D$9:$L$9+INT(($S$12:$AA$12+INDEX($AJ$13:$AR$162,BN1660,0)+INDEX($AT$13:$BB$162,BO1660,0)+INDEX($BD$13:$BL$162,BP1660,0))/100))&gt;=$D$10:$L$10)),0)</f>
        <v/>
      </c>
      <c r="BR1660">
        <f>IF(1647&lt;$U$9,SUMPRODUCT(($D$10:$L$10&lt;&gt;"")*(($D$10:$L$10-($D$9:$L$9+INT(($S$12:$AA$12+INDEX($AJ$13:$AR$162,BN1660,0)+INDEX($AT$13:$BB$162,BO1660,0)+INDEX($BD$13:$BL$162,BP1660,0))/100)))&gt;0)*($D$10:$L$10-($D$9:$L$9+INT(($S$12:$AA$12+INDEX($AJ$13:$AR$162,BN1660,0)+INDEX($AT$13:$BB$162,BO1660,0)+INDEX($BD$13:$BL$162,BP1660,0))/100)))),0)</f>
        <v/>
      </c>
      <c r="BS1660">
        <f>IF(1647&lt;$U$9,SUMPRODUCT(($D$9:$L$9+INT(($S$12:$AA$12+INDEX($AJ$13:$AR$162,BN1660,0)+INDEX($AT$13:$BB$162,BO1660,0)+INDEX($BD$13:$BL$162,BP1660,0))/100))),0)</f>
        <v/>
      </c>
      <c r="BT1660">
        <f>IF(AND(1647&lt;$U$9,$W$5),BQ1660*1000000-MIN(BR1660,999)*1000+BS1660-1647/100000,-1000000000-1647)</f>
        <v/>
      </c>
    </row>
    <row r="1661">
      <c r="BN1661">
        <f>IF(1648&lt;$U$9,INT(1648/($U$7*$U$8))+1,1)</f>
        <v/>
      </c>
      <c r="BO1661">
        <f>IF(1648&lt;$U$9,MOD(INT(1648/$U$8),$U$7)+1,1)</f>
        <v/>
      </c>
      <c r="BP1661">
        <f>IF(1648&lt;$U$9,MOD(1648,$U$8)+1,1)</f>
        <v/>
      </c>
      <c r="BQ1661">
        <f>IF(1648&lt;$U$9,SUMPRODUCT(($D$10:$L$10&lt;&gt;"")*(($D$9:$L$9+INT(($S$12:$AA$12+INDEX($AJ$13:$AR$162,BN1661,0)+INDEX($AT$13:$BB$162,BO1661,0)+INDEX($BD$13:$BL$162,BP1661,0))/100))&gt;=$D$10:$L$10)),0)</f>
        <v/>
      </c>
      <c r="BR1661">
        <f>IF(1648&lt;$U$9,SUMPRODUCT(($D$10:$L$10&lt;&gt;"")*(($D$10:$L$10-($D$9:$L$9+INT(($S$12:$AA$12+INDEX($AJ$13:$AR$162,BN1661,0)+INDEX($AT$13:$BB$162,BO1661,0)+INDEX($BD$13:$BL$162,BP1661,0))/100)))&gt;0)*($D$10:$L$10-($D$9:$L$9+INT(($S$12:$AA$12+INDEX($AJ$13:$AR$162,BN1661,0)+INDEX($AT$13:$BB$162,BO1661,0)+INDEX($BD$13:$BL$162,BP1661,0))/100)))),0)</f>
        <v/>
      </c>
      <c r="BS1661">
        <f>IF(1648&lt;$U$9,SUMPRODUCT(($D$9:$L$9+INT(($S$12:$AA$12+INDEX($AJ$13:$AR$162,BN1661,0)+INDEX($AT$13:$BB$162,BO1661,0)+INDEX($BD$13:$BL$162,BP1661,0))/100))),0)</f>
        <v/>
      </c>
      <c r="BT1661">
        <f>IF(AND(1648&lt;$U$9,$W$5),BQ1661*1000000-MIN(BR1661,999)*1000+BS1661-1648/100000,-1000000000-1648)</f>
        <v/>
      </c>
    </row>
    <row r="1662">
      <c r="BN1662">
        <f>IF(1649&lt;$U$9,INT(1649/($U$7*$U$8))+1,1)</f>
        <v/>
      </c>
      <c r="BO1662">
        <f>IF(1649&lt;$U$9,MOD(INT(1649/$U$8),$U$7)+1,1)</f>
        <v/>
      </c>
      <c r="BP1662">
        <f>IF(1649&lt;$U$9,MOD(1649,$U$8)+1,1)</f>
        <v/>
      </c>
      <c r="BQ1662">
        <f>IF(1649&lt;$U$9,SUMPRODUCT(($D$10:$L$10&lt;&gt;"")*(($D$9:$L$9+INT(($S$12:$AA$12+INDEX($AJ$13:$AR$162,BN1662,0)+INDEX($AT$13:$BB$162,BO1662,0)+INDEX($BD$13:$BL$162,BP1662,0))/100))&gt;=$D$10:$L$10)),0)</f>
        <v/>
      </c>
      <c r="BR1662">
        <f>IF(1649&lt;$U$9,SUMPRODUCT(($D$10:$L$10&lt;&gt;"")*(($D$10:$L$10-($D$9:$L$9+INT(($S$12:$AA$12+INDEX($AJ$13:$AR$162,BN1662,0)+INDEX($AT$13:$BB$162,BO1662,0)+INDEX($BD$13:$BL$162,BP1662,0))/100)))&gt;0)*($D$10:$L$10-($D$9:$L$9+INT(($S$12:$AA$12+INDEX($AJ$13:$AR$162,BN1662,0)+INDEX($AT$13:$BB$162,BO1662,0)+INDEX($BD$13:$BL$162,BP1662,0))/100)))),0)</f>
        <v/>
      </c>
      <c r="BS1662">
        <f>IF(1649&lt;$U$9,SUMPRODUCT(($D$9:$L$9+INT(($S$12:$AA$12+INDEX($AJ$13:$AR$162,BN1662,0)+INDEX($AT$13:$BB$162,BO1662,0)+INDEX($BD$13:$BL$162,BP1662,0))/100))),0)</f>
        <v/>
      </c>
      <c r="BT1662">
        <f>IF(AND(1649&lt;$U$9,$W$5),BQ1662*1000000-MIN(BR1662,999)*1000+BS1662-1649/100000,-1000000000-1649)</f>
        <v/>
      </c>
    </row>
    <row r="1663">
      <c r="BN1663">
        <f>IF(1650&lt;$U$9,INT(1650/($U$7*$U$8))+1,1)</f>
        <v/>
      </c>
      <c r="BO1663">
        <f>IF(1650&lt;$U$9,MOD(INT(1650/$U$8),$U$7)+1,1)</f>
        <v/>
      </c>
      <c r="BP1663">
        <f>IF(1650&lt;$U$9,MOD(1650,$U$8)+1,1)</f>
        <v/>
      </c>
      <c r="BQ1663">
        <f>IF(1650&lt;$U$9,SUMPRODUCT(($D$10:$L$10&lt;&gt;"")*(($D$9:$L$9+INT(($S$12:$AA$12+INDEX($AJ$13:$AR$162,BN1663,0)+INDEX($AT$13:$BB$162,BO1663,0)+INDEX($BD$13:$BL$162,BP1663,0))/100))&gt;=$D$10:$L$10)),0)</f>
        <v/>
      </c>
      <c r="BR1663">
        <f>IF(1650&lt;$U$9,SUMPRODUCT(($D$10:$L$10&lt;&gt;"")*(($D$10:$L$10-($D$9:$L$9+INT(($S$12:$AA$12+INDEX($AJ$13:$AR$162,BN1663,0)+INDEX($AT$13:$BB$162,BO1663,0)+INDEX($BD$13:$BL$162,BP1663,0))/100)))&gt;0)*($D$10:$L$10-($D$9:$L$9+INT(($S$12:$AA$12+INDEX($AJ$13:$AR$162,BN1663,0)+INDEX($AT$13:$BB$162,BO1663,0)+INDEX($BD$13:$BL$162,BP1663,0))/100)))),0)</f>
        <v/>
      </c>
      <c r="BS1663">
        <f>IF(1650&lt;$U$9,SUMPRODUCT(($D$9:$L$9+INT(($S$12:$AA$12+INDEX($AJ$13:$AR$162,BN1663,0)+INDEX($AT$13:$BB$162,BO1663,0)+INDEX($BD$13:$BL$162,BP1663,0))/100))),0)</f>
        <v/>
      </c>
      <c r="BT1663">
        <f>IF(AND(1650&lt;$U$9,$W$5),BQ1663*1000000-MIN(BR1663,999)*1000+BS1663-1650/100000,-1000000000-1650)</f>
        <v/>
      </c>
    </row>
    <row r="1664">
      <c r="BN1664">
        <f>IF(1651&lt;$U$9,INT(1651/($U$7*$U$8))+1,1)</f>
        <v/>
      </c>
      <c r="BO1664">
        <f>IF(1651&lt;$U$9,MOD(INT(1651/$U$8),$U$7)+1,1)</f>
        <v/>
      </c>
      <c r="BP1664">
        <f>IF(1651&lt;$U$9,MOD(1651,$U$8)+1,1)</f>
        <v/>
      </c>
      <c r="BQ1664">
        <f>IF(1651&lt;$U$9,SUMPRODUCT(($D$10:$L$10&lt;&gt;"")*(($D$9:$L$9+INT(($S$12:$AA$12+INDEX($AJ$13:$AR$162,BN1664,0)+INDEX($AT$13:$BB$162,BO1664,0)+INDEX($BD$13:$BL$162,BP1664,0))/100))&gt;=$D$10:$L$10)),0)</f>
        <v/>
      </c>
      <c r="BR1664">
        <f>IF(1651&lt;$U$9,SUMPRODUCT(($D$10:$L$10&lt;&gt;"")*(($D$10:$L$10-($D$9:$L$9+INT(($S$12:$AA$12+INDEX($AJ$13:$AR$162,BN1664,0)+INDEX($AT$13:$BB$162,BO1664,0)+INDEX($BD$13:$BL$162,BP1664,0))/100)))&gt;0)*($D$10:$L$10-($D$9:$L$9+INT(($S$12:$AA$12+INDEX($AJ$13:$AR$162,BN1664,0)+INDEX($AT$13:$BB$162,BO1664,0)+INDEX($BD$13:$BL$162,BP1664,0))/100)))),0)</f>
        <v/>
      </c>
      <c r="BS1664">
        <f>IF(1651&lt;$U$9,SUMPRODUCT(($D$9:$L$9+INT(($S$12:$AA$12+INDEX($AJ$13:$AR$162,BN1664,0)+INDEX($AT$13:$BB$162,BO1664,0)+INDEX($BD$13:$BL$162,BP1664,0))/100))),0)</f>
        <v/>
      </c>
      <c r="BT1664">
        <f>IF(AND(1651&lt;$U$9,$W$5),BQ1664*1000000-MIN(BR1664,999)*1000+BS1664-1651/100000,-1000000000-1651)</f>
        <v/>
      </c>
    </row>
    <row r="1665">
      <c r="BN1665">
        <f>IF(1652&lt;$U$9,INT(1652/($U$7*$U$8))+1,1)</f>
        <v/>
      </c>
      <c r="BO1665">
        <f>IF(1652&lt;$U$9,MOD(INT(1652/$U$8),$U$7)+1,1)</f>
        <v/>
      </c>
      <c r="BP1665">
        <f>IF(1652&lt;$U$9,MOD(1652,$U$8)+1,1)</f>
        <v/>
      </c>
      <c r="BQ1665">
        <f>IF(1652&lt;$U$9,SUMPRODUCT(($D$10:$L$10&lt;&gt;"")*(($D$9:$L$9+INT(($S$12:$AA$12+INDEX($AJ$13:$AR$162,BN1665,0)+INDEX($AT$13:$BB$162,BO1665,0)+INDEX($BD$13:$BL$162,BP1665,0))/100))&gt;=$D$10:$L$10)),0)</f>
        <v/>
      </c>
      <c r="BR1665">
        <f>IF(1652&lt;$U$9,SUMPRODUCT(($D$10:$L$10&lt;&gt;"")*(($D$10:$L$10-($D$9:$L$9+INT(($S$12:$AA$12+INDEX($AJ$13:$AR$162,BN1665,0)+INDEX($AT$13:$BB$162,BO1665,0)+INDEX($BD$13:$BL$162,BP1665,0))/100)))&gt;0)*($D$10:$L$10-($D$9:$L$9+INT(($S$12:$AA$12+INDEX($AJ$13:$AR$162,BN1665,0)+INDEX($AT$13:$BB$162,BO1665,0)+INDEX($BD$13:$BL$162,BP1665,0))/100)))),0)</f>
        <v/>
      </c>
      <c r="BS1665">
        <f>IF(1652&lt;$U$9,SUMPRODUCT(($D$9:$L$9+INT(($S$12:$AA$12+INDEX($AJ$13:$AR$162,BN1665,0)+INDEX($AT$13:$BB$162,BO1665,0)+INDEX($BD$13:$BL$162,BP1665,0))/100))),0)</f>
        <v/>
      </c>
      <c r="BT1665">
        <f>IF(AND(1652&lt;$U$9,$W$5),BQ1665*1000000-MIN(BR1665,999)*1000+BS1665-1652/100000,-1000000000-1652)</f>
        <v/>
      </c>
    </row>
    <row r="1666">
      <c r="BN1666">
        <f>IF(1653&lt;$U$9,INT(1653/($U$7*$U$8))+1,1)</f>
        <v/>
      </c>
      <c r="BO1666">
        <f>IF(1653&lt;$U$9,MOD(INT(1653/$U$8),$U$7)+1,1)</f>
        <v/>
      </c>
      <c r="BP1666">
        <f>IF(1653&lt;$U$9,MOD(1653,$U$8)+1,1)</f>
        <v/>
      </c>
      <c r="BQ1666">
        <f>IF(1653&lt;$U$9,SUMPRODUCT(($D$10:$L$10&lt;&gt;"")*(($D$9:$L$9+INT(($S$12:$AA$12+INDEX($AJ$13:$AR$162,BN1666,0)+INDEX($AT$13:$BB$162,BO1666,0)+INDEX($BD$13:$BL$162,BP1666,0))/100))&gt;=$D$10:$L$10)),0)</f>
        <v/>
      </c>
      <c r="BR1666">
        <f>IF(1653&lt;$U$9,SUMPRODUCT(($D$10:$L$10&lt;&gt;"")*(($D$10:$L$10-($D$9:$L$9+INT(($S$12:$AA$12+INDEX($AJ$13:$AR$162,BN1666,0)+INDEX($AT$13:$BB$162,BO1666,0)+INDEX($BD$13:$BL$162,BP1666,0))/100)))&gt;0)*($D$10:$L$10-($D$9:$L$9+INT(($S$12:$AA$12+INDEX($AJ$13:$AR$162,BN1666,0)+INDEX($AT$13:$BB$162,BO1666,0)+INDEX($BD$13:$BL$162,BP1666,0))/100)))),0)</f>
        <v/>
      </c>
      <c r="BS1666">
        <f>IF(1653&lt;$U$9,SUMPRODUCT(($D$9:$L$9+INT(($S$12:$AA$12+INDEX($AJ$13:$AR$162,BN1666,0)+INDEX($AT$13:$BB$162,BO1666,0)+INDEX($BD$13:$BL$162,BP1666,0))/100))),0)</f>
        <v/>
      </c>
      <c r="BT1666">
        <f>IF(AND(1653&lt;$U$9,$W$5),BQ1666*1000000-MIN(BR1666,999)*1000+BS1666-1653/100000,-1000000000-1653)</f>
        <v/>
      </c>
    </row>
    <row r="1667">
      <c r="BN1667">
        <f>IF(1654&lt;$U$9,INT(1654/($U$7*$U$8))+1,1)</f>
        <v/>
      </c>
      <c r="BO1667">
        <f>IF(1654&lt;$U$9,MOD(INT(1654/$U$8),$U$7)+1,1)</f>
        <v/>
      </c>
      <c r="BP1667">
        <f>IF(1654&lt;$U$9,MOD(1654,$U$8)+1,1)</f>
        <v/>
      </c>
      <c r="BQ1667">
        <f>IF(1654&lt;$U$9,SUMPRODUCT(($D$10:$L$10&lt;&gt;"")*(($D$9:$L$9+INT(($S$12:$AA$12+INDEX($AJ$13:$AR$162,BN1667,0)+INDEX($AT$13:$BB$162,BO1667,0)+INDEX($BD$13:$BL$162,BP1667,0))/100))&gt;=$D$10:$L$10)),0)</f>
        <v/>
      </c>
      <c r="BR1667">
        <f>IF(1654&lt;$U$9,SUMPRODUCT(($D$10:$L$10&lt;&gt;"")*(($D$10:$L$10-($D$9:$L$9+INT(($S$12:$AA$12+INDEX($AJ$13:$AR$162,BN1667,0)+INDEX($AT$13:$BB$162,BO1667,0)+INDEX($BD$13:$BL$162,BP1667,0))/100)))&gt;0)*($D$10:$L$10-($D$9:$L$9+INT(($S$12:$AA$12+INDEX($AJ$13:$AR$162,BN1667,0)+INDEX($AT$13:$BB$162,BO1667,0)+INDEX($BD$13:$BL$162,BP1667,0))/100)))),0)</f>
        <v/>
      </c>
      <c r="BS1667">
        <f>IF(1654&lt;$U$9,SUMPRODUCT(($D$9:$L$9+INT(($S$12:$AA$12+INDEX($AJ$13:$AR$162,BN1667,0)+INDEX($AT$13:$BB$162,BO1667,0)+INDEX($BD$13:$BL$162,BP1667,0))/100))),0)</f>
        <v/>
      </c>
      <c r="BT1667">
        <f>IF(AND(1654&lt;$U$9,$W$5),BQ1667*1000000-MIN(BR1667,999)*1000+BS1667-1654/100000,-1000000000-1654)</f>
        <v/>
      </c>
    </row>
    <row r="1668">
      <c r="BN1668">
        <f>IF(1655&lt;$U$9,INT(1655/($U$7*$U$8))+1,1)</f>
        <v/>
      </c>
      <c r="BO1668">
        <f>IF(1655&lt;$U$9,MOD(INT(1655/$U$8),$U$7)+1,1)</f>
        <v/>
      </c>
      <c r="BP1668">
        <f>IF(1655&lt;$U$9,MOD(1655,$U$8)+1,1)</f>
        <v/>
      </c>
      <c r="BQ1668">
        <f>IF(1655&lt;$U$9,SUMPRODUCT(($D$10:$L$10&lt;&gt;"")*(($D$9:$L$9+INT(($S$12:$AA$12+INDEX($AJ$13:$AR$162,BN1668,0)+INDEX($AT$13:$BB$162,BO1668,0)+INDEX($BD$13:$BL$162,BP1668,0))/100))&gt;=$D$10:$L$10)),0)</f>
        <v/>
      </c>
      <c r="BR1668">
        <f>IF(1655&lt;$U$9,SUMPRODUCT(($D$10:$L$10&lt;&gt;"")*(($D$10:$L$10-($D$9:$L$9+INT(($S$12:$AA$12+INDEX($AJ$13:$AR$162,BN1668,0)+INDEX($AT$13:$BB$162,BO1668,0)+INDEX($BD$13:$BL$162,BP1668,0))/100)))&gt;0)*($D$10:$L$10-($D$9:$L$9+INT(($S$12:$AA$12+INDEX($AJ$13:$AR$162,BN1668,0)+INDEX($AT$13:$BB$162,BO1668,0)+INDEX($BD$13:$BL$162,BP1668,0))/100)))),0)</f>
        <v/>
      </c>
      <c r="BS1668">
        <f>IF(1655&lt;$U$9,SUMPRODUCT(($D$9:$L$9+INT(($S$12:$AA$12+INDEX($AJ$13:$AR$162,BN1668,0)+INDEX($AT$13:$BB$162,BO1668,0)+INDEX($BD$13:$BL$162,BP1668,0))/100))),0)</f>
        <v/>
      </c>
      <c r="BT1668">
        <f>IF(AND(1655&lt;$U$9,$W$5),BQ1668*1000000-MIN(BR1668,999)*1000+BS1668-1655/100000,-1000000000-1655)</f>
        <v/>
      </c>
    </row>
    <row r="1669">
      <c r="BN1669">
        <f>IF(1656&lt;$U$9,INT(1656/($U$7*$U$8))+1,1)</f>
        <v/>
      </c>
      <c r="BO1669">
        <f>IF(1656&lt;$U$9,MOD(INT(1656/$U$8),$U$7)+1,1)</f>
        <v/>
      </c>
      <c r="BP1669">
        <f>IF(1656&lt;$U$9,MOD(1656,$U$8)+1,1)</f>
        <v/>
      </c>
      <c r="BQ1669">
        <f>IF(1656&lt;$U$9,SUMPRODUCT(($D$10:$L$10&lt;&gt;"")*(($D$9:$L$9+INT(($S$12:$AA$12+INDEX($AJ$13:$AR$162,BN1669,0)+INDEX($AT$13:$BB$162,BO1669,0)+INDEX($BD$13:$BL$162,BP1669,0))/100))&gt;=$D$10:$L$10)),0)</f>
        <v/>
      </c>
      <c r="BR1669">
        <f>IF(1656&lt;$U$9,SUMPRODUCT(($D$10:$L$10&lt;&gt;"")*(($D$10:$L$10-($D$9:$L$9+INT(($S$12:$AA$12+INDEX($AJ$13:$AR$162,BN1669,0)+INDEX($AT$13:$BB$162,BO1669,0)+INDEX($BD$13:$BL$162,BP1669,0))/100)))&gt;0)*($D$10:$L$10-($D$9:$L$9+INT(($S$12:$AA$12+INDEX($AJ$13:$AR$162,BN1669,0)+INDEX($AT$13:$BB$162,BO1669,0)+INDEX($BD$13:$BL$162,BP1669,0))/100)))),0)</f>
        <v/>
      </c>
      <c r="BS1669">
        <f>IF(1656&lt;$U$9,SUMPRODUCT(($D$9:$L$9+INT(($S$12:$AA$12+INDEX($AJ$13:$AR$162,BN1669,0)+INDEX($AT$13:$BB$162,BO1669,0)+INDEX($BD$13:$BL$162,BP1669,0))/100))),0)</f>
        <v/>
      </c>
      <c r="BT1669">
        <f>IF(AND(1656&lt;$U$9,$W$5),BQ1669*1000000-MIN(BR1669,999)*1000+BS1669-1656/100000,-1000000000-1656)</f>
        <v/>
      </c>
    </row>
    <row r="1670">
      <c r="BN1670">
        <f>IF(1657&lt;$U$9,INT(1657/($U$7*$U$8))+1,1)</f>
        <v/>
      </c>
      <c r="BO1670">
        <f>IF(1657&lt;$U$9,MOD(INT(1657/$U$8),$U$7)+1,1)</f>
        <v/>
      </c>
      <c r="BP1670">
        <f>IF(1657&lt;$U$9,MOD(1657,$U$8)+1,1)</f>
        <v/>
      </c>
      <c r="BQ1670">
        <f>IF(1657&lt;$U$9,SUMPRODUCT(($D$10:$L$10&lt;&gt;"")*(($D$9:$L$9+INT(($S$12:$AA$12+INDEX($AJ$13:$AR$162,BN1670,0)+INDEX($AT$13:$BB$162,BO1670,0)+INDEX($BD$13:$BL$162,BP1670,0))/100))&gt;=$D$10:$L$10)),0)</f>
        <v/>
      </c>
      <c r="BR1670">
        <f>IF(1657&lt;$U$9,SUMPRODUCT(($D$10:$L$10&lt;&gt;"")*(($D$10:$L$10-($D$9:$L$9+INT(($S$12:$AA$12+INDEX($AJ$13:$AR$162,BN1670,0)+INDEX($AT$13:$BB$162,BO1670,0)+INDEX($BD$13:$BL$162,BP1670,0))/100)))&gt;0)*($D$10:$L$10-($D$9:$L$9+INT(($S$12:$AA$12+INDEX($AJ$13:$AR$162,BN1670,0)+INDEX($AT$13:$BB$162,BO1670,0)+INDEX($BD$13:$BL$162,BP1670,0))/100)))),0)</f>
        <v/>
      </c>
      <c r="BS1670">
        <f>IF(1657&lt;$U$9,SUMPRODUCT(($D$9:$L$9+INT(($S$12:$AA$12+INDEX($AJ$13:$AR$162,BN1670,0)+INDEX($AT$13:$BB$162,BO1670,0)+INDEX($BD$13:$BL$162,BP1670,0))/100))),0)</f>
        <v/>
      </c>
      <c r="BT1670">
        <f>IF(AND(1657&lt;$U$9,$W$5),BQ1670*1000000-MIN(BR1670,999)*1000+BS1670-1657/100000,-1000000000-1657)</f>
        <v/>
      </c>
    </row>
    <row r="1671">
      <c r="BN1671">
        <f>IF(1658&lt;$U$9,INT(1658/($U$7*$U$8))+1,1)</f>
        <v/>
      </c>
      <c r="BO1671">
        <f>IF(1658&lt;$U$9,MOD(INT(1658/$U$8),$U$7)+1,1)</f>
        <v/>
      </c>
      <c r="BP1671">
        <f>IF(1658&lt;$U$9,MOD(1658,$U$8)+1,1)</f>
        <v/>
      </c>
      <c r="BQ1671">
        <f>IF(1658&lt;$U$9,SUMPRODUCT(($D$10:$L$10&lt;&gt;"")*(($D$9:$L$9+INT(($S$12:$AA$12+INDEX($AJ$13:$AR$162,BN1671,0)+INDEX($AT$13:$BB$162,BO1671,0)+INDEX($BD$13:$BL$162,BP1671,0))/100))&gt;=$D$10:$L$10)),0)</f>
        <v/>
      </c>
      <c r="BR1671">
        <f>IF(1658&lt;$U$9,SUMPRODUCT(($D$10:$L$10&lt;&gt;"")*(($D$10:$L$10-($D$9:$L$9+INT(($S$12:$AA$12+INDEX($AJ$13:$AR$162,BN1671,0)+INDEX($AT$13:$BB$162,BO1671,0)+INDEX($BD$13:$BL$162,BP1671,0))/100)))&gt;0)*($D$10:$L$10-($D$9:$L$9+INT(($S$12:$AA$12+INDEX($AJ$13:$AR$162,BN1671,0)+INDEX($AT$13:$BB$162,BO1671,0)+INDEX($BD$13:$BL$162,BP1671,0))/100)))),0)</f>
        <v/>
      </c>
      <c r="BS1671">
        <f>IF(1658&lt;$U$9,SUMPRODUCT(($D$9:$L$9+INT(($S$12:$AA$12+INDEX($AJ$13:$AR$162,BN1671,0)+INDEX($AT$13:$BB$162,BO1671,0)+INDEX($BD$13:$BL$162,BP1671,0))/100))),0)</f>
        <v/>
      </c>
      <c r="BT1671">
        <f>IF(AND(1658&lt;$U$9,$W$5),BQ1671*1000000-MIN(BR1671,999)*1000+BS1671-1658/100000,-1000000000-1658)</f>
        <v/>
      </c>
    </row>
    <row r="1672">
      <c r="BN1672">
        <f>IF(1659&lt;$U$9,INT(1659/($U$7*$U$8))+1,1)</f>
        <v/>
      </c>
      <c r="BO1672">
        <f>IF(1659&lt;$U$9,MOD(INT(1659/$U$8),$U$7)+1,1)</f>
        <v/>
      </c>
      <c r="BP1672">
        <f>IF(1659&lt;$U$9,MOD(1659,$U$8)+1,1)</f>
        <v/>
      </c>
      <c r="BQ1672">
        <f>IF(1659&lt;$U$9,SUMPRODUCT(($D$10:$L$10&lt;&gt;"")*(($D$9:$L$9+INT(($S$12:$AA$12+INDEX($AJ$13:$AR$162,BN1672,0)+INDEX($AT$13:$BB$162,BO1672,0)+INDEX($BD$13:$BL$162,BP1672,0))/100))&gt;=$D$10:$L$10)),0)</f>
        <v/>
      </c>
      <c r="BR1672">
        <f>IF(1659&lt;$U$9,SUMPRODUCT(($D$10:$L$10&lt;&gt;"")*(($D$10:$L$10-($D$9:$L$9+INT(($S$12:$AA$12+INDEX($AJ$13:$AR$162,BN1672,0)+INDEX($AT$13:$BB$162,BO1672,0)+INDEX($BD$13:$BL$162,BP1672,0))/100)))&gt;0)*($D$10:$L$10-($D$9:$L$9+INT(($S$12:$AA$12+INDEX($AJ$13:$AR$162,BN1672,0)+INDEX($AT$13:$BB$162,BO1672,0)+INDEX($BD$13:$BL$162,BP1672,0))/100)))),0)</f>
        <v/>
      </c>
      <c r="BS1672">
        <f>IF(1659&lt;$U$9,SUMPRODUCT(($D$9:$L$9+INT(($S$12:$AA$12+INDEX($AJ$13:$AR$162,BN1672,0)+INDEX($AT$13:$BB$162,BO1672,0)+INDEX($BD$13:$BL$162,BP1672,0))/100))),0)</f>
        <v/>
      </c>
      <c r="BT1672">
        <f>IF(AND(1659&lt;$U$9,$W$5),BQ1672*1000000-MIN(BR1672,999)*1000+BS1672-1659/100000,-1000000000-1659)</f>
        <v/>
      </c>
    </row>
    <row r="1673">
      <c r="BN1673">
        <f>IF(1660&lt;$U$9,INT(1660/($U$7*$U$8))+1,1)</f>
        <v/>
      </c>
      <c r="BO1673">
        <f>IF(1660&lt;$U$9,MOD(INT(1660/$U$8),$U$7)+1,1)</f>
        <v/>
      </c>
      <c r="BP1673">
        <f>IF(1660&lt;$U$9,MOD(1660,$U$8)+1,1)</f>
        <v/>
      </c>
      <c r="BQ1673">
        <f>IF(1660&lt;$U$9,SUMPRODUCT(($D$10:$L$10&lt;&gt;"")*(($D$9:$L$9+INT(($S$12:$AA$12+INDEX($AJ$13:$AR$162,BN1673,0)+INDEX($AT$13:$BB$162,BO1673,0)+INDEX($BD$13:$BL$162,BP1673,0))/100))&gt;=$D$10:$L$10)),0)</f>
        <v/>
      </c>
      <c r="BR1673">
        <f>IF(1660&lt;$U$9,SUMPRODUCT(($D$10:$L$10&lt;&gt;"")*(($D$10:$L$10-($D$9:$L$9+INT(($S$12:$AA$12+INDEX($AJ$13:$AR$162,BN1673,0)+INDEX($AT$13:$BB$162,BO1673,0)+INDEX($BD$13:$BL$162,BP1673,0))/100)))&gt;0)*($D$10:$L$10-($D$9:$L$9+INT(($S$12:$AA$12+INDEX($AJ$13:$AR$162,BN1673,0)+INDEX($AT$13:$BB$162,BO1673,0)+INDEX($BD$13:$BL$162,BP1673,0))/100)))),0)</f>
        <v/>
      </c>
      <c r="BS1673">
        <f>IF(1660&lt;$U$9,SUMPRODUCT(($D$9:$L$9+INT(($S$12:$AA$12+INDEX($AJ$13:$AR$162,BN1673,0)+INDEX($AT$13:$BB$162,BO1673,0)+INDEX($BD$13:$BL$162,BP1673,0))/100))),0)</f>
        <v/>
      </c>
      <c r="BT1673">
        <f>IF(AND(1660&lt;$U$9,$W$5),BQ1673*1000000-MIN(BR1673,999)*1000+BS1673-1660/100000,-1000000000-1660)</f>
        <v/>
      </c>
    </row>
    <row r="1674">
      <c r="BN1674">
        <f>IF(1661&lt;$U$9,INT(1661/($U$7*$U$8))+1,1)</f>
        <v/>
      </c>
      <c r="BO1674">
        <f>IF(1661&lt;$U$9,MOD(INT(1661/$U$8),$U$7)+1,1)</f>
        <v/>
      </c>
      <c r="BP1674">
        <f>IF(1661&lt;$U$9,MOD(1661,$U$8)+1,1)</f>
        <v/>
      </c>
      <c r="BQ1674">
        <f>IF(1661&lt;$U$9,SUMPRODUCT(($D$10:$L$10&lt;&gt;"")*(($D$9:$L$9+INT(($S$12:$AA$12+INDEX($AJ$13:$AR$162,BN1674,0)+INDEX($AT$13:$BB$162,BO1674,0)+INDEX($BD$13:$BL$162,BP1674,0))/100))&gt;=$D$10:$L$10)),0)</f>
        <v/>
      </c>
      <c r="BR1674">
        <f>IF(1661&lt;$U$9,SUMPRODUCT(($D$10:$L$10&lt;&gt;"")*(($D$10:$L$10-($D$9:$L$9+INT(($S$12:$AA$12+INDEX($AJ$13:$AR$162,BN1674,0)+INDEX($AT$13:$BB$162,BO1674,0)+INDEX($BD$13:$BL$162,BP1674,0))/100)))&gt;0)*($D$10:$L$10-($D$9:$L$9+INT(($S$12:$AA$12+INDEX($AJ$13:$AR$162,BN1674,0)+INDEX($AT$13:$BB$162,BO1674,0)+INDEX($BD$13:$BL$162,BP1674,0))/100)))),0)</f>
        <v/>
      </c>
      <c r="BS1674">
        <f>IF(1661&lt;$U$9,SUMPRODUCT(($D$9:$L$9+INT(($S$12:$AA$12+INDEX($AJ$13:$AR$162,BN1674,0)+INDEX($AT$13:$BB$162,BO1674,0)+INDEX($BD$13:$BL$162,BP1674,0))/100))),0)</f>
        <v/>
      </c>
      <c r="BT1674">
        <f>IF(AND(1661&lt;$U$9,$W$5),BQ1674*1000000-MIN(BR1674,999)*1000+BS1674-1661/100000,-1000000000-1661)</f>
        <v/>
      </c>
    </row>
    <row r="1675">
      <c r="BN1675">
        <f>IF(1662&lt;$U$9,INT(1662/($U$7*$U$8))+1,1)</f>
        <v/>
      </c>
      <c r="BO1675">
        <f>IF(1662&lt;$U$9,MOD(INT(1662/$U$8),$U$7)+1,1)</f>
        <v/>
      </c>
      <c r="BP1675">
        <f>IF(1662&lt;$U$9,MOD(1662,$U$8)+1,1)</f>
        <v/>
      </c>
      <c r="BQ1675">
        <f>IF(1662&lt;$U$9,SUMPRODUCT(($D$10:$L$10&lt;&gt;"")*(($D$9:$L$9+INT(($S$12:$AA$12+INDEX($AJ$13:$AR$162,BN1675,0)+INDEX($AT$13:$BB$162,BO1675,0)+INDEX($BD$13:$BL$162,BP1675,0))/100))&gt;=$D$10:$L$10)),0)</f>
        <v/>
      </c>
      <c r="BR1675">
        <f>IF(1662&lt;$U$9,SUMPRODUCT(($D$10:$L$10&lt;&gt;"")*(($D$10:$L$10-($D$9:$L$9+INT(($S$12:$AA$12+INDEX($AJ$13:$AR$162,BN1675,0)+INDEX($AT$13:$BB$162,BO1675,0)+INDEX($BD$13:$BL$162,BP1675,0))/100)))&gt;0)*($D$10:$L$10-($D$9:$L$9+INT(($S$12:$AA$12+INDEX($AJ$13:$AR$162,BN1675,0)+INDEX($AT$13:$BB$162,BO1675,0)+INDEX($BD$13:$BL$162,BP1675,0))/100)))),0)</f>
        <v/>
      </c>
      <c r="BS1675">
        <f>IF(1662&lt;$U$9,SUMPRODUCT(($D$9:$L$9+INT(($S$12:$AA$12+INDEX($AJ$13:$AR$162,BN1675,0)+INDEX($AT$13:$BB$162,BO1675,0)+INDEX($BD$13:$BL$162,BP1675,0))/100))),0)</f>
        <v/>
      </c>
      <c r="BT1675">
        <f>IF(AND(1662&lt;$U$9,$W$5),BQ1675*1000000-MIN(BR1675,999)*1000+BS1675-1662/100000,-1000000000-1662)</f>
        <v/>
      </c>
    </row>
    <row r="1676">
      <c r="BN1676">
        <f>IF(1663&lt;$U$9,INT(1663/($U$7*$U$8))+1,1)</f>
        <v/>
      </c>
      <c r="BO1676">
        <f>IF(1663&lt;$U$9,MOD(INT(1663/$U$8),$U$7)+1,1)</f>
        <v/>
      </c>
      <c r="BP1676">
        <f>IF(1663&lt;$U$9,MOD(1663,$U$8)+1,1)</f>
        <v/>
      </c>
      <c r="BQ1676">
        <f>IF(1663&lt;$U$9,SUMPRODUCT(($D$10:$L$10&lt;&gt;"")*(($D$9:$L$9+INT(($S$12:$AA$12+INDEX($AJ$13:$AR$162,BN1676,0)+INDEX($AT$13:$BB$162,BO1676,0)+INDEX($BD$13:$BL$162,BP1676,0))/100))&gt;=$D$10:$L$10)),0)</f>
        <v/>
      </c>
      <c r="BR1676">
        <f>IF(1663&lt;$U$9,SUMPRODUCT(($D$10:$L$10&lt;&gt;"")*(($D$10:$L$10-($D$9:$L$9+INT(($S$12:$AA$12+INDEX($AJ$13:$AR$162,BN1676,0)+INDEX($AT$13:$BB$162,BO1676,0)+INDEX($BD$13:$BL$162,BP1676,0))/100)))&gt;0)*($D$10:$L$10-($D$9:$L$9+INT(($S$12:$AA$12+INDEX($AJ$13:$AR$162,BN1676,0)+INDEX($AT$13:$BB$162,BO1676,0)+INDEX($BD$13:$BL$162,BP1676,0))/100)))),0)</f>
        <v/>
      </c>
      <c r="BS1676">
        <f>IF(1663&lt;$U$9,SUMPRODUCT(($D$9:$L$9+INT(($S$12:$AA$12+INDEX($AJ$13:$AR$162,BN1676,0)+INDEX($AT$13:$BB$162,BO1676,0)+INDEX($BD$13:$BL$162,BP1676,0))/100))),0)</f>
        <v/>
      </c>
      <c r="BT1676">
        <f>IF(AND(1663&lt;$U$9,$W$5),BQ1676*1000000-MIN(BR1676,999)*1000+BS1676-1663/100000,-1000000000-1663)</f>
        <v/>
      </c>
    </row>
    <row r="1677">
      <c r="BN1677">
        <f>IF(1664&lt;$U$9,INT(1664/($U$7*$U$8))+1,1)</f>
        <v/>
      </c>
      <c r="BO1677">
        <f>IF(1664&lt;$U$9,MOD(INT(1664/$U$8),$U$7)+1,1)</f>
        <v/>
      </c>
      <c r="BP1677">
        <f>IF(1664&lt;$U$9,MOD(1664,$U$8)+1,1)</f>
        <v/>
      </c>
      <c r="BQ1677">
        <f>IF(1664&lt;$U$9,SUMPRODUCT(($D$10:$L$10&lt;&gt;"")*(($D$9:$L$9+INT(($S$12:$AA$12+INDEX($AJ$13:$AR$162,BN1677,0)+INDEX($AT$13:$BB$162,BO1677,0)+INDEX($BD$13:$BL$162,BP1677,0))/100))&gt;=$D$10:$L$10)),0)</f>
        <v/>
      </c>
      <c r="BR1677">
        <f>IF(1664&lt;$U$9,SUMPRODUCT(($D$10:$L$10&lt;&gt;"")*(($D$10:$L$10-($D$9:$L$9+INT(($S$12:$AA$12+INDEX($AJ$13:$AR$162,BN1677,0)+INDEX($AT$13:$BB$162,BO1677,0)+INDEX($BD$13:$BL$162,BP1677,0))/100)))&gt;0)*($D$10:$L$10-($D$9:$L$9+INT(($S$12:$AA$12+INDEX($AJ$13:$AR$162,BN1677,0)+INDEX($AT$13:$BB$162,BO1677,0)+INDEX($BD$13:$BL$162,BP1677,0))/100)))),0)</f>
        <v/>
      </c>
      <c r="BS1677">
        <f>IF(1664&lt;$U$9,SUMPRODUCT(($D$9:$L$9+INT(($S$12:$AA$12+INDEX($AJ$13:$AR$162,BN1677,0)+INDEX($AT$13:$BB$162,BO1677,0)+INDEX($BD$13:$BL$162,BP1677,0))/100))),0)</f>
        <v/>
      </c>
      <c r="BT1677">
        <f>IF(AND(1664&lt;$U$9,$W$5),BQ1677*1000000-MIN(BR1677,999)*1000+BS1677-1664/100000,-1000000000-1664)</f>
        <v/>
      </c>
    </row>
    <row r="1678">
      <c r="BN1678">
        <f>IF(1665&lt;$U$9,INT(1665/($U$7*$U$8))+1,1)</f>
        <v/>
      </c>
      <c r="BO1678">
        <f>IF(1665&lt;$U$9,MOD(INT(1665/$U$8),$U$7)+1,1)</f>
        <v/>
      </c>
      <c r="BP1678">
        <f>IF(1665&lt;$U$9,MOD(1665,$U$8)+1,1)</f>
        <v/>
      </c>
      <c r="BQ1678">
        <f>IF(1665&lt;$U$9,SUMPRODUCT(($D$10:$L$10&lt;&gt;"")*(($D$9:$L$9+INT(($S$12:$AA$12+INDEX($AJ$13:$AR$162,BN1678,0)+INDEX($AT$13:$BB$162,BO1678,0)+INDEX($BD$13:$BL$162,BP1678,0))/100))&gt;=$D$10:$L$10)),0)</f>
        <v/>
      </c>
      <c r="BR1678">
        <f>IF(1665&lt;$U$9,SUMPRODUCT(($D$10:$L$10&lt;&gt;"")*(($D$10:$L$10-($D$9:$L$9+INT(($S$12:$AA$12+INDEX($AJ$13:$AR$162,BN1678,0)+INDEX($AT$13:$BB$162,BO1678,0)+INDEX($BD$13:$BL$162,BP1678,0))/100)))&gt;0)*($D$10:$L$10-($D$9:$L$9+INT(($S$12:$AA$12+INDEX($AJ$13:$AR$162,BN1678,0)+INDEX($AT$13:$BB$162,BO1678,0)+INDEX($BD$13:$BL$162,BP1678,0))/100)))),0)</f>
        <v/>
      </c>
      <c r="BS1678">
        <f>IF(1665&lt;$U$9,SUMPRODUCT(($D$9:$L$9+INT(($S$12:$AA$12+INDEX($AJ$13:$AR$162,BN1678,0)+INDEX($AT$13:$BB$162,BO1678,0)+INDEX($BD$13:$BL$162,BP1678,0))/100))),0)</f>
        <v/>
      </c>
      <c r="BT1678">
        <f>IF(AND(1665&lt;$U$9,$W$5),BQ1678*1000000-MIN(BR1678,999)*1000+BS1678-1665/100000,-1000000000-1665)</f>
        <v/>
      </c>
    </row>
    <row r="1679">
      <c r="BN1679">
        <f>IF(1666&lt;$U$9,INT(1666/($U$7*$U$8))+1,1)</f>
        <v/>
      </c>
      <c r="BO1679">
        <f>IF(1666&lt;$U$9,MOD(INT(1666/$U$8),$U$7)+1,1)</f>
        <v/>
      </c>
      <c r="BP1679">
        <f>IF(1666&lt;$U$9,MOD(1666,$U$8)+1,1)</f>
        <v/>
      </c>
      <c r="BQ1679">
        <f>IF(1666&lt;$U$9,SUMPRODUCT(($D$10:$L$10&lt;&gt;"")*(($D$9:$L$9+INT(($S$12:$AA$12+INDEX($AJ$13:$AR$162,BN1679,0)+INDEX($AT$13:$BB$162,BO1679,0)+INDEX($BD$13:$BL$162,BP1679,0))/100))&gt;=$D$10:$L$10)),0)</f>
        <v/>
      </c>
      <c r="BR1679">
        <f>IF(1666&lt;$U$9,SUMPRODUCT(($D$10:$L$10&lt;&gt;"")*(($D$10:$L$10-($D$9:$L$9+INT(($S$12:$AA$12+INDEX($AJ$13:$AR$162,BN1679,0)+INDEX($AT$13:$BB$162,BO1679,0)+INDEX($BD$13:$BL$162,BP1679,0))/100)))&gt;0)*($D$10:$L$10-($D$9:$L$9+INT(($S$12:$AA$12+INDEX($AJ$13:$AR$162,BN1679,0)+INDEX($AT$13:$BB$162,BO1679,0)+INDEX($BD$13:$BL$162,BP1679,0))/100)))),0)</f>
        <v/>
      </c>
      <c r="BS1679">
        <f>IF(1666&lt;$U$9,SUMPRODUCT(($D$9:$L$9+INT(($S$12:$AA$12+INDEX($AJ$13:$AR$162,BN1679,0)+INDEX($AT$13:$BB$162,BO1679,0)+INDEX($BD$13:$BL$162,BP1679,0))/100))),0)</f>
        <v/>
      </c>
      <c r="BT1679">
        <f>IF(AND(1666&lt;$U$9,$W$5),BQ1679*1000000-MIN(BR1679,999)*1000+BS1679-1666/100000,-1000000000-1666)</f>
        <v/>
      </c>
    </row>
    <row r="1680">
      <c r="BN1680">
        <f>IF(1667&lt;$U$9,INT(1667/($U$7*$U$8))+1,1)</f>
        <v/>
      </c>
      <c r="BO1680">
        <f>IF(1667&lt;$U$9,MOD(INT(1667/$U$8),$U$7)+1,1)</f>
        <v/>
      </c>
      <c r="BP1680">
        <f>IF(1667&lt;$U$9,MOD(1667,$U$8)+1,1)</f>
        <v/>
      </c>
      <c r="BQ1680">
        <f>IF(1667&lt;$U$9,SUMPRODUCT(($D$10:$L$10&lt;&gt;"")*(($D$9:$L$9+INT(($S$12:$AA$12+INDEX($AJ$13:$AR$162,BN1680,0)+INDEX($AT$13:$BB$162,BO1680,0)+INDEX($BD$13:$BL$162,BP1680,0))/100))&gt;=$D$10:$L$10)),0)</f>
        <v/>
      </c>
      <c r="BR1680">
        <f>IF(1667&lt;$U$9,SUMPRODUCT(($D$10:$L$10&lt;&gt;"")*(($D$10:$L$10-($D$9:$L$9+INT(($S$12:$AA$12+INDEX($AJ$13:$AR$162,BN1680,0)+INDEX($AT$13:$BB$162,BO1680,0)+INDEX($BD$13:$BL$162,BP1680,0))/100)))&gt;0)*($D$10:$L$10-($D$9:$L$9+INT(($S$12:$AA$12+INDEX($AJ$13:$AR$162,BN1680,0)+INDEX($AT$13:$BB$162,BO1680,0)+INDEX($BD$13:$BL$162,BP1680,0))/100)))),0)</f>
        <v/>
      </c>
      <c r="BS1680">
        <f>IF(1667&lt;$U$9,SUMPRODUCT(($D$9:$L$9+INT(($S$12:$AA$12+INDEX($AJ$13:$AR$162,BN1680,0)+INDEX($AT$13:$BB$162,BO1680,0)+INDEX($BD$13:$BL$162,BP1680,0))/100))),0)</f>
        <v/>
      </c>
      <c r="BT1680">
        <f>IF(AND(1667&lt;$U$9,$W$5),BQ1680*1000000-MIN(BR1680,999)*1000+BS1680-1667/100000,-1000000000-1667)</f>
        <v/>
      </c>
    </row>
    <row r="1681">
      <c r="BN1681">
        <f>IF(1668&lt;$U$9,INT(1668/($U$7*$U$8))+1,1)</f>
        <v/>
      </c>
      <c r="BO1681">
        <f>IF(1668&lt;$U$9,MOD(INT(1668/$U$8),$U$7)+1,1)</f>
        <v/>
      </c>
      <c r="BP1681">
        <f>IF(1668&lt;$U$9,MOD(1668,$U$8)+1,1)</f>
        <v/>
      </c>
      <c r="BQ1681">
        <f>IF(1668&lt;$U$9,SUMPRODUCT(($D$10:$L$10&lt;&gt;"")*(($D$9:$L$9+INT(($S$12:$AA$12+INDEX($AJ$13:$AR$162,BN1681,0)+INDEX($AT$13:$BB$162,BO1681,0)+INDEX($BD$13:$BL$162,BP1681,0))/100))&gt;=$D$10:$L$10)),0)</f>
        <v/>
      </c>
      <c r="BR1681">
        <f>IF(1668&lt;$U$9,SUMPRODUCT(($D$10:$L$10&lt;&gt;"")*(($D$10:$L$10-($D$9:$L$9+INT(($S$12:$AA$12+INDEX($AJ$13:$AR$162,BN1681,0)+INDEX($AT$13:$BB$162,BO1681,0)+INDEX($BD$13:$BL$162,BP1681,0))/100)))&gt;0)*($D$10:$L$10-($D$9:$L$9+INT(($S$12:$AA$12+INDEX($AJ$13:$AR$162,BN1681,0)+INDEX($AT$13:$BB$162,BO1681,0)+INDEX($BD$13:$BL$162,BP1681,0))/100)))),0)</f>
        <v/>
      </c>
      <c r="BS1681">
        <f>IF(1668&lt;$U$9,SUMPRODUCT(($D$9:$L$9+INT(($S$12:$AA$12+INDEX($AJ$13:$AR$162,BN1681,0)+INDEX($AT$13:$BB$162,BO1681,0)+INDEX($BD$13:$BL$162,BP1681,0))/100))),0)</f>
        <v/>
      </c>
      <c r="BT1681">
        <f>IF(AND(1668&lt;$U$9,$W$5),BQ1681*1000000-MIN(BR1681,999)*1000+BS1681-1668/100000,-1000000000-1668)</f>
        <v/>
      </c>
    </row>
    <row r="1682">
      <c r="BN1682">
        <f>IF(1669&lt;$U$9,INT(1669/($U$7*$U$8))+1,1)</f>
        <v/>
      </c>
      <c r="BO1682">
        <f>IF(1669&lt;$U$9,MOD(INT(1669/$U$8),$U$7)+1,1)</f>
        <v/>
      </c>
      <c r="BP1682">
        <f>IF(1669&lt;$U$9,MOD(1669,$U$8)+1,1)</f>
        <v/>
      </c>
      <c r="BQ1682">
        <f>IF(1669&lt;$U$9,SUMPRODUCT(($D$10:$L$10&lt;&gt;"")*(($D$9:$L$9+INT(($S$12:$AA$12+INDEX($AJ$13:$AR$162,BN1682,0)+INDEX($AT$13:$BB$162,BO1682,0)+INDEX($BD$13:$BL$162,BP1682,0))/100))&gt;=$D$10:$L$10)),0)</f>
        <v/>
      </c>
      <c r="BR1682">
        <f>IF(1669&lt;$U$9,SUMPRODUCT(($D$10:$L$10&lt;&gt;"")*(($D$10:$L$10-($D$9:$L$9+INT(($S$12:$AA$12+INDEX($AJ$13:$AR$162,BN1682,0)+INDEX($AT$13:$BB$162,BO1682,0)+INDEX($BD$13:$BL$162,BP1682,0))/100)))&gt;0)*($D$10:$L$10-($D$9:$L$9+INT(($S$12:$AA$12+INDEX($AJ$13:$AR$162,BN1682,0)+INDEX($AT$13:$BB$162,BO1682,0)+INDEX($BD$13:$BL$162,BP1682,0))/100)))),0)</f>
        <v/>
      </c>
      <c r="BS1682">
        <f>IF(1669&lt;$U$9,SUMPRODUCT(($D$9:$L$9+INT(($S$12:$AA$12+INDEX($AJ$13:$AR$162,BN1682,0)+INDEX($AT$13:$BB$162,BO1682,0)+INDEX($BD$13:$BL$162,BP1682,0))/100))),0)</f>
        <v/>
      </c>
      <c r="BT1682">
        <f>IF(AND(1669&lt;$U$9,$W$5),BQ1682*1000000-MIN(BR1682,999)*1000+BS1682-1669/100000,-1000000000-1669)</f>
        <v/>
      </c>
    </row>
    <row r="1683">
      <c r="BN1683">
        <f>IF(1670&lt;$U$9,INT(1670/($U$7*$U$8))+1,1)</f>
        <v/>
      </c>
      <c r="BO1683">
        <f>IF(1670&lt;$U$9,MOD(INT(1670/$U$8),$U$7)+1,1)</f>
        <v/>
      </c>
      <c r="BP1683">
        <f>IF(1670&lt;$U$9,MOD(1670,$U$8)+1,1)</f>
        <v/>
      </c>
      <c r="BQ1683">
        <f>IF(1670&lt;$U$9,SUMPRODUCT(($D$10:$L$10&lt;&gt;"")*(($D$9:$L$9+INT(($S$12:$AA$12+INDEX($AJ$13:$AR$162,BN1683,0)+INDEX($AT$13:$BB$162,BO1683,0)+INDEX($BD$13:$BL$162,BP1683,0))/100))&gt;=$D$10:$L$10)),0)</f>
        <v/>
      </c>
      <c r="BR1683">
        <f>IF(1670&lt;$U$9,SUMPRODUCT(($D$10:$L$10&lt;&gt;"")*(($D$10:$L$10-($D$9:$L$9+INT(($S$12:$AA$12+INDEX($AJ$13:$AR$162,BN1683,0)+INDEX($AT$13:$BB$162,BO1683,0)+INDEX($BD$13:$BL$162,BP1683,0))/100)))&gt;0)*($D$10:$L$10-($D$9:$L$9+INT(($S$12:$AA$12+INDEX($AJ$13:$AR$162,BN1683,0)+INDEX($AT$13:$BB$162,BO1683,0)+INDEX($BD$13:$BL$162,BP1683,0))/100)))),0)</f>
        <v/>
      </c>
      <c r="BS1683">
        <f>IF(1670&lt;$U$9,SUMPRODUCT(($D$9:$L$9+INT(($S$12:$AA$12+INDEX($AJ$13:$AR$162,BN1683,0)+INDEX($AT$13:$BB$162,BO1683,0)+INDEX($BD$13:$BL$162,BP1683,0))/100))),0)</f>
        <v/>
      </c>
      <c r="BT1683">
        <f>IF(AND(1670&lt;$U$9,$W$5),BQ1683*1000000-MIN(BR1683,999)*1000+BS1683-1670/100000,-1000000000-1670)</f>
        <v/>
      </c>
    </row>
    <row r="1684">
      <c r="BN1684">
        <f>IF(1671&lt;$U$9,INT(1671/($U$7*$U$8))+1,1)</f>
        <v/>
      </c>
      <c r="BO1684">
        <f>IF(1671&lt;$U$9,MOD(INT(1671/$U$8),$U$7)+1,1)</f>
        <v/>
      </c>
      <c r="BP1684">
        <f>IF(1671&lt;$U$9,MOD(1671,$U$8)+1,1)</f>
        <v/>
      </c>
      <c r="BQ1684">
        <f>IF(1671&lt;$U$9,SUMPRODUCT(($D$10:$L$10&lt;&gt;"")*(($D$9:$L$9+INT(($S$12:$AA$12+INDEX($AJ$13:$AR$162,BN1684,0)+INDEX($AT$13:$BB$162,BO1684,0)+INDEX($BD$13:$BL$162,BP1684,0))/100))&gt;=$D$10:$L$10)),0)</f>
        <v/>
      </c>
      <c r="BR1684">
        <f>IF(1671&lt;$U$9,SUMPRODUCT(($D$10:$L$10&lt;&gt;"")*(($D$10:$L$10-($D$9:$L$9+INT(($S$12:$AA$12+INDEX($AJ$13:$AR$162,BN1684,0)+INDEX($AT$13:$BB$162,BO1684,0)+INDEX($BD$13:$BL$162,BP1684,0))/100)))&gt;0)*($D$10:$L$10-($D$9:$L$9+INT(($S$12:$AA$12+INDEX($AJ$13:$AR$162,BN1684,0)+INDEX($AT$13:$BB$162,BO1684,0)+INDEX($BD$13:$BL$162,BP1684,0))/100)))),0)</f>
        <v/>
      </c>
      <c r="BS1684">
        <f>IF(1671&lt;$U$9,SUMPRODUCT(($D$9:$L$9+INT(($S$12:$AA$12+INDEX($AJ$13:$AR$162,BN1684,0)+INDEX($AT$13:$BB$162,BO1684,0)+INDEX($BD$13:$BL$162,BP1684,0))/100))),0)</f>
        <v/>
      </c>
      <c r="BT1684">
        <f>IF(AND(1671&lt;$U$9,$W$5),BQ1684*1000000-MIN(BR1684,999)*1000+BS1684-1671/100000,-1000000000-1671)</f>
        <v/>
      </c>
    </row>
    <row r="1685">
      <c r="BN1685">
        <f>IF(1672&lt;$U$9,INT(1672/($U$7*$U$8))+1,1)</f>
        <v/>
      </c>
      <c r="BO1685">
        <f>IF(1672&lt;$U$9,MOD(INT(1672/$U$8),$U$7)+1,1)</f>
        <v/>
      </c>
      <c r="BP1685">
        <f>IF(1672&lt;$U$9,MOD(1672,$U$8)+1,1)</f>
        <v/>
      </c>
      <c r="BQ1685">
        <f>IF(1672&lt;$U$9,SUMPRODUCT(($D$10:$L$10&lt;&gt;"")*(($D$9:$L$9+INT(($S$12:$AA$12+INDEX($AJ$13:$AR$162,BN1685,0)+INDEX($AT$13:$BB$162,BO1685,0)+INDEX($BD$13:$BL$162,BP1685,0))/100))&gt;=$D$10:$L$10)),0)</f>
        <v/>
      </c>
      <c r="BR1685">
        <f>IF(1672&lt;$U$9,SUMPRODUCT(($D$10:$L$10&lt;&gt;"")*(($D$10:$L$10-($D$9:$L$9+INT(($S$12:$AA$12+INDEX($AJ$13:$AR$162,BN1685,0)+INDEX($AT$13:$BB$162,BO1685,0)+INDEX($BD$13:$BL$162,BP1685,0))/100)))&gt;0)*($D$10:$L$10-($D$9:$L$9+INT(($S$12:$AA$12+INDEX($AJ$13:$AR$162,BN1685,0)+INDEX($AT$13:$BB$162,BO1685,0)+INDEX($BD$13:$BL$162,BP1685,0))/100)))),0)</f>
        <v/>
      </c>
      <c r="BS1685">
        <f>IF(1672&lt;$U$9,SUMPRODUCT(($D$9:$L$9+INT(($S$12:$AA$12+INDEX($AJ$13:$AR$162,BN1685,0)+INDEX($AT$13:$BB$162,BO1685,0)+INDEX($BD$13:$BL$162,BP1685,0))/100))),0)</f>
        <v/>
      </c>
      <c r="BT1685">
        <f>IF(AND(1672&lt;$U$9,$W$5),BQ1685*1000000-MIN(BR1685,999)*1000+BS1685-1672/100000,-1000000000-1672)</f>
        <v/>
      </c>
    </row>
    <row r="1686">
      <c r="BN1686">
        <f>IF(1673&lt;$U$9,INT(1673/($U$7*$U$8))+1,1)</f>
        <v/>
      </c>
      <c r="BO1686">
        <f>IF(1673&lt;$U$9,MOD(INT(1673/$U$8),$U$7)+1,1)</f>
        <v/>
      </c>
      <c r="BP1686">
        <f>IF(1673&lt;$U$9,MOD(1673,$U$8)+1,1)</f>
        <v/>
      </c>
      <c r="BQ1686">
        <f>IF(1673&lt;$U$9,SUMPRODUCT(($D$10:$L$10&lt;&gt;"")*(($D$9:$L$9+INT(($S$12:$AA$12+INDEX($AJ$13:$AR$162,BN1686,0)+INDEX($AT$13:$BB$162,BO1686,0)+INDEX($BD$13:$BL$162,BP1686,0))/100))&gt;=$D$10:$L$10)),0)</f>
        <v/>
      </c>
      <c r="BR1686">
        <f>IF(1673&lt;$U$9,SUMPRODUCT(($D$10:$L$10&lt;&gt;"")*(($D$10:$L$10-($D$9:$L$9+INT(($S$12:$AA$12+INDEX($AJ$13:$AR$162,BN1686,0)+INDEX($AT$13:$BB$162,BO1686,0)+INDEX($BD$13:$BL$162,BP1686,0))/100)))&gt;0)*($D$10:$L$10-($D$9:$L$9+INT(($S$12:$AA$12+INDEX($AJ$13:$AR$162,BN1686,0)+INDEX($AT$13:$BB$162,BO1686,0)+INDEX($BD$13:$BL$162,BP1686,0))/100)))),0)</f>
        <v/>
      </c>
      <c r="BS1686">
        <f>IF(1673&lt;$U$9,SUMPRODUCT(($D$9:$L$9+INT(($S$12:$AA$12+INDEX($AJ$13:$AR$162,BN1686,0)+INDEX($AT$13:$BB$162,BO1686,0)+INDEX($BD$13:$BL$162,BP1686,0))/100))),0)</f>
        <v/>
      </c>
      <c r="BT1686">
        <f>IF(AND(1673&lt;$U$9,$W$5),BQ1686*1000000-MIN(BR1686,999)*1000+BS1686-1673/100000,-1000000000-1673)</f>
        <v/>
      </c>
    </row>
    <row r="1687">
      <c r="BN1687">
        <f>IF(1674&lt;$U$9,INT(1674/($U$7*$U$8))+1,1)</f>
        <v/>
      </c>
      <c r="BO1687">
        <f>IF(1674&lt;$U$9,MOD(INT(1674/$U$8),$U$7)+1,1)</f>
        <v/>
      </c>
      <c r="BP1687">
        <f>IF(1674&lt;$U$9,MOD(1674,$U$8)+1,1)</f>
        <v/>
      </c>
      <c r="BQ1687">
        <f>IF(1674&lt;$U$9,SUMPRODUCT(($D$10:$L$10&lt;&gt;"")*(($D$9:$L$9+INT(($S$12:$AA$12+INDEX($AJ$13:$AR$162,BN1687,0)+INDEX($AT$13:$BB$162,BO1687,0)+INDEX($BD$13:$BL$162,BP1687,0))/100))&gt;=$D$10:$L$10)),0)</f>
        <v/>
      </c>
      <c r="BR1687">
        <f>IF(1674&lt;$U$9,SUMPRODUCT(($D$10:$L$10&lt;&gt;"")*(($D$10:$L$10-($D$9:$L$9+INT(($S$12:$AA$12+INDEX($AJ$13:$AR$162,BN1687,0)+INDEX($AT$13:$BB$162,BO1687,0)+INDEX($BD$13:$BL$162,BP1687,0))/100)))&gt;0)*($D$10:$L$10-($D$9:$L$9+INT(($S$12:$AA$12+INDEX($AJ$13:$AR$162,BN1687,0)+INDEX($AT$13:$BB$162,BO1687,0)+INDEX($BD$13:$BL$162,BP1687,0))/100)))),0)</f>
        <v/>
      </c>
      <c r="BS1687">
        <f>IF(1674&lt;$U$9,SUMPRODUCT(($D$9:$L$9+INT(($S$12:$AA$12+INDEX($AJ$13:$AR$162,BN1687,0)+INDEX($AT$13:$BB$162,BO1687,0)+INDEX($BD$13:$BL$162,BP1687,0))/100))),0)</f>
        <v/>
      </c>
      <c r="BT1687">
        <f>IF(AND(1674&lt;$U$9,$W$5),BQ1687*1000000-MIN(BR1687,999)*1000+BS1687-1674/100000,-1000000000-1674)</f>
        <v/>
      </c>
    </row>
    <row r="1688">
      <c r="BN1688">
        <f>IF(1675&lt;$U$9,INT(1675/($U$7*$U$8))+1,1)</f>
        <v/>
      </c>
      <c r="BO1688">
        <f>IF(1675&lt;$U$9,MOD(INT(1675/$U$8),$U$7)+1,1)</f>
        <v/>
      </c>
      <c r="BP1688">
        <f>IF(1675&lt;$U$9,MOD(1675,$U$8)+1,1)</f>
        <v/>
      </c>
      <c r="BQ1688">
        <f>IF(1675&lt;$U$9,SUMPRODUCT(($D$10:$L$10&lt;&gt;"")*(($D$9:$L$9+INT(($S$12:$AA$12+INDEX($AJ$13:$AR$162,BN1688,0)+INDEX($AT$13:$BB$162,BO1688,0)+INDEX($BD$13:$BL$162,BP1688,0))/100))&gt;=$D$10:$L$10)),0)</f>
        <v/>
      </c>
      <c r="BR1688">
        <f>IF(1675&lt;$U$9,SUMPRODUCT(($D$10:$L$10&lt;&gt;"")*(($D$10:$L$10-($D$9:$L$9+INT(($S$12:$AA$12+INDEX($AJ$13:$AR$162,BN1688,0)+INDEX($AT$13:$BB$162,BO1688,0)+INDEX($BD$13:$BL$162,BP1688,0))/100)))&gt;0)*($D$10:$L$10-($D$9:$L$9+INT(($S$12:$AA$12+INDEX($AJ$13:$AR$162,BN1688,0)+INDEX($AT$13:$BB$162,BO1688,0)+INDEX($BD$13:$BL$162,BP1688,0))/100)))),0)</f>
        <v/>
      </c>
      <c r="BS1688">
        <f>IF(1675&lt;$U$9,SUMPRODUCT(($D$9:$L$9+INT(($S$12:$AA$12+INDEX($AJ$13:$AR$162,BN1688,0)+INDEX($AT$13:$BB$162,BO1688,0)+INDEX($BD$13:$BL$162,BP1688,0))/100))),0)</f>
        <v/>
      </c>
      <c r="BT1688">
        <f>IF(AND(1675&lt;$U$9,$W$5),BQ1688*1000000-MIN(BR1688,999)*1000+BS1688-1675/100000,-1000000000-1675)</f>
        <v/>
      </c>
    </row>
    <row r="1689">
      <c r="BN1689">
        <f>IF(1676&lt;$U$9,INT(1676/($U$7*$U$8))+1,1)</f>
        <v/>
      </c>
      <c r="BO1689">
        <f>IF(1676&lt;$U$9,MOD(INT(1676/$U$8),$U$7)+1,1)</f>
        <v/>
      </c>
      <c r="BP1689">
        <f>IF(1676&lt;$U$9,MOD(1676,$U$8)+1,1)</f>
        <v/>
      </c>
      <c r="BQ1689">
        <f>IF(1676&lt;$U$9,SUMPRODUCT(($D$10:$L$10&lt;&gt;"")*(($D$9:$L$9+INT(($S$12:$AA$12+INDEX($AJ$13:$AR$162,BN1689,0)+INDEX($AT$13:$BB$162,BO1689,0)+INDEX($BD$13:$BL$162,BP1689,0))/100))&gt;=$D$10:$L$10)),0)</f>
        <v/>
      </c>
      <c r="BR1689">
        <f>IF(1676&lt;$U$9,SUMPRODUCT(($D$10:$L$10&lt;&gt;"")*(($D$10:$L$10-($D$9:$L$9+INT(($S$12:$AA$12+INDEX($AJ$13:$AR$162,BN1689,0)+INDEX($AT$13:$BB$162,BO1689,0)+INDEX($BD$13:$BL$162,BP1689,0))/100)))&gt;0)*($D$10:$L$10-($D$9:$L$9+INT(($S$12:$AA$12+INDEX($AJ$13:$AR$162,BN1689,0)+INDEX($AT$13:$BB$162,BO1689,0)+INDEX($BD$13:$BL$162,BP1689,0))/100)))),0)</f>
        <v/>
      </c>
      <c r="BS1689">
        <f>IF(1676&lt;$U$9,SUMPRODUCT(($D$9:$L$9+INT(($S$12:$AA$12+INDEX($AJ$13:$AR$162,BN1689,0)+INDEX($AT$13:$BB$162,BO1689,0)+INDEX($BD$13:$BL$162,BP1689,0))/100))),0)</f>
        <v/>
      </c>
      <c r="BT1689">
        <f>IF(AND(1676&lt;$U$9,$W$5),BQ1689*1000000-MIN(BR1689,999)*1000+BS1689-1676/100000,-1000000000-1676)</f>
        <v/>
      </c>
    </row>
    <row r="1690">
      <c r="BN1690">
        <f>IF(1677&lt;$U$9,INT(1677/($U$7*$U$8))+1,1)</f>
        <v/>
      </c>
      <c r="BO1690">
        <f>IF(1677&lt;$U$9,MOD(INT(1677/$U$8),$U$7)+1,1)</f>
        <v/>
      </c>
      <c r="BP1690">
        <f>IF(1677&lt;$U$9,MOD(1677,$U$8)+1,1)</f>
        <v/>
      </c>
      <c r="BQ1690">
        <f>IF(1677&lt;$U$9,SUMPRODUCT(($D$10:$L$10&lt;&gt;"")*(($D$9:$L$9+INT(($S$12:$AA$12+INDEX($AJ$13:$AR$162,BN1690,0)+INDEX($AT$13:$BB$162,BO1690,0)+INDEX($BD$13:$BL$162,BP1690,0))/100))&gt;=$D$10:$L$10)),0)</f>
        <v/>
      </c>
      <c r="BR1690">
        <f>IF(1677&lt;$U$9,SUMPRODUCT(($D$10:$L$10&lt;&gt;"")*(($D$10:$L$10-($D$9:$L$9+INT(($S$12:$AA$12+INDEX($AJ$13:$AR$162,BN1690,0)+INDEX($AT$13:$BB$162,BO1690,0)+INDEX($BD$13:$BL$162,BP1690,0))/100)))&gt;0)*($D$10:$L$10-($D$9:$L$9+INT(($S$12:$AA$12+INDEX($AJ$13:$AR$162,BN1690,0)+INDEX($AT$13:$BB$162,BO1690,0)+INDEX($BD$13:$BL$162,BP1690,0))/100)))),0)</f>
        <v/>
      </c>
      <c r="BS1690">
        <f>IF(1677&lt;$U$9,SUMPRODUCT(($D$9:$L$9+INT(($S$12:$AA$12+INDEX($AJ$13:$AR$162,BN1690,0)+INDEX($AT$13:$BB$162,BO1690,0)+INDEX($BD$13:$BL$162,BP1690,0))/100))),0)</f>
        <v/>
      </c>
      <c r="BT1690">
        <f>IF(AND(1677&lt;$U$9,$W$5),BQ1690*1000000-MIN(BR1690,999)*1000+BS1690-1677/100000,-1000000000-1677)</f>
        <v/>
      </c>
    </row>
    <row r="1691">
      <c r="BN1691">
        <f>IF(1678&lt;$U$9,INT(1678/($U$7*$U$8))+1,1)</f>
        <v/>
      </c>
      <c r="BO1691">
        <f>IF(1678&lt;$U$9,MOD(INT(1678/$U$8),$U$7)+1,1)</f>
        <v/>
      </c>
      <c r="BP1691">
        <f>IF(1678&lt;$U$9,MOD(1678,$U$8)+1,1)</f>
        <v/>
      </c>
      <c r="BQ1691">
        <f>IF(1678&lt;$U$9,SUMPRODUCT(($D$10:$L$10&lt;&gt;"")*(($D$9:$L$9+INT(($S$12:$AA$12+INDEX($AJ$13:$AR$162,BN1691,0)+INDEX($AT$13:$BB$162,BO1691,0)+INDEX($BD$13:$BL$162,BP1691,0))/100))&gt;=$D$10:$L$10)),0)</f>
        <v/>
      </c>
      <c r="BR1691">
        <f>IF(1678&lt;$U$9,SUMPRODUCT(($D$10:$L$10&lt;&gt;"")*(($D$10:$L$10-($D$9:$L$9+INT(($S$12:$AA$12+INDEX($AJ$13:$AR$162,BN1691,0)+INDEX($AT$13:$BB$162,BO1691,0)+INDEX($BD$13:$BL$162,BP1691,0))/100)))&gt;0)*($D$10:$L$10-($D$9:$L$9+INT(($S$12:$AA$12+INDEX($AJ$13:$AR$162,BN1691,0)+INDEX($AT$13:$BB$162,BO1691,0)+INDEX($BD$13:$BL$162,BP1691,0))/100)))),0)</f>
        <v/>
      </c>
      <c r="BS1691">
        <f>IF(1678&lt;$U$9,SUMPRODUCT(($D$9:$L$9+INT(($S$12:$AA$12+INDEX($AJ$13:$AR$162,BN1691,0)+INDEX($AT$13:$BB$162,BO1691,0)+INDEX($BD$13:$BL$162,BP1691,0))/100))),0)</f>
        <v/>
      </c>
      <c r="BT1691">
        <f>IF(AND(1678&lt;$U$9,$W$5),BQ1691*1000000-MIN(BR1691,999)*1000+BS1691-1678/100000,-1000000000-1678)</f>
        <v/>
      </c>
    </row>
    <row r="1692">
      <c r="BN1692">
        <f>IF(1679&lt;$U$9,INT(1679/($U$7*$U$8))+1,1)</f>
        <v/>
      </c>
      <c r="BO1692">
        <f>IF(1679&lt;$U$9,MOD(INT(1679/$U$8),$U$7)+1,1)</f>
        <v/>
      </c>
      <c r="BP1692">
        <f>IF(1679&lt;$U$9,MOD(1679,$U$8)+1,1)</f>
        <v/>
      </c>
      <c r="BQ1692">
        <f>IF(1679&lt;$U$9,SUMPRODUCT(($D$10:$L$10&lt;&gt;"")*(($D$9:$L$9+INT(($S$12:$AA$12+INDEX($AJ$13:$AR$162,BN1692,0)+INDEX($AT$13:$BB$162,BO1692,0)+INDEX($BD$13:$BL$162,BP1692,0))/100))&gt;=$D$10:$L$10)),0)</f>
        <v/>
      </c>
      <c r="BR1692">
        <f>IF(1679&lt;$U$9,SUMPRODUCT(($D$10:$L$10&lt;&gt;"")*(($D$10:$L$10-($D$9:$L$9+INT(($S$12:$AA$12+INDEX($AJ$13:$AR$162,BN1692,0)+INDEX($AT$13:$BB$162,BO1692,0)+INDEX($BD$13:$BL$162,BP1692,0))/100)))&gt;0)*($D$10:$L$10-($D$9:$L$9+INT(($S$12:$AA$12+INDEX($AJ$13:$AR$162,BN1692,0)+INDEX($AT$13:$BB$162,BO1692,0)+INDEX($BD$13:$BL$162,BP1692,0))/100)))),0)</f>
        <v/>
      </c>
      <c r="BS1692">
        <f>IF(1679&lt;$U$9,SUMPRODUCT(($D$9:$L$9+INT(($S$12:$AA$12+INDEX($AJ$13:$AR$162,BN1692,0)+INDEX($AT$13:$BB$162,BO1692,0)+INDEX($BD$13:$BL$162,BP1692,0))/100))),0)</f>
        <v/>
      </c>
      <c r="BT1692">
        <f>IF(AND(1679&lt;$U$9,$W$5),BQ1692*1000000-MIN(BR1692,999)*1000+BS1692-1679/100000,-1000000000-1679)</f>
        <v/>
      </c>
    </row>
    <row r="1693">
      <c r="BN1693">
        <f>IF(1680&lt;$U$9,INT(1680/($U$7*$U$8))+1,1)</f>
        <v/>
      </c>
      <c r="BO1693">
        <f>IF(1680&lt;$U$9,MOD(INT(1680/$U$8),$U$7)+1,1)</f>
        <v/>
      </c>
      <c r="BP1693">
        <f>IF(1680&lt;$U$9,MOD(1680,$U$8)+1,1)</f>
        <v/>
      </c>
      <c r="BQ1693">
        <f>IF(1680&lt;$U$9,SUMPRODUCT(($D$10:$L$10&lt;&gt;"")*(($D$9:$L$9+INT(($S$12:$AA$12+INDEX($AJ$13:$AR$162,BN1693,0)+INDEX($AT$13:$BB$162,BO1693,0)+INDEX($BD$13:$BL$162,BP1693,0))/100))&gt;=$D$10:$L$10)),0)</f>
        <v/>
      </c>
      <c r="BR1693">
        <f>IF(1680&lt;$U$9,SUMPRODUCT(($D$10:$L$10&lt;&gt;"")*(($D$10:$L$10-($D$9:$L$9+INT(($S$12:$AA$12+INDEX($AJ$13:$AR$162,BN1693,0)+INDEX($AT$13:$BB$162,BO1693,0)+INDEX($BD$13:$BL$162,BP1693,0))/100)))&gt;0)*($D$10:$L$10-($D$9:$L$9+INT(($S$12:$AA$12+INDEX($AJ$13:$AR$162,BN1693,0)+INDEX($AT$13:$BB$162,BO1693,0)+INDEX($BD$13:$BL$162,BP1693,0))/100)))),0)</f>
        <v/>
      </c>
      <c r="BS1693">
        <f>IF(1680&lt;$U$9,SUMPRODUCT(($D$9:$L$9+INT(($S$12:$AA$12+INDEX($AJ$13:$AR$162,BN1693,0)+INDEX($AT$13:$BB$162,BO1693,0)+INDEX($BD$13:$BL$162,BP1693,0))/100))),0)</f>
        <v/>
      </c>
      <c r="BT1693">
        <f>IF(AND(1680&lt;$U$9,$W$5),BQ1693*1000000-MIN(BR1693,999)*1000+BS1693-1680/100000,-1000000000-1680)</f>
        <v/>
      </c>
    </row>
    <row r="1694">
      <c r="BN1694">
        <f>IF(1681&lt;$U$9,INT(1681/($U$7*$U$8))+1,1)</f>
        <v/>
      </c>
      <c r="BO1694">
        <f>IF(1681&lt;$U$9,MOD(INT(1681/$U$8),$U$7)+1,1)</f>
        <v/>
      </c>
      <c r="BP1694">
        <f>IF(1681&lt;$U$9,MOD(1681,$U$8)+1,1)</f>
        <v/>
      </c>
      <c r="BQ1694">
        <f>IF(1681&lt;$U$9,SUMPRODUCT(($D$10:$L$10&lt;&gt;"")*(($D$9:$L$9+INT(($S$12:$AA$12+INDEX($AJ$13:$AR$162,BN1694,0)+INDEX($AT$13:$BB$162,BO1694,0)+INDEX($BD$13:$BL$162,BP1694,0))/100))&gt;=$D$10:$L$10)),0)</f>
        <v/>
      </c>
      <c r="BR1694">
        <f>IF(1681&lt;$U$9,SUMPRODUCT(($D$10:$L$10&lt;&gt;"")*(($D$10:$L$10-($D$9:$L$9+INT(($S$12:$AA$12+INDEX($AJ$13:$AR$162,BN1694,0)+INDEX($AT$13:$BB$162,BO1694,0)+INDEX($BD$13:$BL$162,BP1694,0))/100)))&gt;0)*($D$10:$L$10-($D$9:$L$9+INT(($S$12:$AA$12+INDEX($AJ$13:$AR$162,BN1694,0)+INDEX($AT$13:$BB$162,BO1694,0)+INDEX($BD$13:$BL$162,BP1694,0))/100)))),0)</f>
        <v/>
      </c>
      <c r="BS1694">
        <f>IF(1681&lt;$U$9,SUMPRODUCT(($D$9:$L$9+INT(($S$12:$AA$12+INDEX($AJ$13:$AR$162,BN1694,0)+INDEX($AT$13:$BB$162,BO1694,0)+INDEX($BD$13:$BL$162,BP1694,0))/100))),0)</f>
        <v/>
      </c>
      <c r="BT1694">
        <f>IF(AND(1681&lt;$U$9,$W$5),BQ1694*1000000-MIN(BR1694,999)*1000+BS1694-1681/100000,-1000000000-1681)</f>
        <v/>
      </c>
    </row>
    <row r="1695">
      <c r="BN1695">
        <f>IF(1682&lt;$U$9,INT(1682/($U$7*$U$8))+1,1)</f>
        <v/>
      </c>
      <c r="BO1695">
        <f>IF(1682&lt;$U$9,MOD(INT(1682/$U$8),$U$7)+1,1)</f>
        <v/>
      </c>
      <c r="BP1695">
        <f>IF(1682&lt;$U$9,MOD(1682,$U$8)+1,1)</f>
        <v/>
      </c>
      <c r="BQ1695">
        <f>IF(1682&lt;$U$9,SUMPRODUCT(($D$10:$L$10&lt;&gt;"")*(($D$9:$L$9+INT(($S$12:$AA$12+INDEX($AJ$13:$AR$162,BN1695,0)+INDEX($AT$13:$BB$162,BO1695,0)+INDEX($BD$13:$BL$162,BP1695,0))/100))&gt;=$D$10:$L$10)),0)</f>
        <v/>
      </c>
      <c r="BR1695">
        <f>IF(1682&lt;$U$9,SUMPRODUCT(($D$10:$L$10&lt;&gt;"")*(($D$10:$L$10-($D$9:$L$9+INT(($S$12:$AA$12+INDEX($AJ$13:$AR$162,BN1695,0)+INDEX($AT$13:$BB$162,BO1695,0)+INDEX($BD$13:$BL$162,BP1695,0))/100)))&gt;0)*($D$10:$L$10-($D$9:$L$9+INT(($S$12:$AA$12+INDEX($AJ$13:$AR$162,BN1695,0)+INDEX($AT$13:$BB$162,BO1695,0)+INDEX($BD$13:$BL$162,BP1695,0))/100)))),0)</f>
        <v/>
      </c>
      <c r="BS1695">
        <f>IF(1682&lt;$U$9,SUMPRODUCT(($D$9:$L$9+INT(($S$12:$AA$12+INDEX($AJ$13:$AR$162,BN1695,0)+INDEX($AT$13:$BB$162,BO1695,0)+INDEX($BD$13:$BL$162,BP1695,0))/100))),0)</f>
        <v/>
      </c>
      <c r="BT1695">
        <f>IF(AND(1682&lt;$U$9,$W$5),BQ1695*1000000-MIN(BR1695,999)*1000+BS1695-1682/100000,-1000000000-1682)</f>
        <v/>
      </c>
    </row>
    <row r="1696">
      <c r="BN1696">
        <f>IF(1683&lt;$U$9,INT(1683/($U$7*$U$8))+1,1)</f>
        <v/>
      </c>
      <c r="BO1696">
        <f>IF(1683&lt;$U$9,MOD(INT(1683/$U$8),$U$7)+1,1)</f>
        <v/>
      </c>
      <c r="BP1696">
        <f>IF(1683&lt;$U$9,MOD(1683,$U$8)+1,1)</f>
        <v/>
      </c>
      <c r="BQ1696">
        <f>IF(1683&lt;$U$9,SUMPRODUCT(($D$10:$L$10&lt;&gt;"")*(($D$9:$L$9+INT(($S$12:$AA$12+INDEX($AJ$13:$AR$162,BN1696,0)+INDEX($AT$13:$BB$162,BO1696,0)+INDEX($BD$13:$BL$162,BP1696,0))/100))&gt;=$D$10:$L$10)),0)</f>
        <v/>
      </c>
      <c r="BR1696">
        <f>IF(1683&lt;$U$9,SUMPRODUCT(($D$10:$L$10&lt;&gt;"")*(($D$10:$L$10-($D$9:$L$9+INT(($S$12:$AA$12+INDEX($AJ$13:$AR$162,BN1696,0)+INDEX($AT$13:$BB$162,BO1696,0)+INDEX($BD$13:$BL$162,BP1696,0))/100)))&gt;0)*($D$10:$L$10-($D$9:$L$9+INT(($S$12:$AA$12+INDEX($AJ$13:$AR$162,BN1696,0)+INDEX($AT$13:$BB$162,BO1696,0)+INDEX($BD$13:$BL$162,BP1696,0))/100)))),0)</f>
        <v/>
      </c>
      <c r="BS1696">
        <f>IF(1683&lt;$U$9,SUMPRODUCT(($D$9:$L$9+INT(($S$12:$AA$12+INDEX($AJ$13:$AR$162,BN1696,0)+INDEX($AT$13:$BB$162,BO1696,0)+INDEX($BD$13:$BL$162,BP1696,0))/100))),0)</f>
        <v/>
      </c>
      <c r="BT1696">
        <f>IF(AND(1683&lt;$U$9,$W$5),BQ1696*1000000-MIN(BR1696,999)*1000+BS1696-1683/100000,-1000000000-1683)</f>
        <v/>
      </c>
    </row>
    <row r="1697">
      <c r="BN1697">
        <f>IF(1684&lt;$U$9,INT(1684/($U$7*$U$8))+1,1)</f>
        <v/>
      </c>
      <c r="BO1697">
        <f>IF(1684&lt;$U$9,MOD(INT(1684/$U$8),$U$7)+1,1)</f>
        <v/>
      </c>
      <c r="BP1697">
        <f>IF(1684&lt;$U$9,MOD(1684,$U$8)+1,1)</f>
        <v/>
      </c>
      <c r="BQ1697">
        <f>IF(1684&lt;$U$9,SUMPRODUCT(($D$10:$L$10&lt;&gt;"")*(($D$9:$L$9+INT(($S$12:$AA$12+INDEX($AJ$13:$AR$162,BN1697,0)+INDEX($AT$13:$BB$162,BO1697,0)+INDEX($BD$13:$BL$162,BP1697,0))/100))&gt;=$D$10:$L$10)),0)</f>
        <v/>
      </c>
      <c r="BR1697">
        <f>IF(1684&lt;$U$9,SUMPRODUCT(($D$10:$L$10&lt;&gt;"")*(($D$10:$L$10-($D$9:$L$9+INT(($S$12:$AA$12+INDEX($AJ$13:$AR$162,BN1697,0)+INDEX($AT$13:$BB$162,BO1697,0)+INDEX($BD$13:$BL$162,BP1697,0))/100)))&gt;0)*($D$10:$L$10-($D$9:$L$9+INT(($S$12:$AA$12+INDEX($AJ$13:$AR$162,BN1697,0)+INDEX($AT$13:$BB$162,BO1697,0)+INDEX($BD$13:$BL$162,BP1697,0))/100)))),0)</f>
        <v/>
      </c>
      <c r="BS1697">
        <f>IF(1684&lt;$U$9,SUMPRODUCT(($D$9:$L$9+INT(($S$12:$AA$12+INDEX($AJ$13:$AR$162,BN1697,0)+INDEX($AT$13:$BB$162,BO1697,0)+INDEX($BD$13:$BL$162,BP1697,0))/100))),0)</f>
        <v/>
      </c>
      <c r="BT1697">
        <f>IF(AND(1684&lt;$U$9,$W$5),BQ1697*1000000-MIN(BR1697,999)*1000+BS1697-1684/100000,-1000000000-1684)</f>
        <v/>
      </c>
    </row>
    <row r="1698">
      <c r="BN1698">
        <f>IF(1685&lt;$U$9,INT(1685/($U$7*$U$8))+1,1)</f>
        <v/>
      </c>
      <c r="BO1698">
        <f>IF(1685&lt;$U$9,MOD(INT(1685/$U$8),$U$7)+1,1)</f>
        <v/>
      </c>
      <c r="BP1698">
        <f>IF(1685&lt;$U$9,MOD(1685,$U$8)+1,1)</f>
        <v/>
      </c>
      <c r="BQ1698">
        <f>IF(1685&lt;$U$9,SUMPRODUCT(($D$10:$L$10&lt;&gt;"")*(($D$9:$L$9+INT(($S$12:$AA$12+INDEX($AJ$13:$AR$162,BN1698,0)+INDEX($AT$13:$BB$162,BO1698,0)+INDEX($BD$13:$BL$162,BP1698,0))/100))&gt;=$D$10:$L$10)),0)</f>
        <v/>
      </c>
      <c r="BR1698">
        <f>IF(1685&lt;$U$9,SUMPRODUCT(($D$10:$L$10&lt;&gt;"")*(($D$10:$L$10-($D$9:$L$9+INT(($S$12:$AA$12+INDEX($AJ$13:$AR$162,BN1698,0)+INDEX($AT$13:$BB$162,BO1698,0)+INDEX($BD$13:$BL$162,BP1698,0))/100)))&gt;0)*($D$10:$L$10-($D$9:$L$9+INT(($S$12:$AA$12+INDEX($AJ$13:$AR$162,BN1698,0)+INDEX($AT$13:$BB$162,BO1698,0)+INDEX($BD$13:$BL$162,BP1698,0))/100)))),0)</f>
        <v/>
      </c>
      <c r="BS1698">
        <f>IF(1685&lt;$U$9,SUMPRODUCT(($D$9:$L$9+INT(($S$12:$AA$12+INDEX($AJ$13:$AR$162,BN1698,0)+INDEX($AT$13:$BB$162,BO1698,0)+INDEX($BD$13:$BL$162,BP1698,0))/100))),0)</f>
        <v/>
      </c>
      <c r="BT1698">
        <f>IF(AND(1685&lt;$U$9,$W$5),BQ1698*1000000-MIN(BR1698,999)*1000+BS1698-1685/100000,-1000000000-1685)</f>
        <v/>
      </c>
    </row>
    <row r="1699">
      <c r="BN1699">
        <f>IF(1686&lt;$U$9,INT(1686/($U$7*$U$8))+1,1)</f>
        <v/>
      </c>
      <c r="BO1699">
        <f>IF(1686&lt;$U$9,MOD(INT(1686/$U$8),$U$7)+1,1)</f>
        <v/>
      </c>
      <c r="BP1699">
        <f>IF(1686&lt;$U$9,MOD(1686,$U$8)+1,1)</f>
        <v/>
      </c>
      <c r="BQ1699">
        <f>IF(1686&lt;$U$9,SUMPRODUCT(($D$10:$L$10&lt;&gt;"")*(($D$9:$L$9+INT(($S$12:$AA$12+INDEX($AJ$13:$AR$162,BN1699,0)+INDEX($AT$13:$BB$162,BO1699,0)+INDEX($BD$13:$BL$162,BP1699,0))/100))&gt;=$D$10:$L$10)),0)</f>
        <v/>
      </c>
      <c r="BR1699">
        <f>IF(1686&lt;$U$9,SUMPRODUCT(($D$10:$L$10&lt;&gt;"")*(($D$10:$L$10-($D$9:$L$9+INT(($S$12:$AA$12+INDEX($AJ$13:$AR$162,BN1699,0)+INDEX($AT$13:$BB$162,BO1699,0)+INDEX($BD$13:$BL$162,BP1699,0))/100)))&gt;0)*($D$10:$L$10-($D$9:$L$9+INT(($S$12:$AA$12+INDEX($AJ$13:$AR$162,BN1699,0)+INDEX($AT$13:$BB$162,BO1699,0)+INDEX($BD$13:$BL$162,BP1699,0))/100)))),0)</f>
        <v/>
      </c>
      <c r="BS1699">
        <f>IF(1686&lt;$U$9,SUMPRODUCT(($D$9:$L$9+INT(($S$12:$AA$12+INDEX($AJ$13:$AR$162,BN1699,0)+INDEX($AT$13:$BB$162,BO1699,0)+INDEX($BD$13:$BL$162,BP1699,0))/100))),0)</f>
        <v/>
      </c>
      <c r="BT1699">
        <f>IF(AND(1686&lt;$U$9,$W$5),BQ1699*1000000-MIN(BR1699,999)*1000+BS1699-1686/100000,-1000000000-1686)</f>
        <v/>
      </c>
    </row>
    <row r="1700">
      <c r="BN1700">
        <f>IF(1687&lt;$U$9,INT(1687/($U$7*$U$8))+1,1)</f>
        <v/>
      </c>
      <c r="BO1700">
        <f>IF(1687&lt;$U$9,MOD(INT(1687/$U$8),$U$7)+1,1)</f>
        <v/>
      </c>
      <c r="BP1700">
        <f>IF(1687&lt;$U$9,MOD(1687,$U$8)+1,1)</f>
        <v/>
      </c>
      <c r="BQ1700">
        <f>IF(1687&lt;$U$9,SUMPRODUCT(($D$10:$L$10&lt;&gt;"")*(($D$9:$L$9+INT(($S$12:$AA$12+INDEX($AJ$13:$AR$162,BN1700,0)+INDEX($AT$13:$BB$162,BO1700,0)+INDEX($BD$13:$BL$162,BP1700,0))/100))&gt;=$D$10:$L$10)),0)</f>
        <v/>
      </c>
      <c r="BR1700">
        <f>IF(1687&lt;$U$9,SUMPRODUCT(($D$10:$L$10&lt;&gt;"")*(($D$10:$L$10-($D$9:$L$9+INT(($S$12:$AA$12+INDEX($AJ$13:$AR$162,BN1700,0)+INDEX($AT$13:$BB$162,BO1700,0)+INDEX($BD$13:$BL$162,BP1700,0))/100)))&gt;0)*($D$10:$L$10-($D$9:$L$9+INT(($S$12:$AA$12+INDEX($AJ$13:$AR$162,BN1700,0)+INDEX($AT$13:$BB$162,BO1700,0)+INDEX($BD$13:$BL$162,BP1700,0))/100)))),0)</f>
        <v/>
      </c>
      <c r="BS1700">
        <f>IF(1687&lt;$U$9,SUMPRODUCT(($D$9:$L$9+INT(($S$12:$AA$12+INDEX($AJ$13:$AR$162,BN1700,0)+INDEX($AT$13:$BB$162,BO1700,0)+INDEX($BD$13:$BL$162,BP1700,0))/100))),0)</f>
        <v/>
      </c>
      <c r="BT1700">
        <f>IF(AND(1687&lt;$U$9,$W$5),BQ1700*1000000-MIN(BR1700,999)*1000+BS1700-1687/100000,-1000000000-1687)</f>
        <v/>
      </c>
    </row>
    <row r="1701">
      <c r="BN1701">
        <f>IF(1688&lt;$U$9,INT(1688/($U$7*$U$8))+1,1)</f>
        <v/>
      </c>
      <c r="BO1701">
        <f>IF(1688&lt;$U$9,MOD(INT(1688/$U$8),$U$7)+1,1)</f>
        <v/>
      </c>
      <c r="BP1701">
        <f>IF(1688&lt;$U$9,MOD(1688,$U$8)+1,1)</f>
        <v/>
      </c>
      <c r="BQ1701">
        <f>IF(1688&lt;$U$9,SUMPRODUCT(($D$10:$L$10&lt;&gt;"")*(($D$9:$L$9+INT(($S$12:$AA$12+INDEX($AJ$13:$AR$162,BN1701,0)+INDEX($AT$13:$BB$162,BO1701,0)+INDEX($BD$13:$BL$162,BP1701,0))/100))&gt;=$D$10:$L$10)),0)</f>
        <v/>
      </c>
      <c r="BR1701">
        <f>IF(1688&lt;$U$9,SUMPRODUCT(($D$10:$L$10&lt;&gt;"")*(($D$10:$L$10-($D$9:$L$9+INT(($S$12:$AA$12+INDEX($AJ$13:$AR$162,BN1701,0)+INDEX($AT$13:$BB$162,BO1701,0)+INDEX($BD$13:$BL$162,BP1701,0))/100)))&gt;0)*($D$10:$L$10-($D$9:$L$9+INT(($S$12:$AA$12+INDEX($AJ$13:$AR$162,BN1701,0)+INDEX($AT$13:$BB$162,BO1701,0)+INDEX($BD$13:$BL$162,BP1701,0))/100)))),0)</f>
        <v/>
      </c>
      <c r="BS1701">
        <f>IF(1688&lt;$U$9,SUMPRODUCT(($D$9:$L$9+INT(($S$12:$AA$12+INDEX($AJ$13:$AR$162,BN1701,0)+INDEX($AT$13:$BB$162,BO1701,0)+INDEX($BD$13:$BL$162,BP1701,0))/100))),0)</f>
        <v/>
      </c>
      <c r="BT1701">
        <f>IF(AND(1688&lt;$U$9,$W$5),BQ1701*1000000-MIN(BR1701,999)*1000+BS1701-1688/100000,-1000000000-1688)</f>
        <v/>
      </c>
    </row>
    <row r="1702">
      <c r="BN1702">
        <f>IF(1689&lt;$U$9,INT(1689/($U$7*$U$8))+1,1)</f>
        <v/>
      </c>
      <c r="BO1702">
        <f>IF(1689&lt;$U$9,MOD(INT(1689/$U$8),$U$7)+1,1)</f>
        <v/>
      </c>
      <c r="BP1702">
        <f>IF(1689&lt;$U$9,MOD(1689,$U$8)+1,1)</f>
        <v/>
      </c>
      <c r="BQ1702">
        <f>IF(1689&lt;$U$9,SUMPRODUCT(($D$10:$L$10&lt;&gt;"")*(($D$9:$L$9+INT(($S$12:$AA$12+INDEX($AJ$13:$AR$162,BN1702,0)+INDEX($AT$13:$BB$162,BO1702,0)+INDEX($BD$13:$BL$162,BP1702,0))/100))&gt;=$D$10:$L$10)),0)</f>
        <v/>
      </c>
      <c r="BR1702">
        <f>IF(1689&lt;$U$9,SUMPRODUCT(($D$10:$L$10&lt;&gt;"")*(($D$10:$L$10-($D$9:$L$9+INT(($S$12:$AA$12+INDEX($AJ$13:$AR$162,BN1702,0)+INDEX($AT$13:$BB$162,BO1702,0)+INDEX($BD$13:$BL$162,BP1702,0))/100)))&gt;0)*($D$10:$L$10-($D$9:$L$9+INT(($S$12:$AA$12+INDEX($AJ$13:$AR$162,BN1702,0)+INDEX($AT$13:$BB$162,BO1702,0)+INDEX($BD$13:$BL$162,BP1702,0))/100)))),0)</f>
        <v/>
      </c>
      <c r="BS1702">
        <f>IF(1689&lt;$U$9,SUMPRODUCT(($D$9:$L$9+INT(($S$12:$AA$12+INDEX($AJ$13:$AR$162,BN1702,0)+INDEX($AT$13:$BB$162,BO1702,0)+INDEX($BD$13:$BL$162,BP1702,0))/100))),0)</f>
        <v/>
      </c>
      <c r="BT1702">
        <f>IF(AND(1689&lt;$U$9,$W$5),BQ1702*1000000-MIN(BR1702,999)*1000+BS1702-1689/100000,-1000000000-1689)</f>
        <v/>
      </c>
    </row>
    <row r="1703">
      <c r="BN1703">
        <f>IF(1690&lt;$U$9,INT(1690/($U$7*$U$8))+1,1)</f>
        <v/>
      </c>
      <c r="BO1703">
        <f>IF(1690&lt;$U$9,MOD(INT(1690/$U$8),$U$7)+1,1)</f>
        <v/>
      </c>
      <c r="BP1703">
        <f>IF(1690&lt;$U$9,MOD(1690,$U$8)+1,1)</f>
        <v/>
      </c>
      <c r="BQ1703">
        <f>IF(1690&lt;$U$9,SUMPRODUCT(($D$10:$L$10&lt;&gt;"")*(($D$9:$L$9+INT(($S$12:$AA$12+INDEX($AJ$13:$AR$162,BN1703,0)+INDEX($AT$13:$BB$162,BO1703,0)+INDEX($BD$13:$BL$162,BP1703,0))/100))&gt;=$D$10:$L$10)),0)</f>
        <v/>
      </c>
      <c r="BR1703">
        <f>IF(1690&lt;$U$9,SUMPRODUCT(($D$10:$L$10&lt;&gt;"")*(($D$10:$L$10-($D$9:$L$9+INT(($S$12:$AA$12+INDEX($AJ$13:$AR$162,BN1703,0)+INDEX($AT$13:$BB$162,BO1703,0)+INDEX($BD$13:$BL$162,BP1703,0))/100)))&gt;0)*($D$10:$L$10-($D$9:$L$9+INT(($S$12:$AA$12+INDEX($AJ$13:$AR$162,BN1703,0)+INDEX($AT$13:$BB$162,BO1703,0)+INDEX($BD$13:$BL$162,BP1703,0))/100)))),0)</f>
        <v/>
      </c>
      <c r="BS1703">
        <f>IF(1690&lt;$U$9,SUMPRODUCT(($D$9:$L$9+INT(($S$12:$AA$12+INDEX($AJ$13:$AR$162,BN1703,0)+INDEX($AT$13:$BB$162,BO1703,0)+INDEX($BD$13:$BL$162,BP1703,0))/100))),0)</f>
        <v/>
      </c>
      <c r="BT1703">
        <f>IF(AND(1690&lt;$U$9,$W$5),BQ1703*1000000-MIN(BR1703,999)*1000+BS1703-1690/100000,-1000000000-1690)</f>
        <v/>
      </c>
    </row>
    <row r="1704">
      <c r="BN1704">
        <f>IF(1691&lt;$U$9,INT(1691/($U$7*$U$8))+1,1)</f>
        <v/>
      </c>
      <c r="BO1704">
        <f>IF(1691&lt;$U$9,MOD(INT(1691/$U$8),$U$7)+1,1)</f>
        <v/>
      </c>
      <c r="BP1704">
        <f>IF(1691&lt;$U$9,MOD(1691,$U$8)+1,1)</f>
        <v/>
      </c>
      <c r="BQ1704">
        <f>IF(1691&lt;$U$9,SUMPRODUCT(($D$10:$L$10&lt;&gt;"")*(($D$9:$L$9+INT(($S$12:$AA$12+INDEX($AJ$13:$AR$162,BN1704,0)+INDEX($AT$13:$BB$162,BO1704,0)+INDEX($BD$13:$BL$162,BP1704,0))/100))&gt;=$D$10:$L$10)),0)</f>
        <v/>
      </c>
      <c r="BR1704">
        <f>IF(1691&lt;$U$9,SUMPRODUCT(($D$10:$L$10&lt;&gt;"")*(($D$10:$L$10-($D$9:$L$9+INT(($S$12:$AA$12+INDEX($AJ$13:$AR$162,BN1704,0)+INDEX($AT$13:$BB$162,BO1704,0)+INDEX($BD$13:$BL$162,BP1704,0))/100)))&gt;0)*($D$10:$L$10-($D$9:$L$9+INT(($S$12:$AA$12+INDEX($AJ$13:$AR$162,BN1704,0)+INDEX($AT$13:$BB$162,BO1704,0)+INDEX($BD$13:$BL$162,BP1704,0))/100)))),0)</f>
        <v/>
      </c>
      <c r="BS1704">
        <f>IF(1691&lt;$U$9,SUMPRODUCT(($D$9:$L$9+INT(($S$12:$AA$12+INDEX($AJ$13:$AR$162,BN1704,0)+INDEX($AT$13:$BB$162,BO1704,0)+INDEX($BD$13:$BL$162,BP1704,0))/100))),0)</f>
        <v/>
      </c>
      <c r="BT1704">
        <f>IF(AND(1691&lt;$U$9,$W$5),BQ1704*1000000-MIN(BR1704,999)*1000+BS1704-1691/100000,-1000000000-1691)</f>
        <v/>
      </c>
    </row>
    <row r="1705">
      <c r="BN1705">
        <f>IF(1692&lt;$U$9,INT(1692/($U$7*$U$8))+1,1)</f>
        <v/>
      </c>
      <c r="BO1705">
        <f>IF(1692&lt;$U$9,MOD(INT(1692/$U$8),$U$7)+1,1)</f>
        <v/>
      </c>
      <c r="BP1705">
        <f>IF(1692&lt;$U$9,MOD(1692,$U$8)+1,1)</f>
        <v/>
      </c>
      <c r="BQ1705">
        <f>IF(1692&lt;$U$9,SUMPRODUCT(($D$10:$L$10&lt;&gt;"")*(($D$9:$L$9+INT(($S$12:$AA$12+INDEX($AJ$13:$AR$162,BN1705,0)+INDEX($AT$13:$BB$162,BO1705,0)+INDEX($BD$13:$BL$162,BP1705,0))/100))&gt;=$D$10:$L$10)),0)</f>
        <v/>
      </c>
      <c r="BR1705">
        <f>IF(1692&lt;$U$9,SUMPRODUCT(($D$10:$L$10&lt;&gt;"")*(($D$10:$L$10-($D$9:$L$9+INT(($S$12:$AA$12+INDEX($AJ$13:$AR$162,BN1705,0)+INDEX($AT$13:$BB$162,BO1705,0)+INDEX($BD$13:$BL$162,BP1705,0))/100)))&gt;0)*($D$10:$L$10-($D$9:$L$9+INT(($S$12:$AA$12+INDEX($AJ$13:$AR$162,BN1705,0)+INDEX($AT$13:$BB$162,BO1705,0)+INDEX($BD$13:$BL$162,BP1705,0))/100)))),0)</f>
        <v/>
      </c>
      <c r="BS1705">
        <f>IF(1692&lt;$U$9,SUMPRODUCT(($D$9:$L$9+INT(($S$12:$AA$12+INDEX($AJ$13:$AR$162,BN1705,0)+INDEX($AT$13:$BB$162,BO1705,0)+INDEX($BD$13:$BL$162,BP1705,0))/100))),0)</f>
        <v/>
      </c>
      <c r="BT1705">
        <f>IF(AND(1692&lt;$U$9,$W$5),BQ1705*1000000-MIN(BR1705,999)*1000+BS1705-1692/100000,-1000000000-1692)</f>
        <v/>
      </c>
    </row>
    <row r="1706">
      <c r="BN1706">
        <f>IF(1693&lt;$U$9,INT(1693/($U$7*$U$8))+1,1)</f>
        <v/>
      </c>
      <c r="BO1706">
        <f>IF(1693&lt;$U$9,MOD(INT(1693/$U$8),$U$7)+1,1)</f>
        <v/>
      </c>
      <c r="BP1706">
        <f>IF(1693&lt;$U$9,MOD(1693,$U$8)+1,1)</f>
        <v/>
      </c>
      <c r="BQ1706">
        <f>IF(1693&lt;$U$9,SUMPRODUCT(($D$10:$L$10&lt;&gt;"")*(($D$9:$L$9+INT(($S$12:$AA$12+INDEX($AJ$13:$AR$162,BN1706,0)+INDEX($AT$13:$BB$162,BO1706,0)+INDEX($BD$13:$BL$162,BP1706,0))/100))&gt;=$D$10:$L$10)),0)</f>
        <v/>
      </c>
      <c r="BR1706">
        <f>IF(1693&lt;$U$9,SUMPRODUCT(($D$10:$L$10&lt;&gt;"")*(($D$10:$L$10-($D$9:$L$9+INT(($S$12:$AA$12+INDEX($AJ$13:$AR$162,BN1706,0)+INDEX($AT$13:$BB$162,BO1706,0)+INDEX($BD$13:$BL$162,BP1706,0))/100)))&gt;0)*($D$10:$L$10-($D$9:$L$9+INT(($S$12:$AA$12+INDEX($AJ$13:$AR$162,BN1706,0)+INDEX($AT$13:$BB$162,BO1706,0)+INDEX($BD$13:$BL$162,BP1706,0))/100)))),0)</f>
        <v/>
      </c>
      <c r="BS1706">
        <f>IF(1693&lt;$U$9,SUMPRODUCT(($D$9:$L$9+INT(($S$12:$AA$12+INDEX($AJ$13:$AR$162,BN1706,0)+INDEX($AT$13:$BB$162,BO1706,0)+INDEX($BD$13:$BL$162,BP1706,0))/100))),0)</f>
        <v/>
      </c>
      <c r="BT1706">
        <f>IF(AND(1693&lt;$U$9,$W$5),BQ1706*1000000-MIN(BR1706,999)*1000+BS1706-1693/100000,-1000000000-1693)</f>
        <v/>
      </c>
    </row>
    <row r="1707">
      <c r="BN1707">
        <f>IF(1694&lt;$U$9,INT(1694/($U$7*$U$8))+1,1)</f>
        <v/>
      </c>
      <c r="BO1707">
        <f>IF(1694&lt;$U$9,MOD(INT(1694/$U$8),$U$7)+1,1)</f>
        <v/>
      </c>
      <c r="BP1707">
        <f>IF(1694&lt;$U$9,MOD(1694,$U$8)+1,1)</f>
        <v/>
      </c>
      <c r="BQ1707">
        <f>IF(1694&lt;$U$9,SUMPRODUCT(($D$10:$L$10&lt;&gt;"")*(($D$9:$L$9+INT(($S$12:$AA$12+INDEX($AJ$13:$AR$162,BN1707,0)+INDEX($AT$13:$BB$162,BO1707,0)+INDEX($BD$13:$BL$162,BP1707,0))/100))&gt;=$D$10:$L$10)),0)</f>
        <v/>
      </c>
      <c r="BR1707">
        <f>IF(1694&lt;$U$9,SUMPRODUCT(($D$10:$L$10&lt;&gt;"")*(($D$10:$L$10-($D$9:$L$9+INT(($S$12:$AA$12+INDEX($AJ$13:$AR$162,BN1707,0)+INDEX($AT$13:$BB$162,BO1707,0)+INDEX($BD$13:$BL$162,BP1707,0))/100)))&gt;0)*($D$10:$L$10-($D$9:$L$9+INT(($S$12:$AA$12+INDEX($AJ$13:$AR$162,BN1707,0)+INDEX($AT$13:$BB$162,BO1707,0)+INDEX($BD$13:$BL$162,BP1707,0))/100)))),0)</f>
        <v/>
      </c>
      <c r="BS1707">
        <f>IF(1694&lt;$U$9,SUMPRODUCT(($D$9:$L$9+INT(($S$12:$AA$12+INDEX($AJ$13:$AR$162,BN1707,0)+INDEX($AT$13:$BB$162,BO1707,0)+INDEX($BD$13:$BL$162,BP1707,0))/100))),0)</f>
        <v/>
      </c>
      <c r="BT1707">
        <f>IF(AND(1694&lt;$U$9,$W$5),BQ1707*1000000-MIN(BR1707,999)*1000+BS1707-1694/100000,-1000000000-1694)</f>
        <v/>
      </c>
    </row>
    <row r="1708">
      <c r="BN1708">
        <f>IF(1695&lt;$U$9,INT(1695/($U$7*$U$8))+1,1)</f>
        <v/>
      </c>
      <c r="BO1708">
        <f>IF(1695&lt;$U$9,MOD(INT(1695/$U$8),$U$7)+1,1)</f>
        <v/>
      </c>
      <c r="BP1708">
        <f>IF(1695&lt;$U$9,MOD(1695,$U$8)+1,1)</f>
        <v/>
      </c>
      <c r="BQ1708">
        <f>IF(1695&lt;$U$9,SUMPRODUCT(($D$10:$L$10&lt;&gt;"")*(($D$9:$L$9+INT(($S$12:$AA$12+INDEX($AJ$13:$AR$162,BN1708,0)+INDEX($AT$13:$BB$162,BO1708,0)+INDEX($BD$13:$BL$162,BP1708,0))/100))&gt;=$D$10:$L$10)),0)</f>
        <v/>
      </c>
      <c r="BR1708">
        <f>IF(1695&lt;$U$9,SUMPRODUCT(($D$10:$L$10&lt;&gt;"")*(($D$10:$L$10-($D$9:$L$9+INT(($S$12:$AA$12+INDEX($AJ$13:$AR$162,BN1708,0)+INDEX($AT$13:$BB$162,BO1708,0)+INDEX($BD$13:$BL$162,BP1708,0))/100)))&gt;0)*($D$10:$L$10-($D$9:$L$9+INT(($S$12:$AA$12+INDEX($AJ$13:$AR$162,BN1708,0)+INDEX($AT$13:$BB$162,BO1708,0)+INDEX($BD$13:$BL$162,BP1708,0))/100)))),0)</f>
        <v/>
      </c>
      <c r="BS1708">
        <f>IF(1695&lt;$U$9,SUMPRODUCT(($D$9:$L$9+INT(($S$12:$AA$12+INDEX($AJ$13:$AR$162,BN1708,0)+INDEX($AT$13:$BB$162,BO1708,0)+INDEX($BD$13:$BL$162,BP1708,0))/100))),0)</f>
        <v/>
      </c>
      <c r="BT1708">
        <f>IF(AND(1695&lt;$U$9,$W$5),BQ1708*1000000-MIN(BR1708,999)*1000+BS1708-1695/100000,-1000000000-1695)</f>
        <v/>
      </c>
    </row>
    <row r="1709">
      <c r="BN1709">
        <f>IF(1696&lt;$U$9,INT(1696/($U$7*$U$8))+1,1)</f>
        <v/>
      </c>
      <c r="BO1709">
        <f>IF(1696&lt;$U$9,MOD(INT(1696/$U$8),$U$7)+1,1)</f>
        <v/>
      </c>
      <c r="BP1709">
        <f>IF(1696&lt;$U$9,MOD(1696,$U$8)+1,1)</f>
        <v/>
      </c>
      <c r="BQ1709">
        <f>IF(1696&lt;$U$9,SUMPRODUCT(($D$10:$L$10&lt;&gt;"")*(($D$9:$L$9+INT(($S$12:$AA$12+INDEX($AJ$13:$AR$162,BN1709,0)+INDEX($AT$13:$BB$162,BO1709,0)+INDEX($BD$13:$BL$162,BP1709,0))/100))&gt;=$D$10:$L$10)),0)</f>
        <v/>
      </c>
      <c r="BR1709">
        <f>IF(1696&lt;$U$9,SUMPRODUCT(($D$10:$L$10&lt;&gt;"")*(($D$10:$L$10-($D$9:$L$9+INT(($S$12:$AA$12+INDEX($AJ$13:$AR$162,BN1709,0)+INDEX($AT$13:$BB$162,BO1709,0)+INDEX($BD$13:$BL$162,BP1709,0))/100)))&gt;0)*($D$10:$L$10-($D$9:$L$9+INT(($S$12:$AA$12+INDEX($AJ$13:$AR$162,BN1709,0)+INDEX($AT$13:$BB$162,BO1709,0)+INDEX($BD$13:$BL$162,BP1709,0))/100)))),0)</f>
        <v/>
      </c>
      <c r="BS1709">
        <f>IF(1696&lt;$U$9,SUMPRODUCT(($D$9:$L$9+INT(($S$12:$AA$12+INDEX($AJ$13:$AR$162,BN1709,0)+INDEX($AT$13:$BB$162,BO1709,0)+INDEX($BD$13:$BL$162,BP1709,0))/100))),0)</f>
        <v/>
      </c>
      <c r="BT1709">
        <f>IF(AND(1696&lt;$U$9,$W$5),BQ1709*1000000-MIN(BR1709,999)*1000+BS1709-1696/100000,-1000000000-1696)</f>
        <v/>
      </c>
    </row>
    <row r="1710">
      <c r="BN1710">
        <f>IF(1697&lt;$U$9,INT(1697/($U$7*$U$8))+1,1)</f>
        <v/>
      </c>
      <c r="BO1710">
        <f>IF(1697&lt;$U$9,MOD(INT(1697/$U$8),$U$7)+1,1)</f>
        <v/>
      </c>
      <c r="BP1710">
        <f>IF(1697&lt;$U$9,MOD(1697,$U$8)+1,1)</f>
        <v/>
      </c>
      <c r="BQ1710">
        <f>IF(1697&lt;$U$9,SUMPRODUCT(($D$10:$L$10&lt;&gt;"")*(($D$9:$L$9+INT(($S$12:$AA$12+INDEX($AJ$13:$AR$162,BN1710,0)+INDEX($AT$13:$BB$162,BO1710,0)+INDEX($BD$13:$BL$162,BP1710,0))/100))&gt;=$D$10:$L$10)),0)</f>
        <v/>
      </c>
      <c r="BR1710">
        <f>IF(1697&lt;$U$9,SUMPRODUCT(($D$10:$L$10&lt;&gt;"")*(($D$10:$L$10-($D$9:$L$9+INT(($S$12:$AA$12+INDEX($AJ$13:$AR$162,BN1710,0)+INDEX($AT$13:$BB$162,BO1710,0)+INDEX($BD$13:$BL$162,BP1710,0))/100)))&gt;0)*($D$10:$L$10-($D$9:$L$9+INT(($S$12:$AA$12+INDEX($AJ$13:$AR$162,BN1710,0)+INDEX($AT$13:$BB$162,BO1710,0)+INDEX($BD$13:$BL$162,BP1710,0))/100)))),0)</f>
        <v/>
      </c>
      <c r="BS1710">
        <f>IF(1697&lt;$U$9,SUMPRODUCT(($D$9:$L$9+INT(($S$12:$AA$12+INDEX($AJ$13:$AR$162,BN1710,0)+INDEX($AT$13:$BB$162,BO1710,0)+INDEX($BD$13:$BL$162,BP1710,0))/100))),0)</f>
        <v/>
      </c>
      <c r="BT1710">
        <f>IF(AND(1697&lt;$U$9,$W$5),BQ1710*1000000-MIN(BR1710,999)*1000+BS1710-1697/100000,-1000000000-1697)</f>
        <v/>
      </c>
    </row>
    <row r="1711">
      <c r="BN1711">
        <f>IF(1698&lt;$U$9,INT(1698/($U$7*$U$8))+1,1)</f>
        <v/>
      </c>
      <c r="BO1711">
        <f>IF(1698&lt;$U$9,MOD(INT(1698/$U$8),$U$7)+1,1)</f>
        <v/>
      </c>
      <c r="BP1711">
        <f>IF(1698&lt;$U$9,MOD(1698,$U$8)+1,1)</f>
        <v/>
      </c>
      <c r="BQ1711">
        <f>IF(1698&lt;$U$9,SUMPRODUCT(($D$10:$L$10&lt;&gt;"")*(($D$9:$L$9+INT(($S$12:$AA$12+INDEX($AJ$13:$AR$162,BN1711,0)+INDEX($AT$13:$BB$162,BO1711,0)+INDEX($BD$13:$BL$162,BP1711,0))/100))&gt;=$D$10:$L$10)),0)</f>
        <v/>
      </c>
      <c r="BR1711">
        <f>IF(1698&lt;$U$9,SUMPRODUCT(($D$10:$L$10&lt;&gt;"")*(($D$10:$L$10-($D$9:$L$9+INT(($S$12:$AA$12+INDEX($AJ$13:$AR$162,BN1711,0)+INDEX($AT$13:$BB$162,BO1711,0)+INDEX($BD$13:$BL$162,BP1711,0))/100)))&gt;0)*($D$10:$L$10-($D$9:$L$9+INT(($S$12:$AA$12+INDEX($AJ$13:$AR$162,BN1711,0)+INDEX($AT$13:$BB$162,BO1711,0)+INDEX($BD$13:$BL$162,BP1711,0))/100)))),0)</f>
        <v/>
      </c>
      <c r="BS1711">
        <f>IF(1698&lt;$U$9,SUMPRODUCT(($D$9:$L$9+INT(($S$12:$AA$12+INDEX($AJ$13:$AR$162,BN1711,0)+INDEX($AT$13:$BB$162,BO1711,0)+INDEX($BD$13:$BL$162,BP1711,0))/100))),0)</f>
        <v/>
      </c>
      <c r="BT1711">
        <f>IF(AND(1698&lt;$U$9,$W$5),BQ1711*1000000-MIN(BR1711,999)*1000+BS1711-1698/100000,-1000000000-1698)</f>
        <v/>
      </c>
    </row>
    <row r="1712">
      <c r="BN1712">
        <f>IF(1699&lt;$U$9,INT(1699/($U$7*$U$8))+1,1)</f>
        <v/>
      </c>
      <c r="BO1712">
        <f>IF(1699&lt;$U$9,MOD(INT(1699/$U$8),$U$7)+1,1)</f>
        <v/>
      </c>
      <c r="BP1712">
        <f>IF(1699&lt;$U$9,MOD(1699,$U$8)+1,1)</f>
        <v/>
      </c>
      <c r="BQ1712">
        <f>IF(1699&lt;$U$9,SUMPRODUCT(($D$10:$L$10&lt;&gt;"")*(($D$9:$L$9+INT(($S$12:$AA$12+INDEX($AJ$13:$AR$162,BN1712,0)+INDEX($AT$13:$BB$162,BO1712,0)+INDEX($BD$13:$BL$162,BP1712,0))/100))&gt;=$D$10:$L$10)),0)</f>
        <v/>
      </c>
      <c r="BR1712">
        <f>IF(1699&lt;$U$9,SUMPRODUCT(($D$10:$L$10&lt;&gt;"")*(($D$10:$L$10-($D$9:$L$9+INT(($S$12:$AA$12+INDEX($AJ$13:$AR$162,BN1712,0)+INDEX($AT$13:$BB$162,BO1712,0)+INDEX($BD$13:$BL$162,BP1712,0))/100)))&gt;0)*($D$10:$L$10-($D$9:$L$9+INT(($S$12:$AA$12+INDEX($AJ$13:$AR$162,BN1712,0)+INDEX($AT$13:$BB$162,BO1712,0)+INDEX($BD$13:$BL$162,BP1712,0))/100)))),0)</f>
        <v/>
      </c>
      <c r="BS1712">
        <f>IF(1699&lt;$U$9,SUMPRODUCT(($D$9:$L$9+INT(($S$12:$AA$12+INDEX($AJ$13:$AR$162,BN1712,0)+INDEX($AT$13:$BB$162,BO1712,0)+INDEX($BD$13:$BL$162,BP1712,0))/100))),0)</f>
        <v/>
      </c>
      <c r="BT1712">
        <f>IF(AND(1699&lt;$U$9,$W$5),BQ1712*1000000-MIN(BR1712,999)*1000+BS1712-1699/100000,-1000000000-1699)</f>
        <v/>
      </c>
    </row>
    <row r="1713">
      <c r="BN1713">
        <f>IF(1700&lt;$U$9,INT(1700/($U$7*$U$8))+1,1)</f>
        <v/>
      </c>
      <c r="BO1713">
        <f>IF(1700&lt;$U$9,MOD(INT(1700/$U$8),$U$7)+1,1)</f>
        <v/>
      </c>
      <c r="BP1713">
        <f>IF(1700&lt;$U$9,MOD(1700,$U$8)+1,1)</f>
        <v/>
      </c>
      <c r="BQ1713">
        <f>IF(1700&lt;$U$9,SUMPRODUCT(($D$10:$L$10&lt;&gt;"")*(($D$9:$L$9+INT(($S$12:$AA$12+INDEX($AJ$13:$AR$162,BN1713,0)+INDEX($AT$13:$BB$162,BO1713,0)+INDEX($BD$13:$BL$162,BP1713,0))/100))&gt;=$D$10:$L$10)),0)</f>
        <v/>
      </c>
      <c r="BR1713">
        <f>IF(1700&lt;$U$9,SUMPRODUCT(($D$10:$L$10&lt;&gt;"")*(($D$10:$L$10-($D$9:$L$9+INT(($S$12:$AA$12+INDEX($AJ$13:$AR$162,BN1713,0)+INDEX($AT$13:$BB$162,BO1713,0)+INDEX($BD$13:$BL$162,BP1713,0))/100)))&gt;0)*($D$10:$L$10-($D$9:$L$9+INT(($S$12:$AA$12+INDEX($AJ$13:$AR$162,BN1713,0)+INDEX($AT$13:$BB$162,BO1713,0)+INDEX($BD$13:$BL$162,BP1713,0))/100)))),0)</f>
        <v/>
      </c>
      <c r="BS1713">
        <f>IF(1700&lt;$U$9,SUMPRODUCT(($D$9:$L$9+INT(($S$12:$AA$12+INDEX($AJ$13:$AR$162,BN1713,0)+INDEX($AT$13:$BB$162,BO1713,0)+INDEX($BD$13:$BL$162,BP1713,0))/100))),0)</f>
        <v/>
      </c>
      <c r="BT1713">
        <f>IF(AND(1700&lt;$U$9,$W$5),BQ1713*1000000-MIN(BR1713,999)*1000+BS1713-1700/100000,-1000000000-1700)</f>
        <v/>
      </c>
    </row>
    <row r="1714">
      <c r="BN1714">
        <f>IF(1701&lt;$U$9,INT(1701/($U$7*$U$8))+1,1)</f>
        <v/>
      </c>
      <c r="BO1714">
        <f>IF(1701&lt;$U$9,MOD(INT(1701/$U$8),$U$7)+1,1)</f>
        <v/>
      </c>
      <c r="BP1714">
        <f>IF(1701&lt;$U$9,MOD(1701,$U$8)+1,1)</f>
        <v/>
      </c>
      <c r="BQ1714">
        <f>IF(1701&lt;$U$9,SUMPRODUCT(($D$10:$L$10&lt;&gt;"")*(($D$9:$L$9+INT(($S$12:$AA$12+INDEX($AJ$13:$AR$162,BN1714,0)+INDEX($AT$13:$BB$162,BO1714,0)+INDEX($BD$13:$BL$162,BP1714,0))/100))&gt;=$D$10:$L$10)),0)</f>
        <v/>
      </c>
      <c r="BR1714">
        <f>IF(1701&lt;$U$9,SUMPRODUCT(($D$10:$L$10&lt;&gt;"")*(($D$10:$L$10-($D$9:$L$9+INT(($S$12:$AA$12+INDEX($AJ$13:$AR$162,BN1714,0)+INDEX($AT$13:$BB$162,BO1714,0)+INDEX($BD$13:$BL$162,BP1714,0))/100)))&gt;0)*($D$10:$L$10-($D$9:$L$9+INT(($S$12:$AA$12+INDEX($AJ$13:$AR$162,BN1714,0)+INDEX($AT$13:$BB$162,BO1714,0)+INDEX($BD$13:$BL$162,BP1714,0))/100)))),0)</f>
        <v/>
      </c>
      <c r="BS1714">
        <f>IF(1701&lt;$U$9,SUMPRODUCT(($D$9:$L$9+INT(($S$12:$AA$12+INDEX($AJ$13:$AR$162,BN1714,0)+INDEX($AT$13:$BB$162,BO1714,0)+INDEX($BD$13:$BL$162,BP1714,0))/100))),0)</f>
        <v/>
      </c>
      <c r="BT1714">
        <f>IF(AND(1701&lt;$U$9,$W$5),BQ1714*1000000-MIN(BR1714,999)*1000+BS1714-1701/100000,-1000000000-1701)</f>
        <v/>
      </c>
    </row>
    <row r="1715">
      <c r="BN1715">
        <f>IF(1702&lt;$U$9,INT(1702/($U$7*$U$8))+1,1)</f>
        <v/>
      </c>
      <c r="BO1715">
        <f>IF(1702&lt;$U$9,MOD(INT(1702/$U$8),$U$7)+1,1)</f>
        <v/>
      </c>
      <c r="BP1715">
        <f>IF(1702&lt;$U$9,MOD(1702,$U$8)+1,1)</f>
        <v/>
      </c>
      <c r="BQ1715">
        <f>IF(1702&lt;$U$9,SUMPRODUCT(($D$10:$L$10&lt;&gt;"")*(($D$9:$L$9+INT(($S$12:$AA$12+INDEX($AJ$13:$AR$162,BN1715,0)+INDEX($AT$13:$BB$162,BO1715,0)+INDEX($BD$13:$BL$162,BP1715,0))/100))&gt;=$D$10:$L$10)),0)</f>
        <v/>
      </c>
      <c r="BR1715">
        <f>IF(1702&lt;$U$9,SUMPRODUCT(($D$10:$L$10&lt;&gt;"")*(($D$10:$L$10-($D$9:$L$9+INT(($S$12:$AA$12+INDEX($AJ$13:$AR$162,BN1715,0)+INDEX($AT$13:$BB$162,BO1715,0)+INDEX($BD$13:$BL$162,BP1715,0))/100)))&gt;0)*($D$10:$L$10-($D$9:$L$9+INT(($S$12:$AA$12+INDEX($AJ$13:$AR$162,BN1715,0)+INDEX($AT$13:$BB$162,BO1715,0)+INDEX($BD$13:$BL$162,BP1715,0))/100)))),0)</f>
        <v/>
      </c>
      <c r="BS1715">
        <f>IF(1702&lt;$U$9,SUMPRODUCT(($D$9:$L$9+INT(($S$12:$AA$12+INDEX($AJ$13:$AR$162,BN1715,0)+INDEX($AT$13:$BB$162,BO1715,0)+INDEX($BD$13:$BL$162,BP1715,0))/100))),0)</f>
        <v/>
      </c>
      <c r="BT1715">
        <f>IF(AND(1702&lt;$U$9,$W$5),BQ1715*1000000-MIN(BR1715,999)*1000+BS1715-1702/100000,-1000000000-1702)</f>
        <v/>
      </c>
    </row>
    <row r="1716">
      <c r="BN1716">
        <f>IF(1703&lt;$U$9,INT(1703/($U$7*$U$8))+1,1)</f>
        <v/>
      </c>
      <c r="BO1716">
        <f>IF(1703&lt;$U$9,MOD(INT(1703/$U$8),$U$7)+1,1)</f>
        <v/>
      </c>
      <c r="BP1716">
        <f>IF(1703&lt;$U$9,MOD(1703,$U$8)+1,1)</f>
        <v/>
      </c>
      <c r="BQ1716">
        <f>IF(1703&lt;$U$9,SUMPRODUCT(($D$10:$L$10&lt;&gt;"")*(($D$9:$L$9+INT(($S$12:$AA$12+INDEX($AJ$13:$AR$162,BN1716,0)+INDEX($AT$13:$BB$162,BO1716,0)+INDEX($BD$13:$BL$162,BP1716,0))/100))&gt;=$D$10:$L$10)),0)</f>
        <v/>
      </c>
      <c r="BR1716">
        <f>IF(1703&lt;$U$9,SUMPRODUCT(($D$10:$L$10&lt;&gt;"")*(($D$10:$L$10-($D$9:$L$9+INT(($S$12:$AA$12+INDEX($AJ$13:$AR$162,BN1716,0)+INDEX($AT$13:$BB$162,BO1716,0)+INDEX($BD$13:$BL$162,BP1716,0))/100)))&gt;0)*($D$10:$L$10-($D$9:$L$9+INT(($S$12:$AA$12+INDEX($AJ$13:$AR$162,BN1716,0)+INDEX($AT$13:$BB$162,BO1716,0)+INDEX($BD$13:$BL$162,BP1716,0))/100)))),0)</f>
        <v/>
      </c>
      <c r="BS1716">
        <f>IF(1703&lt;$U$9,SUMPRODUCT(($D$9:$L$9+INT(($S$12:$AA$12+INDEX($AJ$13:$AR$162,BN1716,0)+INDEX($AT$13:$BB$162,BO1716,0)+INDEX($BD$13:$BL$162,BP1716,0))/100))),0)</f>
        <v/>
      </c>
      <c r="BT1716">
        <f>IF(AND(1703&lt;$U$9,$W$5),BQ1716*1000000-MIN(BR1716,999)*1000+BS1716-1703/100000,-1000000000-1703)</f>
        <v/>
      </c>
    </row>
    <row r="1717">
      <c r="BN1717">
        <f>IF(1704&lt;$U$9,INT(1704/($U$7*$U$8))+1,1)</f>
        <v/>
      </c>
      <c r="BO1717">
        <f>IF(1704&lt;$U$9,MOD(INT(1704/$U$8),$U$7)+1,1)</f>
        <v/>
      </c>
      <c r="BP1717">
        <f>IF(1704&lt;$U$9,MOD(1704,$U$8)+1,1)</f>
        <v/>
      </c>
      <c r="BQ1717">
        <f>IF(1704&lt;$U$9,SUMPRODUCT(($D$10:$L$10&lt;&gt;"")*(($D$9:$L$9+INT(($S$12:$AA$12+INDEX($AJ$13:$AR$162,BN1717,0)+INDEX($AT$13:$BB$162,BO1717,0)+INDEX($BD$13:$BL$162,BP1717,0))/100))&gt;=$D$10:$L$10)),0)</f>
        <v/>
      </c>
      <c r="BR1717">
        <f>IF(1704&lt;$U$9,SUMPRODUCT(($D$10:$L$10&lt;&gt;"")*(($D$10:$L$10-($D$9:$L$9+INT(($S$12:$AA$12+INDEX($AJ$13:$AR$162,BN1717,0)+INDEX($AT$13:$BB$162,BO1717,0)+INDEX($BD$13:$BL$162,BP1717,0))/100)))&gt;0)*($D$10:$L$10-($D$9:$L$9+INT(($S$12:$AA$12+INDEX($AJ$13:$AR$162,BN1717,0)+INDEX($AT$13:$BB$162,BO1717,0)+INDEX($BD$13:$BL$162,BP1717,0))/100)))),0)</f>
        <v/>
      </c>
      <c r="BS1717">
        <f>IF(1704&lt;$U$9,SUMPRODUCT(($D$9:$L$9+INT(($S$12:$AA$12+INDEX($AJ$13:$AR$162,BN1717,0)+INDEX($AT$13:$BB$162,BO1717,0)+INDEX($BD$13:$BL$162,BP1717,0))/100))),0)</f>
        <v/>
      </c>
      <c r="BT1717">
        <f>IF(AND(1704&lt;$U$9,$W$5),BQ1717*1000000-MIN(BR1717,999)*1000+BS1717-1704/100000,-1000000000-1704)</f>
        <v/>
      </c>
    </row>
    <row r="1718">
      <c r="BN1718">
        <f>IF(1705&lt;$U$9,INT(1705/($U$7*$U$8))+1,1)</f>
        <v/>
      </c>
      <c r="BO1718">
        <f>IF(1705&lt;$U$9,MOD(INT(1705/$U$8),$U$7)+1,1)</f>
        <v/>
      </c>
      <c r="BP1718">
        <f>IF(1705&lt;$U$9,MOD(1705,$U$8)+1,1)</f>
        <v/>
      </c>
      <c r="BQ1718">
        <f>IF(1705&lt;$U$9,SUMPRODUCT(($D$10:$L$10&lt;&gt;"")*(($D$9:$L$9+INT(($S$12:$AA$12+INDEX($AJ$13:$AR$162,BN1718,0)+INDEX($AT$13:$BB$162,BO1718,0)+INDEX($BD$13:$BL$162,BP1718,0))/100))&gt;=$D$10:$L$10)),0)</f>
        <v/>
      </c>
      <c r="BR1718">
        <f>IF(1705&lt;$U$9,SUMPRODUCT(($D$10:$L$10&lt;&gt;"")*(($D$10:$L$10-($D$9:$L$9+INT(($S$12:$AA$12+INDEX($AJ$13:$AR$162,BN1718,0)+INDEX($AT$13:$BB$162,BO1718,0)+INDEX($BD$13:$BL$162,BP1718,0))/100)))&gt;0)*($D$10:$L$10-($D$9:$L$9+INT(($S$12:$AA$12+INDEX($AJ$13:$AR$162,BN1718,0)+INDEX($AT$13:$BB$162,BO1718,0)+INDEX($BD$13:$BL$162,BP1718,0))/100)))),0)</f>
        <v/>
      </c>
      <c r="BS1718">
        <f>IF(1705&lt;$U$9,SUMPRODUCT(($D$9:$L$9+INT(($S$12:$AA$12+INDEX($AJ$13:$AR$162,BN1718,0)+INDEX($AT$13:$BB$162,BO1718,0)+INDEX($BD$13:$BL$162,BP1718,0))/100))),0)</f>
        <v/>
      </c>
      <c r="BT1718">
        <f>IF(AND(1705&lt;$U$9,$W$5),BQ1718*1000000-MIN(BR1718,999)*1000+BS1718-1705/100000,-1000000000-1705)</f>
        <v/>
      </c>
    </row>
    <row r="1719">
      <c r="BN1719">
        <f>IF(1706&lt;$U$9,INT(1706/($U$7*$U$8))+1,1)</f>
        <v/>
      </c>
      <c r="BO1719">
        <f>IF(1706&lt;$U$9,MOD(INT(1706/$U$8),$U$7)+1,1)</f>
        <v/>
      </c>
      <c r="BP1719">
        <f>IF(1706&lt;$U$9,MOD(1706,$U$8)+1,1)</f>
        <v/>
      </c>
      <c r="BQ1719">
        <f>IF(1706&lt;$U$9,SUMPRODUCT(($D$10:$L$10&lt;&gt;"")*(($D$9:$L$9+INT(($S$12:$AA$12+INDEX($AJ$13:$AR$162,BN1719,0)+INDEX($AT$13:$BB$162,BO1719,0)+INDEX($BD$13:$BL$162,BP1719,0))/100))&gt;=$D$10:$L$10)),0)</f>
        <v/>
      </c>
      <c r="BR1719">
        <f>IF(1706&lt;$U$9,SUMPRODUCT(($D$10:$L$10&lt;&gt;"")*(($D$10:$L$10-($D$9:$L$9+INT(($S$12:$AA$12+INDEX($AJ$13:$AR$162,BN1719,0)+INDEX($AT$13:$BB$162,BO1719,0)+INDEX($BD$13:$BL$162,BP1719,0))/100)))&gt;0)*($D$10:$L$10-($D$9:$L$9+INT(($S$12:$AA$12+INDEX($AJ$13:$AR$162,BN1719,0)+INDEX($AT$13:$BB$162,BO1719,0)+INDEX($BD$13:$BL$162,BP1719,0))/100)))),0)</f>
        <v/>
      </c>
      <c r="BS1719">
        <f>IF(1706&lt;$U$9,SUMPRODUCT(($D$9:$L$9+INT(($S$12:$AA$12+INDEX($AJ$13:$AR$162,BN1719,0)+INDEX($AT$13:$BB$162,BO1719,0)+INDEX($BD$13:$BL$162,BP1719,0))/100))),0)</f>
        <v/>
      </c>
      <c r="BT1719">
        <f>IF(AND(1706&lt;$U$9,$W$5),BQ1719*1000000-MIN(BR1719,999)*1000+BS1719-1706/100000,-1000000000-1706)</f>
        <v/>
      </c>
    </row>
    <row r="1720">
      <c r="BN1720">
        <f>IF(1707&lt;$U$9,INT(1707/($U$7*$U$8))+1,1)</f>
        <v/>
      </c>
      <c r="BO1720">
        <f>IF(1707&lt;$U$9,MOD(INT(1707/$U$8),$U$7)+1,1)</f>
        <v/>
      </c>
      <c r="BP1720">
        <f>IF(1707&lt;$U$9,MOD(1707,$U$8)+1,1)</f>
        <v/>
      </c>
      <c r="BQ1720">
        <f>IF(1707&lt;$U$9,SUMPRODUCT(($D$10:$L$10&lt;&gt;"")*(($D$9:$L$9+INT(($S$12:$AA$12+INDEX($AJ$13:$AR$162,BN1720,0)+INDEX($AT$13:$BB$162,BO1720,0)+INDEX($BD$13:$BL$162,BP1720,0))/100))&gt;=$D$10:$L$10)),0)</f>
        <v/>
      </c>
      <c r="BR1720">
        <f>IF(1707&lt;$U$9,SUMPRODUCT(($D$10:$L$10&lt;&gt;"")*(($D$10:$L$10-($D$9:$L$9+INT(($S$12:$AA$12+INDEX($AJ$13:$AR$162,BN1720,0)+INDEX($AT$13:$BB$162,BO1720,0)+INDEX($BD$13:$BL$162,BP1720,0))/100)))&gt;0)*($D$10:$L$10-($D$9:$L$9+INT(($S$12:$AA$12+INDEX($AJ$13:$AR$162,BN1720,0)+INDEX($AT$13:$BB$162,BO1720,0)+INDEX($BD$13:$BL$162,BP1720,0))/100)))),0)</f>
        <v/>
      </c>
      <c r="BS1720">
        <f>IF(1707&lt;$U$9,SUMPRODUCT(($D$9:$L$9+INT(($S$12:$AA$12+INDEX($AJ$13:$AR$162,BN1720,0)+INDEX($AT$13:$BB$162,BO1720,0)+INDEX($BD$13:$BL$162,BP1720,0))/100))),0)</f>
        <v/>
      </c>
      <c r="BT1720">
        <f>IF(AND(1707&lt;$U$9,$W$5),BQ1720*1000000-MIN(BR1720,999)*1000+BS1720-1707/100000,-1000000000-1707)</f>
        <v/>
      </c>
    </row>
    <row r="1721">
      <c r="BN1721">
        <f>IF(1708&lt;$U$9,INT(1708/($U$7*$U$8))+1,1)</f>
        <v/>
      </c>
      <c r="BO1721">
        <f>IF(1708&lt;$U$9,MOD(INT(1708/$U$8),$U$7)+1,1)</f>
        <v/>
      </c>
      <c r="BP1721">
        <f>IF(1708&lt;$U$9,MOD(1708,$U$8)+1,1)</f>
        <v/>
      </c>
      <c r="BQ1721">
        <f>IF(1708&lt;$U$9,SUMPRODUCT(($D$10:$L$10&lt;&gt;"")*(($D$9:$L$9+INT(($S$12:$AA$12+INDEX($AJ$13:$AR$162,BN1721,0)+INDEX($AT$13:$BB$162,BO1721,0)+INDEX($BD$13:$BL$162,BP1721,0))/100))&gt;=$D$10:$L$10)),0)</f>
        <v/>
      </c>
      <c r="BR1721">
        <f>IF(1708&lt;$U$9,SUMPRODUCT(($D$10:$L$10&lt;&gt;"")*(($D$10:$L$10-($D$9:$L$9+INT(($S$12:$AA$12+INDEX($AJ$13:$AR$162,BN1721,0)+INDEX($AT$13:$BB$162,BO1721,0)+INDEX($BD$13:$BL$162,BP1721,0))/100)))&gt;0)*($D$10:$L$10-($D$9:$L$9+INT(($S$12:$AA$12+INDEX($AJ$13:$AR$162,BN1721,0)+INDEX($AT$13:$BB$162,BO1721,0)+INDEX($BD$13:$BL$162,BP1721,0))/100)))),0)</f>
        <v/>
      </c>
      <c r="BS1721">
        <f>IF(1708&lt;$U$9,SUMPRODUCT(($D$9:$L$9+INT(($S$12:$AA$12+INDEX($AJ$13:$AR$162,BN1721,0)+INDEX($AT$13:$BB$162,BO1721,0)+INDEX($BD$13:$BL$162,BP1721,0))/100))),0)</f>
        <v/>
      </c>
      <c r="BT1721">
        <f>IF(AND(1708&lt;$U$9,$W$5),BQ1721*1000000-MIN(BR1721,999)*1000+BS1721-1708/100000,-1000000000-1708)</f>
        <v/>
      </c>
    </row>
    <row r="1722">
      <c r="BN1722">
        <f>IF(1709&lt;$U$9,INT(1709/($U$7*$U$8))+1,1)</f>
        <v/>
      </c>
      <c r="BO1722">
        <f>IF(1709&lt;$U$9,MOD(INT(1709/$U$8),$U$7)+1,1)</f>
        <v/>
      </c>
      <c r="BP1722">
        <f>IF(1709&lt;$U$9,MOD(1709,$U$8)+1,1)</f>
        <v/>
      </c>
      <c r="BQ1722">
        <f>IF(1709&lt;$U$9,SUMPRODUCT(($D$10:$L$10&lt;&gt;"")*(($D$9:$L$9+INT(($S$12:$AA$12+INDEX($AJ$13:$AR$162,BN1722,0)+INDEX($AT$13:$BB$162,BO1722,0)+INDEX($BD$13:$BL$162,BP1722,0))/100))&gt;=$D$10:$L$10)),0)</f>
        <v/>
      </c>
      <c r="BR1722">
        <f>IF(1709&lt;$U$9,SUMPRODUCT(($D$10:$L$10&lt;&gt;"")*(($D$10:$L$10-($D$9:$L$9+INT(($S$12:$AA$12+INDEX($AJ$13:$AR$162,BN1722,0)+INDEX($AT$13:$BB$162,BO1722,0)+INDEX($BD$13:$BL$162,BP1722,0))/100)))&gt;0)*($D$10:$L$10-($D$9:$L$9+INT(($S$12:$AA$12+INDEX($AJ$13:$AR$162,BN1722,0)+INDEX($AT$13:$BB$162,BO1722,0)+INDEX($BD$13:$BL$162,BP1722,0))/100)))),0)</f>
        <v/>
      </c>
      <c r="BS1722">
        <f>IF(1709&lt;$U$9,SUMPRODUCT(($D$9:$L$9+INT(($S$12:$AA$12+INDEX($AJ$13:$AR$162,BN1722,0)+INDEX($AT$13:$BB$162,BO1722,0)+INDEX($BD$13:$BL$162,BP1722,0))/100))),0)</f>
        <v/>
      </c>
      <c r="BT1722">
        <f>IF(AND(1709&lt;$U$9,$W$5),BQ1722*1000000-MIN(BR1722,999)*1000+BS1722-1709/100000,-1000000000-1709)</f>
        <v/>
      </c>
    </row>
    <row r="1723">
      <c r="BN1723">
        <f>IF(1710&lt;$U$9,INT(1710/($U$7*$U$8))+1,1)</f>
        <v/>
      </c>
      <c r="BO1723">
        <f>IF(1710&lt;$U$9,MOD(INT(1710/$U$8),$U$7)+1,1)</f>
        <v/>
      </c>
      <c r="BP1723">
        <f>IF(1710&lt;$U$9,MOD(1710,$U$8)+1,1)</f>
        <v/>
      </c>
      <c r="BQ1723">
        <f>IF(1710&lt;$U$9,SUMPRODUCT(($D$10:$L$10&lt;&gt;"")*(($D$9:$L$9+INT(($S$12:$AA$12+INDEX($AJ$13:$AR$162,BN1723,0)+INDEX($AT$13:$BB$162,BO1723,0)+INDEX($BD$13:$BL$162,BP1723,0))/100))&gt;=$D$10:$L$10)),0)</f>
        <v/>
      </c>
      <c r="BR1723">
        <f>IF(1710&lt;$U$9,SUMPRODUCT(($D$10:$L$10&lt;&gt;"")*(($D$10:$L$10-($D$9:$L$9+INT(($S$12:$AA$12+INDEX($AJ$13:$AR$162,BN1723,0)+INDEX($AT$13:$BB$162,BO1723,0)+INDEX($BD$13:$BL$162,BP1723,0))/100)))&gt;0)*($D$10:$L$10-($D$9:$L$9+INT(($S$12:$AA$12+INDEX($AJ$13:$AR$162,BN1723,0)+INDEX($AT$13:$BB$162,BO1723,0)+INDEX($BD$13:$BL$162,BP1723,0))/100)))),0)</f>
        <v/>
      </c>
      <c r="BS1723">
        <f>IF(1710&lt;$U$9,SUMPRODUCT(($D$9:$L$9+INT(($S$12:$AA$12+INDEX($AJ$13:$AR$162,BN1723,0)+INDEX($AT$13:$BB$162,BO1723,0)+INDEX($BD$13:$BL$162,BP1723,0))/100))),0)</f>
        <v/>
      </c>
      <c r="BT1723">
        <f>IF(AND(1710&lt;$U$9,$W$5),BQ1723*1000000-MIN(BR1723,999)*1000+BS1723-1710/100000,-1000000000-1710)</f>
        <v/>
      </c>
    </row>
    <row r="1724">
      <c r="BN1724">
        <f>IF(1711&lt;$U$9,INT(1711/($U$7*$U$8))+1,1)</f>
        <v/>
      </c>
      <c r="BO1724">
        <f>IF(1711&lt;$U$9,MOD(INT(1711/$U$8),$U$7)+1,1)</f>
        <v/>
      </c>
      <c r="BP1724">
        <f>IF(1711&lt;$U$9,MOD(1711,$U$8)+1,1)</f>
        <v/>
      </c>
      <c r="BQ1724">
        <f>IF(1711&lt;$U$9,SUMPRODUCT(($D$10:$L$10&lt;&gt;"")*(($D$9:$L$9+INT(($S$12:$AA$12+INDEX($AJ$13:$AR$162,BN1724,0)+INDEX($AT$13:$BB$162,BO1724,0)+INDEX($BD$13:$BL$162,BP1724,0))/100))&gt;=$D$10:$L$10)),0)</f>
        <v/>
      </c>
      <c r="BR1724">
        <f>IF(1711&lt;$U$9,SUMPRODUCT(($D$10:$L$10&lt;&gt;"")*(($D$10:$L$10-($D$9:$L$9+INT(($S$12:$AA$12+INDEX($AJ$13:$AR$162,BN1724,0)+INDEX($AT$13:$BB$162,BO1724,0)+INDEX($BD$13:$BL$162,BP1724,0))/100)))&gt;0)*($D$10:$L$10-($D$9:$L$9+INT(($S$12:$AA$12+INDEX($AJ$13:$AR$162,BN1724,0)+INDEX($AT$13:$BB$162,BO1724,0)+INDEX($BD$13:$BL$162,BP1724,0))/100)))),0)</f>
        <v/>
      </c>
      <c r="BS1724">
        <f>IF(1711&lt;$U$9,SUMPRODUCT(($D$9:$L$9+INT(($S$12:$AA$12+INDEX($AJ$13:$AR$162,BN1724,0)+INDEX($AT$13:$BB$162,BO1724,0)+INDEX($BD$13:$BL$162,BP1724,0))/100))),0)</f>
        <v/>
      </c>
      <c r="BT1724">
        <f>IF(AND(1711&lt;$U$9,$W$5),BQ1724*1000000-MIN(BR1724,999)*1000+BS1724-1711/100000,-1000000000-1711)</f>
        <v/>
      </c>
    </row>
    <row r="1725">
      <c r="BN1725">
        <f>IF(1712&lt;$U$9,INT(1712/($U$7*$U$8))+1,1)</f>
        <v/>
      </c>
      <c r="BO1725">
        <f>IF(1712&lt;$U$9,MOD(INT(1712/$U$8),$U$7)+1,1)</f>
        <v/>
      </c>
      <c r="BP1725">
        <f>IF(1712&lt;$U$9,MOD(1712,$U$8)+1,1)</f>
        <v/>
      </c>
      <c r="BQ1725">
        <f>IF(1712&lt;$U$9,SUMPRODUCT(($D$10:$L$10&lt;&gt;"")*(($D$9:$L$9+INT(($S$12:$AA$12+INDEX($AJ$13:$AR$162,BN1725,0)+INDEX($AT$13:$BB$162,BO1725,0)+INDEX($BD$13:$BL$162,BP1725,0))/100))&gt;=$D$10:$L$10)),0)</f>
        <v/>
      </c>
      <c r="BR1725">
        <f>IF(1712&lt;$U$9,SUMPRODUCT(($D$10:$L$10&lt;&gt;"")*(($D$10:$L$10-($D$9:$L$9+INT(($S$12:$AA$12+INDEX($AJ$13:$AR$162,BN1725,0)+INDEX($AT$13:$BB$162,BO1725,0)+INDEX($BD$13:$BL$162,BP1725,0))/100)))&gt;0)*($D$10:$L$10-($D$9:$L$9+INT(($S$12:$AA$12+INDEX($AJ$13:$AR$162,BN1725,0)+INDEX($AT$13:$BB$162,BO1725,0)+INDEX($BD$13:$BL$162,BP1725,0))/100)))),0)</f>
        <v/>
      </c>
      <c r="BS1725">
        <f>IF(1712&lt;$U$9,SUMPRODUCT(($D$9:$L$9+INT(($S$12:$AA$12+INDEX($AJ$13:$AR$162,BN1725,0)+INDEX($AT$13:$BB$162,BO1725,0)+INDEX($BD$13:$BL$162,BP1725,0))/100))),0)</f>
        <v/>
      </c>
      <c r="BT1725">
        <f>IF(AND(1712&lt;$U$9,$W$5),BQ1725*1000000-MIN(BR1725,999)*1000+BS1725-1712/100000,-1000000000-1712)</f>
        <v/>
      </c>
    </row>
    <row r="1726">
      <c r="BN1726">
        <f>IF(1713&lt;$U$9,INT(1713/($U$7*$U$8))+1,1)</f>
        <v/>
      </c>
      <c r="BO1726">
        <f>IF(1713&lt;$U$9,MOD(INT(1713/$U$8),$U$7)+1,1)</f>
        <v/>
      </c>
      <c r="BP1726">
        <f>IF(1713&lt;$U$9,MOD(1713,$U$8)+1,1)</f>
        <v/>
      </c>
      <c r="BQ1726">
        <f>IF(1713&lt;$U$9,SUMPRODUCT(($D$10:$L$10&lt;&gt;"")*(($D$9:$L$9+INT(($S$12:$AA$12+INDEX($AJ$13:$AR$162,BN1726,0)+INDEX($AT$13:$BB$162,BO1726,0)+INDEX($BD$13:$BL$162,BP1726,0))/100))&gt;=$D$10:$L$10)),0)</f>
        <v/>
      </c>
      <c r="BR1726">
        <f>IF(1713&lt;$U$9,SUMPRODUCT(($D$10:$L$10&lt;&gt;"")*(($D$10:$L$10-($D$9:$L$9+INT(($S$12:$AA$12+INDEX($AJ$13:$AR$162,BN1726,0)+INDEX($AT$13:$BB$162,BO1726,0)+INDEX($BD$13:$BL$162,BP1726,0))/100)))&gt;0)*($D$10:$L$10-($D$9:$L$9+INT(($S$12:$AA$12+INDEX($AJ$13:$AR$162,BN1726,0)+INDEX($AT$13:$BB$162,BO1726,0)+INDEX($BD$13:$BL$162,BP1726,0))/100)))),0)</f>
        <v/>
      </c>
      <c r="BS1726">
        <f>IF(1713&lt;$U$9,SUMPRODUCT(($D$9:$L$9+INT(($S$12:$AA$12+INDEX($AJ$13:$AR$162,BN1726,0)+INDEX($AT$13:$BB$162,BO1726,0)+INDEX($BD$13:$BL$162,BP1726,0))/100))),0)</f>
        <v/>
      </c>
      <c r="BT1726">
        <f>IF(AND(1713&lt;$U$9,$W$5),BQ1726*1000000-MIN(BR1726,999)*1000+BS1726-1713/100000,-1000000000-1713)</f>
        <v/>
      </c>
    </row>
    <row r="1727">
      <c r="BN1727">
        <f>IF(1714&lt;$U$9,INT(1714/($U$7*$U$8))+1,1)</f>
        <v/>
      </c>
      <c r="BO1727">
        <f>IF(1714&lt;$U$9,MOD(INT(1714/$U$8),$U$7)+1,1)</f>
        <v/>
      </c>
      <c r="BP1727">
        <f>IF(1714&lt;$U$9,MOD(1714,$U$8)+1,1)</f>
        <v/>
      </c>
      <c r="BQ1727">
        <f>IF(1714&lt;$U$9,SUMPRODUCT(($D$10:$L$10&lt;&gt;"")*(($D$9:$L$9+INT(($S$12:$AA$12+INDEX($AJ$13:$AR$162,BN1727,0)+INDEX($AT$13:$BB$162,BO1727,0)+INDEX($BD$13:$BL$162,BP1727,0))/100))&gt;=$D$10:$L$10)),0)</f>
        <v/>
      </c>
      <c r="BR1727">
        <f>IF(1714&lt;$U$9,SUMPRODUCT(($D$10:$L$10&lt;&gt;"")*(($D$10:$L$10-($D$9:$L$9+INT(($S$12:$AA$12+INDEX($AJ$13:$AR$162,BN1727,0)+INDEX($AT$13:$BB$162,BO1727,0)+INDEX($BD$13:$BL$162,BP1727,0))/100)))&gt;0)*($D$10:$L$10-($D$9:$L$9+INT(($S$12:$AA$12+INDEX($AJ$13:$AR$162,BN1727,0)+INDEX($AT$13:$BB$162,BO1727,0)+INDEX($BD$13:$BL$162,BP1727,0))/100)))),0)</f>
        <v/>
      </c>
      <c r="BS1727">
        <f>IF(1714&lt;$U$9,SUMPRODUCT(($D$9:$L$9+INT(($S$12:$AA$12+INDEX($AJ$13:$AR$162,BN1727,0)+INDEX($AT$13:$BB$162,BO1727,0)+INDEX($BD$13:$BL$162,BP1727,0))/100))),0)</f>
        <v/>
      </c>
      <c r="BT1727">
        <f>IF(AND(1714&lt;$U$9,$W$5),BQ1727*1000000-MIN(BR1727,999)*1000+BS1727-1714/100000,-1000000000-1714)</f>
        <v/>
      </c>
    </row>
    <row r="1728">
      <c r="BN1728">
        <f>IF(1715&lt;$U$9,INT(1715/($U$7*$U$8))+1,1)</f>
        <v/>
      </c>
      <c r="BO1728">
        <f>IF(1715&lt;$U$9,MOD(INT(1715/$U$8),$U$7)+1,1)</f>
        <v/>
      </c>
      <c r="BP1728">
        <f>IF(1715&lt;$U$9,MOD(1715,$U$8)+1,1)</f>
        <v/>
      </c>
      <c r="BQ1728">
        <f>IF(1715&lt;$U$9,SUMPRODUCT(($D$10:$L$10&lt;&gt;"")*(($D$9:$L$9+INT(($S$12:$AA$12+INDEX($AJ$13:$AR$162,BN1728,0)+INDEX($AT$13:$BB$162,BO1728,0)+INDEX($BD$13:$BL$162,BP1728,0))/100))&gt;=$D$10:$L$10)),0)</f>
        <v/>
      </c>
      <c r="BR1728">
        <f>IF(1715&lt;$U$9,SUMPRODUCT(($D$10:$L$10&lt;&gt;"")*(($D$10:$L$10-($D$9:$L$9+INT(($S$12:$AA$12+INDEX($AJ$13:$AR$162,BN1728,0)+INDEX($AT$13:$BB$162,BO1728,0)+INDEX($BD$13:$BL$162,BP1728,0))/100)))&gt;0)*($D$10:$L$10-($D$9:$L$9+INT(($S$12:$AA$12+INDEX($AJ$13:$AR$162,BN1728,0)+INDEX($AT$13:$BB$162,BO1728,0)+INDEX($BD$13:$BL$162,BP1728,0))/100)))),0)</f>
        <v/>
      </c>
      <c r="BS1728">
        <f>IF(1715&lt;$U$9,SUMPRODUCT(($D$9:$L$9+INT(($S$12:$AA$12+INDEX($AJ$13:$AR$162,BN1728,0)+INDEX($AT$13:$BB$162,BO1728,0)+INDEX($BD$13:$BL$162,BP1728,0))/100))),0)</f>
        <v/>
      </c>
      <c r="BT1728">
        <f>IF(AND(1715&lt;$U$9,$W$5),BQ1728*1000000-MIN(BR1728,999)*1000+BS1728-1715/100000,-1000000000-1715)</f>
        <v/>
      </c>
    </row>
    <row r="1729">
      <c r="BN1729">
        <f>IF(1716&lt;$U$9,INT(1716/($U$7*$U$8))+1,1)</f>
        <v/>
      </c>
      <c r="BO1729">
        <f>IF(1716&lt;$U$9,MOD(INT(1716/$U$8),$U$7)+1,1)</f>
        <v/>
      </c>
      <c r="BP1729">
        <f>IF(1716&lt;$U$9,MOD(1716,$U$8)+1,1)</f>
        <v/>
      </c>
      <c r="BQ1729">
        <f>IF(1716&lt;$U$9,SUMPRODUCT(($D$10:$L$10&lt;&gt;"")*(($D$9:$L$9+INT(($S$12:$AA$12+INDEX($AJ$13:$AR$162,BN1729,0)+INDEX($AT$13:$BB$162,BO1729,0)+INDEX($BD$13:$BL$162,BP1729,0))/100))&gt;=$D$10:$L$10)),0)</f>
        <v/>
      </c>
      <c r="BR1729">
        <f>IF(1716&lt;$U$9,SUMPRODUCT(($D$10:$L$10&lt;&gt;"")*(($D$10:$L$10-($D$9:$L$9+INT(($S$12:$AA$12+INDEX($AJ$13:$AR$162,BN1729,0)+INDEX($AT$13:$BB$162,BO1729,0)+INDEX($BD$13:$BL$162,BP1729,0))/100)))&gt;0)*($D$10:$L$10-($D$9:$L$9+INT(($S$12:$AA$12+INDEX($AJ$13:$AR$162,BN1729,0)+INDEX($AT$13:$BB$162,BO1729,0)+INDEX($BD$13:$BL$162,BP1729,0))/100)))),0)</f>
        <v/>
      </c>
      <c r="BS1729">
        <f>IF(1716&lt;$U$9,SUMPRODUCT(($D$9:$L$9+INT(($S$12:$AA$12+INDEX($AJ$13:$AR$162,BN1729,0)+INDEX($AT$13:$BB$162,BO1729,0)+INDEX($BD$13:$BL$162,BP1729,0))/100))),0)</f>
        <v/>
      </c>
      <c r="BT1729">
        <f>IF(AND(1716&lt;$U$9,$W$5),BQ1729*1000000-MIN(BR1729,999)*1000+BS1729-1716/100000,-1000000000-1716)</f>
        <v/>
      </c>
    </row>
    <row r="1730">
      <c r="BN1730">
        <f>IF(1717&lt;$U$9,INT(1717/($U$7*$U$8))+1,1)</f>
        <v/>
      </c>
      <c r="BO1730">
        <f>IF(1717&lt;$U$9,MOD(INT(1717/$U$8),$U$7)+1,1)</f>
        <v/>
      </c>
      <c r="BP1730">
        <f>IF(1717&lt;$U$9,MOD(1717,$U$8)+1,1)</f>
        <v/>
      </c>
      <c r="BQ1730">
        <f>IF(1717&lt;$U$9,SUMPRODUCT(($D$10:$L$10&lt;&gt;"")*(($D$9:$L$9+INT(($S$12:$AA$12+INDEX($AJ$13:$AR$162,BN1730,0)+INDEX($AT$13:$BB$162,BO1730,0)+INDEX($BD$13:$BL$162,BP1730,0))/100))&gt;=$D$10:$L$10)),0)</f>
        <v/>
      </c>
      <c r="BR1730">
        <f>IF(1717&lt;$U$9,SUMPRODUCT(($D$10:$L$10&lt;&gt;"")*(($D$10:$L$10-($D$9:$L$9+INT(($S$12:$AA$12+INDEX($AJ$13:$AR$162,BN1730,0)+INDEX($AT$13:$BB$162,BO1730,0)+INDEX($BD$13:$BL$162,BP1730,0))/100)))&gt;0)*($D$10:$L$10-($D$9:$L$9+INT(($S$12:$AA$12+INDEX($AJ$13:$AR$162,BN1730,0)+INDEX($AT$13:$BB$162,BO1730,0)+INDEX($BD$13:$BL$162,BP1730,0))/100)))),0)</f>
        <v/>
      </c>
      <c r="BS1730">
        <f>IF(1717&lt;$U$9,SUMPRODUCT(($D$9:$L$9+INT(($S$12:$AA$12+INDEX($AJ$13:$AR$162,BN1730,0)+INDEX($AT$13:$BB$162,BO1730,0)+INDEX($BD$13:$BL$162,BP1730,0))/100))),0)</f>
        <v/>
      </c>
      <c r="BT1730">
        <f>IF(AND(1717&lt;$U$9,$W$5),BQ1730*1000000-MIN(BR1730,999)*1000+BS1730-1717/100000,-1000000000-1717)</f>
        <v/>
      </c>
    </row>
    <row r="1731">
      <c r="BN1731">
        <f>IF(1718&lt;$U$9,INT(1718/($U$7*$U$8))+1,1)</f>
        <v/>
      </c>
      <c r="BO1731">
        <f>IF(1718&lt;$U$9,MOD(INT(1718/$U$8),$U$7)+1,1)</f>
        <v/>
      </c>
      <c r="BP1731">
        <f>IF(1718&lt;$U$9,MOD(1718,$U$8)+1,1)</f>
        <v/>
      </c>
      <c r="BQ1731">
        <f>IF(1718&lt;$U$9,SUMPRODUCT(($D$10:$L$10&lt;&gt;"")*(($D$9:$L$9+INT(($S$12:$AA$12+INDEX($AJ$13:$AR$162,BN1731,0)+INDEX($AT$13:$BB$162,BO1731,0)+INDEX($BD$13:$BL$162,BP1731,0))/100))&gt;=$D$10:$L$10)),0)</f>
        <v/>
      </c>
      <c r="BR1731">
        <f>IF(1718&lt;$U$9,SUMPRODUCT(($D$10:$L$10&lt;&gt;"")*(($D$10:$L$10-($D$9:$L$9+INT(($S$12:$AA$12+INDEX($AJ$13:$AR$162,BN1731,0)+INDEX($AT$13:$BB$162,BO1731,0)+INDEX($BD$13:$BL$162,BP1731,0))/100)))&gt;0)*($D$10:$L$10-($D$9:$L$9+INT(($S$12:$AA$12+INDEX($AJ$13:$AR$162,BN1731,0)+INDEX($AT$13:$BB$162,BO1731,0)+INDEX($BD$13:$BL$162,BP1731,0))/100)))),0)</f>
        <v/>
      </c>
      <c r="BS1731">
        <f>IF(1718&lt;$U$9,SUMPRODUCT(($D$9:$L$9+INT(($S$12:$AA$12+INDEX($AJ$13:$AR$162,BN1731,0)+INDEX($AT$13:$BB$162,BO1731,0)+INDEX($BD$13:$BL$162,BP1731,0))/100))),0)</f>
        <v/>
      </c>
      <c r="BT1731">
        <f>IF(AND(1718&lt;$U$9,$W$5),BQ1731*1000000-MIN(BR1731,999)*1000+BS1731-1718/100000,-1000000000-1718)</f>
        <v/>
      </c>
    </row>
    <row r="1732">
      <c r="BN1732">
        <f>IF(1719&lt;$U$9,INT(1719/($U$7*$U$8))+1,1)</f>
        <v/>
      </c>
      <c r="BO1732">
        <f>IF(1719&lt;$U$9,MOD(INT(1719/$U$8),$U$7)+1,1)</f>
        <v/>
      </c>
      <c r="BP1732">
        <f>IF(1719&lt;$U$9,MOD(1719,$U$8)+1,1)</f>
        <v/>
      </c>
      <c r="BQ1732">
        <f>IF(1719&lt;$U$9,SUMPRODUCT(($D$10:$L$10&lt;&gt;"")*(($D$9:$L$9+INT(($S$12:$AA$12+INDEX($AJ$13:$AR$162,BN1732,0)+INDEX($AT$13:$BB$162,BO1732,0)+INDEX($BD$13:$BL$162,BP1732,0))/100))&gt;=$D$10:$L$10)),0)</f>
        <v/>
      </c>
      <c r="BR1732">
        <f>IF(1719&lt;$U$9,SUMPRODUCT(($D$10:$L$10&lt;&gt;"")*(($D$10:$L$10-($D$9:$L$9+INT(($S$12:$AA$12+INDEX($AJ$13:$AR$162,BN1732,0)+INDEX($AT$13:$BB$162,BO1732,0)+INDEX($BD$13:$BL$162,BP1732,0))/100)))&gt;0)*($D$10:$L$10-($D$9:$L$9+INT(($S$12:$AA$12+INDEX($AJ$13:$AR$162,BN1732,0)+INDEX($AT$13:$BB$162,BO1732,0)+INDEX($BD$13:$BL$162,BP1732,0))/100)))),0)</f>
        <v/>
      </c>
      <c r="BS1732">
        <f>IF(1719&lt;$U$9,SUMPRODUCT(($D$9:$L$9+INT(($S$12:$AA$12+INDEX($AJ$13:$AR$162,BN1732,0)+INDEX($AT$13:$BB$162,BO1732,0)+INDEX($BD$13:$BL$162,BP1732,0))/100))),0)</f>
        <v/>
      </c>
      <c r="BT1732">
        <f>IF(AND(1719&lt;$U$9,$W$5),BQ1732*1000000-MIN(BR1732,999)*1000+BS1732-1719/100000,-1000000000-1719)</f>
        <v/>
      </c>
    </row>
    <row r="1733">
      <c r="BN1733">
        <f>IF(1720&lt;$U$9,INT(1720/($U$7*$U$8))+1,1)</f>
        <v/>
      </c>
      <c r="BO1733">
        <f>IF(1720&lt;$U$9,MOD(INT(1720/$U$8),$U$7)+1,1)</f>
        <v/>
      </c>
      <c r="BP1733">
        <f>IF(1720&lt;$U$9,MOD(1720,$U$8)+1,1)</f>
        <v/>
      </c>
      <c r="BQ1733">
        <f>IF(1720&lt;$U$9,SUMPRODUCT(($D$10:$L$10&lt;&gt;"")*(($D$9:$L$9+INT(($S$12:$AA$12+INDEX($AJ$13:$AR$162,BN1733,0)+INDEX($AT$13:$BB$162,BO1733,0)+INDEX($BD$13:$BL$162,BP1733,0))/100))&gt;=$D$10:$L$10)),0)</f>
        <v/>
      </c>
      <c r="BR1733">
        <f>IF(1720&lt;$U$9,SUMPRODUCT(($D$10:$L$10&lt;&gt;"")*(($D$10:$L$10-($D$9:$L$9+INT(($S$12:$AA$12+INDEX($AJ$13:$AR$162,BN1733,0)+INDEX($AT$13:$BB$162,BO1733,0)+INDEX($BD$13:$BL$162,BP1733,0))/100)))&gt;0)*($D$10:$L$10-($D$9:$L$9+INT(($S$12:$AA$12+INDEX($AJ$13:$AR$162,BN1733,0)+INDEX($AT$13:$BB$162,BO1733,0)+INDEX($BD$13:$BL$162,BP1733,0))/100)))),0)</f>
        <v/>
      </c>
      <c r="BS1733">
        <f>IF(1720&lt;$U$9,SUMPRODUCT(($D$9:$L$9+INT(($S$12:$AA$12+INDEX($AJ$13:$AR$162,BN1733,0)+INDEX($AT$13:$BB$162,BO1733,0)+INDEX($BD$13:$BL$162,BP1733,0))/100))),0)</f>
        <v/>
      </c>
      <c r="BT1733">
        <f>IF(AND(1720&lt;$U$9,$W$5),BQ1733*1000000-MIN(BR1733,999)*1000+BS1733-1720/100000,-1000000000-1720)</f>
        <v/>
      </c>
    </row>
    <row r="1734">
      <c r="BN1734">
        <f>IF(1721&lt;$U$9,INT(1721/($U$7*$U$8))+1,1)</f>
        <v/>
      </c>
      <c r="BO1734">
        <f>IF(1721&lt;$U$9,MOD(INT(1721/$U$8),$U$7)+1,1)</f>
        <v/>
      </c>
      <c r="BP1734">
        <f>IF(1721&lt;$U$9,MOD(1721,$U$8)+1,1)</f>
        <v/>
      </c>
      <c r="BQ1734">
        <f>IF(1721&lt;$U$9,SUMPRODUCT(($D$10:$L$10&lt;&gt;"")*(($D$9:$L$9+INT(($S$12:$AA$12+INDEX($AJ$13:$AR$162,BN1734,0)+INDEX($AT$13:$BB$162,BO1734,0)+INDEX($BD$13:$BL$162,BP1734,0))/100))&gt;=$D$10:$L$10)),0)</f>
        <v/>
      </c>
      <c r="BR1734">
        <f>IF(1721&lt;$U$9,SUMPRODUCT(($D$10:$L$10&lt;&gt;"")*(($D$10:$L$10-($D$9:$L$9+INT(($S$12:$AA$12+INDEX($AJ$13:$AR$162,BN1734,0)+INDEX($AT$13:$BB$162,BO1734,0)+INDEX($BD$13:$BL$162,BP1734,0))/100)))&gt;0)*($D$10:$L$10-($D$9:$L$9+INT(($S$12:$AA$12+INDEX($AJ$13:$AR$162,BN1734,0)+INDEX($AT$13:$BB$162,BO1734,0)+INDEX($BD$13:$BL$162,BP1734,0))/100)))),0)</f>
        <v/>
      </c>
      <c r="BS1734">
        <f>IF(1721&lt;$U$9,SUMPRODUCT(($D$9:$L$9+INT(($S$12:$AA$12+INDEX($AJ$13:$AR$162,BN1734,0)+INDEX($AT$13:$BB$162,BO1734,0)+INDEX($BD$13:$BL$162,BP1734,0))/100))),0)</f>
        <v/>
      </c>
      <c r="BT1734">
        <f>IF(AND(1721&lt;$U$9,$W$5),BQ1734*1000000-MIN(BR1734,999)*1000+BS1734-1721/100000,-1000000000-1721)</f>
        <v/>
      </c>
    </row>
    <row r="1735">
      <c r="BN1735">
        <f>IF(1722&lt;$U$9,INT(1722/($U$7*$U$8))+1,1)</f>
        <v/>
      </c>
      <c r="BO1735">
        <f>IF(1722&lt;$U$9,MOD(INT(1722/$U$8),$U$7)+1,1)</f>
        <v/>
      </c>
      <c r="BP1735">
        <f>IF(1722&lt;$U$9,MOD(1722,$U$8)+1,1)</f>
        <v/>
      </c>
      <c r="BQ1735">
        <f>IF(1722&lt;$U$9,SUMPRODUCT(($D$10:$L$10&lt;&gt;"")*(($D$9:$L$9+INT(($S$12:$AA$12+INDEX($AJ$13:$AR$162,BN1735,0)+INDEX($AT$13:$BB$162,BO1735,0)+INDEX($BD$13:$BL$162,BP1735,0))/100))&gt;=$D$10:$L$10)),0)</f>
        <v/>
      </c>
      <c r="BR1735">
        <f>IF(1722&lt;$U$9,SUMPRODUCT(($D$10:$L$10&lt;&gt;"")*(($D$10:$L$10-($D$9:$L$9+INT(($S$12:$AA$12+INDEX($AJ$13:$AR$162,BN1735,0)+INDEX($AT$13:$BB$162,BO1735,0)+INDEX($BD$13:$BL$162,BP1735,0))/100)))&gt;0)*($D$10:$L$10-($D$9:$L$9+INT(($S$12:$AA$12+INDEX($AJ$13:$AR$162,BN1735,0)+INDEX($AT$13:$BB$162,BO1735,0)+INDEX($BD$13:$BL$162,BP1735,0))/100)))),0)</f>
        <v/>
      </c>
      <c r="BS1735">
        <f>IF(1722&lt;$U$9,SUMPRODUCT(($D$9:$L$9+INT(($S$12:$AA$12+INDEX($AJ$13:$AR$162,BN1735,0)+INDEX($AT$13:$BB$162,BO1735,0)+INDEX($BD$13:$BL$162,BP1735,0))/100))),0)</f>
        <v/>
      </c>
      <c r="BT1735">
        <f>IF(AND(1722&lt;$U$9,$W$5),BQ1735*1000000-MIN(BR1735,999)*1000+BS1735-1722/100000,-1000000000-1722)</f>
        <v/>
      </c>
    </row>
    <row r="1736">
      <c r="BN1736">
        <f>IF(1723&lt;$U$9,INT(1723/($U$7*$U$8))+1,1)</f>
        <v/>
      </c>
      <c r="BO1736">
        <f>IF(1723&lt;$U$9,MOD(INT(1723/$U$8),$U$7)+1,1)</f>
        <v/>
      </c>
      <c r="BP1736">
        <f>IF(1723&lt;$U$9,MOD(1723,$U$8)+1,1)</f>
        <v/>
      </c>
      <c r="BQ1736">
        <f>IF(1723&lt;$U$9,SUMPRODUCT(($D$10:$L$10&lt;&gt;"")*(($D$9:$L$9+INT(($S$12:$AA$12+INDEX($AJ$13:$AR$162,BN1736,0)+INDEX($AT$13:$BB$162,BO1736,0)+INDEX($BD$13:$BL$162,BP1736,0))/100))&gt;=$D$10:$L$10)),0)</f>
        <v/>
      </c>
      <c r="BR1736">
        <f>IF(1723&lt;$U$9,SUMPRODUCT(($D$10:$L$10&lt;&gt;"")*(($D$10:$L$10-($D$9:$L$9+INT(($S$12:$AA$12+INDEX($AJ$13:$AR$162,BN1736,0)+INDEX($AT$13:$BB$162,BO1736,0)+INDEX($BD$13:$BL$162,BP1736,0))/100)))&gt;0)*($D$10:$L$10-($D$9:$L$9+INT(($S$12:$AA$12+INDEX($AJ$13:$AR$162,BN1736,0)+INDEX($AT$13:$BB$162,BO1736,0)+INDEX($BD$13:$BL$162,BP1736,0))/100)))),0)</f>
        <v/>
      </c>
      <c r="BS1736">
        <f>IF(1723&lt;$U$9,SUMPRODUCT(($D$9:$L$9+INT(($S$12:$AA$12+INDEX($AJ$13:$AR$162,BN1736,0)+INDEX($AT$13:$BB$162,BO1736,0)+INDEX($BD$13:$BL$162,BP1736,0))/100))),0)</f>
        <v/>
      </c>
      <c r="BT1736">
        <f>IF(AND(1723&lt;$U$9,$W$5),BQ1736*1000000-MIN(BR1736,999)*1000+BS1736-1723/100000,-1000000000-1723)</f>
        <v/>
      </c>
    </row>
    <row r="1737">
      <c r="BN1737">
        <f>IF(1724&lt;$U$9,INT(1724/($U$7*$U$8))+1,1)</f>
        <v/>
      </c>
      <c r="BO1737">
        <f>IF(1724&lt;$U$9,MOD(INT(1724/$U$8),$U$7)+1,1)</f>
        <v/>
      </c>
      <c r="BP1737">
        <f>IF(1724&lt;$U$9,MOD(1724,$U$8)+1,1)</f>
        <v/>
      </c>
      <c r="BQ1737">
        <f>IF(1724&lt;$U$9,SUMPRODUCT(($D$10:$L$10&lt;&gt;"")*(($D$9:$L$9+INT(($S$12:$AA$12+INDEX($AJ$13:$AR$162,BN1737,0)+INDEX($AT$13:$BB$162,BO1737,0)+INDEX($BD$13:$BL$162,BP1737,0))/100))&gt;=$D$10:$L$10)),0)</f>
        <v/>
      </c>
      <c r="BR1737">
        <f>IF(1724&lt;$U$9,SUMPRODUCT(($D$10:$L$10&lt;&gt;"")*(($D$10:$L$10-($D$9:$L$9+INT(($S$12:$AA$12+INDEX($AJ$13:$AR$162,BN1737,0)+INDEX($AT$13:$BB$162,BO1737,0)+INDEX($BD$13:$BL$162,BP1737,0))/100)))&gt;0)*($D$10:$L$10-($D$9:$L$9+INT(($S$12:$AA$12+INDEX($AJ$13:$AR$162,BN1737,0)+INDEX($AT$13:$BB$162,BO1737,0)+INDEX($BD$13:$BL$162,BP1737,0))/100)))),0)</f>
        <v/>
      </c>
      <c r="BS1737">
        <f>IF(1724&lt;$U$9,SUMPRODUCT(($D$9:$L$9+INT(($S$12:$AA$12+INDEX($AJ$13:$AR$162,BN1737,0)+INDEX($AT$13:$BB$162,BO1737,0)+INDEX($BD$13:$BL$162,BP1737,0))/100))),0)</f>
        <v/>
      </c>
      <c r="BT1737">
        <f>IF(AND(1724&lt;$U$9,$W$5),BQ1737*1000000-MIN(BR1737,999)*1000+BS1737-1724/100000,-1000000000-1724)</f>
        <v/>
      </c>
    </row>
    <row r="1738">
      <c r="BN1738">
        <f>IF(1725&lt;$U$9,INT(1725/($U$7*$U$8))+1,1)</f>
        <v/>
      </c>
      <c r="BO1738">
        <f>IF(1725&lt;$U$9,MOD(INT(1725/$U$8),$U$7)+1,1)</f>
        <v/>
      </c>
      <c r="BP1738">
        <f>IF(1725&lt;$U$9,MOD(1725,$U$8)+1,1)</f>
        <v/>
      </c>
      <c r="BQ1738">
        <f>IF(1725&lt;$U$9,SUMPRODUCT(($D$10:$L$10&lt;&gt;"")*(($D$9:$L$9+INT(($S$12:$AA$12+INDEX($AJ$13:$AR$162,BN1738,0)+INDEX($AT$13:$BB$162,BO1738,0)+INDEX($BD$13:$BL$162,BP1738,0))/100))&gt;=$D$10:$L$10)),0)</f>
        <v/>
      </c>
      <c r="BR1738">
        <f>IF(1725&lt;$U$9,SUMPRODUCT(($D$10:$L$10&lt;&gt;"")*(($D$10:$L$10-($D$9:$L$9+INT(($S$12:$AA$12+INDEX($AJ$13:$AR$162,BN1738,0)+INDEX($AT$13:$BB$162,BO1738,0)+INDEX($BD$13:$BL$162,BP1738,0))/100)))&gt;0)*($D$10:$L$10-($D$9:$L$9+INT(($S$12:$AA$12+INDEX($AJ$13:$AR$162,BN1738,0)+INDEX($AT$13:$BB$162,BO1738,0)+INDEX($BD$13:$BL$162,BP1738,0))/100)))),0)</f>
        <v/>
      </c>
      <c r="BS1738">
        <f>IF(1725&lt;$U$9,SUMPRODUCT(($D$9:$L$9+INT(($S$12:$AA$12+INDEX($AJ$13:$AR$162,BN1738,0)+INDEX($AT$13:$BB$162,BO1738,0)+INDEX($BD$13:$BL$162,BP1738,0))/100))),0)</f>
        <v/>
      </c>
      <c r="BT1738">
        <f>IF(AND(1725&lt;$U$9,$W$5),BQ1738*1000000-MIN(BR1738,999)*1000+BS1738-1725/100000,-1000000000-1725)</f>
        <v/>
      </c>
    </row>
    <row r="1739">
      <c r="BN1739">
        <f>IF(1726&lt;$U$9,INT(1726/($U$7*$U$8))+1,1)</f>
        <v/>
      </c>
      <c r="BO1739">
        <f>IF(1726&lt;$U$9,MOD(INT(1726/$U$8),$U$7)+1,1)</f>
        <v/>
      </c>
      <c r="BP1739">
        <f>IF(1726&lt;$U$9,MOD(1726,$U$8)+1,1)</f>
        <v/>
      </c>
      <c r="BQ1739">
        <f>IF(1726&lt;$U$9,SUMPRODUCT(($D$10:$L$10&lt;&gt;"")*(($D$9:$L$9+INT(($S$12:$AA$12+INDEX($AJ$13:$AR$162,BN1739,0)+INDEX($AT$13:$BB$162,BO1739,0)+INDEX($BD$13:$BL$162,BP1739,0))/100))&gt;=$D$10:$L$10)),0)</f>
        <v/>
      </c>
      <c r="BR1739">
        <f>IF(1726&lt;$U$9,SUMPRODUCT(($D$10:$L$10&lt;&gt;"")*(($D$10:$L$10-($D$9:$L$9+INT(($S$12:$AA$12+INDEX($AJ$13:$AR$162,BN1739,0)+INDEX($AT$13:$BB$162,BO1739,0)+INDEX($BD$13:$BL$162,BP1739,0))/100)))&gt;0)*($D$10:$L$10-($D$9:$L$9+INT(($S$12:$AA$12+INDEX($AJ$13:$AR$162,BN1739,0)+INDEX($AT$13:$BB$162,BO1739,0)+INDEX($BD$13:$BL$162,BP1739,0))/100)))),0)</f>
        <v/>
      </c>
      <c r="BS1739">
        <f>IF(1726&lt;$U$9,SUMPRODUCT(($D$9:$L$9+INT(($S$12:$AA$12+INDEX($AJ$13:$AR$162,BN1739,0)+INDEX($AT$13:$BB$162,BO1739,0)+INDEX($BD$13:$BL$162,BP1739,0))/100))),0)</f>
        <v/>
      </c>
      <c r="BT1739">
        <f>IF(AND(1726&lt;$U$9,$W$5),BQ1739*1000000-MIN(BR1739,999)*1000+BS1739-1726/100000,-1000000000-1726)</f>
        <v/>
      </c>
    </row>
    <row r="1740">
      <c r="BN1740">
        <f>IF(1727&lt;$U$9,INT(1727/($U$7*$U$8))+1,1)</f>
        <v/>
      </c>
      <c r="BO1740">
        <f>IF(1727&lt;$U$9,MOD(INT(1727/$U$8),$U$7)+1,1)</f>
        <v/>
      </c>
      <c r="BP1740">
        <f>IF(1727&lt;$U$9,MOD(1727,$U$8)+1,1)</f>
        <v/>
      </c>
      <c r="BQ1740">
        <f>IF(1727&lt;$U$9,SUMPRODUCT(($D$10:$L$10&lt;&gt;"")*(($D$9:$L$9+INT(($S$12:$AA$12+INDEX($AJ$13:$AR$162,BN1740,0)+INDEX($AT$13:$BB$162,BO1740,0)+INDEX($BD$13:$BL$162,BP1740,0))/100))&gt;=$D$10:$L$10)),0)</f>
        <v/>
      </c>
      <c r="BR1740">
        <f>IF(1727&lt;$U$9,SUMPRODUCT(($D$10:$L$10&lt;&gt;"")*(($D$10:$L$10-($D$9:$L$9+INT(($S$12:$AA$12+INDEX($AJ$13:$AR$162,BN1740,0)+INDEX($AT$13:$BB$162,BO1740,0)+INDEX($BD$13:$BL$162,BP1740,0))/100)))&gt;0)*($D$10:$L$10-($D$9:$L$9+INT(($S$12:$AA$12+INDEX($AJ$13:$AR$162,BN1740,0)+INDEX($AT$13:$BB$162,BO1740,0)+INDEX($BD$13:$BL$162,BP1740,0))/100)))),0)</f>
        <v/>
      </c>
      <c r="BS1740">
        <f>IF(1727&lt;$U$9,SUMPRODUCT(($D$9:$L$9+INT(($S$12:$AA$12+INDEX($AJ$13:$AR$162,BN1740,0)+INDEX($AT$13:$BB$162,BO1740,0)+INDEX($BD$13:$BL$162,BP1740,0))/100))),0)</f>
        <v/>
      </c>
      <c r="BT1740">
        <f>IF(AND(1727&lt;$U$9,$W$5),BQ1740*1000000-MIN(BR1740,999)*1000+BS1740-1727/100000,-1000000000-1727)</f>
        <v/>
      </c>
    </row>
    <row r="1741">
      <c r="BN1741">
        <f>IF(1728&lt;$U$9,INT(1728/($U$7*$U$8))+1,1)</f>
        <v/>
      </c>
      <c r="BO1741">
        <f>IF(1728&lt;$U$9,MOD(INT(1728/$U$8),$U$7)+1,1)</f>
        <v/>
      </c>
      <c r="BP1741">
        <f>IF(1728&lt;$U$9,MOD(1728,$U$8)+1,1)</f>
        <v/>
      </c>
      <c r="BQ1741">
        <f>IF(1728&lt;$U$9,SUMPRODUCT(($D$10:$L$10&lt;&gt;"")*(($D$9:$L$9+INT(($S$12:$AA$12+INDEX($AJ$13:$AR$162,BN1741,0)+INDEX($AT$13:$BB$162,BO1741,0)+INDEX($BD$13:$BL$162,BP1741,0))/100))&gt;=$D$10:$L$10)),0)</f>
        <v/>
      </c>
      <c r="BR1741">
        <f>IF(1728&lt;$U$9,SUMPRODUCT(($D$10:$L$10&lt;&gt;"")*(($D$10:$L$10-($D$9:$L$9+INT(($S$12:$AA$12+INDEX($AJ$13:$AR$162,BN1741,0)+INDEX($AT$13:$BB$162,BO1741,0)+INDEX($BD$13:$BL$162,BP1741,0))/100)))&gt;0)*($D$10:$L$10-($D$9:$L$9+INT(($S$12:$AA$12+INDEX($AJ$13:$AR$162,BN1741,0)+INDEX($AT$13:$BB$162,BO1741,0)+INDEX($BD$13:$BL$162,BP1741,0))/100)))),0)</f>
        <v/>
      </c>
      <c r="BS1741">
        <f>IF(1728&lt;$U$9,SUMPRODUCT(($D$9:$L$9+INT(($S$12:$AA$12+INDEX($AJ$13:$AR$162,BN1741,0)+INDEX($AT$13:$BB$162,BO1741,0)+INDEX($BD$13:$BL$162,BP1741,0))/100))),0)</f>
        <v/>
      </c>
      <c r="BT1741">
        <f>IF(AND(1728&lt;$U$9,$W$5),BQ1741*1000000-MIN(BR1741,999)*1000+BS1741-1728/100000,-1000000000-1728)</f>
        <v/>
      </c>
    </row>
    <row r="1742">
      <c r="BN1742">
        <f>IF(1729&lt;$U$9,INT(1729/($U$7*$U$8))+1,1)</f>
        <v/>
      </c>
      <c r="BO1742">
        <f>IF(1729&lt;$U$9,MOD(INT(1729/$U$8),$U$7)+1,1)</f>
        <v/>
      </c>
      <c r="BP1742">
        <f>IF(1729&lt;$U$9,MOD(1729,$U$8)+1,1)</f>
        <v/>
      </c>
      <c r="BQ1742">
        <f>IF(1729&lt;$U$9,SUMPRODUCT(($D$10:$L$10&lt;&gt;"")*(($D$9:$L$9+INT(($S$12:$AA$12+INDEX($AJ$13:$AR$162,BN1742,0)+INDEX($AT$13:$BB$162,BO1742,0)+INDEX($BD$13:$BL$162,BP1742,0))/100))&gt;=$D$10:$L$10)),0)</f>
        <v/>
      </c>
      <c r="BR1742">
        <f>IF(1729&lt;$U$9,SUMPRODUCT(($D$10:$L$10&lt;&gt;"")*(($D$10:$L$10-($D$9:$L$9+INT(($S$12:$AA$12+INDEX($AJ$13:$AR$162,BN1742,0)+INDEX($AT$13:$BB$162,BO1742,0)+INDEX($BD$13:$BL$162,BP1742,0))/100)))&gt;0)*($D$10:$L$10-($D$9:$L$9+INT(($S$12:$AA$12+INDEX($AJ$13:$AR$162,BN1742,0)+INDEX($AT$13:$BB$162,BO1742,0)+INDEX($BD$13:$BL$162,BP1742,0))/100)))),0)</f>
        <v/>
      </c>
      <c r="BS1742">
        <f>IF(1729&lt;$U$9,SUMPRODUCT(($D$9:$L$9+INT(($S$12:$AA$12+INDEX($AJ$13:$AR$162,BN1742,0)+INDEX($AT$13:$BB$162,BO1742,0)+INDEX($BD$13:$BL$162,BP1742,0))/100))),0)</f>
        <v/>
      </c>
      <c r="BT1742">
        <f>IF(AND(1729&lt;$U$9,$W$5),BQ1742*1000000-MIN(BR1742,999)*1000+BS1742-1729/100000,-1000000000-1729)</f>
        <v/>
      </c>
    </row>
    <row r="1743">
      <c r="BN1743">
        <f>IF(1730&lt;$U$9,INT(1730/($U$7*$U$8))+1,1)</f>
        <v/>
      </c>
      <c r="BO1743">
        <f>IF(1730&lt;$U$9,MOD(INT(1730/$U$8),$U$7)+1,1)</f>
        <v/>
      </c>
      <c r="BP1743">
        <f>IF(1730&lt;$U$9,MOD(1730,$U$8)+1,1)</f>
        <v/>
      </c>
      <c r="BQ1743">
        <f>IF(1730&lt;$U$9,SUMPRODUCT(($D$10:$L$10&lt;&gt;"")*(($D$9:$L$9+INT(($S$12:$AA$12+INDEX($AJ$13:$AR$162,BN1743,0)+INDEX($AT$13:$BB$162,BO1743,0)+INDEX($BD$13:$BL$162,BP1743,0))/100))&gt;=$D$10:$L$10)),0)</f>
        <v/>
      </c>
      <c r="BR1743">
        <f>IF(1730&lt;$U$9,SUMPRODUCT(($D$10:$L$10&lt;&gt;"")*(($D$10:$L$10-($D$9:$L$9+INT(($S$12:$AA$12+INDEX($AJ$13:$AR$162,BN1743,0)+INDEX($AT$13:$BB$162,BO1743,0)+INDEX($BD$13:$BL$162,BP1743,0))/100)))&gt;0)*($D$10:$L$10-($D$9:$L$9+INT(($S$12:$AA$12+INDEX($AJ$13:$AR$162,BN1743,0)+INDEX($AT$13:$BB$162,BO1743,0)+INDEX($BD$13:$BL$162,BP1743,0))/100)))),0)</f>
        <v/>
      </c>
      <c r="BS1743">
        <f>IF(1730&lt;$U$9,SUMPRODUCT(($D$9:$L$9+INT(($S$12:$AA$12+INDEX($AJ$13:$AR$162,BN1743,0)+INDEX($AT$13:$BB$162,BO1743,0)+INDEX($BD$13:$BL$162,BP1743,0))/100))),0)</f>
        <v/>
      </c>
      <c r="BT1743">
        <f>IF(AND(1730&lt;$U$9,$W$5),BQ1743*1000000-MIN(BR1743,999)*1000+BS1743-1730/100000,-1000000000-1730)</f>
        <v/>
      </c>
    </row>
    <row r="1744">
      <c r="BN1744">
        <f>IF(1731&lt;$U$9,INT(1731/($U$7*$U$8))+1,1)</f>
        <v/>
      </c>
      <c r="BO1744">
        <f>IF(1731&lt;$U$9,MOD(INT(1731/$U$8),$U$7)+1,1)</f>
        <v/>
      </c>
      <c r="BP1744">
        <f>IF(1731&lt;$U$9,MOD(1731,$U$8)+1,1)</f>
        <v/>
      </c>
      <c r="BQ1744">
        <f>IF(1731&lt;$U$9,SUMPRODUCT(($D$10:$L$10&lt;&gt;"")*(($D$9:$L$9+INT(($S$12:$AA$12+INDEX($AJ$13:$AR$162,BN1744,0)+INDEX($AT$13:$BB$162,BO1744,0)+INDEX($BD$13:$BL$162,BP1744,0))/100))&gt;=$D$10:$L$10)),0)</f>
        <v/>
      </c>
      <c r="BR1744">
        <f>IF(1731&lt;$U$9,SUMPRODUCT(($D$10:$L$10&lt;&gt;"")*(($D$10:$L$10-($D$9:$L$9+INT(($S$12:$AA$12+INDEX($AJ$13:$AR$162,BN1744,0)+INDEX($AT$13:$BB$162,BO1744,0)+INDEX($BD$13:$BL$162,BP1744,0))/100)))&gt;0)*($D$10:$L$10-($D$9:$L$9+INT(($S$12:$AA$12+INDEX($AJ$13:$AR$162,BN1744,0)+INDEX($AT$13:$BB$162,BO1744,0)+INDEX($BD$13:$BL$162,BP1744,0))/100)))),0)</f>
        <v/>
      </c>
      <c r="BS1744">
        <f>IF(1731&lt;$U$9,SUMPRODUCT(($D$9:$L$9+INT(($S$12:$AA$12+INDEX($AJ$13:$AR$162,BN1744,0)+INDEX($AT$13:$BB$162,BO1744,0)+INDEX($BD$13:$BL$162,BP1744,0))/100))),0)</f>
        <v/>
      </c>
      <c r="BT1744">
        <f>IF(AND(1731&lt;$U$9,$W$5),BQ1744*1000000-MIN(BR1744,999)*1000+BS1744-1731/100000,-1000000000-1731)</f>
        <v/>
      </c>
    </row>
    <row r="1745">
      <c r="BN1745">
        <f>IF(1732&lt;$U$9,INT(1732/($U$7*$U$8))+1,1)</f>
        <v/>
      </c>
      <c r="BO1745">
        <f>IF(1732&lt;$U$9,MOD(INT(1732/$U$8),$U$7)+1,1)</f>
        <v/>
      </c>
      <c r="BP1745">
        <f>IF(1732&lt;$U$9,MOD(1732,$U$8)+1,1)</f>
        <v/>
      </c>
      <c r="BQ1745">
        <f>IF(1732&lt;$U$9,SUMPRODUCT(($D$10:$L$10&lt;&gt;"")*(($D$9:$L$9+INT(($S$12:$AA$12+INDEX($AJ$13:$AR$162,BN1745,0)+INDEX($AT$13:$BB$162,BO1745,0)+INDEX($BD$13:$BL$162,BP1745,0))/100))&gt;=$D$10:$L$10)),0)</f>
        <v/>
      </c>
      <c r="BR1745">
        <f>IF(1732&lt;$U$9,SUMPRODUCT(($D$10:$L$10&lt;&gt;"")*(($D$10:$L$10-($D$9:$L$9+INT(($S$12:$AA$12+INDEX($AJ$13:$AR$162,BN1745,0)+INDEX($AT$13:$BB$162,BO1745,0)+INDEX($BD$13:$BL$162,BP1745,0))/100)))&gt;0)*($D$10:$L$10-($D$9:$L$9+INT(($S$12:$AA$12+INDEX($AJ$13:$AR$162,BN1745,0)+INDEX($AT$13:$BB$162,BO1745,0)+INDEX($BD$13:$BL$162,BP1745,0))/100)))),0)</f>
        <v/>
      </c>
      <c r="BS1745">
        <f>IF(1732&lt;$U$9,SUMPRODUCT(($D$9:$L$9+INT(($S$12:$AA$12+INDEX($AJ$13:$AR$162,BN1745,0)+INDEX($AT$13:$BB$162,BO1745,0)+INDEX($BD$13:$BL$162,BP1745,0))/100))),0)</f>
        <v/>
      </c>
      <c r="BT1745">
        <f>IF(AND(1732&lt;$U$9,$W$5),BQ1745*1000000-MIN(BR1745,999)*1000+BS1745-1732/100000,-1000000000-1732)</f>
        <v/>
      </c>
    </row>
    <row r="1746">
      <c r="BN1746">
        <f>IF(1733&lt;$U$9,INT(1733/($U$7*$U$8))+1,1)</f>
        <v/>
      </c>
      <c r="BO1746">
        <f>IF(1733&lt;$U$9,MOD(INT(1733/$U$8),$U$7)+1,1)</f>
        <v/>
      </c>
      <c r="BP1746">
        <f>IF(1733&lt;$U$9,MOD(1733,$U$8)+1,1)</f>
        <v/>
      </c>
      <c r="BQ1746">
        <f>IF(1733&lt;$U$9,SUMPRODUCT(($D$10:$L$10&lt;&gt;"")*(($D$9:$L$9+INT(($S$12:$AA$12+INDEX($AJ$13:$AR$162,BN1746,0)+INDEX($AT$13:$BB$162,BO1746,0)+INDEX($BD$13:$BL$162,BP1746,0))/100))&gt;=$D$10:$L$10)),0)</f>
        <v/>
      </c>
      <c r="BR1746">
        <f>IF(1733&lt;$U$9,SUMPRODUCT(($D$10:$L$10&lt;&gt;"")*(($D$10:$L$10-($D$9:$L$9+INT(($S$12:$AA$12+INDEX($AJ$13:$AR$162,BN1746,0)+INDEX($AT$13:$BB$162,BO1746,0)+INDEX($BD$13:$BL$162,BP1746,0))/100)))&gt;0)*($D$10:$L$10-($D$9:$L$9+INT(($S$12:$AA$12+INDEX($AJ$13:$AR$162,BN1746,0)+INDEX($AT$13:$BB$162,BO1746,0)+INDEX($BD$13:$BL$162,BP1746,0))/100)))),0)</f>
        <v/>
      </c>
      <c r="BS1746">
        <f>IF(1733&lt;$U$9,SUMPRODUCT(($D$9:$L$9+INT(($S$12:$AA$12+INDEX($AJ$13:$AR$162,BN1746,0)+INDEX($AT$13:$BB$162,BO1746,0)+INDEX($BD$13:$BL$162,BP1746,0))/100))),0)</f>
        <v/>
      </c>
      <c r="BT1746">
        <f>IF(AND(1733&lt;$U$9,$W$5),BQ1746*1000000-MIN(BR1746,999)*1000+BS1746-1733/100000,-1000000000-1733)</f>
        <v/>
      </c>
    </row>
    <row r="1747">
      <c r="BN1747">
        <f>IF(1734&lt;$U$9,INT(1734/($U$7*$U$8))+1,1)</f>
        <v/>
      </c>
      <c r="BO1747">
        <f>IF(1734&lt;$U$9,MOD(INT(1734/$U$8),$U$7)+1,1)</f>
        <v/>
      </c>
      <c r="BP1747">
        <f>IF(1734&lt;$U$9,MOD(1734,$U$8)+1,1)</f>
        <v/>
      </c>
      <c r="BQ1747">
        <f>IF(1734&lt;$U$9,SUMPRODUCT(($D$10:$L$10&lt;&gt;"")*(($D$9:$L$9+INT(($S$12:$AA$12+INDEX($AJ$13:$AR$162,BN1747,0)+INDEX($AT$13:$BB$162,BO1747,0)+INDEX($BD$13:$BL$162,BP1747,0))/100))&gt;=$D$10:$L$10)),0)</f>
        <v/>
      </c>
      <c r="BR1747">
        <f>IF(1734&lt;$U$9,SUMPRODUCT(($D$10:$L$10&lt;&gt;"")*(($D$10:$L$10-($D$9:$L$9+INT(($S$12:$AA$12+INDEX($AJ$13:$AR$162,BN1747,0)+INDEX($AT$13:$BB$162,BO1747,0)+INDEX($BD$13:$BL$162,BP1747,0))/100)))&gt;0)*($D$10:$L$10-($D$9:$L$9+INT(($S$12:$AA$12+INDEX($AJ$13:$AR$162,BN1747,0)+INDEX($AT$13:$BB$162,BO1747,0)+INDEX($BD$13:$BL$162,BP1747,0))/100)))),0)</f>
        <v/>
      </c>
      <c r="BS1747">
        <f>IF(1734&lt;$U$9,SUMPRODUCT(($D$9:$L$9+INT(($S$12:$AA$12+INDEX($AJ$13:$AR$162,BN1747,0)+INDEX($AT$13:$BB$162,BO1747,0)+INDEX($BD$13:$BL$162,BP1747,0))/100))),0)</f>
        <v/>
      </c>
      <c r="BT1747">
        <f>IF(AND(1734&lt;$U$9,$W$5),BQ1747*1000000-MIN(BR1747,999)*1000+BS1747-1734/100000,-1000000000-1734)</f>
        <v/>
      </c>
    </row>
    <row r="1748">
      <c r="BN1748">
        <f>IF(1735&lt;$U$9,INT(1735/($U$7*$U$8))+1,1)</f>
        <v/>
      </c>
      <c r="BO1748">
        <f>IF(1735&lt;$U$9,MOD(INT(1735/$U$8),$U$7)+1,1)</f>
        <v/>
      </c>
      <c r="BP1748">
        <f>IF(1735&lt;$U$9,MOD(1735,$U$8)+1,1)</f>
        <v/>
      </c>
      <c r="BQ1748">
        <f>IF(1735&lt;$U$9,SUMPRODUCT(($D$10:$L$10&lt;&gt;"")*(($D$9:$L$9+INT(($S$12:$AA$12+INDEX($AJ$13:$AR$162,BN1748,0)+INDEX($AT$13:$BB$162,BO1748,0)+INDEX($BD$13:$BL$162,BP1748,0))/100))&gt;=$D$10:$L$10)),0)</f>
        <v/>
      </c>
      <c r="BR1748">
        <f>IF(1735&lt;$U$9,SUMPRODUCT(($D$10:$L$10&lt;&gt;"")*(($D$10:$L$10-($D$9:$L$9+INT(($S$12:$AA$12+INDEX($AJ$13:$AR$162,BN1748,0)+INDEX($AT$13:$BB$162,BO1748,0)+INDEX($BD$13:$BL$162,BP1748,0))/100)))&gt;0)*($D$10:$L$10-($D$9:$L$9+INT(($S$12:$AA$12+INDEX($AJ$13:$AR$162,BN1748,0)+INDEX($AT$13:$BB$162,BO1748,0)+INDEX($BD$13:$BL$162,BP1748,0))/100)))),0)</f>
        <v/>
      </c>
      <c r="BS1748">
        <f>IF(1735&lt;$U$9,SUMPRODUCT(($D$9:$L$9+INT(($S$12:$AA$12+INDEX($AJ$13:$AR$162,BN1748,0)+INDEX($AT$13:$BB$162,BO1748,0)+INDEX($BD$13:$BL$162,BP1748,0))/100))),0)</f>
        <v/>
      </c>
      <c r="BT1748">
        <f>IF(AND(1735&lt;$U$9,$W$5),BQ1748*1000000-MIN(BR1748,999)*1000+BS1748-1735/100000,-1000000000-1735)</f>
        <v/>
      </c>
    </row>
    <row r="1749">
      <c r="BN1749">
        <f>IF(1736&lt;$U$9,INT(1736/($U$7*$U$8))+1,1)</f>
        <v/>
      </c>
      <c r="BO1749">
        <f>IF(1736&lt;$U$9,MOD(INT(1736/$U$8),$U$7)+1,1)</f>
        <v/>
      </c>
      <c r="BP1749">
        <f>IF(1736&lt;$U$9,MOD(1736,$U$8)+1,1)</f>
        <v/>
      </c>
      <c r="BQ1749">
        <f>IF(1736&lt;$U$9,SUMPRODUCT(($D$10:$L$10&lt;&gt;"")*(($D$9:$L$9+INT(($S$12:$AA$12+INDEX($AJ$13:$AR$162,BN1749,0)+INDEX($AT$13:$BB$162,BO1749,0)+INDEX($BD$13:$BL$162,BP1749,0))/100))&gt;=$D$10:$L$10)),0)</f>
        <v/>
      </c>
      <c r="BR1749">
        <f>IF(1736&lt;$U$9,SUMPRODUCT(($D$10:$L$10&lt;&gt;"")*(($D$10:$L$10-($D$9:$L$9+INT(($S$12:$AA$12+INDEX($AJ$13:$AR$162,BN1749,0)+INDEX($AT$13:$BB$162,BO1749,0)+INDEX($BD$13:$BL$162,BP1749,0))/100)))&gt;0)*($D$10:$L$10-($D$9:$L$9+INT(($S$12:$AA$12+INDEX($AJ$13:$AR$162,BN1749,0)+INDEX($AT$13:$BB$162,BO1749,0)+INDEX($BD$13:$BL$162,BP1749,0))/100)))),0)</f>
        <v/>
      </c>
      <c r="BS1749">
        <f>IF(1736&lt;$U$9,SUMPRODUCT(($D$9:$L$9+INT(($S$12:$AA$12+INDEX($AJ$13:$AR$162,BN1749,0)+INDEX($AT$13:$BB$162,BO1749,0)+INDEX($BD$13:$BL$162,BP1749,0))/100))),0)</f>
        <v/>
      </c>
      <c r="BT1749">
        <f>IF(AND(1736&lt;$U$9,$W$5),BQ1749*1000000-MIN(BR1749,999)*1000+BS1749-1736/100000,-1000000000-1736)</f>
        <v/>
      </c>
    </row>
    <row r="1750">
      <c r="BN1750">
        <f>IF(1737&lt;$U$9,INT(1737/($U$7*$U$8))+1,1)</f>
        <v/>
      </c>
      <c r="BO1750">
        <f>IF(1737&lt;$U$9,MOD(INT(1737/$U$8),$U$7)+1,1)</f>
        <v/>
      </c>
      <c r="BP1750">
        <f>IF(1737&lt;$U$9,MOD(1737,$U$8)+1,1)</f>
        <v/>
      </c>
      <c r="BQ1750">
        <f>IF(1737&lt;$U$9,SUMPRODUCT(($D$10:$L$10&lt;&gt;"")*(($D$9:$L$9+INT(($S$12:$AA$12+INDEX($AJ$13:$AR$162,BN1750,0)+INDEX($AT$13:$BB$162,BO1750,0)+INDEX($BD$13:$BL$162,BP1750,0))/100))&gt;=$D$10:$L$10)),0)</f>
        <v/>
      </c>
      <c r="BR1750">
        <f>IF(1737&lt;$U$9,SUMPRODUCT(($D$10:$L$10&lt;&gt;"")*(($D$10:$L$10-($D$9:$L$9+INT(($S$12:$AA$12+INDEX($AJ$13:$AR$162,BN1750,0)+INDEX($AT$13:$BB$162,BO1750,0)+INDEX($BD$13:$BL$162,BP1750,0))/100)))&gt;0)*($D$10:$L$10-($D$9:$L$9+INT(($S$12:$AA$12+INDEX($AJ$13:$AR$162,BN1750,0)+INDEX($AT$13:$BB$162,BO1750,0)+INDEX($BD$13:$BL$162,BP1750,0))/100)))),0)</f>
        <v/>
      </c>
      <c r="BS1750">
        <f>IF(1737&lt;$U$9,SUMPRODUCT(($D$9:$L$9+INT(($S$12:$AA$12+INDEX($AJ$13:$AR$162,BN1750,0)+INDEX($AT$13:$BB$162,BO1750,0)+INDEX($BD$13:$BL$162,BP1750,0))/100))),0)</f>
        <v/>
      </c>
      <c r="BT1750">
        <f>IF(AND(1737&lt;$U$9,$W$5),BQ1750*1000000-MIN(BR1750,999)*1000+BS1750-1737/100000,-1000000000-1737)</f>
        <v/>
      </c>
    </row>
    <row r="1751">
      <c r="BN1751">
        <f>IF(1738&lt;$U$9,INT(1738/($U$7*$U$8))+1,1)</f>
        <v/>
      </c>
      <c r="BO1751">
        <f>IF(1738&lt;$U$9,MOD(INT(1738/$U$8),$U$7)+1,1)</f>
        <v/>
      </c>
      <c r="BP1751">
        <f>IF(1738&lt;$U$9,MOD(1738,$U$8)+1,1)</f>
        <v/>
      </c>
      <c r="BQ1751">
        <f>IF(1738&lt;$U$9,SUMPRODUCT(($D$10:$L$10&lt;&gt;"")*(($D$9:$L$9+INT(($S$12:$AA$12+INDEX($AJ$13:$AR$162,BN1751,0)+INDEX($AT$13:$BB$162,BO1751,0)+INDEX($BD$13:$BL$162,BP1751,0))/100))&gt;=$D$10:$L$10)),0)</f>
        <v/>
      </c>
      <c r="BR1751">
        <f>IF(1738&lt;$U$9,SUMPRODUCT(($D$10:$L$10&lt;&gt;"")*(($D$10:$L$10-($D$9:$L$9+INT(($S$12:$AA$12+INDEX($AJ$13:$AR$162,BN1751,0)+INDEX($AT$13:$BB$162,BO1751,0)+INDEX($BD$13:$BL$162,BP1751,0))/100)))&gt;0)*($D$10:$L$10-($D$9:$L$9+INT(($S$12:$AA$12+INDEX($AJ$13:$AR$162,BN1751,0)+INDEX($AT$13:$BB$162,BO1751,0)+INDEX($BD$13:$BL$162,BP1751,0))/100)))),0)</f>
        <v/>
      </c>
      <c r="BS1751">
        <f>IF(1738&lt;$U$9,SUMPRODUCT(($D$9:$L$9+INT(($S$12:$AA$12+INDEX($AJ$13:$AR$162,BN1751,0)+INDEX($AT$13:$BB$162,BO1751,0)+INDEX($BD$13:$BL$162,BP1751,0))/100))),0)</f>
        <v/>
      </c>
      <c r="BT1751">
        <f>IF(AND(1738&lt;$U$9,$W$5),BQ1751*1000000-MIN(BR1751,999)*1000+BS1751-1738/100000,-1000000000-1738)</f>
        <v/>
      </c>
    </row>
    <row r="1752">
      <c r="BN1752">
        <f>IF(1739&lt;$U$9,INT(1739/($U$7*$U$8))+1,1)</f>
        <v/>
      </c>
      <c r="BO1752">
        <f>IF(1739&lt;$U$9,MOD(INT(1739/$U$8),$U$7)+1,1)</f>
        <v/>
      </c>
      <c r="BP1752">
        <f>IF(1739&lt;$U$9,MOD(1739,$U$8)+1,1)</f>
        <v/>
      </c>
      <c r="BQ1752">
        <f>IF(1739&lt;$U$9,SUMPRODUCT(($D$10:$L$10&lt;&gt;"")*(($D$9:$L$9+INT(($S$12:$AA$12+INDEX($AJ$13:$AR$162,BN1752,0)+INDEX($AT$13:$BB$162,BO1752,0)+INDEX($BD$13:$BL$162,BP1752,0))/100))&gt;=$D$10:$L$10)),0)</f>
        <v/>
      </c>
      <c r="BR1752">
        <f>IF(1739&lt;$U$9,SUMPRODUCT(($D$10:$L$10&lt;&gt;"")*(($D$10:$L$10-($D$9:$L$9+INT(($S$12:$AA$12+INDEX($AJ$13:$AR$162,BN1752,0)+INDEX($AT$13:$BB$162,BO1752,0)+INDEX($BD$13:$BL$162,BP1752,0))/100)))&gt;0)*($D$10:$L$10-($D$9:$L$9+INT(($S$12:$AA$12+INDEX($AJ$13:$AR$162,BN1752,0)+INDEX($AT$13:$BB$162,BO1752,0)+INDEX($BD$13:$BL$162,BP1752,0))/100)))),0)</f>
        <v/>
      </c>
      <c r="BS1752">
        <f>IF(1739&lt;$U$9,SUMPRODUCT(($D$9:$L$9+INT(($S$12:$AA$12+INDEX($AJ$13:$AR$162,BN1752,0)+INDEX($AT$13:$BB$162,BO1752,0)+INDEX($BD$13:$BL$162,BP1752,0))/100))),0)</f>
        <v/>
      </c>
      <c r="BT1752">
        <f>IF(AND(1739&lt;$U$9,$W$5),BQ1752*1000000-MIN(BR1752,999)*1000+BS1752-1739/100000,-1000000000-1739)</f>
        <v/>
      </c>
    </row>
    <row r="1753">
      <c r="BN1753">
        <f>IF(1740&lt;$U$9,INT(1740/($U$7*$U$8))+1,1)</f>
        <v/>
      </c>
      <c r="BO1753">
        <f>IF(1740&lt;$U$9,MOD(INT(1740/$U$8),$U$7)+1,1)</f>
        <v/>
      </c>
      <c r="BP1753">
        <f>IF(1740&lt;$U$9,MOD(1740,$U$8)+1,1)</f>
        <v/>
      </c>
      <c r="BQ1753">
        <f>IF(1740&lt;$U$9,SUMPRODUCT(($D$10:$L$10&lt;&gt;"")*(($D$9:$L$9+INT(($S$12:$AA$12+INDEX($AJ$13:$AR$162,BN1753,0)+INDEX($AT$13:$BB$162,BO1753,0)+INDEX($BD$13:$BL$162,BP1753,0))/100))&gt;=$D$10:$L$10)),0)</f>
        <v/>
      </c>
      <c r="BR1753">
        <f>IF(1740&lt;$U$9,SUMPRODUCT(($D$10:$L$10&lt;&gt;"")*(($D$10:$L$10-($D$9:$L$9+INT(($S$12:$AA$12+INDEX($AJ$13:$AR$162,BN1753,0)+INDEX($AT$13:$BB$162,BO1753,0)+INDEX($BD$13:$BL$162,BP1753,0))/100)))&gt;0)*($D$10:$L$10-($D$9:$L$9+INT(($S$12:$AA$12+INDEX($AJ$13:$AR$162,BN1753,0)+INDEX($AT$13:$BB$162,BO1753,0)+INDEX($BD$13:$BL$162,BP1753,0))/100)))),0)</f>
        <v/>
      </c>
      <c r="BS1753">
        <f>IF(1740&lt;$U$9,SUMPRODUCT(($D$9:$L$9+INT(($S$12:$AA$12+INDEX($AJ$13:$AR$162,BN1753,0)+INDEX($AT$13:$BB$162,BO1753,0)+INDEX($BD$13:$BL$162,BP1753,0))/100))),0)</f>
        <v/>
      </c>
      <c r="BT1753">
        <f>IF(AND(1740&lt;$U$9,$W$5),BQ1753*1000000-MIN(BR1753,999)*1000+BS1753-1740/100000,-1000000000-1740)</f>
        <v/>
      </c>
    </row>
    <row r="1754">
      <c r="BN1754">
        <f>IF(1741&lt;$U$9,INT(1741/($U$7*$U$8))+1,1)</f>
        <v/>
      </c>
      <c r="BO1754">
        <f>IF(1741&lt;$U$9,MOD(INT(1741/$U$8),$U$7)+1,1)</f>
        <v/>
      </c>
      <c r="BP1754">
        <f>IF(1741&lt;$U$9,MOD(1741,$U$8)+1,1)</f>
        <v/>
      </c>
      <c r="BQ1754">
        <f>IF(1741&lt;$U$9,SUMPRODUCT(($D$10:$L$10&lt;&gt;"")*(($D$9:$L$9+INT(($S$12:$AA$12+INDEX($AJ$13:$AR$162,BN1754,0)+INDEX($AT$13:$BB$162,BO1754,0)+INDEX($BD$13:$BL$162,BP1754,0))/100))&gt;=$D$10:$L$10)),0)</f>
        <v/>
      </c>
      <c r="BR1754">
        <f>IF(1741&lt;$U$9,SUMPRODUCT(($D$10:$L$10&lt;&gt;"")*(($D$10:$L$10-($D$9:$L$9+INT(($S$12:$AA$12+INDEX($AJ$13:$AR$162,BN1754,0)+INDEX($AT$13:$BB$162,BO1754,0)+INDEX($BD$13:$BL$162,BP1754,0))/100)))&gt;0)*($D$10:$L$10-($D$9:$L$9+INT(($S$12:$AA$12+INDEX($AJ$13:$AR$162,BN1754,0)+INDEX($AT$13:$BB$162,BO1754,0)+INDEX($BD$13:$BL$162,BP1754,0))/100)))),0)</f>
        <v/>
      </c>
      <c r="BS1754">
        <f>IF(1741&lt;$U$9,SUMPRODUCT(($D$9:$L$9+INT(($S$12:$AA$12+INDEX($AJ$13:$AR$162,BN1754,0)+INDEX($AT$13:$BB$162,BO1754,0)+INDEX($BD$13:$BL$162,BP1754,0))/100))),0)</f>
        <v/>
      </c>
      <c r="BT1754">
        <f>IF(AND(1741&lt;$U$9,$W$5),BQ1754*1000000-MIN(BR1754,999)*1000+BS1754-1741/100000,-1000000000-1741)</f>
        <v/>
      </c>
    </row>
    <row r="1755">
      <c r="BN1755">
        <f>IF(1742&lt;$U$9,INT(1742/($U$7*$U$8))+1,1)</f>
        <v/>
      </c>
      <c r="BO1755">
        <f>IF(1742&lt;$U$9,MOD(INT(1742/$U$8),$U$7)+1,1)</f>
        <v/>
      </c>
      <c r="BP1755">
        <f>IF(1742&lt;$U$9,MOD(1742,$U$8)+1,1)</f>
        <v/>
      </c>
      <c r="BQ1755">
        <f>IF(1742&lt;$U$9,SUMPRODUCT(($D$10:$L$10&lt;&gt;"")*(($D$9:$L$9+INT(($S$12:$AA$12+INDEX($AJ$13:$AR$162,BN1755,0)+INDEX($AT$13:$BB$162,BO1755,0)+INDEX($BD$13:$BL$162,BP1755,0))/100))&gt;=$D$10:$L$10)),0)</f>
        <v/>
      </c>
      <c r="BR1755">
        <f>IF(1742&lt;$U$9,SUMPRODUCT(($D$10:$L$10&lt;&gt;"")*(($D$10:$L$10-($D$9:$L$9+INT(($S$12:$AA$12+INDEX($AJ$13:$AR$162,BN1755,0)+INDEX($AT$13:$BB$162,BO1755,0)+INDEX($BD$13:$BL$162,BP1755,0))/100)))&gt;0)*($D$10:$L$10-($D$9:$L$9+INT(($S$12:$AA$12+INDEX($AJ$13:$AR$162,BN1755,0)+INDEX($AT$13:$BB$162,BO1755,0)+INDEX($BD$13:$BL$162,BP1755,0))/100)))),0)</f>
        <v/>
      </c>
      <c r="BS1755">
        <f>IF(1742&lt;$U$9,SUMPRODUCT(($D$9:$L$9+INT(($S$12:$AA$12+INDEX($AJ$13:$AR$162,BN1755,0)+INDEX($AT$13:$BB$162,BO1755,0)+INDEX($BD$13:$BL$162,BP1755,0))/100))),0)</f>
        <v/>
      </c>
      <c r="BT1755">
        <f>IF(AND(1742&lt;$U$9,$W$5),BQ1755*1000000-MIN(BR1755,999)*1000+BS1755-1742/100000,-1000000000-1742)</f>
        <v/>
      </c>
    </row>
    <row r="1756">
      <c r="BN1756">
        <f>IF(1743&lt;$U$9,INT(1743/($U$7*$U$8))+1,1)</f>
        <v/>
      </c>
      <c r="BO1756">
        <f>IF(1743&lt;$U$9,MOD(INT(1743/$U$8),$U$7)+1,1)</f>
        <v/>
      </c>
      <c r="BP1756">
        <f>IF(1743&lt;$U$9,MOD(1743,$U$8)+1,1)</f>
        <v/>
      </c>
      <c r="BQ1756">
        <f>IF(1743&lt;$U$9,SUMPRODUCT(($D$10:$L$10&lt;&gt;"")*(($D$9:$L$9+INT(($S$12:$AA$12+INDEX($AJ$13:$AR$162,BN1756,0)+INDEX($AT$13:$BB$162,BO1756,0)+INDEX($BD$13:$BL$162,BP1756,0))/100))&gt;=$D$10:$L$10)),0)</f>
        <v/>
      </c>
      <c r="BR1756">
        <f>IF(1743&lt;$U$9,SUMPRODUCT(($D$10:$L$10&lt;&gt;"")*(($D$10:$L$10-($D$9:$L$9+INT(($S$12:$AA$12+INDEX($AJ$13:$AR$162,BN1756,0)+INDEX($AT$13:$BB$162,BO1756,0)+INDEX($BD$13:$BL$162,BP1756,0))/100)))&gt;0)*($D$10:$L$10-($D$9:$L$9+INT(($S$12:$AA$12+INDEX($AJ$13:$AR$162,BN1756,0)+INDEX($AT$13:$BB$162,BO1756,0)+INDEX($BD$13:$BL$162,BP1756,0))/100)))),0)</f>
        <v/>
      </c>
      <c r="BS1756">
        <f>IF(1743&lt;$U$9,SUMPRODUCT(($D$9:$L$9+INT(($S$12:$AA$12+INDEX($AJ$13:$AR$162,BN1756,0)+INDEX($AT$13:$BB$162,BO1756,0)+INDEX($BD$13:$BL$162,BP1756,0))/100))),0)</f>
        <v/>
      </c>
      <c r="BT1756">
        <f>IF(AND(1743&lt;$U$9,$W$5),BQ1756*1000000-MIN(BR1756,999)*1000+BS1756-1743/100000,-1000000000-1743)</f>
        <v/>
      </c>
    </row>
    <row r="1757">
      <c r="BN1757">
        <f>IF(1744&lt;$U$9,INT(1744/($U$7*$U$8))+1,1)</f>
        <v/>
      </c>
      <c r="BO1757">
        <f>IF(1744&lt;$U$9,MOD(INT(1744/$U$8),$U$7)+1,1)</f>
        <v/>
      </c>
      <c r="BP1757">
        <f>IF(1744&lt;$U$9,MOD(1744,$U$8)+1,1)</f>
        <v/>
      </c>
      <c r="BQ1757">
        <f>IF(1744&lt;$U$9,SUMPRODUCT(($D$10:$L$10&lt;&gt;"")*(($D$9:$L$9+INT(($S$12:$AA$12+INDEX($AJ$13:$AR$162,BN1757,0)+INDEX($AT$13:$BB$162,BO1757,0)+INDEX($BD$13:$BL$162,BP1757,0))/100))&gt;=$D$10:$L$10)),0)</f>
        <v/>
      </c>
      <c r="BR1757">
        <f>IF(1744&lt;$U$9,SUMPRODUCT(($D$10:$L$10&lt;&gt;"")*(($D$10:$L$10-($D$9:$L$9+INT(($S$12:$AA$12+INDEX($AJ$13:$AR$162,BN1757,0)+INDEX($AT$13:$BB$162,BO1757,0)+INDEX($BD$13:$BL$162,BP1757,0))/100)))&gt;0)*($D$10:$L$10-($D$9:$L$9+INT(($S$12:$AA$12+INDEX($AJ$13:$AR$162,BN1757,0)+INDEX($AT$13:$BB$162,BO1757,0)+INDEX($BD$13:$BL$162,BP1757,0))/100)))),0)</f>
        <v/>
      </c>
      <c r="BS1757">
        <f>IF(1744&lt;$U$9,SUMPRODUCT(($D$9:$L$9+INT(($S$12:$AA$12+INDEX($AJ$13:$AR$162,BN1757,0)+INDEX($AT$13:$BB$162,BO1757,0)+INDEX($BD$13:$BL$162,BP1757,0))/100))),0)</f>
        <v/>
      </c>
      <c r="BT1757">
        <f>IF(AND(1744&lt;$U$9,$W$5),BQ1757*1000000-MIN(BR1757,999)*1000+BS1757-1744/100000,-1000000000-1744)</f>
        <v/>
      </c>
    </row>
    <row r="1758">
      <c r="BN1758">
        <f>IF(1745&lt;$U$9,INT(1745/($U$7*$U$8))+1,1)</f>
        <v/>
      </c>
      <c r="BO1758">
        <f>IF(1745&lt;$U$9,MOD(INT(1745/$U$8),$U$7)+1,1)</f>
        <v/>
      </c>
      <c r="BP1758">
        <f>IF(1745&lt;$U$9,MOD(1745,$U$8)+1,1)</f>
        <v/>
      </c>
      <c r="BQ1758">
        <f>IF(1745&lt;$U$9,SUMPRODUCT(($D$10:$L$10&lt;&gt;"")*(($D$9:$L$9+INT(($S$12:$AA$12+INDEX($AJ$13:$AR$162,BN1758,0)+INDEX($AT$13:$BB$162,BO1758,0)+INDEX($BD$13:$BL$162,BP1758,0))/100))&gt;=$D$10:$L$10)),0)</f>
        <v/>
      </c>
      <c r="BR1758">
        <f>IF(1745&lt;$U$9,SUMPRODUCT(($D$10:$L$10&lt;&gt;"")*(($D$10:$L$10-($D$9:$L$9+INT(($S$12:$AA$12+INDEX($AJ$13:$AR$162,BN1758,0)+INDEX($AT$13:$BB$162,BO1758,0)+INDEX($BD$13:$BL$162,BP1758,0))/100)))&gt;0)*($D$10:$L$10-($D$9:$L$9+INT(($S$12:$AA$12+INDEX($AJ$13:$AR$162,BN1758,0)+INDEX($AT$13:$BB$162,BO1758,0)+INDEX($BD$13:$BL$162,BP1758,0))/100)))),0)</f>
        <v/>
      </c>
      <c r="BS1758">
        <f>IF(1745&lt;$U$9,SUMPRODUCT(($D$9:$L$9+INT(($S$12:$AA$12+INDEX($AJ$13:$AR$162,BN1758,0)+INDEX($AT$13:$BB$162,BO1758,0)+INDEX($BD$13:$BL$162,BP1758,0))/100))),0)</f>
        <v/>
      </c>
      <c r="BT1758">
        <f>IF(AND(1745&lt;$U$9,$W$5),BQ1758*1000000-MIN(BR1758,999)*1000+BS1758-1745/100000,-1000000000-1745)</f>
        <v/>
      </c>
    </row>
    <row r="1759">
      <c r="BN1759">
        <f>IF(1746&lt;$U$9,INT(1746/($U$7*$U$8))+1,1)</f>
        <v/>
      </c>
      <c r="BO1759">
        <f>IF(1746&lt;$U$9,MOD(INT(1746/$U$8),$U$7)+1,1)</f>
        <v/>
      </c>
      <c r="BP1759">
        <f>IF(1746&lt;$U$9,MOD(1746,$U$8)+1,1)</f>
        <v/>
      </c>
      <c r="BQ1759">
        <f>IF(1746&lt;$U$9,SUMPRODUCT(($D$10:$L$10&lt;&gt;"")*(($D$9:$L$9+INT(($S$12:$AA$12+INDEX($AJ$13:$AR$162,BN1759,0)+INDEX($AT$13:$BB$162,BO1759,0)+INDEX($BD$13:$BL$162,BP1759,0))/100))&gt;=$D$10:$L$10)),0)</f>
        <v/>
      </c>
      <c r="BR1759">
        <f>IF(1746&lt;$U$9,SUMPRODUCT(($D$10:$L$10&lt;&gt;"")*(($D$10:$L$10-($D$9:$L$9+INT(($S$12:$AA$12+INDEX($AJ$13:$AR$162,BN1759,0)+INDEX($AT$13:$BB$162,BO1759,0)+INDEX($BD$13:$BL$162,BP1759,0))/100)))&gt;0)*($D$10:$L$10-($D$9:$L$9+INT(($S$12:$AA$12+INDEX($AJ$13:$AR$162,BN1759,0)+INDEX($AT$13:$BB$162,BO1759,0)+INDEX($BD$13:$BL$162,BP1759,0))/100)))),0)</f>
        <v/>
      </c>
      <c r="BS1759">
        <f>IF(1746&lt;$U$9,SUMPRODUCT(($D$9:$L$9+INT(($S$12:$AA$12+INDEX($AJ$13:$AR$162,BN1759,0)+INDEX($AT$13:$BB$162,BO1759,0)+INDEX($BD$13:$BL$162,BP1759,0))/100))),0)</f>
        <v/>
      </c>
      <c r="BT1759">
        <f>IF(AND(1746&lt;$U$9,$W$5),BQ1759*1000000-MIN(BR1759,999)*1000+BS1759-1746/100000,-1000000000-1746)</f>
        <v/>
      </c>
    </row>
    <row r="1760">
      <c r="BN1760">
        <f>IF(1747&lt;$U$9,INT(1747/($U$7*$U$8))+1,1)</f>
        <v/>
      </c>
      <c r="BO1760">
        <f>IF(1747&lt;$U$9,MOD(INT(1747/$U$8),$U$7)+1,1)</f>
        <v/>
      </c>
      <c r="BP1760">
        <f>IF(1747&lt;$U$9,MOD(1747,$U$8)+1,1)</f>
        <v/>
      </c>
      <c r="BQ1760">
        <f>IF(1747&lt;$U$9,SUMPRODUCT(($D$10:$L$10&lt;&gt;"")*(($D$9:$L$9+INT(($S$12:$AA$12+INDEX($AJ$13:$AR$162,BN1760,0)+INDEX($AT$13:$BB$162,BO1760,0)+INDEX($BD$13:$BL$162,BP1760,0))/100))&gt;=$D$10:$L$10)),0)</f>
        <v/>
      </c>
      <c r="BR1760">
        <f>IF(1747&lt;$U$9,SUMPRODUCT(($D$10:$L$10&lt;&gt;"")*(($D$10:$L$10-($D$9:$L$9+INT(($S$12:$AA$12+INDEX($AJ$13:$AR$162,BN1760,0)+INDEX($AT$13:$BB$162,BO1760,0)+INDEX($BD$13:$BL$162,BP1760,0))/100)))&gt;0)*($D$10:$L$10-($D$9:$L$9+INT(($S$12:$AA$12+INDEX($AJ$13:$AR$162,BN1760,0)+INDEX($AT$13:$BB$162,BO1760,0)+INDEX($BD$13:$BL$162,BP1760,0))/100)))),0)</f>
        <v/>
      </c>
      <c r="BS1760">
        <f>IF(1747&lt;$U$9,SUMPRODUCT(($D$9:$L$9+INT(($S$12:$AA$12+INDEX($AJ$13:$AR$162,BN1760,0)+INDEX($AT$13:$BB$162,BO1760,0)+INDEX($BD$13:$BL$162,BP1760,0))/100))),0)</f>
        <v/>
      </c>
      <c r="BT1760">
        <f>IF(AND(1747&lt;$U$9,$W$5),BQ1760*1000000-MIN(BR1760,999)*1000+BS1760-1747/100000,-1000000000-1747)</f>
        <v/>
      </c>
    </row>
    <row r="1761">
      <c r="BN1761">
        <f>IF(1748&lt;$U$9,INT(1748/($U$7*$U$8))+1,1)</f>
        <v/>
      </c>
      <c r="BO1761">
        <f>IF(1748&lt;$U$9,MOD(INT(1748/$U$8),$U$7)+1,1)</f>
        <v/>
      </c>
      <c r="BP1761">
        <f>IF(1748&lt;$U$9,MOD(1748,$U$8)+1,1)</f>
        <v/>
      </c>
      <c r="BQ1761">
        <f>IF(1748&lt;$U$9,SUMPRODUCT(($D$10:$L$10&lt;&gt;"")*(($D$9:$L$9+INT(($S$12:$AA$12+INDEX($AJ$13:$AR$162,BN1761,0)+INDEX($AT$13:$BB$162,BO1761,0)+INDEX($BD$13:$BL$162,BP1761,0))/100))&gt;=$D$10:$L$10)),0)</f>
        <v/>
      </c>
      <c r="BR1761">
        <f>IF(1748&lt;$U$9,SUMPRODUCT(($D$10:$L$10&lt;&gt;"")*(($D$10:$L$10-($D$9:$L$9+INT(($S$12:$AA$12+INDEX($AJ$13:$AR$162,BN1761,0)+INDEX($AT$13:$BB$162,BO1761,0)+INDEX($BD$13:$BL$162,BP1761,0))/100)))&gt;0)*($D$10:$L$10-($D$9:$L$9+INT(($S$12:$AA$12+INDEX($AJ$13:$AR$162,BN1761,0)+INDEX($AT$13:$BB$162,BO1761,0)+INDEX($BD$13:$BL$162,BP1761,0))/100)))),0)</f>
        <v/>
      </c>
      <c r="BS1761">
        <f>IF(1748&lt;$U$9,SUMPRODUCT(($D$9:$L$9+INT(($S$12:$AA$12+INDEX($AJ$13:$AR$162,BN1761,0)+INDEX($AT$13:$BB$162,BO1761,0)+INDEX($BD$13:$BL$162,BP1761,0))/100))),0)</f>
        <v/>
      </c>
      <c r="BT1761">
        <f>IF(AND(1748&lt;$U$9,$W$5),BQ1761*1000000-MIN(BR1761,999)*1000+BS1761-1748/100000,-1000000000-1748)</f>
        <v/>
      </c>
    </row>
    <row r="1762">
      <c r="BN1762">
        <f>IF(1749&lt;$U$9,INT(1749/($U$7*$U$8))+1,1)</f>
        <v/>
      </c>
      <c r="BO1762">
        <f>IF(1749&lt;$U$9,MOD(INT(1749/$U$8),$U$7)+1,1)</f>
        <v/>
      </c>
      <c r="BP1762">
        <f>IF(1749&lt;$U$9,MOD(1749,$U$8)+1,1)</f>
        <v/>
      </c>
      <c r="BQ1762">
        <f>IF(1749&lt;$U$9,SUMPRODUCT(($D$10:$L$10&lt;&gt;"")*(($D$9:$L$9+INT(($S$12:$AA$12+INDEX($AJ$13:$AR$162,BN1762,0)+INDEX($AT$13:$BB$162,BO1762,0)+INDEX($BD$13:$BL$162,BP1762,0))/100))&gt;=$D$10:$L$10)),0)</f>
        <v/>
      </c>
      <c r="BR1762">
        <f>IF(1749&lt;$U$9,SUMPRODUCT(($D$10:$L$10&lt;&gt;"")*(($D$10:$L$10-($D$9:$L$9+INT(($S$12:$AA$12+INDEX($AJ$13:$AR$162,BN1762,0)+INDEX($AT$13:$BB$162,BO1762,0)+INDEX($BD$13:$BL$162,BP1762,0))/100)))&gt;0)*($D$10:$L$10-($D$9:$L$9+INT(($S$12:$AA$12+INDEX($AJ$13:$AR$162,BN1762,0)+INDEX($AT$13:$BB$162,BO1762,0)+INDEX($BD$13:$BL$162,BP1762,0))/100)))),0)</f>
        <v/>
      </c>
      <c r="BS1762">
        <f>IF(1749&lt;$U$9,SUMPRODUCT(($D$9:$L$9+INT(($S$12:$AA$12+INDEX($AJ$13:$AR$162,BN1762,0)+INDEX($AT$13:$BB$162,BO1762,0)+INDEX($BD$13:$BL$162,BP1762,0))/100))),0)</f>
        <v/>
      </c>
      <c r="BT1762">
        <f>IF(AND(1749&lt;$U$9,$W$5),BQ1762*1000000-MIN(BR1762,999)*1000+BS1762-1749/100000,-1000000000-1749)</f>
        <v/>
      </c>
    </row>
    <row r="1763">
      <c r="BN1763">
        <f>IF(1750&lt;$U$9,INT(1750/($U$7*$U$8))+1,1)</f>
        <v/>
      </c>
      <c r="BO1763">
        <f>IF(1750&lt;$U$9,MOD(INT(1750/$U$8),$U$7)+1,1)</f>
        <v/>
      </c>
      <c r="BP1763">
        <f>IF(1750&lt;$U$9,MOD(1750,$U$8)+1,1)</f>
        <v/>
      </c>
      <c r="BQ1763">
        <f>IF(1750&lt;$U$9,SUMPRODUCT(($D$10:$L$10&lt;&gt;"")*(($D$9:$L$9+INT(($S$12:$AA$12+INDEX($AJ$13:$AR$162,BN1763,0)+INDEX($AT$13:$BB$162,BO1763,0)+INDEX($BD$13:$BL$162,BP1763,0))/100))&gt;=$D$10:$L$10)),0)</f>
        <v/>
      </c>
      <c r="BR1763">
        <f>IF(1750&lt;$U$9,SUMPRODUCT(($D$10:$L$10&lt;&gt;"")*(($D$10:$L$10-($D$9:$L$9+INT(($S$12:$AA$12+INDEX($AJ$13:$AR$162,BN1763,0)+INDEX($AT$13:$BB$162,BO1763,0)+INDEX($BD$13:$BL$162,BP1763,0))/100)))&gt;0)*($D$10:$L$10-($D$9:$L$9+INT(($S$12:$AA$12+INDEX($AJ$13:$AR$162,BN1763,0)+INDEX($AT$13:$BB$162,BO1763,0)+INDEX($BD$13:$BL$162,BP1763,0))/100)))),0)</f>
        <v/>
      </c>
      <c r="BS1763">
        <f>IF(1750&lt;$U$9,SUMPRODUCT(($D$9:$L$9+INT(($S$12:$AA$12+INDEX($AJ$13:$AR$162,BN1763,0)+INDEX($AT$13:$BB$162,BO1763,0)+INDEX($BD$13:$BL$162,BP1763,0))/100))),0)</f>
        <v/>
      </c>
      <c r="BT1763">
        <f>IF(AND(1750&lt;$U$9,$W$5),BQ1763*1000000-MIN(BR1763,999)*1000+BS1763-1750/100000,-1000000000-1750)</f>
        <v/>
      </c>
    </row>
    <row r="1764">
      <c r="BN1764">
        <f>IF(1751&lt;$U$9,INT(1751/($U$7*$U$8))+1,1)</f>
        <v/>
      </c>
      <c r="BO1764">
        <f>IF(1751&lt;$U$9,MOD(INT(1751/$U$8),$U$7)+1,1)</f>
        <v/>
      </c>
      <c r="BP1764">
        <f>IF(1751&lt;$U$9,MOD(1751,$U$8)+1,1)</f>
        <v/>
      </c>
      <c r="BQ1764">
        <f>IF(1751&lt;$U$9,SUMPRODUCT(($D$10:$L$10&lt;&gt;"")*(($D$9:$L$9+INT(($S$12:$AA$12+INDEX($AJ$13:$AR$162,BN1764,0)+INDEX($AT$13:$BB$162,BO1764,0)+INDEX($BD$13:$BL$162,BP1764,0))/100))&gt;=$D$10:$L$10)),0)</f>
        <v/>
      </c>
      <c r="BR1764">
        <f>IF(1751&lt;$U$9,SUMPRODUCT(($D$10:$L$10&lt;&gt;"")*(($D$10:$L$10-($D$9:$L$9+INT(($S$12:$AA$12+INDEX($AJ$13:$AR$162,BN1764,0)+INDEX($AT$13:$BB$162,BO1764,0)+INDEX($BD$13:$BL$162,BP1764,0))/100)))&gt;0)*($D$10:$L$10-($D$9:$L$9+INT(($S$12:$AA$12+INDEX($AJ$13:$AR$162,BN1764,0)+INDEX($AT$13:$BB$162,BO1764,0)+INDEX($BD$13:$BL$162,BP1764,0))/100)))),0)</f>
        <v/>
      </c>
      <c r="BS1764">
        <f>IF(1751&lt;$U$9,SUMPRODUCT(($D$9:$L$9+INT(($S$12:$AA$12+INDEX($AJ$13:$AR$162,BN1764,0)+INDEX($AT$13:$BB$162,BO1764,0)+INDEX($BD$13:$BL$162,BP1764,0))/100))),0)</f>
        <v/>
      </c>
      <c r="BT1764">
        <f>IF(AND(1751&lt;$U$9,$W$5),BQ1764*1000000-MIN(BR1764,999)*1000+BS1764-1751/100000,-1000000000-1751)</f>
        <v/>
      </c>
    </row>
    <row r="1765">
      <c r="BN1765">
        <f>IF(1752&lt;$U$9,INT(1752/($U$7*$U$8))+1,1)</f>
        <v/>
      </c>
      <c r="BO1765">
        <f>IF(1752&lt;$U$9,MOD(INT(1752/$U$8),$U$7)+1,1)</f>
        <v/>
      </c>
      <c r="BP1765">
        <f>IF(1752&lt;$U$9,MOD(1752,$U$8)+1,1)</f>
        <v/>
      </c>
      <c r="BQ1765">
        <f>IF(1752&lt;$U$9,SUMPRODUCT(($D$10:$L$10&lt;&gt;"")*(($D$9:$L$9+INT(($S$12:$AA$12+INDEX($AJ$13:$AR$162,BN1765,0)+INDEX($AT$13:$BB$162,BO1765,0)+INDEX($BD$13:$BL$162,BP1765,0))/100))&gt;=$D$10:$L$10)),0)</f>
        <v/>
      </c>
      <c r="BR1765">
        <f>IF(1752&lt;$U$9,SUMPRODUCT(($D$10:$L$10&lt;&gt;"")*(($D$10:$L$10-($D$9:$L$9+INT(($S$12:$AA$12+INDEX($AJ$13:$AR$162,BN1765,0)+INDEX($AT$13:$BB$162,BO1765,0)+INDEX($BD$13:$BL$162,BP1765,0))/100)))&gt;0)*($D$10:$L$10-($D$9:$L$9+INT(($S$12:$AA$12+INDEX($AJ$13:$AR$162,BN1765,0)+INDEX($AT$13:$BB$162,BO1765,0)+INDEX($BD$13:$BL$162,BP1765,0))/100)))),0)</f>
        <v/>
      </c>
      <c r="BS1765">
        <f>IF(1752&lt;$U$9,SUMPRODUCT(($D$9:$L$9+INT(($S$12:$AA$12+INDEX($AJ$13:$AR$162,BN1765,0)+INDEX($AT$13:$BB$162,BO1765,0)+INDEX($BD$13:$BL$162,BP1765,0))/100))),0)</f>
        <v/>
      </c>
      <c r="BT1765">
        <f>IF(AND(1752&lt;$U$9,$W$5),BQ1765*1000000-MIN(BR1765,999)*1000+BS1765-1752/100000,-1000000000-1752)</f>
        <v/>
      </c>
    </row>
    <row r="1766">
      <c r="BN1766">
        <f>IF(1753&lt;$U$9,INT(1753/($U$7*$U$8))+1,1)</f>
        <v/>
      </c>
      <c r="BO1766">
        <f>IF(1753&lt;$U$9,MOD(INT(1753/$U$8),$U$7)+1,1)</f>
        <v/>
      </c>
      <c r="BP1766">
        <f>IF(1753&lt;$U$9,MOD(1753,$U$8)+1,1)</f>
        <v/>
      </c>
      <c r="BQ1766">
        <f>IF(1753&lt;$U$9,SUMPRODUCT(($D$10:$L$10&lt;&gt;"")*(($D$9:$L$9+INT(($S$12:$AA$12+INDEX($AJ$13:$AR$162,BN1766,0)+INDEX($AT$13:$BB$162,BO1766,0)+INDEX($BD$13:$BL$162,BP1766,0))/100))&gt;=$D$10:$L$10)),0)</f>
        <v/>
      </c>
      <c r="BR1766">
        <f>IF(1753&lt;$U$9,SUMPRODUCT(($D$10:$L$10&lt;&gt;"")*(($D$10:$L$10-($D$9:$L$9+INT(($S$12:$AA$12+INDEX($AJ$13:$AR$162,BN1766,0)+INDEX($AT$13:$BB$162,BO1766,0)+INDEX($BD$13:$BL$162,BP1766,0))/100)))&gt;0)*($D$10:$L$10-($D$9:$L$9+INT(($S$12:$AA$12+INDEX($AJ$13:$AR$162,BN1766,0)+INDEX($AT$13:$BB$162,BO1766,0)+INDEX($BD$13:$BL$162,BP1766,0))/100)))),0)</f>
        <v/>
      </c>
      <c r="BS1766">
        <f>IF(1753&lt;$U$9,SUMPRODUCT(($D$9:$L$9+INT(($S$12:$AA$12+INDEX($AJ$13:$AR$162,BN1766,0)+INDEX($AT$13:$BB$162,BO1766,0)+INDEX($BD$13:$BL$162,BP1766,0))/100))),0)</f>
        <v/>
      </c>
      <c r="BT1766">
        <f>IF(AND(1753&lt;$U$9,$W$5),BQ1766*1000000-MIN(BR1766,999)*1000+BS1766-1753/100000,-1000000000-1753)</f>
        <v/>
      </c>
    </row>
    <row r="1767">
      <c r="BN1767">
        <f>IF(1754&lt;$U$9,INT(1754/($U$7*$U$8))+1,1)</f>
        <v/>
      </c>
      <c r="BO1767">
        <f>IF(1754&lt;$U$9,MOD(INT(1754/$U$8),$U$7)+1,1)</f>
        <v/>
      </c>
      <c r="BP1767">
        <f>IF(1754&lt;$U$9,MOD(1754,$U$8)+1,1)</f>
        <v/>
      </c>
      <c r="BQ1767">
        <f>IF(1754&lt;$U$9,SUMPRODUCT(($D$10:$L$10&lt;&gt;"")*(($D$9:$L$9+INT(($S$12:$AA$12+INDEX($AJ$13:$AR$162,BN1767,0)+INDEX($AT$13:$BB$162,BO1767,0)+INDEX($BD$13:$BL$162,BP1767,0))/100))&gt;=$D$10:$L$10)),0)</f>
        <v/>
      </c>
      <c r="BR1767">
        <f>IF(1754&lt;$U$9,SUMPRODUCT(($D$10:$L$10&lt;&gt;"")*(($D$10:$L$10-($D$9:$L$9+INT(($S$12:$AA$12+INDEX($AJ$13:$AR$162,BN1767,0)+INDEX($AT$13:$BB$162,BO1767,0)+INDEX($BD$13:$BL$162,BP1767,0))/100)))&gt;0)*($D$10:$L$10-($D$9:$L$9+INT(($S$12:$AA$12+INDEX($AJ$13:$AR$162,BN1767,0)+INDEX($AT$13:$BB$162,BO1767,0)+INDEX($BD$13:$BL$162,BP1767,0))/100)))),0)</f>
        <v/>
      </c>
      <c r="BS1767">
        <f>IF(1754&lt;$U$9,SUMPRODUCT(($D$9:$L$9+INT(($S$12:$AA$12+INDEX($AJ$13:$AR$162,BN1767,0)+INDEX($AT$13:$BB$162,BO1767,0)+INDEX($BD$13:$BL$162,BP1767,0))/100))),0)</f>
        <v/>
      </c>
      <c r="BT1767">
        <f>IF(AND(1754&lt;$U$9,$W$5),BQ1767*1000000-MIN(BR1767,999)*1000+BS1767-1754/100000,-1000000000-1754)</f>
        <v/>
      </c>
    </row>
    <row r="1768">
      <c r="BN1768">
        <f>IF(1755&lt;$U$9,INT(1755/($U$7*$U$8))+1,1)</f>
        <v/>
      </c>
      <c r="BO1768">
        <f>IF(1755&lt;$U$9,MOD(INT(1755/$U$8),$U$7)+1,1)</f>
        <v/>
      </c>
      <c r="BP1768">
        <f>IF(1755&lt;$U$9,MOD(1755,$U$8)+1,1)</f>
        <v/>
      </c>
      <c r="BQ1768">
        <f>IF(1755&lt;$U$9,SUMPRODUCT(($D$10:$L$10&lt;&gt;"")*(($D$9:$L$9+INT(($S$12:$AA$12+INDEX($AJ$13:$AR$162,BN1768,0)+INDEX($AT$13:$BB$162,BO1768,0)+INDEX($BD$13:$BL$162,BP1768,0))/100))&gt;=$D$10:$L$10)),0)</f>
        <v/>
      </c>
      <c r="BR1768">
        <f>IF(1755&lt;$U$9,SUMPRODUCT(($D$10:$L$10&lt;&gt;"")*(($D$10:$L$10-($D$9:$L$9+INT(($S$12:$AA$12+INDEX($AJ$13:$AR$162,BN1768,0)+INDEX($AT$13:$BB$162,BO1768,0)+INDEX($BD$13:$BL$162,BP1768,0))/100)))&gt;0)*($D$10:$L$10-($D$9:$L$9+INT(($S$12:$AA$12+INDEX($AJ$13:$AR$162,BN1768,0)+INDEX($AT$13:$BB$162,BO1768,0)+INDEX($BD$13:$BL$162,BP1768,0))/100)))),0)</f>
        <v/>
      </c>
      <c r="BS1768">
        <f>IF(1755&lt;$U$9,SUMPRODUCT(($D$9:$L$9+INT(($S$12:$AA$12+INDEX($AJ$13:$AR$162,BN1768,0)+INDEX($AT$13:$BB$162,BO1768,0)+INDEX($BD$13:$BL$162,BP1768,0))/100))),0)</f>
        <v/>
      </c>
      <c r="BT1768">
        <f>IF(AND(1755&lt;$U$9,$W$5),BQ1768*1000000-MIN(BR1768,999)*1000+BS1768-1755/100000,-1000000000-1755)</f>
        <v/>
      </c>
    </row>
    <row r="1769">
      <c r="BN1769">
        <f>IF(1756&lt;$U$9,INT(1756/($U$7*$U$8))+1,1)</f>
        <v/>
      </c>
      <c r="BO1769">
        <f>IF(1756&lt;$U$9,MOD(INT(1756/$U$8),$U$7)+1,1)</f>
        <v/>
      </c>
      <c r="BP1769">
        <f>IF(1756&lt;$U$9,MOD(1756,$U$8)+1,1)</f>
        <v/>
      </c>
      <c r="BQ1769">
        <f>IF(1756&lt;$U$9,SUMPRODUCT(($D$10:$L$10&lt;&gt;"")*(($D$9:$L$9+INT(($S$12:$AA$12+INDEX($AJ$13:$AR$162,BN1769,0)+INDEX($AT$13:$BB$162,BO1769,0)+INDEX($BD$13:$BL$162,BP1769,0))/100))&gt;=$D$10:$L$10)),0)</f>
        <v/>
      </c>
      <c r="BR1769">
        <f>IF(1756&lt;$U$9,SUMPRODUCT(($D$10:$L$10&lt;&gt;"")*(($D$10:$L$10-($D$9:$L$9+INT(($S$12:$AA$12+INDEX($AJ$13:$AR$162,BN1769,0)+INDEX($AT$13:$BB$162,BO1769,0)+INDEX($BD$13:$BL$162,BP1769,0))/100)))&gt;0)*($D$10:$L$10-($D$9:$L$9+INT(($S$12:$AA$12+INDEX($AJ$13:$AR$162,BN1769,0)+INDEX($AT$13:$BB$162,BO1769,0)+INDEX($BD$13:$BL$162,BP1769,0))/100)))),0)</f>
        <v/>
      </c>
      <c r="BS1769">
        <f>IF(1756&lt;$U$9,SUMPRODUCT(($D$9:$L$9+INT(($S$12:$AA$12+INDEX($AJ$13:$AR$162,BN1769,0)+INDEX($AT$13:$BB$162,BO1769,0)+INDEX($BD$13:$BL$162,BP1769,0))/100))),0)</f>
        <v/>
      </c>
      <c r="BT1769">
        <f>IF(AND(1756&lt;$U$9,$W$5),BQ1769*1000000-MIN(BR1769,999)*1000+BS1769-1756/100000,-1000000000-1756)</f>
        <v/>
      </c>
    </row>
    <row r="1770">
      <c r="BN1770">
        <f>IF(1757&lt;$U$9,INT(1757/($U$7*$U$8))+1,1)</f>
        <v/>
      </c>
      <c r="BO1770">
        <f>IF(1757&lt;$U$9,MOD(INT(1757/$U$8),$U$7)+1,1)</f>
        <v/>
      </c>
      <c r="BP1770">
        <f>IF(1757&lt;$U$9,MOD(1757,$U$8)+1,1)</f>
        <v/>
      </c>
      <c r="BQ1770">
        <f>IF(1757&lt;$U$9,SUMPRODUCT(($D$10:$L$10&lt;&gt;"")*(($D$9:$L$9+INT(($S$12:$AA$12+INDEX($AJ$13:$AR$162,BN1770,0)+INDEX($AT$13:$BB$162,BO1770,0)+INDEX($BD$13:$BL$162,BP1770,0))/100))&gt;=$D$10:$L$10)),0)</f>
        <v/>
      </c>
      <c r="BR1770">
        <f>IF(1757&lt;$U$9,SUMPRODUCT(($D$10:$L$10&lt;&gt;"")*(($D$10:$L$10-($D$9:$L$9+INT(($S$12:$AA$12+INDEX($AJ$13:$AR$162,BN1770,0)+INDEX($AT$13:$BB$162,BO1770,0)+INDEX($BD$13:$BL$162,BP1770,0))/100)))&gt;0)*($D$10:$L$10-($D$9:$L$9+INT(($S$12:$AA$12+INDEX($AJ$13:$AR$162,BN1770,0)+INDEX($AT$13:$BB$162,BO1770,0)+INDEX($BD$13:$BL$162,BP1770,0))/100)))),0)</f>
        <v/>
      </c>
      <c r="BS1770">
        <f>IF(1757&lt;$U$9,SUMPRODUCT(($D$9:$L$9+INT(($S$12:$AA$12+INDEX($AJ$13:$AR$162,BN1770,0)+INDEX($AT$13:$BB$162,BO1770,0)+INDEX($BD$13:$BL$162,BP1770,0))/100))),0)</f>
        <v/>
      </c>
      <c r="BT1770">
        <f>IF(AND(1757&lt;$U$9,$W$5),BQ1770*1000000-MIN(BR1770,999)*1000+BS1770-1757/100000,-1000000000-1757)</f>
        <v/>
      </c>
    </row>
    <row r="1771">
      <c r="BN1771">
        <f>IF(1758&lt;$U$9,INT(1758/($U$7*$U$8))+1,1)</f>
        <v/>
      </c>
      <c r="BO1771">
        <f>IF(1758&lt;$U$9,MOD(INT(1758/$U$8),$U$7)+1,1)</f>
        <v/>
      </c>
      <c r="BP1771">
        <f>IF(1758&lt;$U$9,MOD(1758,$U$8)+1,1)</f>
        <v/>
      </c>
      <c r="BQ1771">
        <f>IF(1758&lt;$U$9,SUMPRODUCT(($D$10:$L$10&lt;&gt;"")*(($D$9:$L$9+INT(($S$12:$AA$12+INDEX($AJ$13:$AR$162,BN1771,0)+INDEX($AT$13:$BB$162,BO1771,0)+INDEX($BD$13:$BL$162,BP1771,0))/100))&gt;=$D$10:$L$10)),0)</f>
        <v/>
      </c>
      <c r="BR1771">
        <f>IF(1758&lt;$U$9,SUMPRODUCT(($D$10:$L$10&lt;&gt;"")*(($D$10:$L$10-($D$9:$L$9+INT(($S$12:$AA$12+INDEX($AJ$13:$AR$162,BN1771,0)+INDEX($AT$13:$BB$162,BO1771,0)+INDEX($BD$13:$BL$162,BP1771,0))/100)))&gt;0)*($D$10:$L$10-($D$9:$L$9+INT(($S$12:$AA$12+INDEX($AJ$13:$AR$162,BN1771,0)+INDEX($AT$13:$BB$162,BO1771,0)+INDEX($BD$13:$BL$162,BP1771,0))/100)))),0)</f>
        <v/>
      </c>
      <c r="BS1771">
        <f>IF(1758&lt;$U$9,SUMPRODUCT(($D$9:$L$9+INT(($S$12:$AA$12+INDEX($AJ$13:$AR$162,BN1771,0)+INDEX($AT$13:$BB$162,BO1771,0)+INDEX($BD$13:$BL$162,BP1771,0))/100))),0)</f>
        <v/>
      </c>
      <c r="BT1771">
        <f>IF(AND(1758&lt;$U$9,$W$5),BQ1771*1000000-MIN(BR1771,999)*1000+BS1771-1758/100000,-1000000000-1758)</f>
        <v/>
      </c>
    </row>
    <row r="1772">
      <c r="BN1772">
        <f>IF(1759&lt;$U$9,INT(1759/($U$7*$U$8))+1,1)</f>
        <v/>
      </c>
      <c r="BO1772">
        <f>IF(1759&lt;$U$9,MOD(INT(1759/$U$8),$U$7)+1,1)</f>
        <v/>
      </c>
      <c r="BP1772">
        <f>IF(1759&lt;$U$9,MOD(1759,$U$8)+1,1)</f>
        <v/>
      </c>
      <c r="BQ1772">
        <f>IF(1759&lt;$U$9,SUMPRODUCT(($D$10:$L$10&lt;&gt;"")*(($D$9:$L$9+INT(($S$12:$AA$12+INDEX($AJ$13:$AR$162,BN1772,0)+INDEX($AT$13:$BB$162,BO1772,0)+INDEX($BD$13:$BL$162,BP1772,0))/100))&gt;=$D$10:$L$10)),0)</f>
        <v/>
      </c>
      <c r="BR1772">
        <f>IF(1759&lt;$U$9,SUMPRODUCT(($D$10:$L$10&lt;&gt;"")*(($D$10:$L$10-($D$9:$L$9+INT(($S$12:$AA$12+INDEX($AJ$13:$AR$162,BN1772,0)+INDEX($AT$13:$BB$162,BO1772,0)+INDEX($BD$13:$BL$162,BP1772,0))/100)))&gt;0)*($D$10:$L$10-($D$9:$L$9+INT(($S$12:$AA$12+INDEX($AJ$13:$AR$162,BN1772,0)+INDEX($AT$13:$BB$162,BO1772,0)+INDEX($BD$13:$BL$162,BP1772,0))/100)))),0)</f>
        <v/>
      </c>
      <c r="BS1772">
        <f>IF(1759&lt;$U$9,SUMPRODUCT(($D$9:$L$9+INT(($S$12:$AA$12+INDEX($AJ$13:$AR$162,BN1772,0)+INDEX($AT$13:$BB$162,BO1772,0)+INDEX($BD$13:$BL$162,BP1772,0))/100))),0)</f>
        <v/>
      </c>
      <c r="BT1772">
        <f>IF(AND(1759&lt;$U$9,$W$5),BQ1772*1000000-MIN(BR1772,999)*1000+BS1772-1759/100000,-1000000000-1759)</f>
        <v/>
      </c>
    </row>
    <row r="1773">
      <c r="BN1773">
        <f>IF(1760&lt;$U$9,INT(1760/($U$7*$U$8))+1,1)</f>
        <v/>
      </c>
      <c r="BO1773">
        <f>IF(1760&lt;$U$9,MOD(INT(1760/$U$8),$U$7)+1,1)</f>
        <v/>
      </c>
      <c r="BP1773">
        <f>IF(1760&lt;$U$9,MOD(1760,$U$8)+1,1)</f>
        <v/>
      </c>
      <c r="BQ1773">
        <f>IF(1760&lt;$U$9,SUMPRODUCT(($D$10:$L$10&lt;&gt;"")*(($D$9:$L$9+INT(($S$12:$AA$12+INDEX($AJ$13:$AR$162,BN1773,0)+INDEX($AT$13:$BB$162,BO1773,0)+INDEX($BD$13:$BL$162,BP1773,0))/100))&gt;=$D$10:$L$10)),0)</f>
        <v/>
      </c>
      <c r="BR1773">
        <f>IF(1760&lt;$U$9,SUMPRODUCT(($D$10:$L$10&lt;&gt;"")*(($D$10:$L$10-($D$9:$L$9+INT(($S$12:$AA$12+INDEX($AJ$13:$AR$162,BN1773,0)+INDEX($AT$13:$BB$162,BO1773,0)+INDEX($BD$13:$BL$162,BP1773,0))/100)))&gt;0)*($D$10:$L$10-($D$9:$L$9+INT(($S$12:$AA$12+INDEX($AJ$13:$AR$162,BN1773,0)+INDEX($AT$13:$BB$162,BO1773,0)+INDEX($BD$13:$BL$162,BP1773,0))/100)))),0)</f>
        <v/>
      </c>
      <c r="BS1773">
        <f>IF(1760&lt;$U$9,SUMPRODUCT(($D$9:$L$9+INT(($S$12:$AA$12+INDEX($AJ$13:$AR$162,BN1773,0)+INDEX($AT$13:$BB$162,BO1773,0)+INDEX($BD$13:$BL$162,BP1773,0))/100))),0)</f>
        <v/>
      </c>
      <c r="BT1773">
        <f>IF(AND(1760&lt;$U$9,$W$5),BQ1773*1000000-MIN(BR1773,999)*1000+BS1773-1760/100000,-1000000000-1760)</f>
        <v/>
      </c>
    </row>
    <row r="1774">
      <c r="BN1774">
        <f>IF(1761&lt;$U$9,INT(1761/($U$7*$U$8))+1,1)</f>
        <v/>
      </c>
      <c r="BO1774">
        <f>IF(1761&lt;$U$9,MOD(INT(1761/$U$8),$U$7)+1,1)</f>
        <v/>
      </c>
      <c r="BP1774">
        <f>IF(1761&lt;$U$9,MOD(1761,$U$8)+1,1)</f>
        <v/>
      </c>
      <c r="BQ1774">
        <f>IF(1761&lt;$U$9,SUMPRODUCT(($D$10:$L$10&lt;&gt;"")*(($D$9:$L$9+INT(($S$12:$AA$12+INDEX($AJ$13:$AR$162,BN1774,0)+INDEX($AT$13:$BB$162,BO1774,0)+INDEX($BD$13:$BL$162,BP1774,0))/100))&gt;=$D$10:$L$10)),0)</f>
        <v/>
      </c>
      <c r="BR1774">
        <f>IF(1761&lt;$U$9,SUMPRODUCT(($D$10:$L$10&lt;&gt;"")*(($D$10:$L$10-($D$9:$L$9+INT(($S$12:$AA$12+INDEX($AJ$13:$AR$162,BN1774,0)+INDEX($AT$13:$BB$162,BO1774,0)+INDEX($BD$13:$BL$162,BP1774,0))/100)))&gt;0)*($D$10:$L$10-($D$9:$L$9+INT(($S$12:$AA$12+INDEX($AJ$13:$AR$162,BN1774,0)+INDEX($AT$13:$BB$162,BO1774,0)+INDEX($BD$13:$BL$162,BP1774,0))/100)))),0)</f>
        <v/>
      </c>
      <c r="BS1774">
        <f>IF(1761&lt;$U$9,SUMPRODUCT(($D$9:$L$9+INT(($S$12:$AA$12+INDEX($AJ$13:$AR$162,BN1774,0)+INDEX($AT$13:$BB$162,BO1774,0)+INDEX($BD$13:$BL$162,BP1774,0))/100))),0)</f>
        <v/>
      </c>
      <c r="BT1774">
        <f>IF(AND(1761&lt;$U$9,$W$5),BQ1774*1000000-MIN(BR1774,999)*1000+BS1774-1761/100000,-1000000000-1761)</f>
        <v/>
      </c>
    </row>
    <row r="1775">
      <c r="BN1775">
        <f>IF(1762&lt;$U$9,INT(1762/($U$7*$U$8))+1,1)</f>
        <v/>
      </c>
      <c r="BO1775">
        <f>IF(1762&lt;$U$9,MOD(INT(1762/$U$8),$U$7)+1,1)</f>
        <v/>
      </c>
      <c r="BP1775">
        <f>IF(1762&lt;$U$9,MOD(1762,$U$8)+1,1)</f>
        <v/>
      </c>
      <c r="BQ1775">
        <f>IF(1762&lt;$U$9,SUMPRODUCT(($D$10:$L$10&lt;&gt;"")*(($D$9:$L$9+INT(($S$12:$AA$12+INDEX($AJ$13:$AR$162,BN1775,0)+INDEX($AT$13:$BB$162,BO1775,0)+INDEX($BD$13:$BL$162,BP1775,0))/100))&gt;=$D$10:$L$10)),0)</f>
        <v/>
      </c>
      <c r="BR1775">
        <f>IF(1762&lt;$U$9,SUMPRODUCT(($D$10:$L$10&lt;&gt;"")*(($D$10:$L$10-($D$9:$L$9+INT(($S$12:$AA$12+INDEX($AJ$13:$AR$162,BN1775,0)+INDEX($AT$13:$BB$162,BO1775,0)+INDEX($BD$13:$BL$162,BP1775,0))/100)))&gt;0)*($D$10:$L$10-($D$9:$L$9+INT(($S$12:$AA$12+INDEX($AJ$13:$AR$162,BN1775,0)+INDEX($AT$13:$BB$162,BO1775,0)+INDEX($BD$13:$BL$162,BP1775,0))/100)))),0)</f>
        <v/>
      </c>
      <c r="BS1775">
        <f>IF(1762&lt;$U$9,SUMPRODUCT(($D$9:$L$9+INT(($S$12:$AA$12+INDEX($AJ$13:$AR$162,BN1775,0)+INDEX($AT$13:$BB$162,BO1775,0)+INDEX($BD$13:$BL$162,BP1775,0))/100))),0)</f>
        <v/>
      </c>
      <c r="BT1775">
        <f>IF(AND(1762&lt;$U$9,$W$5),BQ1775*1000000-MIN(BR1775,999)*1000+BS1775-1762/100000,-1000000000-1762)</f>
        <v/>
      </c>
    </row>
    <row r="1776">
      <c r="BN1776">
        <f>IF(1763&lt;$U$9,INT(1763/($U$7*$U$8))+1,1)</f>
        <v/>
      </c>
      <c r="BO1776">
        <f>IF(1763&lt;$U$9,MOD(INT(1763/$U$8),$U$7)+1,1)</f>
        <v/>
      </c>
      <c r="BP1776">
        <f>IF(1763&lt;$U$9,MOD(1763,$U$8)+1,1)</f>
        <v/>
      </c>
      <c r="BQ1776">
        <f>IF(1763&lt;$U$9,SUMPRODUCT(($D$10:$L$10&lt;&gt;"")*(($D$9:$L$9+INT(($S$12:$AA$12+INDEX($AJ$13:$AR$162,BN1776,0)+INDEX($AT$13:$BB$162,BO1776,0)+INDEX($BD$13:$BL$162,BP1776,0))/100))&gt;=$D$10:$L$10)),0)</f>
        <v/>
      </c>
      <c r="BR1776">
        <f>IF(1763&lt;$U$9,SUMPRODUCT(($D$10:$L$10&lt;&gt;"")*(($D$10:$L$10-($D$9:$L$9+INT(($S$12:$AA$12+INDEX($AJ$13:$AR$162,BN1776,0)+INDEX($AT$13:$BB$162,BO1776,0)+INDEX($BD$13:$BL$162,BP1776,0))/100)))&gt;0)*($D$10:$L$10-($D$9:$L$9+INT(($S$12:$AA$12+INDEX($AJ$13:$AR$162,BN1776,0)+INDEX($AT$13:$BB$162,BO1776,0)+INDEX($BD$13:$BL$162,BP1776,0))/100)))),0)</f>
        <v/>
      </c>
      <c r="BS1776">
        <f>IF(1763&lt;$U$9,SUMPRODUCT(($D$9:$L$9+INT(($S$12:$AA$12+INDEX($AJ$13:$AR$162,BN1776,0)+INDEX($AT$13:$BB$162,BO1776,0)+INDEX($BD$13:$BL$162,BP1776,0))/100))),0)</f>
        <v/>
      </c>
      <c r="BT1776">
        <f>IF(AND(1763&lt;$U$9,$W$5),BQ1776*1000000-MIN(BR1776,999)*1000+BS1776-1763/100000,-1000000000-1763)</f>
        <v/>
      </c>
    </row>
    <row r="1777">
      <c r="BN1777">
        <f>IF(1764&lt;$U$9,INT(1764/($U$7*$U$8))+1,1)</f>
        <v/>
      </c>
      <c r="BO1777">
        <f>IF(1764&lt;$U$9,MOD(INT(1764/$U$8),$U$7)+1,1)</f>
        <v/>
      </c>
      <c r="BP1777">
        <f>IF(1764&lt;$U$9,MOD(1764,$U$8)+1,1)</f>
        <v/>
      </c>
      <c r="BQ1777">
        <f>IF(1764&lt;$U$9,SUMPRODUCT(($D$10:$L$10&lt;&gt;"")*(($D$9:$L$9+INT(($S$12:$AA$12+INDEX($AJ$13:$AR$162,BN1777,0)+INDEX($AT$13:$BB$162,BO1777,0)+INDEX($BD$13:$BL$162,BP1777,0))/100))&gt;=$D$10:$L$10)),0)</f>
        <v/>
      </c>
      <c r="BR1777">
        <f>IF(1764&lt;$U$9,SUMPRODUCT(($D$10:$L$10&lt;&gt;"")*(($D$10:$L$10-($D$9:$L$9+INT(($S$12:$AA$12+INDEX($AJ$13:$AR$162,BN1777,0)+INDEX($AT$13:$BB$162,BO1777,0)+INDEX($BD$13:$BL$162,BP1777,0))/100)))&gt;0)*($D$10:$L$10-($D$9:$L$9+INT(($S$12:$AA$12+INDEX($AJ$13:$AR$162,BN1777,0)+INDEX($AT$13:$BB$162,BO1777,0)+INDEX($BD$13:$BL$162,BP1777,0))/100)))),0)</f>
        <v/>
      </c>
      <c r="BS1777">
        <f>IF(1764&lt;$U$9,SUMPRODUCT(($D$9:$L$9+INT(($S$12:$AA$12+INDEX($AJ$13:$AR$162,BN1777,0)+INDEX($AT$13:$BB$162,BO1777,0)+INDEX($BD$13:$BL$162,BP1777,0))/100))),0)</f>
        <v/>
      </c>
      <c r="BT1777">
        <f>IF(AND(1764&lt;$U$9,$W$5),BQ1777*1000000-MIN(BR1777,999)*1000+BS1777-1764/100000,-1000000000-1764)</f>
        <v/>
      </c>
    </row>
    <row r="1778">
      <c r="BN1778">
        <f>IF(1765&lt;$U$9,INT(1765/($U$7*$U$8))+1,1)</f>
        <v/>
      </c>
      <c r="BO1778">
        <f>IF(1765&lt;$U$9,MOD(INT(1765/$U$8),$U$7)+1,1)</f>
        <v/>
      </c>
      <c r="BP1778">
        <f>IF(1765&lt;$U$9,MOD(1765,$U$8)+1,1)</f>
        <v/>
      </c>
      <c r="BQ1778">
        <f>IF(1765&lt;$U$9,SUMPRODUCT(($D$10:$L$10&lt;&gt;"")*(($D$9:$L$9+INT(($S$12:$AA$12+INDEX($AJ$13:$AR$162,BN1778,0)+INDEX($AT$13:$BB$162,BO1778,0)+INDEX($BD$13:$BL$162,BP1778,0))/100))&gt;=$D$10:$L$10)),0)</f>
        <v/>
      </c>
      <c r="BR1778">
        <f>IF(1765&lt;$U$9,SUMPRODUCT(($D$10:$L$10&lt;&gt;"")*(($D$10:$L$10-($D$9:$L$9+INT(($S$12:$AA$12+INDEX($AJ$13:$AR$162,BN1778,0)+INDEX($AT$13:$BB$162,BO1778,0)+INDEX($BD$13:$BL$162,BP1778,0))/100)))&gt;0)*($D$10:$L$10-($D$9:$L$9+INT(($S$12:$AA$12+INDEX($AJ$13:$AR$162,BN1778,0)+INDEX($AT$13:$BB$162,BO1778,0)+INDEX($BD$13:$BL$162,BP1778,0))/100)))),0)</f>
        <v/>
      </c>
      <c r="BS1778">
        <f>IF(1765&lt;$U$9,SUMPRODUCT(($D$9:$L$9+INT(($S$12:$AA$12+INDEX($AJ$13:$AR$162,BN1778,0)+INDEX($AT$13:$BB$162,BO1778,0)+INDEX($BD$13:$BL$162,BP1778,0))/100))),0)</f>
        <v/>
      </c>
      <c r="BT1778">
        <f>IF(AND(1765&lt;$U$9,$W$5),BQ1778*1000000-MIN(BR1778,999)*1000+BS1778-1765/100000,-1000000000-1765)</f>
        <v/>
      </c>
    </row>
    <row r="1779">
      <c r="BN1779">
        <f>IF(1766&lt;$U$9,INT(1766/($U$7*$U$8))+1,1)</f>
        <v/>
      </c>
      <c r="BO1779">
        <f>IF(1766&lt;$U$9,MOD(INT(1766/$U$8),$U$7)+1,1)</f>
        <v/>
      </c>
      <c r="BP1779">
        <f>IF(1766&lt;$U$9,MOD(1766,$U$8)+1,1)</f>
        <v/>
      </c>
      <c r="BQ1779">
        <f>IF(1766&lt;$U$9,SUMPRODUCT(($D$10:$L$10&lt;&gt;"")*(($D$9:$L$9+INT(($S$12:$AA$12+INDEX($AJ$13:$AR$162,BN1779,0)+INDEX($AT$13:$BB$162,BO1779,0)+INDEX($BD$13:$BL$162,BP1779,0))/100))&gt;=$D$10:$L$10)),0)</f>
        <v/>
      </c>
      <c r="BR1779">
        <f>IF(1766&lt;$U$9,SUMPRODUCT(($D$10:$L$10&lt;&gt;"")*(($D$10:$L$10-($D$9:$L$9+INT(($S$12:$AA$12+INDEX($AJ$13:$AR$162,BN1779,0)+INDEX($AT$13:$BB$162,BO1779,0)+INDEX($BD$13:$BL$162,BP1779,0))/100)))&gt;0)*($D$10:$L$10-($D$9:$L$9+INT(($S$12:$AA$12+INDEX($AJ$13:$AR$162,BN1779,0)+INDEX($AT$13:$BB$162,BO1779,0)+INDEX($BD$13:$BL$162,BP1779,0))/100)))),0)</f>
        <v/>
      </c>
      <c r="BS1779">
        <f>IF(1766&lt;$U$9,SUMPRODUCT(($D$9:$L$9+INT(($S$12:$AA$12+INDEX($AJ$13:$AR$162,BN1779,0)+INDEX($AT$13:$BB$162,BO1779,0)+INDEX($BD$13:$BL$162,BP1779,0))/100))),0)</f>
        <v/>
      </c>
      <c r="BT1779">
        <f>IF(AND(1766&lt;$U$9,$W$5),BQ1779*1000000-MIN(BR1779,999)*1000+BS1779-1766/100000,-1000000000-1766)</f>
        <v/>
      </c>
    </row>
    <row r="1780">
      <c r="BN1780">
        <f>IF(1767&lt;$U$9,INT(1767/($U$7*$U$8))+1,1)</f>
        <v/>
      </c>
      <c r="BO1780">
        <f>IF(1767&lt;$U$9,MOD(INT(1767/$U$8),$U$7)+1,1)</f>
        <v/>
      </c>
      <c r="BP1780">
        <f>IF(1767&lt;$U$9,MOD(1767,$U$8)+1,1)</f>
        <v/>
      </c>
      <c r="BQ1780">
        <f>IF(1767&lt;$U$9,SUMPRODUCT(($D$10:$L$10&lt;&gt;"")*(($D$9:$L$9+INT(($S$12:$AA$12+INDEX($AJ$13:$AR$162,BN1780,0)+INDEX($AT$13:$BB$162,BO1780,0)+INDEX($BD$13:$BL$162,BP1780,0))/100))&gt;=$D$10:$L$10)),0)</f>
        <v/>
      </c>
      <c r="BR1780">
        <f>IF(1767&lt;$U$9,SUMPRODUCT(($D$10:$L$10&lt;&gt;"")*(($D$10:$L$10-($D$9:$L$9+INT(($S$12:$AA$12+INDEX($AJ$13:$AR$162,BN1780,0)+INDEX($AT$13:$BB$162,BO1780,0)+INDEX($BD$13:$BL$162,BP1780,0))/100)))&gt;0)*($D$10:$L$10-($D$9:$L$9+INT(($S$12:$AA$12+INDEX($AJ$13:$AR$162,BN1780,0)+INDEX($AT$13:$BB$162,BO1780,0)+INDEX($BD$13:$BL$162,BP1780,0))/100)))),0)</f>
        <v/>
      </c>
      <c r="BS1780">
        <f>IF(1767&lt;$U$9,SUMPRODUCT(($D$9:$L$9+INT(($S$12:$AA$12+INDEX($AJ$13:$AR$162,BN1780,0)+INDEX($AT$13:$BB$162,BO1780,0)+INDEX($BD$13:$BL$162,BP1780,0))/100))),0)</f>
        <v/>
      </c>
      <c r="BT1780">
        <f>IF(AND(1767&lt;$U$9,$W$5),BQ1780*1000000-MIN(BR1780,999)*1000+BS1780-1767/100000,-1000000000-1767)</f>
        <v/>
      </c>
    </row>
    <row r="1781">
      <c r="BN1781">
        <f>IF(1768&lt;$U$9,INT(1768/($U$7*$U$8))+1,1)</f>
        <v/>
      </c>
      <c r="BO1781">
        <f>IF(1768&lt;$U$9,MOD(INT(1768/$U$8),$U$7)+1,1)</f>
        <v/>
      </c>
      <c r="BP1781">
        <f>IF(1768&lt;$U$9,MOD(1768,$U$8)+1,1)</f>
        <v/>
      </c>
      <c r="BQ1781">
        <f>IF(1768&lt;$U$9,SUMPRODUCT(($D$10:$L$10&lt;&gt;"")*(($D$9:$L$9+INT(($S$12:$AA$12+INDEX($AJ$13:$AR$162,BN1781,0)+INDEX($AT$13:$BB$162,BO1781,0)+INDEX($BD$13:$BL$162,BP1781,0))/100))&gt;=$D$10:$L$10)),0)</f>
        <v/>
      </c>
      <c r="BR1781">
        <f>IF(1768&lt;$U$9,SUMPRODUCT(($D$10:$L$10&lt;&gt;"")*(($D$10:$L$10-($D$9:$L$9+INT(($S$12:$AA$12+INDEX($AJ$13:$AR$162,BN1781,0)+INDEX($AT$13:$BB$162,BO1781,0)+INDEX($BD$13:$BL$162,BP1781,0))/100)))&gt;0)*($D$10:$L$10-($D$9:$L$9+INT(($S$12:$AA$12+INDEX($AJ$13:$AR$162,BN1781,0)+INDEX($AT$13:$BB$162,BO1781,0)+INDEX($BD$13:$BL$162,BP1781,0))/100)))),0)</f>
        <v/>
      </c>
      <c r="BS1781">
        <f>IF(1768&lt;$U$9,SUMPRODUCT(($D$9:$L$9+INT(($S$12:$AA$12+INDEX($AJ$13:$AR$162,BN1781,0)+INDEX($AT$13:$BB$162,BO1781,0)+INDEX($BD$13:$BL$162,BP1781,0))/100))),0)</f>
        <v/>
      </c>
      <c r="BT1781">
        <f>IF(AND(1768&lt;$U$9,$W$5),BQ1781*1000000-MIN(BR1781,999)*1000+BS1781-1768/100000,-1000000000-1768)</f>
        <v/>
      </c>
    </row>
    <row r="1782">
      <c r="BN1782">
        <f>IF(1769&lt;$U$9,INT(1769/($U$7*$U$8))+1,1)</f>
        <v/>
      </c>
      <c r="BO1782">
        <f>IF(1769&lt;$U$9,MOD(INT(1769/$U$8),$U$7)+1,1)</f>
        <v/>
      </c>
      <c r="BP1782">
        <f>IF(1769&lt;$U$9,MOD(1769,$U$8)+1,1)</f>
        <v/>
      </c>
      <c r="BQ1782">
        <f>IF(1769&lt;$U$9,SUMPRODUCT(($D$10:$L$10&lt;&gt;"")*(($D$9:$L$9+INT(($S$12:$AA$12+INDEX($AJ$13:$AR$162,BN1782,0)+INDEX($AT$13:$BB$162,BO1782,0)+INDEX($BD$13:$BL$162,BP1782,0))/100))&gt;=$D$10:$L$10)),0)</f>
        <v/>
      </c>
      <c r="BR1782">
        <f>IF(1769&lt;$U$9,SUMPRODUCT(($D$10:$L$10&lt;&gt;"")*(($D$10:$L$10-($D$9:$L$9+INT(($S$12:$AA$12+INDEX($AJ$13:$AR$162,BN1782,0)+INDEX($AT$13:$BB$162,BO1782,0)+INDEX($BD$13:$BL$162,BP1782,0))/100)))&gt;0)*($D$10:$L$10-($D$9:$L$9+INT(($S$12:$AA$12+INDEX($AJ$13:$AR$162,BN1782,0)+INDEX($AT$13:$BB$162,BO1782,0)+INDEX($BD$13:$BL$162,BP1782,0))/100)))),0)</f>
        <v/>
      </c>
      <c r="BS1782">
        <f>IF(1769&lt;$U$9,SUMPRODUCT(($D$9:$L$9+INT(($S$12:$AA$12+INDEX($AJ$13:$AR$162,BN1782,0)+INDEX($AT$13:$BB$162,BO1782,0)+INDEX($BD$13:$BL$162,BP1782,0))/100))),0)</f>
        <v/>
      </c>
      <c r="BT1782">
        <f>IF(AND(1769&lt;$U$9,$W$5),BQ1782*1000000-MIN(BR1782,999)*1000+BS1782-1769/100000,-1000000000-1769)</f>
        <v/>
      </c>
    </row>
    <row r="1783">
      <c r="BN1783">
        <f>IF(1770&lt;$U$9,INT(1770/($U$7*$U$8))+1,1)</f>
        <v/>
      </c>
      <c r="BO1783">
        <f>IF(1770&lt;$U$9,MOD(INT(1770/$U$8),$U$7)+1,1)</f>
        <v/>
      </c>
      <c r="BP1783">
        <f>IF(1770&lt;$U$9,MOD(1770,$U$8)+1,1)</f>
        <v/>
      </c>
      <c r="BQ1783">
        <f>IF(1770&lt;$U$9,SUMPRODUCT(($D$10:$L$10&lt;&gt;"")*(($D$9:$L$9+INT(($S$12:$AA$12+INDEX($AJ$13:$AR$162,BN1783,0)+INDEX($AT$13:$BB$162,BO1783,0)+INDEX($BD$13:$BL$162,BP1783,0))/100))&gt;=$D$10:$L$10)),0)</f>
        <v/>
      </c>
      <c r="BR1783">
        <f>IF(1770&lt;$U$9,SUMPRODUCT(($D$10:$L$10&lt;&gt;"")*(($D$10:$L$10-($D$9:$L$9+INT(($S$12:$AA$12+INDEX($AJ$13:$AR$162,BN1783,0)+INDEX($AT$13:$BB$162,BO1783,0)+INDEX($BD$13:$BL$162,BP1783,0))/100)))&gt;0)*($D$10:$L$10-($D$9:$L$9+INT(($S$12:$AA$12+INDEX($AJ$13:$AR$162,BN1783,0)+INDEX($AT$13:$BB$162,BO1783,0)+INDEX($BD$13:$BL$162,BP1783,0))/100)))),0)</f>
        <v/>
      </c>
      <c r="BS1783">
        <f>IF(1770&lt;$U$9,SUMPRODUCT(($D$9:$L$9+INT(($S$12:$AA$12+INDEX($AJ$13:$AR$162,BN1783,0)+INDEX($AT$13:$BB$162,BO1783,0)+INDEX($BD$13:$BL$162,BP1783,0))/100))),0)</f>
        <v/>
      </c>
      <c r="BT1783">
        <f>IF(AND(1770&lt;$U$9,$W$5),BQ1783*1000000-MIN(BR1783,999)*1000+BS1783-1770/100000,-1000000000-1770)</f>
        <v/>
      </c>
    </row>
    <row r="1784">
      <c r="BN1784">
        <f>IF(1771&lt;$U$9,INT(1771/($U$7*$U$8))+1,1)</f>
        <v/>
      </c>
      <c r="BO1784">
        <f>IF(1771&lt;$U$9,MOD(INT(1771/$U$8),$U$7)+1,1)</f>
        <v/>
      </c>
      <c r="BP1784">
        <f>IF(1771&lt;$U$9,MOD(1771,$U$8)+1,1)</f>
        <v/>
      </c>
      <c r="BQ1784">
        <f>IF(1771&lt;$U$9,SUMPRODUCT(($D$10:$L$10&lt;&gt;"")*(($D$9:$L$9+INT(($S$12:$AA$12+INDEX($AJ$13:$AR$162,BN1784,0)+INDEX($AT$13:$BB$162,BO1784,0)+INDEX($BD$13:$BL$162,BP1784,0))/100))&gt;=$D$10:$L$10)),0)</f>
        <v/>
      </c>
      <c r="BR1784">
        <f>IF(1771&lt;$U$9,SUMPRODUCT(($D$10:$L$10&lt;&gt;"")*(($D$10:$L$10-($D$9:$L$9+INT(($S$12:$AA$12+INDEX($AJ$13:$AR$162,BN1784,0)+INDEX($AT$13:$BB$162,BO1784,0)+INDEX($BD$13:$BL$162,BP1784,0))/100)))&gt;0)*($D$10:$L$10-($D$9:$L$9+INT(($S$12:$AA$12+INDEX($AJ$13:$AR$162,BN1784,0)+INDEX($AT$13:$BB$162,BO1784,0)+INDEX($BD$13:$BL$162,BP1784,0))/100)))),0)</f>
        <v/>
      </c>
      <c r="BS1784">
        <f>IF(1771&lt;$U$9,SUMPRODUCT(($D$9:$L$9+INT(($S$12:$AA$12+INDEX($AJ$13:$AR$162,BN1784,0)+INDEX($AT$13:$BB$162,BO1784,0)+INDEX($BD$13:$BL$162,BP1784,0))/100))),0)</f>
        <v/>
      </c>
      <c r="BT1784">
        <f>IF(AND(1771&lt;$U$9,$W$5),BQ1784*1000000-MIN(BR1784,999)*1000+BS1784-1771/100000,-1000000000-1771)</f>
        <v/>
      </c>
    </row>
    <row r="1785">
      <c r="BN1785">
        <f>IF(1772&lt;$U$9,INT(1772/($U$7*$U$8))+1,1)</f>
        <v/>
      </c>
      <c r="BO1785">
        <f>IF(1772&lt;$U$9,MOD(INT(1772/$U$8),$U$7)+1,1)</f>
        <v/>
      </c>
      <c r="BP1785">
        <f>IF(1772&lt;$U$9,MOD(1772,$U$8)+1,1)</f>
        <v/>
      </c>
      <c r="BQ1785">
        <f>IF(1772&lt;$U$9,SUMPRODUCT(($D$10:$L$10&lt;&gt;"")*(($D$9:$L$9+INT(($S$12:$AA$12+INDEX($AJ$13:$AR$162,BN1785,0)+INDEX($AT$13:$BB$162,BO1785,0)+INDEX($BD$13:$BL$162,BP1785,0))/100))&gt;=$D$10:$L$10)),0)</f>
        <v/>
      </c>
      <c r="BR1785">
        <f>IF(1772&lt;$U$9,SUMPRODUCT(($D$10:$L$10&lt;&gt;"")*(($D$10:$L$10-($D$9:$L$9+INT(($S$12:$AA$12+INDEX($AJ$13:$AR$162,BN1785,0)+INDEX($AT$13:$BB$162,BO1785,0)+INDEX($BD$13:$BL$162,BP1785,0))/100)))&gt;0)*($D$10:$L$10-($D$9:$L$9+INT(($S$12:$AA$12+INDEX($AJ$13:$AR$162,BN1785,0)+INDEX($AT$13:$BB$162,BO1785,0)+INDEX($BD$13:$BL$162,BP1785,0))/100)))),0)</f>
        <v/>
      </c>
      <c r="BS1785">
        <f>IF(1772&lt;$U$9,SUMPRODUCT(($D$9:$L$9+INT(($S$12:$AA$12+INDEX($AJ$13:$AR$162,BN1785,0)+INDEX($AT$13:$BB$162,BO1785,0)+INDEX($BD$13:$BL$162,BP1785,0))/100))),0)</f>
        <v/>
      </c>
      <c r="BT1785">
        <f>IF(AND(1772&lt;$U$9,$W$5),BQ1785*1000000-MIN(BR1785,999)*1000+BS1785-1772/100000,-1000000000-1772)</f>
        <v/>
      </c>
    </row>
    <row r="1786">
      <c r="BN1786">
        <f>IF(1773&lt;$U$9,INT(1773/($U$7*$U$8))+1,1)</f>
        <v/>
      </c>
      <c r="BO1786">
        <f>IF(1773&lt;$U$9,MOD(INT(1773/$U$8),$U$7)+1,1)</f>
        <v/>
      </c>
      <c r="BP1786">
        <f>IF(1773&lt;$U$9,MOD(1773,$U$8)+1,1)</f>
        <v/>
      </c>
      <c r="BQ1786">
        <f>IF(1773&lt;$U$9,SUMPRODUCT(($D$10:$L$10&lt;&gt;"")*(($D$9:$L$9+INT(($S$12:$AA$12+INDEX($AJ$13:$AR$162,BN1786,0)+INDEX($AT$13:$BB$162,BO1786,0)+INDEX($BD$13:$BL$162,BP1786,0))/100))&gt;=$D$10:$L$10)),0)</f>
        <v/>
      </c>
      <c r="BR1786">
        <f>IF(1773&lt;$U$9,SUMPRODUCT(($D$10:$L$10&lt;&gt;"")*(($D$10:$L$10-($D$9:$L$9+INT(($S$12:$AA$12+INDEX($AJ$13:$AR$162,BN1786,0)+INDEX($AT$13:$BB$162,BO1786,0)+INDEX($BD$13:$BL$162,BP1786,0))/100)))&gt;0)*($D$10:$L$10-($D$9:$L$9+INT(($S$12:$AA$12+INDEX($AJ$13:$AR$162,BN1786,0)+INDEX($AT$13:$BB$162,BO1786,0)+INDEX($BD$13:$BL$162,BP1786,0))/100)))),0)</f>
        <v/>
      </c>
      <c r="BS1786">
        <f>IF(1773&lt;$U$9,SUMPRODUCT(($D$9:$L$9+INT(($S$12:$AA$12+INDEX($AJ$13:$AR$162,BN1786,0)+INDEX($AT$13:$BB$162,BO1786,0)+INDEX($BD$13:$BL$162,BP1786,0))/100))),0)</f>
        <v/>
      </c>
      <c r="BT1786">
        <f>IF(AND(1773&lt;$U$9,$W$5),BQ1786*1000000-MIN(BR1786,999)*1000+BS1786-1773/100000,-1000000000-1773)</f>
        <v/>
      </c>
    </row>
    <row r="1787">
      <c r="BN1787">
        <f>IF(1774&lt;$U$9,INT(1774/($U$7*$U$8))+1,1)</f>
        <v/>
      </c>
      <c r="BO1787">
        <f>IF(1774&lt;$U$9,MOD(INT(1774/$U$8),$U$7)+1,1)</f>
        <v/>
      </c>
      <c r="BP1787">
        <f>IF(1774&lt;$U$9,MOD(1774,$U$8)+1,1)</f>
        <v/>
      </c>
      <c r="BQ1787">
        <f>IF(1774&lt;$U$9,SUMPRODUCT(($D$10:$L$10&lt;&gt;"")*(($D$9:$L$9+INT(($S$12:$AA$12+INDEX($AJ$13:$AR$162,BN1787,0)+INDEX($AT$13:$BB$162,BO1787,0)+INDEX($BD$13:$BL$162,BP1787,0))/100))&gt;=$D$10:$L$10)),0)</f>
        <v/>
      </c>
      <c r="BR1787">
        <f>IF(1774&lt;$U$9,SUMPRODUCT(($D$10:$L$10&lt;&gt;"")*(($D$10:$L$10-($D$9:$L$9+INT(($S$12:$AA$12+INDEX($AJ$13:$AR$162,BN1787,0)+INDEX($AT$13:$BB$162,BO1787,0)+INDEX($BD$13:$BL$162,BP1787,0))/100)))&gt;0)*($D$10:$L$10-($D$9:$L$9+INT(($S$12:$AA$12+INDEX($AJ$13:$AR$162,BN1787,0)+INDEX($AT$13:$BB$162,BO1787,0)+INDEX($BD$13:$BL$162,BP1787,0))/100)))),0)</f>
        <v/>
      </c>
      <c r="BS1787">
        <f>IF(1774&lt;$U$9,SUMPRODUCT(($D$9:$L$9+INT(($S$12:$AA$12+INDEX($AJ$13:$AR$162,BN1787,0)+INDEX($AT$13:$BB$162,BO1787,0)+INDEX($BD$13:$BL$162,BP1787,0))/100))),0)</f>
        <v/>
      </c>
      <c r="BT1787">
        <f>IF(AND(1774&lt;$U$9,$W$5),BQ1787*1000000-MIN(BR1787,999)*1000+BS1787-1774/100000,-1000000000-1774)</f>
        <v/>
      </c>
    </row>
    <row r="1788">
      <c r="BN1788">
        <f>IF(1775&lt;$U$9,INT(1775/($U$7*$U$8))+1,1)</f>
        <v/>
      </c>
      <c r="BO1788">
        <f>IF(1775&lt;$U$9,MOD(INT(1775/$U$8),$U$7)+1,1)</f>
        <v/>
      </c>
      <c r="BP1788">
        <f>IF(1775&lt;$U$9,MOD(1775,$U$8)+1,1)</f>
        <v/>
      </c>
      <c r="BQ1788">
        <f>IF(1775&lt;$U$9,SUMPRODUCT(($D$10:$L$10&lt;&gt;"")*(($D$9:$L$9+INT(($S$12:$AA$12+INDEX($AJ$13:$AR$162,BN1788,0)+INDEX($AT$13:$BB$162,BO1788,0)+INDEX($BD$13:$BL$162,BP1788,0))/100))&gt;=$D$10:$L$10)),0)</f>
        <v/>
      </c>
      <c r="BR1788">
        <f>IF(1775&lt;$U$9,SUMPRODUCT(($D$10:$L$10&lt;&gt;"")*(($D$10:$L$10-($D$9:$L$9+INT(($S$12:$AA$12+INDEX($AJ$13:$AR$162,BN1788,0)+INDEX($AT$13:$BB$162,BO1788,0)+INDEX($BD$13:$BL$162,BP1788,0))/100)))&gt;0)*($D$10:$L$10-($D$9:$L$9+INT(($S$12:$AA$12+INDEX($AJ$13:$AR$162,BN1788,0)+INDEX($AT$13:$BB$162,BO1788,0)+INDEX($BD$13:$BL$162,BP1788,0))/100)))),0)</f>
        <v/>
      </c>
      <c r="BS1788">
        <f>IF(1775&lt;$U$9,SUMPRODUCT(($D$9:$L$9+INT(($S$12:$AA$12+INDEX($AJ$13:$AR$162,BN1788,0)+INDEX($AT$13:$BB$162,BO1788,0)+INDEX($BD$13:$BL$162,BP1788,0))/100))),0)</f>
        <v/>
      </c>
      <c r="BT1788">
        <f>IF(AND(1775&lt;$U$9,$W$5),BQ1788*1000000-MIN(BR1788,999)*1000+BS1788-1775/100000,-1000000000-1775)</f>
        <v/>
      </c>
    </row>
    <row r="1789">
      <c r="BN1789">
        <f>IF(1776&lt;$U$9,INT(1776/($U$7*$U$8))+1,1)</f>
        <v/>
      </c>
      <c r="BO1789">
        <f>IF(1776&lt;$U$9,MOD(INT(1776/$U$8),$U$7)+1,1)</f>
        <v/>
      </c>
      <c r="BP1789">
        <f>IF(1776&lt;$U$9,MOD(1776,$U$8)+1,1)</f>
        <v/>
      </c>
      <c r="BQ1789">
        <f>IF(1776&lt;$U$9,SUMPRODUCT(($D$10:$L$10&lt;&gt;"")*(($D$9:$L$9+INT(($S$12:$AA$12+INDEX($AJ$13:$AR$162,BN1789,0)+INDEX($AT$13:$BB$162,BO1789,0)+INDEX($BD$13:$BL$162,BP1789,0))/100))&gt;=$D$10:$L$10)),0)</f>
        <v/>
      </c>
      <c r="BR1789">
        <f>IF(1776&lt;$U$9,SUMPRODUCT(($D$10:$L$10&lt;&gt;"")*(($D$10:$L$10-($D$9:$L$9+INT(($S$12:$AA$12+INDEX($AJ$13:$AR$162,BN1789,0)+INDEX($AT$13:$BB$162,BO1789,0)+INDEX($BD$13:$BL$162,BP1789,0))/100)))&gt;0)*($D$10:$L$10-($D$9:$L$9+INT(($S$12:$AA$12+INDEX($AJ$13:$AR$162,BN1789,0)+INDEX($AT$13:$BB$162,BO1789,0)+INDEX($BD$13:$BL$162,BP1789,0))/100)))),0)</f>
        <v/>
      </c>
      <c r="BS1789">
        <f>IF(1776&lt;$U$9,SUMPRODUCT(($D$9:$L$9+INT(($S$12:$AA$12+INDEX($AJ$13:$AR$162,BN1789,0)+INDEX($AT$13:$BB$162,BO1789,0)+INDEX($BD$13:$BL$162,BP1789,0))/100))),0)</f>
        <v/>
      </c>
      <c r="BT1789">
        <f>IF(AND(1776&lt;$U$9,$W$5),BQ1789*1000000-MIN(BR1789,999)*1000+BS1789-1776/100000,-1000000000-1776)</f>
        <v/>
      </c>
    </row>
    <row r="1790">
      <c r="BN1790">
        <f>IF(1777&lt;$U$9,INT(1777/($U$7*$U$8))+1,1)</f>
        <v/>
      </c>
      <c r="BO1790">
        <f>IF(1777&lt;$U$9,MOD(INT(1777/$U$8),$U$7)+1,1)</f>
        <v/>
      </c>
      <c r="BP1790">
        <f>IF(1777&lt;$U$9,MOD(1777,$U$8)+1,1)</f>
        <v/>
      </c>
      <c r="BQ1790">
        <f>IF(1777&lt;$U$9,SUMPRODUCT(($D$10:$L$10&lt;&gt;"")*(($D$9:$L$9+INT(($S$12:$AA$12+INDEX($AJ$13:$AR$162,BN1790,0)+INDEX($AT$13:$BB$162,BO1790,0)+INDEX($BD$13:$BL$162,BP1790,0))/100))&gt;=$D$10:$L$10)),0)</f>
        <v/>
      </c>
      <c r="BR1790">
        <f>IF(1777&lt;$U$9,SUMPRODUCT(($D$10:$L$10&lt;&gt;"")*(($D$10:$L$10-($D$9:$L$9+INT(($S$12:$AA$12+INDEX($AJ$13:$AR$162,BN1790,0)+INDEX($AT$13:$BB$162,BO1790,0)+INDEX($BD$13:$BL$162,BP1790,0))/100)))&gt;0)*($D$10:$L$10-($D$9:$L$9+INT(($S$12:$AA$12+INDEX($AJ$13:$AR$162,BN1790,0)+INDEX($AT$13:$BB$162,BO1790,0)+INDEX($BD$13:$BL$162,BP1790,0))/100)))),0)</f>
        <v/>
      </c>
      <c r="BS1790">
        <f>IF(1777&lt;$U$9,SUMPRODUCT(($D$9:$L$9+INT(($S$12:$AA$12+INDEX($AJ$13:$AR$162,BN1790,0)+INDEX($AT$13:$BB$162,BO1790,0)+INDEX($BD$13:$BL$162,BP1790,0))/100))),0)</f>
        <v/>
      </c>
      <c r="BT1790">
        <f>IF(AND(1777&lt;$U$9,$W$5),BQ1790*1000000-MIN(BR1790,999)*1000+BS1790-1777/100000,-1000000000-1777)</f>
        <v/>
      </c>
    </row>
    <row r="1791">
      <c r="BN1791">
        <f>IF(1778&lt;$U$9,INT(1778/($U$7*$U$8))+1,1)</f>
        <v/>
      </c>
      <c r="BO1791">
        <f>IF(1778&lt;$U$9,MOD(INT(1778/$U$8),$U$7)+1,1)</f>
        <v/>
      </c>
      <c r="BP1791">
        <f>IF(1778&lt;$U$9,MOD(1778,$U$8)+1,1)</f>
        <v/>
      </c>
      <c r="BQ1791">
        <f>IF(1778&lt;$U$9,SUMPRODUCT(($D$10:$L$10&lt;&gt;"")*(($D$9:$L$9+INT(($S$12:$AA$12+INDEX($AJ$13:$AR$162,BN1791,0)+INDEX($AT$13:$BB$162,BO1791,0)+INDEX($BD$13:$BL$162,BP1791,0))/100))&gt;=$D$10:$L$10)),0)</f>
        <v/>
      </c>
      <c r="BR1791">
        <f>IF(1778&lt;$U$9,SUMPRODUCT(($D$10:$L$10&lt;&gt;"")*(($D$10:$L$10-($D$9:$L$9+INT(($S$12:$AA$12+INDEX($AJ$13:$AR$162,BN1791,0)+INDEX($AT$13:$BB$162,BO1791,0)+INDEX($BD$13:$BL$162,BP1791,0))/100)))&gt;0)*($D$10:$L$10-($D$9:$L$9+INT(($S$12:$AA$12+INDEX($AJ$13:$AR$162,BN1791,0)+INDEX($AT$13:$BB$162,BO1791,0)+INDEX($BD$13:$BL$162,BP1791,0))/100)))),0)</f>
        <v/>
      </c>
      <c r="BS1791">
        <f>IF(1778&lt;$U$9,SUMPRODUCT(($D$9:$L$9+INT(($S$12:$AA$12+INDEX($AJ$13:$AR$162,BN1791,0)+INDEX($AT$13:$BB$162,BO1791,0)+INDEX($BD$13:$BL$162,BP1791,0))/100))),0)</f>
        <v/>
      </c>
      <c r="BT1791">
        <f>IF(AND(1778&lt;$U$9,$W$5),BQ1791*1000000-MIN(BR1791,999)*1000+BS1791-1778/100000,-1000000000-1778)</f>
        <v/>
      </c>
    </row>
    <row r="1792">
      <c r="BN1792">
        <f>IF(1779&lt;$U$9,INT(1779/($U$7*$U$8))+1,1)</f>
        <v/>
      </c>
      <c r="BO1792">
        <f>IF(1779&lt;$U$9,MOD(INT(1779/$U$8),$U$7)+1,1)</f>
        <v/>
      </c>
      <c r="BP1792">
        <f>IF(1779&lt;$U$9,MOD(1779,$U$8)+1,1)</f>
        <v/>
      </c>
      <c r="BQ1792">
        <f>IF(1779&lt;$U$9,SUMPRODUCT(($D$10:$L$10&lt;&gt;"")*(($D$9:$L$9+INT(($S$12:$AA$12+INDEX($AJ$13:$AR$162,BN1792,0)+INDEX($AT$13:$BB$162,BO1792,0)+INDEX($BD$13:$BL$162,BP1792,0))/100))&gt;=$D$10:$L$10)),0)</f>
        <v/>
      </c>
      <c r="BR1792">
        <f>IF(1779&lt;$U$9,SUMPRODUCT(($D$10:$L$10&lt;&gt;"")*(($D$10:$L$10-($D$9:$L$9+INT(($S$12:$AA$12+INDEX($AJ$13:$AR$162,BN1792,0)+INDEX($AT$13:$BB$162,BO1792,0)+INDEX($BD$13:$BL$162,BP1792,0))/100)))&gt;0)*($D$10:$L$10-($D$9:$L$9+INT(($S$12:$AA$12+INDEX($AJ$13:$AR$162,BN1792,0)+INDEX($AT$13:$BB$162,BO1792,0)+INDEX($BD$13:$BL$162,BP1792,0))/100)))),0)</f>
        <v/>
      </c>
      <c r="BS1792">
        <f>IF(1779&lt;$U$9,SUMPRODUCT(($D$9:$L$9+INT(($S$12:$AA$12+INDEX($AJ$13:$AR$162,BN1792,0)+INDEX($AT$13:$BB$162,BO1792,0)+INDEX($BD$13:$BL$162,BP1792,0))/100))),0)</f>
        <v/>
      </c>
      <c r="BT1792">
        <f>IF(AND(1779&lt;$U$9,$W$5),BQ1792*1000000-MIN(BR1792,999)*1000+BS1792-1779/100000,-1000000000-1779)</f>
        <v/>
      </c>
    </row>
    <row r="1793">
      <c r="BN1793">
        <f>IF(1780&lt;$U$9,INT(1780/($U$7*$U$8))+1,1)</f>
        <v/>
      </c>
      <c r="BO1793">
        <f>IF(1780&lt;$U$9,MOD(INT(1780/$U$8),$U$7)+1,1)</f>
        <v/>
      </c>
      <c r="BP1793">
        <f>IF(1780&lt;$U$9,MOD(1780,$U$8)+1,1)</f>
        <v/>
      </c>
      <c r="BQ1793">
        <f>IF(1780&lt;$U$9,SUMPRODUCT(($D$10:$L$10&lt;&gt;"")*(($D$9:$L$9+INT(($S$12:$AA$12+INDEX($AJ$13:$AR$162,BN1793,0)+INDEX($AT$13:$BB$162,BO1793,0)+INDEX($BD$13:$BL$162,BP1793,0))/100))&gt;=$D$10:$L$10)),0)</f>
        <v/>
      </c>
      <c r="BR1793">
        <f>IF(1780&lt;$U$9,SUMPRODUCT(($D$10:$L$10&lt;&gt;"")*(($D$10:$L$10-($D$9:$L$9+INT(($S$12:$AA$12+INDEX($AJ$13:$AR$162,BN1793,0)+INDEX($AT$13:$BB$162,BO1793,0)+INDEX($BD$13:$BL$162,BP1793,0))/100)))&gt;0)*($D$10:$L$10-($D$9:$L$9+INT(($S$12:$AA$12+INDEX($AJ$13:$AR$162,BN1793,0)+INDEX($AT$13:$BB$162,BO1793,0)+INDEX($BD$13:$BL$162,BP1793,0))/100)))),0)</f>
        <v/>
      </c>
      <c r="BS1793">
        <f>IF(1780&lt;$U$9,SUMPRODUCT(($D$9:$L$9+INT(($S$12:$AA$12+INDEX($AJ$13:$AR$162,BN1793,0)+INDEX($AT$13:$BB$162,BO1793,0)+INDEX($BD$13:$BL$162,BP1793,0))/100))),0)</f>
        <v/>
      </c>
      <c r="BT1793">
        <f>IF(AND(1780&lt;$U$9,$W$5),BQ1793*1000000-MIN(BR1793,999)*1000+BS1793-1780/100000,-1000000000-1780)</f>
        <v/>
      </c>
    </row>
    <row r="1794">
      <c r="BN1794">
        <f>IF(1781&lt;$U$9,INT(1781/($U$7*$U$8))+1,1)</f>
        <v/>
      </c>
      <c r="BO1794">
        <f>IF(1781&lt;$U$9,MOD(INT(1781/$U$8),$U$7)+1,1)</f>
        <v/>
      </c>
      <c r="BP1794">
        <f>IF(1781&lt;$U$9,MOD(1781,$U$8)+1,1)</f>
        <v/>
      </c>
      <c r="BQ1794">
        <f>IF(1781&lt;$U$9,SUMPRODUCT(($D$10:$L$10&lt;&gt;"")*(($D$9:$L$9+INT(($S$12:$AA$12+INDEX($AJ$13:$AR$162,BN1794,0)+INDEX($AT$13:$BB$162,BO1794,0)+INDEX($BD$13:$BL$162,BP1794,0))/100))&gt;=$D$10:$L$10)),0)</f>
        <v/>
      </c>
      <c r="BR1794">
        <f>IF(1781&lt;$U$9,SUMPRODUCT(($D$10:$L$10&lt;&gt;"")*(($D$10:$L$10-($D$9:$L$9+INT(($S$12:$AA$12+INDEX($AJ$13:$AR$162,BN1794,0)+INDEX($AT$13:$BB$162,BO1794,0)+INDEX($BD$13:$BL$162,BP1794,0))/100)))&gt;0)*($D$10:$L$10-($D$9:$L$9+INT(($S$12:$AA$12+INDEX($AJ$13:$AR$162,BN1794,0)+INDEX($AT$13:$BB$162,BO1794,0)+INDEX($BD$13:$BL$162,BP1794,0))/100)))),0)</f>
        <v/>
      </c>
      <c r="BS1794">
        <f>IF(1781&lt;$U$9,SUMPRODUCT(($D$9:$L$9+INT(($S$12:$AA$12+INDEX($AJ$13:$AR$162,BN1794,0)+INDEX($AT$13:$BB$162,BO1794,0)+INDEX($BD$13:$BL$162,BP1794,0))/100))),0)</f>
        <v/>
      </c>
      <c r="BT1794">
        <f>IF(AND(1781&lt;$U$9,$W$5),BQ1794*1000000-MIN(BR1794,999)*1000+BS1794-1781/100000,-1000000000-1781)</f>
        <v/>
      </c>
    </row>
    <row r="1795">
      <c r="BN1795">
        <f>IF(1782&lt;$U$9,INT(1782/($U$7*$U$8))+1,1)</f>
        <v/>
      </c>
      <c r="BO1795">
        <f>IF(1782&lt;$U$9,MOD(INT(1782/$U$8),$U$7)+1,1)</f>
        <v/>
      </c>
      <c r="BP1795">
        <f>IF(1782&lt;$U$9,MOD(1782,$U$8)+1,1)</f>
        <v/>
      </c>
      <c r="BQ1795">
        <f>IF(1782&lt;$U$9,SUMPRODUCT(($D$10:$L$10&lt;&gt;"")*(($D$9:$L$9+INT(($S$12:$AA$12+INDEX($AJ$13:$AR$162,BN1795,0)+INDEX($AT$13:$BB$162,BO1795,0)+INDEX($BD$13:$BL$162,BP1795,0))/100))&gt;=$D$10:$L$10)),0)</f>
        <v/>
      </c>
      <c r="BR1795">
        <f>IF(1782&lt;$U$9,SUMPRODUCT(($D$10:$L$10&lt;&gt;"")*(($D$10:$L$10-($D$9:$L$9+INT(($S$12:$AA$12+INDEX($AJ$13:$AR$162,BN1795,0)+INDEX($AT$13:$BB$162,BO1795,0)+INDEX($BD$13:$BL$162,BP1795,0))/100)))&gt;0)*($D$10:$L$10-($D$9:$L$9+INT(($S$12:$AA$12+INDEX($AJ$13:$AR$162,BN1795,0)+INDEX($AT$13:$BB$162,BO1795,0)+INDEX($BD$13:$BL$162,BP1795,0))/100)))),0)</f>
        <v/>
      </c>
      <c r="BS1795">
        <f>IF(1782&lt;$U$9,SUMPRODUCT(($D$9:$L$9+INT(($S$12:$AA$12+INDEX($AJ$13:$AR$162,BN1795,0)+INDEX($AT$13:$BB$162,BO1795,0)+INDEX($BD$13:$BL$162,BP1795,0))/100))),0)</f>
        <v/>
      </c>
      <c r="BT1795">
        <f>IF(AND(1782&lt;$U$9,$W$5),BQ1795*1000000-MIN(BR1795,999)*1000+BS1795-1782/100000,-1000000000-1782)</f>
        <v/>
      </c>
    </row>
    <row r="1796">
      <c r="BN1796">
        <f>IF(1783&lt;$U$9,INT(1783/($U$7*$U$8))+1,1)</f>
        <v/>
      </c>
      <c r="BO1796">
        <f>IF(1783&lt;$U$9,MOD(INT(1783/$U$8),$U$7)+1,1)</f>
        <v/>
      </c>
      <c r="BP1796">
        <f>IF(1783&lt;$U$9,MOD(1783,$U$8)+1,1)</f>
        <v/>
      </c>
      <c r="BQ1796">
        <f>IF(1783&lt;$U$9,SUMPRODUCT(($D$10:$L$10&lt;&gt;"")*(($D$9:$L$9+INT(($S$12:$AA$12+INDEX($AJ$13:$AR$162,BN1796,0)+INDEX($AT$13:$BB$162,BO1796,0)+INDEX($BD$13:$BL$162,BP1796,0))/100))&gt;=$D$10:$L$10)),0)</f>
        <v/>
      </c>
      <c r="BR1796">
        <f>IF(1783&lt;$U$9,SUMPRODUCT(($D$10:$L$10&lt;&gt;"")*(($D$10:$L$10-($D$9:$L$9+INT(($S$12:$AA$12+INDEX($AJ$13:$AR$162,BN1796,0)+INDEX($AT$13:$BB$162,BO1796,0)+INDEX($BD$13:$BL$162,BP1796,0))/100)))&gt;0)*($D$10:$L$10-($D$9:$L$9+INT(($S$12:$AA$12+INDEX($AJ$13:$AR$162,BN1796,0)+INDEX($AT$13:$BB$162,BO1796,0)+INDEX($BD$13:$BL$162,BP1796,0))/100)))),0)</f>
        <v/>
      </c>
      <c r="BS1796">
        <f>IF(1783&lt;$U$9,SUMPRODUCT(($D$9:$L$9+INT(($S$12:$AA$12+INDEX($AJ$13:$AR$162,BN1796,0)+INDEX($AT$13:$BB$162,BO1796,0)+INDEX($BD$13:$BL$162,BP1796,0))/100))),0)</f>
        <v/>
      </c>
      <c r="BT1796">
        <f>IF(AND(1783&lt;$U$9,$W$5),BQ1796*1000000-MIN(BR1796,999)*1000+BS1796-1783/100000,-1000000000-1783)</f>
        <v/>
      </c>
    </row>
    <row r="1797">
      <c r="BN1797">
        <f>IF(1784&lt;$U$9,INT(1784/($U$7*$U$8))+1,1)</f>
        <v/>
      </c>
      <c r="BO1797">
        <f>IF(1784&lt;$U$9,MOD(INT(1784/$U$8),$U$7)+1,1)</f>
        <v/>
      </c>
      <c r="BP1797">
        <f>IF(1784&lt;$U$9,MOD(1784,$U$8)+1,1)</f>
        <v/>
      </c>
      <c r="BQ1797">
        <f>IF(1784&lt;$U$9,SUMPRODUCT(($D$10:$L$10&lt;&gt;"")*(($D$9:$L$9+INT(($S$12:$AA$12+INDEX($AJ$13:$AR$162,BN1797,0)+INDEX($AT$13:$BB$162,BO1797,0)+INDEX($BD$13:$BL$162,BP1797,0))/100))&gt;=$D$10:$L$10)),0)</f>
        <v/>
      </c>
      <c r="BR1797">
        <f>IF(1784&lt;$U$9,SUMPRODUCT(($D$10:$L$10&lt;&gt;"")*(($D$10:$L$10-($D$9:$L$9+INT(($S$12:$AA$12+INDEX($AJ$13:$AR$162,BN1797,0)+INDEX($AT$13:$BB$162,BO1797,0)+INDEX($BD$13:$BL$162,BP1797,0))/100)))&gt;0)*($D$10:$L$10-($D$9:$L$9+INT(($S$12:$AA$12+INDEX($AJ$13:$AR$162,BN1797,0)+INDEX($AT$13:$BB$162,BO1797,0)+INDEX($BD$13:$BL$162,BP1797,0))/100)))),0)</f>
        <v/>
      </c>
      <c r="BS1797">
        <f>IF(1784&lt;$U$9,SUMPRODUCT(($D$9:$L$9+INT(($S$12:$AA$12+INDEX($AJ$13:$AR$162,BN1797,0)+INDEX($AT$13:$BB$162,BO1797,0)+INDEX($BD$13:$BL$162,BP1797,0))/100))),0)</f>
        <v/>
      </c>
      <c r="BT1797">
        <f>IF(AND(1784&lt;$U$9,$W$5),BQ1797*1000000-MIN(BR1797,999)*1000+BS1797-1784/100000,-1000000000-1784)</f>
        <v/>
      </c>
    </row>
    <row r="1798">
      <c r="BN1798">
        <f>IF(1785&lt;$U$9,INT(1785/($U$7*$U$8))+1,1)</f>
        <v/>
      </c>
      <c r="BO1798">
        <f>IF(1785&lt;$U$9,MOD(INT(1785/$U$8),$U$7)+1,1)</f>
        <v/>
      </c>
      <c r="BP1798">
        <f>IF(1785&lt;$U$9,MOD(1785,$U$8)+1,1)</f>
        <v/>
      </c>
      <c r="BQ1798">
        <f>IF(1785&lt;$U$9,SUMPRODUCT(($D$10:$L$10&lt;&gt;"")*(($D$9:$L$9+INT(($S$12:$AA$12+INDEX($AJ$13:$AR$162,BN1798,0)+INDEX($AT$13:$BB$162,BO1798,0)+INDEX($BD$13:$BL$162,BP1798,0))/100))&gt;=$D$10:$L$10)),0)</f>
        <v/>
      </c>
      <c r="BR1798">
        <f>IF(1785&lt;$U$9,SUMPRODUCT(($D$10:$L$10&lt;&gt;"")*(($D$10:$L$10-($D$9:$L$9+INT(($S$12:$AA$12+INDEX($AJ$13:$AR$162,BN1798,0)+INDEX($AT$13:$BB$162,BO1798,0)+INDEX($BD$13:$BL$162,BP1798,0))/100)))&gt;0)*($D$10:$L$10-($D$9:$L$9+INT(($S$12:$AA$12+INDEX($AJ$13:$AR$162,BN1798,0)+INDEX($AT$13:$BB$162,BO1798,0)+INDEX($BD$13:$BL$162,BP1798,0))/100)))),0)</f>
        <v/>
      </c>
      <c r="BS1798">
        <f>IF(1785&lt;$U$9,SUMPRODUCT(($D$9:$L$9+INT(($S$12:$AA$12+INDEX($AJ$13:$AR$162,BN1798,0)+INDEX($AT$13:$BB$162,BO1798,0)+INDEX($BD$13:$BL$162,BP1798,0))/100))),0)</f>
        <v/>
      </c>
      <c r="BT1798">
        <f>IF(AND(1785&lt;$U$9,$W$5),BQ1798*1000000-MIN(BR1798,999)*1000+BS1798-1785/100000,-1000000000-1785)</f>
        <v/>
      </c>
    </row>
    <row r="1799">
      <c r="BN1799">
        <f>IF(1786&lt;$U$9,INT(1786/($U$7*$U$8))+1,1)</f>
        <v/>
      </c>
      <c r="BO1799">
        <f>IF(1786&lt;$U$9,MOD(INT(1786/$U$8),$U$7)+1,1)</f>
        <v/>
      </c>
      <c r="BP1799">
        <f>IF(1786&lt;$U$9,MOD(1786,$U$8)+1,1)</f>
        <v/>
      </c>
      <c r="BQ1799">
        <f>IF(1786&lt;$U$9,SUMPRODUCT(($D$10:$L$10&lt;&gt;"")*(($D$9:$L$9+INT(($S$12:$AA$12+INDEX($AJ$13:$AR$162,BN1799,0)+INDEX($AT$13:$BB$162,BO1799,0)+INDEX($BD$13:$BL$162,BP1799,0))/100))&gt;=$D$10:$L$10)),0)</f>
        <v/>
      </c>
      <c r="BR1799">
        <f>IF(1786&lt;$U$9,SUMPRODUCT(($D$10:$L$10&lt;&gt;"")*(($D$10:$L$10-($D$9:$L$9+INT(($S$12:$AA$12+INDEX($AJ$13:$AR$162,BN1799,0)+INDEX($AT$13:$BB$162,BO1799,0)+INDEX($BD$13:$BL$162,BP1799,0))/100)))&gt;0)*($D$10:$L$10-($D$9:$L$9+INT(($S$12:$AA$12+INDEX($AJ$13:$AR$162,BN1799,0)+INDEX($AT$13:$BB$162,BO1799,0)+INDEX($BD$13:$BL$162,BP1799,0))/100)))),0)</f>
        <v/>
      </c>
      <c r="BS1799">
        <f>IF(1786&lt;$U$9,SUMPRODUCT(($D$9:$L$9+INT(($S$12:$AA$12+INDEX($AJ$13:$AR$162,BN1799,0)+INDEX($AT$13:$BB$162,BO1799,0)+INDEX($BD$13:$BL$162,BP1799,0))/100))),0)</f>
        <v/>
      </c>
      <c r="BT1799">
        <f>IF(AND(1786&lt;$U$9,$W$5),BQ1799*1000000-MIN(BR1799,999)*1000+BS1799-1786/100000,-1000000000-1786)</f>
        <v/>
      </c>
    </row>
    <row r="1800">
      <c r="BN1800">
        <f>IF(1787&lt;$U$9,INT(1787/($U$7*$U$8))+1,1)</f>
        <v/>
      </c>
      <c r="BO1800">
        <f>IF(1787&lt;$U$9,MOD(INT(1787/$U$8),$U$7)+1,1)</f>
        <v/>
      </c>
      <c r="BP1800">
        <f>IF(1787&lt;$U$9,MOD(1787,$U$8)+1,1)</f>
        <v/>
      </c>
      <c r="BQ1800">
        <f>IF(1787&lt;$U$9,SUMPRODUCT(($D$10:$L$10&lt;&gt;"")*(($D$9:$L$9+INT(($S$12:$AA$12+INDEX($AJ$13:$AR$162,BN1800,0)+INDEX($AT$13:$BB$162,BO1800,0)+INDEX($BD$13:$BL$162,BP1800,0))/100))&gt;=$D$10:$L$10)),0)</f>
        <v/>
      </c>
      <c r="BR1800">
        <f>IF(1787&lt;$U$9,SUMPRODUCT(($D$10:$L$10&lt;&gt;"")*(($D$10:$L$10-($D$9:$L$9+INT(($S$12:$AA$12+INDEX($AJ$13:$AR$162,BN1800,0)+INDEX($AT$13:$BB$162,BO1800,0)+INDEX($BD$13:$BL$162,BP1800,0))/100)))&gt;0)*($D$10:$L$10-($D$9:$L$9+INT(($S$12:$AA$12+INDEX($AJ$13:$AR$162,BN1800,0)+INDEX($AT$13:$BB$162,BO1800,0)+INDEX($BD$13:$BL$162,BP1800,0))/100)))),0)</f>
        <v/>
      </c>
      <c r="BS1800">
        <f>IF(1787&lt;$U$9,SUMPRODUCT(($D$9:$L$9+INT(($S$12:$AA$12+INDEX($AJ$13:$AR$162,BN1800,0)+INDEX($AT$13:$BB$162,BO1800,0)+INDEX($BD$13:$BL$162,BP1800,0))/100))),0)</f>
        <v/>
      </c>
      <c r="BT1800">
        <f>IF(AND(1787&lt;$U$9,$W$5),BQ1800*1000000-MIN(BR1800,999)*1000+BS1800-1787/100000,-1000000000-1787)</f>
        <v/>
      </c>
    </row>
    <row r="1801">
      <c r="BN1801">
        <f>IF(1788&lt;$U$9,INT(1788/($U$7*$U$8))+1,1)</f>
        <v/>
      </c>
      <c r="BO1801">
        <f>IF(1788&lt;$U$9,MOD(INT(1788/$U$8),$U$7)+1,1)</f>
        <v/>
      </c>
      <c r="BP1801">
        <f>IF(1788&lt;$U$9,MOD(1788,$U$8)+1,1)</f>
        <v/>
      </c>
      <c r="BQ1801">
        <f>IF(1788&lt;$U$9,SUMPRODUCT(($D$10:$L$10&lt;&gt;"")*(($D$9:$L$9+INT(($S$12:$AA$12+INDEX($AJ$13:$AR$162,BN1801,0)+INDEX($AT$13:$BB$162,BO1801,0)+INDEX($BD$13:$BL$162,BP1801,0))/100))&gt;=$D$10:$L$10)),0)</f>
        <v/>
      </c>
      <c r="BR1801">
        <f>IF(1788&lt;$U$9,SUMPRODUCT(($D$10:$L$10&lt;&gt;"")*(($D$10:$L$10-($D$9:$L$9+INT(($S$12:$AA$12+INDEX($AJ$13:$AR$162,BN1801,0)+INDEX($AT$13:$BB$162,BO1801,0)+INDEX($BD$13:$BL$162,BP1801,0))/100)))&gt;0)*($D$10:$L$10-($D$9:$L$9+INT(($S$12:$AA$12+INDEX($AJ$13:$AR$162,BN1801,0)+INDEX($AT$13:$BB$162,BO1801,0)+INDEX($BD$13:$BL$162,BP1801,0))/100)))),0)</f>
        <v/>
      </c>
      <c r="BS1801">
        <f>IF(1788&lt;$U$9,SUMPRODUCT(($D$9:$L$9+INT(($S$12:$AA$12+INDEX($AJ$13:$AR$162,BN1801,0)+INDEX($AT$13:$BB$162,BO1801,0)+INDEX($BD$13:$BL$162,BP1801,0))/100))),0)</f>
        <v/>
      </c>
      <c r="BT1801">
        <f>IF(AND(1788&lt;$U$9,$W$5),BQ1801*1000000-MIN(BR1801,999)*1000+BS1801-1788/100000,-1000000000-1788)</f>
        <v/>
      </c>
    </row>
    <row r="1802">
      <c r="BN1802">
        <f>IF(1789&lt;$U$9,INT(1789/($U$7*$U$8))+1,1)</f>
        <v/>
      </c>
      <c r="BO1802">
        <f>IF(1789&lt;$U$9,MOD(INT(1789/$U$8),$U$7)+1,1)</f>
        <v/>
      </c>
      <c r="BP1802">
        <f>IF(1789&lt;$U$9,MOD(1789,$U$8)+1,1)</f>
        <v/>
      </c>
      <c r="BQ1802">
        <f>IF(1789&lt;$U$9,SUMPRODUCT(($D$10:$L$10&lt;&gt;"")*(($D$9:$L$9+INT(($S$12:$AA$12+INDEX($AJ$13:$AR$162,BN1802,0)+INDEX($AT$13:$BB$162,BO1802,0)+INDEX($BD$13:$BL$162,BP1802,0))/100))&gt;=$D$10:$L$10)),0)</f>
        <v/>
      </c>
      <c r="BR1802">
        <f>IF(1789&lt;$U$9,SUMPRODUCT(($D$10:$L$10&lt;&gt;"")*(($D$10:$L$10-($D$9:$L$9+INT(($S$12:$AA$12+INDEX($AJ$13:$AR$162,BN1802,0)+INDEX($AT$13:$BB$162,BO1802,0)+INDEX($BD$13:$BL$162,BP1802,0))/100)))&gt;0)*($D$10:$L$10-($D$9:$L$9+INT(($S$12:$AA$12+INDEX($AJ$13:$AR$162,BN1802,0)+INDEX($AT$13:$BB$162,BO1802,0)+INDEX($BD$13:$BL$162,BP1802,0))/100)))),0)</f>
        <v/>
      </c>
      <c r="BS1802">
        <f>IF(1789&lt;$U$9,SUMPRODUCT(($D$9:$L$9+INT(($S$12:$AA$12+INDEX($AJ$13:$AR$162,BN1802,0)+INDEX($AT$13:$BB$162,BO1802,0)+INDEX($BD$13:$BL$162,BP1802,0))/100))),0)</f>
        <v/>
      </c>
      <c r="BT1802">
        <f>IF(AND(1789&lt;$U$9,$W$5),BQ1802*1000000-MIN(BR1802,999)*1000+BS1802-1789/100000,-1000000000-1789)</f>
        <v/>
      </c>
    </row>
    <row r="1803">
      <c r="BN1803">
        <f>IF(1790&lt;$U$9,INT(1790/($U$7*$U$8))+1,1)</f>
        <v/>
      </c>
      <c r="BO1803">
        <f>IF(1790&lt;$U$9,MOD(INT(1790/$U$8),$U$7)+1,1)</f>
        <v/>
      </c>
      <c r="BP1803">
        <f>IF(1790&lt;$U$9,MOD(1790,$U$8)+1,1)</f>
        <v/>
      </c>
      <c r="BQ1803">
        <f>IF(1790&lt;$U$9,SUMPRODUCT(($D$10:$L$10&lt;&gt;"")*(($D$9:$L$9+INT(($S$12:$AA$12+INDEX($AJ$13:$AR$162,BN1803,0)+INDEX($AT$13:$BB$162,BO1803,0)+INDEX($BD$13:$BL$162,BP1803,0))/100))&gt;=$D$10:$L$10)),0)</f>
        <v/>
      </c>
      <c r="BR1803">
        <f>IF(1790&lt;$U$9,SUMPRODUCT(($D$10:$L$10&lt;&gt;"")*(($D$10:$L$10-($D$9:$L$9+INT(($S$12:$AA$12+INDEX($AJ$13:$AR$162,BN1803,0)+INDEX($AT$13:$BB$162,BO1803,0)+INDEX($BD$13:$BL$162,BP1803,0))/100)))&gt;0)*($D$10:$L$10-($D$9:$L$9+INT(($S$12:$AA$12+INDEX($AJ$13:$AR$162,BN1803,0)+INDEX($AT$13:$BB$162,BO1803,0)+INDEX($BD$13:$BL$162,BP1803,0))/100)))),0)</f>
        <v/>
      </c>
      <c r="BS1803">
        <f>IF(1790&lt;$U$9,SUMPRODUCT(($D$9:$L$9+INT(($S$12:$AA$12+INDEX($AJ$13:$AR$162,BN1803,0)+INDEX($AT$13:$BB$162,BO1803,0)+INDEX($BD$13:$BL$162,BP1803,0))/100))),0)</f>
        <v/>
      </c>
      <c r="BT1803">
        <f>IF(AND(1790&lt;$U$9,$W$5),BQ1803*1000000-MIN(BR1803,999)*1000+BS1803-1790/100000,-1000000000-1790)</f>
        <v/>
      </c>
    </row>
    <row r="1804">
      <c r="BN1804">
        <f>IF(1791&lt;$U$9,INT(1791/($U$7*$U$8))+1,1)</f>
        <v/>
      </c>
      <c r="BO1804">
        <f>IF(1791&lt;$U$9,MOD(INT(1791/$U$8),$U$7)+1,1)</f>
        <v/>
      </c>
      <c r="BP1804">
        <f>IF(1791&lt;$U$9,MOD(1791,$U$8)+1,1)</f>
        <v/>
      </c>
      <c r="BQ1804">
        <f>IF(1791&lt;$U$9,SUMPRODUCT(($D$10:$L$10&lt;&gt;"")*(($D$9:$L$9+INT(($S$12:$AA$12+INDEX($AJ$13:$AR$162,BN1804,0)+INDEX($AT$13:$BB$162,BO1804,0)+INDEX($BD$13:$BL$162,BP1804,0))/100))&gt;=$D$10:$L$10)),0)</f>
        <v/>
      </c>
      <c r="BR1804">
        <f>IF(1791&lt;$U$9,SUMPRODUCT(($D$10:$L$10&lt;&gt;"")*(($D$10:$L$10-($D$9:$L$9+INT(($S$12:$AA$12+INDEX($AJ$13:$AR$162,BN1804,0)+INDEX($AT$13:$BB$162,BO1804,0)+INDEX($BD$13:$BL$162,BP1804,0))/100)))&gt;0)*($D$10:$L$10-($D$9:$L$9+INT(($S$12:$AA$12+INDEX($AJ$13:$AR$162,BN1804,0)+INDEX($AT$13:$BB$162,BO1804,0)+INDEX($BD$13:$BL$162,BP1804,0))/100)))),0)</f>
        <v/>
      </c>
      <c r="BS1804">
        <f>IF(1791&lt;$U$9,SUMPRODUCT(($D$9:$L$9+INT(($S$12:$AA$12+INDEX($AJ$13:$AR$162,BN1804,0)+INDEX($AT$13:$BB$162,BO1804,0)+INDEX($BD$13:$BL$162,BP1804,0))/100))),0)</f>
        <v/>
      </c>
      <c r="BT1804">
        <f>IF(AND(1791&lt;$U$9,$W$5),BQ1804*1000000-MIN(BR1804,999)*1000+BS1804-1791/100000,-1000000000-1791)</f>
        <v/>
      </c>
    </row>
    <row r="1805">
      <c r="BN1805">
        <f>IF(1792&lt;$U$9,INT(1792/($U$7*$U$8))+1,1)</f>
        <v/>
      </c>
      <c r="BO1805">
        <f>IF(1792&lt;$U$9,MOD(INT(1792/$U$8),$U$7)+1,1)</f>
        <v/>
      </c>
      <c r="BP1805">
        <f>IF(1792&lt;$U$9,MOD(1792,$U$8)+1,1)</f>
        <v/>
      </c>
      <c r="BQ1805">
        <f>IF(1792&lt;$U$9,SUMPRODUCT(($D$10:$L$10&lt;&gt;"")*(($D$9:$L$9+INT(($S$12:$AA$12+INDEX($AJ$13:$AR$162,BN1805,0)+INDEX($AT$13:$BB$162,BO1805,0)+INDEX($BD$13:$BL$162,BP1805,0))/100))&gt;=$D$10:$L$10)),0)</f>
        <v/>
      </c>
      <c r="BR1805">
        <f>IF(1792&lt;$U$9,SUMPRODUCT(($D$10:$L$10&lt;&gt;"")*(($D$10:$L$10-($D$9:$L$9+INT(($S$12:$AA$12+INDEX($AJ$13:$AR$162,BN1805,0)+INDEX($AT$13:$BB$162,BO1805,0)+INDEX($BD$13:$BL$162,BP1805,0))/100)))&gt;0)*($D$10:$L$10-($D$9:$L$9+INT(($S$12:$AA$12+INDEX($AJ$13:$AR$162,BN1805,0)+INDEX($AT$13:$BB$162,BO1805,0)+INDEX($BD$13:$BL$162,BP1805,0))/100)))),0)</f>
        <v/>
      </c>
      <c r="BS1805">
        <f>IF(1792&lt;$U$9,SUMPRODUCT(($D$9:$L$9+INT(($S$12:$AA$12+INDEX($AJ$13:$AR$162,BN1805,0)+INDEX($AT$13:$BB$162,BO1805,0)+INDEX($BD$13:$BL$162,BP1805,0))/100))),0)</f>
        <v/>
      </c>
      <c r="BT1805">
        <f>IF(AND(1792&lt;$U$9,$W$5),BQ1805*1000000-MIN(BR1805,999)*1000+BS1805-1792/100000,-1000000000-1792)</f>
        <v/>
      </c>
    </row>
    <row r="1806">
      <c r="BN1806">
        <f>IF(1793&lt;$U$9,INT(1793/($U$7*$U$8))+1,1)</f>
        <v/>
      </c>
      <c r="BO1806">
        <f>IF(1793&lt;$U$9,MOD(INT(1793/$U$8),$U$7)+1,1)</f>
        <v/>
      </c>
      <c r="BP1806">
        <f>IF(1793&lt;$U$9,MOD(1793,$U$8)+1,1)</f>
        <v/>
      </c>
      <c r="BQ1806">
        <f>IF(1793&lt;$U$9,SUMPRODUCT(($D$10:$L$10&lt;&gt;"")*(($D$9:$L$9+INT(($S$12:$AA$12+INDEX($AJ$13:$AR$162,BN1806,0)+INDEX($AT$13:$BB$162,BO1806,0)+INDEX($BD$13:$BL$162,BP1806,0))/100))&gt;=$D$10:$L$10)),0)</f>
        <v/>
      </c>
      <c r="BR1806">
        <f>IF(1793&lt;$U$9,SUMPRODUCT(($D$10:$L$10&lt;&gt;"")*(($D$10:$L$10-($D$9:$L$9+INT(($S$12:$AA$12+INDEX($AJ$13:$AR$162,BN1806,0)+INDEX($AT$13:$BB$162,BO1806,0)+INDEX($BD$13:$BL$162,BP1806,0))/100)))&gt;0)*($D$10:$L$10-($D$9:$L$9+INT(($S$12:$AA$12+INDEX($AJ$13:$AR$162,BN1806,0)+INDEX($AT$13:$BB$162,BO1806,0)+INDEX($BD$13:$BL$162,BP1806,0))/100)))),0)</f>
        <v/>
      </c>
      <c r="BS1806">
        <f>IF(1793&lt;$U$9,SUMPRODUCT(($D$9:$L$9+INT(($S$12:$AA$12+INDEX($AJ$13:$AR$162,BN1806,0)+INDEX($AT$13:$BB$162,BO1806,0)+INDEX($BD$13:$BL$162,BP1806,0))/100))),0)</f>
        <v/>
      </c>
      <c r="BT1806">
        <f>IF(AND(1793&lt;$U$9,$W$5),BQ1806*1000000-MIN(BR1806,999)*1000+BS1806-1793/100000,-1000000000-1793)</f>
        <v/>
      </c>
    </row>
    <row r="1807">
      <c r="BN1807">
        <f>IF(1794&lt;$U$9,INT(1794/($U$7*$U$8))+1,1)</f>
        <v/>
      </c>
      <c r="BO1807">
        <f>IF(1794&lt;$U$9,MOD(INT(1794/$U$8),$U$7)+1,1)</f>
        <v/>
      </c>
      <c r="BP1807">
        <f>IF(1794&lt;$U$9,MOD(1794,$U$8)+1,1)</f>
        <v/>
      </c>
      <c r="BQ1807">
        <f>IF(1794&lt;$U$9,SUMPRODUCT(($D$10:$L$10&lt;&gt;"")*(($D$9:$L$9+INT(($S$12:$AA$12+INDEX($AJ$13:$AR$162,BN1807,0)+INDEX($AT$13:$BB$162,BO1807,0)+INDEX($BD$13:$BL$162,BP1807,0))/100))&gt;=$D$10:$L$10)),0)</f>
        <v/>
      </c>
      <c r="BR1807">
        <f>IF(1794&lt;$U$9,SUMPRODUCT(($D$10:$L$10&lt;&gt;"")*(($D$10:$L$10-($D$9:$L$9+INT(($S$12:$AA$12+INDEX($AJ$13:$AR$162,BN1807,0)+INDEX($AT$13:$BB$162,BO1807,0)+INDEX($BD$13:$BL$162,BP1807,0))/100)))&gt;0)*($D$10:$L$10-($D$9:$L$9+INT(($S$12:$AA$12+INDEX($AJ$13:$AR$162,BN1807,0)+INDEX($AT$13:$BB$162,BO1807,0)+INDEX($BD$13:$BL$162,BP1807,0))/100)))),0)</f>
        <v/>
      </c>
      <c r="BS1807">
        <f>IF(1794&lt;$U$9,SUMPRODUCT(($D$9:$L$9+INT(($S$12:$AA$12+INDEX($AJ$13:$AR$162,BN1807,0)+INDEX($AT$13:$BB$162,BO1807,0)+INDEX($BD$13:$BL$162,BP1807,0))/100))),0)</f>
        <v/>
      </c>
      <c r="BT1807">
        <f>IF(AND(1794&lt;$U$9,$W$5),BQ1807*1000000-MIN(BR1807,999)*1000+BS1807-1794/100000,-1000000000-1794)</f>
        <v/>
      </c>
    </row>
    <row r="1808">
      <c r="BN1808">
        <f>IF(1795&lt;$U$9,INT(1795/($U$7*$U$8))+1,1)</f>
        <v/>
      </c>
      <c r="BO1808">
        <f>IF(1795&lt;$U$9,MOD(INT(1795/$U$8),$U$7)+1,1)</f>
        <v/>
      </c>
      <c r="BP1808">
        <f>IF(1795&lt;$U$9,MOD(1795,$U$8)+1,1)</f>
        <v/>
      </c>
      <c r="BQ1808">
        <f>IF(1795&lt;$U$9,SUMPRODUCT(($D$10:$L$10&lt;&gt;"")*(($D$9:$L$9+INT(($S$12:$AA$12+INDEX($AJ$13:$AR$162,BN1808,0)+INDEX($AT$13:$BB$162,BO1808,0)+INDEX($BD$13:$BL$162,BP1808,0))/100))&gt;=$D$10:$L$10)),0)</f>
        <v/>
      </c>
      <c r="BR1808">
        <f>IF(1795&lt;$U$9,SUMPRODUCT(($D$10:$L$10&lt;&gt;"")*(($D$10:$L$10-($D$9:$L$9+INT(($S$12:$AA$12+INDEX($AJ$13:$AR$162,BN1808,0)+INDEX($AT$13:$BB$162,BO1808,0)+INDEX($BD$13:$BL$162,BP1808,0))/100)))&gt;0)*($D$10:$L$10-($D$9:$L$9+INT(($S$12:$AA$12+INDEX($AJ$13:$AR$162,BN1808,0)+INDEX($AT$13:$BB$162,BO1808,0)+INDEX($BD$13:$BL$162,BP1808,0))/100)))),0)</f>
        <v/>
      </c>
      <c r="BS1808">
        <f>IF(1795&lt;$U$9,SUMPRODUCT(($D$9:$L$9+INT(($S$12:$AA$12+INDEX($AJ$13:$AR$162,BN1808,0)+INDEX($AT$13:$BB$162,BO1808,0)+INDEX($BD$13:$BL$162,BP1808,0))/100))),0)</f>
        <v/>
      </c>
      <c r="BT1808">
        <f>IF(AND(1795&lt;$U$9,$W$5),BQ1808*1000000-MIN(BR1808,999)*1000+BS1808-1795/100000,-1000000000-1795)</f>
        <v/>
      </c>
    </row>
    <row r="1809">
      <c r="BN1809">
        <f>IF(1796&lt;$U$9,INT(1796/($U$7*$U$8))+1,1)</f>
        <v/>
      </c>
      <c r="BO1809">
        <f>IF(1796&lt;$U$9,MOD(INT(1796/$U$8),$U$7)+1,1)</f>
        <v/>
      </c>
      <c r="BP1809">
        <f>IF(1796&lt;$U$9,MOD(1796,$U$8)+1,1)</f>
        <v/>
      </c>
      <c r="BQ1809">
        <f>IF(1796&lt;$U$9,SUMPRODUCT(($D$10:$L$10&lt;&gt;"")*(($D$9:$L$9+INT(($S$12:$AA$12+INDEX($AJ$13:$AR$162,BN1809,0)+INDEX($AT$13:$BB$162,BO1809,0)+INDEX($BD$13:$BL$162,BP1809,0))/100))&gt;=$D$10:$L$10)),0)</f>
        <v/>
      </c>
      <c r="BR1809">
        <f>IF(1796&lt;$U$9,SUMPRODUCT(($D$10:$L$10&lt;&gt;"")*(($D$10:$L$10-($D$9:$L$9+INT(($S$12:$AA$12+INDEX($AJ$13:$AR$162,BN1809,0)+INDEX($AT$13:$BB$162,BO1809,0)+INDEX($BD$13:$BL$162,BP1809,0))/100)))&gt;0)*($D$10:$L$10-($D$9:$L$9+INT(($S$12:$AA$12+INDEX($AJ$13:$AR$162,BN1809,0)+INDEX($AT$13:$BB$162,BO1809,0)+INDEX($BD$13:$BL$162,BP1809,0))/100)))),0)</f>
        <v/>
      </c>
      <c r="BS1809">
        <f>IF(1796&lt;$U$9,SUMPRODUCT(($D$9:$L$9+INT(($S$12:$AA$12+INDEX($AJ$13:$AR$162,BN1809,0)+INDEX($AT$13:$BB$162,BO1809,0)+INDEX($BD$13:$BL$162,BP1809,0))/100))),0)</f>
        <v/>
      </c>
      <c r="BT1809">
        <f>IF(AND(1796&lt;$U$9,$W$5),BQ1809*1000000-MIN(BR1809,999)*1000+BS1809-1796/100000,-1000000000-1796)</f>
        <v/>
      </c>
    </row>
    <row r="1810">
      <c r="BN1810">
        <f>IF(1797&lt;$U$9,INT(1797/($U$7*$U$8))+1,1)</f>
        <v/>
      </c>
      <c r="BO1810">
        <f>IF(1797&lt;$U$9,MOD(INT(1797/$U$8),$U$7)+1,1)</f>
        <v/>
      </c>
      <c r="BP1810">
        <f>IF(1797&lt;$U$9,MOD(1797,$U$8)+1,1)</f>
        <v/>
      </c>
      <c r="BQ1810">
        <f>IF(1797&lt;$U$9,SUMPRODUCT(($D$10:$L$10&lt;&gt;"")*(($D$9:$L$9+INT(($S$12:$AA$12+INDEX($AJ$13:$AR$162,BN1810,0)+INDEX($AT$13:$BB$162,BO1810,0)+INDEX($BD$13:$BL$162,BP1810,0))/100))&gt;=$D$10:$L$10)),0)</f>
        <v/>
      </c>
      <c r="BR1810">
        <f>IF(1797&lt;$U$9,SUMPRODUCT(($D$10:$L$10&lt;&gt;"")*(($D$10:$L$10-($D$9:$L$9+INT(($S$12:$AA$12+INDEX($AJ$13:$AR$162,BN1810,0)+INDEX($AT$13:$BB$162,BO1810,0)+INDEX($BD$13:$BL$162,BP1810,0))/100)))&gt;0)*($D$10:$L$10-($D$9:$L$9+INT(($S$12:$AA$12+INDEX($AJ$13:$AR$162,BN1810,0)+INDEX($AT$13:$BB$162,BO1810,0)+INDEX($BD$13:$BL$162,BP1810,0))/100)))),0)</f>
        <v/>
      </c>
      <c r="BS1810">
        <f>IF(1797&lt;$U$9,SUMPRODUCT(($D$9:$L$9+INT(($S$12:$AA$12+INDEX($AJ$13:$AR$162,BN1810,0)+INDEX($AT$13:$BB$162,BO1810,0)+INDEX($BD$13:$BL$162,BP1810,0))/100))),0)</f>
        <v/>
      </c>
      <c r="BT1810">
        <f>IF(AND(1797&lt;$U$9,$W$5),BQ1810*1000000-MIN(BR1810,999)*1000+BS1810-1797/100000,-1000000000-1797)</f>
        <v/>
      </c>
    </row>
    <row r="1811">
      <c r="BN1811">
        <f>IF(1798&lt;$U$9,INT(1798/($U$7*$U$8))+1,1)</f>
        <v/>
      </c>
      <c r="BO1811">
        <f>IF(1798&lt;$U$9,MOD(INT(1798/$U$8),$U$7)+1,1)</f>
        <v/>
      </c>
      <c r="BP1811">
        <f>IF(1798&lt;$U$9,MOD(1798,$U$8)+1,1)</f>
        <v/>
      </c>
      <c r="BQ1811">
        <f>IF(1798&lt;$U$9,SUMPRODUCT(($D$10:$L$10&lt;&gt;"")*(($D$9:$L$9+INT(($S$12:$AA$12+INDEX($AJ$13:$AR$162,BN1811,0)+INDEX($AT$13:$BB$162,BO1811,0)+INDEX($BD$13:$BL$162,BP1811,0))/100))&gt;=$D$10:$L$10)),0)</f>
        <v/>
      </c>
      <c r="BR1811">
        <f>IF(1798&lt;$U$9,SUMPRODUCT(($D$10:$L$10&lt;&gt;"")*(($D$10:$L$10-($D$9:$L$9+INT(($S$12:$AA$12+INDEX($AJ$13:$AR$162,BN1811,0)+INDEX($AT$13:$BB$162,BO1811,0)+INDEX($BD$13:$BL$162,BP1811,0))/100)))&gt;0)*($D$10:$L$10-($D$9:$L$9+INT(($S$12:$AA$12+INDEX($AJ$13:$AR$162,BN1811,0)+INDEX($AT$13:$BB$162,BO1811,0)+INDEX($BD$13:$BL$162,BP1811,0))/100)))),0)</f>
        <v/>
      </c>
      <c r="BS1811">
        <f>IF(1798&lt;$U$9,SUMPRODUCT(($D$9:$L$9+INT(($S$12:$AA$12+INDEX($AJ$13:$AR$162,BN1811,0)+INDEX($AT$13:$BB$162,BO1811,0)+INDEX($BD$13:$BL$162,BP1811,0))/100))),0)</f>
        <v/>
      </c>
      <c r="BT1811">
        <f>IF(AND(1798&lt;$U$9,$W$5),BQ1811*1000000-MIN(BR1811,999)*1000+BS1811-1798/100000,-1000000000-1798)</f>
        <v/>
      </c>
    </row>
    <row r="1812">
      <c r="BN1812">
        <f>IF(1799&lt;$U$9,INT(1799/($U$7*$U$8))+1,1)</f>
        <v/>
      </c>
      <c r="BO1812">
        <f>IF(1799&lt;$U$9,MOD(INT(1799/$U$8),$U$7)+1,1)</f>
        <v/>
      </c>
      <c r="BP1812">
        <f>IF(1799&lt;$U$9,MOD(1799,$U$8)+1,1)</f>
        <v/>
      </c>
      <c r="BQ1812">
        <f>IF(1799&lt;$U$9,SUMPRODUCT(($D$10:$L$10&lt;&gt;"")*(($D$9:$L$9+INT(($S$12:$AA$12+INDEX($AJ$13:$AR$162,BN1812,0)+INDEX($AT$13:$BB$162,BO1812,0)+INDEX($BD$13:$BL$162,BP1812,0))/100))&gt;=$D$10:$L$10)),0)</f>
        <v/>
      </c>
      <c r="BR1812">
        <f>IF(1799&lt;$U$9,SUMPRODUCT(($D$10:$L$10&lt;&gt;"")*(($D$10:$L$10-($D$9:$L$9+INT(($S$12:$AA$12+INDEX($AJ$13:$AR$162,BN1812,0)+INDEX($AT$13:$BB$162,BO1812,0)+INDEX($BD$13:$BL$162,BP1812,0))/100)))&gt;0)*($D$10:$L$10-($D$9:$L$9+INT(($S$12:$AA$12+INDEX($AJ$13:$AR$162,BN1812,0)+INDEX($AT$13:$BB$162,BO1812,0)+INDEX($BD$13:$BL$162,BP1812,0))/100)))),0)</f>
        <v/>
      </c>
      <c r="BS1812">
        <f>IF(1799&lt;$U$9,SUMPRODUCT(($D$9:$L$9+INT(($S$12:$AA$12+INDEX($AJ$13:$AR$162,BN1812,0)+INDEX($AT$13:$BB$162,BO1812,0)+INDEX($BD$13:$BL$162,BP1812,0))/100))),0)</f>
        <v/>
      </c>
      <c r="BT1812">
        <f>IF(AND(1799&lt;$U$9,$W$5),BQ1812*1000000-MIN(BR1812,999)*1000+BS1812-1799/100000,-1000000000-1799)</f>
        <v/>
      </c>
    </row>
    <row r="1813">
      <c r="BN1813">
        <f>IF(1800&lt;$U$9,INT(1800/($U$7*$U$8))+1,1)</f>
        <v/>
      </c>
      <c r="BO1813">
        <f>IF(1800&lt;$U$9,MOD(INT(1800/$U$8),$U$7)+1,1)</f>
        <v/>
      </c>
      <c r="BP1813">
        <f>IF(1800&lt;$U$9,MOD(1800,$U$8)+1,1)</f>
        <v/>
      </c>
      <c r="BQ1813">
        <f>IF(1800&lt;$U$9,SUMPRODUCT(($D$10:$L$10&lt;&gt;"")*(($D$9:$L$9+INT(($S$12:$AA$12+INDEX($AJ$13:$AR$162,BN1813,0)+INDEX($AT$13:$BB$162,BO1813,0)+INDEX($BD$13:$BL$162,BP1813,0))/100))&gt;=$D$10:$L$10)),0)</f>
        <v/>
      </c>
      <c r="BR1813">
        <f>IF(1800&lt;$U$9,SUMPRODUCT(($D$10:$L$10&lt;&gt;"")*(($D$10:$L$10-($D$9:$L$9+INT(($S$12:$AA$12+INDEX($AJ$13:$AR$162,BN1813,0)+INDEX($AT$13:$BB$162,BO1813,0)+INDEX($BD$13:$BL$162,BP1813,0))/100)))&gt;0)*($D$10:$L$10-($D$9:$L$9+INT(($S$12:$AA$12+INDEX($AJ$13:$AR$162,BN1813,0)+INDEX($AT$13:$BB$162,BO1813,0)+INDEX($BD$13:$BL$162,BP1813,0))/100)))),0)</f>
        <v/>
      </c>
      <c r="BS1813">
        <f>IF(1800&lt;$U$9,SUMPRODUCT(($D$9:$L$9+INT(($S$12:$AA$12+INDEX($AJ$13:$AR$162,BN1813,0)+INDEX($AT$13:$BB$162,BO1813,0)+INDEX($BD$13:$BL$162,BP1813,0))/100))),0)</f>
        <v/>
      </c>
      <c r="BT1813">
        <f>IF(AND(1800&lt;$U$9,$W$5),BQ1813*1000000-MIN(BR1813,999)*1000+BS1813-1800/100000,-1000000000-1800)</f>
        <v/>
      </c>
    </row>
    <row r="1814">
      <c r="BN1814">
        <f>IF(1801&lt;$U$9,INT(1801/($U$7*$U$8))+1,1)</f>
        <v/>
      </c>
      <c r="BO1814">
        <f>IF(1801&lt;$U$9,MOD(INT(1801/$U$8),$U$7)+1,1)</f>
        <v/>
      </c>
      <c r="BP1814">
        <f>IF(1801&lt;$U$9,MOD(1801,$U$8)+1,1)</f>
        <v/>
      </c>
      <c r="BQ1814">
        <f>IF(1801&lt;$U$9,SUMPRODUCT(($D$10:$L$10&lt;&gt;"")*(($D$9:$L$9+INT(($S$12:$AA$12+INDEX($AJ$13:$AR$162,BN1814,0)+INDEX($AT$13:$BB$162,BO1814,0)+INDEX($BD$13:$BL$162,BP1814,0))/100))&gt;=$D$10:$L$10)),0)</f>
        <v/>
      </c>
      <c r="BR1814">
        <f>IF(1801&lt;$U$9,SUMPRODUCT(($D$10:$L$10&lt;&gt;"")*(($D$10:$L$10-($D$9:$L$9+INT(($S$12:$AA$12+INDEX($AJ$13:$AR$162,BN1814,0)+INDEX($AT$13:$BB$162,BO1814,0)+INDEX($BD$13:$BL$162,BP1814,0))/100)))&gt;0)*($D$10:$L$10-($D$9:$L$9+INT(($S$12:$AA$12+INDEX($AJ$13:$AR$162,BN1814,0)+INDEX($AT$13:$BB$162,BO1814,0)+INDEX($BD$13:$BL$162,BP1814,0))/100)))),0)</f>
        <v/>
      </c>
      <c r="BS1814">
        <f>IF(1801&lt;$U$9,SUMPRODUCT(($D$9:$L$9+INT(($S$12:$AA$12+INDEX($AJ$13:$AR$162,BN1814,0)+INDEX($AT$13:$BB$162,BO1814,0)+INDEX($BD$13:$BL$162,BP1814,0))/100))),0)</f>
        <v/>
      </c>
      <c r="BT1814">
        <f>IF(AND(1801&lt;$U$9,$W$5),BQ1814*1000000-MIN(BR1814,999)*1000+BS1814-1801/100000,-1000000000-1801)</f>
        <v/>
      </c>
    </row>
    <row r="1815">
      <c r="BN1815">
        <f>IF(1802&lt;$U$9,INT(1802/($U$7*$U$8))+1,1)</f>
        <v/>
      </c>
      <c r="BO1815">
        <f>IF(1802&lt;$U$9,MOD(INT(1802/$U$8),$U$7)+1,1)</f>
        <v/>
      </c>
      <c r="BP1815">
        <f>IF(1802&lt;$U$9,MOD(1802,$U$8)+1,1)</f>
        <v/>
      </c>
      <c r="BQ1815">
        <f>IF(1802&lt;$U$9,SUMPRODUCT(($D$10:$L$10&lt;&gt;"")*(($D$9:$L$9+INT(($S$12:$AA$12+INDEX($AJ$13:$AR$162,BN1815,0)+INDEX($AT$13:$BB$162,BO1815,0)+INDEX($BD$13:$BL$162,BP1815,0))/100))&gt;=$D$10:$L$10)),0)</f>
        <v/>
      </c>
      <c r="BR1815">
        <f>IF(1802&lt;$U$9,SUMPRODUCT(($D$10:$L$10&lt;&gt;"")*(($D$10:$L$10-($D$9:$L$9+INT(($S$12:$AA$12+INDEX($AJ$13:$AR$162,BN1815,0)+INDEX($AT$13:$BB$162,BO1815,0)+INDEX($BD$13:$BL$162,BP1815,0))/100)))&gt;0)*($D$10:$L$10-($D$9:$L$9+INT(($S$12:$AA$12+INDEX($AJ$13:$AR$162,BN1815,0)+INDEX($AT$13:$BB$162,BO1815,0)+INDEX($BD$13:$BL$162,BP1815,0))/100)))),0)</f>
        <v/>
      </c>
      <c r="BS1815">
        <f>IF(1802&lt;$U$9,SUMPRODUCT(($D$9:$L$9+INT(($S$12:$AA$12+INDEX($AJ$13:$AR$162,BN1815,0)+INDEX($AT$13:$BB$162,BO1815,0)+INDEX($BD$13:$BL$162,BP1815,0))/100))),0)</f>
        <v/>
      </c>
      <c r="BT1815">
        <f>IF(AND(1802&lt;$U$9,$W$5),BQ1815*1000000-MIN(BR1815,999)*1000+BS1815-1802/100000,-1000000000-1802)</f>
        <v/>
      </c>
    </row>
    <row r="1816">
      <c r="BN1816">
        <f>IF(1803&lt;$U$9,INT(1803/($U$7*$U$8))+1,1)</f>
        <v/>
      </c>
      <c r="BO1816">
        <f>IF(1803&lt;$U$9,MOD(INT(1803/$U$8),$U$7)+1,1)</f>
        <v/>
      </c>
      <c r="BP1816">
        <f>IF(1803&lt;$U$9,MOD(1803,$U$8)+1,1)</f>
        <v/>
      </c>
      <c r="BQ1816">
        <f>IF(1803&lt;$U$9,SUMPRODUCT(($D$10:$L$10&lt;&gt;"")*(($D$9:$L$9+INT(($S$12:$AA$12+INDEX($AJ$13:$AR$162,BN1816,0)+INDEX($AT$13:$BB$162,BO1816,0)+INDEX($BD$13:$BL$162,BP1816,0))/100))&gt;=$D$10:$L$10)),0)</f>
        <v/>
      </c>
      <c r="BR1816">
        <f>IF(1803&lt;$U$9,SUMPRODUCT(($D$10:$L$10&lt;&gt;"")*(($D$10:$L$10-($D$9:$L$9+INT(($S$12:$AA$12+INDEX($AJ$13:$AR$162,BN1816,0)+INDEX($AT$13:$BB$162,BO1816,0)+INDEX($BD$13:$BL$162,BP1816,0))/100)))&gt;0)*($D$10:$L$10-($D$9:$L$9+INT(($S$12:$AA$12+INDEX($AJ$13:$AR$162,BN1816,0)+INDEX($AT$13:$BB$162,BO1816,0)+INDEX($BD$13:$BL$162,BP1816,0))/100)))),0)</f>
        <v/>
      </c>
      <c r="BS1816">
        <f>IF(1803&lt;$U$9,SUMPRODUCT(($D$9:$L$9+INT(($S$12:$AA$12+INDEX($AJ$13:$AR$162,BN1816,0)+INDEX($AT$13:$BB$162,BO1816,0)+INDEX($BD$13:$BL$162,BP1816,0))/100))),0)</f>
        <v/>
      </c>
      <c r="BT1816">
        <f>IF(AND(1803&lt;$U$9,$W$5),BQ1816*1000000-MIN(BR1816,999)*1000+BS1816-1803/100000,-1000000000-1803)</f>
        <v/>
      </c>
    </row>
    <row r="1817">
      <c r="BN1817">
        <f>IF(1804&lt;$U$9,INT(1804/($U$7*$U$8))+1,1)</f>
        <v/>
      </c>
      <c r="BO1817">
        <f>IF(1804&lt;$U$9,MOD(INT(1804/$U$8),$U$7)+1,1)</f>
        <v/>
      </c>
      <c r="BP1817">
        <f>IF(1804&lt;$U$9,MOD(1804,$U$8)+1,1)</f>
        <v/>
      </c>
      <c r="BQ1817">
        <f>IF(1804&lt;$U$9,SUMPRODUCT(($D$10:$L$10&lt;&gt;"")*(($D$9:$L$9+INT(($S$12:$AA$12+INDEX($AJ$13:$AR$162,BN1817,0)+INDEX($AT$13:$BB$162,BO1817,0)+INDEX($BD$13:$BL$162,BP1817,0))/100))&gt;=$D$10:$L$10)),0)</f>
        <v/>
      </c>
      <c r="BR1817">
        <f>IF(1804&lt;$U$9,SUMPRODUCT(($D$10:$L$10&lt;&gt;"")*(($D$10:$L$10-($D$9:$L$9+INT(($S$12:$AA$12+INDEX($AJ$13:$AR$162,BN1817,0)+INDEX($AT$13:$BB$162,BO1817,0)+INDEX($BD$13:$BL$162,BP1817,0))/100)))&gt;0)*($D$10:$L$10-($D$9:$L$9+INT(($S$12:$AA$12+INDEX($AJ$13:$AR$162,BN1817,0)+INDEX($AT$13:$BB$162,BO1817,0)+INDEX($BD$13:$BL$162,BP1817,0))/100)))),0)</f>
        <v/>
      </c>
      <c r="BS1817">
        <f>IF(1804&lt;$U$9,SUMPRODUCT(($D$9:$L$9+INT(($S$12:$AA$12+INDEX($AJ$13:$AR$162,BN1817,0)+INDEX($AT$13:$BB$162,BO1817,0)+INDEX($BD$13:$BL$162,BP1817,0))/100))),0)</f>
        <v/>
      </c>
      <c r="BT1817">
        <f>IF(AND(1804&lt;$U$9,$W$5),BQ1817*1000000-MIN(BR1817,999)*1000+BS1817-1804/100000,-1000000000-1804)</f>
        <v/>
      </c>
    </row>
    <row r="1818">
      <c r="BN1818">
        <f>IF(1805&lt;$U$9,INT(1805/($U$7*$U$8))+1,1)</f>
        <v/>
      </c>
      <c r="BO1818">
        <f>IF(1805&lt;$U$9,MOD(INT(1805/$U$8),$U$7)+1,1)</f>
        <v/>
      </c>
      <c r="BP1818">
        <f>IF(1805&lt;$U$9,MOD(1805,$U$8)+1,1)</f>
        <v/>
      </c>
      <c r="BQ1818">
        <f>IF(1805&lt;$U$9,SUMPRODUCT(($D$10:$L$10&lt;&gt;"")*(($D$9:$L$9+INT(($S$12:$AA$12+INDEX($AJ$13:$AR$162,BN1818,0)+INDEX($AT$13:$BB$162,BO1818,0)+INDEX($BD$13:$BL$162,BP1818,0))/100))&gt;=$D$10:$L$10)),0)</f>
        <v/>
      </c>
      <c r="BR1818">
        <f>IF(1805&lt;$U$9,SUMPRODUCT(($D$10:$L$10&lt;&gt;"")*(($D$10:$L$10-($D$9:$L$9+INT(($S$12:$AA$12+INDEX($AJ$13:$AR$162,BN1818,0)+INDEX($AT$13:$BB$162,BO1818,0)+INDEX($BD$13:$BL$162,BP1818,0))/100)))&gt;0)*($D$10:$L$10-($D$9:$L$9+INT(($S$12:$AA$12+INDEX($AJ$13:$AR$162,BN1818,0)+INDEX($AT$13:$BB$162,BO1818,0)+INDEX($BD$13:$BL$162,BP1818,0))/100)))),0)</f>
        <v/>
      </c>
      <c r="BS1818">
        <f>IF(1805&lt;$U$9,SUMPRODUCT(($D$9:$L$9+INT(($S$12:$AA$12+INDEX($AJ$13:$AR$162,BN1818,0)+INDEX($AT$13:$BB$162,BO1818,0)+INDEX($BD$13:$BL$162,BP1818,0))/100))),0)</f>
        <v/>
      </c>
      <c r="BT1818">
        <f>IF(AND(1805&lt;$U$9,$W$5),BQ1818*1000000-MIN(BR1818,999)*1000+BS1818-1805/100000,-1000000000-1805)</f>
        <v/>
      </c>
    </row>
    <row r="1819">
      <c r="BN1819">
        <f>IF(1806&lt;$U$9,INT(1806/($U$7*$U$8))+1,1)</f>
        <v/>
      </c>
      <c r="BO1819">
        <f>IF(1806&lt;$U$9,MOD(INT(1806/$U$8),$U$7)+1,1)</f>
        <v/>
      </c>
      <c r="BP1819">
        <f>IF(1806&lt;$U$9,MOD(1806,$U$8)+1,1)</f>
        <v/>
      </c>
      <c r="BQ1819">
        <f>IF(1806&lt;$U$9,SUMPRODUCT(($D$10:$L$10&lt;&gt;"")*(($D$9:$L$9+INT(($S$12:$AA$12+INDEX($AJ$13:$AR$162,BN1819,0)+INDEX($AT$13:$BB$162,BO1819,0)+INDEX($BD$13:$BL$162,BP1819,0))/100))&gt;=$D$10:$L$10)),0)</f>
        <v/>
      </c>
      <c r="BR1819">
        <f>IF(1806&lt;$U$9,SUMPRODUCT(($D$10:$L$10&lt;&gt;"")*(($D$10:$L$10-($D$9:$L$9+INT(($S$12:$AA$12+INDEX($AJ$13:$AR$162,BN1819,0)+INDEX($AT$13:$BB$162,BO1819,0)+INDEX($BD$13:$BL$162,BP1819,0))/100)))&gt;0)*($D$10:$L$10-($D$9:$L$9+INT(($S$12:$AA$12+INDEX($AJ$13:$AR$162,BN1819,0)+INDEX($AT$13:$BB$162,BO1819,0)+INDEX($BD$13:$BL$162,BP1819,0))/100)))),0)</f>
        <v/>
      </c>
      <c r="BS1819">
        <f>IF(1806&lt;$U$9,SUMPRODUCT(($D$9:$L$9+INT(($S$12:$AA$12+INDEX($AJ$13:$AR$162,BN1819,0)+INDEX($AT$13:$BB$162,BO1819,0)+INDEX($BD$13:$BL$162,BP1819,0))/100))),0)</f>
        <v/>
      </c>
      <c r="BT1819">
        <f>IF(AND(1806&lt;$U$9,$W$5),BQ1819*1000000-MIN(BR1819,999)*1000+BS1819-1806/100000,-1000000000-1806)</f>
        <v/>
      </c>
    </row>
    <row r="1820">
      <c r="BN1820">
        <f>IF(1807&lt;$U$9,INT(1807/($U$7*$U$8))+1,1)</f>
        <v/>
      </c>
      <c r="BO1820">
        <f>IF(1807&lt;$U$9,MOD(INT(1807/$U$8),$U$7)+1,1)</f>
        <v/>
      </c>
      <c r="BP1820">
        <f>IF(1807&lt;$U$9,MOD(1807,$U$8)+1,1)</f>
        <v/>
      </c>
      <c r="BQ1820">
        <f>IF(1807&lt;$U$9,SUMPRODUCT(($D$10:$L$10&lt;&gt;"")*(($D$9:$L$9+INT(($S$12:$AA$12+INDEX($AJ$13:$AR$162,BN1820,0)+INDEX($AT$13:$BB$162,BO1820,0)+INDEX($BD$13:$BL$162,BP1820,0))/100))&gt;=$D$10:$L$10)),0)</f>
        <v/>
      </c>
      <c r="BR1820">
        <f>IF(1807&lt;$U$9,SUMPRODUCT(($D$10:$L$10&lt;&gt;"")*(($D$10:$L$10-($D$9:$L$9+INT(($S$12:$AA$12+INDEX($AJ$13:$AR$162,BN1820,0)+INDEX($AT$13:$BB$162,BO1820,0)+INDEX($BD$13:$BL$162,BP1820,0))/100)))&gt;0)*($D$10:$L$10-($D$9:$L$9+INT(($S$12:$AA$12+INDEX($AJ$13:$AR$162,BN1820,0)+INDEX($AT$13:$BB$162,BO1820,0)+INDEX($BD$13:$BL$162,BP1820,0))/100)))),0)</f>
        <v/>
      </c>
      <c r="BS1820">
        <f>IF(1807&lt;$U$9,SUMPRODUCT(($D$9:$L$9+INT(($S$12:$AA$12+INDEX($AJ$13:$AR$162,BN1820,0)+INDEX($AT$13:$BB$162,BO1820,0)+INDEX($BD$13:$BL$162,BP1820,0))/100))),0)</f>
        <v/>
      </c>
      <c r="BT1820">
        <f>IF(AND(1807&lt;$U$9,$W$5),BQ1820*1000000-MIN(BR1820,999)*1000+BS1820-1807/100000,-1000000000-1807)</f>
        <v/>
      </c>
    </row>
    <row r="1821">
      <c r="BN1821">
        <f>IF(1808&lt;$U$9,INT(1808/($U$7*$U$8))+1,1)</f>
        <v/>
      </c>
      <c r="BO1821">
        <f>IF(1808&lt;$U$9,MOD(INT(1808/$U$8),$U$7)+1,1)</f>
        <v/>
      </c>
      <c r="BP1821">
        <f>IF(1808&lt;$U$9,MOD(1808,$U$8)+1,1)</f>
        <v/>
      </c>
      <c r="BQ1821">
        <f>IF(1808&lt;$U$9,SUMPRODUCT(($D$10:$L$10&lt;&gt;"")*(($D$9:$L$9+INT(($S$12:$AA$12+INDEX($AJ$13:$AR$162,BN1821,0)+INDEX($AT$13:$BB$162,BO1821,0)+INDEX($BD$13:$BL$162,BP1821,0))/100))&gt;=$D$10:$L$10)),0)</f>
        <v/>
      </c>
      <c r="BR1821">
        <f>IF(1808&lt;$U$9,SUMPRODUCT(($D$10:$L$10&lt;&gt;"")*(($D$10:$L$10-($D$9:$L$9+INT(($S$12:$AA$12+INDEX($AJ$13:$AR$162,BN1821,0)+INDEX($AT$13:$BB$162,BO1821,0)+INDEX($BD$13:$BL$162,BP1821,0))/100)))&gt;0)*($D$10:$L$10-($D$9:$L$9+INT(($S$12:$AA$12+INDEX($AJ$13:$AR$162,BN1821,0)+INDEX($AT$13:$BB$162,BO1821,0)+INDEX($BD$13:$BL$162,BP1821,0))/100)))),0)</f>
        <v/>
      </c>
      <c r="BS1821">
        <f>IF(1808&lt;$U$9,SUMPRODUCT(($D$9:$L$9+INT(($S$12:$AA$12+INDEX($AJ$13:$AR$162,BN1821,0)+INDEX($AT$13:$BB$162,BO1821,0)+INDEX($BD$13:$BL$162,BP1821,0))/100))),0)</f>
        <v/>
      </c>
      <c r="BT1821">
        <f>IF(AND(1808&lt;$U$9,$W$5),BQ1821*1000000-MIN(BR1821,999)*1000+BS1821-1808/100000,-1000000000-1808)</f>
        <v/>
      </c>
    </row>
    <row r="1822">
      <c r="BN1822">
        <f>IF(1809&lt;$U$9,INT(1809/($U$7*$U$8))+1,1)</f>
        <v/>
      </c>
      <c r="BO1822">
        <f>IF(1809&lt;$U$9,MOD(INT(1809/$U$8),$U$7)+1,1)</f>
        <v/>
      </c>
      <c r="BP1822">
        <f>IF(1809&lt;$U$9,MOD(1809,$U$8)+1,1)</f>
        <v/>
      </c>
      <c r="BQ1822">
        <f>IF(1809&lt;$U$9,SUMPRODUCT(($D$10:$L$10&lt;&gt;"")*(($D$9:$L$9+INT(($S$12:$AA$12+INDEX($AJ$13:$AR$162,BN1822,0)+INDEX($AT$13:$BB$162,BO1822,0)+INDEX($BD$13:$BL$162,BP1822,0))/100))&gt;=$D$10:$L$10)),0)</f>
        <v/>
      </c>
      <c r="BR1822">
        <f>IF(1809&lt;$U$9,SUMPRODUCT(($D$10:$L$10&lt;&gt;"")*(($D$10:$L$10-($D$9:$L$9+INT(($S$12:$AA$12+INDEX($AJ$13:$AR$162,BN1822,0)+INDEX($AT$13:$BB$162,BO1822,0)+INDEX($BD$13:$BL$162,BP1822,0))/100)))&gt;0)*($D$10:$L$10-($D$9:$L$9+INT(($S$12:$AA$12+INDEX($AJ$13:$AR$162,BN1822,0)+INDEX($AT$13:$BB$162,BO1822,0)+INDEX($BD$13:$BL$162,BP1822,0))/100)))),0)</f>
        <v/>
      </c>
      <c r="BS1822">
        <f>IF(1809&lt;$U$9,SUMPRODUCT(($D$9:$L$9+INT(($S$12:$AA$12+INDEX($AJ$13:$AR$162,BN1822,0)+INDEX($AT$13:$BB$162,BO1822,0)+INDEX($BD$13:$BL$162,BP1822,0))/100))),0)</f>
        <v/>
      </c>
      <c r="BT1822">
        <f>IF(AND(1809&lt;$U$9,$W$5),BQ1822*1000000-MIN(BR1822,999)*1000+BS1822-1809/100000,-1000000000-1809)</f>
        <v/>
      </c>
    </row>
    <row r="1823">
      <c r="BN1823">
        <f>IF(1810&lt;$U$9,INT(1810/($U$7*$U$8))+1,1)</f>
        <v/>
      </c>
      <c r="BO1823">
        <f>IF(1810&lt;$U$9,MOD(INT(1810/$U$8),$U$7)+1,1)</f>
        <v/>
      </c>
      <c r="BP1823">
        <f>IF(1810&lt;$U$9,MOD(1810,$U$8)+1,1)</f>
        <v/>
      </c>
      <c r="BQ1823">
        <f>IF(1810&lt;$U$9,SUMPRODUCT(($D$10:$L$10&lt;&gt;"")*(($D$9:$L$9+INT(($S$12:$AA$12+INDEX($AJ$13:$AR$162,BN1823,0)+INDEX($AT$13:$BB$162,BO1823,0)+INDEX($BD$13:$BL$162,BP1823,0))/100))&gt;=$D$10:$L$10)),0)</f>
        <v/>
      </c>
      <c r="BR1823">
        <f>IF(1810&lt;$U$9,SUMPRODUCT(($D$10:$L$10&lt;&gt;"")*(($D$10:$L$10-($D$9:$L$9+INT(($S$12:$AA$12+INDEX($AJ$13:$AR$162,BN1823,0)+INDEX($AT$13:$BB$162,BO1823,0)+INDEX($BD$13:$BL$162,BP1823,0))/100)))&gt;0)*($D$10:$L$10-($D$9:$L$9+INT(($S$12:$AA$12+INDEX($AJ$13:$AR$162,BN1823,0)+INDEX($AT$13:$BB$162,BO1823,0)+INDEX($BD$13:$BL$162,BP1823,0))/100)))),0)</f>
        <v/>
      </c>
      <c r="BS1823">
        <f>IF(1810&lt;$U$9,SUMPRODUCT(($D$9:$L$9+INT(($S$12:$AA$12+INDEX($AJ$13:$AR$162,BN1823,0)+INDEX($AT$13:$BB$162,BO1823,0)+INDEX($BD$13:$BL$162,BP1823,0))/100))),0)</f>
        <v/>
      </c>
      <c r="BT1823">
        <f>IF(AND(1810&lt;$U$9,$W$5),BQ1823*1000000-MIN(BR1823,999)*1000+BS1823-1810/100000,-1000000000-1810)</f>
        <v/>
      </c>
    </row>
    <row r="1824">
      <c r="BN1824">
        <f>IF(1811&lt;$U$9,INT(1811/($U$7*$U$8))+1,1)</f>
        <v/>
      </c>
      <c r="BO1824">
        <f>IF(1811&lt;$U$9,MOD(INT(1811/$U$8),$U$7)+1,1)</f>
        <v/>
      </c>
      <c r="BP1824">
        <f>IF(1811&lt;$U$9,MOD(1811,$U$8)+1,1)</f>
        <v/>
      </c>
      <c r="BQ1824">
        <f>IF(1811&lt;$U$9,SUMPRODUCT(($D$10:$L$10&lt;&gt;"")*(($D$9:$L$9+INT(($S$12:$AA$12+INDEX($AJ$13:$AR$162,BN1824,0)+INDEX($AT$13:$BB$162,BO1824,0)+INDEX($BD$13:$BL$162,BP1824,0))/100))&gt;=$D$10:$L$10)),0)</f>
        <v/>
      </c>
      <c r="BR1824">
        <f>IF(1811&lt;$U$9,SUMPRODUCT(($D$10:$L$10&lt;&gt;"")*(($D$10:$L$10-($D$9:$L$9+INT(($S$12:$AA$12+INDEX($AJ$13:$AR$162,BN1824,0)+INDEX($AT$13:$BB$162,BO1824,0)+INDEX($BD$13:$BL$162,BP1824,0))/100)))&gt;0)*($D$10:$L$10-($D$9:$L$9+INT(($S$12:$AA$12+INDEX($AJ$13:$AR$162,BN1824,0)+INDEX($AT$13:$BB$162,BO1824,0)+INDEX($BD$13:$BL$162,BP1824,0))/100)))),0)</f>
        <v/>
      </c>
      <c r="BS1824">
        <f>IF(1811&lt;$U$9,SUMPRODUCT(($D$9:$L$9+INT(($S$12:$AA$12+INDEX($AJ$13:$AR$162,BN1824,0)+INDEX($AT$13:$BB$162,BO1824,0)+INDEX($BD$13:$BL$162,BP1824,0))/100))),0)</f>
        <v/>
      </c>
      <c r="BT1824">
        <f>IF(AND(1811&lt;$U$9,$W$5),BQ1824*1000000-MIN(BR1824,999)*1000+BS1824-1811/100000,-1000000000-1811)</f>
        <v/>
      </c>
    </row>
    <row r="1825">
      <c r="BN1825">
        <f>IF(1812&lt;$U$9,INT(1812/($U$7*$U$8))+1,1)</f>
        <v/>
      </c>
      <c r="BO1825">
        <f>IF(1812&lt;$U$9,MOD(INT(1812/$U$8),$U$7)+1,1)</f>
        <v/>
      </c>
      <c r="BP1825">
        <f>IF(1812&lt;$U$9,MOD(1812,$U$8)+1,1)</f>
        <v/>
      </c>
      <c r="BQ1825">
        <f>IF(1812&lt;$U$9,SUMPRODUCT(($D$10:$L$10&lt;&gt;"")*(($D$9:$L$9+INT(($S$12:$AA$12+INDEX($AJ$13:$AR$162,BN1825,0)+INDEX($AT$13:$BB$162,BO1825,0)+INDEX($BD$13:$BL$162,BP1825,0))/100))&gt;=$D$10:$L$10)),0)</f>
        <v/>
      </c>
      <c r="BR1825">
        <f>IF(1812&lt;$U$9,SUMPRODUCT(($D$10:$L$10&lt;&gt;"")*(($D$10:$L$10-($D$9:$L$9+INT(($S$12:$AA$12+INDEX($AJ$13:$AR$162,BN1825,0)+INDEX($AT$13:$BB$162,BO1825,0)+INDEX($BD$13:$BL$162,BP1825,0))/100)))&gt;0)*($D$10:$L$10-($D$9:$L$9+INT(($S$12:$AA$12+INDEX($AJ$13:$AR$162,BN1825,0)+INDEX($AT$13:$BB$162,BO1825,0)+INDEX($BD$13:$BL$162,BP1825,0))/100)))),0)</f>
        <v/>
      </c>
      <c r="BS1825">
        <f>IF(1812&lt;$U$9,SUMPRODUCT(($D$9:$L$9+INT(($S$12:$AA$12+INDEX($AJ$13:$AR$162,BN1825,0)+INDEX($AT$13:$BB$162,BO1825,0)+INDEX($BD$13:$BL$162,BP1825,0))/100))),0)</f>
        <v/>
      </c>
      <c r="BT1825">
        <f>IF(AND(1812&lt;$U$9,$W$5),BQ1825*1000000-MIN(BR1825,999)*1000+BS1825-1812/100000,-1000000000-1812)</f>
        <v/>
      </c>
    </row>
    <row r="1826">
      <c r="BN1826">
        <f>IF(1813&lt;$U$9,INT(1813/($U$7*$U$8))+1,1)</f>
        <v/>
      </c>
      <c r="BO1826">
        <f>IF(1813&lt;$U$9,MOD(INT(1813/$U$8),$U$7)+1,1)</f>
        <v/>
      </c>
      <c r="BP1826">
        <f>IF(1813&lt;$U$9,MOD(1813,$U$8)+1,1)</f>
        <v/>
      </c>
      <c r="BQ1826">
        <f>IF(1813&lt;$U$9,SUMPRODUCT(($D$10:$L$10&lt;&gt;"")*(($D$9:$L$9+INT(($S$12:$AA$12+INDEX($AJ$13:$AR$162,BN1826,0)+INDEX($AT$13:$BB$162,BO1826,0)+INDEX($BD$13:$BL$162,BP1826,0))/100))&gt;=$D$10:$L$10)),0)</f>
        <v/>
      </c>
      <c r="BR1826">
        <f>IF(1813&lt;$U$9,SUMPRODUCT(($D$10:$L$10&lt;&gt;"")*(($D$10:$L$10-($D$9:$L$9+INT(($S$12:$AA$12+INDEX($AJ$13:$AR$162,BN1826,0)+INDEX($AT$13:$BB$162,BO1826,0)+INDEX($BD$13:$BL$162,BP1826,0))/100)))&gt;0)*($D$10:$L$10-($D$9:$L$9+INT(($S$12:$AA$12+INDEX($AJ$13:$AR$162,BN1826,0)+INDEX($AT$13:$BB$162,BO1826,0)+INDEX($BD$13:$BL$162,BP1826,0))/100)))),0)</f>
        <v/>
      </c>
      <c r="BS1826">
        <f>IF(1813&lt;$U$9,SUMPRODUCT(($D$9:$L$9+INT(($S$12:$AA$12+INDEX($AJ$13:$AR$162,BN1826,0)+INDEX($AT$13:$BB$162,BO1826,0)+INDEX($BD$13:$BL$162,BP1826,0))/100))),0)</f>
        <v/>
      </c>
      <c r="BT1826">
        <f>IF(AND(1813&lt;$U$9,$W$5),BQ1826*1000000-MIN(BR1826,999)*1000+BS1826-1813/100000,-1000000000-1813)</f>
        <v/>
      </c>
    </row>
    <row r="1827">
      <c r="BN1827">
        <f>IF(1814&lt;$U$9,INT(1814/($U$7*$U$8))+1,1)</f>
        <v/>
      </c>
      <c r="BO1827">
        <f>IF(1814&lt;$U$9,MOD(INT(1814/$U$8),$U$7)+1,1)</f>
        <v/>
      </c>
      <c r="BP1827">
        <f>IF(1814&lt;$U$9,MOD(1814,$U$8)+1,1)</f>
        <v/>
      </c>
      <c r="BQ1827">
        <f>IF(1814&lt;$U$9,SUMPRODUCT(($D$10:$L$10&lt;&gt;"")*(($D$9:$L$9+INT(($S$12:$AA$12+INDEX($AJ$13:$AR$162,BN1827,0)+INDEX($AT$13:$BB$162,BO1827,0)+INDEX($BD$13:$BL$162,BP1827,0))/100))&gt;=$D$10:$L$10)),0)</f>
        <v/>
      </c>
      <c r="BR1827">
        <f>IF(1814&lt;$U$9,SUMPRODUCT(($D$10:$L$10&lt;&gt;"")*(($D$10:$L$10-($D$9:$L$9+INT(($S$12:$AA$12+INDEX($AJ$13:$AR$162,BN1827,0)+INDEX($AT$13:$BB$162,BO1827,0)+INDEX($BD$13:$BL$162,BP1827,0))/100)))&gt;0)*($D$10:$L$10-($D$9:$L$9+INT(($S$12:$AA$12+INDEX($AJ$13:$AR$162,BN1827,0)+INDEX($AT$13:$BB$162,BO1827,0)+INDEX($BD$13:$BL$162,BP1827,0))/100)))),0)</f>
        <v/>
      </c>
      <c r="BS1827">
        <f>IF(1814&lt;$U$9,SUMPRODUCT(($D$9:$L$9+INT(($S$12:$AA$12+INDEX($AJ$13:$AR$162,BN1827,0)+INDEX($AT$13:$BB$162,BO1827,0)+INDEX($BD$13:$BL$162,BP1827,0))/100))),0)</f>
        <v/>
      </c>
      <c r="BT1827">
        <f>IF(AND(1814&lt;$U$9,$W$5),BQ1827*1000000-MIN(BR1827,999)*1000+BS1827-1814/100000,-1000000000-1814)</f>
        <v/>
      </c>
    </row>
    <row r="1828">
      <c r="BN1828">
        <f>IF(1815&lt;$U$9,INT(1815/($U$7*$U$8))+1,1)</f>
        <v/>
      </c>
      <c r="BO1828">
        <f>IF(1815&lt;$U$9,MOD(INT(1815/$U$8),$U$7)+1,1)</f>
        <v/>
      </c>
      <c r="BP1828">
        <f>IF(1815&lt;$U$9,MOD(1815,$U$8)+1,1)</f>
        <v/>
      </c>
      <c r="BQ1828">
        <f>IF(1815&lt;$U$9,SUMPRODUCT(($D$10:$L$10&lt;&gt;"")*(($D$9:$L$9+INT(($S$12:$AA$12+INDEX($AJ$13:$AR$162,BN1828,0)+INDEX($AT$13:$BB$162,BO1828,0)+INDEX($BD$13:$BL$162,BP1828,0))/100))&gt;=$D$10:$L$10)),0)</f>
        <v/>
      </c>
      <c r="BR1828">
        <f>IF(1815&lt;$U$9,SUMPRODUCT(($D$10:$L$10&lt;&gt;"")*(($D$10:$L$10-($D$9:$L$9+INT(($S$12:$AA$12+INDEX($AJ$13:$AR$162,BN1828,0)+INDEX($AT$13:$BB$162,BO1828,0)+INDEX($BD$13:$BL$162,BP1828,0))/100)))&gt;0)*($D$10:$L$10-($D$9:$L$9+INT(($S$12:$AA$12+INDEX($AJ$13:$AR$162,BN1828,0)+INDEX($AT$13:$BB$162,BO1828,0)+INDEX($BD$13:$BL$162,BP1828,0))/100)))),0)</f>
        <v/>
      </c>
      <c r="BS1828">
        <f>IF(1815&lt;$U$9,SUMPRODUCT(($D$9:$L$9+INT(($S$12:$AA$12+INDEX($AJ$13:$AR$162,BN1828,0)+INDEX($AT$13:$BB$162,BO1828,0)+INDEX($BD$13:$BL$162,BP1828,0))/100))),0)</f>
        <v/>
      </c>
      <c r="BT1828">
        <f>IF(AND(1815&lt;$U$9,$W$5),BQ1828*1000000-MIN(BR1828,999)*1000+BS1828-1815/100000,-1000000000-1815)</f>
        <v/>
      </c>
    </row>
    <row r="1829">
      <c r="BN1829">
        <f>IF(1816&lt;$U$9,INT(1816/($U$7*$U$8))+1,1)</f>
        <v/>
      </c>
      <c r="BO1829">
        <f>IF(1816&lt;$U$9,MOD(INT(1816/$U$8),$U$7)+1,1)</f>
        <v/>
      </c>
      <c r="BP1829">
        <f>IF(1816&lt;$U$9,MOD(1816,$U$8)+1,1)</f>
        <v/>
      </c>
      <c r="BQ1829">
        <f>IF(1816&lt;$U$9,SUMPRODUCT(($D$10:$L$10&lt;&gt;"")*(($D$9:$L$9+INT(($S$12:$AA$12+INDEX($AJ$13:$AR$162,BN1829,0)+INDEX($AT$13:$BB$162,BO1829,0)+INDEX($BD$13:$BL$162,BP1829,0))/100))&gt;=$D$10:$L$10)),0)</f>
        <v/>
      </c>
      <c r="BR1829">
        <f>IF(1816&lt;$U$9,SUMPRODUCT(($D$10:$L$10&lt;&gt;"")*(($D$10:$L$10-($D$9:$L$9+INT(($S$12:$AA$12+INDEX($AJ$13:$AR$162,BN1829,0)+INDEX($AT$13:$BB$162,BO1829,0)+INDEX($BD$13:$BL$162,BP1829,0))/100)))&gt;0)*($D$10:$L$10-($D$9:$L$9+INT(($S$12:$AA$12+INDEX($AJ$13:$AR$162,BN1829,0)+INDEX($AT$13:$BB$162,BO1829,0)+INDEX($BD$13:$BL$162,BP1829,0))/100)))),0)</f>
        <v/>
      </c>
      <c r="BS1829">
        <f>IF(1816&lt;$U$9,SUMPRODUCT(($D$9:$L$9+INT(($S$12:$AA$12+INDEX($AJ$13:$AR$162,BN1829,0)+INDEX($AT$13:$BB$162,BO1829,0)+INDEX($BD$13:$BL$162,BP1829,0))/100))),0)</f>
        <v/>
      </c>
      <c r="BT1829">
        <f>IF(AND(1816&lt;$U$9,$W$5),BQ1829*1000000-MIN(BR1829,999)*1000+BS1829-1816/100000,-1000000000-1816)</f>
        <v/>
      </c>
    </row>
    <row r="1830">
      <c r="BN1830">
        <f>IF(1817&lt;$U$9,INT(1817/($U$7*$U$8))+1,1)</f>
        <v/>
      </c>
      <c r="BO1830">
        <f>IF(1817&lt;$U$9,MOD(INT(1817/$U$8),$U$7)+1,1)</f>
        <v/>
      </c>
      <c r="BP1830">
        <f>IF(1817&lt;$U$9,MOD(1817,$U$8)+1,1)</f>
        <v/>
      </c>
      <c r="BQ1830">
        <f>IF(1817&lt;$U$9,SUMPRODUCT(($D$10:$L$10&lt;&gt;"")*(($D$9:$L$9+INT(($S$12:$AA$12+INDEX($AJ$13:$AR$162,BN1830,0)+INDEX($AT$13:$BB$162,BO1830,0)+INDEX($BD$13:$BL$162,BP1830,0))/100))&gt;=$D$10:$L$10)),0)</f>
        <v/>
      </c>
      <c r="BR1830">
        <f>IF(1817&lt;$U$9,SUMPRODUCT(($D$10:$L$10&lt;&gt;"")*(($D$10:$L$10-($D$9:$L$9+INT(($S$12:$AA$12+INDEX($AJ$13:$AR$162,BN1830,0)+INDEX($AT$13:$BB$162,BO1830,0)+INDEX($BD$13:$BL$162,BP1830,0))/100)))&gt;0)*($D$10:$L$10-($D$9:$L$9+INT(($S$12:$AA$12+INDEX($AJ$13:$AR$162,BN1830,0)+INDEX($AT$13:$BB$162,BO1830,0)+INDEX($BD$13:$BL$162,BP1830,0))/100)))),0)</f>
        <v/>
      </c>
      <c r="BS1830">
        <f>IF(1817&lt;$U$9,SUMPRODUCT(($D$9:$L$9+INT(($S$12:$AA$12+INDEX($AJ$13:$AR$162,BN1830,0)+INDEX($AT$13:$BB$162,BO1830,0)+INDEX($BD$13:$BL$162,BP1830,0))/100))),0)</f>
        <v/>
      </c>
      <c r="BT1830">
        <f>IF(AND(1817&lt;$U$9,$W$5),BQ1830*1000000-MIN(BR1830,999)*1000+BS1830-1817/100000,-1000000000-1817)</f>
        <v/>
      </c>
    </row>
    <row r="1831">
      <c r="BN1831">
        <f>IF(1818&lt;$U$9,INT(1818/($U$7*$U$8))+1,1)</f>
        <v/>
      </c>
      <c r="BO1831">
        <f>IF(1818&lt;$U$9,MOD(INT(1818/$U$8),$U$7)+1,1)</f>
        <v/>
      </c>
      <c r="BP1831">
        <f>IF(1818&lt;$U$9,MOD(1818,$U$8)+1,1)</f>
        <v/>
      </c>
      <c r="BQ1831">
        <f>IF(1818&lt;$U$9,SUMPRODUCT(($D$10:$L$10&lt;&gt;"")*(($D$9:$L$9+INT(($S$12:$AA$12+INDEX($AJ$13:$AR$162,BN1831,0)+INDEX($AT$13:$BB$162,BO1831,0)+INDEX($BD$13:$BL$162,BP1831,0))/100))&gt;=$D$10:$L$10)),0)</f>
        <v/>
      </c>
      <c r="BR1831">
        <f>IF(1818&lt;$U$9,SUMPRODUCT(($D$10:$L$10&lt;&gt;"")*(($D$10:$L$10-($D$9:$L$9+INT(($S$12:$AA$12+INDEX($AJ$13:$AR$162,BN1831,0)+INDEX($AT$13:$BB$162,BO1831,0)+INDEX($BD$13:$BL$162,BP1831,0))/100)))&gt;0)*($D$10:$L$10-($D$9:$L$9+INT(($S$12:$AA$12+INDEX($AJ$13:$AR$162,BN1831,0)+INDEX($AT$13:$BB$162,BO1831,0)+INDEX($BD$13:$BL$162,BP1831,0))/100)))),0)</f>
        <v/>
      </c>
      <c r="BS1831">
        <f>IF(1818&lt;$U$9,SUMPRODUCT(($D$9:$L$9+INT(($S$12:$AA$12+INDEX($AJ$13:$AR$162,BN1831,0)+INDEX($AT$13:$BB$162,BO1831,0)+INDEX($BD$13:$BL$162,BP1831,0))/100))),0)</f>
        <v/>
      </c>
      <c r="BT1831">
        <f>IF(AND(1818&lt;$U$9,$W$5),BQ1831*1000000-MIN(BR1831,999)*1000+BS1831-1818/100000,-1000000000-1818)</f>
        <v/>
      </c>
    </row>
    <row r="1832">
      <c r="BN1832">
        <f>IF(1819&lt;$U$9,INT(1819/($U$7*$U$8))+1,1)</f>
        <v/>
      </c>
      <c r="BO1832">
        <f>IF(1819&lt;$U$9,MOD(INT(1819/$U$8),$U$7)+1,1)</f>
        <v/>
      </c>
      <c r="BP1832">
        <f>IF(1819&lt;$U$9,MOD(1819,$U$8)+1,1)</f>
        <v/>
      </c>
      <c r="BQ1832">
        <f>IF(1819&lt;$U$9,SUMPRODUCT(($D$10:$L$10&lt;&gt;"")*(($D$9:$L$9+INT(($S$12:$AA$12+INDEX($AJ$13:$AR$162,BN1832,0)+INDEX($AT$13:$BB$162,BO1832,0)+INDEX($BD$13:$BL$162,BP1832,0))/100))&gt;=$D$10:$L$10)),0)</f>
        <v/>
      </c>
      <c r="BR1832">
        <f>IF(1819&lt;$U$9,SUMPRODUCT(($D$10:$L$10&lt;&gt;"")*(($D$10:$L$10-($D$9:$L$9+INT(($S$12:$AA$12+INDEX($AJ$13:$AR$162,BN1832,0)+INDEX($AT$13:$BB$162,BO1832,0)+INDEX($BD$13:$BL$162,BP1832,0))/100)))&gt;0)*($D$10:$L$10-($D$9:$L$9+INT(($S$12:$AA$12+INDEX($AJ$13:$AR$162,BN1832,0)+INDEX($AT$13:$BB$162,BO1832,0)+INDEX($BD$13:$BL$162,BP1832,0))/100)))),0)</f>
        <v/>
      </c>
      <c r="BS1832">
        <f>IF(1819&lt;$U$9,SUMPRODUCT(($D$9:$L$9+INT(($S$12:$AA$12+INDEX($AJ$13:$AR$162,BN1832,0)+INDEX($AT$13:$BB$162,BO1832,0)+INDEX($BD$13:$BL$162,BP1832,0))/100))),0)</f>
        <v/>
      </c>
      <c r="BT1832">
        <f>IF(AND(1819&lt;$U$9,$W$5),BQ1832*1000000-MIN(BR1832,999)*1000+BS1832-1819/100000,-1000000000-1819)</f>
        <v/>
      </c>
    </row>
    <row r="1833">
      <c r="BN1833">
        <f>IF(1820&lt;$U$9,INT(1820/($U$7*$U$8))+1,1)</f>
        <v/>
      </c>
      <c r="BO1833">
        <f>IF(1820&lt;$U$9,MOD(INT(1820/$U$8),$U$7)+1,1)</f>
        <v/>
      </c>
      <c r="BP1833">
        <f>IF(1820&lt;$U$9,MOD(1820,$U$8)+1,1)</f>
        <v/>
      </c>
      <c r="BQ1833">
        <f>IF(1820&lt;$U$9,SUMPRODUCT(($D$10:$L$10&lt;&gt;"")*(($D$9:$L$9+INT(($S$12:$AA$12+INDEX($AJ$13:$AR$162,BN1833,0)+INDEX($AT$13:$BB$162,BO1833,0)+INDEX($BD$13:$BL$162,BP1833,0))/100))&gt;=$D$10:$L$10)),0)</f>
        <v/>
      </c>
      <c r="BR1833">
        <f>IF(1820&lt;$U$9,SUMPRODUCT(($D$10:$L$10&lt;&gt;"")*(($D$10:$L$10-($D$9:$L$9+INT(($S$12:$AA$12+INDEX($AJ$13:$AR$162,BN1833,0)+INDEX($AT$13:$BB$162,BO1833,0)+INDEX($BD$13:$BL$162,BP1833,0))/100)))&gt;0)*($D$10:$L$10-($D$9:$L$9+INT(($S$12:$AA$12+INDEX($AJ$13:$AR$162,BN1833,0)+INDEX($AT$13:$BB$162,BO1833,0)+INDEX($BD$13:$BL$162,BP1833,0))/100)))),0)</f>
        <v/>
      </c>
      <c r="BS1833">
        <f>IF(1820&lt;$U$9,SUMPRODUCT(($D$9:$L$9+INT(($S$12:$AA$12+INDEX($AJ$13:$AR$162,BN1833,0)+INDEX($AT$13:$BB$162,BO1833,0)+INDEX($BD$13:$BL$162,BP1833,0))/100))),0)</f>
        <v/>
      </c>
      <c r="BT1833">
        <f>IF(AND(1820&lt;$U$9,$W$5),BQ1833*1000000-MIN(BR1833,999)*1000+BS1833-1820/100000,-1000000000-1820)</f>
        <v/>
      </c>
    </row>
    <row r="1834">
      <c r="BN1834">
        <f>IF(1821&lt;$U$9,INT(1821/($U$7*$U$8))+1,1)</f>
        <v/>
      </c>
      <c r="BO1834">
        <f>IF(1821&lt;$U$9,MOD(INT(1821/$U$8),$U$7)+1,1)</f>
        <v/>
      </c>
      <c r="BP1834">
        <f>IF(1821&lt;$U$9,MOD(1821,$U$8)+1,1)</f>
        <v/>
      </c>
      <c r="BQ1834">
        <f>IF(1821&lt;$U$9,SUMPRODUCT(($D$10:$L$10&lt;&gt;"")*(($D$9:$L$9+INT(($S$12:$AA$12+INDEX($AJ$13:$AR$162,BN1834,0)+INDEX($AT$13:$BB$162,BO1834,0)+INDEX($BD$13:$BL$162,BP1834,0))/100))&gt;=$D$10:$L$10)),0)</f>
        <v/>
      </c>
      <c r="BR1834">
        <f>IF(1821&lt;$U$9,SUMPRODUCT(($D$10:$L$10&lt;&gt;"")*(($D$10:$L$10-($D$9:$L$9+INT(($S$12:$AA$12+INDEX($AJ$13:$AR$162,BN1834,0)+INDEX($AT$13:$BB$162,BO1834,0)+INDEX($BD$13:$BL$162,BP1834,0))/100)))&gt;0)*($D$10:$L$10-($D$9:$L$9+INT(($S$12:$AA$12+INDEX($AJ$13:$AR$162,BN1834,0)+INDEX($AT$13:$BB$162,BO1834,0)+INDEX($BD$13:$BL$162,BP1834,0))/100)))),0)</f>
        <v/>
      </c>
      <c r="BS1834">
        <f>IF(1821&lt;$U$9,SUMPRODUCT(($D$9:$L$9+INT(($S$12:$AA$12+INDEX($AJ$13:$AR$162,BN1834,0)+INDEX($AT$13:$BB$162,BO1834,0)+INDEX($BD$13:$BL$162,BP1834,0))/100))),0)</f>
        <v/>
      </c>
      <c r="BT1834">
        <f>IF(AND(1821&lt;$U$9,$W$5),BQ1834*1000000-MIN(BR1834,999)*1000+BS1834-1821/100000,-1000000000-1821)</f>
        <v/>
      </c>
    </row>
    <row r="1835">
      <c r="BN1835">
        <f>IF(1822&lt;$U$9,INT(1822/($U$7*$U$8))+1,1)</f>
        <v/>
      </c>
      <c r="BO1835">
        <f>IF(1822&lt;$U$9,MOD(INT(1822/$U$8),$U$7)+1,1)</f>
        <v/>
      </c>
      <c r="BP1835">
        <f>IF(1822&lt;$U$9,MOD(1822,$U$8)+1,1)</f>
        <v/>
      </c>
      <c r="BQ1835">
        <f>IF(1822&lt;$U$9,SUMPRODUCT(($D$10:$L$10&lt;&gt;"")*(($D$9:$L$9+INT(($S$12:$AA$12+INDEX($AJ$13:$AR$162,BN1835,0)+INDEX($AT$13:$BB$162,BO1835,0)+INDEX($BD$13:$BL$162,BP1835,0))/100))&gt;=$D$10:$L$10)),0)</f>
        <v/>
      </c>
      <c r="BR1835">
        <f>IF(1822&lt;$U$9,SUMPRODUCT(($D$10:$L$10&lt;&gt;"")*(($D$10:$L$10-($D$9:$L$9+INT(($S$12:$AA$12+INDEX($AJ$13:$AR$162,BN1835,0)+INDEX($AT$13:$BB$162,BO1835,0)+INDEX($BD$13:$BL$162,BP1835,0))/100)))&gt;0)*($D$10:$L$10-($D$9:$L$9+INT(($S$12:$AA$12+INDEX($AJ$13:$AR$162,BN1835,0)+INDEX($AT$13:$BB$162,BO1835,0)+INDEX($BD$13:$BL$162,BP1835,0))/100)))),0)</f>
        <v/>
      </c>
      <c r="BS1835">
        <f>IF(1822&lt;$U$9,SUMPRODUCT(($D$9:$L$9+INT(($S$12:$AA$12+INDEX($AJ$13:$AR$162,BN1835,0)+INDEX($AT$13:$BB$162,BO1835,0)+INDEX($BD$13:$BL$162,BP1835,0))/100))),0)</f>
        <v/>
      </c>
      <c r="BT1835">
        <f>IF(AND(1822&lt;$U$9,$W$5),BQ1835*1000000-MIN(BR1835,999)*1000+BS1835-1822/100000,-1000000000-1822)</f>
        <v/>
      </c>
    </row>
    <row r="1836">
      <c r="BN1836">
        <f>IF(1823&lt;$U$9,INT(1823/($U$7*$U$8))+1,1)</f>
        <v/>
      </c>
      <c r="BO1836">
        <f>IF(1823&lt;$U$9,MOD(INT(1823/$U$8),$U$7)+1,1)</f>
        <v/>
      </c>
      <c r="BP1836">
        <f>IF(1823&lt;$U$9,MOD(1823,$U$8)+1,1)</f>
        <v/>
      </c>
      <c r="BQ1836">
        <f>IF(1823&lt;$U$9,SUMPRODUCT(($D$10:$L$10&lt;&gt;"")*(($D$9:$L$9+INT(($S$12:$AA$12+INDEX($AJ$13:$AR$162,BN1836,0)+INDEX($AT$13:$BB$162,BO1836,0)+INDEX($BD$13:$BL$162,BP1836,0))/100))&gt;=$D$10:$L$10)),0)</f>
        <v/>
      </c>
      <c r="BR1836">
        <f>IF(1823&lt;$U$9,SUMPRODUCT(($D$10:$L$10&lt;&gt;"")*(($D$10:$L$10-($D$9:$L$9+INT(($S$12:$AA$12+INDEX($AJ$13:$AR$162,BN1836,0)+INDEX($AT$13:$BB$162,BO1836,0)+INDEX($BD$13:$BL$162,BP1836,0))/100)))&gt;0)*($D$10:$L$10-($D$9:$L$9+INT(($S$12:$AA$12+INDEX($AJ$13:$AR$162,BN1836,0)+INDEX($AT$13:$BB$162,BO1836,0)+INDEX($BD$13:$BL$162,BP1836,0))/100)))),0)</f>
        <v/>
      </c>
      <c r="BS1836">
        <f>IF(1823&lt;$U$9,SUMPRODUCT(($D$9:$L$9+INT(($S$12:$AA$12+INDEX($AJ$13:$AR$162,BN1836,0)+INDEX($AT$13:$BB$162,BO1836,0)+INDEX($BD$13:$BL$162,BP1836,0))/100))),0)</f>
        <v/>
      </c>
      <c r="BT1836">
        <f>IF(AND(1823&lt;$U$9,$W$5),BQ1836*1000000-MIN(BR1836,999)*1000+BS1836-1823/100000,-1000000000-1823)</f>
        <v/>
      </c>
    </row>
    <row r="1837">
      <c r="BN1837">
        <f>IF(1824&lt;$U$9,INT(1824/($U$7*$U$8))+1,1)</f>
        <v/>
      </c>
      <c r="BO1837">
        <f>IF(1824&lt;$U$9,MOD(INT(1824/$U$8),$U$7)+1,1)</f>
        <v/>
      </c>
      <c r="BP1837">
        <f>IF(1824&lt;$U$9,MOD(1824,$U$8)+1,1)</f>
        <v/>
      </c>
      <c r="BQ1837">
        <f>IF(1824&lt;$U$9,SUMPRODUCT(($D$10:$L$10&lt;&gt;"")*(($D$9:$L$9+INT(($S$12:$AA$12+INDEX($AJ$13:$AR$162,BN1837,0)+INDEX($AT$13:$BB$162,BO1837,0)+INDEX($BD$13:$BL$162,BP1837,0))/100))&gt;=$D$10:$L$10)),0)</f>
        <v/>
      </c>
      <c r="BR1837">
        <f>IF(1824&lt;$U$9,SUMPRODUCT(($D$10:$L$10&lt;&gt;"")*(($D$10:$L$10-($D$9:$L$9+INT(($S$12:$AA$12+INDEX($AJ$13:$AR$162,BN1837,0)+INDEX($AT$13:$BB$162,BO1837,0)+INDEX($BD$13:$BL$162,BP1837,0))/100)))&gt;0)*($D$10:$L$10-($D$9:$L$9+INT(($S$12:$AA$12+INDEX($AJ$13:$AR$162,BN1837,0)+INDEX($AT$13:$BB$162,BO1837,0)+INDEX($BD$13:$BL$162,BP1837,0))/100)))),0)</f>
        <v/>
      </c>
      <c r="BS1837">
        <f>IF(1824&lt;$U$9,SUMPRODUCT(($D$9:$L$9+INT(($S$12:$AA$12+INDEX($AJ$13:$AR$162,BN1837,0)+INDEX($AT$13:$BB$162,BO1837,0)+INDEX($BD$13:$BL$162,BP1837,0))/100))),0)</f>
        <v/>
      </c>
      <c r="BT1837">
        <f>IF(AND(1824&lt;$U$9,$W$5),BQ1837*1000000-MIN(BR1837,999)*1000+BS1837-1824/100000,-1000000000-1824)</f>
        <v/>
      </c>
    </row>
    <row r="1838">
      <c r="BN1838">
        <f>IF(1825&lt;$U$9,INT(1825/($U$7*$U$8))+1,1)</f>
        <v/>
      </c>
      <c r="BO1838">
        <f>IF(1825&lt;$U$9,MOD(INT(1825/$U$8),$U$7)+1,1)</f>
        <v/>
      </c>
      <c r="BP1838">
        <f>IF(1825&lt;$U$9,MOD(1825,$U$8)+1,1)</f>
        <v/>
      </c>
      <c r="BQ1838">
        <f>IF(1825&lt;$U$9,SUMPRODUCT(($D$10:$L$10&lt;&gt;"")*(($D$9:$L$9+INT(($S$12:$AA$12+INDEX($AJ$13:$AR$162,BN1838,0)+INDEX($AT$13:$BB$162,BO1838,0)+INDEX($BD$13:$BL$162,BP1838,0))/100))&gt;=$D$10:$L$10)),0)</f>
        <v/>
      </c>
      <c r="BR1838">
        <f>IF(1825&lt;$U$9,SUMPRODUCT(($D$10:$L$10&lt;&gt;"")*(($D$10:$L$10-($D$9:$L$9+INT(($S$12:$AA$12+INDEX($AJ$13:$AR$162,BN1838,0)+INDEX($AT$13:$BB$162,BO1838,0)+INDEX($BD$13:$BL$162,BP1838,0))/100)))&gt;0)*($D$10:$L$10-($D$9:$L$9+INT(($S$12:$AA$12+INDEX($AJ$13:$AR$162,BN1838,0)+INDEX($AT$13:$BB$162,BO1838,0)+INDEX($BD$13:$BL$162,BP1838,0))/100)))),0)</f>
        <v/>
      </c>
      <c r="BS1838">
        <f>IF(1825&lt;$U$9,SUMPRODUCT(($D$9:$L$9+INT(($S$12:$AA$12+INDEX($AJ$13:$AR$162,BN1838,0)+INDEX($AT$13:$BB$162,BO1838,0)+INDEX($BD$13:$BL$162,BP1838,0))/100))),0)</f>
        <v/>
      </c>
      <c r="BT1838">
        <f>IF(AND(1825&lt;$U$9,$W$5),BQ1838*1000000-MIN(BR1838,999)*1000+BS1838-1825/100000,-1000000000-1825)</f>
        <v/>
      </c>
    </row>
    <row r="1839">
      <c r="BN1839">
        <f>IF(1826&lt;$U$9,INT(1826/($U$7*$U$8))+1,1)</f>
        <v/>
      </c>
      <c r="BO1839">
        <f>IF(1826&lt;$U$9,MOD(INT(1826/$U$8),$U$7)+1,1)</f>
        <v/>
      </c>
      <c r="BP1839">
        <f>IF(1826&lt;$U$9,MOD(1826,$U$8)+1,1)</f>
        <v/>
      </c>
      <c r="BQ1839">
        <f>IF(1826&lt;$U$9,SUMPRODUCT(($D$10:$L$10&lt;&gt;"")*(($D$9:$L$9+INT(($S$12:$AA$12+INDEX($AJ$13:$AR$162,BN1839,0)+INDEX($AT$13:$BB$162,BO1839,0)+INDEX($BD$13:$BL$162,BP1839,0))/100))&gt;=$D$10:$L$10)),0)</f>
        <v/>
      </c>
      <c r="BR1839">
        <f>IF(1826&lt;$U$9,SUMPRODUCT(($D$10:$L$10&lt;&gt;"")*(($D$10:$L$10-($D$9:$L$9+INT(($S$12:$AA$12+INDEX($AJ$13:$AR$162,BN1839,0)+INDEX($AT$13:$BB$162,BO1839,0)+INDEX($BD$13:$BL$162,BP1839,0))/100)))&gt;0)*($D$10:$L$10-($D$9:$L$9+INT(($S$12:$AA$12+INDEX($AJ$13:$AR$162,BN1839,0)+INDEX($AT$13:$BB$162,BO1839,0)+INDEX($BD$13:$BL$162,BP1839,0))/100)))),0)</f>
        <v/>
      </c>
      <c r="BS1839">
        <f>IF(1826&lt;$U$9,SUMPRODUCT(($D$9:$L$9+INT(($S$12:$AA$12+INDEX($AJ$13:$AR$162,BN1839,0)+INDEX($AT$13:$BB$162,BO1839,0)+INDEX($BD$13:$BL$162,BP1839,0))/100))),0)</f>
        <v/>
      </c>
      <c r="BT1839">
        <f>IF(AND(1826&lt;$U$9,$W$5),BQ1839*1000000-MIN(BR1839,999)*1000+BS1839-1826/100000,-1000000000-1826)</f>
        <v/>
      </c>
    </row>
    <row r="1840">
      <c r="BN1840">
        <f>IF(1827&lt;$U$9,INT(1827/($U$7*$U$8))+1,1)</f>
        <v/>
      </c>
      <c r="BO1840">
        <f>IF(1827&lt;$U$9,MOD(INT(1827/$U$8),$U$7)+1,1)</f>
        <v/>
      </c>
      <c r="BP1840">
        <f>IF(1827&lt;$U$9,MOD(1827,$U$8)+1,1)</f>
        <v/>
      </c>
      <c r="BQ1840">
        <f>IF(1827&lt;$U$9,SUMPRODUCT(($D$10:$L$10&lt;&gt;"")*(($D$9:$L$9+INT(($S$12:$AA$12+INDEX($AJ$13:$AR$162,BN1840,0)+INDEX($AT$13:$BB$162,BO1840,0)+INDEX($BD$13:$BL$162,BP1840,0))/100))&gt;=$D$10:$L$10)),0)</f>
        <v/>
      </c>
      <c r="BR1840">
        <f>IF(1827&lt;$U$9,SUMPRODUCT(($D$10:$L$10&lt;&gt;"")*(($D$10:$L$10-($D$9:$L$9+INT(($S$12:$AA$12+INDEX($AJ$13:$AR$162,BN1840,0)+INDEX($AT$13:$BB$162,BO1840,0)+INDEX($BD$13:$BL$162,BP1840,0))/100)))&gt;0)*($D$10:$L$10-($D$9:$L$9+INT(($S$12:$AA$12+INDEX($AJ$13:$AR$162,BN1840,0)+INDEX($AT$13:$BB$162,BO1840,0)+INDEX($BD$13:$BL$162,BP1840,0))/100)))),0)</f>
        <v/>
      </c>
      <c r="BS1840">
        <f>IF(1827&lt;$U$9,SUMPRODUCT(($D$9:$L$9+INT(($S$12:$AA$12+INDEX($AJ$13:$AR$162,BN1840,0)+INDEX($AT$13:$BB$162,BO1840,0)+INDEX($BD$13:$BL$162,BP1840,0))/100))),0)</f>
        <v/>
      </c>
      <c r="BT1840">
        <f>IF(AND(1827&lt;$U$9,$W$5),BQ1840*1000000-MIN(BR1840,999)*1000+BS1840-1827/100000,-1000000000-1827)</f>
        <v/>
      </c>
    </row>
    <row r="1841">
      <c r="BN1841">
        <f>IF(1828&lt;$U$9,INT(1828/($U$7*$U$8))+1,1)</f>
        <v/>
      </c>
      <c r="BO1841">
        <f>IF(1828&lt;$U$9,MOD(INT(1828/$U$8),$U$7)+1,1)</f>
        <v/>
      </c>
      <c r="BP1841">
        <f>IF(1828&lt;$U$9,MOD(1828,$U$8)+1,1)</f>
        <v/>
      </c>
      <c r="BQ1841">
        <f>IF(1828&lt;$U$9,SUMPRODUCT(($D$10:$L$10&lt;&gt;"")*(($D$9:$L$9+INT(($S$12:$AA$12+INDEX($AJ$13:$AR$162,BN1841,0)+INDEX($AT$13:$BB$162,BO1841,0)+INDEX($BD$13:$BL$162,BP1841,0))/100))&gt;=$D$10:$L$10)),0)</f>
        <v/>
      </c>
      <c r="BR1841">
        <f>IF(1828&lt;$U$9,SUMPRODUCT(($D$10:$L$10&lt;&gt;"")*(($D$10:$L$10-($D$9:$L$9+INT(($S$12:$AA$12+INDEX($AJ$13:$AR$162,BN1841,0)+INDEX($AT$13:$BB$162,BO1841,0)+INDEX($BD$13:$BL$162,BP1841,0))/100)))&gt;0)*($D$10:$L$10-($D$9:$L$9+INT(($S$12:$AA$12+INDEX($AJ$13:$AR$162,BN1841,0)+INDEX($AT$13:$BB$162,BO1841,0)+INDEX($BD$13:$BL$162,BP1841,0))/100)))),0)</f>
        <v/>
      </c>
      <c r="BS1841">
        <f>IF(1828&lt;$U$9,SUMPRODUCT(($D$9:$L$9+INT(($S$12:$AA$12+INDEX($AJ$13:$AR$162,BN1841,0)+INDEX($AT$13:$BB$162,BO1841,0)+INDEX($BD$13:$BL$162,BP1841,0))/100))),0)</f>
        <v/>
      </c>
      <c r="BT1841">
        <f>IF(AND(1828&lt;$U$9,$W$5),BQ1841*1000000-MIN(BR1841,999)*1000+BS1841-1828/100000,-1000000000-1828)</f>
        <v/>
      </c>
    </row>
    <row r="1842">
      <c r="BN1842">
        <f>IF(1829&lt;$U$9,INT(1829/($U$7*$U$8))+1,1)</f>
        <v/>
      </c>
      <c r="BO1842">
        <f>IF(1829&lt;$U$9,MOD(INT(1829/$U$8),$U$7)+1,1)</f>
        <v/>
      </c>
      <c r="BP1842">
        <f>IF(1829&lt;$U$9,MOD(1829,$U$8)+1,1)</f>
        <v/>
      </c>
      <c r="BQ1842">
        <f>IF(1829&lt;$U$9,SUMPRODUCT(($D$10:$L$10&lt;&gt;"")*(($D$9:$L$9+INT(($S$12:$AA$12+INDEX($AJ$13:$AR$162,BN1842,0)+INDEX($AT$13:$BB$162,BO1842,0)+INDEX($BD$13:$BL$162,BP1842,0))/100))&gt;=$D$10:$L$10)),0)</f>
        <v/>
      </c>
      <c r="BR1842">
        <f>IF(1829&lt;$U$9,SUMPRODUCT(($D$10:$L$10&lt;&gt;"")*(($D$10:$L$10-($D$9:$L$9+INT(($S$12:$AA$12+INDEX($AJ$13:$AR$162,BN1842,0)+INDEX($AT$13:$BB$162,BO1842,0)+INDEX($BD$13:$BL$162,BP1842,0))/100)))&gt;0)*($D$10:$L$10-($D$9:$L$9+INT(($S$12:$AA$12+INDEX($AJ$13:$AR$162,BN1842,0)+INDEX($AT$13:$BB$162,BO1842,0)+INDEX($BD$13:$BL$162,BP1842,0))/100)))),0)</f>
        <v/>
      </c>
      <c r="BS1842">
        <f>IF(1829&lt;$U$9,SUMPRODUCT(($D$9:$L$9+INT(($S$12:$AA$12+INDEX($AJ$13:$AR$162,BN1842,0)+INDEX($AT$13:$BB$162,BO1842,0)+INDEX($BD$13:$BL$162,BP1842,0))/100))),0)</f>
        <v/>
      </c>
      <c r="BT1842">
        <f>IF(AND(1829&lt;$U$9,$W$5),BQ1842*1000000-MIN(BR1842,999)*1000+BS1842-1829/100000,-1000000000-1829)</f>
        <v/>
      </c>
    </row>
    <row r="1843">
      <c r="BN1843">
        <f>IF(1830&lt;$U$9,INT(1830/($U$7*$U$8))+1,1)</f>
        <v/>
      </c>
      <c r="BO1843">
        <f>IF(1830&lt;$U$9,MOD(INT(1830/$U$8),$U$7)+1,1)</f>
        <v/>
      </c>
      <c r="BP1843">
        <f>IF(1830&lt;$U$9,MOD(1830,$U$8)+1,1)</f>
        <v/>
      </c>
      <c r="BQ1843">
        <f>IF(1830&lt;$U$9,SUMPRODUCT(($D$10:$L$10&lt;&gt;"")*(($D$9:$L$9+INT(($S$12:$AA$12+INDEX($AJ$13:$AR$162,BN1843,0)+INDEX($AT$13:$BB$162,BO1843,0)+INDEX($BD$13:$BL$162,BP1843,0))/100))&gt;=$D$10:$L$10)),0)</f>
        <v/>
      </c>
      <c r="BR1843">
        <f>IF(1830&lt;$U$9,SUMPRODUCT(($D$10:$L$10&lt;&gt;"")*(($D$10:$L$10-($D$9:$L$9+INT(($S$12:$AA$12+INDEX($AJ$13:$AR$162,BN1843,0)+INDEX($AT$13:$BB$162,BO1843,0)+INDEX($BD$13:$BL$162,BP1843,0))/100)))&gt;0)*($D$10:$L$10-($D$9:$L$9+INT(($S$12:$AA$12+INDEX($AJ$13:$AR$162,BN1843,0)+INDEX($AT$13:$BB$162,BO1843,0)+INDEX($BD$13:$BL$162,BP1843,0))/100)))),0)</f>
        <v/>
      </c>
      <c r="BS1843">
        <f>IF(1830&lt;$U$9,SUMPRODUCT(($D$9:$L$9+INT(($S$12:$AA$12+INDEX($AJ$13:$AR$162,BN1843,0)+INDEX($AT$13:$BB$162,BO1843,0)+INDEX($BD$13:$BL$162,BP1843,0))/100))),0)</f>
        <v/>
      </c>
      <c r="BT1843">
        <f>IF(AND(1830&lt;$U$9,$W$5),BQ1843*1000000-MIN(BR1843,999)*1000+BS1843-1830/100000,-1000000000-1830)</f>
        <v/>
      </c>
    </row>
    <row r="1844">
      <c r="BN1844">
        <f>IF(1831&lt;$U$9,INT(1831/($U$7*$U$8))+1,1)</f>
        <v/>
      </c>
      <c r="BO1844">
        <f>IF(1831&lt;$U$9,MOD(INT(1831/$U$8),$U$7)+1,1)</f>
        <v/>
      </c>
      <c r="BP1844">
        <f>IF(1831&lt;$U$9,MOD(1831,$U$8)+1,1)</f>
        <v/>
      </c>
      <c r="BQ1844">
        <f>IF(1831&lt;$U$9,SUMPRODUCT(($D$10:$L$10&lt;&gt;"")*(($D$9:$L$9+INT(($S$12:$AA$12+INDEX($AJ$13:$AR$162,BN1844,0)+INDEX($AT$13:$BB$162,BO1844,0)+INDEX($BD$13:$BL$162,BP1844,0))/100))&gt;=$D$10:$L$10)),0)</f>
        <v/>
      </c>
      <c r="BR1844">
        <f>IF(1831&lt;$U$9,SUMPRODUCT(($D$10:$L$10&lt;&gt;"")*(($D$10:$L$10-($D$9:$L$9+INT(($S$12:$AA$12+INDEX($AJ$13:$AR$162,BN1844,0)+INDEX($AT$13:$BB$162,BO1844,0)+INDEX($BD$13:$BL$162,BP1844,0))/100)))&gt;0)*($D$10:$L$10-($D$9:$L$9+INT(($S$12:$AA$12+INDEX($AJ$13:$AR$162,BN1844,0)+INDEX($AT$13:$BB$162,BO1844,0)+INDEX($BD$13:$BL$162,BP1844,0))/100)))),0)</f>
        <v/>
      </c>
      <c r="BS1844">
        <f>IF(1831&lt;$U$9,SUMPRODUCT(($D$9:$L$9+INT(($S$12:$AA$12+INDEX($AJ$13:$AR$162,BN1844,0)+INDEX($AT$13:$BB$162,BO1844,0)+INDEX($BD$13:$BL$162,BP1844,0))/100))),0)</f>
        <v/>
      </c>
      <c r="BT1844">
        <f>IF(AND(1831&lt;$U$9,$W$5),BQ1844*1000000-MIN(BR1844,999)*1000+BS1844-1831/100000,-1000000000-1831)</f>
        <v/>
      </c>
    </row>
    <row r="1845">
      <c r="BN1845">
        <f>IF(1832&lt;$U$9,INT(1832/($U$7*$U$8))+1,1)</f>
        <v/>
      </c>
      <c r="BO1845">
        <f>IF(1832&lt;$U$9,MOD(INT(1832/$U$8),$U$7)+1,1)</f>
        <v/>
      </c>
      <c r="BP1845">
        <f>IF(1832&lt;$U$9,MOD(1832,$U$8)+1,1)</f>
        <v/>
      </c>
      <c r="BQ1845">
        <f>IF(1832&lt;$U$9,SUMPRODUCT(($D$10:$L$10&lt;&gt;"")*(($D$9:$L$9+INT(($S$12:$AA$12+INDEX($AJ$13:$AR$162,BN1845,0)+INDEX($AT$13:$BB$162,BO1845,0)+INDEX($BD$13:$BL$162,BP1845,0))/100))&gt;=$D$10:$L$10)),0)</f>
        <v/>
      </c>
      <c r="BR1845">
        <f>IF(1832&lt;$U$9,SUMPRODUCT(($D$10:$L$10&lt;&gt;"")*(($D$10:$L$10-($D$9:$L$9+INT(($S$12:$AA$12+INDEX($AJ$13:$AR$162,BN1845,0)+INDEX($AT$13:$BB$162,BO1845,0)+INDEX($BD$13:$BL$162,BP1845,0))/100)))&gt;0)*($D$10:$L$10-($D$9:$L$9+INT(($S$12:$AA$12+INDEX($AJ$13:$AR$162,BN1845,0)+INDEX($AT$13:$BB$162,BO1845,0)+INDEX($BD$13:$BL$162,BP1845,0))/100)))),0)</f>
        <v/>
      </c>
      <c r="BS1845">
        <f>IF(1832&lt;$U$9,SUMPRODUCT(($D$9:$L$9+INT(($S$12:$AA$12+INDEX($AJ$13:$AR$162,BN1845,0)+INDEX($AT$13:$BB$162,BO1845,0)+INDEX($BD$13:$BL$162,BP1845,0))/100))),0)</f>
        <v/>
      </c>
      <c r="BT1845">
        <f>IF(AND(1832&lt;$U$9,$W$5),BQ1845*1000000-MIN(BR1845,999)*1000+BS1845-1832/100000,-1000000000-1832)</f>
        <v/>
      </c>
    </row>
    <row r="1846">
      <c r="BN1846">
        <f>IF(1833&lt;$U$9,INT(1833/($U$7*$U$8))+1,1)</f>
        <v/>
      </c>
      <c r="BO1846">
        <f>IF(1833&lt;$U$9,MOD(INT(1833/$U$8),$U$7)+1,1)</f>
        <v/>
      </c>
      <c r="BP1846">
        <f>IF(1833&lt;$U$9,MOD(1833,$U$8)+1,1)</f>
        <v/>
      </c>
      <c r="BQ1846">
        <f>IF(1833&lt;$U$9,SUMPRODUCT(($D$10:$L$10&lt;&gt;"")*(($D$9:$L$9+INT(($S$12:$AA$12+INDEX($AJ$13:$AR$162,BN1846,0)+INDEX($AT$13:$BB$162,BO1846,0)+INDEX($BD$13:$BL$162,BP1846,0))/100))&gt;=$D$10:$L$10)),0)</f>
        <v/>
      </c>
      <c r="BR1846">
        <f>IF(1833&lt;$U$9,SUMPRODUCT(($D$10:$L$10&lt;&gt;"")*(($D$10:$L$10-($D$9:$L$9+INT(($S$12:$AA$12+INDEX($AJ$13:$AR$162,BN1846,0)+INDEX($AT$13:$BB$162,BO1846,0)+INDEX($BD$13:$BL$162,BP1846,0))/100)))&gt;0)*($D$10:$L$10-($D$9:$L$9+INT(($S$12:$AA$12+INDEX($AJ$13:$AR$162,BN1846,0)+INDEX($AT$13:$BB$162,BO1846,0)+INDEX($BD$13:$BL$162,BP1846,0))/100)))),0)</f>
        <v/>
      </c>
      <c r="BS1846">
        <f>IF(1833&lt;$U$9,SUMPRODUCT(($D$9:$L$9+INT(($S$12:$AA$12+INDEX($AJ$13:$AR$162,BN1846,0)+INDEX($AT$13:$BB$162,BO1846,0)+INDEX($BD$13:$BL$162,BP1846,0))/100))),0)</f>
        <v/>
      </c>
      <c r="BT1846">
        <f>IF(AND(1833&lt;$U$9,$W$5),BQ1846*1000000-MIN(BR1846,999)*1000+BS1846-1833/100000,-1000000000-1833)</f>
        <v/>
      </c>
    </row>
    <row r="1847">
      <c r="BN1847">
        <f>IF(1834&lt;$U$9,INT(1834/($U$7*$U$8))+1,1)</f>
        <v/>
      </c>
      <c r="BO1847">
        <f>IF(1834&lt;$U$9,MOD(INT(1834/$U$8),$U$7)+1,1)</f>
        <v/>
      </c>
      <c r="BP1847">
        <f>IF(1834&lt;$U$9,MOD(1834,$U$8)+1,1)</f>
        <v/>
      </c>
      <c r="BQ1847">
        <f>IF(1834&lt;$U$9,SUMPRODUCT(($D$10:$L$10&lt;&gt;"")*(($D$9:$L$9+INT(($S$12:$AA$12+INDEX($AJ$13:$AR$162,BN1847,0)+INDEX($AT$13:$BB$162,BO1847,0)+INDEX($BD$13:$BL$162,BP1847,0))/100))&gt;=$D$10:$L$10)),0)</f>
        <v/>
      </c>
      <c r="BR1847">
        <f>IF(1834&lt;$U$9,SUMPRODUCT(($D$10:$L$10&lt;&gt;"")*(($D$10:$L$10-($D$9:$L$9+INT(($S$12:$AA$12+INDEX($AJ$13:$AR$162,BN1847,0)+INDEX($AT$13:$BB$162,BO1847,0)+INDEX($BD$13:$BL$162,BP1847,0))/100)))&gt;0)*($D$10:$L$10-($D$9:$L$9+INT(($S$12:$AA$12+INDEX($AJ$13:$AR$162,BN1847,0)+INDEX($AT$13:$BB$162,BO1847,0)+INDEX($BD$13:$BL$162,BP1847,0))/100)))),0)</f>
        <v/>
      </c>
      <c r="BS1847">
        <f>IF(1834&lt;$U$9,SUMPRODUCT(($D$9:$L$9+INT(($S$12:$AA$12+INDEX($AJ$13:$AR$162,BN1847,0)+INDEX($AT$13:$BB$162,BO1847,0)+INDEX($BD$13:$BL$162,BP1847,0))/100))),0)</f>
        <v/>
      </c>
      <c r="BT1847">
        <f>IF(AND(1834&lt;$U$9,$W$5),BQ1847*1000000-MIN(BR1847,999)*1000+BS1847-1834/100000,-1000000000-1834)</f>
        <v/>
      </c>
    </row>
    <row r="1848">
      <c r="BN1848">
        <f>IF(1835&lt;$U$9,INT(1835/($U$7*$U$8))+1,1)</f>
        <v/>
      </c>
      <c r="BO1848">
        <f>IF(1835&lt;$U$9,MOD(INT(1835/$U$8),$U$7)+1,1)</f>
        <v/>
      </c>
      <c r="BP1848">
        <f>IF(1835&lt;$U$9,MOD(1835,$U$8)+1,1)</f>
        <v/>
      </c>
      <c r="BQ1848">
        <f>IF(1835&lt;$U$9,SUMPRODUCT(($D$10:$L$10&lt;&gt;"")*(($D$9:$L$9+INT(($S$12:$AA$12+INDEX($AJ$13:$AR$162,BN1848,0)+INDEX($AT$13:$BB$162,BO1848,0)+INDEX($BD$13:$BL$162,BP1848,0))/100))&gt;=$D$10:$L$10)),0)</f>
        <v/>
      </c>
      <c r="BR1848">
        <f>IF(1835&lt;$U$9,SUMPRODUCT(($D$10:$L$10&lt;&gt;"")*(($D$10:$L$10-($D$9:$L$9+INT(($S$12:$AA$12+INDEX($AJ$13:$AR$162,BN1848,0)+INDEX($AT$13:$BB$162,BO1848,0)+INDEX($BD$13:$BL$162,BP1848,0))/100)))&gt;0)*($D$10:$L$10-($D$9:$L$9+INT(($S$12:$AA$12+INDEX($AJ$13:$AR$162,BN1848,0)+INDEX($AT$13:$BB$162,BO1848,0)+INDEX($BD$13:$BL$162,BP1848,0))/100)))),0)</f>
        <v/>
      </c>
      <c r="BS1848">
        <f>IF(1835&lt;$U$9,SUMPRODUCT(($D$9:$L$9+INT(($S$12:$AA$12+INDEX($AJ$13:$AR$162,BN1848,0)+INDEX($AT$13:$BB$162,BO1848,0)+INDEX($BD$13:$BL$162,BP1848,0))/100))),0)</f>
        <v/>
      </c>
      <c r="BT1848">
        <f>IF(AND(1835&lt;$U$9,$W$5),BQ1848*1000000-MIN(BR1848,999)*1000+BS1848-1835/100000,-1000000000-1835)</f>
        <v/>
      </c>
    </row>
    <row r="1849">
      <c r="BN1849">
        <f>IF(1836&lt;$U$9,INT(1836/($U$7*$U$8))+1,1)</f>
        <v/>
      </c>
      <c r="BO1849">
        <f>IF(1836&lt;$U$9,MOD(INT(1836/$U$8),$U$7)+1,1)</f>
        <v/>
      </c>
      <c r="BP1849">
        <f>IF(1836&lt;$U$9,MOD(1836,$U$8)+1,1)</f>
        <v/>
      </c>
      <c r="BQ1849">
        <f>IF(1836&lt;$U$9,SUMPRODUCT(($D$10:$L$10&lt;&gt;"")*(($D$9:$L$9+INT(($S$12:$AA$12+INDEX($AJ$13:$AR$162,BN1849,0)+INDEX($AT$13:$BB$162,BO1849,0)+INDEX($BD$13:$BL$162,BP1849,0))/100))&gt;=$D$10:$L$10)),0)</f>
        <v/>
      </c>
      <c r="BR1849">
        <f>IF(1836&lt;$U$9,SUMPRODUCT(($D$10:$L$10&lt;&gt;"")*(($D$10:$L$10-($D$9:$L$9+INT(($S$12:$AA$12+INDEX($AJ$13:$AR$162,BN1849,0)+INDEX($AT$13:$BB$162,BO1849,0)+INDEX($BD$13:$BL$162,BP1849,0))/100)))&gt;0)*($D$10:$L$10-($D$9:$L$9+INT(($S$12:$AA$12+INDEX($AJ$13:$AR$162,BN1849,0)+INDEX($AT$13:$BB$162,BO1849,0)+INDEX($BD$13:$BL$162,BP1849,0))/100)))),0)</f>
        <v/>
      </c>
      <c r="BS1849">
        <f>IF(1836&lt;$U$9,SUMPRODUCT(($D$9:$L$9+INT(($S$12:$AA$12+INDEX($AJ$13:$AR$162,BN1849,0)+INDEX($AT$13:$BB$162,BO1849,0)+INDEX($BD$13:$BL$162,BP1849,0))/100))),0)</f>
        <v/>
      </c>
      <c r="BT1849">
        <f>IF(AND(1836&lt;$U$9,$W$5),BQ1849*1000000-MIN(BR1849,999)*1000+BS1849-1836/100000,-1000000000-1836)</f>
        <v/>
      </c>
    </row>
    <row r="1850">
      <c r="BN1850">
        <f>IF(1837&lt;$U$9,INT(1837/($U$7*$U$8))+1,1)</f>
        <v/>
      </c>
      <c r="BO1850">
        <f>IF(1837&lt;$U$9,MOD(INT(1837/$U$8),$U$7)+1,1)</f>
        <v/>
      </c>
      <c r="BP1850">
        <f>IF(1837&lt;$U$9,MOD(1837,$U$8)+1,1)</f>
        <v/>
      </c>
      <c r="BQ1850">
        <f>IF(1837&lt;$U$9,SUMPRODUCT(($D$10:$L$10&lt;&gt;"")*(($D$9:$L$9+INT(($S$12:$AA$12+INDEX($AJ$13:$AR$162,BN1850,0)+INDEX($AT$13:$BB$162,BO1850,0)+INDEX($BD$13:$BL$162,BP1850,0))/100))&gt;=$D$10:$L$10)),0)</f>
        <v/>
      </c>
      <c r="BR1850">
        <f>IF(1837&lt;$U$9,SUMPRODUCT(($D$10:$L$10&lt;&gt;"")*(($D$10:$L$10-($D$9:$L$9+INT(($S$12:$AA$12+INDEX($AJ$13:$AR$162,BN1850,0)+INDEX($AT$13:$BB$162,BO1850,0)+INDEX($BD$13:$BL$162,BP1850,0))/100)))&gt;0)*($D$10:$L$10-($D$9:$L$9+INT(($S$12:$AA$12+INDEX($AJ$13:$AR$162,BN1850,0)+INDEX($AT$13:$BB$162,BO1850,0)+INDEX($BD$13:$BL$162,BP1850,0))/100)))),0)</f>
        <v/>
      </c>
      <c r="BS1850">
        <f>IF(1837&lt;$U$9,SUMPRODUCT(($D$9:$L$9+INT(($S$12:$AA$12+INDEX($AJ$13:$AR$162,BN1850,0)+INDEX($AT$13:$BB$162,BO1850,0)+INDEX($BD$13:$BL$162,BP1850,0))/100))),0)</f>
        <v/>
      </c>
      <c r="BT1850">
        <f>IF(AND(1837&lt;$U$9,$W$5),BQ1850*1000000-MIN(BR1850,999)*1000+BS1850-1837/100000,-1000000000-1837)</f>
        <v/>
      </c>
    </row>
    <row r="1851">
      <c r="BN1851">
        <f>IF(1838&lt;$U$9,INT(1838/($U$7*$U$8))+1,1)</f>
        <v/>
      </c>
      <c r="BO1851">
        <f>IF(1838&lt;$U$9,MOD(INT(1838/$U$8),$U$7)+1,1)</f>
        <v/>
      </c>
      <c r="BP1851">
        <f>IF(1838&lt;$U$9,MOD(1838,$U$8)+1,1)</f>
        <v/>
      </c>
      <c r="BQ1851">
        <f>IF(1838&lt;$U$9,SUMPRODUCT(($D$10:$L$10&lt;&gt;"")*(($D$9:$L$9+INT(($S$12:$AA$12+INDEX($AJ$13:$AR$162,BN1851,0)+INDEX($AT$13:$BB$162,BO1851,0)+INDEX($BD$13:$BL$162,BP1851,0))/100))&gt;=$D$10:$L$10)),0)</f>
        <v/>
      </c>
      <c r="BR1851">
        <f>IF(1838&lt;$U$9,SUMPRODUCT(($D$10:$L$10&lt;&gt;"")*(($D$10:$L$10-($D$9:$L$9+INT(($S$12:$AA$12+INDEX($AJ$13:$AR$162,BN1851,0)+INDEX($AT$13:$BB$162,BO1851,0)+INDEX($BD$13:$BL$162,BP1851,0))/100)))&gt;0)*($D$10:$L$10-($D$9:$L$9+INT(($S$12:$AA$12+INDEX($AJ$13:$AR$162,BN1851,0)+INDEX($AT$13:$BB$162,BO1851,0)+INDEX($BD$13:$BL$162,BP1851,0))/100)))),0)</f>
        <v/>
      </c>
      <c r="BS1851">
        <f>IF(1838&lt;$U$9,SUMPRODUCT(($D$9:$L$9+INT(($S$12:$AA$12+INDEX($AJ$13:$AR$162,BN1851,0)+INDEX($AT$13:$BB$162,BO1851,0)+INDEX($BD$13:$BL$162,BP1851,0))/100))),0)</f>
        <v/>
      </c>
      <c r="BT1851">
        <f>IF(AND(1838&lt;$U$9,$W$5),BQ1851*1000000-MIN(BR1851,999)*1000+BS1851-1838/100000,-1000000000-1838)</f>
        <v/>
      </c>
    </row>
    <row r="1852">
      <c r="BN1852">
        <f>IF(1839&lt;$U$9,INT(1839/($U$7*$U$8))+1,1)</f>
        <v/>
      </c>
      <c r="BO1852">
        <f>IF(1839&lt;$U$9,MOD(INT(1839/$U$8),$U$7)+1,1)</f>
        <v/>
      </c>
      <c r="BP1852">
        <f>IF(1839&lt;$U$9,MOD(1839,$U$8)+1,1)</f>
        <v/>
      </c>
      <c r="BQ1852">
        <f>IF(1839&lt;$U$9,SUMPRODUCT(($D$10:$L$10&lt;&gt;"")*(($D$9:$L$9+INT(($S$12:$AA$12+INDEX($AJ$13:$AR$162,BN1852,0)+INDEX($AT$13:$BB$162,BO1852,0)+INDEX($BD$13:$BL$162,BP1852,0))/100))&gt;=$D$10:$L$10)),0)</f>
        <v/>
      </c>
      <c r="BR1852">
        <f>IF(1839&lt;$U$9,SUMPRODUCT(($D$10:$L$10&lt;&gt;"")*(($D$10:$L$10-($D$9:$L$9+INT(($S$12:$AA$12+INDEX($AJ$13:$AR$162,BN1852,0)+INDEX($AT$13:$BB$162,BO1852,0)+INDEX($BD$13:$BL$162,BP1852,0))/100)))&gt;0)*($D$10:$L$10-($D$9:$L$9+INT(($S$12:$AA$12+INDEX($AJ$13:$AR$162,BN1852,0)+INDEX($AT$13:$BB$162,BO1852,0)+INDEX($BD$13:$BL$162,BP1852,0))/100)))),0)</f>
        <v/>
      </c>
      <c r="BS1852">
        <f>IF(1839&lt;$U$9,SUMPRODUCT(($D$9:$L$9+INT(($S$12:$AA$12+INDEX($AJ$13:$AR$162,BN1852,0)+INDEX($AT$13:$BB$162,BO1852,0)+INDEX($BD$13:$BL$162,BP1852,0))/100))),0)</f>
        <v/>
      </c>
      <c r="BT1852">
        <f>IF(AND(1839&lt;$U$9,$W$5),BQ1852*1000000-MIN(BR1852,999)*1000+BS1852-1839/100000,-1000000000-1839)</f>
        <v/>
      </c>
    </row>
    <row r="1853">
      <c r="BN1853">
        <f>IF(1840&lt;$U$9,INT(1840/($U$7*$U$8))+1,1)</f>
        <v/>
      </c>
      <c r="BO1853">
        <f>IF(1840&lt;$U$9,MOD(INT(1840/$U$8),$U$7)+1,1)</f>
        <v/>
      </c>
      <c r="BP1853">
        <f>IF(1840&lt;$U$9,MOD(1840,$U$8)+1,1)</f>
        <v/>
      </c>
      <c r="BQ1853">
        <f>IF(1840&lt;$U$9,SUMPRODUCT(($D$10:$L$10&lt;&gt;"")*(($D$9:$L$9+INT(($S$12:$AA$12+INDEX($AJ$13:$AR$162,BN1853,0)+INDEX($AT$13:$BB$162,BO1853,0)+INDEX($BD$13:$BL$162,BP1853,0))/100))&gt;=$D$10:$L$10)),0)</f>
        <v/>
      </c>
      <c r="BR1853">
        <f>IF(1840&lt;$U$9,SUMPRODUCT(($D$10:$L$10&lt;&gt;"")*(($D$10:$L$10-($D$9:$L$9+INT(($S$12:$AA$12+INDEX($AJ$13:$AR$162,BN1853,0)+INDEX($AT$13:$BB$162,BO1853,0)+INDEX($BD$13:$BL$162,BP1853,0))/100)))&gt;0)*($D$10:$L$10-($D$9:$L$9+INT(($S$12:$AA$12+INDEX($AJ$13:$AR$162,BN1853,0)+INDEX($AT$13:$BB$162,BO1853,0)+INDEX($BD$13:$BL$162,BP1853,0))/100)))),0)</f>
        <v/>
      </c>
      <c r="BS1853">
        <f>IF(1840&lt;$U$9,SUMPRODUCT(($D$9:$L$9+INT(($S$12:$AA$12+INDEX($AJ$13:$AR$162,BN1853,0)+INDEX($AT$13:$BB$162,BO1853,0)+INDEX($BD$13:$BL$162,BP1853,0))/100))),0)</f>
        <v/>
      </c>
      <c r="BT1853">
        <f>IF(AND(1840&lt;$U$9,$W$5),BQ1853*1000000-MIN(BR1853,999)*1000+BS1853-1840/100000,-1000000000-1840)</f>
        <v/>
      </c>
    </row>
    <row r="1854">
      <c r="BN1854">
        <f>IF(1841&lt;$U$9,INT(1841/($U$7*$U$8))+1,1)</f>
        <v/>
      </c>
      <c r="BO1854">
        <f>IF(1841&lt;$U$9,MOD(INT(1841/$U$8),$U$7)+1,1)</f>
        <v/>
      </c>
      <c r="BP1854">
        <f>IF(1841&lt;$U$9,MOD(1841,$U$8)+1,1)</f>
        <v/>
      </c>
      <c r="BQ1854">
        <f>IF(1841&lt;$U$9,SUMPRODUCT(($D$10:$L$10&lt;&gt;"")*(($D$9:$L$9+INT(($S$12:$AA$12+INDEX($AJ$13:$AR$162,BN1854,0)+INDEX($AT$13:$BB$162,BO1854,0)+INDEX($BD$13:$BL$162,BP1854,0))/100))&gt;=$D$10:$L$10)),0)</f>
        <v/>
      </c>
      <c r="BR1854">
        <f>IF(1841&lt;$U$9,SUMPRODUCT(($D$10:$L$10&lt;&gt;"")*(($D$10:$L$10-($D$9:$L$9+INT(($S$12:$AA$12+INDEX($AJ$13:$AR$162,BN1854,0)+INDEX($AT$13:$BB$162,BO1854,0)+INDEX($BD$13:$BL$162,BP1854,0))/100)))&gt;0)*($D$10:$L$10-($D$9:$L$9+INT(($S$12:$AA$12+INDEX($AJ$13:$AR$162,BN1854,0)+INDEX($AT$13:$BB$162,BO1854,0)+INDEX($BD$13:$BL$162,BP1854,0))/100)))),0)</f>
        <v/>
      </c>
      <c r="BS1854">
        <f>IF(1841&lt;$U$9,SUMPRODUCT(($D$9:$L$9+INT(($S$12:$AA$12+INDEX($AJ$13:$AR$162,BN1854,0)+INDEX($AT$13:$BB$162,BO1854,0)+INDEX($BD$13:$BL$162,BP1854,0))/100))),0)</f>
        <v/>
      </c>
      <c r="BT1854">
        <f>IF(AND(1841&lt;$U$9,$W$5),BQ1854*1000000-MIN(BR1854,999)*1000+BS1854-1841/100000,-1000000000-1841)</f>
        <v/>
      </c>
    </row>
    <row r="1855">
      <c r="BN1855">
        <f>IF(1842&lt;$U$9,INT(1842/($U$7*$U$8))+1,1)</f>
        <v/>
      </c>
      <c r="BO1855">
        <f>IF(1842&lt;$U$9,MOD(INT(1842/$U$8),$U$7)+1,1)</f>
        <v/>
      </c>
      <c r="BP1855">
        <f>IF(1842&lt;$U$9,MOD(1842,$U$8)+1,1)</f>
        <v/>
      </c>
      <c r="BQ1855">
        <f>IF(1842&lt;$U$9,SUMPRODUCT(($D$10:$L$10&lt;&gt;"")*(($D$9:$L$9+INT(($S$12:$AA$12+INDEX($AJ$13:$AR$162,BN1855,0)+INDEX($AT$13:$BB$162,BO1855,0)+INDEX($BD$13:$BL$162,BP1855,0))/100))&gt;=$D$10:$L$10)),0)</f>
        <v/>
      </c>
      <c r="BR1855">
        <f>IF(1842&lt;$U$9,SUMPRODUCT(($D$10:$L$10&lt;&gt;"")*(($D$10:$L$10-($D$9:$L$9+INT(($S$12:$AA$12+INDEX($AJ$13:$AR$162,BN1855,0)+INDEX($AT$13:$BB$162,BO1855,0)+INDEX($BD$13:$BL$162,BP1855,0))/100)))&gt;0)*($D$10:$L$10-($D$9:$L$9+INT(($S$12:$AA$12+INDEX($AJ$13:$AR$162,BN1855,0)+INDEX($AT$13:$BB$162,BO1855,0)+INDEX($BD$13:$BL$162,BP1855,0))/100)))),0)</f>
        <v/>
      </c>
      <c r="BS1855">
        <f>IF(1842&lt;$U$9,SUMPRODUCT(($D$9:$L$9+INT(($S$12:$AA$12+INDEX($AJ$13:$AR$162,BN1855,0)+INDEX($AT$13:$BB$162,BO1855,0)+INDEX($BD$13:$BL$162,BP1855,0))/100))),0)</f>
        <v/>
      </c>
      <c r="BT1855">
        <f>IF(AND(1842&lt;$U$9,$W$5),BQ1855*1000000-MIN(BR1855,999)*1000+BS1855-1842/100000,-1000000000-1842)</f>
        <v/>
      </c>
    </row>
    <row r="1856">
      <c r="BN1856">
        <f>IF(1843&lt;$U$9,INT(1843/($U$7*$U$8))+1,1)</f>
        <v/>
      </c>
      <c r="BO1856">
        <f>IF(1843&lt;$U$9,MOD(INT(1843/$U$8),$U$7)+1,1)</f>
        <v/>
      </c>
      <c r="BP1856">
        <f>IF(1843&lt;$U$9,MOD(1843,$U$8)+1,1)</f>
        <v/>
      </c>
      <c r="BQ1856">
        <f>IF(1843&lt;$U$9,SUMPRODUCT(($D$10:$L$10&lt;&gt;"")*(($D$9:$L$9+INT(($S$12:$AA$12+INDEX($AJ$13:$AR$162,BN1856,0)+INDEX($AT$13:$BB$162,BO1856,0)+INDEX($BD$13:$BL$162,BP1856,0))/100))&gt;=$D$10:$L$10)),0)</f>
        <v/>
      </c>
      <c r="BR1856">
        <f>IF(1843&lt;$U$9,SUMPRODUCT(($D$10:$L$10&lt;&gt;"")*(($D$10:$L$10-($D$9:$L$9+INT(($S$12:$AA$12+INDEX($AJ$13:$AR$162,BN1856,0)+INDEX($AT$13:$BB$162,BO1856,0)+INDEX($BD$13:$BL$162,BP1856,0))/100)))&gt;0)*($D$10:$L$10-($D$9:$L$9+INT(($S$12:$AA$12+INDEX($AJ$13:$AR$162,BN1856,0)+INDEX($AT$13:$BB$162,BO1856,0)+INDEX($BD$13:$BL$162,BP1856,0))/100)))),0)</f>
        <v/>
      </c>
      <c r="BS1856">
        <f>IF(1843&lt;$U$9,SUMPRODUCT(($D$9:$L$9+INT(($S$12:$AA$12+INDEX($AJ$13:$AR$162,BN1856,0)+INDEX($AT$13:$BB$162,BO1856,0)+INDEX($BD$13:$BL$162,BP1856,0))/100))),0)</f>
        <v/>
      </c>
      <c r="BT1856">
        <f>IF(AND(1843&lt;$U$9,$W$5),BQ1856*1000000-MIN(BR1856,999)*1000+BS1856-1843/100000,-1000000000-1843)</f>
        <v/>
      </c>
    </row>
    <row r="1857">
      <c r="BN1857">
        <f>IF(1844&lt;$U$9,INT(1844/($U$7*$U$8))+1,1)</f>
        <v/>
      </c>
      <c r="BO1857">
        <f>IF(1844&lt;$U$9,MOD(INT(1844/$U$8),$U$7)+1,1)</f>
        <v/>
      </c>
      <c r="BP1857">
        <f>IF(1844&lt;$U$9,MOD(1844,$U$8)+1,1)</f>
        <v/>
      </c>
      <c r="BQ1857">
        <f>IF(1844&lt;$U$9,SUMPRODUCT(($D$10:$L$10&lt;&gt;"")*(($D$9:$L$9+INT(($S$12:$AA$12+INDEX($AJ$13:$AR$162,BN1857,0)+INDEX($AT$13:$BB$162,BO1857,0)+INDEX($BD$13:$BL$162,BP1857,0))/100))&gt;=$D$10:$L$10)),0)</f>
        <v/>
      </c>
      <c r="BR1857">
        <f>IF(1844&lt;$U$9,SUMPRODUCT(($D$10:$L$10&lt;&gt;"")*(($D$10:$L$10-($D$9:$L$9+INT(($S$12:$AA$12+INDEX($AJ$13:$AR$162,BN1857,0)+INDEX($AT$13:$BB$162,BO1857,0)+INDEX($BD$13:$BL$162,BP1857,0))/100)))&gt;0)*($D$10:$L$10-($D$9:$L$9+INT(($S$12:$AA$12+INDEX($AJ$13:$AR$162,BN1857,0)+INDEX($AT$13:$BB$162,BO1857,0)+INDEX($BD$13:$BL$162,BP1857,0))/100)))),0)</f>
        <v/>
      </c>
      <c r="BS1857">
        <f>IF(1844&lt;$U$9,SUMPRODUCT(($D$9:$L$9+INT(($S$12:$AA$12+INDEX($AJ$13:$AR$162,BN1857,0)+INDEX($AT$13:$BB$162,BO1857,0)+INDEX($BD$13:$BL$162,BP1857,0))/100))),0)</f>
        <v/>
      </c>
      <c r="BT1857">
        <f>IF(AND(1844&lt;$U$9,$W$5),BQ1857*1000000-MIN(BR1857,999)*1000+BS1857-1844/100000,-1000000000-1844)</f>
        <v/>
      </c>
    </row>
    <row r="1858">
      <c r="BN1858">
        <f>IF(1845&lt;$U$9,INT(1845/($U$7*$U$8))+1,1)</f>
        <v/>
      </c>
      <c r="BO1858">
        <f>IF(1845&lt;$U$9,MOD(INT(1845/$U$8),$U$7)+1,1)</f>
        <v/>
      </c>
      <c r="BP1858">
        <f>IF(1845&lt;$U$9,MOD(1845,$U$8)+1,1)</f>
        <v/>
      </c>
      <c r="BQ1858">
        <f>IF(1845&lt;$U$9,SUMPRODUCT(($D$10:$L$10&lt;&gt;"")*(($D$9:$L$9+INT(($S$12:$AA$12+INDEX($AJ$13:$AR$162,BN1858,0)+INDEX($AT$13:$BB$162,BO1858,0)+INDEX($BD$13:$BL$162,BP1858,0))/100))&gt;=$D$10:$L$10)),0)</f>
        <v/>
      </c>
      <c r="BR1858">
        <f>IF(1845&lt;$U$9,SUMPRODUCT(($D$10:$L$10&lt;&gt;"")*(($D$10:$L$10-($D$9:$L$9+INT(($S$12:$AA$12+INDEX($AJ$13:$AR$162,BN1858,0)+INDEX($AT$13:$BB$162,BO1858,0)+INDEX($BD$13:$BL$162,BP1858,0))/100)))&gt;0)*($D$10:$L$10-($D$9:$L$9+INT(($S$12:$AA$12+INDEX($AJ$13:$AR$162,BN1858,0)+INDEX($AT$13:$BB$162,BO1858,0)+INDEX($BD$13:$BL$162,BP1858,0))/100)))),0)</f>
        <v/>
      </c>
      <c r="BS1858">
        <f>IF(1845&lt;$U$9,SUMPRODUCT(($D$9:$L$9+INT(($S$12:$AA$12+INDEX($AJ$13:$AR$162,BN1858,0)+INDEX($AT$13:$BB$162,BO1858,0)+INDEX($BD$13:$BL$162,BP1858,0))/100))),0)</f>
        <v/>
      </c>
      <c r="BT1858">
        <f>IF(AND(1845&lt;$U$9,$W$5),BQ1858*1000000-MIN(BR1858,999)*1000+BS1858-1845/100000,-1000000000-1845)</f>
        <v/>
      </c>
    </row>
    <row r="1859">
      <c r="BN1859">
        <f>IF(1846&lt;$U$9,INT(1846/($U$7*$U$8))+1,1)</f>
        <v/>
      </c>
      <c r="BO1859">
        <f>IF(1846&lt;$U$9,MOD(INT(1846/$U$8),$U$7)+1,1)</f>
        <v/>
      </c>
      <c r="BP1859">
        <f>IF(1846&lt;$U$9,MOD(1846,$U$8)+1,1)</f>
        <v/>
      </c>
      <c r="BQ1859">
        <f>IF(1846&lt;$U$9,SUMPRODUCT(($D$10:$L$10&lt;&gt;"")*(($D$9:$L$9+INT(($S$12:$AA$12+INDEX($AJ$13:$AR$162,BN1859,0)+INDEX($AT$13:$BB$162,BO1859,0)+INDEX($BD$13:$BL$162,BP1859,0))/100))&gt;=$D$10:$L$10)),0)</f>
        <v/>
      </c>
      <c r="BR1859">
        <f>IF(1846&lt;$U$9,SUMPRODUCT(($D$10:$L$10&lt;&gt;"")*(($D$10:$L$10-($D$9:$L$9+INT(($S$12:$AA$12+INDEX($AJ$13:$AR$162,BN1859,0)+INDEX($AT$13:$BB$162,BO1859,0)+INDEX($BD$13:$BL$162,BP1859,0))/100)))&gt;0)*($D$10:$L$10-($D$9:$L$9+INT(($S$12:$AA$12+INDEX($AJ$13:$AR$162,BN1859,0)+INDEX($AT$13:$BB$162,BO1859,0)+INDEX($BD$13:$BL$162,BP1859,0))/100)))),0)</f>
        <v/>
      </c>
      <c r="BS1859">
        <f>IF(1846&lt;$U$9,SUMPRODUCT(($D$9:$L$9+INT(($S$12:$AA$12+INDEX($AJ$13:$AR$162,BN1859,0)+INDEX($AT$13:$BB$162,BO1859,0)+INDEX($BD$13:$BL$162,BP1859,0))/100))),0)</f>
        <v/>
      </c>
      <c r="BT1859">
        <f>IF(AND(1846&lt;$U$9,$W$5),BQ1859*1000000-MIN(BR1859,999)*1000+BS1859-1846/100000,-1000000000-1846)</f>
        <v/>
      </c>
    </row>
    <row r="1860">
      <c r="BN1860">
        <f>IF(1847&lt;$U$9,INT(1847/($U$7*$U$8))+1,1)</f>
        <v/>
      </c>
      <c r="BO1860">
        <f>IF(1847&lt;$U$9,MOD(INT(1847/$U$8),$U$7)+1,1)</f>
        <v/>
      </c>
      <c r="BP1860">
        <f>IF(1847&lt;$U$9,MOD(1847,$U$8)+1,1)</f>
        <v/>
      </c>
      <c r="BQ1860">
        <f>IF(1847&lt;$U$9,SUMPRODUCT(($D$10:$L$10&lt;&gt;"")*(($D$9:$L$9+INT(($S$12:$AA$12+INDEX($AJ$13:$AR$162,BN1860,0)+INDEX($AT$13:$BB$162,BO1860,0)+INDEX($BD$13:$BL$162,BP1860,0))/100))&gt;=$D$10:$L$10)),0)</f>
        <v/>
      </c>
      <c r="BR1860">
        <f>IF(1847&lt;$U$9,SUMPRODUCT(($D$10:$L$10&lt;&gt;"")*(($D$10:$L$10-($D$9:$L$9+INT(($S$12:$AA$12+INDEX($AJ$13:$AR$162,BN1860,0)+INDEX($AT$13:$BB$162,BO1860,0)+INDEX($BD$13:$BL$162,BP1860,0))/100)))&gt;0)*($D$10:$L$10-($D$9:$L$9+INT(($S$12:$AA$12+INDEX($AJ$13:$AR$162,BN1860,0)+INDEX($AT$13:$BB$162,BO1860,0)+INDEX($BD$13:$BL$162,BP1860,0))/100)))),0)</f>
        <v/>
      </c>
      <c r="BS1860">
        <f>IF(1847&lt;$U$9,SUMPRODUCT(($D$9:$L$9+INT(($S$12:$AA$12+INDEX($AJ$13:$AR$162,BN1860,0)+INDEX($AT$13:$BB$162,BO1860,0)+INDEX($BD$13:$BL$162,BP1860,0))/100))),0)</f>
        <v/>
      </c>
      <c r="BT1860">
        <f>IF(AND(1847&lt;$U$9,$W$5),BQ1860*1000000-MIN(BR1860,999)*1000+BS1860-1847/100000,-1000000000-1847)</f>
        <v/>
      </c>
    </row>
    <row r="1861">
      <c r="BN1861">
        <f>IF(1848&lt;$U$9,INT(1848/($U$7*$U$8))+1,1)</f>
        <v/>
      </c>
      <c r="BO1861">
        <f>IF(1848&lt;$U$9,MOD(INT(1848/$U$8),$U$7)+1,1)</f>
        <v/>
      </c>
      <c r="BP1861">
        <f>IF(1848&lt;$U$9,MOD(1848,$U$8)+1,1)</f>
        <v/>
      </c>
      <c r="BQ1861">
        <f>IF(1848&lt;$U$9,SUMPRODUCT(($D$10:$L$10&lt;&gt;"")*(($D$9:$L$9+INT(($S$12:$AA$12+INDEX($AJ$13:$AR$162,BN1861,0)+INDEX($AT$13:$BB$162,BO1861,0)+INDEX($BD$13:$BL$162,BP1861,0))/100))&gt;=$D$10:$L$10)),0)</f>
        <v/>
      </c>
      <c r="BR1861">
        <f>IF(1848&lt;$U$9,SUMPRODUCT(($D$10:$L$10&lt;&gt;"")*(($D$10:$L$10-($D$9:$L$9+INT(($S$12:$AA$12+INDEX($AJ$13:$AR$162,BN1861,0)+INDEX($AT$13:$BB$162,BO1861,0)+INDEX($BD$13:$BL$162,BP1861,0))/100)))&gt;0)*($D$10:$L$10-($D$9:$L$9+INT(($S$12:$AA$12+INDEX($AJ$13:$AR$162,BN1861,0)+INDEX($AT$13:$BB$162,BO1861,0)+INDEX($BD$13:$BL$162,BP1861,0))/100)))),0)</f>
        <v/>
      </c>
      <c r="BS1861">
        <f>IF(1848&lt;$U$9,SUMPRODUCT(($D$9:$L$9+INT(($S$12:$AA$12+INDEX($AJ$13:$AR$162,BN1861,0)+INDEX($AT$13:$BB$162,BO1861,0)+INDEX($BD$13:$BL$162,BP1861,0))/100))),0)</f>
        <v/>
      </c>
      <c r="BT1861">
        <f>IF(AND(1848&lt;$U$9,$W$5),BQ1861*1000000-MIN(BR1861,999)*1000+BS1861-1848/100000,-1000000000-1848)</f>
        <v/>
      </c>
    </row>
    <row r="1862">
      <c r="BN1862">
        <f>IF(1849&lt;$U$9,INT(1849/($U$7*$U$8))+1,1)</f>
        <v/>
      </c>
      <c r="BO1862">
        <f>IF(1849&lt;$U$9,MOD(INT(1849/$U$8),$U$7)+1,1)</f>
        <v/>
      </c>
      <c r="BP1862">
        <f>IF(1849&lt;$U$9,MOD(1849,$U$8)+1,1)</f>
        <v/>
      </c>
      <c r="BQ1862">
        <f>IF(1849&lt;$U$9,SUMPRODUCT(($D$10:$L$10&lt;&gt;"")*(($D$9:$L$9+INT(($S$12:$AA$12+INDEX($AJ$13:$AR$162,BN1862,0)+INDEX($AT$13:$BB$162,BO1862,0)+INDEX($BD$13:$BL$162,BP1862,0))/100))&gt;=$D$10:$L$10)),0)</f>
        <v/>
      </c>
      <c r="BR1862">
        <f>IF(1849&lt;$U$9,SUMPRODUCT(($D$10:$L$10&lt;&gt;"")*(($D$10:$L$10-($D$9:$L$9+INT(($S$12:$AA$12+INDEX($AJ$13:$AR$162,BN1862,0)+INDEX($AT$13:$BB$162,BO1862,0)+INDEX($BD$13:$BL$162,BP1862,0))/100)))&gt;0)*($D$10:$L$10-($D$9:$L$9+INT(($S$12:$AA$12+INDEX($AJ$13:$AR$162,BN1862,0)+INDEX($AT$13:$BB$162,BO1862,0)+INDEX($BD$13:$BL$162,BP1862,0))/100)))),0)</f>
        <v/>
      </c>
      <c r="BS1862">
        <f>IF(1849&lt;$U$9,SUMPRODUCT(($D$9:$L$9+INT(($S$12:$AA$12+INDEX($AJ$13:$AR$162,BN1862,0)+INDEX($AT$13:$BB$162,BO1862,0)+INDEX($BD$13:$BL$162,BP1862,0))/100))),0)</f>
        <v/>
      </c>
      <c r="BT1862">
        <f>IF(AND(1849&lt;$U$9,$W$5),BQ1862*1000000-MIN(BR1862,999)*1000+BS1862-1849/100000,-1000000000-1849)</f>
        <v/>
      </c>
    </row>
    <row r="1863">
      <c r="BN1863">
        <f>IF(1850&lt;$U$9,INT(1850/($U$7*$U$8))+1,1)</f>
        <v/>
      </c>
      <c r="BO1863">
        <f>IF(1850&lt;$U$9,MOD(INT(1850/$U$8),$U$7)+1,1)</f>
        <v/>
      </c>
      <c r="BP1863">
        <f>IF(1850&lt;$U$9,MOD(1850,$U$8)+1,1)</f>
        <v/>
      </c>
      <c r="BQ1863">
        <f>IF(1850&lt;$U$9,SUMPRODUCT(($D$10:$L$10&lt;&gt;"")*(($D$9:$L$9+INT(($S$12:$AA$12+INDEX($AJ$13:$AR$162,BN1863,0)+INDEX($AT$13:$BB$162,BO1863,0)+INDEX($BD$13:$BL$162,BP1863,0))/100))&gt;=$D$10:$L$10)),0)</f>
        <v/>
      </c>
      <c r="BR1863">
        <f>IF(1850&lt;$U$9,SUMPRODUCT(($D$10:$L$10&lt;&gt;"")*(($D$10:$L$10-($D$9:$L$9+INT(($S$12:$AA$12+INDEX($AJ$13:$AR$162,BN1863,0)+INDEX($AT$13:$BB$162,BO1863,0)+INDEX($BD$13:$BL$162,BP1863,0))/100)))&gt;0)*($D$10:$L$10-($D$9:$L$9+INT(($S$12:$AA$12+INDEX($AJ$13:$AR$162,BN1863,0)+INDEX($AT$13:$BB$162,BO1863,0)+INDEX($BD$13:$BL$162,BP1863,0))/100)))),0)</f>
        <v/>
      </c>
      <c r="BS1863">
        <f>IF(1850&lt;$U$9,SUMPRODUCT(($D$9:$L$9+INT(($S$12:$AA$12+INDEX($AJ$13:$AR$162,BN1863,0)+INDEX($AT$13:$BB$162,BO1863,0)+INDEX($BD$13:$BL$162,BP1863,0))/100))),0)</f>
        <v/>
      </c>
      <c r="BT1863">
        <f>IF(AND(1850&lt;$U$9,$W$5),BQ1863*1000000-MIN(BR1863,999)*1000+BS1863-1850/100000,-1000000000-1850)</f>
        <v/>
      </c>
    </row>
    <row r="1864">
      <c r="BN1864">
        <f>IF(1851&lt;$U$9,INT(1851/($U$7*$U$8))+1,1)</f>
        <v/>
      </c>
      <c r="BO1864">
        <f>IF(1851&lt;$U$9,MOD(INT(1851/$U$8),$U$7)+1,1)</f>
        <v/>
      </c>
      <c r="BP1864">
        <f>IF(1851&lt;$U$9,MOD(1851,$U$8)+1,1)</f>
        <v/>
      </c>
      <c r="BQ1864">
        <f>IF(1851&lt;$U$9,SUMPRODUCT(($D$10:$L$10&lt;&gt;"")*(($D$9:$L$9+INT(($S$12:$AA$12+INDEX($AJ$13:$AR$162,BN1864,0)+INDEX($AT$13:$BB$162,BO1864,0)+INDEX($BD$13:$BL$162,BP1864,0))/100))&gt;=$D$10:$L$10)),0)</f>
        <v/>
      </c>
      <c r="BR1864">
        <f>IF(1851&lt;$U$9,SUMPRODUCT(($D$10:$L$10&lt;&gt;"")*(($D$10:$L$10-($D$9:$L$9+INT(($S$12:$AA$12+INDEX($AJ$13:$AR$162,BN1864,0)+INDEX($AT$13:$BB$162,BO1864,0)+INDEX($BD$13:$BL$162,BP1864,0))/100)))&gt;0)*($D$10:$L$10-($D$9:$L$9+INT(($S$12:$AA$12+INDEX($AJ$13:$AR$162,BN1864,0)+INDEX($AT$13:$BB$162,BO1864,0)+INDEX($BD$13:$BL$162,BP1864,0))/100)))),0)</f>
        <v/>
      </c>
      <c r="BS1864">
        <f>IF(1851&lt;$U$9,SUMPRODUCT(($D$9:$L$9+INT(($S$12:$AA$12+INDEX($AJ$13:$AR$162,BN1864,0)+INDEX($AT$13:$BB$162,BO1864,0)+INDEX($BD$13:$BL$162,BP1864,0))/100))),0)</f>
        <v/>
      </c>
      <c r="BT1864">
        <f>IF(AND(1851&lt;$U$9,$W$5),BQ1864*1000000-MIN(BR1864,999)*1000+BS1864-1851/100000,-1000000000-1851)</f>
        <v/>
      </c>
    </row>
    <row r="1865">
      <c r="BN1865">
        <f>IF(1852&lt;$U$9,INT(1852/($U$7*$U$8))+1,1)</f>
        <v/>
      </c>
      <c r="BO1865">
        <f>IF(1852&lt;$U$9,MOD(INT(1852/$U$8),$U$7)+1,1)</f>
        <v/>
      </c>
      <c r="BP1865">
        <f>IF(1852&lt;$U$9,MOD(1852,$U$8)+1,1)</f>
        <v/>
      </c>
      <c r="BQ1865">
        <f>IF(1852&lt;$U$9,SUMPRODUCT(($D$10:$L$10&lt;&gt;"")*(($D$9:$L$9+INT(($S$12:$AA$12+INDEX($AJ$13:$AR$162,BN1865,0)+INDEX($AT$13:$BB$162,BO1865,0)+INDEX($BD$13:$BL$162,BP1865,0))/100))&gt;=$D$10:$L$10)),0)</f>
        <v/>
      </c>
      <c r="BR1865">
        <f>IF(1852&lt;$U$9,SUMPRODUCT(($D$10:$L$10&lt;&gt;"")*(($D$10:$L$10-($D$9:$L$9+INT(($S$12:$AA$12+INDEX($AJ$13:$AR$162,BN1865,0)+INDEX($AT$13:$BB$162,BO1865,0)+INDEX($BD$13:$BL$162,BP1865,0))/100)))&gt;0)*($D$10:$L$10-($D$9:$L$9+INT(($S$12:$AA$12+INDEX($AJ$13:$AR$162,BN1865,0)+INDEX($AT$13:$BB$162,BO1865,0)+INDEX($BD$13:$BL$162,BP1865,0))/100)))),0)</f>
        <v/>
      </c>
      <c r="BS1865">
        <f>IF(1852&lt;$U$9,SUMPRODUCT(($D$9:$L$9+INT(($S$12:$AA$12+INDEX($AJ$13:$AR$162,BN1865,0)+INDEX($AT$13:$BB$162,BO1865,0)+INDEX($BD$13:$BL$162,BP1865,0))/100))),0)</f>
        <v/>
      </c>
      <c r="BT1865">
        <f>IF(AND(1852&lt;$U$9,$W$5),BQ1865*1000000-MIN(BR1865,999)*1000+BS1865-1852/100000,-1000000000-1852)</f>
        <v/>
      </c>
    </row>
    <row r="1866">
      <c r="BN1866">
        <f>IF(1853&lt;$U$9,INT(1853/($U$7*$U$8))+1,1)</f>
        <v/>
      </c>
      <c r="BO1866">
        <f>IF(1853&lt;$U$9,MOD(INT(1853/$U$8),$U$7)+1,1)</f>
        <v/>
      </c>
      <c r="BP1866">
        <f>IF(1853&lt;$U$9,MOD(1853,$U$8)+1,1)</f>
        <v/>
      </c>
      <c r="BQ1866">
        <f>IF(1853&lt;$U$9,SUMPRODUCT(($D$10:$L$10&lt;&gt;"")*(($D$9:$L$9+INT(($S$12:$AA$12+INDEX($AJ$13:$AR$162,BN1866,0)+INDEX($AT$13:$BB$162,BO1866,0)+INDEX($BD$13:$BL$162,BP1866,0))/100))&gt;=$D$10:$L$10)),0)</f>
        <v/>
      </c>
      <c r="BR1866">
        <f>IF(1853&lt;$U$9,SUMPRODUCT(($D$10:$L$10&lt;&gt;"")*(($D$10:$L$10-($D$9:$L$9+INT(($S$12:$AA$12+INDEX($AJ$13:$AR$162,BN1866,0)+INDEX($AT$13:$BB$162,BO1866,0)+INDEX($BD$13:$BL$162,BP1866,0))/100)))&gt;0)*($D$10:$L$10-($D$9:$L$9+INT(($S$12:$AA$12+INDEX($AJ$13:$AR$162,BN1866,0)+INDEX($AT$13:$BB$162,BO1866,0)+INDEX($BD$13:$BL$162,BP1866,0))/100)))),0)</f>
        <v/>
      </c>
      <c r="BS1866">
        <f>IF(1853&lt;$U$9,SUMPRODUCT(($D$9:$L$9+INT(($S$12:$AA$12+INDEX($AJ$13:$AR$162,BN1866,0)+INDEX($AT$13:$BB$162,BO1866,0)+INDEX($BD$13:$BL$162,BP1866,0))/100))),0)</f>
        <v/>
      </c>
      <c r="BT1866">
        <f>IF(AND(1853&lt;$U$9,$W$5),BQ1866*1000000-MIN(BR1866,999)*1000+BS1866-1853/100000,-1000000000-1853)</f>
        <v/>
      </c>
    </row>
    <row r="1867">
      <c r="BN1867">
        <f>IF(1854&lt;$U$9,INT(1854/($U$7*$U$8))+1,1)</f>
        <v/>
      </c>
      <c r="BO1867">
        <f>IF(1854&lt;$U$9,MOD(INT(1854/$U$8),$U$7)+1,1)</f>
        <v/>
      </c>
      <c r="BP1867">
        <f>IF(1854&lt;$U$9,MOD(1854,$U$8)+1,1)</f>
        <v/>
      </c>
      <c r="BQ1867">
        <f>IF(1854&lt;$U$9,SUMPRODUCT(($D$10:$L$10&lt;&gt;"")*(($D$9:$L$9+INT(($S$12:$AA$12+INDEX($AJ$13:$AR$162,BN1867,0)+INDEX($AT$13:$BB$162,BO1867,0)+INDEX($BD$13:$BL$162,BP1867,0))/100))&gt;=$D$10:$L$10)),0)</f>
        <v/>
      </c>
      <c r="BR1867">
        <f>IF(1854&lt;$U$9,SUMPRODUCT(($D$10:$L$10&lt;&gt;"")*(($D$10:$L$10-($D$9:$L$9+INT(($S$12:$AA$12+INDEX($AJ$13:$AR$162,BN1867,0)+INDEX($AT$13:$BB$162,BO1867,0)+INDEX($BD$13:$BL$162,BP1867,0))/100)))&gt;0)*($D$10:$L$10-($D$9:$L$9+INT(($S$12:$AA$12+INDEX($AJ$13:$AR$162,BN1867,0)+INDEX($AT$13:$BB$162,BO1867,0)+INDEX($BD$13:$BL$162,BP1867,0))/100)))),0)</f>
        <v/>
      </c>
      <c r="BS1867">
        <f>IF(1854&lt;$U$9,SUMPRODUCT(($D$9:$L$9+INT(($S$12:$AA$12+INDEX($AJ$13:$AR$162,BN1867,0)+INDEX($AT$13:$BB$162,BO1867,0)+INDEX($BD$13:$BL$162,BP1867,0))/100))),0)</f>
        <v/>
      </c>
      <c r="BT1867">
        <f>IF(AND(1854&lt;$U$9,$W$5),BQ1867*1000000-MIN(BR1867,999)*1000+BS1867-1854/100000,-1000000000-1854)</f>
        <v/>
      </c>
    </row>
    <row r="1868">
      <c r="BN1868">
        <f>IF(1855&lt;$U$9,INT(1855/($U$7*$U$8))+1,1)</f>
        <v/>
      </c>
      <c r="BO1868">
        <f>IF(1855&lt;$U$9,MOD(INT(1855/$U$8),$U$7)+1,1)</f>
        <v/>
      </c>
      <c r="BP1868">
        <f>IF(1855&lt;$U$9,MOD(1855,$U$8)+1,1)</f>
        <v/>
      </c>
      <c r="BQ1868">
        <f>IF(1855&lt;$U$9,SUMPRODUCT(($D$10:$L$10&lt;&gt;"")*(($D$9:$L$9+INT(($S$12:$AA$12+INDEX($AJ$13:$AR$162,BN1868,0)+INDEX($AT$13:$BB$162,BO1868,0)+INDEX($BD$13:$BL$162,BP1868,0))/100))&gt;=$D$10:$L$10)),0)</f>
        <v/>
      </c>
      <c r="BR1868">
        <f>IF(1855&lt;$U$9,SUMPRODUCT(($D$10:$L$10&lt;&gt;"")*(($D$10:$L$10-($D$9:$L$9+INT(($S$12:$AA$12+INDEX($AJ$13:$AR$162,BN1868,0)+INDEX($AT$13:$BB$162,BO1868,0)+INDEX($BD$13:$BL$162,BP1868,0))/100)))&gt;0)*($D$10:$L$10-($D$9:$L$9+INT(($S$12:$AA$12+INDEX($AJ$13:$AR$162,BN1868,0)+INDEX($AT$13:$BB$162,BO1868,0)+INDEX($BD$13:$BL$162,BP1868,0))/100)))),0)</f>
        <v/>
      </c>
      <c r="BS1868">
        <f>IF(1855&lt;$U$9,SUMPRODUCT(($D$9:$L$9+INT(($S$12:$AA$12+INDEX($AJ$13:$AR$162,BN1868,0)+INDEX($AT$13:$BB$162,BO1868,0)+INDEX($BD$13:$BL$162,BP1868,0))/100))),0)</f>
        <v/>
      </c>
      <c r="BT1868">
        <f>IF(AND(1855&lt;$U$9,$W$5),BQ1868*1000000-MIN(BR1868,999)*1000+BS1868-1855/100000,-1000000000-1855)</f>
        <v/>
      </c>
    </row>
    <row r="1869">
      <c r="BN1869">
        <f>IF(1856&lt;$U$9,INT(1856/($U$7*$U$8))+1,1)</f>
        <v/>
      </c>
      <c r="BO1869">
        <f>IF(1856&lt;$U$9,MOD(INT(1856/$U$8),$U$7)+1,1)</f>
        <v/>
      </c>
      <c r="BP1869">
        <f>IF(1856&lt;$U$9,MOD(1856,$U$8)+1,1)</f>
        <v/>
      </c>
      <c r="BQ1869">
        <f>IF(1856&lt;$U$9,SUMPRODUCT(($D$10:$L$10&lt;&gt;"")*(($D$9:$L$9+INT(($S$12:$AA$12+INDEX($AJ$13:$AR$162,BN1869,0)+INDEX($AT$13:$BB$162,BO1869,0)+INDEX($BD$13:$BL$162,BP1869,0))/100))&gt;=$D$10:$L$10)),0)</f>
        <v/>
      </c>
      <c r="BR1869">
        <f>IF(1856&lt;$U$9,SUMPRODUCT(($D$10:$L$10&lt;&gt;"")*(($D$10:$L$10-($D$9:$L$9+INT(($S$12:$AA$12+INDEX($AJ$13:$AR$162,BN1869,0)+INDEX($AT$13:$BB$162,BO1869,0)+INDEX($BD$13:$BL$162,BP1869,0))/100)))&gt;0)*($D$10:$L$10-($D$9:$L$9+INT(($S$12:$AA$12+INDEX($AJ$13:$AR$162,BN1869,0)+INDEX($AT$13:$BB$162,BO1869,0)+INDEX($BD$13:$BL$162,BP1869,0))/100)))),0)</f>
        <v/>
      </c>
      <c r="BS1869">
        <f>IF(1856&lt;$U$9,SUMPRODUCT(($D$9:$L$9+INT(($S$12:$AA$12+INDEX($AJ$13:$AR$162,BN1869,0)+INDEX($AT$13:$BB$162,BO1869,0)+INDEX($BD$13:$BL$162,BP1869,0))/100))),0)</f>
        <v/>
      </c>
      <c r="BT1869">
        <f>IF(AND(1856&lt;$U$9,$W$5),BQ1869*1000000-MIN(BR1869,999)*1000+BS1869-1856/100000,-1000000000-1856)</f>
        <v/>
      </c>
    </row>
    <row r="1870">
      <c r="BN1870">
        <f>IF(1857&lt;$U$9,INT(1857/($U$7*$U$8))+1,1)</f>
        <v/>
      </c>
      <c r="BO1870">
        <f>IF(1857&lt;$U$9,MOD(INT(1857/$U$8),$U$7)+1,1)</f>
        <v/>
      </c>
      <c r="BP1870">
        <f>IF(1857&lt;$U$9,MOD(1857,$U$8)+1,1)</f>
        <v/>
      </c>
      <c r="BQ1870">
        <f>IF(1857&lt;$U$9,SUMPRODUCT(($D$10:$L$10&lt;&gt;"")*(($D$9:$L$9+INT(($S$12:$AA$12+INDEX($AJ$13:$AR$162,BN1870,0)+INDEX($AT$13:$BB$162,BO1870,0)+INDEX($BD$13:$BL$162,BP1870,0))/100))&gt;=$D$10:$L$10)),0)</f>
        <v/>
      </c>
      <c r="BR1870">
        <f>IF(1857&lt;$U$9,SUMPRODUCT(($D$10:$L$10&lt;&gt;"")*(($D$10:$L$10-($D$9:$L$9+INT(($S$12:$AA$12+INDEX($AJ$13:$AR$162,BN1870,0)+INDEX($AT$13:$BB$162,BO1870,0)+INDEX($BD$13:$BL$162,BP1870,0))/100)))&gt;0)*($D$10:$L$10-($D$9:$L$9+INT(($S$12:$AA$12+INDEX($AJ$13:$AR$162,BN1870,0)+INDEX($AT$13:$BB$162,BO1870,0)+INDEX($BD$13:$BL$162,BP1870,0))/100)))),0)</f>
        <v/>
      </c>
      <c r="BS1870">
        <f>IF(1857&lt;$U$9,SUMPRODUCT(($D$9:$L$9+INT(($S$12:$AA$12+INDEX($AJ$13:$AR$162,BN1870,0)+INDEX($AT$13:$BB$162,BO1870,0)+INDEX($BD$13:$BL$162,BP1870,0))/100))),0)</f>
        <v/>
      </c>
      <c r="BT1870">
        <f>IF(AND(1857&lt;$U$9,$W$5),BQ1870*1000000-MIN(BR1870,999)*1000+BS1870-1857/100000,-1000000000-1857)</f>
        <v/>
      </c>
    </row>
    <row r="1871">
      <c r="BN1871">
        <f>IF(1858&lt;$U$9,INT(1858/($U$7*$U$8))+1,1)</f>
        <v/>
      </c>
      <c r="BO1871">
        <f>IF(1858&lt;$U$9,MOD(INT(1858/$U$8),$U$7)+1,1)</f>
        <v/>
      </c>
      <c r="BP1871">
        <f>IF(1858&lt;$U$9,MOD(1858,$U$8)+1,1)</f>
        <v/>
      </c>
      <c r="BQ1871">
        <f>IF(1858&lt;$U$9,SUMPRODUCT(($D$10:$L$10&lt;&gt;"")*(($D$9:$L$9+INT(($S$12:$AA$12+INDEX($AJ$13:$AR$162,BN1871,0)+INDEX($AT$13:$BB$162,BO1871,0)+INDEX($BD$13:$BL$162,BP1871,0))/100))&gt;=$D$10:$L$10)),0)</f>
        <v/>
      </c>
      <c r="BR1871">
        <f>IF(1858&lt;$U$9,SUMPRODUCT(($D$10:$L$10&lt;&gt;"")*(($D$10:$L$10-($D$9:$L$9+INT(($S$12:$AA$12+INDEX($AJ$13:$AR$162,BN1871,0)+INDEX($AT$13:$BB$162,BO1871,0)+INDEX($BD$13:$BL$162,BP1871,0))/100)))&gt;0)*($D$10:$L$10-($D$9:$L$9+INT(($S$12:$AA$12+INDEX($AJ$13:$AR$162,BN1871,0)+INDEX($AT$13:$BB$162,BO1871,0)+INDEX($BD$13:$BL$162,BP1871,0))/100)))),0)</f>
        <v/>
      </c>
      <c r="BS1871">
        <f>IF(1858&lt;$U$9,SUMPRODUCT(($D$9:$L$9+INT(($S$12:$AA$12+INDEX($AJ$13:$AR$162,BN1871,0)+INDEX($AT$13:$BB$162,BO1871,0)+INDEX($BD$13:$BL$162,BP1871,0))/100))),0)</f>
        <v/>
      </c>
      <c r="BT1871">
        <f>IF(AND(1858&lt;$U$9,$W$5),BQ1871*1000000-MIN(BR1871,999)*1000+BS1871-1858/100000,-1000000000-1858)</f>
        <v/>
      </c>
    </row>
    <row r="1872">
      <c r="BN1872">
        <f>IF(1859&lt;$U$9,INT(1859/($U$7*$U$8))+1,1)</f>
        <v/>
      </c>
      <c r="BO1872">
        <f>IF(1859&lt;$U$9,MOD(INT(1859/$U$8),$U$7)+1,1)</f>
        <v/>
      </c>
      <c r="BP1872">
        <f>IF(1859&lt;$U$9,MOD(1859,$U$8)+1,1)</f>
        <v/>
      </c>
      <c r="BQ1872">
        <f>IF(1859&lt;$U$9,SUMPRODUCT(($D$10:$L$10&lt;&gt;"")*(($D$9:$L$9+INT(($S$12:$AA$12+INDEX($AJ$13:$AR$162,BN1872,0)+INDEX($AT$13:$BB$162,BO1872,0)+INDEX($BD$13:$BL$162,BP1872,0))/100))&gt;=$D$10:$L$10)),0)</f>
        <v/>
      </c>
      <c r="BR1872">
        <f>IF(1859&lt;$U$9,SUMPRODUCT(($D$10:$L$10&lt;&gt;"")*(($D$10:$L$10-($D$9:$L$9+INT(($S$12:$AA$12+INDEX($AJ$13:$AR$162,BN1872,0)+INDEX($AT$13:$BB$162,BO1872,0)+INDEX($BD$13:$BL$162,BP1872,0))/100)))&gt;0)*($D$10:$L$10-($D$9:$L$9+INT(($S$12:$AA$12+INDEX($AJ$13:$AR$162,BN1872,0)+INDEX($AT$13:$BB$162,BO1872,0)+INDEX($BD$13:$BL$162,BP1872,0))/100)))),0)</f>
        <v/>
      </c>
      <c r="BS1872">
        <f>IF(1859&lt;$U$9,SUMPRODUCT(($D$9:$L$9+INT(($S$12:$AA$12+INDEX($AJ$13:$AR$162,BN1872,0)+INDEX($AT$13:$BB$162,BO1872,0)+INDEX($BD$13:$BL$162,BP1872,0))/100))),0)</f>
        <v/>
      </c>
      <c r="BT1872">
        <f>IF(AND(1859&lt;$U$9,$W$5),BQ1872*1000000-MIN(BR1872,999)*1000+BS1872-1859/100000,-1000000000-1859)</f>
        <v/>
      </c>
    </row>
    <row r="1873">
      <c r="BN1873">
        <f>IF(1860&lt;$U$9,INT(1860/($U$7*$U$8))+1,1)</f>
        <v/>
      </c>
      <c r="BO1873">
        <f>IF(1860&lt;$U$9,MOD(INT(1860/$U$8),$U$7)+1,1)</f>
        <v/>
      </c>
      <c r="BP1873">
        <f>IF(1860&lt;$U$9,MOD(1860,$U$8)+1,1)</f>
        <v/>
      </c>
      <c r="BQ1873">
        <f>IF(1860&lt;$U$9,SUMPRODUCT(($D$10:$L$10&lt;&gt;"")*(($D$9:$L$9+INT(($S$12:$AA$12+INDEX($AJ$13:$AR$162,BN1873,0)+INDEX($AT$13:$BB$162,BO1873,0)+INDEX($BD$13:$BL$162,BP1873,0))/100))&gt;=$D$10:$L$10)),0)</f>
        <v/>
      </c>
      <c r="BR1873">
        <f>IF(1860&lt;$U$9,SUMPRODUCT(($D$10:$L$10&lt;&gt;"")*(($D$10:$L$10-($D$9:$L$9+INT(($S$12:$AA$12+INDEX($AJ$13:$AR$162,BN1873,0)+INDEX($AT$13:$BB$162,BO1873,0)+INDEX($BD$13:$BL$162,BP1873,0))/100)))&gt;0)*($D$10:$L$10-($D$9:$L$9+INT(($S$12:$AA$12+INDEX($AJ$13:$AR$162,BN1873,0)+INDEX($AT$13:$BB$162,BO1873,0)+INDEX($BD$13:$BL$162,BP1873,0))/100)))),0)</f>
        <v/>
      </c>
      <c r="BS1873">
        <f>IF(1860&lt;$U$9,SUMPRODUCT(($D$9:$L$9+INT(($S$12:$AA$12+INDEX($AJ$13:$AR$162,BN1873,0)+INDEX($AT$13:$BB$162,BO1873,0)+INDEX($BD$13:$BL$162,BP1873,0))/100))),0)</f>
        <v/>
      </c>
      <c r="BT1873">
        <f>IF(AND(1860&lt;$U$9,$W$5),BQ1873*1000000-MIN(BR1873,999)*1000+BS1873-1860/100000,-1000000000-1860)</f>
        <v/>
      </c>
    </row>
    <row r="1874">
      <c r="BN1874">
        <f>IF(1861&lt;$U$9,INT(1861/($U$7*$U$8))+1,1)</f>
        <v/>
      </c>
      <c r="BO1874">
        <f>IF(1861&lt;$U$9,MOD(INT(1861/$U$8),$U$7)+1,1)</f>
        <v/>
      </c>
      <c r="BP1874">
        <f>IF(1861&lt;$U$9,MOD(1861,$U$8)+1,1)</f>
        <v/>
      </c>
      <c r="BQ1874">
        <f>IF(1861&lt;$U$9,SUMPRODUCT(($D$10:$L$10&lt;&gt;"")*(($D$9:$L$9+INT(($S$12:$AA$12+INDEX($AJ$13:$AR$162,BN1874,0)+INDEX($AT$13:$BB$162,BO1874,0)+INDEX($BD$13:$BL$162,BP1874,0))/100))&gt;=$D$10:$L$10)),0)</f>
        <v/>
      </c>
      <c r="BR1874">
        <f>IF(1861&lt;$U$9,SUMPRODUCT(($D$10:$L$10&lt;&gt;"")*(($D$10:$L$10-($D$9:$L$9+INT(($S$12:$AA$12+INDEX($AJ$13:$AR$162,BN1874,0)+INDEX($AT$13:$BB$162,BO1874,0)+INDEX($BD$13:$BL$162,BP1874,0))/100)))&gt;0)*($D$10:$L$10-($D$9:$L$9+INT(($S$12:$AA$12+INDEX($AJ$13:$AR$162,BN1874,0)+INDEX($AT$13:$BB$162,BO1874,0)+INDEX($BD$13:$BL$162,BP1874,0))/100)))),0)</f>
        <v/>
      </c>
      <c r="BS1874">
        <f>IF(1861&lt;$U$9,SUMPRODUCT(($D$9:$L$9+INT(($S$12:$AA$12+INDEX($AJ$13:$AR$162,BN1874,0)+INDEX($AT$13:$BB$162,BO1874,0)+INDEX($BD$13:$BL$162,BP1874,0))/100))),0)</f>
        <v/>
      </c>
      <c r="BT1874">
        <f>IF(AND(1861&lt;$U$9,$W$5),BQ1874*1000000-MIN(BR1874,999)*1000+BS1874-1861/100000,-1000000000-1861)</f>
        <v/>
      </c>
    </row>
    <row r="1875">
      <c r="BN1875">
        <f>IF(1862&lt;$U$9,INT(1862/($U$7*$U$8))+1,1)</f>
        <v/>
      </c>
      <c r="BO1875">
        <f>IF(1862&lt;$U$9,MOD(INT(1862/$U$8),$U$7)+1,1)</f>
        <v/>
      </c>
      <c r="BP1875">
        <f>IF(1862&lt;$U$9,MOD(1862,$U$8)+1,1)</f>
        <v/>
      </c>
      <c r="BQ1875">
        <f>IF(1862&lt;$U$9,SUMPRODUCT(($D$10:$L$10&lt;&gt;"")*(($D$9:$L$9+INT(($S$12:$AA$12+INDEX($AJ$13:$AR$162,BN1875,0)+INDEX($AT$13:$BB$162,BO1875,0)+INDEX($BD$13:$BL$162,BP1875,0))/100))&gt;=$D$10:$L$10)),0)</f>
        <v/>
      </c>
      <c r="BR1875">
        <f>IF(1862&lt;$U$9,SUMPRODUCT(($D$10:$L$10&lt;&gt;"")*(($D$10:$L$10-($D$9:$L$9+INT(($S$12:$AA$12+INDEX($AJ$13:$AR$162,BN1875,0)+INDEX($AT$13:$BB$162,BO1875,0)+INDEX($BD$13:$BL$162,BP1875,0))/100)))&gt;0)*($D$10:$L$10-($D$9:$L$9+INT(($S$12:$AA$12+INDEX($AJ$13:$AR$162,BN1875,0)+INDEX($AT$13:$BB$162,BO1875,0)+INDEX($BD$13:$BL$162,BP1875,0))/100)))),0)</f>
        <v/>
      </c>
      <c r="BS1875">
        <f>IF(1862&lt;$U$9,SUMPRODUCT(($D$9:$L$9+INT(($S$12:$AA$12+INDEX($AJ$13:$AR$162,BN1875,0)+INDEX($AT$13:$BB$162,BO1875,0)+INDEX($BD$13:$BL$162,BP1875,0))/100))),0)</f>
        <v/>
      </c>
      <c r="BT1875">
        <f>IF(AND(1862&lt;$U$9,$W$5),BQ1875*1000000-MIN(BR1875,999)*1000+BS1875-1862/100000,-1000000000-1862)</f>
        <v/>
      </c>
    </row>
    <row r="1876">
      <c r="BN1876">
        <f>IF(1863&lt;$U$9,INT(1863/($U$7*$U$8))+1,1)</f>
        <v/>
      </c>
      <c r="BO1876">
        <f>IF(1863&lt;$U$9,MOD(INT(1863/$U$8),$U$7)+1,1)</f>
        <v/>
      </c>
      <c r="BP1876">
        <f>IF(1863&lt;$U$9,MOD(1863,$U$8)+1,1)</f>
        <v/>
      </c>
      <c r="BQ1876">
        <f>IF(1863&lt;$U$9,SUMPRODUCT(($D$10:$L$10&lt;&gt;"")*(($D$9:$L$9+INT(($S$12:$AA$12+INDEX($AJ$13:$AR$162,BN1876,0)+INDEX($AT$13:$BB$162,BO1876,0)+INDEX($BD$13:$BL$162,BP1876,0))/100))&gt;=$D$10:$L$10)),0)</f>
        <v/>
      </c>
      <c r="BR1876">
        <f>IF(1863&lt;$U$9,SUMPRODUCT(($D$10:$L$10&lt;&gt;"")*(($D$10:$L$10-($D$9:$L$9+INT(($S$12:$AA$12+INDEX($AJ$13:$AR$162,BN1876,0)+INDEX($AT$13:$BB$162,BO1876,0)+INDEX($BD$13:$BL$162,BP1876,0))/100)))&gt;0)*($D$10:$L$10-($D$9:$L$9+INT(($S$12:$AA$12+INDEX($AJ$13:$AR$162,BN1876,0)+INDEX($AT$13:$BB$162,BO1876,0)+INDEX($BD$13:$BL$162,BP1876,0))/100)))),0)</f>
        <v/>
      </c>
      <c r="BS1876">
        <f>IF(1863&lt;$U$9,SUMPRODUCT(($D$9:$L$9+INT(($S$12:$AA$12+INDEX($AJ$13:$AR$162,BN1876,0)+INDEX($AT$13:$BB$162,BO1876,0)+INDEX($BD$13:$BL$162,BP1876,0))/100))),0)</f>
        <v/>
      </c>
      <c r="BT1876">
        <f>IF(AND(1863&lt;$U$9,$W$5),BQ1876*1000000-MIN(BR1876,999)*1000+BS1876-1863/100000,-1000000000-1863)</f>
        <v/>
      </c>
    </row>
    <row r="1877">
      <c r="BN1877">
        <f>IF(1864&lt;$U$9,INT(1864/($U$7*$U$8))+1,1)</f>
        <v/>
      </c>
      <c r="BO1877">
        <f>IF(1864&lt;$U$9,MOD(INT(1864/$U$8),$U$7)+1,1)</f>
        <v/>
      </c>
      <c r="BP1877">
        <f>IF(1864&lt;$U$9,MOD(1864,$U$8)+1,1)</f>
        <v/>
      </c>
      <c r="BQ1877">
        <f>IF(1864&lt;$U$9,SUMPRODUCT(($D$10:$L$10&lt;&gt;"")*(($D$9:$L$9+INT(($S$12:$AA$12+INDEX($AJ$13:$AR$162,BN1877,0)+INDEX($AT$13:$BB$162,BO1877,0)+INDEX($BD$13:$BL$162,BP1877,0))/100))&gt;=$D$10:$L$10)),0)</f>
        <v/>
      </c>
      <c r="BR1877">
        <f>IF(1864&lt;$U$9,SUMPRODUCT(($D$10:$L$10&lt;&gt;"")*(($D$10:$L$10-($D$9:$L$9+INT(($S$12:$AA$12+INDEX($AJ$13:$AR$162,BN1877,0)+INDEX($AT$13:$BB$162,BO1877,0)+INDEX($BD$13:$BL$162,BP1877,0))/100)))&gt;0)*($D$10:$L$10-($D$9:$L$9+INT(($S$12:$AA$12+INDEX($AJ$13:$AR$162,BN1877,0)+INDEX($AT$13:$BB$162,BO1877,0)+INDEX($BD$13:$BL$162,BP1877,0))/100)))),0)</f>
        <v/>
      </c>
      <c r="BS1877">
        <f>IF(1864&lt;$U$9,SUMPRODUCT(($D$9:$L$9+INT(($S$12:$AA$12+INDEX($AJ$13:$AR$162,BN1877,0)+INDEX($AT$13:$BB$162,BO1877,0)+INDEX($BD$13:$BL$162,BP1877,0))/100))),0)</f>
        <v/>
      </c>
      <c r="BT1877">
        <f>IF(AND(1864&lt;$U$9,$W$5),BQ1877*1000000-MIN(BR1877,999)*1000+BS1877-1864/100000,-1000000000-1864)</f>
        <v/>
      </c>
    </row>
    <row r="1878">
      <c r="BN1878">
        <f>IF(1865&lt;$U$9,INT(1865/($U$7*$U$8))+1,1)</f>
        <v/>
      </c>
      <c r="BO1878">
        <f>IF(1865&lt;$U$9,MOD(INT(1865/$U$8),$U$7)+1,1)</f>
        <v/>
      </c>
      <c r="BP1878">
        <f>IF(1865&lt;$U$9,MOD(1865,$U$8)+1,1)</f>
        <v/>
      </c>
      <c r="BQ1878">
        <f>IF(1865&lt;$U$9,SUMPRODUCT(($D$10:$L$10&lt;&gt;"")*(($D$9:$L$9+INT(($S$12:$AA$12+INDEX($AJ$13:$AR$162,BN1878,0)+INDEX($AT$13:$BB$162,BO1878,0)+INDEX($BD$13:$BL$162,BP1878,0))/100))&gt;=$D$10:$L$10)),0)</f>
        <v/>
      </c>
      <c r="BR1878">
        <f>IF(1865&lt;$U$9,SUMPRODUCT(($D$10:$L$10&lt;&gt;"")*(($D$10:$L$10-($D$9:$L$9+INT(($S$12:$AA$12+INDEX($AJ$13:$AR$162,BN1878,0)+INDEX($AT$13:$BB$162,BO1878,0)+INDEX($BD$13:$BL$162,BP1878,0))/100)))&gt;0)*($D$10:$L$10-($D$9:$L$9+INT(($S$12:$AA$12+INDEX($AJ$13:$AR$162,BN1878,0)+INDEX($AT$13:$BB$162,BO1878,0)+INDEX($BD$13:$BL$162,BP1878,0))/100)))),0)</f>
        <v/>
      </c>
      <c r="BS1878">
        <f>IF(1865&lt;$U$9,SUMPRODUCT(($D$9:$L$9+INT(($S$12:$AA$12+INDEX($AJ$13:$AR$162,BN1878,0)+INDEX($AT$13:$BB$162,BO1878,0)+INDEX($BD$13:$BL$162,BP1878,0))/100))),0)</f>
        <v/>
      </c>
      <c r="BT1878">
        <f>IF(AND(1865&lt;$U$9,$W$5),BQ1878*1000000-MIN(BR1878,999)*1000+BS1878-1865/100000,-1000000000-1865)</f>
        <v/>
      </c>
    </row>
    <row r="1879">
      <c r="BN1879">
        <f>IF(1866&lt;$U$9,INT(1866/($U$7*$U$8))+1,1)</f>
        <v/>
      </c>
      <c r="BO1879">
        <f>IF(1866&lt;$U$9,MOD(INT(1866/$U$8),$U$7)+1,1)</f>
        <v/>
      </c>
      <c r="BP1879">
        <f>IF(1866&lt;$U$9,MOD(1866,$U$8)+1,1)</f>
        <v/>
      </c>
      <c r="BQ1879">
        <f>IF(1866&lt;$U$9,SUMPRODUCT(($D$10:$L$10&lt;&gt;"")*(($D$9:$L$9+INT(($S$12:$AA$12+INDEX($AJ$13:$AR$162,BN1879,0)+INDEX($AT$13:$BB$162,BO1879,0)+INDEX($BD$13:$BL$162,BP1879,0))/100))&gt;=$D$10:$L$10)),0)</f>
        <v/>
      </c>
      <c r="BR1879">
        <f>IF(1866&lt;$U$9,SUMPRODUCT(($D$10:$L$10&lt;&gt;"")*(($D$10:$L$10-($D$9:$L$9+INT(($S$12:$AA$12+INDEX($AJ$13:$AR$162,BN1879,0)+INDEX($AT$13:$BB$162,BO1879,0)+INDEX($BD$13:$BL$162,BP1879,0))/100)))&gt;0)*($D$10:$L$10-($D$9:$L$9+INT(($S$12:$AA$12+INDEX($AJ$13:$AR$162,BN1879,0)+INDEX($AT$13:$BB$162,BO1879,0)+INDEX($BD$13:$BL$162,BP1879,0))/100)))),0)</f>
        <v/>
      </c>
      <c r="BS1879">
        <f>IF(1866&lt;$U$9,SUMPRODUCT(($D$9:$L$9+INT(($S$12:$AA$12+INDEX($AJ$13:$AR$162,BN1879,0)+INDEX($AT$13:$BB$162,BO1879,0)+INDEX($BD$13:$BL$162,BP1879,0))/100))),0)</f>
        <v/>
      </c>
      <c r="BT1879">
        <f>IF(AND(1866&lt;$U$9,$W$5),BQ1879*1000000-MIN(BR1879,999)*1000+BS1879-1866/100000,-1000000000-1866)</f>
        <v/>
      </c>
    </row>
    <row r="1880">
      <c r="BN1880">
        <f>IF(1867&lt;$U$9,INT(1867/($U$7*$U$8))+1,1)</f>
        <v/>
      </c>
      <c r="BO1880">
        <f>IF(1867&lt;$U$9,MOD(INT(1867/$U$8),$U$7)+1,1)</f>
        <v/>
      </c>
      <c r="BP1880">
        <f>IF(1867&lt;$U$9,MOD(1867,$U$8)+1,1)</f>
        <v/>
      </c>
      <c r="BQ1880">
        <f>IF(1867&lt;$U$9,SUMPRODUCT(($D$10:$L$10&lt;&gt;"")*(($D$9:$L$9+INT(($S$12:$AA$12+INDEX($AJ$13:$AR$162,BN1880,0)+INDEX($AT$13:$BB$162,BO1880,0)+INDEX($BD$13:$BL$162,BP1880,0))/100))&gt;=$D$10:$L$10)),0)</f>
        <v/>
      </c>
      <c r="BR1880">
        <f>IF(1867&lt;$U$9,SUMPRODUCT(($D$10:$L$10&lt;&gt;"")*(($D$10:$L$10-($D$9:$L$9+INT(($S$12:$AA$12+INDEX($AJ$13:$AR$162,BN1880,0)+INDEX($AT$13:$BB$162,BO1880,0)+INDEX($BD$13:$BL$162,BP1880,0))/100)))&gt;0)*($D$10:$L$10-($D$9:$L$9+INT(($S$12:$AA$12+INDEX($AJ$13:$AR$162,BN1880,0)+INDEX($AT$13:$BB$162,BO1880,0)+INDEX($BD$13:$BL$162,BP1880,0))/100)))),0)</f>
        <v/>
      </c>
      <c r="BS1880">
        <f>IF(1867&lt;$U$9,SUMPRODUCT(($D$9:$L$9+INT(($S$12:$AA$12+INDEX($AJ$13:$AR$162,BN1880,0)+INDEX($AT$13:$BB$162,BO1880,0)+INDEX($BD$13:$BL$162,BP1880,0))/100))),0)</f>
        <v/>
      </c>
      <c r="BT1880">
        <f>IF(AND(1867&lt;$U$9,$W$5),BQ1880*1000000-MIN(BR1880,999)*1000+BS1880-1867/100000,-1000000000-1867)</f>
        <v/>
      </c>
    </row>
    <row r="1881">
      <c r="BN1881">
        <f>IF(1868&lt;$U$9,INT(1868/($U$7*$U$8))+1,1)</f>
        <v/>
      </c>
      <c r="BO1881">
        <f>IF(1868&lt;$U$9,MOD(INT(1868/$U$8),$U$7)+1,1)</f>
        <v/>
      </c>
      <c r="BP1881">
        <f>IF(1868&lt;$U$9,MOD(1868,$U$8)+1,1)</f>
        <v/>
      </c>
      <c r="BQ1881">
        <f>IF(1868&lt;$U$9,SUMPRODUCT(($D$10:$L$10&lt;&gt;"")*(($D$9:$L$9+INT(($S$12:$AA$12+INDEX($AJ$13:$AR$162,BN1881,0)+INDEX($AT$13:$BB$162,BO1881,0)+INDEX($BD$13:$BL$162,BP1881,0))/100))&gt;=$D$10:$L$10)),0)</f>
        <v/>
      </c>
      <c r="BR1881">
        <f>IF(1868&lt;$U$9,SUMPRODUCT(($D$10:$L$10&lt;&gt;"")*(($D$10:$L$10-($D$9:$L$9+INT(($S$12:$AA$12+INDEX($AJ$13:$AR$162,BN1881,0)+INDEX($AT$13:$BB$162,BO1881,0)+INDEX($BD$13:$BL$162,BP1881,0))/100)))&gt;0)*($D$10:$L$10-($D$9:$L$9+INT(($S$12:$AA$12+INDEX($AJ$13:$AR$162,BN1881,0)+INDEX($AT$13:$BB$162,BO1881,0)+INDEX($BD$13:$BL$162,BP1881,0))/100)))),0)</f>
        <v/>
      </c>
      <c r="BS1881">
        <f>IF(1868&lt;$U$9,SUMPRODUCT(($D$9:$L$9+INT(($S$12:$AA$12+INDEX($AJ$13:$AR$162,BN1881,0)+INDEX($AT$13:$BB$162,BO1881,0)+INDEX($BD$13:$BL$162,BP1881,0))/100))),0)</f>
        <v/>
      </c>
      <c r="BT1881">
        <f>IF(AND(1868&lt;$U$9,$W$5),BQ1881*1000000-MIN(BR1881,999)*1000+BS1881-1868/100000,-1000000000-1868)</f>
        <v/>
      </c>
    </row>
    <row r="1882">
      <c r="BN1882">
        <f>IF(1869&lt;$U$9,INT(1869/($U$7*$U$8))+1,1)</f>
        <v/>
      </c>
      <c r="BO1882">
        <f>IF(1869&lt;$U$9,MOD(INT(1869/$U$8),$U$7)+1,1)</f>
        <v/>
      </c>
      <c r="BP1882">
        <f>IF(1869&lt;$U$9,MOD(1869,$U$8)+1,1)</f>
        <v/>
      </c>
      <c r="BQ1882">
        <f>IF(1869&lt;$U$9,SUMPRODUCT(($D$10:$L$10&lt;&gt;"")*(($D$9:$L$9+INT(($S$12:$AA$12+INDEX($AJ$13:$AR$162,BN1882,0)+INDEX($AT$13:$BB$162,BO1882,0)+INDEX($BD$13:$BL$162,BP1882,0))/100))&gt;=$D$10:$L$10)),0)</f>
        <v/>
      </c>
      <c r="BR1882">
        <f>IF(1869&lt;$U$9,SUMPRODUCT(($D$10:$L$10&lt;&gt;"")*(($D$10:$L$10-($D$9:$L$9+INT(($S$12:$AA$12+INDEX($AJ$13:$AR$162,BN1882,0)+INDEX($AT$13:$BB$162,BO1882,0)+INDEX($BD$13:$BL$162,BP1882,0))/100)))&gt;0)*($D$10:$L$10-($D$9:$L$9+INT(($S$12:$AA$12+INDEX($AJ$13:$AR$162,BN1882,0)+INDEX($AT$13:$BB$162,BO1882,0)+INDEX($BD$13:$BL$162,BP1882,0))/100)))),0)</f>
        <v/>
      </c>
      <c r="BS1882">
        <f>IF(1869&lt;$U$9,SUMPRODUCT(($D$9:$L$9+INT(($S$12:$AA$12+INDEX($AJ$13:$AR$162,BN1882,0)+INDEX($AT$13:$BB$162,BO1882,0)+INDEX($BD$13:$BL$162,BP1882,0))/100))),0)</f>
        <v/>
      </c>
      <c r="BT1882">
        <f>IF(AND(1869&lt;$U$9,$W$5),BQ1882*1000000-MIN(BR1882,999)*1000+BS1882-1869/100000,-1000000000-1869)</f>
        <v/>
      </c>
    </row>
    <row r="1883">
      <c r="BN1883">
        <f>IF(1870&lt;$U$9,INT(1870/($U$7*$U$8))+1,1)</f>
        <v/>
      </c>
      <c r="BO1883">
        <f>IF(1870&lt;$U$9,MOD(INT(1870/$U$8),$U$7)+1,1)</f>
        <v/>
      </c>
      <c r="BP1883">
        <f>IF(1870&lt;$U$9,MOD(1870,$U$8)+1,1)</f>
        <v/>
      </c>
      <c r="BQ1883">
        <f>IF(1870&lt;$U$9,SUMPRODUCT(($D$10:$L$10&lt;&gt;"")*(($D$9:$L$9+INT(($S$12:$AA$12+INDEX($AJ$13:$AR$162,BN1883,0)+INDEX($AT$13:$BB$162,BO1883,0)+INDEX($BD$13:$BL$162,BP1883,0))/100))&gt;=$D$10:$L$10)),0)</f>
        <v/>
      </c>
      <c r="BR1883">
        <f>IF(1870&lt;$U$9,SUMPRODUCT(($D$10:$L$10&lt;&gt;"")*(($D$10:$L$10-($D$9:$L$9+INT(($S$12:$AA$12+INDEX($AJ$13:$AR$162,BN1883,0)+INDEX($AT$13:$BB$162,BO1883,0)+INDEX($BD$13:$BL$162,BP1883,0))/100)))&gt;0)*($D$10:$L$10-($D$9:$L$9+INT(($S$12:$AA$12+INDEX($AJ$13:$AR$162,BN1883,0)+INDEX($AT$13:$BB$162,BO1883,0)+INDEX($BD$13:$BL$162,BP1883,0))/100)))),0)</f>
        <v/>
      </c>
      <c r="BS1883">
        <f>IF(1870&lt;$U$9,SUMPRODUCT(($D$9:$L$9+INT(($S$12:$AA$12+INDEX($AJ$13:$AR$162,BN1883,0)+INDEX($AT$13:$BB$162,BO1883,0)+INDEX($BD$13:$BL$162,BP1883,0))/100))),0)</f>
        <v/>
      </c>
      <c r="BT1883">
        <f>IF(AND(1870&lt;$U$9,$W$5),BQ1883*1000000-MIN(BR1883,999)*1000+BS1883-1870/100000,-1000000000-1870)</f>
        <v/>
      </c>
    </row>
    <row r="1884">
      <c r="BN1884">
        <f>IF(1871&lt;$U$9,INT(1871/($U$7*$U$8))+1,1)</f>
        <v/>
      </c>
      <c r="BO1884">
        <f>IF(1871&lt;$U$9,MOD(INT(1871/$U$8),$U$7)+1,1)</f>
        <v/>
      </c>
      <c r="BP1884">
        <f>IF(1871&lt;$U$9,MOD(1871,$U$8)+1,1)</f>
        <v/>
      </c>
      <c r="BQ1884">
        <f>IF(1871&lt;$U$9,SUMPRODUCT(($D$10:$L$10&lt;&gt;"")*(($D$9:$L$9+INT(($S$12:$AA$12+INDEX($AJ$13:$AR$162,BN1884,0)+INDEX($AT$13:$BB$162,BO1884,0)+INDEX($BD$13:$BL$162,BP1884,0))/100))&gt;=$D$10:$L$10)),0)</f>
        <v/>
      </c>
      <c r="BR1884">
        <f>IF(1871&lt;$U$9,SUMPRODUCT(($D$10:$L$10&lt;&gt;"")*(($D$10:$L$10-($D$9:$L$9+INT(($S$12:$AA$12+INDEX($AJ$13:$AR$162,BN1884,0)+INDEX($AT$13:$BB$162,BO1884,0)+INDEX($BD$13:$BL$162,BP1884,0))/100)))&gt;0)*($D$10:$L$10-($D$9:$L$9+INT(($S$12:$AA$12+INDEX($AJ$13:$AR$162,BN1884,0)+INDEX($AT$13:$BB$162,BO1884,0)+INDEX($BD$13:$BL$162,BP1884,0))/100)))),0)</f>
        <v/>
      </c>
      <c r="BS1884">
        <f>IF(1871&lt;$U$9,SUMPRODUCT(($D$9:$L$9+INT(($S$12:$AA$12+INDEX($AJ$13:$AR$162,BN1884,0)+INDEX($AT$13:$BB$162,BO1884,0)+INDEX($BD$13:$BL$162,BP1884,0))/100))),0)</f>
        <v/>
      </c>
      <c r="BT1884">
        <f>IF(AND(1871&lt;$U$9,$W$5),BQ1884*1000000-MIN(BR1884,999)*1000+BS1884-1871/100000,-1000000000-1871)</f>
        <v/>
      </c>
    </row>
    <row r="1885">
      <c r="BN1885">
        <f>IF(1872&lt;$U$9,INT(1872/($U$7*$U$8))+1,1)</f>
        <v/>
      </c>
      <c r="BO1885">
        <f>IF(1872&lt;$U$9,MOD(INT(1872/$U$8),$U$7)+1,1)</f>
        <v/>
      </c>
      <c r="BP1885">
        <f>IF(1872&lt;$U$9,MOD(1872,$U$8)+1,1)</f>
        <v/>
      </c>
      <c r="BQ1885">
        <f>IF(1872&lt;$U$9,SUMPRODUCT(($D$10:$L$10&lt;&gt;"")*(($D$9:$L$9+INT(($S$12:$AA$12+INDEX($AJ$13:$AR$162,BN1885,0)+INDEX($AT$13:$BB$162,BO1885,0)+INDEX($BD$13:$BL$162,BP1885,0))/100))&gt;=$D$10:$L$10)),0)</f>
        <v/>
      </c>
      <c r="BR1885">
        <f>IF(1872&lt;$U$9,SUMPRODUCT(($D$10:$L$10&lt;&gt;"")*(($D$10:$L$10-($D$9:$L$9+INT(($S$12:$AA$12+INDEX($AJ$13:$AR$162,BN1885,0)+INDEX($AT$13:$BB$162,BO1885,0)+INDEX($BD$13:$BL$162,BP1885,0))/100)))&gt;0)*($D$10:$L$10-($D$9:$L$9+INT(($S$12:$AA$12+INDEX($AJ$13:$AR$162,BN1885,0)+INDEX($AT$13:$BB$162,BO1885,0)+INDEX($BD$13:$BL$162,BP1885,0))/100)))),0)</f>
        <v/>
      </c>
      <c r="BS1885">
        <f>IF(1872&lt;$U$9,SUMPRODUCT(($D$9:$L$9+INT(($S$12:$AA$12+INDEX($AJ$13:$AR$162,BN1885,0)+INDEX($AT$13:$BB$162,BO1885,0)+INDEX($BD$13:$BL$162,BP1885,0))/100))),0)</f>
        <v/>
      </c>
      <c r="BT1885">
        <f>IF(AND(1872&lt;$U$9,$W$5),BQ1885*1000000-MIN(BR1885,999)*1000+BS1885-1872/100000,-1000000000-1872)</f>
        <v/>
      </c>
    </row>
    <row r="1886">
      <c r="BN1886">
        <f>IF(1873&lt;$U$9,INT(1873/($U$7*$U$8))+1,1)</f>
        <v/>
      </c>
      <c r="BO1886">
        <f>IF(1873&lt;$U$9,MOD(INT(1873/$U$8),$U$7)+1,1)</f>
        <v/>
      </c>
      <c r="BP1886">
        <f>IF(1873&lt;$U$9,MOD(1873,$U$8)+1,1)</f>
        <v/>
      </c>
      <c r="BQ1886">
        <f>IF(1873&lt;$U$9,SUMPRODUCT(($D$10:$L$10&lt;&gt;"")*(($D$9:$L$9+INT(($S$12:$AA$12+INDEX($AJ$13:$AR$162,BN1886,0)+INDEX($AT$13:$BB$162,BO1886,0)+INDEX($BD$13:$BL$162,BP1886,0))/100))&gt;=$D$10:$L$10)),0)</f>
        <v/>
      </c>
      <c r="BR1886">
        <f>IF(1873&lt;$U$9,SUMPRODUCT(($D$10:$L$10&lt;&gt;"")*(($D$10:$L$10-($D$9:$L$9+INT(($S$12:$AA$12+INDEX($AJ$13:$AR$162,BN1886,0)+INDEX($AT$13:$BB$162,BO1886,0)+INDEX($BD$13:$BL$162,BP1886,0))/100)))&gt;0)*($D$10:$L$10-($D$9:$L$9+INT(($S$12:$AA$12+INDEX($AJ$13:$AR$162,BN1886,0)+INDEX($AT$13:$BB$162,BO1886,0)+INDEX($BD$13:$BL$162,BP1886,0))/100)))),0)</f>
        <v/>
      </c>
      <c r="BS1886">
        <f>IF(1873&lt;$U$9,SUMPRODUCT(($D$9:$L$9+INT(($S$12:$AA$12+INDEX($AJ$13:$AR$162,BN1886,0)+INDEX($AT$13:$BB$162,BO1886,0)+INDEX($BD$13:$BL$162,BP1886,0))/100))),0)</f>
        <v/>
      </c>
      <c r="BT1886">
        <f>IF(AND(1873&lt;$U$9,$W$5),BQ1886*1000000-MIN(BR1886,999)*1000+BS1886-1873/100000,-1000000000-1873)</f>
        <v/>
      </c>
    </row>
    <row r="1887">
      <c r="BN1887">
        <f>IF(1874&lt;$U$9,INT(1874/($U$7*$U$8))+1,1)</f>
        <v/>
      </c>
      <c r="BO1887">
        <f>IF(1874&lt;$U$9,MOD(INT(1874/$U$8),$U$7)+1,1)</f>
        <v/>
      </c>
      <c r="BP1887">
        <f>IF(1874&lt;$U$9,MOD(1874,$U$8)+1,1)</f>
        <v/>
      </c>
      <c r="BQ1887">
        <f>IF(1874&lt;$U$9,SUMPRODUCT(($D$10:$L$10&lt;&gt;"")*(($D$9:$L$9+INT(($S$12:$AA$12+INDEX($AJ$13:$AR$162,BN1887,0)+INDEX($AT$13:$BB$162,BO1887,0)+INDEX($BD$13:$BL$162,BP1887,0))/100))&gt;=$D$10:$L$10)),0)</f>
        <v/>
      </c>
      <c r="BR1887">
        <f>IF(1874&lt;$U$9,SUMPRODUCT(($D$10:$L$10&lt;&gt;"")*(($D$10:$L$10-($D$9:$L$9+INT(($S$12:$AA$12+INDEX($AJ$13:$AR$162,BN1887,0)+INDEX($AT$13:$BB$162,BO1887,0)+INDEX($BD$13:$BL$162,BP1887,0))/100)))&gt;0)*($D$10:$L$10-($D$9:$L$9+INT(($S$12:$AA$12+INDEX($AJ$13:$AR$162,BN1887,0)+INDEX($AT$13:$BB$162,BO1887,0)+INDEX($BD$13:$BL$162,BP1887,0))/100)))),0)</f>
        <v/>
      </c>
      <c r="BS1887">
        <f>IF(1874&lt;$U$9,SUMPRODUCT(($D$9:$L$9+INT(($S$12:$AA$12+INDEX($AJ$13:$AR$162,BN1887,0)+INDEX($AT$13:$BB$162,BO1887,0)+INDEX($BD$13:$BL$162,BP1887,0))/100))),0)</f>
        <v/>
      </c>
      <c r="BT1887">
        <f>IF(AND(1874&lt;$U$9,$W$5),BQ1887*1000000-MIN(BR1887,999)*1000+BS1887-1874/100000,-1000000000-1874)</f>
        <v/>
      </c>
    </row>
    <row r="1888">
      <c r="BN1888">
        <f>IF(1875&lt;$U$9,INT(1875/($U$7*$U$8))+1,1)</f>
        <v/>
      </c>
      <c r="BO1888">
        <f>IF(1875&lt;$U$9,MOD(INT(1875/$U$8),$U$7)+1,1)</f>
        <v/>
      </c>
      <c r="BP1888">
        <f>IF(1875&lt;$U$9,MOD(1875,$U$8)+1,1)</f>
        <v/>
      </c>
      <c r="BQ1888">
        <f>IF(1875&lt;$U$9,SUMPRODUCT(($D$10:$L$10&lt;&gt;"")*(($D$9:$L$9+INT(($S$12:$AA$12+INDEX($AJ$13:$AR$162,BN1888,0)+INDEX($AT$13:$BB$162,BO1888,0)+INDEX($BD$13:$BL$162,BP1888,0))/100))&gt;=$D$10:$L$10)),0)</f>
        <v/>
      </c>
      <c r="BR1888">
        <f>IF(1875&lt;$U$9,SUMPRODUCT(($D$10:$L$10&lt;&gt;"")*(($D$10:$L$10-($D$9:$L$9+INT(($S$12:$AA$12+INDEX($AJ$13:$AR$162,BN1888,0)+INDEX($AT$13:$BB$162,BO1888,0)+INDEX($BD$13:$BL$162,BP1888,0))/100)))&gt;0)*($D$10:$L$10-($D$9:$L$9+INT(($S$12:$AA$12+INDEX($AJ$13:$AR$162,BN1888,0)+INDEX($AT$13:$BB$162,BO1888,0)+INDEX($BD$13:$BL$162,BP1888,0))/100)))),0)</f>
        <v/>
      </c>
      <c r="BS1888">
        <f>IF(1875&lt;$U$9,SUMPRODUCT(($D$9:$L$9+INT(($S$12:$AA$12+INDEX($AJ$13:$AR$162,BN1888,0)+INDEX($AT$13:$BB$162,BO1888,0)+INDEX($BD$13:$BL$162,BP1888,0))/100))),0)</f>
        <v/>
      </c>
      <c r="BT1888">
        <f>IF(AND(1875&lt;$U$9,$W$5),BQ1888*1000000-MIN(BR1888,999)*1000+BS1888-1875/100000,-1000000000-1875)</f>
        <v/>
      </c>
    </row>
    <row r="1889">
      <c r="BN1889">
        <f>IF(1876&lt;$U$9,INT(1876/($U$7*$U$8))+1,1)</f>
        <v/>
      </c>
      <c r="BO1889">
        <f>IF(1876&lt;$U$9,MOD(INT(1876/$U$8),$U$7)+1,1)</f>
        <v/>
      </c>
      <c r="BP1889">
        <f>IF(1876&lt;$U$9,MOD(1876,$U$8)+1,1)</f>
        <v/>
      </c>
      <c r="BQ1889">
        <f>IF(1876&lt;$U$9,SUMPRODUCT(($D$10:$L$10&lt;&gt;"")*(($D$9:$L$9+INT(($S$12:$AA$12+INDEX($AJ$13:$AR$162,BN1889,0)+INDEX($AT$13:$BB$162,BO1889,0)+INDEX($BD$13:$BL$162,BP1889,0))/100))&gt;=$D$10:$L$10)),0)</f>
        <v/>
      </c>
      <c r="BR1889">
        <f>IF(1876&lt;$U$9,SUMPRODUCT(($D$10:$L$10&lt;&gt;"")*(($D$10:$L$10-($D$9:$L$9+INT(($S$12:$AA$12+INDEX($AJ$13:$AR$162,BN1889,0)+INDEX($AT$13:$BB$162,BO1889,0)+INDEX($BD$13:$BL$162,BP1889,0))/100)))&gt;0)*($D$10:$L$10-($D$9:$L$9+INT(($S$12:$AA$12+INDEX($AJ$13:$AR$162,BN1889,0)+INDEX($AT$13:$BB$162,BO1889,0)+INDEX($BD$13:$BL$162,BP1889,0))/100)))),0)</f>
        <v/>
      </c>
      <c r="BS1889">
        <f>IF(1876&lt;$U$9,SUMPRODUCT(($D$9:$L$9+INT(($S$12:$AA$12+INDEX($AJ$13:$AR$162,BN1889,0)+INDEX($AT$13:$BB$162,BO1889,0)+INDEX($BD$13:$BL$162,BP1889,0))/100))),0)</f>
        <v/>
      </c>
      <c r="BT1889">
        <f>IF(AND(1876&lt;$U$9,$W$5),BQ1889*1000000-MIN(BR1889,999)*1000+BS1889-1876/100000,-1000000000-1876)</f>
        <v/>
      </c>
    </row>
    <row r="1890">
      <c r="BN1890">
        <f>IF(1877&lt;$U$9,INT(1877/($U$7*$U$8))+1,1)</f>
        <v/>
      </c>
      <c r="BO1890">
        <f>IF(1877&lt;$U$9,MOD(INT(1877/$U$8),$U$7)+1,1)</f>
        <v/>
      </c>
      <c r="BP1890">
        <f>IF(1877&lt;$U$9,MOD(1877,$U$8)+1,1)</f>
        <v/>
      </c>
      <c r="BQ1890">
        <f>IF(1877&lt;$U$9,SUMPRODUCT(($D$10:$L$10&lt;&gt;"")*(($D$9:$L$9+INT(($S$12:$AA$12+INDEX($AJ$13:$AR$162,BN1890,0)+INDEX($AT$13:$BB$162,BO1890,0)+INDEX($BD$13:$BL$162,BP1890,0))/100))&gt;=$D$10:$L$10)),0)</f>
        <v/>
      </c>
      <c r="BR1890">
        <f>IF(1877&lt;$U$9,SUMPRODUCT(($D$10:$L$10&lt;&gt;"")*(($D$10:$L$10-($D$9:$L$9+INT(($S$12:$AA$12+INDEX($AJ$13:$AR$162,BN1890,0)+INDEX($AT$13:$BB$162,BO1890,0)+INDEX($BD$13:$BL$162,BP1890,0))/100)))&gt;0)*($D$10:$L$10-($D$9:$L$9+INT(($S$12:$AA$12+INDEX($AJ$13:$AR$162,BN1890,0)+INDEX($AT$13:$BB$162,BO1890,0)+INDEX($BD$13:$BL$162,BP1890,0))/100)))),0)</f>
        <v/>
      </c>
      <c r="BS1890">
        <f>IF(1877&lt;$U$9,SUMPRODUCT(($D$9:$L$9+INT(($S$12:$AA$12+INDEX($AJ$13:$AR$162,BN1890,0)+INDEX($AT$13:$BB$162,BO1890,0)+INDEX($BD$13:$BL$162,BP1890,0))/100))),0)</f>
        <v/>
      </c>
      <c r="BT1890">
        <f>IF(AND(1877&lt;$U$9,$W$5),BQ1890*1000000-MIN(BR1890,999)*1000+BS1890-1877/100000,-1000000000-1877)</f>
        <v/>
      </c>
    </row>
    <row r="1891">
      <c r="BN1891">
        <f>IF(1878&lt;$U$9,INT(1878/($U$7*$U$8))+1,1)</f>
        <v/>
      </c>
      <c r="BO1891">
        <f>IF(1878&lt;$U$9,MOD(INT(1878/$U$8),$U$7)+1,1)</f>
        <v/>
      </c>
      <c r="BP1891">
        <f>IF(1878&lt;$U$9,MOD(1878,$U$8)+1,1)</f>
        <v/>
      </c>
      <c r="BQ1891">
        <f>IF(1878&lt;$U$9,SUMPRODUCT(($D$10:$L$10&lt;&gt;"")*(($D$9:$L$9+INT(($S$12:$AA$12+INDEX($AJ$13:$AR$162,BN1891,0)+INDEX($AT$13:$BB$162,BO1891,0)+INDEX($BD$13:$BL$162,BP1891,0))/100))&gt;=$D$10:$L$10)),0)</f>
        <v/>
      </c>
      <c r="BR1891">
        <f>IF(1878&lt;$U$9,SUMPRODUCT(($D$10:$L$10&lt;&gt;"")*(($D$10:$L$10-($D$9:$L$9+INT(($S$12:$AA$12+INDEX($AJ$13:$AR$162,BN1891,0)+INDEX($AT$13:$BB$162,BO1891,0)+INDEX($BD$13:$BL$162,BP1891,0))/100)))&gt;0)*($D$10:$L$10-($D$9:$L$9+INT(($S$12:$AA$12+INDEX($AJ$13:$AR$162,BN1891,0)+INDEX($AT$13:$BB$162,BO1891,0)+INDEX($BD$13:$BL$162,BP1891,0))/100)))),0)</f>
        <v/>
      </c>
      <c r="BS1891">
        <f>IF(1878&lt;$U$9,SUMPRODUCT(($D$9:$L$9+INT(($S$12:$AA$12+INDEX($AJ$13:$AR$162,BN1891,0)+INDEX($AT$13:$BB$162,BO1891,0)+INDEX($BD$13:$BL$162,BP1891,0))/100))),0)</f>
        <v/>
      </c>
      <c r="BT1891">
        <f>IF(AND(1878&lt;$U$9,$W$5),BQ1891*1000000-MIN(BR1891,999)*1000+BS1891-1878/100000,-1000000000-1878)</f>
        <v/>
      </c>
    </row>
    <row r="1892">
      <c r="BN1892">
        <f>IF(1879&lt;$U$9,INT(1879/($U$7*$U$8))+1,1)</f>
        <v/>
      </c>
      <c r="BO1892">
        <f>IF(1879&lt;$U$9,MOD(INT(1879/$U$8),$U$7)+1,1)</f>
        <v/>
      </c>
      <c r="BP1892">
        <f>IF(1879&lt;$U$9,MOD(1879,$U$8)+1,1)</f>
        <v/>
      </c>
      <c r="BQ1892">
        <f>IF(1879&lt;$U$9,SUMPRODUCT(($D$10:$L$10&lt;&gt;"")*(($D$9:$L$9+INT(($S$12:$AA$12+INDEX($AJ$13:$AR$162,BN1892,0)+INDEX($AT$13:$BB$162,BO1892,0)+INDEX($BD$13:$BL$162,BP1892,0))/100))&gt;=$D$10:$L$10)),0)</f>
        <v/>
      </c>
      <c r="BR1892">
        <f>IF(1879&lt;$U$9,SUMPRODUCT(($D$10:$L$10&lt;&gt;"")*(($D$10:$L$10-($D$9:$L$9+INT(($S$12:$AA$12+INDEX($AJ$13:$AR$162,BN1892,0)+INDEX($AT$13:$BB$162,BO1892,0)+INDEX($BD$13:$BL$162,BP1892,0))/100)))&gt;0)*($D$10:$L$10-($D$9:$L$9+INT(($S$12:$AA$12+INDEX($AJ$13:$AR$162,BN1892,0)+INDEX($AT$13:$BB$162,BO1892,0)+INDEX($BD$13:$BL$162,BP1892,0))/100)))),0)</f>
        <v/>
      </c>
      <c r="BS1892">
        <f>IF(1879&lt;$U$9,SUMPRODUCT(($D$9:$L$9+INT(($S$12:$AA$12+INDEX($AJ$13:$AR$162,BN1892,0)+INDEX($AT$13:$BB$162,BO1892,0)+INDEX($BD$13:$BL$162,BP1892,0))/100))),0)</f>
        <v/>
      </c>
      <c r="BT1892">
        <f>IF(AND(1879&lt;$U$9,$W$5),BQ1892*1000000-MIN(BR1892,999)*1000+BS1892-1879/100000,-1000000000-1879)</f>
        <v/>
      </c>
    </row>
    <row r="1893">
      <c r="BN1893">
        <f>IF(1880&lt;$U$9,INT(1880/($U$7*$U$8))+1,1)</f>
        <v/>
      </c>
      <c r="BO1893">
        <f>IF(1880&lt;$U$9,MOD(INT(1880/$U$8),$U$7)+1,1)</f>
        <v/>
      </c>
      <c r="BP1893">
        <f>IF(1880&lt;$U$9,MOD(1880,$U$8)+1,1)</f>
        <v/>
      </c>
      <c r="BQ1893">
        <f>IF(1880&lt;$U$9,SUMPRODUCT(($D$10:$L$10&lt;&gt;"")*(($D$9:$L$9+INT(($S$12:$AA$12+INDEX($AJ$13:$AR$162,BN1893,0)+INDEX($AT$13:$BB$162,BO1893,0)+INDEX($BD$13:$BL$162,BP1893,0))/100))&gt;=$D$10:$L$10)),0)</f>
        <v/>
      </c>
      <c r="BR1893">
        <f>IF(1880&lt;$U$9,SUMPRODUCT(($D$10:$L$10&lt;&gt;"")*(($D$10:$L$10-($D$9:$L$9+INT(($S$12:$AA$12+INDEX($AJ$13:$AR$162,BN1893,0)+INDEX($AT$13:$BB$162,BO1893,0)+INDEX($BD$13:$BL$162,BP1893,0))/100)))&gt;0)*($D$10:$L$10-($D$9:$L$9+INT(($S$12:$AA$12+INDEX($AJ$13:$AR$162,BN1893,0)+INDEX($AT$13:$BB$162,BO1893,0)+INDEX($BD$13:$BL$162,BP1893,0))/100)))),0)</f>
        <v/>
      </c>
      <c r="BS1893">
        <f>IF(1880&lt;$U$9,SUMPRODUCT(($D$9:$L$9+INT(($S$12:$AA$12+INDEX($AJ$13:$AR$162,BN1893,0)+INDEX($AT$13:$BB$162,BO1893,0)+INDEX($BD$13:$BL$162,BP1893,0))/100))),0)</f>
        <v/>
      </c>
      <c r="BT1893">
        <f>IF(AND(1880&lt;$U$9,$W$5),BQ1893*1000000-MIN(BR1893,999)*1000+BS1893-1880/100000,-1000000000-1880)</f>
        <v/>
      </c>
    </row>
    <row r="1894">
      <c r="BN1894">
        <f>IF(1881&lt;$U$9,INT(1881/($U$7*$U$8))+1,1)</f>
        <v/>
      </c>
      <c r="BO1894">
        <f>IF(1881&lt;$U$9,MOD(INT(1881/$U$8),$U$7)+1,1)</f>
        <v/>
      </c>
      <c r="BP1894">
        <f>IF(1881&lt;$U$9,MOD(1881,$U$8)+1,1)</f>
        <v/>
      </c>
      <c r="BQ1894">
        <f>IF(1881&lt;$U$9,SUMPRODUCT(($D$10:$L$10&lt;&gt;"")*(($D$9:$L$9+INT(($S$12:$AA$12+INDEX($AJ$13:$AR$162,BN1894,0)+INDEX($AT$13:$BB$162,BO1894,0)+INDEX($BD$13:$BL$162,BP1894,0))/100))&gt;=$D$10:$L$10)),0)</f>
        <v/>
      </c>
      <c r="BR1894">
        <f>IF(1881&lt;$U$9,SUMPRODUCT(($D$10:$L$10&lt;&gt;"")*(($D$10:$L$10-($D$9:$L$9+INT(($S$12:$AA$12+INDEX($AJ$13:$AR$162,BN1894,0)+INDEX($AT$13:$BB$162,BO1894,0)+INDEX($BD$13:$BL$162,BP1894,0))/100)))&gt;0)*($D$10:$L$10-($D$9:$L$9+INT(($S$12:$AA$12+INDEX($AJ$13:$AR$162,BN1894,0)+INDEX($AT$13:$BB$162,BO1894,0)+INDEX($BD$13:$BL$162,BP1894,0))/100)))),0)</f>
        <v/>
      </c>
      <c r="BS1894">
        <f>IF(1881&lt;$U$9,SUMPRODUCT(($D$9:$L$9+INT(($S$12:$AA$12+INDEX($AJ$13:$AR$162,BN1894,0)+INDEX($AT$13:$BB$162,BO1894,0)+INDEX($BD$13:$BL$162,BP1894,0))/100))),0)</f>
        <v/>
      </c>
      <c r="BT1894">
        <f>IF(AND(1881&lt;$U$9,$W$5),BQ1894*1000000-MIN(BR1894,999)*1000+BS1894-1881/100000,-1000000000-1881)</f>
        <v/>
      </c>
    </row>
    <row r="1895">
      <c r="BN1895">
        <f>IF(1882&lt;$U$9,INT(1882/($U$7*$U$8))+1,1)</f>
        <v/>
      </c>
      <c r="BO1895">
        <f>IF(1882&lt;$U$9,MOD(INT(1882/$U$8),$U$7)+1,1)</f>
        <v/>
      </c>
      <c r="BP1895">
        <f>IF(1882&lt;$U$9,MOD(1882,$U$8)+1,1)</f>
        <v/>
      </c>
      <c r="BQ1895">
        <f>IF(1882&lt;$U$9,SUMPRODUCT(($D$10:$L$10&lt;&gt;"")*(($D$9:$L$9+INT(($S$12:$AA$12+INDEX($AJ$13:$AR$162,BN1895,0)+INDEX($AT$13:$BB$162,BO1895,0)+INDEX($BD$13:$BL$162,BP1895,0))/100))&gt;=$D$10:$L$10)),0)</f>
        <v/>
      </c>
      <c r="BR1895">
        <f>IF(1882&lt;$U$9,SUMPRODUCT(($D$10:$L$10&lt;&gt;"")*(($D$10:$L$10-($D$9:$L$9+INT(($S$12:$AA$12+INDEX($AJ$13:$AR$162,BN1895,0)+INDEX($AT$13:$BB$162,BO1895,0)+INDEX($BD$13:$BL$162,BP1895,0))/100)))&gt;0)*($D$10:$L$10-($D$9:$L$9+INT(($S$12:$AA$12+INDEX($AJ$13:$AR$162,BN1895,0)+INDEX($AT$13:$BB$162,BO1895,0)+INDEX($BD$13:$BL$162,BP1895,0))/100)))),0)</f>
        <v/>
      </c>
      <c r="BS1895">
        <f>IF(1882&lt;$U$9,SUMPRODUCT(($D$9:$L$9+INT(($S$12:$AA$12+INDEX($AJ$13:$AR$162,BN1895,0)+INDEX($AT$13:$BB$162,BO1895,0)+INDEX($BD$13:$BL$162,BP1895,0))/100))),0)</f>
        <v/>
      </c>
      <c r="BT1895">
        <f>IF(AND(1882&lt;$U$9,$W$5),BQ1895*1000000-MIN(BR1895,999)*1000+BS1895-1882/100000,-1000000000-1882)</f>
        <v/>
      </c>
    </row>
    <row r="1896">
      <c r="BN1896">
        <f>IF(1883&lt;$U$9,INT(1883/($U$7*$U$8))+1,1)</f>
        <v/>
      </c>
      <c r="BO1896">
        <f>IF(1883&lt;$U$9,MOD(INT(1883/$U$8),$U$7)+1,1)</f>
        <v/>
      </c>
      <c r="BP1896">
        <f>IF(1883&lt;$U$9,MOD(1883,$U$8)+1,1)</f>
        <v/>
      </c>
      <c r="BQ1896">
        <f>IF(1883&lt;$U$9,SUMPRODUCT(($D$10:$L$10&lt;&gt;"")*(($D$9:$L$9+INT(($S$12:$AA$12+INDEX($AJ$13:$AR$162,BN1896,0)+INDEX($AT$13:$BB$162,BO1896,0)+INDEX($BD$13:$BL$162,BP1896,0))/100))&gt;=$D$10:$L$10)),0)</f>
        <v/>
      </c>
      <c r="BR1896">
        <f>IF(1883&lt;$U$9,SUMPRODUCT(($D$10:$L$10&lt;&gt;"")*(($D$10:$L$10-($D$9:$L$9+INT(($S$12:$AA$12+INDEX($AJ$13:$AR$162,BN1896,0)+INDEX($AT$13:$BB$162,BO1896,0)+INDEX($BD$13:$BL$162,BP1896,0))/100)))&gt;0)*($D$10:$L$10-($D$9:$L$9+INT(($S$12:$AA$12+INDEX($AJ$13:$AR$162,BN1896,0)+INDEX($AT$13:$BB$162,BO1896,0)+INDEX($BD$13:$BL$162,BP1896,0))/100)))),0)</f>
        <v/>
      </c>
      <c r="BS1896">
        <f>IF(1883&lt;$U$9,SUMPRODUCT(($D$9:$L$9+INT(($S$12:$AA$12+INDEX($AJ$13:$AR$162,BN1896,0)+INDEX($AT$13:$BB$162,BO1896,0)+INDEX($BD$13:$BL$162,BP1896,0))/100))),0)</f>
        <v/>
      </c>
      <c r="BT1896">
        <f>IF(AND(1883&lt;$U$9,$W$5),BQ1896*1000000-MIN(BR1896,999)*1000+BS1896-1883/100000,-1000000000-1883)</f>
        <v/>
      </c>
    </row>
    <row r="1897">
      <c r="BN1897">
        <f>IF(1884&lt;$U$9,INT(1884/($U$7*$U$8))+1,1)</f>
        <v/>
      </c>
      <c r="BO1897">
        <f>IF(1884&lt;$U$9,MOD(INT(1884/$U$8),$U$7)+1,1)</f>
        <v/>
      </c>
      <c r="BP1897">
        <f>IF(1884&lt;$U$9,MOD(1884,$U$8)+1,1)</f>
        <v/>
      </c>
      <c r="BQ1897">
        <f>IF(1884&lt;$U$9,SUMPRODUCT(($D$10:$L$10&lt;&gt;"")*(($D$9:$L$9+INT(($S$12:$AA$12+INDEX($AJ$13:$AR$162,BN1897,0)+INDEX($AT$13:$BB$162,BO1897,0)+INDEX($BD$13:$BL$162,BP1897,0))/100))&gt;=$D$10:$L$10)),0)</f>
        <v/>
      </c>
      <c r="BR1897">
        <f>IF(1884&lt;$U$9,SUMPRODUCT(($D$10:$L$10&lt;&gt;"")*(($D$10:$L$10-($D$9:$L$9+INT(($S$12:$AA$12+INDEX($AJ$13:$AR$162,BN1897,0)+INDEX($AT$13:$BB$162,BO1897,0)+INDEX($BD$13:$BL$162,BP1897,0))/100)))&gt;0)*($D$10:$L$10-($D$9:$L$9+INT(($S$12:$AA$12+INDEX($AJ$13:$AR$162,BN1897,0)+INDEX($AT$13:$BB$162,BO1897,0)+INDEX($BD$13:$BL$162,BP1897,0))/100)))),0)</f>
        <v/>
      </c>
      <c r="BS1897">
        <f>IF(1884&lt;$U$9,SUMPRODUCT(($D$9:$L$9+INT(($S$12:$AA$12+INDEX($AJ$13:$AR$162,BN1897,0)+INDEX($AT$13:$BB$162,BO1897,0)+INDEX($BD$13:$BL$162,BP1897,0))/100))),0)</f>
        <v/>
      </c>
      <c r="BT1897">
        <f>IF(AND(1884&lt;$U$9,$W$5),BQ1897*1000000-MIN(BR1897,999)*1000+BS1897-1884/100000,-1000000000-1884)</f>
        <v/>
      </c>
    </row>
    <row r="1898">
      <c r="BN1898">
        <f>IF(1885&lt;$U$9,INT(1885/($U$7*$U$8))+1,1)</f>
        <v/>
      </c>
      <c r="BO1898">
        <f>IF(1885&lt;$U$9,MOD(INT(1885/$U$8),$U$7)+1,1)</f>
        <v/>
      </c>
      <c r="BP1898">
        <f>IF(1885&lt;$U$9,MOD(1885,$U$8)+1,1)</f>
        <v/>
      </c>
      <c r="BQ1898">
        <f>IF(1885&lt;$U$9,SUMPRODUCT(($D$10:$L$10&lt;&gt;"")*(($D$9:$L$9+INT(($S$12:$AA$12+INDEX($AJ$13:$AR$162,BN1898,0)+INDEX($AT$13:$BB$162,BO1898,0)+INDEX($BD$13:$BL$162,BP1898,0))/100))&gt;=$D$10:$L$10)),0)</f>
        <v/>
      </c>
      <c r="BR1898">
        <f>IF(1885&lt;$U$9,SUMPRODUCT(($D$10:$L$10&lt;&gt;"")*(($D$10:$L$10-($D$9:$L$9+INT(($S$12:$AA$12+INDEX($AJ$13:$AR$162,BN1898,0)+INDEX($AT$13:$BB$162,BO1898,0)+INDEX($BD$13:$BL$162,BP1898,0))/100)))&gt;0)*($D$10:$L$10-($D$9:$L$9+INT(($S$12:$AA$12+INDEX($AJ$13:$AR$162,BN1898,0)+INDEX($AT$13:$BB$162,BO1898,0)+INDEX($BD$13:$BL$162,BP1898,0))/100)))),0)</f>
        <v/>
      </c>
      <c r="BS1898">
        <f>IF(1885&lt;$U$9,SUMPRODUCT(($D$9:$L$9+INT(($S$12:$AA$12+INDEX($AJ$13:$AR$162,BN1898,0)+INDEX($AT$13:$BB$162,BO1898,0)+INDEX($BD$13:$BL$162,BP1898,0))/100))),0)</f>
        <v/>
      </c>
      <c r="BT1898">
        <f>IF(AND(1885&lt;$U$9,$W$5),BQ1898*1000000-MIN(BR1898,999)*1000+BS1898-1885/100000,-1000000000-1885)</f>
        <v/>
      </c>
    </row>
    <row r="1899">
      <c r="BN1899">
        <f>IF(1886&lt;$U$9,INT(1886/($U$7*$U$8))+1,1)</f>
        <v/>
      </c>
      <c r="BO1899">
        <f>IF(1886&lt;$U$9,MOD(INT(1886/$U$8),$U$7)+1,1)</f>
        <v/>
      </c>
      <c r="BP1899">
        <f>IF(1886&lt;$U$9,MOD(1886,$U$8)+1,1)</f>
        <v/>
      </c>
      <c r="BQ1899">
        <f>IF(1886&lt;$U$9,SUMPRODUCT(($D$10:$L$10&lt;&gt;"")*(($D$9:$L$9+INT(($S$12:$AA$12+INDEX($AJ$13:$AR$162,BN1899,0)+INDEX($AT$13:$BB$162,BO1899,0)+INDEX($BD$13:$BL$162,BP1899,0))/100))&gt;=$D$10:$L$10)),0)</f>
        <v/>
      </c>
      <c r="BR1899">
        <f>IF(1886&lt;$U$9,SUMPRODUCT(($D$10:$L$10&lt;&gt;"")*(($D$10:$L$10-($D$9:$L$9+INT(($S$12:$AA$12+INDEX($AJ$13:$AR$162,BN1899,0)+INDEX($AT$13:$BB$162,BO1899,0)+INDEX($BD$13:$BL$162,BP1899,0))/100)))&gt;0)*($D$10:$L$10-($D$9:$L$9+INT(($S$12:$AA$12+INDEX($AJ$13:$AR$162,BN1899,0)+INDEX($AT$13:$BB$162,BO1899,0)+INDEX($BD$13:$BL$162,BP1899,0))/100)))),0)</f>
        <v/>
      </c>
      <c r="BS1899">
        <f>IF(1886&lt;$U$9,SUMPRODUCT(($D$9:$L$9+INT(($S$12:$AA$12+INDEX($AJ$13:$AR$162,BN1899,0)+INDEX($AT$13:$BB$162,BO1899,0)+INDEX($BD$13:$BL$162,BP1899,0))/100))),0)</f>
        <v/>
      </c>
      <c r="BT1899">
        <f>IF(AND(1886&lt;$U$9,$W$5),BQ1899*1000000-MIN(BR1899,999)*1000+BS1899-1886/100000,-1000000000-1886)</f>
        <v/>
      </c>
    </row>
    <row r="1900">
      <c r="BN1900">
        <f>IF(1887&lt;$U$9,INT(1887/($U$7*$U$8))+1,1)</f>
        <v/>
      </c>
      <c r="BO1900">
        <f>IF(1887&lt;$U$9,MOD(INT(1887/$U$8),$U$7)+1,1)</f>
        <v/>
      </c>
      <c r="BP1900">
        <f>IF(1887&lt;$U$9,MOD(1887,$U$8)+1,1)</f>
        <v/>
      </c>
      <c r="BQ1900">
        <f>IF(1887&lt;$U$9,SUMPRODUCT(($D$10:$L$10&lt;&gt;"")*(($D$9:$L$9+INT(($S$12:$AA$12+INDEX($AJ$13:$AR$162,BN1900,0)+INDEX($AT$13:$BB$162,BO1900,0)+INDEX($BD$13:$BL$162,BP1900,0))/100))&gt;=$D$10:$L$10)),0)</f>
        <v/>
      </c>
      <c r="BR1900">
        <f>IF(1887&lt;$U$9,SUMPRODUCT(($D$10:$L$10&lt;&gt;"")*(($D$10:$L$10-($D$9:$L$9+INT(($S$12:$AA$12+INDEX($AJ$13:$AR$162,BN1900,0)+INDEX($AT$13:$BB$162,BO1900,0)+INDEX($BD$13:$BL$162,BP1900,0))/100)))&gt;0)*($D$10:$L$10-($D$9:$L$9+INT(($S$12:$AA$12+INDEX($AJ$13:$AR$162,BN1900,0)+INDEX($AT$13:$BB$162,BO1900,0)+INDEX($BD$13:$BL$162,BP1900,0))/100)))),0)</f>
        <v/>
      </c>
      <c r="BS1900">
        <f>IF(1887&lt;$U$9,SUMPRODUCT(($D$9:$L$9+INT(($S$12:$AA$12+INDEX($AJ$13:$AR$162,BN1900,0)+INDEX($AT$13:$BB$162,BO1900,0)+INDEX($BD$13:$BL$162,BP1900,0))/100))),0)</f>
        <v/>
      </c>
      <c r="BT1900">
        <f>IF(AND(1887&lt;$U$9,$W$5),BQ1900*1000000-MIN(BR1900,999)*1000+BS1900-1887/100000,-1000000000-1887)</f>
        <v/>
      </c>
    </row>
    <row r="1901">
      <c r="BN1901">
        <f>IF(1888&lt;$U$9,INT(1888/($U$7*$U$8))+1,1)</f>
        <v/>
      </c>
      <c r="BO1901">
        <f>IF(1888&lt;$U$9,MOD(INT(1888/$U$8),$U$7)+1,1)</f>
        <v/>
      </c>
      <c r="BP1901">
        <f>IF(1888&lt;$U$9,MOD(1888,$U$8)+1,1)</f>
        <v/>
      </c>
      <c r="BQ1901">
        <f>IF(1888&lt;$U$9,SUMPRODUCT(($D$10:$L$10&lt;&gt;"")*(($D$9:$L$9+INT(($S$12:$AA$12+INDEX($AJ$13:$AR$162,BN1901,0)+INDEX($AT$13:$BB$162,BO1901,0)+INDEX($BD$13:$BL$162,BP1901,0))/100))&gt;=$D$10:$L$10)),0)</f>
        <v/>
      </c>
      <c r="BR1901">
        <f>IF(1888&lt;$U$9,SUMPRODUCT(($D$10:$L$10&lt;&gt;"")*(($D$10:$L$10-($D$9:$L$9+INT(($S$12:$AA$12+INDEX($AJ$13:$AR$162,BN1901,0)+INDEX($AT$13:$BB$162,BO1901,0)+INDEX($BD$13:$BL$162,BP1901,0))/100)))&gt;0)*($D$10:$L$10-($D$9:$L$9+INT(($S$12:$AA$12+INDEX($AJ$13:$AR$162,BN1901,0)+INDEX($AT$13:$BB$162,BO1901,0)+INDEX($BD$13:$BL$162,BP1901,0))/100)))),0)</f>
        <v/>
      </c>
      <c r="BS1901">
        <f>IF(1888&lt;$U$9,SUMPRODUCT(($D$9:$L$9+INT(($S$12:$AA$12+INDEX($AJ$13:$AR$162,BN1901,0)+INDEX($AT$13:$BB$162,BO1901,0)+INDEX($BD$13:$BL$162,BP1901,0))/100))),0)</f>
        <v/>
      </c>
      <c r="BT1901">
        <f>IF(AND(1888&lt;$U$9,$W$5),BQ1901*1000000-MIN(BR1901,999)*1000+BS1901-1888/100000,-1000000000-1888)</f>
        <v/>
      </c>
    </row>
    <row r="1902">
      <c r="BN1902">
        <f>IF(1889&lt;$U$9,INT(1889/($U$7*$U$8))+1,1)</f>
        <v/>
      </c>
      <c r="BO1902">
        <f>IF(1889&lt;$U$9,MOD(INT(1889/$U$8),$U$7)+1,1)</f>
        <v/>
      </c>
      <c r="BP1902">
        <f>IF(1889&lt;$U$9,MOD(1889,$U$8)+1,1)</f>
        <v/>
      </c>
      <c r="BQ1902">
        <f>IF(1889&lt;$U$9,SUMPRODUCT(($D$10:$L$10&lt;&gt;"")*(($D$9:$L$9+INT(($S$12:$AA$12+INDEX($AJ$13:$AR$162,BN1902,0)+INDEX($AT$13:$BB$162,BO1902,0)+INDEX($BD$13:$BL$162,BP1902,0))/100))&gt;=$D$10:$L$10)),0)</f>
        <v/>
      </c>
      <c r="BR1902">
        <f>IF(1889&lt;$U$9,SUMPRODUCT(($D$10:$L$10&lt;&gt;"")*(($D$10:$L$10-($D$9:$L$9+INT(($S$12:$AA$12+INDEX($AJ$13:$AR$162,BN1902,0)+INDEX($AT$13:$BB$162,BO1902,0)+INDEX($BD$13:$BL$162,BP1902,0))/100)))&gt;0)*($D$10:$L$10-($D$9:$L$9+INT(($S$12:$AA$12+INDEX($AJ$13:$AR$162,BN1902,0)+INDEX($AT$13:$BB$162,BO1902,0)+INDEX($BD$13:$BL$162,BP1902,0))/100)))),0)</f>
        <v/>
      </c>
      <c r="BS1902">
        <f>IF(1889&lt;$U$9,SUMPRODUCT(($D$9:$L$9+INT(($S$12:$AA$12+INDEX($AJ$13:$AR$162,BN1902,0)+INDEX($AT$13:$BB$162,BO1902,0)+INDEX($BD$13:$BL$162,BP1902,0))/100))),0)</f>
        <v/>
      </c>
      <c r="BT1902">
        <f>IF(AND(1889&lt;$U$9,$W$5),BQ1902*1000000-MIN(BR1902,999)*1000+BS1902-1889/100000,-1000000000-1889)</f>
        <v/>
      </c>
    </row>
    <row r="1903">
      <c r="BN1903">
        <f>IF(1890&lt;$U$9,INT(1890/($U$7*$U$8))+1,1)</f>
        <v/>
      </c>
      <c r="BO1903">
        <f>IF(1890&lt;$U$9,MOD(INT(1890/$U$8),$U$7)+1,1)</f>
        <v/>
      </c>
      <c r="BP1903">
        <f>IF(1890&lt;$U$9,MOD(1890,$U$8)+1,1)</f>
        <v/>
      </c>
      <c r="BQ1903">
        <f>IF(1890&lt;$U$9,SUMPRODUCT(($D$10:$L$10&lt;&gt;"")*(($D$9:$L$9+INT(($S$12:$AA$12+INDEX($AJ$13:$AR$162,BN1903,0)+INDEX($AT$13:$BB$162,BO1903,0)+INDEX($BD$13:$BL$162,BP1903,0))/100))&gt;=$D$10:$L$10)),0)</f>
        <v/>
      </c>
      <c r="BR1903">
        <f>IF(1890&lt;$U$9,SUMPRODUCT(($D$10:$L$10&lt;&gt;"")*(($D$10:$L$10-($D$9:$L$9+INT(($S$12:$AA$12+INDEX($AJ$13:$AR$162,BN1903,0)+INDEX($AT$13:$BB$162,BO1903,0)+INDEX($BD$13:$BL$162,BP1903,0))/100)))&gt;0)*($D$10:$L$10-($D$9:$L$9+INT(($S$12:$AA$12+INDEX($AJ$13:$AR$162,BN1903,0)+INDEX($AT$13:$BB$162,BO1903,0)+INDEX($BD$13:$BL$162,BP1903,0))/100)))),0)</f>
        <v/>
      </c>
      <c r="BS1903">
        <f>IF(1890&lt;$U$9,SUMPRODUCT(($D$9:$L$9+INT(($S$12:$AA$12+INDEX($AJ$13:$AR$162,BN1903,0)+INDEX($AT$13:$BB$162,BO1903,0)+INDEX($BD$13:$BL$162,BP1903,0))/100))),0)</f>
        <v/>
      </c>
      <c r="BT1903">
        <f>IF(AND(1890&lt;$U$9,$W$5),BQ1903*1000000-MIN(BR1903,999)*1000+BS1903-1890/100000,-1000000000-1890)</f>
        <v/>
      </c>
    </row>
    <row r="1904">
      <c r="BN1904">
        <f>IF(1891&lt;$U$9,INT(1891/($U$7*$U$8))+1,1)</f>
        <v/>
      </c>
      <c r="BO1904">
        <f>IF(1891&lt;$U$9,MOD(INT(1891/$U$8),$U$7)+1,1)</f>
        <v/>
      </c>
      <c r="BP1904">
        <f>IF(1891&lt;$U$9,MOD(1891,$U$8)+1,1)</f>
        <v/>
      </c>
      <c r="BQ1904">
        <f>IF(1891&lt;$U$9,SUMPRODUCT(($D$10:$L$10&lt;&gt;"")*(($D$9:$L$9+INT(($S$12:$AA$12+INDEX($AJ$13:$AR$162,BN1904,0)+INDEX($AT$13:$BB$162,BO1904,0)+INDEX($BD$13:$BL$162,BP1904,0))/100))&gt;=$D$10:$L$10)),0)</f>
        <v/>
      </c>
      <c r="BR1904">
        <f>IF(1891&lt;$U$9,SUMPRODUCT(($D$10:$L$10&lt;&gt;"")*(($D$10:$L$10-($D$9:$L$9+INT(($S$12:$AA$12+INDEX($AJ$13:$AR$162,BN1904,0)+INDEX($AT$13:$BB$162,BO1904,0)+INDEX($BD$13:$BL$162,BP1904,0))/100)))&gt;0)*($D$10:$L$10-($D$9:$L$9+INT(($S$12:$AA$12+INDEX($AJ$13:$AR$162,BN1904,0)+INDEX($AT$13:$BB$162,BO1904,0)+INDEX($BD$13:$BL$162,BP1904,0))/100)))),0)</f>
        <v/>
      </c>
      <c r="BS1904">
        <f>IF(1891&lt;$U$9,SUMPRODUCT(($D$9:$L$9+INT(($S$12:$AA$12+INDEX($AJ$13:$AR$162,BN1904,0)+INDEX($AT$13:$BB$162,BO1904,0)+INDEX($BD$13:$BL$162,BP1904,0))/100))),0)</f>
        <v/>
      </c>
      <c r="BT1904">
        <f>IF(AND(1891&lt;$U$9,$W$5),BQ1904*1000000-MIN(BR1904,999)*1000+BS1904-1891/100000,-1000000000-1891)</f>
        <v/>
      </c>
    </row>
    <row r="1905">
      <c r="BN1905">
        <f>IF(1892&lt;$U$9,INT(1892/($U$7*$U$8))+1,1)</f>
        <v/>
      </c>
      <c r="BO1905">
        <f>IF(1892&lt;$U$9,MOD(INT(1892/$U$8),$U$7)+1,1)</f>
        <v/>
      </c>
      <c r="BP1905">
        <f>IF(1892&lt;$U$9,MOD(1892,$U$8)+1,1)</f>
        <v/>
      </c>
      <c r="BQ1905">
        <f>IF(1892&lt;$U$9,SUMPRODUCT(($D$10:$L$10&lt;&gt;"")*(($D$9:$L$9+INT(($S$12:$AA$12+INDEX($AJ$13:$AR$162,BN1905,0)+INDEX($AT$13:$BB$162,BO1905,0)+INDEX($BD$13:$BL$162,BP1905,0))/100))&gt;=$D$10:$L$10)),0)</f>
        <v/>
      </c>
      <c r="BR1905">
        <f>IF(1892&lt;$U$9,SUMPRODUCT(($D$10:$L$10&lt;&gt;"")*(($D$10:$L$10-($D$9:$L$9+INT(($S$12:$AA$12+INDEX($AJ$13:$AR$162,BN1905,0)+INDEX($AT$13:$BB$162,BO1905,0)+INDEX($BD$13:$BL$162,BP1905,0))/100)))&gt;0)*($D$10:$L$10-($D$9:$L$9+INT(($S$12:$AA$12+INDEX($AJ$13:$AR$162,BN1905,0)+INDEX($AT$13:$BB$162,BO1905,0)+INDEX($BD$13:$BL$162,BP1905,0))/100)))),0)</f>
        <v/>
      </c>
      <c r="BS1905">
        <f>IF(1892&lt;$U$9,SUMPRODUCT(($D$9:$L$9+INT(($S$12:$AA$12+INDEX($AJ$13:$AR$162,BN1905,0)+INDEX($AT$13:$BB$162,BO1905,0)+INDEX($BD$13:$BL$162,BP1905,0))/100))),0)</f>
        <v/>
      </c>
      <c r="BT1905">
        <f>IF(AND(1892&lt;$U$9,$W$5),BQ1905*1000000-MIN(BR1905,999)*1000+BS1905-1892/100000,-1000000000-1892)</f>
        <v/>
      </c>
    </row>
    <row r="1906">
      <c r="BN1906">
        <f>IF(1893&lt;$U$9,INT(1893/($U$7*$U$8))+1,1)</f>
        <v/>
      </c>
      <c r="BO1906">
        <f>IF(1893&lt;$U$9,MOD(INT(1893/$U$8),$U$7)+1,1)</f>
        <v/>
      </c>
      <c r="BP1906">
        <f>IF(1893&lt;$U$9,MOD(1893,$U$8)+1,1)</f>
        <v/>
      </c>
      <c r="BQ1906">
        <f>IF(1893&lt;$U$9,SUMPRODUCT(($D$10:$L$10&lt;&gt;"")*(($D$9:$L$9+INT(($S$12:$AA$12+INDEX($AJ$13:$AR$162,BN1906,0)+INDEX($AT$13:$BB$162,BO1906,0)+INDEX($BD$13:$BL$162,BP1906,0))/100))&gt;=$D$10:$L$10)),0)</f>
        <v/>
      </c>
      <c r="BR1906">
        <f>IF(1893&lt;$U$9,SUMPRODUCT(($D$10:$L$10&lt;&gt;"")*(($D$10:$L$10-($D$9:$L$9+INT(($S$12:$AA$12+INDEX($AJ$13:$AR$162,BN1906,0)+INDEX($AT$13:$BB$162,BO1906,0)+INDEX($BD$13:$BL$162,BP1906,0))/100)))&gt;0)*($D$10:$L$10-($D$9:$L$9+INT(($S$12:$AA$12+INDEX($AJ$13:$AR$162,BN1906,0)+INDEX($AT$13:$BB$162,BO1906,0)+INDEX($BD$13:$BL$162,BP1906,0))/100)))),0)</f>
        <v/>
      </c>
      <c r="BS1906">
        <f>IF(1893&lt;$U$9,SUMPRODUCT(($D$9:$L$9+INT(($S$12:$AA$12+INDEX($AJ$13:$AR$162,BN1906,0)+INDEX($AT$13:$BB$162,BO1906,0)+INDEX($BD$13:$BL$162,BP1906,0))/100))),0)</f>
        <v/>
      </c>
      <c r="BT1906">
        <f>IF(AND(1893&lt;$U$9,$W$5),BQ1906*1000000-MIN(BR1906,999)*1000+BS1906-1893/100000,-1000000000-1893)</f>
        <v/>
      </c>
    </row>
    <row r="1907">
      <c r="BN1907">
        <f>IF(1894&lt;$U$9,INT(1894/($U$7*$U$8))+1,1)</f>
        <v/>
      </c>
      <c r="BO1907">
        <f>IF(1894&lt;$U$9,MOD(INT(1894/$U$8),$U$7)+1,1)</f>
        <v/>
      </c>
      <c r="BP1907">
        <f>IF(1894&lt;$U$9,MOD(1894,$U$8)+1,1)</f>
        <v/>
      </c>
      <c r="BQ1907">
        <f>IF(1894&lt;$U$9,SUMPRODUCT(($D$10:$L$10&lt;&gt;"")*(($D$9:$L$9+INT(($S$12:$AA$12+INDEX($AJ$13:$AR$162,BN1907,0)+INDEX($AT$13:$BB$162,BO1907,0)+INDEX($BD$13:$BL$162,BP1907,0))/100))&gt;=$D$10:$L$10)),0)</f>
        <v/>
      </c>
      <c r="BR1907">
        <f>IF(1894&lt;$U$9,SUMPRODUCT(($D$10:$L$10&lt;&gt;"")*(($D$10:$L$10-($D$9:$L$9+INT(($S$12:$AA$12+INDEX($AJ$13:$AR$162,BN1907,0)+INDEX($AT$13:$BB$162,BO1907,0)+INDEX($BD$13:$BL$162,BP1907,0))/100)))&gt;0)*($D$10:$L$10-($D$9:$L$9+INT(($S$12:$AA$12+INDEX($AJ$13:$AR$162,BN1907,0)+INDEX($AT$13:$BB$162,BO1907,0)+INDEX($BD$13:$BL$162,BP1907,0))/100)))),0)</f>
        <v/>
      </c>
      <c r="BS1907">
        <f>IF(1894&lt;$U$9,SUMPRODUCT(($D$9:$L$9+INT(($S$12:$AA$12+INDEX($AJ$13:$AR$162,BN1907,0)+INDEX($AT$13:$BB$162,BO1907,0)+INDEX($BD$13:$BL$162,BP1907,0))/100))),0)</f>
        <v/>
      </c>
      <c r="BT1907">
        <f>IF(AND(1894&lt;$U$9,$W$5),BQ1907*1000000-MIN(BR1907,999)*1000+BS1907-1894/100000,-1000000000-1894)</f>
        <v/>
      </c>
    </row>
    <row r="1908">
      <c r="BN1908">
        <f>IF(1895&lt;$U$9,INT(1895/($U$7*$U$8))+1,1)</f>
        <v/>
      </c>
      <c r="BO1908">
        <f>IF(1895&lt;$U$9,MOD(INT(1895/$U$8),$U$7)+1,1)</f>
        <v/>
      </c>
      <c r="BP1908">
        <f>IF(1895&lt;$U$9,MOD(1895,$U$8)+1,1)</f>
        <v/>
      </c>
      <c r="BQ1908">
        <f>IF(1895&lt;$U$9,SUMPRODUCT(($D$10:$L$10&lt;&gt;"")*(($D$9:$L$9+INT(($S$12:$AA$12+INDEX($AJ$13:$AR$162,BN1908,0)+INDEX($AT$13:$BB$162,BO1908,0)+INDEX($BD$13:$BL$162,BP1908,0))/100))&gt;=$D$10:$L$10)),0)</f>
        <v/>
      </c>
      <c r="BR1908">
        <f>IF(1895&lt;$U$9,SUMPRODUCT(($D$10:$L$10&lt;&gt;"")*(($D$10:$L$10-($D$9:$L$9+INT(($S$12:$AA$12+INDEX($AJ$13:$AR$162,BN1908,0)+INDEX($AT$13:$BB$162,BO1908,0)+INDEX($BD$13:$BL$162,BP1908,0))/100)))&gt;0)*($D$10:$L$10-($D$9:$L$9+INT(($S$12:$AA$12+INDEX($AJ$13:$AR$162,BN1908,0)+INDEX($AT$13:$BB$162,BO1908,0)+INDEX($BD$13:$BL$162,BP1908,0))/100)))),0)</f>
        <v/>
      </c>
      <c r="BS1908">
        <f>IF(1895&lt;$U$9,SUMPRODUCT(($D$9:$L$9+INT(($S$12:$AA$12+INDEX($AJ$13:$AR$162,BN1908,0)+INDEX($AT$13:$BB$162,BO1908,0)+INDEX($BD$13:$BL$162,BP1908,0))/100))),0)</f>
        <v/>
      </c>
      <c r="BT1908">
        <f>IF(AND(1895&lt;$U$9,$W$5),BQ1908*1000000-MIN(BR1908,999)*1000+BS1908-1895/100000,-1000000000-1895)</f>
        <v/>
      </c>
    </row>
    <row r="1909">
      <c r="BN1909">
        <f>IF(1896&lt;$U$9,INT(1896/($U$7*$U$8))+1,1)</f>
        <v/>
      </c>
      <c r="BO1909">
        <f>IF(1896&lt;$U$9,MOD(INT(1896/$U$8),$U$7)+1,1)</f>
        <v/>
      </c>
      <c r="BP1909">
        <f>IF(1896&lt;$U$9,MOD(1896,$U$8)+1,1)</f>
        <v/>
      </c>
      <c r="BQ1909">
        <f>IF(1896&lt;$U$9,SUMPRODUCT(($D$10:$L$10&lt;&gt;"")*(($D$9:$L$9+INT(($S$12:$AA$12+INDEX($AJ$13:$AR$162,BN1909,0)+INDEX($AT$13:$BB$162,BO1909,0)+INDEX($BD$13:$BL$162,BP1909,0))/100))&gt;=$D$10:$L$10)),0)</f>
        <v/>
      </c>
      <c r="BR1909">
        <f>IF(1896&lt;$U$9,SUMPRODUCT(($D$10:$L$10&lt;&gt;"")*(($D$10:$L$10-($D$9:$L$9+INT(($S$12:$AA$12+INDEX($AJ$13:$AR$162,BN1909,0)+INDEX($AT$13:$BB$162,BO1909,0)+INDEX($BD$13:$BL$162,BP1909,0))/100)))&gt;0)*($D$10:$L$10-($D$9:$L$9+INT(($S$12:$AA$12+INDEX($AJ$13:$AR$162,BN1909,0)+INDEX($AT$13:$BB$162,BO1909,0)+INDEX($BD$13:$BL$162,BP1909,0))/100)))),0)</f>
        <v/>
      </c>
      <c r="BS1909">
        <f>IF(1896&lt;$U$9,SUMPRODUCT(($D$9:$L$9+INT(($S$12:$AA$12+INDEX($AJ$13:$AR$162,BN1909,0)+INDEX($AT$13:$BB$162,BO1909,0)+INDEX($BD$13:$BL$162,BP1909,0))/100))),0)</f>
        <v/>
      </c>
      <c r="BT1909">
        <f>IF(AND(1896&lt;$U$9,$W$5),BQ1909*1000000-MIN(BR1909,999)*1000+BS1909-1896/100000,-1000000000-1896)</f>
        <v/>
      </c>
    </row>
    <row r="1910">
      <c r="BN1910">
        <f>IF(1897&lt;$U$9,INT(1897/($U$7*$U$8))+1,1)</f>
        <v/>
      </c>
      <c r="BO1910">
        <f>IF(1897&lt;$U$9,MOD(INT(1897/$U$8),$U$7)+1,1)</f>
        <v/>
      </c>
      <c r="BP1910">
        <f>IF(1897&lt;$U$9,MOD(1897,$U$8)+1,1)</f>
        <v/>
      </c>
      <c r="BQ1910">
        <f>IF(1897&lt;$U$9,SUMPRODUCT(($D$10:$L$10&lt;&gt;"")*(($D$9:$L$9+INT(($S$12:$AA$12+INDEX($AJ$13:$AR$162,BN1910,0)+INDEX($AT$13:$BB$162,BO1910,0)+INDEX($BD$13:$BL$162,BP1910,0))/100))&gt;=$D$10:$L$10)),0)</f>
        <v/>
      </c>
      <c r="BR1910">
        <f>IF(1897&lt;$U$9,SUMPRODUCT(($D$10:$L$10&lt;&gt;"")*(($D$10:$L$10-($D$9:$L$9+INT(($S$12:$AA$12+INDEX($AJ$13:$AR$162,BN1910,0)+INDEX($AT$13:$BB$162,BO1910,0)+INDEX($BD$13:$BL$162,BP1910,0))/100)))&gt;0)*($D$10:$L$10-($D$9:$L$9+INT(($S$12:$AA$12+INDEX($AJ$13:$AR$162,BN1910,0)+INDEX($AT$13:$BB$162,BO1910,0)+INDEX($BD$13:$BL$162,BP1910,0))/100)))),0)</f>
        <v/>
      </c>
      <c r="BS1910">
        <f>IF(1897&lt;$U$9,SUMPRODUCT(($D$9:$L$9+INT(($S$12:$AA$12+INDEX($AJ$13:$AR$162,BN1910,0)+INDEX($AT$13:$BB$162,BO1910,0)+INDEX($BD$13:$BL$162,BP1910,0))/100))),0)</f>
        <v/>
      </c>
      <c r="BT1910">
        <f>IF(AND(1897&lt;$U$9,$W$5),BQ1910*1000000-MIN(BR1910,999)*1000+BS1910-1897/100000,-1000000000-1897)</f>
        <v/>
      </c>
    </row>
    <row r="1911">
      <c r="BN1911">
        <f>IF(1898&lt;$U$9,INT(1898/($U$7*$U$8))+1,1)</f>
        <v/>
      </c>
      <c r="BO1911">
        <f>IF(1898&lt;$U$9,MOD(INT(1898/$U$8),$U$7)+1,1)</f>
        <v/>
      </c>
      <c r="BP1911">
        <f>IF(1898&lt;$U$9,MOD(1898,$U$8)+1,1)</f>
        <v/>
      </c>
      <c r="BQ1911">
        <f>IF(1898&lt;$U$9,SUMPRODUCT(($D$10:$L$10&lt;&gt;"")*(($D$9:$L$9+INT(($S$12:$AA$12+INDEX($AJ$13:$AR$162,BN1911,0)+INDEX($AT$13:$BB$162,BO1911,0)+INDEX($BD$13:$BL$162,BP1911,0))/100))&gt;=$D$10:$L$10)),0)</f>
        <v/>
      </c>
      <c r="BR1911">
        <f>IF(1898&lt;$U$9,SUMPRODUCT(($D$10:$L$10&lt;&gt;"")*(($D$10:$L$10-($D$9:$L$9+INT(($S$12:$AA$12+INDEX($AJ$13:$AR$162,BN1911,0)+INDEX($AT$13:$BB$162,BO1911,0)+INDEX($BD$13:$BL$162,BP1911,0))/100)))&gt;0)*($D$10:$L$10-($D$9:$L$9+INT(($S$12:$AA$12+INDEX($AJ$13:$AR$162,BN1911,0)+INDEX($AT$13:$BB$162,BO1911,0)+INDEX($BD$13:$BL$162,BP1911,0))/100)))),0)</f>
        <v/>
      </c>
      <c r="BS1911">
        <f>IF(1898&lt;$U$9,SUMPRODUCT(($D$9:$L$9+INT(($S$12:$AA$12+INDEX($AJ$13:$AR$162,BN1911,0)+INDEX($AT$13:$BB$162,BO1911,0)+INDEX($BD$13:$BL$162,BP1911,0))/100))),0)</f>
        <v/>
      </c>
      <c r="BT1911">
        <f>IF(AND(1898&lt;$U$9,$W$5),BQ1911*1000000-MIN(BR1911,999)*1000+BS1911-1898/100000,-1000000000-1898)</f>
        <v/>
      </c>
    </row>
    <row r="1912">
      <c r="BN1912">
        <f>IF(1899&lt;$U$9,INT(1899/($U$7*$U$8))+1,1)</f>
        <v/>
      </c>
      <c r="BO1912">
        <f>IF(1899&lt;$U$9,MOD(INT(1899/$U$8),$U$7)+1,1)</f>
        <v/>
      </c>
      <c r="BP1912">
        <f>IF(1899&lt;$U$9,MOD(1899,$U$8)+1,1)</f>
        <v/>
      </c>
      <c r="BQ1912">
        <f>IF(1899&lt;$U$9,SUMPRODUCT(($D$10:$L$10&lt;&gt;"")*(($D$9:$L$9+INT(($S$12:$AA$12+INDEX($AJ$13:$AR$162,BN1912,0)+INDEX($AT$13:$BB$162,BO1912,0)+INDEX($BD$13:$BL$162,BP1912,0))/100))&gt;=$D$10:$L$10)),0)</f>
        <v/>
      </c>
      <c r="BR1912">
        <f>IF(1899&lt;$U$9,SUMPRODUCT(($D$10:$L$10&lt;&gt;"")*(($D$10:$L$10-($D$9:$L$9+INT(($S$12:$AA$12+INDEX($AJ$13:$AR$162,BN1912,0)+INDEX($AT$13:$BB$162,BO1912,0)+INDEX($BD$13:$BL$162,BP1912,0))/100)))&gt;0)*($D$10:$L$10-($D$9:$L$9+INT(($S$12:$AA$12+INDEX($AJ$13:$AR$162,BN1912,0)+INDEX($AT$13:$BB$162,BO1912,0)+INDEX($BD$13:$BL$162,BP1912,0))/100)))),0)</f>
        <v/>
      </c>
      <c r="BS1912">
        <f>IF(1899&lt;$U$9,SUMPRODUCT(($D$9:$L$9+INT(($S$12:$AA$12+INDEX($AJ$13:$AR$162,BN1912,0)+INDEX($AT$13:$BB$162,BO1912,0)+INDEX($BD$13:$BL$162,BP1912,0))/100))),0)</f>
        <v/>
      </c>
      <c r="BT1912">
        <f>IF(AND(1899&lt;$U$9,$W$5),BQ1912*1000000-MIN(BR1912,999)*1000+BS1912-1899/100000,-1000000000-1899)</f>
        <v/>
      </c>
    </row>
    <row r="1913">
      <c r="BN1913">
        <f>IF(1900&lt;$U$9,INT(1900/($U$7*$U$8))+1,1)</f>
        <v/>
      </c>
      <c r="BO1913">
        <f>IF(1900&lt;$U$9,MOD(INT(1900/$U$8),$U$7)+1,1)</f>
        <v/>
      </c>
      <c r="BP1913">
        <f>IF(1900&lt;$U$9,MOD(1900,$U$8)+1,1)</f>
        <v/>
      </c>
      <c r="BQ1913">
        <f>IF(1900&lt;$U$9,SUMPRODUCT(($D$10:$L$10&lt;&gt;"")*(($D$9:$L$9+INT(($S$12:$AA$12+INDEX($AJ$13:$AR$162,BN1913,0)+INDEX($AT$13:$BB$162,BO1913,0)+INDEX($BD$13:$BL$162,BP1913,0))/100))&gt;=$D$10:$L$10)),0)</f>
        <v/>
      </c>
      <c r="BR1913">
        <f>IF(1900&lt;$U$9,SUMPRODUCT(($D$10:$L$10&lt;&gt;"")*(($D$10:$L$10-($D$9:$L$9+INT(($S$12:$AA$12+INDEX($AJ$13:$AR$162,BN1913,0)+INDEX($AT$13:$BB$162,BO1913,0)+INDEX($BD$13:$BL$162,BP1913,0))/100)))&gt;0)*($D$10:$L$10-($D$9:$L$9+INT(($S$12:$AA$12+INDEX($AJ$13:$AR$162,BN1913,0)+INDEX($AT$13:$BB$162,BO1913,0)+INDEX($BD$13:$BL$162,BP1913,0))/100)))),0)</f>
        <v/>
      </c>
      <c r="BS1913">
        <f>IF(1900&lt;$U$9,SUMPRODUCT(($D$9:$L$9+INT(($S$12:$AA$12+INDEX($AJ$13:$AR$162,BN1913,0)+INDEX($AT$13:$BB$162,BO1913,0)+INDEX($BD$13:$BL$162,BP1913,0))/100))),0)</f>
        <v/>
      </c>
      <c r="BT1913">
        <f>IF(AND(1900&lt;$U$9,$W$5),BQ1913*1000000-MIN(BR1913,999)*1000+BS1913-1900/100000,-1000000000-1900)</f>
        <v/>
      </c>
    </row>
    <row r="1914">
      <c r="BN1914">
        <f>IF(1901&lt;$U$9,INT(1901/($U$7*$U$8))+1,1)</f>
        <v/>
      </c>
      <c r="BO1914">
        <f>IF(1901&lt;$U$9,MOD(INT(1901/$U$8),$U$7)+1,1)</f>
        <v/>
      </c>
      <c r="BP1914">
        <f>IF(1901&lt;$U$9,MOD(1901,$U$8)+1,1)</f>
        <v/>
      </c>
      <c r="BQ1914">
        <f>IF(1901&lt;$U$9,SUMPRODUCT(($D$10:$L$10&lt;&gt;"")*(($D$9:$L$9+INT(($S$12:$AA$12+INDEX($AJ$13:$AR$162,BN1914,0)+INDEX($AT$13:$BB$162,BO1914,0)+INDEX($BD$13:$BL$162,BP1914,0))/100))&gt;=$D$10:$L$10)),0)</f>
        <v/>
      </c>
      <c r="BR1914">
        <f>IF(1901&lt;$U$9,SUMPRODUCT(($D$10:$L$10&lt;&gt;"")*(($D$10:$L$10-($D$9:$L$9+INT(($S$12:$AA$12+INDEX($AJ$13:$AR$162,BN1914,0)+INDEX($AT$13:$BB$162,BO1914,0)+INDEX($BD$13:$BL$162,BP1914,0))/100)))&gt;0)*($D$10:$L$10-($D$9:$L$9+INT(($S$12:$AA$12+INDEX($AJ$13:$AR$162,BN1914,0)+INDEX($AT$13:$BB$162,BO1914,0)+INDEX($BD$13:$BL$162,BP1914,0))/100)))),0)</f>
        <v/>
      </c>
      <c r="BS1914">
        <f>IF(1901&lt;$U$9,SUMPRODUCT(($D$9:$L$9+INT(($S$12:$AA$12+INDEX($AJ$13:$AR$162,BN1914,0)+INDEX($AT$13:$BB$162,BO1914,0)+INDEX($BD$13:$BL$162,BP1914,0))/100))),0)</f>
        <v/>
      </c>
      <c r="BT1914">
        <f>IF(AND(1901&lt;$U$9,$W$5),BQ1914*1000000-MIN(BR1914,999)*1000+BS1914-1901/100000,-1000000000-1901)</f>
        <v/>
      </c>
    </row>
    <row r="1915">
      <c r="BN1915">
        <f>IF(1902&lt;$U$9,INT(1902/($U$7*$U$8))+1,1)</f>
        <v/>
      </c>
      <c r="BO1915">
        <f>IF(1902&lt;$U$9,MOD(INT(1902/$U$8),$U$7)+1,1)</f>
        <v/>
      </c>
      <c r="BP1915">
        <f>IF(1902&lt;$U$9,MOD(1902,$U$8)+1,1)</f>
        <v/>
      </c>
      <c r="BQ1915">
        <f>IF(1902&lt;$U$9,SUMPRODUCT(($D$10:$L$10&lt;&gt;"")*(($D$9:$L$9+INT(($S$12:$AA$12+INDEX($AJ$13:$AR$162,BN1915,0)+INDEX($AT$13:$BB$162,BO1915,0)+INDEX($BD$13:$BL$162,BP1915,0))/100))&gt;=$D$10:$L$10)),0)</f>
        <v/>
      </c>
      <c r="BR1915">
        <f>IF(1902&lt;$U$9,SUMPRODUCT(($D$10:$L$10&lt;&gt;"")*(($D$10:$L$10-($D$9:$L$9+INT(($S$12:$AA$12+INDEX($AJ$13:$AR$162,BN1915,0)+INDEX($AT$13:$BB$162,BO1915,0)+INDEX($BD$13:$BL$162,BP1915,0))/100)))&gt;0)*($D$10:$L$10-($D$9:$L$9+INT(($S$12:$AA$12+INDEX($AJ$13:$AR$162,BN1915,0)+INDEX($AT$13:$BB$162,BO1915,0)+INDEX($BD$13:$BL$162,BP1915,0))/100)))),0)</f>
        <v/>
      </c>
      <c r="BS1915">
        <f>IF(1902&lt;$U$9,SUMPRODUCT(($D$9:$L$9+INT(($S$12:$AA$12+INDEX($AJ$13:$AR$162,BN1915,0)+INDEX($AT$13:$BB$162,BO1915,0)+INDEX($BD$13:$BL$162,BP1915,0))/100))),0)</f>
        <v/>
      </c>
      <c r="BT1915">
        <f>IF(AND(1902&lt;$U$9,$W$5),BQ1915*1000000-MIN(BR1915,999)*1000+BS1915-1902/100000,-1000000000-1902)</f>
        <v/>
      </c>
    </row>
    <row r="1916">
      <c r="BN1916">
        <f>IF(1903&lt;$U$9,INT(1903/($U$7*$U$8))+1,1)</f>
        <v/>
      </c>
      <c r="BO1916">
        <f>IF(1903&lt;$U$9,MOD(INT(1903/$U$8),$U$7)+1,1)</f>
        <v/>
      </c>
      <c r="BP1916">
        <f>IF(1903&lt;$U$9,MOD(1903,$U$8)+1,1)</f>
        <v/>
      </c>
      <c r="BQ1916">
        <f>IF(1903&lt;$U$9,SUMPRODUCT(($D$10:$L$10&lt;&gt;"")*(($D$9:$L$9+INT(($S$12:$AA$12+INDEX($AJ$13:$AR$162,BN1916,0)+INDEX($AT$13:$BB$162,BO1916,0)+INDEX($BD$13:$BL$162,BP1916,0))/100))&gt;=$D$10:$L$10)),0)</f>
        <v/>
      </c>
      <c r="BR1916">
        <f>IF(1903&lt;$U$9,SUMPRODUCT(($D$10:$L$10&lt;&gt;"")*(($D$10:$L$10-($D$9:$L$9+INT(($S$12:$AA$12+INDEX($AJ$13:$AR$162,BN1916,0)+INDEX($AT$13:$BB$162,BO1916,0)+INDEX($BD$13:$BL$162,BP1916,0))/100)))&gt;0)*($D$10:$L$10-($D$9:$L$9+INT(($S$12:$AA$12+INDEX($AJ$13:$AR$162,BN1916,0)+INDEX($AT$13:$BB$162,BO1916,0)+INDEX($BD$13:$BL$162,BP1916,0))/100)))),0)</f>
        <v/>
      </c>
      <c r="BS1916">
        <f>IF(1903&lt;$U$9,SUMPRODUCT(($D$9:$L$9+INT(($S$12:$AA$12+INDEX($AJ$13:$AR$162,BN1916,0)+INDEX($AT$13:$BB$162,BO1916,0)+INDEX($BD$13:$BL$162,BP1916,0))/100))),0)</f>
        <v/>
      </c>
      <c r="BT1916">
        <f>IF(AND(1903&lt;$U$9,$W$5),BQ1916*1000000-MIN(BR1916,999)*1000+BS1916-1903/100000,-1000000000-1903)</f>
        <v/>
      </c>
    </row>
    <row r="1917">
      <c r="BN1917">
        <f>IF(1904&lt;$U$9,INT(1904/($U$7*$U$8))+1,1)</f>
        <v/>
      </c>
      <c r="BO1917">
        <f>IF(1904&lt;$U$9,MOD(INT(1904/$U$8),$U$7)+1,1)</f>
        <v/>
      </c>
      <c r="BP1917">
        <f>IF(1904&lt;$U$9,MOD(1904,$U$8)+1,1)</f>
        <v/>
      </c>
      <c r="BQ1917">
        <f>IF(1904&lt;$U$9,SUMPRODUCT(($D$10:$L$10&lt;&gt;"")*(($D$9:$L$9+INT(($S$12:$AA$12+INDEX($AJ$13:$AR$162,BN1917,0)+INDEX($AT$13:$BB$162,BO1917,0)+INDEX($BD$13:$BL$162,BP1917,0))/100))&gt;=$D$10:$L$10)),0)</f>
        <v/>
      </c>
      <c r="BR1917">
        <f>IF(1904&lt;$U$9,SUMPRODUCT(($D$10:$L$10&lt;&gt;"")*(($D$10:$L$10-($D$9:$L$9+INT(($S$12:$AA$12+INDEX($AJ$13:$AR$162,BN1917,0)+INDEX($AT$13:$BB$162,BO1917,0)+INDEX($BD$13:$BL$162,BP1917,0))/100)))&gt;0)*($D$10:$L$10-($D$9:$L$9+INT(($S$12:$AA$12+INDEX($AJ$13:$AR$162,BN1917,0)+INDEX($AT$13:$BB$162,BO1917,0)+INDEX($BD$13:$BL$162,BP1917,0))/100)))),0)</f>
        <v/>
      </c>
      <c r="BS1917">
        <f>IF(1904&lt;$U$9,SUMPRODUCT(($D$9:$L$9+INT(($S$12:$AA$12+INDEX($AJ$13:$AR$162,BN1917,0)+INDEX($AT$13:$BB$162,BO1917,0)+INDEX($BD$13:$BL$162,BP1917,0))/100))),0)</f>
        <v/>
      </c>
      <c r="BT1917">
        <f>IF(AND(1904&lt;$U$9,$W$5),BQ1917*1000000-MIN(BR1917,999)*1000+BS1917-1904/100000,-1000000000-1904)</f>
        <v/>
      </c>
    </row>
    <row r="1918">
      <c r="BN1918">
        <f>IF(1905&lt;$U$9,INT(1905/($U$7*$U$8))+1,1)</f>
        <v/>
      </c>
      <c r="BO1918">
        <f>IF(1905&lt;$U$9,MOD(INT(1905/$U$8),$U$7)+1,1)</f>
        <v/>
      </c>
      <c r="BP1918">
        <f>IF(1905&lt;$U$9,MOD(1905,$U$8)+1,1)</f>
        <v/>
      </c>
      <c r="BQ1918">
        <f>IF(1905&lt;$U$9,SUMPRODUCT(($D$10:$L$10&lt;&gt;"")*(($D$9:$L$9+INT(($S$12:$AA$12+INDEX($AJ$13:$AR$162,BN1918,0)+INDEX($AT$13:$BB$162,BO1918,0)+INDEX($BD$13:$BL$162,BP1918,0))/100))&gt;=$D$10:$L$10)),0)</f>
        <v/>
      </c>
      <c r="BR1918">
        <f>IF(1905&lt;$U$9,SUMPRODUCT(($D$10:$L$10&lt;&gt;"")*(($D$10:$L$10-($D$9:$L$9+INT(($S$12:$AA$12+INDEX($AJ$13:$AR$162,BN1918,0)+INDEX($AT$13:$BB$162,BO1918,0)+INDEX($BD$13:$BL$162,BP1918,0))/100)))&gt;0)*($D$10:$L$10-($D$9:$L$9+INT(($S$12:$AA$12+INDEX($AJ$13:$AR$162,BN1918,0)+INDEX($AT$13:$BB$162,BO1918,0)+INDEX($BD$13:$BL$162,BP1918,0))/100)))),0)</f>
        <v/>
      </c>
      <c r="BS1918">
        <f>IF(1905&lt;$U$9,SUMPRODUCT(($D$9:$L$9+INT(($S$12:$AA$12+INDEX($AJ$13:$AR$162,BN1918,0)+INDEX($AT$13:$BB$162,BO1918,0)+INDEX($BD$13:$BL$162,BP1918,0))/100))),0)</f>
        <v/>
      </c>
      <c r="BT1918">
        <f>IF(AND(1905&lt;$U$9,$W$5),BQ1918*1000000-MIN(BR1918,999)*1000+BS1918-1905/100000,-1000000000-1905)</f>
        <v/>
      </c>
    </row>
    <row r="1919">
      <c r="BN1919">
        <f>IF(1906&lt;$U$9,INT(1906/($U$7*$U$8))+1,1)</f>
        <v/>
      </c>
      <c r="BO1919">
        <f>IF(1906&lt;$U$9,MOD(INT(1906/$U$8),$U$7)+1,1)</f>
        <v/>
      </c>
      <c r="BP1919">
        <f>IF(1906&lt;$U$9,MOD(1906,$U$8)+1,1)</f>
        <v/>
      </c>
      <c r="BQ1919">
        <f>IF(1906&lt;$U$9,SUMPRODUCT(($D$10:$L$10&lt;&gt;"")*(($D$9:$L$9+INT(($S$12:$AA$12+INDEX($AJ$13:$AR$162,BN1919,0)+INDEX($AT$13:$BB$162,BO1919,0)+INDEX($BD$13:$BL$162,BP1919,0))/100))&gt;=$D$10:$L$10)),0)</f>
        <v/>
      </c>
      <c r="BR1919">
        <f>IF(1906&lt;$U$9,SUMPRODUCT(($D$10:$L$10&lt;&gt;"")*(($D$10:$L$10-($D$9:$L$9+INT(($S$12:$AA$12+INDEX($AJ$13:$AR$162,BN1919,0)+INDEX($AT$13:$BB$162,BO1919,0)+INDEX($BD$13:$BL$162,BP1919,0))/100)))&gt;0)*($D$10:$L$10-($D$9:$L$9+INT(($S$12:$AA$12+INDEX($AJ$13:$AR$162,BN1919,0)+INDEX($AT$13:$BB$162,BO1919,0)+INDEX($BD$13:$BL$162,BP1919,0))/100)))),0)</f>
        <v/>
      </c>
      <c r="BS1919">
        <f>IF(1906&lt;$U$9,SUMPRODUCT(($D$9:$L$9+INT(($S$12:$AA$12+INDEX($AJ$13:$AR$162,BN1919,0)+INDEX($AT$13:$BB$162,BO1919,0)+INDEX($BD$13:$BL$162,BP1919,0))/100))),0)</f>
        <v/>
      </c>
      <c r="BT1919">
        <f>IF(AND(1906&lt;$U$9,$W$5),BQ1919*1000000-MIN(BR1919,999)*1000+BS1919-1906/100000,-1000000000-1906)</f>
        <v/>
      </c>
    </row>
    <row r="1920">
      <c r="BN1920">
        <f>IF(1907&lt;$U$9,INT(1907/($U$7*$U$8))+1,1)</f>
        <v/>
      </c>
      <c r="BO1920">
        <f>IF(1907&lt;$U$9,MOD(INT(1907/$U$8),$U$7)+1,1)</f>
        <v/>
      </c>
      <c r="BP1920">
        <f>IF(1907&lt;$U$9,MOD(1907,$U$8)+1,1)</f>
        <v/>
      </c>
      <c r="BQ1920">
        <f>IF(1907&lt;$U$9,SUMPRODUCT(($D$10:$L$10&lt;&gt;"")*(($D$9:$L$9+INT(($S$12:$AA$12+INDEX($AJ$13:$AR$162,BN1920,0)+INDEX($AT$13:$BB$162,BO1920,0)+INDEX($BD$13:$BL$162,BP1920,0))/100))&gt;=$D$10:$L$10)),0)</f>
        <v/>
      </c>
      <c r="BR1920">
        <f>IF(1907&lt;$U$9,SUMPRODUCT(($D$10:$L$10&lt;&gt;"")*(($D$10:$L$10-($D$9:$L$9+INT(($S$12:$AA$12+INDEX($AJ$13:$AR$162,BN1920,0)+INDEX($AT$13:$BB$162,BO1920,0)+INDEX($BD$13:$BL$162,BP1920,0))/100)))&gt;0)*($D$10:$L$10-($D$9:$L$9+INT(($S$12:$AA$12+INDEX($AJ$13:$AR$162,BN1920,0)+INDEX($AT$13:$BB$162,BO1920,0)+INDEX($BD$13:$BL$162,BP1920,0))/100)))),0)</f>
        <v/>
      </c>
      <c r="BS1920">
        <f>IF(1907&lt;$U$9,SUMPRODUCT(($D$9:$L$9+INT(($S$12:$AA$12+INDEX($AJ$13:$AR$162,BN1920,0)+INDEX($AT$13:$BB$162,BO1920,0)+INDEX($BD$13:$BL$162,BP1920,0))/100))),0)</f>
        <v/>
      </c>
      <c r="BT1920">
        <f>IF(AND(1907&lt;$U$9,$W$5),BQ1920*1000000-MIN(BR1920,999)*1000+BS1920-1907/100000,-1000000000-1907)</f>
        <v/>
      </c>
    </row>
    <row r="1921">
      <c r="BN1921">
        <f>IF(1908&lt;$U$9,INT(1908/($U$7*$U$8))+1,1)</f>
        <v/>
      </c>
      <c r="BO1921">
        <f>IF(1908&lt;$U$9,MOD(INT(1908/$U$8),$U$7)+1,1)</f>
        <v/>
      </c>
      <c r="BP1921">
        <f>IF(1908&lt;$U$9,MOD(1908,$U$8)+1,1)</f>
        <v/>
      </c>
      <c r="BQ1921">
        <f>IF(1908&lt;$U$9,SUMPRODUCT(($D$10:$L$10&lt;&gt;"")*(($D$9:$L$9+INT(($S$12:$AA$12+INDEX($AJ$13:$AR$162,BN1921,0)+INDEX($AT$13:$BB$162,BO1921,0)+INDEX($BD$13:$BL$162,BP1921,0))/100))&gt;=$D$10:$L$10)),0)</f>
        <v/>
      </c>
      <c r="BR1921">
        <f>IF(1908&lt;$U$9,SUMPRODUCT(($D$10:$L$10&lt;&gt;"")*(($D$10:$L$10-($D$9:$L$9+INT(($S$12:$AA$12+INDEX($AJ$13:$AR$162,BN1921,0)+INDEX($AT$13:$BB$162,BO1921,0)+INDEX($BD$13:$BL$162,BP1921,0))/100)))&gt;0)*($D$10:$L$10-($D$9:$L$9+INT(($S$12:$AA$12+INDEX($AJ$13:$AR$162,BN1921,0)+INDEX($AT$13:$BB$162,BO1921,0)+INDEX($BD$13:$BL$162,BP1921,0))/100)))),0)</f>
        <v/>
      </c>
      <c r="BS1921">
        <f>IF(1908&lt;$U$9,SUMPRODUCT(($D$9:$L$9+INT(($S$12:$AA$12+INDEX($AJ$13:$AR$162,BN1921,0)+INDEX($AT$13:$BB$162,BO1921,0)+INDEX($BD$13:$BL$162,BP1921,0))/100))),0)</f>
        <v/>
      </c>
      <c r="BT1921">
        <f>IF(AND(1908&lt;$U$9,$W$5),BQ1921*1000000-MIN(BR1921,999)*1000+BS1921-1908/100000,-1000000000-1908)</f>
        <v/>
      </c>
    </row>
    <row r="1922">
      <c r="BN1922">
        <f>IF(1909&lt;$U$9,INT(1909/($U$7*$U$8))+1,1)</f>
        <v/>
      </c>
      <c r="BO1922">
        <f>IF(1909&lt;$U$9,MOD(INT(1909/$U$8),$U$7)+1,1)</f>
        <v/>
      </c>
      <c r="BP1922">
        <f>IF(1909&lt;$U$9,MOD(1909,$U$8)+1,1)</f>
        <v/>
      </c>
      <c r="BQ1922">
        <f>IF(1909&lt;$U$9,SUMPRODUCT(($D$10:$L$10&lt;&gt;"")*(($D$9:$L$9+INT(($S$12:$AA$12+INDEX($AJ$13:$AR$162,BN1922,0)+INDEX($AT$13:$BB$162,BO1922,0)+INDEX($BD$13:$BL$162,BP1922,0))/100))&gt;=$D$10:$L$10)),0)</f>
        <v/>
      </c>
      <c r="BR1922">
        <f>IF(1909&lt;$U$9,SUMPRODUCT(($D$10:$L$10&lt;&gt;"")*(($D$10:$L$10-($D$9:$L$9+INT(($S$12:$AA$12+INDEX($AJ$13:$AR$162,BN1922,0)+INDEX($AT$13:$BB$162,BO1922,0)+INDEX($BD$13:$BL$162,BP1922,0))/100)))&gt;0)*($D$10:$L$10-($D$9:$L$9+INT(($S$12:$AA$12+INDEX($AJ$13:$AR$162,BN1922,0)+INDEX($AT$13:$BB$162,BO1922,0)+INDEX($BD$13:$BL$162,BP1922,0))/100)))),0)</f>
        <v/>
      </c>
      <c r="BS1922">
        <f>IF(1909&lt;$U$9,SUMPRODUCT(($D$9:$L$9+INT(($S$12:$AA$12+INDEX($AJ$13:$AR$162,BN1922,0)+INDEX($AT$13:$BB$162,BO1922,0)+INDEX($BD$13:$BL$162,BP1922,0))/100))),0)</f>
        <v/>
      </c>
      <c r="BT1922">
        <f>IF(AND(1909&lt;$U$9,$W$5),BQ1922*1000000-MIN(BR1922,999)*1000+BS1922-1909/100000,-1000000000-1909)</f>
        <v/>
      </c>
    </row>
    <row r="1923">
      <c r="BN1923">
        <f>IF(1910&lt;$U$9,INT(1910/($U$7*$U$8))+1,1)</f>
        <v/>
      </c>
      <c r="BO1923">
        <f>IF(1910&lt;$U$9,MOD(INT(1910/$U$8),$U$7)+1,1)</f>
        <v/>
      </c>
      <c r="BP1923">
        <f>IF(1910&lt;$U$9,MOD(1910,$U$8)+1,1)</f>
        <v/>
      </c>
      <c r="BQ1923">
        <f>IF(1910&lt;$U$9,SUMPRODUCT(($D$10:$L$10&lt;&gt;"")*(($D$9:$L$9+INT(($S$12:$AA$12+INDEX($AJ$13:$AR$162,BN1923,0)+INDEX($AT$13:$BB$162,BO1923,0)+INDEX($BD$13:$BL$162,BP1923,0))/100))&gt;=$D$10:$L$10)),0)</f>
        <v/>
      </c>
      <c r="BR1923">
        <f>IF(1910&lt;$U$9,SUMPRODUCT(($D$10:$L$10&lt;&gt;"")*(($D$10:$L$10-($D$9:$L$9+INT(($S$12:$AA$12+INDEX($AJ$13:$AR$162,BN1923,0)+INDEX($AT$13:$BB$162,BO1923,0)+INDEX($BD$13:$BL$162,BP1923,0))/100)))&gt;0)*($D$10:$L$10-($D$9:$L$9+INT(($S$12:$AA$12+INDEX($AJ$13:$AR$162,BN1923,0)+INDEX($AT$13:$BB$162,BO1923,0)+INDEX($BD$13:$BL$162,BP1923,0))/100)))),0)</f>
        <v/>
      </c>
      <c r="BS1923">
        <f>IF(1910&lt;$U$9,SUMPRODUCT(($D$9:$L$9+INT(($S$12:$AA$12+INDEX($AJ$13:$AR$162,BN1923,0)+INDEX($AT$13:$BB$162,BO1923,0)+INDEX($BD$13:$BL$162,BP1923,0))/100))),0)</f>
        <v/>
      </c>
      <c r="BT1923">
        <f>IF(AND(1910&lt;$U$9,$W$5),BQ1923*1000000-MIN(BR1923,999)*1000+BS1923-1910/100000,-1000000000-1910)</f>
        <v/>
      </c>
    </row>
    <row r="1924">
      <c r="BN1924">
        <f>IF(1911&lt;$U$9,INT(1911/($U$7*$U$8))+1,1)</f>
        <v/>
      </c>
      <c r="BO1924">
        <f>IF(1911&lt;$U$9,MOD(INT(1911/$U$8),$U$7)+1,1)</f>
        <v/>
      </c>
      <c r="BP1924">
        <f>IF(1911&lt;$U$9,MOD(1911,$U$8)+1,1)</f>
        <v/>
      </c>
      <c r="BQ1924">
        <f>IF(1911&lt;$U$9,SUMPRODUCT(($D$10:$L$10&lt;&gt;"")*(($D$9:$L$9+INT(($S$12:$AA$12+INDEX($AJ$13:$AR$162,BN1924,0)+INDEX($AT$13:$BB$162,BO1924,0)+INDEX($BD$13:$BL$162,BP1924,0))/100))&gt;=$D$10:$L$10)),0)</f>
        <v/>
      </c>
      <c r="BR1924">
        <f>IF(1911&lt;$U$9,SUMPRODUCT(($D$10:$L$10&lt;&gt;"")*(($D$10:$L$10-($D$9:$L$9+INT(($S$12:$AA$12+INDEX($AJ$13:$AR$162,BN1924,0)+INDEX($AT$13:$BB$162,BO1924,0)+INDEX($BD$13:$BL$162,BP1924,0))/100)))&gt;0)*($D$10:$L$10-($D$9:$L$9+INT(($S$12:$AA$12+INDEX($AJ$13:$AR$162,BN1924,0)+INDEX($AT$13:$BB$162,BO1924,0)+INDEX($BD$13:$BL$162,BP1924,0))/100)))),0)</f>
        <v/>
      </c>
      <c r="BS1924">
        <f>IF(1911&lt;$U$9,SUMPRODUCT(($D$9:$L$9+INT(($S$12:$AA$12+INDEX($AJ$13:$AR$162,BN1924,0)+INDEX($AT$13:$BB$162,BO1924,0)+INDEX($BD$13:$BL$162,BP1924,0))/100))),0)</f>
        <v/>
      </c>
      <c r="BT1924">
        <f>IF(AND(1911&lt;$U$9,$W$5),BQ1924*1000000-MIN(BR1924,999)*1000+BS1924-1911/100000,-1000000000-1911)</f>
        <v/>
      </c>
    </row>
    <row r="1925">
      <c r="BN1925">
        <f>IF(1912&lt;$U$9,INT(1912/($U$7*$U$8))+1,1)</f>
        <v/>
      </c>
      <c r="BO1925">
        <f>IF(1912&lt;$U$9,MOD(INT(1912/$U$8),$U$7)+1,1)</f>
        <v/>
      </c>
      <c r="BP1925">
        <f>IF(1912&lt;$U$9,MOD(1912,$U$8)+1,1)</f>
        <v/>
      </c>
      <c r="BQ1925">
        <f>IF(1912&lt;$U$9,SUMPRODUCT(($D$10:$L$10&lt;&gt;"")*(($D$9:$L$9+INT(($S$12:$AA$12+INDEX($AJ$13:$AR$162,BN1925,0)+INDEX($AT$13:$BB$162,BO1925,0)+INDEX($BD$13:$BL$162,BP1925,0))/100))&gt;=$D$10:$L$10)),0)</f>
        <v/>
      </c>
      <c r="BR1925">
        <f>IF(1912&lt;$U$9,SUMPRODUCT(($D$10:$L$10&lt;&gt;"")*(($D$10:$L$10-($D$9:$L$9+INT(($S$12:$AA$12+INDEX($AJ$13:$AR$162,BN1925,0)+INDEX($AT$13:$BB$162,BO1925,0)+INDEX($BD$13:$BL$162,BP1925,0))/100)))&gt;0)*($D$10:$L$10-($D$9:$L$9+INT(($S$12:$AA$12+INDEX($AJ$13:$AR$162,BN1925,0)+INDEX($AT$13:$BB$162,BO1925,0)+INDEX($BD$13:$BL$162,BP1925,0))/100)))),0)</f>
        <v/>
      </c>
      <c r="BS1925">
        <f>IF(1912&lt;$U$9,SUMPRODUCT(($D$9:$L$9+INT(($S$12:$AA$12+INDEX($AJ$13:$AR$162,BN1925,0)+INDEX($AT$13:$BB$162,BO1925,0)+INDEX($BD$13:$BL$162,BP1925,0))/100))),0)</f>
        <v/>
      </c>
      <c r="BT1925">
        <f>IF(AND(1912&lt;$U$9,$W$5),BQ1925*1000000-MIN(BR1925,999)*1000+BS1925-1912/100000,-1000000000-1912)</f>
        <v/>
      </c>
    </row>
    <row r="1926">
      <c r="BN1926">
        <f>IF(1913&lt;$U$9,INT(1913/($U$7*$U$8))+1,1)</f>
        <v/>
      </c>
      <c r="BO1926">
        <f>IF(1913&lt;$U$9,MOD(INT(1913/$U$8),$U$7)+1,1)</f>
        <v/>
      </c>
      <c r="BP1926">
        <f>IF(1913&lt;$U$9,MOD(1913,$U$8)+1,1)</f>
        <v/>
      </c>
      <c r="BQ1926">
        <f>IF(1913&lt;$U$9,SUMPRODUCT(($D$10:$L$10&lt;&gt;"")*(($D$9:$L$9+INT(($S$12:$AA$12+INDEX($AJ$13:$AR$162,BN1926,0)+INDEX($AT$13:$BB$162,BO1926,0)+INDEX($BD$13:$BL$162,BP1926,0))/100))&gt;=$D$10:$L$10)),0)</f>
        <v/>
      </c>
      <c r="BR1926">
        <f>IF(1913&lt;$U$9,SUMPRODUCT(($D$10:$L$10&lt;&gt;"")*(($D$10:$L$10-($D$9:$L$9+INT(($S$12:$AA$12+INDEX($AJ$13:$AR$162,BN1926,0)+INDEX($AT$13:$BB$162,BO1926,0)+INDEX($BD$13:$BL$162,BP1926,0))/100)))&gt;0)*($D$10:$L$10-($D$9:$L$9+INT(($S$12:$AA$12+INDEX($AJ$13:$AR$162,BN1926,0)+INDEX($AT$13:$BB$162,BO1926,0)+INDEX($BD$13:$BL$162,BP1926,0))/100)))),0)</f>
        <v/>
      </c>
      <c r="BS1926">
        <f>IF(1913&lt;$U$9,SUMPRODUCT(($D$9:$L$9+INT(($S$12:$AA$12+INDEX($AJ$13:$AR$162,BN1926,0)+INDEX($AT$13:$BB$162,BO1926,0)+INDEX($BD$13:$BL$162,BP1926,0))/100))),0)</f>
        <v/>
      </c>
      <c r="BT1926">
        <f>IF(AND(1913&lt;$U$9,$W$5),BQ1926*1000000-MIN(BR1926,999)*1000+BS1926-1913/100000,-1000000000-1913)</f>
        <v/>
      </c>
    </row>
    <row r="1927">
      <c r="BN1927">
        <f>IF(1914&lt;$U$9,INT(1914/($U$7*$U$8))+1,1)</f>
        <v/>
      </c>
      <c r="BO1927">
        <f>IF(1914&lt;$U$9,MOD(INT(1914/$U$8),$U$7)+1,1)</f>
        <v/>
      </c>
      <c r="BP1927">
        <f>IF(1914&lt;$U$9,MOD(1914,$U$8)+1,1)</f>
        <v/>
      </c>
      <c r="BQ1927">
        <f>IF(1914&lt;$U$9,SUMPRODUCT(($D$10:$L$10&lt;&gt;"")*(($D$9:$L$9+INT(($S$12:$AA$12+INDEX($AJ$13:$AR$162,BN1927,0)+INDEX($AT$13:$BB$162,BO1927,0)+INDEX($BD$13:$BL$162,BP1927,0))/100))&gt;=$D$10:$L$10)),0)</f>
        <v/>
      </c>
      <c r="BR1927">
        <f>IF(1914&lt;$U$9,SUMPRODUCT(($D$10:$L$10&lt;&gt;"")*(($D$10:$L$10-($D$9:$L$9+INT(($S$12:$AA$12+INDEX($AJ$13:$AR$162,BN1927,0)+INDEX($AT$13:$BB$162,BO1927,0)+INDEX($BD$13:$BL$162,BP1927,0))/100)))&gt;0)*($D$10:$L$10-($D$9:$L$9+INT(($S$12:$AA$12+INDEX($AJ$13:$AR$162,BN1927,0)+INDEX($AT$13:$BB$162,BO1927,0)+INDEX($BD$13:$BL$162,BP1927,0))/100)))),0)</f>
        <v/>
      </c>
      <c r="BS1927">
        <f>IF(1914&lt;$U$9,SUMPRODUCT(($D$9:$L$9+INT(($S$12:$AA$12+INDEX($AJ$13:$AR$162,BN1927,0)+INDEX($AT$13:$BB$162,BO1927,0)+INDEX($BD$13:$BL$162,BP1927,0))/100))),0)</f>
        <v/>
      </c>
      <c r="BT1927">
        <f>IF(AND(1914&lt;$U$9,$W$5),BQ1927*1000000-MIN(BR1927,999)*1000+BS1927-1914/100000,-1000000000-1914)</f>
        <v/>
      </c>
    </row>
    <row r="1928">
      <c r="BN1928">
        <f>IF(1915&lt;$U$9,INT(1915/($U$7*$U$8))+1,1)</f>
        <v/>
      </c>
      <c r="BO1928">
        <f>IF(1915&lt;$U$9,MOD(INT(1915/$U$8),$U$7)+1,1)</f>
        <v/>
      </c>
      <c r="BP1928">
        <f>IF(1915&lt;$U$9,MOD(1915,$U$8)+1,1)</f>
        <v/>
      </c>
      <c r="BQ1928">
        <f>IF(1915&lt;$U$9,SUMPRODUCT(($D$10:$L$10&lt;&gt;"")*(($D$9:$L$9+INT(($S$12:$AA$12+INDEX($AJ$13:$AR$162,BN1928,0)+INDEX($AT$13:$BB$162,BO1928,0)+INDEX($BD$13:$BL$162,BP1928,0))/100))&gt;=$D$10:$L$10)),0)</f>
        <v/>
      </c>
      <c r="BR1928">
        <f>IF(1915&lt;$U$9,SUMPRODUCT(($D$10:$L$10&lt;&gt;"")*(($D$10:$L$10-($D$9:$L$9+INT(($S$12:$AA$12+INDEX($AJ$13:$AR$162,BN1928,0)+INDEX($AT$13:$BB$162,BO1928,0)+INDEX($BD$13:$BL$162,BP1928,0))/100)))&gt;0)*($D$10:$L$10-($D$9:$L$9+INT(($S$12:$AA$12+INDEX($AJ$13:$AR$162,BN1928,0)+INDEX($AT$13:$BB$162,BO1928,0)+INDEX($BD$13:$BL$162,BP1928,0))/100)))),0)</f>
        <v/>
      </c>
      <c r="BS1928">
        <f>IF(1915&lt;$U$9,SUMPRODUCT(($D$9:$L$9+INT(($S$12:$AA$12+INDEX($AJ$13:$AR$162,BN1928,0)+INDEX($AT$13:$BB$162,BO1928,0)+INDEX($BD$13:$BL$162,BP1928,0))/100))),0)</f>
        <v/>
      </c>
      <c r="BT1928">
        <f>IF(AND(1915&lt;$U$9,$W$5),BQ1928*1000000-MIN(BR1928,999)*1000+BS1928-1915/100000,-1000000000-1915)</f>
        <v/>
      </c>
    </row>
    <row r="1929">
      <c r="BN1929">
        <f>IF(1916&lt;$U$9,INT(1916/($U$7*$U$8))+1,1)</f>
        <v/>
      </c>
      <c r="BO1929">
        <f>IF(1916&lt;$U$9,MOD(INT(1916/$U$8),$U$7)+1,1)</f>
        <v/>
      </c>
      <c r="BP1929">
        <f>IF(1916&lt;$U$9,MOD(1916,$U$8)+1,1)</f>
        <v/>
      </c>
      <c r="BQ1929">
        <f>IF(1916&lt;$U$9,SUMPRODUCT(($D$10:$L$10&lt;&gt;"")*(($D$9:$L$9+INT(($S$12:$AA$12+INDEX($AJ$13:$AR$162,BN1929,0)+INDEX($AT$13:$BB$162,BO1929,0)+INDEX($BD$13:$BL$162,BP1929,0))/100))&gt;=$D$10:$L$10)),0)</f>
        <v/>
      </c>
      <c r="BR1929">
        <f>IF(1916&lt;$U$9,SUMPRODUCT(($D$10:$L$10&lt;&gt;"")*(($D$10:$L$10-($D$9:$L$9+INT(($S$12:$AA$12+INDEX($AJ$13:$AR$162,BN1929,0)+INDEX($AT$13:$BB$162,BO1929,0)+INDEX($BD$13:$BL$162,BP1929,0))/100)))&gt;0)*($D$10:$L$10-($D$9:$L$9+INT(($S$12:$AA$12+INDEX($AJ$13:$AR$162,BN1929,0)+INDEX($AT$13:$BB$162,BO1929,0)+INDEX($BD$13:$BL$162,BP1929,0))/100)))),0)</f>
        <v/>
      </c>
      <c r="BS1929">
        <f>IF(1916&lt;$U$9,SUMPRODUCT(($D$9:$L$9+INT(($S$12:$AA$12+INDEX($AJ$13:$AR$162,BN1929,0)+INDEX($AT$13:$BB$162,BO1929,0)+INDEX($BD$13:$BL$162,BP1929,0))/100))),0)</f>
        <v/>
      </c>
      <c r="BT1929">
        <f>IF(AND(1916&lt;$U$9,$W$5),BQ1929*1000000-MIN(BR1929,999)*1000+BS1929-1916/100000,-1000000000-1916)</f>
        <v/>
      </c>
    </row>
    <row r="1930">
      <c r="BN1930">
        <f>IF(1917&lt;$U$9,INT(1917/($U$7*$U$8))+1,1)</f>
        <v/>
      </c>
      <c r="BO1930">
        <f>IF(1917&lt;$U$9,MOD(INT(1917/$U$8),$U$7)+1,1)</f>
        <v/>
      </c>
      <c r="BP1930">
        <f>IF(1917&lt;$U$9,MOD(1917,$U$8)+1,1)</f>
        <v/>
      </c>
      <c r="BQ1930">
        <f>IF(1917&lt;$U$9,SUMPRODUCT(($D$10:$L$10&lt;&gt;"")*(($D$9:$L$9+INT(($S$12:$AA$12+INDEX($AJ$13:$AR$162,BN1930,0)+INDEX($AT$13:$BB$162,BO1930,0)+INDEX($BD$13:$BL$162,BP1930,0))/100))&gt;=$D$10:$L$10)),0)</f>
        <v/>
      </c>
      <c r="BR1930">
        <f>IF(1917&lt;$U$9,SUMPRODUCT(($D$10:$L$10&lt;&gt;"")*(($D$10:$L$10-($D$9:$L$9+INT(($S$12:$AA$12+INDEX($AJ$13:$AR$162,BN1930,0)+INDEX($AT$13:$BB$162,BO1930,0)+INDEX($BD$13:$BL$162,BP1930,0))/100)))&gt;0)*($D$10:$L$10-($D$9:$L$9+INT(($S$12:$AA$12+INDEX($AJ$13:$AR$162,BN1930,0)+INDEX($AT$13:$BB$162,BO1930,0)+INDEX($BD$13:$BL$162,BP1930,0))/100)))),0)</f>
        <v/>
      </c>
      <c r="BS1930">
        <f>IF(1917&lt;$U$9,SUMPRODUCT(($D$9:$L$9+INT(($S$12:$AA$12+INDEX($AJ$13:$AR$162,BN1930,0)+INDEX($AT$13:$BB$162,BO1930,0)+INDEX($BD$13:$BL$162,BP1930,0))/100))),0)</f>
        <v/>
      </c>
      <c r="BT1930">
        <f>IF(AND(1917&lt;$U$9,$W$5),BQ1930*1000000-MIN(BR1930,999)*1000+BS1930-1917/100000,-1000000000-1917)</f>
        <v/>
      </c>
    </row>
    <row r="1931">
      <c r="BN1931">
        <f>IF(1918&lt;$U$9,INT(1918/($U$7*$U$8))+1,1)</f>
        <v/>
      </c>
      <c r="BO1931">
        <f>IF(1918&lt;$U$9,MOD(INT(1918/$U$8),$U$7)+1,1)</f>
        <v/>
      </c>
      <c r="BP1931">
        <f>IF(1918&lt;$U$9,MOD(1918,$U$8)+1,1)</f>
        <v/>
      </c>
      <c r="BQ1931">
        <f>IF(1918&lt;$U$9,SUMPRODUCT(($D$10:$L$10&lt;&gt;"")*(($D$9:$L$9+INT(($S$12:$AA$12+INDEX($AJ$13:$AR$162,BN1931,0)+INDEX($AT$13:$BB$162,BO1931,0)+INDEX($BD$13:$BL$162,BP1931,0))/100))&gt;=$D$10:$L$10)),0)</f>
        <v/>
      </c>
      <c r="BR1931">
        <f>IF(1918&lt;$U$9,SUMPRODUCT(($D$10:$L$10&lt;&gt;"")*(($D$10:$L$10-($D$9:$L$9+INT(($S$12:$AA$12+INDEX($AJ$13:$AR$162,BN1931,0)+INDEX($AT$13:$BB$162,BO1931,0)+INDEX($BD$13:$BL$162,BP1931,0))/100)))&gt;0)*($D$10:$L$10-($D$9:$L$9+INT(($S$12:$AA$12+INDEX($AJ$13:$AR$162,BN1931,0)+INDEX($AT$13:$BB$162,BO1931,0)+INDEX($BD$13:$BL$162,BP1931,0))/100)))),0)</f>
        <v/>
      </c>
      <c r="BS1931">
        <f>IF(1918&lt;$U$9,SUMPRODUCT(($D$9:$L$9+INT(($S$12:$AA$12+INDEX($AJ$13:$AR$162,BN1931,0)+INDEX($AT$13:$BB$162,BO1931,0)+INDEX($BD$13:$BL$162,BP1931,0))/100))),0)</f>
        <v/>
      </c>
      <c r="BT1931">
        <f>IF(AND(1918&lt;$U$9,$W$5),BQ1931*1000000-MIN(BR1931,999)*1000+BS1931-1918/100000,-1000000000-1918)</f>
        <v/>
      </c>
    </row>
    <row r="1932">
      <c r="BN1932">
        <f>IF(1919&lt;$U$9,INT(1919/($U$7*$U$8))+1,1)</f>
        <v/>
      </c>
      <c r="BO1932">
        <f>IF(1919&lt;$U$9,MOD(INT(1919/$U$8),$U$7)+1,1)</f>
        <v/>
      </c>
      <c r="BP1932">
        <f>IF(1919&lt;$U$9,MOD(1919,$U$8)+1,1)</f>
        <v/>
      </c>
      <c r="BQ1932">
        <f>IF(1919&lt;$U$9,SUMPRODUCT(($D$10:$L$10&lt;&gt;"")*(($D$9:$L$9+INT(($S$12:$AA$12+INDEX($AJ$13:$AR$162,BN1932,0)+INDEX($AT$13:$BB$162,BO1932,0)+INDEX($BD$13:$BL$162,BP1932,0))/100))&gt;=$D$10:$L$10)),0)</f>
        <v/>
      </c>
      <c r="BR1932">
        <f>IF(1919&lt;$U$9,SUMPRODUCT(($D$10:$L$10&lt;&gt;"")*(($D$10:$L$10-($D$9:$L$9+INT(($S$12:$AA$12+INDEX($AJ$13:$AR$162,BN1932,0)+INDEX($AT$13:$BB$162,BO1932,0)+INDEX($BD$13:$BL$162,BP1932,0))/100)))&gt;0)*($D$10:$L$10-($D$9:$L$9+INT(($S$12:$AA$12+INDEX($AJ$13:$AR$162,BN1932,0)+INDEX($AT$13:$BB$162,BO1932,0)+INDEX($BD$13:$BL$162,BP1932,0))/100)))),0)</f>
        <v/>
      </c>
      <c r="BS1932">
        <f>IF(1919&lt;$U$9,SUMPRODUCT(($D$9:$L$9+INT(($S$12:$AA$12+INDEX($AJ$13:$AR$162,BN1932,0)+INDEX($AT$13:$BB$162,BO1932,0)+INDEX($BD$13:$BL$162,BP1932,0))/100))),0)</f>
        <v/>
      </c>
      <c r="BT1932">
        <f>IF(AND(1919&lt;$U$9,$W$5),BQ1932*1000000-MIN(BR1932,999)*1000+BS1932-1919/100000,-1000000000-1919)</f>
        <v/>
      </c>
    </row>
    <row r="1933">
      <c r="BN1933">
        <f>IF(1920&lt;$U$9,INT(1920/($U$7*$U$8))+1,1)</f>
        <v/>
      </c>
      <c r="BO1933">
        <f>IF(1920&lt;$U$9,MOD(INT(1920/$U$8),$U$7)+1,1)</f>
        <v/>
      </c>
      <c r="BP1933">
        <f>IF(1920&lt;$U$9,MOD(1920,$U$8)+1,1)</f>
        <v/>
      </c>
      <c r="BQ1933">
        <f>IF(1920&lt;$U$9,SUMPRODUCT(($D$10:$L$10&lt;&gt;"")*(($D$9:$L$9+INT(($S$12:$AA$12+INDEX($AJ$13:$AR$162,BN1933,0)+INDEX($AT$13:$BB$162,BO1933,0)+INDEX($BD$13:$BL$162,BP1933,0))/100))&gt;=$D$10:$L$10)),0)</f>
        <v/>
      </c>
      <c r="BR1933">
        <f>IF(1920&lt;$U$9,SUMPRODUCT(($D$10:$L$10&lt;&gt;"")*(($D$10:$L$10-($D$9:$L$9+INT(($S$12:$AA$12+INDEX($AJ$13:$AR$162,BN1933,0)+INDEX($AT$13:$BB$162,BO1933,0)+INDEX($BD$13:$BL$162,BP1933,0))/100)))&gt;0)*($D$10:$L$10-($D$9:$L$9+INT(($S$12:$AA$12+INDEX($AJ$13:$AR$162,BN1933,0)+INDEX($AT$13:$BB$162,BO1933,0)+INDEX($BD$13:$BL$162,BP1933,0))/100)))),0)</f>
        <v/>
      </c>
      <c r="BS1933">
        <f>IF(1920&lt;$U$9,SUMPRODUCT(($D$9:$L$9+INT(($S$12:$AA$12+INDEX($AJ$13:$AR$162,BN1933,0)+INDEX($AT$13:$BB$162,BO1933,0)+INDEX($BD$13:$BL$162,BP1933,0))/100))),0)</f>
        <v/>
      </c>
      <c r="BT1933">
        <f>IF(AND(1920&lt;$U$9,$W$5),BQ1933*1000000-MIN(BR1933,999)*1000+BS1933-1920/100000,-1000000000-1920)</f>
        <v/>
      </c>
    </row>
    <row r="1934">
      <c r="BN1934">
        <f>IF(1921&lt;$U$9,INT(1921/($U$7*$U$8))+1,1)</f>
        <v/>
      </c>
      <c r="BO1934">
        <f>IF(1921&lt;$U$9,MOD(INT(1921/$U$8),$U$7)+1,1)</f>
        <v/>
      </c>
      <c r="BP1934">
        <f>IF(1921&lt;$U$9,MOD(1921,$U$8)+1,1)</f>
        <v/>
      </c>
      <c r="BQ1934">
        <f>IF(1921&lt;$U$9,SUMPRODUCT(($D$10:$L$10&lt;&gt;"")*(($D$9:$L$9+INT(($S$12:$AA$12+INDEX($AJ$13:$AR$162,BN1934,0)+INDEX($AT$13:$BB$162,BO1934,0)+INDEX($BD$13:$BL$162,BP1934,0))/100))&gt;=$D$10:$L$10)),0)</f>
        <v/>
      </c>
      <c r="BR1934">
        <f>IF(1921&lt;$U$9,SUMPRODUCT(($D$10:$L$10&lt;&gt;"")*(($D$10:$L$10-($D$9:$L$9+INT(($S$12:$AA$12+INDEX($AJ$13:$AR$162,BN1934,0)+INDEX($AT$13:$BB$162,BO1934,0)+INDEX($BD$13:$BL$162,BP1934,0))/100)))&gt;0)*($D$10:$L$10-($D$9:$L$9+INT(($S$12:$AA$12+INDEX($AJ$13:$AR$162,BN1934,0)+INDEX($AT$13:$BB$162,BO1934,0)+INDEX($BD$13:$BL$162,BP1934,0))/100)))),0)</f>
        <v/>
      </c>
      <c r="BS1934">
        <f>IF(1921&lt;$U$9,SUMPRODUCT(($D$9:$L$9+INT(($S$12:$AA$12+INDEX($AJ$13:$AR$162,BN1934,0)+INDEX($AT$13:$BB$162,BO1934,0)+INDEX($BD$13:$BL$162,BP1934,0))/100))),0)</f>
        <v/>
      </c>
      <c r="BT1934">
        <f>IF(AND(1921&lt;$U$9,$W$5),BQ1934*1000000-MIN(BR1934,999)*1000+BS1934-1921/100000,-1000000000-1921)</f>
        <v/>
      </c>
    </row>
    <row r="1935">
      <c r="BN1935">
        <f>IF(1922&lt;$U$9,INT(1922/($U$7*$U$8))+1,1)</f>
        <v/>
      </c>
      <c r="BO1935">
        <f>IF(1922&lt;$U$9,MOD(INT(1922/$U$8),$U$7)+1,1)</f>
        <v/>
      </c>
      <c r="BP1935">
        <f>IF(1922&lt;$U$9,MOD(1922,$U$8)+1,1)</f>
        <v/>
      </c>
      <c r="BQ1935">
        <f>IF(1922&lt;$U$9,SUMPRODUCT(($D$10:$L$10&lt;&gt;"")*(($D$9:$L$9+INT(($S$12:$AA$12+INDEX($AJ$13:$AR$162,BN1935,0)+INDEX($AT$13:$BB$162,BO1935,0)+INDEX($BD$13:$BL$162,BP1935,0))/100))&gt;=$D$10:$L$10)),0)</f>
        <v/>
      </c>
      <c r="BR1935">
        <f>IF(1922&lt;$U$9,SUMPRODUCT(($D$10:$L$10&lt;&gt;"")*(($D$10:$L$10-($D$9:$L$9+INT(($S$12:$AA$12+INDEX($AJ$13:$AR$162,BN1935,0)+INDEX($AT$13:$BB$162,BO1935,0)+INDEX($BD$13:$BL$162,BP1935,0))/100)))&gt;0)*($D$10:$L$10-($D$9:$L$9+INT(($S$12:$AA$12+INDEX($AJ$13:$AR$162,BN1935,0)+INDEX($AT$13:$BB$162,BO1935,0)+INDEX($BD$13:$BL$162,BP1935,0))/100)))),0)</f>
        <v/>
      </c>
      <c r="BS1935">
        <f>IF(1922&lt;$U$9,SUMPRODUCT(($D$9:$L$9+INT(($S$12:$AA$12+INDEX($AJ$13:$AR$162,BN1935,0)+INDEX($AT$13:$BB$162,BO1935,0)+INDEX($BD$13:$BL$162,BP1935,0))/100))),0)</f>
        <v/>
      </c>
      <c r="BT1935">
        <f>IF(AND(1922&lt;$U$9,$W$5),BQ1935*1000000-MIN(BR1935,999)*1000+BS1935-1922/100000,-1000000000-1922)</f>
        <v/>
      </c>
    </row>
    <row r="1936">
      <c r="BN1936">
        <f>IF(1923&lt;$U$9,INT(1923/($U$7*$U$8))+1,1)</f>
        <v/>
      </c>
      <c r="BO1936">
        <f>IF(1923&lt;$U$9,MOD(INT(1923/$U$8),$U$7)+1,1)</f>
        <v/>
      </c>
      <c r="BP1936">
        <f>IF(1923&lt;$U$9,MOD(1923,$U$8)+1,1)</f>
        <v/>
      </c>
      <c r="BQ1936">
        <f>IF(1923&lt;$U$9,SUMPRODUCT(($D$10:$L$10&lt;&gt;"")*(($D$9:$L$9+INT(($S$12:$AA$12+INDEX($AJ$13:$AR$162,BN1936,0)+INDEX($AT$13:$BB$162,BO1936,0)+INDEX($BD$13:$BL$162,BP1936,0))/100))&gt;=$D$10:$L$10)),0)</f>
        <v/>
      </c>
      <c r="BR1936">
        <f>IF(1923&lt;$U$9,SUMPRODUCT(($D$10:$L$10&lt;&gt;"")*(($D$10:$L$10-($D$9:$L$9+INT(($S$12:$AA$12+INDEX($AJ$13:$AR$162,BN1936,0)+INDEX($AT$13:$BB$162,BO1936,0)+INDEX($BD$13:$BL$162,BP1936,0))/100)))&gt;0)*($D$10:$L$10-($D$9:$L$9+INT(($S$12:$AA$12+INDEX($AJ$13:$AR$162,BN1936,0)+INDEX($AT$13:$BB$162,BO1936,0)+INDEX($BD$13:$BL$162,BP1936,0))/100)))),0)</f>
        <v/>
      </c>
      <c r="BS1936">
        <f>IF(1923&lt;$U$9,SUMPRODUCT(($D$9:$L$9+INT(($S$12:$AA$12+INDEX($AJ$13:$AR$162,BN1936,0)+INDEX($AT$13:$BB$162,BO1936,0)+INDEX($BD$13:$BL$162,BP1936,0))/100))),0)</f>
        <v/>
      </c>
      <c r="BT1936">
        <f>IF(AND(1923&lt;$U$9,$W$5),BQ1936*1000000-MIN(BR1936,999)*1000+BS1936-1923/100000,-1000000000-1923)</f>
        <v/>
      </c>
    </row>
    <row r="1937">
      <c r="BN1937">
        <f>IF(1924&lt;$U$9,INT(1924/($U$7*$U$8))+1,1)</f>
        <v/>
      </c>
      <c r="BO1937">
        <f>IF(1924&lt;$U$9,MOD(INT(1924/$U$8),$U$7)+1,1)</f>
        <v/>
      </c>
      <c r="BP1937">
        <f>IF(1924&lt;$U$9,MOD(1924,$U$8)+1,1)</f>
        <v/>
      </c>
      <c r="BQ1937">
        <f>IF(1924&lt;$U$9,SUMPRODUCT(($D$10:$L$10&lt;&gt;"")*(($D$9:$L$9+INT(($S$12:$AA$12+INDEX($AJ$13:$AR$162,BN1937,0)+INDEX($AT$13:$BB$162,BO1937,0)+INDEX($BD$13:$BL$162,BP1937,0))/100))&gt;=$D$10:$L$10)),0)</f>
        <v/>
      </c>
      <c r="BR1937">
        <f>IF(1924&lt;$U$9,SUMPRODUCT(($D$10:$L$10&lt;&gt;"")*(($D$10:$L$10-($D$9:$L$9+INT(($S$12:$AA$12+INDEX($AJ$13:$AR$162,BN1937,0)+INDEX($AT$13:$BB$162,BO1937,0)+INDEX($BD$13:$BL$162,BP1937,0))/100)))&gt;0)*($D$10:$L$10-($D$9:$L$9+INT(($S$12:$AA$12+INDEX($AJ$13:$AR$162,BN1937,0)+INDEX($AT$13:$BB$162,BO1937,0)+INDEX($BD$13:$BL$162,BP1937,0))/100)))),0)</f>
        <v/>
      </c>
      <c r="BS1937">
        <f>IF(1924&lt;$U$9,SUMPRODUCT(($D$9:$L$9+INT(($S$12:$AA$12+INDEX($AJ$13:$AR$162,BN1937,0)+INDEX($AT$13:$BB$162,BO1937,0)+INDEX($BD$13:$BL$162,BP1937,0))/100))),0)</f>
        <v/>
      </c>
      <c r="BT1937">
        <f>IF(AND(1924&lt;$U$9,$W$5),BQ1937*1000000-MIN(BR1937,999)*1000+BS1937-1924/100000,-1000000000-1924)</f>
        <v/>
      </c>
    </row>
    <row r="1938">
      <c r="BN1938">
        <f>IF(1925&lt;$U$9,INT(1925/($U$7*$U$8))+1,1)</f>
        <v/>
      </c>
      <c r="BO1938">
        <f>IF(1925&lt;$U$9,MOD(INT(1925/$U$8),$U$7)+1,1)</f>
        <v/>
      </c>
      <c r="BP1938">
        <f>IF(1925&lt;$U$9,MOD(1925,$U$8)+1,1)</f>
        <v/>
      </c>
      <c r="BQ1938">
        <f>IF(1925&lt;$U$9,SUMPRODUCT(($D$10:$L$10&lt;&gt;"")*(($D$9:$L$9+INT(($S$12:$AA$12+INDEX($AJ$13:$AR$162,BN1938,0)+INDEX($AT$13:$BB$162,BO1938,0)+INDEX($BD$13:$BL$162,BP1938,0))/100))&gt;=$D$10:$L$10)),0)</f>
        <v/>
      </c>
      <c r="BR1938">
        <f>IF(1925&lt;$U$9,SUMPRODUCT(($D$10:$L$10&lt;&gt;"")*(($D$10:$L$10-($D$9:$L$9+INT(($S$12:$AA$12+INDEX($AJ$13:$AR$162,BN1938,0)+INDEX($AT$13:$BB$162,BO1938,0)+INDEX($BD$13:$BL$162,BP1938,0))/100)))&gt;0)*($D$10:$L$10-($D$9:$L$9+INT(($S$12:$AA$12+INDEX($AJ$13:$AR$162,BN1938,0)+INDEX($AT$13:$BB$162,BO1938,0)+INDEX($BD$13:$BL$162,BP1938,0))/100)))),0)</f>
        <v/>
      </c>
      <c r="BS1938">
        <f>IF(1925&lt;$U$9,SUMPRODUCT(($D$9:$L$9+INT(($S$12:$AA$12+INDEX($AJ$13:$AR$162,BN1938,0)+INDEX($AT$13:$BB$162,BO1938,0)+INDEX($BD$13:$BL$162,BP1938,0))/100))),0)</f>
        <v/>
      </c>
      <c r="BT1938">
        <f>IF(AND(1925&lt;$U$9,$W$5),BQ1938*1000000-MIN(BR1938,999)*1000+BS1938-1925/100000,-1000000000-1925)</f>
        <v/>
      </c>
    </row>
    <row r="1939">
      <c r="BN1939">
        <f>IF(1926&lt;$U$9,INT(1926/($U$7*$U$8))+1,1)</f>
        <v/>
      </c>
      <c r="BO1939">
        <f>IF(1926&lt;$U$9,MOD(INT(1926/$U$8),$U$7)+1,1)</f>
        <v/>
      </c>
      <c r="BP1939">
        <f>IF(1926&lt;$U$9,MOD(1926,$U$8)+1,1)</f>
        <v/>
      </c>
      <c r="BQ1939">
        <f>IF(1926&lt;$U$9,SUMPRODUCT(($D$10:$L$10&lt;&gt;"")*(($D$9:$L$9+INT(($S$12:$AA$12+INDEX($AJ$13:$AR$162,BN1939,0)+INDEX($AT$13:$BB$162,BO1939,0)+INDEX($BD$13:$BL$162,BP1939,0))/100))&gt;=$D$10:$L$10)),0)</f>
        <v/>
      </c>
      <c r="BR1939">
        <f>IF(1926&lt;$U$9,SUMPRODUCT(($D$10:$L$10&lt;&gt;"")*(($D$10:$L$10-($D$9:$L$9+INT(($S$12:$AA$12+INDEX($AJ$13:$AR$162,BN1939,0)+INDEX($AT$13:$BB$162,BO1939,0)+INDEX($BD$13:$BL$162,BP1939,0))/100)))&gt;0)*($D$10:$L$10-($D$9:$L$9+INT(($S$12:$AA$12+INDEX($AJ$13:$AR$162,BN1939,0)+INDEX($AT$13:$BB$162,BO1939,0)+INDEX($BD$13:$BL$162,BP1939,0))/100)))),0)</f>
        <v/>
      </c>
      <c r="BS1939">
        <f>IF(1926&lt;$U$9,SUMPRODUCT(($D$9:$L$9+INT(($S$12:$AA$12+INDEX($AJ$13:$AR$162,BN1939,0)+INDEX($AT$13:$BB$162,BO1939,0)+INDEX($BD$13:$BL$162,BP1939,0))/100))),0)</f>
        <v/>
      </c>
      <c r="BT1939">
        <f>IF(AND(1926&lt;$U$9,$W$5),BQ1939*1000000-MIN(BR1939,999)*1000+BS1939-1926/100000,-1000000000-1926)</f>
        <v/>
      </c>
    </row>
    <row r="1940">
      <c r="BN1940">
        <f>IF(1927&lt;$U$9,INT(1927/($U$7*$U$8))+1,1)</f>
        <v/>
      </c>
      <c r="BO1940">
        <f>IF(1927&lt;$U$9,MOD(INT(1927/$U$8),$U$7)+1,1)</f>
        <v/>
      </c>
      <c r="BP1940">
        <f>IF(1927&lt;$U$9,MOD(1927,$U$8)+1,1)</f>
        <v/>
      </c>
      <c r="BQ1940">
        <f>IF(1927&lt;$U$9,SUMPRODUCT(($D$10:$L$10&lt;&gt;"")*(($D$9:$L$9+INT(($S$12:$AA$12+INDEX($AJ$13:$AR$162,BN1940,0)+INDEX($AT$13:$BB$162,BO1940,0)+INDEX($BD$13:$BL$162,BP1940,0))/100))&gt;=$D$10:$L$10)),0)</f>
        <v/>
      </c>
      <c r="BR1940">
        <f>IF(1927&lt;$U$9,SUMPRODUCT(($D$10:$L$10&lt;&gt;"")*(($D$10:$L$10-($D$9:$L$9+INT(($S$12:$AA$12+INDEX($AJ$13:$AR$162,BN1940,0)+INDEX($AT$13:$BB$162,BO1940,0)+INDEX($BD$13:$BL$162,BP1940,0))/100)))&gt;0)*($D$10:$L$10-($D$9:$L$9+INT(($S$12:$AA$12+INDEX($AJ$13:$AR$162,BN1940,0)+INDEX($AT$13:$BB$162,BO1940,0)+INDEX($BD$13:$BL$162,BP1940,0))/100)))),0)</f>
        <v/>
      </c>
      <c r="BS1940">
        <f>IF(1927&lt;$U$9,SUMPRODUCT(($D$9:$L$9+INT(($S$12:$AA$12+INDEX($AJ$13:$AR$162,BN1940,0)+INDEX($AT$13:$BB$162,BO1940,0)+INDEX($BD$13:$BL$162,BP1940,0))/100))),0)</f>
        <v/>
      </c>
      <c r="BT1940">
        <f>IF(AND(1927&lt;$U$9,$W$5),BQ1940*1000000-MIN(BR1940,999)*1000+BS1940-1927/100000,-1000000000-1927)</f>
        <v/>
      </c>
    </row>
    <row r="1941">
      <c r="BN1941">
        <f>IF(1928&lt;$U$9,INT(1928/($U$7*$U$8))+1,1)</f>
        <v/>
      </c>
      <c r="BO1941">
        <f>IF(1928&lt;$U$9,MOD(INT(1928/$U$8),$U$7)+1,1)</f>
        <v/>
      </c>
      <c r="BP1941">
        <f>IF(1928&lt;$U$9,MOD(1928,$U$8)+1,1)</f>
        <v/>
      </c>
      <c r="BQ1941">
        <f>IF(1928&lt;$U$9,SUMPRODUCT(($D$10:$L$10&lt;&gt;"")*(($D$9:$L$9+INT(($S$12:$AA$12+INDEX($AJ$13:$AR$162,BN1941,0)+INDEX($AT$13:$BB$162,BO1941,0)+INDEX($BD$13:$BL$162,BP1941,0))/100))&gt;=$D$10:$L$10)),0)</f>
        <v/>
      </c>
      <c r="BR1941">
        <f>IF(1928&lt;$U$9,SUMPRODUCT(($D$10:$L$10&lt;&gt;"")*(($D$10:$L$10-($D$9:$L$9+INT(($S$12:$AA$12+INDEX($AJ$13:$AR$162,BN1941,0)+INDEX($AT$13:$BB$162,BO1941,0)+INDEX($BD$13:$BL$162,BP1941,0))/100)))&gt;0)*($D$10:$L$10-($D$9:$L$9+INT(($S$12:$AA$12+INDEX($AJ$13:$AR$162,BN1941,0)+INDEX($AT$13:$BB$162,BO1941,0)+INDEX($BD$13:$BL$162,BP1941,0))/100)))),0)</f>
        <v/>
      </c>
      <c r="BS1941">
        <f>IF(1928&lt;$U$9,SUMPRODUCT(($D$9:$L$9+INT(($S$12:$AA$12+INDEX($AJ$13:$AR$162,BN1941,0)+INDEX($AT$13:$BB$162,BO1941,0)+INDEX($BD$13:$BL$162,BP1941,0))/100))),0)</f>
        <v/>
      </c>
      <c r="BT1941">
        <f>IF(AND(1928&lt;$U$9,$W$5),BQ1941*1000000-MIN(BR1941,999)*1000+BS1941-1928/100000,-1000000000-1928)</f>
        <v/>
      </c>
    </row>
    <row r="1942">
      <c r="BN1942">
        <f>IF(1929&lt;$U$9,INT(1929/($U$7*$U$8))+1,1)</f>
        <v/>
      </c>
      <c r="BO1942">
        <f>IF(1929&lt;$U$9,MOD(INT(1929/$U$8),$U$7)+1,1)</f>
        <v/>
      </c>
      <c r="BP1942">
        <f>IF(1929&lt;$U$9,MOD(1929,$U$8)+1,1)</f>
        <v/>
      </c>
      <c r="BQ1942">
        <f>IF(1929&lt;$U$9,SUMPRODUCT(($D$10:$L$10&lt;&gt;"")*(($D$9:$L$9+INT(($S$12:$AA$12+INDEX($AJ$13:$AR$162,BN1942,0)+INDEX($AT$13:$BB$162,BO1942,0)+INDEX($BD$13:$BL$162,BP1942,0))/100))&gt;=$D$10:$L$10)),0)</f>
        <v/>
      </c>
      <c r="BR1942">
        <f>IF(1929&lt;$U$9,SUMPRODUCT(($D$10:$L$10&lt;&gt;"")*(($D$10:$L$10-($D$9:$L$9+INT(($S$12:$AA$12+INDEX($AJ$13:$AR$162,BN1942,0)+INDEX($AT$13:$BB$162,BO1942,0)+INDEX($BD$13:$BL$162,BP1942,0))/100)))&gt;0)*($D$10:$L$10-($D$9:$L$9+INT(($S$12:$AA$12+INDEX($AJ$13:$AR$162,BN1942,0)+INDEX($AT$13:$BB$162,BO1942,0)+INDEX($BD$13:$BL$162,BP1942,0))/100)))),0)</f>
        <v/>
      </c>
      <c r="BS1942">
        <f>IF(1929&lt;$U$9,SUMPRODUCT(($D$9:$L$9+INT(($S$12:$AA$12+INDEX($AJ$13:$AR$162,BN1942,0)+INDEX($AT$13:$BB$162,BO1942,0)+INDEX($BD$13:$BL$162,BP1942,0))/100))),0)</f>
        <v/>
      </c>
      <c r="BT1942">
        <f>IF(AND(1929&lt;$U$9,$W$5),BQ1942*1000000-MIN(BR1942,999)*1000+BS1942-1929/100000,-1000000000-1929)</f>
        <v/>
      </c>
    </row>
    <row r="1943">
      <c r="BN1943">
        <f>IF(1930&lt;$U$9,INT(1930/($U$7*$U$8))+1,1)</f>
        <v/>
      </c>
      <c r="BO1943">
        <f>IF(1930&lt;$U$9,MOD(INT(1930/$U$8),$U$7)+1,1)</f>
        <v/>
      </c>
      <c r="BP1943">
        <f>IF(1930&lt;$U$9,MOD(1930,$U$8)+1,1)</f>
        <v/>
      </c>
      <c r="BQ1943">
        <f>IF(1930&lt;$U$9,SUMPRODUCT(($D$10:$L$10&lt;&gt;"")*(($D$9:$L$9+INT(($S$12:$AA$12+INDEX($AJ$13:$AR$162,BN1943,0)+INDEX($AT$13:$BB$162,BO1943,0)+INDEX($BD$13:$BL$162,BP1943,0))/100))&gt;=$D$10:$L$10)),0)</f>
        <v/>
      </c>
      <c r="BR1943">
        <f>IF(1930&lt;$U$9,SUMPRODUCT(($D$10:$L$10&lt;&gt;"")*(($D$10:$L$10-($D$9:$L$9+INT(($S$12:$AA$12+INDEX($AJ$13:$AR$162,BN1943,0)+INDEX($AT$13:$BB$162,BO1943,0)+INDEX($BD$13:$BL$162,BP1943,0))/100)))&gt;0)*($D$10:$L$10-($D$9:$L$9+INT(($S$12:$AA$12+INDEX($AJ$13:$AR$162,BN1943,0)+INDEX($AT$13:$BB$162,BO1943,0)+INDEX($BD$13:$BL$162,BP1943,0))/100)))),0)</f>
        <v/>
      </c>
      <c r="BS1943">
        <f>IF(1930&lt;$U$9,SUMPRODUCT(($D$9:$L$9+INT(($S$12:$AA$12+INDEX($AJ$13:$AR$162,BN1943,0)+INDEX($AT$13:$BB$162,BO1943,0)+INDEX($BD$13:$BL$162,BP1943,0))/100))),0)</f>
        <v/>
      </c>
      <c r="BT1943">
        <f>IF(AND(1930&lt;$U$9,$W$5),BQ1943*1000000-MIN(BR1943,999)*1000+BS1943-1930/100000,-1000000000-1930)</f>
        <v/>
      </c>
    </row>
    <row r="1944">
      <c r="BN1944">
        <f>IF(1931&lt;$U$9,INT(1931/($U$7*$U$8))+1,1)</f>
        <v/>
      </c>
      <c r="BO1944">
        <f>IF(1931&lt;$U$9,MOD(INT(1931/$U$8),$U$7)+1,1)</f>
        <v/>
      </c>
      <c r="BP1944">
        <f>IF(1931&lt;$U$9,MOD(1931,$U$8)+1,1)</f>
        <v/>
      </c>
      <c r="BQ1944">
        <f>IF(1931&lt;$U$9,SUMPRODUCT(($D$10:$L$10&lt;&gt;"")*(($D$9:$L$9+INT(($S$12:$AA$12+INDEX($AJ$13:$AR$162,BN1944,0)+INDEX($AT$13:$BB$162,BO1944,0)+INDEX($BD$13:$BL$162,BP1944,0))/100))&gt;=$D$10:$L$10)),0)</f>
        <v/>
      </c>
      <c r="BR1944">
        <f>IF(1931&lt;$U$9,SUMPRODUCT(($D$10:$L$10&lt;&gt;"")*(($D$10:$L$10-($D$9:$L$9+INT(($S$12:$AA$12+INDEX($AJ$13:$AR$162,BN1944,0)+INDEX($AT$13:$BB$162,BO1944,0)+INDEX($BD$13:$BL$162,BP1944,0))/100)))&gt;0)*($D$10:$L$10-($D$9:$L$9+INT(($S$12:$AA$12+INDEX($AJ$13:$AR$162,BN1944,0)+INDEX($AT$13:$BB$162,BO1944,0)+INDEX($BD$13:$BL$162,BP1944,0))/100)))),0)</f>
        <v/>
      </c>
      <c r="BS1944">
        <f>IF(1931&lt;$U$9,SUMPRODUCT(($D$9:$L$9+INT(($S$12:$AA$12+INDEX($AJ$13:$AR$162,BN1944,0)+INDEX($AT$13:$BB$162,BO1944,0)+INDEX($BD$13:$BL$162,BP1944,0))/100))),0)</f>
        <v/>
      </c>
      <c r="BT1944">
        <f>IF(AND(1931&lt;$U$9,$W$5),BQ1944*1000000-MIN(BR1944,999)*1000+BS1944-1931/100000,-1000000000-1931)</f>
        <v/>
      </c>
    </row>
    <row r="1945">
      <c r="BN1945">
        <f>IF(1932&lt;$U$9,INT(1932/($U$7*$U$8))+1,1)</f>
        <v/>
      </c>
      <c r="BO1945">
        <f>IF(1932&lt;$U$9,MOD(INT(1932/$U$8),$U$7)+1,1)</f>
        <v/>
      </c>
      <c r="BP1945">
        <f>IF(1932&lt;$U$9,MOD(1932,$U$8)+1,1)</f>
        <v/>
      </c>
      <c r="BQ1945">
        <f>IF(1932&lt;$U$9,SUMPRODUCT(($D$10:$L$10&lt;&gt;"")*(($D$9:$L$9+INT(($S$12:$AA$12+INDEX($AJ$13:$AR$162,BN1945,0)+INDEX($AT$13:$BB$162,BO1945,0)+INDEX($BD$13:$BL$162,BP1945,0))/100))&gt;=$D$10:$L$10)),0)</f>
        <v/>
      </c>
      <c r="BR1945">
        <f>IF(1932&lt;$U$9,SUMPRODUCT(($D$10:$L$10&lt;&gt;"")*(($D$10:$L$10-($D$9:$L$9+INT(($S$12:$AA$12+INDEX($AJ$13:$AR$162,BN1945,0)+INDEX($AT$13:$BB$162,BO1945,0)+INDEX($BD$13:$BL$162,BP1945,0))/100)))&gt;0)*($D$10:$L$10-($D$9:$L$9+INT(($S$12:$AA$12+INDEX($AJ$13:$AR$162,BN1945,0)+INDEX($AT$13:$BB$162,BO1945,0)+INDEX($BD$13:$BL$162,BP1945,0))/100)))),0)</f>
        <v/>
      </c>
      <c r="BS1945">
        <f>IF(1932&lt;$U$9,SUMPRODUCT(($D$9:$L$9+INT(($S$12:$AA$12+INDEX($AJ$13:$AR$162,BN1945,0)+INDEX($AT$13:$BB$162,BO1945,0)+INDEX($BD$13:$BL$162,BP1945,0))/100))),0)</f>
        <v/>
      </c>
      <c r="BT1945">
        <f>IF(AND(1932&lt;$U$9,$W$5),BQ1945*1000000-MIN(BR1945,999)*1000+BS1945-1932/100000,-1000000000-1932)</f>
        <v/>
      </c>
    </row>
    <row r="1946">
      <c r="BN1946">
        <f>IF(1933&lt;$U$9,INT(1933/($U$7*$U$8))+1,1)</f>
        <v/>
      </c>
      <c r="BO1946">
        <f>IF(1933&lt;$U$9,MOD(INT(1933/$U$8),$U$7)+1,1)</f>
        <v/>
      </c>
      <c r="BP1946">
        <f>IF(1933&lt;$U$9,MOD(1933,$U$8)+1,1)</f>
        <v/>
      </c>
      <c r="BQ1946">
        <f>IF(1933&lt;$U$9,SUMPRODUCT(($D$10:$L$10&lt;&gt;"")*(($D$9:$L$9+INT(($S$12:$AA$12+INDEX($AJ$13:$AR$162,BN1946,0)+INDEX($AT$13:$BB$162,BO1946,0)+INDEX($BD$13:$BL$162,BP1946,0))/100))&gt;=$D$10:$L$10)),0)</f>
        <v/>
      </c>
      <c r="BR1946">
        <f>IF(1933&lt;$U$9,SUMPRODUCT(($D$10:$L$10&lt;&gt;"")*(($D$10:$L$10-($D$9:$L$9+INT(($S$12:$AA$12+INDEX($AJ$13:$AR$162,BN1946,0)+INDEX($AT$13:$BB$162,BO1946,0)+INDEX($BD$13:$BL$162,BP1946,0))/100)))&gt;0)*($D$10:$L$10-($D$9:$L$9+INT(($S$12:$AA$12+INDEX($AJ$13:$AR$162,BN1946,0)+INDEX($AT$13:$BB$162,BO1946,0)+INDEX($BD$13:$BL$162,BP1946,0))/100)))),0)</f>
        <v/>
      </c>
      <c r="BS1946">
        <f>IF(1933&lt;$U$9,SUMPRODUCT(($D$9:$L$9+INT(($S$12:$AA$12+INDEX($AJ$13:$AR$162,BN1946,0)+INDEX($AT$13:$BB$162,BO1946,0)+INDEX($BD$13:$BL$162,BP1946,0))/100))),0)</f>
        <v/>
      </c>
      <c r="BT1946">
        <f>IF(AND(1933&lt;$U$9,$W$5),BQ1946*1000000-MIN(BR1946,999)*1000+BS1946-1933/100000,-1000000000-1933)</f>
        <v/>
      </c>
    </row>
    <row r="1947">
      <c r="BN1947">
        <f>IF(1934&lt;$U$9,INT(1934/($U$7*$U$8))+1,1)</f>
        <v/>
      </c>
      <c r="BO1947">
        <f>IF(1934&lt;$U$9,MOD(INT(1934/$U$8),$U$7)+1,1)</f>
        <v/>
      </c>
      <c r="BP1947">
        <f>IF(1934&lt;$U$9,MOD(1934,$U$8)+1,1)</f>
        <v/>
      </c>
      <c r="BQ1947">
        <f>IF(1934&lt;$U$9,SUMPRODUCT(($D$10:$L$10&lt;&gt;"")*(($D$9:$L$9+INT(($S$12:$AA$12+INDEX($AJ$13:$AR$162,BN1947,0)+INDEX($AT$13:$BB$162,BO1947,0)+INDEX($BD$13:$BL$162,BP1947,0))/100))&gt;=$D$10:$L$10)),0)</f>
        <v/>
      </c>
      <c r="BR1947">
        <f>IF(1934&lt;$U$9,SUMPRODUCT(($D$10:$L$10&lt;&gt;"")*(($D$10:$L$10-($D$9:$L$9+INT(($S$12:$AA$12+INDEX($AJ$13:$AR$162,BN1947,0)+INDEX($AT$13:$BB$162,BO1947,0)+INDEX($BD$13:$BL$162,BP1947,0))/100)))&gt;0)*($D$10:$L$10-($D$9:$L$9+INT(($S$12:$AA$12+INDEX($AJ$13:$AR$162,BN1947,0)+INDEX($AT$13:$BB$162,BO1947,0)+INDEX($BD$13:$BL$162,BP1947,0))/100)))),0)</f>
        <v/>
      </c>
      <c r="BS1947">
        <f>IF(1934&lt;$U$9,SUMPRODUCT(($D$9:$L$9+INT(($S$12:$AA$12+INDEX($AJ$13:$AR$162,BN1947,0)+INDEX($AT$13:$BB$162,BO1947,0)+INDEX($BD$13:$BL$162,BP1947,0))/100))),0)</f>
        <v/>
      </c>
      <c r="BT1947">
        <f>IF(AND(1934&lt;$U$9,$W$5),BQ1947*1000000-MIN(BR1947,999)*1000+BS1947-1934/100000,-1000000000-1934)</f>
        <v/>
      </c>
    </row>
    <row r="1948">
      <c r="BN1948">
        <f>IF(1935&lt;$U$9,INT(1935/($U$7*$U$8))+1,1)</f>
        <v/>
      </c>
      <c r="BO1948">
        <f>IF(1935&lt;$U$9,MOD(INT(1935/$U$8),$U$7)+1,1)</f>
        <v/>
      </c>
      <c r="BP1948">
        <f>IF(1935&lt;$U$9,MOD(1935,$U$8)+1,1)</f>
        <v/>
      </c>
      <c r="BQ1948">
        <f>IF(1935&lt;$U$9,SUMPRODUCT(($D$10:$L$10&lt;&gt;"")*(($D$9:$L$9+INT(($S$12:$AA$12+INDEX($AJ$13:$AR$162,BN1948,0)+INDEX($AT$13:$BB$162,BO1948,0)+INDEX($BD$13:$BL$162,BP1948,0))/100))&gt;=$D$10:$L$10)),0)</f>
        <v/>
      </c>
      <c r="BR1948">
        <f>IF(1935&lt;$U$9,SUMPRODUCT(($D$10:$L$10&lt;&gt;"")*(($D$10:$L$10-($D$9:$L$9+INT(($S$12:$AA$12+INDEX($AJ$13:$AR$162,BN1948,0)+INDEX($AT$13:$BB$162,BO1948,0)+INDEX($BD$13:$BL$162,BP1948,0))/100)))&gt;0)*($D$10:$L$10-($D$9:$L$9+INT(($S$12:$AA$12+INDEX($AJ$13:$AR$162,BN1948,0)+INDEX($AT$13:$BB$162,BO1948,0)+INDEX($BD$13:$BL$162,BP1948,0))/100)))),0)</f>
        <v/>
      </c>
      <c r="BS1948">
        <f>IF(1935&lt;$U$9,SUMPRODUCT(($D$9:$L$9+INT(($S$12:$AA$12+INDEX($AJ$13:$AR$162,BN1948,0)+INDEX($AT$13:$BB$162,BO1948,0)+INDEX($BD$13:$BL$162,BP1948,0))/100))),0)</f>
        <v/>
      </c>
      <c r="BT1948">
        <f>IF(AND(1935&lt;$U$9,$W$5),BQ1948*1000000-MIN(BR1948,999)*1000+BS1948-1935/100000,-1000000000-1935)</f>
        <v/>
      </c>
    </row>
    <row r="1949">
      <c r="BN1949">
        <f>IF(1936&lt;$U$9,INT(1936/($U$7*$U$8))+1,1)</f>
        <v/>
      </c>
      <c r="BO1949">
        <f>IF(1936&lt;$U$9,MOD(INT(1936/$U$8),$U$7)+1,1)</f>
        <v/>
      </c>
      <c r="BP1949">
        <f>IF(1936&lt;$U$9,MOD(1936,$U$8)+1,1)</f>
        <v/>
      </c>
      <c r="BQ1949">
        <f>IF(1936&lt;$U$9,SUMPRODUCT(($D$10:$L$10&lt;&gt;"")*(($D$9:$L$9+INT(($S$12:$AA$12+INDEX($AJ$13:$AR$162,BN1949,0)+INDEX($AT$13:$BB$162,BO1949,0)+INDEX($BD$13:$BL$162,BP1949,0))/100))&gt;=$D$10:$L$10)),0)</f>
        <v/>
      </c>
      <c r="BR1949">
        <f>IF(1936&lt;$U$9,SUMPRODUCT(($D$10:$L$10&lt;&gt;"")*(($D$10:$L$10-($D$9:$L$9+INT(($S$12:$AA$12+INDEX($AJ$13:$AR$162,BN1949,0)+INDEX($AT$13:$BB$162,BO1949,0)+INDEX($BD$13:$BL$162,BP1949,0))/100)))&gt;0)*($D$10:$L$10-($D$9:$L$9+INT(($S$12:$AA$12+INDEX($AJ$13:$AR$162,BN1949,0)+INDEX($AT$13:$BB$162,BO1949,0)+INDEX($BD$13:$BL$162,BP1949,0))/100)))),0)</f>
        <v/>
      </c>
      <c r="BS1949">
        <f>IF(1936&lt;$U$9,SUMPRODUCT(($D$9:$L$9+INT(($S$12:$AA$12+INDEX($AJ$13:$AR$162,BN1949,0)+INDEX($AT$13:$BB$162,BO1949,0)+INDEX($BD$13:$BL$162,BP1949,0))/100))),0)</f>
        <v/>
      </c>
      <c r="BT1949">
        <f>IF(AND(1936&lt;$U$9,$W$5),BQ1949*1000000-MIN(BR1949,999)*1000+BS1949-1936/100000,-1000000000-1936)</f>
        <v/>
      </c>
    </row>
    <row r="1950">
      <c r="BN1950">
        <f>IF(1937&lt;$U$9,INT(1937/($U$7*$U$8))+1,1)</f>
        <v/>
      </c>
      <c r="BO1950">
        <f>IF(1937&lt;$U$9,MOD(INT(1937/$U$8),$U$7)+1,1)</f>
        <v/>
      </c>
      <c r="BP1950">
        <f>IF(1937&lt;$U$9,MOD(1937,$U$8)+1,1)</f>
        <v/>
      </c>
      <c r="BQ1950">
        <f>IF(1937&lt;$U$9,SUMPRODUCT(($D$10:$L$10&lt;&gt;"")*(($D$9:$L$9+INT(($S$12:$AA$12+INDEX($AJ$13:$AR$162,BN1950,0)+INDEX($AT$13:$BB$162,BO1950,0)+INDEX($BD$13:$BL$162,BP1950,0))/100))&gt;=$D$10:$L$10)),0)</f>
        <v/>
      </c>
      <c r="BR1950">
        <f>IF(1937&lt;$U$9,SUMPRODUCT(($D$10:$L$10&lt;&gt;"")*(($D$10:$L$10-($D$9:$L$9+INT(($S$12:$AA$12+INDEX($AJ$13:$AR$162,BN1950,0)+INDEX($AT$13:$BB$162,BO1950,0)+INDEX($BD$13:$BL$162,BP1950,0))/100)))&gt;0)*($D$10:$L$10-($D$9:$L$9+INT(($S$12:$AA$12+INDEX($AJ$13:$AR$162,BN1950,0)+INDEX($AT$13:$BB$162,BO1950,0)+INDEX($BD$13:$BL$162,BP1950,0))/100)))),0)</f>
        <v/>
      </c>
      <c r="BS1950">
        <f>IF(1937&lt;$U$9,SUMPRODUCT(($D$9:$L$9+INT(($S$12:$AA$12+INDEX($AJ$13:$AR$162,BN1950,0)+INDEX($AT$13:$BB$162,BO1950,0)+INDEX($BD$13:$BL$162,BP1950,0))/100))),0)</f>
        <v/>
      </c>
      <c r="BT1950">
        <f>IF(AND(1937&lt;$U$9,$W$5),BQ1950*1000000-MIN(BR1950,999)*1000+BS1950-1937/100000,-1000000000-1937)</f>
        <v/>
      </c>
    </row>
    <row r="1951">
      <c r="BN1951">
        <f>IF(1938&lt;$U$9,INT(1938/($U$7*$U$8))+1,1)</f>
        <v/>
      </c>
      <c r="BO1951">
        <f>IF(1938&lt;$U$9,MOD(INT(1938/$U$8),$U$7)+1,1)</f>
        <v/>
      </c>
      <c r="BP1951">
        <f>IF(1938&lt;$U$9,MOD(1938,$U$8)+1,1)</f>
        <v/>
      </c>
      <c r="BQ1951">
        <f>IF(1938&lt;$U$9,SUMPRODUCT(($D$10:$L$10&lt;&gt;"")*(($D$9:$L$9+INT(($S$12:$AA$12+INDEX($AJ$13:$AR$162,BN1951,0)+INDEX($AT$13:$BB$162,BO1951,0)+INDEX($BD$13:$BL$162,BP1951,0))/100))&gt;=$D$10:$L$10)),0)</f>
        <v/>
      </c>
      <c r="BR1951">
        <f>IF(1938&lt;$U$9,SUMPRODUCT(($D$10:$L$10&lt;&gt;"")*(($D$10:$L$10-($D$9:$L$9+INT(($S$12:$AA$12+INDEX($AJ$13:$AR$162,BN1951,0)+INDEX($AT$13:$BB$162,BO1951,0)+INDEX($BD$13:$BL$162,BP1951,0))/100)))&gt;0)*($D$10:$L$10-($D$9:$L$9+INT(($S$12:$AA$12+INDEX($AJ$13:$AR$162,BN1951,0)+INDEX($AT$13:$BB$162,BO1951,0)+INDEX($BD$13:$BL$162,BP1951,0))/100)))),0)</f>
        <v/>
      </c>
      <c r="BS1951">
        <f>IF(1938&lt;$U$9,SUMPRODUCT(($D$9:$L$9+INT(($S$12:$AA$12+INDEX($AJ$13:$AR$162,BN1951,0)+INDEX($AT$13:$BB$162,BO1951,0)+INDEX($BD$13:$BL$162,BP1951,0))/100))),0)</f>
        <v/>
      </c>
      <c r="BT1951">
        <f>IF(AND(1938&lt;$U$9,$W$5),BQ1951*1000000-MIN(BR1951,999)*1000+BS1951-1938/100000,-1000000000-1938)</f>
        <v/>
      </c>
    </row>
    <row r="1952">
      <c r="BN1952">
        <f>IF(1939&lt;$U$9,INT(1939/($U$7*$U$8))+1,1)</f>
        <v/>
      </c>
      <c r="BO1952">
        <f>IF(1939&lt;$U$9,MOD(INT(1939/$U$8),$U$7)+1,1)</f>
        <v/>
      </c>
      <c r="BP1952">
        <f>IF(1939&lt;$U$9,MOD(1939,$U$8)+1,1)</f>
        <v/>
      </c>
      <c r="BQ1952">
        <f>IF(1939&lt;$U$9,SUMPRODUCT(($D$10:$L$10&lt;&gt;"")*(($D$9:$L$9+INT(($S$12:$AA$12+INDEX($AJ$13:$AR$162,BN1952,0)+INDEX($AT$13:$BB$162,BO1952,0)+INDEX($BD$13:$BL$162,BP1952,0))/100))&gt;=$D$10:$L$10)),0)</f>
        <v/>
      </c>
      <c r="BR1952">
        <f>IF(1939&lt;$U$9,SUMPRODUCT(($D$10:$L$10&lt;&gt;"")*(($D$10:$L$10-($D$9:$L$9+INT(($S$12:$AA$12+INDEX($AJ$13:$AR$162,BN1952,0)+INDEX($AT$13:$BB$162,BO1952,0)+INDEX($BD$13:$BL$162,BP1952,0))/100)))&gt;0)*($D$10:$L$10-($D$9:$L$9+INT(($S$12:$AA$12+INDEX($AJ$13:$AR$162,BN1952,0)+INDEX($AT$13:$BB$162,BO1952,0)+INDEX($BD$13:$BL$162,BP1952,0))/100)))),0)</f>
        <v/>
      </c>
      <c r="BS1952">
        <f>IF(1939&lt;$U$9,SUMPRODUCT(($D$9:$L$9+INT(($S$12:$AA$12+INDEX($AJ$13:$AR$162,BN1952,0)+INDEX($AT$13:$BB$162,BO1952,0)+INDEX($BD$13:$BL$162,BP1952,0))/100))),0)</f>
        <v/>
      </c>
      <c r="BT1952">
        <f>IF(AND(1939&lt;$U$9,$W$5),BQ1952*1000000-MIN(BR1952,999)*1000+BS1952-1939/100000,-1000000000-1939)</f>
        <v/>
      </c>
    </row>
    <row r="1953">
      <c r="BN1953">
        <f>IF(1940&lt;$U$9,INT(1940/($U$7*$U$8))+1,1)</f>
        <v/>
      </c>
      <c r="BO1953">
        <f>IF(1940&lt;$U$9,MOD(INT(1940/$U$8),$U$7)+1,1)</f>
        <v/>
      </c>
      <c r="BP1953">
        <f>IF(1940&lt;$U$9,MOD(1940,$U$8)+1,1)</f>
        <v/>
      </c>
      <c r="BQ1953">
        <f>IF(1940&lt;$U$9,SUMPRODUCT(($D$10:$L$10&lt;&gt;"")*(($D$9:$L$9+INT(($S$12:$AA$12+INDEX($AJ$13:$AR$162,BN1953,0)+INDEX($AT$13:$BB$162,BO1953,0)+INDEX($BD$13:$BL$162,BP1953,0))/100))&gt;=$D$10:$L$10)),0)</f>
        <v/>
      </c>
      <c r="BR1953">
        <f>IF(1940&lt;$U$9,SUMPRODUCT(($D$10:$L$10&lt;&gt;"")*(($D$10:$L$10-($D$9:$L$9+INT(($S$12:$AA$12+INDEX($AJ$13:$AR$162,BN1953,0)+INDEX($AT$13:$BB$162,BO1953,0)+INDEX($BD$13:$BL$162,BP1953,0))/100)))&gt;0)*($D$10:$L$10-($D$9:$L$9+INT(($S$12:$AA$12+INDEX($AJ$13:$AR$162,BN1953,0)+INDEX($AT$13:$BB$162,BO1953,0)+INDEX($BD$13:$BL$162,BP1953,0))/100)))),0)</f>
        <v/>
      </c>
      <c r="BS1953">
        <f>IF(1940&lt;$U$9,SUMPRODUCT(($D$9:$L$9+INT(($S$12:$AA$12+INDEX($AJ$13:$AR$162,BN1953,0)+INDEX($AT$13:$BB$162,BO1953,0)+INDEX($BD$13:$BL$162,BP1953,0))/100))),0)</f>
        <v/>
      </c>
      <c r="BT1953">
        <f>IF(AND(1940&lt;$U$9,$W$5),BQ1953*1000000-MIN(BR1953,999)*1000+BS1953-1940/100000,-1000000000-1940)</f>
        <v/>
      </c>
    </row>
    <row r="1954">
      <c r="BN1954">
        <f>IF(1941&lt;$U$9,INT(1941/($U$7*$U$8))+1,1)</f>
        <v/>
      </c>
      <c r="BO1954">
        <f>IF(1941&lt;$U$9,MOD(INT(1941/$U$8),$U$7)+1,1)</f>
        <v/>
      </c>
      <c r="BP1954">
        <f>IF(1941&lt;$U$9,MOD(1941,$U$8)+1,1)</f>
        <v/>
      </c>
      <c r="BQ1954">
        <f>IF(1941&lt;$U$9,SUMPRODUCT(($D$10:$L$10&lt;&gt;"")*(($D$9:$L$9+INT(($S$12:$AA$12+INDEX($AJ$13:$AR$162,BN1954,0)+INDEX($AT$13:$BB$162,BO1954,0)+INDEX($BD$13:$BL$162,BP1954,0))/100))&gt;=$D$10:$L$10)),0)</f>
        <v/>
      </c>
      <c r="BR1954">
        <f>IF(1941&lt;$U$9,SUMPRODUCT(($D$10:$L$10&lt;&gt;"")*(($D$10:$L$10-($D$9:$L$9+INT(($S$12:$AA$12+INDEX($AJ$13:$AR$162,BN1954,0)+INDEX($AT$13:$BB$162,BO1954,0)+INDEX($BD$13:$BL$162,BP1954,0))/100)))&gt;0)*($D$10:$L$10-($D$9:$L$9+INT(($S$12:$AA$12+INDEX($AJ$13:$AR$162,BN1954,0)+INDEX($AT$13:$BB$162,BO1954,0)+INDEX($BD$13:$BL$162,BP1954,0))/100)))),0)</f>
        <v/>
      </c>
      <c r="BS1954">
        <f>IF(1941&lt;$U$9,SUMPRODUCT(($D$9:$L$9+INT(($S$12:$AA$12+INDEX($AJ$13:$AR$162,BN1954,0)+INDEX($AT$13:$BB$162,BO1954,0)+INDEX($BD$13:$BL$162,BP1954,0))/100))),0)</f>
        <v/>
      </c>
      <c r="BT1954">
        <f>IF(AND(1941&lt;$U$9,$W$5),BQ1954*1000000-MIN(BR1954,999)*1000+BS1954-1941/100000,-1000000000-1941)</f>
        <v/>
      </c>
    </row>
    <row r="1955">
      <c r="BN1955">
        <f>IF(1942&lt;$U$9,INT(1942/($U$7*$U$8))+1,1)</f>
        <v/>
      </c>
      <c r="BO1955">
        <f>IF(1942&lt;$U$9,MOD(INT(1942/$U$8),$U$7)+1,1)</f>
        <v/>
      </c>
      <c r="BP1955">
        <f>IF(1942&lt;$U$9,MOD(1942,$U$8)+1,1)</f>
        <v/>
      </c>
      <c r="BQ1955">
        <f>IF(1942&lt;$U$9,SUMPRODUCT(($D$10:$L$10&lt;&gt;"")*(($D$9:$L$9+INT(($S$12:$AA$12+INDEX($AJ$13:$AR$162,BN1955,0)+INDEX($AT$13:$BB$162,BO1955,0)+INDEX($BD$13:$BL$162,BP1955,0))/100))&gt;=$D$10:$L$10)),0)</f>
        <v/>
      </c>
      <c r="BR1955">
        <f>IF(1942&lt;$U$9,SUMPRODUCT(($D$10:$L$10&lt;&gt;"")*(($D$10:$L$10-($D$9:$L$9+INT(($S$12:$AA$12+INDEX($AJ$13:$AR$162,BN1955,0)+INDEX($AT$13:$BB$162,BO1955,0)+INDEX($BD$13:$BL$162,BP1955,0))/100)))&gt;0)*($D$10:$L$10-($D$9:$L$9+INT(($S$12:$AA$12+INDEX($AJ$13:$AR$162,BN1955,0)+INDEX($AT$13:$BB$162,BO1955,0)+INDEX($BD$13:$BL$162,BP1955,0))/100)))),0)</f>
        <v/>
      </c>
      <c r="BS1955">
        <f>IF(1942&lt;$U$9,SUMPRODUCT(($D$9:$L$9+INT(($S$12:$AA$12+INDEX($AJ$13:$AR$162,BN1955,0)+INDEX($AT$13:$BB$162,BO1955,0)+INDEX($BD$13:$BL$162,BP1955,0))/100))),0)</f>
        <v/>
      </c>
      <c r="BT1955">
        <f>IF(AND(1942&lt;$U$9,$W$5),BQ1955*1000000-MIN(BR1955,999)*1000+BS1955-1942/100000,-1000000000-1942)</f>
        <v/>
      </c>
    </row>
    <row r="1956">
      <c r="BN1956">
        <f>IF(1943&lt;$U$9,INT(1943/($U$7*$U$8))+1,1)</f>
        <v/>
      </c>
      <c r="BO1956">
        <f>IF(1943&lt;$U$9,MOD(INT(1943/$U$8),$U$7)+1,1)</f>
        <v/>
      </c>
      <c r="BP1956">
        <f>IF(1943&lt;$U$9,MOD(1943,$U$8)+1,1)</f>
        <v/>
      </c>
      <c r="BQ1956">
        <f>IF(1943&lt;$U$9,SUMPRODUCT(($D$10:$L$10&lt;&gt;"")*(($D$9:$L$9+INT(($S$12:$AA$12+INDEX($AJ$13:$AR$162,BN1956,0)+INDEX($AT$13:$BB$162,BO1956,0)+INDEX($BD$13:$BL$162,BP1956,0))/100))&gt;=$D$10:$L$10)),0)</f>
        <v/>
      </c>
      <c r="BR1956">
        <f>IF(1943&lt;$U$9,SUMPRODUCT(($D$10:$L$10&lt;&gt;"")*(($D$10:$L$10-($D$9:$L$9+INT(($S$12:$AA$12+INDEX($AJ$13:$AR$162,BN1956,0)+INDEX($AT$13:$BB$162,BO1956,0)+INDEX($BD$13:$BL$162,BP1956,0))/100)))&gt;0)*($D$10:$L$10-($D$9:$L$9+INT(($S$12:$AA$12+INDEX($AJ$13:$AR$162,BN1956,0)+INDEX($AT$13:$BB$162,BO1956,0)+INDEX($BD$13:$BL$162,BP1956,0))/100)))),0)</f>
        <v/>
      </c>
      <c r="BS1956">
        <f>IF(1943&lt;$U$9,SUMPRODUCT(($D$9:$L$9+INT(($S$12:$AA$12+INDEX($AJ$13:$AR$162,BN1956,0)+INDEX($AT$13:$BB$162,BO1956,0)+INDEX($BD$13:$BL$162,BP1956,0))/100))),0)</f>
        <v/>
      </c>
      <c r="BT1956">
        <f>IF(AND(1943&lt;$U$9,$W$5),BQ1956*1000000-MIN(BR1956,999)*1000+BS1956-1943/100000,-1000000000-1943)</f>
        <v/>
      </c>
    </row>
    <row r="1957">
      <c r="BN1957">
        <f>IF(1944&lt;$U$9,INT(1944/($U$7*$U$8))+1,1)</f>
        <v/>
      </c>
      <c r="BO1957">
        <f>IF(1944&lt;$U$9,MOD(INT(1944/$U$8),$U$7)+1,1)</f>
        <v/>
      </c>
      <c r="BP1957">
        <f>IF(1944&lt;$U$9,MOD(1944,$U$8)+1,1)</f>
        <v/>
      </c>
      <c r="BQ1957">
        <f>IF(1944&lt;$U$9,SUMPRODUCT(($D$10:$L$10&lt;&gt;"")*(($D$9:$L$9+INT(($S$12:$AA$12+INDEX($AJ$13:$AR$162,BN1957,0)+INDEX($AT$13:$BB$162,BO1957,0)+INDEX($BD$13:$BL$162,BP1957,0))/100))&gt;=$D$10:$L$10)),0)</f>
        <v/>
      </c>
      <c r="BR1957">
        <f>IF(1944&lt;$U$9,SUMPRODUCT(($D$10:$L$10&lt;&gt;"")*(($D$10:$L$10-($D$9:$L$9+INT(($S$12:$AA$12+INDEX($AJ$13:$AR$162,BN1957,0)+INDEX($AT$13:$BB$162,BO1957,0)+INDEX($BD$13:$BL$162,BP1957,0))/100)))&gt;0)*($D$10:$L$10-($D$9:$L$9+INT(($S$12:$AA$12+INDEX($AJ$13:$AR$162,BN1957,0)+INDEX($AT$13:$BB$162,BO1957,0)+INDEX($BD$13:$BL$162,BP1957,0))/100)))),0)</f>
        <v/>
      </c>
      <c r="BS1957">
        <f>IF(1944&lt;$U$9,SUMPRODUCT(($D$9:$L$9+INT(($S$12:$AA$12+INDEX($AJ$13:$AR$162,BN1957,0)+INDEX($AT$13:$BB$162,BO1957,0)+INDEX($BD$13:$BL$162,BP1957,0))/100))),0)</f>
        <v/>
      </c>
      <c r="BT1957">
        <f>IF(AND(1944&lt;$U$9,$W$5),BQ1957*1000000-MIN(BR1957,999)*1000+BS1957-1944/100000,-1000000000-1944)</f>
        <v/>
      </c>
    </row>
    <row r="1958">
      <c r="BN1958">
        <f>IF(1945&lt;$U$9,INT(1945/($U$7*$U$8))+1,1)</f>
        <v/>
      </c>
      <c r="BO1958">
        <f>IF(1945&lt;$U$9,MOD(INT(1945/$U$8),$U$7)+1,1)</f>
        <v/>
      </c>
      <c r="BP1958">
        <f>IF(1945&lt;$U$9,MOD(1945,$U$8)+1,1)</f>
        <v/>
      </c>
      <c r="BQ1958">
        <f>IF(1945&lt;$U$9,SUMPRODUCT(($D$10:$L$10&lt;&gt;"")*(($D$9:$L$9+INT(($S$12:$AA$12+INDEX($AJ$13:$AR$162,BN1958,0)+INDEX($AT$13:$BB$162,BO1958,0)+INDEX($BD$13:$BL$162,BP1958,0))/100))&gt;=$D$10:$L$10)),0)</f>
        <v/>
      </c>
      <c r="BR1958">
        <f>IF(1945&lt;$U$9,SUMPRODUCT(($D$10:$L$10&lt;&gt;"")*(($D$10:$L$10-($D$9:$L$9+INT(($S$12:$AA$12+INDEX($AJ$13:$AR$162,BN1958,0)+INDEX($AT$13:$BB$162,BO1958,0)+INDEX($BD$13:$BL$162,BP1958,0))/100)))&gt;0)*($D$10:$L$10-($D$9:$L$9+INT(($S$12:$AA$12+INDEX($AJ$13:$AR$162,BN1958,0)+INDEX($AT$13:$BB$162,BO1958,0)+INDEX($BD$13:$BL$162,BP1958,0))/100)))),0)</f>
        <v/>
      </c>
      <c r="BS1958">
        <f>IF(1945&lt;$U$9,SUMPRODUCT(($D$9:$L$9+INT(($S$12:$AA$12+INDEX($AJ$13:$AR$162,BN1958,0)+INDEX($AT$13:$BB$162,BO1958,0)+INDEX($BD$13:$BL$162,BP1958,0))/100))),0)</f>
        <v/>
      </c>
      <c r="BT1958">
        <f>IF(AND(1945&lt;$U$9,$W$5),BQ1958*1000000-MIN(BR1958,999)*1000+BS1958-1945/100000,-1000000000-1945)</f>
        <v/>
      </c>
    </row>
    <row r="1959">
      <c r="BN1959">
        <f>IF(1946&lt;$U$9,INT(1946/($U$7*$U$8))+1,1)</f>
        <v/>
      </c>
      <c r="BO1959">
        <f>IF(1946&lt;$U$9,MOD(INT(1946/$U$8),$U$7)+1,1)</f>
        <v/>
      </c>
      <c r="BP1959">
        <f>IF(1946&lt;$U$9,MOD(1946,$U$8)+1,1)</f>
        <v/>
      </c>
      <c r="BQ1959">
        <f>IF(1946&lt;$U$9,SUMPRODUCT(($D$10:$L$10&lt;&gt;"")*(($D$9:$L$9+INT(($S$12:$AA$12+INDEX($AJ$13:$AR$162,BN1959,0)+INDEX($AT$13:$BB$162,BO1959,0)+INDEX($BD$13:$BL$162,BP1959,0))/100))&gt;=$D$10:$L$10)),0)</f>
        <v/>
      </c>
      <c r="BR1959">
        <f>IF(1946&lt;$U$9,SUMPRODUCT(($D$10:$L$10&lt;&gt;"")*(($D$10:$L$10-($D$9:$L$9+INT(($S$12:$AA$12+INDEX($AJ$13:$AR$162,BN1959,0)+INDEX($AT$13:$BB$162,BO1959,0)+INDEX($BD$13:$BL$162,BP1959,0))/100)))&gt;0)*($D$10:$L$10-($D$9:$L$9+INT(($S$12:$AA$12+INDEX($AJ$13:$AR$162,BN1959,0)+INDEX($AT$13:$BB$162,BO1959,0)+INDEX($BD$13:$BL$162,BP1959,0))/100)))),0)</f>
        <v/>
      </c>
      <c r="BS1959">
        <f>IF(1946&lt;$U$9,SUMPRODUCT(($D$9:$L$9+INT(($S$12:$AA$12+INDEX($AJ$13:$AR$162,BN1959,0)+INDEX($AT$13:$BB$162,BO1959,0)+INDEX($BD$13:$BL$162,BP1959,0))/100))),0)</f>
        <v/>
      </c>
      <c r="BT1959">
        <f>IF(AND(1946&lt;$U$9,$W$5),BQ1959*1000000-MIN(BR1959,999)*1000+BS1959-1946/100000,-1000000000-1946)</f>
        <v/>
      </c>
    </row>
    <row r="1960">
      <c r="BN1960">
        <f>IF(1947&lt;$U$9,INT(1947/($U$7*$U$8))+1,1)</f>
        <v/>
      </c>
      <c r="BO1960">
        <f>IF(1947&lt;$U$9,MOD(INT(1947/$U$8),$U$7)+1,1)</f>
        <v/>
      </c>
      <c r="BP1960">
        <f>IF(1947&lt;$U$9,MOD(1947,$U$8)+1,1)</f>
        <v/>
      </c>
      <c r="BQ1960">
        <f>IF(1947&lt;$U$9,SUMPRODUCT(($D$10:$L$10&lt;&gt;"")*(($D$9:$L$9+INT(($S$12:$AA$12+INDEX($AJ$13:$AR$162,BN1960,0)+INDEX($AT$13:$BB$162,BO1960,0)+INDEX($BD$13:$BL$162,BP1960,0))/100))&gt;=$D$10:$L$10)),0)</f>
        <v/>
      </c>
      <c r="BR1960">
        <f>IF(1947&lt;$U$9,SUMPRODUCT(($D$10:$L$10&lt;&gt;"")*(($D$10:$L$10-($D$9:$L$9+INT(($S$12:$AA$12+INDEX($AJ$13:$AR$162,BN1960,0)+INDEX($AT$13:$BB$162,BO1960,0)+INDEX($BD$13:$BL$162,BP1960,0))/100)))&gt;0)*($D$10:$L$10-($D$9:$L$9+INT(($S$12:$AA$12+INDEX($AJ$13:$AR$162,BN1960,0)+INDEX($AT$13:$BB$162,BO1960,0)+INDEX($BD$13:$BL$162,BP1960,0))/100)))),0)</f>
        <v/>
      </c>
      <c r="BS1960">
        <f>IF(1947&lt;$U$9,SUMPRODUCT(($D$9:$L$9+INT(($S$12:$AA$12+INDEX($AJ$13:$AR$162,BN1960,0)+INDEX($AT$13:$BB$162,BO1960,0)+INDEX($BD$13:$BL$162,BP1960,0))/100))),0)</f>
        <v/>
      </c>
      <c r="BT1960">
        <f>IF(AND(1947&lt;$U$9,$W$5),BQ1960*1000000-MIN(BR1960,999)*1000+BS1960-1947/100000,-1000000000-1947)</f>
        <v/>
      </c>
    </row>
    <row r="1961">
      <c r="BN1961">
        <f>IF(1948&lt;$U$9,INT(1948/($U$7*$U$8))+1,1)</f>
        <v/>
      </c>
      <c r="BO1961">
        <f>IF(1948&lt;$U$9,MOD(INT(1948/$U$8),$U$7)+1,1)</f>
        <v/>
      </c>
      <c r="BP1961">
        <f>IF(1948&lt;$U$9,MOD(1948,$U$8)+1,1)</f>
        <v/>
      </c>
      <c r="BQ1961">
        <f>IF(1948&lt;$U$9,SUMPRODUCT(($D$10:$L$10&lt;&gt;"")*(($D$9:$L$9+INT(($S$12:$AA$12+INDEX($AJ$13:$AR$162,BN1961,0)+INDEX($AT$13:$BB$162,BO1961,0)+INDEX($BD$13:$BL$162,BP1961,0))/100))&gt;=$D$10:$L$10)),0)</f>
        <v/>
      </c>
      <c r="BR1961">
        <f>IF(1948&lt;$U$9,SUMPRODUCT(($D$10:$L$10&lt;&gt;"")*(($D$10:$L$10-($D$9:$L$9+INT(($S$12:$AA$12+INDEX($AJ$13:$AR$162,BN1961,0)+INDEX($AT$13:$BB$162,BO1961,0)+INDEX($BD$13:$BL$162,BP1961,0))/100)))&gt;0)*($D$10:$L$10-($D$9:$L$9+INT(($S$12:$AA$12+INDEX($AJ$13:$AR$162,BN1961,0)+INDEX($AT$13:$BB$162,BO1961,0)+INDEX($BD$13:$BL$162,BP1961,0))/100)))),0)</f>
        <v/>
      </c>
      <c r="BS1961">
        <f>IF(1948&lt;$U$9,SUMPRODUCT(($D$9:$L$9+INT(($S$12:$AA$12+INDEX($AJ$13:$AR$162,BN1961,0)+INDEX($AT$13:$BB$162,BO1961,0)+INDEX($BD$13:$BL$162,BP1961,0))/100))),0)</f>
        <v/>
      </c>
      <c r="BT1961">
        <f>IF(AND(1948&lt;$U$9,$W$5),BQ1961*1000000-MIN(BR1961,999)*1000+BS1961-1948/100000,-1000000000-1948)</f>
        <v/>
      </c>
    </row>
    <row r="1962">
      <c r="BN1962">
        <f>IF(1949&lt;$U$9,INT(1949/($U$7*$U$8))+1,1)</f>
        <v/>
      </c>
      <c r="BO1962">
        <f>IF(1949&lt;$U$9,MOD(INT(1949/$U$8),$U$7)+1,1)</f>
        <v/>
      </c>
      <c r="BP1962">
        <f>IF(1949&lt;$U$9,MOD(1949,$U$8)+1,1)</f>
        <v/>
      </c>
      <c r="BQ1962">
        <f>IF(1949&lt;$U$9,SUMPRODUCT(($D$10:$L$10&lt;&gt;"")*(($D$9:$L$9+INT(($S$12:$AA$12+INDEX($AJ$13:$AR$162,BN1962,0)+INDEX($AT$13:$BB$162,BO1962,0)+INDEX($BD$13:$BL$162,BP1962,0))/100))&gt;=$D$10:$L$10)),0)</f>
        <v/>
      </c>
      <c r="BR1962">
        <f>IF(1949&lt;$U$9,SUMPRODUCT(($D$10:$L$10&lt;&gt;"")*(($D$10:$L$10-($D$9:$L$9+INT(($S$12:$AA$12+INDEX($AJ$13:$AR$162,BN1962,0)+INDEX($AT$13:$BB$162,BO1962,0)+INDEX($BD$13:$BL$162,BP1962,0))/100)))&gt;0)*($D$10:$L$10-($D$9:$L$9+INT(($S$12:$AA$12+INDEX($AJ$13:$AR$162,BN1962,0)+INDEX($AT$13:$BB$162,BO1962,0)+INDEX($BD$13:$BL$162,BP1962,0))/100)))),0)</f>
        <v/>
      </c>
      <c r="BS1962">
        <f>IF(1949&lt;$U$9,SUMPRODUCT(($D$9:$L$9+INT(($S$12:$AA$12+INDEX($AJ$13:$AR$162,BN1962,0)+INDEX($AT$13:$BB$162,BO1962,0)+INDEX($BD$13:$BL$162,BP1962,0))/100))),0)</f>
        <v/>
      </c>
      <c r="BT1962">
        <f>IF(AND(1949&lt;$U$9,$W$5),BQ1962*1000000-MIN(BR1962,999)*1000+BS1962-1949/100000,-1000000000-1949)</f>
        <v/>
      </c>
    </row>
    <row r="1963">
      <c r="BN1963">
        <f>IF(1950&lt;$U$9,INT(1950/($U$7*$U$8))+1,1)</f>
        <v/>
      </c>
      <c r="BO1963">
        <f>IF(1950&lt;$U$9,MOD(INT(1950/$U$8),$U$7)+1,1)</f>
        <v/>
      </c>
      <c r="BP1963">
        <f>IF(1950&lt;$U$9,MOD(1950,$U$8)+1,1)</f>
        <v/>
      </c>
      <c r="BQ1963">
        <f>IF(1950&lt;$U$9,SUMPRODUCT(($D$10:$L$10&lt;&gt;"")*(($D$9:$L$9+INT(($S$12:$AA$12+INDEX($AJ$13:$AR$162,BN1963,0)+INDEX($AT$13:$BB$162,BO1963,0)+INDEX($BD$13:$BL$162,BP1963,0))/100))&gt;=$D$10:$L$10)),0)</f>
        <v/>
      </c>
      <c r="BR1963">
        <f>IF(1950&lt;$U$9,SUMPRODUCT(($D$10:$L$10&lt;&gt;"")*(($D$10:$L$10-($D$9:$L$9+INT(($S$12:$AA$12+INDEX($AJ$13:$AR$162,BN1963,0)+INDEX($AT$13:$BB$162,BO1963,0)+INDEX($BD$13:$BL$162,BP1963,0))/100)))&gt;0)*($D$10:$L$10-($D$9:$L$9+INT(($S$12:$AA$12+INDEX($AJ$13:$AR$162,BN1963,0)+INDEX($AT$13:$BB$162,BO1963,0)+INDEX($BD$13:$BL$162,BP1963,0))/100)))),0)</f>
        <v/>
      </c>
      <c r="BS1963">
        <f>IF(1950&lt;$U$9,SUMPRODUCT(($D$9:$L$9+INT(($S$12:$AA$12+INDEX($AJ$13:$AR$162,BN1963,0)+INDEX($AT$13:$BB$162,BO1963,0)+INDEX($BD$13:$BL$162,BP1963,0))/100))),0)</f>
        <v/>
      </c>
      <c r="BT1963">
        <f>IF(AND(1950&lt;$U$9,$W$5),BQ1963*1000000-MIN(BR1963,999)*1000+BS1963-1950/100000,-1000000000-1950)</f>
        <v/>
      </c>
    </row>
    <row r="1964">
      <c r="BN1964">
        <f>IF(1951&lt;$U$9,INT(1951/($U$7*$U$8))+1,1)</f>
        <v/>
      </c>
      <c r="BO1964">
        <f>IF(1951&lt;$U$9,MOD(INT(1951/$U$8),$U$7)+1,1)</f>
        <v/>
      </c>
      <c r="BP1964">
        <f>IF(1951&lt;$U$9,MOD(1951,$U$8)+1,1)</f>
        <v/>
      </c>
      <c r="BQ1964">
        <f>IF(1951&lt;$U$9,SUMPRODUCT(($D$10:$L$10&lt;&gt;"")*(($D$9:$L$9+INT(($S$12:$AA$12+INDEX($AJ$13:$AR$162,BN1964,0)+INDEX($AT$13:$BB$162,BO1964,0)+INDEX($BD$13:$BL$162,BP1964,0))/100))&gt;=$D$10:$L$10)),0)</f>
        <v/>
      </c>
      <c r="BR1964">
        <f>IF(1951&lt;$U$9,SUMPRODUCT(($D$10:$L$10&lt;&gt;"")*(($D$10:$L$10-($D$9:$L$9+INT(($S$12:$AA$12+INDEX($AJ$13:$AR$162,BN1964,0)+INDEX($AT$13:$BB$162,BO1964,0)+INDEX($BD$13:$BL$162,BP1964,0))/100)))&gt;0)*($D$10:$L$10-($D$9:$L$9+INT(($S$12:$AA$12+INDEX($AJ$13:$AR$162,BN1964,0)+INDEX($AT$13:$BB$162,BO1964,0)+INDEX($BD$13:$BL$162,BP1964,0))/100)))),0)</f>
        <v/>
      </c>
      <c r="BS1964">
        <f>IF(1951&lt;$U$9,SUMPRODUCT(($D$9:$L$9+INT(($S$12:$AA$12+INDEX($AJ$13:$AR$162,BN1964,0)+INDEX($AT$13:$BB$162,BO1964,0)+INDEX($BD$13:$BL$162,BP1964,0))/100))),0)</f>
        <v/>
      </c>
      <c r="BT1964">
        <f>IF(AND(1951&lt;$U$9,$W$5),BQ1964*1000000-MIN(BR1964,999)*1000+BS1964-1951/100000,-1000000000-1951)</f>
        <v/>
      </c>
    </row>
    <row r="1965">
      <c r="BN1965">
        <f>IF(1952&lt;$U$9,INT(1952/($U$7*$U$8))+1,1)</f>
        <v/>
      </c>
      <c r="BO1965">
        <f>IF(1952&lt;$U$9,MOD(INT(1952/$U$8),$U$7)+1,1)</f>
        <v/>
      </c>
      <c r="BP1965">
        <f>IF(1952&lt;$U$9,MOD(1952,$U$8)+1,1)</f>
        <v/>
      </c>
      <c r="BQ1965">
        <f>IF(1952&lt;$U$9,SUMPRODUCT(($D$10:$L$10&lt;&gt;"")*(($D$9:$L$9+INT(($S$12:$AA$12+INDEX($AJ$13:$AR$162,BN1965,0)+INDEX($AT$13:$BB$162,BO1965,0)+INDEX($BD$13:$BL$162,BP1965,0))/100))&gt;=$D$10:$L$10)),0)</f>
        <v/>
      </c>
      <c r="BR1965">
        <f>IF(1952&lt;$U$9,SUMPRODUCT(($D$10:$L$10&lt;&gt;"")*(($D$10:$L$10-($D$9:$L$9+INT(($S$12:$AA$12+INDEX($AJ$13:$AR$162,BN1965,0)+INDEX($AT$13:$BB$162,BO1965,0)+INDEX($BD$13:$BL$162,BP1965,0))/100)))&gt;0)*($D$10:$L$10-($D$9:$L$9+INT(($S$12:$AA$12+INDEX($AJ$13:$AR$162,BN1965,0)+INDEX($AT$13:$BB$162,BO1965,0)+INDEX($BD$13:$BL$162,BP1965,0))/100)))),0)</f>
        <v/>
      </c>
      <c r="BS1965">
        <f>IF(1952&lt;$U$9,SUMPRODUCT(($D$9:$L$9+INT(($S$12:$AA$12+INDEX($AJ$13:$AR$162,BN1965,0)+INDEX($AT$13:$BB$162,BO1965,0)+INDEX($BD$13:$BL$162,BP1965,0))/100))),0)</f>
        <v/>
      </c>
      <c r="BT1965">
        <f>IF(AND(1952&lt;$U$9,$W$5),BQ1965*1000000-MIN(BR1965,999)*1000+BS1965-1952/100000,-1000000000-1952)</f>
        <v/>
      </c>
    </row>
    <row r="1966">
      <c r="BN1966">
        <f>IF(1953&lt;$U$9,INT(1953/($U$7*$U$8))+1,1)</f>
        <v/>
      </c>
      <c r="BO1966">
        <f>IF(1953&lt;$U$9,MOD(INT(1953/$U$8),$U$7)+1,1)</f>
        <v/>
      </c>
      <c r="BP1966">
        <f>IF(1953&lt;$U$9,MOD(1953,$U$8)+1,1)</f>
        <v/>
      </c>
      <c r="BQ1966">
        <f>IF(1953&lt;$U$9,SUMPRODUCT(($D$10:$L$10&lt;&gt;"")*(($D$9:$L$9+INT(($S$12:$AA$12+INDEX($AJ$13:$AR$162,BN1966,0)+INDEX($AT$13:$BB$162,BO1966,0)+INDEX($BD$13:$BL$162,BP1966,0))/100))&gt;=$D$10:$L$10)),0)</f>
        <v/>
      </c>
      <c r="BR1966">
        <f>IF(1953&lt;$U$9,SUMPRODUCT(($D$10:$L$10&lt;&gt;"")*(($D$10:$L$10-($D$9:$L$9+INT(($S$12:$AA$12+INDEX($AJ$13:$AR$162,BN1966,0)+INDEX($AT$13:$BB$162,BO1966,0)+INDEX($BD$13:$BL$162,BP1966,0))/100)))&gt;0)*($D$10:$L$10-($D$9:$L$9+INT(($S$12:$AA$12+INDEX($AJ$13:$AR$162,BN1966,0)+INDEX($AT$13:$BB$162,BO1966,0)+INDEX($BD$13:$BL$162,BP1966,0))/100)))),0)</f>
        <v/>
      </c>
      <c r="BS1966">
        <f>IF(1953&lt;$U$9,SUMPRODUCT(($D$9:$L$9+INT(($S$12:$AA$12+INDEX($AJ$13:$AR$162,BN1966,0)+INDEX($AT$13:$BB$162,BO1966,0)+INDEX($BD$13:$BL$162,BP1966,0))/100))),0)</f>
        <v/>
      </c>
      <c r="BT1966">
        <f>IF(AND(1953&lt;$U$9,$W$5),BQ1966*1000000-MIN(BR1966,999)*1000+BS1966-1953/100000,-1000000000-1953)</f>
        <v/>
      </c>
    </row>
    <row r="1967">
      <c r="BN1967">
        <f>IF(1954&lt;$U$9,INT(1954/($U$7*$U$8))+1,1)</f>
        <v/>
      </c>
      <c r="BO1967">
        <f>IF(1954&lt;$U$9,MOD(INT(1954/$U$8),$U$7)+1,1)</f>
        <v/>
      </c>
      <c r="BP1967">
        <f>IF(1954&lt;$U$9,MOD(1954,$U$8)+1,1)</f>
        <v/>
      </c>
      <c r="BQ1967">
        <f>IF(1954&lt;$U$9,SUMPRODUCT(($D$10:$L$10&lt;&gt;"")*(($D$9:$L$9+INT(($S$12:$AA$12+INDEX($AJ$13:$AR$162,BN1967,0)+INDEX($AT$13:$BB$162,BO1967,0)+INDEX($BD$13:$BL$162,BP1967,0))/100))&gt;=$D$10:$L$10)),0)</f>
        <v/>
      </c>
      <c r="BR1967">
        <f>IF(1954&lt;$U$9,SUMPRODUCT(($D$10:$L$10&lt;&gt;"")*(($D$10:$L$10-($D$9:$L$9+INT(($S$12:$AA$12+INDEX($AJ$13:$AR$162,BN1967,0)+INDEX($AT$13:$BB$162,BO1967,0)+INDEX($BD$13:$BL$162,BP1967,0))/100)))&gt;0)*($D$10:$L$10-($D$9:$L$9+INT(($S$12:$AA$12+INDEX($AJ$13:$AR$162,BN1967,0)+INDEX($AT$13:$BB$162,BO1967,0)+INDEX($BD$13:$BL$162,BP1967,0))/100)))),0)</f>
        <v/>
      </c>
      <c r="BS1967">
        <f>IF(1954&lt;$U$9,SUMPRODUCT(($D$9:$L$9+INT(($S$12:$AA$12+INDEX($AJ$13:$AR$162,BN1967,0)+INDEX($AT$13:$BB$162,BO1967,0)+INDEX($BD$13:$BL$162,BP1967,0))/100))),0)</f>
        <v/>
      </c>
      <c r="BT1967">
        <f>IF(AND(1954&lt;$U$9,$W$5),BQ1967*1000000-MIN(BR1967,999)*1000+BS1967-1954/100000,-1000000000-1954)</f>
        <v/>
      </c>
    </row>
    <row r="1968">
      <c r="BN1968">
        <f>IF(1955&lt;$U$9,INT(1955/($U$7*$U$8))+1,1)</f>
        <v/>
      </c>
      <c r="BO1968">
        <f>IF(1955&lt;$U$9,MOD(INT(1955/$U$8),$U$7)+1,1)</f>
        <v/>
      </c>
      <c r="BP1968">
        <f>IF(1955&lt;$U$9,MOD(1955,$U$8)+1,1)</f>
        <v/>
      </c>
      <c r="BQ1968">
        <f>IF(1955&lt;$U$9,SUMPRODUCT(($D$10:$L$10&lt;&gt;"")*(($D$9:$L$9+INT(($S$12:$AA$12+INDEX($AJ$13:$AR$162,BN1968,0)+INDEX($AT$13:$BB$162,BO1968,0)+INDEX($BD$13:$BL$162,BP1968,0))/100))&gt;=$D$10:$L$10)),0)</f>
        <v/>
      </c>
      <c r="BR1968">
        <f>IF(1955&lt;$U$9,SUMPRODUCT(($D$10:$L$10&lt;&gt;"")*(($D$10:$L$10-($D$9:$L$9+INT(($S$12:$AA$12+INDEX($AJ$13:$AR$162,BN1968,0)+INDEX($AT$13:$BB$162,BO1968,0)+INDEX($BD$13:$BL$162,BP1968,0))/100)))&gt;0)*($D$10:$L$10-($D$9:$L$9+INT(($S$12:$AA$12+INDEX($AJ$13:$AR$162,BN1968,0)+INDEX($AT$13:$BB$162,BO1968,0)+INDEX($BD$13:$BL$162,BP1968,0))/100)))),0)</f>
        <v/>
      </c>
      <c r="BS1968">
        <f>IF(1955&lt;$U$9,SUMPRODUCT(($D$9:$L$9+INT(($S$12:$AA$12+INDEX($AJ$13:$AR$162,BN1968,0)+INDEX($AT$13:$BB$162,BO1968,0)+INDEX($BD$13:$BL$162,BP1968,0))/100))),0)</f>
        <v/>
      </c>
      <c r="BT1968">
        <f>IF(AND(1955&lt;$U$9,$W$5),BQ1968*1000000-MIN(BR1968,999)*1000+BS1968-1955/100000,-1000000000-1955)</f>
        <v/>
      </c>
    </row>
    <row r="1969">
      <c r="BN1969">
        <f>IF(1956&lt;$U$9,INT(1956/($U$7*$U$8))+1,1)</f>
        <v/>
      </c>
      <c r="BO1969">
        <f>IF(1956&lt;$U$9,MOD(INT(1956/$U$8),$U$7)+1,1)</f>
        <v/>
      </c>
      <c r="BP1969">
        <f>IF(1956&lt;$U$9,MOD(1956,$U$8)+1,1)</f>
        <v/>
      </c>
      <c r="BQ1969">
        <f>IF(1956&lt;$U$9,SUMPRODUCT(($D$10:$L$10&lt;&gt;"")*(($D$9:$L$9+INT(($S$12:$AA$12+INDEX($AJ$13:$AR$162,BN1969,0)+INDEX($AT$13:$BB$162,BO1969,0)+INDEX($BD$13:$BL$162,BP1969,0))/100))&gt;=$D$10:$L$10)),0)</f>
        <v/>
      </c>
      <c r="BR1969">
        <f>IF(1956&lt;$U$9,SUMPRODUCT(($D$10:$L$10&lt;&gt;"")*(($D$10:$L$10-($D$9:$L$9+INT(($S$12:$AA$12+INDEX($AJ$13:$AR$162,BN1969,0)+INDEX($AT$13:$BB$162,BO1969,0)+INDEX($BD$13:$BL$162,BP1969,0))/100)))&gt;0)*($D$10:$L$10-($D$9:$L$9+INT(($S$12:$AA$12+INDEX($AJ$13:$AR$162,BN1969,0)+INDEX($AT$13:$BB$162,BO1969,0)+INDEX($BD$13:$BL$162,BP1969,0))/100)))),0)</f>
        <v/>
      </c>
      <c r="BS1969">
        <f>IF(1956&lt;$U$9,SUMPRODUCT(($D$9:$L$9+INT(($S$12:$AA$12+INDEX($AJ$13:$AR$162,BN1969,0)+INDEX($AT$13:$BB$162,BO1969,0)+INDEX($BD$13:$BL$162,BP1969,0))/100))),0)</f>
        <v/>
      </c>
      <c r="BT1969">
        <f>IF(AND(1956&lt;$U$9,$W$5),BQ1969*1000000-MIN(BR1969,999)*1000+BS1969-1956/100000,-1000000000-1956)</f>
        <v/>
      </c>
    </row>
    <row r="1970">
      <c r="BN1970">
        <f>IF(1957&lt;$U$9,INT(1957/($U$7*$U$8))+1,1)</f>
        <v/>
      </c>
      <c r="BO1970">
        <f>IF(1957&lt;$U$9,MOD(INT(1957/$U$8),$U$7)+1,1)</f>
        <v/>
      </c>
      <c r="BP1970">
        <f>IF(1957&lt;$U$9,MOD(1957,$U$8)+1,1)</f>
        <v/>
      </c>
      <c r="BQ1970">
        <f>IF(1957&lt;$U$9,SUMPRODUCT(($D$10:$L$10&lt;&gt;"")*(($D$9:$L$9+INT(($S$12:$AA$12+INDEX($AJ$13:$AR$162,BN1970,0)+INDEX($AT$13:$BB$162,BO1970,0)+INDEX($BD$13:$BL$162,BP1970,0))/100))&gt;=$D$10:$L$10)),0)</f>
        <v/>
      </c>
      <c r="BR1970">
        <f>IF(1957&lt;$U$9,SUMPRODUCT(($D$10:$L$10&lt;&gt;"")*(($D$10:$L$10-($D$9:$L$9+INT(($S$12:$AA$12+INDEX($AJ$13:$AR$162,BN1970,0)+INDEX($AT$13:$BB$162,BO1970,0)+INDEX($BD$13:$BL$162,BP1970,0))/100)))&gt;0)*($D$10:$L$10-($D$9:$L$9+INT(($S$12:$AA$12+INDEX($AJ$13:$AR$162,BN1970,0)+INDEX($AT$13:$BB$162,BO1970,0)+INDEX($BD$13:$BL$162,BP1970,0))/100)))),0)</f>
        <v/>
      </c>
      <c r="BS1970">
        <f>IF(1957&lt;$U$9,SUMPRODUCT(($D$9:$L$9+INT(($S$12:$AA$12+INDEX($AJ$13:$AR$162,BN1970,0)+INDEX($AT$13:$BB$162,BO1970,0)+INDEX($BD$13:$BL$162,BP1970,0))/100))),0)</f>
        <v/>
      </c>
      <c r="BT1970">
        <f>IF(AND(1957&lt;$U$9,$W$5),BQ1970*1000000-MIN(BR1970,999)*1000+BS1970-1957/100000,-1000000000-1957)</f>
        <v/>
      </c>
    </row>
    <row r="1971">
      <c r="BN1971">
        <f>IF(1958&lt;$U$9,INT(1958/($U$7*$U$8))+1,1)</f>
        <v/>
      </c>
      <c r="BO1971">
        <f>IF(1958&lt;$U$9,MOD(INT(1958/$U$8),$U$7)+1,1)</f>
        <v/>
      </c>
      <c r="BP1971">
        <f>IF(1958&lt;$U$9,MOD(1958,$U$8)+1,1)</f>
        <v/>
      </c>
      <c r="BQ1971">
        <f>IF(1958&lt;$U$9,SUMPRODUCT(($D$10:$L$10&lt;&gt;"")*(($D$9:$L$9+INT(($S$12:$AA$12+INDEX($AJ$13:$AR$162,BN1971,0)+INDEX($AT$13:$BB$162,BO1971,0)+INDEX($BD$13:$BL$162,BP1971,0))/100))&gt;=$D$10:$L$10)),0)</f>
        <v/>
      </c>
      <c r="BR1971">
        <f>IF(1958&lt;$U$9,SUMPRODUCT(($D$10:$L$10&lt;&gt;"")*(($D$10:$L$10-($D$9:$L$9+INT(($S$12:$AA$12+INDEX($AJ$13:$AR$162,BN1971,0)+INDEX($AT$13:$BB$162,BO1971,0)+INDEX($BD$13:$BL$162,BP1971,0))/100)))&gt;0)*($D$10:$L$10-($D$9:$L$9+INT(($S$12:$AA$12+INDEX($AJ$13:$AR$162,BN1971,0)+INDEX($AT$13:$BB$162,BO1971,0)+INDEX($BD$13:$BL$162,BP1971,0))/100)))),0)</f>
        <v/>
      </c>
      <c r="BS1971">
        <f>IF(1958&lt;$U$9,SUMPRODUCT(($D$9:$L$9+INT(($S$12:$AA$12+INDEX($AJ$13:$AR$162,BN1971,0)+INDEX($AT$13:$BB$162,BO1971,0)+INDEX($BD$13:$BL$162,BP1971,0))/100))),0)</f>
        <v/>
      </c>
      <c r="BT1971">
        <f>IF(AND(1958&lt;$U$9,$W$5),BQ1971*1000000-MIN(BR1971,999)*1000+BS1971-1958/100000,-1000000000-1958)</f>
        <v/>
      </c>
    </row>
    <row r="1972">
      <c r="BN1972">
        <f>IF(1959&lt;$U$9,INT(1959/($U$7*$U$8))+1,1)</f>
        <v/>
      </c>
      <c r="BO1972">
        <f>IF(1959&lt;$U$9,MOD(INT(1959/$U$8),$U$7)+1,1)</f>
        <v/>
      </c>
      <c r="BP1972">
        <f>IF(1959&lt;$U$9,MOD(1959,$U$8)+1,1)</f>
        <v/>
      </c>
      <c r="BQ1972">
        <f>IF(1959&lt;$U$9,SUMPRODUCT(($D$10:$L$10&lt;&gt;"")*(($D$9:$L$9+INT(($S$12:$AA$12+INDEX($AJ$13:$AR$162,BN1972,0)+INDEX($AT$13:$BB$162,BO1972,0)+INDEX($BD$13:$BL$162,BP1972,0))/100))&gt;=$D$10:$L$10)),0)</f>
        <v/>
      </c>
      <c r="BR1972">
        <f>IF(1959&lt;$U$9,SUMPRODUCT(($D$10:$L$10&lt;&gt;"")*(($D$10:$L$10-($D$9:$L$9+INT(($S$12:$AA$12+INDEX($AJ$13:$AR$162,BN1972,0)+INDEX($AT$13:$BB$162,BO1972,0)+INDEX($BD$13:$BL$162,BP1972,0))/100)))&gt;0)*($D$10:$L$10-($D$9:$L$9+INT(($S$12:$AA$12+INDEX($AJ$13:$AR$162,BN1972,0)+INDEX($AT$13:$BB$162,BO1972,0)+INDEX($BD$13:$BL$162,BP1972,0))/100)))),0)</f>
        <v/>
      </c>
      <c r="BS1972">
        <f>IF(1959&lt;$U$9,SUMPRODUCT(($D$9:$L$9+INT(($S$12:$AA$12+INDEX($AJ$13:$AR$162,BN1972,0)+INDEX($AT$13:$BB$162,BO1972,0)+INDEX($BD$13:$BL$162,BP1972,0))/100))),0)</f>
        <v/>
      </c>
      <c r="BT1972">
        <f>IF(AND(1959&lt;$U$9,$W$5),BQ1972*1000000-MIN(BR1972,999)*1000+BS1972-1959/100000,-1000000000-1959)</f>
        <v/>
      </c>
    </row>
    <row r="1973">
      <c r="BN1973">
        <f>IF(1960&lt;$U$9,INT(1960/($U$7*$U$8))+1,1)</f>
        <v/>
      </c>
      <c r="BO1973">
        <f>IF(1960&lt;$U$9,MOD(INT(1960/$U$8),$U$7)+1,1)</f>
        <v/>
      </c>
      <c r="BP1973">
        <f>IF(1960&lt;$U$9,MOD(1960,$U$8)+1,1)</f>
        <v/>
      </c>
      <c r="BQ1973">
        <f>IF(1960&lt;$U$9,SUMPRODUCT(($D$10:$L$10&lt;&gt;"")*(($D$9:$L$9+INT(($S$12:$AA$12+INDEX($AJ$13:$AR$162,BN1973,0)+INDEX($AT$13:$BB$162,BO1973,0)+INDEX($BD$13:$BL$162,BP1973,0))/100))&gt;=$D$10:$L$10)),0)</f>
        <v/>
      </c>
      <c r="BR1973">
        <f>IF(1960&lt;$U$9,SUMPRODUCT(($D$10:$L$10&lt;&gt;"")*(($D$10:$L$10-($D$9:$L$9+INT(($S$12:$AA$12+INDEX($AJ$13:$AR$162,BN1973,0)+INDEX($AT$13:$BB$162,BO1973,0)+INDEX($BD$13:$BL$162,BP1973,0))/100)))&gt;0)*($D$10:$L$10-($D$9:$L$9+INT(($S$12:$AA$12+INDEX($AJ$13:$AR$162,BN1973,0)+INDEX($AT$13:$BB$162,BO1973,0)+INDEX($BD$13:$BL$162,BP1973,0))/100)))),0)</f>
        <v/>
      </c>
      <c r="BS1973">
        <f>IF(1960&lt;$U$9,SUMPRODUCT(($D$9:$L$9+INT(($S$12:$AA$12+INDEX($AJ$13:$AR$162,BN1973,0)+INDEX($AT$13:$BB$162,BO1973,0)+INDEX($BD$13:$BL$162,BP1973,0))/100))),0)</f>
        <v/>
      </c>
      <c r="BT1973">
        <f>IF(AND(1960&lt;$U$9,$W$5),BQ1973*1000000-MIN(BR1973,999)*1000+BS1973-1960/100000,-1000000000-1960)</f>
        <v/>
      </c>
    </row>
    <row r="1974">
      <c r="BN1974">
        <f>IF(1961&lt;$U$9,INT(1961/($U$7*$U$8))+1,1)</f>
        <v/>
      </c>
      <c r="BO1974">
        <f>IF(1961&lt;$U$9,MOD(INT(1961/$U$8),$U$7)+1,1)</f>
        <v/>
      </c>
      <c r="BP1974">
        <f>IF(1961&lt;$U$9,MOD(1961,$U$8)+1,1)</f>
        <v/>
      </c>
      <c r="BQ1974">
        <f>IF(1961&lt;$U$9,SUMPRODUCT(($D$10:$L$10&lt;&gt;"")*(($D$9:$L$9+INT(($S$12:$AA$12+INDEX($AJ$13:$AR$162,BN1974,0)+INDEX($AT$13:$BB$162,BO1974,0)+INDEX($BD$13:$BL$162,BP1974,0))/100))&gt;=$D$10:$L$10)),0)</f>
        <v/>
      </c>
      <c r="BR1974">
        <f>IF(1961&lt;$U$9,SUMPRODUCT(($D$10:$L$10&lt;&gt;"")*(($D$10:$L$10-($D$9:$L$9+INT(($S$12:$AA$12+INDEX($AJ$13:$AR$162,BN1974,0)+INDEX($AT$13:$BB$162,BO1974,0)+INDEX($BD$13:$BL$162,BP1974,0))/100)))&gt;0)*($D$10:$L$10-($D$9:$L$9+INT(($S$12:$AA$12+INDEX($AJ$13:$AR$162,BN1974,0)+INDEX($AT$13:$BB$162,BO1974,0)+INDEX($BD$13:$BL$162,BP1974,0))/100)))),0)</f>
        <v/>
      </c>
      <c r="BS1974">
        <f>IF(1961&lt;$U$9,SUMPRODUCT(($D$9:$L$9+INT(($S$12:$AA$12+INDEX($AJ$13:$AR$162,BN1974,0)+INDEX($AT$13:$BB$162,BO1974,0)+INDEX($BD$13:$BL$162,BP1974,0))/100))),0)</f>
        <v/>
      </c>
      <c r="BT1974">
        <f>IF(AND(1961&lt;$U$9,$W$5),BQ1974*1000000-MIN(BR1974,999)*1000+BS1974-1961/100000,-1000000000-1961)</f>
        <v/>
      </c>
    </row>
    <row r="1975">
      <c r="BN1975">
        <f>IF(1962&lt;$U$9,INT(1962/($U$7*$U$8))+1,1)</f>
        <v/>
      </c>
      <c r="BO1975">
        <f>IF(1962&lt;$U$9,MOD(INT(1962/$U$8),$U$7)+1,1)</f>
        <v/>
      </c>
      <c r="BP1975">
        <f>IF(1962&lt;$U$9,MOD(1962,$U$8)+1,1)</f>
        <v/>
      </c>
      <c r="BQ1975">
        <f>IF(1962&lt;$U$9,SUMPRODUCT(($D$10:$L$10&lt;&gt;"")*(($D$9:$L$9+INT(($S$12:$AA$12+INDEX($AJ$13:$AR$162,BN1975,0)+INDEX($AT$13:$BB$162,BO1975,0)+INDEX($BD$13:$BL$162,BP1975,0))/100))&gt;=$D$10:$L$10)),0)</f>
        <v/>
      </c>
      <c r="BR1975">
        <f>IF(1962&lt;$U$9,SUMPRODUCT(($D$10:$L$10&lt;&gt;"")*(($D$10:$L$10-($D$9:$L$9+INT(($S$12:$AA$12+INDEX($AJ$13:$AR$162,BN1975,0)+INDEX($AT$13:$BB$162,BO1975,0)+INDEX($BD$13:$BL$162,BP1975,0))/100)))&gt;0)*($D$10:$L$10-($D$9:$L$9+INT(($S$12:$AA$12+INDEX($AJ$13:$AR$162,BN1975,0)+INDEX($AT$13:$BB$162,BO1975,0)+INDEX($BD$13:$BL$162,BP1975,0))/100)))),0)</f>
        <v/>
      </c>
      <c r="BS1975">
        <f>IF(1962&lt;$U$9,SUMPRODUCT(($D$9:$L$9+INT(($S$12:$AA$12+INDEX($AJ$13:$AR$162,BN1975,0)+INDEX($AT$13:$BB$162,BO1975,0)+INDEX($BD$13:$BL$162,BP1975,0))/100))),0)</f>
        <v/>
      </c>
      <c r="BT1975">
        <f>IF(AND(1962&lt;$U$9,$W$5),BQ1975*1000000-MIN(BR1975,999)*1000+BS1975-1962/100000,-1000000000-1962)</f>
        <v/>
      </c>
    </row>
    <row r="1976">
      <c r="BN1976">
        <f>IF(1963&lt;$U$9,INT(1963/($U$7*$U$8))+1,1)</f>
        <v/>
      </c>
      <c r="BO1976">
        <f>IF(1963&lt;$U$9,MOD(INT(1963/$U$8),$U$7)+1,1)</f>
        <v/>
      </c>
      <c r="BP1976">
        <f>IF(1963&lt;$U$9,MOD(1963,$U$8)+1,1)</f>
        <v/>
      </c>
      <c r="BQ1976">
        <f>IF(1963&lt;$U$9,SUMPRODUCT(($D$10:$L$10&lt;&gt;"")*(($D$9:$L$9+INT(($S$12:$AA$12+INDEX($AJ$13:$AR$162,BN1976,0)+INDEX($AT$13:$BB$162,BO1976,0)+INDEX($BD$13:$BL$162,BP1976,0))/100))&gt;=$D$10:$L$10)),0)</f>
        <v/>
      </c>
      <c r="BR1976">
        <f>IF(1963&lt;$U$9,SUMPRODUCT(($D$10:$L$10&lt;&gt;"")*(($D$10:$L$10-($D$9:$L$9+INT(($S$12:$AA$12+INDEX($AJ$13:$AR$162,BN1976,0)+INDEX($AT$13:$BB$162,BO1976,0)+INDEX($BD$13:$BL$162,BP1976,0))/100)))&gt;0)*($D$10:$L$10-($D$9:$L$9+INT(($S$12:$AA$12+INDEX($AJ$13:$AR$162,BN1976,0)+INDEX($AT$13:$BB$162,BO1976,0)+INDEX($BD$13:$BL$162,BP1976,0))/100)))),0)</f>
        <v/>
      </c>
      <c r="BS1976">
        <f>IF(1963&lt;$U$9,SUMPRODUCT(($D$9:$L$9+INT(($S$12:$AA$12+INDEX($AJ$13:$AR$162,BN1976,0)+INDEX($AT$13:$BB$162,BO1976,0)+INDEX($BD$13:$BL$162,BP1976,0))/100))),0)</f>
        <v/>
      </c>
      <c r="BT1976">
        <f>IF(AND(1963&lt;$U$9,$W$5),BQ1976*1000000-MIN(BR1976,999)*1000+BS1976-1963/100000,-1000000000-1963)</f>
        <v/>
      </c>
    </row>
    <row r="1977">
      <c r="BN1977">
        <f>IF(1964&lt;$U$9,INT(1964/($U$7*$U$8))+1,1)</f>
        <v/>
      </c>
      <c r="BO1977">
        <f>IF(1964&lt;$U$9,MOD(INT(1964/$U$8),$U$7)+1,1)</f>
        <v/>
      </c>
      <c r="BP1977">
        <f>IF(1964&lt;$U$9,MOD(1964,$U$8)+1,1)</f>
        <v/>
      </c>
      <c r="BQ1977">
        <f>IF(1964&lt;$U$9,SUMPRODUCT(($D$10:$L$10&lt;&gt;"")*(($D$9:$L$9+INT(($S$12:$AA$12+INDEX($AJ$13:$AR$162,BN1977,0)+INDEX($AT$13:$BB$162,BO1977,0)+INDEX($BD$13:$BL$162,BP1977,0))/100))&gt;=$D$10:$L$10)),0)</f>
        <v/>
      </c>
      <c r="BR1977">
        <f>IF(1964&lt;$U$9,SUMPRODUCT(($D$10:$L$10&lt;&gt;"")*(($D$10:$L$10-($D$9:$L$9+INT(($S$12:$AA$12+INDEX($AJ$13:$AR$162,BN1977,0)+INDEX($AT$13:$BB$162,BO1977,0)+INDEX($BD$13:$BL$162,BP1977,0))/100)))&gt;0)*($D$10:$L$10-($D$9:$L$9+INT(($S$12:$AA$12+INDEX($AJ$13:$AR$162,BN1977,0)+INDEX($AT$13:$BB$162,BO1977,0)+INDEX($BD$13:$BL$162,BP1977,0))/100)))),0)</f>
        <v/>
      </c>
      <c r="BS1977">
        <f>IF(1964&lt;$U$9,SUMPRODUCT(($D$9:$L$9+INT(($S$12:$AA$12+INDEX($AJ$13:$AR$162,BN1977,0)+INDEX($AT$13:$BB$162,BO1977,0)+INDEX($BD$13:$BL$162,BP1977,0))/100))),0)</f>
        <v/>
      </c>
      <c r="BT1977">
        <f>IF(AND(1964&lt;$U$9,$W$5),BQ1977*1000000-MIN(BR1977,999)*1000+BS1977-1964/100000,-1000000000-1964)</f>
        <v/>
      </c>
    </row>
    <row r="1978">
      <c r="BN1978">
        <f>IF(1965&lt;$U$9,INT(1965/($U$7*$U$8))+1,1)</f>
        <v/>
      </c>
      <c r="BO1978">
        <f>IF(1965&lt;$U$9,MOD(INT(1965/$U$8),$U$7)+1,1)</f>
        <v/>
      </c>
      <c r="BP1978">
        <f>IF(1965&lt;$U$9,MOD(1965,$U$8)+1,1)</f>
        <v/>
      </c>
      <c r="BQ1978">
        <f>IF(1965&lt;$U$9,SUMPRODUCT(($D$10:$L$10&lt;&gt;"")*(($D$9:$L$9+INT(($S$12:$AA$12+INDEX($AJ$13:$AR$162,BN1978,0)+INDEX($AT$13:$BB$162,BO1978,0)+INDEX($BD$13:$BL$162,BP1978,0))/100))&gt;=$D$10:$L$10)),0)</f>
        <v/>
      </c>
      <c r="BR1978">
        <f>IF(1965&lt;$U$9,SUMPRODUCT(($D$10:$L$10&lt;&gt;"")*(($D$10:$L$10-($D$9:$L$9+INT(($S$12:$AA$12+INDEX($AJ$13:$AR$162,BN1978,0)+INDEX($AT$13:$BB$162,BO1978,0)+INDEX($BD$13:$BL$162,BP1978,0))/100)))&gt;0)*($D$10:$L$10-($D$9:$L$9+INT(($S$12:$AA$12+INDEX($AJ$13:$AR$162,BN1978,0)+INDEX($AT$13:$BB$162,BO1978,0)+INDEX($BD$13:$BL$162,BP1978,0))/100)))),0)</f>
        <v/>
      </c>
      <c r="BS1978">
        <f>IF(1965&lt;$U$9,SUMPRODUCT(($D$9:$L$9+INT(($S$12:$AA$12+INDEX($AJ$13:$AR$162,BN1978,0)+INDEX($AT$13:$BB$162,BO1978,0)+INDEX($BD$13:$BL$162,BP1978,0))/100))),0)</f>
        <v/>
      </c>
      <c r="BT1978">
        <f>IF(AND(1965&lt;$U$9,$W$5),BQ1978*1000000-MIN(BR1978,999)*1000+BS1978-1965/100000,-1000000000-1965)</f>
        <v/>
      </c>
    </row>
    <row r="1979">
      <c r="BN1979">
        <f>IF(1966&lt;$U$9,INT(1966/($U$7*$U$8))+1,1)</f>
        <v/>
      </c>
      <c r="BO1979">
        <f>IF(1966&lt;$U$9,MOD(INT(1966/$U$8),$U$7)+1,1)</f>
        <v/>
      </c>
      <c r="BP1979">
        <f>IF(1966&lt;$U$9,MOD(1966,$U$8)+1,1)</f>
        <v/>
      </c>
      <c r="BQ1979">
        <f>IF(1966&lt;$U$9,SUMPRODUCT(($D$10:$L$10&lt;&gt;"")*(($D$9:$L$9+INT(($S$12:$AA$12+INDEX($AJ$13:$AR$162,BN1979,0)+INDEX($AT$13:$BB$162,BO1979,0)+INDEX($BD$13:$BL$162,BP1979,0))/100))&gt;=$D$10:$L$10)),0)</f>
        <v/>
      </c>
      <c r="BR1979">
        <f>IF(1966&lt;$U$9,SUMPRODUCT(($D$10:$L$10&lt;&gt;"")*(($D$10:$L$10-($D$9:$L$9+INT(($S$12:$AA$12+INDEX($AJ$13:$AR$162,BN1979,0)+INDEX($AT$13:$BB$162,BO1979,0)+INDEX($BD$13:$BL$162,BP1979,0))/100)))&gt;0)*($D$10:$L$10-($D$9:$L$9+INT(($S$12:$AA$12+INDEX($AJ$13:$AR$162,BN1979,0)+INDEX($AT$13:$BB$162,BO1979,0)+INDEX($BD$13:$BL$162,BP1979,0))/100)))),0)</f>
        <v/>
      </c>
      <c r="BS1979">
        <f>IF(1966&lt;$U$9,SUMPRODUCT(($D$9:$L$9+INT(($S$12:$AA$12+INDEX($AJ$13:$AR$162,BN1979,0)+INDEX($AT$13:$BB$162,BO1979,0)+INDEX($BD$13:$BL$162,BP1979,0))/100))),0)</f>
        <v/>
      </c>
      <c r="BT1979">
        <f>IF(AND(1966&lt;$U$9,$W$5),BQ1979*1000000-MIN(BR1979,999)*1000+BS1979-1966/100000,-1000000000-1966)</f>
        <v/>
      </c>
    </row>
    <row r="1980">
      <c r="BN1980">
        <f>IF(1967&lt;$U$9,INT(1967/($U$7*$U$8))+1,1)</f>
        <v/>
      </c>
      <c r="BO1980">
        <f>IF(1967&lt;$U$9,MOD(INT(1967/$U$8),$U$7)+1,1)</f>
        <v/>
      </c>
      <c r="BP1980">
        <f>IF(1967&lt;$U$9,MOD(1967,$U$8)+1,1)</f>
        <v/>
      </c>
      <c r="BQ1980">
        <f>IF(1967&lt;$U$9,SUMPRODUCT(($D$10:$L$10&lt;&gt;"")*(($D$9:$L$9+INT(($S$12:$AA$12+INDEX($AJ$13:$AR$162,BN1980,0)+INDEX($AT$13:$BB$162,BO1980,0)+INDEX($BD$13:$BL$162,BP1980,0))/100))&gt;=$D$10:$L$10)),0)</f>
        <v/>
      </c>
      <c r="BR1980">
        <f>IF(1967&lt;$U$9,SUMPRODUCT(($D$10:$L$10&lt;&gt;"")*(($D$10:$L$10-($D$9:$L$9+INT(($S$12:$AA$12+INDEX($AJ$13:$AR$162,BN1980,0)+INDEX($AT$13:$BB$162,BO1980,0)+INDEX($BD$13:$BL$162,BP1980,0))/100)))&gt;0)*($D$10:$L$10-($D$9:$L$9+INT(($S$12:$AA$12+INDEX($AJ$13:$AR$162,BN1980,0)+INDEX($AT$13:$BB$162,BO1980,0)+INDEX($BD$13:$BL$162,BP1980,0))/100)))),0)</f>
        <v/>
      </c>
      <c r="BS1980">
        <f>IF(1967&lt;$U$9,SUMPRODUCT(($D$9:$L$9+INT(($S$12:$AA$12+INDEX($AJ$13:$AR$162,BN1980,0)+INDEX($AT$13:$BB$162,BO1980,0)+INDEX($BD$13:$BL$162,BP1980,0))/100))),0)</f>
        <v/>
      </c>
      <c r="BT1980">
        <f>IF(AND(1967&lt;$U$9,$W$5),BQ1980*1000000-MIN(BR1980,999)*1000+BS1980-1967/100000,-1000000000-1967)</f>
        <v/>
      </c>
    </row>
    <row r="1981">
      <c r="BN1981">
        <f>IF(1968&lt;$U$9,INT(1968/($U$7*$U$8))+1,1)</f>
        <v/>
      </c>
      <c r="BO1981">
        <f>IF(1968&lt;$U$9,MOD(INT(1968/$U$8),$U$7)+1,1)</f>
        <v/>
      </c>
      <c r="BP1981">
        <f>IF(1968&lt;$U$9,MOD(1968,$U$8)+1,1)</f>
        <v/>
      </c>
      <c r="BQ1981">
        <f>IF(1968&lt;$U$9,SUMPRODUCT(($D$10:$L$10&lt;&gt;"")*(($D$9:$L$9+INT(($S$12:$AA$12+INDEX($AJ$13:$AR$162,BN1981,0)+INDEX($AT$13:$BB$162,BO1981,0)+INDEX($BD$13:$BL$162,BP1981,0))/100))&gt;=$D$10:$L$10)),0)</f>
        <v/>
      </c>
      <c r="BR1981">
        <f>IF(1968&lt;$U$9,SUMPRODUCT(($D$10:$L$10&lt;&gt;"")*(($D$10:$L$10-($D$9:$L$9+INT(($S$12:$AA$12+INDEX($AJ$13:$AR$162,BN1981,0)+INDEX($AT$13:$BB$162,BO1981,0)+INDEX($BD$13:$BL$162,BP1981,0))/100)))&gt;0)*($D$10:$L$10-($D$9:$L$9+INT(($S$12:$AA$12+INDEX($AJ$13:$AR$162,BN1981,0)+INDEX($AT$13:$BB$162,BO1981,0)+INDEX($BD$13:$BL$162,BP1981,0))/100)))),0)</f>
        <v/>
      </c>
      <c r="BS1981">
        <f>IF(1968&lt;$U$9,SUMPRODUCT(($D$9:$L$9+INT(($S$12:$AA$12+INDEX($AJ$13:$AR$162,BN1981,0)+INDEX($AT$13:$BB$162,BO1981,0)+INDEX($BD$13:$BL$162,BP1981,0))/100))),0)</f>
        <v/>
      </c>
      <c r="BT1981">
        <f>IF(AND(1968&lt;$U$9,$W$5),BQ1981*1000000-MIN(BR1981,999)*1000+BS1981-1968/100000,-1000000000-1968)</f>
        <v/>
      </c>
    </row>
    <row r="1982">
      <c r="BN1982">
        <f>IF(1969&lt;$U$9,INT(1969/($U$7*$U$8))+1,1)</f>
        <v/>
      </c>
      <c r="BO1982">
        <f>IF(1969&lt;$U$9,MOD(INT(1969/$U$8),$U$7)+1,1)</f>
        <v/>
      </c>
      <c r="BP1982">
        <f>IF(1969&lt;$U$9,MOD(1969,$U$8)+1,1)</f>
        <v/>
      </c>
      <c r="BQ1982">
        <f>IF(1969&lt;$U$9,SUMPRODUCT(($D$10:$L$10&lt;&gt;"")*(($D$9:$L$9+INT(($S$12:$AA$12+INDEX($AJ$13:$AR$162,BN1982,0)+INDEX($AT$13:$BB$162,BO1982,0)+INDEX($BD$13:$BL$162,BP1982,0))/100))&gt;=$D$10:$L$10)),0)</f>
        <v/>
      </c>
      <c r="BR1982">
        <f>IF(1969&lt;$U$9,SUMPRODUCT(($D$10:$L$10&lt;&gt;"")*(($D$10:$L$10-($D$9:$L$9+INT(($S$12:$AA$12+INDEX($AJ$13:$AR$162,BN1982,0)+INDEX($AT$13:$BB$162,BO1982,0)+INDEX($BD$13:$BL$162,BP1982,0))/100)))&gt;0)*($D$10:$L$10-($D$9:$L$9+INT(($S$12:$AA$12+INDEX($AJ$13:$AR$162,BN1982,0)+INDEX($AT$13:$BB$162,BO1982,0)+INDEX($BD$13:$BL$162,BP1982,0))/100)))),0)</f>
        <v/>
      </c>
      <c r="BS1982">
        <f>IF(1969&lt;$U$9,SUMPRODUCT(($D$9:$L$9+INT(($S$12:$AA$12+INDEX($AJ$13:$AR$162,BN1982,0)+INDEX($AT$13:$BB$162,BO1982,0)+INDEX($BD$13:$BL$162,BP1982,0))/100))),0)</f>
        <v/>
      </c>
      <c r="BT1982">
        <f>IF(AND(1969&lt;$U$9,$W$5),BQ1982*1000000-MIN(BR1982,999)*1000+BS1982-1969/100000,-1000000000-1969)</f>
        <v/>
      </c>
    </row>
    <row r="1983">
      <c r="BN1983">
        <f>IF(1970&lt;$U$9,INT(1970/($U$7*$U$8))+1,1)</f>
        <v/>
      </c>
      <c r="BO1983">
        <f>IF(1970&lt;$U$9,MOD(INT(1970/$U$8),$U$7)+1,1)</f>
        <v/>
      </c>
      <c r="BP1983">
        <f>IF(1970&lt;$U$9,MOD(1970,$U$8)+1,1)</f>
        <v/>
      </c>
      <c r="BQ1983">
        <f>IF(1970&lt;$U$9,SUMPRODUCT(($D$10:$L$10&lt;&gt;"")*(($D$9:$L$9+INT(($S$12:$AA$12+INDEX($AJ$13:$AR$162,BN1983,0)+INDEX($AT$13:$BB$162,BO1983,0)+INDEX($BD$13:$BL$162,BP1983,0))/100))&gt;=$D$10:$L$10)),0)</f>
        <v/>
      </c>
      <c r="BR1983">
        <f>IF(1970&lt;$U$9,SUMPRODUCT(($D$10:$L$10&lt;&gt;"")*(($D$10:$L$10-($D$9:$L$9+INT(($S$12:$AA$12+INDEX($AJ$13:$AR$162,BN1983,0)+INDEX($AT$13:$BB$162,BO1983,0)+INDEX($BD$13:$BL$162,BP1983,0))/100)))&gt;0)*($D$10:$L$10-($D$9:$L$9+INT(($S$12:$AA$12+INDEX($AJ$13:$AR$162,BN1983,0)+INDEX($AT$13:$BB$162,BO1983,0)+INDEX($BD$13:$BL$162,BP1983,0))/100)))),0)</f>
        <v/>
      </c>
      <c r="BS1983">
        <f>IF(1970&lt;$U$9,SUMPRODUCT(($D$9:$L$9+INT(($S$12:$AA$12+INDEX($AJ$13:$AR$162,BN1983,0)+INDEX($AT$13:$BB$162,BO1983,0)+INDEX($BD$13:$BL$162,BP1983,0))/100))),0)</f>
        <v/>
      </c>
      <c r="BT1983">
        <f>IF(AND(1970&lt;$U$9,$W$5),BQ1983*1000000-MIN(BR1983,999)*1000+BS1983-1970/100000,-1000000000-1970)</f>
        <v/>
      </c>
    </row>
    <row r="1984">
      <c r="BN1984">
        <f>IF(1971&lt;$U$9,INT(1971/($U$7*$U$8))+1,1)</f>
        <v/>
      </c>
      <c r="BO1984">
        <f>IF(1971&lt;$U$9,MOD(INT(1971/$U$8),$U$7)+1,1)</f>
        <v/>
      </c>
      <c r="BP1984">
        <f>IF(1971&lt;$U$9,MOD(1971,$U$8)+1,1)</f>
        <v/>
      </c>
      <c r="BQ1984">
        <f>IF(1971&lt;$U$9,SUMPRODUCT(($D$10:$L$10&lt;&gt;"")*(($D$9:$L$9+INT(($S$12:$AA$12+INDEX($AJ$13:$AR$162,BN1984,0)+INDEX($AT$13:$BB$162,BO1984,0)+INDEX($BD$13:$BL$162,BP1984,0))/100))&gt;=$D$10:$L$10)),0)</f>
        <v/>
      </c>
      <c r="BR1984">
        <f>IF(1971&lt;$U$9,SUMPRODUCT(($D$10:$L$10&lt;&gt;"")*(($D$10:$L$10-($D$9:$L$9+INT(($S$12:$AA$12+INDEX($AJ$13:$AR$162,BN1984,0)+INDEX($AT$13:$BB$162,BO1984,0)+INDEX($BD$13:$BL$162,BP1984,0))/100)))&gt;0)*($D$10:$L$10-($D$9:$L$9+INT(($S$12:$AA$12+INDEX($AJ$13:$AR$162,BN1984,0)+INDEX($AT$13:$BB$162,BO1984,0)+INDEX($BD$13:$BL$162,BP1984,0))/100)))),0)</f>
        <v/>
      </c>
      <c r="BS1984">
        <f>IF(1971&lt;$U$9,SUMPRODUCT(($D$9:$L$9+INT(($S$12:$AA$12+INDEX($AJ$13:$AR$162,BN1984,0)+INDEX($AT$13:$BB$162,BO1984,0)+INDEX($BD$13:$BL$162,BP1984,0))/100))),0)</f>
        <v/>
      </c>
      <c r="BT1984">
        <f>IF(AND(1971&lt;$U$9,$W$5),BQ1984*1000000-MIN(BR1984,999)*1000+BS1984-1971/100000,-1000000000-1971)</f>
        <v/>
      </c>
    </row>
    <row r="1985">
      <c r="BN1985">
        <f>IF(1972&lt;$U$9,INT(1972/($U$7*$U$8))+1,1)</f>
        <v/>
      </c>
      <c r="BO1985">
        <f>IF(1972&lt;$U$9,MOD(INT(1972/$U$8),$U$7)+1,1)</f>
        <v/>
      </c>
      <c r="BP1985">
        <f>IF(1972&lt;$U$9,MOD(1972,$U$8)+1,1)</f>
        <v/>
      </c>
      <c r="BQ1985">
        <f>IF(1972&lt;$U$9,SUMPRODUCT(($D$10:$L$10&lt;&gt;"")*(($D$9:$L$9+INT(($S$12:$AA$12+INDEX($AJ$13:$AR$162,BN1985,0)+INDEX($AT$13:$BB$162,BO1985,0)+INDEX($BD$13:$BL$162,BP1985,0))/100))&gt;=$D$10:$L$10)),0)</f>
        <v/>
      </c>
      <c r="BR1985">
        <f>IF(1972&lt;$U$9,SUMPRODUCT(($D$10:$L$10&lt;&gt;"")*(($D$10:$L$10-($D$9:$L$9+INT(($S$12:$AA$12+INDEX($AJ$13:$AR$162,BN1985,0)+INDEX($AT$13:$BB$162,BO1985,0)+INDEX($BD$13:$BL$162,BP1985,0))/100)))&gt;0)*($D$10:$L$10-($D$9:$L$9+INT(($S$12:$AA$12+INDEX($AJ$13:$AR$162,BN1985,0)+INDEX($AT$13:$BB$162,BO1985,0)+INDEX($BD$13:$BL$162,BP1985,0))/100)))),0)</f>
        <v/>
      </c>
      <c r="BS1985">
        <f>IF(1972&lt;$U$9,SUMPRODUCT(($D$9:$L$9+INT(($S$12:$AA$12+INDEX($AJ$13:$AR$162,BN1985,0)+INDEX($AT$13:$BB$162,BO1985,0)+INDEX($BD$13:$BL$162,BP1985,0))/100))),0)</f>
        <v/>
      </c>
      <c r="BT1985">
        <f>IF(AND(1972&lt;$U$9,$W$5),BQ1985*1000000-MIN(BR1985,999)*1000+BS1985-1972/100000,-1000000000-1972)</f>
        <v/>
      </c>
    </row>
    <row r="1986">
      <c r="BN1986">
        <f>IF(1973&lt;$U$9,INT(1973/($U$7*$U$8))+1,1)</f>
        <v/>
      </c>
      <c r="BO1986">
        <f>IF(1973&lt;$U$9,MOD(INT(1973/$U$8),$U$7)+1,1)</f>
        <v/>
      </c>
      <c r="BP1986">
        <f>IF(1973&lt;$U$9,MOD(1973,$U$8)+1,1)</f>
        <v/>
      </c>
      <c r="BQ1986">
        <f>IF(1973&lt;$U$9,SUMPRODUCT(($D$10:$L$10&lt;&gt;"")*(($D$9:$L$9+INT(($S$12:$AA$12+INDEX($AJ$13:$AR$162,BN1986,0)+INDEX($AT$13:$BB$162,BO1986,0)+INDEX($BD$13:$BL$162,BP1986,0))/100))&gt;=$D$10:$L$10)),0)</f>
        <v/>
      </c>
      <c r="BR1986">
        <f>IF(1973&lt;$U$9,SUMPRODUCT(($D$10:$L$10&lt;&gt;"")*(($D$10:$L$10-($D$9:$L$9+INT(($S$12:$AA$12+INDEX($AJ$13:$AR$162,BN1986,0)+INDEX($AT$13:$BB$162,BO1986,0)+INDEX($BD$13:$BL$162,BP1986,0))/100)))&gt;0)*($D$10:$L$10-($D$9:$L$9+INT(($S$12:$AA$12+INDEX($AJ$13:$AR$162,BN1986,0)+INDEX($AT$13:$BB$162,BO1986,0)+INDEX($BD$13:$BL$162,BP1986,0))/100)))),0)</f>
        <v/>
      </c>
      <c r="BS1986">
        <f>IF(1973&lt;$U$9,SUMPRODUCT(($D$9:$L$9+INT(($S$12:$AA$12+INDEX($AJ$13:$AR$162,BN1986,0)+INDEX($AT$13:$BB$162,BO1986,0)+INDEX($BD$13:$BL$162,BP1986,0))/100))),0)</f>
        <v/>
      </c>
      <c r="BT1986">
        <f>IF(AND(1973&lt;$U$9,$W$5),BQ1986*1000000-MIN(BR1986,999)*1000+BS1986-1973/100000,-1000000000-1973)</f>
        <v/>
      </c>
    </row>
    <row r="1987">
      <c r="BN1987">
        <f>IF(1974&lt;$U$9,INT(1974/($U$7*$U$8))+1,1)</f>
        <v/>
      </c>
      <c r="BO1987">
        <f>IF(1974&lt;$U$9,MOD(INT(1974/$U$8),$U$7)+1,1)</f>
        <v/>
      </c>
      <c r="BP1987">
        <f>IF(1974&lt;$U$9,MOD(1974,$U$8)+1,1)</f>
        <v/>
      </c>
      <c r="BQ1987">
        <f>IF(1974&lt;$U$9,SUMPRODUCT(($D$10:$L$10&lt;&gt;"")*(($D$9:$L$9+INT(($S$12:$AA$12+INDEX($AJ$13:$AR$162,BN1987,0)+INDEX($AT$13:$BB$162,BO1987,0)+INDEX($BD$13:$BL$162,BP1987,0))/100))&gt;=$D$10:$L$10)),0)</f>
        <v/>
      </c>
      <c r="BR1987">
        <f>IF(1974&lt;$U$9,SUMPRODUCT(($D$10:$L$10&lt;&gt;"")*(($D$10:$L$10-($D$9:$L$9+INT(($S$12:$AA$12+INDEX($AJ$13:$AR$162,BN1987,0)+INDEX($AT$13:$BB$162,BO1987,0)+INDEX($BD$13:$BL$162,BP1987,0))/100)))&gt;0)*($D$10:$L$10-($D$9:$L$9+INT(($S$12:$AA$12+INDEX($AJ$13:$AR$162,BN1987,0)+INDEX($AT$13:$BB$162,BO1987,0)+INDEX($BD$13:$BL$162,BP1987,0))/100)))),0)</f>
        <v/>
      </c>
      <c r="BS1987">
        <f>IF(1974&lt;$U$9,SUMPRODUCT(($D$9:$L$9+INT(($S$12:$AA$12+INDEX($AJ$13:$AR$162,BN1987,0)+INDEX($AT$13:$BB$162,BO1987,0)+INDEX($BD$13:$BL$162,BP1987,0))/100))),0)</f>
        <v/>
      </c>
      <c r="BT1987">
        <f>IF(AND(1974&lt;$U$9,$W$5),BQ1987*1000000-MIN(BR1987,999)*1000+BS1987-1974/100000,-1000000000-1974)</f>
        <v/>
      </c>
    </row>
    <row r="1988">
      <c r="BN1988">
        <f>IF(1975&lt;$U$9,INT(1975/($U$7*$U$8))+1,1)</f>
        <v/>
      </c>
      <c r="BO1988">
        <f>IF(1975&lt;$U$9,MOD(INT(1975/$U$8),$U$7)+1,1)</f>
        <v/>
      </c>
      <c r="BP1988">
        <f>IF(1975&lt;$U$9,MOD(1975,$U$8)+1,1)</f>
        <v/>
      </c>
      <c r="BQ1988">
        <f>IF(1975&lt;$U$9,SUMPRODUCT(($D$10:$L$10&lt;&gt;"")*(($D$9:$L$9+INT(($S$12:$AA$12+INDEX($AJ$13:$AR$162,BN1988,0)+INDEX($AT$13:$BB$162,BO1988,0)+INDEX($BD$13:$BL$162,BP1988,0))/100))&gt;=$D$10:$L$10)),0)</f>
        <v/>
      </c>
      <c r="BR1988">
        <f>IF(1975&lt;$U$9,SUMPRODUCT(($D$10:$L$10&lt;&gt;"")*(($D$10:$L$10-($D$9:$L$9+INT(($S$12:$AA$12+INDEX($AJ$13:$AR$162,BN1988,0)+INDEX($AT$13:$BB$162,BO1988,0)+INDEX($BD$13:$BL$162,BP1988,0))/100)))&gt;0)*($D$10:$L$10-($D$9:$L$9+INT(($S$12:$AA$12+INDEX($AJ$13:$AR$162,BN1988,0)+INDEX($AT$13:$BB$162,BO1988,0)+INDEX($BD$13:$BL$162,BP1988,0))/100)))),0)</f>
        <v/>
      </c>
      <c r="BS1988">
        <f>IF(1975&lt;$U$9,SUMPRODUCT(($D$9:$L$9+INT(($S$12:$AA$12+INDEX($AJ$13:$AR$162,BN1988,0)+INDEX($AT$13:$BB$162,BO1988,0)+INDEX($BD$13:$BL$162,BP1988,0))/100))),0)</f>
        <v/>
      </c>
      <c r="BT1988">
        <f>IF(AND(1975&lt;$U$9,$W$5),BQ1988*1000000-MIN(BR1988,999)*1000+BS1988-1975/100000,-1000000000-1975)</f>
        <v/>
      </c>
    </row>
    <row r="1989">
      <c r="BN1989">
        <f>IF(1976&lt;$U$9,INT(1976/($U$7*$U$8))+1,1)</f>
        <v/>
      </c>
      <c r="BO1989">
        <f>IF(1976&lt;$U$9,MOD(INT(1976/$U$8),$U$7)+1,1)</f>
        <v/>
      </c>
      <c r="BP1989">
        <f>IF(1976&lt;$U$9,MOD(1976,$U$8)+1,1)</f>
        <v/>
      </c>
      <c r="BQ1989">
        <f>IF(1976&lt;$U$9,SUMPRODUCT(($D$10:$L$10&lt;&gt;"")*(($D$9:$L$9+INT(($S$12:$AA$12+INDEX($AJ$13:$AR$162,BN1989,0)+INDEX($AT$13:$BB$162,BO1989,0)+INDEX($BD$13:$BL$162,BP1989,0))/100))&gt;=$D$10:$L$10)),0)</f>
        <v/>
      </c>
      <c r="BR1989">
        <f>IF(1976&lt;$U$9,SUMPRODUCT(($D$10:$L$10&lt;&gt;"")*(($D$10:$L$10-($D$9:$L$9+INT(($S$12:$AA$12+INDEX($AJ$13:$AR$162,BN1989,0)+INDEX($AT$13:$BB$162,BO1989,0)+INDEX($BD$13:$BL$162,BP1989,0))/100)))&gt;0)*($D$10:$L$10-($D$9:$L$9+INT(($S$12:$AA$12+INDEX($AJ$13:$AR$162,BN1989,0)+INDEX($AT$13:$BB$162,BO1989,0)+INDEX($BD$13:$BL$162,BP1989,0))/100)))),0)</f>
        <v/>
      </c>
      <c r="BS1989">
        <f>IF(1976&lt;$U$9,SUMPRODUCT(($D$9:$L$9+INT(($S$12:$AA$12+INDEX($AJ$13:$AR$162,BN1989,0)+INDEX($AT$13:$BB$162,BO1989,0)+INDEX($BD$13:$BL$162,BP1989,0))/100))),0)</f>
        <v/>
      </c>
      <c r="BT1989">
        <f>IF(AND(1976&lt;$U$9,$W$5),BQ1989*1000000-MIN(BR1989,999)*1000+BS1989-1976/100000,-1000000000-1976)</f>
        <v/>
      </c>
    </row>
    <row r="1990">
      <c r="BN1990">
        <f>IF(1977&lt;$U$9,INT(1977/($U$7*$U$8))+1,1)</f>
        <v/>
      </c>
      <c r="BO1990">
        <f>IF(1977&lt;$U$9,MOD(INT(1977/$U$8),$U$7)+1,1)</f>
        <v/>
      </c>
      <c r="BP1990">
        <f>IF(1977&lt;$U$9,MOD(1977,$U$8)+1,1)</f>
        <v/>
      </c>
      <c r="BQ1990">
        <f>IF(1977&lt;$U$9,SUMPRODUCT(($D$10:$L$10&lt;&gt;"")*(($D$9:$L$9+INT(($S$12:$AA$12+INDEX($AJ$13:$AR$162,BN1990,0)+INDEX($AT$13:$BB$162,BO1990,0)+INDEX($BD$13:$BL$162,BP1990,0))/100))&gt;=$D$10:$L$10)),0)</f>
        <v/>
      </c>
      <c r="BR1990">
        <f>IF(1977&lt;$U$9,SUMPRODUCT(($D$10:$L$10&lt;&gt;"")*(($D$10:$L$10-($D$9:$L$9+INT(($S$12:$AA$12+INDEX($AJ$13:$AR$162,BN1990,0)+INDEX($AT$13:$BB$162,BO1990,0)+INDEX($BD$13:$BL$162,BP1990,0))/100)))&gt;0)*($D$10:$L$10-($D$9:$L$9+INT(($S$12:$AA$12+INDEX($AJ$13:$AR$162,BN1990,0)+INDEX($AT$13:$BB$162,BO1990,0)+INDEX($BD$13:$BL$162,BP1990,0))/100)))),0)</f>
        <v/>
      </c>
      <c r="BS1990">
        <f>IF(1977&lt;$U$9,SUMPRODUCT(($D$9:$L$9+INT(($S$12:$AA$12+INDEX($AJ$13:$AR$162,BN1990,0)+INDEX($AT$13:$BB$162,BO1990,0)+INDEX($BD$13:$BL$162,BP1990,0))/100))),0)</f>
        <v/>
      </c>
      <c r="BT1990">
        <f>IF(AND(1977&lt;$U$9,$W$5),BQ1990*1000000-MIN(BR1990,999)*1000+BS1990-1977/100000,-1000000000-1977)</f>
        <v/>
      </c>
    </row>
    <row r="1991">
      <c r="BN1991">
        <f>IF(1978&lt;$U$9,INT(1978/($U$7*$U$8))+1,1)</f>
        <v/>
      </c>
      <c r="BO1991">
        <f>IF(1978&lt;$U$9,MOD(INT(1978/$U$8),$U$7)+1,1)</f>
        <v/>
      </c>
      <c r="BP1991">
        <f>IF(1978&lt;$U$9,MOD(1978,$U$8)+1,1)</f>
        <v/>
      </c>
      <c r="BQ1991">
        <f>IF(1978&lt;$U$9,SUMPRODUCT(($D$10:$L$10&lt;&gt;"")*(($D$9:$L$9+INT(($S$12:$AA$12+INDEX($AJ$13:$AR$162,BN1991,0)+INDEX($AT$13:$BB$162,BO1991,0)+INDEX($BD$13:$BL$162,BP1991,0))/100))&gt;=$D$10:$L$10)),0)</f>
        <v/>
      </c>
      <c r="BR1991">
        <f>IF(1978&lt;$U$9,SUMPRODUCT(($D$10:$L$10&lt;&gt;"")*(($D$10:$L$10-($D$9:$L$9+INT(($S$12:$AA$12+INDEX($AJ$13:$AR$162,BN1991,0)+INDEX($AT$13:$BB$162,BO1991,0)+INDEX($BD$13:$BL$162,BP1991,0))/100)))&gt;0)*($D$10:$L$10-($D$9:$L$9+INT(($S$12:$AA$12+INDEX($AJ$13:$AR$162,BN1991,0)+INDEX($AT$13:$BB$162,BO1991,0)+INDEX($BD$13:$BL$162,BP1991,0))/100)))),0)</f>
        <v/>
      </c>
      <c r="BS1991">
        <f>IF(1978&lt;$U$9,SUMPRODUCT(($D$9:$L$9+INT(($S$12:$AA$12+INDEX($AJ$13:$AR$162,BN1991,0)+INDEX($AT$13:$BB$162,BO1991,0)+INDEX($BD$13:$BL$162,BP1991,0))/100))),0)</f>
        <v/>
      </c>
      <c r="BT1991">
        <f>IF(AND(1978&lt;$U$9,$W$5),BQ1991*1000000-MIN(BR1991,999)*1000+BS1991-1978/100000,-1000000000-1978)</f>
        <v/>
      </c>
    </row>
    <row r="1992">
      <c r="BN1992">
        <f>IF(1979&lt;$U$9,INT(1979/($U$7*$U$8))+1,1)</f>
        <v/>
      </c>
      <c r="BO1992">
        <f>IF(1979&lt;$U$9,MOD(INT(1979/$U$8),$U$7)+1,1)</f>
        <v/>
      </c>
      <c r="BP1992">
        <f>IF(1979&lt;$U$9,MOD(1979,$U$8)+1,1)</f>
        <v/>
      </c>
      <c r="BQ1992">
        <f>IF(1979&lt;$U$9,SUMPRODUCT(($D$10:$L$10&lt;&gt;"")*(($D$9:$L$9+INT(($S$12:$AA$12+INDEX($AJ$13:$AR$162,BN1992,0)+INDEX($AT$13:$BB$162,BO1992,0)+INDEX($BD$13:$BL$162,BP1992,0))/100))&gt;=$D$10:$L$10)),0)</f>
        <v/>
      </c>
      <c r="BR1992">
        <f>IF(1979&lt;$U$9,SUMPRODUCT(($D$10:$L$10&lt;&gt;"")*(($D$10:$L$10-($D$9:$L$9+INT(($S$12:$AA$12+INDEX($AJ$13:$AR$162,BN1992,0)+INDEX($AT$13:$BB$162,BO1992,0)+INDEX($BD$13:$BL$162,BP1992,0))/100)))&gt;0)*($D$10:$L$10-($D$9:$L$9+INT(($S$12:$AA$12+INDEX($AJ$13:$AR$162,BN1992,0)+INDEX($AT$13:$BB$162,BO1992,0)+INDEX($BD$13:$BL$162,BP1992,0))/100)))),0)</f>
        <v/>
      </c>
      <c r="BS1992">
        <f>IF(1979&lt;$U$9,SUMPRODUCT(($D$9:$L$9+INT(($S$12:$AA$12+INDEX($AJ$13:$AR$162,BN1992,0)+INDEX($AT$13:$BB$162,BO1992,0)+INDEX($BD$13:$BL$162,BP1992,0))/100))),0)</f>
        <v/>
      </c>
      <c r="BT1992">
        <f>IF(AND(1979&lt;$U$9,$W$5),BQ1992*1000000-MIN(BR1992,999)*1000+BS1992-1979/100000,-1000000000-1979)</f>
        <v/>
      </c>
    </row>
    <row r="1993">
      <c r="BN1993">
        <f>IF(1980&lt;$U$9,INT(1980/($U$7*$U$8))+1,1)</f>
        <v/>
      </c>
      <c r="BO1993">
        <f>IF(1980&lt;$U$9,MOD(INT(1980/$U$8),$U$7)+1,1)</f>
        <v/>
      </c>
      <c r="BP1993">
        <f>IF(1980&lt;$U$9,MOD(1980,$U$8)+1,1)</f>
        <v/>
      </c>
      <c r="BQ1993">
        <f>IF(1980&lt;$U$9,SUMPRODUCT(($D$10:$L$10&lt;&gt;"")*(($D$9:$L$9+INT(($S$12:$AA$12+INDEX($AJ$13:$AR$162,BN1993,0)+INDEX($AT$13:$BB$162,BO1993,0)+INDEX($BD$13:$BL$162,BP1993,0))/100))&gt;=$D$10:$L$10)),0)</f>
        <v/>
      </c>
      <c r="BR1993">
        <f>IF(1980&lt;$U$9,SUMPRODUCT(($D$10:$L$10&lt;&gt;"")*(($D$10:$L$10-($D$9:$L$9+INT(($S$12:$AA$12+INDEX($AJ$13:$AR$162,BN1993,0)+INDEX($AT$13:$BB$162,BO1993,0)+INDEX($BD$13:$BL$162,BP1993,0))/100)))&gt;0)*($D$10:$L$10-($D$9:$L$9+INT(($S$12:$AA$12+INDEX($AJ$13:$AR$162,BN1993,0)+INDEX($AT$13:$BB$162,BO1993,0)+INDEX($BD$13:$BL$162,BP1993,0))/100)))),0)</f>
        <v/>
      </c>
      <c r="BS1993">
        <f>IF(1980&lt;$U$9,SUMPRODUCT(($D$9:$L$9+INT(($S$12:$AA$12+INDEX($AJ$13:$AR$162,BN1993,0)+INDEX($AT$13:$BB$162,BO1993,0)+INDEX($BD$13:$BL$162,BP1993,0))/100))),0)</f>
        <v/>
      </c>
      <c r="BT1993">
        <f>IF(AND(1980&lt;$U$9,$W$5),BQ1993*1000000-MIN(BR1993,999)*1000+BS1993-1980/100000,-1000000000-1980)</f>
        <v/>
      </c>
    </row>
    <row r="1994">
      <c r="BN1994">
        <f>IF(1981&lt;$U$9,INT(1981/($U$7*$U$8))+1,1)</f>
        <v/>
      </c>
      <c r="BO1994">
        <f>IF(1981&lt;$U$9,MOD(INT(1981/$U$8),$U$7)+1,1)</f>
        <v/>
      </c>
      <c r="BP1994">
        <f>IF(1981&lt;$U$9,MOD(1981,$U$8)+1,1)</f>
        <v/>
      </c>
      <c r="BQ1994">
        <f>IF(1981&lt;$U$9,SUMPRODUCT(($D$10:$L$10&lt;&gt;"")*(($D$9:$L$9+INT(($S$12:$AA$12+INDEX($AJ$13:$AR$162,BN1994,0)+INDEX($AT$13:$BB$162,BO1994,0)+INDEX($BD$13:$BL$162,BP1994,0))/100))&gt;=$D$10:$L$10)),0)</f>
        <v/>
      </c>
      <c r="BR1994">
        <f>IF(1981&lt;$U$9,SUMPRODUCT(($D$10:$L$10&lt;&gt;"")*(($D$10:$L$10-($D$9:$L$9+INT(($S$12:$AA$12+INDEX($AJ$13:$AR$162,BN1994,0)+INDEX($AT$13:$BB$162,BO1994,0)+INDEX($BD$13:$BL$162,BP1994,0))/100)))&gt;0)*($D$10:$L$10-($D$9:$L$9+INT(($S$12:$AA$12+INDEX($AJ$13:$AR$162,BN1994,0)+INDEX($AT$13:$BB$162,BO1994,0)+INDEX($BD$13:$BL$162,BP1994,0))/100)))),0)</f>
        <v/>
      </c>
      <c r="BS1994">
        <f>IF(1981&lt;$U$9,SUMPRODUCT(($D$9:$L$9+INT(($S$12:$AA$12+INDEX($AJ$13:$AR$162,BN1994,0)+INDEX($AT$13:$BB$162,BO1994,0)+INDEX($BD$13:$BL$162,BP1994,0))/100))),0)</f>
        <v/>
      </c>
      <c r="BT1994">
        <f>IF(AND(1981&lt;$U$9,$W$5),BQ1994*1000000-MIN(BR1994,999)*1000+BS1994-1981/100000,-1000000000-1981)</f>
        <v/>
      </c>
    </row>
    <row r="1995">
      <c r="BN1995">
        <f>IF(1982&lt;$U$9,INT(1982/($U$7*$U$8))+1,1)</f>
        <v/>
      </c>
      <c r="BO1995">
        <f>IF(1982&lt;$U$9,MOD(INT(1982/$U$8),$U$7)+1,1)</f>
        <v/>
      </c>
      <c r="BP1995">
        <f>IF(1982&lt;$U$9,MOD(1982,$U$8)+1,1)</f>
        <v/>
      </c>
      <c r="BQ1995">
        <f>IF(1982&lt;$U$9,SUMPRODUCT(($D$10:$L$10&lt;&gt;"")*(($D$9:$L$9+INT(($S$12:$AA$12+INDEX($AJ$13:$AR$162,BN1995,0)+INDEX($AT$13:$BB$162,BO1995,0)+INDEX($BD$13:$BL$162,BP1995,0))/100))&gt;=$D$10:$L$10)),0)</f>
        <v/>
      </c>
      <c r="BR1995">
        <f>IF(1982&lt;$U$9,SUMPRODUCT(($D$10:$L$10&lt;&gt;"")*(($D$10:$L$10-($D$9:$L$9+INT(($S$12:$AA$12+INDEX($AJ$13:$AR$162,BN1995,0)+INDEX($AT$13:$BB$162,BO1995,0)+INDEX($BD$13:$BL$162,BP1995,0))/100)))&gt;0)*($D$10:$L$10-($D$9:$L$9+INT(($S$12:$AA$12+INDEX($AJ$13:$AR$162,BN1995,0)+INDEX($AT$13:$BB$162,BO1995,0)+INDEX($BD$13:$BL$162,BP1995,0))/100)))),0)</f>
        <v/>
      </c>
      <c r="BS1995">
        <f>IF(1982&lt;$U$9,SUMPRODUCT(($D$9:$L$9+INT(($S$12:$AA$12+INDEX($AJ$13:$AR$162,BN1995,0)+INDEX($AT$13:$BB$162,BO1995,0)+INDEX($BD$13:$BL$162,BP1995,0))/100))),0)</f>
        <v/>
      </c>
      <c r="BT1995">
        <f>IF(AND(1982&lt;$U$9,$W$5),BQ1995*1000000-MIN(BR1995,999)*1000+BS1995-1982/100000,-1000000000-1982)</f>
        <v/>
      </c>
    </row>
    <row r="1996">
      <c r="BN1996">
        <f>IF(1983&lt;$U$9,INT(1983/($U$7*$U$8))+1,1)</f>
        <v/>
      </c>
      <c r="BO1996">
        <f>IF(1983&lt;$U$9,MOD(INT(1983/$U$8),$U$7)+1,1)</f>
        <v/>
      </c>
      <c r="BP1996">
        <f>IF(1983&lt;$U$9,MOD(1983,$U$8)+1,1)</f>
        <v/>
      </c>
      <c r="BQ1996">
        <f>IF(1983&lt;$U$9,SUMPRODUCT(($D$10:$L$10&lt;&gt;"")*(($D$9:$L$9+INT(($S$12:$AA$12+INDEX($AJ$13:$AR$162,BN1996,0)+INDEX($AT$13:$BB$162,BO1996,0)+INDEX($BD$13:$BL$162,BP1996,0))/100))&gt;=$D$10:$L$10)),0)</f>
        <v/>
      </c>
      <c r="BR1996">
        <f>IF(1983&lt;$U$9,SUMPRODUCT(($D$10:$L$10&lt;&gt;"")*(($D$10:$L$10-($D$9:$L$9+INT(($S$12:$AA$12+INDEX($AJ$13:$AR$162,BN1996,0)+INDEX($AT$13:$BB$162,BO1996,0)+INDEX($BD$13:$BL$162,BP1996,0))/100)))&gt;0)*($D$10:$L$10-($D$9:$L$9+INT(($S$12:$AA$12+INDEX($AJ$13:$AR$162,BN1996,0)+INDEX($AT$13:$BB$162,BO1996,0)+INDEX($BD$13:$BL$162,BP1996,0))/100)))),0)</f>
        <v/>
      </c>
      <c r="BS1996">
        <f>IF(1983&lt;$U$9,SUMPRODUCT(($D$9:$L$9+INT(($S$12:$AA$12+INDEX($AJ$13:$AR$162,BN1996,0)+INDEX($AT$13:$BB$162,BO1996,0)+INDEX($BD$13:$BL$162,BP1996,0))/100))),0)</f>
        <v/>
      </c>
      <c r="BT1996">
        <f>IF(AND(1983&lt;$U$9,$W$5),BQ1996*1000000-MIN(BR1996,999)*1000+BS1996-1983/100000,-1000000000-1983)</f>
        <v/>
      </c>
    </row>
    <row r="1997">
      <c r="BN1997">
        <f>IF(1984&lt;$U$9,INT(1984/($U$7*$U$8))+1,1)</f>
        <v/>
      </c>
      <c r="BO1997">
        <f>IF(1984&lt;$U$9,MOD(INT(1984/$U$8),$U$7)+1,1)</f>
        <v/>
      </c>
      <c r="BP1997">
        <f>IF(1984&lt;$U$9,MOD(1984,$U$8)+1,1)</f>
        <v/>
      </c>
      <c r="BQ1997">
        <f>IF(1984&lt;$U$9,SUMPRODUCT(($D$10:$L$10&lt;&gt;"")*(($D$9:$L$9+INT(($S$12:$AA$12+INDEX($AJ$13:$AR$162,BN1997,0)+INDEX($AT$13:$BB$162,BO1997,0)+INDEX($BD$13:$BL$162,BP1997,0))/100))&gt;=$D$10:$L$10)),0)</f>
        <v/>
      </c>
      <c r="BR1997">
        <f>IF(1984&lt;$U$9,SUMPRODUCT(($D$10:$L$10&lt;&gt;"")*(($D$10:$L$10-($D$9:$L$9+INT(($S$12:$AA$12+INDEX($AJ$13:$AR$162,BN1997,0)+INDEX($AT$13:$BB$162,BO1997,0)+INDEX($BD$13:$BL$162,BP1997,0))/100)))&gt;0)*($D$10:$L$10-($D$9:$L$9+INT(($S$12:$AA$12+INDEX($AJ$13:$AR$162,BN1997,0)+INDEX($AT$13:$BB$162,BO1997,0)+INDEX($BD$13:$BL$162,BP1997,0))/100)))),0)</f>
        <v/>
      </c>
      <c r="BS1997">
        <f>IF(1984&lt;$U$9,SUMPRODUCT(($D$9:$L$9+INT(($S$12:$AA$12+INDEX($AJ$13:$AR$162,BN1997,0)+INDEX($AT$13:$BB$162,BO1997,0)+INDEX($BD$13:$BL$162,BP1997,0))/100))),0)</f>
        <v/>
      </c>
      <c r="BT1997">
        <f>IF(AND(1984&lt;$U$9,$W$5),BQ1997*1000000-MIN(BR1997,999)*1000+BS1997-1984/100000,-1000000000-1984)</f>
        <v/>
      </c>
    </row>
    <row r="1998">
      <c r="BN1998">
        <f>IF(1985&lt;$U$9,INT(1985/($U$7*$U$8))+1,1)</f>
        <v/>
      </c>
      <c r="BO1998">
        <f>IF(1985&lt;$U$9,MOD(INT(1985/$U$8),$U$7)+1,1)</f>
        <v/>
      </c>
      <c r="BP1998">
        <f>IF(1985&lt;$U$9,MOD(1985,$U$8)+1,1)</f>
        <v/>
      </c>
      <c r="BQ1998">
        <f>IF(1985&lt;$U$9,SUMPRODUCT(($D$10:$L$10&lt;&gt;"")*(($D$9:$L$9+INT(($S$12:$AA$12+INDEX($AJ$13:$AR$162,BN1998,0)+INDEX($AT$13:$BB$162,BO1998,0)+INDEX($BD$13:$BL$162,BP1998,0))/100))&gt;=$D$10:$L$10)),0)</f>
        <v/>
      </c>
      <c r="BR1998">
        <f>IF(1985&lt;$U$9,SUMPRODUCT(($D$10:$L$10&lt;&gt;"")*(($D$10:$L$10-($D$9:$L$9+INT(($S$12:$AA$12+INDEX($AJ$13:$AR$162,BN1998,0)+INDEX($AT$13:$BB$162,BO1998,0)+INDEX($BD$13:$BL$162,BP1998,0))/100)))&gt;0)*($D$10:$L$10-($D$9:$L$9+INT(($S$12:$AA$12+INDEX($AJ$13:$AR$162,BN1998,0)+INDEX($AT$13:$BB$162,BO1998,0)+INDEX($BD$13:$BL$162,BP1998,0))/100)))),0)</f>
        <v/>
      </c>
      <c r="BS1998">
        <f>IF(1985&lt;$U$9,SUMPRODUCT(($D$9:$L$9+INT(($S$12:$AA$12+INDEX($AJ$13:$AR$162,BN1998,0)+INDEX($AT$13:$BB$162,BO1998,0)+INDEX($BD$13:$BL$162,BP1998,0))/100))),0)</f>
        <v/>
      </c>
      <c r="BT1998">
        <f>IF(AND(1985&lt;$U$9,$W$5),BQ1998*1000000-MIN(BR1998,999)*1000+BS1998-1985/100000,-1000000000-1985)</f>
        <v/>
      </c>
    </row>
    <row r="1999">
      <c r="BN1999">
        <f>IF(1986&lt;$U$9,INT(1986/($U$7*$U$8))+1,1)</f>
        <v/>
      </c>
      <c r="BO1999">
        <f>IF(1986&lt;$U$9,MOD(INT(1986/$U$8),$U$7)+1,1)</f>
        <v/>
      </c>
      <c r="BP1999">
        <f>IF(1986&lt;$U$9,MOD(1986,$U$8)+1,1)</f>
        <v/>
      </c>
      <c r="BQ1999">
        <f>IF(1986&lt;$U$9,SUMPRODUCT(($D$10:$L$10&lt;&gt;"")*(($D$9:$L$9+INT(($S$12:$AA$12+INDEX($AJ$13:$AR$162,BN1999,0)+INDEX($AT$13:$BB$162,BO1999,0)+INDEX($BD$13:$BL$162,BP1999,0))/100))&gt;=$D$10:$L$10)),0)</f>
        <v/>
      </c>
      <c r="BR1999">
        <f>IF(1986&lt;$U$9,SUMPRODUCT(($D$10:$L$10&lt;&gt;"")*(($D$10:$L$10-($D$9:$L$9+INT(($S$12:$AA$12+INDEX($AJ$13:$AR$162,BN1999,0)+INDEX($AT$13:$BB$162,BO1999,0)+INDEX($BD$13:$BL$162,BP1999,0))/100)))&gt;0)*($D$10:$L$10-($D$9:$L$9+INT(($S$12:$AA$12+INDEX($AJ$13:$AR$162,BN1999,0)+INDEX($AT$13:$BB$162,BO1999,0)+INDEX($BD$13:$BL$162,BP1999,0))/100)))),0)</f>
        <v/>
      </c>
      <c r="BS1999">
        <f>IF(1986&lt;$U$9,SUMPRODUCT(($D$9:$L$9+INT(($S$12:$AA$12+INDEX($AJ$13:$AR$162,BN1999,0)+INDEX($AT$13:$BB$162,BO1999,0)+INDEX($BD$13:$BL$162,BP1999,0))/100))),0)</f>
        <v/>
      </c>
      <c r="BT1999">
        <f>IF(AND(1986&lt;$U$9,$W$5),BQ1999*1000000-MIN(BR1999,999)*1000+BS1999-1986/100000,-1000000000-1986)</f>
        <v/>
      </c>
    </row>
    <row r="2000">
      <c r="BN2000">
        <f>IF(1987&lt;$U$9,INT(1987/($U$7*$U$8))+1,1)</f>
        <v/>
      </c>
      <c r="BO2000">
        <f>IF(1987&lt;$U$9,MOD(INT(1987/$U$8),$U$7)+1,1)</f>
        <v/>
      </c>
      <c r="BP2000">
        <f>IF(1987&lt;$U$9,MOD(1987,$U$8)+1,1)</f>
        <v/>
      </c>
      <c r="BQ2000">
        <f>IF(1987&lt;$U$9,SUMPRODUCT(($D$10:$L$10&lt;&gt;"")*(($D$9:$L$9+INT(($S$12:$AA$12+INDEX($AJ$13:$AR$162,BN2000,0)+INDEX($AT$13:$BB$162,BO2000,0)+INDEX($BD$13:$BL$162,BP2000,0))/100))&gt;=$D$10:$L$10)),0)</f>
        <v/>
      </c>
      <c r="BR2000">
        <f>IF(1987&lt;$U$9,SUMPRODUCT(($D$10:$L$10&lt;&gt;"")*(($D$10:$L$10-($D$9:$L$9+INT(($S$12:$AA$12+INDEX($AJ$13:$AR$162,BN2000,0)+INDEX($AT$13:$BB$162,BO2000,0)+INDEX($BD$13:$BL$162,BP2000,0))/100)))&gt;0)*($D$10:$L$10-($D$9:$L$9+INT(($S$12:$AA$12+INDEX($AJ$13:$AR$162,BN2000,0)+INDEX($AT$13:$BB$162,BO2000,0)+INDEX($BD$13:$BL$162,BP2000,0))/100)))),0)</f>
        <v/>
      </c>
      <c r="BS2000">
        <f>IF(1987&lt;$U$9,SUMPRODUCT(($D$9:$L$9+INT(($S$12:$AA$12+INDEX($AJ$13:$AR$162,BN2000,0)+INDEX($AT$13:$BB$162,BO2000,0)+INDEX($BD$13:$BL$162,BP2000,0))/100))),0)</f>
        <v/>
      </c>
      <c r="BT2000">
        <f>IF(AND(1987&lt;$U$9,$W$5),BQ2000*1000000-MIN(BR2000,999)*1000+BS2000-1987/100000,-1000000000-1987)</f>
        <v/>
      </c>
    </row>
    <row r="2001">
      <c r="BN2001">
        <f>IF(1988&lt;$U$9,INT(1988/($U$7*$U$8))+1,1)</f>
        <v/>
      </c>
      <c r="BO2001">
        <f>IF(1988&lt;$U$9,MOD(INT(1988/$U$8),$U$7)+1,1)</f>
        <v/>
      </c>
      <c r="BP2001">
        <f>IF(1988&lt;$U$9,MOD(1988,$U$8)+1,1)</f>
        <v/>
      </c>
      <c r="BQ2001">
        <f>IF(1988&lt;$U$9,SUMPRODUCT(($D$10:$L$10&lt;&gt;"")*(($D$9:$L$9+INT(($S$12:$AA$12+INDEX($AJ$13:$AR$162,BN2001,0)+INDEX($AT$13:$BB$162,BO2001,0)+INDEX($BD$13:$BL$162,BP2001,0))/100))&gt;=$D$10:$L$10)),0)</f>
        <v/>
      </c>
      <c r="BR2001">
        <f>IF(1988&lt;$U$9,SUMPRODUCT(($D$10:$L$10&lt;&gt;"")*(($D$10:$L$10-($D$9:$L$9+INT(($S$12:$AA$12+INDEX($AJ$13:$AR$162,BN2001,0)+INDEX($AT$13:$BB$162,BO2001,0)+INDEX($BD$13:$BL$162,BP2001,0))/100)))&gt;0)*($D$10:$L$10-($D$9:$L$9+INT(($S$12:$AA$12+INDEX($AJ$13:$AR$162,BN2001,0)+INDEX($AT$13:$BB$162,BO2001,0)+INDEX($BD$13:$BL$162,BP2001,0))/100)))),0)</f>
        <v/>
      </c>
      <c r="BS2001">
        <f>IF(1988&lt;$U$9,SUMPRODUCT(($D$9:$L$9+INT(($S$12:$AA$12+INDEX($AJ$13:$AR$162,BN2001,0)+INDEX($AT$13:$BB$162,BO2001,0)+INDEX($BD$13:$BL$162,BP2001,0))/100))),0)</f>
        <v/>
      </c>
      <c r="BT2001">
        <f>IF(AND(1988&lt;$U$9,$W$5),BQ2001*1000000-MIN(BR2001,999)*1000+BS2001-1988/100000,-1000000000-1988)</f>
        <v/>
      </c>
    </row>
    <row r="2002">
      <c r="BN2002">
        <f>IF(1989&lt;$U$9,INT(1989/($U$7*$U$8))+1,1)</f>
        <v/>
      </c>
      <c r="BO2002">
        <f>IF(1989&lt;$U$9,MOD(INT(1989/$U$8),$U$7)+1,1)</f>
        <v/>
      </c>
      <c r="BP2002">
        <f>IF(1989&lt;$U$9,MOD(1989,$U$8)+1,1)</f>
        <v/>
      </c>
      <c r="BQ2002">
        <f>IF(1989&lt;$U$9,SUMPRODUCT(($D$10:$L$10&lt;&gt;"")*(($D$9:$L$9+INT(($S$12:$AA$12+INDEX($AJ$13:$AR$162,BN2002,0)+INDEX($AT$13:$BB$162,BO2002,0)+INDEX($BD$13:$BL$162,BP2002,0))/100))&gt;=$D$10:$L$10)),0)</f>
        <v/>
      </c>
      <c r="BR2002">
        <f>IF(1989&lt;$U$9,SUMPRODUCT(($D$10:$L$10&lt;&gt;"")*(($D$10:$L$10-($D$9:$L$9+INT(($S$12:$AA$12+INDEX($AJ$13:$AR$162,BN2002,0)+INDEX($AT$13:$BB$162,BO2002,0)+INDEX($BD$13:$BL$162,BP2002,0))/100)))&gt;0)*($D$10:$L$10-($D$9:$L$9+INT(($S$12:$AA$12+INDEX($AJ$13:$AR$162,BN2002,0)+INDEX($AT$13:$BB$162,BO2002,0)+INDEX($BD$13:$BL$162,BP2002,0))/100)))),0)</f>
        <v/>
      </c>
      <c r="BS2002">
        <f>IF(1989&lt;$U$9,SUMPRODUCT(($D$9:$L$9+INT(($S$12:$AA$12+INDEX($AJ$13:$AR$162,BN2002,0)+INDEX($AT$13:$BB$162,BO2002,0)+INDEX($BD$13:$BL$162,BP2002,0))/100))),0)</f>
        <v/>
      </c>
      <c r="BT2002">
        <f>IF(AND(1989&lt;$U$9,$W$5),BQ2002*1000000-MIN(BR2002,999)*1000+BS2002-1989/100000,-1000000000-1989)</f>
        <v/>
      </c>
    </row>
    <row r="2003">
      <c r="BN2003">
        <f>IF(1990&lt;$U$9,INT(1990/($U$7*$U$8))+1,1)</f>
        <v/>
      </c>
      <c r="BO2003">
        <f>IF(1990&lt;$U$9,MOD(INT(1990/$U$8),$U$7)+1,1)</f>
        <v/>
      </c>
      <c r="BP2003">
        <f>IF(1990&lt;$U$9,MOD(1990,$U$8)+1,1)</f>
        <v/>
      </c>
      <c r="BQ2003">
        <f>IF(1990&lt;$U$9,SUMPRODUCT(($D$10:$L$10&lt;&gt;"")*(($D$9:$L$9+INT(($S$12:$AA$12+INDEX($AJ$13:$AR$162,BN2003,0)+INDEX($AT$13:$BB$162,BO2003,0)+INDEX($BD$13:$BL$162,BP2003,0))/100))&gt;=$D$10:$L$10)),0)</f>
        <v/>
      </c>
      <c r="BR2003">
        <f>IF(1990&lt;$U$9,SUMPRODUCT(($D$10:$L$10&lt;&gt;"")*(($D$10:$L$10-($D$9:$L$9+INT(($S$12:$AA$12+INDEX($AJ$13:$AR$162,BN2003,0)+INDEX($AT$13:$BB$162,BO2003,0)+INDEX($BD$13:$BL$162,BP2003,0))/100)))&gt;0)*($D$10:$L$10-($D$9:$L$9+INT(($S$12:$AA$12+INDEX($AJ$13:$AR$162,BN2003,0)+INDEX($AT$13:$BB$162,BO2003,0)+INDEX($BD$13:$BL$162,BP2003,0))/100)))),0)</f>
        <v/>
      </c>
      <c r="BS2003">
        <f>IF(1990&lt;$U$9,SUMPRODUCT(($D$9:$L$9+INT(($S$12:$AA$12+INDEX($AJ$13:$AR$162,BN2003,0)+INDEX($AT$13:$BB$162,BO2003,0)+INDEX($BD$13:$BL$162,BP2003,0))/100))),0)</f>
        <v/>
      </c>
      <c r="BT2003">
        <f>IF(AND(1990&lt;$U$9,$W$5),BQ2003*1000000-MIN(BR2003,999)*1000+BS2003-1990/100000,-1000000000-1990)</f>
        <v/>
      </c>
    </row>
    <row r="2004">
      <c r="BN2004">
        <f>IF(1991&lt;$U$9,INT(1991/($U$7*$U$8))+1,1)</f>
        <v/>
      </c>
      <c r="BO2004">
        <f>IF(1991&lt;$U$9,MOD(INT(1991/$U$8),$U$7)+1,1)</f>
        <v/>
      </c>
      <c r="BP2004">
        <f>IF(1991&lt;$U$9,MOD(1991,$U$8)+1,1)</f>
        <v/>
      </c>
      <c r="BQ2004">
        <f>IF(1991&lt;$U$9,SUMPRODUCT(($D$10:$L$10&lt;&gt;"")*(($D$9:$L$9+INT(($S$12:$AA$12+INDEX($AJ$13:$AR$162,BN2004,0)+INDEX($AT$13:$BB$162,BO2004,0)+INDEX($BD$13:$BL$162,BP2004,0))/100))&gt;=$D$10:$L$10)),0)</f>
        <v/>
      </c>
      <c r="BR2004">
        <f>IF(1991&lt;$U$9,SUMPRODUCT(($D$10:$L$10&lt;&gt;"")*(($D$10:$L$10-($D$9:$L$9+INT(($S$12:$AA$12+INDEX($AJ$13:$AR$162,BN2004,0)+INDEX($AT$13:$BB$162,BO2004,0)+INDEX($BD$13:$BL$162,BP2004,0))/100)))&gt;0)*($D$10:$L$10-($D$9:$L$9+INT(($S$12:$AA$12+INDEX($AJ$13:$AR$162,BN2004,0)+INDEX($AT$13:$BB$162,BO2004,0)+INDEX($BD$13:$BL$162,BP2004,0))/100)))),0)</f>
        <v/>
      </c>
      <c r="BS2004">
        <f>IF(1991&lt;$U$9,SUMPRODUCT(($D$9:$L$9+INT(($S$12:$AA$12+INDEX($AJ$13:$AR$162,BN2004,0)+INDEX($AT$13:$BB$162,BO2004,0)+INDEX($BD$13:$BL$162,BP2004,0))/100))),0)</f>
        <v/>
      </c>
      <c r="BT2004">
        <f>IF(AND(1991&lt;$U$9,$W$5),BQ2004*1000000-MIN(BR2004,999)*1000+BS2004-1991/100000,-1000000000-1991)</f>
        <v/>
      </c>
    </row>
    <row r="2005">
      <c r="BN2005">
        <f>IF(1992&lt;$U$9,INT(1992/($U$7*$U$8))+1,1)</f>
        <v/>
      </c>
      <c r="BO2005">
        <f>IF(1992&lt;$U$9,MOD(INT(1992/$U$8),$U$7)+1,1)</f>
        <v/>
      </c>
      <c r="BP2005">
        <f>IF(1992&lt;$U$9,MOD(1992,$U$8)+1,1)</f>
        <v/>
      </c>
      <c r="BQ2005">
        <f>IF(1992&lt;$U$9,SUMPRODUCT(($D$10:$L$10&lt;&gt;"")*(($D$9:$L$9+INT(($S$12:$AA$12+INDEX($AJ$13:$AR$162,BN2005,0)+INDEX($AT$13:$BB$162,BO2005,0)+INDEX($BD$13:$BL$162,BP2005,0))/100))&gt;=$D$10:$L$10)),0)</f>
        <v/>
      </c>
      <c r="BR2005">
        <f>IF(1992&lt;$U$9,SUMPRODUCT(($D$10:$L$10&lt;&gt;"")*(($D$10:$L$10-($D$9:$L$9+INT(($S$12:$AA$12+INDEX($AJ$13:$AR$162,BN2005,0)+INDEX($AT$13:$BB$162,BO2005,0)+INDEX($BD$13:$BL$162,BP2005,0))/100)))&gt;0)*($D$10:$L$10-($D$9:$L$9+INT(($S$12:$AA$12+INDEX($AJ$13:$AR$162,BN2005,0)+INDEX($AT$13:$BB$162,BO2005,0)+INDEX($BD$13:$BL$162,BP2005,0))/100)))),0)</f>
        <v/>
      </c>
      <c r="BS2005">
        <f>IF(1992&lt;$U$9,SUMPRODUCT(($D$9:$L$9+INT(($S$12:$AA$12+INDEX($AJ$13:$AR$162,BN2005,0)+INDEX($AT$13:$BB$162,BO2005,0)+INDEX($BD$13:$BL$162,BP2005,0))/100))),0)</f>
        <v/>
      </c>
      <c r="BT2005">
        <f>IF(AND(1992&lt;$U$9,$W$5),BQ2005*1000000-MIN(BR2005,999)*1000+BS2005-1992/100000,-1000000000-1992)</f>
        <v/>
      </c>
    </row>
    <row r="2006">
      <c r="BN2006">
        <f>IF(1993&lt;$U$9,INT(1993/($U$7*$U$8))+1,1)</f>
        <v/>
      </c>
      <c r="BO2006">
        <f>IF(1993&lt;$U$9,MOD(INT(1993/$U$8),$U$7)+1,1)</f>
        <v/>
      </c>
      <c r="BP2006">
        <f>IF(1993&lt;$U$9,MOD(1993,$U$8)+1,1)</f>
        <v/>
      </c>
      <c r="BQ2006">
        <f>IF(1993&lt;$U$9,SUMPRODUCT(($D$10:$L$10&lt;&gt;"")*(($D$9:$L$9+INT(($S$12:$AA$12+INDEX($AJ$13:$AR$162,BN2006,0)+INDEX($AT$13:$BB$162,BO2006,0)+INDEX($BD$13:$BL$162,BP2006,0))/100))&gt;=$D$10:$L$10)),0)</f>
        <v/>
      </c>
      <c r="BR2006">
        <f>IF(1993&lt;$U$9,SUMPRODUCT(($D$10:$L$10&lt;&gt;"")*(($D$10:$L$10-($D$9:$L$9+INT(($S$12:$AA$12+INDEX($AJ$13:$AR$162,BN2006,0)+INDEX($AT$13:$BB$162,BO2006,0)+INDEX($BD$13:$BL$162,BP2006,0))/100)))&gt;0)*($D$10:$L$10-($D$9:$L$9+INT(($S$12:$AA$12+INDEX($AJ$13:$AR$162,BN2006,0)+INDEX($AT$13:$BB$162,BO2006,0)+INDEX($BD$13:$BL$162,BP2006,0))/100)))),0)</f>
        <v/>
      </c>
      <c r="BS2006">
        <f>IF(1993&lt;$U$9,SUMPRODUCT(($D$9:$L$9+INT(($S$12:$AA$12+INDEX($AJ$13:$AR$162,BN2006,0)+INDEX($AT$13:$BB$162,BO2006,0)+INDEX($BD$13:$BL$162,BP2006,0))/100))),0)</f>
        <v/>
      </c>
      <c r="BT2006">
        <f>IF(AND(1993&lt;$U$9,$W$5),BQ2006*1000000-MIN(BR2006,999)*1000+BS2006-1993/100000,-1000000000-1993)</f>
        <v/>
      </c>
    </row>
    <row r="2007">
      <c r="BN2007">
        <f>IF(1994&lt;$U$9,INT(1994/($U$7*$U$8))+1,1)</f>
        <v/>
      </c>
      <c r="BO2007">
        <f>IF(1994&lt;$U$9,MOD(INT(1994/$U$8),$U$7)+1,1)</f>
        <v/>
      </c>
      <c r="BP2007">
        <f>IF(1994&lt;$U$9,MOD(1994,$U$8)+1,1)</f>
        <v/>
      </c>
      <c r="BQ2007">
        <f>IF(1994&lt;$U$9,SUMPRODUCT(($D$10:$L$10&lt;&gt;"")*(($D$9:$L$9+INT(($S$12:$AA$12+INDEX($AJ$13:$AR$162,BN2007,0)+INDEX($AT$13:$BB$162,BO2007,0)+INDEX($BD$13:$BL$162,BP2007,0))/100))&gt;=$D$10:$L$10)),0)</f>
        <v/>
      </c>
      <c r="BR2007">
        <f>IF(1994&lt;$U$9,SUMPRODUCT(($D$10:$L$10&lt;&gt;"")*(($D$10:$L$10-($D$9:$L$9+INT(($S$12:$AA$12+INDEX($AJ$13:$AR$162,BN2007,0)+INDEX($AT$13:$BB$162,BO2007,0)+INDEX($BD$13:$BL$162,BP2007,0))/100)))&gt;0)*($D$10:$L$10-($D$9:$L$9+INT(($S$12:$AA$12+INDEX($AJ$13:$AR$162,BN2007,0)+INDEX($AT$13:$BB$162,BO2007,0)+INDEX($BD$13:$BL$162,BP2007,0))/100)))),0)</f>
        <v/>
      </c>
      <c r="BS2007">
        <f>IF(1994&lt;$U$9,SUMPRODUCT(($D$9:$L$9+INT(($S$12:$AA$12+INDEX($AJ$13:$AR$162,BN2007,0)+INDEX($AT$13:$BB$162,BO2007,0)+INDEX($BD$13:$BL$162,BP2007,0))/100))),0)</f>
        <v/>
      </c>
      <c r="BT2007">
        <f>IF(AND(1994&lt;$U$9,$W$5),BQ2007*1000000-MIN(BR2007,999)*1000+BS2007-1994/100000,-1000000000-1994)</f>
        <v/>
      </c>
    </row>
    <row r="2008">
      <c r="BN2008">
        <f>IF(1995&lt;$U$9,INT(1995/($U$7*$U$8))+1,1)</f>
        <v/>
      </c>
      <c r="BO2008">
        <f>IF(1995&lt;$U$9,MOD(INT(1995/$U$8),$U$7)+1,1)</f>
        <v/>
      </c>
      <c r="BP2008">
        <f>IF(1995&lt;$U$9,MOD(1995,$U$8)+1,1)</f>
        <v/>
      </c>
      <c r="BQ2008">
        <f>IF(1995&lt;$U$9,SUMPRODUCT(($D$10:$L$10&lt;&gt;"")*(($D$9:$L$9+INT(($S$12:$AA$12+INDEX($AJ$13:$AR$162,BN2008,0)+INDEX($AT$13:$BB$162,BO2008,0)+INDEX($BD$13:$BL$162,BP2008,0))/100))&gt;=$D$10:$L$10)),0)</f>
        <v/>
      </c>
      <c r="BR2008">
        <f>IF(1995&lt;$U$9,SUMPRODUCT(($D$10:$L$10&lt;&gt;"")*(($D$10:$L$10-($D$9:$L$9+INT(($S$12:$AA$12+INDEX($AJ$13:$AR$162,BN2008,0)+INDEX($AT$13:$BB$162,BO2008,0)+INDEX($BD$13:$BL$162,BP2008,0))/100)))&gt;0)*($D$10:$L$10-($D$9:$L$9+INT(($S$12:$AA$12+INDEX($AJ$13:$AR$162,BN2008,0)+INDEX($AT$13:$BB$162,BO2008,0)+INDEX($BD$13:$BL$162,BP2008,0))/100)))),0)</f>
        <v/>
      </c>
      <c r="BS2008">
        <f>IF(1995&lt;$U$9,SUMPRODUCT(($D$9:$L$9+INT(($S$12:$AA$12+INDEX($AJ$13:$AR$162,BN2008,0)+INDEX($AT$13:$BB$162,BO2008,0)+INDEX($BD$13:$BL$162,BP2008,0))/100))),0)</f>
        <v/>
      </c>
      <c r="BT2008">
        <f>IF(AND(1995&lt;$U$9,$W$5),BQ2008*1000000-MIN(BR2008,999)*1000+BS2008-1995/100000,-1000000000-1995)</f>
        <v/>
      </c>
    </row>
    <row r="2009">
      <c r="BN2009">
        <f>IF(1996&lt;$U$9,INT(1996/($U$7*$U$8))+1,1)</f>
        <v/>
      </c>
      <c r="BO2009">
        <f>IF(1996&lt;$U$9,MOD(INT(1996/$U$8),$U$7)+1,1)</f>
        <v/>
      </c>
      <c r="BP2009">
        <f>IF(1996&lt;$U$9,MOD(1996,$U$8)+1,1)</f>
        <v/>
      </c>
      <c r="BQ2009">
        <f>IF(1996&lt;$U$9,SUMPRODUCT(($D$10:$L$10&lt;&gt;"")*(($D$9:$L$9+INT(($S$12:$AA$12+INDEX($AJ$13:$AR$162,BN2009,0)+INDEX($AT$13:$BB$162,BO2009,0)+INDEX($BD$13:$BL$162,BP2009,0))/100))&gt;=$D$10:$L$10)),0)</f>
        <v/>
      </c>
      <c r="BR2009">
        <f>IF(1996&lt;$U$9,SUMPRODUCT(($D$10:$L$10&lt;&gt;"")*(($D$10:$L$10-($D$9:$L$9+INT(($S$12:$AA$12+INDEX($AJ$13:$AR$162,BN2009,0)+INDEX($AT$13:$BB$162,BO2009,0)+INDEX($BD$13:$BL$162,BP2009,0))/100)))&gt;0)*($D$10:$L$10-($D$9:$L$9+INT(($S$12:$AA$12+INDEX($AJ$13:$AR$162,BN2009,0)+INDEX($AT$13:$BB$162,BO2009,0)+INDEX($BD$13:$BL$162,BP2009,0))/100)))),0)</f>
        <v/>
      </c>
      <c r="BS2009">
        <f>IF(1996&lt;$U$9,SUMPRODUCT(($D$9:$L$9+INT(($S$12:$AA$12+INDEX($AJ$13:$AR$162,BN2009,0)+INDEX($AT$13:$BB$162,BO2009,0)+INDEX($BD$13:$BL$162,BP2009,0))/100))),0)</f>
        <v/>
      </c>
      <c r="BT2009">
        <f>IF(AND(1996&lt;$U$9,$W$5),BQ2009*1000000-MIN(BR2009,999)*1000+BS2009-1996/100000,-1000000000-1996)</f>
        <v/>
      </c>
    </row>
    <row r="2010">
      <c r="BN2010">
        <f>IF(1997&lt;$U$9,INT(1997/($U$7*$U$8))+1,1)</f>
        <v/>
      </c>
      <c r="BO2010">
        <f>IF(1997&lt;$U$9,MOD(INT(1997/$U$8),$U$7)+1,1)</f>
        <v/>
      </c>
      <c r="BP2010">
        <f>IF(1997&lt;$U$9,MOD(1997,$U$8)+1,1)</f>
        <v/>
      </c>
      <c r="BQ2010">
        <f>IF(1997&lt;$U$9,SUMPRODUCT(($D$10:$L$10&lt;&gt;"")*(($D$9:$L$9+INT(($S$12:$AA$12+INDEX($AJ$13:$AR$162,BN2010,0)+INDEX($AT$13:$BB$162,BO2010,0)+INDEX($BD$13:$BL$162,BP2010,0))/100))&gt;=$D$10:$L$10)),0)</f>
        <v/>
      </c>
      <c r="BR2010">
        <f>IF(1997&lt;$U$9,SUMPRODUCT(($D$10:$L$10&lt;&gt;"")*(($D$10:$L$10-($D$9:$L$9+INT(($S$12:$AA$12+INDEX($AJ$13:$AR$162,BN2010,0)+INDEX($AT$13:$BB$162,BO2010,0)+INDEX($BD$13:$BL$162,BP2010,0))/100)))&gt;0)*($D$10:$L$10-($D$9:$L$9+INT(($S$12:$AA$12+INDEX($AJ$13:$AR$162,BN2010,0)+INDEX($AT$13:$BB$162,BO2010,0)+INDEX($BD$13:$BL$162,BP2010,0))/100)))),0)</f>
        <v/>
      </c>
      <c r="BS2010">
        <f>IF(1997&lt;$U$9,SUMPRODUCT(($D$9:$L$9+INT(($S$12:$AA$12+INDEX($AJ$13:$AR$162,BN2010,0)+INDEX($AT$13:$BB$162,BO2010,0)+INDEX($BD$13:$BL$162,BP2010,0))/100))),0)</f>
        <v/>
      </c>
      <c r="BT2010">
        <f>IF(AND(1997&lt;$U$9,$W$5),BQ2010*1000000-MIN(BR2010,999)*1000+BS2010-1997/100000,-1000000000-1997)</f>
        <v/>
      </c>
    </row>
    <row r="2011">
      <c r="BN2011">
        <f>IF(1998&lt;$U$9,INT(1998/($U$7*$U$8))+1,1)</f>
        <v/>
      </c>
      <c r="BO2011">
        <f>IF(1998&lt;$U$9,MOD(INT(1998/$U$8),$U$7)+1,1)</f>
        <v/>
      </c>
      <c r="BP2011">
        <f>IF(1998&lt;$U$9,MOD(1998,$U$8)+1,1)</f>
        <v/>
      </c>
      <c r="BQ2011">
        <f>IF(1998&lt;$U$9,SUMPRODUCT(($D$10:$L$10&lt;&gt;"")*(($D$9:$L$9+INT(($S$12:$AA$12+INDEX($AJ$13:$AR$162,BN2011,0)+INDEX($AT$13:$BB$162,BO2011,0)+INDEX($BD$13:$BL$162,BP2011,0))/100))&gt;=$D$10:$L$10)),0)</f>
        <v/>
      </c>
      <c r="BR2011">
        <f>IF(1998&lt;$U$9,SUMPRODUCT(($D$10:$L$10&lt;&gt;"")*(($D$10:$L$10-($D$9:$L$9+INT(($S$12:$AA$12+INDEX($AJ$13:$AR$162,BN2011,0)+INDEX($AT$13:$BB$162,BO2011,0)+INDEX($BD$13:$BL$162,BP2011,0))/100)))&gt;0)*($D$10:$L$10-($D$9:$L$9+INT(($S$12:$AA$12+INDEX($AJ$13:$AR$162,BN2011,0)+INDEX($AT$13:$BB$162,BO2011,0)+INDEX($BD$13:$BL$162,BP2011,0))/100)))),0)</f>
        <v/>
      </c>
      <c r="BS2011">
        <f>IF(1998&lt;$U$9,SUMPRODUCT(($D$9:$L$9+INT(($S$12:$AA$12+INDEX($AJ$13:$AR$162,BN2011,0)+INDEX($AT$13:$BB$162,BO2011,0)+INDEX($BD$13:$BL$162,BP2011,0))/100))),0)</f>
        <v/>
      </c>
      <c r="BT2011">
        <f>IF(AND(1998&lt;$U$9,$W$5),BQ2011*1000000-MIN(BR2011,999)*1000+BS2011-1998/100000,-1000000000-1998)</f>
        <v/>
      </c>
    </row>
    <row r="2012">
      <c r="BN2012">
        <f>IF(1999&lt;$U$9,INT(1999/($U$7*$U$8))+1,1)</f>
        <v/>
      </c>
      <c r="BO2012">
        <f>IF(1999&lt;$U$9,MOD(INT(1999/$U$8),$U$7)+1,1)</f>
        <v/>
      </c>
      <c r="BP2012">
        <f>IF(1999&lt;$U$9,MOD(1999,$U$8)+1,1)</f>
        <v/>
      </c>
      <c r="BQ2012">
        <f>IF(1999&lt;$U$9,SUMPRODUCT(($D$10:$L$10&lt;&gt;"")*(($D$9:$L$9+INT(($S$12:$AA$12+INDEX($AJ$13:$AR$162,BN2012,0)+INDEX($AT$13:$BB$162,BO2012,0)+INDEX($BD$13:$BL$162,BP2012,0))/100))&gt;=$D$10:$L$10)),0)</f>
        <v/>
      </c>
      <c r="BR2012">
        <f>IF(1999&lt;$U$9,SUMPRODUCT(($D$10:$L$10&lt;&gt;"")*(($D$10:$L$10-($D$9:$L$9+INT(($S$12:$AA$12+INDEX($AJ$13:$AR$162,BN2012,0)+INDEX($AT$13:$BB$162,BO2012,0)+INDEX($BD$13:$BL$162,BP2012,0))/100)))&gt;0)*($D$10:$L$10-($D$9:$L$9+INT(($S$12:$AA$12+INDEX($AJ$13:$AR$162,BN2012,0)+INDEX($AT$13:$BB$162,BO2012,0)+INDEX($BD$13:$BL$162,BP2012,0))/100)))),0)</f>
        <v/>
      </c>
      <c r="BS2012">
        <f>IF(1999&lt;$U$9,SUMPRODUCT(($D$9:$L$9+INT(($S$12:$AA$12+INDEX($AJ$13:$AR$162,BN2012,0)+INDEX($AT$13:$BB$162,BO2012,0)+INDEX($BD$13:$BL$162,BP2012,0))/100))),0)</f>
        <v/>
      </c>
      <c r="BT2012">
        <f>IF(AND(1999&lt;$U$9,$W$5),BQ2012*1000000-MIN(BR2012,999)*1000+BS2012-1999/100000,-1000000000-1999)</f>
        <v/>
      </c>
    </row>
    <row r="2013">
      <c r="BN2013">
        <f>IF(2000&lt;$U$9,INT(2000/($U$7*$U$8))+1,1)</f>
        <v/>
      </c>
      <c r="BO2013">
        <f>IF(2000&lt;$U$9,MOD(INT(2000/$U$8),$U$7)+1,1)</f>
        <v/>
      </c>
      <c r="BP2013">
        <f>IF(2000&lt;$U$9,MOD(2000,$U$8)+1,1)</f>
        <v/>
      </c>
      <c r="BQ2013">
        <f>IF(2000&lt;$U$9,SUMPRODUCT(($D$10:$L$10&lt;&gt;"")*(($D$9:$L$9+INT(($S$12:$AA$12+INDEX($AJ$13:$AR$162,BN2013,0)+INDEX($AT$13:$BB$162,BO2013,0)+INDEX($BD$13:$BL$162,BP2013,0))/100))&gt;=$D$10:$L$10)),0)</f>
        <v/>
      </c>
      <c r="BR2013">
        <f>IF(2000&lt;$U$9,SUMPRODUCT(($D$10:$L$10&lt;&gt;"")*(($D$10:$L$10-($D$9:$L$9+INT(($S$12:$AA$12+INDEX($AJ$13:$AR$162,BN2013,0)+INDEX($AT$13:$BB$162,BO2013,0)+INDEX($BD$13:$BL$162,BP2013,0))/100)))&gt;0)*($D$10:$L$10-($D$9:$L$9+INT(($S$12:$AA$12+INDEX($AJ$13:$AR$162,BN2013,0)+INDEX($AT$13:$BB$162,BO2013,0)+INDEX($BD$13:$BL$162,BP2013,0))/100)))),0)</f>
        <v/>
      </c>
      <c r="BS2013">
        <f>IF(2000&lt;$U$9,SUMPRODUCT(($D$9:$L$9+INT(($S$12:$AA$12+INDEX($AJ$13:$AR$162,BN2013,0)+INDEX($AT$13:$BB$162,BO2013,0)+INDEX($BD$13:$BL$162,BP2013,0))/100))),0)</f>
        <v/>
      </c>
      <c r="BT2013">
        <f>IF(AND(2000&lt;$U$9,$W$5),BQ2013*1000000-MIN(BR2013,999)*1000+BS2013-2000/100000,-1000000000-2000)</f>
        <v/>
      </c>
    </row>
    <row r="2014">
      <c r="BN2014">
        <f>IF(2001&lt;$U$9,INT(2001/($U$7*$U$8))+1,1)</f>
        <v/>
      </c>
      <c r="BO2014">
        <f>IF(2001&lt;$U$9,MOD(INT(2001/$U$8),$U$7)+1,1)</f>
        <v/>
      </c>
      <c r="BP2014">
        <f>IF(2001&lt;$U$9,MOD(2001,$U$8)+1,1)</f>
        <v/>
      </c>
      <c r="BQ2014">
        <f>IF(2001&lt;$U$9,SUMPRODUCT(($D$10:$L$10&lt;&gt;"")*(($D$9:$L$9+INT(($S$12:$AA$12+INDEX($AJ$13:$AR$162,BN2014,0)+INDEX($AT$13:$BB$162,BO2014,0)+INDEX($BD$13:$BL$162,BP2014,0))/100))&gt;=$D$10:$L$10)),0)</f>
        <v/>
      </c>
      <c r="BR2014">
        <f>IF(2001&lt;$U$9,SUMPRODUCT(($D$10:$L$10&lt;&gt;"")*(($D$10:$L$10-($D$9:$L$9+INT(($S$12:$AA$12+INDEX($AJ$13:$AR$162,BN2014,0)+INDEX($AT$13:$BB$162,BO2014,0)+INDEX($BD$13:$BL$162,BP2014,0))/100)))&gt;0)*($D$10:$L$10-($D$9:$L$9+INT(($S$12:$AA$12+INDEX($AJ$13:$AR$162,BN2014,0)+INDEX($AT$13:$BB$162,BO2014,0)+INDEX($BD$13:$BL$162,BP2014,0))/100)))),0)</f>
        <v/>
      </c>
      <c r="BS2014">
        <f>IF(2001&lt;$U$9,SUMPRODUCT(($D$9:$L$9+INT(($S$12:$AA$12+INDEX($AJ$13:$AR$162,BN2014,0)+INDEX($AT$13:$BB$162,BO2014,0)+INDEX($BD$13:$BL$162,BP2014,0))/100))),0)</f>
        <v/>
      </c>
      <c r="BT2014">
        <f>IF(AND(2001&lt;$U$9,$W$5),BQ2014*1000000-MIN(BR2014,999)*1000+BS2014-2001/100000,-1000000000-2001)</f>
        <v/>
      </c>
    </row>
    <row r="2015">
      <c r="BN2015">
        <f>IF(2002&lt;$U$9,INT(2002/($U$7*$U$8))+1,1)</f>
        <v/>
      </c>
      <c r="BO2015">
        <f>IF(2002&lt;$U$9,MOD(INT(2002/$U$8),$U$7)+1,1)</f>
        <v/>
      </c>
      <c r="BP2015">
        <f>IF(2002&lt;$U$9,MOD(2002,$U$8)+1,1)</f>
        <v/>
      </c>
      <c r="BQ2015">
        <f>IF(2002&lt;$U$9,SUMPRODUCT(($D$10:$L$10&lt;&gt;"")*(($D$9:$L$9+INT(($S$12:$AA$12+INDEX($AJ$13:$AR$162,BN2015,0)+INDEX($AT$13:$BB$162,BO2015,0)+INDEX($BD$13:$BL$162,BP2015,0))/100))&gt;=$D$10:$L$10)),0)</f>
        <v/>
      </c>
      <c r="BR2015">
        <f>IF(2002&lt;$U$9,SUMPRODUCT(($D$10:$L$10&lt;&gt;"")*(($D$10:$L$10-($D$9:$L$9+INT(($S$12:$AA$12+INDEX($AJ$13:$AR$162,BN2015,0)+INDEX($AT$13:$BB$162,BO2015,0)+INDEX($BD$13:$BL$162,BP2015,0))/100)))&gt;0)*($D$10:$L$10-($D$9:$L$9+INT(($S$12:$AA$12+INDEX($AJ$13:$AR$162,BN2015,0)+INDEX($AT$13:$BB$162,BO2015,0)+INDEX($BD$13:$BL$162,BP2015,0))/100)))),0)</f>
        <v/>
      </c>
      <c r="BS2015">
        <f>IF(2002&lt;$U$9,SUMPRODUCT(($D$9:$L$9+INT(($S$12:$AA$12+INDEX($AJ$13:$AR$162,BN2015,0)+INDEX($AT$13:$BB$162,BO2015,0)+INDEX($BD$13:$BL$162,BP2015,0))/100))),0)</f>
        <v/>
      </c>
      <c r="BT2015">
        <f>IF(AND(2002&lt;$U$9,$W$5),BQ2015*1000000-MIN(BR2015,999)*1000+BS2015-2002/100000,-1000000000-2002)</f>
        <v/>
      </c>
    </row>
    <row r="2016">
      <c r="BN2016">
        <f>IF(2003&lt;$U$9,INT(2003/($U$7*$U$8))+1,1)</f>
        <v/>
      </c>
      <c r="BO2016">
        <f>IF(2003&lt;$U$9,MOD(INT(2003/$U$8),$U$7)+1,1)</f>
        <v/>
      </c>
      <c r="BP2016">
        <f>IF(2003&lt;$U$9,MOD(2003,$U$8)+1,1)</f>
        <v/>
      </c>
      <c r="BQ2016">
        <f>IF(2003&lt;$U$9,SUMPRODUCT(($D$10:$L$10&lt;&gt;"")*(($D$9:$L$9+INT(($S$12:$AA$12+INDEX($AJ$13:$AR$162,BN2016,0)+INDEX($AT$13:$BB$162,BO2016,0)+INDEX($BD$13:$BL$162,BP2016,0))/100))&gt;=$D$10:$L$10)),0)</f>
        <v/>
      </c>
      <c r="BR2016">
        <f>IF(2003&lt;$U$9,SUMPRODUCT(($D$10:$L$10&lt;&gt;"")*(($D$10:$L$10-($D$9:$L$9+INT(($S$12:$AA$12+INDEX($AJ$13:$AR$162,BN2016,0)+INDEX($AT$13:$BB$162,BO2016,0)+INDEX($BD$13:$BL$162,BP2016,0))/100)))&gt;0)*($D$10:$L$10-($D$9:$L$9+INT(($S$12:$AA$12+INDEX($AJ$13:$AR$162,BN2016,0)+INDEX($AT$13:$BB$162,BO2016,0)+INDEX($BD$13:$BL$162,BP2016,0))/100)))),0)</f>
        <v/>
      </c>
      <c r="BS2016">
        <f>IF(2003&lt;$U$9,SUMPRODUCT(($D$9:$L$9+INT(($S$12:$AA$12+INDEX($AJ$13:$AR$162,BN2016,0)+INDEX($AT$13:$BB$162,BO2016,0)+INDEX($BD$13:$BL$162,BP2016,0))/100))),0)</f>
        <v/>
      </c>
      <c r="BT2016">
        <f>IF(AND(2003&lt;$U$9,$W$5),BQ2016*1000000-MIN(BR2016,999)*1000+BS2016-2003/100000,-1000000000-2003)</f>
        <v/>
      </c>
    </row>
    <row r="2017">
      <c r="BN2017">
        <f>IF(2004&lt;$U$9,INT(2004/($U$7*$U$8))+1,1)</f>
        <v/>
      </c>
      <c r="BO2017">
        <f>IF(2004&lt;$U$9,MOD(INT(2004/$U$8),$U$7)+1,1)</f>
        <v/>
      </c>
      <c r="BP2017">
        <f>IF(2004&lt;$U$9,MOD(2004,$U$8)+1,1)</f>
        <v/>
      </c>
      <c r="BQ2017">
        <f>IF(2004&lt;$U$9,SUMPRODUCT(($D$10:$L$10&lt;&gt;"")*(($D$9:$L$9+INT(($S$12:$AA$12+INDEX($AJ$13:$AR$162,BN2017,0)+INDEX($AT$13:$BB$162,BO2017,0)+INDEX($BD$13:$BL$162,BP2017,0))/100))&gt;=$D$10:$L$10)),0)</f>
        <v/>
      </c>
      <c r="BR2017">
        <f>IF(2004&lt;$U$9,SUMPRODUCT(($D$10:$L$10&lt;&gt;"")*(($D$10:$L$10-($D$9:$L$9+INT(($S$12:$AA$12+INDEX($AJ$13:$AR$162,BN2017,0)+INDEX($AT$13:$BB$162,BO2017,0)+INDEX($BD$13:$BL$162,BP2017,0))/100)))&gt;0)*($D$10:$L$10-($D$9:$L$9+INT(($S$12:$AA$12+INDEX($AJ$13:$AR$162,BN2017,0)+INDEX($AT$13:$BB$162,BO2017,0)+INDEX($BD$13:$BL$162,BP2017,0))/100)))),0)</f>
        <v/>
      </c>
      <c r="BS2017">
        <f>IF(2004&lt;$U$9,SUMPRODUCT(($D$9:$L$9+INT(($S$12:$AA$12+INDEX($AJ$13:$AR$162,BN2017,0)+INDEX($AT$13:$BB$162,BO2017,0)+INDEX($BD$13:$BL$162,BP2017,0))/100))),0)</f>
        <v/>
      </c>
      <c r="BT2017">
        <f>IF(AND(2004&lt;$U$9,$W$5),BQ2017*1000000-MIN(BR2017,999)*1000+BS2017-2004/100000,-1000000000-2004)</f>
        <v/>
      </c>
    </row>
    <row r="2018">
      <c r="BN2018">
        <f>IF(2005&lt;$U$9,INT(2005/($U$7*$U$8))+1,1)</f>
        <v/>
      </c>
      <c r="BO2018">
        <f>IF(2005&lt;$U$9,MOD(INT(2005/$U$8),$U$7)+1,1)</f>
        <v/>
      </c>
      <c r="BP2018">
        <f>IF(2005&lt;$U$9,MOD(2005,$U$8)+1,1)</f>
        <v/>
      </c>
      <c r="BQ2018">
        <f>IF(2005&lt;$U$9,SUMPRODUCT(($D$10:$L$10&lt;&gt;"")*(($D$9:$L$9+INT(($S$12:$AA$12+INDEX($AJ$13:$AR$162,BN2018,0)+INDEX($AT$13:$BB$162,BO2018,0)+INDEX($BD$13:$BL$162,BP2018,0))/100))&gt;=$D$10:$L$10)),0)</f>
        <v/>
      </c>
      <c r="BR2018">
        <f>IF(2005&lt;$U$9,SUMPRODUCT(($D$10:$L$10&lt;&gt;"")*(($D$10:$L$10-($D$9:$L$9+INT(($S$12:$AA$12+INDEX($AJ$13:$AR$162,BN2018,0)+INDEX($AT$13:$BB$162,BO2018,0)+INDEX($BD$13:$BL$162,BP2018,0))/100)))&gt;0)*($D$10:$L$10-($D$9:$L$9+INT(($S$12:$AA$12+INDEX($AJ$13:$AR$162,BN2018,0)+INDEX($AT$13:$BB$162,BO2018,0)+INDEX($BD$13:$BL$162,BP2018,0))/100)))),0)</f>
        <v/>
      </c>
      <c r="BS2018">
        <f>IF(2005&lt;$U$9,SUMPRODUCT(($D$9:$L$9+INT(($S$12:$AA$12+INDEX($AJ$13:$AR$162,BN2018,0)+INDEX($AT$13:$BB$162,BO2018,0)+INDEX($BD$13:$BL$162,BP2018,0))/100))),0)</f>
        <v/>
      </c>
      <c r="BT2018">
        <f>IF(AND(2005&lt;$U$9,$W$5),BQ2018*1000000-MIN(BR2018,999)*1000+BS2018-2005/100000,-1000000000-2005)</f>
        <v/>
      </c>
    </row>
    <row r="2019">
      <c r="BN2019">
        <f>IF(2006&lt;$U$9,INT(2006/($U$7*$U$8))+1,1)</f>
        <v/>
      </c>
      <c r="BO2019">
        <f>IF(2006&lt;$U$9,MOD(INT(2006/$U$8),$U$7)+1,1)</f>
        <v/>
      </c>
      <c r="BP2019">
        <f>IF(2006&lt;$U$9,MOD(2006,$U$8)+1,1)</f>
        <v/>
      </c>
      <c r="BQ2019">
        <f>IF(2006&lt;$U$9,SUMPRODUCT(($D$10:$L$10&lt;&gt;"")*(($D$9:$L$9+INT(($S$12:$AA$12+INDEX($AJ$13:$AR$162,BN2019,0)+INDEX($AT$13:$BB$162,BO2019,0)+INDEX($BD$13:$BL$162,BP2019,0))/100))&gt;=$D$10:$L$10)),0)</f>
        <v/>
      </c>
      <c r="BR2019">
        <f>IF(2006&lt;$U$9,SUMPRODUCT(($D$10:$L$10&lt;&gt;"")*(($D$10:$L$10-($D$9:$L$9+INT(($S$12:$AA$12+INDEX($AJ$13:$AR$162,BN2019,0)+INDEX($AT$13:$BB$162,BO2019,0)+INDEX($BD$13:$BL$162,BP2019,0))/100)))&gt;0)*($D$10:$L$10-($D$9:$L$9+INT(($S$12:$AA$12+INDEX($AJ$13:$AR$162,BN2019,0)+INDEX($AT$13:$BB$162,BO2019,0)+INDEX($BD$13:$BL$162,BP2019,0))/100)))),0)</f>
        <v/>
      </c>
      <c r="BS2019">
        <f>IF(2006&lt;$U$9,SUMPRODUCT(($D$9:$L$9+INT(($S$12:$AA$12+INDEX($AJ$13:$AR$162,BN2019,0)+INDEX($AT$13:$BB$162,BO2019,0)+INDEX($BD$13:$BL$162,BP2019,0))/100))),0)</f>
        <v/>
      </c>
      <c r="BT2019">
        <f>IF(AND(2006&lt;$U$9,$W$5),BQ2019*1000000-MIN(BR2019,999)*1000+BS2019-2006/100000,-1000000000-2006)</f>
        <v/>
      </c>
    </row>
    <row r="2020">
      <c r="BN2020">
        <f>IF(2007&lt;$U$9,INT(2007/($U$7*$U$8))+1,1)</f>
        <v/>
      </c>
      <c r="BO2020">
        <f>IF(2007&lt;$U$9,MOD(INT(2007/$U$8),$U$7)+1,1)</f>
        <v/>
      </c>
      <c r="BP2020">
        <f>IF(2007&lt;$U$9,MOD(2007,$U$8)+1,1)</f>
        <v/>
      </c>
      <c r="BQ2020">
        <f>IF(2007&lt;$U$9,SUMPRODUCT(($D$10:$L$10&lt;&gt;"")*(($D$9:$L$9+INT(($S$12:$AA$12+INDEX($AJ$13:$AR$162,BN2020,0)+INDEX($AT$13:$BB$162,BO2020,0)+INDEX($BD$13:$BL$162,BP2020,0))/100))&gt;=$D$10:$L$10)),0)</f>
        <v/>
      </c>
      <c r="BR2020">
        <f>IF(2007&lt;$U$9,SUMPRODUCT(($D$10:$L$10&lt;&gt;"")*(($D$10:$L$10-($D$9:$L$9+INT(($S$12:$AA$12+INDEX($AJ$13:$AR$162,BN2020,0)+INDEX($AT$13:$BB$162,BO2020,0)+INDEX($BD$13:$BL$162,BP2020,0))/100)))&gt;0)*($D$10:$L$10-($D$9:$L$9+INT(($S$12:$AA$12+INDEX($AJ$13:$AR$162,BN2020,0)+INDEX($AT$13:$BB$162,BO2020,0)+INDEX($BD$13:$BL$162,BP2020,0))/100)))),0)</f>
        <v/>
      </c>
      <c r="BS2020">
        <f>IF(2007&lt;$U$9,SUMPRODUCT(($D$9:$L$9+INT(($S$12:$AA$12+INDEX($AJ$13:$AR$162,BN2020,0)+INDEX($AT$13:$BB$162,BO2020,0)+INDEX($BD$13:$BL$162,BP2020,0))/100))),0)</f>
        <v/>
      </c>
      <c r="BT2020">
        <f>IF(AND(2007&lt;$U$9,$W$5),BQ2020*1000000-MIN(BR2020,999)*1000+BS2020-2007/100000,-1000000000-2007)</f>
        <v/>
      </c>
    </row>
    <row r="2021">
      <c r="BN2021">
        <f>IF(2008&lt;$U$9,INT(2008/($U$7*$U$8))+1,1)</f>
        <v/>
      </c>
      <c r="BO2021">
        <f>IF(2008&lt;$U$9,MOD(INT(2008/$U$8),$U$7)+1,1)</f>
        <v/>
      </c>
      <c r="BP2021">
        <f>IF(2008&lt;$U$9,MOD(2008,$U$8)+1,1)</f>
        <v/>
      </c>
      <c r="BQ2021">
        <f>IF(2008&lt;$U$9,SUMPRODUCT(($D$10:$L$10&lt;&gt;"")*(($D$9:$L$9+INT(($S$12:$AA$12+INDEX($AJ$13:$AR$162,BN2021,0)+INDEX($AT$13:$BB$162,BO2021,0)+INDEX($BD$13:$BL$162,BP2021,0))/100))&gt;=$D$10:$L$10)),0)</f>
        <v/>
      </c>
      <c r="BR2021">
        <f>IF(2008&lt;$U$9,SUMPRODUCT(($D$10:$L$10&lt;&gt;"")*(($D$10:$L$10-($D$9:$L$9+INT(($S$12:$AA$12+INDEX($AJ$13:$AR$162,BN2021,0)+INDEX($AT$13:$BB$162,BO2021,0)+INDEX($BD$13:$BL$162,BP2021,0))/100)))&gt;0)*($D$10:$L$10-($D$9:$L$9+INT(($S$12:$AA$12+INDEX($AJ$13:$AR$162,BN2021,0)+INDEX($AT$13:$BB$162,BO2021,0)+INDEX($BD$13:$BL$162,BP2021,0))/100)))),0)</f>
        <v/>
      </c>
      <c r="BS2021">
        <f>IF(2008&lt;$U$9,SUMPRODUCT(($D$9:$L$9+INT(($S$12:$AA$12+INDEX($AJ$13:$AR$162,BN2021,0)+INDEX($AT$13:$BB$162,BO2021,0)+INDEX($BD$13:$BL$162,BP2021,0))/100))),0)</f>
        <v/>
      </c>
      <c r="BT2021">
        <f>IF(AND(2008&lt;$U$9,$W$5),BQ2021*1000000-MIN(BR2021,999)*1000+BS2021-2008/100000,-1000000000-2008)</f>
        <v/>
      </c>
    </row>
    <row r="2022">
      <c r="BN2022">
        <f>IF(2009&lt;$U$9,INT(2009/($U$7*$U$8))+1,1)</f>
        <v/>
      </c>
      <c r="BO2022">
        <f>IF(2009&lt;$U$9,MOD(INT(2009/$U$8),$U$7)+1,1)</f>
        <v/>
      </c>
      <c r="BP2022">
        <f>IF(2009&lt;$U$9,MOD(2009,$U$8)+1,1)</f>
        <v/>
      </c>
      <c r="BQ2022">
        <f>IF(2009&lt;$U$9,SUMPRODUCT(($D$10:$L$10&lt;&gt;"")*(($D$9:$L$9+INT(($S$12:$AA$12+INDEX($AJ$13:$AR$162,BN2022,0)+INDEX($AT$13:$BB$162,BO2022,0)+INDEX($BD$13:$BL$162,BP2022,0))/100))&gt;=$D$10:$L$10)),0)</f>
        <v/>
      </c>
      <c r="BR2022">
        <f>IF(2009&lt;$U$9,SUMPRODUCT(($D$10:$L$10&lt;&gt;"")*(($D$10:$L$10-($D$9:$L$9+INT(($S$12:$AA$12+INDEX($AJ$13:$AR$162,BN2022,0)+INDEX($AT$13:$BB$162,BO2022,0)+INDEX($BD$13:$BL$162,BP2022,0))/100)))&gt;0)*($D$10:$L$10-($D$9:$L$9+INT(($S$12:$AA$12+INDEX($AJ$13:$AR$162,BN2022,0)+INDEX($AT$13:$BB$162,BO2022,0)+INDEX($BD$13:$BL$162,BP2022,0))/100)))),0)</f>
        <v/>
      </c>
      <c r="BS2022">
        <f>IF(2009&lt;$U$9,SUMPRODUCT(($D$9:$L$9+INT(($S$12:$AA$12+INDEX($AJ$13:$AR$162,BN2022,0)+INDEX($AT$13:$BB$162,BO2022,0)+INDEX($BD$13:$BL$162,BP2022,0))/100))),0)</f>
        <v/>
      </c>
      <c r="BT2022">
        <f>IF(AND(2009&lt;$U$9,$W$5),BQ2022*1000000-MIN(BR2022,999)*1000+BS2022-2009/100000,-1000000000-2009)</f>
        <v/>
      </c>
    </row>
    <row r="2023">
      <c r="BN2023">
        <f>IF(2010&lt;$U$9,INT(2010/($U$7*$U$8))+1,1)</f>
        <v/>
      </c>
      <c r="BO2023">
        <f>IF(2010&lt;$U$9,MOD(INT(2010/$U$8),$U$7)+1,1)</f>
        <v/>
      </c>
      <c r="BP2023">
        <f>IF(2010&lt;$U$9,MOD(2010,$U$8)+1,1)</f>
        <v/>
      </c>
      <c r="BQ2023">
        <f>IF(2010&lt;$U$9,SUMPRODUCT(($D$10:$L$10&lt;&gt;"")*(($D$9:$L$9+INT(($S$12:$AA$12+INDEX($AJ$13:$AR$162,BN2023,0)+INDEX($AT$13:$BB$162,BO2023,0)+INDEX($BD$13:$BL$162,BP2023,0))/100))&gt;=$D$10:$L$10)),0)</f>
        <v/>
      </c>
      <c r="BR2023">
        <f>IF(2010&lt;$U$9,SUMPRODUCT(($D$10:$L$10&lt;&gt;"")*(($D$10:$L$10-($D$9:$L$9+INT(($S$12:$AA$12+INDEX($AJ$13:$AR$162,BN2023,0)+INDEX($AT$13:$BB$162,BO2023,0)+INDEX($BD$13:$BL$162,BP2023,0))/100)))&gt;0)*($D$10:$L$10-($D$9:$L$9+INT(($S$12:$AA$12+INDEX($AJ$13:$AR$162,BN2023,0)+INDEX($AT$13:$BB$162,BO2023,0)+INDEX($BD$13:$BL$162,BP2023,0))/100)))),0)</f>
        <v/>
      </c>
      <c r="BS2023">
        <f>IF(2010&lt;$U$9,SUMPRODUCT(($D$9:$L$9+INT(($S$12:$AA$12+INDEX($AJ$13:$AR$162,BN2023,0)+INDEX($AT$13:$BB$162,BO2023,0)+INDEX($BD$13:$BL$162,BP2023,0))/100))),0)</f>
        <v/>
      </c>
      <c r="BT2023">
        <f>IF(AND(2010&lt;$U$9,$W$5),BQ2023*1000000-MIN(BR2023,999)*1000+BS2023-2010/100000,-1000000000-2010)</f>
        <v/>
      </c>
    </row>
    <row r="2024">
      <c r="BN2024">
        <f>IF(2011&lt;$U$9,INT(2011/($U$7*$U$8))+1,1)</f>
        <v/>
      </c>
      <c r="BO2024">
        <f>IF(2011&lt;$U$9,MOD(INT(2011/$U$8),$U$7)+1,1)</f>
        <v/>
      </c>
      <c r="BP2024">
        <f>IF(2011&lt;$U$9,MOD(2011,$U$8)+1,1)</f>
        <v/>
      </c>
      <c r="BQ2024">
        <f>IF(2011&lt;$U$9,SUMPRODUCT(($D$10:$L$10&lt;&gt;"")*(($D$9:$L$9+INT(($S$12:$AA$12+INDEX($AJ$13:$AR$162,BN2024,0)+INDEX($AT$13:$BB$162,BO2024,0)+INDEX($BD$13:$BL$162,BP2024,0))/100))&gt;=$D$10:$L$10)),0)</f>
        <v/>
      </c>
      <c r="BR2024">
        <f>IF(2011&lt;$U$9,SUMPRODUCT(($D$10:$L$10&lt;&gt;"")*(($D$10:$L$10-($D$9:$L$9+INT(($S$12:$AA$12+INDEX($AJ$13:$AR$162,BN2024,0)+INDEX($AT$13:$BB$162,BO2024,0)+INDEX($BD$13:$BL$162,BP2024,0))/100)))&gt;0)*($D$10:$L$10-($D$9:$L$9+INT(($S$12:$AA$12+INDEX($AJ$13:$AR$162,BN2024,0)+INDEX($AT$13:$BB$162,BO2024,0)+INDEX($BD$13:$BL$162,BP2024,0))/100)))),0)</f>
        <v/>
      </c>
      <c r="BS2024">
        <f>IF(2011&lt;$U$9,SUMPRODUCT(($D$9:$L$9+INT(($S$12:$AA$12+INDEX($AJ$13:$AR$162,BN2024,0)+INDEX($AT$13:$BB$162,BO2024,0)+INDEX($BD$13:$BL$162,BP2024,0))/100))),0)</f>
        <v/>
      </c>
      <c r="BT2024">
        <f>IF(AND(2011&lt;$U$9,$W$5),BQ2024*1000000-MIN(BR2024,999)*1000+BS2024-2011/100000,-1000000000-2011)</f>
        <v/>
      </c>
    </row>
    <row r="2025">
      <c r="BN2025">
        <f>IF(2012&lt;$U$9,INT(2012/($U$7*$U$8))+1,1)</f>
        <v/>
      </c>
      <c r="BO2025">
        <f>IF(2012&lt;$U$9,MOD(INT(2012/$U$8),$U$7)+1,1)</f>
        <v/>
      </c>
      <c r="BP2025">
        <f>IF(2012&lt;$U$9,MOD(2012,$U$8)+1,1)</f>
        <v/>
      </c>
      <c r="BQ2025">
        <f>IF(2012&lt;$U$9,SUMPRODUCT(($D$10:$L$10&lt;&gt;"")*(($D$9:$L$9+INT(($S$12:$AA$12+INDEX($AJ$13:$AR$162,BN2025,0)+INDEX($AT$13:$BB$162,BO2025,0)+INDEX($BD$13:$BL$162,BP2025,0))/100))&gt;=$D$10:$L$10)),0)</f>
        <v/>
      </c>
      <c r="BR2025">
        <f>IF(2012&lt;$U$9,SUMPRODUCT(($D$10:$L$10&lt;&gt;"")*(($D$10:$L$10-($D$9:$L$9+INT(($S$12:$AA$12+INDEX($AJ$13:$AR$162,BN2025,0)+INDEX($AT$13:$BB$162,BO2025,0)+INDEX($BD$13:$BL$162,BP2025,0))/100)))&gt;0)*($D$10:$L$10-($D$9:$L$9+INT(($S$12:$AA$12+INDEX($AJ$13:$AR$162,BN2025,0)+INDEX($AT$13:$BB$162,BO2025,0)+INDEX($BD$13:$BL$162,BP2025,0))/100)))),0)</f>
        <v/>
      </c>
      <c r="BS2025">
        <f>IF(2012&lt;$U$9,SUMPRODUCT(($D$9:$L$9+INT(($S$12:$AA$12+INDEX($AJ$13:$AR$162,BN2025,0)+INDEX($AT$13:$BB$162,BO2025,0)+INDEX($BD$13:$BL$162,BP2025,0))/100))),0)</f>
        <v/>
      </c>
      <c r="BT2025">
        <f>IF(AND(2012&lt;$U$9,$W$5),BQ2025*1000000-MIN(BR2025,999)*1000+BS2025-2012/100000,-1000000000-2012)</f>
        <v/>
      </c>
    </row>
    <row r="2026">
      <c r="BN2026">
        <f>IF(2013&lt;$U$9,INT(2013/($U$7*$U$8))+1,1)</f>
        <v/>
      </c>
      <c r="BO2026">
        <f>IF(2013&lt;$U$9,MOD(INT(2013/$U$8),$U$7)+1,1)</f>
        <v/>
      </c>
      <c r="BP2026">
        <f>IF(2013&lt;$U$9,MOD(2013,$U$8)+1,1)</f>
        <v/>
      </c>
      <c r="BQ2026">
        <f>IF(2013&lt;$U$9,SUMPRODUCT(($D$10:$L$10&lt;&gt;"")*(($D$9:$L$9+INT(($S$12:$AA$12+INDEX($AJ$13:$AR$162,BN2026,0)+INDEX($AT$13:$BB$162,BO2026,0)+INDEX($BD$13:$BL$162,BP2026,0))/100))&gt;=$D$10:$L$10)),0)</f>
        <v/>
      </c>
      <c r="BR2026">
        <f>IF(2013&lt;$U$9,SUMPRODUCT(($D$10:$L$10&lt;&gt;"")*(($D$10:$L$10-($D$9:$L$9+INT(($S$12:$AA$12+INDEX($AJ$13:$AR$162,BN2026,0)+INDEX($AT$13:$BB$162,BO2026,0)+INDEX($BD$13:$BL$162,BP2026,0))/100)))&gt;0)*($D$10:$L$10-($D$9:$L$9+INT(($S$12:$AA$12+INDEX($AJ$13:$AR$162,BN2026,0)+INDEX($AT$13:$BB$162,BO2026,0)+INDEX($BD$13:$BL$162,BP2026,0))/100)))),0)</f>
        <v/>
      </c>
      <c r="BS2026">
        <f>IF(2013&lt;$U$9,SUMPRODUCT(($D$9:$L$9+INT(($S$12:$AA$12+INDEX($AJ$13:$AR$162,BN2026,0)+INDEX($AT$13:$BB$162,BO2026,0)+INDEX($BD$13:$BL$162,BP2026,0))/100))),0)</f>
        <v/>
      </c>
      <c r="BT2026">
        <f>IF(AND(2013&lt;$U$9,$W$5),BQ2026*1000000-MIN(BR2026,999)*1000+BS2026-2013/100000,-1000000000-2013)</f>
        <v/>
      </c>
    </row>
    <row r="2027">
      <c r="BN2027">
        <f>IF(2014&lt;$U$9,INT(2014/($U$7*$U$8))+1,1)</f>
        <v/>
      </c>
      <c r="BO2027">
        <f>IF(2014&lt;$U$9,MOD(INT(2014/$U$8),$U$7)+1,1)</f>
        <v/>
      </c>
      <c r="BP2027">
        <f>IF(2014&lt;$U$9,MOD(2014,$U$8)+1,1)</f>
        <v/>
      </c>
      <c r="BQ2027">
        <f>IF(2014&lt;$U$9,SUMPRODUCT(($D$10:$L$10&lt;&gt;"")*(($D$9:$L$9+INT(($S$12:$AA$12+INDEX($AJ$13:$AR$162,BN2027,0)+INDEX($AT$13:$BB$162,BO2027,0)+INDEX($BD$13:$BL$162,BP2027,0))/100))&gt;=$D$10:$L$10)),0)</f>
        <v/>
      </c>
      <c r="BR2027">
        <f>IF(2014&lt;$U$9,SUMPRODUCT(($D$10:$L$10&lt;&gt;"")*(($D$10:$L$10-($D$9:$L$9+INT(($S$12:$AA$12+INDEX($AJ$13:$AR$162,BN2027,0)+INDEX($AT$13:$BB$162,BO2027,0)+INDEX($BD$13:$BL$162,BP2027,0))/100)))&gt;0)*($D$10:$L$10-($D$9:$L$9+INT(($S$12:$AA$12+INDEX($AJ$13:$AR$162,BN2027,0)+INDEX($AT$13:$BB$162,BO2027,0)+INDEX($BD$13:$BL$162,BP2027,0))/100)))),0)</f>
        <v/>
      </c>
      <c r="BS2027">
        <f>IF(2014&lt;$U$9,SUMPRODUCT(($D$9:$L$9+INT(($S$12:$AA$12+INDEX($AJ$13:$AR$162,BN2027,0)+INDEX($AT$13:$BB$162,BO2027,0)+INDEX($BD$13:$BL$162,BP2027,0))/100))),0)</f>
        <v/>
      </c>
      <c r="BT2027">
        <f>IF(AND(2014&lt;$U$9,$W$5),BQ2027*1000000-MIN(BR2027,999)*1000+BS2027-2014/100000,-1000000000-2014)</f>
        <v/>
      </c>
    </row>
    <row r="2028">
      <c r="BN2028">
        <f>IF(2015&lt;$U$9,INT(2015/($U$7*$U$8))+1,1)</f>
        <v/>
      </c>
      <c r="BO2028">
        <f>IF(2015&lt;$U$9,MOD(INT(2015/$U$8),$U$7)+1,1)</f>
        <v/>
      </c>
      <c r="BP2028">
        <f>IF(2015&lt;$U$9,MOD(2015,$U$8)+1,1)</f>
        <v/>
      </c>
      <c r="BQ2028">
        <f>IF(2015&lt;$U$9,SUMPRODUCT(($D$10:$L$10&lt;&gt;"")*(($D$9:$L$9+INT(($S$12:$AA$12+INDEX($AJ$13:$AR$162,BN2028,0)+INDEX($AT$13:$BB$162,BO2028,0)+INDEX($BD$13:$BL$162,BP2028,0))/100))&gt;=$D$10:$L$10)),0)</f>
        <v/>
      </c>
      <c r="BR2028">
        <f>IF(2015&lt;$U$9,SUMPRODUCT(($D$10:$L$10&lt;&gt;"")*(($D$10:$L$10-($D$9:$L$9+INT(($S$12:$AA$12+INDEX($AJ$13:$AR$162,BN2028,0)+INDEX($AT$13:$BB$162,BO2028,0)+INDEX($BD$13:$BL$162,BP2028,0))/100)))&gt;0)*($D$10:$L$10-($D$9:$L$9+INT(($S$12:$AA$12+INDEX($AJ$13:$AR$162,BN2028,0)+INDEX($AT$13:$BB$162,BO2028,0)+INDEX($BD$13:$BL$162,BP2028,0))/100)))),0)</f>
        <v/>
      </c>
      <c r="BS2028">
        <f>IF(2015&lt;$U$9,SUMPRODUCT(($D$9:$L$9+INT(($S$12:$AA$12+INDEX($AJ$13:$AR$162,BN2028,0)+INDEX($AT$13:$BB$162,BO2028,0)+INDEX($BD$13:$BL$162,BP2028,0))/100))),0)</f>
        <v/>
      </c>
      <c r="BT2028">
        <f>IF(AND(2015&lt;$U$9,$W$5),BQ2028*1000000-MIN(BR2028,999)*1000+BS2028-2015/100000,-1000000000-2015)</f>
        <v/>
      </c>
    </row>
    <row r="2029">
      <c r="BN2029">
        <f>IF(2016&lt;$U$9,INT(2016/($U$7*$U$8))+1,1)</f>
        <v/>
      </c>
      <c r="BO2029">
        <f>IF(2016&lt;$U$9,MOD(INT(2016/$U$8),$U$7)+1,1)</f>
        <v/>
      </c>
      <c r="BP2029">
        <f>IF(2016&lt;$U$9,MOD(2016,$U$8)+1,1)</f>
        <v/>
      </c>
      <c r="BQ2029">
        <f>IF(2016&lt;$U$9,SUMPRODUCT(($D$10:$L$10&lt;&gt;"")*(($D$9:$L$9+INT(($S$12:$AA$12+INDEX($AJ$13:$AR$162,BN2029,0)+INDEX($AT$13:$BB$162,BO2029,0)+INDEX($BD$13:$BL$162,BP2029,0))/100))&gt;=$D$10:$L$10)),0)</f>
        <v/>
      </c>
      <c r="BR2029">
        <f>IF(2016&lt;$U$9,SUMPRODUCT(($D$10:$L$10&lt;&gt;"")*(($D$10:$L$10-($D$9:$L$9+INT(($S$12:$AA$12+INDEX($AJ$13:$AR$162,BN2029,0)+INDEX($AT$13:$BB$162,BO2029,0)+INDEX($BD$13:$BL$162,BP2029,0))/100)))&gt;0)*($D$10:$L$10-($D$9:$L$9+INT(($S$12:$AA$12+INDEX($AJ$13:$AR$162,BN2029,0)+INDEX($AT$13:$BB$162,BO2029,0)+INDEX($BD$13:$BL$162,BP2029,0))/100)))),0)</f>
        <v/>
      </c>
      <c r="BS2029">
        <f>IF(2016&lt;$U$9,SUMPRODUCT(($D$9:$L$9+INT(($S$12:$AA$12+INDEX($AJ$13:$AR$162,BN2029,0)+INDEX($AT$13:$BB$162,BO2029,0)+INDEX($BD$13:$BL$162,BP2029,0))/100))),0)</f>
        <v/>
      </c>
      <c r="BT2029">
        <f>IF(AND(2016&lt;$U$9,$W$5),BQ2029*1000000-MIN(BR2029,999)*1000+BS2029-2016/100000,-1000000000-2016)</f>
        <v/>
      </c>
    </row>
    <row r="2030">
      <c r="BN2030">
        <f>IF(2017&lt;$U$9,INT(2017/($U$7*$U$8))+1,1)</f>
        <v/>
      </c>
      <c r="BO2030">
        <f>IF(2017&lt;$U$9,MOD(INT(2017/$U$8),$U$7)+1,1)</f>
        <v/>
      </c>
      <c r="BP2030">
        <f>IF(2017&lt;$U$9,MOD(2017,$U$8)+1,1)</f>
        <v/>
      </c>
      <c r="BQ2030">
        <f>IF(2017&lt;$U$9,SUMPRODUCT(($D$10:$L$10&lt;&gt;"")*(($D$9:$L$9+INT(($S$12:$AA$12+INDEX($AJ$13:$AR$162,BN2030,0)+INDEX($AT$13:$BB$162,BO2030,0)+INDEX($BD$13:$BL$162,BP2030,0))/100))&gt;=$D$10:$L$10)),0)</f>
        <v/>
      </c>
      <c r="BR2030">
        <f>IF(2017&lt;$U$9,SUMPRODUCT(($D$10:$L$10&lt;&gt;"")*(($D$10:$L$10-($D$9:$L$9+INT(($S$12:$AA$12+INDEX($AJ$13:$AR$162,BN2030,0)+INDEX($AT$13:$BB$162,BO2030,0)+INDEX($BD$13:$BL$162,BP2030,0))/100)))&gt;0)*($D$10:$L$10-($D$9:$L$9+INT(($S$12:$AA$12+INDEX($AJ$13:$AR$162,BN2030,0)+INDEX($AT$13:$BB$162,BO2030,0)+INDEX($BD$13:$BL$162,BP2030,0))/100)))),0)</f>
        <v/>
      </c>
      <c r="BS2030">
        <f>IF(2017&lt;$U$9,SUMPRODUCT(($D$9:$L$9+INT(($S$12:$AA$12+INDEX($AJ$13:$AR$162,BN2030,0)+INDEX($AT$13:$BB$162,BO2030,0)+INDEX($BD$13:$BL$162,BP2030,0))/100))),0)</f>
        <v/>
      </c>
      <c r="BT2030">
        <f>IF(AND(2017&lt;$U$9,$W$5),BQ2030*1000000-MIN(BR2030,999)*1000+BS2030-2017/100000,-1000000000-2017)</f>
        <v/>
      </c>
    </row>
    <row r="2031">
      <c r="BN2031">
        <f>IF(2018&lt;$U$9,INT(2018/($U$7*$U$8))+1,1)</f>
        <v/>
      </c>
      <c r="BO2031">
        <f>IF(2018&lt;$U$9,MOD(INT(2018/$U$8),$U$7)+1,1)</f>
        <v/>
      </c>
      <c r="BP2031">
        <f>IF(2018&lt;$U$9,MOD(2018,$U$8)+1,1)</f>
        <v/>
      </c>
      <c r="BQ2031">
        <f>IF(2018&lt;$U$9,SUMPRODUCT(($D$10:$L$10&lt;&gt;"")*(($D$9:$L$9+INT(($S$12:$AA$12+INDEX($AJ$13:$AR$162,BN2031,0)+INDEX($AT$13:$BB$162,BO2031,0)+INDEX($BD$13:$BL$162,BP2031,0))/100))&gt;=$D$10:$L$10)),0)</f>
        <v/>
      </c>
      <c r="BR2031">
        <f>IF(2018&lt;$U$9,SUMPRODUCT(($D$10:$L$10&lt;&gt;"")*(($D$10:$L$10-($D$9:$L$9+INT(($S$12:$AA$12+INDEX($AJ$13:$AR$162,BN2031,0)+INDEX($AT$13:$BB$162,BO2031,0)+INDEX($BD$13:$BL$162,BP2031,0))/100)))&gt;0)*($D$10:$L$10-($D$9:$L$9+INT(($S$12:$AA$12+INDEX($AJ$13:$AR$162,BN2031,0)+INDEX($AT$13:$BB$162,BO2031,0)+INDEX($BD$13:$BL$162,BP2031,0))/100)))),0)</f>
        <v/>
      </c>
      <c r="BS2031">
        <f>IF(2018&lt;$U$9,SUMPRODUCT(($D$9:$L$9+INT(($S$12:$AA$12+INDEX($AJ$13:$AR$162,BN2031,0)+INDEX($AT$13:$BB$162,BO2031,0)+INDEX($BD$13:$BL$162,BP2031,0))/100))),0)</f>
        <v/>
      </c>
      <c r="BT2031">
        <f>IF(AND(2018&lt;$U$9,$W$5),BQ2031*1000000-MIN(BR2031,999)*1000+BS2031-2018/100000,-1000000000-2018)</f>
        <v/>
      </c>
    </row>
    <row r="2032">
      <c r="BN2032">
        <f>IF(2019&lt;$U$9,INT(2019/($U$7*$U$8))+1,1)</f>
        <v/>
      </c>
      <c r="BO2032">
        <f>IF(2019&lt;$U$9,MOD(INT(2019/$U$8),$U$7)+1,1)</f>
        <v/>
      </c>
      <c r="BP2032">
        <f>IF(2019&lt;$U$9,MOD(2019,$U$8)+1,1)</f>
        <v/>
      </c>
      <c r="BQ2032">
        <f>IF(2019&lt;$U$9,SUMPRODUCT(($D$10:$L$10&lt;&gt;"")*(($D$9:$L$9+INT(($S$12:$AA$12+INDEX($AJ$13:$AR$162,BN2032,0)+INDEX($AT$13:$BB$162,BO2032,0)+INDEX($BD$13:$BL$162,BP2032,0))/100))&gt;=$D$10:$L$10)),0)</f>
        <v/>
      </c>
      <c r="BR2032">
        <f>IF(2019&lt;$U$9,SUMPRODUCT(($D$10:$L$10&lt;&gt;"")*(($D$10:$L$10-($D$9:$L$9+INT(($S$12:$AA$12+INDEX($AJ$13:$AR$162,BN2032,0)+INDEX($AT$13:$BB$162,BO2032,0)+INDEX($BD$13:$BL$162,BP2032,0))/100)))&gt;0)*($D$10:$L$10-($D$9:$L$9+INT(($S$12:$AA$12+INDEX($AJ$13:$AR$162,BN2032,0)+INDEX($AT$13:$BB$162,BO2032,0)+INDEX($BD$13:$BL$162,BP2032,0))/100)))),0)</f>
        <v/>
      </c>
      <c r="BS2032">
        <f>IF(2019&lt;$U$9,SUMPRODUCT(($D$9:$L$9+INT(($S$12:$AA$12+INDEX($AJ$13:$AR$162,BN2032,0)+INDEX($AT$13:$BB$162,BO2032,0)+INDEX($BD$13:$BL$162,BP2032,0))/100))),0)</f>
        <v/>
      </c>
      <c r="BT2032">
        <f>IF(AND(2019&lt;$U$9,$W$5),BQ2032*1000000-MIN(BR2032,999)*1000+BS2032-2019/100000,-1000000000-2019)</f>
        <v/>
      </c>
    </row>
    <row r="2033">
      <c r="BN2033">
        <f>IF(2020&lt;$U$9,INT(2020/($U$7*$U$8))+1,1)</f>
        <v/>
      </c>
      <c r="BO2033">
        <f>IF(2020&lt;$U$9,MOD(INT(2020/$U$8),$U$7)+1,1)</f>
        <v/>
      </c>
      <c r="BP2033">
        <f>IF(2020&lt;$U$9,MOD(2020,$U$8)+1,1)</f>
        <v/>
      </c>
      <c r="BQ2033">
        <f>IF(2020&lt;$U$9,SUMPRODUCT(($D$10:$L$10&lt;&gt;"")*(($D$9:$L$9+INT(($S$12:$AA$12+INDEX($AJ$13:$AR$162,BN2033,0)+INDEX($AT$13:$BB$162,BO2033,0)+INDEX($BD$13:$BL$162,BP2033,0))/100))&gt;=$D$10:$L$10)),0)</f>
        <v/>
      </c>
      <c r="BR2033">
        <f>IF(2020&lt;$U$9,SUMPRODUCT(($D$10:$L$10&lt;&gt;"")*(($D$10:$L$10-($D$9:$L$9+INT(($S$12:$AA$12+INDEX($AJ$13:$AR$162,BN2033,0)+INDEX($AT$13:$BB$162,BO2033,0)+INDEX($BD$13:$BL$162,BP2033,0))/100)))&gt;0)*($D$10:$L$10-($D$9:$L$9+INT(($S$12:$AA$12+INDEX($AJ$13:$AR$162,BN2033,0)+INDEX($AT$13:$BB$162,BO2033,0)+INDEX($BD$13:$BL$162,BP2033,0))/100)))),0)</f>
        <v/>
      </c>
      <c r="BS2033">
        <f>IF(2020&lt;$U$9,SUMPRODUCT(($D$9:$L$9+INT(($S$12:$AA$12+INDEX($AJ$13:$AR$162,BN2033,0)+INDEX($AT$13:$BB$162,BO2033,0)+INDEX($BD$13:$BL$162,BP2033,0))/100))),0)</f>
        <v/>
      </c>
      <c r="BT2033">
        <f>IF(AND(2020&lt;$U$9,$W$5),BQ2033*1000000-MIN(BR2033,999)*1000+BS2033-2020/100000,-1000000000-2020)</f>
        <v/>
      </c>
    </row>
    <row r="2034">
      <c r="BN2034">
        <f>IF(2021&lt;$U$9,INT(2021/($U$7*$U$8))+1,1)</f>
        <v/>
      </c>
      <c r="BO2034">
        <f>IF(2021&lt;$U$9,MOD(INT(2021/$U$8),$U$7)+1,1)</f>
        <v/>
      </c>
      <c r="BP2034">
        <f>IF(2021&lt;$U$9,MOD(2021,$U$8)+1,1)</f>
        <v/>
      </c>
      <c r="BQ2034">
        <f>IF(2021&lt;$U$9,SUMPRODUCT(($D$10:$L$10&lt;&gt;"")*(($D$9:$L$9+INT(($S$12:$AA$12+INDEX($AJ$13:$AR$162,BN2034,0)+INDEX($AT$13:$BB$162,BO2034,0)+INDEX($BD$13:$BL$162,BP2034,0))/100))&gt;=$D$10:$L$10)),0)</f>
        <v/>
      </c>
      <c r="BR2034">
        <f>IF(2021&lt;$U$9,SUMPRODUCT(($D$10:$L$10&lt;&gt;"")*(($D$10:$L$10-($D$9:$L$9+INT(($S$12:$AA$12+INDEX($AJ$13:$AR$162,BN2034,0)+INDEX($AT$13:$BB$162,BO2034,0)+INDEX($BD$13:$BL$162,BP2034,0))/100)))&gt;0)*($D$10:$L$10-($D$9:$L$9+INT(($S$12:$AA$12+INDEX($AJ$13:$AR$162,BN2034,0)+INDEX($AT$13:$BB$162,BO2034,0)+INDEX($BD$13:$BL$162,BP2034,0))/100)))),0)</f>
        <v/>
      </c>
      <c r="BS2034">
        <f>IF(2021&lt;$U$9,SUMPRODUCT(($D$9:$L$9+INT(($S$12:$AA$12+INDEX($AJ$13:$AR$162,BN2034,0)+INDEX($AT$13:$BB$162,BO2034,0)+INDEX($BD$13:$BL$162,BP2034,0))/100))),0)</f>
        <v/>
      </c>
      <c r="BT2034">
        <f>IF(AND(2021&lt;$U$9,$W$5),BQ2034*1000000-MIN(BR2034,999)*1000+BS2034-2021/100000,-1000000000-2021)</f>
        <v/>
      </c>
    </row>
    <row r="2035">
      <c r="BN2035">
        <f>IF(2022&lt;$U$9,INT(2022/($U$7*$U$8))+1,1)</f>
        <v/>
      </c>
      <c r="BO2035">
        <f>IF(2022&lt;$U$9,MOD(INT(2022/$U$8),$U$7)+1,1)</f>
        <v/>
      </c>
      <c r="BP2035">
        <f>IF(2022&lt;$U$9,MOD(2022,$U$8)+1,1)</f>
        <v/>
      </c>
      <c r="BQ2035">
        <f>IF(2022&lt;$U$9,SUMPRODUCT(($D$10:$L$10&lt;&gt;"")*(($D$9:$L$9+INT(($S$12:$AA$12+INDEX($AJ$13:$AR$162,BN2035,0)+INDEX($AT$13:$BB$162,BO2035,0)+INDEX($BD$13:$BL$162,BP2035,0))/100))&gt;=$D$10:$L$10)),0)</f>
        <v/>
      </c>
      <c r="BR2035">
        <f>IF(2022&lt;$U$9,SUMPRODUCT(($D$10:$L$10&lt;&gt;"")*(($D$10:$L$10-($D$9:$L$9+INT(($S$12:$AA$12+INDEX($AJ$13:$AR$162,BN2035,0)+INDEX($AT$13:$BB$162,BO2035,0)+INDEX($BD$13:$BL$162,BP2035,0))/100)))&gt;0)*($D$10:$L$10-($D$9:$L$9+INT(($S$12:$AA$12+INDEX($AJ$13:$AR$162,BN2035,0)+INDEX($AT$13:$BB$162,BO2035,0)+INDEX($BD$13:$BL$162,BP2035,0))/100)))),0)</f>
        <v/>
      </c>
      <c r="BS2035">
        <f>IF(2022&lt;$U$9,SUMPRODUCT(($D$9:$L$9+INT(($S$12:$AA$12+INDEX($AJ$13:$AR$162,BN2035,0)+INDEX($AT$13:$BB$162,BO2035,0)+INDEX($BD$13:$BL$162,BP2035,0))/100))),0)</f>
        <v/>
      </c>
      <c r="BT2035">
        <f>IF(AND(2022&lt;$U$9,$W$5),BQ2035*1000000-MIN(BR2035,999)*1000+BS2035-2022/100000,-1000000000-2022)</f>
        <v/>
      </c>
    </row>
    <row r="2036">
      <c r="BN2036">
        <f>IF(2023&lt;$U$9,INT(2023/($U$7*$U$8))+1,1)</f>
        <v/>
      </c>
      <c r="BO2036">
        <f>IF(2023&lt;$U$9,MOD(INT(2023/$U$8),$U$7)+1,1)</f>
        <v/>
      </c>
      <c r="BP2036">
        <f>IF(2023&lt;$U$9,MOD(2023,$U$8)+1,1)</f>
        <v/>
      </c>
      <c r="BQ2036">
        <f>IF(2023&lt;$U$9,SUMPRODUCT(($D$10:$L$10&lt;&gt;"")*(($D$9:$L$9+INT(($S$12:$AA$12+INDEX($AJ$13:$AR$162,BN2036,0)+INDEX($AT$13:$BB$162,BO2036,0)+INDEX($BD$13:$BL$162,BP2036,0))/100))&gt;=$D$10:$L$10)),0)</f>
        <v/>
      </c>
      <c r="BR2036">
        <f>IF(2023&lt;$U$9,SUMPRODUCT(($D$10:$L$10&lt;&gt;"")*(($D$10:$L$10-($D$9:$L$9+INT(($S$12:$AA$12+INDEX($AJ$13:$AR$162,BN2036,0)+INDEX($AT$13:$BB$162,BO2036,0)+INDEX($BD$13:$BL$162,BP2036,0))/100)))&gt;0)*($D$10:$L$10-($D$9:$L$9+INT(($S$12:$AA$12+INDEX($AJ$13:$AR$162,BN2036,0)+INDEX($AT$13:$BB$162,BO2036,0)+INDEX($BD$13:$BL$162,BP2036,0))/100)))),0)</f>
        <v/>
      </c>
      <c r="BS2036">
        <f>IF(2023&lt;$U$9,SUMPRODUCT(($D$9:$L$9+INT(($S$12:$AA$12+INDEX($AJ$13:$AR$162,BN2036,0)+INDEX($AT$13:$BB$162,BO2036,0)+INDEX($BD$13:$BL$162,BP2036,0))/100))),0)</f>
        <v/>
      </c>
      <c r="BT2036">
        <f>IF(AND(2023&lt;$U$9,$W$5),BQ2036*1000000-MIN(BR2036,999)*1000+BS2036-2023/100000,-1000000000-2023)</f>
        <v/>
      </c>
    </row>
    <row r="2037">
      <c r="BN2037">
        <f>IF(2024&lt;$U$9,INT(2024/($U$7*$U$8))+1,1)</f>
        <v/>
      </c>
      <c r="BO2037">
        <f>IF(2024&lt;$U$9,MOD(INT(2024/$U$8),$U$7)+1,1)</f>
        <v/>
      </c>
      <c r="BP2037">
        <f>IF(2024&lt;$U$9,MOD(2024,$U$8)+1,1)</f>
        <v/>
      </c>
      <c r="BQ2037">
        <f>IF(2024&lt;$U$9,SUMPRODUCT(($D$10:$L$10&lt;&gt;"")*(($D$9:$L$9+INT(($S$12:$AA$12+INDEX($AJ$13:$AR$162,BN2037,0)+INDEX($AT$13:$BB$162,BO2037,0)+INDEX($BD$13:$BL$162,BP2037,0))/100))&gt;=$D$10:$L$10)),0)</f>
        <v/>
      </c>
      <c r="BR2037">
        <f>IF(2024&lt;$U$9,SUMPRODUCT(($D$10:$L$10&lt;&gt;"")*(($D$10:$L$10-($D$9:$L$9+INT(($S$12:$AA$12+INDEX($AJ$13:$AR$162,BN2037,0)+INDEX($AT$13:$BB$162,BO2037,0)+INDEX($BD$13:$BL$162,BP2037,0))/100)))&gt;0)*($D$10:$L$10-($D$9:$L$9+INT(($S$12:$AA$12+INDEX($AJ$13:$AR$162,BN2037,0)+INDEX($AT$13:$BB$162,BO2037,0)+INDEX($BD$13:$BL$162,BP2037,0))/100)))),0)</f>
        <v/>
      </c>
      <c r="BS2037">
        <f>IF(2024&lt;$U$9,SUMPRODUCT(($D$9:$L$9+INT(($S$12:$AA$12+INDEX($AJ$13:$AR$162,BN2037,0)+INDEX($AT$13:$BB$162,BO2037,0)+INDEX($BD$13:$BL$162,BP2037,0))/100))),0)</f>
        <v/>
      </c>
      <c r="BT2037">
        <f>IF(AND(2024&lt;$U$9,$W$5),BQ2037*1000000-MIN(BR2037,999)*1000+BS2037-2024/100000,-1000000000-2024)</f>
        <v/>
      </c>
    </row>
    <row r="2038">
      <c r="BN2038">
        <f>IF(2025&lt;$U$9,INT(2025/($U$7*$U$8))+1,1)</f>
        <v/>
      </c>
      <c r="BO2038">
        <f>IF(2025&lt;$U$9,MOD(INT(2025/$U$8),$U$7)+1,1)</f>
        <v/>
      </c>
      <c r="BP2038">
        <f>IF(2025&lt;$U$9,MOD(2025,$U$8)+1,1)</f>
        <v/>
      </c>
      <c r="BQ2038">
        <f>IF(2025&lt;$U$9,SUMPRODUCT(($D$10:$L$10&lt;&gt;"")*(($D$9:$L$9+INT(($S$12:$AA$12+INDEX($AJ$13:$AR$162,BN2038,0)+INDEX($AT$13:$BB$162,BO2038,0)+INDEX($BD$13:$BL$162,BP2038,0))/100))&gt;=$D$10:$L$10)),0)</f>
        <v/>
      </c>
      <c r="BR2038">
        <f>IF(2025&lt;$U$9,SUMPRODUCT(($D$10:$L$10&lt;&gt;"")*(($D$10:$L$10-($D$9:$L$9+INT(($S$12:$AA$12+INDEX($AJ$13:$AR$162,BN2038,0)+INDEX($AT$13:$BB$162,BO2038,0)+INDEX($BD$13:$BL$162,BP2038,0))/100)))&gt;0)*($D$10:$L$10-($D$9:$L$9+INT(($S$12:$AA$12+INDEX($AJ$13:$AR$162,BN2038,0)+INDEX($AT$13:$BB$162,BO2038,0)+INDEX($BD$13:$BL$162,BP2038,0))/100)))),0)</f>
        <v/>
      </c>
      <c r="BS2038">
        <f>IF(2025&lt;$U$9,SUMPRODUCT(($D$9:$L$9+INT(($S$12:$AA$12+INDEX($AJ$13:$AR$162,BN2038,0)+INDEX($AT$13:$BB$162,BO2038,0)+INDEX($BD$13:$BL$162,BP2038,0))/100))),0)</f>
        <v/>
      </c>
      <c r="BT2038">
        <f>IF(AND(2025&lt;$U$9,$W$5),BQ2038*1000000-MIN(BR2038,999)*1000+BS2038-2025/100000,-1000000000-2025)</f>
        <v/>
      </c>
    </row>
    <row r="2039">
      <c r="BN2039">
        <f>IF(2026&lt;$U$9,INT(2026/($U$7*$U$8))+1,1)</f>
        <v/>
      </c>
      <c r="BO2039">
        <f>IF(2026&lt;$U$9,MOD(INT(2026/$U$8),$U$7)+1,1)</f>
        <v/>
      </c>
      <c r="BP2039">
        <f>IF(2026&lt;$U$9,MOD(2026,$U$8)+1,1)</f>
        <v/>
      </c>
      <c r="BQ2039">
        <f>IF(2026&lt;$U$9,SUMPRODUCT(($D$10:$L$10&lt;&gt;"")*(($D$9:$L$9+INT(($S$12:$AA$12+INDEX($AJ$13:$AR$162,BN2039,0)+INDEX($AT$13:$BB$162,BO2039,0)+INDEX($BD$13:$BL$162,BP2039,0))/100))&gt;=$D$10:$L$10)),0)</f>
        <v/>
      </c>
      <c r="BR2039">
        <f>IF(2026&lt;$U$9,SUMPRODUCT(($D$10:$L$10&lt;&gt;"")*(($D$10:$L$10-($D$9:$L$9+INT(($S$12:$AA$12+INDEX($AJ$13:$AR$162,BN2039,0)+INDEX($AT$13:$BB$162,BO2039,0)+INDEX($BD$13:$BL$162,BP2039,0))/100)))&gt;0)*($D$10:$L$10-($D$9:$L$9+INT(($S$12:$AA$12+INDEX($AJ$13:$AR$162,BN2039,0)+INDEX($AT$13:$BB$162,BO2039,0)+INDEX($BD$13:$BL$162,BP2039,0))/100)))),0)</f>
        <v/>
      </c>
      <c r="BS2039">
        <f>IF(2026&lt;$U$9,SUMPRODUCT(($D$9:$L$9+INT(($S$12:$AA$12+INDEX($AJ$13:$AR$162,BN2039,0)+INDEX($AT$13:$BB$162,BO2039,0)+INDEX($BD$13:$BL$162,BP2039,0))/100))),0)</f>
        <v/>
      </c>
      <c r="BT2039">
        <f>IF(AND(2026&lt;$U$9,$W$5),BQ2039*1000000-MIN(BR2039,999)*1000+BS2039-2026/100000,-1000000000-2026)</f>
        <v/>
      </c>
    </row>
    <row r="2040">
      <c r="BN2040">
        <f>IF(2027&lt;$U$9,INT(2027/($U$7*$U$8))+1,1)</f>
        <v/>
      </c>
      <c r="BO2040">
        <f>IF(2027&lt;$U$9,MOD(INT(2027/$U$8),$U$7)+1,1)</f>
        <v/>
      </c>
      <c r="BP2040">
        <f>IF(2027&lt;$U$9,MOD(2027,$U$8)+1,1)</f>
        <v/>
      </c>
      <c r="BQ2040">
        <f>IF(2027&lt;$U$9,SUMPRODUCT(($D$10:$L$10&lt;&gt;"")*(($D$9:$L$9+INT(($S$12:$AA$12+INDEX($AJ$13:$AR$162,BN2040,0)+INDEX($AT$13:$BB$162,BO2040,0)+INDEX($BD$13:$BL$162,BP2040,0))/100))&gt;=$D$10:$L$10)),0)</f>
        <v/>
      </c>
      <c r="BR2040">
        <f>IF(2027&lt;$U$9,SUMPRODUCT(($D$10:$L$10&lt;&gt;"")*(($D$10:$L$10-($D$9:$L$9+INT(($S$12:$AA$12+INDEX($AJ$13:$AR$162,BN2040,0)+INDEX($AT$13:$BB$162,BO2040,0)+INDEX($BD$13:$BL$162,BP2040,0))/100)))&gt;0)*($D$10:$L$10-($D$9:$L$9+INT(($S$12:$AA$12+INDEX($AJ$13:$AR$162,BN2040,0)+INDEX($AT$13:$BB$162,BO2040,0)+INDEX($BD$13:$BL$162,BP2040,0))/100)))),0)</f>
        <v/>
      </c>
      <c r="BS2040">
        <f>IF(2027&lt;$U$9,SUMPRODUCT(($D$9:$L$9+INT(($S$12:$AA$12+INDEX($AJ$13:$AR$162,BN2040,0)+INDEX($AT$13:$BB$162,BO2040,0)+INDEX($BD$13:$BL$162,BP2040,0))/100))),0)</f>
        <v/>
      </c>
      <c r="BT2040">
        <f>IF(AND(2027&lt;$U$9,$W$5),BQ2040*1000000-MIN(BR2040,999)*1000+BS2040-2027/100000,-1000000000-2027)</f>
        <v/>
      </c>
    </row>
    <row r="2041">
      <c r="BN2041">
        <f>IF(2028&lt;$U$9,INT(2028/($U$7*$U$8))+1,1)</f>
        <v/>
      </c>
      <c r="BO2041">
        <f>IF(2028&lt;$U$9,MOD(INT(2028/$U$8),$U$7)+1,1)</f>
        <v/>
      </c>
      <c r="BP2041">
        <f>IF(2028&lt;$U$9,MOD(2028,$U$8)+1,1)</f>
        <v/>
      </c>
      <c r="BQ2041">
        <f>IF(2028&lt;$U$9,SUMPRODUCT(($D$10:$L$10&lt;&gt;"")*(($D$9:$L$9+INT(($S$12:$AA$12+INDEX($AJ$13:$AR$162,BN2041,0)+INDEX($AT$13:$BB$162,BO2041,0)+INDEX($BD$13:$BL$162,BP2041,0))/100))&gt;=$D$10:$L$10)),0)</f>
        <v/>
      </c>
      <c r="BR2041">
        <f>IF(2028&lt;$U$9,SUMPRODUCT(($D$10:$L$10&lt;&gt;"")*(($D$10:$L$10-($D$9:$L$9+INT(($S$12:$AA$12+INDEX($AJ$13:$AR$162,BN2041,0)+INDEX($AT$13:$BB$162,BO2041,0)+INDEX($BD$13:$BL$162,BP2041,0))/100)))&gt;0)*($D$10:$L$10-($D$9:$L$9+INT(($S$12:$AA$12+INDEX($AJ$13:$AR$162,BN2041,0)+INDEX($AT$13:$BB$162,BO2041,0)+INDEX($BD$13:$BL$162,BP2041,0))/100)))),0)</f>
        <v/>
      </c>
      <c r="BS2041">
        <f>IF(2028&lt;$U$9,SUMPRODUCT(($D$9:$L$9+INT(($S$12:$AA$12+INDEX($AJ$13:$AR$162,BN2041,0)+INDEX($AT$13:$BB$162,BO2041,0)+INDEX($BD$13:$BL$162,BP2041,0))/100))),0)</f>
        <v/>
      </c>
      <c r="BT2041">
        <f>IF(AND(2028&lt;$U$9,$W$5),BQ2041*1000000-MIN(BR2041,999)*1000+BS2041-2028/100000,-1000000000-2028)</f>
        <v/>
      </c>
    </row>
    <row r="2042">
      <c r="BN2042">
        <f>IF(2029&lt;$U$9,INT(2029/($U$7*$U$8))+1,1)</f>
        <v/>
      </c>
      <c r="BO2042">
        <f>IF(2029&lt;$U$9,MOD(INT(2029/$U$8),$U$7)+1,1)</f>
        <v/>
      </c>
      <c r="BP2042">
        <f>IF(2029&lt;$U$9,MOD(2029,$U$8)+1,1)</f>
        <v/>
      </c>
      <c r="BQ2042">
        <f>IF(2029&lt;$U$9,SUMPRODUCT(($D$10:$L$10&lt;&gt;"")*(($D$9:$L$9+INT(($S$12:$AA$12+INDEX($AJ$13:$AR$162,BN2042,0)+INDEX($AT$13:$BB$162,BO2042,0)+INDEX($BD$13:$BL$162,BP2042,0))/100))&gt;=$D$10:$L$10)),0)</f>
        <v/>
      </c>
      <c r="BR2042">
        <f>IF(2029&lt;$U$9,SUMPRODUCT(($D$10:$L$10&lt;&gt;"")*(($D$10:$L$10-($D$9:$L$9+INT(($S$12:$AA$12+INDEX($AJ$13:$AR$162,BN2042,0)+INDEX($AT$13:$BB$162,BO2042,0)+INDEX($BD$13:$BL$162,BP2042,0))/100)))&gt;0)*($D$10:$L$10-($D$9:$L$9+INT(($S$12:$AA$12+INDEX($AJ$13:$AR$162,BN2042,0)+INDEX($AT$13:$BB$162,BO2042,0)+INDEX($BD$13:$BL$162,BP2042,0))/100)))),0)</f>
        <v/>
      </c>
      <c r="BS2042">
        <f>IF(2029&lt;$U$9,SUMPRODUCT(($D$9:$L$9+INT(($S$12:$AA$12+INDEX($AJ$13:$AR$162,BN2042,0)+INDEX($AT$13:$BB$162,BO2042,0)+INDEX($BD$13:$BL$162,BP2042,0))/100))),0)</f>
        <v/>
      </c>
      <c r="BT2042">
        <f>IF(AND(2029&lt;$U$9,$W$5),BQ2042*1000000-MIN(BR2042,999)*1000+BS2042-2029/100000,-1000000000-2029)</f>
        <v/>
      </c>
    </row>
    <row r="2043">
      <c r="BN2043">
        <f>IF(2030&lt;$U$9,INT(2030/($U$7*$U$8))+1,1)</f>
        <v/>
      </c>
      <c r="BO2043">
        <f>IF(2030&lt;$U$9,MOD(INT(2030/$U$8),$U$7)+1,1)</f>
        <v/>
      </c>
      <c r="BP2043">
        <f>IF(2030&lt;$U$9,MOD(2030,$U$8)+1,1)</f>
        <v/>
      </c>
      <c r="BQ2043">
        <f>IF(2030&lt;$U$9,SUMPRODUCT(($D$10:$L$10&lt;&gt;"")*(($D$9:$L$9+INT(($S$12:$AA$12+INDEX($AJ$13:$AR$162,BN2043,0)+INDEX($AT$13:$BB$162,BO2043,0)+INDEX($BD$13:$BL$162,BP2043,0))/100))&gt;=$D$10:$L$10)),0)</f>
        <v/>
      </c>
      <c r="BR2043">
        <f>IF(2030&lt;$U$9,SUMPRODUCT(($D$10:$L$10&lt;&gt;"")*(($D$10:$L$10-($D$9:$L$9+INT(($S$12:$AA$12+INDEX($AJ$13:$AR$162,BN2043,0)+INDEX($AT$13:$BB$162,BO2043,0)+INDEX($BD$13:$BL$162,BP2043,0))/100)))&gt;0)*($D$10:$L$10-($D$9:$L$9+INT(($S$12:$AA$12+INDEX($AJ$13:$AR$162,BN2043,0)+INDEX($AT$13:$BB$162,BO2043,0)+INDEX($BD$13:$BL$162,BP2043,0))/100)))),0)</f>
        <v/>
      </c>
      <c r="BS2043">
        <f>IF(2030&lt;$U$9,SUMPRODUCT(($D$9:$L$9+INT(($S$12:$AA$12+INDEX($AJ$13:$AR$162,BN2043,0)+INDEX($AT$13:$BB$162,BO2043,0)+INDEX($BD$13:$BL$162,BP2043,0))/100))),0)</f>
        <v/>
      </c>
      <c r="BT2043">
        <f>IF(AND(2030&lt;$U$9,$W$5),BQ2043*1000000-MIN(BR2043,999)*1000+BS2043-2030/100000,-1000000000-2030)</f>
        <v/>
      </c>
    </row>
    <row r="2044">
      <c r="BN2044">
        <f>IF(2031&lt;$U$9,INT(2031/($U$7*$U$8))+1,1)</f>
        <v/>
      </c>
      <c r="BO2044">
        <f>IF(2031&lt;$U$9,MOD(INT(2031/$U$8),$U$7)+1,1)</f>
        <v/>
      </c>
      <c r="BP2044">
        <f>IF(2031&lt;$U$9,MOD(2031,$U$8)+1,1)</f>
        <v/>
      </c>
      <c r="BQ2044">
        <f>IF(2031&lt;$U$9,SUMPRODUCT(($D$10:$L$10&lt;&gt;"")*(($D$9:$L$9+INT(($S$12:$AA$12+INDEX($AJ$13:$AR$162,BN2044,0)+INDEX($AT$13:$BB$162,BO2044,0)+INDEX($BD$13:$BL$162,BP2044,0))/100))&gt;=$D$10:$L$10)),0)</f>
        <v/>
      </c>
      <c r="BR2044">
        <f>IF(2031&lt;$U$9,SUMPRODUCT(($D$10:$L$10&lt;&gt;"")*(($D$10:$L$10-($D$9:$L$9+INT(($S$12:$AA$12+INDEX($AJ$13:$AR$162,BN2044,0)+INDEX($AT$13:$BB$162,BO2044,0)+INDEX($BD$13:$BL$162,BP2044,0))/100)))&gt;0)*($D$10:$L$10-($D$9:$L$9+INT(($S$12:$AA$12+INDEX($AJ$13:$AR$162,BN2044,0)+INDEX($AT$13:$BB$162,BO2044,0)+INDEX($BD$13:$BL$162,BP2044,0))/100)))),0)</f>
        <v/>
      </c>
      <c r="BS2044">
        <f>IF(2031&lt;$U$9,SUMPRODUCT(($D$9:$L$9+INT(($S$12:$AA$12+INDEX($AJ$13:$AR$162,BN2044,0)+INDEX($AT$13:$BB$162,BO2044,0)+INDEX($BD$13:$BL$162,BP2044,0))/100))),0)</f>
        <v/>
      </c>
      <c r="BT2044">
        <f>IF(AND(2031&lt;$U$9,$W$5),BQ2044*1000000-MIN(BR2044,999)*1000+BS2044-2031/100000,-1000000000-2031)</f>
        <v/>
      </c>
    </row>
    <row r="2045">
      <c r="BN2045">
        <f>IF(2032&lt;$U$9,INT(2032/($U$7*$U$8))+1,1)</f>
        <v/>
      </c>
      <c r="BO2045">
        <f>IF(2032&lt;$U$9,MOD(INT(2032/$U$8),$U$7)+1,1)</f>
        <v/>
      </c>
      <c r="BP2045">
        <f>IF(2032&lt;$U$9,MOD(2032,$U$8)+1,1)</f>
        <v/>
      </c>
      <c r="BQ2045">
        <f>IF(2032&lt;$U$9,SUMPRODUCT(($D$10:$L$10&lt;&gt;"")*(($D$9:$L$9+INT(($S$12:$AA$12+INDEX($AJ$13:$AR$162,BN2045,0)+INDEX($AT$13:$BB$162,BO2045,0)+INDEX($BD$13:$BL$162,BP2045,0))/100))&gt;=$D$10:$L$10)),0)</f>
        <v/>
      </c>
      <c r="BR2045">
        <f>IF(2032&lt;$U$9,SUMPRODUCT(($D$10:$L$10&lt;&gt;"")*(($D$10:$L$10-($D$9:$L$9+INT(($S$12:$AA$12+INDEX($AJ$13:$AR$162,BN2045,0)+INDEX($AT$13:$BB$162,BO2045,0)+INDEX($BD$13:$BL$162,BP2045,0))/100)))&gt;0)*($D$10:$L$10-($D$9:$L$9+INT(($S$12:$AA$12+INDEX($AJ$13:$AR$162,BN2045,0)+INDEX($AT$13:$BB$162,BO2045,0)+INDEX($BD$13:$BL$162,BP2045,0))/100)))),0)</f>
        <v/>
      </c>
      <c r="BS2045">
        <f>IF(2032&lt;$U$9,SUMPRODUCT(($D$9:$L$9+INT(($S$12:$AA$12+INDEX($AJ$13:$AR$162,BN2045,0)+INDEX($AT$13:$BB$162,BO2045,0)+INDEX($BD$13:$BL$162,BP2045,0))/100))),0)</f>
        <v/>
      </c>
      <c r="BT2045">
        <f>IF(AND(2032&lt;$U$9,$W$5),BQ2045*1000000-MIN(BR2045,999)*1000+BS2045-2032/100000,-1000000000-2032)</f>
        <v/>
      </c>
    </row>
    <row r="2046">
      <c r="BN2046">
        <f>IF(2033&lt;$U$9,INT(2033/($U$7*$U$8))+1,1)</f>
        <v/>
      </c>
      <c r="BO2046">
        <f>IF(2033&lt;$U$9,MOD(INT(2033/$U$8),$U$7)+1,1)</f>
        <v/>
      </c>
      <c r="BP2046">
        <f>IF(2033&lt;$U$9,MOD(2033,$U$8)+1,1)</f>
        <v/>
      </c>
      <c r="BQ2046">
        <f>IF(2033&lt;$U$9,SUMPRODUCT(($D$10:$L$10&lt;&gt;"")*(($D$9:$L$9+INT(($S$12:$AA$12+INDEX($AJ$13:$AR$162,BN2046,0)+INDEX($AT$13:$BB$162,BO2046,0)+INDEX($BD$13:$BL$162,BP2046,0))/100))&gt;=$D$10:$L$10)),0)</f>
        <v/>
      </c>
      <c r="BR2046">
        <f>IF(2033&lt;$U$9,SUMPRODUCT(($D$10:$L$10&lt;&gt;"")*(($D$10:$L$10-($D$9:$L$9+INT(($S$12:$AA$12+INDEX($AJ$13:$AR$162,BN2046,0)+INDEX($AT$13:$BB$162,BO2046,0)+INDEX($BD$13:$BL$162,BP2046,0))/100)))&gt;0)*($D$10:$L$10-($D$9:$L$9+INT(($S$12:$AA$12+INDEX($AJ$13:$AR$162,BN2046,0)+INDEX($AT$13:$BB$162,BO2046,0)+INDEX($BD$13:$BL$162,BP2046,0))/100)))),0)</f>
        <v/>
      </c>
      <c r="BS2046">
        <f>IF(2033&lt;$U$9,SUMPRODUCT(($D$9:$L$9+INT(($S$12:$AA$12+INDEX($AJ$13:$AR$162,BN2046,0)+INDEX($AT$13:$BB$162,BO2046,0)+INDEX($BD$13:$BL$162,BP2046,0))/100))),0)</f>
        <v/>
      </c>
      <c r="BT2046">
        <f>IF(AND(2033&lt;$U$9,$W$5),BQ2046*1000000-MIN(BR2046,999)*1000+BS2046-2033/100000,-1000000000-2033)</f>
        <v/>
      </c>
    </row>
    <row r="2047">
      <c r="BN2047">
        <f>IF(2034&lt;$U$9,INT(2034/($U$7*$U$8))+1,1)</f>
        <v/>
      </c>
      <c r="BO2047">
        <f>IF(2034&lt;$U$9,MOD(INT(2034/$U$8),$U$7)+1,1)</f>
        <v/>
      </c>
      <c r="BP2047">
        <f>IF(2034&lt;$U$9,MOD(2034,$U$8)+1,1)</f>
        <v/>
      </c>
      <c r="BQ2047">
        <f>IF(2034&lt;$U$9,SUMPRODUCT(($D$10:$L$10&lt;&gt;"")*(($D$9:$L$9+INT(($S$12:$AA$12+INDEX($AJ$13:$AR$162,BN2047,0)+INDEX($AT$13:$BB$162,BO2047,0)+INDEX($BD$13:$BL$162,BP2047,0))/100))&gt;=$D$10:$L$10)),0)</f>
        <v/>
      </c>
      <c r="BR2047">
        <f>IF(2034&lt;$U$9,SUMPRODUCT(($D$10:$L$10&lt;&gt;"")*(($D$10:$L$10-($D$9:$L$9+INT(($S$12:$AA$12+INDEX($AJ$13:$AR$162,BN2047,0)+INDEX($AT$13:$BB$162,BO2047,0)+INDEX($BD$13:$BL$162,BP2047,0))/100)))&gt;0)*($D$10:$L$10-($D$9:$L$9+INT(($S$12:$AA$12+INDEX($AJ$13:$AR$162,BN2047,0)+INDEX($AT$13:$BB$162,BO2047,0)+INDEX($BD$13:$BL$162,BP2047,0))/100)))),0)</f>
        <v/>
      </c>
      <c r="BS2047">
        <f>IF(2034&lt;$U$9,SUMPRODUCT(($D$9:$L$9+INT(($S$12:$AA$12+INDEX($AJ$13:$AR$162,BN2047,0)+INDEX($AT$13:$BB$162,BO2047,0)+INDEX($BD$13:$BL$162,BP2047,0))/100))),0)</f>
        <v/>
      </c>
      <c r="BT2047">
        <f>IF(AND(2034&lt;$U$9,$W$5),BQ2047*1000000-MIN(BR2047,999)*1000+BS2047-2034/100000,-1000000000-2034)</f>
        <v/>
      </c>
    </row>
    <row r="2048">
      <c r="BN2048">
        <f>IF(2035&lt;$U$9,INT(2035/($U$7*$U$8))+1,1)</f>
        <v/>
      </c>
      <c r="BO2048">
        <f>IF(2035&lt;$U$9,MOD(INT(2035/$U$8),$U$7)+1,1)</f>
        <v/>
      </c>
      <c r="BP2048">
        <f>IF(2035&lt;$U$9,MOD(2035,$U$8)+1,1)</f>
        <v/>
      </c>
      <c r="BQ2048">
        <f>IF(2035&lt;$U$9,SUMPRODUCT(($D$10:$L$10&lt;&gt;"")*(($D$9:$L$9+INT(($S$12:$AA$12+INDEX($AJ$13:$AR$162,BN2048,0)+INDEX($AT$13:$BB$162,BO2048,0)+INDEX($BD$13:$BL$162,BP2048,0))/100))&gt;=$D$10:$L$10)),0)</f>
        <v/>
      </c>
      <c r="BR2048">
        <f>IF(2035&lt;$U$9,SUMPRODUCT(($D$10:$L$10&lt;&gt;"")*(($D$10:$L$10-($D$9:$L$9+INT(($S$12:$AA$12+INDEX($AJ$13:$AR$162,BN2048,0)+INDEX($AT$13:$BB$162,BO2048,0)+INDEX($BD$13:$BL$162,BP2048,0))/100)))&gt;0)*($D$10:$L$10-($D$9:$L$9+INT(($S$12:$AA$12+INDEX($AJ$13:$AR$162,BN2048,0)+INDEX($AT$13:$BB$162,BO2048,0)+INDEX($BD$13:$BL$162,BP2048,0))/100)))),0)</f>
        <v/>
      </c>
      <c r="BS2048">
        <f>IF(2035&lt;$U$9,SUMPRODUCT(($D$9:$L$9+INT(($S$12:$AA$12+INDEX($AJ$13:$AR$162,BN2048,0)+INDEX($AT$13:$BB$162,BO2048,0)+INDEX($BD$13:$BL$162,BP2048,0))/100))),0)</f>
        <v/>
      </c>
      <c r="BT2048">
        <f>IF(AND(2035&lt;$U$9,$W$5),BQ2048*1000000-MIN(BR2048,999)*1000+BS2048-2035/100000,-1000000000-2035)</f>
        <v/>
      </c>
    </row>
    <row r="2049">
      <c r="BN2049">
        <f>IF(2036&lt;$U$9,INT(2036/($U$7*$U$8))+1,1)</f>
        <v/>
      </c>
      <c r="BO2049">
        <f>IF(2036&lt;$U$9,MOD(INT(2036/$U$8),$U$7)+1,1)</f>
        <v/>
      </c>
      <c r="BP2049">
        <f>IF(2036&lt;$U$9,MOD(2036,$U$8)+1,1)</f>
        <v/>
      </c>
      <c r="BQ2049">
        <f>IF(2036&lt;$U$9,SUMPRODUCT(($D$10:$L$10&lt;&gt;"")*(($D$9:$L$9+INT(($S$12:$AA$12+INDEX($AJ$13:$AR$162,BN2049,0)+INDEX($AT$13:$BB$162,BO2049,0)+INDEX($BD$13:$BL$162,BP2049,0))/100))&gt;=$D$10:$L$10)),0)</f>
        <v/>
      </c>
      <c r="BR2049">
        <f>IF(2036&lt;$U$9,SUMPRODUCT(($D$10:$L$10&lt;&gt;"")*(($D$10:$L$10-($D$9:$L$9+INT(($S$12:$AA$12+INDEX($AJ$13:$AR$162,BN2049,0)+INDEX($AT$13:$BB$162,BO2049,0)+INDEX($BD$13:$BL$162,BP2049,0))/100)))&gt;0)*($D$10:$L$10-($D$9:$L$9+INT(($S$12:$AA$12+INDEX($AJ$13:$AR$162,BN2049,0)+INDEX($AT$13:$BB$162,BO2049,0)+INDEX($BD$13:$BL$162,BP2049,0))/100)))),0)</f>
        <v/>
      </c>
      <c r="BS2049">
        <f>IF(2036&lt;$U$9,SUMPRODUCT(($D$9:$L$9+INT(($S$12:$AA$12+INDEX($AJ$13:$AR$162,BN2049,0)+INDEX($AT$13:$BB$162,BO2049,0)+INDEX($BD$13:$BL$162,BP2049,0))/100))),0)</f>
        <v/>
      </c>
      <c r="BT2049">
        <f>IF(AND(2036&lt;$U$9,$W$5),BQ2049*1000000-MIN(BR2049,999)*1000+BS2049-2036/100000,-1000000000-2036)</f>
        <v/>
      </c>
    </row>
    <row r="2050">
      <c r="BN2050">
        <f>IF(2037&lt;$U$9,INT(2037/($U$7*$U$8))+1,1)</f>
        <v/>
      </c>
      <c r="BO2050">
        <f>IF(2037&lt;$U$9,MOD(INT(2037/$U$8),$U$7)+1,1)</f>
        <v/>
      </c>
      <c r="BP2050">
        <f>IF(2037&lt;$U$9,MOD(2037,$U$8)+1,1)</f>
        <v/>
      </c>
      <c r="BQ2050">
        <f>IF(2037&lt;$U$9,SUMPRODUCT(($D$10:$L$10&lt;&gt;"")*(($D$9:$L$9+INT(($S$12:$AA$12+INDEX($AJ$13:$AR$162,BN2050,0)+INDEX($AT$13:$BB$162,BO2050,0)+INDEX($BD$13:$BL$162,BP2050,0))/100))&gt;=$D$10:$L$10)),0)</f>
        <v/>
      </c>
      <c r="BR2050">
        <f>IF(2037&lt;$U$9,SUMPRODUCT(($D$10:$L$10&lt;&gt;"")*(($D$10:$L$10-($D$9:$L$9+INT(($S$12:$AA$12+INDEX($AJ$13:$AR$162,BN2050,0)+INDEX($AT$13:$BB$162,BO2050,0)+INDEX($BD$13:$BL$162,BP2050,0))/100)))&gt;0)*($D$10:$L$10-($D$9:$L$9+INT(($S$12:$AA$12+INDEX($AJ$13:$AR$162,BN2050,0)+INDEX($AT$13:$BB$162,BO2050,0)+INDEX($BD$13:$BL$162,BP2050,0))/100)))),0)</f>
        <v/>
      </c>
      <c r="BS2050">
        <f>IF(2037&lt;$U$9,SUMPRODUCT(($D$9:$L$9+INT(($S$12:$AA$12+INDEX($AJ$13:$AR$162,BN2050,0)+INDEX($AT$13:$BB$162,BO2050,0)+INDEX($BD$13:$BL$162,BP2050,0))/100))),0)</f>
        <v/>
      </c>
      <c r="BT2050">
        <f>IF(AND(2037&lt;$U$9,$W$5),BQ2050*1000000-MIN(BR2050,999)*1000+BS2050-2037/100000,-1000000000-2037)</f>
        <v/>
      </c>
    </row>
    <row r="2051">
      <c r="BN2051">
        <f>IF(2038&lt;$U$9,INT(2038/($U$7*$U$8))+1,1)</f>
        <v/>
      </c>
      <c r="BO2051">
        <f>IF(2038&lt;$U$9,MOD(INT(2038/$U$8),$U$7)+1,1)</f>
        <v/>
      </c>
      <c r="BP2051">
        <f>IF(2038&lt;$U$9,MOD(2038,$U$8)+1,1)</f>
        <v/>
      </c>
      <c r="BQ2051">
        <f>IF(2038&lt;$U$9,SUMPRODUCT(($D$10:$L$10&lt;&gt;"")*(($D$9:$L$9+INT(($S$12:$AA$12+INDEX($AJ$13:$AR$162,BN2051,0)+INDEX($AT$13:$BB$162,BO2051,0)+INDEX($BD$13:$BL$162,BP2051,0))/100))&gt;=$D$10:$L$10)),0)</f>
        <v/>
      </c>
      <c r="BR2051">
        <f>IF(2038&lt;$U$9,SUMPRODUCT(($D$10:$L$10&lt;&gt;"")*(($D$10:$L$10-($D$9:$L$9+INT(($S$12:$AA$12+INDEX($AJ$13:$AR$162,BN2051,0)+INDEX($AT$13:$BB$162,BO2051,0)+INDEX($BD$13:$BL$162,BP2051,0))/100)))&gt;0)*($D$10:$L$10-($D$9:$L$9+INT(($S$12:$AA$12+INDEX($AJ$13:$AR$162,BN2051,0)+INDEX($AT$13:$BB$162,BO2051,0)+INDEX($BD$13:$BL$162,BP2051,0))/100)))),0)</f>
        <v/>
      </c>
      <c r="BS2051">
        <f>IF(2038&lt;$U$9,SUMPRODUCT(($D$9:$L$9+INT(($S$12:$AA$12+INDEX($AJ$13:$AR$162,BN2051,0)+INDEX($AT$13:$BB$162,BO2051,0)+INDEX($BD$13:$BL$162,BP2051,0))/100))),0)</f>
        <v/>
      </c>
      <c r="BT2051">
        <f>IF(AND(2038&lt;$U$9,$W$5),BQ2051*1000000-MIN(BR2051,999)*1000+BS2051-2038/100000,-1000000000-2038)</f>
        <v/>
      </c>
    </row>
    <row r="2052">
      <c r="BN2052">
        <f>IF(2039&lt;$U$9,INT(2039/($U$7*$U$8))+1,1)</f>
        <v/>
      </c>
      <c r="BO2052">
        <f>IF(2039&lt;$U$9,MOD(INT(2039/$U$8),$U$7)+1,1)</f>
        <v/>
      </c>
      <c r="BP2052">
        <f>IF(2039&lt;$U$9,MOD(2039,$U$8)+1,1)</f>
        <v/>
      </c>
      <c r="BQ2052">
        <f>IF(2039&lt;$U$9,SUMPRODUCT(($D$10:$L$10&lt;&gt;"")*(($D$9:$L$9+INT(($S$12:$AA$12+INDEX($AJ$13:$AR$162,BN2052,0)+INDEX($AT$13:$BB$162,BO2052,0)+INDEX($BD$13:$BL$162,BP2052,0))/100))&gt;=$D$10:$L$10)),0)</f>
        <v/>
      </c>
      <c r="BR2052">
        <f>IF(2039&lt;$U$9,SUMPRODUCT(($D$10:$L$10&lt;&gt;"")*(($D$10:$L$10-($D$9:$L$9+INT(($S$12:$AA$12+INDEX($AJ$13:$AR$162,BN2052,0)+INDEX($AT$13:$BB$162,BO2052,0)+INDEX($BD$13:$BL$162,BP2052,0))/100)))&gt;0)*($D$10:$L$10-($D$9:$L$9+INT(($S$12:$AA$12+INDEX($AJ$13:$AR$162,BN2052,0)+INDEX($AT$13:$BB$162,BO2052,0)+INDEX($BD$13:$BL$162,BP2052,0))/100)))),0)</f>
        <v/>
      </c>
      <c r="BS2052">
        <f>IF(2039&lt;$U$9,SUMPRODUCT(($D$9:$L$9+INT(($S$12:$AA$12+INDEX($AJ$13:$AR$162,BN2052,0)+INDEX($AT$13:$BB$162,BO2052,0)+INDEX($BD$13:$BL$162,BP2052,0))/100))),0)</f>
        <v/>
      </c>
      <c r="BT2052">
        <f>IF(AND(2039&lt;$U$9,$W$5),BQ2052*1000000-MIN(BR2052,999)*1000+BS2052-2039/100000,-1000000000-2039)</f>
        <v/>
      </c>
    </row>
    <row r="2053">
      <c r="BN2053">
        <f>IF(2040&lt;$U$9,INT(2040/($U$7*$U$8))+1,1)</f>
        <v/>
      </c>
      <c r="BO2053">
        <f>IF(2040&lt;$U$9,MOD(INT(2040/$U$8),$U$7)+1,1)</f>
        <v/>
      </c>
      <c r="BP2053">
        <f>IF(2040&lt;$U$9,MOD(2040,$U$8)+1,1)</f>
        <v/>
      </c>
      <c r="BQ2053">
        <f>IF(2040&lt;$U$9,SUMPRODUCT(($D$10:$L$10&lt;&gt;"")*(($D$9:$L$9+INT(($S$12:$AA$12+INDEX($AJ$13:$AR$162,BN2053,0)+INDEX($AT$13:$BB$162,BO2053,0)+INDEX($BD$13:$BL$162,BP2053,0))/100))&gt;=$D$10:$L$10)),0)</f>
        <v/>
      </c>
      <c r="BR2053">
        <f>IF(2040&lt;$U$9,SUMPRODUCT(($D$10:$L$10&lt;&gt;"")*(($D$10:$L$10-($D$9:$L$9+INT(($S$12:$AA$12+INDEX($AJ$13:$AR$162,BN2053,0)+INDEX($AT$13:$BB$162,BO2053,0)+INDEX($BD$13:$BL$162,BP2053,0))/100)))&gt;0)*($D$10:$L$10-($D$9:$L$9+INT(($S$12:$AA$12+INDEX($AJ$13:$AR$162,BN2053,0)+INDEX($AT$13:$BB$162,BO2053,0)+INDEX($BD$13:$BL$162,BP2053,0))/100)))),0)</f>
        <v/>
      </c>
      <c r="BS2053">
        <f>IF(2040&lt;$U$9,SUMPRODUCT(($D$9:$L$9+INT(($S$12:$AA$12+INDEX($AJ$13:$AR$162,BN2053,0)+INDEX($AT$13:$BB$162,BO2053,0)+INDEX($BD$13:$BL$162,BP2053,0))/100))),0)</f>
        <v/>
      </c>
      <c r="BT2053">
        <f>IF(AND(2040&lt;$U$9,$W$5),BQ2053*1000000-MIN(BR2053,999)*1000+BS2053-2040/100000,-1000000000-2040)</f>
        <v/>
      </c>
    </row>
    <row r="2054">
      <c r="BN2054">
        <f>IF(2041&lt;$U$9,INT(2041/($U$7*$U$8))+1,1)</f>
        <v/>
      </c>
      <c r="BO2054">
        <f>IF(2041&lt;$U$9,MOD(INT(2041/$U$8),$U$7)+1,1)</f>
        <v/>
      </c>
      <c r="BP2054">
        <f>IF(2041&lt;$U$9,MOD(2041,$U$8)+1,1)</f>
        <v/>
      </c>
      <c r="BQ2054">
        <f>IF(2041&lt;$U$9,SUMPRODUCT(($D$10:$L$10&lt;&gt;"")*(($D$9:$L$9+INT(($S$12:$AA$12+INDEX($AJ$13:$AR$162,BN2054,0)+INDEX($AT$13:$BB$162,BO2054,0)+INDEX($BD$13:$BL$162,BP2054,0))/100))&gt;=$D$10:$L$10)),0)</f>
        <v/>
      </c>
      <c r="BR2054">
        <f>IF(2041&lt;$U$9,SUMPRODUCT(($D$10:$L$10&lt;&gt;"")*(($D$10:$L$10-($D$9:$L$9+INT(($S$12:$AA$12+INDEX($AJ$13:$AR$162,BN2054,0)+INDEX($AT$13:$BB$162,BO2054,0)+INDEX($BD$13:$BL$162,BP2054,0))/100)))&gt;0)*($D$10:$L$10-($D$9:$L$9+INT(($S$12:$AA$12+INDEX($AJ$13:$AR$162,BN2054,0)+INDEX($AT$13:$BB$162,BO2054,0)+INDEX($BD$13:$BL$162,BP2054,0))/100)))),0)</f>
        <v/>
      </c>
      <c r="BS2054">
        <f>IF(2041&lt;$U$9,SUMPRODUCT(($D$9:$L$9+INT(($S$12:$AA$12+INDEX($AJ$13:$AR$162,BN2054,0)+INDEX($AT$13:$BB$162,BO2054,0)+INDEX($BD$13:$BL$162,BP2054,0))/100))),0)</f>
        <v/>
      </c>
      <c r="BT2054">
        <f>IF(AND(2041&lt;$U$9,$W$5),BQ2054*1000000-MIN(BR2054,999)*1000+BS2054-2041/100000,-1000000000-2041)</f>
        <v/>
      </c>
    </row>
    <row r="2055">
      <c r="BN2055">
        <f>IF(2042&lt;$U$9,INT(2042/($U$7*$U$8))+1,1)</f>
        <v/>
      </c>
      <c r="BO2055">
        <f>IF(2042&lt;$U$9,MOD(INT(2042/$U$8),$U$7)+1,1)</f>
        <v/>
      </c>
      <c r="BP2055">
        <f>IF(2042&lt;$U$9,MOD(2042,$U$8)+1,1)</f>
        <v/>
      </c>
      <c r="BQ2055">
        <f>IF(2042&lt;$U$9,SUMPRODUCT(($D$10:$L$10&lt;&gt;"")*(($D$9:$L$9+INT(($S$12:$AA$12+INDEX($AJ$13:$AR$162,BN2055,0)+INDEX($AT$13:$BB$162,BO2055,0)+INDEX($BD$13:$BL$162,BP2055,0))/100))&gt;=$D$10:$L$10)),0)</f>
        <v/>
      </c>
      <c r="BR2055">
        <f>IF(2042&lt;$U$9,SUMPRODUCT(($D$10:$L$10&lt;&gt;"")*(($D$10:$L$10-($D$9:$L$9+INT(($S$12:$AA$12+INDEX($AJ$13:$AR$162,BN2055,0)+INDEX($AT$13:$BB$162,BO2055,0)+INDEX($BD$13:$BL$162,BP2055,0))/100)))&gt;0)*($D$10:$L$10-($D$9:$L$9+INT(($S$12:$AA$12+INDEX($AJ$13:$AR$162,BN2055,0)+INDEX($AT$13:$BB$162,BO2055,0)+INDEX($BD$13:$BL$162,BP2055,0))/100)))),0)</f>
        <v/>
      </c>
      <c r="BS2055">
        <f>IF(2042&lt;$U$9,SUMPRODUCT(($D$9:$L$9+INT(($S$12:$AA$12+INDEX($AJ$13:$AR$162,BN2055,0)+INDEX($AT$13:$BB$162,BO2055,0)+INDEX($BD$13:$BL$162,BP2055,0))/100))),0)</f>
        <v/>
      </c>
      <c r="BT2055">
        <f>IF(AND(2042&lt;$U$9,$W$5),BQ2055*1000000-MIN(BR2055,999)*1000+BS2055-2042/100000,-1000000000-2042)</f>
        <v/>
      </c>
    </row>
    <row r="2056">
      <c r="BN2056">
        <f>IF(2043&lt;$U$9,INT(2043/($U$7*$U$8))+1,1)</f>
        <v/>
      </c>
      <c r="BO2056">
        <f>IF(2043&lt;$U$9,MOD(INT(2043/$U$8),$U$7)+1,1)</f>
        <v/>
      </c>
      <c r="BP2056">
        <f>IF(2043&lt;$U$9,MOD(2043,$U$8)+1,1)</f>
        <v/>
      </c>
      <c r="BQ2056">
        <f>IF(2043&lt;$U$9,SUMPRODUCT(($D$10:$L$10&lt;&gt;"")*(($D$9:$L$9+INT(($S$12:$AA$12+INDEX($AJ$13:$AR$162,BN2056,0)+INDEX($AT$13:$BB$162,BO2056,0)+INDEX($BD$13:$BL$162,BP2056,0))/100))&gt;=$D$10:$L$10)),0)</f>
        <v/>
      </c>
      <c r="BR2056">
        <f>IF(2043&lt;$U$9,SUMPRODUCT(($D$10:$L$10&lt;&gt;"")*(($D$10:$L$10-($D$9:$L$9+INT(($S$12:$AA$12+INDEX($AJ$13:$AR$162,BN2056,0)+INDEX($AT$13:$BB$162,BO2056,0)+INDEX($BD$13:$BL$162,BP2056,0))/100)))&gt;0)*($D$10:$L$10-($D$9:$L$9+INT(($S$12:$AA$12+INDEX($AJ$13:$AR$162,BN2056,0)+INDEX($AT$13:$BB$162,BO2056,0)+INDEX($BD$13:$BL$162,BP2056,0))/100)))),0)</f>
        <v/>
      </c>
      <c r="BS2056">
        <f>IF(2043&lt;$U$9,SUMPRODUCT(($D$9:$L$9+INT(($S$12:$AA$12+INDEX($AJ$13:$AR$162,BN2056,0)+INDEX($AT$13:$BB$162,BO2056,0)+INDEX($BD$13:$BL$162,BP2056,0))/100))),0)</f>
        <v/>
      </c>
      <c r="BT2056">
        <f>IF(AND(2043&lt;$U$9,$W$5),BQ2056*1000000-MIN(BR2056,999)*1000+BS2056-2043/100000,-1000000000-2043)</f>
        <v/>
      </c>
    </row>
    <row r="2057">
      <c r="BN2057">
        <f>IF(2044&lt;$U$9,INT(2044/($U$7*$U$8))+1,1)</f>
        <v/>
      </c>
      <c r="BO2057">
        <f>IF(2044&lt;$U$9,MOD(INT(2044/$U$8),$U$7)+1,1)</f>
        <v/>
      </c>
      <c r="BP2057">
        <f>IF(2044&lt;$U$9,MOD(2044,$U$8)+1,1)</f>
        <v/>
      </c>
      <c r="BQ2057">
        <f>IF(2044&lt;$U$9,SUMPRODUCT(($D$10:$L$10&lt;&gt;"")*(($D$9:$L$9+INT(($S$12:$AA$12+INDEX($AJ$13:$AR$162,BN2057,0)+INDEX($AT$13:$BB$162,BO2057,0)+INDEX($BD$13:$BL$162,BP2057,0))/100))&gt;=$D$10:$L$10)),0)</f>
        <v/>
      </c>
      <c r="BR2057">
        <f>IF(2044&lt;$U$9,SUMPRODUCT(($D$10:$L$10&lt;&gt;"")*(($D$10:$L$10-($D$9:$L$9+INT(($S$12:$AA$12+INDEX($AJ$13:$AR$162,BN2057,0)+INDEX($AT$13:$BB$162,BO2057,0)+INDEX($BD$13:$BL$162,BP2057,0))/100)))&gt;0)*($D$10:$L$10-($D$9:$L$9+INT(($S$12:$AA$12+INDEX($AJ$13:$AR$162,BN2057,0)+INDEX($AT$13:$BB$162,BO2057,0)+INDEX($BD$13:$BL$162,BP2057,0))/100)))),0)</f>
        <v/>
      </c>
      <c r="BS2057">
        <f>IF(2044&lt;$U$9,SUMPRODUCT(($D$9:$L$9+INT(($S$12:$AA$12+INDEX($AJ$13:$AR$162,BN2057,0)+INDEX($AT$13:$BB$162,BO2057,0)+INDEX($BD$13:$BL$162,BP2057,0))/100))),0)</f>
        <v/>
      </c>
      <c r="BT2057">
        <f>IF(AND(2044&lt;$U$9,$W$5),BQ2057*1000000-MIN(BR2057,999)*1000+BS2057-2044/100000,-1000000000-2044)</f>
        <v/>
      </c>
    </row>
    <row r="2058">
      <c r="BN2058">
        <f>IF(2045&lt;$U$9,INT(2045/($U$7*$U$8))+1,1)</f>
        <v/>
      </c>
      <c r="BO2058">
        <f>IF(2045&lt;$U$9,MOD(INT(2045/$U$8),$U$7)+1,1)</f>
        <v/>
      </c>
      <c r="BP2058">
        <f>IF(2045&lt;$U$9,MOD(2045,$U$8)+1,1)</f>
        <v/>
      </c>
      <c r="BQ2058">
        <f>IF(2045&lt;$U$9,SUMPRODUCT(($D$10:$L$10&lt;&gt;"")*(($D$9:$L$9+INT(($S$12:$AA$12+INDEX($AJ$13:$AR$162,BN2058,0)+INDEX($AT$13:$BB$162,BO2058,0)+INDEX($BD$13:$BL$162,BP2058,0))/100))&gt;=$D$10:$L$10)),0)</f>
        <v/>
      </c>
      <c r="BR2058">
        <f>IF(2045&lt;$U$9,SUMPRODUCT(($D$10:$L$10&lt;&gt;"")*(($D$10:$L$10-($D$9:$L$9+INT(($S$12:$AA$12+INDEX($AJ$13:$AR$162,BN2058,0)+INDEX($AT$13:$BB$162,BO2058,0)+INDEX($BD$13:$BL$162,BP2058,0))/100)))&gt;0)*($D$10:$L$10-($D$9:$L$9+INT(($S$12:$AA$12+INDEX($AJ$13:$AR$162,BN2058,0)+INDEX($AT$13:$BB$162,BO2058,0)+INDEX($BD$13:$BL$162,BP2058,0))/100)))),0)</f>
        <v/>
      </c>
      <c r="BS2058">
        <f>IF(2045&lt;$U$9,SUMPRODUCT(($D$9:$L$9+INT(($S$12:$AA$12+INDEX($AJ$13:$AR$162,BN2058,0)+INDEX($AT$13:$BB$162,BO2058,0)+INDEX($BD$13:$BL$162,BP2058,0))/100))),0)</f>
        <v/>
      </c>
      <c r="BT2058">
        <f>IF(AND(2045&lt;$U$9,$W$5),BQ2058*1000000-MIN(BR2058,999)*1000+BS2058-2045/100000,-1000000000-2045)</f>
        <v/>
      </c>
    </row>
    <row r="2059">
      <c r="BN2059">
        <f>IF(2046&lt;$U$9,INT(2046/($U$7*$U$8))+1,1)</f>
        <v/>
      </c>
      <c r="BO2059">
        <f>IF(2046&lt;$U$9,MOD(INT(2046/$U$8),$U$7)+1,1)</f>
        <v/>
      </c>
      <c r="BP2059">
        <f>IF(2046&lt;$U$9,MOD(2046,$U$8)+1,1)</f>
        <v/>
      </c>
      <c r="BQ2059">
        <f>IF(2046&lt;$U$9,SUMPRODUCT(($D$10:$L$10&lt;&gt;"")*(($D$9:$L$9+INT(($S$12:$AA$12+INDEX($AJ$13:$AR$162,BN2059,0)+INDEX($AT$13:$BB$162,BO2059,0)+INDEX($BD$13:$BL$162,BP2059,0))/100))&gt;=$D$10:$L$10)),0)</f>
        <v/>
      </c>
      <c r="BR2059">
        <f>IF(2046&lt;$U$9,SUMPRODUCT(($D$10:$L$10&lt;&gt;"")*(($D$10:$L$10-($D$9:$L$9+INT(($S$12:$AA$12+INDEX($AJ$13:$AR$162,BN2059,0)+INDEX($AT$13:$BB$162,BO2059,0)+INDEX($BD$13:$BL$162,BP2059,0))/100)))&gt;0)*($D$10:$L$10-($D$9:$L$9+INT(($S$12:$AA$12+INDEX($AJ$13:$AR$162,BN2059,0)+INDEX($AT$13:$BB$162,BO2059,0)+INDEX($BD$13:$BL$162,BP2059,0))/100)))),0)</f>
        <v/>
      </c>
      <c r="BS2059">
        <f>IF(2046&lt;$U$9,SUMPRODUCT(($D$9:$L$9+INT(($S$12:$AA$12+INDEX($AJ$13:$AR$162,BN2059,0)+INDEX($AT$13:$BB$162,BO2059,0)+INDEX($BD$13:$BL$162,BP2059,0))/100))),0)</f>
        <v/>
      </c>
      <c r="BT2059">
        <f>IF(AND(2046&lt;$U$9,$W$5),BQ2059*1000000-MIN(BR2059,999)*1000+BS2059-2046/100000,-1000000000-2046)</f>
        <v/>
      </c>
    </row>
    <row r="2060">
      <c r="BN2060">
        <f>IF(2047&lt;$U$9,INT(2047/($U$7*$U$8))+1,1)</f>
        <v/>
      </c>
      <c r="BO2060">
        <f>IF(2047&lt;$U$9,MOD(INT(2047/$U$8),$U$7)+1,1)</f>
        <v/>
      </c>
      <c r="BP2060">
        <f>IF(2047&lt;$U$9,MOD(2047,$U$8)+1,1)</f>
        <v/>
      </c>
      <c r="BQ2060">
        <f>IF(2047&lt;$U$9,SUMPRODUCT(($D$10:$L$10&lt;&gt;"")*(($D$9:$L$9+INT(($S$12:$AA$12+INDEX($AJ$13:$AR$162,BN2060,0)+INDEX($AT$13:$BB$162,BO2060,0)+INDEX($BD$13:$BL$162,BP2060,0))/100))&gt;=$D$10:$L$10)),0)</f>
        <v/>
      </c>
      <c r="BR2060">
        <f>IF(2047&lt;$U$9,SUMPRODUCT(($D$10:$L$10&lt;&gt;"")*(($D$10:$L$10-($D$9:$L$9+INT(($S$12:$AA$12+INDEX($AJ$13:$AR$162,BN2060,0)+INDEX($AT$13:$BB$162,BO2060,0)+INDEX($BD$13:$BL$162,BP2060,0))/100)))&gt;0)*($D$10:$L$10-($D$9:$L$9+INT(($S$12:$AA$12+INDEX($AJ$13:$AR$162,BN2060,0)+INDEX($AT$13:$BB$162,BO2060,0)+INDEX($BD$13:$BL$162,BP2060,0))/100)))),0)</f>
        <v/>
      </c>
      <c r="BS2060">
        <f>IF(2047&lt;$U$9,SUMPRODUCT(($D$9:$L$9+INT(($S$12:$AA$12+INDEX($AJ$13:$AR$162,BN2060,0)+INDEX($AT$13:$BB$162,BO2060,0)+INDEX($BD$13:$BL$162,BP2060,0))/100))),0)</f>
        <v/>
      </c>
      <c r="BT2060">
        <f>IF(AND(2047&lt;$U$9,$W$5),BQ2060*1000000-MIN(BR2060,999)*1000+BS2060-2047/100000,-1000000000-2047)</f>
        <v/>
      </c>
    </row>
    <row r="2061">
      <c r="BN2061">
        <f>IF(2048&lt;$U$9,INT(2048/($U$7*$U$8))+1,1)</f>
        <v/>
      </c>
      <c r="BO2061">
        <f>IF(2048&lt;$U$9,MOD(INT(2048/$U$8),$U$7)+1,1)</f>
        <v/>
      </c>
      <c r="BP2061">
        <f>IF(2048&lt;$U$9,MOD(2048,$U$8)+1,1)</f>
        <v/>
      </c>
      <c r="BQ2061">
        <f>IF(2048&lt;$U$9,SUMPRODUCT(($D$10:$L$10&lt;&gt;"")*(($D$9:$L$9+INT(($S$12:$AA$12+INDEX($AJ$13:$AR$162,BN2061,0)+INDEX($AT$13:$BB$162,BO2061,0)+INDEX($BD$13:$BL$162,BP2061,0))/100))&gt;=$D$10:$L$10)),0)</f>
        <v/>
      </c>
      <c r="BR2061">
        <f>IF(2048&lt;$U$9,SUMPRODUCT(($D$10:$L$10&lt;&gt;"")*(($D$10:$L$10-($D$9:$L$9+INT(($S$12:$AA$12+INDEX($AJ$13:$AR$162,BN2061,0)+INDEX($AT$13:$BB$162,BO2061,0)+INDEX($BD$13:$BL$162,BP2061,0))/100)))&gt;0)*($D$10:$L$10-($D$9:$L$9+INT(($S$12:$AA$12+INDEX($AJ$13:$AR$162,BN2061,0)+INDEX($AT$13:$BB$162,BO2061,0)+INDEX($BD$13:$BL$162,BP2061,0))/100)))),0)</f>
        <v/>
      </c>
      <c r="BS2061">
        <f>IF(2048&lt;$U$9,SUMPRODUCT(($D$9:$L$9+INT(($S$12:$AA$12+INDEX($AJ$13:$AR$162,BN2061,0)+INDEX($AT$13:$BB$162,BO2061,0)+INDEX($BD$13:$BL$162,BP2061,0))/100))),0)</f>
        <v/>
      </c>
      <c r="BT2061">
        <f>IF(AND(2048&lt;$U$9,$W$5),BQ2061*1000000-MIN(BR2061,999)*1000+BS2061-2048/100000,-1000000000-2048)</f>
        <v/>
      </c>
    </row>
    <row r="2062">
      <c r="BN2062">
        <f>IF(2049&lt;$U$9,INT(2049/($U$7*$U$8))+1,1)</f>
        <v/>
      </c>
      <c r="BO2062">
        <f>IF(2049&lt;$U$9,MOD(INT(2049/$U$8),$U$7)+1,1)</f>
        <v/>
      </c>
      <c r="BP2062">
        <f>IF(2049&lt;$U$9,MOD(2049,$U$8)+1,1)</f>
        <v/>
      </c>
      <c r="BQ2062">
        <f>IF(2049&lt;$U$9,SUMPRODUCT(($D$10:$L$10&lt;&gt;"")*(($D$9:$L$9+INT(($S$12:$AA$12+INDEX($AJ$13:$AR$162,BN2062,0)+INDEX($AT$13:$BB$162,BO2062,0)+INDEX($BD$13:$BL$162,BP2062,0))/100))&gt;=$D$10:$L$10)),0)</f>
        <v/>
      </c>
      <c r="BR2062">
        <f>IF(2049&lt;$U$9,SUMPRODUCT(($D$10:$L$10&lt;&gt;"")*(($D$10:$L$10-($D$9:$L$9+INT(($S$12:$AA$12+INDEX($AJ$13:$AR$162,BN2062,0)+INDEX($AT$13:$BB$162,BO2062,0)+INDEX($BD$13:$BL$162,BP2062,0))/100)))&gt;0)*($D$10:$L$10-($D$9:$L$9+INT(($S$12:$AA$12+INDEX($AJ$13:$AR$162,BN2062,0)+INDEX($AT$13:$BB$162,BO2062,0)+INDEX($BD$13:$BL$162,BP2062,0))/100)))),0)</f>
        <v/>
      </c>
      <c r="BS2062">
        <f>IF(2049&lt;$U$9,SUMPRODUCT(($D$9:$L$9+INT(($S$12:$AA$12+INDEX($AJ$13:$AR$162,BN2062,0)+INDEX($AT$13:$BB$162,BO2062,0)+INDEX($BD$13:$BL$162,BP2062,0))/100))),0)</f>
        <v/>
      </c>
      <c r="BT2062">
        <f>IF(AND(2049&lt;$U$9,$W$5),BQ2062*1000000-MIN(BR2062,999)*1000+BS2062-2049/100000,-1000000000-2049)</f>
        <v/>
      </c>
    </row>
    <row r="2063">
      <c r="BN2063">
        <f>IF(2050&lt;$U$9,INT(2050/($U$7*$U$8))+1,1)</f>
        <v/>
      </c>
      <c r="BO2063">
        <f>IF(2050&lt;$U$9,MOD(INT(2050/$U$8),$U$7)+1,1)</f>
        <v/>
      </c>
      <c r="BP2063">
        <f>IF(2050&lt;$U$9,MOD(2050,$U$8)+1,1)</f>
        <v/>
      </c>
      <c r="BQ2063">
        <f>IF(2050&lt;$U$9,SUMPRODUCT(($D$10:$L$10&lt;&gt;"")*(($D$9:$L$9+INT(($S$12:$AA$12+INDEX($AJ$13:$AR$162,BN2063,0)+INDEX($AT$13:$BB$162,BO2063,0)+INDEX($BD$13:$BL$162,BP2063,0))/100))&gt;=$D$10:$L$10)),0)</f>
        <v/>
      </c>
      <c r="BR2063">
        <f>IF(2050&lt;$U$9,SUMPRODUCT(($D$10:$L$10&lt;&gt;"")*(($D$10:$L$10-($D$9:$L$9+INT(($S$12:$AA$12+INDEX($AJ$13:$AR$162,BN2063,0)+INDEX($AT$13:$BB$162,BO2063,0)+INDEX($BD$13:$BL$162,BP2063,0))/100)))&gt;0)*($D$10:$L$10-($D$9:$L$9+INT(($S$12:$AA$12+INDEX($AJ$13:$AR$162,BN2063,0)+INDEX($AT$13:$BB$162,BO2063,0)+INDEX($BD$13:$BL$162,BP2063,0))/100)))),0)</f>
        <v/>
      </c>
      <c r="BS2063">
        <f>IF(2050&lt;$U$9,SUMPRODUCT(($D$9:$L$9+INT(($S$12:$AA$12+INDEX($AJ$13:$AR$162,BN2063,0)+INDEX($AT$13:$BB$162,BO2063,0)+INDEX($BD$13:$BL$162,BP2063,0))/100))),0)</f>
        <v/>
      </c>
      <c r="BT2063">
        <f>IF(AND(2050&lt;$U$9,$W$5),BQ2063*1000000-MIN(BR2063,999)*1000+BS2063-2050/100000,-1000000000-2050)</f>
        <v/>
      </c>
    </row>
    <row r="2064">
      <c r="BN2064">
        <f>IF(2051&lt;$U$9,INT(2051/($U$7*$U$8))+1,1)</f>
        <v/>
      </c>
      <c r="BO2064">
        <f>IF(2051&lt;$U$9,MOD(INT(2051/$U$8),$U$7)+1,1)</f>
        <v/>
      </c>
      <c r="BP2064">
        <f>IF(2051&lt;$U$9,MOD(2051,$U$8)+1,1)</f>
        <v/>
      </c>
      <c r="BQ2064">
        <f>IF(2051&lt;$U$9,SUMPRODUCT(($D$10:$L$10&lt;&gt;"")*(($D$9:$L$9+INT(($S$12:$AA$12+INDEX($AJ$13:$AR$162,BN2064,0)+INDEX($AT$13:$BB$162,BO2064,0)+INDEX($BD$13:$BL$162,BP2064,0))/100))&gt;=$D$10:$L$10)),0)</f>
        <v/>
      </c>
      <c r="BR2064">
        <f>IF(2051&lt;$U$9,SUMPRODUCT(($D$10:$L$10&lt;&gt;"")*(($D$10:$L$10-($D$9:$L$9+INT(($S$12:$AA$12+INDEX($AJ$13:$AR$162,BN2064,0)+INDEX($AT$13:$BB$162,BO2064,0)+INDEX($BD$13:$BL$162,BP2064,0))/100)))&gt;0)*($D$10:$L$10-($D$9:$L$9+INT(($S$12:$AA$12+INDEX($AJ$13:$AR$162,BN2064,0)+INDEX($AT$13:$BB$162,BO2064,0)+INDEX($BD$13:$BL$162,BP2064,0))/100)))),0)</f>
        <v/>
      </c>
      <c r="BS2064">
        <f>IF(2051&lt;$U$9,SUMPRODUCT(($D$9:$L$9+INT(($S$12:$AA$12+INDEX($AJ$13:$AR$162,BN2064,0)+INDEX($AT$13:$BB$162,BO2064,0)+INDEX($BD$13:$BL$162,BP2064,0))/100))),0)</f>
        <v/>
      </c>
      <c r="BT2064">
        <f>IF(AND(2051&lt;$U$9,$W$5),BQ2064*1000000-MIN(BR2064,999)*1000+BS2064-2051/100000,-1000000000-2051)</f>
        <v/>
      </c>
    </row>
    <row r="2065">
      <c r="BN2065">
        <f>IF(2052&lt;$U$9,INT(2052/($U$7*$U$8))+1,1)</f>
        <v/>
      </c>
      <c r="BO2065">
        <f>IF(2052&lt;$U$9,MOD(INT(2052/$U$8),$U$7)+1,1)</f>
        <v/>
      </c>
      <c r="BP2065">
        <f>IF(2052&lt;$U$9,MOD(2052,$U$8)+1,1)</f>
        <v/>
      </c>
      <c r="BQ2065">
        <f>IF(2052&lt;$U$9,SUMPRODUCT(($D$10:$L$10&lt;&gt;"")*(($D$9:$L$9+INT(($S$12:$AA$12+INDEX($AJ$13:$AR$162,BN2065,0)+INDEX($AT$13:$BB$162,BO2065,0)+INDEX($BD$13:$BL$162,BP2065,0))/100))&gt;=$D$10:$L$10)),0)</f>
        <v/>
      </c>
      <c r="BR2065">
        <f>IF(2052&lt;$U$9,SUMPRODUCT(($D$10:$L$10&lt;&gt;"")*(($D$10:$L$10-($D$9:$L$9+INT(($S$12:$AA$12+INDEX($AJ$13:$AR$162,BN2065,0)+INDEX($AT$13:$BB$162,BO2065,0)+INDEX($BD$13:$BL$162,BP2065,0))/100)))&gt;0)*($D$10:$L$10-($D$9:$L$9+INT(($S$12:$AA$12+INDEX($AJ$13:$AR$162,BN2065,0)+INDEX($AT$13:$BB$162,BO2065,0)+INDEX($BD$13:$BL$162,BP2065,0))/100)))),0)</f>
        <v/>
      </c>
      <c r="BS2065">
        <f>IF(2052&lt;$U$9,SUMPRODUCT(($D$9:$L$9+INT(($S$12:$AA$12+INDEX($AJ$13:$AR$162,BN2065,0)+INDEX($AT$13:$BB$162,BO2065,0)+INDEX($BD$13:$BL$162,BP2065,0))/100))),0)</f>
        <v/>
      </c>
      <c r="BT2065">
        <f>IF(AND(2052&lt;$U$9,$W$5),BQ2065*1000000-MIN(BR2065,999)*1000+BS2065-2052/100000,-1000000000-2052)</f>
        <v/>
      </c>
    </row>
    <row r="2066">
      <c r="BN2066">
        <f>IF(2053&lt;$U$9,INT(2053/($U$7*$U$8))+1,1)</f>
        <v/>
      </c>
      <c r="BO2066">
        <f>IF(2053&lt;$U$9,MOD(INT(2053/$U$8),$U$7)+1,1)</f>
        <v/>
      </c>
      <c r="BP2066">
        <f>IF(2053&lt;$U$9,MOD(2053,$U$8)+1,1)</f>
        <v/>
      </c>
      <c r="BQ2066">
        <f>IF(2053&lt;$U$9,SUMPRODUCT(($D$10:$L$10&lt;&gt;"")*(($D$9:$L$9+INT(($S$12:$AA$12+INDEX($AJ$13:$AR$162,BN2066,0)+INDEX($AT$13:$BB$162,BO2066,0)+INDEX($BD$13:$BL$162,BP2066,0))/100))&gt;=$D$10:$L$10)),0)</f>
        <v/>
      </c>
      <c r="BR2066">
        <f>IF(2053&lt;$U$9,SUMPRODUCT(($D$10:$L$10&lt;&gt;"")*(($D$10:$L$10-($D$9:$L$9+INT(($S$12:$AA$12+INDEX($AJ$13:$AR$162,BN2066,0)+INDEX($AT$13:$BB$162,BO2066,0)+INDEX($BD$13:$BL$162,BP2066,0))/100)))&gt;0)*($D$10:$L$10-($D$9:$L$9+INT(($S$12:$AA$12+INDEX($AJ$13:$AR$162,BN2066,0)+INDEX($AT$13:$BB$162,BO2066,0)+INDEX($BD$13:$BL$162,BP2066,0))/100)))),0)</f>
        <v/>
      </c>
      <c r="BS2066">
        <f>IF(2053&lt;$U$9,SUMPRODUCT(($D$9:$L$9+INT(($S$12:$AA$12+INDEX($AJ$13:$AR$162,BN2066,0)+INDEX($AT$13:$BB$162,BO2066,0)+INDEX($BD$13:$BL$162,BP2066,0))/100))),0)</f>
        <v/>
      </c>
      <c r="BT2066">
        <f>IF(AND(2053&lt;$U$9,$W$5),BQ2066*1000000-MIN(BR2066,999)*1000+BS2066-2053/100000,-1000000000-2053)</f>
        <v/>
      </c>
    </row>
    <row r="2067">
      <c r="BN2067">
        <f>IF(2054&lt;$U$9,INT(2054/($U$7*$U$8))+1,1)</f>
        <v/>
      </c>
      <c r="BO2067">
        <f>IF(2054&lt;$U$9,MOD(INT(2054/$U$8),$U$7)+1,1)</f>
        <v/>
      </c>
      <c r="BP2067">
        <f>IF(2054&lt;$U$9,MOD(2054,$U$8)+1,1)</f>
        <v/>
      </c>
      <c r="BQ2067">
        <f>IF(2054&lt;$U$9,SUMPRODUCT(($D$10:$L$10&lt;&gt;"")*(($D$9:$L$9+INT(($S$12:$AA$12+INDEX($AJ$13:$AR$162,BN2067,0)+INDEX($AT$13:$BB$162,BO2067,0)+INDEX($BD$13:$BL$162,BP2067,0))/100))&gt;=$D$10:$L$10)),0)</f>
        <v/>
      </c>
      <c r="BR2067">
        <f>IF(2054&lt;$U$9,SUMPRODUCT(($D$10:$L$10&lt;&gt;"")*(($D$10:$L$10-($D$9:$L$9+INT(($S$12:$AA$12+INDEX($AJ$13:$AR$162,BN2067,0)+INDEX($AT$13:$BB$162,BO2067,0)+INDEX($BD$13:$BL$162,BP2067,0))/100)))&gt;0)*($D$10:$L$10-($D$9:$L$9+INT(($S$12:$AA$12+INDEX($AJ$13:$AR$162,BN2067,0)+INDEX($AT$13:$BB$162,BO2067,0)+INDEX($BD$13:$BL$162,BP2067,0))/100)))),0)</f>
        <v/>
      </c>
      <c r="BS2067">
        <f>IF(2054&lt;$U$9,SUMPRODUCT(($D$9:$L$9+INT(($S$12:$AA$12+INDEX($AJ$13:$AR$162,BN2067,0)+INDEX($AT$13:$BB$162,BO2067,0)+INDEX($BD$13:$BL$162,BP2067,0))/100))),0)</f>
        <v/>
      </c>
      <c r="BT2067">
        <f>IF(AND(2054&lt;$U$9,$W$5),BQ2067*1000000-MIN(BR2067,999)*1000+BS2067-2054/100000,-1000000000-2054)</f>
        <v/>
      </c>
    </row>
    <row r="2068">
      <c r="BN2068">
        <f>IF(2055&lt;$U$9,INT(2055/($U$7*$U$8))+1,1)</f>
        <v/>
      </c>
      <c r="BO2068">
        <f>IF(2055&lt;$U$9,MOD(INT(2055/$U$8),$U$7)+1,1)</f>
        <v/>
      </c>
      <c r="BP2068">
        <f>IF(2055&lt;$U$9,MOD(2055,$U$8)+1,1)</f>
        <v/>
      </c>
      <c r="BQ2068">
        <f>IF(2055&lt;$U$9,SUMPRODUCT(($D$10:$L$10&lt;&gt;"")*(($D$9:$L$9+INT(($S$12:$AA$12+INDEX($AJ$13:$AR$162,BN2068,0)+INDEX($AT$13:$BB$162,BO2068,0)+INDEX($BD$13:$BL$162,BP2068,0))/100))&gt;=$D$10:$L$10)),0)</f>
        <v/>
      </c>
      <c r="BR2068">
        <f>IF(2055&lt;$U$9,SUMPRODUCT(($D$10:$L$10&lt;&gt;"")*(($D$10:$L$10-($D$9:$L$9+INT(($S$12:$AA$12+INDEX($AJ$13:$AR$162,BN2068,0)+INDEX($AT$13:$BB$162,BO2068,0)+INDEX($BD$13:$BL$162,BP2068,0))/100)))&gt;0)*($D$10:$L$10-($D$9:$L$9+INT(($S$12:$AA$12+INDEX($AJ$13:$AR$162,BN2068,0)+INDEX($AT$13:$BB$162,BO2068,0)+INDEX($BD$13:$BL$162,BP2068,0))/100)))),0)</f>
        <v/>
      </c>
      <c r="BS2068">
        <f>IF(2055&lt;$U$9,SUMPRODUCT(($D$9:$L$9+INT(($S$12:$AA$12+INDEX($AJ$13:$AR$162,BN2068,0)+INDEX($AT$13:$BB$162,BO2068,0)+INDEX($BD$13:$BL$162,BP2068,0))/100))),0)</f>
        <v/>
      </c>
      <c r="BT2068">
        <f>IF(AND(2055&lt;$U$9,$W$5),BQ2068*1000000-MIN(BR2068,999)*1000+BS2068-2055/100000,-1000000000-2055)</f>
        <v/>
      </c>
    </row>
    <row r="2069">
      <c r="BN2069">
        <f>IF(2056&lt;$U$9,INT(2056/($U$7*$U$8))+1,1)</f>
        <v/>
      </c>
      <c r="BO2069">
        <f>IF(2056&lt;$U$9,MOD(INT(2056/$U$8),$U$7)+1,1)</f>
        <v/>
      </c>
      <c r="BP2069">
        <f>IF(2056&lt;$U$9,MOD(2056,$U$8)+1,1)</f>
        <v/>
      </c>
      <c r="BQ2069">
        <f>IF(2056&lt;$U$9,SUMPRODUCT(($D$10:$L$10&lt;&gt;"")*(($D$9:$L$9+INT(($S$12:$AA$12+INDEX($AJ$13:$AR$162,BN2069,0)+INDEX($AT$13:$BB$162,BO2069,0)+INDEX($BD$13:$BL$162,BP2069,0))/100))&gt;=$D$10:$L$10)),0)</f>
        <v/>
      </c>
      <c r="BR2069">
        <f>IF(2056&lt;$U$9,SUMPRODUCT(($D$10:$L$10&lt;&gt;"")*(($D$10:$L$10-($D$9:$L$9+INT(($S$12:$AA$12+INDEX($AJ$13:$AR$162,BN2069,0)+INDEX($AT$13:$BB$162,BO2069,0)+INDEX($BD$13:$BL$162,BP2069,0))/100)))&gt;0)*($D$10:$L$10-($D$9:$L$9+INT(($S$12:$AA$12+INDEX($AJ$13:$AR$162,BN2069,0)+INDEX($AT$13:$BB$162,BO2069,0)+INDEX($BD$13:$BL$162,BP2069,0))/100)))),0)</f>
        <v/>
      </c>
      <c r="BS2069">
        <f>IF(2056&lt;$U$9,SUMPRODUCT(($D$9:$L$9+INT(($S$12:$AA$12+INDEX($AJ$13:$AR$162,BN2069,0)+INDEX($AT$13:$BB$162,BO2069,0)+INDEX($BD$13:$BL$162,BP2069,0))/100))),0)</f>
        <v/>
      </c>
      <c r="BT2069">
        <f>IF(AND(2056&lt;$U$9,$W$5),BQ2069*1000000-MIN(BR2069,999)*1000+BS2069-2056/100000,-1000000000-2056)</f>
        <v/>
      </c>
    </row>
    <row r="2070">
      <c r="BN2070">
        <f>IF(2057&lt;$U$9,INT(2057/($U$7*$U$8))+1,1)</f>
        <v/>
      </c>
      <c r="BO2070">
        <f>IF(2057&lt;$U$9,MOD(INT(2057/$U$8),$U$7)+1,1)</f>
        <v/>
      </c>
      <c r="BP2070">
        <f>IF(2057&lt;$U$9,MOD(2057,$U$8)+1,1)</f>
        <v/>
      </c>
      <c r="BQ2070">
        <f>IF(2057&lt;$U$9,SUMPRODUCT(($D$10:$L$10&lt;&gt;"")*(($D$9:$L$9+INT(($S$12:$AA$12+INDEX($AJ$13:$AR$162,BN2070,0)+INDEX($AT$13:$BB$162,BO2070,0)+INDEX($BD$13:$BL$162,BP2070,0))/100))&gt;=$D$10:$L$10)),0)</f>
        <v/>
      </c>
      <c r="BR2070">
        <f>IF(2057&lt;$U$9,SUMPRODUCT(($D$10:$L$10&lt;&gt;"")*(($D$10:$L$10-($D$9:$L$9+INT(($S$12:$AA$12+INDEX($AJ$13:$AR$162,BN2070,0)+INDEX($AT$13:$BB$162,BO2070,0)+INDEX($BD$13:$BL$162,BP2070,0))/100)))&gt;0)*($D$10:$L$10-($D$9:$L$9+INT(($S$12:$AA$12+INDEX($AJ$13:$AR$162,BN2070,0)+INDEX($AT$13:$BB$162,BO2070,0)+INDEX($BD$13:$BL$162,BP2070,0))/100)))),0)</f>
        <v/>
      </c>
      <c r="BS2070">
        <f>IF(2057&lt;$U$9,SUMPRODUCT(($D$9:$L$9+INT(($S$12:$AA$12+INDEX($AJ$13:$AR$162,BN2070,0)+INDEX($AT$13:$BB$162,BO2070,0)+INDEX($BD$13:$BL$162,BP2070,0))/100))),0)</f>
        <v/>
      </c>
      <c r="BT2070">
        <f>IF(AND(2057&lt;$U$9,$W$5),BQ2070*1000000-MIN(BR2070,999)*1000+BS2070-2057/100000,-1000000000-2057)</f>
        <v/>
      </c>
    </row>
    <row r="2071">
      <c r="BN2071">
        <f>IF(2058&lt;$U$9,INT(2058/($U$7*$U$8))+1,1)</f>
        <v/>
      </c>
      <c r="BO2071">
        <f>IF(2058&lt;$U$9,MOD(INT(2058/$U$8),$U$7)+1,1)</f>
        <v/>
      </c>
      <c r="BP2071">
        <f>IF(2058&lt;$U$9,MOD(2058,$U$8)+1,1)</f>
        <v/>
      </c>
      <c r="BQ2071">
        <f>IF(2058&lt;$U$9,SUMPRODUCT(($D$10:$L$10&lt;&gt;"")*(($D$9:$L$9+INT(($S$12:$AA$12+INDEX($AJ$13:$AR$162,BN2071,0)+INDEX($AT$13:$BB$162,BO2071,0)+INDEX($BD$13:$BL$162,BP2071,0))/100))&gt;=$D$10:$L$10)),0)</f>
        <v/>
      </c>
      <c r="BR2071">
        <f>IF(2058&lt;$U$9,SUMPRODUCT(($D$10:$L$10&lt;&gt;"")*(($D$10:$L$10-($D$9:$L$9+INT(($S$12:$AA$12+INDEX($AJ$13:$AR$162,BN2071,0)+INDEX($AT$13:$BB$162,BO2071,0)+INDEX($BD$13:$BL$162,BP2071,0))/100)))&gt;0)*($D$10:$L$10-($D$9:$L$9+INT(($S$12:$AA$12+INDEX($AJ$13:$AR$162,BN2071,0)+INDEX($AT$13:$BB$162,BO2071,0)+INDEX($BD$13:$BL$162,BP2071,0))/100)))),0)</f>
        <v/>
      </c>
      <c r="BS2071">
        <f>IF(2058&lt;$U$9,SUMPRODUCT(($D$9:$L$9+INT(($S$12:$AA$12+INDEX($AJ$13:$AR$162,BN2071,0)+INDEX($AT$13:$BB$162,BO2071,0)+INDEX($BD$13:$BL$162,BP2071,0))/100))),0)</f>
        <v/>
      </c>
      <c r="BT2071">
        <f>IF(AND(2058&lt;$U$9,$W$5),BQ2071*1000000-MIN(BR2071,999)*1000+BS2071-2058/100000,-1000000000-2058)</f>
        <v/>
      </c>
    </row>
    <row r="2072">
      <c r="BN2072">
        <f>IF(2059&lt;$U$9,INT(2059/($U$7*$U$8))+1,1)</f>
        <v/>
      </c>
      <c r="BO2072">
        <f>IF(2059&lt;$U$9,MOD(INT(2059/$U$8),$U$7)+1,1)</f>
        <v/>
      </c>
      <c r="BP2072">
        <f>IF(2059&lt;$U$9,MOD(2059,$U$8)+1,1)</f>
        <v/>
      </c>
      <c r="BQ2072">
        <f>IF(2059&lt;$U$9,SUMPRODUCT(($D$10:$L$10&lt;&gt;"")*(($D$9:$L$9+INT(($S$12:$AA$12+INDEX($AJ$13:$AR$162,BN2072,0)+INDEX($AT$13:$BB$162,BO2072,0)+INDEX($BD$13:$BL$162,BP2072,0))/100))&gt;=$D$10:$L$10)),0)</f>
        <v/>
      </c>
      <c r="BR2072">
        <f>IF(2059&lt;$U$9,SUMPRODUCT(($D$10:$L$10&lt;&gt;"")*(($D$10:$L$10-($D$9:$L$9+INT(($S$12:$AA$12+INDEX($AJ$13:$AR$162,BN2072,0)+INDEX($AT$13:$BB$162,BO2072,0)+INDEX($BD$13:$BL$162,BP2072,0))/100)))&gt;0)*($D$10:$L$10-($D$9:$L$9+INT(($S$12:$AA$12+INDEX($AJ$13:$AR$162,BN2072,0)+INDEX($AT$13:$BB$162,BO2072,0)+INDEX($BD$13:$BL$162,BP2072,0))/100)))),0)</f>
        <v/>
      </c>
      <c r="BS2072">
        <f>IF(2059&lt;$U$9,SUMPRODUCT(($D$9:$L$9+INT(($S$12:$AA$12+INDEX($AJ$13:$AR$162,BN2072,0)+INDEX($AT$13:$BB$162,BO2072,0)+INDEX($BD$13:$BL$162,BP2072,0))/100))),0)</f>
        <v/>
      </c>
      <c r="BT2072">
        <f>IF(AND(2059&lt;$U$9,$W$5),BQ2072*1000000-MIN(BR2072,999)*1000+BS2072-2059/100000,-1000000000-2059)</f>
        <v/>
      </c>
    </row>
    <row r="2073">
      <c r="BN2073">
        <f>IF(2060&lt;$U$9,INT(2060/($U$7*$U$8))+1,1)</f>
        <v/>
      </c>
      <c r="BO2073">
        <f>IF(2060&lt;$U$9,MOD(INT(2060/$U$8),$U$7)+1,1)</f>
        <v/>
      </c>
      <c r="BP2073">
        <f>IF(2060&lt;$U$9,MOD(2060,$U$8)+1,1)</f>
        <v/>
      </c>
      <c r="BQ2073">
        <f>IF(2060&lt;$U$9,SUMPRODUCT(($D$10:$L$10&lt;&gt;"")*(($D$9:$L$9+INT(($S$12:$AA$12+INDEX($AJ$13:$AR$162,BN2073,0)+INDEX($AT$13:$BB$162,BO2073,0)+INDEX($BD$13:$BL$162,BP2073,0))/100))&gt;=$D$10:$L$10)),0)</f>
        <v/>
      </c>
      <c r="BR2073">
        <f>IF(2060&lt;$U$9,SUMPRODUCT(($D$10:$L$10&lt;&gt;"")*(($D$10:$L$10-($D$9:$L$9+INT(($S$12:$AA$12+INDEX($AJ$13:$AR$162,BN2073,0)+INDEX($AT$13:$BB$162,BO2073,0)+INDEX($BD$13:$BL$162,BP2073,0))/100)))&gt;0)*($D$10:$L$10-($D$9:$L$9+INT(($S$12:$AA$12+INDEX($AJ$13:$AR$162,BN2073,0)+INDEX($AT$13:$BB$162,BO2073,0)+INDEX($BD$13:$BL$162,BP2073,0))/100)))),0)</f>
        <v/>
      </c>
      <c r="BS2073">
        <f>IF(2060&lt;$U$9,SUMPRODUCT(($D$9:$L$9+INT(($S$12:$AA$12+INDEX($AJ$13:$AR$162,BN2073,0)+INDEX($AT$13:$BB$162,BO2073,0)+INDEX($BD$13:$BL$162,BP2073,0))/100))),0)</f>
        <v/>
      </c>
      <c r="BT2073">
        <f>IF(AND(2060&lt;$U$9,$W$5),BQ2073*1000000-MIN(BR2073,999)*1000+BS2073-2060/100000,-1000000000-2060)</f>
        <v/>
      </c>
    </row>
    <row r="2074">
      <c r="BN2074">
        <f>IF(2061&lt;$U$9,INT(2061/($U$7*$U$8))+1,1)</f>
        <v/>
      </c>
      <c r="BO2074">
        <f>IF(2061&lt;$U$9,MOD(INT(2061/$U$8),$U$7)+1,1)</f>
        <v/>
      </c>
      <c r="BP2074">
        <f>IF(2061&lt;$U$9,MOD(2061,$U$8)+1,1)</f>
        <v/>
      </c>
      <c r="BQ2074">
        <f>IF(2061&lt;$U$9,SUMPRODUCT(($D$10:$L$10&lt;&gt;"")*(($D$9:$L$9+INT(($S$12:$AA$12+INDEX($AJ$13:$AR$162,BN2074,0)+INDEX($AT$13:$BB$162,BO2074,0)+INDEX($BD$13:$BL$162,BP2074,0))/100))&gt;=$D$10:$L$10)),0)</f>
        <v/>
      </c>
      <c r="BR2074">
        <f>IF(2061&lt;$U$9,SUMPRODUCT(($D$10:$L$10&lt;&gt;"")*(($D$10:$L$10-($D$9:$L$9+INT(($S$12:$AA$12+INDEX($AJ$13:$AR$162,BN2074,0)+INDEX($AT$13:$BB$162,BO2074,0)+INDEX($BD$13:$BL$162,BP2074,0))/100)))&gt;0)*($D$10:$L$10-($D$9:$L$9+INT(($S$12:$AA$12+INDEX($AJ$13:$AR$162,BN2074,0)+INDEX($AT$13:$BB$162,BO2074,0)+INDEX($BD$13:$BL$162,BP2074,0))/100)))),0)</f>
        <v/>
      </c>
      <c r="BS2074">
        <f>IF(2061&lt;$U$9,SUMPRODUCT(($D$9:$L$9+INT(($S$12:$AA$12+INDEX($AJ$13:$AR$162,BN2074,0)+INDEX($AT$13:$BB$162,BO2074,0)+INDEX($BD$13:$BL$162,BP2074,0))/100))),0)</f>
        <v/>
      </c>
      <c r="BT2074">
        <f>IF(AND(2061&lt;$U$9,$W$5),BQ2074*1000000-MIN(BR2074,999)*1000+BS2074-2061/100000,-1000000000-2061)</f>
        <v/>
      </c>
    </row>
    <row r="2075">
      <c r="BN2075">
        <f>IF(2062&lt;$U$9,INT(2062/($U$7*$U$8))+1,1)</f>
        <v/>
      </c>
      <c r="BO2075">
        <f>IF(2062&lt;$U$9,MOD(INT(2062/$U$8),$U$7)+1,1)</f>
        <v/>
      </c>
      <c r="BP2075">
        <f>IF(2062&lt;$U$9,MOD(2062,$U$8)+1,1)</f>
        <v/>
      </c>
      <c r="BQ2075">
        <f>IF(2062&lt;$U$9,SUMPRODUCT(($D$10:$L$10&lt;&gt;"")*(($D$9:$L$9+INT(($S$12:$AA$12+INDEX($AJ$13:$AR$162,BN2075,0)+INDEX($AT$13:$BB$162,BO2075,0)+INDEX($BD$13:$BL$162,BP2075,0))/100))&gt;=$D$10:$L$10)),0)</f>
        <v/>
      </c>
      <c r="BR2075">
        <f>IF(2062&lt;$U$9,SUMPRODUCT(($D$10:$L$10&lt;&gt;"")*(($D$10:$L$10-($D$9:$L$9+INT(($S$12:$AA$12+INDEX($AJ$13:$AR$162,BN2075,0)+INDEX($AT$13:$BB$162,BO2075,0)+INDEX($BD$13:$BL$162,BP2075,0))/100)))&gt;0)*($D$10:$L$10-($D$9:$L$9+INT(($S$12:$AA$12+INDEX($AJ$13:$AR$162,BN2075,0)+INDEX($AT$13:$BB$162,BO2075,0)+INDEX($BD$13:$BL$162,BP2075,0))/100)))),0)</f>
        <v/>
      </c>
      <c r="BS2075">
        <f>IF(2062&lt;$U$9,SUMPRODUCT(($D$9:$L$9+INT(($S$12:$AA$12+INDEX($AJ$13:$AR$162,BN2075,0)+INDEX($AT$13:$BB$162,BO2075,0)+INDEX($BD$13:$BL$162,BP2075,0))/100))),0)</f>
        <v/>
      </c>
      <c r="BT2075">
        <f>IF(AND(2062&lt;$U$9,$W$5),BQ2075*1000000-MIN(BR2075,999)*1000+BS2075-2062/100000,-1000000000-2062)</f>
        <v/>
      </c>
    </row>
    <row r="2076">
      <c r="BN2076">
        <f>IF(2063&lt;$U$9,INT(2063/($U$7*$U$8))+1,1)</f>
        <v/>
      </c>
      <c r="BO2076">
        <f>IF(2063&lt;$U$9,MOD(INT(2063/$U$8),$U$7)+1,1)</f>
        <v/>
      </c>
      <c r="BP2076">
        <f>IF(2063&lt;$U$9,MOD(2063,$U$8)+1,1)</f>
        <v/>
      </c>
      <c r="BQ2076">
        <f>IF(2063&lt;$U$9,SUMPRODUCT(($D$10:$L$10&lt;&gt;"")*(($D$9:$L$9+INT(($S$12:$AA$12+INDEX($AJ$13:$AR$162,BN2076,0)+INDEX($AT$13:$BB$162,BO2076,0)+INDEX($BD$13:$BL$162,BP2076,0))/100))&gt;=$D$10:$L$10)),0)</f>
        <v/>
      </c>
      <c r="BR2076">
        <f>IF(2063&lt;$U$9,SUMPRODUCT(($D$10:$L$10&lt;&gt;"")*(($D$10:$L$10-($D$9:$L$9+INT(($S$12:$AA$12+INDEX($AJ$13:$AR$162,BN2076,0)+INDEX($AT$13:$BB$162,BO2076,0)+INDEX($BD$13:$BL$162,BP2076,0))/100)))&gt;0)*($D$10:$L$10-($D$9:$L$9+INT(($S$12:$AA$12+INDEX($AJ$13:$AR$162,BN2076,0)+INDEX($AT$13:$BB$162,BO2076,0)+INDEX($BD$13:$BL$162,BP2076,0))/100)))),0)</f>
        <v/>
      </c>
      <c r="BS2076">
        <f>IF(2063&lt;$U$9,SUMPRODUCT(($D$9:$L$9+INT(($S$12:$AA$12+INDEX($AJ$13:$AR$162,BN2076,0)+INDEX($AT$13:$BB$162,BO2076,0)+INDEX($BD$13:$BL$162,BP2076,0))/100))),0)</f>
        <v/>
      </c>
      <c r="BT2076">
        <f>IF(AND(2063&lt;$U$9,$W$5),BQ2076*1000000-MIN(BR2076,999)*1000+BS2076-2063/100000,-1000000000-2063)</f>
        <v/>
      </c>
    </row>
    <row r="2077">
      <c r="BN2077">
        <f>IF(2064&lt;$U$9,INT(2064/($U$7*$U$8))+1,1)</f>
        <v/>
      </c>
      <c r="BO2077">
        <f>IF(2064&lt;$U$9,MOD(INT(2064/$U$8),$U$7)+1,1)</f>
        <v/>
      </c>
      <c r="BP2077">
        <f>IF(2064&lt;$U$9,MOD(2064,$U$8)+1,1)</f>
        <v/>
      </c>
      <c r="BQ2077">
        <f>IF(2064&lt;$U$9,SUMPRODUCT(($D$10:$L$10&lt;&gt;"")*(($D$9:$L$9+INT(($S$12:$AA$12+INDEX($AJ$13:$AR$162,BN2077,0)+INDEX($AT$13:$BB$162,BO2077,0)+INDEX($BD$13:$BL$162,BP2077,0))/100))&gt;=$D$10:$L$10)),0)</f>
        <v/>
      </c>
      <c r="BR2077">
        <f>IF(2064&lt;$U$9,SUMPRODUCT(($D$10:$L$10&lt;&gt;"")*(($D$10:$L$10-($D$9:$L$9+INT(($S$12:$AA$12+INDEX($AJ$13:$AR$162,BN2077,0)+INDEX($AT$13:$BB$162,BO2077,0)+INDEX($BD$13:$BL$162,BP2077,0))/100)))&gt;0)*($D$10:$L$10-($D$9:$L$9+INT(($S$12:$AA$12+INDEX($AJ$13:$AR$162,BN2077,0)+INDEX($AT$13:$BB$162,BO2077,0)+INDEX($BD$13:$BL$162,BP2077,0))/100)))),0)</f>
        <v/>
      </c>
      <c r="BS2077">
        <f>IF(2064&lt;$U$9,SUMPRODUCT(($D$9:$L$9+INT(($S$12:$AA$12+INDEX($AJ$13:$AR$162,BN2077,0)+INDEX($AT$13:$BB$162,BO2077,0)+INDEX($BD$13:$BL$162,BP2077,0))/100))),0)</f>
        <v/>
      </c>
      <c r="BT2077">
        <f>IF(AND(2064&lt;$U$9,$W$5),BQ2077*1000000-MIN(BR2077,999)*1000+BS2077-2064/100000,-1000000000-2064)</f>
        <v/>
      </c>
    </row>
    <row r="2078">
      <c r="BN2078">
        <f>IF(2065&lt;$U$9,INT(2065/($U$7*$U$8))+1,1)</f>
        <v/>
      </c>
      <c r="BO2078">
        <f>IF(2065&lt;$U$9,MOD(INT(2065/$U$8),$U$7)+1,1)</f>
        <v/>
      </c>
      <c r="BP2078">
        <f>IF(2065&lt;$U$9,MOD(2065,$U$8)+1,1)</f>
        <v/>
      </c>
      <c r="BQ2078">
        <f>IF(2065&lt;$U$9,SUMPRODUCT(($D$10:$L$10&lt;&gt;"")*(($D$9:$L$9+INT(($S$12:$AA$12+INDEX($AJ$13:$AR$162,BN2078,0)+INDEX($AT$13:$BB$162,BO2078,0)+INDEX($BD$13:$BL$162,BP2078,0))/100))&gt;=$D$10:$L$10)),0)</f>
        <v/>
      </c>
      <c r="BR2078">
        <f>IF(2065&lt;$U$9,SUMPRODUCT(($D$10:$L$10&lt;&gt;"")*(($D$10:$L$10-($D$9:$L$9+INT(($S$12:$AA$12+INDEX($AJ$13:$AR$162,BN2078,0)+INDEX($AT$13:$BB$162,BO2078,0)+INDEX($BD$13:$BL$162,BP2078,0))/100)))&gt;0)*($D$10:$L$10-($D$9:$L$9+INT(($S$12:$AA$12+INDEX($AJ$13:$AR$162,BN2078,0)+INDEX($AT$13:$BB$162,BO2078,0)+INDEX($BD$13:$BL$162,BP2078,0))/100)))),0)</f>
        <v/>
      </c>
      <c r="BS2078">
        <f>IF(2065&lt;$U$9,SUMPRODUCT(($D$9:$L$9+INT(($S$12:$AA$12+INDEX($AJ$13:$AR$162,BN2078,0)+INDEX($AT$13:$BB$162,BO2078,0)+INDEX($BD$13:$BL$162,BP2078,0))/100))),0)</f>
        <v/>
      </c>
      <c r="BT2078">
        <f>IF(AND(2065&lt;$U$9,$W$5),BQ2078*1000000-MIN(BR2078,999)*1000+BS2078-2065/100000,-1000000000-2065)</f>
        <v/>
      </c>
    </row>
    <row r="2079">
      <c r="BN2079">
        <f>IF(2066&lt;$U$9,INT(2066/($U$7*$U$8))+1,1)</f>
        <v/>
      </c>
      <c r="BO2079">
        <f>IF(2066&lt;$U$9,MOD(INT(2066/$U$8),$U$7)+1,1)</f>
        <v/>
      </c>
      <c r="BP2079">
        <f>IF(2066&lt;$U$9,MOD(2066,$U$8)+1,1)</f>
        <v/>
      </c>
      <c r="BQ2079">
        <f>IF(2066&lt;$U$9,SUMPRODUCT(($D$10:$L$10&lt;&gt;"")*(($D$9:$L$9+INT(($S$12:$AA$12+INDEX($AJ$13:$AR$162,BN2079,0)+INDEX($AT$13:$BB$162,BO2079,0)+INDEX($BD$13:$BL$162,BP2079,0))/100))&gt;=$D$10:$L$10)),0)</f>
        <v/>
      </c>
      <c r="BR2079">
        <f>IF(2066&lt;$U$9,SUMPRODUCT(($D$10:$L$10&lt;&gt;"")*(($D$10:$L$10-($D$9:$L$9+INT(($S$12:$AA$12+INDEX($AJ$13:$AR$162,BN2079,0)+INDEX($AT$13:$BB$162,BO2079,0)+INDEX($BD$13:$BL$162,BP2079,0))/100)))&gt;0)*($D$10:$L$10-($D$9:$L$9+INT(($S$12:$AA$12+INDEX($AJ$13:$AR$162,BN2079,0)+INDEX($AT$13:$BB$162,BO2079,0)+INDEX($BD$13:$BL$162,BP2079,0))/100)))),0)</f>
        <v/>
      </c>
      <c r="BS2079">
        <f>IF(2066&lt;$U$9,SUMPRODUCT(($D$9:$L$9+INT(($S$12:$AA$12+INDEX($AJ$13:$AR$162,BN2079,0)+INDEX($AT$13:$BB$162,BO2079,0)+INDEX($BD$13:$BL$162,BP2079,0))/100))),0)</f>
        <v/>
      </c>
      <c r="BT2079">
        <f>IF(AND(2066&lt;$U$9,$W$5),BQ2079*1000000-MIN(BR2079,999)*1000+BS2079-2066/100000,-1000000000-2066)</f>
        <v/>
      </c>
    </row>
    <row r="2080">
      <c r="BN2080">
        <f>IF(2067&lt;$U$9,INT(2067/($U$7*$U$8))+1,1)</f>
        <v/>
      </c>
      <c r="BO2080">
        <f>IF(2067&lt;$U$9,MOD(INT(2067/$U$8),$U$7)+1,1)</f>
        <v/>
      </c>
      <c r="BP2080">
        <f>IF(2067&lt;$U$9,MOD(2067,$U$8)+1,1)</f>
        <v/>
      </c>
      <c r="BQ2080">
        <f>IF(2067&lt;$U$9,SUMPRODUCT(($D$10:$L$10&lt;&gt;"")*(($D$9:$L$9+INT(($S$12:$AA$12+INDEX($AJ$13:$AR$162,BN2080,0)+INDEX($AT$13:$BB$162,BO2080,0)+INDEX($BD$13:$BL$162,BP2080,0))/100))&gt;=$D$10:$L$10)),0)</f>
        <v/>
      </c>
      <c r="BR2080">
        <f>IF(2067&lt;$U$9,SUMPRODUCT(($D$10:$L$10&lt;&gt;"")*(($D$10:$L$10-($D$9:$L$9+INT(($S$12:$AA$12+INDEX($AJ$13:$AR$162,BN2080,0)+INDEX($AT$13:$BB$162,BO2080,0)+INDEX($BD$13:$BL$162,BP2080,0))/100)))&gt;0)*($D$10:$L$10-($D$9:$L$9+INT(($S$12:$AA$12+INDEX($AJ$13:$AR$162,BN2080,0)+INDEX($AT$13:$BB$162,BO2080,0)+INDEX($BD$13:$BL$162,BP2080,0))/100)))),0)</f>
        <v/>
      </c>
      <c r="BS2080">
        <f>IF(2067&lt;$U$9,SUMPRODUCT(($D$9:$L$9+INT(($S$12:$AA$12+INDEX($AJ$13:$AR$162,BN2080,0)+INDEX($AT$13:$BB$162,BO2080,0)+INDEX($BD$13:$BL$162,BP2080,0))/100))),0)</f>
        <v/>
      </c>
      <c r="BT2080">
        <f>IF(AND(2067&lt;$U$9,$W$5),BQ2080*1000000-MIN(BR2080,999)*1000+BS2080-2067/100000,-1000000000-2067)</f>
        <v/>
      </c>
    </row>
    <row r="2081">
      <c r="BN2081">
        <f>IF(2068&lt;$U$9,INT(2068/($U$7*$U$8))+1,1)</f>
        <v/>
      </c>
      <c r="BO2081">
        <f>IF(2068&lt;$U$9,MOD(INT(2068/$U$8),$U$7)+1,1)</f>
        <v/>
      </c>
      <c r="BP2081">
        <f>IF(2068&lt;$U$9,MOD(2068,$U$8)+1,1)</f>
        <v/>
      </c>
      <c r="BQ2081">
        <f>IF(2068&lt;$U$9,SUMPRODUCT(($D$10:$L$10&lt;&gt;"")*(($D$9:$L$9+INT(($S$12:$AA$12+INDEX($AJ$13:$AR$162,BN2081,0)+INDEX($AT$13:$BB$162,BO2081,0)+INDEX($BD$13:$BL$162,BP2081,0))/100))&gt;=$D$10:$L$10)),0)</f>
        <v/>
      </c>
      <c r="BR2081">
        <f>IF(2068&lt;$U$9,SUMPRODUCT(($D$10:$L$10&lt;&gt;"")*(($D$10:$L$10-($D$9:$L$9+INT(($S$12:$AA$12+INDEX($AJ$13:$AR$162,BN2081,0)+INDEX($AT$13:$BB$162,BO2081,0)+INDEX($BD$13:$BL$162,BP2081,0))/100)))&gt;0)*($D$10:$L$10-($D$9:$L$9+INT(($S$12:$AA$12+INDEX($AJ$13:$AR$162,BN2081,0)+INDEX($AT$13:$BB$162,BO2081,0)+INDEX($BD$13:$BL$162,BP2081,0))/100)))),0)</f>
        <v/>
      </c>
      <c r="BS2081">
        <f>IF(2068&lt;$U$9,SUMPRODUCT(($D$9:$L$9+INT(($S$12:$AA$12+INDEX($AJ$13:$AR$162,BN2081,0)+INDEX($AT$13:$BB$162,BO2081,0)+INDEX($BD$13:$BL$162,BP2081,0))/100))),0)</f>
        <v/>
      </c>
      <c r="BT2081">
        <f>IF(AND(2068&lt;$U$9,$W$5),BQ2081*1000000-MIN(BR2081,999)*1000+BS2081-2068/100000,-1000000000-2068)</f>
        <v/>
      </c>
    </row>
    <row r="2082">
      <c r="BN2082">
        <f>IF(2069&lt;$U$9,INT(2069/($U$7*$U$8))+1,1)</f>
        <v/>
      </c>
      <c r="BO2082">
        <f>IF(2069&lt;$U$9,MOD(INT(2069/$U$8),$U$7)+1,1)</f>
        <v/>
      </c>
      <c r="BP2082">
        <f>IF(2069&lt;$U$9,MOD(2069,$U$8)+1,1)</f>
        <v/>
      </c>
      <c r="BQ2082">
        <f>IF(2069&lt;$U$9,SUMPRODUCT(($D$10:$L$10&lt;&gt;"")*(($D$9:$L$9+INT(($S$12:$AA$12+INDEX($AJ$13:$AR$162,BN2082,0)+INDEX($AT$13:$BB$162,BO2082,0)+INDEX($BD$13:$BL$162,BP2082,0))/100))&gt;=$D$10:$L$10)),0)</f>
        <v/>
      </c>
      <c r="BR2082">
        <f>IF(2069&lt;$U$9,SUMPRODUCT(($D$10:$L$10&lt;&gt;"")*(($D$10:$L$10-($D$9:$L$9+INT(($S$12:$AA$12+INDEX($AJ$13:$AR$162,BN2082,0)+INDEX($AT$13:$BB$162,BO2082,0)+INDEX($BD$13:$BL$162,BP2082,0))/100)))&gt;0)*($D$10:$L$10-($D$9:$L$9+INT(($S$12:$AA$12+INDEX($AJ$13:$AR$162,BN2082,0)+INDEX($AT$13:$BB$162,BO2082,0)+INDEX($BD$13:$BL$162,BP2082,0))/100)))),0)</f>
        <v/>
      </c>
      <c r="BS2082">
        <f>IF(2069&lt;$U$9,SUMPRODUCT(($D$9:$L$9+INT(($S$12:$AA$12+INDEX($AJ$13:$AR$162,BN2082,0)+INDEX($AT$13:$BB$162,BO2082,0)+INDEX($BD$13:$BL$162,BP2082,0))/100))),0)</f>
        <v/>
      </c>
      <c r="BT2082">
        <f>IF(AND(2069&lt;$U$9,$W$5),BQ2082*1000000-MIN(BR2082,999)*1000+BS2082-2069/100000,-1000000000-2069)</f>
        <v/>
      </c>
    </row>
    <row r="2083">
      <c r="BN2083">
        <f>IF(2070&lt;$U$9,INT(2070/($U$7*$U$8))+1,1)</f>
        <v/>
      </c>
      <c r="BO2083">
        <f>IF(2070&lt;$U$9,MOD(INT(2070/$U$8),$U$7)+1,1)</f>
        <v/>
      </c>
      <c r="BP2083">
        <f>IF(2070&lt;$U$9,MOD(2070,$U$8)+1,1)</f>
        <v/>
      </c>
      <c r="BQ2083">
        <f>IF(2070&lt;$U$9,SUMPRODUCT(($D$10:$L$10&lt;&gt;"")*(($D$9:$L$9+INT(($S$12:$AA$12+INDEX($AJ$13:$AR$162,BN2083,0)+INDEX($AT$13:$BB$162,BO2083,0)+INDEX($BD$13:$BL$162,BP2083,0))/100))&gt;=$D$10:$L$10)),0)</f>
        <v/>
      </c>
      <c r="BR2083">
        <f>IF(2070&lt;$U$9,SUMPRODUCT(($D$10:$L$10&lt;&gt;"")*(($D$10:$L$10-($D$9:$L$9+INT(($S$12:$AA$12+INDEX($AJ$13:$AR$162,BN2083,0)+INDEX($AT$13:$BB$162,BO2083,0)+INDEX($BD$13:$BL$162,BP2083,0))/100)))&gt;0)*($D$10:$L$10-($D$9:$L$9+INT(($S$12:$AA$12+INDEX($AJ$13:$AR$162,BN2083,0)+INDEX($AT$13:$BB$162,BO2083,0)+INDEX($BD$13:$BL$162,BP2083,0))/100)))),0)</f>
        <v/>
      </c>
      <c r="BS2083">
        <f>IF(2070&lt;$U$9,SUMPRODUCT(($D$9:$L$9+INT(($S$12:$AA$12+INDEX($AJ$13:$AR$162,BN2083,0)+INDEX($AT$13:$BB$162,BO2083,0)+INDEX($BD$13:$BL$162,BP2083,0))/100))),0)</f>
        <v/>
      </c>
      <c r="BT2083">
        <f>IF(AND(2070&lt;$U$9,$W$5),BQ2083*1000000-MIN(BR2083,999)*1000+BS2083-2070/100000,-1000000000-2070)</f>
        <v/>
      </c>
    </row>
    <row r="2084">
      <c r="BN2084">
        <f>IF(2071&lt;$U$9,INT(2071/($U$7*$U$8))+1,1)</f>
        <v/>
      </c>
      <c r="BO2084">
        <f>IF(2071&lt;$U$9,MOD(INT(2071/$U$8),$U$7)+1,1)</f>
        <v/>
      </c>
      <c r="BP2084">
        <f>IF(2071&lt;$U$9,MOD(2071,$U$8)+1,1)</f>
        <v/>
      </c>
      <c r="BQ2084">
        <f>IF(2071&lt;$U$9,SUMPRODUCT(($D$10:$L$10&lt;&gt;"")*(($D$9:$L$9+INT(($S$12:$AA$12+INDEX($AJ$13:$AR$162,BN2084,0)+INDEX($AT$13:$BB$162,BO2084,0)+INDEX($BD$13:$BL$162,BP2084,0))/100))&gt;=$D$10:$L$10)),0)</f>
        <v/>
      </c>
      <c r="BR2084">
        <f>IF(2071&lt;$U$9,SUMPRODUCT(($D$10:$L$10&lt;&gt;"")*(($D$10:$L$10-($D$9:$L$9+INT(($S$12:$AA$12+INDEX($AJ$13:$AR$162,BN2084,0)+INDEX($AT$13:$BB$162,BO2084,0)+INDEX($BD$13:$BL$162,BP2084,0))/100)))&gt;0)*($D$10:$L$10-($D$9:$L$9+INT(($S$12:$AA$12+INDEX($AJ$13:$AR$162,BN2084,0)+INDEX($AT$13:$BB$162,BO2084,0)+INDEX($BD$13:$BL$162,BP2084,0))/100)))),0)</f>
        <v/>
      </c>
      <c r="BS2084">
        <f>IF(2071&lt;$U$9,SUMPRODUCT(($D$9:$L$9+INT(($S$12:$AA$12+INDEX($AJ$13:$AR$162,BN2084,0)+INDEX($AT$13:$BB$162,BO2084,0)+INDEX($BD$13:$BL$162,BP2084,0))/100))),0)</f>
        <v/>
      </c>
      <c r="BT2084">
        <f>IF(AND(2071&lt;$U$9,$W$5),BQ2084*1000000-MIN(BR2084,999)*1000+BS2084-2071/100000,-1000000000-2071)</f>
        <v/>
      </c>
    </row>
    <row r="2085">
      <c r="BN2085">
        <f>IF(2072&lt;$U$9,INT(2072/($U$7*$U$8))+1,1)</f>
        <v/>
      </c>
      <c r="BO2085">
        <f>IF(2072&lt;$U$9,MOD(INT(2072/$U$8),$U$7)+1,1)</f>
        <v/>
      </c>
      <c r="BP2085">
        <f>IF(2072&lt;$U$9,MOD(2072,$U$8)+1,1)</f>
        <v/>
      </c>
      <c r="BQ2085">
        <f>IF(2072&lt;$U$9,SUMPRODUCT(($D$10:$L$10&lt;&gt;"")*(($D$9:$L$9+INT(($S$12:$AA$12+INDEX($AJ$13:$AR$162,BN2085,0)+INDEX($AT$13:$BB$162,BO2085,0)+INDEX($BD$13:$BL$162,BP2085,0))/100))&gt;=$D$10:$L$10)),0)</f>
        <v/>
      </c>
      <c r="BR2085">
        <f>IF(2072&lt;$U$9,SUMPRODUCT(($D$10:$L$10&lt;&gt;"")*(($D$10:$L$10-($D$9:$L$9+INT(($S$12:$AA$12+INDEX($AJ$13:$AR$162,BN2085,0)+INDEX($AT$13:$BB$162,BO2085,0)+INDEX($BD$13:$BL$162,BP2085,0))/100)))&gt;0)*($D$10:$L$10-($D$9:$L$9+INT(($S$12:$AA$12+INDEX($AJ$13:$AR$162,BN2085,0)+INDEX($AT$13:$BB$162,BO2085,0)+INDEX($BD$13:$BL$162,BP2085,0))/100)))),0)</f>
        <v/>
      </c>
      <c r="BS2085">
        <f>IF(2072&lt;$U$9,SUMPRODUCT(($D$9:$L$9+INT(($S$12:$AA$12+INDEX($AJ$13:$AR$162,BN2085,0)+INDEX($AT$13:$BB$162,BO2085,0)+INDEX($BD$13:$BL$162,BP2085,0))/100))),0)</f>
        <v/>
      </c>
      <c r="BT2085">
        <f>IF(AND(2072&lt;$U$9,$W$5),BQ2085*1000000-MIN(BR2085,999)*1000+BS2085-2072/100000,-1000000000-2072)</f>
        <v/>
      </c>
    </row>
    <row r="2086">
      <c r="BN2086">
        <f>IF(2073&lt;$U$9,INT(2073/($U$7*$U$8))+1,1)</f>
        <v/>
      </c>
      <c r="BO2086">
        <f>IF(2073&lt;$U$9,MOD(INT(2073/$U$8),$U$7)+1,1)</f>
        <v/>
      </c>
      <c r="BP2086">
        <f>IF(2073&lt;$U$9,MOD(2073,$U$8)+1,1)</f>
        <v/>
      </c>
      <c r="BQ2086">
        <f>IF(2073&lt;$U$9,SUMPRODUCT(($D$10:$L$10&lt;&gt;"")*(($D$9:$L$9+INT(($S$12:$AA$12+INDEX($AJ$13:$AR$162,BN2086,0)+INDEX($AT$13:$BB$162,BO2086,0)+INDEX($BD$13:$BL$162,BP2086,0))/100))&gt;=$D$10:$L$10)),0)</f>
        <v/>
      </c>
      <c r="BR2086">
        <f>IF(2073&lt;$U$9,SUMPRODUCT(($D$10:$L$10&lt;&gt;"")*(($D$10:$L$10-($D$9:$L$9+INT(($S$12:$AA$12+INDEX($AJ$13:$AR$162,BN2086,0)+INDEX($AT$13:$BB$162,BO2086,0)+INDEX($BD$13:$BL$162,BP2086,0))/100)))&gt;0)*($D$10:$L$10-($D$9:$L$9+INT(($S$12:$AA$12+INDEX($AJ$13:$AR$162,BN2086,0)+INDEX($AT$13:$BB$162,BO2086,0)+INDEX($BD$13:$BL$162,BP2086,0))/100)))),0)</f>
        <v/>
      </c>
      <c r="BS2086">
        <f>IF(2073&lt;$U$9,SUMPRODUCT(($D$9:$L$9+INT(($S$12:$AA$12+INDEX($AJ$13:$AR$162,BN2086,0)+INDEX($AT$13:$BB$162,BO2086,0)+INDEX($BD$13:$BL$162,BP2086,0))/100))),0)</f>
        <v/>
      </c>
      <c r="BT2086">
        <f>IF(AND(2073&lt;$U$9,$W$5),BQ2086*1000000-MIN(BR2086,999)*1000+BS2086-2073/100000,-1000000000-2073)</f>
        <v/>
      </c>
    </row>
    <row r="2087">
      <c r="BN2087">
        <f>IF(2074&lt;$U$9,INT(2074/($U$7*$U$8))+1,1)</f>
        <v/>
      </c>
      <c r="BO2087">
        <f>IF(2074&lt;$U$9,MOD(INT(2074/$U$8),$U$7)+1,1)</f>
        <v/>
      </c>
      <c r="BP2087">
        <f>IF(2074&lt;$U$9,MOD(2074,$U$8)+1,1)</f>
        <v/>
      </c>
      <c r="BQ2087">
        <f>IF(2074&lt;$U$9,SUMPRODUCT(($D$10:$L$10&lt;&gt;"")*(($D$9:$L$9+INT(($S$12:$AA$12+INDEX($AJ$13:$AR$162,BN2087,0)+INDEX($AT$13:$BB$162,BO2087,0)+INDEX($BD$13:$BL$162,BP2087,0))/100))&gt;=$D$10:$L$10)),0)</f>
        <v/>
      </c>
      <c r="BR2087">
        <f>IF(2074&lt;$U$9,SUMPRODUCT(($D$10:$L$10&lt;&gt;"")*(($D$10:$L$10-($D$9:$L$9+INT(($S$12:$AA$12+INDEX($AJ$13:$AR$162,BN2087,0)+INDEX($AT$13:$BB$162,BO2087,0)+INDEX($BD$13:$BL$162,BP2087,0))/100)))&gt;0)*($D$10:$L$10-($D$9:$L$9+INT(($S$12:$AA$12+INDEX($AJ$13:$AR$162,BN2087,0)+INDEX($AT$13:$BB$162,BO2087,0)+INDEX($BD$13:$BL$162,BP2087,0))/100)))),0)</f>
        <v/>
      </c>
      <c r="BS2087">
        <f>IF(2074&lt;$U$9,SUMPRODUCT(($D$9:$L$9+INT(($S$12:$AA$12+INDEX($AJ$13:$AR$162,BN2087,0)+INDEX($AT$13:$BB$162,BO2087,0)+INDEX($BD$13:$BL$162,BP2087,0))/100))),0)</f>
        <v/>
      </c>
      <c r="BT2087">
        <f>IF(AND(2074&lt;$U$9,$W$5),BQ2087*1000000-MIN(BR2087,999)*1000+BS2087-2074/100000,-1000000000-2074)</f>
        <v/>
      </c>
    </row>
    <row r="2088">
      <c r="BN2088">
        <f>IF(2075&lt;$U$9,INT(2075/($U$7*$U$8))+1,1)</f>
        <v/>
      </c>
      <c r="BO2088">
        <f>IF(2075&lt;$U$9,MOD(INT(2075/$U$8),$U$7)+1,1)</f>
        <v/>
      </c>
      <c r="BP2088">
        <f>IF(2075&lt;$U$9,MOD(2075,$U$8)+1,1)</f>
        <v/>
      </c>
      <c r="BQ2088">
        <f>IF(2075&lt;$U$9,SUMPRODUCT(($D$10:$L$10&lt;&gt;"")*(($D$9:$L$9+INT(($S$12:$AA$12+INDEX($AJ$13:$AR$162,BN2088,0)+INDEX($AT$13:$BB$162,BO2088,0)+INDEX($BD$13:$BL$162,BP2088,0))/100))&gt;=$D$10:$L$10)),0)</f>
        <v/>
      </c>
      <c r="BR2088">
        <f>IF(2075&lt;$U$9,SUMPRODUCT(($D$10:$L$10&lt;&gt;"")*(($D$10:$L$10-($D$9:$L$9+INT(($S$12:$AA$12+INDEX($AJ$13:$AR$162,BN2088,0)+INDEX($AT$13:$BB$162,BO2088,0)+INDEX($BD$13:$BL$162,BP2088,0))/100)))&gt;0)*($D$10:$L$10-($D$9:$L$9+INT(($S$12:$AA$12+INDEX($AJ$13:$AR$162,BN2088,0)+INDEX($AT$13:$BB$162,BO2088,0)+INDEX($BD$13:$BL$162,BP2088,0))/100)))),0)</f>
        <v/>
      </c>
      <c r="BS2088">
        <f>IF(2075&lt;$U$9,SUMPRODUCT(($D$9:$L$9+INT(($S$12:$AA$12+INDEX($AJ$13:$AR$162,BN2088,0)+INDEX($AT$13:$BB$162,BO2088,0)+INDEX($BD$13:$BL$162,BP2088,0))/100))),0)</f>
        <v/>
      </c>
      <c r="BT2088">
        <f>IF(AND(2075&lt;$U$9,$W$5),BQ2088*1000000-MIN(BR2088,999)*1000+BS2088-2075/100000,-1000000000-2075)</f>
        <v/>
      </c>
    </row>
    <row r="2089">
      <c r="BN2089">
        <f>IF(2076&lt;$U$9,INT(2076/($U$7*$U$8))+1,1)</f>
        <v/>
      </c>
      <c r="BO2089">
        <f>IF(2076&lt;$U$9,MOD(INT(2076/$U$8),$U$7)+1,1)</f>
        <v/>
      </c>
      <c r="BP2089">
        <f>IF(2076&lt;$U$9,MOD(2076,$U$8)+1,1)</f>
        <v/>
      </c>
      <c r="BQ2089">
        <f>IF(2076&lt;$U$9,SUMPRODUCT(($D$10:$L$10&lt;&gt;"")*(($D$9:$L$9+INT(($S$12:$AA$12+INDEX($AJ$13:$AR$162,BN2089,0)+INDEX($AT$13:$BB$162,BO2089,0)+INDEX($BD$13:$BL$162,BP2089,0))/100))&gt;=$D$10:$L$10)),0)</f>
        <v/>
      </c>
      <c r="BR2089">
        <f>IF(2076&lt;$U$9,SUMPRODUCT(($D$10:$L$10&lt;&gt;"")*(($D$10:$L$10-($D$9:$L$9+INT(($S$12:$AA$12+INDEX($AJ$13:$AR$162,BN2089,0)+INDEX($AT$13:$BB$162,BO2089,0)+INDEX($BD$13:$BL$162,BP2089,0))/100)))&gt;0)*($D$10:$L$10-($D$9:$L$9+INT(($S$12:$AA$12+INDEX($AJ$13:$AR$162,BN2089,0)+INDEX($AT$13:$BB$162,BO2089,0)+INDEX($BD$13:$BL$162,BP2089,0))/100)))),0)</f>
        <v/>
      </c>
      <c r="BS2089">
        <f>IF(2076&lt;$U$9,SUMPRODUCT(($D$9:$L$9+INT(($S$12:$AA$12+INDEX($AJ$13:$AR$162,BN2089,0)+INDEX($AT$13:$BB$162,BO2089,0)+INDEX($BD$13:$BL$162,BP2089,0))/100))),0)</f>
        <v/>
      </c>
      <c r="BT2089">
        <f>IF(AND(2076&lt;$U$9,$W$5),BQ2089*1000000-MIN(BR2089,999)*1000+BS2089-2076/100000,-1000000000-2076)</f>
        <v/>
      </c>
    </row>
    <row r="2090">
      <c r="BN2090">
        <f>IF(2077&lt;$U$9,INT(2077/($U$7*$U$8))+1,1)</f>
        <v/>
      </c>
      <c r="BO2090">
        <f>IF(2077&lt;$U$9,MOD(INT(2077/$U$8),$U$7)+1,1)</f>
        <v/>
      </c>
      <c r="BP2090">
        <f>IF(2077&lt;$U$9,MOD(2077,$U$8)+1,1)</f>
        <v/>
      </c>
      <c r="BQ2090">
        <f>IF(2077&lt;$U$9,SUMPRODUCT(($D$10:$L$10&lt;&gt;"")*(($D$9:$L$9+INT(($S$12:$AA$12+INDEX($AJ$13:$AR$162,BN2090,0)+INDEX($AT$13:$BB$162,BO2090,0)+INDEX($BD$13:$BL$162,BP2090,0))/100))&gt;=$D$10:$L$10)),0)</f>
        <v/>
      </c>
      <c r="BR2090">
        <f>IF(2077&lt;$U$9,SUMPRODUCT(($D$10:$L$10&lt;&gt;"")*(($D$10:$L$10-($D$9:$L$9+INT(($S$12:$AA$12+INDEX($AJ$13:$AR$162,BN2090,0)+INDEX($AT$13:$BB$162,BO2090,0)+INDEX($BD$13:$BL$162,BP2090,0))/100)))&gt;0)*($D$10:$L$10-($D$9:$L$9+INT(($S$12:$AA$12+INDEX($AJ$13:$AR$162,BN2090,0)+INDEX($AT$13:$BB$162,BO2090,0)+INDEX($BD$13:$BL$162,BP2090,0))/100)))),0)</f>
        <v/>
      </c>
      <c r="BS2090">
        <f>IF(2077&lt;$U$9,SUMPRODUCT(($D$9:$L$9+INT(($S$12:$AA$12+INDEX($AJ$13:$AR$162,BN2090,0)+INDEX($AT$13:$BB$162,BO2090,0)+INDEX($BD$13:$BL$162,BP2090,0))/100))),0)</f>
        <v/>
      </c>
      <c r="BT2090">
        <f>IF(AND(2077&lt;$U$9,$W$5),BQ2090*1000000-MIN(BR2090,999)*1000+BS2090-2077/100000,-1000000000-2077)</f>
        <v/>
      </c>
    </row>
    <row r="2091">
      <c r="BN2091">
        <f>IF(2078&lt;$U$9,INT(2078/($U$7*$U$8))+1,1)</f>
        <v/>
      </c>
      <c r="BO2091">
        <f>IF(2078&lt;$U$9,MOD(INT(2078/$U$8),$U$7)+1,1)</f>
        <v/>
      </c>
      <c r="BP2091">
        <f>IF(2078&lt;$U$9,MOD(2078,$U$8)+1,1)</f>
        <v/>
      </c>
      <c r="BQ2091">
        <f>IF(2078&lt;$U$9,SUMPRODUCT(($D$10:$L$10&lt;&gt;"")*(($D$9:$L$9+INT(($S$12:$AA$12+INDEX($AJ$13:$AR$162,BN2091,0)+INDEX($AT$13:$BB$162,BO2091,0)+INDEX($BD$13:$BL$162,BP2091,0))/100))&gt;=$D$10:$L$10)),0)</f>
        <v/>
      </c>
      <c r="BR2091">
        <f>IF(2078&lt;$U$9,SUMPRODUCT(($D$10:$L$10&lt;&gt;"")*(($D$10:$L$10-($D$9:$L$9+INT(($S$12:$AA$12+INDEX($AJ$13:$AR$162,BN2091,0)+INDEX($AT$13:$BB$162,BO2091,0)+INDEX($BD$13:$BL$162,BP2091,0))/100)))&gt;0)*($D$10:$L$10-($D$9:$L$9+INT(($S$12:$AA$12+INDEX($AJ$13:$AR$162,BN2091,0)+INDEX($AT$13:$BB$162,BO2091,0)+INDEX($BD$13:$BL$162,BP2091,0))/100)))),0)</f>
        <v/>
      </c>
      <c r="BS2091">
        <f>IF(2078&lt;$U$9,SUMPRODUCT(($D$9:$L$9+INT(($S$12:$AA$12+INDEX($AJ$13:$AR$162,BN2091,0)+INDEX($AT$13:$BB$162,BO2091,0)+INDEX($BD$13:$BL$162,BP2091,0))/100))),0)</f>
        <v/>
      </c>
      <c r="BT2091">
        <f>IF(AND(2078&lt;$U$9,$W$5),BQ2091*1000000-MIN(BR2091,999)*1000+BS2091-2078/100000,-1000000000-2078)</f>
        <v/>
      </c>
    </row>
    <row r="2092">
      <c r="BN2092">
        <f>IF(2079&lt;$U$9,INT(2079/($U$7*$U$8))+1,1)</f>
        <v/>
      </c>
      <c r="BO2092">
        <f>IF(2079&lt;$U$9,MOD(INT(2079/$U$8),$U$7)+1,1)</f>
        <v/>
      </c>
      <c r="BP2092">
        <f>IF(2079&lt;$U$9,MOD(2079,$U$8)+1,1)</f>
        <v/>
      </c>
      <c r="BQ2092">
        <f>IF(2079&lt;$U$9,SUMPRODUCT(($D$10:$L$10&lt;&gt;"")*(($D$9:$L$9+INT(($S$12:$AA$12+INDEX($AJ$13:$AR$162,BN2092,0)+INDEX($AT$13:$BB$162,BO2092,0)+INDEX($BD$13:$BL$162,BP2092,0))/100))&gt;=$D$10:$L$10)),0)</f>
        <v/>
      </c>
      <c r="BR2092">
        <f>IF(2079&lt;$U$9,SUMPRODUCT(($D$10:$L$10&lt;&gt;"")*(($D$10:$L$10-($D$9:$L$9+INT(($S$12:$AA$12+INDEX($AJ$13:$AR$162,BN2092,0)+INDEX($AT$13:$BB$162,BO2092,0)+INDEX($BD$13:$BL$162,BP2092,0))/100)))&gt;0)*($D$10:$L$10-($D$9:$L$9+INT(($S$12:$AA$12+INDEX($AJ$13:$AR$162,BN2092,0)+INDEX($AT$13:$BB$162,BO2092,0)+INDEX($BD$13:$BL$162,BP2092,0))/100)))),0)</f>
        <v/>
      </c>
      <c r="BS2092">
        <f>IF(2079&lt;$U$9,SUMPRODUCT(($D$9:$L$9+INT(($S$12:$AA$12+INDEX($AJ$13:$AR$162,BN2092,0)+INDEX($AT$13:$BB$162,BO2092,0)+INDEX($BD$13:$BL$162,BP2092,0))/100))),0)</f>
        <v/>
      </c>
      <c r="BT2092">
        <f>IF(AND(2079&lt;$U$9,$W$5),BQ2092*1000000-MIN(BR2092,999)*1000+BS2092-2079/100000,-1000000000-2079)</f>
        <v/>
      </c>
    </row>
    <row r="2093">
      <c r="BN2093">
        <f>IF(2080&lt;$U$9,INT(2080/($U$7*$U$8))+1,1)</f>
        <v/>
      </c>
      <c r="BO2093">
        <f>IF(2080&lt;$U$9,MOD(INT(2080/$U$8),$U$7)+1,1)</f>
        <v/>
      </c>
      <c r="BP2093">
        <f>IF(2080&lt;$U$9,MOD(2080,$U$8)+1,1)</f>
        <v/>
      </c>
      <c r="BQ2093">
        <f>IF(2080&lt;$U$9,SUMPRODUCT(($D$10:$L$10&lt;&gt;"")*(($D$9:$L$9+INT(($S$12:$AA$12+INDEX($AJ$13:$AR$162,BN2093,0)+INDEX($AT$13:$BB$162,BO2093,0)+INDEX($BD$13:$BL$162,BP2093,0))/100))&gt;=$D$10:$L$10)),0)</f>
        <v/>
      </c>
      <c r="BR2093">
        <f>IF(2080&lt;$U$9,SUMPRODUCT(($D$10:$L$10&lt;&gt;"")*(($D$10:$L$10-($D$9:$L$9+INT(($S$12:$AA$12+INDEX($AJ$13:$AR$162,BN2093,0)+INDEX($AT$13:$BB$162,BO2093,0)+INDEX($BD$13:$BL$162,BP2093,0))/100)))&gt;0)*($D$10:$L$10-($D$9:$L$9+INT(($S$12:$AA$12+INDEX($AJ$13:$AR$162,BN2093,0)+INDEX($AT$13:$BB$162,BO2093,0)+INDEX($BD$13:$BL$162,BP2093,0))/100)))),0)</f>
        <v/>
      </c>
      <c r="BS2093">
        <f>IF(2080&lt;$U$9,SUMPRODUCT(($D$9:$L$9+INT(($S$12:$AA$12+INDEX($AJ$13:$AR$162,BN2093,0)+INDEX($AT$13:$BB$162,BO2093,0)+INDEX($BD$13:$BL$162,BP2093,0))/100))),0)</f>
        <v/>
      </c>
      <c r="BT2093">
        <f>IF(AND(2080&lt;$U$9,$W$5),BQ2093*1000000-MIN(BR2093,999)*1000+BS2093-2080/100000,-1000000000-2080)</f>
        <v/>
      </c>
    </row>
    <row r="2094">
      <c r="BN2094">
        <f>IF(2081&lt;$U$9,INT(2081/($U$7*$U$8))+1,1)</f>
        <v/>
      </c>
      <c r="BO2094">
        <f>IF(2081&lt;$U$9,MOD(INT(2081/$U$8),$U$7)+1,1)</f>
        <v/>
      </c>
      <c r="BP2094">
        <f>IF(2081&lt;$U$9,MOD(2081,$U$8)+1,1)</f>
        <v/>
      </c>
      <c r="BQ2094">
        <f>IF(2081&lt;$U$9,SUMPRODUCT(($D$10:$L$10&lt;&gt;"")*(($D$9:$L$9+INT(($S$12:$AA$12+INDEX($AJ$13:$AR$162,BN2094,0)+INDEX($AT$13:$BB$162,BO2094,0)+INDEX($BD$13:$BL$162,BP2094,0))/100))&gt;=$D$10:$L$10)),0)</f>
        <v/>
      </c>
      <c r="BR2094">
        <f>IF(2081&lt;$U$9,SUMPRODUCT(($D$10:$L$10&lt;&gt;"")*(($D$10:$L$10-($D$9:$L$9+INT(($S$12:$AA$12+INDEX($AJ$13:$AR$162,BN2094,0)+INDEX($AT$13:$BB$162,BO2094,0)+INDEX($BD$13:$BL$162,BP2094,0))/100)))&gt;0)*($D$10:$L$10-($D$9:$L$9+INT(($S$12:$AA$12+INDEX($AJ$13:$AR$162,BN2094,0)+INDEX($AT$13:$BB$162,BO2094,0)+INDEX($BD$13:$BL$162,BP2094,0))/100)))),0)</f>
        <v/>
      </c>
      <c r="BS2094">
        <f>IF(2081&lt;$U$9,SUMPRODUCT(($D$9:$L$9+INT(($S$12:$AA$12+INDEX($AJ$13:$AR$162,BN2094,0)+INDEX($AT$13:$BB$162,BO2094,0)+INDEX($BD$13:$BL$162,BP2094,0))/100))),0)</f>
        <v/>
      </c>
      <c r="BT2094">
        <f>IF(AND(2081&lt;$U$9,$W$5),BQ2094*1000000-MIN(BR2094,999)*1000+BS2094-2081/100000,-1000000000-2081)</f>
        <v/>
      </c>
    </row>
    <row r="2095">
      <c r="BN2095">
        <f>IF(2082&lt;$U$9,INT(2082/($U$7*$U$8))+1,1)</f>
        <v/>
      </c>
      <c r="BO2095">
        <f>IF(2082&lt;$U$9,MOD(INT(2082/$U$8),$U$7)+1,1)</f>
        <v/>
      </c>
      <c r="BP2095">
        <f>IF(2082&lt;$U$9,MOD(2082,$U$8)+1,1)</f>
        <v/>
      </c>
      <c r="BQ2095">
        <f>IF(2082&lt;$U$9,SUMPRODUCT(($D$10:$L$10&lt;&gt;"")*(($D$9:$L$9+INT(($S$12:$AA$12+INDEX($AJ$13:$AR$162,BN2095,0)+INDEX($AT$13:$BB$162,BO2095,0)+INDEX($BD$13:$BL$162,BP2095,0))/100))&gt;=$D$10:$L$10)),0)</f>
        <v/>
      </c>
      <c r="BR2095">
        <f>IF(2082&lt;$U$9,SUMPRODUCT(($D$10:$L$10&lt;&gt;"")*(($D$10:$L$10-($D$9:$L$9+INT(($S$12:$AA$12+INDEX($AJ$13:$AR$162,BN2095,0)+INDEX($AT$13:$BB$162,BO2095,0)+INDEX($BD$13:$BL$162,BP2095,0))/100)))&gt;0)*($D$10:$L$10-($D$9:$L$9+INT(($S$12:$AA$12+INDEX($AJ$13:$AR$162,BN2095,0)+INDEX($AT$13:$BB$162,BO2095,0)+INDEX($BD$13:$BL$162,BP2095,0))/100)))),0)</f>
        <v/>
      </c>
      <c r="BS2095">
        <f>IF(2082&lt;$U$9,SUMPRODUCT(($D$9:$L$9+INT(($S$12:$AA$12+INDEX($AJ$13:$AR$162,BN2095,0)+INDEX($AT$13:$BB$162,BO2095,0)+INDEX($BD$13:$BL$162,BP2095,0))/100))),0)</f>
        <v/>
      </c>
      <c r="BT2095">
        <f>IF(AND(2082&lt;$U$9,$W$5),BQ2095*1000000-MIN(BR2095,999)*1000+BS2095-2082/100000,-1000000000-2082)</f>
        <v/>
      </c>
    </row>
    <row r="2096">
      <c r="BN2096">
        <f>IF(2083&lt;$U$9,INT(2083/($U$7*$U$8))+1,1)</f>
        <v/>
      </c>
      <c r="BO2096">
        <f>IF(2083&lt;$U$9,MOD(INT(2083/$U$8),$U$7)+1,1)</f>
        <v/>
      </c>
      <c r="BP2096">
        <f>IF(2083&lt;$U$9,MOD(2083,$U$8)+1,1)</f>
        <v/>
      </c>
      <c r="BQ2096">
        <f>IF(2083&lt;$U$9,SUMPRODUCT(($D$10:$L$10&lt;&gt;"")*(($D$9:$L$9+INT(($S$12:$AA$12+INDEX($AJ$13:$AR$162,BN2096,0)+INDEX($AT$13:$BB$162,BO2096,0)+INDEX($BD$13:$BL$162,BP2096,0))/100))&gt;=$D$10:$L$10)),0)</f>
        <v/>
      </c>
      <c r="BR2096">
        <f>IF(2083&lt;$U$9,SUMPRODUCT(($D$10:$L$10&lt;&gt;"")*(($D$10:$L$10-($D$9:$L$9+INT(($S$12:$AA$12+INDEX($AJ$13:$AR$162,BN2096,0)+INDEX($AT$13:$BB$162,BO2096,0)+INDEX($BD$13:$BL$162,BP2096,0))/100)))&gt;0)*($D$10:$L$10-($D$9:$L$9+INT(($S$12:$AA$12+INDEX($AJ$13:$AR$162,BN2096,0)+INDEX($AT$13:$BB$162,BO2096,0)+INDEX($BD$13:$BL$162,BP2096,0))/100)))),0)</f>
        <v/>
      </c>
      <c r="BS2096">
        <f>IF(2083&lt;$U$9,SUMPRODUCT(($D$9:$L$9+INT(($S$12:$AA$12+INDEX($AJ$13:$AR$162,BN2096,0)+INDEX($AT$13:$BB$162,BO2096,0)+INDEX($BD$13:$BL$162,BP2096,0))/100))),0)</f>
        <v/>
      </c>
      <c r="BT2096">
        <f>IF(AND(2083&lt;$U$9,$W$5),BQ2096*1000000-MIN(BR2096,999)*1000+BS2096-2083/100000,-1000000000-2083)</f>
        <v/>
      </c>
    </row>
    <row r="2097">
      <c r="BN2097">
        <f>IF(2084&lt;$U$9,INT(2084/($U$7*$U$8))+1,1)</f>
        <v/>
      </c>
      <c r="BO2097">
        <f>IF(2084&lt;$U$9,MOD(INT(2084/$U$8),$U$7)+1,1)</f>
        <v/>
      </c>
      <c r="BP2097">
        <f>IF(2084&lt;$U$9,MOD(2084,$U$8)+1,1)</f>
        <v/>
      </c>
      <c r="BQ2097">
        <f>IF(2084&lt;$U$9,SUMPRODUCT(($D$10:$L$10&lt;&gt;"")*(($D$9:$L$9+INT(($S$12:$AA$12+INDEX($AJ$13:$AR$162,BN2097,0)+INDEX($AT$13:$BB$162,BO2097,0)+INDEX($BD$13:$BL$162,BP2097,0))/100))&gt;=$D$10:$L$10)),0)</f>
        <v/>
      </c>
      <c r="BR2097">
        <f>IF(2084&lt;$U$9,SUMPRODUCT(($D$10:$L$10&lt;&gt;"")*(($D$10:$L$10-($D$9:$L$9+INT(($S$12:$AA$12+INDEX($AJ$13:$AR$162,BN2097,0)+INDEX($AT$13:$BB$162,BO2097,0)+INDEX($BD$13:$BL$162,BP2097,0))/100)))&gt;0)*($D$10:$L$10-($D$9:$L$9+INT(($S$12:$AA$12+INDEX($AJ$13:$AR$162,BN2097,0)+INDEX($AT$13:$BB$162,BO2097,0)+INDEX($BD$13:$BL$162,BP2097,0))/100)))),0)</f>
        <v/>
      </c>
      <c r="BS2097">
        <f>IF(2084&lt;$U$9,SUMPRODUCT(($D$9:$L$9+INT(($S$12:$AA$12+INDEX($AJ$13:$AR$162,BN2097,0)+INDEX($AT$13:$BB$162,BO2097,0)+INDEX($BD$13:$BL$162,BP2097,0))/100))),0)</f>
        <v/>
      </c>
      <c r="BT2097">
        <f>IF(AND(2084&lt;$U$9,$W$5),BQ2097*1000000-MIN(BR2097,999)*1000+BS2097-2084/100000,-1000000000-2084)</f>
        <v/>
      </c>
    </row>
    <row r="2098">
      <c r="BN2098">
        <f>IF(2085&lt;$U$9,INT(2085/($U$7*$U$8))+1,1)</f>
        <v/>
      </c>
      <c r="BO2098">
        <f>IF(2085&lt;$U$9,MOD(INT(2085/$U$8),$U$7)+1,1)</f>
        <v/>
      </c>
      <c r="BP2098">
        <f>IF(2085&lt;$U$9,MOD(2085,$U$8)+1,1)</f>
        <v/>
      </c>
      <c r="BQ2098">
        <f>IF(2085&lt;$U$9,SUMPRODUCT(($D$10:$L$10&lt;&gt;"")*(($D$9:$L$9+INT(($S$12:$AA$12+INDEX($AJ$13:$AR$162,BN2098,0)+INDEX($AT$13:$BB$162,BO2098,0)+INDEX($BD$13:$BL$162,BP2098,0))/100))&gt;=$D$10:$L$10)),0)</f>
        <v/>
      </c>
      <c r="BR2098">
        <f>IF(2085&lt;$U$9,SUMPRODUCT(($D$10:$L$10&lt;&gt;"")*(($D$10:$L$10-($D$9:$L$9+INT(($S$12:$AA$12+INDEX($AJ$13:$AR$162,BN2098,0)+INDEX($AT$13:$BB$162,BO2098,0)+INDEX($BD$13:$BL$162,BP2098,0))/100)))&gt;0)*($D$10:$L$10-($D$9:$L$9+INT(($S$12:$AA$12+INDEX($AJ$13:$AR$162,BN2098,0)+INDEX($AT$13:$BB$162,BO2098,0)+INDEX($BD$13:$BL$162,BP2098,0))/100)))),0)</f>
        <v/>
      </c>
      <c r="BS2098">
        <f>IF(2085&lt;$U$9,SUMPRODUCT(($D$9:$L$9+INT(($S$12:$AA$12+INDEX($AJ$13:$AR$162,BN2098,0)+INDEX($AT$13:$BB$162,BO2098,0)+INDEX($BD$13:$BL$162,BP2098,0))/100))),0)</f>
        <v/>
      </c>
      <c r="BT2098">
        <f>IF(AND(2085&lt;$U$9,$W$5),BQ2098*1000000-MIN(BR2098,999)*1000+BS2098-2085/100000,-1000000000-2085)</f>
        <v/>
      </c>
    </row>
    <row r="2099">
      <c r="BN2099">
        <f>IF(2086&lt;$U$9,INT(2086/($U$7*$U$8))+1,1)</f>
        <v/>
      </c>
      <c r="BO2099">
        <f>IF(2086&lt;$U$9,MOD(INT(2086/$U$8),$U$7)+1,1)</f>
        <v/>
      </c>
      <c r="BP2099">
        <f>IF(2086&lt;$U$9,MOD(2086,$U$8)+1,1)</f>
        <v/>
      </c>
      <c r="BQ2099">
        <f>IF(2086&lt;$U$9,SUMPRODUCT(($D$10:$L$10&lt;&gt;"")*(($D$9:$L$9+INT(($S$12:$AA$12+INDEX($AJ$13:$AR$162,BN2099,0)+INDEX($AT$13:$BB$162,BO2099,0)+INDEX($BD$13:$BL$162,BP2099,0))/100))&gt;=$D$10:$L$10)),0)</f>
        <v/>
      </c>
      <c r="BR2099">
        <f>IF(2086&lt;$U$9,SUMPRODUCT(($D$10:$L$10&lt;&gt;"")*(($D$10:$L$10-($D$9:$L$9+INT(($S$12:$AA$12+INDEX($AJ$13:$AR$162,BN2099,0)+INDEX($AT$13:$BB$162,BO2099,0)+INDEX($BD$13:$BL$162,BP2099,0))/100)))&gt;0)*($D$10:$L$10-($D$9:$L$9+INT(($S$12:$AA$12+INDEX($AJ$13:$AR$162,BN2099,0)+INDEX($AT$13:$BB$162,BO2099,0)+INDEX($BD$13:$BL$162,BP2099,0))/100)))),0)</f>
        <v/>
      </c>
      <c r="BS2099">
        <f>IF(2086&lt;$U$9,SUMPRODUCT(($D$9:$L$9+INT(($S$12:$AA$12+INDEX($AJ$13:$AR$162,BN2099,0)+INDEX($AT$13:$BB$162,BO2099,0)+INDEX($BD$13:$BL$162,BP2099,0))/100))),0)</f>
        <v/>
      </c>
      <c r="BT2099">
        <f>IF(AND(2086&lt;$U$9,$W$5),BQ2099*1000000-MIN(BR2099,999)*1000+BS2099-2086/100000,-1000000000-2086)</f>
        <v/>
      </c>
    </row>
    <row r="2100">
      <c r="BN2100">
        <f>IF(2087&lt;$U$9,INT(2087/($U$7*$U$8))+1,1)</f>
        <v/>
      </c>
      <c r="BO2100">
        <f>IF(2087&lt;$U$9,MOD(INT(2087/$U$8),$U$7)+1,1)</f>
        <v/>
      </c>
      <c r="BP2100">
        <f>IF(2087&lt;$U$9,MOD(2087,$U$8)+1,1)</f>
        <v/>
      </c>
      <c r="BQ2100">
        <f>IF(2087&lt;$U$9,SUMPRODUCT(($D$10:$L$10&lt;&gt;"")*(($D$9:$L$9+INT(($S$12:$AA$12+INDEX($AJ$13:$AR$162,BN2100,0)+INDEX($AT$13:$BB$162,BO2100,0)+INDEX($BD$13:$BL$162,BP2100,0))/100))&gt;=$D$10:$L$10)),0)</f>
        <v/>
      </c>
      <c r="BR2100">
        <f>IF(2087&lt;$U$9,SUMPRODUCT(($D$10:$L$10&lt;&gt;"")*(($D$10:$L$10-($D$9:$L$9+INT(($S$12:$AA$12+INDEX($AJ$13:$AR$162,BN2100,0)+INDEX($AT$13:$BB$162,BO2100,0)+INDEX($BD$13:$BL$162,BP2100,0))/100)))&gt;0)*($D$10:$L$10-($D$9:$L$9+INT(($S$12:$AA$12+INDEX($AJ$13:$AR$162,BN2100,0)+INDEX($AT$13:$BB$162,BO2100,0)+INDEX($BD$13:$BL$162,BP2100,0))/100)))),0)</f>
        <v/>
      </c>
      <c r="BS2100">
        <f>IF(2087&lt;$U$9,SUMPRODUCT(($D$9:$L$9+INT(($S$12:$AA$12+INDEX($AJ$13:$AR$162,BN2100,0)+INDEX($AT$13:$BB$162,BO2100,0)+INDEX($BD$13:$BL$162,BP2100,0))/100))),0)</f>
        <v/>
      </c>
      <c r="BT2100">
        <f>IF(AND(2087&lt;$U$9,$W$5),BQ2100*1000000-MIN(BR2100,999)*1000+BS2100-2087/100000,-1000000000-2087)</f>
        <v/>
      </c>
    </row>
    <row r="2101">
      <c r="BN2101">
        <f>IF(2088&lt;$U$9,INT(2088/($U$7*$U$8))+1,1)</f>
        <v/>
      </c>
      <c r="BO2101">
        <f>IF(2088&lt;$U$9,MOD(INT(2088/$U$8),$U$7)+1,1)</f>
        <v/>
      </c>
      <c r="BP2101">
        <f>IF(2088&lt;$U$9,MOD(2088,$U$8)+1,1)</f>
        <v/>
      </c>
      <c r="BQ2101">
        <f>IF(2088&lt;$U$9,SUMPRODUCT(($D$10:$L$10&lt;&gt;"")*(($D$9:$L$9+INT(($S$12:$AA$12+INDEX($AJ$13:$AR$162,BN2101,0)+INDEX($AT$13:$BB$162,BO2101,0)+INDEX($BD$13:$BL$162,BP2101,0))/100))&gt;=$D$10:$L$10)),0)</f>
        <v/>
      </c>
      <c r="BR2101">
        <f>IF(2088&lt;$U$9,SUMPRODUCT(($D$10:$L$10&lt;&gt;"")*(($D$10:$L$10-($D$9:$L$9+INT(($S$12:$AA$12+INDEX($AJ$13:$AR$162,BN2101,0)+INDEX($AT$13:$BB$162,BO2101,0)+INDEX($BD$13:$BL$162,BP2101,0))/100)))&gt;0)*($D$10:$L$10-($D$9:$L$9+INT(($S$12:$AA$12+INDEX($AJ$13:$AR$162,BN2101,0)+INDEX($AT$13:$BB$162,BO2101,0)+INDEX($BD$13:$BL$162,BP2101,0))/100)))),0)</f>
        <v/>
      </c>
      <c r="BS2101">
        <f>IF(2088&lt;$U$9,SUMPRODUCT(($D$9:$L$9+INT(($S$12:$AA$12+INDEX($AJ$13:$AR$162,BN2101,0)+INDEX($AT$13:$BB$162,BO2101,0)+INDEX($BD$13:$BL$162,BP2101,0))/100))),0)</f>
        <v/>
      </c>
      <c r="BT2101">
        <f>IF(AND(2088&lt;$U$9,$W$5),BQ2101*1000000-MIN(BR2101,999)*1000+BS2101-2088/100000,-1000000000-2088)</f>
        <v/>
      </c>
    </row>
    <row r="2102">
      <c r="BN2102">
        <f>IF(2089&lt;$U$9,INT(2089/($U$7*$U$8))+1,1)</f>
        <v/>
      </c>
      <c r="BO2102">
        <f>IF(2089&lt;$U$9,MOD(INT(2089/$U$8),$U$7)+1,1)</f>
        <v/>
      </c>
      <c r="BP2102">
        <f>IF(2089&lt;$U$9,MOD(2089,$U$8)+1,1)</f>
        <v/>
      </c>
      <c r="BQ2102">
        <f>IF(2089&lt;$U$9,SUMPRODUCT(($D$10:$L$10&lt;&gt;"")*(($D$9:$L$9+INT(($S$12:$AA$12+INDEX($AJ$13:$AR$162,BN2102,0)+INDEX($AT$13:$BB$162,BO2102,0)+INDEX($BD$13:$BL$162,BP2102,0))/100))&gt;=$D$10:$L$10)),0)</f>
        <v/>
      </c>
      <c r="BR2102">
        <f>IF(2089&lt;$U$9,SUMPRODUCT(($D$10:$L$10&lt;&gt;"")*(($D$10:$L$10-($D$9:$L$9+INT(($S$12:$AA$12+INDEX($AJ$13:$AR$162,BN2102,0)+INDEX($AT$13:$BB$162,BO2102,0)+INDEX($BD$13:$BL$162,BP2102,0))/100)))&gt;0)*($D$10:$L$10-($D$9:$L$9+INT(($S$12:$AA$12+INDEX($AJ$13:$AR$162,BN2102,0)+INDEX($AT$13:$BB$162,BO2102,0)+INDEX($BD$13:$BL$162,BP2102,0))/100)))),0)</f>
        <v/>
      </c>
      <c r="BS2102">
        <f>IF(2089&lt;$U$9,SUMPRODUCT(($D$9:$L$9+INT(($S$12:$AA$12+INDEX($AJ$13:$AR$162,BN2102,0)+INDEX($AT$13:$BB$162,BO2102,0)+INDEX($BD$13:$BL$162,BP2102,0))/100))),0)</f>
        <v/>
      </c>
      <c r="BT2102">
        <f>IF(AND(2089&lt;$U$9,$W$5),BQ2102*1000000-MIN(BR2102,999)*1000+BS2102-2089/100000,-1000000000-2089)</f>
        <v/>
      </c>
    </row>
    <row r="2103">
      <c r="BN2103">
        <f>IF(2090&lt;$U$9,INT(2090/($U$7*$U$8))+1,1)</f>
        <v/>
      </c>
      <c r="BO2103">
        <f>IF(2090&lt;$U$9,MOD(INT(2090/$U$8),$U$7)+1,1)</f>
        <v/>
      </c>
      <c r="BP2103">
        <f>IF(2090&lt;$U$9,MOD(2090,$U$8)+1,1)</f>
        <v/>
      </c>
      <c r="BQ2103">
        <f>IF(2090&lt;$U$9,SUMPRODUCT(($D$10:$L$10&lt;&gt;"")*(($D$9:$L$9+INT(($S$12:$AA$12+INDEX($AJ$13:$AR$162,BN2103,0)+INDEX($AT$13:$BB$162,BO2103,0)+INDEX($BD$13:$BL$162,BP2103,0))/100))&gt;=$D$10:$L$10)),0)</f>
        <v/>
      </c>
      <c r="BR2103">
        <f>IF(2090&lt;$U$9,SUMPRODUCT(($D$10:$L$10&lt;&gt;"")*(($D$10:$L$10-($D$9:$L$9+INT(($S$12:$AA$12+INDEX($AJ$13:$AR$162,BN2103,0)+INDEX($AT$13:$BB$162,BO2103,0)+INDEX($BD$13:$BL$162,BP2103,0))/100)))&gt;0)*($D$10:$L$10-($D$9:$L$9+INT(($S$12:$AA$12+INDEX($AJ$13:$AR$162,BN2103,0)+INDEX($AT$13:$BB$162,BO2103,0)+INDEX($BD$13:$BL$162,BP2103,0))/100)))),0)</f>
        <v/>
      </c>
      <c r="BS2103">
        <f>IF(2090&lt;$U$9,SUMPRODUCT(($D$9:$L$9+INT(($S$12:$AA$12+INDEX($AJ$13:$AR$162,BN2103,0)+INDEX($AT$13:$BB$162,BO2103,0)+INDEX($BD$13:$BL$162,BP2103,0))/100))),0)</f>
        <v/>
      </c>
      <c r="BT2103">
        <f>IF(AND(2090&lt;$U$9,$W$5),BQ2103*1000000-MIN(BR2103,999)*1000+BS2103-2090/100000,-1000000000-2090)</f>
        <v/>
      </c>
    </row>
    <row r="2104">
      <c r="BN2104">
        <f>IF(2091&lt;$U$9,INT(2091/($U$7*$U$8))+1,1)</f>
        <v/>
      </c>
      <c r="BO2104">
        <f>IF(2091&lt;$U$9,MOD(INT(2091/$U$8),$U$7)+1,1)</f>
        <v/>
      </c>
      <c r="BP2104">
        <f>IF(2091&lt;$U$9,MOD(2091,$U$8)+1,1)</f>
        <v/>
      </c>
      <c r="BQ2104">
        <f>IF(2091&lt;$U$9,SUMPRODUCT(($D$10:$L$10&lt;&gt;"")*(($D$9:$L$9+INT(($S$12:$AA$12+INDEX($AJ$13:$AR$162,BN2104,0)+INDEX($AT$13:$BB$162,BO2104,0)+INDEX($BD$13:$BL$162,BP2104,0))/100))&gt;=$D$10:$L$10)),0)</f>
        <v/>
      </c>
      <c r="BR2104">
        <f>IF(2091&lt;$U$9,SUMPRODUCT(($D$10:$L$10&lt;&gt;"")*(($D$10:$L$10-($D$9:$L$9+INT(($S$12:$AA$12+INDEX($AJ$13:$AR$162,BN2104,0)+INDEX($AT$13:$BB$162,BO2104,0)+INDEX($BD$13:$BL$162,BP2104,0))/100)))&gt;0)*($D$10:$L$10-($D$9:$L$9+INT(($S$12:$AA$12+INDEX($AJ$13:$AR$162,BN2104,0)+INDEX($AT$13:$BB$162,BO2104,0)+INDEX($BD$13:$BL$162,BP2104,0))/100)))),0)</f>
        <v/>
      </c>
      <c r="BS2104">
        <f>IF(2091&lt;$U$9,SUMPRODUCT(($D$9:$L$9+INT(($S$12:$AA$12+INDEX($AJ$13:$AR$162,BN2104,0)+INDEX($AT$13:$BB$162,BO2104,0)+INDEX($BD$13:$BL$162,BP2104,0))/100))),0)</f>
        <v/>
      </c>
      <c r="BT2104">
        <f>IF(AND(2091&lt;$U$9,$W$5),BQ2104*1000000-MIN(BR2104,999)*1000+BS2104-2091/100000,-1000000000-2091)</f>
        <v/>
      </c>
    </row>
    <row r="2105">
      <c r="BN2105">
        <f>IF(2092&lt;$U$9,INT(2092/($U$7*$U$8))+1,1)</f>
        <v/>
      </c>
      <c r="BO2105">
        <f>IF(2092&lt;$U$9,MOD(INT(2092/$U$8),$U$7)+1,1)</f>
        <v/>
      </c>
      <c r="BP2105">
        <f>IF(2092&lt;$U$9,MOD(2092,$U$8)+1,1)</f>
        <v/>
      </c>
      <c r="BQ2105">
        <f>IF(2092&lt;$U$9,SUMPRODUCT(($D$10:$L$10&lt;&gt;"")*(($D$9:$L$9+INT(($S$12:$AA$12+INDEX($AJ$13:$AR$162,BN2105,0)+INDEX($AT$13:$BB$162,BO2105,0)+INDEX($BD$13:$BL$162,BP2105,0))/100))&gt;=$D$10:$L$10)),0)</f>
        <v/>
      </c>
      <c r="BR2105">
        <f>IF(2092&lt;$U$9,SUMPRODUCT(($D$10:$L$10&lt;&gt;"")*(($D$10:$L$10-($D$9:$L$9+INT(($S$12:$AA$12+INDEX($AJ$13:$AR$162,BN2105,0)+INDEX($AT$13:$BB$162,BO2105,0)+INDEX($BD$13:$BL$162,BP2105,0))/100)))&gt;0)*($D$10:$L$10-($D$9:$L$9+INT(($S$12:$AA$12+INDEX($AJ$13:$AR$162,BN2105,0)+INDEX($AT$13:$BB$162,BO2105,0)+INDEX($BD$13:$BL$162,BP2105,0))/100)))),0)</f>
        <v/>
      </c>
      <c r="BS2105">
        <f>IF(2092&lt;$U$9,SUMPRODUCT(($D$9:$L$9+INT(($S$12:$AA$12+INDEX($AJ$13:$AR$162,BN2105,0)+INDEX($AT$13:$BB$162,BO2105,0)+INDEX($BD$13:$BL$162,BP2105,0))/100))),0)</f>
        <v/>
      </c>
      <c r="BT2105">
        <f>IF(AND(2092&lt;$U$9,$W$5),BQ2105*1000000-MIN(BR2105,999)*1000+BS2105-2092/100000,-1000000000-2092)</f>
        <v/>
      </c>
    </row>
    <row r="2106">
      <c r="BN2106">
        <f>IF(2093&lt;$U$9,INT(2093/($U$7*$U$8))+1,1)</f>
        <v/>
      </c>
      <c r="BO2106">
        <f>IF(2093&lt;$U$9,MOD(INT(2093/$U$8),$U$7)+1,1)</f>
        <v/>
      </c>
      <c r="BP2106">
        <f>IF(2093&lt;$U$9,MOD(2093,$U$8)+1,1)</f>
        <v/>
      </c>
      <c r="BQ2106">
        <f>IF(2093&lt;$U$9,SUMPRODUCT(($D$10:$L$10&lt;&gt;"")*(($D$9:$L$9+INT(($S$12:$AA$12+INDEX($AJ$13:$AR$162,BN2106,0)+INDEX($AT$13:$BB$162,BO2106,0)+INDEX($BD$13:$BL$162,BP2106,0))/100))&gt;=$D$10:$L$10)),0)</f>
        <v/>
      </c>
      <c r="BR2106">
        <f>IF(2093&lt;$U$9,SUMPRODUCT(($D$10:$L$10&lt;&gt;"")*(($D$10:$L$10-($D$9:$L$9+INT(($S$12:$AA$12+INDEX($AJ$13:$AR$162,BN2106,0)+INDEX($AT$13:$BB$162,BO2106,0)+INDEX($BD$13:$BL$162,BP2106,0))/100)))&gt;0)*($D$10:$L$10-($D$9:$L$9+INT(($S$12:$AA$12+INDEX($AJ$13:$AR$162,BN2106,0)+INDEX($AT$13:$BB$162,BO2106,0)+INDEX($BD$13:$BL$162,BP2106,0))/100)))),0)</f>
        <v/>
      </c>
      <c r="BS2106">
        <f>IF(2093&lt;$U$9,SUMPRODUCT(($D$9:$L$9+INT(($S$12:$AA$12+INDEX($AJ$13:$AR$162,BN2106,0)+INDEX($AT$13:$BB$162,BO2106,0)+INDEX($BD$13:$BL$162,BP2106,0))/100))),0)</f>
        <v/>
      </c>
      <c r="BT2106">
        <f>IF(AND(2093&lt;$U$9,$W$5),BQ2106*1000000-MIN(BR2106,999)*1000+BS2106-2093/100000,-1000000000-2093)</f>
        <v/>
      </c>
    </row>
    <row r="2107">
      <c r="BN2107">
        <f>IF(2094&lt;$U$9,INT(2094/($U$7*$U$8))+1,1)</f>
        <v/>
      </c>
      <c r="BO2107">
        <f>IF(2094&lt;$U$9,MOD(INT(2094/$U$8),$U$7)+1,1)</f>
        <v/>
      </c>
      <c r="BP2107">
        <f>IF(2094&lt;$U$9,MOD(2094,$U$8)+1,1)</f>
        <v/>
      </c>
      <c r="BQ2107">
        <f>IF(2094&lt;$U$9,SUMPRODUCT(($D$10:$L$10&lt;&gt;"")*(($D$9:$L$9+INT(($S$12:$AA$12+INDEX($AJ$13:$AR$162,BN2107,0)+INDEX($AT$13:$BB$162,BO2107,0)+INDEX($BD$13:$BL$162,BP2107,0))/100))&gt;=$D$10:$L$10)),0)</f>
        <v/>
      </c>
      <c r="BR2107">
        <f>IF(2094&lt;$U$9,SUMPRODUCT(($D$10:$L$10&lt;&gt;"")*(($D$10:$L$10-($D$9:$L$9+INT(($S$12:$AA$12+INDEX($AJ$13:$AR$162,BN2107,0)+INDEX($AT$13:$BB$162,BO2107,0)+INDEX($BD$13:$BL$162,BP2107,0))/100)))&gt;0)*($D$10:$L$10-($D$9:$L$9+INT(($S$12:$AA$12+INDEX($AJ$13:$AR$162,BN2107,0)+INDEX($AT$13:$BB$162,BO2107,0)+INDEX($BD$13:$BL$162,BP2107,0))/100)))),0)</f>
        <v/>
      </c>
      <c r="BS2107">
        <f>IF(2094&lt;$U$9,SUMPRODUCT(($D$9:$L$9+INT(($S$12:$AA$12+INDEX($AJ$13:$AR$162,BN2107,0)+INDEX($AT$13:$BB$162,BO2107,0)+INDEX($BD$13:$BL$162,BP2107,0))/100))),0)</f>
        <v/>
      </c>
      <c r="BT2107">
        <f>IF(AND(2094&lt;$U$9,$W$5),BQ2107*1000000-MIN(BR2107,999)*1000+BS2107-2094/100000,-1000000000-2094)</f>
        <v/>
      </c>
    </row>
    <row r="2108">
      <c r="BN2108">
        <f>IF(2095&lt;$U$9,INT(2095/($U$7*$U$8))+1,1)</f>
        <v/>
      </c>
      <c r="BO2108">
        <f>IF(2095&lt;$U$9,MOD(INT(2095/$U$8),$U$7)+1,1)</f>
        <v/>
      </c>
      <c r="BP2108">
        <f>IF(2095&lt;$U$9,MOD(2095,$U$8)+1,1)</f>
        <v/>
      </c>
      <c r="BQ2108">
        <f>IF(2095&lt;$U$9,SUMPRODUCT(($D$10:$L$10&lt;&gt;"")*(($D$9:$L$9+INT(($S$12:$AA$12+INDEX($AJ$13:$AR$162,BN2108,0)+INDEX($AT$13:$BB$162,BO2108,0)+INDEX($BD$13:$BL$162,BP2108,0))/100))&gt;=$D$10:$L$10)),0)</f>
        <v/>
      </c>
      <c r="BR2108">
        <f>IF(2095&lt;$U$9,SUMPRODUCT(($D$10:$L$10&lt;&gt;"")*(($D$10:$L$10-($D$9:$L$9+INT(($S$12:$AA$12+INDEX($AJ$13:$AR$162,BN2108,0)+INDEX($AT$13:$BB$162,BO2108,0)+INDEX($BD$13:$BL$162,BP2108,0))/100)))&gt;0)*($D$10:$L$10-($D$9:$L$9+INT(($S$12:$AA$12+INDEX($AJ$13:$AR$162,BN2108,0)+INDEX($AT$13:$BB$162,BO2108,0)+INDEX($BD$13:$BL$162,BP2108,0))/100)))),0)</f>
        <v/>
      </c>
      <c r="BS2108">
        <f>IF(2095&lt;$U$9,SUMPRODUCT(($D$9:$L$9+INT(($S$12:$AA$12+INDEX($AJ$13:$AR$162,BN2108,0)+INDEX($AT$13:$BB$162,BO2108,0)+INDEX($BD$13:$BL$162,BP2108,0))/100))),0)</f>
        <v/>
      </c>
      <c r="BT2108">
        <f>IF(AND(2095&lt;$U$9,$W$5),BQ2108*1000000-MIN(BR2108,999)*1000+BS2108-2095/100000,-1000000000-2095)</f>
        <v/>
      </c>
    </row>
    <row r="2109">
      <c r="BN2109">
        <f>IF(2096&lt;$U$9,INT(2096/($U$7*$U$8))+1,1)</f>
        <v/>
      </c>
      <c r="BO2109">
        <f>IF(2096&lt;$U$9,MOD(INT(2096/$U$8),$U$7)+1,1)</f>
        <v/>
      </c>
      <c r="BP2109">
        <f>IF(2096&lt;$U$9,MOD(2096,$U$8)+1,1)</f>
        <v/>
      </c>
      <c r="BQ2109">
        <f>IF(2096&lt;$U$9,SUMPRODUCT(($D$10:$L$10&lt;&gt;"")*(($D$9:$L$9+INT(($S$12:$AA$12+INDEX($AJ$13:$AR$162,BN2109,0)+INDEX($AT$13:$BB$162,BO2109,0)+INDEX($BD$13:$BL$162,BP2109,0))/100))&gt;=$D$10:$L$10)),0)</f>
        <v/>
      </c>
      <c r="BR2109">
        <f>IF(2096&lt;$U$9,SUMPRODUCT(($D$10:$L$10&lt;&gt;"")*(($D$10:$L$10-($D$9:$L$9+INT(($S$12:$AA$12+INDEX($AJ$13:$AR$162,BN2109,0)+INDEX($AT$13:$BB$162,BO2109,0)+INDEX($BD$13:$BL$162,BP2109,0))/100)))&gt;0)*($D$10:$L$10-($D$9:$L$9+INT(($S$12:$AA$12+INDEX($AJ$13:$AR$162,BN2109,0)+INDEX($AT$13:$BB$162,BO2109,0)+INDEX($BD$13:$BL$162,BP2109,0))/100)))),0)</f>
        <v/>
      </c>
      <c r="BS2109">
        <f>IF(2096&lt;$U$9,SUMPRODUCT(($D$9:$L$9+INT(($S$12:$AA$12+INDEX($AJ$13:$AR$162,BN2109,0)+INDEX($AT$13:$BB$162,BO2109,0)+INDEX($BD$13:$BL$162,BP2109,0))/100))),0)</f>
        <v/>
      </c>
      <c r="BT2109">
        <f>IF(AND(2096&lt;$U$9,$W$5),BQ2109*1000000-MIN(BR2109,999)*1000+BS2109-2096/100000,-1000000000-2096)</f>
        <v/>
      </c>
    </row>
    <row r="2110">
      <c r="BN2110">
        <f>IF(2097&lt;$U$9,INT(2097/($U$7*$U$8))+1,1)</f>
        <v/>
      </c>
      <c r="BO2110">
        <f>IF(2097&lt;$U$9,MOD(INT(2097/$U$8),$U$7)+1,1)</f>
        <v/>
      </c>
      <c r="BP2110">
        <f>IF(2097&lt;$U$9,MOD(2097,$U$8)+1,1)</f>
        <v/>
      </c>
      <c r="BQ2110">
        <f>IF(2097&lt;$U$9,SUMPRODUCT(($D$10:$L$10&lt;&gt;"")*(($D$9:$L$9+INT(($S$12:$AA$12+INDEX($AJ$13:$AR$162,BN2110,0)+INDEX($AT$13:$BB$162,BO2110,0)+INDEX($BD$13:$BL$162,BP2110,0))/100))&gt;=$D$10:$L$10)),0)</f>
        <v/>
      </c>
      <c r="BR2110">
        <f>IF(2097&lt;$U$9,SUMPRODUCT(($D$10:$L$10&lt;&gt;"")*(($D$10:$L$10-($D$9:$L$9+INT(($S$12:$AA$12+INDEX($AJ$13:$AR$162,BN2110,0)+INDEX($AT$13:$BB$162,BO2110,0)+INDEX($BD$13:$BL$162,BP2110,0))/100)))&gt;0)*($D$10:$L$10-($D$9:$L$9+INT(($S$12:$AA$12+INDEX($AJ$13:$AR$162,BN2110,0)+INDEX($AT$13:$BB$162,BO2110,0)+INDEX($BD$13:$BL$162,BP2110,0))/100)))),0)</f>
        <v/>
      </c>
      <c r="BS2110">
        <f>IF(2097&lt;$U$9,SUMPRODUCT(($D$9:$L$9+INT(($S$12:$AA$12+INDEX($AJ$13:$AR$162,BN2110,0)+INDEX($AT$13:$BB$162,BO2110,0)+INDEX($BD$13:$BL$162,BP2110,0))/100))),0)</f>
        <v/>
      </c>
      <c r="BT2110">
        <f>IF(AND(2097&lt;$U$9,$W$5),BQ2110*1000000-MIN(BR2110,999)*1000+BS2110-2097/100000,-1000000000-2097)</f>
        <v/>
      </c>
    </row>
    <row r="2111">
      <c r="BN2111">
        <f>IF(2098&lt;$U$9,INT(2098/($U$7*$U$8))+1,1)</f>
        <v/>
      </c>
      <c r="BO2111">
        <f>IF(2098&lt;$U$9,MOD(INT(2098/$U$8),$U$7)+1,1)</f>
        <v/>
      </c>
      <c r="BP2111">
        <f>IF(2098&lt;$U$9,MOD(2098,$U$8)+1,1)</f>
        <v/>
      </c>
      <c r="BQ2111">
        <f>IF(2098&lt;$U$9,SUMPRODUCT(($D$10:$L$10&lt;&gt;"")*(($D$9:$L$9+INT(($S$12:$AA$12+INDEX($AJ$13:$AR$162,BN2111,0)+INDEX($AT$13:$BB$162,BO2111,0)+INDEX($BD$13:$BL$162,BP2111,0))/100))&gt;=$D$10:$L$10)),0)</f>
        <v/>
      </c>
      <c r="BR2111">
        <f>IF(2098&lt;$U$9,SUMPRODUCT(($D$10:$L$10&lt;&gt;"")*(($D$10:$L$10-($D$9:$L$9+INT(($S$12:$AA$12+INDEX($AJ$13:$AR$162,BN2111,0)+INDEX($AT$13:$BB$162,BO2111,0)+INDEX($BD$13:$BL$162,BP2111,0))/100)))&gt;0)*($D$10:$L$10-($D$9:$L$9+INT(($S$12:$AA$12+INDEX($AJ$13:$AR$162,BN2111,0)+INDEX($AT$13:$BB$162,BO2111,0)+INDEX($BD$13:$BL$162,BP2111,0))/100)))),0)</f>
        <v/>
      </c>
      <c r="BS2111">
        <f>IF(2098&lt;$U$9,SUMPRODUCT(($D$9:$L$9+INT(($S$12:$AA$12+INDEX($AJ$13:$AR$162,BN2111,0)+INDEX($AT$13:$BB$162,BO2111,0)+INDEX($BD$13:$BL$162,BP2111,0))/100))),0)</f>
        <v/>
      </c>
      <c r="BT2111">
        <f>IF(AND(2098&lt;$U$9,$W$5),BQ2111*1000000-MIN(BR2111,999)*1000+BS2111-2098/100000,-1000000000-2098)</f>
        <v/>
      </c>
    </row>
    <row r="2112">
      <c r="BN2112">
        <f>IF(2099&lt;$U$9,INT(2099/($U$7*$U$8))+1,1)</f>
        <v/>
      </c>
      <c r="BO2112">
        <f>IF(2099&lt;$U$9,MOD(INT(2099/$U$8),$U$7)+1,1)</f>
        <v/>
      </c>
      <c r="BP2112">
        <f>IF(2099&lt;$U$9,MOD(2099,$U$8)+1,1)</f>
        <v/>
      </c>
      <c r="BQ2112">
        <f>IF(2099&lt;$U$9,SUMPRODUCT(($D$10:$L$10&lt;&gt;"")*(($D$9:$L$9+INT(($S$12:$AA$12+INDEX($AJ$13:$AR$162,BN2112,0)+INDEX($AT$13:$BB$162,BO2112,0)+INDEX($BD$13:$BL$162,BP2112,0))/100))&gt;=$D$10:$L$10)),0)</f>
        <v/>
      </c>
      <c r="BR2112">
        <f>IF(2099&lt;$U$9,SUMPRODUCT(($D$10:$L$10&lt;&gt;"")*(($D$10:$L$10-($D$9:$L$9+INT(($S$12:$AA$12+INDEX($AJ$13:$AR$162,BN2112,0)+INDEX($AT$13:$BB$162,BO2112,0)+INDEX($BD$13:$BL$162,BP2112,0))/100)))&gt;0)*($D$10:$L$10-($D$9:$L$9+INT(($S$12:$AA$12+INDEX($AJ$13:$AR$162,BN2112,0)+INDEX($AT$13:$BB$162,BO2112,0)+INDEX($BD$13:$BL$162,BP2112,0))/100)))),0)</f>
        <v/>
      </c>
      <c r="BS2112">
        <f>IF(2099&lt;$U$9,SUMPRODUCT(($D$9:$L$9+INT(($S$12:$AA$12+INDEX($AJ$13:$AR$162,BN2112,0)+INDEX($AT$13:$BB$162,BO2112,0)+INDEX($BD$13:$BL$162,BP2112,0))/100))),0)</f>
        <v/>
      </c>
      <c r="BT2112">
        <f>IF(AND(2099&lt;$U$9,$W$5),BQ2112*1000000-MIN(BR2112,999)*1000+BS2112-2099/100000,-1000000000-2099)</f>
        <v/>
      </c>
    </row>
    <row r="2113">
      <c r="BN2113">
        <f>IF(2100&lt;$U$9,INT(2100/($U$7*$U$8))+1,1)</f>
        <v/>
      </c>
      <c r="BO2113">
        <f>IF(2100&lt;$U$9,MOD(INT(2100/$U$8),$U$7)+1,1)</f>
        <v/>
      </c>
      <c r="BP2113">
        <f>IF(2100&lt;$U$9,MOD(2100,$U$8)+1,1)</f>
        <v/>
      </c>
      <c r="BQ2113">
        <f>IF(2100&lt;$U$9,SUMPRODUCT(($D$10:$L$10&lt;&gt;"")*(($D$9:$L$9+INT(($S$12:$AA$12+INDEX($AJ$13:$AR$162,BN2113,0)+INDEX($AT$13:$BB$162,BO2113,0)+INDEX($BD$13:$BL$162,BP2113,0))/100))&gt;=$D$10:$L$10)),0)</f>
        <v/>
      </c>
      <c r="BR2113">
        <f>IF(2100&lt;$U$9,SUMPRODUCT(($D$10:$L$10&lt;&gt;"")*(($D$10:$L$10-($D$9:$L$9+INT(($S$12:$AA$12+INDEX($AJ$13:$AR$162,BN2113,0)+INDEX($AT$13:$BB$162,BO2113,0)+INDEX($BD$13:$BL$162,BP2113,0))/100)))&gt;0)*($D$10:$L$10-($D$9:$L$9+INT(($S$12:$AA$12+INDEX($AJ$13:$AR$162,BN2113,0)+INDEX($AT$13:$BB$162,BO2113,0)+INDEX($BD$13:$BL$162,BP2113,0))/100)))),0)</f>
        <v/>
      </c>
      <c r="BS2113">
        <f>IF(2100&lt;$U$9,SUMPRODUCT(($D$9:$L$9+INT(($S$12:$AA$12+INDEX($AJ$13:$AR$162,BN2113,0)+INDEX($AT$13:$BB$162,BO2113,0)+INDEX($BD$13:$BL$162,BP2113,0))/100))),0)</f>
        <v/>
      </c>
      <c r="BT2113">
        <f>IF(AND(2100&lt;$U$9,$W$5),BQ2113*1000000-MIN(BR2113,999)*1000+BS2113-2100/100000,-1000000000-2100)</f>
        <v/>
      </c>
    </row>
    <row r="2114">
      <c r="BN2114">
        <f>IF(2101&lt;$U$9,INT(2101/($U$7*$U$8))+1,1)</f>
        <v/>
      </c>
      <c r="BO2114">
        <f>IF(2101&lt;$U$9,MOD(INT(2101/$U$8),$U$7)+1,1)</f>
        <v/>
      </c>
      <c r="BP2114">
        <f>IF(2101&lt;$U$9,MOD(2101,$U$8)+1,1)</f>
        <v/>
      </c>
      <c r="BQ2114">
        <f>IF(2101&lt;$U$9,SUMPRODUCT(($D$10:$L$10&lt;&gt;"")*(($D$9:$L$9+INT(($S$12:$AA$12+INDEX($AJ$13:$AR$162,BN2114,0)+INDEX($AT$13:$BB$162,BO2114,0)+INDEX($BD$13:$BL$162,BP2114,0))/100))&gt;=$D$10:$L$10)),0)</f>
        <v/>
      </c>
      <c r="BR2114">
        <f>IF(2101&lt;$U$9,SUMPRODUCT(($D$10:$L$10&lt;&gt;"")*(($D$10:$L$10-($D$9:$L$9+INT(($S$12:$AA$12+INDEX($AJ$13:$AR$162,BN2114,0)+INDEX($AT$13:$BB$162,BO2114,0)+INDEX($BD$13:$BL$162,BP2114,0))/100)))&gt;0)*($D$10:$L$10-($D$9:$L$9+INT(($S$12:$AA$12+INDEX($AJ$13:$AR$162,BN2114,0)+INDEX($AT$13:$BB$162,BO2114,0)+INDEX($BD$13:$BL$162,BP2114,0))/100)))),0)</f>
        <v/>
      </c>
      <c r="BS2114">
        <f>IF(2101&lt;$U$9,SUMPRODUCT(($D$9:$L$9+INT(($S$12:$AA$12+INDEX($AJ$13:$AR$162,BN2114,0)+INDEX($AT$13:$BB$162,BO2114,0)+INDEX($BD$13:$BL$162,BP2114,0))/100))),0)</f>
        <v/>
      </c>
      <c r="BT2114">
        <f>IF(AND(2101&lt;$U$9,$W$5),BQ2114*1000000-MIN(BR2114,999)*1000+BS2114-2101/100000,-1000000000-2101)</f>
        <v/>
      </c>
    </row>
    <row r="2115">
      <c r="BN2115">
        <f>IF(2102&lt;$U$9,INT(2102/($U$7*$U$8))+1,1)</f>
        <v/>
      </c>
      <c r="BO2115">
        <f>IF(2102&lt;$U$9,MOD(INT(2102/$U$8),$U$7)+1,1)</f>
        <v/>
      </c>
      <c r="BP2115">
        <f>IF(2102&lt;$U$9,MOD(2102,$U$8)+1,1)</f>
        <v/>
      </c>
      <c r="BQ2115">
        <f>IF(2102&lt;$U$9,SUMPRODUCT(($D$10:$L$10&lt;&gt;"")*(($D$9:$L$9+INT(($S$12:$AA$12+INDEX($AJ$13:$AR$162,BN2115,0)+INDEX($AT$13:$BB$162,BO2115,0)+INDEX($BD$13:$BL$162,BP2115,0))/100))&gt;=$D$10:$L$10)),0)</f>
        <v/>
      </c>
      <c r="BR2115">
        <f>IF(2102&lt;$U$9,SUMPRODUCT(($D$10:$L$10&lt;&gt;"")*(($D$10:$L$10-($D$9:$L$9+INT(($S$12:$AA$12+INDEX($AJ$13:$AR$162,BN2115,0)+INDEX($AT$13:$BB$162,BO2115,0)+INDEX($BD$13:$BL$162,BP2115,0))/100)))&gt;0)*($D$10:$L$10-($D$9:$L$9+INT(($S$12:$AA$12+INDEX($AJ$13:$AR$162,BN2115,0)+INDEX($AT$13:$BB$162,BO2115,0)+INDEX($BD$13:$BL$162,BP2115,0))/100)))),0)</f>
        <v/>
      </c>
      <c r="BS2115">
        <f>IF(2102&lt;$U$9,SUMPRODUCT(($D$9:$L$9+INT(($S$12:$AA$12+INDEX($AJ$13:$AR$162,BN2115,0)+INDEX($AT$13:$BB$162,BO2115,0)+INDEX($BD$13:$BL$162,BP2115,0))/100))),0)</f>
        <v/>
      </c>
      <c r="BT2115">
        <f>IF(AND(2102&lt;$U$9,$W$5),BQ2115*1000000-MIN(BR2115,999)*1000+BS2115-2102/100000,-1000000000-2102)</f>
        <v/>
      </c>
    </row>
    <row r="2116">
      <c r="BN2116">
        <f>IF(2103&lt;$U$9,INT(2103/($U$7*$U$8))+1,1)</f>
        <v/>
      </c>
      <c r="BO2116">
        <f>IF(2103&lt;$U$9,MOD(INT(2103/$U$8),$U$7)+1,1)</f>
        <v/>
      </c>
      <c r="BP2116">
        <f>IF(2103&lt;$U$9,MOD(2103,$U$8)+1,1)</f>
        <v/>
      </c>
      <c r="BQ2116">
        <f>IF(2103&lt;$U$9,SUMPRODUCT(($D$10:$L$10&lt;&gt;"")*(($D$9:$L$9+INT(($S$12:$AA$12+INDEX($AJ$13:$AR$162,BN2116,0)+INDEX($AT$13:$BB$162,BO2116,0)+INDEX($BD$13:$BL$162,BP2116,0))/100))&gt;=$D$10:$L$10)),0)</f>
        <v/>
      </c>
      <c r="BR2116">
        <f>IF(2103&lt;$U$9,SUMPRODUCT(($D$10:$L$10&lt;&gt;"")*(($D$10:$L$10-($D$9:$L$9+INT(($S$12:$AA$12+INDEX($AJ$13:$AR$162,BN2116,0)+INDEX($AT$13:$BB$162,BO2116,0)+INDEX($BD$13:$BL$162,BP2116,0))/100)))&gt;0)*($D$10:$L$10-($D$9:$L$9+INT(($S$12:$AA$12+INDEX($AJ$13:$AR$162,BN2116,0)+INDEX($AT$13:$BB$162,BO2116,0)+INDEX($BD$13:$BL$162,BP2116,0))/100)))),0)</f>
        <v/>
      </c>
      <c r="BS2116">
        <f>IF(2103&lt;$U$9,SUMPRODUCT(($D$9:$L$9+INT(($S$12:$AA$12+INDEX($AJ$13:$AR$162,BN2116,0)+INDEX($AT$13:$BB$162,BO2116,0)+INDEX($BD$13:$BL$162,BP2116,0))/100))),0)</f>
        <v/>
      </c>
      <c r="BT2116">
        <f>IF(AND(2103&lt;$U$9,$W$5),BQ2116*1000000-MIN(BR2116,999)*1000+BS2116-2103/100000,-1000000000-2103)</f>
        <v/>
      </c>
    </row>
    <row r="2117">
      <c r="BN2117">
        <f>IF(2104&lt;$U$9,INT(2104/($U$7*$U$8))+1,1)</f>
        <v/>
      </c>
      <c r="BO2117">
        <f>IF(2104&lt;$U$9,MOD(INT(2104/$U$8),$U$7)+1,1)</f>
        <v/>
      </c>
      <c r="BP2117">
        <f>IF(2104&lt;$U$9,MOD(2104,$U$8)+1,1)</f>
        <v/>
      </c>
      <c r="BQ2117">
        <f>IF(2104&lt;$U$9,SUMPRODUCT(($D$10:$L$10&lt;&gt;"")*(($D$9:$L$9+INT(($S$12:$AA$12+INDEX($AJ$13:$AR$162,BN2117,0)+INDEX($AT$13:$BB$162,BO2117,0)+INDEX($BD$13:$BL$162,BP2117,0))/100))&gt;=$D$10:$L$10)),0)</f>
        <v/>
      </c>
      <c r="BR2117">
        <f>IF(2104&lt;$U$9,SUMPRODUCT(($D$10:$L$10&lt;&gt;"")*(($D$10:$L$10-($D$9:$L$9+INT(($S$12:$AA$12+INDEX($AJ$13:$AR$162,BN2117,0)+INDEX($AT$13:$BB$162,BO2117,0)+INDEX($BD$13:$BL$162,BP2117,0))/100)))&gt;0)*($D$10:$L$10-($D$9:$L$9+INT(($S$12:$AA$12+INDEX($AJ$13:$AR$162,BN2117,0)+INDEX($AT$13:$BB$162,BO2117,0)+INDEX($BD$13:$BL$162,BP2117,0))/100)))),0)</f>
        <v/>
      </c>
      <c r="BS2117">
        <f>IF(2104&lt;$U$9,SUMPRODUCT(($D$9:$L$9+INT(($S$12:$AA$12+INDEX($AJ$13:$AR$162,BN2117,0)+INDEX($AT$13:$BB$162,BO2117,0)+INDEX($BD$13:$BL$162,BP2117,0))/100))),0)</f>
        <v/>
      </c>
      <c r="BT2117">
        <f>IF(AND(2104&lt;$U$9,$W$5),BQ2117*1000000-MIN(BR2117,999)*1000+BS2117-2104/100000,-1000000000-2104)</f>
        <v/>
      </c>
    </row>
    <row r="2118">
      <c r="BN2118">
        <f>IF(2105&lt;$U$9,INT(2105/($U$7*$U$8))+1,1)</f>
        <v/>
      </c>
      <c r="BO2118">
        <f>IF(2105&lt;$U$9,MOD(INT(2105/$U$8),$U$7)+1,1)</f>
        <v/>
      </c>
      <c r="BP2118">
        <f>IF(2105&lt;$U$9,MOD(2105,$U$8)+1,1)</f>
        <v/>
      </c>
      <c r="BQ2118">
        <f>IF(2105&lt;$U$9,SUMPRODUCT(($D$10:$L$10&lt;&gt;"")*(($D$9:$L$9+INT(($S$12:$AA$12+INDEX($AJ$13:$AR$162,BN2118,0)+INDEX($AT$13:$BB$162,BO2118,0)+INDEX($BD$13:$BL$162,BP2118,0))/100))&gt;=$D$10:$L$10)),0)</f>
        <v/>
      </c>
      <c r="BR2118">
        <f>IF(2105&lt;$U$9,SUMPRODUCT(($D$10:$L$10&lt;&gt;"")*(($D$10:$L$10-($D$9:$L$9+INT(($S$12:$AA$12+INDEX($AJ$13:$AR$162,BN2118,0)+INDEX($AT$13:$BB$162,BO2118,0)+INDEX($BD$13:$BL$162,BP2118,0))/100)))&gt;0)*($D$10:$L$10-($D$9:$L$9+INT(($S$12:$AA$12+INDEX($AJ$13:$AR$162,BN2118,0)+INDEX($AT$13:$BB$162,BO2118,0)+INDEX($BD$13:$BL$162,BP2118,0))/100)))),0)</f>
        <v/>
      </c>
      <c r="BS2118">
        <f>IF(2105&lt;$U$9,SUMPRODUCT(($D$9:$L$9+INT(($S$12:$AA$12+INDEX($AJ$13:$AR$162,BN2118,0)+INDEX($AT$13:$BB$162,BO2118,0)+INDEX($BD$13:$BL$162,BP2118,0))/100))),0)</f>
        <v/>
      </c>
      <c r="BT2118">
        <f>IF(AND(2105&lt;$U$9,$W$5),BQ2118*1000000-MIN(BR2118,999)*1000+BS2118-2105/100000,-1000000000-2105)</f>
        <v/>
      </c>
    </row>
    <row r="2119">
      <c r="BN2119">
        <f>IF(2106&lt;$U$9,INT(2106/($U$7*$U$8))+1,1)</f>
        <v/>
      </c>
      <c r="BO2119">
        <f>IF(2106&lt;$U$9,MOD(INT(2106/$U$8),$U$7)+1,1)</f>
        <v/>
      </c>
      <c r="BP2119">
        <f>IF(2106&lt;$U$9,MOD(2106,$U$8)+1,1)</f>
        <v/>
      </c>
      <c r="BQ2119">
        <f>IF(2106&lt;$U$9,SUMPRODUCT(($D$10:$L$10&lt;&gt;"")*(($D$9:$L$9+INT(($S$12:$AA$12+INDEX($AJ$13:$AR$162,BN2119,0)+INDEX($AT$13:$BB$162,BO2119,0)+INDEX($BD$13:$BL$162,BP2119,0))/100))&gt;=$D$10:$L$10)),0)</f>
        <v/>
      </c>
      <c r="BR2119">
        <f>IF(2106&lt;$U$9,SUMPRODUCT(($D$10:$L$10&lt;&gt;"")*(($D$10:$L$10-($D$9:$L$9+INT(($S$12:$AA$12+INDEX($AJ$13:$AR$162,BN2119,0)+INDEX($AT$13:$BB$162,BO2119,0)+INDEX($BD$13:$BL$162,BP2119,0))/100)))&gt;0)*($D$10:$L$10-($D$9:$L$9+INT(($S$12:$AA$12+INDEX($AJ$13:$AR$162,BN2119,0)+INDEX($AT$13:$BB$162,BO2119,0)+INDEX($BD$13:$BL$162,BP2119,0))/100)))),0)</f>
        <v/>
      </c>
      <c r="BS2119">
        <f>IF(2106&lt;$U$9,SUMPRODUCT(($D$9:$L$9+INT(($S$12:$AA$12+INDEX($AJ$13:$AR$162,BN2119,0)+INDEX($AT$13:$BB$162,BO2119,0)+INDEX($BD$13:$BL$162,BP2119,0))/100))),0)</f>
        <v/>
      </c>
      <c r="BT2119">
        <f>IF(AND(2106&lt;$U$9,$W$5),BQ2119*1000000-MIN(BR2119,999)*1000+BS2119-2106/100000,-1000000000-2106)</f>
        <v/>
      </c>
    </row>
    <row r="2120">
      <c r="BN2120">
        <f>IF(2107&lt;$U$9,INT(2107/($U$7*$U$8))+1,1)</f>
        <v/>
      </c>
      <c r="BO2120">
        <f>IF(2107&lt;$U$9,MOD(INT(2107/$U$8),$U$7)+1,1)</f>
        <v/>
      </c>
      <c r="BP2120">
        <f>IF(2107&lt;$U$9,MOD(2107,$U$8)+1,1)</f>
        <v/>
      </c>
      <c r="BQ2120">
        <f>IF(2107&lt;$U$9,SUMPRODUCT(($D$10:$L$10&lt;&gt;"")*(($D$9:$L$9+INT(($S$12:$AA$12+INDEX($AJ$13:$AR$162,BN2120,0)+INDEX($AT$13:$BB$162,BO2120,0)+INDEX($BD$13:$BL$162,BP2120,0))/100))&gt;=$D$10:$L$10)),0)</f>
        <v/>
      </c>
      <c r="BR2120">
        <f>IF(2107&lt;$U$9,SUMPRODUCT(($D$10:$L$10&lt;&gt;"")*(($D$10:$L$10-($D$9:$L$9+INT(($S$12:$AA$12+INDEX($AJ$13:$AR$162,BN2120,0)+INDEX($AT$13:$BB$162,BO2120,0)+INDEX($BD$13:$BL$162,BP2120,0))/100)))&gt;0)*($D$10:$L$10-($D$9:$L$9+INT(($S$12:$AA$12+INDEX($AJ$13:$AR$162,BN2120,0)+INDEX($AT$13:$BB$162,BO2120,0)+INDEX($BD$13:$BL$162,BP2120,0))/100)))),0)</f>
        <v/>
      </c>
      <c r="BS2120">
        <f>IF(2107&lt;$U$9,SUMPRODUCT(($D$9:$L$9+INT(($S$12:$AA$12+INDEX($AJ$13:$AR$162,BN2120,0)+INDEX($AT$13:$BB$162,BO2120,0)+INDEX($BD$13:$BL$162,BP2120,0))/100))),0)</f>
        <v/>
      </c>
      <c r="BT2120">
        <f>IF(AND(2107&lt;$U$9,$W$5),BQ2120*1000000-MIN(BR2120,999)*1000+BS2120-2107/100000,-1000000000-2107)</f>
        <v/>
      </c>
    </row>
    <row r="2121">
      <c r="BN2121">
        <f>IF(2108&lt;$U$9,INT(2108/($U$7*$U$8))+1,1)</f>
        <v/>
      </c>
      <c r="BO2121">
        <f>IF(2108&lt;$U$9,MOD(INT(2108/$U$8),$U$7)+1,1)</f>
        <v/>
      </c>
      <c r="BP2121">
        <f>IF(2108&lt;$U$9,MOD(2108,$U$8)+1,1)</f>
        <v/>
      </c>
      <c r="BQ2121">
        <f>IF(2108&lt;$U$9,SUMPRODUCT(($D$10:$L$10&lt;&gt;"")*(($D$9:$L$9+INT(($S$12:$AA$12+INDEX($AJ$13:$AR$162,BN2121,0)+INDEX($AT$13:$BB$162,BO2121,0)+INDEX($BD$13:$BL$162,BP2121,0))/100))&gt;=$D$10:$L$10)),0)</f>
        <v/>
      </c>
      <c r="BR2121">
        <f>IF(2108&lt;$U$9,SUMPRODUCT(($D$10:$L$10&lt;&gt;"")*(($D$10:$L$10-($D$9:$L$9+INT(($S$12:$AA$12+INDEX($AJ$13:$AR$162,BN2121,0)+INDEX($AT$13:$BB$162,BO2121,0)+INDEX($BD$13:$BL$162,BP2121,0))/100)))&gt;0)*($D$10:$L$10-($D$9:$L$9+INT(($S$12:$AA$12+INDEX($AJ$13:$AR$162,BN2121,0)+INDEX($AT$13:$BB$162,BO2121,0)+INDEX($BD$13:$BL$162,BP2121,0))/100)))),0)</f>
        <v/>
      </c>
      <c r="BS2121">
        <f>IF(2108&lt;$U$9,SUMPRODUCT(($D$9:$L$9+INT(($S$12:$AA$12+INDEX($AJ$13:$AR$162,BN2121,0)+INDEX($AT$13:$BB$162,BO2121,0)+INDEX($BD$13:$BL$162,BP2121,0))/100))),0)</f>
        <v/>
      </c>
      <c r="BT2121">
        <f>IF(AND(2108&lt;$U$9,$W$5),BQ2121*1000000-MIN(BR2121,999)*1000+BS2121-2108/100000,-1000000000-2108)</f>
        <v/>
      </c>
    </row>
    <row r="2122">
      <c r="BN2122">
        <f>IF(2109&lt;$U$9,INT(2109/($U$7*$U$8))+1,1)</f>
        <v/>
      </c>
      <c r="BO2122">
        <f>IF(2109&lt;$U$9,MOD(INT(2109/$U$8),$U$7)+1,1)</f>
        <v/>
      </c>
      <c r="BP2122">
        <f>IF(2109&lt;$U$9,MOD(2109,$U$8)+1,1)</f>
        <v/>
      </c>
      <c r="BQ2122">
        <f>IF(2109&lt;$U$9,SUMPRODUCT(($D$10:$L$10&lt;&gt;"")*(($D$9:$L$9+INT(($S$12:$AA$12+INDEX($AJ$13:$AR$162,BN2122,0)+INDEX($AT$13:$BB$162,BO2122,0)+INDEX($BD$13:$BL$162,BP2122,0))/100))&gt;=$D$10:$L$10)),0)</f>
        <v/>
      </c>
      <c r="BR2122">
        <f>IF(2109&lt;$U$9,SUMPRODUCT(($D$10:$L$10&lt;&gt;"")*(($D$10:$L$10-($D$9:$L$9+INT(($S$12:$AA$12+INDEX($AJ$13:$AR$162,BN2122,0)+INDEX($AT$13:$BB$162,BO2122,0)+INDEX($BD$13:$BL$162,BP2122,0))/100)))&gt;0)*($D$10:$L$10-($D$9:$L$9+INT(($S$12:$AA$12+INDEX($AJ$13:$AR$162,BN2122,0)+INDEX($AT$13:$BB$162,BO2122,0)+INDEX($BD$13:$BL$162,BP2122,0))/100)))),0)</f>
        <v/>
      </c>
      <c r="BS2122">
        <f>IF(2109&lt;$U$9,SUMPRODUCT(($D$9:$L$9+INT(($S$12:$AA$12+INDEX($AJ$13:$AR$162,BN2122,0)+INDEX($AT$13:$BB$162,BO2122,0)+INDEX($BD$13:$BL$162,BP2122,0))/100))),0)</f>
        <v/>
      </c>
      <c r="BT2122">
        <f>IF(AND(2109&lt;$U$9,$W$5),BQ2122*1000000-MIN(BR2122,999)*1000+BS2122-2109/100000,-1000000000-2109)</f>
        <v/>
      </c>
    </row>
    <row r="2123">
      <c r="BN2123">
        <f>IF(2110&lt;$U$9,INT(2110/($U$7*$U$8))+1,1)</f>
        <v/>
      </c>
      <c r="BO2123">
        <f>IF(2110&lt;$U$9,MOD(INT(2110/$U$8),$U$7)+1,1)</f>
        <v/>
      </c>
      <c r="BP2123">
        <f>IF(2110&lt;$U$9,MOD(2110,$U$8)+1,1)</f>
        <v/>
      </c>
      <c r="BQ2123">
        <f>IF(2110&lt;$U$9,SUMPRODUCT(($D$10:$L$10&lt;&gt;"")*(($D$9:$L$9+INT(($S$12:$AA$12+INDEX($AJ$13:$AR$162,BN2123,0)+INDEX($AT$13:$BB$162,BO2123,0)+INDEX($BD$13:$BL$162,BP2123,0))/100))&gt;=$D$10:$L$10)),0)</f>
        <v/>
      </c>
      <c r="BR2123">
        <f>IF(2110&lt;$U$9,SUMPRODUCT(($D$10:$L$10&lt;&gt;"")*(($D$10:$L$10-($D$9:$L$9+INT(($S$12:$AA$12+INDEX($AJ$13:$AR$162,BN2123,0)+INDEX($AT$13:$BB$162,BO2123,0)+INDEX($BD$13:$BL$162,BP2123,0))/100)))&gt;0)*($D$10:$L$10-($D$9:$L$9+INT(($S$12:$AA$12+INDEX($AJ$13:$AR$162,BN2123,0)+INDEX($AT$13:$BB$162,BO2123,0)+INDEX($BD$13:$BL$162,BP2123,0))/100)))),0)</f>
        <v/>
      </c>
      <c r="BS2123">
        <f>IF(2110&lt;$U$9,SUMPRODUCT(($D$9:$L$9+INT(($S$12:$AA$12+INDEX($AJ$13:$AR$162,BN2123,0)+INDEX($AT$13:$BB$162,BO2123,0)+INDEX($BD$13:$BL$162,BP2123,0))/100))),0)</f>
        <v/>
      </c>
      <c r="BT2123">
        <f>IF(AND(2110&lt;$U$9,$W$5),BQ2123*1000000-MIN(BR2123,999)*1000+BS2123-2110/100000,-1000000000-2110)</f>
        <v/>
      </c>
    </row>
    <row r="2124">
      <c r="BN2124">
        <f>IF(2111&lt;$U$9,INT(2111/($U$7*$U$8))+1,1)</f>
        <v/>
      </c>
      <c r="BO2124">
        <f>IF(2111&lt;$U$9,MOD(INT(2111/$U$8),$U$7)+1,1)</f>
        <v/>
      </c>
      <c r="BP2124">
        <f>IF(2111&lt;$U$9,MOD(2111,$U$8)+1,1)</f>
        <v/>
      </c>
      <c r="BQ2124">
        <f>IF(2111&lt;$U$9,SUMPRODUCT(($D$10:$L$10&lt;&gt;"")*(($D$9:$L$9+INT(($S$12:$AA$12+INDEX($AJ$13:$AR$162,BN2124,0)+INDEX($AT$13:$BB$162,BO2124,0)+INDEX($BD$13:$BL$162,BP2124,0))/100))&gt;=$D$10:$L$10)),0)</f>
        <v/>
      </c>
      <c r="BR2124">
        <f>IF(2111&lt;$U$9,SUMPRODUCT(($D$10:$L$10&lt;&gt;"")*(($D$10:$L$10-($D$9:$L$9+INT(($S$12:$AA$12+INDEX($AJ$13:$AR$162,BN2124,0)+INDEX($AT$13:$BB$162,BO2124,0)+INDEX($BD$13:$BL$162,BP2124,0))/100)))&gt;0)*($D$10:$L$10-($D$9:$L$9+INT(($S$12:$AA$12+INDEX($AJ$13:$AR$162,BN2124,0)+INDEX($AT$13:$BB$162,BO2124,0)+INDEX($BD$13:$BL$162,BP2124,0))/100)))),0)</f>
        <v/>
      </c>
      <c r="BS2124">
        <f>IF(2111&lt;$U$9,SUMPRODUCT(($D$9:$L$9+INT(($S$12:$AA$12+INDEX($AJ$13:$AR$162,BN2124,0)+INDEX($AT$13:$BB$162,BO2124,0)+INDEX($BD$13:$BL$162,BP2124,0))/100))),0)</f>
        <v/>
      </c>
      <c r="BT2124">
        <f>IF(AND(2111&lt;$U$9,$W$5),BQ2124*1000000-MIN(BR2124,999)*1000+BS2124-2111/100000,-1000000000-2111)</f>
        <v/>
      </c>
    </row>
    <row r="2125">
      <c r="BN2125">
        <f>IF(2112&lt;$U$9,INT(2112/($U$7*$U$8))+1,1)</f>
        <v/>
      </c>
      <c r="BO2125">
        <f>IF(2112&lt;$U$9,MOD(INT(2112/$U$8),$U$7)+1,1)</f>
        <v/>
      </c>
      <c r="BP2125">
        <f>IF(2112&lt;$U$9,MOD(2112,$U$8)+1,1)</f>
        <v/>
      </c>
      <c r="BQ2125">
        <f>IF(2112&lt;$U$9,SUMPRODUCT(($D$10:$L$10&lt;&gt;"")*(($D$9:$L$9+INT(($S$12:$AA$12+INDEX($AJ$13:$AR$162,BN2125,0)+INDEX($AT$13:$BB$162,BO2125,0)+INDEX($BD$13:$BL$162,BP2125,0))/100))&gt;=$D$10:$L$10)),0)</f>
        <v/>
      </c>
      <c r="BR2125">
        <f>IF(2112&lt;$U$9,SUMPRODUCT(($D$10:$L$10&lt;&gt;"")*(($D$10:$L$10-($D$9:$L$9+INT(($S$12:$AA$12+INDEX($AJ$13:$AR$162,BN2125,0)+INDEX($AT$13:$BB$162,BO2125,0)+INDEX($BD$13:$BL$162,BP2125,0))/100)))&gt;0)*($D$10:$L$10-($D$9:$L$9+INT(($S$12:$AA$12+INDEX($AJ$13:$AR$162,BN2125,0)+INDEX($AT$13:$BB$162,BO2125,0)+INDEX($BD$13:$BL$162,BP2125,0))/100)))),0)</f>
        <v/>
      </c>
      <c r="BS2125">
        <f>IF(2112&lt;$U$9,SUMPRODUCT(($D$9:$L$9+INT(($S$12:$AA$12+INDEX($AJ$13:$AR$162,BN2125,0)+INDEX($AT$13:$BB$162,BO2125,0)+INDEX($BD$13:$BL$162,BP2125,0))/100))),0)</f>
        <v/>
      </c>
      <c r="BT2125">
        <f>IF(AND(2112&lt;$U$9,$W$5),BQ2125*1000000-MIN(BR2125,999)*1000+BS2125-2112/100000,-1000000000-2112)</f>
        <v/>
      </c>
    </row>
    <row r="2126">
      <c r="BN2126">
        <f>IF(2113&lt;$U$9,INT(2113/($U$7*$U$8))+1,1)</f>
        <v/>
      </c>
      <c r="BO2126">
        <f>IF(2113&lt;$U$9,MOD(INT(2113/$U$8),$U$7)+1,1)</f>
        <v/>
      </c>
      <c r="BP2126">
        <f>IF(2113&lt;$U$9,MOD(2113,$U$8)+1,1)</f>
        <v/>
      </c>
      <c r="BQ2126">
        <f>IF(2113&lt;$U$9,SUMPRODUCT(($D$10:$L$10&lt;&gt;"")*(($D$9:$L$9+INT(($S$12:$AA$12+INDEX($AJ$13:$AR$162,BN2126,0)+INDEX($AT$13:$BB$162,BO2126,0)+INDEX($BD$13:$BL$162,BP2126,0))/100))&gt;=$D$10:$L$10)),0)</f>
        <v/>
      </c>
      <c r="BR2126">
        <f>IF(2113&lt;$U$9,SUMPRODUCT(($D$10:$L$10&lt;&gt;"")*(($D$10:$L$10-($D$9:$L$9+INT(($S$12:$AA$12+INDEX($AJ$13:$AR$162,BN2126,0)+INDEX($AT$13:$BB$162,BO2126,0)+INDEX($BD$13:$BL$162,BP2126,0))/100)))&gt;0)*($D$10:$L$10-($D$9:$L$9+INT(($S$12:$AA$12+INDEX($AJ$13:$AR$162,BN2126,0)+INDEX($AT$13:$BB$162,BO2126,0)+INDEX($BD$13:$BL$162,BP2126,0))/100)))),0)</f>
        <v/>
      </c>
      <c r="BS2126">
        <f>IF(2113&lt;$U$9,SUMPRODUCT(($D$9:$L$9+INT(($S$12:$AA$12+INDEX($AJ$13:$AR$162,BN2126,0)+INDEX($AT$13:$BB$162,BO2126,0)+INDEX($BD$13:$BL$162,BP2126,0))/100))),0)</f>
        <v/>
      </c>
      <c r="BT2126">
        <f>IF(AND(2113&lt;$U$9,$W$5),BQ2126*1000000-MIN(BR2126,999)*1000+BS2126-2113/100000,-1000000000-2113)</f>
        <v/>
      </c>
    </row>
    <row r="2127">
      <c r="BN2127">
        <f>IF(2114&lt;$U$9,INT(2114/($U$7*$U$8))+1,1)</f>
        <v/>
      </c>
      <c r="BO2127">
        <f>IF(2114&lt;$U$9,MOD(INT(2114/$U$8),$U$7)+1,1)</f>
        <v/>
      </c>
      <c r="BP2127">
        <f>IF(2114&lt;$U$9,MOD(2114,$U$8)+1,1)</f>
        <v/>
      </c>
      <c r="BQ2127">
        <f>IF(2114&lt;$U$9,SUMPRODUCT(($D$10:$L$10&lt;&gt;"")*(($D$9:$L$9+INT(($S$12:$AA$12+INDEX($AJ$13:$AR$162,BN2127,0)+INDEX($AT$13:$BB$162,BO2127,0)+INDEX($BD$13:$BL$162,BP2127,0))/100))&gt;=$D$10:$L$10)),0)</f>
        <v/>
      </c>
      <c r="BR2127">
        <f>IF(2114&lt;$U$9,SUMPRODUCT(($D$10:$L$10&lt;&gt;"")*(($D$10:$L$10-($D$9:$L$9+INT(($S$12:$AA$12+INDEX($AJ$13:$AR$162,BN2127,0)+INDEX($AT$13:$BB$162,BO2127,0)+INDEX($BD$13:$BL$162,BP2127,0))/100)))&gt;0)*($D$10:$L$10-($D$9:$L$9+INT(($S$12:$AA$12+INDEX($AJ$13:$AR$162,BN2127,0)+INDEX($AT$13:$BB$162,BO2127,0)+INDEX($BD$13:$BL$162,BP2127,0))/100)))),0)</f>
        <v/>
      </c>
      <c r="BS2127">
        <f>IF(2114&lt;$U$9,SUMPRODUCT(($D$9:$L$9+INT(($S$12:$AA$12+INDEX($AJ$13:$AR$162,BN2127,0)+INDEX($AT$13:$BB$162,BO2127,0)+INDEX($BD$13:$BL$162,BP2127,0))/100))),0)</f>
        <v/>
      </c>
      <c r="BT2127">
        <f>IF(AND(2114&lt;$U$9,$W$5),BQ2127*1000000-MIN(BR2127,999)*1000+BS2127-2114/100000,-1000000000-2114)</f>
        <v/>
      </c>
    </row>
    <row r="2128">
      <c r="BN2128">
        <f>IF(2115&lt;$U$9,INT(2115/($U$7*$U$8))+1,1)</f>
        <v/>
      </c>
      <c r="BO2128">
        <f>IF(2115&lt;$U$9,MOD(INT(2115/$U$8),$U$7)+1,1)</f>
        <v/>
      </c>
      <c r="BP2128">
        <f>IF(2115&lt;$U$9,MOD(2115,$U$8)+1,1)</f>
        <v/>
      </c>
      <c r="BQ2128">
        <f>IF(2115&lt;$U$9,SUMPRODUCT(($D$10:$L$10&lt;&gt;"")*(($D$9:$L$9+INT(($S$12:$AA$12+INDEX($AJ$13:$AR$162,BN2128,0)+INDEX($AT$13:$BB$162,BO2128,0)+INDEX($BD$13:$BL$162,BP2128,0))/100))&gt;=$D$10:$L$10)),0)</f>
        <v/>
      </c>
      <c r="BR2128">
        <f>IF(2115&lt;$U$9,SUMPRODUCT(($D$10:$L$10&lt;&gt;"")*(($D$10:$L$10-($D$9:$L$9+INT(($S$12:$AA$12+INDEX($AJ$13:$AR$162,BN2128,0)+INDEX($AT$13:$BB$162,BO2128,0)+INDEX($BD$13:$BL$162,BP2128,0))/100)))&gt;0)*($D$10:$L$10-($D$9:$L$9+INT(($S$12:$AA$12+INDEX($AJ$13:$AR$162,BN2128,0)+INDEX($AT$13:$BB$162,BO2128,0)+INDEX($BD$13:$BL$162,BP2128,0))/100)))),0)</f>
        <v/>
      </c>
      <c r="BS2128">
        <f>IF(2115&lt;$U$9,SUMPRODUCT(($D$9:$L$9+INT(($S$12:$AA$12+INDEX($AJ$13:$AR$162,BN2128,0)+INDEX($AT$13:$BB$162,BO2128,0)+INDEX($BD$13:$BL$162,BP2128,0))/100))),0)</f>
        <v/>
      </c>
      <c r="BT2128">
        <f>IF(AND(2115&lt;$U$9,$W$5),BQ2128*1000000-MIN(BR2128,999)*1000+BS2128-2115/100000,-1000000000-2115)</f>
        <v/>
      </c>
    </row>
    <row r="2129">
      <c r="BN2129">
        <f>IF(2116&lt;$U$9,INT(2116/($U$7*$U$8))+1,1)</f>
        <v/>
      </c>
      <c r="BO2129">
        <f>IF(2116&lt;$U$9,MOD(INT(2116/$U$8),$U$7)+1,1)</f>
        <v/>
      </c>
      <c r="BP2129">
        <f>IF(2116&lt;$U$9,MOD(2116,$U$8)+1,1)</f>
        <v/>
      </c>
      <c r="BQ2129">
        <f>IF(2116&lt;$U$9,SUMPRODUCT(($D$10:$L$10&lt;&gt;"")*(($D$9:$L$9+INT(($S$12:$AA$12+INDEX($AJ$13:$AR$162,BN2129,0)+INDEX($AT$13:$BB$162,BO2129,0)+INDEX($BD$13:$BL$162,BP2129,0))/100))&gt;=$D$10:$L$10)),0)</f>
        <v/>
      </c>
      <c r="BR2129">
        <f>IF(2116&lt;$U$9,SUMPRODUCT(($D$10:$L$10&lt;&gt;"")*(($D$10:$L$10-($D$9:$L$9+INT(($S$12:$AA$12+INDEX($AJ$13:$AR$162,BN2129,0)+INDEX($AT$13:$BB$162,BO2129,0)+INDEX($BD$13:$BL$162,BP2129,0))/100)))&gt;0)*($D$10:$L$10-($D$9:$L$9+INT(($S$12:$AA$12+INDEX($AJ$13:$AR$162,BN2129,0)+INDEX($AT$13:$BB$162,BO2129,0)+INDEX($BD$13:$BL$162,BP2129,0))/100)))),0)</f>
        <v/>
      </c>
      <c r="BS2129">
        <f>IF(2116&lt;$U$9,SUMPRODUCT(($D$9:$L$9+INT(($S$12:$AA$12+INDEX($AJ$13:$AR$162,BN2129,0)+INDEX($AT$13:$BB$162,BO2129,0)+INDEX($BD$13:$BL$162,BP2129,0))/100))),0)</f>
        <v/>
      </c>
      <c r="BT2129">
        <f>IF(AND(2116&lt;$U$9,$W$5),BQ2129*1000000-MIN(BR2129,999)*1000+BS2129-2116/100000,-1000000000-2116)</f>
        <v/>
      </c>
    </row>
    <row r="2130">
      <c r="BN2130">
        <f>IF(2117&lt;$U$9,INT(2117/($U$7*$U$8))+1,1)</f>
        <v/>
      </c>
      <c r="BO2130">
        <f>IF(2117&lt;$U$9,MOD(INT(2117/$U$8),$U$7)+1,1)</f>
        <v/>
      </c>
      <c r="BP2130">
        <f>IF(2117&lt;$U$9,MOD(2117,$U$8)+1,1)</f>
        <v/>
      </c>
      <c r="BQ2130">
        <f>IF(2117&lt;$U$9,SUMPRODUCT(($D$10:$L$10&lt;&gt;"")*(($D$9:$L$9+INT(($S$12:$AA$12+INDEX($AJ$13:$AR$162,BN2130,0)+INDEX($AT$13:$BB$162,BO2130,0)+INDEX($BD$13:$BL$162,BP2130,0))/100))&gt;=$D$10:$L$10)),0)</f>
        <v/>
      </c>
      <c r="BR2130">
        <f>IF(2117&lt;$U$9,SUMPRODUCT(($D$10:$L$10&lt;&gt;"")*(($D$10:$L$10-($D$9:$L$9+INT(($S$12:$AA$12+INDEX($AJ$13:$AR$162,BN2130,0)+INDEX($AT$13:$BB$162,BO2130,0)+INDEX($BD$13:$BL$162,BP2130,0))/100)))&gt;0)*($D$10:$L$10-($D$9:$L$9+INT(($S$12:$AA$12+INDEX($AJ$13:$AR$162,BN2130,0)+INDEX($AT$13:$BB$162,BO2130,0)+INDEX($BD$13:$BL$162,BP2130,0))/100)))),0)</f>
        <v/>
      </c>
      <c r="BS2130">
        <f>IF(2117&lt;$U$9,SUMPRODUCT(($D$9:$L$9+INT(($S$12:$AA$12+INDEX($AJ$13:$AR$162,BN2130,0)+INDEX($AT$13:$BB$162,BO2130,0)+INDEX($BD$13:$BL$162,BP2130,0))/100))),0)</f>
        <v/>
      </c>
      <c r="BT2130">
        <f>IF(AND(2117&lt;$U$9,$W$5),BQ2130*1000000-MIN(BR2130,999)*1000+BS2130-2117/100000,-1000000000-2117)</f>
        <v/>
      </c>
    </row>
    <row r="2131">
      <c r="BN2131">
        <f>IF(2118&lt;$U$9,INT(2118/($U$7*$U$8))+1,1)</f>
        <v/>
      </c>
      <c r="BO2131">
        <f>IF(2118&lt;$U$9,MOD(INT(2118/$U$8),$U$7)+1,1)</f>
        <v/>
      </c>
      <c r="BP2131">
        <f>IF(2118&lt;$U$9,MOD(2118,$U$8)+1,1)</f>
        <v/>
      </c>
      <c r="BQ2131">
        <f>IF(2118&lt;$U$9,SUMPRODUCT(($D$10:$L$10&lt;&gt;"")*(($D$9:$L$9+INT(($S$12:$AA$12+INDEX($AJ$13:$AR$162,BN2131,0)+INDEX($AT$13:$BB$162,BO2131,0)+INDEX($BD$13:$BL$162,BP2131,0))/100))&gt;=$D$10:$L$10)),0)</f>
        <v/>
      </c>
      <c r="BR2131">
        <f>IF(2118&lt;$U$9,SUMPRODUCT(($D$10:$L$10&lt;&gt;"")*(($D$10:$L$10-($D$9:$L$9+INT(($S$12:$AA$12+INDEX($AJ$13:$AR$162,BN2131,0)+INDEX($AT$13:$BB$162,BO2131,0)+INDEX($BD$13:$BL$162,BP2131,0))/100)))&gt;0)*($D$10:$L$10-($D$9:$L$9+INT(($S$12:$AA$12+INDEX($AJ$13:$AR$162,BN2131,0)+INDEX($AT$13:$BB$162,BO2131,0)+INDEX($BD$13:$BL$162,BP2131,0))/100)))),0)</f>
        <v/>
      </c>
      <c r="BS2131">
        <f>IF(2118&lt;$U$9,SUMPRODUCT(($D$9:$L$9+INT(($S$12:$AA$12+INDEX($AJ$13:$AR$162,BN2131,0)+INDEX($AT$13:$BB$162,BO2131,0)+INDEX($BD$13:$BL$162,BP2131,0))/100))),0)</f>
        <v/>
      </c>
      <c r="BT2131">
        <f>IF(AND(2118&lt;$U$9,$W$5),BQ2131*1000000-MIN(BR2131,999)*1000+BS2131-2118/100000,-1000000000-2118)</f>
        <v/>
      </c>
    </row>
    <row r="2132">
      <c r="BN2132">
        <f>IF(2119&lt;$U$9,INT(2119/($U$7*$U$8))+1,1)</f>
        <v/>
      </c>
      <c r="BO2132">
        <f>IF(2119&lt;$U$9,MOD(INT(2119/$U$8),$U$7)+1,1)</f>
        <v/>
      </c>
      <c r="BP2132">
        <f>IF(2119&lt;$U$9,MOD(2119,$U$8)+1,1)</f>
        <v/>
      </c>
      <c r="BQ2132">
        <f>IF(2119&lt;$U$9,SUMPRODUCT(($D$10:$L$10&lt;&gt;"")*(($D$9:$L$9+INT(($S$12:$AA$12+INDEX($AJ$13:$AR$162,BN2132,0)+INDEX($AT$13:$BB$162,BO2132,0)+INDEX($BD$13:$BL$162,BP2132,0))/100))&gt;=$D$10:$L$10)),0)</f>
        <v/>
      </c>
      <c r="BR2132">
        <f>IF(2119&lt;$U$9,SUMPRODUCT(($D$10:$L$10&lt;&gt;"")*(($D$10:$L$10-($D$9:$L$9+INT(($S$12:$AA$12+INDEX($AJ$13:$AR$162,BN2132,0)+INDEX($AT$13:$BB$162,BO2132,0)+INDEX($BD$13:$BL$162,BP2132,0))/100)))&gt;0)*($D$10:$L$10-($D$9:$L$9+INT(($S$12:$AA$12+INDEX($AJ$13:$AR$162,BN2132,0)+INDEX($AT$13:$BB$162,BO2132,0)+INDEX($BD$13:$BL$162,BP2132,0))/100)))),0)</f>
        <v/>
      </c>
      <c r="BS2132">
        <f>IF(2119&lt;$U$9,SUMPRODUCT(($D$9:$L$9+INT(($S$12:$AA$12+INDEX($AJ$13:$AR$162,BN2132,0)+INDEX($AT$13:$BB$162,BO2132,0)+INDEX($BD$13:$BL$162,BP2132,0))/100))),0)</f>
        <v/>
      </c>
      <c r="BT2132">
        <f>IF(AND(2119&lt;$U$9,$W$5),BQ2132*1000000-MIN(BR2132,999)*1000+BS2132-2119/100000,-1000000000-2119)</f>
        <v/>
      </c>
    </row>
    <row r="2133">
      <c r="BN2133">
        <f>IF(2120&lt;$U$9,INT(2120/($U$7*$U$8))+1,1)</f>
        <v/>
      </c>
      <c r="BO2133">
        <f>IF(2120&lt;$U$9,MOD(INT(2120/$U$8),$U$7)+1,1)</f>
        <v/>
      </c>
      <c r="BP2133">
        <f>IF(2120&lt;$U$9,MOD(2120,$U$8)+1,1)</f>
        <v/>
      </c>
      <c r="BQ2133">
        <f>IF(2120&lt;$U$9,SUMPRODUCT(($D$10:$L$10&lt;&gt;"")*(($D$9:$L$9+INT(($S$12:$AA$12+INDEX($AJ$13:$AR$162,BN2133,0)+INDEX($AT$13:$BB$162,BO2133,0)+INDEX($BD$13:$BL$162,BP2133,0))/100))&gt;=$D$10:$L$10)),0)</f>
        <v/>
      </c>
      <c r="BR2133">
        <f>IF(2120&lt;$U$9,SUMPRODUCT(($D$10:$L$10&lt;&gt;"")*(($D$10:$L$10-($D$9:$L$9+INT(($S$12:$AA$12+INDEX($AJ$13:$AR$162,BN2133,0)+INDEX($AT$13:$BB$162,BO2133,0)+INDEX($BD$13:$BL$162,BP2133,0))/100)))&gt;0)*($D$10:$L$10-($D$9:$L$9+INT(($S$12:$AA$12+INDEX($AJ$13:$AR$162,BN2133,0)+INDEX($AT$13:$BB$162,BO2133,0)+INDEX($BD$13:$BL$162,BP2133,0))/100)))),0)</f>
        <v/>
      </c>
      <c r="BS2133">
        <f>IF(2120&lt;$U$9,SUMPRODUCT(($D$9:$L$9+INT(($S$12:$AA$12+INDEX($AJ$13:$AR$162,BN2133,0)+INDEX($AT$13:$BB$162,BO2133,0)+INDEX($BD$13:$BL$162,BP2133,0))/100))),0)</f>
        <v/>
      </c>
      <c r="BT2133">
        <f>IF(AND(2120&lt;$U$9,$W$5),BQ2133*1000000-MIN(BR2133,999)*1000+BS2133-2120/100000,-1000000000-2120)</f>
        <v/>
      </c>
    </row>
    <row r="2134">
      <c r="BN2134">
        <f>IF(2121&lt;$U$9,INT(2121/($U$7*$U$8))+1,1)</f>
        <v/>
      </c>
      <c r="BO2134">
        <f>IF(2121&lt;$U$9,MOD(INT(2121/$U$8),$U$7)+1,1)</f>
        <v/>
      </c>
      <c r="BP2134">
        <f>IF(2121&lt;$U$9,MOD(2121,$U$8)+1,1)</f>
        <v/>
      </c>
      <c r="BQ2134">
        <f>IF(2121&lt;$U$9,SUMPRODUCT(($D$10:$L$10&lt;&gt;"")*(($D$9:$L$9+INT(($S$12:$AA$12+INDEX($AJ$13:$AR$162,BN2134,0)+INDEX($AT$13:$BB$162,BO2134,0)+INDEX($BD$13:$BL$162,BP2134,0))/100))&gt;=$D$10:$L$10)),0)</f>
        <v/>
      </c>
      <c r="BR2134">
        <f>IF(2121&lt;$U$9,SUMPRODUCT(($D$10:$L$10&lt;&gt;"")*(($D$10:$L$10-($D$9:$L$9+INT(($S$12:$AA$12+INDEX($AJ$13:$AR$162,BN2134,0)+INDEX($AT$13:$BB$162,BO2134,0)+INDEX($BD$13:$BL$162,BP2134,0))/100)))&gt;0)*($D$10:$L$10-($D$9:$L$9+INT(($S$12:$AA$12+INDEX($AJ$13:$AR$162,BN2134,0)+INDEX($AT$13:$BB$162,BO2134,0)+INDEX($BD$13:$BL$162,BP2134,0))/100)))),0)</f>
        <v/>
      </c>
      <c r="BS2134">
        <f>IF(2121&lt;$U$9,SUMPRODUCT(($D$9:$L$9+INT(($S$12:$AA$12+INDEX($AJ$13:$AR$162,BN2134,0)+INDEX($AT$13:$BB$162,BO2134,0)+INDEX($BD$13:$BL$162,BP2134,0))/100))),0)</f>
        <v/>
      </c>
      <c r="BT2134">
        <f>IF(AND(2121&lt;$U$9,$W$5),BQ2134*1000000-MIN(BR2134,999)*1000+BS2134-2121/100000,-1000000000-2121)</f>
        <v/>
      </c>
    </row>
    <row r="2135">
      <c r="BN2135">
        <f>IF(2122&lt;$U$9,INT(2122/($U$7*$U$8))+1,1)</f>
        <v/>
      </c>
      <c r="BO2135">
        <f>IF(2122&lt;$U$9,MOD(INT(2122/$U$8),$U$7)+1,1)</f>
        <v/>
      </c>
      <c r="BP2135">
        <f>IF(2122&lt;$U$9,MOD(2122,$U$8)+1,1)</f>
        <v/>
      </c>
      <c r="BQ2135">
        <f>IF(2122&lt;$U$9,SUMPRODUCT(($D$10:$L$10&lt;&gt;"")*(($D$9:$L$9+INT(($S$12:$AA$12+INDEX($AJ$13:$AR$162,BN2135,0)+INDEX($AT$13:$BB$162,BO2135,0)+INDEX($BD$13:$BL$162,BP2135,0))/100))&gt;=$D$10:$L$10)),0)</f>
        <v/>
      </c>
      <c r="BR2135">
        <f>IF(2122&lt;$U$9,SUMPRODUCT(($D$10:$L$10&lt;&gt;"")*(($D$10:$L$10-($D$9:$L$9+INT(($S$12:$AA$12+INDEX($AJ$13:$AR$162,BN2135,0)+INDEX($AT$13:$BB$162,BO2135,0)+INDEX($BD$13:$BL$162,BP2135,0))/100)))&gt;0)*($D$10:$L$10-($D$9:$L$9+INT(($S$12:$AA$12+INDEX($AJ$13:$AR$162,BN2135,0)+INDEX($AT$13:$BB$162,BO2135,0)+INDEX($BD$13:$BL$162,BP2135,0))/100)))),0)</f>
        <v/>
      </c>
      <c r="BS2135">
        <f>IF(2122&lt;$U$9,SUMPRODUCT(($D$9:$L$9+INT(($S$12:$AA$12+INDEX($AJ$13:$AR$162,BN2135,0)+INDEX($AT$13:$BB$162,BO2135,0)+INDEX($BD$13:$BL$162,BP2135,0))/100))),0)</f>
        <v/>
      </c>
      <c r="BT2135">
        <f>IF(AND(2122&lt;$U$9,$W$5),BQ2135*1000000-MIN(BR2135,999)*1000+BS2135-2122/100000,-1000000000-2122)</f>
        <v/>
      </c>
    </row>
    <row r="2136">
      <c r="BN2136">
        <f>IF(2123&lt;$U$9,INT(2123/($U$7*$U$8))+1,1)</f>
        <v/>
      </c>
      <c r="BO2136">
        <f>IF(2123&lt;$U$9,MOD(INT(2123/$U$8),$U$7)+1,1)</f>
        <v/>
      </c>
      <c r="BP2136">
        <f>IF(2123&lt;$U$9,MOD(2123,$U$8)+1,1)</f>
        <v/>
      </c>
      <c r="BQ2136">
        <f>IF(2123&lt;$U$9,SUMPRODUCT(($D$10:$L$10&lt;&gt;"")*(($D$9:$L$9+INT(($S$12:$AA$12+INDEX($AJ$13:$AR$162,BN2136,0)+INDEX($AT$13:$BB$162,BO2136,0)+INDEX($BD$13:$BL$162,BP2136,0))/100))&gt;=$D$10:$L$10)),0)</f>
        <v/>
      </c>
      <c r="BR2136">
        <f>IF(2123&lt;$U$9,SUMPRODUCT(($D$10:$L$10&lt;&gt;"")*(($D$10:$L$10-($D$9:$L$9+INT(($S$12:$AA$12+INDEX($AJ$13:$AR$162,BN2136,0)+INDEX($AT$13:$BB$162,BO2136,0)+INDEX($BD$13:$BL$162,BP2136,0))/100)))&gt;0)*($D$10:$L$10-($D$9:$L$9+INT(($S$12:$AA$12+INDEX($AJ$13:$AR$162,BN2136,0)+INDEX($AT$13:$BB$162,BO2136,0)+INDEX($BD$13:$BL$162,BP2136,0))/100)))),0)</f>
        <v/>
      </c>
      <c r="BS2136">
        <f>IF(2123&lt;$U$9,SUMPRODUCT(($D$9:$L$9+INT(($S$12:$AA$12+INDEX($AJ$13:$AR$162,BN2136,0)+INDEX($AT$13:$BB$162,BO2136,0)+INDEX($BD$13:$BL$162,BP2136,0))/100))),0)</f>
        <v/>
      </c>
      <c r="BT2136">
        <f>IF(AND(2123&lt;$U$9,$W$5),BQ2136*1000000-MIN(BR2136,999)*1000+BS2136-2123/100000,-1000000000-2123)</f>
        <v/>
      </c>
    </row>
    <row r="2137">
      <c r="BN2137">
        <f>IF(2124&lt;$U$9,INT(2124/($U$7*$U$8))+1,1)</f>
        <v/>
      </c>
      <c r="BO2137">
        <f>IF(2124&lt;$U$9,MOD(INT(2124/$U$8),$U$7)+1,1)</f>
        <v/>
      </c>
      <c r="BP2137">
        <f>IF(2124&lt;$U$9,MOD(2124,$U$8)+1,1)</f>
        <v/>
      </c>
      <c r="BQ2137">
        <f>IF(2124&lt;$U$9,SUMPRODUCT(($D$10:$L$10&lt;&gt;"")*(($D$9:$L$9+INT(($S$12:$AA$12+INDEX($AJ$13:$AR$162,BN2137,0)+INDEX($AT$13:$BB$162,BO2137,0)+INDEX($BD$13:$BL$162,BP2137,0))/100))&gt;=$D$10:$L$10)),0)</f>
        <v/>
      </c>
      <c r="BR2137">
        <f>IF(2124&lt;$U$9,SUMPRODUCT(($D$10:$L$10&lt;&gt;"")*(($D$10:$L$10-($D$9:$L$9+INT(($S$12:$AA$12+INDEX($AJ$13:$AR$162,BN2137,0)+INDEX($AT$13:$BB$162,BO2137,0)+INDEX($BD$13:$BL$162,BP2137,0))/100)))&gt;0)*($D$10:$L$10-($D$9:$L$9+INT(($S$12:$AA$12+INDEX($AJ$13:$AR$162,BN2137,0)+INDEX($AT$13:$BB$162,BO2137,0)+INDEX($BD$13:$BL$162,BP2137,0))/100)))),0)</f>
        <v/>
      </c>
      <c r="BS2137">
        <f>IF(2124&lt;$U$9,SUMPRODUCT(($D$9:$L$9+INT(($S$12:$AA$12+INDEX($AJ$13:$AR$162,BN2137,0)+INDEX($AT$13:$BB$162,BO2137,0)+INDEX($BD$13:$BL$162,BP2137,0))/100))),0)</f>
        <v/>
      </c>
      <c r="BT2137">
        <f>IF(AND(2124&lt;$U$9,$W$5),BQ2137*1000000-MIN(BR2137,999)*1000+BS2137-2124/100000,-1000000000-2124)</f>
        <v/>
      </c>
    </row>
    <row r="2138">
      <c r="BN2138">
        <f>IF(2125&lt;$U$9,INT(2125/($U$7*$U$8))+1,1)</f>
        <v/>
      </c>
      <c r="BO2138">
        <f>IF(2125&lt;$U$9,MOD(INT(2125/$U$8),$U$7)+1,1)</f>
        <v/>
      </c>
      <c r="BP2138">
        <f>IF(2125&lt;$U$9,MOD(2125,$U$8)+1,1)</f>
        <v/>
      </c>
      <c r="BQ2138">
        <f>IF(2125&lt;$U$9,SUMPRODUCT(($D$10:$L$10&lt;&gt;"")*(($D$9:$L$9+INT(($S$12:$AA$12+INDEX($AJ$13:$AR$162,BN2138,0)+INDEX($AT$13:$BB$162,BO2138,0)+INDEX($BD$13:$BL$162,BP2138,0))/100))&gt;=$D$10:$L$10)),0)</f>
        <v/>
      </c>
      <c r="BR2138">
        <f>IF(2125&lt;$U$9,SUMPRODUCT(($D$10:$L$10&lt;&gt;"")*(($D$10:$L$10-($D$9:$L$9+INT(($S$12:$AA$12+INDEX($AJ$13:$AR$162,BN2138,0)+INDEX($AT$13:$BB$162,BO2138,0)+INDEX($BD$13:$BL$162,BP2138,0))/100)))&gt;0)*($D$10:$L$10-($D$9:$L$9+INT(($S$12:$AA$12+INDEX($AJ$13:$AR$162,BN2138,0)+INDEX($AT$13:$BB$162,BO2138,0)+INDEX($BD$13:$BL$162,BP2138,0))/100)))),0)</f>
        <v/>
      </c>
      <c r="BS2138">
        <f>IF(2125&lt;$U$9,SUMPRODUCT(($D$9:$L$9+INT(($S$12:$AA$12+INDEX($AJ$13:$AR$162,BN2138,0)+INDEX($AT$13:$BB$162,BO2138,0)+INDEX($BD$13:$BL$162,BP2138,0))/100))),0)</f>
        <v/>
      </c>
      <c r="BT2138">
        <f>IF(AND(2125&lt;$U$9,$W$5),BQ2138*1000000-MIN(BR2138,999)*1000+BS2138-2125/100000,-1000000000-2125)</f>
        <v/>
      </c>
    </row>
    <row r="2139">
      <c r="BN2139">
        <f>IF(2126&lt;$U$9,INT(2126/($U$7*$U$8))+1,1)</f>
        <v/>
      </c>
      <c r="BO2139">
        <f>IF(2126&lt;$U$9,MOD(INT(2126/$U$8),$U$7)+1,1)</f>
        <v/>
      </c>
      <c r="BP2139">
        <f>IF(2126&lt;$U$9,MOD(2126,$U$8)+1,1)</f>
        <v/>
      </c>
      <c r="BQ2139">
        <f>IF(2126&lt;$U$9,SUMPRODUCT(($D$10:$L$10&lt;&gt;"")*(($D$9:$L$9+INT(($S$12:$AA$12+INDEX($AJ$13:$AR$162,BN2139,0)+INDEX($AT$13:$BB$162,BO2139,0)+INDEX($BD$13:$BL$162,BP2139,0))/100))&gt;=$D$10:$L$10)),0)</f>
        <v/>
      </c>
      <c r="BR2139">
        <f>IF(2126&lt;$U$9,SUMPRODUCT(($D$10:$L$10&lt;&gt;"")*(($D$10:$L$10-($D$9:$L$9+INT(($S$12:$AA$12+INDEX($AJ$13:$AR$162,BN2139,0)+INDEX($AT$13:$BB$162,BO2139,0)+INDEX($BD$13:$BL$162,BP2139,0))/100)))&gt;0)*($D$10:$L$10-($D$9:$L$9+INT(($S$12:$AA$12+INDEX($AJ$13:$AR$162,BN2139,0)+INDEX($AT$13:$BB$162,BO2139,0)+INDEX($BD$13:$BL$162,BP2139,0))/100)))),0)</f>
        <v/>
      </c>
      <c r="BS2139">
        <f>IF(2126&lt;$U$9,SUMPRODUCT(($D$9:$L$9+INT(($S$12:$AA$12+INDEX($AJ$13:$AR$162,BN2139,0)+INDEX($AT$13:$BB$162,BO2139,0)+INDEX($BD$13:$BL$162,BP2139,0))/100))),0)</f>
        <v/>
      </c>
      <c r="BT2139">
        <f>IF(AND(2126&lt;$U$9,$W$5),BQ2139*1000000-MIN(BR2139,999)*1000+BS2139-2126/100000,-1000000000-2126)</f>
        <v/>
      </c>
    </row>
    <row r="2140">
      <c r="BN2140">
        <f>IF(2127&lt;$U$9,INT(2127/($U$7*$U$8))+1,1)</f>
        <v/>
      </c>
      <c r="BO2140">
        <f>IF(2127&lt;$U$9,MOD(INT(2127/$U$8),$U$7)+1,1)</f>
        <v/>
      </c>
      <c r="BP2140">
        <f>IF(2127&lt;$U$9,MOD(2127,$U$8)+1,1)</f>
        <v/>
      </c>
      <c r="BQ2140">
        <f>IF(2127&lt;$U$9,SUMPRODUCT(($D$10:$L$10&lt;&gt;"")*(($D$9:$L$9+INT(($S$12:$AA$12+INDEX($AJ$13:$AR$162,BN2140,0)+INDEX($AT$13:$BB$162,BO2140,0)+INDEX($BD$13:$BL$162,BP2140,0))/100))&gt;=$D$10:$L$10)),0)</f>
        <v/>
      </c>
      <c r="BR2140">
        <f>IF(2127&lt;$U$9,SUMPRODUCT(($D$10:$L$10&lt;&gt;"")*(($D$10:$L$10-($D$9:$L$9+INT(($S$12:$AA$12+INDEX($AJ$13:$AR$162,BN2140,0)+INDEX($AT$13:$BB$162,BO2140,0)+INDEX($BD$13:$BL$162,BP2140,0))/100)))&gt;0)*($D$10:$L$10-($D$9:$L$9+INT(($S$12:$AA$12+INDEX($AJ$13:$AR$162,BN2140,0)+INDEX($AT$13:$BB$162,BO2140,0)+INDEX($BD$13:$BL$162,BP2140,0))/100)))),0)</f>
        <v/>
      </c>
      <c r="BS2140">
        <f>IF(2127&lt;$U$9,SUMPRODUCT(($D$9:$L$9+INT(($S$12:$AA$12+INDEX($AJ$13:$AR$162,BN2140,0)+INDEX($AT$13:$BB$162,BO2140,0)+INDEX($BD$13:$BL$162,BP2140,0))/100))),0)</f>
        <v/>
      </c>
      <c r="BT2140">
        <f>IF(AND(2127&lt;$U$9,$W$5),BQ2140*1000000-MIN(BR2140,999)*1000+BS2140-2127/100000,-1000000000-2127)</f>
        <v/>
      </c>
    </row>
    <row r="2141">
      <c r="BN2141">
        <f>IF(2128&lt;$U$9,INT(2128/($U$7*$U$8))+1,1)</f>
        <v/>
      </c>
      <c r="BO2141">
        <f>IF(2128&lt;$U$9,MOD(INT(2128/$U$8),$U$7)+1,1)</f>
        <v/>
      </c>
      <c r="BP2141">
        <f>IF(2128&lt;$U$9,MOD(2128,$U$8)+1,1)</f>
        <v/>
      </c>
      <c r="BQ2141">
        <f>IF(2128&lt;$U$9,SUMPRODUCT(($D$10:$L$10&lt;&gt;"")*(($D$9:$L$9+INT(($S$12:$AA$12+INDEX($AJ$13:$AR$162,BN2141,0)+INDEX($AT$13:$BB$162,BO2141,0)+INDEX($BD$13:$BL$162,BP2141,0))/100))&gt;=$D$10:$L$10)),0)</f>
        <v/>
      </c>
      <c r="BR2141">
        <f>IF(2128&lt;$U$9,SUMPRODUCT(($D$10:$L$10&lt;&gt;"")*(($D$10:$L$10-($D$9:$L$9+INT(($S$12:$AA$12+INDEX($AJ$13:$AR$162,BN2141,0)+INDEX($AT$13:$BB$162,BO2141,0)+INDEX($BD$13:$BL$162,BP2141,0))/100)))&gt;0)*($D$10:$L$10-($D$9:$L$9+INT(($S$12:$AA$12+INDEX($AJ$13:$AR$162,BN2141,0)+INDEX($AT$13:$BB$162,BO2141,0)+INDEX($BD$13:$BL$162,BP2141,0))/100)))),0)</f>
        <v/>
      </c>
      <c r="BS2141">
        <f>IF(2128&lt;$U$9,SUMPRODUCT(($D$9:$L$9+INT(($S$12:$AA$12+INDEX($AJ$13:$AR$162,BN2141,0)+INDEX($AT$13:$BB$162,BO2141,0)+INDEX($BD$13:$BL$162,BP2141,0))/100))),0)</f>
        <v/>
      </c>
      <c r="BT2141">
        <f>IF(AND(2128&lt;$U$9,$W$5),BQ2141*1000000-MIN(BR2141,999)*1000+BS2141-2128/100000,-1000000000-2128)</f>
        <v/>
      </c>
    </row>
    <row r="2142">
      <c r="BN2142">
        <f>IF(2129&lt;$U$9,INT(2129/($U$7*$U$8))+1,1)</f>
        <v/>
      </c>
      <c r="BO2142">
        <f>IF(2129&lt;$U$9,MOD(INT(2129/$U$8),$U$7)+1,1)</f>
        <v/>
      </c>
      <c r="BP2142">
        <f>IF(2129&lt;$U$9,MOD(2129,$U$8)+1,1)</f>
        <v/>
      </c>
      <c r="BQ2142">
        <f>IF(2129&lt;$U$9,SUMPRODUCT(($D$10:$L$10&lt;&gt;"")*(($D$9:$L$9+INT(($S$12:$AA$12+INDEX($AJ$13:$AR$162,BN2142,0)+INDEX($AT$13:$BB$162,BO2142,0)+INDEX($BD$13:$BL$162,BP2142,0))/100))&gt;=$D$10:$L$10)),0)</f>
        <v/>
      </c>
      <c r="BR2142">
        <f>IF(2129&lt;$U$9,SUMPRODUCT(($D$10:$L$10&lt;&gt;"")*(($D$10:$L$10-($D$9:$L$9+INT(($S$12:$AA$12+INDEX($AJ$13:$AR$162,BN2142,0)+INDEX($AT$13:$BB$162,BO2142,0)+INDEX($BD$13:$BL$162,BP2142,0))/100)))&gt;0)*($D$10:$L$10-($D$9:$L$9+INT(($S$12:$AA$12+INDEX($AJ$13:$AR$162,BN2142,0)+INDEX($AT$13:$BB$162,BO2142,0)+INDEX($BD$13:$BL$162,BP2142,0))/100)))),0)</f>
        <v/>
      </c>
      <c r="BS2142">
        <f>IF(2129&lt;$U$9,SUMPRODUCT(($D$9:$L$9+INT(($S$12:$AA$12+INDEX($AJ$13:$AR$162,BN2142,0)+INDEX($AT$13:$BB$162,BO2142,0)+INDEX($BD$13:$BL$162,BP2142,0))/100))),0)</f>
        <v/>
      </c>
      <c r="BT2142">
        <f>IF(AND(2129&lt;$U$9,$W$5),BQ2142*1000000-MIN(BR2142,999)*1000+BS2142-2129/100000,-1000000000-2129)</f>
        <v/>
      </c>
    </row>
    <row r="2143">
      <c r="BN2143">
        <f>IF(2130&lt;$U$9,INT(2130/($U$7*$U$8))+1,1)</f>
        <v/>
      </c>
      <c r="BO2143">
        <f>IF(2130&lt;$U$9,MOD(INT(2130/$U$8),$U$7)+1,1)</f>
        <v/>
      </c>
      <c r="BP2143">
        <f>IF(2130&lt;$U$9,MOD(2130,$U$8)+1,1)</f>
        <v/>
      </c>
      <c r="BQ2143">
        <f>IF(2130&lt;$U$9,SUMPRODUCT(($D$10:$L$10&lt;&gt;"")*(($D$9:$L$9+INT(($S$12:$AA$12+INDEX($AJ$13:$AR$162,BN2143,0)+INDEX($AT$13:$BB$162,BO2143,0)+INDEX($BD$13:$BL$162,BP2143,0))/100))&gt;=$D$10:$L$10)),0)</f>
        <v/>
      </c>
      <c r="BR2143">
        <f>IF(2130&lt;$U$9,SUMPRODUCT(($D$10:$L$10&lt;&gt;"")*(($D$10:$L$10-($D$9:$L$9+INT(($S$12:$AA$12+INDEX($AJ$13:$AR$162,BN2143,0)+INDEX($AT$13:$BB$162,BO2143,0)+INDEX($BD$13:$BL$162,BP2143,0))/100)))&gt;0)*($D$10:$L$10-($D$9:$L$9+INT(($S$12:$AA$12+INDEX($AJ$13:$AR$162,BN2143,0)+INDEX($AT$13:$BB$162,BO2143,0)+INDEX($BD$13:$BL$162,BP2143,0))/100)))),0)</f>
        <v/>
      </c>
      <c r="BS2143">
        <f>IF(2130&lt;$U$9,SUMPRODUCT(($D$9:$L$9+INT(($S$12:$AA$12+INDEX($AJ$13:$AR$162,BN2143,0)+INDEX($AT$13:$BB$162,BO2143,0)+INDEX($BD$13:$BL$162,BP2143,0))/100))),0)</f>
        <v/>
      </c>
      <c r="BT2143">
        <f>IF(AND(2130&lt;$U$9,$W$5),BQ2143*1000000-MIN(BR2143,999)*1000+BS2143-2130/100000,-1000000000-2130)</f>
        <v/>
      </c>
    </row>
    <row r="2144">
      <c r="BN2144">
        <f>IF(2131&lt;$U$9,INT(2131/($U$7*$U$8))+1,1)</f>
        <v/>
      </c>
      <c r="BO2144">
        <f>IF(2131&lt;$U$9,MOD(INT(2131/$U$8),$U$7)+1,1)</f>
        <v/>
      </c>
      <c r="BP2144">
        <f>IF(2131&lt;$U$9,MOD(2131,$U$8)+1,1)</f>
        <v/>
      </c>
      <c r="BQ2144">
        <f>IF(2131&lt;$U$9,SUMPRODUCT(($D$10:$L$10&lt;&gt;"")*(($D$9:$L$9+INT(($S$12:$AA$12+INDEX($AJ$13:$AR$162,BN2144,0)+INDEX($AT$13:$BB$162,BO2144,0)+INDEX($BD$13:$BL$162,BP2144,0))/100))&gt;=$D$10:$L$10)),0)</f>
        <v/>
      </c>
      <c r="BR2144">
        <f>IF(2131&lt;$U$9,SUMPRODUCT(($D$10:$L$10&lt;&gt;"")*(($D$10:$L$10-($D$9:$L$9+INT(($S$12:$AA$12+INDEX($AJ$13:$AR$162,BN2144,0)+INDEX($AT$13:$BB$162,BO2144,0)+INDEX($BD$13:$BL$162,BP2144,0))/100)))&gt;0)*($D$10:$L$10-($D$9:$L$9+INT(($S$12:$AA$12+INDEX($AJ$13:$AR$162,BN2144,0)+INDEX($AT$13:$BB$162,BO2144,0)+INDEX($BD$13:$BL$162,BP2144,0))/100)))),0)</f>
        <v/>
      </c>
      <c r="BS2144">
        <f>IF(2131&lt;$U$9,SUMPRODUCT(($D$9:$L$9+INT(($S$12:$AA$12+INDEX($AJ$13:$AR$162,BN2144,0)+INDEX($AT$13:$BB$162,BO2144,0)+INDEX($BD$13:$BL$162,BP2144,0))/100))),0)</f>
        <v/>
      </c>
      <c r="BT2144">
        <f>IF(AND(2131&lt;$U$9,$W$5),BQ2144*1000000-MIN(BR2144,999)*1000+BS2144-2131/100000,-1000000000-2131)</f>
        <v/>
      </c>
    </row>
    <row r="2145">
      <c r="BN2145">
        <f>IF(2132&lt;$U$9,INT(2132/($U$7*$U$8))+1,1)</f>
        <v/>
      </c>
      <c r="BO2145">
        <f>IF(2132&lt;$U$9,MOD(INT(2132/$U$8),$U$7)+1,1)</f>
        <v/>
      </c>
      <c r="BP2145">
        <f>IF(2132&lt;$U$9,MOD(2132,$U$8)+1,1)</f>
        <v/>
      </c>
      <c r="BQ2145">
        <f>IF(2132&lt;$U$9,SUMPRODUCT(($D$10:$L$10&lt;&gt;"")*(($D$9:$L$9+INT(($S$12:$AA$12+INDEX($AJ$13:$AR$162,BN2145,0)+INDEX($AT$13:$BB$162,BO2145,0)+INDEX($BD$13:$BL$162,BP2145,0))/100))&gt;=$D$10:$L$10)),0)</f>
        <v/>
      </c>
      <c r="BR2145">
        <f>IF(2132&lt;$U$9,SUMPRODUCT(($D$10:$L$10&lt;&gt;"")*(($D$10:$L$10-($D$9:$L$9+INT(($S$12:$AA$12+INDEX($AJ$13:$AR$162,BN2145,0)+INDEX($AT$13:$BB$162,BO2145,0)+INDEX($BD$13:$BL$162,BP2145,0))/100)))&gt;0)*($D$10:$L$10-($D$9:$L$9+INT(($S$12:$AA$12+INDEX($AJ$13:$AR$162,BN2145,0)+INDEX($AT$13:$BB$162,BO2145,0)+INDEX($BD$13:$BL$162,BP2145,0))/100)))),0)</f>
        <v/>
      </c>
      <c r="BS2145">
        <f>IF(2132&lt;$U$9,SUMPRODUCT(($D$9:$L$9+INT(($S$12:$AA$12+INDEX($AJ$13:$AR$162,BN2145,0)+INDEX($AT$13:$BB$162,BO2145,0)+INDEX($BD$13:$BL$162,BP2145,0))/100))),0)</f>
        <v/>
      </c>
      <c r="BT2145">
        <f>IF(AND(2132&lt;$U$9,$W$5),BQ2145*1000000-MIN(BR2145,999)*1000+BS2145-2132/100000,-1000000000-2132)</f>
        <v/>
      </c>
    </row>
    <row r="2146">
      <c r="BN2146">
        <f>IF(2133&lt;$U$9,INT(2133/($U$7*$U$8))+1,1)</f>
        <v/>
      </c>
      <c r="BO2146">
        <f>IF(2133&lt;$U$9,MOD(INT(2133/$U$8),$U$7)+1,1)</f>
        <v/>
      </c>
      <c r="BP2146">
        <f>IF(2133&lt;$U$9,MOD(2133,$U$8)+1,1)</f>
        <v/>
      </c>
      <c r="BQ2146">
        <f>IF(2133&lt;$U$9,SUMPRODUCT(($D$10:$L$10&lt;&gt;"")*(($D$9:$L$9+INT(($S$12:$AA$12+INDEX($AJ$13:$AR$162,BN2146,0)+INDEX($AT$13:$BB$162,BO2146,0)+INDEX($BD$13:$BL$162,BP2146,0))/100))&gt;=$D$10:$L$10)),0)</f>
        <v/>
      </c>
      <c r="BR2146">
        <f>IF(2133&lt;$U$9,SUMPRODUCT(($D$10:$L$10&lt;&gt;"")*(($D$10:$L$10-($D$9:$L$9+INT(($S$12:$AA$12+INDEX($AJ$13:$AR$162,BN2146,0)+INDEX($AT$13:$BB$162,BO2146,0)+INDEX($BD$13:$BL$162,BP2146,0))/100)))&gt;0)*($D$10:$L$10-($D$9:$L$9+INT(($S$12:$AA$12+INDEX($AJ$13:$AR$162,BN2146,0)+INDEX($AT$13:$BB$162,BO2146,0)+INDEX($BD$13:$BL$162,BP2146,0))/100)))),0)</f>
        <v/>
      </c>
      <c r="BS2146">
        <f>IF(2133&lt;$U$9,SUMPRODUCT(($D$9:$L$9+INT(($S$12:$AA$12+INDEX($AJ$13:$AR$162,BN2146,0)+INDEX($AT$13:$BB$162,BO2146,0)+INDEX($BD$13:$BL$162,BP2146,0))/100))),0)</f>
        <v/>
      </c>
      <c r="BT2146">
        <f>IF(AND(2133&lt;$U$9,$W$5),BQ2146*1000000-MIN(BR2146,999)*1000+BS2146-2133/100000,-1000000000-2133)</f>
        <v/>
      </c>
    </row>
    <row r="2147">
      <c r="BN2147">
        <f>IF(2134&lt;$U$9,INT(2134/($U$7*$U$8))+1,1)</f>
        <v/>
      </c>
      <c r="BO2147">
        <f>IF(2134&lt;$U$9,MOD(INT(2134/$U$8),$U$7)+1,1)</f>
        <v/>
      </c>
      <c r="BP2147">
        <f>IF(2134&lt;$U$9,MOD(2134,$U$8)+1,1)</f>
        <v/>
      </c>
      <c r="BQ2147">
        <f>IF(2134&lt;$U$9,SUMPRODUCT(($D$10:$L$10&lt;&gt;"")*(($D$9:$L$9+INT(($S$12:$AA$12+INDEX($AJ$13:$AR$162,BN2147,0)+INDEX($AT$13:$BB$162,BO2147,0)+INDEX($BD$13:$BL$162,BP2147,0))/100))&gt;=$D$10:$L$10)),0)</f>
        <v/>
      </c>
      <c r="BR2147">
        <f>IF(2134&lt;$U$9,SUMPRODUCT(($D$10:$L$10&lt;&gt;"")*(($D$10:$L$10-($D$9:$L$9+INT(($S$12:$AA$12+INDEX($AJ$13:$AR$162,BN2147,0)+INDEX($AT$13:$BB$162,BO2147,0)+INDEX($BD$13:$BL$162,BP2147,0))/100)))&gt;0)*($D$10:$L$10-($D$9:$L$9+INT(($S$12:$AA$12+INDEX($AJ$13:$AR$162,BN2147,0)+INDEX($AT$13:$BB$162,BO2147,0)+INDEX($BD$13:$BL$162,BP2147,0))/100)))),0)</f>
        <v/>
      </c>
      <c r="BS2147">
        <f>IF(2134&lt;$U$9,SUMPRODUCT(($D$9:$L$9+INT(($S$12:$AA$12+INDEX($AJ$13:$AR$162,BN2147,0)+INDEX($AT$13:$BB$162,BO2147,0)+INDEX($BD$13:$BL$162,BP2147,0))/100))),0)</f>
        <v/>
      </c>
      <c r="BT2147">
        <f>IF(AND(2134&lt;$U$9,$W$5),BQ2147*1000000-MIN(BR2147,999)*1000+BS2147-2134/100000,-1000000000-2134)</f>
        <v/>
      </c>
    </row>
    <row r="2148">
      <c r="BN2148">
        <f>IF(2135&lt;$U$9,INT(2135/($U$7*$U$8))+1,1)</f>
        <v/>
      </c>
      <c r="BO2148">
        <f>IF(2135&lt;$U$9,MOD(INT(2135/$U$8),$U$7)+1,1)</f>
        <v/>
      </c>
      <c r="BP2148">
        <f>IF(2135&lt;$U$9,MOD(2135,$U$8)+1,1)</f>
        <v/>
      </c>
      <c r="BQ2148">
        <f>IF(2135&lt;$U$9,SUMPRODUCT(($D$10:$L$10&lt;&gt;"")*(($D$9:$L$9+INT(($S$12:$AA$12+INDEX($AJ$13:$AR$162,BN2148,0)+INDEX($AT$13:$BB$162,BO2148,0)+INDEX($BD$13:$BL$162,BP2148,0))/100))&gt;=$D$10:$L$10)),0)</f>
        <v/>
      </c>
      <c r="BR2148">
        <f>IF(2135&lt;$U$9,SUMPRODUCT(($D$10:$L$10&lt;&gt;"")*(($D$10:$L$10-($D$9:$L$9+INT(($S$12:$AA$12+INDEX($AJ$13:$AR$162,BN2148,0)+INDEX($AT$13:$BB$162,BO2148,0)+INDEX($BD$13:$BL$162,BP2148,0))/100)))&gt;0)*($D$10:$L$10-($D$9:$L$9+INT(($S$12:$AA$12+INDEX($AJ$13:$AR$162,BN2148,0)+INDEX($AT$13:$BB$162,BO2148,0)+INDEX($BD$13:$BL$162,BP2148,0))/100)))),0)</f>
        <v/>
      </c>
      <c r="BS2148">
        <f>IF(2135&lt;$U$9,SUMPRODUCT(($D$9:$L$9+INT(($S$12:$AA$12+INDEX($AJ$13:$AR$162,BN2148,0)+INDEX($AT$13:$BB$162,BO2148,0)+INDEX($BD$13:$BL$162,BP2148,0))/100))),0)</f>
        <v/>
      </c>
      <c r="BT2148">
        <f>IF(AND(2135&lt;$U$9,$W$5),BQ2148*1000000-MIN(BR2148,999)*1000+BS2148-2135/100000,-1000000000-2135)</f>
        <v/>
      </c>
    </row>
    <row r="2149">
      <c r="BN2149">
        <f>IF(2136&lt;$U$9,INT(2136/($U$7*$U$8))+1,1)</f>
        <v/>
      </c>
      <c r="BO2149">
        <f>IF(2136&lt;$U$9,MOD(INT(2136/$U$8),$U$7)+1,1)</f>
        <v/>
      </c>
      <c r="BP2149">
        <f>IF(2136&lt;$U$9,MOD(2136,$U$8)+1,1)</f>
        <v/>
      </c>
      <c r="BQ2149">
        <f>IF(2136&lt;$U$9,SUMPRODUCT(($D$10:$L$10&lt;&gt;"")*(($D$9:$L$9+INT(($S$12:$AA$12+INDEX($AJ$13:$AR$162,BN2149,0)+INDEX($AT$13:$BB$162,BO2149,0)+INDEX($BD$13:$BL$162,BP2149,0))/100))&gt;=$D$10:$L$10)),0)</f>
        <v/>
      </c>
      <c r="BR2149">
        <f>IF(2136&lt;$U$9,SUMPRODUCT(($D$10:$L$10&lt;&gt;"")*(($D$10:$L$10-($D$9:$L$9+INT(($S$12:$AA$12+INDEX($AJ$13:$AR$162,BN2149,0)+INDEX($AT$13:$BB$162,BO2149,0)+INDEX($BD$13:$BL$162,BP2149,0))/100)))&gt;0)*($D$10:$L$10-($D$9:$L$9+INT(($S$12:$AA$12+INDEX($AJ$13:$AR$162,BN2149,0)+INDEX($AT$13:$BB$162,BO2149,0)+INDEX($BD$13:$BL$162,BP2149,0))/100)))),0)</f>
        <v/>
      </c>
      <c r="BS2149">
        <f>IF(2136&lt;$U$9,SUMPRODUCT(($D$9:$L$9+INT(($S$12:$AA$12+INDEX($AJ$13:$AR$162,BN2149,0)+INDEX($AT$13:$BB$162,BO2149,0)+INDEX($BD$13:$BL$162,BP2149,0))/100))),0)</f>
        <v/>
      </c>
      <c r="BT2149">
        <f>IF(AND(2136&lt;$U$9,$W$5),BQ2149*1000000-MIN(BR2149,999)*1000+BS2149-2136/100000,-1000000000-2136)</f>
        <v/>
      </c>
    </row>
    <row r="2150">
      <c r="BN2150">
        <f>IF(2137&lt;$U$9,INT(2137/($U$7*$U$8))+1,1)</f>
        <v/>
      </c>
      <c r="BO2150">
        <f>IF(2137&lt;$U$9,MOD(INT(2137/$U$8),$U$7)+1,1)</f>
        <v/>
      </c>
      <c r="BP2150">
        <f>IF(2137&lt;$U$9,MOD(2137,$U$8)+1,1)</f>
        <v/>
      </c>
      <c r="BQ2150">
        <f>IF(2137&lt;$U$9,SUMPRODUCT(($D$10:$L$10&lt;&gt;"")*(($D$9:$L$9+INT(($S$12:$AA$12+INDEX($AJ$13:$AR$162,BN2150,0)+INDEX($AT$13:$BB$162,BO2150,0)+INDEX($BD$13:$BL$162,BP2150,0))/100))&gt;=$D$10:$L$10)),0)</f>
        <v/>
      </c>
      <c r="BR2150">
        <f>IF(2137&lt;$U$9,SUMPRODUCT(($D$10:$L$10&lt;&gt;"")*(($D$10:$L$10-($D$9:$L$9+INT(($S$12:$AA$12+INDEX($AJ$13:$AR$162,BN2150,0)+INDEX($AT$13:$BB$162,BO2150,0)+INDEX($BD$13:$BL$162,BP2150,0))/100)))&gt;0)*($D$10:$L$10-($D$9:$L$9+INT(($S$12:$AA$12+INDEX($AJ$13:$AR$162,BN2150,0)+INDEX($AT$13:$BB$162,BO2150,0)+INDEX($BD$13:$BL$162,BP2150,0))/100)))),0)</f>
        <v/>
      </c>
      <c r="BS2150">
        <f>IF(2137&lt;$U$9,SUMPRODUCT(($D$9:$L$9+INT(($S$12:$AA$12+INDEX($AJ$13:$AR$162,BN2150,0)+INDEX($AT$13:$BB$162,BO2150,0)+INDEX($BD$13:$BL$162,BP2150,0))/100))),0)</f>
        <v/>
      </c>
      <c r="BT2150">
        <f>IF(AND(2137&lt;$U$9,$W$5),BQ2150*1000000-MIN(BR2150,999)*1000+BS2150-2137/100000,-1000000000-2137)</f>
        <v/>
      </c>
    </row>
    <row r="2151">
      <c r="BN2151">
        <f>IF(2138&lt;$U$9,INT(2138/($U$7*$U$8))+1,1)</f>
        <v/>
      </c>
      <c r="BO2151">
        <f>IF(2138&lt;$U$9,MOD(INT(2138/$U$8),$U$7)+1,1)</f>
        <v/>
      </c>
      <c r="BP2151">
        <f>IF(2138&lt;$U$9,MOD(2138,$U$8)+1,1)</f>
        <v/>
      </c>
      <c r="BQ2151">
        <f>IF(2138&lt;$U$9,SUMPRODUCT(($D$10:$L$10&lt;&gt;"")*(($D$9:$L$9+INT(($S$12:$AA$12+INDEX($AJ$13:$AR$162,BN2151,0)+INDEX($AT$13:$BB$162,BO2151,0)+INDEX($BD$13:$BL$162,BP2151,0))/100))&gt;=$D$10:$L$10)),0)</f>
        <v/>
      </c>
      <c r="BR2151">
        <f>IF(2138&lt;$U$9,SUMPRODUCT(($D$10:$L$10&lt;&gt;"")*(($D$10:$L$10-($D$9:$L$9+INT(($S$12:$AA$12+INDEX($AJ$13:$AR$162,BN2151,0)+INDEX($AT$13:$BB$162,BO2151,0)+INDEX($BD$13:$BL$162,BP2151,0))/100)))&gt;0)*($D$10:$L$10-($D$9:$L$9+INT(($S$12:$AA$12+INDEX($AJ$13:$AR$162,BN2151,0)+INDEX($AT$13:$BB$162,BO2151,0)+INDEX($BD$13:$BL$162,BP2151,0))/100)))),0)</f>
        <v/>
      </c>
      <c r="BS2151">
        <f>IF(2138&lt;$U$9,SUMPRODUCT(($D$9:$L$9+INT(($S$12:$AA$12+INDEX($AJ$13:$AR$162,BN2151,0)+INDEX($AT$13:$BB$162,BO2151,0)+INDEX($BD$13:$BL$162,BP2151,0))/100))),0)</f>
        <v/>
      </c>
      <c r="BT2151">
        <f>IF(AND(2138&lt;$U$9,$W$5),BQ2151*1000000-MIN(BR2151,999)*1000+BS2151-2138/100000,-1000000000-2138)</f>
        <v/>
      </c>
    </row>
    <row r="2152">
      <c r="BN2152">
        <f>IF(2139&lt;$U$9,INT(2139/($U$7*$U$8))+1,1)</f>
        <v/>
      </c>
      <c r="BO2152">
        <f>IF(2139&lt;$U$9,MOD(INT(2139/$U$8),$U$7)+1,1)</f>
        <v/>
      </c>
      <c r="BP2152">
        <f>IF(2139&lt;$U$9,MOD(2139,$U$8)+1,1)</f>
        <v/>
      </c>
      <c r="BQ2152">
        <f>IF(2139&lt;$U$9,SUMPRODUCT(($D$10:$L$10&lt;&gt;"")*(($D$9:$L$9+INT(($S$12:$AA$12+INDEX($AJ$13:$AR$162,BN2152,0)+INDEX($AT$13:$BB$162,BO2152,0)+INDEX($BD$13:$BL$162,BP2152,0))/100))&gt;=$D$10:$L$10)),0)</f>
        <v/>
      </c>
      <c r="BR2152">
        <f>IF(2139&lt;$U$9,SUMPRODUCT(($D$10:$L$10&lt;&gt;"")*(($D$10:$L$10-($D$9:$L$9+INT(($S$12:$AA$12+INDEX($AJ$13:$AR$162,BN2152,0)+INDEX($AT$13:$BB$162,BO2152,0)+INDEX($BD$13:$BL$162,BP2152,0))/100)))&gt;0)*($D$10:$L$10-($D$9:$L$9+INT(($S$12:$AA$12+INDEX($AJ$13:$AR$162,BN2152,0)+INDEX($AT$13:$BB$162,BO2152,0)+INDEX($BD$13:$BL$162,BP2152,0))/100)))),0)</f>
        <v/>
      </c>
      <c r="BS2152">
        <f>IF(2139&lt;$U$9,SUMPRODUCT(($D$9:$L$9+INT(($S$12:$AA$12+INDEX($AJ$13:$AR$162,BN2152,0)+INDEX($AT$13:$BB$162,BO2152,0)+INDEX($BD$13:$BL$162,BP2152,0))/100))),0)</f>
        <v/>
      </c>
      <c r="BT2152">
        <f>IF(AND(2139&lt;$U$9,$W$5),BQ2152*1000000-MIN(BR2152,999)*1000+BS2152-2139/100000,-1000000000-2139)</f>
        <v/>
      </c>
    </row>
    <row r="2153">
      <c r="BN2153">
        <f>IF(2140&lt;$U$9,INT(2140/($U$7*$U$8))+1,1)</f>
        <v/>
      </c>
      <c r="BO2153">
        <f>IF(2140&lt;$U$9,MOD(INT(2140/$U$8),$U$7)+1,1)</f>
        <v/>
      </c>
      <c r="BP2153">
        <f>IF(2140&lt;$U$9,MOD(2140,$U$8)+1,1)</f>
        <v/>
      </c>
      <c r="BQ2153">
        <f>IF(2140&lt;$U$9,SUMPRODUCT(($D$10:$L$10&lt;&gt;"")*(($D$9:$L$9+INT(($S$12:$AA$12+INDEX($AJ$13:$AR$162,BN2153,0)+INDEX($AT$13:$BB$162,BO2153,0)+INDEX($BD$13:$BL$162,BP2153,0))/100))&gt;=$D$10:$L$10)),0)</f>
        <v/>
      </c>
      <c r="BR2153">
        <f>IF(2140&lt;$U$9,SUMPRODUCT(($D$10:$L$10&lt;&gt;"")*(($D$10:$L$10-($D$9:$L$9+INT(($S$12:$AA$12+INDEX($AJ$13:$AR$162,BN2153,0)+INDEX($AT$13:$BB$162,BO2153,0)+INDEX($BD$13:$BL$162,BP2153,0))/100)))&gt;0)*($D$10:$L$10-($D$9:$L$9+INT(($S$12:$AA$12+INDEX($AJ$13:$AR$162,BN2153,0)+INDEX($AT$13:$BB$162,BO2153,0)+INDEX($BD$13:$BL$162,BP2153,0))/100)))),0)</f>
        <v/>
      </c>
      <c r="BS2153">
        <f>IF(2140&lt;$U$9,SUMPRODUCT(($D$9:$L$9+INT(($S$12:$AA$12+INDEX($AJ$13:$AR$162,BN2153,0)+INDEX($AT$13:$BB$162,BO2153,0)+INDEX($BD$13:$BL$162,BP2153,0))/100))),0)</f>
        <v/>
      </c>
      <c r="BT2153">
        <f>IF(AND(2140&lt;$U$9,$W$5),BQ2153*1000000-MIN(BR2153,999)*1000+BS2153-2140/100000,-1000000000-2140)</f>
        <v/>
      </c>
    </row>
    <row r="2154">
      <c r="BN2154">
        <f>IF(2141&lt;$U$9,INT(2141/($U$7*$U$8))+1,1)</f>
        <v/>
      </c>
      <c r="BO2154">
        <f>IF(2141&lt;$U$9,MOD(INT(2141/$U$8),$U$7)+1,1)</f>
        <v/>
      </c>
      <c r="BP2154">
        <f>IF(2141&lt;$U$9,MOD(2141,$U$8)+1,1)</f>
        <v/>
      </c>
      <c r="BQ2154">
        <f>IF(2141&lt;$U$9,SUMPRODUCT(($D$10:$L$10&lt;&gt;"")*(($D$9:$L$9+INT(($S$12:$AA$12+INDEX($AJ$13:$AR$162,BN2154,0)+INDEX($AT$13:$BB$162,BO2154,0)+INDEX($BD$13:$BL$162,BP2154,0))/100))&gt;=$D$10:$L$10)),0)</f>
        <v/>
      </c>
      <c r="BR2154">
        <f>IF(2141&lt;$U$9,SUMPRODUCT(($D$10:$L$10&lt;&gt;"")*(($D$10:$L$10-($D$9:$L$9+INT(($S$12:$AA$12+INDEX($AJ$13:$AR$162,BN2154,0)+INDEX($AT$13:$BB$162,BO2154,0)+INDEX($BD$13:$BL$162,BP2154,0))/100)))&gt;0)*($D$10:$L$10-($D$9:$L$9+INT(($S$12:$AA$12+INDEX($AJ$13:$AR$162,BN2154,0)+INDEX($AT$13:$BB$162,BO2154,0)+INDEX($BD$13:$BL$162,BP2154,0))/100)))),0)</f>
        <v/>
      </c>
      <c r="BS2154">
        <f>IF(2141&lt;$U$9,SUMPRODUCT(($D$9:$L$9+INT(($S$12:$AA$12+INDEX($AJ$13:$AR$162,BN2154,0)+INDEX($AT$13:$BB$162,BO2154,0)+INDEX($BD$13:$BL$162,BP2154,0))/100))),0)</f>
        <v/>
      </c>
      <c r="BT2154">
        <f>IF(AND(2141&lt;$U$9,$W$5),BQ2154*1000000-MIN(BR2154,999)*1000+BS2154-2141/100000,-1000000000-2141)</f>
        <v/>
      </c>
    </row>
    <row r="2155">
      <c r="BN2155">
        <f>IF(2142&lt;$U$9,INT(2142/($U$7*$U$8))+1,1)</f>
        <v/>
      </c>
      <c r="BO2155">
        <f>IF(2142&lt;$U$9,MOD(INT(2142/$U$8),$U$7)+1,1)</f>
        <v/>
      </c>
      <c r="BP2155">
        <f>IF(2142&lt;$U$9,MOD(2142,$U$8)+1,1)</f>
        <v/>
      </c>
      <c r="BQ2155">
        <f>IF(2142&lt;$U$9,SUMPRODUCT(($D$10:$L$10&lt;&gt;"")*(($D$9:$L$9+INT(($S$12:$AA$12+INDEX($AJ$13:$AR$162,BN2155,0)+INDEX($AT$13:$BB$162,BO2155,0)+INDEX($BD$13:$BL$162,BP2155,0))/100))&gt;=$D$10:$L$10)),0)</f>
        <v/>
      </c>
      <c r="BR2155">
        <f>IF(2142&lt;$U$9,SUMPRODUCT(($D$10:$L$10&lt;&gt;"")*(($D$10:$L$10-($D$9:$L$9+INT(($S$12:$AA$12+INDEX($AJ$13:$AR$162,BN2155,0)+INDEX($AT$13:$BB$162,BO2155,0)+INDEX($BD$13:$BL$162,BP2155,0))/100)))&gt;0)*($D$10:$L$10-($D$9:$L$9+INT(($S$12:$AA$12+INDEX($AJ$13:$AR$162,BN2155,0)+INDEX($AT$13:$BB$162,BO2155,0)+INDEX($BD$13:$BL$162,BP2155,0))/100)))),0)</f>
        <v/>
      </c>
      <c r="BS2155">
        <f>IF(2142&lt;$U$9,SUMPRODUCT(($D$9:$L$9+INT(($S$12:$AA$12+INDEX($AJ$13:$AR$162,BN2155,0)+INDEX($AT$13:$BB$162,BO2155,0)+INDEX($BD$13:$BL$162,BP2155,0))/100))),0)</f>
        <v/>
      </c>
      <c r="BT2155">
        <f>IF(AND(2142&lt;$U$9,$W$5),BQ2155*1000000-MIN(BR2155,999)*1000+BS2155-2142/100000,-1000000000-2142)</f>
        <v/>
      </c>
    </row>
    <row r="2156">
      <c r="BN2156">
        <f>IF(2143&lt;$U$9,INT(2143/($U$7*$U$8))+1,1)</f>
        <v/>
      </c>
      <c r="BO2156">
        <f>IF(2143&lt;$U$9,MOD(INT(2143/$U$8),$U$7)+1,1)</f>
        <v/>
      </c>
      <c r="BP2156">
        <f>IF(2143&lt;$U$9,MOD(2143,$U$8)+1,1)</f>
        <v/>
      </c>
      <c r="BQ2156">
        <f>IF(2143&lt;$U$9,SUMPRODUCT(($D$10:$L$10&lt;&gt;"")*(($D$9:$L$9+INT(($S$12:$AA$12+INDEX($AJ$13:$AR$162,BN2156,0)+INDEX($AT$13:$BB$162,BO2156,0)+INDEX($BD$13:$BL$162,BP2156,0))/100))&gt;=$D$10:$L$10)),0)</f>
        <v/>
      </c>
      <c r="BR2156">
        <f>IF(2143&lt;$U$9,SUMPRODUCT(($D$10:$L$10&lt;&gt;"")*(($D$10:$L$10-($D$9:$L$9+INT(($S$12:$AA$12+INDEX($AJ$13:$AR$162,BN2156,0)+INDEX($AT$13:$BB$162,BO2156,0)+INDEX($BD$13:$BL$162,BP2156,0))/100)))&gt;0)*($D$10:$L$10-($D$9:$L$9+INT(($S$12:$AA$12+INDEX($AJ$13:$AR$162,BN2156,0)+INDEX($AT$13:$BB$162,BO2156,0)+INDEX($BD$13:$BL$162,BP2156,0))/100)))),0)</f>
        <v/>
      </c>
      <c r="BS2156">
        <f>IF(2143&lt;$U$9,SUMPRODUCT(($D$9:$L$9+INT(($S$12:$AA$12+INDEX($AJ$13:$AR$162,BN2156,0)+INDEX($AT$13:$BB$162,BO2156,0)+INDEX($BD$13:$BL$162,BP2156,0))/100))),0)</f>
        <v/>
      </c>
      <c r="BT2156">
        <f>IF(AND(2143&lt;$U$9,$W$5),BQ2156*1000000-MIN(BR2156,999)*1000+BS2156-2143/100000,-1000000000-2143)</f>
        <v/>
      </c>
    </row>
    <row r="2157">
      <c r="BN2157">
        <f>IF(2144&lt;$U$9,INT(2144/($U$7*$U$8))+1,1)</f>
        <v/>
      </c>
      <c r="BO2157">
        <f>IF(2144&lt;$U$9,MOD(INT(2144/$U$8),$U$7)+1,1)</f>
        <v/>
      </c>
      <c r="BP2157">
        <f>IF(2144&lt;$U$9,MOD(2144,$U$8)+1,1)</f>
        <v/>
      </c>
      <c r="BQ2157">
        <f>IF(2144&lt;$U$9,SUMPRODUCT(($D$10:$L$10&lt;&gt;"")*(($D$9:$L$9+INT(($S$12:$AA$12+INDEX($AJ$13:$AR$162,BN2157,0)+INDEX($AT$13:$BB$162,BO2157,0)+INDEX($BD$13:$BL$162,BP2157,0))/100))&gt;=$D$10:$L$10)),0)</f>
        <v/>
      </c>
      <c r="BR2157">
        <f>IF(2144&lt;$U$9,SUMPRODUCT(($D$10:$L$10&lt;&gt;"")*(($D$10:$L$10-($D$9:$L$9+INT(($S$12:$AA$12+INDEX($AJ$13:$AR$162,BN2157,0)+INDEX($AT$13:$BB$162,BO2157,0)+INDEX($BD$13:$BL$162,BP2157,0))/100)))&gt;0)*($D$10:$L$10-($D$9:$L$9+INT(($S$12:$AA$12+INDEX($AJ$13:$AR$162,BN2157,0)+INDEX($AT$13:$BB$162,BO2157,0)+INDEX($BD$13:$BL$162,BP2157,0))/100)))),0)</f>
        <v/>
      </c>
      <c r="BS2157">
        <f>IF(2144&lt;$U$9,SUMPRODUCT(($D$9:$L$9+INT(($S$12:$AA$12+INDEX($AJ$13:$AR$162,BN2157,0)+INDEX($AT$13:$BB$162,BO2157,0)+INDEX($BD$13:$BL$162,BP2157,0))/100))),0)</f>
        <v/>
      </c>
      <c r="BT2157">
        <f>IF(AND(2144&lt;$U$9,$W$5),BQ2157*1000000-MIN(BR2157,999)*1000+BS2157-2144/100000,-1000000000-2144)</f>
        <v/>
      </c>
    </row>
    <row r="2158">
      <c r="BN2158">
        <f>IF(2145&lt;$U$9,INT(2145/($U$7*$U$8))+1,1)</f>
        <v/>
      </c>
      <c r="BO2158">
        <f>IF(2145&lt;$U$9,MOD(INT(2145/$U$8),$U$7)+1,1)</f>
        <v/>
      </c>
      <c r="BP2158">
        <f>IF(2145&lt;$U$9,MOD(2145,$U$8)+1,1)</f>
        <v/>
      </c>
      <c r="BQ2158">
        <f>IF(2145&lt;$U$9,SUMPRODUCT(($D$10:$L$10&lt;&gt;"")*(($D$9:$L$9+INT(($S$12:$AA$12+INDEX($AJ$13:$AR$162,BN2158,0)+INDEX($AT$13:$BB$162,BO2158,0)+INDEX($BD$13:$BL$162,BP2158,0))/100))&gt;=$D$10:$L$10)),0)</f>
        <v/>
      </c>
      <c r="BR2158">
        <f>IF(2145&lt;$U$9,SUMPRODUCT(($D$10:$L$10&lt;&gt;"")*(($D$10:$L$10-($D$9:$L$9+INT(($S$12:$AA$12+INDEX($AJ$13:$AR$162,BN2158,0)+INDEX($AT$13:$BB$162,BO2158,0)+INDEX($BD$13:$BL$162,BP2158,0))/100)))&gt;0)*($D$10:$L$10-($D$9:$L$9+INT(($S$12:$AA$12+INDEX($AJ$13:$AR$162,BN2158,0)+INDEX($AT$13:$BB$162,BO2158,0)+INDEX($BD$13:$BL$162,BP2158,0))/100)))),0)</f>
        <v/>
      </c>
      <c r="BS2158">
        <f>IF(2145&lt;$U$9,SUMPRODUCT(($D$9:$L$9+INT(($S$12:$AA$12+INDEX($AJ$13:$AR$162,BN2158,0)+INDEX($AT$13:$BB$162,BO2158,0)+INDEX($BD$13:$BL$162,BP2158,0))/100))),0)</f>
        <v/>
      </c>
      <c r="BT2158">
        <f>IF(AND(2145&lt;$U$9,$W$5),BQ2158*1000000-MIN(BR2158,999)*1000+BS2158-2145/100000,-1000000000-2145)</f>
        <v/>
      </c>
    </row>
    <row r="2159">
      <c r="BN2159">
        <f>IF(2146&lt;$U$9,INT(2146/($U$7*$U$8))+1,1)</f>
        <v/>
      </c>
      <c r="BO2159">
        <f>IF(2146&lt;$U$9,MOD(INT(2146/$U$8),$U$7)+1,1)</f>
        <v/>
      </c>
      <c r="BP2159">
        <f>IF(2146&lt;$U$9,MOD(2146,$U$8)+1,1)</f>
        <v/>
      </c>
      <c r="BQ2159">
        <f>IF(2146&lt;$U$9,SUMPRODUCT(($D$10:$L$10&lt;&gt;"")*(($D$9:$L$9+INT(($S$12:$AA$12+INDEX($AJ$13:$AR$162,BN2159,0)+INDEX($AT$13:$BB$162,BO2159,0)+INDEX($BD$13:$BL$162,BP2159,0))/100))&gt;=$D$10:$L$10)),0)</f>
        <v/>
      </c>
      <c r="BR2159">
        <f>IF(2146&lt;$U$9,SUMPRODUCT(($D$10:$L$10&lt;&gt;"")*(($D$10:$L$10-($D$9:$L$9+INT(($S$12:$AA$12+INDEX($AJ$13:$AR$162,BN2159,0)+INDEX($AT$13:$BB$162,BO2159,0)+INDEX($BD$13:$BL$162,BP2159,0))/100)))&gt;0)*($D$10:$L$10-($D$9:$L$9+INT(($S$12:$AA$12+INDEX($AJ$13:$AR$162,BN2159,0)+INDEX($AT$13:$BB$162,BO2159,0)+INDEX($BD$13:$BL$162,BP2159,0))/100)))),0)</f>
        <v/>
      </c>
      <c r="BS2159">
        <f>IF(2146&lt;$U$9,SUMPRODUCT(($D$9:$L$9+INT(($S$12:$AA$12+INDEX($AJ$13:$AR$162,BN2159,0)+INDEX($AT$13:$BB$162,BO2159,0)+INDEX($BD$13:$BL$162,BP2159,0))/100))),0)</f>
        <v/>
      </c>
      <c r="BT2159">
        <f>IF(AND(2146&lt;$U$9,$W$5),BQ2159*1000000-MIN(BR2159,999)*1000+BS2159-2146/100000,-1000000000-2146)</f>
        <v/>
      </c>
    </row>
    <row r="2160">
      <c r="BN2160">
        <f>IF(2147&lt;$U$9,INT(2147/($U$7*$U$8))+1,1)</f>
        <v/>
      </c>
      <c r="BO2160">
        <f>IF(2147&lt;$U$9,MOD(INT(2147/$U$8),$U$7)+1,1)</f>
        <v/>
      </c>
      <c r="BP2160">
        <f>IF(2147&lt;$U$9,MOD(2147,$U$8)+1,1)</f>
        <v/>
      </c>
      <c r="BQ2160">
        <f>IF(2147&lt;$U$9,SUMPRODUCT(($D$10:$L$10&lt;&gt;"")*(($D$9:$L$9+INT(($S$12:$AA$12+INDEX($AJ$13:$AR$162,BN2160,0)+INDEX($AT$13:$BB$162,BO2160,0)+INDEX($BD$13:$BL$162,BP2160,0))/100))&gt;=$D$10:$L$10)),0)</f>
        <v/>
      </c>
      <c r="BR2160">
        <f>IF(2147&lt;$U$9,SUMPRODUCT(($D$10:$L$10&lt;&gt;"")*(($D$10:$L$10-($D$9:$L$9+INT(($S$12:$AA$12+INDEX($AJ$13:$AR$162,BN2160,0)+INDEX($AT$13:$BB$162,BO2160,0)+INDEX($BD$13:$BL$162,BP2160,0))/100)))&gt;0)*($D$10:$L$10-($D$9:$L$9+INT(($S$12:$AA$12+INDEX($AJ$13:$AR$162,BN2160,0)+INDEX($AT$13:$BB$162,BO2160,0)+INDEX($BD$13:$BL$162,BP2160,0))/100)))),0)</f>
        <v/>
      </c>
      <c r="BS2160">
        <f>IF(2147&lt;$U$9,SUMPRODUCT(($D$9:$L$9+INT(($S$12:$AA$12+INDEX($AJ$13:$AR$162,BN2160,0)+INDEX($AT$13:$BB$162,BO2160,0)+INDEX($BD$13:$BL$162,BP2160,0))/100))),0)</f>
        <v/>
      </c>
      <c r="BT2160">
        <f>IF(AND(2147&lt;$U$9,$W$5),BQ2160*1000000-MIN(BR2160,999)*1000+BS2160-2147/100000,-1000000000-2147)</f>
        <v/>
      </c>
    </row>
    <row r="2161">
      <c r="BN2161">
        <f>IF(2148&lt;$U$9,INT(2148/($U$7*$U$8))+1,1)</f>
        <v/>
      </c>
      <c r="BO2161">
        <f>IF(2148&lt;$U$9,MOD(INT(2148/$U$8),$U$7)+1,1)</f>
        <v/>
      </c>
      <c r="BP2161">
        <f>IF(2148&lt;$U$9,MOD(2148,$U$8)+1,1)</f>
        <v/>
      </c>
      <c r="BQ2161">
        <f>IF(2148&lt;$U$9,SUMPRODUCT(($D$10:$L$10&lt;&gt;"")*(($D$9:$L$9+INT(($S$12:$AA$12+INDEX($AJ$13:$AR$162,BN2161,0)+INDEX($AT$13:$BB$162,BO2161,0)+INDEX($BD$13:$BL$162,BP2161,0))/100))&gt;=$D$10:$L$10)),0)</f>
        <v/>
      </c>
      <c r="BR2161">
        <f>IF(2148&lt;$U$9,SUMPRODUCT(($D$10:$L$10&lt;&gt;"")*(($D$10:$L$10-($D$9:$L$9+INT(($S$12:$AA$12+INDEX($AJ$13:$AR$162,BN2161,0)+INDEX($AT$13:$BB$162,BO2161,0)+INDEX($BD$13:$BL$162,BP2161,0))/100)))&gt;0)*($D$10:$L$10-($D$9:$L$9+INT(($S$12:$AA$12+INDEX($AJ$13:$AR$162,BN2161,0)+INDEX($AT$13:$BB$162,BO2161,0)+INDEX($BD$13:$BL$162,BP2161,0))/100)))),0)</f>
        <v/>
      </c>
      <c r="BS2161">
        <f>IF(2148&lt;$U$9,SUMPRODUCT(($D$9:$L$9+INT(($S$12:$AA$12+INDEX($AJ$13:$AR$162,BN2161,0)+INDEX($AT$13:$BB$162,BO2161,0)+INDEX($BD$13:$BL$162,BP2161,0))/100))),0)</f>
        <v/>
      </c>
      <c r="BT2161">
        <f>IF(AND(2148&lt;$U$9,$W$5),BQ2161*1000000-MIN(BR2161,999)*1000+BS2161-2148/100000,-1000000000-2148)</f>
        <v/>
      </c>
    </row>
    <row r="2162">
      <c r="BN2162">
        <f>IF(2149&lt;$U$9,INT(2149/($U$7*$U$8))+1,1)</f>
        <v/>
      </c>
      <c r="BO2162">
        <f>IF(2149&lt;$U$9,MOD(INT(2149/$U$8),$U$7)+1,1)</f>
        <v/>
      </c>
      <c r="BP2162">
        <f>IF(2149&lt;$U$9,MOD(2149,$U$8)+1,1)</f>
        <v/>
      </c>
      <c r="BQ2162">
        <f>IF(2149&lt;$U$9,SUMPRODUCT(($D$10:$L$10&lt;&gt;"")*(($D$9:$L$9+INT(($S$12:$AA$12+INDEX($AJ$13:$AR$162,BN2162,0)+INDEX($AT$13:$BB$162,BO2162,0)+INDEX($BD$13:$BL$162,BP2162,0))/100))&gt;=$D$10:$L$10)),0)</f>
        <v/>
      </c>
      <c r="BR2162">
        <f>IF(2149&lt;$U$9,SUMPRODUCT(($D$10:$L$10&lt;&gt;"")*(($D$10:$L$10-($D$9:$L$9+INT(($S$12:$AA$12+INDEX($AJ$13:$AR$162,BN2162,0)+INDEX($AT$13:$BB$162,BO2162,0)+INDEX($BD$13:$BL$162,BP2162,0))/100)))&gt;0)*($D$10:$L$10-($D$9:$L$9+INT(($S$12:$AA$12+INDEX($AJ$13:$AR$162,BN2162,0)+INDEX($AT$13:$BB$162,BO2162,0)+INDEX($BD$13:$BL$162,BP2162,0))/100)))),0)</f>
        <v/>
      </c>
      <c r="BS2162">
        <f>IF(2149&lt;$U$9,SUMPRODUCT(($D$9:$L$9+INT(($S$12:$AA$12+INDEX($AJ$13:$AR$162,BN2162,0)+INDEX($AT$13:$BB$162,BO2162,0)+INDEX($BD$13:$BL$162,BP2162,0))/100))),0)</f>
        <v/>
      </c>
      <c r="BT2162">
        <f>IF(AND(2149&lt;$U$9,$W$5),BQ2162*1000000-MIN(BR2162,999)*1000+BS2162-2149/100000,-1000000000-2149)</f>
        <v/>
      </c>
    </row>
    <row r="2163">
      <c r="BN2163">
        <f>IF(2150&lt;$U$9,INT(2150/($U$7*$U$8))+1,1)</f>
        <v/>
      </c>
      <c r="BO2163">
        <f>IF(2150&lt;$U$9,MOD(INT(2150/$U$8),$U$7)+1,1)</f>
        <v/>
      </c>
      <c r="BP2163">
        <f>IF(2150&lt;$U$9,MOD(2150,$U$8)+1,1)</f>
        <v/>
      </c>
      <c r="BQ2163">
        <f>IF(2150&lt;$U$9,SUMPRODUCT(($D$10:$L$10&lt;&gt;"")*(($D$9:$L$9+INT(($S$12:$AA$12+INDEX($AJ$13:$AR$162,BN2163,0)+INDEX($AT$13:$BB$162,BO2163,0)+INDEX($BD$13:$BL$162,BP2163,0))/100))&gt;=$D$10:$L$10)),0)</f>
        <v/>
      </c>
      <c r="BR2163">
        <f>IF(2150&lt;$U$9,SUMPRODUCT(($D$10:$L$10&lt;&gt;"")*(($D$10:$L$10-($D$9:$L$9+INT(($S$12:$AA$12+INDEX($AJ$13:$AR$162,BN2163,0)+INDEX($AT$13:$BB$162,BO2163,0)+INDEX($BD$13:$BL$162,BP2163,0))/100)))&gt;0)*($D$10:$L$10-($D$9:$L$9+INT(($S$12:$AA$12+INDEX($AJ$13:$AR$162,BN2163,0)+INDEX($AT$13:$BB$162,BO2163,0)+INDEX($BD$13:$BL$162,BP2163,0))/100)))),0)</f>
        <v/>
      </c>
      <c r="BS2163">
        <f>IF(2150&lt;$U$9,SUMPRODUCT(($D$9:$L$9+INT(($S$12:$AA$12+INDEX($AJ$13:$AR$162,BN2163,0)+INDEX($AT$13:$BB$162,BO2163,0)+INDEX($BD$13:$BL$162,BP2163,0))/100))),0)</f>
        <v/>
      </c>
      <c r="BT2163">
        <f>IF(AND(2150&lt;$U$9,$W$5),BQ2163*1000000-MIN(BR2163,999)*1000+BS2163-2150/100000,-1000000000-2150)</f>
        <v/>
      </c>
    </row>
    <row r="2164">
      <c r="BN2164">
        <f>IF(2151&lt;$U$9,INT(2151/($U$7*$U$8))+1,1)</f>
        <v/>
      </c>
      <c r="BO2164">
        <f>IF(2151&lt;$U$9,MOD(INT(2151/$U$8),$U$7)+1,1)</f>
        <v/>
      </c>
      <c r="BP2164">
        <f>IF(2151&lt;$U$9,MOD(2151,$U$8)+1,1)</f>
        <v/>
      </c>
      <c r="BQ2164">
        <f>IF(2151&lt;$U$9,SUMPRODUCT(($D$10:$L$10&lt;&gt;"")*(($D$9:$L$9+INT(($S$12:$AA$12+INDEX($AJ$13:$AR$162,BN2164,0)+INDEX($AT$13:$BB$162,BO2164,0)+INDEX($BD$13:$BL$162,BP2164,0))/100))&gt;=$D$10:$L$10)),0)</f>
        <v/>
      </c>
      <c r="BR2164">
        <f>IF(2151&lt;$U$9,SUMPRODUCT(($D$10:$L$10&lt;&gt;"")*(($D$10:$L$10-($D$9:$L$9+INT(($S$12:$AA$12+INDEX($AJ$13:$AR$162,BN2164,0)+INDEX($AT$13:$BB$162,BO2164,0)+INDEX($BD$13:$BL$162,BP2164,0))/100)))&gt;0)*($D$10:$L$10-($D$9:$L$9+INT(($S$12:$AA$12+INDEX($AJ$13:$AR$162,BN2164,0)+INDEX($AT$13:$BB$162,BO2164,0)+INDEX($BD$13:$BL$162,BP2164,0))/100)))),0)</f>
        <v/>
      </c>
      <c r="BS2164">
        <f>IF(2151&lt;$U$9,SUMPRODUCT(($D$9:$L$9+INT(($S$12:$AA$12+INDEX($AJ$13:$AR$162,BN2164,0)+INDEX($AT$13:$BB$162,BO2164,0)+INDEX($BD$13:$BL$162,BP2164,0))/100))),0)</f>
        <v/>
      </c>
      <c r="BT2164">
        <f>IF(AND(2151&lt;$U$9,$W$5),BQ2164*1000000-MIN(BR2164,999)*1000+BS2164-2151/100000,-1000000000-2151)</f>
        <v/>
      </c>
    </row>
    <row r="2165">
      <c r="BN2165">
        <f>IF(2152&lt;$U$9,INT(2152/($U$7*$U$8))+1,1)</f>
        <v/>
      </c>
      <c r="BO2165">
        <f>IF(2152&lt;$U$9,MOD(INT(2152/$U$8),$U$7)+1,1)</f>
        <v/>
      </c>
      <c r="BP2165">
        <f>IF(2152&lt;$U$9,MOD(2152,$U$8)+1,1)</f>
        <v/>
      </c>
      <c r="BQ2165">
        <f>IF(2152&lt;$U$9,SUMPRODUCT(($D$10:$L$10&lt;&gt;"")*(($D$9:$L$9+INT(($S$12:$AA$12+INDEX($AJ$13:$AR$162,BN2165,0)+INDEX($AT$13:$BB$162,BO2165,0)+INDEX($BD$13:$BL$162,BP2165,0))/100))&gt;=$D$10:$L$10)),0)</f>
        <v/>
      </c>
      <c r="BR2165">
        <f>IF(2152&lt;$U$9,SUMPRODUCT(($D$10:$L$10&lt;&gt;"")*(($D$10:$L$10-($D$9:$L$9+INT(($S$12:$AA$12+INDEX($AJ$13:$AR$162,BN2165,0)+INDEX($AT$13:$BB$162,BO2165,0)+INDEX($BD$13:$BL$162,BP2165,0))/100)))&gt;0)*($D$10:$L$10-($D$9:$L$9+INT(($S$12:$AA$12+INDEX($AJ$13:$AR$162,BN2165,0)+INDEX($AT$13:$BB$162,BO2165,0)+INDEX($BD$13:$BL$162,BP2165,0))/100)))),0)</f>
        <v/>
      </c>
      <c r="BS2165">
        <f>IF(2152&lt;$U$9,SUMPRODUCT(($D$9:$L$9+INT(($S$12:$AA$12+INDEX($AJ$13:$AR$162,BN2165,0)+INDEX($AT$13:$BB$162,BO2165,0)+INDEX($BD$13:$BL$162,BP2165,0))/100))),0)</f>
        <v/>
      </c>
      <c r="BT2165">
        <f>IF(AND(2152&lt;$U$9,$W$5),BQ2165*1000000-MIN(BR2165,999)*1000+BS2165-2152/100000,-1000000000-2152)</f>
        <v/>
      </c>
    </row>
    <row r="2166">
      <c r="BN2166">
        <f>IF(2153&lt;$U$9,INT(2153/($U$7*$U$8))+1,1)</f>
        <v/>
      </c>
      <c r="BO2166">
        <f>IF(2153&lt;$U$9,MOD(INT(2153/$U$8),$U$7)+1,1)</f>
        <v/>
      </c>
      <c r="BP2166">
        <f>IF(2153&lt;$U$9,MOD(2153,$U$8)+1,1)</f>
        <v/>
      </c>
      <c r="BQ2166">
        <f>IF(2153&lt;$U$9,SUMPRODUCT(($D$10:$L$10&lt;&gt;"")*(($D$9:$L$9+INT(($S$12:$AA$12+INDEX($AJ$13:$AR$162,BN2166,0)+INDEX($AT$13:$BB$162,BO2166,0)+INDEX($BD$13:$BL$162,BP2166,0))/100))&gt;=$D$10:$L$10)),0)</f>
        <v/>
      </c>
      <c r="BR2166">
        <f>IF(2153&lt;$U$9,SUMPRODUCT(($D$10:$L$10&lt;&gt;"")*(($D$10:$L$10-($D$9:$L$9+INT(($S$12:$AA$12+INDEX($AJ$13:$AR$162,BN2166,0)+INDEX($AT$13:$BB$162,BO2166,0)+INDEX($BD$13:$BL$162,BP2166,0))/100)))&gt;0)*($D$10:$L$10-($D$9:$L$9+INT(($S$12:$AA$12+INDEX($AJ$13:$AR$162,BN2166,0)+INDEX($AT$13:$BB$162,BO2166,0)+INDEX($BD$13:$BL$162,BP2166,0))/100)))),0)</f>
        <v/>
      </c>
      <c r="BS2166">
        <f>IF(2153&lt;$U$9,SUMPRODUCT(($D$9:$L$9+INT(($S$12:$AA$12+INDEX($AJ$13:$AR$162,BN2166,0)+INDEX($AT$13:$BB$162,BO2166,0)+INDEX($BD$13:$BL$162,BP2166,0))/100))),0)</f>
        <v/>
      </c>
      <c r="BT2166">
        <f>IF(AND(2153&lt;$U$9,$W$5),BQ2166*1000000-MIN(BR2166,999)*1000+BS2166-2153/100000,-1000000000-2153)</f>
        <v/>
      </c>
    </row>
    <row r="2167">
      <c r="BN2167">
        <f>IF(2154&lt;$U$9,INT(2154/($U$7*$U$8))+1,1)</f>
        <v/>
      </c>
      <c r="BO2167">
        <f>IF(2154&lt;$U$9,MOD(INT(2154/$U$8),$U$7)+1,1)</f>
        <v/>
      </c>
      <c r="BP2167">
        <f>IF(2154&lt;$U$9,MOD(2154,$U$8)+1,1)</f>
        <v/>
      </c>
      <c r="BQ2167">
        <f>IF(2154&lt;$U$9,SUMPRODUCT(($D$10:$L$10&lt;&gt;"")*(($D$9:$L$9+INT(($S$12:$AA$12+INDEX($AJ$13:$AR$162,BN2167,0)+INDEX($AT$13:$BB$162,BO2167,0)+INDEX($BD$13:$BL$162,BP2167,0))/100))&gt;=$D$10:$L$10)),0)</f>
        <v/>
      </c>
      <c r="BR2167">
        <f>IF(2154&lt;$U$9,SUMPRODUCT(($D$10:$L$10&lt;&gt;"")*(($D$10:$L$10-($D$9:$L$9+INT(($S$12:$AA$12+INDEX($AJ$13:$AR$162,BN2167,0)+INDEX($AT$13:$BB$162,BO2167,0)+INDEX($BD$13:$BL$162,BP2167,0))/100)))&gt;0)*($D$10:$L$10-($D$9:$L$9+INT(($S$12:$AA$12+INDEX($AJ$13:$AR$162,BN2167,0)+INDEX($AT$13:$BB$162,BO2167,0)+INDEX($BD$13:$BL$162,BP2167,0))/100)))),0)</f>
        <v/>
      </c>
      <c r="BS2167">
        <f>IF(2154&lt;$U$9,SUMPRODUCT(($D$9:$L$9+INT(($S$12:$AA$12+INDEX($AJ$13:$AR$162,BN2167,0)+INDEX($AT$13:$BB$162,BO2167,0)+INDEX($BD$13:$BL$162,BP2167,0))/100))),0)</f>
        <v/>
      </c>
      <c r="BT2167">
        <f>IF(AND(2154&lt;$U$9,$W$5),BQ2167*1000000-MIN(BR2167,999)*1000+BS2167-2154/100000,-1000000000-2154)</f>
        <v/>
      </c>
    </row>
    <row r="2168">
      <c r="BN2168">
        <f>IF(2155&lt;$U$9,INT(2155/($U$7*$U$8))+1,1)</f>
        <v/>
      </c>
      <c r="BO2168">
        <f>IF(2155&lt;$U$9,MOD(INT(2155/$U$8),$U$7)+1,1)</f>
        <v/>
      </c>
      <c r="BP2168">
        <f>IF(2155&lt;$U$9,MOD(2155,$U$8)+1,1)</f>
        <v/>
      </c>
      <c r="BQ2168">
        <f>IF(2155&lt;$U$9,SUMPRODUCT(($D$10:$L$10&lt;&gt;"")*(($D$9:$L$9+INT(($S$12:$AA$12+INDEX($AJ$13:$AR$162,BN2168,0)+INDEX($AT$13:$BB$162,BO2168,0)+INDEX($BD$13:$BL$162,BP2168,0))/100))&gt;=$D$10:$L$10)),0)</f>
        <v/>
      </c>
      <c r="BR2168">
        <f>IF(2155&lt;$U$9,SUMPRODUCT(($D$10:$L$10&lt;&gt;"")*(($D$10:$L$10-($D$9:$L$9+INT(($S$12:$AA$12+INDEX($AJ$13:$AR$162,BN2168,0)+INDEX($AT$13:$BB$162,BO2168,0)+INDEX($BD$13:$BL$162,BP2168,0))/100)))&gt;0)*($D$10:$L$10-($D$9:$L$9+INT(($S$12:$AA$12+INDEX($AJ$13:$AR$162,BN2168,0)+INDEX($AT$13:$BB$162,BO2168,0)+INDEX($BD$13:$BL$162,BP2168,0))/100)))),0)</f>
        <v/>
      </c>
      <c r="BS2168">
        <f>IF(2155&lt;$U$9,SUMPRODUCT(($D$9:$L$9+INT(($S$12:$AA$12+INDEX($AJ$13:$AR$162,BN2168,0)+INDEX($AT$13:$BB$162,BO2168,0)+INDEX($BD$13:$BL$162,BP2168,0))/100))),0)</f>
        <v/>
      </c>
      <c r="BT2168">
        <f>IF(AND(2155&lt;$U$9,$W$5),BQ2168*1000000-MIN(BR2168,999)*1000+BS2168-2155/100000,-1000000000-2155)</f>
        <v/>
      </c>
    </row>
    <row r="2169">
      <c r="BN2169">
        <f>IF(2156&lt;$U$9,INT(2156/($U$7*$U$8))+1,1)</f>
        <v/>
      </c>
      <c r="BO2169">
        <f>IF(2156&lt;$U$9,MOD(INT(2156/$U$8),$U$7)+1,1)</f>
        <v/>
      </c>
      <c r="BP2169">
        <f>IF(2156&lt;$U$9,MOD(2156,$U$8)+1,1)</f>
        <v/>
      </c>
      <c r="BQ2169">
        <f>IF(2156&lt;$U$9,SUMPRODUCT(($D$10:$L$10&lt;&gt;"")*(($D$9:$L$9+INT(($S$12:$AA$12+INDEX($AJ$13:$AR$162,BN2169,0)+INDEX($AT$13:$BB$162,BO2169,0)+INDEX($BD$13:$BL$162,BP2169,0))/100))&gt;=$D$10:$L$10)),0)</f>
        <v/>
      </c>
      <c r="BR2169">
        <f>IF(2156&lt;$U$9,SUMPRODUCT(($D$10:$L$10&lt;&gt;"")*(($D$10:$L$10-($D$9:$L$9+INT(($S$12:$AA$12+INDEX($AJ$13:$AR$162,BN2169,0)+INDEX($AT$13:$BB$162,BO2169,0)+INDEX($BD$13:$BL$162,BP2169,0))/100)))&gt;0)*($D$10:$L$10-($D$9:$L$9+INT(($S$12:$AA$12+INDEX($AJ$13:$AR$162,BN2169,0)+INDEX($AT$13:$BB$162,BO2169,0)+INDEX($BD$13:$BL$162,BP2169,0))/100)))),0)</f>
        <v/>
      </c>
      <c r="BS2169">
        <f>IF(2156&lt;$U$9,SUMPRODUCT(($D$9:$L$9+INT(($S$12:$AA$12+INDEX($AJ$13:$AR$162,BN2169,0)+INDEX($AT$13:$BB$162,BO2169,0)+INDEX($BD$13:$BL$162,BP2169,0))/100))),0)</f>
        <v/>
      </c>
      <c r="BT2169">
        <f>IF(AND(2156&lt;$U$9,$W$5),BQ2169*1000000-MIN(BR2169,999)*1000+BS2169-2156/100000,-1000000000-2156)</f>
        <v/>
      </c>
    </row>
    <row r="2170">
      <c r="BN2170">
        <f>IF(2157&lt;$U$9,INT(2157/($U$7*$U$8))+1,1)</f>
        <v/>
      </c>
      <c r="BO2170">
        <f>IF(2157&lt;$U$9,MOD(INT(2157/$U$8),$U$7)+1,1)</f>
        <v/>
      </c>
      <c r="BP2170">
        <f>IF(2157&lt;$U$9,MOD(2157,$U$8)+1,1)</f>
        <v/>
      </c>
      <c r="BQ2170">
        <f>IF(2157&lt;$U$9,SUMPRODUCT(($D$10:$L$10&lt;&gt;"")*(($D$9:$L$9+INT(($S$12:$AA$12+INDEX($AJ$13:$AR$162,BN2170,0)+INDEX($AT$13:$BB$162,BO2170,0)+INDEX($BD$13:$BL$162,BP2170,0))/100))&gt;=$D$10:$L$10)),0)</f>
        <v/>
      </c>
      <c r="BR2170">
        <f>IF(2157&lt;$U$9,SUMPRODUCT(($D$10:$L$10&lt;&gt;"")*(($D$10:$L$10-($D$9:$L$9+INT(($S$12:$AA$12+INDEX($AJ$13:$AR$162,BN2170,0)+INDEX($AT$13:$BB$162,BO2170,0)+INDEX($BD$13:$BL$162,BP2170,0))/100)))&gt;0)*($D$10:$L$10-($D$9:$L$9+INT(($S$12:$AA$12+INDEX($AJ$13:$AR$162,BN2170,0)+INDEX($AT$13:$BB$162,BO2170,0)+INDEX($BD$13:$BL$162,BP2170,0))/100)))),0)</f>
        <v/>
      </c>
      <c r="BS2170">
        <f>IF(2157&lt;$U$9,SUMPRODUCT(($D$9:$L$9+INT(($S$12:$AA$12+INDEX($AJ$13:$AR$162,BN2170,0)+INDEX($AT$13:$BB$162,BO2170,0)+INDEX($BD$13:$BL$162,BP2170,0))/100))),0)</f>
        <v/>
      </c>
      <c r="BT2170">
        <f>IF(AND(2157&lt;$U$9,$W$5),BQ2170*1000000-MIN(BR2170,999)*1000+BS2170-2157/100000,-1000000000-2157)</f>
        <v/>
      </c>
    </row>
    <row r="2171">
      <c r="BN2171">
        <f>IF(2158&lt;$U$9,INT(2158/($U$7*$U$8))+1,1)</f>
        <v/>
      </c>
      <c r="BO2171">
        <f>IF(2158&lt;$U$9,MOD(INT(2158/$U$8),$U$7)+1,1)</f>
        <v/>
      </c>
      <c r="BP2171">
        <f>IF(2158&lt;$U$9,MOD(2158,$U$8)+1,1)</f>
        <v/>
      </c>
      <c r="BQ2171">
        <f>IF(2158&lt;$U$9,SUMPRODUCT(($D$10:$L$10&lt;&gt;"")*(($D$9:$L$9+INT(($S$12:$AA$12+INDEX($AJ$13:$AR$162,BN2171,0)+INDEX($AT$13:$BB$162,BO2171,0)+INDEX($BD$13:$BL$162,BP2171,0))/100))&gt;=$D$10:$L$10)),0)</f>
        <v/>
      </c>
      <c r="BR2171">
        <f>IF(2158&lt;$U$9,SUMPRODUCT(($D$10:$L$10&lt;&gt;"")*(($D$10:$L$10-($D$9:$L$9+INT(($S$12:$AA$12+INDEX($AJ$13:$AR$162,BN2171,0)+INDEX($AT$13:$BB$162,BO2171,0)+INDEX($BD$13:$BL$162,BP2171,0))/100)))&gt;0)*($D$10:$L$10-($D$9:$L$9+INT(($S$12:$AA$12+INDEX($AJ$13:$AR$162,BN2171,0)+INDEX($AT$13:$BB$162,BO2171,0)+INDEX($BD$13:$BL$162,BP2171,0))/100)))),0)</f>
        <v/>
      </c>
      <c r="BS2171">
        <f>IF(2158&lt;$U$9,SUMPRODUCT(($D$9:$L$9+INT(($S$12:$AA$12+INDEX($AJ$13:$AR$162,BN2171,0)+INDEX($AT$13:$BB$162,BO2171,0)+INDEX($BD$13:$BL$162,BP2171,0))/100))),0)</f>
        <v/>
      </c>
      <c r="BT2171">
        <f>IF(AND(2158&lt;$U$9,$W$5),BQ2171*1000000-MIN(BR2171,999)*1000+BS2171-2158/100000,-1000000000-2158)</f>
        <v/>
      </c>
    </row>
    <row r="2172">
      <c r="BN2172">
        <f>IF(2159&lt;$U$9,INT(2159/($U$7*$U$8))+1,1)</f>
        <v/>
      </c>
      <c r="BO2172">
        <f>IF(2159&lt;$U$9,MOD(INT(2159/$U$8),$U$7)+1,1)</f>
        <v/>
      </c>
      <c r="BP2172">
        <f>IF(2159&lt;$U$9,MOD(2159,$U$8)+1,1)</f>
        <v/>
      </c>
      <c r="BQ2172">
        <f>IF(2159&lt;$U$9,SUMPRODUCT(($D$10:$L$10&lt;&gt;"")*(($D$9:$L$9+INT(($S$12:$AA$12+INDEX($AJ$13:$AR$162,BN2172,0)+INDEX($AT$13:$BB$162,BO2172,0)+INDEX($BD$13:$BL$162,BP2172,0))/100))&gt;=$D$10:$L$10)),0)</f>
        <v/>
      </c>
      <c r="BR2172">
        <f>IF(2159&lt;$U$9,SUMPRODUCT(($D$10:$L$10&lt;&gt;"")*(($D$10:$L$10-($D$9:$L$9+INT(($S$12:$AA$12+INDEX($AJ$13:$AR$162,BN2172,0)+INDEX($AT$13:$BB$162,BO2172,0)+INDEX($BD$13:$BL$162,BP2172,0))/100)))&gt;0)*($D$10:$L$10-($D$9:$L$9+INT(($S$12:$AA$12+INDEX($AJ$13:$AR$162,BN2172,0)+INDEX($AT$13:$BB$162,BO2172,0)+INDEX($BD$13:$BL$162,BP2172,0))/100)))),0)</f>
        <v/>
      </c>
      <c r="BS2172">
        <f>IF(2159&lt;$U$9,SUMPRODUCT(($D$9:$L$9+INT(($S$12:$AA$12+INDEX($AJ$13:$AR$162,BN2172,0)+INDEX($AT$13:$BB$162,BO2172,0)+INDEX($BD$13:$BL$162,BP2172,0))/100))),0)</f>
        <v/>
      </c>
      <c r="BT2172">
        <f>IF(AND(2159&lt;$U$9,$W$5),BQ2172*1000000-MIN(BR2172,999)*1000+BS2172-2159/100000,-1000000000-2159)</f>
        <v/>
      </c>
    </row>
    <row r="2173">
      <c r="BN2173">
        <f>IF(2160&lt;$U$9,INT(2160/($U$7*$U$8))+1,1)</f>
        <v/>
      </c>
      <c r="BO2173">
        <f>IF(2160&lt;$U$9,MOD(INT(2160/$U$8),$U$7)+1,1)</f>
        <v/>
      </c>
      <c r="BP2173">
        <f>IF(2160&lt;$U$9,MOD(2160,$U$8)+1,1)</f>
        <v/>
      </c>
      <c r="BQ2173">
        <f>IF(2160&lt;$U$9,SUMPRODUCT(($D$10:$L$10&lt;&gt;"")*(($D$9:$L$9+INT(($S$12:$AA$12+INDEX($AJ$13:$AR$162,BN2173,0)+INDEX($AT$13:$BB$162,BO2173,0)+INDEX($BD$13:$BL$162,BP2173,0))/100))&gt;=$D$10:$L$10)),0)</f>
        <v/>
      </c>
      <c r="BR2173">
        <f>IF(2160&lt;$U$9,SUMPRODUCT(($D$10:$L$10&lt;&gt;"")*(($D$10:$L$10-($D$9:$L$9+INT(($S$12:$AA$12+INDEX($AJ$13:$AR$162,BN2173,0)+INDEX($AT$13:$BB$162,BO2173,0)+INDEX($BD$13:$BL$162,BP2173,0))/100)))&gt;0)*($D$10:$L$10-($D$9:$L$9+INT(($S$12:$AA$12+INDEX($AJ$13:$AR$162,BN2173,0)+INDEX($AT$13:$BB$162,BO2173,0)+INDEX($BD$13:$BL$162,BP2173,0))/100)))),0)</f>
        <v/>
      </c>
      <c r="BS2173">
        <f>IF(2160&lt;$U$9,SUMPRODUCT(($D$9:$L$9+INT(($S$12:$AA$12+INDEX($AJ$13:$AR$162,BN2173,0)+INDEX($AT$13:$BB$162,BO2173,0)+INDEX($BD$13:$BL$162,BP2173,0))/100))),0)</f>
        <v/>
      </c>
      <c r="BT2173">
        <f>IF(AND(2160&lt;$U$9,$W$5),BQ2173*1000000-MIN(BR2173,999)*1000+BS2173-2160/100000,-1000000000-2160)</f>
        <v/>
      </c>
    </row>
    <row r="2174">
      <c r="BN2174">
        <f>IF(2161&lt;$U$9,INT(2161/($U$7*$U$8))+1,1)</f>
        <v/>
      </c>
      <c r="BO2174">
        <f>IF(2161&lt;$U$9,MOD(INT(2161/$U$8),$U$7)+1,1)</f>
        <v/>
      </c>
      <c r="BP2174">
        <f>IF(2161&lt;$U$9,MOD(2161,$U$8)+1,1)</f>
        <v/>
      </c>
      <c r="BQ2174">
        <f>IF(2161&lt;$U$9,SUMPRODUCT(($D$10:$L$10&lt;&gt;"")*(($D$9:$L$9+INT(($S$12:$AA$12+INDEX($AJ$13:$AR$162,BN2174,0)+INDEX($AT$13:$BB$162,BO2174,0)+INDEX($BD$13:$BL$162,BP2174,0))/100))&gt;=$D$10:$L$10)),0)</f>
        <v/>
      </c>
      <c r="BR2174">
        <f>IF(2161&lt;$U$9,SUMPRODUCT(($D$10:$L$10&lt;&gt;"")*(($D$10:$L$10-($D$9:$L$9+INT(($S$12:$AA$12+INDEX($AJ$13:$AR$162,BN2174,0)+INDEX($AT$13:$BB$162,BO2174,0)+INDEX($BD$13:$BL$162,BP2174,0))/100)))&gt;0)*($D$10:$L$10-($D$9:$L$9+INT(($S$12:$AA$12+INDEX($AJ$13:$AR$162,BN2174,0)+INDEX($AT$13:$BB$162,BO2174,0)+INDEX($BD$13:$BL$162,BP2174,0))/100)))),0)</f>
        <v/>
      </c>
      <c r="BS2174">
        <f>IF(2161&lt;$U$9,SUMPRODUCT(($D$9:$L$9+INT(($S$12:$AA$12+INDEX($AJ$13:$AR$162,BN2174,0)+INDEX($AT$13:$BB$162,BO2174,0)+INDEX($BD$13:$BL$162,BP2174,0))/100))),0)</f>
        <v/>
      </c>
      <c r="BT2174">
        <f>IF(AND(2161&lt;$U$9,$W$5),BQ2174*1000000-MIN(BR2174,999)*1000+BS2174-2161/100000,-1000000000-2161)</f>
        <v/>
      </c>
    </row>
    <row r="2175">
      <c r="BN2175">
        <f>IF(2162&lt;$U$9,INT(2162/($U$7*$U$8))+1,1)</f>
        <v/>
      </c>
      <c r="BO2175">
        <f>IF(2162&lt;$U$9,MOD(INT(2162/$U$8),$U$7)+1,1)</f>
        <v/>
      </c>
      <c r="BP2175">
        <f>IF(2162&lt;$U$9,MOD(2162,$U$8)+1,1)</f>
        <v/>
      </c>
      <c r="BQ2175">
        <f>IF(2162&lt;$U$9,SUMPRODUCT(($D$10:$L$10&lt;&gt;"")*(($D$9:$L$9+INT(($S$12:$AA$12+INDEX($AJ$13:$AR$162,BN2175,0)+INDEX($AT$13:$BB$162,BO2175,0)+INDEX($BD$13:$BL$162,BP2175,0))/100))&gt;=$D$10:$L$10)),0)</f>
        <v/>
      </c>
      <c r="BR2175">
        <f>IF(2162&lt;$U$9,SUMPRODUCT(($D$10:$L$10&lt;&gt;"")*(($D$10:$L$10-($D$9:$L$9+INT(($S$12:$AA$12+INDEX($AJ$13:$AR$162,BN2175,0)+INDEX($AT$13:$BB$162,BO2175,0)+INDEX($BD$13:$BL$162,BP2175,0))/100)))&gt;0)*($D$10:$L$10-($D$9:$L$9+INT(($S$12:$AA$12+INDEX($AJ$13:$AR$162,BN2175,0)+INDEX($AT$13:$BB$162,BO2175,0)+INDEX($BD$13:$BL$162,BP2175,0))/100)))),0)</f>
        <v/>
      </c>
      <c r="BS2175">
        <f>IF(2162&lt;$U$9,SUMPRODUCT(($D$9:$L$9+INT(($S$12:$AA$12+INDEX($AJ$13:$AR$162,BN2175,0)+INDEX($AT$13:$BB$162,BO2175,0)+INDEX($BD$13:$BL$162,BP2175,0))/100))),0)</f>
        <v/>
      </c>
      <c r="BT2175">
        <f>IF(AND(2162&lt;$U$9,$W$5),BQ2175*1000000-MIN(BR2175,999)*1000+BS2175-2162/100000,-1000000000-2162)</f>
        <v/>
      </c>
    </row>
    <row r="2176">
      <c r="BN2176">
        <f>IF(2163&lt;$U$9,INT(2163/($U$7*$U$8))+1,1)</f>
        <v/>
      </c>
      <c r="BO2176">
        <f>IF(2163&lt;$U$9,MOD(INT(2163/$U$8),$U$7)+1,1)</f>
        <v/>
      </c>
      <c r="BP2176">
        <f>IF(2163&lt;$U$9,MOD(2163,$U$8)+1,1)</f>
        <v/>
      </c>
      <c r="BQ2176">
        <f>IF(2163&lt;$U$9,SUMPRODUCT(($D$10:$L$10&lt;&gt;"")*(($D$9:$L$9+INT(($S$12:$AA$12+INDEX($AJ$13:$AR$162,BN2176,0)+INDEX($AT$13:$BB$162,BO2176,0)+INDEX($BD$13:$BL$162,BP2176,0))/100))&gt;=$D$10:$L$10)),0)</f>
        <v/>
      </c>
      <c r="BR2176">
        <f>IF(2163&lt;$U$9,SUMPRODUCT(($D$10:$L$10&lt;&gt;"")*(($D$10:$L$10-($D$9:$L$9+INT(($S$12:$AA$12+INDEX($AJ$13:$AR$162,BN2176,0)+INDEX($AT$13:$BB$162,BO2176,0)+INDEX($BD$13:$BL$162,BP2176,0))/100)))&gt;0)*($D$10:$L$10-($D$9:$L$9+INT(($S$12:$AA$12+INDEX($AJ$13:$AR$162,BN2176,0)+INDEX($AT$13:$BB$162,BO2176,0)+INDEX($BD$13:$BL$162,BP2176,0))/100)))),0)</f>
        <v/>
      </c>
      <c r="BS2176">
        <f>IF(2163&lt;$U$9,SUMPRODUCT(($D$9:$L$9+INT(($S$12:$AA$12+INDEX($AJ$13:$AR$162,BN2176,0)+INDEX($AT$13:$BB$162,BO2176,0)+INDEX($BD$13:$BL$162,BP2176,0))/100))),0)</f>
        <v/>
      </c>
      <c r="BT2176">
        <f>IF(AND(2163&lt;$U$9,$W$5),BQ2176*1000000-MIN(BR2176,999)*1000+BS2176-2163/100000,-1000000000-2163)</f>
        <v/>
      </c>
    </row>
    <row r="2177">
      <c r="BN2177">
        <f>IF(2164&lt;$U$9,INT(2164/($U$7*$U$8))+1,1)</f>
        <v/>
      </c>
      <c r="BO2177">
        <f>IF(2164&lt;$U$9,MOD(INT(2164/$U$8),$U$7)+1,1)</f>
        <v/>
      </c>
      <c r="BP2177">
        <f>IF(2164&lt;$U$9,MOD(2164,$U$8)+1,1)</f>
        <v/>
      </c>
      <c r="BQ2177">
        <f>IF(2164&lt;$U$9,SUMPRODUCT(($D$10:$L$10&lt;&gt;"")*(($D$9:$L$9+INT(($S$12:$AA$12+INDEX($AJ$13:$AR$162,BN2177,0)+INDEX($AT$13:$BB$162,BO2177,0)+INDEX($BD$13:$BL$162,BP2177,0))/100))&gt;=$D$10:$L$10)),0)</f>
        <v/>
      </c>
      <c r="BR2177">
        <f>IF(2164&lt;$U$9,SUMPRODUCT(($D$10:$L$10&lt;&gt;"")*(($D$10:$L$10-($D$9:$L$9+INT(($S$12:$AA$12+INDEX($AJ$13:$AR$162,BN2177,0)+INDEX($AT$13:$BB$162,BO2177,0)+INDEX($BD$13:$BL$162,BP2177,0))/100)))&gt;0)*($D$10:$L$10-($D$9:$L$9+INT(($S$12:$AA$12+INDEX($AJ$13:$AR$162,BN2177,0)+INDEX($AT$13:$BB$162,BO2177,0)+INDEX($BD$13:$BL$162,BP2177,0))/100)))),0)</f>
        <v/>
      </c>
      <c r="BS2177">
        <f>IF(2164&lt;$U$9,SUMPRODUCT(($D$9:$L$9+INT(($S$12:$AA$12+INDEX($AJ$13:$AR$162,BN2177,0)+INDEX($AT$13:$BB$162,BO2177,0)+INDEX($BD$13:$BL$162,BP2177,0))/100))),0)</f>
        <v/>
      </c>
      <c r="BT2177">
        <f>IF(AND(2164&lt;$U$9,$W$5),BQ2177*1000000-MIN(BR2177,999)*1000+BS2177-2164/100000,-1000000000-2164)</f>
        <v/>
      </c>
    </row>
    <row r="2178">
      <c r="BN2178">
        <f>IF(2165&lt;$U$9,INT(2165/($U$7*$U$8))+1,1)</f>
        <v/>
      </c>
      <c r="BO2178">
        <f>IF(2165&lt;$U$9,MOD(INT(2165/$U$8),$U$7)+1,1)</f>
        <v/>
      </c>
      <c r="BP2178">
        <f>IF(2165&lt;$U$9,MOD(2165,$U$8)+1,1)</f>
        <v/>
      </c>
      <c r="BQ2178">
        <f>IF(2165&lt;$U$9,SUMPRODUCT(($D$10:$L$10&lt;&gt;"")*(($D$9:$L$9+INT(($S$12:$AA$12+INDEX($AJ$13:$AR$162,BN2178,0)+INDEX($AT$13:$BB$162,BO2178,0)+INDEX($BD$13:$BL$162,BP2178,0))/100))&gt;=$D$10:$L$10)),0)</f>
        <v/>
      </c>
      <c r="BR2178">
        <f>IF(2165&lt;$U$9,SUMPRODUCT(($D$10:$L$10&lt;&gt;"")*(($D$10:$L$10-($D$9:$L$9+INT(($S$12:$AA$12+INDEX($AJ$13:$AR$162,BN2178,0)+INDEX($AT$13:$BB$162,BO2178,0)+INDEX($BD$13:$BL$162,BP2178,0))/100)))&gt;0)*($D$10:$L$10-($D$9:$L$9+INT(($S$12:$AA$12+INDEX($AJ$13:$AR$162,BN2178,0)+INDEX($AT$13:$BB$162,BO2178,0)+INDEX($BD$13:$BL$162,BP2178,0))/100)))),0)</f>
        <v/>
      </c>
      <c r="BS2178">
        <f>IF(2165&lt;$U$9,SUMPRODUCT(($D$9:$L$9+INT(($S$12:$AA$12+INDEX($AJ$13:$AR$162,BN2178,0)+INDEX($AT$13:$BB$162,BO2178,0)+INDEX($BD$13:$BL$162,BP2178,0))/100))),0)</f>
        <v/>
      </c>
      <c r="BT2178">
        <f>IF(AND(2165&lt;$U$9,$W$5),BQ2178*1000000-MIN(BR2178,999)*1000+BS2178-2165/100000,-1000000000-2165)</f>
        <v/>
      </c>
    </row>
    <row r="2179">
      <c r="BN2179">
        <f>IF(2166&lt;$U$9,INT(2166/($U$7*$U$8))+1,1)</f>
        <v/>
      </c>
      <c r="BO2179">
        <f>IF(2166&lt;$U$9,MOD(INT(2166/$U$8),$U$7)+1,1)</f>
        <v/>
      </c>
      <c r="BP2179">
        <f>IF(2166&lt;$U$9,MOD(2166,$U$8)+1,1)</f>
        <v/>
      </c>
      <c r="BQ2179">
        <f>IF(2166&lt;$U$9,SUMPRODUCT(($D$10:$L$10&lt;&gt;"")*(($D$9:$L$9+INT(($S$12:$AA$12+INDEX($AJ$13:$AR$162,BN2179,0)+INDEX($AT$13:$BB$162,BO2179,0)+INDEX($BD$13:$BL$162,BP2179,0))/100))&gt;=$D$10:$L$10)),0)</f>
        <v/>
      </c>
      <c r="BR2179">
        <f>IF(2166&lt;$U$9,SUMPRODUCT(($D$10:$L$10&lt;&gt;"")*(($D$10:$L$10-($D$9:$L$9+INT(($S$12:$AA$12+INDEX($AJ$13:$AR$162,BN2179,0)+INDEX($AT$13:$BB$162,BO2179,0)+INDEX($BD$13:$BL$162,BP2179,0))/100)))&gt;0)*($D$10:$L$10-($D$9:$L$9+INT(($S$12:$AA$12+INDEX($AJ$13:$AR$162,BN2179,0)+INDEX($AT$13:$BB$162,BO2179,0)+INDEX($BD$13:$BL$162,BP2179,0))/100)))),0)</f>
        <v/>
      </c>
      <c r="BS2179">
        <f>IF(2166&lt;$U$9,SUMPRODUCT(($D$9:$L$9+INT(($S$12:$AA$12+INDEX($AJ$13:$AR$162,BN2179,0)+INDEX($AT$13:$BB$162,BO2179,0)+INDEX($BD$13:$BL$162,BP2179,0))/100))),0)</f>
        <v/>
      </c>
      <c r="BT2179">
        <f>IF(AND(2166&lt;$U$9,$W$5),BQ2179*1000000-MIN(BR2179,999)*1000+BS2179-2166/100000,-1000000000-2166)</f>
        <v/>
      </c>
    </row>
    <row r="2180">
      <c r="BN2180">
        <f>IF(2167&lt;$U$9,INT(2167/($U$7*$U$8))+1,1)</f>
        <v/>
      </c>
      <c r="BO2180">
        <f>IF(2167&lt;$U$9,MOD(INT(2167/$U$8),$U$7)+1,1)</f>
        <v/>
      </c>
      <c r="BP2180">
        <f>IF(2167&lt;$U$9,MOD(2167,$U$8)+1,1)</f>
        <v/>
      </c>
      <c r="BQ2180">
        <f>IF(2167&lt;$U$9,SUMPRODUCT(($D$10:$L$10&lt;&gt;"")*(($D$9:$L$9+INT(($S$12:$AA$12+INDEX($AJ$13:$AR$162,BN2180,0)+INDEX($AT$13:$BB$162,BO2180,0)+INDEX($BD$13:$BL$162,BP2180,0))/100))&gt;=$D$10:$L$10)),0)</f>
        <v/>
      </c>
      <c r="BR2180">
        <f>IF(2167&lt;$U$9,SUMPRODUCT(($D$10:$L$10&lt;&gt;"")*(($D$10:$L$10-($D$9:$L$9+INT(($S$12:$AA$12+INDEX($AJ$13:$AR$162,BN2180,0)+INDEX($AT$13:$BB$162,BO2180,0)+INDEX($BD$13:$BL$162,BP2180,0))/100)))&gt;0)*($D$10:$L$10-($D$9:$L$9+INT(($S$12:$AA$12+INDEX($AJ$13:$AR$162,BN2180,0)+INDEX($AT$13:$BB$162,BO2180,0)+INDEX($BD$13:$BL$162,BP2180,0))/100)))),0)</f>
        <v/>
      </c>
      <c r="BS2180">
        <f>IF(2167&lt;$U$9,SUMPRODUCT(($D$9:$L$9+INT(($S$12:$AA$12+INDEX($AJ$13:$AR$162,BN2180,0)+INDEX($AT$13:$BB$162,BO2180,0)+INDEX($BD$13:$BL$162,BP2180,0))/100))),0)</f>
        <v/>
      </c>
      <c r="BT2180">
        <f>IF(AND(2167&lt;$U$9,$W$5),BQ2180*1000000-MIN(BR2180,999)*1000+BS2180-2167/100000,-1000000000-2167)</f>
        <v/>
      </c>
    </row>
    <row r="2181">
      <c r="BN2181">
        <f>IF(2168&lt;$U$9,INT(2168/($U$7*$U$8))+1,1)</f>
        <v/>
      </c>
      <c r="BO2181">
        <f>IF(2168&lt;$U$9,MOD(INT(2168/$U$8),$U$7)+1,1)</f>
        <v/>
      </c>
      <c r="BP2181">
        <f>IF(2168&lt;$U$9,MOD(2168,$U$8)+1,1)</f>
        <v/>
      </c>
      <c r="BQ2181">
        <f>IF(2168&lt;$U$9,SUMPRODUCT(($D$10:$L$10&lt;&gt;"")*(($D$9:$L$9+INT(($S$12:$AA$12+INDEX($AJ$13:$AR$162,BN2181,0)+INDEX($AT$13:$BB$162,BO2181,0)+INDEX($BD$13:$BL$162,BP2181,0))/100))&gt;=$D$10:$L$10)),0)</f>
        <v/>
      </c>
      <c r="BR2181">
        <f>IF(2168&lt;$U$9,SUMPRODUCT(($D$10:$L$10&lt;&gt;"")*(($D$10:$L$10-($D$9:$L$9+INT(($S$12:$AA$12+INDEX($AJ$13:$AR$162,BN2181,0)+INDEX($AT$13:$BB$162,BO2181,0)+INDEX($BD$13:$BL$162,BP2181,0))/100)))&gt;0)*($D$10:$L$10-($D$9:$L$9+INT(($S$12:$AA$12+INDEX($AJ$13:$AR$162,BN2181,0)+INDEX($AT$13:$BB$162,BO2181,0)+INDEX($BD$13:$BL$162,BP2181,0))/100)))),0)</f>
        <v/>
      </c>
      <c r="BS2181">
        <f>IF(2168&lt;$U$9,SUMPRODUCT(($D$9:$L$9+INT(($S$12:$AA$12+INDEX($AJ$13:$AR$162,BN2181,0)+INDEX($AT$13:$BB$162,BO2181,0)+INDEX($BD$13:$BL$162,BP2181,0))/100))),0)</f>
        <v/>
      </c>
      <c r="BT2181">
        <f>IF(AND(2168&lt;$U$9,$W$5),BQ2181*1000000-MIN(BR2181,999)*1000+BS2181-2168/100000,-1000000000-2168)</f>
        <v/>
      </c>
    </row>
    <row r="2182">
      <c r="BN2182">
        <f>IF(2169&lt;$U$9,INT(2169/($U$7*$U$8))+1,1)</f>
        <v/>
      </c>
      <c r="BO2182">
        <f>IF(2169&lt;$U$9,MOD(INT(2169/$U$8),$U$7)+1,1)</f>
        <v/>
      </c>
      <c r="BP2182">
        <f>IF(2169&lt;$U$9,MOD(2169,$U$8)+1,1)</f>
        <v/>
      </c>
      <c r="BQ2182">
        <f>IF(2169&lt;$U$9,SUMPRODUCT(($D$10:$L$10&lt;&gt;"")*(($D$9:$L$9+INT(($S$12:$AA$12+INDEX($AJ$13:$AR$162,BN2182,0)+INDEX($AT$13:$BB$162,BO2182,0)+INDEX($BD$13:$BL$162,BP2182,0))/100))&gt;=$D$10:$L$10)),0)</f>
        <v/>
      </c>
      <c r="BR2182">
        <f>IF(2169&lt;$U$9,SUMPRODUCT(($D$10:$L$10&lt;&gt;"")*(($D$10:$L$10-($D$9:$L$9+INT(($S$12:$AA$12+INDEX($AJ$13:$AR$162,BN2182,0)+INDEX($AT$13:$BB$162,BO2182,0)+INDEX($BD$13:$BL$162,BP2182,0))/100)))&gt;0)*($D$10:$L$10-($D$9:$L$9+INT(($S$12:$AA$12+INDEX($AJ$13:$AR$162,BN2182,0)+INDEX($AT$13:$BB$162,BO2182,0)+INDEX($BD$13:$BL$162,BP2182,0))/100)))),0)</f>
        <v/>
      </c>
      <c r="BS2182">
        <f>IF(2169&lt;$U$9,SUMPRODUCT(($D$9:$L$9+INT(($S$12:$AA$12+INDEX($AJ$13:$AR$162,BN2182,0)+INDEX($AT$13:$BB$162,BO2182,0)+INDEX($BD$13:$BL$162,BP2182,0))/100))),0)</f>
        <v/>
      </c>
      <c r="BT2182">
        <f>IF(AND(2169&lt;$U$9,$W$5),BQ2182*1000000-MIN(BR2182,999)*1000+BS2182-2169/100000,-1000000000-2169)</f>
        <v/>
      </c>
    </row>
    <row r="2183">
      <c r="BN2183">
        <f>IF(2170&lt;$U$9,INT(2170/($U$7*$U$8))+1,1)</f>
        <v/>
      </c>
      <c r="BO2183">
        <f>IF(2170&lt;$U$9,MOD(INT(2170/$U$8),$U$7)+1,1)</f>
        <v/>
      </c>
      <c r="BP2183">
        <f>IF(2170&lt;$U$9,MOD(2170,$U$8)+1,1)</f>
        <v/>
      </c>
      <c r="BQ2183">
        <f>IF(2170&lt;$U$9,SUMPRODUCT(($D$10:$L$10&lt;&gt;"")*(($D$9:$L$9+INT(($S$12:$AA$12+INDEX($AJ$13:$AR$162,BN2183,0)+INDEX($AT$13:$BB$162,BO2183,0)+INDEX($BD$13:$BL$162,BP2183,0))/100))&gt;=$D$10:$L$10)),0)</f>
        <v/>
      </c>
      <c r="BR2183">
        <f>IF(2170&lt;$U$9,SUMPRODUCT(($D$10:$L$10&lt;&gt;"")*(($D$10:$L$10-($D$9:$L$9+INT(($S$12:$AA$12+INDEX($AJ$13:$AR$162,BN2183,0)+INDEX($AT$13:$BB$162,BO2183,0)+INDEX($BD$13:$BL$162,BP2183,0))/100)))&gt;0)*($D$10:$L$10-($D$9:$L$9+INT(($S$12:$AA$12+INDEX($AJ$13:$AR$162,BN2183,0)+INDEX($AT$13:$BB$162,BO2183,0)+INDEX($BD$13:$BL$162,BP2183,0))/100)))),0)</f>
        <v/>
      </c>
      <c r="BS2183">
        <f>IF(2170&lt;$U$9,SUMPRODUCT(($D$9:$L$9+INT(($S$12:$AA$12+INDEX($AJ$13:$AR$162,BN2183,0)+INDEX($AT$13:$BB$162,BO2183,0)+INDEX($BD$13:$BL$162,BP2183,0))/100))),0)</f>
        <v/>
      </c>
      <c r="BT2183">
        <f>IF(AND(2170&lt;$U$9,$W$5),BQ2183*1000000-MIN(BR2183,999)*1000+BS2183-2170/100000,-1000000000-2170)</f>
        <v/>
      </c>
    </row>
    <row r="2184">
      <c r="BN2184">
        <f>IF(2171&lt;$U$9,INT(2171/($U$7*$U$8))+1,1)</f>
        <v/>
      </c>
      <c r="BO2184">
        <f>IF(2171&lt;$U$9,MOD(INT(2171/$U$8),$U$7)+1,1)</f>
        <v/>
      </c>
      <c r="BP2184">
        <f>IF(2171&lt;$U$9,MOD(2171,$U$8)+1,1)</f>
        <v/>
      </c>
      <c r="BQ2184">
        <f>IF(2171&lt;$U$9,SUMPRODUCT(($D$10:$L$10&lt;&gt;"")*(($D$9:$L$9+INT(($S$12:$AA$12+INDEX($AJ$13:$AR$162,BN2184,0)+INDEX($AT$13:$BB$162,BO2184,0)+INDEX($BD$13:$BL$162,BP2184,0))/100))&gt;=$D$10:$L$10)),0)</f>
        <v/>
      </c>
      <c r="BR2184">
        <f>IF(2171&lt;$U$9,SUMPRODUCT(($D$10:$L$10&lt;&gt;"")*(($D$10:$L$10-($D$9:$L$9+INT(($S$12:$AA$12+INDEX($AJ$13:$AR$162,BN2184,0)+INDEX($AT$13:$BB$162,BO2184,0)+INDEX($BD$13:$BL$162,BP2184,0))/100)))&gt;0)*($D$10:$L$10-($D$9:$L$9+INT(($S$12:$AA$12+INDEX($AJ$13:$AR$162,BN2184,0)+INDEX($AT$13:$BB$162,BO2184,0)+INDEX($BD$13:$BL$162,BP2184,0))/100)))),0)</f>
        <v/>
      </c>
      <c r="BS2184">
        <f>IF(2171&lt;$U$9,SUMPRODUCT(($D$9:$L$9+INT(($S$12:$AA$12+INDEX($AJ$13:$AR$162,BN2184,0)+INDEX($AT$13:$BB$162,BO2184,0)+INDEX($BD$13:$BL$162,BP2184,0))/100))),0)</f>
        <v/>
      </c>
      <c r="BT2184">
        <f>IF(AND(2171&lt;$U$9,$W$5),BQ2184*1000000-MIN(BR2184,999)*1000+BS2184-2171/100000,-1000000000-2171)</f>
        <v/>
      </c>
    </row>
    <row r="2185">
      <c r="BN2185">
        <f>IF(2172&lt;$U$9,INT(2172/($U$7*$U$8))+1,1)</f>
        <v/>
      </c>
      <c r="BO2185">
        <f>IF(2172&lt;$U$9,MOD(INT(2172/$U$8),$U$7)+1,1)</f>
        <v/>
      </c>
      <c r="BP2185">
        <f>IF(2172&lt;$U$9,MOD(2172,$U$8)+1,1)</f>
        <v/>
      </c>
      <c r="BQ2185">
        <f>IF(2172&lt;$U$9,SUMPRODUCT(($D$10:$L$10&lt;&gt;"")*(($D$9:$L$9+INT(($S$12:$AA$12+INDEX($AJ$13:$AR$162,BN2185,0)+INDEX($AT$13:$BB$162,BO2185,0)+INDEX($BD$13:$BL$162,BP2185,0))/100))&gt;=$D$10:$L$10)),0)</f>
        <v/>
      </c>
      <c r="BR2185">
        <f>IF(2172&lt;$U$9,SUMPRODUCT(($D$10:$L$10&lt;&gt;"")*(($D$10:$L$10-($D$9:$L$9+INT(($S$12:$AA$12+INDEX($AJ$13:$AR$162,BN2185,0)+INDEX($AT$13:$BB$162,BO2185,0)+INDEX($BD$13:$BL$162,BP2185,0))/100)))&gt;0)*($D$10:$L$10-($D$9:$L$9+INT(($S$12:$AA$12+INDEX($AJ$13:$AR$162,BN2185,0)+INDEX($AT$13:$BB$162,BO2185,0)+INDEX($BD$13:$BL$162,BP2185,0))/100)))),0)</f>
        <v/>
      </c>
      <c r="BS2185">
        <f>IF(2172&lt;$U$9,SUMPRODUCT(($D$9:$L$9+INT(($S$12:$AA$12+INDEX($AJ$13:$AR$162,BN2185,0)+INDEX($AT$13:$BB$162,BO2185,0)+INDEX($BD$13:$BL$162,BP2185,0))/100))),0)</f>
        <v/>
      </c>
      <c r="BT2185">
        <f>IF(AND(2172&lt;$U$9,$W$5),BQ2185*1000000-MIN(BR2185,999)*1000+BS2185-2172/100000,-1000000000-2172)</f>
        <v/>
      </c>
    </row>
    <row r="2186">
      <c r="BN2186">
        <f>IF(2173&lt;$U$9,INT(2173/($U$7*$U$8))+1,1)</f>
        <v/>
      </c>
      <c r="BO2186">
        <f>IF(2173&lt;$U$9,MOD(INT(2173/$U$8),$U$7)+1,1)</f>
        <v/>
      </c>
      <c r="BP2186">
        <f>IF(2173&lt;$U$9,MOD(2173,$U$8)+1,1)</f>
        <v/>
      </c>
      <c r="BQ2186">
        <f>IF(2173&lt;$U$9,SUMPRODUCT(($D$10:$L$10&lt;&gt;"")*(($D$9:$L$9+INT(($S$12:$AA$12+INDEX($AJ$13:$AR$162,BN2186,0)+INDEX($AT$13:$BB$162,BO2186,0)+INDEX($BD$13:$BL$162,BP2186,0))/100))&gt;=$D$10:$L$10)),0)</f>
        <v/>
      </c>
      <c r="BR2186">
        <f>IF(2173&lt;$U$9,SUMPRODUCT(($D$10:$L$10&lt;&gt;"")*(($D$10:$L$10-($D$9:$L$9+INT(($S$12:$AA$12+INDEX($AJ$13:$AR$162,BN2186,0)+INDEX($AT$13:$BB$162,BO2186,0)+INDEX($BD$13:$BL$162,BP2186,0))/100)))&gt;0)*($D$10:$L$10-($D$9:$L$9+INT(($S$12:$AA$12+INDEX($AJ$13:$AR$162,BN2186,0)+INDEX($AT$13:$BB$162,BO2186,0)+INDEX($BD$13:$BL$162,BP2186,0))/100)))),0)</f>
        <v/>
      </c>
      <c r="BS2186">
        <f>IF(2173&lt;$U$9,SUMPRODUCT(($D$9:$L$9+INT(($S$12:$AA$12+INDEX($AJ$13:$AR$162,BN2186,0)+INDEX($AT$13:$BB$162,BO2186,0)+INDEX($BD$13:$BL$162,BP2186,0))/100))),0)</f>
        <v/>
      </c>
      <c r="BT2186">
        <f>IF(AND(2173&lt;$U$9,$W$5),BQ2186*1000000-MIN(BR2186,999)*1000+BS2186-2173/100000,-1000000000-2173)</f>
        <v/>
      </c>
    </row>
    <row r="2187">
      <c r="BN2187">
        <f>IF(2174&lt;$U$9,INT(2174/($U$7*$U$8))+1,1)</f>
        <v/>
      </c>
      <c r="BO2187">
        <f>IF(2174&lt;$U$9,MOD(INT(2174/$U$8),$U$7)+1,1)</f>
        <v/>
      </c>
      <c r="BP2187">
        <f>IF(2174&lt;$U$9,MOD(2174,$U$8)+1,1)</f>
        <v/>
      </c>
      <c r="BQ2187">
        <f>IF(2174&lt;$U$9,SUMPRODUCT(($D$10:$L$10&lt;&gt;"")*(($D$9:$L$9+INT(($S$12:$AA$12+INDEX($AJ$13:$AR$162,BN2187,0)+INDEX($AT$13:$BB$162,BO2187,0)+INDEX($BD$13:$BL$162,BP2187,0))/100))&gt;=$D$10:$L$10)),0)</f>
        <v/>
      </c>
      <c r="BR2187">
        <f>IF(2174&lt;$U$9,SUMPRODUCT(($D$10:$L$10&lt;&gt;"")*(($D$10:$L$10-($D$9:$L$9+INT(($S$12:$AA$12+INDEX($AJ$13:$AR$162,BN2187,0)+INDEX($AT$13:$BB$162,BO2187,0)+INDEX($BD$13:$BL$162,BP2187,0))/100)))&gt;0)*($D$10:$L$10-($D$9:$L$9+INT(($S$12:$AA$12+INDEX($AJ$13:$AR$162,BN2187,0)+INDEX($AT$13:$BB$162,BO2187,0)+INDEX($BD$13:$BL$162,BP2187,0))/100)))),0)</f>
        <v/>
      </c>
      <c r="BS2187">
        <f>IF(2174&lt;$U$9,SUMPRODUCT(($D$9:$L$9+INT(($S$12:$AA$12+INDEX($AJ$13:$AR$162,BN2187,0)+INDEX($AT$13:$BB$162,BO2187,0)+INDEX($BD$13:$BL$162,BP2187,0))/100))),0)</f>
        <v/>
      </c>
      <c r="BT2187">
        <f>IF(AND(2174&lt;$U$9,$W$5),BQ2187*1000000-MIN(BR2187,999)*1000+BS2187-2174/100000,-1000000000-2174)</f>
        <v/>
      </c>
    </row>
    <row r="2188">
      <c r="BN2188">
        <f>IF(2175&lt;$U$9,INT(2175/($U$7*$U$8))+1,1)</f>
        <v/>
      </c>
      <c r="BO2188">
        <f>IF(2175&lt;$U$9,MOD(INT(2175/$U$8),$U$7)+1,1)</f>
        <v/>
      </c>
      <c r="BP2188">
        <f>IF(2175&lt;$U$9,MOD(2175,$U$8)+1,1)</f>
        <v/>
      </c>
      <c r="BQ2188">
        <f>IF(2175&lt;$U$9,SUMPRODUCT(($D$10:$L$10&lt;&gt;"")*(($D$9:$L$9+INT(($S$12:$AA$12+INDEX($AJ$13:$AR$162,BN2188,0)+INDEX($AT$13:$BB$162,BO2188,0)+INDEX($BD$13:$BL$162,BP2188,0))/100))&gt;=$D$10:$L$10)),0)</f>
        <v/>
      </c>
      <c r="BR2188">
        <f>IF(2175&lt;$U$9,SUMPRODUCT(($D$10:$L$10&lt;&gt;"")*(($D$10:$L$10-($D$9:$L$9+INT(($S$12:$AA$12+INDEX($AJ$13:$AR$162,BN2188,0)+INDEX($AT$13:$BB$162,BO2188,0)+INDEX($BD$13:$BL$162,BP2188,0))/100)))&gt;0)*($D$10:$L$10-($D$9:$L$9+INT(($S$12:$AA$12+INDEX($AJ$13:$AR$162,BN2188,0)+INDEX($AT$13:$BB$162,BO2188,0)+INDEX($BD$13:$BL$162,BP2188,0))/100)))),0)</f>
        <v/>
      </c>
      <c r="BS2188">
        <f>IF(2175&lt;$U$9,SUMPRODUCT(($D$9:$L$9+INT(($S$12:$AA$12+INDEX($AJ$13:$AR$162,BN2188,0)+INDEX($AT$13:$BB$162,BO2188,0)+INDEX($BD$13:$BL$162,BP2188,0))/100))),0)</f>
        <v/>
      </c>
      <c r="BT2188">
        <f>IF(AND(2175&lt;$U$9,$W$5),BQ2188*1000000-MIN(BR2188,999)*1000+BS2188-2175/100000,-1000000000-2175)</f>
        <v/>
      </c>
    </row>
    <row r="2189">
      <c r="BN2189">
        <f>IF(2176&lt;$U$9,INT(2176/($U$7*$U$8))+1,1)</f>
        <v/>
      </c>
      <c r="BO2189">
        <f>IF(2176&lt;$U$9,MOD(INT(2176/$U$8),$U$7)+1,1)</f>
        <v/>
      </c>
      <c r="BP2189">
        <f>IF(2176&lt;$U$9,MOD(2176,$U$8)+1,1)</f>
        <v/>
      </c>
      <c r="BQ2189">
        <f>IF(2176&lt;$U$9,SUMPRODUCT(($D$10:$L$10&lt;&gt;"")*(($D$9:$L$9+INT(($S$12:$AA$12+INDEX($AJ$13:$AR$162,BN2189,0)+INDEX($AT$13:$BB$162,BO2189,0)+INDEX($BD$13:$BL$162,BP2189,0))/100))&gt;=$D$10:$L$10)),0)</f>
        <v/>
      </c>
      <c r="BR2189">
        <f>IF(2176&lt;$U$9,SUMPRODUCT(($D$10:$L$10&lt;&gt;"")*(($D$10:$L$10-($D$9:$L$9+INT(($S$12:$AA$12+INDEX($AJ$13:$AR$162,BN2189,0)+INDEX($AT$13:$BB$162,BO2189,0)+INDEX($BD$13:$BL$162,BP2189,0))/100)))&gt;0)*($D$10:$L$10-($D$9:$L$9+INT(($S$12:$AA$12+INDEX($AJ$13:$AR$162,BN2189,0)+INDEX($AT$13:$BB$162,BO2189,0)+INDEX($BD$13:$BL$162,BP2189,0))/100)))),0)</f>
        <v/>
      </c>
      <c r="BS2189">
        <f>IF(2176&lt;$U$9,SUMPRODUCT(($D$9:$L$9+INT(($S$12:$AA$12+INDEX($AJ$13:$AR$162,BN2189,0)+INDEX($AT$13:$BB$162,BO2189,0)+INDEX($BD$13:$BL$162,BP2189,0))/100))),0)</f>
        <v/>
      </c>
      <c r="BT2189">
        <f>IF(AND(2176&lt;$U$9,$W$5),BQ2189*1000000-MIN(BR2189,999)*1000+BS2189-2176/100000,-1000000000-2176)</f>
        <v/>
      </c>
    </row>
    <row r="2190">
      <c r="BN2190">
        <f>IF(2177&lt;$U$9,INT(2177/($U$7*$U$8))+1,1)</f>
        <v/>
      </c>
      <c r="BO2190">
        <f>IF(2177&lt;$U$9,MOD(INT(2177/$U$8),$U$7)+1,1)</f>
        <v/>
      </c>
      <c r="BP2190">
        <f>IF(2177&lt;$U$9,MOD(2177,$U$8)+1,1)</f>
        <v/>
      </c>
      <c r="BQ2190">
        <f>IF(2177&lt;$U$9,SUMPRODUCT(($D$10:$L$10&lt;&gt;"")*(($D$9:$L$9+INT(($S$12:$AA$12+INDEX($AJ$13:$AR$162,BN2190,0)+INDEX($AT$13:$BB$162,BO2190,0)+INDEX($BD$13:$BL$162,BP2190,0))/100))&gt;=$D$10:$L$10)),0)</f>
        <v/>
      </c>
      <c r="BR2190">
        <f>IF(2177&lt;$U$9,SUMPRODUCT(($D$10:$L$10&lt;&gt;"")*(($D$10:$L$10-($D$9:$L$9+INT(($S$12:$AA$12+INDEX($AJ$13:$AR$162,BN2190,0)+INDEX($AT$13:$BB$162,BO2190,0)+INDEX($BD$13:$BL$162,BP2190,0))/100)))&gt;0)*($D$10:$L$10-($D$9:$L$9+INT(($S$12:$AA$12+INDEX($AJ$13:$AR$162,BN2190,0)+INDEX($AT$13:$BB$162,BO2190,0)+INDEX($BD$13:$BL$162,BP2190,0))/100)))),0)</f>
        <v/>
      </c>
      <c r="BS2190">
        <f>IF(2177&lt;$U$9,SUMPRODUCT(($D$9:$L$9+INT(($S$12:$AA$12+INDEX($AJ$13:$AR$162,BN2190,0)+INDEX($AT$13:$BB$162,BO2190,0)+INDEX($BD$13:$BL$162,BP2190,0))/100))),0)</f>
        <v/>
      </c>
      <c r="BT2190">
        <f>IF(AND(2177&lt;$U$9,$W$5),BQ2190*1000000-MIN(BR2190,999)*1000+BS2190-2177/100000,-1000000000-2177)</f>
        <v/>
      </c>
    </row>
    <row r="2191">
      <c r="BN2191">
        <f>IF(2178&lt;$U$9,INT(2178/($U$7*$U$8))+1,1)</f>
        <v/>
      </c>
      <c r="BO2191">
        <f>IF(2178&lt;$U$9,MOD(INT(2178/$U$8),$U$7)+1,1)</f>
        <v/>
      </c>
      <c r="BP2191">
        <f>IF(2178&lt;$U$9,MOD(2178,$U$8)+1,1)</f>
        <v/>
      </c>
      <c r="BQ2191">
        <f>IF(2178&lt;$U$9,SUMPRODUCT(($D$10:$L$10&lt;&gt;"")*(($D$9:$L$9+INT(($S$12:$AA$12+INDEX($AJ$13:$AR$162,BN2191,0)+INDEX($AT$13:$BB$162,BO2191,0)+INDEX($BD$13:$BL$162,BP2191,0))/100))&gt;=$D$10:$L$10)),0)</f>
        <v/>
      </c>
      <c r="BR2191">
        <f>IF(2178&lt;$U$9,SUMPRODUCT(($D$10:$L$10&lt;&gt;"")*(($D$10:$L$10-($D$9:$L$9+INT(($S$12:$AA$12+INDEX($AJ$13:$AR$162,BN2191,0)+INDEX($AT$13:$BB$162,BO2191,0)+INDEX($BD$13:$BL$162,BP2191,0))/100)))&gt;0)*($D$10:$L$10-($D$9:$L$9+INT(($S$12:$AA$12+INDEX($AJ$13:$AR$162,BN2191,0)+INDEX($AT$13:$BB$162,BO2191,0)+INDEX($BD$13:$BL$162,BP2191,0))/100)))),0)</f>
        <v/>
      </c>
      <c r="BS2191">
        <f>IF(2178&lt;$U$9,SUMPRODUCT(($D$9:$L$9+INT(($S$12:$AA$12+INDEX($AJ$13:$AR$162,BN2191,0)+INDEX($AT$13:$BB$162,BO2191,0)+INDEX($BD$13:$BL$162,BP2191,0))/100))),0)</f>
        <v/>
      </c>
      <c r="BT2191">
        <f>IF(AND(2178&lt;$U$9,$W$5),BQ2191*1000000-MIN(BR2191,999)*1000+BS2191-2178/100000,-1000000000-2178)</f>
        <v/>
      </c>
    </row>
    <row r="2192">
      <c r="BN2192">
        <f>IF(2179&lt;$U$9,INT(2179/($U$7*$U$8))+1,1)</f>
        <v/>
      </c>
      <c r="BO2192">
        <f>IF(2179&lt;$U$9,MOD(INT(2179/$U$8),$U$7)+1,1)</f>
        <v/>
      </c>
      <c r="BP2192">
        <f>IF(2179&lt;$U$9,MOD(2179,$U$8)+1,1)</f>
        <v/>
      </c>
      <c r="BQ2192">
        <f>IF(2179&lt;$U$9,SUMPRODUCT(($D$10:$L$10&lt;&gt;"")*(($D$9:$L$9+INT(($S$12:$AA$12+INDEX($AJ$13:$AR$162,BN2192,0)+INDEX($AT$13:$BB$162,BO2192,0)+INDEX($BD$13:$BL$162,BP2192,0))/100))&gt;=$D$10:$L$10)),0)</f>
        <v/>
      </c>
      <c r="BR2192">
        <f>IF(2179&lt;$U$9,SUMPRODUCT(($D$10:$L$10&lt;&gt;"")*(($D$10:$L$10-($D$9:$L$9+INT(($S$12:$AA$12+INDEX($AJ$13:$AR$162,BN2192,0)+INDEX($AT$13:$BB$162,BO2192,0)+INDEX($BD$13:$BL$162,BP2192,0))/100)))&gt;0)*($D$10:$L$10-($D$9:$L$9+INT(($S$12:$AA$12+INDEX($AJ$13:$AR$162,BN2192,0)+INDEX($AT$13:$BB$162,BO2192,0)+INDEX($BD$13:$BL$162,BP2192,0))/100)))),0)</f>
        <v/>
      </c>
      <c r="BS2192">
        <f>IF(2179&lt;$U$9,SUMPRODUCT(($D$9:$L$9+INT(($S$12:$AA$12+INDEX($AJ$13:$AR$162,BN2192,0)+INDEX($AT$13:$BB$162,BO2192,0)+INDEX($BD$13:$BL$162,BP2192,0))/100))),0)</f>
        <v/>
      </c>
      <c r="BT2192">
        <f>IF(AND(2179&lt;$U$9,$W$5),BQ2192*1000000-MIN(BR2192,999)*1000+BS2192-2179/100000,-1000000000-2179)</f>
        <v/>
      </c>
    </row>
    <row r="2193">
      <c r="BN2193">
        <f>IF(2180&lt;$U$9,INT(2180/($U$7*$U$8))+1,1)</f>
        <v/>
      </c>
      <c r="BO2193">
        <f>IF(2180&lt;$U$9,MOD(INT(2180/$U$8),$U$7)+1,1)</f>
        <v/>
      </c>
      <c r="BP2193">
        <f>IF(2180&lt;$U$9,MOD(2180,$U$8)+1,1)</f>
        <v/>
      </c>
      <c r="BQ2193">
        <f>IF(2180&lt;$U$9,SUMPRODUCT(($D$10:$L$10&lt;&gt;"")*(($D$9:$L$9+INT(($S$12:$AA$12+INDEX($AJ$13:$AR$162,BN2193,0)+INDEX($AT$13:$BB$162,BO2193,0)+INDEX($BD$13:$BL$162,BP2193,0))/100))&gt;=$D$10:$L$10)),0)</f>
        <v/>
      </c>
      <c r="BR2193">
        <f>IF(2180&lt;$U$9,SUMPRODUCT(($D$10:$L$10&lt;&gt;"")*(($D$10:$L$10-($D$9:$L$9+INT(($S$12:$AA$12+INDEX($AJ$13:$AR$162,BN2193,0)+INDEX($AT$13:$BB$162,BO2193,0)+INDEX($BD$13:$BL$162,BP2193,0))/100)))&gt;0)*($D$10:$L$10-($D$9:$L$9+INT(($S$12:$AA$12+INDEX($AJ$13:$AR$162,BN2193,0)+INDEX($AT$13:$BB$162,BO2193,0)+INDEX($BD$13:$BL$162,BP2193,0))/100)))),0)</f>
        <v/>
      </c>
      <c r="BS2193">
        <f>IF(2180&lt;$U$9,SUMPRODUCT(($D$9:$L$9+INT(($S$12:$AA$12+INDEX($AJ$13:$AR$162,BN2193,0)+INDEX($AT$13:$BB$162,BO2193,0)+INDEX($BD$13:$BL$162,BP2193,0))/100))),0)</f>
        <v/>
      </c>
      <c r="BT2193">
        <f>IF(AND(2180&lt;$U$9,$W$5),BQ2193*1000000-MIN(BR2193,999)*1000+BS2193-2180/100000,-1000000000-2180)</f>
        <v/>
      </c>
    </row>
    <row r="2194">
      <c r="BN2194">
        <f>IF(2181&lt;$U$9,INT(2181/($U$7*$U$8))+1,1)</f>
        <v/>
      </c>
      <c r="BO2194">
        <f>IF(2181&lt;$U$9,MOD(INT(2181/$U$8),$U$7)+1,1)</f>
        <v/>
      </c>
      <c r="BP2194">
        <f>IF(2181&lt;$U$9,MOD(2181,$U$8)+1,1)</f>
        <v/>
      </c>
      <c r="BQ2194">
        <f>IF(2181&lt;$U$9,SUMPRODUCT(($D$10:$L$10&lt;&gt;"")*(($D$9:$L$9+INT(($S$12:$AA$12+INDEX($AJ$13:$AR$162,BN2194,0)+INDEX($AT$13:$BB$162,BO2194,0)+INDEX($BD$13:$BL$162,BP2194,0))/100))&gt;=$D$10:$L$10)),0)</f>
        <v/>
      </c>
      <c r="BR2194">
        <f>IF(2181&lt;$U$9,SUMPRODUCT(($D$10:$L$10&lt;&gt;"")*(($D$10:$L$10-($D$9:$L$9+INT(($S$12:$AA$12+INDEX($AJ$13:$AR$162,BN2194,0)+INDEX($AT$13:$BB$162,BO2194,0)+INDEX($BD$13:$BL$162,BP2194,0))/100)))&gt;0)*($D$10:$L$10-($D$9:$L$9+INT(($S$12:$AA$12+INDEX($AJ$13:$AR$162,BN2194,0)+INDEX($AT$13:$BB$162,BO2194,0)+INDEX($BD$13:$BL$162,BP2194,0))/100)))),0)</f>
        <v/>
      </c>
      <c r="BS2194">
        <f>IF(2181&lt;$U$9,SUMPRODUCT(($D$9:$L$9+INT(($S$12:$AA$12+INDEX($AJ$13:$AR$162,BN2194,0)+INDEX($AT$13:$BB$162,BO2194,0)+INDEX($BD$13:$BL$162,BP2194,0))/100))),0)</f>
        <v/>
      </c>
      <c r="BT2194">
        <f>IF(AND(2181&lt;$U$9,$W$5),BQ2194*1000000-MIN(BR2194,999)*1000+BS2194-2181/100000,-1000000000-2181)</f>
        <v/>
      </c>
    </row>
    <row r="2195">
      <c r="BN2195">
        <f>IF(2182&lt;$U$9,INT(2182/($U$7*$U$8))+1,1)</f>
        <v/>
      </c>
      <c r="BO2195">
        <f>IF(2182&lt;$U$9,MOD(INT(2182/$U$8),$U$7)+1,1)</f>
        <v/>
      </c>
      <c r="BP2195">
        <f>IF(2182&lt;$U$9,MOD(2182,$U$8)+1,1)</f>
        <v/>
      </c>
      <c r="BQ2195">
        <f>IF(2182&lt;$U$9,SUMPRODUCT(($D$10:$L$10&lt;&gt;"")*(($D$9:$L$9+INT(($S$12:$AA$12+INDEX($AJ$13:$AR$162,BN2195,0)+INDEX($AT$13:$BB$162,BO2195,0)+INDEX($BD$13:$BL$162,BP2195,0))/100))&gt;=$D$10:$L$10)),0)</f>
        <v/>
      </c>
      <c r="BR2195">
        <f>IF(2182&lt;$U$9,SUMPRODUCT(($D$10:$L$10&lt;&gt;"")*(($D$10:$L$10-($D$9:$L$9+INT(($S$12:$AA$12+INDEX($AJ$13:$AR$162,BN2195,0)+INDEX($AT$13:$BB$162,BO2195,0)+INDEX($BD$13:$BL$162,BP2195,0))/100)))&gt;0)*($D$10:$L$10-($D$9:$L$9+INT(($S$12:$AA$12+INDEX($AJ$13:$AR$162,BN2195,0)+INDEX($AT$13:$BB$162,BO2195,0)+INDEX($BD$13:$BL$162,BP2195,0))/100)))),0)</f>
        <v/>
      </c>
      <c r="BS2195">
        <f>IF(2182&lt;$U$9,SUMPRODUCT(($D$9:$L$9+INT(($S$12:$AA$12+INDEX($AJ$13:$AR$162,BN2195,0)+INDEX($AT$13:$BB$162,BO2195,0)+INDEX($BD$13:$BL$162,BP2195,0))/100))),0)</f>
        <v/>
      </c>
      <c r="BT2195">
        <f>IF(AND(2182&lt;$U$9,$W$5),BQ2195*1000000-MIN(BR2195,999)*1000+BS2195-2182/100000,-1000000000-2182)</f>
        <v/>
      </c>
    </row>
    <row r="2196">
      <c r="BN2196">
        <f>IF(2183&lt;$U$9,INT(2183/($U$7*$U$8))+1,1)</f>
        <v/>
      </c>
      <c r="BO2196">
        <f>IF(2183&lt;$U$9,MOD(INT(2183/$U$8),$U$7)+1,1)</f>
        <v/>
      </c>
      <c r="BP2196">
        <f>IF(2183&lt;$U$9,MOD(2183,$U$8)+1,1)</f>
        <v/>
      </c>
      <c r="BQ2196">
        <f>IF(2183&lt;$U$9,SUMPRODUCT(($D$10:$L$10&lt;&gt;"")*(($D$9:$L$9+INT(($S$12:$AA$12+INDEX($AJ$13:$AR$162,BN2196,0)+INDEX($AT$13:$BB$162,BO2196,0)+INDEX($BD$13:$BL$162,BP2196,0))/100))&gt;=$D$10:$L$10)),0)</f>
        <v/>
      </c>
      <c r="BR2196">
        <f>IF(2183&lt;$U$9,SUMPRODUCT(($D$10:$L$10&lt;&gt;"")*(($D$10:$L$10-($D$9:$L$9+INT(($S$12:$AA$12+INDEX($AJ$13:$AR$162,BN2196,0)+INDEX($AT$13:$BB$162,BO2196,0)+INDEX($BD$13:$BL$162,BP2196,0))/100)))&gt;0)*($D$10:$L$10-($D$9:$L$9+INT(($S$12:$AA$12+INDEX($AJ$13:$AR$162,BN2196,0)+INDEX($AT$13:$BB$162,BO2196,0)+INDEX($BD$13:$BL$162,BP2196,0))/100)))),0)</f>
        <v/>
      </c>
      <c r="BS2196">
        <f>IF(2183&lt;$U$9,SUMPRODUCT(($D$9:$L$9+INT(($S$12:$AA$12+INDEX($AJ$13:$AR$162,BN2196,0)+INDEX($AT$13:$BB$162,BO2196,0)+INDEX($BD$13:$BL$162,BP2196,0))/100))),0)</f>
        <v/>
      </c>
      <c r="BT2196">
        <f>IF(AND(2183&lt;$U$9,$W$5),BQ2196*1000000-MIN(BR2196,999)*1000+BS2196-2183/100000,-1000000000-2183)</f>
        <v/>
      </c>
    </row>
    <row r="2197">
      <c r="BN2197">
        <f>IF(2184&lt;$U$9,INT(2184/($U$7*$U$8))+1,1)</f>
        <v/>
      </c>
      <c r="BO2197">
        <f>IF(2184&lt;$U$9,MOD(INT(2184/$U$8),$U$7)+1,1)</f>
        <v/>
      </c>
      <c r="BP2197">
        <f>IF(2184&lt;$U$9,MOD(2184,$U$8)+1,1)</f>
        <v/>
      </c>
      <c r="BQ2197">
        <f>IF(2184&lt;$U$9,SUMPRODUCT(($D$10:$L$10&lt;&gt;"")*(($D$9:$L$9+INT(($S$12:$AA$12+INDEX($AJ$13:$AR$162,BN2197,0)+INDEX($AT$13:$BB$162,BO2197,0)+INDEX($BD$13:$BL$162,BP2197,0))/100))&gt;=$D$10:$L$10)),0)</f>
        <v/>
      </c>
      <c r="BR2197">
        <f>IF(2184&lt;$U$9,SUMPRODUCT(($D$10:$L$10&lt;&gt;"")*(($D$10:$L$10-($D$9:$L$9+INT(($S$12:$AA$12+INDEX($AJ$13:$AR$162,BN2197,0)+INDEX($AT$13:$BB$162,BO2197,0)+INDEX($BD$13:$BL$162,BP2197,0))/100)))&gt;0)*($D$10:$L$10-($D$9:$L$9+INT(($S$12:$AA$12+INDEX($AJ$13:$AR$162,BN2197,0)+INDEX($AT$13:$BB$162,BO2197,0)+INDEX($BD$13:$BL$162,BP2197,0))/100)))),0)</f>
        <v/>
      </c>
      <c r="BS2197">
        <f>IF(2184&lt;$U$9,SUMPRODUCT(($D$9:$L$9+INT(($S$12:$AA$12+INDEX($AJ$13:$AR$162,BN2197,0)+INDEX($AT$13:$BB$162,BO2197,0)+INDEX($BD$13:$BL$162,BP2197,0))/100))),0)</f>
        <v/>
      </c>
      <c r="BT2197">
        <f>IF(AND(2184&lt;$U$9,$W$5),BQ2197*1000000-MIN(BR2197,999)*1000+BS2197-2184/100000,-1000000000-2184)</f>
        <v/>
      </c>
    </row>
    <row r="2198">
      <c r="BN2198">
        <f>IF(2185&lt;$U$9,INT(2185/($U$7*$U$8))+1,1)</f>
        <v/>
      </c>
      <c r="BO2198">
        <f>IF(2185&lt;$U$9,MOD(INT(2185/$U$8),$U$7)+1,1)</f>
        <v/>
      </c>
      <c r="BP2198">
        <f>IF(2185&lt;$U$9,MOD(2185,$U$8)+1,1)</f>
        <v/>
      </c>
      <c r="BQ2198">
        <f>IF(2185&lt;$U$9,SUMPRODUCT(($D$10:$L$10&lt;&gt;"")*(($D$9:$L$9+INT(($S$12:$AA$12+INDEX($AJ$13:$AR$162,BN2198,0)+INDEX($AT$13:$BB$162,BO2198,0)+INDEX($BD$13:$BL$162,BP2198,0))/100))&gt;=$D$10:$L$10)),0)</f>
        <v/>
      </c>
      <c r="BR2198">
        <f>IF(2185&lt;$U$9,SUMPRODUCT(($D$10:$L$10&lt;&gt;"")*(($D$10:$L$10-($D$9:$L$9+INT(($S$12:$AA$12+INDEX($AJ$13:$AR$162,BN2198,0)+INDEX($AT$13:$BB$162,BO2198,0)+INDEX($BD$13:$BL$162,BP2198,0))/100)))&gt;0)*($D$10:$L$10-($D$9:$L$9+INT(($S$12:$AA$12+INDEX($AJ$13:$AR$162,BN2198,0)+INDEX($AT$13:$BB$162,BO2198,0)+INDEX($BD$13:$BL$162,BP2198,0))/100)))),0)</f>
        <v/>
      </c>
      <c r="BS2198">
        <f>IF(2185&lt;$U$9,SUMPRODUCT(($D$9:$L$9+INT(($S$12:$AA$12+INDEX($AJ$13:$AR$162,BN2198,0)+INDEX($AT$13:$BB$162,BO2198,0)+INDEX($BD$13:$BL$162,BP2198,0))/100))),0)</f>
        <v/>
      </c>
      <c r="BT2198">
        <f>IF(AND(2185&lt;$U$9,$W$5),BQ2198*1000000-MIN(BR2198,999)*1000+BS2198-2185/100000,-1000000000-2185)</f>
        <v/>
      </c>
    </row>
    <row r="2199">
      <c r="BN2199">
        <f>IF(2186&lt;$U$9,INT(2186/($U$7*$U$8))+1,1)</f>
        <v/>
      </c>
      <c r="BO2199">
        <f>IF(2186&lt;$U$9,MOD(INT(2186/$U$8),$U$7)+1,1)</f>
        <v/>
      </c>
      <c r="BP2199">
        <f>IF(2186&lt;$U$9,MOD(2186,$U$8)+1,1)</f>
        <v/>
      </c>
      <c r="BQ2199">
        <f>IF(2186&lt;$U$9,SUMPRODUCT(($D$10:$L$10&lt;&gt;"")*(($D$9:$L$9+INT(($S$12:$AA$12+INDEX($AJ$13:$AR$162,BN2199,0)+INDEX($AT$13:$BB$162,BO2199,0)+INDEX($BD$13:$BL$162,BP2199,0))/100))&gt;=$D$10:$L$10)),0)</f>
        <v/>
      </c>
      <c r="BR2199">
        <f>IF(2186&lt;$U$9,SUMPRODUCT(($D$10:$L$10&lt;&gt;"")*(($D$10:$L$10-($D$9:$L$9+INT(($S$12:$AA$12+INDEX($AJ$13:$AR$162,BN2199,0)+INDEX($AT$13:$BB$162,BO2199,0)+INDEX($BD$13:$BL$162,BP2199,0))/100)))&gt;0)*($D$10:$L$10-($D$9:$L$9+INT(($S$12:$AA$12+INDEX($AJ$13:$AR$162,BN2199,0)+INDEX($AT$13:$BB$162,BO2199,0)+INDEX($BD$13:$BL$162,BP2199,0))/100)))),0)</f>
        <v/>
      </c>
      <c r="BS2199">
        <f>IF(2186&lt;$U$9,SUMPRODUCT(($D$9:$L$9+INT(($S$12:$AA$12+INDEX($AJ$13:$AR$162,BN2199,0)+INDEX($AT$13:$BB$162,BO2199,0)+INDEX($BD$13:$BL$162,BP2199,0))/100))),0)</f>
        <v/>
      </c>
      <c r="BT2199">
        <f>IF(AND(2186&lt;$U$9,$W$5),BQ2199*1000000-MIN(BR2199,999)*1000+BS2199-2186/100000,-1000000000-2186)</f>
        <v/>
      </c>
    </row>
    <row r="2200">
      <c r="BN2200">
        <f>IF(2187&lt;$U$9,INT(2187/($U$7*$U$8))+1,1)</f>
        <v/>
      </c>
      <c r="BO2200">
        <f>IF(2187&lt;$U$9,MOD(INT(2187/$U$8),$U$7)+1,1)</f>
        <v/>
      </c>
      <c r="BP2200">
        <f>IF(2187&lt;$U$9,MOD(2187,$U$8)+1,1)</f>
        <v/>
      </c>
      <c r="BQ2200">
        <f>IF(2187&lt;$U$9,SUMPRODUCT(($D$10:$L$10&lt;&gt;"")*(($D$9:$L$9+INT(($S$12:$AA$12+INDEX($AJ$13:$AR$162,BN2200,0)+INDEX($AT$13:$BB$162,BO2200,0)+INDEX($BD$13:$BL$162,BP2200,0))/100))&gt;=$D$10:$L$10)),0)</f>
        <v/>
      </c>
      <c r="BR2200">
        <f>IF(2187&lt;$U$9,SUMPRODUCT(($D$10:$L$10&lt;&gt;"")*(($D$10:$L$10-($D$9:$L$9+INT(($S$12:$AA$12+INDEX($AJ$13:$AR$162,BN2200,0)+INDEX($AT$13:$BB$162,BO2200,0)+INDEX($BD$13:$BL$162,BP2200,0))/100)))&gt;0)*($D$10:$L$10-($D$9:$L$9+INT(($S$12:$AA$12+INDEX($AJ$13:$AR$162,BN2200,0)+INDEX($AT$13:$BB$162,BO2200,0)+INDEX($BD$13:$BL$162,BP2200,0))/100)))),0)</f>
        <v/>
      </c>
      <c r="BS2200">
        <f>IF(2187&lt;$U$9,SUMPRODUCT(($D$9:$L$9+INT(($S$12:$AA$12+INDEX($AJ$13:$AR$162,BN2200,0)+INDEX($AT$13:$BB$162,BO2200,0)+INDEX($BD$13:$BL$162,BP2200,0))/100))),0)</f>
        <v/>
      </c>
      <c r="BT2200">
        <f>IF(AND(2187&lt;$U$9,$W$5),BQ2200*1000000-MIN(BR2200,999)*1000+BS2200-2187/100000,-1000000000-2187)</f>
        <v/>
      </c>
    </row>
    <row r="2201">
      <c r="BN2201">
        <f>IF(2188&lt;$U$9,INT(2188/($U$7*$U$8))+1,1)</f>
        <v/>
      </c>
      <c r="BO2201">
        <f>IF(2188&lt;$U$9,MOD(INT(2188/$U$8),$U$7)+1,1)</f>
        <v/>
      </c>
      <c r="BP2201">
        <f>IF(2188&lt;$U$9,MOD(2188,$U$8)+1,1)</f>
        <v/>
      </c>
      <c r="BQ2201">
        <f>IF(2188&lt;$U$9,SUMPRODUCT(($D$10:$L$10&lt;&gt;"")*(($D$9:$L$9+INT(($S$12:$AA$12+INDEX($AJ$13:$AR$162,BN2201,0)+INDEX($AT$13:$BB$162,BO2201,0)+INDEX($BD$13:$BL$162,BP2201,0))/100))&gt;=$D$10:$L$10)),0)</f>
        <v/>
      </c>
      <c r="BR2201">
        <f>IF(2188&lt;$U$9,SUMPRODUCT(($D$10:$L$10&lt;&gt;"")*(($D$10:$L$10-($D$9:$L$9+INT(($S$12:$AA$12+INDEX($AJ$13:$AR$162,BN2201,0)+INDEX($AT$13:$BB$162,BO2201,0)+INDEX($BD$13:$BL$162,BP2201,0))/100)))&gt;0)*($D$10:$L$10-($D$9:$L$9+INT(($S$12:$AA$12+INDEX($AJ$13:$AR$162,BN2201,0)+INDEX($AT$13:$BB$162,BO2201,0)+INDEX($BD$13:$BL$162,BP2201,0))/100)))),0)</f>
        <v/>
      </c>
      <c r="BS2201">
        <f>IF(2188&lt;$U$9,SUMPRODUCT(($D$9:$L$9+INT(($S$12:$AA$12+INDEX($AJ$13:$AR$162,BN2201,0)+INDEX($AT$13:$BB$162,BO2201,0)+INDEX($BD$13:$BL$162,BP2201,0))/100))),0)</f>
        <v/>
      </c>
      <c r="BT2201">
        <f>IF(AND(2188&lt;$U$9,$W$5),BQ2201*1000000-MIN(BR2201,999)*1000+BS2201-2188/100000,-1000000000-2188)</f>
        <v/>
      </c>
    </row>
    <row r="2202">
      <c r="BN2202">
        <f>IF(2189&lt;$U$9,INT(2189/($U$7*$U$8))+1,1)</f>
        <v/>
      </c>
      <c r="BO2202">
        <f>IF(2189&lt;$U$9,MOD(INT(2189/$U$8),$U$7)+1,1)</f>
        <v/>
      </c>
      <c r="BP2202">
        <f>IF(2189&lt;$U$9,MOD(2189,$U$8)+1,1)</f>
        <v/>
      </c>
      <c r="BQ2202">
        <f>IF(2189&lt;$U$9,SUMPRODUCT(($D$10:$L$10&lt;&gt;"")*(($D$9:$L$9+INT(($S$12:$AA$12+INDEX($AJ$13:$AR$162,BN2202,0)+INDEX($AT$13:$BB$162,BO2202,0)+INDEX($BD$13:$BL$162,BP2202,0))/100))&gt;=$D$10:$L$10)),0)</f>
        <v/>
      </c>
      <c r="BR2202">
        <f>IF(2189&lt;$U$9,SUMPRODUCT(($D$10:$L$10&lt;&gt;"")*(($D$10:$L$10-($D$9:$L$9+INT(($S$12:$AA$12+INDEX($AJ$13:$AR$162,BN2202,0)+INDEX($AT$13:$BB$162,BO2202,0)+INDEX($BD$13:$BL$162,BP2202,0))/100)))&gt;0)*($D$10:$L$10-($D$9:$L$9+INT(($S$12:$AA$12+INDEX($AJ$13:$AR$162,BN2202,0)+INDEX($AT$13:$BB$162,BO2202,0)+INDEX($BD$13:$BL$162,BP2202,0))/100)))),0)</f>
        <v/>
      </c>
      <c r="BS2202">
        <f>IF(2189&lt;$U$9,SUMPRODUCT(($D$9:$L$9+INT(($S$12:$AA$12+INDEX($AJ$13:$AR$162,BN2202,0)+INDEX($AT$13:$BB$162,BO2202,0)+INDEX($BD$13:$BL$162,BP2202,0))/100))),0)</f>
        <v/>
      </c>
      <c r="BT2202">
        <f>IF(AND(2189&lt;$U$9,$W$5),BQ2202*1000000-MIN(BR2202,999)*1000+BS2202-2189/100000,-1000000000-2189)</f>
        <v/>
      </c>
    </row>
    <row r="2203">
      <c r="BN2203">
        <f>IF(2190&lt;$U$9,INT(2190/($U$7*$U$8))+1,1)</f>
        <v/>
      </c>
      <c r="BO2203">
        <f>IF(2190&lt;$U$9,MOD(INT(2190/$U$8),$U$7)+1,1)</f>
        <v/>
      </c>
      <c r="BP2203">
        <f>IF(2190&lt;$U$9,MOD(2190,$U$8)+1,1)</f>
        <v/>
      </c>
      <c r="BQ2203">
        <f>IF(2190&lt;$U$9,SUMPRODUCT(($D$10:$L$10&lt;&gt;"")*(($D$9:$L$9+INT(($S$12:$AA$12+INDEX($AJ$13:$AR$162,BN2203,0)+INDEX($AT$13:$BB$162,BO2203,0)+INDEX($BD$13:$BL$162,BP2203,0))/100))&gt;=$D$10:$L$10)),0)</f>
        <v/>
      </c>
      <c r="BR2203">
        <f>IF(2190&lt;$U$9,SUMPRODUCT(($D$10:$L$10&lt;&gt;"")*(($D$10:$L$10-($D$9:$L$9+INT(($S$12:$AA$12+INDEX($AJ$13:$AR$162,BN2203,0)+INDEX($AT$13:$BB$162,BO2203,0)+INDEX($BD$13:$BL$162,BP2203,0))/100)))&gt;0)*($D$10:$L$10-($D$9:$L$9+INT(($S$12:$AA$12+INDEX($AJ$13:$AR$162,BN2203,0)+INDEX($AT$13:$BB$162,BO2203,0)+INDEX($BD$13:$BL$162,BP2203,0))/100)))),0)</f>
        <v/>
      </c>
      <c r="BS2203">
        <f>IF(2190&lt;$U$9,SUMPRODUCT(($D$9:$L$9+INT(($S$12:$AA$12+INDEX($AJ$13:$AR$162,BN2203,0)+INDEX($AT$13:$BB$162,BO2203,0)+INDEX($BD$13:$BL$162,BP2203,0))/100))),0)</f>
        <v/>
      </c>
      <c r="BT2203">
        <f>IF(AND(2190&lt;$U$9,$W$5),BQ2203*1000000-MIN(BR2203,999)*1000+BS2203-2190/100000,-1000000000-2190)</f>
        <v/>
      </c>
    </row>
    <row r="2204">
      <c r="BN2204">
        <f>IF(2191&lt;$U$9,INT(2191/($U$7*$U$8))+1,1)</f>
        <v/>
      </c>
      <c r="BO2204">
        <f>IF(2191&lt;$U$9,MOD(INT(2191/$U$8),$U$7)+1,1)</f>
        <v/>
      </c>
      <c r="BP2204">
        <f>IF(2191&lt;$U$9,MOD(2191,$U$8)+1,1)</f>
        <v/>
      </c>
      <c r="BQ2204">
        <f>IF(2191&lt;$U$9,SUMPRODUCT(($D$10:$L$10&lt;&gt;"")*(($D$9:$L$9+INT(($S$12:$AA$12+INDEX($AJ$13:$AR$162,BN2204,0)+INDEX($AT$13:$BB$162,BO2204,0)+INDEX($BD$13:$BL$162,BP2204,0))/100))&gt;=$D$10:$L$10)),0)</f>
        <v/>
      </c>
      <c r="BR2204">
        <f>IF(2191&lt;$U$9,SUMPRODUCT(($D$10:$L$10&lt;&gt;"")*(($D$10:$L$10-($D$9:$L$9+INT(($S$12:$AA$12+INDEX($AJ$13:$AR$162,BN2204,0)+INDEX($AT$13:$BB$162,BO2204,0)+INDEX($BD$13:$BL$162,BP2204,0))/100)))&gt;0)*($D$10:$L$10-($D$9:$L$9+INT(($S$12:$AA$12+INDEX($AJ$13:$AR$162,BN2204,0)+INDEX($AT$13:$BB$162,BO2204,0)+INDEX($BD$13:$BL$162,BP2204,0))/100)))),0)</f>
        <v/>
      </c>
      <c r="BS2204">
        <f>IF(2191&lt;$U$9,SUMPRODUCT(($D$9:$L$9+INT(($S$12:$AA$12+INDEX($AJ$13:$AR$162,BN2204,0)+INDEX($AT$13:$BB$162,BO2204,0)+INDEX($BD$13:$BL$162,BP2204,0))/100))),0)</f>
        <v/>
      </c>
      <c r="BT2204">
        <f>IF(AND(2191&lt;$U$9,$W$5),BQ2204*1000000-MIN(BR2204,999)*1000+BS2204-2191/100000,-1000000000-2191)</f>
        <v/>
      </c>
    </row>
    <row r="2205">
      <c r="BN2205">
        <f>IF(2192&lt;$U$9,INT(2192/($U$7*$U$8))+1,1)</f>
        <v/>
      </c>
      <c r="BO2205">
        <f>IF(2192&lt;$U$9,MOD(INT(2192/$U$8),$U$7)+1,1)</f>
        <v/>
      </c>
      <c r="BP2205">
        <f>IF(2192&lt;$U$9,MOD(2192,$U$8)+1,1)</f>
        <v/>
      </c>
      <c r="BQ2205">
        <f>IF(2192&lt;$U$9,SUMPRODUCT(($D$10:$L$10&lt;&gt;"")*(($D$9:$L$9+INT(($S$12:$AA$12+INDEX($AJ$13:$AR$162,BN2205,0)+INDEX($AT$13:$BB$162,BO2205,0)+INDEX($BD$13:$BL$162,BP2205,0))/100))&gt;=$D$10:$L$10)),0)</f>
        <v/>
      </c>
      <c r="BR2205">
        <f>IF(2192&lt;$U$9,SUMPRODUCT(($D$10:$L$10&lt;&gt;"")*(($D$10:$L$10-($D$9:$L$9+INT(($S$12:$AA$12+INDEX($AJ$13:$AR$162,BN2205,0)+INDEX($AT$13:$BB$162,BO2205,0)+INDEX($BD$13:$BL$162,BP2205,0))/100)))&gt;0)*($D$10:$L$10-($D$9:$L$9+INT(($S$12:$AA$12+INDEX($AJ$13:$AR$162,BN2205,0)+INDEX($AT$13:$BB$162,BO2205,0)+INDEX($BD$13:$BL$162,BP2205,0))/100)))),0)</f>
        <v/>
      </c>
      <c r="BS2205">
        <f>IF(2192&lt;$U$9,SUMPRODUCT(($D$9:$L$9+INT(($S$12:$AA$12+INDEX($AJ$13:$AR$162,BN2205,0)+INDEX($AT$13:$BB$162,BO2205,0)+INDEX($BD$13:$BL$162,BP2205,0))/100))),0)</f>
        <v/>
      </c>
      <c r="BT2205">
        <f>IF(AND(2192&lt;$U$9,$W$5),BQ2205*1000000-MIN(BR2205,999)*1000+BS2205-2192/100000,-1000000000-2192)</f>
        <v/>
      </c>
    </row>
    <row r="2206">
      <c r="BN2206">
        <f>IF(2193&lt;$U$9,INT(2193/($U$7*$U$8))+1,1)</f>
        <v/>
      </c>
      <c r="BO2206">
        <f>IF(2193&lt;$U$9,MOD(INT(2193/$U$8),$U$7)+1,1)</f>
        <v/>
      </c>
      <c r="BP2206">
        <f>IF(2193&lt;$U$9,MOD(2193,$U$8)+1,1)</f>
        <v/>
      </c>
      <c r="BQ2206">
        <f>IF(2193&lt;$U$9,SUMPRODUCT(($D$10:$L$10&lt;&gt;"")*(($D$9:$L$9+INT(($S$12:$AA$12+INDEX($AJ$13:$AR$162,BN2206,0)+INDEX($AT$13:$BB$162,BO2206,0)+INDEX($BD$13:$BL$162,BP2206,0))/100))&gt;=$D$10:$L$10)),0)</f>
        <v/>
      </c>
      <c r="BR2206">
        <f>IF(2193&lt;$U$9,SUMPRODUCT(($D$10:$L$10&lt;&gt;"")*(($D$10:$L$10-($D$9:$L$9+INT(($S$12:$AA$12+INDEX($AJ$13:$AR$162,BN2206,0)+INDEX($AT$13:$BB$162,BO2206,0)+INDEX($BD$13:$BL$162,BP2206,0))/100)))&gt;0)*($D$10:$L$10-($D$9:$L$9+INT(($S$12:$AA$12+INDEX($AJ$13:$AR$162,BN2206,0)+INDEX($AT$13:$BB$162,BO2206,0)+INDEX($BD$13:$BL$162,BP2206,0))/100)))),0)</f>
        <v/>
      </c>
      <c r="BS2206">
        <f>IF(2193&lt;$U$9,SUMPRODUCT(($D$9:$L$9+INT(($S$12:$AA$12+INDEX($AJ$13:$AR$162,BN2206,0)+INDEX($AT$13:$BB$162,BO2206,0)+INDEX($BD$13:$BL$162,BP2206,0))/100))),0)</f>
        <v/>
      </c>
      <c r="BT2206">
        <f>IF(AND(2193&lt;$U$9,$W$5),BQ2206*1000000-MIN(BR2206,999)*1000+BS2206-2193/100000,-1000000000-2193)</f>
        <v/>
      </c>
    </row>
    <row r="2207">
      <c r="BN2207">
        <f>IF(2194&lt;$U$9,INT(2194/($U$7*$U$8))+1,1)</f>
        <v/>
      </c>
      <c r="BO2207">
        <f>IF(2194&lt;$U$9,MOD(INT(2194/$U$8),$U$7)+1,1)</f>
        <v/>
      </c>
      <c r="BP2207">
        <f>IF(2194&lt;$U$9,MOD(2194,$U$8)+1,1)</f>
        <v/>
      </c>
      <c r="BQ2207">
        <f>IF(2194&lt;$U$9,SUMPRODUCT(($D$10:$L$10&lt;&gt;"")*(($D$9:$L$9+INT(($S$12:$AA$12+INDEX($AJ$13:$AR$162,BN2207,0)+INDEX($AT$13:$BB$162,BO2207,0)+INDEX($BD$13:$BL$162,BP2207,0))/100))&gt;=$D$10:$L$10)),0)</f>
        <v/>
      </c>
      <c r="BR2207">
        <f>IF(2194&lt;$U$9,SUMPRODUCT(($D$10:$L$10&lt;&gt;"")*(($D$10:$L$10-($D$9:$L$9+INT(($S$12:$AA$12+INDEX($AJ$13:$AR$162,BN2207,0)+INDEX($AT$13:$BB$162,BO2207,0)+INDEX($BD$13:$BL$162,BP2207,0))/100)))&gt;0)*($D$10:$L$10-($D$9:$L$9+INT(($S$12:$AA$12+INDEX($AJ$13:$AR$162,BN2207,0)+INDEX($AT$13:$BB$162,BO2207,0)+INDEX($BD$13:$BL$162,BP2207,0))/100)))),0)</f>
        <v/>
      </c>
      <c r="BS2207">
        <f>IF(2194&lt;$U$9,SUMPRODUCT(($D$9:$L$9+INT(($S$12:$AA$12+INDEX($AJ$13:$AR$162,BN2207,0)+INDEX($AT$13:$BB$162,BO2207,0)+INDEX($BD$13:$BL$162,BP2207,0))/100))),0)</f>
        <v/>
      </c>
      <c r="BT2207">
        <f>IF(AND(2194&lt;$U$9,$W$5),BQ2207*1000000-MIN(BR2207,999)*1000+BS2207-2194/100000,-1000000000-2194)</f>
        <v/>
      </c>
    </row>
    <row r="2208">
      <c r="BN2208">
        <f>IF(2195&lt;$U$9,INT(2195/($U$7*$U$8))+1,1)</f>
        <v/>
      </c>
      <c r="BO2208">
        <f>IF(2195&lt;$U$9,MOD(INT(2195/$U$8),$U$7)+1,1)</f>
        <v/>
      </c>
      <c r="BP2208">
        <f>IF(2195&lt;$U$9,MOD(2195,$U$8)+1,1)</f>
        <v/>
      </c>
      <c r="BQ2208">
        <f>IF(2195&lt;$U$9,SUMPRODUCT(($D$10:$L$10&lt;&gt;"")*(($D$9:$L$9+INT(($S$12:$AA$12+INDEX($AJ$13:$AR$162,BN2208,0)+INDEX($AT$13:$BB$162,BO2208,0)+INDEX($BD$13:$BL$162,BP2208,0))/100))&gt;=$D$10:$L$10)),0)</f>
        <v/>
      </c>
      <c r="BR2208">
        <f>IF(2195&lt;$U$9,SUMPRODUCT(($D$10:$L$10&lt;&gt;"")*(($D$10:$L$10-($D$9:$L$9+INT(($S$12:$AA$12+INDEX($AJ$13:$AR$162,BN2208,0)+INDEX($AT$13:$BB$162,BO2208,0)+INDEX($BD$13:$BL$162,BP2208,0))/100)))&gt;0)*($D$10:$L$10-($D$9:$L$9+INT(($S$12:$AA$12+INDEX($AJ$13:$AR$162,BN2208,0)+INDEX($AT$13:$BB$162,BO2208,0)+INDEX($BD$13:$BL$162,BP2208,0))/100)))),0)</f>
        <v/>
      </c>
      <c r="BS2208">
        <f>IF(2195&lt;$U$9,SUMPRODUCT(($D$9:$L$9+INT(($S$12:$AA$12+INDEX($AJ$13:$AR$162,BN2208,0)+INDEX($AT$13:$BB$162,BO2208,0)+INDEX($BD$13:$BL$162,BP2208,0))/100))),0)</f>
        <v/>
      </c>
      <c r="BT2208">
        <f>IF(AND(2195&lt;$U$9,$W$5),BQ2208*1000000-MIN(BR2208,999)*1000+BS2208-2195/100000,-1000000000-2195)</f>
        <v/>
      </c>
    </row>
    <row r="2209">
      <c r="BN2209">
        <f>IF(2196&lt;$U$9,INT(2196/($U$7*$U$8))+1,1)</f>
        <v/>
      </c>
      <c r="BO2209">
        <f>IF(2196&lt;$U$9,MOD(INT(2196/$U$8),$U$7)+1,1)</f>
        <v/>
      </c>
      <c r="BP2209">
        <f>IF(2196&lt;$U$9,MOD(2196,$U$8)+1,1)</f>
        <v/>
      </c>
      <c r="BQ2209">
        <f>IF(2196&lt;$U$9,SUMPRODUCT(($D$10:$L$10&lt;&gt;"")*(($D$9:$L$9+INT(($S$12:$AA$12+INDEX($AJ$13:$AR$162,BN2209,0)+INDEX($AT$13:$BB$162,BO2209,0)+INDEX($BD$13:$BL$162,BP2209,0))/100))&gt;=$D$10:$L$10)),0)</f>
        <v/>
      </c>
      <c r="BR2209">
        <f>IF(2196&lt;$U$9,SUMPRODUCT(($D$10:$L$10&lt;&gt;"")*(($D$10:$L$10-($D$9:$L$9+INT(($S$12:$AA$12+INDEX($AJ$13:$AR$162,BN2209,0)+INDEX($AT$13:$BB$162,BO2209,0)+INDEX($BD$13:$BL$162,BP2209,0))/100)))&gt;0)*($D$10:$L$10-($D$9:$L$9+INT(($S$12:$AA$12+INDEX($AJ$13:$AR$162,BN2209,0)+INDEX($AT$13:$BB$162,BO2209,0)+INDEX($BD$13:$BL$162,BP2209,0))/100)))),0)</f>
        <v/>
      </c>
      <c r="BS2209">
        <f>IF(2196&lt;$U$9,SUMPRODUCT(($D$9:$L$9+INT(($S$12:$AA$12+INDEX($AJ$13:$AR$162,BN2209,0)+INDEX($AT$13:$BB$162,BO2209,0)+INDEX($BD$13:$BL$162,BP2209,0))/100))),0)</f>
        <v/>
      </c>
      <c r="BT2209">
        <f>IF(AND(2196&lt;$U$9,$W$5),BQ2209*1000000-MIN(BR2209,999)*1000+BS2209-2196/100000,-1000000000-2196)</f>
        <v/>
      </c>
    </row>
    <row r="2210">
      <c r="BN2210">
        <f>IF(2197&lt;$U$9,INT(2197/($U$7*$U$8))+1,1)</f>
        <v/>
      </c>
      <c r="BO2210">
        <f>IF(2197&lt;$U$9,MOD(INT(2197/$U$8),$U$7)+1,1)</f>
        <v/>
      </c>
      <c r="BP2210">
        <f>IF(2197&lt;$U$9,MOD(2197,$U$8)+1,1)</f>
        <v/>
      </c>
      <c r="BQ2210">
        <f>IF(2197&lt;$U$9,SUMPRODUCT(($D$10:$L$10&lt;&gt;"")*(($D$9:$L$9+INT(($S$12:$AA$12+INDEX($AJ$13:$AR$162,BN2210,0)+INDEX($AT$13:$BB$162,BO2210,0)+INDEX($BD$13:$BL$162,BP2210,0))/100))&gt;=$D$10:$L$10)),0)</f>
        <v/>
      </c>
      <c r="BR2210">
        <f>IF(2197&lt;$U$9,SUMPRODUCT(($D$10:$L$10&lt;&gt;"")*(($D$10:$L$10-($D$9:$L$9+INT(($S$12:$AA$12+INDEX($AJ$13:$AR$162,BN2210,0)+INDEX($AT$13:$BB$162,BO2210,0)+INDEX($BD$13:$BL$162,BP2210,0))/100)))&gt;0)*($D$10:$L$10-($D$9:$L$9+INT(($S$12:$AA$12+INDEX($AJ$13:$AR$162,BN2210,0)+INDEX($AT$13:$BB$162,BO2210,0)+INDEX($BD$13:$BL$162,BP2210,0))/100)))),0)</f>
        <v/>
      </c>
      <c r="BS2210">
        <f>IF(2197&lt;$U$9,SUMPRODUCT(($D$9:$L$9+INT(($S$12:$AA$12+INDEX($AJ$13:$AR$162,BN2210,0)+INDEX($AT$13:$BB$162,BO2210,0)+INDEX($BD$13:$BL$162,BP2210,0))/100))),0)</f>
        <v/>
      </c>
      <c r="BT2210">
        <f>IF(AND(2197&lt;$U$9,$W$5),BQ2210*1000000-MIN(BR2210,999)*1000+BS2210-2197/100000,-1000000000-2197)</f>
        <v/>
      </c>
    </row>
    <row r="2211">
      <c r="BN2211">
        <f>IF(2198&lt;$U$9,INT(2198/($U$7*$U$8))+1,1)</f>
        <v/>
      </c>
      <c r="BO2211">
        <f>IF(2198&lt;$U$9,MOD(INT(2198/$U$8),$U$7)+1,1)</f>
        <v/>
      </c>
      <c r="BP2211">
        <f>IF(2198&lt;$U$9,MOD(2198,$U$8)+1,1)</f>
        <v/>
      </c>
      <c r="BQ2211">
        <f>IF(2198&lt;$U$9,SUMPRODUCT(($D$10:$L$10&lt;&gt;"")*(($D$9:$L$9+INT(($S$12:$AA$12+INDEX($AJ$13:$AR$162,BN2211,0)+INDEX($AT$13:$BB$162,BO2211,0)+INDEX($BD$13:$BL$162,BP2211,0))/100))&gt;=$D$10:$L$10)),0)</f>
        <v/>
      </c>
      <c r="BR2211">
        <f>IF(2198&lt;$U$9,SUMPRODUCT(($D$10:$L$10&lt;&gt;"")*(($D$10:$L$10-($D$9:$L$9+INT(($S$12:$AA$12+INDEX($AJ$13:$AR$162,BN2211,0)+INDEX($AT$13:$BB$162,BO2211,0)+INDEX($BD$13:$BL$162,BP2211,0))/100)))&gt;0)*($D$10:$L$10-($D$9:$L$9+INT(($S$12:$AA$12+INDEX($AJ$13:$AR$162,BN2211,0)+INDEX($AT$13:$BB$162,BO2211,0)+INDEX($BD$13:$BL$162,BP2211,0))/100)))),0)</f>
        <v/>
      </c>
      <c r="BS2211">
        <f>IF(2198&lt;$U$9,SUMPRODUCT(($D$9:$L$9+INT(($S$12:$AA$12+INDEX($AJ$13:$AR$162,BN2211,0)+INDEX($AT$13:$BB$162,BO2211,0)+INDEX($BD$13:$BL$162,BP2211,0))/100))),0)</f>
        <v/>
      </c>
      <c r="BT2211">
        <f>IF(AND(2198&lt;$U$9,$W$5),BQ2211*1000000-MIN(BR2211,999)*1000+BS2211-2198/100000,-1000000000-2198)</f>
        <v/>
      </c>
    </row>
    <row r="2212">
      <c r="BN2212">
        <f>IF(2199&lt;$U$9,INT(2199/($U$7*$U$8))+1,1)</f>
        <v/>
      </c>
      <c r="BO2212">
        <f>IF(2199&lt;$U$9,MOD(INT(2199/$U$8),$U$7)+1,1)</f>
        <v/>
      </c>
      <c r="BP2212">
        <f>IF(2199&lt;$U$9,MOD(2199,$U$8)+1,1)</f>
        <v/>
      </c>
      <c r="BQ2212">
        <f>IF(2199&lt;$U$9,SUMPRODUCT(($D$10:$L$10&lt;&gt;"")*(($D$9:$L$9+INT(($S$12:$AA$12+INDEX($AJ$13:$AR$162,BN2212,0)+INDEX($AT$13:$BB$162,BO2212,0)+INDEX($BD$13:$BL$162,BP2212,0))/100))&gt;=$D$10:$L$10)),0)</f>
        <v/>
      </c>
      <c r="BR2212">
        <f>IF(2199&lt;$U$9,SUMPRODUCT(($D$10:$L$10&lt;&gt;"")*(($D$10:$L$10-($D$9:$L$9+INT(($S$12:$AA$12+INDEX($AJ$13:$AR$162,BN2212,0)+INDEX($AT$13:$BB$162,BO2212,0)+INDEX($BD$13:$BL$162,BP2212,0))/100)))&gt;0)*($D$10:$L$10-($D$9:$L$9+INT(($S$12:$AA$12+INDEX($AJ$13:$AR$162,BN2212,0)+INDEX($AT$13:$BB$162,BO2212,0)+INDEX($BD$13:$BL$162,BP2212,0))/100)))),0)</f>
        <v/>
      </c>
      <c r="BS2212">
        <f>IF(2199&lt;$U$9,SUMPRODUCT(($D$9:$L$9+INT(($S$12:$AA$12+INDEX($AJ$13:$AR$162,BN2212,0)+INDEX($AT$13:$BB$162,BO2212,0)+INDEX($BD$13:$BL$162,BP2212,0))/100))),0)</f>
        <v/>
      </c>
      <c r="BT2212">
        <f>IF(AND(2199&lt;$U$9,$W$5),BQ2212*1000000-MIN(BR2212,999)*1000+BS2212-2199/100000,-1000000000-2199)</f>
        <v/>
      </c>
    </row>
    <row r="2213">
      <c r="BN2213">
        <f>IF(2200&lt;$U$9,INT(2200/($U$7*$U$8))+1,1)</f>
        <v/>
      </c>
      <c r="BO2213">
        <f>IF(2200&lt;$U$9,MOD(INT(2200/$U$8),$U$7)+1,1)</f>
        <v/>
      </c>
      <c r="BP2213">
        <f>IF(2200&lt;$U$9,MOD(2200,$U$8)+1,1)</f>
        <v/>
      </c>
      <c r="BQ2213">
        <f>IF(2200&lt;$U$9,SUMPRODUCT(($D$10:$L$10&lt;&gt;"")*(($D$9:$L$9+INT(($S$12:$AA$12+INDEX($AJ$13:$AR$162,BN2213,0)+INDEX($AT$13:$BB$162,BO2213,0)+INDEX($BD$13:$BL$162,BP2213,0))/100))&gt;=$D$10:$L$10)),0)</f>
        <v/>
      </c>
      <c r="BR2213">
        <f>IF(2200&lt;$U$9,SUMPRODUCT(($D$10:$L$10&lt;&gt;"")*(($D$10:$L$10-($D$9:$L$9+INT(($S$12:$AA$12+INDEX($AJ$13:$AR$162,BN2213,0)+INDEX($AT$13:$BB$162,BO2213,0)+INDEX($BD$13:$BL$162,BP2213,0))/100)))&gt;0)*($D$10:$L$10-($D$9:$L$9+INT(($S$12:$AA$12+INDEX($AJ$13:$AR$162,BN2213,0)+INDEX($AT$13:$BB$162,BO2213,0)+INDEX($BD$13:$BL$162,BP2213,0))/100)))),0)</f>
        <v/>
      </c>
      <c r="BS2213">
        <f>IF(2200&lt;$U$9,SUMPRODUCT(($D$9:$L$9+INT(($S$12:$AA$12+INDEX($AJ$13:$AR$162,BN2213,0)+INDEX($AT$13:$BB$162,BO2213,0)+INDEX($BD$13:$BL$162,BP2213,0))/100))),0)</f>
        <v/>
      </c>
      <c r="BT2213">
        <f>IF(AND(2200&lt;$U$9,$W$5),BQ2213*1000000-MIN(BR2213,999)*1000+BS2213-2200/100000,-1000000000-2200)</f>
        <v/>
      </c>
    </row>
    <row r="2214">
      <c r="BN2214">
        <f>IF(2201&lt;$U$9,INT(2201/($U$7*$U$8))+1,1)</f>
        <v/>
      </c>
      <c r="BO2214">
        <f>IF(2201&lt;$U$9,MOD(INT(2201/$U$8),$U$7)+1,1)</f>
        <v/>
      </c>
      <c r="BP2214">
        <f>IF(2201&lt;$U$9,MOD(2201,$U$8)+1,1)</f>
        <v/>
      </c>
      <c r="BQ2214">
        <f>IF(2201&lt;$U$9,SUMPRODUCT(($D$10:$L$10&lt;&gt;"")*(($D$9:$L$9+INT(($S$12:$AA$12+INDEX($AJ$13:$AR$162,BN2214,0)+INDEX($AT$13:$BB$162,BO2214,0)+INDEX($BD$13:$BL$162,BP2214,0))/100))&gt;=$D$10:$L$10)),0)</f>
        <v/>
      </c>
      <c r="BR2214">
        <f>IF(2201&lt;$U$9,SUMPRODUCT(($D$10:$L$10&lt;&gt;"")*(($D$10:$L$10-($D$9:$L$9+INT(($S$12:$AA$12+INDEX($AJ$13:$AR$162,BN2214,0)+INDEX($AT$13:$BB$162,BO2214,0)+INDEX($BD$13:$BL$162,BP2214,0))/100)))&gt;0)*($D$10:$L$10-($D$9:$L$9+INT(($S$12:$AA$12+INDEX($AJ$13:$AR$162,BN2214,0)+INDEX($AT$13:$BB$162,BO2214,0)+INDEX($BD$13:$BL$162,BP2214,0))/100)))),0)</f>
        <v/>
      </c>
      <c r="BS2214">
        <f>IF(2201&lt;$U$9,SUMPRODUCT(($D$9:$L$9+INT(($S$12:$AA$12+INDEX($AJ$13:$AR$162,BN2214,0)+INDEX($AT$13:$BB$162,BO2214,0)+INDEX($BD$13:$BL$162,BP2214,0))/100))),0)</f>
        <v/>
      </c>
      <c r="BT2214">
        <f>IF(AND(2201&lt;$U$9,$W$5),BQ2214*1000000-MIN(BR2214,999)*1000+BS2214-2201/100000,-1000000000-2201)</f>
        <v/>
      </c>
    </row>
    <row r="2215">
      <c r="BN2215">
        <f>IF(2202&lt;$U$9,INT(2202/($U$7*$U$8))+1,1)</f>
        <v/>
      </c>
      <c r="BO2215">
        <f>IF(2202&lt;$U$9,MOD(INT(2202/$U$8),$U$7)+1,1)</f>
        <v/>
      </c>
      <c r="BP2215">
        <f>IF(2202&lt;$U$9,MOD(2202,$U$8)+1,1)</f>
        <v/>
      </c>
      <c r="BQ2215">
        <f>IF(2202&lt;$U$9,SUMPRODUCT(($D$10:$L$10&lt;&gt;"")*(($D$9:$L$9+INT(($S$12:$AA$12+INDEX($AJ$13:$AR$162,BN2215,0)+INDEX($AT$13:$BB$162,BO2215,0)+INDEX($BD$13:$BL$162,BP2215,0))/100))&gt;=$D$10:$L$10)),0)</f>
        <v/>
      </c>
      <c r="BR2215">
        <f>IF(2202&lt;$U$9,SUMPRODUCT(($D$10:$L$10&lt;&gt;"")*(($D$10:$L$10-($D$9:$L$9+INT(($S$12:$AA$12+INDEX($AJ$13:$AR$162,BN2215,0)+INDEX($AT$13:$BB$162,BO2215,0)+INDEX($BD$13:$BL$162,BP2215,0))/100)))&gt;0)*($D$10:$L$10-($D$9:$L$9+INT(($S$12:$AA$12+INDEX($AJ$13:$AR$162,BN2215,0)+INDEX($AT$13:$BB$162,BO2215,0)+INDEX($BD$13:$BL$162,BP2215,0))/100)))),0)</f>
        <v/>
      </c>
      <c r="BS2215">
        <f>IF(2202&lt;$U$9,SUMPRODUCT(($D$9:$L$9+INT(($S$12:$AA$12+INDEX($AJ$13:$AR$162,BN2215,0)+INDEX($AT$13:$BB$162,BO2215,0)+INDEX($BD$13:$BL$162,BP2215,0))/100))),0)</f>
        <v/>
      </c>
      <c r="BT2215">
        <f>IF(AND(2202&lt;$U$9,$W$5),BQ2215*1000000-MIN(BR2215,999)*1000+BS2215-2202/100000,-1000000000-2202)</f>
        <v/>
      </c>
    </row>
    <row r="2216">
      <c r="BN2216">
        <f>IF(2203&lt;$U$9,INT(2203/($U$7*$U$8))+1,1)</f>
        <v/>
      </c>
      <c r="BO2216">
        <f>IF(2203&lt;$U$9,MOD(INT(2203/$U$8),$U$7)+1,1)</f>
        <v/>
      </c>
      <c r="BP2216">
        <f>IF(2203&lt;$U$9,MOD(2203,$U$8)+1,1)</f>
        <v/>
      </c>
      <c r="BQ2216">
        <f>IF(2203&lt;$U$9,SUMPRODUCT(($D$10:$L$10&lt;&gt;"")*(($D$9:$L$9+INT(($S$12:$AA$12+INDEX($AJ$13:$AR$162,BN2216,0)+INDEX($AT$13:$BB$162,BO2216,0)+INDEX($BD$13:$BL$162,BP2216,0))/100))&gt;=$D$10:$L$10)),0)</f>
        <v/>
      </c>
      <c r="BR2216">
        <f>IF(2203&lt;$U$9,SUMPRODUCT(($D$10:$L$10&lt;&gt;"")*(($D$10:$L$10-($D$9:$L$9+INT(($S$12:$AA$12+INDEX($AJ$13:$AR$162,BN2216,0)+INDEX($AT$13:$BB$162,BO2216,0)+INDEX($BD$13:$BL$162,BP2216,0))/100)))&gt;0)*($D$10:$L$10-($D$9:$L$9+INT(($S$12:$AA$12+INDEX($AJ$13:$AR$162,BN2216,0)+INDEX($AT$13:$BB$162,BO2216,0)+INDEX($BD$13:$BL$162,BP2216,0))/100)))),0)</f>
        <v/>
      </c>
      <c r="BS2216">
        <f>IF(2203&lt;$U$9,SUMPRODUCT(($D$9:$L$9+INT(($S$12:$AA$12+INDEX($AJ$13:$AR$162,BN2216,0)+INDEX($AT$13:$BB$162,BO2216,0)+INDEX($BD$13:$BL$162,BP2216,0))/100))),0)</f>
        <v/>
      </c>
      <c r="BT2216">
        <f>IF(AND(2203&lt;$U$9,$W$5),BQ2216*1000000-MIN(BR2216,999)*1000+BS2216-2203/100000,-1000000000-2203)</f>
        <v/>
      </c>
    </row>
    <row r="2217">
      <c r="BN2217">
        <f>IF(2204&lt;$U$9,INT(2204/($U$7*$U$8))+1,1)</f>
        <v/>
      </c>
      <c r="BO2217">
        <f>IF(2204&lt;$U$9,MOD(INT(2204/$U$8),$U$7)+1,1)</f>
        <v/>
      </c>
      <c r="BP2217">
        <f>IF(2204&lt;$U$9,MOD(2204,$U$8)+1,1)</f>
        <v/>
      </c>
      <c r="BQ2217">
        <f>IF(2204&lt;$U$9,SUMPRODUCT(($D$10:$L$10&lt;&gt;"")*(($D$9:$L$9+INT(($S$12:$AA$12+INDEX($AJ$13:$AR$162,BN2217,0)+INDEX($AT$13:$BB$162,BO2217,0)+INDEX($BD$13:$BL$162,BP2217,0))/100))&gt;=$D$10:$L$10)),0)</f>
        <v/>
      </c>
      <c r="BR2217">
        <f>IF(2204&lt;$U$9,SUMPRODUCT(($D$10:$L$10&lt;&gt;"")*(($D$10:$L$10-($D$9:$L$9+INT(($S$12:$AA$12+INDEX($AJ$13:$AR$162,BN2217,0)+INDEX($AT$13:$BB$162,BO2217,0)+INDEX($BD$13:$BL$162,BP2217,0))/100)))&gt;0)*($D$10:$L$10-($D$9:$L$9+INT(($S$12:$AA$12+INDEX($AJ$13:$AR$162,BN2217,0)+INDEX($AT$13:$BB$162,BO2217,0)+INDEX($BD$13:$BL$162,BP2217,0))/100)))),0)</f>
        <v/>
      </c>
      <c r="BS2217">
        <f>IF(2204&lt;$U$9,SUMPRODUCT(($D$9:$L$9+INT(($S$12:$AA$12+INDEX($AJ$13:$AR$162,BN2217,0)+INDEX($AT$13:$BB$162,BO2217,0)+INDEX($BD$13:$BL$162,BP2217,0))/100))),0)</f>
        <v/>
      </c>
      <c r="BT2217">
        <f>IF(AND(2204&lt;$U$9,$W$5),BQ2217*1000000-MIN(BR2217,999)*1000+BS2217-2204/100000,-1000000000-2204)</f>
        <v/>
      </c>
    </row>
    <row r="2218">
      <c r="BN2218">
        <f>IF(2205&lt;$U$9,INT(2205/($U$7*$U$8))+1,1)</f>
        <v/>
      </c>
      <c r="BO2218">
        <f>IF(2205&lt;$U$9,MOD(INT(2205/$U$8),$U$7)+1,1)</f>
        <v/>
      </c>
      <c r="BP2218">
        <f>IF(2205&lt;$U$9,MOD(2205,$U$8)+1,1)</f>
        <v/>
      </c>
      <c r="BQ2218">
        <f>IF(2205&lt;$U$9,SUMPRODUCT(($D$10:$L$10&lt;&gt;"")*(($D$9:$L$9+INT(($S$12:$AA$12+INDEX($AJ$13:$AR$162,BN2218,0)+INDEX($AT$13:$BB$162,BO2218,0)+INDEX($BD$13:$BL$162,BP2218,0))/100))&gt;=$D$10:$L$10)),0)</f>
        <v/>
      </c>
      <c r="BR2218">
        <f>IF(2205&lt;$U$9,SUMPRODUCT(($D$10:$L$10&lt;&gt;"")*(($D$10:$L$10-($D$9:$L$9+INT(($S$12:$AA$12+INDEX($AJ$13:$AR$162,BN2218,0)+INDEX($AT$13:$BB$162,BO2218,0)+INDEX($BD$13:$BL$162,BP2218,0))/100)))&gt;0)*($D$10:$L$10-($D$9:$L$9+INT(($S$12:$AA$12+INDEX($AJ$13:$AR$162,BN2218,0)+INDEX($AT$13:$BB$162,BO2218,0)+INDEX($BD$13:$BL$162,BP2218,0))/100)))),0)</f>
        <v/>
      </c>
      <c r="BS2218">
        <f>IF(2205&lt;$U$9,SUMPRODUCT(($D$9:$L$9+INT(($S$12:$AA$12+INDEX($AJ$13:$AR$162,BN2218,0)+INDEX($AT$13:$BB$162,BO2218,0)+INDEX($BD$13:$BL$162,BP2218,0))/100))),0)</f>
        <v/>
      </c>
      <c r="BT2218">
        <f>IF(AND(2205&lt;$U$9,$W$5),BQ2218*1000000-MIN(BR2218,999)*1000+BS2218-2205/100000,-1000000000-2205)</f>
        <v/>
      </c>
    </row>
    <row r="2219">
      <c r="BN2219">
        <f>IF(2206&lt;$U$9,INT(2206/($U$7*$U$8))+1,1)</f>
        <v/>
      </c>
      <c r="BO2219">
        <f>IF(2206&lt;$U$9,MOD(INT(2206/$U$8),$U$7)+1,1)</f>
        <v/>
      </c>
      <c r="BP2219">
        <f>IF(2206&lt;$U$9,MOD(2206,$U$8)+1,1)</f>
        <v/>
      </c>
      <c r="BQ2219">
        <f>IF(2206&lt;$U$9,SUMPRODUCT(($D$10:$L$10&lt;&gt;"")*(($D$9:$L$9+INT(($S$12:$AA$12+INDEX($AJ$13:$AR$162,BN2219,0)+INDEX($AT$13:$BB$162,BO2219,0)+INDEX($BD$13:$BL$162,BP2219,0))/100))&gt;=$D$10:$L$10)),0)</f>
        <v/>
      </c>
      <c r="BR2219">
        <f>IF(2206&lt;$U$9,SUMPRODUCT(($D$10:$L$10&lt;&gt;"")*(($D$10:$L$10-($D$9:$L$9+INT(($S$12:$AA$12+INDEX($AJ$13:$AR$162,BN2219,0)+INDEX($AT$13:$BB$162,BO2219,0)+INDEX($BD$13:$BL$162,BP2219,0))/100)))&gt;0)*($D$10:$L$10-($D$9:$L$9+INT(($S$12:$AA$12+INDEX($AJ$13:$AR$162,BN2219,0)+INDEX($AT$13:$BB$162,BO2219,0)+INDEX($BD$13:$BL$162,BP2219,0))/100)))),0)</f>
        <v/>
      </c>
      <c r="BS2219">
        <f>IF(2206&lt;$U$9,SUMPRODUCT(($D$9:$L$9+INT(($S$12:$AA$12+INDEX($AJ$13:$AR$162,BN2219,0)+INDEX($AT$13:$BB$162,BO2219,0)+INDEX($BD$13:$BL$162,BP2219,0))/100))),0)</f>
        <v/>
      </c>
      <c r="BT2219">
        <f>IF(AND(2206&lt;$U$9,$W$5),BQ2219*1000000-MIN(BR2219,999)*1000+BS2219-2206/100000,-1000000000-2206)</f>
        <v/>
      </c>
    </row>
    <row r="2220">
      <c r="BN2220">
        <f>IF(2207&lt;$U$9,INT(2207/($U$7*$U$8))+1,1)</f>
        <v/>
      </c>
      <c r="BO2220">
        <f>IF(2207&lt;$U$9,MOD(INT(2207/$U$8),$U$7)+1,1)</f>
        <v/>
      </c>
      <c r="BP2220">
        <f>IF(2207&lt;$U$9,MOD(2207,$U$8)+1,1)</f>
        <v/>
      </c>
      <c r="BQ2220">
        <f>IF(2207&lt;$U$9,SUMPRODUCT(($D$10:$L$10&lt;&gt;"")*(($D$9:$L$9+INT(($S$12:$AA$12+INDEX($AJ$13:$AR$162,BN2220,0)+INDEX($AT$13:$BB$162,BO2220,0)+INDEX($BD$13:$BL$162,BP2220,0))/100))&gt;=$D$10:$L$10)),0)</f>
        <v/>
      </c>
      <c r="BR2220">
        <f>IF(2207&lt;$U$9,SUMPRODUCT(($D$10:$L$10&lt;&gt;"")*(($D$10:$L$10-($D$9:$L$9+INT(($S$12:$AA$12+INDEX($AJ$13:$AR$162,BN2220,0)+INDEX($AT$13:$BB$162,BO2220,0)+INDEX($BD$13:$BL$162,BP2220,0))/100)))&gt;0)*($D$10:$L$10-($D$9:$L$9+INT(($S$12:$AA$12+INDEX($AJ$13:$AR$162,BN2220,0)+INDEX($AT$13:$BB$162,BO2220,0)+INDEX($BD$13:$BL$162,BP2220,0))/100)))),0)</f>
        <v/>
      </c>
      <c r="BS2220">
        <f>IF(2207&lt;$U$9,SUMPRODUCT(($D$9:$L$9+INT(($S$12:$AA$12+INDEX($AJ$13:$AR$162,BN2220,0)+INDEX($AT$13:$BB$162,BO2220,0)+INDEX($BD$13:$BL$162,BP2220,0))/100))),0)</f>
        <v/>
      </c>
      <c r="BT2220">
        <f>IF(AND(2207&lt;$U$9,$W$5),BQ2220*1000000-MIN(BR2220,999)*1000+BS2220-2207/100000,-1000000000-2207)</f>
        <v/>
      </c>
    </row>
    <row r="2221">
      <c r="BN2221">
        <f>IF(2208&lt;$U$9,INT(2208/($U$7*$U$8))+1,1)</f>
        <v/>
      </c>
      <c r="BO2221">
        <f>IF(2208&lt;$U$9,MOD(INT(2208/$U$8),$U$7)+1,1)</f>
        <v/>
      </c>
      <c r="BP2221">
        <f>IF(2208&lt;$U$9,MOD(2208,$U$8)+1,1)</f>
        <v/>
      </c>
      <c r="BQ2221">
        <f>IF(2208&lt;$U$9,SUMPRODUCT(($D$10:$L$10&lt;&gt;"")*(($D$9:$L$9+INT(($S$12:$AA$12+INDEX($AJ$13:$AR$162,BN2221,0)+INDEX($AT$13:$BB$162,BO2221,0)+INDEX($BD$13:$BL$162,BP2221,0))/100))&gt;=$D$10:$L$10)),0)</f>
        <v/>
      </c>
      <c r="BR2221">
        <f>IF(2208&lt;$U$9,SUMPRODUCT(($D$10:$L$10&lt;&gt;"")*(($D$10:$L$10-($D$9:$L$9+INT(($S$12:$AA$12+INDEX($AJ$13:$AR$162,BN2221,0)+INDEX($AT$13:$BB$162,BO2221,0)+INDEX($BD$13:$BL$162,BP2221,0))/100)))&gt;0)*($D$10:$L$10-($D$9:$L$9+INT(($S$12:$AA$12+INDEX($AJ$13:$AR$162,BN2221,0)+INDEX($AT$13:$BB$162,BO2221,0)+INDEX($BD$13:$BL$162,BP2221,0))/100)))),0)</f>
        <v/>
      </c>
      <c r="BS2221">
        <f>IF(2208&lt;$U$9,SUMPRODUCT(($D$9:$L$9+INT(($S$12:$AA$12+INDEX($AJ$13:$AR$162,BN2221,0)+INDEX($AT$13:$BB$162,BO2221,0)+INDEX($BD$13:$BL$162,BP2221,0))/100))),0)</f>
        <v/>
      </c>
      <c r="BT2221">
        <f>IF(AND(2208&lt;$U$9,$W$5),BQ2221*1000000-MIN(BR2221,999)*1000+BS2221-2208/100000,-1000000000-2208)</f>
        <v/>
      </c>
    </row>
    <row r="2222">
      <c r="BN2222">
        <f>IF(2209&lt;$U$9,INT(2209/($U$7*$U$8))+1,1)</f>
        <v/>
      </c>
      <c r="BO2222">
        <f>IF(2209&lt;$U$9,MOD(INT(2209/$U$8),$U$7)+1,1)</f>
        <v/>
      </c>
      <c r="BP2222">
        <f>IF(2209&lt;$U$9,MOD(2209,$U$8)+1,1)</f>
        <v/>
      </c>
      <c r="BQ2222">
        <f>IF(2209&lt;$U$9,SUMPRODUCT(($D$10:$L$10&lt;&gt;"")*(($D$9:$L$9+INT(($S$12:$AA$12+INDEX($AJ$13:$AR$162,BN2222,0)+INDEX($AT$13:$BB$162,BO2222,0)+INDEX($BD$13:$BL$162,BP2222,0))/100))&gt;=$D$10:$L$10)),0)</f>
        <v/>
      </c>
      <c r="BR2222">
        <f>IF(2209&lt;$U$9,SUMPRODUCT(($D$10:$L$10&lt;&gt;"")*(($D$10:$L$10-($D$9:$L$9+INT(($S$12:$AA$12+INDEX($AJ$13:$AR$162,BN2222,0)+INDEX($AT$13:$BB$162,BO2222,0)+INDEX($BD$13:$BL$162,BP2222,0))/100)))&gt;0)*($D$10:$L$10-($D$9:$L$9+INT(($S$12:$AA$12+INDEX($AJ$13:$AR$162,BN2222,0)+INDEX($AT$13:$BB$162,BO2222,0)+INDEX($BD$13:$BL$162,BP2222,0))/100)))),0)</f>
        <v/>
      </c>
      <c r="BS2222">
        <f>IF(2209&lt;$U$9,SUMPRODUCT(($D$9:$L$9+INT(($S$12:$AA$12+INDEX($AJ$13:$AR$162,BN2222,0)+INDEX($AT$13:$BB$162,BO2222,0)+INDEX($BD$13:$BL$162,BP2222,0))/100))),0)</f>
        <v/>
      </c>
      <c r="BT2222">
        <f>IF(AND(2209&lt;$U$9,$W$5),BQ2222*1000000-MIN(BR2222,999)*1000+BS2222-2209/100000,-1000000000-2209)</f>
        <v/>
      </c>
    </row>
    <row r="2223">
      <c r="BN2223">
        <f>IF(2210&lt;$U$9,INT(2210/($U$7*$U$8))+1,1)</f>
        <v/>
      </c>
      <c r="BO2223">
        <f>IF(2210&lt;$U$9,MOD(INT(2210/$U$8),$U$7)+1,1)</f>
        <v/>
      </c>
      <c r="BP2223">
        <f>IF(2210&lt;$U$9,MOD(2210,$U$8)+1,1)</f>
        <v/>
      </c>
      <c r="BQ2223">
        <f>IF(2210&lt;$U$9,SUMPRODUCT(($D$10:$L$10&lt;&gt;"")*(($D$9:$L$9+INT(($S$12:$AA$12+INDEX($AJ$13:$AR$162,BN2223,0)+INDEX($AT$13:$BB$162,BO2223,0)+INDEX($BD$13:$BL$162,BP2223,0))/100))&gt;=$D$10:$L$10)),0)</f>
        <v/>
      </c>
      <c r="BR2223">
        <f>IF(2210&lt;$U$9,SUMPRODUCT(($D$10:$L$10&lt;&gt;"")*(($D$10:$L$10-($D$9:$L$9+INT(($S$12:$AA$12+INDEX($AJ$13:$AR$162,BN2223,0)+INDEX($AT$13:$BB$162,BO2223,0)+INDEX($BD$13:$BL$162,BP2223,0))/100)))&gt;0)*($D$10:$L$10-($D$9:$L$9+INT(($S$12:$AA$12+INDEX($AJ$13:$AR$162,BN2223,0)+INDEX($AT$13:$BB$162,BO2223,0)+INDEX($BD$13:$BL$162,BP2223,0))/100)))),0)</f>
        <v/>
      </c>
      <c r="BS2223">
        <f>IF(2210&lt;$U$9,SUMPRODUCT(($D$9:$L$9+INT(($S$12:$AA$12+INDEX($AJ$13:$AR$162,BN2223,0)+INDEX($AT$13:$BB$162,BO2223,0)+INDEX($BD$13:$BL$162,BP2223,0))/100))),0)</f>
        <v/>
      </c>
      <c r="BT2223">
        <f>IF(AND(2210&lt;$U$9,$W$5),BQ2223*1000000-MIN(BR2223,999)*1000+BS2223-2210/100000,-1000000000-2210)</f>
        <v/>
      </c>
    </row>
    <row r="2224">
      <c r="BN2224">
        <f>IF(2211&lt;$U$9,INT(2211/($U$7*$U$8))+1,1)</f>
        <v/>
      </c>
      <c r="BO2224">
        <f>IF(2211&lt;$U$9,MOD(INT(2211/$U$8),$U$7)+1,1)</f>
        <v/>
      </c>
      <c r="BP2224">
        <f>IF(2211&lt;$U$9,MOD(2211,$U$8)+1,1)</f>
        <v/>
      </c>
      <c r="BQ2224">
        <f>IF(2211&lt;$U$9,SUMPRODUCT(($D$10:$L$10&lt;&gt;"")*(($D$9:$L$9+INT(($S$12:$AA$12+INDEX($AJ$13:$AR$162,BN2224,0)+INDEX($AT$13:$BB$162,BO2224,0)+INDEX($BD$13:$BL$162,BP2224,0))/100))&gt;=$D$10:$L$10)),0)</f>
        <v/>
      </c>
      <c r="BR2224">
        <f>IF(2211&lt;$U$9,SUMPRODUCT(($D$10:$L$10&lt;&gt;"")*(($D$10:$L$10-($D$9:$L$9+INT(($S$12:$AA$12+INDEX($AJ$13:$AR$162,BN2224,0)+INDEX($AT$13:$BB$162,BO2224,0)+INDEX($BD$13:$BL$162,BP2224,0))/100)))&gt;0)*($D$10:$L$10-($D$9:$L$9+INT(($S$12:$AA$12+INDEX($AJ$13:$AR$162,BN2224,0)+INDEX($AT$13:$BB$162,BO2224,0)+INDEX($BD$13:$BL$162,BP2224,0))/100)))),0)</f>
        <v/>
      </c>
      <c r="BS2224">
        <f>IF(2211&lt;$U$9,SUMPRODUCT(($D$9:$L$9+INT(($S$12:$AA$12+INDEX($AJ$13:$AR$162,BN2224,0)+INDEX($AT$13:$BB$162,BO2224,0)+INDEX($BD$13:$BL$162,BP2224,0))/100))),0)</f>
        <v/>
      </c>
      <c r="BT2224">
        <f>IF(AND(2211&lt;$U$9,$W$5),BQ2224*1000000-MIN(BR2224,999)*1000+BS2224-2211/100000,-1000000000-2211)</f>
        <v/>
      </c>
    </row>
    <row r="2225">
      <c r="BN2225">
        <f>IF(2212&lt;$U$9,INT(2212/($U$7*$U$8))+1,1)</f>
        <v/>
      </c>
      <c r="BO2225">
        <f>IF(2212&lt;$U$9,MOD(INT(2212/$U$8),$U$7)+1,1)</f>
        <v/>
      </c>
      <c r="BP2225">
        <f>IF(2212&lt;$U$9,MOD(2212,$U$8)+1,1)</f>
        <v/>
      </c>
      <c r="BQ2225">
        <f>IF(2212&lt;$U$9,SUMPRODUCT(($D$10:$L$10&lt;&gt;"")*(($D$9:$L$9+INT(($S$12:$AA$12+INDEX($AJ$13:$AR$162,BN2225,0)+INDEX($AT$13:$BB$162,BO2225,0)+INDEX($BD$13:$BL$162,BP2225,0))/100))&gt;=$D$10:$L$10)),0)</f>
        <v/>
      </c>
      <c r="BR2225">
        <f>IF(2212&lt;$U$9,SUMPRODUCT(($D$10:$L$10&lt;&gt;"")*(($D$10:$L$10-($D$9:$L$9+INT(($S$12:$AA$12+INDEX($AJ$13:$AR$162,BN2225,0)+INDEX($AT$13:$BB$162,BO2225,0)+INDEX($BD$13:$BL$162,BP2225,0))/100)))&gt;0)*($D$10:$L$10-($D$9:$L$9+INT(($S$12:$AA$12+INDEX($AJ$13:$AR$162,BN2225,0)+INDEX($AT$13:$BB$162,BO2225,0)+INDEX($BD$13:$BL$162,BP2225,0))/100)))),0)</f>
        <v/>
      </c>
      <c r="BS2225">
        <f>IF(2212&lt;$U$9,SUMPRODUCT(($D$9:$L$9+INT(($S$12:$AA$12+INDEX($AJ$13:$AR$162,BN2225,0)+INDEX($AT$13:$BB$162,BO2225,0)+INDEX($BD$13:$BL$162,BP2225,0))/100))),0)</f>
        <v/>
      </c>
      <c r="BT2225">
        <f>IF(AND(2212&lt;$U$9,$W$5),BQ2225*1000000-MIN(BR2225,999)*1000+BS2225-2212/100000,-1000000000-2212)</f>
        <v/>
      </c>
    </row>
    <row r="2226">
      <c r="BN2226">
        <f>IF(2213&lt;$U$9,INT(2213/($U$7*$U$8))+1,1)</f>
        <v/>
      </c>
      <c r="BO2226">
        <f>IF(2213&lt;$U$9,MOD(INT(2213/$U$8),$U$7)+1,1)</f>
        <v/>
      </c>
      <c r="BP2226">
        <f>IF(2213&lt;$U$9,MOD(2213,$U$8)+1,1)</f>
        <v/>
      </c>
      <c r="BQ2226">
        <f>IF(2213&lt;$U$9,SUMPRODUCT(($D$10:$L$10&lt;&gt;"")*(($D$9:$L$9+INT(($S$12:$AA$12+INDEX($AJ$13:$AR$162,BN2226,0)+INDEX($AT$13:$BB$162,BO2226,0)+INDEX($BD$13:$BL$162,BP2226,0))/100))&gt;=$D$10:$L$10)),0)</f>
        <v/>
      </c>
      <c r="BR2226">
        <f>IF(2213&lt;$U$9,SUMPRODUCT(($D$10:$L$10&lt;&gt;"")*(($D$10:$L$10-($D$9:$L$9+INT(($S$12:$AA$12+INDEX($AJ$13:$AR$162,BN2226,0)+INDEX($AT$13:$BB$162,BO2226,0)+INDEX($BD$13:$BL$162,BP2226,0))/100)))&gt;0)*($D$10:$L$10-($D$9:$L$9+INT(($S$12:$AA$12+INDEX($AJ$13:$AR$162,BN2226,0)+INDEX($AT$13:$BB$162,BO2226,0)+INDEX($BD$13:$BL$162,BP2226,0))/100)))),0)</f>
        <v/>
      </c>
      <c r="BS2226">
        <f>IF(2213&lt;$U$9,SUMPRODUCT(($D$9:$L$9+INT(($S$12:$AA$12+INDEX($AJ$13:$AR$162,BN2226,0)+INDEX($AT$13:$BB$162,BO2226,0)+INDEX($BD$13:$BL$162,BP2226,0))/100))),0)</f>
        <v/>
      </c>
      <c r="BT2226">
        <f>IF(AND(2213&lt;$U$9,$W$5),BQ2226*1000000-MIN(BR2226,999)*1000+BS2226-2213/100000,-1000000000-2213)</f>
        <v/>
      </c>
    </row>
    <row r="2227">
      <c r="BN2227">
        <f>IF(2214&lt;$U$9,INT(2214/($U$7*$U$8))+1,1)</f>
        <v/>
      </c>
      <c r="BO2227">
        <f>IF(2214&lt;$U$9,MOD(INT(2214/$U$8),$U$7)+1,1)</f>
        <v/>
      </c>
      <c r="BP2227">
        <f>IF(2214&lt;$U$9,MOD(2214,$U$8)+1,1)</f>
        <v/>
      </c>
      <c r="BQ2227">
        <f>IF(2214&lt;$U$9,SUMPRODUCT(($D$10:$L$10&lt;&gt;"")*(($D$9:$L$9+INT(($S$12:$AA$12+INDEX($AJ$13:$AR$162,BN2227,0)+INDEX($AT$13:$BB$162,BO2227,0)+INDEX($BD$13:$BL$162,BP2227,0))/100))&gt;=$D$10:$L$10)),0)</f>
        <v/>
      </c>
      <c r="BR2227">
        <f>IF(2214&lt;$U$9,SUMPRODUCT(($D$10:$L$10&lt;&gt;"")*(($D$10:$L$10-($D$9:$L$9+INT(($S$12:$AA$12+INDEX($AJ$13:$AR$162,BN2227,0)+INDEX($AT$13:$BB$162,BO2227,0)+INDEX($BD$13:$BL$162,BP2227,0))/100)))&gt;0)*($D$10:$L$10-($D$9:$L$9+INT(($S$12:$AA$12+INDEX($AJ$13:$AR$162,BN2227,0)+INDEX($AT$13:$BB$162,BO2227,0)+INDEX($BD$13:$BL$162,BP2227,0))/100)))),0)</f>
        <v/>
      </c>
      <c r="BS2227">
        <f>IF(2214&lt;$U$9,SUMPRODUCT(($D$9:$L$9+INT(($S$12:$AA$12+INDEX($AJ$13:$AR$162,BN2227,0)+INDEX($AT$13:$BB$162,BO2227,0)+INDEX($BD$13:$BL$162,BP2227,0))/100))),0)</f>
        <v/>
      </c>
      <c r="BT2227">
        <f>IF(AND(2214&lt;$U$9,$W$5),BQ2227*1000000-MIN(BR2227,999)*1000+BS2227-2214/100000,-1000000000-2214)</f>
        <v/>
      </c>
    </row>
    <row r="2228">
      <c r="BN2228">
        <f>IF(2215&lt;$U$9,INT(2215/($U$7*$U$8))+1,1)</f>
        <v/>
      </c>
      <c r="BO2228">
        <f>IF(2215&lt;$U$9,MOD(INT(2215/$U$8),$U$7)+1,1)</f>
        <v/>
      </c>
      <c r="BP2228">
        <f>IF(2215&lt;$U$9,MOD(2215,$U$8)+1,1)</f>
        <v/>
      </c>
      <c r="BQ2228">
        <f>IF(2215&lt;$U$9,SUMPRODUCT(($D$10:$L$10&lt;&gt;"")*(($D$9:$L$9+INT(($S$12:$AA$12+INDEX($AJ$13:$AR$162,BN2228,0)+INDEX($AT$13:$BB$162,BO2228,0)+INDEX($BD$13:$BL$162,BP2228,0))/100))&gt;=$D$10:$L$10)),0)</f>
        <v/>
      </c>
      <c r="BR2228">
        <f>IF(2215&lt;$U$9,SUMPRODUCT(($D$10:$L$10&lt;&gt;"")*(($D$10:$L$10-($D$9:$L$9+INT(($S$12:$AA$12+INDEX($AJ$13:$AR$162,BN2228,0)+INDEX($AT$13:$BB$162,BO2228,0)+INDEX($BD$13:$BL$162,BP2228,0))/100)))&gt;0)*($D$10:$L$10-($D$9:$L$9+INT(($S$12:$AA$12+INDEX($AJ$13:$AR$162,BN2228,0)+INDEX($AT$13:$BB$162,BO2228,0)+INDEX($BD$13:$BL$162,BP2228,0))/100)))),0)</f>
        <v/>
      </c>
      <c r="BS2228">
        <f>IF(2215&lt;$U$9,SUMPRODUCT(($D$9:$L$9+INT(($S$12:$AA$12+INDEX($AJ$13:$AR$162,BN2228,0)+INDEX($AT$13:$BB$162,BO2228,0)+INDEX($BD$13:$BL$162,BP2228,0))/100))),0)</f>
        <v/>
      </c>
      <c r="BT2228">
        <f>IF(AND(2215&lt;$U$9,$W$5),BQ2228*1000000-MIN(BR2228,999)*1000+BS2228-2215/100000,-1000000000-2215)</f>
        <v/>
      </c>
    </row>
    <row r="2229">
      <c r="BN2229">
        <f>IF(2216&lt;$U$9,INT(2216/($U$7*$U$8))+1,1)</f>
        <v/>
      </c>
      <c r="BO2229">
        <f>IF(2216&lt;$U$9,MOD(INT(2216/$U$8),$U$7)+1,1)</f>
        <v/>
      </c>
      <c r="BP2229">
        <f>IF(2216&lt;$U$9,MOD(2216,$U$8)+1,1)</f>
        <v/>
      </c>
      <c r="BQ2229">
        <f>IF(2216&lt;$U$9,SUMPRODUCT(($D$10:$L$10&lt;&gt;"")*(($D$9:$L$9+INT(($S$12:$AA$12+INDEX($AJ$13:$AR$162,BN2229,0)+INDEX($AT$13:$BB$162,BO2229,0)+INDEX($BD$13:$BL$162,BP2229,0))/100))&gt;=$D$10:$L$10)),0)</f>
        <v/>
      </c>
      <c r="BR2229">
        <f>IF(2216&lt;$U$9,SUMPRODUCT(($D$10:$L$10&lt;&gt;"")*(($D$10:$L$10-($D$9:$L$9+INT(($S$12:$AA$12+INDEX($AJ$13:$AR$162,BN2229,0)+INDEX($AT$13:$BB$162,BO2229,0)+INDEX($BD$13:$BL$162,BP2229,0))/100)))&gt;0)*($D$10:$L$10-($D$9:$L$9+INT(($S$12:$AA$12+INDEX($AJ$13:$AR$162,BN2229,0)+INDEX($AT$13:$BB$162,BO2229,0)+INDEX($BD$13:$BL$162,BP2229,0))/100)))),0)</f>
        <v/>
      </c>
      <c r="BS2229">
        <f>IF(2216&lt;$U$9,SUMPRODUCT(($D$9:$L$9+INT(($S$12:$AA$12+INDEX($AJ$13:$AR$162,BN2229,0)+INDEX($AT$13:$BB$162,BO2229,0)+INDEX($BD$13:$BL$162,BP2229,0))/100))),0)</f>
        <v/>
      </c>
      <c r="BT2229">
        <f>IF(AND(2216&lt;$U$9,$W$5),BQ2229*1000000-MIN(BR2229,999)*1000+BS2229-2216/100000,-1000000000-2216)</f>
        <v/>
      </c>
    </row>
    <row r="2230">
      <c r="BN2230">
        <f>IF(2217&lt;$U$9,INT(2217/($U$7*$U$8))+1,1)</f>
        <v/>
      </c>
      <c r="BO2230">
        <f>IF(2217&lt;$U$9,MOD(INT(2217/$U$8),$U$7)+1,1)</f>
        <v/>
      </c>
      <c r="BP2230">
        <f>IF(2217&lt;$U$9,MOD(2217,$U$8)+1,1)</f>
        <v/>
      </c>
      <c r="BQ2230">
        <f>IF(2217&lt;$U$9,SUMPRODUCT(($D$10:$L$10&lt;&gt;"")*(($D$9:$L$9+INT(($S$12:$AA$12+INDEX($AJ$13:$AR$162,BN2230,0)+INDEX($AT$13:$BB$162,BO2230,0)+INDEX($BD$13:$BL$162,BP2230,0))/100))&gt;=$D$10:$L$10)),0)</f>
        <v/>
      </c>
      <c r="BR2230">
        <f>IF(2217&lt;$U$9,SUMPRODUCT(($D$10:$L$10&lt;&gt;"")*(($D$10:$L$10-($D$9:$L$9+INT(($S$12:$AA$12+INDEX($AJ$13:$AR$162,BN2230,0)+INDEX($AT$13:$BB$162,BO2230,0)+INDEX($BD$13:$BL$162,BP2230,0))/100)))&gt;0)*($D$10:$L$10-($D$9:$L$9+INT(($S$12:$AA$12+INDEX($AJ$13:$AR$162,BN2230,0)+INDEX($AT$13:$BB$162,BO2230,0)+INDEX($BD$13:$BL$162,BP2230,0))/100)))),0)</f>
        <v/>
      </c>
      <c r="BS2230">
        <f>IF(2217&lt;$U$9,SUMPRODUCT(($D$9:$L$9+INT(($S$12:$AA$12+INDEX($AJ$13:$AR$162,BN2230,0)+INDEX($AT$13:$BB$162,BO2230,0)+INDEX($BD$13:$BL$162,BP2230,0))/100))),0)</f>
        <v/>
      </c>
      <c r="BT2230">
        <f>IF(AND(2217&lt;$U$9,$W$5),BQ2230*1000000-MIN(BR2230,999)*1000+BS2230-2217/100000,-1000000000-2217)</f>
        <v/>
      </c>
    </row>
    <row r="2231">
      <c r="BN2231">
        <f>IF(2218&lt;$U$9,INT(2218/($U$7*$U$8))+1,1)</f>
        <v/>
      </c>
      <c r="BO2231">
        <f>IF(2218&lt;$U$9,MOD(INT(2218/$U$8),$U$7)+1,1)</f>
        <v/>
      </c>
      <c r="BP2231">
        <f>IF(2218&lt;$U$9,MOD(2218,$U$8)+1,1)</f>
        <v/>
      </c>
      <c r="BQ2231">
        <f>IF(2218&lt;$U$9,SUMPRODUCT(($D$10:$L$10&lt;&gt;"")*(($D$9:$L$9+INT(($S$12:$AA$12+INDEX($AJ$13:$AR$162,BN2231,0)+INDEX($AT$13:$BB$162,BO2231,0)+INDEX($BD$13:$BL$162,BP2231,0))/100))&gt;=$D$10:$L$10)),0)</f>
        <v/>
      </c>
      <c r="BR2231">
        <f>IF(2218&lt;$U$9,SUMPRODUCT(($D$10:$L$10&lt;&gt;"")*(($D$10:$L$10-($D$9:$L$9+INT(($S$12:$AA$12+INDEX($AJ$13:$AR$162,BN2231,0)+INDEX($AT$13:$BB$162,BO2231,0)+INDEX($BD$13:$BL$162,BP2231,0))/100)))&gt;0)*($D$10:$L$10-($D$9:$L$9+INT(($S$12:$AA$12+INDEX($AJ$13:$AR$162,BN2231,0)+INDEX($AT$13:$BB$162,BO2231,0)+INDEX($BD$13:$BL$162,BP2231,0))/100)))),0)</f>
        <v/>
      </c>
      <c r="BS2231">
        <f>IF(2218&lt;$U$9,SUMPRODUCT(($D$9:$L$9+INT(($S$12:$AA$12+INDEX($AJ$13:$AR$162,BN2231,0)+INDEX($AT$13:$BB$162,BO2231,0)+INDEX($BD$13:$BL$162,BP2231,0))/100))),0)</f>
        <v/>
      </c>
      <c r="BT2231">
        <f>IF(AND(2218&lt;$U$9,$W$5),BQ2231*1000000-MIN(BR2231,999)*1000+BS2231-2218/100000,-1000000000-2218)</f>
        <v/>
      </c>
    </row>
    <row r="2232">
      <c r="BN2232">
        <f>IF(2219&lt;$U$9,INT(2219/($U$7*$U$8))+1,1)</f>
        <v/>
      </c>
      <c r="BO2232">
        <f>IF(2219&lt;$U$9,MOD(INT(2219/$U$8),$U$7)+1,1)</f>
        <v/>
      </c>
      <c r="BP2232">
        <f>IF(2219&lt;$U$9,MOD(2219,$U$8)+1,1)</f>
        <v/>
      </c>
      <c r="BQ2232">
        <f>IF(2219&lt;$U$9,SUMPRODUCT(($D$10:$L$10&lt;&gt;"")*(($D$9:$L$9+INT(($S$12:$AA$12+INDEX($AJ$13:$AR$162,BN2232,0)+INDEX($AT$13:$BB$162,BO2232,0)+INDEX($BD$13:$BL$162,BP2232,0))/100))&gt;=$D$10:$L$10)),0)</f>
        <v/>
      </c>
      <c r="BR2232">
        <f>IF(2219&lt;$U$9,SUMPRODUCT(($D$10:$L$10&lt;&gt;"")*(($D$10:$L$10-($D$9:$L$9+INT(($S$12:$AA$12+INDEX($AJ$13:$AR$162,BN2232,0)+INDEX($AT$13:$BB$162,BO2232,0)+INDEX($BD$13:$BL$162,BP2232,0))/100)))&gt;0)*($D$10:$L$10-($D$9:$L$9+INT(($S$12:$AA$12+INDEX($AJ$13:$AR$162,BN2232,0)+INDEX($AT$13:$BB$162,BO2232,0)+INDEX($BD$13:$BL$162,BP2232,0))/100)))),0)</f>
        <v/>
      </c>
      <c r="BS2232">
        <f>IF(2219&lt;$U$9,SUMPRODUCT(($D$9:$L$9+INT(($S$12:$AA$12+INDEX($AJ$13:$AR$162,BN2232,0)+INDEX($AT$13:$BB$162,BO2232,0)+INDEX($BD$13:$BL$162,BP2232,0))/100))),0)</f>
        <v/>
      </c>
      <c r="BT2232">
        <f>IF(AND(2219&lt;$U$9,$W$5),BQ2232*1000000-MIN(BR2232,999)*1000+BS2232-2219/100000,-1000000000-2219)</f>
        <v/>
      </c>
    </row>
    <row r="2233">
      <c r="BN2233">
        <f>IF(2220&lt;$U$9,INT(2220/($U$7*$U$8))+1,1)</f>
        <v/>
      </c>
      <c r="BO2233">
        <f>IF(2220&lt;$U$9,MOD(INT(2220/$U$8),$U$7)+1,1)</f>
        <v/>
      </c>
      <c r="BP2233">
        <f>IF(2220&lt;$U$9,MOD(2220,$U$8)+1,1)</f>
        <v/>
      </c>
      <c r="BQ2233">
        <f>IF(2220&lt;$U$9,SUMPRODUCT(($D$10:$L$10&lt;&gt;"")*(($D$9:$L$9+INT(($S$12:$AA$12+INDEX($AJ$13:$AR$162,BN2233,0)+INDEX($AT$13:$BB$162,BO2233,0)+INDEX($BD$13:$BL$162,BP2233,0))/100))&gt;=$D$10:$L$10)),0)</f>
        <v/>
      </c>
      <c r="BR2233">
        <f>IF(2220&lt;$U$9,SUMPRODUCT(($D$10:$L$10&lt;&gt;"")*(($D$10:$L$10-($D$9:$L$9+INT(($S$12:$AA$12+INDEX($AJ$13:$AR$162,BN2233,0)+INDEX($AT$13:$BB$162,BO2233,0)+INDEX($BD$13:$BL$162,BP2233,0))/100)))&gt;0)*($D$10:$L$10-($D$9:$L$9+INT(($S$12:$AA$12+INDEX($AJ$13:$AR$162,BN2233,0)+INDEX($AT$13:$BB$162,BO2233,0)+INDEX($BD$13:$BL$162,BP2233,0))/100)))),0)</f>
        <v/>
      </c>
      <c r="BS2233">
        <f>IF(2220&lt;$U$9,SUMPRODUCT(($D$9:$L$9+INT(($S$12:$AA$12+INDEX($AJ$13:$AR$162,BN2233,0)+INDEX($AT$13:$BB$162,BO2233,0)+INDEX($BD$13:$BL$162,BP2233,0))/100))),0)</f>
        <v/>
      </c>
      <c r="BT2233">
        <f>IF(AND(2220&lt;$U$9,$W$5),BQ2233*1000000-MIN(BR2233,999)*1000+BS2233-2220/100000,-1000000000-2220)</f>
        <v/>
      </c>
    </row>
    <row r="2234">
      <c r="BN2234">
        <f>IF(2221&lt;$U$9,INT(2221/($U$7*$U$8))+1,1)</f>
        <v/>
      </c>
      <c r="BO2234">
        <f>IF(2221&lt;$U$9,MOD(INT(2221/$U$8),$U$7)+1,1)</f>
        <v/>
      </c>
      <c r="BP2234">
        <f>IF(2221&lt;$U$9,MOD(2221,$U$8)+1,1)</f>
        <v/>
      </c>
      <c r="BQ2234">
        <f>IF(2221&lt;$U$9,SUMPRODUCT(($D$10:$L$10&lt;&gt;"")*(($D$9:$L$9+INT(($S$12:$AA$12+INDEX($AJ$13:$AR$162,BN2234,0)+INDEX($AT$13:$BB$162,BO2234,0)+INDEX($BD$13:$BL$162,BP2234,0))/100))&gt;=$D$10:$L$10)),0)</f>
        <v/>
      </c>
      <c r="BR2234">
        <f>IF(2221&lt;$U$9,SUMPRODUCT(($D$10:$L$10&lt;&gt;"")*(($D$10:$L$10-($D$9:$L$9+INT(($S$12:$AA$12+INDEX($AJ$13:$AR$162,BN2234,0)+INDEX($AT$13:$BB$162,BO2234,0)+INDEX($BD$13:$BL$162,BP2234,0))/100)))&gt;0)*($D$10:$L$10-($D$9:$L$9+INT(($S$12:$AA$12+INDEX($AJ$13:$AR$162,BN2234,0)+INDEX($AT$13:$BB$162,BO2234,0)+INDEX($BD$13:$BL$162,BP2234,0))/100)))),0)</f>
        <v/>
      </c>
      <c r="BS2234">
        <f>IF(2221&lt;$U$9,SUMPRODUCT(($D$9:$L$9+INT(($S$12:$AA$12+INDEX($AJ$13:$AR$162,BN2234,0)+INDEX($AT$13:$BB$162,BO2234,0)+INDEX($BD$13:$BL$162,BP2234,0))/100))),0)</f>
        <v/>
      </c>
      <c r="BT2234">
        <f>IF(AND(2221&lt;$U$9,$W$5),BQ2234*1000000-MIN(BR2234,999)*1000+BS2234-2221/100000,-1000000000-2221)</f>
        <v/>
      </c>
    </row>
    <row r="2235">
      <c r="BN2235">
        <f>IF(2222&lt;$U$9,INT(2222/($U$7*$U$8))+1,1)</f>
        <v/>
      </c>
      <c r="BO2235">
        <f>IF(2222&lt;$U$9,MOD(INT(2222/$U$8),$U$7)+1,1)</f>
        <v/>
      </c>
      <c r="BP2235">
        <f>IF(2222&lt;$U$9,MOD(2222,$U$8)+1,1)</f>
        <v/>
      </c>
      <c r="BQ2235">
        <f>IF(2222&lt;$U$9,SUMPRODUCT(($D$10:$L$10&lt;&gt;"")*(($D$9:$L$9+INT(($S$12:$AA$12+INDEX($AJ$13:$AR$162,BN2235,0)+INDEX($AT$13:$BB$162,BO2235,0)+INDEX($BD$13:$BL$162,BP2235,0))/100))&gt;=$D$10:$L$10)),0)</f>
        <v/>
      </c>
      <c r="BR2235">
        <f>IF(2222&lt;$U$9,SUMPRODUCT(($D$10:$L$10&lt;&gt;"")*(($D$10:$L$10-($D$9:$L$9+INT(($S$12:$AA$12+INDEX($AJ$13:$AR$162,BN2235,0)+INDEX($AT$13:$BB$162,BO2235,0)+INDEX($BD$13:$BL$162,BP2235,0))/100)))&gt;0)*($D$10:$L$10-($D$9:$L$9+INT(($S$12:$AA$12+INDEX($AJ$13:$AR$162,BN2235,0)+INDEX($AT$13:$BB$162,BO2235,0)+INDEX($BD$13:$BL$162,BP2235,0))/100)))),0)</f>
        <v/>
      </c>
      <c r="BS2235">
        <f>IF(2222&lt;$U$9,SUMPRODUCT(($D$9:$L$9+INT(($S$12:$AA$12+INDEX($AJ$13:$AR$162,BN2235,0)+INDEX($AT$13:$BB$162,BO2235,0)+INDEX($BD$13:$BL$162,BP2235,0))/100))),0)</f>
        <v/>
      </c>
      <c r="BT2235">
        <f>IF(AND(2222&lt;$U$9,$W$5),BQ2235*1000000-MIN(BR2235,999)*1000+BS2235-2222/100000,-1000000000-2222)</f>
        <v/>
      </c>
    </row>
    <row r="2236">
      <c r="BN2236">
        <f>IF(2223&lt;$U$9,INT(2223/($U$7*$U$8))+1,1)</f>
        <v/>
      </c>
      <c r="BO2236">
        <f>IF(2223&lt;$U$9,MOD(INT(2223/$U$8),$U$7)+1,1)</f>
        <v/>
      </c>
      <c r="BP2236">
        <f>IF(2223&lt;$U$9,MOD(2223,$U$8)+1,1)</f>
        <v/>
      </c>
      <c r="BQ2236">
        <f>IF(2223&lt;$U$9,SUMPRODUCT(($D$10:$L$10&lt;&gt;"")*(($D$9:$L$9+INT(($S$12:$AA$12+INDEX($AJ$13:$AR$162,BN2236,0)+INDEX($AT$13:$BB$162,BO2236,0)+INDEX($BD$13:$BL$162,BP2236,0))/100))&gt;=$D$10:$L$10)),0)</f>
        <v/>
      </c>
      <c r="BR2236">
        <f>IF(2223&lt;$U$9,SUMPRODUCT(($D$10:$L$10&lt;&gt;"")*(($D$10:$L$10-($D$9:$L$9+INT(($S$12:$AA$12+INDEX($AJ$13:$AR$162,BN2236,0)+INDEX($AT$13:$BB$162,BO2236,0)+INDEX($BD$13:$BL$162,BP2236,0))/100)))&gt;0)*($D$10:$L$10-($D$9:$L$9+INT(($S$12:$AA$12+INDEX($AJ$13:$AR$162,BN2236,0)+INDEX($AT$13:$BB$162,BO2236,0)+INDEX($BD$13:$BL$162,BP2236,0))/100)))),0)</f>
        <v/>
      </c>
      <c r="BS2236">
        <f>IF(2223&lt;$U$9,SUMPRODUCT(($D$9:$L$9+INT(($S$12:$AA$12+INDEX($AJ$13:$AR$162,BN2236,0)+INDEX($AT$13:$BB$162,BO2236,0)+INDEX($BD$13:$BL$162,BP2236,0))/100))),0)</f>
        <v/>
      </c>
      <c r="BT2236">
        <f>IF(AND(2223&lt;$U$9,$W$5),BQ2236*1000000-MIN(BR2236,999)*1000+BS2236-2223/100000,-1000000000-2223)</f>
        <v/>
      </c>
    </row>
    <row r="2237">
      <c r="BN2237">
        <f>IF(2224&lt;$U$9,INT(2224/($U$7*$U$8))+1,1)</f>
        <v/>
      </c>
      <c r="BO2237">
        <f>IF(2224&lt;$U$9,MOD(INT(2224/$U$8),$U$7)+1,1)</f>
        <v/>
      </c>
      <c r="BP2237">
        <f>IF(2224&lt;$U$9,MOD(2224,$U$8)+1,1)</f>
        <v/>
      </c>
      <c r="BQ2237">
        <f>IF(2224&lt;$U$9,SUMPRODUCT(($D$10:$L$10&lt;&gt;"")*(($D$9:$L$9+INT(($S$12:$AA$12+INDEX($AJ$13:$AR$162,BN2237,0)+INDEX($AT$13:$BB$162,BO2237,0)+INDEX($BD$13:$BL$162,BP2237,0))/100))&gt;=$D$10:$L$10)),0)</f>
        <v/>
      </c>
      <c r="BR2237">
        <f>IF(2224&lt;$U$9,SUMPRODUCT(($D$10:$L$10&lt;&gt;"")*(($D$10:$L$10-($D$9:$L$9+INT(($S$12:$AA$12+INDEX($AJ$13:$AR$162,BN2237,0)+INDEX($AT$13:$BB$162,BO2237,0)+INDEX($BD$13:$BL$162,BP2237,0))/100)))&gt;0)*($D$10:$L$10-($D$9:$L$9+INT(($S$12:$AA$12+INDEX($AJ$13:$AR$162,BN2237,0)+INDEX($AT$13:$BB$162,BO2237,0)+INDEX($BD$13:$BL$162,BP2237,0))/100)))),0)</f>
        <v/>
      </c>
      <c r="BS2237">
        <f>IF(2224&lt;$U$9,SUMPRODUCT(($D$9:$L$9+INT(($S$12:$AA$12+INDEX($AJ$13:$AR$162,BN2237,0)+INDEX($AT$13:$BB$162,BO2237,0)+INDEX($BD$13:$BL$162,BP2237,0))/100))),0)</f>
        <v/>
      </c>
      <c r="BT2237">
        <f>IF(AND(2224&lt;$U$9,$W$5),BQ2237*1000000-MIN(BR2237,999)*1000+BS2237-2224/100000,-1000000000-2224)</f>
        <v/>
      </c>
    </row>
    <row r="2238">
      <c r="BN2238">
        <f>IF(2225&lt;$U$9,INT(2225/($U$7*$U$8))+1,1)</f>
        <v/>
      </c>
      <c r="BO2238">
        <f>IF(2225&lt;$U$9,MOD(INT(2225/$U$8),$U$7)+1,1)</f>
        <v/>
      </c>
      <c r="BP2238">
        <f>IF(2225&lt;$U$9,MOD(2225,$U$8)+1,1)</f>
        <v/>
      </c>
      <c r="BQ2238">
        <f>IF(2225&lt;$U$9,SUMPRODUCT(($D$10:$L$10&lt;&gt;"")*(($D$9:$L$9+INT(($S$12:$AA$12+INDEX($AJ$13:$AR$162,BN2238,0)+INDEX($AT$13:$BB$162,BO2238,0)+INDEX($BD$13:$BL$162,BP2238,0))/100))&gt;=$D$10:$L$10)),0)</f>
        <v/>
      </c>
      <c r="BR2238">
        <f>IF(2225&lt;$U$9,SUMPRODUCT(($D$10:$L$10&lt;&gt;"")*(($D$10:$L$10-($D$9:$L$9+INT(($S$12:$AA$12+INDEX($AJ$13:$AR$162,BN2238,0)+INDEX($AT$13:$BB$162,BO2238,0)+INDEX($BD$13:$BL$162,BP2238,0))/100)))&gt;0)*($D$10:$L$10-($D$9:$L$9+INT(($S$12:$AA$12+INDEX($AJ$13:$AR$162,BN2238,0)+INDEX($AT$13:$BB$162,BO2238,0)+INDEX($BD$13:$BL$162,BP2238,0))/100)))),0)</f>
        <v/>
      </c>
      <c r="BS2238">
        <f>IF(2225&lt;$U$9,SUMPRODUCT(($D$9:$L$9+INT(($S$12:$AA$12+INDEX($AJ$13:$AR$162,BN2238,0)+INDEX($AT$13:$BB$162,BO2238,0)+INDEX($BD$13:$BL$162,BP2238,0))/100))),0)</f>
        <v/>
      </c>
      <c r="BT2238">
        <f>IF(AND(2225&lt;$U$9,$W$5),BQ2238*1000000-MIN(BR2238,999)*1000+BS2238-2225/100000,-1000000000-2225)</f>
        <v/>
      </c>
    </row>
    <row r="2239">
      <c r="BN2239">
        <f>IF(2226&lt;$U$9,INT(2226/($U$7*$U$8))+1,1)</f>
        <v/>
      </c>
      <c r="BO2239">
        <f>IF(2226&lt;$U$9,MOD(INT(2226/$U$8),$U$7)+1,1)</f>
        <v/>
      </c>
      <c r="BP2239">
        <f>IF(2226&lt;$U$9,MOD(2226,$U$8)+1,1)</f>
        <v/>
      </c>
      <c r="BQ2239">
        <f>IF(2226&lt;$U$9,SUMPRODUCT(($D$10:$L$10&lt;&gt;"")*(($D$9:$L$9+INT(($S$12:$AA$12+INDEX($AJ$13:$AR$162,BN2239,0)+INDEX($AT$13:$BB$162,BO2239,0)+INDEX($BD$13:$BL$162,BP2239,0))/100))&gt;=$D$10:$L$10)),0)</f>
        <v/>
      </c>
      <c r="BR2239">
        <f>IF(2226&lt;$U$9,SUMPRODUCT(($D$10:$L$10&lt;&gt;"")*(($D$10:$L$10-($D$9:$L$9+INT(($S$12:$AA$12+INDEX($AJ$13:$AR$162,BN2239,0)+INDEX($AT$13:$BB$162,BO2239,0)+INDEX($BD$13:$BL$162,BP2239,0))/100)))&gt;0)*($D$10:$L$10-($D$9:$L$9+INT(($S$12:$AA$12+INDEX($AJ$13:$AR$162,BN2239,0)+INDEX($AT$13:$BB$162,BO2239,0)+INDEX($BD$13:$BL$162,BP2239,0))/100)))),0)</f>
        <v/>
      </c>
      <c r="BS2239">
        <f>IF(2226&lt;$U$9,SUMPRODUCT(($D$9:$L$9+INT(($S$12:$AA$12+INDEX($AJ$13:$AR$162,BN2239,0)+INDEX($AT$13:$BB$162,BO2239,0)+INDEX($BD$13:$BL$162,BP2239,0))/100))),0)</f>
        <v/>
      </c>
      <c r="BT2239">
        <f>IF(AND(2226&lt;$U$9,$W$5),BQ2239*1000000-MIN(BR2239,999)*1000+BS2239-2226/100000,-1000000000-2226)</f>
        <v/>
      </c>
    </row>
    <row r="2240">
      <c r="BN2240">
        <f>IF(2227&lt;$U$9,INT(2227/($U$7*$U$8))+1,1)</f>
        <v/>
      </c>
      <c r="BO2240">
        <f>IF(2227&lt;$U$9,MOD(INT(2227/$U$8),$U$7)+1,1)</f>
        <v/>
      </c>
      <c r="BP2240">
        <f>IF(2227&lt;$U$9,MOD(2227,$U$8)+1,1)</f>
        <v/>
      </c>
      <c r="BQ2240">
        <f>IF(2227&lt;$U$9,SUMPRODUCT(($D$10:$L$10&lt;&gt;"")*(($D$9:$L$9+INT(($S$12:$AA$12+INDEX($AJ$13:$AR$162,BN2240,0)+INDEX($AT$13:$BB$162,BO2240,0)+INDEX($BD$13:$BL$162,BP2240,0))/100))&gt;=$D$10:$L$10)),0)</f>
        <v/>
      </c>
      <c r="BR2240">
        <f>IF(2227&lt;$U$9,SUMPRODUCT(($D$10:$L$10&lt;&gt;"")*(($D$10:$L$10-($D$9:$L$9+INT(($S$12:$AA$12+INDEX($AJ$13:$AR$162,BN2240,0)+INDEX($AT$13:$BB$162,BO2240,0)+INDEX($BD$13:$BL$162,BP2240,0))/100)))&gt;0)*($D$10:$L$10-($D$9:$L$9+INT(($S$12:$AA$12+INDEX($AJ$13:$AR$162,BN2240,0)+INDEX($AT$13:$BB$162,BO2240,0)+INDEX($BD$13:$BL$162,BP2240,0))/100)))),0)</f>
        <v/>
      </c>
      <c r="BS2240">
        <f>IF(2227&lt;$U$9,SUMPRODUCT(($D$9:$L$9+INT(($S$12:$AA$12+INDEX($AJ$13:$AR$162,BN2240,0)+INDEX($AT$13:$BB$162,BO2240,0)+INDEX($BD$13:$BL$162,BP2240,0))/100))),0)</f>
        <v/>
      </c>
      <c r="BT2240">
        <f>IF(AND(2227&lt;$U$9,$W$5),BQ2240*1000000-MIN(BR2240,999)*1000+BS2240-2227/100000,-1000000000-2227)</f>
        <v/>
      </c>
    </row>
    <row r="2241">
      <c r="BN2241">
        <f>IF(2228&lt;$U$9,INT(2228/($U$7*$U$8))+1,1)</f>
        <v/>
      </c>
      <c r="BO2241">
        <f>IF(2228&lt;$U$9,MOD(INT(2228/$U$8),$U$7)+1,1)</f>
        <v/>
      </c>
      <c r="BP2241">
        <f>IF(2228&lt;$U$9,MOD(2228,$U$8)+1,1)</f>
        <v/>
      </c>
      <c r="BQ2241">
        <f>IF(2228&lt;$U$9,SUMPRODUCT(($D$10:$L$10&lt;&gt;"")*(($D$9:$L$9+INT(($S$12:$AA$12+INDEX($AJ$13:$AR$162,BN2241,0)+INDEX($AT$13:$BB$162,BO2241,0)+INDEX($BD$13:$BL$162,BP2241,0))/100))&gt;=$D$10:$L$10)),0)</f>
        <v/>
      </c>
      <c r="BR2241">
        <f>IF(2228&lt;$U$9,SUMPRODUCT(($D$10:$L$10&lt;&gt;"")*(($D$10:$L$10-($D$9:$L$9+INT(($S$12:$AA$12+INDEX($AJ$13:$AR$162,BN2241,0)+INDEX($AT$13:$BB$162,BO2241,0)+INDEX($BD$13:$BL$162,BP2241,0))/100)))&gt;0)*($D$10:$L$10-($D$9:$L$9+INT(($S$12:$AA$12+INDEX($AJ$13:$AR$162,BN2241,0)+INDEX($AT$13:$BB$162,BO2241,0)+INDEX($BD$13:$BL$162,BP2241,0))/100)))),0)</f>
        <v/>
      </c>
      <c r="BS2241">
        <f>IF(2228&lt;$U$9,SUMPRODUCT(($D$9:$L$9+INT(($S$12:$AA$12+INDEX($AJ$13:$AR$162,BN2241,0)+INDEX($AT$13:$BB$162,BO2241,0)+INDEX($BD$13:$BL$162,BP2241,0))/100))),0)</f>
        <v/>
      </c>
      <c r="BT2241">
        <f>IF(AND(2228&lt;$U$9,$W$5),BQ2241*1000000-MIN(BR2241,999)*1000+BS2241-2228/100000,-1000000000-2228)</f>
        <v/>
      </c>
    </row>
    <row r="2242">
      <c r="BN2242">
        <f>IF(2229&lt;$U$9,INT(2229/($U$7*$U$8))+1,1)</f>
        <v/>
      </c>
      <c r="BO2242">
        <f>IF(2229&lt;$U$9,MOD(INT(2229/$U$8),$U$7)+1,1)</f>
        <v/>
      </c>
      <c r="BP2242">
        <f>IF(2229&lt;$U$9,MOD(2229,$U$8)+1,1)</f>
        <v/>
      </c>
      <c r="BQ2242">
        <f>IF(2229&lt;$U$9,SUMPRODUCT(($D$10:$L$10&lt;&gt;"")*(($D$9:$L$9+INT(($S$12:$AA$12+INDEX($AJ$13:$AR$162,BN2242,0)+INDEX($AT$13:$BB$162,BO2242,0)+INDEX($BD$13:$BL$162,BP2242,0))/100))&gt;=$D$10:$L$10)),0)</f>
        <v/>
      </c>
      <c r="BR2242">
        <f>IF(2229&lt;$U$9,SUMPRODUCT(($D$10:$L$10&lt;&gt;"")*(($D$10:$L$10-($D$9:$L$9+INT(($S$12:$AA$12+INDEX($AJ$13:$AR$162,BN2242,0)+INDEX($AT$13:$BB$162,BO2242,0)+INDEX($BD$13:$BL$162,BP2242,0))/100)))&gt;0)*($D$10:$L$10-($D$9:$L$9+INT(($S$12:$AA$12+INDEX($AJ$13:$AR$162,BN2242,0)+INDEX($AT$13:$BB$162,BO2242,0)+INDEX($BD$13:$BL$162,BP2242,0))/100)))),0)</f>
        <v/>
      </c>
      <c r="BS2242">
        <f>IF(2229&lt;$U$9,SUMPRODUCT(($D$9:$L$9+INT(($S$12:$AA$12+INDEX($AJ$13:$AR$162,BN2242,0)+INDEX($AT$13:$BB$162,BO2242,0)+INDEX($BD$13:$BL$162,BP2242,0))/100))),0)</f>
        <v/>
      </c>
      <c r="BT2242">
        <f>IF(AND(2229&lt;$U$9,$W$5),BQ2242*1000000-MIN(BR2242,999)*1000+BS2242-2229/100000,-1000000000-2229)</f>
        <v/>
      </c>
    </row>
    <row r="2243">
      <c r="BN2243">
        <f>IF(2230&lt;$U$9,INT(2230/($U$7*$U$8))+1,1)</f>
        <v/>
      </c>
      <c r="BO2243">
        <f>IF(2230&lt;$U$9,MOD(INT(2230/$U$8),$U$7)+1,1)</f>
        <v/>
      </c>
      <c r="BP2243">
        <f>IF(2230&lt;$U$9,MOD(2230,$U$8)+1,1)</f>
        <v/>
      </c>
      <c r="BQ2243">
        <f>IF(2230&lt;$U$9,SUMPRODUCT(($D$10:$L$10&lt;&gt;"")*(($D$9:$L$9+INT(($S$12:$AA$12+INDEX($AJ$13:$AR$162,BN2243,0)+INDEX($AT$13:$BB$162,BO2243,0)+INDEX($BD$13:$BL$162,BP2243,0))/100))&gt;=$D$10:$L$10)),0)</f>
        <v/>
      </c>
      <c r="BR2243">
        <f>IF(2230&lt;$U$9,SUMPRODUCT(($D$10:$L$10&lt;&gt;"")*(($D$10:$L$10-($D$9:$L$9+INT(($S$12:$AA$12+INDEX($AJ$13:$AR$162,BN2243,0)+INDEX($AT$13:$BB$162,BO2243,0)+INDEX($BD$13:$BL$162,BP2243,0))/100)))&gt;0)*($D$10:$L$10-($D$9:$L$9+INT(($S$12:$AA$12+INDEX($AJ$13:$AR$162,BN2243,0)+INDEX($AT$13:$BB$162,BO2243,0)+INDEX($BD$13:$BL$162,BP2243,0))/100)))),0)</f>
        <v/>
      </c>
      <c r="BS2243">
        <f>IF(2230&lt;$U$9,SUMPRODUCT(($D$9:$L$9+INT(($S$12:$AA$12+INDEX($AJ$13:$AR$162,BN2243,0)+INDEX($AT$13:$BB$162,BO2243,0)+INDEX($BD$13:$BL$162,BP2243,0))/100))),0)</f>
        <v/>
      </c>
      <c r="BT2243">
        <f>IF(AND(2230&lt;$U$9,$W$5),BQ2243*1000000-MIN(BR2243,999)*1000+BS2243-2230/100000,-1000000000-2230)</f>
        <v/>
      </c>
    </row>
    <row r="2244">
      <c r="BN2244">
        <f>IF(2231&lt;$U$9,INT(2231/($U$7*$U$8))+1,1)</f>
        <v/>
      </c>
      <c r="BO2244">
        <f>IF(2231&lt;$U$9,MOD(INT(2231/$U$8),$U$7)+1,1)</f>
        <v/>
      </c>
      <c r="BP2244">
        <f>IF(2231&lt;$U$9,MOD(2231,$U$8)+1,1)</f>
        <v/>
      </c>
      <c r="BQ2244">
        <f>IF(2231&lt;$U$9,SUMPRODUCT(($D$10:$L$10&lt;&gt;"")*(($D$9:$L$9+INT(($S$12:$AA$12+INDEX($AJ$13:$AR$162,BN2244,0)+INDEX($AT$13:$BB$162,BO2244,0)+INDEX($BD$13:$BL$162,BP2244,0))/100))&gt;=$D$10:$L$10)),0)</f>
        <v/>
      </c>
      <c r="BR2244">
        <f>IF(2231&lt;$U$9,SUMPRODUCT(($D$10:$L$10&lt;&gt;"")*(($D$10:$L$10-($D$9:$L$9+INT(($S$12:$AA$12+INDEX($AJ$13:$AR$162,BN2244,0)+INDEX($AT$13:$BB$162,BO2244,0)+INDEX($BD$13:$BL$162,BP2244,0))/100)))&gt;0)*($D$10:$L$10-($D$9:$L$9+INT(($S$12:$AA$12+INDEX($AJ$13:$AR$162,BN2244,0)+INDEX($AT$13:$BB$162,BO2244,0)+INDEX($BD$13:$BL$162,BP2244,0))/100)))),0)</f>
        <v/>
      </c>
      <c r="BS2244">
        <f>IF(2231&lt;$U$9,SUMPRODUCT(($D$9:$L$9+INT(($S$12:$AA$12+INDEX($AJ$13:$AR$162,BN2244,0)+INDEX($AT$13:$BB$162,BO2244,0)+INDEX($BD$13:$BL$162,BP2244,0))/100))),0)</f>
        <v/>
      </c>
      <c r="BT2244">
        <f>IF(AND(2231&lt;$U$9,$W$5),BQ2244*1000000-MIN(BR2244,999)*1000+BS2244-2231/100000,-1000000000-2231)</f>
        <v/>
      </c>
    </row>
    <row r="2245">
      <c r="BN2245">
        <f>IF(2232&lt;$U$9,INT(2232/($U$7*$U$8))+1,1)</f>
        <v/>
      </c>
      <c r="BO2245">
        <f>IF(2232&lt;$U$9,MOD(INT(2232/$U$8),$U$7)+1,1)</f>
        <v/>
      </c>
      <c r="BP2245">
        <f>IF(2232&lt;$U$9,MOD(2232,$U$8)+1,1)</f>
        <v/>
      </c>
      <c r="BQ2245">
        <f>IF(2232&lt;$U$9,SUMPRODUCT(($D$10:$L$10&lt;&gt;"")*(($D$9:$L$9+INT(($S$12:$AA$12+INDEX($AJ$13:$AR$162,BN2245,0)+INDEX($AT$13:$BB$162,BO2245,0)+INDEX($BD$13:$BL$162,BP2245,0))/100))&gt;=$D$10:$L$10)),0)</f>
        <v/>
      </c>
      <c r="BR2245">
        <f>IF(2232&lt;$U$9,SUMPRODUCT(($D$10:$L$10&lt;&gt;"")*(($D$10:$L$10-($D$9:$L$9+INT(($S$12:$AA$12+INDEX($AJ$13:$AR$162,BN2245,0)+INDEX($AT$13:$BB$162,BO2245,0)+INDEX($BD$13:$BL$162,BP2245,0))/100)))&gt;0)*($D$10:$L$10-($D$9:$L$9+INT(($S$12:$AA$12+INDEX($AJ$13:$AR$162,BN2245,0)+INDEX($AT$13:$BB$162,BO2245,0)+INDEX($BD$13:$BL$162,BP2245,0))/100)))),0)</f>
        <v/>
      </c>
      <c r="BS2245">
        <f>IF(2232&lt;$U$9,SUMPRODUCT(($D$9:$L$9+INT(($S$12:$AA$12+INDEX($AJ$13:$AR$162,BN2245,0)+INDEX($AT$13:$BB$162,BO2245,0)+INDEX($BD$13:$BL$162,BP2245,0))/100))),0)</f>
        <v/>
      </c>
      <c r="BT2245">
        <f>IF(AND(2232&lt;$U$9,$W$5),BQ2245*1000000-MIN(BR2245,999)*1000+BS2245-2232/100000,-1000000000-2232)</f>
        <v/>
      </c>
    </row>
    <row r="2246">
      <c r="BN2246">
        <f>IF(2233&lt;$U$9,INT(2233/($U$7*$U$8))+1,1)</f>
        <v/>
      </c>
      <c r="BO2246">
        <f>IF(2233&lt;$U$9,MOD(INT(2233/$U$8),$U$7)+1,1)</f>
        <v/>
      </c>
      <c r="BP2246">
        <f>IF(2233&lt;$U$9,MOD(2233,$U$8)+1,1)</f>
        <v/>
      </c>
      <c r="BQ2246">
        <f>IF(2233&lt;$U$9,SUMPRODUCT(($D$10:$L$10&lt;&gt;"")*(($D$9:$L$9+INT(($S$12:$AA$12+INDEX($AJ$13:$AR$162,BN2246,0)+INDEX($AT$13:$BB$162,BO2246,0)+INDEX($BD$13:$BL$162,BP2246,0))/100))&gt;=$D$10:$L$10)),0)</f>
        <v/>
      </c>
      <c r="BR2246">
        <f>IF(2233&lt;$U$9,SUMPRODUCT(($D$10:$L$10&lt;&gt;"")*(($D$10:$L$10-($D$9:$L$9+INT(($S$12:$AA$12+INDEX($AJ$13:$AR$162,BN2246,0)+INDEX($AT$13:$BB$162,BO2246,0)+INDEX($BD$13:$BL$162,BP2246,0))/100)))&gt;0)*($D$10:$L$10-($D$9:$L$9+INT(($S$12:$AA$12+INDEX($AJ$13:$AR$162,BN2246,0)+INDEX($AT$13:$BB$162,BO2246,0)+INDEX($BD$13:$BL$162,BP2246,0))/100)))),0)</f>
        <v/>
      </c>
      <c r="BS2246">
        <f>IF(2233&lt;$U$9,SUMPRODUCT(($D$9:$L$9+INT(($S$12:$AA$12+INDEX($AJ$13:$AR$162,BN2246,0)+INDEX($AT$13:$BB$162,BO2246,0)+INDEX($BD$13:$BL$162,BP2246,0))/100))),0)</f>
        <v/>
      </c>
      <c r="BT2246">
        <f>IF(AND(2233&lt;$U$9,$W$5),BQ2246*1000000-MIN(BR2246,999)*1000+BS2246-2233/100000,-1000000000-2233)</f>
        <v/>
      </c>
    </row>
    <row r="2247">
      <c r="BN2247">
        <f>IF(2234&lt;$U$9,INT(2234/($U$7*$U$8))+1,1)</f>
        <v/>
      </c>
      <c r="BO2247">
        <f>IF(2234&lt;$U$9,MOD(INT(2234/$U$8),$U$7)+1,1)</f>
        <v/>
      </c>
      <c r="BP2247">
        <f>IF(2234&lt;$U$9,MOD(2234,$U$8)+1,1)</f>
        <v/>
      </c>
      <c r="BQ2247">
        <f>IF(2234&lt;$U$9,SUMPRODUCT(($D$10:$L$10&lt;&gt;"")*(($D$9:$L$9+INT(($S$12:$AA$12+INDEX($AJ$13:$AR$162,BN2247,0)+INDEX($AT$13:$BB$162,BO2247,0)+INDEX($BD$13:$BL$162,BP2247,0))/100))&gt;=$D$10:$L$10)),0)</f>
        <v/>
      </c>
      <c r="BR2247">
        <f>IF(2234&lt;$U$9,SUMPRODUCT(($D$10:$L$10&lt;&gt;"")*(($D$10:$L$10-($D$9:$L$9+INT(($S$12:$AA$12+INDEX($AJ$13:$AR$162,BN2247,0)+INDEX($AT$13:$BB$162,BO2247,0)+INDEX($BD$13:$BL$162,BP2247,0))/100)))&gt;0)*($D$10:$L$10-($D$9:$L$9+INT(($S$12:$AA$12+INDEX($AJ$13:$AR$162,BN2247,0)+INDEX($AT$13:$BB$162,BO2247,0)+INDEX($BD$13:$BL$162,BP2247,0))/100)))),0)</f>
        <v/>
      </c>
      <c r="BS2247">
        <f>IF(2234&lt;$U$9,SUMPRODUCT(($D$9:$L$9+INT(($S$12:$AA$12+INDEX($AJ$13:$AR$162,BN2247,0)+INDEX($AT$13:$BB$162,BO2247,0)+INDEX($BD$13:$BL$162,BP2247,0))/100))),0)</f>
        <v/>
      </c>
      <c r="BT2247">
        <f>IF(AND(2234&lt;$U$9,$W$5),BQ2247*1000000-MIN(BR2247,999)*1000+BS2247-2234/100000,-1000000000-2234)</f>
        <v/>
      </c>
    </row>
    <row r="2248">
      <c r="BN2248">
        <f>IF(2235&lt;$U$9,INT(2235/($U$7*$U$8))+1,1)</f>
        <v/>
      </c>
      <c r="BO2248">
        <f>IF(2235&lt;$U$9,MOD(INT(2235/$U$8),$U$7)+1,1)</f>
        <v/>
      </c>
      <c r="BP2248">
        <f>IF(2235&lt;$U$9,MOD(2235,$U$8)+1,1)</f>
        <v/>
      </c>
      <c r="BQ2248">
        <f>IF(2235&lt;$U$9,SUMPRODUCT(($D$10:$L$10&lt;&gt;"")*(($D$9:$L$9+INT(($S$12:$AA$12+INDEX($AJ$13:$AR$162,BN2248,0)+INDEX($AT$13:$BB$162,BO2248,0)+INDEX($BD$13:$BL$162,BP2248,0))/100))&gt;=$D$10:$L$10)),0)</f>
        <v/>
      </c>
      <c r="BR2248">
        <f>IF(2235&lt;$U$9,SUMPRODUCT(($D$10:$L$10&lt;&gt;"")*(($D$10:$L$10-($D$9:$L$9+INT(($S$12:$AA$12+INDEX($AJ$13:$AR$162,BN2248,0)+INDEX($AT$13:$BB$162,BO2248,0)+INDEX($BD$13:$BL$162,BP2248,0))/100)))&gt;0)*($D$10:$L$10-($D$9:$L$9+INT(($S$12:$AA$12+INDEX($AJ$13:$AR$162,BN2248,0)+INDEX($AT$13:$BB$162,BO2248,0)+INDEX($BD$13:$BL$162,BP2248,0))/100)))),0)</f>
        <v/>
      </c>
      <c r="BS2248">
        <f>IF(2235&lt;$U$9,SUMPRODUCT(($D$9:$L$9+INT(($S$12:$AA$12+INDEX($AJ$13:$AR$162,BN2248,0)+INDEX($AT$13:$BB$162,BO2248,0)+INDEX($BD$13:$BL$162,BP2248,0))/100))),0)</f>
        <v/>
      </c>
      <c r="BT2248">
        <f>IF(AND(2235&lt;$U$9,$W$5),BQ2248*1000000-MIN(BR2248,999)*1000+BS2248-2235/100000,-1000000000-2235)</f>
        <v/>
      </c>
    </row>
    <row r="2249">
      <c r="BN2249">
        <f>IF(2236&lt;$U$9,INT(2236/($U$7*$U$8))+1,1)</f>
        <v/>
      </c>
      <c r="BO2249">
        <f>IF(2236&lt;$U$9,MOD(INT(2236/$U$8),$U$7)+1,1)</f>
        <v/>
      </c>
      <c r="BP2249">
        <f>IF(2236&lt;$U$9,MOD(2236,$U$8)+1,1)</f>
        <v/>
      </c>
      <c r="BQ2249">
        <f>IF(2236&lt;$U$9,SUMPRODUCT(($D$10:$L$10&lt;&gt;"")*(($D$9:$L$9+INT(($S$12:$AA$12+INDEX($AJ$13:$AR$162,BN2249,0)+INDEX($AT$13:$BB$162,BO2249,0)+INDEX($BD$13:$BL$162,BP2249,0))/100))&gt;=$D$10:$L$10)),0)</f>
        <v/>
      </c>
      <c r="BR2249">
        <f>IF(2236&lt;$U$9,SUMPRODUCT(($D$10:$L$10&lt;&gt;"")*(($D$10:$L$10-($D$9:$L$9+INT(($S$12:$AA$12+INDEX($AJ$13:$AR$162,BN2249,0)+INDEX($AT$13:$BB$162,BO2249,0)+INDEX($BD$13:$BL$162,BP2249,0))/100)))&gt;0)*($D$10:$L$10-($D$9:$L$9+INT(($S$12:$AA$12+INDEX($AJ$13:$AR$162,BN2249,0)+INDEX($AT$13:$BB$162,BO2249,0)+INDEX($BD$13:$BL$162,BP2249,0))/100)))),0)</f>
        <v/>
      </c>
      <c r="BS2249">
        <f>IF(2236&lt;$U$9,SUMPRODUCT(($D$9:$L$9+INT(($S$12:$AA$12+INDEX($AJ$13:$AR$162,BN2249,0)+INDEX($AT$13:$BB$162,BO2249,0)+INDEX($BD$13:$BL$162,BP2249,0))/100))),0)</f>
        <v/>
      </c>
      <c r="BT2249">
        <f>IF(AND(2236&lt;$U$9,$W$5),BQ2249*1000000-MIN(BR2249,999)*1000+BS2249-2236/100000,-1000000000-2236)</f>
        <v/>
      </c>
    </row>
    <row r="2250">
      <c r="BN2250">
        <f>IF(2237&lt;$U$9,INT(2237/($U$7*$U$8))+1,1)</f>
        <v/>
      </c>
      <c r="BO2250">
        <f>IF(2237&lt;$U$9,MOD(INT(2237/$U$8),$U$7)+1,1)</f>
        <v/>
      </c>
      <c r="BP2250">
        <f>IF(2237&lt;$U$9,MOD(2237,$U$8)+1,1)</f>
        <v/>
      </c>
      <c r="BQ2250">
        <f>IF(2237&lt;$U$9,SUMPRODUCT(($D$10:$L$10&lt;&gt;"")*(($D$9:$L$9+INT(($S$12:$AA$12+INDEX($AJ$13:$AR$162,BN2250,0)+INDEX($AT$13:$BB$162,BO2250,0)+INDEX($BD$13:$BL$162,BP2250,0))/100))&gt;=$D$10:$L$10)),0)</f>
        <v/>
      </c>
      <c r="BR2250">
        <f>IF(2237&lt;$U$9,SUMPRODUCT(($D$10:$L$10&lt;&gt;"")*(($D$10:$L$10-($D$9:$L$9+INT(($S$12:$AA$12+INDEX($AJ$13:$AR$162,BN2250,0)+INDEX($AT$13:$BB$162,BO2250,0)+INDEX($BD$13:$BL$162,BP2250,0))/100)))&gt;0)*($D$10:$L$10-($D$9:$L$9+INT(($S$12:$AA$12+INDEX($AJ$13:$AR$162,BN2250,0)+INDEX($AT$13:$BB$162,BO2250,0)+INDEX($BD$13:$BL$162,BP2250,0))/100)))),0)</f>
        <v/>
      </c>
      <c r="BS2250">
        <f>IF(2237&lt;$U$9,SUMPRODUCT(($D$9:$L$9+INT(($S$12:$AA$12+INDEX($AJ$13:$AR$162,BN2250,0)+INDEX($AT$13:$BB$162,BO2250,0)+INDEX($BD$13:$BL$162,BP2250,0))/100))),0)</f>
        <v/>
      </c>
      <c r="BT2250">
        <f>IF(AND(2237&lt;$U$9,$W$5),BQ2250*1000000-MIN(BR2250,999)*1000+BS2250-2237/100000,-1000000000-2237)</f>
        <v/>
      </c>
    </row>
    <row r="2251">
      <c r="BN2251">
        <f>IF(2238&lt;$U$9,INT(2238/($U$7*$U$8))+1,1)</f>
        <v/>
      </c>
      <c r="BO2251">
        <f>IF(2238&lt;$U$9,MOD(INT(2238/$U$8),$U$7)+1,1)</f>
        <v/>
      </c>
      <c r="BP2251">
        <f>IF(2238&lt;$U$9,MOD(2238,$U$8)+1,1)</f>
        <v/>
      </c>
      <c r="BQ2251">
        <f>IF(2238&lt;$U$9,SUMPRODUCT(($D$10:$L$10&lt;&gt;"")*(($D$9:$L$9+INT(($S$12:$AA$12+INDEX($AJ$13:$AR$162,BN2251,0)+INDEX($AT$13:$BB$162,BO2251,0)+INDEX($BD$13:$BL$162,BP2251,0))/100))&gt;=$D$10:$L$10)),0)</f>
        <v/>
      </c>
      <c r="BR2251">
        <f>IF(2238&lt;$U$9,SUMPRODUCT(($D$10:$L$10&lt;&gt;"")*(($D$10:$L$10-($D$9:$L$9+INT(($S$12:$AA$12+INDEX($AJ$13:$AR$162,BN2251,0)+INDEX($AT$13:$BB$162,BO2251,0)+INDEX($BD$13:$BL$162,BP2251,0))/100)))&gt;0)*($D$10:$L$10-($D$9:$L$9+INT(($S$12:$AA$12+INDEX($AJ$13:$AR$162,BN2251,0)+INDEX($AT$13:$BB$162,BO2251,0)+INDEX($BD$13:$BL$162,BP2251,0))/100)))),0)</f>
        <v/>
      </c>
      <c r="BS2251">
        <f>IF(2238&lt;$U$9,SUMPRODUCT(($D$9:$L$9+INT(($S$12:$AA$12+INDEX($AJ$13:$AR$162,BN2251,0)+INDEX($AT$13:$BB$162,BO2251,0)+INDEX($BD$13:$BL$162,BP2251,0))/100))),0)</f>
        <v/>
      </c>
      <c r="BT2251">
        <f>IF(AND(2238&lt;$U$9,$W$5),BQ2251*1000000-MIN(BR2251,999)*1000+BS2251-2238/100000,-1000000000-2238)</f>
        <v/>
      </c>
    </row>
    <row r="2252">
      <c r="BN2252">
        <f>IF(2239&lt;$U$9,INT(2239/($U$7*$U$8))+1,1)</f>
        <v/>
      </c>
      <c r="BO2252">
        <f>IF(2239&lt;$U$9,MOD(INT(2239/$U$8),$U$7)+1,1)</f>
        <v/>
      </c>
      <c r="BP2252">
        <f>IF(2239&lt;$U$9,MOD(2239,$U$8)+1,1)</f>
        <v/>
      </c>
      <c r="BQ2252">
        <f>IF(2239&lt;$U$9,SUMPRODUCT(($D$10:$L$10&lt;&gt;"")*(($D$9:$L$9+INT(($S$12:$AA$12+INDEX($AJ$13:$AR$162,BN2252,0)+INDEX($AT$13:$BB$162,BO2252,0)+INDEX($BD$13:$BL$162,BP2252,0))/100))&gt;=$D$10:$L$10)),0)</f>
        <v/>
      </c>
      <c r="BR2252">
        <f>IF(2239&lt;$U$9,SUMPRODUCT(($D$10:$L$10&lt;&gt;"")*(($D$10:$L$10-($D$9:$L$9+INT(($S$12:$AA$12+INDEX($AJ$13:$AR$162,BN2252,0)+INDEX($AT$13:$BB$162,BO2252,0)+INDEX($BD$13:$BL$162,BP2252,0))/100)))&gt;0)*($D$10:$L$10-($D$9:$L$9+INT(($S$12:$AA$12+INDEX($AJ$13:$AR$162,BN2252,0)+INDEX($AT$13:$BB$162,BO2252,0)+INDEX($BD$13:$BL$162,BP2252,0))/100)))),0)</f>
        <v/>
      </c>
      <c r="BS2252">
        <f>IF(2239&lt;$U$9,SUMPRODUCT(($D$9:$L$9+INT(($S$12:$AA$12+INDEX($AJ$13:$AR$162,BN2252,0)+INDEX($AT$13:$BB$162,BO2252,0)+INDEX($BD$13:$BL$162,BP2252,0))/100))),0)</f>
        <v/>
      </c>
      <c r="BT2252">
        <f>IF(AND(2239&lt;$U$9,$W$5),BQ2252*1000000-MIN(BR2252,999)*1000+BS2252-2239/100000,-1000000000-2239)</f>
        <v/>
      </c>
    </row>
    <row r="2253">
      <c r="BN2253">
        <f>IF(2240&lt;$U$9,INT(2240/($U$7*$U$8))+1,1)</f>
        <v/>
      </c>
      <c r="BO2253">
        <f>IF(2240&lt;$U$9,MOD(INT(2240/$U$8),$U$7)+1,1)</f>
        <v/>
      </c>
      <c r="BP2253">
        <f>IF(2240&lt;$U$9,MOD(2240,$U$8)+1,1)</f>
        <v/>
      </c>
      <c r="BQ2253">
        <f>IF(2240&lt;$U$9,SUMPRODUCT(($D$10:$L$10&lt;&gt;"")*(($D$9:$L$9+INT(($S$12:$AA$12+INDEX($AJ$13:$AR$162,BN2253,0)+INDEX($AT$13:$BB$162,BO2253,0)+INDEX($BD$13:$BL$162,BP2253,0))/100))&gt;=$D$10:$L$10)),0)</f>
        <v/>
      </c>
      <c r="BR2253">
        <f>IF(2240&lt;$U$9,SUMPRODUCT(($D$10:$L$10&lt;&gt;"")*(($D$10:$L$10-($D$9:$L$9+INT(($S$12:$AA$12+INDEX($AJ$13:$AR$162,BN2253,0)+INDEX($AT$13:$BB$162,BO2253,0)+INDEX($BD$13:$BL$162,BP2253,0))/100)))&gt;0)*($D$10:$L$10-($D$9:$L$9+INT(($S$12:$AA$12+INDEX($AJ$13:$AR$162,BN2253,0)+INDEX($AT$13:$BB$162,BO2253,0)+INDEX($BD$13:$BL$162,BP2253,0))/100)))),0)</f>
        <v/>
      </c>
      <c r="BS2253">
        <f>IF(2240&lt;$U$9,SUMPRODUCT(($D$9:$L$9+INT(($S$12:$AA$12+INDEX($AJ$13:$AR$162,BN2253,0)+INDEX($AT$13:$BB$162,BO2253,0)+INDEX($BD$13:$BL$162,BP2253,0))/100))),0)</f>
        <v/>
      </c>
      <c r="BT2253">
        <f>IF(AND(2240&lt;$U$9,$W$5),BQ2253*1000000-MIN(BR2253,999)*1000+BS2253-2240/100000,-1000000000-2240)</f>
        <v/>
      </c>
    </row>
    <row r="2254">
      <c r="BN2254">
        <f>IF(2241&lt;$U$9,INT(2241/($U$7*$U$8))+1,1)</f>
        <v/>
      </c>
      <c r="BO2254">
        <f>IF(2241&lt;$U$9,MOD(INT(2241/$U$8),$U$7)+1,1)</f>
        <v/>
      </c>
      <c r="BP2254">
        <f>IF(2241&lt;$U$9,MOD(2241,$U$8)+1,1)</f>
        <v/>
      </c>
      <c r="BQ2254">
        <f>IF(2241&lt;$U$9,SUMPRODUCT(($D$10:$L$10&lt;&gt;"")*(($D$9:$L$9+INT(($S$12:$AA$12+INDEX($AJ$13:$AR$162,BN2254,0)+INDEX($AT$13:$BB$162,BO2254,0)+INDEX($BD$13:$BL$162,BP2254,0))/100))&gt;=$D$10:$L$10)),0)</f>
        <v/>
      </c>
      <c r="BR2254">
        <f>IF(2241&lt;$U$9,SUMPRODUCT(($D$10:$L$10&lt;&gt;"")*(($D$10:$L$10-($D$9:$L$9+INT(($S$12:$AA$12+INDEX($AJ$13:$AR$162,BN2254,0)+INDEX($AT$13:$BB$162,BO2254,0)+INDEX($BD$13:$BL$162,BP2254,0))/100)))&gt;0)*($D$10:$L$10-($D$9:$L$9+INT(($S$12:$AA$12+INDEX($AJ$13:$AR$162,BN2254,0)+INDEX($AT$13:$BB$162,BO2254,0)+INDEX($BD$13:$BL$162,BP2254,0))/100)))),0)</f>
        <v/>
      </c>
      <c r="BS2254">
        <f>IF(2241&lt;$U$9,SUMPRODUCT(($D$9:$L$9+INT(($S$12:$AA$12+INDEX($AJ$13:$AR$162,BN2254,0)+INDEX($AT$13:$BB$162,BO2254,0)+INDEX($BD$13:$BL$162,BP2254,0))/100))),0)</f>
        <v/>
      </c>
      <c r="BT2254">
        <f>IF(AND(2241&lt;$U$9,$W$5),BQ2254*1000000-MIN(BR2254,999)*1000+BS2254-2241/100000,-1000000000-2241)</f>
        <v/>
      </c>
    </row>
    <row r="2255">
      <c r="BN2255">
        <f>IF(2242&lt;$U$9,INT(2242/($U$7*$U$8))+1,1)</f>
        <v/>
      </c>
      <c r="BO2255">
        <f>IF(2242&lt;$U$9,MOD(INT(2242/$U$8),$U$7)+1,1)</f>
        <v/>
      </c>
      <c r="BP2255">
        <f>IF(2242&lt;$U$9,MOD(2242,$U$8)+1,1)</f>
        <v/>
      </c>
      <c r="BQ2255">
        <f>IF(2242&lt;$U$9,SUMPRODUCT(($D$10:$L$10&lt;&gt;"")*(($D$9:$L$9+INT(($S$12:$AA$12+INDEX($AJ$13:$AR$162,BN2255,0)+INDEX($AT$13:$BB$162,BO2255,0)+INDEX($BD$13:$BL$162,BP2255,0))/100))&gt;=$D$10:$L$10)),0)</f>
        <v/>
      </c>
      <c r="BR2255">
        <f>IF(2242&lt;$U$9,SUMPRODUCT(($D$10:$L$10&lt;&gt;"")*(($D$10:$L$10-($D$9:$L$9+INT(($S$12:$AA$12+INDEX($AJ$13:$AR$162,BN2255,0)+INDEX($AT$13:$BB$162,BO2255,0)+INDEX($BD$13:$BL$162,BP2255,0))/100)))&gt;0)*($D$10:$L$10-($D$9:$L$9+INT(($S$12:$AA$12+INDEX($AJ$13:$AR$162,BN2255,0)+INDEX($AT$13:$BB$162,BO2255,0)+INDEX($BD$13:$BL$162,BP2255,0))/100)))),0)</f>
        <v/>
      </c>
      <c r="BS2255">
        <f>IF(2242&lt;$U$9,SUMPRODUCT(($D$9:$L$9+INT(($S$12:$AA$12+INDEX($AJ$13:$AR$162,BN2255,0)+INDEX($AT$13:$BB$162,BO2255,0)+INDEX($BD$13:$BL$162,BP2255,0))/100))),0)</f>
        <v/>
      </c>
      <c r="BT2255">
        <f>IF(AND(2242&lt;$U$9,$W$5),BQ2255*1000000-MIN(BR2255,999)*1000+BS2255-2242/100000,-1000000000-2242)</f>
        <v/>
      </c>
    </row>
    <row r="2256">
      <c r="BN2256">
        <f>IF(2243&lt;$U$9,INT(2243/($U$7*$U$8))+1,1)</f>
        <v/>
      </c>
      <c r="BO2256">
        <f>IF(2243&lt;$U$9,MOD(INT(2243/$U$8),$U$7)+1,1)</f>
        <v/>
      </c>
      <c r="BP2256">
        <f>IF(2243&lt;$U$9,MOD(2243,$U$8)+1,1)</f>
        <v/>
      </c>
      <c r="BQ2256">
        <f>IF(2243&lt;$U$9,SUMPRODUCT(($D$10:$L$10&lt;&gt;"")*(($D$9:$L$9+INT(($S$12:$AA$12+INDEX($AJ$13:$AR$162,BN2256,0)+INDEX($AT$13:$BB$162,BO2256,0)+INDEX($BD$13:$BL$162,BP2256,0))/100))&gt;=$D$10:$L$10)),0)</f>
        <v/>
      </c>
      <c r="BR2256">
        <f>IF(2243&lt;$U$9,SUMPRODUCT(($D$10:$L$10&lt;&gt;"")*(($D$10:$L$10-($D$9:$L$9+INT(($S$12:$AA$12+INDEX($AJ$13:$AR$162,BN2256,0)+INDEX($AT$13:$BB$162,BO2256,0)+INDEX($BD$13:$BL$162,BP2256,0))/100)))&gt;0)*($D$10:$L$10-($D$9:$L$9+INT(($S$12:$AA$12+INDEX($AJ$13:$AR$162,BN2256,0)+INDEX($AT$13:$BB$162,BO2256,0)+INDEX($BD$13:$BL$162,BP2256,0))/100)))),0)</f>
        <v/>
      </c>
      <c r="BS2256">
        <f>IF(2243&lt;$U$9,SUMPRODUCT(($D$9:$L$9+INT(($S$12:$AA$12+INDEX($AJ$13:$AR$162,BN2256,0)+INDEX($AT$13:$BB$162,BO2256,0)+INDEX($BD$13:$BL$162,BP2256,0))/100))),0)</f>
        <v/>
      </c>
      <c r="BT2256">
        <f>IF(AND(2243&lt;$U$9,$W$5),BQ2256*1000000-MIN(BR2256,999)*1000+BS2256-2243/100000,-1000000000-2243)</f>
        <v/>
      </c>
    </row>
    <row r="2257">
      <c r="BN2257">
        <f>IF(2244&lt;$U$9,INT(2244/($U$7*$U$8))+1,1)</f>
        <v/>
      </c>
      <c r="BO2257">
        <f>IF(2244&lt;$U$9,MOD(INT(2244/$U$8),$U$7)+1,1)</f>
        <v/>
      </c>
      <c r="BP2257">
        <f>IF(2244&lt;$U$9,MOD(2244,$U$8)+1,1)</f>
        <v/>
      </c>
      <c r="BQ2257">
        <f>IF(2244&lt;$U$9,SUMPRODUCT(($D$10:$L$10&lt;&gt;"")*(($D$9:$L$9+INT(($S$12:$AA$12+INDEX($AJ$13:$AR$162,BN2257,0)+INDEX($AT$13:$BB$162,BO2257,0)+INDEX($BD$13:$BL$162,BP2257,0))/100))&gt;=$D$10:$L$10)),0)</f>
        <v/>
      </c>
      <c r="BR2257">
        <f>IF(2244&lt;$U$9,SUMPRODUCT(($D$10:$L$10&lt;&gt;"")*(($D$10:$L$10-($D$9:$L$9+INT(($S$12:$AA$12+INDEX($AJ$13:$AR$162,BN2257,0)+INDEX($AT$13:$BB$162,BO2257,0)+INDEX($BD$13:$BL$162,BP2257,0))/100)))&gt;0)*($D$10:$L$10-($D$9:$L$9+INT(($S$12:$AA$12+INDEX($AJ$13:$AR$162,BN2257,0)+INDEX($AT$13:$BB$162,BO2257,0)+INDEX($BD$13:$BL$162,BP2257,0))/100)))),0)</f>
        <v/>
      </c>
      <c r="BS2257">
        <f>IF(2244&lt;$U$9,SUMPRODUCT(($D$9:$L$9+INT(($S$12:$AA$12+INDEX($AJ$13:$AR$162,BN2257,0)+INDEX($AT$13:$BB$162,BO2257,0)+INDEX($BD$13:$BL$162,BP2257,0))/100))),0)</f>
        <v/>
      </c>
      <c r="BT2257">
        <f>IF(AND(2244&lt;$U$9,$W$5),BQ2257*1000000-MIN(BR2257,999)*1000+BS2257-2244/100000,-1000000000-2244)</f>
        <v/>
      </c>
    </row>
    <row r="2258">
      <c r="BN2258">
        <f>IF(2245&lt;$U$9,INT(2245/($U$7*$U$8))+1,1)</f>
        <v/>
      </c>
      <c r="BO2258">
        <f>IF(2245&lt;$U$9,MOD(INT(2245/$U$8),$U$7)+1,1)</f>
        <v/>
      </c>
      <c r="BP2258">
        <f>IF(2245&lt;$U$9,MOD(2245,$U$8)+1,1)</f>
        <v/>
      </c>
      <c r="BQ2258">
        <f>IF(2245&lt;$U$9,SUMPRODUCT(($D$10:$L$10&lt;&gt;"")*(($D$9:$L$9+INT(($S$12:$AA$12+INDEX($AJ$13:$AR$162,BN2258,0)+INDEX($AT$13:$BB$162,BO2258,0)+INDEX($BD$13:$BL$162,BP2258,0))/100))&gt;=$D$10:$L$10)),0)</f>
        <v/>
      </c>
      <c r="BR2258">
        <f>IF(2245&lt;$U$9,SUMPRODUCT(($D$10:$L$10&lt;&gt;"")*(($D$10:$L$10-($D$9:$L$9+INT(($S$12:$AA$12+INDEX($AJ$13:$AR$162,BN2258,0)+INDEX($AT$13:$BB$162,BO2258,0)+INDEX($BD$13:$BL$162,BP2258,0))/100)))&gt;0)*($D$10:$L$10-($D$9:$L$9+INT(($S$12:$AA$12+INDEX($AJ$13:$AR$162,BN2258,0)+INDEX($AT$13:$BB$162,BO2258,0)+INDEX($BD$13:$BL$162,BP2258,0))/100)))),0)</f>
        <v/>
      </c>
      <c r="BS2258">
        <f>IF(2245&lt;$U$9,SUMPRODUCT(($D$9:$L$9+INT(($S$12:$AA$12+INDEX($AJ$13:$AR$162,BN2258,0)+INDEX($AT$13:$BB$162,BO2258,0)+INDEX($BD$13:$BL$162,BP2258,0))/100))),0)</f>
        <v/>
      </c>
      <c r="BT2258">
        <f>IF(AND(2245&lt;$U$9,$W$5),BQ2258*1000000-MIN(BR2258,999)*1000+BS2258-2245/100000,-1000000000-2245)</f>
        <v/>
      </c>
    </row>
    <row r="2259">
      <c r="BN2259">
        <f>IF(2246&lt;$U$9,INT(2246/($U$7*$U$8))+1,1)</f>
        <v/>
      </c>
      <c r="BO2259">
        <f>IF(2246&lt;$U$9,MOD(INT(2246/$U$8),$U$7)+1,1)</f>
        <v/>
      </c>
      <c r="BP2259">
        <f>IF(2246&lt;$U$9,MOD(2246,$U$8)+1,1)</f>
        <v/>
      </c>
      <c r="BQ2259">
        <f>IF(2246&lt;$U$9,SUMPRODUCT(($D$10:$L$10&lt;&gt;"")*(($D$9:$L$9+INT(($S$12:$AA$12+INDEX($AJ$13:$AR$162,BN2259,0)+INDEX($AT$13:$BB$162,BO2259,0)+INDEX($BD$13:$BL$162,BP2259,0))/100))&gt;=$D$10:$L$10)),0)</f>
        <v/>
      </c>
      <c r="BR2259">
        <f>IF(2246&lt;$U$9,SUMPRODUCT(($D$10:$L$10&lt;&gt;"")*(($D$10:$L$10-($D$9:$L$9+INT(($S$12:$AA$12+INDEX($AJ$13:$AR$162,BN2259,0)+INDEX($AT$13:$BB$162,BO2259,0)+INDEX($BD$13:$BL$162,BP2259,0))/100)))&gt;0)*($D$10:$L$10-($D$9:$L$9+INT(($S$12:$AA$12+INDEX($AJ$13:$AR$162,BN2259,0)+INDEX($AT$13:$BB$162,BO2259,0)+INDEX($BD$13:$BL$162,BP2259,0))/100)))),0)</f>
        <v/>
      </c>
      <c r="BS2259">
        <f>IF(2246&lt;$U$9,SUMPRODUCT(($D$9:$L$9+INT(($S$12:$AA$12+INDEX($AJ$13:$AR$162,BN2259,0)+INDEX($AT$13:$BB$162,BO2259,0)+INDEX($BD$13:$BL$162,BP2259,0))/100))),0)</f>
        <v/>
      </c>
      <c r="BT2259">
        <f>IF(AND(2246&lt;$U$9,$W$5),BQ2259*1000000-MIN(BR2259,999)*1000+BS2259-2246/100000,-1000000000-2246)</f>
        <v/>
      </c>
    </row>
    <row r="2260">
      <c r="BN2260">
        <f>IF(2247&lt;$U$9,INT(2247/($U$7*$U$8))+1,1)</f>
        <v/>
      </c>
      <c r="BO2260">
        <f>IF(2247&lt;$U$9,MOD(INT(2247/$U$8),$U$7)+1,1)</f>
        <v/>
      </c>
      <c r="BP2260">
        <f>IF(2247&lt;$U$9,MOD(2247,$U$8)+1,1)</f>
        <v/>
      </c>
      <c r="BQ2260">
        <f>IF(2247&lt;$U$9,SUMPRODUCT(($D$10:$L$10&lt;&gt;"")*(($D$9:$L$9+INT(($S$12:$AA$12+INDEX($AJ$13:$AR$162,BN2260,0)+INDEX($AT$13:$BB$162,BO2260,0)+INDEX($BD$13:$BL$162,BP2260,0))/100))&gt;=$D$10:$L$10)),0)</f>
        <v/>
      </c>
      <c r="BR2260">
        <f>IF(2247&lt;$U$9,SUMPRODUCT(($D$10:$L$10&lt;&gt;"")*(($D$10:$L$10-($D$9:$L$9+INT(($S$12:$AA$12+INDEX($AJ$13:$AR$162,BN2260,0)+INDEX($AT$13:$BB$162,BO2260,0)+INDEX($BD$13:$BL$162,BP2260,0))/100)))&gt;0)*($D$10:$L$10-($D$9:$L$9+INT(($S$12:$AA$12+INDEX($AJ$13:$AR$162,BN2260,0)+INDEX($AT$13:$BB$162,BO2260,0)+INDEX($BD$13:$BL$162,BP2260,0))/100)))),0)</f>
        <v/>
      </c>
      <c r="BS2260">
        <f>IF(2247&lt;$U$9,SUMPRODUCT(($D$9:$L$9+INT(($S$12:$AA$12+INDEX($AJ$13:$AR$162,BN2260,0)+INDEX($AT$13:$BB$162,BO2260,0)+INDEX($BD$13:$BL$162,BP2260,0))/100))),0)</f>
        <v/>
      </c>
      <c r="BT2260">
        <f>IF(AND(2247&lt;$U$9,$W$5),BQ2260*1000000-MIN(BR2260,999)*1000+BS2260-2247/100000,-1000000000-2247)</f>
        <v/>
      </c>
    </row>
    <row r="2261">
      <c r="BN2261">
        <f>IF(2248&lt;$U$9,INT(2248/($U$7*$U$8))+1,1)</f>
        <v/>
      </c>
      <c r="BO2261">
        <f>IF(2248&lt;$U$9,MOD(INT(2248/$U$8),$U$7)+1,1)</f>
        <v/>
      </c>
      <c r="BP2261">
        <f>IF(2248&lt;$U$9,MOD(2248,$U$8)+1,1)</f>
        <v/>
      </c>
      <c r="BQ2261">
        <f>IF(2248&lt;$U$9,SUMPRODUCT(($D$10:$L$10&lt;&gt;"")*(($D$9:$L$9+INT(($S$12:$AA$12+INDEX($AJ$13:$AR$162,BN2261,0)+INDEX($AT$13:$BB$162,BO2261,0)+INDEX($BD$13:$BL$162,BP2261,0))/100))&gt;=$D$10:$L$10)),0)</f>
        <v/>
      </c>
      <c r="BR2261">
        <f>IF(2248&lt;$U$9,SUMPRODUCT(($D$10:$L$10&lt;&gt;"")*(($D$10:$L$10-($D$9:$L$9+INT(($S$12:$AA$12+INDEX($AJ$13:$AR$162,BN2261,0)+INDEX($AT$13:$BB$162,BO2261,0)+INDEX($BD$13:$BL$162,BP2261,0))/100)))&gt;0)*($D$10:$L$10-($D$9:$L$9+INT(($S$12:$AA$12+INDEX($AJ$13:$AR$162,BN2261,0)+INDEX($AT$13:$BB$162,BO2261,0)+INDEX($BD$13:$BL$162,BP2261,0))/100)))),0)</f>
        <v/>
      </c>
      <c r="BS2261">
        <f>IF(2248&lt;$U$9,SUMPRODUCT(($D$9:$L$9+INT(($S$12:$AA$12+INDEX($AJ$13:$AR$162,BN2261,0)+INDEX($AT$13:$BB$162,BO2261,0)+INDEX($BD$13:$BL$162,BP2261,0))/100))),0)</f>
        <v/>
      </c>
      <c r="BT2261">
        <f>IF(AND(2248&lt;$U$9,$W$5),BQ2261*1000000-MIN(BR2261,999)*1000+BS2261-2248/100000,-1000000000-2248)</f>
        <v/>
      </c>
    </row>
    <row r="2262">
      <c r="BN2262">
        <f>IF(2249&lt;$U$9,INT(2249/($U$7*$U$8))+1,1)</f>
        <v/>
      </c>
      <c r="BO2262">
        <f>IF(2249&lt;$U$9,MOD(INT(2249/$U$8),$U$7)+1,1)</f>
        <v/>
      </c>
      <c r="BP2262">
        <f>IF(2249&lt;$U$9,MOD(2249,$U$8)+1,1)</f>
        <v/>
      </c>
      <c r="BQ2262">
        <f>IF(2249&lt;$U$9,SUMPRODUCT(($D$10:$L$10&lt;&gt;"")*(($D$9:$L$9+INT(($S$12:$AA$12+INDEX($AJ$13:$AR$162,BN2262,0)+INDEX($AT$13:$BB$162,BO2262,0)+INDEX($BD$13:$BL$162,BP2262,0))/100))&gt;=$D$10:$L$10)),0)</f>
        <v/>
      </c>
      <c r="BR2262">
        <f>IF(2249&lt;$U$9,SUMPRODUCT(($D$10:$L$10&lt;&gt;"")*(($D$10:$L$10-($D$9:$L$9+INT(($S$12:$AA$12+INDEX($AJ$13:$AR$162,BN2262,0)+INDEX($AT$13:$BB$162,BO2262,0)+INDEX($BD$13:$BL$162,BP2262,0))/100)))&gt;0)*($D$10:$L$10-($D$9:$L$9+INT(($S$12:$AA$12+INDEX($AJ$13:$AR$162,BN2262,0)+INDEX($AT$13:$BB$162,BO2262,0)+INDEX($BD$13:$BL$162,BP2262,0))/100)))),0)</f>
        <v/>
      </c>
      <c r="BS2262">
        <f>IF(2249&lt;$U$9,SUMPRODUCT(($D$9:$L$9+INT(($S$12:$AA$12+INDEX($AJ$13:$AR$162,BN2262,0)+INDEX($AT$13:$BB$162,BO2262,0)+INDEX($BD$13:$BL$162,BP2262,0))/100))),0)</f>
        <v/>
      </c>
      <c r="BT2262">
        <f>IF(AND(2249&lt;$U$9,$W$5),BQ2262*1000000-MIN(BR2262,999)*1000+BS2262-2249/100000,-1000000000-2249)</f>
        <v/>
      </c>
    </row>
    <row r="2263">
      <c r="BN2263">
        <f>IF(2250&lt;$U$9,INT(2250/($U$7*$U$8))+1,1)</f>
        <v/>
      </c>
      <c r="BO2263">
        <f>IF(2250&lt;$U$9,MOD(INT(2250/$U$8),$U$7)+1,1)</f>
        <v/>
      </c>
      <c r="BP2263">
        <f>IF(2250&lt;$U$9,MOD(2250,$U$8)+1,1)</f>
        <v/>
      </c>
      <c r="BQ2263">
        <f>IF(2250&lt;$U$9,SUMPRODUCT(($D$10:$L$10&lt;&gt;"")*(($D$9:$L$9+INT(($S$12:$AA$12+INDEX($AJ$13:$AR$162,BN2263,0)+INDEX($AT$13:$BB$162,BO2263,0)+INDEX($BD$13:$BL$162,BP2263,0))/100))&gt;=$D$10:$L$10)),0)</f>
        <v/>
      </c>
      <c r="BR2263">
        <f>IF(2250&lt;$U$9,SUMPRODUCT(($D$10:$L$10&lt;&gt;"")*(($D$10:$L$10-($D$9:$L$9+INT(($S$12:$AA$12+INDEX($AJ$13:$AR$162,BN2263,0)+INDEX($AT$13:$BB$162,BO2263,0)+INDEX($BD$13:$BL$162,BP2263,0))/100)))&gt;0)*($D$10:$L$10-($D$9:$L$9+INT(($S$12:$AA$12+INDEX($AJ$13:$AR$162,BN2263,0)+INDEX($AT$13:$BB$162,BO2263,0)+INDEX($BD$13:$BL$162,BP2263,0))/100)))),0)</f>
        <v/>
      </c>
      <c r="BS2263">
        <f>IF(2250&lt;$U$9,SUMPRODUCT(($D$9:$L$9+INT(($S$12:$AA$12+INDEX($AJ$13:$AR$162,BN2263,0)+INDEX($AT$13:$BB$162,BO2263,0)+INDEX($BD$13:$BL$162,BP2263,0))/100))),0)</f>
        <v/>
      </c>
      <c r="BT2263">
        <f>IF(AND(2250&lt;$U$9,$W$5),BQ2263*1000000-MIN(BR2263,999)*1000+BS2263-2250/100000,-1000000000-2250)</f>
        <v/>
      </c>
    </row>
    <row r="2264">
      <c r="BN2264">
        <f>IF(2251&lt;$U$9,INT(2251/($U$7*$U$8))+1,1)</f>
        <v/>
      </c>
      <c r="BO2264">
        <f>IF(2251&lt;$U$9,MOD(INT(2251/$U$8),$U$7)+1,1)</f>
        <v/>
      </c>
      <c r="BP2264">
        <f>IF(2251&lt;$U$9,MOD(2251,$U$8)+1,1)</f>
        <v/>
      </c>
      <c r="BQ2264">
        <f>IF(2251&lt;$U$9,SUMPRODUCT(($D$10:$L$10&lt;&gt;"")*(($D$9:$L$9+INT(($S$12:$AA$12+INDEX($AJ$13:$AR$162,BN2264,0)+INDEX($AT$13:$BB$162,BO2264,0)+INDEX($BD$13:$BL$162,BP2264,0))/100))&gt;=$D$10:$L$10)),0)</f>
        <v/>
      </c>
      <c r="BR2264">
        <f>IF(2251&lt;$U$9,SUMPRODUCT(($D$10:$L$10&lt;&gt;"")*(($D$10:$L$10-($D$9:$L$9+INT(($S$12:$AA$12+INDEX($AJ$13:$AR$162,BN2264,0)+INDEX($AT$13:$BB$162,BO2264,0)+INDEX($BD$13:$BL$162,BP2264,0))/100)))&gt;0)*($D$10:$L$10-($D$9:$L$9+INT(($S$12:$AA$12+INDEX($AJ$13:$AR$162,BN2264,0)+INDEX($AT$13:$BB$162,BO2264,0)+INDEX($BD$13:$BL$162,BP2264,0))/100)))),0)</f>
        <v/>
      </c>
      <c r="BS2264">
        <f>IF(2251&lt;$U$9,SUMPRODUCT(($D$9:$L$9+INT(($S$12:$AA$12+INDEX($AJ$13:$AR$162,BN2264,0)+INDEX($AT$13:$BB$162,BO2264,0)+INDEX($BD$13:$BL$162,BP2264,0))/100))),0)</f>
        <v/>
      </c>
      <c r="BT2264">
        <f>IF(AND(2251&lt;$U$9,$W$5),BQ2264*1000000-MIN(BR2264,999)*1000+BS2264-2251/100000,-1000000000-2251)</f>
        <v/>
      </c>
    </row>
    <row r="2265">
      <c r="BN2265">
        <f>IF(2252&lt;$U$9,INT(2252/($U$7*$U$8))+1,1)</f>
        <v/>
      </c>
      <c r="BO2265">
        <f>IF(2252&lt;$U$9,MOD(INT(2252/$U$8),$U$7)+1,1)</f>
        <v/>
      </c>
      <c r="BP2265">
        <f>IF(2252&lt;$U$9,MOD(2252,$U$8)+1,1)</f>
        <v/>
      </c>
      <c r="BQ2265">
        <f>IF(2252&lt;$U$9,SUMPRODUCT(($D$10:$L$10&lt;&gt;"")*(($D$9:$L$9+INT(($S$12:$AA$12+INDEX($AJ$13:$AR$162,BN2265,0)+INDEX($AT$13:$BB$162,BO2265,0)+INDEX($BD$13:$BL$162,BP2265,0))/100))&gt;=$D$10:$L$10)),0)</f>
        <v/>
      </c>
      <c r="BR2265">
        <f>IF(2252&lt;$U$9,SUMPRODUCT(($D$10:$L$10&lt;&gt;"")*(($D$10:$L$10-($D$9:$L$9+INT(($S$12:$AA$12+INDEX($AJ$13:$AR$162,BN2265,0)+INDEX($AT$13:$BB$162,BO2265,0)+INDEX($BD$13:$BL$162,BP2265,0))/100)))&gt;0)*($D$10:$L$10-($D$9:$L$9+INT(($S$12:$AA$12+INDEX($AJ$13:$AR$162,BN2265,0)+INDEX($AT$13:$BB$162,BO2265,0)+INDEX($BD$13:$BL$162,BP2265,0))/100)))),0)</f>
        <v/>
      </c>
      <c r="BS2265">
        <f>IF(2252&lt;$U$9,SUMPRODUCT(($D$9:$L$9+INT(($S$12:$AA$12+INDEX($AJ$13:$AR$162,BN2265,0)+INDEX($AT$13:$BB$162,BO2265,0)+INDEX($BD$13:$BL$162,BP2265,0))/100))),0)</f>
        <v/>
      </c>
      <c r="BT2265">
        <f>IF(AND(2252&lt;$U$9,$W$5),BQ2265*1000000-MIN(BR2265,999)*1000+BS2265-2252/100000,-1000000000-2252)</f>
        <v/>
      </c>
    </row>
    <row r="2266">
      <c r="BN2266">
        <f>IF(2253&lt;$U$9,INT(2253/($U$7*$U$8))+1,1)</f>
        <v/>
      </c>
      <c r="BO2266">
        <f>IF(2253&lt;$U$9,MOD(INT(2253/$U$8),$U$7)+1,1)</f>
        <v/>
      </c>
      <c r="BP2266">
        <f>IF(2253&lt;$U$9,MOD(2253,$U$8)+1,1)</f>
        <v/>
      </c>
      <c r="BQ2266">
        <f>IF(2253&lt;$U$9,SUMPRODUCT(($D$10:$L$10&lt;&gt;"")*(($D$9:$L$9+INT(($S$12:$AA$12+INDEX($AJ$13:$AR$162,BN2266,0)+INDEX($AT$13:$BB$162,BO2266,0)+INDEX($BD$13:$BL$162,BP2266,0))/100))&gt;=$D$10:$L$10)),0)</f>
        <v/>
      </c>
      <c r="BR2266">
        <f>IF(2253&lt;$U$9,SUMPRODUCT(($D$10:$L$10&lt;&gt;"")*(($D$10:$L$10-($D$9:$L$9+INT(($S$12:$AA$12+INDEX($AJ$13:$AR$162,BN2266,0)+INDEX($AT$13:$BB$162,BO2266,0)+INDEX($BD$13:$BL$162,BP2266,0))/100)))&gt;0)*($D$10:$L$10-($D$9:$L$9+INT(($S$12:$AA$12+INDEX($AJ$13:$AR$162,BN2266,0)+INDEX($AT$13:$BB$162,BO2266,0)+INDEX($BD$13:$BL$162,BP2266,0))/100)))),0)</f>
        <v/>
      </c>
      <c r="BS2266">
        <f>IF(2253&lt;$U$9,SUMPRODUCT(($D$9:$L$9+INT(($S$12:$AA$12+INDEX($AJ$13:$AR$162,BN2266,0)+INDEX($AT$13:$BB$162,BO2266,0)+INDEX($BD$13:$BL$162,BP2266,0))/100))),0)</f>
        <v/>
      </c>
      <c r="BT2266">
        <f>IF(AND(2253&lt;$U$9,$W$5),BQ2266*1000000-MIN(BR2266,999)*1000+BS2266-2253/100000,-1000000000-2253)</f>
        <v/>
      </c>
    </row>
    <row r="2267">
      <c r="BN2267">
        <f>IF(2254&lt;$U$9,INT(2254/($U$7*$U$8))+1,1)</f>
        <v/>
      </c>
      <c r="BO2267">
        <f>IF(2254&lt;$U$9,MOD(INT(2254/$U$8),$U$7)+1,1)</f>
        <v/>
      </c>
      <c r="BP2267">
        <f>IF(2254&lt;$U$9,MOD(2254,$U$8)+1,1)</f>
        <v/>
      </c>
      <c r="BQ2267">
        <f>IF(2254&lt;$U$9,SUMPRODUCT(($D$10:$L$10&lt;&gt;"")*(($D$9:$L$9+INT(($S$12:$AA$12+INDEX($AJ$13:$AR$162,BN2267,0)+INDEX($AT$13:$BB$162,BO2267,0)+INDEX($BD$13:$BL$162,BP2267,0))/100))&gt;=$D$10:$L$10)),0)</f>
        <v/>
      </c>
      <c r="BR2267">
        <f>IF(2254&lt;$U$9,SUMPRODUCT(($D$10:$L$10&lt;&gt;"")*(($D$10:$L$10-($D$9:$L$9+INT(($S$12:$AA$12+INDEX($AJ$13:$AR$162,BN2267,0)+INDEX($AT$13:$BB$162,BO2267,0)+INDEX($BD$13:$BL$162,BP2267,0))/100)))&gt;0)*($D$10:$L$10-($D$9:$L$9+INT(($S$12:$AA$12+INDEX($AJ$13:$AR$162,BN2267,0)+INDEX($AT$13:$BB$162,BO2267,0)+INDEX($BD$13:$BL$162,BP2267,0))/100)))),0)</f>
        <v/>
      </c>
      <c r="BS2267">
        <f>IF(2254&lt;$U$9,SUMPRODUCT(($D$9:$L$9+INT(($S$12:$AA$12+INDEX($AJ$13:$AR$162,BN2267,0)+INDEX($AT$13:$BB$162,BO2267,0)+INDEX($BD$13:$BL$162,BP2267,0))/100))),0)</f>
        <v/>
      </c>
      <c r="BT2267">
        <f>IF(AND(2254&lt;$U$9,$W$5),BQ2267*1000000-MIN(BR2267,999)*1000+BS2267-2254/100000,-1000000000-2254)</f>
        <v/>
      </c>
    </row>
    <row r="2268">
      <c r="BN2268">
        <f>IF(2255&lt;$U$9,INT(2255/($U$7*$U$8))+1,1)</f>
        <v/>
      </c>
      <c r="BO2268">
        <f>IF(2255&lt;$U$9,MOD(INT(2255/$U$8),$U$7)+1,1)</f>
        <v/>
      </c>
      <c r="BP2268">
        <f>IF(2255&lt;$U$9,MOD(2255,$U$8)+1,1)</f>
        <v/>
      </c>
      <c r="BQ2268">
        <f>IF(2255&lt;$U$9,SUMPRODUCT(($D$10:$L$10&lt;&gt;"")*(($D$9:$L$9+INT(($S$12:$AA$12+INDEX($AJ$13:$AR$162,BN2268,0)+INDEX($AT$13:$BB$162,BO2268,0)+INDEX($BD$13:$BL$162,BP2268,0))/100))&gt;=$D$10:$L$10)),0)</f>
        <v/>
      </c>
      <c r="BR2268">
        <f>IF(2255&lt;$U$9,SUMPRODUCT(($D$10:$L$10&lt;&gt;"")*(($D$10:$L$10-($D$9:$L$9+INT(($S$12:$AA$12+INDEX($AJ$13:$AR$162,BN2268,0)+INDEX($AT$13:$BB$162,BO2268,0)+INDEX($BD$13:$BL$162,BP2268,0))/100)))&gt;0)*($D$10:$L$10-($D$9:$L$9+INT(($S$12:$AA$12+INDEX($AJ$13:$AR$162,BN2268,0)+INDEX($AT$13:$BB$162,BO2268,0)+INDEX($BD$13:$BL$162,BP2268,0))/100)))),0)</f>
        <v/>
      </c>
      <c r="BS2268">
        <f>IF(2255&lt;$U$9,SUMPRODUCT(($D$9:$L$9+INT(($S$12:$AA$12+INDEX($AJ$13:$AR$162,BN2268,0)+INDEX($AT$13:$BB$162,BO2268,0)+INDEX($BD$13:$BL$162,BP2268,0))/100))),0)</f>
        <v/>
      </c>
      <c r="BT2268">
        <f>IF(AND(2255&lt;$U$9,$W$5),BQ2268*1000000-MIN(BR2268,999)*1000+BS2268-2255/100000,-1000000000-2255)</f>
        <v/>
      </c>
    </row>
    <row r="2269">
      <c r="BN2269">
        <f>IF(2256&lt;$U$9,INT(2256/($U$7*$U$8))+1,1)</f>
        <v/>
      </c>
      <c r="BO2269">
        <f>IF(2256&lt;$U$9,MOD(INT(2256/$U$8),$U$7)+1,1)</f>
        <v/>
      </c>
      <c r="BP2269">
        <f>IF(2256&lt;$U$9,MOD(2256,$U$8)+1,1)</f>
        <v/>
      </c>
      <c r="BQ2269">
        <f>IF(2256&lt;$U$9,SUMPRODUCT(($D$10:$L$10&lt;&gt;"")*(($D$9:$L$9+INT(($S$12:$AA$12+INDEX($AJ$13:$AR$162,BN2269,0)+INDEX($AT$13:$BB$162,BO2269,0)+INDEX($BD$13:$BL$162,BP2269,0))/100))&gt;=$D$10:$L$10)),0)</f>
        <v/>
      </c>
      <c r="BR2269">
        <f>IF(2256&lt;$U$9,SUMPRODUCT(($D$10:$L$10&lt;&gt;"")*(($D$10:$L$10-($D$9:$L$9+INT(($S$12:$AA$12+INDEX($AJ$13:$AR$162,BN2269,0)+INDEX($AT$13:$BB$162,BO2269,0)+INDEX($BD$13:$BL$162,BP2269,0))/100)))&gt;0)*($D$10:$L$10-($D$9:$L$9+INT(($S$12:$AA$12+INDEX($AJ$13:$AR$162,BN2269,0)+INDEX($AT$13:$BB$162,BO2269,0)+INDEX($BD$13:$BL$162,BP2269,0))/100)))),0)</f>
        <v/>
      </c>
      <c r="BS2269">
        <f>IF(2256&lt;$U$9,SUMPRODUCT(($D$9:$L$9+INT(($S$12:$AA$12+INDEX($AJ$13:$AR$162,BN2269,0)+INDEX($AT$13:$BB$162,BO2269,0)+INDEX($BD$13:$BL$162,BP2269,0))/100))),0)</f>
        <v/>
      </c>
      <c r="BT2269">
        <f>IF(AND(2256&lt;$U$9,$W$5),BQ2269*1000000-MIN(BR2269,999)*1000+BS2269-2256/100000,-1000000000-2256)</f>
        <v/>
      </c>
    </row>
    <row r="2270">
      <c r="BN2270">
        <f>IF(2257&lt;$U$9,INT(2257/($U$7*$U$8))+1,1)</f>
        <v/>
      </c>
      <c r="BO2270">
        <f>IF(2257&lt;$U$9,MOD(INT(2257/$U$8),$U$7)+1,1)</f>
        <v/>
      </c>
      <c r="BP2270">
        <f>IF(2257&lt;$U$9,MOD(2257,$U$8)+1,1)</f>
        <v/>
      </c>
      <c r="BQ2270">
        <f>IF(2257&lt;$U$9,SUMPRODUCT(($D$10:$L$10&lt;&gt;"")*(($D$9:$L$9+INT(($S$12:$AA$12+INDEX($AJ$13:$AR$162,BN2270,0)+INDEX($AT$13:$BB$162,BO2270,0)+INDEX($BD$13:$BL$162,BP2270,0))/100))&gt;=$D$10:$L$10)),0)</f>
        <v/>
      </c>
      <c r="BR2270">
        <f>IF(2257&lt;$U$9,SUMPRODUCT(($D$10:$L$10&lt;&gt;"")*(($D$10:$L$10-($D$9:$L$9+INT(($S$12:$AA$12+INDEX($AJ$13:$AR$162,BN2270,0)+INDEX($AT$13:$BB$162,BO2270,0)+INDEX($BD$13:$BL$162,BP2270,0))/100)))&gt;0)*($D$10:$L$10-($D$9:$L$9+INT(($S$12:$AA$12+INDEX($AJ$13:$AR$162,BN2270,0)+INDEX($AT$13:$BB$162,BO2270,0)+INDEX($BD$13:$BL$162,BP2270,0))/100)))),0)</f>
        <v/>
      </c>
      <c r="BS2270">
        <f>IF(2257&lt;$U$9,SUMPRODUCT(($D$9:$L$9+INT(($S$12:$AA$12+INDEX($AJ$13:$AR$162,BN2270,0)+INDEX($AT$13:$BB$162,BO2270,0)+INDEX($BD$13:$BL$162,BP2270,0))/100))),0)</f>
        <v/>
      </c>
      <c r="BT2270">
        <f>IF(AND(2257&lt;$U$9,$W$5),BQ2270*1000000-MIN(BR2270,999)*1000+BS2270-2257/100000,-1000000000-2257)</f>
        <v/>
      </c>
    </row>
    <row r="2271">
      <c r="BN2271">
        <f>IF(2258&lt;$U$9,INT(2258/($U$7*$U$8))+1,1)</f>
        <v/>
      </c>
      <c r="BO2271">
        <f>IF(2258&lt;$U$9,MOD(INT(2258/$U$8),$U$7)+1,1)</f>
        <v/>
      </c>
      <c r="BP2271">
        <f>IF(2258&lt;$U$9,MOD(2258,$U$8)+1,1)</f>
        <v/>
      </c>
      <c r="BQ2271">
        <f>IF(2258&lt;$U$9,SUMPRODUCT(($D$10:$L$10&lt;&gt;"")*(($D$9:$L$9+INT(($S$12:$AA$12+INDEX($AJ$13:$AR$162,BN2271,0)+INDEX($AT$13:$BB$162,BO2271,0)+INDEX($BD$13:$BL$162,BP2271,0))/100))&gt;=$D$10:$L$10)),0)</f>
        <v/>
      </c>
      <c r="BR2271">
        <f>IF(2258&lt;$U$9,SUMPRODUCT(($D$10:$L$10&lt;&gt;"")*(($D$10:$L$10-($D$9:$L$9+INT(($S$12:$AA$12+INDEX($AJ$13:$AR$162,BN2271,0)+INDEX($AT$13:$BB$162,BO2271,0)+INDEX($BD$13:$BL$162,BP2271,0))/100)))&gt;0)*($D$10:$L$10-($D$9:$L$9+INT(($S$12:$AA$12+INDEX($AJ$13:$AR$162,BN2271,0)+INDEX($AT$13:$BB$162,BO2271,0)+INDEX($BD$13:$BL$162,BP2271,0))/100)))),0)</f>
        <v/>
      </c>
      <c r="BS2271">
        <f>IF(2258&lt;$U$9,SUMPRODUCT(($D$9:$L$9+INT(($S$12:$AA$12+INDEX($AJ$13:$AR$162,BN2271,0)+INDEX($AT$13:$BB$162,BO2271,0)+INDEX($BD$13:$BL$162,BP2271,0))/100))),0)</f>
        <v/>
      </c>
      <c r="BT2271">
        <f>IF(AND(2258&lt;$U$9,$W$5),BQ2271*1000000-MIN(BR2271,999)*1000+BS2271-2258/100000,-1000000000-2258)</f>
        <v/>
      </c>
    </row>
    <row r="2272">
      <c r="BN2272">
        <f>IF(2259&lt;$U$9,INT(2259/($U$7*$U$8))+1,1)</f>
        <v/>
      </c>
      <c r="BO2272">
        <f>IF(2259&lt;$U$9,MOD(INT(2259/$U$8),$U$7)+1,1)</f>
        <v/>
      </c>
      <c r="BP2272">
        <f>IF(2259&lt;$U$9,MOD(2259,$U$8)+1,1)</f>
        <v/>
      </c>
      <c r="BQ2272">
        <f>IF(2259&lt;$U$9,SUMPRODUCT(($D$10:$L$10&lt;&gt;"")*(($D$9:$L$9+INT(($S$12:$AA$12+INDEX($AJ$13:$AR$162,BN2272,0)+INDEX($AT$13:$BB$162,BO2272,0)+INDEX($BD$13:$BL$162,BP2272,0))/100))&gt;=$D$10:$L$10)),0)</f>
        <v/>
      </c>
      <c r="BR2272">
        <f>IF(2259&lt;$U$9,SUMPRODUCT(($D$10:$L$10&lt;&gt;"")*(($D$10:$L$10-($D$9:$L$9+INT(($S$12:$AA$12+INDEX($AJ$13:$AR$162,BN2272,0)+INDEX($AT$13:$BB$162,BO2272,0)+INDEX($BD$13:$BL$162,BP2272,0))/100)))&gt;0)*($D$10:$L$10-($D$9:$L$9+INT(($S$12:$AA$12+INDEX($AJ$13:$AR$162,BN2272,0)+INDEX($AT$13:$BB$162,BO2272,0)+INDEX($BD$13:$BL$162,BP2272,0))/100)))),0)</f>
        <v/>
      </c>
      <c r="BS2272">
        <f>IF(2259&lt;$U$9,SUMPRODUCT(($D$9:$L$9+INT(($S$12:$AA$12+INDEX($AJ$13:$AR$162,BN2272,0)+INDEX($AT$13:$BB$162,BO2272,0)+INDEX($BD$13:$BL$162,BP2272,0))/100))),0)</f>
        <v/>
      </c>
      <c r="BT2272">
        <f>IF(AND(2259&lt;$U$9,$W$5),BQ2272*1000000-MIN(BR2272,999)*1000+BS2272-2259/100000,-1000000000-2259)</f>
        <v/>
      </c>
    </row>
    <row r="2273">
      <c r="BN2273">
        <f>IF(2260&lt;$U$9,INT(2260/($U$7*$U$8))+1,1)</f>
        <v/>
      </c>
      <c r="BO2273">
        <f>IF(2260&lt;$U$9,MOD(INT(2260/$U$8),$U$7)+1,1)</f>
        <v/>
      </c>
      <c r="BP2273">
        <f>IF(2260&lt;$U$9,MOD(2260,$U$8)+1,1)</f>
        <v/>
      </c>
      <c r="BQ2273">
        <f>IF(2260&lt;$U$9,SUMPRODUCT(($D$10:$L$10&lt;&gt;"")*(($D$9:$L$9+INT(($S$12:$AA$12+INDEX($AJ$13:$AR$162,BN2273,0)+INDEX($AT$13:$BB$162,BO2273,0)+INDEX($BD$13:$BL$162,BP2273,0))/100))&gt;=$D$10:$L$10)),0)</f>
        <v/>
      </c>
      <c r="BR2273">
        <f>IF(2260&lt;$U$9,SUMPRODUCT(($D$10:$L$10&lt;&gt;"")*(($D$10:$L$10-($D$9:$L$9+INT(($S$12:$AA$12+INDEX($AJ$13:$AR$162,BN2273,0)+INDEX($AT$13:$BB$162,BO2273,0)+INDEX($BD$13:$BL$162,BP2273,0))/100)))&gt;0)*($D$10:$L$10-($D$9:$L$9+INT(($S$12:$AA$12+INDEX($AJ$13:$AR$162,BN2273,0)+INDEX($AT$13:$BB$162,BO2273,0)+INDEX($BD$13:$BL$162,BP2273,0))/100)))),0)</f>
        <v/>
      </c>
      <c r="BS2273">
        <f>IF(2260&lt;$U$9,SUMPRODUCT(($D$9:$L$9+INT(($S$12:$AA$12+INDEX($AJ$13:$AR$162,BN2273,0)+INDEX($AT$13:$BB$162,BO2273,0)+INDEX($BD$13:$BL$162,BP2273,0))/100))),0)</f>
        <v/>
      </c>
      <c r="BT2273">
        <f>IF(AND(2260&lt;$U$9,$W$5),BQ2273*1000000-MIN(BR2273,999)*1000+BS2273-2260/100000,-1000000000-2260)</f>
        <v/>
      </c>
    </row>
    <row r="2274">
      <c r="BN2274">
        <f>IF(2261&lt;$U$9,INT(2261/($U$7*$U$8))+1,1)</f>
        <v/>
      </c>
      <c r="BO2274">
        <f>IF(2261&lt;$U$9,MOD(INT(2261/$U$8),$U$7)+1,1)</f>
        <v/>
      </c>
      <c r="BP2274">
        <f>IF(2261&lt;$U$9,MOD(2261,$U$8)+1,1)</f>
        <v/>
      </c>
      <c r="BQ2274">
        <f>IF(2261&lt;$U$9,SUMPRODUCT(($D$10:$L$10&lt;&gt;"")*(($D$9:$L$9+INT(($S$12:$AA$12+INDEX($AJ$13:$AR$162,BN2274,0)+INDEX($AT$13:$BB$162,BO2274,0)+INDEX($BD$13:$BL$162,BP2274,0))/100))&gt;=$D$10:$L$10)),0)</f>
        <v/>
      </c>
      <c r="BR2274">
        <f>IF(2261&lt;$U$9,SUMPRODUCT(($D$10:$L$10&lt;&gt;"")*(($D$10:$L$10-($D$9:$L$9+INT(($S$12:$AA$12+INDEX($AJ$13:$AR$162,BN2274,0)+INDEX($AT$13:$BB$162,BO2274,0)+INDEX($BD$13:$BL$162,BP2274,0))/100)))&gt;0)*($D$10:$L$10-($D$9:$L$9+INT(($S$12:$AA$12+INDEX($AJ$13:$AR$162,BN2274,0)+INDEX($AT$13:$BB$162,BO2274,0)+INDEX($BD$13:$BL$162,BP2274,0))/100)))),0)</f>
        <v/>
      </c>
      <c r="BS2274">
        <f>IF(2261&lt;$U$9,SUMPRODUCT(($D$9:$L$9+INT(($S$12:$AA$12+INDEX($AJ$13:$AR$162,BN2274,0)+INDEX($AT$13:$BB$162,BO2274,0)+INDEX($BD$13:$BL$162,BP2274,0))/100))),0)</f>
        <v/>
      </c>
      <c r="BT2274">
        <f>IF(AND(2261&lt;$U$9,$W$5),BQ2274*1000000-MIN(BR2274,999)*1000+BS2274-2261/100000,-1000000000-2261)</f>
        <v/>
      </c>
    </row>
    <row r="2275">
      <c r="BN2275">
        <f>IF(2262&lt;$U$9,INT(2262/($U$7*$U$8))+1,1)</f>
        <v/>
      </c>
      <c r="BO2275">
        <f>IF(2262&lt;$U$9,MOD(INT(2262/$U$8),$U$7)+1,1)</f>
        <v/>
      </c>
      <c r="BP2275">
        <f>IF(2262&lt;$U$9,MOD(2262,$U$8)+1,1)</f>
        <v/>
      </c>
      <c r="BQ2275">
        <f>IF(2262&lt;$U$9,SUMPRODUCT(($D$10:$L$10&lt;&gt;"")*(($D$9:$L$9+INT(($S$12:$AA$12+INDEX($AJ$13:$AR$162,BN2275,0)+INDEX($AT$13:$BB$162,BO2275,0)+INDEX($BD$13:$BL$162,BP2275,0))/100))&gt;=$D$10:$L$10)),0)</f>
        <v/>
      </c>
      <c r="BR2275">
        <f>IF(2262&lt;$U$9,SUMPRODUCT(($D$10:$L$10&lt;&gt;"")*(($D$10:$L$10-($D$9:$L$9+INT(($S$12:$AA$12+INDEX($AJ$13:$AR$162,BN2275,0)+INDEX($AT$13:$BB$162,BO2275,0)+INDEX($BD$13:$BL$162,BP2275,0))/100)))&gt;0)*($D$10:$L$10-($D$9:$L$9+INT(($S$12:$AA$12+INDEX($AJ$13:$AR$162,BN2275,0)+INDEX($AT$13:$BB$162,BO2275,0)+INDEX($BD$13:$BL$162,BP2275,0))/100)))),0)</f>
        <v/>
      </c>
      <c r="BS2275">
        <f>IF(2262&lt;$U$9,SUMPRODUCT(($D$9:$L$9+INT(($S$12:$AA$12+INDEX($AJ$13:$AR$162,BN2275,0)+INDEX($AT$13:$BB$162,BO2275,0)+INDEX($BD$13:$BL$162,BP2275,0))/100))),0)</f>
        <v/>
      </c>
      <c r="BT2275">
        <f>IF(AND(2262&lt;$U$9,$W$5),BQ2275*1000000-MIN(BR2275,999)*1000+BS2275-2262/100000,-1000000000-2262)</f>
        <v/>
      </c>
    </row>
    <row r="2276">
      <c r="BN2276">
        <f>IF(2263&lt;$U$9,INT(2263/($U$7*$U$8))+1,1)</f>
        <v/>
      </c>
      <c r="BO2276">
        <f>IF(2263&lt;$U$9,MOD(INT(2263/$U$8),$U$7)+1,1)</f>
        <v/>
      </c>
      <c r="BP2276">
        <f>IF(2263&lt;$U$9,MOD(2263,$U$8)+1,1)</f>
        <v/>
      </c>
      <c r="BQ2276">
        <f>IF(2263&lt;$U$9,SUMPRODUCT(($D$10:$L$10&lt;&gt;"")*(($D$9:$L$9+INT(($S$12:$AA$12+INDEX($AJ$13:$AR$162,BN2276,0)+INDEX($AT$13:$BB$162,BO2276,0)+INDEX($BD$13:$BL$162,BP2276,0))/100))&gt;=$D$10:$L$10)),0)</f>
        <v/>
      </c>
      <c r="BR2276">
        <f>IF(2263&lt;$U$9,SUMPRODUCT(($D$10:$L$10&lt;&gt;"")*(($D$10:$L$10-($D$9:$L$9+INT(($S$12:$AA$12+INDEX($AJ$13:$AR$162,BN2276,0)+INDEX($AT$13:$BB$162,BO2276,0)+INDEX($BD$13:$BL$162,BP2276,0))/100)))&gt;0)*($D$10:$L$10-($D$9:$L$9+INT(($S$12:$AA$12+INDEX($AJ$13:$AR$162,BN2276,0)+INDEX($AT$13:$BB$162,BO2276,0)+INDEX($BD$13:$BL$162,BP2276,0))/100)))),0)</f>
        <v/>
      </c>
      <c r="BS2276">
        <f>IF(2263&lt;$U$9,SUMPRODUCT(($D$9:$L$9+INT(($S$12:$AA$12+INDEX($AJ$13:$AR$162,BN2276,0)+INDEX($AT$13:$BB$162,BO2276,0)+INDEX($BD$13:$BL$162,BP2276,0))/100))),0)</f>
        <v/>
      </c>
      <c r="BT2276">
        <f>IF(AND(2263&lt;$U$9,$W$5),BQ2276*1000000-MIN(BR2276,999)*1000+BS2276-2263/100000,-1000000000-2263)</f>
        <v/>
      </c>
    </row>
    <row r="2277">
      <c r="BN2277">
        <f>IF(2264&lt;$U$9,INT(2264/($U$7*$U$8))+1,1)</f>
        <v/>
      </c>
      <c r="BO2277">
        <f>IF(2264&lt;$U$9,MOD(INT(2264/$U$8),$U$7)+1,1)</f>
        <v/>
      </c>
      <c r="BP2277">
        <f>IF(2264&lt;$U$9,MOD(2264,$U$8)+1,1)</f>
        <v/>
      </c>
      <c r="BQ2277">
        <f>IF(2264&lt;$U$9,SUMPRODUCT(($D$10:$L$10&lt;&gt;"")*(($D$9:$L$9+INT(($S$12:$AA$12+INDEX($AJ$13:$AR$162,BN2277,0)+INDEX($AT$13:$BB$162,BO2277,0)+INDEX($BD$13:$BL$162,BP2277,0))/100))&gt;=$D$10:$L$10)),0)</f>
        <v/>
      </c>
      <c r="BR2277">
        <f>IF(2264&lt;$U$9,SUMPRODUCT(($D$10:$L$10&lt;&gt;"")*(($D$10:$L$10-($D$9:$L$9+INT(($S$12:$AA$12+INDEX($AJ$13:$AR$162,BN2277,0)+INDEX($AT$13:$BB$162,BO2277,0)+INDEX($BD$13:$BL$162,BP2277,0))/100)))&gt;0)*($D$10:$L$10-($D$9:$L$9+INT(($S$12:$AA$12+INDEX($AJ$13:$AR$162,BN2277,0)+INDEX($AT$13:$BB$162,BO2277,0)+INDEX($BD$13:$BL$162,BP2277,0))/100)))),0)</f>
        <v/>
      </c>
      <c r="BS2277">
        <f>IF(2264&lt;$U$9,SUMPRODUCT(($D$9:$L$9+INT(($S$12:$AA$12+INDEX($AJ$13:$AR$162,BN2277,0)+INDEX($AT$13:$BB$162,BO2277,0)+INDEX($BD$13:$BL$162,BP2277,0))/100))),0)</f>
        <v/>
      </c>
      <c r="BT2277">
        <f>IF(AND(2264&lt;$U$9,$W$5),BQ2277*1000000-MIN(BR2277,999)*1000+BS2277-2264/100000,-1000000000-2264)</f>
        <v/>
      </c>
    </row>
    <row r="2278">
      <c r="BN2278">
        <f>IF(2265&lt;$U$9,INT(2265/($U$7*$U$8))+1,1)</f>
        <v/>
      </c>
      <c r="BO2278">
        <f>IF(2265&lt;$U$9,MOD(INT(2265/$U$8),$U$7)+1,1)</f>
        <v/>
      </c>
      <c r="BP2278">
        <f>IF(2265&lt;$U$9,MOD(2265,$U$8)+1,1)</f>
        <v/>
      </c>
      <c r="BQ2278">
        <f>IF(2265&lt;$U$9,SUMPRODUCT(($D$10:$L$10&lt;&gt;"")*(($D$9:$L$9+INT(($S$12:$AA$12+INDEX($AJ$13:$AR$162,BN2278,0)+INDEX($AT$13:$BB$162,BO2278,0)+INDEX($BD$13:$BL$162,BP2278,0))/100))&gt;=$D$10:$L$10)),0)</f>
        <v/>
      </c>
      <c r="BR2278">
        <f>IF(2265&lt;$U$9,SUMPRODUCT(($D$10:$L$10&lt;&gt;"")*(($D$10:$L$10-($D$9:$L$9+INT(($S$12:$AA$12+INDEX($AJ$13:$AR$162,BN2278,0)+INDEX($AT$13:$BB$162,BO2278,0)+INDEX($BD$13:$BL$162,BP2278,0))/100)))&gt;0)*($D$10:$L$10-($D$9:$L$9+INT(($S$12:$AA$12+INDEX($AJ$13:$AR$162,BN2278,0)+INDEX($AT$13:$BB$162,BO2278,0)+INDEX($BD$13:$BL$162,BP2278,0))/100)))),0)</f>
        <v/>
      </c>
      <c r="BS2278">
        <f>IF(2265&lt;$U$9,SUMPRODUCT(($D$9:$L$9+INT(($S$12:$AA$12+INDEX($AJ$13:$AR$162,BN2278,0)+INDEX($AT$13:$BB$162,BO2278,0)+INDEX($BD$13:$BL$162,BP2278,0))/100))),0)</f>
        <v/>
      </c>
      <c r="BT2278">
        <f>IF(AND(2265&lt;$U$9,$W$5),BQ2278*1000000-MIN(BR2278,999)*1000+BS2278-2265/100000,-1000000000-2265)</f>
        <v/>
      </c>
    </row>
    <row r="2279">
      <c r="BN2279">
        <f>IF(2266&lt;$U$9,INT(2266/($U$7*$U$8))+1,1)</f>
        <v/>
      </c>
      <c r="BO2279">
        <f>IF(2266&lt;$U$9,MOD(INT(2266/$U$8),$U$7)+1,1)</f>
        <v/>
      </c>
      <c r="BP2279">
        <f>IF(2266&lt;$U$9,MOD(2266,$U$8)+1,1)</f>
        <v/>
      </c>
      <c r="BQ2279">
        <f>IF(2266&lt;$U$9,SUMPRODUCT(($D$10:$L$10&lt;&gt;"")*(($D$9:$L$9+INT(($S$12:$AA$12+INDEX($AJ$13:$AR$162,BN2279,0)+INDEX($AT$13:$BB$162,BO2279,0)+INDEX($BD$13:$BL$162,BP2279,0))/100))&gt;=$D$10:$L$10)),0)</f>
        <v/>
      </c>
      <c r="BR2279">
        <f>IF(2266&lt;$U$9,SUMPRODUCT(($D$10:$L$10&lt;&gt;"")*(($D$10:$L$10-($D$9:$L$9+INT(($S$12:$AA$12+INDEX($AJ$13:$AR$162,BN2279,0)+INDEX($AT$13:$BB$162,BO2279,0)+INDEX($BD$13:$BL$162,BP2279,0))/100)))&gt;0)*($D$10:$L$10-($D$9:$L$9+INT(($S$12:$AA$12+INDEX($AJ$13:$AR$162,BN2279,0)+INDEX($AT$13:$BB$162,BO2279,0)+INDEX($BD$13:$BL$162,BP2279,0))/100)))),0)</f>
        <v/>
      </c>
      <c r="BS2279">
        <f>IF(2266&lt;$U$9,SUMPRODUCT(($D$9:$L$9+INT(($S$12:$AA$12+INDEX($AJ$13:$AR$162,BN2279,0)+INDEX($AT$13:$BB$162,BO2279,0)+INDEX($BD$13:$BL$162,BP2279,0))/100))),0)</f>
        <v/>
      </c>
      <c r="BT2279">
        <f>IF(AND(2266&lt;$U$9,$W$5),BQ2279*1000000-MIN(BR2279,999)*1000+BS2279-2266/100000,-1000000000-2266)</f>
        <v/>
      </c>
    </row>
    <row r="2280">
      <c r="BN2280">
        <f>IF(2267&lt;$U$9,INT(2267/($U$7*$U$8))+1,1)</f>
        <v/>
      </c>
      <c r="BO2280">
        <f>IF(2267&lt;$U$9,MOD(INT(2267/$U$8),$U$7)+1,1)</f>
        <v/>
      </c>
      <c r="BP2280">
        <f>IF(2267&lt;$U$9,MOD(2267,$U$8)+1,1)</f>
        <v/>
      </c>
      <c r="BQ2280">
        <f>IF(2267&lt;$U$9,SUMPRODUCT(($D$10:$L$10&lt;&gt;"")*(($D$9:$L$9+INT(($S$12:$AA$12+INDEX($AJ$13:$AR$162,BN2280,0)+INDEX($AT$13:$BB$162,BO2280,0)+INDEX($BD$13:$BL$162,BP2280,0))/100))&gt;=$D$10:$L$10)),0)</f>
        <v/>
      </c>
      <c r="BR2280">
        <f>IF(2267&lt;$U$9,SUMPRODUCT(($D$10:$L$10&lt;&gt;"")*(($D$10:$L$10-($D$9:$L$9+INT(($S$12:$AA$12+INDEX($AJ$13:$AR$162,BN2280,0)+INDEX($AT$13:$BB$162,BO2280,0)+INDEX($BD$13:$BL$162,BP2280,0))/100)))&gt;0)*($D$10:$L$10-($D$9:$L$9+INT(($S$12:$AA$12+INDEX($AJ$13:$AR$162,BN2280,0)+INDEX($AT$13:$BB$162,BO2280,0)+INDEX($BD$13:$BL$162,BP2280,0))/100)))),0)</f>
        <v/>
      </c>
      <c r="BS2280">
        <f>IF(2267&lt;$U$9,SUMPRODUCT(($D$9:$L$9+INT(($S$12:$AA$12+INDEX($AJ$13:$AR$162,BN2280,0)+INDEX($AT$13:$BB$162,BO2280,0)+INDEX($BD$13:$BL$162,BP2280,0))/100))),0)</f>
        <v/>
      </c>
      <c r="BT2280">
        <f>IF(AND(2267&lt;$U$9,$W$5),BQ2280*1000000-MIN(BR2280,999)*1000+BS2280-2267/100000,-1000000000-2267)</f>
        <v/>
      </c>
    </row>
    <row r="2281">
      <c r="BN2281">
        <f>IF(2268&lt;$U$9,INT(2268/($U$7*$U$8))+1,1)</f>
        <v/>
      </c>
      <c r="BO2281">
        <f>IF(2268&lt;$U$9,MOD(INT(2268/$U$8),$U$7)+1,1)</f>
        <v/>
      </c>
      <c r="BP2281">
        <f>IF(2268&lt;$U$9,MOD(2268,$U$8)+1,1)</f>
        <v/>
      </c>
      <c r="BQ2281">
        <f>IF(2268&lt;$U$9,SUMPRODUCT(($D$10:$L$10&lt;&gt;"")*(($D$9:$L$9+INT(($S$12:$AA$12+INDEX($AJ$13:$AR$162,BN2281,0)+INDEX($AT$13:$BB$162,BO2281,0)+INDEX($BD$13:$BL$162,BP2281,0))/100))&gt;=$D$10:$L$10)),0)</f>
        <v/>
      </c>
      <c r="BR2281">
        <f>IF(2268&lt;$U$9,SUMPRODUCT(($D$10:$L$10&lt;&gt;"")*(($D$10:$L$10-($D$9:$L$9+INT(($S$12:$AA$12+INDEX($AJ$13:$AR$162,BN2281,0)+INDEX($AT$13:$BB$162,BO2281,0)+INDEX($BD$13:$BL$162,BP2281,0))/100)))&gt;0)*($D$10:$L$10-($D$9:$L$9+INT(($S$12:$AA$12+INDEX($AJ$13:$AR$162,BN2281,0)+INDEX($AT$13:$BB$162,BO2281,0)+INDEX($BD$13:$BL$162,BP2281,0))/100)))),0)</f>
        <v/>
      </c>
      <c r="BS2281">
        <f>IF(2268&lt;$U$9,SUMPRODUCT(($D$9:$L$9+INT(($S$12:$AA$12+INDEX($AJ$13:$AR$162,BN2281,0)+INDEX($AT$13:$BB$162,BO2281,0)+INDEX($BD$13:$BL$162,BP2281,0))/100))),0)</f>
        <v/>
      </c>
      <c r="BT2281">
        <f>IF(AND(2268&lt;$U$9,$W$5),BQ2281*1000000-MIN(BR2281,999)*1000+BS2281-2268/100000,-1000000000-2268)</f>
        <v/>
      </c>
    </row>
    <row r="2282">
      <c r="BN2282">
        <f>IF(2269&lt;$U$9,INT(2269/($U$7*$U$8))+1,1)</f>
        <v/>
      </c>
      <c r="BO2282">
        <f>IF(2269&lt;$U$9,MOD(INT(2269/$U$8),$U$7)+1,1)</f>
        <v/>
      </c>
      <c r="BP2282">
        <f>IF(2269&lt;$U$9,MOD(2269,$U$8)+1,1)</f>
        <v/>
      </c>
      <c r="BQ2282">
        <f>IF(2269&lt;$U$9,SUMPRODUCT(($D$10:$L$10&lt;&gt;"")*(($D$9:$L$9+INT(($S$12:$AA$12+INDEX($AJ$13:$AR$162,BN2282,0)+INDEX($AT$13:$BB$162,BO2282,0)+INDEX($BD$13:$BL$162,BP2282,0))/100))&gt;=$D$10:$L$10)),0)</f>
        <v/>
      </c>
      <c r="BR2282">
        <f>IF(2269&lt;$U$9,SUMPRODUCT(($D$10:$L$10&lt;&gt;"")*(($D$10:$L$10-($D$9:$L$9+INT(($S$12:$AA$12+INDEX($AJ$13:$AR$162,BN2282,0)+INDEX($AT$13:$BB$162,BO2282,0)+INDEX($BD$13:$BL$162,BP2282,0))/100)))&gt;0)*($D$10:$L$10-($D$9:$L$9+INT(($S$12:$AA$12+INDEX($AJ$13:$AR$162,BN2282,0)+INDEX($AT$13:$BB$162,BO2282,0)+INDEX($BD$13:$BL$162,BP2282,0))/100)))),0)</f>
        <v/>
      </c>
      <c r="BS2282">
        <f>IF(2269&lt;$U$9,SUMPRODUCT(($D$9:$L$9+INT(($S$12:$AA$12+INDEX($AJ$13:$AR$162,BN2282,0)+INDEX($AT$13:$BB$162,BO2282,0)+INDEX($BD$13:$BL$162,BP2282,0))/100))),0)</f>
        <v/>
      </c>
      <c r="BT2282">
        <f>IF(AND(2269&lt;$U$9,$W$5),BQ2282*1000000-MIN(BR2282,999)*1000+BS2282-2269/100000,-1000000000-2269)</f>
        <v/>
      </c>
    </row>
    <row r="2283">
      <c r="BN2283">
        <f>IF(2270&lt;$U$9,INT(2270/($U$7*$U$8))+1,1)</f>
        <v/>
      </c>
      <c r="BO2283">
        <f>IF(2270&lt;$U$9,MOD(INT(2270/$U$8),$U$7)+1,1)</f>
        <v/>
      </c>
      <c r="BP2283">
        <f>IF(2270&lt;$U$9,MOD(2270,$U$8)+1,1)</f>
        <v/>
      </c>
      <c r="BQ2283">
        <f>IF(2270&lt;$U$9,SUMPRODUCT(($D$10:$L$10&lt;&gt;"")*(($D$9:$L$9+INT(($S$12:$AA$12+INDEX($AJ$13:$AR$162,BN2283,0)+INDEX($AT$13:$BB$162,BO2283,0)+INDEX($BD$13:$BL$162,BP2283,0))/100))&gt;=$D$10:$L$10)),0)</f>
        <v/>
      </c>
      <c r="BR2283">
        <f>IF(2270&lt;$U$9,SUMPRODUCT(($D$10:$L$10&lt;&gt;"")*(($D$10:$L$10-($D$9:$L$9+INT(($S$12:$AA$12+INDEX($AJ$13:$AR$162,BN2283,0)+INDEX($AT$13:$BB$162,BO2283,0)+INDEX($BD$13:$BL$162,BP2283,0))/100)))&gt;0)*($D$10:$L$10-($D$9:$L$9+INT(($S$12:$AA$12+INDEX($AJ$13:$AR$162,BN2283,0)+INDEX($AT$13:$BB$162,BO2283,0)+INDEX($BD$13:$BL$162,BP2283,0))/100)))),0)</f>
        <v/>
      </c>
      <c r="BS2283">
        <f>IF(2270&lt;$U$9,SUMPRODUCT(($D$9:$L$9+INT(($S$12:$AA$12+INDEX($AJ$13:$AR$162,BN2283,0)+INDEX($AT$13:$BB$162,BO2283,0)+INDEX($BD$13:$BL$162,BP2283,0))/100))),0)</f>
        <v/>
      </c>
      <c r="BT2283">
        <f>IF(AND(2270&lt;$U$9,$W$5),BQ2283*1000000-MIN(BR2283,999)*1000+BS2283-2270/100000,-1000000000-2270)</f>
        <v/>
      </c>
    </row>
    <row r="2284">
      <c r="BN2284">
        <f>IF(2271&lt;$U$9,INT(2271/($U$7*$U$8))+1,1)</f>
        <v/>
      </c>
      <c r="BO2284">
        <f>IF(2271&lt;$U$9,MOD(INT(2271/$U$8),$U$7)+1,1)</f>
        <v/>
      </c>
      <c r="BP2284">
        <f>IF(2271&lt;$U$9,MOD(2271,$U$8)+1,1)</f>
        <v/>
      </c>
      <c r="BQ2284">
        <f>IF(2271&lt;$U$9,SUMPRODUCT(($D$10:$L$10&lt;&gt;"")*(($D$9:$L$9+INT(($S$12:$AA$12+INDEX($AJ$13:$AR$162,BN2284,0)+INDEX($AT$13:$BB$162,BO2284,0)+INDEX($BD$13:$BL$162,BP2284,0))/100))&gt;=$D$10:$L$10)),0)</f>
        <v/>
      </c>
      <c r="BR2284">
        <f>IF(2271&lt;$U$9,SUMPRODUCT(($D$10:$L$10&lt;&gt;"")*(($D$10:$L$10-($D$9:$L$9+INT(($S$12:$AA$12+INDEX($AJ$13:$AR$162,BN2284,0)+INDEX($AT$13:$BB$162,BO2284,0)+INDEX($BD$13:$BL$162,BP2284,0))/100)))&gt;0)*($D$10:$L$10-($D$9:$L$9+INT(($S$12:$AA$12+INDEX($AJ$13:$AR$162,BN2284,0)+INDEX($AT$13:$BB$162,BO2284,0)+INDEX($BD$13:$BL$162,BP2284,0))/100)))),0)</f>
        <v/>
      </c>
      <c r="BS2284">
        <f>IF(2271&lt;$U$9,SUMPRODUCT(($D$9:$L$9+INT(($S$12:$AA$12+INDEX($AJ$13:$AR$162,BN2284,0)+INDEX($AT$13:$BB$162,BO2284,0)+INDEX($BD$13:$BL$162,BP2284,0))/100))),0)</f>
        <v/>
      </c>
      <c r="BT2284">
        <f>IF(AND(2271&lt;$U$9,$W$5),BQ2284*1000000-MIN(BR2284,999)*1000+BS2284-2271/100000,-1000000000-2271)</f>
        <v/>
      </c>
    </row>
    <row r="2285">
      <c r="BN2285">
        <f>IF(2272&lt;$U$9,INT(2272/($U$7*$U$8))+1,1)</f>
        <v/>
      </c>
      <c r="BO2285">
        <f>IF(2272&lt;$U$9,MOD(INT(2272/$U$8),$U$7)+1,1)</f>
        <v/>
      </c>
      <c r="BP2285">
        <f>IF(2272&lt;$U$9,MOD(2272,$U$8)+1,1)</f>
        <v/>
      </c>
      <c r="BQ2285">
        <f>IF(2272&lt;$U$9,SUMPRODUCT(($D$10:$L$10&lt;&gt;"")*(($D$9:$L$9+INT(($S$12:$AA$12+INDEX($AJ$13:$AR$162,BN2285,0)+INDEX($AT$13:$BB$162,BO2285,0)+INDEX($BD$13:$BL$162,BP2285,0))/100))&gt;=$D$10:$L$10)),0)</f>
        <v/>
      </c>
      <c r="BR2285">
        <f>IF(2272&lt;$U$9,SUMPRODUCT(($D$10:$L$10&lt;&gt;"")*(($D$10:$L$10-($D$9:$L$9+INT(($S$12:$AA$12+INDEX($AJ$13:$AR$162,BN2285,0)+INDEX($AT$13:$BB$162,BO2285,0)+INDEX($BD$13:$BL$162,BP2285,0))/100)))&gt;0)*($D$10:$L$10-($D$9:$L$9+INT(($S$12:$AA$12+INDEX($AJ$13:$AR$162,BN2285,0)+INDEX($AT$13:$BB$162,BO2285,0)+INDEX($BD$13:$BL$162,BP2285,0))/100)))),0)</f>
        <v/>
      </c>
      <c r="BS2285">
        <f>IF(2272&lt;$U$9,SUMPRODUCT(($D$9:$L$9+INT(($S$12:$AA$12+INDEX($AJ$13:$AR$162,BN2285,0)+INDEX($AT$13:$BB$162,BO2285,0)+INDEX($BD$13:$BL$162,BP2285,0))/100))),0)</f>
        <v/>
      </c>
      <c r="BT2285">
        <f>IF(AND(2272&lt;$U$9,$W$5),BQ2285*1000000-MIN(BR2285,999)*1000+BS2285-2272/100000,-1000000000-2272)</f>
        <v/>
      </c>
    </row>
    <row r="2286">
      <c r="BN2286">
        <f>IF(2273&lt;$U$9,INT(2273/($U$7*$U$8))+1,1)</f>
        <v/>
      </c>
      <c r="BO2286">
        <f>IF(2273&lt;$U$9,MOD(INT(2273/$U$8),$U$7)+1,1)</f>
        <v/>
      </c>
      <c r="BP2286">
        <f>IF(2273&lt;$U$9,MOD(2273,$U$8)+1,1)</f>
        <v/>
      </c>
      <c r="BQ2286">
        <f>IF(2273&lt;$U$9,SUMPRODUCT(($D$10:$L$10&lt;&gt;"")*(($D$9:$L$9+INT(($S$12:$AA$12+INDEX($AJ$13:$AR$162,BN2286,0)+INDEX($AT$13:$BB$162,BO2286,0)+INDEX($BD$13:$BL$162,BP2286,0))/100))&gt;=$D$10:$L$10)),0)</f>
        <v/>
      </c>
      <c r="BR2286">
        <f>IF(2273&lt;$U$9,SUMPRODUCT(($D$10:$L$10&lt;&gt;"")*(($D$10:$L$10-($D$9:$L$9+INT(($S$12:$AA$12+INDEX($AJ$13:$AR$162,BN2286,0)+INDEX($AT$13:$BB$162,BO2286,0)+INDEX($BD$13:$BL$162,BP2286,0))/100)))&gt;0)*($D$10:$L$10-($D$9:$L$9+INT(($S$12:$AA$12+INDEX($AJ$13:$AR$162,BN2286,0)+INDEX($AT$13:$BB$162,BO2286,0)+INDEX($BD$13:$BL$162,BP2286,0))/100)))),0)</f>
        <v/>
      </c>
      <c r="BS2286">
        <f>IF(2273&lt;$U$9,SUMPRODUCT(($D$9:$L$9+INT(($S$12:$AA$12+INDEX($AJ$13:$AR$162,BN2286,0)+INDEX($AT$13:$BB$162,BO2286,0)+INDEX($BD$13:$BL$162,BP2286,0))/100))),0)</f>
        <v/>
      </c>
      <c r="BT2286">
        <f>IF(AND(2273&lt;$U$9,$W$5),BQ2286*1000000-MIN(BR2286,999)*1000+BS2286-2273/100000,-1000000000-2273)</f>
        <v/>
      </c>
    </row>
    <row r="2287">
      <c r="BN2287">
        <f>IF(2274&lt;$U$9,INT(2274/($U$7*$U$8))+1,1)</f>
        <v/>
      </c>
      <c r="BO2287">
        <f>IF(2274&lt;$U$9,MOD(INT(2274/$U$8),$U$7)+1,1)</f>
        <v/>
      </c>
      <c r="BP2287">
        <f>IF(2274&lt;$U$9,MOD(2274,$U$8)+1,1)</f>
        <v/>
      </c>
      <c r="BQ2287">
        <f>IF(2274&lt;$U$9,SUMPRODUCT(($D$10:$L$10&lt;&gt;"")*(($D$9:$L$9+INT(($S$12:$AA$12+INDEX($AJ$13:$AR$162,BN2287,0)+INDEX($AT$13:$BB$162,BO2287,0)+INDEX($BD$13:$BL$162,BP2287,0))/100))&gt;=$D$10:$L$10)),0)</f>
        <v/>
      </c>
      <c r="BR2287">
        <f>IF(2274&lt;$U$9,SUMPRODUCT(($D$10:$L$10&lt;&gt;"")*(($D$10:$L$10-($D$9:$L$9+INT(($S$12:$AA$12+INDEX($AJ$13:$AR$162,BN2287,0)+INDEX($AT$13:$BB$162,BO2287,0)+INDEX($BD$13:$BL$162,BP2287,0))/100)))&gt;0)*($D$10:$L$10-($D$9:$L$9+INT(($S$12:$AA$12+INDEX($AJ$13:$AR$162,BN2287,0)+INDEX($AT$13:$BB$162,BO2287,0)+INDEX($BD$13:$BL$162,BP2287,0))/100)))),0)</f>
        <v/>
      </c>
      <c r="BS2287">
        <f>IF(2274&lt;$U$9,SUMPRODUCT(($D$9:$L$9+INT(($S$12:$AA$12+INDEX($AJ$13:$AR$162,BN2287,0)+INDEX($AT$13:$BB$162,BO2287,0)+INDEX($BD$13:$BL$162,BP2287,0))/100))),0)</f>
        <v/>
      </c>
      <c r="BT2287">
        <f>IF(AND(2274&lt;$U$9,$W$5),BQ2287*1000000-MIN(BR2287,999)*1000+BS2287-2274/100000,-1000000000-2274)</f>
        <v/>
      </c>
    </row>
    <row r="2288">
      <c r="BN2288">
        <f>IF(2275&lt;$U$9,INT(2275/($U$7*$U$8))+1,1)</f>
        <v/>
      </c>
      <c r="BO2288">
        <f>IF(2275&lt;$U$9,MOD(INT(2275/$U$8),$U$7)+1,1)</f>
        <v/>
      </c>
      <c r="BP2288">
        <f>IF(2275&lt;$U$9,MOD(2275,$U$8)+1,1)</f>
        <v/>
      </c>
      <c r="BQ2288">
        <f>IF(2275&lt;$U$9,SUMPRODUCT(($D$10:$L$10&lt;&gt;"")*(($D$9:$L$9+INT(($S$12:$AA$12+INDEX($AJ$13:$AR$162,BN2288,0)+INDEX($AT$13:$BB$162,BO2288,0)+INDEX($BD$13:$BL$162,BP2288,0))/100))&gt;=$D$10:$L$10)),0)</f>
        <v/>
      </c>
      <c r="BR2288">
        <f>IF(2275&lt;$U$9,SUMPRODUCT(($D$10:$L$10&lt;&gt;"")*(($D$10:$L$10-($D$9:$L$9+INT(($S$12:$AA$12+INDEX($AJ$13:$AR$162,BN2288,0)+INDEX($AT$13:$BB$162,BO2288,0)+INDEX($BD$13:$BL$162,BP2288,0))/100)))&gt;0)*($D$10:$L$10-($D$9:$L$9+INT(($S$12:$AA$12+INDEX($AJ$13:$AR$162,BN2288,0)+INDEX($AT$13:$BB$162,BO2288,0)+INDEX($BD$13:$BL$162,BP2288,0))/100)))),0)</f>
        <v/>
      </c>
      <c r="BS2288">
        <f>IF(2275&lt;$U$9,SUMPRODUCT(($D$9:$L$9+INT(($S$12:$AA$12+INDEX($AJ$13:$AR$162,BN2288,0)+INDEX($AT$13:$BB$162,BO2288,0)+INDEX($BD$13:$BL$162,BP2288,0))/100))),0)</f>
        <v/>
      </c>
      <c r="BT2288">
        <f>IF(AND(2275&lt;$U$9,$W$5),BQ2288*1000000-MIN(BR2288,999)*1000+BS2288-2275/100000,-1000000000-2275)</f>
        <v/>
      </c>
    </row>
    <row r="2289">
      <c r="BN2289">
        <f>IF(2276&lt;$U$9,INT(2276/($U$7*$U$8))+1,1)</f>
        <v/>
      </c>
      <c r="BO2289">
        <f>IF(2276&lt;$U$9,MOD(INT(2276/$U$8),$U$7)+1,1)</f>
        <v/>
      </c>
      <c r="BP2289">
        <f>IF(2276&lt;$U$9,MOD(2276,$U$8)+1,1)</f>
        <v/>
      </c>
      <c r="BQ2289">
        <f>IF(2276&lt;$U$9,SUMPRODUCT(($D$10:$L$10&lt;&gt;"")*(($D$9:$L$9+INT(($S$12:$AA$12+INDEX($AJ$13:$AR$162,BN2289,0)+INDEX($AT$13:$BB$162,BO2289,0)+INDEX($BD$13:$BL$162,BP2289,0))/100))&gt;=$D$10:$L$10)),0)</f>
        <v/>
      </c>
      <c r="BR2289">
        <f>IF(2276&lt;$U$9,SUMPRODUCT(($D$10:$L$10&lt;&gt;"")*(($D$10:$L$10-($D$9:$L$9+INT(($S$12:$AA$12+INDEX($AJ$13:$AR$162,BN2289,0)+INDEX($AT$13:$BB$162,BO2289,0)+INDEX($BD$13:$BL$162,BP2289,0))/100)))&gt;0)*($D$10:$L$10-($D$9:$L$9+INT(($S$12:$AA$12+INDEX($AJ$13:$AR$162,BN2289,0)+INDEX($AT$13:$BB$162,BO2289,0)+INDEX($BD$13:$BL$162,BP2289,0))/100)))),0)</f>
        <v/>
      </c>
      <c r="BS2289">
        <f>IF(2276&lt;$U$9,SUMPRODUCT(($D$9:$L$9+INT(($S$12:$AA$12+INDEX($AJ$13:$AR$162,BN2289,0)+INDEX($AT$13:$BB$162,BO2289,0)+INDEX($BD$13:$BL$162,BP2289,0))/100))),0)</f>
        <v/>
      </c>
      <c r="BT2289">
        <f>IF(AND(2276&lt;$U$9,$W$5),BQ2289*1000000-MIN(BR2289,999)*1000+BS2289-2276/100000,-1000000000-2276)</f>
        <v/>
      </c>
    </row>
    <row r="2290">
      <c r="BN2290">
        <f>IF(2277&lt;$U$9,INT(2277/($U$7*$U$8))+1,1)</f>
        <v/>
      </c>
      <c r="BO2290">
        <f>IF(2277&lt;$U$9,MOD(INT(2277/$U$8),$U$7)+1,1)</f>
        <v/>
      </c>
      <c r="BP2290">
        <f>IF(2277&lt;$U$9,MOD(2277,$U$8)+1,1)</f>
        <v/>
      </c>
      <c r="BQ2290">
        <f>IF(2277&lt;$U$9,SUMPRODUCT(($D$10:$L$10&lt;&gt;"")*(($D$9:$L$9+INT(($S$12:$AA$12+INDEX($AJ$13:$AR$162,BN2290,0)+INDEX($AT$13:$BB$162,BO2290,0)+INDEX($BD$13:$BL$162,BP2290,0))/100))&gt;=$D$10:$L$10)),0)</f>
        <v/>
      </c>
      <c r="BR2290">
        <f>IF(2277&lt;$U$9,SUMPRODUCT(($D$10:$L$10&lt;&gt;"")*(($D$10:$L$10-($D$9:$L$9+INT(($S$12:$AA$12+INDEX($AJ$13:$AR$162,BN2290,0)+INDEX($AT$13:$BB$162,BO2290,0)+INDEX($BD$13:$BL$162,BP2290,0))/100)))&gt;0)*($D$10:$L$10-($D$9:$L$9+INT(($S$12:$AA$12+INDEX($AJ$13:$AR$162,BN2290,0)+INDEX($AT$13:$BB$162,BO2290,0)+INDEX($BD$13:$BL$162,BP2290,0))/100)))),0)</f>
        <v/>
      </c>
      <c r="BS2290">
        <f>IF(2277&lt;$U$9,SUMPRODUCT(($D$9:$L$9+INT(($S$12:$AA$12+INDEX($AJ$13:$AR$162,BN2290,0)+INDEX($AT$13:$BB$162,BO2290,0)+INDEX($BD$13:$BL$162,BP2290,0))/100))),0)</f>
        <v/>
      </c>
      <c r="BT2290">
        <f>IF(AND(2277&lt;$U$9,$W$5),BQ2290*1000000-MIN(BR2290,999)*1000+BS2290-2277/100000,-1000000000-2277)</f>
        <v/>
      </c>
    </row>
    <row r="2291">
      <c r="BN2291">
        <f>IF(2278&lt;$U$9,INT(2278/($U$7*$U$8))+1,1)</f>
        <v/>
      </c>
      <c r="BO2291">
        <f>IF(2278&lt;$U$9,MOD(INT(2278/$U$8),$U$7)+1,1)</f>
        <v/>
      </c>
      <c r="BP2291">
        <f>IF(2278&lt;$U$9,MOD(2278,$U$8)+1,1)</f>
        <v/>
      </c>
      <c r="BQ2291">
        <f>IF(2278&lt;$U$9,SUMPRODUCT(($D$10:$L$10&lt;&gt;"")*(($D$9:$L$9+INT(($S$12:$AA$12+INDEX($AJ$13:$AR$162,BN2291,0)+INDEX($AT$13:$BB$162,BO2291,0)+INDEX($BD$13:$BL$162,BP2291,0))/100))&gt;=$D$10:$L$10)),0)</f>
        <v/>
      </c>
      <c r="BR2291">
        <f>IF(2278&lt;$U$9,SUMPRODUCT(($D$10:$L$10&lt;&gt;"")*(($D$10:$L$10-($D$9:$L$9+INT(($S$12:$AA$12+INDEX($AJ$13:$AR$162,BN2291,0)+INDEX($AT$13:$BB$162,BO2291,0)+INDEX($BD$13:$BL$162,BP2291,0))/100)))&gt;0)*($D$10:$L$10-($D$9:$L$9+INT(($S$12:$AA$12+INDEX($AJ$13:$AR$162,BN2291,0)+INDEX($AT$13:$BB$162,BO2291,0)+INDEX($BD$13:$BL$162,BP2291,0))/100)))),0)</f>
        <v/>
      </c>
      <c r="BS2291">
        <f>IF(2278&lt;$U$9,SUMPRODUCT(($D$9:$L$9+INT(($S$12:$AA$12+INDEX($AJ$13:$AR$162,BN2291,0)+INDEX($AT$13:$BB$162,BO2291,0)+INDEX($BD$13:$BL$162,BP2291,0))/100))),0)</f>
        <v/>
      </c>
      <c r="BT2291">
        <f>IF(AND(2278&lt;$U$9,$W$5),BQ2291*1000000-MIN(BR2291,999)*1000+BS2291-2278/100000,-1000000000-2278)</f>
        <v/>
      </c>
    </row>
    <row r="2292">
      <c r="BN2292">
        <f>IF(2279&lt;$U$9,INT(2279/($U$7*$U$8))+1,1)</f>
        <v/>
      </c>
      <c r="BO2292">
        <f>IF(2279&lt;$U$9,MOD(INT(2279/$U$8),$U$7)+1,1)</f>
        <v/>
      </c>
      <c r="BP2292">
        <f>IF(2279&lt;$U$9,MOD(2279,$U$8)+1,1)</f>
        <v/>
      </c>
      <c r="BQ2292">
        <f>IF(2279&lt;$U$9,SUMPRODUCT(($D$10:$L$10&lt;&gt;"")*(($D$9:$L$9+INT(($S$12:$AA$12+INDEX($AJ$13:$AR$162,BN2292,0)+INDEX($AT$13:$BB$162,BO2292,0)+INDEX($BD$13:$BL$162,BP2292,0))/100))&gt;=$D$10:$L$10)),0)</f>
        <v/>
      </c>
      <c r="BR2292">
        <f>IF(2279&lt;$U$9,SUMPRODUCT(($D$10:$L$10&lt;&gt;"")*(($D$10:$L$10-($D$9:$L$9+INT(($S$12:$AA$12+INDEX($AJ$13:$AR$162,BN2292,0)+INDEX($AT$13:$BB$162,BO2292,0)+INDEX($BD$13:$BL$162,BP2292,0))/100)))&gt;0)*($D$10:$L$10-($D$9:$L$9+INT(($S$12:$AA$12+INDEX($AJ$13:$AR$162,BN2292,0)+INDEX($AT$13:$BB$162,BO2292,0)+INDEX($BD$13:$BL$162,BP2292,0))/100)))),0)</f>
        <v/>
      </c>
      <c r="BS2292">
        <f>IF(2279&lt;$U$9,SUMPRODUCT(($D$9:$L$9+INT(($S$12:$AA$12+INDEX($AJ$13:$AR$162,BN2292,0)+INDEX($AT$13:$BB$162,BO2292,0)+INDEX($BD$13:$BL$162,BP2292,0))/100))),0)</f>
        <v/>
      </c>
      <c r="BT2292">
        <f>IF(AND(2279&lt;$U$9,$W$5),BQ2292*1000000-MIN(BR2292,999)*1000+BS2292-2279/100000,-1000000000-2279)</f>
        <v/>
      </c>
    </row>
    <row r="2293">
      <c r="BN2293">
        <f>IF(2280&lt;$U$9,INT(2280/($U$7*$U$8))+1,1)</f>
        <v/>
      </c>
      <c r="BO2293">
        <f>IF(2280&lt;$U$9,MOD(INT(2280/$U$8),$U$7)+1,1)</f>
        <v/>
      </c>
      <c r="BP2293">
        <f>IF(2280&lt;$U$9,MOD(2280,$U$8)+1,1)</f>
        <v/>
      </c>
      <c r="BQ2293">
        <f>IF(2280&lt;$U$9,SUMPRODUCT(($D$10:$L$10&lt;&gt;"")*(($D$9:$L$9+INT(($S$12:$AA$12+INDEX($AJ$13:$AR$162,BN2293,0)+INDEX($AT$13:$BB$162,BO2293,0)+INDEX($BD$13:$BL$162,BP2293,0))/100))&gt;=$D$10:$L$10)),0)</f>
        <v/>
      </c>
      <c r="BR2293">
        <f>IF(2280&lt;$U$9,SUMPRODUCT(($D$10:$L$10&lt;&gt;"")*(($D$10:$L$10-($D$9:$L$9+INT(($S$12:$AA$12+INDEX($AJ$13:$AR$162,BN2293,0)+INDEX($AT$13:$BB$162,BO2293,0)+INDEX($BD$13:$BL$162,BP2293,0))/100)))&gt;0)*($D$10:$L$10-($D$9:$L$9+INT(($S$12:$AA$12+INDEX($AJ$13:$AR$162,BN2293,0)+INDEX($AT$13:$BB$162,BO2293,0)+INDEX($BD$13:$BL$162,BP2293,0))/100)))),0)</f>
        <v/>
      </c>
      <c r="BS2293">
        <f>IF(2280&lt;$U$9,SUMPRODUCT(($D$9:$L$9+INT(($S$12:$AA$12+INDEX($AJ$13:$AR$162,BN2293,0)+INDEX($AT$13:$BB$162,BO2293,0)+INDEX($BD$13:$BL$162,BP2293,0))/100))),0)</f>
        <v/>
      </c>
      <c r="BT2293">
        <f>IF(AND(2280&lt;$U$9,$W$5),BQ2293*1000000-MIN(BR2293,999)*1000+BS2293-2280/100000,-1000000000-2280)</f>
        <v/>
      </c>
    </row>
    <row r="2294">
      <c r="BN2294">
        <f>IF(2281&lt;$U$9,INT(2281/($U$7*$U$8))+1,1)</f>
        <v/>
      </c>
      <c r="BO2294">
        <f>IF(2281&lt;$U$9,MOD(INT(2281/$U$8),$U$7)+1,1)</f>
        <v/>
      </c>
      <c r="BP2294">
        <f>IF(2281&lt;$U$9,MOD(2281,$U$8)+1,1)</f>
        <v/>
      </c>
      <c r="BQ2294">
        <f>IF(2281&lt;$U$9,SUMPRODUCT(($D$10:$L$10&lt;&gt;"")*(($D$9:$L$9+INT(($S$12:$AA$12+INDEX($AJ$13:$AR$162,BN2294,0)+INDEX($AT$13:$BB$162,BO2294,0)+INDEX($BD$13:$BL$162,BP2294,0))/100))&gt;=$D$10:$L$10)),0)</f>
        <v/>
      </c>
      <c r="BR2294">
        <f>IF(2281&lt;$U$9,SUMPRODUCT(($D$10:$L$10&lt;&gt;"")*(($D$10:$L$10-($D$9:$L$9+INT(($S$12:$AA$12+INDEX($AJ$13:$AR$162,BN2294,0)+INDEX($AT$13:$BB$162,BO2294,0)+INDEX($BD$13:$BL$162,BP2294,0))/100)))&gt;0)*($D$10:$L$10-($D$9:$L$9+INT(($S$12:$AA$12+INDEX($AJ$13:$AR$162,BN2294,0)+INDEX($AT$13:$BB$162,BO2294,0)+INDEX($BD$13:$BL$162,BP2294,0))/100)))),0)</f>
        <v/>
      </c>
      <c r="BS2294">
        <f>IF(2281&lt;$U$9,SUMPRODUCT(($D$9:$L$9+INT(($S$12:$AA$12+INDEX($AJ$13:$AR$162,BN2294,0)+INDEX($AT$13:$BB$162,BO2294,0)+INDEX($BD$13:$BL$162,BP2294,0))/100))),0)</f>
        <v/>
      </c>
      <c r="BT2294">
        <f>IF(AND(2281&lt;$U$9,$W$5),BQ2294*1000000-MIN(BR2294,999)*1000+BS2294-2281/100000,-1000000000-2281)</f>
        <v/>
      </c>
    </row>
    <row r="2295">
      <c r="BN2295">
        <f>IF(2282&lt;$U$9,INT(2282/($U$7*$U$8))+1,1)</f>
        <v/>
      </c>
      <c r="BO2295">
        <f>IF(2282&lt;$U$9,MOD(INT(2282/$U$8),$U$7)+1,1)</f>
        <v/>
      </c>
      <c r="BP2295">
        <f>IF(2282&lt;$U$9,MOD(2282,$U$8)+1,1)</f>
        <v/>
      </c>
      <c r="BQ2295">
        <f>IF(2282&lt;$U$9,SUMPRODUCT(($D$10:$L$10&lt;&gt;"")*(($D$9:$L$9+INT(($S$12:$AA$12+INDEX($AJ$13:$AR$162,BN2295,0)+INDEX($AT$13:$BB$162,BO2295,0)+INDEX($BD$13:$BL$162,BP2295,0))/100))&gt;=$D$10:$L$10)),0)</f>
        <v/>
      </c>
      <c r="BR2295">
        <f>IF(2282&lt;$U$9,SUMPRODUCT(($D$10:$L$10&lt;&gt;"")*(($D$10:$L$10-($D$9:$L$9+INT(($S$12:$AA$12+INDEX($AJ$13:$AR$162,BN2295,0)+INDEX($AT$13:$BB$162,BO2295,0)+INDEX($BD$13:$BL$162,BP2295,0))/100)))&gt;0)*($D$10:$L$10-($D$9:$L$9+INT(($S$12:$AA$12+INDEX($AJ$13:$AR$162,BN2295,0)+INDEX($AT$13:$BB$162,BO2295,0)+INDEX($BD$13:$BL$162,BP2295,0))/100)))),0)</f>
        <v/>
      </c>
      <c r="BS2295">
        <f>IF(2282&lt;$U$9,SUMPRODUCT(($D$9:$L$9+INT(($S$12:$AA$12+INDEX($AJ$13:$AR$162,BN2295,0)+INDEX($AT$13:$BB$162,BO2295,0)+INDEX($BD$13:$BL$162,BP2295,0))/100))),0)</f>
        <v/>
      </c>
      <c r="BT2295">
        <f>IF(AND(2282&lt;$U$9,$W$5),BQ2295*1000000-MIN(BR2295,999)*1000+BS2295-2282/100000,-1000000000-2282)</f>
        <v/>
      </c>
    </row>
    <row r="2296">
      <c r="BN2296">
        <f>IF(2283&lt;$U$9,INT(2283/($U$7*$U$8))+1,1)</f>
        <v/>
      </c>
      <c r="BO2296">
        <f>IF(2283&lt;$U$9,MOD(INT(2283/$U$8),$U$7)+1,1)</f>
        <v/>
      </c>
      <c r="BP2296">
        <f>IF(2283&lt;$U$9,MOD(2283,$U$8)+1,1)</f>
        <v/>
      </c>
      <c r="BQ2296">
        <f>IF(2283&lt;$U$9,SUMPRODUCT(($D$10:$L$10&lt;&gt;"")*(($D$9:$L$9+INT(($S$12:$AA$12+INDEX($AJ$13:$AR$162,BN2296,0)+INDEX($AT$13:$BB$162,BO2296,0)+INDEX($BD$13:$BL$162,BP2296,0))/100))&gt;=$D$10:$L$10)),0)</f>
        <v/>
      </c>
      <c r="BR2296">
        <f>IF(2283&lt;$U$9,SUMPRODUCT(($D$10:$L$10&lt;&gt;"")*(($D$10:$L$10-($D$9:$L$9+INT(($S$12:$AA$12+INDEX($AJ$13:$AR$162,BN2296,0)+INDEX($AT$13:$BB$162,BO2296,0)+INDEX($BD$13:$BL$162,BP2296,0))/100)))&gt;0)*($D$10:$L$10-($D$9:$L$9+INT(($S$12:$AA$12+INDEX($AJ$13:$AR$162,BN2296,0)+INDEX($AT$13:$BB$162,BO2296,0)+INDEX($BD$13:$BL$162,BP2296,0))/100)))),0)</f>
        <v/>
      </c>
      <c r="BS2296">
        <f>IF(2283&lt;$U$9,SUMPRODUCT(($D$9:$L$9+INT(($S$12:$AA$12+INDEX($AJ$13:$AR$162,BN2296,0)+INDEX($AT$13:$BB$162,BO2296,0)+INDEX($BD$13:$BL$162,BP2296,0))/100))),0)</f>
        <v/>
      </c>
      <c r="BT2296">
        <f>IF(AND(2283&lt;$U$9,$W$5),BQ2296*1000000-MIN(BR2296,999)*1000+BS2296-2283/100000,-1000000000-2283)</f>
        <v/>
      </c>
    </row>
    <row r="2297">
      <c r="BN2297">
        <f>IF(2284&lt;$U$9,INT(2284/($U$7*$U$8))+1,1)</f>
        <v/>
      </c>
      <c r="BO2297">
        <f>IF(2284&lt;$U$9,MOD(INT(2284/$U$8),$U$7)+1,1)</f>
        <v/>
      </c>
      <c r="BP2297">
        <f>IF(2284&lt;$U$9,MOD(2284,$U$8)+1,1)</f>
        <v/>
      </c>
      <c r="BQ2297">
        <f>IF(2284&lt;$U$9,SUMPRODUCT(($D$10:$L$10&lt;&gt;"")*(($D$9:$L$9+INT(($S$12:$AA$12+INDEX($AJ$13:$AR$162,BN2297,0)+INDEX($AT$13:$BB$162,BO2297,0)+INDEX($BD$13:$BL$162,BP2297,0))/100))&gt;=$D$10:$L$10)),0)</f>
        <v/>
      </c>
      <c r="BR2297">
        <f>IF(2284&lt;$U$9,SUMPRODUCT(($D$10:$L$10&lt;&gt;"")*(($D$10:$L$10-($D$9:$L$9+INT(($S$12:$AA$12+INDEX($AJ$13:$AR$162,BN2297,0)+INDEX($AT$13:$BB$162,BO2297,0)+INDEX($BD$13:$BL$162,BP2297,0))/100)))&gt;0)*($D$10:$L$10-($D$9:$L$9+INT(($S$12:$AA$12+INDEX($AJ$13:$AR$162,BN2297,0)+INDEX($AT$13:$BB$162,BO2297,0)+INDEX($BD$13:$BL$162,BP2297,0))/100)))),0)</f>
        <v/>
      </c>
      <c r="BS2297">
        <f>IF(2284&lt;$U$9,SUMPRODUCT(($D$9:$L$9+INT(($S$12:$AA$12+INDEX($AJ$13:$AR$162,BN2297,0)+INDEX($AT$13:$BB$162,BO2297,0)+INDEX($BD$13:$BL$162,BP2297,0))/100))),0)</f>
        <v/>
      </c>
      <c r="BT2297">
        <f>IF(AND(2284&lt;$U$9,$W$5),BQ2297*1000000-MIN(BR2297,999)*1000+BS2297-2284/100000,-1000000000-2284)</f>
        <v/>
      </c>
    </row>
    <row r="2298">
      <c r="BN2298">
        <f>IF(2285&lt;$U$9,INT(2285/($U$7*$U$8))+1,1)</f>
        <v/>
      </c>
      <c r="BO2298">
        <f>IF(2285&lt;$U$9,MOD(INT(2285/$U$8),$U$7)+1,1)</f>
        <v/>
      </c>
      <c r="BP2298">
        <f>IF(2285&lt;$U$9,MOD(2285,$U$8)+1,1)</f>
        <v/>
      </c>
      <c r="BQ2298">
        <f>IF(2285&lt;$U$9,SUMPRODUCT(($D$10:$L$10&lt;&gt;"")*(($D$9:$L$9+INT(($S$12:$AA$12+INDEX($AJ$13:$AR$162,BN2298,0)+INDEX($AT$13:$BB$162,BO2298,0)+INDEX($BD$13:$BL$162,BP2298,0))/100))&gt;=$D$10:$L$10)),0)</f>
        <v/>
      </c>
      <c r="BR2298">
        <f>IF(2285&lt;$U$9,SUMPRODUCT(($D$10:$L$10&lt;&gt;"")*(($D$10:$L$10-($D$9:$L$9+INT(($S$12:$AA$12+INDEX($AJ$13:$AR$162,BN2298,0)+INDEX($AT$13:$BB$162,BO2298,0)+INDEX($BD$13:$BL$162,BP2298,0))/100)))&gt;0)*($D$10:$L$10-($D$9:$L$9+INT(($S$12:$AA$12+INDEX($AJ$13:$AR$162,BN2298,0)+INDEX($AT$13:$BB$162,BO2298,0)+INDEX($BD$13:$BL$162,BP2298,0))/100)))),0)</f>
        <v/>
      </c>
      <c r="BS2298">
        <f>IF(2285&lt;$U$9,SUMPRODUCT(($D$9:$L$9+INT(($S$12:$AA$12+INDEX($AJ$13:$AR$162,BN2298,0)+INDEX($AT$13:$BB$162,BO2298,0)+INDEX($BD$13:$BL$162,BP2298,0))/100))),0)</f>
        <v/>
      </c>
      <c r="BT2298">
        <f>IF(AND(2285&lt;$U$9,$W$5),BQ2298*1000000-MIN(BR2298,999)*1000+BS2298-2285/100000,-1000000000-2285)</f>
        <v/>
      </c>
    </row>
    <row r="2299">
      <c r="BN2299">
        <f>IF(2286&lt;$U$9,INT(2286/($U$7*$U$8))+1,1)</f>
        <v/>
      </c>
      <c r="BO2299">
        <f>IF(2286&lt;$U$9,MOD(INT(2286/$U$8),$U$7)+1,1)</f>
        <v/>
      </c>
      <c r="BP2299">
        <f>IF(2286&lt;$U$9,MOD(2286,$U$8)+1,1)</f>
        <v/>
      </c>
      <c r="BQ2299">
        <f>IF(2286&lt;$U$9,SUMPRODUCT(($D$10:$L$10&lt;&gt;"")*(($D$9:$L$9+INT(($S$12:$AA$12+INDEX($AJ$13:$AR$162,BN2299,0)+INDEX($AT$13:$BB$162,BO2299,0)+INDEX($BD$13:$BL$162,BP2299,0))/100))&gt;=$D$10:$L$10)),0)</f>
        <v/>
      </c>
      <c r="BR2299">
        <f>IF(2286&lt;$U$9,SUMPRODUCT(($D$10:$L$10&lt;&gt;"")*(($D$10:$L$10-($D$9:$L$9+INT(($S$12:$AA$12+INDEX($AJ$13:$AR$162,BN2299,0)+INDEX($AT$13:$BB$162,BO2299,0)+INDEX($BD$13:$BL$162,BP2299,0))/100)))&gt;0)*($D$10:$L$10-($D$9:$L$9+INT(($S$12:$AA$12+INDEX($AJ$13:$AR$162,BN2299,0)+INDEX($AT$13:$BB$162,BO2299,0)+INDEX($BD$13:$BL$162,BP2299,0))/100)))),0)</f>
        <v/>
      </c>
      <c r="BS2299">
        <f>IF(2286&lt;$U$9,SUMPRODUCT(($D$9:$L$9+INT(($S$12:$AA$12+INDEX($AJ$13:$AR$162,BN2299,0)+INDEX($AT$13:$BB$162,BO2299,0)+INDEX($BD$13:$BL$162,BP2299,0))/100))),0)</f>
        <v/>
      </c>
      <c r="BT2299">
        <f>IF(AND(2286&lt;$U$9,$W$5),BQ2299*1000000-MIN(BR2299,999)*1000+BS2299-2286/100000,-1000000000-2286)</f>
        <v/>
      </c>
    </row>
    <row r="2300">
      <c r="BN2300">
        <f>IF(2287&lt;$U$9,INT(2287/($U$7*$U$8))+1,1)</f>
        <v/>
      </c>
      <c r="BO2300">
        <f>IF(2287&lt;$U$9,MOD(INT(2287/$U$8),$U$7)+1,1)</f>
        <v/>
      </c>
      <c r="BP2300">
        <f>IF(2287&lt;$U$9,MOD(2287,$U$8)+1,1)</f>
        <v/>
      </c>
      <c r="BQ2300">
        <f>IF(2287&lt;$U$9,SUMPRODUCT(($D$10:$L$10&lt;&gt;"")*(($D$9:$L$9+INT(($S$12:$AA$12+INDEX($AJ$13:$AR$162,BN2300,0)+INDEX($AT$13:$BB$162,BO2300,0)+INDEX($BD$13:$BL$162,BP2300,0))/100))&gt;=$D$10:$L$10)),0)</f>
        <v/>
      </c>
      <c r="BR2300">
        <f>IF(2287&lt;$U$9,SUMPRODUCT(($D$10:$L$10&lt;&gt;"")*(($D$10:$L$10-($D$9:$L$9+INT(($S$12:$AA$12+INDEX($AJ$13:$AR$162,BN2300,0)+INDEX($AT$13:$BB$162,BO2300,0)+INDEX($BD$13:$BL$162,BP2300,0))/100)))&gt;0)*($D$10:$L$10-($D$9:$L$9+INT(($S$12:$AA$12+INDEX($AJ$13:$AR$162,BN2300,0)+INDEX($AT$13:$BB$162,BO2300,0)+INDEX($BD$13:$BL$162,BP2300,0))/100)))),0)</f>
        <v/>
      </c>
      <c r="BS2300">
        <f>IF(2287&lt;$U$9,SUMPRODUCT(($D$9:$L$9+INT(($S$12:$AA$12+INDEX($AJ$13:$AR$162,BN2300,0)+INDEX($AT$13:$BB$162,BO2300,0)+INDEX($BD$13:$BL$162,BP2300,0))/100))),0)</f>
        <v/>
      </c>
      <c r="BT2300">
        <f>IF(AND(2287&lt;$U$9,$W$5),BQ2300*1000000-MIN(BR2300,999)*1000+BS2300-2287/100000,-1000000000-2287)</f>
        <v/>
      </c>
    </row>
    <row r="2301">
      <c r="BN2301">
        <f>IF(2288&lt;$U$9,INT(2288/($U$7*$U$8))+1,1)</f>
        <v/>
      </c>
      <c r="BO2301">
        <f>IF(2288&lt;$U$9,MOD(INT(2288/$U$8),$U$7)+1,1)</f>
        <v/>
      </c>
      <c r="BP2301">
        <f>IF(2288&lt;$U$9,MOD(2288,$U$8)+1,1)</f>
        <v/>
      </c>
      <c r="BQ2301">
        <f>IF(2288&lt;$U$9,SUMPRODUCT(($D$10:$L$10&lt;&gt;"")*(($D$9:$L$9+INT(($S$12:$AA$12+INDEX($AJ$13:$AR$162,BN2301,0)+INDEX($AT$13:$BB$162,BO2301,0)+INDEX($BD$13:$BL$162,BP2301,0))/100))&gt;=$D$10:$L$10)),0)</f>
        <v/>
      </c>
      <c r="BR2301">
        <f>IF(2288&lt;$U$9,SUMPRODUCT(($D$10:$L$10&lt;&gt;"")*(($D$10:$L$10-($D$9:$L$9+INT(($S$12:$AA$12+INDEX($AJ$13:$AR$162,BN2301,0)+INDEX($AT$13:$BB$162,BO2301,0)+INDEX($BD$13:$BL$162,BP2301,0))/100)))&gt;0)*($D$10:$L$10-($D$9:$L$9+INT(($S$12:$AA$12+INDEX($AJ$13:$AR$162,BN2301,0)+INDEX($AT$13:$BB$162,BO2301,0)+INDEX($BD$13:$BL$162,BP2301,0))/100)))),0)</f>
        <v/>
      </c>
      <c r="BS2301">
        <f>IF(2288&lt;$U$9,SUMPRODUCT(($D$9:$L$9+INT(($S$12:$AA$12+INDEX($AJ$13:$AR$162,BN2301,0)+INDEX($AT$13:$BB$162,BO2301,0)+INDEX($BD$13:$BL$162,BP2301,0))/100))),0)</f>
        <v/>
      </c>
      <c r="BT2301">
        <f>IF(AND(2288&lt;$U$9,$W$5),BQ2301*1000000-MIN(BR2301,999)*1000+BS2301-2288/100000,-1000000000-2288)</f>
        <v/>
      </c>
    </row>
    <row r="2302">
      <c r="BN2302">
        <f>IF(2289&lt;$U$9,INT(2289/($U$7*$U$8))+1,1)</f>
        <v/>
      </c>
      <c r="BO2302">
        <f>IF(2289&lt;$U$9,MOD(INT(2289/$U$8),$U$7)+1,1)</f>
        <v/>
      </c>
      <c r="BP2302">
        <f>IF(2289&lt;$U$9,MOD(2289,$U$8)+1,1)</f>
        <v/>
      </c>
      <c r="BQ2302">
        <f>IF(2289&lt;$U$9,SUMPRODUCT(($D$10:$L$10&lt;&gt;"")*(($D$9:$L$9+INT(($S$12:$AA$12+INDEX($AJ$13:$AR$162,BN2302,0)+INDEX($AT$13:$BB$162,BO2302,0)+INDEX($BD$13:$BL$162,BP2302,0))/100))&gt;=$D$10:$L$10)),0)</f>
        <v/>
      </c>
      <c r="BR2302">
        <f>IF(2289&lt;$U$9,SUMPRODUCT(($D$10:$L$10&lt;&gt;"")*(($D$10:$L$10-($D$9:$L$9+INT(($S$12:$AA$12+INDEX($AJ$13:$AR$162,BN2302,0)+INDEX($AT$13:$BB$162,BO2302,0)+INDEX($BD$13:$BL$162,BP2302,0))/100)))&gt;0)*($D$10:$L$10-($D$9:$L$9+INT(($S$12:$AA$12+INDEX($AJ$13:$AR$162,BN2302,0)+INDEX($AT$13:$BB$162,BO2302,0)+INDEX($BD$13:$BL$162,BP2302,0))/100)))),0)</f>
        <v/>
      </c>
      <c r="BS2302">
        <f>IF(2289&lt;$U$9,SUMPRODUCT(($D$9:$L$9+INT(($S$12:$AA$12+INDEX($AJ$13:$AR$162,BN2302,0)+INDEX($AT$13:$BB$162,BO2302,0)+INDEX($BD$13:$BL$162,BP2302,0))/100))),0)</f>
        <v/>
      </c>
      <c r="BT2302">
        <f>IF(AND(2289&lt;$U$9,$W$5),BQ2302*1000000-MIN(BR2302,999)*1000+BS2302-2289/100000,-1000000000-2289)</f>
        <v/>
      </c>
    </row>
    <row r="2303">
      <c r="BN2303">
        <f>IF(2290&lt;$U$9,INT(2290/($U$7*$U$8))+1,1)</f>
        <v/>
      </c>
      <c r="BO2303">
        <f>IF(2290&lt;$U$9,MOD(INT(2290/$U$8),$U$7)+1,1)</f>
        <v/>
      </c>
      <c r="BP2303">
        <f>IF(2290&lt;$U$9,MOD(2290,$U$8)+1,1)</f>
        <v/>
      </c>
      <c r="BQ2303">
        <f>IF(2290&lt;$U$9,SUMPRODUCT(($D$10:$L$10&lt;&gt;"")*(($D$9:$L$9+INT(($S$12:$AA$12+INDEX($AJ$13:$AR$162,BN2303,0)+INDEX($AT$13:$BB$162,BO2303,0)+INDEX($BD$13:$BL$162,BP2303,0))/100))&gt;=$D$10:$L$10)),0)</f>
        <v/>
      </c>
      <c r="BR2303">
        <f>IF(2290&lt;$U$9,SUMPRODUCT(($D$10:$L$10&lt;&gt;"")*(($D$10:$L$10-($D$9:$L$9+INT(($S$12:$AA$12+INDEX($AJ$13:$AR$162,BN2303,0)+INDEX($AT$13:$BB$162,BO2303,0)+INDEX($BD$13:$BL$162,BP2303,0))/100)))&gt;0)*($D$10:$L$10-($D$9:$L$9+INT(($S$12:$AA$12+INDEX($AJ$13:$AR$162,BN2303,0)+INDEX($AT$13:$BB$162,BO2303,0)+INDEX($BD$13:$BL$162,BP2303,0))/100)))),0)</f>
        <v/>
      </c>
      <c r="BS2303">
        <f>IF(2290&lt;$U$9,SUMPRODUCT(($D$9:$L$9+INT(($S$12:$AA$12+INDEX($AJ$13:$AR$162,BN2303,0)+INDEX($AT$13:$BB$162,BO2303,0)+INDEX($BD$13:$BL$162,BP2303,0))/100))),0)</f>
        <v/>
      </c>
      <c r="BT2303">
        <f>IF(AND(2290&lt;$U$9,$W$5),BQ2303*1000000-MIN(BR2303,999)*1000+BS2303-2290/100000,-1000000000-2290)</f>
        <v/>
      </c>
    </row>
    <row r="2304">
      <c r="BN2304">
        <f>IF(2291&lt;$U$9,INT(2291/($U$7*$U$8))+1,1)</f>
        <v/>
      </c>
      <c r="BO2304">
        <f>IF(2291&lt;$U$9,MOD(INT(2291/$U$8),$U$7)+1,1)</f>
        <v/>
      </c>
      <c r="BP2304">
        <f>IF(2291&lt;$U$9,MOD(2291,$U$8)+1,1)</f>
        <v/>
      </c>
      <c r="BQ2304">
        <f>IF(2291&lt;$U$9,SUMPRODUCT(($D$10:$L$10&lt;&gt;"")*(($D$9:$L$9+INT(($S$12:$AA$12+INDEX($AJ$13:$AR$162,BN2304,0)+INDEX($AT$13:$BB$162,BO2304,0)+INDEX($BD$13:$BL$162,BP2304,0))/100))&gt;=$D$10:$L$10)),0)</f>
        <v/>
      </c>
      <c r="BR2304">
        <f>IF(2291&lt;$U$9,SUMPRODUCT(($D$10:$L$10&lt;&gt;"")*(($D$10:$L$10-($D$9:$L$9+INT(($S$12:$AA$12+INDEX($AJ$13:$AR$162,BN2304,0)+INDEX($AT$13:$BB$162,BO2304,0)+INDEX($BD$13:$BL$162,BP2304,0))/100)))&gt;0)*($D$10:$L$10-($D$9:$L$9+INT(($S$12:$AA$12+INDEX($AJ$13:$AR$162,BN2304,0)+INDEX($AT$13:$BB$162,BO2304,0)+INDEX($BD$13:$BL$162,BP2304,0))/100)))),0)</f>
        <v/>
      </c>
      <c r="BS2304">
        <f>IF(2291&lt;$U$9,SUMPRODUCT(($D$9:$L$9+INT(($S$12:$AA$12+INDEX($AJ$13:$AR$162,BN2304,0)+INDEX($AT$13:$BB$162,BO2304,0)+INDEX($BD$13:$BL$162,BP2304,0))/100))),0)</f>
        <v/>
      </c>
      <c r="BT2304">
        <f>IF(AND(2291&lt;$U$9,$W$5),BQ2304*1000000-MIN(BR2304,999)*1000+BS2304-2291/100000,-1000000000-2291)</f>
        <v/>
      </c>
    </row>
    <row r="2305">
      <c r="BN2305">
        <f>IF(2292&lt;$U$9,INT(2292/($U$7*$U$8))+1,1)</f>
        <v/>
      </c>
      <c r="BO2305">
        <f>IF(2292&lt;$U$9,MOD(INT(2292/$U$8),$U$7)+1,1)</f>
        <v/>
      </c>
      <c r="BP2305">
        <f>IF(2292&lt;$U$9,MOD(2292,$U$8)+1,1)</f>
        <v/>
      </c>
      <c r="BQ2305">
        <f>IF(2292&lt;$U$9,SUMPRODUCT(($D$10:$L$10&lt;&gt;"")*(($D$9:$L$9+INT(($S$12:$AA$12+INDEX($AJ$13:$AR$162,BN2305,0)+INDEX($AT$13:$BB$162,BO2305,0)+INDEX($BD$13:$BL$162,BP2305,0))/100))&gt;=$D$10:$L$10)),0)</f>
        <v/>
      </c>
      <c r="BR2305">
        <f>IF(2292&lt;$U$9,SUMPRODUCT(($D$10:$L$10&lt;&gt;"")*(($D$10:$L$10-($D$9:$L$9+INT(($S$12:$AA$12+INDEX($AJ$13:$AR$162,BN2305,0)+INDEX($AT$13:$BB$162,BO2305,0)+INDEX($BD$13:$BL$162,BP2305,0))/100)))&gt;0)*($D$10:$L$10-($D$9:$L$9+INT(($S$12:$AA$12+INDEX($AJ$13:$AR$162,BN2305,0)+INDEX($AT$13:$BB$162,BO2305,0)+INDEX($BD$13:$BL$162,BP2305,0))/100)))),0)</f>
        <v/>
      </c>
      <c r="BS2305">
        <f>IF(2292&lt;$U$9,SUMPRODUCT(($D$9:$L$9+INT(($S$12:$AA$12+INDEX($AJ$13:$AR$162,BN2305,0)+INDEX($AT$13:$BB$162,BO2305,0)+INDEX($BD$13:$BL$162,BP2305,0))/100))),0)</f>
        <v/>
      </c>
      <c r="BT2305">
        <f>IF(AND(2292&lt;$U$9,$W$5),BQ2305*1000000-MIN(BR2305,999)*1000+BS2305-2292/100000,-1000000000-2292)</f>
        <v/>
      </c>
    </row>
    <row r="2306">
      <c r="BN2306">
        <f>IF(2293&lt;$U$9,INT(2293/($U$7*$U$8))+1,1)</f>
        <v/>
      </c>
      <c r="BO2306">
        <f>IF(2293&lt;$U$9,MOD(INT(2293/$U$8),$U$7)+1,1)</f>
        <v/>
      </c>
      <c r="BP2306">
        <f>IF(2293&lt;$U$9,MOD(2293,$U$8)+1,1)</f>
        <v/>
      </c>
      <c r="BQ2306">
        <f>IF(2293&lt;$U$9,SUMPRODUCT(($D$10:$L$10&lt;&gt;"")*(($D$9:$L$9+INT(($S$12:$AA$12+INDEX($AJ$13:$AR$162,BN2306,0)+INDEX($AT$13:$BB$162,BO2306,0)+INDEX($BD$13:$BL$162,BP2306,0))/100))&gt;=$D$10:$L$10)),0)</f>
        <v/>
      </c>
      <c r="BR2306">
        <f>IF(2293&lt;$U$9,SUMPRODUCT(($D$10:$L$10&lt;&gt;"")*(($D$10:$L$10-($D$9:$L$9+INT(($S$12:$AA$12+INDEX($AJ$13:$AR$162,BN2306,0)+INDEX($AT$13:$BB$162,BO2306,0)+INDEX($BD$13:$BL$162,BP2306,0))/100)))&gt;0)*($D$10:$L$10-($D$9:$L$9+INT(($S$12:$AA$12+INDEX($AJ$13:$AR$162,BN2306,0)+INDEX($AT$13:$BB$162,BO2306,0)+INDEX($BD$13:$BL$162,BP2306,0))/100)))),0)</f>
        <v/>
      </c>
      <c r="BS2306">
        <f>IF(2293&lt;$U$9,SUMPRODUCT(($D$9:$L$9+INT(($S$12:$AA$12+INDEX($AJ$13:$AR$162,BN2306,0)+INDEX($AT$13:$BB$162,BO2306,0)+INDEX($BD$13:$BL$162,BP2306,0))/100))),0)</f>
        <v/>
      </c>
      <c r="BT2306">
        <f>IF(AND(2293&lt;$U$9,$W$5),BQ2306*1000000-MIN(BR2306,999)*1000+BS2306-2293/100000,-1000000000-2293)</f>
        <v/>
      </c>
    </row>
    <row r="2307">
      <c r="BN2307">
        <f>IF(2294&lt;$U$9,INT(2294/($U$7*$U$8))+1,1)</f>
        <v/>
      </c>
      <c r="BO2307">
        <f>IF(2294&lt;$U$9,MOD(INT(2294/$U$8),$U$7)+1,1)</f>
        <v/>
      </c>
      <c r="BP2307">
        <f>IF(2294&lt;$U$9,MOD(2294,$U$8)+1,1)</f>
        <v/>
      </c>
      <c r="BQ2307">
        <f>IF(2294&lt;$U$9,SUMPRODUCT(($D$10:$L$10&lt;&gt;"")*(($D$9:$L$9+INT(($S$12:$AA$12+INDEX($AJ$13:$AR$162,BN2307,0)+INDEX($AT$13:$BB$162,BO2307,0)+INDEX($BD$13:$BL$162,BP2307,0))/100))&gt;=$D$10:$L$10)),0)</f>
        <v/>
      </c>
      <c r="BR2307">
        <f>IF(2294&lt;$U$9,SUMPRODUCT(($D$10:$L$10&lt;&gt;"")*(($D$10:$L$10-($D$9:$L$9+INT(($S$12:$AA$12+INDEX($AJ$13:$AR$162,BN2307,0)+INDEX($AT$13:$BB$162,BO2307,0)+INDEX($BD$13:$BL$162,BP2307,0))/100)))&gt;0)*($D$10:$L$10-($D$9:$L$9+INT(($S$12:$AA$12+INDEX($AJ$13:$AR$162,BN2307,0)+INDEX($AT$13:$BB$162,BO2307,0)+INDEX($BD$13:$BL$162,BP2307,0))/100)))),0)</f>
        <v/>
      </c>
      <c r="BS2307">
        <f>IF(2294&lt;$U$9,SUMPRODUCT(($D$9:$L$9+INT(($S$12:$AA$12+INDEX($AJ$13:$AR$162,BN2307,0)+INDEX($AT$13:$BB$162,BO2307,0)+INDEX($BD$13:$BL$162,BP2307,0))/100))),0)</f>
        <v/>
      </c>
      <c r="BT2307">
        <f>IF(AND(2294&lt;$U$9,$W$5),BQ2307*1000000-MIN(BR2307,999)*1000+BS2307-2294/100000,-1000000000-2294)</f>
        <v/>
      </c>
    </row>
    <row r="2308">
      <c r="BN2308">
        <f>IF(2295&lt;$U$9,INT(2295/($U$7*$U$8))+1,1)</f>
        <v/>
      </c>
      <c r="BO2308">
        <f>IF(2295&lt;$U$9,MOD(INT(2295/$U$8),$U$7)+1,1)</f>
        <v/>
      </c>
      <c r="BP2308">
        <f>IF(2295&lt;$U$9,MOD(2295,$U$8)+1,1)</f>
        <v/>
      </c>
      <c r="BQ2308">
        <f>IF(2295&lt;$U$9,SUMPRODUCT(($D$10:$L$10&lt;&gt;"")*(($D$9:$L$9+INT(($S$12:$AA$12+INDEX($AJ$13:$AR$162,BN2308,0)+INDEX($AT$13:$BB$162,BO2308,0)+INDEX($BD$13:$BL$162,BP2308,0))/100))&gt;=$D$10:$L$10)),0)</f>
        <v/>
      </c>
      <c r="BR2308">
        <f>IF(2295&lt;$U$9,SUMPRODUCT(($D$10:$L$10&lt;&gt;"")*(($D$10:$L$10-($D$9:$L$9+INT(($S$12:$AA$12+INDEX($AJ$13:$AR$162,BN2308,0)+INDEX($AT$13:$BB$162,BO2308,0)+INDEX($BD$13:$BL$162,BP2308,0))/100)))&gt;0)*($D$10:$L$10-($D$9:$L$9+INT(($S$12:$AA$12+INDEX($AJ$13:$AR$162,BN2308,0)+INDEX($AT$13:$BB$162,BO2308,0)+INDEX($BD$13:$BL$162,BP2308,0))/100)))),0)</f>
        <v/>
      </c>
      <c r="BS2308">
        <f>IF(2295&lt;$U$9,SUMPRODUCT(($D$9:$L$9+INT(($S$12:$AA$12+INDEX($AJ$13:$AR$162,BN2308,0)+INDEX($AT$13:$BB$162,BO2308,0)+INDEX($BD$13:$BL$162,BP2308,0))/100))),0)</f>
        <v/>
      </c>
      <c r="BT2308">
        <f>IF(AND(2295&lt;$U$9,$W$5),BQ2308*1000000-MIN(BR2308,999)*1000+BS2308-2295/100000,-1000000000-2295)</f>
        <v/>
      </c>
    </row>
    <row r="2309">
      <c r="BN2309">
        <f>IF(2296&lt;$U$9,INT(2296/($U$7*$U$8))+1,1)</f>
        <v/>
      </c>
      <c r="BO2309">
        <f>IF(2296&lt;$U$9,MOD(INT(2296/$U$8),$U$7)+1,1)</f>
        <v/>
      </c>
      <c r="BP2309">
        <f>IF(2296&lt;$U$9,MOD(2296,$U$8)+1,1)</f>
        <v/>
      </c>
      <c r="BQ2309">
        <f>IF(2296&lt;$U$9,SUMPRODUCT(($D$10:$L$10&lt;&gt;"")*(($D$9:$L$9+INT(($S$12:$AA$12+INDEX($AJ$13:$AR$162,BN2309,0)+INDEX($AT$13:$BB$162,BO2309,0)+INDEX($BD$13:$BL$162,BP2309,0))/100))&gt;=$D$10:$L$10)),0)</f>
        <v/>
      </c>
      <c r="BR2309">
        <f>IF(2296&lt;$U$9,SUMPRODUCT(($D$10:$L$10&lt;&gt;"")*(($D$10:$L$10-($D$9:$L$9+INT(($S$12:$AA$12+INDEX($AJ$13:$AR$162,BN2309,0)+INDEX($AT$13:$BB$162,BO2309,0)+INDEX($BD$13:$BL$162,BP2309,0))/100)))&gt;0)*($D$10:$L$10-($D$9:$L$9+INT(($S$12:$AA$12+INDEX($AJ$13:$AR$162,BN2309,0)+INDEX($AT$13:$BB$162,BO2309,0)+INDEX($BD$13:$BL$162,BP2309,0))/100)))),0)</f>
        <v/>
      </c>
      <c r="BS2309">
        <f>IF(2296&lt;$U$9,SUMPRODUCT(($D$9:$L$9+INT(($S$12:$AA$12+INDEX($AJ$13:$AR$162,BN2309,0)+INDEX($AT$13:$BB$162,BO2309,0)+INDEX($BD$13:$BL$162,BP2309,0))/100))),0)</f>
        <v/>
      </c>
      <c r="BT2309">
        <f>IF(AND(2296&lt;$U$9,$W$5),BQ2309*1000000-MIN(BR2309,999)*1000+BS2309-2296/100000,-1000000000-2296)</f>
        <v/>
      </c>
    </row>
    <row r="2310">
      <c r="BN2310">
        <f>IF(2297&lt;$U$9,INT(2297/($U$7*$U$8))+1,1)</f>
        <v/>
      </c>
      <c r="BO2310">
        <f>IF(2297&lt;$U$9,MOD(INT(2297/$U$8),$U$7)+1,1)</f>
        <v/>
      </c>
      <c r="BP2310">
        <f>IF(2297&lt;$U$9,MOD(2297,$U$8)+1,1)</f>
        <v/>
      </c>
      <c r="BQ2310">
        <f>IF(2297&lt;$U$9,SUMPRODUCT(($D$10:$L$10&lt;&gt;"")*(($D$9:$L$9+INT(($S$12:$AA$12+INDEX($AJ$13:$AR$162,BN2310,0)+INDEX($AT$13:$BB$162,BO2310,0)+INDEX($BD$13:$BL$162,BP2310,0))/100))&gt;=$D$10:$L$10)),0)</f>
        <v/>
      </c>
      <c r="BR2310">
        <f>IF(2297&lt;$U$9,SUMPRODUCT(($D$10:$L$10&lt;&gt;"")*(($D$10:$L$10-($D$9:$L$9+INT(($S$12:$AA$12+INDEX($AJ$13:$AR$162,BN2310,0)+INDEX($AT$13:$BB$162,BO2310,0)+INDEX($BD$13:$BL$162,BP2310,0))/100)))&gt;0)*($D$10:$L$10-($D$9:$L$9+INT(($S$12:$AA$12+INDEX($AJ$13:$AR$162,BN2310,0)+INDEX($AT$13:$BB$162,BO2310,0)+INDEX($BD$13:$BL$162,BP2310,0))/100)))),0)</f>
        <v/>
      </c>
      <c r="BS2310">
        <f>IF(2297&lt;$U$9,SUMPRODUCT(($D$9:$L$9+INT(($S$12:$AA$12+INDEX($AJ$13:$AR$162,BN2310,0)+INDEX($AT$13:$BB$162,BO2310,0)+INDEX($BD$13:$BL$162,BP2310,0))/100))),0)</f>
        <v/>
      </c>
      <c r="BT2310">
        <f>IF(AND(2297&lt;$U$9,$W$5),BQ2310*1000000-MIN(BR2310,999)*1000+BS2310-2297/100000,-1000000000-2297)</f>
        <v/>
      </c>
    </row>
    <row r="2311">
      <c r="BN2311">
        <f>IF(2298&lt;$U$9,INT(2298/($U$7*$U$8))+1,1)</f>
        <v/>
      </c>
      <c r="BO2311">
        <f>IF(2298&lt;$U$9,MOD(INT(2298/$U$8),$U$7)+1,1)</f>
        <v/>
      </c>
      <c r="BP2311">
        <f>IF(2298&lt;$U$9,MOD(2298,$U$8)+1,1)</f>
        <v/>
      </c>
      <c r="BQ2311">
        <f>IF(2298&lt;$U$9,SUMPRODUCT(($D$10:$L$10&lt;&gt;"")*(($D$9:$L$9+INT(($S$12:$AA$12+INDEX($AJ$13:$AR$162,BN2311,0)+INDEX($AT$13:$BB$162,BO2311,0)+INDEX($BD$13:$BL$162,BP2311,0))/100))&gt;=$D$10:$L$10)),0)</f>
        <v/>
      </c>
      <c r="BR2311">
        <f>IF(2298&lt;$U$9,SUMPRODUCT(($D$10:$L$10&lt;&gt;"")*(($D$10:$L$10-($D$9:$L$9+INT(($S$12:$AA$12+INDEX($AJ$13:$AR$162,BN2311,0)+INDEX($AT$13:$BB$162,BO2311,0)+INDEX($BD$13:$BL$162,BP2311,0))/100)))&gt;0)*($D$10:$L$10-($D$9:$L$9+INT(($S$12:$AA$12+INDEX($AJ$13:$AR$162,BN2311,0)+INDEX($AT$13:$BB$162,BO2311,0)+INDEX($BD$13:$BL$162,BP2311,0))/100)))),0)</f>
        <v/>
      </c>
      <c r="BS2311">
        <f>IF(2298&lt;$U$9,SUMPRODUCT(($D$9:$L$9+INT(($S$12:$AA$12+INDEX($AJ$13:$AR$162,BN2311,0)+INDEX($AT$13:$BB$162,BO2311,0)+INDEX($BD$13:$BL$162,BP2311,0))/100))),0)</f>
        <v/>
      </c>
      <c r="BT2311">
        <f>IF(AND(2298&lt;$U$9,$W$5),BQ2311*1000000-MIN(BR2311,999)*1000+BS2311-2298/100000,-1000000000-2298)</f>
        <v/>
      </c>
    </row>
    <row r="2312">
      <c r="BN2312">
        <f>IF(2299&lt;$U$9,INT(2299/($U$7*$U$8))+1,1)</f>
        <v/>
      </c>
      <c r="BO2312">
        <f>IF(2299&lt;$U$9,MOD(INT(2299/$U$8),$U$7)+1,1)</f>
        <v/>
      </c>
      <c r="BP2312">
        <f>IF(2299&lt;$U$9,MOD(2299,$U$8)+1,1)</f>
        <v/>
      </c>
      <c r="BQ2312">
        <f>IF(2299&lt;$U$9,SUMPRODUCT(($D$10:$L$10&lt;&gt;"")*(($D$9:$L$9+INT(($S$12:$AA$12+INDEX($AJ$13:$AR$162,BN2312,0)+INDEX($AT$13:$BB$162,BO2312,0)+INDEX($BD$13:$BL$162,BP2312,0))/100))&gt;=$D$10:$L$10)),0)</f>
        <v/>
      </c>
      <c r="BR2312">
        <f>IF(2299&lt;$U$9,SUMPRODUCT(($D$10:$L$10&lt;&gt;"")*(($D$10:$L$10-($D$9:$L$9+INT(($S$12:$AA$12+INDEX($AJ$13:$AR$162,BN2312,0)+INDEX($AT$13:$BB$162,BO2312,0)+INDEX($BD$13:$BL$162,BP2312,0))/100)))&gt;0)*($D$10:$L$10-($D$9:$L$9+INT(($S$12:$AA$12+INDEX($AJ$13:$AR$162,BN2312,0)+INDEX($AT$13:$BB$162,BO2312,0)+INDEX($BD$13:$BL$162,BP2312,0))/100)))),0)</f>
        <v/>
      </c>
      <c r="BS2312">
        <f>IF(2299&lt;$U$9,SUMPRODUCT(($D$9:$L$9+INT(($S$12:$AA$12+INDEX($AJ$13:$AR$162,BN2312,0)+INDEX($AT$13:$BB$162,BO2312,0)+INDEX($BD$13:$BL$162,BP2312,0))/100))),0)</f>
        <v/>
      </c>
      <c r="BT2312">
        <f>IF(AND(2299&lt;$U$9,$W$5),BQ2312*1000000-MIN(BR2312,999)*1000+BS2312-2299/100000,-1000000000-2299)</f>
        <v/>
      </c>
    </row>
    <row r="2313">
      <c r="BN2313">
        <f>IF(2300&lt;$U$9,INT(2300/($U$7*$U$8))+1,1)</f>
        <v/>
      </c>
      <c r="BO2313">
        <f>IF(2300&lt;$U$9,MOD(INT(2300/$U$8),$U$7)+1,1)</f>
        <v/>
      </c>
      <c r="BP2313">
        <f>IF(2300&lt;$U$9,MOD(2300,$U$8)+1,1)</f>
        <v/>
      </c>
      <c r="BQ2313">
        <f>IF(2300&lt;$U$9,SUMPRODUCT(($D$10:$L$10&lt;&gt;"")*(($D$9:$L$9+INT(($S$12:$AA$12+INDEX($AJ$13:$AR$162,BN2313,0)+INDEX($AT$13:$BB$162,BO2313,0)+INDEX($BD$13:$BL$162,BP2313,0))/100))&gt;=$D$10:$L$10)),0)</f>
        <v/>
      </c>
      <c r="BR2313">
        <f>IF(2300&lt;$U$9,SUMPRODUCT(($D$10:$L$10&lt;&gt;"")*(($D$10:$L$10-($D$9:$L$9+INT(($S$12:$AA$12+INDEX($AJ$13:$AR$162,BN2313,0)+INDEX($AT$13:$BB$162,BO2313,0)+INDEX($BD$13:$BL$162,BP2313,0))/100)))&gt;0)*($D$10:$L$10-($D$9:$L$9+INT(($S$12:$AA$12+INDEX($AJ$13:$AR$162,BN2313,0)+INDEX($AT$13:$BB$162,BO2313,0)+INDEX($BD$13:$BL$162,BP2313,0))/100)))),0)</f>
        <v/>
      </c>
      <c r="BS2313">
        <f>IF(2300&lt;$U$9,SUMPRODUCT(($D$9:$L$9+INT(($S$12:$AA$12+INDEX($AJ$13:$AR$162,BN2313,0)+INDEX($AT$13:$BB$162,BO2313,0)+INDEX($BD$13:$BL$162,BP2313,0))/100))),0)</f>
        <v/>
      </c>
      <c r="BT2313">
        <f>IF(AND(2300&lt;$U$9,$W$5),BQ2313*1000000-MIN(BR2313,999)*1000+BS2313-2300/100000,-1000000000-2300)</f>
        <v/>
      </c>
    </row>
    <row r="2314">
      <c r="BN2314">
        <f>IF(2301&lt;$U$9,INT(2301/($U$7*$U$8))+1,1)</f>
        <v/>
      </c>
      <c r="BO2314">
        <f>IF(2301&lt;$U$9,MOD(INT(2301/$U$8),$U$7)+1,1)</f>
        <v/>
      </c>
      <c r="BP2314">
        <f>IF(2301&lt;$U$9,MOD(2301,$U$8)+1,1)</f>
        <v/>
      </c>
      <c r="BQ2314">
        <f>IF(2301&lt;$U$9,SUMPRODUCT(($D$10:$L$10&lt;&gt;"")*(($D$9:$L$9+INT(($S$12:$AA$12+INDEX($AJ$13:$AR$162,BN2314,0)+INDEX($AT$13:$BB$162,BO2314,0)+INDEX($BD$13:$BL$162,BP2314,0))/100))&gt;=$D$10:$L$10)),0)</f>
        <v/>
      </c>
      <c r="BR2314">
        <f>IF(2301&lt;$U$9,SUMPRODUCT(($D$10:$L$10&lt;&gt;"")*(($D$10:$L$10-($D$9:$L$9+INT(($S$12:$AA$12+INDEX($AJ$13:$AR$162,BN2314,0)+INDEX($AT$13:$BB$162,BO2314,0)+INDEX($BD$13:$BL$162,BP2314,0))/100)))&gt;0)*($D$10:$L$10-($D$9:$L$9+INT(($S$12:$AA$12+INDEX($AJ$13:$AR$162,BN2314,0)+INDEX($AT$13:$BB$162,BO2314,0)+INDEX($BD$13:$BL$162,BP2314,0))/100)))),0)</f>
        <v/>
      </c>
      <c r="BS2314">
        <f>IF(2301&lt;$U$9,SUMPRODUCT(($D$9:$L$9+INT(($S$12:$AA$12+INDEX($AJ$13:$AR$162,BN2314,0)+INDEX($AT$13:$BB$162,BO2314,0)+INDEX($BD$13:$BL$162,BP2314,0))/100))),0)</f>
        <v/>
      </c>
      <c r="BT2314">
        <f>IF(AND(2301&lt;$U$9,$W$5),BQ2314*1000000-MIN(BR2314,999)*1000+BS2314-2301/100000,-1000000000-2301)</f>
        <v/>
      </c>
    </row>
    <row r="2315">
      <c r="BN2315">
        <f>IF(2302&lt;$U$9,INT(2302/($U$7*$U$8))+1,1)</f>
        <v/>
      </c>
      <c r="BO2315">
        <f>IF(2302&lt;$U$9,MOD(INT(2302/$U$8),$U$7)+1,1)</f>
        <v/>
      </c>
      <c r="BP2315">
        <f>IF(2302&lt;$U$9,MOD(2302,$U$8)+1,1)</f>
        <v/>
      </c>
      <c r="BQ2315">
        <f>IF(2302&lt;$U$9,SUMPRODUCT(($D$10:$L$10&lt;&gt;"")*(($D$9:$L$9+INT(($S$12:$AA$12+INDEX($AJ$13:$AR$162,BN2315,0)+INDEX($AT$13:$BB$162,BO2315,0)+INDEX($BD$13:$BL$162,BP2315,0))/100))&gt;=$D$10:$L$10)),0)</f>
        <v/>
      </c>
      <c r="BR2315">
        <f>IF(2302&lt;$U$9,SUMPRODUCT(($D$10:$L$10&lt;&gt;"")*(($D$10:$L$10-($D$9:$L$9+INT(($S$12:$AA$12+INDEX($AJ$13:$AR$162,BN2315,0)+INDEX($AT$13:$BB$162,BO2315,0)+INDEX($BD$13:$BL$162,BP2315,0))/100)))&gt;0)*($D$10:$L$10-($D$9:$L$9+INT(($S$12:$AA$12+INDEX($AJ$13:$AR$162,BN2315,0)+INDEX($AT$13:$BB$162,BO2315,0)+INDEX($BD$13:$BL$162,BP2315,0))/100)))),0)</f>
        <v/>
      </c>
      <c r="BS2315">
        <f>IF(2302&lt;$U$9,SUMPRODUCT(($D$9:$L$9+INT(($S$12:$AA$12+INDEX($AJ$13:$AR$162,BN2315,0)+INDEX($AT$13:$BB$162,BO2315,0)+INDEX($BD$13:$BL$162,BP2315,0))/100))),0)</f>
        <v/>
      </c>
      <c r="BT2315">
        <f>IF(AND(2302&lt;$U$9,$W$5),BQ2315*1000000-MIN(BR2315,999)*1000+BS2315-2302/100000,-1000000000-2302)</f>
        <v/>
      </c>
    </row>
    <row r="2316">
      <c r="BN2316">
        <f>IF(2303&lt;$U$9,INT(2303/($U$7*$U$8))+1,1)</f>
        <v/>
      </c>
      <c r="BO2316">
        <f>IF(2303&lt;$U$9,MOD(INT(2303/$U$8),$U$7)+1,1)</f>
        <v/>
      </c>
      <c r="BP2316">
        <f>IF(2303&lt;$U$9,MOD(2303,$U$8)+1,1)</f>
        <v/>
      </c>
      <c r="BQ2316">
        <f>IF(2303&lt;$U$9,SUMPRODUCT(($D$10:$L$10&lt;&gt;"")*(($D$9:$L$9+INT(($S$12:$AA$12+INDEX($AJ$13:$AR$162,BN2316,0)+INDEX($AT$13:$BB$162,BO2316,0)+INDEX($BD$13:$BL$162,BP2316,0))/100))&gt;=$D$10:$L$10)),0)</f>
        <v/>
      </c>
      <c r="BR2316">
        <f>IF(2303&lt;$U$9,SUMPRODUCT(($D$10:$L$10&lt;&gt;"")*(($D$10:$L$10-($D$9:$L$9+INT(($S$12:$AA$12+INDEX($AJ$13:$AR$162,BN2316,0)+INDEX($AT$13:$BB$162,BO2316,0)+INDEX($BD$13:$BL$162,BP2316,0))/100)))&gt;0)*($D$10:$L$10-($D$9:$L$9+INT(($S$12:$AA$12+INDEX($AJ$13:$AR$162,BN2316,0)+INDEX($AT$13:$BB$162,BO2316,0)+INDEX($BD$13:$BL$162,BP2316,0))/100)))),0)</f>
        <v/>
      </c>
      <c r="BS2316">
        <f>IF(2303&lt;$U$9,SUMPRODUCT(($D$9:$L$9+INT(($S$12:$AA$12+INDEX($AJ$13:$AR$162,BN2316,0)+INDEX($AT$13:$BB$162,BO2316,0)+INDEX($BD$13:$BL$162,BP2316,0))/100))),0)</f>
        <v/>
      </c>
      <c r="BT2316">
        <f>IF(AND(2303&lt;$U$9,$W$5),BQ2316*1000000-MIN(BR2316,999)*1000+BS2316-2303/100000,-1000000000-2303)</f>
        <v/>
      </c>
    </row>
    <row r="2317">
      <c r="BN2317">
        <f>IF(2304&lt;$U$9,INT(2304/($U$7*$U$8))+1,1)</f>
        <v/>
      </c>
      <c r="BO2317">
        <f>IF(2304&lt;$U$9,MOD(INT(2304/$U$8),$U$7)+1,1)</f>
        <v/>
      </c>
      <c r="BP2317">
        <f>IF(2304&lt;$U$9,MOD(2304,$U$8)+1,1)</f>
        <v/>
      </c>
      <c r="BQ2317">
        <f>IF(2304&lt;$U$9,SUMPRODUCT(($D$10:$L$10&lt;&gt;"")*(($D$9:$L$9+INT(($S$12:$AA$12+INDEX($AJ$13:$AR$162,BN2317,0)+INDEX($AT$13:$BB$162,BO2317,0)+INDEX($BD$13:$BL$162,BP2317,0))/100))&gt;=$D$10:$L$10)),0)</f>
        <v/>
      </c>
      <c r="BR2317">
        <f>IF(2304&lt;$U$9,SUMPRODUCT(($D$10:$L$10&lt;&gt;"")*(($D$10:$L$10-($D$9:$L$9+INT(($S$12:$AA$12+INDEX($AJ$13:$AR$162,BN2317,0)+INDEX($AT$13:$BB$162,BO2317,0)+INDEX($BD$13:$BL$162,BP2317,0))/100)))&gt;0)*($D$10:$L$10-($D$9:$L$9+INT(($S$12:$AA$12+INDEX($AJ$13:$AR$162,BN2317,0)+INDEX($AT$13:$BB$162,BO2317,0)+INDEX($BD$13:$BL$162,BP2317,0))/100)))),0)</f>
        <v/>
      </c>
      <c r="BS2317">
        <f>IF(2304&lt;$U$9,SUMPRODUCT(($D$9:$L$9+INT(($S$12:$AA$12+INDEX($AJ$13:$AR$162,BN2317,0)+INDEX($AT$13:$BB$162,BO2317,0)+INDEX($BD$13:$BL$162,BP2317,0))/100))),0)</f>
        <v/>
      </c>
      <c r="BT2317">
        <f>IF(AND(2304&lt;$U$9,$W$5),BQ2317*1000000-MIN(BR2317,999)*1000+BS2317-2304/100000,-1000000000-2304)</f>
        <v/>
      </c>
    </row>
    <row r="2318">
      <c r="BN2318">
        <f>IF(2305&lt;$U$9,INT(2305/($U$7*$U$8))+1,1)</f>
        <v/>
      </c>
      <c r="BO2318">
        <f>IF(2305&lt;$U$9,MOD(INT(2305/$U$8),$U$7)+1,1)</f>
        <v/>
      </c>
      <c r="BP2318">
        <f>IF(2305&lt;$U$9,MOD(2305,$U$8)+1,1)</f>
        <v/>
      </c>
      <c r="BQ2318">
        <f>IF(2305&lt;$U$9,SUMPRODUCT(($D$10:$L$10&lt;&gt;"")*(($D$9:$L$9+INT(($S$12:$AA$12+INDEX($AJ$13:$AR$162,BN2318,0)+INDEX($AT$13:$BB$162,BO2318,0)+INDEX($BD$13:$BL$162,BP2318,0))/100))&gt;=$D$10:$L$10)),0)</f>
        <v/>
      </c>
      <c r="BR2318">
        <f>IF(2305&lt;$U$9,SUMPRODUCT(($D$10:$L$10&lt;&gt;"")*(($D$10:$L$10-($D$9:$L$9+INT(($S$12:$AA$12+INDEX($AJ$13:$AR$162,BN2318,0)+INDEX($AT$13:$BB$162,BO2318,0)+INDEX($BD$13:$BL$162,BP2318,0))/100)))&gt;0)*($D$10:$L$10-($D$9:$L$9+INT(($S$12:$AA$12+INDEX($AJ$13:$AR$162,BN2318,0)+INDEX($AT$13:$BB$162,BO2318,0)+INDEX($BD$13:$BL$162,BP2318,0))/100)))),0)</f>
        <v/>
      </c>
      <c r="BS2318">
        <f>IF(2305&lt;$U$9,SUMPRODUCT(($D$9:$L$9+INT(($S$12:$AA$12+INDEX($AJ$13:$AR$162,BN2318,0)+INDEX($AT$13:$BB$162,BO2318,0)+INDEX($BD$13:$BL$162,BP2318,0))/100))),0)</f>
        <v/>
      </c>
      <c r="BT2318">
        <f>IF(AND(2305&lt;$U$9,$W$5),BQ2318*1000000-MIN(BR2318,999)*1000+BS2318-2305/100000,-1000000000-2305)</f>
        <v/>
      </c>
    </row>
    <row r="2319">
      <c r="BN2319">
        <f>IF(2306&lt;$U$9,INT(2306/($U$7*$U$8))+1,1)</f>
        <v/>
      </c>
      <c r="BO2319">
        <f>IF(2306&lt;$U$9,MOD(INT(2306/$U$8),$U$7)+1,1)</f>
        <v/>
      </c>
      <c r="BP2319">
        <f>IF(2306&lt;$U$9,MOD(2306,$U$8)+1,1)</f>
        <v/>
      </c>
      <c r="BQ2319">
        <f>IF(2306&lt;$U$9,SUMPRODUCT(($D$10:$L$10&lt;&gt;"")*(($D$9:$L$9+INT(($S$12:$AA$12+INDEX($AJ$13:$AR$162,BN2319,0)+INDEX($AT$13:$BB$162,BO2319,0)+INDEX($BD$13:$BL$162,BP2319,0))/100))&gt;=$D$10:$L$10)),0)</f>
        <v/>
      </c>
      <c r="BR2319">
        <f>IF(2306&lt;$U$9,SUMPRODUCT(($D$10:$L$10&lt;&gt;"")*(($D$10:$L$10-($D$9:$L$9+INT(($S$12:$AA$12+INDEX($AJ$13:$AR$162,BN2319,0)+INDEX($AT$13:$BB$162,BO2319,0)+INDEX($BD$13:$BL$162,BP2319,0))/100)))&gt;0)*($D$10:$L$10-($D$9:$L$9+INT(($S$12:$AA$12+INDEX($AJ$13:$AR$162,BN2319,0)+INDEX($AT$13:$BB$162,BO2319,0)+INDEX($BD$13:$BL$162,BP2319,0))/100)))),0)</f>
        <v/>
      </c>
      <c r="BS2319">
        <f>IF(2306&lt;$U$9,SUMPRODUCT(($D$9:$L$9+INT(($S$12:$AA$12+INDEX($AJ$13:$AR$162,BN2319,0)+INDEX($AT$13:$BB$162,BO2319,0)+INDEX($BD$13:$BL$162,BP2319,0))/100))),0)</f>
        <v/>
      </c>
      <c r="BT2319">
        <f>IF(AND(2306&lt;$U$9,$W$5),BQ2319*1000000-MIN(BR2319,999)*1000+BS2319-2306/100000,-1000000000-2306)</f>
        <v/>
      </c>
    </row>
    <row r="2320">
      <c r="BN2320">
        <f>IF(2307&lt;$U$9,INT(2307/($U$7*$U$8))+1,1)</f>
        <v/>
      </c>
      <c r="BO2320">
        <f>IF(2307&lt;$U$9,MOD(INT(2307/$U$8),$U$7)+1,1)</f>
        <v/>
      </c>
      <c r="BP2320">
        <f>IF(2307&lt;$U$9,MOD(2307,$U$8)+1,1)</f>
        <v/>
      </c>
      <c r="BQ2320">
        <f>IF(2307&lt;$U$9,SUMPRODUCT(($D$10:$L$10&lt;&gt;"")*(($D$9:$L$9+INT(($S$12:$AA$12+INDEX($AJ$13:$AR$162,BN2320,0)+INDEX($AT$13:$BB$162,BO2320,0)+INDEX($BD$13:$BL$162,BP2320,0))/100))&gt;=$D$10:$L$10)),0)</f>
        <v/>
      </c>
      <c r="BR2320">
        <f>IF(2307&lt;$U$9,SUMPRODUCT(($D$10:$L$10&lt;&gt;"")*(($D$10:$L$10-($D$9:$L$9+INT(($S$12:$AA$12+INDEX($AJ$13:$AR$162,BN2320,0)+INDEX($AT$13:$BB$162,BO2320,0)+INDEX($BD$13:$BL$162,BP2320,0))/100)))&gt;0)*($D$10:$L$10-($D$9:$L$9+INT(($S$12:$AA$12+INDEX($AJ$13:$AR$162,BN2320,0)+INDEX($AT$13:$BB$162,BO2320,0)+INDEX($BD$13:$BL$162,BP2320,0))/100)))),0)</f>
        <v/>
      </c>
      <c r="BS2320">
        <f>IF(2307&lt;$U$9,SUMPRODUCT(($D$9:$L$9+INT(($S$12:$AA$12+INDEX($AJ$13:$AR$162,BN2320,0)+INDEX($AT$13:$BB$162,BO2320,0)+INDEX($BD$13:$BL$162,BP2320,0))/100))),0)</f>
        <v/>
      </c>
      <c r="BT2320">
        <f>IF(AND(2307&lt;$U$9,$W$5),BQ2320*1000000-MIN(BR2320,999)*1000+BS2320-2307/100000,-1000000000-2307)</f>
        <v/>
      </c>
    </row>
    <row r="2321">
      <c r="BN2321">
        <f>IF(2308&lt;$U$9,INT(2308/($U$7*$U$8))+1,1)</f>
        <v/>
      </c>
      <c r="BO2321">
        <f>IF(2308&lt;$U$9,MOD(INT(2308/$U$8),$U$7)+1,1)</f>
        <v/>
      </c>
      <c r="BP2321">
        <f>IF(2308&lt;$U$9,MOD(2308,$U$8)+1,1)</f>
        <v/>
      </c>
      <c r="BQ2321">
        <f>IF(2308&lt;$U$9,SUMPRODUCT(($D$10:$L$10&lt;&gt;"")*(($D$9:$L$9+INT(($S$12:$AA$12+INDEX($AJ$13:$AR$162,BN2321,0)+INDEX($AT$13:$BB$162,BO2321,0)+INDEX($BD$13:$BL$162,BP2321,0))/100))&gt;=$D$10:$L$10)),0)</f>
        <v/>
      </c>
      <c r="BR2321">
        <f>IF(2308&lt;$U$9,SUMPRODUCT(($D$10:$L$10&lt;&gt;"")*(($D$10:$L$10-($D$9:$L$9+INT(($S$12:$AA$12+INDEX($AJ$13:$AR$162,BN2321,0)+INDEX($AT$13:$BB$162,BO2321,0)+INDEX($BD$13:$BL$162,BP2321,0))/100)))&gt;0)*($D$10:$L$10-($D$9:$L$9+INT(($S$12:$AA$12+INDEX($AJ$13:$AR$162,BN2321,0)+INDEX($AT$13:$BB$162,BO2321,0)+INDEX($BD$13:$BL$162,BP2321,0))/100)))),0)</f>
        <v/>
      </c>
      <c r="BS2321">
        <f>IF(2308&lt;$U$9,SUMPRODUCT(($D$9:$L$9+INT(($S$12:$AA$12+INDEX($AJ$13:$AR$162,BN2321,0)+INDEX($AT$13:$BB$162,BO2321,0)+INDEX($BD$13:$BL$162,BP2321,0))/100))),0)</f>
        <v/>
      </c>
      <c r="BT2321">
        <f>IF(AND(2308&lt;$U$9,$W$5),BQ2321*1000000-MIN(BR2321,999)*1000+BS2321-2308/100000,-1000000000-2308)</f>
        <v/>
      </c>
    </row>
    <row r="2322">
      <c r="BN2322">
        <f>IF(2309&lt;$U$9,INT(2309/($U$7*$U$8))+1,1)</f>
        <v/>
      </c>
      <c r="BO2322">
        <f>IF(2309&lt;$U$9,MOD(INT(2309/$U$8),$U$7)+1,1)</f>
        <v/>
      </c>
      <c r="BP2322">
        <f>IF(2309&lt;$U$9,MOD(2309,$U$8)+1,1)</f>
        <v/>
      </c>
      <c r="BQ2322">
        <f>IF(2309&lt;$U$9,SUMPRODUCT(($D$10:$L$10&lt;&gt;"")*(($D$9:$L$9+INT(($S$12:$AA$12+INDEX($AJ$13:$AR$162,BN2322,0)+INDEX($AT$13:$BB$162,BO2322,0)+INDEX($BD$13:$BL$162,BP2322,0))/100))&gt;=$D$10:$L$10)),0)</f>
        <v/>
      </c>
      <c r="BR2322">
        <f>IF(2309&lt;$U$9,SUMPRODUCT(($D$10:$L$10&lt;&gt;"")*(($D$10:$L$10-($D$9:$L$9+INT(($S$12:$AA$12+INDEX($AJ$13:$AR$162,BN2322,0)+INDEX($AT$13:$BB$162,BO2322,0)+INDEX($BD$13:$BL$162,BP2322,0))/100)))&gt;0)*($D$10:$L$10-($D$9:$L$9+INT(($S$12:$AA$12+INDEX($AJ$13:$AR$162,BN2322,0)+INDEX($AT$13:$BB$162,BO2322,0)+INDEX($BD$13:$BL$162,BP2322,0))/100)))),0)</f>
        <v/>
      </c>
      <c r="BS2322">
        <f>IF(2309&lt;$U$9,SUMPRODUCT(($D$9:$L$9+INT(($S$12:$AA$12+INDEX($AJ$13:$AR$162,BN2322,0)+INDEX($AT$13:$BB$162,BO2322,0)+INDEX($BD$13:$BL$162,BP2322,0))/100))),0)</f>
        <v/>
      </c>
      <c r="BT2322">
        <f>IF(AND(2309&lt;$U$9,$W$5),BQ2322*1000000-MIN(BR2322,999)*1000+BS2322-2309/100000,-1000000000-2309)</f>
        <v/>
      </c>
    </row>
    <row r="2323">
      <c r="BN2323">
        <f>IF(2310&lt;$U$9,INT(2310/($U$7*$U$8))+1,1)</f>
        <v/>
      </c>
      <c r="BO2323">
        <f>IF(2310&lt;$U$9,MOD(INT(2310/$U$8),$U$7)+1,1)</f>
        <v/>
      </c>
      <c r="BP2323">
        <f>IF(2310&lt;$U$9,MOD(2310,$U$8)+1,1)</f>
        <v/>
      </c>
      <c r="BQ2323">
        <f>IF(2310&lt;$U$9,SUMPRODUCT(($D$10:$L$10&lt;&gt;"")*(($D$9:$L$9+INT(($S$12:$AA$12+INDEX($AJ$13:$AR$162,BN2323,0)+INDEX($AT$13:$BB$162,BO2323,0)+INDEX($BD$13:$BL$162,BP2323,0))/100))&gt;=$D$10:$L$10)),0)</f>
        <v/>
      </c>
      <c r="BR2323">
        <f>IF(2310&lt;$U$9,SUMPRODUCT(($D$10:$L$10&lt;&gt;"")*(($D$10:$L$10-($D$9:$L$9+INT(($S$12:$AA$12+INDEX($AJ$13:$AR$162,BN2323,0)+INDEX($AT$13:$BB$162,BO2323,0)+INDEX($BD$13:$BL$162,BP2323,0))/100)))&gt;0)*($D$10:$L$10-($D$9:$L$9+INT(($S$12:$AA$12+INDEX($AJ$13:$AR$162,BN2323,0)+INDEX($AT$13:$BB$162,BO2323,0)+INDEX($BD$13:$BL$162,BP2323,0))/100)))),0)</f>
        <v/>
      </c>
      <c r="BS2323">
        <f>IF(2310&lt;$U$9,SUMPRODUCT(($D$9:$L$9+INT(($S$12:$AA$12+INDEX($AJ$13:$AR$162,BN2323,0)+INDEX($AT$13:$BB$162,BO2323,0)+INDEX($BD$13:$BL$162,BP2323,0))/100))),0)</f>
        <v/>
      </c>
      <c r="BT2323">
        <f>IF(AND(2310&lt;$U$9,$W$5),BQ2323*1000000-MIN(BR2323,999)*1000+BS2323-2310/100000,-1000000000-2310)</f>
        <v/>
      </c>
    </row>
    <row r="2324">
      <c r="BN2324">
        <f>IF(2311&lt;$U$9,INT(2311/($U$7*$U$8))+1,1)</f>
        <v/>
      </c>
      <c r="BO2324">
        <f>IF(2311&lt;$U$9,MOD(INT(2311/$U$8),$U$7)+1,1)</f>
        <v/>
      </c>
      <c r="BP2324">
        <f>IF(2311&lt;$U$9,MOD(2311,$U$8)+1,1)</f>
        <v/>
      </c>
      <c r="BQ2324">
        <f>IF(2311&lt;$U$9,SUMPRODUCT(($D$10:$L$10&lt;&gt;"")*(($D$9:$L$9+INT(($S$12:$AA$12+INDEX($AJ$13:$AR$162,BN2324,0)+INDEX($AT$13:$BB$162,BO2324,0)+INDEX($BD$13:$BL$162,BP2324,0))/100))&gt;=$D$10:$L$10)),0)</f>
        <v/>
      </c>
      <c r="BR2324">
        <f>IF(2311&lt;$U$9,SUMPRODUCT(($D$10:$L$10&lt;&gt;"")*(($D$10:$L$10-($D$9:$L$9+INT(($S$12:$AA$12+INDEX($AJ$13:$AR$162,BN2324,0)+INDEX($AT$13:$BB$162,BO2324,0)+INDEX($BD$13:$BL$162,BP2324,0))/100)))&gt;0)*($D$10:$L$10-($D$9:$L$9+INT(($S$12:$AA$12+INDEX($AJ$13:$AR$162,BN2324,0)+INDEX($AT$13:$BB$162,BO2324,0)+INDEX($BD$13:$BL$162,BP2324,0))/100)))),0)</f>
        <v/>
      </c>
      <c r="BS2324">
        <f>IF(2311&lt;$U$9,SUMPRODUCT(($D$9:$L$9+INT(($S$12:$AA$12+INDEX($AJ$13:$AR$162,BN2324,0)+INDEX($AT$13:$BB$162,BO2324,0)+INDEX($BD$13:$BL$162,BP2324,0))/100))),0)</f>
        <v/>
      </c>
      <c r="BT2324">
        <f>IF(AND(2311&lt;$U$9,$W$5),BQ2324*1000000-MIN(BR2324,999)*1000+BS2324-2311/100000,-1000000000-2311)</f>
        <v/>
      </c>
    </row>
    <row r="2325">
      <c r="BN2325">
        <f>IF(2312&lt;$U$9,INT(2312/($U$7*$U$8))+1,1)</f>
        <v/>
      </c>
      <c r="BO2325">
        <f>IF(2312&lt;$U$9,MOD(INT(2312/$U$8),$U$7)+1,1)</f>
        <v/>
      </c>
      <c r="BP2325">
        <f>IF(2312&lt;$U$9,MOD(2312,$U$8)+1,1)</f>
        <v/>
      </c>
      <c r="BQ2325">
        <f>IF(2312&lt;$U$9,SUMPRODUCT(($D$10:$L$10&lt;&gt;"")*(($D$9:$L$9+INT(($S$12:$AA$12+INDEX($AJ$13:$AR$162,BN2325,0)+INDEX($AT$13:$BB$162,BO2325,0)+INDEX($BD$13:$BL$162,BP2325,0))/100))&gt;=$D$10:$L$10)),0)</f>
        <v/>
      </c>
      <c r="BR2325">
        <f>IF(2312&lt;$U$9,SUMPRODUCT(($D$10:$L$10&lt;&gt;"")*(($D$10:$L$10-($D$9:$L$9+INT(($S$12:$AA$12+INDEX($AJ$13:$AR$162,BN2325,0)+INDEX($AT$13:$BB$162,BO2325,0)+INDEX($BD$13:$BL$162,BP2325,0))/100)))&gt;0)*($D$10:$L$10-($D$9:$L$9+INT(($S$12:$AA$12+INDEX($AJ$13:$AR$162,BN2325,0)+INDEX($AT$13:$BB$162,BO2325,0)+INDEX($BD$13:$BL$162,BP2325,0))/100)))),0)</f>
        <v/>
      </c>
      <c r="BS2325">
        <f>IF(2312&lt;$U$9,SUMPRODUCT(($D$9:$L$9+INT(($S$12:$AA$12+INDEX($AJ$13:$AR$162,BN2325,0)+INDEX($AT$13:$BB$162,BO2325,0)+INDEX($BD$13:$BL$162,BP2325,0))/100))),0)</f>
        <v/>
      </c>
      <c r="BT2325">
        <f>IF(AND(2312&lt;$U$9,$W$5),BQ2325*1000000-MIN(BR2325,999)*1000+BS2325-2312/100000,-1000000000-2312)</f>
        <v/>
      </c>
    </row>
    <row r="2326">
      <c r="BN2326">
        <f>IF(2313&lt;$U$9,INT(2313/($U$7*$U$8))+1,1)</f>
        <v/>
      </c>
      <c r="BO2326">
        <f>IF(2313&lt;$U$9,MOD(INT(2313/$U$8),$U$7)+1,1)</f>
        <v/>
      </c>
      <c r="BP2326">
        <f>IF(2313&lt;$U$9,MOD(2313,$U$8)+1,1)</f>
        <v/>
      </c>
      <c r="BQ2326">
        <f>IF(2313&lt;$U$9,SUMPRODUCT(($D$10:$L$10&lt;&gt;"")*(($D$9:$L$9+INT(($S$12:$AA$12+INDEX($AJ$13:$AR$162,BN2326,0)+INDEX($AT$13:$BB$162,BO2326,0)+INDEX($BD$13:$BL$162,BP2326,0))/100))&gt;=$D$10:$L$10)),0)</f>
        <v/>
      </c>
      <c r="BR2326">
        <f>IF(2313&lt;$U$9,SUMPRODUCT(($D$10:$L$10&lt;&gt;"")*(($D$10:$L$10-($D$9:$L$9+INT(($S$12:$AA$12+INDEX($AJ$13:$AR$162,BN2326,0)+INDEX($AT$13:$BB$162,BO2326,0)+INDEX($BD$13:$BL$162,BP2326,0))/100)))&gt;0)*($D$10:$L$10-($D$9:$L$9+INT(($S$12:$AA$12+INDEX($AJ$13:$AR$162,BN2326,0)+INDEX($AT$13:$BB$162,BO2326,0)+INDEX($BD$13:$BL$162,BP2326,0))/100)))),0)</f>
        <v/>
      </c>
      <c r="BS2326">
        <f>IF(2313&lt;$U$9,SUMPRODUCT(($D$9:$L$9+INT(($S$12:$AA$12+INDEX($AJ$13:$AR$162,BN2326,0)+INDEX($AT$13:$BB$162,BO2326,0)+INDEX($BD$13:$BL$162,BP2326,0))/100))),0)</f>
        <v/>
      </c>
      <c r="BT2326">
        <f>IF(AND(2313&lt;$U$9,$W$5),BQ2326*1000000-MIN(BR2326,999)*1000+BS2326-2313/100000,-1000000000-2313)</f>
        <v/>
      </c>
    </row>
    <row r="2327">
      <c r="BN2327">
        <f>IF(2314&lt;$U$9,INT(2314/($U$7*$U$8))+1,1)</f>
        <v/>
      </c>
      <c r="BO2327">
        <f>IF(2314&lt;$U$9,MOD(INT(2314/$U$8),$U$7)+1,1)</f>
        <v/>
      </c>
      <c r="BP2327">
        <f>IF(2314&lt;$U$9,MOD(2314,$U$8)+1,1)</f>
        <v/>
      </c>
      <c r="BQ2327">
        <f>IF(2314&lt;$U$9,SUMPRODUCT(($D$10:$L$10&lt;&gt;"")*(($D$9:$L$9+INT(($S$12:$AA$12+INDEX($AJ$13:$AR$162,BN2327,0)+INDEX($AT$13:$BB$162,BO2327,0)+INDEX($BD$13:$BL$162,BP2327,0))/100))&gt;=$D$10:$L$10)),0)</f>
        <v/>
      </c>
      <c r="BR2327">
        <f>IF(2314&lt;$U$9,SUMPRODUCT(($D$10:$L$10&lt;&gt;"")*(($D$10:$L$10-($D$9:$L$9+INT(($S$12:$AA$12+INDEX($AJ$13:$AR$162,BN2327,0)+INDEX($AT$13:$BB$162,BO2327,0)+INDEX($BD$13:$BL$162,BP2327,0))/100)))&gt;0)*($D$10:$L$10-($D$9:$L$9+INT(($S$12:$AA$12+INDEX($AJ$13:$AR$162,BN2327,0)+INDEX($AT$13:$BB$162,BO2327,0)+INDEX($BD$13:$BL$162,BP2327,0))/100)))),0)</f>
        <v/>
      </c>
      <c r="BS2327">
        <f>IF(2314&lt;$U$9,SUMPRODUCT(($D$9:$L$9+INT(($S$12:$AA$12+INDEX($AJ$13:$AR$162,BN2327,0)+INDEX($AT$13:$BB$162,BO2327,0)+INDEX($BD$13:$BL$162,BP2327,0))/100))),0)</f>
        <v/>
      </c>
      <c r="BT2327">
        <f>IF(AND(2314&lt;$U$9,$W$5),BQ2327*1000000-MIN(BR2327,999)*1000+BS2327-2314/100000,-1000000000-2314)</f>
        <v/>
      </c>
    </row>
    <row r="2328">
      <c r="BN2328">
        <f>IF(2315&lt;$U$9,INT(2315/($U$7*$U$8))+1,1)</f>
        <v/>
      </c>
      <c r="BO2328">
        <f>IF(2315&lt;$U$9,MOD(INT(2315/$U$8),$U$7)+1,1)</f>
        <v/>
      </c>
      <c r="BP2328">
        <f>IF(2315&lt;$U$9,MOD(2315,$U$8)+1,1)</f>
        <v/>
      </c>
      <c r="BQ2328">
        <f>IF(2315&lt;$U$9,SUMPRODUCT(($D$10:$L$10&lt;&gt;"")*(($D$9:$L$9+INT(($S$12:$AA$12+INDEX($AJ$13:$AR$162,BN2328,0)+INDEX($AT$13:$BB$162,BO2328,0)+INDEX($BD$13:$BL$162,BP2328,0))/100))&gt;=$D$10:$L$10)),0)</f>
        <v/>
      </c>
      <c r="BR2328">
        <f>IF(2315&lt;$U$9,SUMPRODUCT(($D$10:$L$10&lt;&gt;"")*(($D$10:$L$10-($D$9:$L$9+INT(($S$12:$AA$12+INDEX($AJ$13:$AR$162,BN2328,0)+INDEX($AT$13:$BB$162,BO2328,0)+INDEX($BD$13:$BL$162,BP2328,0))/100)))&gt;0)*($D$10:$L$10-($D$9:$L$9+INT(($S$12:$AA$12+INDEX($AJ$13:$AR$162,BN2328,0)+INDEX($AT$13:$BB$162,BO2328,0)+INDEX($BD$13:$BL$162,BP2328,0))/100)))),0)</f>
        <v/>
      </c>
      <c r="BS2328">
        <f>IF(2315&lt;$U$9,SUMPRODUCT(($D$9:$L$9+INT(($S$12:$AA$12+INDEX($AJ$13:$AR$162,BN2328,0)+INDEX($AT$13:$BB$162,BO2328,0)+INDEX($BD$13:$BL$162,BP2328,0))/100))),0)</f>
        <v/>
      </c>
      <c r="BT2328">
        <f>IF(AND(2315&lt;$U$9,$W$5),BQ2328*1000000-MIN(BR2328,999)*1000+BS2328-2315/100000,-1000000000-2315)</f>
        <v/>
      </c>
    </row>
    <row r="2329">
      <c r="BN2329">
        <f>IF(2316&lt;$U$9,INT(2316/($U$7*$U$8))+1,1)</f>
        <v/>
      </c>
      <c r="BO2329">
        <f>IF(2316&lt;$U$9,MOD(INT(2316/$U$8),$U$7)+1,1)</f>
        <v/>
      </c>
      <c r="BP2329">
        <f>IF(2316&lt;$U$9,MOD(2316,$U$8)+1,1)</f>
        <v/>
      </c>
      <c r="BQ2329">
        <f>IF(2316&lt;$U$9,SUMPRODUCT(($D$10:$L$10&lt;&gt;"")*(($D$9:$L$9+INT(($S$12:$AA$12+INDEX($AJ$13:$AR$162,BN2329,0)+INDEX($AT$13:$BB$162,BO2329,0)+INDEX($BD$13:$BL$162,BP2329,0))/100))&gt;=$D$10:$L$10)),0)</f>
        <v/>
      </c>
      <c r="BR2329">
        <f>IF(2316&lt;$U$9,SUMPRODUCT(($D$10:$L$10&lt;&gt;"")*(($D$10:$L$10-($D$9:$L$9+INT(($S$12:$AA$12+INDEX($AJ$13:$AR$162,BN2329,0)+INDEX($AT$13:$BB$162,BO2329,0)+INDEX($BD$13:$BL$162,BP2329,0))/100)))&gt;0)*($D$10:$L$10-($D$9:$L$9+INT(($S$12:$AA$12+INDEX($AJ$13:$AR$162,BN2329,0)+INDEX($AT$13:$BB$162,BO2329,0)+INDEX($BD$13:$BL$162,BP2329,0))/100)))),0)</f>
        <v/>
      </c>
      <c r="BS2329">
        <f>IF(2316&lt;$U$9,SUMPRODUCT(($D$9:$L$9+INT(($S$12:$AA$12+INDEX($AJ$13:$AR$162,BN2329,0)+INDEX($AT$13:$BB$162,BO2329,0)+INDEX($BD$13:$BL$162,BP2329,0))/100))),0)</f>
        <v/>
      </c>
      <c r="BT2329">
        <f>IF(AND(2316&lt;$U$9,$W$5),BQ2329*1000000-MIN(BR2329,999)*1000+BS2329-2316/100000,-1000000000-2316)</f>
        <v/>
      </c>
    </row>
    <row r="2330">
      <c r="BN2330">
        <f>IF(2317&lt;$U$9,INT(2317/($U$7*$U$8))+1,1)</f>
        <v/>
      </c>
      <c r="BO2330">
        <f>IF(2317&lt;$U$9,MOD(INT(2317/$U$8),$U$7)+1,1)</f>
        <v/>
      </c>
      <c r="BP2330">
        <f>IF(2317&lt;$U$9,MOD(2317,$U$8)+1,1)</f>
        <v/>
      </c>
      <c r="BQ2330">
        <f>IF(2317&lt;$U$9,SUMPRODUCT(($D$10:$L$10&lt;&gt;"")*(($D$9:$L$9+INT(($S$12:$AA$12+INDEX($AJ$13:$AR$162,BN2330,0)+INDEX($AT$13:$BB$162,BO2330,0)+INDEX($BD$13:$BL$162,BP2330,0))/100))&gt;=$D$10:$L$10)),0)</f>
        <v/>
      </c>
      <c r="BR2330">
        <f>IF(2317&lt;$U$9,SUMPRODUCT(($D$10:$L$10&lt;&gt;"")*(($D$10:$L$10-($D$9:$L$9+INT(($S$12:$AA$12+INDEX($AJ$13:$AR$162,BN2330,0)+INDEX($AT$13:$BB$162,BO2330,0)+INDEX($BD$13:$BL$162,BP2330,0))/100)))&gt;0)*($D$10:$L$10-($D$9:$L$9+INT(($S$12:$AA$12+INDEX($AJ$13:$AR$162,BN2330,0)+INDEX($AT$13:$BB$162,BO2330,0)+INDEX($BD$13:$BL$162,BP2330,0))/100)))),0)</f>
        <v/>
      </c>
      <c r="BS2330">
        <f>IF(2317&lt;$U$9,SUMPRODUCT(($D$9:$L$9+INT(($S$12:$AA$12+INDEX($AJ$13:$AR$162,BN2330,0)+INDEX($AT$13:$BB$162,BO2330,0)+INDEX($BD$13:$BL$162,BP2330,0))/100))),0)</f>
        <v/>
      </c>
      <c r="BT2330">
        <f>IF(AND(2317&lt;$U$9,$W$5),BQ2330*1000000-MIN(BR2330,999)*1000+BS2330-2317/100000,-1000000000-2317)</f>
        <v/>
      </c>
    </row>
    <row r="2331">
      <c r="BN2331">
        <f>IF(2318&lt;$U$9,INT(2318/($U$7*$U$8))+1,1)</f>
        <v/>
      </c>
      <c r="BO2331">
        <f>IF(2318&lt;$U$9,MOD(INT(2318/$U$8),$U$7)+1,1)</f>
        <v/>
      </c>
      <c r="BP2331">
        <f>IF(2318&lt;$U$9,MOD(2318,$U$8)+1,1)</f>
        <v/>
      </c>
      <c r="BQ2331">
        <f>IF(2318&lt;$U$9,SUMPRODUCT(($D$10:$L$10&lt;&gt;"")*(($D$9:$L$9+INT(($S$12:$AA$12+INDEX($AJ$13:$AR$162,BN2331,0)+INDEX($AT$13:$BB$162,BO2331,0)+INDEX($BD$13:$BL$162,BP2331,0))/100))&gt;=$D$10:$L$10)),0)</f>
        <v/>
      </c>
      <c r="BR2331">
        <f>IF(2318&lt;$U$9,SUMPRODUCT(($D$10:$L$10&lt;&gt;"")*(($D$10:$L$10-($D$9:$L$9+INT(($S$12:$AA$12+INDEX($AJ$13:$AR$162,BN2331,0)+INDEX($AT$13:$BB$162,BO2331,0)+INDEX($BD$13:$BL$162,BP2331,0))/100)))&gt;0)*($D$10:$L$10-($D$9:$L$9+INT(($S$12:$AA$12+INDEX($AJ$13:$AR$162,BN2331,0)+INDEX($AT$13:$BB$162,BO2331,0)+INDEX($BD$13:$BL$162,BP2331,0))/100)))),0)</f>
        <v/>
      </c>
      <c r="BS2331">
        <f>IF(2318&lt;$U$9,SUMPRODUCT(($D$9:$L$9+INT(($S$12:$AA$12+INDEX($AJ$13:$AR$162,BN2331,0)+INDEX($AT$13:$BB$162,BO2331,0)+INDEX($BD$13:$BL$162,BP2331,0))/100))),0)</f>
        <v/>
      </c>
      <c r="BT2331">
        <f>IF(AND(2318&lt;$U$9,$W$5),BQ2331*1000000-MIN(BR2331,999)*1000+BS2331-2318/100000,-1000000000-2318)</f>
        <v/>
      </c>
    </row>
    <row r="2332">
      <c r="BN2332">
        <f>IF(2319&lt;$U$9,INT(2319/($U$7*$U$8))+1,1)</f>
        <v/>
      </c>
      <c r="BO2332">
        <f>IF(2319&lt;$U$9,MOD(INT(2319/$U$8),$U$7)+1,1)</f>
        <v/>
      </c>
      <c r="BP2332">
        <f>IF(2319&lt;$U$9,MOD(2319,$U$8)+1,1)</f>
        <v/>
      </c>
      <c r="BQ2332">
        <f>IF(2319&lt;$U$9,SUMPRODUCT(($D$10:$L$10&lt;&gt;"")*(($D$9:$L$9+INT(($S$12:$AA$12+INDEX($AJ$13:$AR$162,BN2332,0)+INDEX($AT$13:$BB$162,BO2332,0)+INDEX($BD$13:$BL$162,BP2332,0))/100))&gt;=$D$10:$L$10)),0)</f>
        <v/>
      </c>
      <c r="BR2332">
        <f>IF(2319&lt;$U$9,SUMPRODUCT(($D$10:$L$10&lt;&gt;"")*(($D$10:$L$10-($D$9:$L$9+INT(($S$12:$AA$12+INDEX($AJ$13:$AR$162,BN2332,0)+INDEX($AT$13:$BB$162,BO2332,0)+INDEX($BD$13:$BL$162,BP2332,0))/100)))&gt;0)*($D$10:$L$10-($D$9:$L$9+INT(($S$12:$AA$12+INDEX($AJ$13:$AR$162,BN2332,0)+INDEX($AT$13:$BB$162,BO2332,0)+INDEX($BD$13:$BL$162,BP2332,0))/100)))),0)</f>
        <v/>
      </c>
      <c r="BS2332">
        <f>IF(2319&lt;$U$9,SUMPRODUCT(($D$9:$L$9+INT(($S$12:$AA$12+INDEX($AJ$13:$AR$162,BN2332,0)+INDEX($AT$13:$BB$162,BO2332,0)+INDEX($BD$13:$BL$162,BP2332,0))/100))),0)</f>
        <v/>
      </c>
      <c r="BT2332">
        <f>IF(AND(2319&lt;$U$9,$W$5),BQ2332*1000000-MIN(BR2332,999)*1000+BS2332-2319/100000,-1000000000-2319)</f>
        <v/>
      </c>
    </row>
    <row r="2333">
      <c r="BN2333">
        <f>IF(2320&lt;$U$9,INT(2320/($U$7*$U$8))+1,1)</f>
        <v/>
      </c>
      <c r="BO2333">
        <f>IF(2320&lt;$U$9,MOD(INT(2320/$U$8),$U$7)+1,1)</f>
        <v/>
      </c>
      <c r="BP2333">
        <f>IF(2320&lt;$U$9,MOD(2320,$U$8)+1,1)</f>
        <v/>
      </c>
      <c r="BQ2333">
        <f>IF(2320&lt;$U$9,SUMPRODUCT(($D$10:$L$10&lt;&gt;"")*(($D$9:$L$9+INT(($S$12:$AA$12+INDEX($AJ$13:$AR$162,BN2333,0)+INDEX($AT$13:$BB$162,BO2333,0)+INDEX($BD$13:$BL$162,BP2333,0))/100))&gt;=$D$10:$L$10)),0)</f>
        <v/>
      </c>
      <c r="BR2333">
        <f>IF(2320&lt;$U$9,SUMPRODUCT(($D$10:$L$10&lt;&gt;"")*(($D$10:$L$10-($D$9:$L$9+INT(($S$12:$AA$12+INDEX($AJ$13:$AR$162,BN2333,0)+INDEX($AT$13:$BB$162,BO2333,0)+INDEX($BD$13:$BL$162,BP2333,0))/100)))&gt;0)*($D$10:$L$10-($D$9:$L$9+INT(($S$12:$AA$12+INDEX($AJ$13:$AR$162,BN2333,0)+INDEX($AT$13:$BB$162,BO2333,0)+INDEX($BD$13:$BL$162,BP2333,0))/100)))),0)</f>
        <v/>
      </c>
      <c r="BS2333">
        <f>IF(2320&lt;$U$9,SUMPRODUCT(($D$9:$L$9+INT(($S$12:$AA$12+INDEX($AJ$13:$AR$162,BN2333,0)+INDEX($AT$13:$BB$162,BO2333,0)+INDEX($BD$13:$BL$162,BP2333,0))/100))),0)</f>
        <v/>
      </c>
      <c r="BT2333">
        <f>IF(AND(2320&lt;$U$9,$W$5),BQ2333*1000000-MIN(BR2333,999)*1000+BS2333-2320/100000,-1000000000-2320)</f>
        <v/>
      </c>
    </row>
    <row r="2334">
      <c r="BN2334">
        <f>IF(2321&lt;$U$9,INT(2321/($U$7*$U$8))+1,1)</f>
        <v/>
      </c>
      <c r="BO2334">
        <f>IF(2321&lt;$U$9,MOD(INT(2321/$U$8),$U$7)+1,1)</f>
        <v/>
      </c>
      <c r="BP2334">
        <f>IF(2321&lt;$U$9,MOD(2321,$U$8)+1,1)</f>
        <v/>
      </c>
      <c r="BQ2334">
        <f>IF(2321&lt;$U$9,SUMPRODUCT(($D$10:$L$10&lt;&gt;"")*(($D$9:$L$9+INT(($S$12:$AA$12+INDEX($AJ$13:$AR$162,BN2334,0)+INDEX($AT$13:$BB$162,BO2334,0)+INDEX($BD$13:$BL$162,BP2334,0))/100))&gt;=$D$10:$L$10)),0)</f>
        <v/>
      </c>
      <c r="BR2334">
        <f>IF(2321&lt;$U$9,SUMPRODUCT(($D$10:$L$10&lt;&gt;"")*(($D$10:$L$10-($D$9:$L$9+INT(($S$12:$AA$12+INDEX($AJ$13:$AR$162,BN2334,0)+INDEX($AT$13:$BB$162,BO2334,0)+INDEX($BD$13:$BL$162,BP2334,0))/100)))&gt;0)*($D$10:$L$10-($D$9:$L$9+INT(($S$12:$AA$12+INDEX($AJ$13:$AR$162,BN2334,0)+INDEX($AT$13:$BB$162,BO2334,0)+INDEX($BD$13:$BL$162,BP2334,0))/100)))),0)</f>
        <v/>
      </c>
      <c r="BS2334">
        <f>IF(2321&lt;$U$9,SUMPRODUCT(($D$9:$L$9+INT(($S$12:$AA$12+INDEX($AJ$13:$AR$162,BN2334,0)+INDEX($AT$13:$BB$162,BO2334,0)+INDEX($BD$13:$BL$162,BP2334,0))/100))),0)</f>
        <v/>
      </c>
      <c r="BT2334">
        <f>IF(AND(2321&lt;$U$9,$W$5),BQ2334*1000000-MIN(BR2334,999)*1000+BS2334-2321/100000,-1000000000-2321)</f>
        <v/>
      </c>
    </row>
    <row r="2335">
      <c r="BN2335">
        <f>IF(2322&lt;$U$9,INT(2322/($U$7*$U$8))+1,1)</f>
        <v/>
      </c>
      <c r="BO2335">
        <f>IF(2322&lt;$U$9,MOD(INT(2322/$U$8),$U$7)+1,1)</f>
        <v/>
      </c>
      <c r="BP2335">
        <f>IF(2322&lt;$U$9,MOD(2322,$U$8)+1,1)</f>
        <v/>
      </c>
      <c r="BQ2335">
        <f>IF(2322&lt;$U$9,SUMPRODUCT(($D$10:$L$10&lt;&gt;"")*(($D$9:$L$9+INT(($S$12:$AA$12+INDEX($AJ$13:$AR$162,BN2335,0)+INDEX($AT$13:$BB$162,BO2335,0)+INDEX($BD$13:$BL$162,BP2335,0))/100))&gt;=$D$10:$L$10)),0)</f>
        <v/>
      </c>
      <c r="BR2335">
        <f>IF(2322&lt;$U$9,SUMPRODUCT(($D$10:$L$10&lt;&gt;"")*(($D$10:$L$10-($D$9:$L$9+INT(($S$12:$AA$12+INDEX($AJ$13:$AR$162,BN2335,0)+INDEX($AT$13:$BB$162,BO2335,0)+INDEX($BD$13:$BL$162,BP2335,0))/100)))&gt;0)*($D$10:$L$10-($D$9:$L$9+INT(($S$12:$AA$12+INDEX($AJ$13:$AR$162,BN2335,0)+INDEX($AT$13:$BB$162,BO2335,0)+INDEX($BD$13:$BL$162,BP2335,0))/100)))),0)</f>
        <v/>
      </c>
      <c r="BS2335">
        <f>IF(2322&lt;$U$9,SUMPRODUCT(($D$9:$L$9+INT(($S$12:$AA$12+INDEX($AJ$13:$AR$162,BN2335,0)+INDEX($AT$13:$BB$162,BO2335,0)+INDEX($BD$13:$BL$162,BP2335,0))/100))),0)</f>
        <v/>
      </c>
      <c r="BT2335">
        <f>IF(AND(2322&lt;$U$9,$W$5),BQ2335*1000000-MIN(BR2335,999)*1000+BS2335-2322/100000,-1000000000-2322)</f>
        <v/>
      </c>
    </row>
    <row r="2336">
      <c r="BN2336">
        <f>IF(2323&lt;$U$9,INT(2323/($U$7*$U$8))+1,1)</f>
        <v/>
      </c>
      <c r="BO2336">
        <f>IF(2323&lt;$U$9,MOD(INT(2323/$U$8),$U$7)+1,1)</f>
        <v/>
      </c>
      <c r="BP2336">
        <f>IF(2323&lt;$U$9,MOD(2323,$U$8)+1,1)</f>
        <v/>
      </c>
      <c r="BQ2336">
        <f>IF(2323&lt;$U$9,SUMPRODUCT(($D$10:$L$10&lt;&gt;"")*(($D$9:$L$9+INT(($S$12:$AA$12+INDEX($AJ$13:$AR$162,BN2336,0)+INDEX($AT$13:$BB$162,BO2336,0)+INDEX($BD$13:$BL$162,BP2336,0))/100))&gt;=$D$10:$L$10)),0)</f>
        <v/>
      </c>
      <c r="BR2336">
        <f>IF(2323&lt;$U$9,SUMPRODUCT(($D$10:$L$10&lt;&gt;"")*(($D$10:$L$10-($D$9:$L$9+INT(($S$12:$AA$12+INDEX($AJ$13:$AR$162,BN2336,0)+INDEX($AT$13:$BB$162,BO2336,0)+INDEX($BD$13:$BL$162,BP2336,0))/100)))&gt;0)*($D$10:$L$10-($D$9:$L$9+INT(($S$12:$AA$12+INDEX($AJ$13:$AR$162,BN2336,0)+INDEX($AT$13:$BB$162,BO2336,0)+INDEX($BD$13:$BL$162,BP2336,0))/100)))),0)</f>
        <v/>
      </c>
      <c r="BS2336">
        <f>IF(2323&lt;$U$9,SUMPRODUCT(($D$9:$L$9+INT(($S$12:$AA$12+INDEX($AJ$13:$AR$162,BN2336,0)+INDEX($AT$13:$BB$162,BO2336,0)+INDEX($BD$13:$BL$162,BP2336,0))/100))),0)</f>
        <v/>
      </c>
      <c r="BT2336">
        <f>IF(AND(2323&lt;$U$9,$W$5),BQ2336*1000000-MIN(BR2336,999)*1000+BS2336-2323/100000,-1000000000-2323)</f>
        <v/>
      </c>
    </row>
    <row r="2337">
      <c r="BN2337">
        <f>IF(2324&lt;$U$9,INT(2324/($U$7*$U$8))+1,1)</f>
        <v/>
      </c>
      <c r="BO2337">
        <f>IF(2324&lt;$U$9,MOD(INT(2324/$U$8),$U$7)+1,1)</f>
        <v/>
      </c>
      <c r="BP2337">
        <f>IF(2324&lt;$U$9,MOD(2324,$U$8)+1,1)</f>
        <v/>
      </c>
      <c r="BQ2337">
        <f>IF(2324&lt;$U$9,SUMPRODUCT(($D$10:$L$10&lt;&gt;"")*(($D$9:$L$9+INT(($S$12:$AA$12+INDEX($AJ$13:$AR$162,BN2337,0)+INDEX($AT$13:$BB$162,BO2337,0)+INDEX($BD$13:$BL$162,BP2337,0))/100))&gt;=$D$10:$L$10)),0)</f>
        <v/>
      </c>
      <c r="BR2337">
        <f>IF(2324&lt;$U$9,SUMPRODUCT(($D$10:$L$10&lt;&gt;"")*(($D$10:$L$10-($D$9:$L$9+INT(($S$12:$AA$12+INDEX($AJ$13:$AR$162,BN2337,0)+INDEX($AT$13:$BB$162,BO2337,0)+INDEX($BD$13:$BL$162,BP2337,0))/100)))&gt;0)*($D$10:$L$10-($D$9:$L$9+INT(($S$12:$AA$12+INDEX($AJ$13:$AR$162,BN2337,0)+INDEX($AT$13:$BB$162,BO2337,0)+INDEX($BD$13:$BL$162,BP2337,0))/100)))),0)</f>
        <v/>
      </c>
      <c r="BS2337">
        <f>IF(2324&lt;$U$9,SUMPRODUCT(($D$9:$L$9+INT(($S$12:$AA$12+INDEX($AJ$13:$AR$162,BN2337,0)+INDEX($AT$13:$BB$162,BO2337,0)+INDEX($BD$13:$BL$162,BP2337,0))/100))),0)</f>
        <v/>
      </c>
      <c r="BT2337">
        <f>IF(AND(2324&lt;$U$9,$W$5),BQ2337*1000000-MIN(BR2337,999)*1000+BS2337-2324/100000,-1000000000-2324)</f>
        <v/>
      </c>
    </row>
    <row r="2338">
      <c r="BN2338">
        <f>IF(2325&lt;$U$9,INT(2325/($U$7*$U$8))+1,1)</f>
        <v/>
      </c>
      <c r="BO2338">
        <f>IF(2325&lt;$U$9,MOD(INT(2325/$U$8),$U$7)+1,1)</f>
        <v/>
      </c>
      <c r="BP2338">
        <f>IF(2325&lt;$U$9,MOD(2325,$U$8)+1,1)</f>
        <v/>
      </c>
      <c r="BQ2338">
        <f>IF(2325&lt;$U$9,SUMPRODUCT(($D$10:$L$10&lt;&gt;"")*(($D$9:$L$9+INT(($S$12:$AA$12+INDEX($AJ$13:$AR$162,BN2338,0)+INDEX($AT$13:$BB$162,BO2338,0)+INDEX($BD$13:$BL$162,BP2338,0))/100))&gt;=$D$10:$L$10)),0)</f>
        <v/>
      </c>
      <c r="BR2338">
        <f>IF(2325&lt;$U$9,SUMPRODUCT(($D$10:$L$10&lt;&gt;"")*(($D$10:$L$10-($D$9:$L$9+INT(($S$12:$AA$12+INDEX($AJ$13:$AR$162,BN2338,0)+INDEX($AT$13:$BB$162,BO2338,0)+INDEX($BD$13:$BL$162,BP2338,0))/100)))&gt;0)*($D$10:$L$10-($D$9:$L$9+INT(($S$12:$AA$12+INDEX($AJ$13:$AR$162,BN2338,0)+INDEX($AT$13:$BB$162,BO2338,0)+INDEX($BD$13:$BL$162,BP2338,0))/100)))),0)</f>
        <v/>
      </c>
      <c r="BS2338">
        <f>IF(2325&lt;$U$9,SUMPRODUCT(($D$9:$L$9+INT(($S$12:$AA$12+INDEX($AJ$13:$AR$162,BN2338,0)+INDEX($AT$13:$BB$162,BO2338,0)+INDEX($BD$13:$BL$162,BP2338,0))/100))),0)</f>
        <v/>
      </c>
      <c r="BT2338">
        <f>IF(AND(2325&lt;$U$9,$W$5),BQ2338*1000000-MIN(BR2338,999)*1000+BS2338-2325/100000,-1000000000-2325)</f>
        <v/>
      </c>
    </row>
    <row r="2339">
      <c r="BN2339">
        <f>IF(2326&lt;$U$9,INT(2326/($U$7*$U$8))+1,1)</f>
        <v/>
      </c>
      <c r="BO2339">
        <f>IF(2326&lt;$U$9,MOD(INT(2326/$U$8),$U$7)+1,1)</f>
        <v/>
      </c>
      <c r="BP2339">
        <f>IF(2326&lt;$U$9,MOD(2326,$U$8)+1,1)</f>
        <v/>
      </c>
      <c r="BQ2339">
        <f>IF(2326&lt;$U$9,SUMPRODUCT(($D$10:$L$10&lt;&gt;"")*(($D$9:$L$9+INT(($S$12:$AA$12+INDEX($AJ$13:$AR$162,BN2339,0)+INDEX($AT$13:$BB$162,BO2339,0)+INDEX($BD$13:$BL$162,BP2339,0))/100))&gt;=$D$10:$L$10)),0)</f>
        <v/>
      </c>
      <c r="BR2339">
        <f>IF(2326&lt;$U$9,SUMPRODUCT(($D$10:$L$10&lt;&gt;"")*(($D$10:$L$10-($D$9:$L$9+INT(($S$12:$AA$12+INDEX($AJ$13:$AR$162,BN2339,0)+INDEX($AT$13:$BB$162,BO2339,0)+INDEX($BD$13:$BL$162,BP2339,0))/100)))&gt;0)*($D$10:$L$10-($D$9:$L$9+INT(($S$12:$AA$12+INDEX($AJ$13:$AR$162,BN2339,0)+INDEX($AT$13:$BB$162,BO2339,0)+INDEX($BD$13:$BL$162,BP2339,0))/100)))),0)</f>
        <v/>
      </c>
      <c r="BS2339">
        <f>IF(2326&lt;$U$9,SUMPRODUCT(($D$9:$L$9+INT(($S$12:$AA$12+INDEX($AJ$13:$AR$162,BN2339,0)+INDEX($AT$13:$BB$162,BO2339,0)+INDEX($BD$13:$BL$162,BP2339,0))/100))),0)</f>
        <v/>
      </c>
      <c r="BT2339">
        <f>IF(AND(2326&lt;$U$9,$W$5),BQ2339*1000000-MIN(BR2339,999)*1000+BS2339-2326/100000,-1000000000-2326)</f>
        <v/>
      </c>
    </row>
    <row r="2340">
      <c r="BN2340">
        <f>IF(2327&lt;$U$9,INT(2327/($U$7*$U$8))+1,1)</f>
        <v/>
      </c>
      <c r="BO2340">
        <f>IF(2327&lt;$U$9,MOD(INT(2327/$U$8),$U$7)+1,1)</f>
        <v/>
      </c>
      <c r="BP2340">
        <f>IF(2327&lt;$U$9,MOD(2327,$U$8)+1,1)</f>
        <v/>
      </c>
      <c r="BQ2340">
        <f>IF(2327&lt;$U$9,SUMPRODUCT(($D$10:$L$10&lt;&gt;"")*(($D$9:$L$9+INT(($S$12:$AA$12+INDEX($AJ$13:$AR$162,BN2340,0)+INDEX($AT$13:$BB$162,BO2340,0)+INDEX($BD$13:$BL$162,BP2340,0))/100))&gt;=$D$10:$L$10)),0)</f>
        <v/>
      </c>
      <c r="BR2340">
        <f>IF(2327&lt;$U$9,SUMPRODUCT(($D$10:$L$10&lt;&gt;"")*(($D$10:$L$10-($D$9:$L$9+INT(($S$12:$AA$12+INDEX($AJ$13:$AR$162,BN2340,0)+INDEX($AT$13:$BB$162,BO2340,0)+INDEX($BD$13:$BL$162,BP2340,0))/100)))&gt;0)*($D$10:$L$10-($D$9:$L$9+INT(($S$12:$AA$12+INDEX($AJ$13:$AR$162,BN2340,0)+INDEX($AT$13:$BB$162,BO2340,0)+INDEX($BD$13:$BL$162,BP2340,0))/100)))),0)</f>
        <v/>
      </c>
      <c r="BS2340">
        <f>IF(2327&lt;$U$9,SUMPRODUCT(($D$9:$L$9+INT(($S$12:$AA$12+INDEX($AJ$13:$AR$162,BN2340,0)+INDEX($AT$13:$BB$162,BO2340,0)+INDEX($BD$13:$BL$162,BP2340,0))/100))),0)</f>
        <v/>
      </c>
      <c r="BT2340">
        <f>IF(AND(2327&lt;$U$9,$W$5),BQ2340*1000000-MIN(BR2340,999)*1000+BS2340-2327/100000,-1000000000-2327)</f>
        <v/>
      </c>
    </row>
    <row r="2341">
      <c r="BN2341">
        <f>IF(2328&lt;$U$9,INT(2328/($U$7*$U$8))+1,1)</f>
        <v/>
      </c>
      <c r="BO2341">
        <f>IF(2328&lt;$U$9,MOD(INT(2328/$U$8),$U$7)+1,1)</f>
        <v/>
      </c>
      <c r="BP2341">
        <f>IF(2328&lt;$U$9,MOD(2328,$U$8)+1,1)</f>
        <v/>
      </c>
      <c r="BQ2341">
        <f>IF(2328&lt;$U$9,SUMPRODUCT(($D$10:$L$10&lt;&gt;"")*(($D$9:$L$9+INT(($S$12:$AA$12+INDEX($AJ$13:$AR$162,BN2341,0)+INDEX($AT$13:$BB$162,BO2341,0)+INDEX($BD$13:$BL$162,BP2341,0))/100))&gt;=$D$10:$L$10)),0)</f>
        <v/>
      </c>
      <c r="BR2341">
        <f>IF(2328&lt;$U$9,SUMPRODUCT(($D$10:$L$10&lt;&gt;"")*(($D$10:$L$10-($D$9:$L$9+INT(($S$12:$AA$12+INDEX($AJ$13:$AR$162,BN2341,0)+INDEX($AT$13:$BB$162,BO2341,0)+INDEX($BD$13:$BL$162,BP2341,0))/100)))&gt;0)*($D$10:$L$10-($D$9:$L$9+INT(($S$12:$AA$12+INDEX($AJ$13:$AR$162,BN2341,0)+INDEX($AT$13:$BB$162,BO2341,0)+INDEX($BD$13:$BL$162,BP2341,0))/100)))),0)</f>
        <v/>
      </c>
      <c r="BS2341">
        <f>IF(2328&lt;$U$9,SUMPRODUCT(($D$9:$L$9+INT(($S$12:$AA$12+INDEX($AJ$13:$AR$162,BN2341,0)+INDEX($AT$13:$BB$162,BO2341,0)+INDEX($BD$13:$BL$162,BP2341,0))/100))),0)</f>
        <v/>
      </c>
      <c r="BT2341">
        <f>IF(AND(2328&lt;$U$9,$W$5),BQ2341*1000000-MIN(BR2341,999)*1000+BS2341-2328/100000,-1000000000-2328)</f>
        <v/>
      </c>
    </row>
    <row r="2342">
      <c r="BN2342">
        <f>IF(2329&lt;$U$9,INT(2329/($U$7*$U$8))+1,1)</f>
        <v/>
      </c>
      <c r="BO2342">
        <f>IF(2329&lt;$U$9,MOD(INT(2329/$U$8),$U$7)+1,1)</f>
        <v/>
      </c>
      <c r="BP2342">
        <f>IF(2329&lt;$U$9,MOD(2329,$U$8)+1,1)</f>
        <v/>
      </c>
      <c r="BQ2342">
        <f>IF(2329&lt;$U$9,SUMPRODUCT(($D$10:$L$10&lt;&gt;"")*(($D$9:$L$9+INT(($S$12:$AA$12+INDEX($AJ$13:$AR$162,BN2342,0)+INDEX($AT$13:$BB$162,BO2342,0)+INDEX($BD$13:$BL$162,BP2342,0))/100))&gt;=$D$10:$L$10)),0)</f>
        <v/>
      </c>
      <c r="BR2342">
        <f>IF(2329&lt;$U$9,SUMPRODUCT(($D$10:$L$10&lt;&gt;"")*(($D$10:$L$10-($D$9:$L$9+INT(($S$12:$AA$12+INDEX($AJ$13:$AR$162,BN2342,0)+INDEX($AT$13:$BB$162,BO2342,0)+INDEX($BD$13:$BL$162,BP2342,0))/100)))&gt;0)*($D$10:$L$10-($D$9:$L$9+INT(($S$12:$AA$12+INDEX($AJ$13:$AR$162,BN2342,0)+INDEX($AT$13:$BB$162,BO2342,0)+INDEX($BD$13:$BL$162,BP2342,0))/100)))),0)</f>
        <v/>
      </c>
      <c r="BS2342">
        <f>IF(2329&lt;$U$9,SUMPRODUCT(($D$9:$L$9+INT(($S$12:$AA$12+INDEX($AJ$13:$AR$162,BN2342,0)+INDEX($AT$13:$BB$162,BO2342,0)+INDEX($BD$13:$BL$162,BP2342,0))/100))),0)</f>
        <v/>
      </c>
      <c r="BT2342">
        <f>IF(AND(2329&lt;$U$9,$W$5),BQ2342*1000000-MIN(BR2342,999)*1000+BS2342-2329/100000,-1000000000-2329)</f>
        <v/>
      </c>
    </row>
    <row r="2343">
      <c r="BN2343">
        <f>IF(2330&lt;$U$9,INT(2330/($U$7*$U$8))+1,1)</f>
        <v/>
      </c>
      <c r="BO2343">
        <f>IF(2330&lt;$U$9,MOD(INT(2330/$U$8),$U$7)+1,1)</f>
        <v/>
      </c>
      <c r="BP2343">
        <f>IF(2330&lt;$U$9,MOD(2330,$U$8)+1,1)</f>
        <v/>
      </c>
      <c r="BQ2343">
        <f>IF(2330&lt;$U$9,SUMPRODUCT(($D$10:$L$10&lt;&gt;"")*(($D$9:$L$9+INT(($S$12:$AA$12+INDEX($AJ$13:$AR$162,BN2343,0)+INDEX($AT$13:$BB$162,BO2343,0)+INDEX($BD$13:$BL$162,BP2343,0))/100))&gt;=$D$10:$L$10)),0)</f>
        <v/>
      </c>
      <c r="BR2343">
        <f>IF(2330&lt;$U$9,SUMPRODUCT(($D$10:$L$10&lt;&gt;"")*(($D$10:$L$10-($D$9:$L$9+INT(($S$12:$AA$12+INDEX($AJ$13:$AR$162,BN2343,0)+INDEX($AT$13:$BB$162,BO2343,0)+INDEX($BD$13:$BL$162,BP2343,0))/100)))&gt;0)*($D$10:$L$10-($D$9:$L$9+INT(($S$12:$AA$12+INDEX($AJ$13:$AR$162,BN2343,0)+INDEX($AT$13:$BB$162,BO2343,0)+INDEX($BD$13:$BL$162,BP2343,0))/100)))),0)</f>
        <v/>
      </c>
      <c r="BS2343">
        <f>IF(2330&lt;$U$9,SUMPRODUCT(($D$9:$L$9+INT(($S$12:$AA$12+INDEX($AJ$13:$AR$162,BN2343,0)+INDEX($AT$13:$BB$162,BO2343,0)+INDEX($BD$13:$BL$162,BP2343,0))/100))),0)</f>
        <v/>
      </c>
      <c r="BT2343">
        <f>IF(AND(2330&lt;$U$9,$W$5),BQ2343*1000000-MIN(BR2343,999)*1000+BS2343-2330/100000,-1000000000-2330)</f>
        <v/>
      </c>
    </row>
    <row r="2344">
      <c r="BN2344">
        <f>IF(2331&lt;$U$9,INT(2331/($U$7*$U$8))+1,1)</f>
        <v/>
      </c>
      <c r="BO2344">
        <f>IF(2331&lt;$U$9,MOD(INT(2331/$U$8),$U$7)+1,1)</f>
        <v/>
      </c>
      <c r="BP2344">
        <f>IF(2331&lt;$U$9,MOD(2331,$U$8)+1,1)</f>
        <v/>
      </c>
      <c r="BQ2344">
        <f>IF(2331&lt;$U$9,SUMPRODUCT(($D$10:$L$10&lt;&gt;"")*(($D$9:$L$9+INT(($S$12:$AA$12+INDEX($AJ$13:$AR$162,BN2344,0)+INDEX($AT$13:$BB$162,BO2344,0)+INDEX($BD$13:$BL$162,BP2344,0))/100))&gt;=$D$10:$L$10)),0)</f>
        <v/>
      </c>
      <c r="BR2344">
        <f>IF(2331&lt;$U$9,SUMPRODUCT(($D$10:$L$10&lt;&gt;"")*(($D$10:$L$10-($D$9:$L$9+INT(($S$12:$AA$12+INDEX($AJ$13:$AR$162,BN2344,0)+INDEX($AT$13:$BB$162,BO2344,0)+INDEX($BD$13:$BL$162,BP2344,0))/100)))&gt;0)*($D$10:$L$10-($D$9:$L$9+INT(($S$12:$AA$12+INDEX($AJ$13:$AR$162,BN2344,0)+INDEX($AT$13:$BB$162,BO2344,0)+INDEX($BD$13:$BL$162,BP2344,0))/100)))),0)</f>
        <v/>
      </c>
      <c r="BS2344">
        <f>IF(2331&lt;$U$9,SUMPRODUCT(($D$9:$L$9+INT(($S$12:$AA$12+INDEX($AJ$13:$AR$162,BN2344,0)+INDEX($AT$13:$BB$162,BO2344,0)+INDEX($BD$13:$BL$162,BP2344,0))/100))),0)</f>
        <v/>
      </c>
      <c r="BT2344">
        <f>IF(AND(2331&lt;$U$9,$W$5),BQ2344*1000000-MIN(BR2344,999)*1000+BS2344-2331/100000,-1000000000-2331)</f>
        <v/>
      </c>
    </row>
    <row r="2345">
      <c r="BN2345">
        <f>IF(2332&lt;$U$9,INT(2332/($U$7*$U$8))+1,1)</f>
        <v/>
      </c>
      <c r="BO2345">
        <f>IF(2332&lt;$U$9,MOD(INT(2332/$U$8),$U$7)+1,1)</f>
        <v/>
      </c>
      <c r="BP2345">
        <f>IF(2332&lt;$U$9,MOD(2332,$U$8)+1,1)</f>
        <v/>
      </c>
      <c r="BQ2345">
        <f>IF(2332&lt;$U$9,SUMPRODUCT(($D$10:$L$10&lt;&gt;"")*(($D$9:$L$9+INT(($S$12:$AA$12+INDEX($AJ$13:$AR$162,BN2345,0)+INDEX($AT$13:$BB$162,BO2345,0)+INDEX($BD$13:$BL$162,BP2345,0))/100))&gt;=$D$10:$L$10)),0)</f>
        <v/>
      </c>
      <c r="BR2345">
        <f>IF(2332&lt;$U$9,SUMPRODUCT(($D$10:$L$10&lt;&gt;"")*(($D$10:$L$10-($D$9:$L$9+INT(($S$12:$AA$12+INDEX($AJ$13:$AR$162,BN2345,0)+INDEX($AT$13:$BB$162,BO2345,0)+INDEX($BD$13:$BL$162,BP2345,0))/100)))&gt;0)*($D$10:$L$10-($D$9:$L$9+INT(($S$12:$AA$12+INDEX($AJ$13:$AR$162,BN2345,0)+INDEX($AT$13:$BB$162,BO2345,0)+INDEX($BD$13:$BL$162,BP2345,0))/100)))),0)</f>
        <v/>
      </c>
      <c r="BS2345">
        <f>IF(2332&lt;$U$9,SUMPRODUCT(($D$9:$L$9+INT(($S$12:$AA$12+INDEX($AJ$13:$AR$162,BN2345,0)+INDEX($AT$13:$BB$162,BO2345,0)+INDEX($BD$13:$BL$162,BP2345,0))/100))),0)</f>
        <v/>
      </c>
      <c r="BT2345">
        <f>IF(AND(2332&lt;$U$9,$W$5),BQ2345*1000000-MIN(BR2345,999)*1000+BS2345-2332/100000,-1000000000-2332)</f>
        <v/>
      </c>
    </row>
    <row r="2346">
      <c r="BN2346">
        <f>IF(2333&lt;$U$9,INT(2333/($U$7*$U$8))+1,1)</f>
        <v/>
      </c>
      <c r="BO2346">
        <f>IF(2333&lt;$U$9,MOD(INT(2333/$U$8),$U$7)+1,1)</f>
        <v/>
      </c>
      <c r="BP2346">
        <f>IF(2333&lt;$U$9,MOD(2333,$U$8)+1,1)</f>
        <v/>
      </c>
      <c r="BQ2346">
        <f>IF(2333&lt;$U$9,SUMPRODUCT(($D$10:$L$10&lt;&gt;"")*(($D$9:$L$9+INT(($S$12:$AA$12+INDEX($AJ$13:$AR$162,BN2346,0)+INDEX($AT$13:$BB$162,BO2346,0)+INDEX($BD$13:$BL$162,BP2346,0))/100))&gt;=$D$10:$L$10)),0)</f>
        <v/>
      </c>
      <c r="BR2346">
        <f>IF(2333&lt;$U$9,SUMPRODUCT(($D$10:$L$10&lt;&gt;"")*(($D$10:$L$10-($D$9:$L$9+INT(($S$12:$AA$12+INDEX($AJ$13:$AR$162,BN2346,0)+INDEX($AT$13:$BB$162,BO2346,0)+INDEX($BD$13:$BL$162,BP2346,0))/100)))&gt;0)*($D$10:$L$10-($D$9:$L$9+INT(($S$12:$AA$12+INDEX($AJ$13:$AR$162,BN2346,0)+INDEX($AT$13:$BB$162,BO2346,0)+INDEX($BD$13:$BL$162,BP2346,0))/100)))),0)</f>
        <v/>
      </c>
      <c r="BS2346">
        <f>IF(2333&lt;$U$9,SUMPRODUCT(($D$9:$L$9+INT(($S$12:$AA$12+INDEX($AJ$13:$AR$162,BN2346,0)+INDEX($AT$13:$BB$162,BO2346,0)+INDEX($BD$13:$BL$162,BP2346,0))/100))),0)</f>
        <v/>
      </c>
      <c r="BT2346">
        <f>IF(AND(2333&lt;$U$9,$W$5),BQ2346*1000000-MIN(BR2346,999)*1000+BS2346-2333/100000,-1000000000-2333)</f>
        <v/>
      </c>
    </row>
    <row r="2347">
      <c r="BN2347">
        <f>IF(2334&lt;$U$9,INT(2334/($U$7*$U$8))+1,1)</f>
        <v/>
      </c>
      <c r="BO2347">
        <f>IF(2334&lt;$U$9,MOD(INT(2334/$U$8),$U$7)+1,1)</f>
        <v/>
      </c>
      <c r="BP2347">
        <f>IF(2334&lt;$U$9,MOD(2334,$U$8)+1,1)</f>
        <v/>
      </c>
      <c r="BQ2347">
        <f>IF(2334&lt;$U$9,SUMPRODUCT(($D$10:$L$10&lt;&gt;"")*(($D$9:$L$9+INT(($S$12:$AA$12+INDEX($AJ$13:$AR$162,BN2347,0)+INDEX($AT$13:$BB$162,BO2347,0)+INDEX($BD$13:$BL$162,BP2347,0))/100))&gt;=$D$10:$L$10)),0)</f>
        <v/>
      </c>
      <c r="BR2347">
        <f>IF(2334&lt;$U$9,SUMPRODUCT(($D$10:$L$10&lt;&gt;"")*(($D$10:$L$10-($D$9:$L$9+INT(($S$12:$AA$12+INDEX($AJ$13:$AR$162,BN2347,0)+INDEX($AT$13:$BB$162,BO2347,0)+INDEX($BD$13:$BL$162,BP2347,0))/100)))&gt;0)*($D$10:$L$10-($D$9:$L$9+INT(($S$12:$AA$12+INDEX($AJ$13:$AR$162,BN2347,0)+INDEX($AT$13:$BB$162,BO2347,0)+INDEX($BD$13:$BL$162,BP2347,0))/100)))),0)</f>
        <v/>
      </c>
      <c r="BS2347">
        <f>IF(2334&lt;$U$9,SUMPRODUCT(($D$9:$L$9+INT(($S$12:$AA$12+INDEX($AJ$13:$AR$162,BN2347,0)+INDEX($AT$13:$BB$162,BO2347,0)+INDEX($BD$13:$BL$162,BP2347,0))/100))),0)</f>
        <v/>
      </c>
      <c r="BT2347">
        <f>IF(AND(2334&lt;$U$9,$W$5),BQ2347*1000000-MIN(BR2347,999)*1000+BS2347-2334/100000,-1000000000-2334)</f>
        <v/>
      </c>
    </row>
    <row r="2348">
      <c r="BN2348">
        <f>IF(2335&lt;$U$9,INT(2335/($U$7*$U$8))+1,1)</f>
        <v/>
      </c>
      <c r="BO2348">
        <f>IF(2335&lt;$U$9,MOD(INT(2335/$U$8),$U$7)+1,1)</f>
        <v/>
      </c>
      <c r="BP2348">
        <f>IF(2335&lt;$U$9,MOD(2335,$U$8)+1,1)</f>
        <v/>
      </c>
      <c r="BQ2348">
        <f>IF(2335&lt;$U$9,SUMPRODUCT(($D$10:$L$10&lt;&gt;"")*(($D$9:$L$9+INT(($S$12:$AA$12+INDEX($AJ$13:$AR$162,BN2348,0)+INDEX($AT$13:$BB$162,BO2348,0)+INDEX($BD$13:$BL$162,BP2348,0))/100))&gt;=$D$10:$L$10)),0)</f>
        <v/>
      </c>
      <c r="BR2348">
        <f>IF(2335&lt;$U$9,SUMPRODUCT(($D$10:$L$10&lt;&gt;"")*(($D$10:$L$10-($D$9:$L$9+INT(($S$12:$AA$12+INDEX($AJ$13:$AR$162,BN2348,0)+INDEX($AT$13:$BB$162,BO2348,0)+INDEX($BD$13:$BL$162,BP2348,0))/100)))&gt;0)*($D$10:$L$10-($D$9:$L$9+INT(($S$12:$AA$12+INDEX($AJ$13:$AR$162,BN2348,0)+INDEX($AT$13:$BB$162,BO2348,0)+INDEX($BD$13:$BL$162,BP2348,0))/100)))),0)</f>
        <v/>
      </c>
      <c r="BS2348">
        <f>IF(2335&lt;$U$9,SUMPRODUCT(($D$9:$L$9+INT(($S$12:$AA$12+INDEX($AJ$13:$AR$162,BN2348,0)+INDEX($AT$13:$BB$162,BO2348,0)+INDEX($BD$13:$BL$162,BP2348,0))/100))),0)</f>
        <v/>
      </c>
      <c r="BT2348">
        <f>IF(AND(2335&lt;$U$9,$W$5),BQ2348*1000000-MIN(BR2348,999)*1000+BS2348-2335/100000,-1000000000-2335)</f>
        <v/>
      </c>
    </row>
    <row r="2349">
      <c r="BN2349">
        <f>IF(2336&lt;$U$9,INT(2336/($U$7*$U$8))+1,1)</f>
        <v/>
      </c>
      <c r="BO2349">
        <f>IF(2336&lt;$U$9,MOD(INT(2336/$U$8),$U$7)+1,1)</f>
        <v/>
      </c>
      <c r="BP2349">
        <f>IF(2336&lt;$U$9,MOD(2336,$U$8)+1,1)</f>
        <v/>
      </c>
      <c r="BQ2349">
        <f>IF(2336&lt;$U$9,SUMPRODUCT(($D$10:$L$10&lt;&gt;"")*(($D$9:$L$9+INT(($S$12:$AA$12+INDEX($AJ$13:$AR$162,BN2349,0)+INDEX($AT$13:$BB$162,BO2349,0)+INDEX($BD$13:$BL$162,BP2349,0))/100))&gt;=$D$10:$L$10)),0)</f>
        <v/>
      </c>
      <c r="BR2349">
        <f>IF(2336&lt;$U$9,SUMPRODUCT(($D$10:$L$10&lt;&gt;"")*(($D$10:$L$10-($D$9:$L$9+INT(($S$12:$AA$12+INDEX($AJ$13:$AR$162,BN2349,0)+INDEX($AT$13:$BB$162,BO2349,0)+INDEX($BD$13:$BL$162,BP2349,0))/100)))&gt;0)*($D$10:$L$10-($D$9:$L$9+INT(($S$12:$AA$12+INDEX($AJ$13:$AR$162,BN2349,0)+INDEX($AT$13:$BB$162,BO2349,0)+INDEX($BD$13:$BL$162,BP2349,0))/100)))),0)</f>
        <v/>
      </c>
      <c r="BS2349">
        <f>IF(2336&lt;$U$9,SUMPRODUCT(($D$9:$L$9+INT(($S$12:$AA$12+INDEX($AJ$13:$AR$162,BN2349,0)+INDEX($AT$13:$BB$162,BO2349,0)+INDEX($BD$13:$BL$162,BP2349,0))/100))),0)</f>
        <v/>
      </c>
      <c r="BT2349">
        <f>IF(AND(2336&lt;$U$9,$W$5),BQ2349*1000000-MIN(BR2349,999)*1000+BS2349-2336/100000,-1000000000-2336)</f>
        <v/>
      </c>
    </row>
    <row r="2350">
      <c r="BN2350">
        <f>IF(2337&lt;$U$9,INT(2337/($U$7*$U$8))+1,1)</f>
        <v/>
      </c>
      <c r="BO2350">
        <f>IF(2337&lt;$U$9,MOD(INT(2337/$U$8),$U$7)+1,1)</f>
        <v/>
      </c>
      <c r="BP2350">
        <f>IF(2337&lt;$U$9,MOD(2337,$U$8)+1,1)</f>
        <v/>
      </c>
      <c r="BQ2350">
        <f>IF(2337&lt;$U$9,SUMPRODUCT(($D$10:$L$10&lt;&gt;"")*(($D$9:$L$9+INT(($S$12:$AA$12+INDEX($AJ$13:$AR$162,BN2350,0)+INDEX($AT$13:$BB$162,BO2350,0)+INDEX($BD$13:$BL$162,BP2350,0))/100))&gt;=$D$10:$L$10)),0)</f>
        <v/>
      </c>
      <c r="BR2350">
        <f>IF(2337&lt;$U$9,SUMPRODUCT(($D$10:$L$10&lt;&gt;"")*(($D$10:$L$10-($D$9:$L$9+INT(($S$12:$AA$12+INDEX($AJ$13:$AR$162,BN2350,0)+INDEX($AT$13:$BB$162,BO2350,0)+INDEX($BD$13:$BL$162,BP2350,0))/100)))&gt;0)*($D$10:$L$10-($D$9:$L$9+INT(($S$12:$AA$12+INDEX($AJ$13:$AR$162,BN2350,0)+INDEX($AT$13:$BB$162,BO2350,0)+INDEX($BD$13:$BL$162,BP2350,0))/100)))),0)</f>
        <v/>
      </c>
      <c r="BS2350">
        <f>IF(2337&lt;$U$9,SUMPRODUCT(($D$9:$L$9+INT(($S$12:$AA$12+INDEX($AJ$13:$AR$162,BN2350,0)+INDEX($AT$13:$BB$162,BO2350,0)+INDEX($BD$13:$BL$162,BP2350,0))/100))),0)</f>
        <v/>
      </c>
      <c r="BT2350">
        <f>IF(AND(2337&lt;$U$9,$W$5),BQ2350*1000000-MIN(BR2350,999)*1000+BS2350-2337/100000,-1000000000-2337)</f>
        <v/>
      </c>
    </row>
    <row r="2351">
      <c r="BN2351">
        <f>IF(2338&lt;$U$9,INT(2338/($U$7*$U$8))+1,1)</f>
        <v/>
      </c>
      <c r="BO2351">
        <f>IF(2338&lt;$U$9,MOD(INT(2338/$U$8),$U$7)+1,1)</f>
        <v/>
      </c>
      <c r="BP2351">
        <f>IF(2338&lt;$U$9,MOD(2338,$U$8)+1,1)</f>
        <v/>
      </c>
      <c r="BQ2351">
        <f>IF(2338&lt;$U$9,SUMPRODUCT(($D$10:$L$10&lt;&gt;"")*(($D$9:$L$9+INT(($S$12:$AA$12+INDEX($AJ$13:$AR$162,BN2351,0)+INDEX($AT$13:$BB$162,BO2351,0)+INDEX($BD$13:$BL$162,BP2351,0))/100))&gt;=$D$10:$L$10)),0)</f>
        <v/>
      </c>
      <c r="BR2351">
        <f>IF(2338&lt;$U$9,SUMPRODUCT(($D$10:$L$10&lt;&gt;"")*(($D$10:$L$10-($D$9:$L$9+INT(($S$12:$AA$12+INDEX($AJ$13:$AR$162,BN2351,0)+INDEX($AT$13:$BB$162,BO2351,0)+INDEX($BD$13:$BL$162,BP2351,0))/100)))&gt;0)*($D$10:$L$10-($D$9:$L$9+INT(($S$12:$AA$12+INDEX($AJ$13:$AR$162,BN2351,0)+INDEX($AT$13:$BB$162,BO2351,0)+INDEX($BD$13:$BL$162,BP2351,0))/100)))),0)</f>
        <v/>
      </c>
      <c r="BS2351">
        <f>IF(2338&lt;$U$9,SUMPRODUCT(($D$9:$L$9+INT(($S$12:$AA$12+INDEX($AJ$13:$AR$162,BN2351,0)+INDEX($AT$13:$BB$162,BO2351,0)+INDEX($BD$13:$BL$162,BP2351,0))/100))),0)</f>
        <v/>
      </c>
      <c r="BT2351">
        <f>IF(AND(2338&lt;$U$9,$W$5),BQ2351*1000000-MIN(BR2351,999)*1000+BS2351-2338/100000,-1000000000-2338)</f>
        <v/>
      </c>
    </row>
    <row r="2352">
      <c r="BN2352">
        <f>IF(2339&lt;$U$9,INT(2339/($U$7*$U$8))+1,1)</f>
        <v/>
      </c>
      <c r="BO2352">
        <f>IF(2339&lt;$U$9,MOD(INT(2339/$U$8),$U$7)+1,1)</f>
        <v/>
      </c>
      <c r="BP2352">
        <f>IF(2339&lt;$U$9,MOD(2339,$U$8)+1,1)</f>
        <v/>
      </c>
      <c r="BQ2352">
        <f>IF(2339&lt;$U$9,SUMPRODUCT(($D$10:$L$10&lt;&gt;"")*(($D$9:$L$9+INT(($S$12:$AA$12+INDEX($AJ$13:$AR$162,BN2352,0)+INDEX($AT$13:$BB$162,BO2352,0)+INDEX($BD$13:$BL$162,BP2352,0))/100))&gt;=$D$10:$L$10)),0)</f>
        <v/>
      </c>
      <c r="BR2352">
        <f>IF(2339&lt;$U$9,SUMPRODUCT(($D$10:$L$10&lt;&gt;"")*(($D$10:$L$10-($D$9:$L$9+INT(($S$12:$AA$12+INDEX($AJ$13:$AR$162,BN2352,0)+INDEX($AT$13:$BB$162,BO2352,0)+INDEX($BD$13:$BL$162,BP2352,0))/100)))&gt;0)*($D$10:$L$10-($D$9:$L$9+INT(($S$12:$AA$12+INDEX($AJ$13:$AR$162,BN2352,0)+INDEX($AT$13:$BB$162,BO2352,0)+INDEX($BD$13:$BL$162,BP2352,0))/100)))),0)</f>
        <v/>
      </c>
      <c r="BS2352">
        <f>IF(2339&lt;$U$9,SUMPRODUCT(($D$9:$L$9+INT(($S$12:$AA$12+INDEX($AJ$13:$AR$162,BN2352,0)+INDEX($AT$13:$BB$162,BO2352,0)+INDEX($BD$13:$BL$162,BP2352,0))/100))),0)</f>
        <v/>
      </c>
      <c r="BT2352">
        <f>IF(AND(2339&lt;$U$9,$W$5),BQ2352*1000000-MIN(BR2352,999)*1000+BS2352-2339/100000,-1000000000-2339)</f>
        <v/>
      </c>
    </row>
    <row r="2353">
      <c r="BN2353">
        <f>IF(2340&lt;$U$9,INT(2340/($U$7*$U$8))+1,1)</f>
        <v/>
      </c>
      <c r="BO2353">
        <f>IF(2340&lt;$U$9,MOD(INT(2340/$U$8),$U$7)+1,1)</f>
        <v/>
      </c>
      <c r="BP2353">
        <f>IF(2340&lt;$U$9,MOD(2340,$U$8)+1,1)</f>
        <v/>
      </c>
      <c r="BQ2353">
        <f>IF(2340&lt;$U$9,SUMPRODUCT(($D$10:$L$10&lt;&gt;"")*(($D$9:$L$9+INT(($S$12:$AA$12+INDEX($AJ$13:$AR$162,BN2353,0)+INDEX($AT$13:$BB$162,BO2353,0)+INDEX($BD$13:$BL$162,BP2353,0))/100))&gt;=$D$10:$L$10)),0)</f>
        <v/>
      </c>
      <c r="BR2353">
        <f>IF(2340&lt;$U$9,SUMPRODUCT(($D$10:$L$10&lt;&gt;"")*(($D$10:$L$10-($D$9:$L$9+INT(($S$12:$AA$12+INDEX($AJ$13:$AR$162,BN2353,0)+INDEX($AT$13:$BB$162,BO2353,0)+INDEX($BD$13:$BL$162,BP2353,0))/100)))&gt;0)*($D$10:$L$10-($D$9:$L$9+INT(($S$12:$AA$12+INDEX($AJ$13:$AR$162,BN2353,0)+INDEX($AT$13:$BB$162,BO2353,0)+INDEX($BD$13:$BL$162,BP2353,0))/100)))),0)</f>
        <v/>
      </c>
      <c r="BS2353">
        <f>IF(2340&lt;$U$9,SUMPRODUCT(($D$9:$L$9+INT(($S$12:$AA$12+INDEX($AJ$13:$AR$162,BN2353,0)+INDEX($AT$13:$BB$162,BO2353,0)+INDEX($BD$13:$BL$162,BP2353,0))/100))),0)</f>
        <v/>
      </c>
      <c r="BT2353">
        <f>IF(AND(2340&lt;$U$9,$W$5),BQ2353*1000000-MIN(BR2353,999)*1000+BS2353-2340/100000,-1000000000-2340)</f>
        <v/>
      </c>
    </row>
    <row r="2354">
      <c r="BN2354">
        <f>IF(2341&lt;$U$9,INT(2341/($U$7*$U$8))+1,1)</f>
        <v/>
      </c>
      <c r="BO2354">
        <f>IF(2341&lt;$U$9,MOD(INT(2341/$U$8),$U$7)+1,1)</f>
        <v/>
      </c>
      <c r="BP2354">
        <f>IF(2341&lt;$U$9,MOD(2341,$U$8)+1,1)</f>
        <v/>
      </c>
      <c r="BQ2354">
        <f>IF(2341&lt;$U$9,SUMPRODUCT(($D$10:$L$10&lt;&gt;"")*(($D$9:$L$9+INT(($S$12:$AA$12+INDEX($AJ$13:$AR$162,BN2354,0)+INDEX($AT$13:$BB$162,BO2354,0)+INDEX($BD$13:$BL$162,BP2354,0))/100))&gt;=$D$10:$L$10)),0)</f>
        <v/>
      </c>
      <c r="BR2354">
        <f>IF(2341&lt;$U$9,SUMPRODUCT(($D$10:$L$10&lt;&gt;"")*(($D$10:$L$10-($D$9:$L$9+INT(($S$12:$AA$12+INDEX($AJ$13:$AR$162,BN2354,0)+INDEX($AT$13:$BB$162,BO2354,0)+INDEX($BD$13:$BL$162,BP2354,0))/100)))&gt;0)*($D$10:$L$10-($D$9:$L$9+INT(($S$12:$AA$12+INDEX($AJ$13:$AR$162,BN2354,0)+INDEX($AT$13:$BB$162,BO2354,0)+INDEX($BD$13:$BL$162,BP2354,0))/100)))),0)</f>
        <v/>
      </c>
      <c r="BS2354">
        <f>IF(2341&lt;$U$9,SUMPRODUCT(($D$9:$L$9+INT(($S$12:$AA$12+INDEX($AJ$13:$AR$162,BN2354,0)+INDEX($AT$13:$BB$162,BO2354,0)+INDEX($BD$13:$BL$162,BP2354,0))/100))),0)</f>
        <v/>
      </c>
      <c r="BT2354">
        <f>IF(AND(2341&lt;$U$9,$W$5),BQ2354*1000000-MIN(BR2354,999)*1000+BS2354-2341/100000,-1000000000-2341)</f>
        <v/>
      </c>
    </row>
    <row r="2355">
      <c r="BN2355">
        <f>IF(2342&lt;$U$9,INT(2342/($U$7*$U$8))+1,1)</f>
        <v/>
      </c>
      <c r="BO2355">
        <f>IF(2342&lt;$U$9,MOD(INT(2342/$U$8),$U$7)+1,1)</f>
        <v/>
      </c>
      <c r="BP2355">
        <f>IF(2342&lt;$U$9,MOD(2342,$U$8)+1,1)</f>
        <v/>
      </c>
      <c r="BQ2355">
        <f>IF(2342&lt;$U$9,SUMPRODUCT(($D$10:$L$10&lt;&gt;"")*(($D$9:$L$9+INT(($S$12:$AA$12+INDEX($AJ$13:$AR$162,BN2355,0)+INDEX($AT$13:$BB$162,BO2355,0)+INDEX($BD$13:$BL$162,BP2355,0))/100))&gt;=$D$10:$L$10)),0)</f>
        <v/>
      </c>
      <c r="BR2355">
        <f>IF(2342&lt;$U$9,SUMPRODUCT(($D$10:$L$10&lt;&gt;"")*(($D$10:$L$10-($D$9:$L$9+INT(($S$12:$AA$12+INDEX($AJ$13:$AR$162,BN2355,0)+INDEX($AT$13:$BB$162,BO2355,0)+INDEX($BD$13:$BL$162,BP2355,0))/100)))&gt;0)*($D$10:$L$10-($D$9:$L$9+INT(($S$12:$AA$12+INDEX($AJ$13:$AR$162,BN2355,0)+INDEX($AT$13:$BB$162,BO2355,0)+INDEX($BD$13:$BL$162,BP2355,0))/100)))),0)</f>
        <v/>
      </c>
      <c r="BS2355">
        <f>IF(2342&lt;$U$9,SUMPRODUCT(($D$9:$L$9+INT(($S$12:$AA$12+INDEX($AJ$13:$AR$162,BN2355,0)+INDEX($AT$13:$BB$162,BO2355,0)+INDEX($BD$13:$BL$162,BP2355,0))/100))),0)</f>
        <v/>
      </c>
      <c r="BT2355">
        <f>IF(AND(2342&lt;$U$9,$W$5),BQ2355*1000000-MIN(BR2355,999)*1000+BS2355-2342/100000,-1000000000-2342)</f>
        <v/>
      </c>
    </row>
    <row r="2356">
      <c r="BN2356">
        <f>IF(2343&lt;$U$9,INT(2343/($U$7*$U$8))+1,1)</f>
        <v/>
      </c>
      <c r="BO2356">
        <f>IF(2343&lt;$U$9,MOD(INT(2343/$U$8),$U$7)+1,1)</f>
        <v/>
      </c>
      <c r="BP2356">
        <f>IF(2343&lt;$U$9,MOD(2343,$U$8)+1,1)</f>
        <v/>
      </c>
      <c r="BQ2356">
        <f>IF(2343&lt;$U$9,SUMPRODUCT(($D$10:$L$10&lt;&gt;"")*(($D$9:$L$9+INT(($S$12:$AA$12+INDEX($AJ$13:$AR$162,BN2356,0)+INDEX($AT$13:$BB$162,BO2356,0)+INDEX($BD$13:$BL$162,BP2356,0))/100))&gt;=$D$10:$L$10)),0)</f>
        <v/>
      </c>
      <c r="BR2356">
        <f>IF(2343&lt;$U$9,SUMPRODUCT(($D$10:$L$10&lt;&gt;"")*(($D$10:$L$10-($D$9:$L$9+INT(($S$12:$AA$12+INDEX($AJ$13:$AR$162,BN2356,0)+INDEX($AT$13:$BB$162,BO2356,0)+INDEX($BD$13:$BL$162,BP2356,0))/100)))&gt;0)*($D$10:$L$10-($D$9:$L$9+INT(($S$12:$AA$12+INDEX($AJ$13:$AR$162,BN2356,0)+INDEX($AT$13:$BB$162,BO2356,0)+INDEX($BD$13:$BL$162,BP2356,0))/100)))),0)</f>
        <v/>
      </c>
      <c r="BS2356">
        <f>IF(2343&lt;$U$9,SUMPRODUCT(($D$9:$L$9+INT(($S$12:$AA$12+INDEX($AJ$13:$AR$162,BN2356,0)+INDEX($AT$13:$BB$162,BO2356,0)+INDEX($BD$13:$BL$162,BP2356,0))/100))),0)</f>
        <v/>
      </c>
      <c r="BT2356">
        <f>IF(AND(2343&lt;$U$9,$W$5),BQ2356*1000000-MIN(BR2356,999)*1000+BS2356-2343/100000,-1000000000-2343)</f>
        <v/>
      </c>
    </row>
    <row r="2357">
      <c r="BN2357">
        <f>IF(2344&lt;$U$9,INT(2344/($U$7*$U$8))+1,1)</f>
        <v/>
      </c>
      <c r="BO2357">
        <f>IF(2344&lt;$U$9,MOD(INT(2344/$U$8),$U$7)+1,1)</f>
        <v/>
      </c>
      <c r="BP2357">
        <f>IF(2344&lt;$U$9,MOD(2344,$U$8)+1,1)</f>
        <v/>
      </c>
      <c r="BQ2357">
        <f>IF(2344&lt;$U$9,SUMPRODUCT(($D$10:$L$10&lt;&gt;"")*(($D$9:$L$9+INT(($S$12:$AA$12+INDEX($AJ$13:$AR$162,BN2357,0)+INDEX($AT$13:$BB$162,BO2357,0)+INDEX($BD$13:$BL$162,BP2357,0))/100))&gt;=$D$10:$L$10)),0)</f>
        <v/>
      </c>
      <c r="BR2357">
        <f>IF(2344&lt;$U$9,SUMPRODUCT(($D$10:$L$10&lt;&gt;"")*(($D$10:$L$10-($D$9:$L$9+INT(($S$12:$AA$12+INDEX($AJ$13:$AR$162,BN2357,0)+INDEX($AT$13:$BB$162,BO2357,0)+INDEX($BD$13:$BL$162,BP2357,0))/100)))&gt;0)*($D$10:$L$10-($D$9:$L$9+INT(($S$12:$AA$12+INDEX($AJ$13:$AR$162,BN2357,0)+INDEX($AT$13:$BB$162,BO2357,0)+INDEX($BD$13:$BL$162,BP2357,0))/100)))),0)</f>
        <v/>
      </c>
      <c r="BS2357">
        <f>IF(2344&lt;$U$9,SUMPRODUCT(($D$9:$L$9+INT(($S$12:$AA$12+INDEX($AJ$13:$AR$162,BN2357,0)+INDEX($AT$13:$BB$162,BO2357,0)+INDEX($BD$13:$BL$162,BP2357,0))/100))),0)</f>
        <v/>
      </c>
      <c r="BT2357">
        <f>IF(AND(2344&lt;$U$9,$W$5),BQ2357*1000000-MIN(BR2357,999)*1000+BS2357-2344/100000,-1000000000-2344)</f>
        <v/>
      </c>
    </row>
    <row r="2358">
      <c r="BN2358">
        <f>IF(2345&lt;$U$9,INT(2345/($U$7*$U$8))+1,1)</f>
        <v/>
      </c>
      <c r="BO2358">
        <f>IF(2345&lt;$U$9,MOD(INT(2345/$U$8),$U$7)+1,1)</f>
        <v/>
      </c>
      <c r="BP2358">
        <f>IF(2345&lt;$U$9,MOD(2345,$U$8)+1,1)</f>
        <v/>
      </c>
      <c r="BQ2358">
        <f>IF(2345&lt;$U$9,SUMPRODUCT(($D$10:$L$10&lt;&gt;"")*(($D$9:$L$9+INT(($S$12:$AA$12+INDEX($AJ$13:$AR$162,BN2358,0)+INDEX($AT$13:$BB$162,BO2358,0)+INDEX($BD$13:$BL$162,BP2358,0))/100))&gt;=$D$10:$L$10)),0)</f>
        <v/>
      </c>
      <c r="BR2358">
        <f>IF(2345&lt;$U$9,SUMPRODUCT(($D$10:$L$10&lt;&gt;"")*(($D$10:$L$10-($D$9:$L$9+INT(($S$12:$AA$12+INDEX($AJ$13:$AR$162,BN2358,0)+INDEX($AT$13:$BB$162,BO2358,0)+INDEX($BD$13:$BL$162,BP2358,0))/100)))&gt;0)*($D$10:$L$10-($D$9:$L$9+INT(($S$12:$AA$12+INDEX($AJ$13:$AR$162,BN2358,0)+INDEX($AT$13:$BB$162,BO2358,0)+INDEX($BD$13:$BL$162,BP2358,0))/100)))),0)</f>
        <v/>
      </c>
      <c r="BS2358">
        <f>IF(2345&lt;$U$9,SUMPRODUCT(($D$9:$L$9+INT(($S$12:$AA$12+INDEX($AJ$13:$AR$162,BN2358,0)+INDEX($AT$13:$BB$162,BO2358,0)+INDEX($BD$13:$BL$162,BP2358,0))/100))),0)</f>
        <v/>
      </c>
      <c r="BT2358">
        <f>IF(AND(2345&lt;$U$9,$W$5),BQ2358*1000000-MIN(BR2358,999)*1000+BS2358-2345/100000,-1000000000-2345)</f>
        <v/>
      </c>
    </row>
    <row r="2359">
      <c r="BN2359">
        <f>IF(2346&lt;$U$9,INT(2346/($U$7*$U$8))+1,1)</f>
        <v/>
      </c>
      <c r="BO2359">
        <f>IF(2346&lt;$U$9,MOD(INT(2346/$U$8),$U$7)+1,1)</f>
        <v/>
      </c>
      <c r="BP2359">
        <f>IF(2346&lt;$U$9,MOD(2346,$U$8)+1,1)</f>
        <v/>
      </c>
      <c r="BQ2359">
        <f>IF(2346&lt;$U$9,SUMPRODUCT(($D$10:$L$10&lt;&gt;"")*(($D$9:$L$9+INT(($S$12:$AA$12+INDEX($AJ$13:$AR$162,BN2359,0)+INDEX($AT$13:$BB$162,BO2359,0)+INDEX($BD$13:$BL$162,BP2359,0))/100))&gt;=$D$10:$L$10)),0)</f>
        <v/>
      </c>
      <c r="BR2359">
        <f>IF(2346&lt;$U$9,SUMPRODUCT(($D$10:$L$10&lt;&gt;"")*(($D$10:$L$10-($D$9:$L$9+INT(($S$12:$AA$12+INDEX($AJ$13:$AR$162,BN2359,0)+INDEX($AT$13:$BB$162,BO2359,0)+INDEX($BD$13:$BL$162,BP2359,0))/100)))&gt;0)*($D$10:$L$10-($D$9:$L$9+INT(($S$12:$AA$12+INDEX($AJ$13:$AR$162,BN2359,0)+INDEX($AT$13:$BB$162,BO2359,0)+INDEX($BD$13:$BL$162,BP2359,0))/100)))),0)</f>
        <v/>
      </c>
      <c r="BS2359">
        <f>IF(2346&lt;$U$9,SUMPRODUCT(($D$9:$L$9+INT(($S$12:$AA$12+INDEX($AJ$13:$AR$162,BN2359,0)+INDEX($AT$13:$BB$162,BO2359,0)+INDEX($BD$13:$BL$162,BP2359,0))/100))),0)</f>
        <v/>
      </c>
      <c r="BT2359">
        <f>IF(AND(2346&lt;$U$9,$W$5),BQ2359*1000000-MIN(BR2359,999)*1000+BS2359-2346/100000,-1000000000-2346)</f>
        <v/>
      </c>
    </row>
    <row r="2360">
      <c r="BN2360">
        <f>IF(2347&lt;$U$9,INT(2347/($U$7*$U$8))+1,1)</f>
        <v/>
      </c>
      <c r="BO2360">
        <f>IF(2347&lt;$U$9,MOD(INT(2347/$U$8),$U$7)+1,1)</f>
        <v/>
      </c>
      <c r="BP2360">
        <f>IF(2347&lt;$U$9,MOD(2347,$U$8)+1,1)</f>
        <v/>
      </c>
      <c r="BQ2360">
        <f>IF(2347&lt;$U$9,SUMPRODUCT(($D$10:$L$10&lt;&gt;"")*(($D$9:$L$9+INT(($S$12:$AA$12+INDEX($AJ$13:$AR$162,BN2360,0)+INDEX($AT$13:$BB$162,BO2360,0)+INDEX($BD$13:$BL$162,BP2360,0))/100))&gt;=$D$10:$L$10)),0)</f>
        <v/>
      </c>
      <c r="BR2360">
        <f>IF(2347&lt;$U$9,SUMPRODUCT(($D$10:$L$10&lt;&gt;"")*(($D$10:$L$10-($D$9:$L$9+INT(($S$12:$AA$12+INDEX($AJ$13:$AR$162,BN2360,0)+INDEX($AT$13:$BB$162,BO2360,0)+INDEX($BD$13:$BL$162,BP2360,0))/100)))&gt;0)*($D$10:$L$10-($D$9:$L$9+INT(($S$12:$AA$12+INDEX($AJ$13:$AR$162,BN2360,0)+INDEX($AT$13:$BB$162,BO2360,0)+INDEX($BD$13:$BL$162,BP2360,0))/100)))),0)</f>
        <v/>
      </c>
      <c r="BS2360">
        <f>IF(2347&lt;$U$9,SUMPRODUCT(($D$9:$L$9+INT(($S$12:$AA$12+INDEX($AJ$13:$AR$162,BN2360,0)+INDEX($AT$13:$BB$162,BO2360,0)+INDEX($BD$13:$BL$162,BP2360,0))/100))),0)</f>
        <v/>
      </c>
      <c r="BT2360">
        <f>IF(AND(2347&lt;$U$9,$W$5),BQ2360*1000000-MIN(BR2360,999)*1000+BS2360-2347/100000,-1000000000-2347)</f>
        <v/>
      </c>
    </row>
    <row r="2361">
      <c r="BN2361">
        <f>IF(2348&lt;$U$9,INT(2348/($U$7*$U$8))+1,1)</f>
        <v/>
      </c>
      <c r="BO2361">
        <f>IF(2348&lt;$U$9,MOD(INT(2348/$U$8),$U$7)+1,1)</f>
        <v/>
      </c>
      <c r="BP2361">
        <f>IF(2348&lt;$U$9,MOD(2348,$U$8)+1,1)</f>
        <v/>
      </c>
      <c r="BQ2361">
        <f>IF(2348&lt;$U$9,SUMPRODUCT(($D$10:$L$10&lt;&gt;"")*(($D$9:$L$9+INT(($S$12:$AA$12+INDEX($AJ$13:$AR$162,BN2361,0)+INDEX($AT$13:$BB$162,BO2361,0)+INDEX($BD$13:$BL$162,BP2361,0))/100))&gt;=$D$10:$L$10)),0)</f>
        <v/>
      </c>
      <c r="BR2361">
        <f>IF(2348&lt;$U$9,SUMPRODUCT(($D$10:$L$10&lt;&gt;"")*(($D$10:$L$10-($D$9:$L$9+INT(($S$12:$AA$12+INDEX($AJ$13:$AR$162,BN2361,0)+INDEX($AT$13:$BB$162,BO2361,0)+INDEX($BD$13:$BL$162,BP2361,0))/100)))&gt;0)*($D$10:$L$10-($D$9:$L$9+INT(($S$12:$AA$12+INDEX($AJ$13:$AR$162,BN2361,0)+INDEX($AT$13:$BB$162,BO2361,0)+INDEX($BD$13:$BL$162,BP2361,0))/100)))),0)</f>
        <v/>
      </c>
      <c r="BS2361">
        <f>IF(2348&lt;$U$9,SUMPRODUCT(($D$9:$L$9+INT(($S$12:$AA$12+INDEX($AJ$13:$AR$162,BN2361,0)+INDEX($AT$13:$BB$162,BO2361,0)+INDEX($BD$13:$BL$162,BP2361,0))/100))),0)</f>
        <v/>
      </c>
      <c r="BT2361">
        <f>IF(AND(2348&lt;$U$9,$W$5),BQ2361*1000000-MIN(BR2361,999)*1000+BS2361-2348/100000,-1000000000-2348)</f>
        <v/>
      </c>
    </row>
    <row r="2362">
      <c r="BN2362">
        <f>IF(2349&lt;$U$9,INT(2349/($U$7*$U$8))+1,1)</f>
        <v/>
      </c>
      <c r="BO2362">
        <f>IF(2349&lt;$U$9,MOD(INT(2349/$U$8),$U$7)+1,1)</f>
        <v/>
      </c>
      <c r="BP2362">
        <f>IF(2349&lt;$U$9,MOD(2349,$U$8)+1,1)</f>
        <v/>
      </c>
      <c r="BQ2362">
        <f>IF(2349&lt;$U$9,SUMPRODUCT(($D$10:$L$10&lt;&gt;"")*(($D$9:$L$9+INT(($S$12:$AA$12+INDEX($AJ$13:$AR$162,BN2362,0)+INDEX($AT$13:$BB$162,BO2362,0)+INDEX($BD$13:$BL$162,BP2362,0))/100))&gt;=$D$10:$L$10)),0)</f>
        <v/>
      </c>
      <c r="BR2362">
        <f>IF(2349&lt;$U$9,SUMPRODUCT(($D$10:$L$10&lt;&gt;"")*(($D$10:$L$10-($D$9:$L$9+INT(($S$12:$AA$12+INDEX($AJ$13:$AR$162,BN2362,0)+INDEX($AT$13:$BB$162,BO2362,0)+INDEX($BD$13:$BL$162,BP2362,0))/100)))&gt;0)*($D$10:$L$10-($D$9:$L$9+INT(($S$12:$AA$12+INDEX($AJ$13:$AR$162,BN2362,0)+INDEX($AT$13:$BB$162,BO2362,0)+INDEX($BD$13:$BL$162,BP2362,0))/100)))),0)</f>
        <v/>
      </c>
      <c r="BS2362">
        <f>IF(2349&lt;$U$9,SUMPRODUCT(($D$9:$L$9+INT(($S$12:$AA$12+INDEX($AJ$13:$AR$162,BN2362,0)+INDEX($AT$13:$BB$162,BO2362,0)+INDEX($BD$13:$BL$162,BP2362,0))/100))),0)</f>
        <v/>
      </c>
      <c r="BT2362">
        <f>IF(AND(2349&lt;$U$9,$W$5),BQ2362*1000000-MIN(BR2362,999)*1000+BS2362-2349/100000,-1000000000-2349)</f>
        <v/>
      </c>
    </row>
    <row r="2363">
      <c r="BN2363">
        <f>IF(2350&lt;$U$9,INT(2350/($U$7*$U$8))+1,1)</f>
        <v/>
      </c>
      <c r="BO2363">
        <f>IF(2350&lt;$U$9,MOD(INT(2350/$U$8),$U$7)+1,1)</f>
        <v/>
      </c>
      <c r="BP2363">
        <f>IF(2350&lt;$U$9,MOD(2350,$U$8)+1,1)</f>
        <v/>
      </c>
      <c r="BQ2363">
        <f>IF(2350&lt;$U$9,SUMPRODUCT(($D$10:$L$10&lt;&gt;"")*(($D$9:$L$9+INT(($S$12:$AA$12+INDEX($AJ$13:$AR$162,BN2363,0)+INDEX($AT$13:$BB$162,BO2363,0)+INDEX($BD$13:$BL$162,BP2363,0))/100))&gt;=$D$10:$L$10)),0)</f>
        <v/>
      </c>
      <c r="BR2363">
        <f>IF(2350&lt;$U$9,SUMPRODUCT(($D$10:$L$10&lt;&gt;"")*(($D$10:$L$10-($D$9:$L$9+INT(($S$12:$AA$12+INDEX($AJ$13:$AR$162,BN2363,0)+INDEX($AT$13:$BB$162,BO2363,0)+INDEX($BD$13:$BL$162,BP2363,0))/100)))&gt;0)*($D$10:$L$10-($D$9:$L$9+INT(($S$12:$AA$12+INDEX($AJ$13:$AR$162,BN2363,0)+INDEX($AT$13:$BB$162,BO2363,0)+INDEX($BD$13:$BL$162,BP2363,0))/100)))),0)</f>
        <v/>
      </c>
      <c r="BS2363">
        <f>IF(2350&lt;$U$9,SUMPRODUCT(($D$9:$L$9+INT(($S$12:$AA$12+INDEX($AJ$13:$AR$162,BN2363,0)+INDEX($AT$13:$BB$162,BO2363,0)+INDEX($BD$13:$BL$162,BP2363,0))/100))),0)</f>
        <v/>
      </c>
      <c r="BT2363">
        <f>IF(AND(2350&lt;$U$9,$W$5),BQ2363*1000000-MIN(BR2363,999)*1000+BS2363-2350/100000,-1000000000-2350)</f>
        <v/>
      </c>
    </row>
    <row r="2364">
      <c r="BN2364">
        <f>IF(2351&lt;$U$9,INT(2351/($U$7*$U$8))+1,1)</f>
        <v/>
      </c>
      <c r="BO2364">
        <f>IF(2351&lt;$U$9,MOD(INT(2351/$U$8),$U$7)+1,1)</f>
        <v/>
      </c>
      <c r="BP2364">
        <f>IF(2351&lt;$U$9,MOD(2351,$U$8)+1,1)</f>
        <v/>
      </c>
      <c r="BQ2364">
        <f>IF(2351&lt;$U$9,SUMPRODUCT(($D$10:$L$10&lt;&gt;"")*(($D$9:$L$9+INT(($S$12:$AA$12+INDEX($AJ$13:$AR$162,BN2364,0)+INDEX($AT$13:$BB$162,BO2364,0)+INDEX($BD$13:$BL$162,BP2364,0))/100))&gt;=$D$10:$L$10)),0)</f>
        <v/>
      </c>
      <c r="BR2364">
        <f>IF(2351&lt;$U$9,SUMPRODUCT(($D$10:$L$10&lt;&gt;"")*(($D$10:$L$10-($D$9:$L$9+INT(($S$12:$AA$12+INDEX($AJ$13:$AR$162,BN2364,0)+INDEX($AT$13:$BB$162,BO2364,0)+INDEX($BD$13:$BL$162,BP2364,0))/100)))&gt;0)*($D$10:$L$10-($D$9:$L$9+INT(($S$12:$AA$12+INDEX($AJ$13:$AR$162,BN2364,0)+INDEX($AT$13:$BB$162,BO2364,0)+INDEX($BD$13:$BL$162,BP2364,0))/100)))),0)</f>
        <v/>
      </c>
      <c r="BS2364">
        <f>IF(2351&lt;$U$9,SUMPRODUCT(($D$9:$L$9+INT(($S$12:$AA$12+INDEX($AJ$13:$AR$162,BN2364,0)+INDEX($AT$13:$BB$162,BO2364,0)+INDEX($BD$13:$BL$162,BP2364,0))/100))),0)</f>
        <v/>
      </c>
      <c r="BT2364">
        <f>IF(AND(2351&lt;$U$9,$W$5),BQ2364*1000000-MIN(BR2364,999)*1000+BS2364-2351/100000,-1000000000-2351)</f>
        <v/>
      </c>
    </row>
    <row r="2365">
      <c r="BN2365">
        <f>IF(2352&lt;$U$9,INT(2352/($U$7*$U$8))+1,1)</f>
        <v/>
      </c>
      <c r="BO2365">
        <f>IF(2352&lt;$U$9,MOD(INT(2352/$U$8),$U$7)+1,1)</f>
        <v/>
      </c>
      <c r="BP2365">
        <f>IF(2352&lt;$U$9,MOD(2352,$U$8)+1,1)</f>
        <v/>
      </c>
      <c r="BQ2365">
        <f>IF(2352&lt;$U$9,SUMPRODUCT(($D$10:$L$10&lt;&gt;"")*(($D$9:$L$9+INT(($S$12:$AA$12+INDEX($AJ$13:$AR$162,BN2365,0)+INDEX($AT$13:$BB$162,BO2365,0)+INDEX($BD$13:$BL$162,BP2365,0))/100))&gt;=$D$10:$L$10)),0)</f>
        <v/>
      </c>
      <c r="BR2365">
        <f>IF(2352&lt;$U$9,SUMPRODUCT(($D$10:$L$10&lt;&gt;"")*(($D$10:$L$10-($D$9:$L$9+INT(($S$12:$AA$12+INDEX($AJ$13:$AR$162,BN2365,0)+INDEX($AT$13:$BB$162,BO2365,0)+INDEX($BD$13:$BL$162,BP2365,0))/100)))&gt;0)*($D$10:$L$10-($D$9:$L$9+INT(($S$12:$AA$12+INDEX($AJ$13:$AR$162,BN2365,0)+INDEX($AT$13:$BB$162,BO2365,0)+INDEX($BD$13:$BL$162,BP2365,0))/100)))),0)</f>
        <v/>
      </c>
      <c r="BS2365">
        <f>IF(2352&lt;$U$9,SUMPRODUCT(($D$9:$L$9+INT(($S$12:$AA$12+INDEX($AJ$13:$AR$162,BN2365,0)+INDEX($AT$13:$BB$162,BO2365,0)+INDEX($BD$13:$BL$162,BP2365,0))/100))),0)</f>
        <v/>
      </c>
      <c r="BT2365">
        <f>IF(AND(2352&lt;$U$9,$W$5),BQ2365*1000000-MIN(BR2365,999)*1000+BS2365-2352/100000,-1000000000-2352)</f>
        <v/>
      </c>
    </row>
    <row r="2366">
      <c r="BN2366">
        <f>IF(2353&lt;$U$9,INT(2353/($U$7*$U$8))+1,1)</f>
        <v/>
      </c>
      <c r="BO2366">
        <f>IF(2353&lt;$U$9,MOD(INT(2353/$U$8),$U$7)+1,1)</f>
        <v/>
      </c>
      <c r="BP2366">
        <f>IF(2353&lt;$U$9,MOD(2353,$U$8)+1,1)</f>
        <v/>
      </c>
      <c r="BQ2366">
        <f>IF(2353&lt;$U$9,SUMPRODUCT(($D$10:$L$10&lt;&gt;"")*(($D$9:$L$9+INT(($S$12:$AA$12+INDEX($AJ$13:$AR$162,BN2366,0)+INDEX($AT$13:$BB$162,BO2366,0)+INDEX($BD$13:$BL$162,BP2366,0))/100))&gt;=$D$10:$L$10)),0)</f>
        <v/>
      </c>
      <c r="BR2366">
        <f>IF(2353&lt;$U$9,SUMPRODUCT(($D$10:$L$10&lt;&gt;"")*(($D$10:$L$10-($D$9:$L$9+INT(($S$12:$AA$12+INDEX($AJ$13:$AR$162,BN2366,0)+INDEX($AT$13:$BB$162,BO2366,0)+INDEX($BD$13:$BL$162,BP2366,0))/100)))&gt;0)*($D$10:$L$10-($D$9:$L$9+INT(($S$12:$AA$12+INDEX($AJ$13:$AR$162,BN2366,0)+INDEX($AT$13:$BB$162,BO2366,0)+INDEX($BD$13:$BL$162,BP2366,0))/100)))),0)</f>
        <v/>
      </c>
      <c r="BS2366">
        <f>IF(2353&lt;$U$9,SUMPRODUCT(($D$9:$L$9+INT(($S$12:$AA$12+INDEX($AJ$13:$AR$162,BN2366,0)+INDEX($AT$13:$BB$162,BO2366,0)+INDEX($BD$13:$BL$162,BP2366,0))/100))),0)</f>
        <v/>
      </c>
      <c r="BT2366">
        <f>IF(AND(2353&lt;$U$9,$W$5),BQ2366*1000000-MIN(BR2366,999)*1000+BS2366-2353/100000,-1000000000-2353)</f>
        <v/>
      </c>
    </row>
    <row r="2367">
      <c r="BN2367">
        <f>IF(2354&lt;$U$9,INT(2354/($U$7*$U$8))+1,1)</f>
        <v/>
      </c>
      <c r="BO2367">
        <f>IF(2354&lt;$U$9,MOD(INT(2354/$U$8),$U$7)+1,1)</f>
        <v/>
      </c>
      <c r="BP2367">
        <f>IF(2354&lt;$U$9,MOD(2354,$U$8)+1,1)</f>
        <v/>
      </c>
      <c r="BQ2367">
        <f>IF(2354&lt;$U$9,SUMPRODUCT(($D$10:$L$10&lt;&gt;"")*(($D$9:$L$9+INT(($S$12:$AA$12+INDEX($AJ$13:$AR$162,BN2367,0)+INDEX($AT$13:$BB$162,BO2367,0)+INDEX($BD$13:$BL$162,BP2367,0))/100))&gt;=$D$10:$L$10)),0)</f>
        <v/>
      </c>
      <c r="BR2367">
        <f>IF(2354&lt;$U$9,SUMPRODUCT(($D$10:$L$10&lt;&gt;"")*(($D$10:$L$10-($D$9:$L$9+INT(($S$12:$AA$12+INDEX($AJ$13:$AR$162,BN2367,0)+INDEX($AT$13:$BB$162,BO2367,0)+INDEX($BD$13:$BL$162,BP2367,0))/100)))&gt;0)*($D$10:$L$10-($D$9:$L$9+INT(($S$12:$AA$12+INDEX($AJ$13:$AR$162,BN2367,0)+INDEX($AT$13:$BB$162,BO2367,0)+INDEX($BD$13:$BL$162,BP2367,0))/100)))),0)</f>
        <v/>
      </c>
      <c r="BS2367">
        <f>IF(2354&lt;$U$9,SUMPRODUCT(($D$9:$L$9+INT(($S$12:$AA$12+INDEX($AJ$13:$AR$162,BN2367,0)+INDEX($AT$13:$BB$162,BO2367,0)+INDEX($BD$13:$BL$162,BP2367,0))/100))),0)</f>
        <v/>
      </c>
      <c r="BT2367">
        <f>IF(AND(2354&lt;$U$9,$W$5),BQ2367*1000000-MIN(BR2367,999)*1000+BS2367-2354/100000,-1000000000-2354)</f>
        <v/>
      </c>
    </row>
    <row r="2368">
      <c r="BN2368">
        <f>IF(2355&lt;$U$9,INT(2355/($U$7*$U$8))+1,1)</f>
        <v/>
      </c>
      <c r="BO2368">
        <f>IF(2355&lt;$U$9,MOD(INT(2355/$U$8),$U$7)+1,1)</f>
        <v/>
      </c>
      <c r="BP2368">
        <f>IF(2355&lt;$U$9,MOD(2355,$U$8)+1,1)</f>
        <v/>
      </c>
      <c r="BQ2368">
        <f>IF(2355&lt;$U$9,SUMPRODUCT(($D$10:$L$10&lt;&gt;"")*(($D$9:$L$9+INT(($S$12:$AA$12+INDEX($AJ$13:$AR$162,BN2368,0)+INDEX($AT$13:$BB$162,BO2368,0)+INDEX($BD$13:$BL$162,BP2368,0))/100))&gt;=$D$10:$L$10)),0)</f>
        <v/>
      </c>
      <c r="BR2368">
        <f>IF(2355&lt;$U$9,SUMPRODUCT(($D$10:$L$10&lt;&gt;"")*(($D$10:$L$10-($D$9:$L$9+INT(($S$12:$AA$12+INDEX($AJ$13:$AR$162,BN2368,0)+INDEX($AT$13:$BB$162,BO2368,0)+INDEX($BD$13:$BL$162,BP2368,0))/100)))&gt;0)*($D$10:$L$10-($D$9:$L$9+INT(($S$12:$AA$12+INDEX($AJ$13:$AR$162,BN2368,0)+INDEX($AT$13:$BB$162,BO2368,0)+INDEX($BD$13:$BL$162,BP2368,0))/100)))),0)</f>
        <v/>
      </c>
      <c r="BS2368">
        <f>IF(2355&lt;$U$9,SUMPRODUCT(($D$9:$L$9+INT(($S$12:$AA$12+INDEX($AJ$13:$AR$162,BN2368,0)+INDEX($AT$13:$BB$162,BO2368,0)+INDEX($BD$13:$BL$162,BP2368,0))/100))),0)</f>
        <v/>
      </c>
      <c r="BT2368">
        <f>IF(AND(2355&lt;$U$9,$W$5),BQ2368*1000000-MIN(BR2368,999)*1000+BS2368-2355/100000,-1000000000-2355)</f>
        <v/>
      </c>
    </row>
    <row r="2369">
      <c r="BN2369">
        <f>IF(2356&lt;$U$9,INT(2356/($U$7*$U$8))+1,1)</f>
        <v/>
      </c>
      <c r="BO2369">
        <f>IF(2356&lt;$U$9,MOD(INT(2356/$U$8),$U$7)+1,1)</f>
        <v/>
      </c>
      <c r="BP2369">
        <f>IF(2356&lt;$U$9,MOD(2356,$U$8)+1,1)</f>
        <v/>
      </c>
      <c r="BQ2369">
        <f>IF(2356&lt;$U$9,SUMPRODUCT(($D$10:$L$10&lt;&gt;"")*(($D$9:$L$9+INT(($S$12:$AA$12+INDEX($AJ$13:$AR$162,BN2369,0)+INDEX($AT$13:$BB$162,BO2369,0)+INDEX($BD$13:$BL$162,BP2369,0))/100))&gt;=$D$10:$L$10)),0)</f>
        <v/>
      </c>
      <c r="BR2369">
        <f>IF(2356&lt;$U$9,SUMPRODUCT(($D$10:$L$10&lt;&gt;"")*(($D$10:$L$10-($D$9:$L$9+INT(($S$12:$AA$12+INDEX($AJ$13:$AR$162,BN2369,0)+INDEX($AT$13:$BB$162,BO2369,0)+INDEX($BD$13:$BL$162,BP2369,0))/100)))&gt;0)*($D$10:$L$10-($D$9:$L$9+INT(($S$12:$AA$12+INDEX($AJ$13:$AR$162,BN2369,0)+INDEX($AT$13:$BB$162,BO2369,0)+INDEX($BD$13:$BL$162,BP2369,0))/100)))),0)</f>
        <v/>
      </c>
      <c r="BS2369">
        <f>IF(2356&lt;$U$9,SUMPRODUCT(($D$9:$L$9+INT(($S$12:$AA$12+INDEX($AJ$13:$AR$162,BN2369,0)+INDEX($AT$13:$BB$162,BO2369,0)+INDEX($BD$13:$BL$162,BP2369,0))/100))),0)</f>
        <v/>
      </c>
      <c r="BT2369">
        <f>IF(AND(2356&lt;$U$9,$W$5),BQ2369*1000000-MIN(BR2369,999)*1000+BS2369-2356/100000,-1000000000-2356)</f>
        <v/>
      </c>
    </row>
    <row r="2370">
      <c r="BN2370">
        <f>IF(2357&lt;$U$9,INT(2357/($U$7*$U$8))+1,1)</f>
        <v/>
      </c>
      <c r="BO2370">
        <f>IF(2357&lt;$U$9,MOD(INT(2357/$U$8),$U$7)+1,1)</f>
        <v/>
      </c>
      <c r="BP2370">
        <f>IF(2357&lt;$U$9,MOD(2357,$U$8)+1,1)</f>
        <v/>
      </c>
      <c r="BQ2370">
        <f>IF(2357&lt;$U$9,SUMPRODUCT(($D$10:$L$10&lt;&gt;"")*(($D$9:$L$9+INT(($S$12:$AA$12+INDEX($AJ$13:$AR$162,BN2370,0)+INDEX($AT$13:$BB$162,BO2370,0)+INDEX($BD$13:$BL$162,BP2370,0))/100))&gt;=$D$10:$L$10)),0)</f>
        <v/>
      </c>
      <c r="BR2370">
        <f>IF(2357&lt;$U$9,SUMPRODUCT(($D$10:$L$10&lt;&gt;"")*(($D$10:$L$10-($D$9:$L$9+INT(($S$12:$AA$12+INDEX($AJ$13:$AR$162,BN2370,0)+INDEX($AT$13:$BB$162,BO2370,0)+INDEX($BD$13:$BL$162,BP2370,0))/100)))&gt;0)*($D$10:$L$10-($D$9:$L$9+INT(($S$12:$AA$12+INDEX($AJ$13:$AR$162,BN2370,0)+INDEX($AT$13:$BB$162,BO2370,0)+INDEX($BD$13:$BL$162,BP2370,0))/100)))),0)</f>
        <v/>
      </c>
      <c r="BS2370">
        <f>IF(2357&lt;$U$9,SUMPRODUCT(($D$9:$L$9+INT(($S$12:$AA$12+INDEX($AJ$13:$AR$162,BN2370,0)+INDEX($AT$13:$BB$162,BO2370,0)+INDEX($BD$13:$BL$162,BP2370,0))/100))),0)</f>
        <v/>
      </c>
      <c r="BT2370">
        <f>IF(AND(2357&lt;$U$9,$W$5),BQ2370*1000000-MIN(BR2370,999)*1000+BS2370-2357/100000,-1000000000-2357)</f>
        <v/>
      </c>
    </row>
    <row r="2371">
      <c r="BN2371">
        <f>IF(2358&lt;$U$9,INT(2358/($U$7*$U$8))+1,1)</f>
        <v/>
      </c>
      <c r="BO2371">
        <f>IF(2358&lt;$U$9,MOD(INT(2358/$U$8),$U$7)+1,1)</f>
        <v/>
      </c>
      <c r="BP2371">
        <f>IF(2358&lt;$U$9,MOD(2358,$U$8)+1,1)</f>
        <v/>
      </c>
      <c r="BQ2371">
        <f>IF(2358&lt;$U$9,SUMPRODUCT(($D$10:$L$10&lt;&gt;"")*(($D$9:$L$9+INT(($S$12:$AA$12+INDEX($AJ$13:$AR$162,BN2371,0)+INDEX($AT$13:$BB$162,BO2371,0)+INDEX($BD$13:$BL$162,BP2371,0))/100))&gt;=$D$10:$L$10)),0)</f>
        <v/>
      </c>
      <c r="BR2371">
        <f>IF(2358&lt;$U$9,SUMPRODUCT(($D$10:$L$10&lt;&gt;"")*(($D$10:$L$10-($D$9:$L$9+INT(($S$12:$AA$12+INDEX($AJ$13:$AR$162,BN2371,0)+INDEX($AT$13:$BB$162,BO2371,0)+INDEX($BD$13:$BL$162,BP2371,0))/100)))&gt;0)*($D$10:$L$10-($D$9:$L$9+INT(($S$12:$AA$12+INDEX($AJ$13:$AR$162,BN2371,0)+INDEX($AT$13:$BB$162,BO2371,0)+INDEX($BD$13:$BL$162,BP2371,0))/100)))),0)</f>
        <v/>
      </c>
      <c r="BS2371">
        <f>IF(2358&lt;$U$9,SUMPRODUCT(($D$9:$L$9+INT(($S$12:$AA$12+INDEX($AJ$13:$AR$162,BN2371,0)+INDEX($AT$13:$BB$162,BO2371,0)+INDEX($BD$13:$BL$162,BP2371,0))/100))),0)</f>
        <v/>
      </c>
      <c r="BT2371">
        <f>IF(AND(2358&lt;$U$9,$W$5),BQ2371*1000000-MIN(BR2371,999)*1000+BS2371-2358/100000,-1000000000-2358)</f>
        <v/>
      </c>
    </row>
    <row r="2372">
      <c r="BN2372">
        <f>IF(2359&lt;$U$9,INT(2359/($U$7*$U$8))+1,1)</f>
        <v/>
      </c>
      <c r="BO2372">
        <f>IF(2359&lt;$U$9,MOD(INT(2359/$U$8),$U$7)+1,1)</f>
        <v/>
      </c>
      <c r="BP2372">
        <f>IF(2359&lt;$U$9,MOD(2359,$U$8)+1,1)</f>
        <v/>
      </c>
      <c r="BQ2372">
        <f>IF(2359&lt;$U$9,SUMPRODUCT(($D$10:$L$10&lt;&gt;"")*(($D$9:$L$9+INT(($S$12:$AA$12+INDEX($AJ$13:$AR$162,BN2372,0)+INDEX($AT$13:$BB$162,BO2372,0)+INDEX($BD$13:$BL$162,BP2372,0))/100))&gt;=$D$10:$L$10)),0)</f>
        <v/>
      </c>
      <c r="BR2372">
        <f>IF(2359&lt;$U$9,SUMPRODUCT(($D$10:$L$10&lt;&gt;"")*(($D$10:$L$10-($D$9:$L$9+INT(($S$12:$AA$12+INDEX($AJ$13:$AR$162,BN2372,0)+INDEX($AT$13:$BB$162,BO2372,0)+INDEX($BD$13:$BL$162,BP2372,0))/100)))&gt;0)*($D$10:$L$10-($D$9:$L$9+INT(($S$12:$AA$12+INDEX($AJ$13:$AR$162,BN2372,0)+INDEX($AT$13:$BB$162,BO2372,0)+INDEX($BD$13:$BL$162,BP2372,0))/100)))),0)</f>
        <v/>
      </c>
      <c r="BS2372">
        <f>IF(2359&lt;$U$9,SUMPRODUCT(($D$9:$L$9+INT(($S$12:$AA$12+INDEX($AJ$13:$AR$162,BN2372,0)+INDEX($AT$13:$BB$162,BO2372,0)+INDEX($BD$13:$BL$162,BP2372,0))/100))),0)</f>
        <v/>
      </c>
      <c r="BT2372">
        <f>IF(AND(2359&lt;$U$9,$W$5),BQ2372*1000000-MIN(BR2372,999)*1000+BS2372-2359/100000,-1000000000-2359)</f>
        <v/>
      </c>
    </row>
    <row r="2373">
      <c r="BN2373">
        <f>IF(2360&lt;$U$9,INT(2360/($U$7*$U$8))+1,1)</f>
        <v/>
      </c>
      <c r="BO2373">
        <f>IF(2360&lt;$U$9,MOD(INT(2360/$U$8),$U$7)+1,1)</f>
        <v/>
      </c>
      <c r="BP2373">
        <f>IF(2360&lt;$U$9,MOD(2360,$U$8)+1,1)</f>
        <v/>
      </c>
      <c r="BQ2373">
        <f>IF(2360&lt;$U$9,SUMPRODUCT(($D$10:$L$10&lt;&gt;"")*(($D$9:$L$9+INT(($S$12:$AA$12+INDEX($AJ$13:$AR$162,BN2373,0)+INDEX($AT$13:$BB$162,BO2373,0)+INDEX($BD$13:$BL$162,BP2373,0))/100))&gt;=$D$10:$L$10)),0)</f>
        <v/>
      </c>
      <c r="BR2373">
        <f>IF(2360&lt;$U$9,SUMPRODUCT(($D$10:$L$10&lt;&gt;"")*(($D$10:$L$10-($D$9:$L$9+INT(($S$12:$AA$12+INDEX($AJ$13:$AR$162,BN2373,0)+INDEX($AT$13:$BB$162,BO2373,0)+INDEX($BD$13:$BL$162,BP2373,0))/100)))&gt;0)*($D$10:$L$10-($D$9:$L$9+INT(($S$12:$AA$12+INDEX($AJ$13:$AR$162,BN2373,0)+INDEX($AT$13:$BB$162,BO2373,0)+INDEX($BD$13:$BL$162,BP2373,0))/100)))),0)</f>
        <v/>
      </c>
      <c r="BS2373">
        <f>IF(2360&lt;$U$9,SUMPRODUCT(($D$9:$L$9+INT(($S$12:$AA$12+INDEX($AJ$13:$AR$162,BN2373,0)+INDEX($AT$13:$BB$162,BO2373,0)+INDEX($BD$13:$BL$162,BP2373,0))/100))),0)</f>
        <v/>
      </c>
      <c r="BT2373">
        <f>IF(AND(2360&lt;$U$9,$W$5),BQ2373*1000000-MIN(BR2373,999)*1000+BS2373-2360/100000,-1000000000-2360)</f>
        <v/>
      </c>
    </row>
    <row r="2374">
      <c r="BN2374">
        <f>IF(2361&lt;$U$9,INT(2361/($U$7*$U$8))+1,1)</f>
        <v/>
      </c>
      <c r="BO2374">
        <f>IF(2361&lt;$U$9,MOD(INT(2361/$U$8),$U$7)+1,1)</f>
        <v/>
      </c>
      <c r="BP2374">
        <f>IF(2361&lt;$U$9,MOD(2361,$U$8)+1,1)</f>
        <v/>
      </c>
      <c r="BQ2374">
        <f>IF(2361&lt;$U$9,SUMPRODUCT(($D$10:$L$10&lt;&gt;"")*(($D$9:$L$9+INT(($S$12:$AA$12+INDEX($AJ$13:$AR$162,BN2374,0)+INDEX($AT$13:$BB$162,BO2374,0)+INDEX($BD$13:$BL$162,BP2374,0))/100))&gt;=$D$10:$L$10)),0)</f>
        <v/>
      </c>
      <c r="BR2374">
        <f>IF(2361&lt;$U$9,SUMPRODUCT(($D$10:$L$10&lt;&gt;"")*(($D$10:$L$10-($D$9:$L$9+INT(($S$12:$AA$12+INDEX($AJ$13:$AR$162,BN2374,0)+INDEX($AT$13:$BB$162,BO2374,0)+INDEX($BD$13:$BL$162,BP2374,0))/100)))&gt;0)*($D$10:$L$10-($D$9:$L$9+INT(($S$12:$AA$12+INDEX($AJ$13:$AR$162,BN2374,0)+INDEX($AT$13:$BB$162,BO2374,0)+INDEX($BD$13:$BL$162,BP2374,0))/100)))),0)</f>
        <v/>
      </c>
      <c r="BS2374">
        <f>IF(2361&lt;$U$9,SUMPRODUCT(($D$9:$L$9+INT(($S$12:$AA$12+INDEX($AJ$13:$AR$162,BN2374,0)+INDEX($AT$13:$BB$162,BO2374,0)+INDEX($BD$13:$BL$162,BP2374,0))/100))),0)</f>
        <v/>
      </c>
      <c r="BT2374">
        <f>IF(AND(2361&lt;$U$9,$W$5),BQ2374*1000000-MIN(BR2374,999)*1000+BS2374-2361/100000,-1000000000-2361)</f>
        <v/>
      </c>
    </row>
    <row r="2375">
      <c r="BN2375">
        <f>IF(2362&lt;$U$9,INT(2362/($U$7*$U$8))+1,1)</f>
        <v/>
      </c>
      <c r="BO2375">
        <f>IF(2362&lt;$U$9,MOD(INT(2362/$U$8),$U$7)+1,1)</f>
        <v/>
      </c>
      <c r="BP2375">
        <f>IF(2362&lt;$U$9,MOD(2362,$U$8)+1,1)</f>
        <v/>
      </c>
      <c r="BQ2375">
        <f>IF(2362&lt;$U$9,SUMPRODUCT(($D$10:$L$10&lt;&gt;"")*(($D$9:$L$9+INT(($S$12:$AA$12+INDEX($AJ$13:$AR$162,BN2375,0)+INDEX($AT$13:$BB$162,BO2375,0)+INDEX($BD$13:$BL$162,BP2375,0))/100))&gt;=$D$10:$L$10)),0)</f>
        <v/>
      </c>
      <c r="BR2375">
        <f>IF(2362&lt;$U$9,SUMPRODUCT(($D$10:$L$10&lt;&gt;"")*(($D$10:$L$10-($D$9:$L$9+INT(($S$12:$AA$12+INDEX($AJ$13:$AR$162,BN2375,0)+INDEX($AT$13:$BB$162,BO2375,0)+INDEX($BD$13:$BL$162,BP2375,0))/100)))&gt;0)*($D$10:$L$10-($D$9:$L$9+INT(($S$12:$AA$12+INDEX($AJ$13:$AR$162,BN2375,0)+INDEX($AT$13:$BB$162,BO2375,0)+INDEX($BD$13:$BL$162,BP2375,0))/100)))),0)</f>
        <v/>
      </c>
      <c r="BS2375">
        <f>IF(2362&lt;$U$9,SUMPRODUCT(($D$9:$L$9+INT(($S$12:$AA$12+INDEX($AJ$13:$AR$162,BN2375,0)+INDEX($AT$13:$BB$162,BO2375,0)+INDEX($BD$13:$BL$162,BP2375,0))/100))),0)</f>
        <v/>
      </c>
      <c r="BT2375">
        <f>IF(AND(2362&lt;$U$9,$W$5),BQ2375*1000000-MIN(BR2375,999)*1000+BS2375-2362/100000,-1000000000-2362)</f>
        <v/>
      </c>
    </row>
    <row r="2376">
      <c r="BN2376">
        <f>IF(2363&lt;$U$9,INT(2363/($U$7*$U$8))+1,1)</f>
        <v/>
      </c>
      <c r="BO2376">
        <f>IF(2363&lt;$U$9,MOD(INT(2363/$U$8),$U$7)+1,1)</f>
        <v/>
      </c>
      <c r="BP2376">
        <f>IF(2363&lt;$U$9,MOD(2363,$U$8)+1,1)</f>
        <v/>
      </c>
      <c r="BQ2376">
        <f>IF(2363&lt;$U$9,SUMPRODUCT(($D$10:$L$10&lt;&gt;"")*(($D$9:$L$9+INT(($S$12:$AA$12+INDEX($AJ$13:$AR$162,BN2376,0)+INDEX($AT$13:$BB$162,BO2376,0)+INDEX($BD$13:$BL$162,BP2376,0))/100))&gt;=$D$10:$L$10)),0)</f>
        <v/>
      </c>
      <c r="BR2376">
        <f>IF(2363&lt;$U$9,SUMPRODUCT(($D$10:$L$10&lt;&gt;"")*(($D$10:$L$10-($D$9:$L$9+INT(($S$12:$AA$12+INDEX($AJ$13:$AR$162,BN2376,0)+INDEX($AT$13:$BB$162,BO2376,0)+INDEX($BD$13:$BL$162,BP2376,0))/100)))&gt;0)*($D$10:$L$10-($D$9:$L$9+INT(($S$12:$AA$12+INDEX($AJ$13:$AR$162,BN2376,0)+INDEX($AT$13:$BB$162,BO2376,0)+INDEX($BD$13:$BL$162,BP2376,0))/100)))),0)</f>
        <v/>
      </c>
      <c r="BS2376">
        <f>IF(2363&lt;$U$9,SUMPRODUCT(($D$9:$L$9+INT(($S$12:$AA$12+INDEX($AJ$13:$AR$162,BN2376,0)+INDEX($AT$13:$BB$162,BO2376,0)+INDEX($BD$13:$BL$162,BP2376,0))/100))),0)</f>
        <v/>
      </c>
      <c r="BT2376">
        <f>IF(AND(2363&lt;$U$9,$W$5),BQ2376*1000000-MIN(BR2376,999)*1000+BS2376-2363/100000,-1000000000-2363)</f>
        <v/>
      </c>
    </row>
    <row r="2377">
      <c r="BN2377">
        <f>IF(2364&lt;$U$9,INT(2364/($U$7*$U$8))+1,1)</f>
        <v/>
      </c>
      <c r="BO2377">
        <f>IF(2364&lt;$U$9,MOD(INT(2364/$U$8),$U$7)+1,1)</f>
        <v/>
      </c>
      <c r="BP2377">
        <f>IF(2364&lt;$U$9,MOD(2364,$U$8)+1,1)</f>
        <v/>
      </c>
      <c r="BQ2377">
        <f>IF(2364&lt;$U$9,SUMPRODUCT(($D$10:$L$10&lt;&gt;"")*(($D$9:$L$9+INT(($S$12:$AA$12+INDEX($AJ$13:$AR$162,BN2377,0)+INDEX($AT$13:$BB$162,BO2377,0)+INDEX($BD$13:$BL$162,BP2377,0))/100))&gt;=$D$10:$L$10)),0)</f>
        <v/>
      </c>
      <c r="BR2377">
        <f>IF(2364&lt;$U$9,SUMPRODUCT(($D$10:$L$10&lt;&gt;"")*(($D$10:$L$10-($D$9:$L$9+INT(($S$12:$AA$12+INDEX($AJ$13:$AR$162,BN2377,0)+INDEX($AT$13:$BB$162,BO2377,0)+INDEX($BD$13:$BL$162,BP2377,0))/100)))&gt;0)*($D$10:$L$10-($D$9:$L$9+INT(($S$12:$AA$12+INDEX($AJ$13:$AR$162,BN2377,0)+INDEX($AT$13:$BB$162,BO2377,0)+INDEX($BD$13:$BL$162,BP2377,0))/100)))),0)</f>
        <v/>
      </c>
      <c r="BS2377">
        <f>IF(2364&lt;$U$9,SUMPRODUCT(($D$9:$L$9+INT(($S$12:$AA$12+INDEX($AJ$13:$AR$162,BN2377,0)+INDEX($AT$13:$BB$162,BO2377,0)+INDEX($BD$13:$BL$162,BP2377,0))/100))),0)</f>
        <v/>
      </c>
      <c r="BT2377">
        <f>IF(AND(2364&lt;$U$9,$W$5),BQ2377*1000000-MIN(BR2377,999)*1000+BS2377-2364/100000,-1000000000-2364)</f>
        <v/>
      </c>
    </row>
    <row r="2378">
      <c r="BN2378">
        <f>IF(2365&lt;$U$9,INT(2365/($U$7*$U$8))+1,1)</f>
        <v/>
      </c>
      <c r="BO2378">
        <f>IF(2365&lt;$U$9,MOD(INT(2365/$U$8),$U$7)+1,1)</f>
        <v/>
      </c>
      <c r="BP2378">
        <f>IF(2365&lt;$U$9,MOD(2365,$U$8)+1,1)</f>
        <v/>
      </c>
      <c r="BQ2378">
        <f>IF(2365&lt;$U$9,SUMPRODUCT(($D$10:$L$10&lt;&gt;"")*(($D$9:$L$9+INT(($S$12:$AA$12+INDEX($AJ$13:$AR$162,BN2378,0)+INDEX($AT$13:$BB$162,BO2378,0)+INDEX($BD$13:$BL$162,BP2378,0))/100))&gt;=$D$10:$L$10)),0)</f>
        <v/>
      </c>
      <c r="BR2378">
        <f>IF(2365&lt;$U$9,SUMPRODUCT(($D$10:$L$10&lt;&gt;"")*(($D$10:$L$10-($D$9:$L$9+INT(($S$12:$AA$12+INDEX($AJ$13:$AR$162,BN2378,0)+INDEX($AT$13:$BB$162,BO2378,0)+INDEX($BD$13:$BL$162,BP2378,0))/100)))&gt;0)*($D$10:$L$10-($D$9:$L$9+INT(($S$12:$AA$12+INDEX($AJ$13:$AR$162,BN2378,0)+INDEX($AT$13:$BB$162,BO2378,0)+INDEX($BD$13:$BL$162,BP2378,0))/100)))),0)</f>
        <v/>
      </c>
      <c r="BS2378">
        <f>IF(2365&lt;$U$9,SUMPRODUCT(($D$9:$L$9+INT(($S$12:$AA$12+INDEX($AJ$13:$AR$162,BN2378,0)+INDEX($AT$13:$BB$162,BO2378,0)+INDEX($BD$13:$BL$162,BP2378,0))/100))),0)</f>
        <v/>
      </c>
      <c r="BT2378">
        <f>IF(AND(2365&lt;$U$9,$W$5),BQ2378*1000000-MIN(BR2378,999)*1000+BS2378-2365/100000,-1000000000-2365)</f>
        <v/>
      </c>
    </row>
    <row r="2379">
      <c r="BN2379">
        <f>IF(2366&lt;$U$9,INT(2366/($U$7*$U$8))+1,1)</f>
        <v/>
      </c>
      <c r="BO2379">
        <f>IF(2366&lt;$U$9,MOD(INT(2366/$U$8),$U$7)+1,1)</f>
        <v/>
      </c>
      <c r="BP2379">
        <f>IF(2366&lt;$U$9,MOD(2366,$U$8)+1,1)</f>
        <v/>
      </c>
      <c r="BQ2379">
        <f>IF(2366&lt;$U$9,SUMPRODUCT(($D$10:$L$10&lt;&gt;"")*(($D$9:$L$9+INT(($S$12:$AA$12+INDEX($AJ$13:$AR$162,BN2379,0)+INDEX($AT$13:$BB$162,BO2379,0)+INDEX($BD$13:$BL$162,BP2379,0))/100))&gt;=$D$10:$L$10)),0)</f>
        <v/>
      </c>
      <c r="BR2379">
        <f>IF(2366&lt;$U$9,SUMPRODUCT(($D$10:$L$10&lt;&gt;"")*(($D$10:$L$10-($D$9:$L$9+INT(($S$12:$AA$12+INDEX($AJ$13:$AR$162,BN2379,0)+INDEX($AT$13:$BB$162,BO2379,0)+INDEX($BD$13:$BL$162,BP2379,0))/100)))&gt;0)*($D$10:$L$10-($D$9:$L$9+INT(($S$12:$AA$12+INDEX($AJ$13:$AR$162,BN2379,0)+INDEX($AT$13:$BB$162,BO2379,0)+INDEX($BD$13:$BL$162,BP2379,0))/100)))),0)</f>
        <v/>
      </c>
      <c r="BS2379">
        <f>IF(2366&lt;$U$9,SUMPRODUCT(($D$9:$L$9+INT(($S$12:$AA$12+INDEX($AJ$13:$AR$162,BN2379,0)+INDEX($AT$13:$BB$162,BO2379,0)+INDEX($BD$13:$BL$162,BP2379,0))/100))),0)</f>
        <v/>
      </c>
      <c r="BT2379">
        <f>IF(AND(2366&lt;$U$9,$W$5),BQ2379*1000000-MIN(BR2379,999)*1000+BS2379-2366/100000,-1000000000-2366)</f>
        <v/>
      </c>
    </row>
    <row r="2380">
      <c r="BN2380">
        <f>IF(2367&lt;$U$9,INT(2367/($U$7*$U$8))+1,1)</f>
        <v/>
      </c>
      <c r="BO2380">
        <f>IF(2367&lt;$U$9,MOD(INT(2367/$U$8),$U$7)+1,1)</f>
        <v/>
      </c>
      <c r="BP2380">
        <f>IF(2367&lt;$U$9,MOD(2367,$U$8)+1,1)</f>
        <v/>
      </c>
      <c r="BQ2380">
        <f>IF(2367&lt;$U$9,SUMPRODUCT(($D$10:$L$10&lt;&gt;"")*(($D$9:$L$9+INT(($S$12:$AA$12+INDEX($AJ$13:$AR$162,BN2380,0)+INDEX($AT$13:$BB$162,BO2380,0)+INDEX($BD$13:$BL$162,BP2380,0))/100))&gt;=$D$10:$L$10)),0)</f>
        <v/>
      </c>
      <c r="BR2380">
        <f>IF(2367&lt;$U$9,SUMPRODUCT(($D$10:$L$10&lt;&gt;"")*(($D$10:$L$10-($D$9:$L$9+INT(($S$12:$AA$12+INDEX($AJ$13:$AR$162,BN2380,0)+INDEX($AT$13:$BB$162,BO2380,0)+INDEX($BD$13:$BL$162,BP2380,0))/100)))&gt;0)*($D$10:$L$10-($D$9:$L$9+INT(($S$12:$AA$12+INDEX($AJ$13:$AR$162,BN2380,0)+INDEX($AT$13:$BB$162,BO2380,0)+INDEX($BD$13:$BL$162,BP2380,0))/100)))),0)</f>
        <v/>
      </c>
      <c r="BS2380">
        <f>IF(2367&lt;$U$9,SUMPRODUCT(($D$9:$L$9+INT(($S$12:$AA$12+INDEX($AJ$13:$AR$162,BN2380,0)+INDEX($AT$13:$BB$162,BO2380,0)+INDEX($BD$13:$BL$162,BP2380,0))/100))),0)</f>
        <v/>
      </c>
      <c r="BT2380">
        <f>IF(AND(2367&lt;$U$9,$W$5),BQ2380*1000000-MIN(BR2380,999)*1000+BS2380-2367/100000,-1000000000-2367)</f>
        <v/>
      </c>
    </row>
    <row r="2381">
      <c r="BN2381">
        <f>IF(2368&lt;$U$9,INT(2368/($U$7*$U$8))+1,1)</f>
        <v/>
      </c>
      <c r="BO2381">
        <f>IF(2368&lt;$U$9,MOD(INT(2368/$U$8),$U$7)+1,1)</f>
        <v/>
      </c>
      <c r="BP2381">
        <f>IF(2368&lt;$U$9,MOD(2368,$U$8)+1,1)</f>
        <v/>
      </c>
      <c r="BQ2381">
        <f>IF(2368&lt;$U$9,SUMPRODUCT(($D$10:$L$10&lt;&gt;"")*(($D$9:$L$9+INT(($S$12:$AA$12+INDEX($AJ$13:$AR$162,BN2381,0)+INDEX($AT$13:$BB$162,BO2381,0)+INDEX($BD$13:$BL$162,BP2381,0))/100))&gt;=$D$10:$L$10)),0)</f>
        <v/>
      </c>
      <c r="BR2381">
        <f>IF(2368&lt;$U$9,SUMPRODUCT(($D$10:$L$10&lt;&gt;"")*(($D$10:$L$10-($D$9:$L$9+INT(($S$12:$AA$12+INDEX($AJ$13:$AR$162,BN2381,0)+INDEX($AT$13:$BB$162,BO2381,0)+INDEX($BD$13:$BL$162,BP2381,0))/100)))&gt;0)*($D$10:$L$10-($D$9:$L$9+INT(($S$12:$AA$12+INDEX($AJ$13:$AR$162,BN2381,0)+INDEX($AT$13:$BB$162,BO2381,0)+INDEX($BD$13:$BL$162,BP2381,0))/100)))),0)</f>
        <v/>
      </c>
      <c r="BS2381">
        <f>IF(2368&lt;$U$9,SUMPRODUCT(($D$9:$L$9+INT(($S$12:$AA$12+INDEX($AJ$13:$AR$162,BN2381,0)+INDEX($AT$13:$BB$162,BO2381,0)+INDEX($BD$13:$BL$162,BP2381,0))/100))),0)</f>
        <v/>
      </c>
      <c r="BT2381">
        <f>IF(AND(2368&lt;$U$9,$W$5),BQ2381*1000000-MIN(BR2381,999)*1000+BS2381-2368/100000,-1000000000-2368)</f>
        <v/>
      </c>
    </row>
    <row r="2382">
      <c r="BN2382">
        <f>IF(2369&lt;$U$9,INT(2369/($U$7*$U$8))+1,1)</f>
        <v/>
      </c>
      <c r="BO2382">
        <f>IF(2369&lt;$U$9,MOD(INT(2369/$U$8),$U$7)+1,1)</f>
        <v/>
      </c>
      <c r="BP2382">
        <f>IF(2369&lt;$U$9,MOD(2369,$U$8)+1,1)</f>
        <v/>
      </c>
      <c r="BQ2382">
        <f>IF(2369&lt;$U$9,SUMPRODUCT(($D$10:$L$10&lt;&gt;"")*(($D$9:$L$9+INT(($S$12:$AA$12+INDEX($AJ$13:$AR$162,BN2382,0)+INDEX($AT$13:$BB$162,BO2382,0)+INDEX($BD$13:$BL$162,BP2382,0))/100))&gt;=$D$10:$L$10)),0)</f>
        <v/>
      </c>
      <c r="BR2382">
        <f>IF(2369&lt;$U$9,SUMPRODUCT(($D$10:$L$10&lt;&gt;"")*(($D$10:$L$10-($D$9:$L$9+INT(($S$12:$AA$12+INDEX($AJ$13:$AR$162,BN2382,0)+INDEX($AT$13:$BB$162,BO2382,0)+INDEX($BD$13:$BL$162,BP2382,0))/100)))&gt;0)*($D$10:$L$10-($D$9:$L$9+INT(($S$12:$AA$12+INDEX($AJ$13:$AR$162,BN2382,0)+INDEX($AT$13:$BB$162,BO2382,0)+INDEX($BD$13:$BL$162,BP2382,0))/100)))),0)</f>
        <v/>
      </c>
      <c r="BS2382">
        <f>IF(2369&lt;$U$9,SUMPRODUCT(($D$9:$L$9+INT(($S$12:$AA$12+INDEX($AJ$13:$AR$162,BN2382,0)+INDEX($AT$13:$BB$162,BO2382,0)+INDEX($BD$13:$BL$162,BP2382,0))/100))),0)</f>
        <v/>
      </c>
      <c r="BT2382">
        <f>IF(AND(2369&lt;$U$9,$W$5),BQ2382*1000000-MIN(BR2382,999)*1000+BS2382-2369/100000,-1000000000-2369)</f>
        <v/>
      </c>
    </row>
    <row r="2383">
      <c r="BN2383">
        <f>IF(2370&lt;$U$9,INT(2370/($U$7*$U$8))+1,1)</f>
        <v/>
      </c>
      <c r="BO2383">
        <f>IF(2370&lt;$U$9,MOD(INT(2370/$U$8),$U$7)+1,1)</f>
        <v/>
      </c>
      <c r="BP2383">
        <f>IF(2370&lt;$U$9,MOD(2370,$U$8)+1,1)</f>
        <v/>
      </c>
      <c r="BQ2383">
        <f>IF(2370&lt;$U$9,SUMPRODUCT(($D$10:$L$10&lt;&gt;"")*(($D$9:$L$9+INT(($S$12:$AA$12+INDEX($AJ$13:$AR$162,BN2383,0)+INDEX($AT$13:$BB$162,BO2383,0)+INDEX($BD$13:$BL$162,BP2383,0))/100))&gt;=$D$10:$L$10)),0)</f>
        <v/>
      </c>
      <c r="BR2383">
        <f>IF(2370&lt;$U$9,SUMPRODUCT(($D$10:$L$10&lt;&gt;"")*(($D$10:$L$10-($D$9:$L$9+INT(($S$12:$AA$12+INDEX($AJ$13:$AR$162,BN2383,0)+INDEX($AT$13:$BB$162,BO2383,0)+INDEX($BD$13:$BL$162,BP2383,0))/100)))&gt;0)*($D$10:$L$10-($D$9:$L$9+INT(($S$12:$AA$12+INDEX($AJ$13:$AR$162,BN2383,0)+INDEX($AT$13:$BB$162,BO2383,0)+INDEX($BD$13:$BL$162,BP2383,0))/100)))),0)</f>
        <v/>
      </c>
      <c r="BS2383">
        <f>IF(2370&lt;$U$9,SUMPRODUCT(($D$9:$L$9+INT(($S$12:$AA$12+INDEX($AJ$13:$AR$162,BN2383,0)+INDEX($AT$13:$BB$162,BO2383,0)+INDEX($BD$13:$BL$162,BP2383,0))/100))),0)</f>
        <v/>
      </c>
      <c r="BT2383">
        <f>IF(AND(2370&lt;$U$9,$W$5),BQ2383*1000000-MIN(BR2383,999)*1000+BS2383-2370/100000,-1000000000-2370)</f>
        <v/>
      </c>
    </row>
    <row r="2384">
      <c r="BN2384">
        <f>IF(2371&lt;$U$9,INT(2371/($U$7*$U$8))+1,1)</f>
        <v/>
      </c>
      <c r="BO2384">
        <f>IF(2371&lt;$U$9,MOD(INT(2371/$U$8),$U$7)+1,1)</f>
        <v/>
      </c>
      <c r="BP2384">
        <f>IF(2371&lt;$U$9,MOD(2371,$U$8)+1,1)</f>
        <v/>
      </c>
      <c r="BQ2384">
        <f>IF(2371&lt;$U$9,SUMPRODUCT(($D$10:$L$10&lt;&gt;"")*(($D$9:$L$9+INT(($S$12:$AA$12+INDEX($AJ$13:$AR$162,BN2384,0)+INDEX($AT$13:$BB$162,BO2384,0)+INDEX($BD$13:$BL$162,BP2384,0))/100))&gt;=$D$10:$L$10)),0)</f>
        <v/>
      </c>
      <c r="BR2384">
        <f>IF(2371&lt;$U$9,SUMPRODUCT(($D$10:$L$10&lt;&gt;"")*(($D$10:$L$10-($D$9:$L$9+INT(($S$12:$AA$12+INDEX($AJ$13:$AR$162,BN2384,0)+INDEX($AT$13:$BB$162,BO2384,0)+INDEX($BD$13:$BL$162,BP2384,0))/100)))&gt;0)*($D$10:$L$10-($D$9:$L$9+INT(($S$12:$AA$12+INDEX($AJ$13:$AR$162,BN2384,0)+INDEX($AT$13:$BB$162,BO2384,0)+INDEX($BD$13:$BL$162,BP2384,0))/100)))),0)</f>
        <v/>
      </c>
      <c r="BS2384">
        <f>IF(2371&lt;$U$9,SUMPRODUCT(($D$9:$L$9+INT(($S$12:$AA$12+INDEX($AJ$13:$AR$162,BN2384,0)+INDEX($AT$13:$BB$162,BO2384,0)+INDEX($BD$13:$BL$162,BP2384,0))/100))),0)</f>
        <v/>
      </c>
      <c r="BT2384">
        <f>IF(AND(2371&lt;$U$9,$W$5),BQ2384*1000000-MIN(BR2384,999)*1000+BS2384-2371/100000,-1000000000-2371)</f>
        <v/>
      </c>
    </row>
    <row r="2385">
      <c r="BN2385">
        <f>IF(2372&lt;$U$9,INT(2372/($U$7*$U$8))+1,1)</f>
        <v/>
      </c>
      <c r="BO2385">
        <f>IF(2372&lt;$U$9,MOD(INT(2372/$U$8),$U$7)+1,1)</f>
        <v/>
      </c>
      <c r="BP2385">
        <f>IF(2372&lt;$U$9,MOD(2372,$U$8)+1,1)</f>
        <v/>
      </c>
      <c r="BQ2385">
        <f>IF(2372&lt;$U$9,SUMPRODUCT(($D$10:$L$10&lt;&gt;"")*(($D$9:$L$9+INT(($S$12:$AA$12+INDEX($AJ$13:$AR$162,BN2385,0)+INDEX($AT$13:$BB$162,BO2385,0)+INDEX($BD$13:$BL$162,BP2385,0))/100))&gt;=$D$10:$L$10)),0)</f>
        <v/>
      </c>
      <c r="BR2385">
        <f>IF(2372&lt;$U$9,SUMPRODUCT(($D$10:$L$10&lt;&gt;"")*(($D$10:$L$10-($D$9:$L$9+INT(($S$12:$AA$12+INDEX($AJ$13:$AR$162,BN2385,0)+INDEX($AT$13:$BB$162,BO2385,0)+INDEX($BD$13:$BL$162,BP2385,0))/100)))&gt;0)*($D$10:$L$10-($D$9:$L$9+INT(($S$12:$AA$12+INDEX($AJ$13:$AR$162,BN2385,0)+INDEX($AT$13:$BB$162,BO2385,0)+INDEX($BD$13:$BL$162,BP2385,0))/100)))),0)</f>
        <v/>
      </c>
      <c r="BS2385">
        <f>IF(2372&lt;$U$9,SUMPRODUCT(($D$9:$L$9+INT(($S$12:$AA$12+INDEX($AJ$13:$AR$162,BN2385,0)+INDEX($AT$13:$BB$162,BO2385,0)+INDEX($BD$13:$BL$162,BP2385,0))/100))),0)</f>
        <v/>
      </c>
      <c r="BT2385">
        <f>IF(AND(2372&lt;$U$9,$W$5),BQ2385*1000000-MIN(BR2385,999)*1000+BS2385-2372/100000,-1000000000-2372)</f>
        <v/>
      </c>
    </row>
    <row r="2386">
      <c r="BN2386">
        <f>IF(2373&lt;$U$9,INT(2373/($U$7*$U$8))+1,1)</f>
        <v/>
      </c>
      <c r="BO2386">
        <f>IF(2373&lt;$U$9,MOD(INT(2373/$U$8),$U$7)+1,1)</f>
        <v/>
      </c>
      <c r="BP2386">
        <f>IF(2373&lt;$U$9,MOD(2373,$U$8)+1,1)</f>
        <v/>
      </c>
      <c r="BQ2386">
        <f>IF(2373&lt;$U$9,SUMPRODUCT(($D$10:$L$10&lt;&gt;"")*(($D$9:$L$9+INT(($S$12:$AA$12+INDEX($AJ$13:$AR$162,BN2386,0)+INDEX($AT$13:$BB$162,BO2386,0)+INDEX($BD$13:$BL$162,BP2386,0))/100))&gt;=$D$10:$L$10)),0)</f>
        <v/>
      </c>
      <c r="BR2386">
        <f>IF(2373&lt;$U$9,SUMPRODUCT(($D$10:$L$10&lt;&gt;"")*(($D$10:$L$10-($D$9:$L$9+INT(($S$12:$AA$12+INDEX($AJ$13:$AR$162,BN2386,0)+INDEX($AT$13:$BB$162,BO2386,0)+INDEX($BD$13:$BL$162,BP2386,0))/100)))&gt;0)*($D$10:$L$10-($D$9:$L$9+INT(($S$12:$AA$12+INDEX($AJ$13:$AR$162,BN2386,0)+INDEX($AT$13:$BB$162,BO2386,0)+INDEX($BD$13:$BL$162,BP2386,0))/100)))),0)</f>
        <v/>
      </c>
      <c r="BS2386">
        <f>IF(2373&lt;$U$9,SUMPRODUCT(($D$9:$L$9+INT(($S$12:$AA$12+INDEX($AJ$13:$AR$162,BN2386,0)+INDEX($AT$13:$BB$162,BO2386,0)+INDEX($BD$13:$BL$162,BP2386,0))/100))),0)</f>
        <v/>
      </c>
      <c r="BT2386">
        <f>IF(AND(2373&lt;$U$9,$W$5),BQ2386*1000000-MIN(BR2386,999)*1000+BS2386-2373/100000,-1000000000-2373)</f>
        <v/>
      </c>
    </row>
    <row r="2387">
      <c r="BN2387">
        <f>IF(2374&lt;$U$9,INT(2374/($U$7*$U$8))+1,1)</f>
        <v/>
      </c>
      <c r="BO2387">
        <f>IF(2374&lt;$U$9,MOD(INT(2374/$U$8),$U$7)+1,1)</f>
        <v/>
      </c>
      <c r="BP2387">
        <f>IF(2374&lt;$U$9,MOD(2374,$U$8)+1,1)</f>
        <v/>
      </c>
      <c r="BQ2387">
        <f>IF(2374&lt;$U$9,SUMPRODUCT(($D$10:$L$10&lt;&gt;"")*(($D$9:$L$9+INT(($S$12:$AA$12+INDEX($AJ$13:$AR$162,BN2387,0)+INDEX($AT$13:$BB$162,BO2387,0)+INDEX($BD$13:$BL$162,BP2387,0))/100))&gt;=$D$10:$L$10)),0)</f>
        <v/>
      </c>
      <c r="BR2387">
        <f>IF(2374&lt;$U$9,SUMPRODUCT(($D$10:$L$10&lt;&gt;"")*(($D$10:$L$10-($D$9:$L$9+INT(($S$12:$AA$12+INDEX($AJ$13:$AR$162,BN2387,0)+INDEX($AT$13:$BB$162,BO2387,0)+INDEX($BD$13:$BL$162,BP2387,0))/100)))&gt;0)*($D$10:$L$10-($D$9:$L$9+INT(($S$12:$AA$12+INDEX($AJ$13:$AR$162,BN2387,0)+INDEX($AT$13:$BB$162,BO2387,0)+INDEX($BD$13:$BL$162,BP2387,0))/100)))),0)</f>
        <v/>
      </c>
      <c r="BS2387">
        <f>IF(2374&lt;$U$9,SUMPRODUCT(($D$9:$L$9+INT(($S$12:$AA$12+INDEX($AJ$13:$AR$162,BN2387,0)+INDEX($AT$13:$BB$162,BO2387,0)+INDEX($BD$13:$BL$162,BP2387,0))/100))),0)</f>
        <v/>
      </c>
      <c r="BT2387">
        <f>IF(AND(2374&lt;$U$9,$W$5),BQ2387*1000000-MIN(BR2387,999)*1000+BS2387-2374/100000,-1000000000-2374)</f>
        <v/>
      </c>
    </row>
    <row r="2388">
      <c r="BN2388">
        <f>IF(2375&lt;$U$9,INT(2375/($U$7*$U$8))+1,1)</f>
        <v/>
      </c>
      <c r="BO2388">
        <f>IF(2375&lt;$U$9,MOD(INT(2375/$U$8),$U$7)+1,1)</f>
        <v/>
      </c>
      <c r="BP2388">
        <f>IF(2375&lt;$U$9,MOD(2375,$U$8)+1,1)</f>
        <v/>
      </c>
      <c r="BQ2388">
        <f>IF(2375&lt;$U$9,SUMPRODUCT(($D$10:$L$10&lt;&gt;"")*(($D$9:$L$9+INT(($S$12:$AA$12+INDEX($AJ$13:$AR$162,BN2388,0)+INDEX($AT$13:$BB$162,BO2388,0)+INDEX($BD$13:$BL$162,BP2388,0))/100))&gt;=$D$10:$L$10)),0)</f>
        <v/>
      </c>
      <c r="BR2388">
        <f>IF(2375&lt;$U$9,SUMPRODUCT(($D$10:$L$10&lt;&gt;"")*(($D$10:$L$10-($D$9:$L$9+INT(($S$12:$AA$12+INDEX($AJ$13:$AR$162,BN2388,0)+INDEX($AT$13:$BB$162,BO2388,0)+INDEX($BD$13:$BL$162,BP2388,0))/100)))&gt;0)*($D$10:$L$10-($D$9:$L$9+INT(($S$12:$AA$12+INDEX($AJ$13:$AR$162,BN2388,0)+INDEX($AT$13:$BB$162,BO2388,0)+INDEX($BD$13:$BL$162,BP2388,0))/100)))),0)</f>
        <v/>
      </c>
      <c r="BS2388">
        <f>IF(2375&lt;$U$9,SUMPRODUCT(($D$9:$L$9+INT(($S$12:$AA$12+INDEX($AJ$13:$AR$162,BN2388,0)+INDEX($AT$13:$BB$162,BO2388,0)+INDEX($BD$13:$BL$162,BP2388,0))/100))),0)</f>
        <v/>
      </c>
      <c r="BT2388">
        <f>IF(AND(2375&lt;$U$9,$W$5),BQ2388*1000000-MIN(BR2388,999)*1000+BS2388-2375/100000,-1000000000-2375)</f>
        <v/>
      </c>
    </row>
    <row r="2389">
      <c r="BN2389">
        <f>IF(2376&lt;$U$9,INT(2376/($U$7*$U$8))+1,1)</f>
        <v/>
      </c>
      <c r="BO2389">
        <f>IF(2376&lt;$U$9,MOD(INT(2376/$U$8),$U$7)+1,1)</f>
        <v/>
      </c>
      <c r="BP2389">
        <f>IF(2376&lt;$U$9,MOD(2376,$U$8)+1,1)</f>
        <v/>
      </c>
      <c r="BQ2389">
        <f>IF(2376&lt;$U$9,SUMPRODUCT(($D$10:$L$10&lt;&gt;"")*(($D$9:$L$9+INT(($S$12:$AA$12+INDEX($AJ$13:$AR$162,BN2389,0)+INDEX($AT$13:$BB$162,BO2389,0)+INDEX($BD$13:$BL$162,BP2389,0))/100))&gt;=$D$10:$L$10)),0)</f>
        <v/>
      </c>
      <c r="BR2389">
        <f>IF(2376&lt;$U$9,SUMPRODUCT(($D$10:$L$10&lt;&gt;"")*(($D$10:$L$10-($D$9:$L$9+INT(($S$12:$AA$12+INDEX($AJ$13:$AR$162,BN2389,0)+INDEX($AT$13:$BB$162,BO2389,0)+INDEX($BD$13:$BL$162,BP2389,0))/100)))&gt;0)*($D$10:$L$10-($D$9:$L$9+INT(($S$12:$AA$12+INDEX($AJ$13:$AR$162,BN2389,0)+INDEX($AT$13:$BB$162,BO2389,0)+INDEX($BD$13:$BL$162,BP2389,0))/100)))),0)</f>
        <v/>
      </c>
      <c r="BS2389">
        <f>IF(2376&lt;$U$9,SUMPRODUCT(($D$9:$L$9+INT(($S$12:$AA$12+INDEX($AJ$13:$AR$162,BN2389,0)+INDEX($AT$13:$BB$162,BO2389,0)+INDEX($BD$13:$BL$162,BP2389,0))/100))),0)</f>
        <v/>
      </c>
      <c r="BT2389">
        <f>IF(AND(2376&lt;$U$9,$W$5),BQ2389*1000000-MIN(BR2389,999)*1000+BS2389-2376/100000,-1000000000-2376)</f>
        <v/>
      </c>
    </row>
    <row r="2390">
      <c r="BN2390">
        <f>IF(2377&lt;$U$9,INT(2377/($U$7*$U$8))+1,1)</f>
        <v/>
      </c>
      <c r="BO2390">
        <f>IF(2377&lt;$U$9,MOD(INT(2377/$U$8),$U$7)+1,1)</f>
        <v/>
      </c>
      <c r="BP2390">
        <f>IF(2377&lt;$U$9,MOD(2377,$U$8)+1,1)</f>
        <v/>
      </c>
      <c r="BQ2390">
        <f>IF(2377&lt;$U$9,SUMPRODUCT(($D$10:$L$10&lt;&gt;"")*(($D$9:$L$9+INT(($S$12:$AA$12+INDEX($AJ$13:$AR$162,BN2390,0)+INDEX($AT$13:$BB$162,BO2390,0)+INDEX($BD$13:$BL$162,BP2390,0))/100))&gt;=$D$10:$L$10)),0)</f>
        <v/>
      </c>
      <c r="BR2390">
        <f>IF(2377&lt;$U$9,SUMPRODUCT(($D$10:$L$10&lt;&gt;"")*(($D$10:$L$10-($D$9:$L$9+INT(($S$12:$AA$12+INDEX($AJ$13:$AR$162,BN2390,0)+INDEX($AT$13:$BB$162,BO2390,0)+INDEX($BD$13:$BL$162,BP2390,0))/100)))&gt;0)*($D$10:$L$10-($D$9:$L$9+INT(($S$12:$AA$12+INDEX($AJ$13:$AR$162,BN2390,0)+INDEX($AT$13:$BB$162,BO2390,0)+INDEX($BD$13:$BL$162,BP2390,0))/100)))),0)</f>
        <v/>
      </c>
      <c r="BS2390">
        <f>IF(2377&lt;$U$9,SUMPRODUCT(($D$9:$L$9+INT(($S$12:$AA$12+INDEX($AJ$13:$AR$162,BN2390,0)+INDEX($AT$13:$BB$162,BO2390,0)+INDEX($BD$13:$BL$162,BP2390,0))/100))),0)</f>
        <v/>
      </c>
      <c r="BT2390">
        <f>IF(AND(2377&lt;$U$9,$W$5),BQ2390*1000000-MIN(BR2390,999)*1000+BS2390-2377/100000,-1000000000-2377)</f>
        <v/>
      </c>
    </row>
    <row r="2391">
      <c r="BN2391">
        <f>IF(2378&lt;$U$9,INT(2378/($U$7*$U$8))+1,1)</f>
        <v/>
      </c>
      <c r="BO2391">
        <f>IF(2378&lt;$U$9,MOD(INT(2378/$U$8),$U$7)+1,1)</f>
        <v/>
      </c>
      <c r="BP2391">
        <f>IF(2378&lt;$U$9,MOD(2378,$U$8)+1,1)</f>
        <v/>
      </c>
      <c r="BQ2391">
        <f>IF(2378&lt;$U$9,SUMPRODUCT(($D$10:$L$10&lt;&gt;"")*(($D$9:$L$9+INT(($S$12:$AA$12+INDEX($AJ$13:$AR$162,BN2391,0)+INDEX($AT$13:$BB$162,BO2391,0)+INDEX($BD$13:$BL$162,BP2391,0))/100))&gt;=$D$10:$L$10)),0)</f>
        <v/>
      </c>
      <c r="BR2391">
        <f>IF(2378&lt;$U$9,SUMPRODUCT(($D$10:$L$10&lt;&gt;"")*(($D$10:$L$10-($D$9:$L$9+INT(($S$12:$AA$12+INDEX($AJ$13:$AR$162,BN2391,0)+INDEX($AT$13:$BB$162,BO2391,0)+INDEX($BD$13:$BL$162,BP2391,0))/100)))&gt;0)*($D$10:$L$10-($D$9:$L$9+INT(($S$12:$AA$12+INDEX($AJ$13:$AR$162,BN2391,0)+INDEX($AT$13:$BB$162,BO2391,0)+INDEX($BD$13:$BL$162,BP2391,0))/100)))),0)</f>
        <v/>
      </c>
      <c r="BS2391">
        <f>IF(2378&lt;$U$9,SUMPRODUCT(($D$9:$L$9+INT(($S$12:$AA$12+INDEX($AJ$13:$AR$162,BN2391,0)+INDEX($AT$13:$BB$162,BO2391,0)+INDEX($BD$13:$BL$162,BP2391,0))/100))),0)</f>
        <v/>
      </c>
      <c r="BT2391">
        <f>IF(AND(2378&lt;$U$9,$W$5),BQ2391*1000000-MIN(BR2391,999)*1000+BS2391-2378/100000,-1000000000-2378)</f>
        <v/>
      </c>
    </row>
    <row r="2392">
      <c r="BN2392">
        <f>IF(2379&lt;$U$9,INT(2379/($U$7*$U$8))+1,1)</f>
        <v/>
      </c>
      <c r="BO2392">
        <f>IF(2379&lt;$U$9,MOD(INT(2379/$U$8),$U$7)+1,1)</f>
        <v/>
      </c>
      <c r="BP2392">
        <f>IF(2379&lt;$U$9,MOD(2379,$U$8)+1,1)</f>
        <v/>
      </c>
      <c r="BQ2392">
        <f>IF(2379&lt;$U$9,SUMPRODUCT(($D$10:$L$10&lt;&gt;"")*(($D$9:$L$9+INT(($S$12:$AA$12+INDEX($AJ$13:$AR$162,BN2392,0)+INDEX($AT$13:$BB$162,BO2392,0)+INDEX($BD$13:$BL$162,BP2392,0))/100))&gt;=$D$10:$L$10)),0)</f>
        <v/>
      </c>
      <c r="BR2392">
        <f>IF(2379&lt;$U$9,SUMPRODUCT(($D$10:$L$10&lt;&gt;"")*(($D$10:$L$10-($D$9:$L$9+INT(($S$12:$AA$12+INDEX($AJ$13:$AR$162,BN2392,0)+INDEX($AT$13:$BB$162,BO2392,0)+INDEX($BD$13:$BL$162,BP2392,0))/100)))&gt;0)*($D$10:$L$10-($D$9:$L$9+INT(($S$12:$AA$12+INDEX($AJ$13:$AR$162,BN2392,0)+INDEX($AT$13:$BB$162,BO2392,0)+INDEX($BD$13:$BL$162,BP2392,0))/100)))),0)</f>
        <v/>
      </c>
      <c r="BS2392">
        <f>IF(2379&lt;$U$9,SUMPRODUCT(($D$9:$L$9+INT(($S$12:$AA$12+INDEX($AJ$13:$AR$162,BN2392,0)+INDEX($AT$13:$BB$162,BO2392,0)+INDEX($BD$13:$BL$162,BP2392,0))/100))),0)</f>
        <v/>
      </c>
      <c r="BT2392">
        <f>IF(AND(2379&lt;$U$9,$W$5),BQ2392*1000000-MIN(BR2392,999)*1000+BS2392-2379/100000,-1000000000-2379)</f>
        <v/>
      </c>
    </row>
    <row r="2393">
      <c r="BN2393">
        <f>IF(2380&lt;$U$9,INT(2380/($U$7*$U$8))+1,1)</f>
        <v/>
      </c>
      <c r="BO2393">
        <f>IF(2380&lt;$U$9,MOD(INT(2380/$U$8),$U$7)+1,1)</f>
        <v/>
      </c>
      <c r="BP2393">
        <f>IF(2380&lt;$U$9,MOD(2380,$U$8)+1,1)</f>
        <v/>
      </c>
      <c r="BQ2393">
        <f>IF(2380&lt;$U$9,SUMPRODUCT(($D$10:$L$10&lt;&gt;"")*(($D$9:$L$9+INT(($S$12:$AA$12+INDEX($AJ$13:$AR$162,BN2393,0)+INDEX($AT$13:$BB$162,BO2393,0)+INDEX($BD$13:$BL$162,BP2393,0))/100))&gt;=$D$10:$L$10)),0)</f>
        <v/>
      </c>
      <c r="BR2393">
        <f>IF(2380&lt;$U$9,SUMPRODUCT(($D$10:$L$10&lt;&gt;"")*(($D$10:$L$10-($D$9:$L$9+INT(($S$12:$AA$12+INDEX($AJ$13:$AR$162,BN2393,0)+INDEX($AT$13:$BB$162,BO2393,0)+INDEX($BD$13:$BL$162,BP2393,0))/100)))&gt;0)*($D$10:$L$10-($D$9:$L$9+INT(($S$12:$AA$12+INDEX($AJ$13:$AR$162,BN2393,0)+INDEX($AT$13:$BB$162,BO2393,0)+INDEX($BD$13:$BL$162,BP2393,0))/100)))),0)</f>
        <v/>
      </c>
      <c r="BS2393">
        <f>IF(2380&lt;$U$9,SUMPRODUCT(($D$9:$L$9+INT(($S$12:$AA$12+INDEX($AJ$13:$AR$162,BN2393,0)+INDEX($AT$13:$BB$162,BO2393,0)+INDEX($BD$13:$BL$162,BP2393,0))/100))),0)</f>
        <v/>
      </c>
      <c r="BT2393">
        <f>IF(AND(2380&lt;$U$9,$W$5),BQ2393*1000000-MIN(BR2393,999)*1000+BS2393-2380/100000,-1000000000-2380)</f>
        <v/>
      </c>
    </row>
    <row r="2394">
      <c r="BN2394">
        <f>IF(2381&lt;$U$9,INT(2381/($U$7*$U$8))+1,1)</f>
        <v/>
      </c>
      <c r="BO2394">
        <f>IF(2381&lt;$U$9,MOD(INT(2381/$U$8),$U$7)+1,1)</f>
        <v/>
      </c>
      <c r="BP2394">
        <f>IF(2381&lt;$U$9,MOD(2381,$U$8)+1,1)</f>
        <v/>
      </c>
      <c r="BQ2394">
        <f>IF(2381&lt;$U$9,SUMPRODUCT(($D$10:$L$10&lt;&gt;"")*(($D$9:$L$9+INT(($S$12:$AA$12+INDEX($AJ$13:$AR$162,BN2394,0)+INDEX($AT$13:$BB$162,BO2394,0)+INDEX($BD$13:$BL$162,BP2394,0))/100))&gt;=$D$10:$L$10)),0)</f>
        <v/>
      </c>
      <c r="BR2394">
        <f>IF(2381&lt;$U$9,SUMPRODUCT(($D$10:$L$10&lt;&gt;"")*(($D$10:$L$10-($D$9:$L$9+INT(($S$12:$AA$12+INDEX($AJ$13:$AR$162,BN2394,0)+INDEX($AT$13:$BB$162,BO2394,0)+INDEX($BD$13:$BL$162,BP2394,0))/100)))&gt;0)*($D$10:$L$10-($D$9:$L$9+INT(($S$12:$AA$12+INDEX($AJ$13:$AR$162,BN2394,0)+INDEX($AT$13:$BB$162,BO2394,0)+INDEX($BD$13:$BL$162,BP2394,0))/100)))),0)</f>
        <v/>
      </c>
      <c r="BS2394">
        <f>IF(2381&lt;$U$9,SUMPRODUCT(($D$9:$L$9+INT(($S$12:$AA$12+INDEX($AJ$13:$AR$162,BN2394,0)+INDEX($AT$13:$BB$162,BO2394,0)+INDEX($BD$13:$BL$162,BP2394,0))/100))),0)</f>
        <v/>
      </c>
      <c r="BT2394">
        <f>IF(AND(2381&lt;$U$9,$W$5),BQ2394*1000000-MIN(BR2394,999)*1000+BS2394-2381/100000,-1000000000-2381)</f>
        <v/>
      </c>
    </row>
    <row r="2395">
      <c r="BN2395">
        <f>IF(2382&lt;$U$9,INT(2382/($U$7*$U$8))+1,1)</f>
        <v/>
      </c>
      <c r="BO2395">
        <f>IF(2382&lt;$U$9,MOD(INT(2382/$U$8),$U$7)+1,1)</f>
        <v/>
      </c>
      <c r="BP2395">
        <f>IF(2382&lt;$U$9,MOD(2382,$U$8)+1,1)</f>
        <v/>
      </c>
      <c r="BQ2395">
        <f>IF(2382&lt;$U$9,SUMPRODUCT(($D$10:$L$10&lt;&gt;"")*(($D$9:$L$9+INT(($S$12:$AA$12+INDEX($AJ$13:$AR$162,BN2395,0)+INDEX($AT$13:$BB$162,BO2395,0)+INDEX($BD$13:$BL$162,BP2395,0))/100))&gt;=$D$10:$L$10)),0)</f>
        <v/>
      </c>
      <c r="BR2395">
        <f>IF(2382&lt;$U$9,SUMPRODUCT(($D$10:$L$10&lt;&gt;"")*(($D$10:$L$10-($D$9:$L$9+INT(($S$12:$AA$12+INDEX($AJ$13:$AR$162,BN2395,0)+INDEX($AT$13:$BB$162,BO2395,0)+INDEX($BD$13:$BL$162,BP2395,0))/100)))&gt;0)*($D$10:$L$10-($D$9:$L$9+INT(($S$12:$AA$12+INDEX($AJ$13:$AR$162,BN2395,0)+INDEX($AT$13:$BB$162,BO2395,0)+INDEX($BD$13:$BL$162,BP2395,0))/100)))),0)</f>
        <v/>
      </c>
      <c r="BS2395">
        <f>IF(2382&lt;$U$9,SUMPRODUCT(($D$9:$L$9+INT(($S$12:$AA$12+INDEX($AJ$13:$AR$162,BN2395,0)+INDEX($AT$13:$BB$162,BO2395,0)+INDEX($BD$13:$BL$162,BP2395,0))/100))),0)</f>
        <v/>
      </c>
      <c r="BT2395">
        <f>IF(AND(2382&lt;$U$9,$W$5),BQ2395*1000000-MIN(BR2395,999)*1000+BS2395-2382/100000,-1000000000-2382)</f>
        <v/>
      </c>
    </row>
    <row r="2396">
      <c r="BN2396">
        <f>IF(2383&lt;$U$9,INT(2383/($U$7*$U$8))+1,1)</f>
        <v/>
      </c>
      <c r="BO2396">
        <f>IF(2383&lt;$U$9,MOD(INT(2383/$U$8),$U$7)+1,1)</f>
        <v/>
      </c>
      <c r="BP2396">
        <f>IF(2383&lt;$U$9,MOD(2383,$U$8)+1,1)</f>
        <v/>
      </c>
      <c r="BQ2396">
        <f>IF(2383&lt;$U$9,SUMPRODUCT(($D$10:$L$10&lt;&gt;"")*(($D$9:$L$9+INT(($S$12:$AA$12+INDEX($AJ$13:$AR$162,BN2396,0)+INDEX($AT$13:$BB$162,BO2396,0)+INDEX($BD$13:$BL$162,BP2396,0))/100))&gt;=$D$10:$L$10)),0)</f>
        <v/>
      </c>
      <c r="BR2396">
        <f>IF(2383&lt;$U$9,SUMPRODUCT(($D$10:$L$10&lt;&gt;"")*(($D$10:$L$10-($D$9:$L$9+INT(($S$12:$AA$12+INDEX($AJ$13:$AR$162,BN2396,0)+INDEX($AT$13:$BB$162,BO2396,0)+INDEX($BD$13:$BL$162,BP2396,0))/100)))&gt;0)*($D$10:$L$10-($D$9:$L$9+INT(($S$12:$AA$12+INDEX($AJ$13:$AR$162,BN2396,0)+INDEX($AT$13:$BB$162,BO2396,0)+INDEX($BD$13:$BL$162,BP2396,0))/100)))),0)</f>
        <v/>
      </c>
      <c r="BS2396">
        <f>IF(2383&lt;$U$9,SUMPRODUCT(($D$9:$L$9+INT(($S$12:$AA$12+INDEX($AJ$13:$AR$162,BN2396,0)+INDEX($AT$13:$BB$162,BO2396,0)+INDEX($BD$13:$BL$162,BP2396,0))/100))),0)</f>
        <v/>
      </c>
      <c r="BT2396">
        <f>IF(AND(2383&lt;$U$9,$W$5),BQ2396*1000000-MIN(BR2396,999)*1000+BS2396-2383/100000,-1000000000-2383)</f>
        <v/>
      </c>
    </row>
    <row r="2397">
      <c r="BN2397">
        <f>IF(2384&lt;$U$9,INT(2384/($U$7*$U$8))+1,1)</f>
        <v/>
      </c>
      <c r="BO2397">
        <f>IF(2384&lt;$U$9,MOD(INT(2384/$U$8),$U$7)+1,1)</f>
        <v/>
      </c>
      <c r="BP2397">
        <f>IF(2384&lt;$U$9,MOD(2384,$U$8)+1,1)</f>
        <v/>
      </c>
      <c r="BQ2397">
        <f>IF(2384&lt;$U$9,SUMPRODUCT(($D$10:$L$10&lt;&gt;"")*(($D$9:$L$9+INT(($S$12:$AA$12+INDEX($AJ$13:$AR$162,BN2397,0)+INDEX($AT$13:$BB$162,BO2397,0)+INDEX($BD$13:$BL$162,BP2397,0))/100))&gt;=$D$10:$L$10)),0)</f>
        <v/>
      </c>
      <c r="BR2397">
        <f>IF(2384&lt;$U$9,SUMPRODUCT(($D$10:$L$10&lt;&gt;"")*(($D$10:$L$10-($D$9:$L$9+INT(($S$12:$AA$12+INDEX($AJ$13:$AR$162,BN2397,0)+INDEX($AT$13:$BB$162,BO2397,0)+INDEX($BD$13:$BL$162,BP2397,0))/100)))&gt;0)*($D$10:$L$10-($D$9:$L$9+INT(($S$12:$AA$12+INDEX($AJ$13:$AR$162,BN2397,0)+INDEX($AT$13:$BB$162,BO2397,0)+INDEX($BD$13:$BL$162,BP2397,0))/100)))),0)</f>
        <v/>
      </c>
      <c r="BS2397">
        <f>IF(2384&lt;$U$9,SUMPRODUCT(($D$9:$L$9+INT(($S$12:$AA$12+INDEX($AJ$13:$AR$162,BN2397,0)+INDEX($AT$13:$BB$162,BO2397,0)+INDEX($BD$13:$BL$162,BP2397,0))/100))),0)</f>
        <v/>
      </c>
      <c r="BT2397">
        <f>IF(AND(2384&lt;$U$9,$W$5),BQ2397*1000000-MIN(BR2397,999)*1000+BS2397-2384/100000,-1000000000-2384)</f>
        <v/>
      </c>
    </row>
    <row r="2398">
      <c r="BN2398">
        <f>IF(2385&lt;$U$9,INT(2385/($U$7*$U$8))+1,1)</f>
        <v/>
      </c>
      <c r="BO2398">
        <f>IF(2385&lt;$U$9,MOD(INT(2385/$U$8),$U$7)+1,1)</f>
        <v/>
      </c>
      <c r="BP2398">
        <f>IF(2385&lt;$U$9,MOD(2385,$U$8)+1,1)</f>
        <v/>
      </c>
      <c r="BQ2398">
        <f>IF(2385&lt;$U$9,SUMPRODUCT(($D$10:$L$10&lt;&gt;"")*(($D$9:$L$9+INT(($S$12:$AA$12+INDEX($AJ$13:$AR$162,BN2398,0)+INDEX($AT$13:$BB$162,BO2398,0)+INDEX($BD$13:$BL$162,BP2398,0))/100))&gt;=$D$10:$L$10)),0)</f>
        <v/>
      </c>
      <c r="BR2398">
        <f>IF(2385&lt;$U$9,SUMPRODUCT(($D$10:$L$10&lt;&gt;"")*(($D$10:$L$10-($D$9:$L$9+INT(($S$12:$AA$12+INDEX($AJ$13:$AR$162,BN2398,0)+INDEX($AT$13:$BB$162,BO2398,0)+INDEX($BD$13:$BL$162,BP2398,0))/100)))&gt;0)*($D$10:$L$10-($D$9:$L$9+INT(($S$12:$AA$12+INDEX($AJ$13:$AR$162,BN2398,0)+INDEX($AT$13:$BB$162,BO2398,0)+INDEX($BD$13:$BL$162,BP2398,0))/100)))),0)</f>
        <v/>
      </c>
      <c r="BS2398">
        <f>IF(2385&lt;$U$9,SUMPRODUCT(($D$9:$L$9+INT(($S$12:$AA$12+INDEX($AJ$13:$AR$162,BN2398,0)+INDEX($AT$13:$BB$162,BO2398,0)+INDEX($BD$13:$BL$162,BP2398,0))/100))),0)</f>
        <v/>
      </c>
      <c r="BT2398">
        <f>IF(AND(2385&lt;$U$9,$W$5),BQ2398*1000000-MIN(BR2398,999)*1000+BS2398-2385/100000,-1000000000-2385)</f>
        <v/>
      </c>
    </row>
    <row r="2399">
      <c r="BN2399">
        <f>IF(2386&lt;$U$9,INT(2386/($U$7*$U$8))+1,1)</f>
        <v/>
      </c>
      <c r="BO2399">
        <f>IF(2386&lt;$U$9,MOD(INT(2386/$U$8),$U$7)+1,1)</f>
        <v/>
      </c>
      <c r="BP2399">
        <f>IF(2386&lt;$U$9,MOD(2386,$U$8)+1,1)</f>
        <v/>
      </c>
      <c r="BQ2399">
        <f>IF(2386&lt;$U$9,SUMPRODUCT(($D$10:$L$10&lt;&gt;"")*(($D$9:$L$9+INT(($S$12:$AA$12+INDEX($AJ$13:$AR$162,BN2399,0)+INDEX($AT$13:$BB$162,BO2399,0)+INDEX($BD$13:$BL$162,BP2399,0))/100))&gt;=$D$10:$L$10)),0)</f>
        <v/>
      </c>
      <c r="BR2399">
        <f>IF(2386&lt;$U$9,SUMPRODUCT(($D$10:$L$10&lt;&gt;"")*(($D$10:$L$10-($D$9:$L$9+INT(($S$12:$AA$12+INDEX($AJ$13:$AR$162,BN2399,0)+INDEX($AT$13:$BB$162,BO2399,0)+INDEX($BD$13:$BL$162,BP2399,0))/100)))&gt;0)*($D$10:$L$10-($D$9:$L$9+INT(($S$12:$AA$12+INDEX($AJ$13:$AR$162,BN2399,0)+INDEX($AT$13:$BB$162,BO2399,0)+INDEX($BD$13:$BL$162,BP2399,0))/100)))),0)</f>
        <v/>
      </c>
      <c r="BS2399">
        <f>IF(2386&lt;$U$9,SUMPRODUCT(($D$9:$L$9+INT(($S$12:$AA$12+INDEX($AJ$13:$AR$162,BN2399,0)+INDEX($AT$13:$BB$162,BO2399,0)+INDEX($BD$13:$BL$162,BP2399,0))/100))),0)</f>
        <v/>
      </c>
      <c r="BT2399">
        <f>IF(AND(2386&lt;$U$9,$W$5),BQ2399*1000000-MIN(BR2399,999)*1000+BS2399-2386/100000,-1000000000-2386)</f>
        <v/>
      </c>
    </row>
    <row r="2400">
      <c r="BN2400">
        <f>IF(2387&lt;$U$9,INT(2387/($U$7*$U$8))+1,1)</f>
        <v/>
      </c>
      <c r="BO2400">
        <f>IF(2387&lt;$U$9,MOD(INT(2387/$U$8),$U$7)+1,1)</f>
        <v/>
      </c>
      <c r="BP2400">
        <f>IF(2387&lt;$U$9,MOD(2387,$U$8)+1,1)</f>
        <v/>
      </c>
      <c r="BQ2400">
        <f>IF(2387&lt;$U$9,SUMPRODUCT(($D$10:$L$10&lt;&gt;"")*(($D$9:$L$9+INT(($S$12:$AA$12+INDEX($AJ$13:$AR$162,BN2400,0)+INDEX($AT$13:$BB$162,BO2400,0)+INDEX($BD$13:$BL$162,BP2400,0))/100))&gt;=$D$10:$L$10)),0)</f>
        <v/>
      </c>
      <c r="BR2400">
        <f>IF(2387&lt;$U$9,SUMPRODUCT(($D$10:$L$10&lt;&gt;"")*(($D$10:$L$10-($D$9:$L$9+INT(($S$12:$AA$12+INDEX($AJ$13:$AR$162,BN2400,0)+INDEX($AT$13:$BB$162,BO2400,0)+INDEX($BD$13:$BL$162,BP2400,0))/100)))&gt;0)*($D$10:$L$10-($D$9:$L$9+INT(($S$12:$AA$12+INDEX($AJ$13:$AR$162,BN2400,0)+INDEX($AT$13:$BB$162,BO2400,0)+INDEX($BD$13:$BL$162,BP2400,0))/100)))),0)</f>
        <v/>
      </c>
      <c r="BS2400">
        <f>IF(2387&lt;$U$9,SUMPRODUCT(($D$9:$L$9+INT(($S$12:$AA$12+INDEX($AJ$13:$AR$162,BN2400,0)+INDEX($AT$13:$BB$162,BO2400,0)+INDEX($BD$13:$BL$162,BP2400,0))/100))),0)</f>
        <v/>
      </c>
      <c r="BT2400">
        <f>IF(AND(2387&lt;$U$9,$W$5),BQ2400*1000000-MIN(BR2400,999)*1000+BS2400-2387/100000,-1000000000-2387)</f>
        <v/>
      </c>
    </row>
    <row r="2401">
      <c r="BN2401">
        <f>IF(2388&lt;$U$9,INT(2388/($U$7*$U$8))+1,1)</f>
        <v/>
      </c>
      <c r="BO2401">
        <f>IF(2388&lt;$U$9,MOD(INT(2388/$U$8),$U$7)+1,1)</f>
        <v/>
      </c>
      <c r="BP2401">
        <f>IF(2388&lt;$U$9,MOD(2388,$U$8)+1,1)</f>
        <v/>
      </c>
      <c r="BQ2401">
        <f>IF(2388&lt;$U$9,SUMPRODUCT(($D$10:$L$10&lt;&gt;"")*(($D$9:$L$9+INT(($S$12:$AA$12+INDEX($AJ$13:$AR$162,BN2401,0)+INDEX($AT$13:$BB$162,BO2401,0)+INDEX($BD$13:$BL$162,BP2401,0))/100))&gt;=$D$10:$L$10)),0)</f>
        <v/>
      </c>
      <c r="BR2401">
        <f>IF(2388&lt;$U$9,SUMPRODUCT(($D$10:$L$10&lt;&gt;"")*(($D$10:$L$10-($D$9:$L$9+INT(($S$12:$AA$12+INDEX($AJ$13:$AR$162,BN2401,0)+INDEX($AT$13:$BB$162,BO2401,0)+INDEX($BD$13:$BL$162,BP2401,0))/100)))&gt;0)*($D$10:$L$10-($D$9:$L$9+INT(($S$12:$AA$12+INDEX($AJ$13:$AR$162,BN2401,0)+INDEX($AT$13:$BB$162,BO2401,0)+INDEX($BD$13:$BL$162,BP2401,0))/100)))),0)</f>
        <v/>
      </c>
      <c r="BS2401">
        <f>IF(2388&lt;$U$9,SUMPRODUCT(($D$9:$L$9+INT(($S$12:$AA$12+INDEX($AJ$13:$AR$162,BN2401,0)+INDEX($AT$13:$BB$162,BO2401,0)+INDEX($BD$13:$BL$162,BP2401,0))/100))),0)</f>
        <v/>
      </c>
      <c r="BT2401">
        <f>IF(AND(2388&lt;$U$9,$W$5),BQ2401*1000000-MIN(BR2401,999)*1000+BS2401-2388/100000,-1000000000-2388)</f>
        <v/>
      </c>
    </row>
    <row r="2402">
      <c r="BN2402">
        <f>IF(2389&lt;$U$9,INT(2389/($U$7*$U$8))+1,1)</f>
        <v/>
      </c>
      <c r="BO2402">
        <f>IF(2389&lt;$U$9,MOD(INT(2389/$U$8),$U$7)+1,1)</f>
        <v/>
      </c>
      <c r="BP2402">
        <f>IF(2389&lt;$U$9,MOD(2389,$U$8)+1,1)</f>
        <v/>
      </c>
      <c r="BQ2402">
        <f>IF(2389&lt;$U$9,SUMPRODUCT(($D$10:$L$10&lt;&gt;"")*(($D$9:$L$9+INT(($S$12:$AA$12+INDEX($AJ$13:$AR$162,BN2402,0)+INDEX($AT$13:$BB$162,BO2402,0)+INDEX($BD$13:$BL$162,BP2402,0))/100))&gt;=$D$10:$L$10)),0)</f>
        <v/>
      </c>
      <c r="BR2402">
        <f>IF(2389&lt;$U$9,SUMPRODUCT(($D$10:$L$10&lt;&gt;"")*(($D$10:$L$10-($D$9:$L$9+INT(($S$12:$AA$12+INDEX($AJ$13:$AR$162,BN2402,0)+INDEX($AT$13:$BB$162,BO2402,0)+INDEX($BD$13:$BL$162,BP2402,0))/100)))&gt;0)*($D$10:$L$10-($D$9:$L$9+INT(($S$12:$AA$12+INDEX($AJ$13:$AR$162,BN2402,0)+INDEX($AT$13:$BB$162,BO2402,0)+INDEX($BD$13:$BL$162,BP2402,0))/100)))),0)</f>
        <v/>
      </c>
      <c r="BS2402">
        <f>IF(2389&lt;$U$9,SUMPRODUCT(($D$9:$L$9+INT(($S$12:$AA$12+INDEX($AJ$13:$AR$162,BN2402,0)+INDEX($AT$13:$BB$162,BO2402,0)+INDEX($BD$13:$BL$162,BP2402,0))/100))),0)</f>
        <v/>
      </c>
      <c r="BT2402">
        <f>IF(AND(2389&lt;$U$9,$W$5),BQ2402*1000000-MIN(BR2402,999)*1000+BS2402-2389/100000,-1000000000-2389)</f>
        <v/>
      </c>
    </row>
    <row r="2403">
      <c r="BN2403">
        <f>IF(2390&lt;$U$9,INT(2390/($U$7*$U$8))+1,1)</f>
        <v/>
      </c>
      <c r="BO2403">
        <f>IF(2390&lt;$U$9,MOD(INT(2390/$U$8),$U$7)+1,1)</f>
        <v/>
      </c>
      <c r="BP2403">
        <f>IF(2390&lt;$U$9,MOD(2390,$U$8)+1,1)</f>
        <v/>
      </c>
      <c r="BQ2403">
        <f>IF(2390&lt;$U$9,SUMPRODUCT(($D$10:$L$10&lt;&gt;"")*(($D$9:$L$9+INT(($S$12:$AA$12+INDEX($AJ$13:$AR$162,BN2403,0)+INDEX($AT$13:$BB$162,BO2403,0)+INDEX($BD$13:$BL$162,BP2403,0))/100))&gt;=$D$10:$L$10)),0)</f>
        <v/>
      </c>
      <c r="BR2403">
        <f>IF(2390&lt;$U$9,SUMPRODUCT(($D$10:$L$10&lt;&gt;"")*(($D$10:$L$10-($D$9:$L$9+INT(($S$12:$AA$12+INDEX($AJ$13:$AR$162,BN2403,0)+INDEX($AT$13:$BB$162,BO2403,0)+INDEX($BD$13:$BL$162,BP2403,0))/100)))&gt;0)*($D$10:$L$10-($D$9:$L$9+INT(($S$12:$AA$12+INDEX($AJ$13:$AR$162,BN2403,0)+INDEX($AT$13:$BB$162,BO2403,0)+INDEX($BD$13:$BL$162,BP2403,0))/100)))),0)</f>
        <v/>
      </c>
      <c r="BS2403">
        <f>IF(2390&lt;$U$9,SUMPRODUCT(($D$9:$L$9+INT(($S$12:$AA$12+INDEX($AJ$13:$AR$162,BN2403,0)+INDEX($AT$13:$BB$162,BO2403,0)+INDEX($BD$13:$BL$162,BP2403,0))/100))),0)</f>
        <v/>
      </c>
      <c r="BT2403">
        <f>IF(AND(2390&lt;$U$9,$W$5),BQ2403*1000000-MIN(BR2403,999)*1000+BS2403-2390/100000,-1000000000-2390)</f>
        <v/>
      </c>
    </row>
    <row r="2404">
      <c r="BN2404">
        <f>IF(2391&lt;$U$9,INT(2391/($U$7*$U$8))+1,1)</f>
        <v/>
      </c>
      <c r="BO2404">
        <f>IF(2391&lt;$U$9,MOD(INT(2391/$U$8),$U$7)+1,1)</f>
        <v/>
      </c>
      <c r="BP2404">
        <f>IF(2391&lt;$U$9,MOD(2391,$U$8)+1,1)</f>
        <v/>
      </c>
      <c r="BQ2404">
        <f>IF(2391&lt;$U$9,SUMPRODUCT(($D$10:$L$10&lt;&gt;"")*(($D$9:$L$9+INT(($S$12:$AA$12+INDEX($AJ$13:$AR$162,BN2404,0)+INDEX($AT$13:$BB$162,BO2404,0)+INDEX($BD$13:$BL$162,BP2404,0))/100))&gt;=$D$10:$L$10)),0)</f>
        <v/>
      </c>
      <c r="BR2404">
        <f>IF(2391&lt;$U$9,SUMPRODUCT(($D$10:$L$10&lt;&gt;"")*(($D$10:$L$10-($D$9:$L$9+INT(($S$12:$AA$12+INDEX($AJ$13:$AR$162,BN2404,0)+INDEX($AT$13:$BB$162,BO2404,0)+INDEX($BD$13:$BL$162,BP2404,0))/100)))&gt;0)*($D$10:$L$10-($D$9:$L$9+INT(($S$12:$AA$12+INDEX($AJ$13:$AR$162,BN2404,0)+INDEX($AT$13:$BB$162,BO2404,0)+INDEX($BD$13:$BL$162,BP2404,0))/100)))),0)</f>
        <v/>
      </c>
      <c r="BS2404">
        <f>IF(2391&lt;$U$9,SUMPRODUCT(($D$9:$L$9+INT(($S$12:$AA$12+INDEX($AJ$13:$AR$162,BN2404,0)+INDEX($AT$13:$BB$162,BO2404,0)+INDEX($BD$13:$BL$162,BP2404,0))/100))),0)</f>
        <v/>
      </c>
      <c r="BT2404">
        <f>IF(AND(2391&lt;$U$9,$W$5),BQ2404*1000000-MIN(BR2404,999)*1000+BS2404-2391/100000,-1000000000-2391)</f>
        <v/>
      </c>
    </row>
    <row r="2405">
      <c r="BN2405">
        <f>IF(2392&lt;$U$9,INT(2392/($U$7*$U$8))+1,1)</f>
        <v/>
      </c>
      <c r="BO2405">
        <f>IF(2392&lt;$U$9,MOD(INT(2392/$U$8),$U$7)+1,1)</f>
        <v/>
      </c>
      <c r="BP2405">
        <f>IF(2392&lt;$U$9,MOD(2392,$U$8)+1,1)</f>
        <v/>
      </c>
      <c r="BQ2405">
        <f>IF(2392&lt;$U$9,SUMPRODUCT(($D$10:$L$10&lt;&gt;"")*(($D$9:$L$9+INT(($S$12:$AA$12+INDEX($AJ$13:$AR$162,BN2405,0)+INDEX($AT$13:$BB$162,BO2405,0)+INDEX($BD$13:$BL$162,BP2405,0))/100))&gt;=$D$10:$L$10)),0)</f>
        <v/>
      </c>
      <c r="BR2405">
        <f>IF(2392&lt;$U$9,SUMPRODUCT(($D$10:$L$10&lt;&gt;"")*(($D$10:$L$10-($D$9:$L$9+INT(($S$12:$AA$12+INDEX($AJ$13:$AR$162,BN2405,0)+INDEX($AT$13:$BB$162,BO2405,0)+INDEX($BD$13:$BL$162,BP2405,0))/100)))&gt;0)*($D$10:$L$10-($D$9:$L$9+INT(($S$12:$AA$12+INDEX($AJ$13:$AR$162,BN2405,0)+INDEX($AT$13:$BB$162,BO2405,0)+INDEX($BD$13:$BL$162,BP2405,0))/100)))),0)</f>
        <v/>
      </c>
      <c r="BS2405">
        <f>IF(2392&lt;$U$9,SUMPRODUCT(($D$9:$L$9+INT(($S$12:$AA$12+INDEX($AJ$13:$AR$162,BN2405,0)+INDEX($AT$13:$BB$162,BO2405,0)+INDEX($BD$13:$BL$162,BP2405,0))/100))),0)</f>
        <v/>
      </c>
      <c r="BT2405">
        <f>IF(AND(2392&lt;$U$9,$W$5),BQ2405*1000000-MIN(BR2405,999)*1000+BS2405-2392/100000,-1000000000-2392)</f>
        <v/>
      </c>
    </row>
    <row r="2406">
      <c r="BN2406">
        <f>IF(2393&lt;$U$9,INT(2393/($U$7*$U$8))+1,1)</f>
        <v/>
      </c>
      <c r="BO2406">
        <f>IF(2393&lt;$U$9,MOD(INT(2393/$U$8),$U$7)+1,1)</f>
        <v/>
      </c>
      <c r="BP2406">
        <f>IF(2393&lt;$U$9,MOD(2393,$U$8)+1,1)</f>
        <v/>
      </c>
      <c r="BQ2406">
        <f>IF(2393&lt;$U$9,SUMPRODUCT(($D$10:$L$10&lt;&gt;"")*(($D$9:$L$9+INT(($S$12:$AA$12+INDEX($AJ$13:$AR$162,BN2406,0)+INDEX($AT$13:$BB$162,BO2406,0)+INDEX($BD$13:$BL$162,BP2406,0))/100))&gt;=$D$10:$L$10)),0)</f>
        <v/>
      </c>
      <c r="BR2406">
        <f>IF(2393&lt;$U$9,SUMPRODUCT(($D$10:$L$10&lt;&gt;"")*(($D$10:$L$10-($D$9:$L$9+INT(($S$12:$AA$12+INDEX($AJ$13:$AR$162,BN2406,0)+INDEX($AT$13:$BB$162,BO2406,0)+INDEX($BD$13:$BL$162,BP2406,0))/100)))&gt;0)*($D$10:$L$10-($D$9:$L$9+INT(($S$12:$AA$12+INDEX($AJ$13:$AR$162,BN2406,0)+INDEX($AT$13:$BB$162,BO2406,0)+INDEX($BD$13:$BL$162,BP2406,0))/100)))),0)</f>
        <v/>
      </c>
      <c r="BS2406">
        <f>IF(2393&lt;$U$9,SUMPRODUCT(($D$9:$L$9+INT(($S$12:$AA$12+INDEX($AJ$13:$AR$162,BN2406,0)+INDEX($AT$13:$BB$162,BO2406,0)+INDEX($BD$13:$BL$162,BP2406,0))/100))),0)</f>
        <v/>
      </c>
      <c r="BT2406">
        <f>IF(AND(2393&lt;$U$9,$W$5),BQ2406*1000000-MIN(BR2406,999)*1000+BS2406-2393/100000,-1000000000-2393)</f>
        <v/>
      </c>
    </row>
    <row r="2407">
      <c r="BN2407">
        <f>IF(2394&lt;$U$9,INT(2394/($U$7*$U$8))+1,1)</f>
        <v/>
      </c>
      <c r="BO2407">
        <f>IF(2394&lt;$U$9,MOD(INT(2394/$U$8),$U$7)+1,1)</f>
        <v/>
      </c>
      <c r="BP2407">
        <f>IF(2394&lt;$U$9,MOD(2394,$U$8)+1,1)</f>
        <v/>
      </c>
      <c r="BQ2407">
        <f>IF(2394&lt;$U$9,SUMPRODUCT(($D$10:$L$10&lt;&gt;"")*(($D$9:$L$9+INT(($S$12:$AA$12+INDEX($AJ$13:$AR$162,BN2407,0)+INDEX($AT$13:$BB$162,BO2407,0)+INDEX($BD$13:$BL$162,BP2407,0))/100))&gt;=$D$10:$L$10)),0)</f>
        <v/>
      </c>
      <c r="BR2407">
        <f>IF(2394&lt;$U$9,SUMPRODUCT(($D$10:$L$10&lt;&gt;"")*(($D$10:$L$10-($D$9:$L$9+INT(($S$12:$AA$12+INDEX($AJ$13:$AR$162,BN2407,0)+INDEX($AT$13:$BB$162,BO2407,0)+INDEX($BD$13:$BL$162,BP2407,0))/100)))&gt;0)*($D$10:$L$10-($D$9:$L$9+INT(($S$12:$AA$12+INDEX($AJ$13:$AR$162,BN2407,0)+INDEX($AT$13:$BB$162,BO2407,0)+INDEX($BD$13:$BL$162,BP2407,0))/100)))),0)</f>
        <v/>
      </c>
      <c r="BS2407">
        <f>IF(2394&lt;$U$9,SUMPRODUCT(($D$9:$L$9+INT(($S$12:$AA$12+INDEX($AJ$13:$AR$162,BN2407,0)+INDEX($AT$13:$BB$162,BO2407,0)+INDEX($BD$13:$BL$162,BP2407,0))/100))),0)</f>
        <v/>
      </c>
      <c r="BT2407">
        <f>IF(AND(2394&lt;$U$9,$W$5),BQ2407*1000000-MIN(BR2407,999)*1000+BS2407-2394/100000,-1000000000-2394)</f>
        <v/>
      </c>
    </row>
    <row r="2408">
      <c r="BN2408">
        <f>IF(2395&lt;$U$9,INT(2395/($U$7*$U$8))+1,1)</f>
        <v/>
      </c>
      <c r="BO2408">
        <f>IF(2395&lt;$U$9,MOD(INT(2395/$U$8),$U$7)+1,1)</f>
        <v/>
      </c>
      <c r="BP2408">
        <f>IF(2395&lt;$U$9,MOD(2395,$U$8)+1,1)</f>
        <v/>
      </c>
      <c r="BQ2408">
        <f>IF(2395&lt;$U$9,SUMPRODUCT(($D$10:$L$10&lt;&gt;"")*(($D$9:$L$9+INT(($S$12:$AA$12+INDEX($AJ$13:$AR$162,BN2408,0)+INDEX($AT$13:$BB$162,BO2408,0)+INDEX($BD$13:$BL$162,BP2408,0))/100))&gt;=$D$10:$L$10)),0)</f>
        <v/>
      </c>
      <c r="BR2408">
        <f>IF(2395&lt;$U$9,SUMPRODUCT(($D$10:$L$10&lt;&gt;"")*(($D$10:$L$10-($D$9:$L$9+INT(($S$12:$AA$12+INDEX($AJ$13:$AR$162,BN2408,0)+INDEX($AT$13:$BB$162,BO2408,0)+INDEX($BD$13:$BL$162,BP2408,0))/100)))&gt;0)*($D$10:$L$10-($D$9:$L$9+INT(($S$12:$AA$12+INDEX($AJ$13:$AR$162,BN2408,0)+INDEX($AT$13:$BB$162,BO2408,0)+INDEX($BD$13:$BL$162,BP2408,0))/100)))),0)</f>
        <v/>
      </c>
      <c r="BS2408">
        <f>IF(2395&lt;$U$9,SUMPRODUCT(($D$9:$L$9+INT(($S$12:$AA$12+INDEX($AJ$13:$AR$162,BN2408,0)+INDEX($AT$13:$BB$162,BO2408,0)+INDEX($BD$13:$BL$162,BP2408,0))/100))),0)</f>
        <v/>
      </c>
      <c r="BT2408">
        <f>IF(AND(2395&lt;$U$9,$W$5),BQ2408*1000000-MIN(BR2408,999)*1000+BS2408-2395/100000,-1000000000-2395)</f>
        <v/>
      </c>
    </row>
    <row r="2409">
      <c r="BN2409">
        <f>IF(2396&lt;$U$9,INT(2396/($U$7*$U$8))+1,1)</f>
        <v/>
      </c>
      <c r="BO2409">
        <f>IF(2396&lt;$U$9,MOD(INT(2396/$U$8),$U$7)+1,1)</f>
        <v/>
      </c>
      <c r="BP2409">
        <f>IF(2396&lt;$U$9,MOD(2396,$U$8)+1,1)</f>
        <v/>
      </c>
      <c r="BQ2409">
        <f>IF(2396&lt;$U$9,SUMPRODUCT(($D$10:$L$10&lt;&gt;"")*(($D$9:$L$9+INT(($S$12:$AA$12+INDEX($AJ$13:$AR$162,BN2409,0)+INDEX($AT$13:$BB$162,BO2409,0)+INDEX($BD$13:$BL$162,BP2409,0))/100))&gt;=$D$10:$L$10)),0)</f>
        <v/>
      </c>
      <c r="BR2409">
        <f>IF(2396&lt;$U$9,SUMPRODUCT(($D$10:$L$10&lt;&gt;"")*(($D$10:$L$10-($D$9:$L$9+INT(($S$12:$AA$12+INDEX($AJ$13:$AR$162,BN2409,0)+INDEX($AT$13:$BB$162,BO2409,0)+INDEX($BD$13:$BL$162,BP2409,0))/100)))&gt;0)*($D$10:$L$10-($D$9:$L$9+INT(($S$12:$AA$12+INDEX($AJ$13:$AR$162,BN2409,0)+INDEX($AT$13:$BB$162,BO2409,0)+INDEX($BD$13:$BL$162,BP2409,0))/100)))),0)</f>
        <v/>
      </c>
      <c r="BS2409">
        <f>IF(2396&lt;$U$9,SUMPRODUCT(($D$9:$L$9+INT(($S$12:$AA$12+INDEX($AJ$13:$AR$162,BN2409,0)+INDEX($AT$13:$BB$162,BO2409,0)+INDEX($BD$13:$BL$162,BP2409,0))/100))),0)</f>
        <v/>
      </c>
      <c r="BT2409">
        <f>IF(AND(2396&lt;$U$9,$W$5),BQ2409*1000000-MIN(BR2409,999)*1000+BS2409-2396/100000,-1000000000-2396)</f>
        <v/>
      </c>
    </row>
    <row r="2410">
      <c r="BN2410">
        <f>IF(2397&lt;$U$9,INT(2397/($U$7*$U$8))+1,1)</f>
        <v/>
      </c>
      <c r="BO2410">
        <f>IF(2397&lt;$U$9,MOD(INT(2397/$U$8),$U$7)+1,1)</f>
        <v/>
      </c>
      <c r="BP2410">
        <f>IF(2397&lt;$U$9,MOD(2397,$U$8)+1,1)</f>
        <v/>
      </c>
      <c r="BQ2410">
        <f>IF(2397&lt;$U$9,SUMPRODUCT(($D$10:$L$10&lt;&gt;"")*(($D$9:$L$9+INT(($S$12:$AA$12+INDEX($AJ$13:$AR$162,BN2410,0)+INDEX($AT$13:$BB$162,BO2410,0)+INDEX($BD$13:$BL$162,BP2410,0))/100))&gt;=$D$10:$L$10)),0)</f>
        <v/>
      </c>
      <c r="BR2410">
        <f>IF(2397&lt;$U$9,SUMPRODUCT(($D$10:$L$10&lt;&gt;"")*(($D$10:$L$10-($D$9:$L$9+INT(($S$12:$AA$12+INDEX($AJ$13:$AR$162,BN2410,0)+INDEX($AT$13:$BB$162,BO2410,0)+INDEX($BD$13:$BL$162,BP2410,0))/100)))&gt;0)*($D$10:$L$10-($D$9:$L$9+INT(($S$12:$AA$12+INDEX($AJ$13:$AR$162,BN2410,0)+INDEX($AT$13:$BB$162,BO2410,0)+INDEX($BD$13:$BL$162,BP2410,0))/100)))),0)</f>
        <v/>
      </c>
      <c r="BS2410">
        <f>IF(2397&lt;$U$9,SUMPRODUCT(($D$9:$L$9+INT(($S$12:$AA$12+INDEX($AJ$13:$AR$162,BN2410,0)+INDEX($AT$13:$BB$162,BO2410,0)+INDEX($BD$13:$BL$162,BP2410,0))/100))),0)</f>
        <v/>
      </c>
      <c r="BT2410">
        <f>IF(AND(2397&lt;$U$9,$W$5),BQ2410*1000000-MIN(BR2410,999)*1000+BS2410-2397/100000,-1000000000-2397)</f>
        <v/>
      </c>
    </row>
    <row r="2411">
      <c r="BN2411">
        <f>IF(2398&lt;$U$9,INT(2398/($U$7*$U$8))+1,1)</f>
        <v/>
      </c>
      <c r="BO2411">
        <f>IF(2398&lt;$U$9,MOD(INT(2398/$U$8),$U$7)+1,1)</f>
        <v/>
      </c>
      <c r="BP2411">
        <f>IF(2398&lt;$U$9,MOD(2398,$U$8)+1,1)</f>
        <v/>
      </c>
      <c r="BQ2411">
        <f>IF(2398&lt;$U$9,SUMPRODUCT(($D$10:$L$10&lt;&gt;"")*(($D$9:$L$9+INT(($S$12:$AA$12+INDEX($AJ$13:$AR$162,BN2411,0)+INDEX($AT$13:$BB$162,BO2411,0)+INDEX($BD$13:$BL$162,BP2411,0))/100))&gt;=$D$10:$L$10)),0)</f>
        <v/>
      </c>
      <c r="BR2411">
        <f>IF(2398&lt;$U$9,SUMPRODUCT(($D$10:$L$10&lt;&gt;"")*(($D$10:$L$10-($D$9:$L$9+INT(($S$12:$AA$12+INDEX($AJ$13:$AR$162,BN2411,0)+INDEX($AT$13:$BB$162,BO2411,0)+INDEX($BD$13:$BL$162,BP2411,0))/100)))&gt;0)*($D$10:$L$10-($D$9:$L$9+INT(($S$12:$AA$12+INDEX($AJ$13:$AR$162,BN2411,0)+INDEX($AT$13:$BB$162,BO2411,0)+INDEX($BD$13:$BL$162,BP2411,0))/100)))),0)</f>
        <v/>
      </c>
      <c r="BS2411">
        <f>IF(2398&lt;$U$9,SUMPRODUCT(($D$9:$L$9+INT(($S$12:$AA$12+INDEX($AJ$13:$AR$162,BN2411,0)+INDEX($AT$13:$BB$162,BO2411,0)+INDEX($BD$13:$BL$162,BP2411,0))/100))),0)</f>
        <v/>
      </c>
      <c r="BT2411">
        <f>IF(AND(2398&lt;$U$9,$W$5),BQ2411*1000000-MIN(BR2411,999)*1000+BS2411-2398/100000,-1000000000-2398)</f>
        <v/>
      </c>
    </row>
    <row r="2412">
      <c r="BN2412">
        <f>IF(2399&lt;$U$9,INT(2399/($U$7*$U$8))+1,1)</f>
        <v/>
      </c>
      <c r="BO2412">
        <f>IF(2399&lt;$U$9,MOD(INT(2399/$U$8),$U$7)+1,1)</f>
        <v/>
      </c>
      <c r="BP2412">
        <f>IF(2399&lt;$U$9,MOD(2399,$U$8)+1,1)</f>
        <v/>
      </c>
      <c r="BQ2412">
        <f>IF(2399&lt;$U$9,SUMPRODUCT(($D$10:$L$10&lt;&gt;"")*(($D$9:$L$9+INT(($S$12:$AA$12+INDEX($AJ$13:$AR$162,BN2412,0)+INDEX($AT$13:$BB$162,BO2412,0)+INDEX($BD$13:$BL$162,BP2412,0))/100))&gt;=$D$10:$L$10)),0)</f>
        <v/>
      </c>
      <c r="BR2412">
        <f>IF(2399&lt;$U$9,SUMPRODUCT(($D$10:$L$10&lt;&gt;"")*(($D$10:$L$10-($D$9:$L$9+INT(($S$12:$AA$12+INDEX($AJ$13:$AR$162,BN2412,0)+INDEX($AT$13:$BB$162,BO2412,0)+INDEX($BD$13:$BL$162,BP2412,0))/100)))&gt;0)*($D$10:$L$10-($D$9:$L$9+INT(($S$12:$AA$12+INDEX($AJ$13:$AR$162,BN2412,0)+INDEX($AT$13:$BB$162,BO2412,0)+INDEX($BD$13:$BL$162,BP2412,0))/100)))),0)</f>
        <v/>
      </c>
      <c r="BS2412">
        <f>IF(2399&lt;$U$9,SUMPRODUCT(($D$9:$L$9+INT(($S$12:$AA$12+INDEX($AJ$13:$AR$162,BN2412,0)+INDEX($AT$13:$BB$162,BO2412,0)+INDEX($BD$13:$BL$162,BP2412,0))/100))),0)</f>
        <v/>
      </c>
      <c r="BT2412">
        <f>IF(AND(2399&lt;$U$9,$W$5),BQ2412*1000000-MIN(BR2412,999)*1000+BS2412-2399/100000,-1000000000-2399)</f>
        <v/>
      </c>
    </row>
    <row r="2413">
      <c r="BN2413">
        <f>IF(2400&lt;$U$9,INT(2400/($U$7*$U$8))+1,1)</f>
        <v/>
      </c>
      <c r="BO2413">
        <f>IF(2400&lt;$U$9,MOD(INT(2400/$U$8),$U$7)+1,1)</f>
        <v/>
      </c>
      <c r="BP2413">
        <f>IF(2400&lt;$U$9,MOD(2400,$U$8)+1,1)</f>
        <v/>
      </c>
      <c r="BQ2413">
        <f>IF(2400&lt;$U$9,SUMPRODUCT(($D$10:$L$10&lt;&gt;"")*(($D$9:$L$9+INT(($S$12:$AA$12+INDEX($AJ$13:$AR$162,BN2413,0)+INDEX($AT$13:$BB$162,BO2413,0)+INDEX($BD$13:$BL$162,BP2413,0))/100))&gt;=$D$10:$L$10)),0)</f>
        <v/>
      </c>
      <c r="BR2413">
        <f>IF(2400&lt;$U$9,SUMPRODUCT(($D$10:$L$10&lt;&gt;"")*(($D$10:$L$10-($D$9:$L$9+INT(($S$12:$AA$12+INDEX($AJ$13:$AR$162,BN2413,0)+INDEX($AT$13:$BB$162,BO2413,0)+INDEX($BD$13:$BL$162,BP2413,0))/100)))&gt;0)*($D$10:$L$10-($D$9:$L$9+INT(($S$12:$AA$12+INDEX($AJ$13:$AR$162,BN2413,0)+INDEX($AT$13:$BB$162,BO2413,0)+INDEX($BD$13:$BL$162,BP2413,0))/100)))),0)</f>
        <v/>
      </c>
      <c r="BS2413">
        <f>IF(2400&lt;$U$9,SUMPRODUCT(($D$9:$L$9+INT(($S$12:$AA$12+INDEX($AJ$13:$AR$162,BN2413,0)+INDEX($AT$13:$BB$162,BO2413,0)+INDEX($BD$13:$BL$162,BP2413,0))/100))),0)</f>
        <v/>
      </c>
      <c r="BT2413">
        <f>IF(AND(2400&lt;$U$9,$W$5),BQ2413*1000000-MIN(BR2413,999)*1000+BS2413-2400/100000,-1000000000-2400)</f>
        <v/>
      </c>
    </row>
    <row r="2414">
      <c r="BN2414">
        <f>IF(2401&lt;$U$9,INT(2401/($U$7*$U$8))+1,1)</f>
        <v/>
      </c>
      <c r="BO2414">
        <f>IF(2401&lt;$U$9,MOD(INT(2401/$U$8),$U$7)+1,1)</f>
        <v/>
      </c>
      <c r="BP2414">
        <f>IF(2401&lt;$U$9,MOD(2401,$U$8)+1,1)</f>
        <v/>
      </c>
      <c r="BQ2414">
        <f>IF(2401&lt;$U$9,SUMPRODUCT(($D$10:$L$10&lt;&gt;"")*(($D$9:$L$9+INT(($S$12:$AA$12+INDEX($AJ$13:$AR$162,BN2414,0)+INDEX($AT$13:$BB$162,BO2414,0)+INDEX($BD$13:$BL$162,BP2414,0))/100))&gt;=$D$10:$L$10)),0)</f>
        <v/>
      </c>
      <c r="BR2414">
        <f>IF(2401&lt;$U$9,SUMPRODUCT(($D$10:$L$10&lt;&gt;"")*(($D$10:$L$10-($D$9:$L$9+INT(($S$12:$AA$12+INDEX($AJ$13:$AR$162,BN2414,0)+INDEX($AT$13:$BB$162,BO2414,0)+INDEX($BD$13:$BL$162,BP2414,0))/100)))&gt;0)*($D$10:$L$10-($D$9:$L$9+INT(($S$12:$AA$12+INDEX($AJ$13:$AR$162,BN2414,0)+INDEX($AT$13:$BB$162,BO2414,0)+INDEX($BD$13:$BL$162,BP2414,0))/100)))),0)</f>
        <v/>
      </c>
      <c r="BS2414">
        <f>IF(2401&lt;$U$9,SUMPRODUCT(($D$9:$L$9+INT(($S$12:$AA$12+INDEX($AJ$13:$AR$162,BN2414,0)+INDEX($AT$13:$BB$162,BO2414,0)+INDEX($BD$13:$BL$162,BP2414,0))/100))),0)</f>
        <v/>
      </c>
      <c r="BT2414">
        <f>IF(AND(2401&lt;$U$9,$W$5),BQ2414*1000000-MIN(BR2414,999)*1000+BS2414-2401/100000,-1000000000-2401)</f>
        <v/>
      </c>
    </row>
    <row r="2415">
      <c r="BN2415">
        <f>IF(2402&lt;$U$9,INT(2402/($U$7*$U$8))+1,1)</f>
        <v/>
      </c>
      <c r="BO2415">
        <f>IF(2402&lt;$U$9,MOD(INT(2402/$U$8),$U$7)+1,1)</f>
        <v/>
      </c>
      <c r="BP2415">
        <f>IF(2402&lt;$U$9,MOD(2402,$U$8)+1,1)</f>
        <v/>
      </c>
      <c r="BQ2415">
        <f>IF(2402&lt;$U$9,SUMPRODUCT(($D$10:$L$10&lt;&gt;"")*(($D$9:$L$9+INT(($S$12:$AA$12+INDEX($AJ$13:$AR$162,BN2415,0)+INDEX($AT$13:$BB$162,BO2415,0)+INDEX($BD$13:$BL$162,BP2415,0))/100))&gt;=$D$10:$L$10)),0)</f>
        <v/>
      </c>
      <c r="BR2415">
        <f>IF(2402&lt;$U$9,SUMPRODUCT(($D$10:$L$10&lt;&gt;"")*(($D$10:$L$10-($D$9:$L$9+INT(($S$12:$AA$12+INDEX($AJ$13:$AR$162,BN2415,0)+INDEX($AT$13:$BB$162,BO2415,0)+INDEX($BD$13:$BL$162,BP2415,0))/100)))&gt;0)*($D$10:$L$10-($D$9:$L$9+INT(($S$12:$AA$12+INDEX($AJ$13:$AR$162,BN2415,0)+INDEX($AT$13:$BB$162,BO2415,0)+INDEX($BD$13:$BL$162,BP2415,0))/100)))),0)</f>
        <v/>
      </c>
      <c r="BS2415">
        <f>IF(2402&lt;$U$9,SUMPRODUCT(($D$9:$L$9+INT(($S$12:$AA$12+INDEX($AJ$13:$AR$162,BN2415,0)+INDEX($AT$13:$BB$162,BO2415,0)+INDEX($BD$13:$BL$162,BP2415,0))/100))),0)</f>
        <v/>
      </c>
      <c r="BT2415">
        <f>IF(AND(2402&lt;$U$9,$W$5),BQ2415*1000000-MIN(BR2415,999)*1000+BS2415-2402/100000,-1000000000-2402)</f>
        <v/>
      </c>
    </row>
    <row r="2416">
      <c r="BN2416">
        <f>IF(2403&lt;$U$9,INT(2403/($U$7*$U$8))+1,1)</f>
        <v/>
      </c>
      <c r="BO2416">
        <f>IF(2403&lt;$U$9,MOD(INT(2403/$U$8),$U$7)+1,1)</f>
        <v/>
      </c>
      <c r="BP2416">
        <f>IF(2403&lt;$U$9,MOD(2403,$U$8)+1,1)</f>
        <v/>
      </c>
      <c r="BQ2416">
        <f>IF(2403&lt;$U$9,SUMPRODUCT(($D$10:$L$10&lt;&gt;"")*(($D$9:$L$9+INT(($S$12:$AA$12+INDEX($AJ$13:$AR$162,BN2416,0)+INDEX($AT$13:$BB$162,BO2416,0)+INDEX($BD$13:$BL$162,BP2416,0))/100))&gt;=$D$10:$L$10)),0)</f>
        <v/>
      </c>
      <c r="BR2416">
        <f>IF(2403&lt;$U$9,SUMPRODUCT(($D$10:$L$10&lt;&gt;"")*(($D$10:$L$10-($D$9:$L$9+INT(($S$12:$AA$12+INDEX($AJ$13:$AR$162,BN2416,0)+INDEX($AT$13:$BB$162,BO2416,0)+INDEX($BD$13:$BL$162,BP2416,0))/100)))&gt;0)*($D$10:$L$10-($D$9:$L$9+INT(($S$12:$AA$12+INDEX($AJ$13:$AR$162,BN2416,0)+INDEX($AT$13:$BB$162,BO2416,0)+INDEX($BD$13:$BL$162,BP2416,0))/100)))),0)</f>
        <v/>
      </c>
      <c r="BS2416">
        <f>IF(2403&lt;$U$9,SUMPRODUCT(($D$9:$L$9+INT(($S$12:$AA$12+INDEX($AJ$13:$AR$162,BN2416,0)+INDEX($AT$13:$BB$162,BO2416,0)+INDEX($BD$13:$BL$162,BP2416,0))/100))),0)</f>
        <v/>
      </c>
      <c r="BT2416">
        <f>IF(AND(2403&lt;$U$9,$W$5),BQ2416*1000000-MIN(BR2416,999)*1000+BS2416-2403/100000,-1000000000-2403)</f>
        <v/>
      </c>
    </row>
    <row r="2417">
      <c r="BN2417">
        <f>IF(2404&lt;$U$9,INT(2404/($U$7*$U$8))+1,1)</f>
        <v/>
      </c>
      <c r="BO2417">
        <f>IF(2404&lt;$U$9,MOD(INT(2404/$U$8),$U$7)+1,1)</f>
        <v/>
      </c>
      <c r="BP2417">
        <f>IF(2404&lt;$U$9,MOD(2404,$U$8)+1,1)</f>
        <v/>
      </c>
      <c r="BQ2417">
        <f>IF(2404&lt;$U$9,SUMPRODUCT(($D$10:$L$10&lt;&gt;"")*(($D$9:$L$9+INT(($S$12:$AA$12+INDEX($AJ$13:$AR$162,BN2417,0)+INDEX($AT$13:$BB$162,BO2417,0)+INDEX($BD$13:$BL$162,BP2417,0))/100))&gt;=$D$10:$L$10)),0)</f>
        <v/>
      </c>
      <c r="BR2417">
        <f>IF(2404&lt;$U$9,SUMPRODUCT(($D$10:$L$10&lt;&gt;"")*(($D$10:$L$10-($D$9:$L$9+INT(($S$12:$AA$12+INDEX($AJ$13:$AR$162,BN2417,0)+INDEX($AT$13:$BB$162,BO2417,0)+INDEX($BD$13:$BL$162,BP2417,0))/100)))&gt;0)*($D$10:$L$10-($D$9:$L$9+INT(($S$12:$AA$12+INDEX($AJ$13:$AR$162,BN2417,0)+INDEX($AT$13:$BB$162,BO2417,0)+INDEX($BD$13:$BL$162,BP2417,0))/100)))),0)</f>
        <v/>
      </c>
      <c r="BS2417">
        <f>IF(2404&lt;$U$9,SUMPRODUCT(($D$9:$L$9+INT(($S$12:$AA$12+INDEX($AJ$13:$AR$162,BN2417,0)+INDEX($AT$13:$BB$162,BO2417,0)+INDEX($BD$13:$BL$162,BP2417,0))/100))),0)</f>
        <v/>
      </c>
      <c r="BT2417">
        <f>IF(AND(2404&lt;$U$9,$W$5),BQ2417*1000000-MIN(BR2417,999)*1000+BS2417-2404/100000,-1000000000-2404)</f>
        <v/>
      </c>
    </row>
    <row r="2418">
      <c r="BN2418">
        <f>IF(2405&lt;$U$9,INT(2405/($U$7*$U$8))+1,1)</f>
        <v/>
      </c>
      <c r="BO2418">
        <f>IF(2405&lt;$U$9,MOD(INT(2405/$U$8),$U$7)+1,1)</f>
        <v/>
      </c>
      <c r="BP2418">
        <f>IF(2405&lt;$U$9,MOD(2405,$U$8)+1,1)</f>
        <v/>
      </c>
      <c r="BQ2418">
        <f>IF(2405&lt;$U$9,SUMPRODUCT(($D$10:$L$10&lt;&gt;"")*(($D$9:$L$9+INT(($S$12:$AA$12+INDEX($AJ$13:$AR$162,BN2418,0)+INDEX($AT$13:$BB$162,BO2418,0)+INDEX($BD$13:$BL$162,BP2418,0))/100))&gt;=$D$10:$L$10)),0)</f>
        <v/>
      </c>
      <c r="BR2418">
        <f>IF(2405&lt;$U$9,SUMPRODUCT(($D$10:$L$10&lt;&gt;"")*(($D$10:$L$10-($D$9:$L$9+INT(($S$12:$AA$12+INDEX($AJ$13:$AR$162,BN2418,0)+INDEX($AT$13:$BB$162,BO2418,0)+INDEX($BD$13:$BL$162,BP2418,0))/100)))&gt;0)*($D$10:$L$10-($D$9:$L$9+INT(($S$12:$AA$12+INDEX($AJ$13:$AR$162,BN2418,0)+INDEX($AT$13:$BB$162,BO2418,0)+INDEX($BD$13:$BL$162,BP2418,0))/100)))),0)</f>
        <v/>
      </c>
      <c r="BS2418">
        <f>IF(2405&lt;$U$9,SUMPRODUCT(($D$9:$L$9+INT(($S$12:$AA$12+INDEX($AJ$13:$AR$162,BN2418,0)+INDEX($AT$13:$BB$162,BO2418,0)+INDEX($BD$13:$BL$162,BP2418,0))/100))),0)</f>
        <v/>
      </c>
      <c r="BT2418">
        <f>IF(AND(2405&lt;$U$9,$W$5),BQ2418*1000000-MIN(BR2418,999)*1000+BS2418-2405/100000,-1000000000-2405)</f>
        <v/>
      </c>
    </row>
    <row r="2419">
      <c r="BN2419">
        <f>IF(2406&lt;$U$9,INT(2406/($U$7*$U$8))+1,1)</f>
        <v/>
      </c>
      <c r="BO2419">
        <f>IF(2406&lt;$U$9,MOD(INT(2406/$U$8),$U$7)+1,1)</f>
        <v/>
      </c>
      <c r="BP2419">
        <f>IF(2406&lt;$U$9,MOD(2406,$U$8)+1,1)</f>
        <v/>
      </c>
      <c r="BQ2419">
        <f>IF(2406&lt;$U$9,SUMPRODUCT(($D$10:$L$10&lt;&gt;"")*(($D$9:$L$9+INT(($S$12:$AA$12+INDEX($AJ$13:$AR$162,BN2419,0)+INDEX($AT$13:$BB$162,BO2419,0)+INDEX($BD$13:$BL$162,BP2419,0))/100))&gt;=$D$10:$L$10)),0)</f>
        <v/>
      </c>
      <c r="BR2419">
        <f>IF(2406&lt;$U$9,SUMPRODUCT(($D$10:$L$10&lt;&gt;"")*(($D$10:$L$10-($D$9:$L$9+INT(($S$12:$AA$12+INDEX($AJ$13:$AR$162,BN2419,0)+INDEX($AT$13:$BB$162,BO2419,0)+INDEX($BD$13:$BL$162,BP2419,0))/100)))&gt;0)*($D$10:$L$10-($D$9:$L$9+INT(($S$12:$AA$12+INDEX($AJ$13:$AR$162,BN2419,0)+INDEX($AT$13:$BB$162,BO2419,0)+INDEX($BD$13:$BL$162,BP2419,0))/100)))),0)</f>
        <v/>
      </c>
      <c r="BS2419">
        <f>IF(2406&lt;$U$9,SUMPRODUCT(($D$9:$L$9+INT(($S$12:$AA$12+INDEX($AJ$13:$AR$162,BN2419,0)+INDEX($AT$13:$BB$162,BO2419,0)+INDEX($BD$13:$BL$162,BP2419,0))/100))),0)</f>
        <v/>
      </c>
      <c r="BT2419">
        <f>IF(AND(2406&lt;$U$9,$W$5),BQ2419*1000000-MIN(BR2419,999)*1000+BS2419-2406/100000,-1000000000-2406)</f>
        <v/>
      </c>
    </row>
    <row r="2420">
      <c r="BN2420">
        <f>IF(2407&lt;$U$9,INT(2407/($U$7*$U$8))+1,1)</f>
        <v/>
      </c>
      <c r="BO2420">
        <f>IF(2407&lt;$U$9,MOD(INT(2407/$U$8),$U$7)+1,1)</f>
        <v/>
      </c>
      <c r="BP2420">
        <f>IF(2407&lt;$U$9,MOD(2407,$U$8)+1,1)</f>
        <v/>
      </c>
      <c r="BQ2420">
        <f>IF(2407&lt;$U$9,SUMPRODUCT(($D$10:$L$10&lt;&gt;"")*(($D$9:$L$9+INT(($S$12:$AA$12+INDEX($AJ$13:$AR$162,BN2420,0)+INDEX($AT$13:$BB$162,BO2420,0)+INDEX($BD$13:$BL$162,BP2420,0))/100))&gt;=$D$10:$L$10)),0)</f>
        <v/>
      </c>
      <c r="BR2420">
        <f>IF(2407&lt;$U$9,SUMPRODUCT(($D$10:$L$10&lt;&gt;"")*(($D$10:$L$10-($D$9:$L$9+INT(($S$12:$AA$12+INDEX($AJ$13:$AR$162,BN2420,0)+INDEX($AT$13:$BB$162,BO2420,0)+INDEX($BD$13:$BL$162,BP2420,0))/100)))&gt;0)*($D$10:$L$10-($D$9:$L$9+INT(($S$12:$AA$12+INDEX($AJ$13:$AR$162,BN2420,0)+INDEX($AT$13:$BB$162,BO2420,0)+INDEX($BD$13:$BL$162,BP2420,0))/100)))),0)</f>
        <v/>
      </c>
      <c r="BS2420">
        <f>IF(2407&lt;$U$9,SUMPRODUCT(($D$9:$L$9+INT(($S$12:$AA$12+INDEX($AJ$13:$AR$162,BN2420,0)+INDEX($AT$13:$BB$162,BO2420,0)+INDEX($BD$13:$BL$162,BP2420,0))/100))),0)</f>
        <v/>
      </c>
      <c r="BT2420">
        <f>IF(AND(2407&lt;$U$9,$W$5),BQ2420*1000000-MIN(BR2420,999)*1000+BS2420-2407/100000,-1000000000-2407)</f>
        <v/>
      </c>
    </row>
    <row r="2421">
      <c r="BN2421">
        <f>IF(2408&lt;$U$9,INT(2408/($U$7*$U$8))+1,1)</f>
        <v/>
      </c>
      <c r="BO2421">
        <f>IF(2408&lt;$U$9,MOD(INT(2408/$U$8),$U$7)+1,1)</f>
        <v/>
      </c>
      <c r="BP2421">
        <f>IF(2408&lt;$U$9,MOD(2408,$U$8)+1,1)</f>
        <v/>
      </c>
      <c r="BQ2421">
        <f>IF(2408&lt;$U$9,SUMPRODUCT(($D$10:$L$10&lt;&gt;"")*(($D$9:$L$9+INT(($S$12:$AA$12+INDEX($AJ$13:$AR$162,BN2421,0)+INDEX($AT$13:$BB$162,BO2421,0)+INDEX($BD$13:$BL$162,BP2421,0))/100))&gt;=$D$10:$L$10)),0)</f>
        <v/>
      </c>
      <c r="BR2421">
        <f>IF(2408&lt;$U$9,SUMPRODUCT(($D$10:$L$10&lt;&gt;"")*(($D$10:$L$10-($D$9:$L$9+INT(($S$12:$AA$12+INDEX($AJ$13:$AR$162,BN2421,0)+INDEX($AT$13:$BB$162,BO2421,0)+INDEX($BD$13:$BL$162,BP2421,0))/100)))&gt;0)*($D$10:$L$10-($D$9:$L$9+INT(($S$12:$AA$12+INDEX($AJ$13:$AR$162,BN2421,0)+INDEX($AT$13:$BB$162,BO2421,0)+INDEX($BD$13:$BL$162,BP2421,0))/100)))),0)</f>
        <v/>
      </c>
      <c r="BS2421">
        <f>IF(2408&lt;$U$9,SUMPRODUCT(($D$9:$L$9+INT(($S$12:$AA$12+INDEX($AJ$13:$AR$162,BN2421,0)+INDEX($AT$13:$BB$162,BO2421,0)+INDEX($BD$13:$BL$162,BP2421,0))/100))),0)</f>
        <v/>
      </c>
      <c r="BT2421">
        <f>IF(AND(2408&lt;$U$9,$W$5),BQ2421*1000000-MIN(BR2421,999)*1000+BS2421-2408/100000,-1000000000-2408)</f>
        <v/>
      </c>
    </row>
    <row r="2422">
      <c r="BN2422">
        <f>IF(2409&lt;$U$9,INT(2409/($U$7*$U$8))+1,1)</f>
        <v/>
      </c>
      <c r="BO2422">
        <f>IF(2409&lt;$U$9,MOD(INT(2409/$U$8),$U$7)+1,1)</f>
        <v/>
      </c>
      <c r="BP2422">
        <f>IF(2409&lt;$U$9,MOD(2409,$U$8)+1,1)</f>
        <v/>
      </c>
      <c r="BQ2422">
        <f>IF(2409&lt;$U$9,SUMPRODUCT(($D$10:$L$10&lt;&gt;"")*(($D$9:$L$9+INT(($S$12:$AA$12+INDEX($AJ$13:$AR$162,BN2422,0)+INDEX($AT$13:$BB$162,BO2422,0)+INDEX($BD$13:$BL$162,BP2422,0))/100))&gt;=$D$10:$L$10)),0)</f>
        <v/>
      </c>
      <c r="BR2422">
        <f>IF(2409&lt;$U$9,SUMPRODUCT(($D$10:$L$10&lt;&gt;"")*(($D$10:$L$10-($D$9:$L$9+INT(($S$12:$AA$12+INDEX($AJ$13:$AR$162,BN2422,0)+INDEX($AT$13:$BB$162,BO2422,0)+INDEX($BD$13:$BL$162,BP2422,0))/100)))&gt;0)*($D$10:$L$10-($D$9:$L$9+INT(($S$12:$AA$12+INDEX($AJ$13:$AR$162,BN2422,0)+INDEX($AT$13:$BB$162,BO2422,0)+INDEX($BD$13:$BL$162,BP2422,0))/100)))),0)</f>
        <v/>
      </c>
      <c r="BS2422">
        <f>IF(2409&lt;$U$9,SUMPRODUCT(($D$9:$L$9+INT(($S$12:$AA$12+INDEX($AJ$13:$AR$162,BN2422,0)+INDEX($AT$13:$BB$162,BO2422,0)+INDEX($BD$13:$BL$162,BP2422,0))/100))),0)</f>
        <v/>
      </c>
      <c r="BT2422">
        <f>IF(AND(2409&lt;$U$9,$W$5),BQ2422*1000000-MIN(BR2422,999)*1000+BS2422-2409/100000,-1000000000-2409)</f>
        <v/>
      </c>
    </row>
    <row r="2423">
      <c r="BN2423">
        <f>IF(2410&lt;$U$9,INT(2410/($U$7*$U$8))+1,1)</f>
        <v/>
      </c>
      <c r="BO2423">
        <f>IF(2410&lt;$U$9,MOD(INT(2410/$U$8),$U$7)+1,1)</f>
        <v/>
      </c>
      <c r="BP2423">
        <f>IF(2410&lt;$U$9,MOD(2410,$U$8)+1,1)</f>
        <v/>
      </c>
      <c r="BQ2423">
        <f>IF(2410&lt;$U$9,SUMPRODUCT(($D$10:$L$10&lt;&gt;"")*(($D$9:$L$9+INT(($S$12:$AA$12+INDEX($AJ$13:$AR$162,BN2423,0)+INDEX($AT$13:$BB$162,BO2423,0)+INDEX($BD$13:$BL$162,BP2423,0))/100))&gt;=$D$10:$L$10)),0)</f>
        <v/>
      </c>
      <c r="BR2423">
        <f>IF(2410&lt;$U$9,SUMPRODUCT(($D$10:$L$10&lt;&gt;"")*(($D$10:$L$10-($D$9:$L$9+INT(($S$12:$AA$12+INDEX($AJ$13:$AR$162,BN2423,0)+INDEX($AT$13:$BB$162,BO2423,0)+INDEX($BD$13:$BL$162,BP2423,0))/100)))&gt;0)*($D$10:$L$10-($D$9:$L$9+INT(($S$12:$AA$12+INDEX($AJ$13:$AR$162,BN2423,0)+INDEX($AT$13:$BB$162,BO2423,0)+INDEX($BD$13:$BL$162,BP2423,0))/100)))),0)</f>
        <v/>
      </c>
      <c r="BS2423">
        <f>IF(2410&lt;$U$9,SUMPRODUCT(($D$9:$L$9+INT(($S$12:$AA$12+INDEX($AJ$13:$AR$162,BN2423,0)+INDEX($AT$13:$BB$162,BO2423,0)+INDEX($BD$13:$BL$162,BP2423,0))/100))),0)</f>
        <v/>
      </c>
      <c r="BT2423">
        <f>IF(AND(2410&lt;$U$9,$W$5),BQ2423*1000000-MIN(BR2423,999)*1000+BS2423-2410/100000,-1000000000-2410)</f>
        <v/>
      </c>
    </row>
    <row r="2424">
      <c r="BN2424">
        <f>IF(2411&lt;$U$9,INT(2411/($U$7*$U$8))+1,1)</f>
        <v/>
      </c>
      <c r="BO2424">
        <f>IF(2411&lt;$U$9,MOD(INT(2411/$U$8),$U$7)+1,1)</f>
        <v/>
      </c>
      <c r="BP2424">
        <f>IF(2411&lt;$U$9,MOD(2411,$U$8)+1,1)</f>
        <v/>
      </c>
      <c r="BQ2424">
        <f>IF(2411&lt;$U$9,SUMPRODUCT(($D$10:$L$10&lt;&gt;"")*(($D$9:$L$9+INT(($S$12:$AA$12+INDEX($AJ$13:$AR$162,BN2424,0)+INDEX($AT$13:$BB$162,BO2424,0)+INDEX($BD$13:$BL$162,BP2424,0))/100))&gt;=$D$10:$L$10)),0)</f>
        <v/>
      </c>
      <c r="BR2424">
        <f>IF(2411&lt;$U$9,SUMPRODUCT(($D$10:$L$10&lt;&gt;"")*(($D$10:$L$10-($D$9:$L$9+INT(($S$12:$AA$12+INDEX($AJ$13:$AR$162,BN2424,0)+INDEX($AT$13:$BB$162,BO2424,0)+INDEX($BD$13:$BL$162,BP2424,0))/100)))&gt;0)*($D$10:$L$10-($D$9:$L$9+INT(($S$12:$AA$12+INDEX($AJ$13:$AR$162,BN2424,0)+INDEX($AT$13:$BB$162,BO2424,0)+INDEX($BD$13:$BL$162,BP2424,0))/100)))),0)</f>
        <v/>
      </c>
      <c r="BS2424">
        <f>IF(2411&lt;$U$9,SUMPRODUCT(($D$9:$L$9+INT(($S$12:$AA$12+INDEX($AJ$13:$AR$162,BN2424,0)+INDEX($AT$13:$BB$162,BO2424,0)+INDEX($BD$13:$BL$162,BP2424,0))/100))),0)</f>
        <v/>
      </c>
      <c r="BT2424">
        <f>IF(AND(2411&lt;$U$9,$W$5),BQ2424*1000000-MIN(BR2424,999)*1000+BS2424-2411/100000,-1000000000-2411)</f>
        <v/>
      </c>
    </row>
    <row r="2425">
      <c r="BN2425">
        <f>IF(2412&lt;$U$9,INT(2412/($U$7*$U$8))+1,1)</f>
        <v/>
      </c>
      <c r="BO2425">
        <f>IF(2412&lt;$U$9,MOD(INT(2412/$U$8),$U$7)+1,1)</f>
        <v/>
      </c>
      <c r="BP2425">
        <f>IF(2412&lt;$U$9,MOD(2412,$U$8)+1,1)</f>
        <v/>
      </c>
      <c r="BQ2425">
        <f>IF(2412&lt;$U$9,SUMPRODUCT(($D$10:$L$10&lt;&gt;"")*(($D$9:$L$9+INT(($S$12:$AA$12+INDEX($AJ$13:$AR$162,BN2425,0)+INDEX($AT$13:$BB$162,BO2425,0)+INDEX($BD$13:$BL$162,BP2425,0))/100))&gt;=$D$10:$L$10)),0)</f>
        <v/>
      </c>
      <c r="BR2425">
        <f>IF(2412&lt;$U$9,SUMPRODUCT(($D$10:$L$10&lt;&gt;"")*(($D$10:$L$10-($D$9:$L$9+INT(($S$12:$AA$12+INDEX($AJ$13:$AR$162,BN2425,0)+INDEX($AT$13:$BB$162,BO2425,0)+INDEX($BD$13:$BL$162,BP2425,0))/100)))&gt;0)*($D$10:$L$10-($D$9:$L$9+INT(($S$12:$AA$12+INDEX($AJ$13:$AR$162,BN2425,0)+INDEX($AT$13:$BB$162,BO2425,0)+INDEX($BD$13:$BL$162,BP2425,0))/100)))),0)</f>
        <v/>
      </c>
      <c r="BS2425">
        <f>IF(2412&lt;$U$9,SUMPRODUCT(($D$9:$L$9+INT(($S$12:$AA$12+INDEX($AJ$13:$AR$162,BN2425,0)+INDEX($AT$13:$BB$162,BO2425,0)+INDEX($BD$13:$BL$162,BP2425,0))/100))),0)</f>
        <v/>
      </c>
      <c r="BT2425">
        <f>IF(AND(2412&lt;$U$9,$W$5),BQ2425*1000000-MIN(BR2425,999)*1000+BS2425-2412/100000,-1000000000-2412)</f>
        <v/>
      </c>
    </row>
    <row r="2426">
      <c r="BN2426">
        <f>IF(2413&lt;$U$9,INT(2413/($U$7*$U$8))+1,1)</f>
        <v/>
      </c>
      <c r="BO2426">
        <f>IF(2413&lt;$U$9,MOD(INT(2413/$U$8),$U$7)+1,1)</f>
        <v/>
      </c>
      <c r="BP2426">
        <f>IF(2413&lt;$U$9,MOD(2413,$U$8)+1,1)</f>
        <v/>
      </c>
      <c r="BQ2426">
        <f>IF(2413&lt;$U$9,SUMPRODUCT(($D$10:$L$10&lt;&gt;"")*(($D$9:$L$9+INT(($S$12:$AA$12+INDEX($AJ$13:$AR$162,BN2426,0)+INDEX($AT$13:$BB$162,BO2426,0)+INDEX($BD$13:$BL$162,BP2426,0))/100))&gt;=$D$10:$L$10)),0)</f>
        <v/>
      </c>
      <c r="BR2426">
        <f>IF(2413&lt;$U$9,SUMPRODUCT(($D$10:$L$10&lt;&gt;"")*(($D$10:$L$10-($D$9:$L$9+INT(($S$12:$AA$12+INDEX($AJ$13:$AR$162,BN2426,0)+INDEX($AT$13:$BB$162,BO2426,0)+INDEX($BD$13:$BL$162,BP2426,0))/100)))&gt;0)*($D$10:$L$10-($D$9:$L$9+INT(($S$12:$AA$12+INDEX($AJ$13:$AR$162,BN2426,0)+INDEX($AT$13:$BB$162,BO2426,0)+INDEX($BD$13:$BL$162,BP2426,0))/100)))),0)</f>
        <v/>
      </c>
      <c r="BS2426">
        <f>IF(2413&lt;$U$9,SUMPRODUCT(($D$9:$L$9+INT(($S$12:$AA$12+INDEX($AJ$13:$AR$162,BN2426,0)+INDEX($AT$13:$BB$162,BO2426,0)+INDEX($BD$13:$BL$162,BP2426,0))/100))),0)</f>
        <v/>
      </c>
      <c r="BT2426">
        <f>IF(AND(2413&lt;$U$9,$W$5),BQ2426*1000000-MIN(BR2426,999)*1000+BS2426-2413/100000,-1000000000-2413)</f>
        <v/>
      </c>
    </row>
    <row r="2427">
      <c r="BN2427">
        <f>IF(2414&lt;$U$9,INT(2414/($U$7*$U$8))+1,1)</f>
        <v/>
      </c>
      <c r="BO2427">
        <f>IF(2414&lt;$U$9,MOD(INT(2414/$U$8),$U$7)+1,1)</f>
        <v/>
      </c>
      <c r="BP2427">
        <f>IF(2414&lt;$U$9,MOD(2414,$U$8)+1,1)</f>
        <v/>
      </c>
      <c r="BQ2427">
        <f>IF(2414&lt;$U$9,SUMPRODUCT(($D$10:$L$10&lt;&gt;"")*(($D$9:$L$9+INT(($S$12:$AA$12+INDEX($AJ$13:$AR$162,BN2427,0)+INDEX($AT$13:$BB$162,BO2427,0)+INDEX($BD$13:$BL$162,BP2427,0))/100))&gt;=$D$10:$L$10)),0)</f>
        <v/>
      </c>
      <c r="BR2427">
        <f>IF(2414&lt;$U$9,SUMPRODUCT(($D$10:$L$10&lt;&gt;"")*(($D$10:$L$10-($D$9:$L$9+INT(($S$12:$AA$12+INDEX($AJ$13:$AR$162,BN2427,0)+INDEX($AT$13:$BB$162,BO2427,0)+INDEX($BD$13:$BL$162,BP2427,0))/100)))&gt;0)*($D$10:$L$10-($D$9:$L$9+INT(($S$12:$AA$12+INDEX($AJ$13:$AR$162,BN2427,0)+INDEX($AT$13:$BB$162,BO2427,0)+INDEX($BD$13:$BL$162,BP2427,0))/100)))),0)</f>
        <v/>
      </c>
      <c r="BS2427">
        <f>IF(2414&lt;$U$9,SUMPRODUCT(($D$9:$L$9+INT(($S$12:$AA$12+INDEX($AJ$13:$AR$162,BN2427,0)+INDEX($AT$13:$BB$162,BO2427,0)+INDEX($BD$13:$BL$162,BP2427,0))/100))),0)</f>
        <v/>
      </c>
      <c r="BT2427">
        <f>IF(AND(2414&lt;$U$9,$W$5),BQ2427*1000000-MIN(BR2427,999)*1000+BS2427-2414/100000,-1000000000-2414)</f>
        <v/>
      </c>
    </row>
    <row r="2428">
      <c r="BN2428">
        <f>IF(2415&lt;$U$9,INT(2415/($U$7*$U$8))+1,1)</f>
        <v/>
      </c>
      <c r="BO2428">
        <f>IF(2415&lt;$U$9,MOD(INT(2415/$U$8),$U$7)+1,1)</f>
        <v/>
      </c>
      <c r="BP2428">
        <f>IF(2415&lt;$U$9,MOD(2415,$U$8)+1,1)</f>
        <v/>
      </c>
      <c r="BQ2428">
        <f>IF(2415&lt;$U$9,SUMPRODUCT(($D$10:$L$10&lt;&gt;"")*(($D$9:$L$9+INT(($S$12:$AA$12+INDEX($AJ$13:$AR$162,BN2428,0)+INDEX($AT$13:$BB$162,BO2428,0)+INDEX($BD$13:$BL$162,BP2428,0))/100))&gt;=$D$10:$L$10)),0)</f>
        <v/>
      </c>
      <c r="BR2428">
        <f>IF(2415&lt;$U$9,SUMPRODUCT(($D$10:$L$10&lt;&gt;"")*(($D$10:$L$10-($D$9:$L$9+INT(($S$12:$AA$12+INDEX($AJ$13:$AR$162,BN2428,0)+INDEX($AT$13:$BB$162,BO2428,0)+INDEX($BD$13:$BL$162,BP2428,0))/100)))&gt;0)*($D$10:$L$10-($D$9:$L$9+INT(($S$12:$AA$12+INDEX($AJ$13:$AR$162,BN2428,0)+INDEX($AT$13:$BB$162,BO2428,0)+INDEX($BD$13:$BL$162,BP2428,0))/100)))),0)</f>
        <v/>
      </c>
      <c r="BS2428">
        <f>IF(2415&lt;$U$9,SUMPRODUCT(($D$9:$L$9+INT(($S$12:$AA$12+INDEX($AJ$13:$AR$162,BN2428,0)+INDEX($AT$13:$BB$162,BO2428,0)+INDEX($BD$13:$BL$162,BP2428,0))/100))),0)</f>
        <v/>
      </c>
      <c r="BT2428">
        <f>IF(AND(2415&lt;$U$9,$W$5),BQ2428*1000000-MIN(BR2428,999)*1000+BS2428-2415/100000,-1000000000-2415)</f>
        <v/>
      </c>
    </row>
    <row r="2429">
      <c r="BN2429">
        <f>IF(2416&lt;$U$9,INT(2416/($U$7*$U$8))+1,1)</f>
        <v/>
      </c>
      <c r="BO2429">
        <f>IF(2416&lt;$U$9,MOD(INT(2416/$U$8),$U$7)+1,1)</f>
        <v/>
      </c>
      <c r="BP2429">
        <f>IF(2416&lt;$U$9,MOD(2416,$U$8)+1,1)</f>
        <v/>
      </c>
      <c r="BQ2429">
        <f>IF(2416&lt;$U$9,SUMPRODUCT(($D$10:$L$10&lt;&gt;"")*(($D$9:$L$9+INT(($S$12:$AA$12+INDEX($AJ$13:$AR$162,BN2429,0)+INDEX($AT$13:$BB$162,BO2429,0)+INDEX($BD$13:$BL$162,BP2429,0))/100))&gt;=$D$10:$L$10)),0)</f>
        <v/>
      </c>
      <c r="BR2429">
        <f>IF(2416&lt;$U$9,SUMPRODUCT(($D$10:$L$10&lt;&gt;"")*(($D$10:$L$10-($D$9:$L$9+INT(($S$12:$AA$12+INDEX($AJ$13:$AR$162,BN2429,0)+INDEX($AT$13:$BB$162,BO2429,0)+INDEX($BD$13:$BL$162,BP2429,0))/100)))&gt;0)*($D$10:$L$10-($D$9:$L$9+INT(($S$12:$AA$12+INDEX($AJ$13:$AR$162,BN2429,0)+INDEX($AT$13:$BB$162,BO2429,0)+INDEX($BD$13:$BL$162,BP2429,0))/100)))),0)</f>
        <v/>
      </c>
      <c r="BS2429">
        <f>IF(2416&lt;$U$9,SUMPRODUCT(($D$9:$L$9+INT(($S$12:$AA$12+INDEX($AJ$13:$AR$162,BN2429,0)+INDEX($AT$13:$BB$162,BO2429,0)+INDEX($BD$13:$BL$162,BP2429,0))/100))),0)</f>
        <v/>
      </c>
      <c r="BT2429">
        <f>IF(AND(2416&lt;$U$9,$W$5),BQ2429*1000000-MIN(BR2429,999)*1000+BS2429-2416/100000,-1000000000-2416)</f>
        <v/>
      </c>
    </row>
    <row r="2430">
      <c r="BN2430">
        <f>IF(2417&lt;$U$9,INT(2417/($U$7*$U$8))+1,1)</f>
        <v/>
      </c>
      <c r="BO2430">
        <f>IF(2417&lt;$U$9,MOD(INT(2417/$U$8),$U$7)+1,1)</f>
        <v/>
      </c>
      <c r="BP2430">
        <f>IF(2417&lt;$U$9,MOD(2417,$U$8)+1,1)</f>
        <v/>
      </c>
      <c r="BQ2430">
        <f>IF(2417&lt;$U$9,SUMPRODUCT(($D$10:$L$10&lt;&gt;"")*(($D$9:$L$9+INT(($S$12:$AA$12+INDEX($AJ$13:$AR$162,BN2430,0)+INDEX($AT$13:$BB$162,BO2430,0)+INDEX($BD$13:$BL$162,BP2430,0))/100))&gt;=$D$10:$L$10)),0)</f>
        <v/>
      </c>
      <c r="BR2430">
        <f>IF(2417&lt;$U$9,SUMPRODUCT(($D$10:$L$10&lt;&gt;"")*(($D$10:$L$10-($D$9:$L$9+INT(($S$12:$AA$12+INDEX($AJ$13:$AR$162,BN2430,0)+INDEX($AT$13:$BB$162,BO2430,0)+INDEX($BD$13:$BL$162,BP2430,0))/100)))&gt;0)*($D$10:$L$10-($D$9:$L$9+INT(($S$12:$AA$12+INDEX($AJ$13:$AR$162,BN2430,0)+INDEX($AT$13:$BB$162,BO2430,0)+INDEX($BD$13:$BL$162,BP2430,0))/100)))),0)</f>
        <v/>
      </c>
      <c r="BS2430">
        <f>IF(2417&lt;$U$9,SUMPRODUCT(($D$9:$L$9+INT(($S$12:$AA$12+INDEX($AJ$13:$AR$162,BN2430,0)+INDEX($AT$13:$BB$162,BO2430,0)+INDEX($BD$13:$BL$162,BP2430,0))/100))),0)</f>
        <v/>
      </c>
      <c r="BT2430">
        <f>IF(AND(2417&lt;$U$9,$W$5),BQ2430*1000000-MIN(BR2430,999)*1000+BS2430-2417/100000,-1000000000-2417)</f>
        <v/>
      </c>
    </row>
    <row r="2431">
      <c r="BN2431">
        <f>IF(2418&lt;$U$9,INT(2418/($U$7*$U$8))+1,1)</f>
        <v/>
      </c>
      <c r="BO2431">
        <f>IF(2418&lt;$U$9,MOD(INT(2418/$U$8),$U$7)+1,1)</f>
        <v/>
      </c>
      <c r="BP2431">
        <f>IF(2418&lt;$U$9,MOD(2418,$U$8)+1,1)</f>
        <v/>
      </c>
      <c r="BQ2431">
        <f>IF(2418&lt;$U$9,SUMPRODUCT(($D$10:$L$10&lt;&gt;"")*(($D$9:$L$9+INT(($S$12:$AA$12+INDEX($AJ$13:$AR$162,BN2431,0)+INDEX($AT$13:$BB$162,BO2431,0)+INDEX($BD$13:$BL$162,BP2431,0))/100))&gt;=$D$10:$L$10)),0)</f>
        <v/>
      </c>
      <c r="BR2431">
        <f>IF(2418&lt;$U$9,SUMPRODUCT(($D$10:$L$10&lt;&gt;"")*(($D$10:$L$10-($D$9:$L$9+INT(($S$12:$AA$12+INDEX($AJ$13:$AR$162,BN2431,0)+INDEX($AT$13:$BB$162,BO2431,0)+INDEX($BD$13:$BL$162,BP2431,0))/100)))&gt;0)*($D$10:$L$10-($D$9:$L$9+INT(($S$12:$AA$12+INDEX($AJ$13:$AR$162,BN2431,0)+INDEX($AT$13:$BB$162,BO2431,0)+INDEX($BD$13:$BL$162,BP2431,0))/100)))),0)</f>
        <v/>
      </c>
      <c r="BS2431">
        <f>IF(2418&lt;$U$9,SUMPRODUCT(($D$9:$L$9+INT(($S$12:$AA$12+INDEX($AJ$13:$AR$162,BN2431,0)+INDEX($AT$13:$BB$162,BO2431,0)+INDEX($BD$13:$BL$162,BP2431,0))/100))),0)</f>
        <v/>
      </c>
      <c r="BT2431">
        <f>IF(AND(2418&lt;$U$9,$W$5),BQ2431*1000000-MIN(BR2431,999)*1000+BS2431-2418/100000,-1000000000-2418)</f>
        <v/>
      </c>
    </row>
    <row r="2432">
      <c r="BN2432">
        <f>IF(2419&lt;$U$9,INT(2419/($U$7*$U$8))+1,1)</f>
        <v/>
      </c>
      <c r="BO2432">
        <f>IF(2419&lt;$U$9,MOD(INT(2419/$U$8),$U$7)+1,1)</f>
        <v/>
      </c>
      <c r="BP2432">
        <f>IF(2419&lt;$U$9,MOD(2419,$U$8)+1,1)</f>
        <v/>
      </c>
      <c r="BQ2432">
        <f>IF(2419&lt;$U$9,SUMPRODUCT(($D$10:$L$10&lt;&gt;"")*(($D$9:$L$9+INT(($S$12:$AA$12+INDEX($AJ$13:$AR$162,BN2432,0)+INDEX($AT$13:$BB$162,BO2432,0)+INDEX($BD$13:$BL$162,BP2432,0))/100))&gt;=$D$10:$L$10)),0)</f>
        <v/>
      </c>
      <c r="BR2432">
        <f>IF(2419&lt;$U$9,SUMPRODUCT(($D$10:$L$10&lt;&gt;"")*(($D$10:$L$10-($D$9:$L$9+INT(($S$12:$AA$12+INDEX($AJ$13:$AR$162,BN2432,0)+INDEX($AT$13:$BB$162,BO2432,0)+INDEX($BD$13:$BL$162,BP2432,0))/100)))&gt;0)*($D$10:$L$10-($D$9:$L$9+INT(($S$12:$AA$12+INDEX($AJ$13:$AR$162,BN2432,0)+INDEX($AT$13:$BB$162,BO2432,0)+INDEX($BD$13:$BL$162,BP2432,0))/100)))),0)</f>
        <v/>
      </c>
      <c r="BS2432">
        <f>IF(2419&lt;$U$9,SUMPRODUCT(($D$9:$L$9+INT(($S$12:$AA$12+INDEX($AJ$13:$AR$162,BN2432,0)+INDEX($AT$13:$BB$162,BO2432,0)+INDEX($BD$13:$BL$162,BP2432,0))/100))),0)</f>
        <v/>
      </c>
      <c r="BT2432">
        <f>IF(AND(2419&lt;$U$9,$W$5),BQ2432*1000000-MIN(BR2432,999)*1000+BS2432-2419/100000,-1000000000-2419)</f>
        <v/>
      </c>
    </row>
    <row r="2433">
      <c r="BN2433">
        <f>IF(2420&lt;$U$9,INT(2420/($U$7*$U$8))+1,1)</f>
        <v/>
      </c>
      <c r="BO2433">
        <f>IF(2420&lt;$U$9,MOD(INT(2420/$U$8),$U$7)+1,1)</f>
        <v/>
      </c>
      <c r="BP2433">
        <f>IF(2420&lt;$U$9,MOD(2420,$U$8)+1,1)</f>
        <v/>
      </c>
      <c r="BQ2433">
        <f>IF(2420&lt;$U$9,SUMPRODUCT(($D$10:$L$10&lt;&gt;"")*(($D$9:$L$9+INT(($S$12:$AA$12+INDEX($AJ$13:$AR$162,BN2433,0)+INDEX($AT$13:$BB$162,BO2433,0)+INDEX($BD$13:$BL$162,BP2433,0))/100))&gt;=$D$10:$L$10)),0)</f>
        <v/>
      </c>
      <c r="BR2433">
        <f>IF(2420&lt;$U$9,SUMPRODUCT(($D$10:$L$10&lt;&gt;"")*(($D$10:$L$10-($D$9:$L$9+INT(($S$12:$AA$12+INDEX($AJ$13:$AR$162,BN2433,0)+INDEX($AT$13:$BB$162,BO2433,0)+INDEX($BD$13:$BL$162,BP2433,0))/100)))&gt;0)*($D$10:$L$10-($D$9:$L$9+INT(($S$12:$AA$12+INDEX($AJ$13:$AR$162,BN2433,0)+INDEX($AT$13:$BB$162,BO2433,0)+INDEX($BD$13:$BL$162,BP2433,0))/100)))),0)</f>
        <v/>
      </c>
      <c r="BS2433">
        <f>IF(2420&lt;$U$9,SUMPRODUCT(($D$9:$L$9+INT(($S$12:$AA$12+INDEX($AJ$13:$AR$162,BN2433,0)+INDEX($AT$13:$BB$162,BO2433,0)+INDEX($BD$13:$BL$162,BP2433,0))/100))),0)</f>
        <v/>
      </c>
      <c r="BT2433">
        <f>IF(AND(2420&lt;$U$9,$W$5),BQ2433*1000000-MIN(BR2433,999)*1000+BS2433-2420/100000,-1000000000-2420)</f>
        <v/>
      </c>
    </row>
    <row r="2434">
      <c r="BN2434">
        <f>IF(2421&lt;$U$9,INT(2421/($U$7*$U$8))+1,1)</f>
        <v/>
      </c>
      <c r="BO2434">
        <f>IF(2421&lt;$U$9,MOD(INT(2421/$U$8),$U$7)+1,1)</f>
        <v/>
      </c>
      <c r="BP2434">
        <f>IF(2421&lt;$U$9,MOD(2421,$U$8)+1,1)</f>
        <v/>
      </c>
      <c r="BQ2434">
        <f>IF(2421&lt;$U$9,SUMPRODUCT(($D$10:$L$10&lt;&gt;"")*(($D$9:$L$9+INT(($S$12:$AA$12+INDEX($AJ$13:$AR$162,BN2434,0)+INDEX($AT$13:$BB$162,BO2434,0)+INDEX($BD$13:$BL$162,BP2434,0))/100))&gt;=$D$10:$L$10)),0)</f>
        <v/>
      </c>
      <c r="BR2434">
        <f>IF(2421&lt;$U$9,SUMPRODUCT(($D$10:$L$10&lt;&gt;"")*(($D$10:$L$10-($D$9:$L$9+INT(($S$12:$AA$12+INDEX($AJ$13:$AR$162,BN2434,0)+INDEX($AT$13:$BB$162,BO2434,0)+INDEX($BD$13:$BL$162,BP2434,0))/100)))&gt;0)*($D$10:$L$10-($D$9:$L$9+INT(($S$12:$AA$12+INDEX($AJ$13:$AR$162,BN2434,0)+INDEX($AT$13:$BB$162,BO2434,0)+INDEX($BD$13:$BL$162,BP2434,0))/100)))),0)</f>
        <v/>
      </c>
      <c r="BS2434">
        <f>IF(2421&lt;$U$9,SUMPRODUCT(($D$9:$L$9+INT(($S$12:$AA$12+INDEX($AJ$13:$AR$162,BN2434,0)+INDEX($AT$13:$BB$162,BO2434,0)+INDEX($BD$13:$BL$162,BP2434,0))/100))),0)</f>
        <v/>
      </c>
      <c r="BT2434">
        <f>IF(AND(2421&lt;$U$9,$W$5),BQ2434*1000000-MIN(BR2434,999)*1000+BS2434-2421/100000,-1000000000-2421)</f>
        <v/>
      </c>
    </row>
    <row r="2435">
      <c r="BN2435">
        <f>IF(2422&lt;$U$9,INT(2422/($U$7*$U$8))+1,1)</f>
        <v/>
      </c>
      <c r="BO2435">
        <f>IF(2422&lt;$U$9,MOD(INT(2422/$U$8),$U$7)+1,1)</f>
        <v/>
      </c>
      <c r="BP2435">
        <f>IF(2422&lt;$U$9,MOD(2422,$U$8)+1,1)</f>
        <v/>
      </c>
      <c r="BQ2435">
        <f>IF(2422&lt;$U$9,SUMPRODUCT(($D$10:$L$10&lt;&gt;"")*(($D$9:$L$9+INT(($S$12:$AA$12+INDEX($AJ$13:$AR$162,BN2435,0)+INDEX($AT$13:$BB$162,BO2435,0)+INDEX($BD$13:$BL$162,BP2435,0))/100))&gt;=$D$10:$L$10)),0)</f>
        <v/>
      </c>
      <c r="BR2435">
        <f>IF(2422&lt;$U$9,SUMPRODUCT(($D$10:$L$10&lt;&gt;"")*(($D$10:$L$10-($D$9:$L$9+INT(($S$12:$AA$12+INDEX($AJ$13:$AR$162,BN2435,0)+INDEX($AT$13:$BB$162,BO2435,0)+INDEX($BD$13:$BL$162,BP2435,0))/100)))&gt;0)*($D$10:$L$10-($D$9:$L$9+INT(($S$12:$AA$12+INDEX($AJ$13:$AR$162,BN2435,0)+INDEX($AT$13:$BB$162,BO2435,0)+INDEX($BD$13:$BL$162,BP2435,0))/100)))),0)</f>
        <v/>
      </c>
      <c r="BS2435">
        <f>IF(2422&lt;$U$9,SUMPRODUCT(($D$9:$L$9+INT(($S$12:$AA$12+INDEX($AJ$13:$AR$162,BN2435,0)+INDEX($AT$13:$BB$162,BO2435,0)+INDEX($BD$13:$BL$162,BP2435,0))/100))),0)</f>
        <v/>
      </c>
      <c r="BT2435">
        <f>IF(AND(2422&lt;$U$9,$W$5),BQ2435*1000000-MIN(BR2435,999)*1000+BS2435-2422/100000,-1000000000-2422)</f>
        <v/>
      </c>
    </row>
    <row r="2436">
      <c r="BN2436">
        <f>IF(2423&lt;$U$9,INT(2423/($U$7*$U$8))+1,1)</f>
        <v/>
      </c>
      <c r="BO2436">
        <f>IF(2423&lt;$U$9,MOD(INT(2423/$U$8),$U$7)+1,1)</f>
        <v/>
      </c>
      <c r="BP2436">
        <f>IF(2423&lt;$U$9,MOD(2423,$U$8)+1,1)</f>
        <v/>
      </c>
      <c r="BQ2436">
        <f>IF(2423&lt;$U$9,SUMPRODUCT(($D$10:$L$10&lt;&gt;"")*(($D$9:$L$9+INT(($S$12:$AA$12+INDEX($AJ$13:$AR$162,BN2436,0)+INDEX($AT$13:$BB$162,BO2436,0)+INDEX($BD$13:$BL$162,BP2436,0))/100))&gt;=$D$10:$L$10)),0)</f>
        <v/>
      </c>
      <c r="BR2436">
        <f>IF(2423&lt;$U$9,SUMPRODUCT(($D$10:$L$10&lt;&gt;"")*(($D$10:$L$10-($D$9:$L$9+INT(($S$12:$AA$12+INDEX($AJ$13:$AR$162,BN2436,0)+INDEX($AT$13:$BB$162,BO2436,0)+INDEX($BD$13:$BL$162,BP2436,0))/100)))&gt;0)*($D$10:$L$10-($D$9:$L$9+INT(($S$12:$AA$12+INDEX($AJ$13:$AR$162,BN2436,0)+INDEX($AT$13:$BB$162,BO2436,0)+INDEX($BD$13:$BL$162,BP2436,0))/100)))),0)</f>
        <v/>
      </c>
      <c r="BS2436">
        <f>IF(2423&lt;$U$9,SUMPRODUCT(($D$9:$L$9+INT(($S$12:$AA$12+INDEX($AJ$13:$AR$162,BN2436,0)+INDEX($AT$13:$BB$162,BO2436,0)+INDEX($BD$13:$BL$162,BP2436,0))/100))),0)</f>
        <v/>
      </c>
      <c r="BT2436">
        <f>IF(AND(2423&lt;$U$9,$W$5),BQ2436*1000000-MIN(BR2436,999)*1000+BS2436-2423/100000,-1000000000-2423)</f>
        <v/>
      </c>
    </row>
    <row r="2437">
      <c r="BN2437">
        <f>IF(2424&lt;$U$9,INT(2424/($U$7*$U$8))+1,1)</f>
        <v/>
      </c>
      <c r="BO2437">
        <f>IF(2424&lt;$U$9,MOD(INT(2424/$U$8),$U$7)+1,1)</f>
        <v/>
      </c>
      <c r="BP2437">
        <f>IF(2424&lt;$U$9,MOD(2424,$U$8)+1,1)</f>
        <v/>
      </c>
      <c r="BQ2437">
        <f>IF(2424&lt;$U$9,SUMPRODUCT(($D$10:$L$10&lt;&gt;"")*(($D$9:$L$9+INT(($S$12:$AA$12+INDEX($AJ$13:$AR$162,BN2437,0)+INDEX($AT$13:$BB$162,BO2437,0)+INDEX($BD$13:$BL$162,BP2437,0))/100))&gt;=$D$10:$L$10)),0)</f>
        <v/>
      </c>
      <c r="BR2437">
        <f>IF(2424&lt;$U$9,SUMPRODUCT(($D$10:$L$10&lt;&gt;"")*(($D$10:$L$10-($D$9:$L$9+INT(($S$12:$AA$12+INDEX($AJ$13:$AR$162,BN2437,0)+INDEX($AT$13:$BB$162,BO2437,0)+INDEX($BD$13:$BL$162,BP2437,0))/100)))&gt;0)*($D$10:$L$10-($D$9:$L$9+INT(($S$12:$AA$12+INDEX($AJ$13:$AR$162,BN2437,0)+INDEX($AT$13:$BB$162,BO2437,0)+INDEX($BD$13:$BL$162,BP2437,0))/100)))),0)</f>
        <v/>
      </c>
      <c r="BS2437">
        <f>IF(2424&lt;$U$9,SUMPRODUCT(($D$9:$L$9+INT(($S$12:$AA$12+INDEX($AJ$13:$AR$162,BN2437,0)+INDEX($AT$13:$BB$162,BO2437,0)+INDEX($BD$13:$BL$162,BP2437,0))/100))),0)</f>
        <v/>
      </c>
      <c r="BT2437">
        <f>IF(AND(2424&lt;$U$9,$W$5),BQ2437*1000000-MIN(BR2437,999)*1000+BS2437-2424/100000,-1000000000-2424)</f>
        <v/>
      </c>
    </row>
    <row r="2438">
      <c r="BN2438">
        <f>IF(2425&lt;$U$9,INT(2425/($U$7*$U$8))+1,1)</f>
        <v/>
      </c>
      <c r="BO2438">
        <f>IF(2425&lt;$U$9,MOD(INT(2425/$U$8),$U$7)+1,1)</f>
        <v/>
      </c>
      <c r="BP2438">
        <f>IF(2425&lt;$U$9,MOD(2425,$U$8)+1,1)</f>
        <v/>
      </c>
      <c r="BQ2438">
        <f>IF(2425&lt;$U$9,SUMPRODUCT(($D$10:$L$10&lt;&gt;"")*(($D$9:$L$9+INT(($S$12:$AA$12+INDEX($AJ$13:$AR$162,BN2438,0)+INDEX($AT$13:$BB$162,BO2438,0)+INDEX($BD$13:$BL$162,BP2438,0))/100))&gt;=$D$10:$L$10)),0)</f>
        <v/>
      </c>
      <c r="BR2438">
        <f>IF(2425&lt;$U$9,SUMPRODUCT(($D$10:$L$10&lt;&gt;"")*(($D$10:$L$10-($D$9:$L$9+INT(($S$12:$AA$12+INDEX($AJ$13:$AR$162,BN2438,0)+INDEX($AT$13:$BB$162,BO2438,0)+INDEX($BD$13:$BL$162,BP2438,0))/100)))&gt;0)*($D$10:$L$10-($D$9:$L$9+INT(($S$12:$AA$12+INDEX($AJ$13:$AR$162,BN2438,0)+INDEX($AT$13:$BB$162,BO2438,0)+INDEX($BD$13:$BL$162,BP2438,0))/100)))),0)</f>
        <v/>
      </c>
      <c r="BS2438">
        <f>IF(2425&lt;$U$9,SUMPRODUCT(($D$9:$L$9+INT(($S$12:$AA$12+INDEX($AJ$13:$AR$162,BN2438,0)+INDEX($AT$13:$BB$162,BO2438,0)+INDEX($BD$13:$BL$162,BP2438,0))/100))),0)</f>
        <v/>
      </c>
      <c r="BT2438">
        <f>IF(AND(2425&lt;$U$9,$W$5),BQ2438*1000000-MIN(BR2438,999)*1000+BS2438-2425/100000,-1000000000-2425)</f>
        <v/>
      </c>
    </row>
    <row r="2439">
      <c r="BN2439">
        <f>IF(2426&lt;$U$9,INT(2426/($U$7*$U$8))+1,1)</f>
        <v/>
      </c>
      <c r="BO2439">
        <f>IF(2426&lt;$U$9,MOD(INT(2426/$U$8),$U$7)+1,1)</f>
        <v/>
      </c>
      <c r="BP2439">
        <f>IF(2426&lt;$U$9,MOD(2426,$U$8)+1,1)</f>
        <v/>
      </c>
      <c r="BQ2439">
        <f>IF(2426&lt;$U$9,SUMPRODUCT(($D$10:$L$10&lt;&gt;"")*(($D$9:$L$9+INT(($S$12:$AA$12+INDEX($AJ$13:$AR$162,BN2439,0)+INDEX($AT$13:$BB$162,BO2439,0)+INDEX($BD$13:$BL$162,BP2439,0))/100))&gt;=$D$10:$L$10)),0)</f>
        <v/>
      </c>
      <c r="BR2439">
        <f>IF(2426&lt;$U$9,SUMPRODUCT(($D$10:$L$10&lt;&gt;"")*(($D$10:$L$10-($D$9:$L$9+INT(($S$12:$AA$12+INDEX($AJ$13:$AR$162,BN2439,0)+INDEX($AT$13:$BB$162,BO2439,0)+INDEX($BD$13:$BL$162,BP2439,0))/100)))&gt;0)*($D$10:$L$10-($D$9:$L$9+INT(($S$12:$AA$12+INDEX($AJ$13:$AR$162,BN2439,0)+INDEX($AT$13:$BB$162,BO2439,0)+INDEX($BD$13:$BL$162,BP2439,0))/100)))),0)</f>
        <v/>
      </c>
      <c r="BS2439">
        <f>IF(2426&lt;$U$9,SUMPRODUCT(($D$9:$L$9+INT(($S$12:$AA$12+INDEX($AJ$13:$AR$162,BN2439,0)+INDEX($AT$13:$BB$162,BO2439,0)+INDEX($BD$13:$BL$162,BP2439,0))/100))),0)</f>
        <v/>
      </c>
      <c r="BT2439">
        <f>IF(AND(2426&lt;$U$9,$W$5),BQ2439*1000000-MIN(BR2439,999)*1000+BS2439-2426/100000,-1000000000-2426)</f>
        <v/>
      </c>
    </row>
    <row r="2440">
      <c r="BN2440">
        <f>IF(2427&lt;$U$9,INT(2427/($U$7*$U$8))+1,1)</f>
        <v/>
      </c>
      <c r="BO2440">
        <f>IF(2427&lt;$U$9,MOD(INT(2427/$U$8),$U$7)+1,1)</f>
        <v/>
      </c>
      <c r="BP2440">
        <f>IF(2427&lt;$U$9,MOD(2427,$U$8)+1,1)</f>
        <v/>
      </c>
      <c r="BQ2440">
        <f>IF(2427&lt;$U$9,SUMPRODUCT(($D$10:$L$10&lt;&gt;"")*(($D$9:$L$9+INT(($S$12:$AA$12+INDEX($AJ$13:$AR$162,BN2440,0)+INDEX($AT$13:$BB$162,BO2440,0)+INDEX($BD$13:$BL$162,BP2440,0))/100))&gt;=$D$10:$L$10)),0)</f>
        <v/>
      </c>
      <c r="BR2440">
        <f>IF(2427&lt;$U$9,SUMPRODUCT(($D$10:$L$10&lt;&gt;"")*(($D$10:$L$10-($D$9:$L$9+INT(($S$12:$AA$12+INDEX($AJ$13:$AR$162,BN2440,0)+INDEX($AT$13:$BB$162,BO2440,0)+INDEX($BD$13:$BL$162,BP2440,0))/100)))&gt;0)*($D$10:$L$10-($D$9:$L$9+INT(($S$12:$AA$12+INDEX($AJ$13:$AR$162,BN2440,0)+INDEX($AT$13:$BB$162,BO2440,0)+INDEX($BD$13:$BL$162,BP2440,0))/100)))),0)</f>
        <v/>
      </c>
      <c r="BS2440">
        <f>IF(2427&lt;$U$9,SUMPRODUCT(($D$9:$L$9+INT(($S$12:$AA$12+INDEX($AJ$13:$AR$162,BN2440,0)+INDEX($AT$13:$BB$162,BO2440,0)+INDEX($BD$13:$BL$162,BP2440,0))/100))),0)</f>
        <v/>
      </c>
      <c r="BT2440">
        <f>IF(AND(2427&lt;$U$9,$W$5),BQ2440*1000000-MIN(BR2440,999)*1000+BS2440-2427/100000,-1000000000-2427)</f>
        <v/>
      </c>
    </row>
    <row r="2441">
      <c r="BN2441">
        <f>IF(2428&lt;$U$9,INT(2428/($U$7*$U$8))+1,1)</f>
        <v/>
      </c>
      <c r="BO2441">
        <f>IF(2428&lt;$U$9,MOD(INT(2428/$U$8),$U$7)+1,1)</f>
        <v/>
      </c>
      <c r="BP2441">
        <f>IF(2428&lt;$U$9,MOD(2428,$U$8)+1,1)</f>
        <v/>
      </c>
      <c r="BQ2441">
        <f>IF(2428&lt;$U$9,SUMPRODUCT(($D$10:$L$10&lt;&gt;"")*(($D$9:$L$9+INT(($S$12:$AA$12+INDEX($AJ$13:$AR$162,BN2441,0)+INDEX($AT$13:$BB$162,BO2441,0)+INDEX($BD$13:$BL$162,BP2441,0))/100))&gt;=$D$10:$L$10)),0)</f>
        <v/>
      </c>
      <c r="BR2441">
        <f>IF(2428&lt;$U$9,SUMPRODUCT(($D$10:$L$10&lt;&gt;"")*(($D$10:$L$10-($D$9:$L$9+INT(($S$12:$AA$12+INDEX($AJ$13:$AR$162,BN2441,0)+INDEX($AT$13:$BB$162,BO2441,0)+INDEX($BD$13:$BL$162,BP2441,0))/100)))&gt;0)*($D$10:$L$10-($D$9:$L$9+INT(($S$12:$AA$12+INDEX($AJ$13:$AR$162,BN2441,0)+INDEX($AT$13:$BB$162,BO2441,0)+INDEX($BD$13:$BL$162,BP2441,0))/100)))),0)</f>
        <v/>
      </c>
      <c r="BS2441">
        <f>IF(2428&lt;$U$9,SUMPRODUCT(($D$9:$L$9+INT(($S$12:$AA$12+INDEX($AJ$13:$AR$162,BN2441,0)+INDEX($AT$13:$BB$162,BO2441,0)+INDEX($BD$13:$BL$162,BP2441,0))/100))),0)</f>
        <v/>
      </c>
      <c r="BT2441">
        <f>IF(AND(2428&lt;$U$9,$W$5),BQ2441*1000000-MIN(BR2441,999)*1000+BS2441-2428/100000,-1000000000-2428)</f>
        <v/>
      </c>
    </row>
    <row r="2442">
      <c r="BN2442">
        <f>IF(2429&lt;$U$9,INT(2429/($U$7*$U$8))+1,1)</f>
        <v/>
      </c>
      <c r="BO2442">
        <f>IF(2429&lt;$U$9,MOD(INT(2429/$U$8),$U$7)+1,1)</f>
        <v/>
      </c>
      <c r="BP2442">
        <f>IF(2429&lt;$U$9,MOD(2429,$U$8)+1,1)</f>
        <v/>
      </c>
      <c r="BQ2442">
        <f>IF(2429&lt;$U$9,SUMPRODUCT(($D$10:$L$10&lt;&gt;"")*(($D$9:$L$9+INT(($S$12:$AA$12+INDEX($AJ$13:$AR$162,BN2442,0)+INDEX($AT$13:$BB$162,BO2442,0)+INDEX($BD$13:$BL$162,BP2442,0))/100))&gt;=$D$10:$L$10)),0)</f>
        <v/>
      </c>
      <c r="BR2442">
        <f>IF(2429&lt;$U$9,SUMPRODUCT(($D$10:$L$10&lt;&gt;"")*(($D$10:$L$10-($D$9:$L$9+INT(($S$12:$AA$12+INDEX($AJ$13:$AR$162,BN2442,0)+INDEX($AT$13:$BB$162,BO2442,0)+INDEX($BD$13:$BL$162,BP2442,0))/100)))&gt;0)*($D$10:$L$10-($D$9:$L$9+INT(($S$12:$AA$12+INDEX($AJ$13:$AR$162,BN2442,0)+INDEX($AT$13:$BB$162,BO2442,0)+INDEX($BD$13:$BL$162,BP2442,0))/100)))),0)</f>
        <v/>
      </c>
      <c r="BS2442">
        <f>IF(2429&lt;$U$9,SUMPRODUCT(($D$9:$L$9+INT(($S$12:$AA$12+INDEX($AJ$13:$AR$162,BN2442,0)+INDEX($AT$13:$BB$162,BO2442,0)+INDEX($BD$13:$BL$162,BP2442,0))/100))),0)</f>
        <v/>
      </c>
      <c r="BT2442">
        <f>IF(AND(2429&lt;$U$9,$W$5),BQ2442*1000000-MIN(BR2442,999)*1000+BS2442-2429/100000,-1000000000-2429)</f>
        <v/>
      </c>
    </row>
    <row r="2443">
      <c r="BN2443">
        <f>IF(2430&lt;$U$9,INT(2430/($U$7*$U$8))+1,1)</f>
        <v/>
      </c>
      <c r="BO2443">
        <f>IF(2430&lt;$U$9,MOD(INT(2430/$U$8),$U$7)+1,1)</f>
        <v/>
      </c>
      <c r="BP2443">
        <f>IF(2430&lt;$U$9,MOD(2430,$U$8)+1,1)</f>
        <v/>
      </c>
      <c r="BQ2443">
        <f>IF(2430&lt;$U$9,SUMPRODUCT(($D$10:$L$10&lt;&gt;"")*(($D$9:$L$9+INT(($S$12:$AA$12+INDEX($AJ$13:$AR$162,BN2443,0)+INDEX($AT$13:$BB$162,BO2443,0)+INDEX($BD$13:$BL$162,BP2443,0))/100))&gt;=$D$10:$L$10)),0)</f>
        <v/>
      </c>
      <c r="BR2443">
        <f>IF(2430&lt;$U$9,SUMPRODUCT(($D$10:$L$10&lt;&gt;"")*(($D$10:$L$10-($D$9:$L$9+INT(($S$12:$AA$12+INDEX($AJ$13:$AR$162,BN2443,0)+INDEX($AT$13:$BB$162,BO2443,0)+INDEX($BD$13:$BL$162,BP2443,0))/100)))&gt;0)*($D$10:$L$10-($D$9:$L$9+INT(($S$12:$AA$12+INDEX($AJ$13:$AR$162,BN2443,0)+INDEX($AT$13:$BB$162,BO2443,0)+INDEX($BD$13:$BL$162,BP2443,0))/100)))),0)</f>
        <v/>
      </c>
      <c r="BS2443">
        <f>IF(2430&lt;$U$9,SUMPRODUCT(($D$9:$L$9+INT(($S$12:$AA$12+INDEX($AJ$13:$AR$162,BN2443,0)+INDEX($AT$13:$BB$162,BO2443,0)+INDEX($BD$13:$BL$162,BP2443,0))/100))),0)</f>
        <v/>
      </c>
      <c r="BT2443">
        <f>IF(AND(2430&lt;$U$9,$W$5),BQ2443*1000000-MIN(BR2443,999)*1000+BS2443-2430/100000,-1000000000-2430)</f>
        <v/>
      </c>
    </row>
    <row r="2444">
      <c r="BN2444">
        <f>IF(2431&lt;$U$9,INT(2431/($U$7*$U$8))+1,1)</f>
        <v/>
      </c>
      <c r="BO2444">
        <f>IF(2431&lt;$U$9,MOD(INT(2431/$U$8),$U$7)+1,1)</f>
        <v/>
      </c>
      <c r="BP2444">
        <f>IF(2431&lt;$U$9,MOD(2431,$U$8)+1,1)</f>
        <v/>
      </c>
      <c r="BQ2444">
        <f>IF(2431&lt;$U$9,SUMPRODUCT(($D$10:$L$10&lt;&gt;"")*(($D$9:$L$9+INT(($S$12:$AA$12+INDEX($AJ$13:$AR$162,BN2444,0)+INDEX($AT$13:$BB$162,BO2444,0)+INDEX($BD$13:$BL$162,BP2444,0))/100))&gt;=$D$10:$L$10)),0)</f>
        <v/>
      </c>
      <c r="BR2444">
        <f>IF(2431&lt;$U$9,SUMPRODUCT(($D$10:$L$10&lt;&gt;"")*(($D$10:$L$10-($D$9:$L$9+INT(($S$12:$AA$12+INDEX($AJ$13:$AR$162,BN2444,0)+INDEX($AT$13:$BB$162,BO2444,0)+INDEX($BD$13:$BL$162,BP2444,0))/100)))&gt;0)*($D$10:$L$10-($D$9:$L$9+INT(($S$12:$AA$12+INDEX($AJ$13:$AR$162,BN2444,0)+INDEX($AT$13:$BB$162,BO2444,0)+INDEX($BD$13:$BL$162,BP2444,0))/100)))),0)</f>
        <v/>
      </c>
      <c r="BS2444">
        <f>IF(2431&lt;$U$9,SUMPRODUCT(($D$9:$L$9+INT(($S$12:$AA$12+INDEX($AJ$13:$AR$162,BN2444,0)+INDEX($AT$13:$BB$162,BO2444,0)+INDEX($BD$13:$BL$162,BP2444,0))/100))),0)</f>
        <v/>
      </c>
      <c r="BT2444">
        <f>IF(AND(2431&lt;$U$9,$W$5),BQ2444*1000000-MIN(BR2444,999)*1000+BS2444-2431/100000,-1000000000-2431)</f>
        <v/>
      </c>
    </row>
    <row r="2445">
      <c r="BN2445">
        <f>IF(2432&lt;$U$9,INT(2432/($U$7*$U$8))+1,1)</f>
        <v/>
      </c>
      <c r="BO2445">
        <f>IF(2432&lt;$U$9,MOD(INT(2432/$U$8),$U$7)+1,1)</f>
        <v/>
      </c>
      <c r="BP2445">
        <f>IF(2432&lt;$U$9,MOD(2432,$U$8)+1,1)</f>
        <v/>
      </c>
      <c r="BQ2445">
        <f>IF(2432&lt;$U$9,SUMPRODUCT(($D$10:$L$10&lt;&gt;"")*(($D$9:$L$9+INT(($S$12:$AA$12+INDEX($AJ$13:$AR$162,BN2445,0)+INDEX($AT$13:$BB$162,BO2445,0)+INDEX($BD$13:$BL$162,BP2445,0))/100))&gt;=$D$10:$L$10)),0)</f>
        <v/>
      </c>
      <c r="BR2445">
        <f>IF(2432&lt;$U$9,SUMPRODUCT(($D$10:$L$10&lt;&gt;"")*(($D$10:$L$10-($D$9:$L$9+INT(($S$12:$AA$12+INDEX($AJ$13:$AR$162,BN2445,0)+INDEX($AT$13:$BB$162,BO2445,0)+INDEX($BD$13:$BL$162,BP2445,0))/100)))&gt;0)*($D$10:$L$10-($D$9:$L$9+INT(($S$12:$AA$12+INDEX($AJ$13:$AR$162,BN2445,0)+INDEX($AT$13:$BB$162,BO2445,0)+INDEX($BD$13:$BL$162,BP2445,0))/100)))),0)</f>
        <v/>
      </c>
      <c r="BS2445">
        <f>IF(2432&lt;$U$9,SUMPRODUCT(($D$9:$L$9+INT(($S$12:$AA$12+INDEX($AJ$13:$AR$162,BN2445,0)+INDEX($AT$13:$BB$162,BO2445,0)+INDEX($BD$13:$BL$162,BP2445,0))/100))),0)</f>
        <v/>
      </c>
      <c r="BT2445">
        <f>IF(AND(2432&lt;$U$9,$W$5),BQ2445*1000000-MIN(BR2445,999)*1000+BS2445-2432/100000,-1000000000-2432)</f>
        <v/>
      </c>
    </row>
    <row r="2446">
      <c r="BN2446">
        <f>IF(2433&lt;$U$9,INT(2433/($U$7*$U$8))+1,1)</f>
        <v/>
      </c>
      <c r="BO2446">
        <f>IF(2433&lt;$U$9,MOD(INT(2433/$U$8),$U$7)+1,1)</f>
        <v/>
      </c>
      <c r="BP2446">
        <f>IF(2433&lt;$U$9,MOD(2433,$U$8)+1,1)</f>
        <v/>
      </c>
      <c r="BQ2446">
        <f>IF(2433&lt;$U$9,SUMPRODUCT(($D$10:$L$10&lt;&gt;"")*(($D$9:$L$9+INT(($S$12:$AA$12+INDEX($AJ$13:$AR$162,BN2446,0)+INDEX($AT$13:$BB$162,BO2446,0)+INDEX($BD$13:$BL$162,BP2446,0))/100))&gt;=$D$10:$L$10)),0)</f>
        <v/>
      </c>
      <c r="BR2446">
        <f>IF(2433&lt;$U$9,SUMPRODUCT(($D$10:$L$10&lt;&gt;"")*(($D$10:$L$10-($D$9:$L$9+INT(($S$12:$AA$12+INDEX($AJ$13:$AR$162,BN2446,0)+INDEX($AT$13:$BB$162,BO2446,0)+INDEX($BD$13:$BL$162,BP2446,0))/100)))&gt;0)*($D$10:$L$10-($D$9:$L$9+INT(($S$12:$AA$12+INDEX($AJ$13:$AR$162,BN2446,0)+INDEX($AT$13:$BB$162,BO2446,0)+INDEX($BD$13:$BL$162,BP2446,0))/100)))),0)</f>
        <v/>
      </c>
      <c r="BS2446">
        <f>IF(2433&lt;$U$9,SUMPRODUCT(($D$9:$L$9+INT(($S$12:$AA$12+INDEX($AJ$13:$AR$162,BN2446,0)+INDEX($AT$13:$BB$162,BO2446,0)+INDEX($BD$13:$BL$162,BP2446,0))/100))),0)</f>
        <v/>
      </c>
      <c r="BT2446">
        <f>IF(AND(2433&lt;$U$9,$W$5),BQ2446*1000000-MIN(BR2446,999)*1000+BS2446-2433/100000,-1000000000-2433)</f>
        <v/>
      </c>
    </row>
    <row r="2447">
      <c r="BN2447">
        <f>IF(2434&lt;$U$9,INT(2434/($U$7*$U$8))+1,1)</f>
        <v/>
      </c>
      <c r="BO2447">
        <f>IF(2434&lt;$U$9,MOD(INT(2434/$U$8),$U$7)+1,1)</f>
        <v/>
      </c>
      <c r="BP2447">
        <f>IF(2434&lt;$U$9,MOD(2434,$U$8)+1,1)</f>
        <v/>
      </c>
      <c r="BQ2447">
        <f>IF(2434&lt;$U$9,SUMPRODUCT(($D$10:$L$10&lt;&gt;"")*(($D$9:$L$9+INT(($S$12:$AA$12+INDEX($AJ$13:$AR$162,BN2447,0)+INDEX($AT$13:$BB$162,BO2447,0)+INDEX($BD$13:$BL$162,BP2447,0))/100))&gt;=$D$10:$L$10)),0)</f>
        <v/>
      </c>
      <c r="BR2447">
        <f>IF(2434&lt;$U$9,SUMPRODUCT(($D$10:$L$10&lt;&gt;"")*(($D$10:$L$10-($D$9:$L$9+INT(($S$12:$AA$12+INDEX($AJ$13:$AR$162,BN2447,0)+INDEX($AT$13:$BB$162,BO2447,0)+INDEX($BD$13:$BL$162,BP2447,0))/100)))&gt;0)*($D$10:$L$10-($D$9:$L$9+INT(($S$12:$AA$12+INDEX($AJ$13:$AR$162,BN2447,0)+INDEX($AT$13:$BB$162,BO2447,0)+INDEX($BD$13:$BL$162,BP2447,0))/100)))),0)</f>
        <v/>
      </c>
      <c r="BS2447">
        <f>IF(2434&lt;$U$9,SUMPRODUCT(($D$9:$L$9+INT(($S$12:$AA$12+INDEX($AJ$13:$AR$162,BN2447,0)+INDEX($AT$13:$BB$162,BO2447,0)+INDEX($BD$13:$BL$162,BP2447,0))/100))),0)</f>
        <v/>
      </c>
      <c r="BT2447">
        <f>IF(AND(2434&lt;$U$9,$W$5),BQ2447*1000000-MIN(BR2447,999)*1000+BS2447-2434/100000,-1000000000-2434)</f>
        <v/>
      </c>
    </row>
    <row r="2448">
      <c r="BN2448">
        <f>IF(2435&lt;$U$9,INT(2435/($U$7*$U$8))+1,1)</f>
        <v/>
      </c>
      <c r="BO2448">
        <f>IF(2435&lt;$U$9,MOD(INT(2435/$U$8),$U$7)+1,1)</f>
        <v/>
      </c>
      <c r="BP2448">
        <f>IF(2435&lt;$U$9,MOD(2435,$U$8)+1,1)</f>
        <v/>
      </c>
      <c r="BQ2448">
        <f>IF(2435&lt;$U$9,SUMPRODUCT(($D$10:$L$10&lt;&gt;"")*(($D$9:$L$9+INT(($S$12:$AA$12+INDEX($AJ$13:$AR$162,BN2448,0)+INDEX($AT$13:$BB$162,BO2448,0)+INDEX($BD$13:$BL$162,BP2448,0))/100))&gt;=$D$10:$L$10)),0)</f>
        <v/>
      </c>
      <c r="BR2448">
        <f>IF(2435&lt;$U$9,SUMPRODUCT(($D$10:$L$10&lt;&gt;"")*(($D$10:$L$10-($D$9:$L$9+INT(($S$12:$AA$12+INDEX($AJ$13:$AR$162,BN2448,0)+INDEX($AT$13:$BB$162,BO2448,0)+INDEX($BD$13:$BL$162,BP2448,0))/100)))&gt;0)*($D$10:$L$10-($D$9:$L$9+INT(($S$12:$AA$12+INDEX($AJ$13:$AR$162,BN2448,0)+INDEX($AT$13:$BB$162,BO2448,0)+INDEX($BD$13:$BL$162,BP2448,0))/100)))),0)</f>
        <v/>
      </c>
      <c r="BS2448">
        <f>IF(2435&lt;$U$9,SUMPRODUCT(($D$9:$L$9+INT(($S$12:$AA$12+INDEX($AJ$13:$AR$162,BN2448,0)+INDEX($AT$13:$BB$162,BO2448,0)+INDEX($BD$13:$BL$162,BP2448,0))/100))),0)</f>
        <v/>
      </c>
      <c r="BT2448">
        <f>IF(AND(2435&lt;$U$9,$W$5),BQ2448*1000000-MIN(BR2448,999)*1000+BS2448-2435/100000,-1000000000-2435)</f>
        <v/>
      </c>
    </row>
    <row r="2449">
      <c r="BN2449">
        <f>IF(2436&lt;$U$9,INT(2436/($U$7*$U$8))+1,1)</f>
        <v/>
      </c>
      <c r="BO2449">
        <f>IF(2436&lt;$U$9,MOD(INT(2436/$U$8),$U$7)+1,1)</f>
        <v/>
      </c>
      <c r="BP2449">
        <f>IF(2436&lt;$U$9,MOD(2436,$U$8)+1,1)</f>
        <v/>
      </c>
      <c r="BQ2449">
        <f>IF(2436&lt;$U$9,SUMPRODUCT(($D$10:$L$10&lt;&gt;"")*(($D$9:$L$9+INT(($S$12:$AA$12+INDEX($AJ$13:$AR$162,BN2449,0)+INDEX($AT$13:$BB$162,BO2449,0)+INDEX($BD$13:$BL$162,BP2449,0))/100))&gt;=$D$10:$L$10)),0)</f>
        <v/>
      </c>
      <c r="BR2449">
        <f>IF(2436&lt;$U$9,SUMPRODUCT(($D$10:$L$10&lt;&gt;"")*(($D$10:$L$10-($D$9:$L$9+INT(($S$12:$AA$12+INDEX($AJ$13:$AR$162,BN2449,0)+INDEX($AT$13:$BB$162,BO2449,0)+INDEX($BD$13:$BL$162,BP2449,0))/100)))&gt;0)*($D$10:$L$10-($D$9:$L$9+INT(($S$12:$AA$12+INDEX($AJ$13:$AR$162,BN2449,0)+INDEX($AT$13:$BB$162,BO2449,0)+INDEX($BD$13:$BL$162,BP2449,0))/100)))),0)</f>
        <v/>
      </c>
      <c r="BS2449">
        <f>IF(2436&lt;$U$9,SUMPRODUCT(($D$9:$L$9+INT(($S$12:$AA$12+INDEX($AJ$13:$AR$162,BN2449,0)+INDEX($AT$13:$BB$162,BO2449,0)+INDEX($BD$13:$BL$162,BP2449,0))/100))),0)</f>
        <v/>
      </c>
      <c r="BT2449">
        <f>IF(AND(2436&lt;$U$9,$W$5),BQ2449*1000000-MIN(BR2449,999)*1000+BS2449-2436/100000,-1000000000-2436)</f>
        <v/>
      </c>
    </row>
    <row r="2450">
      <c r="BN2450">
        <f>IF(2437&lt;$U$9,INT(2437/($U$7*$U$8))+1,1)</f>
        <v/>
      </c>
      <c r="BO2450">
        <f>IF(2437&lt;$U$9,MOD(INT(2437/$U$8),$U$7)+1,1)</f>
        <v/>
      </c>
      <c r="BP2450">
        <f>IF(2437&lt;$U$9,MOD(2437,$U$8)+1,1)</f>
        <v/>
      </c>
      <c r="BQ2450">
        <f>IF(2437&lt;$U$9,SUMPRODUCT(($D$10:$L$10&lt;&gt;"")*(($D$9:$L$9+INT(($S$12:$AA$12+INDEX($AJ$13:$AR$162,BN2450,0)+INDEX($AT$13:$BB$162,BO2450,0)+INDEX($BD$13:$BL$162,BP2450,0))/100))&gt;=$D$10:$L$10)),0)</f>
        <v/>
      </c>
      <c r="BR2450">
        <f>IF(2437&lt;$U$9,SUMPRODUCT(($D$10:$L$10&lt;&gt;"")*(($D$10:$L$10-($D$9:$L$9+INT(($S$12:$AA$12+INDEX($AJ$13:$AR$162,BN2450,0)+INDEX($AT$13:$BB$162,BO2450,0)+INDEX($BD$13:$BL$162,BP2450,0))/100)))&gt;0)*($D$10:$L$10-($D$9:$L$9+INT(($S$12:$AA$12+INDEX($AJ$13:$AR$162,BN2450,0)+INDEX($AT$13:$BB$162,BO2450,0)+INDEX($BD$13:$BL$162,BP2450,0))/100)))),0)</f>
        <v/>
      </c>
      <c r="BS2450">
        <f>IF(2437&lt;$U$9,SUMPRODUCT(($D$9:$L$9+INT(($S$12:$AA$12+INDEX($AJ$13:$AR$162,BN2450,0)+INDEX($AT$13:$BB$162,BO2450,0)+INDEX($BD$13:$BL$162,BP2450,0))/100))),0)</f>
        <v/>
      </c>
      <c r="BT2450">
        <f>IF(AND(2437&lt;$U$9,$W$5),BQ2450*1000000-MIN(BR2450,999)*1000+BS2450-2437/100000,-1000000000-2437)</f>
        <v/>
      </c>
    </row>
    <row r="2451">
      <c r="BN2451">
        <f>IF(2438&lt;$U$9,INT(2438/($U$7*$U$8))+1,1)</f>
        <v/>
      </c>
      <c r="BO2451">
        <f>IF(2438&lt;$U$9,MOD(INT(2438/$U$8),$U$7)+1,1)</f>
        <v/>
      </c>
      <c r="BP2451">
        <f>IF(2438&lt;$U$9,MOD(2438,$U$8)+1,1)</f>
        <v/>
      </c>
      <c r="BQ2451">
        <f>IF(2438&lt;$U$9,SUMPRODUCT(($D$10:$L$10&lt;&gt;"")*(($D$9:$L$9+INT(($S$12:$AA$12+INDEX($AJ$13:$AR$162,BN2451,0)+INDEX($AT$13:$BB$162,BO2451,0)+INDEX($BD$13:$BL$162,BP2451,0))/100))&gt;=$D$10:$L$10)),0)</f>
        <v/>
      </c>
      <c r="BR2451">
        <f>IF(2438&lt;$U$9,SUMPRODUCT(($D$10:$L$10&lt;&gt;"")*(($D$10:$L$10-($D$9:$L$9+INT(($S$12:$AA$12+INDEX($AJ$13:$AR$162,BN2451,0)+INDEX($AT$13:$BB$162,BO2451,0)+INDEX($BD$13:$BL$162,BP2451,0))/100)))&gt;0)*($D$10:$L$10-($D$9:$L$9+INT(($S$12:$AA$12+INDEX($AJ$13:$AR$162,BN2451,0)+INDEX($AT$13:$BB$162,BO2451,0)+INDEX($BD$13:$BL$162,BP2451,0))/100)))),0)</f>
        <v/>
      </c>
      <c r="BS2451">
        <f>IF(2438&lt;$U$9,SUMPRODUCT(($D$9:$L$9+INT(($S$12:$AA$12+INDEX($AJ$13:$AR$162,BN2451,0)+INDEX($AT$13:$BB$162,BO2451,0)+INDEX($BD$13:$BL$162,BP2451,0))/100))),0)</f>
        <v/>
      </c>
      <c r="BT2451">
        <f>IF(AND(2438&lt;$U$9,$W$5),BQ2451*1000000-MIN(BR2451,999)*1000+BS2451-2438/100000,-1000000000-2438)</f>
        <v/>
      </c>
    </row>
    <row r="2452">
      <c r="BN2452">
        <f>IF(2439&lt;$U$9,INT(2439/($U$7*$U$8))+1,1)</f>
        <v/>
      </c>
      <c r="BO2452">
        <f>IF(2439&lt;$U$9,MOD(INT(2439/$U$8),$U$7)+1,1)</f>
        <v/>
      </c>
      <c r="BP2452">
        <f>IF(2439&lt;$U$9,MOD(2439,$U$8)+1,1)</f>
        <v/>
      </c>
      <c r="BQ2452">
        <f>IF(2439&lt;$U$9,SUMPRODUCT(($D$10:$L$10&lt;&gt;"")*(($D$9:$L$9+INT(($S$12:$AA$12+INDEX($AJ$13:$AR$162,BN2452,0)+INDEX($AT$13:$BB$162,BO2452,0)+INDEX($BD$13:$BL$162,BP2452,0))/100))&gt;=$D$10:$L$10)),0)</f>
        <v/>
      </c>
      <c r="BR2452">
        <f>IF(2439&lt;$U$9,SUMPRODUCT(($D$10:$L$10&lt;&gt;"")*(($D$10:$L$10-($D$9:$L$9+INT(($S$12:$AA$12+INDEX($AJ$13:$AR$162,BN2452,0)+INDEX($AT$13:$BB$162,BO2452,0)+INDEX($BD$13:$BL$162,BP2452,0))/100)))&gt;0)*($D$10:$L$10-($D$9:$L$9+INT(($S$12:$AA$12+INDEX($AJ$13:$AR$162,BN2452,0)+INDEX($AT$13:$BB$162,BO2452,0)+INDEX($BD$13:$BL$162,BP2452,0))/100)))),0)</f>
        <v/>
      </c>
      <c r="BS2452">
        <f>IF(2439&lt;$U$9,SUMPRODUCT(($D$9:$L$9+INT(($S$12:$AA$12+INDEX($AJ$13:$AR$162,BN2452,0)+INDEX($AT$13:$BB$162,BO2452,0)+INDEX($BD$13:$BL$162,BP2452,0))/100))),0)</f>
        <v/>
      </c>
      <c r="BT2452">
        <f>IF(AND(2439&lt;$U$9,$W$5),BQ2452*1000000-MIN(BR2452,999)*1000+BS2452-2439/100000,-1000000000-2439)</f>
        <v/>
      </c>
    </row>
    <row r="2453">
      <c r="BN2453">
        <f>IF(2440&lt;$U$9,INT(2440/($U$7*$U$8))+1,1)</f>
        <v/>
      </c>
      <c r="BO2453">
        <f>IF(2440&lt;$U$9,MOD(INT(2440/$U$8),$U$7)+1,1)</f>
        <v/>
      </c>
      <c r="BP2453">
        <f>IF(2440&lt;$U$9,MOD(2440,$U$8)+1,1)</f>
        <v/>
      </c>
      <c r="BQ2453">
        <f>IF(2440&lt;$U$9,SUMPRODUCT(($D$10:$L$10&lt;&gt;"")*(($D$9:$L$9+INT(($S$12:$AA$12+INDEX($AJ$13:$AR$162,BN2453,0)+INDEX($AT$13:$BB$162,BO2453,0)+INDEX($BD$13:$BL$162,BP2453,0))/100))&gt;=$D$10:$L$10)),0)</f>
        <v/>
      </c>
      <c r="BR2453">
        <f>IF(2440&lt;$U$9,SUMPRODUCT(($D$10:$L$10&lt;&gt;"")*(($D$10:$L$10-($D$9:$L$9+INT(($S$12:$AA$12+INDEX($AJ$13:$AR$162,BN2453,0)+INDEX($AT$13:$BB$162,BO2453,0)+INDEX($BD$13:$BL$162,BP2453,0))/100)))&gt;0)*($D$10:$L$10-($D$9:$L$9+INT(($S$12:$AA$12+INDEX($AJ$13:$AR$162,BN2453,0)+INDEX($AT$13:$BB$162,BO2453,0)+INDEX($BD$13:$BL$162,BP2453,0))/100)))),0)</f>
        <v/>
      </c>
      <c r="BS2453">
        <f>IF(2440&lt;$U$9,SUMPRODUCT(($D$9:$L$9+INT(($S$12:$AA$12+INDEX($AJ$13:$AR$162,BN2453,0)+INDEX($AT$13:$BB$162,BO2453,0)+INDEX($BD$13:$BL$162,BP2453,0))/100))),0)</f>
        <v/>
      </c>
      <c r="BT2453">
        <f>IF(AND(2440&lt;$U$9,$W$5),BQ2453*1000000-MIN(BR2453,999)*1000+BS2453-2440/100000,-1000000000-2440)</f>
        <v/>
      </c>
    </row>
    <row r="2454">
      <c r="BN2454">
        <f>IF(2441&lt;$U$9,INT(2441/($U$7*$U$8))+1,1)</f>
        <v/>
      </c>
      <c r="BO2454">
        <f>IF(2441&lt;$U$9,MOD(INT(2441/$U$8),$U$7)+1,1)</f>
        <v/>
      </c>
      <c r="BP2454">
        <f>IF(2441&lt;$U$9,MOD(2441,$U$8)+1,1)</f>
        <v/>
      </c>
      <c r="BQ2454">
        <f>IF(2441&lt;$U$9,SUMPRODUCT(($D$10:$L$10&lt;&gt;"")*(($D$9:$L$9+INT(($S$12:$AA$12+INDEX($AJ$13:$AR$162,BN2454,0)+INDEX($AT$13:$BB$162,BO2454,0)+INDEX($BD$13:$BL$162,BP2454,0))/100))&gt;=$D$10:$L$10)),0)</f>
        <v/>
      </c>
      <c r="BR2454">
        <f>IF(2441&lt;$U$9,SUMPRODUCT(($D$10:$L$10&lt;&gt;"")*(($D$10:$L$10-($D$9:$L$9+INT(($S$12:$AA$12+INDEX($AJ$13:$AR$162,BN2454,0)+INDEX($AT$13:$BB$162,BO2454,0)+INDEX($BD$13:$BL$162,BP2454,0))/100)))&gt;0)*($D$10:$L$10-($D$9:$L$9+INT(($S$12:$AA$12+INDEX($AJ$13:$AR$162,BN2454,0)+INDEX($AT$13:$BB$162,BO2454,0)+INDEX($BD$13:$BL$162,BP2454,0))/100)))),0)</f>
        <v/>
      </c>
      <c r="BS2454">
        <f>IF(2441&lt;$U$9,SUMPRODUCT(($D$9:$L$9+INT(($S$12:$AA$12+INDEX($AJ$13:$AR$162,BN2454,0)+INDEX($AT$13:$BB$162,BO2454,0)+INDEX($BD$13:$BL$162,BP2454,0))/100))),0)</f>
        <v/>
      </c>
      <c r="BT2454">
        <f>IF(AND(2441&lt;$U$9,$W$5),BQ2454*1000000-MIN(BR2454,999)*1000+BS2454-2441/100000,-1000000000-2441)</f>
        <v/>
      </c>
    </row>
    <row r="2455">
      <c r="BN2455">
        <f>IF(2442&lt;$U$9,INT(2442/($U$7*$U$8))+1,1)</f>
        <v/>
      </c>
      <c r="BO2455">
        <f>IF(2442&lt;$U$9,MOD(INT(2442/$U$8),$U$7)+1,1)</f>
        <v/>
      </c>
      <c r="BP2455">
        <f>IF(2442&lt;$U$9,MOD(2442,$U$8)+1,1)</f>
        <v/>
      </c>
      <c r="BQ2455">
        <f>IF(2442&lt;$U$9,SUMPRODUCT(($D$10:$L$10&lt;&gt;"")*(($D$9:$L$9+INT(($S$12:$AA$12+INDEX($AJ$13:$AR$162,BN2455,0)+INDEX($AT$13:$BB$162,BO2455,0)+INDEX($BD$13:$BL$162,BP2455,0))/100))&gt;=$D$10:$L$10)),0)</f>
        <v/>
      </c>
      <c r="BR2455">
        <f>IF(2442&lt;$U$9,SUMPRODUCT(($D$10:$L$10&lt;&gt;"")*(($D$10:$L$10-($D$9:$L$9+INT(($S$12:$AA$12+INDEX($AJ$13:$AR$162,BN2455,0)+INDEX($AT$13:$BB$162,BO2455,0)+INDEX($BD$13:$BL$162,BP2455,0))/100)))&gt;0)*($D$10:$L$10-($D$9:$L$9+INT(($S$12:$AA$12+INDEX($AJ$13:$AR$162,BN2455,0)+INDEX($AT$13:$BB$162,BO2455,0)+INDEX($BD$13:$BL$162,BP2455,0))/100)))),0)</f>
        <v/>
      </c>
      <c r="BS2455">
        <f>IF(2442&lt;$U$9,SUMPRODUCT(($D$9:$L$9+INT(($S$12:$AA$12+INDEX($AJ$13:$AR$162,BN2455,0)+INDEX($AT$13:$BB$162,BO2455,0)+INDEX($BD$13:$BL$162,BP2455,0))/100))),0)</f>
        <v/>
      </c>
      <c r="BT2455">
        <f>IF(AND(2442&lt;$U$9,$W$5),BQ2455*1000000-MIN(BR2455,999)*1000+BS2455-2442/100000,-1000000000-2442)</f>
        <v/>
      </c>
    </row>
    <row r="2456">
      <c r="BN2456">
        <f>IF(2443&lt;$U$9,INT(2443/($U$7*$U$8))+1,1)</f>
        <v/>
      </c>
      <c r="BO2456">
        <f>IF(2443&lt;$U$9,MOD(INT(2443/$U$8),$U$7)+1,1)</f>
        <v/>
      </c>
      <c r="BP2456">
        <f>IF(2443&lt;$U$9,MOD(2443,$U$8)+1,1)</f>
        <v/>
      </c>
      <c r="BQ2456">
        <f>IF(2443&lt;$U$9,SUMPRODUCT(($D$10:$L$10&lt;&gt;"")*(($D$9:$L$9+INT(($S$12:$AA$12+INDEX($AJ$13:$AR$162,BN2456,0)+INDEX($AT$13:$BB$162,BO2456,0)+INDEX($BD$13:$BL$162,BP2456,0))/100))&gt;=$D$10:$L$10)),0)</f>
        <v/>
      </c>
      <c r="BR2456">
        <f>IF(2443&lt;$U$9,SUMPRODUCT(($D$10:$L$10&lt;&gt;"")*(($D$10:$L$10-($D$9:$L$9+INT(($S$12:$AA$12+INDEX($AJ$13:$AR$162,BN2456,0)+INDEX($AT$13:$BB$162,BO2456,0)+INDEX($BD$13:$BL$162,BP2456,0))/100)))&gt;0)*($D$10:$L$10-($D$9:$L$9+INT(($S$12:$AA$12+INDEX($AJ$13:$AR$162,BN2456,0)+INDEX($AT$13:$BB$162,BO2456,0)+INDEX($BD$13:$BL$162,BP2456,0))/100)))),0)</f>
        <v/>
      </c>
      <c r="BS2456">
        <f>IF(2443&lt;$U$9,SUMPRODUCT(($D$9:$L$9+INT(($S$12:$AA$12+INDEX($AJ$13:$AR$162,BN2456,0)+INDEX($AT$13:$BB$162,BO2456,0)+INDEX($BD$13:$BL$162,BP2456,0))/100))),0)</f>
        <v/>
      </c>
      <c r="BT2456">
        <f>IF(AND(2443&lt;$U$9,$W$5),BQ2456*1000000-MIN(BR2456,999)*1000+BS2456-2443/100000,-1000000000-2443)</f>
        <v/>
      </c>
    </row>
    <row r="2457">
      <c r="BN2457">
        <f>IF(2444&lt;$U$9,INT(2444/($U$7*$U$8))+1,1)</f>
        <v/>
      </c>
      <c r="BO2457">
        <f>IF(2444&lt;$U$9,MOD(INT(2444/$U$8),$U$7)+1,1)</f>
        <v/>
      </c>
      <c r="BP2457">
        <f>IF(2444&lt;$U$9,MOD(2444,$U$8)+1,1)</f>
        <v/>
      </c>
      <c r="BQ2457">
        <f>IF(2444&lt;$U$9,SUMPRODUCT(($D$10:$L$10&lt;&gt;"")*(($D$9:$L$9+INT(($S$12:$AA$12+INDEX($AJ$13:$AR$162,BN2457,0)+INDEX($AT$13:$BB$162,BO2457,0)+INDEX($BD$13:$BL$162,BP2457,0))/100))&gt;=$D$10:$L$10)),0)</f>
        <v/>
      </c>
      <c r="BR2457">
        <f>IF(2444&lt;$U$9,SUMPRODUCT(($D$10:$L$10&lt;&gt;"")*(($D$10:$L$10-($D$9:$L$9+INT(($S$12:$AA$12+INDEX($AJ$13:$AR$162,BN2457,0)+INDEX($AT$13:$BB$162,BO2457,0)+INDEX($BD$13:$BL$162,BP2457,0))/100)))&gt;0)*($D$10:$L$10-($D$9:$L$9+INT(($S$12:$AA$12+INDEX($AJ$13:$AR$162,BN2457,0)+INDEX($AT$13:$BB$162,BO2457,0)+INDEX($BD$13:$BL$162,BP2457,0))/100)))),0)</f>
        <v/>
      </c>
      <c r="BS2457">
        <f>IF(2444&lt;$U$9,SUMPRODUCT(($D$9:$L$9+INT(($S$12:$AA$12+INDEX($AJ$13:$AR$162,BN2457,0)+INDEX($AT$13:$BB$162,BO2457,0)+INDEX($BD$13:$BL$162,BP2457,0))/100))),0)</f>
        <v/>
      </c>
      <c r="BT2457">
        <f>IF(AND(2444&lt;$U$9,$W$5),BQ2457*1000000-MIN(BR2457,999)*1000+BS2457-2444/100000,-1000000000-2444)</f>
        <v/>
      </c>
    </row>
    <row r="2458">
      <c r="BN2458">
        <f>IF(2445&lt;$U$9,INT(2445/($U$7*$U$8))+1,1)</f>
        <v/>
      </c>
      <c r="BO2458">
        <f>IF(2445&lt;$U$9,MOD(INT(2445/$U$8),$U$7)+1,1)</f>
        <v/>
      </c>
      <c r="BP2458">
        <f>IF(2445&lt;$U$9,MOD(2445,$U$8)+1,1)</f>
        <v/>
      </c>
      <c r="BQ2458">
        <f>IF(2445&lt;$U$9,SUMPRODUCT(($D$10:$L$10&lt;&gt;"")*(($D$9:$L$9+INT(($S$12:$AA$12+INDEX($AJ$13:$AR$162,BN2458,0)+INDEX($AT$13:$BB$162,BO2458,0)+INDEX($BD$13:$BL$162,BP2458,0))/100))&gt;=$D$10:$L$10)),0)</f>
        <v/>
      </c>
      <c r="BR2458">
        <f>IF(2445&lt;$U$9,SUMPRODUCT(($D$10:$L$10&lt;&gt;"")*(($D$10:$L$10-($D$9:$L$9+INT(($S$12:$AA$12+INDEX($AJ$13:$AR$162,BN2458,0)+INDEX($AT$13:$BB$162,BO2458,0)+INDEX($BD$13:$BL$162,BP2458,0))/100)))&gt;0)*($D$10:$L$10-($D$9:$L$9+INT(($S$12:$AA$12+INDEX($AJ$13:$AR$162,BN2458,0)+INDEX($AT$13:$BB$162,BO2458,0)+INDEX($BD$13:$BL$162,BP2458,0))/100)))),0)</f>
        <v/>
      </c>
      <c r="BS2458">
        <f>IF(2445&lt;$U$9,SUMPRODUCT(($D$9:$L$9+INT(($S$12:$AA$12+INDEX($AJ$13:$AR$162,BN2458,0)+INDEX($AT$13:$BB$162,BO2458,0)+INDEX($BD$13:$BL$162,BP2458,0))/100))),0)</f>
        <v/>
      </c>
      <c r="BT2458">
        <f>IF(AND(2445&lt;$U$9,$W$5),BQ2458*1000000-MIN(BR2458,999)*1000+BS2458-2445/100000,-1000000000-2445)</f>
        <v/>
      </c>
    </row>
    <row r="2459">
      <c r="BN2459">
        <f>IF(2446&lt;$U$9,INT(2446/($U$7*$U$8))+1,1)</f>
        <v/>
      </c>
      <c r="BO2459">
        <f>IF(2446&lt;$U$9,MOD(INT(2446/$U$8),$U$7)+1,1)</f>
        <v/>
      </c>
      <c r="BP2459">
        <f>IF(2446&lt;$U$9,MOD(2446,$U$8)+1,1)</f>
        <v/>
      </c>
      <c r="BQ2459">
        <f>IF(2446&lt;$U$9,SUMPRODUCT(($D$10:$L$10&lt;&gt;"")*(($D$9:$L$9+INT(($S$12:$AA$12+INDEX($AJ$13:$AR$162,BN2459,0)+INDEX($AT$13:$BB$162,BO2459,0)+INDEX($BD$13:$BL$162,BP2459,0))/100))&gt;=$D$10:$L$10)),0)</f>
        <v/>
      </c>
      <c r="BR2459">
        <f>IF(2446&lt;$U$9,SUMPRODUCT(($D$10:$L$10&lt;&gt;"")*(($D$10:$L$10-($D$9:$L$9+INT(($S$12:$AA$12+INDEX($AJ$13:$AR$162,BN2459,0)+INDEX($AT$13:$BB$162,BO2459,0)+INDEX($BD$13:$BL$162,BP2459,0))/100)))&gt;0)*($D$10:$L$10-($D$9:$L$9+INT(($S$12:$AA$12+INDEX($AJ$13:$AR$162,BN2459,0)+INDEX($AT$13:$BB$162,BO2459,0)+INDEX($BD$13:$BL$162,BP2459,0))/100)))),0)</f>
        <v/>
      </c>
      <c r="BS2459">
        <f>IF(2446&lt;$U$9,SUMPRODUCT(($D$9:$L$9+INT(($S$12:$AA$12+INDEX($AJ$13:$AR$162,BN2459,0)+INDEX($AT$13:$BB$162,BO2459,0)+INDEX($BD$13:$BL$162,BP2459,0))/100))),0)</f>
        <v/>
      </c>
      <c r="BT2459">
        <f>IF(AND(2446&lt;$U$9,$W$5),BQ2459*1000000-MIN(BR2459,999)*1000+BS2459-2446/100000,-1000000000-2446)</f>
        <v/>
      </c>
    </row>
    <row r="2460">
      <c r="BN2460">
        <f>IF(2447&lt;$U$9,INT(2447/($U$7*$U$8))+1,1)</f>
        <v/>
      </c>
      <c r="BO2460">
        <f>IF(2447&lt;$U$9,MOD(INT(2447/$U$8),$U$7)+1,1)</f>
        <v/>
      </c>
      <c r="BP2460">
        <f>IF(2447&lt;$U$9,MOD(2447,$U$8)+1,1)</f>
        <v/>
      </c>
      <c r="BQ2460">
        <f>IF(2447&lt;$U$9,SUMPRODUCT(($D$10:$L$10&lt;&gt;"")*(($D$9:$L$9+INT(($S$12:$AA$12+INDEX($AJ$13:$AR$162,BN2460,0)+INDEX($AT$13:$BB$162,BO2460,0)+INDEX($BD$13:$BL$162,BP2460,0))/100))&gt;=$D$10:$L$10)),0)</f>
        <v/>
      </c>
      <c r="BR2460">
        <f>IF(2447&lt;$U$9,SUMPRODUCT(($D$10:$L$10&lt;&gt;"")*(($D$10:$L$10-($D$9:$L$9+INT(($S$12:$AA$12+INDEX($AJ$13:$AR$162,BN2460,0)+INDEX($AT$13:$BB$162,BO2460,0)+INDEX($BD$13:$BL$162,BP2460,0))/100)))&gt;0)*($D$10:$L$10-($D$9:$L$9+INT(($S$12:$AA$12+INDEX($AJ$13:$AR$162,BN2460,0)+INDEX($AT$13:$BB$162,BO2460,0)+INDEX($BD$13:$BL$162,BP2460,0))/100)))),0)</f>
        <v/>
      </c>
      <c r="BS2460">
        <f>IF(2447&lt;$U$9,SUMPRODUCT(($D$9:$L$9+INT(($S$12:$AA$12+INDEX($AJ$13:$AR$162,BN2460,0)+INDEX($AT$13:$BB$162,BO2460,0)+INDEX($BD$13:$BL$162,BP2460,0))/100))),0)</f>
        <v/>
      </c>
      <c r="BT2460">
        <f>IF(AND(2447&lt;$U$9,$W$5),BQ2460*1000000-MIN(BR2460,999)*1000+BS2460-2447/100000,-1000000000-2447)</f>
        <v/>
      </c>
    </row>
    <row r="2461">
      <c r="BN2461">
        <f>IF(2448&lt;$U$9,INT(2448/($U$7*$U$8))+1,1)</f>
        <v/>
      </c>
      <c r="BO2461">
        <f>IF(2448&lt;$U$9,MOD(INT(2448/$U$8),$U$7)+1,1)</f>
        <v/>
      </c>
      <c r="BP2461">
        <f>IF(2448&lt;$U$9,MOD(2448,$U$8)+1,1)</f>
        <v/>
      </c>
      <c r="BQ2461">
        <f>IF(2448&lt;$U$9,SUMPRODUCT(($D$10:$L$10&lt;&gt;"")*(($D$9:$L$9+INT(($S$12:$AA$12+INDEX($AJ$13:$AR$162,BN2461,0)+INDEX($AT$13:$BB$162,BO2461,0)+INDEX($BD$13:$BL$162,BP2461,0))/100))&gt;=$D$10:$L$10)),0)</f>
        <v/>
      </c>
      <c r="BR2461">
        <f>IF(2448&lt;$U$9,SUMPRODUCT(($D$10:$L$10&lt;&gt;"")*(($D$10:$L$10-($D$9:$L$9+INT(($S$12:$AA$12+INDEX($AJ$13:$AR$162,BN2461,0)+INDEX($AT$13:$BB$162,BO2461,0)+INDEX($BD$13:$BL$162,BP2461,0))/100)))&gt;0)*($D$10:$L$10-($D$9:$L$9+INT(($S$12:$AA$12+INDEX($AJ$13:$AR$162,BN2461,0)+INDEX($AT$13:$BB$162,BO2461,0)+INDEX($BD$13:$BL$162,BP2461,0))/100)))),0)</f>
        <v/>
      </c>
      <c r="BS2461">
        <f>IF(2448&lt;$U$9,SUMPRODUCT(($D$9:$L$9+INT(($S$12:$AA$12+INDEX($AJ$13:$AR$162,BN2461,0)+INDEX($AT$13:$BB$162,BO2461,0)+INDEX($BD$13:$BL$162,BP2461,0))/100))),0)</f>
        <v/>
      </c>
      <c r="BT2461">
        <f>IF(AND(2448&lt;$U$9,$W$5),BQ2461*1000000-MIN(BR2461,999)*1000+BS2461-2448/100000,-1000000000-2448)</f>
        <v/>
      </c>
    </row>
    <row r="2462">
      <c r="BN2462">
        <f>IF(2449&lt;$U$9,INT(2449/($U$7*$U$8))+1,1)</f>
        <v/>
      </c>
      <c r="BO2462">
        <f>IF(2449&lt;$U$9,MOD(INT(2449/$U$8),$U$7)+1,1)</f>
        <v/>
      </c>
      <c r="BP2462">
        <f>IF(2449&lt;$U$9,MOD(2449,$U$8)+1,1)</f>
        <v/>
      </c>
      <c r="BQ2462">
        <f>IF(2449&lt;$U$9,SUMPRODUCT(($D$10:$L$10&lt;&gt;"")*(($D$9:$L$9+INT(($S$12:$AA$12+INDEX($AJ$13:$AR$162,BN2462,0)+INDEX($AT$13:$BB$162,BO2462,0)+INDEX($BD$13:$BL$162,BP2462,0))/100))&gt;=$D$10:$L$10)),0)</f>
        <v/>
      </c>
      <c r="BR2462">
        <f>IF(2449&lt;$U$9,SUMPRODUCT(($D$10:$L$10&lt;&gt;"")*(($D$10:$L$10-($D$9:$L$9+INT(($S$12:$AA$12+INDEX($AJ$13:$AR$162,BN2462,0)+INDEX($AT$13:$BB$162,BO2462,0)+INDEX($BD$13:$BL$162,BP2462,0))/100)))&gt;0)*($D$10:$L$10-($D$9:$L$9+INT(($S$12:$AA$12+INDEX($AJ$13:$AR$162,BN2462,0)+INDEX($AT$13:$BB$162,BO2462,0)+INDEX($BD$13:$BL$162,BP2462,0))/100)))),0)</f>
        <v/>
      </c>
      <c r="BS2462">
        <f>IF(2449&lt;$U$9,SUMPRODUCT(($D$9:$L$9+INT(($S$12:$AA$12+INDEX($AJ$13:$AR$162,BN2462,0)+INDEX($AT$13:$BB$162,BO2462,0)+INDEX($BD$13:$BL$162,BP2462,0))/100))),0)</f>
        <v/>
      </c>
      <c r="BT2462">
        <f>IF(AND(2449&lt;$U$9,$W$5),BQ2462*1000000-MIN(BR2462,999)*1000+BS2462-2449/100000,-1000000000-2449)</f>
        <v/>
      </c>
    </row>
    <row r="2463">
      <c r="BN2463">
        <f>IF(2450&lt;$U$9,INT(2450/($U$7*$U$8))+1,1)</f>
        <v/>
      </c>
      <c r="BO2463">
        <f>IF(2450&lt;$U$9,MOD(INT(2450/$U$8),$U$7)+1,1)</f>
        <v/>
      </c>
      <c r="BP2463">
        <f>IF(2450&lt;$U$9,MOD(2450,$U$8)+1,1)</f>
        <v/>
      </c>
      <c r="BQ2463">
        <f>IF(2450&lt;$U$9,SUMPRODUCT(($D$10:$L$10&lt;&gt;"")*(($D$9:$L$9+INT(($S$12:$AA$12+INDEX($AJ$13:$AR$162,BN2463,0)+INDEX($AT$13:$BB$162,BO2463,0)+INDEX($BD$13:$BL$162,BP2463,0))/100))&gt;=$D$10:$L$10)),0)</f>
        <v/>
      </c>
      <c r="BR2463">
        <f>IF(2450&lt;$U$9,SUMPRODUCT(($D$10:$L$10&lt;&gt;"")*(($D$10:$L$10-($D$9:$L$9+INT(($S$12:$AA$12+INDEX($AJ$13:$AR$162,BN2463,0)+INDEX($AT$13:$BB$162,BO2463,0)+INDEX($BD$13:$BL$162,BP2463,0))/100)))&gt;0)*($D$10:$L$10-($D$9:$L$9+INT(($S$12:$AA$12+INDEX($AJ$13:$AR$162,BN2463,0)+INDEX($AT$13:$BB$162,BO2463,0)+INDEX($BD$13:$BL$162,BP2463,0))/100)))),0)</f>
        <v/>
      </c>
      <c r="BS2463">
        <f>IF(2450&lt;$U$9,SUMPRODUCT(($D$9:$L$9+INT(($S$12:$AA$12+INDEX($AJ$13:$AR$162,BN2463,0)+INDEX($AT$13:$BB$162,BO2463,0)+INDEX($BD$13:$BL$162,BP2463,0))/100))),0)</f>
        <v/>
      </c>
      <c r="BT2463">
        <f>IF(AND(2450&lt;$U$9,$W$5),BQ2463*1000000-MIN(BR2463,999)*1000+BS2463-2450/100000,-1000000000-2450)</f>
        <v/>
      </c>
    </row>
    <row r="2464">
      <c r="BN2464">
        <f>IF(2451&lt;$U$9,INT(2451/($U$7*$U$8))+1,1)</f>
        <v/>
      </c>
      <c r="BO2464">
        <f>IF(2451&lt;$U$9,MOD(INT(2451/$U$8),$U$7)+1,1)</f>
        <v/>
      </c>
      <c r="BP2464">
        <f>IF(2451&lt;$U$9,MOD(2451,$U$8)+1,1)</f>
        <v/>
      </c>
      <c r="BQ2464">
        <f>IF(2451&lt;$U$9,SUMPRODUCT(($D$10:$L$10&lt;&gt;"")*(($D$9:$L$9+INT(($S$12:$AA$12+INDEX($AJ$13:$AR$162,BN2464,0)+INDEX($AT$13:$BB$162,BO2464,0)+INDEX($BD$13:$BL$162,BP2464,0))/100))&gt;=$D$10:$L$10)),0)</f>
        <v/>
      </c>
      <c r="BR2464">
        <f>IF(2451&lt;$U$9,SUMPRODUCT(($D$10:$L$10&lt;&gt;"")*(($D$10:$L$10-($D$9:$L$9+INT(($S$12:$AA$12+INDEX($AJ$13:$AR$162,BN2464,0)+INDEX($AT$13:$BB$162,BO2464,0)+INDEX($BD$13:$BL$162,BP2464,0))/100)))&gt;0)*($D$10:$L$10-($D$9:$L$9+INT(($S$12:$AA$12+INDEX($AJ$13:$AR$162,BN2464,0)+INDEX($AT$13:$BB$162,BO2464,0)+INDEX($BD$13:$BL$162,BP2464,0))/100)))),0)</f>
        <v/>
      </c>
      <c r="BS2464">
        <f>IF(2451&lt;$U$9,SUMPRODUCT(($D$9:$L$9+INT(($S$12:$AA$12+INDEX($AJ$13:$AR$162,BN2464,0)+INDEX($AT$13:$BB$162,BO2464,0)+INDEX($BD$13:$BL$162,BP2464,0))/100))),0)</f>
        <v/>
      </c>
      <c r="BT2464">
        <f>IF(AND(2451&lt;$U$9,$W$5),BQ2464*1000000-MIN(BR2464,999)*1000+BS2464-2451/100000,-1000000000-2451)</f>
        <v/>
      </c>
    </row>
    <row r="2465">
      <c r="BN2465">
        <f>IF(2452&lt;$U$9,INT(2452/($U$7*$U$8))+1,1)</f>
        <v/>
      </c>
      <c r="BO2465">
        <f>IF(2452&lt;$U$9,MOD(INT(2452/$U$8),$U$7)+1,1)</f>
        <v/>
      </c>
      <c r="BP2465">
        <f>IF(2452&lt;$U$9,MOD(2452,$U$8)+1,1)</f>
        <v/>
      </c>
      <c r="BQ2465">
        <f>IF(2452&lt;$U$9,SUMPRODUCT(($D$10:$L$10&lt;&gt;"")*(($D$9:$L$9+INT(($S$12:$AA$12+INDEX($AJ$13:$AR$162,BN2465,0)+INDEX($AT$13:$BB$162,BO2465,0)+INDEX($BD$13:$BL$162,BP2465,0))/100))&gt;=$D$10:$L$10)),0)</f>
        <v/>
      </c>
      <c r="BR2465">
        <f>IF(2452&lt;$U$9,SUMPRODUCT(($D$10:$L$10&lt;&gt;"")*(($D$10:$L$10-($D$9:$L$9+INT(($S$12:$AA$12+INDEX($AJ$13:$AR$162,BN2465,0)+INDEX($AT$13:$BB$162,BO2465,0)+INDEX($BD$13:$BL$162,BP2465,0))/100)))&gt;0)*($D$10:$L$10-($D$9:$L$9+INT(($S$12:$AA$12+INDEX($AJ$13:$AR$162,BN2465,0)+INDEX($AT$13:$BB$162,BO2465,0)+INDEX($BD$13:$BL$162,BP2465,0))/100)))),0)</f>
        <v/>
      </c>
      <c r="BS2465">
        <f>IF(2452&lt;$U$9,SUMPRODUCT(($D$9:$L$9+INT(($S$12:$AA$12+INDEX($AJ$13:$AR$162,BN2465,0)+INDEX($AT$13:$BB$162,BO2465,0)+INDEX($BD$13:$BL$162,BP2465,0))/100))),0)</f>
        <v/>
      </c>
      <c r="BT2465">
        <f>IF(AND(2452&lt;$U$9,$W$5),BQ2465*1000000-MIN(BR2465,999)*1000+BS2465-2452/100000,-1000000000-2452)</f>
        <v/>
      </c>
    </row>
    <row r="2466">
      <c r="BN2466">
        <f>IF(2453&lt;$U$9,INT(2453/($U$7*$U$8))+1,1)</f>
        <v/>
      </c>
      <c r="BO2466">
        <f>IF(2453&lt;$U$9,MOD(INT(2453/$U$8),$U$7)+1,1)</f>
        <v/>
      </c>
      <c r="BP2466">
        <f>IF(2453&lt;$U$9,MOD(2453,$U$8)+1,1)</f>
        <v/>
      </c>
      <c r="BQ2466">
        <f>IF(2453&lt;$U$9,SUMPRODUCT(($D$10:$L$10&lt;&gt;"")*(($D$9:$L$9+INT(($S$12:$AA$12+INDEX($AJ$13:$AR$162,BN2466,0)+INDEX($AT$13:$BB$162,BO2466,0)+INDEX($BD$13:$BL$162,BP2466,0))/100))&gt;=$D$10:$L$10)),0)</f>
        <v/>
      </c>
      <c r="BR2466">
        <f>IF(2453&lt;$U$9,SUMPRODUCT(($D$10:$L$10&lt;&gt;"")*(($D$10:$L$10-($D$9:$L$9+INT(($S$12:$AA$12+INDEX($AJ$13:$AR$162,BN2466,0)+INDEX($AT$13:$BB$162,BO2466,0)+INDEX($BD$13:$BL$162,BP2466,0))/100)))&gt;0)*($D$10:$L$10-($D$9:$L$9+INT(($S$12:$AA$12+INDEX($AJ$13:$AR$162,BN2466,0)+INDEX($AT$13:$BB$162,BO2466,0)+INDEX($BD$13:$BL$162,BP2466,0))/100)))),0)</f>
        <v/>
      </c>
      <c r="BS2466">
        <f>IF(2453&lt;$U$9,SUMPRODUCT(($D$9:$L$9+INT(($S$12:$AA$12+INDEX($AJ$13:$AR$162,BN2466,0)+INDEX($AT$13:$BB$162,BO2466,0)+INDEX($BD$13:$BL$162,BP2466,0))/100))),0)</f>
        <v/>
      </c>
      <c r="BT2466">
        <f>IF(AND(2453&lt;$U$9,$W$5),BQ2466*1000000-MIN(BR2466,999)*1000+BS2466-2453/100000,-1000000000-2453)</f>
        <v/>
      </c>
    </row>
    <row r="2467">
      <c r="BN2467">
        <f>IF(2454&lt;$U$9,INT(2454/($U$7*$U$8))+1,1)</f>
        <v/>
      </c>
      <c r="BO2467">
        <f>IF(2454&lt;$U$9,MOD(INT(2454/$U$8),$U$7)+1,1)</f>
        <v/>
      </c>
      <c r="BP2467">
        <f>IF(2454&lt;$U$9,MOD(2454,$U$8)+1,1)</f>
        <v/>
      </c>
      <c r="BQ2467">
        <f>IF(2454&lt;$U$9,SUMPRODUCT(($D$10:$L$10&lt;&gt;"")*(($D$9:$L$9+INT(($S$12:$AA$12+INDEX($AJ$13:$AR$162,BN2467,0)+INDEX($AT$13:$BB$162,BO2467,0)+INDEX($BD$13:$BL$162,BP2467,0))/100))&gt;=$D$10:$L$10)),0)</f>
        <v/>
      </c>
      <c r="BR2467">
        <f>IF(2454&lt;$U$9,SUMPRODUCT(($D$10:$L$10&lt;&gt;"")*(($D$10:$L$10-($D$9:$L$9+INT(($S$12:$AA$12+INDEX($AJ$13:$AR$162,BN2467,0)+INDEX($AT$13:$BB$162,BO2467,0)+INDEX($BD$13:$BL$162,BP2467,0))/100)))&gt;0)*($D$10:$L$10-($D$9:$L$9+INT(($S$12:$AA$12+INDEX($AJ$13:$AR$162,BN2467,0)+INDEX($AT$13:$BB$162,BO2467,0)+INDEX($BD$13:$BL$162,BP2467,0))/100)))),0)</f>
        <v/>
      </c>
      <c r="BS2467">
        <f>IF(2454&lt;$U$9,SUMPRODUCT(($D$9:$L$9+INT(($S$12:$AA$12+INDEX($AJ$13:$AR$162,BN2467,0)+INDEX($AT$13:$BB$162,BO2467,0)+INDEX($BD$13:$BL$162,BP2467,0))/100))),0)</f>
        <v/>
      </c>
      <c r="BT2467">
        <f>IF(AND(2454&lt;$U$9,$W$5),BQ2467*1000000-MIN(BR2467,999)*1000+BS2467-2454/100000,-1000000000-2454)</f>
        <v/>
      </c>
    </row>
    <row r="2468">
      <c r="BN2468">
        <f>IF(2455&lt;$U$9,INT(2455/($U$7*$U$8))+1,1)</f>
        <v/>
      </c>
      <c r="BO2468">
        <f>IF(2455&lt;$U$9,MOD(INT(2455/$U$8),$U$7)+1,1)</f>
        <v/>
      </c>
      <c r="BP2468">
        <f>IF(2455&lt;$U$9,MOD(2455,$U$8)+1,1)</f>
        <v/>
      </c>
      <c r="BQ2468">
        <f>IF(2455&lt;$U$9,SUMPRODUCT(($D$10:$L$10&lt;&gt;"")*(($D$9:$L$9+INT(($S$12:$AA$12+INDEX($AJ$13:$AR$162,BN2468,0)+INDEX($AT$13:$BB$162,BO2468,0)+INDEX($BD$13:$BL$162,BP2468,0))/100))&gt;=$D$10:$L$10)),0)</f>
        <v/>
      </c>
      <c r="BR2468">
        <f>IF(2455&lt;$U$9,SUMPRODUCT(($D$10:$L$10&lt;&gt;"")*(($D$10:$L$10-($D$9:$L$9+INT(($S$12:$AA$12+INDEX($AJ$13:$AR$162,BN2468,0)+INDEX($AT$13:$BB$162,BO2468,0)+INDEX($BD$13:$BL$162,BP2468,0))/100)))&gt;0)*($D$10:$L$10-($D$9:$L$9+INT(($S$12:$AA$12+INDEX($AJ$13:$AR$162,BN2468,0)+INDEX($AT$13:$BB$162,BO2468,0)+INDEX($BD$13:$BL$162,BP2468,0))/100)))),0)</f>
        <v/>
      </c>
      <c r="BS2468">
        <f>IF(2455&lt;$U$9,SUMPRODUCT(($D$9:$L$9+INT(($S$12:$AA$12+INDEX($AJ$13:$AR$162,BN2468,0)+INDEX($AT$13:$BB$162,BO2468,0)+INDEX($BD$13:$BL$162,BP2468,0))/100))),0)</f>
        <v/>
      </c>
      <c r="BT2468">
        <f>IF(AND(2455&lt;$U$9,$W$5),BQ2468*1000000-MIN(BR2468,999)*1000+BS2468-2455/100000,-1000000000-2455)</f>
        <v/>
      </c>
    </row>
    <row r="2469">
      <c r="BN2469">
        <f>IF(2456&lt;$U$9,INT(2456/($U$7*$U$8))+1,1)</f>
        <v/>
      </c>
      <c r="BO2469">
        <f>IF(2456&lt;$U$9,MOD(INT(2456/$U$8),$U$7)+1,1)</f>
        <v/>
      </c>
      <c r="BP2469">
        <f>IF(2456&lt;$U$9,MOD(2456,$U$8)+1,1)</f>
        <v/>
      </c>
      <c r="BQ2469">
        <f>IF(2456&lt;$U$9,SUMPRODUCT(($D$10:$L$10&lt;&gt;"")*(($D$9:$L$9+INT(($S$12:$AA$12+INDEX($AJ$13:$AR$162,BN2469,0)+INDEX($AT$13:$BB$162,BO2469,0)+INDEX($BD$13:$BL$162,BP2469,0))/100))&gt;=$D$10:$L$10)),0)</f>
        <v/>
      </c>
      <c r="BR2469">
        <f>IF(2456&lt;$U$9,SUMPRODUCT(($D$10:$L$10&lt;&gt;"")*(($D$10:$L$10-($D$9:$L$9+INT(($S$12:$AA$12+INDEX($AJ$13:$AR$162,BN2469,0)+INDEX($AT$13:$BB$162,BO2469,0)+INDEX($BD$13:$BL$162,BP2469,0))/100)))&gt;0)*($D$10:$L$10-($D$9:$L$9+INT(($S$12:$AA$12+INDEX($AJ$13:$AR$162,BN2469,0)+INDEX($AT$13:$BB$162,BO2469,0)+INDEX($BD$13:$BL$162,BP2469,0))/100)))),0)</f>
        <v/>
      </c>
      <c r="BS2469">
        <f>IF(2456&lt;$U$9,SUMPRODUCT(($D$9:$L$9+INT(($S$12:$AA$12+INDEX($AJ$13:$AR$162,BN2469,0)+INDEX($AT$13:$BB$162,BO2469,0)+INDEX($BD$13:$BL$162,BP2469,0))/100))),0)</f>
        <v/>
      </c>
      <c r="BT2469">
        <f>IF(AND(2456&lt;$U$9,$W$5),BQ2469*1000000-MIN(BR2469,999)*1000+BS2469-2456/100000,-1000000000-2456)</f>
        <v/>
      </c>
    </row>
    <row r="2470">
      <c r="BN2470">
        <f>IF(2457&lt;$U$9,INT(2457/($U$7*$U$8))+1,1)</f>
        <v/>
      </c>
      <c r="BO2470">
        <f>IF(2457&lt;$U$9,MOD(INT(2457/$U$8),$U$7)+1,1)</f>
        <v/>
      </c>
      <c r="BP2470">
        <f>IF(2457&lt;$U$9,MOD(2457,$U$8)+1,1)</f>
        <v/>
      </c>
      <c r="BQ2470">
        <f>IF(2457&lt;$U$9,SUMPRODUCT(($D$10:$L$10&lt;&gt;"")*(($D$9:$L$9+INT(($S$12:$AA$12+INDEX($AJ$13:$AR$162,BN2470,0)+INDEX($AT$13:$BB$162,BO2470,0)+INDEX($BD$13:$BL$162,BP2470,0))/100))&gt;=$D$10:$L$10)),0)</f>
        <v/>
      </c>
      <c r="BR2470">
        <f>IF(2457&lt;$U$9,SUMPRODUCT(($D$10:$L$10&lt;&gt;"")*(($D$10:$L$10-($D$9:$L$9+INT(($S$12:$AA$12+INDEX($AJ$13:$AR$162,BN2470,0)+INDEX($AT$13:$BB$162,BO2470,0)+INDEX($BD$13:$BL$162,BP2470,0))/100)))&gt;0)*($D$10:$L$10-($D$9:$L$9+INT(($S$12:$AA$12+INDEX($AJ$13:$AR$162,BN2470,0)+INDEX($AT$13:$BB$162,BO2470,0)+INDEX($BD$13:$BL$162,BP2470,0))/100)))),0)</f>
        <v/>
      </c>
      <c r="BS2470">
        <f>IF(2457&lt;$U$9,SUMPRODUCT(($D$9:$L$9+INT(($S$12:$AA$12+INDEX($AJ$13:$AR$162,BN2470,0)+INDEX($AT$13:$BB$162,BO2470,0)+INDEX($BD$13:$BL$162,BP2470,0))/100))),0)</f>
        <v/>
      </c>
      <c r="BT2470">
        <f>IF(AND(2457&lt;$U$9,$W$5),BQ2470*1000000-MIN(BR2470,999)*1000+BS2470-2457/100000,-1000000000-2457)</f>
        <v/>
      </c>
    </row>
    <row r="2471">
      <c r="BN2471">
        <f>IF(2458&lt;$U$9,INT(2458/($U$7*$U$8))+1,1)</f>
        <v/>
      </c>
      <c r="BO2471">
        <f>IF(2458&lt;$U$9,MOD(INT(2458/$U$8),$U$7)+1,1)</f>
        <v/>
      </c>
      <c r="BP2471">
        <f>IF(2458&lt;$U$9,MOD(2458,$U$8)+1,1)</f>
        <v/>
      </c>
      <c r="BQ2471">
        <f>IF(2458&lt;$U$9,SUMPRODUCT(($D$10:$L$10&lt;&gt;"")*(($D$9:$L$9+INT(($S$12:$AA$12+INDEX($AJ$13:$AR$162,BN2471,0)+INDEX($AT$13:$BB$162,BO2471,0)+INDEX($BD$13:$BL$162,BP2471,0))/100))&gt;=$D$10:$L$10)),0)</f>
        <v/>
      </c>
      <c r="BR2471">
        <f>IF(2458&lt;$U$9,SUMPRODUCT(($D$10:$L$10&lt;&gt;"")*(($D$10:$L$10-($D$9:$L$9+INT(($S$12:$AA$12+INDEX($AJ$13:$AR$162,BN2471,0)+INDEX($AT$13:$BB$162,BO2471,0)+INDEX($BD$13:$BL$162,BP2471,0))/100)))&gt;0)*($D$10:$L$10-($D$9:$L$9+INT(($S$12:$AA$12+INDEX($AJ$13:$AR$162,BN2471,0)+INDEX($AT$13:$BB$162,BO2471,0)+INDEX($BD$13:$BL$162,BP2471,0))/100)))),0)</f>
        <v/>
      </c>
      <c r="BS2471">
        <f>IF(2458&lt;$U$9,SUMPRODUCT(($D$9:$L$9+INT(($S$12:$AA$12+INDEX($AJ$13:$AR$162,BN2471,0)+INDEX($AT$13:$BB$162,BO2471,0)+INDEX($BD$13:$BL$162,BP2471,0))/100))),0)</f>
        <v/>
      </c>
      <c r="BT2471">
        <f>IF(AND(2458&lt;$U$9,$W$5),BQ2471*1000000-MIN(BR2471,999)*1000+BS2471-2458/100000,-1000000000-2458)</f>
        <v/>
      </c>
    </row>
    <row r="2472">
      <c r="BN2472">
        <f>IF(2459&lt;$U$9,INT(2459/($U$7*$U$8))+1,1)</f>
        <v/>
      </c>
      <c r="BO2472">
        <f>IF(2459&lt;$U$9,MOD(INT(2459/$U$8),$U$7)+1,1)</f>
        <v/>
      </c>
      <c r="BP2472">
        <f>IF(2459&lt;$U$9,MOD(2459,$U$8)+1,1)</f>
        <v/>
      </c>
      <c r="BQ2472">
        <f>IF(2459&lt;$U$9,SUMPRODUCT(($D$10:$L$10&lt;&gt;"")*(($D$9:$L$9+INT(($S$12:$AA$12+INDEX($AJ$13:$AR$162,BN2472,0)+INDEX($AT$13:$BB$162,BO2472,0)+INDEX($BD$13:$BL$162,BP2472,0))/100))&gt;=$D$10:$L$10)),0)</f>
        <v/>
      </c>
      <c r="BR2472">
        <f>IF(2459&lt;$U$9,SUMPRODUCT(($D$10:$L$10&lt;&gt;"")*(($D$10:$L$10-($D$9:$L$9+INT(($S$12:$AA$12+INDEX($AJ$13:$AR$162,BN2472,0)+INDEX($AT$13:$BB$162,BO2472,0)+INDEX($BD$13:$BL$162,BP2472,0))/100)))&gt;0)*($D$10:$L$10-($D$9:$L$9+INT(($S$12:$AA$12+INDEX($AJ$13:$AR$162,BN2472,0)+INDEX($AT$13:$BB$162,BO2472,0)+INDEX($BD$13:$BL$162,BP2472,0))/100)))),0)</f>
        <v/>
      </c>
      <c r="BS2472">
        <f>IF(2459&lt;$U$9,SUMPRODUCT(($D$9:$L$9+INT(($S$12:$AA$12+INDEX($AJ$13:$AR$162,BN2472,0)+INDEX($AT$13:$BB$162,BO2472,0)+INDEX($BD$13:$BL$162,BP2472,0))/100))),0)</f>
        <v/>
      </c>
      <c r="BT2472">
        <f>IF(AND(2459&lt;$U$9,$W$5),BQ2472*1000000-MIN(BR2472,999)*1000+BS2472-2459/100000,-1000000000-2459)</f>
        <v/>
      </c>
    </row>
    <row r="2473">
      <c r="BN2473">
        <f>IF(2460&lt;$U$9,INT(2460/($U$7*$U$8))+1,1)</f>
        <v/>
      </c>
      <c r="BO2473">
        <f>IF(2460&lt;$U$9,MOD(INT(2460/$U$8),$U$7)+1,1)</f>
        <v/>
      </c>
      <c r="BP2473">
        <f>IF(2460&lt;$U$9,MOD(2460,$U$8)+1,1)</f>
        <v/>
      </c>
      <c r="BQ2473">
        <f>IF(2460&lt;$U$9,SUMPRODUCT(($D$10:$L$10&lt;&gt;"")*(($D$9:$L$9+INT(($S$12:$AA$12+INDEX($AJ$13:$AR$162,BN2473,0)+INDEX($AT$13:$BB$162,BO2473,0)+INDEX($BD$13:$BL$162,BP2473,0))/100))&gt;=$D$10:$L$10)),0)</f>
        <v/>
      </c>
      <c r="BR2473">
        <f>IF(2460&lt;$U$9,SUMPRODUCT(($D$10:$L$10&lt;&gt;"")*(($D$10:$L$10-($D$9:$L$9+INT(($S$12:$AA$12+INDEX($AJ$13:$AR$162,BN2473,0)+INDEX($AT$13:$BB$162,BO2473,0)+INDEX($BD$13:$BL$162,BP2473,0))/100)))&gt;0)*($D$10:$L$10-($D$9:$L$9+INT(($S$12:$AA$12+INDEX($AJ$13:$AR$162,BN2473,0)+INDEX($AT$13:$BB$162,BO2473,0)+INDEX($BD$13:$BL$162,BP2473,0))/100)))),0)</f>
        <v/>
      </c>
      <c r="BS2473">
        <f>IF(2460&lt;$U$9,SUMPRODUCT(($D$9:$L$9+INT(($S$12:$AA$12+INDEX($AJ$13:$AR$162,BN2473,0)+INDEX($AT$13:$BB$162,BO2473,0)+INDEX($BD$13:$BL$162,BP2473,0))/100))),0)</f>
        <v/>
      </c>
      <c r="BT2473">
        <f>IF(AND(2460&lt;$U$9,$W$5),BQ2473*1000000-MIN(BR2473,999)*1000+BS2473-2460/100000,-1000000000-2460)</f>
        <v/>
      </c>
    </row>
    <row r="2474">
      <c r="BN2474">
        <f>IF(2461&lt;$U$9,INT(2461/($U$7*$U$8))+1,1)</f>
        <v/>
      </c>
      <c r="BO2474">
        <f>IF(2461&lt;$U$9,MOD(INT(2461/$U$8),$U$7)+1,1)</f>
        <v/>
      </c>
      <c r="BP2474">
        <f>IF(2461&lt;$U$9,MOD(2461,$U$8)+1,1)</f>
        <v/>
      </c>
      <c r="BQ2474">
        <f>IF(2461&lt;$U$9,SUMPRODUCT(($D$10:$L$10&lt;&gt;"")*(($D$9:$L$9+INT(($S$12:$AA$12+INDEX($AJ$13:$AR$162,BN2474,0)+INDEX($AT$13:$BB$162,BO2474,0)+INDEX($BD$13:$BL$162,BP2474,0))/100))&gt;=$D$10:$L$10)),0)</f>
        <v/>
      </c>
      <c r="BR2474">
        <f>IF(2461&lt;$U$9,SUMPRODUCT(($D$10:$L$10&lt;&gt;"")*(($D$10:$L$10-($D$9:$L$9+INT(($S$12:$AA$12+INDEX($AJ$13:$AR$162,BN2474,0)+INDEX($AT$13:$BB$162,BO2474,0)+INDEX($BD$13:$BL$162,BP2474,0))/100)))&gt;0)*($D$10:$L$10-($D$9:$L$9+INT(($S$12:$AA$12+INDEX($AJ$13:$AR$162,BN2474,0)+INDEX($AT$13:$BB$162,BO2474,0)+INDEX($BD$13:$BL$162,BP2474,0))/100)))),0)</f>
        <v/>
      </c>
      <c r="BS2474">
        <f>IF(2461&lt;$U$9,SUMPRODUCT(($D$9:$L$9+INT(($S$12:$AA$12+INDEX($AJ$13:$AR$162,BN2474,0)+INDEX($AT$13:$BB$162,BO2474,0)+INDEX($BD$13:$BL$162,BP2474,0))/100))),0)</f>
        <v/>
      </c>
      <c r="BT2474">
        <f>IF(AND(2461&lt;$U$9,$W$5),BQ2474*1000000-MIN(BR2474,999)*1000+BS2474-2461/100000,-1000000000-2461)</f>
        <v/>
      </c>
    </row>
    <row r="2475">
      <c r="BN2475">
        <f>IF(2462&lt;$U$9,INT(2462/($U$7*$U$8))+1,1)</f>
        <v/>
      </c>
      <c r="BO2475">
        <f>IF(2462&lt;$U$9,MOD(INT(2462/$U$8),$U$7)+1,1)</f>
        <v/>
      </c>
      <c r="BP2475">
        <f>IF(2462&lt;$U$9,MOD(2462,$U$8)+1,1)</f>
        <v/>
      </c>
      <c r="BQ2475">
        <f>IF(2462&lt;$U$9,SUMPRODUCT(($D$10:$L$10&lt;&gt;"")*(($D$9:$L$9+INT(($S$12:$AA$12+INDEX($AJ$13:$AR$162,BN2475,0)+INDEX($AT$13:$BB$162,BO2475,0)+INDEX($BD$13:$BL$162,BP2475,0))/100))&gt;=$D$10:$L$10)),0)</f>
        <v/>
      </c>
      <c r="BR2475">
        <f>IF(2462&lt;$U$9,SUMPRODUCT(($D$10:$L$10&lt;&gt;"")*(($D$10:$L$10-($D$9:$L$9+INT(($S$12:$AA$12+INDEX($AJ$13:$AR$162,BN2475,0)+INDEX($AT$13:$BB$162,BO2475,0)+INDEX($BD$13:$BL$162,BP2475,0))/100)))&gt;0)*($D$10:$L$10-($D$9:$L$9+INT(($S$12:$AA$12+INDEX($AJ$13:$AR$162,BN2475,0)+INDEX($AT$13:$BB$162,BO2475,0)+INDEX($BD$13:$BL$162,BP2475,0))/100)))),0)</f>
        <v/>
      </c>
      <c r="BS2475">
        <f>IF(2462&lt;$U$9,SUMPRODUCT(($D$9:$L$9+INT(($S$12:$AA$12+INDEX($AJ$13:$AR$162,BN2475,0)+INDEX($AT$13:$BB$162,BO2475,0)+INDEX($BD$13:$BL$162,BP2475,0))/100))),0)</f>
        <v/>
      </c>
      <c r="BT2475">
        <f>IF(AND(2462&lt;$U$9,$W$5),BQ2475*1000000-MIN(BR2475,999)*1000+BS2475-2462/100000,-1000000000-2462)</f>
        <v/>
      </c>
    </row>
    <row r="2476">
      <c r="BN2476">
        <f>IF(2463&lt;$U$9,INT(2463/($U$7*$U$8))+1,1)</f>
        <v/>
      </c>
      <c r="BO2476">
        <f>IF(2463&lt;$U$9,MOD(INT(2463/$U$8),$U$7)+1,1)</f>
        <v/>
      </c>
      <c r="BP2476">
        <f>IF(2463&lt;$U$9,MOD(2463,$U$8)+1,1)</f>
        <v/>
      </c>
      <c r="BQ2476">
        <f>IF(2463&lt;$U$9,SUMPRODUCT(($D$10:$L$10&lt;&gt;"")*(($D$9:$L$9+INT(($S$12:$AA$12+INDEX($AJ$13:$AR$162,BN2476,0)+INDEX($AT$13:$BB$162,BO2476,0)+INDEX($BD$13:$BL$162,BP2476,0))/100))&gt;=$D$10:$L$10)),0)</f>
        <v/>
      </c>
      <c r="BR2476">
        <f>IF(2463&lt;$U$9,SUMPRODUCT(($D$10:$L$10&lt;&gt;"")*(($D$10:$L$10-($D$9:$L$9+INT(($S$12:$AA$12+INDEX($AJ$13:$AR$162,BN2476,0)+INDEX($AT$13:$BB$162,BO2476,0)+INDEX($BD$13:$BL$162,BP2476,0))/100)))&gt;0)*($D$10:$L$10-($D$9:$L$9+INT(($S$12:$AA$12+INDEX($AJ$13:$AR$162,BN2476,0)+INDEX($AT$13:$BB$162,BO2476,0)+INDEX($BD$13:$BL$162,BP2476,0))/100)))),0)</f>
        <v/>
      </c>
      <c r="BS2476">
        <f>IF(2463&lt;$U$9,SUMPRODUCT(($D$9:$L$9+INT(($S$12:$AA$12+INDEX($AJ$13:$AR$162,BN2476,0)+INDEX($AT$13:$BB$162,BO2476,0)+INDEX($BD$13:$BL$162,BP2476,0))/100))),0)</f>
        <v/>
      </c>
      <c r="BT2476">
        <f>IF(AND(2463&lt;$U$9,$W$5),BQ2476*1000000-MIN(BR2476,999)*1000+BS2476-2463/100000,-1000000000-2463)</f>
        <v/>
      </c>
    </row>
    <row r="2477">
      <c r="BN2477">
        <f>IF(2464&lt;$U$9,INT(2464/($U$7*$U$8))+1,1)</f>
        <v/>
      </c>
      <c r="BO2477">
        <f>IF(2464&lt;$U$9,MOD(INT(2464/$U$8),$U$7)+1,1)</f>
        <v/>
      </c>
      <c r="BP2477">
        <f>IF(2464&lt;$U$9,MOD(2464,$U$8)+1,1)</f>
        <v/>
      </c>
      <c r="BQ2477">
        <f>IF(2464&lt;$U$9,SUMPRODUCT(($D$10:$L$10&lt;&gt;"")*(($D$9:$L$9+INT(($S$12:$AA$12+INDEX($AJ$13:$AR$162,BN2477,0)+INDEX($AT$13:$BB$162,BO2477,0)+INDEX($BD$13:$BL$162,BP2477,0))/100))&gt;=$D$10:$L$10)),0)</f>
        <v/>
      </c>
      <c r="BR2477">
        <f>IF(2464&lt;$U$9,SUMPRODUCT(($D$10:$L$10&lt;&gt;"")*(($D$10:$L$10-($D$9:$L$9+INT(($S$12:$AA$12+INDEX($AJ$13:$AR$162,BN2477,0)+INDEX($AT$13:$BB$162,BO2477,0)+INDEX($BD$13:$BL$162,BP2477,0))/100)))&gt;0)*($D$10:$L$10-($D$9:$L$9+INT(($S$12:$AA$12+INDEX($AJ$13:$AR$162,BN2477,0)+INDEX($AT$13:$BB$162,BO2477,0)+INDEX($BD$13:$BL$162,BP2477,0))/100)))),0)</f>
        <v/>
      </c>
      <c r="BS2477">
        <f>IF(2464&lt;$U$9,SUMPRODUCT(($D$9:$L$9+INT(($S$12:$AA$12+INDEX($AJ$13:$AR$162,BN2477,0)+INDEX($AT$13:$BB$162,BO2477,0)+INDEX($BD$13:$BL$162,BP2477,0))/100))),0)</f>
        <v/>
      </c>
      <c r="BT2477">
        <f>IF(AND(2464&lt;$U$9,$W$5),BQ2477*1000000-MIN(BR2477,999)*1000+BS2477-2464/100000,-1000000000-2464)</f>
        <v/>
      </c>
    </row>
    <row r="2478">
      <c r="BN2478">
        <f>IF(2465&lt;$U$9,INT(2465/($U$7*$U$8))+1,1)</f>
        <v/>
      </c>
      <c r="BO2478">
        <f>IF(2465&lt;$U$9,MOD(INT(2465/$U$8),$U$7)+1,1)</f>
        <v/>
      </c>
      <c r="BP2478">
        <f>IF(2465&lt;$U$9,MOD(2465,$U$8)+1,1)</f>
        <v/>
      </c>
      <c r="BQ2478">
        <f>IF(2465&lt;$U$9,SUMPRODUCT(($D$10:$L$10&lt;&gt;"")*(($D$9:$L$9+INT(($S$12:$AA$12+INDEX($AJ$13:$AR$162,BN2478,0)+INDEX($AT$13:$BB$162,BO2478,0)+INDEX($BD$13:$BL$162,BP2478,0))/100))&gt;=$D$10:$L$10)),0)</f>
        <v/>
      </c>
      <c r="BR2478">
        <f>IF(2465&lt;$U$9,SUMPRODUCT(($D$10:$L$10&lt;&gt;"")*(($D$10:$L$10-($D$9:$L$9+INT(($S$12:$AA$12+INDEX($AJ$13:$AR$162,BN2478,0)+INDEX($AT$13:$BB$162,BO2478,0)+INDEX($BD$13:$BL$162,BP2478,0))/100)))&gt;0)*($D$10:$L$10-($D$9:$L$9+INT(($S$12:$AA$12+INDEX($AJ$13:$AR$162,BN2478,0)+INDEX($AT$13:$BB$162,BO2478,0)+INDEX($BD$13:$BL$162,BP2478,0))/100)))),0)</f>
        <v/>
      </c>
      <c r="BS2478">
        <f>IF(2465&lt;$U$9,SUMPRODUCT(($D$9:$L$9+INT(($S$12:$AA$12+INDEX($AJ$13:$AR$162,BN2478,0)+INDEX($AT$13:$BB$162,BO2478,0)+INDEX($BD$13:$BL$162,BP2478,0))/100))),0)</f>
        <v/>
      </c>
      <c r="BT2478">
        <f>IF(AND(2465&lt;$U$9,$W$5),BQ2478*1000000-MIN(BR2478,999)*1000+BS2478-2465/100000,-1000000000-2465)</f>
        <v/>
      </c>
    </row>
    <row r="2479">
      <c r="BN2479">
        <f>IF(2466&lt;$U$9,INT(2466/($U$7*$U$8))+1,1)</f>
        <v/>
      </c>
      <c r="BO2479">
        <f>IF(2466&lt;$U$9,MOD(INT(2466/$U$8),$U$7)+1,1)</f>
        <v/>
      </c>
      <c r="BP2479">
        <f>IF(2466&lt;$U$9,MOD(2466,$U$8)+1,1)</f>
        <v/>
      </c>
      <c r="BQ2479">
        <f>IF(2466&lt;$U$9,SUMPRODUCT(($D$10:$L$10&lt;&gt;"")*(($D$9:$L$9+INT(($S$12:$AA$12+INDEX($AJ$13:$AR$162,BN2479,0)+INDEX($AT$13:$BB$162,BO2479,0)+INDEX($BD$13:$BL$162,BP2479,0))/100))&gt;=$D$10:$L$10)),0)</f>
        <v/>
      </c>
      <c r="BR2479">
        <f>IF(2466&lt;$U$9,SUMPRODUCT(($D$10:$L$10&lt;&gt;"")*(($D$10:$L$10-($D$9:$L$9+INT(($S$12:$AA$12+INDEX($AJ$13:$AR$162,BN2479,0)+INDEX($AT$13:$BB$162,BO2479,0)+INDEX($BD$13:$BL$162,BP2479,0))/100)))&gt;0)*($D$10:$L$10-($D$9:$L$9+INT(($S$12:$AA$12+INDEX($AJ$13:$AR$162,BN2479,0)+INDEX($AT$13:$BB$162,BO2479,0)+INDEX($BD$13:$BL$162,BP2479,0))/100)))),0)</f>
        <v/>
      </c>
      <c r="BS2479">
        <f>IF(2466&lt;$U$9,SUMPRODUCT(($D$9:$L$9+INT(($S$12:$AA$12+INDEX($AJ$13:$AR$162,BN2479,0)+INDEX($AT$13:$BB$162,BO2479,0)+INDEX($BD$13:$BL$162,BP2479,0))/100))),0)</f>
        <v/>
      </c>
      <c r="BT2479">
        <f>IF(AND(2466&lt;$U$9,$W$5),BQ2479*1000000-MIN(BR2479,999)*1000+BS2479-2466/100000,-1000000000-2466)</f>
        <v/>
      </c>
    </row>
    <row r="2480">
      <c r="BN2480">
        <f>IF(2467&lt;$U$9,INT(2467/($U$7*$U$8))+1,1)</f>
        <v/>
      </c>
      <c r="BO2480">
        <f>IF(2467&lt;$U$9,MOD(INT(2467/$U$8),$U$7)+1,1)</f>
        <v/>
      </c>
      <c r="BP2480">
        <f>IF(2467&lt;$U$9,MOD(2467,$U$8)+1,1)</f>
        <v/>
      </c>
      <c r="BQ2480">
        <f>IF(2467&lt;$U$9,SUMPRODUCT(($D$10:$L$10&lt;&gt;"")*(($D$9:$L$9+INT(($S$12:$AA$12+INDEX($AJ$13:$AR$162,BN2480,0)+INDEX($AT$13:$BB$162,BO2480,0)+INDEX($BD$13:$BL$162,BP2480,0))/100))&gt;=$D$10:$L$10)),0)</f>
        <v/>
      </c>
      <c r="BR2480">
        <f>IF(2467&lt;$U$9,SUMPRODUCT(($D$10:$L$10&lt;&gt;"")*(($D$10:$L$10-($D$9:$L$9+INT(($S$12:$AA$12+INDEX($AJ$13:$AR$162,BN2480,0)+INDEX($AT$13:$BB$162,BO2480,0)+INDEX($BD$13:$BL$162,BP2480,0))/100)))&gt;0)*($D$10:$L$10-($D$9:$L$9+INT(($S$12:$AA$12+INDEX($AJ$13:$AR$162,BN2480,0)+INDEX($AT$13:$BB$162,BO2480,0)+INDEX($BD$13:$BL$162,BP2480,0))/100)))),0)</f>
        <v/>
      </c>
      <c r="BS2480">
        <f>IF(2467&lt;$U$9,SUMPRODUCT(($D$9:$L$9+INT(($S$12:$AA$12+INDEX($AJ$13:$AR$162,BN2480,0)+INDEX($AT$13:$BB$162,BO2480,0)+INDEX($BD$13:$BL$162,BP2480,0))/100))),0)</f>
        <v/>
      </c>
      <c r="BT2480">
        <f>IF(AND(2467&lt;$U$9,$W$5),BQ2480*1000000-MIN(BR2480,999)*1000+BS2480-2467/100000,-1000000000-2467)</f>
        <v/>
      </c>
    </row>
    <row r="2481">
      <c r="BN2481">
        <f>IF(2468&lt;$U$9,INT(2468/($U$7*$U$8))+1,1)</f>
        <v/>
      </c>
      <c r="BO2481">
        <f>IF(2468&lt;$U$9,MOD(INT(2468/$U$8),$U$7)+1,1)</f>
        <v/>
      </c>
      <c r="BP2481">
        <f>IF(2468&lt;$U$9,MOD(2468,$U$8)+1,1)</f>
        <v/>
      </c>
      <c r="BQ2481">
        <f>IF(2468&lt;$U$9,SUMPRODUCT(($D$10:$L$10&lt;&gt;"")*(($D$9:$L$9+INT(($S$12:$AA$12+INDEX($AJ$13:$AR$162,BN2481,0)+INDEX($AT$13:$BB$162,BO2481,0)+INDEX($BD$13:$BL$162,BP2481,0))/100))&gt;=$D$10:$L$10)),0)</f>
        <v/>
      </c>
      <c r="BR2481">
        <f>IF(2468&lt;$U$9,SUMPRODUCT(($D$10:$L$10&lt;&gt;"")*(($D$10:$L$10-($D$9:$L$9+INT(($S$12:$AA$12+INDEX($AJ$13:$AR$162,BN2481,0)+INDEX($AT$13:$BB$162,BO2481,0)+INDEX($BD$13:$BL$162,BP2481,0))/100)))&gt;0)*($D$10:$L$10-($D$9:$L$9+INT(($S$12:$AA$12+INDEX($AJ$13:$AR$162,BN2481,0)+INDEX($AT$13:$BB$162,BO2481,0)+INDEX($BD$13:$BL$162,BP2481,0))/100)))),0)</f>
        <v/>
      </c>
      <c r="BS2481">
        <f>IF(2468&lt;$U$9,SUMPRODUCT(($D$9:$L$9+INT(($S$12:$AA$12+INDEX($AJ$13:$AR$162,BN2481,0)+INDEX($AT$13:$BB$162,BO2481,0)+INDEX($BD$13:$BL$162,BP2481,0))/100))),0)</f>
        <v/>
      </c>
      <c r="BT2481">
        <f>IF(AND(2468&lt;$U$9,$W$5),BQ2481*1000000-MIN(BR2481,999)*1000+BS2481-2468/100000,-1000000000-2468)</f>
        <v/>
      </c>
    </row>
    <row r="2482">
      <c r="BN2482">
        <f>IF(2469&lt;$U$9,INT(2469/($U$7*$U$8))+1,1)</f>
        <v/>
      </c>
      <c r="BO2482">
        <f>IF(2469&lt;$U$9,MOD(INT(2469/$U$8),$U$7)+1,1)</f>
        <v/>
      </c>
      <c r="BP2482">
        <f>IF(2469&lt;$U$9,MOD(2469,$U$8)+1,1)</f>
        <v/>
      </c>
      <c r="BQ2482">
        <f>IF(2469&lt;$U$9,SUMPRODUCT(($D$10:$L$10&lt;&gt;"")*(($D$9:$L$9+INT(($S$12:$AA$12+INDEX($AJ$13:$AR$162,BN2482,0)+INDEX($AT$13:$BB$162,BO2482,0)+INDEX($BD$13:$BL$162,BP2482,0))/100))&gt;=$D$10:$L$10)),0)</f>
        <v/>
      </c>
      <c r="BR2482">
        <f>IF(2469&lt;$U$9,SUMPRODUCT(($D$10:$L$10&lt;&gt;"")*(($D$10:$L$10-($D$9:$L$9+INT(($S$12:$AA$12+INDEX($AJ$13:$AR$162,BN2482,0)+INDEX($AT$13:$BB$162,BO2482,0)+INDEX($BD$13:$BL$162,BP2482,0))/100)))&gt;0)*($D$10:$L$10-($D$9:$L$9+INT(($S$12:$AA$12+INDEX($AJ$13:$AR$162,BN2482,0)+INDEX($AT$13:$BB$162,BO2482,0)+INDEX($BD$13:$BL$162,BP2482,0))/100)))),0)</f>
        <v/>
      </c>
      <c r="BS2482">
        <f>IF(2469&lt;$U$9,SUMPRODUCT(($D$9:$L$9+INT(($S$12:$AA$12+INDEX($AJ$13:$AR$162,BN2482,0)+INDEX($AT$13:$BB$162,BO2482,0)+INDEX($BD$13:$BL$162,BP2482,0))/100))),0)</f>
        <v/>
      </c>
      <c r="BT2482">
        <f>IF(AND(2469&lt;$U$9,$W$5),BQ2482*1000000-MIN(BR2482,999)*1000+BS2482-2469/100000,-1000000000-2469)</f>
        <v/>
      </c>
    </row>
    <row r="2483">
      <c r="BN2483">
        <f>IF(2470&lt;$U$9,INT(2470/($U$7*$U$8))+1,1)</f>
        <v/>
      </c>
      <c r="BO2483">
        <f>IF(2470&lt;$U$9,MOD(INT(2470/$U$8),$U$7)+1,1)</f>
        <v/>
      </c>
      <c r="BP2483">
        <f>IF(2470&lt;$U$9,MOD(2470,$U$8)+1,1)</f>
        <v/>
      </c>
      <c r="BQ2483">
        <f>IF(2470&lt;$U$9,SUMPRODUCT(($D$10:$L$10&lt;&gt;"")*(($D$9:$L$9+INT(($S$12:$AA$12+INDEX($AJ$13:$AR$162,BN2483,0)+INDEX($AT$13:$BB$162,BO2483,0)+INDEX($BD$13:$BL$162,BP2483,0))/100))&gt;=$D$10:$L$10)),0)</f>
        <v/>
      </c>
      <c r="BR2483">
        <f>IF(2470&lt;$U$9,SUMPRODUCT(($D$10:$L$10&lt;&gt;"")*(($D$10:$L$10-($D$9:$L$9+INT(($S$12:$AA$12+INDEX($AJ$13:$AR$162,BN2483,0)+INDEX($AT$13:$BB$162,BO2483,0)+INDEX($BD$13:$BL$162,BP2483,0))/100)))&gt;0)*($D$10:$L$10-($D$9:$L$9+INT(($S$12:$AA$12+INDEX($AJ$13:$AR$162,BN2483,0)+INDEX($AT$13:$BB$162,BO2483,0)+INDEX($BD$13:$BL$162,BP2483,0))/100)))),0)</f>
        <v/>
      </c>
      <c r="BS2483">
        <f>IF(2470&lt;$U$9,SUMPRODUCT(($D$9:$L$9+INT(($S$12:$AA$12+INDEX($AJ$13:$AR$162,BN2483,0)+INDEX($AT$13:$BB$162,BO2483,0)+INDEX($BD$13:$BL$162,BP2483,0))/100))),0)</f>
        <v/>
      </c>
      <c r="BT2483">
        <f>IF(AND(2470&lt;$U$9,$W$5),BQ2483*1000000-MIN(BR2483,999)*1000+BS2483-2470/100000,-1000000000-2470)</f>
        <v/>
      </c>
    </row>
    <row r="2484">
      <c r="BN2484">
        <f>IF(2471&lt;$U$9,INT(2471/($U$7*$U$8))+1,1)</f>
        <v/>
      </c>
      <c r="BO2484">
        <f>IF(2471&lt;$U$9,MOD(INT(2471/$U$8),$U$7)+1,1)</f>
        <v/>
      </c>
      <c r="BP2484">
        <f>IF(2471&lt;$U$9,MOD(2471,$U$8)+1,1)</f>
        <v/>
      </c>
      <c r="BQ2484">
        <f>IF(2471&lt;$U$9,SUMPRODUCT(($D$10:$L$10&lt;&gt;"")*(($D$9:$L$9+INT(($S$12:$AA$12+INDEX($AJ$13:$AR$162,BN2484,0)+INDEX($AT$13:$BB$162,BO2484,0)+INDEX($BD$13:$BL$162,BP2484,0))/100))&gt;=$D$10:$L$10)),0)</f>
        <v/>
      </c>
      <c r="BR2484">
        <f>IF(2471&lt;$U$9,SUMPRODUCT(($D$10:$L$10&lt;&gt;"")*(($D$10:$L$10-($D$9:$L$9+INT(($S$12:$AA$12+INDEX($AJ$13:$AR$162,BN2484,0)+INDEX($AT$13:$BB$162,BO2484,0)+INDEX($BD$13:$BL$162,BP2484,0))/100)))&gt;0)*($D$10:$L$10-($D$9:$L$9+INT(($S$12:$AA$12+INDEX($AJ$13:$AR$162,BN2484,0)+INDEX($AT$13:$BB$162,BO2484,0)+INDEX($BD$13:$BL$162,BP2484,0))/100)))),0)</f>
        <v/>
      </c>
      <c r="BS2484">
        <f>IF(2471&lt;$U$9,SUMPRODUCT(($D$9:$L$9+INT(($S$12:$AA$12+INDEX($AJ$13:$AR$162,BN2484,0)+INDEX($AT$13:$BB$162,BO2484,0)+INDEX($BD$13:$BL$162,BP2484,0))/100))),0)</f>
        <v/>
      </c>
      <c r="BT2484">
        <f>IF(AND(2471&lt;$U$9,$W$5),BQ2484*1000000-MIN(BR2484,999)*1000+BS2484-2471/100000,-1000000000-2471)</f>
        <v/>
      </c>
    </row>
    <row r="2485">
      <c r="BN2485">
        <f>IF(2472&lt;$U$9,INT(2472/($U$7*$U$8))+1,1)</f>
        <v/>
      </c>
      <c r="BO2485">
        <f>IF(2472&lt;$U$9,MOD(INT(2472/$U$8),$U$7)+1,1)</f>
        <v/>
      </c>
      <c r="BP2485">
        <f>IF(2472&lt;$U$9,MOD(2472,$U$8)+1,1)</f>
        <v/>
      </c>
      <c r="BQ2485">
        <f>IF(2472&lt;$U$9,SUMPRODUCT(($D$10:$L$10&lt;&gt;"")*(($D$9:$L$9+INT(($S$12:$AA$12+INDEX($AJ$13:$AR$162,BN2485,0)+INDEX($AT$13:$BB$162,BO2485,0)+INDEX($BD$13:$BL$162,BP2485,0))/100))&gt;=$D$10:$L$10)),0)</f>
        <v/>
      </c>
      <c r="BR2485">
        <f>IF(2472&lt;$U$9,SUMPRODUCT(($D$10:$L$10&lt;&gt;"")*(($D$10:$L$10-($D$9:$L$9+INT(($S$12:$AA$12+INDEX($AJ$13:$AR$162,BN2485,0)+INDEX($AT$13:$BB$162,BO2485,0)+INDEX($BD$13:$BL$162,BP2485,0))/100)))&gt;0)*($D$10:$L$10-($D$9:$L$9+INT(($S$12:$AA$12+INDEX($AJ$13:$AR$162,BN2485,0)+INDEX($AT$13:$BB$162,BO2485,0)+INDEX($BD$13:$BL$162,BP2485,0))/100)))),0)</f>
        <v/>
      </c>
      <c r="BS2485">
        <f>IF(2472&lt;$U$9,SUMPRODUCT(($D$9:$L$9+INT(($S$12:$AA$12+INDEX($AJ$13:$AR$162,BN2485,0)+INDEX($AT$13:$BB$162,BO2485,0)+INDEX($BD$13:$BL$162,BP2485,0))/100))),0)</f>
        <v/>
      </c>
      <c r="BT2485">
        <f>IF(AND(2472&lt;$U$9,$W$5),BQ2485*1000000-MIN(BR2485,999)*1000+BS2485-2472/100000,-1000000000-2472)</f>
        <v/>
      </c>
    </row>
    <row r="2486">
      <c r="BN2486">
        <f>IF(2473&lt;$U$9,INT(2473/($U$7*$U$8))+1,1)</f>
        <v/>
      </c>
      <c r="BO2486">
        <f>IF(2473&lt;$U$9,MOD(INT(2473/$U$8),$U$7)+1,1)</f>
        <v/>
      </c>
      <c r="BP2486">
        <f>IF(2473&lt;$U$9,MOD(2473,$U$8)+1,1)</f>
        <v/>
      </c>
      <c r="BQ2486">
        <f>IF(2473&lt;$U$9,SUMPRODUCT(($D$10:$L$10&lt;&gt;"")*(($D$9:$L$9+INT(($S$12:$AA$12+INDEX($AJ$13:$AR$162,BN2486,0)+INDEX($AT$13:$BB$162,BO2486,0)+INDEX($BD$13:$BL$162,BP2486,0))/100))&gt;=$D$10:$L$10)),0)</f>
        <v/>
      </c>
      <c r="BR2486">
        <f>IF(2473&lt;$U$9,SUMPRODUCT(($D$10:$L$10&lt;&gt;"")*(($D$10:$L$10-($D$9:$L$9+INT(($S$12:$AA$12+INDEX($AJ$13:$AR$162,BN2486,0)+INDEX($AT$13:$BB$162,BO2486,0)+INDEX($BD$13:$BL$162,BP2486,0))/100)))&gt;0)*($D$10:$L$10-($D$9:$L$9+INT(($S$12:$AA$12+INDEX($AJ$13:$AR$162,BN2486,0)+INDEX($AT$13:$BB$162,BO2486,0)+INDEX($BD$13:$BL$162,BP2486,0))/100)))),0)</f>
        <v/>
      </c>
      <c r="BS2486">
        <f>IF(2473&lt;$U$9,SUMPRODUCT(($D$9:$L$9+INT(($S$12:$AA$12+INDEX($AJ$13:$AR$162,BN2486,0)+INDEX($AT$13:$BB$162,BO2486,0)+INDEX($BD$13:$BL$162,BP2486,0))/100))),0)</f>
        <v/>
      </c>
      <c r="BT2486">
        <f>IF(AND(2473&lt;$U$9,$W$5),BQ2486*1000000-MIN(BR2486,999)*1000+BS2486-2473/100000,-1000000000-2473)</f>
        <v/>
      </c>
    </row>
    <row r="2487">
      <c r="BN2487">
        <f>IF(2474&lt;$U$9,INT(2474/($U$7*$U$8))+1,1)</f>
        <v/>
      </c>
      <c r="BO2487">
        <f>IF(2474&lt;$U$9,MOD(INT(2474/$U$8),$U$7)+1,1)</f>
        <v/>
      </c>
      <c r="BP2487">
        <f>IF(2474&lt;$U$9,MOD(2474,$U$8)+1,1)</f>
        <v/>
      </c>
      <c r="BQ2487">
        <f>IF(2474&lt;$U$9,SUMPRODUCT(($D$10:$L$10&lt;&gt;"")*(($D$9:$L$9+INT(($S$12:$AA$12+INDEX($AJ$13:$AR$162,BN2487,0)+INDEX($AT$13:$BB$162,BO2487,0)+INDEX($BD$13:$BL$162,BP2487,0))/100))&gt;=$D$10:$L$10)),0)</f>
        <v/>
      </c>
      <c r="BR2487">
        <f>IF(2474&lt;$U$9,SUMPRODUCT(($D$10:$L$10&lt;&gt;"")*(($D$10:$L$10-($D$9:$L$9+INT(($S$12:$AA$12+INDEX($AJ$13:$AR$162,BN2487,0)+INDEX($AT$13:$BB$162,BO2487,0)+INDEX($BD$13:$BL$162,BP2487,0))/100)))&gt;0)*($D$10:$L$10-($D$9:$L$9+INT(($S$12:$AA$12+INDEX($AJ$13:$AR$162,BN2487,0)+INDEX($AT$13:$BB$162,BO2487,0)+INDEX($BD$13:$BL$162,BP2487,0))/100)))),0)</f>
        <v/>
      </c>
      <c r="BS2487">
        <f>IF(2474&lt;$U$9,SUMPRODUCT(($D$9:$L$9+INT(($S$12:$AA$12+INDEX($AJ$13:$AR$162,BN2487,0)+INDEX($AT$13:$BB$162,BO2487,0)+INDEX($BD$13:$BL$162,BP2487,0))/100))),0)</f>
        <v/>
      </c>
      <c r="BT2487">
        <f>IF(AND(2474&lt;$U$9,$W$5),BQ2487*1000000-MIN(BR2487,999)*1000+BS2487-2474/100000,-1000000000-2474)</f>
        <v/>
      </c>
    </row>
    <row r="2488">
      <c r="BN2488">
        <f>IF(2475&lt;$U$9,INT(2475/($U$7*$U$8))+1,1)</f>
        <v/>
      </c>
      <c r="BO2488">
        <f>IF(2475&lt;$U$9,MOD(INT(2475/$U$8),$U$7)+1,1)</f>
        <v/>
      </c>
      <c r="BP2488">
        <f>IF(2475&lt;$U$9,MOD(2475,$U$8)+1,1)</f>
        <v/>
      </c>
      <c r="BQ2488">
        <f>IF(2475&lt;$U$9,SUMPRODUCT(($D$10:$L$10&lt;&gt;"")*(($D$9:$L$9+INT(($S$12:$AA$12+INDEX($AJ$13:$AR$162,BN2488,0)+INDEX($AT$13:$BB$162,BO2488,0)+INDEX($BD$13:$BL$162,BP2488,0))/100))&gt;=$D$10:$L$10)),0)</f>
        <v/>
      </c>
      <c r="BR2488">
        <f>IF(2475&lt;$U$9,SUMPRODUCT(($D$10:$L$10&lt;&gt;"")*(($D$10:$L$10-($D$9:$L$9+INT(($S$12:$AA$12+INDEX($AJ$13:$AR$162,BN2488,0)+INDEX($AT$13:$BB$162,BO2488,0)+INDEX($BD$13:$BL$162,BP2488,0))/100)))&gt;0)*($D$10:$L$10-($D$9:$L$9+INT(($S$12:$AA$12+INDEX($AJ$13:$AR$162,BN2488,0)+INDEX($AT$13:$BB$162,BO2488,0)+INDEX($BD$13:$BL$162,BP2488,0))/100)))),0)</f>
        <v/>
      </c>
      <c r="BS2488">
        <f>IF(2475&lt;$U$9,SUMPRODUCT(($D$9:$L$9+INT(($S$12:$AA$12+INDEX($AJ$13:$AR$162,BN2488,0)+INDEX($AT$13:$BB$162,BO2488,0)+INDEX($BD$13:$BL$162,BP2488,0))/100))),0)</f>
        <v/>
      </c>
      <c r="BT2488">
        <f>IF(AND(2475&lt;$U$9,$W$5),BQ2488*1000000-MIN(BR2488,999)*1000+BS2488-2475/100000,-1000000000-2475)</f>
        <v/>
      </c>
    </row>
    <row r="2489">
      <c r="BN2489">
        <f>IF(2476&lt;$U$9,INT(2476/($U$7*$U$8))+1,1)</f>
        <v/>
      </c>
      <c r="BO2489">
        <f>IF(2476&lt;$U$9,MOD(INT(2476/$U$8),$U$7)+1,1)</f>
        <v/>
      </c>
      <c r="BP2489">
        <f>IF(2476&lt;$U$9,MOD(2476,$U$8)+1,1)</f>
        <v/>
      </c>
      <c r="BQ2489">
        <f>IF(2476&lt;$U$9,SUMPRODUCT(($D$10:$L$10&lt;&gt;"")*(($D$9:$L$9+INT(($S$12:$AA$12+INDEX($AJ$13:$AR$162,BN2489,0)+INDEX($AT$13:$BB$162,BO2489,0)+INDEX($BD$13:$BL$162,BP2489,0))/100))&gt;=$D$10:$L$10)),0)</f>
        <v/>
      </c>
      <c r="BR2489">
        <f>IF(2476&lt;$U$9,SUMPRODUCT(($D$10:$L$10&lt;&gt;"")*(($D$10:$L$10-($D$9:$L$9+INT(($S$12:$AA$12+INDEX($AJ$13:$AR$162,BN2489,0)+INDEX($AT$13:$BB$162,BO2489,0)+INDEX($BD$13:$BL$162,BP2489,0))/100)))&gt;0)*($D$10:$L$10-($D$9:$L$9+INT(($S$12:$AA$12+INDEX($AJ$13:$AR$162,BN2489,0)+INDEX($AT$13:$BB$162,BO2489,0)+INDEX($BD$13:$BL$162,BP2489,0))/100)))),0)</f>
        <v/>
      </c>
      <c r="BS2489">
        <f>IF(2476&lt;$U$9,SUMPRODUCT(($D$9:$L$9+INT(($S$12:$AA$12+INDEX($AJ$13:$AR$162,BN2489,0)+INDEX($AT$13:$BB$162,BO2489,0)+INDEX($BD$13:$BL$162,BP2489,0))/100))),0)</f>
        <v/>
      </c>
      <c r="BT2489">
        <f>IF(AND(2476&lt;$U$9,$W$5),BQ2489*1000000-MIN(BR2489,999)*1000+BS2489-2476/100000,-1000000000-2476)</f>
        <v/>
      </c>
    </row>
    <row r="2490">
      <c r="BN2490">
        <f>IF(2477&lt;$U$9,INT(2477/($U$7*$U$8))+1,1)</f>
        <v/>
      </c>
      <c r="BO2490">
        <f>IF(2477&lt;$U$9,MOD(INT(2477/$U$8),$U$7)+1,1)</f>
        <v/>
      </c>
      <c r="BP2490">
        <f>IF(2477&lt;$U$9,MOD(2477,$U$8)+1,1)</f>
        <v/>
      </c>
      <c r="BQ2490">
        <f>IF(2477&lt;$U$9,SUMPRODUCT(($D$10:$L$10&lt;&gt;"")*(($D$9:$L$9+INT(($S$12:$AA$12+INDEX($AJ$13:$AR$162,BN2490,0)+INDEX($AT$13:$BB$162,BO2490,0)+INDEX($BD$13:$BL$162,BP2490,0))/100))&gt;=$D$10:$L$10)),0)</f>
        <v/>
      </c>
      <c r="BR2490">
        <f>IF(2477&lt;$U$9,SUMPRODUCT(($D$10:$L$10&lt;&gt;"")*(($D$10:$L$10-($D$9:$L$9+INT(($S$12:$AA$12+INDEX($AJ$13:$AR$162,BN2490,0)+INDEX($AT$13:$BB$162,BO2490,0)+INDEX($BD$13:$BL$162,BP2490,0))/100)))&gt;0)*($D$10:$L$10-($D$9:$L$9+INT(($S$12:$AA$12+INDEX($AJ$13:$AR$162,BN2490,0)+INDEX($AT$13:$BB$162,BO2490,0)+INDEX($BD$13:$BL$162,BP2490,0))/100)))),0)</f>
        <v/>
      </c>
      <c r="BS2490">
        <f>IF(2477&lt;$U$9,SUMPRODUCT(($D$9:$L$9+INT(($S$12:$AA$12+INDEX($AJ$13:$AR$162,BN2490,0)+INDEX($AT$13:$BB$162,BO2490,0)+INDEX($BD$13:$BL$162,BP2490,0))/100))),0)</f>
        <v/>
      </c>
      <c r="BT2490">
        <f>IF(AND(2477&lt;$U$9,$W$5),BQ2490*1000000-MIN(BR2490,999)*1000+BS2490-2477/100000,-1000000000-2477)</f>
        <v/>
      </c>
    </row>
    <row r="2491">
      <c r="BN2491">
        <f>IF(2478&lt;$U$9,INT(2478/($U$7*$U$8))+1,1)</f>
        <v/>
      </c>
      <c r="BO2491">
        <f>IF(2478&lt;$U$9,MOD(INT(2478/$U$8),$U$7)+1,1)</f>
        <v/>
      </c>
      <c r="BP2491">
        <f>IF(2478&lt;$U$9,MOD(2478,$U$8)+1,1)</f>
        <v/>
      </c>
      <c r="BQ2491">
        <f>IF(2478&lt;$U$9,SUMPRODUCT(($D$10:$L$10&lt;&gt;"")*(($D$9:$L$9+INT(($S$12:$AA$12+INDEX($AJ$13:$AR$162,BN2491,0)+INDEX($AT$13:$BB$162,BO2491,0)+INDEX($BD$13:$BL$162,BP2491,0))/100))&gt;=$D$10:$L$10)),0)</f>
        <v/>
      </c>
      <c r="BR2491">
        <f>IF(2478&lt;$U$9,SUMPRODUCT(($D$10:$L$10&lt;&gt;"")*(($D$10:$L$10-($D$9:$L$9+INT(($S$12:$AA$12+INDEX($AJ$13:$AR$162,BN2491,0)+INDEX($AT$13:$BB$162,BO2491,0)+INDEX($BD$13:$BL$162,BP2491,0))/100)))&gt;0)*($D$10:$L$10-($D$9:$L$9+INT(($S$12:$AA$12+INDEX($AJ$13:$AR$162,BN2491,0)+INDEX($AT$13:$BB$162,BO2491,0)+INDEX($BD$13:$BL$162,BP2491,0))/100)))),0)</f>
        <v/>
      </c>
      <c r="BS2491">
        <f>IF(2478&lt;$U$9,SUMPRODUCT(($D$9:$L$9+INT(($S$12:$AA$12+INDEX($AJ$13:$AR$162,BN2491,0)+INDEX($AT$13:$BB$162,BO2491,0)+INDEX($BD$13:$BL$162,BP2491,0))/100))),0)</f>
        <v/>
      </c>
      <c r="BT2491">
        <f>IF(AND(2478&lt;$U$9,$W$5),BQ2491*1000000-MIN(BR2491,999)*1000+BS2491-2478/100000,-1000000000-2478)</f>
        <v/>
      </c>
    </row>
    <row r="2492">
      <c r="BN2492">
        <f>IF(2479&lt;$U$9,INT(2479/($U$7*$U$8))+1,1)</f>
        <v/>
      </c>
      <c r="BO2492">
        <f>IF(2479&lt;$U$9,MOD(INT(2479/$U$8),$U$7)+1,1)</f>
        <v/>
      </c>
      <c r="BP2492">
        <f>IF(2479&lt;$U$9,MOD(2479,$U$8)+1,1)</f>
        <v/>
      </c>
      <c r="BQ2492">
        <f>IF(2479&lt;$U$9,SUMPRODUCT(($D$10:$L$10&lt;&gt;"")*(($D$9:$L$9+INT(($S$12:$AA$12+INDEX($AJ$13:$AR$162,BN2492,0)+INDEX($AT$13:$BB$162,BO2492,0)+INDEX($BD$13:$BL$162,BP2492,0))/100))&gt;=$D$10:$L$10)),0)</f>
        <v/>
      </c>
      <c r="BR2492">
        <f>IF(2479&lt;$U$9,SUMPRODUCT(($D$10:$L$10&lt;&gt;"")*(($D$10:$L$10-($D$9:$L$9+INT(($S$12:$AA$12+INDEX($AJ$13:$AR$162,BN2492,0)+INDEX($AT$13:$BB$162,BO2492,0)+INDEX($BD$13:$BL$162,BP2492,0))/100)))&gt;0)*($D$10:$L$10-($D$9:$L$9+INT(($S$12:$AA$12+INDEX($AJ$13:$AR$162,BN2492,0)+INDEX($AT$13:$BB$162,BO2492,0)+INDEX($BD$13:$BL$162,BP2492,0))/100)))),0)</f>
        <v/>
      </c>
      <c r="BS2492">
        <f>IF(2479&lt;$U$9,SUMPRODUCT(($D$9:$L$9+INT(($S$12:$AA$12+INDEX($AJ$13:$AR$162,BN2492,0)+INDEX($AT$13:$BB$162,BO2492,0)+INDEX($BD$13:$BL$162,BP2492,0))/100))),0)</f>
        <v/>
      </c>
      <c r="BT2492">
        <f>IF(AND(2479&lt;$U$9,$W$5),BQ2492*1000000-MIN(BR2492,999)*1000+BS2492-2479/100000,-1000000000-2479)</f>
        <v/>
      </c>
    </row>
    <row r="2493">
      <c r="BN2493">
        <f>IF(2480&lt;$U$9,INT(2480/($U$7*$U$8))+1,1)</f>
        <v/>
      </c>
      <c r="BO2493">
        <f>IF(2480&lt;$U$9,MOD(INT(2480/$U$8),$U$7)+1,1)</f>
        <v/>
      </c>
      <c r="BP2493">
        <f>IF(2480&lt;$U$9,MOD(2480,$U$8)+1,1)</f>
        <v/>
      </c>
      <c r="BQ2493">
        <f>IF(2480&lt;$U$9,SUMPRODUCT(($D$10:$L$10&lt;&gt;"")*(($D$9:$L$9+INT(($S$12:$AA$12+INDEX($AJ$13:$AR$162,BN2493,0)+INDEX($AT$13:$BB$162,BO2493,0)+INDEX($BD$13:$BL$162,BP2493,0))/100))&gt;=$D$10:$L$10)),0)</f>
        <v/>
      </c>
      <c r="BR2493">
        <f>IF(2480&lt;$U$9,SUMPRODUCT(($D$10:$L$10&lt;&gt;"")*(($D$10:$L$10-($D$9:$L$9+INT(($S$12:$AA$12+INDEX($AJ$13:$AR$162,BN2493,0)+INDEX($AT$13:$BB$162,BO2493,0)+INDEX($BD$13:$BL$162,BP2493,0))/100)))&gt;0)*($D$10:$L$10-($D$9:$L$9+INT(($S$12:$AA$12+INDEX($AJ$13:$AR$162,BN2493,0)+INDEX($AT$13:$BB$162,BO2493,0)+INDEX($BD$13:$BL$162,BP2493,0))/100)))),0)</f>
        <v/>
      </c>
      <c r="BS2493">
        <f>IF(2480&lt;$U$9,SUMPRODUCT(($D$9:$L$9+INT(($S$12:$AA$12+INDEX($AJ$13:$AR$162,BN2493,0)+INDEX($AT$13:$BB$162,BO2493,0)+INDEX($BD$13:$BL$162,BP2493,0))/100))),0)</f>
        <v/>
      </c>
      <c r="BT2493">
        <f>IF(AND(2480&lt;$U$9,$W$5),BQ2493*1000000-MIN(BR2493,999)*1000+BS2493-2480/100000,-1000000000-2480)</f>
        <v/>
      </c>
    </row>
    <row r="2494">
      <c r="BN2494">
        <f>IF(2481&lt;$U$9,INT(2481/($U$7*$U$8))+1,1)</f>
        <v/>
      </c>
      <c r="BO2494">
        <f>IF(2481&lt;$U$9,MOD(INT(2481/$U$8),$U$7)+1,1)</f>
        <v/>
      </c>
      <c r="BP2494">
        <f>IF(2481&lt;$U$9,MOD(2481,$U$8)+1,1)</f>
        <v/>
      </c>
      <c r="BQ2494">
        <f>IF(2481&lt;$U$9,SUMPRODUCT(($D$10:$L$10&lt;&gt;"")*(($D$9:$L$9+INT(($S$12:$AA$12+INDEX($AJ$13:$AR$162,BN2494,0)+INDEX($AT$13:$BB$162,BO2494,0)+INDEX($BD$13:$BL$162,BP2494,0))/100))&gt;=$D$10:$L$10)),0)</f>
        <v/>
      </c>
      <c r="BR2494">
        <f>IF(2481&lt;$U$9,SUMPRODUCT(($D$10:$L$10&lt;&gt;"")*(($D$10:$L$10-($D$9:$L$9+INT(($S$12:$AA$12+INDEX($AJ$13:$AR$162,BN2494,0)+INDEX($AT$13:$BB$162,BO2494,0)+INDEX($BD$13:$BL$162,BP2494,0))/100)))&gt;0)*($D$10:$L$10-($D$9:$L$9+INT(($S$12:$AA$12+INDEX($AJ$13:$AR$162,BN2494,0)+INDEX($AT$13:$BB$162,BO2494,0)+INDEX($BD$13:$BL$162,BP2494,0))/100)))),0)</f>
        <v/>
      </c>
      <c r="BS2494">
        <f>IF(2481&lt;$U$9,SUMPRODUCT(($D$9:$L$9+INT(($S$12:$AA$12+INDEX($AJ$13:$AR$162,BN2494,0)+INDEX($AT$13:$BB$162,BO2494,0)+INDEX($BD$13:$BL$162,BP2494,0))/100))),0)</f>
        <v/>
      </c>
      <c r="BT2494">
        <f>IF(AND(2481&lt;$U$9,$W$5),BQ2494*1000000-MIN(BR2494,999)*1000+BS2494-2481/100000,-1000000000-2481)</f>
        <v/>
      </c>
    </row>
    <row r="2495">
      <c r="BN2495">
        <f>IF(2482&lt;$U$9,INT(2482/($U$7*$U$8))+1,1)</f>
        <v/>
      </c>
      <c r="BO2495">
        <f>IF(2482&lt;$U$9,MOD(INT(2482/$U$8),$U$7)+1,1)</f>
        <v/>
      </c>
      <c r="BP2495">
        <f>IF(2482&lt;$U$9,MOD(2482,$U$8)+1,1)</f>
        <v/>
      </c>
      <c r="BQ2495">
        <f>IF(2482&lt;$U$9,SUMPRODUCT(($D$10:$L$10&lt;&gt;"")*(($D$9:$L$9+INT(($S$12:$AA$12+INDEX($AJ$13:$AR$162,BN2495,0)+INDEX($AT$13:$BB$162,BO2495,0)+INDEX($BD$13:$BL$162,BP2495,0))/100))&gt;=$D$10:$L$10)),0)</f>
        <v/>
      </c>
      <c r="BR2495">
        <f>IF(2482&lt;$U$9,SUMPRODUCT(($D$10:$L$10&lt;&gt;"")*(($D$10:$L$10-($D$9:$L$9+INT(($S$12:$AA$12+INDEX($AJ$13:$AR$162,BN2495,0)+INDEX($AT$13:$BB$162,BO2495,0)+INDEX($BD$13:$BL$162,BP2495,0))/100)))&gt;0)*($D$10:$L$10-($D$9:$L$9+INT(($S$12:$AA$12+INDEX($AJ$13:$AR$162,BN2495,0)+INDEX($AT$13:$BB$162,BO2495,0)+INDEX($BD$13:$BL$162,BP2495,0))/100)))),0)</f>
        <v/>
      </c>
      <c r="BS2495">
        <f>IF(2482&lt;$U$9,SUMPRODUCT(($D$9:$L$9+INT(($S$12:$AA$12+INDEX($AJ$13:$AR$162,BN2495,0)+INDEX($AT$13:$BB$162,BO2495,0)+INDEX($BD$13:$BL$162,BP2495,0))/100))),0)</f>
        <v/>
      </c>
      <c r="BT2495">
        <f>IF(AND(2482&lt;$U$9,$W$5),BQ2495*1000000-MIN(BR2495,999)*1000+BS2495-2482/100000,-1000000000-2482)</f>
        <v/>
      </c>
    </row>
    <row r="2496">
      <c r="BN2496">
        <f>IF(2483&lt;$U$9,INT(2483/($U$7*$U$8))+1,1)</f>
        <v/>
      </c>
      <c r="BO2496">
        <f>IF(2483&lt;$U$9,MOD(INT(2483/$U$8),$U$7)+1,1)</f>
        <v/>
      </c>
      <c r="BP2496">
        <f>IF(2483&lt;$U$9,MOD(2483,$U$8)+1,1)</f>
        <v/>
      </c>
      <c r="BQ2496">
        <f>IF(2483&lt;$U$9,SUMPRODUCT(($D$10:$L$10&lt;&gt;"")*(($D$9:$L$9+INT(($S$12:$AA$12+INDEX($AJ$13:$AR$162,BN2496,0)+INDEX($AT$13:$BB$162,BO2496,0)+INDEX($BD$13:$BL$162,BP2496,0))/100))&gt;=$D$10:$L$10)),0)</f>
        <v/>
      </c>
      <c r="BR2496">
        <f>IF(2483&lt;$U$9,SUMPRODUCT(($D$10:$L$10&lt;&gt;"")*(($D$10:$L$10-($D$9:$L$9+INT(($S$12:$AA$12+INDEX($AJ$13:$AR$162,BN2496,0)+INDEX($AT$13:$BB$162,BO2496,0)+INDEX($BD$13:$BL$162,BP2496,0))/100)))&gt;0)*($D$10:$L$10-($D$9:$L$9+INT(($S$12:$AA$12+INDEX($AJ$13:$AR$162,BN2496,0)+INDEX($AT$13:$BB$162,BO2496,0)+INDEX($BD$13:$BL$162,BP2496,0))/100)))),0)</f>
        <v/>
      </c>
      <c r="BS2496">
        <f>IF(2483&lt;$U$9,SUMPRODUCT(($D$9:$L$9+INT(($S$12:$AA$12+INDEX($AJ$13:$AR$162,BN2496,0)+INDEX($AT$13:$BB$162,BO2496,0)+INDEX($BD$13:$BL$162,BP2496,0))/100))),0)</f>
        <v/>
      </c>
      <c r="BT2496">
        <f>IF(AND(2483&lt;$U$9,$W$5),BQ2496*1000000-MIN(BR2496,999)*1000+BS2496-2483/100000,-1000000000-2483)</f>
        <v/>
      </c>
    </row>
    <row r="2497">
      <c r="BN2497">
        <f>IF(2484&lt;$U$9,INT(2484/($U$7*$U$8))+1,1)</f>
        <v/>
      </c>
      <c r="BO2497">
        <f>IF(2484&lt;$U$9,MOD(INT(2484/$U$8),$U$7)+1,1)</f>
        <v/>
      </c>
      <c r="BP2497">
        <f>IF(2484&lt;$U$9,MOD(2484,$U$8)+1,1)</f>
        <v/>
      </c>
      <c r="BQ2497">
        <f>IF(2484&lt;$U$9,SUMPRODUCT(($D$10:$L$10&lt;&gt;"")*(($D$9:$L$9+INT(($S$12:$AA$12+INDEX($AJ$13:$AR$162,BN2497,0)+INDEX($AT$13:$BB$162,BO2497,0)+INDEX($BD$13:$BL$162,BP2497,0))/100))&gt;=$D$10:$L$10)),0)</f>
        <v/>
      </c>
      <c r="BR2497">
        <f>IF(2484&lt;$U$9,SUMPRODUCT(($D$10:$L$10&lt;&gt;"")*(($D$10:$L$10-($D$9:$L$9+INT(($S$12:$AA$12+INDEX($AJ$13:$AR$162,BN2497,0)+INDEX($AT$13:$BB$162,BO2497,0)+INDEX($BD$13:$BL$162,BP2497,0))/100)))&gt;0)*($D$10:$L$10-($D$9:$L$9+INT(($S$12:$AA$12+INDEX($AJ$13:$AR$162,BN2497,0)+INDEX($AT$13:$BB$162,BO2497,0)+INDEX($BD$13:$BL$162,BP2497,0))/100)))),0)</f>
        <v/>
      </c>
      <c r="BS2497">
        <f>IF(2484&lt;$U$9,SUMPRODUCT(($D$9:$L$9+INT(($S$12:$AA$12+INDEX($AJ$13:$AR$162,BN2497,0)+INDEX($AT$13:$BB$162,BO2497,0)+INDEX($BD$13:$BL$162,BP2497,0))/100))),0)</f>
        <v/>
      </c>
      <c r="BT2497">
        <f>IF(AND(2484&lt;$U$9,$W$5),BQ2497*1000000-MIN(BR2497,999)*1000+BS2497-2484/100000,-1000000000-2484)</f>
        <v/>
      </c>
    </row>
    <row r="2498">
      <c r="BN2498">
        <f>IF(2485&lt;$U$9,INT(2485/($U$7*$U$8))+1,1)</f>
        <v/>
      </c>
      <c r="BO2498">
        <f>IF(2485&lt;$U$9,MOD(INT(2485/$U$8),$U$7)+1,1)</f>
        <v/>
      </c>
      <c r="BP2498">
        <f>IF(2485&lt;$U$9,MOD(2485,$U$8)+1,1)</f>
        <v/>
      </c>
      <c r="BQ2498">
        <f>IF(2485&lt;$U$9,SUMPRODUCT(($D$10:$L$10&lt;&gt;"")*(($D$9:$L$9+INT(($S$12:$AA$12+INDEX($AJ$13:$AR$162,BN2498,0)+INDEX($AT$13:$BB$162,BO2498,0)+INDEX($BD$13:$BL$162,BP2498,0))/100))&gt;=$D$10:$L$10)),0)</f>
        <v/>
      </c>
      <c r="BR2498">
        <f>IF(2485&lt;$U$9,SUMPRODUCT(($D$10:$L$10&lt;&gt;"")*(($D$10:$L$10-($D$9:$L$9+INT(($S$12:$AA$12+INDEX($AJ$13:$AR$162,BN2498,0)+INDEX($AT$13:$BB$162,BO2498,0)+INDEX($BD$13:$BL$162,BP2498,0))/100)))&gt;0)*($D$10:$L$10-($D$9:$L$9+INT(($S$12:$AA$12+INDEX($AJ$13:$AR$162,BN2498,0)+INDEX($AT$13:$BB$162,BO2498,0)+INDEX($BD$13:$BL$162,BP2498,0))/100)))),0)</f>
        <v/>
      </c>
      <c r="BS2498">
        <f>IF(2485&lt;$U$9,SUMPRODUCT(($D$9:$L$9+INT(($S$12:$AA$12+INDEX($AJ$13:$AR$162,BN2498,0)+INDEX($AT$13:$BB$162,BO2498,0)+INDEX($BD$13:$BL$162,BP2498,0))/100))),0)</f>
        <v/>
      </c>
      <c r="BT2498">
        <f>IF(AND(2485&lt;$U$9,$W$5),BQ2498*1000000-MIN(BR2498,999)*1000+BS2498-2485/100000,-1000000000-2485)</f>
        <v/>
      </c>
    </row>
    <row r="2499">
      <c r="BN2499">
        <f>IF(2486&lt;$U$9,INT(2486/($U$7*$U$8))+1,1)</f>
        <v/>
      </c>
      <c r="BO2499">
        <f>IF(2486&lt;$U$9,MOD(INT(2486/$U$8),$U$7)+1,1)</f>
        <v/>
      </c>
      <c r="BP2499">
        <f>IF(2486&lt;$U$9,MOD(2486,$U$8)+1,1)</f>
        <v/>
      </c>
      <c r="BQ2499">
        <f>IF(2486&lt;$U$9,SUMPRODUCT(($D$10:$L$10&lt;&gt;"")*(($D$9:$L$9+INT(($S$12:$AA$12+INDEX($AJ$13:$AR$162,BN2499,0)+INDEX($AT$13:$BB$162,BO2499,0)+INDEX($BD$13:$BL$162,BP2499,0))/100))&gt;=$D$10:$L$10)),0)</f>
        <v/>
      </c>
      <c r="BR2499">
        <f>IF(2486&lt;$U$9,SUMPRODUCT(($D$10:$L$10&lt;&gt;"")*(($D$10:$L$10-($D$9:$L$9+INT(($S$12:$AA$12+INDEX($AJ$13:$AR$162,BN2499,0)+INDEX($AT$13:$BB$162,BO2499,0)+INDEX($BD$13:$BL$162,BP2499,0))/100)))&gt;0)*($D$10:$L$10-($D$9:$L$9+INT(($S$12:$AA$12+INDEX($AJ$13:$AR$162,BN2499,0)+INDEX($AT$13:$BB$162,BO2499,0)+INDEX($BD$13:$BL$162,BP2499,0))/100)))),0)</f>
        <v/>
      </c>
      <c r="BS2499">
        <f>IF(2486&lt;$U$9,SUMPRODUCT(($D$9:$L$9+INT(($S$12:$AA$12+INDEX($AJ$13:$AR$162,BN2499,0)+INDEX($AT$13:$BB$162,BO2499,0)+INDEX($BD$13:$BL$162,BP2499,0))/100))),0)</f>
        <v/>
      </c>
      <c r="BT2499">
        <f>IF(AND(2486&lt;$U$9,$W$5),BQ2499*1000000-MIN(BR2499,999)*1000+BS2499-2486/100000,-1000000000-2486)</f>
        <v/>
      </c>
    </row>
    <row r="2500">
      <c r="BN2500">
        <f>IF(2487&lt;$U$9,INT(2487/($U$7*$U$8))+1,1)</f>
        <v/>
      </c>
      <c r="BO2500">
        <f>IF(2487&lt;$U$9,MOD(INT(2487/$U$8),$U$7)+1,1)</f>
        <v/>
      </c>
      <c r="BP2500">
        <f>IF(2487&lt;$U$9,MOD(2487,$U$8)+1,1)</f>
        <v/>
      </c>
      <c r="BQ2500">
        <f>IF(2487&lt;$U$9,SUMPRODUCT(($D$10:$L$10&lt;&gt;"")*(($D$9:$L$9+INT(($S$12:$AA$12+INDEX($AJ$13:$AR$162,BN2500,0)+INDEX($AT$13:$BB$162,BO2500,0)+INDEX($BD$13:$BL$162,BP2500,0))/100))&gt;=$D$10:$L$10)),0)</f>
        <v/>
      </c>
      <c r="BR2500">
        <f>IF(2487&lt;$U$9,SUMPRODUCT(($D$10:$L$10&lt;&gt;"")*(($D$10:$L$10-($D$9:$L$9+INT(($S$12:$AA$12+INDEX($AJ$13:$AR$162,BN2500,0)+INDEX($AT$13:$BB$162,BO2500,0)+INDEX($BD$13:$BL$162,BP2500,0))/100)))&gt;0)*($D$10:$L$10-($D$9:$L$9+INT(($S$12:$AA$12+INDEX($AJ$13:$AR$162,BN2500,0)+INDEX($AT$13:$BB$162,BO2500,0)+INDEX($BD$13:$BL$162,BP2500,0))/100)))),0)</f>
        <v/>
      </c>
      <c r="BS2500">
        <f>IF(2487&lt;$U$9,SUMPRODUCT(($D$9:$L$9+INT(($S$12:$AA$12+INDEX($AJ$13:$AR$162,BN2500,0)+INDEX($AT$13:$BB$162,BO2500,0)+INDEX($BD$13:$BL$162,BP2500,0))/100))),0)</f>
        <v/>
      </c>
      <c r="BT2500">
        <f>IF(AND(2487&lt;$U$9,$W$5),BQ2500*1000000-MIN(BR2500,999)*1000+BS2500-2487/100000,-1000000000-2487)</f>
        <v/>
      </c>
    </row>
    <row r="2501">
      <c r="BN2501">
        <f>IF(2488&lt;$U$9,INT(2488/($U$7*$U$8))+1,1)</f>
        <v/>
      </c>
      <c r="BO2501">
        <f>IF(2488&lt;$U$9,MOD(INT(2488/$U$8),$U$7)+1,1)</f>
        <v/>
      </c>
      <c r="BP2501">
        <f>IF(2488&lt;$U$9,MOD(2488,$U$8)+1,1)</f>
        <v/>
      </c>
      <c r="BQ2501">
        <f>IF(2488&lt;$U$9,SUMPRODUCT(($D$10:$L$10&lt;&gt;"")*(($D$9:$L$9+INT(($S$12:$AA$12+INDEX($AJ$13:$AR$162,BN2501,0)+INDEX($AT$13:$BB$162,BO2501,0)+INDEX($BD$13:$BL$162,BP2501,0))/100))&gt;=$D$10:$L$10)),0)</f>
        <v/>
      </c>
      <c r="BR2501">
        <f>IF(2488&lt;$U$9,SUMPRODUCT(($D$10:$L$10&lt;&gt;"")*(($D$10:$L$10-($D$9:$L$9+INT(($S$12:$AA$12+INDEX($AJ$13:$AR$162,BN2501,0)+INDEX($AT$13:$BB$162,BO2501,0)+INDEX($BD$13:$BL$162,BP2501,0))/100)))&gt;0)*($D$10:$L$10-($D$9:$L$9+INT(($S$12:$AA$12+INDEX($AJ$13:$AR$162,BN2501,0)+INDEX($AT$13:$BB$162,BO2501,0)+INDEX($BD$13:$BL$162,BP2501,0))/100)))),0)</f>
        <v/>
      </c>
      <c r="BS2501">
        <f>IF(2488&lt;$U$9,SUMPRODUCT(($D$9:$L$9+INT(($S$12:$AA$12+INDEX($AJ$13:$AR$162,BN2501,0)+INDEX($AT$13:$BB$162,BO2501,0)+INDEX($BD$13:$BL$162,BP2501,0))/100))),0)</f>
        <v/>
      </c>
      <c r="BT2501">
        <f>IF(AND(2488&lt;$U$9,$W$5),BQ2501*1000000-MIN(BR2501,999)*1000+BS2501-2488/100000,-1000000000-2488)</f>
        <v/>
      </c>
    </row>
    <row r="2502">
      <c r="BN2502">
        <f>IF(2489&lt;$U$9,INT(2489/($U$7*$U$8))+1,1)</f>
        <v/>
      </c>
      <c r="BO2502">
        <f>IF(2489&lt;$U$9,MOD(INT(2489/$U$8),$U$7)+1,1)</f>
        <v/>
      </c>
      <c r="BP2502">
        <f>IF(2489&lt;$U$9,MOD(2489,$U$8)+1,1)</f>
        <v/>
      </c>
      <c r="BQ2502">
        <f>IF(2489&lt;$U$9,SUMPRODUCT(($D$10:$L$10&lt;&gt;"")*(($D$9:$L$9+INT(($S$12:$AA$12+INDEX($AJ$13:$AR$162,BN2502,0)+INDEX($AT$13:$BB$162,BO2502,0)+INDEX($BD$13:$BL$162,BP2502,0))/100))&gt;=$D$10:$L$10)),0)</f>
        <v/>
      </c>
      <c r="BR2502">
        <f>IF(2489&lt;$U$9,SUMPRODUCT(($D$10:$L$10&lt;&gt;"")*(($D$10:$L$10-($D$9:$L$9+INT(($S$12:$AA$12+INDEX($AJ$13:$AR$162,BN2502,0)+INDEX($AT$13:$BB$162,BO2502,0)+INDEX($BD$13:$BL$162,BP2502,0))/100)))&gt;0)*($D$10:$L$10-($D$9:$L$9+INT(($S$12:$AA$12+INDEX($AJ$13:$AR$162,BN2502,0)+INDEX($AT$13:$BB$162,BO2502,0)+INDEX($BD$13:$BL$162,BP2502,0))/100)))),0)</f>
        <v/>
      </c>
      <c r="BS2502">
        <f>IF(2489&lt;$U$9,SUMPRODUCT(($D$9:$L$9+INT(($S$12:$AA$12+INDEX($AJ$13:$AR$162,BN2502,0)+INDEX($AT$13:$BB$162,BO2502,0)+INDEX($BD$13:$BL$162,BP2502,0))/100))),0)</f>
        <v/>
      </c>
      <c r="BT2502">
        <f>IF(AND(2489&lt;$U$9,$W$5),BQ2502*1000000-MIN(BR2502,999)*1000+BS2502-2489/100000,-1000000000-2489)</f>
        <v/>
      </c>
    </row>
    <row r="2503">
      <c r="BN2503">
        <f>IF(2490&lt;$U$9,INT(2490/($U$7*$U$8))+1,1)</f>
        <v/>
      </c>
      <c r="BO2503">
        <f>IF(2490&lt;$U$9,MOD(INT(2490/$U$8),$U$7)+1,1)</f>
        <v/>
      </c>
      <c r="BP2503">
        <f>IF(2490&lt;$U$9,MOD(2490,$U$8)+1,1)</f>
        <v/>
      </c>
      <c r="BQ2503">
        <f>IF(2490&lt;$U$9,SUMPRODUCT(($D$10:$L$10&lt;&gt;"")*(($D$9:$L$9+INT(($S$12:$AA$12+INDEX($AJ$13:$AR$162,BN2503,0)+INDEX($AT$13:$BB$162,BO2503,0)+INDEX($BD$13:$BL$162,BP2503,0))/100))&gt;=$D$10:$L$10)),0)</f>
        <v/>
      </c>
      <c r="BR2503">
        <f>IF(2490&lt;$U$9,SUMPRODUCT(($D$10:$L$10&lt;&gt;"")*(($D$10:$L$10-($D$9:$L$9+INT(($S$12:$AA$12+INDEX($AJ$13:$AR$162,BN2503,0)+INDEX($AT$13:$BB$162,BO2503,0)+INDEX($BD$13:$BL$162,BP2503,0))/100)))&gt;0)*($D$10:$L$10-($D$9:$L$9+INT(($S$12:$AA$12+INDEX($AJ$13:$AR$162,BN2503,0)+INDEX($AT$13:$BB$162,BO2503,0)+INDEX($BD$13:$BL$162,BP2503,0))/100)))),0)</f>
        <v/>
      </c>
      <c r="BS2503">
        <f>IF(2490&lt;$U$9,SUMPRODUCT(($D$9:$L$9+INT(($S$12:$AA$12+INDEX($AJ$13:$AR$162,BN2503,0)+INDEX($AT$13:$BB$162,BO2503,0)+INDEX($BD$13:$BL$162,BP2503,0))/100))),0)</f>
        <v/>
      </c>
      <c r="BT2503">
        <f>IF(AND(2490&lt;$U$9,$W$5),BQ2503*1000000-MIN(BR2503,999)*1000+BS2503-2490/100000,-1000000000-2490)</f>
        <v/>
      </c>
    </row>
    <row r="2504">
      <c r="BN2504">
        <f>IF(2491&lt;$U$9,INT(2491/($U$7*$U$8))+1,1)</f>
        <v/>
      </c>
      <c r="BO2504">
        <f>IF(2491&lt;$U$9,MOD(INT(2491/$U$8),$U$7)+1,1)</f>
        <v/>
      </c>
      <c r="BP2504">
        <f>IF(2491&lt;$U$9,MOD(2491,$U$8)+1,1)</f>
        <v/>
      </c>
      <c r="BQ2504">
        <f>IF(2491&lt;$U$9,SUMPRODUCT(($D$10:$L$10&lt;&gt;"")*(($D$9:$L$9+INT(($S$12:$AA$12+INDEX($AJ$13:$AR$162,BN2504,0)+INDEX($AT$13:$BB$162,BO2504,0)+INDEX($BD$13:$BL$162,BP2504,0))/100))&gt;=$D$10:$L$10)),0)</f>
        <v/>
      </c>
      <c r="BR2504">
        <f>IF(2491&lt;$U$9,SUMPRODUCT(($D$10:$L$10&lt;&gt;"")*(($D$10:$L$10-($D$9:$L$9+INT(($S$12:$AA$12+INDEX($AJ$13:$AR$162,BN2504,0)+INDEX($AT$13:$BB$162,BO2504,0)+INDEX($BD$13:$BL$162,BP2504,0))/100)))&gt;0)*($D$10:$L$10-($D$9:$L$9+INT(($S$12:$AA$12+INDEX($AJ$13:$AR$162,BN2504,0)+INDEX($AT$13:$BB$162,BO2504,0)+INDEX($BD$13:$BL$162,BP2504,0))/100)))),0)</f>
        <v/>
      </c>
      <c r="BS2504">
        <f>IF(2491&lt;$U$9,SUMPRODUCT(($D$9:$L$9+INT(($S$12:$AA$12+INDEX($AJ$13:$AR$162,BN2504,0)+INDEX($AT$13:$BB$162,BO2504,0)+INDEX($BD$13:$BL$162,BP2504,0))/100))),0)</f>
        <v/>
      </c>
      <c r="BT2504">
        <f>IF(AND(2491&lt;$U$9,$W$5),BQ2504*1000000-MIN(BR2504,999)*1000+BS2504-2491/100000,-1000000000-2491)</f>
        <v/>
      </c>
    </row>
    <row r="2505">
      <c r="BN2505">
        <f>IF(2492&lt;$U$9,INT(2492/($U$7*$U$8))+1,1)</f>
        <v/>
      </c>
      <c r="BO2505">
        <f>IF(2492&lt;$U$9,MOD(INT(2492/$U$8),$U$7)+1,1)</f>
        <v/>
      </c>
      <c r="BP2505">
        <f>IF(2492&lt;$U$9,MOD(2492,$U$8)+1,1)</f>
        <v/>
      </c>
      <c r="BQ2505">
        <f>IF(2492&lt;$U$9,SUMPRODUCT(($D$10:$L$10&lt;&gt;"")*(($D$9:$L$9+INT(($S$12:$AA$12+INDEX($AJ$13:$AR$162,BN2505,0)+INDEX($AT$13:$BB$162,BO2505,0)+INDEX($BD$13:$BL$162,BP2505,0))/100))&gt;=$D$10:$L$10)),0)</f>
        <v/>
      </c>
      <c r="BR2505">
        <f>IF(2492&lt;$U$9,SUMPRODUCT(($D$10:$L$10&lt;&gt;"")*(($D$10:$L$10-($D$9:$L$9+INT(($S$12:$AA$12+INDEX($AJ$13:$AR$162,BN2505,0)+INDEX($AT$13:$BB$162,BO2505,0)+INDEX($BD$13:$BL$162,BP2505,0))/100)))&gt;0)*($D$10:$L$10-($D$9:$L$9+INT(($S$12:$AA$12+INDEX($AJ$13:$AR$162,BN2505,0)+INDEX($AT$13:$BB$162,BO2505,0)+INDEX($BD$13:$BL$162,BP2505,0))/100)))),0)</f>
        <v/>
      </c>
      <c r="BS2505">
        <f>IF(2492&lt;$U$9,SUMPRODUCT(($D$9:$L$9+INT(($S$12:$AA$12+INDEX($AJ$13:$AR$162,BN2505,0)+INDEX($AT$13:$BB$162,BO2505,0)+INDEX($BD$13:$BL$162,BP2505,0))/100))),0)</f>
        <v/>
      </c>
      <c r="BT2505">
        <f>IF(AND(2492&lt;$U$9,$W$5),BQ2505*1000000-MIN(BR2505,999)*1000+BS2505-2492/100000,-1000000000-2492)</f>
        <v/>
      </c>
    </row>
    <row r="2506">
      <c r="BN2506">
        <f>IF(2493&lt;$U$9,INT(2493/($U$7*$U$8))+1,1)</f>
        <v/>
      </c>
      <c r="BO2506">
        <f>IF(2493&lt;$U$9,MOD(INT(2493/$U$8),$U$7)+1,1)</f>
        <v/>
      </c>
      <c r="BP2506">
        <f>IF(2493&lt;$U$9,MOD(2493,$U$8)+1,1)</f>
        <v/>
      </c>
      <c r="BQ2506">
        <f>IF(2493&lt;$U$9,SUMPRODUCT(($D$10:$L$10&lt;&gt;"")*(($D$9:$L$9+INT(($S$12:$AA$12+INDEX($AJ$13:$AR$162,BN2506,0)+INDEX($AT$13:$BB$162,BO2506,0)+INDEX($BD$13:$BL$162,BP2506,0))/100))&gt;=$D$10:$L$10)),0)</f>
        <v/>
      </c>
      <c r="BR2506">
        <f>IF(2493&lt;$U$9,SUMPRODUCT(($D$10:$L$10&lt;&gt;"")*(($D$10:$L$10-($D$9:$L$9+INT(($S$12:$AA$12+INDEX($AJ$13:$AR$162,BN2506,0)+INDEX($AT$13:$BB$162,BO2506,0)+INDEX($BD$13:$BL$162,BP2506,0))/100)))&gt;0)*($D$10:$L$10-($D$9:$L$9+INT(($S$12:$AA$12+INDEX($AJ$13:$AR$162,BN2506,0)+INDEX($AT$13:$BB$162,BO2506,0)+INDEX($BD$13:$BL$162,BP2506,0))/100)))),0)</f>
        <v/>
      </c>
      <c r="BS2506">
        <f>IF(2493&lt;$U$9,SUMPRODUCT(($D$9:$L$9+INT(($S$12:$AA$12+INDEX($AJ$13:$AR$162,BN2506,0)+INDEX($AT$13:$BB$162,BO2506,0)+INDEX($BD$13:$BL$162,BP2506,0))/100))),0)</f>
        <v/>
      </c>
      <c r="BT2506">
        <f>IF(AND(2493&lt;$U$9,$W$5),BQ2506*1000000-MIN(BR2506,999)*1000+BS2506-2493/100000,-1000000000-2493)</f>
        <v/>
      </c>
    </row>
    <row r="2507">
      <c r="BN2507">
        <f>IF(2494&lt;$U$9,INT(2494/($U$7*$U$8))+1,1)</f>
        <v/>
      </c>
      <c r="BO2507">
        <f>IF(2494&lt;$U$9,MOD(INT(2494/$U$8),$U$7)+1,1)</f>
        <v/>
      </c>
      <c r="BP2507">
        <f>IF(2494&lt;$U$9,MOD(2494,$U$8)+1,1)</f>
        <v/>
      </c>
      <c r="BQ2507">
        <f>IF(2494&lt;$U$9,SUMPRODUCT(($D$10:$L$10&lt;&gt;"")*(($D$9:$L$9+INT(($S$12:$AA$12+INDEX($AJ$13:$AR$162,BN2507,0)+INDEX($AT$13:$BB$162,BO2507,0)+INDEX($BD$13:$BL$162,BP2507,0))/100))&gt;=$D$10:$L$10)),0)</f>
        <v/>
      </c>
      <c r="BR2507">
        <f>IF(2494&lt;$U$9,SUMPRODUCT(($D$10:$L$10&lt;&gt;"")*(($D$10:$L$10-($D$9:$L$9+INT(($S$12:$AA$12+INDEX($AJ$13:$AR$162,BN2507,0)+INDEX($AT$13:$BB$162,BO2507,0)+INDEX($BD$13:$BL$162,BP2507,0))/100)))&gt;0)*($D$10:$L$10-($D$9:$L$9+INT(($S$12:$AA$12+INDEX($AJ$13:$AR$162,BN2507,0)+INDEX($AT$13:$BB$162,BO2507,0)+INDEX($BD$13:$BL$162,BP2507,0))/100)))),0)</f>
        <v/>
      </c>
      <c r="BS2507">
        <f>IF(2494&lt;$U$9,SUMPRODUCT(($D$9:$L$9+INT(($S$12:$AA$12+INDEX($AJ$13:$AR$162,BN2507,0)+INDEX($AT$13:$BB$162,BO2507,0)+INDEX($BD$13:$BL$162,BP2507,0))/100))),0)</f>
        <v/>
      </c>
      <c r="BT2507">
        <f>IF(AND(2494&lt;$U$9,$W$5),BQ2507*1000000-MIN(BR2507,999)*1000+BS2507-2494/100000,-1000000000-2494)</f>
        <v/>
      </c>
    </row>
    <row r="2508">
      <c r="BN2508">
        <f>IF(2495&lt;$U$9,INT(2495/($U$7*$U$8))+1,1)</f>
        <v/>
      </c>
      <c r="BO2508">
        <f>IF(2495&lt;$U$9,MOD(INT(2495/$U$8),$U$7)+1,1)</f>
        <v/>
      </c>
      <c r="BP2508">
        <f>IF(2495&lt;$U$9,MOD(2495,$U$8)+1,1)</f>
        <v/>
      </c>
      <c r="BQ2508">
        <f>IF(2495&lt;$U$9,SUMPRODUCT(($D$10:$L$10&lt;&gt;"")*(($D$9:$L$9+INT(($S$12:$AA$12+INDEX($AJ$13:$AR$162,BN2508,0)+INDEX($AT$13:$BB$162,BO2508,0)+INDEX($BD$13:$BL$162,BP2508,0))/100))&gt;=$D$10:$L$10)),0)</f>
        <v/>
      </c>
      <c r="BR2508">
        <f>IF(2495&lt;$U$9,SUMPRODUCT(($D$10:$L$10&lt;&gt;"")*(($D$10:$L$10-($D$9:$L$9+INT(($S$12:$AA$12+INDEX($AJ$13:$AR$162,BN2508,0)+INDEX($AT$13:$BB$162,BO2508,0)+INDEX($BD$13:$BL$162,BP2508,0))/100)))&gt;0)*($D$10:$L$10-($D$9:$L$9+INT(($S$12:$AA$12+INDEX($AJ$13:$AR$162,BN2508,0)+INDEX($AT$13:$BB$162,BO2508,0)+INDEX($BD$13:$BL$162,BP2508,0))/100)))),0)</f>
        <v/>
      </c>
      <c r="BS2508">
        <f>IF(2495&lt;$U$9,SUMPRODUCT(($D$9:$L$9+INT(($S$12:$AA$12+INDEX($AJ$13:$AR$162,BN2508,0)+INDEX($AT$13:$BB$162,BO2508,0)+INDEX($BD$13:$BL$162,BP2508,0))/100))),0)</f>
        <v/>
      </c>
      <c r="BT2508">
        <f>IF(AND(2495&lt;$U$9,$W$5),BQ2508*1000000-MIN(BR2508,999)*1000+BS2508-2495/100000,-1000000000-2495)</f>
        <v/>
      </c>
    </row>
    <row r="2509">
      <c r="BN2509">
        <f>IF(2496&lt;$U$9,INT(2496/($U$7*$U$8))+1,1)</f>
        <v/>
      </c>
      <c r="BO2509">
        <f>IF(2496&lt;$U$9,MOD(INT(2496/$U$8),$U$7)+1,1)</f>
        <v/>
      </c>
      <c r="BP2509">
        <f>IF(2496&lt;$U$9,MOD(2496,$U$8)+1,1)</f>
        <v/>
      </c>
      <c r="BQ2509">
        <f>IF(2496&lt;$U$9,SUMPRODUCT(($D$10:$L$10&lt;&gt;"")*(($D$9:$L$9+INT(($S$12:$AA$12+INDEX($AJ$13:$AR$162,BN2509,0)+INDEX($AT$13:$BB$162,BO2509,0)+INDEX($BD$13:$BL$162,BP2509,0))/100))&gt;=$D$10:$L$10)),0)</f>
        <v/>
      </c>
      <c r="BR2509">
        <f>IF(2496&lt;$U$9,SUMPRODUCT(($D$10:$L$10&lt;&gt;"")*(($D$10:$L$10-($D$9:$L$9+INT(($S$12:$AA$12+INDEX($AJ$13:$AR$162,BN2509,0)+INDEX($AT$13:$BB$162,BO2509,0)+INDEX($BD$13:$BL$162,BP2509,0))/100)))&gt;0)*($D$10:$L$10-($D$9:$L$9+INT(($S$12:$AA$12+INDEX($AJ$13:$AR$162,BN2509,0)+INDEX($AT$13:$BB$162,BO2509,0)+INDEX($BD$13:$BL$162,BP2509,0))/100)))),0)</f>
        <v/>
      </c>
      <c r="BS2509">
        <f>IF(2496&lt;$U$9,SUMPRODUCT(($D$9:$L$9+INT(($S$12:$AA$12+INDEX($AJ$13:$AR$162,BN2509,0)+INDEX($AT$13:$BB$162,BO2509,0)+INDEX($BD$13:$BL$162,BP2509,0))/100))),0)</f>
        <v/>
      </c>
      <c r="BT2509">
        <f>IF(AND(2496&lt;$U$9,$W$5),BQ2509*1000000-MIN(BR2509,999)*1000+BS2509-2496/100000,-1000000000-2496)</f>
        <v/>
      </c>
    </row>
    <row r="2510">
      <c r="BN2510">
        <f>IF(2497&lt;$U$9,INT(2497/($U$7*$U$8))+1,1)</f>
        <v/>
      </c>
      <c r="BO2510">
        <f>IF(2497&lt;$U$9,MOD(INT(2497/$U$8),$U$7)+1,1)</f>
        <v/>
      </c>
      <c r="BP2510">
        <f>IF(2497&lt;$U$9,MOD(2497,$U$8)+1,1)</f>
        <v/>
      </c>
      <c r="BQ2510">
        <f>IF(2497&lt;$U$9,SUMPRODUCT(($D$10:$L$10&lt;&gt;"")*(($D$9:$L$9+INT(($S$12:$AA$12+INDEX($AJ$13:$AR$162,BN2510,0)+INDEX($AT$13:$BB$162,BO2510,0)+INDEX($BD$13:$BL$162,BP2510,0))/100))&gt;=$D$10:$L$10)),0)</f>
        <v/>
      </c>
      <c r="BR2510">
        <f>IF(2497&lt;$U$9,SUMPRODUCT(($D$10:$L$10&lt;&gt;"")*(($D$10:$L$10-($D$9:$L$9+INT(($S$12:$AA$12+INDEX($AJ$13:$AR$162,BN2510,0)+INDEX($AT$13:$BB$162,BO2510,0)+INDEX($BD$13:$BL$162,BP2510,0))/100)))&gt;0)*($D$10:$L$10-($D$9:$L$9+INT(($S$12:$AA$12+INDEX($AJ$13:$AR$162,BN2510,0)+INDEX($AT$13:$BB$162,BO2510,0)+INDEX($BD$13:$BL$162,BP2510,0))/100)))),0)</f>
        <v/>
      </c>
      <c r="BS2510">
        <f>IF(2497&lt;$U$9,SUMPRODUCT(($D$9:$L$9+INT(($S$12:$AA$12+INDEX($AJ$13:$AR$162,BN2510,0)+INDEX($AT$13:$BB$162,BO2510,0)+INDEX($BD$13:$BL$162,BP2510,0))/100))),0)</f>
        <v/>
      </c>
      <c r="BT2510">
        <f>IF(AND(2497&lt;$U$9,$W$5),BQ2510*1000000-MIN(BR2510,999)*1000+BS2510-2497/100000,-1000000000-2497)</f>
        <v/>
      </c>
    </row>
    <row r="2511">
      <c r="BN2511">
        <f>IF(2498&lt;$U$9,INT(2498/($U$7*$U$8))+1,1)</f>
        <v/>
      </c>
      <c r="BO2511">
        <f>IF(2498&lt;$U$9,MOD(INT(2498/$U$8),$U$7)+1,1)</f>
        <v/>
      </c>
      <c r="BP2511">
        <f>IF(2498&lt;$U$9,MOD(2498,$U$8)+1,1)</f>
        <v/>
      </c>
      <c r="BQ2511">
        <f>IF(2498&lt;$U$9,SUMPRODUCT(($D$10:$L$10&lt;&gt;"")*(($D$9:$L$9+INT(($S$12:$AA$12+INDEX($AJ$13:$AR$162,BN2511,0)+INDEX($AT$13:$BB$162,BO2511,0)+INDEX($BD$13:$BL$162,BP2511,0))/100))&gt;=$D$10:$L$10)),0)</f>
        <v/>
      </c>
      <c r="BR2511">
        <f>IF(2498&lt;$U$9,SUMPRODUCT(($D$10:$L$10&lt;&gt;"")*(($D$10:$L$10-($D$9:$L$9+INT(($S$12:$AA$12+INDEX($AJ$13:$AR$162,BN2511,0)+INDEX($AT$13:$BB$162,BO2511,0)+INDEX($BD$13:$BL$162,BP2511,0))/100)))&gt;0)*($D$10:$L$10-($D$9:$L$9+INT(($S$12:$AA$12+INDEX($AJ$13:$AR$162,BN2511,0)+INDEX($AT$13:$BB$162,BO2511,0)+INDEX($BD$13:$BL$162,BP2511,0))/100)))),0)</f>
        <v/>
      </c>
      <c r="BS2511">
        <f>IF(2498&lt;$U$9,SUMPRODUCT(($D$9:$L$9+INT(($S$12:$AA$12+INDEX($AJ$13:$AR$162,BN2511,0)+INDEX($AT$13:$BB$162,BO2511,0)+INDEX($BD$13:$BL$162,BP2511,0))/100))),0)</f>
        <v/>
      </c>
      <c r="BT2511">
        <f>IF(AND(2498&lt;$U$9,$W$5),BQ2511*1000000-MIN(BR2511,999)*1000+BS2511-2498/100000,-1000000000-2498)</f>
        <v/>
      </c>
    </row>
    <row r="2512">
      <c r="BN2512">
        <f>IF(2499&lt;$U$9,INT(2499/($U$7*$U$8))+1,1)</f>
        <v/>
      </c>
      <c r="BO2512">
        <f>IF(2499&lt;$U$9,MOD(INT(2499/$U$8),$U$7)+1,1)</f>
        <v/>
      </c>
      <c r="BP2512">
        <f>IF(2499&lt;$U$9,MOD(2499,$U$8)+1,1)</f>
        <v/>
      </c>
      <c r="BQ2512">
        <f>IF(2499&lt;$U$9,SUMPRODUCT(($D$10:$L$10&lt;&gt;"")*(($D$9:$L$9+INT(($S$12:$AA$12+INDEX($AJ$13:$AR$162,BN2512,0)+INDEX($AT$13:$BB$162,BO2512,0)+INDEX($BD$13:$BL$162,BP2512,0))/100))&gt;=$D$10:$L$10)),0)</f>
        <v/>
      </c>
      <c r="BR2512">
        <f>IF(2499&lt;$U$9,SUMPRODUCT(($D$10:$L$10&lt;&gt;"")*(($D$10:$L$10-($D$9:$L$9+INT(($S$12:$AA$12+INDEX($AJ$13:$AR$162,BN2512,0)+INDEX($AT$13:$BB$162,BO2512,0)+INDEX($BD$13:$BL$162,BP2512,0))/100)))&gt;0)*($D$10:$L$10-($D$9:$L$9+INT(($S$12:$AA$12+INDEX($AJ$13:$AR$162,BN2512,0)+INDEX($AT$13:$BB$162,BO2512,0)+INDEX($BD$13:$BL$162,BP2512,0))/100)))),0)</f>
        <v/>
      </c>
      <c r="BS2512">
        <f>IF(2499&lt;$U$9,SUMPRODUCT(($D$9:$L$9+INT(($S$12:$AA$12+INDEX($AJ$13:$AR$162,BN2512,0)+INDEX($AT$13:$BB$162,BO2512,0)+INDEX($BD$13:$BL$162,BP2512,0))/100))),0)</f>
        <v/>
      </c>
      <c r="BT2512">
        <f>IF(AND(2499&lt;$U$9,$W$5),BQ2512*1000000-MIN(BR2512,999)*1000+BS2512-2499/100000,-1000000000-2499)</f>
        <v/>
      </c>
    </row>
    <row r="2513">
      <c r="BN2513">
        <f>IF(2500&lt;$U$9,INT(2500/($U$7*$U$8))+1,1)</f>
        <v/>
      </c>
      <c r="BO2513">
        <f>IF(2500&lt;$U$9,MOD(INT(2500/$U$8),$U$7)+1,1)</f>
        <v/>
      </c>
      <c r="BP2513">
        <f>IF(2500&lt;$U$9,MOD(2500,$U$8)+1,1)</f>
        <v/>
      </c>
      <c r="BQ2513">
        <f>IF(2500&lt;$U$9,SUMPRODUCT(($D$10:$L$10&lt;&gt;"")*(($D$9:$L$9+INT(($S$12:$AA$12+INDEX($AJ$13:$AR$162,BN2513,0)+INDEX($AT$13:$BB$162,BO2513,0)+INDEX($BD$13:$BL$162,BP2513,0))/100))&gt;=$D$10:$L$10)),0)</f>
        <v/>
      </c>
      <c r="BR2513">
        <f>IF(2500&lt;$U$9,SUMPRODUCT(($D$10:$L$10&lt;&gt;"")*(($D$10:$L$10-($D$9:$L$9+INT(($S$12:$AA$12+INDEX($AJ$13:$AR$162,BN2513,0)+INDEX($AT$13:$BB$162,BO2513,0)+INDEX($BD$13:$BL$162,BP2513,0))/100)))&gt;0)*($D$10:$L$10-($D$9:$L$9+INT(($S$12:$AA$12+INDEX($AJ$13:$AR$162,BN2513,0)+INDEX($AT$13:$BB$162,BO2513,0)+INDEX($BD$13:$BL$162,BP2513,0))/100)))),0)</f>
        <v/>
      </c>
      <c r="BS2513">
        <f>IF(2500&lt;$U$9,SUMPRODUCT(($D$9:$L$9+INT(($S$12:$AA$12+INDEX($AJ$13:$AR$162,BN2513,0)+INDEX($AT$13:$BB$162,BO2513,0)+INDEX($BD$13:$BL$162,BP2513,0))/100))),0)</f>
        <v/>
      </c>
      <c r="BT2513">
        <f>IF(AND(2500&lt;$U$9,$W$5),BQ2513*1000000-MIN(BR2513,999)*1000+BS2513-2500/100000,-1000000000-2500)</f>
        <v/>
      </c>
    </row>
    <row r="2514">
      <c r="BN2514">
        <f>IF(2501&lt;$U$9,INT(2501/($U$7*$U$8))+1,1)</f>
        <v/>
      </c>
      <c r="BO2514">
        <f>IF(2501&lt;$U$9,MOD(INT(2501/$U$8),$U$7)+1,1)</f>
        <v/>
      </c>
      <c r="BP2514">
        <f>IF(2501&lt;$U$9,MOD(2501,$U$8)+1,1)</f>
        <v/>
      </c>
      <c r="BQ2514">
        <f>IF(2501&lt;$U$9,SUMPRODUCT(($D$10:$L$10&lt;&gt;"")*(($D$9:$L$9+INT(($S$12:$AA$12+INDEX($AJ$13:$AR$162,BN2514,0)+INDEX($AT$13:$BB$162,BO2514,0)+INDEX($BD$13:$BL$162,BP2514,0))/100))&gt;=$D$10:$L$10)),0)</f>
        <v/>
      </c>
      <c r="BR2514">
        <f>IF(2501&lt;$U$9,SUMPRODUCT(($D$10:$L$10&lt;&gt;"")*(($D$10:$L$10-($D$9:$L$9+INT(($S$12:$AA$12+INDEX($AJ$13:$AR$162,BN2514,0)+INDEX($AT$13:$BB$162,BO2514,0)+INDEX($BD$13:$BL$162,BP2514,0))/100)))&gt;0)*($D$10:$L$10-($D$9:$L$9+INT(($S$12:$AA$12+INDEX($AJ$13:$AR$162,BN2514,0)+INDEX($AT$13:$BB$162,BO2514,0)+INDEX($BD$13:$BL$162,BP2514,0))/100)))),0)</f>
        <v/>
      </c>
      <c r="BS2514">
        <f>IF(2501&lt;$U$9,SUMPRODUCT(($D$9:$L$9+INT(($S$12:$AA$12+INDEX($AJ$13:$AR$162,BN2514,0)+INDEX($AT$13:$BB$162,BO2514,0)+INDEX($BD$13:$BL$162,BP2514,0))/100))),0)</f>
        <v/>
      </c>
      <c r="BT2514">
        <f>IF(AND(2501&lt;$U$9,$W$5),BQ2514*1000000-MIN(BR2514,999)*1000+BS2514-2501/100000,-1000000000-2501)</f>
        <v/>
      </c>
    </row>
    <row r="2515">
      <c r="BN2515">
        <f>IF(2502&lt;$U$9,INT(2502/($U$7*$U$8))+1,1)</f>
        <v/>
      </c>
      <c r="BO2515">
        <f>IF(2502&lt;$U$9,MOD(INT(2502/$U$8),$U$7)+1,1)</f>
        <v/>
      </c>
      <c r="BP2515">
        <f>IF(2502&lt;$U$9,MOD(2502,$U$8)+1,1)</f>
        <v/>
      </c>
      <c r="BQ2515">
        <f>IF(2502&lt;$U$9,SUMPRODUCT(($D$10:$L$10&lt;&gt;"")*(($D$9:$L$9+INT(($S$12:$AA$12+INDEX($AJ$13:$AR$162,BN2515,0)+INDEX($AT$13:$BB$162,BO2515,0)+INDEX($BD$13:$BL$162,BP2515,0))/100))&gt;=$D$10:$L$10)),0)</f>
        <v/>
      </c>
      <c r="BR2515">
        <f>IF(2502&lt;$U$9,SUMPRODUCT(($D$10:$L$10&lt;&gt;"")*(($D$10:$L$10-($D$9:$L$9+INT(($S$12:$AA$12+INDEX($AJ$13:$AR$162,BN2515,0)+INDEX($AT$13:$BB$162,BO2515,0)+INDEX($BD$13:$BL$162,BP2515,0))/100)))&gt;0)*($D$10:$L$10-($D$9:$L$9+INT(($S$12:$AA$12+INDEX($AJ$13:$AR$162,BN2515,0)+INDEX($AT$13:$BB$162,BO2515,0)+INDEX($BD$13:$BL$162,BP2515,0))/100)))),0)</f>
        <v/>
      </c>
      <c r="BS2515">
        <f>IF(2502&lt;$U$9,SUMPRODUCT(($D$9:$L$9+INT(($S$12:$AA$12+INDEX($AJ$13:$AR$162,BN2515,0)+INDEX($AT$13:$BB$162,BO2515,0)+INDEX($BD$13:$BL$162,BP2515,0))/100))),0)</f>
        <v/>
      </c>
      <c r="BT2515">
        <f>IF(AND(2502&lt;$U$9,$W$5),BQ2515*1000000-MIN(BR2515,999)*1000+BS2515-2502/100000,-1000000000-2502)</f>
        <v/>
      </c>
    </row>
    <row r="2516">
      <c r="BN2516">
        <f>IF(2503&lt;$U$9,INT(2503/($U$7*$U$8))+1,1)</f>
        <v/>
      </c>
      <c r="BO2516">
        <f>IF(2503&lt;$U$9,MOD(INT(2503/$U$8),$U$7)+1,1)</f>
        <v/>
      </c>
      <c r="BP2516">
        <f>IF(2503&lt;$U$9,MOD(2503,$U$8)+1,1)</f>
        <v/>
      </c>
      <c r="BQ2516">
        <f>IF(2503&lt;$U$9,SUMPRODUCT(($D$10:$L$10&lt;&gt;"")*(($D$9:$L$9+INT(($S$12:$AA$12+INDEX($AJ$13:$AR$162,BN2516,0)+INDEX($AT$13:$BB$162,BO2516,0)+INDEX($BD$13:$BL$162,BP2516,0))/100))&gt;=$D$10:$L$10)),0)</f>
        <v/>
      </c>
      <c r="BR2516">
        <f>IF(2503&lt;$U$9,SUMPRODUCT(($D$10:$L$10&lt;&gt;"")*(($D$10:$L$10-($D$9:$L$9+INT(($S$12:$AA$12+INDEX($AJ$13:$AR$162,BN2516,0)+INDEX($AT$13:$BB$162,BO2516,0)+INDEX($BD$13:$BL$162,BP2516,0))/100)))&gt;0)*($D$10:$L$10-($D$9:$L$9+INT(($S$12:$AA$12+INDEX($AJ$13:$AR$162,BN2516,0)+INDEX($AT$13:$BB$162,BO2516,0)+INDEX($BD$13:$BL$162,BP2516,0))/100)))),0)</f>
        <v/>
      </c>
      <c r="BS2516">
        <f>IF(2503&lt;$U$9,SUMPRODUCT(($D$9:$L$9+INT(($S$12:$AA$12+INDEX($AJ$13:$AR$162,BN2516,0)+INDEX($AT$13:$BB$162,BO2516,0)+INDEX($BD$13:$BL$162,BP2516,0))/100))),0)</f>
        <v/>
      </c>
      <c r="BT2516">
        <f>IF(AND(2503&lt;$U$9,$W$5),BQ2516*1000000-MIN(BR2516,999)*1000+BS2516-2503/100000,-1000000000-2503)</f>
        <v/>
      </c>
    </row>
    <row r="2517">
      <c r="BN2517">
        <f>IF(2504&lt;$U$9,INT(2504/($U$7*$U$8))+1,1)</f>
        <v/>
      </c>
      <c r="BO2517">
        <f>IF(2504&lt;$U$9,MOD(INT(2504/$U$8),$U$7)+1,1)</f>
        <v/>
      </c>
      <c r="BP2517">
        <f>IF(2504&lt;$U$9,MOD(2504,$U$8)+1,1)</f>
        <v/>
      </c>
      <c r="BQ2517">
        <f>IF(2504&lt;$U$9,SUMPRODUCT(($D$10:$L$10&lt;&gt;"")*(($D$9:$L$9+INT(($S$12:$AA$12+INDEX($AJ$13:$AR$162,BN2517,0)+INDEX($AT$13:$BB$162,BO2517,0)+INDEX($BD$13:$BL$162,BP2517,0))/100))&gt;=$D$10:$L$10)),0)</f>
        <v/>
      </c>
      <c r="BR2517">
        <f>IF(2504&lt;$U$9,SUMPRODUCT(($D$10:$L$10&lt;&gt;"")*(($D$10:$L$10-($D$9:$L$9+INT(($S$12:$AA$12+INDEX($AJ$13:$AR$162,BN2517,0)+INDEX($AT$13:$BB$162,BO2517,0)+INDEX($BD$13:$BL$162,BP2517,0))/100)))&gt;0)*($D$10:$L$10-($D$9:$L$9+INT(($S$12:$AA$12+INDEX($AJ$13:$AR$162,BN2517,0)+INDEX($AT$13:$BB$162,BO2517,0)+INDEX($BD$13:$BL$162,BP2517,0))/100)))),0)</f>
        <v/>
      </c>
      <c r="BS2517">
        <f>IF(2504&lt;$U$9,SUMPRODUCT(($D$9:$L$9+INT(($S$12:$AA$12+INDEX($AJ$13:$AR$162,BN2517,0)+INDEX($AT$13:$BB$162,BO2517,0)+INDEX($BD$13:$BL$162,BP2517,0))/100))),0)</f>
        <v/>
      </c>
      <c r="BT2517">
        <f>IF(AND(2504&lt;$U$9,$W$5),BQ2517*1000000-MIN(BR2517,999)*1000+BS2517-2504/100000,-1000000000-2504)</f>
        <v/>
      </c>
    </row>
    <row r="2518">
      <c r="BN2518">
        <f>IF(2505&lt;$U$9,INT(2505/($U$7*$U$8))+1,1)</f>
        <v/>
      </c>
      <c r="BO2518">
        <f>IF(2505&lt;$U$9,MOD(INT(2505/$U$8),$U$7)+1,1)</f>
        <v/>
      </c>
      <c r="BP2518">
        <f>IF(2505&lt;$U$9,MOD(2505,$U$8)+1,1)</f>
        <v/>
      </c>
      <c r="BQ2518">
        <f>IF(2505&lt;$U$9,SUMPRODUCT(($D$10:$L$10&lt;&gt;"")*(($D$9:$L$9+INT(($S$12:$AA$12+INDEX($AJ$13:$AR$162,BN2518,0)+INDEX($AT$13:$BB$162,BO2518,0)+INDEX($BD$13:$BL$162,BP2518,0))/100))&gt;=$D$10:$L$10)),0)</f>
        <v/>
      </c>
      <c r="BR2518">
        <f>IF(2505&lt;$U$9,SUMPRODUCT(($D$10:$L$10&lt;&gt;"")*(($D$10:$L$10-($D$9:$L$9+INT(($S$12:$AA$12+INDEX($AJ$13:$AR$162,BN2518,0)+INDEX($AT$13:$BB$162,BO2518,0)+INDEX($BD$13:$BL$162,BP2518,0))/100)))&gt;0)*($D$10:$L$10-($D$9:$L$9+INT(($S$12:$AA$12+INDEX($AJ$13:$AR$162,BN2518,0)+INDEX($AT$13:$BB$162,BO2518,0)+INDEX($BD$13:$BL$162,BP2518,0))/100)))),0)</f>
        <v/>
      </c>
      <c r="BS2518">
        <f>IF(2505&lt;$U$9,SUMPRODUCT(($D$9:$L$9+INT(($S$12:$AA$12+INDEX($AJ$13:$AR$162,BN2518,0)+INDEX($AT$13:$BB$162,BO2518,0)+INDEX($BD$13:$BL$162,BP2518,0))/100))),0)</f>
        <v/>
      </c>
      <c r="BT2518">
        <f>IF(AND(2505&lt;$U$9,$W$5),BQ2518*1000000-MIN(BR2518,999)*1000+BS2518-2505/100000,-1000000000-2505)</f>
        <v/>
      </c>
    </row>
    <row r="2519">
      <c r="BN2519">
        <f>IF(2506&lt;$U$9,INT(2506/($U$7*$U$8))+1,1)</f>
        <v/>
      </c>
      <c r="BO2519">
        <f>IF(2506&lt;$U$9,MOD(INT(2506/$U$8),$U$7)+1,1)</f>
        <v/>
      </c>
      <c r="BP2519">
        <f>IF(2506&lt;$U$9,MOD(2506,$U$8)+1,1)</f>
        <v/>
      </c>
      <c r="BQ2519">
        <f>IF(2506&lt;$U$9,SUMPRODUCT(($D$10:$L$10&lt;&gt;"")*(($D$9:$L$9+INT(($S$12:$AA$12+INDEX($AJ$13:$AR$162,BN2519,0)+INDEX($AT$13:$BB$162,BO2519,0)+INDEX($BD$13:$BL$162,BP2519,0))/100))&gt;=$D$10:$L$10)),0)</f>
        <v/>
      </c>
      <c r="BR2519">
        <f>IF(2506&lt;$U$9,SUMPRODUCT(($D$10:$L$10&lt;&gt;"")*(($D$10:$L$10-($D$9:$L$9+INT(($S$12:$AA$12+INDEX($AJ$13:$AR$162,BN2519,0)+INDEX($AT$13:$BB$162,BO2519,0)+INDEX($BD$13:$BL$162,BP2519,0))/100)))&gt;0)*($D$10:$L$10-($D$9:$L$9+INT(($S$12:$AA$12+INDEX($AJ$13:$AR$162,BN2519,0)+INDEX($AT$13:$BB$162,BO2519,0)+INDEX($BD$13:$BL$162,BP2519,0))/100)))),0)</f>
        <v/>
      </c>
      <c r="BS2519">
        <f>IF(2506&lt;$U$9,SUMPRODUCT(($D$9:$L$9+INT(($S$12:$AA$12+INDEX($AJ$13:$AR$162,BN2519,0)+INDEX($AT$13:$BB$162,BO2519,0)+INDEX($BD$13:$BL$162,BP2519,0))/100))),0)</f>
        <v/>
      </c>
      <c r="BT2519">
        <f>IF(AND(2506&lt;$U$9,$W$5),BQ2519*1000000-MIN(BR2519,999)*1000+BS2519-2506/100000,-1000000000-2506)</f>
        <v/>
      </c>
    </row>
    <row r="2520">
      <c r="BN2520">
        <f>IF(2507&lt;$U$9,INT(2507/($U$7*$U$8))+1,1)</f>
        <v/>
      </c>
      <c r="BO2520">
        <f>IF(2507&lt;$U$9,MOD(INT(2507/$U$8),$U$7)+1,1)</f>
        <v/>
      </c>
      <c r="BP2520">
        <f>IF(2507&lt;$U$9,MOD(2507,$U$8)+1,1)</f>
        <v/>
      </c>
      <c r="BQ2520">
        <f>IF(2507&lt;$U$9,SUMPRODUCT(($D$10:$L$10&lt;&gt;"")*(($D$9:$L$9+INT(($S$12:$AA$12+INDEX($AJ$13:$AR$162,BN2520,0)+INDEX($AT$13:$BB$162,BO2520,0)+INDEX($BD$13:$BL$162,BP2520,0))/100))&gt;=$D$10:$L$10)),0)</f>
        <v/>
      </c>
      <c r="BR2520">
        <f>IF(2507&lt;$U$9,SUMPRODUCT(($D$10:$L$10&lt;&gt;"")*(($D$10:$L$10-($D$9:$L$9+INT(($S$12:$AA$12+INDEX($AJ$13:$AR$162,BN2520,0)+INDEX($AT$13:$BB$162,BO2520,0)+INDEX($BD$13:$BL$162,BP2520,0))/100)))&gt;0)*($D$10:$L$10-($D$9:$L$9+INT(($S$12:$AA$12+INDEX($AJ$13:$AR$162,BN2520,0)+INDEX($AT$13:$BB$162,BO2520,0)+INDEX($BD$13:$BL$162,BP2520,0))/100)))),0)</f>
        <v/>
      </c>
      <c r="BS2520">
        <f>IF(2507&lt;$U$9,SUMPRODUCT(($D$9:$L$9+INT(($S$12:$AA$12+INDEX($AJ$13:$AR$162,BN2520,0)+INDEX($AT$13:$BB$162,BO2520,0)+INDEX($BD$13:$BL$162,BP2520,0))/100))),0)</f>
        <v/>
      </c>
      <c r="BT2520">
        <f>IF(AND(2507&lt;$U$9,$W$5),BQ2520*1000000-MIN(BR2520,999)*1000+BS2520-2507/100000,-1000000000-2507)</f>
        <v/>
      </c>
    </row>
    <row r="2521">
      <c r="BN2521">
        <f>IF(2508&lt;$U$9,INT(2508/($U$7*$U$8))+1,1)</f>
        <v/>
      </c>
      <c r="BO2521">
        <f>IF(2508&lt;$U$9,MOD(INT(2508/$U$8),$U$7)+1,1)</f>
        <v/>
      </c>
      <c r="BP2521">
        <f>IF(2508&lt;$U$9,MOD(2508,$U$8)+1,1)</f>
        <v/>
      </c>
      <c r="BQ2521">
        <f>IF(2508&lt;$U$9,SUMPRODUCT(($D$10:$L$10&lt;&gt;"")*(($D$9:$L$9+INT(($S$12:$AA$12+INDEX($AJ$13:$AR$162,BN2521,0)+INDEX($AT$13:$BB$162,BO2521,0)+INDEX($BD$13:$BL$162,BP2521,0))/100))&gt;=$D$10:$L$10)),0)</f>
        <v/>
      </c>
      <c r="BR2521">
        <f>IF(2508&lt;$U$9,SUMPRODUCT(($D$10:$L$10&lt;&gt;"")*(($D$10:$L$10-($D$9:$L$9+INT(($S$12:$AA$12+INDEX($AJ$13:$AR$162,BN2521,0)+INDEX($AT$13:$BB$162,BO2521,0)+INDEX($BD$13:$BL$162,BP2521,0))/100)))&gt;0)*($D$10:$L$10-($D$9:$L$9+INT(($S$12:$AA$12+INDEX($AJ$13:$AR$162,BN2521,0)+INDEX($AT$13:$BB$162,BO2521,0)+INDEX($BD$13:$BL$162,BP2521,0))/100)))),0)</f>
        <v/>
      </c>
      <c r="BS2521">
        <f>IF(2508&lt;$U$9,SUMPRODUCT(($D$9:$L$9+INT(($S$12:$AA$12+INDEX($AJ$13:$AR$162,BN2521,0)+INDEX($AT$13:$BB$162,BO2521,0)+INDEX($BD$13:$BL$162,BP2521,0))/100))),0)</f>
        <v/>
      </c>
      <c r="BT2521">
        <f>IF(AND(2508&lt;$U$9,$W$5),BQ2521*1000000-MIN(BR2521,999)*1000+BS2521-2508/100000,-1000000000-2508)</f>
        <v/>
      </c>
    </row>
    <row r="2522">
      <c r="BN2522">
        <f>IF(2509&lt;$U$9,INT(2509/($U$7*$U$8))+1,1)</f>
        <v/>
      </c>
      <c r="BO2522">
        <f>IF(2509&lt;$U$9,MOD(INT(2509/$U$8),$U$7)+1,1)</f>
        <v/>
      </c>
      <c r="BP2522">
        <f>IF(2509&lt;$U$9,MOD(2509,$U$8)+1,1)</f>
        <v/>
      </c>
      <c r="BQ2522">
        <f>IF(2509&lt;$U$9,SUMPRODUCT(($D$10:$L$10&lt;&gt;"")*(($D$9:$L$9+INT(($S$12:$AA$12+INDEX($AJ$13:$AR$162,BN2522,0)+INDEX($AT$13:$BB$162,BO2522,0)+INDEX($BD$13:$BL$162,BP2522,0))/100))&gt;=$D$10:$L$10)),0)</f>
        <v/>
      </c>
      <c r="BR2522">
        <f>IF(2509&lt;$U$9,SUMPRODUCT(($D$10:$L$10&lt;&gt;"")*(($D$10:$L$10-($D$9:$L$9+INT(($S$12:$AA$12+INDEX($AJ$13:$AR$162,BN2522,0)+INDEX($AT$13:$BB$162,BO2522,0)+INDEX($BD$13:$BL$162,BP2522,0))/100)))&gt;0)*($D$10:$L$10-($D$9:$L$9+INT(($S$12:$AA$12+INDEX($AJ$13:$AR$162,BN2522,0)+INDEX($AT$13:$BB$162,BO2522,0)+INDEX($BD$13:$BL$162,BP2522,0))/100)))),0)</f>
        <v/>
      </c>
      <c r="BS2522">
        <f>IF(2509&lt;$U$9,SUMPRODUCT(($D$9:$L$9+INT(($S$12:$AA$12+INDEX($AJ$13:$AR$162,BN2522,0)+INDEX($AT$13:$BB$162,BO2522,0)+INDEX($BD$13:$BL$162,BP2522,0))/100))),0)</f>
        <v/>
      </c>
      <c r="BT2522">
        <f>IF(AND(2509&lt;$U$9,$W$5),BQ2522*1000000-MIN(BR2522,999)*1000+BS2522-2509/100000,-1000000000-2509)</f>
        <v/>
      </c>
    </row>
    <row r="2523">
      <c r="BN2523">
        <f>IF(2510&lt;$U$9,INT(2510/($U$7*$U$8))+1,1)</f>
        <v/>
      </c>
      <c r="BO2523">
        <f>IF(2510&lt;$U$9,MOD(INT(2510/$U$8),$U$7)+1,1)</f>
        <v/>
      </c>
      <c r="BP2523">
        <f>IF(2510&lt;$U$9,MOD(2510,$U$8)+1,1)</f>
        <v/>
      </c>
      <c r="BQ2523">
        <f>IF(2510&lt;$U$9,SUMPRODUCT(($D$10:$L$10&lt;&gt;"")*(($D$9:$L$9+INT(($S$12:$AA$12+INDEX($AJ$13:$AR$162,BN2523,0)+INDEX($AT$13:$BB$162,BO2523,0)+INDEX($BD$13:$BL$162,BP2523,0))/100))&gt;=$D$10:$L$10)),0)</f>
        <v/>
      </c>
      <c r="BR2523">
        <f>IF(2510&lt;$U$9,SUMPRODUCT(($D$10:$L$10&lt;&gt;"")*(($D$10:$L$10-($D$9:$L$9+INT(($S$12:$AA$12+INDEX($AJ$13:$AR$162,BN2523,0)+INDEX($AT$13:$BB$162,BO2523,0)+INDEX($BD$13:$BL$162,BP2523,0))/100)))&gt;0)*($D$10:$L$10-($D$9:$L$9+INT(($S$12:$AA$12+INDEX($AJ$13:$AR$162,BN2523,0)+INDEX($AT$13:$BB$162,BO2523,0)+INDEX($BD$13:$BL$162,BP2523,0))/100)))),0)</f>
        <v/>
      </c>
      <c r="BS2523">
        <f>IF(2510&lt;$U$9,SUMPRODUCT(($D$9:$L$9+INT(($S$12:$AA$12+INDEX($AJ$13:$AR$162,BN2523,0)+INDEX($AT$13:$BB$162,BO2523,0)+INDEX($BD$13:$BL$162,BP2523,0))/100))),0)</f>
        <v/>
      </c>
      <c r="BT2523">
        <f>IF(AND(2510&lt;$U$9,$W$5),BQ2523*1000000-MIN(BR2523,999)*1000+BS2523-2510/100000,-1000000000-2510)</f>
        <v/>
      </c>
    </row>
    <row r="2524">
      <c r="BN2524">
        <f>IF(2511&lt;$U$9,INT(2511/($U$7*$U$8))+1,1)</f>
        <v/>
      </c>
      <c r="BO2524">
        <f>IF(2511&lt;$U$9,MOD(INT(2511/$U$8),$U$7)+1,1)</f>
        <v/>
      </c>
      <c r="BP2524">
        <f>IF(2511&lt;$U$9,MOD(2511,$U$8)+1,1)</f>
        <v/>
      </c>
      <c r="BQ2524">
        <f>IF(2511&lt;$U$9,SUMPRODUCT(($D$10:$L$10&lt;&gt;"")*(($D$9:$L$9+INT(($S$12:$AA$12+INDEX($AJ$13:$AR$162,BN2524,0)+INDEX($AT$13:$BB$162,BO2524,0)+INDEX($BD$13:$BL$162,BP2524,0))/100))&gt;=$D$10:$L$10)),0)</f>
        <v/>
      </c>
      <c r="BR2524">
        <f>IF(2511&lt;$U$9,SUMPRODUCT(($D$10:$L$10&lt;&gt;"")*(($D$10:$L$10-($D$9:$L$9+INT(($S$12:$AA$12+INDEX($AJ$13:$AR$162,BN2524,0)+INDEX($AT$13:$BB$162,BO2524,0)+INDEX($BD$13:$BL$162,BP2524,0))/100)))&gt;0)*($D$10:$L$10-($D$9:$L$9+INT(($S$12:$AA$12+INDEX($AJ$13:$AR$162,BN2524,0)+INDEX($AT$13:$BB$162,BO2524,0)+INDEX($BD$13:$BL$162,BP2524,0))/100)))),0)</f>
        <v/>
      </c>
      <c r="BS2524">
        <f>IF(2511&lt;$U$9,SUMPRODUCT(($D$9:$L$9+INT(($S$12:$AA$12+INDEX($AJ$13:$AR$162,BN2524,0)+INDEX($AT$13:$BB$162,BO2524,0)+INDEX($BD$13:$BL$162,BP2524,0))/100))),0)</f>
        <v/>
      </c>
      <c r="BT2524">
        <f>IF(AND(2511&lt;$U$9,$W$5),BQ2524*1000000-MIN(BR2524,999)*1000+BS2524-2511/100000,-1000000000-2511)</f>
        <v/>
      </c>
    </row>
    <row r="2525">
      <c r="BN2525">
        <f>IF(2512&lt;$U$9,INT(2512/($U$7*$U$8))+1,1)</f>
        <v/>
      </c>
      <c r="BO2525">
        <f>IF(2512&lt;$U$9,MOD(INT(2512/$U$8),$U$7)+1,1)</f>
        <v/>
      </c>
      <c r="BP2525">
        <f>IF(2512&lt;$U$9,MOD(2512,$U$8)+1,1)</f>
        <v/>
      </c>
      <c r="BQ2525">
        <f>IF(2512&lt;$U$9,SUMPRODUCT(($D$10:$L$10&lt;&gt;"")*(($D$9:$L$9+INT(($S$12:$AA$12+INDEX($AJ$13:$AR$162,BN2525,0)+INDEX($AT$13:$BB$162,BO2525,0)+INDEX($BD$13:$BL$162,BP2525,0))/100))&gt;=$D$10:$L$10)),0)</f>
        <v/>
      </c>
      <c r="BR2525">
        <f>IF(2512&lt;$U$9,SUMPRODUCT(($D$10:$L$10&lt;&gt;"")*(($D$10:$L$10-($D$9:$L$9+INT(($S$12:$AA$12+INDEX($AJ$13:$AR$162,BN2525,0)+INDEX($AT$13:$BB$162,BO2525,0)+INDEX($BD$13:$BL$162,BP2525,0))/100)))&gt;0)*($D$10:$L$10-($D$9:$L$9+INT(($S$12:$AA$12+INDEX($AJ$13:$AR$162,BN2525,0)+INDEX($AT$13:$BB$162,BO2525,0)+INDEX($BD$13:$BL$162,BP2525,0))/100)))),0)</f>
        <v/>
      </c>
      <c r="BS2525">
        <f>IF(2512&lt;$U$9,SUMPRODUCT(($D$9:$L$9+INT(($S$12:$AA$12+INDEX($AJ$13:$AR$162,BN2525,0)+INDEX($AT$13:$BB$162,BO2525,0)+INDEX($BD$13:$BL$162,BP2525,0))/100))),0)</f>
        <v/>
      </c>
      <c r="BT2525">
        <f>IF(AND(2512&lt;$U$9,$W$5),BQ2525*1000000-MIN(BR2525,999)*1000+BS2525-2512/100000,-1000000000-2512)</f>
        <v/>
      </c>
    </row>
    <row r="2526">
      <c r="BN2526">
        <f>IF(2513&lt;$U$9,INT(2513/($U$7*$U$8))+1,1)</f>
        <v/>
      </c>
      <c r="BO2526">
        <f>IF(2513&lt;$U$9,MOD(INT(2513/$U$8),$U$7)+1,1)</f>
        <v/>
      </c>
      <c r="BP2526">
        <f>IF(2513&lt;$U$9,MOD(2513,$U$8)+1,1)</f>
        <v/>
      </c>
      <c r="BQ2526">
        <f>IF(2513&lt;$U$9,SUMPRODUCT(($D$10:$L$10&lt;&gt;"")*(($D$9:$L$9+INT(($S$12:$AA$12+INDEX($AJ$13:$AR$162,BN2526,0)+INDEX($AT$13:$BB$162,BO2526,0)+INDEX($BD$13:$BL$162,BP2526,0))/100))&gt;=$D$10:$L$10)),0)</f>
        <v/>
      </c>
      <c r="BR2526">
        <f>IF(2513&lt;$U$9,SUMPRODUCT(($D$10:$L$10&lt;&gt;"")*(($D$10:$L$10-($D$9:$L$9+INT(($S$12:$AA$12+INDEX($AJ$13:$AR$162,BN2526,0)+INDEX($AT$13:$BB$162,BO2526,0)+INDEX($BD$13:$BL$162,BP2526,0))/100)))&gt;0)*($D$10:$L$10-($D$9:$L$9+INT(($S$12:$AA$12+INDEX($AJ$13:$AR$162,BN2526,0)+INDEX($AT$13:$BB$162,BO2526,0)+INDEX($BD$13:$BL$162,BP2526,0))/100)))),0)</f>
        <v/>
      </c>
      <c r="BS2526">
        <f>IF(2513&lt;$U$9,SUMPRODUCT(($D$9:$L$9+INT(($S$12:$AA$12+INDEX($AJ$13:$AR$162,BN2526,0)+INDEX($AT$13:$BB$162,BO2526,0)+INDEX($BD$13:$BL$162,BP2526,0))/100))),0)</f>
        <v/>
      </c>
      <c r="BT2526">
        <f>IF(AND(2513&lt;$U$9,$W$5),BQ2526*1000000-MIN(BR2526,999)*1000+BS2526-2513/100000,-1000000000-2513)</f>
        <v/>
      </c>
    </row>
    <row r="2527">
      <c r="BN2527">
        <f>IF(2514&lt;$U$9,INT(2514/($U$7*$U$8))+1,1)</f>
        <v/>
      </c>
      <c r="BO2527">
        <f>IF(2514&lt;$U$9,MOD(INT(2514/$U$8),$U$7)+1,1)</f>
        <v/>
      </c>
      <c r="BP2527">
        <f>IF(2514&lt;$U$9,MOD(2514,$U$8)+1,1)</f>
        <v/>
      </c>
      <c r="BQ2527">
        <f>IF(2514&lt;$U$9,SUMPRODUCT(($D$10:$L$10&lt;&gt;"")*(($D$9:$L$9+INT(($S$12:$AA$12+INDEX($AJ$13:$AR$162,BN2527,0)+INDEX($AT$13:$BB$162,BO2527,0)+INDEX($BD$13:$BL$162,BP2527,0))/100))&gt;=$D$10:$L$10)),0)</f>
        <v/>
      </c>
      <c r="BR2527">
        <f>IF(2514&lt;$U$9,SUMPRODUCT(($D$10:$L$10&lt;&gt;"")*(($D$10:$L$10-($D$9:$L$9+INT(($S$12:$AA$12+INDEX($AJ$13:$AR$162,BN2527,0)+INDEX($AT$13:$BB$162,BO2527,0)+INDEX($BD$13:$BL$162,BP2527,0))/100)))&gt;0)*($D$10:$L$10-($D$9:$L$9+INT(($S$12:$AA$12+INDEX($AJ$13:$AR$162,BN2527,0)+INDEX($AT$13:$BB$162,BO2527,0)+INDEX($BD$13:$BL$162,BP2527,0))/100)))),0)</f>
        <v/>
      </c>
      <c r="BS2527">
        <f>IF(2514&lt;$U$9,SUMPRODUCT(($D$9:$L$9+INT(($S$12:$AA$12+INDEX($AJ$13:$AR$162,BN2527,0)+INDEX($AT$13:$BB$162,BO2527,0)+INDEX($BD$13:$BL$162,BP2527,0))/100))),0)</f>
        <v/>
      </c>
      <c r="BT2527">
        <f>IF(AND(2514&lt;$U$9,$W$5),BQ2527*1000000-MIN(BR2527,999)*1000+BS2527-2514/100000,-1000000000-2514)</f>
        <v/>
      </c>
    </row>
    <row r="2528">
      <c r="BN2528">
        <f>IF(2515&lt;$U$9,INT(2515/($U$7*$U$8))+1,1)</f>
        <v/>
      </c>
      <c r="BO2528">
        <f>IF(2515&lt;$U$9,MOD(INT(2515/$U$8),$U$7)+1,1)</f>
        <v/>
      </c>
      <c r="BP2528">
        <f>IF(2515&lt;$U$9,MOD(2515,$U$8)+1,1)</f>
        <v/>
      </c>
      <c r="BQ2528">
        <f>IF(2515&lt;$U$9,SUMPRODUCT(($D$10:$L$10&lt;&gt;"")*(($D$9:$L$9+INT(($S$12:$AA$12+INDEX($AJ$13:$AR$162,BN2528,0)+INDEX($AT$13:$BB$162,BO2528,0)+INDEX($BD$13:$BL$162,BP2528,0))/100))&gt;=$D$10:$L$10)),0)</f>
        <v/>
      </c>
      <c r="BR2528">
        <f>IF(2515&lt;$U$9,SUMPRODUCT(($D$10:$L$10&lt;&gt;"")*(($D$10:$L$10-($D$9:$L$9+INT(($S$12:$AA$12+INDEX($AJ$13:$AR$162,BN2528,0)+INDEX($AT$13:$BB$162,BO2528,0)+INDEX($BD$13:$BL$162,BP2528,0))/100)))&gt;0)*($D$10:$L$10-($D$9:$L$9+INT(($S$12:$AA$12+INDEX($AJ$13:$AR$162,BN2528,0)+INDEX($AT$13:$BB$162,BO2528,0)+INDEX($BD$13:$BL$162,BP2528,0))/100)))),0)</f>
        <v/>
      </c>
      <c r="BS2528">
        <f>IF(2515&lt;$U$9,SUMPRODUCT(($D$9:$L$9+INT(($S$12:$AA$12+INDEX($AJ$13:$AR$162,BN2528,0)+INDEX($AT$13:$BB$162,BO2528,0)+INDEX($BD$13:$BL$162,BP2528,0))/100))),0)</f>
        <v/>
      </c>
      <c r="BT2528">
        <f>IF(AND(2515&lt;$U$9,$W$5),BQ2528*1000000-MIN(BR2528,999)*1000+BS2528-2515/100000,-1000000000-2515)</f>
        <v/>
      </c>
    </row>
    <row r="2529">
      <c r="BN2529">
        <f>IF(2516&lt;$U$9,INT(2516/($U$7*$U$8))+1,1)</f>
        <v/>
      </c>
      <c r="BO2529">
        <f>IF(2516&lt;$U$9,MOD(INT(2516/$U$8),$U$7)+1,1)</f>
        <v/>
      </c>
      <c r="BP2529">
        <f>IF(2516&lt;$U$9,MOD(2516,$U$8)+1,1)</f>
        <v/>
      </c>
      <c r="BQ2529">
        <f>IF(2516&lt;$U$9,SUMPRODUCT(($D$10:$L$10&lt;&gt;"")*(($D$9:$L$9+INT(($S$12:$AA$12+INDEX($AJ$13:$AR$162,BN2529,0)+INDEX($AT$13:$BB$162,BO2529,0)+INDEX($BD$13:$BL$162,BP2529,0))/100))&gt;=$D$10:$L$10)),0)</f>
        <v/>
      </c>
      <c r="BR2529">
        <f>IF(2516&lt;$U$9,SUMPRODUCT(($D$10:$L$10&lt;&gt;"")*(($D$10:$L$10-($D$9:$L$9+INT(($S$12:$AA$12+INDEX($AJ$13:$AR$162,BN2529,0)+INDEX($AT$13:$BB$162,BO2529,0)+INDEX($BD$13:$BL$162,BP2529,0))/100)))&gt;0)*($D$10:$L$10-($D$9:$L$9+INT(($S$12:$AA$12+INDEX($AJ$13:$AR$162,BN2529,0)+INDEX($AT$13:$BB$162,BO2529,0)+INDEX($BD$13:$BL$162,BP2529,0))/100)))),0)</f>
        <v/>
      </c>
      <c r="BS2529">
        <f>IF(2516&lt;$U$9,SUMPRODUCT(($D$9:$L$9+INT(($S$12:$AA$12+INDEX($AJ$13:$AR$162,BN2529,0)+INDEX($AT$13:$BB$162,BO2529,0)+INDEX($BD$13:$BL$162,BP2529,0))/100))),0)</f>
        <v/>
      </c>
      <c r="BT2529">
        <f>IF(AND(2516&lt;$U$9,$W$5),BQ2529*1000000-MIN(BR2529,999)*1000+BS2529-2516/100000,-1000000000-2516)</f>
        <v/>
      </c>
    </row>
    <row r="2530">
      <c r="BN2530">
        <f>IF(2517&lt;$U$9,INT(2517/($U$7*$U$8))+1,1)</f>
        <v/>
      </c>
      <c r="BO2530">
        <f>IF(2517&lt;$U$9,MOD(INT(2517/$U$8),$U$7)+1,1)</f>
        <v/>
      </c>
      <c r="BP2530">
        <f>IF(2517&lt;$U$9,MOD(2517,$U$8)+1,1)</f>
        <v/>
      </c>
      <c r="BQ2530">
        <f>IF(2517&lt;$U$9,SUMPRODUCT(($D$10:$L$10&lt;&gt;"")*(($D$9:$L$9+INT(($S$12:$AA$12+INDEX($AJ$13:$AR$162,BN2530,0)+INDEX($AT$13:$BB$162,BO2530,0)+INDEX($BD$13:$BL$162,BP2530,0))/100))&gt;=$D$10:$L$10)),0)</f>
        <v/>
      </c>
      <c r="BR2530">
        <f>IF(2517&lt;$U$9,SUMPRODUCT(($D$10:$L$10&lt;&gt;"")*(($D$10:$L$10-($D$9:$L$9+INT(($S$12:$AA$12+INDEX($AJ$13:$AR$162,BN2530,0)+INDEX($AT$13:$BB$162,BO2530,0)+INDEX($BD$13:$BL$162,BP2530,0))/100)))&gt;0)*($D$10:$L$10-($D$9:$L$9+INT(($S$12:$AA$12+INDEX($AJ$13:$AR$162,BN2530,0)+INDEX($AT$13:$BB$162,BO2530,0)+INDEX($BD$13:$BL$162,BP2530,0))/100)))),0)</f>
        <v/>
      </c>
      <c r="BS2530">
        <f>IF(2517&lt;$U$9,SUMPRODUCT(($D$9:$L$9+INT(($S$12:$AA$12+INDEX($AJ$13:$AR$162,BN2530,0)+INDEX($AT$13:$BB$162,BO2530,0)+INDEX($BD$13:$BL$162,BP2530,0))/100))),0)</f>
        <v/>
      </c>
      <c r="BT2530">
        <f>IF(AND(2517&lt;$U$9,$W$5),BQ2530*1000000-MIN(BR2530,999)*1000+BS2530-2517/100000,-1000000000-2517)</f>
        <v/>
      </c>
    </row>
    <row r="2531">
      <c r="BN2531">
        <f>IF(2518&lt;$U$9,INT(2518/($U$7*$U$8))+1,1)</f>
        <v/>
      </c>
      <c r="BO2531">
        <f>IF(2518&lt;$U$9,MOD(INT(2518/$U$8),$U$7)+1,1)</f>
        <v/>
      </c>
      <c r="BP2531">
        <f>IF(2518&lt;$U$9,MOD(2518,$U$8)+1,1)</f>
        <v/>
      </c>
      <c r="BQ2531">
        <f>IF(2518&lt;$U$9,SUMPRODUCT(($D$10:$L$10&lt;&gt;"")*(($D$9:$L$9+INT(($S$12:$AA$12+INDEX($AJ$13:$AR$162,BN2531,0)+INDEX($AT$13:$BB$162,BO2531,0)+INDEX($BD$13:$BL$162,BP2531,0))/100))&gt;=$D$10:$L$10)),0)</f>
        <v/>
      </c>
      <c r="BR2531">
        <f>IF(2518&lt;$U$9,SUMPRODUCT(($D$10:$L$10&lt;&gt;"")*(($D$10:$L$10-($D$9:$L$9+INT(($S$12:$AA$12+INDEX($AJ$13:$AR$162,BN2531,0)+INDEX($AT$13:$BB$162,BO2531,0)+INDEX($BD$13:$BL$162,BP2531,0))/100)))&gt;0)*($D$10:$L$10-($D$9:$L$9+INT(($S$12:$AA$12+INDEX($AJ$13:$AR$162,BN2531,0)+INDEX($AT$13:$BB$162,BO2531,0)+INDEX($BD$13:$BL$162,BP2531,0))/100)))),0)</f>
        <v/>
      </c>
      <c r="BS2531">
        <f>IF(2518&lt;$U$9,SUMPRODUCT(($D$9:$L$9+INT(($S$12:$AA$12+INDEX($AJ$13:$AR$162,BN2531,0)+INDEX($AT$13:$BB$162,BO2531,0)+INDEX($BD$13:$BL$162,BP2531,0))/100))),0)</f>
        <v/>
      </c>
      <c r="BT2531">
        <f>IF(AND(2518&lt;$U$9,$W$5),BQ2531*1000000-MIN(BR2531,999)*1000+BS2531-2518/100000,-1000000000-2518)</f>
        <v/>
      </c>
    </row>
    <row r="2532">
      <c r="BN2532">
        <f>IF(2519&lt;$U$9,INT(2519/($U$7*$U$8))+1,1)</f>
        <v/>
      </c>
      <c r="BO2532">
        <f>IF(2519&lt;$U$9,MOD(INT(2519/$U$8),$U$7)+1,1)</f>
        <v/>
      </c>
      <c r="BP2532">
        <f>IF(2519&lt;$U$9,MOD(2519,$U$8)+1,1)</f>
        <v/>
      </c>
      <c r="BQ2532">
        <f>IF(2519&lt;$U$9,SUMPRODUCT(($D$10:$L$10&lt;&gt;"")*(($D$9:$L$9+INT(($S$12:$AA$12+INDEX($AJ$13:$AR$162,BN2532,0)+INDEX($AT$13:$BB$162,BO2532,0)+INDEX($BD$13:$BL$162,BP2532,0))/100))&gt;=$D$10:$L$10)),0)</f>
        <v/>
      </c>
      <c r="BR2532">
        <f>IF(2519&lt;$U$9,SUMPRODUCT(($D$10:$L$10&lt;&gt;"")*(($D$10:$L$10-($D$9:$L$9+INT(($S$12:$AA$12+INDEX($AJ$13:$AR$162,BN2532,0)+INDEX($AT$13:$BB$162,BO2532,0)+INDEX($BD$13:$BL$162,BP2532,0))/100)))&gt;0)*($D$10:$L$10-($D$9:$L$9+INT(($S$12:$AA$12+INDEX($AJ$13:$AR$162,BN2532,0)+INDEX($AT$13:$BB$162,BO2532,0)+INDEX($BD$13:$BL$162,BP2532,0))/100)))),0)</f>
        <v/>
      </c>
      <c r="BS2532">
        <f>IF(2519&lt;$U$9,SUMPRODUCT(($D$9:$L$9+INT(($S$12:$AA$12+INDEX($AJ$13:$AR$162,BN2532,0)+INDEX($AT$13:$BB$162,BO2532,0)+INDEX($BD$13:$BL$162,BP2532,0))/100))),0)</f>
        <v/>
      </c>
      <c r="BT2532">
        <f>IF(AND(2519&lt;$U$9,$W$5),BQ2532*1000000-MIN(BR2532,999)*1000+BS2532-2519/100000,-1000000000-2519)</f>
        <v/>
      </c>
    </row>
    <row r="2533">
      <c r="BN2533">
        <f>IF(2520&lt;$U$9,INT(2520/($U$7*$U$8))+1,1)</f>
        <v/>
      </c>
      <c r="BO2533">
        <f>IF(2520&lt;$U$9,MOD(INT(2520/$U$8),$U$7)+1,1)</f>
        <v/>
      </c>
      <c r="BP2533">
        <f>IF(2520&lt;$U$9,MOD(2520,$U$8)+1,1)</f>
        <v/>
      </c>
      <c r="BQ2533">
        <f>IF(2520&lt;$U$9,SUMPRODUCT(($D$10:$L$10&lt;&gt;"")*(($D$9:$L$9+INT(($S$12:$AA$12+INDEX($AJ$13:$AR$162,BN2533,0)+INDEX($AT$13:$BB$162,BO2533,0)+INDEX($BD$13:$BL$162,BP2533,0))/100))&gt;=$D$10:$L$10)),0)</f>
        <v/>
      </c>
      <c r="BR2533">
        <f>IF(2520&lt;$U$9,SUMPRODUCT(($D$10:$L$10&lt;&gt;"")*(($D$10:$L$10-($D$9:$L$9+INT(($S$12:$AA$12+INDEX($AJ$13:$AR$162,BN2533,0)+INDEX($AT$13:$BB$162,BO2533,0)+INDEX($BD$13:$BL$162,BP2533,0))/100)))&gt;0)*($D$10:$L$10-($D$9:$L$9+INT(($S$12:$AA$12+INDEX($AJ$13:$AR$162,BN2533,0)+INDEX($AT$13:$BB$162,BO2533,0)+INDEX($BD$13:$BL$162,BP2533,0))/100)))),0)</f>
        <v/>
      </c>
      <c r="BS2533">
        <f>IF(2520&lt;$U$9,SUMPRODUCT(($D$9:$L$9+INT(($S$12:$AA$12+INDEX($AJ$13:$AR$162,BN2533,0)+INDEX($AT$13:$BB$162,BO2533,0)+INDEX($BD$13:$BL$162,BP2533,0))/100))),0)</f>
        <v/>
      </c>
      <c r="BT2533">
        <f>IF(AND(2520&lt;$U$9,$W$5),BQ2533*1000000-MIN(BR2533,999)*1000+BS2533-2520/100000,-1000000000-2520)</f>
        <v/>
      </c>
    </row>
    <row r="2534">
      <c r="BN2534">
        <f>IF(2521&lt;$U$9,INT(2521/($U$7*$U$8))+1,1)</f>
        <v/>
      </c>
      <c r="BO2534">
        <f>IF(2521&lt;$U$9,MOD(INT(2521/$U$8),$U$7)+1,1)</f>
        <v/>
      </c>
      <c r="BP2534">
        <f>IF(2521&lt;$U$9,MOD(2521,$U$8)+1,1)</f>
        <v/>
      </c>
      <c r="BQ2534">
        <f>IF(2521&lt;$U$9,SUMPRODUCT(($D$10:$L$10&lt;&gt;"")*(($D$9:$L$9+INT(($S$12:$AA$12+INDEX($AJ$13:$AR$162,BN2534,0)+INDEX($AT$13:$BB$162,BO2534,0)+INDEX($BD$13:$BL$162,BP2534,0))/100))&gt;=$D$10:$L$10)),0)</f>
        <v/>
      </c>
      <c r="BR2534">
        <f>IF(2521&lt;$U$9,SUMPRODUCT(($D$10:$L$10&lt;&gt;"")*(($D$10:$L$10-($D$9:$L$9+INT(($S$12:$AA$12+INDEX($AJ$13:$AR$162,BN2534,0)+INDEX($AT$13:$BB$162,BO2534,0)+INDEX($BD$13:$BL$162,BP2534,0))/100)))&gt;0)*($D$10:$L$10-($D$9:$L$9+INT(($S$12:$AA$12+INDEX($AJ$13:$AR$162,BN2534,0)+INDEX($AT$13:$BB$162,BO2534,0)+INDEX($BD$13:$BL$162,BP2534,0))/100)))),0)</f>
        <v/>
      </c>
      <c r="BS2534">
        <f>IF(2521&lt;$U$9,SUMPRODUCT(($D$9:$L$9+INT(($S$12:$AA$12+INDEX($AJ$13:$AR$162,BN2534,0)+INDEX($AT$13:$BB$162,BO2534,0)+INDEX($BD$13:$BL$162,BP2534,0))/100))),0)</f>
        <v/>
      </c>
      <c r="BT2534">
        <f>IF(AND(2521&lt;$U$9,$W$5),BQ2534*1000000-MIN(BR2534,999)*1000+BS2534-2521/100000,-1000000000-2521)</f>
        <v/>
      </c>
    </row>
    <row r="2535">
      <c r="BN2535">
        <f>IF(2522&lt;$U$9,INT(2522/($U$7*$U$8))+1,1)</f>
        <v/>
      </c>
      <c r="BO2535">
        <f>IF(2522&lt;$U$9,MOD(INT(2522/$U$8),$U$7)+1,1)</f>
        <v/>
      </c>
      <c r="BP2535">
        <f>IF(2522&lt;$U$9,MOD(2522,$U$8)+1,1)</f>
        <v/>
      </c>
      <c r="BQ2535">
        <f>IF(2522&lt;$U$9,SUMPRODUCT(($D$10:$L$10&lt;&gt;"")*(($D$9:$L$9+INT(($S$12:$AA$12+INDEX($AJ$13:$AR$162,BN2535,0)+INDEX($AT$13:$BB$162,BO2535,0)+INDEX($BD$13:$BL$162,BP2535,0))/100))&gt;=$D$10:$L$10)),0)</f>
        <v/>
      </c>
      <c r="BR2535">
        <f>IF(2522&lt;$U$9,SUMPRODUCT(($D$10:$L$10&lt;&gt;"")*(($D$10:$L$10-($D$9:$L$9+INT(($S$12:$AA$12+INDEX($AJ$13:$AR$162,BN2535,0)+INDEX($AT$13:$BB$162,BO2535,0)+INDEX($BD$13:$BL$162,BP2535,0))/100)))&gt;0)*($D$10:$L$10-($D$9:$L$9+INT(($S$12:$AA$12+INDEX($AJ$13:$AR$162,BN2535,0)+INDEX($AT$13:$BB$162,BO2535,0)+INDEX($BD$13:$BL$162,BP2535,0))/100)))),0)</f>
        <v/>
      </c>
      <c r="BS2535">
        <f>IF(2522&lt;$U$9,SUMPRODUCT(($D$9:$L$9+INT(($S$12:$AA$12+INDEX($AJ$13:$AR$162,BN2535,0)+INDEX($AT$13:$BB$162,BO2535,0)+INDEX($BD$13:$BL$162,BP2535,0))/100))),0)</f>
        <v/>
      </c>
      <c r="BT2535">
        <f>IF(AND(2522&lt;$U$9,$W$5),BQ2535*1000000-MIN(BR2535,999)*1000+BS2535-2522/100000,-1000000000-2522)</f>
        <v/>
      </c>
    </row>
    <row r="2536">
      <c r="BN2536">
        <f>IF(2523&lt;$U$9,INT(2523/($U$7*$U$8))+1,1)</f>
        <v/>
      </c>
      <c r="BO2536">
        <f>IF(2523&lt;$U$9,MOD(INT(2523/$U$8),$U$7)+1,1)</f>
        <v/>
      </c>
      <c r="BP2536">
        <f>IF(2523&lt;$U$9,MOD(2523,$U$8)+1,1)</f>
        <v/>
      </c>
      <c r="BQ2536">
        <f>IF(2523&lt;$U$9,SUMPRODUCT(($D$10:$L$10&lt;&gt;"")*(($D$9:$L$9+INT(($S$12:$AA$12+INDEX($AJ$13:$AR$162,BN2536,0)+INDEX($AT$13:$BB$162,BO2536,0)+INDEX($BD$13:$BL$162,BP2536,0))/100))&gt;=$D$10:$L$10)),0)</f>
        <v/>
      </c>
      <c r="BR2536">
        <f>IF(2523&lt;$U$9,SUMPRODUCT(($D$10:$L$10&lt;&gt;"")*(($D$10:$L$10-($D$9:$L$9+INT(($S$12:$AA$12+INDEX($AJ$13:$AR$162,BN2536,0)+INDEX($AT$13:$BB$162,BO2536,0)+INDEX($BD$13:$BL$162,BP2536,0))/100)))&gt;0)*($D$10:$L$10-($D$9:$L$9+INT(($S$12:$AA$12+INDEX($AJ$13:$AR$162,BN2536,0)+INDEX($AT$13:$BB$162,BO2536,0)+INDEX($BD$13:$BL$162,BP2536,0))/100)))),0)</f>
        <v/>
      </c>
      <c r="BS2536">
        <f>IF(2523&lt;$U$9,SUMPRODUCT(($D$9:$L$9+INT(($S$12:$AA$12+INDEX($AJ$13:$AR$162,BN2536,0)+INDEX($AT$13:$BB$162,BO2536,0)+INDEX($BD$13:$BL$162,BP2536,0))/100))),0)</f>
        <v/>
      </c>
      <c r="BT2536">
        <f>IF(AND(2523&lt;$U$9,$W$5),BQ2536*1000000-MIN(BR2536,999)*1000+BS2536-2523/100000,-1000000000-2523)</f>
        <v/>
      </c>
    </row>
    <row r="2537">
      <c r="BN2537">
        <f>IF(2524&lt;$U$9,INT(2524/($U$7*$U$8))+1,1)</f>
        <v/>
      </c>
      <c r="BO2537">
        <f>IF(2524&lt;$U$9,MOD(INT(2524/$U$8),$U$7)+1,1)</f>
        <v/>
      </c>
      <c r="BP2537">
        <f>IF(2524&lt;$U$9,MOD(2524,$U$8)+1,1)</f>
        <v/>
      </c>
      <c r="BQ2537">
        <f>IF(2524&lt;$U$9,SUMPRODUCT(($D$10:$L$10&lt;&gt;"")*(($D$9:$L$9+INT(($S$12:$AA$12+INDEX($AJ$13:$AR$162,BN2537,0)+INDEX($AT$13:$BB$162,BO2537,0)+INDEX($BD$13:$BL$162,BP2537,0))/100))&gt;=$D$10:$L$10)),0)</f>
        <v/>
      </c>
      <c r="BR2537">
        <f>IF(2524&lt;$U$9,SUMPRODUCT(($D$10:$L$10&lt;&gt;"")*(($D$10:$L$10-($D$9:$L$9+INT(($S$12:$AA$12+INDEX($AJ$13:$AR$162,BN2537,0)+INDEX($AT$13:$BB$162,BO2537,0)+INDEX($BD$13:$BL$162,BP2537,0))/100)))&gt;0)*($D$10:$L$10-($D$9:$L$9+INT(($S$12:$AA$12+INDEX($AJ$13:$AR$162,BN2537,0)+INDEX($AT$13:$BB$162,BO2537,0)+INDEX($BD$13:$BL$162,BP2537,0))/100)))),0)</f>
        <v/>
      </c>
      <c r="BS2537">
        <f>IF(2524&lt;$U$9,SUMPRODUCT(($D$9:$L$9+INT(($S$12:$AA$12+INDEX($AJ$13:$AR$162,BN2537,0)+INDEX($AT$13:$BB$162,BO2537,0)+INDEX($BD$13:$BL$162,BP2537,0))/100))),0)</f>
        <v/>
      </c>
      <c r="BT2537">
        <f>IF(AND(2524&lt;$U$9,$W$5),BQ2537*1000000-MIN(BR2537,999)*1000+BS2537-2524/100000,-1000000000-2524)</f>
        <v/>
      </c>
    </row>
    <row r="2538">
      <c r="BN2538">
        <f>IF(2525&lt;$U$9,INT(2525/($U$7*$U$8))+1,1)</f>
        <v/>
      </c>
      <c r="BO2538">
        <f>IF(2525&lt;$U$9,MOD(INT(2525/$U$8),$U$7)+1,1)</f>
        <v/>
      </c>
      <c r="BP2538">
        <f>IF(2525&lt;$U$9,MOD(2525,$U$8)+1,1)</f>
        <v/>
      </c>
      <c r="BQ2538">
        <f>IF(2525&lt;$U$9,SUMPRODUCT(($D$10:$L$10&lt;&gt;"")*(($D$9:$L$9+INT(($S$12:$AA$12+INDEX($AJ$13:$AR$162,BN2538,0)+INDEX($AT$13:$BB$162,BO2538,0)+INDEX($BD$13:$BL$162,BP2538,0))/100))&gt;=$D$10:$L$10)),0)</f>
        <v/>
      </c>
      <c r="BR2538">
        <f>IF(2525&lt;$U$9,SUMPRODUCT(($D$10:$L$10&lt;&gt;"")*(($D$10:$L$10-($D$9:$L$9+INT(($S$12:$AA$12+INDEX($AJ$13:$AR$162,BN2538,0)+INDEX($AT$13:$BB$162,BO2538,0)+INDEX($BD$13:$BL$162,BP2538,0))/100)))&gt;0)*($D$10:$L$10-($D$9:$L$9+INT(($S$12:$AA$12+INDEX($AJ$13:$AR$162,BN2538,0)+INDEX($AT$13:$BB$162,BO2538,0)+INDEX($BD$13:$BL$162,BP2538,0))/100)))),0)</f>
        <v/>
      </c>
      <c r="BS2538">
        <f>IF(2525&lt;$U$9,SUMPRODUCT(($D$9:$L$9+INT(($S$12:$AA$12+INDEX($AJ$13:$AR$162,BN2538,0)+INDEX($AT$13:$BB$162,BO2538,0)+INDEX($BD$13:$BL$162,BP2538,0))/100))),0)</f>
        <v/>
      </c>
      <c r="BT2538">
        <f>IF(AND(2525&lt;$U$9,$W$5),BQ2538*1000000-MIN(BR2538,999)*1000+BS2538-2525/100000,-1000000000-2525)</f>
        <v/>
      </c>
    </row>
    <row r="2539">
      <c r="BN2539">
        <f>IF(2526&lt;$U$9,INT(2526/($U$7*$U$8))+1,1)</f>
        <v/>
      </c>
      <c r="BO2539">
        <f>IF(2526&lt;$U$9,MOD(INT(2526/$U$8),$U$7)+1,1)</f>
        <v/>
      </c>
      <c r="BP2539">
        <f>IF(2526&lt;$U$9,MOD(2526,$U$8)+1,1)</f>
        <v/>
      </c>
      <c r="BQ2539">
        <f>IF(2526&lt;$U$9,SUMPRODUCT(($D$10:$L$10&lt;&gt;"")*(($D$9:$L$9+INT(($S$12:$AA$12+INDEX($AJ$13:$AR$162,BN2539,0)+INDEX($AT$13:$BB$162,BO2539,0)+INDEX($BD$13:$BL$162,BP2539,0))/100))&gt;=$D$10:$L$10)),0)</f>
        <v/>
      </c>
      <c r="BR2539">
        <f>IF(2526&lt;$U$9,SUMPRODUCT(($D$10:$L$10&lt;&gt;"")*(($D$10:$L$10-($D$9:$L$9+INT(($S$12:$AA$12+INDEX($AJ$13:$AR$162,BN2539,0)+INDEX($AT$13:$BB$162,BO2539,0)+INDEX($BD$13:$BL$162,BP2539,0))/100)))&gt;0)*($D$10:$L$10-($D$9:$L$9+INT(($S$12:$AA$12+INDEX($AJ$13:$AR$162,BN2539,0)+INDEX($AT$13:$BB$162,BO2539,0)+INDEX($BD$13:$BL$162,BP2539,0))/100)))),0)</f>
        <v/>
      </c>
      <c r="BS2539">
        <f>IF(2526&lt;$U$9,SUMPRODUCT(($D$9:$L$9+INT(($S$12:$AA$12+INDEX($AJ$13:$AR$162,BN2539,0)+INDEX($AT$13:$BB$162,BO2539,0)+INDEX($BD$13:$BL$162,BP2539,0))/100))),0)</f>
        <v/>
      </c>
      <c r="BT2539">
        <f>IF(AND(2526&lt;$U$9,$W$5),BQ2539*1000000-MIN(BR2539,999)*1000+BS2539-2526/100000,-1000000000-2526)</f>
        <v/>
      </c>
    </row>
    <row r="2540">
      <c r="BN2540">
        <f>IF(2527&lt;$U$9,INT(2527/($U$7*$U$8))+1,1)</f>
        <v/>
      </c>
      <c r="BO2540">
        <f>IF(2527&lt;$U$9,MOD(INT(2527/$U$8),$U$7)+1,1)</f>
        <v/>
      </c>
      <c r="BP2540">
        <f>IF(2527&lt;$U$9,MOD(2527,$U$8)+1,1)</f>
        <v/>
      </c>
      <c r="BQ2540">
        <f>IF(2527&lt;$U$9,SUMPRODUCT(($D$10:$L$10&lt;&gt;"")*(($D$9:$L$9+INT(($S$12:$AA$12+INDEX($AJ$13:$AR$162,BN2540,0)+INDEX($AT$13:$BB$162,BO2540,0)+INDEX($BD$13:$BL$162,BP2540,0))/100))&gt;=$D$10:$L$10)),0)</f>
        <v/>
      </c>
      <c r="BR2540">
        <f>IF(2527&lt;$U$9,SUMPRODUCT(($D$10:$L$10&lt;&gt;"")*(($D$10:$L$10-($D$9:$L$9+INT(($S$12:$AA$12+INDEX($AJ$13:$AR$162,BN2540,0)+INDEX($AT$13:$BB$162,BO2540,0)+INDEX($BD$13:$BL$162,BP2540,0))/100)))&gt;0)*($D$10:$L$10-($D$9:$L$9+INT(($S$12:$AA$12+INDEX($AJ$13:$AR$162,BN2540,0)+INDEX($AT$13:$BB$162,BO2540,0)+INDEX($BD$13:$BL$162,BP2540,0))/100)))),0)</f>
        <v/>
      </c>
      <c r="BS2540">
        <f>IF(2527&lt;$U$9,SUMPRODUCT(($D$9:$L$9+INT(($S$12:$AA$12+INDEX($AJ$13:$AR$162,BN2540,0)+INDEX($AT$13:$BB$162,BO2540,0)+INDEX($BD$13:$BL$162,BP2540,0))/100))),0)</f>
        <v/>
      </c>
      <c r="BT2540">
        <f>IF(AND(2527&lt;$U$9,$W$5),BQ2540*1000000-MIN(BR2540,999)*1000+BS2540-2527/100000,-1000000000-2527)</f>
        <v/>
      </c>
    </row>
    <row r="2541">
      <c r="BN2541">
        <f>IF(2528&lt;$U$9,INT(2528/($U$7*$U$8))+1,1)</f>
        <v/>
      </c>
      <c r="BO2541">
        <f>IF(2528&lt;$U$9,MOD(INT(2528/$U$8),$U$7)+1,1)</f>
        <v/>
      </c>
      <c r="BP2541">
        <f>IF(2528&lt;$U$9,MOD(2528,$U$8)+1,1)</f>
        <v/>
      </c>
      <c r="BQ2541">
        <f>IF(2528&lt;$U$9,SUMPRODUCT(($D$10:$L$10&lt;&gt;"")*(($D$9:$L$9+INT(($S$12:$AA$12+INDEX($AJ$13:$AR$162,BN2541,0)+INDEX($AT$13:$BB$162,BO2541,0)+INDEX($BD$13:$BL$162,BP2541,0))/100))&gt;=$D$10:$L$10)),0)</f>
        <v/>
      </c>
      <c r="BR2541">
        <f>IF(2528&lt;$U$9,SUMPRODUCT(($D$10:$L$10&lt;&gt;"")*(($D$10:$L$10-($D$9:$L$9+INT(($S$12:$AA$12+INDEX($AJ$13:$AR$162,BN2541,0)+INDEX($AT$13:$BB$162,BO2541,0)+INDEX($BD$13:$BL$162,BP2541,0))/100)))&gt;0)*($D$10:$L$10-($D$9:$L$9+INT(($S$12:$AA$12+INDEX($AJ$13:$AR$162,BN2541,0)+INDEX($AT$13:$BB$162,BO2541,0)+INDEX($BD$13:$BL$162,BP2541,0))/100)))),0)</f>
        <v/>
      </c>
      <c r="BS2541">
        <f>IF(2528&lt;$U$9,SUMPRODUCT(($D$9:$L$9+INT(($S$12:$AA$12+INDEX($AJ$13:$AR$162,BN2541,0)+INDEX($AT$13:$BB$162,BO2541,0)+INDEX($BD$13:$BL$162,BP2541,0))/100))),0)</f>
        <v/>
      </c>
      <c r="BT2541">
        <f>IF(AND(2528&lt;$U$9,$W$5),BQ2541*1000000-MIN(BR2541,999)*1000+BS2541-2528/100000,-1000000000-2528)</f>
        <v/>
      </c>
    </row>
    <row r="2542">
      <c r="BN2542">
        <f>IF(2529&lt;$U$9,INT(2529/($U$7*$U$8))+1,1)</f>
        <v/>
      </c>
      <c r="BO2542">
        <f>IF(2529&lt;$U$9,MOD(INT(2529/$U$8),$U$7)+1,1)</f>
        <v/>
      </c>
      <c r="BP2542">
        <f>IF(2529&lt;$U$9,MOD(2529,$U$8)+1,1)</f>
        <v/>
      </c>
      <c r="BQ2542">
        <f>IF(2529&lt;$U$9,SUMPRODUCT(($D$10:$L$10&lt;&gt;"")*(($D$9:$L$9+INT(($S$12:$AA$12+INDEX($AJ$13:$AR$162,BN2542,0)+INDEX($AT$13:$BB$162,BO2542,0)+INDEX($BD$13:$BL$162,BP2542,0))/100))&gt;=$D$10:$L$10)),0)</f>
        <v/>
      </c>
      <c r="BR2542">
        <f>IF(2529&lt;$U$9,SUMPRODUCT(($D$10:$L$10&lt;&gt;"")*(($D$10:$L$10-($D$9:$L$9+INT(($S$12:$AA$12+INDEX($AJ$13:$AR$162,BN2542,0)+INDEX($AT$13:$BB$162,BO2542,0)+INDEX($BD$13:$BL$162,BP2542,0))/100)))&gt;0)*($D$10:$L$10-($D$9:$L$9+INT(($S$12:$AA$12+INDEX($AJ$13:$AR$162,BN2542,0)+INDEX($AT$13:$BB$162,BO2542,0)+INDEX($BD$13:$BL$162,BP2542,0))/100)))),0)</f>
        <v/>
      </c>
      <c r="BS2542">
        <f>IF(2529&lt;$U$9,SUMPRODUCT(($D$9:$L$9+INT(($S$12:$AA$12+INDEX($AJ$13:$AR$162,BN2542,0)+INDEX($AT$13:$BB$162,BO2542,0)+INDEX($BD$13:$BL$162,BP2542,0))/100))),0)</f>
        <v/>
      </c>
      <c r="BT2542">
        <f>IF(AND(2529&lt;$U$9,$W$5),BQ2542*1000000-MIN(BR2542,999)*1000+BS2542-2529/100000,-1000000000-2529)</f>
        <v/>
      </c>
    </row>
    <row r="2543">
      <c r="BN2543">
        <f>IF(2530&lt;$U$9,INT(2530/($U$7*$U$8))+1,1)</f>
        <v/>
      </c>
      <c r="BO2543">
        <f>IF(2530&lt;$U$9,MOD(INT(2530/$U$8),$U$7)+1,1)</f>
        <v/>
      </c>
      <c r="BP2543">
        <f>IF(2530&lt;$U$9,MOD(2530,$U$8)+1,1)</f>
        <v/>
      </c>
      <c r="BQ2543">
        <f>IF(2530&lt;$U$9,SUMPRODUCT(($D$10:$L$10&lt;&gt;"")*(($D$9:$L$9+INT(($S$12:$AA$12+INDEX($AJ$13:$AR$162,BN2543,0)+INDEX($AT$13:$BB$162,BO2543,0)+INDEX($BD$13:$BL$162,BP2543,0))/100))&gt;=$D$10:$L$10)),0)</f>
        <v/>
      </c>
      <c r="BR2543">
        <f>IF(2530&lt;$U$9,SUMPRODUCT(($D$10:$L$10&lt;&gt;"")*(($D$10:$L$10-($D$9:$L$9+INT(($S$12:$AA$12+INDEX($AJ$13:$AR$162,BN2543,0)+INDEX($AT$13:$BB$162,BO2543,0)+INDEX($BD$13:$BL$162,BP2543,0))/100)))&gt;0)*($D$10:$L$10-($D$9:$L$9+INT(($S$12:$AA$12+INDEX($AJ$13:$AR$162,BN2543,0)+INDEX($AT$13:$BB$162,BO2543,0)+INDEX($BD$13:$BL$162,BP2543,0))/100)))),0)</f>
        <v/>
      </c>
      <c r="BS2543">
        <f>IF(2530&lt;$U$9,SUMPRODUCT(($D$9:$L$9+INT(($S$12:$AA$12+INDEX($AJ$13:$AR$162,BN2543,0)+INDEX($AT$13:$BB$162,BO2543,0)+INDEX($BD$13:$BL$162,BP2543,0))/100))),0)</f>
        <v/>
      </c>
      <c r="BT2543">
        <f>IF(AND(2530&lt;$U$9,$W$5),BQ2543*1000000-MIN(BR2543,999)*1000+BS2543-2530/100000,-1000000000-2530)</f>
        <v/>
      </c>
    </row>
    <row r="2544">
      <c r="BN2544">
        <f>IF(2531&lt;$U$9,INT(2531/($U$7*$U$8))+1,1)</f>
        <v/>
      </c>
      <c r="BO2544">
        <f>IF(2531&lt;$U$9,MOD(INT(2531/$U$8),$U$7)+1,1)</f>
        <v/>
      </c>
      <c r="BP2544">
        <f>IF(2531&lt;$U$9,MOD(2531,$U$8)+1,1)</f>
        <v/>
      </c>
      <c r="BQ2544">
        <f>IF(2531&lt;$U$9,SUMPRODUCT(($D$10:$L$10&lt;&gt;"")*(($D$9:$L$9+INT(($S$12:$AA$12+INDEX($AJ$13:$AR$162,BN2544,0)+INDEX($AT$13:$BB$162,BO2544,0)+INDEX($BD$13:$BL$162,BP2544,0))/100))&gt;=$D$10:$L$10)),0)</f>
        <v/>
      </c>
      <c r="BR2544">
        <f>IF(2531&lt;$U$9,SUMPRODUCT(($D$10:$L$10&lt;&gt;"")*(($D$10:$L$10-($D$9:$L$9+INT(($S$12:$AA$12+INDEX($AJ$13:$AR$162,BN2544,0)+INDEX($AT$13:$BB$162,BO2544,0)+INDEX($BD$13:$BL$162,BP2544,0))/100)))&gt;0)*($D$10:$L$10-($D$9:$L$9+INT(($S$12:$AA$12+INDEX($AJ$13:$AR$162,BN2544,0)+INDEX($AT$13:$BB$162,BO2544,0)+INDEX($BD$13:$BL$162,BP2544,0))/100)))),0)</f>
        <v/>
      </c>
      <c r="BS2544">
        <f>IF(2531&lt;$U$9,SUMPRODUCT(($D$9:$L$9+INT(($S$12:$AA$12+INDEX($AJ$13:$AR$162,BN2544,0)+INDEX($AT$13:$BB$162,BO2544,0)+INDEX($BD$13:$BL$162,BP2544,0))/100))),0)</f>
        <v/>
      </c>
      <c r="BT2544">
        <f>IF(AND(2531&lt;$U$9,$W$5),BQ2544*1000000-MIN(BR2544,999)*1000+BS2544-2531/100000,-1000000000-2531)</f>
        <v/>
      </c>
    </row>
    <row r="2545">
      <c r="BN2545">
        <f>IF(2532&lt;$U$9,INT(2532/($U$7*$U$8))+1,1)</f>
        <v/>
      </c>
      <c r="BO2545">
        <f>IF(2532&lt;$U$9,MOD(INT(2532/$U$8),$U$7)+1,1)</f>
        <v/>
      </c>
      <c r="BP2545">
        <f>IF(2532&lt;$U$9,MOD(2532,$U$8)+1,1)</f>
        <v/>
      </c>
      <c r="BQ2545">
        <f>IF(2532&lt;$U$9,SUMPRODUCT(($D$10:$L$10&lt;&gt;"")*(($D$9:$L$9+INT(($S$12:$AA$12+INDEX($AJ$13:$AR$162,BN2545,0)+INDEX($AT$13:$BB$162,BO2545,0)+INDEX($BD$13:$BL$162,BP2545,0))/100))&gt;=$D$10:$L$10)),0)</f>
        <v/>
      </c>
      <c r="BR2545">
        <f>IF(2532&lt;$U$9,SUMPRODUCT(($D$10:$L$10&lt;&gt;"")*(($D$10:$L$10-($D$9:$L$9+INT(($S$12:$AA$12+INDEX($AJ$13:$AR$162,BN2545,0)+INDEX($AT$13:$BB$162,BO2545,0)+INDEX($BD$13:$BL$162,BP2545,0))/100)))&gt;0)*($D$10:$L$10-($D$9:$L$9+INT(($S$12:$AA$12+INDEX($AJ$13:$AR$162,BN2545,0)+INDEX($AT$13:$BB$162,BO2545,0)+INDEX($BD$13:$BL$162,BP2545,0))/100)))),0)</f>
        <v/>
      </c>
      <c r="BS2545">
        <f>IF(2532&lt;$U$9,SUMPRODUCT(($D$9:$L$9+INT(($S$12:$AA$12+INDEX($AJ$13:$AR$162,BN2545,0)+INDEX($AT$13:$BB$162,BO2545,0)+INDEX($BD$13:$BL$162,BP2545,0))/100))),0)</f>
        <v/>
      </c>
      <c r="BT2545">
        <f>IF(AND(2532&lt;$U$9,$W$5),BQ2545*1000000-MIN(BR2545,999)*1000+BS2545-2532/100000,-1000000000-2532)</f>
        <v/>
      </c>
    </row>
    <row r="2546">
      <c r="BN2546">
        <f>IF(2533&lt;$U$9,INT(2533/($U$7*$U$8))+1,1)</f>
        <v/>
      </c>
      <c r="BO2546">
        <f>IF(2533&lt;$U$9,MOD(INT(2533/$U$8),$U$7)+1,1)</f>
        <v/>
      </c>
      <c r="BP2546">
        <f>IF(2533&lt;$U$9,MOD(2533,$U$8)+1,1)</f>
        <v/>
      </c>
      <c r="BQ2546">
        <f>IF(2533&lt;$U$9,SUMPRODUCT(($D$10:$L$10&lt;&gt;"")*(($D$9:$L$9+INT(($S$12:$AA$12+INDEX($AJ$13:$AR$162,BN2546,0)+INDEX($AT$13:$BB$162,BO2546,0)+INDEX($BD$13:$BL$162,BP2546,0))/100))&gt;=$D$10:$L$10)),0)</f>
        <v/>
      </c>
      <c r="BR2546">
        <f>IF(2533&lt;$U$9,SUMPRODUCT(($D$10:$L$10&lt;&gt;"")*(($D$10:$L$10-($D$9:$L$9+INT(($S$12:$AA$12+INDEX($AJ$13:$AR$162,BN2546,0)+INDEX($AT$13:$BB$162,BO2546,0)+INDEX($BD$13:$BL$162,BP2546,0))/100)))&gt;0)*($D$10:$L$10-($D$9:$L$9+INT(($S$12:$AA$12+INDEX($AJ$13:$AR$162,BN2546,0)+INDEX($AT$13:$BB$162,BO2546,0)+INDEX($BD$13:$BL$162,BP2546,0))/100)))),0)</f>
        <v/>
      </c>
      <c r="BS2546">
        <f>IF(2533&lt;$U$9,SUMPRODUCT(($D$9:$L$9+INT(($S$12:$AA$12+INDEX($AJ$13:$AR$162,BN2546,0)+INDEX($AT$13:$BB$162,BO2546,0)+INDEX($BD$13:$BL$162,BP2546,0))/100))),0)</f>
        <v/>
      </c>
      <c r="BT2546">
        <f>IF(AND(2533&lt;$U$9,$W$5),BQ2546*1000000-MIN(BR2546,999)*1000+BS2546-2533/100000,-1000000000-2533)</f>
        <v/>
      </c>
    </row>
    <row r="2547">
      <c r="BN2547">
        <f>IF(2534&lt;$U$9,INT(2534/($U$7*$U$8))+1,1)</f>
        <v/>
      </c>
      <c r="BO2547">
        <f>IF(2534&lt;$U$9,MOD(INT(2534/$U$8),$U$7)+1,1)</f>
        <v/>
      </c>
      <c r="BP2547">
        <f>IF(2534&lt;$U$9,MOD(2534,$U$8)+1,1)</f>
        <v/>
      </c>
      <c r="BQ2547">
        <f>IF(2534&lt;$U$9,SUMPRODUCT(($D$10:$L$10&lt;&gt;"")*(($D$9:$L$9+INT(($S$12:$AA$12+INDEX($AJ$13:$AR$162,BN2547,0)+INDEX($AT$13:$BB$162,BO2547,0)+INDEX($BD$13:$BL$162,BP2547,0))/100))&gt;=$D$10:$L$10)),0)</f>
        <v/>
      </c>
      <c r="BR2547">
        <f>IF(2534&lt;$U$9,SUMPRODUCT(($D$10:$L$10&lt;&gt;"")*(($D$10:$L$10-($D$9:$L$9+INT(($S$12:$AA$12+INDEX($AJ$13:$AR$162,BN2547,0)+INDEX($AT$13:$BB$162,BO2547,0)+INDEX($BD$13:$BL$162,BP2547,0))/100)))&gt;0)*($D$10:$L$10-($D$9:$L$9+INT(($S$12:$AA$12+INDEX($AJ$13:$AR$162,BN2547,0)+INDEX($AT$13:$BB$162,BO2547,0)+INDEX($BD$13:$BL$162,BP2547,0))/100)))),0)</f>
        <v/>
      </c>
      <c r="BS2547">
        <f>IF(2534&lt;$U$9,SUMPRODUCT(($D$9:$L$9+INT(($S$12:$AA$12+INDEX($AJ$13:$AR$162,BN2547,0)+INDEX($AT$13:$BB$162,BO2547,0)+INDEX($BD$13:$BL$162,BP2547,0))/100))),0)</f>
        <v/>
      </c>
      <c r="BT2547">
        <f>IF(AND(2534&lt;$U$9,$W$5),BQ2547*1000000-MIN(BR2547,999)*1000+BS2547-2534/100000,-1000000000-2534)</f>
        <v/>
      </c>
    </row>
    <row r="2548">
      <c r="BN2548">
        <f>IF(2535&lt;$U$9,INT(2535/($U$7*$U$8))+1,1)</f>
        <v/>
      </c>
      <c r="BO2548">
        <f>IF(2535&lt;$U$9,MOD(INT(2535/$U$8),$U$7)+1,1)</f>
        <v/>
      </c>
      <c r="BP2548">
        <f>IF(2535&lt;$U$9,MOD(2535,$U$8)+1,1)</f>
        <v/>
      </c>
      <c r="BQ2548">
        <f>IF(2535&lt;$U$9,SUMPRODUCT(($D$10:$L$10&lt;&gt;"")*(($D$9:$L$9+INT(($S$12:$AA$12+INDEX($AJ$13:$AR$162,BN2548,0)+INDEX($AT$13:$BB$162,BO2548,0)+INDEX($BD$13:$BL$162,BP2548,0))/100))&gt;=$D$10:$L$10)),0)</f>
        <v/>
      </c>
      <c r="BR2548">
        <f>IF(2535&lt;$U$9,SUMPRODUCT(($D$10:$L$10&lt;&gt;"")*(($D$10:$L$10-($D$9:$L$9+INT(($S$12:$AA$12+INDEX($AJ$13:$AR$162,BN2548,0)+INDEX($AT$13:$BB$162,BO2548,0)+INDEX($BD$13:$BL$162,BP2548,0))/100)))&gt;0)*($D$10:$L$10-($D$9:$L$9+INT(($S$12:$AA$12+INDEX($AJ$13:$AR$162,BN2548,0)+INDEX($AT$13:$BB$162,BO2548,0)+INDEX($BD$13:$BL$162,BP2548,0))/100)))),0)</f>
        <v/>
      </c>
      <c r="BS2548">
        <f>IF(2535&lt;$U$9,SUMPRODUCT(($D$9:$L$9+INT(($S$12:$AA$12+INDEX($AJ$13:$AR$162,BN2548,0)+INDEX($AT$13:$BB$162,BO2548,0)+INDEX($BD$13:$BL$162,BP2548,0))/100))),0)</f>
        <v/>
      </c>
      <c r="BT2548">
        <f>IF(AND(2535&lt;$U$9,$W$5),BQ2548*1000000-MIN(BR2548,999)*1000+BS2548-2535/100000,-1000000000-2535)</f>
        <v/>
      </c>
    </row>
    <row r="2549">
      <c r="BN2549">
        <f>IF(2536&lt;$U$9,INT(2536/($U$7*$U$8))+1,1)</f>
        <v/>
      </c>
      <c r="BO2549">
        <f>IF(2536&lt;$U$9,MOD(INT(2536/$U$8),$U$7)+1,1)</f>
        <v/>
      </c>
      <c r="BP2549">
        <f>IF(2536&lt;$U$9,MOD(2536,$U$8)+1,1)</f>
        <v/>
      </c>
      <c r="BQ2549">
        <f>IF(2536&lt;$U$9,SUMPRODUCT(($D$10:$L$10&lt;&gt;"")*(($D$9:$L$9+INT(($S$12:$AA$12+INDEX($AJ$13:$AR$162,BN2549,0)+INDEX($AT$13:$BB$162,BO2549,0)+INDEX($BD$13:$BL$162,BP2549,0))/100))&gt;=$D$10:$L$10)),0)</f>
        <v/>
      </c>
      <c r="BR2549">
        <f>IF(2536&lt;$U$9,SUMPRODUCT(($D$10:$L$10&lt;&gt;"")*(($D$10:$L$10-($D$9:$L$9+INT(($S$12:$AA$12+INDEX($AJ$13:$AR$162,BN2549,0)+INDEX($AT$13:$BB$162,BO2549,0)+INDEX($BD$13:$BL$162,BP2549,0))/100)))&gt;0)*($D$10:$L$10-($D$9:$L$9+INT(($S$12:$AA$12+INDEX($AJ$13:$AR$162,BN2549,0)+INDEX($AT$13:$BB$162,BO2549,0)+INDEX($BD$13:$BL$162,BP2549,0))/100)))),0)</f>
        <v/>
      </c>
      <c r="BS2549">
        <f>IF(2536&lt;$U$9,SUMPRODUCT(($D$9:$L$9+INT(($S$12:$AA$12+INDEX($AJ$13:$AR$162,BN2549,0)+INDEX($AT$13:$BB$162,BO2549,0)+INDEX($BD$13:$BL$162,BP2549,0))/100))),0)</f>
        <v/>
      </c>
      <c r="BT2549">
        <f>IF(AND(2536&lt;$U$9,$W$5),BQ2549*1000000-MIN(BR2549,999)*1000+BS2549-2536/100000,-1000000000-2536)</f>
        <v/>
      </c>
    </row>
    <row r="2550">
      <c r="BN2550">
        <f>IF(2537&lt;$U$9,INT(2537/($U$7*$U$8))+1,1)</f>
        <v/>
      </c>
      <c r="BO2550">
        <f>IF(2537&lt;$U$9,MOD(INT(2537/$U$8),$U$7)+1,1)</f>
        <v/>
      </c>
      <c r="BP2550">
        <f>IF(2537&lt;$U$9,MOD(2537,$U$8)+1,1)</f>
        <v/>
      </c>
      <c r="BQ2550">
        <f>IF(2537&lt;$U$9,SUMPRODUCT(($D$10:$L$10&lt;&gt;"")*(($D$9:$L$9+INT(($S$12:$AA$12+INDEX($AJ$13:$AR$162,BN2550,0)+INDEX($AT$13:$BB$162,BO2550,0)+INDEX($BD$13:$BL$162,BP2550,0))/100))&gt;=$D$10:$L$10)),0)</f>
        <v/>
      </c>
      <c r="BR2550">
        <f>IF(2537&lt;$U$9,SUMPRODUCT(($D$10:$L$10&lt;&gt;"")*(($D$10:$L$10-($D$9:$L$9+INT(($S$12:$AA$12+INDEX($AJ$13:$AR$162,BN2550,0)+INDEX($AT$13:$BB$162,BO2550,0)+INDEX($BD$13:$BL$162,BP2550,0))/100)))&gt;0)*($D$10:$L$10-($D$9:$L$9+INT(($S$12:$AA$12+INDEX($AJ$13:$AR$162,BN2550,0)+INDEX($AT$13:$BB$162,BO2550,0)+INDEX($BD$13:$BL$162,BP2550,0))/100)))),0)</f>
        <v/>
      </c>
      <c r="BS2550">
        <f>IF(2537&lt;$U$9,SUMPRODUCT(($D$9:$L$9+INT(($S$12:$AA$12+INDEX($AJ$13:$AR$162,BN2550,0)+INDEX($AT$13:$BB$162,BO2550,0)+INDEX($BD$13:$BL$162,BP2550,0))/100))),0)</f>
        <v/>
      </c>
      <c r="BT2550">
        <f>IF(AND(2537&lt;$U$9,$W$5),BQ2550*1000000-MIN(BR2550,999)*1000+BS2550-2537/100000,-1000000000-2537)</f>
        <v/>
      </c>
    </row>
    <row r="2551">
      <c r="BN2551">
        <f>IF(2538&lt;$U$9,INT(2538/($U$7*$U$8))+1,1)</f>
        <v/>
      </c>
      <c r="BO2551">
        <f>IF(2538&lt;$U$9,MOD(INT(2538/$U$8),$U$7)+1,1)</f>
        <v/>
      </c>
      <c r="BP2551">
        <f>IF(2538&lt;$U$9,MOD(2538,$U$8)+1,1)</f>
        <v/>
      </c>
      <c r="BQ2551">
        <f>IF(2538&lt;$U$9,SUMPRODUCT(($D$10:$L$10&lt;&gt;"")*(($D$9:$L$9+INT(($S$12:$AA$12+INDEX($AJ$13:$AR$162,BN2551,0)+INDEX($AT$13:$BB$162,BO2551,0)+INDEX($BD$13:$BL$162,BP2551,0))/100))&gt;=$D$10:$L$10)),0)</f>
        <v/>
      </c>
      <c r="BR2551">
        <f>IF(2538&lt;$U$9,SUMPRODUCT(($D$10:$L$10&lt;&gt;"")*(($D$10:$L$10-($D$9:$L$9+INT(($S$12:$AA$12+INDEX($AJ$13:$AR$162,BN2551,0)+INDEX($AT$13:$BB$162,BO2551,0)+INDEX($BD$13:$BL$162,BP2551,0))/100)))&gt;0)*($D$10:$L$10-($D$9:$L$9+INT(($S$12:$AA$12+INDEX($AJ$13:$AR$162,BN2551,0)+INDEX($AT$13:$BB$162,BO2551,0)+INDEX($BD$13:$BL$162,BP2551,0))/100)))),0)</f>
        <v/>
      </c>
      <c r="BS2551">
        <f>IF(2538&lt;$U$9,SUMPRODUCT(($D$9:$L$9+INT(($S$12:$AA$12+INDEX($AJ$13:$AR$162,BN2551,0)+INDEX($AT$13:$BB$162,BO2551,0)+INDEX($BD$13:$BL$162,BP2551,0))/100))),0)</f>
        <v/>
      </c>
      <c r="BT2551">
        <f>IF(AND(2538&lt;$U$9,$W$5),BQ2551*1000000-MIN(BR2551,999)*1000+BS2551-2538/100000,-1000000000-2538)</f>
        <v/>
      </c>
    </row>
    <row r="2552">
      <c r="BN2552">
        <f>IF(2539&lt;$U$9,INT(2539/($U$7*$U$8))+1,1)</f>
        <v/>
      </c>
      <c r="BO2552">
        <f>IF(2539&lt;$U$9,MOD(INT(2539/$U$8),$U$7)+1,1)</f>
        <v/>
      </c>
      <c r="BP2552">
        <f>IF(2539&lt;$U$9,MOD(2539,$U$8)+1,1)</f>
        <v/>
      </c>
      <c r="BQ2552">
        <f>IF(2539&lt;$U$9,SUMPRODUCT(($D$10:$L$10&lt;&gt;"")*(($D$9:$L$9+INT(($S$12:$AA$12+INDEX($AJ$13:$AR$162,BN2552,0)+INDEX($AT$13:$BB$162,BO2552,0)+INDEX($BD$13:$BL$162,BP2552,0))/100))&gt;=$D$10:$L$10)),0)</f>
        <v/>
      </c>
      <c r="BR2552">
        <f>IF(2539&lt;$U$9,SUMPRODUCT(($D$10:$L$10&lt;&gt;"")*(($D$10:$L$10-($D$9:$L$9+INT(($S$12:$AA$12+INDEX($AJ$13:$AR$162,BN2552,0)+INDEX($AT$13:$BB$162,BO2552,0)+INDEX($BD$13:$BL$162,BP2552,0))/100)))&gt;0)*($D$10:$L$10-($D$9:$L$9+INT(($S$12:$AA$12+INDEX($AJ$13:$AR$162,BN2552,0)+INDEX($AT$13:$BB$162,BO2552,0)+INDEX($BD$13:$BL$162,BP2552,0))/100)))),0)</f>
        <v/>
      </c>
      <c r="BS2552">
        <f>IF(2539&lt;$U$9,SUMPRODUCT(($D$9:$L$9+INT(($S$12:$AA$12+INDEX($AJ$13:$AR$162,BN2552,0)+INDEX($AT$13:$BB$162,BO2552,0)+INDEX($BD$13:$BL$162,BP2552,0))/100))),0)</f>
        <v/>
      </c>
      <c r="BT2552">
        <f>IF(AND(2539&lt;$U$9,$W$5),BQ2552*1000000-MIN(BR2552,999)*1000+BS2552-2539/100000,-1000000000-2539)</f>
        <v/>
      </c>
    </row>
    <row r="2553">
      <c r="BN2553">
        <f>IF(2540&lt;$U$9,INT(2540/($U$7*$U$8))+1,1)</f>
        <v/>
      </c>
      <c r="BO2553">
        <f>IF(2540&lt;$U$9,MOD(INT(2540/$U$8),$U$7)+1,1)</f>
        <v/>
      </c>
      <c r="BP2553">
        <f>IF(2540&lt;$U$9,MOD(2540,$U$8)+1,1)</f>
        <v/>
      </c>
      <c r="BQ2553">
        <f>IF(2540&lt;$U$9,SUMPRODUCT(($D$10:$L$10&lt;&gt;"")*(($D$9:$L$9+INT(($S$12:$AA$12+INDEX($AJ$13:$AR$162,BN2553,0)+INDEX($AT$13:$BB$162,BO2553,0)+INDEX($BD$13:$BL$162,BP2553,0))/100))&gt;=$D$10:$L$10)),0)</f>
        <v/>
      </c>
      <c r="BR2553">
        <f>IF(2540&lt;$U$9,SUMPRODUCT(($D$10:$L$10&lt;&gt;"")*(($D$10:$L$10-($D$9:$L$9+INT(($S$12:$AA$12+INDEX($AJ$13:$AR$162,BN2553,0)+INDEX($AT$13:$BB$162,BO2553,0)+INDEX($BD$13:$BL$162,BP2553,0))/100)))&gt;0)*($D$10:$L$10-($D$9:$L$9+INT(($S$12:$AA$12+INDEX($AJ$13:$AR$162,BN2553,0)+INDEX($AT$13:$BB$162,BO2553,0)+INDEX($BD$13:$BL$162,BP2553,0))/100)))),0)</f>
        <v/>
      </c>
      <c r="BS2553">
        <f>IF(2540&lt;$U$9,SUMPRODUCT(($D$9:$L$9+INT(($S$12:$AA$12+INDEX($AJ$13:$AR$162,BN2553,0)+INDEX($AT$13:$BB$162,BO2553,0)+INDEX($BD$13:$BL$162,BP2553,0))/100))),0)</f>
        <v/>
      </c>
      <c r="BT2553">
        <f>IF(AND(2540&lt;$U$9,$W$5),BQ2553*1000000-MIN(BR2553,999)*1000+BS2553-2540/100000,-1000000000-2540)</f>
        <v/>
      </c>
    </row>
    <row r="2554">
      <c r="BN2554">
        <f>IF(2541&lt;$U$9,INT(2541/($U$7*$U$8))+1,1)</f>
        <v/>
      </c>
      <c r="BO2554">
        <f>IF(2541&lt;$U$9,MOD(INT(2541/$U$8),$U$7)+1,1)</f>
        <v/>
      </c>
      <c r="BP2554">
        <f>IF(2541&lt;$U$9,MOD(2541,$U$8)+1,1)</f>
        <v/>
      </c>
      <c r="BQ2554">
        <f>IF(2541&lt;$U$9,SUMPRODUCT(($D$10:$L$10&lt;&gt;"")*(($D$9:$L$9+INT(($S$12:$AA$12+INDEX($AJ$13:$AR$162,BN2554,0)+INDEX($AT$13:$BB$162,BO2554,0)+INDEX($BD$13:$BL$162,BP2554,0))/100))&gt;=$D$10:$L$10)),0)</f>
        <v/>
      </c>
      <c r="BR2554">
        <f>IF(2541&lt;$U$9,SUMPRODUCT(($D$10:$L$10&lt;&gt;"")*(($D$10:$L$10-($D$9:$L$9+INT(($S$12:$AA$12+INDEX($AJ$13:$AR$162,BN2554,0)+INDEX($AT$13:$BB$162,BO2554,0)+INDEX($BD$13:$BL$162,BP2554,0))/100)))&gt;0)*($D$10:$L$10-($D$9:$L$9+INT(($S$12:$AA$12+INDEX($AJ$13:$AR$162,BN2554,0)+INDEX($AT$13:$BB$162,BO2554,0)+INDEX($BD$13:$BL$162,BP2554,0))/100)))),0)</f>
        <v/>
      </c>
      <c r="BS2554">
        <f>IF(2541&lt;$U$9,SUMPRODUCT(($D$9:$L$9+INT(($S$12:$AA$12+INDEX($AJ$13:$AR$162,BN2554,0)+INDEX($AT$13:$BB$162,BO2554,0)+INDEX($BD$13:$BL$162,BP2554,0))/100))),0)</f>
        <v/>
      </c>
      <c r="BT2554">
        <f>IF(AND(2541&lt;$U$9,$W$5),BQ2554*1000000-MIN(BR2554,999)*1000+BS2554-2541/100000,-1000000000-2541)</f>
        <v/>
      </c>
    </row>
    <row r="2555">
      <c r="BN2555">
        <f>IF(2542&lt;$U$9,INT(2542/($U$7*$U$8))+1,1)</f>
        <v/>
      </c>
      <c r="BO2555">
        <f>IF(2542&lt;$U$9,MOD(INT(2542/$U$8),$U$7)+1,1)</f>
        <v/>
      </c>
      <c r="BP2555">
        <f>IF(2542&lt;$U$9,MOD(2542,$U$8)+1,1)</f>
        <v/>
      </c>
      <c r="BQ2555">
        <f>IF(2542&lt;$U$9,SUMPRODUCT(($D$10:$L$10&lt;&gt;"")*(($D$9:$L$9+INT(($S$12:$AA$12+INDEX($AJ$13:$AR$162,BN2555,0)+INDEX($AT$13:$BB$162,BO2555,0)+INDEX($BD$13:$BL$162,BP2555,0))/100))&gt;=$D$10:$L$10)),0)</f>
        <v/>
      </c>
      <c r="BR2555">
        <f>IF(2542&lt;$U$9,SUMPRODUCT(($D$10:$L$10&lt;&gt;"")*(($D$10:$L$10-($D$9:$L$9+INT(($S$12:$AA$12+INDEX($AJ$13:$AR$162,BN2555,0)+INDEX($AT$13:$BB$162,BO2555,0)+INDEX($BD$13:$BL$162,BP2555,0))/100)))&gt;0)*($D$10:$L$10-($D$9:$L$9+INT(($S$12:$AA$12+INDEX($AJ$13:$AR$162,BN2555,0)+INDEX($AT$13:$BB$162,BO2555,0)+INDEX($BD$13:$BL$162,BP2555,0))/100)))),0)</f>
        <v/>
      </c>
      <c r="BS2555">
        <f>IF(2542&lt;$U$9,SUMPRODUCT(($D$9:$L$9+INT(($S$12:$AA$12+INDEX($AJ$13:$AR$162,BN2555,0)+INDEX($AT$13:$BB$162,BO2555,0)+INDEX($BD$13:$BL$162,BP2555,0))/100))),0)</f>
        <v/>
      </c>
      <c r="BT2555">
        <f>IF(AND(2542&lt;$U$9,$W$5),BQ2555*1000000-MIN(BR2555,999)*1000+BS2555-2542/100000,-1000000000-2542)</f>
        <v/>
      </c>
    </row>
    <row r="2556">
      <c r="BN2556">
        <f>IF(2543&lt;$U$9,INT(2543/($U$7*$U$8))+1,1)</f>
        <v/>
      </c>
      <c r="BO2556">
        <f>IF(2543&lt;$U$9,MOD(INT(2543/$U$8),$U$7)+1,1)</f>
        <v/>
      </c>
      <c r="BP2556">
        <f>IF(2543&lt;$U$9,MOD(2543,$U$8)+1,1)</f>
        <v/>
      </c>
      <c r="BQ2556">
        <f>IF(2543&lt;$U$9,SUMPRODUCT(($D$10:$L$10&lt;&gt;"")*(($D$9:$L$9+INT(($S$12:$AA$12+INDEX($AJ$13:$AR$162,BN2556,0)+INDEX($AT$13:$BB$162,BO2556,0)+INDEX($BD$13:$BL$162,BP2556,0))/100))&gt;=$D$10:$L$10)),0)</f>
        <v/>
      </c>
      <c r="BR2556">
        <f>IF(2543&lt;$U$9,SUMPRODUCT(($D$10:$L$10&lt;&gt;"")*(($D$10:$L$10-($D$9:$L$9+INT(($S$12:$AA$12+INDEX($AJ$13:$AR$162,BN2556,0)+INDEX($AT$13:$BB$162,BO2556,0)+INDEX($BD$13:$BL$162,BP2556,0))/100)))&gt;0)*($D$10:$L$10-($D$9:$L$9+INT(($S$12:$AA$12+INDEX($AJ$13:$AR$162,BN2556,0)+INDEX($AT$13:$BB$162,BO2556,0)+INDEX($BD$13:$BL$162,BP2556,0))/100)))),0)</f>
        <v/>
      </c>
      <c r="BS2556">
        <f>IF(2543&lt;$U$9,SUMPRODUCT(($D$9:$L$9+INT(($S$12:$AA$12+INDEX($AJ$13:$AR$162,BN2556,0)+INDEX($AT$13:$BB$162,BO2556,0)+INDEX($BD$13:$BL$162,BP2556,0))/100))),0)</f>
        <v/>
      </c>
      <c r="BT2556">
        <f>IF(AND(2543&lt;$U$9,$W$5),BQ2556*1000000-MIN(BR2556,999)*1000+BS2556-2543/100000,-1000000000-2543)</f>
        <v/>
      </c>
    </row>
    <row r="2557">
      <c r="BN2557">
        <f>IF(2544&lt;$U$9,INT(2544/($U$7*$U$8))+1,1)</f>
        <v/>
      </c>
      <c r="BO2557">
        <f>IF(2544&lt;$U$9,MOD(INT(2544/$U$8),$U$7)+1,1)</f>
        <v/>
      </c>
      <c r="BP2557">
        <f>IF(2544&lt;$U$9,MOD(2544,$U$8)+1,1)</f>
        <v/>
      </c>
      <c r="BQ2557">
        <f>IF(2544&lt;$U$9,SUMPRODUCT(($D$10:$L$10&lt;&gt;"")*(($D$9:$L$9+INT(($S$12:$AA$12+INDEX($AJ$13:$AR$162,BN2557,0)+INDEX($AT$13:$BB$162,BO2557,0)+INDEX($BD$13:$BL$162,BP2557,0))/100))&gt;=$D$10:$L$10)),0)</f>
        <v/>
      </c>
      <c r="BR2557">
        <f>IF(2544&lt;$U$9,SUMPRODUCT(($D$10:$L$10&lt;&gt;"")*(($D$10:$L$10-($D$9:$L$9+INT(($S$12:$AA$12+INDEX($AJ$13:$AR$162,BN2557,0)+INDEX($AT$13:$BB$162,BO2557,0)+INDEX($BD$13:$BL$162,BP2557,0))/100)))&gt;0)*($D$10:$L$10-($D$9:$L$9+INT(($S$12:$AA$12+INDEX($AJ$13:$AR$162,BN2557,0)+INDEX($AT$13:$BB$162,BO2557,0)+INDEX($BD$13:$BL$162,BP2557,0))/100)))),0)</f>
        <v/>
      </c>
      <c r="BS2557">
        <f>IF(2544&lt;$U$9,SUMPRODUCT(($D$9:$L$9+INT(($S$12:$AA$12+INDEX($AJ$13:$AR$162,BN2557,0)+INDEX($AT$13:$BB$162,BO2557,0)+INDEX($BD$13:$BL$162,BP2557,0))/100))),0)</f>
        <v/>
      </c>
      <c r="BT2557">
        <f>IF(AND(2544&lt;$U$9,$W$5),BQ2557*1000000-MIN(BR2557,999)*1000+BS2557-2544/100000,-1000000000-2544)</f>
        <v/>
      </c>
    </row>
    <row r="2558">
      <c r="BN2558">
        <f>IF(2545&lt;$U$9,INT(2545/($U$7*$U$8))+1,1)</f>
        <v/>
      </c>
      <c r="BO2558">
        <f>IF(2545&lt;$U$9,MOD(INT(2545/$U$8),$U$7)+1,1)</f>
        <v/>
      </c>
      <c r="BP2558">
        <f>IF(2545&lt;$U$9,MOD(2545,$U$8)+1,1)</f>
        <v/>
      </c>
      <c r="BQ2558">
        <f>IF(2545&lt;$U$9,SUMPRODUCT(($D$10:$L$10&lt;&gt;"")*(($D$9:$L$9+INT(($S$12:$AA$12+INDEX($AJ$13:$AR$162,BN2558,0)+INDEX($AT$13:$BB$162,BO2558,0)+INDEX($BD$13:$BL$162,BP2558,0))/100))&gt;=$D$10:$L$10)),0)</f>
        <v/>
      </c>
      <c r="BR2558">
        <f>IF(2545&lt;$U$9,SUMPRODUCT(($D$10:$L$10&lt;&gt;"")*(($D$10:$L$10-($D$9:$L$9+INT(($S$12:$AA$12+INDEX($AJ$13:$AR$162,BN2558,0)+INDEX($AT$13:$BB$162,BO2558,0)+INDEX($BD$13:$BL$162,BP2558,0))/100)))&gt;0)*($D$10:$L$10-($D$9:$L$9+INT(($S$12:$AA$12+INDEX($AJ$13:$AR$162,BN2558,0)+INDEX($AT$13:$BB$162,BO2558,0)+INDEX($BD$13:$BL$162,BP2558,0))/100)))),0)</f>
        <v/>
      </c>
      <c r="BS2558">
        <f>IF(2545&lt;$U$9,SUMPRODUCT(($D$9:$L$9+INT(($S$12:$AA$12+INDEX($AJ$13:$AR$162,BN2558,0)+INDEX($AT$13:$BB$162,BO2558,0)+INDEX($BD$13:$BL$162,BP2558,0))/100))),0)</f>
        <v/>
      </c>
      <c r="BT2558">
        <f>IF(AND(2545&lt;$U$9,$W$5),BQ2558*1000000-MIN(BR2558,999)*1000+BS2558-2545/100000,-1000000000-2545)</f>
        <v/>
      </c>
    </row>
    <row r="2559">
      <c r="BN2559">
        <f>IF(2546&lt;$U$9,INT(2546/($U$7*$U$8))+1,1)</f>
        <v/>
      </c>
      <c r="BO2559">
        <f>IF(2546&lt;$U$9,MOD(INT(2546/$U$8),$U$7)+1,1)</f>
        <v/>
      </c>
      <c r="BP2559">
        <f>IF(2546&lt;$U$9,MOD(2546,$U$8)+1,1)</f>
        <v/>
      </c>
      <c r="BQ2559">
        <f>IF(2546&lt;$U$9,SUMPRODUCT(($D$10:$L$10&lt;&gt;"")*(($D$9:$L$9+INT(($S$12:$AA$12+INDEX($AJ$13:$AR$162,BN2559,0)+INDEX($AT$13:$BB$162,BO2559,0)+INDEX($BD$13:$BL$162,BP2559,0))/100))&gt;=$D$10:$L$10)),0)</f>
        <v/>
      </c>
      <c r="BR2559">
        <f>IF(2546&lt;$U$9,SUMPRODUCT(($D$10:$L$10&lt;&gt;"")*(($D$10:$L$10-($D$9:$L$9+INT(($S$12:$AA$12+INDEX($AJ$13:$AR$162,BN2559,0)+INDEX($AT$13:$BB$162,BO2559,0)+INDEX($BD$13:$BL$162,BP2559,0))/100)))&gt;0)*($D$10:$L$10-($D$9:$L$9+INT(($S$12:$AA$12+INDEX($AJ$13:$AR$162,BN2559,0)+INDEX($AT$13:$BB$162,BO2559,0)+INDEX($BD$13:$BL$162,BP2559,0))/100)))),0)</f>
        <v/>
      </c>
      <c r="BS2559">
        <f>IF(2546&lt;$U$9,SUMPRODUCT(($D$9:$L$9+INT(($S$12:$AA$12+INDEX($AJ$13:$AR$162,BN2559,0)+INDEX($AT$13:$BB$162,BO2559,0)+INDEX($BD$13:$BL$162,BP2559,0))/100))),0)</f>
        <v/>
      </c>
      <c r="BT2559">
        <f>IF(AND(2546&lt;$U$9,$W$5),BQ2559*1000000-MIN(BR2559,999)*1000+BS2559-2546/100000,-1000000000-2546)</f>
        <v/>
      </c>
    </row>
    <row r="2560">
      <c r="BN2560">
        <f>IF(2547&lt;$U$9,INT(2547/($U$7*$U$8))+1,1)</f>
        <v/>
      </c>
      <c r="BO2560">
        <f>IF(2547&lt;$U$9,MOD(INT(2547/$U$8),$U$7)+1,1)</f>
        <v/>
      </c>
      <c r="BP2560">
        <f>IF(2547&lt;$U$9,MOD(2547,$U$8)+1,1)</f>
        <v/>
      </c>
      <c r="BQ2560">
        <f>IF(2547&lt;$U$9,SUMPRODUCT(($D$10:$L$10&lt;&gt;"")*(($D$9:$L$9+INT(($S$12:$AA$12+INDEX($AJ$13:$AR$162,BN2560,0)+INDEX($AT$13:$BB$162,BO2560,0)+INDEX($BD$13:$BL$162,BP2560,0))/100))&gt;=$D$10:$L$10)),0)</f>
        <v/>
      </c>
      <c r="BR2560">
        <f>IF(2547&lt;$U$9,SUMPRODUCT(($D$10:$L$10&lt;&gt;"")*(($D$10:$L$10-($D$9:$L$9+INT(($S$12:$AA$12+INDEX($AJ$13:$AR$162,BN2560,0)+INDEX($AT$13:$BB$162,BO2560,0)+INDEX($BD$13:$BL$162,BP2560,0))/100)))&gt;0)*($D$10:$L$10-($D$9:$L$9+INT(($S$12:$AA$12+INDEX($AJ$13:$AR$162,BN2560,0)+INDEX($AT$13:$BB$162,BO2560,0)+INDEX($BD$13:$BL$162,BP2560,0))/100)))),0)</f>
        <v/>
      </c>
      <c r="BS2560">
        <f>IF(2547&lt;$U$9,SUMPRODUCT(($D$9:$L$9+INT(($S$12:$AA$12+INDEX($AJ$13:$AR$162,BN2560,0)+INDEX($AT$13:$BB$162,BO2560,0)+INDEX($BD$13:$BL$162,BP2560,0))/100))),0)</f>
        <v/>
      </c>
      <c r="BT2560">
        <f>IF(AND(2547&lt;$U$9,$W$5),BQ2560*1000000-MIN(BR2560,999)*1000+BS2560-2547/100000,-1000000000-2547)</f>
        <v/>
      </c>
    </row>
    <row r="2561">
      <c r="BN2561">
        <f>IF(2548&lt;$U$9,INT(2548/($U$7*$U$8))+1,1)</f>
        <v/>
      </c>
      <c r="BO2561">
        <f>IF(2548&lt;$U$9,MOD(INT(2548/$U$8),$U$7)+1,1)</f>
        <v/>
      </c>
      <c r="BP2561">
        <f>IF(2548&lt;$U$9,MOD(2548,$U$8)+1,1)</f>
        <v/>
      </c>
      <c r="BQ2561">
        <f>IF(2548&lt;$U$9,SUMPRODUCT(($D$10:$L$10&lt;&gt;"")*(($D$9:$L$9+INT(($S$12:$AA$12+INDEX($AJ$13:$AR$162,BN2561,0)+INDEX($AT$13:$BB$162,BO2561,0)+INDEX($BD$13:$BL$162,BP2561,0))/100))&gt;=$D$10:$L$10)),0)</f>
        <v/>
      </c>
      <c r="BR2561">
        <f>IF(2548&lt;$U$9,SUMPRODUCT(($D$10:$L$10&lt;&gt;"")*(($D$10:$L$10-($D$9:$L$9+INT(($S$12:$AA$12+INDEX($AJ$13:$AR$162,BN2561,0)+INDEX($AT$13:$BB$162,BO2561,0)+INDEX($BD$13:$BL$162,BP2561,0))/100)))&gt;0)*($D$10:$L$10-($D$9:$L$9+INT(($S$12:$AA$12+INDEX($AJ$13:$AR$162,BN2561,0)+INDEX($AT$13:$BB$162,BO2561,0)+INDEX($BD$13:$BL$162,BP2561,0))/100)))),0)</f>
        <v/>
      </c>
      <c r="BS2561">
        <f>IF(2548&lt;$U$9,SUMPRODUCT(($D$9:$L$9+INT(($S$12:$AA$12+INDEX($AJ$13:$AR$162,BN2561,0)+INDEX($AT$13:$BB$162,BO2561,0)+INDEX($BD$13:$BL$162,BP2561,0))/100))),0)</f>
        <v/>
      </c>
      <c r="BT2561">
        <f>IF(AND(2548&lt;$U$9,$W$5),BQ2561*1000000-MIN(BR2561,999)*1000+BS2561-2548/100000,-1000000000-2548)</f>
        <v/>
      </c>
    </row>
    <row r="2562">
      <c r="BN2562">
        <f>IF(2549&lt;$U$9,INT(2549/($U$7*$U$8))+1,1)</f>
        <v/>
      </c>
      <c r="BO2562">
        <f>IF(2549&lt;$U$9,MOD(INT(2549/$U$8),$U$7)+1,1)</f>
        <v/>
      </c>
      <c r="BP2562">
        <f>IF(2549&lt;$U$9,MOD(2549,$U$8)+1,1)</f>
        <v/>
      </c>
      <c r="BQ2562">
        <f>IF(2549&lt;$U$9,SUMPRODUCT(($D$10:$L$10&lt;&gt;"")*(($D$9:$L$9+INT(($S$12:$AA$12+INDEX($AJ$13:$AR$162,BN2562,0)+INDEX($AT$13:$BB$162,BO2562,0)+INDEX($BD$13:$BL$162,BP2562,0))/100))&gt;=$D$10:$L$10)),0)</f>
        <v/>
      </c>
      <c r="BR2562">
        <f>IF(2549&lt;$U$9,SUMPRODUCT(($D$10:$L$10&lt;&gt;"")*(($D$10:$L$10-($D$9:$L$9+INT(($S$12:$AA$12+INDEX($AJ$13:$AR$162,BN2562,0)+INDEX($AT$13:$BB$162,BO2562,0)+INDEX($BD$13:$BL$162,BP2562,0))/100)))&gt;0)*($D$10:$L$10-($D$9:$L$9+INT(($S$12:$AA$12+INDEX($AJ$13:$AR$162,BN2562,0)+INDEX($AT$13:$BB$162,BO2562,0)+INDEX($BD$13:$BL$162,BP2562,0))/100)))),0)</f>
        <v/>
      </c>
      <c r="BS2562">
        <f>IF(2549&lt;$U$9,SUMPRODUCT(($D$9:$L$9+INT(($S$12:$AA$12+INDEX($AJ$13:$AR$162,BN2562,0)+INDEX($AT$13:$BB$162,BO2562,0)+INDEX($BD$13:$BL$162,BP2562,0))/100))),0)</f>
        <v/>
      </c>
      <c r="BT2562">
        <f>IF(AND(2549&lt;$U$9,$W$5),BQ2562*1000000-MIN(BR2562,999)*1000+BS2562-2549/100000,-1000000000-2549)</f>
        <v/>
      </c>
    </row>
    <row r="2563">
      <c r="BN2563">
        <f>IF(2550&lt;$U$9,INT(2550/($U$7*$U$8))+1,1)</f>
        <v/>
      </c>
      <c r="BO2563">
        <f>IF(2550&lt;$U$9,MOD(INT(2550/$U$8),$U$7)+1,1)</f>
        <v/>
      </c>
      <c r="BP2563">
        <f>IF(2550&lt;$U$9,MOD(2550,$U$8)+1,1)</f>
        <v/>
      </c>
      <c r="BQ2563">
        <f>IF(2550&lt;$U$9,SUMPRODUCT(($D$10:$L$10&lt;&gt;"")*(($D$9:$L$9+INT(($S$12:$AA$12+INDEX($AJ$13:$AR$162,BN2563,0)+INDEX($AT$13:$BB$162,BO2563,0)+INDEX($BD$13:$BL$162,BP2563,0))/100))&gt;=$D$10:$L$10)),0)</f>
        <v/>
      </c>
      <c r="BR2563">
        <f>IF(2550&lt;$U$9,SUMPRODUCT(($D$10:$L$10&lt;&gt;"")*(($D$10:$L$10-($D$9:$L$9+INT(($S$12:$AA$12+INDEX($AJ$13:$AR$162,BN2563,0)+INDEX($AT$13:$BB$162,BO2563,0)+INDEX($BD$13:$BL$162,BP2563,0))/100)))&gt;0)*($D$10:$L$10-($D$9:$L$9+INT(($S$12:$AA$12+INDEX($AJ$13:$AR$162,BN2563,0)+INDEX($AT$13:$BB$162,BO2563,0)+INDEX($BD$13:$BL$162,BP2563,0))/100)))),0)</f>
        <v/>
      </c>
      <c r="BS2563">
        <f>IF(2550&lt;$U$9,SUMPRODUCT(($D$9:$L$9+INT(($S$12:$AA$12+INDEX($AJ$13:$AR$162,BN2563,0)+INDEX($AT$13:$BB$162,BO2563,0)+INDEX($BD$13:$BL$162,BP2563,0))/100))),0)</f>
        <v/>
      </c>
      <c r="BT2563">
        <f>IF(AND(2550&lt;$U$9,$W$5),BQ2563*1000000-MIN(BR2563,999)*1000+BS2563-2550/100000,-1000000000-2550)</f>
        <v/>
      </c>
    </row>
    <row r="2564">
      <c r="BN2564">
        <f>IF(2551&lt;$U$9,INT(2551/($U$7*$U$8))+1,1)</f>
        <v/>
      </c>
      <c r="BO2564">
        <f>IF(2551&lt;$U$9,MOD(INT(2551/$U$8),$U$7)+1,1)</f>
        <v/>
      </c>
      <c r="BP2564">
        <f>IF(2551&lt;$U$9,MOD(2551,$U$8)+1,1)</f>
        <v/>
      </c>
      <c r="BQ2564">
        <f>IF(2551&lt;$U$9,SUMPRODUCT(($D$10:$L$10&lt;&gt;"")*(($D$9:$L$9+INT(($S$12:$AA$12+INDEX($AJ$13:$AR$162,BN2564,0)+INDEX($AT$13:$BB$162,BO2564,0)+INDEX($BD$13:$BL$162,BP2564,0))/100))&gt;=$D$10:$L$10)),0)</f>
        <v/>
      </c>
      <c r="BR2564">
        <f>IF(2551&lt;$U$9,SUMPRODUCT(($D$10:$L$10&lt;&gt;"")*(($D$10:$L$10-($D$9:$L$9+INT(($S$12:$AA$12+INDEX($AJ$13:$AR$162,BN2564,0)+INDEX($AT$13:$BB$162,BO2564,0)+INDEX($BD$13:$BL$162,BP2564,0))/100)))&gt;0)*($D$10:$L$10-($D$9:$L$9+INT(($S$12:$AA$12+INDEX($AJ$13:$AR$162,BN2564,0)+INDEX($AT$13:$BB$162,BO2564,0)+INDEX($BD$13:$BL$162,BP2564,0))/100)))),0)</f>
        <v/>
      </c>
      <c r="BS2564">
        <f>IF(2551&lt;$U$9,SUMPRODUCT(($D$9:$L$9+INT(($S$12:$AA$12+INDEX($AJ$13:$AR$162,BN2564,0)+INDEX($AT$13:$BB$162,BO2564,0)+INDEX($BD$13:$BL$162,BP2564,0))/100))),0)</f>
        <v/>
      </c>
      <c r="BT2564">
        <f>IF(AND(2551&lt;$U$9,$W$5),BQ2564*1000000-MIN(BR2564,999)*1000+BS2564-2551/100000,-1000000000-2551)</f>
        <v/>
      </c>
    </row>
    <row r="2565">
      <c r="BN2565">
        <f>IF(2552&lt;$U$9,INT(2552/($U$7*$U$8))+1,1)</f>
        <v/>
      </c>
      <c r="BO2565">
        <f>IF(2552&lt;$U$9,MOD(INT(2552/$U$8),$U$7)+1,1)</f>
        <v/>
      </c>
      <c r="BP2565">
        <f>IF(2552&lt;$U$9,MOD(2552,$U$8)+1,1)</f>
        <v/>
      </c>
      <c r="BQ2565">
        <f>IF(2552&lt;$U$9,SUMPRODUCT(($D$10:$L$10&lt;&gt;"")*(($D$9:$L$9+INT(($S$12:$AA$12+INDEX($AJ$13:$AR$162,BN2565,0)+INDEX($AT$13:$BB$162,BO2565,0)+INDEX($BD$13:$BL$162,BP2565,0))/100))&gt;=$D$10:$L$10)),0)</f>
        <v/>
      </c>
      <c r="BR2565">
        <f>IF(2552&lt;$U$9,SUMPRODUCT(($D$10:$L$10&lt;&gt;"")*(($D$10:$L$10-($D$9:$L$9+INT(($S$12:$AA$12+INDEX($AJ$13:$AR$162,BN2565,0)+INDEX($AT$13:$BB$162,BO2565,0)+INDEX($BD$13:$BL$162,BP2565,0))/100)))&gt;0)*($D$10:$L$10-($D$9:$L$9+INT(($S$12:$AA$12+INDEX($AJ$13:$AR$162,BN2565,0)+INDEX($AT$13:$BB$162,BO2565,0)+INDEX($BD$13:$BL$162,BP2565,0))/100)))),0)</f>
        <v/>
      </c>
      <c r="BS2565">
        <f>IF(2552&lt;$U$9,SUMPRODUCT(($D$9:$L$9+INT(($S$12:$AA$12+INDEX($AJ$13:$AR$162,BN2565,0)+INDEX($AT$13:$BB$162,BO2565,0)+INDEX($BD$13:$BL$162,BP2565,0))/100))),0)</f>
        <v/>
      </c>
      <c r="BT2565">
        <f>IF(AND(2552&lt;$U$9,$W$5),BQ2565*1000000-MIN(BR2565,999)*1000+BS2565-2552/100000,-1000000000-2552)</f>
        <v/>
      </c>
    </row>
    <row r="2566">
      <c r="BN2566">
        <f>IF(2553&lt;$U$9,INT(2553/($U$7*$U$8))+1,1)</f>
        <v/>
      </c>
      <c r="BO2566">
        <f>IF(2553&lt;$U$9,MOD(INT(2553/$U$8),$U$7)+1,1)</f>
        <v/>
      </c>
      <c r="BP2566">
        <f>IF(2553&lt;$U$9,MOD(2553,$U$8)+1,1)</f>
        <v/>
      </c>
      <c r="BQ2566">
        <f>IF(2553&lt;$U$9,SUMPRODUCT(($D$10:$L$10&lt;&gt;"")*(($D$9:$L$9+INT(($S$12:$AA$12+INDEX($AJ$13:$AR$162,BN2566,0)+INDEX($AT$13:$BB$162,BO2566,0)+INDEX($BD$13:$BL$162,BP2566,0))/100))&gt;=$D$10:$L$10)),0)</f>
        <v/>
      </c>
      <c r="BR2566">
        <f>IF(2553&lt;$U$9,SUMPRODUCT(($D$10:$L$10&lt;&gt;"")*(($D$10:$L$10-($D$9:$L$9+INT(($S$12:$AA$12+INDEX($AJ$13:$AR$162,BN2566,0)+INDEX($AT$13:$BB$162,BO2566,0)+INDEX($BD$13:$BL$162,BP2566,0))/100)))&gt;0)*($D$10:$L$10-($D$9:$L$9+INT(($S$12:$AA$12+INDEX($AJ$13:$AR$162,BN2566,0)+INDEX($AT$13:$BB$162,BO2566,0)+INDEX($BD$13:$BL$162,BP2566,0))/100)))),0)</f>
        <v/>
      </c>
      <c r="BS2566">
        <f>IF(2553&lt;$U$9,SUMPRODUCT(($D$9:$L$9+INT(($S$12:$AA$12+INDEX($AJ$13:$AR$162,BN2566,0)+INDEX($AT$13:$BB$162,BO2566,0)+INDEX($BD$13:$BL$162,BP2566,0))/100))),0)</f>
        <v/>
      </c>
      <c r="BT2566">
        <f>IF(AND(2553&lt;$U$9,$W$5),BQ2566*1000000-MIN(BR2566,999)*1000+BS2566-2553/100000,-1000000000-2553)</f>
        <v/>
      </c>
    </row>
    <row r="2567">
      <c r="BN2567">
        <f>IF(2554&lt;$U$9,INT(2554/($U$7*$U$8))+1,1)</f>
        <v/>
      </c>
      <c r="BO2567">
        <f>IF(2554&lt;$U$9,MOD(INT(2554/$U$8),$U$7)+1,1)</f>
        <v/>
      </c>
      <c r="BP2567">
        <f>IF(2554&lt;$U$9,MOD(2554,$U$8)+1,1)</f>
        <v/>
      </c>
      <c r="BQ2567">
        <f>IF(2554&lt;$U$9,SUMPRODUCT(($D$10:$L$10&lt;&gt;"")*(($D$9:$L$9+INT(($S$12:$AA$12+INDEX($AJ$13:$AR$162,BN2567,0)+INDEX($AT$13:$BB$162,BO2567,0)+INDEX($BD$13:$BL$162,BP2567,0))/100))&gt;=$D$10:$L$10)),0)</f>
        <v/>
      </c>
      <c r="BR2567">
        <f>IF(2554&lt;$U$9,SUMPRODUCT(($D$10:$L$10&lt;&gt;"")*(($D$10:$L$10-($D$9:$L$9+INT(($S$12:$AA$12+INDEX($AJ$13:$AR$162,BN2567,0)+INDEX($AT$13:$BB$162,BO2567,0)+INDEX($BD$13:$BL$162,BP2567,0))/100)))&gt;0)*($D$10:$L$10-($D$9:$L$9+INT(($S$12:$AA$12+INDEX($AJ$13:$AR$162,BN2567,0)+INDEX($AT$13:$BB$162,BO2567,0)+INDEX($BD$13:$BL$162,BP2567,0))/100)))),0)</f>
        <v/>
      </c>
      <c r="BS2567">
        <f>IF(2554&lt;$U$9,SUMPRODUCT(($D$9:$L$9+INT(($S$12:$AA$12+INDEX($AJ$13:$AR$162,BN2567,0)+INDEX($AT$13:$BB$162,BO2567,0)+INDEX($BD$13:$BL$162,BP2567,0))/100))),0)</f>
        <v/>
      </c>
      <c r="BT2567">
        <f>IF(AND(2554&lt;$U$9,$W$5),BQ2567*1000000-MIN(BR2567,999)*1000+BS2567-2554/100000,-1000000000-2554)</f>
        <v/>
      </c>
    </row>
    <row r="2568">
      <c r="BN2568">
        <f>IF(2555&lt;$U$9,INT(2555/($U$7*$U$8))+1,1)</f>
        <v/>
      </c>
      <c r="BO2568">
        <f>IF(2555&lt;$U$9,MOD(INT(2555/$U$8),$U$7)+1,1)</f>
        <v/>
      </c>
      <c r="BP2568">
        <f>IF(2555&lt;$U$9,MOD(2555,$U$8)+1,1)</f>
        <v/>
      </c>
      <c r="BQ2568">
        <f>IF(2555&lt;$U$9,SUMPRODUCT(($D$10:$L$10&lt;&gt;"")*(($D$9:$L$9+INT(($S$12:$AA$12+INDEX($AJ$13:$AR$162,BN2568,0)+INDEX($AT$13:$BB$162,BO2568,0)+INDEX($BD$13:$BL$162,BP2568,0))/100))&gt;=$D$10:$L$10)),0)</f>
        <v/>
      </c>
      <c r="BR2568">
        <f>IF(2555&lt;$U$9,SUMPRODUCT(($D$10:$L$10&lt;&gt;"")*(($D$10:$L$10-($D$9:$L$9+INT(($S$12:$AA$12+INDEX($AJ$13:$AR$162,BN2568,0)+INDEX($AT$13:$BB$162,BO2568,0)+INDEX($BD$13:$BL$162,BP2568,0))/100)))&gt;0)*($D$10:$L$10-($D$9:$L$9+INT(($S$12:$AA$12+INDEX($AJ$13:$AR$162,BN2568,0)+INDEX($AT$13:$BB$162,BO2568,0)+INDEX($BD$13:$BL$162,BP2568,0))/100)))),0)</f>
        <v/>
      </c>
      <c r="BS2568">
        <f>IF(2555&lt;$U$9,SUMPRODUCT(($D$9:$L$9+INT(($S$12:$AA$12+INDEX($AJ$13:$AR$162,BN2568,0)+INDEX($AT$13:$BB$162,BO2568,0)+INDEX($BD$13:$BL$162,BP2568,0))/100))),0)</f>
        <v/>
      </c>
      <c r="BT2568">
        <f>IF(AND(2555&lt;$U$9,$W$5),BQ2568*1000000-MIN(BR2568,999)*1000+BS2568-2555/100000,-1000000000-2555)</f>
        <v/>
      </c>
    </row>
    <row r="2569">
      <c r="BN2569">
        <f>IF(2556&lt;$U$9,INT(2556/($U$7*$U$8))+1,1)</f>
        <v/>
      </c>
      <c r="BO2569">
        <f>IF(2556&lt;$U$9,MOD(INT(2556/$U$8),$U$7)+1,1)</f>
        <v/>
      </c>
      <c r="BP2569">
        <f>IF(2556&lt;$U$9,MOD(2556,$U$8)+1,1)</f>
        <v/>
      </c>
      <c r="BQ2569">
        <f>IF(2556&lt;$U$9,SUMPRODUCT(($D$10:$L$10&lt;&gt;"")*(($D$9:$L$9+INT(($S$12:$AA$12+INDEX($AJ$13:$AR$162,BN2569,0)+INDEX($AT$13:$BB$162,BO2569,0)+INDEX($BD$13:$BL$162,BP2569,0))/100))&gt;=$D$10:$L$10)),0)</f>
        <v/>
      </c>
      <c r="BR2569">
        <f>IF(2556&lt;$U$9,SUMPRODUCT(($D$10:$L$10&lt;&gt;"")*(($D$10:$L$10-($D$9:$L$9+INT(($S$12:$AA$12+INDEX($AJ$13:$AR$162,BN2569,0)+INDEX($AT$13:$BB$162,BO2569,0)+INDEX($BD$13:$BL$162,BP2569,0))/100)))&gt;0)*($D$10:$L$10-($D$9:$L$9+INT(($S$12:$AA$12+INDEX($AJ$13:$AR$162,BN2569,0)+INDEX($AT$13:$BB$162,BO2569,0)+INDEX($BD$13:$BL$162,BP2569,0))/100)))),0)</f>
        <v/>
      </c>
      <c r="BS2569">
        <f>IF(2556&lt;$U$9,SUMPRODUCT(($D$9:$L$9+INT(($S$12:$AA$12+INDEX($AJ$13:$AR$162,BN2569,0)+INDEX($AT$13:$BB$162,BO2569,0)+INDEX($BD$13:$BL$162,BP2569,0))/100))),0)</f>
        <v/>
      </c>
      <c r="BT2569">
        <f>IF(AND(2556&lt;$U$9,$W$5),BQ2569*1000000-MIN(BR2569,999)*1000+BS2569-2556/100000,-1000000000-2556)</f>
        <v/>
      </c>
    </row>
    <row r="2570">
      <c r="BN2570">
        <f>IF(2557&lt;$U$9,INT(2557/($U$7*$U$8))+1,1)</f>
        <v/>
      </c>
      <c r="BO2570">
        <f>IF(2557&lt;$U$9,MOD(INT(2557/$U$8),$U$7)+1,1)</f>
        <v/>
      </c>
      <c r="BP2570">
        <f>IF(2557&lt;$U$9,MOD(2557,$U$8)+1,1)</f>
        <v/>
      </c>
      <c r="BQ2570">
        <f>IF(2557&lt;$U$9,SUMPRODUCT(($D$10:$L$10&lt;&gt;"")*(($D$9:$L$9+INT(($S$12:$AA$12+INDEX($AJ$13:$AR$162,BN2570,0)+INDEX($AT$13:$BB$162,BO2570,0)+INDEX($BD$13:$BL$162,BP2570,0))/100))&gt;=$D$10:$L$10)),0)</f>
        <v/>
      </c>
      <c r="BR2570">
        <f>IF(2557&lt;$U$9,SUMPRODUCT(($D$10:$L$10&lt;&gt;"")*(($D$10:$L$10-($D$9:$L$9+INT(($S$12:$AA$12+INDEX($AJ$13:$AR$162,BN2570,0)+INDEX($AT$13:$BB$162,BO2570,0)+INDEX($BD$13:$BL$162,BP2570,0))/100)))&gt;0)*($D$10:$L$10-($D$9:$L$9+INT(($S$12:$AA$12+INDEX($AJ$13:$AR$162,BN2570,0)+INDEX($AT$13:$BB$162,BO2570,0)+INDEX($BD$13:$BL$162,BP2570,0))/100)))),0)</f>
        <v/>
      </c>
      <c r="BS2570">
        <f>IF(2557&lt;$U$9,SUMPRODUCT(($D$9:$L$9+INT(($S$12:$AA$12+INDEX($AJ$13:$AR$162,BN2570,0)+INDEX($AT$13:$BB$162,BO2570,0)+INDEX($BD$13:$BL$162,BP2570,0))/100))),0)</f>
        <v/>
      </c>
      <c r="BT2570">
        <f>IF(AND(2557&lt;$U$9,$W$5),BQ2570*1000000-MIN(BR2570,999)*1000+BS2570-2557/100000,-1000000000-2557)</f>
        <v/>
      </c>
    </row>
    <row r="2571">
      <c r="BN2571">
        <f>IF(2558&lt;$U$9,INT(2558/($U$7*$U$8))+1,1)</f>
        <v/>
      </c>
      <c r="BO2571">
        <f>IF(2558&lt;$U$9,MOD(INT(2558/$U$8),$U$7)+1,1)</f>
        <v/>
      </c>
      <c r="BP2571">
        <f>IF(2558&lt;$U$9,MOD(2558,$U$8)+1,1)</f>
        <v/>
      </c>
      <c r="BQ2571">
        <f>IF(2558&lt;$U$9,SUMPRODUCT(($D$10:$L$10&lt;&gt;"")*(($D$9:$L$9+INT(($S$12:$AA$12+INDEX($AJ$13:$AR$162,BN2571,0)+INDEX($AT$13:$BB$162,BO2571,0)+INDEX($BD$13:$BL$162,BP2571,0))/100))&gt;=$D$10:$L$10)),0)</f>
        <v/>
      </c>
      <c r="BR2571">
        <f>IF(2558&lt;$U$9,SUMPRODUCT(($D$10:$L$10&lt;&gt;"")*(($D$10:$L$10-($D$9:$L$9+INT(($S$12:$AA$12+INDEX($AJ$13:$AR$162,BN2571,0)+INDEX($AT$13:$BB$162,BO2571,0)+INDEX($BD$13:$BL$162,BP2571,0))/100)))&gt;0)*($D$10:$L$10-($D$9:$L$9+INT(($S$12:$AA$12+INDEX($AJ$13:$AR$162,BN2571,0)+INDEX($AT$13:$BB$162,BO2571,0)+INDEX($BD$13:$BL$162,BP2571,0))/100)))),0)</f>
        <v/>
      </c>
      <c r="BS2571">
        <f>IF(2558&lt;$U$9,SUMPRODUCT(($D$9:$L$9+INT(($S$12:$AA$12+INDEX($AJ$13:$AR$162,BN2571,0)+INDEX($AT$13:$BB$162,BO2571,0)+INDEX($BD$13:$BL$162,BP2571,0))/100))),0)</f>
        <v/>
      </c>
      <c r="BT2571">
        <f>IF(AND(2558&lt;$U$9,$W$5),BQ2571*1000000-MIN(BR2571,999)*1000+BS2571-2558/100000,-1000000000-2558)</f>
        <v/>
      </c>
    </row>
    <row r="2572">
      <c r="BN2572">
        <f>IF(2559&lt;$U$9,INT(2559/($U$7*$U$8))+1,1)</f>
        <v/>
      </c>
      <c r="BO2572">
        <f>IF(2559&lt;$U$9,MOD(INT(2559/$U$8),$U$7)+1,1)</f>
        <v/>
      </c>
      <c r="BP2572">
        <f>IF(2559&lt;$U$9,MOD(2559,$U$8)+1,1)</f>
        <v/>
      </c>
      <c r="BQ2572">
        <f>IF(2559&lt;$U$9,SUMPRODUCT(($D$10:$L$10&lt;&gt;"")*(($D$9:$L$9+INT(($S$12:$AA$12+INDEX($AJ$13:$AR$162,BN2572,0)+INDEX($AT$13:$BB$162,BO2572,0)+INDEX($BD$13:$BL$162,BP2572,0))/100))&gt;=$D$10:$L$10)),0)</f>
        <v/>
      </c>
      <c r="BR2572">
        <f>IF(2559&lt;$U$9,SUMPRODUCT(($D$10:$L$10&lt;&gt;"")*(($D$10:$L$10-($D$9:$L$9+INT(($S$12:$AA$12+INDEX($AJ$13:$AR$162,BN2572,0)+INDEX($AT$13:$BB$162,BO2572,0)+INDEX($BD$13:$BL$162,BP2572,0))/100)))&gt;0)*($D$10:$L$10-($D$9:$L$9+INT(($S$12:$AA$12+INDEX($AJ$13:$AR$162,BN2572,0)+INDEX($AT$13:$BB$162,BO2572,0)+INDEX($BD$13:$BL$162,BP2572,0))/100)))),0)</f>
        <v/>
      </c>
      <c r="BS2572">
        <f>IF(2559&lt;$U$9,SUMPRODUCT(($D$9:$L$9+INT(($S$12:$AA$12+INDEX($AJ$13:$AR$162,BN2572,0)+INDEX($AT$13:$BB$162,BO2572,0)+INDEX($BD$13:$BL$162,BP2572,0))/100))),0)</f>
        <v/>
      </c>
      <c r="BT2572">
        <f>IF(AND(2559&lt;$U$9,$W$5),BQ2572*1000000-MIN(BR2572,999)*1000+BS2572-2559/100000,-1000000000-2559)</f>
        <v/>
      </c>
    </row>
    <row r="2573">
      <c r="BN2573">
        <f>IF(2560&lt;$U$9,INT(2560/($U$7*$U$8))+1,1)</f>
        <v/>
      </c>
      <c r="BO2573">
        <f>IF(2560&lt;$U$9,MOD(INT(2560/$U$8),$U$7)+1,1)</f>
        <v/>
      </c>
      <c r="BP2573">
        <f>IF(2560&lt;$U$9,MOD(2560,$U$8)+1,1)</f>
        <v/>
      </c>
      <c r="BQ2573">
        <f>IF(2560&lt;$U$9,SUMPRODUCT(($D$10:$L$10&lt;&gt;"")*(($D$9:$L$9+INT(($S$12:$AA$12+INDEX($AJ$13:$AR$162,BN2573,0)+INDEX($AT$13:$BB$162,BO2573,0)+INDEX($BD$13:$BL$162,BP2573,0))/100))&gt;=$D$10:$L$10)),0)</f>
        <v/>
      </c>
      <c r="BR2573">
        <f>IF(2560&lt;$U$9,SUMPRODUCT(($D$10:$L$10&lt;&gt;"")*(($D$10:$L$10-($D$9:$L$9+INT(($S$12:$AA$12+INDEX($AJ$13:$AR$162,BN2573,0)+INDEX($AT$13:$BB$162,BO2573,0)+INDEX($BD$13:$BL$162,BP2573,0))/100)))&gt;0)*($D$10:$L$10-($D$9:$L$9+INT(($S$12:$AA$12+INDEX($AJ$13:$AR$162,BN2573,0)+INDEX($AT$13:$BB$162,BO2573,0)+INDEX($BD$13:$BL$162,BP2573,0))/100)))),0)</f>
        <v/>
      </c>
      <c r="BS2573">
        <f>IF(2560&lt;$U$9,SUMPRODUCT(($D$9:$L$9+INT(($S$12:$AA$12+INDEX($AJ$13:$AR$162,BN2573,0)+INDEX($AT$13:$BB$162,BO2573,0)+INDEX($BD$13:$BL$162,BP2573,0))/100))),0)</f>
        <v/>
      </c>
      <c r="BT2573">
        <f>IF(AND(2560&lt;$U$9,$W$5),BQ2573*1000000-MIN(BR2573,999)*1000+BS2573-2560/100000,-1000000000-2560)</f>
        <v/>
      </c>
    </row>
    <row r="2574">
      <c r="BN2574">
        <f>IF(2561&lt;$U$9,INT(2561/($U$7*$U$8))+1,1)</f>
        <v/>
      </c>
      <c r="BO2574">
        <f>IF(2561&lt;$U$9,MOD(INT(2561/$U$8),$U$7)+1,1)</f>
        <v/>
      </c>
      <c r="BP2574">
        <f>IF(2561&lt;$U$9,MOD(2561,$U$8)+1,1)</f>
        <v/>
      </c>
      <c r="BQ2574">
        <f>IF(2561&lt;$U$9,SUMPRODUCT(($D$10:$L$10&lt;&gt;"")*(($D$9:$L$9+INT(($S$12:$AA$12+INDEX($AJ$13:$AR$162,BN2574,0)+INDEX($AT$13:$BB$162,BO2574,0)+INDEX($BD$13:$BL$162,BP2574,0))/100))&gt;=$D$10:$L$10)),0)</f>
        <v/>
      </c>
      <c r="BR2574">
        <f>IF(2561&lt;$U$9,SUMPRODUCT(($D$10:$L$10&lt;&gt;"")*(($D$10:$L$10-($D$9:$L$9+INT(($S$12:$AA$12+INDEX($AJ$13:$AR$162,BN2574,0)+INDEX($AT$13:$BB$162,BO2574,0)+INDEX($BD$13:$BL$162,BP2574,0))/100)))&gt;0)*($D$10:$L$10-($D$9:$L$9+INT(($S$12:$AA$12+INDEX($AJ$13:$AR$162,BN2574,0)+INDEX($AT$13:$BB$162,BO2574,0)+INDEX($BD$13:$BL$162,BP2574,0))/100)))),0)</f>
        <v/>
      </c>
      <c r="BS2574">
        <f>IF(2561&lt;$U$9,SUMPRODUCT(($D$9:$L$9+INT(($S$12:$AA$12+INDEX($AJ$13:$AR$162,BN2574,0)+INDEX($AT$13:$BB$162,BO2574,0)+INDEX($BD$13:$BL$162,BP2574,0))/100))),0)</f>
        <v/>
      </c>
      <c r="BT2574">
        <f>IF(AND(2561&lt;$U$9,$W$5),BQ2574*1000000-MIN(BR2574,999)*1000+BS2574-2561/100000,-1000000000-2561)</f>
        <v/>
      </c>
    </row>
    <row r="2575">
      <c r="BN2575">
        <f>IF(2562&lt;$U$9,INT(2562/($U$7*$U$8))+1,1)</f>
        <v/>
      </c>
      <c r="BO2575">
        <f>IF(2562&lt;$U$9,MOD(INT(2562/$U$8),$U$7)+1,1)</f>
        <v/>
      </c>
      <c r="BP2575">
        <f>IF(2562&lt;$U$9,MOD(2562,$U$8)+1,1)</f>
        <v/>
      </c>
      <c r="BQ2575">
        <f>IF(2562&lt;$U$9,SUMPRODUCT(($D$10:$L$10&lt;&gt;"")*(($D$9:$L$9+INT(($S$12:$AA$12+INDEX($AJ$13:$AR$162,BN2575,0)+INDEX($AT$13:$BB$162,BO2575,0)+INDEX($BD$13:$BL$162,BP2575,0))/100))&gt;=$D$10:$L$10)),0)</f>
        <v/>
      </c>
      <c r="BR2575">
        <f>IF(2562&lt;$U$9,SUMPRODUCT(($D$10:$L$10&lt;&gt;"")*(($D$10:$L$10-($D$9:$L$9+INT(($S$12:$AA$12+INDEX($AJ$13:$AR$162,BN2575,0)+INDEX($AT$13:$BB$162,BO2575,0)+INDEX($BD$13:$BL$162,BP2575,0))/100)))&gt;0)*($D$10:$L$10-($D$9:$L$9+INT(($S$12:$AA$12+INDEX($AJ$13:$AR$162,BN2575,0)+INDEX($AT$13:$BB$162,BO2575,0)+INDEX($BD$13:$BL$162,BP2575,0))/100)))),0)</f>
        <v/>
      </c>
      <c r="BS2575">
        <f>IF(2562&lt;$U$9,SUMPRODUCT(($D$9:$L$9+INT(($S$12:$AA$12+INDEX($AJ$13:$AR$162,BN2575,0)+INDEX($AT$13:$BB$162,BO2575,0)+INDEX($BD$13:$BL$162,BP2575,0))/100))),0)</f>
        <v/>
      </c>
      <c r="BT2575">
        <f>IF(AND(2562&lt;$U$9,$W$5),BQ2575*1000000-MIN(BR2575,999)*1000+BS2575-2562/100000,-1000000000-2562)</f>
        <v/>
      </c>
    </row>
    <row r="2576">
      <c r="BN2576">
        <f>IF(2563&lt;$U$9,INT(2563/($U$7*$U$8))+1,1)</f>
        <v/>
      </c>
      <c r="BO2576">
        <f>IF(2563&lt;$U$9,MOD(INT(2563/$U$8),$U$7)+1,1)</f>
        <v/>
      </c>
      <c r="BP2576">
        <f>IF(2563&lt;$U$9,MOD(2563,$U$8)+1,1)</f>
        <v/>
      </c>
      <c r="BQ2576">
        <f>IF(2563&lt;$U$9,SUMPRODUCT(($D$10:$L$10&lt;&gt;"")*(($D$9:$L$9+INT(($S$12:$AA$12+INDEX($AJ$13:$AR$162,BN2576,0)+INDEX($AT$13:$BB$162,BO2576,0)+INDEX($BD$13:$BL$162,BP2576,0))/100))&gt;=$D$10:$L$10)),0)</f>
        <v/>
      </c>
      <c r="BR2576">
        <f>IF(2563&lt;$U$9,SUMPRODUCT(($D$10:$L$10&lt;&gt;"")*(($D$10:$L$10-($D$9:$L$9+INT(($S$12:$AA$12+INDEX($AJ$13:$AR$162,BN2576,0)+INDEX($AT$13:$BB$162,BO2576,0)+INDEX($BD$13:$BL$162,BP2576,0))/100)))&gt;0)*($D$10:$L$10-($D$9:$L$9+INT(($S$12:$AA$12+INDEX($AJ$13:$AR$162,BN2576,0)+INDEX($AT$13:$BB$162,BO2576,0)+INDEX($BD$13:$BL$162,BP2576,0))/100)))),0)</f>
        <v/>
      </c>
      <c r="BS2576">
        <f>IF(2563&lt;$U$9,SUMPRODUCT(($D$9:$L$9+INT(($S$12:$AA$12+INDEX($AJ$13:$AR$162,BN2576,0)+INDEX($AT$13:$BB$162,BO2576,0)+INDEX($BD$13:$BL$162,BP2576,0))/100))),0)</f>
        <v/>
      </c>
      <c r="BT2576">
        <f>IF(AND(2563&lt;$U$9,$W$5),BQ2576*1000000-MIN(BR2576,999)*1000+BS2576-2563/100000,-1000000000-2563)</f>
        <v/>
      </c>
    </row>
    <row r="2577">
      <c r="BN2577">
        <f>IF(2564&lt;$U$9,INT(2564/($U$7*$U$8))+1,1)</f>
        <v/>
      </c>
      <c r="BO2577">
        <f>IF(2564&lt;$U$9,MOD(INT(2564/$U$8),$U$7)+1,1)</f>
        <v/>
      </c>
      <c r="BP2577">
        <f>IF(2564&lt;$U$9,MOD(2564,$U$8)+1,1)</f>
        <v/>
      </c>
      <c r="BQ2577">
        <f>IF(2564&lt;$U$9,SUMPRODUCT(($D$10:$L$10&lt;&gt;"")*(($D$9:$L$9+INT(($S$12:$AA$12+INDEX($AJ$13:$AR$162,BN2577,0)+INDEX($AT$13:$BB$162,BO2577,0)+INDEX($BD$13:$BL$162,BP2577,0))/100))&gt;=$D$10:$L$10)),0)</f>
        <v/>
      </c>
      <c r="BR2577">
        <f>IF(2564&lt;$U$9,SUMPRODUCT(($D$10:$L$10&lt;&gt;"")*(($D$10:$L$10-($D$9:$L$9+INT(($S$12:$AA$12+INDEX($AJ$13:$AR$162,BN2577,0)+INDEX($AT$13:$BB$162,BO2577,0)+INDEX($BD$13:$BL$162,BP2577,0))/100)))&gt;0)*($D$10:$L$10-($D$9:$L$9+INT(($S$12:$AA$12+INDEX($AJ$13:$AR$162,BN2577,0)+INDEX($AT$13:$BB$162,BO2577,0)+INDEX($BD$13:$BL$162,BP2577,0))/100)))),0)</f>
        <v/>
      </c>
      <c r="BS2577">
        <f>IF(2564&lt;$U$9,SUMPRODUCT(($D$9:$L$9+INT(($S$12:$AA$12+INDEX($AJ$13:$AR$162,BN2577,0)+INDEX($AT$13:$BB$162,BO2577,0)+INDEX($BD$13:$BL$162,BP2577,0))/100))),0)</f>
        <v/>
      </c>
      <c r="BT2577">
        <f>IF(AND(2564&lt;$U$9,$W$5),BQ2577*1000000-MIN(BR2577,999)*1000+BS2577-2564/100000,-1000000000-2564)</f>
        <v/>
      </c>
    </row>
    <row r="2578">
      <c r="BN2578">
        <f>IF(2565&lt;$U$9,INT(2565/($U$7*$U$8))+1,1)</f>
        <v/>
      </c>
      <c r="BO2578">
        <f>IF(2565&lt;$U$9,MOD(INT(2565/$U$8),$U$7)+1,1)</f>
        <v/>
      </c>
      <c r="BP2578">
        <f>IF(2565&lt;$U$9,MOD(2565,$U$8)+1,1)</f>
        <v/>
      </c>
      <c r="BQ2578">
        <f>IF(2565&lt;$U$9,SUMPRODUCT(($D$10:$L$10&lt;&gt;"")*(($D$9:$L$9+INT(($S$12:$AA$12+INDEX($AJ$13:$AR$162,BN2578,0)+INDEX($AT$13:$BB$162,BO2578,0)+INDEX($BD$13:$BL$162,BP2578,0))/100))&gt;=$D$10:$L$10)),0)</f>
        <v/>
      </c>
      <c r="BR2578">
        <f>IF(2565&lt;$U$9,SUMPRODUCT(($D$10:$L$10&lt;&gt;"")*(($D$10:$L$10-($D$9:$L$9+INT(($S$12:$AA$12+INDEX($AJ$13:$AR$162,BN2578,0)+INDEX($AT$13:$BB$162,BO2578,0)+INDEX($BD$13:$BL$162,BP2578,0))/100)))&gt;0)*($D$10:$L$10-($D$9:$L$9+INT(($S$12:$AA$12+INDEX($AJ$13:$AR$162,BN2578,0)+INDEX($AT$13:$BB$162,BO2578,0)+INDEX($BD$13:$BL$162,BP2578,0))/100)))),0)</f>
        <v/>
      </c>
      <c r="BS2578">
        <f>IF(2565&lt;$U$9,SUMPRODUCT(($D$9:$L$9+INT(($S$12:$AA$12+INDEX($AJ$13:$AR$162,BN2578,0)+INDEX($AT$13:$BB$162,BO2578,0)+INDEX($BD$13:$BL$162,BP2578,0))/100))),0)</f>
        <v/>
      </c>
      <c r="BT2578">
        <f>IF(AND(2565&lt;$U$9,$W$5),BQ2578*1000000-MIN(BR2578,999)*1000+BS2578-2565/100000,-1000000000-2565)</f>
        <v/>
      </c>
    </row>
    <row r="2579">
      <c r="BN2579">
        <f>IF(2566&lt;$U$9,INT(2566/($U$7*$U$8))+1,1)</f>
        <v/>
      </c>
      <c r="BO2579">
        <f>IF(2566&lt;$U$9,MOD(INT(2566/$U$8),$U$7)+1,1)</f>
        <v/>
      </c>
      <c r="BP2579">
        <f>IF(2566&lt;$U$9,MOD(2566,$U$8)+1,1)</f>
        <v/>
      </c>
      <c r="BQ2579">
        <f>IF(2566&lt;$U$9,SUMPRODUCT(($D$10:$L$10&lt;&gt;"")*(($D$9:$L$9+INT(($S$12:$AA$12+INDEX($AJ$13:$AR$162,BN2579,0)+INDEX($AT$13:$BB$162,BO2579,0)+INDEX($BD$13:$BL$162,BP2579,0))/100))&gt;=$D$10:$L$10)),0)</f>
        <v/>
      </c>
      <c r="BR2579">
        <f>IF(2566&lt;$U$9,SUMPRODUCT(($D$10:$L$10&lt;&gt;"")*(($D$10:$L$10-($D$9:$L$9+INT(($S$12:$AA$12+INDEX($AJ$13:$AR$162,BN2579,0)+INDEX($AT$13:$BB$162,BO2579,0)+INDEX($BD$13:$BL$162,BP2579,0))/100)))&gt;0)*($D$10:$L$10-($D$9:$L$9+INT(($S$12:$AA$12+INDEX($AJ$13:$AR$162,BN2579,0)+INDEX($AT$13:$BB$162,BO2579,0)+INDEX($BD$13:$BL$162,BP2579,0))/100)))),0)</f>
        <v/>
      </c>
      <c r="BS2579">
        <f>IF(2566&lt;$U$9,SUMPRODUCT(($D$9:$L$9+INT(($S$12:$AA$12+INDEX($AJ$13:$AR$162,BN2579,0)+INDEX($AT$13:$BB$162,BO2579,0)+INDEX($BD$13:$BL$162,BP2579,0))/100))),0)</f>
        <v/>
      </c>
      <c r="BT2579">
        <f>IF(AND(2566&lt;$U$9,$W$5),BQ2579*1000000-MIN(BR2579,999)*1000+BS2579-2566/100000,-1000000000-2566)</f>
        <v/>
      </c>
    </row>
    <row r="2580">
      <c r="BN2580">
        <f>IF(2567&lt;$U$9,INT(2567/($U$7*$U$8))+1,1)</f>
        <v/>
      </c>
      <c r="BO2580">
        <f>IF(2567&lt;$U$9,MOD(INT(2567/$U$8),$U$7)+1,1)</f>
        <v/>
      </c>
      <c r="BP2580">
        <f>IF(2567&lt;$U$9,MOD(2567,$U$8)+1,1)</f>
        <v/>
      </c>
      <c r="BQ2580">
        <f>IF(2567&lt;$U$9,SUMPRODUCT(($D$10:$L$10&lt;&gt;"")*(($D$9:$L$9+INT(($S$12:$AA$12+INDEX($AJ$13:$AR$162,BN2580,0)+INDEX($AT$13:$BB$162,BO2580,0)+INDEX($BD$13:$BL$162,BP2580,0))/100))&gt;=$D$10:$L$10)),0)</f>
        <v/>
      </c>
      <c r="BR2580">
        <f>IF(2567&lt;$U$9,SUMPRODUCT(($D$10:$L$10&lt;&gt;"")*(($D$10:$L$10-($D$9:$L$9+INT(($S$12:$AA$12+INDEX($AJ$13:$AR$162,BN2580,0)+INDEX($AT$13:$BB$162,BO2580,0)+INDEX($BD$13:$BL$162,BP2580,0))/100)))&gt;0)*($D$10:$L$10-($D$9:$L$9+INT(($S$12:$AA$12+INDEX($AJ$13:$AR$162,BN2580,0)+INDEX($AT$13:$BB$162,BO2580,0)+INDEX($BD$13:$BL$162,BP2580,0))/100)))),0)</f>
        <v/>
      </c>
      <c r="BS2580">
        <f>IF(2567&lt;$U$9,SUMPRODUCT(($D$9:$L$9+INT(($S$12:$AA$12+INDEX($AJ$13:$AR$162,BN2580,0)+INDEX($AT$13:$BB$162,BO2580,0)+INDEX($BD$13:$BL$162,BP2580,0))/100))),0)</f>
        <v/>
      </c>
      <c r="BT2580">
        <f>IF(AND(2567&lt;$U$9,$W$5),BQ2580*1000000-MIN(BR2580,999)*1000+BS2580-2567/100000,-1000000000-2567)</f>
        <v/>
      </c>
    </row>
    <row r="2581">
      <c r="BN2581">
        <f>IF(2568&lt;$U$9,INT(2568/($U$7*$U$8))+1,1)</f>
        <v/>
      </c>
      <c r="BO2581">
        <f>IF(2568&lt;$U$9,MOD(INT(2568/$U$8),$U$7)+1,1)</f>
        <v/>
      </c>
      <c r="BP2581">
        <f>IF(2568&lt;$U$9,MOD(2568,$U$8)+1,1)</f>
        <v/>
      </c>
      <c r="BQ2581">
        <f>IF(2568&lt;$U$9,SUMPRODUCT(($D$10:$L$10&lt;&gt;"")*(($D$9:$L$9+INT(($S$12:$AA$12+INDEX($AJ$13:$AR$162,BN2581,0)+INDEX($AT$13:$BB$162,BO2581,0)+INDEX($BD$13:$BL$162,BP2581,0))/100))&gt;=$D$10:$L$10)),0)</f>
        <v/>
      </c>
      <c r="BR2581">
        <f>IF(2568&lt;$U$9,SUMPRODUCT(($D$10:$L$10&lt;&gt;"")*(($D$10:$L$10-($D$9:$L$9+INT(($S$12:$AA$12+INDEX($AJ$13:$AR$162,BN2581,0)+INDEX($AT$13:$BB$162,BO2581,0)+INDEX($BD$13:$BL$162,BP2581,0))/100)))&gt;0)*($D$10:$L$10-($D$9:$L$9+INT(($S$12:$AA$12+INDEX($AJ$13:$AR$162,BN2581,0)+INDEX($AT$13:$BB$162,BO2581,0)+INDEX($BD$13:$BL$162,BP2581,0))/100)))),0)</f>
        <v/>
      </c>
      <c r="BS2581">
        <f>IF(2568&lt;$U$9,SUMPRODUCT(($D$9:$L$9+INT(($S$12:$AA$12+INDEX($AJ$13:$AR$162,BN2581,0)+INDEX($AT$13:$BB$162,BO2581,0)+INDEX($BD$13:$BL$162,BP2581,0))/100))),0)</f>
        <v/>
      </c>
      <c r="BT2581">
        <f>IF(AND(2568&lt;$U$9,$W$5),BQ2581*1000000-MIN(BR2581,999)*1000+BS2581-2568/100000,-1000000000-2568)</f>
        <v/>
      </c>
    </row>
    <row r="2582">
      <c r="BN2582">
        <f>IF(2569&lt;$U$9,INT(2569/($U$7*$U$8))+1,1)</f>
        <v/>
      </c>
      <c r="BO2582">
        <f>IF(2569&lt;$U$9,MOD(INT(2569/$U$8),$U$7)+1,1)</f>
        <v/>
      </c>
      <c r="BP2582">
        <f>IF(2569&lt;$U$9,MOD(2569,$U$8)+1,1)</f>
        <v/>
      </c>
      <c r="BQ2582">
        <f>IF(2569&lt;$U$9,SUMPRODUCT(($D$10:$L$10&lt;&gt;"")*(($D$9:$L$9+INT(($S$12:$AA$12+INDEX($AJ$13:$AR$162,BN2582,0)+INDEX($AT$13:$BB$162,BO2582,0)+INDEX($BD$13:$BL$162,BP2582,0))/100))&gt;=$D$10:$L$10)),0)</f>
        <v/>
      </c>
      <c r="BR2582">
        <f>IF(2569&lt;$U$9,SUMPRODUCT(($D$10:$L$10&lt;&gt;"")*(($D$10:$L$10-($D$9:$L$9+INT(($S$12:$AA$12+INDEX($AJ$13:$AR$162,BN2582,0)+INDEX($AT$13:$BB$162,BO2582,0)+INDEX($BD$13:$BL$162,BP2582,0))/100)))&gt;0)*($D$10:$L$10-($D$9:$L$9+INT(($S$12:$AA$12+INDEX($AJ$13:$AR$162,BN2582,0)+INDEX($AT$13:$BB$162,BO2582,0)+INDEX($BD$13:$BL$162,BP2582,0))/100)))),0)</f>
        <v/>
      </c>
      <c r="BS2582">
        <f>IF(2569&lt;$U$9,SUMPRODUCT(($D$9:$L$9+INT(($S$12:$AA$12+INDEX($AJ$13:$AR$162,BN2582,0)+INDEX($AT$13:$BB$162,BO2582,0)+INDEX($BD$13:$BL$162,BP2582,0))/100))),0)</f>
        <v/>
      </c>
      <c r="BT2582">
        <f>IF(AND(2569&lt;$U$9,$W$5),BQ2582*1000000-MIN(BR2582,999)*1000+BS2582-2569/100000,-1000000000-2569)</f>
        <v/>
      </c>
    </row>
    <row r="2583">
      <c r="BN2583">
        <f>IF(2570&lt;$U$9,INT(2570/($U$7*$U$8))+1,1)</f>
        <v/>
      </c>
      <c r="BO2583">
        <f>IF(2570&lt;$U$9,MOD(INT(2570/$U$8),$U$7)+1,1)</f>
        <v/>
      </c>
      <c r="BP2583">
        <f>IF(2570&lt;$U$9,MOD(2570,$U$8)+1,1)</f>
        <v/>
      </c>
      <c r="BQ2583">
        <f>IF(2570&lt;$U$9,SUMPRODUCT(($D$10:$L$10&lt;&gt;"")*(($D$9:$L$9+INT(($S$12:$AA$12+INDEX($AJ$13:$AR$162,BN2583,0)+INDEX($AT$13:$BB$162,BO2583,0)+INDEX($BD$13:$BL$162,BP2583,0))/100))&gt;=$D$10:$L$10)),0)</f>
        <v/>
      </c>
      <c r="BR2583">
        <f>IF(2570&lt;$U$9,SUMPRODUCT(($D$10:$L$10&lt;&gt;"")*(($D$10:$L$10-($D$9:$L$9+INT(($S$12:$AA$12+INDEX($AJ$13:$AR$162,BN2583,0)+INDEX($AT$13:$BB$162,BO2583,0)+INDEX($BD$13:$BL$162,BP2583,0))/100)))&gt;0)*($D$10:$L$10-($D$9:$L$9+INT(($S$12:$AA$12+INDEX($AJ$13:$AR$162,BN2583,0)+INDEX($AT$13:$BB$162,BO2583,0)+INDEX($BD$13:$BL$162,BP2583,0))/100)))),0)</f>
        <v/>
      </c>
      <c r="BS2583">
        <f>IF(2570&lt;$U$9,SUMPRODUCT(($D$9:$L$9+INT(($S$12:$AA$12+INDEX($AJ$13:$AR$162,BN2583,0)+INDEX($AT$13:$BB$162,BO2583,0)+INDEX($BD$13:$BL$162,BP2583,0))/100))),0)</f>
        <v/>
      </c>
      <c r="BT2583">
        <f>IF(AND(2570&lt;$U$9,$W$5),BQ2583*1000000-MIN(BR2583,999)*1000+BS2583-2570/100000,-1000000000-2570)</f>
        <v/>
      </c>
    </row>
    <row r="2584">
      <c r="BN2584">
        <f>IF(2571&lt;$U$9,INT(2571/($U$7*$U$8))+1,1)</f>
        <v/>
      </c>
      <c r="BO2584">
        <f>IF(2571&lt;$U$9,MOD(INT(2571/$U$8),$U$7)+1,1)</f>
        <v/>
      </c>
      <c r="BP2584">
        <f>IF(2571&lt;$U$9,MOD(2571,$U$8)+1,1)</f>
        <v/>
      </c>
      <c r="BQ2584">
        <f>IF(2571&lt;$U$9,SUMPRODUCT(($D$10:$L$10&lt;&gt;"")*(($D$9:$L$9+INT(($S$12:$AA$12+INDEX($AJ$13:$AR$162,BN2584,0)+INDEX($AT$13:$BB$162,BO2584,0)+INDEX($BD$13:$BL$162,BP2584,0))/100))&gt;=$D$10:$L$10)),0)</f>
        <v/>
      </c>
      <c r="BR2584">
        <f>IF(2571&lt;$U$9,SUMPRODUCT(($D$10:$L$10&lt;&gt;"")*(($D$10:$L$10-($D$9:$L$9+INT(($S$12:$AA$12+INDEX($AJ$13:$AR$162,BN2584,0)+INDEX($AT$13:$BB$162,BO2584,0)+INDEX($BD$13:$BL$162,BP2584,0))/100)))&gt;0)*($D$10:$L$10-($D$9:$L$9+INT(($S$12:$AA$12+INDEX($AJ$13:$AR$162,BN2584,0)+INDEX($AT$13:$BB$162,BO2584,0)+INDEX($BD$13:$BL$162,BP2584,0))/100)))),0)</f>
        <v/>
      </c>
      <c r="BS2584">
        <f>IF(2571&lt;$U$9,SUMPRODUCT(($D$9:$L$9+INT(($S$12:$AA$12+INDEX($AJ$13:$AR$162,BN2584,0)+INDEX($AT$13:$BB$162,BO2584,0)+INDEX($BD$13:$BL$162,BP2584,0))/100))),0)</f>
        <v/>
      </c>
      <c r="BT2584">
        <f>IF(AND(2571&lt;$U$9,$W$5),BQ2584*1000000-MIN(BR2584,999)*1000+BS2584-2571/100000,-1000000000-2571)</f>
        <v/>
      </c>
    </row>
    <row r="2585">
      <c r="BN2585">
        <f>IF(2572&lt;$U$9,INT(2572/($U$7*$U$8))+1,1)</f>
        <v/>
      </c>
      <c r="BO2585">
        <f>IF(2572&lt;$U$9,MOD(INT(2572/$U$8),$U$7)+1,1)</f>
        <v/>
      </c>
      <c r="BP2585">
        <f>IF(2572&lt;$U$9,MOD(2572,$U$8)+1,1)</f>
        <v/>
      </c>
      <c r="BQ2585">
        <f>IF(2572&lt;$U$9,SUMPRODUCT(($D$10:$L$10&lt;&gt;"")*(($D$9:$L$9+INT(($S$12:$AA$12+INDEX($AJ$13:$AR$162,BN2585,0)+INDEX($AT$13:$BB$162,BO2585,0)+INDEX($BD$13:$BL$162,BP2585,0))/100))&gt;=$D$10:$L$10)),0)</f>
        <v/>
      </c>
      <c r="BR2585">
        <f>IF(2572&lt;$U$9,SUMPRODUCT(($D$10:$L$10&lt;&gt;"")*(($D$10:$L$10-($D$9:$L$9+INT(($S$12:$AA$12+INDEX($AJ$13:$AR$162,BN2585,0)+INDEX($AT$13:$BB$162,BO2585,0)+INDEX($BD$13:$BL$162,BP2585,0))/100)))&gt;0)*($D$10:$L$10-($D$9:$L$9+INT(($S$12:$AA$12+INDEX($AJ$13:$AR$162,BN2585,0)+INDEX($AT$13:$BB$162,BO2585,0)+INDEX($BD$13:$BL$162,BP2585,0))/100)))),0)</f>
        <v/>
      </c>
      <c r="BS2585">
        <f>IF(2572&lt;$U$9,SUMPRODUCT(($D$9:$L$9+INT(($S$12:$AA$12+INDEX($AJ$13:$AR$162,BN2585,0)+INDEX($AT$13:$BB$162,BO2585,0)+INDEX($BD$13:$BL$162,BP2585,0))/100))),0)</f>
        <v/>
      </c>
      <c r="BT2585">
        <f>IF(AND(2572&lt;$U$9,$W$5),BQ2585*1000000-MIN(BR2585,999)*1000+BS2585-2572/100000,-1000000000-2572)</f>
        <v/>
      </c>
    </row>
    <row r="2586">
      <c r="BN2586">
        <f>IF(2573&lt;$U$9,INT(2573/($U$7*$U$8))+1,1)</f>
        <v/>
      </c>
      <c r="BO2586">
        <f>IF(2573&lt;$U$9,MOD(INT(2573/$U$8),$U$7)+1,1)</f>
        <v/>
      </c>
      <c r="BP2586">
        <f>IF(2573&lt;$U$9,MOD(2573,$U$8)+1,1)</f>
        <v/>
      </c>
      <c r="BQ2586">
        <f>IF(2573&lt;$U$9,SUMPRODUCT(($D$10:$L$10&lt;&gt;"")*(($D$9:$L$9+INT(($S$12:$AA$12+INDEX($AJ$13:$AR$162,BN2586,0)+INDEX($AT$13:$BB$162,BO2586,0)+INDEX($BD$13:$BL$162,BP2586,0))/100))&gt;=$D$10:$L$10)),0)</f>
        <v/>
      </c>
      <c r="BR2586">
        <f>IF(2573&lt;$U$9,SUMPRODUCT(($D$10:$L$10&lt;&gt;"")*(($D$10:$L$10-($D$9:$L$9+INT(($S$12:$AA$12+INDEX($AJ$13:$AR$162,BN2586,0)+INDEX($AT$13:$BB$162,BO2586,0)+INDEX($BD$13:$BL$162,BP2586,0))/100)))&gt;0)*($D$10:$L$10-($D$9:$L$9+INT(($S$12:$AA$12+INDEX($AJ$13:$AR$162,BN2586,0)+INDEX($AT$13:$BB$162,BO2586,0)+INDEX($BD$13:$BL$162,BP2586,0))/100)))),0)</f>
        <v/>
      </c>
      <c r="BS2586">
        <f>IF(2573&lt;$U$9,SUMPRODUCT(($D$9:$L$9+INT(($S$12:$AA$12+INDEX($AJ$13:$AR$162,BN2586,0)+INDEX($AT$13:$BB$162,BO2586,0)+INDEX($BD$13:$BL$162,BP2586,0))/100))),0)</f>
        <v/>
      </c>
      <c r="BT2586">
        <f>IF(AND(2573&lt;$U$9,$W$5),BQ2586*1000000-MIN(BR2586,999)*1000+BS2586-2573/100000,-1000000000-2573)</f>
        <v/>
      </c>
    </row>
    <row r="2587">
      <c r="BN2587">
        <f>IF(2574&lt;$U$9,INT(2574/($U$7*$U$8))+1,1)</f>
        <v/>
      </c>
      <c r="BO2587">
        <f>IF(2574&lt;$U$9,MOD(INT(2574/$U$8),$U$7)+1,1)</f>
        <v/>
      </c>
      <c r="BP2587">
        <f>IF(2574&lt;$U$9,MOD(2574,$U$8)+1,1)</f>
        <v/>
      </c>
      <c r="BQ2587">
        <f>IF(2574&lt;$U$9,SUMPRODUCT(($D$10:$L$10&lt;&gt;"")*(($D$9:$L$9+INT(($S$12:$AA$12+INDEX($AJ$13:$AR$162,BN2587,0)+INDEX($AT$13:$BB$162,BO2587,0)+INDEX($BD$13:$BL$162,BP2587,0))/100))&gt;=$D$10:$L$10)),0)</f>
        <v/>
      </c>
      <c r="BR2587">
        <f>IF(2574&lt;$U$9,SUMPRODUCT(($D$10:$L$10&lt;&gt;"")*(($D$10:$L$10-($D$9:$L$9+INT(($S$12:$AA$12+INDEX($AJ$13:$AR$162,BN2587,0)+INDEX($AT$13:$BB$162,BO2587,0)+INDEX($BD$13:$BL$162,BP2587,0))/100)))&gt;0)*($D$10:$L$10-($D$9:$L$9+INT(($S$12:$AA$12+INDEX($AJ$13:$AR$162,BN2587,0)+INDEX($AT$13:$BB$162,BO2587,0)+INDEX($BD$13:$BL$162,BP2587,0))/100)))),0)</f>
        <v/>
      </c>
      <c r="BS2587">
        <f>IF(2574&lt;$U$9,SUMPRODUCT(($D$9:$L$9+INT(($S$12:$AA$12+INDEX($AJ$13:$AR$162,BN2587,0)+INDEX($AT$13:$BB$162,BO2587,0)+INDEX($BD$13:$BL$162,BP2587,0))/100))),0)</f>
        <v/>
      </c>
      <c r="BT2587">
        <f>IF(AND(2574&lt;$U$9,$W$5),BQ2587*1000000-MIN(BR2587,999)*1000+BS2587-2574/100000,-1000000000-2574)</f>
        <v/>
      </c>
    </row>
    <row r="2588">
      <c r="BN2588">
        <f>IF(2575&lt;$U$9,INT(2575/($U$7*$U$8))+1,1)</f>
        <v/>
      </c>
      <c r="BO2588">
        <f>IF(2575&lt;$U$9,MOD(INT(2575/$U$8),$U$7)+1,1)</f>
        <v/>
      </c>
      <c r="BP2588">
        <f>IF(2575&lt;$U$9,MOD(2575,$U$8)+1,1)</f>
        <v/>
      </c>
      <c r="BQ2588">
        <f>IF(2575&lt;$U$9,SUMPRODUCT(($D$10:$L$10&lt;&gt;"")*(($D$9:$L$9+INT(($S$12:$AA$12+INDEX($AJ$13:$AR$162,BN2588,0)+INDEX($AT$13:$BB$162,BO2588,0)+INDEX($BD$13:$BL$162,BP2588,0))/100))&gt;=$D$10:$L$10)),0)</f>
        <v/>
      </c>
      <c r="BR2588">
        <f>IF(2575&lt;$U$9,SUMPRODUCT(($D$10:$L$10&lt;&gt;"")*(($D$10:$L$10-($D$9:$L$9+INT(($S$12:$AA$12+INDEX($AJ$13:$AR$162,BN2588,0)+INDEX($AT$13:$BB$162,BO2588,0)+INDEX($BD$13:$BL$162,BP2588,0))/100)))&gt;0)*($D$10:$L$10-($D$9:$L$9+INT(($S$12:$AA$12+INDEX($AJ$13:$AR$162,BN2588,0)+INDEX($AT$13:$BB$162,BO2588,0)+INDEX($BD$13:$BL$162,BP2588,0))/100)))),0)</f>
        <v/>
      </c>
      <c r="BS2588">
        <f>IF(2575&lt;$U$9,SUMPRODUCT(($D$9:$L$9+INT(($S$12:$AA$12+INDEX($AJ$13:$AR$162,BN2588,0)+INDEX($AT$13:$BB$162,BO2588,0)+INDEX($BD$13:$BL$162,BP2588,0))/100))),0)</f>
        <v/>
      </c>
      <c r="BT2588">
        <f>IF(AND(2575&lt;$U$9,$W$5),BQ2588*1000000-MIN(BR2588,999)*1000+BS2588-2575/100000,-1000000000-2575)</f>
        <v/>
      </c>
    </row>
    <row r="2589">
      <c r="BN2589">
        <f>IF(2576&lt;$U$9,INT(2576/($U$7*$U$8))+1,1)</f>
        <v/>
      </c>
      <c r="BO2589">
        <f>IF(2576&lt;$U$9,MOD(INT(2576/$U$8),$U$7)+1,1)</f>
        <v/>
      </c>
      <c r="BP2589">
        <f>IF(2576&lt;$U$9,MOD(2576,$U$8)+1,1)</f>
        <v/>
      </c>
      <c r="BQ2589">
        <f>IF(2576&lt;$U$9,SUMPRODUCT(($D$10:$L$10&lt;&gt;"")*(($D$9:$L$9+INT(($S$12:$AA$12+INDEX($AJ$13:$AR$162,BN2589,0)+INDEX($AT$13:$BB$162,BO2589,0)+INDEX($BD$13:$BL$162,BP2589,0))/100))&gt;=$D$10:$L$10)),0)</f>
        <v/>
      </c>
      <c r="BR2589">
        <f>IF(2576&lt;$U$9,SUMPRODUCT(($D$10:$L$10&lt;&gt;"")*(($D$10:$L$10-($D$9:$L$9+INT(($S$12:$AA$12+INDEX($AJ$13:$AR$162,BN2589,0)+INDEX($AT$13:$BB$162,BO2589,0)+INDEX($BD$13:$BL$162,BP2589,0))/100)))&gt;0)*($D$10:$L$10-($D$9:$L$9+INT(($S$12:$AA$12+INDEX($AJ$13:$AR$162,BN2589,0)+INDEX($AT$13:$BB$162,BO2589,0)+INDEX($BD$13:$BL$162,BP2589,0))/100)))),0)</f>
        <v/>
      </c>
      <c r="BS2589">
        <f>IF(2576&lt;$U$9,SUMPRODUCT(($D$9:$L$9+INT(($S$12:$AA$12+INDEX($AJ$13:$AR$162,BN2589,0)+INDEX($AT$13:$BB$162,BO2589,0)+INDEX($BD$13:$BL$162,BP2589,0))/100))),0)</f>
        <v/>
      </c>
      <c r="BT2589">
        <f>IF(AND(2576&lt;$U$9,$W$5),BQ2589*1000000-MIN(BR2589,999)*1000+BS2589-2576/100000,-1000000000-2576)</f>
        <v/>
      </c>
    </row>
    <row r="2590">
      <c r="BN2590">
        <f>IF(2577&lt;$U$9,INT(2577/($U$7*$U$8))+1,1)</f>
        <v/>
      </c>
      <c r="BO2590">
        <f>IF(2577&lt;$U$9,MOD(INT(2577/$U$8),$U$7)+1,1)</f>
        <v/>
      </c>
      <c r="BP2590">
        <f>IF(2577&lt;$U$9,MOD(2577,$U$8)+1,1)</f>
        <v/>
      </c>
      <c r="BQ2590">
        <f>IF(2577&lt;$U$9,SUMPRODUCT(($D$10:$L$10&lt;&gt;"")*(($D$9:$L$9+INT(($S$12:$AA$12+INDEX($AJ$13:$AR$162,BN2590,0)+INDEX($AT$13:$BB$162,BO2590,0)+INDEX($BD$13:$BL$162,BP2590,0))/100))&gt;=$D$10:$L$10)),0)</f>
        <v/>
      </c>
      <c r="BR2590">
        <f>IF(2577&lt;$U$9,SUMPRODUCT(($D$10:$L$10&lt;&gt;"")*(($D$10:$L$10-($D$9:$L$9+INT(($S$12:$AA$12+INDEX($AJ$13:$AR$162,BN2590,0)+INDEX($AT$13:$BB$162,BO2590,0)+INDEX($BD$13:$BL$162,BP2590,0))/100)))&gt;0)*($D$10:$L$10-($D$9:$L$9+INT(($S$12:$AA$12+INDEX($AJ$13:$AR$162,BN2590,0)+INDEX($AT$13:$BB$162,BO2590,0)+INDEX($BD$13:$BL$162,BP2590,0))/100)))),0)</f>
        <v/>
      </c>
      <c r="BS2590">
        <f>IF(2577&lt;$U$9,SUMPRODUCT(($D$9:$L$9+INT(($S$12:$AA$12+INDEX($AJ$13:$AR$162,BN2590,0)+INDEX($AT$13:$BB$162,BO2590,0)+INDEX($BD$13:$BL$162,BP2590,0))/100))),0)</f>
        <v/>
      </c>
      <c r="BT2590">
        <f>IF(AND(2577&lt;$U$9,$W$5),BQ2590*1000000-MIN(BR2590,999)*1000+BS2590-2577/100000,-1000000000-2577)</f>
        <v/>
      </c>
    </row>
    <row r="2591">
      <c r="BN2591">
        <f>IF(2578&lt;$U$9,INT(2578/($U$7*$U$8))+1,1)</f>
        <v/>
      </c>
      <c r="BO2591">
        <f>IF(2578&lt;$U$9,MOD(INT(2578/$U$8),$U$7)+1,1)</f>
        <v/>
      </c>
      <c r="BP2591">
        <f>IF(2578&lt;$U$9,MOD(2578,$U$8)+1,1)</f>
        <v/>
      </c>
      <c r="BQ2591">
        <f>IF(2578&lt;$U$9,SUMPRODUCT(($D$10:$L$10&lt;&gt;"")*(($D$9:$L$9+INT(($S$12:$AA$12+INDEX($AJ$13:$AR$162,BN2591,0)+INDEX($AT$13:$BB$162,BO2591,0)+INDEX($BD$13:$BL$162,BP2591,0))/100))&gt;=$D$10:$L$10)),0)</f>
        <v/>
      </c>
      <c r="BR2591">
        <f>IF(2578&lt;$U$9,SUMPRODUCT(($D$10:$L$10&lt;&gt;"")*(($D$10:$L$10-($D$9:$L$9+INT(($S$12:$AA$12+INDEX($AJ$13:$AR$162,BN2591,0)+INDEX($AT$13:$BB$162,BO2591,0)+INDEX($BD$13:$BL$162,BP2591,0))/100)))&gt;0)*($D$10:$L$10-($D$9:$L$9+INT(($S$12:$AA$12+INDEX($AJ$13:$AR$162,BN2591,0)+INDEX($AT$13:$BB$162,BO2591,0)+INDEX($BD$13:$BL$162,BP2591,0))/100)))),0)</f>
        <v/>
      </c>
      <c r="BS2591">
        <f>IF(2578&lt;$U$9,SUMPRODUCT(($D$9:$L$9+INT(($S$12:$AA$12+INDEX($AJ$13:$AR$162,BN2591,0)+INDEX($AT$13:$BB$162,BO2591,0)+INDEX($BD$13:$BL$162,BP2591,0))/100))),0)</f>
        <v/>
      </c>
      <c r="BT2591">
        <f>IF(AND(2578&lt;$U$9,$W$5),BQ2591*1000000-MIN(BR2591,999)*1000+BS2591-2578/100000,-1000000000-2578)</f>
        <v/>
      </c>
    </row>
    <row r="2592">
      <c r="BN2592">
        <f>IF(2579&lt;$U$9,INT(2579/($U$7*$U$8))+1,1)</f>
        <v/>
      </c>
      <c r="BO2592">
        <f>IF(2579&lt;$U$9,MOD(INT(2579/$U$8),$U$7)+1,1)</f>
        <v/>
      </c>
      <c r="BP2592">
        <f>IF(2579&lt;$U$9,MOD(2579,$U$8)+1,1)</f>
        <v/>
      </c>
      <c r="BQ2592">
        <f>IF(2579&lt;$U$9,SUMPRODUCT(($D$10:$L$10&lt;&gt;"")*(($D$9:$L$9+INT(($S$12:$AA$12+INDEX($AJ$13:$AR$162,BN2592,0)+INDEX($AT$13:$BB$162,BO2592,0)+INDEX($BD$13:$BL$162,BP2592,0))/100))&gt;=$D$10:$L$10)),0)</f>
        <v/>
      </c>
      <c r="BR2592">
        <f>IF(2579&lt;$U$9,SUMPRODUCT(($D$10:$L$10&lt;&gt;"")*(($D$10:$L$10-($D$9:$L$9+INT(($S$12:$AA$12+INDEX($AJ$13:$AR$162,BN2592,0)+INDEX($AT$13:$BB$162,BO2592,0)+INDEX($BD$13:$BL$162,BP2592,0))/100)))&gt;0)*($D$10:$L$10-($D$9:$L$9+INT(($S$12:$AA$12+INDEX($AJ$13:$AR$162,BN2592,0)+INDEX($AT$13:$BB$162,BO2592,0)+INDEX($BD$13:$BL$162,BP2592,0))/100)))),0)</f>
        <v/>
      </c>
      <c r="BS2592">
        <f>IF(2579&lt;$U$9,SUMPRODUCT(($D$9:$L$9+INT(($S$12:$AA$12+INDEX($AJ$13:$AR$162,BN2592,0)+INDEX($AT$13:$BB$162,BO2592,0)+INDEX($BD$13:$BL$162,BP2592,0))/100))),0)</f>
        <v/>
      </c>
      <c r="BT2592">
        <f>IF(AND(2579&lt;$U$9,$W$5),BQ2592*1000000-MIN(BR2592,999)*1000+BS2592-2579/100000,-1000000000-2579)</f>
        <v/>
      </c>
    </row>
    <row r="2593">
      <c r="BN2593">
        <f>IF(2580&lt;$U$9,INT(2580/($U$7*$U$8))+1,1)</f>
        <v/>
      </c>
      <c r="BO2593">
        <f>IF(2580&lt;$U$9,MOD(INT(2580/$U$8),$U$7)+1,1)</f>
        <v/>
      </c>
      <c r="BP2593">
        <f>IF(2580&lt;$U$9,MOD(2580,$U$8)+1,1)</f>
        <v/>
      </c>
      <c r="BQ2593">
        <f>IF(2580&lt;$U$9,SUMPRODUCT(($D$10:$L$10&lt;&gt;"")*(($D$9:$L$9+INT(($S$12:$AA$12+INDEX($AJ$13:$AR$162,BN2593,0)+INDEX($AT$13:$BB$162,BO2593,0)+INDEX($BD$13:$BL$162,BP2593,0))/100))&gt;=$D$10:$L$10)),0)</f>
        <v/>
      </c>
      <c r="BR2593">
        <f>IF(2580&lt;$U$9,SUMPRODUCT(($D$10:$L$10&lt;&gt;"")*(($D$10:$L$10-($D$9:$L$9+INT(($S$12:$AA$12+INDEX($AJ$13:$AR$162,BN2593,0)+INDEX($AT$13:$BB$162,BO2593,0)+INDEX($BD$13:$BL$162,BP2593,0))/100)))&gt;0)*($D$10:$L$10-($D$9:$L$9+INT(($S$12:$AA$12+INDEX($AJ$13:$AR$162,BN2593,0)+INDEX($AT$13:$BB$162,BO2593,0)+INDEX($BD$13:$BL$162,BP2593,0))/100)))),0)</f>
        <v/>
      </c>
      <c r="BS2593">
        <f>IF(2580&lt;$U$9,SUMPRODUCT(($D$9:$L$9+INT(($S$12:$AA$12+INDEX($AJ$13:$AR$162,BN2593,0)+INDEX($AT$13:$BB$162,BO2593,0)+INDEX($BD$13:$BL$162,BP2593,0))/100))),0)</f>
        <v/>
      </c>
      <c r="BT2593">
        <f>IF(AND(2580&lt;$U$9,$W$5),BQ2593*1000000-MIN(BR2593,999)*1000+BS2593-2580/100000,-1000000000-2580)</f>
        <v/>
      </c>
    </row>
    <row r="2594">
      <c r="BN2594">
        <f>IF(2581&lt;$U$9,INT(2581/($U$7*$U$8))+1,1)</f>
        <v/>
      </c>
      <c r="BO2594">
        <f>IF(2581&lt;$U$9,MOD(INT(2581/$U$8),$U$7)+1,1)</f>
        <v/>
      </c>
      <c r="BP2594">
        <f>IF(2581&lt;$U$9,MOD(2581,$U$8)+1,1)</f>
        <v/>
      </c>
      <c r="BQ2594">
        <f>IF(2581&lt;$U$9,SUMPRODUCT(($D$10:$L$10&lt;&gt;"")*(($D$9:$L$9+INT(($S$12:$AA$12+INDEX($AJ$13:$AR$162,BN2594,0)+INDEX($AT$13:$BB$162,BO2594,0)+INDEX($BD$13:$BL$162,BP2594,0))/100))&gt;=$D$10:$L$10)),0)</f>
        <v/>
      </c>
      <c r="BR2594">
        <f>IF(2581&lt;$U$9,SUMPRODUCT(($D$10:$L$10&lt;&gt;"")*(($D$10:$L$10-($D$9:$L$9+INT(($S$12:$AA$12+INDEX($AJ$13:$AR$162,BN2594,0)+INDEX($AT$13:$BB$162,BO2594,0)+INDEX($BD$13:$BL$162,BP2594,0))/100)))&gt;0)*($D$10:$L$10-($D$9:$L$9+INT(($S$12:$AA$12+INDEX($AJ$13:$AR$162,BN2594,0)+INDEX($AT$13:$BB$162,BO2594,0)+INDEX($BD$13:$BL$162,BP2594,0))/100)))),0)</f>
        <v/>
      </c>
      <c r="BS2594">
        <f>IF(2581&lt;$U$9,SUMPRODUCT(($D$9:$L$9+INT(($S$12:$AA$12+INDEX($AJ$13:$AR$162,BN2594,0)+INDEX($AT$13:$BB$162,BO2594,0)+INDEX($BD$13:$BL$162,BP2594,0))/100))),0)</f>
        <v/>
      </c>
      <c r="BT2594">
        <f>IF(AND(2581&lt;$U$9,$W$5),BQ2594*1000000-MIN(BR2594,999)*1000+BS2594-2581/100000,-1000000000-2581)</f>
        <v/>
      </c>
    </row>
    <row r="2595">
      <c r="BN2595">
        <f>IF(2582&lt;$U$9,INT(2582/($U$7*$U$8))+1,1)</f>
        <v/>
      </c>
      <c r="BO2595">
        <f>IF(2582&lt;$U$9,MOD(INT(2582/$U$8),$U$7)+1,1)</f>
        <v/>
      </c>
      <c r="BP2595">
        <f>IF(2582&lt;$U$9,MOD(2582,$U$8)+1,1)</f>
        <v/>
      </c>
      <c r="BQ2595">
        <f>IF(2582&lt;$U$9,SUMPRODUCT(($D$10:$L$10&lt;&gt;"")*(($D$9:$L$9+INT(($S$12:$AA$12+INDEX($AJ$13:$AR$162,BN2595,0)+INDEX($AT$13:$BB$162,BO2595,0)+INDEX($BD$13:$BL$162,BP2595,0))/100))&gt;=$D$10:$L$10)),0)</f>
        <v/>
      </c>
      <c r="BR2595">
        <f>IF(2582&lt;$U$9,SUMPRODUCT(($D$10:$L$10&lt;&gt;"")*(($D$10:$L$10-($D$9:$L$9+INT(($S$12:$AA$12+INDEX($AJ$13:$AR$162,BN2595,0)+INDEX($AT$13:$BB$162,BO2595,0)+INDEX($BD$13:$BL$162,BP2595,0))/100)))&gt;0)*($D$10:$L$10-($D$9:$L$9+INT(($S$12:$AA$12+INDEX($AJ$13:$AR$162,BN2595,0)+INDEX($AT$13:$BB$162,BO2595,0)+INDEX($BD$13:$BL$162,BP2595,0))/100)))),0)</f>
        <v/>
      </c>
      <c r="BS2595">
        <f>IF(2582&lt;$U$9,SUMPRODUCT(($D$9:$L$9+INT(($S$12:$AA$12+INDEX($AJ$13:$AR$162,BN2595,0)+INDEX($AT$13:$BB$162,BO2595,0)+INDEX($BD$13:$BL$162,BP2595,0))/100))),0)</f>
        <v/>
      </c>
      <c r="BT2595">
        <f>IF(AND(2582&lt;$U$9,$W$5),BQ2595*1000000-MIN(BR2595,999)*1000+BS2595-2582/100000,-1000000000-2582)</f>
        <v/>
      </c>
    </row>
    <row r="2596">
      <c r="BN2596">
        <f>IF(2583&lt;$U$9,INT(2583/($U$7*$U$8))+1,1)</f>
        <v/>
      </c>
      <c r="BO2596">
        <f>IF(2583&lt;$U$9,MOD(INT(2583/$U$8),$U$7)+1,1)</f>
        <v/>
      </c>
      <c r="BP2596">
        <f>IF(2583&lt;$U$9,MOD(2583,$U$8)+1,1)</f>
        <v/>
      </c>
      <c r="BQ2596">
        <f>IF(2583&lt;$U$9,SUMPRODUCT(($D$10:$L$10&lt;&gt;"")*(($D$9:$L$9+INT(($S$12:$AA$12+INDEX($AJ$13:$AR$162,BN2596,0)+INDEX($AT$13:$BB$162,BO2596,0)+INDEX($BD$13:$BL$162,BP2596,0))/100))&gt;=$D$10:$L$10)),0)</f>
        <v/>
      </c>
      <c r="BR2596">
        <f>IF(2583&lt;$U$9,SUMPRODUCT(($D$10:$L$10&lt;&gt;"")*(($D$10:$L$10-($D$9:$L$9+INT(($S$12:$AA$12+INDEX($AJ$13:$AR$162,BN2596,0)+INDEX($AT$13:$BB$162,BO2596,0)+INDEX($BD$13:$BL$162,BP2596,0))/100)))&gt;0)*($D$10:$L$10-($D$9:$L$9+INT(($S$12:$AA$12+INDEX($AJ$13:$AR$162,BN2596,0)+INDEX($AT$13:$BB$162,BO2596,0)+INDEX($BD$13:$BL$162,BP2596,0))/100)))),0)</f>
        <v/>
      </c>
      <c r="BS2596">
        <f>IF(2583&lt;$U$9,SUMPRODUCT(($D$9:$L$9+INT(($S$12:$AA$12+INDEX($AJ$13:$AR$162,BN2596,0)+INDEX($AT$13:$BB$162,BO2596,0)+INDEX($BD$13:$BL$162,BP2596,0))/100))),0)</f>
        <v/>
      </c>
      <c r="BT2596">
        <f>IF(AND(2583&lt;$U$9,$W$5),BQ2596*1000000-MIN(BR2596,999)*1000+BS2596-2583/100000,-1000000000-2583)</f>
        <v/>
      </c>
    </row>
    <row r="2597">
      <c r="BN2597">
        <f>IF(2584&lt;$U$9,INT(2584/($U$7*$U$8))+1,1)</f>
        <v/>
      </c>
      <c r="BO2597">
        <f>IF(2584&lt;$U$9,MOD(INT(2584/$U$8),$U$7)+1,1)</f>
        <v/>
      </c>
      <c r="BP2597">
        <f>IF(2584&lt;$U$9,MOD(2584,$U$8)+1,1)</f>
        <v/>
      </c>
      <c r="BQ2597">
        <f>IF(2584&lt;$U$9,SUMPRODUCT(($D$10:$L$10&lt;&gt;"")*(($D$9:$L$9+INT(($S$12:$AA$12+INDEX($AJ$13:$AR$162,BN2597,0)+INDEX($AT$13:$BB$162,BO2597,0)+INDEX($BD$13:$BL$162,BP2597,0))/100))&gt;=$D$10:$L$10)),0)</f>
        <v/>
      </c>
      <c r="BR2597">
        <f>IF(2584&lt;$U$9,SUMPRODUCT(($D$10:$L$10&lt;&gt;"")*(($D$10:$L$10-($D$9:$L$9+INT(($S$12:$AA$12+INDEX($AJ$13:$AR$162,BN2597,0)+INDEX($AT$13:$BB$162,BO2597,0)+INDEX($BD$13:$BL$162,BP2597,0))/100)))&gt;0)*($D$10:$L$10-($D$9:$L$9+INT(($S$12:$AA$12+INDEX($AJ$13:$AR$162,BN2597,0)+INDEX($AT$13:$BB$162,BO2597,0)+INDEX($BD$13:$BL$162,BP2597,0))/100)))),0)</f>
        <v/>
      </c>
      <c r="BS2597">
        <f>IF(2584&lt;$U$9,SUMPRODUCT(($D$9:$L$9+INT(($S$12:$AA$12+INDEX($AJ$13:$AR$162,BN2597,0)+INDEX($AT$13:$BB$162,BO2597,0)+INDEX($BD$13:$BL$162,BP2597,0))/100))),0)</f>
        <v/>
      </c>
      <c r="BT2597">
        <f>IF(AND(2584&lt;$U$9,$W$5),BQ2597*1000000-MIN(BR2597,999)*1000+BS2597-2584/100000,-1000000000-2584)</f>
        <v/>
      </c>
    </row>
    <row r="2598">
      <c r="BN2598">
        <f>IF(2585&lt;$U$9,INT(2585/($U$7*$U$8))+1,1)</f>
        <v/>
      </c>
      <c r="BO2598">
        <f>IF(2585&lt;$U$9,MOD(INT(2585/$U$8),$U$7)+1,1)</f>
        <v/>
      </c>
      <c r="BP2598">
        <f>IF(2585&lt;$U$9,MOD(2585,$U$8)+1,1)</f>
        <v/>
      </c>
      <c r="BQ2598">
        <f>IF(2585&lt;$U$9,SUMPRODUCT(($D$10:$L$10&lt;&gt;"")*(($D$9:$L$9+INT(($S$12:$AA$12+INDEX($AJ$13:$AR$162,BN2598,0)+INDEX($AT$13:$BB$162,BO2598,0)+INDEX($BD$13:$BL$162,BP2598,0))/100))&gt;=$D$10:$L$10)),0)</f>
        <v/>
      </c>
      <c r="BR2598">
        <f>IF(2585&lt;$U$9,SUMPRODUCT(($D$10:$L$10&lt;&gt;"")*(($D$10:$L$10-($D$9:$L$9+INT(($S$12:$AA$12+INDEX($AJ$13:$AR$162,BN2598,0)+INDEX($AT$13:$BB$162,BO2598,0)+INDEX($BD$13:$BL$162,BP2598,0))/100)))&gt;0)*($D$10:$L$10-($D$9:$L$9+INT(($S$12:$AA$12+INDEX($AJ$13:$AR$162,BN2598,0)+INDEX($AT$13:$BB$162,BO2598,0)+INDEX($BD$13:$BL$162,BP2598,0))/100)))),0)</f>
        <v/>
      </c>
      <c r="BS2598">
        <f>IF(2585&lt;$U$9,SUMPRODUCT(($D$9:$L$9+INT(($S$12:$AA$12+INDEX($AJ$13:$AR$162,BN2598,0)+INDEX($AT$13:$BB$162,BO2598,0)+INDEX($BD$13:$BL$162,BP2598,0))/100))),0)</f>
        <v/>
      </c>
      <c r="BT2598">
        <f>IF(AND(2585&lt;$U$9,$W$5),BQ2598*1000000-MIN(BR2598,999)*1000+BS2598-2585/100000,-1000000000-2585)</f>
        <v/>
      </c>
    </row>
    <row r="2599">
      <c r="BN2599">
        <f>IF(2586&lt;$U$9,INT(2586/($U$7*$U$8))+1,1)</f>
        <v/>
      </c>
      <c r="BO2599">
        <f>IF(2586&lt;$U$9,MOD(INT(2586/$U$8),$U$7)+1,1)</f>
        <v/>
      </c>
      <c r="BP2599">
        <f>IF(2586&lt;$U$9,MOD(2586,$U$8)+1,1)</f>
        <v/>
      </c>
      <c r="BQ2599">
        <f>IF(2586&lt;$U$9,SUMPRODUCT(($D$10:$L$10&lt;&gt;"")*(($D$9:$L$9+INT(($S$12:$AA$12+INDEX($AJ$13:$AR$162,BN2599,0)+INDEX($AT$13:$BB$162,BO2599,0)+INDEX($BD$13:$BL$162,BP2599,0))/100))&gt;=$D$10:$L$10)),0)</f>
        <v/>
      </c>
      <c r="BR2599">
        <f>IF(2586&lt;$U$9,SUMPRODUCT(($D$10:$L$10&lt;&gt;"")*(($D$10:$L$10-($D$9:$L$9+INT(($S$12:$AA$12+INDEX($AJ$13:$AR$162,BN2599,0)+INDEX($AT$13:$BB$162,BO2599,0)+INDEX($BD$13:$BL$162,BP2599,0))/100)))&gt;0)*($D$10:$L$10-($D$9:$L$9+INT(($S$12:$AA$12+INDEX($AJ$13:$AR$162,BN2599,0)+INDEX($AT$13:$BB$162,BO2599,0)+INDEX($BD$13:$BL$162,BP2599,0))/100)))),0)</f>
        <v/>
      </c>
      <c r="BS2599">
        <f>IF(2586&lt;$U$9,SUMPRODUCT(($D$9:$L$9+INT(($S$12:$AA$12+INDEX($AJ$13:$AR$162,BN2599,0)+INDEX($AT$13:$BB$162,BO2599,0)+INDEX($BD$13:$BL$162,BP2599,0))/100))),0)</f>
        <v/>
      </c>
      <c r="BT2599">
        <f>IF(AND(2586&lt;$U$9,$W$5),BQ2599*1000000-MIN(BR2599,999)*1000+BS2599-2586/100000,-1000000000-2586)</f>
        <v/>
      </c>
    </row>
    <row r="2600">
      <c r="BN2600">
        <f>IF(2587&lt;$U$9,INT(2587/($U$7*$U$8))+1,1)</f>
        <v/>
      </c>
      <c r="BO2600">
        <f>IF(2587&lt;$U$9,MOD(INT(2587/$U$8),$U$7)+1,1)</f>
        <v/>
      </c>
      <c r="BP2600">
        <f>IF(2587&lt;$U$9,MOD(2587,$U$8)+1,1)</f>
        <v/>
      </c>
      <c r="BQ2600">
        <f>IF(2587&lt;$U$9,SUMPRODUCT(($D$10:$L$10&lt;&gt;"")*(($D$9:$L$9+INT(($S$12:$AA$12+INDEX($AJ$13:$AR$162,BN2600,0)+INDEX($AT$13:$BB$162,BO2600,0)+INDEX($BD$13:$BL$162,BP2600,0))/100))&gt;=$D$10:$L$10)),0)</f>
        <v/>
      </c>
      <c r="BR2600">
        <f>IF(2587&lt;$U$9,SUMPRODUCT(($D$10:$L$10&lt;&gt;"")*(($D$10:$L$10-($D$9:$L$9+INT(($S$12:$AA$12+INDEX($AJ$13:$AR$162,BN2600,0)+INDEX($AT$13:$BB$162,BO2600,0)+INDEX($BD$13:$BL$162,BP2600,0))/100)))&gt;0)*($D$10:$L$10-($D$9:$L$9+INT(($S$12:$AA$12+INDEX($AJ$13:$AR$162,BN2600,0)+INDEX($AT$13:$BB$162,BO2600,0)+INDEX($BD$13:$BL$162,BP2600,0))/100)))),0)</f>
        <v/>
      </c>
      <c r="BS2600">
        <f>IF(2587&lt;$U$9,SUMPRODUCT(($D$9:$L$9+INT(($S$12:$AA$12+INDEX($AJ$13:$AR$162,BN2600,0)+INDEX($AT$13:$BB$162,BO2600,0)+INDEX($BD$13:$BL$162,BP2600,0))/100))),0)</f>
        <v/>
      </c>
      <c r="BT2600">
        <f>IF(AND(2587&lt;$U$9,$W$5),BQ2600*1000000-MIN(BR2600,999)*1000+BS2600-2587/100000,-1000000000-2587)</f>
        <v/>
      </c>
    </row>
    <row r="2601">
      <c r="BN2601">
        <f>IF(2588&lt;$U$9,INT(2588/($U$7*$U$8))+1,1)</f>
        <v/>
      </c>
      <c r="BO2601">
        <f>IF(2588&lt;$U$9,MOD(INT(2588/$U$8),$U$7)+1,1)</f>
        <v/>
      </c>
      <c r="BP2601">
        <f>IF(2588&lt;$U$9,MOD(2588,$U$8)+1,1)</f>
        <v/>
      </c>
      <c r="BQ2601">
        <f>IF(2588&lt;$U$9,SUMPRODUCT(($D$10:$L$10&lt;&gt;"")*(($D$9:$L$9+INT(($S$12:$AA$12+INDEX($AJ$13:$AR$162,BN2601,0)+INDEX($AT$13:$BB$162,BO2601,0)+INDEX($BD$13:$BL$162,BP2601,0))/100))&gt;=$D$10:$L$10)),0)</f>
        <v/>
      </c>
      <c r="BR2601">
        <f>IF(2588&lt;$U$9,SUMPRODUCT(($D$10:$L$10&lt;&gt;"")*(($D$10:$L$10-($D$9:$L$9+INT(($S$12:$AA$12+INDEX($AJ$13:$AR$162,BN2601,0)+INDEX($AT$13:$BB$162,BO2601,0)+INDEX($BD$13:$BL$162,BP2601,0))/100)))&gt;0)*($D$10:$L$10-($D$9:$L$9+INT(($S$12:$AA$12+INDEX($AJ$13:$AR$162,BN2601,0)+INDEX($AT$13:$BB$162,BO2601,0)+INDEX($BD$13:$BL$162,BP2601,0))/100)))),0)</f>
        <v/>
      </c>
      <c r="BS2601">
        <f>IF(2588&lt;$U$9,SUMPRODUCT(($D$9:$L$9+INT(($S$12:$AA$12+INDEX($AJ$13:$AR$162,BN2601,0)+INDEX($AT$13:$BB$162,BO2601,0)+INDEX($BD$13:$BL$162,BP2601,0))/100))),0)</f>
        <v/>
      </c>
      <c r="BT2601">
        <f>IF(AND(2588&lt;$U$9,$W$5),BQ2601*1000000-MIN(BR2601,999)*1000+BS2601-2588/100000,-1000000000-2588)</f>
        <v/>
      </c>
    </row>
    <row r="2602">
      <c r="BN2602">
        <f>IF(2589&lt;$U$9,INT(2589/($U$7*$U$8))+1,1)</f>
        <v/>
      </c>
      <c r="BO2602">
        <f>IF(2589&lt;$U$9,MOD(INT(2589/$U$8),$U$7)+1,1)</f>
        <v/>
      </c>
      <c r="BP2602">
        <f>IF(2589&lt;$U$9,MOD(2589,$U$8)+1,1)</f>
        <v/>
      </c>
      <c r="BQ2602">
        <f>IF(2589&lt;$U$9,SUMPRODUCT(($D$10:$L$10&lt;&gt;"")*(($D$9:$L$9+INT(($S$12:$AA$12+INDEX($AJ$13:$AR$162,BN2602,0)+INDEX($AT$13:$BB$162,BO2602,0)+INDEX($BD$13:$BL$162,BP2602,0))/100))&gt;=$D$10:$L$10)),0)</f>
        <v/>
      </c>
      <c r="BR2602">
        <f>IF(2589&lt;$U$9,SUMPRODUCT(($D$10:$L$10&lt;&gt;"")*(($D$10:$L$10-($D$9:$L$9+INT(($S$12:$AA$12+INDEX($AJ$13:$AR$162,BN2602,0)+INDEX($AT$13:$BB$162,BO2602,0)+INDEX($BD$13:$BL$162,BP2602,0))/100)))&gt;0)*($D$10:$L$10-($D$9:$L$9+INT(($S$12:$AA$12+INDEX($AJ$13:$AR$162,BN2602,0)+INDEX($AT$13:$BB$162,BO2602,0)+INDEX($BD$13:$BL$162,BP2602,0))/100)))),0)</f>
        <v/>
      </c>
      <c r="BS2602">
        <f>IF(2589&lt;$U$9,SUMPRODUCT(($D$9:$L$9+INT(($S$12:$AA$12+INDEX($AJ$13:$AR$162,BN2602,0)+INDEX($AT$13:$BB$162,BO2602,0)+INDEX($BD$13:$BL$162,BP2602,0))/100))),0)</f>
        <v/>
      </c>
      <c r="BT2602">
        <f>IF(AND(2589&lt;$U$9,$W$5),BQ2602*1000000-MIN(BR2602,999)*1000+BS2602-2589/100000,-1000000000-2589)</f>
        <v/>
      </c>
    </row>
    <row r="2603">
      <c r="BN2603">
        <f>IF(2590&lt;$U$9,INT(2590/($U$7*$U$8))+1,1)</f>
        <v/>
      </c>
      <c r="BO2603">
        <f>IF(2590&lt;$U$9,MOD(INT(2590/$U$8),$U$7)+1,1)</f>
        <v/>
      </c>
      <c r="BP2603">
        <f>IF(2590&lt;$U$9,MOD(2590,$U$8)+1,1)</f>
        <v/>
      </c>
      <c r="BQ2603">
        <f>IF(2590&lt;$U$9,SUMPRODUCT(($D$10:$L$10&lt;&gt;"")*(($D$9:$L$9+INT(($S$12:$AA$12+INDEX($AJ$13:$AR$162,BN2603,0)+INDEX($AT$13:$BB$162,BO2603,0)+INDEX($BD$13:$BL$162,BP2603,0))/100))&gt;=$D$10:$L$10)),0)</f>
        <v/>
      </c>
      <c r="BR2603">
        <f>IF(2590&lt;$U$9,SUMPRODUCT(($D$10:$L$10&lt;&gt;"")*(($D$10:$L$10-($D$9:$L$9+INT(($S$12:$AA$12+INDEX($AJ$13:$AR$162,BN2603,0)+INDEX($AT$13:$BB$162,BO2603,0)+INDEX($BD$13:$BL$162,BP2603,0))/100)))&gt;0)*($D$10:$L$10-($D$9:$L$9+INT(($S$12:$AA$12+INDEX($AJ$13:$AR$162,BN2603,0)+INDEX($AT$13:$BB$162,BO2603,0)+INDEX($BD$13:$BL$162,BP2603,0))/100)))),0)</f>
        <v/>
      </c>
      <c r="BS2603">
        <f>IF(2590&lt;$U$9,SUMPRODUCT(($D$9:$L$9+INT(($S$12:$AA$12+INDEX($AJ$13:$AR$162,BN2603,0)+INDEX($AT$13:$BB$162,BO2603,0)+INDEX($BD$13:$BL$162,BP2603,0))/100))),0)</f>
        <v/>
      </c>
      <c r="BT2603">
        <f>IF(AND(2590&lt;$U$9,$W$5),BQ2603*1000000-MIN(BR2603,999)*1000+BS2603-2590/100000,-1000000000-2590)</f>
        <v/>
      </c>
    </row>
    <row r="2604">
      <c r="BN2604">
        <f>IF(2591&lt;$U$9,INT(2591/($U$7*$U$8))+1,1)</f>
        <v/>
      </c>
      <c r="BO2604">
        <f>IF(2591&lt;$U$9,MOD(INT(2591/$U$8),$U$7)+1,1)</f>
        <v/>
      </c>
      <c r="BP2604">
        <f>IF(2591&lt;$U$9,MOD(2591,$U$8)+1,1)</f>
        <v/>
      </c>
      <c r="BQ2604">
        <f>IF(2591&lt;$U$9,SUMPRODUCT(($D$10:$L$10&lt;&gt;"")*(($D$9:$L$9+INT(($S$12:$AA$12+INDEX($AJ$13:$AR$162,BN2604,0)+INDEX($AT$13:$BB$162,BO2604,0)+INDEX($BD$13:$BL$162,BP2604,0))/100))&gt;=$D$10:$L$10)),0)</f>
        <v/>
      </c>
      <c r="BR2604">
        <f>IF(2591&lt;$U$9,SUMPRODUCT(($D$10:$L$10&lt;&gt;"")*(($D$10:$L$10-($D$9:$L$9+INT(($S$12:$AA$12+INDEX($AJ$13:$AR$162,BN2604,0)+INDEX($AT$13:$BB$162,BO2604,0)+INDEX($BD$13:$BL$162,BP2604,0))/100)))&gt;0)*($D$10:$L$10-($D$9:$L$9+INT(($S$12:$AA$12+INDEX($AJ$13:$AR$162,BN2604,0)+INDEX($AT$13:$BB$162,BO2604,0)+INDEX($BD$13:$BL$162,BP2604,0))/100)))),0)</f>
        <v/>
      </c>
      <c r="BS2604">
        <f>IF(2591&lt;$U$9,SUMPRODUCT(($D$9:$L$9+INT(($S$12:$AA$12+INDEX($AJ$13:$AR$162,BN2604,0)+INDEX($AT$13:$BB$162,BO2604,0)+INDEX($BD$13:$BL$162,BP2604,0))/100))),0)</f>
        <v/>
      </c>
      <c r="BT2604">
        <f>IF(AND(2591&lt;$U$9,$W$5),BQ2604*1000000-MIN(BR2604,999)*1000+BS2604-2591/100000,-1000000000-2591)</f>
        <v/>
      </c>
    </row>
    <row r="2605">
      <c r="BN2605">
        <f>IF(2592&lt;$U$9,INT(2592/($U$7*$U$8))+1,1)</f>
        <v/>
      </c>
      <c r="BO2605">
        <f>IF(2592&lt;$U$9,MOD(INT(2592/$U$8),$U$7)+1,1)</f>
        <v/>
      </c>
      <c r="BP2605">
        <f>IF(2592&lt;$U$9,MOD(2592,$U$8)+1,1)</f>
        <v/>
      </c>
      <c r="BQ2605">
        <f>IF(2592&lt;$U$9,SUMPRODUCT(($D$10:$L$10&lt;&gt;"")*(($D$9:$L$9+INT(($S$12:$AA$12+INDEX($AJ$13:$AR$162,BN2605,0)+INDEX($AT$13:$BB$162,BO2605,0)+INDEX($BD$13:$BL$162,BP2605,0))/100))&gt;=$D$10:$L$10)),0)</f>
        <v/>
      </c>
      <c r="BR2605">
        <f>IF(2592&lt;$U$9,SUMPRODUCT(($D$10:$L$10&lt;&gt;"")*(($D$10:$L$10-($D$9:$L$9+INT(($S$12:$AA$12+INDEX($AJ$13:$AR$162,BN2605,0)+INDEX($AT$13:$BB$162,BO2605,0)+INDEX($BD$13:$BL$162,BP2605,0))/100)))&gt;0)*($D$10:$L$10-($D$9:$L$9+INT(($S$12:$AA$12+INDEX($AJ$13:$AR$162,BN2605,0)+INDEX($AT$13:$BB$162,BO2605,0)+INDEX($BD$13:$BL$162,BP2605,0))/100)))),0)</f>
        <v/>
      </c>
      <c r="BS2605">
        <f>IF(2592&lt;$U$9,SUMPRODUCT(($D$9:$L$9+INT(($S$12:$AA$12+INDEX($AJ$13:$AR$162,BN2605,0)+INDEX($AT$13:$BB$162,BO2605,0)+INDEX($BD$13:$BL$162,BP2605,0))/100))),0)</f>
        <v/>
      </c>
      <c r="BT2605">
        <f>IF(AND(2592&lt;$U$9,$W$5),BQ2605*1000000-MIN(BR2605,999)*1000+BS2605-2592/100000,-1000000000-2592)</f>
        <v/>
      </c>
    </row>
    <row r="2606">
      <c r="BN2606">
        <f>IF(2593&lt;$U$9,INT(2593/($U$7*$U$8))+1,1)</f>
        <v/>
      </c>
      <c r="BO2606">
        <f>IF(2593&lt;$U$9,MOD(INT(2593/$U$8),$U$7)+1,1)</f>
        <v/>
      </c>
      <c r="BP2606">
        <f>IF(2593&lt;$U$9,MOD(2593,$U$8)+1,1)</f>
        <v/>
      </c>
      <c r="BQ2606">
        <f>IF(2593&lt;$U$9,SUMPRODUCT(($D$10:$L$10&lt;&gt;"")*(($D$9:$L$9+INT(($S$12:$AA$12+INDEX($AJ$13:$AR$162,BN2606,0)+INDEX($AT$13:$BB$162,BO2606,0)+INDEX($BD$13:$BL$162,BP2606,0))/100))&gt;=$D$10:$L$10)),0)</f>
        <v/>
      </c>
      <c r="BR2606">
        <f>IF(2593&lt;$U$9,SUMPRODUCT(($D$10:$L$10&lt;&gt;"")*(($D$10:$L$10-($D$9:$L$9+INT(($S$12:$AA$12+INDEX($AJ$13:$AR$162,BN2606,0)+INDEX($AT$13:$BB$162,BO2606,0)+INDEX($BD$13:$BL$162,BP2606,0))/100)))&gt;0)*($D$10:$L$10-($D$9:$L$9+INT(($S$12:$AA$12+INDEX($AJ$13:$AR$162,BN2606,0)+INDEX($AT$13:$BB$162,BO2606,0)+INDEX($BD$13:$BL$162,BP2606,0))/100)))),0)</f>
        <v/>
      </c>
      <c r="BS2606">
        <f>IF(2593&lt;$U$9,SUMPRODUCT(($D$9:$L$9+INT(($S$12:$AA$12+INDEX($AJ$13:$AR$162,BN2606,0)+INDEX($AT$13:$BB$162,BO2606,0)+INDEX($BD$13:$BL$162,BP2606,0))/100))),0)</f>
        <v/>
      </c>
      <c r="BT2606">
        <f>IF(AND(2593&lt;$U$9,$W$5),BQ2606*1000000-MIN(BR2606,999)*1000+BS2606-2593/100000,-1000000000-2593)</f>
        <v/>
      </c>
    </row>
    <row r="2607">
      <c r="BN2607">
        <f>IF(2594&lt;$U$9,INT(2594/($U$7*$U$8))+1,1)</f>
        <v/>
      </c>
      <c r="BO2607">
        <f>IF(2594&lt;$U$9,MOD(INT(2594/$U$8),$U$7)+1,1)</f>
        <v/>
      </c>
      <c r="BP2607">
        <f>IF(2594&lt;$U$9,MOD(2594,$U$8)+1,1)</f>
        <v/>
      </c>
      <c r="BQ2607">
        <f>IF(2594&lt;$U$9,SUMPRODUCT(($D$10:$L$10&lt;&gt;"")*(($D$9:$L$9+INT(($S$12:$AA$12+INDEX($AJ$13:$AR$162,BN2607,0)+INDEX($AT$13:$BB$162,BO2607,0)+INDEX($BD$13:$BL$162,BP2607,0))/100))&gt;=$D$10:$L$10)),0)</f>
        <v/>
      </c>
      <c r="BR2607">
        <f>IF(2594&lt;$U$9,SUMPRODUCT(($D$10:$L$10&lt;&gt;"")*(($D$10:$L$10-($D$9:$L$9+INT(($S$12:$AA$12+INDEX($AJ$13:$AR$162,BN2607,0)+INDEX($AT$13:$BB$162,BO2607,0)+INDEX($BD$13:$BL$162,BP2607,0))/100)))&gt;0)*($D$10:$L$10-($D$9:$L$9+INT(($S$12:$AA$12+INDEX($AJ$13:$AR$162,BN2607,0)+INDEX($AT$13:$BB$162,BO2607,0)+INDEX($BD$13:$BL$162,BP2607,0))/100)))),0)</f>
        <v/>
      </c>
      <c r="BS2607">
        <f>IF(2594&lt;$U$9,SUMPRODUCT(($D$9:$L$9+INT(($S$12:$AA$12+INDEX($AJ$13:$AR$162,BN2607,0)+INDEX($AT$13:$BB$162,BO2607,0)+INDEX($BD$13:$BL$162,BP2607,0))/100))),0)</f>
        <v/>
      </c>
      <c r="BT2607">
        <f>IF(AND(2594&lt;$U$9,$W$5),BQ2607*1000000-MIN(BR2607,999)*1000+BS2607-2594/100000,-1000000000-2594)</f>
        <v/>
      </c>
    </row>
    <row r="2608">
      <c r="BN2608">
        <f>IF(2595&lt;$U$9,INT(2595/($U$7*$U$8))+1,1)</f>
        <v/>
      </c>
      <c r="BO2608">
        <f>IF(2595&lt;$U$9,MOD(INT(2595/$U$8),$U$7)+1,1)</f>
        <v/>
      </c>
      <c r="BP2608">
        <f>IF(2595&lt;$U$9,MOD(2595,$U$8)+1,1)</f>
        <v/>
      </c>
      <c r="BQ2608">
        <f>IF(2595&lt;$U$9,SUMPRODUCT(($D$10:$L$10&lt;&gt;"")*(($D$9:$L$9+INT(($S$12:$AA$12+INDEX($AJ$13:$AR$162,BN2608,0)+INDEX($AT$13:$BB$162,BO2608,0)+INDEX($BD$13:$BL$162,BP2608,0))/100))&gt;=$D$10:$L$10)),0)</f>
        <v/>
      </c>
      <c r="BR2608">
        <f>IF(2595&lt;$U$9,SUMPRODUCT(($D$10:$L$10&lt;&gt;"")*(($D$10:$L$10-($D$9:$L$9+INT(($S$12:$AA$12+INDEX($AJ$13:$AR$162,BN2608,0)+INDEX($AT$13:$BB$162,BO2608,0)+INDEX($BD$13:$BL$162,BP2608,0))/100)))&gt;0)*($D$10:$L$10-($D$9:$L$9+INT(($S$12:$AA$12+INDEX($AJ$13:$AR$162,BN2608,0)+INDEX($AT$13:$BB$162,BO2608,0)+INDEX($BD$13:$BL$162,BP2608,0))/100)))),0)</f>
        <v/>
      </c>
      <c r="BS2608">
        <f>IF(2595&lt;$U$9,SUMPRODUCT(($D$9:$L$9+INT(($S$12:$AA$12+INDEX($AJ$13:$AR$162,BN2608,0)+INDEX($AT$13:$BB$162,BO2608,0)+INDEX($BD$13:$BL$162,BP2608,0))/100))),0)</f>
        <v/>
      </c>
      <c r="BT2608">
        <f>IF(AND(2595&lt;$U$9,$W$5),BQ2608*1000000-MIN(BR2608,999)*1000+BS2608-2595/100000,-1000000000-2595)</f>
        <v/>
      </c>
    </row>
    <row r="2609">
      <c r="BN2609">
        <f>IF(2596&lt;$U$9,INT(2596/($U$7*$U$8))+1,1)</f>
        <v/>
      </c>
      <c r="BO2609">
        <f>IF(2596&lt;$U$9,MOD(INT(2596/$U$8),$U$7)+1,1)</f>
        <v/>
      </c>
      <c r="BP2609">
        <f>IF(2596&lt;$U$9,MOD(2596,$U$8)+1,1)</f>
        <v/>
      </c>
      <c r="BQ2609">
        <f>IF(2596&lt;$U$9,SUMPRODUCT(($D$10:$L$10&lt;&gt;"")*(($D$9:$L$9+INT(($S$12:$AA$12+INDEX($AJ$13:$AR$162,BN2609,0)+INDEX($AT$13:$BB$162,BO2609,0)+INDEX($BD$13:$BL$162,BP2609,0))/100))&gt;=$D$10:$L$10)),0)</f>
        <v/>
      </c>
      <c r="BR2609">
        <f>IF(2596&lt;$U$9,SUMPRODUCT(($D$10:$L$10&lt;&gt;"")*(($D$10:$L$10-($D$9:$L$9+INT(($S$12:$AA$12+INDEX($AJ$13:$AR$162,BN2609,0)+INDEX($AT$13:$BB$162,BO2609,0)+INDEX($BD$13:$BL$162,BP2609,0))/100)))&gt;0)*($D$10:$L$10-($D$9:$L$9+INT(($S$12:$AA$12+INDEX($AJ$13:$AR$162,BN2609,0)+INDEX($AT$13:$BB$162,BO2609,0)+INDEX($BD$13:$BL$162,BP2609,0))/100)))),0)</f>
        <v/>
      </c>
      <c r="BS2609">
        <f>IF(2596&lt;$U$9,SUMPRODUCT(($D$9:$L$9+INT(($S$12:$AA$12+INDEX($AJ$13:$AR$162,BN2609,0)+INDEX($AT$13:$BB$162,BO2609,0)+INDEX($BD$13:$BL$162,BP2609,0))/100))),0)</f>
        <v/>
      </c>
      <c r="BT2609">
        <f>IF(AND(2596&lt;$U$9,$W$5),BQ2609*1000000-MIN(BR2609,999)*1000+BS2609-2596/100000,-1000000000-2596)</f>
        <v/>
      </c>
    </row>
    <row r="2610">
      <c r="BN2610">
        <f>IF(2597&lt;$U$9,INT(2597/($U$7*$U$8))+1,1)</f>
        <v/>
      </c>
      <c r="BO2610">
        <f>IF(2597&lt;$U$9,MOD(INT(2597/$U$8),$U$7)+1,1)</f>
        <v/>
      </c>
      <c r="BP2610">
        <f>IF(2597&lt;$U$9,MOD(2597,$U$8)+1,1)</f>
        <v/>
      </c>
      <c r="BQ2610">
        <f>IF(2597&lt;$U$9,SUMPRODUCT(($D$10:$L$10&lt;&gt;"")*(($D$9:$L$9+INT(($S$12:$AA$12+INDEX($AJ$13:$AR$162,BN2610,0)+INDEX($AT$13:$BB$162,BO2610,0)+INDEX($BD$13:$BL$162,BP2610,0))/100))&gt;=$D$10:$L$10)),0)</f>
        <v/>
      </c>
      <c r="BR2610">
        <f>IF(2597&lt;$U$9,SUMPRODUCT(($D$10:$L$10&lt;&gt;"")*(($D$10:$L$10-($D$9:$L$9+INT(($S$12:$AA$12+INDEX($AJ$13:$AR$162,BN2610,0)+INDEX($AT$13:$BB$162,BO2610,0)+INDEX($BD$13:$BL$162,BP2610,0))/100)))&gt;0)*($D$10:$L$10-($D$9:$L$9+INT(($S$12:$AA$12+INDEX($AJ$13:$AR$162,BN2610,0)+INDEX($AT$13:$BB$162,BO2610,0)+INDEX($BD$13:$BL$162,BP2610,0))/100)))),0)</f>
        <v/>
      </c>
      <c r="BS2610">
        <f>IF(2597&lt;$U$9,SUMPRODUCT(($D$9:$L$9+INT(($S$12:$AA$12+INDEX($AJ$13:$AR$162,BN2610,0)+INDEX($AT$13:$BB$162,BO2610,0)+INDEX($BD$13:$BL$162,BP2610,0))/100))),0)</f>
        <v/>
      </c>
      <c r="BT2610">
        <f>IF(AND(2597&lt;$U$9,$W$5),BQ2610*1000000-MIN(BR2610,999)*1000+BS2610-2597/100000,-1000000000-2597)</f>
        <v/>
      </c>
    </row>
    <row r="2611">
      <c r="BN2611">
        <f>IF(2598&lt;$U$9,INT(2598/($U$7*$U$8))+1,1)</f>
        <v/>
      </c>
      <c r="BO2611">
        <f>IF(2598&lt;$U$9,MOD(INT(2598/$U$8),$U$7)+1,1)</f>
        <v/>
      </c>
      <c r="BP2611">
        <f>IF(2598&lt;$U$9,MOD(2598,$U$8)+1,1)</f>
        <v/>
      </c>
      <c r="BQ2611">
        <f>IF(2598&lt;$U$9,SUMPRODUCT(($D$10:$L$10&lt;&gt;"")*(($D$9:$L$9+INT(($S$12:$AA$12+INDEX($AJ$13:$AR$162,BN2611,0)+INDEX($AT$13:$BB$162,BO2611,0)+INDEX($BD$13:$BL$162,BP2611,0))/100))&gt;=$D$10:$L$10)),0)</f>
        <v/>
      </c>
      <c r="BR2611">
        <f>IF(2598&lt;$U$9,SUMPRODUCT(($D$10:$L$10&lt;&gt;"")*(($D$10:$L$10-($D$9:$L$9+INT(($S$12:$AA$12+INDEX($AJ$13:$AR$162,BN2611,0)+INDEX($AT$13:$BB$162,BO2611,0)+INDEX($BD$13:$BL$162,BP2611,0))/100)))&gt;0)*($D$10:$L$10-($D$9:$L$9+INT(($S$12:$AA$12+INDEX($AJ$13:$AR$162,BN2611,0)+INDEX($AT$13:$BB$162,BO2611,0)+INDEX($BD$13:$BL$162,BP2611,0))/100)))),0)</f>
        <v/>
      </c>
      <c r="BS2611">
        <f>IF(2598&lt;$U$9,SUMPRODUCT(($D$9:$L$9+INT(($S$12:$AA$12+INDEX($AJ$13:$AR$162,BN2611,0)+INDEX($AT$13:$BB$162,BO2611,0)+INDEX($BD$13:$BL$162,BP2611,0))/100))),0)</f>
        <v/>
      </c>
      <c r="BT2611">
        <f>IF(AND(2598&lt;$U$9,$W$5),BQ2611*1000000-MIN(BR2611,999)*1000+BS2611-2598/100000,-1000000000-2598)</f>
        <v/>
      </c>
    </row>
    <row r="2612">
      <c r="BN2612">
        <f>IF(2599&lt;$U$9,INT(2599/($U$7*$U$8))+1,1)</f>
        <v/>
      </c>
      <c r="BO2612">
        <f>IF(2599&lt;$U$9,MOD(INT(2599/$U$8),$U$7)+1,1)</f>
        <v/>
      </c>
      <c r="BP2612">
        <f>IF(2599&lt;$U$9,MOD(2599,$U$8)+1,1)</f>
        <v/>
      </c>
      <c r="BQ2612">
        <f>IF(2599&lt;$U$9,SUMPRODUCT(($D$10:$L$10&lt;&gt;"")*(($D$9:$L$9+INT(($S$12:$AA$12+INDEX($AJ$13:$AR$162,BN2612,0)+INDEX($AT$13:$BB$162,BO2612,0)+INDEX($BD$13:$BL$162,BP2612,0))/100))&gt;=$D$10:$L$10)),0)</f>
        <v/>
      </c>
      <c r="BR2612">
        <f>IF(2599&lt;$U$9,SUMPRODUCT(($D$10:$L$10&lt;&gt;"")*(($D$10:$L$10-($D$9:$L$9+INT(($S$12:$AA$12+INDEX($AJ$13:$AR$162,BN2612,0)+INDEX($AT$13:$BB$162,BO2612,0)+INDEX($BD$13:$BL$162,BP2612,0))/100)))&gt;0)*($D$10:$L$10-($D$9:$L$9+INT(($S$12:$AA$12+INDEX($AJ$13:$AR$162,BN2612,0)+INDEX($AT$13:$BB$162,BO2612,0)+INDEX($BD$13:$BL$162,BP2612,0))/100)))),0)</f>
        <v/>
      </c>
      <c r="BS2612">
        <f>IF(2599&lt;$U$9,SUMPRODUCT(($D$9:$L$9+INT(($S$12:$AA$12+INDEX($AJ$13:$AR$162,BN2612,0)+INDEX($AT$13:$BB$162,BO2612,0)+INDEX($BD$13:$BL$162,BP2612,0))/100))),0)</f>
        <v/>
      </c>
      <c r="BT2612">
        <f>IF(AND(2599&lt;$U$9,$W$5),BQ2612*1000000-MIN(BR2612,999)*1000+BS2612-2599/100000,-1000000000-2599)</f>
        <v/>
      </c>
    </row>
    <row r="2613">
      <c r="BN2613">
        <f>IF(2600&lt;$U$9,INT(2600/($U$7*$U$8))+1,1)</f>
        <v/>
      </c>
      <c r="BO2613">
        <f>IF(2600&lt;$U$9,MOD(INT(2600/$U$8),$U$7)+1,1)</f>
        <v/>
      </c>
      <c r="BP2613">
        <f>IF(2600&lt;$U$9,MOD(2600,$U$8)+1,1)</f>
        <v/>
      </c>
      <c r="BQ2613">
        <f>IF(2600&lt;$U$9,SUMPRODUCT(($D$10:$L$10&lt;&gt;"")*(($D$9:$L$9+INT(($S$12:$AA$12+INDEX($AJ$13:$AR$162,BN2613,0)+INDEX($AT$13:$BB$162,BO2613,0)+INDEX($BD$13:$BL$162,BP2613,0))/100))&gt;=$D$10:$L$10)),0)</f>
        <v/>
      </c>
      <c r="BR2613">
        <f>IF(2600&lt;$U$9,SUMPRODUCT(($D$10:$L$10&lt;&gt;"")*(($D$10:$L$10-($D$9:$L$9+INT(($S$12:$AA$12+INDEX($AJ$13:$AR$162,BN2613,0)+INDEX($AT$13:$BB$162,BO2613,0)+INDEX($BD$13:$BL$162,BP2613,0))/100)))&gt;0)*($D$10:$L$10-($D$9:$L$9+INT(($S$12:$AA$12+INDEX($AJ$13:$AR$162,BN2613,0)+INDEX($AT$13:$BB$162,BO2613,0)+INDEX($BD$13:$BL$162,BP2613,0))/100)))),0)</f>
        <v/>
      </c>
      <c r="BS2613">
        <f>IF(2600&lt;$U$9,SUMPRODUCT(($D$9:$L$9+INT(($S$12:$AA$12+INDEX($AJ$13:$AR$162,BN2613,0)+INDEX($AT$13:$BB$162,BO2613,0)+INDEX($BD$13:$BL$162,BP2613,0))/100))),0)</f>
        <v/>
      </c>
      <c r="BT2613">
        <f>IF(AND(2600&lt;$U$9,$W$5),BQ2613*1000000-MIN(BR2613,999)*1000+BS2613-2600/100000,-1000000000-2600)</f>
        <v/>
      </c>
    </row>
    <row r="2614">
      <c r="BN2614">
        <f>IF(2601&lt;$U$9,INT(2601/($U$7*$U$8))+1,1)</f>
        <v/>
      </c>
      <c r="BO2614">
        <f>IF(2601&lt;$U$9,MOD(INT(2601/$U$8),$U$7)+1,1)</f>
        <v/>
      </c>
      <c r="BP2614">
        <f>IF(2601&lt;$U$9,MOD(2601,$U$8)+1,1)</f>
        <v/>
      </c>
      <c r="BQ2614">
        <f>IF(2601&lt;$U$9,SUMPRODUCT(($D$10:$L$10&lt;&gt;"")*(($D$9:$L$9+INT(($S$12:$AA$12+INDEX($AJ$13:$AR$162,BN2614,0)+INDEX($AT$13:$BB$162,BO2614,0)+INDEX($BD$13:$BL$162,BP2614,0))/100))&gt;=$D$10:$L$10)),0)</f>
        <v/>
      </c>
      <c r="BR2614">
        <f>IF(2601&lt;$U$9,SUMPRODUCT(($D$10:$L$10&lt;&gt;"")*(($D$10:$L$10-($D$9:$L$9+INT(($S$12:$AA$12+INDEX($AJ$13:$AR$162,BN2614,0)+INDEX($AT$13:$BB$162,BO2614,0)+INDEX($BD$13:$BL$162,BP2614,0))/100)))&gt;0)*($D$10:$L$10-($D$9:$L$9+INT(($S$12:$AA$12+INDEX($AJ$13:$AR$162,BN2614,0)+INDEX($AT$13:$BB$162,BO2614,0)+INDEX($BD$13:$BL$162,BP2614,0))/100)))),0)</f>
        <v/>
      </c>
      <c r="BS2614">
        <f>IF(2601&lt;$U$9,SUMPRODUCT(($D$9:$L$9+INT(($S$12:$AA$12+INDEX($AJ$13:$AR$162,BN2614,0)+INDEX($AT$13:$BB$162,BO2614,0)+INDEX($BD$13:$BL$162,BP2614,0))/100))),0)</f>
        <v/>
      </c>
      <c r="BT2614">
        <f>IF(AND(2601&lt;$U$9,$W$5),BQ2614*1000000-MIN(BR2614,999)*1000+BS2614-2601/100000,-1000000000-2601)</f>
        <v/>
      </c>
    </row>
    <row r="2615">
      <c r="BN2615">
        <f>IF(2602&lt;$U$9,INT(2602/($U$7*$U$8))+1,1)</f>
        <v/>
      </c>
      <c r="BO2615">
        <f>IF(2602&lt;$U$9,MOD(INT(2602/$U$8),$U$7)+1,1)</f>
        <v/>
      </c>
      <c r="BP2615">
        <f>IF(2602&lt;$U$9,MOD(2602,$U$8)+1,1)</f>
        <v/>
      </c>
      <c r="BQ2615">
        <f>IF(2602&lt;$U$9,SUMPRODUCT(($D$10:$L$10&lt;&gt;"")*(($D$9:$L$9+INT(($S$12:$AA$12+INDEX($AJ$13:$AR$162,BN2615,0)+INDEX($AT$13:$BB$162,BO2615,0)+INDEX($BD$13:$BL$162,BP2615,0))/100))&gt;=$D$10:$L$10)),0)</f>
        <v/>
      </c>
      <c r="BR2615">
        <f>IF(2602&lt;$U$9,SUMPRODUCT(($D$10:$L$10&lt;&gt;"")*(($D$10:$L$10-($D$9:$L$9+INT(($S$12:$AA$12+INDEX($AJ$13:$AR$162,BN2615,0)+INDEX($AT$13:$BB$162,BO2615,0)+INDEX($BD$13:$BL$162,BP2615,0))/100)))&gt;0)*($D$10:$L$10-($D$9:$L$9+INT(($S$12:$AA$12+INDEX($AJ$13:$AR$162,BN2615,0)+INDEX($AT$13:$BB$162,BO2615,0)+INDEX($BD$13:$BL$162,BP2615,0))/100)))),0)</f>
        <v/>
      </c>
      <c r="BS2615">
        <f>IF(2602&lt;$U$9,SUMPRODUCT(($D$9:$L$9+INT(($S$12:$AA$12+INDEX($AJ$13:$AR$162,BN2615,0)+INDEX($AT$13:$BB$162,BO2615,0)+INDEX($BD$13:$BL$162,BP2615,0))/100))),0)</f>
        <v/>
      </c>
      <c r="BT2615">
        <f>IF(AND(2602&lt;$U$9,$W$5),BQ2615*1000000-MIN(BR2615,999)*1000+BS2615-2602/100000,-1000000000-2602)</f>
        <v/>
      </c>
    </row>
    <row r="2616">
      <c r="BN2616">
        <f>IF(2603&lt;$U$9,INT(2603/($U$7*$U$8))+1,1)</f>
        <v/>
      </c>
      <c r="BO2616">
        <f>IF(2603&lt;$U$9,MOD(INT(2603/$U$8),$U$7)+1,1)</f>
        <v/>
      </c>
      <c r="BP2616">
        <f>IF(2603&lt;$U$9,MOD(2603,$U$8)+1,1)</f>
        <v/>
      </c>
      <c r="BQ2616">
        <f>IF(2603&lt;$U$9,SUMPRODUCT(($D$10:$L$10&lt;&gt;"")*(($D$9:$L$9+INT(($S$12:$AA$12+INDEX($AJ$13:$AR$162,BN2616,0)+INDEX($AT$13:$BB$162,BO2616,0)+INDEX($BD$13:$BL$162,BP2616,0))/100))&gt;=$D$10:$L$10)),0)</f>
        <v/>
      </c>
      <c r="BR2616">
        <f>IF(2603&lt;$U$9,SUMPRODUCT(($D$10:$L$10&lt;&gt;"")*(($D$10:$L$10-($D$9:$L$9+INT(($S$12:$AA$12+INDEX($AJ$13:$AR$162,BN2616,0)+INDEX($AT$13:$BB$162,BO2616,0)+INDEX($BD$13:$BL$162,BP2616,0))/100)))&gt;0)*($D$10:$L$10-($D$9:$L$9+INT(($S$12:$AA$12+INDEX($AJ$13:$AR$162,BN2616,0)+INDEX($AT$13:$BB$162,BO2616,0)+INDEX($BD$13:$BL$162,BP2616,0))/100)))),0)</f>
        <v/>
      </c>
      <c r="BS2616">
        <f>IF(2603&lt;$U$9,SUMPRODUCT(($D$9:$L$9+INT(($S$12:$AA$12+INDEX($AJ$13:$AR$162,BN2616,0)+INDEX($AT$13:$BB$162,BO2616,0)+INDEX($BD$13:$BL$162,BP2616,0))/100))),0)</f>
        <v/>
      </c>
      <c r="BT2616">
        <f>IF(AND(2603&lt;$U$9,$W$5),BQ2616*1000000-MIN(BR2616,999)*1000+BS2616-2603/100000,-1000000000-2603)</f>
        <v/>
      </c>
    </row>
    <row r="2617">
      <c r="BN2617">
        <f>IF(2604&lt;$U$9,INT(2604/($U$7*$U$8))+1,1)</f>
        <v/>
      </c>
      <c r="BO2617">
        <f>IF(2604&lt;$U$9,MOD(INT(2604/$U$8),$U$7)+1,1)</f>
        <v/>
      </c>
      <c r="BP2617">
        <f>IF(2604&lt;$U$9,MOD(2604,$U$8)+1,1)</f>
        <v/>
      </c>
      <c r="BQ2617">
        <f>IF(2604&lt;$U$9,SUMPRODUCT(($D$10:$L$10&lt;&gt;"")*(($D$9:$L$9+INT(($S$12:$AA$12+INDEX($AJ$13:$AR$162,BN2617,0)+INDEX($AT$13:$BB$162,BO2617,0)+INDEX($BD$13:$BL$162,BP2617,0))/100))&gt;=$D$10:$L$10)),0)</f>
        <v/>
      </c>
      <c r="BR2617">
        <f>IF(2604&lt;$U$9,SUMPRODUCT(($D$10:$L$10&lt;&gt;"")*(($D$10:$L$10-($D$9:$L$9+INT(($S$12:$AA$12+INDEX($AJ$13:$AR$162,BN2617,0)+INDEX($AT$13:$BB$162,BO2617,0)+INDEX($BD$13:$BL$162,BP2617,0))/100)))&gt;0)*($D$10:$L$10-($D$9:$L$9+INT(($S$12:$AA$12+INDEX($AJ$13:$AR$162,BN2617,0)+INDEX($AT$13:$BB$162,BO2617,0)+INDEX($BD$13:$BL$162,BP2617,0))/100)))),0)</f>
        <v/>
      </c>
      <c r="BS2617">
        <f>IF(2604&lt;$U$9,SUMPRODUCT(($D$9:$L$9+INT(($S$12:$AA$12+INDEX($AJ$13:$AR$162,BN2617,0)+INDEX($AT$13:$BB$162,BO2617,0)+INDEX($BD$13:$BL$162,BP2617,0))/100))),0)</f>
        <v/>
      </c>
      <c r="BT2617">
        <f>IF(AND(2604&lt;$U$9,$W$5),BQ2617*1000000-MIN(BR2617,999)*1000+BS2617-2604/100000,-1000000000-2604)</f>
        <v/>
      </c>
    </row>
    <row r="2618">
      <c r="BN2618">
        <f>IF(2605&lt;$U$9,INT(2605/($U$7*$U$8))+1,1)</f>
        <v/>
      </c>
      <c r="BO2618">
        <f>IF(2605&lt;$U$9,MOD(INT(2605/$U$8),$U$7)+1,1)</f>
        <v/>
      </c>
      <c r="BP2618">
        <f>IF(2605&lt;$U$9,MOD(2605,$U$8)+1,1)</f>
        <v/>
      </c>
      <c r="BQ2618">
        <f>IF(2605&lt;$U$9,SUMPRODUCT(($D$10:$L$10&lt;&gt;"")*(($D$9:$L$9+INT(($S$12:$AA$12+INDEX($AJ$13:$AR$162,BN2618,0)+INDEX($AT$13:$BB$162,BO2618,0)+INDEX($BD$13:$BL$162,BP2618,0))/100))&gt;=$D$10:$L$10)),0)</f>
        <v/>
      </c>
      <c r="BR2618">
        <f>IF(2605&lt;$U$9,SUMPRODUCT(($D$10:$L$10&lt;&gt;"")*(($D$10:$L$10-($D$9:$L$9+INT(($S$12:$AA$12+INDEX($AJ$13:$AR$162,BN2618,0)+INDEX($AT$13:$BB$162,BO2618,0)+INDEX($BD$13:$BL$162,BP2618,0))/100)))&gt;0)*($D$10:$L$10-($D$9:$L$9+INT(($S$12:$AA$12+INDEX($AJ$13:$AR$162,BN2618,0)+INDEX($AT$13:$BB$162,BO2618,0)+INDEX($BD$13:$BL$162,BP2618,0))/100)))),0)</f>
        <v/>
      </c>
      <c r="BS2618">
        <f>IF(2605&lt;$U$9,SUMPRODUCT(($D$9:$L$9+INT(($S$12:$AA$12+INDEX($AJ$13:$AR$162,BN2618,0)+INDEX($AT$13:$BB$162,BO2618,0)+INDEX($BD$13:$BL$162,BP2618,0))/100))),0)</f>
        <v/>
      </c>
      <c r="BT2618">
        <f>IF(AND(2605&lt;$U$9,$W$5),BQ2618*1000000-MIN(BR2618,999)*1000+BS2618-2605/100000,-1000000000-2605)</f>
        <v/>
      </c>
    </row>
    <row r="2619">
      <c r="BN2619">
        <f>IF(2606&lt;$U$9,INT(2606/($U$7*$U$8))+1,1)</f>
        <v/>
      </c>
      <c r="BO2619">
        <f>IF(2606&lt;$U$9,MOD(INT(2606/$U$8),$U$7)+1,1)</f>
        <v/>
      </c>
      <c r="BP2619">
        <f>IF(2606&lt;$U$9,MOD(2606,$U$8)+1,1)</f>
        <v/>
      </c>
      <c r="BQ2619">
        <f>IF(2606&lt;$U$9,SUMPRODUCT(($D$10:$L$10&lt;&gt;"")*(($D$9:$L$9+INT(($S$12:$AA$12+INDEX($AJ$13:$AR$162,BN2619,0)+INDEX($AT$13:$BB$162,BO2619,0)+INDEX($BD$13:$BL$162,BP2619,0))/100))&gt;=$D$10:$L$10)),0)</f>
        <v/>
      </c>
      <c r="BR2619">
        <f>IF(2606&lt;$U$9,SUMPRODUCT(($D$10:$L$10&lt;&gt;"")*(($D$10:$L$10-($D$9:$L$9+INT(($S$12:$AA$12+INDEX($AJ$13:$AR$162,BN2619,0)+INDEX($AT$13:$BB$162,BO2619,0)+INDEX($BD$13:$BL$162,BP2619,0))/100)))&gt;0)*($D$10:$L$10-($D$9:$L$9+INT(($S$12:$AA$12+INDEX($AJ$13:$AR$162,BN2619,0)+INDEX($AT$13:$BB$162,BO2619,0)+INDEX($BD$13:$BL$162,BP2619,0))/100)))),0)</f>
        <v/>
      </c>
      <c r="BS2619">
        <f>IF(2606&lt;$U$9,SUMPRODUCT(($D$9:$L$9+INT(($S$12:$AA$12+INDEX($AJ$13:$AR$162,BN2619,0)+INDEX($AT$13:$BB$162,BO2619,0)+INDEX($BD$13:$BL$162,BP2619,0))/100))),0)</f>
        <v/>
      </c>
      <c r="BT2619">
        <f>IF(AND(2606&lt;$U$9,$W$5),BQ2619*1000000-MIN(BR2619,999)*1000+BS2619-2606/100000,-1000000000-2606)</f>
        <v/>
      </c>
    </row>
    <row r="2620">
      <c r="BN2620">
        <f>IF(2607&lt;$U$9,INT(2607/($U$7*$U$8))+1,1)</f>
        <v/>
      </c>
      <c r="BO2620">
        <f>IF(2607&lt;$U$9,MOD(INT(2607/$U$8),$U$7)+1,1)</f>
        <v/>
      </c>
      <c r="BP2620">
        <f>IF(2607&lt;$U$9,MOD(2607,$U$8)+1,1)</f>
        <v/>
      </c>
      <c r="BQ2620">
        <f>IF(2607&lt;$U$9,SUMPRODUCT(($D$10:$L$10&lt;&gt;"")*(($D$9:$L$9+INT(($S$12:$AA$12+INDEX($AJ$13:$AR$162,BN2620,0)+INDEX($AT$13:$BB$162,BO2620,0)+INDEX($BD$13:$BL$162,BP2620,0))/100))&gt;=$D$10:$L$10)),0)</f>
        <v/>
      </c>
      <c r="BR2620">
        <f>IF(2607&lt;$U$9,SUMPRODUCT(($D$10:$L$10&lt;&gt;"")*(($D$10:$L$10-($D$9:$L$9+INT(($S$12:$AA$12+INDEX($AJ$13:$AR$162,BN2620,0)+INDEX($AT$13:$BB$162,BO2620,0)+INDEX($BD$13:$BL$162,BP2620,0))/100)))&gt;0)*($D$10:$L$10-($D$9:$L$9+INT(($S$12:$AA$12+INDEX($AJ$13:$AR$162,BN2620,0)+INDEX($AT$13:$BB$162,BO2620,0)+INDEX($BD$13:$BL$162,BP2620,0))/100)))),0)</f>
        <v/>
      </c>
      <c r="BS2620">
        <f>IF(2607&lt;$U$9,SUMPRODUCT(($D$9:$L$9+INT(($S$12:$AA$12+INDEX($AJ$13:$AR$162,BN2620,0)+INDEX($AT$13:$BB$162,BO2620,0)+INDEX($BD$13:$BL$162,BP2620,0))/100))),0)</f>
        <v/>
      </c>
      <c r="BT2620">
        <f>IF(AND(2607&lt;$U$9,$W$5),BQ2620*1000000-MIN(BR2620,999)*1000+BS2620-2607/100000,-1000000000-2607)</f>
        <v/>
      </c>
    </row>
    <row r="2621">
      <c r="BN2621">
        <f>IF(2608&lt;$U$9,INT(2608/($U$7*$U$8))+1,1)</f>
        <v/>
      </c>
      <c r="BO2621">
        <f>IF(2608&lt;$U$9,MOD(INT(2608/$U$8),$U$7)+1,1)</f>
        <v/>
      </c>
      <c r="BP2621">
        <f>IF(2608&lt;$U$9,MOD(2608,$U$8)+1,1)</f>
        <v/>
      </c>
      <c r="BQ2621">
        <f>IF(2608&lt;$U$9,SUMPRODUCT(($D$10:$L$10&lt;&gt;"")*(($D$9:$L$9+INT(($S$12:$AA$12+INDEX($AJ$13:$AR$162,BN2621,0)+INDEX($AT$13:$BB$162,BO2621,0)+INDEX($BD$13:$BL$162,BP2621,0))/100))&gt;=$D$10:$L$10)),0)</f>
        <v/>
      </c>
      <c r="BR2621">
        <f>IF(2608&lt;$U$9,SUMPRODUCT(($D$10:$L$10&lt;&gt;"")*(($D$10:$L$10-($D$9:$L$9+INT(($S$12:$AA$12+INDEX($AJ$13:$AR$162,BN2621,0)+INDEX($AT$13:$BB$162,BO2621,0)+INDEX($BD$13:$BL$162,BP2621,0))/100)))&gt;0)*($D$10:$L$10-($D$9:$L$9+INT(($S$12:$AA$12+INDEX($AJ$13:$AR$162,BN2621,0)+INDEX($AT$13:$BB$162,BO2621,0)+INDEX($BD$13:$BL$162,BP2621,0))/100)))),0)</f>
        <v/>
      </c>
      <c r="BS2621">
        <f>IF(2608&lt;$U$9,SUMPRODUCT(($D$9:$L$9+INT(($S$12:$AA$12+INDEX($AJ$13:$AR$162,BN2621,0)+INDEX($AT$13:$BB$162,BO2621,0)+INDEX($BD$13:$BL$162,BP2621,0))/100))),0)</f>
        <v/>
      </c>
      <c r="BT2621">
        <f>IF(AND(2608&lt;$U$9,$W$5),BQ2621*1000000-MIN(BR2621,999)*1000+BS2621-2608/100000,-1000000000-2608)</f>
        <v/>
      </c>
    </row>
    <row r="2622">
      <c r="BN2622">
        <f>IF(2609&lt;$U$9,INT(2609/($U$7*$U$8))+1,1)</f>
        <v/>
      </c>
      <c r="BO2622">
        <f>IF(2609&lt;$U$9,MOD(INT(2609/$U$8),$U$7)+1,1)</f>
        <v/>
      </c>
      <c r="BP2622">
        <f>IF(2609&lt;$U$9,MOD(2609,$U$8)+1,1)</f>
        <v/>
      </c>
      <c r="BQ2622">
        <f>IF(2609&lt;$U$9,SUMPRODUCT(($D$10:$L$10&lt;&gt;"")*(($D$9:$L$9+INT(($S$12:$AA$12+INDEX($AJ$13:$AR$162,BN2622,0)+INDEX($AT$13:$BB$162,BO2622,0)+INDEX($BD$13:$BL$162,BP2622,0))/100))&gt;=$D$10:$L$10)),0)</f>
        <v/>
      </c>
      <c r="BR2622">
        <f>IF(2609&lt;$U$9,SUMPRODUCT(($D$10:$L$10&lt;&gt;"")*(($D$10:$L$10-($D$9:$L$9+INT(($S$12:$AA$12+INDEX($AJ$13:$AR$162,BN2622,0)+INDEX($AT$13:$BB$162,BO2622,0)+INDEX($BD$13:$BL$162,BP2622,0))/100)))&gt;0)*($D$10:$L$10-($D$9:$L$9+INT(($S$12:$AA$12+INDEX($AJ$13:$AR$162,BN2622,0)+INDEX($AT$13:$BB$162,BO2622,0)+INDEX($BD$13:$BL$162,BP2622,0))/100)))),0)</f>
        <v/>
      </c>
      <c r="BS2622">
        <f>IF(2609&lt;$U$9,SUMPRODUCT(($D$9:$L$9+INT(($S$12:$AA$12+INDEX($AJ$13:$AR$162,BN2622,0)+INDEX($AT$13:$BB$162,BO2622,0)+INDEX($BD$13:$BL$162,BP2622,0))/100))),0)</f>
        <v/>
      </c>
      <c r="BT2622">
        <f>IF(AND(2609&lt;$U$9,$W$5),BQ2622*1000000-MIN(BR2622,999)*1000+BS2622-2609/100000,-1000000000-2609)</f>
        <v/>
      </c>
    </row>
    <row r="2623">
      <c r="BN2623">
        <f>IF(2610&lt;$U$9,INT(2610/($U$7*$U$8))+1,1)</f>
        <v/>
      </c>
      <c r="BO2623">
        <f>IF(2610&lt;$U$9,MOD(INT(2610/$U$8),$U$7)+1,1)</f>
        <v/>
      </c>
      <c r="BP2623">
        <f>IF(2610&lt;$U$9,MOD(2610,$U$8)+1,1)</f>
        <v/>
      </c>
      <c r="BQ2623">
        <f>IF(2610&lt;$U$9,SUMPRODUCT(($D$10:$L$10&lt;&gt;"")*(($D$9:$L$9+INT(($S$12:$AA$12+INDEX($AJ$13:$AR$162,BN2623,0)+INDEX($AT$13:$BB$162,BO2623,0)+INDEX($BD$13:$BL$162,BP2623,0))/100))&gt;=$D$10:$L$10)),0)</f>
        <v/>
      </c>
      <c r="BR2623">
        <f>IF(2610&lt;$U$9,SUMPRODUCT(($D$10:$L$10&lt;&gt;"")*(($D$10:$L$10-($D$9:$L$9+INT(($S$12:$AA$12+INDEX($AJ$13:$AR$162,BN2623,0)+INDEX($AT$13:$BB$162,BO2623,0)+INDEX($BD$13:$BL$162,BP2623,0))/100)))&gt;0)*($D$10:$L$10-($D$9:$L$9+INT(($S$12:$AA$12+INDEX($AJ$13:$AR$162,BN2623,0)+INDEX($AT$13:$BB$162,BO2623,0)+INDEX($BD$13:$BL$162,BP2623,0))/100)))),0)</f>
        <v/>
      </c>
      <c r="BS2623">
        <f>IF(2610&lt;$U$9,SUMPRODUCT(($D$9:$L$9+INT(($S$12:$AA$12+INDEX($AJ$13:$AR$162,BN2623,0)+INDEX($AT$13:$BB$162,BO2623,0)+INDEX($BD$13:$BL$162,BP2623,0))/100))),0)</f>
        <v/>
      </c>
      <c r="BT2623">
        <f>IF(AND(2610&lt;$U$9,$W$5),BQ2623*1000000-MIN(BR2623,999)*1000+BS2623-2610/100000,-1000000000-2610)</f>
        <v/>
      </c>
    </row>
    <row r="2624">
      <c r="BN2624">
        <f>IF(2611&lt;$U$9,INT(2611/($U$7*$U$8))+1,1)</f>
        <v/>
      </c>
      <c r="BO2624">
        <f>IF(2611&lt;$U$9,MOD(INT(2611/$U$8),$U$7)+1,1)</f>
        <v/>
      </c>
      <c r="BP2624">
        <f>IF(2611&lt;$U$9,MOD(2611,$U$8)+1,1)</f>
        <v/>
      </c>
      <c r="BQ2624">
        <f>IF(2611&lt;$U$9,SUMPRODUCT(($D$10:$L$10&lt;&gt;"")*(($D$9:$L$9+INT(($S$12:$AA$12+INDEX($AJ$13:$AR$162,BN2624,0)+INDEX($AT$13:$BB$162,BO2624,0)+INDEX($BD$13:$BL$162,BP2624,0))/100))&gt;=$D$10:$L$10)),0)</f>
        <v/>
      </c>
      <c r="BR2624">
        <f>IF(2611&lt;$U$9,SUMPRODUCT(($D$10:$L$10&lt;&gt;"")*(($D$10:$L$10-($D$9:$L$9+INT(($S$12:$AA$12+INDEX($AJ$13:$AR$162,BN2624,0)+INDEX($AT$13:$BB$162,BO2624,0)+INDEX($BD$13:$BL$162,BP2624,0))/100)))&gt;0)*($D$10:$L$10-($D$9:$L$9+INT(($S$12:$AA$12+INDEX($AJ$13:$AR$162,BN2624,0)+INDEX($AT$13:$BB$162,BO2624,0)+INDEX($BD$13:$BL$162,BP2624,0))/100)))),0)</f>
        <v/>
      </c>
      <c r="BS2624">
        <f>IF(2611&lt;$U$9,SUMPRODUCT(($D$9:$L$9+INT(($S$12:$AA$12+INDEX($AJ$13:$AR$162,BN2624,0)+INDEX($AT$13:$BB$162,BO2624,0)+INDEX($BD$13:$BL$162,BP2624,0))/100))),0)</f>
        <v/>
      </c>
      <c r="BT2624">
        <f>IF(AND(2611&lt;$U$9,$W$5),BQ2624*1000000-MIN(BR2624,999)*1000+BS2624-2611/100000,-1000000000-2611)</f>
        <v/>
      </c>
    </row>
    <row r="2625">
      <c r="BN2625">
        <f>IF(2612&lt;$U$9,INT(2612/($U$7*$U$8))+1,1)</f>
        <v/>
      </c>
      <c r="BO2625">
        <f>IF(2612&lt;$U$9,MOD(INT(2612/$U$8),$U$7)+1,1)</f>
        <v/>
      </c>
      <c r="BP2625">
        <f>IF(2612&lt;$U$9,MOD(2612,$U$8)+1,1)</f>
        <v/>
      </c>
      <c r="BQ2625">
        <f>IF(2612&lt;$U$9,SUMPRODUCT(($D$10:$L$10&lt;&gt;"")*(($D$9:$L$9+INT(($S$12:$AA$12+INDEX($AJ$13:$AR$162,BN2625,0)+INDEX($AT$13:$BB$162,BO2625,0)+INDEX($BD$13:$BL$162,BP2625,0))/100))&gt;=$D$10:$L$10)),0)</f>
        <v/>
      </c>
      <c r="BR2625">
        <f>IF(2612&lt;$U$9,SUMPRODUCT(($D$10:$L$10&lt;&gt;"")*(($D$10:$L$10-($D$9:$L$9+INT(($S$12:$AA$12+INDEX($AJ$13:$AR$162,BN2625,0)+INDEX($AT$13:$BB$162,BO2625,0)+INDEX($BD$13:$BL$162,BP2625,0))/100)))&gt;0)*($D$10:$L$10-($D$9:$L$9+INT(($S$12:$AA$12+INDEX($AJ$13:$AR$162,BN2625,0)+INDEX($AT$13:$BB$162,BO2625,0)+INDEX($BD$13:$BL$162,BP2625,0))/100)))),0)</f>
        <v/>
      </c>
      <c r="BS2625">
        <f>IF(2612&lt;$U$9,SUMPRODUCT(($D$9:$L$9+INT(($S$12:$AA$12+INDEX($AJ$13:$AR$162,BN2625,0)+INDEX($AT$13:$BB$162,BO2625,0)+INDEX($BD$13:$BL$162,BP2625,0))/100))),0)</f>
        <v/>
      </c>
      <c r="BT2625">
        <f>IF(AND(2612&lt;$U$9,$W$5),BQ2625*1000000-MIN(BR2625,999)*1000+BS2625-2612/100000,-1000000000-2612)</f>
        <v/>
      </c>
    </row>
    <row r="2626">
      <c r="BN2626">
        <f>IF(2613&lt;$U$9,INT(2613/($U$7*$U$8))+1,1)</f>
        <v/>
      </c>
      <c r="BO2626">
        <f>IF(2613&lt;$U$9,MOD(INT(2613/$U$8),$U$7)+1,1)</f>
        <v/>
      </c>
      <c r="BP2626">
        <f>IF(2613&lt;$U$9,MOD(2613,$U$8)+1,1)</f>
        <v/>
      </c>
      <c r="BQ2626">
        <f>IF(2613&lt;$U$9,SUMPRODUCT(($D$10:$L$10&lt;&gt;"")*(($D$9:$L$9+INT(($S$12:$AA$12+INDEX($AJ$13:$AR$162,BN2626,0)+INDEX($AT$13:$BB$162,BO2626,0)+INDEX($BD$13:$BL$162,BP2626,0))/100))&gt;=$D$10:$L$10)),0)</f>
        <v/>
      </c>
      <c r="BR2626">
        <f>IF(2613&lt;$U$9,SUMPRODUCT(($D$10:$L$10&lt;&gt;"")*(($D$10:$L$10-($D$9:$L$9+INT(($S$12:$AA$12+INDEX($AJ$13:$AR$162,BN2626,0)+INDEX($AT$13:$BB$162,BO2626,0)+INDEX($BD$13:$BL$162,BP2626,0))/100)))&gt;0)*($D$10:$L$10-($D$9:$L$9+INT(($S$12:$AA$12+INDEX($AJ$13:$AR$162,BN2626,0)+INDEX($AT$13:$BB$162,BO2626,0)+INDEX($BD$13:$BL$162,BP2626,0))/100)))),0)</f>
        <v/>
      </c>
      <c r="BS2626">
        <f>IF(2613&lt;$U$9,SUMPRODUCT(($D$9:$L$9+INT(($S$12:$AA$12+INDEX($AJ$13:$AR$162,BN2626,0)+INDEX($AT$13:$BB$162,BO2626,0)+INDEX($BD$13:$BL$162,BP2626,0))/100))),0)</f>
        <v/>
      </c>
      <c r="BT2626">
        <f>IF(AND(2613&lt;$U$9,$W$5),BQ2626*1000000-MIN(BR2626,999)*1000+BS2626-2613/100000,-1000000000-2613)</f>
        <v/>
      </c>
    </row>
    <row r="2627">
      <c r="BN2627">
        <f>IF(2614&lt;$U$9,INT(2614/($U$7*$U$8))+1,1)</f>
        <v/>
      </c>
      <c r="BO2627">
        <f>IF(2614&lt;$U$9,MOD(INT(2614/$U$8),$U$7)+1,1)</f>
        <v/>
      </c>
      <c r="BP2627">
        <f>IF(2614&lt;$U$9,MOD(2614,$U$8)+1,1)</f>
        <v/>
      </c>
      <c r="BQ2627">
        <f>IF(2614&lt;$U$9,SUMPRODUCT(($D$10:$L$10&lt;&gt;"")*(($D$9:$L$9+INT(($S$12:$AA$12+INDEX($AJ$13:$AR$162,BN2627,0)+INDEX($AT$13:$BB$162,BO2627,0)+INDEX($BD$13:$BL$162,BP2627,0))/100))&gt;=$D$10:$L$10)),0)</f>
        <v/>
      </c>
      <c r="BR2627">
        <f>IF(2614&lt;$U$9,SUMPRODUCT(($D$10:$L$10&lt;&gt;"")*(($D$10:$L$10-($D$9:$L$9+INT(($S$12:$AA$12+INDEX($AJ$13:$AR$162,BN2627,0)+INDEX($AT$13:$BB$162,BO2627,0)+INDEX($BD$13:$BL$162,BP2627,0))/100)))&gt;0)*($D$10:$L$10-($D$9:$L$9+INT(($S$12:$AA$12+INDEX($AJ$13:$AR$162,BN2627,0)+INDEX($AT$13:$BB$162,BO2627,0)+INDEX($BD$13:$BL$162,BP2627,0))/100)))),0)</f>
        <v/>
      </c>
      <c r="BS2627">
        <f>IF(2614&lt;$U$9,SUMPRODUCT(($D$9:$L$9+INT(($S$12:$AA$12+INDEX($AJ$13:$AR$162,BN2627,0)+INDEX($AT$13:$BB$162,BO2627,0)+INDEX($BD$13:$BL$162,BP2627,0))/100))),0)</f>
        <v/>
      </c>
      <c r="BT2627">
        <f>IF(AND(2614&lt;$U$9,$W$5),BQ2627*1000000-MIN(BR2627,999)*1000+BS2627-2614/100000,-1000000000-2614)</f>
        <v/>
      </c>
    </row>
    <row r="2628">
      <c r="BN2628">
        <f>IF(2615&lt;$U$9,INT(2615/($U$7*$U$8))+1,1)</f>
        <v/>
      </c>
      <c r="BO2628">
        <f>IF(2615&lt;$U$9,MOD(INT(2615/$U$8),$U$7)+1,1)</f>
        <v/>
      </c>
      <c r="BP2628">
        <f>IF(2615&lt;$U$9,MOD(2615,$U$8)+1,1)</f>
        <v/>
      </c>
      <c r="BQ2628">
        <f>IF(2615&lt;$U$9,SUMPRODUCT(($D$10:$L$10&lt;&gt;"")*(($D$9:$L$9+INT(($S$12:$AA$12+INDEX($AJ$13:$AR$162,BN2628,0)+INDEX($AT$13:$BB$162,BO2628,0)+INDEX($BD$13:$BL$162,BP2628,0))/100))&gt;=$D$10:$L$10)),0)</f>
        <v/>
      </c>
      <c r="BR2628">
        <f>IF(2615&lt;$U$9,SUMPRODUCT(($D$10:$L$10&lt;&gt;"")*(($D$10:$L$10-($D$9:$L$9+INT(($S$12:$AA$12+INDEX($AJ$13:$AR$162,BN2628,0)+INDEX($AT$13:$BB$162,BO2628,0)+INDEX($BD$13:$BL$162,BP2628,0))/100)))&gt;0)*($D$10:$L$10-($D$9:$L$9+INT(($S$12:$AA$12+INDEX($AJ$13:$AR$162,BN2628,0)+INDEX($AT$13:$BB$162,BO2628,0)+INDEX($BD$13:$BL$162,BP2628,0))/100)))),0)</f>
        <v/>
      </c>
      <c r="BS2628">
        <f>IF(2615&lt;$U$9,SUMPRODUCT(($D$9:$L$9+INT(($S$12:$AA$12+INDEX($AJ$13:$AR$162,BN2628,0)+INDEX($AT$13:$BB$162,BO2628,0)+INDEX($BD$13:$BL$162,BP2628,0))/100))),0)</f>
        <v/>
      </c>
      <c r="BT2628">
        <f>IF(AND(2615&lt;$U$9,$W$5),BQ2628*1000000-MIN(BR2628,999)*1000+BS2628-2615/100000,-1000000000-2615)</f>
        <v/>
      </c>
    </row>
    <row r="2629">
      <c r="BN2629">
        <f>IF(2616&lt;$U$9,INT(2616/($U$7*$U$8))+1,1)</f>
        <v/>
      </c>
      <c r="BO2629">
        <f>IF(2616&lt;$U$9,MOD(INT(2616/$U$8),$U$7)+1,1)</f>
        <v/>
      </c>
      <c r="BP2629">
        <f>IF(2616&lt;$U$9,MOD(2616,$U$8)+1,1)</f>
        <v/>
      </c>
      <c r="BQ2629">
        <f>IF(2616&lt;$U$9,SUMPRODUCT(($D$10:$L$10&lt;&gt;"")*(($D$9:$L$9+INT(($S$12:$AA$12+INDEX($AJ$13:$AR$162,BN2629,0)+INDEX($AT$13:$BB$162,BO2629,0)+INDEX($BD$13:$BL$162,BP2629,0))/100))&gt;=$D$10:$L$10)),0)</f>
        <v/>
      </c>
      <c r="BR2629">
        <f>IF(2616&lt;$U$9,SUMPRODUCT(($D$10:$L$10&lt;&gt;"")*(($D$10:$L$10-($D$9:$L$9+INT(($S$12:$AA$12+INDEX($AJ$13:$AR$162,BN2629,0)+INDEX($AT$13:$BB$162,BO2629,0)+INDEX($BD$13:$BL$162,BP2629,0))/100)))&gt;0)*($D$10:$L$10-($D$9:$L$9+INT(($S$12:$AA$12+INDEX($AJ$13:$AR$162,BN2629,0)+INDEX($AT$13:$BB$162,BO2629,0)+INDEX($BD$13:$BL$162,BP2629,0))/100)))),0)</f>
        <v/>
      </c>
      <c r="BS2629">
        <f>IF(2616&lt;$U$9,SUMPRODUCT(($D$9:$L$9+INT(($S$12:$AA$12+INDEX($AJ$13:$AR$162,BN2629,0)+INDEX($AT$13:$BB$162,BO2629,0)+INDEX($BD$13:$BL$162,BP2629,0))/100))),0)</f>
        <v/>
      </c>
      <c r="BT2629">
        <f>IF(AND(2616&lt;$U$9,$W$5),BQ2629*1000000-MIN(BR2629,999)*1000+BS2629-2616/100000,-1000000000-2616)</f>
        <v/>
      </c>
    </row>
    <row r="2630">
      <c r="BN2630">
        <f>IF(2617&lt;$U$9,INT(2617/($U$7*$U$8))+1,1)</f>
        <v/>
      </c>
      <c r="BO2630">
        <f>IF(2617&lt;$U$9,MOD(INT(2617/$U$8),$U$7)+1,1)</f>
        <v/>
      </c>
      <c r="BP2630">
        <f>IF(2617&lt;$U$9,MOD(2617,$U$8)+1,1)</f>
        <v/>
      </c>
      <c r="BQ2630">
        <f>IF(2617&lt;$U$9,SUMPRODUCT(($D$10:$L$10&lt;&gt;"")*(($D$9:$L$9+INT(($S$12:$AA$12+INDEX($AJ$13:$AR$162,BN2630,0)+INDEX($AT$13:$BB$162,BO2630,0)+INDEX($BD$13:$BL$162,BP2630,0))/100))&gt;=$D$10:$L$10)),0)</f>
        <v/>
      </c>
      <c r="BR2630">
        <f>IF(2617&lt;$U$9,SUMPRODUCT(($D$10:$L$10&lt;&gt;"")*(($D$10:$L$10-($D$9:$L$9+INT(($S$12:$AA$12+INDEX($AJ$13:$AR$162,BN2630,0)+INDEX($AT$13:$BB$162,BO2630,0)+INDEX($BD$13:$BL$162,BP2630,0))/100)))&gt;0)*($D$10:$L$10-($D$9:$L$9+INT(($S$12:$AA$12+INDEX($AJ$13:$AR$162,BN2630,0)+INDEX($AT$13:$BB$162,BO2630,0)+INDEX($BD$13:$BL$162,BP2630,0))/100)))),0)</f>
        <v/>
      </c>
      <c r="BS2630">
        <f>IF(2617&lt;$U$9,SUMPRODUCT(($D$9:$L$9+INT(($S$12:$AA$12+INDEX($AJ$13:$AR$162,BN2630,0)+INDEX($AT$13:$BB$162,BO2630,0)+INDEX($BD$13:$BL$162,BP2630,0))/100))),0)</f>
        <v/>
      </c>
      <c r="BT2630">
        <f>IF(AND(2617&lt;$U$9,$W$5),BQ2630*1000000-MIN(BR2630,999)*1000+BS2630-2617/100000,-1000000000-2617)</f>
        <v/>
      </c>
    </row>
    <row r="2631">
      <c r="BN2631">
        <f>IF(2618&lt;$U$9,INT(2618/($U$7*$U$8))+1,1)</f>
        <v/>
      </c>
      <c r="BO2631">
        <f>IF(2618&lt;$U$9,MOD(INT(2618/$U$8),$U$7)+1,1)</f>
        <v/>
      </c>
      <c r="BP2631">
        <f>IF(2618&lt;$U$9,MOD(2618,$U$8)+1,1)</f>
        <v/>
      </c>
      <c r="BQ2631">
        <f>IF(2618&lt;$U$9,SUMPRODUCT(($D$10:$L$10&lt;&gt;"")*(($D$9:$L$9+INT(($S$12:$AA$12+INDEX($AJ$13:$AR$162,BN2631,0)+INDEX($AT$13:$BB$162,BO2631,0)+INDEX($BD$13:$BL$162,BP2631,0))/100))&gt;=$D$10:$L$10)),0)</f>
        <v/>
      </c>
      <c r="BR2631">
        <f>IF(2618&lt;$U$9,SUMPRODUCT(($D$10:$L$10&lt;&gt;"")*(($D$10:$L$10-($D$9:$L$9+INT(($S$12:$AA$12+INDEX($AJ$13:$AR$162,BN2631,0)+INDEX($AT$13:$BB$162,BO2631,0)+INDEX($BD$13:$BL$162,BP2631,0))/100)))&gt;0)*($D$10:$L$10-($D$9:$L$9+INT(($S$12:$AA$12+INDEX($AJ$13:$AR$162,BN2631,0)+INDEX($AT$13:$BB$162,BO2631,0)+INDEX($BD$13:$BL$162,BP2631,0))/100)))),0)</f>
        <v/>
      </c>
      <c r="BS2631">
        <f>IF(2618&lt;$U$9,SUMPRODUCT(($D$9:$L$9+INT(($S$12:$AA$12+INDEX($AJ$13:$AR$162,BN2631,0)+INDEX($AT$13:$BB$162,BO2631,0)+INDEX($BD$13:$BL$162,BP2631,0))/100))),0)</f>
        <v/>
      </c>
      <c r="BT2631">
        <f>IF(AND(2618&lt;$U$9,$W$5),BQ2631*1000000-MIN(BR2631,999)*1000+BS2631-2618/100000,-1000000000-2618)</f>
        <v/>
      </c>
    </row>
    <row r="2632">
      <c r="BN2632">
        <f>IF(2619&lt;$U$9,INT(2619/($U$7*$U$8))+1,1)</f>
        <v/>
      </c>
      <c r="BO2632">
        <f>IF(2619&lt;$U$9,MOD(INT(2619/$U$8),$U$7)+1,1)</f>
        <v/>
      </c>
      <c r="BP2632">
        <f>IF(2619&lt;$U$9,MOD(2619,$U$8)+1,1)</f>
        <v/>
      </c>
      <c r="BQ2632">
        <f>IF(2619&lt;$U$9,SUMPRODUCT(($D$10:$L$10&lt;&gt;"")*(($D$9:$L$9+INT(($S$12:$AA$12+INDEX($AJ$13:$AR$162,BN2632,0)+INDEX($AT$13:$BB$162,BO2632,0)+INDEX($BD$13:$BL$162,BP2632,0))/100))&gt;=$D$10:$L$10)),0)</f>
        <v/>
      </c>
      <c r="BR2632">
        <f>IF(2619&lt;$U$9,SUMPRODUCT(($D$10:$L$10&lt;&gt;"")*(($D$10:$L$10-($D$9:$L$9+INT(($S$12:$AA$12+INDEX($AJ$13:$AR$162,BN2632,0)+INDEX($AT$13:$BB$162,BO2632,0)+INDEX($BD$13:$BL$162,BP2632,0))/100)))&gt;0)*($D$10:$L$10-($D$9:$L$9+INT(($S$12:$AA$12+INDEX($AJ$13:$AR$162,BN2632,0)+INDEX($AT$13:$BB$162,BO2632,0)+INDEX($BD$13:$BL$162,BP2632,0))/100)))),0)</f>
        <v/>
      </c>
      <c r="BS2632">
        <f>IF(2619&lt;$U$9,SUMPRODUCT(($D$9:$L$9+INT(($S$12:$AA$12+INDEX($AJ$13:$AR$162,BN2632,0)+INDEX($AT$13:$BB$162,BO2632,0)+INDEX($BD$13:$BL$162,BP2632,0))/100))),0)</f>
        <v/>
      </c>
      <c r="BT2632">
        <f>IF(AND(2619&lt;$U$9,$W$5),BQ2632*1000000-MIN(BR2632,999)*1000+BS2632-2619/100000,-1000000000-2619)</f>
        <v/>
      </c>
    </row>
    <row r="2633">
      <c r="BN2633">
        <f>IF(2620&lt;$U$9,INT(2620/($U$7*$U$8))+1,1)</f>
        <v/>
      </c>
      <c r="BO2633">
        <f>IF(2620&lt;$U$9,MOD(INT(2620/$U$8),$U$7)+1,1)</f>
        <v/>
      </c>
      <c r="BP2633">
        <f>IF(2620&lt;$U$9,MOD(2620,$U$8)+1,1)</f>
        <v/>
      </c>
      <c r="BQ2633">
        <f>IF(2620&lt;$U$9,SUMPRODUCT(($D$10:$L$10&lt;&gt;"")*(($D$9:$L$9+INT(($S$12:$AA$12+INDEX($AJ$13:$AR$162,BN2633,0)+INDEX($AT$13:$BB$162,BO2633,0)+INDEX($BD$13:$BL$162,BP2633,0))/100))&gt;=$D$10:$L$10)),0)</f>
        <v/>
      </c>
      <c r="BR2633">
        <f>IF(2620&lt;$U$9,SUMPRODUCT(($D$10:$L$10&lt;&gt;"")*(($D$10:$L$10-($D$9:$L$9+INT(($S$12:$AA$12+INDEX($AJ$13:$AR$162,BN2633,0)+INDEX($AT$13:$BB$162,BO2633,0)+INDEX($BD$13:$BL$162,BP2633,0))/100)))&gt;0)*($D$10:$L$10-($D$9:$L$9+INT(($S$12:$AA$12+INDEX($AJ$13:$AR$162,BN2633,0)+INDEX($AT$13:$BB$162,BO2633,0)+INDEX($BD$13:$BL$162,BP2633,0))/100)))),0)</f>
        <v/>
      </c>
      <c r="BS2633">
        <f>IF(2620&lt;$U$9,SUMPRODUCT(($D$9:$L$9+INT(($S$12:$AA$12+INDEX($AJ$13:$AR$162,BN2633,0)+INDEX($AT$13:$BB$162,BO2633,0)+INDEX($BD$13:$BL$162,BP2633,0))/100))),0)</f>
        <v/>
      </c>
      <c r="BT2633">
        <f>IF(AND(2620&lt;$U$9,$W$5),BQ2633*1000000-MIN(BR2633,999)*1000+BS2633-2620/100000,-1000000000-2620)</f>
        <v/>
      </c>
    </row>
    <row r="2634">
      <c r="BN2634">
        <f>IF(2621&lt;$U$9,INT(2621/($U$7*$U$8))+1,1)</f>
        <v/>
      </c>
      <c r="BO2634">
        <f>IF(2621&lt;$U$9,MOD(INT(2621/$U$8),$U$7)+1,1)</f>
        <v/>
      </c>
      <c r="BP2634">
        <f>IF(2621&lt;$U$9,MOD(2621,$U$8)+1,1)</f>
        <v/>
      </c>
      <c r="BQ2634">
        <f>IF(2621&lt;$U$9,SUMPRODUCT(($D$10:$L$10&lt;&gt;"")*(($D$9:$L$9+INT(($S$12:$AA$12+INDEX($AJ$13:$AR$162,BN2634,0)+INDEX($AT$13:$BB$162,BO2634,0)+INDEX($BD$13:$BL$162,BP2634,0))/100))&gt;=$D$10:$L$10)),0)</f>
        <v/>
      </c>
      <c r="BR2634">
        <f>IF(2621&lt;$U$9,SUMPRODUCT(($D$10:$L$10&lt;&gt;"")*(($D$10:$L$10-($D$9:$L$9+INT(($S$12:$AA$12+INDEX($AJ$13:$AR$162,BN2634,0)+INDEX($AT$13:$BB$162,BO2634,0)+INDEX($BD$13:$BL$162,BP2634,0))/100)))&gt;0)*($D$10:$L$10-($D$9:$L$9+INT(($S$12:$AA$12+INDEX($AJ$13:$AR$162,BN2634,0)+INDEX($AT$13:$BB$162,BO2634,0)+INDEX($BD$13:$BL$162,BP2634,0))/100)))),0)</f>
        <v/>
      </c>
      <c r="BS2634">
        <f>IF(2621&lt;$U$9,SUMPRODUCT(($D$9:$L$9+INT(($S$12:$AA$12+INDEX($AJ$13:$AR$162,BN2634,0)+INDEX($AT$13:$BB$162,BO2634,0)+INDEX($BD$13:$BL$162,BP2634,0))/100))),0)</f>
        <v/>
      </c>
      <c r="BT2634">
        <f>IF(AND(2621&lt;$U$9,$W$5),BQ2634*1000000-MIN(BR2634,999)*1000+BS2634-2621/100000,-1000000000-2621)</f>
        <v/>
      </c>
    </row>
    <row r="2635">
      <c r="BN2635">
        <f>IF(2622&lt;$U$9,INT(2622/($U$7*$U$8))+1,1)</f>
        <v/>
      </c>
      <c r="BO2635">
        <f>IF(2622&lt;$U$9,MOD(INT(2622/$U$8),$U$7)+1,1)</f>
        <v/>
      </c>
      <c r="BP2635">
        <f>IF(2622&lt;$U$9,MOD(2622,$U$8)+1,1)</f>
        <v/>
      </c>
      <c r="BQ2635">
        <f>IF(2622&lt;$U$9,SUMPRODUCT(($D$10:$L$10&lt;&gt;"")*(($D$9:$L$9+INT(($S$12:$AA$12+INDEX($AJ$13:$AR$162,BN2635,0)+INDEX($AT$13:$BB$162,BO2635,0)+INDEX($BD$13:$BL$162,BP2635,0))/100))&gt;=$D$10:$L$10)),0)</f>
        <v/>
      </c>
      <c r="BR2635">
        <f>IF(2622&lt;$U$9,SUMPRODUCT(($D$10:$L$10&lt;&gt;"")*(($D$10:$L$10-($D$9:$L$9+INT(($S$12:$AA$12+INDEX($AJ$13:$AR$162,BN2635,0)+INDEX($AT$13:$BB$162,BO2635,0)+INDEX($BD$13:$BL$162,BP2635,0))/100)))&gt;0)*($D$10:$L$10-($D$9:$L$9+INT(($S$12:$AA$12+INDEX($AJ$13:$AR$162,BN2635,0)+INDEX($AT$13:$BB$162,BO2635,0)+INDEX($BD$13:$BL$162,BP2635,0))/100)))),0)</f>
        <v/>
      </c>
      <c r="BS2635">
        <f>IF(2622&lt;$U$9,SUMPRODUCT(($D$9:$L$9+INT(($S$12:$AA$12+INDEX($AJ$13:$AR$162,BN2635,0)+INDEX($AT$13:$BB$162,BO2635,0)+INDEX($BD$13:$BL$162,BP2635,0))/100))),0)</f>
        <v/>
      </c>
      <c r="BT2635">
        <f>IF(AND(2622&lt;$U$9,$W$5),BQ2635*1000000-MIN(BR2635,999)*1000+BS2635-2622/100000,-1000000000-2622)</f>
        <v/>
      </c>
    </row>
    <row r="2636">
      <c r="BN2636">
        <f>IF(2623&lt;$U$9,INT(2623/($U$7*$U$8))+1,1)</f>
        <v/>
      </c>
      <c r="BO2636">
        <f>IF(2623&lt;$U$9,MOD(INT(2623/$U$8),$U$7)+1,1)</f>
        <v/>
      </c>
      <c r="BP2636">
        <f>IF(2623&lt;$U$9,MOD(2623,$U$8)+1,1)</f>
        <v/>
      </c>
      <c r="BQ2636">
        <f>IF(2623&lt;$U$9,SUMPRODUCT(($D$10:$L$10&lt;&gt;"")*(($D$9:$L$9+INT(($S$12:$AA$12+INDEX($AJ$13:$AR$162,BN2636,0)+INDEX($AT$13:$BB$162,BO2636,0)+INDEX($BD$13:$BL$162,BP2636,0))/100))&gt;=$D$10:$L$10)),0)</f>
        <v/>
      </c>
      <c r="BR2636">
        <f>IF(2623&lt;$U$9,SUMPRODUCT(($D$10:$L$10&lt;&gt;"")*(($D$10:$L$10-($D$9:$L$9+INT(($S$12:$AA$12+INDEX($AJ$13:$AR$162,BN2636,0)+INDEX($AT$13:$BB$162,BO2636,0)+INDEX($BD$13:$BL$162,BP2636,0))/100)))&gt;0)*($D$10:$L$10-($D$9:$L$9+INT(($S$12:$AA$12+INDEX($AJ$13:$AR$162,BN2636,0)+INDEX($AT$13:$BB$162,BO2636,0)+INDEX($BD$13:$BL$162,BP2636,0))/100)))),0)</f>
        <v/>
      </c>
      <c r="BS2636">
        <f>IF(2623&lt;$U$9,SUMPRODUCT(($D$9:$L$9+INT(($S$12:$AA$12+INDEX($AJ$13:$AR$162,BN2636,0)+INDEX($AT$13:$BB$162,BO2636,0)+INDEX($BD$13:$BL$162,BP2636,0))/100))),0)</f>
        <v/>
      </c>
      <c r="BT2636">
        <f>IF(AND(2623&lt;$U$9,$W$5),BQ2636*1000000-MIN(BR2636,999)*1000+BS2636-2623/100000,-1000000000-2623)</f>
        <v/>
      </c>
    </row>
    <row r="2637">
      <c r="BN2637">
        <f>IF(2624&lt;$U$9,INT(2624/($U$7*$U$8))+1,1)</f>
        <v/>
      </c>
      <c r="BO2637">
        <f>IF(2624&lt;$U$9,MOD(INT(2624/$U$8),$U$7)+1,1)</f>
        <v/>
      </c>
      <c r="BP2637">
        <f>IF(2624&lt;$U$9,MOD(2624,$U$8)+1,1)</f>
        <v/>
      </c>
      <c r="BQ2637">
        <f>IF(2624&lt;$U$9,SUMPRODUCT(($D$10:$L$10&lt;&gt;"")*(($D$9:$L$9+INT(($S$12:$AA$12+INDEX($AJ$13:$AR$162,BN2637,0)+INDEX($AT$13:$BB$162,BO2637,0)+INDEX($BD$13:$BL$162,BP2637,0))/100))&gt;=$D$10:$L$10)),0)</f>
        <v/>
      </c>
      <c r="BR2637">
        <f>IF(2624&lt;$U$9,SUMPRODUCT(($D$10:$L$10&lt;&gt;"")*(($D$10:$L$10-($D$9:$L$9+INT(($S$12:$AA$12+INDEX($AJ$13:$AR$162,BN2637,0)+INDEX($AT$13:$BB$162,BO2637,0)+INDEX($BD$13:$BL$162,BP2637,0))/100)))&gt;0)*($D$10:$L$10-($D$9:$L$9+INT(($S$12:$AA$12+INDEX($AJ$13:$AR$162,BN2637,0)+INDEX($AT$13:$BB$162,BO2637,0)+INDEX($BD$13:$BL$162,BP2637,0))/100)))),0)</f>
        <v/>
      </c>
      <c r="BS2637">
        <f>IF(2624&lt;$U$9,SUMPRODUCT(($D$9:$L$9+INT(($S$12:$AA$12+INDEX($AJ$13:$AR$162,BN2637,0)+INDEX($AT$13:$BB$162,BO2637,0)+INDEX($BD$13:$BL$162,BP2637,0))/100))),0)</f>
        <v/>
      </c>
      <c r="BT2637">
        <f>IF(AND(2624&lt;$U$9,$W$5),BQ2637*1000000-MIN(BR2637,999)*1000+BS2637-2624/100000,-1000000000-2624)</f>
        <v/>
      </c>
    </row>
    <row r="2638">
      <c r="BN2638">
        <f>IF(2625&lt;$U$9,INT(2625/($U$7*$U$8))+1,1)</f>
        <v/>
      </c>
      <c r="BO2638">
        <f>IF(2625&lt;$U$9,MOD(INT(2625/$U$8),$U$7)+1,1)</f>
        <v/>
      </c>
      <c r="BP2638">
        <f>IF(2625&lt;$U$9,MOD(2625,$U$8)+1,1)</f>
        <v/>
      </c>
      <c r="BQ2638">
        <f>IF(2625&lt;$U$9,SUMPRODUCT(($D$10:$L$10&lt;&gt;"")*(($D$9:$L$9+INT(($S$12:$AA$12+INDEX($AJ$13:$AR$162,BN2638,0)+INDEX($AT$13:$BB$162,BO2638,0)+INDEX($BD$13:$BL$162,BP2638,0))/100))&gt;=$D$10:$L$10)),0)</f>
        <v/>
      </c>
      <c r="BR2638">
        <f>IF(2625&lt;$U$9,SUMPRODUCT(($D$10:$L$10&lt;&gt;"")*(($D$10:$L$10-($D$9:$L$9+INT(($S$12:$AA$12+INDEX($AJ$13:$AR$162,BN2638,0)+INDEX($AT$13:$BB$162,BO2638,0)+INDEX($BD$13:$BL$162,BP2638,0))/100)))&gt;0)*($D$10:$L$10-($D$9:$L$9+INT(($S$12:$AA$12+INDEX($AJ$13:$AR$162,BN2638,0)+INDEX($AT$13:$BB$162,BO2638,0)+INDEX($BD$13:$BL$162,BP2638,0))/100)))),0)</f>
        <v/>
      </c>
      <c r="BS2638">
        <f>IF(2625&lt;$U$9,SUMPRODUCT(($D$9:$L$9+INT(($S$12:$AA$12+INDEX($AJ$13:$AR$162,BN2638,0)+INDEX($AT$13:$BB$162,BO2638,0)+INDEX($BD$13:$BL$162,BP2638,0))/100))),0)</f>
        <v/>
      </c>
      <c r="BT2638">
        <f>IF(AND(2625&lt;$U$9,$W$5),BQ2638*1000000-MIN(BR2638,999)*1000+BS2638-2625/100000,-1000000000-2625)</f>
        <v/>
      </c>
    </row>
    <row r="2639">
      <c r="BN2639">
        <f>IF(2626&lt;$U$9,INT(2626/($U$7*$U$8))+1,1)</f>
        <v/>
      </c>
      <c r="BO2639">
        <f>IF(2626&lt;$U$9,MOD(INT(2626/$U$8),$U$7)+1,1)</f>
        <v/>
      </c>
      <c r="BP2639">
        <f>IF(2626&lt;$U$9,MOD(2626,$U$8)+1,1)</f>
        <v/>
      </c>
      <c r="BQ2639">
        <f>IF(2626&lt;$U$9,SUMPRODUCT(($D$10:$L$10&lt;&gt;"")*(($D$9:$L$9+INT(($S$12:$AA$12+INDEX($AJ$13:$AR$162,BN2639,0)+INDEX($AT$13:$BB$162,BO2639,0)+INDEX($BD$13:$BL$162,BP2639,0))/100))&gt;=$D$10:$L$10)),0)</f>
        <v/>
      </c>
      <c r="BR2639">
        <f>IF(2626&lt;$U$9,SUMPRODUCT(($D$10:$L$10&lt;&gt;"")*(($D$10:$L$10-($D$9:$L$9+INT(($S$12:$AA$12+INDEX($AJ$13:$AR$162,BN2639,0)+INDEX($AT$13:$BB$162,BO2639,0)+INDEX($BD$13:$BL$162,BP2639,0))/100)))&gt;0)*($D$10:$L$10-($D$9:$L$9+INT(($S$12:$AA$12+INDEX($AJ$13:$AR$162,BN2639,0)+INDEX($AT$13:$BB$162,BO2639,0)+INDEX($BD$13:$BL$162,BP2639,0))/100)))),0)</f>
        <v/>
      </c>
      <c r="BS2639">
        <f>IF(2626&lt;$U$9,SUMPRODUCT(($D$9:$L$9+INT(($S$12:$AA$12+INDEX($AJ$13:$AR$162,BN2639,0)+INDEX($AT$13:$BB$162,BO2639,0)+INDEX($BD$13:$BL$162,BP2639,0))/100))),0)</f>
        <v/>
      </c>
      <c r="BT2639">
        <f>IF(AND(2626&lt;$U$9,$W$5),BQ2639*1000000-MIN(BR2639,999)*1000+BS2639-2626/100000,-1000000000-2626)</f>
        <v/>
      </c>
    </row>
    <row r="2640">
      <c r="BN2640">
        <f>IF(2627&lt;$U$9,INT(2627/($U$7*$U$8))+1,1)</f>
        <v/>
      </c>
      <c r="BO2640">
        <f>IF(2627&lt;$U$9,MOD(INT(2627/$U$8),$U$7)+1,1)</f>
        <v/>
      </c>
      <c r="BP2640">
        <f>IF(2627&lt;$U$9,MOD(2627,$U$8)+1,1)</f>
        <v/>
      </c>
      <c r="BQ2640">
        <f>IF(2627&lt;$U$9,SUMPRODUCT(($D$10:$L$10&lt;&gt;"")*(($D$9:$L$9+INT(($S$12:$AA$12+INDEX($AJ$13:$AR$162,BN2640,0)+INDEX($AT$13:$BB$162,BO2640,0)+INDEX($BD$13:$BL$162,BP2640,0))/100))&gt;=$D$10:$L$10)),0)</f>
        <v/>
      </c>
      <c r="BR2640">
        <f>IF(2627&lt;$U$9,SUMPRODUCT(($D$10:$L$10&lt;&gt;"")*(($D$10:$L$10-($D$9:$L$9+INT(($S$12:$AA$12+INDEX($AJ$13:$AR$162,BN2640,0)+INDEX($AT$13:$BB$162,BO2640,0)+INDEX($BD$13:$BL$162,BP2640,0))/100)))&gt;0)*($D$10:$L$10-($D$9:$L$9+INT(($S$12:$AA$12+INDEX($AJ$13:$AR$162,BN2640,0)+INDEX($AT$13:$BB$162,BO2640,0)+INDEX($BD$13:$BL$162,BP2640,0))/100)))),0)</f>
        <v/>
      </c>
      <c r="BS2640">
        <f>IF(2627&lt;$U$9,SUMPRODUCT(($D$9:$L$9+INT(($S$12:$AA$12+INDEX($AJ$13:$AR$162,BN2640,0)+INDEX($AT$13:$BB$162,BO2640,0)+INDEX($BD$13:$BL$162,BP2640,0))/100))),0)</f>
        <v/>
      </c>
      <c r="BT2640">
        <f>IF(AND(2627&lt;$U$9,$W$5),BQ2640*1000000-MIN(BR2640,999)*1000+BS2640-2627/100000,-1000000000-2627)</f>
        <v/>
      </c>
    </row>
    <row r="2641">
      <c r="BN2641">
        <f>IF(2628&lt;$U$9,INT(2628/($U$7*$U$8))+1,1)</f>
        <v/>
      </c>
      <c r="BO2641">
        <f>IF(2628&lt;$U$9,MOD(INT(2628/$U$8),$U$7)+1,1)</f>
        <v/>
      </c>
      <c r="BP2641">
        <f>IF(2628&lt;$U$9,MOD(2628,$U$8)+1,1)</f>
        <v/>
      </c>
      <c r="BQ2641">
        <f>IF(2628&lt;$U$9,SUMPRODUCT(($D$10:$L$10&lt;&gt;"")*(($D$9:$L$9+INT(($S$12:$AA$12+INDEX($AJ$13:$AR$162,BN2641,0)+INDEX($AT$13:$BB$162,BO2641,0)+INDEX($BD$13:$BL$162,BP2641,0))/100))&gt;=$D$10:$L$10)),0)</f>
        <v/>
      </c>
      <c r="BR2641">
        <f>IF(2628&lt;$U$9,SUMPRODUCT(($D$10:$L$10&lt;&gt;"")*(($D$10:$L$10-($D$9:$L$9+INT(($S$12:$AA$12+INDEX($AJ$13:$AR$162,BN2641,0)+INDEX($AT$13:$BB$162,BO2641,0)+INDEX($BD$13:$BL$162,BP2641,0))/100)))&gt;0)*($D$10:$L$10-($D$9:$L$9+INT(($S$12:$AA$12+INDEX($AJ$13:$AR$162,BN2641,0)+INDEX($AT$13:$BB$162,BO2641,0)+INDEX($BD$13:$BL$162,BP2641,0))/100)))),0)</f>
        <v/>
      </c>
      <c r="BS2641">
        <f>IF(2628&lt;$U$9,SUMPRODUCT(($D$9:$L$9+INT(($S$12:$AA$12+INDEX($AJ$13:$AR$162,BN2641,0)+INDEX($AT$13:$BB$162,BO2641,0)+INDEX($BD$13:$BL$162,BP2641,0))/100))),0)</f>
        <v/>
      </c>
      <c r="BT2641">
        <f>IF(AND(2628&lt;$U$9,$W$5),BQ2641*1000000-MIN(BR2641,999)*1000+BS2641-2628/100000,-1000000000-2628)</f>
        <v/>
      </c>
    </row>
    <row r="2642">
      <c r="BN2642">
        <f>IF(2629&lt;$U$9,INT(2629/($U$7*$U$8))+1,1)</f>
        <v/>
      </c>
      <c r="BO2642">
        <f>IF(2629&lt;$U$9,MOD(INT(2629/$U$8),$U$7)+1,1)</f>
        <v/>
      </c>
      <c r="BP2642">
        <f>IF(2629&lt;$U$9,MOD(2629,$U$8)+1,1)</f>
        <v/>
      </c>
      <c r="BQ2642">
        <f>IF(2629&lt;$U$9,SUMPRODUCT(($D$10:$L$10&lt;&gt;"")*(($D$9:$L$9+INT(($S$12:$AA$12+INDEX($AJ$13:$AR$162,BN2642,0)+INDEX($AT$13:$BB$162,BO2642,0)+INDEX($BD$13:$BL$162,BP2642,0))/100))&gt;=$D$10:$L$10)),0)</f>
        <v/>
      </c>
      <c r="BR2642">
        <f>IF(2629&lt;$U$9,SUMPRODUCT(($D$10:$L$10&lt;&gt;"")*(($D$10:$L$10-($D$9:$L$9+INT(($S$12:$AA$12+INDEX($AJ$13:$AR$162,BN2642,0)+INDEX($AT$13:$BB$162,BO2642,0)+INDEX($BD$13:$BL$162,BP2642,0))/100)))&gt;0)*($D$10:$L$10-($D$9:$L$9+INT(($S$12:$AA$12+INDEX($AJ$13:$AR$162,BN2642,0)+INDEX($AT$13:$BB$162,BO2642,0)+INDEX($BD$13:$BL$162,BP2642,0))/100)))),0)</f>
        <v/>
      </c>
      <c r="BS2642">
        <f>IF(2629&lt;$U$9,SUMPRODUCT(($D$9:$L$9+INT(($S$12:$AA$12+INDEX($AJ$13:$AR$162,BN2642,0)+INDEX($AT$13:$BB$162,BO2642,0)+INDEX($BD$13:$BL$162,BP2642,0))/100))),0)</f>
        <v/>
      </c>
      <c r="BT2642">
        <f>IF(AND(2629&lt;$U$9,$W$5),BQ2642*1000000-MIN(BR2642,999)*1000+BS2642-2629/100000,-1000000000-2629)</f>
        <v/>
      </c>
    </row>
    <row r="2643">
      <c r="BN2643">
        <f>IF(2630&lt;$U$9,INT(2630/($U$7*$U$8))+1,1)</f>
        <v/>
      </c>
      <c r="BO2643">
        <f>IF(2630&lt;$U$9,MOD(INT(2630/$U$8),$U$7)+1,1)</f>
        <v/>
      </c>
      <c r="BP2643">
        <f>IF(2630&lt;$U$9,MOD(2630,$U$8)+1,1)</f>
        <v/>
      </c>
      <c r="BQ2643">
        <f>IF(2630&lt;$U$9,SUMPRODUCT(($D$10:$L$10&lt;&gt;"")*(($D$9:$L$9+INT(($S$12:$AA$12+INDEX($AJ$13:$AR$162,BN2643,0)+INDEX($AT$13:$BB$162,BO2643,0)+INDEX($BD$13:$BL$162,BP2643,0))/100))&gt;=$D$10:$L$10)),0)</f>
        <v/>
      </c>
      <c r="BR2643">
        <f>IF(2630&lt;$U$9,SUMPRODUCT(($D$10:$L$10&lt;&gt;"")*(($D$10:$L$10-($D$9:$L$9+INT(($S$12:$AA$12+INDEX($AJ$13:$AR$162,BN2643,0)+INDEX($AT$13:$BB$162,BO2643,0)+INDEX($BD$13:$BL$162,BP2643,0))/100)))&gt;0)*($D$10:$L$10-($D$9:$L$9+INT(($S$12:$AA$12+INDEX($AJ$13:$AR$162,BN2643,0)+INDEX($AT$13:$BB$162,BO2643,0)+INDEX($BD$13:$BL$162,BP2643,0))/100)))),0)</f>
        <v/>
      </c>
      <c r="BS2643">
        <f>IF(2630&lt;$U$9,SUMPRODUCT(($D$9:$L$9+INT(($S$12:$AA$12+INDEX($AJ$13:$AR$162,BN2643,0)+INDEX($AT$13:$BB$162,BO2643,0)+INDEX($BD$13:$BL$162,BP2643,0))/100))),0)</f>
        <v/>
      </c>
      <c r="BT2643">
        <f>IF(AND(2630&lt;$U$9,$W$5),BQ2643*1000000-MIN(BR2643,999)*1000+BS2643-2630/100000,-1000000000-2630)</f>
        <v/>
      </c>
    </row>
    <row r="2644">
      <c r="BN2644">
        <f>IF(2631&lt;$U$9,INT(2631/($U$7*$U$8))+1,1)</f>
        <v/>
      </c>
      <c r="BO2644">
        <f>IF(2631&lt;$U$9,MOD(INT(2631/$U$8),$U$7)+1,1)</f>
        <v/>
      </c>
      <c r="BP2644">
        <f>IF(2631&lt;$U$9,MOD(2631,$U$8)+1,1)</f>
        <v/>
      </c>
      <c r="BQ2644">
        <f>IF(2631&lt;$U$9,SUMPRODUCT(($D$10:$L$10&lt;&gt;"")*(($D$9:$L$9+INT(($S$12:$AA$12+INDEX($AJ$13:$AR$162,BN2644,0)+INDEX($AT$13:$BB$162,BO2644,0)+INDEX($BD$13:$BL$162,BP2644,0))/100))&gt;=$D$10:$L$10)),0)</f>
        <v/>
      </c>
      <c r="BR2644">
        <f>IF(2631&lt;$U$9,SUMPRODUCT(($D$10:$L$10&lt;&gt;"")*(($D$10:$L$10-($D$9:$L$9+INT(($S$12:$AA$12+INDEX($AJ$13:$AR$162,BN2644,0)+INDEX($AT$13:$BB$162,BO2644,0)+INDEX($BD$13:$BL$162,BP2644,0))/100)))&gt;0)*($D$10:$L$10-($D$9:$L$9+INT(($S$12:$AA$12+INDEX($AJ$13:$AR$162,BN2644,0)+INDEX($AT$13:$BB$162,BO2644,0)+INDEX($BD$13:$BL$162,BP2644,0))/100)))),0)</f>
        <v/>
      </c>
      <c r="BS2644">
        <f>IF(2631&lt;$U$9,SUMPRODUCT(($D$9:$L$9+INT(($S$12:$AA$12+INDEX($AJ$13:$AR$162,BN2644,0)+INDEX($AT$13:$BB$162,BO2644,0)+INDEX($BD$13:$BL$162,BP2644,0))/100))),0)</f>
        <v/>
      </c>
      <c r="BT2644">
        <f>IF(AND(2631&lt;$U$9,$W$5),BQ2644*1000000-MIN(BR2644,999)*1000+BS2644-2631/100000,-1000000000-2631)</f>
        <v/>
      </c>
    </row>
    <row r="2645">
      <c r="BN2645">
        <f>IF(2632&lt;$U$9,INT(2632/($U$7*$U$8))+1,1)</f>
        <v/>
      </c>
      <c r="BO2645">
        <f>IF(2632&lt;$U$9,MOD(INT(2632/$U$8),$U$7)+1,1)</f>
        <v/>
      </c>
      <c r="BP2645">
        <f>IF(2632&lt;$U$9,MOD(2632,$U$8)+1,1)</f>
        <v/>
      </c>
      <c r="BQ2645">
        <f>IF(2632&lt;$U$9,SUMPRODUCT(($D$10:$L$10&lt;&gt;"")*(($D$9:$L$9+INT(($S$12:$AA$12+INDEX($AJ$13:$AR$162,BN2645,0)+INDEX($AT$13:$BB$162,BO2645,0)+INDEX($BD$13:$BL$162,BP2645,0))/100))&gt;=$D$10:$L$10)),0)</f>
        <v/>
      </c>
      <c r="BR2645">
        <f>IF(2632&lt;$U$9,SUMPRODUCT(($D$10:$L$10&lt;&gt;"")*(($D$10:$L$10-($D$9:$L$9+INT(($S$12:$AA$12+INDEX($AJ$13:$AR$162,BN2645,0)+INDEX($AT$13:$BB$162,BO2645,0)+INDEX($BD$13:$BL$162,BP2645,0))/100)))&gt;0)*($D$10:$L$10-($D$9:$L$9+INT(($S$12:$AA$12+INDEX($AJ$13:$AR$162,BN2645,0)+INDEX($AT$13:$BB$162,BO2645,0)+INDEX($BD$13:$BL$162,BP2645,0))/100)))),0)</f>
        <v/>
      </c>
      <c r="BS2645">
        <f>IF(2632&lt;$U$9,SUMPRODUCT(($D$9:$L$9+INT(($S$12:$AA$12+INDEX($AJ$13:$AR$162,BN2645,0)+INDEX($AT$13:$BB$162,BO2645,0)+INDEX($BD$13:$BL$162,BP2645,0))/100))),0)</f>
        <v/>
      </c>
      <c r="BT2645">
        <f>IF(AND(2632&lt;$U$9,$W$5),BQ2645*1000000-MIN(BR2645,999)*1000+BS2645-2632/100000,-1000000000-2632)</f>
        <v/>
      </c>
    </row>
    <row r="2646">
      <c r="BN2646">
        <f>IF(2633&lt;$U$9,INT(2633/($U$7*$U$8))+1,1)</f>
        <v/>
      </c>
      <c r="BO2646">
        <f>IF(2633&lt;$U$9,MOD(INT(2633/$U$8),$U$7)+1,1)</f>
        <v/>
      </c>
      <c r="BP2646">
        <f>IF(2633&lt;$U$9,MOD(2633,$U$8)+1,1)</f>
        <v/>
      </c>
      <c r="BQ2646">
        <f>IF(2633&lt;$U$9,SUMPRODUCT(($D$10:$L$10&lt;&gt;"")*(($D$9:$L$9+INT(($S$12:$AA$12+INDEX($AJ$13:$AR$162,BN2646,0)+INDEX($AT$13:$BB$162,BO2646,0)+INDEX($BD$13:$BL$162,BP2646,0))/100))&gt;=$D$10:$L$10)),0)</f>
        <v/>
      </c>
      <c r="BR2646">
        <f>IF(2633&lt;$U$9,SUMPRODUCT(($D$10:$L$10&lt;&gt;"")*(($D$10:$L$10-($D$9:$L$9+INT(($S$12:$AA$12+INDEX($AJ$13:$AR$162,BN2646,0)+INDEX($AT$13:$BB$162,BO2646,0)+INDEX($BD$13:$BL$162,BP2646,0))/100)))&gt;0)*($D$10:$L$10-($D$9:$L$9+INT(($S$12:$AA$12+INDEX($AJ$13:$AR$162,BN2646,0)+INDEX($AT$13:$BB$162,BO2646,0)+INDEX($BD$13:$BL$162,BP2646,0))/100)))),0)</f>
        <v/>
      </c>
      <c r="BS2646">
        <f>IF(2633&lt;$U$9,SUMPRODUCT(($D$9:$L$9+INT(($S$12:$AA$12+INDEX($AJ$13:$AR$162,BN2646,0)+INDEX($AT$13:$BB$162,BO2646,0)+INDEX($BD$13:$BL$162,BP2646,0))/100))),0)</f>
        <v/>
      </c>
      <c r="BT2646">
        <f>IF(AND(2633&lt;$U$9,$W$5),BQ2646*1000000-MIN(BR2646,999)*1000+BS2646-2633/100000,-1000000000-2633)</f>
        <v/>
      </c>
    </row>
    <row r="2647">
      <c r="BN2647">
        <f>IF(2634&lt;$U$9,INT(2634/($U$7*$U$8))+1,1)</f>
        <v/>
      </c>
      <c r="BO2647">
        <f>IF(2634&lt;$U$9,MOD(INT(2634/$U$8),$U$7)+1,1)</f>
        <v/>
      </c>
      <c r="BP2647">
        <f>IF(2634&lt;$U$9,MOD(2634,$U$8)+1,1)</f>
        <v/>
      </c>
      <c r="BQ2647">
        <f>IF(2634&lt;$U$9,SUMPRODUCT(($D$10:$L$10&lt;&gt;"")*(($D$9:$L$9+INT(($S$12:$AA$12+INDEX($AJ$13:$AR$162,BN2647,0)+INDEX($AT$13:$BB$162,BO2647,0)+INDEX($BD$13:$BL$162,BP2647,0))/100))&gt;=$D$10:$L$10)),0)</f>
        <v/>
      </c>
      <c r="BR2647">
        <f>IF(2634&lt;$U$9,SUMPRODUCT(($D$10:$L$10&lt;&gt;"")*(($D$10:$L$10-($D$9:$L$9+INT(($S$12:$AA$12+INDEX($AJ$13:$AR$162,BN2647,0)+INDEX($AT$13:$BB$162,BO2647,0)+INDEX($BD$13:$BL$162,BP2647,0))/100)))&gt;0)*($D$10:$L$10-($D$9:$L$9+INT(($S$12:$AA$12+INDEX($AJ$13:$AR$162,BN2647,0)+INDEX($AT$13:$BB$162,BO2647,0)+INDEX($BD$13:$BL$162,BP2647,0))/100)))),0)</f>
        <v/>
      </c>
      <c r="BS2647">
        <f>IF(2634&lt;$U$9,SUMPRODUCT(($D$9:$L$9+INT(($S$12:$AA$12+INDEX($AJ$13:$AR$162,BN2647,0)+INDEX($AT$13:$BB$162,BO2647,0)+INDEX($BD$13:$BL$162,BP2647,0))/100))),0)</f>
        <v/>
      </c>
      <c r="BT2647">
        <f>IF(AND(2634&lt;$U$9,$W$5),BQ2647*1000000-MIN(BR2647,999)*1000+BS2647-2634/100000,-1000000000-2634)</f>
        <v/>
      </c>
    </row>
    <row r="2648">
      <c r="BN2648">
        <f>IF(2635&lt;$U$9,INT(2635/($U$7*$U$8))+1,1)</f>
        <v/>
      </c>
      <c r="BO2648">
        <f>IF(2635&lt;$U$9,MOD(INT(2635/$U$8),$U$7)+1,1)</f>
        <v/>
      </c>
      <c r="BP2648">
        <f>IF(2635&lt;$U$9,MOD(2635,$U$8)+1,1)</f>
        <v/>
      </c>
      <c r="BQ2648">
        <f>IF(2635&lt;$U$9,SUMPRODUCT(($D$10:$L$10&lt;&gt;"")*(($D$9:$L$9+INT(($S$12:$AA$12+INDEX($AJ$13:$AR$162,BN2648,0)+INDEX($AT$13:$BB$162,BO2648,0)+INDEX($BD$13:$BL$162,BP2648,0))/100))&gt;=$D$10:$L$10)),0)</f>
        <v/>
      </c>
      <c r="BR2648">
        <f>IF(2635&lt;$U$9,SUMPRODUCT(($D$10:$L$10&lt;&gt;"")*(($D$10:$L$10-($D$9:$L$9+INT(($S$12:$AA$12+INDEX($AJ$13:$AR$162,BN2648,0)+INDEX($AT$13:$BB$162,BO2648,0)+INDEX($BD$13:$BL$162,BP2648,0))/100)))&gt;0)*($D$10:$L$10-($D$9:$L$9+INT(($S$12:$AA$12+INDEX($AJ$13:$AR$162,BN2648,0)+INDEX($AT$13:$BB$162,BO2648,0)+INDEX($BD$13:$BL$162,BP2648,0))/100)))),0)</f>
        <v/>
      </c>
      <c r="BS2648">
        <f>IF(2635&lt;$U$9,SUMPRODUCT(($D$9:$L$9+INT(($S$12:$AA$12+INDEX($AJ$13:$AR$162,BN2648,0)+INDEX($AT$13:$BB$162,BO2648,0)+INDEX($BD$13:$BL$162,BP2648,0))/100))),0)</f>
        <v/>
      </c>
      <c r="BT2648">
        <f>IF(AND(2635&lt;$U$9,$W$5),BQ2648*1000000-MIN(BR2648,999)*1000+BS2648-2635/100000,-1000000000-2635)</f>
        <v/>
      </c>
    </row>
    <row r="2649">
      <c r="BN2649">
        <f>IF(2636&lt;$U$9,INT(2636/($U$7*$U$8))+1,1)</f>
        <v/>
      </c>
      <c r="BO2649">
        <f>IF(2636&lt;$U$9,MOD(INT(2636/$U$8),$U$7)+1,1)</f>
        <v/>
      </c>
      <c r="BP2649">
        <f>IF(2636&lt;$U$9,MOD(2636,$U$8)+1,1)</f>
        <v/>
      </c>
      <c r="BQ2649">
        <f>IF(2636&lt;$U$9,SUMPRODUCT(($D$10:$L$10&lt;&gt;"")*(($D$9:$L$9+INT(($S$12:$AA$12+INDEX($AJ$13:$AR$162,BN2649,0)+INDEX($AT$13:$BB$162,BO2649,0)+INDEX($BD$13:$BL$162,BP2649,0))/100))&gt;=$D$10:$L$10)),0)</f>
        <v/>
      </c>
      <c r="BR2649">
        <f>IF(2636&lt;$U$9,SUMPRODUCT(($D$10:$L$10&lt;&gt;"")*(($D$10:$L$10-($D$9:$L$9+INT(($S$12:$AA$12+INDEX($AJ$13:$AR$162,BN2649,0)+INDEX($AT$13:$BB$162,BO2649,0)+INDEX($BD$13:$BL$162,BP2649,0))/100)))&gt;0)*($D$10:$L$10-($D$9:$L$9+INT(($S$12:$AA$12+INDEX($AJ$13:$AR$162,BN2649,0)+INDEX($AT$13:$BB$162,BO2649,0)+INDEX($BD$13:$BL$162,BP2649,0))/100)))),0)</f>
        <v/>
      </c>
      <c r="BS2649">
        <f>IF(2636&lt;$U$9,SUMPRODUCT(($D$9:$L$9+INT(($S$12:$AA$12+INDEX($AJ$13:$AR$162,BN2649,0)+INDEX($AT$13:$BB$162,BO2649,0)+INDEX($BD$13:$BL$162,BP2649,0))/100))),0)</f>
        <v/>
      </c>
      <c r="BT2649">
        <f>IF(AND(2636&lt;$U$9,$W$5),BQ2649*1000000-MIN(BR2649,999)*1000+BS2649-2636/100000,-1000000000-2636)</f>
        <v/>
      </c>
    </row>
    <row r="2650">
      <c r="BN2650">
        <f>IF(2637&lt;$U$9,INT(2637/($U$7*$U$8))+1,1)</f>
        <v/>
      </c>
      <c r="BO2650">
        <f>IF(2637&lt;$U$9,MOD(INT(2637/$U$8),$U$7)+1,1)</f>
        <v/>
      </c>
      <c r="BP2650">
        <f>IF(2637&lt;$U$9,MOD(2637,$U$8)+1,1)</f>
        <v/>
      </c>
      <c r="BQ2650">
        <f>IF(2637&lt;$U$9,SUMPRODUCT(($D$10:$L$10&lt;&gt;"")*(($D$9:$L$9+INT(($S$12:$AA$12+INDEX($AJ$13:$AR$162,BN2650,0)+INDEX($AT$13:$BB$162,BO2650,0)+INDEX($BD$13:$BL$162,BP2650,0))/100))&gt;=$D$10:$L$10)),0)</f>
        <v/>
      </c>
      <c r="BR2650">
        <f>IF(2637&lt;$U$9,SUMPRODUCT(($D$10:$L$10&lt;&gt;"")*(($D$10:$L$10-($D$9:$L$9+INT(($S$12:$AA$12+INDEX($AJ$13:$AR$162,BN2650,0)+INDEX($AT$13:$BB$162,BO2650,0)+INDEX($BD$13:$BL$162,BP2650,0))/100)))&gt;0)*($D$10:$L$10-($D$9:$L$9+INT(($S$12:$AA$12+INDEX($AJ$13:$AR$162,BN2650,0)+INDEX($AT$13:$BB$162,BO2650,0)+INDEX($BD$13:$BL$162,BP2650,0))/100)))),0)</f>
        <v/>
      </c>
      <c r="BS2650">
        <f>IF(2637&lt;$U$9,SUMPRODUCT(($D$9:$L$9+INT(($S$12:$AA$12+INDEX($AJ$13:$AR$162,BN2650,0)+INDEX($AT$13:$BB$162,BO2650,0)+INDEX($BD$13:$BL$162,BP2650,0))/100))),0)</f>
        <v/>
      </c>
      <c r="BT2650">
        <f>IF(AND(2637&lt;$U$9,$W$5),BQ2650*1000000-MIN(BR2650,999)*1000+BS2650-2637/100000,-1000000000-2637)</f>
        <v/>
      </c>
    </row>
    <row r="2651">
      <c r="BN2651">
        <f>IF(2638&lt;$U$9,INT(2638/($U$7*$U$8))+1,1)</f>
        <v/>
      </c>
      <c r="BO2651">
        <f>IF(2638&lt;$U$9,MOD(INT(2638/$U$8),$U$7)+1,1)</f>
        <v/>
      </c>
      <c r="BP2651">
        <f>IF(2638&lt;$U$9,MOD(2638,$U$8)+1,1)</f>
        <v/>
      </c>
      <c r="BQ2651">
        <f>IF(2638&lt;$U$9,SUMPRODUCT(($D$10:$L$10&lt;&gt;"")*(($D$9:$L$9+INT(($S$12:$AA$12+INDEX($AJ$13:$AR$162,BN2651,0)+INDEX($AT$13:$BB$162,BO2651,0)+INDEX($BD$13:$BL$162,BP2651,0))/100))&gt;=$D$10:$L$10)),0)</f>
        <v/>
      </c>
      <c r="BR2651">
        <f>IF(2638&lt;$U$9,SUMPRODUCT(($D$10:$L$10&lt;&gt;"")*(($D$10:$L$10-($D$9:$L$9+INT(($S$12:$AA$12+INDEX($AJ$13:$AR$162,BN2651,0)+INDEX($AT$13:$BB$162,BO2651,0)+INDEX($BD$13:$BL$162,BP2651,0))/100)))&gt;0)*($D$10:$L$10-($D$9:$L$9+INT(($S$12:$AA$12+INDEX($AJ$13:$AR$162,BN2651,0)+INDEX($AT$13:$BB$162,BO2651,0)+INDEX($BD$13:$BL$162,BP2651,0))/100)))),0)</f>
        <v/>
      </c>
      <c r="BS2651">
        <f>IF(2638&lt;$U$9,SUMPRODUCT(($D$9:$L$9+INT(($S$12:$AA$12+INDEX($AJ$13:$AR$162,BN2651,0)+INDEX($AT$13:$BB$162,BO2651,0)+INDEX($BD$13:$BL$162,BP2651,0))/100))),0)</f>
        <v/>
      </c>
      <c r="BT2651">
        <f>IF(AND(2638&lt;$U$9,$W$5),BQ2651*1000000-MIN(BR2651,999)*1000+BS2651-2638/100000,-1000000000-2638)</f>
        <v/>
      </c>
    </row>
    <row r="2652">
      <c r="BN2652">
        <f>IF(2639&lt;$U$9,INT(2639/($U$7*$U$8))+1,1)</f>
        <v/>
      </c>
      <c r="BO2652">
        <f>IF(2639&lt;$U$9,MOD(INT(2639/$U$8),$U$7)+1,1)</f>
        <v/>
      </c>
      <c r="BP2652">
        <f>IF(2639&lt;$U$9,MOD(2639,$U$8)+1,1)</f>
        <v/>
      </c>
      <c r="BQ2652">
        <f>IF(2639&lt;$U$9,SUMPRODUCT(($D$10:$L$10&lt;&gt;"")*(($D$9:$L$9+INT(($S$12:$AA$12+INDEX($AJ$13:$AR$162,BN2652,0)+INDEX($AT$13:$BB$162,BO2652,0)+INDEX($BD$13:$BL$162,BP2652,0))/100))&gt;=$D$10:$L$10)),0)</f>
        <v/>
      </c>
      <c r="BR2652">
        <f>IF(2639&lt;$U$9,SUMPRODUCT(($D$10:$L$10&lt;&gt;"")*(($D$10:$L$10-($D$9:$L$9+INT(($S$12:$AA$12+INDEX($AJ$13:$AR$162,BN2652,0)+INDEX($AT$13:$BB$162,BO2652,0)+INDEX($BD$13:$BL$162,BP2652,0))/100)))&gt;0)*($D$10:$L$10-($D$9:$L$9+INT(($S$12:$AA$12+INDEX($AJ$13:$AR$162,BN2652,0)+INDEX($AT$13:$BB$162,BO2652,0)+INDEX($BD$13:$BL$162,BP2652,0))/100)))),0)</f>
        <v/>
      </c>
      <c r="BS2652">
        <f>IF(2639&lt;$U$9,SUMPRODUCT(($D$9:$L$9+INT(($S$12:$AA$12+INDEX($AJ$13:$AR$162,BN2652,0)+INDEX($AT$13:$BB$162,BO2652,0)+INDEX($BD$13:$BL$162,BP2652,0))/100))),0)</f>
        <v/>
      </c>
      <c r="BT2652">
        <f>IF(AND(2639&lt;$U$9,$W$5),BQ2652*1000000-MIN(BR2652,999)*1000+BS2652-2639/100000,-1000000000-2639)</f>
        <v/>
      </c>
    </row>
    <row r="2653">
      <c r="BN2653">
        <f>IF(2640&lt;$U$9,INT(2640/($U$7*$U$8))+1,1)</f>
        <v/>
      </c>
      <c r="BO2653">
        <f>IF(2640&lt;$U$9,MOD(INT(2640/$U$8),$U$7)+1,1)</f>
        <v/>
      </c>
      <c r="BP2653">
        <f>IF(2640&lt;$U$9,MOD(2640,$U$8)+1,1)</f>
        <v/>
      </c>
      <c r="BQ2653">
        <f>IF(2640&lt;$U$9,SUMPRODUCT(($D$10:$L$10&lt;&gt;"")*(($D$9:$L$9+INT(($S$12:$AA$12+INDEX($AJ$13:$AR$162,BN2653,0)+INDEX($AT$13:$BB$162,BO2653,0)+INDEX($BD$13:$BL$162,BP2653,0))/100))&gt;=$D$10:$L$10)),0)</f>
        <v/>
      </c>
      <c r="BR2653">
        <f>IF(2640&lt;$U$9,SUMPRODUCT(($D$10:$L$10&lt;&gt;"")*(($D$10:$L$10-($D$9:$L$9+INT(($S$12:$AA$12+INDEX($AJ$13:$AR$162,BN2653,0)+INDEX($AT$13:$BB$162,BO2653,0)+INDEX($BD$13:$BL$162,BP2653,0))/100)))&gt;0)*($D$10:$L$10-($D$9:$L$9+INT(($S$12:$AA$12+INDEX($AJ$13:$AR$162,BN2653,0)+INDEX($AT$13:$BB$162,BO2653,0)+INDEX($BD$13:$BL$162,BP2653,0))/100)))),0)</f>
        <v/>
      </c>
      <c r="BS2653">
        <f>IF(2640&lt;$U$9,SUMPRODUCT(($D$9:$L$9+INT(($S$12:$AA$12+INDEX($AJ$13:$AR$162,BN2653,0)+INDEX($AT$13:$BB$162,BO2653,0)+INDEX($BD$13:$BL$162,BP2653,0))/100))),0)</f>
        <v/>
      </c>
      <c r="BT2653">
        <f>IF(AND(2640&lt;$U$9,$W$5),BQ2653*1000000-MIN(BR2653,999)*1000+BS2653-2640/100000,-1000000000-2640)</f>
        <v/>
      </c>
    </row>
    <row r="2654">
      <c r="BN2654">
        <f>IF(2641&lt;$U$9,INT(2641/($U$7*$U$8))+1,1)</f>
        <v/>
      </c>
      <c r="BO2654">
        <f>IF(2641&lt;$U$9,MOD(INT(2641/$U$8),$U$7)+1,1)</f>
        <v/>
      </c>
      <c r="BP2654">
        <f>IF(2641&lt;$U$9,MOD(2641,$U$8)+1,1)</f>
        <v/>
      </c>
      <c r="BQ2654">
        <f>IF(2641&lt;$U$9,SUMPRODUCT(($D$10:$L$10&lt;&gt;"")*(($D$9:$L$9+INT(($S$12:$AA$12+INDEX($AJ$13:$AR$162,BN2654,0)+INDEX($AT$13:$BB$162,BO2654,0)+INDEX($BD$13:$BL$162,BP2654,0))/100))&gt;=$D$10:$L$10)),0)</f>
        <v/>
      </c>
      <c r="BR2654">
        <f>IF(2641&lt;$U$9,SUMPRODUCT(($D$10:$L$10&lt;&gt;"")*(($D$10:$L$10-($D$9:$L$9+INT(($S$12:$AA$12+INDEX($AJ$13:$AR$162,BN2654,0)+INDEX($AT$13:$BB$162,BO2654,0)+INDEX($BD$13:$BL$162,BP2654,0))/100)))&gt;0)*($D$10:$L$10-($D$9:$L$9+INT(($S$12:$AA$12+INDEX($AJ$13:$AR$162,BN2654,0)+INDEX($AT$13:$BB$162,BO2654,0)+INDEX($BD$13:$BL$162,BP2654,0))/100)))),0)</f>
        <v/>
      </c>
      <c r="BS2654">
        <f>IF(2641&lt;$U$9,SUMPRODUCT(($D$9:$L$9+INT(($S$12:$AA$12+INDEX($AJ$13:$AR$162,BN2654,0)+INDEX($AT$13:$BB$162,BO2654,0)+INDEX($BD$13:$BL$162,BP2654,0))/100))),0)</f>
        <v/>
      </c>
      <c r="BT2654">
        <f>IF(AND(2641&lt;$U$9,$W$5),BQ2654*1000000-MIN(BR2654,999)*1000+BS2654-2641/100000,-1000000000-2641)</f>
        <v/>
      </c>
    </row>
    <row r="2655">
      <c r="BN2655">
        <f>IF(2642&lt;$U$9,INT(2642/($U$7*$U$8))+1,1)</f>
        <v/>
      </c>
      <c r="BO2655">
        <f>IF(2642&lt;$U$9,MOD(INT(2642/$U$8),$U$7)+1,1)</f>
        <v/>
      </c>
      <c r="BP2655">
        <f>IF(2642&lt;$U$9,MOD(2642,$U$8)+1,1)</f>
        <v/>
      </c>
      <c r="BQ2655">
        <f>IF(2642&lt;$U$9,SUMPRODUCT(($D$10:$L$10&lt;&gt;"")*(($D$9:$L$9+INT(($S$12:$AA$12+INDEX($AJ$13:$AR$162,BN2655,0)+INDEX($AT$13:$BB$162,BO2655,0)+INDEX($BD$13:$BL$162,BP2655,0))/100))&gt;=$D$10:$L$10)),0)</f>
        <v/>
      </c>
      <c r="BR2655">
        <f>IF(2642&lt;$U$9,SUMPRODUCT(($D$10:$L$10&lt;&gt;"")*(($D$10:$L$10-($D$9:$L$9+INT(($S$12:$AA$12+INDEX($AJ$13:$AR$162,BN2655,0)+INDEX($AT$13:$BB$162,BO2655,0)+INDEX($BD$13:$BL$162,BP2655,0))/100)))&gt;0)*($D$10:$L$10-($D$9:$L$9+INT(($S$12:$AA$12+INDEX($AJ$13:$AR$162,BN2655,0)+INDEX($AT$13:$BB$162,BO2655,0)+INDEX($BD$13:$BL$162,BP2655,0))/100)))),0)</f>
        <v/>
      </c>
      <c r="BS2655">
        <f>IF(2642&lt;$U$9,SUMPRODUCT(($D$9:$L$9+INT(($S$12:$AA$12+INDEX($AJ$13:$AR$162,BN2655,0)+INDEX($AT$13:$BB$162,BO2655,0)+INDEX($BD$13:$BL$162,BP2655,0))/100))),0)</f>
        <v/>
      </c>
      <c r="BT2655">
        <f>IF(AND(2642&lt;$U$9,$W$5),BQ2655*1000000-MIN(BR2655,999)*1000+BS2655-2642/100000,-1000000000-2642)</f>
        <v/>
      </c>
    </row>
    <row r="2656">
      <c r="BN2656">
        <f>IF(2643&lt;$U$9,INT(2643/($U$7*$U$8))+1,1)</f>
        <v/>
      </c>
      <c r="BO2656">
        <f>IF(2643&lt;$U$9,MOD(INT(2643/$U$8),$U$7)+1,1)</f>
        <v/>
      </c>
      <c r="BP2656">
        <f>IF(2643&lt;$U$9,MOD(2643,$U$8)+1,1)</f>
        <v/>
      </c>
      <c r="BQ2656">
        <f>IF(2643&lt;$U$9,SUMPRODUCT(($D$10:$L$10&lt;&gt;"")*(($D$9:$L$9+INT(($S$12:$AA$12+INDEX($AJ$13:$AR$162,BN2656,0)+INDEX($AT$13:$BB$162,BO2656,0)+INDEX($BD$13:$BL$162,BP2656,0))/100))&gt;=$D$10:$L$10)),0)</f>
        <v/>
      </c>
      <c r="BR2656">
        <f>IF(2643&lt;$U$9,SUMPRODUCT(($D$10:$L$10&lt;&gt;"")*(($D$10:$L$10-($D$9:$L$9+INT(($S$12:$AA$12+INDEX($AJ$13:$AR$162,BN2656,0)+INDEX($AT$13:$BB$162,BO2656,0)+INDEX($BD$13:$BL$162,BP2656,0))/100)))&gt;0)*($D$10:$L$10-($D$9:$L$9+INT(($S$12:$AA$12+INDEX($AJ$13:$AR$162,BN2656,0)+INDEX($AT$13:$BB$162,BO2656,0)+INDEX($BD$13:$BL$162,BP2656,0))/100)))),0)</f>
        <v/>
      </c>
      <c r="BS2656">
        <f>IF(2643&lt;$U$9,SUMPRODUCT(($D$9:$L$9+INT(($S$12:$AA$12+INDEX($AJ$13:$AR$162,BN2656,0)+INDEX($AT$13:$BB$162,BO2656,0)+INDEX($BD$13:$BL$162,BP2656,0))/100))),0)</f>
        <v/>
      </c>
      <c r="BT2656">
        <f>IF(AND(2643&lt;$U$9,$W$5),BQ2656*1000000-MIN(BR2656,999)*1000+BS2656-2643/100000,-1000000000-2643)</f>
        <v/>
      </c>
    </row>
    <row r="2657">
      <c r="BN2657">
        <f>IF(2644&lt;$U$9,INT(2644/($U$7*$U$8))+1,1)</f>
        <v/>
      </c>
      <c r="BO2657">
        <f>IF(2644&lt;$U$9,MOD(INT(2644/$U$8),$U$7)+1,1)</f>
        <v/>
      </c>
      <c r="BP2657">
        <f>IF(2644&lt;$U$9,MOD(2644,$U$8)+1,1)</f>
        <v/>
      </c>
      <c r="BQ2657">
        <f>IF(2644&lt;$U$9,SUMPRODUCT(($D$10:$L$10&lt;&gt;"")*(($D$9:$L$9+INT(($S$12:$AA$12+INDEX($AJ$13:$AR$162,BN2657,0)+INDEX($AT$13:$BB$162,BO2657,0)+INDEX($BD$13:$BL$162,BP2657,0))/100))&gt;=$D$10:$L$10)),0)</f>
        <v/>
      </c>
      <c r="BR2657">
        <f>IF(2644&lt;$U$9,SUMPRODUCT(($D$10:$L$10&lt;&gt;"")*(($D$10:$L$10-($D$9:$L$9+INT(($S$12:$AA$12+INDEX($AJ$13:$AR$162,BN2657,0)+INDEX($AT$13:$BB$162,BO2657,0)+INDEX($BD$13:$BL$162,BP2657,0))/100)))&gt;0)*($D$10:$L$10-($D$9:$L$9+INT(($S$12:$AA$12+INDEX($AJ$13:$AR$162,BN2657,0)+INDEX($AT$13:$BB$162,BO2657,0)+INDEX($BD$13:$BL$162,BP2657,0))/100)))),0)</f>
        <v/>
      </c>
      <c r="BS2657">
        <f>IF(2644&lt;$U$9,SUMPRODUCT(($D$9:$L$9+INT(($S$12:$AA$12+INDEX($AJ$13:$AR$162,BN2657,0)+INDEX($AT$13:$BB$162,BO2657,0)+INDEX($BD$13:$BL$162,BP2657,0))/100))),0)</f>
        <v/>
      </c>
      <c r="BT2657">
        <f>IF(AND(2644&lt;$U$9,$W$5),BQ2657*1000000-MIN(BR2657,999)*1000+BS2657-2644/100000,-1000000000-2644)</f>
        <v/>
      </c>
    </row>
    <row r="2658">
      <c r="BN2658">
        <f>IF(2645&lt;$U$9,INT(2645/($U$7*$U$8))+1,1)</f>
        <v/>
      </c>
      <c r="BO2658">
        <f>IF(2645&lt;$U$9,MOD(INT(2645/$U$8),$U$7)+1,1)</f>
        <v/>
      </c>
      <c r="BP2658">
        <f>IF(2645&lt;$U$9,MOD(2645,$U$8)+1,1)</f>
        <v/>
      </c>
      <c r="BQ2658">
        <f>IF(2645&lt;$U$9,SUMPRODUCT(($D$10:$L$10&lt;&gt;"")*(($D$9:$L$9+INT(($S$12:$AA$12+INDEX($AJ$13:$AR$162,BN2658,0)+INDEX($AT$13:$BB$162,BO2658,0)+INDEX($BD$13:$BL$162,BP2658,0))/100))&gt;=$D$10:$L$10)),0)</f>
        <v/>
      </c>
      <c r="BR2658">
        <f>IF(2645&lt;$U$9,SUMPRODUCT(($D$10:$L$10&lt;&gt;"")*(($D$10:$L$10-($D$9:$L$9+INT(($S$12:$AA$12+INDEX($AJ$13:$AR$162,BN2658,0)+INDEX($AT$13:$BB$162,BO2658,0)+INDEX($BD$13:$BL$162,BP2658,0))/100)))&gt;0)*($D$10:$L$10-($D$9:$L$9+INT(($S$12:$AA$12+INDEX($AJ$13:$AR$162,BN2658,0)+INDEX($AT$13:$BB$162,BO2658,0)+INDEX($BD$13:$BL$162,BP2658,0))/100)))),0)</f>
        <v/>
      </c>
      <c r="BS2658">
        <f>IF(2645&lt;$U$9,SUMPRODUCT(($D$9:$L$9+INT(($S$12:$AA$12+INDEX($AJ$13:$AR$162,BN2658,0)+INDEX($AT$13:$BB$162,BO2658,0)+INDEX($BD$13:$BL$162,BP2658,0))/100))),0)</f>
        <v/>
      </c>
      <c r="BT2658">
        <f>IF(AND(2645&lt;$U$9,$W$5),BQ2658*1000000-MIN(BR2658,999)*1000+BS2658-2645/100000,-1000000000-2645)</f>
        <v/>
      </c>
    </row>
    <row r="2659">
      <c r="BN2659">
        <f>IF(2646&lt;$U$9,INT(2646/($U$7*$U$8))+1,1)</f>
        <v/>
      </c>
      <c r="BO2659">
        <f>IF(2646&lt;$U$9,MOD(INT(2646/$U$8),$U$7)+1,1)</f>
        <v/>
      </c>
      <c r="BP2659">
        <f>IF(2646&lt;$U$9,MOD(2646,$U$8)+1,1)</f>
        <v/>
      </c>
      <c r="BQ2659">
        <f>IF(2646&lt;$U$9,SUMPRODUCT(($D$10:$L$10&lt;&gt;"")*(($D$9:$L$9+INT(($S$12:$AA$12+INDEX($AJ$13:$AR$162,BN2659,0)+INDEX($AT$13:$BB$162,BO2659,0)+INDEX($BD$13:$BL$162,BP2659,0))/100))&gt;=$D$10:$L$10)),0)</f>
        <v/>
      </c>
      <c r="BR2659">
        <f>IF(2646&lt;$U$9,SUMPRODUCT(($D$10:$L$10&lt;&gt;"")*(($D$10:$L$10-($D$9:$L$9+INT(($S$12:$AA$12+INDEX($AJ$13:$AR$162,BN2659,0)+INDEX($AT$13:$BB$162,BO2659,0)+INDEX($BD$13:$BL$162,BP2659,0))/100)))&gt;0)*($D$10:$L$10-($D$9:$L$9+INT(($S$12:$AA$12+INDEX($AJ$13:$AR$162,BN2659,0)+INDEX($AT$13:$BB$162,BO2659,0)+INDEX($BD$13:$BL$162,BP2659,0))/100)))),0)</f>
        <v/>
      </c>
      <c r="BS2659">
        <f>IF(2646&lt;$U$9,SUMPRODUCT(($D$9:$L$9+INT(($S$12:$AA$12+INDEX($AJ$13:$AR$162,BN2659,0)+INDEX($AT$13:$BB$162,BO2659,0)+INDEX($BD$13:$BL$162,BP2659,0))/100))),0)</f>
        <v/>
      </c>
      <c r="BT2659">
        <f>IF(AND(2646&lt;$U$9,$W$5),BQ2659*1000000-MIN(BR2659,999)*1000+BS2659-2646/100000,-1000000000-2646)</f>
        <v/>
      </c>
    </row>
    <row r="2660">
      <c r="BN2660">
        <f>IF(2647&lt;$U$9,INT(2647/($U$7*$U$8))+1,1)</f>
        <v/>
      </c>
      <c r="BO2660">
        <f>IF(2647&lt;$U$9,MOD(INT(2647/$U$8),$U$7)+1,1)</f>
        <v/>
      </c>
      <c r="BP2660">
        <f>IF(2647&lt;$U$9,MOD(2647,$U$8)+1,1)</f>
        <v/>
      </c>
      <c r="BQ2660">
        <f>IF(2647&lt;$U$9,SUMPRODUCT(($D$10:$L$10&lt;&gt;"")*(($D$9:$L$9+INT(($S$12:$AA$12+INDEX($AJ$13:$AR$162,BN2660,0)+INDEX($AT$13:$BB$162,BO2660,0)+INDEX($BD$13:$BL$162,BP2660,0))/100))&gt;=$D$10:$L$10)),0)</f>
        <v/>
      </c>
      <c r="BR2660">
        <f>IF(2647&lt;$U$9,SUMPRODUCT(($D$10:$L$10&lt;&gt;"")*(($D$10:$L$10-($D$9:$L$9+INT(($S$12:$AA$12+INDEX($AJ$13:$AR$162,BN2660,0)+INDEX($AT$13:$BB$162,BO2660,0)+INDEX($BD$13:$BL$162,BP2660,0))/100)))&gt;0)*($D$10:$L$10-($D$9:$L$9+INT(($S$12:$AA$12+INDEX($AJ$13:$AR$162,BN2660,0)+INDEX($AT$13:$BB$162,BO2660,0)+INDEX($BD$13:$BL$162,BP2660,0))/100)))),0)</f>
        <v/>
      </c>
      <c r="BS2660">
        <f>IF(2647&lt;$U$9,SUMPRODUCT(($D$9:$L$9+INT(($S$12:$AA$12+INDEX($AJ$13:$AR$162,BN2660,0)+INDEX($AT$13:$BB$162,BO2660,0)+INDEX($BD$13:$BL$162,BP2660,0))/100))),0)</f>
        <v/>
      </c>
      <c r="BT2660">
        <f>IF(AND(2647&lt;$U$9,$W$5),BQ2660*1000000-MIN(BR2660,999)*1000+BS2660-2647/100000,-1000000000-2647)</f>
        <v/>
      </c>
    </row>
    <row r="2661">
      <c r="BN2661">
        <f>IF(2648&lt;$U$9,INT(2648/($U$7*$U$8))+1,1)</f>
        <v/>
      </c>
      <c r="BO2661">
        <f>IF(2648&lt;$U$9,MOD(INT(2648/$U$8),$U$7)+1,1)</f>
        <v/>
      </c>
      <c r="BP2661">
        <f>IF(2648&lt;$U$9,MOD(2648,$U$8)+1,1)</f>
        <v/>
      </c>
      <c r="BQ2661">
        <f>IF(2648&lt;$U$9,SUMPRODUCT(($D$10:$L$10&lt;&gt;"")*(($D$9:$L$9+INT(($S$12:$AA$12+INDEX($AJ$13:$AR$162,BN2661,0)+INDEX($AT$13:$BB$162,BO2661,0)+INDEX($BD$13:$BL$162,BP2661,0))/100))&gt;=$D$10:$L$10)),0)</f>
        <v/>
      </c>
      <c r="BR2661">
        <f>IF(2648&lt;$U$9,SUMPRODUCT(($D$10:$L$10&lt;&gt;"")*(($D$10:$L$10-($D$9:$L$9+INT(($S$12:$AA$12+INDEX($AJ$13:$AR$162,BN2661,0)+INDEX($AT$13:$BB$162,BO2661,0)+INDEX($BD$13:$BL$162,BP2661,0))/100)))&gt;0)*($D$10:$L$10-($D$9:$L$9+INT(($S$12:$AA$12+INDEX($AJ$13:$AR$162,BN2661,0)+INDEX($AT$13:$BB$162,BO2661,0)+INDEX($BD$13:$BL$162,BP2661,0))/100)))),0)</f>
        <v/>
      </c>
      <c r="BS2661">
        <f>IF(2648&lt;$U$9,SUMPRODUCT(($D$9:$L$9+INT(($S$12:$AA$12+INDEX($AJ$13:$AR$162,BN2661,0)+INDEX($AT$13:$BB$162,BO2661,0)+INDEX($BD$13:$BL$162,BP2661,0))/100))),0)</f>
        <v/>
      </c>
      <c r="BT2661">
        <f>IF(AND(2648&lt;$U$9,$W$5),BQ2661*1000000-MIN(BR2661,999)*1000+BS2661-2648/100000,-1000000000-2648)</f>
        <v/>
      </c>
    </row>
    <row r="2662">
      <c r="BN2662">
        <f>IF(2649&lt;$U$9,INT(2649/($U$7*$U$8))+1,1)</f>
        <v/>
      </c>
      <c r="BO2662">
        <f>IF(2649&lt;$U$9,MOD(INT(2649/$U$8),$U$7)+1,1)</f>
        <v/>
      </c>
      <c r="BP2662">
        <f>IF(2649&lt;$U$9,MOD(2649,$U$8)+1,1)</f>
        <v/>
      </c>
      <c r="BQ2662">
        <f>IF(2649&lt;$U$9,SUMPRODUCT(($D$10:$L$10&lt;&gt;"")*(($D$9:$L$9+INT(($S$12:$AA$12+INDEX($AJ$13:$AR$162,BN2662,0)+INDEX($AT$13:$BB$162,BO2662,0)+INDEX($BD$13:$BL$162,BP2662,0))/100))&gt;=$D$10:$L$10)),0)</f>
        <v/>
      </c>
      <c r="BR2662">
        <f>IF(2649&lt;$U$9,SUMPRODUCT(($D$10:$L$10&lt;&gt;"")*(($D$10:$L$10-($D$9:$L$9+INT(($S$12:$AA$12+INDEX($AJ$13:$AR$162,BN2662,0)+INDEX($AT$13:$BB$162,BO2662,0)+INDEX($BD$13:$BL$162,BP2662,0))/100)))&gt;0)*($D$10:$L$10-($D$9:$L$9+INT(($S$12:$AA$12+INDEX($AJ$13:$AR$162,BN2662,0)+INDEX($AT$13:$BB$162,BO2662,0)+INDEX($BD$13:$BL$162,BP2662,0))/100)))),0)</f>
        <v/>
      </c>
      <c r="BS2662">
        <f>IF(2649&lt;$U$9,SUMPRODUCT(($D$9:$L$9+INT(($S$12:$AA$12+INDEX($AJ$13:$AR$162,BN2662,0)+INDEX($AT$13:$BB$162,BO2662,0)+INDEX($BD$13:$BL$162,BP2662,0))/100))),0)</f>
        <v/>
      </c>
      <c r="BT2662">
        <f>IF(AND(2649&lt;$U$9,$W$5),BQ2662*1000000-MIN(BR2662,999)*1000+BS2662-2649/100000,-1000000000-2649)</f>
        <v/>
      </c>
    </row>
    <row r="2663">
      <c r="BN2663">
        <f>IF(2650&lt;$U$9,INT(2650/($U$7*$U$8))+1,1)</f>
        <v/>
      </c>
      <c r="BO2663">
        <f>IF(2650&lt;$U$9,MOD(INT(2650/$U$8),$U$7)+1,1)</f>
        <v/>
      </c>
      <c r="BP2663">
        <f>IF(2650&lt;$U$9,MOD(2650,$U$8)+1,1)</f>
        <v/>
      </c>
      <c r="BQ2663">
        <f>IF(2650&lt;$U$9,SUMPRODUCT(($D$10:$L$10&lt;&gt;"")*(($D$9:$L$9+INT(($S$12:$AA$12+INDEX($AJ$13:$AR$162,BN2663,0)+INDEX($AT$13:$BB$162,BO2663,0)+INDEX($BD$13:$BL$162,BP2663,0))/100))&gt;=$D$10:$L$10)),0)</f>
        <v/>
      </c>
      <c r="BR2663">
        <f>IF(2650&lt;$U$9,SUMPRODUCT(($D$10:$L$10&lt;&gt;"")*(($D$10:$L$10-($D$9:$L$9+INT(($S$12:$AA$12+INDEX($AJ$13:$AR$162,BN2663,0)+INDEX($AT$13:$BB$162,BO2663,0)+INDEX($BD$13:$BL$162,BP2663,0))/100)))&gt;0)*($D$10:$L$10-($D$9:$L$9+INT(($S$12:$AA$12+INDEX($AJ$13:$AR$162,BN2663,0)+INDEX($AT$13:$BB$162,BO2663,0)+INDEX($BD$13:$BL$162,BP2663,0))/100)))),0)</f>
        <v/>
      </c>
      <c r="BS2663">
        <f>IF(2650&lt;$U$9,SUMPRODUCT(($D$9:$L$9+INT(($S$12:$AA$12+INDEX($AJ$13:$AR$162,BN2663,0)+INDEX($AT$13:$BB$162,BO2663,0)+INDEX($BD$13:$BL$162,BP2663,0))/100))),0)</f>
        <v/>
      </c>
      <c r="BT2663">
        <f>IF(AND(2650&lt;$U$9,$W$5),BQ2663*1000000-MIN(BR2663,999)*1000+BS2663-2650/100000,-1000000000-2650)</f>
        <v/>
      </c>
    </row>
    <row r="2664">
      <c r="BN2664">
        <f>IF(2651&lt;$U$9,INT(2651/($U$7*$U$8))+1,1)</f>
        <v/>
      </c>
      <c r="BO2664">
        <f>IF(2651&lt;$U$9,MOD(INT(2651/$U$8),$U$7)+1,1)</f>
        <v/>
      </c>
      <c r="BP2664">
        <f>IF(2651&lt;$U$9,MOD(2651,$U$8)+1,1)</f>
        <v/>
      </c>
      <c r="BQ2664">
        <f>IF(2651&lt;$U$9,SUMPRODUCT(($D$10:$L$10&lt;&gt;"")*(($D$9:$L$9+INT(($S$12:$AA$12+INDEX($AJ$13:$AR$162,BN2664,0)+INDEX($AT$13:$BB$162,BO2664,0)+INDEX($BD$13:$BL$162,BP2664,0))/100))&gt;=$D$10:$L$10)),0)</f>
        <v/>
      </c>
      <c r="BR2664">
        <f>IF(2651&lt;$U$9,SUMPRODUCT(($D$10:$L$10&lt;&gt;"")*(($D$10:$L$10-($D$9:$L$9+INT(($S$12:$AA$12+INDEX($AJ$13:$AR$162,BN2664,0)+INDEX($AT$13:$BB$162,BO2664,0)+INDEX($BD$13:$BL$162,BP2664,0))/100)))&gt;0)*($D$10:$L$10-($D$9:$L$9+INT(($S$12:$AA$12+INDEX($AJ$13:$AR$162,BN2664,0)+INDEX($AT$13:$BB$162,BO2664,0)+INDEX($BD$13:$BL$162,BP2664,0))/100)))),0)</f>
        <v/>
      </c>
      <c r="BS2664">
        <f>IF(2651&lt;$U$9,SUMPRODUCT(($D$9:$L$9+INT(($S$12:$AA$12+INDEX($AJ$13:$AR$162,BN2664,0)+INDEX($AT$13:$BB$162,BO2664,0)+INDEX($BD$13:$BL$162,BP2664,0))/100))),0)</f>
        <v/>
      </c>
      <c r="BT2664">
        <f>IF(AND(2651&lt;$U$9,$W$5),BQ2664*1000000-MIN(BR2664,999)*1000+BS2664-2651/100000,-1000000000-2651)</f>
        <v/>
      </c>
    </row>
    <row r="2665">
      <c r="BN2665">
        <f>IF(2652&lt;$U$9,INT(2652/($U$7*$U$8))+1,1)</f>
        <v/>
      </c>
      <c r="BO2665">
        <f>IF(2652&lt;$U$9,MOD(INT(2652/$U$8),$U$7)+1,1)</f>
        <v/>
      </c>
      <c r="BP2665">
        <f>IF(2652&lt;$U$9,MOD(2652,$U$8)+1,1)</f>
        <v/>
      </c>
      <c r="BQ2665">
        <f>IF(2652&lt;$U$9,SUMPRODUCT(($D$10:$L$10&lt;&gt;"")*(($D$9:$L$9+INT(($S$12:$AA$12+INDEX($AJ$13:$AR$162,BN2665,0)+INDEX($AT$13:$BB$162,BO2665,0)+INDEX($BD$13:$BL$162,BP2665,0))/100))&gt;=$D$10:$L$10)),0)</f>
        <v/>
      </c>
      <c r="BR2665">
        <f>IF(2652&lt;$U$9,SUMPRODUCT(($D$10:$L$10&lt;&gt;"")*(($D$10:$L$10-($D$9:$L$9+INT(($S$12:$AA$12+INDEX($AJ$13:$AR$162,BN2665,0)+INDEX($AT$13:$BB$162,BO2665,0)+INDEX($BD$13:$BL$162,BP2665,0))/100)))&gt;0)*($D$10:$L$10-($D$9:$L$9+INT(($S$12:$AA$12+INDEX($AJ$13:$AR$162,BN2665,0)+INDEX($AT$13:$BB$162,BO2665,0)+INDEX($BD$13:$BL$162,BP2665,0))/100)))),0)</f>
        <v/>
      </c>
      <c r="BS2665">
        <f>IF(2652&lt;$U$9,SUMPRODUCT(($D$9:$L$9+INT(($S$12:$AA$12+INDEX($AJ$13:$AR$162,BN2665,0)+INDEX($AT$13:$BB$162,BO2665,0)+INDEX($BD$13:$BL$162,BP2665,0))/100))),0)</f>
        <v/>
      </c>
      <c r="BT2665">
        <f>IF(AND(2652&lt;$U$9,$W$5),BQ2665*1000000-MIN(BR2665,999)*1000+BS2665-2652/100000,-1000000000-2652)</f>
        <v/>
      </c>
    </row>
    <row r="2666">
      <c r="BN2666">
        <f>IF(2653&lt;$U$9,INT(2653/($U$7*$U$8))+1,1)</f>
        <v/>
      </c>
      <c r="BO2666">
        <f>IF(2653&lt;$U$9,MOD(INT(2653/$U$8),$U$7)+1,1)</f>
        <v/>
      </c>
      <c r="BP2666">
        <f>IF(2653&lt;$U$9,MOD(2653,$U$8)+1,1)</f>
        <v/>
      </c>
      <c r="BQ2666">
        <f>IF(2653&lt;$U$9,SUMPRODUCT(($D$10:$L$10&lt;&gt;"")*(($D$9:$L$9+INT(($S$12:$AA$12+INDEX($AJ$13:$AR$162,BN2666,0)+INDEX($AT$13:$BB$162,BO2666,0)+INDEX($BD$13:$BL$162,BP2666,0))/100))&gt;=$D$10:$L$10)),0)</f>
        <v/>
      </c>
      <c r="BR2666">
        <f>IF(2653&lt;$U$9,SUMPRODUCT(($D$10:$L$10&lt;&gt;"")*(($D$10:$L$10-($D$9:$L$9+INT(($S$12:$AA$12+INDEX($AJ$13:$AR$162,BN2666,0)+INDEX($AT$13:$BB$162,BO2666,0)+INDEX($BD$13:$BL$162,BP2666,0))/100)))&gt;0)*($D$10:$L$10-($D$9:$L$9+INT(($S$12:$AA$12+INDEX($AJ$13:$AR$162,BN2666,0)+INDEX($AT$13:$BB$162,BO2666,0)+INDEX($BD$13:$BL$162,BP2666,0))/100)))),0)</f>
        <v/>
      </c>
      <c r="BS2666">
        <f>IF(2653&lt;$U$9,SUMPRODUCT(($D$9:$L$9+INT(($S$12:$AA$12+INDEX($AJ$13:$AR$162,BN2666,0)+INDEX($AT$13:$BB$162,BO2666,0)+INDEX($BD$13:$BL$162,BP2666,0))/100))),0)</f>
        <v/>
      </c>
      <c r="BT2666">
        <f>IF(AND(2653&lt;$U$9,$W$5),BQ2666*1000000-MIN(BR2666,999)*1000+BS2666-2653/100000,-1000000000-2653)</f>
        <v/>
      </c>
    </row>
    <row r="2667">
      <c r="BN2667">
        <f>IF(2654&lt;$U$9,INT(2654/($U$7*$U$8))+1,1)</f>
        <v/>
      </c>
      <c r="BO2667">
        <f>IF(2654&lt;$U$9,MOD(INT(2654/$U$8),$U$7)+1,1)</f>
        <v/>
      </c>
      <c r="BP2667">
        <f>IF(2654&lt;$U$9,MOD(2654,$U$8)+1,1)</f>
        <v/>
      </c>
      <c r="BQ2667">
        <f>IF(2654&lt;$U$9,SUMPRODUCT(($D$10:$L$10&lt;&gt;"")*(($D$9:$L$9+INT(($S$12:$AA$12+INDEX($AJ$13:$AR$162,BN2667,0)+INDEX($AT$13:$BB$162,BO2667,0)+INDEX($BD$13:$BL$162,BP2667,0))/100))&gt;=$D$10:$L$10)),0)</f>
        <v/>
      </c>
      <c r="BR2667">
        <f>IF(2654&lt;$U$9,SUMPRODUCT(($D$10:$L$10&lt;&gt;"")*(($D$10:$L$10-($D$9:$L$9+INT(($S$12:$AA$12+INDEX($AJ$13:$AR$162,BN2667,0)+INDEX($AT$13:$BB$162,BO2667,0)+INDEX($BD$13:$BL$162,BP2667,0))/100)))&gt;0)*($D$10:$L$10-($D$9:$L$9+INT(($S$12:$AA$12+INDEX($AJ$13:$AR$162,BN2667,0)+INDEX($AT$13:$BB$162,BO2667,0)+INDEX($BD$13:$BL$162,BP2667,0))/100)))),0)</f>
        <v/>
      </c>
      <c r="BS2667">
        <f>IF(2654&lt;$U$9,SUMPRODUCT(($D$9:$L$9+INT(($S$12:$AA$12+INDEX($AJ$13:$AR$162,BN2667,0)+INDEX($AT$13:$BB$162,BO2667,0)+INDEX($BD$13:$BL$162,BP2667,0))/100))),0)</f>
        <v/>
      </c>
      <c r="BT2667">
        <f>IF(AND(2654&lt;$U$9,$W$5),BQ2667*1000000-MIN(BR2667,999)*1000+BS2667-2654/100000,-1000000000-2654)</f>
        <v/>
      </c>
    </row>
    <row r="2668">
      <c r="BN2668">
        <f>IF(2655&lt;$U$9,INT(2655/($U$7*$U$8))+1,1)</f>
        <v/>
      </c>
      <c r="BO2668">
        <f>IF(2655&lt;$U$9,MOD(INT(2655/$U$8),$U$7)+1,1)</f>
        <v/>
      </c>
      <c r="BP2668">
        <f>IF(2655&lt;$U$9,MOD(2655,$U$8)+1,1)</f>
        <v/>
      </c>
      <c r="BQ2668">
        <f>IF(2655&lt;$U$9,SUMPRODUCT(($D$10:$L$10&lt;&gt;"")*(($D$9:$L$9+INT(($S$12:$AA$12+INDEX($AJ$13:$AR$162,BN2668,0)+INDEX($AT$13:$BB$162,BO2668,0)+INDEX($BD$13:$BL$162,BP2668,0))/100))&gt;=$D$10:$L$10)),0)</f>
        <v/>
      </c>
      <c r="BR2668">
        <f>IF(2655&lt;$U$9,SUMPRODUCT(($D$10:$L$10&lt;&gt;"")*(($D$10:$L$10-($D$9:$L$9+INT(($S$12:$AA$12+INDEX($AJ$13:$AR$162,BN2668,0)+INDEX($AT$13:$BB$162,BO2668,0)+INDEX($BD$13:$BL$162,BP2668,0))/100)))&gt;0)*($D$10:$L$10-($D$9:$L$9+INT(($S$12:$AA$12+INDEX($AJ$13:$AR$162,BN2668,0)+INDEX($AT$13:$BB$162,BO2668,0)+INDEX($BD$13:$BL$162,BP2668,0))/100)))),0)</f>
        <v/>
      </c>
      <c r="BS2668">
        <f>IF(2655&lt;$U$9,SUMPRODUCT(($D$9:$L$9+INT(($S$12:$AA$12+INDEX($AJ$13:$AR$162,BN2668,0)+INDEX($AT$13:$BB$162,BO2668,0)+INDEX($BD$13:$BL$162,BP2668,0))/100))),0)</f>
        <v/>
      </c>
      <c r="BT2668">
        <f>IF(AND(2655&lt;$U$9,$W$5),BQ2668*1000000-MIN(BR2668,999)*1000+BS2668-2655/100000,-1000000000-2655)</f>
        <v/>
      </c>
    </row>
    <row r="2669">
      <c r="BN2669">
        <f>IF(2656&lt;$U$9,INT(2656/($U$7*$U$8))+1,1)</f>
        <v/>
      </c>
      <c r="BO2669">
        <f>IF(2656&lt;$U$9,MOD(INT(2656/$U$8),$U$7)+1,1)</f>
        <v/>
      </c>
      <c r="BP2669">
        <f>IF(2656&lt;$U$9,MOD(2656,$U$8)+1,1)</f>
        <v/>
      </c>
      <c r="BQ2669">
        <f>IF(2656&lt;$U$9,SUMPRODUCT(($D$10:$L$10&lt;&gt;"")*(($D$9:$L$9+INT(($S$12:$AA$12+INDEX($AJ$13:$AR$162,BN2669,0)+INDEX($AT$13:$BB$162,BO2669,0)+INDEX($BD$13:$BL$162,BP2669,0))/100))&gt;=$D$10:$L$10)),0)</f>
        <v/>
      </c>
      <c r="BR2669">
        <f>IF(2656&lt;$U$9,SUMPRODUCT(($D$10:$L$10&lt;&gt;"")*(($D$10:$L$10-($D$9:$L$9+INT(($S$12:$AA$12+INDEX($AJ$13:$AR$162,BN2669,0)+INDEX($AT$13:$BB$162,BO2669,0)+INDEX($BD$13:$BL$162,BP2669,0))/100)))&gt;0)*($D$10:$L$10-($D$9:$L$9+INT(($S$12:$AA$12+INDEX($AJ$13:$AR$162,BN2669,0)+INDEX($AT$13:$BB$162,BO2669,0)+INDEX($BD$13:$BL$162,BP2669,0))/100)))),0)</f>
        <v/>
      </c>
      <c r="BS2669">
        <f>IF(2656&lt;$U$9,SUMPRODUCT(($D$9:$L$9+INT(($S$12:$AA$12+INDEX($AJ$13:$AR$162,BN2669,0)+INDEX($AT$13:$BB$162,BO2669,0)+INDEX($BD$13:$BL$162,BP2669,0))/100))),0)</f>
        <v/>
      </c>
      <c r="BT2669">
        <f>IF(AND(2656&lt;$U$9,$W$5),BQ2669*1000000-MIN(BR2669,999)*1000+BS2669-2656/100000,-1000000000-2656)</f>
        <v/>
      </c>
    </row>
    <row r="2670">
      <c r="BN2670">
        <f>IF(2657&lt;$U$9,INT(2657/($U$7*$U$8))+1,1)</f>
        <v/>
      </c>
      <c r="BO2670">
        <f>IF(2657&lt;$U$9,MOD(INT(2657/$U$8),$U$7)+1,1)</f>
        <v/>
      </c>
      <c r="BP2670">
        <f>IF(2657&lt;$U$9,MOD(2657,$U$8)+1,1)</f>
        <v/>
      </c>
      <c r="BQ2670">
        <f>IF(2657&lt;$U$9,SUMPRODUCT(($D$10:$L$10&lt;&gt;"")*(($D$9:$L$9+INT(($S$12:$AA$12+INDEX($AJ$13:$AR$162,BN2670,0)+INDEX($AT$13:$BB$162,BO2670,0)+INDEX($BD$13:$BL$162,BP2670,0))/100))&gt;=$D$10:$L$10)),0)</f>
        <v/>
      </c>
      <c r="BR2670">
        <f>IF(2657&lt;$U$9,SUMPRODUCT(($D$10:$L$10&lt;&gt;"")*(($D$10:$L$10-($D$9:$L$9+INT(($S$12:$AA$12+INDEX($AJ$13:$AR$162,BN2670,0)+INDEX($AT$13:$BB$162,BO2670,0)+INDEX($BD$13:$BL$162,BP2670,0))/100)))&gt;0)*($D$10:$L$10-($D$9:$L$9+INT(($S$12:$AA$12+INDEX($AJ$13:$AR$162,BN2670,0)+INDEX($AT$13:$BB$162,BO2670,0)+INDEX($BD$13:$BL$162,BP2670,0))/100)))),0)</f>
        <v/>
      </c>
      <c r="BS2670">
        <f>IF(2657&lt;$U$9,SUMPRODUCT(($D$9:$L$9+INT(($S$12:$AA$12+INDEX($AJ$13:$AR$162,BN2670,0)+INDEX($AT$13:$BB$162,BO2670,0)+INDEX($BD$13:$BL$162,BP2670,0))/100))),0)</f>
        <v/>
      </c>
      <c r="BT2670">
        <f>IF(AND(2657&lt;$U$9,$W$5),BQ2670*1000000-MIN(BR2670,999)*1000+BS2670-2657/100000,-1000000000-2657)</f>
        <v/>
      </c>
    </row>
    <row r="2671">
      <c r="BN2671">
        <f>IF(2658&lt;$U$9,INT(2658/($U$7*$U$8))+1,1)</f>
        <v/>
      </c>
      <c r="BO2671">
        <f>IF(2658&lt;$U$9,MOD(INT(2658/$U$8),$U$7)+1,1)</f>
        <v/>
      </c>
      <c r="BP2671">
        <f>IF(2658&lt;$U$9,MOD(2658,$U$8)+1,1)</f>
        <v/>
      </c>
      <c r="BQ2671">
        <f>IF(2658&lt;$U$9,SUMPRODUCT(($D$10:$L$10&lt;&gt;"")*(($D$9:$L$9+INT(($S$12:$AA$12+INDEX($AJ$13:$AR$162,BN2671,0)+INDEX($AT$13:$BB$162,BO2671,0)+INDEX($BD$13:$BL$162,BP2671,0))/100))&gt;=$D$10:$L$10)),0)</f>
        <v/>
      </c>
      <c r="BR2671">
        <f>IF(2658&lt;$U$9,SUMPRODUCT(($D$10:$L$10&lt;&gt;"")*(($D$10:$L$10-($D$9:$L$9+INT(($S$12:$AA$12+INDEX($AJ$13:$AR$162,BN2671,0)+INDEX($AT$13:$BB$162,BO2671,0)+INDEX($BD$13:$BL$162,BP2671,0))/100)))&gt;0)*($D$10:$L$10-($D$9:$L$9+INT(($S$12:$AA$12+INDEX($AJ$13:$AR$162,BN2671,0)+INDEX($AT$13:$BB$162,BO2671,0)+INDEX($BD$13:$BL$162,BP2671,0))/100)))),0)</f>
        <v/>
      </c>
      <c r="BS2671">
        <f>IF(2658&lt;$U$9,SUMPRODUCT(($D$9:$L$9+INT(($S$12:$AA$12+INDEX($AJ$13:$AR$162,BN2671,0)+INDEX($AT$13:$BB$162,BO2671,0)+INDEX($BD$13:$BL$162,BP2671,0))/100))),0)</f>
        <v/>
      </c>
      <c r="BT2671">
        <f>IF(AND(2658&lt;$U$9,$W$5),BQ2671*1000000-MIN(BR2671,999)*1000+BS2671-2658/100000,-1000000000-2658)</f>
        <v/>
      </c>
    </row>
    <row r="2672">
      <c r="BN2672">
        <f>IF(2659&lt;$U$9,INT(2659/($U$7*$U$8))+1,1)</f>
        <v/>
      </c>
      <c r="BO2672">
        <f>IF(2659&lt;$U$9,MOD(INT(2659/$U$8),$U$7)+1,1)</f>
        <v/>
      </c>
      <c r="BP2672">
        <f>IF(2659&lt;$U$9,MOD(2659,$U$8)+1,1)</f>
        <v/>
      </c>
      <c r="BQ2672">
        <f>IF(2659&lt;$U$9,SUMPRODUCT(($D$10:$L$10&lt;&gt;"")*(($D$9:$L$9+INT(($S$12:$AA$12+INDEX($AJ$13:$AR$162,BN2672,0)+INDEX($AT$13:$BB$162,BO2672,0)+INDEX($BD$13:$BL$162,BP2672,0))/100))&gt;=$D$10:$L$10)),0)</f>
        <v/>
      </c>
      <c r="BR2672">
        <f>IF(2659&lt;$U$9,SUMPRODUCT(($D$10:$L$10&lt;&gt;"")*(($D$10:$L$10-($D$9:$L$9+INT(($S$12:$AA$12+INDEX($AJ$13:$AR$162,BN2672,0)+INDEX($AT$13:$BB$162,BO2672,0)+INDEX($BD$13:$BL$162,BP2672,0))/100)))&gt;0)*($D$10:$L$10-($D$9:$L$9+INT(($S$12:$AA$12+INDEX($AJ$13:$AR$162,BN2672,0)+INDEX($AT$13:$BB$162,BO2672,0)+INDEX($BD$13:$BL$162,BP2672,0))/100)))),0)</f>
        <v/>
      </c>
      <c r="BS2672">
        <f>IF(2659&lt;$U$9,SUMPRODUCT(($D$9:$L$9+INT(($S$12:$AA$12+INDEX($AJ$13:$AR$162,BN2672,0)+INDEX($AT$13:$BB$162,BO2672,0)+INDEX($BD$13:$BL$162,BP2672,0))/100))),0)</f>
        <v/>
      </c>
      <c r="BT2672">
        <f>IF(AND(2659&lt;$U$9,$W$5),BQ2672*1000000-MIN(BR2672,999)*1000+BS2672-2659/100000,-1000000000-2659)</f>
        <v/>
      </c>
    </row>
    <row r="2673">
      <c r="BN2673">
        <f>IF(2660&lt;$U$9,INT(2660/($U$7*$U$8))+1,1)</f>
        <v/>
      </c>
      <c r="BO2673">
        <f>IF(2660&lt;$U$9,MOD(INT(2660/$U$8),$U$7)+1,1)</f>
        <v/>
      </c>
      <c r="BP2673">
        <f>IF(2660&lt;$U$9,MOD(2660,$U$8)+1,1)</f>
        <v/>
      </c>
      <c r="BQ2673">
        <f>IF(2660&lt;$U$9,SUMPRODUCT(($D$10:$L$10&lt;&gt;"")*(($D$9:$L$9+INT(($S$12:$AA$12+INDEX($AJ$13:$AR$162,BN2673,0)+INDEX($AT$13:$BB$162,BO2673,0)+INDEX($BD$13:$BL$162,BP2673,0))/100))&gt;=$D$10:$L$10)),0)</f>
        <v/>
      </c>
      <c r="BR2673">
        <f>IF(2660&lt;$U$9,SUMPRODUCT(($D$10:$L$10&lt;&gt;"")*(($D$10:$L$10-($D$9:$L$9+INT(($S$12:$AA$12+INDEX($AJ$13:$AR$162,BN2673,0)+INDEX($AT$13:$BB$162,BO2673,0)+INDEX($BD$13:$BL$162,BP2673,0))/100)))&gt;0)*($D$10:$L$10-($D$9:$L$9+INT(($S$12:$AA$12+INDEX($AJ$13:$AR$162,BN2673,0)+INDEX($AT$13:$BB$162,BO2673,0)+INDEX($BD$13:$BL$162,BP2673,0))/100)))),0)</f>
        <v/>
      </c>
      <c r="BS2673">
        <f>IF(2660&lt;$U$9,SUMPRODUCT(($D$9:$L$9+INT(($S$12:$AA$12+INDEX($AJ$13:$AR$162,BN2673,0)+INDEX($AT$13:$BB$162,BO2673,0)+INDEX($BD$13:$BL$162,BP2673,0))/100))),0)</f>
        <v/>
      </c>
      <c r="BT2673">
        <f>IF(AND(2660&lt;$U$9,$W$5),BQ2673*1000000-MIN(BR2673,999)*1000+BS2673-2660/100000,-1000000000-2660)</f>
        <v/>
      </c>
    </row>
    <row r="2674">
      <c r="BN2674">
        <f>IF(2661&lt;$U$9,INT(2661/($U$7*$U$8))+1,1)</f>
        <v/>
      </c>
      <c r="BO2674">
        <f>IF(2661&lt;$U$9,MOD(INT(2661/$U$8),$U$7)+1,1)</f>
        <v/>
      </c>
      <c r="BP2674">
        <f>IF(2661&lt;$U$9,MOD(2661,$U$8)+1,1)</f>
        <v/>
      </c>
      <c r="BQ2674">
        <f>IF(2661&lt;$U$9,SUMPRODUCT(($D$10:$L$10&lt;&gt;"")*(($D$9:$L$9+INT(($S$12:$AA$12+INDEX($AJ$13:$AR$162,BN2674,0)+INDEX($AT$13:$BB$162,BO2674,0)+INDEX($BD$13:$BL$162,BP2674,0))/100))&gt;=$D$10:$L$10)),0)</f>
        <v/>
      </c>
      <c r="BR2674">
        <f>IF(2661&lt;$U$9,SUMPRODUCT(($D$10:$L$10&lt;&gt;"")*(($D$10:$L$10-($D$9:$L$9+INT(($S$12:$AA$12+INDEX($AJ$13:$AR$162,BN2674,0)+INDEX($AT$13:$BB$162,BO2674,0)+INDEX($BD$13:$BL$162,BP2674,0))/100)))&gt;0)*($D$10:$L$10-($D$9:$L$9+INT(($S$12:$AA$12+INDEX($AJ$13:$AR$162,BN2674,0)+INDEX($AT$13:$BB$162,BO2674,0)+INDEX($BD$13:$BL$162,BP2674,0))/100)))),0)</f>
        <v/>
      </c>
      <c r="BS2674">
        <f>IF(2661&lt;$U$9,SUMPRODUCT(($D$9:$L$9+INT(($S$12:$AA$12+INDEX($AJ$13:$AR$162,BN2674,0)+INDEX($AT$13:$BB$162,BO2674,0)+INDEX($BD$13:$BL$162,BP2674,0))/100))),0)</f>
        <v/>
      </c>
      <c r="BT2674">
        <f>IF(AND(2661&lt;$U$9,$W$5),BQ2674*1000000-MIN(BR2674,999)*1000+BS2674-2661/100000,-1000000000-2661)</f>
        <v/>
      </c>
    </row>
    <row r="2675">
      <c r="BN2675">
        <f>IF(2662&lt;$U$9,INT(2662/($U$7*$U$8))+1,1)</f>
        <v/>
      </c>
      <c r="BO2675">
        <f>IF(2662&lt;$U$9,MOD(INT(2662/$U$8),$U$7)+1,1)</f>
        <v/>
      </c>
      <c r="BP2675">
        <f>IF(2662&lt;$U$9,MOD(2662,$U$8)+1,1)</f>
        <v/>
      </c>
      <c r="BQ2675">
        <f>IF(2662&lt;$U$9,SUMPRODUCT(($D$10:$L$10&lt;&gt;"")*(($D$9:$L$9+INT(($S$12:$AA$12+INDEX($AJ$13:$AR$162,BN2675,0)+INDEX($AT$13:$BB$162,BO2675,0)+INDEX($BD$13:$BL$162,BP2675,0))/100))&gt;=$D$10:$L$10)),0)</f>
        <v/>
      </c>
      <c r="BR2675">
        <f>IF(2662&lt;$U$9,SUMPRODUCT(($D$10:$L$10&lt;&gt;"")*(($D$10:$L$10-($D$9:$L$9+INT(($S$12:$AA$12+INDEX($AJ$13:$AR$162,BN2675,0)+INDEX($AT$13:$BB$162,BO2675,0)+INDEX($BD$13:$BL$162,BP2675,0))/100)))&gt;0)*($D$10:$L$10-($D$9:$L$9+INT(($S$12:$AA$12+INDEX($AJ$13:$AR$162,BN2675,0)+INDEX($AT$13:$BB$162,BO2675,0)+INDEX($BD$13:$BL$162,BP2675,0))/100)))),0)</f>
        <v/>
      </c>
      <c r="BS2675">
        <f>IF(2662&lt;$U$9,SUMPRODUCT(($D$9:$L$9+INT(($S$12:$AA$12+INDEX($AJ$13:$AR$162,BN2675,0)+INDEX($AT$13:$BB$162,BO2675,0)+INDEX($BD$13:$BL$162,BP2675,0))/100))),0)</f>
        <v/>
      </c>
      <c r="BT2675">
        <f>IF(AND(2662&lt;$U$9,$W$5),BQ2675*1000000-MIN(BR2675,999)*1000+BS2675-2662/100000,-1000000000-2662)</f>
        <v/>
      </c>
    </row>
    <row r="2676">
      <c r="BN2676">
        <f>IF(2663&lt;$U$9,INT(2663/($U$7*$U$8))+1,1)</f>
        <v/>
      </c>
      <c r="BO2676">
        <f>IF(2663&lt;$U$9,MOD(INT(2663/$U$8),$U$7)+1,1)</f>
        <v/>
      </c>
      <c r="BP2676">
        <f>IF(2663&lt;$U$9,MOD(2663,$U$8)+1,1)</f>
        <v/>
      </c>
      <c r="BQ2676">
        <f>IF(2663&lt;$U$9,SUMPRODUCT(($D$10:$L$10&lt;&gt;"")*(($D$9:$L$9+INT(($S$12:$AA$12+INDEX($AJ$13:$AR$162,BN2676,0)+INDEX($AT$13:$BB$162,BO2676,0)+INDEX($BD$13:$BL$162,BP2676,0))/100))&gt;=$D$10:$L$10)),0)</f>
        <v/>
      </c>
      <c r="BR2676">
        <f>IF(2663&lt;$U$9,SUMPRODUCT(($D$10:$L$10&lt;&gt;"")*(($D$10:$L$10-($D$9:$L$9+INT(($S$12:$AA$12+INDEX($AJ$13:$AR$162,BN2676,0)+INDEX($AT$13:$BB$162,BO2676,0)+INDEX($BD$13:$BL$162,BP2676,0))/100)))&gt;0)*($D$10:$L$10-($D$9:$L$9+INT(($S$12:$AA$12+INDEX($AJ$13:$AR$162,BN2676,0)+INDEX($AT$13:$BB$162,BO2676,0)+INDEX($BD$13:$BL$162,BP2676,0))/100)))),0)</f>
        <v/>
      </c>
      <c r="BS2676">
        <f>IF(2663&lt;$U$9,SUMPRODUCT(($D$9:$L$9+INT(($S$12:$AA$12+INDEX($AJ$13:$AR$162,BN2676,0)+INDEX($AT$13:$BB$162,BO2676,0)+INDEX($BD$13:$BL$162,BP2676,0))/100))),0)</f>
        <v/>
      </c>
      <c r="BT2676">
        <f>IF(AND(2663&lt;$U$9,$W$5),BQ2676*1000000-MIN(BR2676,999)*1000+BS2676-2663/100000,-1000000000-2663)</f>
        <v/>
      </c>
    </row>
    <row r="2677">
      <c r="BN2677">
        <f>IF(2664&lt;$U$9,INT(2664/($U$7*$U$8))+1,1)</f>
        <v/>
      </c>
      <c r="BO2677">
        <f>IF(2664&lt;$U$9,MOD(INT(2664/$U$8),$U$7)+1,1)</f>
        <v/>
      </c>
      <c r="BP2677">
        <f>IF(2664&lt;$U$9,MOD(2664,$U$8)+1,1)</f>
        <v/>
      </c>
      <c r="BQ2677">
        <f>IF(2664&lt;$U$9,SUMPRODUCT(($D$10:$L$10&lt;&gt;"")*(($D$9:$L$9+INT(($S$12:$AA$12+INDEX($AJ$13:$AR$162,BN2677,0)+INDEX($AT$13:$BB$162,BO2677,0)+INDEX($BD$13:$BL$162,BP2677,0))/100))&gt;=$D$10:$L$10)),0)</f>
        <v/>
      </c>
      <c r="BR2677">
        <f>IF(2664&lt;$U$9,SUMPRODUCT(($D$10:$L$10&lt;&gt;"")*(($D$10:$L$10-($D$9:$L$9+INT(($S$12:$AA$12+INDEX($AJ$13:$AR$162,BN2677,0)+INDEX($AT$13:$BB$162,BO2677,0)+INDEX($BD$13:$BL$162,BP2677,0))/100)))&gt;0)*($D$10:$L$10-($D$9:$L$9+INT(($S$12:$AA$12+INDEX($AJ$13:$AR$162,BN2677,0)+INDEX($AT$13:$BB$162,BO2677,0)+INDEX($BD$13:$BL$162,BP2677,0))/100)))),0)</f>
        <v/>
      </c>
      <c r="BS2677">
        <f>IF(2664&lt;$U$9,SUMPRODUCT(($D$9:$L$9+INT(($S$12:$AA$12+INDEX($AJ$13:$AR$162,BN2677,0)+INDEX($AT$13:$BB$162,BO2677,0)+INDEX($BD$13:$BL$162,BP2677,0))/100))),0)</f>
        <v/>
      </c>
      <c r="BT2677">
        <f>IF(AND(2664&lt;$U$9,$W$5),BQ2677*1000000-MIN(BR2677,999)*1000+BS2677-2664/100000,-1000000000-2664)</f>
        <v/>
      </c>
    </row>
    <row r="2678">
      <c r="BN2678">
        <f>IF(2665&lt;$U$9,INT(2665/($U$7*$U$8))+1,1)</f>
        <v/>
      </c>
      <c r="BO2678">
        <f>IF(2665&lt;$U$9,MOD(INT(2665/$U$8),$U$7)+1,1)</f>
        <v/>
      </c>
      <c r="BP2678">
        <f>IF(2665&lt;$U$9,MOD(2665,$U$8)+1,1)</f>
        <v/>
      </c>
      <c r="BQ2678">
        <f>IF(2665&lt;$U$9,SUMPRODUCT(($D$10:$L$10&lt;&gt;"")*(($D$9:$L$9+INT(($S$12:$AA$12+INDEX($AJ$13:$AR$162,BN2678,0)+INDEX($AT$13:$BB$162,BO2678,0)+INDEX($BD$13:$BL$162,BP2678,0))/100))&gt;=$D$10:$L$10)),0)</f>
        <v/>
      </c>
      <c r="BR2678">
        <f>IF(2665&lt;$U$9,SUMPRODUCT(($D$10:$L$10&lt;&gt;"")*(($D$10:$L$10-($D$9:$L$9+INT(($S$12:$AA$12+INDEX($AJ$13:$AR$162,BN2678,0)+INDEX($AT$13:$BB$162,BO2678,0)+INDEX($BD$13:$BL$162,BP2678,0))/100)))&gt;0)*($D$10:$L$10-($D$9:$L$9+INT(($S$12:$AA$12+INDEX($AJ$13:$AR$162,BN2678,0)+INDEX($AT$13:$BB$162,BO2678,0)+INDEX($BD$13:$BL$162,BP2678,0))/100)))),0)</f>
        <v/>
      </c>
      <c r="BS2678">
        <f>IF(2665&lt;$U$9,SUMPRODUCT(($D$9:$L$9+INT(($S$12:$AA$12+INDEX($AJ$13:$AR$162,BN2678,0)+INDEX($AT$13:$BB$162,BO2678,0)+INDEX($BD$13:$BL$162,BP2678,0))/100))),0)</f>
        <v/>
      </c>
      <c r="BT2678">
        <f>IF(AND(2665&lt;$U$9,$W$5),BQ2678*1000000-MIN(BR2678,999)*1000+BS2678-2665/100000,-1000000000-2665)</f>
        <v/>
      </c>
    </row>
    <row r="2679">
      <c r="BN2679">
        <f>IF(2666&lt;$U$9,INT(2666/($U$7*$U$8))+1,1)</f>
        <v/>
      </c>
      <c r="BO2679">
        <f>IF(2666&lt;$U$9,MOD(INT(2666/$U$8),$U$7)+1,1)</f>
        <v/>
      </c>
      <c r="BP2679">
        <f>IF(2666&lt;$U$9,MOD(2666,$U$8)+1,1)</f>
        <v/>
      </c>
      <c r="BQ2679">
        <f>IF(2666&lt;$U$9,SUMPRODUCT(($D$10:$L$10&lt;&gt;"")*(($D$9:$L$9+INT(($S$12:$AA$12+INDEX($AJ$13:$AR$162,BN2679,0)+INDEX($AT$13:$BB$162,BO2679,0)+INDEX($BD$13:$BL$162,BP2679,0))/100))&gt;=$D$10:$L$10)),0)</f>
        <v/>
      </c>
      <c r="BR2679">
        <f>IF(2666&lt;$U$9,SUMPRODUCT(($D$10:$L$10&lt;&gt;"")*(($D$10:$L$10-($D$9:$L$9+INT(($S$12:$AA$12+INDEX($AJ$13:$AR$162,BN2679,0)+INDEX($AT$13:$BB$162,BO2679,0)+INDEX($BD$13:$BL$162,BP2679,0))/100)))&gt;0)*($D$10:$L$10-($D$9:$L$9+INT(($S$12:$AA$12+INDEX($AJ$13:$AR$162,BN2679,0)+INDEX($AT$13:$BB$162,BO2679,0)+INDEX($BD$13:$BL$162,BP2679,0))/100)))),0)</f>
        <v/>
      </c>
      <c r="BS2679">
        <f>IF(2666&lt;$U$9,SUMPRODUCT(($D$9:$L$9+INT(($S$12:$AA$12+INDEX($AJ$13:$AR$162,BN2679,0)+INDEX($AT$13:$BB$162,BO2679,0)+INDEX($BD$13:$BL$162,BP2679,0))/100))),0)</f>
        <v/>
      </c>
      <c r="BT2679">
        <f>IF(AND(2666&lt;$U$9,$W$5),BQ2679*1000000-MIN(BR2679,999)*1000+BS2679-2666/100000,-1000000000-2666)</f>
        <v/>
      </c>
    </row>
    <row r="2680">
      <c r="BN2680">
        <f>IF(2667&lt;$U$9,INT(2667/($U$7*$U$8))+1,1)</f>
        <v/>
      </c>
      <c r="BO2680">
        <f>IF(2667&lt;$U$9,MOD(INT(2667/$U$8),$U$7)+1,1)</f>
        <v/>
      </c>
      <c r="BP2680">
        <f>IF(2667&lt;$U$9,MOD(2667,$U$8)+1,1)</f>
        <v/>
      </c>
      <c r="BQ2680">
        <f>IF(2667&lt;$U$9,SUMPRODUCT(($D$10:$L$10&lt;&gt;"")*(($D$9:$L$9+INT(($S$12:$AA$12+INDEX($AJ$13:$AR$162,BN2680,0)+INDEX($AT$13:$BB$162,BO2680,0)+INDEX($BD$13:$BL$162,BP2680,0))/100))&gt;=$D$10:$L$10)),0)</f>
        <v/>
      </c>
      <c r="BR2680">
        <f>IF(2667&lt;$U$9,SUMPRODUCT(($D$10:$L$10&lt;&gt;"")*(($D$10:$L$10-($D$9:$L$9+INT(($S$12:$AA$12+INDEX($AJ$13:$AR$162,BN2680,0)+INDEX($AT$13:$BB$162,BO2680,0)+INDEX($BD$13:$BL$162,BP2680,0))/100)))&gt;0)*($D$10:$L$10-($D$9:$L$9+INT(($S$12:$AA$12+INDEX($AJ$13:$AR$162,BN2680,0)+INDEX($AT$13:$BB$162,BO2680,0)+INDEX($BD$13:$BL$162,BP2680,0))/100)))),0)</f>
        <v/>
      </c>
      <c r="BS2680">
        <f>IF(2667&lt;$U$9,SUMPRODUCT(($D$9:$L$9+INT(($S$12:$AA$12+INDEX($AJ$13:$AR$162,BN2680,0)+INDEX($AT$13:$BB$162,BO2680,0)+INDEX($BD$13:$BL$162,BP2680,0))/100))),0)</f>
        <v/>
      </c>
      <c r="BT2680">
        <f>IF(AND(2667&lt;$U$9,$W$5),BQ2680*1000000-MIN(BR2680,999)*1000+BS2680-2667/100000,-1000000000-2667)</f>
        <v/>
      </c>
    </row>
    <row r="2681">
      <c r="BN2681">
        <f>IF(2668&lt;$U$9,INT(2668/($U$7*$U$8))+1,1)</f>
        <v/>
      </c>
      <c r="BO2681">
        <f>IF(2668&lt;$U$9,MOD(INT(2668/$U$8),$U$7)+1,1)</f>
        <v/>
      </c>
      <c r="BP2681">
        <f>IF(2668&lt;$U$9,MOD(2668,$U$8)+1,1)</f>
        <v/>
      </c>
      <c r="BQ2681">
        <f>IF(2668&lt;$U$9,SUMPRODUCT(($D$10:$L$10&lt;&gt;"")*(($D$9:$L$9+INT(($S$12:$AA$12+INDEX($AJ$13:$AR$162,BN2681,0)+INDEX($AT$13:$BB$162,BO2681,0)+INDEX($BD$13:$BL$162,BP2681,0))/100))&gt;=$D$10:$L$10)),0)</f>
        <v/>
      </c>
      <c r="BR2681">
        <f>IF(2668&lt;$U$9,SUMPRODUCT(($D$10:$L$10&lt;&gt;"")*(($D$10:$L$10-($D$9:$L$9+INT(($S$12:$AA$12+INDEX($AJ$13:$AR$162,BN2681,0)+INDEX($AT$13:$BB$162,BO2681,0)+INDEX($BD$13:$BL$162,BP2681,0))/100)))&gt;0)*($D$10:$L$10-($D$9:$L$9+INT(($S$12:$AA$12+INDEX($AJ$13:$AR$162,BN2681,0)+INDEX($AT$13:$BB$162,BO2681,0)+INDEX($BD$13:$BL$162,BP2681,0))/100)))),0)</f>
        <v/>
      </c>
      <c r="BS2681">
        <f>IF(2668&lt;$U$9,SUMPRODUCT(($D$9:$L$9+INT(($S$12:$AA$12+INDEX($AJ$13:$AR$162,BN2681,0)+INDEX($AT$13:$BB$162,BO2681,0)+INDEX($BD$13:$BL$162,BP2681,0))/100))),0)</f>
        <v/>
      </c>
      <c r="BT2681">
        <f>IF(AND(2668&lt;$U$9,$W$5),BQ2681*1000000-MIN(BR2681,999)*1000+BS2681-2668/100000,-1000000000-2668)</f>
        <v/>
      </c>
    </row>
    <row r="2682">
      <c r="BN2682">
        <f>IF(2669&lt;$U$9,INT(2669/($U$7*$U$8))+1,1)</f>
        <v/>
      </c>
      <c r="BO2682">
        <f>IF(2669&lt;$U$9,MOD(INT(2669/$U$8),$U$7)+1,1)</f>
        <v/>
      </c>
      <c r="BP2682">
        <f>IF(2669&lt;$U$9,MOD(2669,$U$8)+1,1)</f>
        <v/>
      </c>
      <c r="BQ2682">
        <f>IF(2669&lt;$U$9,SUMPRODUCT(($D$10:$L$10&lt;&gt;"")*(($D$9:$L$9+INT(($S$12:$AA$12+INDEX($AJ$13:$AR$162,BN2682,0)+INDEX($AT$13:$BB$162,BO2682,0)+INDEX($BD$13:$BL$162,BP2682,0))/100))&gt;=$D$10:$L$10)),0)</f>
        <v/>
      </c>
      <c r="BR2682">
        <f>IF(2669&lt;$U$9,SUMPRODUCT(($D$10:$L$10&lt;&gt;"")*(($D$10:$L$10-($D$9:$L$9+INT(($S$12:$AA$12+INDEX($AJ$13:$AR$162,BN2682,0)+INDEX($AT$13:$BB$162,BO2682,0)+INDEX($BD$13:$BL$162,BP2682,0))/100)))&gt;0)*($D$10:$L$10-($D$9:$L$9+INT(($S$12:$AA$12+INDEX($AJ$13:$AR$162,BN2682,0)+INDEX($AT$13:$BB$162,BO2682,0)+INDEX($BD$13:$BL$162,BP2682,0))/100)))),0)</f>
        <v/>
      </c>
      <c r="BS2682">
        <f>IF(2669&lt;$U$9,SUMPRODUCT(($D$9:$L$9+INT(($S$12:$AA$12+INDEX($AJ$13:$AR$162,BN2682,0)+INDEX($AT$13:$BB$162,BO2682,0)+INDEX($BD$13:$BL$162,BP2682,0))/100))),0)</f>
        <v/>
      </c>
      <c r="BT2682">
        <f>IF(AND(2669&lt;$U$9,$W$5),BQ2682*1000000-MIN(BR2682,999)*1000+BS2682-2669/100000,-1000000000-2669)</f>
        <v/>
      </c>
    </row>
    <row r="2683">
      <c r="BN2683">
        <f>IF(2670&lt;$U$9,INT(2670/($U$7*$U$8))+1,1)</f>
        <v/>
      </c>
      <c r="BO2683">
        <f>IF(2670&lt;$U$9,MOD(INT(2670/$U$8),$U$7)+1,1)</f>
        <v/>
      </c>
      <c r="BP2683">
        <f>IF(2670&lt;$U$9,MOD(2670,$U$8)+1,1)</f>
        <v/>
      </c>
      <c r="BQ2683">
        <f>IF(2670&lt;$U$9,SUMPRODUCT(($D$10:$L$10&lt;&gt;"")*(($D$9:$L$9+INT(($S$12:$AA$12+INDEX($AJ$13:$AR$162,BN2683,0)+INDEX($AT$13:$BB$162,BO2683,0)+INDEX($BD$13:$BL$162,BP2683,0))/100))&gt;=$D$10:$L$10)),0)</f>
        <v/>
      </c>
      <c r="BR2683">
        <f>IF(2670&lt;$U$9,SUMPRODUCT(($D$10:$L$10&lt;&gt;"")*(($D$10:$L$10-($D$9:$L$9+INT(($S$12:$AA$12+INDEX($AJ$13:$AR$162,BN2683,0)+INDEX($AT$13:$BB$162,BO2683,0)+INDEX($BD$13:$BL$162,BP2683,0))/100)))&gt;0)*($D$10:$L$10-($D$9:$L$9+INT(($S$12:$AA$12+INDEX($AJ$13:$AR$162,BN2683,0)+INDEX($AT$13:$BB$162,BO2683,0)+INDEX($BD$13:$BL$162,BP2683,0))/100)))),0)</f>
        <v/>
      </c>
      <c r="BS2683">
        <f>IF(2670&lt;$U$9,SUMPRODUCT(($D$9:$L$9+INT(($S$12:$AA$12+INDEX($AJ$13:$AR$162,BN2683,0)+INDEX($AT$13:$BB$162,BO2683,0)+INDEX($BD$13:$BL$162,BP2683,0))/100))),0)</f>
        <v/>
      </c>
      <c r="BT2683">
        <f>IF(AND(2670&lt;$U$9,$W$5),BQ2683*1000000-MIN(BR2683,999)*1000+BS2683-2670/100000,-1000000000-2670)</f>
        <v/>
      </c>
    </row>
    <row r="2684">
      <c r="BN2684">
        <f>IF(2671&lt;$U$9,INT(2671/($U$7*$U$8))+1,1)</f>
        <v/>
      </c>
      <c r="BO2684">
        <f>IF(2671&lt;$U$9,MOD(INT(2671/$U$8),$U$7)+1,1)</f>
        <v/>
      </c>
      <c r="BP2684">
        <f>IF(2671&lt;$U$9,MOD(2671,$U$8)+1,1)</f>
        <v/>
      </c>
      <c r="BQ2684">
        <f>IF(2671&lt;$U$9,SUMPRODUCT(($D$10:$L$10&lt;&gt;"")*(($D$9:$L$9+INT(($S$12:$AA$12+INDEX($AJ$13:$AR$162,BN2684,0)+INDEX($AT$13:$BB$162,BO2684,0)+INDEX($BD$13:$BL$162,BP2684,0))/100))&gt;=$D$10:$L$10)),0)</f>
        <v/>
      </c>
      <c r="BR2684">
        <f>IF(2671&lt;$U$9,SUMPRODUCT(($D$10:$L$10&lt;&gt;"")*(($D$10:$L$10-($D$9:$L$9+INT(($S$12:$AA$12+INDEX($AJ$13:$AR$162,BN2684,0)+INDEX($AT$13:$BB$162,BO2684,0)+INDEX($BD$13:$BL$162,BP2684,0))/100)))&gt;0)*($D$10:$L$10-($D$9:$L$9+INT(($S$12:$AA$12+INDEX($AJ$13:$AR$162,BN2684,0)+INDEX($AT$13:$BB$162,BO2684,0)+INDEX($BD$13:$BL$162,BP2684,0))/100)))),0)</f>
        <v/>
      </c>
      <c r="BS2684">
        <f>IF(2671&lt;$U$9,SUMPRODUCT(($D$9:$L$9+INT(($S$12:$AA$12+INDEX($AJ$13:$AR$162,BN2684,0)+INDEX($AT$13:$BB$162,BO2684,0)+INDEX($BD$13:$BL$162,BP2684,0))/100))),0)</f>
        <v/>
      </c>
      <c r="BT2684">
        <f>IF(AND(2671&lt;$U$9,$W$5),BQ2684*1000000-MIN(BR2684,999)*1000+BS2684-2671/100000,-1000000000-2671)</f>
        <v/>
      </c>
    </row>
    <row r="2685">
      <c r="BN2685">
        <f>IF(2672&lt;$U$9,INT(2672/($U$7*$U$8))+1,1)</f>
        <v/>
      </c>
      <c r="BO2685">
        <f>IF(2672&lt;$U$9,MOD(INT(2672/$U$8),$U$7)+1,1)</f>
        <v/>
      </c>
      <c r="BP2685">
        <f>IF(2672&lt;$U$9,MOD(2672,$U$8)+1,1)</f>
        <v/>
      </c>
      <c r="BQ2685">
        <f>IF(2672&lt;$U$9,SUMPRODUCT(($D$10:$L$10&lt;&gt;"")*(($D$9:$L$9+INT(($S$12:$AA$12+INDEX($AJ$13:$AR$162,BN2685,0)+INDEX($AT$13:$BB$162,BO2685,0)+INDEX($BD$13:$BL$162,BP2685,0))/100))&gt;=$D$10:$L$10)),0)</f>
        <v/>
      </c>
      <c r="BR2685">
        <f>IF(2672&lt;$U$9,SUMPRODUCT(($D$10:$L$10&lt;&gt;"")*(($D$10:$L$10-($D$9:$L$9+INT(($S$12:$AA$12+INDEX($AJ$13:$AR$162,BN2685,0)+INDEX($AT$13:$BB$162,BO2685,0)+INDEX($BD$13:$BL$162,BP2685,0))/100)))&gt;0)*($D$10:$L$10-($D$9:$L$9+INT(($S$12:$AA$12+INDEX($AJ$13:$AR$162,BN2685,0)+INDEX($AT$13:$BB$162,BO2685,0)+INDEX($BD$13:$BL$162,BP2685,0))/100)))),0)</f>
        <v/>
      </c>
      <c r="BS2685">
        <f>IF(2672&lt;$U$9,SUMPRODUCT(($D$9:$L$9+INT(($S$12:$AA$12+INDEX($AJ$13:$AR$162,BN2685,0)+INDEX($AT$13:$BB$162,BO2685,0)+INDEX($BD$13:$BL$162,BP2685,0))/100))),0)</f>
        <v/>
      </c>
      <c r="BT2685">
        <f>IF(AND(2672&lt;$U$9,$W$5),BQ2685*1000000-MIN(BR2685,999)*1000+BS2685-2672/100000,-1000000000-2672)</f>
        <v/>
      </c>
    </row>
    <row r="2686">
      <c r="BN2686">
        <f>IF(2673&lt;$U$9,INT(2673/($U$7*$U$8))+1,1)</f>
        <v/>
      </c>
      <c r="BO2686">
        <f>IF(2673&lt;$U$9,MOD(INT(2673/$U$8),$U$7)+1,1)</f>
        <v/>
      </c>
      <c r="BP2686">
        <f>IF(2673&lt;$U$9,MOD(2673,$U$8)+1,1)</f>
        <v/>
      </c>
      <c r="BQ2686">
        <f>IF(2673&lt;$U$9,SUMPRODUCT(($D$10:$L$10&lt;&gt;"")*(($D$9:$L$9+INT(($S$12:$AA$12+INDEX($AJ$13:$AR$162,BN2686,0)+INDEX($AT$13:$BB$162,BO2686,0)+INDEX($BD$13:$BL$162,BP2686,0))/100))&gt;=$D$10:$L$10)),0)</f>
        <v/>
      </c>
      <c r="BR2686">
        <f>IF(2673&lt;$U$9,SUMPRODUCT(($D$10:$L$10&lt;&gt;"")*(($D$10:$L$10-($D$9:$L$9+INT(($S$12:$AA$12+INDEX($AJ$13:$AR$162,BN2686,0)+INDEX($AT$13:$BB$162,BO2686,0)+INDEX($BD$13:$BL$162,BP2686,0))/100)))&gt;0)*($D$10:$L$10-($D$9:$L$9+INT(($S$12:$AA$12+INDEX($AJ$13:$AR$162,BN2686,0)+INDEX($AT$13:$BB$162,BO2686,0)+INDEX($BD$13:$BL$162,BP2686,0))/100)))),0)</f>
        <v/>
      </c>
      <c r="BS2686">
        <f>IF(2673&lt;$U$9,SUMPRODUCT(($D$9:$L$9+INT(($S$12:$AA$12+INDEX($AJ$13:$AR$162,BN2686,0)+INDEX($AT$13:$BB$162,BO2686,0)+INDEX($BD$13:$BL$162,BP2686,0))/100))),0)</f>
        <v/>
      </c>
      <c r="BT2686">
        <f>IF(AND(2673&lt;$U$9,$W$5),BQ2686*1000000-MIN(BR2686,999)*1000+BS2686-2673/100000,-1000000000-2673)</f>
        <v/>
      </c>
    </row>
    <row r="2687">
      <c r="BN2687">
        <f>IF(2674&lt;$U$9,INT(2674/($U$7*$U$8))+1,1)</f>
        <v/>
      </c>
      <c r="BO2687">
        <f>IF(2674&lt;$U$9,MOD(INT(2674/$U$8),$U$7)+1,1)</f>
        <v/>
      </c>
      <c r="BP2687">
        <f>IF(2674&lt;$U$9,MOD(2674,$U$8)+1,1)</f>
        <v/>
      </c>
      <c r="BQ2687">
        <f>IF(2674&lt;$U$9,SUMPRODUCT(($D$10:$L$10&lt;&gt;"")*(($D$9:$L$9+INT(($S$12:$AA$12+INDEX($AJ$13:$AR$162,BN2687,0)+INDEX($AT$13:$BB$162,BO2687,0)+INDEX($BD$13:$BL$162,BP2687,0))/100))&gt;=$D$10:$L$10)),0)</f>
        <v/>
      </c>
      <c r="BR2687">
        <f>IF(2674&lt;$U$9,SUMPRODUCT(($D$10:$L$10&lt;&gt;"")*(($D$10:$L$10-($D$9:$L$9+INT(($S$12:$AA$12+INDEX($AJ$13:$AR$162,BN2687,0)+INDEX($AT$13:$BB$162,BO2687,0)+INDEX($BD$13:$BL$162,BP2687,0))/100)))&gt;0)*($D$10:$L$10-($D$9:$L$9+INT(($S$12:$AA$12+INDEX($AJ$13:$AR$162,BN2687,0)+INDEX($AT$13:$BB$162,BO2687,0)+INDEX($BD$13:$BL$162,BP2687,0))/100)))),0)</f>
        <v/>
      </c>
      <c r="BS2687">
        <f>IF(2674&lt;$U$9,SUMPRODUCT(($D$9:$L$9+INT(($S$12:$AA$12+INDEX($AJ$13:$AR$162,BN2687,0)+INDEX($AT$13:$BB$162,BO2687,0)+INDEX($BD$13:$BL$162,BP2687,0))/100))),0)</f>
        <v/>
      </c>
      <c r="BT2687">
        <f>IF(AND(2674&lt;$U$9,$W$5),BQ2687*1000000-MIN(BR2687,999)*1000+BS2687-2674/100000,-1000000000-2674)</f>
        <v/>
      </c>
    </row>
    <row r="2688">
      <c r="BN2688">
        <f>IF(2675&lt;$U$9,INT(2675/($U$7*$U$8))+1,1)</f>
        <v/>
      </c>
      <c r="BO2688">
        <f>IF(2675&lt;$U$9,MOD(INT(2675/$U$8),$U$7)+1,1)</f>
        <v/>
      </c>
      <c r="BP2688">
        <f>IF(2675&lt;$U$9,MOD(2675,$U$8)+1,1)</f>
        <v/>
      </c>
      <c r="BQ2688">
        <f>IF(2675&lt;$U$9,SUMPRODUCT(($D$10:$L$10&lt;&gt;"")*(($D$9:$L$9+INT(($S$12:$AA$12+INDEX($AJ$13:$AR$162,BN2688,0)+INDEX($AT$13:$BB$162,BO2688,0)+INDEX($BD$13:$BL$162,BP2688,0))/100))&gt;=$D$10:$L$10)),0)</f>
        <v/>
      </c>
      <c r="BR2688">
        <f>IF(2675&lt;$U$9,SUMPRODUCT(($D$10:$L$10&lt;&gt;"")*(($D$10:$L$10-($D$9:$L$9+INT(($S$12:$AA$12+INDEX($AJ$13:$AR$162,BN2688,0)+INDEX($AT$13:$BB$162,BO2688,0)+INDEX($BD$13:$BL$162,BP2688,0))/100)))&gt;0)*($D$10:$L$10-($D$9:$L$9+INT(($S$12:$AA$12+INDEX($AJ$13:$AR$162,BN2688,0)+INDEX($AT$13:$BB$162,BO2688,0)+INDEX($BD$13:$BL$162,BP2688,0))/100)))),0)</f>
        <v/>
      </c>
      <c r="BS2688">
        <f>IF(2675&lt;$U$9,SUMPRODUCT(($D$9:$L$9+INT(($S$12:$AA$12+INDEX($AJ$13:$AR$162,BN2688,0)+INDEX($AT$13:$BB$162,BO2688,0)+INDEX($BD$13:$BL$162,BP2688,0))/100))),0)</f>
        <v/>
      </c>
      <c r="BT2688">
        <f>IF(AND(2675&lt;$U$9,$W$5),BQ2688*1000000-MIN(BR2688,999)*1000+BS2688-2675/100000,-1000000000-2675)</f>
        <v/>
      </c>
    </row>
    <row r="2689">
      <c r="BN2689">
        <f>IF(2676&lt;$U$9,INT(2676/($U$7*$U$8))+1,1)</f>
        <v/>
      </c>
      <c r="BO2689">
        <f>IF(2676&lt;$U$9,MOD(INT(2676/$U$8),$U$7)+1,1)</f>
        <v/>
      </c>
      <c r="BP2689">
        <f>IF(2676&lt;$U$9,MOD(2676,$U$8)+1,1)</f>
        <v/>
      </c>
      <c r="BQ2689">
        <f>IF(2676&lt;$U$9,SUMPRODUCT(($D$10:$L$10&lt;&gt;"")*(($D$9:$L$9+INT(($S$12:$AA$12+INDEX($AJ$13:$AR$162,BN2689,0)+INDEX($AT$13:$BB$162,BO2689,0)+INDEX($BD$13:$BL$162,BP2689,0))/100))&gt;=$D$10:$L$10)),0)</f>
        <v/>
      </c>
      <c r="BR2689">
        <f>IF(2676&lt;$U$9,SUMPRODUCT(($D$10:$L$10&lt;&gt;"")*(($D$10:$L$10-($D$9:$L$9+INT(($S$12:$AA$12+INDEX($AJ$13:$AR$162,BN2689,0)+INDEX($AT$13:$BB$162,BO2689,0)+INDEX($BD$13:$BL$162,BP2689,0))/100)))&gt;0)*($D$10:$L$10-($D$9:$L$9+INT(($S$12:$AA$12+INDEX($AJ$13:$AR$162,BN2689,0)+INDEX($AT$13:$BB$162,BO2689,0)+INDEX($BD$13:$BL$162,BP2689,0))/100)))),0)</f>
        <v/>
      </c>
      <c r="BS2689">
        <f>IF(2676&lt;$U$9,SUMPRODUCT(($D$9:$L$9+INT(($S$12:$AA$12+INDEX($AJ$13:$AR$162,BN2689,0)+INDEX($AT$13:$BB$162,BO2689,0)+INDEX($BD$13:$BL$162,BP2689,0))/100))),0)</f>
        <v/>
      </c>
      <c r="BT2689">
        <f>IF(AND(2676&lt;$U$9,$W$5),BQ2689*1000000-MIN(BR2689,999)*1000+BS2689-2676/100000,-1000000000-2676)</f>
        <v/>
      </c>
    </row>
    <row r="2690">
      <c r="BN2690">
        <f>IF(2677&lt;$U$9,INT(2677/($U$7*$U$8))+1,1)</f>
        <v/>
      </c>
      <c r="BO2690">
        <f>IF(2677&lt;$U$9,MOD(INT(2677/$U$8),$U$7)+1,1)</f>
        <v/>
      </c>
      <c r="BP2690">
        <f>IF(2677&lt;$U$9,MOD(2677,$U$8)+1,1)</f>
        <v/>
      </c>
      <c r="BQ2690">
        <f>IF(2677&lt;$U$9,SUMPRODUCT(($D$10:$L$10&lt;&gt;"")*(($D$9:$L$9+INT(($S$12:$AA$12+INDEX($AJ$13:$AR$162,BN2690,0)+INDEX($AT$13:$BB$162,BO2690,0)+INDEX($BD$13:$BL$162,BP2690,0))/100))&gt;=$D$10:$L$10)),0)</f>
        <v/>
      </c>
      <c r="BR2690">
        <f>IF(2677&lt;$U$9,SUMPRODUCT(($D$10:$L$10&lt;&gt;"")*(($D$10:$L$10-($D$9:$L$9+INT(($S$12:$AA$12+INDEX($AJ$13:$AR$162,BN2690,0)+INDEX($AT$13:$BB$162,BO2690,0)+INDEX($BD$13:$BL$162,BP2690,0))/100)))&gt;0)*($D$10:$L$10-($D$9:$L$9+INT(($S$12:$AA$12+INDEX($AJ$13:$AR$162,BN2690,0)+INDEX($AT$13:$BB$162,BO2690,0)+INDEX($BD$13:$BL$162,BP2690,0))/100)))),0)</f>
        <v/>
      </c>
      <c r="BS2690">
        <f>IF(2677&lt;$U$9,SUMPRODUCT(($D$9:$L$9+INT(($S$12:$AA$12+INDEX($AJ$13:$AR$162,BN2690,0)+INDEX($AT$13:$BB$162,BO2690,0)+INDEX($BD$13:$BL$162,BP2690,0))/100))),0)</f>
        <v/>
      </c>
      <c r="BT2690">
        <f>IF(AND(2677&lt;$U$9,$W$5),BQ2690*1000000-MIN(BR2690,999)*1000+BS2690-2677/100000,-1000000000-2677)</f>
        <v/>
      </c>
    </row>
    <row r="2691">
      <c r="BN2691">
        <f>IF(2678&lt;$U$9,INT(2678/($U$7*$U$8))+1,1)</f>
        <v/>
      </c>
      <c r="BO2691">
        <f>IF(2678&lt;$U$9,MOD(INT(2678/$U$8),$U$7)+1,1)</f>
        <v/>
      </c>
      <c r="BP2691">
        <f>IF(2678&lt;$U$9,MOD(2678,$U$8)+1,1)</f>
        <v/>
      </c>
      <c r="BQ2691">
        <f>IF(2678&lt;$U$9,SUMPRODUCT(($D$10:$L$10&lt;&gt;"")*(($D$9:$L$9+INT(($S$12:$AA$12+INDEX($AJ$13:$AR$162,BN2691,0)+INDEX($AT$13:$BB$162,BO2691,0)+INDEX($BD$13:$BL$162,BP2691,0))/100))&gt;=$D$10:$L$10)),0)</f>
        <v/>
      </c>
      <c r="BR2691">
        <f>IF(2678&lt;$U$9,SUMPRODUCT(($D$10:$L$10&lt;&gt;"")*(($D$10:$L$10-($D$9:$L$9+INT(($S$12:$AA$12+INDEX($AJ$13:$AR$162,BN2691,0)+INDEX($AT$13:$BB$162,BO2691,0)+INDEX($BD$13:$BL$162,BP2691,0))/100)))&gt;0)*($D$10:$L$10-($D$9:$L$9+INT(($S$12:$AA$12+INDEX($AJ$13:$AR$162,BN2691,0)+INDEX($AT$13:$BB$162,BO2691,0)+INDEX($BD$13:$BL$162,BP2691,0))/100)))),0)</f>
        <v/>
      </c>
      <c r="BS2691">
        <f>IF(2678&lt;$U$9,SUMPRODUCT(($D$9:$L$9+INT(($S$12:$AA$12+INDEX($AJ$13:$AR$162,BN2691,0)+INDEX($AT$13:$BB$162,BO2691,0)+INDEX($BD$13:$BL$162,BP2691,0))/100))),0)</f>
        <v/>
      </c>
      <c r="BT2691">
        <f>IF(AND(2678&lt;$U$9,$W$5),BQ2691*1000000-MIN(BR2691,999)*1000+BS2691-2678/100000,-1000000000-2678)</f>
        <v/>
      </c>
    </row>
    <row r="2692">
      <c r="BN2692">
        <f>IF(2679&lt;$U$9,INT(2679/($U$7*$U$8))+1,1)</f>
        <v/>
      </c>
      <c r="BO2692">
        <f>IF(2679&lt;$U$9,MOD(INT(2679/$U$8),$U$7)+1,1)</f>
        <v/>
      </c>
      <c r="BP2692">
        <f>IF(2679&lt;$U$9,MOD(2679,$U$8)+1,1)</f>
        <v/>
      </c>
      <c r="BQ2692">
        <f>IF(2679&lt;$U$9,SUMPRODUCT(($D$10:$L$10&lt;&gt;"")*(($D$9:$L$9+INT(($S$12:$AA$12+INDEX($AJ$13:$AR$162,BN2692,0)+INDEX($AT$13:$BB$162,BO2692,0)+INDEX($BD$13:$BL$162,BP2692,0))/100))&gt;=$D$10:$L$10)),0)</f>
        <v/>
      </c>
      <c r="BR2692">
        <f>IF(2679&lt;$U$9,SUMPRODUCT(($D$10:$L$10&lt;&gt;"")*(($D$10:$L$10-($D$9:$L$9+INT(($S$12:$AA$12+INDEX($AJ$13:$AR$162,BN2692,0)+INDEX($AT$13:$BB$162,BO2692,0)+INDEX($BD$13:$BL$162,BP2692,0))/100)))&gt;0)*($D$10:$L$10-($D$9:$L$9+INT(($S$12:$AA$12+INDEX($AJ$13:$AR$162,BN2692,0)+INDEX($AT$13:$BB$162,BO2692,0)+INDEX($BD$13:$BL$162,BP2692,0))/100)))),0)</f>
        <v/>
      </c>
      <c r="BS2692">
        <f>IF(2679&lt;$U$9,SUMPRODUCT(($D$9:$L$9+INT(($S$12:$AA$12+INDEX($AJ$13:$AR$162,BN2692,0)+INDEX($AT$13:$BB$162,BO2692,0)+INDEX($BD$13:$BL$162,BP2692,0))/100))),0)</f>
        <v/>
      </c>
      <c r="BT2692">
        <f>IF(AND(2679&lt;$U$9,$W$5),BQ2692*1000000-MIN(BR2692,999)*1000+BS2692-2679/100000,-1000000000-2679)</f>
        <v/>
      </c>
    </row>
    <row r="2693">
      <c r="BN2693">
        <f>IF(2680&lt;$U$9,INT(2680/($U$7*$U$8))+1,1)</f>
        <v/>
      </c>
      <c r="BO2693">
        <f>IF(2680&lt;$U$9,MOD(INT(2680/$U$8),$U$7)+1,1)</f>
        <v/>
      </c>
      <c r="BP2693">
        <f>IF(2680&lt;$U$9,MOD(2680,$U$8)+1,1)</f>
        <v/>
      </c>
      <c r="BQ2693">
        <f>IF(2680&lt;$U$9,SUMPRODUCT(($D$10:$L$10&lt;&gt;"")*(($D$9:$L$9+INT(($S$12:$AA$12+INDEX($AJ$13:$AR$162,BN2693,0)+INDEX($AT$13:$BB$162,BO2693,0)+INDEX($BD$13:$BL$162,BP2693,0))/100))&gt;=$D$10:$L$10)),0)</f>
        <v/>
      </c>
      <c r="BR2693">
        <f>IF(2680&lt;$U$9,SUMPRODUCT(($D$10:$L$10&lt;&gt;"")*(($D$10:$L$10-($D$9:$L$9+INT(($S$12:$AA$12+INDEX($AJ$13:$AR$162,BN2693,0)+INDEX($AT$13:$BB$162,BO2693,0)+INDEX($BD$13:$BL$162,BP2693,0))/100)))&gt;0)*($D$10:$L$10-($D$9:$L$9+INT(($S$12:$AA$12+INDEX($AJ$13:$AR$162,BN2693,0)+INDEX($AT$13:$BB$162,BO2693,0)+INDEX($BD$13:$BL$162,BP2693,0))/100)))),0)</f>
        <v/>
      </c>
      <c r="BS2693">
        <f>IF(2680&lt;$U$9,SUMPRODUCT(($D$9:$L$9+INT(($S$12:$AA$12+INDEX($AJ$13:$AR$162,BN2693,0)+INDEX($AT$13:$BB$162,BO2693,0)+INDEX($BD$13:$BL$162,BP2693,0))/100))),0)</f>
        <v/>
      </c>
      <c r="BT2693">
        <f>IF(AND(2680&lt;$U$9,$W$5),BQ2693*1000000-MIN(BR2693,999)*1000+BS2693-2680/100000,-1000000000-2680)</f>
        <v/>
      </c>
    </row>
    <row r="2694">
      <c r="BN2694">
        <f>IF(2681&lt;$U$9,INT(2681/($U$7*$U$8))+1,1)</f>
        <v/>
      </c>
      <c r="BO2694">
        <f>IF(2681&lt;$U$9,MOD(INT(2681/$U$8),$U$7)+1,1)</f>
        <v/>
      </c>
      <c r="BP2694">
        <f>IF(2681&lt;$U$9,MOD(2681,$U$8)+1,1)</f>
        <v/>
      </c>
      <c r="BQ2694">
        <f>IF(2681&lt;$U$9,SUMPRODUCT(($D$10:$L$10&lt;&gt;"")*(($D$9:$L$9+INT(($S$12:$AA$12+INDEX($AJ$13:$AR$162,BN2694,0)+INDEX($AT$13:$BB$162,BO2694,0)+INDEX($BD$13:$BL$162,BP2694,0))/100))&gt;=$D$10:$L$10)),0)</f>
        <v/>
      </c>
      <c r="BR2694">
        <f>IF(2681&lt;$U$9,SUMPRODUCT(($D$10:$L$10&lt;&gt;"")*(($D$10:$L$10-($D$9:$L$9+INT(($S$12:$AA$12+INDEX($AJ$13:$AR$162,BN2694,0)+INDEX($AT$13:$BB$162,BO2694,0)+INDEX($BD$13:$BL$162,BP2694,0))/100)))&gt;0)*($D$10:$L$10-($D$9:$L$9+INT(($S$12:$AA$12+INDEX($AJ$13:$AR$162,BN2694,0)+INDEX($AT$13:$BB$162,BO2694,0)+INDEX($BD$13:$BL$162,BP2694,0))/100)))),0)</f>
        <v/>
      </c>
      <c r="BS2694">
        <f>IF(2681&lt;$U$9,SUMPRODUCT(($D$9:$L$9+INT(($S$12:$AA$12+INDEX($AJ$13:$AR$162,BN2694,0)+INDEX($AT$13:$BB$162,BO2694,0)+INDEX($BD$13:$BL$162,BP2694,0))/100))),0)</f>
        <v/>
      </c>
      <c r="BT2694">
        <f>IF(AND(2681&lt;$U$9,$W$5),BQ2694*1000000-MIN(BR2694,999)*1000+BS2694-2681/100000,-1000000000-2681)</f>
        <v/>
      </c>
    </row>
    <row r="2695">
      <c r="BN2695">
        <f>IF(2682&lt;$U$9,INT(2682/($U$7*$U$8))+1,1)</f>
        <v/>
      </c>
      <c r="BO2695">
        <f>IF(2682&lt;$U$9,MOD(INT(2682/$U$8),$U$7)+1,1)</f>
        <v/>
      </c>
      <c r="BP2695">
        <f>IF(2682&lt;$U$9,MOD(2682,$U$8)+1,1)</f>
        <v/>
      </c>
      <c r="BQ2695">
        <f>IF(2682&lt;$U$9,SUMPRODUCT(($D$10:$L$10&lt;&gt;"")*(($D$9:$L$9+INT(($S$12:$AA$12+INDEX($AJ$13:$AR$162,BN2695,0)+INDEX($AT$13:$BB$162,BO2695,0)+INDEX($BD$13:$BL$162,BP2695,0))/100))&gt;=$D$10:$L$10)),0)</f>
        <v/>
      </c>
      <c r="BR2695">
        <f>IF(2682&lt;$U$9,SUMPRODUCT(($D$10:$L$10&lt;&gt;"")*(($D$10:$L$10-($D$9:$L$9+INT(($S$12:$AA$12+INDEX($AJ$13:$AR$162,BN2695,0)+INDEX($AT$13:$BB$162,BO2695,0)+INDEX($BD$13:$BL$162,BP2695,0))/100)))&gt;0)*($D$10:$L$10-($D$9:$L$9+INT(($S$12:$AA$12+INDEX($AJ$13:$AR$162,BN2695,0)+INDEX($AT$13:$BB$162,BO2695,0)+INDEX($BD$13:$BL$162,BP2695,0))/100)))),0)</f>
        <v/>
      </c>
      <c r="BS2695">
        <f>IF(2682&lt;$U$9,SUMPRODUCT(($D$9:$L$9+INT(($S$12:$AA$12+INDEX($AJ$13:$AR$162,BN2695,0)+INDEX($AT$13:$BB$162,BO2695,0)+INDEX($BD$13:$BL$162,BP2695,0))/100))),0)</f>
        <v/>
      </c>
      <c r="BT2695">
        <f>IF(AND(2682&lt;$U$9,$W$5),BQ2695*1000000-MIN(BR2695,999)*1000+BS2695-2682/100000,-1000000000-2682)</f>
        <v/>
      </c>
    </row>
    <row r="2696">
      <c r="BN2696">
        <f>IF(2683&lt;$U$9,INT(2683/($U$7*$U$8))+1,1)</f>
        <v/>
      </c>
      <c r="BO2696">
        <f>IF(2683&lt;$U$9,MOD(INT(2683/$U$8),$U$7)+1,1)</f>
        <v/>
      </c>
      <c r="BP2696">
        <f>IF(2683&lt;$U$9,MOD(2683,$U$8)+1,1)</f>
        <v/>
      </c>
      <c r="BQ2696">
        <f>IF(2683&lt;$U$9,SUMPRODUCT(($D$10:$L$10&lt;&gt;"")*(($D$9:$L$9+INT(($S$12:$AA$12+INDEX($AJ$13:$AR$162,BN2696,0)+INDEX($AT$13:$BB$162,BO2696,0)+INDEX($BD$13:$BL$162,BP2696,0))/100))&gt;=$D$10:$L$10)),0)</f>
        <v/>
      </c>
      <c r="BR2696">
        <f>IF(2683&lt;$U$9,SUMPRODUCT(($D$10:$L$10&lt;&gt;"")*(($D$10:$L$10-($D$9:$L$9+INT(($S$12:$AA$12+INDEX($AJ$13:$AR$162,BN2696,0)+INDEX($AT$13:$BB$162,BO2696,0)+INDEX($BD$13:$BL$162,BP2696,0))/100)))&gt;0)*($D$10:$L$10-($D$9:$L$9+INT(($S$12:$AA$12+INDEX($AJ$13:$AR$162,BN2696,0)+INDEX($AT$13:$BB$162,BO2696,0)+INDEX($BD$13:$BL$162,BP2696,0))/100)))),0)</f>
        <v/>
      </c>
      <c r="BS2696">
        <f>IF(2683&lt;$U$9,SUMPRODUCT(($D$9:$L$9+INT(($S$12:$AA$12+INDEX($AJ$13:$AR$162,BN2696,0)+INDEX($AT$13:$BB$162,BO2696,0)+INDEX($BD$13:$BL$162,BP2696,0))/100))),0)</f>
        <v/>
      </c>
      <c r="BT2696">
        <f>IF(AND(2683&lt;$U$9,$W$5),BQ2696*1000000-MIN(BR2696,999)*1000+BS2696-2683/100000,-1000000000-2683)</f>
        <v/>
      </c>
    </row>
    <row r="2697">
      <c r="BN2697">
        <f>IF(2684&lt;$U$9,INT(2684/($U$7*$U$8))+1,1)</f>
        <v/>
      </c>
      <c r="BO2697">
        <f>IF(2684&lt;$U$9,MOD(INT(2684/$U$8),$U$7)+1,1)</f>
        <v/>
      </c>
      <c r="BP2697">
        <f>IF(2684&lt;$U$9,MOD(2684,$U$8)+1,1)</f>
        <v/>
      </c>
      <c r="BQ2697">
        <f>IF(2684&lt;$U$9,SUMPRODUCT(($D$10:$L$10&lt;&gt;"")*(($D$9:$L$9+INT(($S$12:$AA$12+INDEX($AJ$13:$AR$162,BN2697,0)+INDEX($AT$13:$BB$162,BO2697,0)+INDEX($BD$13:$BL$162,BP2697,0))/100))&gt;=$D$10:$L$10)),0)</f>
        <v/>
      </c>
      <c r="BR2697">
        <f>IF(2684&lt;$U$9,SUMPRODUCT(($D$10:$L$10&lt;&gt;"")*(($D$10:$L$10-($D$9:$L$9+INT(($S$12:$AA$12+INDEX($AJ$13:$AR$162,BN2697,0)+INDEX($AT$13:$BB$162,BO2697,0)+INDEX($BD$13:$BL$162,BP2697,0))/100)))&gt;0)*($D$10:$L$10-($D$9:$L$9+INT(($S$12:$AA$12+INDEX($AJ$13:$AR$162,BN2697,0)+INDEX($AT$13:$BB$162,BO2697,0)+INDEX($BD$13:$BL$162,BP2697,0))/100)))),0)</f>
        <v/>
      </c>
      <c r="BS2697">
        <f>IF(2684&lt;$U$9,SUMPRODUCT(($D$9:$L$9+INT(($S$12:$AA$12+INDEX($AJ$13:$AR$162,BN2697,0)+INDEX($AT$13:$BB$162,BO2697,0)+INDEX($BD$13:$BL$162,BP2697,0))/100))),0)</f>
        <v/>
      </c>
      <c r="BT2697">
        <f>IF(AND(2684&lt;$U$9,$W$5),BQ2697*1000000-MIN(BR2697,999)*1000+BS2697-2684/100000,-1000000000-2684)</f>
        <v/>
      </c>
    </row>
    <row r="2698">
      <c r="BN2698">
        <f>IF(2685&lt;$U$9,INT(2685/($U$7*$U$8))+1,1)</f>
        <v/>
      </c>
      <c r="BO2698">
        <f>IF(2685&lt;$U$9,MOD(INT(2685/$U$8),$U$7)+1,1)</f>
        <v/>
      </c>
      <c r="BP2698">
        <f>IF(2685&lt;$U$9,MOD(2685,$U$8)+1,1)</f>
        <v/>
      </c>
      <c r="BQ2698">
        <f>IF(2685&lt;$U$9,SUMPRODUCT(($D$10:$L$10&lt;&gt;"")*(($D$9:$L$9+INT(($S$12:$AA$12+INDEX($AJ$13:$AR$162,BN2698,0)+INDEX($AT$13:$BB$162,BO2698,0)+INDEX($BD$13:$BL$162,BP2698,0))/100))&gt;=$D$10:$L$10)),0)</f>
        <v/>
      </c>
      <c r="BR2698">
        <f>IF(2685&lt;$U$9,SUMPRODUCT(($D$10:$L$10&lt;&gt;"")*(($D$10:$L$10-($D$9:$L$9+INT(($S$12:$AA$12+INDEX($AJ$13:$AR$162,BN2698,0)+INDEX($AT$13:$BB$162,BO2698,0)+INDEX($BD$13:$BL$162,BP2698,0))/100)))&gt;0)*($D$10:$L$10-($D$9:$L$9+INT(($S$12:$AA$12+INDEX($AJ$13:$AR$162,BN2698,0)+INDEX($AT$13:$BB$162,BO2698,0)+INDEX($BD$13:$BL$162,BP2698,0))/100)))),0)</f>
        <v/>
      </c>
      <c r="BS2698">
        <f>IF(2685&lt;$U$9,SUMPRODUCT(($D$9:$L$9+INT(($S$12:$AA$12+INDEX($AJ$13:$AR$162,BN2698,0)+INDEX($AT$13:$BB$162,BO2698,0)+INDEX($BD$13:$BL$162,BP2698,0))/100))),0)</f>
        <v/>
      </c>
      <c r="BT2698">
        <f>IF(AND(2685&lt;$U$9,$W$5),BQ2698*1000000-MIN(BR2698,999)*1000+BS2698-2685/100000,-1000000000-2685)</f>
        <v/>
      </c>
    </row>
    <row r="2699">
      <c r="BN2699">
        <f>IF(2686&lt;$U$9,INT(2686/($U$7*$U$8))+1,1)</f>
        <v/>
      </c>
      <c r="BO2699">
        <f>IF(2686&lt;$U$9,MOD(INT(2686/$U$8),$U$7)+1,1)</f>
        <v/>
      </c>
      <c r="BP2699">
        <f>IF(2686&lt;$U$9,MOD(2686,$U$8)+1,1)</f>
        <v/>
      </c>
      <c r="BQ2699">
        <f>IF(2686&lt;$U$9,SUMPRODUCT(($D$10:$L$10&lt;&gt;"")*(($D$9:$L$9+INT(($S$12:$AA$12+INDEX($AJ$13:$AR$162,BN2699,0)+INDEX($AT$13:$BB$162,BO2699,0)+INDEX($BD$13:$BL$162,BP2699,0))/100))&gt;=$D$10:$L$10)),0)</f>
        <v/>
      </c>
      <c r="BR2699">
        <f>IF(2686&lt;$U$9,SUMPRODUCT(($D$10:$L$10&lt;&gt;"")*(($D$10:$L$10-($D$9:$L$9+INT(($S$12:$AA$12+INDEX($AJ$13:$AR$162,BN2699,0)+INDEX($AT$13:$BB$162,BO2699,0)+INDEX($BD$13:$BL$162,BP2699,0))/100)))&gt;0)*($D$10:$L$10-($D$9:$L$9+INT(($S$12:$AA$12+INDEX($AJ$13:$AR$162,BN2699,0)+INDEX($AT$13:$BB$162,BO2699,0)+INDEX($BD$13:$BL$162,BP2699,0))/100)))),0)</f>
        <v/>
      </c>
      <c r="BS2699">
        <f>IF(2686&lt;$U$9,SUMPRODUCT(($D$9:$L$9+INT(($S$12:$AA$12+INDEX($AJ$13:$AR$162,BN2699,0)+INDEX($AT$13:$BB$162,BO2699,0)+INDEX($BD$13:$BL$162,BP2699,0))/100))),0)</f>
        <v/>
      </c>
      <c r="BT2699">
        <f>IF(AND(2686&lt;$U$9,$W$5),BQ2699*1000000-MIN(BR2699,999)*1000+BS2699-2686/100000,-1000000000-2686)</f>
        <v/>
      </c>
    </row>
    <row r="2700">
      <c r="BN2700">
        <f>IF(2687&lt;$U$9,INT(2687/($U$7*$U$8))+1,1)</f>
        <v/>
      </c>
      <c r="BO2700">
        <f>IF(2687&lt;$U$9,MOD(INT(2687/$U$8),$U$7)+1,1)</f>
        <v/>
      </c>
      <c r="BP2700">
        <f>IF(2687&lt;$U$9,MOD(2687,$U$8)+1,1)</f>
        <v/>
      </c>
      <c r="BQ2700">
        <f>IF(2687&lt;$U$9,SUMPRODUCT(($D$10:$L$10&lt;&gt;"")*(($D$9:$L$9+INT(($S$12:$AA$12+INDEX($AJ$13:$AR$162,BN2700,0)+INDEX($AT$13:$BB$162,BO2700,0)+INDEX($BD$13:$BL$162,BP2700,0))/100))&gt;=$D$10:$L$10)),0)</f>
        <v/>
      </c>
      <c r="BR2700">
        <f>IF(2687&lt;$U$9,SUMPRODUCT(($D$10:$L$10&lt;&gt;"")*(($D$10:$L$10-($D$9:$L$9+INT(($S$12:$AA$12+INDEX($AJ$13:$AR$162,BN2700,0)+INDEX($AT$13:$BB$162,BO2700,0)+INDEX($BD$13:$BL$162,BP2700,0))/100)))&gt;0)*($D$10:$L$10-($D$9:$L$9+INT(($S$12:$AA$12+INDEX($AJ$13:$AR$162,BN2700,0)+INDEX($AT$13:$BB$162,BO2700,0)+INDEX($BD$13:$BL$162,BP2700,0))/100)))),0)</f>
        <v/>
      </c>
      <c r="BS2700">
        <f>IF(2687&lt;$U$9,SUMPRODUCT(($D$9:$L$9+INT(($S$12:$AA$12+INDEX($AJ$13:$AR$162,BN2700,0)+INDEX($AT$13:$BB$162,BO2700,0)+INDEX($BD$13:$BL$162,BP2700,0))/100))),0)</f>
        <v/>
      </c>
      <c r="BT2700">
        <f>IF(AND(2687&lt;$U$9,$W$5),BQ2700*1000000-MIN(BR2700,999)*1000+BS2700-2687/100000,-1000000000-2687)</f>
        <v/>
      </c>
    </row>
    <row r="2701">
      <c r="BN2701">
        <f>IF(2688&lt;$U$9,INT(2688/($U$7*$U$8))+1,1)</f>
        <v/>
      </c>
      <c r="BO2701">
        <f>IF(2688&lt;$U$9,MOD(INT(2688/$U$8),$U$7)+1,1)</f>
        <v/>
      </c>
      <c r="BP2701">
        <f>IF(2688&lt;$U$9,MOD(2688,$U$8)+1,1)</f>
        <v/>
      </c>
      <c r="BQ2701">
        <f>IF(2688&lt;$U$9,SUMPRODUCT(($D$10:$L$10&lt;&gt;"")*(($D$9:$L$9+INT(($S$12:$AA$12+INDEX($AJ$13:$AR$162,BN2701,0)+INDEX($AT$13:$BB$162,BO2701,0)+INDEX($BD$13:$BL$162,BP2701,0))/100))&gt;=$D$10:$L$10)),0)</f>
        <v/>
      </c>
      <c r="BR2701">
        <f>IF(2688&lt;$U$9,SUMPRODUCT(($D$10:$L$10&lt;&gt;"")*(($D$10:$L$10-($D$9:$L$9+INT(($S$12:$AA$12+INDEX($AJ$13:$AR$162,BN2701,0)+INDEX($AT$13:$BB$162,BO2701,0)+INDEX($BD$13:$BL$162,BP2701,0))/100)))&gt;0)*($D$10:$L$10-($D$9:$L$9+INT(($S$12:$AA$12+INDEX($AJ$13:$AR$162,BN2701,0)+INDEX($AT$13:$BB$162,BO2701,0)+INDEX($BD$13:$BL$162,BP2701,0))/100)))),0)</f>
        <v/>
      </c>
      <c r="BS2701">
        <f>IF(2688&lt;$U$9,SUMPRODUCT(($D$9:$L$9+INT(($S$12:$AA$12+INDEX($AJ$13:$AR$162,BN2701,0)+INDEX($AT$13:$BB$162,BO2701,0)+INDEX($BD$13:$BL$162,BP2701,0))/100))),0)</f>
        <v/>
      </c>
      <c r="BT2701">
        <f>IF(AND(2688&lt;$U$9,$W$5),BQ2701*1000000-MIN(BR2701,999)*1000+BS2701-2688/100000,-1000000000-2688)</f>
        <v/>
      </c>
    </row>
    <row r="2702">
      <c r="BN2702">
        <f>IF(2689&lt;$U$9,INT(2689/($U$7*$U$8))+1,1)</f>
        <v/>
      </c>
      <c r="BO2702">
        <f>IF(2689&lt;$U$9,MOD(INT(2689/$U$8),$U$7)+1,1)</f>
        <v/>
      </c>
      <c r="BP2702">
        <f>IF(2689&lt;$U$9,MOD(2689,$U$8)+1,1)</f>
        <v/>
      </c>
      <c r="BQ2702">
        <f>IF(2689&lt;$U$9,SUMPRODUCT(($D$10:$L$10&lt;&gt;"")*(($D$9:$L$9+INT(($S$12:$AA$12+INDEX($AJ$13:$AR$162,BN2702,0)+INDEX($AT$13:$BB$162,BO2702,0)+INDEX($BD$13:$BL$162,BP2702,0))/100))&gt;=$D$10:$L$10)),0)</f>
        <v/>
      </c>
      <c r="BR2702">
        <f>IF(2689&lt;$U$9,SUMPRODUCT(($D$10:$L$10&lt;&gt;"")*(($D$10:$L$10-($D$9:$L$9+INT(($S$12:$AA$12+INDEX($AJ$13:$AR$162,BN2702,0)+INDEX($AT$13:$BB$162,BO2702,0)+INDEX($BD$13:$BL$162,BP2702,0))/100)))&gt;0)*($D$10:$L$10-($D$9:$L$9+INT(($S$12:$AA$12+INDEX($AJ$13:$AR$162,BN2702,0)+INDEX($AT$13:$BB$162,BO2702,0)+INDEX($BD$13:$BL$162,BP2702,0))/100)))),0)</f>
        <v/>
      </c>
      <c r="BS2702">
        <f>IF(2689&lt;$U$9,SUMPRODUCT(($D$9:$L$9+INT(($S$12:$AA$12+INDEX($AJ$13:$AR$162,BN2702,0)+INDEX($AT$13:$BB$162,BO2702,0)+INDEX($BD$13:$BL$162,BP2702,0))/100))),0)</f>
        <v/>
      </c>
      <c r="BT2702">
        <f>IF(AND(2689&lt;$U$9,$W$5),BQ2702*1000000-MIN(BR2702,999)*1000+BS2702-2689/100000,-1000000000-2689)</f>
        <v/>
      </c>
    </row>
    <row r="2703">
      <c r="BN2703">
        <f>IF(2690&lt;$U$9,INT(2690/($U$7*$U$8))+1,1)</f>
        <v/>
      </c>
      <c r="BO2703">
        <f>IF(2690&lt;$U$9,MOD(INT(2690/$U$8),$U$7)+1,1)</f>
        <v/>
      </c>
      <c r="BP2703">
        <f>IF(2690&lt;$U$9,MOD(2690,$U$8)+1,1)</f>
        <v/>
      </c>
      <c r="BQ2703">
        <f>IF(2690&lt;$U$9,SUMPRODUCT(($D$10:$L$10&lt;&gt;"")*(($D$9:$L$9+INT(($S$12:$AA$12+INDEX($AJ$13:$AR$162,BN2703,0)+INDEX($AT$13:$BB$162,BO2703,0)+INDEX($BD$13:$BL$162,BP2703,0))/100))&gt;=$D$10:$L$10)),0)</f>
        <v/>
      </c>
      <c r="BR2703">
        <f>IF(2690&lt;$U$9,SUMPRODUCT(($D$10:$L$10&lt;&gt;"")*(($D$10:$L$10-($D$9:$L$9+INT(($S$12:$AA$12+INDEX($AJ$13:$AR$162,BN2703,0)+INDEX($AT$13:$BB$162,BO2703,0)+INDEX($BD$13:$BL$162,BP2703,0))/100)))&gt;0)*($D$10:$L$10-($D$9:$L$9+INT(($S$12:$AA$12+INDEX($AJ$13:$AR$162,BN2703,0)+INDEX($AT$13:$BB$162,BO2703,0)+INDEX($BD$13:$BL$162,BP2703,0))/100)))),0)</f>
        <v/>
      </c>
      <c r="BS2703">
        <f>IF(2690&lt;$U$9,SUMPRODUCT(($D$9:$L$9+INT(($S$12:$AA$12+INDEX($AJ$13:$AR$162,BN2703,0)+INDEX($AT$13:$BB$162,BO2703,0)+INDEX($BD$13:$BL$162,BP2703,0))/100))),0)</f>
        <v/>
      </c>
      <c r="BT2703">
        <f>IF(AND(2690&lt;$U$9,$W$5),BQ2703*1000000-MIN(BR2703,999)*1000+BS2703-2690/100000,-1000000000-2690)</f>
        <v/>
      </c>
    </row>
    <row r="2704">
      <c r="BN2704">
        <f>IF(2691&lt;$U$9,INT(2691/($U$7*$U$8))+1,1)</f>
        <v/>
      </c>
      <c r="BO2704">
        <f>IF(2691&lt;$U$9,MOD(INT(2691/$U$8),$U$7)+1,1)</f>
        <v/>
      </c>
      <c r="BP2704">
        <f>IF(2691&lt;$U$9,MOD(2691,$U$8)+1,1)</f>
        <v/>
      </c>
      <c r="BQ2704">
        <f>IF(2691&lt;$U$9,SUMPRODUCT(($D$10:$L$10&lt;&gt;"")*(($D$9:$L$9+INT(($S$12:$AA$12+INDEX($AJ$13:$AR$162,BN2704,0)+INDEX($AT$13:$BB$162,BO2704,0)+INDEX($BD$13:$BL$162,BP2704,0))/100))&gt;=$D$10:$L$10)),0)</f>
        <v/>
      </c>
      <c r="BR2704">
        <f>IF(2691&lt;$U$9,SUMPRODUCT(($D$10:$L$10&lt;&gt;"")*(($D$10:$L$10-($D$9:$L$9+INT(($S$12:$AA$12+INDEX($AJ$13:$AR$162,BN2704,0)+INDEX($AT$13:$BB$162,BO2704,0)+INDEX($BD$13:$BL$162,BP2704,0))/100)))&gt;0)*($D$10:$L$10-($D$9:$L$9+INT(($S$12:$AA$12+INDEX($AJ$13:$AR$162,BN2704,0)+INDEX($AT$13:$BB$162,BO2704,0)+INDEX($BD$13:$BL$162,BP2704,0))/100)))),0)</f>
        <v/>
      </c>
      <c r="BS2704">
        <f>IF(2691&lt;$U$9,SUMPRODUCT(($D$9:$L$9+INT(($S$12:$AA$12+INDEX($AJ$13:$AR$162,BN2704,0)+INDEX($AT$13:$BB$162,BO2704,0)+INDEX($BD$13:$BL$162,BP2704,0))/100))),0)</f>
        <v/>
      </c>
      <c r="BT2704">
        <f>IF(AND(2691&lt;$U$9,$W$5),BQ2704*1000000-MIN(BR2704,999)*1000+BS2704-2691/100000,-1000000000-2691)</f>
        <v/>
      </c>
    </row>
    <row r="2705">
      <c r="BN2705">
        <f>IF(2692&lt;$U$9,INT(2692/($U$7*$U$8))+1,1)</f>
        <v/>
      </c>
      <c r="BO2705">
        <f>IF(2692&lt;$U$9,MOD(INT(2692/$U$8),$U$7)+1,1)</f>
        <v/>
      </c>
      <c r="BP2705">
        <f>IF(2692&lt;$U$9,MOD(2692,$U$8)+1,1)</f>
        <v/>
      </c>
      <c r="BQ2705">
        <f>IF(2692&lt;$U$9,SUMPRODUCT(($D$10:$L$10&lt;&gt;"")*(($D$9:$L$9+INT(($S$12:$AA$12+INDEX($AJ$13:$AR$162,BN2705,0)+INDEX($AT$13:$BB$162,BO2705,0)+INDEX($BD$13:$BL$162,BP2705,0))/100))&gt;=$D$10:$L$10)),0)</f>
        <v/>
      </c>
      <c r="BR2705">
        <f>IF(2692&lt;$U$9,SUMPRODUCT(($D$10:$L$10&lt;&gt;"")*(($D$10:$L$10-($D$9:$L$9+INT(($S$12:$AA$12+INDEX($AJ$13:$AR$162,BN2705,0)+INDEX($AT$13:$BB$162,BO2705,0)+INDEX($BD$13:$BL$162,BP2705,0))/100)))&gt;0)*($D$10:$L$10-($D$9:$L$9+INT(($S$12:$AA$12+INDEX($AJ$13:$AR$162,BN2705,0)+INDEX($AT$13:$BB$162,BO2705,0)+INDEX($BD$13:$BL$162,BP2705,0))/100)))),0)</f>
        <v/>
      </c>
      <c r="BS2705">
        <f>IF(2692&lt;$U$9,SUMPRODUCT(($D$9:$L$9+INT(($S$12:$AA$12+INDEX($AJ$13:$AR$162,BN2705,0)+INDEX($AT$13:$BB$162,BO2705,0)+INDEX($BD$13:$BL$162,BP2705,0))/100))),0)</f>
        <v/>
      </c>
      <c r="BT2705">
        <f>IF(AND(2692&lt;$U$9,$W$5),BQ2705*1000000-MIN(BR2705,999)*1000+BS2705-2692/100000,-1000000000-2692)</f>
        <v/>
      </c>
    </row>
    <row r="2706">
      <c r="BN2706">
        <f>IF(2693&lt;$U$9,INT(2693/($U$7*$U$8))+1,1)</f>
        <v/>
      </c>
      <c r="BO2706">
        <f>IF(2693&lt;$U$9,MOD(INT(2693/$U$8),$U$7)+1,1)</f>
        <v/>
      </c>
      <c r="BP2706">
        <f>IF(2693&lt;$U$9,MOD(2693,$U$8)+1,1)</f>
        <v/>
      </c>
      <c r="BQ2706">
        <f>IF(2693&lt;$U$9,SUMPRODUCT(($D$10:$L$10&lt;&gt;"")*(($D$9:$L$9+INT(($S$12:$AA$12+INDEX($AJ$13:$AR$162,BN2706,0)+INDEX($AT$13:$BB$162,BO2706,0)+INDEX($BD$13:$BL$162,BP2706,0))/100))&gt;=$D$10:$L$10)),0)</f>
        <v/>
      </c>
      <c r="BR2706">
        <f>IF(2693&lt;$U$9,SUMPRODUCT(($D$10:$L$10&lt;&gt;"")*(($D$10:$L$10-($D$9:$L$9+INT(($S$12:$AA$12+INDEX($AJ$13:$AR$162,BN2706,0)+INDEX($AT$13:$BB$162,BO2706,0)+INDEX($BD$13:$BL$162,BP2706,0))/100)))&gt;0)*($D$10:$L$10-($D$9:$L$9+INT(($S$12:$AA$12+INDEX($AJ$13:$AR$162,BN2706,0)+INDEX($AT$13:$BB$162,BO2706,0)+INDEX($BD$13:$BL$162,BP2706,0))/100)))),0)</f>
        <v/>
      </c>
      <c r="BS2706">
        <f>IF(2693&lt;$U$9,SUMPRODUCT(($D$9:$L$9+INT(($S$12:$AA$12+INDEX($AJ$13:$AR$162,BN2706,0)+INDEX($AT$13:$BB$162,BO2706,0)+INDEX($BD$13:$BL$162,BP2706,0))/100))),0)</f>
        <v/>
      </c>
      <c r="BT2706">
        <f>IF(AND(2693&lt;$U$9,$W$5),BQ2706*1000000-MIN(BR2706,999)*1000+BS2706-2693/100000,-1000000000-2693)</f>
        <v/>
      </c>
    </row>
    <row r="2707">
      <c r="BN2707">
        <f>IF(2694&lt;$U$9,INT(2694/($U$7*$U$8))+1,1)</f>
        <v/>
      </c>
      <c r="BO2707">
        <f>IF(2694&lt;$U$9,MOD(INT(2694/$U$8),$U$7)+1,1)</f>
        <v/>
      </c>
      <c r="BP2707">
        <f>IF(2694&lt;$U$9,MOD(2694,$U$8)+1,1)</f>
        <v/>
      </c>
      <c r="BQ2707">
        <f>IF(2694&lt;$U$9,SUMPRODUCT(($D$10:$L$10&lt;&gt;"")*(($D$9:$L$9+INT(($S$12:$AA$12+INDEX($AJ$13:$AR$162,BN2707,0)+INDEX($AT$13:$BB$162,BO2707,0)+INDEX($BD$13:$BL$162,BP2707,0))/100))&gt;=$D$10:$L$10)),0)</f>
        <v/>
      </c>
      <c r="BR2707">
        <f>IF(2694&lt;$U$9,SUMPRODUCT(($D$10:$L$10&lt;&gt;"")*(($D$10:$L$10-($D$9:$L$9+INT(($S$12:$AA$12+INDEX($AJ$13:$AR$162,BN2707,0)+INDEX($AT$13:$BB$162,BO2707,0)+INDEX($BD$13:$BL$162,BP2707,0))/100)))&gt;0)*($D$10:$L$10-($D$9:$L$9+INT(($S$12:$AA$12+INDEX($AJ$13:$AR$162,BN2707,0)+INDEX($AT$13:$BB$162,BO2707,0)+INDEX($BD$13:$BL$162,BP2707,0))/100)))),0)</f>
        <v/>
      </c>
      <c r="BS2707">
        <f>IF(2694&lt;$U$9,SUMPRODUCT(($D$9:$L$9+INT(($S$12:$AA$12+INDEX($AJ$13:$AR$162,BN2707,0)+INDEX($AT$13:$BB$162,BO2707,0)+INDEX($BD$13:$BL$162,BP2707,0))/100))),0)</f>
        <v/>
      </c>
      <c r="BT2707">
        <f>IF(AND(2694&lt;$U$9,$W$5),BQ2707*1000000-MIN(BR2707,999)*1000+BS2707-2694/100000,-1000000000-2694)</f>
        <v/>
      </c>
    </row>
    <row r="2708">
      <c r="BN2708">
        <f>IF(2695&lt;$U$9,INT(2695/($U$7*$U$8))+1,1)</f>
        <v/>
      </c>
      <c r="BO2708">
        <f>IF(2695&lt;$U$9,MOD(INT(2695/$U$8),$U$7)+1,1)</f>
        <v/>
      </c>
      <c r="BP2708">
        <f>IF(2695&lt;$U$9,MOD(2695,$U$8)+1,1)</f>
        <v/>
      </c>
      <c r="BQ2708">
        <f>IF(2695&lt;$U$9,SUMPRODUCT(($D$10:$L$10&lt;&gt;"")*(($D$9:$L$9+INT(($S$12:$AA$12+INDEX($AJ$13:$AR$162,BN2708,0)+INDEX($AT$13:$BB$162,BO2708,0)+INDEX($BD$13:$BL$162,BP2708,0))/100))&gt;=$D$10:$L$10)),0)</f>
        <v/>
      </c>
      <c r="BR2708">
        <f>IF(2695&lt;$U$9,SUMPRODUCT(($D$10:$L$10&lt;&gt;"")*(($D$10:$L$10-($D$9:$L$9+INT(($S$12:$AA$12+INDEX($AJ$13:$AR$162,BN2708,0)+INDEX($AT$13:$BB$162,BO2708,0)+INDEX($BD$13:$BL$162,BP2708,0))/100)))&gt;0)*($D$10:$L$10-($D$9:$L$9+INT(($S$12:$AA$12+INDEX($AJ$13:$AR$162,BN2708,0)+INDEX($AT$13:$BB$162,BO2708,0)+INDEX($BD$13:$BL$162,BP2708,0))/100)))),0)</f>
        <v/>
      </c>
      <c r="BS2708">
        <f>IF(2695&lt;$U$9,SUMPRODUCT(($D$9:$L$9+INT(($S$12:$AA$12+INDEX($AJ$13:$AR$162,BN2708,0)+INDEX($AT$13:$BB$162,BO2708,0)+INDEX($BD$13:$BL$162,BP2708,0))/100))),0)</f>
        <v/>
      </c>
      <c r="BT2708">
        <f>IF(AND(2695&lt;$U$9,$W$5),BQ2708*1000000-MIN(BR2708,999)*1000+BS2708-2695/100000,-1000000000-2695)</f>
        <v/>
      </c>
    </row>
    <row r="2709">
      <c r="BN2709">
        <f>IF(2696&lt;$U$9,INT(2696/($U$7*$U$8))+1,1)</f>
        <v/>
      </c>
      <c r="BO2709">
        <f>IF(2696&lt;$U$9,MOD(INT(2696/$U$8),$U$7)+1,1)</f>
        <v/>
      </c>
      <c r="BP2709">
        <f>IF(2696&lt;$U$9,MOD(2696,$U$8)+1,1)</f>
        <v/>
      </c>
      <c r="BQ2709">
        <f>IF(2696&lt;$U$9,SUMPRODUCT(($D$10:$L$10&lt;&gt;"")*(($D$9:$L$9+INT(($S$12:$AA$12+INDEX($AJ$13:$AR$162,BN2709,0)+INDEX($AT$13:$BB$162,BO2709,0)+INDEX($BD$13:$BL$162,BP2709,0))/100))&gt;=$D$10:$L$10)),0)</f>
        <v/>
      </c>
      <c r="BR2709">
        <f>IF(2696&lt;$U$9,SUMPRODUCT(($D$10:$L$10&lt;&gt;"")*(($D$10:$L$10-($D$9:$L$9+INT(($S$12:$AA$12+INDEX($AJ$13:$AR$162,BN2709,0)+INDEX($AT$13:$BB$162,BO2709,0)+INDEX($BD$13:$BL$162,BP2709,0))/100)))&gt;0)*($D$10:$L$10-($D$9:$L$9+INT(($S$12:$AA$12+INDEX($AJ$13:$AR$162,BN2709,0)+INDEX($AT$13:$BB$162,BO2709,0)+INDEX($BD$13:$BL$162,BP2709,0))/100)))),0)</f>
        <v/>
      </c>
      <c r="BS2709">
        <f>IF(2696&lt;$U$9,SUMPRODUCT(($D$9:$L$9+INT(($S$12:$AA$12+INDEX($AJ$13:$AR$162,BN2709,0)+INDEX($AT$13:$BB$162,BO2709,0)+INDEX($BD$13:$BL$162,BP2709,0))/100))),0)</f>
        <v/>
      </c>
      <c r="BT2709">
        <f>IF(AND(2696&lt;$U$9,$W$5),BQ2709*1000000-MIN(BR2709,999)*1000+BS2709-2696/100000,-1000000000-2696)</f>
        <v/>
      </c>
    </row>
    <row r="2710">
      <c r="BN2710">
        <f>IF(2697&lt;$U$9,INT(2697/($U$7*$U$8))+1,1)</f>
        <v/>
      </c>
      <c r="BO2710">
        <f>IF(2697&lt;$U$9,MOD(INT(2697/$U$8),$U$7)+1,1)</f>
        <v/>
      </c>
      <c r="BP2710">
        <f>IF(2697&lt;$U$9,MOD(2697,$U$8)+1,1)</f>
        <v/>
      </c>
      <c r="BQ2710">
        <f>IF(2697&lt;$U$9,SUMPRODUCT(($D$10:$L$10&lt;&gt;"")*(($D$9:$L$9+INT(($S$12:$AA$12+INDEX($AJ$13:$AR$162,BN2710,0)+INDEX($AT$13:$BB$162,BO2710,0)+INDEX($BD$13:$BL$162,BP2710,0))/100))&gt;=$D$10:$L$10)),0)</f>
        <v/>
      </c>
      <c r="BR2710">
        <f>IF(2697&lt;$U$9,SUMPRODUCT(($D$10:$L$10&lt;&gt;"")*(($D$10:$L$10-($D$9:$L$9+INT(($S$12:$AA$12+INDEX($AJ$13:$AR$162,BN2710,0)+INDEX($AT$13:$BB$162,BO2710,0)+INDEX($BD$13:$BL$162,BP2710,0))/100)))&gt;0)*($D$10:$L$10-($D$9:$L$9+INT(($S$12:$AA$12+INDEX($AJ$13:$AR$162,BN2710,0)+INDEX($AT$13:$BB$162,BO2710,0)+INDEX($BD$13:$BL$162,BP2710,0))/100)))),0)</f>
        <v/>
      </c>
      <c r="BS2710">
        <f>IF(2697&lt;$U$9,SUMPRODUCT(($D$9:$L$9+INT(($S$12:$AA$12+INDEX($AJ$13:$AR$162,BN2710,0)+INDEX($AT$13:$BB$162,BO2710,0)+INDEX($BD$13:$BL$162,BP2710,0))/100))),0)</f>
        <v/>
      </c>
      <c r="BT2710">
        <f>IF(AND(2697&lt;$U$9,$W$5),BQ2710*1000000-MIN(BR2710,999)*1000+BS2710-2697/100000,-1000000000-2697)</f>
        <v/>
      </c>
    </row>
    <row r="2711">
      <c r="BN2711">
        <f>IF(2698&lt;$U$9,INT(2698/($U$7*$U$8))+1,1)</f>
        <v/>
      </c>
      <c r="BO2711">
        <f>IF(2698&lt;$U$9,MOD(INT(2698/$U$8),$U$7)+1,1)</f>
        <v/>
      </c>
      <c r="BP2711">
        <f>IF(2698&lt;$U$9,MOD(2698,$U$8)+1,1)</f>
        <v/>
      </c>
      <c r="BQ2711">
        <f>IF(2698&lt;$U$9,SUMPRODUCT(($D$10:$L$10&lt;&gt;"")*(($D$9:$L$9+INT(($S$12:$AA$12+INDEX($AJ$13:$AR$162,BN2711,0)+INDEX($AT$13:$BB$162,BO2711,0)+INDEX($BD$13:$BL$162,BP2711,0))/100))&gt;=$D$10:$L$10)),0)</f>
        <v/>
      </c>
      <c r="BR2711">
        <f>IF(2698&lt;$U$9,SUMPRODUCT(($D$10:$L$10&lt;&gt;"")*(($D$10:$L$10-($D$9:$L$9+INT(($S$12:$AA$12+INDEX($AJ$13:$AR$162,BN2711,0)+INDEX($AT$13:$BB$162,BO2711,0)+INDEX($BD$13:$BL$162,BP2711,0))/100)))&gt;0)*($D$10:$L$10-($D$9:$L$9+INT(($S$12:$AA$12+INDEX($AJ$13:$AR$162,BN2711,0)+INDEX($AT$13:$BB$162,BO2711,0)+INDEX($BD$13:$BL$162,BP2711,0))/100)))),0)</f>
        <v/>
      </c>
      <c r="BS2711">
        <f>IF(2698&lt;$U$9,SUMPRODUCT(($D$9:$L$9+INT(($S$12:$AA$12+INDEX($AJ$13:$AR$162,BN2711,0)+INDEX($AT$13:$BB$162,BO2711,0)+INDEX($BD$13:$BL$162,BP2711,0))/100))),0)</f>
        <v/>
      </c>
      <c r="BT2711">
        <f>IF(AND(2698&lt;$U$9,$W$5),BQ2711*1000000-MIN(BR2711,999)*1000+BS2711-2698/100000,-1000000000-2698)</f>
        <v/>
      </c>
    </row>
    <row r="2712">
      <c r="BN2712">
        <f>IF(2699&lt;$U$9,INT(2699/($U$7*$U$8))+1,1)</f>
        <v/>
      </c>
      <c r="BO2712">
        <f>IF(2699&lt;$U$9,MOD(INT(2699/$U$8),$U$7)+1,1)</f>
        <v/>
      </c>
      <c r="BP2712">
        <f>IF(2699&lt;$U$9,MOD(2699,$U$8)+1,1)</f>
        <v/>
      </c>
      <c r="BQ2712">
        <f>IF(2699&lt;$U$9,SUMPRODUCT(($D$10:$L$10&lt;&gt;"")*(($D$9:$L$9+INT(($S$12:$AA$12+INDEX($AJ$13:$AR$162,BN2712,0)+INDEX($AT$13:$BB$162,BO2712,0)+INDEX($BD$13:$BL$162,BP2712,0))/100))&gt;=$D$10:$L$10)),0)</f>
        <v/>
      </c>
      <c r="BR2712">
        <f>IF(2699&lt;$U$9,SUMPRODUCT(($D$10:$L$10&lt;&gt;"")*(($D$10:$L$10-($D$9:$L$9+INT(($S$12:$AA$12+INDEX($AJ$13:$AR$162,BN2712,0)+INDEX($AT$13:$BB$162,BO2712,0)+INDEX($BD$13:$BL$162,BP2712,0))/100)))&gt;0)*($D$10:$L$10-($D$9:$L$9+INT(($S$12:$AA$12+INDEX($AJ$13:$AR$162,BN2712,0)+INDEX($AT$13:$BB$162,BO2712,0)+INDEX($BD$13:$BL$162,BP2712,0))/100)))),0)</f>
        <v/>
      </c>
      <c r="BS2712">
        <f>IF(2699&lt;$U$9,SUMPRODUCT(($D$9:$L$9+INT(($S$12:$AA$12+INDEX($AJ$13:$AR$162,BN2712,0)+INDEX($AT$13:$BB$162,BO2712,0)+INDEX($BD$13:$BL$162,BP2712,0))/100))),0)</f>
        <v/>
      </c>
      <c r="BT2712">
        <f>IF(AND(2699&lt;$U$9,$W$5),BQ2712*1000000-MIN(BR2712,999)*1000+BS2712-2699/100000,-1000000000-2699)</f>
        <v/>
      </c>
    </row>
    <row r="2713">
      <c r="BN2713">
        <f>IF(2700&lt;$U$9,INT(2700/($U$7*$U$8))+1,1)</f>
        <v/>
      </c>
      <c r="BO2713">
        <f>IF(2700&lt;$U$9,MOD(INT(2700/$U$8),$U$7)+1,1)</f>
        <v/>
      </c>
      <c r="BP2713">
        <f>IF(2700&lt;$U$9,MOD(2700,$U$8)+1,1)</f>
        <v/>
      </c>
      <c r="BQ2713">
        <f>IF(2700&lt;$U$9,SUMPRODUCT(($D$10:$L$10&lt;&gt;"")*(($D$9:$L$9+INT(($S$12:$AA$12+INDEX($AJ$13:$AR$162,BN2713,0)+INDEX($AT$13:$BB$162,BO2713,0)+INDEX($BD$13:$BL$162,BP2713,0))/100))&gt;=$D$10:$L$10)),0)</f>
        <v/>
      </c>
      <c r="BR2713">
        <f>IF(2700&lt;$U$9,SUMPRODUCT(($D$10:$L$10&lt;&gt;"")*(($D$10:$L$10-($D$9:$L$9+INT(($S$12:$AA$12+INDEX($AJ$13:$AR$162,BN2713,0)+INDEX($AT$13:$BB$162,BO2713,0)+INDEX($BD$13:$BL$162,BP2713,0))/100)))&gt;0)*($D$10:$L$10-($D$9:$L$9+INT(($S$12:$AA$12+INDEX($AJ$13:$AR$162,BN2713,0)+INDEX($AT$13:$BB$162,BO2713,0)+INDEX($BD$13:$BL$162,BP2713,0))/100)))),0)</f>
        <v/>
      </c>
      <c r="BS2713">
        <f>IF(2700&lt;$U$9,SUMPRODUCT(($D$9:$L$9+INT(($S$12:$AA$12+INDEX($AJ$13:$AR$162,BN2713,0)+INDEX($AT$13:$BB$162,BO2713,0)+INDEX($BD$13:$BL$162,BP2713,0))/100))),0)</f>
        <v/>
      </c>
      <c r="BT2713">
        <f>IF(AND(2700&lt;$U$9,$W$5),BQ2713*1000000-MIN(BR2713,999)*1000+BS2713-2700/100000,-1000000000-2700)</f>
        <v/>
      </c>
    </row>
    <row r="2714">
      <c r="BN2714">
        <f>IF(2701&lt;$U$9,INT(2701/($U$7*$U$8))+1,1)</f>
        <v/>
      </c>
      <c r="BO2714">
        <f>IF(2701&lt;$U$9,MOD(INT(2701/$U$8),$U$7)+1,1)</f>
        <v/>
      </c>
      <c r="BP2714">
        <f>IF(2701&lt;$U$9,MOD(2701,$U$8)+1,1)</f>
        <v/>
      </c>
      <c r="BQ2714">
        <f>IF(2701&lt;$U$9,SUMPRODUCT(($D$10:$L$10&lt;&gt;"")*(($D$9:$L$9+INT(($S$12:$AA$12+INDEX($AJ$13:$AR$162,BN2714,0)+INDEX($AT$13:$BB$162,BO2714,0)+INDEX($BD$13:$BL$162,BP2714,0))/100))&gt;=$D$10:$L$10)),0)</f>
        <v/>
      </c>
      <c r="BR2714">
        <f>IF(2701&lt;$U$9,SUMPRODUCT(($D$10:$L$10&lt;&gt;"")*(($D$10:$L$10-($D$9:$L$9+INT(($S$12:$AA$12+INDEX($AJ$13:$AR$162,BN2714,0)+INDEX($AT$13:$BB$162,BO2714,0)+INDEX($BD$13:$BL$162,BP2714,0))/100)))&gt;0)*($D$10:$L$10-($D$9:$L$9+INT(($S$12:$AA$12+INDEX($AJ$13:$AR$162,BN2714,0)+INDEX($AT$13:$BB$162,BO2714,0)+INDEX($BD$13:$BL$162,BP2714,0))/100)))),0)</f>
        <v/>
      </c>
      <c r="BS2714">
        <f>IF(2701&lt;$U$9,SUMPRODUCT(($D$9:$L$9+INT(($S$12:$AA$12+INDEX($AJ$13:$AR$162,BN2714,0)+INDEX($AT$13:$BB$162,BO2714,0)+INDEX($BD$13:$BL$162,BP2714,0))/100))),0)</f>
        <v/>
      </c>
      <c r="BT2714">
        <f>IF(AND(2701&lt;$U$9,$W$5),BQ2714*1000000-MIN(BR2714,999)*1000+BS2714-2701/100000,-1000000000-2701)</f>
        <v/>
      </c>
    </row>
    <row r="2715">
      <c r="BN2715">
        <f>IF(2702&lt;$U$9,INT(2702/($U$7*$U$8))+1,1)</f>
        <v/>
      </c>
      <c r="BO2715">
        <f>IF(2702&lt;$U$9,MOD(INT(2702/$U$8),$U$7)+1,1)</f>
        <v/>
      </c>
      <c r="BP2715">
        <f>IF(2702&lt;$U$9,MOD(2702,$U$8)+1,1)</f>
        <v/>
      </c>
      <c r="BQ2715">
        <f>IF(2702&lt;$U$9,SUMPRODUCT(($D$10:$L$10&lt;&gt;"")*(($D$9:$L$9+INT(($S$12:$AA$12+INDEX($AJ$13:$AR$162,BN2715,0)+INDEX($AT$13:$BB$162,BO2715,0)+INDEX($BD$13:$BL$162,BP2715,0))/100))&gt;=$D$10:$L$10)),0)</f>
        <v/>
      </c>
      <c r="BR2715">
        <f>IF(2702&lt;$U$9,SUMPRODUCT(($D$10:$L$10&lt;&gt;"")*(($D$10:$L$10-($D$9:$L$9+INT(($S$12:$AA$12+INDEX($AJ$13:$AR$162,BN2715,0)+INDEX($AT$13:$BB$162,BO2715,0)+INDEX($BD$13:$BL$162,BP2715,0))/100)))&gt;0)*($D$10:$L$10-($D$9:$L$9+INT(($S$12:$AA$12+INDEX($AJ$13:$AR$162,BN2715,0)+INDEX($AT$13:$BB$162,BO2715,0)+INDEX($BD$13:$BL$162,BP2715,0))/100)))),0)</f>
        <v/>
      </c>
      <c r="BS2715">
        <f>IF(2702&lt;$U$9,SUMPRODUCT(($D$9:$L$9+INT(($S$12:$AA$12+INDEX($AJ$13:$AR$162,BN2715,0)+INDEX($AT$13:$BB$162,BO2715,0)+INDEX($BD$13:$BL$162,BP2715,0))/100))),0)</f>
        <v/>
      </c>
      <c r="BT2715">
        <f>IF(AND(2702&lt;$U$9,$W$5),BQ2715*1000000-MIN(BR2715,999)*1000+BS2715-2702/100000,-1000000000-2702)</f>
        <v/>
      </c>
    </row>
    <row r="2716">
      <c r="BN2716">
        <f>IF(2703&lt;$U$9,INT(2703/($U$7*$U$8))+1,1)</f>
        <v/>
      </c>
      <c r="BO2716">
        <f>IF(2703&lt;$U$9,MOD(INT(2703/$U$8),$U$7)+1,1)</f>
        <v/>
      </c>
      <c r="BP2716">
        <f>IF(2703&lt;$U$9,MOD(2703,$U$8)+1,1)</f>
        <v/>
      </c>
      <c r="BQ2716">
        <f>IF(2703&lt;$U$9,SUMPRODUCT(($D$10:$L$10&lt;&gt;"")*(($D$9:$L$9+INT(($S$12:$AA$12+INDEX($AJ$13:$AR$162,BN2716,0)+INDEX($AT$13:$BB$162,BO2716,0)+INDEX($BD$13:$BL$162,BP2716,0))/100))&gt;=$D$10:$L$10)),0)</f>
        <v/>
      </c>
      <c r="BR2716">
        <f>IF(2703&lt;$U$9,SUMPRODUCT(($D$10:$L$10&lt;&gt;"")*(($D$10:$L$10-($D$9:$L$9+INT(($S$12:$AA$12+INDEX($AJ$13:$AR$162,BN2716,0)+INDEX($AT$13:$BB$162,BO2716,0)+INDEX($BD$13:$BL$162,BP2716,0))/100)))&gt;0)*($D$10:$L$10-($D$9:$L$9+INT(($S$12:$AA$12+INDEX($AJ$13:$AR$162,BN2716,0)+INDEX($AT$13:$BB$162,BO2716,0)+INDEX($BD$13:$BL$162,BP2716,0))/100)))),0)</f>
        <v/>
      </c>
      <c r="BS2716">
        <f>IF(2703&lt;$U$9,SUMPRODUCT(($D$9:$L$9+INT(($S$12:$AA$12+INDEX($AJ$13:$AR$162,BN2716,0)+INDEX($AT$13:$BB$162,BO2716,0)+INDEX($BD$13:$BL$162,BP2716,0))/100))),0)</f>
        <v/>
      </c>
      <c r="BT2716">
        <f>IF(AND(2703&lt;$U$9,$W$5),BQ2716*1000000-MIN(BR2716,999)*1000+BS2716-2703/100000,-1000000000-2703)</f>
        <v/>
      </c>
    </row>
    <row r="2717">
      <c r="BN2717">
        <f>IF(2704&lt;$U$9,INT(2704/($U$7*$U$8))+1,1)</f>
        <v/>
      </c>
      <c r="BO2717">
        <f>IF(2704&lt;$U$9,MOD(INT(2704/$U$8),$U$7)+1,1)</f>
        <v/>
      </c>
      <c r="BP2717">
        <f>IF(2704&lt;$U$9,MOD(2704,$U$8)+1,1)</f>
        <v/>
      </c>
      <c r="BQ2717">
        <f>IF(2704&lt;$U$9,SUMPRODUCT(($D$10:$L$10&lt;&gt;"")*(($D$9:$L$9+INT(($S$12:$AA$12+INDEX($AJ$13:$AR$162,BN2717,0)+INDEX($AT$13:$BB$162,BO2717,0)+INDEX($BD$13:$BL$162,BP2717,0))/100))&gt;=$D$10:$L$10)),0)</f>
        <v/>
      </c>
      <c r="BR2717">
        <f>IF(2704&lt;$U$9,SUMPRODUCT(($D$10:$L$10&lt;&gt;"")*(($D$10:$L$10-($D$9:$L$9+INT(($S$12:$AA$12+INDEX($AJ$13:$AR$162,BN2717,0)+INDEX($AT$13:$BB$162,BO2717,0)+INDEX($BD$13:$BL$162,BP2717,0))/100)))&gt;0)*($D$10:$L$10-($D$9:$L$9+INT(($S$12:$AA$12+INDEX($AJ$13:$AR$162,BN2717,0)+INDEX($AT$13:$BB$162,BO2717,0)+INDEX($BD$13:$BL$162,BP2717,0))/100)))),0)</f>
        <v/>
      </c>
      <c r="BS2717">
        <f>IF(2704&lt;$U$9,SUMPRODUCT(($D$9:$L$9+INT(($S$12:$AA$12+INDEX($AJ$13:$AR$162,BN2717,0)+INDEX($AT$13:$BB$162,BO2717,0)+INDEX($BD$13:$BL$162,BP2717,0))/100))),0)</f>
        <v/>
      </c>
      <c r="BT2717">
        <f>IF(AND(2704&lt;$U$9,$W$5),BQ2717*1000000-MIN(BR2717,999)*1000+BS2717-2704/100000,-1000000000-2704)</f>
        <v/>
      </c>
    </row>
    <row r="2718">
      <c r="BN2718">
        <f>IF(2705&lt;$U$9,INT(2705/($U$7*$U$8))+1,1)</f>
        <v/>
      </c>
      <c r="BO2718">
        <f>IF(2705&lt;$U$9,MOD(INT(2705/$U$8),$U$7)+1,1)</f>
        <v/>
      </c>
      <c r="BP2718">
        <f>IF(2705&lt;$U$9,MOD(2705,$U$8)+1,1)</f>
        <v/>
      </c>
      <c r="BQ2718">
        <f>IF(2705&lt;$U$9,SUMPRODUCT(($D$10:$L$10&lt;&gt;"")*(($D$9:$L$9+INT(($S$12:$AA$12+INDEX($AJ$13:$AR$162,BN2718,0)+INDEX($AT$13:$BB$162,BO2718,0)+INDEX($BD$13:$BL$162,BP2718,0))/100))&gt;=$D$10:$L$10)),0)</f>
        <v/>
      </c>
      <c r="BR2718">
        <f>IF(2705&lt;$U$9,SUMPRODUCT(($D$10:$L$10&lt;&gt;"")*(($D$10:$L$10-($D$9:$L$9+INT(($S$12:$AA$12+INDEX($AJ$13:$AR$162,BN2718,0)+INDEX($AT$13:$BB$162,BO2718,0)+INDEX($BD$13:$BL$162,BP2718,0))/100)))&gt;0)*($D$10:$L$10-($D$9:$L$9+INT(($S$12:$AA$12+INDEX($AJ$13:$AR$162,BN2718,0)+INDEX($AT$13:$BB$162,BO2718,0)+INDEX($BD$13:$BL$162,BP2718,0))/100)))),0)</f>
        <v/>
      </c>
      <c r="BS2718">
        <f>IF(2705&lt;$U$9,SUMPRODUCT(($D$9:$L$9+INT(($S$12:$AA$12+INDEX($AJ$13:$AR$162,BN2718,0)+INDEX($AT$13:$BB$162,BO2718,0)+INDEX($BD$13:$BL$162,BP2718,0))/100))),0)</f>
        <v/>
      </c>
      <c r="BT2718">
        <f>IF(AND(2705&lt;$U$9,$W$5),BQ2718*1000000-MIN(BR2718,999)*1000+BS2718-2705/100000,-1000000000-2705)</f>
        <v/>
      </c>
    </row>
    <row r="2719">
      <c r="BN2719">
        <f>IF(2706&lt;$U$9,INT(2706/($U$7*$U$8))+1,1)</f>
        <v/>
      </c>
      <c r="BO2719">
        <f>IF(2706&lt;$U$9,MOD(INT(2706/$U$8),$U$7)+1,1)</f>
        <v/>
      </c>
      <c r="BP2719">
        <f>IF(2706&lt;$U$9,MOD(2706,$U$8)+1,1)</f>
        <v/>
      </c>
      <c r="BQ2719">
        <f>IF(2706&lt;$U$9,SUMPRODUCT(($D$10:$L$10&lt;&gt;"")*(($D$9:$L$9+INT(($S$12:$AA$12+INDEX($AJ$13:$AR$162,BN2719,0)+INDEX($AT$13:$BB$162,BO2719,0)+INDEX($BD$13:$BL$162,BP2719,0))/100))&gt;=$D$10:$L$10)),0)</f>
        <v/>
      </c>
      <c r="BR2719">
        <f>IF(2706&lt;$U$9,SUMPRODUCT(($D$10:$L$10&lt;&gt;"")*(($D$10:$L$10-($D$9:$L$9+INT(($S$12:$AA$12+INDEX($AJ$13:$AR$162,BN2719,0)+INDEX($AT$13:$BB$162,BO2719,0)+INDEX($BD$13:$BL$162,BP2719,0))/100)))&gt;0)*($D$10:$L$10-($D$9:$L$9+INT(($S$12:$AA$12+INDEX($AJ$13:$AR$162,BN2719,0)+INDEX($AT$13:$BB$162,BO2719,0)+INDEX($BD$13:$BL$162,BP2719,0))/100)))),0)</f>
        <v/>
      </c>
      <c r="BS2719">
        <f>IF(2706&lt;$U$9,SUMPRODUCT(($D$9:$L$9+INT(($S$12:$AA$12+INDEX($AJ$13:$AR$162,BN2719,0)+INDEX($AT$13:$BB$162,BO2719,0)+INDEX($BD$13:$BL$162,BP2719,0))/100))),0)</f>
        <v/>
      </c>
      <c r="BT2719">
        <f>IF(AND(2706&lt;$U$9,$W$5),BQ2719*1000000-MIN(BR2719,999)*1000+BS2719-2706/100000,-1000000000-2706)</f>
        <v/>
      </c>
    </row>
    <row r="2720">
      <c r="BN2720">
        <f>IF(2707&lt;$U$9,INT(2707/($U$7*$U$8))+1,1)</f>
        <v/>
      </c>
      <c r="BO2720">
        <f>IF(2707&lt;$U$9,MOD(INT(2707/$U$8),$U$7)+1,1)</f>
        <v/>
      </c>
      <c r="BP2720">
        <f>IF(2707&lt;$U$9,MOD(2707,$U$8)+1,1)</f>
        <v/>
      </c>
      <c r="BQ2720">
        <f>IF(2707&lt;$U$9,SUMPRODUCT(($D$10:$L$10&lt;&gt;"")*(($D$9:$L$9+INT(($S$12:$AA$12+INDEX($AJ$13:$AR$162,BN2720,0)+INDEX($AT$13:$BB$162,BO2720,0)+INDEX($BD$13:$BL$162,BP2720,0))/100))&gt;=$D$10:$L$10)),0)</f>
        <v/>
      </c>
      <c r="BR2720">
        <f>IF(2707&lt;$U$9,SUMPRODUCT(($D$10:$L$10&lt;&gt;"")*(($D$10:$L$10-($D$9:$L$9+INT(($S$12:$AA$12+INDEX($AJ$13:$AR$162,BN2720,0)+INDEX($AT$13:$BB$162,BO2720,0)+INDEX($BD$13:$BL$162,BP2720,0))/100)))&gt;0)*($D$10:$L$10-($D$9:$L$9+INT(($S$12:$AA$12+INDEX($AJ$13:$AR$162,BN2720,0)+INDEX($AT$13:$BB$162,BO2720,0)+INDEX($BD$13:$BL$162,BP2720,0))/100)))),0)</f>
        <v/>
      </c>
      <c r="BS2720">
        <f>IF(2707&lt;$U$9,SUMPRODUCT(($D$9:$L$9+INT(($S$12:$AA$12+INDEX($AJ$13:$AR$162,BN2720,0)+INDEX($AT$13:$BB$162,BO2720,0)+INDEX($BD$13:$BL$162,BP2720,0))/100))),0)</f>
        <v/>
      </c>
      <c r="BT2720">
        <f>IF(AND(2707&lt;$U$9,$W$5),BQ2720*1000000-MIN(BR2720,999)*1000+BS2720-2707/100000,-1000000000-2707)</f>
        <v/>
      </c>
    </row>
    <row r="2721">
      <c r="BN2721">
        <f>IF(2708&lt;$U$9,INT(2708/($U$7*$U$8))+1,1)</f>
        <v/>
      </c>
      <c r="BO2721">
        <f>IF(2708&lt;$U$9,MOD(INT(2708/$U$8),$U$7)+1,1)</f>
        <v/>
      </c>
      <c r="BP2721">
        <f>IF(2708&lt;$U$9,MOD(2708,$U$8)+1,1)</f>
        <v/>
      </c>
      <c r="BQ2721">
        <f>IF(2708&lt;$U$9,SUMPRODUCT(($D$10:$L$10&lt;&gt;"")*(($D$9:$L$9+INT(($S$12:$AA$12+INDEX($AJ$13:$AR$162,BN2721,0)+INDEX($AT$13:$BB$162,BO2721,0)+INDEX($BD$13:$BL$162,BP2721,0))/100))&gt;=$D$10:$L$10)),0)</f>
        <v/>
      </c>
      <c r="BR2721">
        <f>IF(2708&lt;$U$9,SUMPRODUCT(($D$10:$L$10&lt;&gt;"")*(($D$10:$L$10-($D$9:$L$9+INT(($S$12:$AA$12+INDEX($AJ$13:$AR$162,BN2721,0)+INDEX($AT$13:$BB$162,BO2721,0)+INDEX($BD$13:$BL$162,BP2721,0))/100)))&gt;0)*($D$10:$L$10-($D$9:$L$9+INT(($S$12:$AA$12+INDEX($AJ$13:$AR$162,BN2721,0)+INDEX($AT$13:$BB$162,BO2721,0)+INDEX($BD$13:$BL$162,BP2721,0))/100)))),0)</f>
        <v/>
      </c>
      <c r="BS2721">
        <f>IF(2708&lt;$U$9,SUMPRODUCT(($D$9:$L$9+INT(($S$12:$AA$12+INDEX($AJ$13:$AR$162,BN2721,0)+INDEX($AT$13:$BB$162,BO2721,0)+INDEX($BD$13:$BL$162,BP2721,0))/100))),0)</f>
        <v/>
      </c>
      <c r="BT2721">
        <f>IF(AND(2708&lt;$U$9,$W$5),BQ2721*1000000-MIN(BR2721,999)*1000+BS2721-2708/100000,-1000000000-2708)</f>
        <v/>
      </c>
    </row>
    <row r="2722">
      <c r="BN2722">
        <f>IF(2709&lt;$U$9,INT(2709/($U$7*$U$8))+1,1)</f>
        <v/>
      </c>
      <c r="BO2722">
        <f>IF(2709&lt;$U$9,MOD(INT(2709/$U$8),$U$7)+1,1)</f>
        <v/>
      </c>
      <c r="BP2722">
        <f>IF(2709&lt;$U$9,MOD(2709,$U$8)+1,1)</f>
        <v/>
      </c>
      <c r="BQ2722">
        <f>IF(2709&lt;$U$9,SUMPRODUCT(($D$10:$L$10&lt;&gt;"")*(($D$9:$L$9+INT(($S$12:$AA$12+INDEX($AJ$13:$AR$162,BN2722,0)+INDEX($AT$13:$BB$162,BO2722,0)+INDEX($BD$13:$BL$162,BP2722,0))/100))&gt;=$D$10:$L$10)),0)</f>
        <v/>
      </c>
      <c r="BR2722">
        <f>IF(2709&lt;$U$9,SUMPRODUCT(($D$10:$L$10&lt;&gt;"")*(($D$10:$L$10-($D$9:$L$9+INT(($S$12:$AA$12+INDEX($AJ$13:$AR$162,BN2722,0)+INDEX($AT$13:$BB$162,BO2722,0)+INDEX($BD$13:$BL$162,BP2722,0))/100)))&gt;0)*($D$10:$L$10-($D$9:$L$9+INT(($S$12:$AA$12+INDEX($AJ$13:$AR$162,BN2722,0)+INDEX($AT$13:$BB$162,BO2722,0)+INDEX($BD$13:$BL$162,BP2722,0))/100)))),0)</f>
        <v/>
      </c>
      <c r="BS2722">
        <f>IF(2709&lt;$U$9,SUMPRODUCT(($D$9:$L$9+INT(($S$12:$AA$12+INDEX($AJ$13:$AR$162,BN2722,0)+INDEX($AT$13:$BB$162,BO2722,0)+INDEX($BD$13:$BL$162,BP2722,0))/100))),0)</f>
        <v/>
      </c>
      <c r="BT2722">
        <f>IF(AND(2709&lt;$U$9,$W$5),BQ2722*1000000-MIN(BR2722,999)*1000+BS2722-2709/100000,-1000000000-2709)</f>
        <v/>
      </c>
    </row>
    <row r="2723">
      <c r="BN2723">
        <f>IF(2710&lt;$U$9,INT(2710/($U$7*$U$8))+1,1)</f>
        <v/>
      </c>
      <c r="BO2723">
        <f>IF(2710&lt;$U$9,MOD(INT(2710/$U$8),$U$7)+1,1)</f>
        <v/>
      </c>
      <c r="BP2723">
        <f>IF(2710&lt;$U$9,MOD(2710,$U$8)+1,1)</f>
        <v/>
      </c>
      <c r="BQ2723">
        <f>IF(2710&lt;$U$9,SUMPRODUCT(($D$10:$L$10&lt;&gt;"")*(($D$9:$L$9+INT(($S$12:$AA$12+INDEX($AJ$13:$AR$162,BN2723,0)+INDEX($AT$13:$BB$162,BO2723,0)+INDEX($BD$13:$BL$162,BP2723,0))/100))&gt;=$D$10:$L$10)),0)</f>
        <v/>
      </c>
      <c r="BR2723">
        <f>IF(2710&lt;$U$9,SUMPRODUCT(($D$10:$L$10&lt;&gt;"")*(($D$10:$L$10-($D$9:$L$9+INT(($S$12:$AA$12+INDEX($AJ$13:$AR$162,BN2723,0)+INDEX($AT$13:$BB$162,BO2723,0)+INDEX($BD$13:$BL$162,BP2723,0))/100)))&gt;0)*($D$10:$L$10-($D$9:$L$9+INT(($S$12:$AA$12+INDEX($AJ$13:$AR$162,BN2723,0)+INDEX($AT$13:$BB$162,BO2723,0)+INDEX($BD$13:$BL$162,BP2723,0))/100)))),0)</f>
        <v/>
      </c>
      <c r="BS2723">
        <f>IF(2710&lt;$U$9,SUMPRODUCT(($D$9:$L$9+INT(($S$12:$AA$12+INDEX($AJ$13:$AR$162,BN2723,0)+INDEX($AT$13:$BB$162,BO2723,0)+INDEX($BD$13:$BL$162,BP2723,0))/100))),0)</f>
        <v/>
      </c>
      <c r="BT2723">
        <f>IF(AND(2710&lt;$U$9,$W$5),BQ2723*1000000-MIN(BR2723,999)*1000+BS2723-2710/100000,-1000000000-2710)</f>
        <v/>
      </c>
    </row>
    <row r="2724">
      <c r="BN2724">
        <f>IF(2711&lt;$U$9,INT(2711/($U$7*$U$8))+1,1)</f>
        <v/>
      </c>
      <c r="BO2724">
        <f>IF(2711&lt;$U$9,MOD(INT(2711/$U$8),$U$7)+1,1)</f>
        <v/>
      </c>
      <c r="BP2724">
        <f>IF(2711&lt;$U$9,MOD(2711,$U$8)+1,1)</f>
        <v/>
      </c>
      <c r="BQ2724">
        <f>IF(2711&lt;$U$9,SUMPRODUCT(($D$10:$L$10&lt;&gt;"")*(($D$9:$L$9+INT(($S$12:$AA$12+INDEX($AJ$13:$AR$162,BN2724,0)+INDEX($AT$13:$BB$162,BO2724,0)+INDEX($BD$13:$BL$162,BP2724,0))/100))&gt;=$D$10:$L$10)),0)</f>
        <v/>
      </c>
      <c r="BR2724">
        <f>IF(2711&lt;$U$9,SUMPRODUCT(($D$10:$L$10&lt;&gt;"")*(($D$10:$L$10-($D$9:$L$9+INT(($S$12:$AA$12+INDEX($AJ$13:$AR$162,BN2724,0)+INDEX($AT$13:$BB$162,BO2724,0)+INDEX($BD$13:$BL$162,BP2724,0))/100)))&gt;0)*($D$10:$L$10-($D$9:$L$9+INT(($S$12:$AA$12+INDEX($AJ$13:$AR$162,BN2724,0)+INDEX($AT$13:$BB$162,BO2724,0)+INDEX($BD$13:$BL$162,BP2724,0))/100)))),0)</f>
        <v/>
      </c>
      <c r="BS2724">
        <f>IF(2711&lt;$U$9,SUMPRODUCT(($D$9:$L$9+INT(($S$12:$AA$12+INDEX($AJ$13:$AR$162,BN2724,0)+INDEX($AT$13:$BB$162,BO2724,0)+INDEX($BD$13:$BL$162,BP2724,0))/100))),0)</f>
        <v/>
      </c>
      <c r="BT2724">
        <f>IF(AND(2711&lt;$U$9,$W$5),BQ2724*1000000-MIN(BR2724,999)*1000+BS2724-2711/100000,-1000000000-2711)</f>
        <v/>
      </c>
    </row>
    <row r="2725">
      <c r="BN2725">
        <f>IF(2712&lt;$U$9,INT(2712/($U$7*$U$8))+1,1)</f>
        <v/>
      </c>
      <c r="BO2725">
        <f>IF(2712&lt;$U$9,MOD(INT(2712/$U$8),$U$7)+1,1)</f>
        <v/>
      </c>
      <c r="BP2725">
        <f>IF(2712&lt;$U$9,MOD(2712,$U$8)+1,1)</f>
        <v/>
      </c>
      <c r="BQ2725">
        <f>IF(2712&lt;$U$9,SUMPRODUCT(($D$10:$L$10&lt;&gt;"")*(($D$9:$L$9+INT(($S$12:$AA$12+INDEX($AJ$13:$AR$162,BN2725,0)+INDEX($AT$13:$BB$162,BO2725,0)+INDEX($BD$13:$BL$162,BP2725,0))/100))&gt;=$D$10:$L$10)),0)</f>
        <v/>
      </c>
      <c r="BR2725">
        <f>IF(2712&lt;$U$9,SUMPRODUCT(($D$10:$L$10&lt;&gt;"")*(($D$10:$L$10-($D$9:$L$9+INT(($S$12:$AA$12+INDEX($AJ$13:$AR$162,BN2725,0)+INDEX($AT$13:$BB$162,BO2725,0)+INDEX($BD$13:$BL$162,BP2725,0))/100)))&gt;0)*($D$10:$L$10-($D$9:$L$9+INT(($S$12:$AA$12+INDEX($AJ$13:$AR$162,BN2725,0)+INDEX($AT$13:$BB$162,BO2725,0)+INDEX($BD$13:$BL$162,BP2725,0))/100)))),0)</f>
        <v/>
      </c>
      <c r="BS2725">
        <f>IF(2712&lt;$U$9,SUMPRODUCT(($D$9:$L$9+INT(($S$12:$AA$12+INDEX($AJ$13:$AR$162,BN2725,0)+INDEX($AT$13:$BB$162,BO2725,0)+INDEX($BD$13:$BL$162,BP2725,0))/100))),0)</f>
        <v/>
      </c>
      <c r="BT2725">
        <f>IF(AND(2712&lt;$U$9,$W$5),BQ2725*1000000-MIN(BR2725,999)*1000+BS2725-2712/100000,-1000000000-2712)</f>
        <v/>
      </c>
    </row>
    <row r="2726">
      <c r="BN2726">
        <f>IF(2713&lt;$U$9,INT(2713/($U$7*$U$8))+1,1)</f>
        <v/>
      </c>
      <c r="BO2726">
        <f>IF(2713&lt;$U$9,MOD(INT(2713/$U$8),$U$7)+1,1)</f>
        <v/>
      </c>
      <c r="BP2726">
        <f>IF(2713&lt;$U$9,MOD(2713,$U$8)+1,1)</f>
        <v/>
      </c>
      <c r="BQ2726">
        <f>IF(2713&lt;$U$9,SUMPRODUCT(($D$10:$L$10&lt;&gt;"")*(($D$9:$L$9+INT(($S$12:$AA$12+INDEX($AJ$13:$AR$162,BN2726,0)+INDEX($AT$13:$BB$162,BO2726,0)+INDEX($BD$13:$BL$162,BP2726,0))/100))&gt;=$D$10:$L$10)),0)</f>
        <v/>
      </c>
      <c r="BR2726">
        <f>IF(2713&lt;$U$9,SUMPRODUCT(($D$10:$L$10&lt;&gt;"")*(($D$10:$L$10-($D$9:$L$9+INT(($S$12:$AA$12+INDEX($AJ$13:$AR$162,BN2726,0)+INDEX($AT$13:$BB$162,BO2726,0)+INDEX($BD$13:$BL$162,BP2726,0))/100)))&gt;0)*($D$10:$L$10-($D$9:$L$9+INT(($S$12:$AA$12+INDEX($AJ$13:$AR$162,BN2726,0)+INDEX($AT$13:$BB$162,BO2726,0)+INDEX($BD$13:$BL$162,BP2726,0))/100)))),0)</f>
        <v/>
      </c>
      <c r="BS2726">
        <f>IF(2713&lt;$U$9,SUMPRODUCT(($D$9:$L$9+INT(($S$12:$AA$12+INDEX($AJ$13:$AR$162,BN2726,0)+INDEX($AT$13:$BB$162,BO2726,0)+INDEX($BD$13:$BL$162,BP2726,0))/100))),0)</f>
        <v/>
      </c>
      <c r="BT2726">
        <f>IF(AND(2713&lt;$U$9,$W$5),BQ2726*1000000-MIN(BR2726,999)*1000+BS2726-2713/100000,-1000000000-2713)</f>
        <v/>
      </c>
    </row>
    <row r="2727">
      <c r="BN2727">
        <f>IF(2714&lt;$U$9,INT(2714/($U$7*$U$8))+1,1)</f>
        <v/>
      </c>
      <c r="BO2727">
        <f>IF(2714&lt;$U$9,MOD(INT(2714/$U$8),$U$7)+1,1)</f>
        <v/>
      </c>
      <c r="BP2727">
        <f>IF(2714&lt;$U$9,MOD(2714,$U$8)+1,1)</f>
        <v/>
      </c>
      <c r="BQ2727">
        <f>IF(2714&lt;$U$9,SUMPRODUCT(($D$10:$L$10&lt;&gt;"")*(($D$9:$L$9+INT(($S$12:$AA$12+INDEX($AJ$13:$AR$162,BN2727,0)+INDEX($AT$13:$BB$162,BO2727,0)+INDEX($BD$13:$BL$162,BP2727,0))/100))&gt;=$D$10:$L$10)),0)</f>
        <v/>
      </c>
      <c r="BR2727">
        <f>IF(2714&lt;$U$9,SUMPRODUCT(($D$10:$L$10&lt;&gt;"")*(($D$10:$L$10-($D$9:$L$9+INT(($S$12:$AA$12+INDEX($AJ$13:$AR$162,BN2727,0)+INDEX($AT$13:$BB$162,BO2727,0)+INDEX($BD$13:$BL$162,BP2727,0))/100)))&gt;0)*($D$10:$L$10-($D$9:$L$9+INT(($S$12:$AA$12+INDEX($AJ$13:$AR$162,BN2727,0)+INDEX($AT$13:$BB$162,BO2727,0)+INDEX($BD$13:$BL$162,BP2727,0))/100)))),0)</f>
        <v/>
      </c>
      <c r="BS2727">
        <f>IF(2714&lt;$U$9,SUMPRODUCT(($D$9:$L$9+INT(($S$12:$AA$12+INDEX($AJ$13:$AR$162,BN2727,0)+INDEX($AT$13:$BB$162,BO2727,0)+INDEX($BD$13:$BL$162,BP2727,0))/100))),0)</f>
        <v/>
      </c>
      <c r="BT2727">
        <f>IF(AND(2714&lt;$U$9,$W$5),BQ2727*1000000-MIN(BR2727,999)*1000+BS2727-2714/100000,-1000000000-2714)</f>
        <v/>
      </c>
    </row>
    <row r="2728">
      <c r="BN2728">
        <f>IF(2715&lt;$U$9,INT(2715/($U$7*$U$8))+1,1)</f>
        <v/>
      </c>
      <c r="BO2728">
        <f>IF(2715&lt;$U$9,MOD(INT(2715/$U$8),$U$7)+1,1)</f>
        <v/>
      </c>
      <c r="BP2728">
        <f>IF(2715&lt;$U$9,MOD(2715,$U$8)+1,1)</f>
        <v/>
      </c>
      <c r="BQ2728">
        <f>IF(2715&lt;$U$9,SUMPRODUCT(($D$10:$L$10&lt;&gt;"")*(($D$9:$L$9+INT(($S$12:$AA$12+INDEX($AJ$13:$AR$162,BN2728,0)+INDEX($AT$13:$BB$162,BO2728,0)+INDEX($BD$13:$BL$162,BP2728,0))/100))&gt;=$D$10:$L$10)),0)</f>
        <v/>
      </c>
      <c r="BR2728">
        <f>IF(2715&lt;$U$9,SUMPRODUCT(($D$10:$L$10&lt;&gt;"")*(($D$10:$L$10-($D$9:$L$9+INT(($S$12:$AA$12+INDEX($AJ$13:$AR$162,BN2728,0)+INDEX($AT$13:$BB$162,BO2728,0)+INDEX($BD$13:$BL$162,BP2728,0))/100)))&gt;0)*($D$10:$L$10-($D$9:$L$9+INT(($S$12:$AA$12+INDEX($AJ$13:$AR$162,BN2728,0)+INDEX($AT$13:$BB$162,BO2728,0)+INDEX($BD$13:$BL$162,BP2728,0))/100)))),0)</f>
        <v/>
      </c>
      <c r="BS2728">
        <f>IF(2715&lt;$U$9,SUMPRODUCT(($D$9:$L$9+INT(($S$12:$AA$12+INDEX($AJ$13:$AR$162,BN2728,0)+INDEX($AT$13:$BB$162,BO2728,0)+INDEX($BD$13:$BL$162,BP2728,0))/100))),0)</f>
        <v/>
      </c>
      <c r="BT2728">
        <f>IF(AND(2715&lt;$U$9,$W$5),BQ2728*1000000-MIN(BR2728,999)*1000+BS2728-2715/100000,-1000000000-2715)</f>
        <v/>
      </c>
    </row>
    <row r="2729">
      <c r="BN2729">
        <f>IF(2716&lt;$U$9,INT(2716/($U$7*$U$8))+1,1)</f>
        <v/>
      </c>
      <c r="BO2729">
        <f>IF(2716&lt;$U$9,MOD(INT(2716/$U$8),$U$7)+1,1)</f>
        <v/>
      </c>
      <c r="BP2729">
        <f>IF(2716&lt;$U$9,MOD(2716,$U$8)+1,1)</f>
        <v/>
      </c>
      <c r="BQ2729">
        <f>IF(2716&lt;$U$9,SUMPRODUCT(($D$10:$L$10&lt;&gt;"")*(($D$9:$L$9+INT(($S$12:$AA$12+INDEX($AJ$13:$AR$162,BN2729,0)+INDEX($AT$13:$BB$162,BO2729,0)+INDEX($BD$13:$BL$162,BP2729,0))/100))&gt;=$D$10:$L$10)),0)</f>
        <v/>
      </c>
      <c r="BR2729">
        <f>IF(2716&lt;$U$9,SUMPRODUCT(($D$10:$L$10&lt;&gt;"")*(($D$10:$L$10-($D$9:$L$9+INT(($S$12:$AA$12+INDEX($AJ$13:$AR$162,BN2729,0)+INDEX($AT$13:$BB$162,BO2729,0)+INDEX($BD$13:$BL$162,BP2729,0))/100)))&gt;0)*($D$10:$L$10-($D$9:$L$9+INT(($S$12:$AA$12+INDEX($AJ$13:$AR$162,BN2729,0)+INDEX($AT$13:$BB$162,BO2729,0)+INDEX($BD$13:$BL$162,BP2729,0))/100)))),0)</f>
        <v/>
      </c>
      <c r="BS2729">
        <f>IF(2716&lt;$U$9,SUMPRODUCT(($D$9:$L$9+INT(($S$12:$AA$12+INDEX($AJ$13:$AR$162,BN2729,0)+INDEX($AT$13:$BB$162,BO2729,0)+INDEX($BD$13:$BL$162,BP2729,0))/100))),0)</f>
        <v/>
      </c>
      <c r="BT2729">
        <f>IF(AND(2716&lt;$U$9,$W$5),BQ2729*1000000-MIN(BR2729,999)*1000+BS2729-2716/100000,-1000000000-2716)</f>
        <v/>
      </c>
    </row>
    <row r="2730">
      <c r="BN2730">
        <f>IF(2717&lt;$U$9,INT(2717/($U$7*$U$8))+1,1)</f>
        <v/>
      </c>
      <c r="BO2730">
        <f>IF(2717&lt;$U$9,MOD(INT(2717/$U$8),$U$7)+1,1)</f>
        <v/>
      </c>
      <c r="BP2730">
        <f>IF(2717&lt;$U$9,MOD(2717,$U$8)+1,1)</f>
        <v/>
      </c>
      <c r="BQ2730">
        <f>IF(2717&lt;$U$9,SUMPRODUCT(($D$10:$L$10&lt;&gt;"")*(($D$9:$L$9+INT(($S$12:$AA$12+INDEX($AJ$13:$AR$162,BN2730,0)+INDEX($AT$13:$BB$162,BO2730,0)+INDEX($BD$13:$BL$162,BP2730,0))/100))&gt;=$D$10:$L$10)),0)</f>
        <v/>
      </c>
      <c r="BR2730">
        <f>IF(2717&lt;$U$9,SUMPRODUCT(($D$10:$L$10&lt;&gt;"")*(($D$10:$L$10-($D$9:$L$9+INT(($S$12:$AA$12+INDEX($AJ$13:$AR$162,BN2730,0)+INDEX($AT$13:$BB$162,BO2730,0)+INDEX($BD$13:$BL$162,BP2730,0))/100)))&gt;0)*($D$10:$L$10-($D$9:$L$9+INT(($S$12:$AA$12+INDEX($AJ$13:$AR$162,BN2730,0)+INDEX($AT$13:$BB$162,BO2730,0)+INDEX($BD$13:$BL$162,BP2730,0))/100)))),0)</f>
        <v/>
      </c>
      <c r="BS2730">
        <f>IF(2717&lt;$U$9,SUMPRODUCT(($D$9:$L$9+INT(($S$12:$AA$12+INDEX($AJ$13:$AR$162,BN2730,0)+INDEX($AT$13:$BB$162,BO2730,0)+INDEX($BD$13:$BL$162,BP2730,0))/100))),0)</f>
        <v/>
      </c>
      <c r="BT2730">
        <f>IF(AND(2717&lt;$U$9,$W$5),BQ2730*1000000-MIN(BR2730,999)*1000+BS2730-2717/100000,-1000000000-2717)</f>
        <v/>
      </c>
    </row>
    <row r="2731">
      <c r="BN2731">
        <f>IF(2718&lt;$U$9,INT(2718/($U$7*$U$8))+1,1)</f>
        <v/>
      </c>
      <c r="BO2731">
        <f>IF(2718&lt;$U$9,MOD(INT(2718/$U$8),$U$7)+1,1)</f>
        <v/>
      </c>
      <c r="BP2731">
        <f>IF(2718&lt;$U$9,MOD(2718,$U$8)+1,1)</f>
        <v/>
      </c>
      <c r="BQ2731">
        <f>IF(2718&lt;$U$9,SUMPRODUCT(($D$10:$L$10&lt;&gt;"")*(($D$9:$L$9+INT(($S$12:$AA$12+INDEX($AJ$13:$AR$162,BN2731,0)+INDEX($AT$13:$BB$162,BO2731,0)+INDEX($BD$13:$BL$162,BP2731,0))/100))&gt;=$D$10:$L$10)),0)</f>
        <v/>
      </c>
      <c r="BR2731">
        <f>IF(2718&lt;$U$9,SUMPRODUCT(($D$10:$L$10&lt;&gt;"")*(($D$10:$L$10-($D$9:$L$9+INT(($S$12:$AA$12+INDEX($AJ$13:$AR$162,BN2731,0)+INDEX($AT$13:$BB$162,BO2731,0)+INDEX($BD$13:$BL$162,BP2731,0))/100)))&gt;0)*($D$10:$L$10-($D$9:$L$9+INT(($S$12:$AA$12+INDEX($AJ$13:$AR$162,BN2731,0)+INDEX($AT$13:$BB$162,BO2731,0)+INDEX($BD$13:$BL$162,BP2731,0))/100)))),0)</f>
        <v/>
      </c>
      <c r="BS2731">
        <f>IF(2718&lt;$U$9,SUMPRODUCT(($D$9:$L$9+INT(($S$12:$AA$12+INDEX($AJ$13:$AR$162,BN2731,0)+INDEX($AT$13:$BB$162,BO2731,0)+INDEX($BD$13:$BL$162,BP2731,0))/100))),0)</f>
        <v/>
      </c>
      <c r="BT2731">
        <f>IF(AND(2718&lt;$U$9,$W$5),BQ2731*1000000-MIN(BR2731,999)*1000+BS2731-2718/100000,-1000000000-2718)</f>
        <v/>
      </c>
    </row>
    <row r="2732">
      <c r="BN2732">
        <f>IF(2719&lt;$U$9,INT(2719/($U$7*$U$8))+1,1)</f>
        <v/>
      </c>
      <c r="BO2732">
        <f>IF(2719&lt;$U$9,MOD(INT(2719/$U$8),$U$7)+1,1)</f>
        <v/>
      </c>
      <c r="BP2732">
        <f>IF(2719&lt;$U$9,MOD(2719,$U$8)+1,1)</f>
        <v/>
      </c>
      <c r="BQ2732">
        <f>IF(2719&lt;$U$9,SUMPRODUCT(($D$10:$L$10&lt;&gt;"")*(($D$9:$L$9+INT(($S$12:$AA$12+INDEX($AJ$13:$AR$162,BN2732,0)+INDEX($AT$13:$BB$162,BO2732,0)+INDEX($BD$13:$BL$162,BP2732,0))/100))&gt;=$D$10:$L$10)),0)</f>
        <v/>
      </c>
      <c r="BR2732">
        <f>IF(2719&lt;$U$9,SUMPRODUCT(($D$10:$L$10&lt;&gt;"")*(($D$10:$L$10-($D$9:$L$9+INT(($S$12:$AA$12+INDEX($AJ$13:$AR$162,BN2732,0)+INDEX($AT$13:$BB$162,BO2732,0)+INDEX($BD$13:$BL$162,BP2732,0))/100)))&gt;0)*($D$10:$L$10-($D$9:$L$9+INT(($S$12:$AA$12+INDEX($AJ$13:$AR$162,BN2732,0)+INDEX($AT$13:$BB$162,BO2732,0)+INDEX($BD$13:$BL$162,BP2732,0))/100)))),0)</f>
        <v/>
      </c>
      <c r="BS2732">
        <f>IF(2719&lt;$U$9,SUMPRODUCT(($D$9:$L$9+INT(($S$12:$AA$12+INDEX($AJ$13:$AR$162,BN2732,0)+INDEX($AT$13:$BB$162,BO2732,0)+INDEX($BD$13:$BL$162,BP2732,0))/100))),0)</f>
        <v/>
      </c>
      <c r="BT2732">
        <f>IF(AND(2719&lt;$U$9,$W$5),BQ2732*1000000-MIN(BR2732,999)*1000+BS2732-2719/100000,-1000000000-2719)</f>
        <v/>
      </c>
    </row>
    <row r="2733">
      <c r="BN2733">
        <f>IF(2720&lt;$U$9,INT(2720/($U$7*$U$8))+1,1)</f>
        <v/>
      </c>
      <c r="BO2733">
        <f>IF(2720&lt;$U$9,MOD(INT(2720/$U$8),$U$7)+1,1)</f>
        <v/>
      </c>
      <c r="BP2733">
        <f>IF(2720&lt;$U$9,MOD(2720,$U$8)+1,1)</f>
        <v/>
      </c>
      <c r="BQ2733">
        <f>IF(2720&lt;$U$9,SUMPRODUCT(($D$10:$L$10&lt;&gt;"")*(($D$9:$L$9+INT(($S$12:$AA$12+INDEX($AJ$13:$AR$162,BN2733,0)+INDEX($AT$13:$BB$162,BO2733,0)+INDEX($BD$13:$BL$162,BP2733,0))/100))&gt;=$D$10:$L$10)),0)</f>
        <v/>
      </c>
      <c r="BR2733">
        <f>IF(2720&lt;$U$9,SUMPRODUCT(($D$10:$L$10&lt;&gt;"")*(($D$10:$L$10-($D$9:$L$9+INT(($S$12:$AA$12+INDEX($AJ$13:$AR$162,BN2733,0)+INDEX($AT$13:$BB$162,BO2733,0)+INDEX($BD$13:$BL$162,BP2733,0))/100)))&gt;0)*($D$10:$L$10-($D$9:$L$9+INT(($S$12:$AA$12+INDEX($AJ$13:$AR$162,BN2733,0)+INDEX($AT$13:$BB$162,BO2733,0)+INDEX($BD$13:$BL$162,BP2733,0))/100)))),0)</f>
        <v/>
      </c>
      <c r="BS2733">
        <f>IF(2720&lt;$U$9,SUMPRODUCT(($D$9:$L$9+INT(($S$12:$AA$12+INDEX($AJ$13:$AR$162,BN2733,0)+INDEX($AT$13:$BB$162,BO2733,0)+INDEX($BD$13:$BL$162,BP2733,0))/100))),0)</f>
        <v/>
      </c>
      <c r="BT2733">
        <f>IF(AND(2720&lt;$U$9,$W$5),BQ2733*1000000-MIN(BR2733,999)*1000+BS2733-2720/100000,-1000000000-2720)</f>
        <v/>
      </c>
    </row>
    <row r="2734">
      <c r="BN2734">
        <f>IF(2721&lt;$U$9,INT(2721/($U$7*$U$8))+1,1)</f>
        <v/>
      </c>
      <c r="BO2734">
        <f>IF(2721&lt;$U$9,MOD(INT(2721/$U$8),$U$7)+1,1)</f>
        <v/>
      </c>
      <c r="BP2734">
        <f>IF(2721&lt;$U$9,MOD(2721,$U$8)+1,1)</f>
        <v/>
      </c>
      <c r="BQ2734">
        <f>IF(2721&lt;$U$9,SUMPRODUCT(($D$10:$L$10&lt;&gt;"")*(($D$9:$L$9+INT(($S$12:$AA$12+INDEX($AJ$13:$AR$162,BN2734,0)+INDEX($AT$13:$BB$162,BO2734,0)+INDEX($BD$13:$BL$162,BP2734,0))/100))&gt;=$D$10:$L$10)),0)</f>
        <v/>
      </c>
      <c r="BR2734">
        <f>IF(2721&lt;$U$9,SUMPRODUCT(($D$10:$L$10&lt;&gt;"")*(($D$10:$L$10-($D$9:$L$9+INT(($S$12:$AA$12+INDEX($AJ$13:$AR$162,BN2734,0)+INDEX($AT$13:$BB$162,BO2734,0)+INDEX($BD$13:$BL$162,BP2734,0))/100)))&gt;0)*($D$10:$L$10-($D$9:$L$9+INT(($S$12:$AA$12+INDEX($AJ$13:$AR$162,BN2734,0)+INDEX($AT$13:$BB$162,BO2734,0)+INDEX($BD$13:$BL$162,BP2734,0))/100)))),0)</f>
        <v/>
      </c>
      <c r="BS2734">
        <f>IF(2721&lt;$U$9,SUMPRODUCT(($D$9:$L$9+INT(($S$12:$AA$12+INDEX($AJ$13:$AR$162,BN2734,0)+INDEX($AT$13:$BB$162,BO2734,0)+INDEX($BD$13:$BL$162,BP2734,0))/100))),0)</f>
        <v/>
      </c>
      <c r="BT2734">
        <f>IF(AND(2721&lt;$U$9,$W$5),BQ2734*1000000-MIN(BR2734,999)*1000+BS2734-2721/100000,-1000000000-2721)</f>
        <v/>
      </c>
    </row>
    <row r="2735">
      <c r="BN2735">
        <f>IF(2722&lt;$U$9,INT(2722/($U$7*$U$8))+1,1)</f>
        <v/>
      </c>
      <c r="BO2735">
        <f>IF(2722&lt;$U$9,MOD(INT(2722/$U$8),$U$7)+1,1)</f>
        <v/>
      </c>
      <c r="BP2735">
        <f>IF(2722&lt;$U$9,MOD(2722,$U$8)+1,1)</f>
        <v/>
      </c>
      <c r="BQ2735">
        <f>IF(2722&lt;$U$9,SUMPRODUCT(($D$10:$L$10&lt;&gt;"")*(($D$9:$L$9+INT(($S$12:$AA$12+INDEX($AJ$13:$AR$162,BN2735,0)+INDEX($AT$13:$BB$162,BO2735,0)+INDEX($BD$13:$BL$162,BP2735,0))/100))&gt;=$D$10:$L$10)),0)</f>
        <v/>
      </c>
      <c r="BR2735">
        <f>IF(2722&lt;$U$9,SUMPRODUCT(($D$10:$L$10&lt;&gt;"")*(($D$10:$L$10-($D$9:$L$9+INT(($S$12:$AA$12+INDEX($AJ$13:$AR$162,BN2735,0)+INDEX($AT$13:$BB$162,BO2735,0)+INDEX($BD$13:$BL$162,BP2735,0))/100)))&gt;0)*($D$10:$L$10-($D$9:$L$9+INT(($S$12:$AA$12+INDEX($AJ$13:$AR$162,BN2735,0)+INDEX($AT$13:$BB$162,BO2735,0)+INDEX($BD$13:$BL$162,BP2735,0))/100)))),0)</f>
        <v/>
      </c>
      <c r="BS2735">
        <f>IF(2722&lt;$U$9,SUMPRODUCT(($D$9:$L$9+INT(($S$12:$AA$12+INDEX($AJ$13:$AR$162,BN2735,0)+INDEX($AT$13:$BB$162,BO2735,0)+INDEX($BD$13:$BL$162,BP2735,0))/100))),0)</f>
        <v/>
      </c>
      <c r="BT2735">
        <f>IF(AND(2722&lt;$U$9,$W$5),BQ2735*1000000-MIN(BR2735,999)*1000+BS2735-2722/100000,-1000000000-2722)</f>
        <v/>
      </c>
    </row>
    <row r="2736">
      <c r="BN2736">
        <f>IF(2723&lt;$U$9,INT(2723/($U$7*$U$8))+1,1)</f>
        <v/>
      </c>
      <c r="BO2736">
        <f>IF(2723&lt;$U$9,MOD(INT(2723/$U$8),$U$7)+1,1)</f>
        <v/>
      </c>
      <c r="BP2736">
        <f>IF(2723&lt;$U$9,MOD(2723,$U$8)+1,1)</f>
        <v/>
      </c>
      <c r="BQ2736">
        <f>IF(2723&lt;$U$9,SUMPRODUCT(($D$10:$L$10&lt;&gt;"")*(($D$9:$L$9+INT(($S$12:$AA$12+INDEX($AJ$13:$AR$162,BN2736,0)+INDEX($AT$13:$BB$162,BO2736,0)+INDEX($BD$13:$BL$162,BP2736,0))/100))&gt;=$D$10:$L$10)),0)</f>
        <v/>
      </c>
      <c r="BR2736">
        <f>IF(2723&lt;$U$9,SUMPRODUCT(($D$10:$L$10&lt;&gt;"")*(($D$10:$L$10-($D$9:$L$9+INT(($S$12:$AA$12+INDEX($AJ$13:$AR$162,BN2736,0)+INDEX($AT$13:$BB$162,BO2736,0)+INDEX($BD$13:$BL$162,BP2736,0))/100)))&gt;0)*($D$10:$L$10-($D$9:$L$9+INT(($S$12:$AA$12+INDEX($AJ$13:$AR$162,BN2736,0)+INDEX($AT$13:$BB$162,BO2736,0)+INDEX($BD$13:$BL$162,BP2736,0))/100)))),0)</f>
        <v/>
      </c>
      <c r="BS2736">
        <f>IF(2723&lt;$U$9,SUMPRODUCT(($D$9:$L$9+INT(($S$12:$AA$12+INDEX($AJ$13:$AR$162,BN2736,0)+INDEX($AT$13:$BB$162,BO2736,0)+INDEX($BD$13:$BL$162,BP2736,0))/100))),0)</f>
        <v/>
      </c>
      <c r="BT2736">
        <f>IF(AND(2723&lt;$U$9,$W$5),BQ2736*1000000-MIN(BR2736,999)*1000+BS2736-2723/100000,-1000000000-2723)</f>
        <v/>
      </c>
    </row>
    <row r="2737">
      <c r="BN2737">
        <f>IF(2724&lt;$U$9,INT(2724/($U$7*$U$8))+1,1)</f>
        <v/>
      </c>
      <c r="BO2737">
        <f>IF(2724&lt;$U$9,MOD(INT(2724/$U$8),$U$7)+1,1)</f>
        <v/>
      </c>
      <c r="BP2737">
        <f>IF(2724&lt;$U$9,MOD(2724,$U$8)+1,1)</f>
        <v/>
      </c>
      <c r="BQ2737">
        <f>IF(2724&lt;$U$9,SUMPRODUCT(($D$10:$L$10&lt;&gt;"")*(($D$9:$L$9+INT(($S$12:$AA$12+INDEX($AJ$13:$AR$162,BN2737,0)+INDEX($AT$13:$BB$162,BO2737,0)+INDEX($BD$13:$BL$162,BP2737,0))/100))&gt;=$D$10:$L$10)),0)</f>
        <v/>
      </c>
      <c r="BR2737">
        <f>IF(2724&lt;$U$9,SUMPRODUCT(($D$10:$L$10&lt;&gt;"")*(($D$10:$L$10-($D$9:$L$9+INT(($S$12:$AA$12+INDEX($AJ$13:$AR$162,BN2737,0)+INDEX($AT$13:$BB$162,BO2737,0)+INDEX($BD$13:$BL$162,BP2737,0))/100)))&gt;0)*($D$10:$L$10-($D$9:$L$9+INT(($S$12:$AA$12+INDEX($AJ$13:$AR$162,BN2737,0)+INDEX($AT$13:$BB$162,BO2737,0)+INDEX($BD$13:$BL$162,BP2737,0))/100)))),0)</f>
        <v/>
      </c>
      <c r="BS2737">
        <f>IF(2724&lt;$U$9,SUMPRODUCT(($D$9:$L$9+INT(($S$12:$AA$12+INDEX($AJ$13:$AR$162,BN2737,0)+INDEX($AT$13:$BB$162,BO2737,0)+INDEX($BD$13:$BL$162,BP2737,0))/100))),0)</f>
        <v/>
      </c>
      <c r="BT2737">
        <f>IF(AND(2724&lt;$U$9,$W$5),BQ2737*1000000-MIN(BR2737,999)*1000+BS2737-2724/100000,-1000000000-2724)</f>
        <v/>
      </c>
    </row>
    <row r="2738">
      <c r="BN2738">
        <f>IF(2725&lt;$U$9,INT(2725/($U$7*$U$8))+1,1)</f>
        <v/>
      </c>
      <c r="BO2738">
        <f>IF(2725&lt;$U$9,MOD(INT(2725/$U$8),$U$7)+1,1)</f>
        <v/>
      </c>
      <c r="BP2738">
        <f>IF(2725&lt;$U$9,MOD(2725,$U$8)+1,1)</f>
        <v/>
      </c>
      <c r="BQ2738">
        <f>IF(2725&lt;$U$9,SUMPRODUCT(($D$10:$L$10&lt;&gt;"")*(($D$9:$L$9+INT(($S$12:$AA$12+INDEX($AJ$13:$AR$162,BN2738,0)+INDEX($AT$13:$BB$162,BO2738,0)+INDEX($BD$13:$BL$162,BP2738,0))/100))&gt;=$D$10:$L$10)),0)</f>
        <v/>
      </c>
      <c r="BR2738">
        <f>IF(2725&lt;$U$9,SUMPRODUCT(($D$10:$L$10&lt;&gt;"")*(($D$10:$L$10-($D$9:$L$9+INT(($S$12:$AA$12+INDEX($AJ$13:$AR$162,BN2738,0)+INDEX($AT$13:$BB$162,BO2738,0)+INDEX($BD$13:$BL$162,BP2738,0))/100)))&gt;0)*($D$10:$L$10-($D$9:$L$9+INT(($S$12:$AA$12+INDEX($AJ$13:$AR$162,BN2738,0)+INDEX($AT$13:$BB$162,BO2738,0)+INDEX($BD$13:$BL$162,BP2738,0))/100)))),0)</f>
        <v/>
      </c>
      <c r="BS2738">
        <f>IF(2725&lt;$U$9,SUMPRODUCT(($D$9:$L$9+INT(($S$12:$AA$12+INDEX($AJ$13:$AR$162,BN2738,0)+INDEX($AT$13:$BB$162,BO2738,0)+INDEX($BD$13:$BL$162,BP2738,0))/100))),0)</f>
        <v/>
      </c>
      <c r="BT2738">
        <f>IF(AND(2725&lt;$U$9,$W$5),BQ2738*1000000-MIN(BR2738,999)*1000+BS2738-2725/100000,-1000000000-2725)</f>
        <v/>
      </c>
    </row>
    <row r="2739">
      <c r="BN2739">
        <f>IF(2726&lt;$U$9,INT(2726/($U$7*$U$8))+1,1)</f>
        <v/>
      </c>
      <c r="BO2739">
        <f>IF(2726&lt;$U$9,MOD(INT(2726/$U$8),$U$7)+1,1)</f>
        <v/>
      </c>
      <c r="BP2739">
        <f>IF(2726&lt;$U$9,MOD(2726,$U$8)+1,1)</f>
        <v/>
      </c>
      <c r="BQ2739">
        <f>IF(2726&lt;$U$9,SUMPRODUCT(($D$10:$L$10&lt;&gt;"")*(($D$9:$L$9+INT(($S$12:$AA$12+INDEX($AJ$13:$AR$162,BN2739,0)+INDEX($AT$13:$BB$162,BO2739,0)+INDEX($BD$13:$BL$162,BP2739,0))/100))&gt;=$D$10:$L$10)),0)</f>
        <v/>
      </c>
      <c r="BR2739">
        <f>IF(2726&lt;$U$9,SUMPRODUCT(($D$10:$L$10&lt;&gt;"")*(($D$10:$L$10-($D$9:$L$9+INT(($S$12:$AA$12+INDEX($AJ$13:$AR$162,BN2739,0)+INDEX($AT$13:$BB$162,BO2739,0)+INDEX($BD$13:$BL$162,BP2739,0))/100)))&gt;0)*($D$10:$L$10-($D$9:$L$9+INT(($S$12:$AA$12+INDEX($AJ$13:$AR$162,BN2739,0)+INDEX($AT$13:$BB$162,BO2739,0)+INDEX($BD$13:$BL$162,BP2739,0))/100)))),0)</f>
        <v/>
      </c>
      <c r="BS2739">
        <f>IF(2726&lt;$U$9,SUMPRODUCT(($D$9:$L$9+INT(($S$12:$AA$12+INDEX($AJ$13:$AR$162,BN2739,0)+INDEX($AT$13:$BB$162,BO2739,0)+INDEX($BD$13:$BL$162,BP2739,0))/100))),0)</f>
        <v/>
      </c>
      <c r="BT2739">
        <f>IF(AND(2726&lt;$U$9,$W$5),BQ2739*1000000-MIN(BR2739,999)*1000+BS2739-2726/100000,-1000000000-2726)</f>
        <v/>
      </c>
    </row>
    <row r="2740">
      <c r="BN2740">
        <f>IF(2727&lt;$U$9,INT(2727/($U$7*$U$8))+1,1)</f>
        <v/>
      </c>
      <c r="BO2740">
        <f>IF(2727&lt;$U$9,MOD(INT(2727/$U$8),$U$7)+1,1)</f>
        <v/>
      </c>
      <c r="BP2740">
        <f>IF(2727&lt;$U$9,MOD(2727,$U$8)+1,1)</f>
        <v/>
      </c>
      <c r="BQ2740">
        <f>IF(2727&lt;$U$9,SUMPRODUCT(($D$10:$L$10&lt;&gt;"")*(($D$9:$L$9+INT(($S$12:$AA$12+INDEX($AJ$13:$AR$162,BN2740,0)+INDEX($AT$13:$BB$162,BO2740,0)+INDEX($BD$13:$BL$162,BP2740,0))/100))&gt;=$D$10:$L$10)),0)</f>
        <v/>
      </c>
      <c r="BR2740">
        <f>IF(2727&lt;$U$9,SUMPRODUCT(($D$10:$L$10&lt;&gt;"")*(($D$10:$L$10-($D$9:$L$9+INT(($S$12:$AA$12+INDEX($AJ$13:$AR$162,BN2740,0)+INDEX($AT$13:$BB$162,BO2740,0)+INDEX($BD$13:$BL$162,BP2740,0))/100)))&gt;0)*($D$10:$L$10-($D$9:$L$9+INT(($S$12:$AA$12+INDEX($AJ$13:$AR$162,BN2740,0)+INDEX($AT$13:$BB$162,BO2740,0)+INDEX($BD$13:$BL$162,BP2740,0))/100)))),0)</f>
        <v/>
      </c>
      <c r="BS2740">
        <f>IF(2727&lt;$U$9,SUMPRODUCT(($D$9:$L$9+INT(($S$12:$AA$12+INDEX($AJ$13:$AR$162,BN2740,0)+INDEX($AT$13:$BB$162,BO2740,0)+INDEX($BD$13:$BL$162,BP2740,0))/100))),0)</f>
        <v/>
      </c>
      <c r="BT2740">
        <f>IF(AND(2727&lt;$U$9,$W$5),BQ2740*1000000-MIN(BR2740,999)*1000+BS2740-2727/100000,-1000000000-2727)</f>
        <v/>
      </c>
    </row>
    <row r="2741">
      <c r="BN2741">
        <f>IF(2728&lt;$U$9,INT(2728/($U$7*$U$8))+1,1)</f>
        <v/>
      </c>
      <c r="BO2741">
        <f>IF(2728&lt;$U$9,MOD(INT(2728/$U$8),$U$7)+1,1)</f>
        <v/>
      </c>
      <c r="BP2741">
        <f>IF(2728&lt;$U$9,MOD(2728,$U$8)+1,1)</f>
        <v/>
      </c>
      <c r="BQ2741">
        <f>IF(2728&lt;$U$9,SUMPRODUCT(($D$10:$L$10&lt;&gt;"")*(($D$9:$L$9+INT(($S$12:$AA$12+INDEX($AJ$13:$AR$162,BN2741,0)+INDEX($AT$13:$BB$162,BO2741,0)+INDEX($BD$13:$BL$162,BP2741,0))/100))&gt;=$D$10:$L$10)),0)</f>
        <v/>
      </c>
      <c r="BR2741">
        <f>IF(2728&lt;$U$9,SUMPRODUCT(($D$10:$L$10&lt;&gt;"")*(($D$10:$L$10-($D$9:$L$9+INT(($S$12:$AA$12+INDEX($AJ$13:$AR$162,BN2741,0)+INDEX($AT$13:$BB$162,BO2741,0)+INDEX($BD$13:$BL$162,BP2741,0))/100)))&gt;0)*($D$10:$L$10-($D$9:$L$9+INT(($S$12:$AA$12+INDEX($AJ$13:$AR$162,BN2741,0)+INDEX($AT$13:$BB$162,BO2741,0)+INDEX($BD$13:$BL$162,BP2741,0))/100)))),0)</f>
        <v/>
      </c>
      <c r="BS2741">
        <f>IF(2728&lt;$U$9,SUMPRODUCT(($D$9:$L$9+INT(($S$12:$AA$12+INDEX($AJ$13:$AR$162,BN2741,0)+INDEX($AT$13:$BB$162,BO2741,0)+INDEX($BD$13:$BL$162,BP2741,0))/100))),0)</f>
        <v/>
      </c>
      <c r="BT2741">
        <f>IF(AND(2728&lt;$U$9,$W$5),BQ2741*1000000-MIN(BR2741,999)*1000+BS2741-2728/100000,-1000000000-2728)</f>
        <v/>
      </c>
    </row>
    <row r="2742">
      <c r="BN2742">
        <f>IF(2729&lt;$U$9,INT(2729/($U$7*$U$8))+1,1)</f>
        <v/>
      </c>
      <c r="BO2742">
        <f>IF(2729&lt;$U$9,MOD(INT(2729/$U$8),$U$7)+1,1)</f>
        <v/>
      </c>
      <c r="BP2742">
        <f>IF(2729&lt;$U$9,MOD(2729,$U$8)+1,1)</f>
        <v/>
      </c>
      <c r="BQ2742">
        <f>IF(2729&lt;$U$9,SUMPRODUCT(($D$10:$L$10&lt;&gt;"")*(($D$9:$L$9+INT(($S$12:$AA$12+INDEX($AJ$13:$AR$162,BN2742,0)+INDEX($AT$13:$BB$162,BO2742,0)+INDEX($BD$13:$BL$162,BP2742,0))/100))&gt;=$D$10:$L$10)),0)</f>
        <v/>
      </c>
      <c r="BR2742">
        <f>IF(2729&lt;$U$9,SUMPRODUCT(($D$10:$L$10&lt;&gt;"")*(($D$10:$L$10-($D$9:$L$9+INT(($S$12:$AA$12+INDEX($AJ$13:$AR$162,BN2742,0)+INDEX($AT$13:$BB$162,BO2742,0)+INDEX($BD$13:$BL$162,BP2742,0))/100)))&gt;0)*($D$10:$L$10-($D$9:$L$9+INT(($S$12:$AA$12+INDEX($AJ$13:$AR$162,BN2742,0)+INDEX($AT$13:$BB$162,BO2742,0)+INDEX($BD$13:$BL$162,BP2742,0))/100)))),0)</f>
        <v/>
      </c>
      <c r="BS2742">
        <f>IF(2729&lt;$U$9,SUMPRODUCT(($D$9:$L$9+INT(($S$12:$AA$12+INDEX($AJ$13:$AR$162,BN2742,0)+INDEX($AT$13:$BB$162,BO2742,0)+INDEX($BD$13:$BL$162,BP2742,0))/100))),0)</f>
        <v/>
      </c>
      <c r="BT2742">
        <f>IF(AND(2729&lt;$U$9,$W$5),BQ2742*1000000-MIN(BR2742,999)*1000+BS2742-2729/100000,-1000000000-2729)</f>
        <v/>
      </c>
    </row>
    <row r="2743">
      <c r="BN2743">
        <f>IF(2730&lt;$U$9,INT(2730/($U$7*$U$8))+1,1)</f>
        <v/>
      </c>
      <c r="BO2743">
        <f>IF(2730&lt;$U$9,MOD(INT(2730/$U$8),$U$7)+1,1)</f>
        <v/>
      </c>
      <c r="BP2743">
        <f>IF(2730&lt;$U$9,MOD(2730,$U$8)+1,1)</f>
        <v/>
      </c>
      <c r="BQ2743">
        <f>IF(2730&lt;$U$9,SUMPRODUCT(($D$10:$L$10&lt;&gt;"")*(($D$9:$L$9+INT(($S$12:$AA$12+INDEX($AJ$13:$AR$162,BN2743,0)+INDEX($AT$13:$BB$162,BO2743,0)+INDEX($BD$13:$BL$162,BP2743,0))/100))&gt;=$D$10:$L$10)),0)</f>
        <v/>
      </c>
      <c r="BR2743">
        <f>IF(2730&lt;$U$9,SUMPRODUCT(($D$10:$L$10&lt;&gt;"")*(($D$10:$L$10-($D$9:$L$9+INT(($S$12:$AA$12+INDEX($AJ$13:$AR$162,BN2743,0)+INDEX($AT$13:$BB$162,BO2743,0)+INDEX($BD$13:$BL$162,BP2743,0))/100)))&gt;0)*($D$10:$L$10-($D$9:$L$9+INT(($S$12:$AA$12+INDEX($AJ$13:$AR$162,BN2743,0)+INDEX($AT$13:$BB$162,BO2743,0)+INDEX($BD$13:$BL$162,BP2743,0))/100)))),0)</f>
        <v/>
      </c>
      <c r="BS2743">
        <f>IF(2730&lt;$U$9,SUMPRODUCT(($D$9:$L$9+INT(($S$12:$AA$12+INDEX($AJ$13:$AR$162,BN2743,0)+INDEX($AT$13:$BB$162,BO2743,0)+INDEX($BD$13:$BL$162,BP2743,0))/100))),0)</f>
        <v/>
      </c>
      <c r="BT2743">
        <f>IF(AND(2730&lt;$U$9,$W$5),BQ2743*1000000-MIN(BR2743,999)*1000+BS2743-2730/100000,-1000000000-2730)</f>
        <v/>
      </c>
    </row>
    <row r="2744">
      <c r="BN2744">
        <f>IF(2731&lt;$U$9,INT(2731/($U$7*$U$8))+1,1)</f>
        <v/>
      </c>
      <c r="BO2744">
        <f>IF(2731&lt;$U$9,MOD(INT(2731/$U$8),$U$7)+1,1)</f>
        <v/>
      </c>
      <c r="BP2744">
        <f>IF(2731&lt;$U$9,MOD(2731,$U$8)+1,1)</f>
        <v/>
      </c>
      <c r="BQ2744">
        <f>IF(2731&lt;$U$9,SUMPRODUCT(($D$10:$L$10&lt;&gt;"")*(($D$9:$L$9+INT(($S$12:$AA$12+INDEX($AJ$13:$AR$162,BN2744,0)+INDEX($AT$13:$BB$162,BO2744,0)+INDEX($BD$13:$BL$162,BP2744,0))/100))&gt;=$D$10:$L$10)),0)</f>
        <v/>
      </c>
      <c r="BR2744">
        <f>IF(2731&lt;$U$9,SUMPRODUCT(($D$10:$L$10&lt;&gt;"")*(($D$10:$L$10-($D$9:$L$9+INT(($S$12:$AA$12+INDEX($AJ$13:$AR$162,BN2744,0)+INDEX($AT$13:$BB$162,BO2744,0)+INDEX($BD$13:$BL$162,BP2744,0))/100)))&gt;0)*($D$10:$L$10-($D$9:$L$9+INT(($S$12:$AA$12+INDEX($AJ$13:$AR$162,BN2744,0)+INDEX($AT$13:$BB$162,BO2744,0)+INDEX($BD$13:$BL$162,BP2744,0))/100)))),0)</f>
        <v/>
      </c>
      <c r="BS2744">
        <f>IF(2731&lt;$U$9,SUMPRODUCT(($D$9:$L$9+INT(($S$12:$AA$12+INDEX($AJ$13:$AR$162,BN2744,0)+INDEX($AT$13:$BB$162,BO2744,0)+INDEX($BD$13:$BL$162,BP2744,0))/100))),0)</f>
        <v/>
      </c>
      <c r="BT2744">
        <f>IF(AND(2731&lt;$U$9,$W$5),BQ2744*1000000-MIN(BR2744,999)*1000+BS2744-2731/100000,-1000000000-2731)</f>
        <v/>
      </c>
    </row>
    <row r="2745">
      <c r="BN2745">
        <f>IF(2732&lt;$U$9,INT(2732/($U$7*$U$8))+1,1)</f>
        <v/>
      </c>
      <c r="BO2745">
        <f>IF(2732&lt;$U$9,MOD(INT(2732/$U$8),$U$7)+1,1)</f>
        <v/>
      </c>
      <c r="BP2745">
        <f>IF(2732&lt;$U$9,MOD(2732,$U$8)+1,1)</f>
        <v/>
      </c>
      <c r="BQ2745">
        <f>IF(2732&lt;$U$9,SUMPRODUCT(($D$10:$L$10&lt;&gt;"")*(($D$9:$L$9+INT(($S$12:$AA$12+INDEX($AJ$13:$AR$162,BN2745,0)+INDEX($AT$13:$BB$162,BO2745,0)+INDEX($BD$13:$BL$162,BP2745,0))/100))&gt;=$D$10:$L$10)),0)</f>
        <v/>
      </c>
      <c r="BR2745">
        <f>IF(2732&lt;$U$9,SUMPRODUCT(($D$10:$L$10&lt;&gt;"")*(($D$10:$L$10-($D$9:$L$9+INT(($S$12:$AA$12+INDEX($AJ$13:$AR$162,BN2745,0)+INDEX($AT$13:$BB$162,BO2745,0)+INDEX($BD$13:$BL$162,BP2745,0))/100)))&gt;0)*($D$10:$L$10-($D$9:$L$9+INT(($S$12:$AA$12+INDEX($AJ$13:$AR$162,BN2745,0)+INDEX($AT$13:$BB$162,BO2745,0)+INDEX($BD$13:$BL$162,BP2745,0))/100)))),0)</f>
        <v/>
      </c>
      <c r="BS2745">
        <f>IF(2732&lt;$U$9,SUMPRODUCT(($D$9:$L$9+INT(($S$12:$AA$12+INDEX($AJ$13:$AR$162,BN2745,0)+INDEX($AT$13:$BB$162,BO2745,0)+INDEX($BD$13:$BL$162,BP2745,0))/100))),0)</f>
        <v/>
      </c>
      <c r="BT2745">
        <f>IF(AND(2732&lt;$U$9,$W$5),BQ2745*1000000-MIN(BR2745,999)*1000+BS2745-2732/100000,-1000000000-2732)</f>
        <v/>
      </c>
    </row>
    <row r="2746">
      <c r="BN2746">
        <f>IF(2733&lt;$U$9,INT(2733/($U$7*$U$8))+1,1)</f>
        <v/>
      </c>
      <c r="BO2746">
        <f>IF(2733&lt;$U$9,MOD(INT(2733/$U$8),$U$7)+1,1)</f>
        <v/>
      </c>
      <c r="BP2746">
        <f>IF(2733&lt;$U$9,MOD(2733,$U$8)+1,1)</f>
        <v/>
      </c>
      <c r="BQ2746">
        <f>IF(2733&lt;$U$9,SUMPRODUCT(($D$10:$L$10&lt;&gt;"")*(($D$9:$L$9+INT(($S$12:$AA$12+INDEX($AJ$13:$AR$162,BN2746,0)+INDEX($AT$13:$BB$162,BO2746,0)+INDEX($BD$13:$BL$162,BP2746,0))/100))&gt;=$D$10:$L$10)),0)</f>
        <v/>
      </c>
      <c r="BR2746">
        <f>IF(2733&lt;$U$9,SUMPRODUCT(($D$10:$L$10&lt;&gt;"")*(($D$10:$L$10-($D$9:$L$9+INT(($S$12:$AA$12+INDEX($AJ$13:$AR$162,BN2746,0)+INDEX($AT$13:$BB$162,BO2746,0)+INDEX($BD$13:$BL$162,BP2746,0))/100)))&gt;0)*($D$10:$L$10-($D$9:$L$9+INT(($S$12:$AA$12+INDEX($AJ$13:$AR$162,BN2746,0)+INDEX($AT$13:$BB$162,BO2746,0)+INDEX($BD$13:$BL$162,BP2746,0))/100)))),0)</f>
        <v/>
      </c>
      <c r="BS2746">
        <f>IF(2733&lt;$U$9,SUMPRODUCT(($D$9:$L$9+INT(($S$12:$AA$12+INDEX($AJ$13:$AR$162,BN2746,0)+INDEX($AT$13:$BB$162,BO2746,0)+INDEX($BD$13:$BL$162,BP2746,0))/100))),0)</f>
        <v/>
      </c>
      <c r="BT2746">
        <f>IF(AND(2733&lt;$U$9,$W$5),BQ2746*1000000-MIN(BR2746,999)*1000+BS2746-2733/100000,-1000000000-2733)</f>
        <v/>
      </c>
    </row>
    <row r="2747">
      <c r="BN2747">
        <f>IF(2734&lt;$U$9,INT(2734/($U$7*$U$8))+1,1)</f>
        <v/>
      </c>
      <c r="BO2747">
        <f>IF(2734&lt;$U$9,MOD(INT(2734/$U$8),$U$7)+1,1)</f>
        <v/>
      </c>
      <c r="BP2747">
        <f>IF(2734&lt;$U$9,MOD(2734,$U$8)+1,1)</f>
        <v/>
      </c>
      <c r="BQ2747">
        <f>IF(2734&lt;$U$9,SUMPRODUCT(($D$10:$L$10&lt;&gt;"")*(($D$9:$L$9+INT(($S$12:$AA$12+INDEX($AJ$13:$AR$162,BN2747,0)+INDEX($AT$13:$BB$162,BO2747,0)+INDEX($BD$13:$BL$162,BP2747,0))/100))&gt;=$D$10:$L$10)),0)</f>
        <v/>
      </c>
      <c r="BR2747">
        <f>IF(2734&lt;$U$9,SUMPRODUCT(($D$10:$L$10&lt;&gt;"")*(($D$10:$L$10-($D$9:$L$9+INT(($S$12:$AA$12+INDEX($AJ$13:$AR$162,BN2747,0)+INDEX($AT$13:$BB$162,BO2747,0)+INDEX($BD$13:$BL$162,BP2747,0))/100)))&gt;0)*($D$10:$L$10-($D$9:$L$9+INT(($S$12:$AA$12+INDEX($AJ$13:$AR$162,BN2747,0)+INDEX($AT$13:$BB$162,BO2747,0)+INDEX($BD$13:$BL$162,BP2747,0))/100)))),0)</f>
        <v/>
      </c>
      <c r="BS2747">
        <f>IF(2734&lt;$U$9,SUMPRODUCT(($D$9:$L$9+INT(($S$12:$AA$12+INDEX($AJ$13:$AR$162,BN2747,0)+INDEX($AT$13:$BB$162,BO2747,0)+INDEX($BD$13:$BL$162,BP2747,0))/100))),0)</f>
        <v/>
      </c>
      <c r="BT2747">
        <f>IF(AND(2734&lt;$U$9,$W$5),BQ2747*1000000-MIN(BR2747,999)*1000+BS2747-2734/100000,-1000000000-2734)</f>
        <v/>
      </c>
    </row>
    <row r="2748">
      <c r="BN2748">
        <f>IF(2735&lt;$U$9,INT(2735/($U$7*$U$8))+1,1)</f>
        <v/>
      </c>
      <c r="BO2748">
        <f>IF(2735&lt;$U$9,MOD(INT(2735/$U$8),$U$7)+1,1)</f>
        <v/>
      </c>
      <c r="BP2748">
        <f>IF(2735&lt;$U$9,MOD(2735,$U$8)+1,1)</f>
        <v/>
      </c>
      <c r="BQ2748">
        <f>IF(2735&lt;$U$9,SUMPRODUCT(($D$10:$L$10&lt;&gt;"")*(($D$9:$L$9+INT(($S$12:$AA$12+INDEX($AJ$13:$AR$162,BN2748,0)+INDEX($AT$13:$BB$162,BO2748,0)+INDEX($BD$13:$BL$162,BP2748,0))/100))&gt;=$D$10:$L$10)),0)</f>
        <v/>
      </c>
      <c r="BR2748">
        <f>IF(2735&lt;$U$9,SUMPRODUCT(($D$10:$L$10&lt;&gt;"")*(($D$10:$L$10-($D$9:$L$9+INT(($S$12:$AA$12+INDEX($AJ$13:$AR$162,BN2748,0)+INDEX($AT$13:$BB$162,BO2748,0)+INDEX($BD$13:$BL$162,BP2748,0))/100)))&gt;0)*($D$10:$L$10-($D$9:$L$9+INT(($S$12:$AA$12+INDEX($AJ$13:$AR$162,BN2748,0)+INDEX($AT$13:$BB$162,BO2748,0)+INDEX($BD$13:$BL$162,BP2748,0))/100)))),0)</f>
        <v/>
      </c>
      <c r="BS2748">
        <f>IF(2735&lt;$U$9,SUMPRODUCT(($D$9:$L$9+INT(($S$12:$AA$12+INDEX($AJ$13:$AR$162,BN2748,0)+INDEX($AT$13:$BB$162,BO2748,0)+INDEX($BD$13:$BL$162,BP2748,0))/100))),0)</f>
        <v/>
      </c>
      <c r="BT2748">
        <f>IF(AND(2735&lt;$U$9,$W$5),BQ2748*1000000-MIN(BR2748,999)*1000+BS2748-2735/100000,-1000000000-2735)</f>
        <v/>
      </c>
    </row>
    <row r="2749">
      <c r="BN2749">
        <f>IF(2736&lt;$U$9,INT(2736/($U$7*$U$8))+1,1)</f>
        <v/>
      </c>
      <c r="BO2749">
        <f>IF(2736&lt;$U$9,MOD(INT(2736/$U$8),$U$7)+1,1)</f>
        <v/>
      </c>
      <c r="BP2749">
        <f>IF(2736&lt;$U$9,MOD(2736,$U$8)+1,1)</f>
        <v/>
      </c>
      <c r="BQ2749">
        <f>IF(2736&lt;$U$9,SUMPRODUCT(($D$10:$L$10&lt;&gt;"")*(($D$9:$L$9+INT(($S$12:$AA$12+INDEX($AJ$13:$AR$162,BN2749,0)+INDEX($AT$13:$BB$162,BO2749,0)+INDEX($BD$13:$BL$162,BP2749,0))/100))&gt;=$D$10:$L$10)),0)</f>
        <v/>
      </c>
      <c r="BR2749">
        <f>IF(2736&lt;$U$9,SUMPRODUCT(($D$10:$L$10&lt;&gt;"")*(($D$10:$L$10-($D$9:$L$9+INT(($S$12:$AA$12+INDEX($AJ$13:$AR$162,BN2749,0)+INDEX($AT$13:$BB$162,BO2749,0)+INDEX($BD$13:$BL$162,BP2749,0))/100)))&gt;0)*($D$10:$L$10-($D$9:$L$9+INT(($S$12:$AA$12+INDEX($AJ$13:$AR$162,BN2749,0)+INDEX($AT$13:$BB$162,BO2749,0)+INDEX($BD$13:$BL$162,BP2749,0))/100)))),0)</f>
        <v/>
      </c>
      <c r="BS2749">
        <f>IF(2736&lt;$U$9,SUMPRODUCT(($D$9:$L$9+INT(($S$12:$AA$12+INDEX($AJ$13:$AR$162,BN2749,0)+INDEX($AT$13:$BB$162,BO2749,0)+INDEX($BD$13:$BL$162,BP2749,0))/100))),0)</f>
        <v/>
      </c>
      <c r="BT2749">
        <f>IF(AND(2736&lt;$U$9,$W$5),BQ2749*1000000-MIN(BR2749,999)*1000+BS2749-2736/100000,-1000000000-2736)</f>
        <v/>
      </c>
    </row>
    <row r="2750">
      <c r="BN2750">
        <f>IF(2737&lt;$U$9,INT(2737/($U$7*$U$8))+1,1)</f>
        <v/>
      </c>
      <c r="BO2750">
        <f>IF(2737&lt;$U$9,MOD(INT(2737/$U$8),$U$7)+1,1)</f>
        <v/>
      </c>
      <c r="BP2750">
        <f>IF(2737&lt;$U$9,MOD(2737,$U$8)+1,1)</f>
        <v/>
      </c>
      <c r="BQ2750">
        <f>IF(2737&lt;$U$9,SUMPRODUCT(($D$10:$L$10&lt;&gt;"")*(($D$9:$L$9+INT(($S$12:$AA$12+INDEX($AJ$13:$AR$162,BN2750,0)+INDEX($AT$13:$BB$162,BO2750,0)+INDEX($BD$13:$BL$162,BP2750,0))/100))&gt;=$D$10:$L$10)),0)</f>
        <v/>
      </c>
      <c r="BR2750">
        <f>IF(2737&lt;$U$9,SUMPRODUCT(($D$10:$L$10&lt;&gt;"")*(($D$10:$L$10-($D$9:$L$9+INT(($S$12:$AA$12+INDEX($AJ$13:$AR$162,BN2750,0)+INDEX($AT$13:$BB$162,BO2750,0)+INDEX($BD$13:$BL$162,BP2750,0))/100)))&gt;0)*($D$10:$L$10-($D$9:$L$9+INT(($S$12:$AA$12+INDEX($AJ$13:$AR$162,BN2750,0)+INDEX($AT$13:$BB$162,BO2750,0)+INDEX($BD$13:$BL$162,BP2750,0))/100)))),0)</f>
        <v/>
      </c>
      <c r="BS2750">
        <f>IF(2737&lt;$U$9,SUMPRODUCT(($D$9:$L$9+INT(($S$12:$AA$12+INDEX($AJ$13:$AR$162,BN2750,0)+INDEX($AT$13:$BB$162,BO2750,0)+INDEX($BD$13:$BL$162,BP2750,0))/100))),0)</f>
        <v/>
      </c>
      <c r="BT2750">
        <f>IF(AND(2737&lt;$U$9,$W$5),BQ2750*1000000-MIN(BR2750,999)*1000+BS2750-2737/100000,-1000000000-2737)</f>
        <v/>
      </c>
    </row>
    <row r="2751">
      <c r="BN2751">
        <f>IF(2738&lt;$U$9,INT(2738/($U$7*$U$8))+1,1)</f>
        <v/>
      </c>
      <c r="BO2751">
        <f>IF(2738&lt;$U$9,MOD(INT(2738/$U$8),$U$7)+1,1)</f>
        <v/>
      </c>
      <c r="BP2751">
        <f>IF(2738&lt;$U$9,MOD(2738,$U$8)+1,1)</f>
        <v/>
      </c>
      <c r="BQ2751">
        <f>IF(2738&lt;$U$9,SUMPRODUCT(($D$10:$L$10&lt;&gt;"")*(($D$9:$L$9+INT(($S$12:$AA$12+INDEX($AJ$13:$AR$162,BN2751,0)+INDEX($AT$13:$BB$162,BO2751,0)+INDEX($BD$13:$BL$162,BP2751,0))/100))&gt;=$D$10:$L$10)),0)</f>
        <v/>
      </c>
      <c r="BR2751">
        <f>IF(2738&lt;$U$9,SUMPRODUCT(($D$10:$L$10&lt;&gt;"")*(($D$10:$L$10-($D$9:$L$9+INT(($S$12:$AA$12+INDEX($AJ$13:$AR$162,BN2751,0)+INDEX($AT$13:$BB$162,BO2751,0)+INDEX($BD$13:$BL$162,BP2751,0))/100)))&gt;0)*($D$10:$L$10-($D$9:$L$9+INT(($S$12:$AA$12+INDEX($AJ$13:$AR$162,BN2751,0)+INDEX($AT$13:$BB$162,BO2751,0)+INDEX($BD$13:$BL$162,BP2751,0))/100)))),0)</f>
        <v/>
      </c>
      <c r="BS2751">
        <f>IF(2738&lt;$U$9,SUMPRODUCT(($D$9:$L$9+INT(($S$12:$AA$12+INDEX($AJ$13:$AR$162,BN2751,0)+INDEX($AT$13:$BB$162,BO2751,0)+INDEX($BD$13:$BL$162,BP2751,0))/100))),0)</f>
        <v/>
      </c>
      <c r="BT2751">
        <f>IF(AND(2738&lt;$U$9,$W$5),BQ2751*1000000-MIN(BR2751,999)*1000+BS2751-2738/100000,-1000000000-2738)</f>
        <v/>
      </c>
    </row>
    <row r="2752">
      <c r="BN2752">
        <f>IF(2739&lt;$U$9,INT(2739/($U$7*$U$8))+1,1)</f>
        <v/>
      </c>
      <c r="BO2752">
        <f>IF(2739&lt;$U$9,MOD(INT(2739/$U$8),$U$7)+1,1)</f>
        <v/>
      </c>
      <c r="BP2752">
        <f>IF(2739&lt;$U$9,MOD(2739,$U$8)+1,1)</f>
        <v/>
      </c>
      <c r="BQ2752">
        <f>IF(2739&lt;$U$9,SUMPRODUCT(($D$10:$L$10&lt;&gt;"")*(($D$9:$L$9+INT(($S$12:$AA$12+INDEX($AJ$13:$AR$162,BN2752,0)+INDEX($AT$13:$BB$162,BO2752,0)+INDEX($BD$13:$BL$162,BP2752,0))/100))&gt;=$D$10:$L$10)),0)</f>
        <v/>
      </c>
      <c r="BR2752">
        <f>IF(2739&lt;$U$9,SUMPRODUCT(($D$10:$L$10&lt;&gt;"")*(($D$10:$L$10-($D$9:$L$9+INT(($S$12:$AA$12+INDEX($AJ$13:$AR$162,BN2752,0)+INDEX($AT$13:$BB$162,BO2752,0)+INDEX($BD$13:$BL$162,BP2752,0))/100)))&gt;0)*($D$10:$L$10-($D$9:$L$9+INT(($S$12:$AA$12+INDEX($AJ$13:$AR$162,BN2752,0)+INDEX($AT$13:$BB$162,BO2752,0)+INDEX($BD$13:$BL$162,BP2752,0))/100)))),0)</f>
        <v/>
      </c>
      <c r="BS2752">
        <f>IF(2739&lt;$U$9,SUMPRODUCT(($D$9:$L$9+INT(($S$12:$AA$12+INDEX($AJ$13:$AR$162,BN2752,0)+INDEX($AT$13:$BB$162,BO2752,0)+INDEX($BD$13:$BL$162,BP2752,0))/100))),0)</f>
        <v/>
      </c>
      <c r="BT2752">
        <f>IF(AND(2739&lt;$U$9,$W$5),BQ2752*1000000-MIN(BR2752,999)*1000+BS2752-2739/100000,-1000000000-2739)</f>
        <v/>
      </c>
    </row>
    <row r="2753">
      <c r="BN2753">
        <f>IF(2740&lt;$U$9,INT(2740/($U$7*$U$8))+1,1)</f>
        <v/>
      </c>
      <c r="BO2753">
        <f>IF(2740&lt;$U$9,MOD(INT(2740/$U$8),$U$7)+1,1)</f>
        <v/>
      </c>
      <c r="BP2753">
        <f>IF(2740&lt;$U$9,MOD(2740,$U$8)+1,1)</f>
        <v/>
      </c>
      <c r="BQ2753">
        <f>IF(2740&lt;$U$9,SUMPRODUCT(($D$10:$L$10&lt;&gt;"")*(($D$9:$L$9+INT(($S$12:$AA$12+INDEX($AJ$13:$AR$162,BN2753,0)+INDEX($AT$13:$BB$162,BO2753,0)+INDEX($BD$13:$BL$162,BP2753,0))/100))&gt;=$D$10:$L$10)),0)</f>
        <v/>
      </c>
      <c r="BR2753">
        <f>IF(2740&lt;$U$9,SUMPRODUCT(($D$10:$L$10&lt;&gt;"")*(($D$10:$L$10-($D$9:$L$9+INT(($S$12:$AA$12+INDEX($AJ$13:$AR$162,BN2753,0)+INDEX($AT$13:$BB$162,BO2753,0)+INDEX($BD$13:$BL$162,BP2753,0))/100)))&gt;0)*($D$10:$L$10-($D$9:$L$9+INT(($S$12:$AA$12+INDEX($AJ$13:$AR$162,BN2753,0)+INDEX($AT$13:$BB$162,BO2753,0)+INDEX($BD$13:$BL$162,BP2753,0))/100)))),0)</f>
        <v/>
      </c>
      <c r="BS2753">
        <f>IF(2740&lt;$U$9,SUMPRODUCT(($D$9:$L$9+INT(($S$12:$AA$12+INDEX($AJ$13:$AR$162,BN2753,0)+INDEX($AT$13:$BB$162,BO2753,0)+INDEX($BD$13:$BL$162,BP2753,0))/100))),0)</f>
        <v/>
      </c>
      <c r="BT2753">
        <f>IF(AND(2740&lt;$U$9,$W$5),BQ2753*1000000-MIN(BR2753,999)*1000+BS2753-2740/100000,-1000000000-2740)</f>
        <v/>
      </c>
    </row>
    <row r="2754">
      <c r="BN2754">
        <f>IF(2741&lt;$U$9,INT(2741/($U$7*$U$8))+1,1)</f>
        <v/>
      </c>
      <c r="BO2754">
        <f>IF(2741&lt;$U$9,MOD(INT(2741/$U$8),$U$7)+1,1)</f>
        <v/>
      </c>
      <c r="BP2754">
        <f>IF(2741&lt;$U$9,MOD(2741,$U$8)+1,1)</f>
        <v/>
      </c>
      <c r="BQ2754">
        <f>IF(2741&lt;$U$9,SUMPRODUCT(($D$10:$L$10&lt;&gt;"")*(($D$9:$L$9+INT(($S$12:$AA$12+INDEX($AJ$13:$AR$162,BN2754,0)+INDEX($AT$13:$BB$162,BO2754,0)+INDEX($BD$13:$BL$162,BP2754,0))/100))&gt;=$D$10:$L$10)),0)</f>
        <v/>
      </c>
      <c r="BR2754">
        <f>IF(2741&lt;$U$9,SUMPRODUCT(($D$10:$L$10&lt;&gt;"")*(($D$10:$L$10-($D$9:$L$9+INT(($S$12:$AA$12+INDEX($AJ$13:$AR$162,BN2754,0)+INDEX($AT$13:$BB$162,BO2754,0)+INDEX($BD$13:$BL$162,BP2754,0))/100)))&gt;0)*($D$10:$L$10-($D$9:$L$9+INT(($S$12:$AA$12+INDEX($AJ$13:$AR$162,BN2754,0)+INDEX($AT$13:$BB$162,BO2754,0)+INDEX($BD$13:$BL$162,BP2754,0))/100)))),0)</f>
        <v/>
      </c>
      <c r="BS2754">
        <f>IF(2741&lt;$U$9,SUMPRODUCT(($D$9:$L$9+INT(($S$12:$AA$12+INDEX($AJ$13:$AR$162,BN2754,0)+INDEX($AT$13:$BB$162,BO2754,0)+INDEX($BD$13:$BL$162,BP2754,0))/100))),0)</f>
        <v/>
      </c>
      <c r="BT2754">
        <f>IF(AND(2741&lt;$U$9,$W$5),BQ2754*1000000-MIN(BR2754,999)*1000+BS2754-2741/100000,-1000000000-2741)</f>
        <v/>
      </c>
    </row>
    <row r="2755">
      <c r="BN2755">
        <f>IF(2742&lt;$U$9,INT(2742/($U$7*$U$8))+1,1)</f>
        <v/>
      </c>
      <c r="BO2755">
        <f>IF(2742&lt;$U$9,MOD(INT(2742/$U$8),$U$7)+1,1)</f>
        <v/>
      </c>
      <c r="BP2755">
        <f>IF(2742&lt;$U$9,MOD(2742,$U$8)+1,1)</f>
        <v/>
      </c>
      <c r="BQ2755">
        <f>IF(2742&lt;$U$9,SUMPRODUCT(($D$10:$L$10&lt;&gt;"")*(($D$9:$L$9+INT(($S$12:$AA$12+INDEX($AJ$13:$AR$162,BN2755,0)+INDEX($AT$13:$BB$162,BO2755,0)+INDEX($BD$13:$BL$162,BP2755,0))/100))&gt;=$D$10:$L$10)),0)</f>
        <v/>
      </c>
      <c r="BR2755">
        <f>IF(2742&lt;$U$9,SUMPRODUCT(($D$10:$L$10&lt;&gt;"")*(($D$10:$L$10-($D$9:$L$9+INT(($S$12:$AA$12+INDEX($AJ$13:$AR$162,BN2755,0)+INDEX($AT$13:$BB$162,BO2755,0)+INDEX($BD$13:$BL$162,BP2755,0))/100)))&gt;0)*($D$10:$L$10-($D$9:$L$9+INT(($S$12:$AA$12+INDEX($AJ$13:$AR$162,BN2755,0)+INDEX($AT$13:$BB$162,BO2755,0)+INDEX($BD$13:$BL$162,BP2755,0))/100)))),0)</f>
        <v/>
      </c>
      <c r="BS2755">
        <f>IF(2742&lt;$U$9,SUMPRODUCT(($D$9:$L$9+INT(($S$12:$AA$12+INDEX($AJ$13:$AR$162,BN2755,0)+INDEX($AT$13:$BB$162,BO2755,0)+INDEX($BD$13:$BL$162,BP2755,0))/100))),0)</f>
        <v/>
      </c>
      <c r="BT2755">
        <f>IF(AND(2742&lt;$U$9,$W$5),BQ2755*1000000-MIN(BR2755,999)*1000+BS2755-2742/100000,-1000000000-2742)</f>
        <v/>
      </c>
    </row>
    <row r="2756">
      <c r="BN2756">
        <f>IF(2743&lt;$U$9,INT(2743/($U$7*$U$8))+1,1)</f>
        <v/>
      </c>
      <c r="BO2756">
        <f>IF(2743&lt;$U$9,MOD(INT(2743/$U$8),$U$7)+1,1)</f>
        <v/>
      </c>
      <c r="BP2756">
        <f>IF(2743&lt;$U$9,MOD(2743,$U$8)+1,1)</f>
        <v/>
      </c>
      <c r="BQ2756">
        <f>IF(2743&lt;$U$9,SUMPRODUCT(($D$10:$L$10&lt;&gt;"")*(($D$9:$L$9+INT(($S$12:$AA$12+INDEX($AJ$13:$AR$162,BN2756,0)+INDEX($AT$13:$BB$162,BO2756,0)+INDEX($BD$13:$BL$162,BP2756,0))/100))&gt;=$D$10:$L$10)),0)</f>
        <v/>
      </c>
      <c r="BR2756">
        <f>IF(2743&lt;$U$9,SUMPRODUCT(($D$10:$L$10&lt;&gt;"")*(($D$10:$L$10-($D$9:$L$9+INT(($S$12:$AA$12+INDEX($AJ$13:$AR$162,BN2756,0)+INDEX($AT$13:$BB$162,BO2756,0)+INDEX($BD$13:$BL$162,BP2756,0))/100)))&gt;0)*($D$10:$L$10-($D$9:$L$9+INT(($S$12:$AA$12+INDEX($AJ$13:$AR$162,BN2756,0)+INDEX($AT$13:$BB$162,BO2756,0)+INDEX($BD$13:$BL$162,BP2756,0))/100)))),0)</f>
        <v/>
      </c>
      <c r="BS2756">
        <f>IF(2743&lt;$U$9,SUMPRODUCT(($D$9:$L$9+INT(($S$12:$AA$12+INDEX($AJ$13:$AR$162,BN2756,0)+INDEX($AT$13:$BB$162,BO2756,0)+INDEX($BD$13:$BL$162,BP2756,0))/100))),0)</f>
        <v/>
      </c>
      <c r="BT2756">
        <f>IF(AND(2743&lt;$U$9,$W$5),BQ2756*1000000-MIN(BR2756,999)*1000+BS2756-2743/100000,-1000000000-2743)</f>
        <v/>
      </c>
    </row>
    <row r="2757">
      <c r="BN2757">
        <f>IF(2744&lt;$U$9,INT(2744/($U$7*$U$8))+1,1)</f>
        <v/>
      </c>
      <c r="BO2757">
        <f>IF(2744&lt;$U$9,MOD(INT(2744/$U$8),$U$7)+1,1)</f>
        <v/>
      </c>
      <c r="BP2757">
        <f>IF(2744&lt;$U$9,MOD(2744,$U$8)+1,1)</f>
        <v/>
      </c>
      <c r="BQ2757">
        <f>IF(2744&lt;$U$9,SUMPRODUCT(($D$10:$L$10&lt;&gt;"")*(($D$9:$L$9+INT(($S$12:$AA$12+INDEX($AJ$13:$AR$162,BN2757,0)+INDEX($AT$13:$BB$162,BO2757,0)+INDEX($BD$13:$BL$162,BP2757,0))/100))&gt;=$D$10:$L$10)),0)</f>
        <v/>
      </c>
      <c r="BR2757">
        <f>IF(2744&lt;$U$9,SUMPRODUCT(($D$10:$L$10&lt;&gt;"")*(($D$10:$L$10-($D$9:$L$9+INT(($S$12:$AA$12+INDEX($AJ$13:$AR$162,BN2757,0)+INDEX($AT$13:$BB$162,BO2757,0)+INDEX($BD$13:$BL$162,BP2757,0))/100)))&gt;0)*($D$10:$L$10-($D$9:$L$9+INT(($S$12:$AA$12+INDEX($AJ$13:$AR$162,BN2757,0)+INDEX($AT$13:$BB$162,BO2757,0)+INDEX($BD$13:$BL$162,BP2757,0))/100)))),0)</f>
        <v/>
      </c>
      <c r="BS2757">
        <f>IF(2744&lt;$U$9,SUMPRODUCT(($D$9:$L$9+INT(($S$12:$AA$12+INDEX($AJ$13:$AR$162,BN2757,0)+INDEX($AT$13:$BB$162,BO2757,0)+INDEX($BD$13:$BL$162,BP2757,0))/100))),0)</f>
        <v/>
      </c>
      <c r="BT2757">
        <f>IF(AND(2744&lt;$U$9,$W$5),BQ2757*1000000-MIN(BR2757,999)*1000+BS2757-2744/100000,-1000000000-2744)</f>
        <v/>
      </c>
    </row>
    <row r="2758">
      <c r="BN2758">
        <f>IF(2745&lt;$U$9,INT(2745/($U$7*$U$8))+1,1)</f>
        <v/>
      </c>
      <c r="BO2758">
        <f>IF(2745&lt;$U$9,MOD(INT(2745/$U$8),$U$7)+1,1)</f>
        <v/>
      </c>
      <c r="BP2758">
        <f>IF(2745&lt;$U$9,MOD(2745,$U$8)+1,1)</f>
        <v/>
      </c>
      <c r="BQ2758">
        <f>IF(2745&lt;$U$9,SUMPRODUCT(($D$10:$L$10&lt;&gt;"")*(($D$9:$L$9+INT(($S$12:$AA$12+INDEX($AJ$13:$AR$162,BN2758,0)+INDEX($AT$13:$BB$162,BO2758,0)+INDEX($BD$13:$BL$162,BP2758,0))/100))&gt;=$D$10:$L$10)),0)</f>
        <v/>
      </c>
      <c r="BR2758">
        <f>IF(2745&lt;$U$9,SUMPRODUCT(($D$10:$L$10&lt;&gt;"")*(($D$10:$L$10-($D$9:$L$9+INT(($S$12:$AA$12+INDEX($AJ$13:$AR$162,BN2758,0)+INDEX($AT$13:$BB$162,BO2758,0)+INDEX($BD$13:$BL$162,BP2758,0))/100)))&gt;0)*($D$10:$L$10-($D$9:$L$9+INT(($S$12:$AA$12+INDEX($AJ$13:$AR$162,BN2758,0)+INDEX($AT$13:$BB$162,BO2758,0)+INDEX($BD$13:$BL$162,BP2758,0))/100)))),0)</f>
        <v/>
      </c>
      <c r="BS2758">
        <f>IF(2745&lt;$U$9,SUMPRODUCT(($D$9:$L$9+INT(($S$12:$AA$12+INDEX($AJ$13:$AR$162,BN2758,0)+INDEX($AT$13:$BB$162,BO2758,0)+INDEX($BD$13:$BL$162,BP2758,0))/100))),0)</f>
        <v/>
      </c>
      <c r="BT2758">
        <f>IF(AND(2745&lt;$U$9,$W$5),BQ2758*1000000-MIN(BR2758,999)*1000+BS2758-2745/100000,-1000000000-2745)</f>
        <v/>
      </c>
    </row>
    <row r="2759">
      <c r="BN2759">
        <f>IF(2746&lt;$U$9,INT(2746/($U$7*$U$8))+1,1)</f>
        <v/>
      </c>
      <c r="BO2759">
        <f>IF(2746&lt;$U$9,MOD(INT(2746/$U$8),$U$7)+1,1)</f>
        <v/>
      </c>
      <c r="BP2759">
        <f>IF(2746&lt;$U$9,MOD(2746,$U$8)+1,1)</f>
        <v/>
      </c>
      <c r="BQ2759">
        <f>IF(2746&lt;$U$9,SUMPRODUCT(($D$10:$L$10&lt;&gt;"")*(($D$9:$L$9+INT(($S$12:$AA$12+INDEX($AJ$13:$AR$162,BN2759,0)+INDEX($AT$13:$BB$162,BO2759,0)+INDEX($BD$13:$BL$162,BP2759,0))/100))&gt;=$D$10:$L$10)),0)</f>
        <v/>
      </c>
      <c r="BR2759">
        <f>IF(2746&lt;$U$9,SUMPRODUCT(($D$10:$L$10&lt;&gt;"")*(($D$10:$L$10-($D$9:$L$9+INT(($S$12:$AA$12+INDEX($AJ$13:$AR$162,BN2759,0)+INDEX($AT$13:$BB$162,BO2759,0)+INDEX($BD$13:$BL$162,BP2759,0))/100)))&gt;0)*($D$10:$L$10-($D$9:$L$9+INT(($S$12:$AA$12+INDEX($AJ$13:$AR$162,BN2759,0)+INDEX($AT$13:$BB$162,BO2759,0)+INDEX($BD$13:$BL$162,BP2759,0))/100)))),0)</f>
        <v/>
      </c>
      <c r="BS2759">
        <f>IF(2746&lt;$U$9,SUMPRODUCT(($D$9:$L$9+INT(($S$12:$AA$12+INDEX($AJ$13:$AR$162,BN2759,0)+INDEX($AT$13:$BB$162,BO2759,0)+INDEX($BD$13:$BL$162,BP2759,0))/100))),0)</f>
        <v/>
      </c>
      <c r="BT2759">
        <f>IF(AND(2746&lt;$U$9,$W$5),BQ2759*1000000-MIN(BR2759,999)*1000+BS2759-2746/100000,-1000000000-2746)</f>
        <v/>
      </c>
    </row>
    <row r="2760">
      <c r="BN2760">
        <f>IF(2747&lt;$U$9,INT(2747/($U$7*$U$8))+1,1)</f>
        <v/>
      </c>
      <c r="BO2760">
        <f>IF(2747&lt;$U$9,MOD(INT(2747/$U$8),$U$7)+1,1)</f>
        <v/>
      </c>
      <c r="BP2760">
        <f>IF(2747&lt;$U$9,MOD(2747,$U$8)+1,1)</f>
        <v/>
      </c>
      <c r="BQ2760">
        <f>IF(2747&lt;$U$9,SUMPRODUCT(($D$10:$L$10&lt;&gt;"")*(($D$9:$L$9+INT(($S$12:$AA$12+INDEX($AJ$13:$AR$162,BN2760,0)+INDEX($AT$13:$BB$162,BO2760,0)+INDEX($BD$13:$BL$162,BP2760,0))/100))&gt;=$D$10:$L$10)),0)</f>
        <v/>
      </c>
      <c r="BR2760">
        <f>IF(2747&lt;$U$9,SUMPRODUCT(($D$10:$L$10&lt;&gt;"")*(($D$10:$L$10-($D$9:$L$9+INT(($S$12:$AA$12+INDEX($AJ$13:$AR$162,BN2760,0)+INDEX($AT$13:$BB$162,BO2760,0)+INDEX($BD$13:$BL$162,BP2760,0))/100)))&gt;0)*($D$10:$L$10-($D$9:$L$9+INT(($S$12:$AA$12+INDEX($AJ$13:$AR$162,BN2760,0)+INDEX($AT$13:$BB$162,BO2760,0)+INDEX($BD$13:$BL$162,BP2760,0))/100)))),0)</f>
        <v/>
      </c>
      <c r="BS2760">
        <f>IF(2747&lt;$U$9,SUMPRODUCT(($D$9:$L$9+INT(($S$12:$AA$12+INDEX($AJ$13:$AR$162,BN2760,0)+INDEX($AT$13:$BB$162,BO2760,0)+INDEX($BD$13:$BL$162,BP2760,0))/100))),0)</f>
        <v/>
      </c>
      <c r="BT2760">
        <f>IF(AND(2747&lt;$U$9,$W$5),BQ2760*1000000-MIN(BR2760,999)*1000+BS2760-2747/100000,-1000000000-2747)</f>
        <v/>
      </c>
    </row>
    <row r="2761">
      <c r="BN2761">
        <f>IF(2748&lt;$U$9,INT(2748/($U$7*$U$8))+1,1)</f>
        <v/>
      </c>
      <c r="BO2761">
        <f>IF(2748&lt;$U$9,MOD(INT(2748/$U$8),$U$7)+1,1)</f>
        <v/>
      </c>
      <c r="BP2761">
        <f>IF(2748&lt;$U$9,MOD(2748,$U$8)+1,1)</f>
        <v/>
      </c>
      <c r="BQ2761">
        <f>IF(2748&lt;$U$9,SUMPRODUCT(($D$10:$L$10&lt;&gt;"")*(($D$9:$L$9+INT(($S$12:$AA$12+INDEX($AJ$13:$AR$162,BN2761,0)+INDEX($AT$13:$BB$162,BO2761,0)+INDEX($BD$13:$BL$162,BP2761,0))/100))&gt;=$D$10:$L$10)),0)</f>
        <v/>
      </c>
      <c r="BR2761">
        <f>IF(2748&lt;$U$9,SUMPRODUCT(($D$10:$L$10&lt;&gt;"")*(($D$10:$L$10-($D$9:$L$9+INT(($S$12:$AA$12+INDEX($AJ$13:$AR$162,BN2761,0)+INDEX($AT$13:$BB$162,BO2761,0)+INDEX($BD$13:$BL$162,BP2761,0))/100)))&gt;0)*($D$10:$L$10-($D$9:$L$9+INT(($S$12:$AA$12+INDEX($AJ$13:$AR$162,BN2761,0)+INDEX($AT$13:$BB$162,BO2761,0)+INDEX($BD$13:$BL$162,BP2761,0))/100)))),0)</f>
        <v/>
      </c>
      <c r="BS2761">
        <f>IF(2748&lt;$U$9,SUMPRODUCT(($D$9:$L$9+INT(($S$12:$AA$12+INDEX($AJ$13:$AR$162,BN2761,0)+INDEX($AT$13:$BB$162,BO2761,0)+INDEX($BD$13:$BL$162,BP2761,0))/100))),0)</f>
        <v/>
      </c>
      <c r="BT2761">
        <f>IF(AND(2748&lt;$U$9,$W$5),BQ2761*1000000-MIN(BR2761,999)*1000+BS2761-2748/100000,-1000000000-2748)</f>
        <v/>
      </c>
    </row>
    <row r="2762">
      <c r="BN2762">
        <f>IF(2749&lt;$U$9,INT(2749/($U$7*$U$8))+1,1)</f>
        <v/>
      </c>
      <c r="BO2762">
        <f>IF(2749&lt;$U$9,MOD(INT(2749/$U$8),$U$7)+1,1)</f>
        <v/>
      </c>
      <c r="BP2762">
        <f>IF(2749&lt;$U$9,MOD(2749,$U$8)+1,1)</f>
        <v/>
      </c>
      <c r="BQ2762">
        <f>IF(2749&lt;$U$9,SUMPRODUCT(($D$10:$L$10&lt;&gt;"")*(($D$9:$L$9+INT(($S$12:$AA$12+INDEX($AJ$13:$AR$162,BN2762,0)+INDEX($AT$13:$BB$162,BO2762,0)+INDEX($BD$13:$BL$162,BP2762,0))/100))&gt;=$D$10:$L$10)),0)</f>
        <v/>
      </c>
      <c r="BR2762">
        <f>IF(2749&lt;$U$9,SUMPRODUCT(($D$10:$L$10&lt;&gt;"")*(($D$10:$L$10-($D$9:$L$9+INT(($S$12:$AA$12+INDEX($AJ$13:$AR$162,BN2762,0)+INDEX($AT$13:$BB$162,BO2762,0)+INDEX($BD$13:$BL$162,BP2762,0))/100)))&gt;0)*($D$10:$L$10-($D$9:$L$9+INT(($S$12:$AA$12+INDEX($AJ$13:$AR$162,BN2762,0)+INDEX($AT$13:$BB$162,BO2762,0)+INDEX($BD$13:$BL$162,BP2762,0))/100)))),0)</f>
        <v/>
      </c>
      <c r="BS2762">
        <f>IF(2749&lt;$U$9,SUMPRODUCT(($D$9:$L$9+INT(($S$12:$AA$12+INDEX($AJ$13:$AR$162,BN2762,0)+INDEX($AT$13:$BB$162,BO2762,0)+INDEX($BD$13:$BL$162,BP2762,0))/100))),0)</f>
        <v/>
      </c>
      <c r="BT2762">
        <f>IF(AND(2749&lt;$U$9,$W$5),BQ2762*1000000-MIN(BR2762,999)*1000+BS2762-2749/100000,-1000000000-2749)</f>
        <v/>
      </c>
    </row>
    <row r="2763">
      <c r="BN2763">
        <f>IF(2750&lt;$U$9,INT(2750/($U$7*$U$8))+1,1)</f>
        <v/>
      </c>
      <c r="BO2763">
        <f>IF(2750&lt;$U$9,MOD(INT(2750/$U$8),$U$7)+1,1)</f>
        <v/>
      </c>
      <c r="BP2763">
        <f>IF(2750&lt;$U$9,MOD(2750,$U$8)+1,1)</f>
        <v/>
      </c>
      <c r="BQ2763">
        <f>IF(2750&lt;$U$9,SUMPRODUCT(($D$10:$L$10&lt;&gt;"")*(($D$9:$L$9+INT(($S$12:$AA$12+INDEX($AJ$13:$AR$162,BN2763,0)+INDEX($AT$13:$BB$162,BO2763,0)+INDEX($BD$13:$BL$162,BP2763,0))/100))&gt;=$D$10:$L$10)),0)</f>
        <v/>
      </c>
      <c r="BR2763">
        <f>IF(2750&lt;$U$9,SUMPRODUCT(($D$10:$L$10&lt;&gt;"")*(($D$10:$L$10-($D$9:$L$9+INT(($S$12:$AA$12+INDEX($AJ$13:$AR$162,BN2763,0)+INDEX($AT$13:$BB$162,BO2763,0)+INDEX($BD$13:$BL$162,BP2763,0))/100)))&gt;0)*($D$10:$L$10-($D$9:$L$9+INT(($S$12:$AA$12+INDEX($AJ$13:$AR$162,BN2763,0)+INDEX($AT$13:$BB$162,BO2763,0)+INDEX($BD$13:$BL$162,BP2763,0))/100)))),0)</f>
        <v/>
      </c>
      <c r="BS2763">
        <f>IF(2750&lt;$U$9,SUMPRODUCT(($D$9:$L$9+INT(($S$12:$AA$12+INDEX($AJ$13:$AR$162,BN2763,0)+INDEX($AT$13:$BB$162,BO2763,0)+INDEX($BD$13:$BL$162,BP2763,0))/100))),0)</f>
        <v/>
      </c>
      <c r="BT2763">
        <f>IF(AND(2750&lt;$U$9,$W$5),BQ2763*1000000-MIN(BR2763,999)*1000+BS2763-2750/100000,-1000000000-2750)</f>
        <v/>
      </c>
    </row>
    <row r="2764">
      <c r="BN2764">
        <f>IF(2751&lt;$U$9,INT(2751/($U$7*$U$8))+1,1)</f>
        <v/>
      </c>
      <c r="BO2764">
        <f>IF(2751&lt;$U$9,MOD(INT(2751/$U$8),$U$7)+1,1)</f>
        <v/>
      </c>
      <c r="BP2764">
        <f>IF(2751&lt;$U$9,MOD(2751,$U$8)+1,1)</f>
        <v/>
      </c>
      <c r="BQ2764">
        <f>IF(2751&lt;$U$9,SUMPRODUCT(($D$10:$L$10&lt;&gt;"")*(($D$9:$L$9+INT(($S$12:$AA$12+INDEX($AJ$13:$AR$162,BN2764,0)+INDEX($AT$13:$BB$162,BO2764,0)+INDEX($BD$13:$BL$162,BP2764,0))/100))&gt;=$D$10:$L$10)),0)</f>
        <v/>
      </c>
      <c r="BR2764">
        <f>IF(2751&lt;$U$9,SUMPRODUCT(($D$10:$L$10&lt;&gt;"")*(($D$10:$L$10-($D$9:$L$9+INT(($S$12:$AA$12+INDEX($AJ$13:$AR$162,BN2764,0)+INDEX($AT$13:$BB$162,BO2764,0)+INDEX($BD$13:$BL$162,BP2764,0))/100)))&gt;0)*($D$10:$L$10-($D$9:$L$9+INT(($S$12:$AA$12+INDEX($AJ$13:$AR$162,BN2764,0)+INDEX($AT$13:$BB$162,BO2764,0)+INDEX($BD$13:$BL$162,BP2764,0))/100)))),0)</f>
        <v/>
      </c>
      <c r="BS2764">
        <f>IF(2751&lt;$U$9,SUMPRODUCT(($D$9:$L$9+INT(($S$12:$AA$12+INDEX($AJ$13:$AR$162,BN2764,0)+INDEX($AT$13:$BB$162,BO2764,0)+INDEX($BD$13:$BL$162,BP2764,0))/100))),0)</f>
        <v/>
      </c>
      <c r="BT2764">
        <f>IF(AND(2751&lt;$U$9,$W$5),BQ2764*1000000-MIN(BR2764,999)*1000+BS2764-2751/100000,-1000000000-2751)</f>
        <v/>
      </c>
    </row>
    <row r="2765">
      <c r="BN2765">
        <f>IF(2752&lt;$U$9,INT(2752/($U$7*$U$8))+1,1)</f>
        <v/>
      </c>
      <c r="BO2765">
        <f>IF(2752&lt;$U$9,MOD(INT(2752/$U$8),$U$7)+1,1)</f>
        <v/>
      </c>
      <c r="BP2765">
        <f>IF(2752&lt;$U$9,MOD(2752,$U$8)+1,1)</f>
        <v/>
      </c>
      <c r="BQ2765">
        <f>IF(2752&lt;$U$9,SUMPRODUCT(($D$10:$L$10&lt;&gt;"")*(($D$9:$L$9+INT(($S$12:$AA$12+INDEX($AJ$13:$AR$162,BN2765,0)+INDEX($AT$13:$BB$162,BO2765,0)+INDEX($BD$13:$BL$162,BP2765,0))/100))&gt;=$D$10:$L$10)),0)</f>
        <v/>
      </c>
      <c r="BR2765">
        <f>IF(2752&lt;$U$9,SUMPRODUCT(($D$10:$L$10&lt;&gt;"")*(($D$10:$L$10-($D$9:$L$9+INT(($S$12:$AA$12+INDEX($AJ$13:$AR$162,BN2765,0)+INDEX($AT$13:$BB$162,BO2765,0)+INDEX($BD$13:$BL$162,BP2765,0))/100)))&gt;0)*($D$10:$L$10-($D$9:$L$9+INT(($S$12:$AA$12+INDEX($AJ$13:$AR$162,BN2765,0)+INDEX($AT$13:$BB$162,BO2765,0)+INDEX($BD$13:$BL$162,BP2765,0))/100)))),0)</f>
        <v/>
      </c>
      <c r="BS2765">
        <f>IF(2752&lt;$U$9,SUMPRODUCT(($D$9:$L$9+INT(($S$12:$AA$12+INDEX($AJ$13:$AR$162,BN2765,0)+INDEX($AT$13:$BB$162,BO2765,0)+INDEX($BD$13:$BL$162,BP2765,0))/100))),0)</f>
        <v/>
      </c>
      <c r="BT2765">
        <f>IF(AND(2752&lt;$U$9,$W$5),BQ2765*1000000-MIN(BR2765,999)*1000+BS2765-2752/100000,-1000000000-2752)</f>
        <v/>
      </c>
    </row>
    <row r="2766">
      <c r="BN2766">
        <f>IF(2753&lt;$U$9,INT(2753/($U$7*$U$8))+1,1)</f>
        <v/>
      </c>
      <c r="BO2766">
        <f>IF(2753&lt;$U$9,MOD(INT(2753/$U$8),$U$7)+1,1)</f>
        <v/>
      </c>
      <c r="BP2766">
        <f>IF(2753&lt;$U$9,MOD(2753,$U$8)+1,1)</f>
        <v/>
      </c>
      <c r="BQ2766">
        <f>IF(2753&lt;$U$9,SUMPRODUCT(($D$10:$L$10&lt;&gt;"")*(($D$9:$L$9+INT(($S$12:$AA$12+INDEX($AJ$13:$AR$162,BN2766,0)+INDEX($AT$13:$BB$162,BO2766,0)+INDEX($BD$13:$BL$162,BP2766,0))/100))&gt;=$D$10:$L$10)),0)</f>
        <v/>
      </c>
      <c r="BR2766">
        <f>IF(2753&lt;$U$9,SUMPRODUCT(($D$10:$L$10&lt;&gt;"")*(($D$10:$L$10-($D$9:$L$9+INT(($S$12:$AA$12+INDEX($AJ$13:$AR$162,BN2766,0)+INDEX($AT$13:$BB$162,BO2766,0)+INDEX($BD$13:$BL$162,BP2766,0))/100)))&gt;0)*($D$10:$L$10-($D$9:$L$9+INT(($S$12:$AA$12+INDEX($AJ$13:$AR$162,BN2766,0)+INDEX($AT$13:$BB$162,BO2766,0)+INDEX($BD$13:$BL$162,BP2766,0))/100)))),0)</f>
        <v/>
      </c>
      <c r="BS2766">
        <f>IF(2753&lt;$U$9,SUMPRODUCT(($D$9:$L$9+INT(($S$12:$AA$12+INDEX($AJ$13:$AR$162,BN2766,0)+INDEX($AT$13:$BB$162,BO2766,0)+INDEX($BD$13:$BL$162,BP2766,0))/100))),0)</f>
        <v/>
      </c>
      <c r="BT2766">
        <f>IF(AND(2753&lt;$U$9,$W$5),BQ2766*1000000-MIN(BR2766,999)*1000+BS2766-2753/100000,-1000000000-2753)</f>
        <v/>
      </c>
    </row>
    <row r="2767">
      <c r="BN2767">
        <f>IF(2754&lt;$U$9,INT(2754/($U$7*$U$8))+1,1)</f>
        <v/>
      </c>
      <c r="BO2767">
        <f>IF(2754&lt;$U$9,MOD(INT(2754/$U$8),$U$7)+1,1)</f>
        <v/>
      </c>
      <c r="BP2767">
        <f>IF(2754&lt;$U$9,MOD(2754,$U$8)+1,1)</f>
        <v/>
      </c>
      <c r="BQ2767">
        <f>IF(2754&lt;$U$9,SUMPRODUCT(($D$10:$L$10&lt;&gt;"")*(($D$9:$L$9+INT(($S$12:$AA$12+INDEX($AJ$13:$AR$162,BN2767,0)+INDEX($AT$13:$BB$162,BO2767,0)+INDEX($BD$13:$BL$162,BP2767,0))/100))&gt;=$D$10:$L$10)),0)</f>
        <v/>
      </c>
      <c r="BR2767">
        <f>IF(2754&lt;$U$9,SUMPRODUCT(($D$10:$L$10&lt;&gt;"")*(($D$10:$L$10-($D$9:$L$9+INT(($S$12:$AA$12+INDEX($AJ$13:$AR$162,BN2767,0)+INDEX($AT$13:$BB$162,BO2767,0)+INDEX($BD$13:$BL$162,BP2767,0))/100)))&gt;0)*($D$10:$L$10-($D$9:$L$9+INT(($S$12:$AA$12+INDEX($AJ$13:$AR$162,BN2767,0)+INDEX($AT$13:$BB$162,BO2767,0)+INDEX($BD$13:$BL$162,BP2767,0))/100)))),0)</f>
        <v/>
      </c>
      <c r="BS2767">
        <f>IF(2754&lt;$U$9,SUMPRODUCT(($D$9:$L$9+INT(($S$12:$AA$12+INDEX($AJ$13:$AR$162,BN2767,0)+INDEX($AT$13:$BB$162,BO2767,0)+INDEX($BD$13:$BL$162,BP2767,0))/100))),0)</f>
        <v/>
      </c>
      <c r="BT2767">
        <f>IF(AND(2754&lt;$U$9,$W$5),BQ2767*1000000-MIN(BR2767,999)*1000+BS2767-2754/100000,-1000000000-2754)</f>
        <v/>
      </c>
    </row>
    <row r="2768">
      <c r="BN2768">
        <f>IF(2755&lt;$U$9,INT(2755/($U$7*$U$8))+1,1)</f>
        <v/>
      </c>
      <c r="BO2768">
        <f>IF(2755&lt;$U$9,MOD(INT(2755/$U$8),$U$7)+1,1)</f>
        <v/>
      </c>
      <c r="BP2768">
        <f>IF(2755&lt;$U$9,MOD(2755,$U$8)+1,1)</f>
        <v/>
      </c>
      <c r="BQ2768">
        <f>IF(2755&lt;$U$9,SUMPRODUCT(($D$10:$L$10&lt;&gt;"")*(($D$9:$L$9+INT(($S$12:$AA$12+INDEX($AJ$13:$AR$162,BN2768,0)+INDEX($AT$13:$BB$162,BO2768,0)+INDEX($BD$13:$BL$162,BP2768,0))/100))&gt;=$D$10:$L$10)),0)</f>
        <v/>
      </c>
      <c r="BR2768">
        <f>IF(2755&lt;$U$9,SUMPRODUCT(($D$10:$L$10&lt;&gt;"")*(($D$10:$L$10-($D$9:$L$9+INT(($S$12:$AA$12+INDEX($AJ$13:$AR$162,BN2768,0)+INDEX($AT$13:$BB$162,BO2768,0)+INDEX($BD$13:$BL$162,BP2768,0))/100)))&gt;0)*($D$10:$L$10-($D$9:$L$9+INT(($S$12:$AA$12+INDEX($AJ$13:$AR$162,BN2768,0)+INDEX($AT$13:$BB$162,BO2768,0)+INDEX($BD$13:$BL$162,BP2768,0))/100)))),0)</f>
        <v/>
      </c>
      <c r="BS2768">
        <f>IF(2755&lt;$U$9,SUMPRODUCT(($D$9:$L$9+INT(($S$12:$AA$12+INDEX($AJ$13:$AR$162,BN2768,0)+INDEX($AT$13:$BB$162,BO2768,0)+INDEX($BD$13:$BL$162,BP2768,0))/100))),0)</f>
        <v/>
      </c>
      <c r="BT2768">
        <f>IF(AND(2755&lt;$U$9,$W$5),BQ2768*1000000-MIN(BR2768,999)*1000+BS2768-2755/100000,-1000000000-2755)</f>
        <v/>
      </c>
    </row>
    <row r="2769">
      <c r="BN2769">
        <f>IF(2756&lt;$U$9,INT(2756/($U$7*$U$8))+1,1)</f>
        <v/>
      </c>
      <c r="BO2769">
        <f>IF(2756&lt;$U$9,MOD(INT(2756/$U$8),$U$7)+1,1)</f>
        <v/>
      </c>
      <c r="BP2769">
        <f>IF(2756&lt;$U$9,MOD(2756,$U$8)+1,1)</f>
        <v/>
      </c>
      <c r="BQ2769">
        <f>IF(2756&lt;$U$9,SUMPRODUCT(($D$10:$L$10&lt;&gt;"")*(($D$9:$L$9+INT(($S$12:$AA$12+INDEX($AJ$13:$AR$162,BN2769,0)+INDEX($AT$13:$BB$162,BO2769,0)+INDEX($BD$13:$BL$162,BP2769,0))/100))&gt;=$D$10:$L$10)),0)</f>
        <v/>
      </c>
      <c r="BR2769">
        <f>IF(2756&lt;$U$9,SUMPRODUCT(($D$10:$L$10&lt;&gt;"")*(($D$10:$L$10-($D$9:$L$9+INT(($S$12:$AA$12+INDEX($AJ$13:$AR$162,BN2769,0)+INDEX($AT$13:$BB$162,BO2769,0)+INDEX($BD$13:$BL$162,BP2769,0))/100)))&gt;0)*($D$10:$L$10-($D$9:$L$9+INT(($S$12:$AA$12+INDEX($AJ$13:$AR$162,BN2769,0)+INDEX($AT$13:$BB$162,BO2769,0)+INDEX($BD$13:$BL$162,BP2769,0))/100)))),0)</f>
        <v/>
      </c>
      <c r="BS2769">
        <f>IF(2756&lt;$U$9,SUMPRODUCT(($D$9:$L$9+INT(($S$12:$AA$12+INDEX($AJ$13:$AR$162,BN2769,0)+INDEX($AT$13:$BB$162,BO2769,0)+INDEX($BD$13:$BL$162,BP2769,0))/100))),0)</f>
        <v/>
      </c>
      <c r="BT2769">
        <f>IF(AND(2756&lt;$U$9,$W$5),BQ2769*1000000-MIN(BR2769,999)*1000+BS2769-2756/100000,-1000000000-2756)</f>
        <v/>
      </c>
    </row>
    <row r="2770">
      <c r="BN2770">
        <f>IF(2757&lt;$U$9,INT(2757/($U$7*$U$8))+1,1)</f>
        <v/>
      </c>
      <c r="BO2770">
        <f>IF(2757&lt;$U$9,MOD(INT(2757/$U$8),$U$7)+1,1)</f>
        <v/>
      </c>
      <c r="BP2770">
        <f>IF(2757&lt;$U$9,MOD(2757,$U$8)+1,1)</f>
        <v/>
      </c>
      <c r="BQ2770">
        <f>IF(2757&lt;$U$9,SUMPRODUCT(($D$10:$L$10&lt;&gt;"")*(($D$9:$L$9+INT(($S$12:$AA$12+INDEX($AJ$13:$AR$162,BN2770,0)+INDEX($AT$13:$BB$162,BO2770,0)+INDEX($BD$13:$BL$162,BP2770,0))/100))&gt;=$D$10:$L$10)),0)</f>
        <v/>
      </c>
      <c r="BR2770">
        <f>IF(2757&lt;$U$9,SUMPRODUCT(($D$10:$L$10&lt;&gt;"")*(($D$10:$L$10-($D$9:$L$9+INT(($S$12:$AA$12+INDEX($AJ$13:$AR$162,BN2770,0)+INDEX($AT$13:$BB$162,BO2770,0)+INDEX($BD$13:$BL$162,BP2770,0))/100)))&gt;0)*($D$10:$L$10-($D$9:$L$9+INT(($S$12:$AA$12+INDEX($AJ$13:$AR$162,BN2770,0)+INDEX($AT$13:$BB$162,BO2770,0)+INDEX($BD$13:$BL$162,BP2770,0))/100)))),0)</f>
        <v/>
      </c>
      <c r="BS2770">
        <f>IF(2757&lt;$U$9,SUMPRODUCT(($D$9:$L$9+INT(($S$12:$AA$12+INDEX($AJ$13:$AR$162,BN2770,0)+INDEX($AT$13:$BB$162,BO2770,0)+INDEX($BD$13:$BL$162,BP2770,0))/100))),0)</f>
        <v/>
      </c>
      <c r="BT2770">
        <f>IF(AND(2757&lt;$U$9,$W$5),BQ2770*1000000-MIN(BR2770,999)*1000+BS2770-2757/100000,-1000000000-2757)</f>
        <v/>
      </c>
    </row>
    <row r="2771">
      <c r="BN2771">
        <f>IF(2758&lt;$U$9,INT(2758/($U$7*$U$8))+1,1)</f>
        <v/>
      </c>
      <c r="BO2771">
        <f>IF(2758&lt;$U$9,MOD(INT(2758/$U$8),$U$7)+1,1)</f>
        <v/>
      </c>
      <c r="BP2771">
        <f>IF(2758&lt;$U$9,MOD(2758,$U$8)+1,1)</f>
        <v/>
      </c>
      <c r="BQ2771">
        <f>IF(2758&lt;$U$9,SUMPRODUCT(($D$10:$L$10&lt;&gt;"")*(($D$9:$L$9+INT(($S$12:$AA$12+INDEX($AJ$13:$AR$162,BN2771,0)+INDEX($AT$13:$BB$162,BO2771,0)+INDEX($BD$13:$BL$162,BP2771,0))/100))&gt;=$D$10:$L$10)),0)</f>
        <v/>
      </c>
      <c r="BR2771">
        <f>IF(2758&lt;$U$9,SUMPRODUCT(($D$10:$L$10&lt;&gt;"")*(($D$10:$L$10-($D$9:$L$9+INT(($S$12:$AA$12+INDEX($AJ$13:$AR$162,BN2771,0)+INDEX($AT$13:$BB$162,BO2771,0)+INDEX($BD$13:$BL$162,BP2771,0))/100)))&gt;0)*($D$10:$L$10-($D$9:$L$9+INT(($S$12:$AA$12+INDEX($AJ$13:$AR$162,BN2771,0)+INDEX($AT$13:$BB$162,BO2771,0)+INDEX($BD$13:$BL$162,BP2771,0))/100)))),0)</f>
        <v/>
      </c>
      <c r="BS2771">
        <f>IF(2758&lt;$U$9,SUMPRODUCT(($D$9:$L$9+INT(($S$12:$AA$12+INDEX($AJ$13:$AR$162,BN2771,0)+INDEX($AT$13:$BB$162,BO2771,0)+INDEX($BD$13:$BL$162,BP2771,0))/100))),0)</f>
        <v/>
      </c>
      <c r="BT2771">
        <f>IF(AND(2758&lt;$U$9,$W$5),BQ2771*1000000-MIN(BR2771,999)*1000+BS2771-2758/100000,-1000000000-2758)</f>
        <v/>
      </c>
    </row>
    <row r="2772">
      <c r="BN2772">
        <f>IF(2759&lt;$U$9,INT(2759/($U$7*$U$8))+1,1)</f>
        <v/>
      </c>
      <c r="BO2772">
        <f>IF(2759&lt;$U$9,MOD(INT(2759/$U$8),$U$7)+1,1)</f>
        <v/>
      </c>
      <c r="BP2772">
        <f>IF(2759&lt;$U$9,MOD(2759,$U$8)+1,1)</f>
        <v/>
      </c>
      <c r="BQ2772">
        <f>IF(2759&lt;$U$9,SUMPRODUCT(($D$10:$L$10&lt;&gt;"")*(($D$9:$L$9+INT(($S$12:$AA$12+INDEX($AJ$13:$AR$162,BN2772,0)+INDEX($AT$13:$BB$162,BO2772,0)+INDEX($BD$13:$BL$162,BP2772,0))/100))&gt;=$D$10:$L$10)),0)</f>
        <v/>
      </c>
      <c r="BR2772">
        <f>IF(2759&lt;$U$9,SUMPRODUCT(($D$10:$L$10&lt;&gt;"")*(($D$10:$L$10-($D$9:$L$9+INT(($S$12:$AA$12+INDEX($AJ$13:$AR$162,BN2772,0)+INDEX($AT$13:$BB$162,BO2772,0)+INDEX($BD$13:$BL$162,BP2772,0))/100)))&gt;0)*($D$10:$L$10-($D$9:$L$9+INT(($S$12:$AA$12+INDEX($AJ$13:$AR$162,BN2772,0)+INDEX($AT$13:$BB$162,BO2772,0)+INDEX($BD$13:$BL$162,BP2772,0))/100)))),0)</f>
        <v/>
      </c>
      <c r="BS2772">
        <f>IF(2759&lt;$U$9,SUMPRODUCT(($D$9:$L$9+INT(($S$12:$AA$12+INDEX($AJ$13:$AR$162,BN2772,0)+INDEX($AT$13:$BB$162,BO2772,0)+INDEX($BD$13:$BL$162,BP2772,0))/100))),0)</f>
        <v/>
      </c>
      <c r="BT2772">
        <f>IF(AND(2759&lt;$U$9,$W$5),BQ2772*1000000-MIN(BR2772,999)*1000+BS2772-2759/100000,-1000000000-2759)</f>
        <v/>
      </c>
    </row>
    <row r="2773">
      <c r="BN2773">
        <f>IF(2760&lt;$U$9,INT(2760/($U$7*$U$8))+1,1)</f>
        <v/>
      </c>
      <c r="BO2773">
        <f>IF(2760&lt;$U$9,MOD(INT(2760/$U$8),$U$7)+1,1)</f>
        <v/>
      </c>
      <c r="BP2773">
        <f>IF(2760&lt;$U$9,MOD(2760,$U$8)+1,1)</f>
        <v/>
      </c>
      <c r="BQ2773">
        <f>IF(2760&lt;$U$9,SUMPRODUCT(($D$10:$L$10&lt;&gt;"")*(($D$9:$L$9+INT(($S$12:$AA$12+INDEX($AJ$13:$AR$162,BN2773,0)+INDEX($AT$13:$BB$162,BO2773,0)+INDEX($BD$13:$BL$162,BP2773,0))/100))&gt;=$D$10:$L$10)),0)</f>
        <v/>
      </c>
      <c r="BR2773">
        <f>IF(2760&lt;$U$9,SUMPRODUCT(($D$10:$L$10&lt;&gt;"")*(($D$10:$L$10-($D$9:$L$9+INT(($S$12:$AA$12+INDEX($AJ$13:$AR$162,BN2773,0)+INDEX($AT$13:$BB$162,BO2773,0)+INDEX($BD$13:$BL$162,BP2773,0))/100)))&gt;0)*($D$10:$L$10-($D$9:$L$9+INT(($S$12:$AA$12+INDEX($AJ$13:$AR$162,BN2773,0)+INDEX($AT$13:$BB$162,BO2773,0)+INDEX($BD$13:$BL$162,BP2773,0))/100)))),0)</f>
        <v/>
      </c>
      <c r="BS2773">
        <f>IF(2760&lt;$U$9,SUMPRODUCT(($D$9:$L$9+INT(($S$12:$AA$12+INDEX($AJ$13:$AR$162,BN2773,0)+INDEX($AT$13:$BB$162,BO2773,0)+INDEX($BD$13:$BL$162,BP2773,0))/100))),0)</f>
        <v/>
      </c>
      <c r="BT2773">
        <f>IF(AND(2760&lt;$U$9,$W$5),BQ2773*1000000-MIN(BR2773,999)*1000+BS2773-2760/100000,-1000000000-2760)</f>
        <v/>
      </c>
    </row>
    <row r="2774">
      <c r="BN2774">
        <f>IF(2761&lt;$U$9,INT(2761/($U$7*$U$8))+1,1)</f>
        <v/>
      </c>
      <c r="BO2774">
        <f>IF(2761&lt;$U$9,MOD(INT(2761/$U$8),$U$7)+1,1)</f>
        <v/>
      </c>
      <c r="BP2774">
        <f>IF(2761&lt;$U$9,MOD(2761,$U$8)+1,1)</f>
        <v/>
      </c>
      <c r="BQ2774">
        <f>IF(2761&lt;$U$9,SUMPRODUCT(($D$10:$L$10&lt;&gt;"")*(($D$9:$L$9+INT(($S$12:$AA$12+INDEX($AJ$13:$AR$162,BN2774,0)+INDEX($AT$13:$BB$162,BO2774,0)+INDEX($BD$13:$BL$162,BP2774,0))/100))&gt;=$D$10:$L$10)),0)</f>
        <v/>
      </c>
      <c r="BR2774">
        <f>IF(2761&lt;$U$9,SUMPRODUCT(($D$10:$L$10&lt;&gt;"")*(($D$10:$L$10-($D$9:$L$9+INT(($S$12:$AA$12+INDEX($AJ$13:$AR$162,BN2774,0)+INDEX($AT$13:$BB$162,BO2774,0)+INDEX($BD$13:$BL$162,BP2774,0))/100)))&gt;0)*($D$10:$L$10-($D$9:$L$9+INT(($S$12:$AA$12+INDEX($AJ$13:$AR$162,BN2774,0)+INDEX($AT$13:$BB$162,BO2774,0)+INDEX($BD$13:$BL$162,BP2774,0))/100)))),0)</f>
        <v/>
      </c>
      <c r="BS2774">
        <f>IF(2761&lt;$U$9,SUMPRODUCT(($D$9:$L$9+INT(($S$12:$AA$12+INDEX($AJ$13:$AR$162,BN2774,0)+INDEX($AT$13:$BB$162,BO2774,0)+INDEX($BD$13:$BL$162,BP2774,0))/100))),0)</f>
        <v/>
      </c>
      <c r="BT2774">
        <f>IF(AND(2761&lt;$U$9,$W$5),BQ2774*1000000-MIN(BR2774,999)*1000+BS2774-2761/100000,-1000000000-2761)</f>
        <v/>
      </c>
    </row>
    <row r="2775">
      <c r="BN2775">
        <f>IF(2762&lt;$U$9,INT(2762/($U$7*$U$8))+1,1)</f>
        <v/>
      </c>
      <c r="BO2775">
        <f>IF(2762&lt;$U$9,MOD(INT(2762/$U$8),$U$7)+1,1)</f>
        <v/>
      </c>
      <c r="BP2775">
        <f>IF(2762&lt;$U$9,MOD(2762,$U$8)+1,1)</f>
        <v/>
      </c>
      <c r="BQ2775">
        <f>IF(2762&lt;$U$9,SUMPRODUCT(($D$10:$L$10&lt;&gt;"")*(($D$9:$L$9+INT(($S$12:$AA$12+INDEX($AJ$13:$AR$162,BN2775,0)+INDEX($AT$13:$BB$162,BO2775,0)+INDEX($BD$13:$BL$162,BP2775,0))/100))&gt;=$D$10:$L$10)),0)</f>
        <v/>
      </c>
      <c r="BR2775">
        <f>IF(2762&lt;$U$9,SUMPRODUCT(($D$10:$L$10&lt;&gt;"")*(($D$10:$L$10-($D$9:$L$9+INT(($S$12:$AA$12+INDEX($AJ$13:$AR$162,BN2775,0)+INDEX($AT$13:$BB$162,BO2775,0)+INDEX($BD$13:$BL$162,BP2775,0))/100)))&gt;0)*($D$10:$L$10-($D$9:$L$9+INT(($S$12:$AA$12+INDEX($AJ$13:$AR$162,BN2775,0)+INDEX($AT$13:$BB$162,BO2775,0)+INDEX($BD$13:$BL$162,BP2775,0))/100)))),0)</f>
        <v/>
      </c>
      <c r="BS2775">
        <f>IF(2762&lt;$U$9,SUMPRODUCT(($D$9:$L$9+INT(($S$12:$AA$12+INDEX($AJ$13:$AR$162,BN2775,0)+INDEX($AT$13:$BB$162,BO2775,0)+INDEX($BD$13:$BL$162,BP2775,0))/100))),0)</f>
        <v/>
      </c>
      <c r="BT2775">
        <f>IF(AND(2762&lt;$U$9,$W$5),BQ2775*1000000-MIN(BR2775,999)*1000+BS2775-2762/100000,-1000000000-2762)</f>
        <v/>
      </c>
    </row>
    <row r="2776">
      <c r="BN2776">
        <f>IF(2763&lt;$U$9,INT(2763/($U$7*$U$8))+1,1)</f>
        <v/>
      </c>
      <c r="BO2776">
        <f>IF(2763&lt;$U$9,MOD(INT(2763/$U$8),$U$7)+1,1)</f>
        <v/>
      </c>
      <c r="BP2776">
        <f>IF(2763&lt;$U$9,MOD(2763,$U$8)+1,1)</f>
        <v/>
      </c>
      <c r="BQ2776">
        <f>IF(2763&lt;$U$9,SUMPRODUCT(($D$10:$L$10&lt;&gt;"")*(($D$9:$L$9+INT(($S$12:$AA$12+INDEX($AJ$13:$AR$162,BN2776,0)+INDEX($AT$13:$BB$162,BO2776,0)+INDEX($BD$13:$BL$162,BP2776,0))/100))&gt;=$D$10:$L$10)),0)</f>
        <v/>
      </c>
      <c r="BR2776">
        <f>IF(2763&lt;$U$9,SUMPRODUCT(($D$10:$L$10&lt;&gt;"")*(($D$10:$L$10-($D$9:$L$9+INT(($S$12:$AA$12+INDEX($AJ$13:$AR$162,BN2776,0)+INDEX($AT$13:$BB$162,BO2776,0)+INDEX($BD$13:$BL$162,BP2776,0))/100)))&gt;0)*($D$10:$L$10-($D$9:$L$9+INT(($S$12:$AA$12+INDEX($AJ$13:$AR$162,BN2776,0)+INDEX($AT$13:$BB$162,BO2776,0)+INDEX($BD$13:$BL$162,BP2776,0))/100)))),0)</f>
        <v/>
      </c>
      <c r="BS2776">
        <f>IF(2763&lt;$U$9,SUMPRODUCT(($D$9:$L$9+INT(($S$12:$AA$12+INDEX($AJ$13:$AR$162,BN2776,0)+INDEX($AT$13:$BB$162,BO2776,0)+INDEX($BD$13:$BL$162,BP2776,0))/100))),0)</f>
        <v/>
      </c>
      <c r="BT2776">
        <f>IF(AND(2763&lt;$U$9,$W$5),BQ2776*1000000-MIN(BR2776,999)*1000+BS2776-2763/100000,-1000000000-2763)</f>
        <v/>
      </c>
    </row>
    <row r="2777">
      <c r="BN2777">
        <f>IF(2764&lt;$U$9,INT(2764/($U$7*$U$8))+1,1)</f>
        <v/>
      </c>
      <c r="BO2777">
        <f>IF(2764&lt;$U$9,MOD(INT(2764/$U$8),$U$7)+1,1)</f>
        <v/>
      </c>
      <c r="BP2777">
        <f>IF(2764&lt;$U$9,MOD(2764,$U$8)+1,1)</f>
        <v/>
      </c>
      <c r="BQ2777">
        <f>IF(2764&lt;$U$9,SUMPRODUCT(($D$10:$L$10&lt;&gt;"")*(($D$9:$L$9+INT(($S$12:$AA$12+INDEX($AJ$13:$AR$162,BN2777,0)+INDEX($AT$13:$BB$162,BO2777,0)+INDEX($BD$13:$BL$162,BP2777,0))/100))&gt;=$D$10:$L$10)),0)</f>
        <v/>
      </c>
      <c r="BR2777">
        <f>IF(2764&lt;$U$9,SUMPRODUCT(($D$10:$L$10&lt;&gt;"")*(($D$10:$L$10-($D$9:$L$9+INT(($S$12:$AA$12+INDEX($AJ$13:$AR$162,BN2777,0)+INDEX($AT$13:$BB$162,BO2777,0)+INDEX($BD$13:$BL$162,BP2777,0))/100)))&gt;0)*($D$10:$L$10-($D$9:$L$9+INT(($S$12:$AA$12+INDEX($AJ$13:$AR$162,BN2777,0)+INDEX($AT$13:$BB$162,BO2777,0)+INDEX($BD$13:$BL$162,BP2777,0))/100)))),0)</f>
        <v/>
      </c>
      <c r="BS2777">
        <f>IF(2764&lt;$U$9,SUMPRODUCT(($D$9:$L$9+INT(($S$12:$AA$12+INDEX($AJ$13:$AR$162,BN2777,0)+INDEX($AT$13:$BB$162,BO2777,0)+INDEX($BD$13:$BL$162,BP2777,0))/100))),0)</f>
        <v/>
      </c>
      <c r="BT2777">
        <f>IF(AND(2764&lt;$U$9,$W$5),BQ2777*1000000-MIN(BR2777,999)*1000+BS2777-2764/100000,-1000000000-2764)</f>
        <v/>
      </c>
    </row>
    <row r="2778">
      <c r="BN2778">
        <f>IF(2765&lt;$U$9,INT(2765/($U$7*$U$8))+1,1)</f>
        <v/>
      </c>
      <c r="BO2778">
        <f>IF(2765&lt;$U$9,MOD(INT(2765/$U$8),$U$7)+1,1)</f>
        <v/>
      </c>
      <c r="BP2778">
        <f>IF(2765&lt;$U$9,MOD(2765,$U$8)+1,1)</f>
        <v/>
      </c>
      <c r="BQ2778">
        <f>IF(2765&lt;$U$9,SUMPRODUCT(($D$10:$L$10&lt;&gt;"")*(($D$9:$L$9+INT(($S$12:$AA$12+INDEX($AJ$13:$AR$162,BN2778,0)+INDEX($AT$13:$BB$162,BO2778,0)+INDEX($BD$13:$BL$162,BP2778,0))/100))&gt;=$D$10:$L$10)),0)</f>
        <v/>
      </c>
      <c r="BR2778">
        <f>IF(2765&lt;$U$9,SUMPRODUCT(($D$10:$L$10&lt;&gt;"")*(($D$10:$L$10-($D$9:$L$9+INT(($S$12:$AA$12+INDEX($AJ$13:$AR$162,BN2778,0)+INDEX($AT$13:$BB$162,BO2778,0)+INDEX($BD$13:$BL$162,BP2778,0))/100)))&gt;0)*($D$10:$L$10-($D$9:$L$9+INT(($S$12:$AA$12+INDEX($AJ$13:$AR$162,BN2778,0)+INDEX($AT$13:$BB$162,BO2778,0)+INDEX($BD$13:$BL$162,BP2778,0))/100)))),0)</f>
        <v/>
      </c>
      <c r="BS2778">
        <f>IF(2765&lt;$U$9,SUMPRODUCT(($D$9:$L$9+INT(($S$12:$AA$12+INDEX($AJ$13:$AR$162,BN2778,0)+INDEX($AT$13:$BB$162,BO2778,0)+INDEX($BD$13:$BL$162,BP2778,0))/100))),0)</f>
        <v/>
      </c>
      <c r="BT2778">
        <f>IF(AND(2765&lt;$U$9,$W$5),BQ2778*1000000-MIN(BR2778,999)*1000+BS2778-2765/100000,-1000000000-2765)</f>
        <v/>
      </c>
    </row>
    <row r="2779">
      <c r="BN2779">
        <f>IF(2766&lt;$U$9,INT(2766/($U$7*$U$8))+1,1)</f>
        <v/>
      </c>
      <c r="BO2779">
        <f>IF(2766&lt;$U$9,MOD(INT(2766/$U$8),$U$7)+1,1)</f>
        <v/>
      </c>
      <c r="BP2779">
        <f>IF(2766&lt;$U$9,MOD(2766,$U$8)+1,1)</f>
        <v/>
      </c>
      <c r="BQ2779">
        <f>IF(2766&lt;$U$9,SUMPRODUCT(($D$10:$L$10&lt;&gt;"")*(($D$9:$L$9+INT(($S$12:$AA$12+INDEX($AJ$13:$AR$162,BN2779,0)+INDEX($AT$13:$BB$162,BO2779,0)+INDEX($BD$13:$BL$162,BP2779,0))/100))&gt;=$D$10:$L$10)),0)</f>
        <v/>
      </c>
      <c r="BR2779">
        <f>IF(2766&lt;$U$9,SUMPRODUCT(($D$10:$L$10&lt;&gt;"")*(($D$10:$L$10-($D$9:$L$9+INT(($S$12:$AA$12+INDEX($AJ$13:$AR$162,BN2779,0)+INDEX($AT$13:$BB$162,BO2779,0)+INDEX($BD$13:$BL$162,BP2779,0))/100)))&gt;0)*($D$10:$L$10-($D$9:$L$9+INT(($S$12:$AA$12+INDEX($AJ$13:$AR$162,BN2779,0)+INDEX($AT$13:$BB$162,BO2779,0)+INDEX($BD$13:$BL$162,BP2779,0))/100)))),0)</f>
        <v/>
      </c>
      <c r="BS2779">
        <f>IF(2766&lt;$U$9,SUMPRODUCT(($D$9:$L$9+INT(($S$12:$AA$12+INDEX($AJ$13:$AR$162,BN2779,0)+INDEX($AT$13:$BB$162,BO2779,0)+INDEX($BD$13:$BL$162,BP2779,0))/100))),0)</f>
        <v/>
      </c>
      <c r="BT2779">
        <f>IF(AND(2766&lt;$U$9,$W$5),BQ2779*1000000-MIN(BR2779,999)*1000+BS2779-2766/100000,-1000000000-2766)</f>
        <v/>
      </c>
    </row>
    <row r="2780">
      <c r="BN2780">
        <f>IF(2767&lt;$U$9,INT(2767/($U$7*$U$8))+1,1)</f>
        <v/>
      </c>
      <c r="BO2780">
        <f>IF(2767&lt;$U$9,MOD(INT(2767/$U$8),$U$7)+1,1)</f>
        <v/>
      </c>
      <c r="BP2780">
        <f>IF(2767&lt;$U$9,MOD(2767,$U$8)+1,1)</f>
        <v/>
      </c>
      <c r="BQ2780">
        <f>IF(2767&lt;$U$9,SUMPRODUCT(($D$10:$L$10&lt;&gt;"")*(($D$9:$L$9+INT(($S$12:$AA$12+INDEX($AJ$13:$AR$162,BN2780,0)+INDEX($AT$13:$BB$162,BO2780,0)+INDEX($BD$13:$BL$162,BP2780,0))/100))&gt;=$D$10:$L$10)),0)</f>
        <v/>
      </c>
      <c r="BR2780">
        <f>IF(2767&lt;$U$9,SUMPRODUCT(($D$10:$L$10&lt;&gt;"")*(($D$10:$L$10-($D$9:$L$9+INT(($S$12:$AA$12+INDEX($AJ$13:$AR$162,BN2780,0)+INDEX($AT$13:$BB$162,BO2780,0)+INDEX($BD$13:$BL$162,BP2780,0))/100)))&gt;0)*($D$10:$L$10-($D$9:$L$9+INT(($S$12:$AA$12+INDEX($AJ$13:$AR$162,BN2780,0)+INDEX($AT$13:$BB$162,BO2780,0)+INDEX($BD$13:$BL$162,BP2780,0))/100)))),0)</f>
        <v/>
      </c>
      <c r="BS2780">
        <f>IF(2767&lt;$U$9,SUMPRODUCT(($D$9:$L$9+INT(($S$12:$AA$12+INDEX($AJ$13:$AR$162,BN2780,0)+INDEX($AT$13:$BB$162,BO2780,0)+INDEX($BD$13:$BL$162,BP2780,0))/100))),0)</f>
        <v/>
      </c>
      <c r="BT2780">
        <f>IF(AND(2767&lt;$U$9,$W$5),BQ2780*1000000-MIN(BR2780,999)*1000+BS2780-2767/100000,-1000000000-2767)</f>
        <v/>
      </c>
    </row>
    <row r="2781">
      <c r="BN2781">
        <f>IF(2768&lt;$U$9,INT(2768/($U$7*$U$8))+1,1)</f>
        <v/>
      </c>
      <c r="BO2781">
        <f>IF(2768&lt;$U$9,MOD(INT(2768/$U$8),$U$7)+1,1)</f>
        <v/>
      </c>
      <c r="BP2781">
        <f>IF(2768&lt;$U$9,MOD(2768,$U$8)+1,1)</f>
        <v/>
      </c>
      <c r="BQ2781">
        <f>IF(2768&lt;$U$9,SUMPRODUCT(($D$10:$L$10&lt;&gt;"")*(($D$9:$L$9+INT(($S$12:$AA$12+INDEX($AJ$13:$AR$162,BN2781,0)+INDEX($AT$13:$BB$162,BO2781,0)+INDEX($BD$13:$BL$162,BP2781,0))/100))&gt;=$D$10:$L$10)),0)</f>
        <v/>
      </c>
      <c r="BR2781">
        <f>IF(2768&lt;$U$9,SUMPRODUCT(($D$10:$L$10&lt;&gt;"")*(($D$10:$L$10-($D$9:$L$9+INT(($S$12:$AA$12+INDEX($AJ$13:$AR$162,BN2781,0)+INDEX($AT$13:$BB$162,BO2781,0)+INDEX($BD$13:$BL$162,BP2781,0))/100)))&gt;0)*($D$10:$L$10-($D$9:$L$9+INT(($S$12:$AA$12+INDEX($AJ$13:$AR$162,BN2781,0)+INDEX($AT$13:$BB$162,BO2781,0)+INDEX($BD$13:$BL$162,BP2781,0))/100)))),0)</f>
        <v/>
      </c>
      <c r="BS2781">
        <f>IF(2768&lt;$U$9,SUMPRODUCT(($D$9:$L$9+INT(($S$12:$AA$12+INDEX($AJ$13:$AR$162,BN2781,0)+INDEX($AT$13:$BB$162,BO2781,0)+INDEX($BD$13:$BL$162,BP2781,0))/100))),0)</f>
        <v/>
      </c>
      <c r="BT2781">
        <f>IF(AND(2768&lt;$U$9,$W$5),BQ2781*1000000-MIN(BR2781,999)*1000+BS2781-2768/100000,-1000000000-2768)</f>
        <v/>
      </c>
    </row>
    <row r="2782">
      <c r="BN2782">
        <f>IF(2769&lt;$U$9,INT(2769/($U$7*$U$8))+1,1)</f>
        <v/>
      </c>
      <c r="BO2782">
        <f>IF(2769&lt;$U$9,MOD(INT(2769/$U$8),$U$7)+1,1)</f>
        <v/>
      </c>
      <c r="BP2782">
        <f>IF(2769&lt;$U$9,MOD(2769,$U$8)+1,1)</f>
        <v/>
      </c>
      <c r="BQ2782">
        <f>IF(2769&lt;$U$9,SUMPRODUCT(($D$10:$L$10&lt;&gt;"")*(($D$9:$L$9+INT(($S$12:$AA$12+INDEX($AJ$13:$AR$162,BN2782,0)+INDEX($AT$13:$BB$162,BO2782,0)+INDEX($BD$13:$BL$162,BP2782,0))/100))&gt;=$D$10:$L$10)),0)</f>
        <v/>
      </c>
      <c r="BR2782">
        <f>IF(2769&lt;$U$9,SUMPRODUCT(($D$10:$L$10&lt;&gt;"")*(($D$10:$L$10-($D$9:$L$9+INT(($S$12:$AA$12+INDEX($AJ$13:$AR$162,BN2782,0)+INDEX($AT$13:$BB$162,BO2782,0)+INDEX($BD$13:$BL$162,BP2782,0))/100)))&gt;0)*($D$10:$L$10-($D$9:$L$9+INT(($S$12:$AA$12+INDEX($AJ$13:$AR$162,BN2782,0)+INDEX($AT$13:$BB$162,BO2782,0)+INDEX($BD$13:$BL$162,BP2782,0))/100)))),0)</f>
        <v/>
      </c>
      <c r="BS2782">
        <f>IF(2769&lt;$U$9,SUMPRODUCT(($D$9:$L$9+INT(($S$12:$AA$12+INDEX($AJ$13:$AR$162,BN2782,0)+INDEX($AT$13:$BB$162,BO2782,0)+INDEX($BD$13:$BL$162,BP2782,0))/100))),0)</f>
        <v/>
      </c>
      <c r="BT2782">
        <f>IF(AND(2769&lt;$U$9,$W$5),BQ2782*1000000-MIN(BR2782,999)*1000+BS2782-2769/100000,-1000000000-2769)</f>
        <v/>
      </c>
    </row>
    <row r="2783">
      <c r="BN2783">
        <f>IF(2770&lt;$U$9,INT(2770/($U$7*$U$8))+1,1)</f>
        <v/>
      </c>
      <c r="BO2783">
        <f>IF(2770&lt;$U$9,MOD(INT(2770/$U$8),$U$7)+1,1)</f>
        <v/>
      </c>
      <c r="BP2783">
        <f>IF(2770&lt;$U$9,MOD(2770,$U$8)+1,1)</f>
        <v/>
      </c>
      <c r="BQ2783">
        <f>IF(2770&lt;$U$9,SUMPRODUCT(($D$10:$L$10&lt;&gt;"")*(($D$9:$L$9+INT(($S$12:$AA$12+INDEX($AJ$13:$AR$162,BN2783,0)+INDEX($AT$13:$BB$162,BO2783,0)+INDEX($BD$13:$BL$162,BP2783,0))/100))&gt;=$D$10:$L$10)),0)</f>
        <v/>
      </c>
      <c r="BR2783">
        <f>IF(2770&lt;$U$9,SUMPRODUCT(($D$10:$L$10&lt;&gt;"")*(($D$10:$L$10-($D$9:$L$9+INT(($S$12:$AA$12+INDEX($AJ$13:$AR$162,BN2783,0)+INDEX($AT$13:$BB$162,BO2783,0)+INDEX($BD$13:$BL$162,BP2783,0))/100)))&gt;0)*($D$10:$L$10-($D$9:$L$9+INT(($S$12:$AA$12+INDEX($AJ$13:$AR$162,BN2783,0)+INDEX($AT$13:$BB$162,BO2783,0)+INDEX($BD$13:$BL$162,BP2783,0))/100)))),0)</f>
        <v/>
      </c>
      <c r="BS2783">
        <f>IF(2770&lt;$U$9,SUMPRODUCT(($D$9:$L$9+INT(($S$12:$AA$12+INDEX($AJ$13:$AR$162,BN2783,0)+INDEX($AT$13:$BB$162,BO2783,0)+INDEX($BD$13:$BL$162,BP2783,0))/100))),0)</f>
        <v/>
      </c>
      <c r="BT2783">
        <f>IF(AND(2770&lt;$U$9,$W$5),BQ2783*1000000-MIN(BR2783,999)*1000+BS2783-2770/100000,-1000000000-2770)</f>
        <v/>
      </c>
    </row>
    <row r="2784">
      <c r="BN2784">
        <f>IF(2771&lt;$U$9,INT(2771/($U$7*$U$8))+1,1)</f>
        <v/>
      </c>
      <c r="BO2784">
        <f>IF(2771&lt;$U$9,MOD(INT(2771/$U$8),$U$7)+1,1)</f>
        <v/>
      </c>
      <c r="BP2784">
        <f>IF(2771&lt;$U$9,MOD(2771,$U$8)+1,1)</f>
        <v/>
      </c>
      <c r="BQ2784">
        <f>IF(2771&lt;$U$9,SUMPRODUCT(($D$10:$L$10&lt;&gt;"")*(($D$9:$L$9+INT(($S$12:$AA$12+INDEX($AJ$13:$AR$162,BN2784,0)+INDEX($AT$13:$BB$162,BO2784,0)+INDEX($BD$13:$BL$162,BP2784,0))/100))&gt;=$D$10:$L$10)),0)</f>
        <v/>
      </c>
      <c r="BR2784">
        <f>IF(2771&lt;$U$9,SUMPRODUCT(($D$10:$L$10&lt;&gt;"")*(($D$10:$L$10-($D$9:$L$9+INT(($S$12:$AA$12+INDEX($AJ$13:$AR$162,BN2784,0)+INDEX($AT$13:$BB$162,BO2784,0)+INDEX($BD$13:$BL$162,BP2784,0))/100)))&gt;0)*($D$10:$L$10-($D$9:$L$9+INT(($S$12:$AA$12+INDEX($AJ$13:$AR$162,BN2784,0)+INDEX($AT$13:$BB$162,BO2784,0)+INDEX($BD$13:$BL$162,BP2784,0))/100)))),0)</f>
        <v/>
      </c>
      <c r="BS2784">
        <f>IF(2771&lt;$U$9,SUMPRODUCT(($D$9:$L$9+INT(($S$12:$AA$12+INDEX($AJ$13:$AR$162,BN2784,0)+INDEX($AT$13:$BB$162,BO2784,0)+INDEX($BD$13:$BL$162,BP2784,0))/100))),0)</f>
        <v/>
      </c>
      <c r="BT2784">
        <f>IF(AND(2771&lt;$U$9,$W$5),BQ2784*1000000-MIN(BR2784,999)*1000+BS2784-2771/100000,-1000000000-2771)</f>
        <v/>
      </c>
    </row>
    <row r="2785">
      <c r="BN2785">
        <f>IF(2772&lt;$U$9,INT(2772/($U$7*$U$8))+1,1)</f>
        <v/>
      </c>
      <c r="BO2785">
        <f>IF(2772&lt;$U$9,MOD(INT(2772/$U$8),$U$7)+1,1)</f>
        <v/>
      </c>
      <c r="BP2785">
        <f>IF(2772&lt;$U$9,MOD(2772,$U$8)+1,1)</f>
        <v/>
      </c>
      <c r="BQ2785">
        <f>IF(2772&lt;$U$9,SUMPRODUCT(($D$10:$L$10&lt;&gt;"")*(($D$9:$L$9+INT(($S$12:$AA$12+INDEX($AJ$13:$AR$162,BN2785,0)+INDEX($AT$13:$BB$162,BO2785,0)+INDEX($BD$13:$BL$162,BP2785,0))/100))&gt;=$D$10:$L$10)),0)</f>
        <v/>
      </c>
      <c r="BR2785">
        <f>IF(2772&lt;$U$9,SUMPRODUCT(($D$10:$L$10&lt;&gt;"")*(($D$10:$L$10-($D$9:$L$9+INT(($S$12:$AA$12+INDEX($AJ$13:$AR$162,BN2785,0)+INDEX($AT$13:$BB$162,BO2785,0)+INDEX($BD$13:$BL$162,BP2785,0))/100)))&gt;0)*($D$10:$L$10-($D$9:$L$9+INT(($S$12:$AA$12+INDEX($AJ$13:$AR$162,BN2785,0)+INDEX($AT$13:$BB$162,BO2785,0)+INDEX($BD$13:$BL$162,BP2785,0))/100)))),0)</f>
        <v/>
      </c>
      <c r="BS2785">
        <f>IF(2772&lt;$U$9,SUMPRODUCT(($D$9:$L$9+INT(($S$12:$AA$12+INDEX($AJ$13:$AR$162,BN2785,0)+INDEX($AT$13:$BB$162,BO2785,0)+INDEX($BD$13:$BL$162,BP2785,0))/100))),0)</f>
        <v/>
      </c>
      <c r="BT2785">
        <f>IF(AND(2772&lt;$U$9,$W$5),BQ2785*1000000-MIN(BR2785,999)*1000+BS2785-2772/100000,-1000000000-2772)</f>
        <v/>
      </c>
    </row>
    <row r="2786">
      <c r="BN2786">
        <f>IF(2773&lt;$U$9,INT(2773/($U$7*$U$8))+1,1)</f>
        <v/>
      </c>
      <c r="BO2786">
        <f>IF(2773&lt;$U$9,MOD(INT(2773/$U$8),$U$7)+1,1)</f>
        <v/>
      </c>
      <c r="BP2786">
        <f>IF(2773&lt;$U$9,MOD(2773,$U$8)+1,1)</f>
        <v/>
      </c>
      <c r="BQ2786">
        <f>IF(2773&lt;$U$9,SUMPRODUCT(($D$10:$L$10&lt;&gt;"")*(($D$9:$L$9+INT(($S$12:$AA$12+INDEX($AJ$13:$AR$162,BN2786,0)+INDEX($AT$13:$BB$162,BO2786,0)+INDEX($BD$13:$BL$162,BP2786,0))/100))&gt;=$D$10:$L$10)),0)</f>
        <v/>
      </c>
      <c r="BR2786">
        <f>IF(2773&lt;$U$9,SUMPRODUCT(($D$10:$L$10&lt;&gt;"")*(($D$10:$L$10-($D$9:$L$9+INT(($S$12:$AA$12+INDEX($AJ$13:$AR$162,BN2786,0)+INDEX($AT$13:$BB$162,BO2786,0)+INDEX($BD$13:$BL$162,BP2786,0))/100)))&gt;0)*($D$10:$L$10-($D$9:$L$9+INT(($S$12:$AA$12+INDEX($AJ$13:$AR$162,BN2786,0)+INDEX($AT$13:$BB$162,BO2786,0)+INDEX($BD$13:$BL$162,BP2786,0))/100)))),0)</f>
        <v/>
      </c>
      <c r="BS2786">
        <f>IF(2773&lt;$U$9,SUMPRODUCT(($D$9:$L$9+INT(($S$12:$AA$12+INDEX($AJ$13:$AR$162,BN2786,0)+INDEX($AT$13:$BB$162,BO2786,0)+INDEX($BD$13:$BL$162,BP2786,0))/100))),0)</f>
        <v/>
      </c>
      <c r="BT2786">
        <f>IF(AND(2773&lt;$U$9,$W$5),BQ2786*1000000-MIN(BR2786,999)*1000+BS2786-2773/100000,-1000000000-2773)</f>
        <v/>
      </c>
    </row>
    <row r="2787">
      <c r="BN2787">
        <f>IF(2774&lt;$U$9,INT(2774/($U$7*$U$8))+1,1)</f>
        <v/>
      </c>
      <c r="BO2787">
        <f>IF(2774&lt;$U$9,MOD(INT(2774/$U$8),$U$7)+1,1)</f>
        <v/>
      </c>
      <c r="BP2787">
        <f>IF(2774&lt;$U$9,MOD(2774,$U$8)+1,1)</f>
        <v/>
      </c>
      <c r="BQ2787">
        <f>IF(2774&lt;$U$9,SUMPRODUCT(($D$10:$L$10&lt;&gt;"")*(($D$9:$L$9+INT(($S$12:$AA$12+INDEX($AJ$13:$AR$162,BN2787,0)+INDEX($AT$13:$BB$162,BO2787,0)+INDEX($BD$13:$BL$162,BP2787,0))/100))&gt;=$D$10:$L$10)),0)</f>
        <v/>
      </c>
      <c r="BR2787">
        <f>IF(2774&lt;$U$9,SUMPRODUCT(($D$10:$L$10&lt;&gt;"")*(($D$10:$L$10-($D$9:$L$9+INT(($S$12:$AA$12+INDEX($AJ$13:$AR$162,BN2787,0)+INDEX($AT$13:$BB$162,BO2787,0)+INDEX($BD$13:$BL$162,BP2787,0))/100)))&gt;0)*($D$10:$L$10-($D$9:$L$9+INT(($S$12:$AA$12+INDEX($AJ$13:$AR$162,BN2787,0)+INDEX($AT$13:$BB$162,BO2787,0)+INDEX($BD$13:$BL$162,BP2787,0))/100)))),0)</f>
        <v/>
      </c>
      <c r="BS2787">
        <f>IF(2774&lt;$U$9,SUMPRODUCT(($D$9:$L$9+INT(($S$12:$AA$12+INDEX($AJ$13:$AR$162,BN2787,0)+INDEX($AT$13:$BB$162,BO2787,0)+INDEX($BD$13:$BL$162,BP2787,0))/100))),0)</f>
        <v/>
      </c>
      <c r="BT2787">
        <f>IF(AND(2774&lt;$U$9,$W$5),BQ2787*1000000-MIN(BR2787,999)*1000+BS2787-2774/100000,-1000000000-2774)</f>
        <v/>
      </c>
    </row>
    <row r="2788">
      <c r="BN2788">
        <f>IF(2775&lt;$U$9,INT(2775/($U$7*$U$8))+1,1)</f>
        <v/>
      </c>
      <c r="BO2788">
        <f>IF(2775&lt;$U$9,MOD(INT(2775/$U$8),$U$7)+1,1)</f>
        <v/>
      </c>
      <c r="BP2788">
        <f>IF(2775&lt;$U$9,MOD(2775,$U$8)+1,1)</f>
        <v/>
      </c>
      <c r="BQ2788">
        <f>IF(2775&lt;$U$9,SUMPRODUCT(($D$10:$L$10&lt;&gt;"")*(($D$9:$L$9+INT(($S$12:$AA$12+INDEX($AJ$13:$AR$162,BN2788,0)+INDEX($AT$13:$BB$162,BO2788,0)+INDEX($BD$13:$BL$162,BP2788,0))/100))&gt;=$D$10:$L$10)),0)</f>
        <v/>
      </c>
      <c r="BR2788">
        <f>IF(2775&lt;$U$9,SUMPRODUCT(($D$10:$L$10&lt;&gt;"")*(($D$10:$L$10-($D$9:$L$9+INT(($S$12:$AA$12+INDEX($AJ$13:$AR$162,BN2788,0)+INDEX($AT$13:$BB$162,BO2788,0)+INDEX($BD$13:$BL$162,BP2788,0))/100)))&gt;0)*($D$10:$L$10-($D$9:$L$9+INT(($S$12:$AA$12+INDEX($AJ$13:$AR$162,BN2788,0)+INDEX($AT$13:$BB$162,BO2788,0)+INDEX($BD$13:$BL$162,BP2788,0))/100)))),0)</f>
        <v/>
      </c>
      <c r="BS2788">
        <f>IF(2775&lt;$U$9,SUMPRODUCT(($D$9:$L$9+INT(($S$12:$AA$12+INDEX($AJ$13:$AR$162,BN2788,0)+INDEX($AT$13:$BB$162,BO2788,0)+INDEX($BD$13:$BL$162,BP2788,0))/100))),0)</f>
        <v/>
      </c>
      <c r="BT2788">
        <f>IF(AND(2775&lt;$U$9,$W$5),BQ2788*1000000-MIN(BR2788,999)*1000+BS2788-2775/100000,-1000000000-2775)</f>
        <v/>
      </c>
    </row>
    <row r="2789">
      <c r="BN2789">
        <f>IF(2776&lt;$U$9,INT(2776/($U$7*$U$8))+1,1)</f>
        <v/>
      </c>
      <c r="BO2789">
        <f>IF(2776&lt;$U$9,MOD(INT(2776/$U$8),$U$7)+1,1)</f>
        <v/>
      </c>
      <c r="BP2789">
        <f>IF(2776&lt;$U$9,MOD(2776,$U$8)+1,1)</f>
        <v/>
      </c>
      <c r="BQ2789">
        <f>IF(2776&lt;$U$9,SUMPRODUCT(($D$10:$L$10&lt;&gt;"")*(($D$9:$L$9+INT(($S$12:$AA$12+INDEX($AJ$13:$AR$162,BN2789,0)+INDEX($AT$13:$BB$162,BO2789,0)+INDEX($BD$13:$BL$162,BP2789,0))/100))&gt;=$D$10:$L$10)),0)</f>
        <v/>
      </c>
      <c r="BR2789">
        <f>IF(2776&lt;$U$9,SUMPRODUCT(($D$10:$L$10&lt;&gt;"")*(($D$10:$L$10-($D$9:$L$9+INT(($S$12:$AA$12+INDEX($AJ$13:$AR$162,BN2789,0)+INDEX($AT$13:$BB$162,BO2789,0)+INDEX($BD$13:$BL$162,BP2789,0))/100)))&gt;0)*($D$10:$L$10-($D$9:$L$9+INT(($S$12:$AA$12+INDEX($AJ$13:$AR$162,BN2789,0)+INDEX($AT$13:$BB$162,BO2789,0)+INDEX($BD$13:$BL$162,BP2789,0))/100)))),0)</f>
        <v/>
      </c>
      <c r="BS2789">
        <f>IF(2776&lt;$U$9,SUMPRODUCT(($D$9:$L$9+INT(($S$12:$AA$12+INDEX($AJ$13:$AR$162,BN2789,0)+INDEX($AT$13:$BB$162,BO2789,0)+INDEX($BD$13:$BL$162,BP2789,0))/100))),0)</f>
        <v/>
      </c>
      <c r="BT2789">
        <f>IF(AND(2776&lt;$U$9,$W$5),BQ2789*1000000-MIN(BR2789,999)*1000+BS2789-2776/100000,-1000000000-2776)</f>
        <v/>
      </c>
    </row>
    <row r="2790">
      <c r="BN2790">
        <f>IF(2777&lt;$U$9,INT(2777/($U$7*$U$8))+1,1)</f>
        <v/>
      </c>
      <c r="BO2790">
        <f>IF(2777&lt;$U$9,MOD(INT(2777/$U$8),$U$7)+1,1)</f>
        <v/>
      </c>
      <c r="BP2790">
        <f>IF(2777&lt;$U$9,MOD(2777,$U$8)+1,1)</f>
        <v/>
      </c>
      <c r="BQ2790">
        <f>IF(2777&lt;$U$9,SUMPRODUCT(($D$10:$L$10&lt;&gt;"")*(($D$9:$L$9+INT(($S$12:$AA$12+INDEX($AJ$13:$AR$162,BN2790,0)+INDEX($AT$13:$BB$162,BO2790,0)+INDEX($BD$13:$BL$162,BP2790,0))/100))&gt;=$D$10:$L$10)),0)</f>
        <v/>
      </c>
      <c r="BR2790">
        <f>IF(2777&lt;$U$9,SUMPRODUCT(($D$10:$L$10&lt;&gt;"")*(($D$10:$L$10-($D$9:$L$9+INT(($S$12:$AA$12+INDEX($AJ$13:$AR$162,BN2790,0)+INDEX($AT$13:$BB$162,BO2790,0)+INDEX($BD$13:$BL$162,BP2790,0))/100)))&gt;0)*($D$10:$L$10-($D$9:$L$9+INT(($S$12:$AA$12+INDEX($AJ$13:$AR$162,BN2790,0)+INDEX($AT$13:$BB$162,BO2790,0)+INDEX($BD$13:$BL$162,BP2790,0))/100)))),0)</f>
        <v/>
      </c>
      <c r="BS2790">
        <f>IF(2777&lt;$U$9,SUMPRODUCT(($D$9:$L$9+INT(($S$12:$AA$12+INDEX($AJ$13:$AR$162,BN2790,0)+INDEX($AT$13:$BB$162,BO2790,0)+INDEX($BD$13:$BL$162,BP2790,0))/100))),0)</f>
        <v/>
      </c>
      <c r="BT2790">
        <f>IF(AND(2777&lt;$U$9,$W$5),BQ2790*1000000-MIN(BR2790,999)*1000+BS2790-2777/100000,-1000000000-2777)</f>
        <v/>
      </c>
    </row>
    <row r="2791">
      <c r="BN2791">
        <f>IF(2778&lt;$U$9,INT(2778/($U$7*$U$8))+1,1)</f>
        <v/>
      </c>
      <c r="BO2791">
        <f>IF(2778&lt;$U$9,MOD(INT(2778/$U$8),$U$7)+1,1)</f>
        <v/>
      </c>
      <c r="BP2791">
        <f>IF(2778&lt;$U$9,MOD(2778,$U$8)+1,1)</f>
        <v/>
      </c>
      <c r="BQ2791">
        <f>IF(2778&lt;$U$9,SUMPRODUCT(($D$10:$L$10&lt;&gt;"")*(($D$9:$L$9+INT(($S$12:$AA$12+INDEX($AJ$13:$AR$162,BN2791,0)+INDEX($AT$13:$BB$162,BO2791,0)+INDEX($BD$13:$BL$162,BP2791,0))/100))&gt;=$D$10:$L$10)),0)</f>
        <v/>
      </c>
      <c r="BR2791">
        <f>IF(2778&lt;$U$9,SUMPRODUCT(($D$10:$L$10&lt;&gt;"")*(($D$10:$L$10-($D$9:$L$9+INT(($S$12:$AA$12+INDEX($AJ$13:$AR$162,BN2791,0)+INDEX($AT$13:$BB$162,BO2791,0)+INDEX($BD$13:$BL$162,BP2791,0))/100)))&gt;0)*($D$10:$L$10-($D$9:$L$9+INT(($S$12:$AA$12+INDEX($AJ$13:$AR$162,BN2791,0)+INDEX($AT$13:$BB$162,BO2791,0)+INDEX($BD$13:$BL$162,BP2791,0))/100)))),0)</f>
        <v/>
      </c>
      <c r="BS2791">
        <f>IF(2778&lt;$U$9,SUMPRODUCT(($D$9:$L$9+INT(($S$12:$AA$12+INDEX($AJ$13:$AR$162,BN2791,0)+INDEX($AT$13:$BB$162,BO2791,0)+INDEX($BD$13:$BL$162,BP2791,0))/100))),0)</f>
        <v/>
      </c>
      <c r="BT2791">
        <f>IF(AND(2778&lt;$U$9,$W$5),BQ2791*1000000-MIN(BR2791,999)*1000+BS2791-2778/100000,-1000000000-2778)</f>
        <v/>
      </c>
    </row>
    <row r="2792">
      <c r="BN2792">
        <f>IF(2779&lt;$U$9,INT(2779/($U$7*$U$8))+1,1)</f>
        <v/>
      </c>
      <c r="BO2792">
        <f>IF(2779&lt;$U$9,MOD(INT(2779/$U$8),$U$7)+1,1)</f>
        <v/>
      </c>
      <c r="BP2792">
        <f>IF(2779&lt;$U$9,MOD(2779,$U$8)+1,1)</f>
        <v/>
      </c>
      <c r="BQ2792">
        <f>IF(2779&lt;$U$9,SUMPRODUCT(($D$10:$L$10&lt;&gt;"")*(($D$9:$L$9+INT(($S$12:$AA$12+INDEX($AJ$13:$AR$162,BN2792,0)+INDEX($AT$13:$BB$162,BO2792,0)+INDEX($BD$13:$BL$162,BP2792,0))/100))&gt;=$D$10:$L$10)),0)</f>
        <v/>
      </c>
      <c r="BR2792">
        <f>IF(2779&lt;$U$9,SUMPRODUCT(($D$10:$L$10&lt;&gt;"")*(($D$10:$L$10-($D$9:$L$9+INT(($S$12:$AA$12+INDEX($AJ$13:$AR$162,BN2792,0)+INDEX($AT$13:$BB$162,BO2792,0)+INDEX($BD$13:$BL$162,BP2792,0))/100)))&gt;0)*($D$10:$L$10-($D$9:$L$9+INT(($S$12:$AA$12+INDEX($AJ$13:$AR$162,BN2792,0)+INDEX($AT$13:$BB$162,BO2792,0)+INDEX($BD$13:$BL$162,BP2792,0))/100)))),0)</f>
        <v/>
      </c>
      <c r="BS2792">
        <f>IF(2779&lt;$U$9,SUMPRODUCT(($D$9:$L$9+INT(($S$12:$AA$12+INDEX($AJ$13:$AR$162,BN2792,0)+INDEX($AT$13:$BB$162,BO2792,0)+INDEX($BD$13:$BL$162,BP2792,0))/100))),0)</f>
        <v/>
      </c>
      <c r="BT2792">
        <f>IF(AND(2779&lt;$U$9,$W$5),BQ2792*1000000-MIN(BR2792,999)*1000+BS2792-2779/100000,-1000000000-2779)</f>
        <v/>
      </c>
    </row>
    <row r="2793">
      <c r="BN2793">
        <f>IF(2780&lt;$U$9,INT(2780/($U$7*$U$8))+1,1)</f>
        <v/>
      </c>
      <c r="BO2793">
        <f>IF(2780&lt;$U$9,MOD(INT(2780/$U$8),$U$7)+1,1)</f>
        <v/>
      </c>
      <c r="BP2793">
        <f>IF(2780&lt;$U$9,MOD(2780,$U$8)+1,1)</f>
        <v/>
      </c>
      <c r="BQ2793">
        <f>IF(2780&lt;$U$9,SUMPRODUCT(($D$10:$L$10&lt;&gt;"")*(($D$9:$L$9+INT(($S$12:$AA$12+INDEX($AJ$13:$AR$162,BN2793,0)+INDEX($AT$13:$BB$162,BO2793,0)+INDEX($BD$13:$BL$162,BP2793,0))/100))&gt;=$D$10:$L$10)),0)</f>
        <v/>
      </c>
      <c r="BR2793">
        <f>IF(2780&lt;$U$9,SUMPRODUCT(($D$10:$L$10&lt;&gt;"")*(($D$10:$L$10-($D$9:$L$9+INT(($S$12:$AA$12+INDEX($AJ$13:$AR$162,BN2793,0)+INDEX($AT$13:$BB$162,BO2793,0)+INDEX($BD$13:$BL$162,BP2793,0))/100)))&gt;0)*($D$10:$L$10-($D$9:$L$9+INT(($S$12:$AA$12+INDEX($AJ$13:$AR$162,BN2793,0)+INDEX($AT$13:$BB$162,BO2793,0)+INDEX($BD$13:$BL$162,BP2793,0))/100)))),0)</f>
        <v/>
      </c>
      <c r="BS2793">
        <f>IF(2780&lt;$U$9,SUMPRODUCT(($D$9:$L$9+INT(($S$12:$AA$12+INDEX($AJ$13:$AR$162,BN2793,0)+INDEX($AT$13:$BB$162,BO2793,0)+INDEX($BD$13:$BL$162,BP2793,0))/100))),0)</f>
        <v/>
      </c>
      <c r="BT2793">
        <f>IF(AND(2780&lt;$U$9,$W$5),BQ2793*1000000-MIN(BR2793,999)*1000+BS2793-2780/100000,-1000000000-2780)</f>
        <v/>
      </c>
    </row>
    <row r="2794">
      <c r="BN2794">
        <f>IF(2781&lt;$U$9,INT(2781/($U$7*$U$8))+1,1)</f>
        <v/>
      </c>
      <c r="BO2794">
        <f>IF(2781&lt;$U$9,MOD(INT(2781/$U$8),$U$7)+1,1)</f>
        <v/>
      </c>
      <c r="BP2794">
        <f>IF(2781&lt;$U$9,MOD(2781,$U$8)+1,1)</f>
        <v/>
      </c>
      <c r="BQ2794">
        <f>IF(2781&lt;$U$9,SUMPRODUCT(($D$10:$L$10&lt;&gt;"")*(($D$9:$L$9+INT(($S$12:$AA$12+INDEX($AJ$13:$AR$162,BN2794,0)+INDEX($AT$13:$BB$162,BO2794,0)+INDEX($BD$13:$BL$162,BP2794,0))/100))&gt;=$D$10:$L$10)),0)</f>
        <v/>
      </c>
      <c r="BR2794">
        <f>IF(2781&lt;$U$9,SUMPRODUCT(($D$10:$L$10&lt;&gt;"")*(($D$10:$L$10-($D$9:$L$9+INT(($S$12:$AA$12+INDEX($AJ$13:$AR$162,BN2794,0)+INDEX($AT$13:$BB$162,BO2794,0)+INDEX($BD$13:$BL$162,BP2794,0))/100)))&gt;0)*($D$10:$L$10-($D$9:$L$9+INT(($S$12:$AA$12+INDEX($AJ$13:$AR$162,BN2794,0)+INDEX($AT$13:$BB$162,BO2794,0)+INDEX($BD$13:$BL$162,BP2794,0))/100)))),0)</f>
        <v/>
      </c>
      <c r="BS2794">
        <f>IF(2781&lt;$U$9,SUMPRODUCT(($D$9:$L$9+INT(($S$12:$AA$12+INDEX($AJ$13:$AR$162,BN2794,0)+INDEX($AT$13:$BB$162,BO2794,0)+INDEX($BD$13:$BL$162,BP2794,0))/100))),0)</f>
        <v/>
      </c>
      <c r="BT2794">
        <f>IF(AND(2781&lt;$U$9,$W$5),BQ2794*1000000-MIN(BR2794,999)*1000+BS2794-2781/100000,-1000000000-2781)</f>
        <v/>
      </c>
    </row>
    <row r="2795">
      <c r="BN2795">
        <f>IF(2782&lt;$U$9,INT(2782/($U$7*$U$8))+1,1)</f>
        <v/>
      </c>
      <c r="BO2795">
        <f>IF(2782&lt;$U$9,MOD(INT(2782/$U$8),$U$7)+1,1)</f>
        <v/>
      </c>
      <c r="BP2795">
        <f>IF(2782&lt;$U$9,MOD(2782,$U$8)+1,1)</f>
        <v/>
      </c>
      <c r="BQ2795">
        <f>IF(2782&lt;$U$9,SUMPRODUCT(($D$10:$L$10&lt;&gt;"")*(($D$9:$L$9+INT(($S$12:$AA$12+INDEX($AJ$13:$AR$162,BN2795,0)+INDEX($AT$13:$BB$162,BO2795,0)+INDEX($BD$13:$BL$162,BP2795,0))/100))&gt;=$D$10:$L$10)),0)</f>
        <v/>
      </c>
      <c r="BR2795">
        <f>IF(2782&lt;$U$9,SUMPRODUCT(($D$10:$L$10&lt;&gt;"")*(($D$10:$L$10-($D$9:$L$9+INT(($S$12:$AA$12+INDEX($AJ$13:$AR$162,BN2795,0)+INDEX($AT$13:$BB$162,BO2795,0)+INDEX($BD$13:$BL$162,BP2795,0))/100)))&gt;0)*($D$10:$L$10-($D$9:$L$9+INT(($S$12:$AA$12+INDEX($AJ$13:$AR$162,BN2795,0)+INDEX($AT$13:$BB$162,BO2795,0)+INDEX($BD$13:$BL$162,BP2795,0))/100)))),0)</f>
        <v/>
      </c>
      <c r="BS2795">
        <f>IF(2782&lt;$U$9,SUMPRODUCT(($D$9:$L$9+INT(($S$12:$AA$12+INDEX($AJ$13:$AR$162,BN2795,0)+INDEX($AT$13:$BB$162,BO2795,0)+INDEX($BD$13:$BL$162,BP2795,0))/100))),0)</f>
        <v/>
      </c>
      <c r="BT2795">
        <f>IF(AND(2782&lt;$U$9,$W$5),BQ2795*1000000-MIN(BR2795,999)*1000+BS2795-2782/100000,-1000000000-2782)</f>
        <v/>
      </c>
    </row>
    <row r="2796">
      <c r="BN2796">
        <f>IF(2783&lt;$U$9,INT(2783/($U$7*$U$8))+1,1)</f>
        <v/>
      </c>
      <c r="BO2796">
        <f>IF(2783&lt;$U$9,MOD(INT(2783/$U$8),$U$7)+1,1)</f>
        <v/>
      </c>
      <c r="BP2796">
        <f>IF(2783&lt;$U$9,MOD(2783,$U$8)+1,1)</f>
        <v/>
      </c>
      <c r="BQ2796">
        <f>IF(2783&lt;$U$9,SUMPRODUCT(($D$10:$L$10&lt;&gt;"")*(($D$9:$L$9+INT(($S$12:$AA$12+INDEX($AJ$13:$AR$162,BN2796,0)+INDEX($AT$13:$BB$162,BO2796,0)+INDEX($BD$13:$BL$162,BP2796,0))/100))&gt;=$D$10:$L$10)),0)</f>
        <v/>
      </c>
      <c r="BR2796">
        <f>IF(2783&lt;$U$9,SUMPRODUCT(($D$10:$L$10&lt;&gt;"")*(($D$10:$L$10-($D$9:$L$9+INT(($S$12:$AA$12+INDEX($AJ$13:$AR$162,BN2796,0)+INDEX($AT$13:$BB$162,BO2796,0)+INDEX($BD$13:$BL$162,BP2796,0))/100)))&gt;0)*($D$10:$L$10-($D$9:$L$9+INT(($S$12:$AA$12+INDEX($AJ$13:$AR$162,BN2796,0)+INDEX($AT$13:$BB$162,BO2796,0)+INDEX($BD$13:$BL$162,BP2796,0))/100)))),0)</f>
        <v/>
      </c>
      <c r="BS2796">
        <f>IF(2783&lt;$U$9,SUMPRODUCT(($D$9:$L$9+INT(($S$12:$AA$12+INDEX($AJ$13:$AR$162,BN2796,0)+INDEX($AT$13:$BB$162,BO2796,0)+INDEX($BD$13:$BL$162,BP2796,0))/100))),0)</f>
        <v/>
      </c>
      <c r="BT2796">
        <f>IF(AND(2783&lt;$U$9,$W$5),BQ2796*1000000-MIN(BR2796,999)*1000+BS2796-2783/100000,-1000000000-2783)</f>
        <v/>
      </c>
    </row>
    <row r="2797">
      <c r="BN2797">
        <f>IF(2784&lt;$U$9,INT(2784/($U$7*$U$8))+1,1)</f>
        <v/>
      </c>
      <c r="BO2797">
        <f>IF(2784&lt;$U$9,MOD(INT(2784/$U$8),$U$7)+1,1)</f>
        <v/>
      </c>
      <c r="BP2797">
        <f>IF(2784&lt;$U$9,MOD(2784,$U$8)+1,1)</f>
        <v/>
      </c>
      <c r="BQ2797">
        <f>IF(2784&lt;$U$9,SUMPRODUCT(($D$10:$L$10&lt;&gt;"")*(($D$9:$L$9+INT(($S$12:$AA$12+INDEX($AJ$13:$AR$162,BN2797,0)+INDEX($AT$13:$BB$162,BO2797,0)+INDEX($BD$13:$BL$162,BP2797,0))/100))&gt;=$D$10:$L$10)),0)</f>
        <v/>
      </c>
      <c r="BR2797">
        <f>IF(2784&lt;$U$9,SUMPRODUCT(($D$10:$L$10&lt;&gt;"")*(($D$10:$L$10-($D$9:$L$9+INT(($S$12:$AA$12+INDEX($AJ$13:$AR$162,BN2797,0)+INDEX($AT$13:$BB$162,BO2797,0)+INDEX($BD$13:$BL$162,BP2797,0))/100)))&gt;0)*($D$10:$L$10-($D$9:$L$9+INT(($S$12:$AA$12+INDEX($AJ$13:$AR$162,BN2797,0)+INDEX($AT$13:$BB$162,BO2797,0)+INDEX($BD$13:$BL$162,BP2797,0))/100)))),0)</f>
        <v/>
      </c>
      <c r="BS2797">
        <f>IF(2784&lt;$U$9,SUMPRODUCT(($D$9:$L$9+INT(($S$12:$AA$12+INDEX($AJ$13:$AR$162,BN2797,0)+INDEX($AT$13:$BB$162,BO2797,0)+INDEX($BD$13:$BL$162,BP2797,0))/100))),0)</f>
        <v/>
      </c>
      <c r="BT2797">
        <f>IF(AND(2784&lt;$U$9,$W$5),BQ2797*1000000-MIN(BR2797,999)*1000+BS2797-2784/100000,-1000000000-2784)</f>
        <v/>
      </c>
    </row>
    <row r="2798">
      <c r="BN2798">
        <f>IF(2785&lt;$U$9,INT(2785/($U$7*$U$8))+1,1)</f>
        <v/>
      </c>
      <c r="BO2798">
        <f>IF(2785&lt;$U$9,MOD(INT(2785/$U$8),$U$7)+1,1)</f>
        <v/>
      </c>
      <c r="BP2798">
        <f>IF(2785&lt;$U$9,MOD(2785,$U$8)+1,1)</f>
        <v/>
      </c>
      <c r="BQ2798">
        <f>IF(2785&lt;$U$9,SUMPRODUCT(($D$10:$L$10&lt;&gt;"")*(($D$9:$L$9+INT(($S$12:$AA$12+INDEX($AJ$13:$AR$162,BN2798,0)+INDEX($AT$13:$BB$162,BO2798,0)+INDEX($BD$13:$BL$162,BP2798,0))/100))&gt;=$D$10:$L$10)),0)</f>
        <v/>
      </c>
      <c r="BR2798">
        <f>IF(2785&lt;$U$9,SUMPRODUCT(($D$10:$L$10&lt;&gt;"")*(($D$10:$L$10-($D$9:$L$9+INT(($S$12:$AA$12+INDEX($AJ$13:$AR$162,BN2798,0)+INDEX($AT$13:$BB$162,BO2798,0)+INDEX($BD$13:$BL$162,BP2798,0))/100)))&gt;0)*($D$10:$L$10-($D$9:$L$9+INT(($S$12:$AA$12+INDEX($AJ$13:$AR$162,BN2798,0)+INDEX($AT$13:$BB$162,BO2798,0)+INDEX($BD$13:$BL$162,BP2798,0))/100)))),0)</f>
        <v/>
      </c>
      <c r="BS2798">
        <f>IF(2785&lt;$U$9,SUMPRODUCT(($D$9:$L$9+INT(($S$12:$AA$12+INDEX($AJ$13:$AR$162,BN2798,0)+INDEX($AT$13:$BB$162,BO2798,0)+INDEX($BD$13:$BL$162,BP2798,0))/100))),0)</f>
        <v/>
      </c>
      <c r="BT2798">
        <f>IF(AND(2785&lt;$U$9,$W$5),BQ2798*1000000-MIN(BR2798,999)*1000+BS2798-2785/100000,-1000000000-2785)</f>
        <v/>
      </c>
    </row>
    <row r="2799">
      <c r="BN2799">
        <f>IF(2786&lt;$U$9,INT(2786/($U$7*$U$8))+1,1)</f>
        <v/>
      </c>
      <c r="BO2799">
        <f>IF(2786&lt;$U$9,MOD(INT(2786/$U$8),$U$7)+1,1)</f>
        <v/>
      </c>
      <c r="BP2799">
        <f>IF(2786&lt;$U$9,MOD(2786,$U$8)+1,1)</f>
        <v/>
      </c>
      <c r="BQ2799">
        <f>IF(2786&lt;$U$9,SUMPRODUCT(($D$10:$L$10&lt;&gt;"")*(($D$9:$L$9+INT(($S$12:$AA$12+INDEX($AJ$13:$AR$162,BN2799,0)+INDEX($AT$13:$BB$162,BO2799,0)+INDEX($BD$13:$BL$162,BP2799,0))/100))&gt;=$D$10:$L$10)),0)</f>
        <v/>
      </c>
      <c r="BR2799">
        <f>IF(2786&lt;$U$9,SUMPRODUCT(($D$10:$L$10&lt;&gt;"")*(($D$10:$L$10-($D$9:$L$9+INT(($S$12:$AA$12+INDEX($AJ$13:$AR$162,BN2799,0)+INDEX($AT$13:$BB$162,BO2799,0)+INDEX($BD$13:$BL$162,BP2799,0))/100)))&gt;0)*($D$10:$L$10-($D$9:$L$9+INT(($S$12:$AA$12+INDEX($AJ$13:$AR$162,BN2799,0)+INDEX($AT$13:$BB$162,BO2799,0)+INDEX($BD$13:$BL$162,BP2799,0))/100)))),0)</f>
        <v/>
      </c>
      <c r="BS2799">
        <f>IF(2786&lt;$U$9,SUMPRODUCT(($D$9:$L$9+INT(($S$12:$AA$12+INDEX($AJ$13:$AR$162,BN2799,0)+INDEX($AT$13:$BB$162,BO2799,0)+INDEX($BD$13:$BL$162,BP2799,0))/100))),0)</f>
        <v/>
      </c>
      <c r="BT2799">
        <f>IF(AND(2786&lt;$U$9,$W$5),BQ2799*1000000-MIN(BR2799,999)*1000+BS2799-2786/100000,-1000000000-2786)</f>
        <v/>
      </c>
    </row>
    <row r="2800">
      <c r="BN2800">
        <f>IF(2787&lt;$U$9,INT(2787/($U$7*$U$8))+1,1)</f>
        <v/>
      </c>
      <c r="BO2800">
        <f>IF(2787&lt;$U$9,MOD(INT(2787/$U$8),$U$7)+1,1)</f>
        <v/>
      </c>
      <c r="BP2800">
        <f>IF(2787&lt;$U$9,MOD(2787,$U$8)+1,1)</f>
        <v/>
      </c>
      <c r="BQ2800">
        <f>IF(2787&lt;$U$9,SUMPRODUCT(($D$10:$L$10&lt;&gt;"")*(($D$9:$L$9+INT(($S$12:$AA$12+INDEX($AJ$13:$AR$162,BN2800,0)+INDEX($AT$13:$BB$162,BO2800,0)+INDEX($BD$13:$BL$162,BP2800,0))/100))&gt;=$D$10:$L$10)),0)</f>
        <v/>
      </c>
      <c r="BR2800">
        <f>IF(2787&lt;$U$9,SUMPRODUCT(($D$10:$L$10&lt;&gt;"")*(($D$10:$L$10-($D$9:$L$9+INT(($S$12:$AA$12+INDEX($AJ$13:$AR$162,BN2800,0)+INDEX($AT$13:$BB$162,BO2800,0)+INDEX($BD$13:$BL$162,BP2800,0))/100)))&gt;0)*($D$10:$L$10-($D$9:$L$9+INT(($S$12:$AA$12+INDEX($AJ$13:$AR$162,BN2800,0)+INDEX($AT$13:$BB$162,BO2800,0)+INDEX($BD$13:$BL$162,BP2800,0))/100)))),0)</f>
        <v/>
      </c>
      <c r="BS2800">
        <f>IF(2787&lt;$U$9,SUMPRODUCT(($D$9:$L$9+INT(($S$12:$AA$12+INDEX($AJ$13:$AR$162,BN2800,0)+INDEX($AT$13:$BB$162,BO2800,0)+INDEX($BD$13:$BL$162,BP2800,0))/100))),0)</f>
        <v/>
      </c>
      <c r="BT2800">
        <f>IF(AND(2787&lt;$U$9,$W$5),BQ2800*1000000-MIN(BR2800,999)*1000+BS2800-2787/100000,-1000000000-2787)</f>
        <v/>
      </c>
    </row>
    <row r="2801">
      <c r="BN2801">
        <f>IF(2788&lt;$U$9,INT(2788/($U$7*$U$8))+1,1)</f>
        <v/>
      </c>
      <c r="BO2801">
        <f>IF(2788&lt;$U$9,MOD(INT(2788/$U$8),$U$7)+1,1)</f>
        <v/>
      </c>
      <c r="BP2801">
        <f>IF(2788&lt;$U$9,MOD(2788,$U$8)+1,1)</f>
        <v/>
      </c>
      <c r="BQ2801">
        <f>IF(2788&lt;$U$9,SUMPRODUCT(($D$10:$L$10&lt;&gt;"")*(($D$9:$L$9+INT(($S$12:$AA$12+INDEX($AJ$13:$AR$162,BN2801,0)+INDEX($AT$13:$BB$162,BO2801,0)+INDEX($BD$13:$BL$162,BP2801,0))/100))&gt;=$D$10:$L$10)),0)</f>
        <v/>
      </c>
      <c r="BR2801">
        <f>IF(2788&lt;$U$9,SUMPRODUCT(($D$10:$L$10&lt;&gt;"")*(($D$10:$L$10-($D$9:$L$9+INT(($S$12:$AA$12+INDEX($AJ$13:$AR$162,BN2801,0)+INDEX($AT$13:$BB$162,BO2801,0)+INDEX($BD$13:$BL$162,BP2801,0))/100)))&gt;0)*($D$10:$L$10-($D$9:$L$9+INT(($S$12:$AA$12+INDEX($AJ$13:$AR$162,BN2801,0)+INDEX($AT$13:$BB$162,BO2801,0)+INDEX($BD$13:$BL$162,BP2801,0))/100)))),0)</f>
        <v/>
      </c>
      <c r="BS2801">
        <f>IF(2788&lt;$U$9,SUMPRODUCT(($D$9:$L$9+INT(($S$12:$AA$12+INDEX($AJ$13:$AR$162,BN2801,0)+INDEX($AT$13:$BB$162,BO2801,0)+INDEX($BD$13:$BL$162,BP2801,0))/100))),0)</f>
        <v/>
      </c>
      <c r="BT2801">
        <f>IF(AND(2788&lt;$U$9,$W$5),BQ2801*1000000-MIN(BR2801,999)*1000+BS2801-2788/100000,-1000000000-2788)</f>
        <v/>
      </c>
    </row>
    <row r="2802">
      <c r="BN2802">
        <f>IF(2789&lt;$U$9,INT(2789/($U$7*$U$8))+1,1)</f>
        <v/>
      </c>
      <c r="BO2802">
        <f>IF(2789&lt;$U$9,MOD(INT(2789/$U$8),$U$7)+1,1)</f>
        <v/>
      </c>
      <c r="BP2802">
        <f>IF(2789&lt;$U$9,MOD(2789,$U$8)+1,1)</f>
        <v/>
      </c>
      <c r="BQ2802">
        <f>IF(2789&lt;$U$9,SUMPRODUCT(($D$10:$L$10&lt;&gt;"")*(($D$9:$L$9+INT(($S$12:$AA$12+INDEX($AJ$13:$AR$162,BN2802,0)+INDEX($AT$13:$BB$162,BO2802,0)+INDEX($BD$13:$BL$162,BP2802,0))/100))&gt;=$D$10:$L$10)),0)</f>
        <v/>
      </c>
      <c r="BR2802">
        <f>IF(2789&lt;$U$9,SUMPRODUCT(($D$10:$L$10&lt;&gt;"")*(($D$10:$L$10-($D$9:$L$9+INT(($S$12:$AA$12+INDEX($AJ$13:$AR$162,BN2802,0)+INDEX($AT$13:$BB$162,BO2802,0)+INDEX($BD$13:$BL$162,BP2802,0))/100)))&gt;0)*($D$10:$L$10-($D$9:$L$9+INT(($S$12:$AA$12+INDEX($AJ$13:$AR$162,BN2802,0)+INDEX($AT$13:$BB$162,BO2802,0)+INDEX($BD$13:$BL$162,BP2802,0))/100)))),0)</f>
        <v/>
      </c>
      <c r="BS2802">
        <f>IF(2789&lt;$U$9,SUMPRODUCT(($D$9:$L$9+INT(($S$12:$AA$12+INDEX($AJ$13:$AR$162,BN2802,0)+INDEX($AT$13:$BB$162,BO2802,0)+INDEX($BD$13:$BL$162,BP2802,0))/100))),0)</f>
        <v/>
      </c>
      <c r="BT2802">
        <f>IF(AND(2789&lt;$U$9,$W$5),BQ2802*1000000-MIN(BR2802,999)*1000+BS2802-2789/100000,-1000000000-2789)</f>
        <v/>
      </c>
    </row>
    <row r="2803">
      <c r="BN2803">
        <f>IF(2790&lt;$U$9,INT(2790/($U$7*$U$8))+1,1)</f>
        <v/>
      </c>
      <c r="BO2803">
        <f>IF(2790&lt;$U$9,MOD(INT(2790/$U$8),$U$7)+1,1)</f>
        <v/>
      </c>
      <c r="BP2803">
        <f>IF(2790&lt;$U$9,MOD(2790,$U$8)+1,1)</f>
        <v/>
      </c>
      <c r="BQ2803">
        <f>IF(2790&lt;$U$9,SUMPRODUCT(($D$10:$L$10&lt;&gt;"")*(($D$9:$L$9+INT(($S$12:$AA$12+INDEX($AJ$13:$AR$162,BN2803,0)+INDEX($AT$13:$BB$162,BO2803,0)+INDEX($BD$13:$BL$162,BP2803,0))/100))&gt;=$D$10:$L$10)),0)</f>
        <v/>
      </c>
      <c r="BR2803">
        <f>IF(2790&lt;$U$9,SUMPRODUCT(($D$10:$L$10&lt;&gt;"")*(($D$10:$L$10-($D$9:$L$9+INT(($S$12:$AA$12+INDEX($AJ$13:$AR$162,BN2803,0)+INDEX($AT$13:$BB$162,BO2803,0)+INDEX($BD$13:$BL$162,BP2803,0))/100)))&gt;0)*($D$10:$L$10-($D$9:$L$9+INT(($S$12:$AA$12+INDEX($AJ$13:$AR$162,BN2803,0)+INDEX($AT$13:$BB$162,BO2803,0)+INDEX($BD$13:$BL$162,BP2803,0))/100)))),0)</f>
        <v/>
      </c>
      <c r="BS2803">
        <f>IF(2790&lt;$U$9,SUMPRODUCT(($D$9:$L$9+INT(($S$12:$AA$12+INDEX($AJ$13:$AR$162,BN2803,0)+INDEX($AT$13:$BB$162,BO2803,0)+INDEX($BD$13:$BL$162,BP2803,0))/100))),0)</f>
        <v/>
      </c>
      <c r="BT2803">
        <f>IF(AND(2790&lt;$U$9,$W$5),BQ2803*1000000-MIN(BR2803,999)*1000+BS2803-2790/100000,-1000000000-2790)</f>
        <v/>
      </c>
    </row>
    <row r="2804">
      <c r="BN2804">
        <f>IF(2791&lt;$U$9,INT(2791/($U$7*$U$8))+1,1)</f>
        <v/>
      </c>
      <c r="BO2804">
        <f>IF(2791&lt;$U$9,MOD(INT(2791/$U$8),$U$7)+1,1)</f>
        <v/>
      </c>
      <c r="BP2804">
        <f>IF(2791&lt;$U$9,MOD(2791,$U$8)+1,1)</f>
        <v/>
      </c>
      <c r="BQ2804">
        <f>IF(2791&lt;$U$9,SUMPRODUCT(($D$10:$L$10&lt;&gt;"")*(($D$9:$L$9+INT(($S$12:$AA$12+INDEX($AJ$13:$AR$162,BN2804,0)+INDEX($AT$13:$BB$162,BO2804,0)+INDEX($BD$13:$BL$162,BP2804,0))/100))&gt;=$D$10:$L$10)),0)</f>
        <v/>
      </c>
      <c r="BR2804">
        <f>IF(2791&lt;$U$9,SUMPRODUCT(($D$10:$L$10&lt;&gt;"")*(($D$10:$L$10-($D$9:$L$9+INT(($S$12:$AA$12+INDEX($AJ$13:$AR$162,BN2804,0)+INDEX($AT$13:$BB$162,BO2804,0)+INDEX($BD$13:$BL$162,BP2804,0))/100)))&gt;0)*($D$10:$L$10-($D$9:$L$9+INT(($S$12:$AA$12+INDEX($AJ$13:$AR$162,BN2804,0)+INDEX($AT$13:$BB$162,BO2804,0)+INDEX($BD$13:$BL$162,BP2804,0))/100)))),0)</f>
        <v/>
      </c>
      <c r="BS2804">
        <f>IF(2791&lt;$U$9,SUMPRODUCT(($D$9:$L$9+INT(($S$12:$AA$12+INDEX($AJ$13:$AR$162,BN2804,0)+INDEX($AT$13:$BB$162,BO2804,0)+INDEX($BD$13:$BL$162,BP2804,0))/100))),0)</f>
        <v/>
      </c>
      <c r="BT2804">
        <f>IF(AND(2791&lt;$U$9,$W$5),BQ2804*1000000-MIN(BR2804,999)*1000+BS2804-2791/100000,-1000000000-2791)</f>
        <v/>
      </c>
    </row>
    <row r="2805">
      <c r="BN2805">
        <f>IF(2792&lt;$U$9,INT(2792/($U$7*$U$8))+1,1)</f>
        <v/>
      </c>
      <c r="BO2805">
        <f>IF(2792&lt;$U$9,MOD(INT(2792/$U$8),$U$7)+1,1)</f>
        <v/>
      </c>
      <c r="BP2805">
        <f>IF(2792&lt;$U$9,MOD(2792,$U$8)+1,1)</f>
        <v/>
      </c>
      <c r="BQ2805">
        <f>IF(2792&lt;$U$9,SUMPRODUCT(($D$10:$L$10&lt;&gt;"")*(($D$9:$L$9+INT(($S$12:$AA$12+INDEX($AJ$13:$AR$162,BN2805,0)+INDEX($AT$13:$BB$162,BO2805,0)+INDEX($BD$13:$BL$162,BP2805,0))/100))&gt;=$D$10:$L$10)),0)</f>
        <v/>
      </c>
      <c r="BR2805">
        <f>IF(2792&lt;$U$9,SUMPRODUCT(($D$10:$L$10&lt;&gt;"")*(($D$10:$L$10-($D$9:$L$9+INT(($S$12:$AA$12+INDEX($AJ$13:$AR$162,BN2805,0)+INDEX($AT$13:$BB$162,BO2805,0)+INDEX($BD$13:$BL$162,BP2805,0))/100)))&gt;0)*($D$10:$L$10-($D$9:$L$9+INT(($S$12:$AA$12+INDEX($AJ$13:$AR$162,BN2805,0)+INDEX($AT$13:$BB$162,BO2805,0)+INDEX($BD$13:$BL$162,BP2805,0))/100)))),0)</f>
        <v/>
      </c>
      <c r="BS2805">
        <f>IF(2792&lt;$U$9,SUMPRODUCT(($D$9:$L$9+INT(($S$12:$AA$12+INDEX($AJ$13:$AR$162,BN2805,0)+INDEX($AT$13:$BB$162,BO2805,0)+INDEX($BD$13:$BL$162,BP2805,0))/100))),0)</f>
        <v/>
      </c>
      <c r="BT2805">
        <f>IF(AND(2792&lt;$U$9,$W$5),BQ2805*1000000-MIN(BR2805,999)*1000+BS2805-2792/100000,-1000000000-2792)</f>
        <v/>
      </c>
    </row>
    <row r="2806">
      <c r="BN2806">
        <f>IF(2793&lt;$U$9,INT(2793/($U$7*$U$8))+1,1)</f>
        <v/>
      </c>
      <c r="BO2806">
        <f>IF(2793&lt;$U$9,MOD(INT(2793/$U$8),$U$7)+1,1)</f>
        <v/>
      </c>
      <c r="BP2806">
        <f>IF(2793&lt;$U$9,MOD(2793,$U$8)+1,1)</f>
        <v/>
      </c>
      <c r="BQ2806">
        <f>IF(2793&lt;$U$9,SUMPRODUCT(($D$10:$L$10&lt;&gt;"")*(($D$9:$L$9+INT(($S$12:$AA$12+INDEX($AJ$13:$AR$162,BN2806,0)+INDEX($AT$13:$BB$162,BO2806,0)+INDEX($BD$13:$BL$162,BP2806,0))/100))&gt;=$D$10:$L$10)),0)</f>
        <v/>
      </c>
      <c r="BR2806">
        <f>IF(2793&lt;$U$9,SUMPRODUCT(($D$10:$L$10&lt;&gt;"")*(($D$10:$L$10-($D$9:$L$9+INT(($S$12:$AA$12+INDEX($AJ$13:$AR$162,BN2806,0)+INDEX($AT$13:$BB$162,BO2806,0)+INDEX($BD$13:$BL$162,BP2806,0))/100)))&gt;0)*($D$10:$L$10-($D$9:$L$9+INT(($S$12:$AA$12+INDEX($AJ$13:$AR$162,BN2806,0)+INDEX($AT$13:$BB$162,BO2806,0)+INDEX($BD$13:$BL$162,BP2806,0))/100)))),0)</f>
        <v/>
      </c>
      <c r="BS2806">
        <f>IF(2793&lt;$U$9,SUMPRODUCT(($D$9:$L$9+INT(($S$12:$AA$12+INDEX($AJ$13:$AR$162,BN2806,0)+INDEX($AT$13:$BB$162,BO2806,0)+INDEX($BD$13:$BL$162,BP2806,0))/100))),0)</f>
        <v/>
      </c>
      <c r="BT2806">
        <f>IF(AND(2793&lt;$U$9,$W$5),BQ2806*1000000-MIN(BR2806,999)*1000+BS2806-2793/100000,-1000000000-2793)</f>
        <v/>
      </c>
    </row>
    <row r="2807">
      <c r="BN2807">
        <f>IF(2794&lt;$U$9,INT(2794/($U$7*$U$8))+1,1)</f>
        <v/>
      </c>
      <c r="BO2807">
        <f>IF(2794&lt;$U$9,MOD(INT(2794/$U$8),$U$7)+1,1)</f>
        <v/>
      </c>
      <c r="BP2807">
        <f>IF(2794&lt;$U$9,MOD(2794,$U$8)+1,1)</f>
        <v/>
      </c>
      <c r="BQ2807">
        <f>IF(2794&lt;$U$9,SUMPRODUCT(($D$10:$L$10&lt;&gt;"")*(($D$9:$L$9+INT(($S$12:$AA$12+INDEX($AJ$13:$AR$162,BN2807,0)+INDEX($AT$13:$BB$162,BO2807,0)+INDEX($BD$13:$BL$162,BP2807,0))/100))&gt;=$D$10:$L$10)),0)</f>
        <v/>
      </c>
      <c r="BR2807">
        <f>IF(2794&lt;$U$9,SUMPRODUCT(($D$10:$L$10&lt;&gt;"")*(($D$10:$L$10-($D$9:$L$9+INT(($S$12:$AA$12+INDEX($AJ$13:$AR$162,BN2807,0)+INDEX($AT$13:$BB$162,BO2807,0)+INDEX($BD$13:$BL$162,BP2807,0))/100)))&gt;0)*($D$10:$L$10-($D$9:$L$9+INT(($S$12:$AA$12+INDEX($AJ$13:$AR$162,BN2807,0)+INDEX($AT$13:$BB$162,BO2807,0)+INDEX($BD$13:$BL$162,BP2807,0))/100)))),0)</f>
        <v/>
      </c>
      <c r="BS2807">
        <f>IF(2794&lt;$U$9,SUMPRODUCT(($D$9:$L$9+INT(($S$12:$AA$12+INDEX($AJ$13:$AR$162,BN2807,0)+INDEX($AT$13:$BB$162,BO2807,0)+INDEX($BD$13:$BL$162,BP2807,0))/100))),0)</f>
        <v/>
      </c>
      <c r="BT2807">
        <f>IF(AND(2794&lt;$U$9,$W$5),BQ2807*1000000-MIN(BR2807,999)*1000+BS2807-2794/100000,-1000000000-2794)</f>
        <v/>
      </c>
    </row>
    <row r="2808">
      <c r="BN2808">
        <f>IF(2795&lt;$U$9,INT(2795/($U$7*$U$8))+1,1)</f>
        <v/>
      </c>
      <c r="BO2808">
        <f>IF(2795&lt;$U$9,MOD(INT(2795/$U$8),$U$7)+1,1)</f>
        <v/>
      </c>
      <c r="BP2808">
        <f>IF(2795&lt;$U$9,MOD(2795,$U$8)+1,1)</f>
        <v/>
      </c>
      <c r="BQ2808">
        <f>IF(2795&lt;$U$9,SUMPRODUCT(($D$10:$L$10&lt;&gt;"")*(($D$9:$L$9+INT(($S$12:$AA$12+INDEX($AJ$13:$AR$162,BN2808,0)+INDEX($AT$13:$BB$162,BO2808,0)+INDEX($BD$13:$BL$162,BP2808,0))/100))&gt;=$D$10:$L$10)),0)</f>
        <v/>
      </c>
      <c r="BR2808">
        <f>IF(2795&lt;$U$9,SUMPRODUCT(($D$10:$L$10&lt;&gt;"")*(($D$10:$L$10-($D$9:$L$9+INT(($S$12:$AA$12+INDEX($AJ$13:$AR$162,BN2808,0)+INDEX($AT$13:$BB$162,BO2808,0)+INDEX($BD$13:$BL$162,BP2808,0))/100)))&gt;0)*($D$10:$L$10-($D$9:$L$9+INT(($S$12:$AA$12+INDEX($AJ$13:$AR$162,BN2808,0)+INDEX($AT$13:$BB$162,BO2808,0)+INDEX($BD$13:$BL$162,BP2808,0))/100)))),0)</f>
        <v/>
      </c>
      <c r="BS2808">
        <f>IF(2795&lt;$U$9,SUMPRODUCT(($D$9:$L$9+INT(($S$12:$AA$12+INDEX($AJ$13:$AR$162,BN2808,0)+INDEX($AT$13:$BB$162,BO2808,0)+INDEX($BD$13:$BL$162,BP2808,0))/100))),0)</f>
        <v/>
      </c>
      <c r="BT2808">
        <f>IF(AND(2795&lt;$U$9,$W$5),BQ2808*1000000-MIN(BR2808,999)*1000+BS2808-2795/100000,-1000000000-2795)</f>
        <v/>
      </c>
    </row>
    <row r="2809">
      <c r="BN2809">
        <f>IF(2796&lt;$U$9,INT(2796/($U$7*$U$8))+1,1)</f>
        <v/>
      </c>
      <c r="BO2809">
        <f>IF(2796&lt;$U$9,MOD(INT(2796/$U$8),$U$7)+1,1)</f>
        <v/>
      </c>
      <c r="BP2809">
        <f>IF(2796&lt;$U$9,MOD(2796,$U$8)+1,1)</f>
        <v/>
      </c>
      <c r="BQ2809">
        <f>IF(2796&lt;$U$9,SUMPRODUCT(($D$10:$L$10&lt;&gt;"")*(($D$9:$L$9+INT(($S$12:$AA$12+INDEX($AJ$13:$AR$162,BN2809,0)+INDEX($AT$13:$BB$162,BO2809,0)+INDEX($BD$13:$BL$162,BP2809,0))/100))&gt;=$D$10:$L$10)),0)</f>
        <v/>
      </c>
      <c r="BR2809">
        <f>IF(2796&lt;$U$9,SUMPRODUCT(($D$10:$L$10&lt;&gt;"")*(($D$10:$L$10-($D$9:$L$9+INT(($S$12:$AA$12+INDEX($AJ$13:$AR$162,BN2809,0)+INDEX($AT$13:$BB$162,BO2809,0)+INDEX($BD$13:$BL$162,BP2809,0))/100)))&gt;0)*($D$10:$L$10-($D$9:$L$9+INT(($S$12:$AA$12+INDEX($AJ$13:$AR$162,BN2809,0)+INDEX($AT$13:$BB$162,BO2809,0)+INDEX($BD$13:$BL$162,BP2809,0))/100)))),0)</f>
        <v/>
      </c>
      <c r="BS2809">
        <f>IF(2796&lt;$U$9,SUMPRODUCT(($D$9:$L$9+INT(($S$12:$AA$12+INDEX($AJ$13:$AR$162,BN2809,0)+INDEX($AT$13:$BB$162,BO2809,0)+INDEX($BD$13:$BL$162,BP2809,0))/100))),0)</f>
        <v/>
      </c>
      <c r="BT2809">
        <f>IF(AND(2796&lt;$U$9,$W$5),BQ2809*1000000-MIN(BR2809,999)*1000+BS2809-2796/100000,-1000000000-2796)</f>
        <v/>
      </c>
    </row>
    <row r="2810">
      <c r="BN2810">
        <f>IF(2797&lt;$U$9,INT(2797/($U$7*$U$8))+1,1)</f>
        <v/>
      </c>
      <c r="BO2810">
        <f>IF(2797&lt;$U$9,MOD(INT(2797/$U$8),$U$7)+1,1)</f>
        <v/>
      </c>
      <c r="BP2810">
        <f>IF(2797&lt;$U$9,MOD(2797,$U$8)+1,1)</f>
        <v/>
      </c>
      <c r="BQ2810">
        <f>IF(2797&lt;$U$9,SUMPRODUCT(($D$10:$L$10&lt;&gt;"")*(($D$9:$L$9+INT(($S$12:$AA$12+INDEX($AJ$13:$AR$162,BN2810,0)+INDEX($AT$13:$BB$162,BO2810,0)+INDEX($BD$13:$BL$162,BP2810,0))/100))&gt;=$D$10:$L$10)),0)</f>
        <v/>
      </c>
      <c r="BR2810">
        <f>IF(2797&lt;$U$9,SUMPRODUCT(($D$10:$L$10&lt;&gt;"")*(($D$10:$L$10-($D$9:$L$9+INT(($S$12:$AA$12+INDEX($AJ$13:$AR$162,BN2810,0)+INDEX($AT$13:$BB$162,BO2810,0)+INDEX($BD$13:$BL$162,BP2810,0))/100)))&gt;0)*($D$10:$L$10-($D$9:$L$9+INT(($S$12:$AA$12+INDEX($AJ$13:$AR$162,BN2810,0)+INDEX($AT$13:$BB$162,BO2810,0)+INDEX($BD$13:$BL$162,BP2810,0))/100)))),0)</f>
        <v/>
      </c>
      <c r="BS2810">
        <f>IF(2797&lt;$U$9,SUMPRODUCT(($D$9:$L$9+INT(($S$12:$AA$12+INDEX($AJ$13:$AR$162,BN2810,0)+INDEX($AT$13:$BB$162,BO2810,0)+INDEX($BD$13:$BL$162,BP2810,0))/100))),0)</f>
        <v/>
      </c>
      <c r="BT2810">
        <f>IF(AND(2797&lt;$U$9,$W$5),BQ2810*1000000-MIN(BR2810,999)*1000+BS2810-2797/100000,-1000000000-2797)</f>
        <v/>
      </c>
    </row>
    <row r="2811">
      <c r="BN2811">
        <f>IF(2798&lt;$U$9,INT(2798/($U$7*$U$8))+1,1)</f>
        <v/>
      </c>
      <c r="BO2811">
        <f>IF(2798&lt;$U$9,MOD(INT(2798/$U$8),$U$7)+1,1)</f>
        <v/>
      </c>
      <c r="BP2811">
        <f>IF(2798&lt;$U$9,MOD(2798,$U$8)+1,1)</f>
        <v/>
      </c>
      <c r="BQ2811">
        <f>IF(2798&lt;$U$9,SUMPRODUCT(($D$10:$L$10&lt;&gt;"")*(($D$9:$L$9+INT(($S$12:$AA$12+INDEX($AJ$13:$AR$162,BN2811,0)+INDEX($AT$13:$BB$162,BO2811,0)+INDEX($BD$13:$BL$162,BP2811,0))/100))&gt;=$D$10:$L$10)),0)</f>
        <v/>
      </c>
      <c r="BR2811">
        <f>IF(2798&lt;$U$9,SUMPRODUCT(($D$10:$L$10&lt;&gt;"")*(($D$10:$L$10-($D$9:$L$9+INT(($S$12:$AA$12+INDEX($AJ$13:$AR$162,BN2811,0)+INDEX($AT$13:$BB$162,BO2811,0)+INDEX($BD$13:$BL$162,BP2811,0))/100)))&gt;0)*($D$10:$L$10-($D$9:$L$9+INT(($S$12:$AA$12+INDEX($AJ$13:$AR$162,BN2811,0)+INDEX($AT$13:$BB$162,BO2811,0)+INDEX($BD$13:$BL$162,BP2811,0))/100)))),0)</f>
        <v/>
      </c>
      <c r="BS2811">
        <f>IF(2798&lt;$U$9,SUMPRODUCT(($D$9:$L$9+INT(($S$12:$AA$12+INDEX($AJ$13:$AR$162,BN2811,0)+INDEX($AT$13:$BB$162,BO2811,0)+INDEX($BD$13:$BL$162,BP2811,0))/100))),0)</f>
        <v/>
      </c>
      <c r="BT2811">
        <f>IF(AND(2798&lt;$U$9,$W$5),BQ2811*1000000-MIN(BR2811,999)*1000+BS2811-2798/100000,-1000000000-2798)</f>
        <v/>
      </c>
    </row>
    <row r="2812">
      <c r="BN2812">
        <f>IF(2799&lt;$U$9,INT(2799/($U$7*$U$8))+1,1)</f>
        <v/>
      </c>
      <c r="BO2812">
        <f>IF(2799&lt;$U$9,MOD(INT(2799/$U$8),$U$7)+1,1)</f>
        <v/>
      </c>
      <c r="BP2812">
        <f>IF(2799&lt;$U$9,MOD(2799,$U$8)+1,1)</f>
        <v/>
      </c>
      <c r="BQ2812">
        <f>IF(2799&lt;$U$9,SUMPRODUCT(($D$10:$L$10&lt;&gt;"")*(($D$9:$L$9+INT(($S$12:$AA$12+INDEX($AJ$13:$AR$162,BN2812,0)+INDEX($AT$13:$BB$162,BO2812,0)+INDEX($BD$13:$BL$162,BP2812,0))/100))&gt;=$D$10:$L$10)),0)</f>
        <v/>
      </c>
      <c r="BR2812">
        <f>IF(2799&lt;$U$9,SUMPRODUCT(($D$10:$L$10&lt;&gt;"")*(($D$10:$L$10-($D$9:$L$9+INT(($S$12:$AA$12+INDEX($AJ$13:$AR$162,BN2812,0)+INDEX($AT$13:$BB$162,BO2812,0)+INDEX($BD$13:$BL$162,BP2812,0))/100)))&gt;0)*($D$10:$L$10-($D$9:$L$9+INT(($S$12:$AA$12+INDEX($AJ$13:$AR$162,BN2812,0)+INDEX($AT$13:$BB$162,BO2812,0)+INDEX($BD$13:$BL$162,BP2812,0))/100)))),0)</f>
        <v/>
      </c>
      <c r="BS2812">
        <f>IF(2799&lt;$U$9,SUMPRODUCT(($D$9:$L$9+INT(($S$12:$AA$12+INDEX($AJ$13:$AR$162,BN2812,0)+INDEX($AT$13:$BB$162,BO2812,0)+INDEX($BD$13:$BL$162,BP2812,0))/100))),0)</f>
        <v/>
      </c>
      <c r="BT2812">
        <f>IF(AND(2799&lt;$U$9,$W$5),BQ2812*1000000-MIN(BR2812,999)*1000+BS2812-2799/100000,-1000000000-2799)</f>
        <v/>
      </c>
    </row>
    <row r="2813">
      <c r="BN2813">
        <f>IF(2800&lt;$U$9,INT(2800/($U$7*$U$8))+1,1)</f>
        <v/>
      </c>
      <c r="BO2813">
        <f>IF(2800&lt;$U$9,MOD(INT(2800/$U$8),$U$7)+1,1)</f>
        <v/>
      </c>
      <c r="BP2813">
        <f>IF(2800&lt;$U$9,MOD(2800,$U$8)+1,1)</f>
        <v/>
      </c>
      <c r="BQ2813">
        <f>IF(2800&lt;$U$9,SUMPRODUCT(($D$10:$L$10&lt;&gt;"")*(($D$9:$L$9+INT(($S$12:$AA$12+INDEX($AJ$13:$AR$162,BN2813,0)+INDEX($AT$13:$BB$162,BO2813,0)+INDEX($BD$13:$BL$162,BP2813,0))/100))&gt;=$D$10:$L$10)),0)</f>
        <v/>
      </c>
      <c r="BR2813">
        <f>IF(2800&lt;$U$9,SUMPRODUCT(($D$10:$L$10&lt;&gt;"")*(($D$10:$L$10-($D$9:$L$9+INT(($S$12:$AA$12+INDEX($AJ$13:$AR$162,BN2813,0)+INDEX($AT$13:$BB$162,BO2813,0)+INDEX($BD$13:$BL$162,BP2813,0))/100)))&gt;0)*($D$10:$L$10-($D$9:$L$9+INT(($S$12:$AA$12+INDEX($AJ$13:$AR$162,BN2813,0)+INDEX($AT$13:$BB$162,BO2813,0)+INDEX($BD$13:$BL$162,BP2813,0))/100)))),0)</f>
        <v/>
      </c>
      <c r="BS2813">
        <f>IF(2800&lt;$U$9,SUMPRODUCT(($D$9:$L$9+INT(($S$12:$AA$12+INDEX($AJ$13:$AR$162,BN2813,0)+INDEX($AT$13:$BB$162,BO2813,0)+INDEX($BD$13:$BL$162,BP2813,0))/100))),0)</f>
        <v/>
      </c>
      <c r="BT2813">
        <f>IF(AND(2800&lt;$U$9,$W$5),BQ2813*1000000-MIN(BR2813,999)*1000+BS2813-2800/100000,-1000000000-2800)</f>
        <v/>
      </c>
    </row>
    <row r="2814">
      <c r="BN2814">
        <f>IF(2801&lt;$U$9,INT(2801/($U$7*$U$8))+1,1)</f>
        <v/>
      </c>
      <c r="BO2814">
        <f>IF(2801&lt;$U$9,MOD(INT(2801/$U$8),$U$7)+1,1)</f>
        <v/>
      </c>
      <c r="BP2814">
        <f>IF(2801&lt;$U$9,MOD(2801,$U$8)+1,1)</f>
        <v/>
      </c>
      <c r="BQ2814">
        <f>IF(2801&lt;$U$9,SUMPRODUCT(($D$10:$L$10&lt;&gt;"")*(($D$9:$L$9+INT(($S$12:$AA$12+INDEX($AJ$13:$AR$162,BN2814,0)+INDEX($AT$13:$BB$162,BO2814,0)+INDEX($BD$13:$BL$162,BP2814,0))/100))&gt;=$D$10:$L$10)),0)</f>
        <v/>
      </c>
      <c r="BR2814">
        <f>IF(2801&lt;$U$9,SUMPRODUCT(($D$10:$L$10&lt;&gt;"")*(($D$10:$L$10-($D$9:$L$9+INT(($S$12:$AA$12+INDEX($AJ$13:$AR$162,BN2814,0)+INDEX($AT$13:$BB$162,BO2814,0)+INDEX($BD$13:$BL$162,BP2814,0))/100)))&gt;0)*($D$10:$L$10-($D$9:$L$9+INT(($S$12:$AA$12+INDEX($AJ$13:$AR$162,BN2814,0)+INDEX($AT$13:$BB$162,BO2814,0)+INDEX($BD$13:$BL$162,BP2814,0))/100)))),0)</f>
        <v/>
      </c>
      <c r="BS2814">
        <f>IF(2801&lt;$U$9,SUMPRODUCT(($D$9:$L$9+INT(($S$12:$AA$12+INDEX($AJ$13:$AR$162,BN2814,0)+INDEX($AT$13:$BB$162,BO2814,0)+INDEX($BD$13:$BL$162,BP2814,0))/100))),0)</f>
        <v/>
      </c>
      <c r="BT2814">
        <f>IF(AND(2801&lt;$U$9,$W$5),BQ2814*1000000-MIN(BR2814,999)*1000+BS2814-2801/100000,-1000000000-2801)</f>
        <v/>
      </c>
    </row>
    <row r="2815">
      <c r="BN2815">
        <f>IF(2802&lt;$U$9,INT(2802/($U$7*$U$8))+1,1)</f>
        <v/>
      </c>
      <c r="BO2815">
        <f>IF(2802&lt;$U$9,MOD(INT(2802/$U$8),$U$7)+1,1)</f>
        <v/>
      </c>
      <c r="BP2815">
        <f>IF(2802&lt;$U$9,MOD(2802,$U$8)+1,1)</f>
        <v/>
      </c>
      <c r="BQ2815">
        <f>IF(2802&lt;$U$9,SUMPRODUCT(($D$10:$L$10&lt;&gt;"")*(($D$9:$L$9+INT(($S$12:$AA$12+INDEX($AJ$13:$AR$162,BN2815,0)+INDEX($AT$13:$BB$162,BO2815,0)+INDEX($BD$13:$BL$162,BP2815,0))/100))&gt;=$D$10:$L$10)),0)</f>
        <v/>
      </c>
      <c r="BR2815">
        <f>IF(2802&lt;$U$9,SUMPRODUCT(($D$10:$L$10&lt;&gt;"")*(($D$10:$L$10-($D$9:$L$9+INT(($S$12:$AA$12+INDEX($AJ$13:$AR$162,BN2815,0)+INDEX($AT$13:$BB$162,BO2815,0)+INDEX($BD$13:$BL$162,BP2815,0))/100)))&gt;0)*($D$10:$L$10-($D$9:$L$9+INT(($S$12:$AA$12+INDEX($AJ$13:$AR$162,BN2815,0)+INDEX($AT$13:$BB$162,BO2815,0)+INDEX($BD$13:$BL$162,BP2815,0))/100)))),0)</f>
        <v/>
      </c>
      <c r="BS2815">
        <f>IF(2802&lt;$U$9,SUMPRODUCT(($D$9:$L$9+INT(($S$12:$AA$12+INDEX($AJ$13:$AR$162,BN2815,0)+INDEX($AT$13:$BB$162,BO2815,0)+INDEX($BD$13:$BL$162,BP2815,0))/100))),0)</f>
        <v/>
      </c>
      <c r="BT2815">
        <f>IF(AND(2802&lt;$U$9,$W$5),BQ2815*1000000-MIN(BR2815,999)*1000+BS2815-2802/100000,-1000000000-2802)</f>
        <v/>
      </c>
    </row>
    <row r="2816">
      <c r="BN2816">
        <f>IF(2803&lt;$U$9,INT(2803/($U$7*$U$8))+1,1)</f>
        <v/>
      </c>
      <c r="BO2816">
        <f>IF(2803&lt;$U$9,MOD(INT(2803/$U$8),$U$7)+1,1)</f>
        <v/>
      </c>
      <c r="BP2816">
        <f>IF(2803&lt;$U$9,MOD(2803,$U$8)+1,1)</f>
        <v/>
      </c>
      <c r="BQ2816">
        <f>IF(2803&lt;$U$9,SUMPRODUCT(($D$10:$L$10&lt;&gt;"")*(($D$9:$L$9+INT(($S$12:$AA$12+INDEX($AJ$13:$AR$162,BN2816,0)+INDEX($AT$13:$BB$162,BO2816,0)+INDEX($BD$13:$BL$162,BP2816,0))/100))&gt;=$D$10:$L$10)),0)</f>
        <v/>
      </c>
      <c r="BR2816">
        <f>IF(2803&lt;$U$9,SUMPRODUCT(($D$10:$L$10&lt;&gt;"")*(($D$10:$L$10-($D$9:$L$9+INT(($S$12:$AA$12+INDEX($AJ$13:$AR$162,BN2816,0)+INDEX($AT$13:$BB$162,BO2816,0)+INDEX($BD$13:$BL$162,BP2816,0))/100)))&gt;0)*($D$10:$L$10-($D$9:$L$9+INT(($S$12:$AA$12+INDEX($AJ$13:$AR$162,BN2816,0)+INDEX($AT$13:$BB$162,BO2816,0)+INDEX($BD$13:$BL$162,BP2816,0))/100)))),0)</f>
        <v/>
      </c>
      <c r="BS2816">
        <f>IF(2803&lt;$U$9,SUMPRODUCT(($D$9:$L$9+INT(($S$12:$AA$12+INDEX($AJ$13:$AR$162,BN2816,0)+INDEX($AT$13:$BB$162,BO2816,0)+INDEX($BD$13:$BL$162,BP2816,0))/100))),0)</f>
        <v/>
      </c>
      <c r="BT2816">
        <f>IF(AND(2803&lt;$U$9,$W$5),BQ2816*1000000-MIN(BR2816,999)*1000+BS2816-2803/100000,-1000000000-2803)</f>
        <v/>
      </c>
    </row>
    <row r="2817">
      <c r="BN2817">
        <f>IF(2804&lt;$U$9,INT(2804/($U$7*$U$8))+1,1)</f>
        <v/>
      </c>
      <c r="BO2817">
        <f>IF(2804&lt;$U$9,MOD(INT(2804/$U$8),$U$7)+1,1)</f>
        <v/>
      </c>
      <c r="BP2817">
        <f>IF(2804&lt;$U$9,MOD(2804,$U$8)+1,1)</f>
        <v/>
      </c>
      <c r="BQ2817">
        <f>IF(2804&lt;$U$9,SUMPRODUCT(($D$10:$L$10&lt;&gt;"")*(($D$9:$L$9+INT(($S$12:$AA$12+INDEX($AJ$13:$AR$162,BN2817,0)+INDEX($AT$13:$BB$162,BO2817,0)+INDEX($BD$13:$BL$162,BP2817,0))/100))&gt;=$D$10:$L$10)),0)</f>
        <v/>
      </c>
      <c r="BR2817">
        <f>IF(2804&lt;$U$9,SUMPRODUCT(($D$10:$L$10&lt;&gt;"")*(($D$10:$L$10-($D$9:$L$9+INT(($S$12:$AA$12+INDEX($AJ$13:$AR$162,BN2817,0)+INDEX($AT$13:$BB$162,BO2817,0)+INDEX($BD$13:$BL$162,BP2817,0))/100)))&gt;0)*($D$10:$L$10-($D$9:$L$9+INT(($S$12:$AA$12+INDEX($AJ$13:$AR$162,BN2817,0)+INDEX($AT$13:$BB$162,BO2817,0)+INDEX($BD$13:$BL$162,BP2817,0))/100)))),0)</f>
        <v/>
      </c>
      <c r="BS2817">
        <f>IF(2804&lt;$U$9,SUMPRODUCT(($D$9:$L$9+INT(($S$12:$AA$12+INDEX($AJ$13:$AR$162,BN2817,0)+INDEX($AT$13:$BB$162,BO2817,0)+INDEX($BD$13:$BL$162,BP2817,0))/100))),0)</f>
        <v/>
      </c>
      <c r="BT2817">
        <f>IF(AND(2804&lt;$U$9,$W$5),BQ2817*1000000-MIN(BR2817,999)*1000+BS2817-2804/100000,-1000000000-2804)</f>
        <v/>
      </c>
    </row>
    <row r="2818">
      <c r="BN2818">
        <f>IF(2805&lt;$U$9,INT(2805/($U$7*$U$8))+1,1)</f>
        <v/>
      </c>
      <c r="BO2818">
        <f>IF(2805&lt;$U$9,MOD(INT(2805/$U$8),$U$7)+1,1)</f>
        <v/>
      </c>
      <c r="BP2818">
        <f>IF(2805&lt;$U$9,MOD(2805,$U$8)+1,1)</f>
        <v/>
      </c>
      <c r="BQ2818">
        <f>IF(2805&lt;$U$9,SUMPRODUCT(($D$10:$L$10&lt;&gt;"")*(($D$9:$L$9+INT(($S$12:$AA$12+INDEX($AJ$13:$AR$162,BN2818,0)+INDEX($AT$13:$BB$162,BO2818,0)+INDEX($BD$13:$BL$162,BP2818,0))/100))&gt;=$D$10:$L$10)),0)</f>
        <v/>
      </c>
      <c r="BR2818">
        <f>IF(2805&lt;$U$9,SUMPRODUCT(($D$10:$L$10&lt;&gt;"")*(($D$10:$L$10-($D$9:$L$9+INT(($S$12:$AA$12+INDEX($AJ$13:$AR$162,BN2818,0)+INDEX($AT$13:$BB$162,BO2818,0)+INDEX($BD$13:$BL$162,BP2818,0))/100)))&gt;0)*($D$10:$L$10-($D$9:$L$9+INT(($S$12:$AA$12+INDEX($AJ$13:$AR$162,BN2818,0)+INDEX($AT$13:$BB$162,BO2818,0)+INDEX($BD$13:$BL$162,BP2818,0))/100)))),0)</f>
        <v/>
      </c>
      <c r="BS2818">
        <f>IF(2805&lt;$U$9,SUMPRODUCT(($D$9:$L$9+INT(($S$12:$AA$12+INDEX($AJ$13:$AR$162,BN2818,0)+INDEX($AT$13:$BB$162,BO2818,0)+INDEX($BD$13:$BL$162,BP2818,0))/100))),0)</f>
        <v/>
      </c>
      <c r="BT2818">
        <f>IF(AND(2805&lt;$U$9,$W$5),BQ2818*1000000-MIN(BR2818,999)*1000+BS2818-2805/100000,-1000000000-2805)</f>
        <v/>
      </c>
    </row>
    <row r="2819">
      <c r="BN2819">
        <f>IF(2806&lt;$U$9,INT(2806/($U$7*$U$8))+1,1)</f>
        <v/>
      </c>
      <c r="BO2819">
        <f>IF(2806&lt;$U$9,MOD(INT(2806/$U$8),$U$7)+1,1)</f>
        <v/>
      </c>
      <c r="BP2819">
        <f>IF(2806&lt;$U$9,MOD(2806,$U$8)+1,1)</f>
        <v/>
      </c>
      <c r="BQ2819">
        <f>IF(2806&lt;$U$9,SUMPRODUCT(($D$10:$L$10&lt;&gt;"")*(($D$9:$L$9+INT(($S$12:$AA$12+INDEX($AJ$13:$AR$162,BN2819,0)+INDEX($AT$13:$BB$162,BO2819,0)+INDEX($BD$13:$BL$162,BP2819,0))/100))&gt;=$D$10:$L$10)),0)</f>
        <v/>
      </c>
      <c r="BR2819">
        <f>IF(2806&lt;$U$9,SUMPRODUCT(($D$10:$L$10&lt;&gt;"")*(($D$10:$L$10-($D$9:$L$9+INT(($S$12:$AA$12+INDEX($AJ$13:$AR$162,BN2819,0)+INDEX($AT$13:$BB$162,BO2819,0)+INDEX($BD$13:$BL$162,BP2819,0))/100)))&gt;0)*($D$10:$L$10-($D$9:$L$9+INT(($S$12:$AA$12+INDEX($AJ$13:$AR$162,BN2819,0)+INDEX($AT$13:$BB$162,BO2819,0)+INDEX($BD$13:$BL$162,BP2819,0))/100)))),0)</f>
        <v/>
      </c>
      <c r="BS2819">
        <f>IF(2806&lt;$U$9,SUMPRODUCT(($D$9:$L$9+INT(($S$12:$AA$12+INDEX($AJ$13:$AR$162,BN2819,0)+INDEX($AT$13:$BB$162,BO2819,0)+INDEX($BD$13:$BL$162,BP2819,0))/100))),0)</f>
        <v/>
      </c>
      <c r="BT2819">
        <f>IF(AND(2806&lt;$U$9,$W$5),BQ2819*1000000-MIN(BR2819,999)*1000+BS2819-2806/100000,-1000000000-2806)</f>
        <v/>
      </c>
    </row>
    <row r="2820">
      <c r="BN2820">
        <f>IF(2807&lt;$U$9,INT(2807/($U$7*$U$8))+1,1)</f>
        <v/>
      </c>
      <c r="BO2820">
        <f>IF(2807&lt;$U$9,MOD(INT(2807/$U$8),$U$7)+1,1)</f>
        <v/>
      </c>
      <c r="BP2820">
        <f>IF(2807&lt;$U$9,MOD(2807,$U$8)+1,1)</f>
        <v/>
      </c>
      <c r="BQ2820">
        <f>IF(2807&lt;$U$9,SUMPRODUCT(($D$10:$L$10&lt;&gt;"")*(($D$9:$L$9+INT(($S$12:$AA$12+INDEX($AJ$13:$AR$162,BN2820,0)+INDEX($AT$13:$BB$162,BO2820,0)+INDEX($BD$13:$BL$162,BP2820,0))/100))&gt;=$D$10:$L$10)),0)</f>
        <v/>
      </c>
      <c r="BR2820">
        <f>IF(2807&lt;$U$9,SUMPRODUCT(($D$10:$L$10&lt;&gt;"")*(($D$10:$L$10-($D$9:$L$9+INT(($S$12:$AA$12+INDEX($AJ$13:$AR$162,BN2820,0)+INDEX($AT$13:$BB$162,BO2820,0)+INDEX($BD$13:$BL$162,BP2820,0))/100)))&gt;0)*($D$10:$L$10-($D$9:$L$9+INT(($S$12:$AA$12+INDEX($AJ$13:$AR$162,BN2820,0)+INDEX($AT$13:$BB$162,BO2820,0)+INDEX($BD$13:$BL$162,BP2820,0))/100)))),0)</f>
        <v/>
      </c>
      <c r="BS2820">
        <f>IF(2807&lt;$U$9,SUMPRODUCT(($D$9:$L$9+INT(($S$12:$AA$12+INDEX($AJ$13:$AR$162,BN2820,0)+INDEX($AT$13:$BB$162,BO2820,0)+INDEX($BD$13:$BL$162,BP2820,0))/100))),0)</f>
        <v/>
      </c>
      <c r="BT2820">
        <f>IF(AND(2807&lt;$U$9,$W$5),BQ2820*1000000-MIN(BR2820,999)*1000+BS2820-2807/100000,-1000000000-2807)</f>
        <v/>
      </c>
    </row>
    <row r="2821">
      <c r="BN2821">
        <f>IF(2808&lt;$U$9,INT(2808/($U$7*$U$8))+1,1)</f>
        <v/>
      </c>
      <c r="BO2821">
        <f>IF(2808&lt;$U$9,MOD(INT(2808/$U$8),$U$7)+1,1)</f>
        <v/>
      </c>
      <c r="BP2821">
        <f>IF(2808&lt;$U$9,MOD(2808,$U$8)+1,1)</f>
        <v/>
      </c>
      <c r="BQ2821">
        <f>IF(2808&lt;$U$9,SUMPRODUCT(($D$10:$L$10&lt;&gt;"")*(($D$9:$L$9+INT(($S$12:$AA$12+INDEX($AJ$13:$AR$162,BN2821,0)+INDEX($AT$13:$BB$162,BO2821,0)+INDEX($BD$13:$BL$162,BP2821,0))/100))&gt;=$D$10:$L$10)),0)</f>
        <v/>
      </c>
      <c r="BR2821">
        <f>IF(2808&lt;$U$9,SUMPRODUCT(($D$10:$L$10&lt;&gt;"")*(($D$10:$L$10-($D$9:$L$9+INT(($S$12:$AA$12+INDEX($AJ$13:$AR$162,BN2821,0)+INDEX($AT$13:$BB$162,BO2821,0)+INDEX($BD$13:$BL$162,BP2821,0))/100)))&gt;0)*($D$10:$L$10-($D$9:$L$9+INT(($S$12:$AA$12+INDEX($AJ$13:$AR$162,BN2821,0)+INDEX($AT$13:$BB$162,BO2821,0)+INDEX($BD$13:$BL$162,BP2821,0))/100)))),0)</f>
        <v/>
      </c>
      <c r="BS2821">
        <f>IF(2808&lt;$U$9,SUMPRODUCT(($D$9:$L$9+INT(($S$12:$AA$12+INDEX($AJ$13:$AR$162,BN2821,0)+INDEX($AT$13:$BB$162,BO2821,0)+INDEX($BD$13:$BL$162,BP2821,0))/100))),0)</f>
        <v/>
      </c>
      <c r="BT2821">
        <f>IF(AND(2808&lt;$U$9,$W$5),BQ2821*1000000-MIN(BR2821,999)*1000+BS2821-2808/100000,-1000000000-2808)</f>
        <v/>
      </c>
    </row>
    <row r="2822">
      <c r="BN2822">
        <f>IF(2809&lt;$U$9,INT(2809/($U$7*$U$8))+1,1)</f>
        <v/>
      </c>
      <c r="BO2822">
        <f>IF(2809&lt;$U$9,MOD(INT(2809/$U$8),$U$7)+1,1)</f>
        <v/>
      </c>
      <c r="BP2822">
        <f>IF(2809&lt;$U$9,MOD(2809,$U$8)+1,1)</f>
        <v/>
      </c>
      <c r="BQ2822">
        <f>IF(2809&lt;$U$9,SUMPRODUCT(($D$10:$L$10&lt;&gt;"")*(($D$9:$L$9+INT(($S$12:$AA$12+INDEX($AJ$13:$AR$162,BN2822,0)+INDEX($AT$13:$BB$162,BO2822,0)+INDEX($BD$13:$BL$162,BP2822,0))/100))&gt;=$D$10:$L$10)),0)</f>
        <v/>
      </c>
      <c r="BR2822">
        <f>IF(2809&lt;$U$9,SUMPRODUCT(($D$10:$L$10&lt;&gt;"")*(($D$10:$L$10-($D$9:$L$9+INT(($S$12:$AA$12+INDEX($AJ$13:$AR$162,BN2822,0)+INDEX($AT$13:$BB$162,BO2822,0)+INDEX($BD$13:$BL$162,BP2822,0))/100)))&gt;0)*($D$10:$L$10-($D$9:$L$9+INT(($S$12:$AA$12+INDEX($AJ$13:$AR$162,BN2822,0)+INDEX($AT$13:$BB$162,BO2822,0)+INDEX($BD$13:$BL$162,BP2822,0))/100)))),0)</f>
        <v/>
      </c>
      <c r="BS2822">
        <f>IF(2809&lt;$U$9,SUMPRODUCT(($D$9:$L$9+INT(($S$12:$AA$12+INDEX($AJ$13:$AR$162,BN2822,0)+INDEX($AT$13:$BB$162,BO2822,0)+INDEX($BD$13:$BL$162,BP2822,0))/100))),0)</f>
        <v/>
      </c>
      <c r="BT2822">
        <f>IF(AND(2809&lt;$U$9,$W$5),BQ2822*1000000-MIN(BR2822,999)*1000+BS2822-2809/100000,-1000000000-2809)</f>
        <v/>
      </c>
    </row>
    <row r="2823">
      <c r="BN2823">
        <f>IF(2810&lt;$U$9,INT(2810/($U$7*$U$8))+1,1)</f>
        <v/>
      </c>
      <c r="BO2823">
        <f>IF(2810&lt;$U$9,MOD(INT(2810/$U$8),$U$7)+1,1)</f>
        <v/>
      </c>
      <c r="BP2823">
        <f>IF(2810&lt;$U$9,MOD(2810,$U$8)+1,1)</f>
        <v/>
      </c>
      <c r="BQ2823">
        <f>IF(2810&lt;$U$9,SUMPRODUCT(($D$10:$L$10&lt;&gt;"")*(($D$9:$L$9+INT(($S$12:$AA$12+INDEX($AJ$13:$AR$162,BN2823,0)+INDEX($AT$13:$BB$162,BO2823,0)+INDEX($BD$13:$BL$162,BP2823,0))/100))&gt;=$D$10:$L$10)),0)</f>
        <v/>
      </c>
      <c r="BR2823">
        <f>IF(2810&lt;$U$9,SUMPRODUCT(($D$10:$L$10&lt;&gt;"")*(($D$10:$L$10-($D$9:$L$9+INT(($S$12:$AA$12+INDEX($AJ$13:$AR$162,BN2823,0)+INDEX($AT$13:$BB$162,BO2823,0)+INDEX($BD$13:$BL$162,BP2823,0))/100)))&gt;0)*($D$10:$L$10-($D$9:$L$9+INT(($S$12:$AA$12+INDEX($AJ$13:$AR$162,BN2823,0)+INDEX($AT$13:$BB$162,BO2823,0)+INDEX($BD$13:$BL$162,BP2823,0))/100)))),0)</f>
        <v/>
      </c>
      <c r="BS2823">
        <f>IF(2810&lt;$U$9,SUMPRODUCT(($D$9:$L$9+INT(($S$12:$AA$12+INDEX($AJ$13:$AR$162,BN2823,0)+INDEX($AT$13:$BB$162,BO2823,0)+INDEX($BD$13:$BL$162,BP2823,0))/100))),0)</f>
        <v/>
      </c>
      <c r="BT2823">
        <f>IF(AND(2810&lt;$U$9,$W$5),BQ2823*1000000-MIN(BR2823,999)*1000+BS2823-2810/100000,-1000000000-2810)</f>
        <v/>
      </c>
    </row>
    <row r="2824">
      <c r="BN2824">
        <f>IF(2811&lt;$U$9,INT(2811/($U$7*$U$8))+1,1)</f>
        <v/>
      </c>
      <c r="BO2824">
        <f>IF(2811&lt;$U$9,MOD(INT(2811/$U$8),$U$7)+1,1)</f>
        <v/>
      </c>
      <c r="BP2824">
        <f>IF(2811&lt;$U$9,MOD(2811,$U$8)+1,1)</f>
        <v/>
      </c>
      <c r="BQ2824">
        <f>IF(2811&lt;$U$9,SUMPRODUCT(($D$10:$L$10&lt;&gt;"")*(($D$9:$L$9+INT(($S$12:$AA$12+INDEX($AJ$13:$AR$162,BN2824,0)+INDEX($AT$13:$BB$162,BO2824,0)+INDEX($BD$13:$BL$162,BP2824,0))/100))&gt;=$D$10:$L$10)),0)</f>
        <v/>
      </c>
      <c r="BR2824">
        <f>IF(2811&lt;$U$9,SUMPRODUCT(($D$10:$L$10&lt;&gt;"")*(($D$10:$L$10-($D$9:$L$9+INT(($S$12:$AA$12+INDEX($AJ$13:$AR$162,BN2824,0)+INDEX($AT$13:$BB$162,BO2824,0)+INDEX($BD$13:$BL$162,BP2824,0))/100)))&gt;0)*($D$10:$L$10-($D$9:$L$9+INT(($S$12:$AA$12+INDEX($AJ$13:$AR$162,BN2824,0)+INDEX($AT$13:$BB$162,BO2824,0)+INDEX($BD$13:$BL$162,BP2824,0))/100)))),0)</f>
        <v/>
      </c>
      <c r="BS2824">
        <f>IF(2811&lt;$U$9,SUMPRODUCT(($D$9:$L$9+INT(($S$12:$AA$12+INDEX($AJ$13:$AR$162,BN2824,0)+INDEX($AT$13:$BB$162,BO2824,0)+INDEX($BD$13:$BL$162,BP2824,0))/100))),0)</f>
        <v/>
      </c>
      <c r="BT2824">
        <f>IF(AND(2811&lt;$U$9,$W$5),BQ2824*1000000-MIN(BR2824,999)*1000+BS2824-2811/100000,-1000000000-2811)</f>
        <v/>
      </c>
    </row>
    <row r="2825">
      <c r="BN2825">
        <f>IF(2812&lt;$U$9,INT(2812/($U$7*$U$8))+1,1)</f>
        <v/>
      </c>
      <c r="BO2825">
        <f>IF(2812&lt;$U$9,MOD(INT(2812/$U$8),$U$7)+1,1)</f>
        <v/>
      </c>
      <c r="BP2825">
        <f>IF(2812&lt;$U$9,MOD(2812,$U$8)+1,1)</f>
        <v/>
      </c>
      <c r="BQ2825">
        <f>IF(2812&lt;$U$9,SUMPRODUCT(($D$10:$L$10&lt;&gt;"")*(($D$9:$L$9+INT(($S$12:$AA$12+INDEX($AJ$13:$AR$162,BN2825,0)+INDEX($AT$13:$BB$162,BO2825,0)+INDEX($BD$13:$BL$162,BP2825,0))/100))&gt;=$D$10:$L$10)),0)</f>
        <v/>
      </c>
      <c r="BR2825">
        <f>IF(2812&lt;$U$9,SUMPRODUCT(($D$10:$L$10&lt;&gt;"")*(($D$10:$L$10-($D$9:$L$9+INT(($S$12:$AA$12+INDEX($AJ$13:$AR$162,BN2825,0)+INDEX($AT$13:$BB$162,BO2825,0)+INDEX($BD$13:$BL$162,BP2825,0))/100)))&gt;0)*($D$10:$L$10-($D$9:$L$9+INT(($S$12:$AA$12+INDEX($AJ$13:$AR$162,BN2825,0)+INDEX($AT$13:$BB$162,BO2825,0)+INDEX($BD$13:$BL$162,BP2825,0))/100)))),0)</f>
        <v/>
      </c>
      <c r="BS2825">
        <f>IF(2812&lt;$U$9,SUMPRODUCT(($D$9:$L$9+INT(($S$12:$AA$12+INDEX($AJ$13:$AR$162,BN2825,0)+INDEX($AT$13:$BB$162,BO2825,0)+INDEX($BD$13:$BL$162,BP2825,0))/100))),0)</f>
        <v/>
      </c>
      <c r="BT2825">
        <f>IF(AND(2812&lt;$U$9,$W$5),BQ2825*1000000-MIN(BR2825,999)*1000+BS2825-2812/100000,-1000000000-2812)</f>
        <v/>
      </c>
    </row>
    <row r="2826">
      <c r="BN2826">
        <f>IF(2813&lt;$U$9,INT(2813/($U$7*$U$8))+1,1)</f>
        <v/>
      </c>
      <c r="BO2826">
        <f>IF(2813&lt;$U$9,MOD(INT(2813/$U$8),$U$7)+1,1)</f>
        <v/>
      </c>
      <c r="BP2826">
        <f>IF(2813&lt;$U$9,MOD(2813,$U$8)+1,1)</f>
        <v/>
      </c>
      <c r="BQ2826">
        <f>IF(2813&lt;$U$9,SUMPRODUCT(($D$10:$L$10&lt;&gt;"")*(($D$9:$L$9+INT(($S$12:$AA$12+INDEX($AJ$13:$AR$162,BN2826,0)+INDEX($AT$13:$BB$162,BO2826,0)+INDEX($BD$13:$BL$162,BP2826,0))/100))&gt;=$D$10:$L$10)),0)</f>
        <v/>
      </c>
      <c r="BR2826">
        <f>IF(2813&lt;$U$9,SUMPRODUCT(($D$10:$L$10&lt;&gt;"")*(($D$10:$L$10-($D$9:$L$9+INT(($S$12:$AA$12+INDEX($AJ$13:$AR$162,BN2826,0)+INDEX($AT$13:$BB$162,BO2826,0)+INDEX($BD$13:$BL$162,BP2826,0))/100)))&gt;0)*($D$10:$L$10-($D$9:$L$9+INT(($S$12:$AA$12+INDEX($AJ$13:$AR$162,BN2826,0)+INDEX($AT$13:$BB$162,BO2826,0)+INDEX($BD$13:$BL$162,BP2826,0))/100)))),0)</f>
        <v/>
      </c>
      <c r="BS2826">
        <f>IF(2813&lt;$U$9,SUMPRODUCT(($D$9:$L$9+INT(($S$12:$AA$12+INDEX($AJ$13:$AR$162,BN2826,0)+INDEX($AT$13:$BB$162,BO2826,0)+INDEX($BD$13:$BL$162,BP2826,0))/100))),0)</f>
        <v/>
      </c>
      <c r="BT2826">
        <f>IF(AND(2813&lt;$U$9,$W$5),BQ2826*1000000-MIN(BR2826,999)*1000+BS2826-2813/100000,-1000000000-2813)</f>
        <v/>
      </c>
    </row>
    <row r="2827">
      <c r="BN2827">
        <f>IF(2814&lt;$U$9,INT(2814/($U$7*$U$8))+1,1)</f>
        <v/>
      </c>
      <c r="BO2827">
        <f>IF(2814&lt;$U$9,MOD(INT(2814/$U$8),$U$7)+1,1)</f>
        <v/>
      </c>
      <c r="BP2827">
        <f>IF(2814&lt;$U$9,MOD(2814,$U$8)+1,1)</f>
        <v/>
      </c>
      <c r="BQ2827">
        <f>IF(2814&lt;$U$9,SUMPRODUCT(($D$10:$L$10&lt;&gt;"")*(($D$9:$L$9+INT(($S$12:$AA$12+INDEX($AJ$13:$AR$162,BN2827,0)+INDEX($AT$13:$BB$162,BO2827,0)+INDEX($BD$13:$BL$162,BP2827,0))/100))&gt;=$D$10:$L$10)),0)</f>
        <v/>
      </c>
      <c r="BR2827">
        <f>IF(2814&lt;$U$9,SUMPRODUCT(($D$10:$L$10&lt;&gt;"")*(($D$10:$L$10-($D$9:$L$9+INT(($S$12:$AA$12+INDEX($AJ$13:$AR$162,BN2827,0)+INDEX($AT$13:$BB$162,BO2827,0)+INDEX($BD$13:$BL$162,BP2827,0))/100)))&gt;0)*($D$10:$L$10-($D$9:$L$9+INT(($S$12:$AA$12+INDEX($AJ$13:$AR$162,BN2827,0)+INDEX($AT$13:$BB$162,BO2827,0)+INDEX($BD$13:$BL$162,BP2827,0))/100)))),0)</f>
        <v/>
      </c>
      <c r="BS2827">
        <f>IF(2814&lt;$U$9,SUMPRODUCT(($D$9:$L$9+INT(($S$12:$AA$12+INDEX($AJ$13:$AR$162,BN2827,0)+INDEX($AT$13:$BB$162,BO2827,0)+INDEX($BD$13:$BL$162,BP2827,0))/100))),0)</f>
        <v/>
      </c>
      <c r="BT2827">
        <f>IF(AND(2814&lt;$U$9,$W$5),BQ2827*1000000-MIN(BR2827,999)*1000+BS2827-2814/100000,-1000000000-2814)</f>
        <v/>
      </c>
    </row>
    <row r="2828">
      <c r="BN2828">
        <f>IF(2815&lt;$U$9,INT(2815/($U$7*$U$8))+1,1)</f>
        <v/>
      </c>
      <c r="BO2828">
        <f>IF(2815&lt;$U$9,MOD(INT(2815/$U$8),$U$7)+1,1)</f>
        <v/>
      </c>
      <c r="BP2828">
        <f>IF(2815&lt;$U$9,MOD(2815,$U$8)+1,1)</f>
        <v/>
      </c>
      <c r="BQ2828">
        <f>IF(2815&lt;$U$9,SUMPRODUCT(($D$10:$L$10&lt;&gt;"")*(($D$9:$L$9+INT(($S$12:$AA$12+INDEX($AJ$13:$AR$162,BN2828,0)+INDEX($AT$13:$BB$162,BO2828,0)+INDEX($BD$13:$BL$162,BP2828,0))/100))&gt;=$D$10:$L$10)),0)</f>
        <v/>
      </c>
      <c r="BR2828">
        <f>IF(2815&lt;$U$9,SUMPRODUCT(($D$10:$L$10&lt;&gt;"")*(($D$10:$L$10-($D$9:$L$9+INT(($S$12:$AA$12+INDEX($AJ$13:$AR$162,BN2828,0)+INDEX($AT$13:$BB$162,BO2828,0)+INDEX($BD$13:$BL$162,BP2828,0))/100)))&gt;0)*($D$10:$L$10-($D$9:$L$9+INT(($S$12:$AA$12+INDEX($AJ$13:$AR$162,BN2828,0)+INDEX($AT$13:$BB$162,BO2828,0)+INDEX($BD$13:$BL$162,BP2828,0))/100)))),0)</f>
        <v/>
      </c>
      <c r="BS2828">
        <f>IF(2815&lt;$U$9,SUMPRODUCT(($D$9:$L$9+INT(($S$12:$AA$12+INDEX($AJ$13:$AR$162,BN2828,0)+INDEX($AT$13:$BB$162,BO2828,0)+INDEX($BD$13:$BL$162,BP2828,0))/100))),0)</f>
        <v/>
      </c>
      <c r="BT2828">
        <f>IF(AND(2815&lt;$U$9,$W$5),BQ2828*1000000-MIN(BR2828,999)*1000+BS2828-2815/100000,-1000000000-2815)</f>
        <v/>
      </c>
    </row>
    <row r="2829">
      <c r="BN2829">
        <f>IF(2816&lt;$U$9,INT(2816/($U$7*$U$8))+1,1)</f>
        <v/>
      </c>
      <c r="BO2829">
        <f>IF(2816&lt;$U$9,MOD(INT(2816/$U$8),$U$7)+1,1)</f>
        <v/>
      </c>
      <c r="BP2829">
        <f>IF(2816&lt;$U$9,MOD(2816,$U$8)+1,1)</f>
        <v/>
      </c>
      <c r="BQ2829">
        <f>IF(2816&lt;$U$9,SUMPRODUCT(($D$10:$L$10&lt;&gt;"")*(($D$9:$L$9+INT(($S$12:$AA$12+INDEX($AJ$13:$AR$162,BN2829,0)+INDEX($AT$13:$BB$162,BO2829,0)+INDEX($BD$13:$BL$162,BP2829,0))/100))&gt;=$D$10:$L$10)),0)</f>
        <v/>
      </c>
      <c r="BR2829">
        <f>IF(2816&lt;$U$9,SUMPRODUCT(($D$10:$L$10&lt;&gt;"")*(($D$10:$L$10-($D$9:$L$9+INT(($S$12:$AA$12+INDEX($AJ$13:$AR$162,BN2829,0)+INDEX($AT$13:$BB$162,BO2829,0)+INDEX($BD$13:$BL$162,BP2829,0))/100)))&gt;0)*($D$10:$L$10-($D$9:$L$9+INT(($S$12:$AA$12+INDEX($AJ$13:$AR$162,BN2829,0)+INDEX($AT$13:$BB$162,BO2829,0)+INDEX($BD$13:$BL$162,BP2829,0))/100)))),0)</f>
        <v/>
      </c>
      <c r="BS2829">
        <f>IF(2816&lt;$U$9,SUMPRODUCT(($D$9:$L$9+INT(($S$12:$AA$12+INDEX($AJ$13:$AR$162,BN2829,0)+INDEX($AT$13:$BB$162,BO2829,0)+INDEX($BD$13:$BL$162,BP2829,0))/100))),0)</f>
        <v/>
      </c>
      <c r="BT2829">
        <f>IF(AND(2816&lt;$U$9,$W$5),BQ2829*1000000-MIN(BR2829,999)*1000+BS2829-2816/100000,-1000000000-2816)</f>
        <v/>
      </c>
    </row>
    <row r="2830">
      <c r="BN2830">
        <f>IF(2817&lt;$U$9,INT(2817/($U$7*$U$8))+1,1)</f>
        <v/>
      </c>
      <c r="BO2830">
        <f>IF(2817&lt;$U$9,MOD(INT(2817/$U$8),$U$7)+1,1)</f>
        <v/>
      </c>
      <c r="BP2830">
        <f>IF(2817&lt;$U$9,MOD(2817,$U$8)+1,1)</f>
        <v/>
      </c>
      <c r="BQ2830">
        <f>IF(2817&lt;$U$9,SUMPRODUCT(($D$10:$L$10&lt;&gt;"")*(($D$9:$L$9+INT(($S$12:$AA$12+INDEX($AJ$13:$AR$162,BN2830,0)+INDEX($AT$13:$BB$162,BO2830,0)+INDEX($BD$13:$BL$162,BP2830,0))/100))&gt;=$D$10:$L$10)),0)</f>
        <v/>
      </c>
      <c r="BR2830">
        <f>IF(2817&lt;$U$9,SUMPRODUCT(($D$10:$L$10&lt;&gt;"")*(($D$10:$L$10-($D$9:$L$9+INT(($S$12:$AA$12+INDEX($AJ$13:$AR$162,BN2830,0)+INDEX($AT$13:$BB$162,BO2830,0)+INDEX($BD$13:$BL$162,BP2830,0))/100)))&gt;0)*($D$10:$L$10-($D$9:$L$9+INT(($S$12:$AA$12+INDEX($AJ$13:$AR$162,BN2830,0)+INDEX($AT$13:$BB$162,BO2830,0)+INDEX($BD$13:$BL$162,BP2830,0))/100)))),0)</f>
        <v/>
      </c>
      <c r="BS2830">
        <f>IF(2817&lt;$U$9,SUMPRODUCT(($D$9:$L$9+INT(($S$12:$AA$12+INDEX($AJ$13:$AR$162,BN2830,0)+INDEX($AT$13:$BB$162,BO2830,0)+INDEX($BD$13:$BL$162,BP2830,0))/100))),0)</f>
        <v/>
      </c>
      <c r="BT2830">
        <f>IF(AND(2817&lt;$U$9,$W$5),BQ2830*1000000-MIN(BR2830,999)*1000+BS2830-2817/100000,-1000000000-2817)</f>
        <v/>
      </c>
    </row>
    <row r="2831">
      <c r="BN2831">
        <f>IF(2818&lt;$U$9,INT(2818/($U$7*$U$8))+1,1)</f>
        <v/>
      </c>
      <c r="BO2831">
        <f>IF(2818&lt;$U$9,MOD(INT(2818/$U$8),$U$7)+1,1)</f>
        <v/>
      </c>
      <c r="BP2831">
        <f>IF(2818&lt;$U$9,MOD(2818,$U$8)+1,1)</f>
        <v/>
      </c>
      <c r="BQ2831">
        <f>IF(2818&lt;$U$9,SUMPRODUCT(($D$10:$L$10&lt;&gt;"")*(($D$9:$L$9+INT(($S$12:$AA$12+INDEX($AJ$13:$AR$162,BN2831,0)+INDEX($AT$13:$BB$162,BO2831,0)+INDEX($BD$13:$BL$162,BP2831,0))/100))&gt;=$D$10:$L$10)),0)</f>
        <v/>
      </c>
      <c r="BR2831">
        <f>IF(2818&lt;$U$9,SUMPRODUCT(($D$10:$L$10&lt;&gt;"")*(($D$10:$L$10-($D$9:$L$9+INT(($S$12:$AA$12+INDEX($AJ$13:$AR$162,BN2831,0)+INDEX($AT$13:$BB$162,BO2831,0)+INDEX($BD$13:$BL$162,BP2831,0))/100)))&gt;0)*($D$10:$L$10-($D$9:$L$9+INT(($S$12:$AA$12+INDEX($AJ$13:$AR$162,BN2831,0)+INDEX($AT$13:$BB$162,BO2831,0)+INDEX($BD$13:$BL$162,BP2831,0))/100)))),0)</f>
        <v/>
      </c>
      <c r="BS2831">
        <f>IF(2818&lt;$U$9,SUMPRODUCT(($D$9:$L$9+INT(($S$12:$AA$12+INDEX($AJ$13:$AR$162,BN2831,0)+INDEX($AT$13:$BB$162,BO2831,0)+INDEX($BD$13:$BL$162,BP2831,0))/100))),0)</f>
        <v/>
      </c>
      <c r="BT2831">
        <f>IF(AND(2818&lt;$U$9,$W$5),BQ2831*1000000-MIN(BR2831,999)*1000+BS2831-2818/100000,-1000000000-2818)</f>
        <v/>
      </c>
    </row>
    <row r="2832">
      <c r="BN2832">
        <f>IF(2819&lt;$U$9,INT(2819/($U$7*$U$8))+1,1)</f>
        <v/>
      </c>
      <c r="BO2832">
        <f>IF(2819&lt;$U$9,MOD(INT(2819/$U$8),$U$7)+1,1)</f>
        <v/>
      </c>
      <c r="BP2832">
        <f>IF(2819&lt;$U$9,MOD(2819,$U$8)+1,1)</f>
        <v/>
      </c>
      <c r="BQ2832">
        <f>IF(2819&lt;$U$9,SUMPRODUCT(($D$10:$L$10&lt;&gt;"")*(($D$9:$L$9+INT(($S$12:$AA$12+INDEX($AJ$13:$AR$162,BN2832,0)+INDEX($AT$13:$BB$162,BO2832,0)+INDEX($BD$13:$BL$162,BP2832,0))/100))&gt;=$D$10:$L$10)),0)</f>
        <v/>
      </c>
      <c r="BR2832">
        <f>IF(2819&lt;$U$9,SUMPRODUCT(($D$10:$L$10&lt;&gt;"")*(($D$10:$L$10-($D$9:$L$9+INT(($S$12:$AA$12+INDEX($AJ$13:$AR$162,BN2832,0)+INDEX($AT$13:$BB$162,BO2832,0)+INDEX($BD$13:$BL$162,BP2832,0))/100)))&gt;0)*($D$10:$L$10-($D$9:$L$9+INT(($S$12:$AA$12+INDEX($AJ$13:$AR$162,BN2832,0)+INDEX($AT$13:$BB$162,BO2832,0)+INDEX($BD$13:$BL$162,BP2832,0))/100)))),0)</f>
        <v/>
      </c>
      <c r="BS2832">
        <f>IF(2819&lt;$U$9,SUMPRODUCT(($D$9:$L$9+INT(($S$12:$AA$12+INDEX($AJ$13:$AR$162,BN2832,0)+INDEX($AT$13:$BB$162,BO2832,0)+INDEX($BD$13:$BL$162,BP2832,0))/100))),0)</f>
        <v/>
      </c>
      <c r="BT2832">
        <f>IF(AND(2819&lt;$U$9,$W$5),BQ2832*1000000-MIN(BR2832,999)*1000+BS2832-2819/100000,-1000000000-2819)</f>
        <v/>
      </c>
    </row>
    <row r="2833">
      <c r="BN2833">
        <f>IF(2820&lt;$U$9,INT(2820/($U$7*$U$8))+1,1)</f>
        <v/>
      </c>
      <c r="BO2833">
        <f>IF(2820&lt;$U$9,MOD(INT(2820/$U$8),$U$7)+1,1)</f>
        <v/>
      </c>
      <c r="BP2833">
        <f>IF(2820&lt;$U$9,MOD(2820,$U$8)+1,1)</f>
        <v/>
      </c>
      <c r="BQ2833">
        <f>IF(2820&lt;$U$9,SUMPRODUCT(($D$10:$L$10&lt;&gt;"")*(($D$9:$L$9+INT(($S$12:$AA$12+INDEX($AJ$13:$AR$162,BN2833,0)+INDEX($AT$13:$BB$162,BO2833,0)+INDEX($BD$13:$BL$162,BP2833,0))/100))&gt;=$D$10:$L$10)),0)</f>
        <v/>
      </c>
      <c r="BR2833">
        <f>IF(2820&lt;$U$9,SUMPRODUCT(($D$10:$L$10&lt;&gt;"")*(($D$10:$L$10-($D$9:$L$9+INT(($S$12:$AA$12+INDEX($AJ$13:$AR$162,BN2833,0)+INDEX($AT$13:$BB$162,BO2833,0)+INDEX($BD$13:$BL$162,BP2833,0))/100)))&gt;0)*($D$10:$L$10-($D$9:$L$9+INT(($S$12:$AA$12+INDEX($AJ$13:$AR$162,BN2833,0)+INDEX($AT$13:$BB$162,BO2833,0)+INDEX($BD$13:$BL$162,BP2833,0))/100)))),0)</f>
        <v/>
      </c>
      <c r="BS2833">
        <f>IF(2820&lt;$U$9,SUMPRODUCT(($D$9:$L$9+INT(($S$12:$AA$12+INDEX($AJ$13:$AR$162,BN2833,0)+INDEX($AT$13:$BB$162,BO2833,0)+INDEX($BD$13:$BL$162,BP2833,0))/100))),0)</f>
        <v/>
      </c>
      <c r="BT2833">
        <f>IF(AND(2820&lt;$U$9,$W$5),BQ2833*1000000-MIN(BR2833,999)*1000+BS2833-2820/100000,-1000000000-2820)</f>
        <v/>
      </c>
    </row>
    <row r="2834">
      <c r="BN2834">
        <f>IF(2821&lt;$U$9,INT(2821/($U$7*$U$8))+1,1)</f>
        <v/>
      </c>
      <c r="BO2834">
        <f>IF(2821&lt;$U$9,MOD(INT(2821/$U$8),$U$7)+1,1)</f>
        <v/>
      </c>
      <c r="BP2834">
        <f>IF(2821&lt;$U$9,MOD(2821,$U$8)+1,1)</f>
        <v/>
      </c>
      <c r="BQ2834">
        <f>IF(2821&lt;$U$9,SUMPRODUCT(($D$10:$L$10&lt;&gt;"")*(($D$9:$L$9+INT(($S$12:$AA$12+INDEX($AJ$13:$AR$162,BN2834,0)+INDEX($AT$13:$BB$162,BO2834,0)+INDEX($BD$13:$BL$162,BP2834,0))/100))&gt;=$D$10:$L$10)),0)</f>
        <v/>
      </c>
      <c r="BR2834">
        <f>IF(2821&lt;$U$9,SUMPRODUCT(($D$10:$L$10&lt;&gt;"")*(($D$10:$L$10-($D$9:$L$9+INT(($S$12:$AA$12+INDEX($AJ$13:$AR$162,BN2834,0)+INDEX($AT$13:$BB$162,BO2834,0)+INDEX($BD$13:$BL$162,BP2834,0))/100)))&gt;0)*($D$10:$L$10-($D$9:$L$9+INT(($S$12:$AA$12+INDEX($AJ$13:$AR$162,BN2834,0)+INDEX($AT$13:$BB$162,BO2834,0)+INDEX($BD$13:$BL$162,BP2834,0))/100)))),0)</f>
        <v/>
      </c>
      <c r="BS2834">
        <f>IF(2821&lt;$U$9,SUMPRODUCT(($D$9:$L$9+INT(($S$12:$AA$12+INDEX($AJ$13:$AR$162,BN2834,0)+INDEX($AT$13:$BB$162,BO2834,0)+INDEX($BD$13:$BL$162,BP2834,0))/100))),0)</f>
        <v/>
      </c>
      <c r="BT2834">
        <f>IF(AND(2821&lt;$U$9,$W$5),BQ2834*1000000-MIN(BR2834,999)*1000+BS2834-2821/100000,-1000000000-2821)</f>
        <v/>
      </c>
    </row>
    <row r="2835">
      <c r="BN2835">
        <f>IF(2822&lt;$U$9,INT(2822/($U$7*$U$8))+1,1)</f>
        <v/>
      </c>
      <c r="BO2835">
        <f>IF(2822&lt;$U$9,MOD(INT(2822/$U$8),$U$7)+1,1)</f>
        <v/>
      </c>
      <c r="BP2835">
        <f>IF(2822&lt;$U$9,MOD(2822,$U$8)+1,1)</f>
        <v/>
      </c>
      <c r="BQ2835">
        <f>IF(2822&lt;$U$9,SUMPRODUCT(($D$10:$L$10&lt;&gt;"")*(($D$9:$L$9+INT(($S$12:$AA$12+INDEX($AJ$13:$AR$162,BN2835,0)+INDEX($AT$13:$BB$162,BO2835,0)+INDEX($BD$13:$BL$162,BP2835,0))/100))&gt;=$D$10:$L$10)),0)</f>
        <v/>
      </c>
      <c r="BR2835">
        <f>IF(2822&lt;$U$9,SUMPRODUCT(($D$10:$L$10&lt;&gt;"")*(($D$10:$L$10-($D$9:$L$9+INT(($S$12:$AA$12+INDEX($AJ$13:$AR$162,BN2835,0)+INDEX($AT$13:$BB$162,BO2835,0)+INDEX($BD$13:$BL$162,BP2835,0))/100)))&gt;0)*($D$10:$L$10-($D$9:$L$9+INT(($S$12:$AA$12+INDEX($AJ$13:$AR$162,BN2835,0)+INDEX($AT$13:$BB$162,BO2835,0)+INDEX($BD$13:$BL$162,BP2835,0))/100)))),0)</f>
        <v/>
      </c>
      <c r="BS2835">
        <f>IF(2822&lt;$U$9,SUMPRODUCT(($D$9:$L$9+INT(($S$12:$AA$12+INDEX($AJ$13:$AR$162,BN2835,0)+INDEX($AT$13:$BB$162,BO2835,0)+INDEX($BD$13:$BL$162,BP2835,0))/100))),0)</f>
        <v/>
      </c>
      <c r="BT2835">
        <f>IF(AND(2822&lt;$U$9,$W$5),BQ2835*1000000-MIN(BR2835,999)*1000+BS2835-2822/100000,-1000000000-2822)</f>
        <v/>
      </c>
    </row>
    <row r="2836">
      <c r="BN2836">
        <f>IF(2823&lt;$U$9,INT(2823/($U$7*$U$8))+1,1)</f>
        <v/>
      </c>
      <c r="BO2836">
        <f>IF(2823&lt;$U$9,MOD(INT(2823/$U$8),$U$7)+1,1)</f>
        <v/>
      </c>
      <c r="BP2836">
        <f>IF(2823&lt;$U$9,MOD(2823,$U$8)+1,1)</f>
        <v/>
      </c>
      <c r="BQ2836">
        <f>IF(2823&lt;$U$9,SUMPRODUCT(($D$10:$L$10&lt;&gt;"")*(($D$9:$L$9+INT(($S$12:$AA$12+INDEX($AJ$13:$AR$162,BN2836,0)+INDEX($AT$13:$BB$162,BO2836,0)+INDEX($BD$13:$BL$162,BP2836,0))/100))&gt;=$D$10:$L$10)),0)</f>
        <v/>
      </c>
      <c r="BR2836">
        <f>IF(2823&lt;$U$9,SUMPRODUCT(($D$10:$L$10&lt;&gt;"")*(($D$10:$L$10-($D$9:$L$9+INT(($S$12:$AA$12+INDEX($AJ$13:$AR$162,BN2836,0)+INDEX($AT$13:$BB$162,BO2836,0)+INDEX($BD$13:$BL$162,BP2836,0))/100)))&gt;0)*($D$10:$L$10-($D$9:$L$9+INT(($S$12:$AA$12+INDEX($AJ$13:$AR$162,BN2836,0)+INDEX($AT$13:$BB$162,BO2836,0)+INDEX($BD$13:$BL$162,BP2836,0))/100)))),0)</f>
        <v/>
      </c>
      <c r="BS2836">
        <f>IF(2823&lt;$U$9,SUMPRODUCT(($D$9:$L$9+INT(($S$12:$AA$12+INDEX($AJ$13:$AR$162,BN2836,0)+INDEX($AT$13:$BB$162,BO2836,0)+INDEX($BD$13:$BL$162,BP2836,0))/100))),0)</f>
        <v/>
      </c>
      <c r="BT2836">
        <f>IF(AND(2823&lt;$U$9,$W$5),BQ2836*1000000-MIN(BR2836,999)*1000+BS2836-2823/100000,-1000000000-2823)</f>
        <v/>
      </c>
    </row>
    <row r="2837">
      <c r="BN2837">
        <f>IF(2824&lt;$U$9,INT(2824/($U$7*$U$8))+1,1)</f>
        <v/>
      </c>
      <c r="BO2837">
        <f>IF(2824&lt;$U$9,MOD(INT(2824/$U$8),$U$7)+1,1)</f>
        <v/>
      </c>
      <c r="BP2837">
        <f>IF(2824&lt;$U$9,MOD(2824,$U$8)+1,1)</f>
        <v/>
      </c>
      <c r="BQ2837">
        <f>IF(2824&lt;$U$9,SUMPRODUCT(($D$10:$L$10&lt;&gt;"")*(($D$9:$L$9+INT(($S$12:$AA$12+INDEX($AJ$13:$AR$162,BN2837,0)+INDEX($AT$13:$BB$162,BO2837,0)+INDEX($BD$13:$BL$162,BP2837,0))/100))&gt;=$D$10:$L$10)),0)</f>
        <v/>
      </c>
      <c r="BR2837">
        <f>IF(2824&lt;$U$9,SUMPRODUCT(($D$10:$L$10&lt;&gt;"")*(($D$10:$L$10-($D$9:$L$9+INT(($S$12:$AA$12+INDEX($AJ$13:$AR$162,BN2837,0)+INDEX($AT$13:$BB$162,BO2837,0)+INDEX($BD$13:$BL$162,BP2837,0))/100)))&gt;0)*($D$10:$L$10-($D$9:$L$9+INT(($S$12:$AA$12+INDEX($AJ$13:$AR$162,BN2837,0)+INDEX($AT$13:$BB$162,BO2837,0)+INDEX($BD$13:$BL$162,BP2837,0))/100)))),0)</f>
        <v/>
      </c>
      <c r="BS2837">
        <f>IF(2824&lt;$U$9,SUMPRODUCT(($D$9:$L$9+INT(($S$12:$AA$12+INDEX($AJ$13:$AR$162,BN2837,0)+INDEX($AT$13:$BB$162,BO2837,0)+INDEX($BD$13:$BL$162,BP2837,0))/100))),0)</f>
        <v/>
      </c>
      <c r="BT2837">
        <f>IF(AND(2824&lt;$U$9,$W$5),BQ2837*1000000-MIN(BR2837,999)*1000+BS2837-2824/100000,-1000000000-2824)</f>
        <v/>
      </c>
    </row>
    <row r="2838">
      <c r="BN2838">
        <f>IF(2825&lt;$U$9,INT(2825/($U$7*$U$8))+1,1)</f>
        <v/>
      </c>
      <c r="BO2838">
        <f>IF(2825&lt;$U$9,MOD(INT(2825/$U$8),$U$7)+1,1)</f>
        <v/>
      </c>
      <c r="BP2838">
        <f>IF(2825&lt;$U$9,MOD(2825,$U$8)+1,1)</f>
        <v/>
      </c>
      <c r="BQ2838">
        <f>IF(2825&lt;$U$9,SUMPRODUCT(($D$10:$L$10&lt;&gt;"")*(($D$9:$L$9+INT(($S$12:$AA$12+INDEX($AJ$13:$AR$162,BN2838,0)+INDEX($AT$13:$BB$162,BO2838,0)+INDEX($BD$13:$BL$162,BP2838,0))/100))&gt;=$D$10:$L$10)),0)</f>
        <v/>
      </c>
      <c r="BR2838">
        <f>IF(2825&lt;$U$9,SUMPRODUCT(($D$10:$L$10&lt;&gt;"")*(($D$10:$L$10-($D$9:$L$9+INT(($S$12:$AA$12+INDEX($AJ$13:$AR$162,BN2838,0)+INDEX($AT$13:$BB$162,BO2838,0)+INDEX($BD$13:$BL$162,BP2838,0))/100)))&gt;0)*($D$10:$L$10-($D$9:$L$9+INT(($S$12:$AA$12+INDEX($AJ$13:$AR$162,BN2838,0)+INDEX($AT$13:$BB$162,BO2838,0)+INDEX($BD$13:$BL$162,BP2838,0))/100)))),0)</f>
        <v/>
      </c>
      <c r="BS2838">
        <f>IF(2825&lt;$U$9,SUMPRODUCT(($D$9:$L$9+INT(($S$12:$AA$12+INDEX($AJ$13:$AR$162,BN2838,0)+INDEX($AT$13:$BB$162,BO2838,0)+INDEX($BD$13:$BL$162,BP2838,0))/100))),0)</f>
        <v/>
      </c>
      <c r="BT2838">
        <f>IF(AND(2825&lt;$U$9,$W$5),BQ2838*1000000-MIN(BR2838,999)*1000+BS2838-2825/100000,-1000000000-2825)</f>
        <v/>
      </c>
    </row>
    <row r="2839">
      <c r="BN2839">
        <f>IF(2826&lt;$U$9,INT(2826/($U$7*$U$8))+1,1)</f>
        <v/>
      </c>
      <c r="BO2839">
        <f>IF(2826&lt;$U$9,MOD(INT(2826/$U$8),$U$7)+1,1)</f>
        <v/>
      </c>
      <c r="BP2839">
        <f>IF(2826&lt;$U$9,MOD(2826,$U$8)+1,1)</f>
        <v/>
      </c>
      <c r="BQ2839">
        <f>IF(2826&lt;$U$9,SUMPRODUCT(($D$10:$L$10&lt;&gt;"")*(($D$9:$L$9+INT(($S$12:$AA$12+INDEX($AJ$13:$AR$162,BN2839,0)+INDEX($AT$13:$BB$162,BO2839,0)+INDEX($BD$13:$BL$162,BP2839,0))/100))&gt;=$D$10:$L$10)),0)</f>
        <v/>
      </c>
      <c r="BR2839">
        <f>IF(2826&lt;$U$9,SUMPRODUCT(($D$10:$L$10&lt;&gt;"")*(($D$10:$L$10-($D$9:$L$9+INT(($S$12:$AA$12+INDEX($AJ$13:$AR$162,BN2839,0)+INDEX($AT$13:$BB$162,BO2839,0)+INDEX($BD$13:$BL$162,BP2839,0))/100)))&gt;0)*($D$10:$L$10-($D$9:$L$9+INT(($S$12:$AA$12+INDEX($AJ$13:$AR$162,BN2839,0)+INDEX($AT$13:$BB$162,BO2839,0)+INDEX($BD$13:$BL$162,BP2839,0))/100)))),0)</f>
        <v/>
      </c>
      <c r="BS2839">
        <f>IF(2826&lt;$U$9,SUMPRODUCT(($D$9:$L$9+INT(($S$12:$AA$12+INDEX($AJ$13:$AR$162,BN2839,0)+INDEX($AT$13:$BB$162,BO2839,0)+INDEX($BD$13:$BL$162,BP2839,0))/100))),0)</f>
        <v/>
      </c>
      <c r="BT2839">
        <f>IF(AND(2826&lt;$U$9,$W$5),BQ2839*1000000-MIN(BR2839,999)*1000+BS2839-2826/100000,-1000000000-2826)</f>
        <v/>
      </c>
    </row>
    <row r="2840">
      <c r="BN2840">
        <f>IF(2827&lt;$U$9,INT(2827/($U$7*$U$8))+1,1)</f>
        <v/>
      </c>
      <c r="BO2840">
        <f>IF(2827&lt;$U$9,MOD(INT(2827/$U$8),$U$7)+1,1)</f>
        <v/>
      </c>
      <c r="BP2840">
        <f>IF(2827&lt;$U$9,MOD(2827,$U$8)+1,1)</f>
        <v/>
      </c>
      <c r="BQ2840">
        <f>IF(2827&lt;$U$9,SUMPRODUCT(($D$10:$L$10&lt;&gt;"")*(($D$9:$L$9+INT(($S$12:$AA$12+INDEX($AJ$13:$AR$162,BN2840,0)+INDEX($AT$13:$BB$162,BO2840,0)+INDEX($BD$13:$BL$162,BP2840,0))/100))&gt;=$D$10:$L$10)),0)</f>
        <v/>
      </c>
      <c r="BR2840">
        <f>IF(2827&lt;$U$9,SUMPRODUCT(($D$10:$L$10&lt;&gt;"")*(($D$10:$L$10-($D$9:$L$9+INT(($S$12:$AA$12+INDEX($AJ$13:$AR$162,BN2840,0)+INDEX($AT$13:$BB$162,BO2840,0)+INDEX($BD$13:$BL$162,BP2840,0))/100)))&gt;0)*($D$10:$L$10-($D$9:$L$9+INT(($S$12:$AA$12+INDEX($AJ$13:$AR$162,BN2840,0)+INDEX($AT$13:$BB$162,BO2840,0)+INDEX($BD$13:$BL$162,BP2840,0))/100)))),0)</f>
        <v/>
      </c>
      <c r="BS2840">
        <f>IF(2827&lt;$U$9,SUMPRODUCT(($D$9:$L$9+INT(($S$12:$AA$12+INDEX($AJ$13:$AR$162,BN2840,0)+INDEX($AT$13:$BB$162,BO2840,0)+INDEX($BD$13:$BL$162,BP2840,0))/100))),0)</f>
        <v/>
      </c>
      <c r="BT2840">
        <f>IF(AND(2827&lt;$U$9,$W$5),BQ2840*1000000-MIN(BR2840,999)*1000+BS2840-2827/100000,-1000000000-2827)</f>
        <v/>
      </c>
    </row>
    <row r="2841">
      <c r="BN2841">
        <f>IF(2828&lt;$U$9,INT(2828/($U$7*$U$8))+1,1)</f>
        <v/>
      </c>
      <c r="BO2841">
        <f>IF(2828&lt;$U$9,MOD(INT(2828/$U$8),$U$7)+1,1)</f>
        <v/>
      </c>
      <c r="BP2841">
        <f>IF(2828&lt;$U$9,MOD(2828,$U$8)+1,1)</f>
        <v/>
      </c>
      <c r="BQ2841">
        <f>IF(2828&lt;$U$9,SUMPRODUCT(($D$10:$L$10&lt;&gt;"")*(($D$9:$L$9+INT(($S$12:$AA$12+INDEX($AJ$13:$AR$162,BN2841,0)+INDEX($AT$13:$BB$162,BO2841,0)+INDEX($BD$13:$BL$162,BP2841,0))/100))&gt;=$D$10:$L$10)),0)</f>
        <v/>
      </c>
      <c r="BR2841">
        <f>IF(2828&lt;$U$9,SUMPRODUCT(($D$10:$L$10&lt;&gt;"")*(($D$10:$L$10-($D$9:$L$9+INT(($S$12:$AA$12+INDEX($AJ$13:$AR$162,BN2841,0)+INDEX($AT$13:$BB$162,BO2841,0)+INDEX($BD$13:$BL$162,BP2841,0))/100)))&gt;0)*($D$10:$L$10-($D$9:$L$9+INT(($S$12:$AA$12+INDEX($AJ$13:$AR$162,BN2841,0)+INDEX($AT$13:$BB$162,BO2841,0)+INDEX($BD$13:$BL$162,BP2841,0))/100)))),0)</f>
        <v/>
      </c>
      <c r="BS2841">
        <f>IF(2828&lt;$U$9,SUMPRODUCT(($D$9:$L$9+INT(($S$12:$AA$12+INDEX($AJ$13:$AR$162,BN2841,0)+INDEX($AT$13:$BB$162,BO2841,0)+INDEX($BD$13:$BL$162,BP2841,0))/100))),0)</f>
        <v/>
      </c>
      <c r="BT2841">
        <f>IF(AND(2828&lt;$U$9,$W$5),BQ2841*1000000-MIN(BR2841,999)*1000+BS2841-2828/100000,-1000000000-2828)</f>
        <v/>
      </c>
    </row>
    <row r="2842">
      <c r="BN2842">
        <f>IF(2829&lt;$U$9,INT(2829/($U$7*$U$8))+1,1)</f>
        <v/>
      </c>
      <c r="BO2842">
        <f>IF(2829&lt;$U$9,MOD(INT(2829/$U$8),$U$7)+1,1)</f>
        <v/>
      </c>
      <c r="BP2842">
        <f>IF(2829&lt;$U$9,MOD(2829,$U$8)+1,1)</f>
        <v/>
      </c>
      <c r="BQ2842">
        <f>IF(2829&lt;$U$9,SUMPRODUCT(($D$10:$L$10&lt;&gt;"")*(($D$9:$L$9+INT(($S$12:$AA$12+INDEX($AJ$13:$AR$162,BN2842,0)+INDEX($AT$13:$BB$162,BO2842,0)+INDEX($BD$13:$BL$162,BP2842,0))/100))&gt;=$D$10:$L$10)),0)</f>
        <v/>
      </c>
      <c r="BR2842">
        <f>IF(2829&lt;$U$9,SUMPRODUCT(($D$10:$L$10&lt;&gt;"")*(($D$10:$L$10-($D$9:$L$9+INT(($S$12:$AA$12+INDEX($AJ$13:$AR$162,BN2842,0)+INDEX($AT$13:$BB$162,BO2842,0)+INDEX($BD$13:$BL$162,BP2842,0))/100)))&gt;0)*($D$10:$L$10-($D$9:$L$9+INT(($S$12:$AA$12+INDEX($AJ$13:$AR$162,BN2842,0)+INDEX($AT$13:$BB$162,BO2842,0)+INDEX($BD$13:$BL$162,BP2842,0))/100)))),0)</f>
        <v/>
      </c>
      <c r="BS2842">
        <f>IF(2829&lt;$U$9,SUMPRODUCT(($D$9:$L$9+INT(($S$12:$AA$12+INDEX($AJ$13:$AR$162,BN2842,0)+INDEX($AT$13:$BB$162,BO2842,0)+INDEX($BD$13:$BL$162,BP2842,0))/100))),0)</f>
        <v/>
      </c>
      <c r="BT2842">
        <f>IF(AND(2829&lt;$U$9,$W$5),BQ2842*1000000-MIN(BR2842,999)*1000+BS2842-2829/100000,-1000000000-2829)</f>
        <v/>
      </c>
    </row>
    <row r="2843">
      <c r="BN2843">
        <f>IF(2830&lt;$U$9,INT(2830/($U$7*$U$8))+1,1)</f>
        <v/>
      </c>
      <c r="BO2843">
        <f>IF(2830&lt;$U$9,MOD(INT(2830/$U$8),$U$7)+1,1)</f>
        <v/>
      </c>
      <c r="BP2843">
        <f>IF(2830&lt;$U$9,MOD(2830,$U$8)+1,1)</f>
        <v/>
      </c>
      <c r="BQ2843">
        <f>IF(2830&lt;$U$9,SUMPRODUCT(($D$10:$L$10&lt;&gt;"")*(($D$9:$L$9+INT(($S$12:$AA$12+INDEX($AJ$13:$AR$162,BN2843,0)+INDEX($AT$13:$BB$162,BO2843,0)+INDEX($BD$13:$BL$162,BP2843,0))/100))&gt;=$D$10:$L$10)),0)</f>
        <v/>
      </c>
      <c r="BR2843">
        <f>IF(2830&lt;$U$9,SUMPRODUCT(($D$10:$L$10&lt;&gt;"")*(($D$10:$L$10-($D$9:$L$9+INT(($S$12:$AA$12+INDEX($AJ$13:$AR$162,BN2843,0)+INDEX($AT$13:$BB$162,BO2843,0)+INDEX($BD$13:$BL$162,BP2843,0))/100)))&gt;0)*($D$10:$L$10-($D$9:$L$9+INT(($S$12:$AA$12+INDEX($AJ$13:$AR$162,BN2843,0)+INDEX($AT$13:$BB$162,BO2843,0)+INDEX($BD$13:$BL$162,BP2843,0))/100)))),0)</f>
        <v/>
      </c>
      <c r="BS2843">
        <f>IF(2830&lt;$U$9,SUMPRODUCT(($D$9:$L$9+INT(($S$12:$AA$12+INDEX($AJ$13:$AR$162,BN2843,0)+INDEX($AT$13:$BB$162,BO2843,0)+INDEX($BD$13:$BL$162,BP2843,0))/100))),0)</f>
        <v/>
      </c>
      <c r="BT2843">
        <f>IF(AND(2830&lt;$U$9,$W$5),BQ2843*1000000-MIN(BR2843,999)*1000+BS2843-2830/100000,-1000000000-2830)</f>
        <v/>
      </c>
    </row>
    <row r="2844">
      <c r="BN2844">
        <f>IF(2831&lt;$U$9,INT(2831/($U$7*$U$8))+1,1)</f>
        <v/>
      </c>
      <c r="BO2844">
        <f>IF(2831&lt;$U$9,MOD(INT(2831/$U$8),$U$7)+1,1)</f>
        <v/>
      </c>
      <c r="BP2844">
        <f>IF(2831&lt;$U$9,MOD(2831,$U$8)+1,1)</f>
        <v/>
      </c>
      <c r="BQ2844">
        <f>IF(2831&lt;$U$9,SUMPRODUCT(($D$10:$L$10&lt;&gt;"")*(($D$9:$L$9+INT(($S$12:$AA$12+INDEX($AJ$13:$AR$162,BN2844,0)+INDEX($AT$13:$BB$162,BO2844,0)+INDEX($BD$13:$BL$162,BP2844,0))/100))&gt;=$D$10:$L$10)),0)</f>
        <v/>
      </c>
      <c r="BR2844">
        <f>IF(2831&lt;$U$9,SUMPRODUCT(($D$10:$L$10&lt;&gt;"")*(($D$10:$L$10-($D$9:$L$9+INT(($S$12:$AA$12+INDEX($AJ$13:$AR$162,BN2844,0)+INDEX($AT$13:$BB$162,BO2844,0)+INDEX($BD$13:$BL$162,BP2844,0))/100)))&gt;0)*($D$10:$L$10-($D$9:$L$9+INT(($S$12:$AA$12+INDEX($AJ$13:$AR$162,BN2844,0)+INDEX($AT$13:$BB$162,BO2844,0)+INDEX($BD$13:$BL$162,BP2844,0))/100)))),0)</f>
        <v/>
      </c>
      <c r="BS2844">
        <f>IF(2831&lt;$U$9,SUMPRODUCT(($D$9:$L$9+INT(($S$12:$AA$12+INDEX($AJ$13:$AR$162,BN2844,0)+INDEX($AT$13:$BB$162,BO2844,0)+INDEX($BD$13:$BL$162,BP2844,0))/100))),0)</f>
        <v/>
      </c>
      <c r="BT2844">
        <f>IF(AND(2831&lt;$U$9,$W$5),BQ2844*1000000-MIN(BR2844,999)*1000+BS2844-2831/100000,-1000000000-2831)</f>
        <v/>
      </c>
    </row>
    <row r="2845">
      <c r="BN2845">
        <f>IF(2832&lt;$U$9,INT(2832/($U$7*$U$8))+1,1)</f>
        <v/>
      </c>
      <c r="BO2845">
        <f>IF(2832&lt;$U$9,MOD(INT(2832/$U$8),$U$7)+1,1)</f>
        <v/>
      </c>
      <c r="BP2845">
        <f>IF(2832&lt;$U$9,MOD(2832,$U$8)+1,1)</f>
        <v/>
      </c>
      <c r="BQ2845">
        <f>IF(2832&lt;$U$9,SUMPRODUCT(($D$10:$L$10&lt;&gt;"")*(($D$9:$L$9+INT(($S$12:$AA$12+INDEX($AJ$13:$AR$162,BN2845,0)+INDEX($AT$13:$BB$162,BO2845,0)+INDEX($BD$13:$BL$162,BP2845,0))/100))&gt;=$D$10:$L$10)),0)</f>
        <v/>
      </c>
      <c r="BR2845">
        <f>IF(2832&lt;$U$9,SUMPRODUCT(($D$10:$L$10&lt;&gt;"")*(($D$10:$L$10-($D$9:$L$9+INT(($S$12:$AA$12+INDEX($AJ$13:$AR$162,BN2845,0)+INDEX($AT$13:$BB$162,BO2845,0)+INDEX($BD$13:$BL$162,BP2845,0))/100)))&gt;0)*($D$10:$L$10-($D$9:$L$9+INT(($S$12:$AA$12+INDEX($AJ$13:$AR$162,BN2845,0)+INDEX($AT$13:$BB$162,BO2845,0)+INDEX($BD$13:$BL$162,BP2845,0))/100)))),0)</f>
        <v/>
      </c>
      <c r="BS2845">
        <f>IF(2832&lt;$U$9,SUMPRODUCT(($D$9:$L$9+INT(($S$12:$AA$12+INDEX($AJ$13:$AR$162,BN2845,0)+INDEX($AT$13:$BB$162,BO2845,0)+INDEX($BD$13:$BL$162,BP2845,0))/100))),0)</f>
        <v/>
      </c>
      <c r="BT2845">
        <f>IF(AND(2832&lt;$U$9,$W$5),BQ2845*1000000-MIN(BR2845,999)*1000+BS2845-2832/100000,-1000000000-2832)</f>
        <v/>
      </c>
    </row>
    <row r="2846">
      <c r="BN2846">
        <f>IF(2833&lt;$U$9,INT(2833/($U$7*$U$8))+1,1)</f>
        <v/>
      </c>
      <c r="BO2846">
        <f>IF(2833&lt;$U$9,MOD(INT(2833/$U$8),$U$7)+1,1)</f>
        <v/>
      </c>
      <c r="BP2846">
        <f>IF(2833&lt;$U$9,MOD(2833,$U$8)+1,1)</f>
        <v/>
      </c>
      <c r="BQ2846">
        <f>IF(2833&lt;$U$9,SUMPRODUCT(($D$10:$L$10&lt;&gt;"")*(($D$9:$L$9+INT(($S$12:$AA$12+INDEX($AJ$13:$AR$162,BN2846,0)+INDEX($AT$13:$BB$162,BO2846,0)+INDEX($BD$13:$BL$162,BP2846,0))/100))&gt;=$D$10:$L$10)),0)</f>
        <v/>
      </c>
      <c r="BR2846">
        <f>IF(2833&lt;$U$9,SUMPRODUCT(($D$10:$L$10&lt;&gt;"")*(($D$10:$L$10-($D$9:$L$9+INT(($S$12:$AA$12+INDEX($AJ$13:$AR$162,BN2846,0)+INDEX($AT$13:$BB$162,BO2846,0)+INDEX($BD$13:$BL$162,BP2846,0))/100)))&gt;0)*($D$10:$L$10-($D$9:$L$9+INT(($S$12:$AA$12+INDEX($AJ$13:$AR$162,BN2846,0)+INDEX($AT$13:$BB$162,BO2846,0)+INDEX($BD$13:$BL$162,BP2846,0))/100)))),0)</f>
        <v/>
      </c>
      <c r="BS2846">
        <f>IF(2833&lt;$U$9,SUMPRODUCT(($D$9:$L$9+INT(($S$12:$AA$12+INDEX($AJ$13:$AR$162,BN2846,0)+INDEX($AT$13:$BB$162,BO2846,0)+INDEX($BD$13:$BL$162,BP2846,0))/100))),0)</f>
        <v/>
      </c>
      <c r="BT2846">
        <f>IF(AND(2833&lt;$U$9,$W$5),BQ2846*1000000-MIN(BR2846,999)*1000+BS2846-2833/100000,-1000000000-2833)</f>
        <v/>
      </c>
    </row>
    <row r="2847">
      <c r="BN2847">
        <f>IF(2834&lt;$U$9,INT(2834/($U$7*$U$8))+1,1)</f>
        <v/>
      </c>
      <c r="BO2847">
        <f>IF(2834&lt;$U$9,MOD(INT(2834/$U$8),$U$7)+1,1)</f>
        <v/>
      </c>
      <c r="BP2847">
        <f>IF(2834&lt;$U$9,MOD(2834,$U$8)+1,1)</f>
        <v/>
      </c>
      <c r="BQ2847">
        <f>IF(2834&lt;$U$9,SUMPRODUCT(($D$10:$L$10&lt;&gt;"")*(($D$9:$L$9+INT(($S$12:$AA$12+INDEX($AJ$13:$AR$162,BN2847,0)+INDEX($AT$13:$BB$162,BO2847,0)+INDEX($BD$13:$BL$162,BP2847,0))/100))&gt;=$D$10:$L$10)),0)</f>
        <v/>
      </c>
      <c r="BR2847">
        <f>IF(2834&lt;$U$9,SUMPRODUCT(($D$10:$L$10&lt;&gt;"")*(($D$10:$L$10-($D$9:$L$9+INT(($S$12:$AA$12+INDEX($AJ$13:$AR$162,BN2847,0)+INDEX($AT$13:$BB$162,BO2847,0)+INDEX($BD$13:$BL$162,BP2847,0))/100)))&gt;0)*($D$10:$L$10-($D$9:$L$9+INT(($S$12:$AA$12+INDEX($AJ$13:$AR$162,BN2847,0)+INDEX($AT$13:$BB$162,BO2847,0)+INDEX($BD$13:$BL$162,BP2847,0))/100)))),0)</f>
        <v/>
      </c>
      <c r="BS2847">
        <f>IF(2834&lt;$U$9,SUMPRODUCT(($D$9:$L$9+INT(($S$12:$AA$12+INDEX($AJ$13:$AR$162,BN2847,0)+INDEX($AT$13:$BB$162,BO2847,0)+INDEX($BD$13:$BL$162,BP2847,0))/100))),0)</f>
        <v/>
      </c>
      <c r="BT2847">
        <f>IF(AND(2834&lt;$U$9,$W$5),BQ2847*1000000-MIN(BR2847,999)*1000+BS2847-2834/100000,-1000000000-2834)</f>
        <v/>
      </c>
    </row>
    <row r="2848">
      <c r="BN2848">
        <f>IF(2835&lt;$U$9,INT(2835/($U$7*$U$8))+1,1)</f>
        <v/>
      </c>
      <c r="BO2848">
        <f>IF(2835&lt;$U$9,MOD(INT(2835/$U$8),$U$7)+1,1)</f>
        <v/>
      </c>
      <c r="BP2848">
        <f>IF(2835&lt;$U$9,MOD(2835,$U$8)+1,1)</f>
        <v/>
      </c>
      <c r="BQ2848">
        <f>IF(2835&lt;$U$9,SUMPRODUCT(($D$10:$L$10&lt;&gt;"")*(($D$9:$L$9+INT(($S$12:$AA$12+INDEX($AJ$13:$AR$162,BN2848,0)+INDEX($AT$13:$BB$162,BO2848,0)+INDEX($BD$13:$BL$162,BP2848,0))/100))&gt;=$D$10:$L$10)),0)</f>
        <v/>
      </c>
      <c r="BR2848">
        <f>IF(2835&lt;$U$9,SUMPRODUCT(($D$10:$L$10&lt;&gt;"")*(($D$10:$L$10-($D$9:$L$9+INT(($S$12:$AA$12+INDEX($AJ$13:$AR$162,BN2848,0)+INDEX($AT$13:$BB$162,BO2848,0)+INDEX($BD$13:$BL$162,BP2848,0))/100)))&gt;0)*($D$10:$L$10-($D$9:$L$9+INT(($S$12:$AA$12+INDEX($AJ$13:$AR$162,BN2848,0)+INDEX($AT$13:$BB$162,BO2848,0)+INDEX($BD$13:$BL$162,BP2848,0))/100)))),0)</f>
        <v/>
      </c>
      <c r="BS2848">
        <f>IF(2835&lt;$U$9,SUMPRODUCT(($D$9:$L$9+INT(($S$12:$AA$12+INDEX($AJ$13:$AR$162,BN2848,0)+INDEX($AT$13:$BB$162,BO2848,0)+INDEX($BD$13:$BL$162,BP2848,0))/100))),0)</f>
        <v/>
      </c>
      <c r="BT2848">
        <f>IF(AND(2835&lt;$U$9,$W$5),BQ2848*1000000-MIN(BR2848,999)*1000+BS2848-2835/100000,-1000000000-2835)</f>
        <v/>
      </c>
    </row>
    <row r="2849">
      <c r="BN2849">
        <f>IF(2836&lt;$U$9,INT(2836/($U$7*$U$8))+1,1)</f>
        <v/>
      </c>
      <c r="BO2849">
        <f>IF(2836&lt;$U$9,MOD(INT(2836/$U$8),$U$7)+1,1)</f>
        <v/>
      </c>
      <c r="BP2849">
        <f>IF(2836&lt;$U$9,MOD(2836,$U$8)+1,1)</f>
        <v/>
      </c>
      <c r="BQ2849">
        <f>IF(2836&lt;$U$9,SUMPRODUCT(($D$10:$L$10&lt;&gt;"")*(($D$9:$L$9+INT(($S$12:$AA$12+INDEX($AJ$13:$AR$162,BN2849,0)+INDEX($AT$13:$BB$162,BO2849,0)+INDEX($BD$13:$BL$162,BP2849,0))/100))&gt;=$D$10:$L$10)),0)</f>
        <v/>
      </c>
      <c r="BR2849">
        <f>IF(2836&lt;$U$9,SUMPRODUCT(($D$10:$L$10&lt;&gt;"")*(($D$10:$L$10-($D$9:$L$9+INT(($S$12:$AA$12+INDEX($AJ$13:$AR$162,BN2849,0)+INDEX($AT$13:$BB$162,BO2849,0)+INDEX($BD$13:$BL$162,BP2849,0))/100)))&gt;0)*($D$10:$L$10-($D$9:$L$9+INT(($S$12:$AA$12+INDEX($AJ$13:$AR$162,BN2849,0)+INDEX($AT$13:$BB$162,BO2849,0)+INDEX($BD$13:$BL$162,BP2849,0))/100)))),0)</f>
        <v/>
      </c>
      <c r="BS2849">
        <f>IF(2836&lt;$U$9,SUMPRODUCT(($D$9:$L$9+INT(($S$12:$AA$12+INDEX($AJ$13:$AR$162,BN2849,0)+INDEX($AT$13:$BB$162,BO2849,0)+INDEX($BD$13:$BL$162,BP2849,0))/100))),0)</f>
        <v/>
      </c>
      <c r="BT2849">
        <f>IF(AND(2836&lt;$U$9,$W$5),BQ2849*1000000-MIN(BR2849,999)*1000+BS2849-2836/100000,-1000000000-2836)</f>
        <v/>
      </c>
    </row>
    <row r="2850">
      <c r="BN2850">
        <f>IF(2837&lt;$U$9,INT(2837/($U$7*$U$8))+1,1)</f>
        <v/>
      </c>
      <c r="BO2850">
        <f>IF(2837&lt;$U$9,MOD(INT(2837/$U$8),$U$7)+1,1)</f>
        <v/>
      </c>
      <c r="BP2850">
        <f>IF(2837&lt;$U$9,MOD(2837,$U$8)+1,1)</f>
        <v/>
      </c>
      <c r="BQ2850">
        <f>IF(2837&lt;$U$9,SUMPRODUCT(($D$10:$L$10&lt;&gt;"")*(($D$9:$L$9+INT(($S$12:$AA$12+INDEX($AJ$13:$AR$162,BN2850,0)+INDEX($AT$13:$BB$162,BO2850,0)+INDEX($BD$13:$BL$162,BP2850,0))/100))&gt;=$D$10:$L$10)),0)</f>
        <v/>
      </c>
      <c r="BR2850">
        <f>IF(2837&lt;$U$9,SUMPRODUCT(($D$10:$L$10&lt;&gt;"")*(($D$10:$L$10-($D$9:$L$9+INT(($S$12:$AA$12+INDEX($AJ$13:$AR$162,BN2850,0)+INDEX($AT$13:$BB$162,BO2850,0)+INDEX($BD$13:$BL$162,BP2850,0))/100)))&gt;0)*($D$10:$L$10-($D$9:$L$9+INT(($S$12:$AA$12+INDEX($AJ$13:$AR$162,BN2850,0)+INDEX($AT$13:$BB$162,BO2850,0)+INDEX($BD$13:$BL$162,BP2850,0))/100)))),0)</f>
        <v/>
      </c>
      <c r="BS2850">
        <f>IF(2837&lt;$U$9,SUMPRODUCT(($D$9:$L$9+INT(($S$12:$AA$12+INDEX($AJ$13:$AR$162,BN2850,0)+INDEX($AT$13:$BB$162,BO2850,0)+INDEX($BD$13:$BL$162,BP2850,0))/100))),0)</f>
        <v/>
      </c>
      <c r="BT2850">
        <f>IF(AND(2837&lt;$U$9,$W$5),BQ2850*1000000-MIN(BR2850,999)*1000+BS2850-2837/100000,-1000000000-2837)</f>
        <v/>
      </c>
    </row>
    <row r="2851">
      <c r="BN2851">
        <f>IF(2838&lt;$U$9,INT(2838/($U$7*$U$8))+1,1)</f>
        <v/>
      </c>
      <c r="BO2851">
        <f>IF(2838&lt;$U$9,MOD(INT(2838/$U$8),$U$7)+1,1)</f>
        <v/>
      </c>
      <c r="BP2851">
        <f>IF(2838&lt;$U$9,MOD(2838,$U$8)+1,1)</f>
        <v/>
      </c>
      <c r="BQ2851">
        <f>IF(2838&lt;$U$9,SUMPRODUCT(($D$10:$L$10&lt;&gt;"")*(($D$9:$L$9+INT(($S$12:$AA$12+INDEX($AJ$13:$AR$162,BN2851,0)+INDEX($AT$13:$BB$162,BO2851,0)+INDEX($BD$13:$BL$162,BP2851,0))/100))&gt;=$D$10:$L$10)),0)</f>
        <v/>
      </c>
      <c r="BR2851">
        <f>IF(2838&lt;$U$9,SUMPRODUCT(($D$10:$L$10&lt;&gt;"")*(($D$10:$L$10-($D$9:$L$9+INT(($S$12:$AA$12+INDEX($AJ$13:$AR$162,BN2851,0)+INDEX($AT$13:$BB$162,BO2851,0)+INDEX($BD$13:$BL$162,BP2851,0))/100)))&gt;0)*($D$10:$L$10-($D$9:$L$9+INT(($S$12:$AA$12+INDEX($AJ$13:$AR$162,BN2851,0)+INDEX($AT$13:$BB$162,BO2851,0)+INDEX($BD$13:$BL$162,BP2851,0))/100)))),0)</f>
        <v/>
      </c>
      <c r="BS2851">
        <f>IF(2838&lt;$U$9,SUMPRODUCT(($D$9:$L$9+INT(($S$12:$AA$12+INDEX($AJ$13:$AR$162,BN2851,0)+INDEX($AT$13:$BB$162,BO2851,0)+INDEX($BD$13:$BL$162,BP2851,0))/100))),0)</f>
        <v/>
      </c>
      <c r="BT2851">
        <f>IF(AND(2838&lt;$U$9,$W$5),BQ2851*1000000-MIN(BR2851,999)*1000+BS2851-2838/100000,-1000000000-2838)</f>
        <v/>
      </c>
    </row>
    <row r="2852">
      <c r="BN2852">
        <f>IF(2839&lt;$U$9,INT(2839/($U$7*$U$8))+1,1)</f>
        <v/>
      </c>
      <c r="BO2852">
        <f>IF(2839&lt;$U$9,MOD(INT(2839/$U$8),$U$7)+1,1)</f>
        <v/>
      </c>
      <c r="BP2852">
        <f>IF(2839&lt;$U$9,MOD(2839,$U$8)+1,1)</f>
        <v/>
      </c>
      <c r="BQ2852">
        <f>IF(2839&lt;$U$9,SUMPRODUCT(($D$10:$L$10&lt;&gt;"")*(($D$9:$L$9+INT(($S$12:$AA$12+INDEX($AJ$13:$AR$162,BN2852,0)+INDEX($AT$13:$BB$162,BO2852,0)+INDEX($BD$13:$BL$162,BP2852,0))/100))&gt;=$D$10:$L$10)),0)</f>
        <v/>
      </c>
      <c r="BR2852">
        <f>IF(2839&lt;$U$9,SUMPRODUCT(($D$10:$L$10&lt;&gt;"")*(($D$10:$L$10-($D$9:$L$9+INT(($S$12:$AA$12+INDEX($AJ$13:$AR$162,BN2852,0)+INDEX($AT$13:$BB$162,BO2852,0)+INDEX($BD$13:$BL$162,BP2852,0))/100)))&gt;0)*($D$10:$L$10-($D$9:$L$9+INT(($S$12:$AA$12+INDEX($AJ$13:$AR$162,BN2852,0)+INDEX($AT$13:$BB$162,BO2852,0)+INDEX($BD$13:$BL$162,BP2852,0))/100)))),0)</f>
        <v/>
      </c>
      <c r="BS2852">
        <f>IF(2839&lt;$U$9,SUMPRODUCT(($D$9:$L$9+INT(($S$12:$AA$12+INDEX($AJ$13:$AR$162,BN2852,0)+INDEX($AT$13:$BB$162,BO2852,0)+INDEX($BD$13:$BL$162,BP2852,0))/100))),0)</f>
        <v/>
      </c>
      <c r="BT2852">
        <f>IF(AND(2839&lt;$U$9,$W$5),BQ2852*1000000-MIN(BR2852,999)*1000+BS2852-2839/100000,-1000000000-2839)</f>
        <v/>
      </c>
    </row>
    <row r="2853">
      <c r="BN2853">
        <f>IF(2840&lt;$U$9,INT(2840/($U$7*$U$8))+1,1)</f>
        <v/>
      </c>
      <c r="BO2853">
        <f>IF(2840&lt;$U$9,MOD(INT(2840/$U$8),$U$7)+1,1)</f>
        <v/>
      </c>
      <c r="BP2853">
        <f>IF(2840&lt;$U$9,MOD(2840,$U$8)+1,1)</f>
        <v/>
      </c>
      <c r="BQ2853">
        <f>IF(2840&lt;$U$9,SUMPRODUCT(($D$10:$L$10&lt;&gt;"")*(($D$9:$L$9+INT(($S$12:$AA$12+INDEX($AJ$13:$AR$162,BN2853,0)+INDEX($AT$13:$BB$162,BO2853,0)+INDEX($BD$13:$BL$162,BP2853,0))/100))&gt;=$D$10:$L$10)),0)</f>
        <v/>
      </c>
      <c r="BR2853">
        <f>IF(2840&lt;$U$9,SUMPRODUCT(($D$10:$L$10&lt;&gt;"")*(($D$10:$L$10-($D$9:$L$9+INT(($S$12:$AA$12+INDEX($AJ$13:$AR$162,BN2853,0)+INDEX($AT$13:$BB$162,BO2853,0)+INDEX($BD$13:$BL$162,BP2853,0))/100)))&gt;0)*($D$10:$L$10-($D$9:$L$9+INT(($S$12:$AA$12+INDEX($AJ$13:$AR$162,BN2853,0)+INDEX($AT$13:$BB$162,BO2853,0)+INDEX($BD$13:$BL$162,BP2853,0))/100)))),0)</f>
        <v/>
      </c>
      <c r="BS2853">
        <f>IF(2840&lt;$U$9,SUMPRODUCT(($D$9:$L$9+INT(($S$12:$AA$12+INDEX($AJ$13:$AR$162,BN2853,0)+INDEX($AT$13:$BB$162,BO2853,0)+INDEX($BD$13:$BL$162,BP2853,0))/100))),0)</f>
        <v/>
      </c>
      <c r="BT2853">
        <f>IF(AND(2840&lt;$U$9,$W$5),BQ2853*1000000-MIN(BR2853,999)*1000+BS2853-2840/100000,-1000000000-2840)</f>
        <v/>
      </c>
    </row>
    <row r="2854">
      <c r="BN2854">
        <f>IF(2841&lt;$U$9,INT(2841/($U$7*$U$8))+1,1)</f>
        <v/>
      </c>
      <c r="BO2854">
        <f>IF(2841&lt;$U$9,MOD(INT(2841/$U$8),$U$7)+1,1)</f>
        <v/>
      </c>
      <c r="BP2854">
        <f>IF(2841&lt;$U$9,MOD(2841,$U$8)+1,1)</f>
        <v/>
      </c>
      <c r="BQ2854">
        <f>IF(2841&lt;$U$9,SUMPRODUCT(($D$10:$L$10&lt;&gt;"")*(($D$9:$L$9+INT(($S$12:$AA$12+INDEX($AJ$13:$AR$162,BN2854,0)+INDEX($AT$13:$BB$162,BO2854,0)+INDEX($BD$13:$BL$162,BP2854,0))/100))&gt;=$D$10:$L$10)),0)</f>
        <v/>
      </c>
      <c r="BR2854">
        <f>IF(2841&lt;$U$9,SUMPRODUCT(($D$10:$L$10&lt;&gt;"")*(($D$10:$L$10-($D$9:$L$9+INT(($S$12:$AA$12+INDEX($AJ$13:$AR$162,BN2854,0)+INDEX($AT$13:$BB$162,BO2854,0)+INDEX($BD$13:$BL$162,BP2854,0))/100)))&gt;0)*($D$10:$L$10-($D$9:$L$9+INT(($S$12:$AA$12+INDEX($AJ$13:$AR$162,BN2854,0)+INDEX($AT$13:$BB$162,BO2854,0)+INDEX($BD$13:$BL$162,BP2854,0))/100)))),0)</f>
        <v/>
      </c>
      <c r="BS2854">
        <f>IF(2841&lt;$U$9,SUMPRODUCT(($D$9:$L$9+INT(($S$12:$AA$12+INDEX($AJ$13:$AR$162,BN2854,0)+INDEX($AT$13:$BB$162,BO2854,0)+INDEX($BD$13:$BL$162,BP2854,0))/100))),0)</f>
        <v/>
      </c>
      <c r="BT2854">
        <f>IF(AND(2841&lt;$U$9,$W$5),BQ2854*1000000-MIN(BR2854,999)*1000+BS2854-2841/100000,-1000000000-2841)</f>
        <v/>
      </c>
    </row>
    <row r="2855">
      <c r="BN2855">
        <f>IF(2842&lt;$U$9,INT(2842/($U$7*$U$8))+1,1)</f>
        <v/>
      </c>
      <c r="BO2855">
        <f>IF(2842&lt;$U$9,MOD(INT(2842/$U$8),$U$7)+1,1)</f>
        <v/>
      </c>
      <c r="BP2855">
        <f>IF(2842&lt;$U$9,MOD(2842,$U$8)+1,1)</f>
        <v/>
      </c>
      <c r="BQ2855">
        <f>IF(2842&lt;$U$9,SUMPRODUCT(($D$10:$L$10&lt;&gt;"")*(($D$9:$L$9+INT(($S$12:$AA$12+INDEX($AJ$13:$AR$162,BN2855,0)+INDEX($AT$13:$BB$162,BO2855,0)+INDEX($BD$13:$BL$162,BP2855,0))/100))&gt;=$D$10:$L$10)),0)</f>
        <v/>
      </c>
      <c r="BR2855">
        <f>IF(2842&lt;$U$9,SUMPRODUCT(($D$10:$L$10&lt;&gt;"")*(($D$10:$L$10-($D$9:$L$9+INT(($S$12:$AA$12+INDEX($AJ$13:$AR$162,BN2855,0)+INDEX($AT$13:$BB$162,BO2855,0)+INDEX($BD$13:$BL$162,BP2855,0))/100)))&gt;0)*($D$10:$L$10-($D$9:$L$9+INT(($S$12:$AA$12+INDEX($AJ$13:$AR$162,BN2855,0)+INDEX($AT$13:$BB$162,BO2855,0)+INDEX($BD$13:$BL$162,BP2855,0))/100)))),0)</f>
        <v/>
      </c>
      <c r="BS2855">
        <f>IF(2842&lt;$U$9,SUMPRODUCT(($D$9:$L$9+INT(($S$12:$AA$12+INDEX($AJ$13:$AR$162,BN2855,0)+INDEX($AT$13:$BB$162,BO2855,0)+INDEX($BD$13:$BL$162,BP2855,0))/100))),0)</f>
        <v/>
      </c>
      <c r="BT2855">
        <f>IF(AND(2842&lt;$U$9,$W$5),BQ2855*1000000-MIN(BR2855,999)*1000+BS2855-2842/100000,-1000000000-2842)</f>
        <v/>
      </c>
    </row>
    <row r="2856">
      <c r="BN2856">
        <f>IF(2843&lt;$U$9,INT(2843/($U$7*$U$8))+1,1)</f>
        <v/>
      </c>
      <c r="BO2856">
        <f>IF(2843&lt;$U$9,MOD(INT(2843/$U$8),$U$7)+1,1)</f>
        <v/>
      </c>
      <c r="BP2856">
        <f>IF(2843&lt;$U$9,MOD(2843,$U$8)+1,1)</f>
        <v/>
      </c>
      <c r="BQ2856">
        <f>IF(2843&lt;$U$9,SUMPRODUCT(($D$10:$L$10&lt;&gt;"")*(($D$9:$L$9+INT(($S$12:$AA$12+INDEX($AJ$13:$AR$162,BN2856,0)+INDEX($AT$13:$BB$162,BO2856,0)+INDEX($BD$13:$BL$162,BP2856,0))/100))&gt;=$D$10:$L$10)),0)</f>
        <v/>
      </c>
      <c r="BR2856">
        <f>IF(2843&lt;$U$9,SUMPRODUCT(($D$10:$L$10&lt;&gt;"")*(($D$10:$L$10-($D$9:$L$9+INT(($S$12:$AA$12+INDEX($AJ$13:$AR$162,BN2856,0)+INDEX($AT$13:$BB$162,BO2856,0)+INDEX($BD$13:$BL$162,BP2856,0))/100)))&gt;0)*($D$10:$L$10-($D$9:$L$9+INT(($S$12:$AA$12+INDEX($AJ$13:$AR$162,BN2856,0)+INDEX($AT$13:$BB$162,BO2856,0)+INDEX($BD$13:$BL$162,BP2856,0))/100)))),0)</f>
        <v/>
      </c>
      <c r="BS2856">
        <f>IF(2843&lt;$U$9,SUMPRODUCT(($D$9:$L$9+INT(($S$12:$AA$12+INDEX($AJ$13:$AR$162,BN2856,0)+INDEX($AT$13:$BB$162,BO2856,0)+INDEX($BD$13:$BL$162,BP2856,0))/100))),0)</f>
        <v/>
      </c>
      <c r="BT2856">
        <f>IF(AND(2843&lt;$U$9,$W$5),BQ2856*1000000-MIN(BR2856,999)*1000+BS2856-2843/100000,-1000000000-2843)</f>
        <v/>
      </c>
    </row>
    <row r="2857">
      <c r="BN2857">
        <f>IF(2844&lt;$U$9,INT(2844/($U$7*$U$8))+1,1)</f>
        <v/>
      </c>
      <c r="BO2857">
        <f>IF(2844&lt;$U$9,MOD(INT(2844/$U$8),$U$7)+1,1)</f>
        <v/>
      </c>
      <c r="BP2857">
        <f>IF(2844&lt;$U$9,MOD(2844,$U$8)+1,1)</f>
        <v/>
      </c>
      <c r="BQ2857">
        <f>IF(2844&lt;$U$9,SUMPRODUCT(($D$10:$L$10&lt;&gt;"")*(($D$9:$L$9+INT(($S$12:$AA$12+INDEX($AJ$13:$AR$162,BN2857,0)+INDEX($AT$13:$BB$162,BO2857,0)+INDEX($BD$13:$BL$162,BP2857,0))/100))&gt;=$D$10:$L$10)),0)</f>
        <v/>
      </c>
      <c r="BR2857">
        <f>IF(2844&lt;$U$9,SUMPRODUCT(($D$10:$L$10&lt;&gt;"")*(($D$10:$L$10-($D$9:$L$9+INT(($S$12:$AA$12+INDEX($AJ$13:$AR$162,BN2857,0)+INDEX($AT$13:$BB$162,BO2857,0)+INDEX($BD$13:$BL$162,BP2857,0))/100)))&gt;0)*($D$10:$L$10-($D$9:$L$9+INT(($S$12:$AA$12+INDEX($AJ$13:$AR$162,BN2857,0)+INDEX($AT$13:$BB$162,BO2857,0)+INDEX($BD$13:$BL$162,BP2857,0))/100)))),0)</f>
        <v/>
      </c>
      <c r="BS2857">
        <f>IF(2844&lt;$U$9,SUMPRODUCT(($D$9:$L$9+INT(($S$12:$AA$12+INDEX($AJ$13:$AR$162,BN2857,0)+INDEX($AT$13:$BB$162,BO2857,0)+INDEX($BD$13:$BL$162,BP2857,0))/100))),0)</f>
        <v/>
      </c>
      <c r="BT2857">
        <f>IF(AND(2844&lt;$U$9,$W$5),BQ2857*1000000-MIN(BR2857,999)*1000+BS2857-2844/100000,-1000000000-2844)</f>
        <v/>
      </c>
    </row>
    <row r="2858">
      <c r="BN2858">
        <f>IF(2845&lt;$U$9,INT(2845/($U$7*$U$8))+1,1)</f>
        <v/>
      </c>
      <c r="BO2858">
        <f>IF(2845&lt;$U$9,MOD(INT(2845/$U$8),$U$7)+1,1)</f>
        <v/>
      </c>
      <c r="BP2858">
        <f>IF(2845&lt;$U$9,MOD(2845,$U$8)+1,1)</f>
        <v/>
      </c>
      <c r="BQ2858">
        <f>IF(2845&lt;$U$9,SUMPRODUCT(($D$10:$L$10&lt;&gt;"")*(($D$9:$L$9+INT(($S$12:$AA$12+INDEX($AJ$13:$AR$162,BN2858,0)+INDEX($AT$13:$BB$162,BO2858,0)+INDEX($BD$13:$BL$162,BP2858,0))/100))&gt;=$D$10:$L$10)),0)</f>
        <v/>
      </c>
      <c r="BR2858">
        <f>IF(2845&lt;$U$9,SUMPRODUCT(($D$10:$L$10&lt;&gt;"")*(($D$10:$L$10-($D$9:$L$9+INT(($S$12:$AA$12+INDEX($AJ$13:$AR$162,BN2858,0)+INDEX($AT$13:$BB$162,BO2858,0)+INDEX($BD$13:$BL$162,BP2858,0))/100)))&gt;0)*($D$10:$L$10-($D$9:$L$9+INT(($S$12:$AA$12+INDEX($AJ$13:$AR$162,BN2858,0)+INDEX($AT$13:$BB$162,BO2858,0)+INDEX($BD$13:$BL$162,BP2858,0))/100)))),0)</f>
        <v/>
      </c>
      <c r="BS2858">
        <f>IF(2845&lt;$U$9,SUMPRODUCT(($D$9:$L$9+INT(($S$12:$AA$12+INDEX($AJ$13:$AR$162,BN2858,0)+INDEX($AT$13:$BB$162,BO2858,0)+INDEX($BD$13:$BL$162,BP2858,0))/100))),0)</f>
        <v/>
      </c>
      <c r="BT2858">
        <f>IF(AND(2845&lt;$U$9,$W$5),BQ2858*1000000-MIN(BR2858,999)*1000+BS2858-2845/100000,-1000000000-2845)</f>
        <v/>
      </c>
    </row>
    <row r="2859">
      <c r="BN2859">
        <f>IF(2846&lt;$U$9,INT(2846/($U$7*$U$8))+1,1)</f>
        <v/>
      </c>
      <c r="BO2859">
        <f>IF(2846&lt;$U$9,MOD(INT(2846/$U$8),$U$7)+1,1)</f>
        <v/>
      </c>
      <c r="BP2859">
        <f>IF(2846&lt;$U$9,MOD(2846,$U$8)+1,1)</f>
        <v/>
      </c>
      <c r="BQ2859">
        <f>IF(2846&lt;$U$9,SUMPRODUCT(($D$10:$L$10&lt;&gt;"")*(($D$9:$L$9+INT(($S$12:$AA$12+INDEX($AJ$13:$AR$162,BN2859,0)+INDEX($AT$13:$BB$162,BO2859,0)+INDEX($BD$13:$BL$162,BP2859,0))/100))&gt;=$D$10:$L$10)),0)</f>
        <v/>
      </c>
      <c r="BR2859">
        <f>IF(2846&lt;$U$9,SUMPRODUCT(($D$10:$L$10&lt;&gt;"")*(($D$10:$L$10-($D$9:$L$9+INT(($S$12:$AA$12+INDEX($AJ$13:$AR$162,BN2859,0)+INDEX($AT$13:$BB$162,BO2859,0)+INDEX($BD$13:$BL$162,BP2859,0))/100)))&gt;0)*($D$10:$L$10-($D$9:$L$9+INT(($S$12:$AA$12+INDEX($AJ$13:$AR$162,BN2859,0)+INDEX($AT$13:$BB$162,BO2859,0)+INDEX($BD$13:$BL$162,BP2859,0))/100)))),0)</f>
        <v/>
      </c>
      <c r="BS2859">
        <f>IF(2846&lt;$U$9,SUMPRODUCT(($D$9:$L$9+INT(($S$12:$AA$12+INDEX($AJ$13:$AR$162,BN2859,0)+INDEX($AT$13:$BB$162,BO2859,0)+INDEX($BD$13:$BL$162,BP2859,0))/100))),0)</f>
        <v/>
      </c>
      <c r="BT2859">
        <f>IF(AND(2846&lt;$U$9,$W$5),BQ2859*1000000-MIN(BR2859,999)*1000+BS2859-2846/100000,-1000000000-2846)</f>
        <v/>
      </c>
    </row>
    <row r="2860">
      <c r="BN2860">
        <f>IF(2847&lt;$U$9,INT(2847/($U$7*$U$8))+1,1)</f>
        <v/>
      </c>
      <c r="BO2860">
        <f>IF(2847&lt;$U$9,MOD(INT(2847/$U$8),$U$7)+1,1)</f>
        <v/>
      </c>
      <c r="BP2860">
        <f>IF(2847&lt;$U$9,MOD(2847,$U$8)+1,1)</f>
        <v/>
      </c>
      <c r="BQ2860">
        <f>IF(2847&lt;$U$9,SUMPRODUCT(($D$10:$L$10&lt;&gt;"")*(($D$9:$L$9+INT(($S$12:$AA$12+INDEX($AJ$13:$AR$162,BN2860,0)+INDEX($AT$13:$BB$162,BO2860,0)+INDEX($BD$13:$BL$162,BP2860,0))/100))&gt;=$D$10:$L$10)),0)</f>
        <v/>
      </c>
      <c r="BR2860">
        <f>IF(2847&lt;$U$9,SUMPRODUCT(($D$10:$L$10&lt;&gt;"")*(($D$10:$L$10-($D$9:$L$9+INT(($S$12:$AA$12+INDEX($AJ$13:$AR$162,BN2860,0)+INDEX($AT$13:$BB$162,BO2860,0)+INDEX($BD$13:$BL$162,BP2860,0))/100)))&gt;0)*($D$10:$L$10-($D$9:$L$9+INT(($S$12:$AA$12+INDEX($AJ$13:$AR$162,BN2860,0)+INDEX($AT$13:$BB$162,BO2860,0)+INDEX($BD$13:$BL$162,BP2860,0))/100)))),0)</f>
        <v/>
      </c>
      <c r="BS2860">
        <f>IF(2847&lt;$U$9,SUMPRODUCT(($D$9:$L$9+INT(($S$12:$AA$12+INDEX($AJ$13:$AR$162,BN2860,0)+INDEX($AT$13:$BB$162,BO2860,0)+INDEX($BD$13:$BL$162,BP2860,0))/100))),0)</f>
        <v/>
      </c>
      <c r="BT2860">
        <f>IF(AND(2847&lt;$U$9,$W$5),BQ2860*1000000-MIN(BR2860,999)*1000+BS2860-2847/100000,-1000000000-2847)</f>
        <v/>
      </c>
    </row>
    <row r="2861">
      <c r="BN2861">
        <f>IF(2848&lt;$U$9,INT(2848/($U$7*$U$8))+1,1)</f>
        <v/>
      </c>
      <c r="BO2861">
        <f>IF(2848&lt;$U$9,MOD(INT(2848/$U$8),$U$7)+1,1)</f>
        <v/>
      </c>
      <c r="BP2861">
        <f>IF(2848&lt;$U$9,MOD(2848,$U$8)+1,1)</f>
        <v/>
      </c>
      <c r="BQ2861">
        <f>IF(2848&lt;$U$9,SUMPRODUCT(($D$10:$L$10&lt;&gt;"")*(($D$9:$L$9+INT(($S$12:$AA$12+INDEX($AJ$13:$AR$162,BN2861,0)+INDEX($AT$13:$BB$162,BO2861,0)+INDEX($BD$13:$BL$162,BP2861,0))/100))&gt;=$D$10:$L$10)),0)</f>
        <v/>
      </c>
      <c r="BR2861">
        <f>IF(2848&lt;$U$9,SUMPRODUCT(($D$10:$L$10&lt;&gt;"")*(($D$10:$L$10-($D$9:$L$9+INT(($S$12:$AA$12+INDEX($AJ$13:$AR$162,BN2861,0)+INDEX($AT$13:$BB$162,BO2861,0)+INDEX($BD$13:$BL$162,BP2861,0))/100)))&gt;0)*($D$10:$L$10-($D$9:$L$9+INT(($S$12:$AA$12+INDEX($AJ$13:$AR$162,BN2861,0)+INDEX($AT$13:$BB$162,BO2861,0)+INDEX($BD$13:$BL$162,BP2861,0))/100)))),0)</f>
        <v/>
      </c>
      <c r="BS2861">
        <f>IF(2848&lt;$U$9,SUMPRODUCT(($D$9:$L$9+INT(($S$12:$AA$12+INDEX($AJ$13:$AR$162,BN2861,0)+INDEX($AT$13:$BB$162,BO2861,0)+INDEX($BD$13:$BL$162,BP2861,0))/100))),0)</f>
        <v/>
      </c>
      <c r="BT2861">
        <f>IF(AND(2848&lt;$U$9,$W$5),BQ2861*1000000-MIN(BR2861,999)*1000+BS2861-2848/100000,-1000000000-2848)</f>
        <v/>
      </c>
    </row>
    <row r="2862">
      <c r="BN2862">
        <f>IF(2849&lt;$U$9,INT(2849/($U$7*$U$8))+1,1)</f>
        <v/>
      </c>
      <c r="BO2862">
        <f>IF(2849&lt;$U$9,MOD(INT(2849/$U$8),$U$7)+1,1)</f>
        <v/>
      </c>
      <c r="BP2862">
        <f>IF(2849&lt;$U$9,MOD(2849,$U$8)+1,1)</f>
        <v/>
      </c>
      <c r="BQ2862">
        <f>IF(2849&lt;$U$9,SUMPRODUCT(($D$10:$L$10&lt;&gt;"")*(($D$9:$L$9+INT(($S$12:$AA$12+INDEX($AJ$13:$AR$162,BN2862,0)+INDEX($AT$13:$BB$162,BO2862,0)+INDEX($BD$13:$BL$162,BP2862,0))/100))&gt;=$D$10:$L$10)),0)</f>
        <v/>
      </c>
      <c r="BR2862">
        <f>IF(2849&lt;$U$9,SUMPRODUCT(($D$10:$L$10&lt;&gt;"")*(($D$10:$L$10-($D$9:$L$9+INT(($S$12:$AA$12+INDEX($AJ$13:$AR$162,BN2862,0)+INDEX($AT$13:$BB$162,BO2862,0)+INDEX($BD$13:$BL$162,BP2862,0))/100)))&gt;0)*($D$10:$L$10-($D$9:$L$9+INT(($S$12:$AA$12+INDEX($AJ$13:$AR$162,BN2862,0)+INDEX($AT$13:$BB$162,BO2862,0)+INDEX($BD$13:$BL$162,BP2862,0))/100)))),0)</f>
        <v/>
      </c>
      <c r="BS2862">
        <f>IF(2849&lt;$U$9,SUMPRODUCT(($D$9:$L$9+INT(($S$12:$AA$12+INDEX($AJ$13:$AR$162,BN2862,0)+INDEX($AT$13:$BB$162,BO2862,0)+INDEX($BD$13:$BL$162,BP2862,0))/100))),0)</f>
        <v/>
      </c>
      <c r="BT2862">
        <f>IF(AND(2849&lt;$U$9,$W$5),BQ2862*1000000-MIN(BR2862,999)*1000+BS2862-2849/100000,-1000000000-2849)</f>
        <v/>
      </c>
    </row>
    <row r="2863">
      <c r="BN2863">
        <f>IF(2850&lt;$U$9,INT(2850/($U$7*$U$8))+1,1)</f>
        <v/>
      </c>
      <c r="BO2863">
        <f>IF(2850&lt;$U$9,MOD(INT(2850/$U$8),$U$7)+1,1)</f>
        <v/>
      </c>
      <c r="BP2863">
        <f>IF(2850&lt;$U$9,MOD(2850,$U$8)+1,1)</f>
        <v/>
      </c>
      <c r="BQ2863">
        <f>IF(2850&lt;$U$9,SUMPRODUCT(($D$10:$L$10&lt;&gt;"")*(($D$9:$L$9+INT(($S$12:$AA$12+INDEX($AJ$13:$AR$162,BN2863,0)+INDEX($AT$13:$BB$162,BO2863,0)+INDEX($BD$13:$BL$162,BP2863,0))/100))&gt;=$D$10:$L$10)),0)</f>
        <v/>
      </c>
      <c r="BR2863">
        <f>IF(2850&lt;$U$9,SUMPRODUCT(($D$10:$L$10&lt;&gt;"")*(($D$10:$L$10-($D$9:$L$9+INT(($S$12:$AA$12+INDEX($AJ$13:$AR$162,BN2863,0)+INDEX($AT$13:$BB$162,BO2863,0)+INDEX($BD$13:$BL$162,BP2863,0))/100)))&gt;0)*($D$10:$L$10-($D$9:$L$9+INT(($S$12:$AA$12+INDEX($AJ$13:$AR$162,BN2863,0)+INDEX($AT$13:$BB$162,BO2863,0)+INDEX($BD$13:$BL$162,BP2863,0))/100)))),0)</f>
        <v/>
      </c>
      <c r="BS2863">
        <f>IF(2850&lt;$U$9,SUMPRODUCT(($D$9:$L$9+INT(($S$12:$AA$12+INDEX($AJ$13:$AR$162,BN2863,0)+INDEX($AT$13:$BB$162,BO2863,0)+INDEX($BD$13:$BL$162,BP2863,0))/100))),0)</f>
        <v/>
      </c>
      <c r="BT2863">
        <f>IF(AND(2850&lt;$U$9,$W$5),BQ2863*1000000-MIN(BR2863,999)*1000+BS2863-2850/100000,-1000000000-2850)</f>
        <v/>
      </c>
    </row>
    <row r="2864">
      <c r="BN2864">
        <f>IF(2851&lt;$U$9,INT(2851/($U$7*$U$8))+1,1)</f>
        <v/>
      </c>
      <c r="BO2864">
        <f>IF(2851&lt;$U$9,MOD(INT(2851/$U$8),$U$7)+1,1)</f>
        <v/>
      </c>
      <c r="BP2864">
        <f>IF(2851&lt;$U$9,MOD(2851,$U$8)+1,1)</f>
        <v/>
      </c>
      <c r="BQ2864">
        <f>IF(2851&lt;$U$9,SUMPRODUCT(($D$10:$L$10&lt;&gt;"")*(($D$9:$L$9+INT(($S$12:$AA$12+INDEX($AJ$13:$AR$162,BN2864,0)+INDEX($AT$13:$BB$162,BO2864,0)+INDEX($BD$13:$BL$162,BP2864,0))/100))&gt;=$D$10:$L$10)),0)</f>
        <v/>
      </c>
      <c r="BR2864">
        <f>IF(2851&lt;$U$9,SUMPRODUCT(($D$10:$L$10&lt;&gt;"")*(($D$10:$L$10-($D$9:$L$9+INT(($S$12:$AA$12+INDEX($AJ$13:$AR$162,BN2864,0)+INDEX($AT$13:$BB$162,BO2864,0)+INDEX($BD$13:$BL$162,BP2864,0))/100)))&gt;0)*($D$10:$L$10-($D$9:$L$9+INT(($S$12:$AA$12+INDEX($AJ$13:$AR$162,BN2864,0)+INDEX($AT$13:$BB$162,BO2864,0)+INDEX($BD$13:$BL$162,BP2864,0))/100)))),0)</f>
        <v/>
      </c>
      <c r="BS2864">
        <f>IF(2851&lt;$U$9,SUMPRODUCT(($D$9:$L$9+INT(($S$12:$AA$12+INDEX($AJ$13:$AR$162,BN2864,0)+INDEX($AT$13:$BB$162,BO2864,0)+INDEX($BD$13:$BL$162,BP2864,0))/100))),0)</f>
        <v/>
      </c>
      <c r="BT2864">
        <f>IF(AND(2851&lt;$U$9,$W$5),BQ2864*1000000-MIN(BR2864,999)*1000+BS2864-2851/100000,-1000000000-2851)</f>
        <v/>
      </c>
    </row>
    <row r="2865">
      <c r="BN2865">
        <f>IF(2852&lt;$U$9,INT(2852/($U$7*$U$8))+1,1)</f>
        <v/>
      </c>
      <c r="BO2865">
        <f>IF(2852&lt;$U$9,MOD(INT(2852/$U$8),$U$7)+1,1)</f>
        <v/>
      </c>
      <c r="BP2865">
        <f>IF(2852&lt;$U$9,MOD(2852,$U$8)+1,1)</f>
        <v/>
      </c>
      <c r="BQ2865">
        <f>IF(2852&lt;$U$9,SUMPRODUCT(($D$10:$L$10&lt;&gt;"")*(($D$9:$L$9+INT(($S$12:$AA$12+INDEX($AJ$13:$AR$162,BN2865,0)+INDEX($AT$13:$BB$162,BO2865,0)+INDEX($BD$13:$BL$162,BP2865,0))/100))&gt;=$D$10:$L$10)),0)</f>
        <v/>
      </c>
      <c r="BR2865">
        <f>IF(2852&lt;$U$9,SUMPRODUCT(($D$10:$L$10&lt;&gt;"")*(($D$10:$L$10-($D$9:$L$9+INT(($S$12:$AA$12+INDEX($AJ$13:$AR$162,BN2865,0)+INDEX($AT$13:$BB$162,BO2865,0)+INDEX($BD$13:$BL$162,BP2865,0))/100)))&gt;0)*($D$10:$L$10-($D$9:$L$9+INT(($S$12:$AA$12+INDEX($AJ$13:$AR$162,BN2865,0)+INDEX($AT$13:$BB$162,BO2865,0)+INDEX($BD$13:$BL$162,BP2865,0))/100)))),0)</f>
        <v/>
      </c>
      <c r="BS2865">
        <f>IF(2852&lt;$U$9,SUMPRODUCT(($D$9:$L$9+INT(($S$12:$AA$12+INDEX($AJ$13:$AR$162,BN2865,0)+INDEX($AT$13:$BB$162,BO2865,0)+INDEX($BD$13:$BL$162,BP2865,0))/100))),0)</f>
        <v/>
      </c>
      <c r="BT2865">
        <f>IF(AND(2852&lt;$U$9,$W$5),BQ2865*1000000-MIN(BR2865,999)*1000+BS2865-2852/100000,-1000000000-2852)</f>
        <v/>
      </c>
    </row>
    <row r="2866">
      <c r="BN2866">
        <f>IF(2853&lt;$U$9,INT(2853/($U$7*$U$8))+1,1)</f>
        <v/>
      </c>
      <c r="BO2866">
        <f>IF(2853&lt;$U$9,MOD(INT(2853/$U$8),$U$7)+1,1)</f>
        <v/>
      </c>
      <c r="BP2866">
        <f>IF(2853&lt;$U$9,MOD(2853,$U$8)+1,1)</f>
        <v/>
      </c>
      <c r="BQ2866">
        <f>IF(2853&lt;$U$9,SUMPRODUCT(($D$10:$L$10&lt;&gt;"")*(($D$9:$L$9+INT(($S$12:$AA$12+INDEX($AJ$13:$AR$162,BN2866,0)+INDEX($AT$13:$BB$162,BO2866,0)+INDEX($BD$13:$BL$162,BP2866,0))/100))&gt;=$D$10:$L$10)),0)</f>
        <v/>
      </c>
      <c r="BR2866">
        <f>IF(2853&lt;$U$9,SUMPRODUCT(($D$10:$L$10&lt;&gt;"")*(($D$10:$L$10-($D$9:$L$9+INT(($S$12:$AA$12+INDEX($AJ$13:$AR$162,BN2866,0)+INDEX($AT$13:$BB$162,BO2866,0)+INDEX($BD$13:$BL$162,BP2866,0))/100)))&gt;0)*($D$10:$L$10-($D$9:$L$9+INT(($S$12:$AA$12+INDEX($AJ$13:$AR$162,BN2866,0)+INDEX($AT$13:$BB$162,BO2866,0)+INDEX($BD$13:$BL$162,BP2866,0))/100)))),0)</f>
        <v/>
      </c>
      <c r="BS2866">
        <f>IF(2853&lt;$U$9,SUMPRODUCT(($D$9:$L$9+INT(($S$12:$AA$12+INDEX($AJ$13:$AR$162,BN2866,0)+INDEX($AT$13:$BB$162,BO2866,0)+INDEX($BD$13:$BL$162,BP2866,0))/100))),0)</f>
        <v/>
      </c>
      <c r="BT2866">
        <f>IF(AND(2853&lt;$U$9,$W$5),BQ2866*1000000-MIN(BR2866,999)*1000+BS2866-2853/100000,-1000000000-2853)</f>
        <v/>
      </c>
    </row>
    <row r="2867">
      <c r="BN2867">
        <f>IF(2854&lt;$U$9,INT(2854/($U$7*$U$8))+1,1)</f>
        <v/>
      </c>
      <c r="BO2867">
        <f>IF(2854&lt;$U$9,MOD(INT(2854/$U$8),$U$7)+1,1)</f>
        <v/>
      </c>
      <c r="BP2867">
        <f>IF(2854&lt;$U$9,MOD(2854,$U$8)+1,1)</f>
        <v/>
      </c>
      <c r="BQ2867">
        <f>IF(2854&lt;$U$9,SUMPRODUCT(($D$10:$L$10&lt;&gt;"")*(($D$9:$L$9+INT(($S$12:$AA$12+INDEX($AJ$13:$AR$162,BN2867,0)+INDEX($AT$13:$BB$162,BO2867,0)+INDEX($BD$13:$BL$162,BP2867,0))/100))&gt;=$D$10:$L$10)),0)</f>
        <v/>
      </c>
      <c r="BR2867">
        <f>IF(2854&lt;$U$9,SUMPRODUCT(($D$10:$L$10&lt;&gt;"")*(($D$10:$L$10-($D$9:$L$9+INT(($S$12:$AA$12+INDEX($AJ$13:$AR$162,BN2867,0)+INDEX($AT$13:$BB$162,BO2867,0)+INDEX($BD$13:$BL$162,BP2867,0))/100)))&gt;0)*($D$10:$L$10-($D$9:$L$9+INT(($S$12:$AA$12+INDEX($AJ$13:$AR$162,BN2867,0)+INDEX($AT$13:$BB$162,BO2867,0)+INDEX($BD$13:$BL$162,BP2867,0))/100)))),0)</f>
        <v/>
      </c>
      <c r="BS2867">
        <f>IF(2854&lt;$U$9,SUMPRODUCT(($D$9:$L$9+INT(($S$12:$AA$12+INDEX($AJ$13:$AR$162,BN2867,0)+INDEX($AT$13:$BB$162,BO2867,0)+INDEX($BD$13:$BL$162,BP2867,0))/100))),0)</f>
        <v/>
      </c>
      <c r="BT2867">
        <f>IF(AND(2854&lt;$U$9,$W$5),BQ2867*1000000-MIN(BR2867,999)*1000+BS2867-2854/100000,-1000000000-2854)</f>
        <v/>
      </c>
    </row>
    <row r="2868">
      <c r="BN2868">
        <f>IF(2855&lt;$U$9,INT(2855/($U$7*$U$8))+1,1)</f>
        <v/>
      </c>
      <c r="BO2868">
        <f>IF(2855&lt;$U$9,MOD(INT(2855/$U$8),$U$7)+1,1)</f>
        <v/>
      </c>
      <c r="BP2868">
        <f>IF(2855&lt;$U$9,MOD(2855,$U$8)+1,1)</f>
        <v/>
      </c>
      <c r="BQ2868">
        <f>IF(2855&lt;$U$9,SUMPRODUCT(($D$10:$L$10&lt;&gt;"")*(($D$9:$L$9+INT(($S$12:$AA$12+INDEX($AJ$13:$AR$162,BN2868,0)+INDEX($AT$13:$BB$162,BO2868,0)+INDEX($BD$13:$BL$162,BP2868,0))/100))&gt;=$D$10:$L$10)),0)</f>
        <v/>
      </c>
      <c r="BR2868">
        <f>IF(2855&lt;$U$9,SUMPRODUCT(($D$10:$L$10&lt;&gt;"")*(($D$10:$L$10-($D$9:$L$9+INT(($S$12:$AA$12+INDEX($AJ$13:$AR$162,BN2868,0)+INDEX($AT$13:$BB$162,BO2868,0)+INDEX($BD$13:$BL$162,BP2868,0))/100)))&gt;0)*($D$10:$L$10-($D$9:$L$9+INT(($S$12:$AA$12+INDEX($AJ$13:$AR$162,BN2868,0)+INDEX($AT$13:$BB$162,BO2868,0)+INDEX($BD$13:$BL$162,BP2868,0))/100)))),0)</f>
        <v/>
      </c>
      <c r="BS2868">
        <f>IF(2855&lt;$U$9,SUMPRODUCT(($D$9:$L$9+INT(($S$12:$AA$12+INDEX($AJ$13:$AR$162,BN2868,0)+INDEX($AT$13:$BB$162,BO2868,0)+INDEX($BD$13:$BL$162,BP2868,0))/100))),0)</f>
        <v/>
      </c>
      <c r="BT2868">
        <f>IF(AND(2855&lt;$U$9,$W$5),BQ2868*1000000-MIN(BR2868,999)*1000+BS2868-2855/100000,-1000000000-2855)</f>
        <v/>
      </c>
    </row>
    <row r="2869">
      <c r="BN2869">
        <f>IF(2856&lt;$U$9,INT(2856/($U$7*$U$8))+1,1)</f>
        <v/>
      </c>
      <c r="BO2869">
        <f>IF(2856&lt;$U$9,MOD(INT(2856/$U$8),$U$7)+1,1)</f>
        <v/>
      </c>
      <c r="BP2869">
        <f>IF(2856&lt;$U$9,MOD(2856,$U$8)+1,1)</f>
        <v/>
      </c>
      <c r="BQ2869">
        <f>IF(2856&lt;$U$9,SUMPRODUCT(($D$10:$L$10&lt;&gt;"")*(($D$9:$L$9+INT(($S$12:$AA$12+INDEX($AJ$13:$AR$162,BN2869,0)+INDEX($AT$13:$BB$162,BO2869,0)+INDEX($BD$13:$BL$162,BP2869,0))/100))&gt;=$D$10:$L$10)),0)</f>
        <v/>
      </c>
      <c r="BR2869">
        <f>IF(2856&lt;$U$9,SUMPRODUCT(($D$10:$L$10&lt;&gt;"")*(($D$10:$L$10-($D$9:$L$9+INT(($S$12:$AA$12+INDEX($AJ$13:$AR$162,BN2869,0)+INDEX($AT$13:$BB$162,BO2869,0)+INDEX($BD$13:$BL$162,BP2869,0))/100)))&gt;0)*($D$10:$L$10-($D$9:$L$9+INT(($S$12:$AA$12+INDEX($AJ$13:$AR$162,BN2869,0)+INDEX($AT$13:$BB$162,BO2869,0)+INDEX($BD$13:$BL$162,BP2869,0))/100)))),0)</f>
        <v/>
      </c>
      <c r="BS2869">
        <f>IF(2856&lt;$U$9,SUMPRODUCT(($D$9:$L$9+INT(($S$12:$AA$12+INDEX($AJ$13:$AR$162,BN2869,0)+INDEX($AT$13:$BB$162,BO2869,0)+INDEX($BD$13:$BL$162,BP2869,0))/100))),0)</f>
        <v/>
      </c>
      <c r="BT2869">
        <f>IF(AND(2856&lt;$U$9,$W$5),BQ2869*1000000-MIN(BR2869,999)*1000+BS2869-2856/100000,-1000000000-2856)</f>
        <v/>
      </c>
    </row>
    <row r="2870">
      <c r="BN2870">
        <f>IF(2857&lt;$U$9,INT(2857/($U$7*$U$8))+1,1)</f>
        <v/>
      </c>
      <c r="BO2870">
        <f>IF(2857&lt;$U$9,MOD(INT(2857/$U$8),$U$7)+1,1)</f>
        <v/>
      </c>
      <c r="BP2870">
        <f>IF(2857&lt;$U$9,MOD(2857,$U$8)+1,1)</f>
        <v/>
      </c>
      <c r="BQ2870">
        <f>IF(2857&lt;$U$9,SUMPRODUCT(($D$10:$L$10&lt;&gt;"")*(($D$9:$L$9+INT(($S$12:$AA$12+INDEX($AJ$13:$AR$162,BN2870,0)+INDEX($AT$13:$BB$162,BO2870,0)+INDEX($BD$13:$BL$162,BP2870,0))/100))&gt;=$D$10:$L$10)),0)</f>
        <v/>
      </c>
      <c r="BR2870">
        <f>IF(2857&lt;$U$9,SUMPRODUCT(($D$10:$L$10&lt;&gt;"")*(($D$10:$L$10-($D$9:$L$9+INT(($S$12:$AA$12+INDEX($AJ$13:$AR$162,BN2870,0)+INDEX($AT$13:$BB$162,BO2870,0)+INDEX($BD$13:$BL$162,BP2870,0))/100)))&gt;0)*($D$10:$L$10-($D$9:$L$9+INT(($S$12:$AA$12+INDEX($AJ$13:$AR$162,BN2870,0)+INDEX($AT$13:$BB$162,BO2870,0)+INDEX($BD$13:$BL$162,BP2870,0))/100)))),0)</f>
        <v/>
      </c>
      <c r="BS2870">
        <f>IF(2857&lt;$U$9,SUMPRODUCT(($D$9:$L$9+INT(($S$12:$AA$12+INDEX($AJ$13:$AR$162,BN2870,0)+INDEX($AT$13:$BB$162,BO2870,0)+INDEX($BD$13:$BL$162,BP2870,0))/100))),0)</f>
        <v/>
      </c>
      <c r="BT2870">
        <f>IF(AND(2857&lt;$U$9,$W$5),BQ2870*1000000-MIN(BR2870,999)*1000+BS2870-2857/100000,-1000000000-2857)</f>
        <v/>
      </c>
    </row>
    <row r="2871">
      <c r="BN2871">
        <f>IF(2858&lt;$U$9,INT(2858/($U$7*$U$8))+1,1)</f>
        <v/>
      </c>
      <c r="BO2871">
        <f>IF(2858&lt;$U$9,MOD(INT(2858/$U$8),$U$7)+1,1)</f>
        <v/>
      </c>
      <c r="BP2871">
        <f>IF(2858&lt;$U$9,MOD(2858,$U$8)+1,1)</f>
        <v/>
      </c>
      <c r="BQ2871">
        <f>IF(2858&lt;$U$9,SUMPRODUCT(($D$10:$L$10&lt;&gt;"")*(($D$9:$L$9+INT(($S$12:$AA$12+INDEX($AJ$13:$AR$162,BN2871,0)+INDEX($AT$13:$BB$162,BO2871,0)+INDEX($BD$13:$BL$162,BP2871,0))/100))&gt;=$D$10:$L$10)),0)</f>
        <v/>
      </c>
      <c r="BR2871">
        <f>IF(2858&lt;$U$9,SUMPRODUCT(($D$10:$L$10&lt;&gt;"")*(($D$10:$L$10-($D$9:$L$9+INT(($S$12:$AA$12+INDEX($AJ$13:$AR$162,BN2871,0)+INDEX($AT$13:$BB$162,BO2871,0)+INDEX($BD$13:$BL$162,BP2871,0))/100)))&gt;0)*($D$10:$L$10-($D$9:$L$9+INT(($S$12:$AA$12+INDEX($AJ$13:$AR$162,BN2871,0)+INDEX($AT$13:$BB$162,BO2871,0)+INDEX($BD$13:$BL$162,BP2871,0))/100)))),0)</f>
        <v/>
      </c>
      <c r="BS2871">
        <f>IF(2858&lt;$U$9,SUMPRODUCT(($D$9:$L$9+INT(($S$12:$AA$12+INDEX($AJ$13:$AR$162,BN2871,0)+INDEX($AT$13:$BB$162,BO2871,0)+INDEX($BD$13:$BL$162,BP2871,0))/100))),0)</f>
        <v/>
      </c>
      <c r="BT2871">
        <f>IF(AND(2858&lt;$U$9,$W$5),BQ2871*1000000-MIN(BR2871,999)*1000+BS2871-2858/100000,-1000000000-2858)</f>
        <v/>
      </c>
    </row>
    <row r="2872">
      <c r="BN2872">
        <f>IF(2859&lt;$U$9,INT(2859/($U$7*$U$8))+1,1)</f>
        <v/>
      </c>
      <c r="BO2872">
        <f>IF(2859&lt;$U$9,MOD(INT(2859/$U$8),$U$7)+1,1)</f>
        <v/>
      </c>
      <c r="BP2872">
        <f>IF(2859&lt;$U$9,MOD(2859,$U$8)+1,1)</f>
        <v/>
      </c>
      <c r="BQ2872">
        <f>IF(2859&lt;$U$9,SUMPRODUCT(($D$10:$L$10&lt;&gt;"")*(($D$9:$L$9+INT(($S$12:$AA$12+INDEX($AJ$13:$AR$162,BN2872,0)+INDEX($AT$13:$BB$162,BO2872,0)+INDEX($BD$13:$BL$162,BP2872,0))/100))&gt;=$D$10:$L$10)),0)</f>
        <v/>
      </c>
      <c r="BR2872">
        <f>IF(2859&lt;$U$9,SUMPRODUCT(($D$10:$L$10&lt;&gt;"")*(($D$10:$L$10-($D$9:$L$9+INT(($S$12:$AA$12+INDEX($AJ$13:$AR$162,BN2872,0)+INDEX($AT$13:$BB$162,BO2872,0)+INDEX($BD$13:$BL$162,BP2872,0))/100)))&gt;0)*($D$10:$L$10-($D$9:$L$9+INT(($S$12:$AA$12+INDEX($AJ$13:$AR$162,BN2872,0)+INDEX($AT$13:$BB$162,BO2872,0)+INDEX($BD$13:$BL$162,BP2872,0))/100)))),0)</f>
        <v/>
      </c>
      <c r="BS2872">
        <f>IF(2859&lt;$U$9,SUMPRODUCT(($D$9:$L$9+INT(($S$12:$AA$12+INDEX($AJ$13:$AR$162,BN2872,0)+INDEX($AT$13:$BB$162,BO2872,0)+INDEX($BD$13:$BL$162,BP2872,0))/100))),0)</f>
        <v/>
      </c>
      <c r="BT2872">
        <f>IF(AND(2859&lt;$U$9,$W$5),BQ2872*1000000-MIN(BR2872,999)*1000+BS2872-2859/100000,-1000000000-2859)</f>
        <v/>
      </c>
    </row>
    <row r="2873">
      <c r="BN2873">
        <f>IF(2860&lt;$U$9,INT(2860/($U$7*$U$8))+1,1)</f>
        <v/>
      </c>
      <c r="BO2873">
        <f>IF(2860&lt;$U$9,MOD(INT(2860/$U$8),$U$7)+1,1)</f>
        <v/>
      </c>
      <c r="BP2873">
        <f>IF(2860&lt;$U$9,MOD(2860,$U$8)+1,1)</f>
        <v/>
      </c>
      <c r="BQ2873">
        <f>IF(2860&lt;$U$9,SUMPRODUCT(($D$10:$L$10&lt;&gt;"")*(($D$9:$L$9+INT(($S$12:$AA$12+INDEX($AJ$13:$AR$162,BN2873,0)+INDEX($AT$13:$BB$162,BO2873,0)+INDEX($BD$13:$BL$162,BP2873,0))/100))&gt;=$D$10:$L$10)),0)</f>
        <v/>
      </c>
      <c r="BR2873">
        <f>IF(2860&lt;$U$9,SUMPRODUCT(($D$10:$L$10&lt;&gt;"")*(($D$10:$L$10-($D$9:$L$9+INT(($S$12:$AA$12+INDEX($AJ$13:$AR$162,BN2873,0)+INDEX($AT$13:$BB$162,BO2873,0)+INDEX($BD$13:$BL$162,BP2873,0))/100)))&gt;0)*($D$10:$L$10-($D$9:$L$9+INT(($S$12:$AA$12+INDEX($AJ$13:$AR$162,BN2873,0)+INDEX($AT$13:$BB$162,BO2873,0)+INDEX($BD$13:$BL$162,BP2873,0))/100)))),0)</f>
        <v/>
      </c>
      <c r="BS2873">
        <f>IF(2860&lt;$U$9,SUMPRODUCT(($D$9:$L$9+INT(($S$12:$AA$12+INDEX($AJ$13:$AR$162,BN2873,0)+INDEX($AT$13:$BB$162,BO2873,0)+INDEX($BD$13:$BL$162,BP2873,0))/100))),0)</f>
        <v/>
      </c>
      <c r="BT2873">
        <f>IF(AND(2860&lt;$U$9,$W$5),BQ2873*1000000-MIN(BR2873,999)*1000+BS2873-2860/100000,-1000000000-2860)</f>
        <v/>
      </c>
    </row>
    <row r="2874">
      <c r="BN2874">
        <f>IF(2861&lt;$U$9,INT(2861/($U$7*$U$8))+1,1)</f>
        <v/>
      </c>
      <c r="BO2874">
        <f>IF(2861&lt;$U$9,MOD(INT(2861/$U$8),$U$7)+1,1)</f>
        <v/>
      </c>
      <c r="BP2874">
        <f>IF(2861&lt;$U$9,MOD(2861,$U$8)+1,1)</f>
        <v/>
      </c>
      <c r="BQ2874">
        <f>IF(2861&lt;$U$9,SUMPRODUCT(($D$10:$L$10&lt;&gt;"")*(($D$9:$L$9+INT(($S$12:$AA$12+INDEX($AJ$13:$AR$162,BN2874,0)+INDEX($AT$13:$BB$162,BO2874,0)+INDEX($BD$13:$BL$162,BP2874,0))/100))&gt;=$D$10:$L$10)),0)</f>
        <v/>
      </c>
      <c r="BR2874">
        <f>IF(2861&lt;$U$9,SUMPRODUCT(($D$10:$L$10&lt;&gt;"")*(($D$10:$L$10-($D$9:$L$9+INT(($S$12:$AA$12+INDEX($AJ$13:$AR$162,BN2874,0)+INDEX($AT$13:$BB$162,BO2874,0)+INDEX($BD$13:$BL$162,BP2874,0))/100)))&gt;0)*($D$10:$L$10-($D$9:$L$9+INT(($S$12:$AA$12+INDEX($AJ$13:$AR$162,BN2874,0)+INDEX($AT$13:$BB$162,BO2874,0)+INDEX($BD$13:$BL$162,BP2874,0))/100)))),0)</f>
        <v/>
      </c>
      <c r="BS2874">
        <f>IF(2861&lt;$U$9,SUMPRODUCT(($D$9:$L$9+INT(($S$12:$AA$12+INDEX($AJ$13:$AR$162,BN2874,0)+INDEX($AT$13:$BB$162,BO2874,0)+INDEX($BD$13:$BL$162,BP2874,0))/100))),0)</f>
        <v/>
      </c>
      <c r="BT2874">
        <f>IF(AND(2861&lt;$U$9,$W$5),BQ2874*1000000-MIN(BR2874,999)*1000+BS2874-2861/100000,-1000000000-2861)</f>
        <v/>
      </c>
    </row>
    <row r="2875">
      <c r="BN2875">
        <f>IF(2862&lt;$U$9,INT(2862/($U$7*$U$8))+1,1)</f>
        <v/>
      </c>
      <c r="BO2875">
        <f>IF(2862&lt;$U$9,MOD(INT(2862/$U$8),$U$7)+1,1)</f>
        <v/>
      </c>
      <c r="BP2875">
        <f>IF(2862&lt;$U$9,MOD(2862,$U$8)+1,1)</f>
        <v/>
      </c>
      <c r="BQ2875">
        <f>IF(2862&lt;$U$9,SUMPRODUCT(($D$10:$L$10&lt;&gt;"")*(($D$9:$L$9+INT(($S$12:$AA$12+INDEX($AJ$13:$AR$162,BN2875,0)+INDEX($AT$13:$BB$162,BO2875,0)+INDEX($BD$13:$BL$162,BP2875,0))/100))&gt;=$D$10:$L$10)),0)</f>
        <v/>
      </c>
      <c r="BR2875">
        <f>IF(2862&lt;$U$9,SUMPRODUCT(($D$10:$L$10&lt;&gt;"")*(($D$10:$L$10-($D$9:$L$9+INT(($S$12:$AA$12+INDEX($AJ$13:$AR$162,BN2875,0)+INDEX($AT$13:$BB$162,BO2875,0)+INDEX($BD$13:$BL$162,BP2875,0))/100)))&gt;0)*($D$10:$L$10-($D$9:$L$9+INT(($S$12:$AA$12+INDEX($AJ$13:$AR$162,BN2875,0)+INDEX($AT$13:$BB$162,BO2875,0)+INDEX($BD$13:$BL$162,BP2875,0))/100)))),0)</f>
        <v/>
      </c>
      <c r="BS2875">
        <f>IF(2862&lt;$U$9,SUMPRODUCT(($D$9:$L$9+INT(($S$12:$AA$12+INDEX($AJ$13:$AR$162,BN2875,0)+INDEX($AT$13:$BB$162,BO2875,0)+INDEX($BD$13:$BL$162,BP2875,0))/100))),0)</f>
        <v/>
      </c>
      <c r="BT2875">
        <f>IF(AND(2862&lt;$U$9,$W$5),BQ2875*1000000-MIN(BR2875,999)*1000+BS2875-2862/100000,-1000000000-2862)</f>
        <v/>
      </c>
    </row>
    <row r="2876">
      <c r="BN2876">
        <f>IF(2863&lt;$U$9,INT(2863/($U$7*$U$8))+1,1)</f>
        <v/>
      </c>
      <c r="BO2876">
        <f>IF(2863&lt;$U$9,MOD(INT(2863/$U$8),$U$7)+1,1)</f>
        <v/>
      </c>
      <c r="BP2876">
        <f>IF(2863&lt;$U$9,MOD(2863,$U$8)+1,1)</f>
        <v/>
      </c>
      <c r="BQ2876">
        <f>IF(2863&lt;$U$9,SUMPRODUCT(($D$10:$L$10&lt;&gt;"")*(($D$9:$L$9+INT(($S$12:$AA$12+INDEX($AJ$13:$AR$162,BN2876,0)+INDEX($AT$13:$BB$162,BO2876,0)+INDEX($BD$13:$BL$162,BP2876,0))/100))&gt;=$D$10:$L$10)),0)</f>
        <v/>
      </c>
      <c r="BR2876">
        <f>IF(2863&lt;$U$9,SUMPRODUCT(($D$10:$L$10&lt;&gt;"")*(($D$10:$L$10-($D$9:$L$9+INT(($S$12:$AA$12+INDEX($AJ$13:$AR$162,BN2876,0)+INDEX($AT$13:$BB$162,BO2876,0)+INDEX($BD$13:$BL$162,BP2876,0))/100)))&gt;0)*($D$10:$L$10-($D$9:$L$9+INT(($S$12:$AA$12+INDEX($AJ$13:$AR$162,BN2876,0)+INDEX($AT$13:$BB$162,BO2876,0)+INDEX($BD$13:$BL$162,BP2876,0))/100)))),0)</f>
        <v/>
      </c>
      <c r="BS2876">
        <f>IF(2863&lt;$U$9,SUMPRODUCT(($D$9:$L$9+INT(($S$12:$AA$12+INDEX($AJ$13:$AR$162,BN2876,0)+INDEX($AT$13:$BB$162,BO2876,0)+INDEX($BD$13:$BL$162,BP2876,0))/100))),0)</f>
        <v/>
      </c>
      <c r="BT2876">
        <f>IF(AND(2863&lt;$U$9,$W$5),BQ2876*1000000-MIN(BR2876,999)*1000+BS2876-2863/100000,-1000000000-2863)</f>
        <v/>
      </c>
    </row>
    <row r="2877">
      <c r="BN2877">
        <f>IF(2864&lt;$U$9,INT(2864/($U$7*$U$8))+1,1)</f>
        <v/>
      </c>
      <c r="BO2877">
        <f>IF(2864&lt;$U$9,MOD(INT(2864/$U$8),$U$7)+1,1)</f>
        <v/>
      </c>
      <c r="BP2877">
        <f>IF(2864&lt;$U$9,MOD(2864,$U$8)+1,1)</f>
        <v/>
      </c>
      <c r="BQ2877">
        <f>IF(2864&lt;$U$9,SUMPRODUCT(($D$10:$L$10&lt;&gt;"")*(($D$9:$L$9+INT(($S$12:$AA$12+INDEX($AJ$13:$AR$162,BN2877,0)+INDEX($AT$13:$BB$162,BO2877,0)+INDEX($BD$13:$BL$162,BP2877,0))/100))&gt;=$D$10:$L$10)),0)</f>
        <v/>
      </c>
      <c r="BR2877">
        <f>IF(2864&lt;$U$9,SUMPRODUCT(($D$10:$L$10&lt;&gt;"")*(($D$10:$L$10-($D$9:$L$9+INT(($S$12:$AA$12+INDEX($AJ$13:$AR$162,BN2877,0)+INDEX($AT$13:$BB$162,BO2877,0)+INDEX($BD$13:$BL$162,BP2877,0))/100)))&gt;0)*($D$10:$L$10-($D$9:$L$9+INT(($S$12:$AA$12+INDEX($AJ$13:$AR$162,BN2877,0)+INDEX($AT$13:$BB$162,BO2877,0)+INDEX($BD$13:$BL$162,BP2877,0))/100)))),0)</f>
        <v/>
      </c>
      <c r="BS2877">
        <f>IF(2864&lt;$U$9,SUMPRODUCT(($D$9:$L$9+INT(($S$12:$AA$12+INDEX($AJ$13:$AR$162,BN2877,0)+INDEX($AT$13:$BB$162,BO2877,0)+INDEX($BD$13:$BL$162,BP2877,0))/100))),0)</f>
        <v/>
      </c>
      <c r="BT2877">
        <f>IF(AND(2864&lt;$U$9,$W$5),BQ2877*1000000-MIN(BR2877,999)*1000+BS2877-2864/100000,-1000000000-2864)</f>
        <v/>
      </c>
    </row>
    <row r="2878">
      <c r="BN2878">
        <f>IF(2865&lt;$U$9,INT(2865/($U$7*$U$8))+1,1)</f>
        <v/>
      </c>
      <c r="BO2878">
        <f>IF(2865&lt;$U$9,MOD(INT(2865/$U$8),$U$7)+1,1)</f>
        <v/>
      </c>
      <c r="BP2878">
        <f>IF(2865&lt;$U$9,MOD(2865,$U$8)+1,1)</f>
        <v/>
      </c>
      <c r="BQ2878">
        <f>IF(2865&lt;$U$9,SUMPRODUCT(($D$10:$L$10&lt;&gt;"")*(($D$9:$L$9+INT(($S$12:$AA$12+INDEX($AJ$13:$AR$162,BN2878,0)+INDEX($AT$13:$BB$162,BO2878,0)+INDEX($BD$13:$BL$162,BP2878,0))/100))&gt;=$D$10:$L$10)),0)</f>
        <v/>
      </c>
      <c r="BR2878">
        <f>IF(2865&lt;$U$9,SUMPRODUCT(($D$10:$L$10&lt;&gt;"")*(($D$10:$L$10-($D$9:$L$9+INT(($S$12:$AA$12+INDEX($AJ$13:$AR$162,BN2878,0)+INDEX($AT$13:$BB$162,BO2878,0)+INDEX($BD$13:$BL$162,BP2878,0))/100)))&gt;0)*($D$10:$L$10-($D$9:$L$9+INT(($S$12:$AA$12+INDEX($AJ$13:$AR$162,BN2878,0)+INDEX($AT$13:$BB$162,BO2878,0)+INDEX($BD$13:$BL$162,BP2878,0))/100)))),0)</f>
        <v/>
      </c>
      <c r="BS2878">
        <f>IF(2865&lt;$U$9,SUMPRODUCT(($D$9:$L$9+INT(($S$12:$AA$12+INDEX($AJ$13:$AR$162,BN2878,0)+INDEX($AT$13:$BB$162,BO2878,0)+INDEX($BD$13:$BL$162,BP2878,0))/100))),0)</f>
        <v/>
      </c>
      <c r="BT2878">
        <f>IF(AND(2865&lt;$U$9,$W$5),BQ2878*1000000-MIN(BR2878,999)*1000+BS2878-2865/100000,-1000000000-2865)</f>
        <v/>
      </c>
    </row>
    <row r="2879">
      <c r="BN2879">
        <f>IF(2866&lt;$U$9,INT(2866/($U$7*$U$8))+1,1)</f>
        <v/>
      </c>
      <c r="BO2879">
        <f>IF(2866&lt;$U$9,MOD(INT(2866/$U$8),$U$7)+1,1)</f>
        <v/>
      </c>
      <c r="BP2879">
        <f>IF(2866&lt;$U$9,MOD(2866,$U$8)+1,1)</f>
        <v/>
      </c>
      <c r="BQ2879">
        <f>IF(2866&lt;$U$9,SUMPRODUCT(($D$10:$L$10&lt;&gt;"")*(($D$9:$L$9+INT(($S$12:$AA$12+INDEX($AJ$13:$AR$162,BN2879,0)+INDEX($AT$13:$BB$162,BO2879,0)+INDEX($BD$13:$BL$162,BP2879,0))/100))&gt;=$D$10:$L$10)),0)</f>
        <v/>
      </c>
      <c r="BR2879">
        <f>IF(2866&lt;$U$9,SUMPRODUCT(($D$10:$L$10&lt;&gt;"")*(($D$10:$L$10-($D$9:$L$9+INT(($S$12:$AA$12+INDEX($AJ$13:$AR$162,BN2879,0)+INDEX($AT$13:$BB$162,BO2879,0)+INDEX($BD$13:$BL$162,BP2879,0))/100)))&gt;0)*($D$10:$L$10-($D$9:$L$9+INT(($S$12:$AA$12+INDEX($AJ$13:$AR$162,BN2879,0)+INDEX($AT$13:$BB$162,BO2879,0)+INDEX($BD$13:$BL$162,BP2879,0))/100)))),0)</f>
        <v/>
      </c>
      <c r="BS2879">
        <f>IF(2866&lt;$U$9,SUMPRODUCT(($D$9:$L$9+INT(($S$12:$AA$12+INDEX($AJ$13:$AR$162,BN2879,0)+INDEX($AT$13:$BB$162,BO2879,0)+INDEX($BD$13:$BL$162,BP2879,0))/100))),0)</f>
        <v/>
      </c>
      <c r="BT2879">
        <f>IF(AND(2866&lt;$U$9,$W$5),BQ2879*1000000-MIN(BR2879,999)*1000+BS2879-2866/100000,-1000000000-2866)</f>
        <v/>
      </c>
    </row>
    <row r="2880">
      <c r="BN2880">
        <f>IF(2867&lt;$U$9,INT(2867/($U$7*$U$8))+1,1)</f>
        <v/>
      </c>
      <c r="BO2880">
        <f>IF(2867&lt;$U$9,MOD(INT(2867/$U$8),$U$7)+1,1)</f>
        <v/>
      </c>
      <c r="BP2880">
        <f>IF(2867&lt;$U$9,MOD(2867,$U$8)+1,1)</f>
        <v/>
      </c>
      <c r="BQ2880">
        <f>IF(2867&lt;$U$9,SUMPRODUCT(($D$10:$L$10&lt;&gt;"")*(($D$9:$L$9+INT(($S$12:$AA$12+INDEX($AJ$13:$AR$162,BN2880,0)+INDEX($AT$13:$BB$162,BO2880,0)+INDEX($BD$13:$BL$162,BP2880,0))/100))&gt;=$D$10:$L$10)),0)</f>
        <v/>
      </c>
      <c r="BR2880">
        <f>IF(2867&lt;$U$9,SUMPRODUCT(($D$10:$L$10&lt;&gt;"")*(($D$10:$L$10-($D$9:$L$9+INT(($S$12:$AA$12+INDEX($AJ$13:$AR$162,BN2880,0)+INDEX($AT$13:$BB$162,BO2880,0)+INDEX($BD$13:$BL$162,BP2880,0))/100)))&gt;0)*($D$10:$L$10-($D$9:$L$9+INT(($S$12:$AA$12+INDEX($AJ$13:$AR$162,BN2880,0)+INDEX($AT$13:$BB$162,BO2880,0)+INDEX($BD$13:$BL$162,BP2880,0))/100)))),0)</f>
        <v/>
      </c>
      <c r="BS2880">
        <f>IF(2867&lt;$U$9,SUMPRODUCT(($D$9:$L$9+INT(($S$12:$AA$12+INDEX($AJ$13:$AR$162,BN2880,0)+INDEX($AT$13:$BB$162,BO2880,0)+INDEX($BD$13:$BL$162,BP2880,0))/100))),0)</f>
        <v/>
      </c>
      <c r="BT2880">
        <f>IF(AND(2867&lt;$U$9,$W$5),BQ2880*1000000-MIN(BR2880,999)*1000+BS2880-2867/100000,-1000000000-2867)</f>
        <v/>
      </c>
    </row>
    <row r="2881">
      <c r="BN2881">
        <f>IF(2868&lt;$U$9,INT(2868/($U$7*$U$8))+1,1)</f>
        <v/>
      </c>
      <c r="BO2881">
        <f>IF(2868&lt;$U$9,MOD(INT(2868/$U$8),$U$7)+1,1)</f>
        <v/>
      </c>
      <c r="BP2881">
        <f>IF(2868&lt;$U$9,MOD(2868,$U$8)+1,1)</f>
        <v/>
      </c>
      <c r="BQ2881">
        <f>IF(2868&lt;$U$9,SUMPRODUCT(($D$10:$L$10&lt;&gt;"")*(($D$9:$L$9+INT(($S$12:$AA$12+INDEX($AJ$13:$AR$162,BN2881,0)+INDEX($AT$13:$BB$162,BO2881,0)+INDEX($BD$13:$BL$162,BP2881,0))/100))&gt;=$D$10:$L$10)),0)</f>
        <v/>
      </c>
      <c r="BR2881">
        <f>IF(2868&lt;$U$9,SUMPRODUCT(($D$10:$L$10&lt;&gt;"")*(($D$10:$L$10-($D$9:$L$9+INT(($S$12:$AA$12+INDEX($AJ$13:$AR$162,BN2881,0)+INDEX($AT$13:$BB$162,BO2881,0)+INDEX($BD$13:$BL$162,BP2881,0))/100)))&gt;0)*($D$10:$L$10-($D$9:$L$9+INT(($S$12:$AA$12+INDEX($AJ$13:$AR$162,BN2881,0)+INDEX($AT$13:$BB$162,BO2881,0)+INDEX($BD$13:$BL$162,BP2881,0))/100)))),0)</f>
        <v/>
      </c>
      <c r="BS2881">
        <f>IF(2868&lt;$U$9,SUMPRODUCT(($D$9:$L$9+INT(($S$12:$AA$12+INDEX($AJ$13:$AR$162,BN2881,0)+INDEX($AT$13:$BB$162,BO2881,0)+INDEX($BD$13:$BL$162,BP2881,0))/100))),0)</f>
        <v/>
      </c>
      <c r="BT2881">
        <f>IF(AND(2868&lt;$U$9,$W$5),BQ2881*1000000-MIN(BR2881,999)*1000+BS2881-2868/100000,-1000000000-2868)</f>
        <v/>
      </c>
    </row>
    <row r="2882">
      <c r="BN2882">
        <f>IF(2869&lt;$U$9,INT(2869/($U$7*$U$8))+1,1)</f>
        <v/>
      </c>
      <c r="BO2882">
        <f>IF(2869&lt;$U$9,MOD(INT(2869/$U$8),$U$7)+1,1)</f>
        <v/>
      </c>
      <c r="BP2882">
        <f>IF(2869&lt;$U$9,MOD(2869,$U$8)+1,1)</f>
        <v/>
      </c>
      <c r="BQ2882">
        <f>IF(2869&lt;$U$9,SUMPRODUCT(($D$10:$L$10&lt;&gt;"")*(($D$9:$L$9+INT(($S$12:$AA$12+INDEX($AJ$13:$AR$162,BN2882,0)+INDEX($AT$13:$BB$162,BO2882,0)+INDEX($BD$13:$BL$162,BP2882,0))/100))&gt;=$D$10:$L$10)),0)</f>
        <v/>
      </c>
      <c r="BR2882">
        <f>IF(2869&lt;$U$9,SUMPRODUCT(($D$10:$L$10&lt;&gt;"")*(($D$10:$L$10-($D$9:$L$9+INT(($S$12:$AA$12+INDEX($AJ$13:$AR$162,BN2882,0)+INDEX($AT$13:$BB$162,BO2882,0)+INDEX($BD$13:$BL$162,BP2882,0))/100)))&gt;0)*($D$10:$L$10-($D$9:$L$9+INT(($S$12:$AA$12+INDEX($AJ$13:$AR$162,BN2882,0)+INDEX($AT$13:$BB$162,BO2882,0)+INDEX($BD$13:$BL$162,BP2882,0))/100)))),0)</f>
        <v/>
      </c>
      <c r="BS2882">
        <f>IF(2869&lt;$U$9,SUMPRODUCT(($D$9:$L$9+INT(($S$12:$AA$12+INDEX($AJ$13:$AR$162,BN2882,0)+INDEX($AT$13:$BB$162,BO2882,0)+INDEX($BD$13:$BL$162,BP2882,0))/100))),0)</f>
        <v/>
      </c>
      <c r="BT2882">
        <f>IF(AND(2869&lt;$U$9,$W$5),BQ2882*1000000-MIN(BR2882,999)*1000+BS2882-2869/100000,-1000000000-2869)</f>
        <v/>
      </c>
    </row>
    <row r="2883">
      <c r="BN2883">
        <f>IF(2870&lt;$U$9,INT(2870/($U$7*$U$8))+1,1)</f>
        <v/>
      </c>
      <c r="BO2883">
        <f>IF(2870&lt;$U$9,MOD(INT(2870/$U$8),$U$7)+1,1)</f>
        <v/>
      </c>
      <c r="BP2883">
        <f>IF(2870&lt;$U$9,MOD(2870,$U$8)+1,1)</f>
        <v/>
      </c>
      <c r="BQ2883">
        <f>IF(2870&lt;$U$9,SUMPRODUCT(($D$10:$L$10&lt;&gt;"")*(($D$9:$L$9+INT(($S$12:$AA$12+INDEX($AJ$13:$AR$162,BN2883,0)+INDEX($AT$13:$BB$162,BO2883,0)+INDEX($BD$13:$BL$162,BP2883,0))/100))&gt;=$D$10:$L$10)),0)</f>
        <v/>
      </c>
      <c r="BR2883">
        <f>IF(2870&lt;$U$9,SUMPRODUCT(($D$10:$L$10&lt;&gt;"")*(($D$10:$L$10-($D$9:$L$9+INT(($S$12:$AA$12+INDEX($AJ$13:$AR$162,BN2883,0)+INDEX($AT$13:$BB$162,BO2883,0)+INDEX($BD$13:$BL$162,BP2883,0))/100)))&gt;0)*($D$10:$L$10-($D$9:$L$9+INT(($S$12:$AA$12+INDEX($AJ$13:$AR$162,BN2883,0)+INDEX($AT$13:$BB$162,BO2883,0)+INDEX($BD$13:$BL$162,BP2883,0))/100)))),0)</f>
        <v/>
      </c>
      <c r="BS2883">
        <f>IF(2870&lt;$U$9,SUMPRODUCT(($D$9:$L$9+INT(($S$12:$AA$12+INDEX($AJ$13:$AR$162,BN2883,0)+INDEX($AT$13:$BB$162,BO2883,0)+INDEX($BD$13:$BL$162,BP2883,0))/100))),0)</f>
        <v/>
      </c>
      <c r="BT2883">
        <f>IF(AND(2870&lt;$U$9,$W$5),BQ2883*1000000-MIN(BR2883,999)*1000+BS2883-2870/100000,-1000000000-2870)</f>
        <v/>
      </c>
    </row>
    <row r="2884">
      <c r="BN2884">
        <f>IF(2871&lt;$U$9,INT(2871/($U$7*$U$8))+1,1)</f>
        <v/>
      </c>
      <c r="BO2884">
        <f>IF(2871&lt;$U$9,MOD(INT(2871/$U$8),$U$7)+1,1)</f>
        <v/>
      </c>
      <c r="BP2884">
        <f>IF(2871&lt;$U$9,MOD(2871,$U$8)+1,1)</f>
        <v/>
      </c>
      <c r="BQ2884">
        <f>IF(2871&lt;$U$9,SUMPRODUCT(($D$10:$L$10&lt;&gt;"")*(($D$9:$L$9+INT(($S$12:$AA$12+INDEX($AJ$13:$AR$162,BN2884,0)+INDEX($AT$13:$BB$162,BO2884,0)+INDEX($BD$13:$BL$162,BP2884,0))/100))&gt;=$D$10:$L$10)),0)</f>
        <v/>
      </c>
      <c r="BR2884">
        <f>IF(2871&lt;$U$9,SUMPRODUCT(($D$10:$L$10&lt;&gt;"")*(($D$10:$L$10-($D$9:$L$9+INT(($S$12:$AA$12+INDEX($AJ$13:$AR$162,BN2884,0)+INDEX($AT$13:$BB$162,BO2884,0)+INDEX($BD$13:$BL$162,BP2884,0))/100)))&gt;0)*($D$10:$L$10-($D$9:$L$9+INT(($S$12:$AA$12+INDEX($AJ$13:$AR$162,BN2884,0)+INDEX($AT$13:$BB$162,BO2884,0)+INDEX($BD$13:$BL$162,BP2884,0))/100)))),0)</f>
        <v/>
      </c>
      <c r="BS2884">
        <f>IF(2871&lt;$U$9,SUMPRODUCT(($D$9:$L$9+INT(($S$12:$AA$12+INDEX($AJ$13:$AR$162,BN2884,0)+INDEX($AT$13:$BB$162,BO2884,0)+INDEX($BD$13:$BL$162,BP2884,0))/100))),0)</f>
        <v/>
      </c>
      <c r="BT2884">
        <f>IF(AND(2871&lt;$U$9,$W$5),BQ2884*1000000-MIN(BR2884,999)*1000+BS2884-2871/100000,-1000000000-2871)</f>
        <v/>
      </c>
    </row>
    <row r="2885">
      <c r="BN2885">
        <f>IF(2872&lt;$U$9,INT(2872/($U$7*$U$8))+1,1)</f>
        <v/>
      </c>
      <c r="BO2885">
        <f>IF(2872&lt;$U$9,MOD(INT(2872/$U$8),$U$7)+1,1)</f>
        <v/>
      </c>
      <c r="BP2885">
        <f>IF(2872&lt;$U$9,MOD(2872,$U$8)+1,1)</f>
        <v/>
      </c>
      <c r="BQ2885">
        <f>IF(2872&lt;$U$9,SUMPRODUCT(($D$10:$L$10&lt;&gt;"")*(($D$9:$L$9+INT(($S$12:$AA$12+INDEX($AJ$13:$AR$162,BN2885,0)+INDEX($AT$13:$BB$162,BO2885,0)+INDEX($BD$13:$BL$162,BP2885,0))/100))&gt;=$D$10:$L$10)),0)</f>
        <v/>
      </c>
      <c r="BR2885">
        <f>IF(2872&lt;$U$9,SUMPRODUCT(($D$10:$L$10&lt;&gt;"")*(($D$10:$L$10-($D$9:$L$9+INT(($S$12:$AA$12+INDEX($AJ$13:$AR$162,BN2885,0)+INDEX($AT$13:$BB$162,BO2885,0)+INDEX($BD$13:$BL$162,BP2885,0))/100)))&gt;0)*($D$10:$L$10-($D$9:$L$9+INT(($S$12:$AA$12+INDEX($AJ$13:$AR$162,BN2885,0)+INDEX($AT$13:$BB$162,BO2885,0)+INDEX($BD$13:$BL$162,BP2885,0))/100)))),0)</f>
        <v/>
      </c>
      <c r="BS2885">
        <f>IF(2872&lt;$U$9,SUMPRODUCT(($D$9:$L$9+INT(($S$12:$AA$12+INDEX($AJ$13:$AR$162,BN2885,0)+INDEX($AT$13:$BB$162,BO2885,0)+INDEX($BD$13:$BL$162,BP2885,0))/100))),0)</f>
        <v/>
      </c>
      <c r="BT2885">
        <f>IF(AND(2872&lt;$U$9,$W$5),BQ2885*1000000-MIN(BR2885,999)*1000+BS2885-2872/100000,-1000000000-2872)</f>
        <v/>
      </c>
    </row>
    <row r="2886">
      <c r="BN2886">
        <f>IF(2873&lt;$U$9,INT(2873/($U$7*$U$8))+1,1)</f>
        <v/>
      </c>
      <c r="BO2886">
        <f>IF(2873&lt;$U$9,MOD(INT(2873/$U$8),$U$7)+1,1)</f>
        <v/>
      </c>
      <c r="BP2886">
        <f>IF(2873&lt;$U$9,MOD(2873,$U$8)+1,1)</f>
        <v/>
      </c>
      <c r="BQ2886">
        <f>IF(2873&lt;$U$9,SUMPRODUCT(($D$10:$L$10&lt;&gt;"")*(($D$9:$L$9+INT(($S$12:$AA$12+INDEX($AJ$13:$AR$162,BN2886,0)+INDEX($AT$13:$BB$162,BO2886,0)+INDEX($BD$13:$BL$162,BP2886,0))/100))&gt;=$D$10:$L$10)),0)</f>
        <v/>
      </c>
      <c r="BR2886">
        <f>IF(2873&lt;$U$9,SUMPRODUCT(($D$10:$L$10&lt;&gt;"")*(($D$10:$L$10-($D$9:$L$9+INT(($S$12:$AA$12+INDEX($AJ$13:$AR$162,BN2886,0)+INDEX($AT$13:$BB$162,BO2886,0)+INDEX($BD$13:$BL$162,BP2886,0))/100)))&gt;0)*($D$10:$L$10-($D$9:$L$9+INT(($S$12:$AA$12+INDEX($AJ$13:$AR$162,BN2886,0)+INDEX($AT$13:$BB$162,BO2886,0)+INDEX($BD$13:$BL$162,BP2886,0))/100)))),0)</f>
        <v/>
      </c>
      <c r="BS2886">
        <f>IF(2873&lt;$U$9,SUMPRODUCT(($D$9:$L$9+INT(($S$12:$AA$12+INDEX($AJ$13:$AR$162,BN2886,0)+INDEX($AT$13:$BB$162,BO2886,0)+INDEX($BD$13:$BL$162,BP2886,0))/100))),0)</f>
        <v/>
      </c>
      <c r="BT2886">
        <f>IF(AND(2873&lt;$U$9,$W$5),BQ2886*1000000-MIN(BR2886,999)*1000+BS2886-2873/100000,-1000000000-2873)</f>
        <v/>
      </c>
    </row>
    <row r="2887">
      <c r="BN2887">
        <f>IF(2874&lt;$U$9,INT(2874/($U$7*$U$8))+1,1)</f>
        <v/>
      </c>
      <c r="BO2887">
        <f>IF(2874&lt;$U$9,MOD(INT(2874/$U$8),$U$7)+1,1)</f>
        <v/>
      </c>
      <c r="BP2887">
        <f>IF(2874&lt;$U$9,MOD(2874,$U$8)+1,1)</f>
        <v/>
      </c>
      <c r="BQ2887">
        <f>IF(2874&lt;$U$9,SUMPRODUCT(($D$10:$L$10&lt;&gt;"")*(($D$9:$L$9+INT(($S$12:$AA$12+INDEX($AJ$13:$AR$162,BN2887,0)+INDEX($AT$13:$BB$162,BO2887,0)+INDEX($BD$13:$BL$162,BP2887,0))/100))&gt;=$D$10:$L$10)),0)</f>
        <v/>
      </c>
      <c r="BR2887">
        <f>IF(2874&lt;$U$9,SUMPRODUCT(($D$10:$L$10&lt;&gt;"")*(($D$10:$L$10-($D$9:$L$9+INT(($S$12:$AA$12+INDEX($AJ$13:$AR$162,BN2887,0)+INDEX($AT$13:$BB$162,BO2887,0)+INDEX($BD$13:$BL$162,BP2887,0))/100)))&gt;0)*($D$10:$L$10-($D$9:$L$9+INT(($S$12:$AA$12+INDEX($AJ$13:$AR$162,BN2887,0)+INDEX($AT$13:$BB$162,BO2887,0)+INDEX($BD$13:$BL$162,BP2887,0))/100)))),0)</f>
        <v/>
      </c>
      <c r="BS2887">
        <f>IF(2874&lt;$U$9,SUMPRODUCT(($D$9:$L$9+INT(($S$12:$AA$12+INDEX($AJ$13:$AR$162,BN2887,0)+INDEX($AT$13:$BB$162,BO2887,0)+INDEX($BD$13:$BL$162,BP2887,0))/100))),0)</f>
        <v/>
      </c>
      <c r="BT2887">
        <f>IF(AND(2874&lt;$U$9,$W$5),BQ2887*1000000-MIN(BR2887,999)*1000+BS2887-2874/100000,-1000000000-2874)</f>
        <v/>
      </c>
    </row>
    <row r="2888">
      <c r="BN2888">
        <f>IF(2875&lt;$U$9,INT(2875/($U$7*$U$8))+1,1)</f>
        <v/>
      </c>
      <c r="BO2888">
        <f>IF(2875&lt;$U$9,MOD(INT(2875/$U$8),$U$7)+1,1)</f>
        <v/>
      </c>
      <c r="BP2888">
        <f>IF(2875&lt;$U$9,MOD(2875,$U$8)+1,1)</f>
        <v/>
      </c>
      <c r="BQ2888">
        <f>IF(2875&lt;$U$9,SUMPRODUCT(($D$10:$L$10&lt;&gt;"")*(($D$9:$L$9+INT(($S$12:$AA$12+INDEX($AJ$13:$AR$162,BN2888,0)+INDEX($AT$13:$BB$162,BO2888,0)+INDEX($BD$13:$BL$162,BP2888,0))/100))&gt;=$D$10:$L$10)),0)</f>
        <v/>
      </c>
      <c r="BR2888">
        <f>IF(2875&lt;$U$9,SUMPRODUCT(($D$10:$L$10&lt;&gt;"")*(($D$10:$L$10-($D$9:$L$9+INT(($S$12:$AA$12+INDEX($AJ$13:$AR$162,BN2888,0)+INDEX($AT$13:$BB$162,BO2888,0)+INDEX($BD$13:$BL$162,BP2888,0))/100)))&gt;0)*($D$10:$L$10-($D$9:$L$9+INT(($S$12:$AA$12+INDEX($AJ$13:$AR$162,BN2888,0)+INDEX($AT$13:$BB$162,BO2888,0)+INDEX($BD$13:$BL$162,BP2888,0))/100)))),0)</f>
        <v/>
      </c>
      <c r="BS2888">
        <f>IF(2875&lt;$U$9,SUMPRODUCT(($D$9:$L$9+INT(($S$12:$AA$12+INDEX($AJ$13:$AR$162,BN2888,0)+INDEX($AT$13:$BB$162,BO2888,0)+INDEX($BD$13:$BL$162,BP2888,0))/100))),0)</f>
        <v/>
      </c>
      <c r="BT2888">
        <f>IF(AND(2875&lt;$U$9,$W$5),BQ2888*1000000-MIN(BR2888,999)*1000+BS2888-2875/100000,-1000000000-2875)</f>
        <v/>
      </c>
    </row>
    <row r="2889">
      <c r="BN2889">
        <f>IF(2876&lt;$U$9,INT(2876/($U$7*$U$8))+1,1)</f>
        <v/>
      </c>
      <c r="BO2889">
        <f>IF(2876&lt;$U$9,MOD(INT(2876/$U$8),$U$7)+1,1)</f>
        <v/>
      </c>
      <c r="BP2889">
        <f>IF(2876&lt;$U$9,MOD(2876,$U$8)+1,1)</f>
        <v/>
      </c>
      <c r="BQ2889">
        <f>IF(2876&lt;$U$9,SUMPRODUCT(($D$10:$L$10&lt;&gt;"")*(($D$9:$L$9+INT(($S$12:$AA$12+INDEX($AJ$13:$AR$162,BN2889,0)+INDEX($AT$13:$BB$162,BO2889,0)+INDEX($BD$13:$BL$162,BP2889,0))/100))&gt;=$D$10:$L$10)),0)</f>
        <v/>
      </c>
      <c r="BR2889">
        <f>IF(2876&lt;$U$9,SUMPRODUCT(($D$10:$L$10&lt;&gt;"")*(($D$10:$L$10-($D$9:$L$9+INT(($S$12:$AA$12+INDEX($AJ$13:$AR$162,BN2889,0)+INDEX($AT$13:$BB$162,BO2889,0)+INDEX($BD$13:$BL$162,BP2889,0))/100)))&gt;0)*($D$10:$L$10-($D$9:$L$9+INT(($S$12:$AA$12+INDEX($AJ$13:$AR$162,BN2889,0)+INDEX($AT$13:$BB$162,BO2889,0)+INDEX($BD$13:$BL$162,BP2889,0))/100)))),0)</f>
        <v/>
      </c>
      <c r="BS2889">
        <f>IF(2876&lt;$U$9,SUMPRODUCT(($D$9:$L$9+INT(($S$12:$AA$12+INDEX($AJ$13:$AR$162,BN2889,0)+INDEX($AT$13:$BB$162,BO2889,0)+INDEX($BD$13:$BL$162,BP2889,0))/100))),0)</f>
        <v/>
      </c>
      <c r="BT2889">
        <f>IF(AND(2876&lt;$U$9,$W$5),BQ2889*1000000-MIN(BR2889,999)*1000+BS2889-2876/100000,-1000000000-2876)</f>
        <v/>
      </c>
    </row>
    <row r="2890">
      <c r="BN2890">
        <f>IF(2877&lt;$U$9,INT(2877/($U$7*$U$8))+1,1)</f>
        <v/>
      </c>
      <c r="BO2890">
        <f>IF(2877&lt;$U$9,MOD(INT(2877/$U$8),$U$7)+1,1)</f>
        <v/>
      </c>
      <c r="BP2890">
        <f>IF(2877&lt;$U$9,MOD(2877,$U$8)+1,1)</f>
        <v/>
      </c>
      <c r="BQ2890">
        <f>IF(2877&lt;$U$9,SUMPRODUCT(($D$10:$L$10&lt;&gt;"")*(($D$9:$L$9+INT(($S$12:$AA$12+INDEX($AJ$13:$AR$162,BN2890,0)+INDEX($AT$13:$BB$162,BO2890,0)+INDEX($BD$13:$BL$162,BP2890,0))/100))&gt;=$D$10:$L$10)),0)</f>
        <v/>
      </c>
      <c r="BR2890">
        <f>IF(2877&lt;$U$9,SUMPRODUCT(($D$10:$L$10&lt;&gt;"")*(($D$10:$L$10-($D$9:$L$9+INT(($S$12:$AA$12+INDEX($AJ$13:$AR$162,BN2890,0)+INDEX($AT$13:$BB$162,BO2890,0)+INDEX($BD$13:$BL$162,BP2890,0))/100)))&gt;0)*($D$10:$L$10-($D$9:$L$9+INT(($S$12:$AA$12+INDEX($AJ$13:$AR$162,BN2890,0)+INDEX($AT$13:$BB$162,BO2890,0)+INDEX($BD$13:$BL$162,BP2890,0))/100)))),0)</f>
        <v/>
      </c>
      <c r="BS2890">
        <f>IF(2877&lt;$U$9,SUMPRODUCT(($D$9:$L$9+INT(($S$12:$AA$12+INDEX($AJ$13:$AR$162,BN2890,0)+INDEX($AT$13:$BB$162,BO2890,0)+INDEX($BD$13:$BL$162,BP2890,0))/100))),0)</f>
        <v/>
      </c>
      <c r="BT2890">
        <f>IF(AND(2877&lt;$U$9,$W$5),BQ2890*1000000-MIN(BR2890,999)*1000+BS2890-2877/100000,-1000000000-2877)</f>
        <v/>
      </c>
    </row>
    <row r="2891">
      <c r="BN2891">
        <f>IF(2878&lt;$U$9,INT(2878/($U$7*$U$8))+1,1)</f>
        <v/>
      </c>
      <c r="BO2891">
        <f>IF(2878&lt;$U$9,MOD(INT(2878/$U$8),$U$7)+1,1)</f>
        <v/>
      </c>
      <c r="BP2891">
        <f>IF(2878&lt;$U$9,MOD(2878,$U$8)+1,1)</f>
        <v/>
      </c>
      <c r="BQ2891">
        <f>IF(2878&lt;$U$9,SUMPRODUCT(($D$10:$L$10&lt;&gt;"")*(($D$9:$L$9+INT(($S$12:$AA$12+INDEX($AJ$13:$AR$162,BN2891,0)+INDEX($AT$13:$BB$162,BO2891,0)+INDEX($BD$13:$BL$162,BP2891,0))/100))&gt;=$D$10:$L$10)),0)</f>
        <v/>
      </c>
      <c r="BR2891">
        <f>IF(2878&lt;$U$9,SUMPRODUCT(($D$10:$L$10&lt;&gt;"")*(($D$10:$L$10-($D$9:$L$9+INT(($S$12:$AA$12+INDEX($AJ$13:$AR$162,BN2891,0)+INDEX($AT$13:$BB$162,BO2891,0)+INDEX($BD$13:$BL$162,BP2891,0))/100)))&gt;0)*($D$10:$L$10-($D$9:$L$9+INT(($S$12:$AA$12+INDEX($AJ$13:$AR$162,BN2891,0)+INDEX($AT$13:$BB$162,BO2891,0)+INDEX($BD$13:$BL$162,BP2891,0))/100)))),0)</f>
        <v/>
      </c>
      <c r="BS2891">
        <f>IF(2878&lt;$U$9,SUMPRODUCT(($D$9:$L$9+INT(($S$12:$AA$12+INDEX($AJ$13:$AR$162,BN2891,0)+INDEX($AT$13:$BB$162,BO2891,0)+INDEX($BD$13:$BL$162,BP2891,0))/100))),0)</f>
        <v/>
      </c>
      <c r="BT2891">
        <f>IF(AND(2878&lt;$U$9,$W$5),BQ2891*1000000-MIN(BR2891,999)*1000+BS2891-2878/100000,-1000000000-2878)</f>
        <v/>
      </c>
    </row>
    <row r="2892">
      <c r="BN2892">
        <f>IF(2879&lt;$U$9,INT(2879/($U$7*$U$8))+1,1)</f>
        <v/>
      </c>
      <c r="BO2892">
        <f>IF(2879&lt;$U$9,MOD(INT(2879/$U$8),$U$7)+1,1)</f>
        <v/>
      </c>
      <c r="BP2892">
        <f>IF(2879&lt;$U$9,MOD(2879,$U$8)+1,1)</f>
        <v/>
      </c>
      <c r="BQ2892">
        <f>IF(2879&lt;$U$9,SUMPRODUCT(($D$10:$L$10&lt;&gt;"")*(($D$9:$L$9+INT(($S$12:$AA$12+INDEX($AJ$13:$AR$162,BN2892,0)+INDEX($AT$13:$BB$162,BO2892,0)+INDEX($BD$13:$BL$162,BP2892,0))/100))&gt;=$D$10:$L$10)),0)</f>
        <v/>
      </c>
      <c r="BR2892">
        <f>IF(2879&lt;$U$9,SUMPRODUCT(($D$10:$L$10&lt;&gt;"")*(($D$10:$L$10-($D$9:$L$9+INT(($S$12:$AA$12+INDEX($AJ$13:$AR$162,BN2892,0)+INDEX($AT$13:$BB$162,BO2892,0)+INDEX($BD$13:$BL$162,BP2892,0))/100)))&gt;0)*($D$10:$L$10-($D$9:$L$9+INT(($S$12:$AA$12+INDEX($AJ$13:$AR$162,BN2892,0)+INDEX($AT$13:$BB$162,BO2892,0)+INDEX($BD$13:$BL$162,BP2892,0))/100)))),0)</f>
        <v/>
      </c>
      <c r="BS2892">
        <f>IF(2879&lt;$U$9,SUMPRODUCT(($D$9:$L$9+INT(($S$12:$AA$12+INDEX($AJ$13:$AR$162,BN2892,0)+INDEX($AT$13:$BB$162,BO2892,0)+INDEX($BD$13:$BL$162,BP2892,0))/100))),0)</f>
        <v/>
      </c>
      <c r="BT2892">
        <f>IF(AND(2879&lt;$U$9,$W$5),BQ2892*1000000-MIN(BR2892,999)*1000+BS2892-2879/100000,-1000000000-2879)</f>
        <v/>
      </c>
    </row>
    <row r="2893">
      <c r="BN2893">
        <f>IF(2880&lt;$U$9,INT(2880/($U$7*$U$8))+1,1)</f>
        <v/>
      </c>
      <c r="BO2893">
        <f>IF(2880&lt;$U$9,MOD(INT(2880/$U$8),$U$7)+1,1)</f>
        <v/>
      </c>
      <c r="BP2893">
        <f>IF(2880&lt;$U$9,MOD(2880,$U$8)+1,1)</f>
        <v/>
      </c>
      <c r="BQ2893">
        <f>IF(2880&lt;$U$9,SUMPRODUCT(($D$10:$L$10&lt;&gt;"")*(($D$9:$L$9+INT(($S$12:$AA$12+INDEX($AJ$13:$AR$162,BN2893,0)+INDEX($AT$13:$BB$162,BO2893,0)+INDEX($BD$13:$BL$162,BP2893,0))/100))&gt;=$D$10:$L$10)),0)</f>
        <v/>
      </c>
      <c r="BR2893">
        <f>IF(2880&lt;$U$9,SUMPRODUCT(($D$10:$L$10&lt;&gt;"")*(($D$10:$L$10-($D$9:$L$9+INT(($S$12:$AA$12+INDEX($AJ$13:$AR$162,BN2893,0)+INDEX($AT$13:$BB$162,BO2893,0)+INDEX($BD$13:$BL$162,BP2893,0))/100)))&gt;0)*($D$10:$L$10-($D$9:$L$9+INT(($S$12:$AA$12+INDEX($AJ$13:$AR$162,BN2893,0)+INDEX($AT$13:$BB$162,BO2893,0)+INDEX($BD$13:$BL$162,BP2893,0))/100)))),0)</f>
        <v/>
      </c>
      <c r="BS2893">
        <f>IF(2880&lt;$U$9,SUMPRODUCT(($D$9:$L$9+INT(($S$12:$AA$12+INDEX($AJ$13:$AR$162,BN2893,0)+INDEX($AT$13:$BB$162,BO2893,0)+INDEX($BD$13:$BL$162,BP2893,0))/100))),0)</f>
        <v/>
      </c>
      <c r="BT2893">
        <f>IF(AND(2880&lt;$U$9,$W$5),BQ2893*1000000-MIN(BR2893,999)*1000+BS2893-2880/100000,-1000000000-2880)</f>
        <v/>
      </c>
    </row>
    <row r="2894">
      <c r="BN2894">
        <f>IF(2881&lt;$U$9,INT(2881/($U$7*$U$8))+1,1)</f>
        <v/>
      </c>
      <c r="BO2894">
        <f>IF(2881&lt;$U$9,MOD(INT(2881/$U$8),$U$7)+1,1)</f>
        <v/>
      </c>
      <c r="BP2894">
        <f>IF(2881&lt;$U$9,MOD(2881,$U$8)+1,1)</f>
        <v/>
      </c>
      <c r="BQ2894">
        <f>IF(2881&lt;$U$9,SUMPRODUCT(($D$10:$L$10&lt;&gt;"")*(($D$9:$L$9+INT(($S$12:$AA$12+INDEX($AJ$13:$AR$162,BN2894,0)+INDEX($AT$13:$BB$162,BO2894,0)+INDEX($BD$13:$BL$162,BP2894,0))/100))&gt;=$D$10:$L$10)),0)</f>
        <v/>
      </c>
      <c r="BR2894">
        <f>IF(2881&lt;$U$9,SUMPRODUCT(($D$10:$L$10&lt;&gt;"")*(($D$10:$L$10-($D$9:$L$9+INT(($S$12:$AA$12+INDEX($AJ$13:$AR$162,BN2894,0)+INDEX($AT$13:$BB$162,BO2894,0)+INDEX($BD$13:$BL$162,BP2894,0))/100)))&gt;0)*($D$10:$L$10-($D$9:$L$9+INT(($S$12:$AA$12+INDEX($AJ$13:$AR$162,BN2894,0)+INDEX($AT$13:$BB$162,BO2894,0)+INDEX($BD$13:$BL$162,BP2894,0))/100)))),0)</f>
        <v/>
      </c>
      <c r="BS2894">
        <f>IF(2881&lt;$U$9,SUMPRODUCT(($D$9:$L$9+INT(($S$12:$AA$12+INDEX($AJ$13:$AR$162,BN2894,0)+INDEX($AT$13:$BB$162,BO2894,0)+INDEX($BD$13:$BL$162,BP2894,0))/100))),0)</f>
        <v/>
      </c>
      <c r="BT2894">
        <f>IF(AND(2881&lt;$U$9,$W$5),BQ2894*1000000-MIN(BR2894,999)*1000+BS2894-2881/100000,-1000000000-2881)</f>
        <v/>
      </c>
    </row>
    <row r="2895">
      <c r="BN2895">
        <f>IF(2882&lt;$U$9,INT(2882/($U$7*$U$8))+1,1)</f>
        <v/>
      </c>
      <c r="BO2895">
        <f>IF(2882&lt;$U$9,MOD(INT(2882/$U$8),$U$7)+1,1)</f>
        <v/>
      </c>
      <c r="BP2895">
        <f>IF(2882&lt;$U$9,MOD(2882,$U$8)+1,1)</f>
        <v/>
      </c>
      <c r="BQ2895">
        <f>IF(2882&lt;$U$9,SUMPRODUCT(($D$10:$L$10&lt;&gt;"")*(($D$9:$L$9+INT(($S$12:$AA$12+INDEX($AJ$13:$AR$162,BN2895,0)+INDEX($AT$13:$BB$162,BO2895,0)+INDEX($BD$13:$BL$162,BP2895,0))/100))&gt;=$D$10:$L$10)),0)</f>
        <v/>
      </c>
      <c r="BR2895">
        <f>IF(2882&lt;$U$9,SUMPRODUCT(($D$10:$L$10&lt;&gt;"")*(($D$10:$L$10-($D$9:$L$9+INT(($S$12:$AA$12+INDEX($AJ$13:$AR$162,BN2895,0)+INDEX($AT$13:$BB$162,BO2895,0)+INDEX($BD$13:$BL$162,BP2895,0))/100)))&gt;0)*($D$10:$L$10-($D$9:$L$9+INT(($S$12:$AA$12+INDEX($AJ$13:$AR$162,BN2895,0)+INDEX($AT$13:$BB$162,BO2895,0)+INDEX($BD$13:$BL$162,BP2895,0))/100)))),0)</f>
        <v/>
      </c>
      <c r="BS2895">
        <f>IF(2882&lt;$U$9,SUMPRODUCT(($D$9:$L$9+INT(($S$12:$AA$12+INDEX($AJ$13:$AR$162,BN2895,0)+INDEX($AT$13:$BB$162,BO2895,0)+INDEX($BD$13:$BL$162,BP2895,0))/100))),0)</f>
        <v/>
      </c>
      <c r="BT2895">
        <f>IF(AND(2882&lt;$U$9,$W$5),BQ2895*1000000-MIN(BR2895,999)*1000+BS2895-2882/100000,-1000000000-2882)</f>
        <v/>
      </c>
    </row>
    <row r="2896">
      <c r="BN2896">
        <f>IF(2883&lt;$U$9,INT(2883/($U$7*$U$8))+1,1)</f>
        <v/>
      </c>
      <c r="BO2896">
        <f>IF(2883&lt;$U$9,MOD(INT(2883/$U$8),$U$7)+1,1)</f>
        <v/>
      </c>
      <c r="BP2896">
        <f>IF(2883&lt;$U$9,MOD(2883,$U$8)+1,1)</f>
        <v/>
      </c>
      <c r="BQ2896">
        <f>IF(2883&lt;$U$9,SUMPRODUCT(($D$10:$L$10&lt;&gt;"")*(($D$9:$L$9+INT(($S$12:$AA$12+INDEX($AJ$13:$AR$162,BN2896,0)+INDEX($AT$13:$BB$162,BO2896,0)+INDEX($BD$13:$BL$162,BP2896,0))/100))&gt;=$D$10:$L$10)),0)</f>
        <v/>
      </c>
      <c r="BR2896">
        <f>IF(2883&lt;$U$9,SUMPRODUCT(($D$10:$L$10&lt;&gt;"")*(($D$10:$L$10-($D$9:$L$9+INT(($S$12:$AA$12+INDEX($AJ$13:$AR$162,BN2896,0)+INDEX($AT$13:$BB$162,BO2896,0)+INDEX($BD$13:$BL$162,BP2896,0))/100)))&gt;0)*($D$10:$L$10-($D$9:$L$9+INT(($S$12:$AA$12+INDEX($AJ$13:$AR$162,BN2896,0)+INDEX($AT$13:$BB$162,BO2896,0)+INDEX($BD$13:$BL$162,BP2896,0))/100)))),0)</f>
        <v/>
      </c>
      <c r="BS2896">
        <f>IF(2883&lt;$U$9,SUMPRODUCT(($D$9:$L$9+INT(($S$12:$AA$12+INDEX($AJ$13:$AR$162,BN2896,0)+INDEX($AT$13:$BB$162,BO2896,0)+INDEX($BD$13:$BL$162,BP2896,0))/100))),0)</f>
        <v/>
      </c>
      <c r="BT2896">
        <f>IF(AND(2883&lt;$U$9,$W$5),BQ2896*1000000-MIN(BR2896,999)*1000+BS2896-2883/100000,-1000000000-2883)</f>
        <v/>
      </c>
    </row>
    <row r="2897">
      <c r="BN2897">
        <f>IF(2884&lt;$U$9,INT(2884/($U$7*$U$8))+1,1)</f>
        <v/>
      </c>
      <c r="BO2897">
        <f>IF(2884&lt;$U$9,MOD(INT(2884/$U$8),$U$7)+1,1)</f>
        <v/>
      </c>
      <c r="BP2897">
        <f>IF(2884&lt;$U$9,MOD(2884,$U$8)+1,1)</f>
        <v/>
      </c>
      <c r="BQ2897">
        <f>IF(2884&lt;$U$9,SUMPRODUCT(($D$10:$L$10&lt;&gt;"")*(($D$9:$L$9+INT(($S$12:$AA$12+INDEX($AJ$13:$AR$162,BN2897,0)+INDEX($AT$13:$BB$162,BO2897,0)+INDEX($BD$13:$BL$162,BP2897,0))/100))&gt;=$D$10:$L$10)),0)</f>
        <v/>
      </c>
      <c r="BR2897">
        <f>IF(2884&lt;$U$9,SUMPRODUCT(($D$10:$L$10&lt;&gt;"")*(($D$10:$L$10-($D$9:$L$9+INT(($S$12:$AA$12+INDEX($AJ$13:$AR$162,BN2897,0)+INDEX($AT$13:$BB$162,BO2897,0)+INDEX($BD$13:$BL$162,BP2897,0))/100)))&gt;0)*($D$10:$L$10-($D$9:$L$9+INT(($S$12:$AA$12+INDEX($AJ$13:$AR$162,BN2897,0)+INDEX($AT$13:$BB$162,BO2897,0)+INDEX($BD$13:$BL$162,BP2897,0))/100)))),0)</f>
        <v/>
      </c>
      <c r="BS2897">
        <f>IF(2884&lt;$U$9,SUMPRODUCT(($D$9:$L$9+INT(($S$12:$AA$12+INDEX($AJ$13:$AR$162,BN2897,0)+INDEX($AT$13:$BB$162,BO2897,0)+INDEX($BD$13:$BL$162,BP2897,0))/100))),0)</f>
        <v/>
      </c>
      <c r="BT2897">
        <f>IF(AND(2884&lt;$U$9,$W$5),BQ2897*1000000-MIN(BR2897,999)*1000+BS2897-2884/100000,-1000000000-2884)</f>
        <v/>
      </c>
    </row>
    <row r="2898">
      <c r="BN2898">
        <f>IF(2885&lt;$U$9,INT(2885/($U$7*$U$8))+1,1)</f>
        <v/>
      </c>
      <c r="BO2898">
        <f>IF(2885&lt;$U$9,MOD(INT(2885/$U$8),$U$7)+1,1)</f>
        <v/>
      </c>
      <c r="BP2898">
        <f>IF(2885&lt;$U$9,MOD(2885,$U$8)+1,1)</f>
        <v/>
      </c>
      <c r="BQ2898">
        <f>IF(2885&lt;$U$9,SUMPRODUCT(($D$10:$L$10&lt;&gt;"")*(($D$9:$L$9+INT(($S$12:$AA$12+INDEX($AJ$13:$AR$162,BN2898,0)+INDEX($AT$13:$BB$162,BO2898,0)+INDEX($BD$13:$BL$162,BP2898,0))/100))&gt;=$D$10:$L$10)),0)</f>
        <v/>
      </c>
      <c r="BR2898">
        <f>IF(2885&lt;$U$9,SUMPRODUCT(($D$10:$L$10&lt;&gt;"")*(($D$10:$L$10-($D$9:$L$9+INT(($S$12:$AA$12+INDEX($AJ$13:$AR$162,BN2898,0)+INDEX($AT$13:$BB$162,BO2898,0)+INDEX($BD$13:$BL$162,BP2898,0))/100)))&gt;0)*($D$10:$L$10-($D$9:$L$9+INT(($S$12:$AA$12+INDEX($AJ$13:$AR$162,BN2898,0)+INDEX($AT$13:$BB$162,BO2898,0)+INDEX($BD$13:$BL$162,BP2898,0))/100)))),0)</f>
        <v/>
      </c>
      <c r="BS2898">
        <f>IF(2885&lt;$U$9,SUMPRODUCT(($D$9:$L$9+INT(($S$12:$AA$12+INDEX($AJ$13:$AR$162,BN2898,0)+INDEX($AT$13:$BB$162,BO2898,0)+INDEX($BD$13:$BL$162,BP2898,0))/100))),0)</f>
        <v/>
      </c>
      <c r="BT2898">
        <f>IF(AND(2885&lt;$U$9,$W$5),BQ2898*1000000-MIN(BR2898,999)*1000+BS2898-2885/100000,-1000000000-2885)</f>
        <v/>
      </c>
    </row>
    <row r="2899">
      <c r="BN2899">
        <f>IF(2886&lt;$U$9,INT(2886/($U$7*$U$8))+1,1)</f>
        <v/>
      </c>
      <c r="BO2899">
        <f>IF(2886&lt;$U$9,MOD(INT(2886/$U$8),$U$7)+1,1)</f>
        <v/>
      </c>
      <c r="BP2899">
        <f>IF(2886&lt;$U$9,MOD(2886,$U$8)+1,1)</f>
        <v/>
      </c>
      <c r="BQ2899">
        <f>IF(2886&lt;$U$9,SUMPRODUCT(($D$10:$L$10&lt;&gt;"")*(($D$9:$L$9+INT(($S$12:$AA$12+INDEX($AJ$13:$AR$162,BN2899,0)+INDEX($AT$13:$BB$162,BO2899,0)+INDEX($BD$13:$BL$162,BP2899,0))/100))&gt;=$D$10:$L$10)),0)</f>
        <v/>
      </c>
      <c r="BR2899">
        <f>IF(2886&lt;$U$9,SUMPRODUCT(($D$10:$L$10&lt;&gt;"")*(($D$10:$L$10-($D$9:$L$9+INT(($S$12:$AA$12+INDEX($AJ$13:$AR$162,BN2899,0)+INDEX($AT$13:$BB$162,BO2899,0)+INDEX($BD$13:$BL$162,BP2899,0))/100)))&gt;0)*($D$10:$L$10-($D$9:$L$9+INT(($S$12:$AA$12+INDEX($AJ$13:$AR$162,BN2899,0)+INDEX($AT$13:$BB$162,BO2899,0)+INDEX($BD$13:$BL$162,BP2899,0))/100)))),0)</f>
        <v/>
      </c>
      <c r="BS2899">
        <f>IF(2886&lt;$U$9,SUMPRODUCT(($D$9:$L$9+INT(($S$12:$AA$12+INDEX($AJ$13:$AR$162,BN2899,0)+INDEX($AT$13:$BB$162,BO2899,0)+INDEX($BD$13:$BL$162,BP2899,0))/100))),0)</f>
        <v/>
      </c>
      <c r="BT2899">
        <f>IF(AND(2886&lt;$U$9,$W$5),BQ2899*1000000-MIN(BR2899,999)*1000+BS2899-2886/100000,-1000000000-2886)</f>
        <v/>
      </c>
    </row>
    <row r="2900">
      <c r="BN2900">
        <f>IF(2887&lt;$U$9,INT(2887/($U$7*$U$8))+1,1)</f>
        <v/>
      </c>
      <c r="BO2900">
        <f>IF(2887&lt;$U$9,MOD(INT(2887/$U$8),$U$7)+1,1)</f>
        <v/>
      </c>
      <c r="BP2900">
        <f>IF(2887&lt;$U$9,MOD(2887,$U$8)+1,1)</f>
        <v/>
      </c>
      <c r="BQ2900">
        <f>IF(2887&lt;$U$9,SUMPRODUCT(($D$10:$L$10&lt;&gt;"")*(($D$9:$L$9+INT(($S$12:$AA$12+INDEX($AJ$13:$AR$162,BN2900,0)+INDEX($AT$13:$BB$162,BO2900,0)+INDEX($BD$13:$BL$162,BP2900,0))/100))&gt;=$D$10:$L$10)),0)</f>
        <v/>
      </c>
      <c r="BR2900">
        <f>IF(2887&lt;$U$9,SUMPRODUCT(($D$10:$L$10&lt;&gt;"")*(($D$10:$L$10-($D$9:$L$9+INT(($S$12:$AA$12+INDEX($AJ$13:$AR$162,BN2900,0)+INDEX($AT$13:$BB$162,BO2900,0)+INDEX($BD$13:$BL$162,BP2900,0))/100)))&gt;0)*($D$10:$L$10-($D$9:$L$9+INT(($S$12:$AA$12+INDEX($AJ$13:$AR$162,BN2900,0)+INDEX($AT$13:$BB$162,BO2900,0)+INDEX($BD$13:$BL$162,BP2900,0))/100)))),0)</f>
        <v/>
      </c>
      <c r="BS2900">
        <f>IF(2887&lt;$U$9,SUMPRODUCT(($D$9:$L$9+INT(($S$12:$AA$12+INDEX($AJ$13:$AR$162,BN2900,0)+INDEX($AT$13:$BB$162,BO2900,0)+INDEX($BD$13:$BL$162,BP2900,0))/100))),0)</f>
        <v/>
      </c>
      <c r="BT2900">
        <f>IF(AND(2887&lt;$U$9,$W$5),BQ2900*1000000-MIN(BR2900,999)*1000+BS2900-2887/100000,-1000000000-2887)</f>
        <v/>
      </c>
    </row>
    <row r="2901">
      <c r="BN2901">
        <f>IF(2888&lt;$U$9,INT(2888/($U$7*$U$8))+1,1)</f>
        <v/>
      </c>
      <c r="BO2901">
        <f>IF(2888&lt;$U$9,MOD(INT(2888/$U$8),$U$7)+1,1)</f>
        <v/>
      </c>
      <c r="BP2901">
        <f>IF(2888&lt;$U$9,MOD(2888,$U$8)+1,1)</f>
        <v/>
      </c>
      <c r="BQ2901">
        <f>IF(2888&lt;$U$9,SUMPRODUCT(($D$10:$L$10&lt;&gt;"")*(($D$9:$L$9+INT(($S$12:$AA$12+INDEX($AJ$13:$AR$162,BN2901,0)+INDEX($AT$13:$BB$162,BO2901,0)+INDEX($BD$13:$BL$162,BP2901,0))/100))&gt;=$D$10:$L$10)),0)</f>
        <v/>
      </c>
      <c r="BR2901">
        <f>IF(2888&lt;$U$9,SUMPRODUCT(($D$10:$L$10&lt;&gt;"")*(($D$10:$L$10-($D$9:$L$9+INT(($S$12:$AA$12+INDEX($AJ$13:$AR$162,BN2901,0)+INDEX($AT$13:$BB$162,BO2901,0)+INDEX($BD$13:$BL$162,BP2901,0))/100)))&gt;0)*($D$10:$L$10-($D$9:$L$9+INT(($S$12:$AA$12+INDEX($AJ$13:$AR$162,BN2901,0)+INDEX($AT$13:$BB$162,BO2901,0)+INDEX($BD$13:$BL$162,BP2901,0))/100)))),0)</f>
        <v/>
      </c>
      <c r="BS2901">
        <f>IF(2888&lt;$U$9,SUMPRODUCT(($D$9:$L$9+INT(($S$12:$AA$12+INDEX($AJ$13:$AR$162,BN2901,0)+INDEX($AT$13:$BB$162,BO2901,0)+INDEX($BD$13:$BL$162,BP2901,0))/100))),0)</f>
        <v/>
      </c>
      <c r="BT2901">
        <f>IF(AND(2888&lt;$U$9,$W$5),BQ2901*1000000-MIN(BR2901,999)*1000+BS2901-2888/100000,-1000000000-2888)</f>
        <v/>
      </c>
    </row>
    <row r="2902">
      <c r="BN2902">
        <f>IF(2889&lt;$U$9,INT(2889/($U$7*$U$8))+1,1)</f>
        <v/>
      </c>
      <c r="BO2902">
        <f>IF(2889&lt;$U$9,MOD(INT(2889/$U$8),$U$7)+1,1)</f>
        <v/>
      </c>
      <c r="BP2902">
        <f>IF(2889&lt;$U$9,MOD(2889,$U$8)+1,1)</f>
        <v/>
      </c>
      <c r="BQ2902">
        <f>IF(2889&lt;$U$9,SUMPRODUCT(($D$10:$L$10&lt;&gt;"")*(($D$9:$L$9+INT(($S$12:$AA$12+INDEX($AJ$13:$AR$162,BN2902,0)+INDEX($AT$13:$BB$162,BO2902,0)+INDEX($BD$13:$BL$162,BP2902,0))/100))&gt;=$D$10:$L$10)),0)</f>
        <v/>
      </c>
      <c r="BR2902">
        <f>IF(2889&lt;$U$9,SUMPRODUCT(($D$10:$L$10&lt;&gt;"")*(($D$10:$L$10-($D$9:$L$9+INT(($S$12:$AA$12+INDEX($AJ$13:$AR$162,BN2902,0)+INDEX($AT$13:$BB$162,BO2902,0)+INDEX($BD$13:$BL$162,BP2902,0))/100)))&gt;0)*($D$10:$L$10-($D$9:$L$9+INT(($S$12:$AA$12+INDEX($AJ$13:$AR$162,BN2902,0)+INDEX($AT$13:$BB$162,BO2902,0)+INDEX($BD$13:$BL$162,BP2902,0))/100)))),0)</f>
        <v/>
      </c>
      <c r="BS2902">
        <f>IF(2889&lt;$U$9,SUMPRODUCT(($D$9:$L$9+INT(($S$12:$AA$12+INDEX($AJ$13:$AR$162,BN2902,0)+INDEX($AT$13:$BB$162,BO2902,0)+INDEX($BD$13:$BL$162,BP2902,0))/100))),0)</f>
        <v/>
      </c>
      <c r="BT2902">
        <f>IF(AND(2889&lt;$U$9,$W$5),BQ2902*1000000-MIN(BR2902,999)*1000+BS2902-2889/100000,-1000000000-2889)</f>
        <v/>
      </c>
    </row>
    <row r="2903">
      <c r="BN2903">
        <f>IF(2890&lt;$U$9,INT(2890/($U$7*$U$8))+1,1)</f>
        <v/>
      </c>
      <c r="BO2903">
        <f>IF(2890&lt;$U$9,MOD(INT(2890/$U$8),$U$7)+1,1)</f>
        <v/>
      </c>
      <c r="BP2903">
        <f>IF(2890&lt;$U$9,MOD(2890,$U$8)+1,1)</f>
        <v/>
      </c>
      <c r="BQ2903">
        <f>IF(2890&lt;$U$9,SUMPRODUCT(($D$10:$L$10&lt;&gt;"")*(($D$9:$L$9+INT(($S$12:$AA$12+INDEX($AJ$13:$AR$162,BN2903,0)+INDEX($AT$13:$BB$162,BO2903,0)+INDEX($BD$13:$BL$162,BP2903,0))/100))&gt;=$D$10:$L$10)),0)</f>
        <v/>
      </c>
      <c r="BR2903">
        <f>IF(2890&lt;$U$9,SUMPRODUCT(($D$10:$L$10&lt;&gt;"")*(($D$10:$L$10-($D$9:$L$9+INT(($S$12:$AA$12+INDEX($AJ$13:$AR$162,BN2903,0)+INDEX($AT$13:$BB$162,BO2903,0)+INDEX($BD$13:$BL$162,BP2903,0))/100)))&gt;0)*($D$10:$L$10-($D$9:$L$9+INT(($S$12:$AA$12+INDEX($AJ$13:$AR$162,BN2903,0)+INDEX($AT$13:$BB$162,BO2903,0)+INDEX($BD$13:$BL$162,BP2903,0))/100)))),0)</f>
        <v/>
      </c>
      <c r="BS2903">
        <f>IF(2890&lt;$U$9,SUMPRODUCT(($D$9:$L$9+INT(($S$12:$AA$12+INDEX($AJ$13:$AR$162,BN2903,0)+INDEX($AT$13:$BB$162,BO2903,0)+INDEX($BD$13:$BL$162,BP2903,0))/100))),0)</f>
        <v/>
      </c>
      <c r="BT2903">
        <f>IF(AND(2890&lt;$U$9,$W$5),BQ2903*1000000-MIN(BR2903,999)*1000+BS2903-2890/100000,-1000000000-2890)</f>
        <v/>
      </c>
    </row>
    <row r="2904">
      <c r="BN2904">
        <f>IF(2891&lt;$U$9,INT(2891/($U$7*$U$8))+1,1)</f>
        <v/>
      </c>
      <c r="BO2904">
        <f>IF(2891&lt;$U$9,MOD(INT(2891/$U$8),$U$7)+1,1)</f>
        <v/>
      </c>
      <c r="BP2904">
        <f>IF(2891&lt;$U$9,MOD(2891,$U$8)+1,1)</f>
        <v/>
      </c>
      <c r="BQ2904">
        <f>IF(2891&lt;$U$9,SUMPRODUCT(($D$10:$L$10&lt;&gt;"")*(($D$9:$L$9+INT(($S$12:$AA$12+INDEX($AJ$13:$AR$162,BN2904,0)+INDEX($AT$13:$BB$162,BO2904,0)+INDEX($BD$13:$BL$162,BP2904,0))/100))&gt;=$D$10:$L$10)),0)</f>
        <v/>
      </c>
      <c r="BR2904">
        <f>IF(2891&lt;$U$9,SUMPRODUCT(($D$10:$L$10&lt;&gt;"")*(($D$10:$L$10-($D$9:$L$9+INT(($S$12:$AA$12+INDEX($AJ$13:$AR$162,BN2904,0)+INDEX($AT$13:$BB$162,BO2904,0)+INDEX($BD$13:$BL$162,BP2904,0))/100)))&gt;0)*($D$10:$L$10-($D$9:$L$9+INT(($S$12:$AA$12+INDEX($AJ$13:$AR$162,BN2904,0)+INDEX($AT$13:$BB$162,BO2904,0)+INDEX($BD$13:$BL$162,BP2904,0))/100)))),0)</f>
        <v/>
      </c>
      <c r="BS2904">
        <f>IF(2891&lt;$U$9,SUMPRODUCT(($D$9:$L$9+INT(($S$12:$AA$12+INDEX($AJ$13:$AR$162,BN2904,0)+INDEX($AT$13:$BB$162,BO2904,0)+INDEX($BD$13:$BL$162,BP2904,0))/100))),0)</f>
        <v/>
      </c>
      <c r="BT2904">
        <f>IF(AND(2891&lt;$U$9,$W$5),BQ2904*1000000-MIN(BR2904,999)*1000+BS2904-2891/100000,-1000000000-2891)</f>
        <v/>
      </c>
    </row>
    <row r="2905">
      <c r="BN2905">
        <f>IF(2892&lt;$U$9,INT(2892/($U$7*$U$8))+1,1)</f>
        <v/>
      </c>
      <c r="BO2905">
        <f>IF(2892&lt;$U$9,MOD(INT(2892/$U$8),$U$7)+1,1)</f>
        <v/>
      </c>
      <c r="BP2905">
        <f>IF(2892&lt;$U$9,MOD(2892,$U$8)+1,1)</f>
        <v/>
      </c>
      <c r="BQ2905">
        <f>IF(2892&lt;$U$9,SUMPRODUCT(($D$10:$L$10&lt;&gt;"")*(($D$9:$L$9+INT(($S$12:$AA$12+INDEX($AJ$13:$AR$162,BN2905,0)+INDEX($AT$13:$BB$162,BO2905,0)+INDEX($BD$13:$BL$162,BP2905,0))/100))&gt;=$D$10:$L$10)),0)</f>
        <v/>
      </c>
      <c r="BR2905">
        <f>IF(2892&lt;$U$9,SUMPRODUCT(($D$10:$L$10&lt;&gt;"")*(($D$10:$L$10-($D$9:$L$9+INT(($S$12:$AA$12+INDEX($AJ$13:$AR$162,BN2905,0)+INDEX($AT$13:$BB$162,BO2905,0)+INDEX($BD$13:$BL$162,BP2905,0))/100)))&gt;0)*($D$10:$L$10-($D$9:$L$9+INT(($S$12:$AA$12+INDEX($AJ$13:$AR$162,BN2905,0)+INDEX($AT$13:$BB$162,BO2905,0)+INDEX($BD$13:$BL$162,BP2905,0))/100)))),0)</f>
        <v/>
      </c>
      <c r="BS2905">
        <f>IF(2892&lt;$U$9,SUMPRODUCT(($D$9:$L$9+INT(($S$12:$AA$12+INDEX($AJ$13:$AR$162,BN2905,0)+INDEX($AT$13:$BB$162,BO2905,0)+INDEX($BD$13:$BL$162,BP2905,0))/100))),0)</f>
        <v/>
      </c>
      <c r="BT2905">
        <f>IF(AND(2892&lt;$U$9,$W$5),BQ2905*1000000-MIN(BR2905,999)*1000+BS2905-2892/100000,-1000000000-2892)</f>
        <v/>
      </c>
    </row>
    <row r="2906">
      <c r="BN2906">
        <f>IF(2893&lt;$U$9,INT(2893/($U$7*$U$8))+1,1)</f>
        <v/>
      </c>
      <c r="BO2906">
        <f>IF(2893&lt;$U$9,MOD(INT(2893/$U$8),$U$7)+1,1)</f>
        <v/>
      </c>
      <c r="BP2906">
        <f>IF(2893&lt;$U$9,MOD(2893,$U$8)+1,1)</f>
        <v/>
      </c>
      <c r="BQ2906">
        <f>IF(2893&lt;$U$9,SUMPRODUCT(($D$10:$L$10&lt;&gt;"")*(($D$9:$L$9+INT(($S$12:$AA$12+INDEX($AJ$13:$AR$162,BN2906,0)+INDEX($AT$13:$BB$162,BO2906,0)+INDEX($BD$13:$BL$162,BP2906,0))/100))&gt;=$D$10:$L$10)),0)</f>
        <v/>
      </c>
      <c r="BR2906">
        <f>IF(2893&lt;$U$9,SUMPRODUCT(($D$10:$L$10&lt;&gt;"")*(($D$10:$L$10-($D$9:$L$9+INT(($S$12:$AA$12+INDEX($AJ$13:$AR$162,BN2906,0)+INDEX($AT$13:$BB$162,BO2906,0)+INDEX($BD$13:$BL$162,BP2906,0))/100)))&gt;0)*($D$10:$L$10-($D$9:$L$9+INT(($S$12:$AA$12+INDEX($AJ$13:$AR$162,BN2906,0)+INDEX($AT$13:$BB$162,BO2906,0)+INDEX($BD$13:$BL$162,BP2906,0))/100)))),0)</f>
        <v/>
      </c>
      <c r="BS2906">
        <f>IF(2893&lt;$U$9,SUMPRODUCT(($D$9:$L$9+INT(($S$12:$AA$12+INDEX($AJ$13:$AR$162,BN2906,0)+INDEX($AT$13:$BB$162,BO2906,0)+INDEX($BD$13:$BL$162,BP2906,0))/100))),0)</f>
        <v/>
      </c>
      <c r="BT2906">
        <f>IF(AND(2893&lt;$U$9,$W$5),BQ2906*1000000-MIN(BR2906,999)*1000+BS2906-2893/100000,-1000000000-2893)</f>
        <v/>
      </c>
    </row>
    <row r="2907">
      <c r="BN2907">
        <f>IF(2894&lt;$U$9,INT(2894/($U$7*$U$8))+1,1)</f>
        <v/>
      </c>
      <c r="BO2907">
        <f>IF(2894&lt;$U$9,MOD(INT(2894/$U$8),$U$7)+1,1)</f>
        <v/>
      </c>
      <c r="BP2907">
        <f>IF(2894&lt;$U$9,MOD(2894,$U$8)+1,1)</f>
        <v/>
      </c>
      <c r="BQ2907">
        <f>IF(2894&lt;$U$9,SUMPRODUCT(($D$10:$L$10&lt;&gt;"")*(($D$9:$L$9+INT(($S$12:$AA$12+INDEX($AJ$13:$AR$162,BN2907,0)+INDEX($AT$13:$BB$162,BO2907,0)+INDEX($BD$13:$BL$162,BP2907,0))/100))&gt;=$D$10:$L$10)),0)</f>
        <v/>
      </c>
      <c r="BR2907">
        <f>IF(2894&lt;$U$9,SUMPRODUCT(($D$10:$L$10&lt;&gt;"")*(($D$10:$L$10-($D$9:$L$9+INT(($S$12:$AA$12+INDEX($AJ$13:$AR$162,BN2907,0)+INDEX($AT$13:$BB$162,BO2907,0)+INDEX($BD$13:$BL$162,BP2907,0))/100)))&gt;0)*($D$10:$L$10-($D$9:$L$9+INT(($S$12:$AA$12+INDEX($AJ$13:$AR$162,BN2907,0)+INDEX($AT$13:$BB$162,BO2907,0)+INDEX($BD$13:$BL$162,BP2907,0))/100)))),0)</f>
        <v/>
      </c>
      <c r="BS2907">
        <f>IF(2894&lt;$U$9,SUMPRODUCT(($D$9:$L$9+INT(($S$12:$AA$12+INDEX($AJ$13:$AR$162,BN2907,0)+INDEX($AT$13:$BB$162,BO2907,0)+INDEX($BD$13:$BL$162,BP2907,0))/100))),0)</f>
        <v/>
      </c>
      <c r="BT2907">
        <f>IF(AND(2894&lt;$U$9,$W$5),BQ2907*1000000-MIN(BR2907,999)*1000+BS2907-2894/100000,-1000000000-2894)</f>
        <v/>
      </c>
    </row>
    <row r="2908">
      <c r="BN2908">
        <f>IF(2895&lt;$U$9,INT(2895/($U$7*$U$8))+1,1)</f>
        <v/>
      </c>
      <c r="BO2908">
        <f>IF(2895&lt;$U$9,MOD(INT(2895/$U$8),$U$7)+1,1)</f>
        <v/>
      </c>
      <c r="BP2908">
        <f>IF(2895&lt;$U$9,MOD(2895,$U$8)+1,1)</f>
        <v/>
      </c>
      <c r="BQ2908">
        <f>IF(2895&lt;$U$9,SUMPRODUCT(($D$10:$L$10&lt;&gt;"")*(($D$9:$L$9+INT(($S$12:$AA$12+INDEX($AJ$13:$AR$162,BN2908,0)+INDEX($AT$13:$BB$162,BO2908,0)+INDEX($BD$13:$BL$162,BP2908,0))/100))&gt;=$D$10:$L$10)),0)</f>
        <v/>
      </c>
      <c r="BR2908">
        <f>IF(2895&lt;$U$9,SUMPRODUCT(($D$10:$L$10&lt;&gt;"")*(($D$10:$L$10-($D$9:$L$9+INT(($S$12:$AA$12+INDEX($AJ$13:$AR$162,BN2908,0)+INDEX($AT$13:$BB$162,BO2908,0)+INDEX($BD$13:$BL$162,BP2908,0))/100)))&gt;0)*($D$10:$L$10-($D$9:$L$9+INT(($S$12:$AA$12+INDEX($AJ$13:$AR$162,BN2908,0)+INDEX($AT$13:$BB$162,BO2908,0)+INDEX($BD$13:$BL$162,BP2908,0))/100)))),0)</f>
        <v/>
      </c>
      <c r="BS2908">
        <f>IF(2895&lt;$U$9,SUMPRODUCT(($D$9:$L$9+INT(($S$12:$AA$12+INDEX($AJ$13:$AR$162,BN2908,0)+INDEX($AT$13:$BB$162,BO2908,0)+INDEX($BD$13:$BL$162,BP2908,0))/100))),0)</f>
        <v/>
      </c>
      <c r="BT2908">
        <f>IF(AND(2895&lt;$U$9,$W$5),BQ2908*1000000-MIN(BR2908,999)*1000+BS2908-2895/100000,-1000000000-2895)</f>
        <v/>
      </c>
    </row>
    <row r="2909">
      <c r="BN2909">
        <f>IF(2896&lt;$U$9,INT(2896/($U$7*$U$8))+1,1)</f>
        <v/>
      </c>
      <c r="BO2909">
        <f>IF(2896&lt;$U$9,MOD(INT(2896/$U$8),$U$7)+1,1)</f>
        <v/>
      </c>
      <c r="BP2909">
        <f>IF(2896&lt;$U$9,MOD(2896,$U$8)+1,1)</f>
        <v/>
      </c>
      <c r="BQ2909">
        <f>IF(2896&lt;$U$9,SUMPRODUCT(($D$10:$L$10&lt;&gt;"")*(($D$9:$L$9+INT(($S$12:$AA$12+INDEX($AJ$13:$AR$162,BN2909,0)+INDEX($AT$13:$BB$162,BO2909,0)+INDEX($BD$13:$BL$162,BP2909,0))/100))&gt;=$D$10:$L$10)),0)</f>
        <v/>
      </c>
      <c r="BR2909">
        <f>IF(2896&lt;$U$9,SUMPRODUCT(($D$10:$L$10&lt;&gt;"")*(($D$10:$L$10-($D$9:$L$9+INT(($S$12:$AA$12+INDEX($AJ$13:$AR$162,BN2909,0)+INDEX($AT$13:$BB$162,BO2909,0)+INDEX($BD$13:$BL$162,BP2909,0))/100)))&gt;0)*($D$10:$L$10-($D$9:$L$9+INT(($S$12:$AA$12+INDEX($AJ$13:$AR$162,BN2909,0)+INDEX($AT$13:$BB$162,BO2909,0)+INDEX($BD$13:$BL$162,BP2909,0))/100)))),0)</f>
        <v/>
      </c>
      <c r="BS2909">
        <f>IF(2896&lt;$U$9,SUMPRODUCT(($D$9:$L$9+INT(($S$12:$AA$12+INDEX($AJ$13:$AR$162,BN2909,0)+INDEX($AT$13:$BB$162,BO2909,0)+INDEX($BD$13:$BL$162,BP2909,0))/100))),0)</f>
        <v/>
      </c>
      <c r="BT2909">
        <f>IF(AND(2896&lt;$U$9,$W$5),BQ2909*1000000-MIN(BR2909,999)*1000+BS2909-2896/100000,-1000000000-2896)</f>
        <v/>
      </c>
    </row>
    <row r="2910">
      <c r="BN2910">
        <f>IF(2897&lt;$U$9,INT(2897/($U$7*$U$8))+1,1)</f>
        <v/>
      </c>
      <c r="BO2910">
        <f>IF(2897&lt;$U$9,MOD(INT(2897/$U$8),$U$7)+1,1)</f>
        <v/>
      </c>
      <c r="BP2910">
        <f>IF(2897&lt;$U$9,MOD(2897,$U$8)+1,1)</f>
        <v/>
      </c>
      <c r="BQ2910">
        <f>IF(2897&lt;$U$9,SUMPRODUCT(($D$10:$L$10&lt;&gt;"")*(($D$9:$L$9+INT(($S$12:$AA$12+INDEX($AJ$13:$AR$162,BN2910,0)+INDEX($AT$13:$BB$162,BO2910,0)+INDEX($BD$13:$BL$162,BP2910,0))/100))&gt;=$D$10:$L$10)),0)</f>
        <v/>
      </c>
      <c r="BR2910">
        <f>IF(2897&lt;$U$9,SUMPRODUCT(($D$10:$L$10&lt;&gt;"")*(($D$10:$L$10-($D$9:$L$9+INT(($S$12:$AA$12+INDEX($AJ$13:$AR$162,BN2910,0)+INDEX($AT$13:$BB$162,BO2910,0)+INDEX($BD$13:$BL$162,BP2910,0))/100)))&gt;0)*($D$10:$L$10-($D$9:$L$9+INT(($S$12:$AA$12+INDEX($AJ$13:$AR$162,BN2910,0)+INDEX($AT$13:$BB$162,BO2910,0)+INDEX($BD$13:$BL$162,BP2910,0))/100)))),0)</f>
        <v/>
      </c>
      <c r="BS2910">
        <f>IF(2897&lt;$U$9,SUMPRODUCT(($D$9:$L$9+INT(($S$12:$AA$12+INDEX($AJ$13:$AR$162,BN2910,0)+INDEX($AT$13:$BB$162,BO2910,0)+INDEX($BD$13:$BL$162,BP2910,0))/100))),0)</f>
        <v/>
      </c>
      <c r="BT2910">
        <f>IF(AND(2897&lt;$U$9,$W$5),BQ2910*1000000-MIN(BR2910,999)*1000+BS2910-2897/100000,-1000000000-2897)</f>
        <v/>
      </c>
    </row>
    <row r="2911">
      <c r="BN2911">
        <f>IF(2898&lt;$U$9,INT(2898/($U$7*$U$8))+1,1)</f>
        <v/>
      </c>
      <c r="BO2911">
        <f>IF(2898&lt;$U$9,MOD(INT(2898/$U$8),$U$7)+1,1)</f>
        <v/>
      </c>
      <c r="BP2911">
        <f>IF(2898&lt;$U$9,MOD(2898,$U$8)+1,1)</f>
        <v/>
      </c>
      <c r="BQ2911">
        <f>IF(2898&lt;$U$9,SUMPRODUCT(($D$10:$L$10&lt;&gt;"")*(($D$9:$L$9+INT(($S$12:$AA$12+INDEX($AJ$13:$AR$162,BN2911,0)+INDEX($AT$13:$BB$162,BO2911,0)+INDEX($BD$13:$BL$162,BP2911,0))/100))&gt;=$D$10:$L$10)),0)</f>
        <v/>
      </c>
      <c r="BR2911">
        <f>IF(2898&lt;$U$9,SUMPRODUCT(($D$10:$L$10&lt;&gt;"")*(($D$10:$L$10-($D$9:$L$9+INT(($S$12:$AA$12+INDEX($AJ$13:$AR$162,BN2911,0)+INDEX($AT$13:$BB$162,BO2911,0)+INDEX($BD$13:$BL$162,BP2911,0))/100)))&gt;0)*($D$10:$L$10-($D$9:$L$9+INT(($S$12:$AA$12+INDEX($AJ$13:$AR$162,BN2911,0)+INDEX($AT$13:$BB$162,BO2911,0)+INDEX($BD$13:$BL$162,BP2911,0))/100)))),0)</f>
        <v/>
      </c>
      <c r="BS2911">
        <f>IF(2898&lt;$U$9,SUMPRODUCT(($D$9:$L$9+INT(($S$12:$AA$12+INDEX($AJ$13:$AR$162,BN2911,0)+INDEX($AT$13:$BB$162,BO2911,0)+INDEX($BD$13:$BL$162,BP2911,0))/100))),0)</f>
        <v/>
      </c>
      <c r="BT2911">
        <f>IF(AND(2898&lt;$U$9,$W$5),BQ2911*1000000-MIN(BR2911,999)*1000+BS2911-2898/100000,-1000000000-2898)</f>
        <v/>
      </c>
    </row>
    <row r="2912">
      <c r="BN2912">
        <f>IF(2899&lt;$U$9,INT(2899/($U$7*$U$8))+1,1)</f>
        <v/>
      </c>
      <c r="BO2912">
        <f>IF(2899&lt;$U$9,MOD(INT(2899/$U$8),$U$7)+1,1)</f>
        <v/>
      </c>
      <c r="BP2912">
        <f>IF(2899&lt;$U$9,MOD(2899,$U$8)+1,1)</f>
        <v/>
      </c>
      <c r="BQ2912">
        <f>IF(2899&lt;$U$9,SUMPRODUCT(($D$10:$L$10&lt;&gt;"")*(($D$9:$L$9+INT(($S$12:$AA$12+INDEX($AJ$13:$AR$162,BN2912,0)+INDEX($AT$13:$BB$162,BO2912,0)+INDEX($BD$13:$BL$162,BP2912,0))/100))&gt;=$D$10:$L$10)),0)</f>
        <v/>
      </c>
      <c r="BR2912">
        <f>IF(2899&lt;$U$9,SUMPRODUCT(($D$10:$L$10&lt;&gt;"")*(($D$10:$L$10-($D$9:$L$9+INT(($S$12:$AA$12+INDEX($AJ$13:$AR$162,BN2912,0)+INDEX($AT$13:$BB$162,BO2912,0)+INDEX($BD$13:$BL$162,BP2912,0))/100)))&gt;0)*($D$10:$L$10-($D$9:$L$9+INT(($S$12:$AA$12+INDEX($AJ$13:$AR$162,BN2912,0)+INDEX($AT$13:$BB$162,BO2912,0)+INDEX($BD$13:$BL$162,BP2912,0))/100)))),0)</f>
        <v/>
      </c>
      <c r="BS2912">
        <f>IF(2899&lt;$U$9,SUMPRODUCT(($D$9:$L$9+INT(($S$12:$AA$12+INDEX($AJ$13:$AR$162,BN2912,0)+INDEX($AT$13:$BB$162,BO2912,0)+INDEX($BD$13:$BL$162,BP2912,0))/100))),0)</f>
        <v/>
      </c>
      <c r="BT2912">
        <f>IF(AND(2899&lt;$U$9,$W$5),BQ2912*1000000-MIN(BR2912,999)*1000+BS2912-2899/100000,-1000000000-2899)</f>
        <v/>
      </c>
    </row>
    <row r="2913">
      <c r="BN2913">
        <f>IF(2900&lt;$U$9,INT(2900/($U$7*$U$8))+1,1)</f>
        <v/>
      </c>
      <c r="BO2913">
        <f>IF(2900&lt;$U$9,MOD(INT(2900/$U$8),$U$7)+1,1)</f>
        <v/>
      </c>
      <c r="BP2913">
        <f>IF(2900&lt;$U$9,MOD(2900,$U$8)+1,1)</f>
        <v/>
      </c>
      <c r="BQ2913">
        <f>IF(2900&lt;$U$9,SUMPRODUCT(($D$10:$L$10&lt;&gt;"")*(($D$9:$L$9+INT(($S$12:$AA$12+INDEX($AJ$13:$AR$162,BN2913,0)+INDEX($AT$13:$BB$162,BO2913,0)+INDEX($BD$13:$BL$162,BP2913,0))/100))&gt;=$D$10:$L$10)),0)</f>
        <v/>
      </c>
      <c r="BR2913">
        <f>IF(2900&lt;$U$9,SUMPRODUCT(($D$10:$L$10&lt;&gt;"")*(($D$10:$L$10-($D$9:$L$9+INT(($S$12:$AA$12+INDEX($AJ$13:$AR$162,BN2913,0)+INDEX($AT$13:$BB$162,BO2913,0)+INDEX($BD$13:$BL$162,BP2913,0))/100)))&gt;0)*($D$10:$L$10-($D$9:$L$9+INT(($S$12:$AA$12+INDEX($AJ$13:$AR$162,BN2913,0)+INDEX($AT$13:$BB$162,BO2913,0)+INDEX($BD$13:$BL$162,BP2913,0))/100)))),0)</f>
        <v/>
      </c>
      <c r="BS2913">
        <f>IF(2900&lt;$U$9,SUMPRODUCT(($D$9:$L$9+INT(($S$12:$AA$12+INDEX($AJ$13:$AR$162,BN2913,0)+INDEX($AT$13:$BB$162,BO2913,0)+INDEX($BD$13:$BL$162,BP2913,0))/100))),0)</f>
        <v/>
      </c>
      <c r="BT2913">
        <f>IF(AND(2900&lt;$U$9,$W$5),BQ2913*1000000-MIN(BR2913,999)*1000+BS2913-2900/100000,-1000000000-2900)</f>
        <v/>
      </c>
    </row>
    <row r="2914">
      <c r="BN2914">
        <f>IF(2901&lt;$U$9,INT(2901/($U$7*$U$8))+1,1)</f>
        <v/>
      </c>
      <c r="BO2914">
        <f>IF(2901&lt;$U$9,MOD(INT(2901/$U$8),$U$7)+1,1)</f>
        <v/>
      </c>
      <c r="BP2914">
        <f>IF(2901&lt;$U$9,MOD(2901,$U$8)+1,1)</f>
        <v/>
      </c>
      <c r="BQ2914">
        <f>IF(2901&lt;$U$9,SUMPRODUCT(($D$10:$L$10&lt;&gt;"")*(($D$9:$L$9+INT(($S$12:$AA$12+INDEX($AJ$13:$AR$162,BN2914,0)+INDEX($AT$13:$BB$162,BO2914,0)+INDEX($BD$13:$BL$162,BP2914,0))/100))&gt;=$D$10:$L$10)),0)</f>
        <v/>
      </c>
      <c r="BR2914">
        <f>IF(2901&lt;$U$9,SUMPRODUCT(($D$10:$L$10&lt;&gt;"")*(($D$10:$L$10-($D$9:$L$9+INT(($S$12:$AA$12+INDEX($AJ$13:$AR$162,BN2914,0)+INDEX($AT$13:$BB$162,BO2914,0)+INDEX($BD$13:$BL$162,BP2914,0))/100)))&gt;0)*($D$10:$L$10-($D$9:$L$9+INT(($S$12:$AA$12+INDEX($AJ$13:$AR$162,BN2914,0)+INDEX($AT$13:$BB$162,BO2914,0)+INDEX($BD$13:$BL$162,BP2914,0))/100)))),0)</f>
        <v/>
      </c>
      <c r="BS2914">
        <f>IF(2901&lt;$U$9,SUMPRODUCT(($D$9:$L$9+INT(($S$12:$AA$12+INDEX($AJ$13:$AR$162,BN2914,0)+INDEX($AT$13:$BB$162,BO2914,0)+INDEX($BD$13:$BL$162,BP2914,0))/100))),0)</f>
        <v/>
      </c>
      <c r="BT2914">
        <f>IF(AND(2901&lt;$U$9,$W$5),BQ2914*1000000-MIN(BR2914,999)*1000+BS2914-2901/100000,-1000000000-2901)</f>
        <v/>
      </c>
    </row>
    <row r="2915">
      <c r="BN2915">
        <f>IF(2902&lt;$U$9,INT(2902/($U$7*$U$8))+1,1)</f>
        <v/>
      </c>
      <c r="BO2915">
        <f>IF(2902&lt;$U$9,MOD(INT(2902/$U$8),$U$7)+1,1)</f>
        <v/>
      </c>
      <c r="BP2915">
        <f>IF(2902&lt;$U$9,MOD(2902,$U$8)+1,1)</f>
        <v/>
      </c>
      <c r="BQ2915">
        <f>IF(2902&lt;$U$9,SUMPRODUCT(($D$10:$L$10&lt;&gt;"")*(($D$9:$L$9+INT(($S$12:$AA$12+INDEX($AJ$13:$AR$162,BN2915,0)+INDEX($AT$13:$BB$162,BO2915,0)+INDEX($BD$13:$BL$162,BP2915,0))/100))&gt;=$D$10:$L$10)),0)</f>
        <v/>
      </c>
      <c r="BR2915">
        <f>IF(2902&lt;$U$9,SUMPRODUCT(($D$10:$L$10&lt;&gt;"")*(($D$10:$L$10-($D$9:$L$9+INT(($S$12:$AA$12+INDEX($AJ$13:$AR$162,BN2915,0)+INDEX($AT$13:$BB$162,BO2915,0)+INDEX($BD$13:$BL$162,BP2915,0))/100)))&gt;0)*($D$10:$L$10-($D$9:$L$9+INT(($S$12:$AA$12+INDEX($AJ$13:$AR$162,BN2915,0)+INDEX($AT$13:$BB$162,BO2915,0)+INDEX($BD$13:$BL$162,BP2915,0))/100)))),0)</f>
        <v/>
      </c>
      <c r="BS2915">
        <f>IF(2902&lt;$U$9,SUMPRODUCT(($D$9:$L$9+INT(($S$12:$AA$12+INDEX($AJ$13:$AR$162,BN2915,0)+INDEX($AT$13:$BB$162,BO2915,0)+INDEX($BD$13:$BL$162,BP2915,0))/100))),0)</f>
        <v/>
      </c>
      <c r="BT2915">
        <f>IF(AND(2902&lt;$U$9,$W$5),BQ2915*1000000-MIN(BR2915,999)*1000+BS2915-2902/100000,-1000000000-2902)</f>
        <v/>
      </c>
    </row>
    <row r="2916">
      <c r="BN2916">
        <f>IF(2903&lt;$U$9,INT(2903/($U$7*$U$8))+1,1)</f>
        <v/>
      </c>
      <c r="BO2916">
        <f>IF(2903&lt;$U$9,MOD(INT(2903/$U$8),$U$7)+1,1)</f>
        <v/>
      </c>
      <c r="BP2916">
        <f>IF(2903&lt;$U$9,MOD(2903,$U$8)+1,1)</f>
        <v/>
      </c>
      <c r="BQ2916">
        <f>IF(2903&lt;$U$9,SUMPRODUCT(($D$10:$L$10&lt;&gt;"")*(($D$9:$L$9+INT(($S$12:$AA$12+INDEX($AJ$13:$AR$162,BN2916,0)+INDEX($AT$13:$BB$162,BO2916,0)+INDEX($BD$13:$BL$162,BP2916,0))/100))&gt;=$D$10:$L$10)),0)</f>
        <v/>
      </c>
      <c r="BR2916">
        <f>IF(2903&lt;$U$9,SUMPRODUCT(($D$10:$L$10&lt;&gt;"")*(($D$10:$L$10-($D$9:$L$9+INT(($S$12:$AA$12+INDEX($AJ$13:$AR$162,BN2916,0)+INDEX($AT$13:$BB$162,BO2916,0)+INDEX($BD$13:$BL$162,BP2916,0))/100)))&gt;0)*($D$10:$L$10-($D$9:$L$9+INT(($S$12:$AA$12+INDEX($AJ$13:$AR$162,BN2916,0)+INDEX($AT$13:$BB$162,BO2916,0)+INDEX($BD$13:$BL$162,BP2916,0))/100)))),0)</f>
        <v/>
      </c>
      <c r="BS2916">
        <f>IF(2903&lt;$U$9,SUMPRODUCT(($D$9:$L$9+INT(($S$12:$AA$12+INDEX($AJ$13:$AR$162,BN2916,0)+INDEX($AT$13:$BB$162,BO2916,0)+INDEX($BD$13:$BL$162,BP2916,0))/100))),0)</f>
        <v/>
      </c>
      <c r="BT2916">
        <f>IF(AND(2903&lt;$U$9,$W$5),BQ2916*1000000-MIN(BR2916,999)*1000+BS2916-2903/100000,-1000000000-2903)</f>
        <v/>
      </c>
    </row>
    <row r="2917">
      <c r="BN2917">
        <f>IF(2904&lt;$U$9,INT(2904/($U$7*$U$8))+1,1)</f>
        <v/>
      </c>
      <c r="BO2917">
        <f>IF(2904&lt;$U$9,MOD(INT(2904/$U$8),$U$7)+1,1)</f>
        <v/>
      </c>
      <c r="BP2917">
        <f>IF(2904&lt;$U$9,MOD(2904,$U$8)+1,1)</f>
        <v/>
      </c>
      <c r="BQ2917">
        <f>IF(2904&lt;$U$9,SUMPRODUCT(($D$10:$L$10&lt;&gt;"")*(($D$9:$L$9+INT(($S$12:$AA$12+INDEX($AJ$13:$AR$162,BN2917,0)+INDEX($AT$13:$BB$162,BO2917,0)+INDEX($BD$13:$BL$162,BP2917,0))/100))&gt;=$D$10:$L$10)),0)</f>
        <v/>
      </c>
      <c r="BR2917">
        <f>IF(2904&lt;$U$9,SUMPRODUCT(($D$10:$L$10&lt;&gt;"")*(($D$10:$L$10-($D$9:$L$9+INT(($S$12:$AA$12+INDEX($AJ$13:$AR$162,BN2917,0)+INDEX($AT$13:$BB$162,BO2917,0)+INDEX($BD$13:$BL$162,BP2917,0))/100)))&gt;0)*($D$10:$L$10-($D$9:$L$9+INT(($S$12:$AA$12+INDEX($AJ$13:$AR$162,BN2917,0)+INDEX($AT$13:$BB$162,BO2917,0)+INDEX($BD$13:$BL$162,BP2917,0))/100)))),0)</f>
        <v/>
      </c>
      <c r="BS2917">
        <f>IF(2904&lt;$U$9,SUMPRODUCT(($D$9:$L$9+INT(($S$12:$AA$12+INDEX($AJ$13:$AR$162,BN2917,0)+INDEX($AT$13:$BB$162,BO2917,0)+INDEX($BD$13:$BL$162,BP2917,0))/100))),0)</f>
        <v/>
      </c>
      <c r="BT2917">
        <f>IF(AND(2904&lt;$U$9,$W$5),BQ2917*1000000-MIN(BR2917,999)*1000+BS2917-2904/100000,-1000000000-2904)</f>
        <v/>
      </c>
    </row>
    <row r="2918">
      <c r="BN2918">
        <f>IF(2905&lt;$U$9,INT(2905/($U$7*$U$8))+1,1)</f>
        <v/>
      </c>
      <c r="BO2918">
        <f>IF(2905&lt;$U$9,MOD(INT(2905/$U$8),$U$7)+1,1)</f>
        <v/>
      </c>
      <c r="BP2918">
        <f>IF(2905&lt;$U$9,MOD(2905,$U$8)+1,1)</f>
        <v/>
      </c>
      <c r="BQ2918">
        <f>IF(2905&lt;$U$9,SUMPRODUCT(($D$10:$L$10&lt;&gt;"")*(($D$9:$L$9+INT(($S$12:$AA$12+INDEX($AJ$13:$AR$162,BN2918,0)+INDEX($AT$13:$BB$162,BO2918,0)+INDEX($BD$13:$BL$162,BP2918,0))/100))&gt;=$D$10:$L$10)),0)</f>
        <v/>
      </c>
      <c r="BR2918">
        <f>IF(2905&lt;$U$9,SUMPRODUCT(($D$10:$L$10&lt;&gt;"")*(($D$10:$L$10-($D$9:$L$9+INT(($S$12:$AA$12+INDEX($AJ$13:$AR$162,BN2918,0)+INDEX($AT$13:$BB$162,BO2918,0)+INDEX($BD$13:$BL$162,BP2918,0))/100)))&gt;0)*($D$10:$L$10-($D$9:$L$9+INT(($S$12:$AA$12+INDEX($AJ$13:$AR$162,BN2918,0)+INDEX($AT$13:$BB$162,BO2918,0)+INDEX($BD$13:$BL$162,BP2918,0))/100)))),0)</f>
        <v/>
      </c>
      <c r="BS2918">
        <f>IF(2905&lt;$U$9,SUMPRODUCT(($D$9:$L$9+INT(($S$12:$AA$12+INDEX($AJ$13:$AR$162,BN2918,0)+INDEX($AT$13:$BB$162,BO2918,0)+INDEX($BD$13:$BL$162,BP2918,0))/100))),0)</f>
        <v/>
      </c>
      <c r="BT2918">
        <f>IF(AND(2905&lt;$U$9,$W$5),BQ2918*1000000-MIN(BR2918,999)*1000+BS2918-2905/100000,-1000000000-2905)</f>
        <v/>
      </c>
    </row>
    <row r="2919">
      <c r="BN2919">
        <f>IF(2906&lt;$U$9,INT(2906/($U$7*$U$8))+1,1)</f>
        <v/>
      </c>
      <c r="BO2919">
        <f>IF(2906&lt;$U$9,MOD(INT(2906/$U$8),$U$7)+1,1)</f>
        <v/>
      </c>
      <c r="BP2919">
        <f>IF(2906&lt;$U$9,MOD(2906,$U$8)+1,1)</f>
        <v/>
      </c>
      <c r="BQ2919">
        <f>IF(2906&lt;$U$9,SUMPRODUCT(($D$10:$L$10&lt;&gt;"")*(($D$9:$L$9+INT(($S$12:$AA$12+INDEX($AJ$13:$AR$162,BN2919,0)+INDEX($AT$13:$BB$162,BO2919,0)+INDEX($BD$13:$BL$162,BP2919,0))/100))&gt;=$D$10:$L$10)),0)</f>
        <v/>
      </c>
      <c r="BR2919">
        <f>IF(2906&lt;$U$9,SUMPRODUCT(($D$10:$L$10&lt;&gt;"")*(($D$10:$L$10-($D$9:$L$9+INT(($S$12:$AA$12+INDEX($AJ$13:$AR$162,BN2919,0)+INDEX($AT$13:$BB$162,BO2919,0)+INDEX($BD$13:$BL$162,BP2919,0))/100)))&gt;0)*($D$10:$L$10-($D$9:$L$9+INT(($S$12:$AA$12+INDEX($AJ$13:$AR$162,BN2919,0)+INDEX($AT$13:$BB$162,BO2919,0)+INDEX($BD$13:$BL$162,BP2919,0))/100)))),0)</f>
        <v/>
      </c>
      <c r="BS2919">
        <f>IF(2906&lt;$U$9,SUMPRODUCT(($D$9:$L$9+INT(($S$12:$AA$12+INDEX($AJ$13:$AR$162,BN2919,0)+INDEX($AT$13:$BB$162,BO2919,0)+INDEX($BD$13:$BL$162,BP2919,0))/100))),0)</f>
        <v/>
      </c>
      <c r="BT2919">
        <f>IF(AND(2906&lt;$U$9,$W$5),BQ2919*1000000-MIN(BR2919,999)*1000+BS2919-2906/100000,-1000000000-2906)</f>
        <v/>
      </c>
    </row>
    <row r="2920">
      <c r="BN2920">
        <f>IF(2907&lt;$U$9,INT(2907/($U$7*$U$8))+1,1)</f>
        <v/>
      </c>
      <c r="BO2920">
        <f>IF(2907&lt;$U$9,MOD(INT(2907/$U$8),$U$7)+1,1)</f>
        <v/>
      </c>
      <c r="BP2920">
        <f>IF(2907&lt;$U$9,MOD(2907,$U$8)+1,1)</f>
        <v/>
      </c>
      <c r="BQ2920">
        <f>IF(2907&lt;$U$9,SUMPRODUCT(($D$10:$L$10&lt;&gt;"")*(($D$9:$L$9+INT(($S$12:$AA$12+INDEX($AJ$13:$AR$162,BN2920,0)+INDEX($AT$13:$BB$162,BO2920,0)+INDEX($BD$13:$BL$162,BP2920,0))/100))&gt;=$D$10:$L$10)),0)</f>
        <v/>
      </c>
      <c r="BR2920">
        <f>IF(2907&lt;$U$9,SUMPRODUCT(($D$10:$L$10&lt;&gt;"")*(($D$10:$L$10-($D$9:$L$9+INT(($S$12:$AA$12+INDEX($AJ$13:$AR$162,BN2920,0)+INDEX($AT$13:$BB$162,BO2920,0)+INDEX($BD$13:$BL$162,BP2920,0))/100)))&gt;0)*($D$10:$L$10-($D$9:$L$9+INT(($S$12:$AA$12+INDEX($AJ$13:$AR$162,BN2920,0)+INDEX($AT$13:$BB$162,BO2920,0)+INDEX($BD$13:$BL$162,BP2920,0))/100)))),0)</f>
        <v/>
      </c>
      <c r="BS2920">
        <f>IF(2907&lt;$U$9,SUMPRODUCT(($D$9:$L$9+INT(($S$12:$AA$12+INDEX($AJ$13:$AR$162,BN2920,0)+INDEX($AT$13:$BB$162,BO2920,0)+INDEX($BD$13:$BL$162,BP2920,0))/100))),0)</f>
        <v/>
      </c>
      <c r="BT2920">
        <f>IF(AND(2907&lt;$U$9,$W$5),BQ2920*1000000-MIN(BR2920,999)*1000+BS2920-2907/100000,-1000000000-2907)</f>
        <v/>
      </c>
    </row>
    <row r="2921">
      <c r="BN2921">
        <f>IF(2908&lt;$U$9,INT(2908/($U$7*$U$8))+1,1)</f>
        <v/>
      </c>
      <c r="BO2921">
        <f>IF(2908&lt;$U$9,MOD(INT(2908/$U$8),$U$7)+1,1)</f>
        <v/>
      </c>
      <c r="BP2921">
        <f>IF(2908&lt;$U$9,MOD(2908,$U$8)+1,1)</f>
        <v/>
      </c>
      <c r="BQ2921">
        <f>IF(2908&lt;$U$9,SUMPRODUCT(($D$10:$L$10&lt;&gt;"")*(($D$9:$L$9+INT(($S$12:$AA$12+INDEX($AJ$13:$AR$162,BN2921,0)+INDEX($AT$13:$BB$162,BO2921,0)+INDEX($BD$13:$BL$162,BP2921,0))/100))&gt;=$D$10:$L$10)),0)</f>
        <v/>
      </c>
      <c r="BR2921">
        <f>IF(2908&lt;$U$9,SUMPRODUCT(($D$10:$L$10&lt;&gt;"")*(($D$10:$L$10-($D$9:$L$9+INT(($S$12:$AA$12+INDEX($AJ$13:$AR$162,BN2921,0)+INDEX($AT$13:$BB$162,BO2921,0)+INDEX($BD$13:$BL$162,BP2921,0))/100)))&gt;0)*($D$10:$L$10-($D$9:$L$9+INT(($S$12:$AA$12+INDEX($AJ$13:$AR$162,BN2921,0)+INDEX($AT$13:$BB$162,BO2921,0)+INDEX($BD$13:$BL$162,BP2921,0))/100)))),0)</f>
        <v/>
      </c>
      <c r="BS2921">
        <f>IF(2908&lt;$U$9,SUMPRODUCT(($D$9:$L$9+INT(($S$12:$AA$12+INDEX($AJ$13:$AR$162,BN2921,0)+INDEX($AT$13:$BB$162,BO2921,0)+INDEX($BD$13:$BL$162,BP2921,0))/100))),0)</f>
        <v/>
      </c>
      <c r="BT2921">
        <f>IF(AND(2908&lt;$U$9,$W$5),BQ2921*1000000-MIN(BR2921,999)*1000+BS2921-2908/100000,-1000000000-2908)</f>
        <v/>
      </c>
    </row>
    <row r="2922">
      <c r="BN2922">
        <f>IF(2909&lt;$U$9,INT(2909/($U$7*$U$8))+1,1)</f>
        <v/>
      </c>
      <c r="BO2922">
        <f>IF(2909&lt;$U$9,MOD(INT(2909/$U$8),$U$7)+1,1)</f>
        <v/>
      </c>
      <c r="BP2922">
        <f>IF(2909&lt;$U$9,MOD(2909,$U$8)+1,1)</f>
        <v/>
      </c>
      <c r="BQ2922">
        <f>IF(2909&lt;$U$9,SUMPRODUCT(($D$10:$L$10&lt;&gt;"")*(($D$9:$L$9+INT(($S$12:$AA$12+INDEX($AJ$13:$AR$162,BN2922,0)+INDEX($AT$13:$BB$162,BO2922,0)+INDEX($BD$13:$BL$162,BP2922,0))/100))&gt;=$D$10:$L$10)),0)</f>
        <v/>
      </c>
      <c r="BR2922">
        <f>IF(2909&lt;$U$9,SUMPRODUCT(($D$10:$L$10&lt;&gt;"")*(($D$10:$L$10-($D$9:$L$9+INT(($S$12:$AA$12+INDEX($AJ$13:$AR$162,BN2922,0)+INDEX($AT$13:$BB$162,BO2922,0)+INDEX($BD$13:$BL$162,BP2922,0))/100)))&gt;0)*($D$10:$L$10-($D$9:$L$9+INT(($S$12:$AA$12+INDEX($AJ$13:$AR$162,BN2922,0)+INDEX($AT$13:$BB$162,BO2922,0)+INDEX($BD$13:$BL$162,BP2922,0))/100)))),0)</f>
        <v/>
      </c>
      <c r="BS2922">
        <f>IF(2909&lt;$U$9,SUMPRODUCT(($D$9:$L$9+INT(($S$12:$AA$12+INDEX($AJ$13:$AR$162,BN2922,0)+INDEX($AT$13:$BB$162,BO2922,0)+INDEX($BD$13:$BL$162,BP2922,0))/100))),0)</f>
        <v/>
      </c>
      <c r="BT2922">
        <f>IF(AND(2909&lt;$U$9,$W$5),BQ2922*1000000-MIN(BR2922,999)*1000+BS2922-2909/100000,-1000000000-2909)</f>
        <v/>
      </c>
    </row>
    <row r="2923">
      <c r="BN2923">
        <f>IF(2910&lt;$U$9,INT(2910/($U$7*$U$8))+1,1)</f>
        <v/>
      </c>
      <c r="BO2923">
        <f>IF(2910&lt;$U$9,MOD(INT(2910/$U$8),$U$7)+1,1)</f>
        <v/>
      </c>
      <c r="BP2923">
        <f>IF(2910&lt;$U$9,MOD(2910,$U$8)+1,1)</f>
        <v/>
      </c>
      <c r="BQ2923">
        <f>IF(2910&lt;$U$9,SUMPRODUCT(($D$10:$L$10&lt;&gt;"")*(($D$9:$L$9+INT(($S$12:$AA$12+INDEX($AJ$13:$AR$162,BN2923,0)+INDEX($AT$13:$BB$162,BO2923,0)+INDEX($BD$13:$BL$162,BP2923,0))/100))&gt;=$D$10:$L$10)),0)</f>
        <v/>
      </c>
      <c r="BR2923">
        <f>IF(2910&lt;$U$9,SUMPRODUCT(($D$10:$L$10&lt;&gt;"")*(($D$10:$L$10-($D$9:$L$9+INT(($S$12:$AA$12+INDEX($AJ$13:$AR$162,BN2923,0)+INDEX($AT$13:$BB$162,BO2923,0)+INDEX($BD$13:$BL$162,BP2923,0))/100)))&gt;0)*($D$10:$L$10-($D$9:$L$9+INT(($S$12:$AA$12+INDEX($AJ$13:$AR$162,BN2923,0)+INDEX($AT$13:$BB$162,BO2923,0)+INDEX($BD$13:$BL$162,BP2923,0))/100)))),0)</f>
        <v/>
      </c>
      <c r="BS2923">
        <f>IF(2910&lt;$U$9,SUMPRODUCT(($D$9:$L$9+INT(($S$12:$AA$12+INDEX($AJ$13:$AR$162,BN2923,0)+INDEX($AT$13:$BB$162,BO2923,0)+INDEX($BD$13:$BL$162,BP2923,0))/100))),0)</f>
        <v/>
      </c>
      <c r="BT2923">
        <f>IF(AND(2910&lt;$U$9,$W$5),BQ2923*1000000-MIN(BR2923,999)*1000+BS2923-2910/100000,-1000000000-2910)</f>
        <v/>
      </c>
    </row>
    <row r="2924">
      <c r="BN2924">
        <f>IF(2911&lt;$U$9,INT(2911/($U$7*$U$8))+1,1)</f>
        <v/>
      </c>
      <c r="BO2924">
        <f>IF(2911&lt;$U$9,MOD(INT(2911/$U$8),$U$7)+1,1)</f>
        <v/>
      </c>
      <c r="BP2924">
        <f>IF(2911&lt;$U$9,MOD(2911,$U$8)+1,1)</f>
        <v/>
      </c>
      <c r="BQ2924">
        <f>IF(2911&lt;$U$9,SUMPRODUCT(($D$10:$L$10&lt;&gt;"")*(($D$9:$L$9+INT(($S$12:$AA$12+INDEX($AJ$13:$AR$162,BN2924,0)+INDEX($AT$13:$BB$162,BO2924,0)+INDEX($BD$13:$BL$162,BP2924,0))/100))&gt;=$D$10:$L$10)),0)</f>
        <v/>
      </c>
      <c r="BR2924">
        <f>IF(2911&lt;$U$9,SUMPRODUCT(($D$10:$L$10&lt;&gt;"")*(($D$10:$L$10-($D$9:$L$9+INT(($S$12:$AA$12+INDEX($AJ$13:$AR$162,BN2924,0)+INDEX($AT$13:$BB$162,BO2924,0)+INDEX($BD$13:$BL$162,BP2924,0))/100)))&gt;0)*($D$10:$L$10-($D$9:$L$9+INT(($S$12:$AA$12+INDEX($AJ$13:$AR$162,BN2924,0)+INDEX($AT$13:$BB$162,BO2924,0)+INDEX($BD$13:$BL$162,BP2924,0))/100)))),0)</f>
        <v/>
      </c>
      <c r="BS2924">
        <f>IF(2911&lt;$U$9,SUMPRODUCT(($D$9:$L$9+INT(($S$12:$AA$12+INDEX($AJ$13:$AR$162,BN2924,0)+INDEX($AT$13:$BB$162,BO2924,0)+INDEX($BD$13:$BL$162,BP2924,0))/100))),0)</f>
        <v/>
      </c>
      <c r="BT2924">
        <f>IF(AND(2911&lt;$U$9,$W$5),BQ2924*1000000-MIN(BR2924,999)*1000+BS2924-2911/100000,-1000000000-2911)</f>
        <v/>
      </c>
    </row>
    <row r="2925">
      <c r="BN2925">
        <f>IF(2912&lt;$U$9,INT(2912/($U$7*$U$8))+1,1)</f>
        <v/>
      </c>
      <c r="BO2925">
        <f>IF(2912&lt;$U$9,MOD(INT(2912/$U$8),$U$7)+1,1)</f>
        <v/>
      </c>
      <c r="BP2925">
        <f>IF(2912&lt;$U$9,MOD(2912,$U$8)+1,1)</f>
        <v/>
      </c>
      <c r="BQ2925">
        <f>IF(2912&lt;$U$9,SUMPRODUCT(($D$10:$L$10&lt;&gt;"")*(($D$9:$L$9+INT(($S$12:$AA$12+INDEX($AJ$13:$AR$162,BN2925,0)+INDEX($AT$13:$BB$162,BO2925,0)+INDEX($BD$13:$BL$162,BP2925,0))/100))&gt;=$D$10:$L$10)),0)</f>
        <v/>
      </c>
      <c r="BR2925">
        <f>IF(2912&lt;$U$9,SUMPRODUCT(($D$10:$L$10&lt;&gt;"")*(($D$10:$L$10-($D$9:$L$9+INT(($S$12:$AA$12+INDEX($AJ$13:$AR$162,BN2925,0)+INDEX($AT$13:$BB$162,BO2925,0)+INDEX($BD$13:$BL$162,BP2925,0))/100)))&gt;0)*($D$10:$L$10-($D$9:$L$9+INT(($S$12:$AA$12+INDEX($AJ$13:$AR$162,BN2925,0)+INDEX($AT$13:$BB$162,BO2925,0)+INDEX($BD$13:$BL$162,BP2925,0))/100)))),0)</f>
        <v/>
      </c>
      <c r="BS2925">
        <f>IF(2912&lt;$U$9,SUMPRODUCT(($D$9:$L$9+INT(($S$12:$AA$12+INDEX($AJ$13:$AR$162,BN2925,0)+INDEX($AT$13:$BB$162,BO2925,0)+INDEX($BD$13:$BL$162,BP2925,0))/100))),0)</f>
        <v/>
      </c>
      <c r="BT2925">
        <f>IF(AND(2912&lt;$U$9,$W$5),BQ2925*1000000-MIN(BR2925,999)*1000+BS2925-2912/100000,-1000000000-2912)</f>
        <v/>
      </c>
    </row>
    <row r="2926">
      <c r="BN2926">
        <f>IF(2913&lt;$U$9,INT(2913/($U$7*$U$8))+1,1)</f>
        <v/>
      </c>
      <c r="BO2926">
        <f>IF(2913&lt;$U$9,MOD(INT(2913/$U$8),$U$7)+1,1)</f>
        <v/>
      </c>
      <c r="BP2926">
        <f>IF(2913&lt;$U$9,MOD(2913,$U$8)+1,1)</f>
        <v/>
      </c>
      <c r="BQ2926">
        <f>IF(2913&lt;$U$9,SUMPRODUCT(($D$10:$L$10&lt;&gt;"")*(($D$9:$L$9+INT(($S$12:$AA$12+INDEX($AJ$13:$AR$162,BN2926,0)+INDEX($AT$13:$BB$162,BO2926,0)+INDEX($BD$13:$BL$162,BP2926,0))/100))&gt;=$D$10:$L$10)),0)</f>
        <v/>
      </c>
      <c r="BR2926">
        <f>IF(2913&lt;$U$9,SUMPRODUCT(($D$10:$L$10&lt;&gt;"")*(($D$10:$L$10-($D$9:$L$9+INT(($S$12:$AA$12+INDEX($AJ$13:$AR$162,BN2926,0)+INDEX($AT$13:$BB$162,BO2926,0)+INDEX($BD$13:$BL$162,BP2926,0))/100)))&gt;0)*($D$10:$L$10-($D$9:$L$9+INT(($S$12:$AA$12+INDEX($AJ$13:$AR$162,BN2926,0)+INDEX($AT$13:$BB$162,BO2926,0)+INDEX($BD$13:$BL$162,BP2926,0))/100)))),0)</f>
        <v/>
      </c>
      <c r="BS2926">
        <f>IF(2913&lt;$U$9,SUMPRODUCT(($D$9:$L$9+INT(($S$12:$AA$12+INDEX($AJ$13:$AR$162,BN2926,0)+INDEX($AT$13:$BB$162,BO2926,0)+INDEX($BD$13:$BL$162,BP2926,0))/100))),0)</f>
        <v/>
      </c>
      <c r="BT2926">
        <f>IF(AND(2913&lt;$U$9,$W$5),BQ2926*1000000-MIN(BR2926,999)*1000+BS2926-2913/100000,-1000000000-2913)</f>
        <v/>
      </c>
    </row>
    <row r="2927">
      <c r="BN2927">
        <f>IF(2914&lt;$U$9,INT(2914/($U$7*$U$8))+1,1)</f>
        <v/>
      </c>
      <c r="BO2927">
        <f>IF(2914&lt;$U$9,MOD(INT(2914/$U$8),$U$7)+1,1)</f>
        <v/>
      </c>
      <c r="BP2927">
        <f>IF(2914&lt;$U$9,MOD(2914,$U$8)+1,1)</f>
        <v/>
      </c>
      <c r="BQ2927">
        <f>IF(2914&lt;$U$9,SUMPRODUCT(($D$10:$L$10&lt;&gt;"")*(($D$9:$L$9+INT(($S$12:$AA$12+INDEX($AJ$13:$AR$162,BN2927,0)+INDEX($AT$13:$BB$162,BO2927,0)+INDEX($BD$13:$BL$162,BP2927,0))/100))&gt;=$D$10:$L$10)),0)</f>
        <v/>
      </c>
      <c r="BR2927">
        <f>IF(2914&lt;$U$9,SUMPRODUCT(($D$10:$L$10&lt;&gt;"")*(($D$10:$L$10-($D$9:$L$9+INT(($S$12:$AA$12+INDEX($AJ$13:$AR$162,BN2927,0)+INDEX($AT$13:$BB$162,BO2927,0)+INDEX($BD$13:$BL$162,BP2927,0))/100)))&gt;0)*($D$10:$L$10-($D$9:$L$9+INT(($S$12:$AA$12+INDEX($AJ$13:$AR$162,BN2927,0)+INDEX($AT$13:$BB$162,BO2927,0)+INDEX($BD$13:$BL$162,BP2927,0))/100)))),0)</f>
        <v/>
      </c>
      <c r="BS2927">
        <f>IF(2914&lt;$U$9,SUMPRODUCT(($D$9:$L$9+INT(($S$12:$AA$12+INDEX($AJ$13:$AR$162,BN2927,0)+INDEX($AT$13:$BB$162,BO2927,0)+INDEX($BD$13:$BL$162,BP2927,0))/100))),0)</f>
        <v/>
      </c>
      <c r="BT2927">
        <f>IF(AND(2914&lt;$U$9,$W$5),BQ2927*1000000-MIN(BR2927,999)*1000+BS2927-2914/100000,-1000000000-2914)</f>
        <v/>
      </c>
    </row>
    <row r="2928">
      <c r="BN2928">
        <f>IF(2915&lt;$U$9,INT(2915/($U$7*$U$8))+1,1)</f>
        <v/>
      </c>
      <c r="BO2928">
        <f>IF(2915&lt;$U$9,MOD(INT(2915/$U$8),$U$7)+1,1)</f>
        <v/>
      </c>
      <c r="BP2928">
        <f>IF(2915&lt;$U$9,MOD(2915,$U$8)+1,1)</f>
        <v/>
      </c>
      <c r="BQ2928">
        <f>IF(2915&lt;$U$9,SUMPRODUCT(($D$10:$L$10&lt;&gt;"")*(($D$9:$L$9+INT(($S$12:$AA$12+INDEX($AJ$13:$AR$162,BN2928,0)+INDEX($AT$13:$BB$162,BO2928,0)+INDEX($BD$13:$BL$162,BP2928,0))/100))&gt;=$D$10:$L$10)),0)</f>
        <v/>
      </c>
      <c r="BR2928">
        <f>IF(2915&lt;$U$9,SUMPRODUCT(($D$10:$L$10&lt;&gt;"")*(($D$10:$L$10-($D$9:$L$9+INT(($S$12:$AA$12+INDEX($AJ$13:$AR$162,BN2928,0)+INDEX($AT$13:$BB$162,BO2928,0)+INDEX($BD$13:$BL$162,BP2928,0))/100)))&gt;0)*($D$10:$L$10-($D$9:$L$9+INT(($S$12:$AA$12+INDEX($AJ$13:$AR$162,BN2928,0)+INDEX($AT$13:$BB$162,BO2928,0)+INDEX($BD$13:$BL$162,BP2928,0))/100)))),0)</f>
        <v/>
      </c>
      <c r="BS2928">
        <f>IF(2915&lt;$U$9,SUMPRODUCT(($D$9:$L$9+INT(($S$12:$AA$12+INDEX($AJ$13:$AR$162,BN2928,0)+INDEX($AT$13:$BB$162,BO2928,0)+INDEX($BD$13:$BL$162,BP2928,0))/100))),0)</f>
        <v/>
      </c>
      <c r="BT2928">
        <f>IF(AND(2915&lt;$U$9,$W$5),BQ2928*1000000-MIN(BR2928,999)*1000+BS2928-2915/100000,-1000000000-2915)</f>
        <v/>
      </c>
    </row>
    <row r="2929">
      <c r="BN2929">
        <f>IF(2916&lt;$U$9,INT(2916/($U$7*$U$8))+1,1)</f>
        <v/>
      </c>
      <c r="BO2929">
        <f>IF(2916&lt;$U$9,MOD(INT(2916/$U$8),$U$7)+1,1)</f>
        <v/>
      </c>
      <c r="BP2929">
        <f>IF(2916&lt;$U$9,MOD(2916,$U$8)+1,1)</f>
        <v/>
      </c>
      <c r="BQ2929">
        <f>IF(2916&lt;$U$9,SUMPRODUCT(($D$10:$L$10&lt;&gt;"")*(($D$9:$L$9+INT(($S$12:$AA$12+INDEX($AJ$13:$AR$162,BN2929,0)+INDEX($AT$13:$BB$162,BO2929,0)+INDEX($BD$13:$BL$162,BP2929,0))/100))&gt;=$D$10:$L$10)),0)</f>
        <v/>
      </c>
      <c r="BR2929">
        <f>IF(2916&lt;$U$9,SUMPRODUCT(($D$10:$L$10&lt;&gt;"")*(($D$10:$L$10-($D$9:$L$9+INT(($S$12:$AA$12+INDEX($AJ$13:$AR$162,BN2929,0)+INDEX($AT$13:$BB$162,BO2929,0)+INDEX($BD$13:$BL$162,BP2929,0))/100)))&gt;0)*($D$10:$L$10-($D$9:$L$9+INT(($S$12:$AA$12+INDEX($AJ$13:$AR$162,BN2929,0)+INDEX($AT$13:$BB$162,BO2929,0)+INDEX($BD$13:$BL$162,BP2929,0))/100)))),0)</f>
        <v/>
      </c>
      <c r="BS2929">
        <f>IF(2916&lt;$U$9,SUMPRODUCT(($D$9:$L$9+INT(($S$12:$AA$12+INDEX($AJ$13:$AR$162,BN2929,0)+INDEX($AT$13:$BB$162,BO2929,0)+INDEX($BD$13:$BL$162,BP2929,0))/100))),0)</f>
        <v/>
      </c>
      <c r="BT2929">
        <f>IF(AND(2916&lt;$U$9,$W$5),BQ2929*1000000-MIN(BR2929,999)*1000+BS2929-2916/100000,-1000000000-2916)</f>
        <v/>
      </c>
    </row>
    <row r="2930">
      <c r="BN2930">
        <f>IF(2917&lt;$U$9,INT(2917/($U$7*$U$8))+1,1)</f>
        <v/>
      </c>
      <c r="BO2930">
        <f>IF(2917&lt;$U$9,MOD(INT(2917/$U$8),$U$7)+1,1)</f>
        <v/>
      </c>
      <c r="BP2930">
        <f>IF(2917&lt;$U$9,MOD(2917,$U$8)+1,1)</f>
        <v/>
      </c>
      <c r="BQ2930">
        <f>IF(2917&lt;$U$9,SUMPRODUCT(($D$10:$L$10&lt;&gt;"")*(($D$9:$L$9+INT(($S$12:$AA$12+INDEX($AJ$13:$AR$162,BN2930,0)+INDEX($AT$13:$BB$162,BO2930,0)+INDEX($BD$13:$BL$162,BP2930,0))/100))&gt;=$D$10:$L$10)),0)</f>
        <v/>
      </c>
      <c r="BR2930">
        <f>IF(2917&lt;$U$9,SUMPRODUCT(($D$10:$L$10&lt;&gt;"")*(($D$10:$L$10-($D$9:$L$9+INT(($S$12:$AA$12+INDEX($AJ$13:$AR$162,BN2930,0)+INDEX($AT$13:$BB$162,BO2930,0)+INDEX($BD$13:$BL$162,BP2930,0))/100)))&gt;0)*($D$10:$L$10-($D$9:$L$9+INT(($S$12:$AA$12+INDEX($AJ$13:$AR$162,BN2930,0)+INDEX($AT$13:$BB$162,BO2930,0)+INDEX($BD$13:$BL$162,BP2930,0))/100)))),0)</f>
        <v/>
      </c>
      <c r="BS2930">
        <f>IF(2917&lt;$U$9,SUMPRODUCT(($D$9:$L$9+INT(($S$12:$AA$12+INDEX($AJ$13:$AR$162,BN2930,0)+INDEX($AT$13:$BB$162,BO2930,0)+INDEX($BD$13:$BL$162,BP2930,0))/100))),0)</f>
        <v/>
      </c>
      <c r="BT2930">
        <f>IF(AND(2917&lt;$U$9,$W$5),BQ2930*1000000-MIN(BR2930,999)*1000+BS2930-2917/100000,-1000000000-2917)</f>
        <v/>
      </c>
    </row>
    <row r="2931">
      <c r="BN2931">
        <f>IF(2918&lt;$U$9,INT(2918/($U$7*$U$8))+1,1)</f>
        <v/>
      </c>
      <c r="BO2931">
        <f>IF(2918&lt;$U$9,MOD(INT(2918/$U$8),$U$7)+1,1)</f>
        <v/>
      </c>
      <c r="BP2931">
        <f>IF(2918&lt;$U$9,MOD(2918,$U$8)+1,1)</f>
        <v/>
      </c>
      <c r="BQ2931">
        <f>IF(2918&lt;$U$9,SUMPRODUCT(($D$10:$L$10&lt;&gt;"")*(($D$9:$L$9+INT(($S$12:$AA$12+INDEX($AJ$13:$AR$162,BN2931,0)+INDEX($AT$13:$BB$162,BO2931,0)+INDEX($BD$13:$BL$162,BP2931,0))/100))&gt;=$D$10:$L$10)),0)</f>
        <v/>
      </c>
      <c r="BR2931">
        <f>IF(2918&lt;$U$9,SUMPRODUCT(($D$10:$L$10&lt;&gt;"")*(($D$10:$L$10-($D$9:$L$9+INT(($S$12:$AA$12+INDEX($AJ$13:$AR$162,BN2931,0)+INDEX($AT$13:$BB$162,BO2931,0)+INDEX($BD$13:$BL$162,BP2931,0))/100)))&gt;0)*($D$10:$L$10-($D$9:$L$9+INT(($S$12:$AA$12+INDEX($AJ$13:$AR$162,BN2931,0)+INDEX($AT$13:$BB$162,BO2931,0)+INDEX($BD$13:$BL$162,BP2931,0))/100)))),0)</f>
        <v/>
      </c>
      <c r="BS2931">
        <f>IF(2918&lt;$U$9,SUMPRODUCT(($D$9:$L$9+INT(($S$12:$AA$12+INDEX($AJ$13:$AR$162,BN2931,0)+INDEX($AT$13:$BB$162,BO2931,0)+INDEX($BD$13:$BL$162,BP2931,0))/100))),0)</f>
        <v/>
      </c>
      <c r="BT2931">
        <f>IF(AND(2918&lt;$U$9,$W$5),BQ2931*1000000-MIN(BR2931,999)*1000+BS2931-2918/100000,-1000000000-2918)</f>
        <v/>
      </c>
    </row>
    <row r="2932">
      <c r="BN2932">
        <f>IF(2919&lt;$U$9,INT(2919/($U$7*$U$8))+1,1)</f>
        <v/>
      </c>
      <c r="BO2932">
        <f>IF(2919&lt;$U$9,MOD(INT(2919/$U$8),$U$7)+1,1)</f>
        <v/>
      </c>
      <c r="BP2932">
        <f>IF(2919&lt;$U$9,MOD(2919,$U$8)+1,1)</f>
        <v/>
      </c>
      <c r="BQ2932">
        <f>IF(2919&lt;$U$9,SUMPRODUCT(($D$10:$L$10&lt;&gt;"")*(($D$9:$L$9+INT(($S$12:$AA$12+INDEX($AJ$13:$AR$162,BN2932,0)+INDEX($AT$13:$BB$162,BO2932,0)+INDEX($BD$13:$BL$162,BP2932,0))/100))&gt;=$D$10:$L$10)),0)</f>
        <v/>
      </c>
      <c r="BR2932">
        <f>IF(2919&lt;$U$9,SUMPRODUCT(($D$10:$L$10&lt;&gt;"")*(($D$10:$L$10-($D$9:$L$9+INT(($S$12:$AA$12+INDEX($AJ$13:$AR$162,BN2932,0)+INDEX($AT$13:$BB$162,BO2932,0)+INDEX($BD$13:$BL$162,BP2932,0))/100)))&gt;0)*($D$10:$L$10-($D$9:$L$9+INT(($S$12:$AA$12+INDEX($AJ$13:$AR$162,BN2932,0)+INDEX($AT$13:$BB$162,BO2932,0)+INDEX($BD$13:$BL$162,BP2932,0))/100)))),0)</f>
        <v/>
      </c>
      <c r="BS2932">
        <f>IF(2919&lt;$U$9,SUMPRODUCT(($D$9:$L$9+INT(($S$12:$AA$12+INDEX($AJ$13:$AR$162,BN2932,0)+INDEX($AT$13:$BB$162,BO2932,0)+INDEX($BD$13:$BL$162,BP2932,0))/100))),0)</f>
        <v/>
      </c>
      <c r="BT2932">
        <f>IF(AND(2919&lt;$U$9,$W$5),BQ2932*1000000-MIN(BR2932,999)*1000+BS2932-2919/100000,-1000000000-2919)</f>
        <v/>
      </c>
    </row>
    <row r="2933">
      <c r="BN2933">
        <f>IF(2920&lt;$U$9,INT(2920/($U$7*$U$8))+1,1)</f>
        <v/>
      </c>
      <c r="BO2933">
        <f>IF(2920&lt;$U$9,MOD(INT(2920/$U$8),$U$7)+1,1)</f>
        <v/>
      </c>
      <c r="BP2933">
        <f>IF(2920&lt;$U$9,MOD(2920,$U$8)+1,1)</f>
        <v/>
      </c>
      <c r="BQ2933">
        <f>IF(2920&lt;$U$9,SUMPRODUCT(($D$10:$L$10&lt;&gt;"")*(($D$9:$L$9+INT(($S$12:$AA$12+INDEX($AJ$13:$AR$162,BN2933,0)+INDEX($AT$13:$BB$162,BO2933,0)+INDEX($BD$13:$BL$162,BP2933,0))/100))&gt;=$D$10:$L$10)),0)</f>
        <v/>
      </c>
      <c r="BR2933">
        <f>IF(2920&lt;$U$9,SUMPRODUCT(($D$10:$L$10&lt;&gt;"")*(($D$10:$L$10-($D$9:$L$9+INT(($S$12:$AA$12+INDEX($AJ$13:$AR$162,BN2933,0)+INDEX($AT$13:$BB$162,BO2933,0)+INDEX($BD$13:$BL$162,BP2933,0))/100)))&gt;0)*($D$10:$L$10-($D$9:$L$9+INT(($S$12:$AA$12+INDEX($AJ$13:$AR$162,BN2933,0)+INDEX($AT$13:$BB$162,BO2933,0)+INDEX($BD$13:$BL$162,BP2933,0))/100)))),0)</f>
        <v/>
      </c>
      <c r="BS2933">
        <f>IF(2920&lt;$U$9,SUMPRODUCT(($D$9:$L$9+INT(($S$12:$AA$12+INDEX($AJ$13:$AR$162,BN2933,0)+INDEX($AT$13:$BB$162,BO2933,0)+INDEX($BD$13:$BL$162,BP2933,0))/100))),0)</f>
        <v/>
      </c>
      <c r="BT2933">
        <f>IF(AND(2920&lt;$U$9,$W$5),BQ2933*1000000-MIN(BR2933,999)*1000+BS2933-2920/100000,-1000000000-2920)</f>
        <v/>
      </c>
    </row>
    <row r="2934">
      <c r="BN2934">
        <f>IF(2921&lt;$U$9,INT(2921/($U$7*$U$8))+1,1)</f>
        <v/>
      </c>
      <c r="BO2934">
        <f>IF(2921&lt;$U$9,MOD(INT(2921/$U$8),$U$7)+1,1)</f>
        <v/>
      </c>
      <c r="BP2934">
        <f>IF(2921&lt;$U$9,MOD(2921,$U$8)+1,1)</f>
        <v/>
      </c>
      <c r="BQ2934">
        <f>IF(2921&lt;$U$9,SUMPRODUCT(($D$10:$L$10&lt;&gt;"")*(($D$9:$L$9+INT(($S$12:$AA$12+INDEX($AJ$13:$AR$162,BN2934,0)+INDEX($AT$13:$BB$162,BO2934,0)+INDEX($BD$13:$BL$162,BP2934,0))/100))&gt;=$D$10:$L$10)),0)</f>
        <v/>
      </c>
      <c r="BR2934">
        <f>IF(2921&lt;$U$9,SUMPRODUCT(($D$10:$L$10&lt;&gt;"")*(($D$10:$L$10-($D$9:$L$9+INT(($S$12:$AA$12+INDEX($AJ$13:$AR$162,BN2934,0)+INDEX($AT$13:$BB$162,BO2934,0)+INDEX($BD$13:$BL$162,BP2934,0))/100)))&gt;0)*($D$10:$L$10-($D$9:$L$9+INT(($S$12:$AA$12+INDEX($AJ$13:$AR$162,BN2934,0)+INDEX($AT$13:$BB$162,BO2934,0)+INDEX($BD$13:$BL$162,BP2934,0))/100)))),0)</f>
        <v/>
      </c>
      <c r="BS2934">
        <f>IF(2921&lt;$U$9,SUMPRODUCT(($D$9:$L$9+INT(($S$12:$AA$12+INDEX($AJ$13:$AR$162,BN2934,0)+INDEX($AT$13:$BB$162,BO2934,0)+INDEX($BD$13:$BL$162,BP2934,0))/100))),0)</f>
        <v/>
      </c>
      <c r="BT2934">
        <f>IF(AND(2921&lt;$U$9,$W$5),BQ2934*1000000-MIN(BR2934,999)*1000+BS2934-2921/100000,-1000000000-2921)</f>
        <v/>
      </c>
    </row>
    <row r="2935">
      <c r="BN2935">
        <f>IF(2922&lt;$U$9,INT(2922/($U$7*$U$8))+1,1)</f>
        <v/>
      </c>
      <c r="BO2935">
        <f>IF(2922&lt;$U$9,MOD(INT(2922/$U$8),$U$7)+1,1)</f>
        <v/>
      </c>
      <c r="BP2935">
        <f>IF(2922&lt;$U$9,MOD(2922,$U$8)+1,1)</f>
        <v/>
      </c>
      <c r="BQ2935">
        <f>IF(2922&lt;$U$9,SUMPRODUCT(($D$10:$L$10&lt;&gt;"")*(($D$9:$L$9+INT(($S$12:$AA$12+INDEX($AJ$13:$AR$162,BN2935,0)+INDEX($AT$13:$BB$162,BO2935,0)+INDEX($BD$13:$BL$162,BP2935,0))/100))&gt;=$D$10:$L$10)),0)</f>
        <v/>
      </c>
      <c r="BR2935">
        <f>IF(2922&lt;$U$9,SUMPRODUCT(($D$10:$L$10&lt;&gt;"")*(($D$10:$L$10-($D$9:$L$9+INT(($S$12:$AA$12+INDEX($AJ$13:$AR$162,BN2935,0)+INDEX($AT$13:$BB$162,BO2935,0)+INDEX($BD$13:$BL$162,BP2935,0))/100)))&gt;0)*($D$10:$L$10-($D$9:$L$9+INT(($S$12:$AA$12+INDEX($AJ$13:$AR$162,BN2935,0)+INDEX($AT$13:$BB$162,BO2935,0)+INDEX($BD$13:$BL$162,BP2935,0))/100)))),0)</f>
        <v/>
      </c>
      <c r="BS2935">
        <f>IF(2922&lt;$U$9,SUMPRODUCT(($D$9:$L$9+INT(($S$12:$AA$12+INDEX($AJ$13:$AR$162,BN2935,0)+INDEX($AT$13:$BB$162,BO2935,0)+INDEX($BD$13:$BL$162,BP2935,0))/100))),0)</f>
        <v/>
      </c>
      <c r="BT2935">
        <f>IF(AND(2922&lt;$U$9,$W$5),BQ2935*1000000-MIN(BR2935,999)*1000+BS2935-2922/100000,-1000000000-2922)</f>
        <v/>
      </c>
    </row>
    <row r="2936">
      <c r="BN2936">
        <f>IF(2923&lt;$U$9,INT(2923/($U$7*$U$8))+1,1)</f>
        <v/>
      </c>
      <c r="BO2936">
        <f>IF(2923&lt;$U$9,MOD(INT(2923/$U$8),$U$7)+1,1)</f>
        <v/>
      </c>
      <c r="BP2936">
        <f>IF(2923&lt;$U$9,MOD(2923,$U$8)+1,1)</f>
        <v/>
      </c>
      <c r="BQ2936">
        <f>IF(2923&lt;$U$9,SUMPRODUCT(($D$10:$L$10&lt;&gt;"")*(($D$9:$L$9+INT(($S$12:$AA$12+INDEX($AJ$13:$AR$162,BN2936,0)+INDEX($AT$13:$BB$162,BO2936,0)+INDEX($BD$13:$BL$162,BP2936,0))/100))&gt;=$D$10:$L$10)),0)</f>
        <v/>
      </c>
      <c r="BR2936">
        <f>IF(2923&lt;$U$9,SUMPRODUCT(($D$10:$L$10&lt;&gt;"")*(($D$10:$L$10-($D$9:$L$9+INT(($S$12:$AA$12+INDEX($AJ$13:$AR$162,BN2936,0)+INDEX($AT$13:$BB$162,BO2936,0)+INDEX($BD$13:$BL$162,BP2936,0))/100)))&gt;0)*($D$10:$L$10-($D$9:$L$9+INT(($S$12:$AA$12+INDEX($AJ$13:$AR$162,BN2936,0)+INDEX($AT$13:$BB$162,BO2936,0)+INDEX($BD$13:$BL$162,BP2936,0))/100)))),0)</f>
        <v/>
      </c>
      <c r="BS2936">
        <f>IF(2923&lt;$U$9,SUMPRODUCT(($D$9:$L$9+INT(($S$12:$AA$12+INDEX($AJ$13:$AR$162,BN2936,0)+INDEX($AT$13:$BB$162,BO2936,0)+INDEX($BD$13:$BL$162,BP2936,0))/100))),0)</f>
        <v/>
      </c>
      <c r="BT2936">
        <f>IF(AND(2923&lt;$U$9,$W$5),BQ2936*1000000-MIN(BR2936,999)*1000+BS2936-2923/100000,-1000000000-2923)</f>
        <v/>
      </c>
    </row>
    <row r="2937">
      <c r="BN2937">
        <f>IF(2924&lt;$U$9,INT(2924/($U$7*$U$8))+1,1)</f>
        <v/>
      </c>
      <c r="BO2937">
        <f>IF(2924&lt;$U$9,MOD(INT(2924/$U$8),$U$7)+1,1)</f>
        <v/>
      </c>
      <c r="BP2937">
        <f>IF(2924&lt;$U$9,MOD(2924,$U$8)+1,1)</f>
        <v/>
      </c>
      <c r="BQ2937">
        <f>IF(2924&lt;$U$9,SUMPRODUCT(($D$10:$L$10&lt;&gt;"")*(($D$9:$L$9+INT(($S$12:$AA$12+INDEX($AJ$13:$AR$162,BN2937,0)+INDEX($AT$13:$BB$162,BO2937,0)+INDEX($BD$13:$BL$162,BP2937,0))/100))&gt;=$D$10:$L$10)),0)</f>
        <v/>
      </c>
      <c r="BR2937">
        <f>IF(2924&lt;$U$9,SUMPRODUCT(($D$10:$L$10&lt;&gt;"")*(($D$10:$L$10-($D$9:$L$9+INT(($S$12:$AA$12+INDEX($AJ$13:$AR$162,BN2937,0)+INDEX($AT$13:$BB$162,BO2937,0)+INDEX($BD$13:$BL$162,BP2937,0))/100)))&gt;0)*($D$10:$L$10-($D$9:$L$9+INT(($S$12:$AA$12+INDEX($AJ$13:$AR$162,BN2937,0)+INDEX($AT$13:$BB$162,BO2937,0)+INDEX($BD$13:$BL$162,BP2937,0))/100)))),0)</f>
        <v/>
      </c>
      <c r="BS2937">
        <f>IF(2924&lt;$U$9,SUMPRODUCT(($D$9:$L$9+INT(($S$12:$AA$12+INDEX($AJ$13:$AR$162,BN2937,0)+INDEX($AT$13:$BB$162,BO2937,0)+INDEX($BD$13:$BL$162,BP2937,0))/100))),0)</f>
        <v/>
      </c>
      <c r="BT2937">
        <f>IF(AND(2924&lt;$U$9,$W$5),BQ2937*1000000-MIN(BR2937,999)*1000+BS2937-2924/100000,-1000000000-2924)</f>
        <v/>
      </c>
    </row>
    <row r="2938">
      <c r="BN2938">
        <f>IF(2925&lt;$U$9,INT(2925/($U$7*$U$8))+1,1)</f>
        <v/>
      </c>
      <c r="BO2938">
        <f>IF(2925&lt;$U$9,MOD(INT(2925/$U$8),$U$7)+1,1)</f>
        <v/>
      </c>
      <c r="BP2938">
        <f>IF(2925&lt;$U$9,MOD(2925,$U$8)+1,1)</f>
        <v/>
      </c>
      <c r="BQ2938">
        <f>IF(2925&lt;$U$9,SUMPRODUCT(($D$10:$L$10&lt;&gt;"")*(($D$9:$L$9+INT(($S$12:$AA$12+INDEX($AJ$13:$AR$162,BN2938,0)+INDEX($AT$13:$BB$162,BO2938,0)+INDEX($BD$13:$BL$162,BP2938,0))/100))&gt;=$D$10:$L$10)),0)</f>
        <v/>
      </c>
      <c r="BR2938">
        <f>IF(2925&lt;$U$9,SUMPRODUCT(($D$10:$L$10&lt;&gt;"")*(($D$10:$L$10-($D$9:$L$9+INT(($S$12:$AA$12+INDEX($AJ$13:$AR$162,BN2938,0)+INDEX($AT$13:$BB$162,BO2938,0)+INDEX($BD$13:$BL$162,BP2938,0))/100)))&gt;0)*($D$10:$L$10-($D$9:$L$9+INT(($S$12:$AA$12+INDEX($AJ$13:$AR$162,BN2938,0)+INDEX($AT$13:$BB$162,BO2938,0)+INDEX($BD$13:$BL$162,BP2938,0))/100)))),0)</f>
        <v/>
      </c>
      <c r="BS2938">
        <f>IF(2925&lt;$U$9,SUMPRODUCT(($D$9:$L$9+INT(($S$12:$AA$12+INDEX($AJ$13:$AR$162,BN2938,0)+INDEX($AT$13:$BB$162,BO2938,0)+INDEX($BD$13:$BL$162,BP2938,0))/100))),0)</f>
        <v/>
      </c>
      <c r="BT2938">
        <f>IF(AND(2925&lt;$U$9,$W$5),BQ2938*1000000-MIN(BR2938,999)*1000+BS2938-2925/100000,-1000000000-2925)</f>
        <v/>
      </c>
    </row>
    <row r="2939">
      <c r="BN2939">
        <f>IF(2926&lt;$U$9,INT(2926/($U$7*$U$8))+1,1)</f>
        <v/>
      </c>
      <c r="BO2939">
        <f>IF(2926&lt;$U$9,MOD(INT(2926/$U$8),$U$7)+1,1)</f>
        <v/>
      </c>
      <c r="BP2939">
        <f>IF(2926&lt;$U$9,MOD(2926,$U$8)+1,1)</f>
        <v/>
      </c>
      <c r="BQ2939">
        <f>IF(2926&lt;$U$9,SUMPRODUCT(($D$10:$L$10&lt;&gt;"")*(($D$9:$L$9+INT(($S$12:$AA$12+INDEX($AJ$13:$AR$162,BN2939,0)+INDEX($AT$13:$BB$162,BO2939,0)+INDEX($BD$13:$BL$162,BP2939,0))/100))&gt;=$D$10:$L$10)),0)</f>
        <v/>
      </c>
      <c r="BR2939">
        <f>IF(2926&lt;$U$9,SUMPRODUCT(($D$10:$L$10&lt;&gt;"")*(($D$10:$L$10-($D$9:$L$9+INT(($S$12:$AA$12+INDEX($AJ$13:$AR$162,BN2939,0)+INDEX($AT$13:$BB$162,BO2939,0)+INDEX($BD$13:$BL$162,BP2939,0))/100)))&gt;0)*($D$10:$L$10-($D$9:$L$9+INT(($S$12:$AA$12+INDEX($AJ$13:$AR$162,BN2939,0)+INDEX($AT$13:$BB$162,BO2939,0)+INDEX($BD$13:$BL$162,BP2939,0))/100)))),0)</f>
        <v/>
      </c>
      <c r="BS2939">
        <f>IF(2926&lt;$U$9,SUMPRODUCT(($D$9:$L$9+INT(($S$12:$AA$12+INDEX($AJ$13:$AR$162,BN2939,0)+INDEX($AT$13:$BB$162,BO2939,0)+INDEX($BD$13:$BL$162,BP2939,0))/100))),0)</f>
        <v/>
      </c>
      <c r="BT2939">
        <f>IF(AND(2926&lt;$U$9,$W$5),BQ2939*1000000-MIN(BR2939,999)*1000+BS2939-2926/100000,-1000000000-2926)</f>
        <v/>
      </c>
    </row>
    <row r="2940">
      <c r="BN2940">
        <f>IF(2927&lt;$U$9,INT(2927/($U$7*$U$8))+1,1)</f>
        <v/>
      </c>
      <c r="BO2940">
        <f>IF(2927&lt;$U$9,MOD(INT(2927/$U$8),$U$7)+1,1)</f>
        <v/>
      </c>
      <c r="BP2940">
        <f>IF(2927&lt;$U$9,MOD(2927,$U$8)+1,1)</f>
        <v/>
      </c>
      <c r="BQ2940">
        <f>IF(2927&lt;$U$9,SUMPRODUCT(($D$10:$L$10&lt;&gt;"")*(($D$9:$L$9+INT(($S$12:$AA$12+INDEX($AJ$13:$AR$162,BN2940,0)+INDEX($AT$13:$BB$162,BO2940,0)+INDEX($BD$13:$BL$162,BP2940,0))/100))&gt;=$D$10:$L$10)),0)</f>
        <v/>
      </c>
      <c r="BR2940">
        <f>IF(2927&lt;$U$9,SUMPRODUCT(($D$10:$L$10&lt;&gt;"")*(($D$10:$L$10-($D$9:$L$9+INT(($S$12:$AA$12+INDEX($AJ$13:$AR$162,BN2940,0)+INDEX($AT$13:$BB$162,BO2940,0)+INDEX($BD$13:$BL$162,BP2940,0))/100)))&gt;0)*($D$10:$L$10-($D$9:$L$9+INT(($S$12:$AA$12+INDEX($AJ$13:$AR$162,BN2940,0)+INDEX($AT$13:$BB$162,BO2940,0)+INDEX($BD$13:$BL$162,BP2940,0))/100)))),0)</f>
        <v/>
      </c>
      <c r="BS2940">
        <f>IF(2927&lt;$U$9,SUMPRODUCT(($D$9:$L$9+INT(($S$12:$AA$12+INDEX($AJ$13:$AR$162,BN2940,0)+INDEX($AT$13:$BB$162,BO2940,0)+INDEX($BD$13:$BL$162,BP2940,0))/100))),0)</f>
        <v/>
      </c>
      <c r="BT2940">
        <f>IF(AND(2927&lt;$U$9,$W$5),BQ2940*1000000-MIN(BR2940,999)*1000+BS2940-2927/100000,-1000000000-2927)</f>
        <v/>
      </c>
    </row>
    <row r="2941">
      <c r="BN2941">
        <f>IF(2928&lt;$U$9,INT(2928/($U$7*$U$8))+1,1)</f>
        <v/>
      </c>
      <c r="BO2941">
        <f>IF(2928&lt;$U$9,MOD(INT(2928/$U$8),$U$7)+1,1)</f>
        <v/>
      </c>
      <c r="BP2941">
        <f>IF(2928&lt;$U$9,MOD(2928,$U$8)+1,1)</f>
        <v/>
      </c>
      <c r="BQ2941">
        <f>IF(2928&lt;$U$9,SUMPRODUCT(($D$10:$L$10&lt;&gt;"")*(($D$9:$L$9+INT(($S$12:$AA$12+INDEX($AJ$13:$AR$162,BN2941,0)+INDEX($AT$13:$BB$162,BO2941,0)+INDEX($BD$13:$BL$162,BP2941,0))/100))&gt;=$D$10:$L$10)),0)</f>
        <v/>
      </c>
      <c r="BR2941">
        <f>IF(2928&lt;$U$9,SUMPRODUCT(($D$10:$L$10&lt;&gt;"")*(($D$10:$L$10-($D$9:$L$9+INT(($S$12:$AA$12+INDEX($AJ$13:$AR$162,BN2941,0)+INDEX($AT$13:$BB$162,BO2941,0)+INDEX($BD$13:$BL$162,BP2941,0))/100)))&gt;0)*($D$10:$L$10-($D$9:$L$9+INT(($S$12:$AA$12+INDEX($AJ$13:$AR$162,BN2941,0)+INDEX($AT$13:$BB$162,BO2941,0)+INDEX($BD$13:$BL$162,BP2941,0))/100)))),0)</f>
        <v/>
      </c>
      <c r="BS2941">
        <f>IF(2928&lt;$U$9,SUMPRODUCT(($D$9:$L$9+INT(($S$12:$AA$12+INDEX($AJ$13:$AR$162,BN2941,0)+INDEX($AT$13:$BB$162,BO2941,0)+INDEX($BD$13:$BL$162,BP2941,0))/100))),0)</f>
        <v/>
      </c>
      <c r="BT2941">
        <f>IF(AND(2928&lt;$U$9,$W$5),BQ2941*1000000-MIN(BR2941,999)*1000+BS2941-2928/100000,-1000000000-2928)</f>
        <v/>
      </c>
    </row>
    <row r="2942">
      <c r="BN2942">
        <f>IF(2929&lt;$U$9,INT(2929/($U$7*$U$8))+1,1)</f>
        <v/>
      </c>
      <c r="BO2942">
        <f>IF(2929&lt;$U$9,MOD(INT(2929/$U$8),$U$7)+1,1)</f>
        <v/>
      </c>
      <c r="BP2942">
        <f>IF(2929&lt;$U$9,MOD(2929,$U$8)+1,1)</f>
        <v/>
      </c>
      <c r="BQ2942">
        <f>IF(2929&lt;$U$9,SUMPRODUCT(($D$10:$L$10&lt;&gt;"")*(($D$9:$L$9+INT(($S$12:$AA$12+INDEX($AJ$13:$AR$162,BN2942,0)+INDEX($AT$13:$BB$162,BO2942,0)+INDEX($BD$13:$BL$162,BP2942,0))/100))&gt;=$D$10:$L$10)),0)</f>
        <v/>
      </c>
      <c r="BR2942">
        <f>IF(2929&lt;$U$9,SUMPRODUCT(($D$10:$L$10&lt;&gt;"")*(($D$10:$L$10-($D$9:$L$9+INT(($S$12:$AA$12+INDEX($AJ$13:$AR$162,BN2942,0)+INDEX($AT$13:$BB$162,BO2942,0)+INDEX($BD$13:$BL$162,BP2942,0))/100)))&gt;0)*($D$10:$L$10-($D$9:$L$9+INT(($S$12:$AA$12+INDEX($AJ$13:$AR$162,BN2942,0)+INDEX($AT$13:$BB$162,BO2942,0)+INDEX($BD$13:$BL$162,BP2942,0))/100)))),0)</f>
        <v/>
      </c>
      <c r="BS2942">
        <f>IF(2929&lt;$U$9,SUMPRODUCT(($D$9:$L$9+INT(($S$12:$AA$12+INDEX($AJ$13:$AR$162,BN2942,0)+INDEX($AT$13:$BB$162,BO2942,0)+INDEX($BD$13:$BL$162,BP2942,0))/100))),0)</f>
        <v/>
      </c>
      <c r="BT2942">
        <f>IF(AND(2929&lt;$U$9,$W$5),BQ2942*1000000-MIN(BR2942,999)*1000+BS2942-2929/100000,-1000000000-2929)</f>
        <v/>
      </c>
    </row>
    <row r="2943">
      <c r="BN2943">
        <f>IF(2930&lt;$U$9,INT(2930/($U$7*$U$8))+1,1)</f>
        <v/>
      </c>
      <c r="BO2943">
        <f>IF(2930&lt;$U$9,MOD(INT(2930/$U$8),$U$7)+1,1)</f>
        <v/>
      </c>
      <c r="BP2943">
        <f>IF(2930&lt;$U$9,MOD(2930,$U$8)+1,1)</f>
        <v/>
      </c>
      <c r="BQ2943">
        <f>IF(2930&lt;$U$9,SUMPRODUCT(($D$10:$L$10&lt;&gt;"")*(($D$9:$L$9+INT(($S$12:$AA$12+INDEX($AJ$13:$AR$162,BN2943,0)+INDEX($AT$13:$BB$162,BO2943,0)+INDEX($BD$13:$BL$162,BP2943,0))/100))&gt;=$D$10:$L$10)),0)</f>
        <v/>
      </c>
      <c r="BR2943">
        <f>IF(2930&lt;$U$9,SUMPRODUCT(($D$10:$L$10&lt;&gt;"")*(($D$10:$L$10-($D$9:$L$9+INT(($S$12:$AA$12+INDEX($AJ$13:$AR$162,BN2943,0)+INDEX($AT$13:$BB$162,BO2943,0)+INDEX($BD$13:$BL$162,BP2943,0))/100)))&gt;0)*($D$10:$L$10-($D$9:$L$9+INT(($S$12:$AA$12+INDEX($AJ$13:$AR$162,BN2943,0)+INDEX($AT$13:$BB$162,BO2943,0)+INDEX($BD$13:$BL$162,BP2943,0))/100)))),0)</f>
        <v/>
      </c>
      <c r="BS2943">
        <f>IF(2930&lt;$U$9,SUMPRODUCT(($D$9:$L$9+INT(($S$12:$AA$12+INDEX($AJ$13:$AR$162,BN2943,0)+INDEX($AT$13:$BB$162,BO2943,0)+INDEX($BD$13:$BL$162,BP2943,0))/100))),0)</f>
        <v/>
      </c>
      <c r="BT2943">
        <f>IF(AND(2930&lt;$U$9,$W$5),BQ2943*1000000-MIN(BR2943,999)*1000+BS2943-2930/100000,-1000000000-2930)</f>
        <v/>
      </c>
    </row>
    <row r="2944">
      <c r="BN2944">
        <f>IF(2931&lt;$U$9,INT(2931/($U$7*$U$8))+1,1)</f>
        <v/>
      </c>
      <c r="BO2944">
        <f>IF(2931&lt;$U$9,MOD(INT(2931/$U$8),$U$7)+1,1)</f>
        <v/>
      </c>
      <c r="BP2944">
        <f>IF(2931&lt;$U$9,MOD(2931,$U$8)+1,1)</f>
        <v/>
      </c>
      <c r="BQ2944">
        <f>IF(2931&lt;$U$9,SUMPRODUCT(($D$10:$L$10&lt;&gt;"")*(($D$9:$L$9+INT(($S$12:$AA$12+INDEX($AJ$13:$AR$162,BN2944,0)+INDEX($AT$13:$BB$162,BO2944,0)+INDEX($BD$13:$BL$162,BP2944,0))/100))&gt;=$D$10:$L$10)),0)</f>
        <v/>
      </c>
      <c r="BR2944">
        <f>IF(2931&lt;$U$9,SUMPRODUCT(($D$10:$L$10&lt;&gt;"")*(($D$10:$L$10-($D$9:$L$9+INT(($S$12:$AA$12+INDEX($AJ$13:$AR$162,BN2944,0)+INDEX($AT$13:$BB$162,BO2944,0)+INDEX($BD$13:$BL$162,BP2944,0))/100)))&gt;0)*($D$10:$L$10-($D$9:$L$9+INT(($S$12:$AA$12+INDEX($AJ$13:$AR$162,BN2944,0)+INDEX($AT$13:$BB$162,BO2944,0)+INDEX($BD$13:$BL$162,BP2944,0))/100)))),0)</f>
        <v/>
      </c>
      <c r="BS2944">
        <f>IF(2931&lt;$U$9,SUMPRODUCT(($D$9:$L$9+INT(($S$12:$AA$12+INDEX($AJ$13:$AR$162,BN2944,0)+INDEX($AT$13:$BB$162,BO2944,0)+INDEX($BD$13:$BL$162,BP2944,0))/100))),0)</f>
        <v/>
      </c>
      <c r="BT2944">
        <f>IF(AND(2931&lt;$U$9,$W$5),BQ2944*1000000-MIN(BR2944,999)*1000+BS2944-2931/100000,-1000000000-2931)</f>
        <v/>
      </c>
    </row>
    <row r="2945">
      <c r="BN2945">
        <f>IF(2932&lt;$U$9,INT(2932/($U$7*$U$8))+1,1)</f>
        <v/>
      </c>
      <c r="BO2945">
        <f>IF(2932&lt;$U$9,MOD(INT(2932/$U$8),$U$7)+1,1)</f>
        <v/>
      </c>
      <c r="BP2945">
        <f>IF(2932&lt;$U$9,MOD(2932,$U$8)+1,1)</f>
        <v/>
      </c>
      <c r="BQ2945">
        <f>IF(2932&lt;$U$9,SUMPRODUCT(($D$10:$L$10&lt;&gt;"")*(($D$9:$L$9+INT(($S$12:$AA$12+INDEX($AJ$13:$AR$162,BN2945,0)+INDEX($AT$13:$BB$162,BO2945,0)+INDEX($BD$13:$BL$162,BP2945,0))/100))&gt;=$D$10:$L$10)),0)</f>
        <v/>
      </c>
      <c r="BR2945">
        <f>IF(2932&lt;$U$9,SUMPRODUCT(($D$10:$L$10&lt;&gt;"")*(($D$10:$L$10-($D$9:$L$9+INT(($S$12:$AA$12+INDEX($AJ$13:$AR$162,BN2945,0)+INDEX($AT$13:$BB$162,BO2945,0)+INDEX($BD$13:$BL$162,BP2945,0))/100)))&gt;0)*($D$10:$L$10-($D$9:$L$9+INT(($S$12:$AA$12+INDEX($AJ$13:$AR$162,BN2945,0)+INDEX($AT$13:$BB$162,BO2945,0)+INDEX($BD$13:$BL$162,BP2945,0))/100)))),0)</f>
        <v/>
      </c>
      <c r="BS2945">
        <f>IF(2932&lt;$U$9,SUMPRODUCT(($D$9:$L$9+INT(($S$12:$AA$12+INDEX($AJ$13:$AR$162,BN2945,0)+INDEX($AT$13:$BB$162,BO2945,0)+INDEX($BD$13:$BL$162,BP2945,0))/100))),0)</f>
        <v/>
      </c>
      <c r="BT2945">
        <f>IF(AND(2932&lt;$U$9,$W$5),BQ2945*1000000-MIN(BR2945,999)*1000+BS2945-2932/100000,-1000000000-2932)</f>
        <v/>
      </c>
    </row>
    <row r="2946">
      <c r="BN2946">
        <f>IF(2933&lt;$U$9,INT(2933/($U$7*$U$8))+1,1)</f>
        <v/>
      </c>
      <c r="BO2946">
        <f>IF(2933&lt;$U$9,MOD(INT(2933/$U$8),$U$7)+1,1)</f>
        <v/>
      </c>
      <c r="BP2946">
        <f>IF(2933&lt;$U$9,MOD(2933,$U$8)+1,1)</f>
        <v/>
      </c>
      <c r="BQ2946">
        <f>IF(2933&lt;$U$9,SUMPRODUCT(($D$10:$L$10&lt;&gt;"")*(($D$9:$L$9+INT(($S$12:$AA$12+INDEX($AJ$13:$AR$162,BN2946,0)+INDEX($AT$13:$BB$162,BO2946,0)+INDEX($BD$13:$BL$162,BP2946,0))/100))&gt;=$D$10:$L$10)),0)</f>
        <v/>
      </c>
      <c r="BR2946">
        <f>IF(2933&lt;$U$9,SUMPRODUCT(($D$10:$L$10&lt;&gt;"")*(($D$10:$L$10-($D$9:$L$9+INT(($S$12:$AA$12+INDEX($AJ$13:$AR$162,BN2946,0)+INDEX($AT$13:$BB$162,BO2946,0)+INDEX($BD$13:$BL$162,BP2946,0))/100)))&gt;0)*($D$10:$L$10-($D$9:$L$9+INT(($S$12:$AA$12+INDEX($AJ$13:$AR$162,BN2946,0)+INDEX($AT$13:$BB$162,BO2946,0)+INDEX($BD$13:$BL$162,BP2946,0))/100)))),0)</f>
        <v/>
      </c>
      <c r="BS2946">
        <f>IF(2933&lt;$U$9,SUMPRODUCT(($D$9:$L$9+INT(($S$12:$AA$12+INDEX($AJ$13:$AR$162,BN2946,0)+INDEX($AT$13:$BB$162,BO2946,0)+INDEX($BD$13:$BL$162,BP2946,0))/100))),0)</f>
        <v/>
      </c>
      <c r="BT2946">
        <f>IF(AND(2933&lt;$U$9,$W$5),BQ2946*1000000-MIN(BR2946,999)*1000+BS2946-2933/100000,-1000000000-2933)</f>
        <v/>
      </c>
    </row>
    <row r="2947">
      <c r="BN2947">
        <f>IF(2934&lt;$U$9,INT(2934/($U$7*$U$8))+1,1)</f>
        <v/>
      </c>
      <c r="BO2947">
        <f>IF(2934&lt;$U$9,MOD(INT(2934/$U$8),$U$7)+1,1)</f>
        <v/>
      </c>
      <c r="BP2947">
        <f>IF(2934&lt;$U$9,MOD(2934,$U$8)+1,1)</f>
        <v/>
      </c>
      <c r="BQ2947">
        <f>IF(2934&lt;$U$9,SUMPRODUCT(($D$10:$L$10&lt;&gt;"")*(($D$9:$L$9+INT(($S$12:$AA$12+INDEX($AJ$13:$AR$162,BN2947,0)+INDEX($AT$13:$BB$162,BO2947,0)+INDEX($BD$13:$BL$162,BP2947,0))/100))&gt;=$D$10:$L$10)),0)</f>
        <v/>
      </c>
      <c r="BR2947">
        <f>IF(2934&lt;$U$9,SUMPRODUCT(($D$10:$L$10&lt;&gt;"")*(($D$10:$L$10-($D$9:$L$9+INT(($S$12:$AA$12+INDEX($AJ$13:$AR$162,BN2947,0)+INDEX($AT$13:$BB$162,BO2947,0)+INDEX($BD$13:$BL$162,BP2947,0))/100)))&gt;0)*($D$10:$L$10-($D$9:$L$9+INT(($S$12:$AA$12+INDEX($AJ$13:$AR$162,BN2947,0)+INDEX($AT$13:$BB$162,BO2947,0)+INDEX($BD$13:$BL$162,BP2947,0))/100)))),0)</f>
        <v/>
      </c>
      <c r="BS2947">
        <f>IF(2934&lt;$U$9,SUMPRODUCT(($D$9:$L$9+INT(($S$12:$AA$12+INDEX($AJ$13:$AR$162,BN2947,0)+INDEX($AT$13:$BB$162,BO2947,0)+INDEX($BD$13:$BL$162,BP2947,0))/100))),0)</f>
        <v/>
      </c>
      <c r="BT2947">
        <f>IF(AND(2934&lt;$U$9,$W$5),BQ2947*1000000-MIN(BR2947,999)*1000+BS2947-2934/100000,-1000000000-2934)</f>
        <v/>
      </c>
    </row>
    <row r="2948">
      <c r="BN2948">
        <f>IF(2935&lt;$U$9,INT(2935/($U$7*$U$8))+1,1)</f>
        <v/>
      </c>
      <c r="BO2948">
        <f>IF(2935&lt;$U$9,MOD(INT(2935/$U$8),$U$7)+1,1)</f>
        <v/>
      </c>
      <c r="BP2948">
        <f>IF(2935&lt;$U$9,MOD(2935,$U$8)+1,1)</f>
        <v/>
      </c>
      <c r="BQ2948">
        <f>IF(2935&lt;$U$9,SUMPRODUCT(($D$10:$L$10&lt;&gt;"")*(($D$9:$L$9+INT(($S$12:$AA$12+INDEX($AJ$13:$AR$162,BN2948,0)+INDEX($AT$13:$BB$162,BO2948,0)+INDEX($BD$13:$BL$162,BP2948,0))/100))&gt;=$D$10:$L$10)),0)</f>
        <v/>
      </c>
      <c r="BR2948">
        <f>IF(2935&lt;$U$9,SUMPRODUCT(($D$10:$L$10&lt;&gt;"")*(($D$10:$L$10-($D$9:$L$9+INT(($S$12:$AA$12+INDEX($AJ$13:$AR$162,BN2948,0)+INDEX($AT$13:$BB$162,BO2948,0)+INDEX($BD$13:$BL$162,BP2948,0))/100)))&gt;0)*($D$10:$L$10-($D$9:$L$9+INT(($S$12:$AA$12+INDEX($AJ$13:$AR$162,BN2948,0)+INDEX($AT$13:$BB$162,BO2948,0)+INDEX($BD$13:$BL$162,BP2948,0))/100)))),0)</f>
        <v/>
      </c>
      <c r="BS2948">
        <f>IF(2935&lt;$U$9,SUMPRODUCT(($D$9:$L$9+INT(($S$12:$AA$12+INDEX($AJ$13:$AR$162,BN2948,0)+INDEX($AT$13:$BB$162,BO2948,0)+INDEX($BD$13:$BL$162,BP2948,0))/100))),0)</f>
        <v/>
      </c>
      <c r="BT2948">
        <f>IF(AND(2935&lt;$U$9,$W$5),BQ2948*1000000-MIN(BR2948,999)*1000+BS2948-2935/100000,-1000000000-2935)</f>
        <v/>
      </c>
    </row>
    <row r="2949">
      <c r="BN2949">
        <f>IF(2936&lt;$U$9,INT(2936/($U$7*$U$8))+1,1)</f>
        <v/>
      </c>
      <c r="BO2949">
        <f>IF(2936&lt;$U$9,MOD(INT(2936/$U$8),$U$7)+1,1)</f>
        <v/>
      </c>
      <c r="BP2949">
        <f>IF(2936&lt;$U$9,MOD(2936,$U$8)+1,1)</f>
        <v/>
      </c>
      <c r="BQ2949">
        <f>IF(2936&lt;$U$9,SUMPRODUCT(($D$10:$L$10&lt;&gt;"")*(($D$9:$L$9+INT(($S$12:$AA$12+INDEX($AJ$13:$AR$162,BN2949,0)+INDEX($AT$13:$BB$162,BO2949,0)+INDEX($BD$13:$BL$162,BP2949,0))/100))&gt;=$D$10:$L$10)),0)</f>
        <v/>
      </c>
      <c r="BR2949">
        <f>IF(2936&lt;$U$9,SUMPRODUCT(($D$10:$L$10&lt;&gt;"")*(($D$10:$L$10-($D$9:$L$9+INT(($S$12:$AA$12+INDEX($AJ$13:$AR$162,BN2949,0)+INDEX($AT$13:$BB$162,BO2949,0)+INDEX($BD$13:$BL$162,BP2949,0))/100)))&gt;0)*($D$10:$L$10-($D$9:$L$9+INT(($S$12:$AA$12+INDEX($AJ$13:$AR$162,BN2949,0)+INDEX($AT$13:$BB$162,BO2949,0)+INDEX($BD$13:$BL$162,BP2949,0))/100)))),0)</f>
        <v/>
      </c>
      <c r="BS2949">
        <f>IF(2936&lt;$U$9,SUMPRODUCT(($D$9:$L$9+INT(($S$12:$AA$12+INDEX($AJ$13:$AR$162,BN2949,0)+INDEX($AT$13:$BB$162,BO2949,0)+INDEX($BD$13:$BL$162,BP2949,0))/100))),0)</f>
        <v/>
      </c>
      <c r="BT2949">
        <f>IF(AND(2936&lt;$U$9,$W$5),BQ2949*1000000-MIN(BR2949,999)*1000+BS2949-2936/100000,-1000000000-2936)</f>
        <v/>
      </c>
    </row>
    <row r="2950">
      <c r="BN2950">
        <f>IF(2937&lt;$U$9,INT(2937/($U$7*$U$8))+1,1)</f>
        <v/>
      </c>
      <c r="BO2950">
        <f>IF(2937&lt;$U$9,MOD(INT(2937/$U$8),$U$7)+1,1)</f>
        <v/>
      </c>
      <c r="BP2950">
        <f>IF(2937&lt;$U$9,MOD(2937,$U$8)+1,1)</f>
        <v/>
      </c>
      <c r="BQ2950">
        <f>IF(2937&lt;$U$9,SUMPRODUCT(($D$10:$L$10&lt;&gt;"")*(($D$9:$L$9+INT(($S$12:$AA$12+INDEX($AJ$13:$AR$162,BN2950,0)+INDEX($AT$13:$BB$162,BO2950,0)+INDEX($BD$13:$BL$162,BP2950,0))/100))&gt;=$D$10:$L$10)),0)</f>
        <v/>
      </c>
      <c r="BR2950">
        <f>IF(2937&lt;$U$9,SUMPRODUCT(($D$10:$L$10&lt;&gt;"")*(($D$10:$L$10-($D$9:$L$9+INT(($S$12:$AA$12+INDEX($AJ$13:$AR$162,BN2950,0)+INDEX($AT$13:$BB$162,BO2950,0)+INDEX($BD$13:$BL$162,BP2950,0))/100)))&gt;0)*($D$10:$L$10-($D$9:$L$9+INT(($S$12:$AA$12+INDEX($AJ$13:$AR$162,BN2950,0)+INDEX($AT$13:$BB$162,BO2950,0)+INDEX($BD$13:$BL$162,BP2950,0))/100)))),0)</f>
        <v/>
      </c>
      <c r="BS2950">
        <f>IF(2937&lt;$U$9,SUMPRODUCT(($D$9:$L$9+INT(($S$12:$AA$12+INDEX($AJ$13:$AR$162,BN2950,0)+INDEX($AT$13:$BB$162,BO2950,0)+INDEX($BD$13:$BL$162,BP2950,0))/100))),0)</f>
        <v/>
      </c>
      <c r="BT2950">
        <f>IF(AND(2937&lt;$U$9,$W$5),BQ2950*1000000-MIN(BR2950,999)*1000+BS2950-2937/100000,-1000000000-2937)</f>
        <v/>
      </c>
    </row>
    <row r="2951">
      <c r="BN2951">
        <f>IF(2938&lt;$U$9,INT(2938/($U$7*$U$8))+1,1)</f>
        <v/>
      </c>
      <c r="BO2951">
        <f>IF(2938&lt;$U$9,MOD(INT(2938/$U$8),$U$7)+1,1)</f>
        <v/>
      </c>
      <c r="BP2951">
        <f>IF(2938&lt;$U$9,MOD(2938,$U$8)+1,1)</f>
        <v/>
      </c>
      <c r="BQ2951">
        <f>IF(2938&lt;$U$9,SUMPRODUCT(($D$10:$L$10&lt;&gt;"")*(($D$9:$L$9+INT(($S$12:$AA$12+INDEX($AJ$13:$AR$162,BN2951,0)+INDEX($AT$13:$BB$162,BO2951,0)+INDEX($BD$13:$BL$162,BP2951,0))/100))&gt;=$D$10:$L$10)),0)</f>
        <v/>
      </c>
      <c r="BR2951">
        <f>IF(2938&lt;$U$9,SUMPRODUCT(($D$10:$L$10&lt;&gt;"")*(($D$10:$L$10-($D$9:$L$9+INT(($S$12:$AA$12+INDEX($AJ$13:$AR$162,BN2951,0)+INDEX($AT$13:$BB$162,BO2951,0)+INDEX($BD$13:$BL$162,BP2951,0))/100)))&gt;0)*($D$10:$L$10-($D$9:$L$9+INT(($S$12:$AA$12+INDEX($AJ$13:$AR$162,BN2951,0)+INDEX($AT$13:$BB$162,BO2951,0)+INDEX($BD$13:$BL$162,BP2951,0))/100)))),0)</f>
        <v/>
      </c>
      <c r="BS2951">
        <f>IF(2938&lt;$U$9,SUMPRODUCT(($D$9:$L$9+INT(($S$12:$AA$12+INDEX($AJ$13:$AR$162,BN2951,0)+INDEX($AT$13:$BB$162,BO2951,0)+INDEX($BD$13:$BL$162,BP2951,0))/100))),0)</f>
        <v/>
      </c>
      <c r="BT2951">
        <f>IF(AND(2938&lt;$U$9,$W$5),BQ2951*1000000-MIN(BR2951,999)*1000+BS2951-2938/100000,-1000000000-2938)</f>
        <v/>
      </c>
    </row>
    <row r="2952">
      <c r="BN2952">
        <f>IF(2939&lt;$U$9,INT(2939/($U$7*$U$8))+1,1)</f>
        <v/>
      </c>
      <c r="BO2952">
        <f>IF(2939&lt;$U$9,MOD(INT(2939/$U$8),$U$7)+1,1)</f>
        <v/>
      </c>
      <c r="BP2952">
        <f>IF(2939&lt;$U$9,MOD(2939,$U$8)+1,1)</f>
        <v/>
      </c>
      <c r="BQ2952">
        <f>IF(2939&lt;$U$9,SUMPRODUCT(($D$10:$L$10&lt;&gt;"")*(($D$9:$L$9+INT(($S$12:$AA$12+INDEX($AJ$13:$AR$162,BN2952,0)+INDEX($AT$13:$BB$162,BO2952,0)+INDEX($BD$13:$BL$162,BP2952,0))/100))&gt;=$D$10:$L$10)),0)</f>
        <v/>
      </c>
      <c r="BR2952">
        <f>IF(2939&lt;$U$9,SUMPRODUCT(($D$10:$L$10&lt;&gt;"")*(($D$10:$L$10-($D$9:$L$9+INT(($S$12:$AA$12+INDEX($AJ$13:$AR$162,BN2952,0)+INDEX($AT$13:$BB$162,BO2952,0)+INDEX($BD$13:$BL$162,BP2952,0))/100)))&gt;0)*($D$10:$L$10-($D$9:$L$9+INT(($S$12:$AA$12+INDEX($AJ$13:$AR$162,BN2952,0)+INDEX($AT$13:$BB$162,BO2952,0)+INDEX($BD$13:$BL$162,BP2952,0))/100)))),0)</f>
        <v/>
      </c>
      <c r="BS2952">
        <f>IF(2939&lt;$U$9,SUMPRODUCT(($D$9:$L$9+INT(($S$12:$AA$12+INDEX($AJ$13:$AR$162,BN2952,0)+INDEX($AT$13:$BB$162,BO2952,0)+INDEX($BD$13:$BL$162,BP2952,0))/100))),0)</f>
        <v/>
      </c>
      <c r="BT2952">
        <f>IF(AND(2939&lt;$U$9,$W$5),BQ2952*1000000-MIN(BR2952,999)*1000+BS2952-2939/100000,-1000000000-2939)</f>
        <v/>
      </c>
    </row>
    <row r="2953">
      <c r="BN2953">
        <f>IF(2940&lt;$U$9,INT(2940/($U$7*$U$8))+1,1)</f>
        <v/>
      </c>
      <c r="BO2953">
        <f>IF(2940&lt;$U$9,MOD(INT(2940/$U$8),$U$7)+1,1)</f>
        <v/>
      </c>
      <c r="BP2953">
        <f>IF(2940&lt;$U$9,MOD(2940,$U$8)+1,1)</f>
        <v/>
      </c>
      <c r="BQ2953">
        <f>IF(2940&lt;$U$9,SUMPRODUCT(($D$10:$L$10&lt;&gt;"")*(($D$9:$L$9+INT(($S$12:$AA$12+INDEX($AJ$13:$AR$162,BN2953,0)+INDEX($AT$13:$BB$162,BO2953,0)+INDEX($BD$13:$BL$162,BP2953,0))/100))&gt;=$D$10:$L$10)),0)</f>
        <v/>
      </c>
      <c r="BR2953">
        <f>IF(2940&lt;$U$9,SUMPRODUCT(($D$10:$L$10&lt;&gt;"")*(($D$10:$L$10-($D$9:$L$9+INT(($S$12:$AA$12+INDEX($AJ$13:$AR$162,BN2953,0)+INDEX($AT$13:$BB$162,BO2953,0)+INDEX($BD$13:$BL$162,BP2953,0))/100)))&gt;0)*($D$10:$L$10-($D$9:$L$9+INT(($S$12:$AA$12+INDEX($AJ$13:$AR$162,BN2953,0)+INDEX($AT$13:$BB$162,BO2953,0)+INDEX($BD$13:$BL$162,BP2953,0))/100)))),0)</f>
        <v/>
      </c>
      <c r="BS2953">
        <f>IF(2940&lt;$U$9,SUMPRODUCT(($D$9:$L$9+INT(($S$12:$AA$12+INDEX($AJ$13:$AR$162,BN2953,0)+INDEX($AT$13:$BB$162,BO2953,0)+INDEX($BD$13:$BL$162,BP2953,0))/100))),0)</f>
        <v/>
      </c>
      <c r="BT2953">
        <f>IF(AND(2940&lt;$U$9,$W$5),BQ2953*1000000-MIN(BR2953,999)*1000+BS2953-2940/100000,-1000000000-2940)</f>
        <v/>
      </c>
    </row>
    <row r="2954">
      <c r="BN2954">
        <f>IF(2941&lt;$U$9,INT(2941/($U$7*$U$8))+1,1)</f>
        <v/>
      </c>
      <c r="BO2954">
        <f>IF(2941&lt;$U$9,MOD(INT(2941/$U$8),$U$7)+1,1)</f>
        <v/>
      </c>
      <c r="BP2954">
        <f>IF(2941&lt;$U$9,MOD(2941,$U$8)+1,1)</f>
        <v/>
      </c>
      <c r="BQ2954">
        <f>IF(2941&lt;$U$9,SUMPRODUCT(($D$10:$L$10&lt;&gt;"")*(($D$9:$L$9+INT(($S$12:$AA$12+INDEX($AJ$13:$AR$162,BN2954,0)+INDEX($AT$13:$BB$162,BO2954,0)+INDEX($BD$13:$BL$162,BP2954,0))/100))&gt;=$D$10:$L$10)),0)</f>
        <v/>
      </c>
      <c r="BR2954">
        <f>IF(2941&lt;$U$9,SUMPRODUCT(($D$10:$L$10&lt;&gt;"")*(($D$10:$L$10-($D$9:$L$9+INT(($S$12:$AA$12+INDEX($AJ$13:$AR$162,BN2954,0)+INDEX($AT$13:$BB$162,BO2954,0)+INDEX($BD$13:$BL$162,BP2954,0))/100)))&gt;0)*($D$10:$L$10-($D$9:$L$9+INT(($S$12:$AA$12+INDEX($AJ$13:$AR$162,BN2954,0)+INDEX($AT$13:$BB$162,BO2954,0)+INDEX($BD$13:$BL$162,BP2954,0))/100)))),0)</f>
        <v/>
      </c>
      <c r="BS2954">
        <f>IF(2941&lt;$U$9,SUMPRODUCT(($D$9:$L$9+INT(($S$12:$AA$12+INDEX($AJ$13:$AR$162,BN2954,0)+INDEX($AT$13:$BB$162,BO2954,0)+INDEX($BD$13:$BL$162,BP2954,0))/100))),0)</f>
        <v/>
      </c>
      <c r="BT2954">
        <f>IF(AND(2941&lt;$U$9,$W$5),BQ2954*1000000-MIN(BR2954,999)*1000+BS2954-2941/100000,-1000000000-2941)</f>
        <v/>
      </c>
    </row>
    <row r="2955">
      <c r="BN2955">
        <f>IF(2942&lt;$U$9,INT(2942/($U$7*$U$8))+1,1)</f>
        <v/>
      </c>
      <c r="BO2955">
        <f>IF(2942&lt;$U$9,MOD(INT(2942/$U$8),$U$7)+1,1)</f>
        <v/>
      </c>
      <c r="BP2955">
        <f>IF(2942&lt;$U$9,MOD(2942,$U$8)+1,1)</f>
        <v/>
      </c>
      <c r="BQ2955">
        <f>IF(2942&lt;$U$9,SUMPRODUCT(($D$10:$L$10&lt;&gt;"")*(($D$9:$L$9+INT(($S$12:$AA$12+INDEX($AJ$13:$AR$162,BN2955,0)+INDEX($AT$13:$BB$162,BO2955,0)+INDEX($BD$13:$BL$162,BP2955,0))/100))&gt;=$D$10:$L$10)),0)</f>
        <v/>
      </c>
      <c r="BR2955">
        <f>IF(2942&lt;$U$9,SUMPRODUCT(($D$10:$L$10&lt;&gt;"")*(($D$10:$L$10-($D$9:$L$9+INT(($S$12:$AA$12+INDEX($AJ$13:$AR$162,BN2955,0)+INDEX($AT$13:$BB$162,BO2955,0)+INDEX($BD$13:$BL$162,BP2955,0))/100)))&gt;0)*($D$10:$L$10-($D$9:$L$9+INT(($S$12:$AA$12+INDEX($AJ$13:$AR$162,BN2955,0)+INDEX($AT$13:$BB$162,BO2955,0)+INDEX($BD$13:$BL$162,BP2955,0))/100)))),0)</f>
        <v/>
      </c>
      <c r="BS2955">
        <f>IF(2942&lt;$U$9,SUMPRODUCT(($D$9:$L$9+INT(($S$12:$AA$12+INDEX($AJ$13:$AR$162,BN2955,0)+INDEX($AT$13:$BB$162,BO2955,0)+INDEX($BD$13:$BL$162,BP2955,0))/100))),0)</f>
        <v/>
      </c>
      <c r="BT2955">
        <f>IF(AND(2942&lt;$U$9,$W$5),BQ2955*1000000-MIN(BR2955,999)*1000+BS2955-2942/100000,-1000000000-2942)</f>
        <v/>
      </c>
    </row>
    <row r="2956">
      <c r="BN2956">
        <f>IF(2943&lt;$U$9,INT(2943/($U$7*$U$8))+1,1)</f>
        <v/>
      </c>
      <c r="BO2956">
        <f>IF(2943&lt;$U$9,MOD(INT(2943/$U$8),$U$7)+1,1)</f>
        <v/>
      </c>
      <c r="BP2956">
        <f>IF(2943&lt;$U$9,MOD(2943,$U$8)+1,1)</f>
        <v/>
      </c>
      <c r="BQ2956">
        <f>IF(2943&lt;$U$9,SUMPRODUCT(($D$10:$L$10&lt;&gt;"")*(($D$9:$L$9+INT(($S$12:$AA$12+INDEX($AJ$13:$AR$162,BN2956,0)+INDEX($AT$13:$BB$162,BO2956,0)+INDEX($BD$13:$BL$162,BP2956,0))/100))&gt;=$D$10:$L$10)),0)</f>
        <v/>
      </c>
      <c r="BR2956">
        <f>IF(2943&lt;$U$9,SUMPRODUCT(($D$10:$L$10&lt;&gt;"")*(($D$10:$L$10-($D$9:$L$9+INT(($S$12:$AA$12+INDEX($AJ$13:$AR$162,BN2956,0)+INDEX($AT$13:$BB$162,BO2956,0)+INDEX($BD$13:$BL$162,BP2956,0))/100)))&gt;0)*($D$10:$L$10-($D$9:$L$9+INT(($S$12:$AA$12+INDEX($AJ$13:$AR$162,BN2956,0)+INDEX($AT$13:$BB$162,BO2956,0)+INDEX($BD$13:$BL$162,BP2956,0))/100)))),0)</f>
        <v/>
      </c>
      <c r="BS2956">
        <f>IF(2943&lt;$U$9,SUMPRODUCT(($D$9:$L$9+INT(($S$12:$AA$12+INDEX($AJ$13:$AR$162,BN2956,0)+INDEX($AT$13:$BB$162,BO2956,0)+INDEX($BD$13:$BL$162,BP2956,0))/100))),0)</f>
        <v/>
      </c>
      <c r="BT2956">
        <f>IF(AND(2943&lt;$U$9,$W$5),BQ2956*1000000-MIN(BR2956,999)*1000+BS2956-2943/100000,-1000000000-2943)</f>
        <v/>
      </c>
    </row>
    <row r="2957">
      <c r="BN2957">
        <f>IF(2944&lt;$U$9,INT(2944/($U$7*$U$8))+1,1)</f>
        <v/>
      </c>
      <c r="BO2957">
        <f>IF(2944&lt;$U$9,MOD(INT(2944/$U$8),$U$7)+1,1)</f>
        <v/>
      </c>
      <c r="BP2957">
        <f>IF(2944&lt;$U$9,MOD(2944,$U$8)+1,1)</f>
        <v/>
      </c>
      <c r="BQ2957">
        <f>IF(2944&lt;$U$9,SUMPRODUCT(($D$10:$L$10&lt;&gt;"")*(($D$9:$L$9+INT(($S$12:$AA$12+INDEX($AJ$13:$AR$162,BN2957,0)+INDEX($AT$13:$BB$162,BO2957,0)+INDEX($BD$13:$BL$162,BP2957,0))/100))&gt;=$D$10:$L$10)),0)</f>
        <v/>
      </c>
      <c r="BR2957">
        <f>IF(2944&lt;$U$9,SUMPRODUCT(($D$10:$L$10&lt;&gt;"")*(($D$10:$L$10-($D$9:$L$9+INT(($S$12:$AA$12+INDEX($AJ$13:$AR$162,BN2957,0)+INDEX($AT$13:$BB$162,BO2957,0)+INDEX($BD$13:$BL$162,BP2957,0))/100)))&gt;0)*($D$10:$L$10-($D$9:$L$9+INT(($S$12:$AA$12+INDEX($AJ$13:$AR$162,BN2957,0)+INDEX($AT$13:$BB$162,BO2957,0)+INDEX($BD$13:$BL$162,BP2957,0))/100)))),0)</f>
        <v/>
      </c>
      <c r="BS2957">
        <f>IF(2944&lt;$U$9,SUMPRODUCT(($D$9:$L$9+INT(($S$12:$AA$12+INDEX($AJ$13:$AR$162,BN2957,0)+INDEX($AT$13:$BB$162,BO2957,0)+INDEX($BD$13:$BL$162,BP2957,0))/100))),0)</f>
        <v/>
      </c>
      <c r="BT2957">
        <f>IF(AND(2944&lt;$U$9,$W$5),BQ2957*1000000-MIN(BR2957,999)*1000+BS2957-2944/100000,-1000000000-2944)</f>
        <v/>
      </c>
    </row>
    <row r="2958">
      <c r="BN2958">
        <f>IF(2945&lt;$U$9,INT(2945/($U$7*$U$8))+1,1)</f>
        <v/>
      </c>
      <c r="BO2958">
        <f>IF(2945&lt;$U$9,MOD(INT(2945/$U$8),$U$7)+1,1)</f>
        <v/>
      </c>
      <c r="BP2958">
        <f>IF(2945&lt;$U$9,MOD(2945,$U$8)+1,1)</f>
        <v/>
      </c>
      <c r="BQ2958">
        <f>IF(2945&lt;$U$9,SUMPRODUCT(($D$10:$L$10&lt;&gt;"")*(($D$9:$L$9+INT(($S$12:$AA$12+INDEX($AJ$13:$AR$162,BN2958,0)+INDEX($AT$13:$BB$162,BO2958,0)+INDEX($BD$13:$BL$162,BP2958,0))/100))&gt;=$D$10:$L$10)),0)</f>
        <v/>
      </c>
      <c r="BR2958">
        <f>IF(2945&lt;$U$9,SUMPRODUCT(($D$10:$L$10&lt;&gt;"")*(($D$10:$L$10-($D$9:$L$9+INT(($S$12:$AA$12+INDEX($AJ$13:$AR$162,BN2958,0)+INDEX($AT$13:$BB$162,BO2958,0)+INDEX($BD$13:$BL$162,BP2958,0))/100)))&gt;0)*($D$10:$L$10-($D$9:$L$9+INT(($S$12:$AA$12+INDEX($AJ$13:$AR$162,BN2958,0)+INDEX($AT$13:$BB$162,BO2958,0)+INDEX($BD$13:$BL$162,BP2958,0))/100)))),0)</f>
        <v/>
      </c>
      <c r="BS2958">
        <f>IF(2945&lt;$U$9,SUMPRODUCT(($D$9:$L$9+INT(($S$12:$AA$12+INDEX($AJ$13:$AR$162,BN2958,0)+INDEX($AT$13:$BB$162,BO2958,0)+INDEX($BD$13:$BL$162,BP2958,0))/100))),0)</f>
        <v/>
      </c>
      <c r="BT2958">
        <f>IF(AND(2945&lt;$U$9,$W$5),BQ2958*1000000-MIN(BR2958,999)*1000+BS2958-2945/100000,-1000000000-2945)</f>
        <v/>
      </c>
    </row>
    <row r="2959">
      <c r="BN2959">
        <f>IF(2946&lt;$U$9,INT(2946/($U$7*$U$8))+1,1)</f>
        <v/>
      </c>
      <c r="BO2959">
        <f>IF(2946&lt;$U$9,MOD(INT(2946/$U$8),$U$7)+1,1)</f>
        <v/>
      </c>
      <c r="BP2959">
        <f>IF(2946&lt;$U$9,MOD(2946,$U$8)+1,1)</f>
        <v/>
      </c>
      <c r="BQ2959">
        <f>IF(2946&lt;$U$9,SUMPRODUCT(($D$10:$L$10&lt;&gt;"")*(($D$9:$L$9+INT(($S$12:$AA$12+INDEX($AJ$13:$AR$162,BN2959,0)+INDEX($AT$13:$BB$162,BO2959,0)+INDEX($BD$13:$BL$162,BP2959,0))/100))&gt;=$D$10:$L$10)),0)</f>
        <v/>
      </c>
      <c r="BR2959">
        <f>IF(2946&lt;$U$9,SUMPRODUCT(($D$10:$L$10&lt;&gt;"")*(($D$10:$L$10-($D$9:$L$9+INT(($S$12:$AA$12+INDEX($AJ$13:$AR$162,BN2959,0)+INDEX($AT$13:$BB$162,BO2959,0)+INDEX($BD$13:$BL$162,BP2959,0))/100)))&gt;0)*($D$10:$L$10-($D$9:$L$9+INT(($S$12:$AA$12+INDEX($AJ$13:$AR$162,BN2959,0)+INDEX($AT$13:$BB$162,BO2959,0)+INDEX($BD$13:$BL$162,BP2959,0))/100)))),0)</f>
        <v/>
      </c>
      <c r="BS2959">
        <f>IF(2946&lt;$U$9,SUMPRODUCT(($D$9:$L$9+INT(($S$12:$AA$12+INDEX($AJ$13:$AR$162,BN2959,0)+INDEX($AT$13:$BB$162,BO2959,0)+INDEX($BD$13:$BL$162,BP2959,0))/100))),0)</f>
        <v/>
      </c>
      <c r="BT2959">
        <f>IF(AND(2946&lt;$U$9,$W$5),BQ2959*1000000-MIN(BR2959,999)*1000+BS2959-2946/100000,-1000000000-2946)</f>
        <v/>
      </c>
    </row>
    <row r="2960">
      <c r="BN2960">
        <f>IF(2947&lt;$U$9,INT(2947/($U$7*$U$8))+1,1)</f>
        <v/>
      </c>
      <c r="BO2960">
        <f>IF(2947&lt;$U$9,MOD(INT(2947/$U$8),$U$7)+1,1)</f>
        <v/>
      </c>
      <c r="BP2960">
        <f>IF(2947&lt;$U$9,MOD(2947,$U$8)+1,1)</f>
        <v/>
      </c>
      <c r="BQ2960">
        <f>IF(2947&lt;$U$9,SUMPRODUCT(($D$10:$L$10&lt;&gt;"")*(($D$9:$L$9+INT(($S$12:$AA$12+INDEX($AJ$13:$AR$162,BN2960,0)+INDEX($AT$13:$BB$162,BO2960,0)+INDEX($BD$13:$BL$162,BP2960,0))/100))&gt;=$D$10:$L$10)),0)</f>
        <v/>
      </c>
      <c r="BR2960">
        <f>IF(2947&lt;$U$9,SUMPRODUCT(($D$10:$L$10&lt;&gt;"")*(($D$10:$L$10-($D$9:$L$9+INT(($S$12:$AA$12+INDEX($AJ$13:$AR$162,BN2960,0)+INDEX($AT$13:$BB$162,BO2960,0)+INDEX($BD$13:$BL$162,BP2960,0))/100)))&gt;0)*($D$10:$L$10-($D$9:$L$9+INT(($S$12:$AA$12+INDEX($AJ$13:$AR$162,BN2960,0)+INDEX($AT$13:$BB$162,BO2960,0)+INDEX($BD$13:$BL$162,BP2960,0))/100)))),0)</f>
        <v/>
      </c>
      <c r="BS2960">
        <f>IF(2947&lt;$U$9,SUMPRODUCT(($D$9:$L$9+INT(($S$12:$AA$12+INDEX($AJ$13:$AR$162,BN2960,0)+INDEX($AT$13:$BB$162,BO2960,0)+INDEX($BD$13:$BL$162,BP2960,0))/100))),0)</f>
        <v/>
      </c>
      <c r="BT2960">
        <f>IF(AND(2947&lt;$U$9,$W$5),BQ2960*1000000-MIN(BR2960,999)*1000+BS2960-2947/100000,-1000000000-2947)</f>
        <v/>
      </c>
    </row>
    <row r="2961">
      <c r="BN2961">
        <f>IF(2948&lt;$U$9,INT(2948/($U$7*$U$8))+1,1)</f>
        <v/>
      </c>
      <c r="BO2961">
        <f>IF(2948&lt;$U$9,MOD(INT(2948/$U$8),$U$7)+1,1)</f>
        <v/>
      </c>
      <c r="BP2961">
        <f>IF(2948&lt;$U$9,MOD(2948,$U$8)+1,1)</f>
        <v/>
      </c>
      <c r="BQ2961">
        <f>IF(2948&lt;$U$9,SUMPRODUCT(($D$10:$L$10&lt;&gt;"")*(($D$9:$L$9+INT(($S$12:$AA$12+INDEX($AJ$13:$AR$162,BN2961,0)+INDEX($AT$13:$BB$162,BO2961,0)+INDEX($BD$13:$BL$162,BP2961,0))/100))&gt;=$D$10:$L$10)),0)</f>
        <v/>
      </c>
      <c r="BR2961">
        <f>IF(2948&lt;$U$9,SUMPRODUCT(($D$10:$L$10&lt;&gt;"")*(($D$10:$L$10-($D$9:$L$9+INT(($S$12:$AA$12+INDEX($AJ$13:$AR$162,BN2961,0)+INDEX($AT$13:$BB$162,BO2961,0)+INDEX($BD$13:$BL$162,BP2961,0))/100)))&gt;0)*($D$10:$L$10-($D$9:$L$9+INT(($S$12:$AA$12+INDEX($AJ$13:$AR$162,BN2961,0)+INDEX($AT$13:$BB$162,BO2961,0)+INDEX($BD$13:$BL$162,BP2961,0))/100)))),0)</f>
        <v/>
      </c>
      <c r="BS2961">
        <f>IF(2948&lt;$U$9,SUMPRODUCT(($D$9:$L$9+INT(($S$12:$AA$12+INDEX($AJ$13:$AR$162,BN2961,0)+INDEX($AT$13:$BB$162,BO2961,0)+INDEX($BD$13:$BL$162,BP2961,0))/100))),0)</f>
        <v/>
      </c>
      <c r="BT2961">
        <f>IF(AND(2948&lt;$U$9,$W$5),BQ2961*1000000-MIN(BR2961,999)*1000+BS2961-2948/100000,-1000000000-2948)</f>
        <v/>
      </c>
    </row>
    <row r="2962">
      <c r="BN2962">
        <f>IF(2949&lt;$U$9,INT(2949/($U$7*$U$8))+1,1)</f>
        <v/>
      </c>
      <c r="BO2962">
        <f>IF(2949&lt;$U$9,MOD(INT(2949/$U$8),$U$7)+1,1)</f>
        <v/>
      </c>
      <c r="BP2962">
        <f>IF(2949&lt;$U$9,MOD(2949,$U$8)+1,1)</f>
        <v/>
      </c>
      <c r="BQ2962">
        <f>IF(2949&lt;$U$9,SUMPRODUCT(($D$10:$L$10&lt;&gt;"")*(($D$9:$L$9+INT(($S$12:$AA$12+INDEX($AJ$13:$AR$162,BN2962,0)+INDEX($AT$13:$BB$162,BO2962,0)+INDEX($BD$13:$BL$162,BP2962,0))/100))&gt;=$D$10:$L$10)),0)</f>
        <v/>
      </c>
      <c r="BR2962">
        <f>IF(2949&lt;$U$9,SUMPRODUCT(($D$10:$L$10&lt;&gt;"")*(($D$10:$L$10-($D$9:$L$9+INT(($S$12:$AA$12+INDEX($AJ$13:$AR$162,BN2962,0)+INDEX($AT$13:$BB$162,BO2962,0)+INDEX($BD$13:$BL$162,BP2962,0))/100)))&gt;0)*($D$10:$L$10-($D$9:$L$9+INT(($S$12:$AA$12+INDEX($AJ$13:$AR$162,BN2962,0)+INDEX($AT$13:$BB$162,BO2962,0)+INDEX($BD$13:$BL$162,BP2962,0))/100)))),0)</f>
        <v/>
      </c>
      <c r="BS2962">
        <f>IF(2949&lt;$U$9,SUMPRODUCT(($D$9:$L$9+INT(($S$12:$AA$12+INDEX($AJ$13:$AR$162,BN2962,0)+INDEX($AT$13:$BB$162,BO2962,0)+INDEX($BD$13:$BL$162,BP2962,0))/100))),0)</f>
        <v/>
      </c>
      <c r="BT2962">
        <f>IF(AND(2949&lt;$U$9,$W$5),BQ2962*1000000-MIN(BR2962,999)*1000+BS2962-2949/100000,-1000000000-2949)</f>
        <v/>
      </c>
    </row>
    <row r="2963">
      <c r="BN2963">
        <f>IF(2950&lt;$U$9,INT(2950/($U$7*$U$8))+1,1)</f>
        <v/>
      </c>
      <c r="BO2963">
        <f>IF(2950&lt;$U$9,MOD(INT(2950/$U$8),$U$7)+1,1)</f>
        <v/>
      </c>
      <c r="BP2963">
        <f>IF(2950&lt;$U$9,MOD(2950,$U$8)+1,1)</f>
        <v/>
      </c>
      <c r="BQ2963">
        <f>IF(2950&lt;$U$9,SUMPRODUCT(($D$10:$L$10&lt;&gt;"")*(($D$9:$L$9+INT(($S$12:$AA$12+INDEX($AJ$13:$AR$162,BN2963,0)+INDEX($AT$13:$BB$162,BO2963,0)+INDEX($BD$13:$BL$162,BP2963,0))/100))&gt;=$D$10:$L$10)),0)</f>
        <v/>
      </c>
      <c r="BR2963">
        <f>IF(2950&lt;$U$9,SUMPRODUCT(($D$10:$L$10&lt;&gt;"")*(($D$10:$L$10-($D$9:$L$9+INT(($S$12:$AA$12+INDEX($AJ$13:$AR$162,BN2963,0)+INDEX($AT$13:$BB$162,BO2963,0)+INDEX($BD$13:$BL$162,BP2963,0))/100)))&gt;0)*($D$10:$L$10-($D$9:$L$9+INT(($S$12:$AA$12+INDEX($AJ$13:$AR$162,BN2963,0)+INDEX($AT$13:$BB$162,BO2963,0)+INDEX($BD$13:$BL$162,BP2963,0))/100)))),0)</f>
        <v/>
      </c>
      <c r="BS2963">
        <f>IF(2950&lt;$U$9,SUMPRODUCT(($D$9:$L$9+INT(($S$12:$AA$12+INDEX($AJ$13:$AR$162,BN2963,0)+INDEX($AT$13:$BB$162,BO2963,0)+INDEX($BD$13:$BL$162,BP2963,0))/100))),0)</f>
        <v/>
      </c>
      <c r="BT2963">
        <f>IF(AND(2950&lt;$U$9,$W$5),BQ2963*1000000-MIN(BR2963,999)*1000+BS2963-2950/100000,-1000000000-2950)</f>
        <v/>
      </c>
    </row>
    <row r="2964">
      <c r="BN2964">
        <f>IF(2951&lt;$U$9,INT(2951/($U$7*$U$8))+1,1)</f>
        <v/>
      </c>
      <c r="BO2964">
        <f>IF(2951&lt;$U$9,MOD(INT(2951/$U$8),$U$7)+1,1)</f>
        <v/>
      </c>
      <c r="BP2964">
        <f>IF(2951&lt;$U$9,MOD(2951,$U$8)+1,1)</f>
        <v/>
      </c>
      <c r="BQ2964">
        <f>IF(2951&lt;$U$9,SUMPRODUCT(($D$10:$L$10&lt;&gt;"")*(($D$9:$L$9+INT(($S$12:$AA$12+INDEX($AJ$13:$AR$162,BN2964,0)+INDEX($AT$13:$BB$162,BO2964,0)+INDEX($BD$13:$BL$162,BP2964,0))/100))&gt;=$D$10:$L$10)),0)</f>
        <v/>
      </c>
      <c r="BR2964">
        <f>IF(2951&lt;$U$9,SUMPRODUCT(($D$10:$L$10&lt;&gt;"")*(($D$10:$L$10-($D$9:$L$9+INT(($S$12:$AA$12+INDEX($AJ$13:$AR$162,BN2964,0)+INDEX($AT$13:$BB$162,BO2964,0)+INDEX($BD$13:$BL$162,BP2964,0))/100)))&gt;0)*($D$10:$L$10-($D$9:$L$9+INT(($S$12:$AA$12+INDEX($AJ$13:$AR$162,BN2964,0)+INDEX($AT$13:$BB$162,BO2964,0)+INDEX($BD$13:$BL$162,BP2964,0))/100)))),0)</f>
        <v/>
      </c>
      <c r="BS2964">
        <f>IF(2951&lt;$U$9,SUMPRODUCT(($D$9:$L$9+INT(($S$12:$AA$12+INDEX($AJ$13:$AR$162,BN2964,0)+INDEX($AT$13:$BB$162,BO2964,0)+INDEX($BD$13:$BL$162,BP2964,0))/100))),0)</f>
        <v/>
      </c>
      <c r="BT2964">
        <f>IF(AND(2951&lt;$U$9,$W$5),BQ2964*1000000-MIN(BR2964,999)*1000+BS2964-2951/100000,-1000000000-2951)</f>
        <v/>
      </c>
    </row>
    <row r="2965">
      <c r="BN2965">
        <f>IF(2952&lt;$U$9,INT(2952/($U$7*$U$8))+1,1)</f>
        <v/>
      </c>
      <c r="BO2965">
        <f>IF(2952&lt;$U$9,MOD(INT(2952/$U$8),$U$7)+1,1)</f>
        <v/>
      </c>
      <c r="BP2965">
        <f>IF(2952&lt;$U$9,MOD(2952,$U$8)+1,1)</f>
        <v/>
      </c>
      <c r="BQ2965">
        <f>IF(2952&lt;$U$9,SUMPRODUCT(($D$10:$L$10&lt;&gt;"")*(($D$9:$L$9+INT(($S$12:$AA$12+INDEX($AJ$13:$AR$162,BN2965,0)+INDEX($AT$13:$BB$162,BO2965,0)+INDEX($BD$13:$BL$162,BP2965,0))/100))&gt;=$D$10:$L$10)),0)</f>
        <v/>
      </c>
      <c r="BR2965">
        <f>IF(2952&lt;$U$9,SUMPRODUCT(($D$10:$L$10&lt;&gt;"")*(($D$10:$L$10-($D$9:$L$9+INT(($S$12:$AA$12+INDEX($AJ$13:$AR$162,BN2965,0)+INDEX($AT$13:$BB$162,BO2965,0)+INDEX($BD$13:$BL$162,BP2965,0))/100)))&gt;0)*($D$10:$L$10-($D$9:$L$9+INT(($S$12:$AA$12+INDEX($AJ$13:$AR$162,BN2965,0)+INDEX($AT$13:$BB$162,BO2965,0)+INDEX($BD$13:$BL$162,BP2965,0))/100)))),0)</f>
        <v/>
      </c>
      <c r="BS2965">
        <f>IF(2952&lt;$U$9,SUMPRODUCT(($D$9:$L$9+INT(($S$12:$AA$12+INDEX($AJ$13:$AR$162,BN2965,0)+INDEX($AT$13:$BB$162,BO2965,0)+INDEX($BD$13:$BL$162,BP2965,0))/100))),0)</f>
        <v/>
      </c>
      <c r="BT2965">
        <f>IF(AND(2952&lt;$U$9,$W$5),BQ2965*1000000-MIN(BR2965,999)*1000+BS2965-2952/100000,-1000000000-2952)</f>
        <v/>
      </c>
    </row>
    <row r="2966">
      <c r="BN2966">
        <f>IF(2953&lt;$U$9,INT(2953/($U$7*$U$8))+1,1)</f>
        <v/>
      </c>
      <c r="BO2966">
        <f>IF(2953&lt;$U$9,MOD(INT(2953/$U$8),$U$7)+1,1)</f>
        <v/>
      </c>
      <c r="BP2966">
        <f>IF(2953&lt;$U$9,MOD(2953,$U$8)+1,1)</f>
        <v/>
      </c>
      <c r="BQ2966">
        <f>IF(2953&lt;$U$9,SUMPRODUCT(($D$10:$L$10&lt;&gt;"")*(($D$9:$L$9+INT(($S$12:$AA$12+INDEX($AJ$13:$AR$162,BN2966,0)+INDEX($AT$13:$BB$162,BO2966,0)+INDEX($BD$13:$BL$162,BP2966,0))/100))&gt;=$D$10:$L$10)),0)</f>
        <v/>
      </c>
      <c r="BR2966">
        <f>IF(2953&lt;$U$9,SUMPRODUCT(($D$10:$L$10&lt;&gt;"")*(($D$10:$L$10-($D$9:$L$9+INT(($S$12:$AA$12+INDEX($AJ$13:$AR$162,BN2966,0)+INDEX($AT$13:$BB$162,BO2966,0)+INDEX($BD$13:$BL$162,BP2966,0))/100)))&gt;0)*($D$10:$L$10-($D$9:$L$9+INT(($S$12:$AA$12+INDEX($AJ$13:$AR$162,BN2966,0)+INDEX($AT$13:$BB$162,BO2966,0)+INDEX($BD$13:$BL$162,BP2966,0))/100)))),0)</f>
        <v/>
      </c>
      <c r="BS2966">
        <f>IF(2953&lt;$U$9,SUMPRODUCT(($D$9:$L$9+INT(($S$12:$AA$12+INDEX($AJ$13:$AR$162,BN2966,0)+INDEX($AT$13:$BB$162,BO2966,0)+INDEX($BD$13:$BL$162,BP2966,0))/100))),0)</f>
        <v/>
      </c>
      <c r="BT2966">
        <f>IF(AND(2953&lt;$U$9,$W$5),BQ2966*1000000-MIN(BR2966,999)*1000+BS2966-2953/100000,-1000000000-2953)</f>
        <v/>
      </c>
    </row>
    <row r="2967">
      <c r="BN2967">
        <f>IF(2954&lt;$U$9,INT(2954/($U$7*$U$8))+1,1)</f>
        <v/>
      </c>
      <c r="BO2967">
        <f>IF(2954&lt;$U$9,MOD(INT(2954/$U$8),$U$7)+1,1)</f>
        <v/>
      </c>
      <c r="BP2967">
        <f>IF(2954&lt;$U$9,MOD(2954,$U$8)+1,1)</f>
        <v/>
      </c>
      <c r="BQ2967">
        <f>IF(2954&lt;$U$9,SUMPRODUCT(($D$10:$L$10&lt;&gt;"")*(($D$9:$L$9+INT(($S$12:$AA$12+INDEX($AJ$13:$AR$162,BN2967,0)+INDEX($AT$13:$BB$162,BO2967,0)+INDEX($BD$13:$BL$162,BP2967,0))/100))&gt;=$D$10:$L$10)),0)</f>
        <v/>
      </c>
      <c r="BR2967">
        <f>IF(2954&lt;$U$9,SUMPRODUCT(($D$10:$L$10&lt;&gt;"")*(($D$10:$L$10-($D$9:$L$9+INT(($S$12:$AA$12+INDEX($AJ$13:$AR$162,BN2967,0)+INDEX($AT$13:$BB$162,BO2967,0)+INDEX($BD$13:$BL$162,BP2967,0))/100)))&gt;0)*($D$10:$L$10-($D$9:$L$9+INT(($S$12:$AA$12+INDEX($AJ$13:$AR$162,BN2967,0)+INDEX($AT$13:$BB$162,BO2967,0)+INDEX($BD$13:$BL$162,BP2967,0))/100)))),0)</f>
        <v/>
      </c>
      <c r="BS2967">
        <f>IF(2954&lt;$U$9,SUMPRODUCT(($D$9:$L$9+INT(($S$12:$AA$12+INDEX($AJ$13:$AR$162,BN2967,0)+INDEX($AT$13:$BB$162,BO2967,0)+INDEX($BD$13:$BL$162,BP2967,0))/100))),0)</f>
        <v/>
      </c>
      <c r="BT2967">
        <f>IF(AND(2954&lt;$U$9,$W$5),BQ2967*1000000-MIN(BR2967,999)*1000+BS2967-2954/100000,-1000000000-2954)</f>
        <v/>
      </c>
    </row>
    <row r="2968">
      <c r="BN2968">
        <f>IF(2955&lt;$U$9,INT(2955/($U$7*$U$8))+1,1)</f>
        <v/>
      </c>
      <c r="BO2968">
        <f>IF(2955&lt;$U$9,MOD(INT(2955/$U$8),$U$7)+1,1)</f>
        <v/>
      </c>
      <c r="BP2968">
        <f>IF(2955&lt;$U$9,MOD(2955,$U$8)+1,1)</f>
        <v/>
      </c>
      <c r="BQ2968">
        <f>IF(2955&lt;$U$9,SUMPRODUCT(($D$10:$L$10&lt;&gt;"")*(($D$9:$L$9+INT(($S$12:$AA$12+INDEX($AJ$13:$AR$162,BN2968,0)+INDEX($AT$13:$BB$162,BO2968,0)+INDEX($BD$13:$BL$162,BP2968,0))/100))&gt;=$D$10:$L$10)),0)</f>
        <v/>
      </c>
      <c r="BR2968">
        <f>IF(2955&lt;$U$9,SUMPRODUCT(($D$10:$L$10&lt;&gt;"")*(($D$10:$L$10-($D$9:$L$9+INT(($S$12:$AA$12+INDEX($AJ$13:$AR$162,BN2968,0)+INDEX($AT$13:$BB$162,BO2968,0)+INDEX($BD$13:$BL$162,BP2968,0))/100)))&gt;0)*($D$10:$L$10-($D$9:$L$9+INT(($S$12:$AA$12+INDEX($AJ$13:$AR$162,BN2968,0)+INDEX($AT$13:$BB$162,BO2968,0)+INDEX($BD$13:$BL$162,BP2968,0))/100)))),0)</f>
        <v/>
      </c>
      <c r="BS2968">
        <f>IF(2955&lt;$U$9,SUMPRODUCT(($D$9:$L$9+INT(($S$12:$AA$12+INDEX($AJ$13:$AR$162,BN2968,0)+INDEX($AT$13:$BB$162,BO2968,0)+INDEX($BD$13:$BL$162,BP2968,0))/100))),0)</f>
        <v/>
      </c>
      <c r="BT2968">
        <f>IF(AND(2955&lt;$U$9,$W$5),BQ2968*1000000-MIN(BR2968,999)*1000+BS2968-2955/100000,-1000000000-2955)</f>
        <v/>
      </c>
    </row>
    <row r="2969">
      <c r="BN2969">
        <f>IF(2956&lt;$U$9,INT(2956/($U$7*$U$8))+1,1)</f>
        <v/>
      </c>
      <c r="BO2969">
        <f>IF(2956&lt;$U$9,MOD(INT(2956/$U$8),$U$7)+1,1)</f>
        <v/>
      </c>
      <c r="BP2969">
        <f>IF(2956&lt;$U$9,MOD(2956,$U$8)+1,1)</f>
        <v/>
      </c>
      <c r="BQ2969">
        <f>IF(2956&lt;$U$9,SUMPRODUCT(($D$10:$L$10&lt;&gt;"")*(($D$9:$L$9+INT(($S$12:$AA$12+INDEX($AJ$13:$AR$162,BN2969,0)+INDEX($AT$13:$BB$162,BO2969,0)+INDEX($BD$13:$BL$162,BP2969,0))/100))&gt;=$D$10:$L$10)),0)</f>
        <v/>
      </c>
      <c r="BR2969">
        <f>IF(2956&lt;$U$9,SUMPRODUCT(($D$10:$L$10&lt;&gt;"")*(($D$10:$L$10-($D$9:$L$9+INT(($S$12:$AA$12+INDEX($AJ$13:$AR$162,BN2969,0)+INDEX($AT$13:$BB$162,BO2969,0)+INDEX($BD$13:$BL$162,BP2969,0))/100)))&gt;0)*($D$10:$L$10-($D$9:$L$9+INT(($S$12:$AA$12+INDEX($AJ$13:$AR$162,BN2969,0)+INDEX($AT$13:$BB$162,BO2969,0)+INDEX($BD$13:$BL$162,BP2969,0))/100)))),0)</f>
        <v/>
      </c>
      <c r="BS2969">
        <f>IF(2956&lt;$U$9,SUMPRODUCT(($D$9:$L$9+INT(($S$12:$AA$12+INDEX($AJ$13:$AR$162,BN2969,0)+INDEX($AT$13:$BB$162,BO2969,0)+INDEX($BD$13:$BL$162,BP2969,0))/100))),0)</f>
        <v/>
      </c>
      <c r="BT2969">
        <f>IF(AND(2956&lt;$U$9,$W$5),BQ2969*1000000-MIN(BR2969,999)*1000+BS2969-2956/100000,-1000000000-2956)</f>
        <v/>
      </c>
    </row>
    <row r="2970">
      <c r="BN2970">
        <f>IF(2957&lt;$U$9,INT(2957/($U$7*$U$8))+1,1)</f>
        <v/>
      </c>
      <c r="BO2970">
        <f>IF(2957&lt;$U$9,MOD(INT(2957/$U$8),$U$7)+1,1)</f>
        <v/>
      </c>
      <c r="BP2970">
        <f>IF(2957&lt;$U$9,MOD(2957,$U$8)+1,1)</f>
        <v/>
      </c>
      <c r="BQ2970">
        <f>IF(2957&lt;$U$9,SUMPRODUCT(($D$10:$L$10&lt;&gt;"")*(($D$9:$L$9+INT(($S$12:$AA$12+INDEX($AJ$13:$AR$162,BN2970,0)+INDEX($AT$13:$BB$162,BO2970,0)+INDEX($BD$13:$BL$162,BP2970,0))/100))&gt;=$D$10:$L$10)),0)</f>
        <v/>
      </c>
      <c r="BR2970">
        <f>IF(2957&lt;$U$9,SUMPRODUCT(($D$10:$L$10&lt;&gt;"")*(($D$10:$L$10-($D$9:$L$9+INT(($S$12:$AA$12+INDEX($AJ$13:$AR$162,BN2970,0)+INDEX($AT$13:$BB$162,BO2970,0)+INDEX($BD$13:$BL$162,BP2970,0))/100)))&gt;0)*($D$10:$L$10-($D$9:$L$9+INT(($S$12:$AA$12+INDEX($AJ$13:$AR$162,BN2970,0)+INDEX($AT$13:$BB$162,BO2970,0)+INDEX($BD$13:$BL$162,BP2970,0))/100)))),0)</f>
        <v/>
      </c>
      <c r="BS2970">
        <f>IF(2957&lt;$U$9,SUMPRODUCT(($D$9:$L$9+INT(($S$12:$AA$12+INDEX($AJ$13:$AR$162,BN2970,0)+INDEX($AT$13:$BB$162,BO2970,0)+INDEX($BD$13:$BL$162,BP2970,0))/100))),0)</f>
        <v/>
      </c>
      <c r="BT2970">
        <f>IF(AND(2957&lt;$U$9,$W$5),BQ2970*1000000-MIN(BR2970,999)*1000+BS2970-2957/100000,-1000000000-2957)</f>
        <v/>
      </c>
    </row>
    <row r="2971">
      <c r="BN2971">
        <f>IF(2958&lt;$U$9,INT(2958/($U$7*$U$8))+1,1)</f>
        <v/>
      </c>
      <c r="BO2971">
        <f>IF(2958&lt;$U$9,MOD(INT(2958/$U$8),$U$7)+1,1)</f>
        <v/>
      </c>
      <c r="BP2971">
        <f>IF(2958&lt;$U$9,MOD(2958,$U$8)+1,1)</f>
        <v/>
      </c>
      <c r="BQ2971">
        <f>IF(2958&lt;$U$9,SUMPRODUCT(($D$10:$L$10&lt;&gt;"")*(($D$9:$L$9+INT(($S$12:$AA$12+INDEX($AJ$13:$AR$162,BN2971,0)+INDEX($AT$13:$BB$162,BO2971,0)+INDEX($BD$13:$BL$162,BP2971,0))/100))&gt;=$D$10:$L$10)),0)</f>
        <v/>
      </c>
      <c r="BR2971">
        <f>IF(2958&lt;$U$9,SUMPRODUCT(($D$10:$L$10&lt;&gt;"")*(($D$10:$L$10-($D$9:$L$9+INT(($S$12:$AA$12+INDEX($AJ$13:$AR$162,BN2971,0)+INDEX($AT$13:$BB$162,BO2971,0)+INDEX($BD$13:$BL$162,BP2971,0))/100)))&gt;0)*($D$10:$L$10-($D$9:$L$9+INT(($S$12:$AA$12+INDEX($AJ$13:$AR$162,BN2971,0)+INDEX($AT$13:$BB$162,BO2971,0)+INDEX($BD$13:$BL$162,BP2971,0))/100)))),0)</f>
        <v/>
      </c>
      <c r="BS2971">
        <f>IF(2958&lt;$U$9,SUMPRODUCT(($D$9:$L$9+INT(($S$12:$AA$12+INDEX($AJ$13:$AR$162,BN2971,0)+INDEX($AT$13:$BB$162,BO2971,0)+INDEX($BD$13:$BL$162,BP2971,0))/100))),0)</f>
        <v/>
      </c>
      <c r="BT2971">
        <f>IF(AND(2958&lt;$U$9,$W$5),BQ2971*1000000-MIN(BR2971,999)*1000+BS2971-2958/100000,-1000000000-2958)</f>
        <v/>
      </c>
    </row>
    <row r="2972">
      <c r="BN2972">
        <f>IF(2959&lt;$U$9,INT(2959/($U$7*$U$8))+1,1)</f>
        <v/>
      </c>
      <c r="BO2972">
        <f>IF(2959&lt;$U$9,MOD(INT(2959/$U$8),$U$7)+1,1)</f>
        <v/>
      </c>
      <c r="BP2972">
        <f>IF(2959&lt;$U$9,MOD(2959,$U$8)+1,1)</f>
        <v/>
      </c>
      <c r="BQ2972">
        <f>IF(2959&lt;$U$9,SUMPRODUCT(($D$10:$L$10&lt;&gt;"")*(($D$9:$L$9+INT(($S$12:$AA$12+INDEX($AJ$13:$AR$162,BN2972,0)+INDEX($AT$13:$BB$162,BO2972,0)+INDEX($BD$13:$BL$162,BP2972,0))/100))&gt;=$D$10:$L$10)),0)</f>
        <v/>
      </c>
      <c r="BR2972">
        <f>IF(2959&lt;$U$9,SUMPRODUCT(($D$10:$L$10&lt;&gt;"")*(($D$10:$L$10-($D$9:$L$9+INT(($S$12:$AA$12+INDEX($AJ$13:$AR$162,BN2972,0)+INDEX($AT$13:$BB$162,BO2972,0)+INDEX($BD$13:$BL$162,BP2972,0))/100)))&gt;0)*($D$10:$L$10-($D$9:$L$9+INT(($S$12:$AA$12+INDEX($AJ$13:$AR$162,BN2972,0)+INDEX($AT$13:$BB$162,BO2972,0)+INDEX($BD$13:$BL$162,BP2972,0))/100)))),0)</f>
        <v/>
      </c>
      <c r="BS2972">
        <f>IF(2959&lt;$U$9,SUMPRODUCT(($D$9:$L$9+INT(($S$12:$AA$12+INDEX($AJ$13:$AR$162,BN2972,0)+INDEX($AT$13:$BB$162,BO2972,0)+INDEX($BD$13:$BL$162,BP2972,0))/100))),0)</f>
        <v/>
      </c>
      <c r="BT2972">
        <f>IF(AND(2959&lt;$U$9,$W$5),BQ2972*1000000-MIN(BR2972,999)*1000+BS2972-2959/100000,-1000000000-2959)</f>
        <v/>
      </c>
    </row>
    <row r="2973">
      <c r="BN2973">
        <f>IF(2960&lt;$U$9,INT(2960/($U$7*$U$8))+1,1)</f>
        <v/>
      </c>
      <c r="BO2973">
        <f>IF(2960&lt;$U$9,MOD(INT(2960/$U$8),$U$7)+1,1)</f>
        <v/>
      </c>
      <c r="BP2973">
        <f>IF(2960&lt;$U$9,MOD(2960,$U$8)+1,1)</f>
        <v/>
      </c>
      <c r="BQ2973">
        <f>IF(2960&lt;$U$9,SUMPRODUCT(($D$10:$L$10&lt;&gt;"")*(($D$9:$L$9+INT(($S$12:$AA$12+INDEX($AJ$13:$AR$162,BN2973,0)+INDEX($AT$13:$BB$162,BO2973,0)+INDEX($BD$13:$BL$162,BP2973,0))/100))&gt;=$D$10:$L$10)),0)</f>
        <v/>
      </c>
      <c r="BR2973">
        <f>IF(2960&lt;$U$9,SUMPRODUCT(($D$10:$L$10&lt;&gt;"")*(($D$10:$L$10-($D$9:$L$9+INT(($S$12:$AA$12+INDEX($AJ$13:$AR$162,BN2973,0)+INDEX($AT$13:$BB$162,BO2973,0)+INDEX($BD$13:$BL$162,BP2973,0))/100)))&gt;0)*($D$10:$L$10-($D$9:$L$9+INT(($S$12:$AA$12+INDEX($AJ$13:$AR$162,BN2973,0)+INDEX($AT$13:$BB$162,BO2973,0)+INDEX($BD$13:$BL$162,BP2973,0))/100)))),0)</f>
        <v/>
      </c>
      <c r="BS2973">
        <f>IF(2960&lt;$U$9,SUMPRODUCT(($D$9:$L$9+INT(($S$12:$AA$12+INDEX($AJ$13:$AR$162,BN2973,0)+INDEX($AT$13:$BB$162,BO2973,0)+INDEX($BD$13:$BL$162,BP2973,0))/100))),0)</f>
        <v/>
      </c>
      <c r="BT2973">
        <f>IF(AND(2960&lt;$U$9,$W$5),BQ2973*1000000-MIN(BR2973,999)*1000+BS2973-2960/100000,-1000000000-2960)</f>
        <v/>
      </c>
    </row>
    <row r="2974">
      <c r="BN2974">
        <f>IF(2961&lt;$U$9,INT(2961/($U$7*$U$8))+1,1)</f>
        <v/>
      </c>
      <c r="BO2974">
        <f>IF(2961&lt;$U$9,MOD(INT(2961/$U$8),$U$7)+1,1)</f>
        <v/>
      </c>
      <c r="BP2974">
        <f>IF(2961&lt;$U$9,MOD(2961,$U$8)+1,1)</f>
        <v/>
      </c>
      <c r="BQ2974">
        <f>IF(2961&lt;$U$9,SUMPRODUCT(($D$10:$L$10&lt;&gt;"")*(($D$9:$L$9+INT(($S$12:$AA$12+INDEX($AJ$13:$AR$162,BN2974,0)+INDEX($AT$13:$BB$162,BO2974,0)+INDEX($BD$13:$BL$162,BP2974,0))/100))&gt;=$D$10:$L$10)),0)</f>
        <v/>
      </c>
      <c r="BR2974">
        <f>IF(2961&lt;$U$9,SUMPRODUCT(($D$10:$L$10&lt;&gt;"")*(($D$10:$L$10-($D$9:$L$9+INT(($S$12:$AA$12+INDEX($AJ$13:$AR$162,BN2974,0)+INDEX($AT$13:$BB$162,BO2974,0)+INDEX($BD$13:$BL$162,BP2974,0))/100)))&gt;0)*($D$10:$L$10-($D$9:$L$9+INT(($S$12:$AA$12+INDEX($AJ$13:$AR$162,BN2974,0)+INDEX($AT$13:$BB$162,BO2974,0)+INDEX($BD$13:$BL$162,BP2974,0))/100)))),0)</f>
        <v/>
      </c>
      <c r="BS2974">
        <f>IF(2961&lt;$U$9,SUMPRODUCT(($D$9:$L$9+INT(($S$12:$AA$12+INDEX($AJ$13:$AR$162,BN2974,0)+INDEX($AT$13:$BB$162,BO2974,0)+INDEX($BD$13:$BL$162,BP2974,0))/100))),0)</f>
        <v/>
      </c>
      <c r="BT2974">
        <f>IF(AND(2961&lt;$U$9,$W$5),BQ2974*1000000-MIN(BR2974,999)*1000+BS2974-2961/100000,-1000000000-2961)</f>
        <v/>
      </c>
    </row>
    <row r="2975">
      <c r="BN2975">
        <f>IF(2962&lt;$U$9,INT(2962/($U$7*$U$8))+1,1)</f>
        <v/>
      </c>
      <c r="BO2975">
        <f>IF(2962&lt;$U$9,MOD(INT(2962/$U$8),$U$7)+1,1)</f>
        <v/>
      </c>
      <c r="BP2975">
        <f>IF(2962&lt;$U$9,MOD(2962,$U$8)+1,1)</f>
        <v/>
      </c>
      <c r="BQ2975">
        <f>IF(2962&lt;$U$9,SUMPRODUCT(($D$10:$L$10&lt;&gt;"")*(($D$9:$L$9+INT(($S$12:$AA$12+INDEX($AJ$13:$AR$162,BN2975,0)+INDEX($AT$13:$BB$162,BO2975,0)+INDEX($BD$13:$BL$162,BP2975,0))/100))&gt;=$D$10:$L$10)),0)</f>
        <v/>
      </c>
      <c r="BR2975">
        <f>IF(2962&lt;$U$9,SUMPRODUCT(($D$10:$L$10&lt;&gt;"")*(($D$10:$L$10-($D$9:$L$9+INT(($S$12:$AA$12+INDEX($AJ$13:$AR$162,BN2975,0)+INDEX($AT$13:$BB$162,BO2975,0)+INDEX($BD$13:$BL$162,BP2975,0))/100)))&gt;0)*($D$10:$L$10-($D$9:$L$9+INT(($S$12:$AA$12+INDEX($AJ$13:$AR$162,BN2975,0)+INDEX($AT$13:$BB$162,BO2975,0)+INDEX($BD$13:$BL$162,BP2975,0))/100)))),0)</f>
        <v/>
      </c>
      <c r="BS2975">
        <f>IF(2962&lt;$U$9,SUMPRODUCT(($D$9:$L$9+INT(($S$12:$AA$12+INDEX($AJ$13:$AR$162,BN2975,0)+INDEX($AT$13:$BB$162,BO2975,0)+INDEX($BD$13:$BL$162,BP2975,0))/100))),0)</f>
        <v/>
      </c>
      <c r="BT2975">
        <f>IF(AND(2962&lt;$U$9,$W$5),BQ2975*1000000-MIN(BR2975,999)*1000+BS2975-2962/100000,-1000000000-2962)</f>
        <v/>
      </c>
    </row>
    <row r="2976">
      <c r="BN2976">
        <f>IF(2963&lt;$U$9,INT(2963/($U$7*$U$8))+1,1)</f>
        <v/>
      </c>
      <c r="BO2976">
        <f>IF(2963&lt;$U$9,MOD(INT(2963/$U$8),$U$7)+1,1)</f>
        <v/>
      </c>
      <c r="BP2976">
        <f>IF(2963&lt;$U$9,MOD(2963,$U$8)+1,1)</f>
        <v/>
      </c>
      <c r="BQ2976">
        <f>IF(2963&lt;$U$9,SUMPRODUCT(($D$10:$L$10&lt;&gt;"")*(($D$9:$L$9+INT(($S$12:$AA$12+INDEX($AJ$13:$AR$162,BN2976,0)+INDEX($AT$13:$BB$162,BO2976,0)+INDEX($BD$13:$BL$162,BP2976,0))/100))&gt;=$D$10:$L$10)),0)</f>
        <v/>
      </c>
      <c r="BR2976">
        <f>IF(2963&lt;$U$9,SUMPRODUCT(($D$10:$L$10&lt;&gt;"")*(($D$10:$L$10-($D$9:$L$9+INT(($S$12:$AA$12+INDEX($AJ$13:$AR$162,BN2976,0)+INDEX($AT$13:$BB$162,BO2976,0)+INDEX($BD$13:$BL$162,BP2976,0))/100)))&gt;0)*($D$10:$L$10-($D$9:$L$9+INT(($S$12:$AA$12+INDEX($AJ$13:$AR$162,BN2976,0)+INDEX($AT$13:$BB$162,BO2976,0)+INDEX($BD$13:$BL$162,BP2976,0))/100)))),0)</f>
        <v/>
      </c>
      <c r="BS2976">
        <f>IF(2963&lt;$U$9,SUMPRODUCT(($D$9:$L$9+INT(($S$12:$AA$12+INDEX($AJ$13:$AR$162,BN2976,0)+INDEX($AT$13:$BB$162,BO2976,0)+INDEX($BD$13:$BL$162,BP2976,0))/100))),0)</f>
        <v/>
      </c>
      <c r="BT2976">
        <f>IF(AND(2963&lt;$U$9,$W$5),BQ2976*1000000-MIN(BR2976,999)*1000+BS2976-2963/100000,-1000000000-2963)</f>
        <v/>
      </c>
    </row>
    <row r="2977">
      <c r="BN2977">
        <f>IF(2964&lt;$U$9,INT(2964/($U$7*$U$8))+1,1)</f>
        <v/>
      </c>
      <c r="BO2977">
        <f>IF(2964&lt;$U$9,MOD(INT(2964/$U$8),$U$7)+1,1)</f>
        <v/>
      </c>
      <c r="BP2977">
        <f>IF(2964&lt;$U$9,MOD(2964,$U$8)+1,1)</f>
        <v/>
      </c>
      <c r="BQ2977">
        <f>IF(2964&lt;$U$9,SUMPRODUCT(($D$10:$L$10&lt;&gt;"")*(($D$9:$L$9+INT(($S$12:$AA$12+INDEX($AJ$13:$AR$162,BN2977,0)+INDEX($AT$13:$BB$162,BO2977,0)+INDEX($BD$13:$BL$162,BP2977,0))/100))&gt;=$D$10:$L$10)),0)</f>
        <v/>
      </c>
      <c r="BR2977">
        <f>IF(2964&lt;$U$9,SUMPRODUCT(($D$10:$L$10&lt;&gt;"")*(($D$10:$L$10-($D$9:$L$9+INT(($S$12:$AA$12+INDEX($AJ$13:$AR$162,BN2977,0)+INDEX($AT$13:$BB$162,BO2977,0)+INDEX($BD$13:$BL$162,BP2977,0))/100)))&gt;0)*($D$10:$L$10-($D$9:$L$9+INT(($S$12:$AA$12+INDEX($AJ$13:$AR$162,BN2977,0)+INDEX($AT$13:$BB$162,BO2977,0)+INDEX($BD$13:$BL$162,BP2977,0))/100)))),0)</f>
        <v/>
      </c>
      <c r="BS2977">
        <f>IF(2964&lt;$U$9,SUMPRODUCT(($D$9:$L$9+INT(($S$12:$AA$12+INDEX($AJ$13:$AR$162,BN2977,0)+INDEX($AT$13:$BB$162,BO2977,0)+INDEX($BD$13:$BL$162,BP2977,0))/100))),0)</f>
        <v/>
      </c>
      <c r="BT2977">
        <f>IF(AND(2964&lt;$U$9,$W$5),BQ2977*1000000-MIN(BR2977,999)*1000+BS2977-2964/100000,-1000000000-2964)</f>
        <v/>
      </c>
    </row>
    <row r="2978">
      <c r="BN2978">
        <f>IF(2965&lt;$U$9,INT(2965/($U$7*$U$8))+1,1)</f>
        <v/>
      </c>
      <c r="BO2978">
        <f>IF(2965&lt;$U$9,MOD(INT(2965/$U$8),$U$7)+1,1)</f>
        <v/>
      </c>
      <c r="BP2978">
        <f>IF(2965&lt;$U$9,MOD(2965,$U$8)+1,1)</f>
        <v/>
      </c>
      <c r="BQ2978">
        <f>IF(2965&lt;$U$9,SUMPRODUCT(($D$10:$L$10&lt;&gt;"")*(($D$9:$L$9+INT(($S$12:$AA$12+INDEX($AJ$13:$AR$162,BN2978,0)+INDEX($AT$13:$BB$162,BO2978,0)+INDEX($BD$13:$BL$162,BP2978,0))/100))&gt;=$D$10:$L$10)),0)</f>
        <v/>
      </c>
      <c r="BR2978">
        <f>IF(2965&lt;$U$9,SUMPRODUCT(($D$10:$L$10&lt;&gt;"")*(($D$10:$L$10-($D$9:$L$9+INT(($S$12:$AA$12+INDEX($AJ$13:$AR$162,BN2978,0)+INDEX($AT$13:$BB$162,BO2978,0)+INDEX($BD$13:$BL$162,BP2978,0))/100)))&gt;0)*($D$10:$L$10-($D$9:$L$9+INT(($S$12:$AA$12+INDEX($AJ$13:$AR$162,BN2978,0)+INDEX($AT$13:$BB$162,BO2978,0)+INDEX($BD$13:$BL$162,BP2978,0))/100)))),0)</f>
        <v/>
      </c>
      <c r="BS2978">
        <f>IF(2965&lt;$U$9,SUMPRODUCT(($D$9:$L$9+INT(($S$12:$AA$12+INDEX($AJ$13:$AR$162,BN2978,0)+INDEX($AT$13:$BB$162,BO2978,0)+INDEX($BD$13:$BL$162,BP2978,0))/100))),0)</f>
        <v/>
      </c>
      <c r="BT2978">
        <f>IF(AND(2965&lt;$U$9,$W$5),BQ2978*1000000-MIN(BR2978,999)*1000+BS2978-2965/100000,-1000000000-2965)</f>
        <v/>
      </c>
    </row>
    <row r="2979">
      <c r="BN2979">
        <f>IF(2966&lt;$U$9,INT(2966/($U$7*$U$8))+1,1)</f>
        <v/>
      </c>
      <c r="BO2979">
        <f>IF(2966&lt;$U$9,MOD(INT(2966/$U$8),$U$7)+1,1)</f>
        <v/>
      </c>
      <c r="BP2979">
        <f>IF(2966&lt;$U$9,MOD(2966,$U$8)+1,1)</f>
        <v/>
      </c>
      <c r="BQ2979">
        <f>IF(2966&lt;$U$9,SUMPRODUCT(($D$10:$L$10&lt;&gt;"")*(($D$9:$L$9+INT(($S$12:$AA$12+INDEX($AJ$13:$AR$162,BN2979,0)+INDEX($AT$13:$BB$162,BO2979,0)+INDEX($BD$13:$BL$162,BP2979,0))/100))&gt;=$D$10:$L$10)),0)</f>
        <v/>
      </c>
      <c r="BR2979">
        <f>IF(2966&lt;$U$9,SUMPRODUCT(($D$10:$L$10&lt;&gt;"")*(($D$10:$L$10-($D$9:$L$9+INT(($S$12:$AA$12+INDEX($AJ$13:$AR$162,BN2979,0)+INDEX($AT$13:$BB$162,BO2979,0)+INDEX($BD$13:$BL$162,BP2979,0))/100)))&gt;0)*($D$10:$L$10-($D$9:$L$9+INT(($S$12:$AA$12+INDEX($AJ$13:$AR$162,BN2979,0)+INDEX($AT$13:$BB$162,BO2979,0)+INDEX($BD$13:$BL$162,BP2979,0))/100)))),0)</f>
        <v/>
      </c>
      <c r="BS2979">
        <f>IF(2966&lt;$U$9,SUMPRODUCT(($D$9:$L$9+INT(($S$12:$AA$12+INDEX($AJ$13:$AR$162,BN2979,0)+INDEX($AT$13:$BB$162,BO2979,0)+INDEX($BD$13:$BL$162,BP2979,0))/100))),0)</f>
        <v/>
      </c>
      <c r="BT2979">
        <f>IF(AND(2966&lt;$U$9,$W$5),BQ2979*1000000-MIN(BR2979,999)*1000+BS2979-2966/100000,-1000000000-2966)</f>
        <v/>
      </c>
    </row>
    <row r="2980">
      <c r="BN2980">
        <f>IF(2967&lt;$U$9,INT(2967/($U$7*$U$8))+1,1)</f>
        <v/>
      </c>
      <c r="BO2980">
        <f>IF(2967&lt;$U$9,MOD(INT(2967/$U$8),$U$7)+1,1)</f>
        <v/>
      </c>
      <c r="BP2980">
        <f>IF(2967&lt;$U$9,MOD(2967,$U$8)+1,1)</f>
        <v/>
      </c>
      <c r="BQ2980">
        <f>IF(2967&lt;$U$9,SUMPRODUCT(($D$10:$L$10&lt;&gt;"")*(($D$9:$L$9+INT(($S$12:$AA$12+INDEX($AJ$13:$AR$162,BN2980,0)+INDEX($AT$13:$BB$162,BO2980,0)+INDEX($BD$13:$BL$162,BP2980,0))/100))&gt;=$D$10:$L$10)),0)</f>
        <v/>
      </c>
      <c r="BR2980">
        <f>IF(2967&lt;$U$9,SUMPRODUCT(($D$10:$L$10&lt;&gt;"")*(($D$10:$L$10-($D$9:$L$9+INT(($S$12:$AA$12+INDEX($AJ$13:$AR$162,BN2980,0)+INDEX($AT$13:$BB$162,BO2980,0)+INDEX($BD$13:$BL$162,BP2980,0))/100)))&gt;0)*($D$10:$L$10-($D$9:$L$9+INT(($S$12:$AA$12+INDEX($AJ$13:$AR$162,BN2980,0)+INDEX($AT$13:$BB$162,BO2980,0)+INDEX($BD$13:$BL$162,BP2980,0))/100)))),0)</f>
        <v/>
      </c>
      <c r="BS2980">
        <f>IF(2967&lt;$U$9,SUMPRODUCT(($D$9:$L$9+INT(($S$12:$AA$12+INDEX($AJ$13:$AR$162,BN2980,0)+INDEX($AT$13:$BB$162,BO2980,0)+INDEX($BD$13:$BL$162,BP2980,0))/100))),0)</f>
        <v/>
      </c>
      <c r="BT2980">
        <f>IF(AND(2967&lt;$U$9,$W$5),BQ2980*1000000-MIN(BR2980,999)*1000+BS2980-2967/100000,-1000000000-2967)</f>
        <v/>
      </c>
    </row>
    <row r="2981">
      <c r="BN2981">
        <f>IF(2968&lt;$U$9,INT(2968/($U$7*$U$8))+1,1)</f>
        <v/>
      </c>
      <c r="BO2981">
        <f>IF(2968&lt;$U$9,MOD(INT(2968/$U$8),$U$7)+1,1)</f>
        <v/>
      </c>
      <c r="BP2981">
        <f>IF(2968&lt;$U$9,MOD(2968,$U$8)+1,1)</f>
        <v/>
      </c>
      <c r="BQ2981">
        <f>IF(2968&lt;$U$9,SUMPRODUCT(($D$10:$L$10&lt;&gt;"")*(($D$9:$L$9+INT(($S$12:$AA$12+INDEX($AJ$13:$AR$162,BN2981,0)+INDEX($AT$13:$BB$162,BO2981,0)+INDEX($BD$13:$BL$162,BP2981,0))/100))&gt;=$D$10:$L$10)),0)</f>
        <v/>
      </c>
      <c r="BR2981">
        <f>IF(2968&lt;$U$9,SUMPRODUCT(($D$10:$L$10&lt;&gt;"")*(($D$10:$L$10-($D$9:$L$9+INT(($S$12:$AA$12+INDEX($AJ$13:$AR$162,BN2981,0)+INDEX($AT$13:$BB$162,BO2981,0)+INDEX($BD$13:$BL$162,BP2981,0))/100)))&gt;0)*($D$10:$L$10-($D$9:$L$9+INT(($S$12:$AA$12+INDEX($AJ$13:$AR$162,BN2981,0)+INDEX($AT$13:$BB$162,BO2981,0)+INDEX($BD$13:$BL$162,BP2981,0))/100)))),0)</f>
        <v/>
      </c>
      <c r="BS2981">
        <f>IF(2968&lt;$U$9,SUMPRODUCT(($D$9:$L$9+INT(($S$12:$AA$12+INDEX($AJ$13:$AR$162,BN2981,0)+INDEX($AT$13:$BB$162,BO2981,0)+INDEX($BD$13:$BL$162,BP2981,0))/100))),0)</f>
        <v/>
      </c>
      <c r="BT2981">
        <f>IF(AND(2968&lt;$U$9,$W$5),BQ2981*1000000-MIN(BR2981,999)*1000+BS2981-2968/100000,-1000000000-2968)</f>
        <v/>
      </c>
    </row>
    <row r="2982">
      <c r="BN2982">
        <f>IF(2969&lt;$U$9,INT(2969/($U$7*$U$8))+1,1)</f>
        <v/>
      </c>
      <c r="BO2982">
        <f>IF(2969&lt;$U$9,MOD(INT(2969/$U$8),$U$7)+1,1)</f>
        <v/>
      </c>
      <c r="BP2982">
        <f>IF(2969&lt;$U$9,MOD(2969,$U$8)+1,1)</f>
        <v/>
      </c>
      <c r="BQ2982">
        <f>IF(2969&lt;$U$9,SUMPRODUCT(($D$10:$L$10&lt;&gt;"")*(($D$9:$L$9+INT(($S$12:$AA$12+INDEX($AJ$13:$AR$162,BN2982,0)+INDEX($AT$13:$BB$162,BO2982,0)+INDEX($BD$13:$BL$162,BP2982,0))/100))&gt;=$D$10:$L$10)),0)</f>
        <v/>
      </c>
      <c r="BR2982">
        <f>IF(2969&lt;$U$9,SUMPRODUCT(($D$10:$L$10&lt;&gt;"")*(($D$10:$L$10-($D$9:$L$9+INT(($S$12:$AA$12+INDEX($AJ$13:$AR$162,BN2982,0)+INDEX($AT$13:$BB$162,BO2982,0)+INDEX($BD$13:$BL$162,BP2982,0))/100)))&gt;0)*($D$10:$L$10-($D$9:$L$9+INT(($S$12:$AA$12+INDEX($AJ$13:$AR$162,BN2982,0)+INDEX($AT$13:$BB$162,BO2982,0)+INDEX($BD$13:$BL$162,BP2982,0))/100)))),0)</f>
        <v/>
      </c>
      <c r="BS2982">
        <f>IF(2969&lt;$U$9,SUMPRODUCT(($D$9:$L$9+INT(($S$12:$AA$12+INDEX($AJ$13:$AR$162,BN2982,0)+INDEX($AT$13:$BB$162,BO2982,0)+INDEX($BD$13:$BL$162,BP2982,0))/100))),0)</f>
        <v/>
      </c>
      <c r="BT2982">
        <f>IF(AND(2969&lt;$U$9,$W$5),BQ2982*1000000-MIN(BR2982,999)*1000+BS2982-2969/100000,-1000000000-2969)</f>
        <v/>
      </c>
    </row>
    <row r="2983">
      <c r="BN2983">
        <f>IF(2970&lt;$U$9,INT(2970/($U$7*$U$8))+1,1)</f>
        <v/>
      </c>
      <c r="BO2983">
        <f>IF(2970&lt;$U$9,MOD(INT(2970/$U$8),$U$7)+1,1)</f>
        <v/>
      </c>
      <c r="BP2983">
        <f>IF(2970&lt;$U$9,MOD(2970,$U$8)+1,1)</f>
        <v/>
      </c>
      <c r="BQ2983">
        <f>IF(2970&lt;$U$9,SUMPRODUCT(($D$10:$L$10&lt;&gt;"")*(($D$9:$L$9+INT(($S$12:$AA$12+INDEX($AJ$13:$AR$162,BN2983,0)+INDEX($AT$13:$BB$162,BO2983,0)+INDEX($BD$13:$BL$162,BP2983,0))/100))&gt;=$D$10:$L$10)),0)</f>
        <v/>
      </c>
      <c r="BR2983">
        <f>IF(2970&lt;$U$9,SUMPRODUCT(($D$10:$L$10&lt;&gt;"")*(($D$10:$L$10-($D$9:$L$9+INT(($S$12:$AA$12+INDEX($AJ$13:$AR$162,BN2983,0)+INDEX($AT$13:$BB$162,BO2983,0)+INDEX($BD$13:$BL$162,BP2983,0))/100)))&gt;0)*($D$10:$L$10-($D$9:$L$9+INT(($S$12:$AA$12+INDEX($AJ$13:$AR$162,BN2983,0)+INDEX($AT$13:$BB$162,BO2983,0)+INDEX($BD$13:$BL$162,BP2983,0))/100)))),0)</f>
        <v/>
      </c>
      <c r="BS2983">
        <f>IF(2970&lt;$U$9,SUMPRODUCT(($D$9:$L$9+INT(($S$12:$AA$12+INDEX($AJ$13:$AR$162,BN2983,0)+INDEX($AT$13:$BB$162,BO2983,0)+INDEX($BD$13:$BL$162,BP2983,0))/100))),0)</f>
        <v/>
      </c>
      <c r="BT2983">
        <f>IF(AND(2970&lt;$U$9,$W$5),BQ2983*1000000-MIN(BR2983,999)*1000+BS2983-2970/100000,-1000000000-2970)</f>
        <v/>
      </c>
    </row>
    <row r="2984">
      <c r="BN2984">
        <f>IF(2971&lt;$U$9,INT(2971/($U$7*$U$8))+1,1)</f>
        <v/>
      </c>
      <c r="BO2984">
        <f>IF(2971&lt;$U$9,MOD(INT(2971/$U$8),$U$7)+1,1)</f>
        <v/>
      </c>
      <c r="BP2984">
        <f>IF(2971&lt;$U$9,MOD(2971,$U$8)+1,1)</f>
        <v/>
      </c>
      <c r="BQ2984">
        <f>IF(2971&lt;$U$9,SUMPRODUCT(($D$10:$L$10&lt;&gt;"")*(($D$9:$L$9+INT(($S$12:$AA$12+INDEX($AJ$13:$AR$162,BN2984,0)+INDEX($AT$13:$BB$162,BO2984,0)+INDEX($BD$13:$BL$162,BP2984,0))/100))&gt;=$D$10:$L$10)),0)</f>
        <v/>
      </c>
      <c r="BR2984">
        <f>IF(2971&lt;$U$9,SUMPRODUCT(($D$10:$L$10&lt;&gt;"")*(($D$10:$L$10-($D$9:$L$9+INT(($S$12:$AA$12+INDEX($AJ$13:$AR$162,BN2984,0)+INDEX($AT$13:$BB$162,BO2984,0)+INDEX($BD$13:$BL$162,BP2984,0))/100)))&gt;0)*($D$10:$L$10-($D$9:$L$9+INT(($S$12:$AA$12+INDEX($AJ$13:$AR$162,BN2984,0)+INDEX($AT$13:$BB$162,BO2984,0)+INDEX($BD$13:$BL$162,BP2984,0))/100)))),0)</f>
        <v/>
      </c>
      <c r="BS2984">
        <f>IF(2971&lt;$U$9,SUMPRODUCT(($D$9:$L$9+INT(($S$12:$AA$12+INDEX($AJ$13:$AR$162,BN2984,0)+INDEX($AT$13:$BB$162,BO2984,0)+INDEX($BD$13:$BL$162,BP2984,0))/100))),0)</f>
        <v/>
      </c>
      <c r="BT2984">
        <f>IF(AND(2971&lt;$U$9,$W$5),BQ2984*1000000-MIN(BR2984,999)*1000+BS2984-2971/100000,-1000000000-2971)</f>
        <v/>
      </c>
    </row>
    <row r="2985">
      <c r="BN2985">
        <f>IF(2972&lt;$U$9,INT(2972/($U$7*$U$8))+1,1)</f>
        <v/>
      </c>
      <c r="BO2985">
        <f>IF(2972&lt;$U$9,MOD(INT(2972/$U$8),$U$7)+1,1)</f>
        <v/>
      </c>
      <c r="BP2985">
        <f>IF(2972&lt;$U$9,MOD(2972,$U$8)+1,1)</f>
        <v/>
      </c>
      <c r="BQ2985">
        <f>IF(2972&lt;$U$9,SUMPRODUCT(($D$10:$L$10&lt;&gt;"")*(($D$9:$L$9+INT(($S$12:$AA$12+INDEX($AJ$13:$AR$162,BN2985,0)+INDEX($AT$13:$BB$162,BO2985,0)+INDEX($BD$13:$BL$162,BP2985,0))/100))&gt;=$D$10:$L$10)),0)</f>
        <v/>
      </c>
      <c r="BR2985">
        <f>IF(2972&lt;$U$9,SUMPRODUCT(($D$10:$L$10&lt;&gt;"")*(($D$10:$L$10-($D$9:$L$9+INT(($S$12:$AA$12+INDEX($AJ$13:$AR$162,BN2985,0)+INDEX($AT$13:$BB$162,BO2985,0)+INDEX($BD$13:$BL$162,BP2985,0))/100)))&gt;0)*($D$10:$L$10-($D$9:$L$9+INT(($S$12:$AA$12+INDEX($AJ$13:$AR$162,BN2985,0)+INDEX($AT$13:$BB$162,BO2985,0)+INDEX($BD$13:$BL$162,BP2985,0))/100)))),0)</f>
        <v/>
      </c>
      <c r="BS2985">
        <f>IF(2972&lt;$U$9,SUMPRODUCT(($D$9:$L$9+INT(($S$12:$AA$12+INDEX($AJ$13:$AR$162,BN2985,0)+INDEX($AT$13:$BB$162,BO2985,0)+INDEX($BD$13:$BL$162,BP2985,0))/100))),0)</f>
        <v/>
      </c>
      <c r="BT2985">
        <f>IF(AND(2972&lt;$U$9,$W$5),BQ2985*1000000-MIN(BR2985,999)*1000+BS2985-2972/100000,-1000000000-2972)</f>
        <v/>
      </c>
    </row>
    <row r="2986">
      <c r="BN2986">
        <f>IF(2973&lt;$U$9,INT(2973/($U$7*$U$8))+1,1)</f>
        <v/>
      </c>
      <c r="BO2986">
        <f>IF(2973&lt;$U$9,MOD(INT(2973/$U$8),$U$7)+1,1)</f>
        <v/>
      </c>
      <c r="BP2986">
        <f>IF(2973&lt;$U$9,MOD(2973,$U$8)+1,1)</f>
        <v/>
      </c>
      <c r="BQ2986">
        <f>IF(2973&lt;$U$9,SUMPRODUCT(($D$10:$L$10&lt;&gt;"")*(($D$9:$L$9+INT(($S$12:$AA$12+INDEX($AJ$13:$AR$162,BN2986,0)+INDEX($AT$13:$BB$162,BO2986,0)+INDEX($BD$13:$BL$162,BP2986,0))/100))&gt;=$D$10:$L$10)),0)</f>
        <v/>
      </c>
      <c r="BR2986">
        <f>IF(2973&lt;$U$9,SUMPRODUCT(($D$10:$L$10&lt;&gt;"")*(($D$10:$L$10-($D$9:$L$9+INT(($S$12:$AA$12+INDEX($AJ$13:$AR$162,BN2986,0)+INDEX($AT$13:$BB$162,BO2986,0)+INDEX($BD$13:$BL$162,BP2986,0))/100)))&gt;0)*($D$10:$L$10-($D$9:$L$9+INT(($S$12:$AA$12+INDEX($AJ$13:$AR$162,BN2986,0)+INDEX($AT$13:$BB$162,BO2986,0)+INDEX($BD$13:$BL$162,BP2986,0))/100)))),0)</f>
        <v/>
      </c>
      <c r="BS2986">
        <f>IF(2973&lt;$U$9,SUMPRODUCT(($D$9:$L$9+INT(($S$12:$AA$12+INDEX($AJ$13:$AR$162,BN2986,0)+INDEX($AT$13:$BB$162,BO2986,0)+INDEX($BD$13:$BL$162,BP2986,0))/100))),0)</f>
        <v/>
      </c>
      <c r="BT2986">
        <f>IF(AND(2973&lt;$U$9,$W$5),BQ2986*1000000-MIN(BR2986,999)*1000+BS2986-2973/100000,-1000000000-2973)</f>
        <v/>
      </c>
    </row>
    <row r="2987">
      <c r="BN2987">
        <f>IF(2974&lt;$U$9,INT(2974/($U$7*$U$8))+1,1)</f>
        <v/>
      </c>
      <c r="BO2987">
        <f>IF(2974&lt;$U$9,MOD(INT(2974/$U$8),$U$7)+1,1)</f>
        <v/>
      </c>
      <c r="BP2987">
        <f>IF(2974&lt;$U$9,MOD(2974,$U$8)+1,1)</f>
        <v/>
      </c>
      <c r="BQ2987">
        <f>IF(2974&lt;$U$9,SUMPRODUCT(($D$10:$L$10&lt;&gt;"")*(($D$9:$L$9+INT(($S$12:$AA$12+INDEX($AJ$13:$AR$162,BN2987,0)+INDEX($AT$13:$BB$162,BO2987,0)+INDEX($BD$13:$BL$162,BP2987,0))/100))&gt;=$D$10:$L$10)),0)</f>
        <v/>
      </c>
      <c r="BR2987">
        <f>IF(2974&lt;$U$9,SUMPRODUCT(($D$10:$L$10&lt;&gt;"")*(($D$10:$L$10-($D$9:$L$9+INT(($S$12:$AA$12+INDEX($AJ$13:$AR$162,BN2987,0)+INDEX($AT$13:$BB$162,BO2987,0)+INDEX($BD$13:$BL$162,BP2987,0))/100)))&gt;0)*($D$10:$L$10-($D$9:$L$9+INT(($S$12:$AA$12+INDEX($AJ$13:$AR$162,BN2987,0)+INDEX($AT$13:$BB$162,BO2987,0)+INDEX($BD$13:$BL$162,BP2987,0))/100)))),0)</f>
        <v/>
      </c>
      <c r="BS2987">
        <f>IF(2974&lt;$U$9,SUMPRODUCT(($D$9:$L$9+INT(($S$12:$AA$12+INDEX($AJ$13:$AR$162,BN2987,0)+INDEX($AT$13:$BB$162,BO2987,0)+INDEX($BD$13:$BL$162,BP2987,0))/100))),0)</f>
        <v/>
      </c>
      <c r="BT2987">
        <f>IF(AND(2974&lt;$U$9,$W$5),BQ2987*1000000-MIN(BR2987,999)*1000+BS2987-2974/100000,-1000000000-2974)</f>
        <v/>
      </c>
    </row>
    <row r="2988">
      <c r="BN2988">
        <f>IF(2975&lt;$U$9,INT(2975/($U$7*$U$8))+1,1)</f>
        <v/>
      </c>
      <c r="BO2988">
        <f>IF(2975&lt;$U$9,MOD(INT(2975/$U$8),$U$7)+1,1)</f>
        <v/>
      </c>
      <c r="BP2988">
        <f>IF(2975&lt;$U$9,MOD(2975,$U$8)+1,1)</f>
        <v/>
      </c>
      <c r="BQ2988">
        <f>IF(2975&lt;$U$9,SUMPRODUCT(($D$10:$L$10&lt;&gt;"")*(($D$9:$L$9+INT(($S$12:$AA$12+INDEX($AJ$13:$AR$162,BN2988,0)+INDEX($AT$13:$BB$162,BO2988,0)+INDEX($BD$13:$BL$162,BP2988,0))/100))&gt;=$D$10:$L$10)),0)</f>
        <v/>
      </c>
      <c r="BR2988">
        <f>IF(2975&lt;$U$9,SUMPRODUCT(($D$10:$L$10&lt;&gt;"")*(($D$10:$L$10-($D$9:$L$9+INT(($S$12:$AA$12+INDEX($AJ$13:$AR$162,BN2988,0)+INDEX($AT$13:$BB$162,BO2988,0)+INDEX($BD$13:$BL$162,BP2988,0))/100)))&gt;0)*($D$10:$L$10-($D$9:$L$9+INT(($S$12:$AA$12+INDEX($AJ$13:$AR$162,BN2988,0)+INDEX($AT$13:$BB$162,BO2988,0)+INDEX($BD$13:$BL$162,BP2988,0))/100)))),0)</f>
        <v/>
      </c>
      <c r="BS2988">
        <f>IF(2975&lt;$U$9,SUMPRODUCT(($D$9:$L$9+INT(($S$12:$AA$12+INDEX($AJ$13:$AR$162,BN2988,0)+INDEX($AT$13:$BB$162,BO2988,0)+INDEX($BD$13:$BL$162,BP2988,0))/100))),0)</f>
        <v/>
      </c>
      <c r="BT2988">
        <f>IF(AND(2975&lt;$U$9,$W$5),BQ2988*1000000-MIN(BR2988,999)*1000+BS2988-2975/100000,-1000000000-2975)</f>
        <v/>
      </c>
    </row>
    <row r="2989">
      <c r="BN2989">
        <f>IF(2976&lt;$U$9,INT(2976/($U$7*$U$8))+1,1)</f>
        <v/>
      </c>
      <c r="BO2989">
        <f>IF(2976&lt;$U$9,MOD(INT(2976/$U$8),$U$7)+1,1)</f>
        <v/>
      </c>
      <c r="BP2989">
        <f>IF(2976&lt;$U$9,MOD(2976,$U$8)+1,1)</f>
        <v/>
      </c>
      <c r="BQ2989">
        <f>IF(2976&lt;$U$9,SUMPRODUCT(($D$10:$L$10&lt;&gt;"")*(($D$9:$L$9+INT(($S$12:$AA$12+INDEX($AJ$13:$AR$162,BN2989,0)+INDEX($AT$13:$BB$162,BO2989,0)+INDEX($BD$13:$BL$162,BP2989,0))/100))&gt;=$D$10:$L$10)),0)</f>
        <v/>
      </c>
      <c r="BR2989">
        <f>IF(2976&lt;$U$9,SUMPRODUCT(($D$10:$L$10&lt;&gt;"")*(($D$10:$L$10-($D$9:$L$9+INT(($S$12:$AA$12+INDEX($AJ$13:$AR$162,BN2989,0)+INDEX($AT$13:$BB$162,BO2989,0)+INDEX($BD$13:$BL$162,BP2989,0))/100)))&gt;0)*($D$10:$L$10-($D$9:$L$9+INT(($S$12:$AA$12+INDEX($AJ$13:$AR$162,BN2989,0)+INDEX($AT$13:$BB$162,BO2989,0)+INDEX($BD$13:$BL$162,BP2989,0))/100)))),0)</f>
        <v/>
      </c>
      <c r="BS2989">
        <f>IF(2976&lt;$U$9,SUMPRODUCT(($D$9:$L$9+INT(($S$12:$AA$12+INDEX($AJ$13:$AR$162,BN2989,0)+INDEX($AT$13:$BB$162,BO2989,0)+INDEX($BD$13:$BL$162,BP2989,0))/100))),0)</f>
        <v/>
      </c>
      <c r="BT2989">
        <f>IF(AND(2976&lt;$U$9,$W$5),BQ2989*1000000-MIN(BR2989,999)*1000+BS2989-2976/100000,-1000000000-2976)</f>
        <v/>
      </c>
    </row>
    <row r="2990">
      <c r="BN2990">
        <f>IF(2977&lt;$U$9,INT(2977/($U$7*$U$8))+1,1)</f>
        <v/>
      </c>
      <c r="BO2990">
        <f>IF(2977&lt;$U$9,MOD(INT(2977/$U$8),$U$7)+1,1)</f>
        <v/>
      </c>
      <c r="BP2990">
        <f>IF(2977&lt;$U$9,MOD(2977,$U$8)+1,1)</f>
        <v/>
      </c>
      <c r="BQ2990">
        <f>IF(2977&lt;$U$9,SUMPRODUCT(($D$10:$L$10&lt;&gt;"")*(($D$9:$L$9+INT(($S$12:$AA$12+INDEX($AJ$13:$AR$162,BN2990,0)+INDEX($AT$13:$BB$162,BO2990,0)+INDEX($BD$13:$BL$162,BP2990,0))/100))&gt;=$D$10:$L$10)),0)</f>
        <v/>
      </c>
      <c r="BR2990">
        <f>IF(2977&lt;$U$9,SUMPRODUCT(($D$10:$L$10&lt;&gt;"")*(($D$10:$L$10-($D$9:$L$9+INT(($S$12:$AA$12+INDEX($AJ$13:$AR$162,BN2990,0)+INDEX($AT$13:$BB$162,BO2990,0)+INDEX($BD$13:$BL$162,BP2990,0))/100)))&gt;0)*($D$10:$L$10-($D$9:$L$9+INT(($S$12:$AA$12+INDEX($AJ$13:$AR$162,BN2990,0)+INDEX($AT$13:$BB$162,BO2990,0)+INDEX($BD$13:$BL$162,BP2990,0))/100)))),0)</f>
        <v/>
      </c>
      <c r="BS2990">
        <f>IF(2977&lt;$U$9,SUMPRODUCT(($D$9:$L$9+INT(($S$12:$AA$12+INDEX($AJ$13:$AR$162,BN2990,0)+INDEX($AT$13:$BB$162,BO2990,0)+INDEX($BD$13:$BL$162,BP2990,0))/100))),0)</f>
        <v/>
      </c>
      <c r="BT2990">
        <f>IF(AND(2977&lt;$U$9,$W$5),BQ2990*1000000-MIN(BR2990,999)*1000+BS2990-2977/100000,-1000000000-2977)</f>
        <v/>
      </c>
    </row>
    <row r="2991">
      <c r="BN2991">
        <f>IF(2978&lt;$U$9,INT(2978/($U$7*$U$8))+1,1)</f>
        <v/>
      </c>
      <c r="BO2991">
        <f>IF(2978&lt;$U$9,MOD(INT(2978/$U$8),$U$7)+1,1)</f>
        <v/>
      </c>
      <c r="BP2991">
        <f>IF(2978&lt;$U$9,MOD(2978,$U$8)+1,1)</f>
        <v/>
      </c>
      <c r="BQ2991">
        <f>IF(2978&lt;$U$9,SUMPRODUCT(($D$10:$L$10&lt;&gt;"")*(($D$9:$L$9+INT(($S$12:$AA$12+INDEX($AJ$13:$AR$162,BN2991,0)+INDEX($AT$13:$BB$162,BO2991,0)+INDEX($BD$13:$BL$162,BP2991,0))/100))&gt;=$D$10:$L$10)),0)</f>
        <v/>
      </c>
      <c r="BR2991">
        <f>IF(2978&lt;$U$9,SUMPRODUCT(($D$10:$L$10&lt;&gt;"")*(($D$10:$L$10-($D$9:$L$9+INT(($S$12:$AA$12+INDEX($AJ$13:$AR$162,BN2991,0)+INDEX($AT$13:$BB$162,BO2991,0)+INDEX($BD$13:$BL$162,BP2991,0))/100)))&gt;0)*($D$10:$L$10-($D$9:$L$9+INT(($S$12:$AA$12+INDEX($AJ$13:$AR$162,BN2991,0)+INDEX($AT$13:$BB$162,BO2991,0)+INDEX($BD$13:$BL$162,BP2991,0))/100)))),0)</f>
        <v/>
      </c>
      <c r="BS2991">
        <f>IF(2978&lt;$U$9,SUMPRODUCT(($D$9:$L$9+INT(($S$12:$AA$12+INDEX($AJ$13:$AR$162,BN2991,0)+INDEX($AT$13:$BB$162,BO2991,0)+INDEX($BD$13:$BL$162,BP2991,0))/100))),0)</f>
        <v/>
      </c>
      <c r="BT2991">
        <f>IF(AND(2978&lt;$U$9,$W$5),BQ2991*1000000-MIN(BR2991,999)*1000+BS2991-2978/100000,-1000000000-2978)</f>
        <v/>
      </c>
    </row>
    <row r="2992">
      <c r="BN2992">
        <f>IF(2979&lt;$U$9,INT(2979/($U$7*$U$8))+1,1)</f>
        <v/>
      </c>
      <c r="BO2992">
        <f>IF(2979&lt;$U$9,MOD(INT(2979/$U$8),$U$7)+1,1)</f>
        <v/>
      </c>
      <c r="BP2992">
        <f>IF(2979&lt;$U$9,MOD(2979,$U$8)+1,1)</f>
        <v/>
      </c>
      <c r="BQ2992">
        <f>IF(2979&lt;$U$9,SUMPRODUCT(($D$10:$L$10&lt;&gt;"")*(($D$9:$L$9+INT(($S$12:$AA$12+INDEX($AJ$13:$AR$162,BN2992,0)+INDEX($AT$13:$BB$162,BO2992,0)+INDEX($BD$13:$BL$162,BP2992,0))/100))&gt;=$D$10:$L$10)),0)</f>
        <v/>
      </c>
      <c r="BR2992">
        <f>IF(2979&lt;$U$9,SUMPRODUCT(($D$10:$L$10&lt;&gt;"")*(($D$10:$L$10-($D$9:$L$9+INT(($S$12:$AA$12+INDEX($AJ$13:$AR$162,BN2992,0)+INDEX($AT$13:$BB$162,BO2992,0)+INDEX($BD$13:$BL$162,BP2992,0))/100)))&gt;0)*($D$10:$L$10-($D$9:$L$9+INT(($S$12:$AA$12+INDEX($AJ$13:$AR$162,BN2992,0)+INDEX($AT$13:$BB$162,BO2992,0)+INDEX($BD$13:$BL$162,BP2992,0))/100)))),0)</f>
        <v/>
      </c>
      <c r="BS2992">
        <f>IF(2979&lt;$U$9,SUMPRODUCT(($D$9:$L$9+INT(($S$12:$AA$12+INDEX($AJ$13:$AR$162,BN2992,0)+INDEX($AT$13:$BB$162,BO2992,0)+INDEX($BD$13:$BL$162,BP2992,0))/100))),0)</f>
        <v/>
      </c>
      <c r="BT2992">
        <f>IF(AND(2979&lt;$U$9,$W$5),BQ2992*1000000-MIN(BR2992,999)*1000+BS2992-2979/100000,-1000000000-2979)</f>
        <v/>
      </c>
    </row>
    <row r="2993">
      <c r="BN2993">
        <f>IF(2980&lt;$U$9,INT(2980/($U$7*$U$8))+1,1)</f>
        <v/>
      </c>
      <c r="BO2993">
        <f>IF(2980&lt;$U$9,MOD(INT(2980/$U$8),$U$7)+1,1)</f>
        <v/>
      </c>
      <c r="BP2993">
        <f>IF(2980&lt;$U$9,MOD(2980,$U$8)+1,1)</f>
        <v/>
      </c>
      <c r="BQ2993">
        <f>IF(2980&lt;$U$9,SUMPRODUCT(($D$10:$L$10&lt;&gt;"")*(($D$9:$L$9+INT(($S$12:$AA$12+INDEX($AJ$13:$AR$162,BN2993,0)+INDEX($AT$13:$BB$162,BO2993,0)+INDEX($BD$13:$BL$162,BP2993,0))/100))&gt;=$D$10:$L$10)),0)</f>
        <v/>
      </c>
      <c r="BR2993">
        <f>IF(2980&lt;$U$9,SUMPRODUCT(($D$10:$L$10&lt;&gt;"")*(($D$10:$L$10-($D$9:$L$9+INT(($S$12:$AA$12+INDEX($AJ$13:$AR$162,BN2993,0)+INDEX($AT$13:$BB$162,BO2993,0)+INDEX($BD$13:$BL$162,BP2993,0))/100)))&gt;0)*($D$10:$L$10-($D$9:$L$9+INT(($S$12:$AA$12+INDEX($AJ$13:$AR$162,BN2993,0)+INDEX($AT$13:$BB$162,BO2993,0)+INDEX($BD$13:$BL$162,BP2993,0))/100)))),0)</f>
        <v/>
      </c>
      <c r="BS2993">
        <f>IF(2980&lt;$U$9,SUMPRODUCT(($D$9:$L$9+INT(($S$12:$AA$12+INDEX($AJ$13:$AR$162,BN2993,0)+INDEX($AT$13:$BB$162,BO2993,0)+INDEX($BD$13:$BL$162,BP2993,0))/100))),0)</f>
        <v/>
      </c>
      <c r="BT2993">
        <f>IF(AND(2980&lt;$U$9,$W$5),BQ2993*1000000-MIN(BR2993,999)*1000+BS2993-2980/100000,-1000000000-2980)</f>
        <v/>
      </c>
    </row>
    <row r="2994">
      <c r="BN2994">
        <f>IF(2981&lt;$U$9,INT(2981/($U$7*$U$8))+1,1)</f>
        <v/>
      </c>
      <c r="BO2994">
        <f>IF(2981&lt;$U$9,MOD(INT(2981/$U$8),$U$7)+1,1)</f>
        <v/>
      </c>
      <c r="BP2994">
        <f>IF(2981&lt;$U$9,MOD(2981,$U$8)+1,1)</f>
        <v/>
      </c>
      <c r="BQ2994">
        <f>IF(2981&lt;$U$9,SUMPRODUCT(($D$10:$L$10&lt;&gt;"")*(($D$9:$L$9+INT(($S$12:$AA$12+INDEX($AJ$13:$AR$162,BN2994,0)+INDEX($AT$13:$BB$162,BO2994,0)+INDEX($BD$13:$BL$162,BP2994,0))/100))&gt;=$D$10:$L$10)),0)</f>
        <v/>
      </c>
      <c r="BR2994">
        <f>IF(2981&lt;$U$9,SUMPRODUCT(($D$10:$L$10&lt;&gt;"")*(($D$10:$L$10-($D$9:$L$9+INT(($S$12:$AA$12+INDEX($AJ$13:$AR$162,BN2994,0)+INDEX($AT$13:$BB$162,BO2994,0)+INDEX($BD$13:$BL$162,BP2994,0))/100)))&gt;0)*($D$10:$L$10-($D$9:$L$9+INT(($S$12:$AA$12+INDEX($AJ$13:$AR$162,BN2994,0)+INDEX($AT$13:$BB$162,BO2994,0)+INDEX($BD$13:$BL$162,BP2994,0))/100)))),0)</f>
        <v/>
      </c>
      <c r="BS2994">
        <f>IF(2981&lt;$U$9,SUMPRODUCT(($D$9:$L$9+INT(($S$12:$AA$12+INDEX($AJ$13:$AR$162,BN2994,0)+INDEX($AT$13:$BB$162,BO2994,0)+INDEX($BD$13:$BL$162,BP2994,0))/100))),0)</f>
        <v/>
      </c>
      <c r="BT2994">
        <f>IF(AND(2981&lt;$U$9,$W$5),BQ2994*1000000-MIN(BR2994,999)*1000+BS2994-2981/100000,-1000000000-2981)</f>
        <v/>
      </c>
    </row>
    <row r="2995">
      <c r="BN2995">
        <f>IF(2982&lt;$U$9,INT(2982/($U$7*$U$8))+1,1)</f>
        <v/>
      </c>
      <c r="BO2995">
        <f>IF(2982&lt;$U$9,MOD(INT(2982/$U$8),$U$7)+1,1)</f>
        <v/>
      </c>
      <c r="BP2995">
        <f>IF(2982&lt;$U$9,MOD(2982,$U$8)+1,1)</f>
        <v/>
      </c>
      <c r="BQ2995">
        <f>IF(2982&lt;$U$9,SUMPRODUCT(($D$10:$L$10&lt;&gt;"")*(($D$9:$L$9+INT(($S$12:$AA$12+INDEX($AJ$13:$AR$162,BN2995,0)+INDEX($AT$13:$BB$162,BO2995,0)+INDEX($BD$13:$BL$162,BP2995,0))/100))&gt;=$D$10:$L$10)),0)</f>
        <v/>
      </c>
      <c r="BR2995">
        <f>IF(2982&lt;$U$9,SUMPRODUCT(($D$10:$L$10&lt;&gt;"")*(($D$10:$L$10-($D$9:$L$9+INT(($S$12:$AA$12+INDEX($AJ$13:$AR$162,BN2995,0)+INDEX($AT$13:$BB$162,BO2995,0)+INDEX($BD$13:$BL$162,BP2995,0))/100)))&gt;0)*($D$10:$L$10-($D$9:$L$9+INT(($S$12:$AA$12+INDEX($AJ$13:$AR$162,BN2995,0)+INDEX($AT$13:$BB$162,BO2995,0)+INDEX($BD$13:$BL$162,BP2995,0))/100)))),0)</f>
        <v/>
      </c>
      <c r="BS2995">
        <f>IF(2982&lt;$U$9,SUMPRODUCT(($D$9:$L$9+INT(($S$12:$AA$12+INDEX($AJ$13:$AR$162,BN2995,0)+INDEX($AT$13:$BB$162,BO2995,0)+INDEX($BD$13:$BL$162,BP2995,0))/100))),0)</f>
        <v/>
      </c>
      <c r="BT2995">
        <f>IF(AND(2982&lt;$U$9,$W$5),BQ2995*1000000-MIN(BR2995,999)*1000+BS2995-2982/100000,-1000000000-2982)</f>
        <v/>
      </c>
    </row>
    <row r="2996">
      <c r="BN2996">
        <f>IF(2983&lt;$U$9,INT(2983/($U$7*$U$8))+1,1)</f>
        <v/>
      </c>
      <c r="BO2996">
        <f>IF(2983&lt;$U$9,MOD(INT(2983/$U$8),$U$7)+1,1)</f>
        <v/>
      </c>
      <c r="BP2996">
        <f>IF(2983&lt;$U$9,MOD(2983,$U$8)+1,1)</f>
        <v/>
      </c>
      <c r="BQ2996">
        <f>IF(2983&lt;$U$9,SUMPRODUCT(($D$10:$L$10&lt;&gt;"")*(($D$9:$L$9+INT(($S$12:$AA$12+INDEX($AJ$13:$AR$162,BN2996,0)+INDEX($AT$13:$BB$162,BO2996,0)+INDEX($BD$13:$BL$162,BP2996,0))/100))&gt;=$D$10:$L$10)),0)</f>
        <v/>
      </c>
      <c r="BR2996">
        <f>IF(2983&lt;$U$9,SUMPRODUCT(($D$10:$L$10&lt;&gt;"")*(($D$10:$L$10-($D$9:$L$9+INT(($S$12:$AA$12+INDEX($AJ$13:$AR$162,BN2996,0)+INDEX($AT$13:$BB$162,BO2996,0)+INDEX($BD$13:$BL$162,BP2996,0))/100)))&gt;0)*($D$10:$L$10-($D$9:$L$9+INT(($S$12:$AA$12+INDEX($AJ$13:$AR$162,BN2996,0)+INDEX($AT$13:$BB$162,BO2996,0)+INDEX($BD$13:$BL$162,BP2996,0))/100)))),0)</f>
        <v/>
      </c>
      <c r="BS2996">
        <f>IF(2983&lt;$U$9,SUMPRODUCT(($D$9:$L$9+INT(($S$12:$AA$12+INDEX($AJ$13:$AR$162,BN2996,0)+INDEX($AT$13:$BB$162,BO2996,0)+INDEX($BD$13:$BL$162,BP2996,0))/100))),0)</f>
        <v/>
      </c>
      <c r="BT2996">
        <f>IF(AND(2983&lt;$U$9,$W$5),BQ2996*1000000-MIN(BR2996,999)*1000+BS2996-2983/100000,-1000000000-2983)</f>
        <v/>
      </c>
    </row>
    <row r="2997">
      <c r="BN2997">
        <f>IF(2984&lt;$U$9,INT(2984/($U$7*$U$8))+1,1)</f>
        <v/>
      </c>
      <c r="BO2997">
        <f>IF(2984&lt;$U$9,MOD(INT(2984/$U$8),$U$7)+1,1)</f>
        <v/>
      </c>
      <c r="BP2997">
        <f>IF(2984&lt;$U$9,MOD(2984,$U$8)+1,1)</f>
        <v/>
      </c>
      <c r="BQ2997">
        <f>IF(2984&lt;$U$9,SUMPRODUCT(($D$10:$L$10&lt;&gt;"")*(($D$9:$L$9+INT(($S$12:$AA$12+INDEX($AJ$13:$AR$162,BN2997,0)+INDEX($AT$13:$BB$162,BO2997,0)+INDEX($BD$13:$BL$162,BP2997,0))/100))&gt;=$D$10:$L$10)),0)</f>
        <v/>
      </c>
      <c r="BR2997">
        <f>IF(2984&lt;$U$9,SUMPRODUCT(($D$10:$L$10&lt;&gt;"")*(($D$10:$L$10-($D$9:$L$9+INT(($S$12:$AA$12+INDEX($AJ$13:$AR$162,BN2997,0)+INDEX($AT$13:$BB$162,BO2997,0)+INDEX($BD$13:$BL$162,BP2997,0))/100)))&gt;0)*($D$10:$L$10-($D$9:$L$9+INT(($S$12:$AA$12+INDEX($AJ$13:$AR$162,BN2997,0)+INDEX($AT$13:$BB$162,BO2997,0)+INDEX($BD$13:$BL$162,BP2997,0))/100)))),0)</f>
        <v/>
      </c>
      <c r="BS2997">
        <f>IF(2984&lt;$U$9,SUMPRODUCT(($D$9:$L$9+INT(($S$12:$AA$12+INDEX($AJ$13:$AR$162,BN2997,0)+INDEX($AT$13:$BB$162,BO2997,0)+INDEX($BD$13:$BL$162,BP2997,0))/100))),0)</f>
        <v/>
      </c>
      <c r="BT2997">
        <f>IF(AND(2984&lt;$U$9,$W$5),BQ2997*1000000-MIN(BR2997,999)*1000+BS2997-2984/100000,-1000000000-2984)</f>
        <v/>
      </c>
    </row>
    <row r="2998">
      <c r="BN2998">
        <f>IF(2985&lt;$U$9,INT(2985/($U$7*$U$8))+1,1)</f>
        <v/>
      </c>
      <c r="BO2998">
        <f>IF(2985&lt;$U$9,MOD(INT(2985/$U$8),$U$7)+1,1)</f>
        <v/>
      </c>
      <c r="BP2998">
        <f>IF(2985&lt;$U$9,MOD(2985,$U$8)+1,1)</f>
        <v/>
      </c>
      <c r="BQ2998">
        <f>IF(2985&lt;$U$9,SUMPRODUCT(($D$10:$L$10&lt;&gt;"")*(($D$9:$L$9+INT(($S$12:$AA$12+INDEX($AJ$13:$AR$162,BN2998,0)+INDEX($AT$13:$BB$162,BO2998,0)+INDEX($BD$13:$BL$162,BP2998,0))/100))&gt;=$D$10:$L$10)),0)</f>
        <v/>
      </c>
      <c r="BR2998">
        <f>IF(2985&lt;$U$9,SUMPRODUCT(($D$10:$L$10&lt;&gt;"")*(($D$10:$L$10-($D$9:$L$9+INT(($S$12:$AA$12+INDEX($AJ$13:$AR$162,BN2998,0)+INDEX($AT$13:$BB$162,BO2998,0)+INDEX($BD$13:$BL$162,BP2998,0))/100)))&gt;0)*($D$10:$L$10-($D$9:$L$9+INT(($S$12:$AA$12+INDEX($AJ$13:$AR$162,BN2998,0)+INDEX($AT$13:$BB$162,BO2998,0)+INDEX($BD$13:$BL$162,BP2998,0))/100)))),0)</f>
        <v/>
      </c>
      <c r="BS2998">
        <f>IF(2985&lt;$U$9,SUMPRODUCT(($D$9:$L$9+INT(($S$12:$AA$12+INDEX($AJ$13:$AR$162,BN2998,0)+INDEX($AT$13:$BB$162,BO2998,0)+INDEX($BD$13:$BL$162,BP2998,0))/100))),0)</f>
        <v/>
      </c>
      <c r="BT2998">
        <f>IF(AND(2985&lt;$U$9,$W$5),BQ2998*1000000-MIN(BR2998,999)*1000+BS2998-2985/100000,-1000000000-2985)</f>
        <v/>
      </c>
    </row>
    <row r="2999">
      <c r="BN2999">
        <f>IF(2986&lt;$U$9,INT(2986/($U$7*$U$8))+1,1)</f>
        <v/>
      </c>
      <c r="BO2999">
        <f>IF(2986&lt;$U$9,MOD(INT(2986/$U$8),$U$7)+1,1)</f>
        <v/>
      </c>
      <c r="BP2999">
        <f>IF(2986&lt;$U$9,MOD(2986,$U$8)+1,1)</f>
        <v/>
      </c>
      <c r="BQ2999">
        <f>IF(2986&lt;$U$9,SUMPRODUCT(($D$10:$L$10&lt;&gt;"")*(($D$9:$L$9+INT(($S$12:$AA$12+INDEX($AJ$13:$AR$162,BN2999,0)+INDEX($AT$13:$BB$162,BO2999,0)+INDEX($BD$13:$BL$162,BP2999,0))/100))&gt;=$D$10:$L$10)),0)</f>
        <v/>
      </c>
      <c r="BR2999">
        <f>IF(2986&lt;$U$9,SUMPRODUCT(($D$10:$L$10&lt;&gt;"")*(($D$10:$L$10-($D$9:$L$9+INT(($S$12:$AA$12+INDEX($AJ$13:$AR$162,BN2999,0)+INDEX($AT$13:$BB$162,BO2999,0)+INDEX($BD$13:$BL$162,BP2999,0))/100)))&gt;0)*($D$10:$L$10-($D$9:$L$9+INT(($S$12:$AA$12+INDEX($AJ$13:$AR$162,BN2999,0)+INDEX($AT$13:$BB$162,BO2999,0)+INDEX($BD$13:$BL$162,BP2999,0))/100)))),0)</f>
        <v/>
      </c>
      <c r="BS2999">
        <f>IF(2986&lt;$U$9,SUMPRODUCT(($D$9:$L$9+INT(($S$12:$AA$12+INDEX($AJ$13:$AR$162,BN2999,0)+INDEX($AT$13:$BB$162,BO2999,0)+INDEX($BD$13:$BL$162,BP2999,0))/100))),0)</f>
        <v/>
      </c>
      <c r="BT2999">
        <f>IF(AND(2986&lt;$U$9,$W$5),BQ2999*1000000-MIN(BR2999,999)*1000+BS2999-2986/100000,-1000000000-2986)</f>
        <v/>
      </c>
    </row>
    <row r="3000">
      <c r="BN3000">
        <f>IF(2987&lt;$U$9,INT(2987/($U$7*$U$8))+1,1)</f>
        <v/>
      </c>
      <c r="BO3000">
        <f>IF(2987&lt;$U$9,MOD(INT(2987/$U$8),$U$7)+1,1)</f>
        <v/>
      </c>
      <c r="BP3000">
        <f>IF(2987&lt;$U$9,MOD(2987,$U$8)+1,1)</f>
        <v/>
      </c>
      <c r="BQ3000">
        <f>IF(2987&lt;$U$9,SUMPRODUCT(($D$10:$L$10&lt;&gt;"")*(($D$9:$L$9+INT(($S$12:$AA$12+INDEX($AJ$13:$AR$162,BN3000,0)+INDEX($AT$13:$BB$162,BO3000,0)+INDEX($BD$13:$BL$162,BP3000,0))/100))&gt;=$D$10:$L$10)),0)</f>
        <v/>
      </c>
      <c r="BR3000">
        <f>IF(2987&lt;$U$9,SUMPRODUCT(($D$10:$L$10&lt;&gt;"")*(($D$10:$L$10-($D$9:$L$9+INT(($S$12:$AA$12+INDEX($AJ$13:$AR$162,BN3000,0)+INDEX($AT$13:$BB$162,BO3000,0)+INDEX($BD$13:$BL$162,BP3000,0))/100)))&gt;0)*($D$10:$L$10-($D$9:$L$9+INT(($S$12:$AA$12+INDEX($AJ$13:$AR$162,BN3000,0)+INDEX($AT$13:$BB$162,BO3000,0)+INDEX($BD$13:$BL$162,BP3000,0))/100)))),0)</f>
        <v/>
      </c>
      <c r="BS3000">
        <f>IF(2987&lt;$U$9,SUMPRODUCT(($D$9:$L$9+INT(($S$12:$AA$12+INDEX($AJ$13:$AR$162,BN3000,0)+INDEX($AT$13:$BB$162,BO3000,0)+INDEX($BD$13:$BL$162,BP3000,0))/100))),0)</f>
        <v/>
      </c>
      <c r="BT3000">
        <f>IF(AND(2987&lt;$U$9,$W$5),BQ3000*1000000-MIN(BR3000,999)*1000+BS3000-2987/100000,-1000000000-2987)</f>
        <v/>
      </c>
    </row>
    <row r="3001">
      <c r="BN3001">
        <f>IF(2988&lt;$U$9,INT(2988/($U$7*$U$8))+1,1)</f>
        <v/>
      </c>
      <c r="BO3001">
        <f>IF(2988&lt;$U$9,MOD(INT(2988/$U$8),$U$7)+1,1)</f>
        <v/>
      </c>
      <c r="BP3001">
        <f>IF(2988&lt;$U$9,MOD(2988,$U$8)+1,1)</f>
        <v/>
      </c>
      <c r="BQ3001">
        <f>IF(2988&lt;$U$9,SUMPRODUCT(($D$10:$L$10&lt;&gt;"")*(($D$9:$L$9+INT(($S$12:$AA$12+INDEX($AJ$13:$AR$162,BN3001,0)+INDEX($AT$13:$BB$162,BO3001,0)+INDEX($BD$13:$BL$162,BP3001,0))/100))&gt;=$D$10:$L$10)),0)</f>
        <v/>
      </c>
      <c r="BR3001">
        <f>IF(2988&lt;$U$9,SUMPRODUCT(($D$10:$L$10&lt;&gt;"")*(($D$10:$L$10-($D$9:$L$9+INT(($S$12:$AA$12+INDEX($AJ$13:$AR$162,BN3001,0)+INDEX($AT$13:$BB$162,BO3001,0)+INDEX($BD$13:$BL$162,BP3001,0))/100)))&gt;0)*($D$10:$L$10-($D$9:$L$9+INT(($S$12:$AA$12+INDEX($AJ$13:$AR$162,BN3001,0)+INDEX($AT$13:$BB$162,BO3001,0)+INDEX($BD$13:$BL$162,BP3001,0))/100)))),0)</f>
        <v/>
      </c>
      <c r="BS3001">
        <f>IF(2988&lt;$U$9,SUMPRODUCT(($D$9:$L$9+INT(($S$12:$AA$12+INDEX($AJ$13:$AR$162,BN3001,0)+INDEX($AT$13:$BB$162,BO3001,0)+INDEX($BD$13:$BL$162,BP3001,0))/100))),0)</f>
        <v/>
      </c>
      <c r="BT3001">
        <f>IF(AND(2988&lt;$U$9,$W$5),BQ3001*1000000-MIN(BR3001,999)*1000+BS3001-2988/100000,-1000000000-2988)</f>
        <v/>
      </c>
    </row>
    <row r="3002">
      <c r="BN3002">
        <f>IF(2989&lt;$U$9,INT(2989/($U$7*$U$8))+1,1)</f>
        <v/>
      </c>
      <c r="BO3002">
        <f>IF(2989&lt;$U$9,MOD(INT(2989/$U$8),$U$7)+1,1)</f>
        <v/>
      </c>
      <c r="BP3002">
        <f>IF(2989&lt;$U$9,MOD(2989,$U$8)+1,1)</f>
        <v/>
      </c>
      <c r="BQ3002">
        <f>IF(2989&lt;$U$9,SUMPRODUCT(($D$10:$L$10&lt;&gt;"")*(($D$9:$L$9+INT(($S$12:$AA$12+INDEX($AJ$13:$AR$162,BN3002,0)+INDEX($AT$13:$BB$162,BO3002,0)+INDEX($BD$13:$BL$162,BP3002,0))/100))&gt;=$D$10:$L$10)),0)</f>
        <v/>
      </c>
      <c r="BR3002">
        <f>IF(2989&lt;$U$9,SUMPRODUCT(($D$10:$L$10&lt;&gt;"")*(($D$10:$L$10-($D$9:$L$9+INT(($S$12:$AA$12+INDEX($AJ$13:$AR$162,BN3002,0)+INDEX($AT$13:$BB$162,BO3002,0)+INDEX($BD$13:$BL$162,BP3002,0))/100)))&gt;0)*($D$10:$L$10-($D$9:$L$9+INT(($S$12:$AA$12+INDEX($AJ$13:$AR$162,BN3002,0)+INDEX($AT$13:$BB$162,BO3002,0)+INDEX($BD$13:$BL$162,BP3002,0))/100)))),0)</f>
        <v/>
      </c>
      <c r="BS3002">
        <f>IF(2989&lt;$U$9,SUMPRODUCT(($D$9:$L$9+INT(($S$12:$AA$12+INDEX($AJ$13:$AR$162,BN3002,0)+INDEX($AT$13:$BB$162,BO3002,0)+INDEX($BD$13:$BL$162,BP3002,0))/100))),0)</f>
        <v/>
      </c>
      <c r="BT3002">
        <f>IF(AND(2989&lt;$U$9,$W$5),BQ3002*1000000-MIN(BR3002,999)*1000+BS3002-2989/100000,-1000000000-2989)</f>
        <v/>
      </c>
    </row>
    <row r="3003">
      <c r="BN3003">
        <f>IF(2990&lt;$U$9,INT(2990/($U$7*$U$8))+1,1)</f>
        <v/>
      </c>
      <c r="BO3003">
        <f>IF(2990&lt;$U$9,MOD(INT(2990/$U$8),$U$7)+1,1)</f>
        <v/>
      </c>
      <c r="BP3003">
        <f>IF(2990&lt;$U$9,MOD(2990,$U$8)+1,1)</f>
        <v/>
      </c>
      <c r="BQ3003">
        <f>IF(2990&lt;$U$9,SUMPRODUCT(($D$10:$L$10&lt;&gt;"")*(($D$9:$L$9+INT(($S$12:$AA$12+INDEX($AJ$13:$AR$162,BN3003,0)+INDEX($AT$13:$BB$162,BO3003,0)+INDEX($BD$13:$BL$162,BP3003,0))/100))&gt;=$D$10:$L$10)),0)</f>
        <v/>
      </c>
      <c r="BR3003">
        <f>IF(2990&lt;$U$9,SUMPRODUCT(($D$10:$L$10&lt;&gt;"")*(($D$10:$L$10-($D$9:$L$9+INT(($S$12:$AA$12+INDEX($AJ$13:$AR$162,BN3003,0)+INDEX($AT$13:$BB$162,BO3003,0)+INDEX($BD$13:$BL$162,BP3003,0))/100)))&gt;0)*($D$10:$L$10-($D$9:$L$9+INT(($S$12:$AA$12+INDEX($AJ$13:$AR$162,BN3003,0)+INDEX($AT$13:$BB$162,BO3003,0)+INDEX($BD$13:$BL$162,BP3003,0))/100)))),0)</f>
        <v/>
      </c>
      <c r="BS3003">
        <f>IF(2990&lt;$U$9,SUMPRODUCT(($D$9:$L$9+INT(($S$12:$AA$12+INDEX($AJ$13:$AR$162,BN3003,0)+INDEX($AT$13:$BB$162,BO3003,0)+INDEX($BD$13:$BL$162,BP3003,0))/100))),0)</f>
        <v/>
      </c>
      <c r="BT3003">
        <f>IF(AND(2990&lt;$U$9,$W$5),BQ3003*1000000-MIN(BR3003,999)*1000+BS3003-2990/100000,-1000000000-2990)</f>
        <v/>
      </c>
    </row>
    <row r="3004">
      <c r="BN3004">
        <f>IF(2991&lt;$U$9,INT(2991/($U$7*$U$8))+1,1)</f>
        <v/>
      </c>
      <c r="BO3004">
        <f>IF(2991&lt;$U$9,MOD(INT(2991/$U$8),$U$7)+1,1)</f>
        <v/>
      </c>
      <c r="BP3004">
        <f>IF(2991&lt;$U$9,MOD(2991,$U$8)+1,1)</f>
        <v/>
      </c>
      <c r="BQ3004">
        <f>IF(2991&lt;$U$9,SUMPRODUCT(($D$10:$L$10&lt;&gt;"")*(($D$9:$L$9+INT(($S$12:$AA$12+INDEX($AJ$13:$AR$162,BN3004,0)+INDEX($AT$13:$BB$162,BO3004,0)+INDEX($BD$13:$BL$162,BP3004,0))/100))&gt;=$D$10:$L$10)),0)</f>
        <v/>
      </c>
      <c r="BR3004">
        <f>IF(2991&lt;$U$9,SUMPRODUCT(($D$10:$L$10&lt;&gt;"")*(($D$10:$L$10-($D$9:$L$9+INT(($S$12:$AA$12+INDEX($AJ$13:$AR$162,BN3004,0)+INDEX($AT$13:$BB$162,BO3004,0)+INDEX($BD$13:$BL$162,BP3004,0))/100)))&gt;0)*($D$10:$L$10-($D$9:$L$9+INT(($S$12:$AA$12+INDEX($AJ$13:$AR$162,BN3004,0)+INDEX($AT$13:$BB$162,BO3004,0)+INDEX($BD$13:$BL$162,BP3004,0))/100)))),0)</f>
        <v/>
      </c>
      <c r="BS3004">
        <f>IF(2991&lt;$U$9,SUMPRODUCT(($D$9:$L$9+INT(($S$12:$AA$12+INDEX($AJ$13:$AR$162,BN3004,0)+INDEX($AT$13:$BB$162,BO3004,0)+INDEX($BD$13:$BL$162,BP3004,0))/100))),0)</f>
        <v/>
      </c>
      <c r="BT3004">
        <f>IF(AND(2991&lt;$U$9,$W$5),BQ3004*1000000-MIN(BR3004,999)*1000+BS3004-2991/100000,-1000000000-2991)</f>
        <v/>
      </c>
    </row>
    <row r="3005">
      <c r="BN3005">
        <f>IF(2992&lt;$U$9,INT(2992/($U$7*$U$8))+1,1)</f>
        <v/>
      </c>
      <c r="BO3005">
        <f>IF(2992&lt;$U$9,MOD(INT(2992/$U$8),$U$7)+1,1)</f>
        <v/>
      </c>
      <c r="BP3005">
        <f>IF(2992&lt;$U$9,MOD(2992,$U$8)+1,1)</f>
        <v/>
      </c>
      <c r="BQ3005">
        <f>IF(2992&lt;$U$9,SUMPRODUCT(($D$10:$L$10&lt;&gt;"")*(($D$9:$L$9+INT(($S$12:$AA$12+INDEX($AJ$13:$AR$162,BN3005,0)+INDEX($AT$13:$BB$162,BO3005,0)+INDEX($BD$13:$BL$162,BP3005,0))/100))&gt;=$D$10:$L$10)),0)</f>
        <v/>
      </c>
      <c r="BR3005">
        <f>IF(2992&lt;$U$9,SUMPRODUCT(($D$10:$L$10&lt;&gt;"")*(($D$10:$L$10-($D$9:$L$9+INT(($S$12:$AA$12+INDEX($AJ$13:$AR$162,BN3005,0)+INDEX($AT$13:$BB$162,BO3005,0)+INDEX($BD$13:$BL$162,BP3005,0))/100)))&gt;0)*($D$10:$L$10-($D$9:$L$9+INT(($S$12:$AA$12+INDEX($AJ$13:$AR$162,BN3005,0)+INDEX($AT$13:$BB$162,BO3005,0)+INDEX($BD$13:$BL$162,BP3005,0))/100)))),0)</f>
        <v/>
      </c>
      <c r="BS3005">
        <f>IF(2992&lt;$U$9,SUMPRODUCT(($D$9:$L$9+INT(($S$12:$AA$12+INDEX($AJ$13:$AR$162,BN3005,0)+INDEX($AT$13:$BB$162,BO3005,0)+INDEX($BD$13:$BL$162,BP3005,0))/100))),0)</f>
        <v/>
      </c>
      <c r="BT3005">
        <f>IF(AND(2992&lt;$U$9,$W$5),BQ3005*1000000-MIN(BR3005,999)*1000+BS3005-2992/100000,-1000000000-2992)</f>
        <v/>
      </c>
    </row>
    <row r="3006">
      <c r="BN3006">
        <f>IF(2993&lt;$U$9,INT(2993/($U$7*$U$8))+1,1)</f>
        <v/>
      </c>
      <c r="BO3006">
        <f>IF(2993&lt;$U$9,MOD(INT(2993/$U$8),$U$7)+1,1)</f>
        <v/>
      </c>
      <c r="BP3006">
        <f>IF(2993&lt;$U$9,MOD(2993,$U$8)+1,1)</f>
        <v/>
      </c>
      <c r="BQ3006">
        <f>IF(2993&lt;$U$9,SUMPRODUCT(($D$10:$L$10&lt;&gt;"")*(($D$9:$L$9+INT(($S$12:$AA$12+INDEX($AJ$13:$AR$162,BN3006,0)+INDEX($AT$13:$BB$162,BO3006,0)+INDEX($BD$13:$BL$162,BP3006,0))/100))&gt;=$D$10:$L$10)),0)</f>
        <v/>
      </c>
      <c r="BR3006">
        <f>IF(2993&lt;$U$9,SUMPRODUCT(($D$10:$L$10&lt;&gt;"")*(($D$10:$L$10-($D$9:$L$9+INT(($S$12:$AA$12+INDEX($AJ$13:$AR$162,BN3006,0)+INDEX($AT$13:$BB$162,BO3006,0)+INDEX($BD$13:$BL$162,BP3006,0))/100)))&gt;0)*($D$10:$L$10-($D$9:$L$9+INT(($S$12:$AA$12+INDEX($AJ$13:$AR$162,BN3006,0)+INDEX($AT$13:$BB$162,BO3006,0)+INDEX($BD$13:$BL$162,BP3006,0))/100)))),0)</f>
        <v/>
      </c>
      <c r="BS3006">
        <f>IF(2993&lt;$U$9,SUMPRODUCT(($D$9:$L$9+INT(($S$12:$AA$12+INDEX($AJ$13:$AR$162,BN3006,0)+INDEX($AT$13:$BB$162,BO3006,0)+INDEX($BD$13:$BL$162,BP3006,0))/100))),0)</f>
        <v/>
      </c>
      <c r="BT3006">
        <f>IF(AND(2993&lt;$U$9,$W$5),BQ3006*1000000-MIN(BR3006,999)*1000+BS3006-2993/100000,-1000000000-2993)</f>
        <v/>
      </c>
    </row>
    <row r="3007">
      <c r="BN3007">
        <f>IF(2994&lt;$U$9,INT(2994/($U$7*$U$8))+1,1)</f>
        <v/>
      </c>
      <c r="BO3007">
        <f>IF(2994&lt;$U$9,MOD(INT(2994/$U$8),$U$7)+1,1)</f>
        <v/>
      </c>
      <c r="BP3007">
        <f>IF(2994&lt;$U$9,MOD(2994,$U$8)+1,1)</f>
        <v/>
      </c>
      <c r="BQ3007">
        <f>IF(2994&lt;$U$9,SUMPRODUCT(($D$10:$L$10&lt;&gt;"")*(($D$9:$L$9+INT(($S$12:$AA$12+INDEX($AJ$13:$AR$162,BN3007,0)+INDEX($AT$13:$BB$162,BO3007,0)+INDEX($BD$13:$BL$162,BP3007,0))/100))&gt;=$D$10:$L$10)),0)</f>
        <v/>
      </c>
      <c r="BR3007">
        <f>IF(2994&lt;$U$9,SUMPRODUCT(($D$10:$L$10&lt;&gt;"")*(($D$10:$L$10-($D$9:$L$9+INT(($S$12:$AA$12+INDEX($AJ$13:$AR$162,BN3007,0)+INDEX($AT$13:$BB$162,BO3007,0)+INDEX($BD$13:$BL$162,BP3007,0))/100)))&gt;0)*($D$10:$L$10-($D$9:$L$9+INT(($S$12:$AA$12+INDEX($AJ$13:$AR$162,BN3007,0)+INDEX($AT$13:$BB$162,BO3007,0)+INDEX($BD$13:$BL$162,BP3007,0))/100)))),0)</f>
        <v/>
      </c>
      <c r="BS3007">
        <f>IF(2994&lt;$U$9,SUMPRODUCT(($D$9:$L$9+INT(($S$12:$AA$12+INDEX($AJ$13:$AR$162,BN3007,0)+INDEX($AT$13:$BB$162,BO3007,0)+INDEX($BD$13:$BL$162,BP3007,0))/100))),0)</f>
        <v/>
      </c>
      <c r="BT3007">
        <f>IF(AND(2994&lt;$U$9,$W$5),BQ3007*1000000-MIN(BR3007,999)*1000+BS3007-2994/100000,-1000000000-2994)</f>
        <v/>
      </c>
    </row>
    <row r="3008">
      <c r="BN3008">
        <f>IF(2995&lt;$U$9,INT(2995/($U$7*$U$8))+1,1)</f>
        <v/>
      </c>
      <c r="BO3008">
        <f>IF(2995&lt;$U$9,MOD(INT(2995/$U$8),$U$7)+1,1)</f>
        <v/>
      </c>
      <c r="BP3008">
        <f>IF(2995&lt;$U$9,MOD(2995,$U$8)+1,1)</f>
        <v/>
      </c>
      <c r="BQ3008">
        <f>IF(2995&lt;$U$9,SUMPRODUCT(($D$10:$L$10&lt;&gt;"")*(($D$9:$L$9+INT(($S$12:$AA$12+INDEX($AJ$13:$AR$162,BN3008,0)+INDEX($AT$13:$BB$162,BO3008,0)+INDEX($BD$13:$BL$162,BP3008,0))/100))&gt;=$D$10:$L$10)),0)</f>
        <v/>
      </c>
      <c r="BR3008">
        <f>IF(2995&lt;$U$9,SUMPRODUCT(($D$10:$L$10&lt;&gt;"")*(($D$10:$L$10-($D$9:$L$9+INT(($S$12:$AA$12+INDEX($AJ$13:$AR$162,BN3008,0)+INDEX($AT$13:$BB$162,BO3008,0)+INDEX($BD$13:$BL$162,BP3008,0))/100)))&gt;0)*($D$10:$L$10-($D$9:$L$9+INT(($S$12:$AA$12+INDEX($AJ$13:$AR$162,BN3008,0)+INDEX($AT$13:$BB$162,BO3008,0)+INDEX($BD$13:$BL$162,BP3008,0))/100)))),0)</f>
        <v/>
      </c>
      <c r="BS3008">
        <f>IF(2995&lt;$U$9,SUMPRODUCT(($D$9:$L$9+INT(($S$12:$AA$12+INDEX($AJ$13:$AR$162,BN3008,0)+INDEX($AT$13:$BB$162,BO3008,0)+INDEX($BD$13:$BL$162,BP3008,0))/100))),0)</f>
        <v/>
      </c>
      <c r="BT3008">
        <f>IF(AND(2995&lt;$U$9,$W$5),BQ3008*1000000-MIN(BR3008,999)*1000+BS3008-2995/100000,-1000000000-2995)</f>
        <v/>
      </c>
    </row>
    <row r="3009">
      <c r="BN3009">
        <f>IF(2996&lt;$U$9,INT(2996/($U$7*$U$8))+1,1)</f>
        <v/>
      </c>
      <c r="BO3009">
        <f>IF(2996&lt;$U$9,MOD(INT(2996/$U$8),$U$7)+1,1)</f>
        <v/>
      </c>
      <c r="BP3009">
        <f>IF(2996&lt;$U$9,MOD(2996,$U$8)+1,1)</f>
        <v/>
      </c>
      <c r="BQ3009">
        <f>IF(2996&lt;$U$9,SUMPRODUCT(($D$10:$L$10&lt;&gt;"")*(($D$9:$L$9+INT(($S$12:$AA$12+INDEX($AJ$13:$AR$162,BN3009,0)+INDEX($AT$13:$BB$162,BO3009,0)+INDEX($BD$13:$BL$162,BP3009,0))/100))&gt;=$D$10:$L$10)),0)</f>
        <v/>
      </c>
      <c r="BR3009">
        <f>IF(2996&lt;$U$9,SUMPRODUCT(($D$10:$L$10&lt;&gt;"")*(($D$10:$L$10-($D$9:$L$9+INT(($S$12:$AA$12+INDEX($AJ$13:$AR$162,BN3009,0)+INDEX($AT$13:$BB$162,BO3009,0)+INDEX($BD$13:$BL$162,BP3009,0))/100)))&gt;0)*($D$10:$L$10-($D$9:$L$9+INT(($S$12:$AA$12+INDEX($AJ$13:$AR$162,BN3009,0)+INDEX($AT$13:$BB$162,BO3009,0)+INDEX($BD$13:$BL$162,BP3009,0))/100)))),0)</f>
        <v/>
      </c>
      <c r="BS3009">
        <f>IF(2996&lt;$U$9,SUMPRODUCT(($D$9:$L$9+INT(($S$12:$AA$12+INDEX($AJ$13:$AR$162,BN3009,0)+INDEX($AT$13:$BB$162,BO3009,0)+INDEX($BD$13:$BL$162,BP3009,0))/100))),0)</f>
        <v/>
      </c>
      <c r="BT3009">
        <f>IF(AND(2996&lt;$U$9,$W$5),BQ3009*1000000-MIN(BR3009,999)*1000+BS3009-2996/100000,-1000000000-2996)</f>
        <v/>
      </c>
    </row>
    <row r="3010">
      <c r="BN3010">
        <f>IF(2997&lt;$U$9,INT(2997/($U$7*$U$8))+1,1)</f>
        <v/>
      </c>
      <c r="BO3010">
        <f>IF(2997&lt;$U$9,MOD(INT(2997/$U$8),$U$7)+1,1)</f>
        <v/>
      </c>
      <c r="BP3010">
        <f>IF(2997&lt;$U$9,MOD(2997,$U$8)+1,1)</f>
        <v/>
      </c>
      <c r="BQ3010">
        <f>IF(2997&lt;$U$9,SUMPRODUCT(($D$10:$L$10&lt;&gt;"")*(($D$9:$L$9+INT(($S$12:$AA$12+INDEX($AJ$13:$AR$162,BN3010,0)+INDEX($AT$13:$BB$162,BO3010,0)+INDEX($BD$13:$BL$162,BP3010,0))/100))&gt;=$D$10:$L$10)),0)</f>
        <v/>
      </c>
      <c r="BR3010">
        <f>IF(2997&lt;$U$9,SUMPRODUCT(($D$10:$L$10&lt;&gt;"")*(($D$10:$L$10-($D$9:$L$9+INT(($S$12:$AA$12+INDEX($AJ$13:$AR$162,BN3010,0)+INDEX($AT$13:$BB$162,BO3010,0)+INDEX($BD$13:$BL$162,BP3010,0))/100)))&gt;0)*($D$10:$L$10-($D$9:$L$9+INT(($S$12:$AA$12+INDEX($AJ$13:$AR$162,BN3010,0)+INDEX($AT$13:$BB$162,BO3010,0)+INDEX($BD$13:$BL$162,BP3010,0))/100)))),0)</f>
        <v/>
      </c>
      <c r="BS3010">
        <f>IF(2997&lt;$U$9,SUMPRODUCT(($D$9:$L$9+INT(($S$12:$AA$12+INDEX($AJ$13:$AR$162,BN3010,0)+INDEX($AT$13:$BB$162,BO3010,0)+INDEX($BD$13:$BL$162,BP3010,0))/100))),0)</f>
        <v/>
      </c>
      <c r="BT3010">
        <f>IF(AND(2997&lt;$U$9,$W$5),BQ3010*1000000-MIN(BR3010,999)*1000+BS3010-2997/100000,-1000000000-2997)</f>
        <v/>
      </c>
    </row>
    <row r="3011">
      <c r="BN3011">
        <f>IF(2998&lt;$U$9,INT(2998/($U$7*$U$8))+1,1)</f>
        <v/>
      </c>
      <c r="BO3011">
        <f>IF(2998&lt;$U$9,MOD(INT(2998/$U$8),$U$7)+1,1)</f>
        <v/>
      </c>
      <c r="BP3011">
        <f>IF(2998&lt;$U$9,MOD(2998,$U$8)+1,1)</f>
        <v/>
      </c>
      <c r="BQ3011">
        <f>IF(2998&lt;$U$9,SUMPRODUCT(($D$10:$L$10&lt;&gt;"")*(($D$9:$L$9+INT(($S$12:$AA$12+INDEX($AJ$13:$AR$162,BN3011,0)+INDEX($AT$13:$BB$162,BO3011,0)+INDEX($BD$13:$BL$162,BP3011,0))/100))&gt;=$D$10:$L$10)),0)</f>
        <v/>
      </c>
      <c r="BR3011">
        <f>IF(2998&lt;$U$9,SUMPRODUCT(($D$10:$L$10&lt;&gt;"")*(($D$10:$L$10-($D$9:$L$9+INT(($S$12:$AA$12+INDEX($AJ$13:$AR$162,BN3011,0)+INDEX($AT$13:$BB$162,BO3011,0)+INDEX($BD$13:$BL$162,BP3011,0))/100)))&gt;0)*($D$10:$L$10-($D$9:$L$9+INT(($S$12:$AA$12+INDEX($AJ$13:$AR$162,BN3011,0)+INDEX($AT$13:$BB$162,BO3011,0)+INDEX($BD$13:$BL$162,BP3011,0))/100)))),0)</f>
        <v/>
      </c>
      <c r="BS3011">
        <f>IF(2998&lt;$U$9,SUMPRODUCT(($D$9:$L$9+INT(($S$12:$AA$12+INDEX($AJ$13:$AR$162,BN3011,0)+INDEX($AT$13:$BB$162,BO3011,0)+INDEX($BD$13:$BL$162,BP3011,0))/100))),0)</f>
        <v/>
      </c>
      <c r="BT3011">
        <f>IF(AND(2998&lt;$U$9,$W$5),BQ3011*1000000-MIN(BR3011,999)*1000+BS3011-2998/100000,-1000000000-2998)</f>
        <v/>
      </c>
    </row>
    <row r="3012">
      <c r="BN3012">
        <f>IF(2999&lt;$U$9,INT(2999/($U$7*$U$8))+1,1)</f>
        <v/>
      </c>
      <c r="BO3012">
        <f>IF(2999&lt;$U$9,MOD(INT(2999/$U$8),$U$7)+1,1)</f>
        <v/>
      </c>
      <c r="BP3012">
        <f>IF(2999&lt;$U$9,MOD(2999,$U$8)+1,1)</f>
        <v/>
      </c>
      <c r="BQ3012">
        <f>IF(2999&lt;$U$9,SUMPRODUCT(($D$10:$L$10&lt;&gt;"")*(($D$9:$L$9+INT(($S$12:$AA$12+INDEX($AJ$13:$AR$162,BN3012,0)+INDEX($AT$13:$BB$162,BO3012,0)+INDEX($BD$13:$BL$162,BP3012,0))/100))&gt;=$D$10:$L$10)),0)</f>
        <v/>
      </c>
      <c r="BR3012">
        <f>IF(2999&lt;$U$9,SUMPRODUCT(($D$10:$L$10&lt;&gt;"")*(($D$10:$L$10-($D$9:$L$9+INT(($S$12:$AA$12+INDEX($AJ$13:$AR$162,BN3012,0)+INDEX($AT$13:$BB$162,BO3012,0)+INDEX($BD$13:$BL$162,BP3012,0))/100)))&gt;0)*($D$10:$L$10-($D$9:$L$9+INT(($S$12:$AA$12+INDEX($AJ$13:$AR$162,BN3012,0)+INDEX($AT$13:$BB$162,BO3012,0)+INDEX($BD$13:$BL$162,BP3012,0))/100)))),0)</f>
        <v/>
      </c>
      <c r="BS3012">
        <f>IF(2999&lt;$U$9,SUMPRODUCT(($D$9:$L$9+INT(($S$12:$AA$12+INDEX($AJ$13:$AR$162,BN3012,0)+INDEX($AT$13:$BB$162,BO3012,0)+INDEX($BD$13:$BL$162,BP3012,0))/100))),0)</f>
        <v/>
      </c>
      <c r="BT3012">
        <f>IF(AND(2999&lt;$U$9,$W$5),BQ3012*1000000-MIN(BR3012,999)*1000+BS3012-2999/100000,-1000000000-2999)</f>
        <v/>
      </c>
    </row>
    <row r="3013">
      <c r="BN3013">
        <f>IF(3000&lt;$U$9,INT(3000/($U$7*$U$8))+1,1)</f>
        <v/>
      </c>
      <c r="BO3013">
        <f>IF(3000&lt;$U$9,MOD(INT(3000/$U$8),$U$7)+1,1)</f>
        <v/>
      </c>
      <c r="BP3013">
        <f>IF(3000&lt;$U$9,MOD(3000,$U$8)+1,1)</f>
        <v/>
      </c>
      <c r="BQ3013">
        <f>IF(3000&lt;$U$9,SUMPRODUCT(($D$10:$L$10&lt;&gt;"")*(($D$9:$L$9+INT(($S$12:$AA$12+INDEX($AJ$13:$AR$162,BN3013,0)+INDEX($AT$13:$BB$162,BO3013,0)+INDEX($BD$13:$BL$162,BP3013,0))/100))&gt;=$D$10:$L$10)),0)</f>
        <v/>
      </c>
      <c r="BR3013">
        <f>IF(3000&lt;$U$9,SUMPRODUCT(($D$10:$L$10&lt;&gt;"")*(($D$10:$L$10-($D$9:$L$9+INT(($S$12:$AA$12+INDEX($AJ$13:$AR$162,BN3013,0)+INDEX($AT$13:$BB$162,BO3013,0)+INDEX($BD$13:$BL$162,BP3013,0))/100)))&gt;0)*($D$10:$L$10-($D$9:$L$9+INT(($S$12:$AA$12+INDEX($AJ$13:$AR$162,BN3013,0)+INDEX($AT$13:$BB$162,BO3013,0)+INDEX($BD$13:$BL$162,BP3013,0))/100)))),0)</f>
        <v/>
      </c>
      <c r="BS3013">
        <f>IF(3000&lt;$U$9,SUMPRODUCT(($D$9:$L$9+INT(($S$12:$AA$12+INDEX($AJ$13:$AR$162,BN3013,0)+INDEX($AT$13:$BB$162,BO3013,0)+INDEX($BD$13:$BL$162,BP3013,0))/100))),0)</f>
        <v/>
      </c>
      <c r="BT3013">
        <f>IF(AND(3000&lt;$U$9,$W$5),BQ3013*1000000-MIN(BR3013,999)*1000+BS3013-3000/100000,-1000000000-3000)</f>
        <v/>
      </c>
    </row>
    <row r="3014">
      <c r="BN3014">
        <f>IF(3001&lt;$U$9,INT(3001/($U$7*$U$8))+1,1)</f>
        <v/>
      </c>
      <c r="BO3014">
        <f>IF(3001&lt;$U$9,MOD(INT(3001/$U$8),$U$7)+1,1)</f>
        <v/>
      </c>
      <c r="BP3014">
        <f>IF(3001&lt;$U$9,MOD(3001,$U$8)+1,1)</f>
        <v/>
      </c>
      <c r="BQ3014">
        <f>IF(3001&lt;$U$9,SUMPRODUCT(($D$10:$L$10&lt;&gt;"")*(($D$9:$L$9+INT(($S$12:$AA$12+INDEX($AJ$13:$AR$162,BN3014,0)+INDEX($AT$13:$BB$162,BO3014,0)+INDEX($BD$13:$BL$162,BP3014,0))/100))&gt;=$D$10:$L$10)),0)</f>
        <v/>
      </c>
      <c r="BR3014">
        <f>IF(3001&lt;$U$9,SUMPRODUCT(($D$10:$L$10&lt;&gt;"")*(($D$10:$L$10-($D$9:$L$9+INT(($S$12:$AA$12+INDEX($AJ$13:$AR$162,BN3014,0)+INDEX($AT$13:$BB$162,BO3014,0)+INDEX($BD$13:$BL$162,BP3014,0))/100)))&gt;0)*($D$10:$L$10-($D$9:$L$9+INT(($S$12:$AA$12+INDEX($AJ$13:$AR$162,BN3014,0)+INDEX($AT$13:$BB$162,BO3014,0)+INDEX($BD$13:$BL$162,BP3014,0))/100)))),0)</f>
        <v/>
      </c>
      <c r="BS3014">
        <f>IF(3001&lt;$U$9,SUMPRODUCT(($D$9:$L$9+INT(($S$12:$AA$12+INDEX($AJ$13:$AR$162,BN3014,0)+INDEX($AT$13:$BB$162,BO3014,0)+INDEX($BD$13:$BL$162,BP3014,0))/100))),0)</f>
        <v/>
      </c>
      <c r="BT3014">
        <f>IF(AND(3001&lt;$U$9,$W$5),BQ3014*1000000-MIN(BR3014,999)*1000+BS3014-3001/100000,-1000000000-3001)</f>
        <v/>
      </c>
    </row>
    <row r="3015">
      <c r="BN3015">
        <f>IF(3002&lt;$U$9,INT(3002/($U$7*$U$8))+1,1)</f>
        <v/>
      </c>
      <c r="BO3015">
        <f>IF(3002&lt;$U$9,MOD(INT(3002/$U$8),$U$7)+1,1)</f>
        <v/>
      </c>
      <c r="BP3015">
        <f>IF(3002&lt;$U$9,MOD(3002,$U$8)+1,1)</f>
        <v/>
      </c>
      <c r="BQ3015">
        <f>IF(3002&lt;$U$9,SUMPRODUCT(($D$10:$L$10&lt;&gt;"")*(($D$9:$L$9+INT(($S$12:$AA$12+INDEX($AJ$13:$AR$162,BN3015,0)+INDEX($AT$13:$BB$162,BO3015,0)+INDEX($BD$13:$BL$162,BP3015,0))/100))&gt;=$D$10:$L$10)),0)</f>
        <v/>
      </c>
      <c r="BR3015">
        <f>IF(3002&lt;$U$9,SUMPRODUCT(($D$10:$L$10&lt;&gt;"")*(($D$10:$L$10-($D$9:$L$9+INT(($S$12:$AA$12+INDEX($AJ$13:$AR$162,BN3015,0)+INDEX($AT$13:$BB$162,BO3015,0)+INDEX($BD$13:$BL$162,BP3015,0))/100)))&gt;0)*($D$10:$L$10-($D$9:$L$9+INT(($S$12:$AA$12+INDEX($AJ$13:$AR$162,BN3015,0)+INDEX($AT$13:$BB$162,BO3015,0)+INDEX($BD$13:$BL$162,BP3015,0))/100)))),0)</f>
        <v/>
      </c>
      <c r="BS3015">
        <f>IF(3002&lt;$U$9,SUMPRODUCT(($D$9:$L$9+INT(($S$12:$AA$12+INDEX($AJ$13:$AR$162,BN3015,0)+INDEX($AT$13:$BB$162,BO3015,0)+INDEX($BD$13:$BL$162,BP3015,0))/100))),0)</f>
        <v/>
      </c>
      <c r="BT3015">
        <f>IF(AND(3002&lt;$U$9,$W$5),BQ3015*1000000-MIN(BR3015,999)*1000+BS3015-3002/100000,-1000000000-3002)</f>
        <v/>
      </c>
    </row>
    <row r="3016">
      <c r="BN3016">
        <f>IF(3003&lt;$U$9,INT(3003/($U$7*$U$8))+1,1)</f>
        <v/>
      </c>
      <c r="BO3016">
        <f>IF(3003&lt;$U$9,MOD(INT(3003/$U$8),$U$7)+1,1)</f>
        <v/>
      </c>
      <c r="BP3016">
        <f>IF(3003&lt;$U$9,MOD(3003,$U$8)+1,1)</f>
        <v/>
      </c>
      <c r="BQ3016">
        <f>IF(3003&lt;$U$9,SUMPRODUCT(($D$10:$L$10&lt;&gt;"")*(($D$9:$L$9+INT(($S$12:$AA$12+INDEX($AJ$13:$AR$162,BN3016,0)+INDEX($AT$13:$BB$162,BO3016,0)+INDEX($BD$13:$BL$162,BP3016,0))/100))&gt;=$D$10:$L$10)),0)</f>
        <v/>
      </c>
      <c r="BR3016">
        <f>IF(3003&lt;$U$9,SUMPRODUCT(($D$10:$L$10&lt;&gt;"")*(($D$10:$L$10-($D$9:$L$9+INT(($S$12:$AA$12+INDEX($AJ$13:$AR$162,BN3016,0)+INDEX($AT$13:$BB$162,BO3016,0)+INDEX($BD$13:$BL$162,BP3016,0))/100)))&gt;0)*($D$10:$L$10-($D$9:$L$9+INT(($S$12:$AA$12+INDEX($AJ$13:$AR$162,BN3016,0)+INDEX($AT$13:$BB$162,BO3016,0)+INDEX($BD$13:$BL$162,BP3016,0))/100)))),0)</f>
        <v/>
      </c>
      <c r="BS3016">
        <f>IF(3003&lt;$U$9,SUMPRODUCT(($D$9:$L$9+INT(($S$12:$AA$12+INDEX($AJ$13:$AR$162,BN3016,0)+INDEX($AT$13:$BB$162,BO3016,0)+INDEX($BD$13:$BL$162,BP3016,0))/100))),0)</f>
        <v/>
      </c>
      <c r="BT3016">
        <f>IF(AND(3003&lt;$U$9,$W$5),BQ3016*1000000-MIN(BR3016,999)*1000+BS3016-3003/100000,-1000000000-3003)</f>
        <v/>
      </c>
    </row>
    <row r="3017">
      <c r="BN3017">
        <f>IF(3004&lt;$U$9,INT(3004/($U$7*$U$8))+1,1)</f>
        <v/>
      </c>
      <c r="BO3017">
        <f>IF(3004&lt;$U$9,MOD(INT(3004/$U$8),$U$7)+1,1)</f>
        <v/>
      </c>
      <c r="BP3017">
        <f>IF(3004&lt;$U$9,MOD(3004,$U$8)+1,1)</f>
        <v/>
      </c>
      <c r="BQ3017">
        <f>IF(3004&lt;$U$9,SUMPRODUCT(($D$10:$L$10&lt;&gt;"")*(($D$9:$L$9+INT(($S$12:$AA$12+INDEX($AJ$13:$AR$162,BN3017,0)+INDEX($AT$13:$BB$162,BO3017,0)+INDEX($BD$13:$BL$162,BP3017,0))/100))&gt;=$D$10:$L$10)),0)</f>
        <v/>
      </c>
      <c r="BR3017">
        <f>IF(3004&lt;$U$9,SUMPRODUCT(($D$10:$L$10&lt;&gt;"")*(($D$10:$L$10-($D$9:$L$9+INT(($S$12:$AA$12+INDEX($AJ$13:$AR$162,BN3017,0)+INDEX($AT$13:$BB$162,BO3017,0)+INDEX($BD$13:$BL$162,BP3017,0))/100)))&gt;0)*($D$10:$L$10-($D$9:$L$9+INT(($S$12:$AA$12+INDEX($AJ$13:$AR$162,BN3017,0)+INDEX($AT$13:$BB$162,BO3017,0)+INDEX($BD$13:$BL$162,BP3017,0))/100)))),0)</f>
        <v/>
      </c>
      <c r="BS3017">
        <f>IF(3004&lt;$U$9,SUMPRODUCT(($D$9:$L$9+INT(($S$12:$AA$12+INDEX($AJ$13:$AR$162,BN3017,0)+INDEX($AT$13:$BB$162,BO3017,0)+INDEX($BD$13:$BL$162,BP3017,0))/100))),0)</f>
        <v/>
      </c>
      <c r="BT3017">
        <f>IF(AND(3004&lt;$U$9,$W$5),BQ3017*1000000-MIN(BR3017,999)*1000+BS3017-3004/100000,-1000000000-3004)</f>
        <v/>
      </c>
    </row>
    <row r="3018">
      <c r="BN3018">
        <f>IF(3005&lt;$U$9,INT(3005/($U$7*$U$8))+1,1)</f>
        <v/>
      </c>
      <c r="BO3018">
        <f>IF(3005&lt;$U$9,MOD(INT(3005/$U$8),$U$7)+1,1)</f>
        <v/>
      </c>
      <c r="BP3018">
        <f>IF(3005&lt;$U$9,MOD(3005,$U$8)+1,1)</f>
        <v/>
      </c>
      <c r="BQ3018">
        <f>IF(3005&lt;$U$9,SUMPRODUCT(($D$10:$L$10&lt;&gt;"")*(($D$9:$L$9+INT(($S$12:$AA$12+INDEX($AJ$13:$AR$162,BN3018,0)+INDEX($AT$13:$BB$162,BO3018,0)+INDEX($BD$13:$BL$162,BP3018,0))/100))&gt;=$D$10:$L$10)),0)</f>
        <v/>
      </c>
      <c r="BR3018">
        <f>IF(3005&lt;$U$9,SUMPRODUCT(($D$10:$L$10&lt;&gt;"")*(($D$10:$L$10-($D$9:$L$9+INT(($S$12:$AA$12+INDEX($AJ$13:$AR$162,BN3018,0)+INDEX($AT$13:$BB$162,BO3018,0)+INDEX($BD$13:$BL$162,BP3018,0))/100)))&gt;0)*($D$10:$L$10-($D$9:$L$9+INT(($S$12:$AA$12+INDEX($AJ$13:$AR$162,BN3018,0)+INDEX($AT$13:$BB$162,BO3018,0)+INDEX($BD$13:$BL$162,BP3018,0))/100)))),0)</f>
        <v/>
      </c>
      <c r="BS3018">
        <f>IF(3005&lt;$U$9,SUMPRODUCT(($D$9:$L$9+INT(($S$12:$AA$12+INDEX($AJ$13:$AR$162,BN3018,0)+INDEX($AT$13:$BB$162,BO3018,0)+INDEX($BD$13:$BL$162,BP3018,0))/100))),0)</f>
        <v/>
      </c>
      <c r="BT3018">
        <f>IF(AND(3005&lt;$U$9,$W$5),BQ3018*1000000-MIN(BR3018,999)*1000+BS3018-3005/100000,-1000000000-3005)</f>
        <v/>
      </c>
    </row>
    <row r="3019">
      <c r="BN3019">
        <f>IF(3006&lt;$U$9,INT(3006/($U$7*$U$8))+1,1)</f>
        <v/>
      </c>
      <c r="BO3019">
        <f>IF(3006&lt;$U$9,MOD(INT(3006/$U$8),$U$7)+1,1)</f>
        <v/>
      </c>
      <c r="BP3019">
        <f>IF(3006&lt;$U$9,MOD(3006,$U$8)+1,1)</f>
        <v/>
      </c>
      <c r="BQ3019">
        <f>IF(3006&lt;$U$9,SUMPRODUCT(($D$10:$L$10&lt;&gt;"")*(($D$9:$L$9+INT(($S$12:$AA$12+INDEX($AJ$13:$AR$162,BN3019,0)+INDEX($AT$13:$BB$162,BO3019,0)+INDEX($BD$13:$BL$162,BP3019,0))/100))&gt;=$D$10:$L$10)),0)</f>
        <v/>
      </c>
      <c r="BR3019">
        <f>IF(3006&lt;$U$9,SUMPRODUCT(($D$10:$L$10&lt;&gt;"")*(($D$10:$L$10-($D$9:$L$9+INT(($S$12:$AA$12+INDEX($AJ$13:$AR$162,BN3019,0)+INDEX($AT$13:$BB$162,BO3019,0)+INDEX($BD$13:$BL$162,BP3019,0))/100)))&gt;0)*($D$10:$L$10-($D$9:$L$9+INT(($S$12:$AA$12+INDEX($AJ$13:$AR$162,BN3019,0)+INDEX($AT$13:$BB$162,BO3019,0)+INDEX($BD$13:$BL$162,BP3019,0))/100)))),0)</f>
        <v/>
      </c>
      <c r="BS3019">
        <f>IF(3006&lt;$U$9,SUMPRODUCT(($D$9:$L$9+INT(($S$12:$AA$12+INDEX($AJ$13:$AR$162,BN3019,0)+INDEX($AT$13:$BB$162,BO3019,0)+INDEX($BD$13:$BL$162,BP3019,0))/100))),0)</f>
        <v/>
      </c>
      <c r="BT3019">
        <f>IF(AND(3006&lt;$U$9,$W$5),BQ3019*1000000-MIN(BR3019,999)*1000+BS3019-3006/100000,-1000000000-3006)</f>
        <v/>
      </c>
    </row>
    <row r="3020">
      <c r="BN3020">
        <f>IF(3007&lt;$U$9,INT(3007/($U$7*$U$8))+1,1)</f>
        <v/>
      </c>
      <c r="BO3020">
        <f>IF(3007&lt;$U$9,MOD(INT(3007/$U$8),$U$7)+1,1)</f>
        <v/>
      </c>
      <c r="BP3020">
        <f>IF(3007&lt;$U$9,MOD(3007,$U$8)+1,1)</f>
        <v/>
      </c>
      <c r="BQ3020">
        <f>IF(3007&lt;$U$9,SUMPRODUCT(($D$10:$L$10&lt;&gt;"")*(($D$9:$L$9+INT(($S$12:$AA$12+INDEX($AJ$13:$AR$162,BN3020,0)+INDEX($AT$13:$BB$162,BO3020,0)+INDEX($BD$13:$BL$162,BP3020,0))/100))&gt;=$D$10:$L$10)),0)</f>
        <v/>
      </c>
      <c r="BR3020">
        <f>IF(3007&lt;$U$9,SUMPRODUCT(($D$10:$L$10&lt;&gt;"")*(($D$10:$L$10-($D$9:$L$9+INT(($S$12:$AA$12+INDEX($AJ$13:$AR$162,BN3020,0)+INDEX($AT$13:$BB$162,BO3020,0)+INDEX($BD$13:$BL$162,BP3020,0))/100)))&gt;0)*($D$10:$L$10-($D$9:$L$9+INT(($S$12:$AA$12+INDEX($AJ$13:$AR$162,BN3020,0)+INDEX($AT$13:$BB$162,BO3020,0)+INDEX($BD$13:$BL$162,BP3020,0))/100)))),0)</f>
        <v/>
      </c>
      <c r="BS3020">
        <f>IF(3007&lt;$U$9,SUMPRODUCT(($D$9:$L$9+INT(($S$12:$AA$12+INDEX($AJ$13:$AR$162,BN3020,0)+INDEX($AT$13:$BB$162,BO3020,0)+INDEX($BD$13:$BL$162,BP3020,0))/100))),0)</f>
        <v/>
      </c>
      <c r="BT3020">
        <f>IF(AND(3007&lt;$U$9,$W$5),BQ3020*1000000-MIN(BR3020,999)*1000+BS3020-3007/100000,-1000000000-3007)</f>
        <v/>
      </c>
    </row>
    <row r="3021">
      <c r="BN3021">
        <f>IF(3008&lt;$U$9,INT(3008/($U$7*$U$8))+1,1)</f>
        <v/>
      </c>
      <c r="BO3021">
        <f>IF(3008&lt;$U$9,MOD(INT(3008/$U$8),$U$7)+1,1)</f>
        <v/>
      </c>
      <c r="BP3021">
        <f>IF(3008&lt;$U$9,MOD(3008,$U$8)+1,1)</f>
        <v/>
      </c>
      <c r="BQ3021">
        <f>IF(3008&lt;$U$9,SUMPRODUCT(($D$10:$L$10&lt;&gt;"")*(($D$9:$L$9+INT(($S$12:$AA$12+INDEX($AJ$13:$AR$162,BN3021,0)+INDEX($AT$13:$BB$162,BO3021,0)+INDEX($BD$13:$BL$162,BP3021,0))/100))&gt;=$D$10:$L$10)),0)</f>
        <v/>
      </c>
      <c r="BR3021">
        <f>IF(3008&lt;$U$9,SUMPRODUCT(($D$10:$L$10&lt;&gt;"")*(($D$10:$L$10-($D$9:$L$9+INT(($S$12:$AA$12+INDEX($AJ$13:$AR$162,BN3021,0)+INDEX($AT$13:$BB$162,BO3021,0)+INDEX($BD$13:$BL$162,BP3021,0))/100)))&gt;0)*($D$10:$L$10-($D$9:$L$9+INT(($S$12:$AA$12+INDEX($AJ$13:$AR$162,BN3021,0)+INDEX($AT$13:$BB$162,BO3021,0)+INDEX($BD$13:$BL$162,BP3021,0))/100)))),0)</f>
        <v/>
      </c>
      <c r="BS3021">
        <f>IF(3008&lt;$U$9,SUMPRODUCT(($D$9:$L$9+INT(($S$12:$AA$12+INDEX($AJ$13:$AR$162,BN3021,0)+INDEX($AT$13:$BB$162,BO3021,0)+INDEX($BD$13:$BL$162,BP3021,0))/100))),0)</f>
        <v/>
      </c>
      <c r="BT3021">
        <f>IF(AND(3008&lt;$U$9,$W$5),BQ3021*1000000-MIN(BR3021,999)*1000+BS3021-3008/100000,-1000000000-3008)</f>
        <v/>
      </c>
    </row>
    <row r="3022">
      <c r="BN3022">
        <f>IF(3009&lt;$U$9,INT(3009/($U$7*$U$8))+1,1)</f>
        <v/>
      </c>
      <c r="BO3022">
        <f>IF(3009&lt;$U$9,MOD(INT(3009/$U$8),$U$7)+1,1)</f>
        <v/>
      </c>
      <c r="BP3022">
        <f>IF(3009&lt;$U$9,MOD(3009,$U$8)+1,1)</f>
        <v/>
      </c>
      <c r="BQ3022">
        <f>IF(3009&lt;$U$9,SUMPRODUCT(($D$10:$L$10&lt;&gt;"")*(($D$9:$L$9+INT(($S$12:$AA$12+INDEX($AJ$13:$AR$162,BN3022,0)+INDEX($AT$13:$BB$162,BO3022,0)+INDEX($BD$13:$BL$162,BP3022,0))/100))&gt;=$D$10:$L$10)),0)</f>
        <v/>
      </c>
      <c r="BR3022">
        <f>IF(3009&lt;$U$9,SUMPRODUCT(($D$10:$L$10&lt;&gt;"")*(($D$10:$L$10-($D$9:$L$9+INT(($S$12:$AA$12+INDEX($AJ$13:$AR$162,BN3022,0)+INDEX($AT$13:$BB$162,BO3022,0)+INDEX($BD$13:$BL$162,BP3022,0))/100)))&gt;0)*($D$10:$L$10-($D$9:$L$9+INT(($S$12:$AA$12+INDEX($AJ$13:$AR$162,BN3022,0)+INDEX($AT$13:$BB$162,BO3022,0)+INDEX($BD$13:$BL$162,BP3022,0))/100)))),0)</f>
        <v/>
      </c>
      <c r="BS3022">
        <f>IF(3009&lt;$U$9,SUMPRODUCT(($D$9:$L$9+INT(($S$12:$AA$12+INDEX($AJ$13:$AR$162,BN3022,0)+INDEX($AT$13:$BB$162,BO3022,0)+INDEX($BD$13:$BL$162,BP3022,0))/100))),0)</f>
        <v/>
      </c>
      <c r="BT3022">
        <f>IF(AND(3009&lt;$U$9,$W$5),BQ3022*1000000-MIN(BR3022,999)*1000+BS3022-3009/100000,-1000000000-3009)</f>
        <v/>
      </c>
    </row>
    <row r="3023">
      <c r="BN3023">
        <f>IF(3010&lt;$U$9,INT(3010/($U$7*$U$8))+1,1)</f>
        <v/>
      </c>
      <c r="BO3023">
        <f>IF(3010&lt;$U$9,MOD(INT(3010/$U$8),$U$7)+1,1)</f>
        <v/>
      </c>
      <c r="BP3023">
        <f>IF(3010&lt;$U$9,MOD(3010,$U$8)+1,1)</f>
        <v/>
      </c>
      <c r="BQ3023">
        <f>IF(3010&lt;$U$9,SUMPRODUCT(($D$10:$L$10&lt;&gt;"")*(($D$9:$L$9+INT(($S$12:$AA$12+INDEX($AJ$13:$AR$162,BN3023,0)+INDEX($AT$13:$BB$162,BO3023,0)+INDEX($BD$13:$BL$162,BP3023,0))/100))&gt;=$D$10:$L$10)),0)</f>
        <v/>
      </c>
      <c r="BR3023">
        <f>IF(3010&lt;$U$9,SUMPRODUCT(($D$10:$L$10&lt;&gt;"")*(($D$10:$L$10-($D$9:$L$9+INT(($S$12:$AA$12+INDEX($AJ$13:$AR$162,BN3023,0)+INDEX($AT$13:$BB$162,BO3023,0)+INDEX($BD$13:$BL$162,BP3023,0))/100)))&gt;0)*($D$10:$L$10-($D$9:$L$9+INT(($S$12:$AA$12+INDEX($AJ$13:$AR$162,BN3023,0)+INDEX($AT$13:$BB$162,BO3023,0)+INDEX($BD$13:$BL$162,BP3023,0))/100)))),0)</f>
        <v/>
      </c>
      <c r="BS3023">
        <f>IF(3010&lt;$U$9,SUMPRODUCT(($D$9:$L$9+INT(($S$12:$AA$12+INDEX($AJ$13:$AR$162,BN3023,0)+INDEX($AT$13:$BB$162,BO3023,0)+INDEX($BD$13:$BL$162,BP3023,0))/100))),0)</f>
        <v/>
      </c>
      <c r="BT3023">
        <f>IF(AND(3010&lt;$U$9,$W$5),BQ3023*1000000-MIN(BR3023,999)*1000+BS3023-3010/100000,-1000000000-3010)</f>
        <v/>
      </c>
    </row>
    <row r="3024">
      <c r="BN3024">
        <f>IF(3011&lt;$U$9,INT(3011/($U$7*$U$8))+1,1)</f>
        <v/>
      </c>
      <c r="BO3024">
        <f>IF(3011&lt;$U$9,MOD(INT(3011/$U$8),$U$7)+1,1)</f>
        <v/>
      </c>
      <c r="BP3024">
        <f>IF(3011&lt;$U$9,MOD(3011,$U$8)+1,1)</f>
        <v/>
      </c>
      <c r="BQ3024">
        <f>IF(3011&lt;$U$9,SUMPRODUCT(($D$10:$L$10&lt;&gt;"")*(($D$9:$L$9+INT(($S$12:$AA$12+INDEX($AJ$13:$AR$162,BN3024,0)+INDEX($AT$13:$BB$162,BO3024,0)+INDEX($BD$13:$BL$162,BP3024,0))/100))&gt;=$D$10:$L$10)),0)</f>
        <v/>
      </c>
      <c r="BR3024">
        <f>IF(3011&lt;$U$9,SUMPRODUCT(($D$10:$L$10&lt;&gt;"")*(($D$10:$L$10-($D$9:$L$9+INT(($S$12:$AA$12+INDEX($AJ$13:$AR$162,BN3024,0)+INDEX($AT$13:$BB$162,BO3024,0)+INDEX($BD$13:$BL$162,BP3024,0))/100)))&gt;0)*($D$10:$L$10-($D$9:$L$9+INT(($S$12:$AA$12+INDEX($AJ$13:$AR$162,BN3024,0)+INDEX($AT$13:$BB$162,BO3024,0)+INDEX($BD$13:$BL$162,BP3024,0))/100)))),0)</f>
        <v/>
      </c>
      <c r="BS3024">
        <f>IF(3011&lt;$U$9,SUMPRODUCT(($D$9:$L$9+INT(($S$12:$AA$12+INDEX($AJ$13:$AR$162,BN3024,0)+INDEX($AT$13:$BB$162,BO3024,0)+INDEX($BD$13:$BL$162,BP3024,0))/100))),0)</f>
        <v/>
      </c>
      <c r="BT3024">
        <f>IF(AND(3011&lt;$U$9,$W$5),BQ3024*1000000-MIN(BR3024,999)*1000+BS3024-3011/100000,-1000000000-3011)</f>
        <v/>
      </c>
    </row>
    <row r="3025">
      <c r="BN3025">
        <f>IF(3012&lt;$U$9,INT(3012/($U$7*$U$8))+1,1)</f>
        <v/>
      </c>
      <c r="BO3025">
        <f>IF(3012&lt;$U$9,MOD(INT(3012/$U$8),$U$7)+1,1)</f>
        <v/>
      </c>
      <c r="BP3025">
        <f>IF(3012&lt;$U$9,MOD(3012,$U$8)+1,1)</f>
        <v/>
      </c>
      <c r="BQ3025">
        <f>IF(3012&lt;$U$9,SUMPRODUCT(($D$10:$L$10&lt;&gt;"")*(($D$9:$L$9+INT(($S$12:$AA$12+INDEX($AJ$13:$AR$162,BN3025,0)+INDEX($AT$13:$BB$162,BO3025,0)+INDEX($BD$13:$BL$162,BP3025,0))/100))&gt;=$D$10:$L$10)),0)</f>
        <v/>
      </c>
      <c r="BR3025">
        <f>IF(3012&lt;$U$9,SUMPRODUCT(($D$10:$L$10&lt;&gt;"")*(($D$10:$L$10-($D$9:$L$9+INT(($S$12:$AA$12+INDEX($AJ$13:$AR$162,BN3025,0)+INDEX($AT$13:$BB$162,BO3025,0)+INDEX($BD$13:$BL$162,BP3025,0))/100)))&gt;0)*($D$10:$L$10-($D$9:$L$9+INT(($S$12:$AA$12+INDEX($AJ$13:$AR$162,BN3025,0)+INDEX($AT$13:$BB$162,BO3025,0)+INDEX($BD$13:$BL$162,BP3025,0))/100)))),0)</f>
        <v/>
      </c>
      <c r="BS3025">
        <f>IF(3012&lt;$U$9,SUMPRODUCT(($D$9:$L$9+INT(($S$12:$AA$12+INDEX($AJ$13:$AR$162,BN3025,0)+INDEX($AT$13:$BB$162,BO3025,0)+INDEX($BD$13:$BL$162,BP3025,0))/100))),0)</f>
        <v/>
      </c>
      <c r="BT3025">
        <f>IF(AND(3012&lt;$U$9,$W$5),BQ3025*1000000-MIN(BR3025,999)*1000+BS3025-3012/100000,-1000000000-3012)</f>
        <v/>
      </c>
    </row>
    <row r="3026">
      <c r="BN3026">
        <f>IF(3013&lt;$U$9,INT(3013/($U$7*$U$8))+1,1)</f>
        <v/>
      </c>
      <c r="BO3026">
        <f>IF(3013&lt;$U$9,MOD(INT(3013/$U$8),$U$7)+1,1)</f>
        <v/>
      </c>
      <c r="BP3026">
        <f>IF(3013&lt;$U$9,MOD(3013,$U$8)+1,1)</f>
        <v/>
      </c>
      <c r="BQ3026">
        <f>IF(3013&lt;$U$9,SUMPRODUCT(($D$10:$L$10&lt;&gt;"")*(($D$9:$L$9+INT(($S$12:$AA$12+INDEX($AJ$13:$AR$162,BN3026,0)+INDEX($AT$13:$BB$162,BO3026,0)+INDEX($BD$13:$BL$162,BP3026,0))/100))&gt;=$D$10:$L$10)),0)</f>
        <v/>
      </c>
      <c r="BR3026">
        <f>IF(3013&lt;$U$9,SUMPRODUCT(($D$10:$L$10&lt;&gt;"")*(($D$10:$L$10-($D$9:$L$9+INT(($S$12:$AA$12+INDEX($AJ$13:$AR$162,BN3026,0)+INDEX($AT$13:$BB$162,BO3026,0)+INDEX($BD$13:$BL$162,BP3026,0))/100)))&gt;0)*($D$10:$L$10-($D$9:$L$9+INT(($S$12:$AA$12+INDEX($AJ$13:$AR$162,BN3026,0)+INDEX($AT$13:$BB$162,BO3026,0)+INDEX($BD$13:$BL$162,BP3026,0))/100)))),0)</f>
        <v/>
      </c>
      <c r="BS3026">
        <f>IF(3013&lt;$U$9,SUMPRODUCT(($D$9:$L$9+INT(($S$12:$AA$12+INDEX($AJ$13:$AR$162,BN3026,0)+INDEX($AT$13:$BB$162,BO3026,0)+INDEX($BD$13:$BL$162,BP3026,0))/100))),0)</f>
        <v/>
      </c>
      <c r="BT3026">
        <f>IF(AND(3013&lt;$U$9,$W$5),BQ3026*1000000-MIN(BR3026,999)*1000+BS3026-3013/100000,-1000000000-3013)</f>
        <v/>
      </c>
    </row>
    <row r="3027">
      <c r="BN3027">
        <f>IF(3014&lt;$U$9,INT(3014/($U$7*$U$8))+1,1)</f>
        <v/>
      </c>
      <c r="BO3027">
        <f>IF(3014&lt;$U$9,MOD(INT(3014/$U$8),$U$7)+1,1)</f>
        <v/>
      </c>
      <c r="BP3027">
        <f>IF(3014&lt;$U$9,MOD(3014,$U$8)+1,1)</f>
        <v/>
      </c>
      <c r="BQ3027">
        <f>IF(3014&lt;$U$9,SUMPRODUCT(($D$10:$L$10&lt;&gt;"")*(($D$9:$L$9+INT(($S$12:$AA$12+INDEX($AJ$13:$AR$162,BN3027,0)+INDEX($AT$13:$BB$162,BO3027,0)+INDEX($BD$13:$BL$162,BP3027,0))/100))&gt;=$D$10:$L$10)),0)</f>
        <v/>
      </c>
      <c r="BR3027">
        <f>IF(3014&lt;$U$9,SUMPRODUCT(($D$10:$L$10&lt;&gt;"")*(($D$10:$L$10-($D$9:$L$9+INT(($S$12:$AA$12+INDEX($AJ$13:$AR$162,BN3027,0)+INDEX($AT$13:$BB$162,BO3027,0)+INDEX($BD$13:$BL$162,BP3027,0))/100)))&gt;0)*($D$10:$L$10-($D$9:$L$9+INT(($S$12:$AA$12+INDEX($AJ$13:$AR$162,BN3027,0)+INDEX($AT$13:$BB$162,BO3027,0)+INDEX($BD$13:$BL$162,BP3027,0))/100)))),0)</f>
        <v/>
      </c>
      <c r="BS3027">
        <f>IF(3014&lt;$U$9,SUMPRODUCT(($D$9:$L$9+INT(($S$12:$AA$12+INDEX($AJ$13:$AR$162,BN3027,0)+INDEX($AT$13:$BB$162,BO3027,0)+INDEX($BD$13:$BL$162,BP3027,0))/100))),0)</f>
        <v/>
      </c>
      <c r="BT3027">
        <f>IF(AND(3014&lt;$U$9,$W$5),BQ3027*1000000-MIN(BR3027,999)*1000+BS3027-3014/100000,-1000000000-3014)</f>
        <v/>
      </c>
    </row>
    <row r="3028">
      <c r="BN3028">
        <f>IF(3015&lt;$U$9,INT(3015/($U$7*$U$8))+1,1)</f>
        <v/>
      </c>
      <c r="BO3028">
        <f>IF(3015&lt;$U$9,MOD(INT(3015/$U$8),$U$7)+1,1)</f>
        <v/>
      </c>
      <c r="BP3028">
        <f>IF(3015&lt;$U$9,MOD(3015,$U$8)+1,1)</f>
        <v/>
      </c>
      <c r="BQ3028">
        <f>IF(3015&lt;$U$9,SUMPRODUCT(($D$10:$L$10&lt;&gt;"")*(($D$9:$L$9+INT(($S$12:$AA$12+INDEX($AJ$13:$AR$162,BN3028,0)+INDEX($AT$13:$BB$162,BO3028,0)+INDEX($BD$13:$BL$162,BP3028,0))/100))&gt;=$D$10:$L$10)),0)</f>
        <v/>
      </c>
      <c r="BR3028">
        <f>IF(3015&lt;$U$9,SUMPRODUCT(($D$10:$L$10&lt;&gt;"")*(($D$10:$L$10-($D$9:$L$9+INT(($S$12:$AA$12+INDEX($AJ$13:$AR$162,BN3028,0)+INDEX($AT$13:$BB$162,BO3028,0)+INDEX($BD$13:$BL$162,BP3028,0))/100)))&gt;0)*($D$10:$L$10-($D$9:$L$9+INT(($S$12:$AA$12+INDEX($AJ$13:$AR$162,BN3028,0)+INDEX($AT$13:$BB$162,BO3028,0)+INDEX($BD$13:$BL$162,BP3028,0))/100)))),0)</f>
        <v/>
      </c>
      <c r="BS3028">
        <f>IF(3015&lt;$U$9,SUMPRODUCT(($D$9:$L$9+INT(($S$12:$AA$12+INDEX($AJ$13:$AR$162,BN3028,0)+INDEX($AT$13:$BB$162,BO3028,0)+INDEX($BD$13:$BL$162,BP3028,0))/100))),0)</f>
        <v/>
      </c>
      <c r="BT3028">
        <f>IF(AND(3015&lt;$U$9,$W$5),BQ3028*1000000-MIN(BR3028,999)*1000+BS3028-3015/100000,-1000000000-3015)</f>
        <v/>
      </c>
    </row>
    <row r="3029">
      <c r="BN3029">
        <f>IF(3016&lt;$U$9,INT(3016/($U$7*$U$8))+1,1)</f>
        <v/>
      </c>
      <c r="BO3029">
        <f>IF(3016&lt;$U$9,MOD(INT(3016/$U$8),$U$7)+1,1)</f>
        <v/>
      </c>
      <c r="BP3029">
        <f>IF(3016&lt;$U$9,MOD(3016,$U$8)+1,1)</f>
        <v/>
      </c>
      <c r="BQ3029">
        <f>IF(3016&lt;$U$9,SUMPRODUCT(($D$10:$L$10&lt;&gt;"")*(($D$9:$L$9+INT(($S$12:$AA$12+INDEX($AJ$13:$AR$162,BN3029,0)+INDEX($AT$13:$BB$162,BO3029,0)+INDEX($BD$13:$BL$162,BP3029,0))/100))&gt;=$D$10:$L$10)),0)</f>
        <v/>
      </c>
      <c r="BR3029">
        <f>IF(3016&lt;$U$9,SUMPRODUCT(($D$10:$L$10&lt;&gt;"")*(($D$10:$L$10-($D$9:$L$9+INT(($S$12:$AA$12+INDEX($AJ$13:$AR$162,BN3029,0)+INDEX($AT$13:$BB$162,BO3029,0)+INDEX($BD$13:$BL$162,BP3029,0))/100)))&gt;0)*($D$10:$L$10-($D$9:$L$9+INT(($S$12:$AA$12+INDEX($AJ$13:$AR$162,BN3029,0)+INDEX($AT$13:$BB$162,BO3029,0)+INDEX($BD$13:$BL$162,BP3029,0))/100)))),0)</f>
        <v/>
      </c>
      <c r="BS3029">
        <f>IF(3016&lt;$U$9,SUMPRODUCT(($D$9:$L$9+INT(($S$12:$AA$12+INDEX($AJ$13:$AR$162,BN3029,0)+INDEX($AT$13:$BB$162,BO3029,0)+INDEX($BD$13:$BL$162,BP3029,0))/100))),0)</f>
        <v/>
      </c>
      <c r="BT3029">
        <f>IF(AND(3016&lt;$U$9,$W$5),BQ3029*1000000-MIN(BR3029,999)*1000+BS3029-3016/100000,-1000000000-3016)</f>
        <v/>
      </c>
    </row>
    <row r="3030">
      <c r="BN3030">
        <f>IF(3017&lt;$U$9,INT(3017/($U$7*$U$8))+1,1)</f>
        <v/>
      </c>
      <c r="BO3030">
        <f>IF(3017&lt;$U$9,MOD(INT(3017/$U$8),$U$7)+1,1)</f>
        <v/>
      </c>
      <c r="BP3030">
        <f>IF(3017&lt;$U$9,MOD(3017,$U$8)+1,1)</f>
        <v/>
      </c>
      <c r="BQ3030">
        <f>IF(3017&lt;$U$9,SUMPRODUCT(($D$10:$L$10&lt;&gt;"")*(($D$9:$L$9+INT(($S$12:$AA$12+INDEX($AJ$13:$AR$162,BN3030,0)+INDEX($AT$13:$BB$162,BO3030,0)+INDEX($BD$13:$BL$162,BP3030,0))/100))&gt;=$D$10:$L$10)),0)</f>
        <v/>
      </c>
      <c r="BR3030">
        <f>IF(3017&lt;$U$9,SUMPRODUCT(($D$10:$L$10&lt;&gt;"")*(($D$10:$L$10-($D$9:$L$9+INT(($S$12:$AA$12+INDEX($AJ$13:$AR$162,BN3030,0)+INDEX($AT$13:$BB$162,BO3030,0)+INDEX($BD$13:$BL$162,BP3030,0))/100)))&gt;0)*($D$10:$L$10-($D$9:$L$9+INT(($S$12:$AA$12+INDEX($AJ$13:$AR$162,BN3030,0)+INDEX($AT$13:$BB$162,BO3030,0)+INDEX($BD$13:$BL$162,BP3030,0))/100)))),0)</f>
        <v/>
      </c>
      <c r="BS3030">
        <f>IF(3017&lt;$U$9,SUMPRODUCT(($D$9:$L$9+INT(($S$12:$AA$12+INDEX($AJ$13:$AR$162,BN3030,0)+INDEX($AT$13:$BB$162,BO3030,0)+INDEX($BD$13:$BL$162,BP3030,0))/100))),0)</f>
        <v/>
      </c>
      <c r="BT3030">
        <f>IF(AND(3017&lt;$U$9,$W$5),BQ3030*1000000-MIN(BR3030,999)*1000+BS3030-3017/100000,-1000000000-3017)</f>
        <v/>
      </c>
    </row>
    <row r="3031">
      <c r="BN3031">
        <f>IF(3018&lt;$U$9,INT(3018/($U$7*$U$8))+1,1)</f>
        <v/>
      </c>
      <c r="BO3031">
        <f>IF(3018&lt;$U$9,MOD(INT(3018/$U$8),$U$7)+1,1)</f>
        <v/>
      </c>
      <c r="BP3031">
        <f>IF(3018&lt;$U$9,MOD(3018,$U$8)+1,1)</f>
        <v/>
      </c>
      <c r="BQ3031">
        <f>IF(3018&lt;$U$9,SUMPRODUCT(($D$10:$L$10&lt;&gt;"")*(($D$9:$L$9+INT(($S$12:$AA$12+INDEX($AJ$13:$AR$162,BN3031,0)+INDEX($AT$13:$BB$162,BO3031,0)+INDEX($BD$13:$BL$162,BP3031,0))/100))&gt;=$D$10:$L$10)),0)</f>
        <v/>
      </c>
      <c r="BR3031">
        <f>IF(3018&lt;$U$9,SUMPRODUCT(($D$10:$L$10&lt;&gt;"")*(($D$10:$L$10-($D$9:$L$9+INT(($S$12:$AA$12+INDEX($AJ$13:$AR$162,BN3031,0)+INDEX($AT$13:$BB$162,BO3031,0)+INDEX($BD$13:$BL$162,BP3031,0))/100)))&gt;0)*($D$10:$L$10-($D$9:$L$9+INT(($S$12:$AA$12+INDEX($AJ$13:$AR$162,BN3031,0)+INDEX($AT$13:$BB$162,BO3031,0)+INDEX($BD$13:$BL$162,BP3031,0))/100)))),0)</f>
        <v/>
      </c>
      <c r="BS3031">
        <f>IF(3018&lt;$U$9,SUMPRODUCT(($D$9:$L$9+INT(($S$12:$AA$12+INDEX($AJ$13:$AR$162,BN3031,0)+INDEX($AT$13:$BB$162,BO3031,0)+INDEX($BD$13:$BL$162,BP3031,0))/100))),0)</f>
        <v/>
      </c>
      <c r="BT3031">
        <f>IF(AND(3018&lt;$U$9,$W$5),BQ3031*1000000-MIN(BR3031,999)*1000+BS3031-3018/100000,-1000000000-3018)</f>
        <v/>
      </c>
    </row>
    <row r="3032">
      <c r="BN3032">
        <f>IF(3019&lt;$U$9,INT(3019/($U$7*$U$8))+1,1)</f>
        <v/>
      </c>
      <c r="BO3032">
        <f>IF(3019&lt;$U$9,MOD(INT(3019/$U$8),$U$7)+1,1)</f>
        <v/>
      </c>
      <c r="BP3032">
        <f>IF(3019&lt;$U$9,MOD(3019,$U$8)+1,1)</f>
        <v/>
      </c>
      <c r="BQ3032">
        <f>IF(3019&lt;$U$9,SUMPRODUCT(($D$10:$L$10&lt;&gt;"")*(($D$9:$L$9+INT(($S$12:$AA$12+INDEX($AJ$13:$AR$162,BN3032,0)+INDEX($AT$13:$BB$162,BO3032,0)+INDEX($BD$13:$BL$162,BP3032,0))/100))&gt;=$D$10:$L$10)),0)</f>
        <v/>
      </c>
      <c r="BR3032">
        <f>IF(3019&lt;$U$9,SUMPRODUCT(($D$10:$L$10&lt;&gt;"")*(($D$10:$L$10-($D$9:$L$9+INT(($S$12:$AA$12+INDEX($AJ$13:$AR$162,BN3032,0)+INDEX($AT$13:$BB$162,BO3032,0)+INDEX($BD$13:$BL$162,BP3032,0))/100)))&gt;0)*($D$10:$L$10-($D$9:$L$9+INT(($S$12:$AA$12+INDEX($AJ$13:$AR$162,BN3032,0)+INDEX($AT$13:$BB$162,BO3032,0)+INDEX($BD$13:$BL$162,BP3032,0))/100)))),0)</f>
        <v/>
      </c>
      <c r="BS3032">
        <f>IF(3019&lt;$U$9,SUMPRODUCT(($D$9:$L$9+INT(($S$12:$AA$12+INDEX($AJ$13:$AR$162,BN3032,0)+INDEX($AT$13:$BB$162,BO3032,0)+INDEX($BD$13:$BL$162,BP3032,0))/100))),0)</f>
        <v/>
      </c>
      <c r="BT3032">
        <f>IF(AND(3019&lt;$U$9,$W$5),BQ3032*1000000-MIN(BR3032,999)*1000+BS3032-3019/100000,-1000000000-3019)</f>
        <v/>
      </c>
    </row>
    <row r="3033">
      <c r="BN3033">
        <f>IF(3020&lt;$U$9,INT(3020/($U$7*$U$8))+1,1)</f>
        <v/>
      </c>
      <c r="BO3033">
        <f>IF(3020&lt;$U$9,MOD(INT(3020/$U$8),$U$7)+1,1)</f>
        <v/>
      </c>
      <c r="BP3033">
        <f>IF(3020&lt;$U$9,MOD(3020,$U$8)+1,1)</f>
        <v/>
      </c>
      <c r="BQ3033">
        <f>IF(3020&lt;$U$9,SUMPRODUCT(($D$10:$L$10&lt;&gt;"")*(($D$9:$L$9+INT(($S$12:$AA$12+INDEX($AJ$13:$AR$162,BN3033,0)+INDEX($AT$13:$BB$162,BO3033,0)+INDEX($BD$13:$BL$162,BP3033,0))/100))&gt;=$D$10:$L$10)),0)</f>
        <v/>
      </c>
      <c r="BR3033">
        <f>IF(3020&lt;$U$9,SUMPRODUCT(($D$10:$L$10&lt;&gt;"")*(($D$10:$L$10-($D$9:$L$9+INT(($S$12:$AA$12+INDEX($AJ$13:$AR$162,BN3033,0)+INDEX($AT$13:$BB$162,BO3033,0)+INDEX($BD$13:$BL$162,BP3033,0))/100)))&gt;0)*($D$10:$L$10-($D$9:$L$9+INT(($S$12:$AA$12+INDEX($AJ$13:$AR$162,BN3033,0)+INDEX($AT$13:$BB$162,BO3033,0)+INDEX($BD$13:$BL$162,BP3033,0))/100)))),0)</f>
        <v/>
      </c>
      <c r="BS3033">
        <f>IF(3020&lt;$U$9,SUMPRODUCT(($D$9:$L$9+INT(($S$12:$AA$12+INDEX($AJ$13:$AR$162,BN3033,0)+INDEX($AT$13:$BB$162,BO3033,0)+INDEX($BD$13:$BL$162,BP3033,0))/100))),0)</f>
        <v/>
      </c>
      <c r="BT3033">
        <f>IF(AND(3020&lt;$U$9,$W$5),BQ3033*1000000-MIN(BR3033,999)*1000+BS3033-3020/100000,-1000000000-3020)</f>
        <v/>
      </c>
    </row>
    <row r="3034">
      <c r="BN3034">
        <f>IF(3021&lt;$U$9,INT(3021/($U$7*$U$8))+1,1)</f>
        <v/>
      </c>
      <c r="BO3034">
        <f>IF(3021&lt;$U$9,MOD(INT(3021/$U$8),$U$7)+1,1)</f>
        <v/>
      </c>
      <c r="BP3034">
        <f>IF(3021&lt;$U$9,MOD(3021,$U$8)+1,1)</f>
        <v/>
      </c>
      <c r="BQ3034">
        <f>IF(3021&lt;$U$9,SUMPRODUCT(($D$10:$L$10&lt;&gt;"")*(($D$9:$L$9+INT(($S$12:$AA$12+INDEX($AJ$13:$AR$162,BN3034,0)+INDEX($AT$13:$BB$162,BO3034,0)+INDEX($BD$13:$BL$162,BP3034,0))/100))&gt;=$D$10:$L$10)),0)</f>
        <v/>
      </c>
      <c r="BR3034">
        <f>IF(3021&lt;$U$9,SUMPRODUCT(($D$10:$L$10&lt;&gt;"")*(($D$10:$L$10-($D$9:$L$9+INT(($S$12:$AA$12+INDEX($AJ$13:$AR$162,BN3034,0)+INDEX($AT$13:$BB$162,BO3034,0)+INDEX($BD$13:$BL$162,BP3034,0))/100)))&gt;0)*($D$10:$L$10-($D$9:$L$9+INT(($S$12:$AA$12+INDEX($AJ$13:$AR$162,BN3034,0)+INDEX($AT$13:$BB$162,BO3034,0)+INDEX($BD$13:$BL$162,BP3034,0))/100)))),0)</f>
        <v/>
      </c>
      <c r="BS3034">
        <f>IF(3021&lt;$U$9,SUMPRODUCT(($D$9:$L$9+INT(($S$12:$AA$12+INDEX($AJ$13:$AR$162,BN3034,0)+INDEX($AT$13:$BB$162,BO3034,0)+INDEX($BD$13:$BL$162,BP3034,0))/100))),0)</f>
        <v/>
      </c>
      <c r="BT3034">
        <f>IF(AND(3021&lt;$U$9,$W$5),BQ3034*1000000-MIN(BR3034,999)*1000+BS3034-3021/100000,-1000000000-3021)</f>
        <v/>
      </c>
    </row>
    <row r="3035">
      <c r="BN3035">
        <f>IF(3022&lt;$U$9,INT(3022/($U$7*$U$8))+1,1)</f>
        <v/>
      </c>
      <c r="BO3035">
        <f>IF(3022&lt;$U$9,MOD(INT(3022/$U$8),$U$7)+1,1)</f>
        <v/>
      </c>
      <c r="BP3035">
        <f>IF(3022&lt;$U$9,MOD(3022,$U$8)+1,1)</f>
        <v/>
      </c>
      <c r="BQ3035">
        <f>IF(3022&lt;$U$9,SUMPRODUCT(($D$10:$L$10&lt;&gt;"")*(($D$9:$L$9+INT(($S$12:$AA$12+INDEX($AJ$13:$AR$162,BN3035,0)+INDEX($AT$13:$BB$162,BO3035,0)+INDEX($BD$13:$BL$162,BP3035,0))/100))&gt;=$D$10:$L$10)),0)</f>
        <v/>
      </c>
      <c r="BR3035">
        <f>IF(3022&lt;$U$9,SUMPRODUCT(($D$10:$L$10&lt;&gt;"")*(($D$10:$L$10-($D$9:$L$9+INT(($S$12:$AA$12+INDEX($AJ$13:$AR$162,BN3035,0)+INDEX($AT$13:$BB$162,BO3035,0)+INDEX($BD$13:$BL$162,BP3035,0))/100)))&gt;0)*($D$10:$L$10-($D$9:$L$9+INT(($S$12:$AA$12+INDEX($AJ$13:$AR$162,BN3035,0)+INDEX($AT$13:$BB$162,BO3035,0)+INDEX($BD$13:$BL$162,BP3035,0))/100)))),0)</f>
        <v/>
      </c>
      <c r="BS3035">
        <f>IF(3022&lt;$U$9,SUMPRODUCT(($D$9:$L$9+INT(($S$12:$AA$12+INDEX($AJ$13:$AR$162,BN3035,0)+INDEX($AT$13:$BB$162,BO3035,0)+INDEX($BD$13:$BL$162,BP3035,0))/100))),0)</f>
        <v/>
      </c>
      <c r="BT3035">
        <f>IF(AND(3022&lt;$U$9,$W$5),BQ3035*1000000-MIN(BR3035,999)*1000+BS3035-3022/100000,-1000000000-3022)</f>
        <v/>
      </c>
    </row>
    <row r="3036">
      <c r="BN3036">
        <f>IF(3023&lt;$U$9,INT(3023/($U$7*$U$8))+1,1)</f>
        <v/>
      </c>
      <c r="BO3036">
        <f>IF(3023&lt;$U$9,MOD(INT(3023/$U$8),$U$7)+1,1)</f>
        <v/>
      </c>
      <c r="BP3036">
        <f>IF(3023&lt;$U$9,MOD(3023,$U$8)+1,1)</f>
        <v/>
      </c>
      <c r="BQ3036">
        <f>IF(3023&lt;$U$9,SUMPRODUCT(($D$10:$L$10&lt;&gt;"")*(($D$9:$L$9+INT(($S$12:$AA$12+INDEX($AJ$13:$AR$162,BN3036,0)+INDEX($AT$13:$BB$162,BO3036,0)+INDEX($BD$13:$BL$162,BP3036,0))/100))&gt;=$D$10:$L$10)),0)</f>
        <v/>
      </c>
      <c r="BR3036">
        <f>IF(3023&lt;$U$9,SUMPRODUCT(($D$10:$L$10&lt;&gt;"")*(($D$10:$L$10-($D$9:$L$9+INT(($S$12:$AA$12+INDEX($AJ$13:$AR$162,BN3036,0)+INDEX($AT$13:$BB$162,BO3036,0)+INDEX($BD$13:$BL$162,BP3036,0))/100)))&gt;0)*($D$10:$L$10-($D$9:$L$9+INT(($S$12:$AA$12+INDEX($AJ$13:$AR$162,BN3036,0)+INDEX($AT$13:$BB$162,BO3036,0)+INDEX($BD$13:$BL$162,BP3036,0))/100)))),0)</f>
        <v/>
      </c>
      <c r="BS3036">
        <f>IF(3023&lt;$U$9,SUMPRODUCT(($D$9:$L$9+INT(($S$12:$AA$12+INDEX($AJ$13:$AR$162,BN3036,0)+INDEX($AT$13:$BB$162,BO3036,0)+INDEX($BD$13:$BL$162,BP3036,0))/100))),0)</f>
        <v/>
      </c>
      <c r="BT3036">
        <f>IF(AND(3023&lt;$U$9,$W$5),BQ3036*1000000-MIN(BR3036,999)*1000+BS3036-3023/100000,-1000000000-3023)</f>
        <v/>
      </c>
    </row>
    <row r="3037">
      <c r="BN3037">
        <f>IF(3024&lt;$U$9,INT(3024/($U$7*$U$8))+1,1)</f>
        <v/>
      </c>
      <c r="BO3037">
        <f>IF(3024&lt;$U$9,MOD(INT(3024/$U$8),$U$7)+1,1)</f>
        <v/>
      </c>
      <c r="BP3037">
        <f>IF(3024&lt;$U$9,MOD(3024,$U$8)+1,1)</f>
        <v/>
      </c>
      <c r="BQ3037">
        <f>IF(3024&lt;$U$9,SUMPRODUCT(($D$10:$L$10&lt;&gt;"")*(($D$9:$L$9+INT(($S$12:$AA$12+INDEX($AJ$13:$AR$162,BN3037,0)+INDEX($AT$13:$BB$162,BO3037,0)+INDEX($BD$13:$BL$162,BP3037,0))/100))&gt;=$D$10:$L$10)),0)</f>
        <v/>
      </c>
      <c r="BR3037">
        <f>IF(3024&lt;$U$9,SUMPRODUCT(($D$10:$L$10&lt;&gt;"")*(($D$10:$L$10-($D$9:$L$9+INT(($S$12:$AA$12+INDEX($AJ$13:$AR$162,BN3037,0)+INDEX($AT$13:$BB$162,BO3037,0)+INDEX($BD$13:$BL$162,BP3037,0))/100)))&gt;0)*($D$10:$L$10-($D$9:$L$9+INT(($S$12:$AA$12+INDEX($AJ$13:$AR$162,BN3037,0)+INDEX($AT$13:$BB$162,BO3037,0)+INDEX($BD$13:$BL$162,BP3037,0))/100)))),0)</f>
        <v/>
      </c>
      <c r="BS3037">
        <f>IF(3024&lt;$U$9,SUMPRODUCT(($D$9:$L$9+INT(($S$12:$AA$12+INDEX($AJ$13:$AR$162,BN3037,0)+INDEX($AT$13:$BB$162,BO3037,0)+INDEX($BD$13:$BL$162,BP3037,0))/100))),0)</f>
        <v/>
      </c>
      <c r="BT3037">
        <f>IF(AND(3024&lt;$U$9,$W$5),BQ3037*1000000-MIN(BR3037,999)*1000+BS3037-3024/100000,-1000000000-3024)</f>
        <v/>
      </c>
    </row>
    <row r="3038">
      <c r="BN3038">
        <f>IF(3025&lt;$U$9,INT(3025/($U$7*$U$8))+1,1)</f>
        <v/>
      </c>
      <c r="BO3038">
        <f>IF(3025&lt;$U$9,MOD(INT(3025/$U$8),$U$7)+1,1)</f>
        <v/>
      </c>
      <c r="BP3038">
        <f>IF(3025&lt;$U$9,MOD(3025,$U$8)+1,1)</f>
        <v/>
      </c>
      <c r="BQ3038">
        <f>IF(3025&lt;$U$9,SUMPRODUCT(($D$10:$L$10&lt;&gt;"")*(($D$9:$L$9+INT(($S$12:$AA$12+INDEX($AJ$13:$AR$162,BN3038,0)+INDEX($AT$13:$BB$162,BO3038,0)+INDEX($BD$13:$BL$162,BP3038,0))/100))&gt;=$D$10:$L$10)),0)</f>
        <v/>
      </c>
      <c r="BR3038">
        <f>IF(3025&lt;$U$9,SUMPRODUCT(($D$10:$L$10&lt;&gt;"")*(($D$10:$L$10-($D$9:$L$9+INT(($S$12:$AA$12+INDEX($AJ$13:$AR$162,BN3038,0)+INDEX($AT$13:$BB$162,BO3038,0)+INDEX($BD$13:$BL$162,BP3038,0))/100)))&gt;0)*($D$10:$L$10-($D$9:$L$9+INT(($S$12:$AA$12+INDEX($AJ$13:$AR$162,BN3038,0)+INDEX($AT$13:$BB$162,BO3038,0)+INDEX($BD$13:$BL$162,BP3038,0))/100)))),0)</f>
        <v/>
      </c>
      <c r="BS3038">
        <f>IF(3025&lt;$U$9,SUMPRODUCT(($D$9:$L$9+INT(($S$12:$AA$12+INDEX($AJ$13:$AR$162,BN3038,0)+INDEX($AT$13:$BB$162,BO3038,0)+INDEX($BD$13:$BL$162,BP3038,0))/100))),0)</f>
        <v/>
      </c>
      <c r="BT3038">
        <f>IF(AND(3025&lt;$U$9,$W$5),BQ3038*1000000-MIN(BR3038,999)*1000+BS3038-3025/100000,-1000000000-3025)</f>
        <v/>
      </c>
    </row>
    <row r="3039">
      <c r="BN3039">
        <f>IF(3026&lt;$U$9,INT(3026/($U$7*$U$8))+1,1)</f>
        <v/>
      </c>
      <c r="BO3039">
        <f>IF(3026&lt;$U$9,MOD(INT(3026/$U$8),$U$7)+1,1)</f>
        <v/>
      </c>
      <c r="BP3039">
        <f>IF(3026&lt;$U$9,MOD(3026,$U$8)+1,1)</f>
        <v/>
      </c>
      <c r="BQ3039">
        <f>IF(3026&lt;$U$9,SUMPRODUCT(($D$10:$L$10&lt;&gt;"")*(($D$9:$L$9+INT(($S$12:$AA$12+INDEX($AJ$13:$AR$162,BN3039,0)+INDEX($AT$13:$BB$162,BO3039,0)+INDEX($BD$13:$BL$162,BP3039,0))/100))&gt;=$D$10:$L$10)),0)</f>
        <v/>
      </c>
      <c r="BR3039">
        <f>IF(3026&lt;$U$9,SUMPRODUCT(($D$10:$L$10&lt;&gt;"")*(($D$10:$L$10-($D$9:$L$9+INT(($S$12:$AA$12+INDEX($AJ$13:$AR$162,BN3039,0)+INDEX($AT$13:$BB$162,BO3039,0)+INDEX($BD$13:$BL$162,BP3039,0))/100)))&gt;0)*($D$10:$L$10-($D$9:$L$9+INT(($S$12:$AA$12+INDEX($AJ$13:$AR$162,BN3039,0)+INDEX($AT$13:$BB$162,BO3039,0)+INDEX($BD$13:$BL$162,BP3039,0))/100)))),0)</f>
        <v/>
      </c>
      <c r="BS3039">
        <f>IF(3026&lt;$U$9,SUMPRODUCT(($D$9:$L$9+INT(($S$12:$AA$12+INDEX($AJ$13:$AR$162,BN3039,0)+INDEX($AT$13:$BB$162,BO3039,0)+INDEX($BD$13:$BL$162,BP3039,0))/100))),0)</f>
        <v/>
      </c>
      <c r="BT3039">
        <f>IF(AND(3026&lt;$U$9,$W$5),BQ3039*1000000-MIN(BR3039,999)*1000+BS3039-3026/100000,-1000000000-3026)</f>
        <v/>
      </c>
    </row>
    <row r="3040">
      <c r="BN3040">
        <f>IF(3027&lt;$U$9,INT(3027/($U$7*$U$8))+1,1)</f>
        <v/>
      </c>
      <c r="BO3040">
        <f>IF(3027&lt;$U$9,MOD(INT(3027/$U$8),$U$7)+1,1)</f>
        <v/>
      </c>
      <c r="BP3040">
        <f>IF(3027&lt;$U$9,MOD(3027,$U$8)+1,1)</f>
        <v/>
      </c>
      <c r="BQ3040">
        <f>IF(3027&lt;$U$9,SUMPRODUCT(($D$10:$L$10&lt;&gt;"")*(($D$9:$L$9+INT(($S$12:$AA$12+INDEX($AJ$13:$AR$162,BN3040,0)+INDEX($AT$13:$BB$162,BO3040,0)+INDEX($BD$13:$BL$162,BP3040,0))/100))&gt;=$D$10:$L$10)),0)</f>
        <v/>
      </c>
      <c r="BR3040">
        <f>IF(3027&lt;$U$9,SUMPRODUCT(($D$10:$L$10&lt;&gt;"")*(($D$10:$L$10-($D$9:$L$9+INT(($S$12:$AA$12+INDEX($AJ$13:$AR$162,BN3040,0)+INDEX($AT$13:$BB$162,BO3040,0)+INDEX($BD$13:$BL$162,BP3040,0))/100)))&gt;0)*($D$10:$L$10-($D$9:$L$9+INT(($S$12:$AA$12+INDEX($AJ$13:$AR$162,BN3040,0)+INDEX($AT$13:$BB$162,BO3040,0)+INDEX($BD$13:$BL$162,BP3040,0))/100)))),0)</f>
        <v/>
      </c>
      <c r="BS3040">
        <f>IF(3027&lt;$U$9,SUMPRODUCT(($D$9:$L$9+INT(($S$12:$AA$12+INDEX($AJ$13:$AR$162,BN3040,0)+INDEX($AT$13:$BB$162,BO3040,0)+INDEX($BD$13:$BL$162,BP3040,0))/100))),0)</f>
        <v/>
      </c>
      <c r="BT3040">
        <f>IF(AND(3027&lt;$U$9,$W$5),BQ3040*1000000-MIN(BR3040,999)*1000+BS3040-3027/100000,-1000000000-3027)</f>
        <v/>
      </c>
    </row>
    <row r="3041">
      <c r="BN3041">
        <f>IF(3028&lt;$U$9,INT(3028/($U$7*$U$8))+1,1)</f>
        <v/>
      </c>
      <c r="BO3041">
        <f>IF(3028&lt;$U$9,MOD(INT(3028/$U$8),$U$7)+1,1)</f>
        <v/>
      </c>
      <c r="BP3041">
        <f>IF(3028&lt;$U$9,MOD(3028,$U$8)+1,1)</f>
        <v/>
      </c>
      <c r="BQ3041">
        <f>IF(3028&lt;$U$9,SUMPRODUCT(($D$10:$L$10&lt;&gt;"")*(($D$9:$L$9+INT(($S$12:$AA$12+INDEX($AJ$13:$AR$162,BN3041,0)+INDEX($AT$13:$BB$162,BO3041,0)+INDEX($BD$13:$BL$162,BP3041,0))/100))&gt;=$D$10:$L$10)),0)</f>
        <v/>
      </c>
      <c r="BR3041">
        <f>IF(3028&lt;$U$9,SUMPRODUCT(($D$10:$L$10&lt;&gt;"")*(($D$10:$L$10-($D$9:$L$9+INT(($S$12:$AA$12+INDEX($AJ$13:$AR$162,BN3041,0)+INDEX($AT$13:$BB$162,BO3041,0)+INDEX($BD$13:$BL$162,BP3041,0))/100)))&gt;0)*($D$10:$L$10-($D$9:$L$9+INT(($S$12:$AA$12+INDEX($AJ$13:$AR$162,BN3041,0)+INDEX($AT$13:$BB$162,BO3041,0)+INDEX($BD$13:$BL$162,BP3041,0))/100)))),0)</f>
        <v/>
      </c>
      <c r="BS3041">
        <f>IF(3028&lt;$U$9,SUMPRODUCT(($D$9:$L$9+INT(($S$12:$AA$12+INDEX($AJ$13:$AR$162,BN3041,0)+INDEX($AT$13:$BB$162,BO3041,0)+INDEX($BD$13:$BL$162,BP3041,0))/100))),0)</f>
        <v/>
      </c>
      <c r="BT3041">
        <f>IF(AND(3028&lt;$U$9,$W$5),BQ3041*1000000-MIN(BR3041,999)*1000+BS3041-3028/100000,-1000000000-3028)</f>
        <v/>
      </c>
    </row>
    <row r="3042">
      <c r="BN3042">
        <f>IF(3029&lt;$U$9,INT(3029/($U$7*$U$8))+1,1)</f>
        <v/>
      </c>
      <c r="BO3042">
        <f>IF(3029&lt;$U$9,MOD(INT(3029/$U$8),$U$7)+1,1)</f>
        <v/>
      </c>
      <c r="BP3042">
        <f>IF(3029&lt;$U$9,MOD(3029,$U$8)+1,1)</f>
        <v/>
      </c>
      <c r="BQ3042">
        <f>IF(3029&lt;$U$9,SUMPRODUCT(($D$10:$L$10&lt;&gt;"")*(($D$9:$L$9+INT(($S$12:$AA$12+INDEX($AJ$13:$AR$162,BN3042,0)+INDEX($AT$13:$BB$162,BO3042,0)+INDEX($BD$13:$BL$162,BP3042,0))/100))&gt;=$D$10:$L$10)),0)</f>
        <v/>
      </c>
      <c r="BR3042">
        <f>IF(3029&lt;$U$9,SUMPRODUCT(($D$10:$L$10&lt;&gt;"")*(($D$10:$L$10-($D$9:$L$9+INT(($S$12:$AA$12+INDEX($AJ$13:$AR$162,BN3042,0)+INDEX($AT$13:$BB$162,BO3042,0)+INDEX($BD$13:$BL$162,BP3042,0))/100)))&gt;0)*($D$10:$L$10-($D$9:$L$9+INT(($S$12:$AA$12+INDEX($AJ$13:$AR$162,BN3042,0)+INDEX($AT$13:$BB$162,BO3042,0)+INDEX($BD$13:$BL$162,BP3042,0))/100)))),0)</f>
        <v/>
      </c>
      <c r="BS3042">
        <f>IF(3029&lt;$U$9,SUMPRODUCT(($D$9:$L$9+INT(($S$12:$AA$12+INDEX($AJ$13:$AR$162,BN3042,0)+INDEX($AT$13:$BB$162,BO3042,0)+INDEX($BD$13:$BL$162,BP3042,0))/100))),0)</f>
        <v/>
      </c>
      <c r="BT3042">
        <f>IF(AND(3029&lt;$U$9,$W$5),BQ3042*1000000-MIN(BR3042,999)*1000+BS3042-3029/100000,-1000000000-3029)</f>
        <v/>
      </c>
    </row>
    <row r="3043">
      <c r="BN3043">
        <f>IF(3030&lt;$U$9,INT(3030/($U$7*$U$8))+1,1)</f>
        <v/>
      </c>
      <c r="BO3043">
        <f>IF(3030&lt;$U$9,MOD(INT(3030/$U$8),$U$7)+1,1)</f>
        <v/>
      </c>
      <c r="BP3043">
        <f>IF(3030&lt;$U$9,MOD(3030,$U$8)+1,1)</f>
        <v/>
      </c>
      <c r="BQ3043">
        <f>IF(3030&lt;$U$9,SUMPRODUCT(($D$10:$L$10&lt;&gt;"")*(($D$9:$L$9+INT(($S$12:$AA$12+INDEX($AJ$13:$AR$162,BN3043,0)+INDEX($AT$13:$BB$162,BO3043,0)+INDEX($BD$13:$BL$162,BP3043,0))/100))&gt;=$D$10:$L$10)),0)</f>
        <v/>
      </c>
      <c r="BR3043">
        <f>IF(3030&lt;$U$9,SUMPRODUCT(($D$10:$L$10&lt;&gt;"")*(($D$10:$L$10-($D$9:$L$9+INT(($S$12:$AA$12+INDEX($AJ$13:$AR$162,BN3043,0)+INDEX($AT$13:$BB$162,BO3043,0)+INDEX($BD$13:$BL$162,BP3043,0))/100)))&gt;0)*($D$10:$L$10-($D$9:$L$9+INT(($S$12:$AA$12+INDEX($AJ$13:$AR$162,BN3043,0)+INDEX($AT$13:$BB$162,BO3043,0)+INDEX($BD$13:$BL$162,BP3043,0))/100)))),0)</f>
        <v/>
      </c>
      <c r="BS3043">
        <f>IF(3030&lt;$U$9,SUMPRODUCT(($D$9:$L$9+INT(($S$12:$AA$12+INDEX($AJ$13:$AR$162,BN3043,0)+INDEX($AT$13:$BB$162,BO3043,0)+INDEX($BD$13:$BL$162,BP3043,0))/100))),0)</f>
        <v/>
      </c>
      <c r="BT3043">
        <f>IF(AND(3030&lt;$U$9,$W$5),BQ3043*1000000-MIN(BR3043,999)*1000+BS3043-3030/100000,-1000000000-3030)</f>
        <v/>
      </c>
    </row>
    <row r="3044">
      <c r="BN3044">
        <f>IF(3031&lt;$U$9,INT(3031/($U$7*$U$8))+1,1)</f>
        <v/>
      </c>
      <c r="BO3044">
        <f>IF(3031&lt;$U$9,MOD(INT(3031/$U$8),$U$7)+1,1)</f>
        <v/>
      </c>
      <c r="BP3044">
        <f>IF(3031&lt;$U$9,MOD(3031,$U$8)+1,1)</f>
        <v/>
      </c>
      <c r="BQ3044">
        <f>IF(3031&lt;$U$9,SUMPRODUCT(($D$10:$L$10&lt;&gt;"")*(($D$9:$L$9+INT(($S$12:$AA$12+INDEX($AJ$13:$AR$162,BN3044,0)+INDEX($AT$13:$BB$162,BO3044,0)+INDEX($BD$13:$BL$162,BP3044,0))/100))&gt;=$D$10:$L$10)),0)</f>
        <v/>
      </c>
      <c r="BR3044">
        <f>IF(3031&lt;$U$9,SUMPRODUCT(($D$10:$L$10&lt;&gt;"")*(($D$10:$L$10-($D$9:$L$9+INT(($S$12:$AA$12+INDEX($AJ$13:$AR$162,BN3044,0)+INDEX($AT$13:$BB$162,BO3044,0)+INDEX($BD$13:$BL$162,BP3044,0))/100)))&gt;0)*($D$10:$L$10-($D$9:$L$9+INT(($S$12:$AA$12+INDEX($AJ$13:$AR$162,BN3044,0)+INDEX($AT$13:$BB$162,BO3044,0)+INDEX($BD$13:$BL$162,BP3044,0))/100)))),0)</f>
        <v/>
      </c>
      <c r="BS3044">
        <f>IF(3031&lt;$U$9,SUMPRODUCT(($D$9:$L$9+INT(($S$12:$AA$12+INDEX($AJ$13:$AR$162,BN3044,0)+INDEX($AT$13:$BB$162,BO3044,0)+INDEX($BD$13:$BL$162,BP3044,0))/100))),0)</f>
        <v/>
      </c>
      <c r="BT3044">
        <f>IF(AND(3031&lt;$U$9,$W$5),BQ3044*1000000-MIN(BR3044,999)*1000+BS3044-3031/100000,-1000000000-3031)</f>
        <v/>
      </c>
    </row>
    <row r="3045">
      <c r="BN3045">
        <f>IF(3032&lt;$U$9,INT(3032/($U$7*$U$8))+1,1)</f>
        <v/>
      </c>
      <c r="BO3045">
        <f>IF(3032&lt;$U$9,MOD(INT(3032/$U$8),$U$7)+1,1)</f>
        <v/>
      </c>
      <c r="BP3045">
        <f>IF(3032&lt;$U$9,MOD(3032,$U$8)+1,1)</f>
        <v/>
      </c>
      <c r="BQ3045">
        <f>IF(3032&lt;$U$9,SUMPRODUCT(($D$10:$L$10&lt;&gt;"")*(($D$9:$L$9+INT(($S$12:$AA$12+INDEX($AJ$13:$AR$162,BN3045,0)+INDEX($AT$13:$BB$162,BO3045,0)+INDEX($BD$13:$BL$162,BP3045,0))/100))&gt;=$D$10:$L$10)),0)</f>
        <v/>
      </c>
      <c r="BR3045">
        <f>IF(3032&lt;$U$9,SUMPRODUCT(($D$10:$L$10&lt;&gt;"")*(($D$10:$L$10-($D$9:$L$9+INT(($S$12:$AA$12+INDEX($AJ$13:$AR$162,BN3045,0)+INDEX($AT$13:$BB$162,BO3045,0)+INDEX($BD$13:$BL$162,BP3045,0))/100)))&gt;0)*($D$10:$L$10-($D$9:$L$9+INT(($S$12:$AA$12+INDEX($AJ$13:$AR$162,BN3045,0)+INDEX($AT$13:$BB$162,BO3045,0)+INDEX($BD$13:$BL$162,BP3045,0))/100)))),0)</f>
        <v/>
      </c>
      <c r="BS3045">
        <f>IF(3032&lt;$U$9,SUMPRODUCT(($D$9:$L$9+INT(($S$12:$AA$12+INDEX($AJ$13:$AR$162,BN3045,0)+INDEX($AT$13:$BB$162,BO3045,0)+INDEX($BD$13:$BL$162,BP3045,0))/100))),0)</f>
        <v/>
      </c>
      <c r="BT3045">
        <f>IF(AND(3032&lt;$U$9,$W$5),BQ3045*1000000-MIN(BR3045,999)*1000+BS3045-3032/100000,-1000000000-3032)</f>
        <v/>
      </c>
    </row>
    <row r="3046">
      <c r="BN3046">
        <f>IF(3033&lt;$U$9,INT(3033/($U$7*$U$8))+1,1)</f>
        <v/>
      </c>
      <c r="BO3046">
        <f>IF(3033&lt;$U$9,MOD(INT(3033/$U$8),$U$7)+1,1)</f>
        <v/>
      </c>
      <c r="BP3046">
        <f>IF(3033&lt;$U$9,MOD(3033,$U$8)+1,1)</f>
        <v/>
      </c>
      <c r="BQ3046">
        <f>IF(3033&lt;$U$9,SUMPRODUCT(($D$10:$L$10&lt;&gt;"")*(($D$9:$L$9+INT(($S$12:$AA$12+INDEX($AJ$13:$AR$162,BN3046,0)+INDEX($AT$13:$BB$162,BO3046,0)+INDEX($BD$13:$BL$162,BP3046,0))/100))&gt;=$D$10:$L$10)),0)</f>
        <v/>
      </c>
      <c r="BR3046">
        <f>IF(3033&lt;$U$9,SUMPRODUCT(($D$10:$L$10&lt;&gt;"")*(($D$10:$L$10-($D$9:$L$9+INT(($S$12:$AA$12+INDEX($AJ$13:$AR$162,BN3046,0)+INDEX($AT$13:$BB$162,BO3046,0)+INDEX($BD$13:$BL$162,BP3046,0))/100)))&gt;0)*($D$10:$L$10-($D$9:$L$9+INT(($S$12:$AA$12+INDEX($AJ$13:$AR$162,BN3046,0)+INDEX($AT$13:$BB$162,BO3046,0)+INDEX($BD$13:$BL$162,BP3046,0))/100)))),0)</f>
        <v/>
      </c>
      <c r="BS3046">
        <f>IF(3033&lt;$U$9,SUMPRODUCT(($D$9:$L$9+INT(($S$12:$AA$12+INDEX($AJ$13:$AR$162,BN3046,0)+INDEX($AT$13:$BB$162,BO3046,0)+INDEX($BD$13:$BL$162,BP3046,0))/100))),0)</f>
        <v/>
      </c>
      <c r="BT3046">
        <f>IF(AND(3033&lt;$U$9,$W$5),BQ3046*1000000-MIN(BR3046,999)*1000+BS3046-3033/100000,-1000000000-3033)</f>
        <v/>
      </c>
    </row>
    <row r="3047">
      <c r="BN3047">
        <f>IF(3034&lt;$U$9,INT(3034/($U$7*$U$8))+1,1)</f>
        <v/>
      </c>
      <c r="BO3047">
        <f>IF(3034&lt;$U$9,MOD(INT(3034/$U$8),$U$7)+1,1)</f>
        <v/>
      </c>
      <c r="BP3047">
        <f>IF(3034&lt;$U$9,MOD(3034,$U$8)+1,1)</f>
        <v/>
      </c>
      <c r="BQ3047">
        <f>IF(3034&lt;$U$9,SUMPRODUCT(($D$10:$L$10&lt;&gt;"")*(($D$9:$L$9+INT(($S$12:$AA$12+INDEX($AJ$13:$AR$162,BN3047,0)+INDEX($AT$13:$BB$162,BO3047,0)+INDEX($BD$13:$BL$162,BP3047,0))/100))&gt;=$D$10:$L$10)),0)</f>
        <v/>
      </c>
      <c r="BR3047">
        <f>IF(3034&lt;$U$9,SUMPRODUCT(($D$10:$L$10&lt;&gt;"")*(($D$10:$L$10-($D$9:$L$9+INT(($S$12:$AA$12+INDEX($AJ$13:$AR$162,BN3047,0)+INDEX($AT$13:$BB$162,BO3047,0)+INDEX($BD$13:$BL$162,BP3047,0))/100)))&gt;0)*($D$10:$L$10-($D$9:$L$9+INT(($S$12:$AA$12+INDEX($AJ$13:$AR$162,BN3047,0)+INDEX($AT$13:$BB$162,BO3047,0)+INDEX($BD$13:$BL$162,BP3047,0))/100)))),0)</f>
        <v/>
      </c>
      <c r="BS3047">
        <f>IF(3034&lt;$U$9,SUMPRODUCT(($D$9:$L$9+INT(($S$12:$AA$12+INDEX($AJ$13:$AR$162,BN3047,0)+INDEX($AT$13:$BB$162,BO3047,0)+INDEX($BD$13:$BL$162,BP3047,0))/100))),0)</f>
        <v/>
      </c>
      <c r="BT3047">
        <f>IF(AND(3034&lt;$U$9,$W$5),BQ3047*1000000-MIN(BR3047,999)*1000+BS3047-3034/100000,-1000000000-3034)</f>
        <v/>
      </c>
    </row>
    <row r="3048">
      <c r="BN3048">
        <f>IF(3035&lt;$U$9,INT(3035/($U$7*$U$8))+1,1)</f>
        <v/>
      </c>
      <c r="BO3048">
        <f>IF(3035&lt;$U$9,MOD(INT(3035/$U$8),$U$7)+1,1)</f>
        <v/>
      </c>
      <c r="BP3048">
        <f>IF(3035&lt;$U$9,MOD(3035,$U$8)+1,1)</f>
        <v/>
      </c>
      <c r="BQ3048">
        <f>IF(3035&lt;$U$9,SUMPRODUCT(($D$10:$L$10&lt;&gt;"")*(($D$9:$L$9+INT(($S$12:$AA$12+INDEX($AJ$13:$AR$162,BN3048,0)+INDEX($AT$13:$BB$162,BO3048,0)+INDEX($BD$13:$BL$162,BP3048,0))/100))&gt;=$D$10:$L$10)),0)</f>
        <v/>
      </c>
      <c r="BR3048">
        <f>IF(3035&lt;$U$9,SUMPRODUCT(($D$10:$L$10&lt;&gt;"")*(($D$10:$L$10-($D$9:$L$9+INT(($S$12:$AA$12+INDEX($AJ$13:$AR$162,BN3048,0)+INDEX($AT$13:$BB$162,BO3048,0)+INDEX($BD$13:$BL$162,BP3048,0))/100)))&gt;0)*($D$10:$L$10-($D$9:$L$9+INT(($S$12:$AA$12+INDEX($AJ$13:$AR$162,BN3048,0)+INDEX($AT$13:$BB$162,BO3048,0)+INDEX($BD$13:$BL$162,BP3048,0))/100)))),0)</f>
        <v/>
      </c>
      <c r="BS3048">
        <f>IF(3035&lt;$U$9,SUMPRODUCT(($D$9:$L$9+INT(($S$12:$AA$12+INDEX($AJ$13:$AR$162,BN3048,0)+INDEX($AT$13:$BB$162,BO3048,0)+INDEX($BD$13:$BL$162,BP3048,0))/100))),0)</f>
        <v/>
      </c>
      <c r="BT3048">
        <f>IF(AND(3035&lt;$U$9,$W$5),BQ3048*1000000-MIN(BR3048,999)*1000+BS3048-3035/100000,-1000000000-3035)</f>
        <v/>
      </c>
    </row>
    <row r="3049">
      <c r="BN3049">
        <f>IF(3036&lt;$U$9,INT(3036/($U$7*$U$8))+1,1)</f>
        <v/>
      </c>
      <c r="BO3049">
        <f>IF(3036&lt;$U$9,MOD(INT(3036/$U$8),$U$7)+1,1)</f>
        <v/>
      </c>
      <c r="BP3049">
        <f>IF(3036&lt;$U$9,MOD(3036,$U$8)+1,1)</f>
        <v/>
      </c>
      <c r="BQ3049">
        <f>IF(3036&lt;$U$9,SUMPRODUCT(($D$10:$L$10&lt;&gt;"")*(($D$9:$L$9+INT(($S$12:$AA$12+INDEX($AJ$13:$AR$162,BN3049,0)+INDEX($AT$13:$BB$162,BO3049,0)+INDEX($BD$13:$BL$162,BP3049,0))/100))&gt;=$D$10:$L$10)),0)</f>
        <v/>
      </c>
      <c r="BR3049">
        <f>IF(3036&lt;$U$9,SUMPRODUCT(($D$10:$L$10&lt;&gt;"")*(($D$10:$L$10-($D$9:$L$9+INT(($S$12:$AA$12+INDEX($AJ$13:$AR$162,BN3049,0)+INDEX($AT$13:$BB$162,BO3049,0)+INDEX($BD$13:$BL$162,BP3049,0))/100)))&gt;0)*($D$10:$L$10-($D$9:$L$9+INT(($S$12:$AA$12+INDEX($AJ$13:$AR$162,BN3049,0)+INDEX($AT$13:$BB$162,BO3049,0)+INDEX($BD$13:$BL$162,BP3049,0))/100)))),0)</f>
        <v/>
      </c>
      <c r="BS3049">
        <f>IF(3036&lt;$U$9,SUMPRODUCT(($D$9:$L$9+INT(($S$12:$AA$12+INDEX($AJ$13:$AR$162,BN3049,0)+INDEX($AT$13:$BB$162,BO3049,0)+INDEX($BD$13:$BL$162,BP3049,0))/100))),0)</f>
        <v/>
      </c>
      <c r="BT3049">
        <f>IF(AND(3036&lt;$U$9,$W$5),BQ3049*1000000-MIN(BR3049,999)*1000+BS3049-3036/100000,-1000000000-3036)</f>
        <v/>
      </c>
    </row>
    <row r="3050">
      <c r="BN3050">
        <f>IF(3037&lt;$U$9,INT(3037/($U$7*$U$8))+1,1)</f>
        <v/>
      </c>
      <c r="BO3050">
        <f>IF(3037&lt;$U$9,MOD(INT(3037/$U$8),$U$7)+1,1)</f>
        <v/>
      </c>
      <c r="BP3050">
        <f>IF(3037&lt;$U$9,MOD(3037,$U$8)+1,1)</f>
        <v/>
      </c>
      <c r="BQ3050">
        <f>IF(3037&lt;$U$9,SUMPRODUCT(($D$10:$L$10&lt;&gt;"")*(($D$9:$L$9+INT(($S$12:$AA$12+INDEX($AJ$13:$AR$162,BN3050,0)+INDEX($AT$13:$BB$162,BO3050,0)+INDEX($BD$13:$BL$162,BP3050,0))/100))&gt;=$D$10:$L$10)),0)</f>
        <v/>
      </c>
      <c r="BR3050">
        <f>IF(3037&lt;$U$9,SUMPRODUCT(($D$10:$L$10&lt;&gt;"")*(($D$10:$L$10-($D$9:$L$9+INT(($S$12:$AA$12+INDEX($AJ$13:$AR$162,BN3050,0)+INDEX($AT$13:$BB$162,BO3050,0)+INDEX($BD$13:$BL$162,BP3050,0))/100)))&gt;0)*($D$10:$L$10-($D$9:$L$9+INT(($S$12:$AA$12+INDEX($AJ$13:$AR$162,BN3050,0)+INDEX($AT$13:$BB$162,BO3050,0)+INDEX($BD$13:$BL$162,BP3050,0))/100)))),0)</f>
        <v/>
      </c>
      <c r="BS3050">
        <f>IF(3037&lt;$U$9,SUMPRODUCT(($D$9:$L$9+INT(($S$12:$AA$12+INDEX($AJ$13:$AR$162,BN3050,0)+INDEX($AT$13:$BB$162,BO3050,0)+INDEX($BD$13:$BL$162,BP3050,0))/100))),0)</f>
        <v/>
      </c>
      <c r="BT3050">
        <f>IF(AND(3037&lt;$U$9,$W$5),BQ3050*1000000-MIN(BR3050,999)*1000+BS3050-3037/100000,-1000000000-3037)</f>
        <v/>
      </c>
    </row>
    <row r="3051">
      <c r="BN3051">
        <f>IF(3038&lt;$U$9,INT(3038/($U$7*$U$8))+1,1)</f>
        <v/>
      </c>
      <c r="BO3051">
        <f>IF(3038&lt;$U$9,MOD(INT(3038/$U$8),$U$7)+1,1)</f>
        <v/>
      </c>
      <c r="BP3051">
        <f>IF(3038&lt;$U$9,MOD(3038,$U$8)+1,1)</f>
        <v/>
      </c>
      <c r="BQ3051">
        <f>IF(3038&lt;$U$9,SUMPRODUCT(($D$10:$L$10&lt;&gt;"")*(($D$9:$L$9+INT(($S$12:$AA$12+INDEX($AJ$13:$AR$162,BN3051,0)+INDEX($AT$13:$BB$162,BO3051,0)+INDEX($BD$13:$BL$162,BP3051,0))/100))&gt;=$D$10:$L$10)),0)</f>
        <v/>
      </c>
      <c r="BR3051">
        <f>IF(3038&lt;$U$9,SUMPRODUCT(($D$10:$L$10&lt;&gt;"")*(($D$10:$L$10-($D$9:$L$9+INT(($S$12:$AA$12+INDEX($AJ$13:$AR$162,BN3051,0)+INDEX($AT$13:$BB$162,BO3051,0)+INDEX($BD$13:$BL$162,BP3051,0))/100)))&gt;0)*($D$10:$L$10-($D$9:$L$9+INT(($S$12:$AA$12+INDEX($AJ$13:$AR$162,BN3051,0)+INDEX($AT$13:$BB$162,BO3051,0)+INDEX($BD$13:$BL$162,BP3051,0))/100)))),0)</f>
        <v/>
      </c>
      <c r="BS3051">
        <f>IF(3038&lt;$U$9,SUMPRODUCT(($D$9:$L$9+INT(($S$12:$AA$12+INDEX($AJ$13:$AR$162,BN3051,0)+INDEX($AT$13:$BB$162,BO3051,0)+INDEX($BD$13:$BL$162,BP3051,0))/100))),0)</f>
        <v/>
      </c>
      <c r="BT3051">
        <f>IF(AND(3038&lt;$U$9,$W$5),BQ3051*1000000-MIN(BR3051,999)*1000+BS3051-3038/100000,-1000000000-3038)</f>
        <v/>
      </c>
    </row>
    <row r="3052">
      <c r="BN3052">
        <f>IF(3039&lt;$U$9,INT(3039/($U$7*$U$8))+1,1)</f>
        <v/>
      </c>
      <c r="BO3052">
        <f>IF(3039&lt;$U$9,MOD(INT(3039/$U$8),$U$7)+1,1)</f>
        <v/>
      </c>
      <c r="BP3052">
        <f>IF(3039&lt;$U$9,MOD(3039,$U$8)+1,1)</f>
        <v/>
      </c>
      <c r="BQ3052">
        <f>IF(3039&lt;$U$9,SUMPRODUCT(($D$10:$L$10&lt;&gt;"")*(($D$9:$L$9+INT(($S$12:$AA$12+INDEX($AJ$13:$AR$162,BN3052,0)+INDEX($AT$13:$BB$162,BO3052,0)+INDEX($BD$13:$BL$162,BP3052,0))/100))&gt;=$D$10:$L$10)),0)</f>
        <v/>
      </c>
      <c r="BR3052">
        <f>IF(3039&lt;$U$9,SUMPRODUCT(($D$10:$L$10&lt;&gt;"")*(($D$10:$L$10-($D$9:$L$9+INT(($S$12:$AA$12+INDEX($AJ$13:$AR$162,BN3052,0)+INDEX($AT$13:$BB$162,BO3052,0)+INDEX($BD$13:$BL$162,BP3052,0))/100)))&gt;0)*($D$10:$L$10-($D$9:$L$9+INT(($S$12:$AA$12+INDEX($AJ$13:$AR$162,BN3052,0)+INDEX($AT$13:$BB$162,BO3052,0)+INDEX($BD$13:$BL$162,BP3052,0))/100)))),0)</f>
        <v/>
      </c>
      <c r="BS3052">
        <f>IF(3039&lt;$U$9,SUMPRODUCT(($D$9:$L$9+INT(($S$12:$AA$12+INDEX($AJ$13:$AR$162,BN3052,0)+INDEX($AT$13:$BB$162,BO3052,0)+INDEX($BD$13:$BL$162,BP3052,0))/100))),0)</f>
        <v/>
      </c>
      <c r="BT3052">
        <f>IF(AND(3039&lt;$U$9,$W$5),BQ3052*1000000-MIN(BR3052,999)*1000+BS3052-3039/100000,-1000000000-3039)</f>
        <v/>
      </c>
    </row>
    <row r="3053">
      <c r="BN3053">
        <f>IF(3040&lt;$U$9,INT(3040/($U$7*$U$8))+1,1)</f>
        <v/>
      </c>
      <c r="BO3053">
        <f>IF(3040&lt;$U$9,MOD(INT(3040/$U$8),$U$7)+1,1)</f>
        <v/>
      </c>
      <c r="BP3053">
        <f>IF(3040&lt;$U$9,MOD(3040,$U$8)+1,1)</f>
        <v/>
      </c>
      <c r="BQ3053">
        <f>IF(3040&lt;$U$9,SUMPRODUCT(($D$10:$L$10&lt;&gt;"")*(($D$9:$L$9+INT(($S$12:$AA$12+INDEX($AJ$13:$AR$162,BN3053,0)+INDEX($AT$13:$BB$162,BO3053,0)+INDEX($BD$13:$BL$162,BP3053,0))/100))&gt;=$D$10:$L$10)),0)</f>
        <v/>
      </c>
      <c r="BR3053">
        <f>IF(3040&lt;$U$9,SUMPRODUCT(($D$10:$L$10&lt;&gt;"")*(($D$10:$L$10-($D$9:$L$9+INT(($S$12:$AA$12+INDEX($AJ$13:$AR$162,BN3053,0)+INDEX($AT$13:$BB$162,BO3053,0)+INDEX($BD$13:$BL$162,BP3053,0))/100)))&gt;0)*($D$10:$L$10-($D$9:$L$9+INT(($S$12:$AA$12+INDEX($AJ$13:$AR$162,BN3053,0)+INDEX($AT$13:$BB$162,BO3053,0)+INDEX($BD$13:$BL$162,BP3053,0))/100)))),0)</f>
        <v/>
      </c>
      <c r="BS3053">
        <f>IF(3040&lt;$U$9,SUMPRODUCT(($D$9:$L$9+INT(($S$12:$AA$12+INDEX($AJ$13:$AR$162,BN3053,0)+INDEX($AT$13:$BB$162,BO3053,0)+INDEX($BD$13:$BL$162,BP3053,0))/100))),0)</f>
        <v/>
      </c>
      <c r="BT3053">
        <f>IF(AND(3040&lt;$U$9,$W$5),BQ3053*1000000-MIN(BR3053,999)*1000+BS3053-3040/100000,-1000000000-3040)</f>
        <v/>
      </c>
    </row>
    <row r="3054">
      <c r="BN3054">
        <f>IF(3041&lt;$U$9,INT(3041/($U$7*$U$8))+1,1)</f>
        <v/>
      </c>
      <c r="BO3054">
        <f>IF(3041&lt;$U$9,MOD(INT(3041/$U$8),$U$7)+1,1)</f>
        <v/>
      </c>
      <c r="BP3054">
        <f>IF(3041&lt;$U$9,MOD(3041,$U$8)+1,1)</f>
        <v/>
      </c>
      <c r="BQ3054">
        <f>IF(3041&lt;$U$9,SUMPRODUCT(($D$10:$L$10&lt;&gt;"")*(($D$9:$L$9+INT(($S$12:$AA$12+INDEX($AJ$13:$AR$162,BN3054,0)+INDEX($AT$13:$BB$162,BO3054,0)+INDEX($BD$13:$BL$162,BP3054,0))/100))&gt;=$D$10:$L$10)),0)</f>
        <v/>
      </c>
      <c r="BR3054">
        <f>IF(3041&lt;$U$9,SUMPRODUCT(($D$10:$L$10&lt;&gt;"")*(($D$10:$L$10-($D$9:$L$9+INT(($S$12:$AA$12+INDEX($AJ$13:$AR$162,BN3054,0)+INDEX($AT$13:$BB$162,BO3054,0)+INDEX($BD$13:$BL$162,BP3054,0))/100)))&gt;0)*($D$10:$L$10-($D$9:$L$9+INT(($S$12:$AA$12+INDEX($AJ$13:$AR$162,BN3054,0)+INDEX($AT$13:$BB$162,BO3054,0)+INDEX($BD$13:$BL$162,BP3054,0))/100)))),0)</f>
        <v/>
      </c>
      <c r="BS3054">
        <f>IF(3041&lt;$U$9,SUMPRODUCT(($D$9:$L$9+INT(($S$12:$AA$12+INDEX($AJ$13:$AR$162,BN3054,0)+INDEX($AT$13:$BB$162,BO3054,0)+INDEX($BD$13:$BL$162,BP3054,0))/100))),0)</f>
        <v/>
      </c>
      <c r="BT3054">
        <f>IF(AND(3041&lt;$U$9,$W$5),BQ3054*1000000-MIN(BR3054,999)*1000+BS3054-3041/100000,-1000000000-3041)</f>
        <v/>
      </c>
    </row>
    <row r="3055">
      <c r="BN3055">
        <f>IF(3042&lt;$U$9,INT(3042/($U$7*$U$8))+1,1)</f>
        <v/>
      </c>
      <c r="BO3055">
        <f>IF(3042&lt;$U$9,MOD(INT(3042/$U$8),$U$7)+1,1)</f>
        <v/>
      </c>
      <c r="BP3055">
        <f>IF(3042&lt;$U$9,MOD(3042,$U$8)+1,1)</f>
        <v/>
      </c>
      <c r="BQ3055">
        <f>IF(3042&lt;$U$9,SUMPRODUCT(($D$10:$L$10&lt;&gt;"")*(($D$9:$L$9+INT(($S$12:$AA$12+INDEX($AJ$13:$AR$162,BN3055,0)+INDEX($AT$13:$BB$162,BO3055,0)+INDEX($BD$13:$BL$162,BP3055,0))/100))&gt;=$D$10:$L$10)),0)</f>
        <v/>
      </c>
      <c r="BR3055">
        <f>IF(3042&lt;$U$9,SUMPRODUCT(($D$10:$L$10&lt;&gt;"")*(($D$10:$L$10-($D$9:$L$9+INT(($S$12:$AA$12+INDEX($AJ$13:$AR$162,BN3055,0)+INDEX($AT$13:$BB$162,BO3055,0)+INDEX($BD$13:$BL$162,BP3055,0))/100)))&gt;0)*($D$10:$L$10-($D$9:$L$9+INT(($S$12:$AA$12+INDEX($AJ$13:$AR$162,BN3055,0)+INDEX($AT$13:$BB$162,BO3055,0)+INDEX($BD$13:$BL$162,BP3055,0))/100)))),0)</f>
        <v/>
      </c>
      <c r="BS3055">
        <f>IF(3042&lt;$U$9,SUMPRODUCT(($D$9:$L$9+INT(($S$12:$AA$12+INDEX($AJ$13:$AR$162,BN3055,0)+INDEX($AT$13:$BB$162,BO3055,0)+INDEX($BD$13:$BL$162,BP3055,0))/100))),0)</f>
        <v/>
      </c>
      <c r="BT3055">
        <f>IF(AND(3042&lt;$U$9,$W$5),BQ3055*1000000-MIN(BR3055,999)*1000+BS3055-3042/100000,-1000000000-3042)</f>
        <v/>
      </c>
    </row>
    <row r="3056">
      <c r="BN3056">
        <f>IF(3043&lt;$U$9,INT(3043/($U$7*$U$8))+1,1)</f>
        <v/>
      </c>
      <c r="BO3056">
        <f>IF(3043&lt;$U$9,MOD(INT(3043/$U$8),$U$7)+1,1)</f>
        <v/>
      </c>
      <c r="BP3056">
        <f>IF(3043&lt;$U$9,MOD(3043,$U$8)+1,1)</f>
        <v/>
      </c>
      <c r="BQ3056">
        <f>IF(3043&lt;$U$9,SUMPRODUCT(($D$10:$L$10&lt;&gt;"")*(($D$9:$L$9+INT(($S$12:$AA$12+INDEX($AJ$13:$AR$162,BN3056,0)+INDEX($AT$13:$BB$162,BO3056,0)+INDEX($BD$13:$BL$162,BP3056,0))/100))&gt;=$D$10:$L$10)),0)</f>
        <v/>
      </c>
      <c r="BR3056">
        <f>IF(3043&lt;$U$9,SUMPRODUCT(($D$10:$L$10&lt;&gt;"")*(($D$10:$L$10-($D$9:$L$9+INT(($S$12:$AA$12+INDEX($AJ$13:$AR$162,BN3056,0)+INDEX($AT$13:$BB$162,BO3056,0)+INDEX($BD$13:$BL$162,BP3056,0))/100)))&gt;0)*($D$10:$L$10-($D$9:$L$9+INT(($S$12:$AA$12+INDEX($AJ$13:$AR$162,BN3056,0)+INDEX($AT$13:$BB$162,BO3056,0)+INDEX($BD$13:$BL$162,BP3056,0))/100)))),0)</f>
        <v/>
      </c>
      <c r="BS3056">
        <f>IF(3043&lt;$U$9,SUMPRODUCT(($D$9:$L$9+INT(($S$12:$AA$12+INDEX($AJ$13:$AR$162,BN3056,0)+INDEX($AT$13:$BB$162,BO3056,0)+INDEX($BD$13:$BL$162,BP3056,0))/100))),0)</f>
        <v/>
      </c>
      <c r="BT3056">
        <f>IF(AND(3043&lt;$U$9,$W$5),BQ3056*1000000-MIN(BR3056,999)*1000+BS3056-3043/100000,-1000000000-3043)</f>
        <v/>
      </c>
    </row>
    <row r="3057">
      <c r="BN3057">
        <f>IF(3044&lt;$U$9,INT(3044/($U$7*$U$8))+1,1)</f>
        <v/>
      </c>
      <c r="BO3057">
        <f>IF(3044&lt;$U$9,MOD(INT(3044/$U$8),$U$7)+1,1)</f>
        <v/>
      </c>
      <c r="BP3057">
        <f>IF(3044&lt;$U$9,MOD(3044,$U$8)+1,1)</f>
        <v/>
      </c>
      <c r="BQ3057">
        <f>IF(3044&lt;$U$9,SUMPRODUCT(($D$10:$L$10&lt;&gt;"")*(($D$9:$L$9+INT(($S$12:$AA$12+INDEX($AJ$13:$AR$162,BN3057,0)+INDEX($AT$13:$BB$162,BO3057,0)+INDEX($BD$13:$BL$162,BP3057,0))/100))&gt;=$D$10:$L$10)),0)</f>
        <v/>
      </c>
      <c r="BR3057">
        <f>IF(3044&lt;$U$9,SUMPRODUCT(($D$10:$L$10&lt;&gt;"")*(($D$10:$L$10-($D$9:$L$9+INT(($S$12:$AA$12+INDEX($AJ$13:$AR$162,BN3057,0)+INDEX($AT$13:$BB$162,BO3057,0)+INDEX($BD$13:$BL$162,BP3057,0))/100)))&gt;0)*($D$10:$L$10-($D$9:$L$9+INT(($S$12:$AA$12+INDEX($AJ$13:$AR$162,BN3057,0)+INDEX($AT$13:$BB$162,BO3057,0)+INDEX($BD$13:$BL$162,BP3057,0))/100)))),0)</f>
        <v/>
      </c>
      <c r="BS3057">
        <f>IF(3044&lt;$U$9,SUMPRODUCT(($D$9:$L$9+INT(($S$12:$AA$12+INDEX($AJ$13:$AR$162,BN3057,0)+INDEX($AT$13:$BB$162,BO3057,0)+INDEX($BD$13:$BL$162,BP3057,0))/100))),0)</f>
        <v/>
      </c>
      <c r="BT3057">
        <f>IF(AND(3044&lt;$U$9,$W$5),BQ3057*1000000-MIN(BR3057,999)*1000+BS3057-3044/100000,-1000000000-3044)</f>
        <v/>
      </c>
    </row>
    <row r="3058">
      <c r="BN3058">
        <f>IF(3045&lt;$U$9,INT(3045/($U$7*$U$8))+1,1)</f>
        <v/>
      </c>
      <c r="BO3058">
        <f>IF(3045&lt;$U$9,MOD(INT(3045/$U$8),$U$7)+1,1)</f>
        <v/>
      </c>
      <c r="BP3058">
        <f>IF(3045&lt;$U$9,MOD(3045,$U$8)+1,1)</f>
        <v/>
      </c>
      <c r="BQ3058">
        <f>IF(3045&lt;$U$9,SUMPRODUCT(($D$10:$L$10&lt;&gt;"")*(($D$9:$L$9+INT(($S$12:$AA$12+INDEX($AJ$13:$AR$162,BN3058,0)+INDEX($AT$13:$BB$162,BO3058,0)+INDEX($BD$13:$BL$162,BP3058,0))/100))&gt;=$D$10:$L$10)),0)</f>
        <v/>
      </c>
      <c r="BR3058">
        <f>IF(3045&lt;$U$9,SUMPRODUCT(($D$10:$L$10&lt;&gt;"")*(($D$10:$L$10-($D$9:$L$9+INT(($S$12:$AA$12+INDEX($AJ$13:$AR$162,BN3058,0)+INDEX($AT$13:$BB$162,BO3058,0)+INDEX($BD$13:$BL$162,BP3058,0))/100)))&gt;0)*($D$10:$L$10-($D$9:$L$9+INT(($S$12:$AA$12+INDEX($AJ$13:$AR$162,BN3058,0)+INDEX($AT$13:$BB$162,BO3058,0)+INDEX($BD$13:$BL$162,BP3058,0))/100)))),0)</f>
        <v/>
      </c>
      <c r="BS3058">
        <f>IF(3045&lt;$U$9,SUMPRODUCT(($D$9:$L$9+INT(($S$12:$AA$12+INDEX($AJ$13:$AR$162,BN3058,0)+INDEX($AT$13:$BB$162,BO3058,0)+INDEX($BD$13:$BL$162,BP3058,0))/100))),0)</f>
        <v/>
      </c>
      <c r="BT3058">
        <f>IF(AND(3045&lt;$U$9,$W$5),BQ3058*1000000-MIN(BR3058,999)*1000+BS3058-3045/100000,-1000000000-3045)</f>
        <v/>
      </c>
    </row>
    <row r="3059">
      <c r="BN3059">
        <f>IF(3046&lt;$U$9,INT(3046/($U$7*$U$8))+1,1)</f>
        <v/>
      </c>
      <c r="BO3059">
        <f>IF(3046&lt;$U$9,MOD(INT(3046/$U$8),$U$7)+1,1)</f>
        <v/>
      </c>
      <c r="BP3059">
        <f>IF(3046&lt;$U$9,MOD(3046,$U$8)+1,1)</f>
        <v/>
      </c>
      <c r="BQ3059">
        <f>IF(3046&lt;$U$9,SUMPRODUCT(($D$10:$L$10&lt;&gt;"")*(($D$9:$L$9+INT(($S$12:$AA$12+INDEX($AJ$13:$AR$162,BN3059,0)+INDEX($AT$13:$BB$162,BO3059,0)+INDEX($BD$13:$BL$162,BP3059,0))/100))&gt;=$D$10:$L$10)),0)</f>
        <v/>
      </c>
      <c r="BR3059">
        <f>IF(3046&lt;$U$9,SUMPRODUCT(($D$10:$L$10&lt;&gt;"")*(($D$10:$L$10-($D$9:$L$9+INT(($S$12:$AA$12+INDEX($AJ$13:$AR$162,BN3059,0)+INDEX($AT$13:$BB$162,BO3059,0)+INDEX($BD$13:$BL$162,BP3059,0))/100)))&gt;0)*($D$10:$L$10-($D$9:$L$9+INT(($S$12:$AA$12+INDEX($AJ$13:$AR$162,BN3059,0)+INDEX($AT$13:$BB$162,BO3059,0)+INDEX($BD$13:$BL$162,BP3059,0))/100)))),0)</f>
        <v/>
      </c>
      <c r="BS3059">
        <f>IF(3046&lt;$U$9,SUMPRODUCT(($D$9:$L$9+INT(($S$12:$AA$12+INDEX($AJ$13:$AR$162,BN3059,0)+INDEX($AT$13:$BB$162,BO3059,0)+INDEX($BD$13:$BL$162,BP3059,0))/100))),0)</f>
        <v/>
      </c>
      <c r="BT3059">
        <f>IF(AND(3046&lt;$U$9,$W$5),BQ3059*1000000-MIN(BR3059,999)*1000+BS3059-3046/100000,-1000000000-3046)</f>
        <v/>
      </c>
    </row>
    <row r="3060">
      <c r="BN3060">
        <f>IF(3047&lt;$U$9,INT(3047/($U$7*$U$8))+1,1)</f>
        <v/>
      </c>
      <c r="BO3060">
        <f>IF(3047&lt;$U$9,MOD(INT(3047/$U$8),$U$7)+1,1)</f>
        <v/>
      </c>
      <c r="BP3060">
        <f>IF(3047&lt;$U$9,MOD(3047,$U$8)+1,1)</f>
        <v/>
      </c>
      <c r="BQ3060">
        <f>IF(3047&lt;$U$9,SUMPRODUCT(($D$10:$L$10&lt;&gt;"")*(($D$9:$L$9+INT(($S$12:$AA$12+INDEX($AJ$13:$AR$162,BN3060,0)+INDEX($AT$13:$BB$162,BO3060,0)+INDEX($BD$13:$BL$162,BP3060,0))/100))&gt;=$D$10:$L$10)),0)</f>
        <v/>
      </c>
      <c r="BR3060">
        <f>IF(3047&lt;$U$9,SUMPRODUCT(($D$10:$L$10&lt;&gt;"")*(($D$10:$L$10-($D$9:$L$9+INT(($S$12:$AA$12+INDEX($AJ$13:$AR$162,BN3060,0)+INDEX($AT$13:$BB$162,BO3060,0)+INDEX($BD$13:$BL$162,BP3060,0))/100)))&gt;0)*($D$10:$L$10-($D$9:$L$9+INT(($S$12:$AA$12+INDEX($AJ$13:$AR$162,BN3060,0)+INDEX($AT$13:$BB$162,BO3060,0)+INDEX($BD$13:$BL$162,BP3060,0))/100)))),0)</f>
        <v/>
      </c>
      <c r="BS3060">
        <f>IF(3047&lt;$U$9,SUMPRODUCT(($D$9:$L$9+INT(($S$12:$AA$12+INDEX($AJ$13:$AR$162,BN3060,0)+INDEX($AT$13:$BB$162,BO3060,0)+INDEX($BD$13:$BL$162,BP3060,0))/100))),0)</f>
        <v/>
      </c>
      <c r="BT3060">
        <f>IF(AND(3047&lt;$U$9,$W$5),BQ3060*1000000-MIN(BR3060,999)*1000+BS3060-3047/100000,-1000000000-3047)</f>
        <v/>
      </c>
    </row>
    <row r="3061">
      <c r="BN3061">
        <f>IF(3048&lt;$U$9,INT(3048/($U$7*$U$8))+1,1)</f>
        <v/>
      </c>
      <c r="BO3061">
        <f>IF(3048&lt;$U$9,MOD(INT(3048/$U$8),$U$7)+1,1)</f>
        <v/>
      </c>
      <c r="BP3061">
        <f>IF(3048&lt;$U$9,MOD(3048,$U$8)+1,1)</f>
        <v/>
      </c>
      <c r="BQ3061">
        <f>IF(3048&lt;$U$9,SUMPRODUCT(($D$10:$L$10&lt;&gt;"")*(($D$9:$L$9+INT(($S$12:$AA$12+INDEX($AJ$13:$AR$162,BN3061,0)+INDEX($AT$13:$BB$162,BO3061,0)+INDEX($BD$13:$BL$162,BP3061,0))/100))&gt;=$D$10:$L$10)),0)</f>
        <v/>
      </c>
      <c r="BR3061">
        <f>IF(3048&lt;$U$9,SUMPRODUCT(($D$10:$L$10&lt;&gt;"")*(($D$10:$L$10-($D$9:$L$9+INT(($S$12:$AA$12+INDEX($AJ$13:$AR$162,BN3061,0)+INDEX($AT$13:$BB$162,BO3061,0)+INDEX($BD$13:$BL$162,BP3061,0))/100)))&gt;0)*($D$10:$L$10-($D$9:$L$9+INT(($S$12:$AA$12+INDEX($AJ$13:$AR$162,BN3061,0)+INDEX($AT$13:$BB$162,BO3061,0)+INDEX($BD$13:$BL$162,BP3061,0))/100)))),0)</f>
        <v/>
      </c>
      <c r="BS3061">
        <f>IF(3048&lt;$U$9,SUMPRODUCT(($D$9:$L$9+INT(($S$12:$AA$12+INDEX($AJ$13:$AR$162,BN3061,0)+INDEX($AT$13:$BB$162,BO3061,0)+INDEX($BD$13:$BL$162,BP3061,0))/100))),0)</f>
        <v/>
      </c>
      <c r="BT3061">
        <f>IF(AND(3048&lt;$U$9,$W$5),BQ3061*1000000-MIN(BR3061,999)*1000+BS3061-3048/100000,-1000000000-3048)</f>
        <v/>
      </c>
    </row>
    <row r="3062">
      <c r="BN3062">
        <f>IF(3049&lt;$U$9,INT(3049/($U$7*$U$8))+1,1)</f>
        <v/>
      </c>
      <c r="BO3062">
        <f>IF(3049&lt;$U$9,MOD(INT(3049/$U$8),$U$7)+1,1)</f>
        <v/>
      </c>
      <c r="BP3062">
        <f>IF(3049&lt;$U$9,MOD(3049,$U$8)+1,1)</f>
        <v/>
      </c>
      <c r="BQ3062">
        <f>IF(3049&lt;$U$9,SUMPRODUCT(($D$10:$L$10&lt;&gt;"")*(($D$9:$L$9+INT(($S$12:$AA$12+INDEX($AJ$13:$AR$162,BN3062,0)+INDEX($AT$13:$BB$162,BO3062,0)+INDEX($BD$13:$BL$162,BP3062,0))/100))&gt;=$D$10:$L$10)),0)</f>
        <v/>
      </c>
      <c r="BR3062">
        <f>IF(3049&lt;$U$9,SUMPRODUCT(($D$10:$L$10&lt;&gt;"")*(($D$10:$L$10-($D$9:$L$9+INT(($S$12:$AA$12+INDEX($AJ$13:$AR$162,BN3062,0)+INDEX($AT$13:$BB$162,BO3062,0)+INDEX($BD$13:$BL$162,BP3062,0))/100)))&gt;0)*($D$10:$L$10-($D$9:$L$9+INT(($S$12:$AA$12+INDEX($AJ$13:$AR$162,BN3062,0)+INDEX($AT$13:$BB$162,BO3062,0)+INDEX($BD$13:$BL$162,BP3062,0))/100)))),0)</f>
        <v/>
      </c>
      <c r="BS3062">
        <f>IF(3049&lt;$U$9,SUMPRODUCT(($D$9:$L$9+INT(($S$12:$AA$12+INDEX($AJ$13:$AR$162,BN3062,0)+INDEX($AT$13:$BB$162,BO3062,0)+INDEX($BD$13:$BL$162,BP3062,0))/100))),0)</f>
        <v/>
      </c>
      <c r="BT3062">
        <f>IF(AND(3049&lt;$U$9,$W$5),BQ3062*1000000-MIN(BR3062,999)*1000+BS3062-3049/100000,-1000000000-3049)</f>
        <v/>
      </c>
    </row>
    <row r="3063">
      <c r="BN3063">
        <f>IF(3050&lt;$U$9,INT(3050/($U$7*$U$8))+1,1)</f>
        <v/>
      </c>
      <c r="BO3063">
        <f>IF(3050&lt;$U$9,MOD(INT(3050/$U$8),$U$7)+1,1)</f>
        <v/>
      </c>
      <c r="BP3063">
        <f>IF(3050&lt;$U$9,MOD(3050,$U$8)+1,1)</f>
        <v/>
      </c>
      <c r="BQ3063">
        <f>IF(3050&lt;$U$9,SUMPRODUCT(($D$10:$L$10&lt;&gt;"")*(($D$9:$L$9+INT(($S$12:$AA$12+INDEX($AJ$13:$AR$162,BN3063,0)+INDEX($AT$13:$BB$162,BO3063,0)+INDEX($BD$13:$BL$162,BP3063,0))/100))&gt;=$D$10:$L$10)),0)</f>
        <v/>
      </c>
      <c r="BR3063">
        <f>IF(3050&lt;$U$9,SUMPRODUCT(($D$10:$L$10&lt;&gt;"")*(($D$10:$L$10-($D$9:$L$9+INT(($S$12:$AA$12+INDEX($AJ$13:$AR$162,BN3063,0)+INDEX($AT$13:$BB$162,BO3063,0)+INDEX($BD$13:$BL$162,BP3063,0))/100)))&gt;0)*($D$10:$L$10-($D$9:$L$9+INT(($S$12:$AA$12+INDEX($AJ$13:$AR$162,BN3063,0)+INDEX($AT$13:$BB$162,BO3063,0)+INDEX($BD$13:$BL$162,BP3063,0))/100)))),0)</f>
        <v/>
      </c>
      <c r="BS3063">
        <f>IF(3050&lt;$U$9,SUMPRODUCT(($D$9:$L$9+INT(($S$12:$AA$12+INDEX($AJ$13:$AR$162,BN3063,0)+INDEX($AT$13:$BB$162,BO3063,0)+INDEX($BD$13:$BL$162,BP3063,0))/100))),0)</f>
        <v/>
      </c>
      <c r="BT3063">
        <f>IF(AND(3050&lt;$U$9,$W$5),BQ3063*1000000-MIN(BR3063,999)*1000+BS3063-3050/100000,-1000000000-3050)</f>
        <v/>
      </c>
    </row>
    <row r="3064">
      <c r="BN3064">
        <f>IF(3051&lt;$U$9,INT(3051/($U$7*$U$8))+1,1)</f>
        <v/>
      </c>
      <c r="BO3064">
        <f>IF(3051&lt;$U$9,MOD(INT(3051/$U$8),$U$7)+1,1)</f>
        <v/>
      </c>
      <c r="BP3064">
        <f>IF(3051&lt;$U$9,MOD(3051,$U$8)+1,1)</f>
        <v/>
      </c>
      <c r="BQ3064">
        <f>IF(3051&lt;$U$9,SUMPRODUCT(($D$10:$L$10&lt;&gt;"")*(($D$9:$L$9+INT(($S$12:$AA$12+INDEX($AJ$13:$AR$162,BN3064,0)+INDEX($AT$13:$BB$162,BO3064,0)+INDEX($BD$13:$BL$162,BP3064,0))/100))&gt;=$D$10:$L$10)),0)</f>
        <v/>
      </c>
      <c r="BR3064">
        <f>IF(3051&lt;$U$9,SUMPRODUCT(($D$10:$L$10&lt;&gt;"")*(($D$10:$L$10-($D$9:$L$9+INT(($S$12:$AA$12+INDEX($AJ$13:$AR$162,BN3064,0)+INDEX($AT$13:$BB$162,BO3064,0)+INDEX($BD$13:$BL$162,BP3064,0))/100)))&gt;0)*($D$10:$L$10-($D$9:$L$9+INT(($S$12:$AA$12+INDEX($AJ$13:$AR$162,BN3064,0)+INDEX($AT$13:$BB$162,BO3064,0)+INDEX($BD$13:$BL$162,BP3064,0))/100)))),0)</f>
        <v/>
      </c>
      <c r="BS3064">
        <f>IF(3051&lt;$U$9,SUMPRODUCT(($D$9:$L$9+INT(($S$12:$AA$12+INDEX($AJ$13:$AR$162,BN3064,0)+INDEX($AT$13:$BB$162,BO3064,0)+INDEX($BD$13:$BL$162,BP3064,0))/100))),0)</f>
        <v/>
      </c>
      <c r="BT3064">
        <f>IF(AND(3051&lt;$U$9,$W$5),BQ3064*1000000-MIN(BR3064,999)*1000+BS3064-3051/100000,-1000000000-3051)</f>
        <v/>
      </c>
    </row>
    <row r="3065">
      <c r="BN3065">
        <f>IF(3052&lt;$U$9,INT(3052/($U$7*$U$8))+1,1)</f>
        <v/>
      </c>
      <c r="BO3065">
        <f>IF(3052&lt;$U$9,MOD(INT(3052/$U$8),$U$7)+1,1)</f>
        <v/>
      </c>
      <c r="BP3065">
        <f>IF(3052&lt;$U$9,MOD(3052,$U$8)+1,1)</f>
        <v/>
      </c>
      <c r="BQ3065">
        <f>IF(3052&lt;$U$9,SUMPRODUCT(($D$10:$L$10&lt;&gt;"")*(($D$9:$L$9+INT(($S$12:$AA$12+INDEX($AJ$13:$AR$162,BN3065,0)+INDEX($AT$13:$BB$162,BO3065,0)+INDEX($BD$13:$BL$162,BP3065,0))/100))&gt;=$D$10:$L$10)),0)</f>
        <v/>
      </c>
      <c r="BR3065">
        <f>IF(3052&lt;$U$9,SUMPRODUCT(($D$10:$L$10&lt;&gt;"")*(($D$10:$L$10-($D$9:$L$9+INT(($S$12:$AA$12+INDEX($AJ$13:$AR$162,BN3065,0)+INDEX($AT$13:$BB$162,BO3065,0)+INDEX($BD$13:$BL$162,BP3065,0))/100)))&gt;0)*($D$10:$L$10-($D$9:$L$9+INT(($S$12:$AA$12+INDEX($AJ$13:$AR$162,BN3065,0)+INDEX($AT$13:$BB$162,BO3065,0)+INDEX($BD$13:$BL$162,BP3065,0))/100)))),0)</f>
        <v/>
      </c>
      <c r="BS3065">
        <f>IF(3052&lt;$U$9,SUMPRODUCT(($D$9:$L$9+INT(($S$12:$AA$12+INDEX($AJ$13:$AR$162,BN3065,0)+INDEX($AT$13:$BB$162,BO3065,0)+INDEX($BD$13:$BL$162,BP3065,0))/100))),0)</f>
        <v/>
      </c>
      <c r="BT3065">
        <f>IF(AND(3052&lt;$U$9,$W$5),BQ3065*1000000-MIN(BR3065,999)*1000+BS3065-3052/100000,-1000000000-3052)</f>
        <v/>
      </c>
    </row>
    <row r="3066">
      <c r="BN3066">
        <f>IF(3053&lt;$U$9,INT(3053/($U$7*$U$8))+1,1)</f>
        <v/>
      </c>
      <c r="BO3066">
        <f>IF(3053&lt;$U$9,MOD(INT(3053/$U$8),$U$7)+1,1)</f>
        <v/>
      </c>
      <c r="BP3066">
        <f>IF(3053&lt;$U$9,MOD(3053,$U$8)+1,1)</f>
        <v/>
      </c>
      <c r="BQ3066">
        <f>IF(3053&lt;$U$9,SUMPRODUCT(($D$10:$L$10&lt;&gt;"")*(($D$9:$L$9+INT(($S$12:$AA$12+INDEX($AJ$13:$AR$162,BN3066,0)+INDEX($AT$13:$BB$162,BO3066,0)+INDEX($BD$13:$BL$162,BP3066,0))/100))&gt;=$D$10:$L$10)),0)</f>
        <v/>
      </c>
      <c r="BR3066">
        <f>IF(3053&lt;$U$9,SUMPRODUCT(($D$10:$L$10&lt;&gt;"")*(($D$10:$L$10-($D$9:$L$9+INT(($S$12:$AA$12+INDEX($AJ$13:$AR$162,BN3066,0)+INDEX($AT$13:$BB$162,BO3066,0)+INDEX($BD$13:$BL$162,BP3066,0))/100)))&gt;0)*($D$10:$L$10-($D$9:$L$9+INT(($S$12:$AA$12+INDEX($AJ$13:$AR$162,BN3066,0)+INDEX($AT$13:$BB$162,BO3066,0)+INDEX($BD$13:$BL$162,BP3066,0))/100)))),0)</f>
        <v/>
      </c>
      <c r="BS3066">
        <f>IF(3053&lt;$U$9,SUMPRODUCT(($D$9:$L$9+INT(($S$12:$AA$12+INDEX($AJ$13:$AR$162,BN3066,0)+INDEX($AT$13:$BB$162,BO3066,0)+INDEX($BD$13:$BL$162,BP3066,0))/100))),0)</f>
        <v/>
      </c>
      <c r="BT3066">
        <f>IF(AND(3053&lt;$U$9,$W$5),BQ3066*1000000-MIN(BR3066,999)*1000+BS3066-3053/100000,-1000000000-3053)</f>
        <v/>
      </c>
    </row>
    <row r="3067">
      <c r="BN3067">
        <f>IF(3054&lt;$U$9,INT(3054/($U$7*$U$8))+1,1)</f>
        <v/>
      </c>
      <c r="BO3067">
        <f>IF(3054&lt;$U$9,MOD(INT(3054/$U$8),$U$7)+1,1)</f>
        <v/>
      </c>
      <c r="BP3067">
        <f>IF(3054&lt;$U$9,MOD(3054,$U$8)+1,1)</f>
        <v/>
      </c>
      <c r="BQ3067">
        <f>IF(3054&lt;$U$9,SUMPRODUCT(($D$10:$L$10&lt;&gt;"")*(($D$9:$L$9+INT(($S$12:$AA$12+INDEX($AJ$13:$AR$162,BN3067,0)+INDEX($AT$13:$BB$162,BO3067,0)+INDEX($BD$13:$BL$162,BP3067,0))/100))&gt;=$D$10:$L$10)),0)</f>
        <v/>
      </c>
      <c r="BR3067">
        <f>IF(3054&lt;$U$9,SUMPRODUCT(($D$10:$L$10&lt;&gt;"")*(($D$10:$L$10-($D$9:$L$9+INT(($S$12:$AA$12+INDEX($AJ$13:$AR$162,BN3067,0)+INDEX($AT$13:$BB$162,BO3067,0)+INDEX($BD$13:$BL$162,BP3067,0))/100)))&gt;0)*($D$10:$L$10-($D$9:$L$9+INT(($S$12:$AA$12+INDEX($AJ$13:$AR$162,BN3067,0)+INDEX($AT$13:$BB$162,BO3067,0)+INDEX($BD$13:$BL$162,BP3067,0))/100)))),0)</f>
        <v/>
      </c>
      <c r="BS3067">
        <f>IF(3054&lt;$U$9,SUMPRODUCT(($D$9:$L$9+INT(($S$12:$AA$12+INDEX($AJ$13:$AR$162,BN3067,0)+INDEX($AT$13:$BB$162,BO3067,0)+INDEX($BD$13:$BL$162,BP3067,0))/100))),0)</f>
        <v/>
      </c>
      <c r="BT3067">
        <f>IF(AND(3054&lt;$U$9,$W$5),BQ3067*1000000-MIN(BR3067,999)*1000+BS3067-3054/100000,-1000000000-3054)</f>
        <v/>
      </c>
    </row>
    <row r="3068">
      <c r="BN3068">
        <f>IF(3055&lt;$U$9,INT(3055/($U$7*$U$8))+1,1)</f>
        <v/>
      </c>
      <c r="BO3068">
        <f>IF(3055&lt;$U$9,MOD(INT(3055/$U$8),$U$7)+1,1)</f>
        <v/>
      </c>
      <c r="BP3068">
        <f>IF(3055&lt;$U$9,MOD(3055,$U$8)+1,1)</f>
        <v/>
      </c>
      <c r="BQ3068">
        <f>IF(3055&lt;$U$9,SUMPRODUCT(($D$10:$L$10&lt;&gt;"")*(($D$9:$L$9+INT(($S$12:$AA$12+INDEX($AJ$13:$AR$162,BN3068,0)+INDEX($AT$13:$BB$162,BO3068,0)+INDEX($BD$13:$BL$162,BP3068,0))/100))&gt;=$D$10:$L$10)),0)</f>
        <v/>
      </c>
      <c r="BR3068">
        <f>IF(3055&lt;$U$9,SUMPRODUCT(($D$10:$L$10&lt;&gt;"")*(($D$10:$L$10-($D$9:$L$9+INT(($S$12:$AA$12+INDEX($AJ$13:$AR$162,BN3068,0)+INDEX($AT$13:$BB$162,BO3068,0)+INDEX($BD$13:$BL$162,BP3068,0))/100)))&gt;0)*($D$10:$L$10-($D$9:$L$9+INT(($S$12:$AA$12+INDEX($AJ$13:$AR$162,BN3068,0)+INDEX($AT$13:$BB$162,BO3068,0)+INDEX($BD$13:$BL$162,BP3068,0))/100)))),0)</f>
        <v/>
      </c>
      <c r="BS3068">
        <f>IF(3055&lt;$U$9,SUMPRODUCT(($D$9:$L$9+INT(($S$12:$AA$12+INDEX($AJ$13:$AR$162,BN3068,0)+INDEX($AT$13:$BB$162,BO3068,0)+INDEX($BD$13:$BL$162,BP3068,0))/100))),0)</f>
        <v/>
      </c>
      <c r="BT3068">
        <f>IF(AND(3055&lt;$U$9,$W$5),BQ3068*1000000-MIN(BR3068,999)*1000+BS3068-3055/100000,-1000000000-3055)</f>
        <v/>
      </c>
    </row>
    <row r="3069">
      <c r="BN3069">
        <f>IF(3056&lt;$U$9,INT(3056/($U$7*$U$8))+1,1)</f>
        <v/>
      </c>
      <c r="BO3069">
        <f>IF(3056&lt;$U$9,MOD(INT(3056/$U$8),$U$7)+1,1)</f>
        <v/>
      </c>
      <c r="BP3069">
        <f>IF(3056&lt;$U$9,MOD(3056,$U$8)+1,1)</f>
        <v/>
      </c>
      <c r="BQ3069">
        <f>IF(3056&lt;$U$9,SUMPRODUCT(($D$10:$L$10&lt;&gt;"")*(($D$9:$L$9+INT(($S$12:$AA$12+INDEX($AJ$13:$AR$162,BN3069,0)+INDEX($AT$13:$BB$162,BO3069,0)+INDEX($BD$13:$BL$162,BP3069,0))/100))&gt;=$D$10:$L$10)),0)</f>
        <v/>
      </c>
      <c r="BR3069">
        <f>IF(3056&lt;$U$9,SUMPRODUCT(($D$10:$L$10&lt;&gt;"")*(($D$10:$L$10-($D$9:$L$9+INT(($S$12:$AA$12+INDEX($AJ$13:$AR$162,BN3069,0)+INDEX($AT$13:$BB$162,BO3069,0)+INDEX($BD$13:$BL$162,BP3069,0))/100)))&gt;0)*($D$10:$L$10-($D$9:$L$9+INT(($S$12:$AA$12+INDEX($AJ$13:$AR$162,BN3069,0)+INDEX($AT$13:$BB$162,BO3069,0)+INDEX($BD$13:$BL$162,BP3069,0))/100)))),0)</f>
        <v/>
      </c>
      <c r="BS3069">
        <f>IF(3056&lt;$U$9,SUMPRODUCT(($D$9:$L$9+INT(($S$12:$AA$12+INDEX($AJ$13:$AR$162,BN3069,0)+INDEX($AT$13:$BB$162,BO3069,0)+INDEX($BD$13:$BL$162,BP3069,0))/100))),0)</f>
        <v/>
      </c>
      <c r="BT3069">
        <f>IF(AND(3056&lt;$U$9,$W$5),BQ3069*1000000-MIN(BR3069,999)*1000+BS3069-3056/100000,-1000000000-3056)</f>
        <v/>
      </c>
    </row>
    <row r="3070">
      <c r="BN3070">
        <f>IF(3057&lt;$U$9,INT(3057/($U$7*$U$8))+1,1)</f>
        <v/>
      </c>
      <c r="BO3070">
        <f>IF(3057&lt;$U$9,MOD(INT(3057/$U$8),$U$7)+1,1)</f>
        <v/>
      </c>
      <c r="BP3070">
        <f>IF(3057&lt;$U$9,MOD(3057,$U$8)+1,1)</f>
        <v/>
      </c>
      <c r="BQ3070">
        <f>IF(3057&lt;$U$9,SUMPRODUCT(($D$10:$L$10&lt;&gt;"")*(($D$9:$L$9+INT(($S$12:$AA$12+INDEX($AJ$13:$AR$162,BN3070,0)+INDEX($AT$13:$BB$162,BO3070,0)+INDEX($BD$13:$BL$162,BP3070,0))/100))&gt;=$D$10:$L$10)),0)</f>
        <v/>
      </c>
      <c r="BR3070">
        <f>IF(3057&lt;$U$9,SUMPRODUCT(($D$10:$L$10&lt;&gt;"")*(($D$10:$L$10-($D$9:$L$9+INT(($S$12:$AA$12+INDEX($AJ$13:$AR$162,BN3070,0)+INDEX($AT$13:$BB$162,BO3070,0)+INDEX($BD$13:$BL$162,BP3070,0))/100)))&gt;0)*($D$10:$L$10-($D$9:$L$9+INT(($S$12:$AA$12+INDEX($AJ$13:$AR$162,BN3070,0)+INDEX($AT$13:$BB$162,BO3070,0)+INDEX($BD$13:$BL$162,BP3070,0))/100)))),0)</f>
        <v/>
      </c>
      <c r="BS3070">
        <f>IF(3057&lt;$U$9,SUMPRODUCT(($D$9:$L$9+INT(($S$12:$AA$12+INDEX($AJ$13:$AR$162,BN3070,0)+INDEX($AT$13:$BB$162,BO3070,0)+INDEX($BD$13:$BL$162,BP3070,0))/100))),0)</f>
        <v/>
      </c>
      <c r="BT3070">
        <f>IF(AND(3057&lt;$U$9,$W$5),BQ3070*1000000-MIN(BR3070,999)*1000+BS3070-3057/100000,-1000000000-3057)</f>
        <v/>
      </c>
    </row>
    <row r="3071">
      <c r="BN3071">
        <f>IF(3058&lt;$U$9,INT(3058/($U$7*$U$8))+1,1)</f>
        <v/>
      </c>
      <c r="BO3071">
        <f>IF(3058&lt;$U$9,MOD(INT(3058/$U$8),$U$7)+1,1)</f>
        <v/>
      </c>
      <c r="BP3071">
        <f>IF(3058&lt;$U$9,MOD(3058,$U$8)+1,1)</f>
        <v/>
      </c>
      <c r="BQ3071">
        <f>IF(3058&lt;$U$9,SUMPRODUCT(($D$10:$L$10&lt;&gt;"")*(($D$9:$L$9+INT(($S$12:$AA$12+INDEX($AJ$13:$AR$162,BN3071,0)+INDEX($AT$13:$BB$162,BO3071,0)+INDEX($BD$13:$BL$162,BP3071,0))/100))&gt;=$D$10:$L$10)),0)</f>
        <v/>
      </c>
      <c r="BR3071">
        <f>IF(3058&lt;$U$9,SUMPRODUCT(($D$10:$L$10&lt;&gt;"")*(($D$10:$L$10-($D$9:$L$9+INT(($S$12:$AA$12+INDEX($AJ$13:$AR$162,BN3071,0)+INDEX($AT$13:$BB$162,BO3071,0)+INDEX($BD$13:$BL$162,BP3071,0))/100)))&gt;0)*($D$10:$L$10-($D$9:$L$9+INT(($S$12:$AA$12+INDEX($AJ$13:$AR$162,BN3071,0)+INDEX($AT$13:$BB$162,BO3071,0)+INDEX($BD$13:$BL$162,BP3071,0))/100)))),0)</f>
        <v/>
      </c>
      <c r="BS3071">
        <f>IF(3058&lt;$U$9,SUMPRODUCT(($D$9:$L$9+INT(($S$12:$AA$12+INDEX($AJ$13:$AR$162,BN3071,0)+INDEX($AT$13:$BB$162,BO3071,0)+INDEX($BD$13:$BL$162,BP3071,0))/100))),0)</f>
        <v/>
      </c>
      <c r="BT3071">
        <f>IF(AND(3058&lt;$U$9,$W$5),BQ3071*1000000-MIN(BR3071,999)*1000+BS3071-3058/100000,-1000000000-3058)</f>
        <v/>
      </c>
    </row>
    <row r="3072">
      <c r="BN3072">
        <f>IF(3059&lt;$U$9,INT(3059/($U$7*$U$8))+1,1)</f>
        <v/>
      </c>
      <c r="BO3072">
        <f>IF(3059&lt;$U$9,MOD(INT(3059/$U$8),$U$7)+1,1)</f>
        <v/>
      </c>
      <c r="BP3072">
        <f>IF(3059&lt;$U$9,MOD(3059,$U$8)+1,1)</f>
        <v/>
      </c>
      <c r="BQ3072">
        <f>IF(3059&lt;$U$9,SUMPRODUCT(($D$10:$L$10&lt;&gt;"")*(($D$9:$L$9+INT(($S$12:$AA$12+INDEX($AJ$13:$AR$162,BN3072,0)+INDEX($AT$13:$BB$162,BO3072,0)+INDEX($BD$13:$BL$162,BP3072,0))/100))&gt;=$D$10:$L$10)),0)</f>
        <v/>
      </c>
      <c r="BR3072">
        <f>IF(3059&lt;$U$9,SUMPRODUCT(($D$10:$L$10&lt;&gt;"")*(($D$10:$L$10-($D$9:$L$9+INT(($S$12:$AA$12+INDEX($AJ$13:$AR$162,BN3072,0)+INDEX($AT$13:$BB$162,BO3072,0)+INDEX($BD$13:$BL$162,BP3072,0))/100)))&gt;0)*($D$10:$L$10-($D$9:$L$9+INT(($S$12:$AA$12+INDEX($AJ$13:$AR$162,BN3072,0)+INDEX($AT$13:$BB$162,BO3072,0)+INDEX($BD$13:$BL$162,BP3072,0))/100)))),0)</f>
        <v/>
      </c>
      <c r="BS3072">
        <f>IF(3059&lt;$U$9,SUMPRODUCT(($D$9:$L$9+INT(($S$12:$AA$12+INDEX($AJ$13:$AR$162,BN3072,0)+INDEX($AT$13:$BB$162,BO3072,0)+INDEX($BD$13:$BL$162,BP3072,0))/100))),0)</f>
        <v/>
      </c>
      <c r="BT3072">
        <f>IF(AND(3059&lt;$U$9,$W$5),BQ3072*1000000-MIN(BR3072,999)*1000+BS3072-3059/100000,-1000000000-3059)</f>
        <v/>
      </c>
    </row>
    <row r="3073">
      <c r="BN3073">
        <f>IF(3060&lt;$U$9,INT(3060/($U$7*$U$8))+1,1)</f>
        <v/>
      </c>
      <c r="BO3073">
        <f>IF(3060&lt;$U$9,MOD(INT(3060/$U$8),$U$7)+1,1)</f>
        <v/>
      </c>
      <c r="BP3073">
        <f>IF(3060&lt;$U$9,MOD(3060,$U$8)+1,1)</f>
        <v/>
      </c>
      <c r="BQ3073">
        <f>IF(3060&lt;$U$9,SUMPRODUCT(($D$10:$L$10&lt;&gt;"")*(($D$9:$L$9+INT(($S$12:$AA$12+INDEX($AJ$13:$AR$162,BN3073,0)+INDEX($AT$13:$BB$162,BO3073,0)+INDEX($BD$13:$BL$162,BP3073,0))/100))&gt;=$D$10:$L$10)),0)</f>
        <v/>
      </c>
      <c r="BR3073">
        <f>IF(3060&lt;$U$9,SUMPRODUCT(($D$10:$L$10&lt;&gt;"")*(($D$10:$L$10-($D$9:$L$9+INT(($S$12:$AA$12+INDEX($AJ$13:$AR$162,BN3073,0)+INDEX($AT$13:$BB$162,BO3073,0)+INDEX($BD$13:$BL$162,BP3073,0))/100)))&gt;0)*($D$10:$L$10-($D$9:$L$9+INT(($S$12:$AA$12+INDEX($AJ$13:$AR$162,BN3073,0)+INDEX($AT$13:$BB$162,BO3073,0)+INDEX($BD$13:$BL$162,BP3073,0))/100)))),0)</f>
        <v/>
      </c>
      <c r="BS3073">
        <f>IF(3060&lt;$U$9,SUMPRODUCT(($D$9:$L$9+INT(($S$12:$AA$12+INDEX($AJ$13:$AR$162,BN3073,0)+INDEX($AT$13:$BB$162,BO3073,0)+INDEX($BD$13:$BL$162,BP3073,0))/100))),0)</f>
        <v/>
      </c>
      <c r="BT3073">
        <f>IF(AND(3060&lt;$U$9,$W$5),BQ3073*1000000-MIN(BR3073,999)*1000+BS3073-3060/100000,-1000000000-3060)</f>
        <v/>
      </c>
    </row>
    <row r="3074">
      <c r="BN3074">
        <f>IF(3061&lt;$U$9,INT(3061/($U$7*$U$8))+1,1)</f>
        <v/>
      </c>
      <c r="BO3074">
        <f>IF(3061&lt;$U$9,MOD(INT(3061/$U$8),$U$7)+1,1)</f>
        <v/>
      </c>
      <c r="BP3074">
        <f>IF(3061&lt;$U$9,MOD(3061,$U$8)+1,1)</f>
        <v/>
      </c>
      <c r="BQ3074">
        <f>IF(3061&lt;$U$9,SUMPRODUCT(($D$10:$L$10&lt;&gt;"")*(($D$9:$L$9+INT(($S$12:$AA$12+INDEX($AJ$13:$AR$162,BN3074,0)+INDEX($AT$13:$BB$162,BO3074,0)+INDEX($BD$13:$BL$162,BP3074,0))/100))&gt;=$D$10:$L$10)),0)</f>
        <v/>
      </c>
      <c r="BR3074">
        <f>IF(3061&lt;$U$9,SUMPRODUCT(($D$10:$L$10&lt;&gt;"")*(($D$10:$L$10-($D$9:$L$9+INT(($S$12:$AA$12+INDEX($AJ$13:$AR$162,BN3074,0)+INDEX($AT$13:$BB$162,BO3074,0)+INDEX($BD$13:$BL$162,BP3074,0))/100)))&gt;0)*($D$10:$L$10-($D$9:$L$9+INT(($S$12:$AA$12+INDEX($AJ$13:$AR$162,BN3074,0)+INDEX($AT$13:$BB$162,BO3074,0)+INDEX($BD$13:$BL$162,BP3074,0))/100)))),0)</f>
        <v/>
      </c>
      <c r="BS3074">
        <f>IF(3061&lt;$U$9,SUMPRODUCT(($D$9:$L$9+INT(($S$12:$AA$12+INDEX($AJ$13:$AR$162,BN3074,0)+INDEX($AT$13:$BB$162,BO3074,0)+INDEX($BD$13:$BL$162,BP3074,0))/100))),0)</f>
        <v/>
      </c>
      <c r="BT3074">
        <f>IF(AND(3061&lt;$U$9,$W$5),BQ3074*1000000-MIN(BR3074,999)*1000+BS3074-3061/100000,-1000000000-3061)</f>
        <v/>
      </c>
    </row>
    <row r="3075">
      <c r="BN3075">
        <f>IF(3062&lt;$U$9,INT(3062/($U$7*$U$8))+1,1)</f>
        <v/>
      </c>
      <c r="BO3075">
        <f>IF(3062&lt;$U$9,MOD(INT(3062/$U$8),$U$7)+1,1)</f>
        <v/>
      </c>
      <c r="BP3075">
        <f>IF(3062&lt;$U$9,MOD(3062,$U$8)+1,1)</f>
        <v/>
      </c>
      <c r="BQ3075">
        <f>IF(3062&lt;$U$9,SUMPRODUCT(($D$10:$L$10&lt;&gt;"")*(($D$9:$L$9+INT(($S$12:$AA$12+INDEX($AJ$13:$AR$162,BN3075,0)+INDEX($AT$13:$BB$162,BO3075,0)+INDEX($BD$13:$BL$162,BP3075,0))/100))&gt;=$D$10:$L$10)),0)</f>
        <v/>
      </c>
      <c r="BR3075">
        <f>IF(3062&lt;$U$9,SUMPRODUCT(($D$10:$L$10&lt;&gt;"")*(($D$10:$L$10-($D$9:$L$9+INT(($S$12:$AA$12+INDEX($AJ$13:$AR$162,BN3075,0)+INDEX($AT$13:$BB$162,BO3075,0)+INDEX($BD$13:$BL$162,BP3075,0))/100)))&gt;0)*($D$10:$L$10-($D$9:$L$9+INT(($S$12:$AA$12+INDEX($AJ$13:$AR$162,BN3075,0)+INDEX($AT$13:$BB$162,BO3075,0)+INDEX($BD$13:$BL$162,BP3075,0))/100)))),0)</f>
        <v/>
      </c>
      <c r="BS3075">
        <f>IF(3062&lt;$U$9,SUMPRODUCT(($D$9:$L$9+INT(($S$12:$AA$12+INDEX($AJ$13:$AR$162,BN3075,0)+INDEX($AT$13:$BB$162,BO3075,0)+INDEX($BD$13:$BL$162,BP3075,0))/100))),0)</f>
        <v/>
      </c>
      <c r="BT3075">
        <f>IF(AND(3062&lt;$U$9,$W$5),BQ3075*1000000-MIN(BR3075,999)*1000+BS3075-3062/100000,-1000000000-3062)</f>
        <v/>
      </c>
    </row>
    <row r="3076">
      <c r="BN3076">
        <f>IF(3063&lt;$U$9,INT(3063/($U$7*$U$8))+1,1)</f>
        <v/>
      </c>
      <c r="BO3076">
        <f>IF(3063&lt;$U$9,MOD(INT(3063/$U$8),$U$7)+1,1)</f>
        <v/>
      </c>
      <c r="BP3076">
        <f>IF(3063&lt;$U$9,MOD(3063,$U$8)+1,1)</f>
        <v/>
      </c>
      <c r="BQ3076">
        <f>IF(3063&lt;$U$9,SUMPRODUCT(($D$10:$L$10&lt;&gt;"")*(($D$9:$L$9+INT(($S$12:$AA$12+INDEX($AJ$13:$AR$162,BN3076,0)+INDEX($AT$13:$BB$162,BO3076,0)+INDEX($BD$13:$BL$162,BP3076,0))/100))&gt;=$D$10:$L$10)),0)</f>
        <v/>
      </c>
      <c r="BR3076">
        <f>IF(3063&lt;$U$9,SUMPRODUCT(($D$10:$L$10&lt;&gt;"")*(($D$10:$L$10-($D$9:$L$9+INT(($S$12:$AA$12+INDEX($AJ$13:$AR$162,BN3076,0)+INDEX($AT$13:$BB$162,BO3076,0)+INDEX($BD$13:$BL$162,BP3076,0))/100)))&gt;0)*($D$10:$L$10-($D$9:$L$9+INT(($S$12:$AA$12+INDEX($AJ$13:$AR$162,BN3076,0)+INDEX($AT$13:$BB$162,BO3076,0)+INDEX($BD$13:$BL$162,BP3076,0))/100)))),0)</f>
        <v/>
      </c>
      <c r="BS3076">
        <f>IF(3063&lt;$U$9,SUMPRODUCT(($D$9:$L$9+INT(($S$12:$AA$12+INDEX($AJ$13:$AR$162,BN3076,0)+INDEX($AT$13:$BB$162,BO3076,0)+INDEX($BD$13:$BL$162,BP3076,0))/100))),0)</f>
        <v/>
      </c>
      <c r="BT3076">
        <f>IF(AND(3063&lt;$U$9,$W$5),BQ3076*1000000-MIN(BR3076,999)*1000+BS3076-3063/100000,-1000000000-3063)</f>
        <v/>
      </c>
    </row>
    <row r="3077">
      <c r="BN3077">
        <f>IF(3064&lt;$U$9,INT(3064/($U$7*$U$8))+1,1)</f>
        <v/>
      </c>
      <c r="BO3077">
        <f>IF(3064&lt;$U$9,MOD(INT(3064/$U$8),$U$7)+1,1)</f>
        <v/>
      </c>
      <c r="BP3077">
        <f>IF(3064&lt;$U$9,MOD(3064,$U$8)+1,1)</f>
        <v/>
      </c>
      <c r="BQ3077">
        <f>IF(3064&lt;$U$9,SUMPRODUCT(($D$10:$L$10&lt;&gt;"")*(($D$9:$L$9+INT(($S$12:$AA$12+INDEX($AJ$13:$AR$162,BN3077,0)+INDEX($AT$13:$BB$162,BO3077,0)+INDEX($BD$13:$BL$162,BP3077,0))/100))&gt;=$D$10:$L$10)),0)</f>
        <v/>
      </c>
      <c r="BR3077">
        <f>IF(3064&lt;$U$9,SUMPRODUCT(($D$10:$L$10&lt;&gt;"")*(($D$10:$L$10-($D$9:$L$9+INT(($S$12:$AA$12+INDEX($AJ$13:$AR$162,BN3077,0)+INDEX($AT$13:$BB$162,BO3077,0)+INDEX($BD$13:$BL$162,BP3077,0))/100)))&gt;0)*($D$10:$L$10-($D$9:$L$9+INT(($S$12:$AA$12+INDEX($AJ$13:$AR$162,BN3077,0)+INDEX($AT$13:$BB$162,BO3077,0)+INDEX($BD$13:$BL$162,BP3077,0))/100)))),0)</f>
        <v/>
      </c>
      <c r="BS3077">
        <f>IF(3064&lt;$U$9,SUMPRODUCT(($D$9:$L$9+INT(($S$12:$AA$12+INDEX($AJ$13:$AR$162,BN3077,0)+INDEX($AT$13:$BB$162,BO3077,0)+INDEX($BD$13:$BL$162,BP3077,0))/100))),0)</f>
        <v/>
      </c>
      <c r="BT3077">
        <f>IF(AND(3064&lt;$U$9,$W$5),BQ3077*1000000-MIN(BR3077,999)*1000+BS3077-3064/100000,-1000000000-3064)</f>
        <v/>
      </c>
    </row>
    <row r="3078">
      <c r="BN3078">
        <f>IF(3065&lt;$U$9,INT(3065/($U$7*$U$8))+1,1)</f>
        <v/>
      </c>
      <c r="BO3078">
        <f>IF(3065&lt;$U$9,MOD(INT(3065/$U$8),$U$7)+1,1)</f>
        <v/>
      </c>
      <c r="BP3078">
        <f>IF(3065&lt;$U$9,MOD(3065,$U$8)+1,1)</f>
        <v/>
      </c>
      <c r="BQ3078">
        <f>IF(3065&lt;$U$9,SUMPRODUCT(($D$10:$L$10&lt;&gt;"")*(($D$9:$L$9+INT(($S$12:$AA$12+INDEX($AJ$13:$AR$162,BN3078,0)+INDEX($AT$13:$BB$162,BO3078,0)+INDEX($BD$13:$BL$162,BP3078,0))/100))&gt;=$D$10:$L$10)),0)</f>
        <v/>
      </c>
      <c r="BR3078">
        <f>IF(3065&lt;$U$9,SUMPRODUCT(($D$10:$L$10&lt;&gt;"")*(($D$10:$L$10-($D$9:$L$9+INT(($S$12:$AA$12+INDEX($AJ$13:$AR$162,BN3078,0)+INDEX($AT$13:$BB$162,BO3078,0)+INDEX($BD$13:$BL$162,BP3078,0))/100)))&gt;0)*($D$10:$L$10-($D$9:$L$9+INT(($S$12:$AA$12+INDEX($AJ$13:$AR$162,BN3078,0)+INDEX($AT$13:$BB$162,BO3078,0)+INDEX($BD$13:$BL$162,BP3078,0))/100)))),0)</f>
        <v/>
      </c>
      <c r="BS3078">
        <f>IF(3065&lt;$U$9,SUMPRODUCT(($D$9:$L$9+INT(($S$12:$AA$12+INDEX($AJ$13:$AR$162,BN3078,0)+INDEX($AT$13:$BB$162,BO3078,0)+INDEX($BD$13:$BL$162,BP3078,0))/100))),0)</f>
        <v/>
      </c>
      <c r="BT3078">
        <f>IF(AND(3065&lt;$U$9,$W$5),BQ3078*1000000-MIN(BR3078,999)*1000+BS3078-3065/100000,-1000000000-3065)</f>
        <v/>
      </c>
    </row>
    <row r="3079">
      <c r="BN3079">
        <f>IF(3066&lt;$U$9,INT(3066/($U$7*$U$8))+1,1)</f>
        <v/>
      </c>
      <c r="BO3079">
        <f>IF(3066&lt;$U$9,MOD(INT(3066/$U$8),$U$7)+1,1)</f>
        <v/>
      </c>
      <c r="BP3079">
        <f>IF(3066&lt;$U$9,MOD(3066,$U$8)+1,1)</f>
        <v/>
      </c>
      <c r="BQ3079">
        <f>IF(3066&lt;$U$9,SUMPRODUCT(($D$10:$L$10&lt;&gt;"")*(($D$9:$L$9+INT(($S$12:$AA$12+INDEX($AJ$13:$AR$162,BN3079,0)+INDEX($AT$13:$BB$162,BO3079,0)+INDEX($BD$13:$BL$162,BP3079,0))/100))&gt;=$D$10:$L$10)),0)</f>
        <v/>
      </c>
      <c r="BR3079">
        <f>IF(3066&lt;$U$9,SUMPRODUCT(($D$10:$L$10&lt;&gt;"")*(($D$10:$L$10-($D$9:$L$9+INT(($S$12:$AA$12+INDEX($AJ$13:$AR$162,BN3079,0)+INDEX($AT$13:$BB$162,BO3079,0)+INDEX($BD$13:$BL$162,BP3079,0))/100)))&gt;0)*($D$10:$L$10-($D$9:$L$9+INT(($S$12:$AA$12+INDEX($AJ$13:$AR$162,BN3079,0)+INDEX($AT$13:$BB$162,BO3079,0)+INDEX($BD$13:$BL$162,BP3079,0))/100)))),0)</f>
        <v/>
      </c>
      <c r="BS3079">
        <f>IF(3066&lt;$U$9,SUMPRODUCT(($D$9:$L$9+INT(($S$12:$AA$12+INDEX($AJ$13:$AR$162,BN3079,0)+INDEX($AT$13:$BB$162,BO3079,0)+INDEX($BD$13:$BL$162,BP3079,0))/100))),0)</f>
        <v/>
      </c>
      <c r="BT3079">
        <f>IF(AND(3066&lt;$U$9,$W$5),BQ3079*1000000-MIN(BR3079,999)*1000+BS3079-3066/100000,-1000000000-3066)</f>
        <v/>
      </c>
    </row>
    <row r="3080">
      <c r="BN3080">
        <f>IF(3067&lt;$U$9,INT(3067/($U$7*$U$8))+1,1)</f>
        <v/>
      </c>
      <c r="BO3080">
        <f>IF(3067&lt;$U$9,MOD(INT(3067/$U$8),$U$7)+1,1)</f>
        <v/>
      </c>
      <c r="BP3080">
        <f>IF(3067&lt;$U$9,MOD(3067,$U$8)+1,1)</f>
        <v/>
      </c>
      <c r="BQ3080">
        <f>IF(3067&lt;$U$9,SUMPRODUCT(($D$10:$L$10&lt;&gt;"")*(($D$9:$L$9+INT(($S$12:$AA$12+INDEX($AJ$13:$AR$162,BN3080,0)+INDEX($AT$13:$BB$162,BO3080,0)+INDEX($BD$13:$BL$162,BP3080,0))/100))&gt;=$D$10:$L$10)),0)</f>
        <v/>
      </c>
      <c r="BR3080">
        <f>IF(3067&lt;$U$9,SUMPRODUCT(($D$10:$L$10&lt;&gt;"")*(($D$10:$L$10-($D$9:$L$9+INT(($S$12:$AA$12+INDEX($AJ$13:$AR$162,BN3080,0)+INDEX($AT$13:$BB$162,BO3080,0)+INDEX($BD$13:$BL$162,BP3080,0))/100)))&gt;0)*($D$10:$L$10-($D$9:$L$9+INT(($S$12:$AA$12+INDEX($AJ$13:$AR$162,BN3080,0)+INDEX($AT$13:$BB$162,BO3080,0)+INDEX($BD$13:$BL$162,BP3080,0))/100)))),0)</f>
        <v/>
      </c>
      <c r="BS3080">
        <f>IF(3067&lt;$U$9,SUMPRODUCT(($D$9:$L$9+INT(($S$12:$AA$12+INDEX($AJ$13:$AR$162,BN3080,0)+INDEX($AT$13:$BB$162,BO3080,0)+INDEX($BD$13:$BL$162,BP3080,0))/100))),0)</f>
        <v/>
      </c>
      <c r="BT3080">
        <f>IF(AND(3067&lt;$U$9,$W$5),BQ3080*1000000-MIN(BR3080,999)*1000+BS3080-3067/100000,-1000000000-3067)</f>
        <v/>
      </c>
    </row>
    <row r="3081">
      <c r="BN3081">
        <f>IF(3068&lt;$U$9,INT(3068/($U$7*$U$8))+1,1)</f>
        <v/>
      </c>
      <c r="BO3081">
        <f>IF(3068&lt;$U$9,MOD(INT(3068/$U$8),$U$7)+1,1)</f>
        <v/>
      </c>
      <c r="BP3081">
        <f>IF(3068&lt;$U$9,MOD(3068,$U$8)+1,1)</f>
        <v/>
      </c>
      <c r="BQ3081">
        <f>IF(3068&lt;$U$9,SUMPRODUCT(($D$10:$L$10&lt;&gt;"")*(($D$9:$L$9+INT(($S$12:$AA$12+INDEX($AJ$13:$AR$162,BN3081,0)+INDEX($AT$13:$BB$162,BO3081,0)+INDEX($BD$13:$BL$162,BP3081,0))/100))&gt;=$D$10:$L$10)),0)</f>
        <v/>
      </c>
      <c r="BR3081">
        <f>IF(3068&lt;$U$9,SUMPRODUCT(($D$10:$L$10&lt;&gt;"")*(($D$10:$L$10-($D$9:$L$9+INT(($S$12:$AA$12+INDEX($AJ$13:$AR$162,BN3081,0)+INDEX($AT$13:$BB$162,BO3081,0)+INDEX($BD$13:$BL$162,BP3081,0))/100)))&gt;0)*($D$10:$L$10-($D$9:$L$9+INT(($S$12:$AA$12+INDEX($AJ$13:$AR$162,BN3081,0)+INDEX($AT$13:$BB$162,BO3081,0)+INDEX($BD$13:$BL$162,BP3081,0))/100)))),0)</f>
        <v/>
      </c>
      <c r="BS3081">
        <f>IF(3068&lt;$U$9,SUMPRODUCT(($D$9:$L$9+INT(($S$12:$AA$12+INDEX($AJ$13:$AR$162,BN3081,0)+INDEX($AT$13:$BB$162,BO3081,0)+INDEX($BD$13:$BL$162,BP3081,0))/100))),0)</f>
        <v/>
      </c>
      <c r="BT3081">
        <f>IF(AND(3068&lt;$U$9,$W$5),BQ3081*1000000-MIN(BR3081,999)*1000+BS3081-3068/100000,-1000000000-3068)</f>
        <v/>
      </c>
    </row>
    <row r="3082">
      <c r="BN3082">
        <f>IF(3069&lt;$U$9,INT(3069/($U$7*$U$8))+1,1)</f>
        <v/>
      </c>
      <c r="BO3082">
        <f>IF(3069&lt;$U$9,MOD(INT(3069/$U$8),$U$7)+1,1)</f>
        <v/>
      </c>
      <c r="BP3082">
        <f>IF(3069&lt;$U$9,MOD(3069,$U$8)+1,1)</f>
        <v/>
      </c>
      <c r="BQ3082">
        <f>IF(3069&lt;$U$9,SUMPRODUCT(($D$10:$L$10&lt;&gt;"")*(($D$9:$L$9+INT(($S$12:$AA$12+INDEX($AJ$13:$AR$162,BN3082,0)+INDEX($AT$13:$BB$162,BO3082,0)+INDEX($BD$13:$BL$162,BP3082,0))/100))&gt;=$D$10:$L$10)),0)</f>
        <v/>
      </c>
      <c r="BR3082">
        <f>IF(3069&lt;$U$9,SUMPRODUCT(($D$10:$L$10&lt;&gt;"")*(($D$10:$L$10-($D$9:$L$9+INT(($S$12:$AA$12+INDEX($AJ$13:$AR$162,BN3082,0)+INDEX($AT$13:$BB$162,BO3082,0)+INDEX($BD$13:$BL$162,BP3082,0))/100)))&gt;0)*($D$10:$L$10-($D$9:$L$9+INT(($S$12:$AA$12+INDEX($AJ$13:$AR$162,BN3082,0)+INDEX($AT$13:$BB$162,BO3082,0)+INDEX($BD$13:$BL$162,BP3082,0))/100)))),0)</f>
        <v/>
      </c>
      <c r="BS3082">
        <f>IF(3069&lt;$U$9,SUMPRODUCT(($D$9:$L$9+INT(($S$12:$AA$12+INDEX($AJ$13:$AR$162,BN3082,0)+INDEX($AT$13:$BB$162,BO3082,0)+INDEX($BD$13:$BL$162,BP3082,0))/100))),0)</f>
        <v/>
      </c>
      <c r="BT3082">
        <f>IF(AND(3069&lt;$U$9,$W$5),BQ3082*1000000-MIN(BR3082,999)*1000+BS3082-3069/100000,-1000000000-3069)</f>
        <v/>
      </c>
    </row>
    <row r="3083">
      <c r="BN3083">
        <f>IF(3070&lt;$U$9,INT(3070/($U$7*$U$8))+1,1)</f>
        <v/>
      </c>
      <c r="BO3083">
        <f>IF(3070&lt;$U$9,MOD(INT(3070/$U$8),$U$7)+1,1)</f>
        <v/>
      </c>
      <c r="BP3083">
        <f>IF(3070&lt;$U$9,MOD(3070,$U$8)+1,1)</f>
        <v/>
      </c>
      <c r="BQ3083">
        <f>IF(3070&lt;$U$9,SUMPRODUCT(($D$10:$L$10&lt;&gt;"")*(($D$9:$L$9+INT(($S$12:$AA$12+INDEX($AJ$13:$AR$162,BN3083,0)+INDEX($AT$13:$BB$162,BO3083,0)+INDEX($BD$13:$BL$162,BP3083,0))/100))&gt;=$D$10:$L$10)),0)</f>
        <v/>
      </c>
      <c r="BR3083">
        <f>IF(3070&lt;$U$9,SUMPRODUCT(($D$10:$L$10&lt;&gt;"")*(($D$10:$L$10-($D$9:$L$9+INT(($S$12:$AA$12+INDEX($AJ$13:$AR$162,BN3083,0)+INDEX($AT$13:$BB$162,BO3083,0)+INDEX($BD$13:$BL$162,BP3083,0))/100)))&gt;0)*($D$10:$L$10-($D$9:$L$9+INT(($S$12:$AA$12+INDEX($AJ$13:$AR$162,BN3083,0)+INDEX($AT$13:$BB$162,BO3083,0)+INDEX($BD$13:$BL$162,BP3083,0))/100)))),0)</f>
        <v/>
      </c>
      <c r="BS3083">
        <f>IF(3070&lt;$U$9,SUMPRODUCT(($D$9:$L$9+INT(($S$12:$AA$12+INDEX($AJ$13:$AR$162,BN3083,0)+INDEX($AT$13:$BB$162,BO3083,0)+INDEX($BD$13:$BL$162,BP3083,0))/100))),0)</f>
        <v/>
      </c>
      <c r="BT3083">
        <f>IF(AND(3070&lt;$U$9,$W$5),BQ3083*1000000-MIN(BR3083,999)*1000+BS3083-3070/100000,-1000000000-3070)</f>
        <v/>
      </c>
    </row>
    <row r="3084">
      <c r="BN3084">
        <f>IF(3071&lt;$U$9,INT(3071/($U$7*$U$8))+1,1)</f>
        <v/>
      </c>
      <c r="BO3084">
        <f>IF(3071&lt;$U$9,MOD(INT(3071/$U$8),$U$7)+1,1)</f>
        <v/>
      </c>
      <c r="BP3084">
        <f>IF(3071&lt;$U$9,MOD(3071,$U$8)+1,1)</f>
        <v/>
      </c>
      <c r="BQ3084">
        <f>IF(3071&lt;$U$9,SUMPRODUCT(($D$10:$L$10&lt;&gt;"")*(($D$9:$L$9+INT(($S$12:$AA$12+INDEX($AJ$13:$AR$162,BN3084,0)+INDEX($AT$13:$BB$162,BO3084,0)+INDEX($BD$13:$BL$162,BP3084,0))/100))&gt;=$D$10:$L$10)),0)</f>
        <v/>
      </c>
      <c r="BR3084">
        <f>IF(3071&lt;$U$9,SUMPRODUCT(($D$10:$L$10&lt;&gt;"")*(($D$10:$L$10-($D$9:$L$9+INT(($S$12:$AA$12+INDEX($AJ$13:$AR$162,BN3084,0)+INDEX($AT$13:$BB$162,BO3084,0)+INDEX($BD$13:$BL$162,BP3084,0))/100)))&gt;0)*($D$10:$L$10-($D$9:$L$9+INT(($S$12:$AA$12+INDEX($AJ$13:$AR$162,BN3084,0)+INDEX($AT$13:$BB$162,BO3084,0)+INDEX($BD$13:$BL$162,BP3084,0))/100)))),0)</f>
        <v/>
      </c>
      <c r="BS3084">
        <f>IF(3071&lt;$U$9,SUMPRODUCT(($D$9:$L$9+INT(($S$12:$AA$12+INDEX($AJ$13:$AR$162,BN3084,0)+INDEX($AT$13:$BB$162,BO3084,0)+INDEX($BD$13:$BL$162,BP3084,0))/100))),0)</f>
        <v/>
      </c>
      <c r="BT3084">
        <f>IF(AND(3071&lt;$U$9,$W$5),BQ3084*1000000-MIN(BR3084,999)*1000+BS3084-3071/100000,-1000000000-3071)</f>
        <v/>
      </c>
    </row>
    <row r="3085">
      <c r="BN3085">
        <f>IF(3072&lt;$U$9,INT(3072/($U$7*$U$8))+1,1)</f>
        <v/>
      </c>
      <c r="BO3085">
        <f>IF(3072&lt;$U$9,MOD(INT(3072/$U$8),$U$7)+1,1)</f>
        <v/>
      </c>
      <c r="BP3085">
        <f>IF(3072&lt;$U$9,MOD(3072,$U$8)+1,1)</f>
        <v/>
      </c>
      <c r="BQ3085">
        <f>IF(3072&lt;$U$9,SUMPRODUCT(($D$10:$L$10&lt;&gt;"")*(($D$9:$L$9+INT(($S$12:$AA$12+INDEX($AJ$13:$AR$162,BN3085,0)+INDEX($AT$13:$BB$162,BO3085,0)+INDEX($BD$13:$BL$162,BP3085,0))/100))&gt;=$D$10:$L$10)),0)</f>
        <v/>
      </c>
      <c r="BR3085">
        <f>IF(3072&lt;$U$9,SUMPRODUCT(($D$10:$L$10&lt;&gt;"")*(($D$10:$L$10-($D$9:$L$9+INT(($S$12:$AA$12+INDEX($AJ$13:$AR$162,BN3085,0)+INDEX($AT$13:$BB$162,BO3085,0)+INDEX($BD$13:$BL$162,BP3085,0))/100)))&gt;0)*($D$10:$L$10-($D$9:$L$9+INT(($S$12:$AA$12+INDEX($AJ$13:$AR$162,BN3085,0)+INDEX($AT$13:$BB$162,BO3085,0)+INDEX($BD$13:$BL$162,BP3085,0))/100)))),0)</f>
        <v/>
      </c>
      <c r="BS3085">
        <f>IF(3072&lt;$U$9,SUMPRODUCT(($D$9:$L$9+INT(($S$12:$AA$12+INDEX($AJ$13:$AR$162,BN3085,0)+INDEX($AT$13:$BB$162,BO3085,0)+INDEX($BD$13:$BL$162,BP3085,0))/100))),0)</f>
        <v/>
      </c>
      <c r="BT3085">
        <f>IF(AND(3072&lt;$U$9,$W$5),BQ3085*1000000-MIN(BR3085,999)*1000+BS3085-3072/100000,-1000000000-3072)</f>
        <v/>
      </c>
    </row>
    <row r="3086">
      <c r="BN3086">
        <f>IF(3073&lt;$U$9,INT(3073/($U$7*$U$8))+1,1)</f>
        <v/>
      </c>
      <c r="BO3086">
        <f>IF(3073&lt;$U$9,MOD(INT(3073/$U$8),$U$7)+1,1)</f>
        <v/>
      </c>
      <c r="BP3086">
        <f>IF(3073&lt;$U$9,MOD(3073,$U$8)+1,1)</f>
        <v/>
      </c>
      <c r="BQ3086">
        <f>IF(3073&lt;$U$9,SUMPRODUCT(($D$10:$L$10&lt;&gt;"")*(($D$9:$L$9+INT(($S$12:$AA$12+INDEX($AJ$13:$AR$162,BN3086,0)+INDEX($AT$13:$BB$162,BO3086,0)+INDEX($BD$13:$BL$162,BP3086,0))/100))&gt;=$D$10:$L$10)),0)</f>
        <v/>
      </c>
      <c r="BR3086">
        <f>IF(3073&lt;$U$9,SUMPRODUCT(($D$10:$L$10&lt;&gt;"")*(($D$10:$L$10-($D$9:$L$9+INT(($S$12:$AA$12+INDEX($AJ$13:$AR$162,BN3086,0)+INDEX($AT$13:$BB$162,BO3086,0)+INDEX($BD$13:$BL$162,BP3086,0))/100)))&gt;0)*($D$10:$L$10-($D$9:$L$9+INT(($S$12:$AA$12+INDEX($AJ$13:$AR$162,BN3086,0)+INDEX($AT$13:$BB$162,BO3086,0)+INDEX($BD$13:$BL$162,BP3086,0))/100)))),0)</f>
        <v/>
      </c>
      <c r="BS3086">
        <f>IF(3073&lt;$U$9,SUMPRODUCT(($D$9:$L$9+INT(($S$12:$AA$12+INDEX($AJ$13:$AR$162,BN3086,0)+INDEX($AT$13:$BB$162,BO3086,0)+INDEX($BD$13:$BL$162,BP3086,0))/100))),0)</f>
        <v/>
      </c>
      <c r="BT3086">
        <f>IF(AND(3073&lt;$U$9,$W$5),BQ3086*1000000-MIN(BR3086,999)*1000+BS3086-3073/100000,-1000000000-3073)</f>
        <v/>
      </c>
    </row>
    <row r="3087">
      <c r="BN3087">
        <f>IF(3074&lt;$U$9,INT(3074/($U$7*$U$8))+1,1)</f>
        <v/>
      </c>
      <c r="BO3087">
        <f>IF(3074&lt;$U$9,MOD(INT(3074/$U$8),$U$7)+1,1)</f>
        <v/>
      </c>
      <c r="BP3087">
        <f>IF(3074&lt;$U$9,MOD(3074,$U$8)+1,1)</f>
        <v/>
      </c>
      <c r="BQ3087">
        <f>IF(3074&lt;$U$9,SUMPRODUCT(($D$10:$L$10&lt;&gt;"")*(($D$9:$L$9+INT(($S$12:$AA$12+INDEX($AJ$13:$AR$162,BN3087,0)+INDEX($AT$13:$BB$162,BO3087,0)+INDEX($BD$13:$BL$162,BP3087,0))/100))&gt;=$D$10:$L$10)),0)</f>
        <v/>
      </c>
      <c r="BR3087">
        <f>IF(3074&lt;$U$9,SUMPRODUCT(($D$10:$L$10&lt;&gt;"")*(($D$10:$L$10-($D$9:$L$9+INT(($S$12:$AA$12+INDEX($AJ$13:$AR$162,BN3087,0)+INDEX($AT$13:$BB$162,BO3087,0)+INDEX($BD$13:$BL$162,BP3087,0))/100)))&gt;0)*($D$10:$L$10-($D$9:$L$9+INT(($S$12:$AA$12+INDEX($AJ$13:$AR$162,BN3087,0)+INDEX($AT$13:$BB$162,BO3087,0)+INDEX($BD$13:$BL$162,BP3087,0))/100)))),0)</f>
        <v/>
      </c>
      <c r="BS3087">
        <f>IF(3074&lt;$U$9,SUMPRODUCT(($D$9:$L$9+INT(($S$12:$AA$12+INDEX($AJ$13:$AR$162,BN3087,0)+INDEX($AT$13:$BB$162,BO3087,0)+INDEX($BD$13:$BL$162,BP3087,0))/100))),0)</f>
        <v/>
      </c>
      <c r="BT3087">
        <f>IF(AND(3074&lt;$U$9,$W$5),BQ3087*1000000-MIN(BR3087,999)*1000+BS3087-3074/100000,-1000000000-3074)</f>
        <v/>
      </c>
    </row>
    <row r="3088">
      <c r="BN3088">
        <f>IF(3075&lt;$U$9,INT(3075/($U$7*$U$8))+1,1)</f>
        <v/>
      </c>
      <c r="BO3088">
        <f>IF(3075&lt;$U$9,MOD(INT(3075/$U$8),$U$7)+1,1)</f>
        <v/>
      </c>
      <c r="BP3088">
        <f>IF(3075&lt;$U$9,MOD(3075,$U$8)+1,1)</f>
        <v/>
      </c>
      <c r="BQ3088">
        <f>IF(3075&lt;$U$9,SUMPRODUCT(($D$10:$L$10&lt;&gt;"")*(($D$9:$L$9+INT(($S$12:$AA$12+INDEX($AJ$13:$AR$162,BN3088,0)+INDEX($AT$13:$BB$162,BO3088,0)+INDEX($BD$13:$BL$162,BP3088,0))/100))&gt;=$D$10:$L$10)),0)</f>
        <v/>
      </c>
      <c r="BR3088">
        <f>IF(3075&lt;$U$9,SUMPRODUCT(($D$10:$L$10&lt;&gt;"")*(($D$10:$L$10-($D$9:$L$9+INT(($S$12:$AA$12+INDEX($AJ$13:$AR$162,BN3088,0)+INDEX($AT$13:$BB$162,BO3088,0)+INDEX($BD$13:$BL$162,BP3088,0))/100)))&gt;0)*($D$10:$L$10-($D$9:$L$9+INT(($S$12:$AA$12+INDEX($AJ$13:$AR$162,BN3088,0)+INDEX($AT$13:$BB$162,BO3088,0)+INDEX($BD$13:$BL$162,BP3088,0))/100)))),0)</f>
        <v/>
      </c>
      <c r="BS3088">
        <f>IF(3075&lt;$U$9,SUMPRODUCT(($D$9:$L$9+INT(($S$12:$AA$12+INDEX($AJ$13:$AR$162,BN3088,0)+INDEX($AT$13:$BB$162,BO3088,0)+INDEX($BD$13:$BL$162,BP3088,0))/100))),0)</f>
        <v/>
      </c>
      <c r="BT3088">
        <f>IF(AND(3075&lt;$U$9,$W$5),BQ3088*1000000-MIN(BR3088,999)*1000+BS3088-3075/100000,-1000000000-3075)</f>
        <v/>
      </c>
    </row>
    <row r="3089">
      <c r="BN3089">
        <f>IF(3076&lt;$U$9,INT(3076/($U$7*$U$8))+1,1)</f>
        <v/>
      </c>
      <c r="BO3089">
        <f>IF(3076&lt;$U$9,MOD(INT(3076/$U$8),$U$7)+1,1)</f>
        <v/>
      </c>
      <c r="BP3089">
        <f>IF(3076&lt;$U$9,MOD(3076,$U$8)+1,1)</f>
        <v/>
      </c>
      <c r="BQ3089">
        <f>IF(3076&lt;$U$9,SUMPRODUCT(($D$10:$L$10&lt;&gt;"")*(($D$9:$L$9+INT(($S$12:$AA$12+INDEX($AJ$13:$AR$162,BN3089,0)+INDEX($AT$13:$BB$162,BO3089,0)+INDEX($BD$13:$BL$162,BP3089,0))/100))&gt;=$D$10:$L$10)),0)</f>
        <v/>
      </c>
      <c r="BR3089">
        <f>IF(3076&lt;$U$9,SUMPRODUCT(($D$10:$L$10&lt;&gt;"")*(($D$10:$L$10-($D$9:$L$9+INT(($S$12:$AA$12+INDEX($AJ$13:$AR$162,BN3089,0)+INDEX($AT$13:$BB$162,BO3089,0)+INDEX($BD$13:$BL$162,BP3089,0))/100)))&gt;0)*($D$10:$L$10-($D$9:$L$9+INT(($S$12:$AA$12+INDEX($AJ$13:$AR$162,BN3089,0)+INDEX($AT$13:$BB$162,BO3089,0)+INDEX($BD$13:$BL$162,BP3089,0))/100)))),0)</f>
        <v/>
      </c>
      <c r="BS3089">
        <f>IF(3076&lt;$U$9,SUMPRODUCT(($D$9:$L$9+INT(($S$12:$AA$12+INDEX($AJ$13:$AR$162,BN3089,0)+INDEX($AT$13:$BB$162,BO3089,0)+INDEX($BD$13:$BL$162,BP3089,0))/100))),0)</f>
        <v/>
      </c>
      <c r="BT3089">
        <f>IF(AND(3076&lt;$U$9,$W$5),BQ3089*1000000-MIN(BR3089,999)*1000+BS3089-3076/100000,-1000000000-3076)</f>
        <v/>
      </c>
    </row>
    <row r="3090">
      <c r="BN3090">
        <f>IF(3077&lt;$U$9,INT(3077/($U$7*$U$8))+1,1)</f>
        <v/>
      </c>
      <c r="BO3090">
        <f>IF(3077&lt;$U$9,MOD(INT(3077/$U$8),$U$7)+1,1)</f>
        <v/>
      </c>
      <c r="BP3090">
        <f>IF(3077&lt;$U$9,MOD(3077,$U$8)+1,1)</f>
        <v/>
      </c>
      <c r="BQ3090">
        <f>IF(3077&lt;$U$9,SUMPRODUCT(($D$10:$L$10&lt;&gt;"")*(($D$9:$L$9+INT(($S$12:$AA$12+INDEX($AJ$13:$AR$162,BN3090,0)+INDEX($AT$13:$BB$162,BO3090,0)+INDEX($BD$13:$BL$162,BP3090,0))/100))&gt;=$D$10:$L$10)),0)</f>
        <v/>
      </c>
      <c r="BR3090">
        <f>IF(3077&lt;$U$9,SUMPRODUCT(($D$10:$L$10&lt;&gt;"")*(($D$10:$L$10-($D$9:$L$9+INT(($S$12:$AA$12+INDEX($AJ$13:$AR$162,BN3090,0)+INDEX($AT$13:$BB$162,BO3090,0)+INDEX($BD$13:$BL$162,BP3090,0))/100)))&gt;0)*($D$10:$L$10-($D$9:$L$9+INT(($S$12:$AA$12+INDEX($AJ$13:$AR$162,BN3090,0)+INDEX($AT$13:$BB$162,BO3090,0)+INDEX($BD$13:$BL$162,BP3090,0))/100)))),0)</f>
        <v/>
      </c>
      <c r="BS3090">
        <f>IF(3077&lt;$U$9,SUMPRODUCT(($D$9:$L$9+INT(($S$12:$AA$12+INDEX($AJ$13:$AR$162,BN3090,0)+INDEX($AT$13:$BB$162,BO3090,0)+INDEX($BD$13:$BL$162,BP3090,0))/100))),0)</f>
        <v/>
      </c>
      <c r="BT3090">
        <f>IF(AND(3077&lt;$U$9,$W$5),BQ3090*1000000-MIN(BR3090,999)*1000+BS3090-3077/100000,-1000000000-3077)</f>
        <v/>
      </c>
    </row>
    <row r="3091">
      <c r="BN3091">
        <f>IF(3078&lt;$U$9,INT(3078/($U$7*$U$8))+1,1)</f>
        <v/>
      </c>
      <c r="BO3091">
        <f>IF(3078&lt;$U$9,MOD(INT(3078/$U$8),$U$7)+1,1)</f>
        <v/>
      </c>
      <c r="BP3091">
        <f>IF(3078&lt;$U$9,MOD(3078,$U$8)+1,1)</f>
        <v/>
      </c>
      <c r="BQ3091">
        <f>IF(3078&lt;$U$9,SUMPRODUCT(($D$10:$L$10&lt;&gt;"")*(($D$9:$L$9+INT(($S$12:$AA$12+INDEX($AJ$13:$AR$162,BN3091,0)+INDEX($AT$13:$BB$162,BO3091,0)+INDEX($BD$13:$BL$162,BP3091,0))/100))&gt;=$D$10:$L$10)),0)</f>
        <v/>
      </c>
      <c r="BR3091">
        <f>IF(3078&lt;$U$9,SUMPRODUCT(($D$10:$L$10&lt;&gt;"")*(($D$10:$L$10-($D$9:$L$9+INT(($S$12:$AA$12+INDEX($AJ$13:$AR$162,BN3091,0)+INDEX($AT$13:$BB$162,BO3091,0)+INDEX($BD$13:$BL$162,BP3091,0))/100)))&gt;0)*($D$10:$L$10-($D$9:$L$9+INT(($S$12:$AA$12+INDEX($AJ$13:$AR$162,BN3091,0)+INDEX($AT$13:$BB$162,BO3091,0)+INDEX($BD$13:$BL$162,BP3091,0))/100)))),0)</f>
        <v/>
      </c>
      <c r="BS3091">
        <f>IF(3078&lt;$U$9,SUMPRODUCT(($D$9:$L$9+INT(($S$12:$AA$12+INDEX($AJ$13:$AR$162,BN3091,0)+INDEX($AT$13:$BB$162,BO3091,0)+INDEX($BD$13:$BL$162,BP3091,0))/100))),0)</f>
        <v/>
      </c>
      <c r="BT3091">
        <f>IF(AND(3078&lt;$U$9,$W$5),BQ3091*1000000-MIN(BR3091,999)*1000+BS3091-3078/100000,-1000000000-3078)</f>
        <v/>
      </c>
    </row>
    <row r="3092">
      <c r="BN3092">
        <f>IF(3079&lt;$U$9,INT(3079/($U$7*$U$8))+1,1)</f>
        <v/>
      </c>
      <c r="BO3092">
        <f>IF(3079&lt;$U$9,MOD(INT(3079/$U$8),$U$7)+1,1)</f>
        <v/>
      </c>
      <c r="BP3092">
        <f>IF(3079&lt;$U$9,MOD(3079,$U$8)+1,1)</f>
        <v/>
      </c>
      <c r="BQ3092">
        <f>IF(3079&lt;$U$9,SUMPRODUCT(($D$10:$L$10&lt;&gt;"")*(($D$9:$L$9+INT(($S$12:$AA$12+INDEX($AJ$13:$AR$162,BN3092,0)+INDEX($AT$13:$BB$162,BO3092,0)+INDEX($BD$13:$BL$162,BP3092,0))/100))&gt;=$D$10:$L$10)),0)</f>
        <v/>
      </c>
      <c r="BR3092">
        <f>IF(3079&lt;$U$9,SUMPRODUCT(($D$10:$L$10&lt;&gt;"")*(($D$10:$L$10-($D$9:$L$9+INT(($S$12:$AA$12+INDEX($AJ$13:$AR$162,BN3092,0)+INDEX($AT$13:$BB$162,BO3092,0)+INDEX($BD$13:$BL$162,BP3092,0))/100)))&gt;0)*($D$10:$L$10-($D$9:$L$9+INT(($S$12:$AA$12+INDEX($AJ$13:$AR$162,BN3092,0)+INDEX($AT$13:$BB$162,BO3092,0)+INDEX($BD$13:$BL$162,BP3092,0))/100)))),0)</f>
        <v/>
      </c>
      <c r="BS3092">
        <f>IF(3079&lt;$U$9,SUMPRODUCT(($D$9:$L$9+INT(($S$12:$AA$12+INDEX($AJ$13:$AR$162,BN3092,0)+INDEX($AT$13:$BB$162,BO3092,0)+INDEX($BD$13:$BL$162,BP3092,0))/100))),0)</f>
        <v/>
      </c>
      <c r="BT3092">
        <f>IF(AND(3079&lt;$U$9,$W$5),BQ3092*1000000-MIN(BR3092,999)*1000+BS3092-3079/100000,-1000000000-3079)</f>
        <v/>
      </c>
    </row>
    <row r="3093">
      <c r="BN3093">
        <f>IF(3080&lt;$U$9,INT(3080/($U$7*$U$8))+1,1)</f>
        <v/>
      </c>
      <c r="BO3093">
        <f>IF(3080&lt;$U$9,MOD(INT(3080/$U$8),$U$7)+1,1)</f>
        <v/>
      </c>
      <c r="BP3093">
        <f>IF(3080&lt;$U$9,MOD(3080,$U$8)+1,1)</f>
        <v/>
      </c>
      <c r="BQ3093">
        <f>IF(3080&lt;$U$9,SUMPRODUCT(($D$10:$L$10&lt;&gt;"")*(($D$9:$L$9+INT(($S$12:$AA$12+INDEX($AJ$13:$AR$162,BN3093,0)+INDEX($AT$13:$BB$162,BO3093,0)+INDEX($BD$13:$BL$162,BP3093,0))/100))&gt;=$D$10:$L$10)),0)</f>
        <v/>
      </c>
      <c r="BR3093">
        <f>IF(3080&lt;$U$9,SUMPRODUCT(($D$10:$L$10&lt;&gt;"")*(($D$10:$L$10-($D$9:$L$9+INT(($S$12:$AA$12+INDEX($AJ$13:$AR$162,BN3093,0)+INDEX($AT$13:$BB$162,BO3093,0)+INDEX($BD$13:$BL$162,BP3093,0))/100)))&gt;0)*($D$10:$L$10-($D$9:$L$9+INT(($S$12:$AA$12+INDEX($AJ$13:$AR$162,BN3093,0)+INDEX($AT$13:$BB$162,BO3093,0)+INDEX($BD$13:$BL$162,BP3093,0))/100)))),0)</f>
        <v/>
      </c>
      <c r="BS3093">
        <f>IF(3080&lt;$U$9,SUMPRODUCT(($D$9:$L$9+INT(($S$12:$AA$12+INDEX($AJ$13:$AR$162,BN3093,0)+INDEX($AT$13:$BB$162,BO3093,0)+INDEX($BD$13:$BL$162,BP3093,0))/100))),0)</f>
        <v/>
      </c>
      <c r="BT3093">
        <f>IF(AND(3080&lt;$U$9,$W$5),BQ3093*1000000-MIN(BR3093,999)*1000+BS3093-3080/100000,-1000000000-3080)</f>
        <v/>
      </c>
    </row>
    <row r="3094">
      <c r="BN3094">
        <f>IF(3081&lt;$U$9,INT(3081/($U$7*$U$8))+1,1)</f>
        <v/>
      </c>
      <c r="BO3094">
        <f>IF(3081&lt;$U$9,MOD(INT(3081/$U$8),$U$7)+1,1)</f>
        <v/>
      </c>
      <c r="BP3094">
        <f>IF(3081&lt;$U$9,MOD(3081,$U$8)+1,1)</f>
        <v/>
      </c>
      <c r="BQ3094">
        <f>IF(3081&lt;$U$9,SUMPRODUCT(($D$10:$L$10&lt;&gt;"")*(($D$9:$L$9+INT(($S$12:$AA$12+INDEX($AJ$13:$AR$162,BN3094,0)+INDEX($AT$13:$BB$162,BO3094,0)+INDEX($BD$13:$BL$162,BP3094,0))/100))&gt;=$D$10:$L$10)),0)</f>
        <v/>
      </c>
      <c r="BR3094">
        <f>IF(3081&lt;$U$9,SUMPRODUCT(($D$10:$L$10&lt;&gt;"")*(($D$10:$L$10-($D$9:$L$9+INT(($S$12:$AA$12+INDEX($AJ$13:$AR$162,BN3094,0)+INDEX($AT$13:$BB$162,BO3094,0)+INDEX($BD$13:$BL$162,BP3094,0))/100)))&gt;0)*($D$10:$L$10-($D$9:$L$9+INT(($S$12:$AA$12+INDEX($AJ$13:$AR$162,BN3094,0)+INDEX($AT$13:$BB$162,BO3094,0)+INDEX($BD$13:$BL$162,BP3094,0))/100)))),0)</f>
        <v/>
      </c>
      <c r="BS3094">
        <f>IF(3081&lt;$U$9,SUMPRODUCT(($D$9:$L$9+INT(($S$12:$AA$12+INDEX($AJ$13:$AR$162,BN3094,0)+INDEX($AT$13:$BB$162,BO3094,0)+INDEX($BD$13:$BL$162,BP3094,0))/100))),0)</f>
        <v/>
      </c>
      <c r="BT3094">
        <f>IF(AND(3081&lt;$U$9,$W$5),BQ3094*1000000-MIN(BR3094,999)*1000+BS3094-3081/100000,-1000000000-3081)</f>
        <v/>
      </c>
    </row>
    <row r="3095">
      <c r="BN3095">
        <f>IF(3082&lt;$U$9,INT(3082/($U$7*$U$8))+1,1)</f>
        <v/>
      </c>
      <c r="BO3095">
        <f>IF(3082&lt;$U$9,MOD(INT(3082/$U$8),$U$7)+1,1)</f>
        <v/>
      </c>
      <c r="BP3095">
        <f>IF(3082&lt;$U$9,MOD(3082,$U$8)+1,1)</f>
        <v/>
      </c>
      <c r="BQ3095">
        <f>IF(3082&lt;$U$9,SUMPRODUCT(($D$10:$L$10&lt;&gt;"")*(($D$9:$L$9+INT(($S$12:$AA$12+INDEX($AJ$13:$AR$162,BN3095,0)+INDEX($AT$13:$BB$162,BO3095,0)+INDEX($BD$13:$BL$162,BP3095,0))/100))&gt;=$D$10:$L$10)),0)</f>
        <v/>
      </c>
      <c r="BR3095">
        <f>IF(3082&lt;$U$9,SUMPRODUCT(($D$10:$L$10&lt;&gt;"")*(($D$10:$L$10-($D$9:$L$9+INT(($S$12:$AA$12+INDEX($AJ$13:$AR$162,BN3095,0)+INDEX($AT$13:$BB$162,BO3095,0)+INDEX($BD$13:$BL$162,BP3095,0))/100)))&gt;0)*($D$10:$L$10-($D$9:$L$9+INT(($S$12:$AA$12+INDEX($AJ$13:$AR$162,BN3095,0)+INDEX($AT$13:$BB$162,BO3095,0)+INDEX($BD$13:$BL$162,BP3095,0))/100)))),0)</f>
        <v/>
      </c>
      <c r="BS3095">
        <f>IF(3082&lt;$U$9,SUMPRODUCT(($D$9:$L$9+INT(($S$12:$AA$12+INDEX($AJ$13:$AR$162,BN3095,0)+INDEX($AT$13:$BB$162,BO3095,0)+INDEX($BD$13:$BL$162,BP3095,0))/100))),0)</f>
        <v/>
      </c>
      <c r="BT3095">
        <f>IF(AND(3082&lt;$U$9,$W$5),BQ3095*1000000-MIN(BR3095,999)*1000+BS3095-3082/100000,-1000000000-3082)</f>
        <v/>
      </c>
    </row>
    <row r="3096">
      <c r="BN3096">
        <f>IF(3083&lt;$U$9,INT(3083/($U$7*$U$8))+1,1)</f>
        <v/>
      </c>
      <c r="BO3096">
        <f>IF(3083&lt;$U$9,MOD(INT(3083/$U$8),$U$7)+1,1)</f>
        <v/>
      </c>
      <c r="BP3096">
        <f>IF(3083&lt;$U$9,MOD(3083,$U$8)+1,1)</f>
        <v/>
      </c>
      <c r="BQ3096">
        <f>IF(3083&lt;$U$9,SUMPRODUCT(($D$10:$L$10&lt;&gt;"")*(($D$9:$L$9+INT(($S$12:$AA$12+INDEX($AJ$13:$AR$162,BN3096,0)+INDEX($AT$13:$BB$162,BO3096,0)+INDEX($BD$13:$BL$162,BP3096,0))/100))&gt;=$D$10:$L$10)),0)</f>
        <v/>
      </c>
      <c r="BR3096">
        <f>IF(3083&lt;$U$9,SUMPRODUCT(($D$10:$L$10&lt;&gt;"")*(($D$10:$L$10-($D$9:$L$9+INT(($S$12:$AA$12+INDEX($AJ$13:$AR$162,BN3096,0)+INDEX($AT$13:$BB$162,BO3096,0)+INDEX($BD$13:$BL$162,BP3096,0))/100)))&gt;0)*($D$10:$L$10-($D$9:$L$9+INT(($S$12:$AA$12+INDEX($AJ$13:$AR$162,BN3096,0)+INDEX($AT$13:$BB$162,BO3096,0)+INDEX($BD$13:$BL$162,BP3096,0))/100)))),0)</f>
        <v/>
      </c>
      <c r="BS3096">
        <f>IF(3083&lt;$U$9,SUMPRODUCT(($D$9:$L$9+INT(($S$12:$AA$12+INDEX($AJ$13:$AR$162,BN3096,0)+INDEX($AT$13:$BB$162,BO3096,0)+INDEX($BD$13:$BL$162,BP3096,0))/100))),0)</f>
        <v/>
      </c>
      <c r="BT3096">
        <f>IF(AND(3083&lt;$U$9,$W$5),BQ3096*1000000-MIN(BR3096,999)*1000+BS3096-3083/100000,-1000000000-3083)</f>
        <v/>
      </c>
    </row>
    <row r="3097">
      <c r="BN3097">
        <f>IF(3084&lt;$U$9,INT(3084/($U$7*$U$8))+1,1)</f>
        <v/>
      </c>
      <c r="BO3097">
        <f>IF(3084&lt;$U$9,MOD(INT(3084/$U$8),$U$7)+1,1)</f>
        <v/>
      </c>
      <c r="BP3097">
        <f>IF(3084&lt;$U$9,MOD(3084,$U$8)+1,1)</f>
        <v/>
      </c>
      <c r="BQ3097">
        <f>IF(3084&lt;$U$9,SUMPRODUCT(($D$10:$L$10&lt;&gt;"")*(($D$9:$L$9+INT(($S$12:$AA$12+INDEX($AJ$13:$AR$162,BN3097,0)+INDEX($AT$13:$BB$162,BO3097,0)+INDEX($BD$13:$BL$162,BP3097,0))/100))&gt;=$D$10:$L$10)),0)</f>
        <v/>
      </c>
      <c r="BR3097">
        <f>IF(3084&lt;$U$9,SUMPRODUCT(($D$10:$L$10&lt;&gt;"")*(($D$10:$L$10-($D$9:$L$9+INT(($S$12:$AA$12+INDEX($AJ$13:$AR$162,BN3097,0)+INDEX($AT$13:$BB$162,BO3097,0)+INDEX($BD$13:$BL$162,BP3097,0))/100)))&gt;0)*($D$10:$L$10-($D$9:$L$9+INT(($S$12:$AA$12+INDEX($AJ$13:$AR$162,BN3097,0)+INDEX($AT$13:$BB$162,BO3097,0)+INDEX($BD$13:$BL$162,BP3097,0))/100)))),0)</f>
        <v/>
      </c>
      <c r="BS3097">
        <f>IF(3084&lt;$U$9,SUMPRODUCT(($D$9:$L$9+INT(($S$12:$AA$12+INDEX($AJ$13:$AR$162,BN3097,0)+INDEX($AT$13:$BB$162,BO3097,0)+INDEX($BD$13:$BL$162,BP3097,0))/100))),0)</f>
        <v/>
      </c>
      <c r="BT3097">
        <f>IF(AND(3084&lt;$U$9,$W$5),BQ3097*1000000-MIN(BR3097,999)*1000+BS3097-3084/100000,-1000000000-3084)</f>
        <v/>
      </c>
    </row>
    <row r="3098">
      <c r="BN3098">
        <f>IF(3085&lt;$U$9,INT(3085/($U$7*$U$8))+1,1)</f>
        <v/>
      </c>
      <c r="BO3098">
        <f>IF(3085&lt;$U$9,MOD(INT(3085/$U$8),$U$7)+1,1)</f>
        <v/>
      </c>
      <c r="BP3098">
        <f>IF(3085&lt;$U$9,MOD(3085,$U$8)+1,1)</f>
        <v/>
      </c>
      <c r="BQ3098">
        <f>IF(3085&lt;$U$9,SUMPRODUCT(($D$10:$L$10&lt;&gt;"")*(($D$9:$L$9+INT(($S$12:$AA$12+INDEX($AJ$13:$AR$162,BN3098,0)+INDEX($AT$13:$BB$162,BO3098,0)+INDEX($BD$13:$BL$162,BP3098,0))/100))&gt;=$D$10:$L$10)),0)</f>
        <v/>
      </c>
      <c r="BR3098">
        <f>IF(3085&lt;$U$9,SUMPRODUCT(($D$10:$L$10&lt;&gt;"")*(($D$10:$L$10-($D$9:$L$9+INT(($S$12:$AA$12+INDEX($AJ$13:$AR$162,BN3098,0)+INDEX($AT$13:$BB$162,BO3098,0)+INDEX($BD$13:$BL$162,BP3098,0))/100)))&gt;0)*($D$10:$L$10-($D$9:$L$9+INT(($S$12:$AA$12+INDEX($AJ$13:$AR$162,BN3098,0)+INDEX($AT$13:$BB$162,BO3098,0)+INDEX($BD$13:$BL$162,BP3098,0))/100)))),0)</f>
        <v/>
      </c>
      <c r="BS3098">
        <f>IF(3085&lt;$U$9,SUMPRODUCT(($D$9:$L$9+INT(($S$12:$AA$12+INDEX($AJ$13:$AR$162,BN3098,0)+INDEX($AT$13:$BB$162,BO3098,0)+INDEX($BD$13:$BL$162,BP3098,0))/100))),0)</f>
        <v/>
      </c>
      <c r="BT3098">
        <f>IF(AND(3085&lt;$U$9,$W$5),BQ3098*1000000-MIN(BR3098,999)*1000+BS3098-3085/100000,-1000000000-3085)</f>
        <v/>
      </c>
    </row>
    <row r="3099">
      <c r="BN3099">
        <f>IF(3086&lt;$U$9,INT(3086/($U$7*$U$8))+1,1)</f>
        <v/>
      </c>
      <c r="BO3099">
        <f>IF(3086&lt;$U$9,MOD(INT(3086/$U$8),$U$7)+1,1)</f>
        <v/>
      </c>
      <c r="BP3099">
        <f>IF(3086&lt;$U$9,MOD(3086,$U$8)+1,1)</f>
        <v/>
      </c>
      <c r="BQ3099">
        <f>IF(3086&lt;$U$9,SUMPRODUCT(($D$10:$L$10&lt;&gt;"")*(($D$9:$L$9+INT(($S$12:$AA$12+INDEX($AJ$13:$AR$162,BN3099,0)+INDEX($AT$13:$BB$162,BO3099,0)+INDEX($BD$13:$BL$162,BP3099,0))/100))&gt;=$D$10:$L$10)),0)</f>
        <v/>
      </c>
      <c r="BR3099">
        <f>IF(3086&lt;$U$9,SUMPRODUCT(($D$10:$L$10&lt;&gt;"")*(($D$10:$L$10-($D$9:$L$9+INT(($S$12:$AA$12+INDEX($AJ$13:$AR$162,BN3099,0)+INDEX($AT$13:$BB$162,BO3099,0)+INDEX($BD$13:$BL$162,BP3099,0))/100)))&gt;0)*($D$10:$L$10-($D$9:$L$9+INT(($S$12:$AA$12+INDEX($AJ$13:$AR$162,BN3099,0)+INDEX($AT$13:$BB$162,BO3099,0)+INDEX($BD$13:$BL$162,BP3099,0))/100)))),0)</f>
        <v/>
      </c>
      <c r="BS3099">
        <f>IF(3086&lt;$U$9,SUMPRODUCT(($D$9:$L$9+INT(($S$12:$AA$12+INDEX($AJ$13:$AR$162,BN3099,0)+INDEX($AT$13:$BB$162,BO3099,0)+INDEX($BD$13:$BL$162,BP3099,0))/100))),0)</f>
        <v/>
      </c>
      <c r="BT3099">
        <f>IF(AND(3086&lt;$U$9,$W$5),BQ3099*1000000-MIN(BR3099,999)*1000+BS3099-3086/100000,-1000000000-3086)</f>
        <v/>
      </c>
    </row>
    <row r="3100">
      <c r="BN3100">
        <f>IF(3087&lt;$U$9,INT(3087/($U$7*$U$8))+1,1)</f>
        <v/>
      </c>
      <c r="BO3100">
        <f>IF(3087&lt;$U$9,MOD(INT(3087/$U$8),$U$7)+1,1)</f>
        <v/>
      </c>
      <c r="BP3100">
        <f>IF(3087&lt;$U$9,MOD(3087,$U$8)+1,1)</f>
        <v/>
      </c>
      <c r="BQ3100">
        <f>IF(3087&lt;$U$9,SUMPRODUCT(($D$10:$L$10&lt;&gt;"")*(($D$9:$L$9+INT(($S$12:$AA$12+INDEX($AJ$13:$AR$162,BN3100,0)+INDEX($AT$13:$BB$162,BO3100,0)+INDEX($BD$13:$BL$162,BP3100,0))/100))&gt;=$D$10:$L$10)),0)</f>
        <v/>
      </c>
      <c r="BR3100">
        <f>IF(3087&lt;$U$9,SUMPRODUCT(($D$10:$L$10&lt;&gt;"")*(($D$10:$L$10-($D$9:$L$9+INT(($S$12:$AA$12+INDEX($AJ$13:$AR$162,BN3100,0)+INDEX($AT$13:$BB$162,BO3100,0)+INDEX($BD$13:$BL$162,BP3100,0))/100)))&gt;0)*($D$10:$L$10-($D$9:$L$9+INT(($S$12:$AA$12+INDEX($AJ$13:$AR$162,BN3100,0)+INDEX($AT$13:$BB$162,BO3100,0)+INDEX($BD$13:$BL$162,BP3100,0))/100)))),0)</f>
        <v/>
      </c>
      <c r="BS3100">
        <f>IF(3087&lt;$U$9,SUMPRODUCT(($D$9:$L$9+INT(($S$12:$AA$12+INDEX($AJ$13:$AR$162,BN3100,0)+INDEX($AT$13:$BB$162,BO3100,0)+INDEX($BD$13:$BL$162,BP3100,0))/100))),0)</f>
        <v/>
      </c>
      <c r="BT3100">
        <f>IF(AND(3087&lt;$U$9,$W$5),BQ3100*1000000-MIN(BR3100,999)*1000+BS3100-3087/100000,-1000000000-3087)</f>
        <v/>
      </c>
    </row>
    <row r="3101">
      <c r="BN3101">
        <f>IF(3088&lt;$U$9,INT(3088/($U$7*$U$8))+1,1)</f>
        <v/>
      </c>
      <c r="BO3101">
        <f>IF(3088&lt;$U$9,MOD(INT(3088/$U$8),$U$7)+1,1)</f>
        <v/>
      </c>
      <c r="BP3101">
        <f>IF(3088&lt;$U$9,MOD(3088,$U$8)+1,1)</f>
        <v/>
      </c>
      <c r="BQ3101">
        <f>IF(3088&lt;$U$9,SUMPRODUCT(($D$10:$L$10&lt;&gt;"")*(($D$9:$L$9+INT(($S$12:$AA$12+INDEX($AJ$13:$AR$162,BN3101,0)+INDEX($AT$13:$BB$162,BO3101,0)+INDEX($BD$13:$BL$162,BP3101,0))/100))&gt;=$D$10:$L$10)),0)</f>
        <v/>
      </c>
      <c r="BR3101">
        <f>IF(3088&lt;$U$9,SUMPRODUCT(($D$10:$L$10&lt;&gt;"")*(($D$10:$L$10-($D$9:$L$9+INT(($S$12:$AA$12+INDEX($AJ$13:$AR$162,BN3101,0)+INDEX($AT$13:$BB$162,BO3101,0)+INDEX($BD$13:$BL$162,BP3101,0))/100)))&gt;0)*($D$10:$L$10-($D$9:$L$9+INT(($S$12:$AA$12+INDEX($AJ$13:$AR$162,BN3101,0)+INDEX($AT$13:$BB$162,BO3101,0)+INDEX($BD$13:$BL$162,BP3101,0))/100)))),0)</f>
        <v/>
      </c>
      <c r="BS3101">
        <f>IF(3088&lt;$U$9,SUMPRODUCT(($D$9:$L$9+INT(($S$12:$AA$12+INDEX($AJ$13:$AR$162,BN3101,0)+INDEX($AT$13:$BB$162,BO3101,0)+INDEX($BD$13:$BL$162,BP3101,0))/100))),0)</f>
        <v/>
      </c>
      <c r="BT3101">
        <f>IF(AND(3088&lt;$U$9,$W$5),BQ3101*1000000-MIN(BR3101,999)*1000+BS3101-3088/100000,-1000000000-3088)</f>
        <v/>
      </c>
    </row>
    <row r="3102">
      <c r="BN3102">
        <f>IF(3089&lt;$U$9,INT(3089/($U$7*$U$8))+1,1)</f>
        <v/>
      </c>
      <c r="BO3102">
        <f>IF(3089&lt;$U$9,MOD(INT(3089/$U$8),$U$7)+1,1)</f>
        <v/>
      </c>
      <c r="BP3102">
        <f>IF(3089&lt;$U$9,MOD(3089,$U$8)+1,1)</f>
        <v/>
      </c>
      <c r="BQ3102">
        <f>IF(3089&lt;$U$9,SUMPRODUCT(($D$10:$L$10&lt;&gt;"")*(($D$9:$L$9+INT(($S$12:$AA$12+INDEX($AJ$13:$AR$162,BN3102,0)+INDEX($AT$13:$BB$162,BO3102,0)+INDEX($BD$13:$BL$162,BP3102,0))/100))&gt;=$D$10:$L$10)),0)</f>
        <v/>
      </c>
      <c r="BR3102">
        <f>IF(3089&lt;$U$9,SUMPRODUCT(($D$10:$L$10&lt;&gt;"")*(($D$10:$L$10-($D$9:$L$9+INT(($S$12:$AA$12+INDEX($AJ$13:$AR$162,BN3102,0)+INDEX($AT$13:$BB$162,BO3102,0)+INDEX($BD$13:$BL$162,BP3102,0))/100)))&gt;0)*($D$10:$L$10-($D$9:$L$9+INT(($S$12:$AA$12+INDEX($AJ$13:$AR$162,BN3102,0)+INDEX($AT$13:$BB$162,BO3102,0)+INDEX($BD$13:$BL$162,BP3102,0))/100)))),0)</f>
        <v/>
      </c>
      <c r="BS3102">
        <f>IF(3089&lt;$U$9,SUMPRODUCT(($D$9:$L$9+INT(($S$12:$AA$12+INDEX($AJ$13:$AR$162,BN3102,0)+INDEX($AT$13:$BB$162,BO3102,0)+INDEX($BD$13:$BL$162,BP3102,0))/100))),0)</f>
        <v/>
      </c>
      <c r="BT3102">
        <f>IF(AND(3089&lt;$U$9,$W$5),BQ3102*1000000-MIN(BR3102,999)*1000+BS3102-3089/100000,-1000000000-3089)</f>
        <v/>
      </c>
    </row>
    <row r="3103">
      <c r="BN3103">
        <f>IF(3090&lt;$U$9,INT(3090/($U$7*$U$8))+1,1)</f>
        <v/>
      </c>
      <c r="BO3103">
        <f>IF(3090&lt;$U$9,MOD(INT(3090/$U$8),$U$7)+1,1)</f>
        <v/>
      </c>
      <c r="BP3103">
        <f>IF(3090&lt;$U$9,MOD(3090,$U$8)+1,1)</f>
        <v/>
      </c>
      <c r="BQ3103">
        <f>IF(3090&lt;$U$9,SUMPRODUCT(($D$10:$L$10&lt;&gt;"")*(($D$9:$L$9+INT(($S$12:$AA$12+INDEX($AJ$13:$AR$162,BN3103,0)+INDEX($AT$13:$BB$162,BO3103,0)+INDEX($BD$13:$BL$162,BP3103,0))/100))&gt;=$D$10:$L$10)),0)</f>
        <v/>
      </c>
      <c r="BR3103">
        <f>IF(3090&lt;$U$9,SUMPRODUCT(($D$10:$L$10&lt;&gt;"")*(($D$10:$L$10-($D$9:$L$9+INT(($S$12:$AA$12+INDEX($AJ$13:$AR$162,BN3103,0)+INDEX($AT$13:$BB$162,BO3103,0)+INDEX($BD$13:$BL$162,BP3103,0))/100)))&gt;0)*($D$10:$L$10-($D$9:$L$9+INT(($S$12:$AA$12+INDEX($AJ$13:$AR$162,BN3103,0)+INDEX($AT$13:$BB$162,BO3103,0)+INDEX($BD$13:$BL$162,BP3103,0))/100)))),0)</f>
        <v/>
      </c>
      <c r="BS3103">
        <f>IF(3090&lt;$U$9,SUMPRODUCT(($D$9:$L$9+INT(($S$12:$AA$12+INDEX($AJ$13:$AR$162,BN3103,0)+INDEX($AT$13:$BB$162,BO3103,0)+INDEX($BD$13:$BL$162,BP3103,0))/100))),0)</f>
        <v/>
      </c>
      <c r="BT3103">
        <f>IF(AND(3090&lt;$U$9,$W$5),BQ3103*1000000-MIN(BR3103,999)*1000+BS3103-3090/100000,-1000000000-3090)</f>
        <v/>
      </c>
    </row>
    <row r="3104">
      <c r="BN3104">
        <f>IF(3091&lt;$U$9,INT(3091/($U$7*$U$8))+1,1)</f>
        <v/>
      </c>
      <c r="BO3104">
        <f>IF(3091&lt;$U$9,MOD(INT(3091/$U$8),$U$7)+1,1)</f>
        <v/>
      </c>
      <c r="BP3104">
        <f>IF(3091&lt;$U$9,MOD(3091,$U$8)+1,1)</f>
        <v/>
      </c>
      <c r="BQ3104">
        <f>IF(3091&lt;$U$9,SUMPRODUCT(($D$10:$L$10&lt;&gt;"")*(($D$9:$L$9+INT(($S$12:$AA$12+INDEX($AJ$13:$AR$162,BN3104,0)+INDEX($AT$13:$BB$162,BO3104,0)+INDEX($BD$13:$BL$162,BP3104,0))/100))&gt;=$D$10:$L$10)),0)</f>
        <v/>
      </c>
      <c r="BR3104">
        <f>IF(3091&lt;$U$9,SUMPRODUCT(($D$10:$L$10&lt;&gt;"")*(($D$10:$L$10-($D$9:$L$9+INT(($S$12:$AA$12+INDEX($AJ$13:$AR$162,BN3104,0)+INDEX($AT$13:$BB$162,BO3104,0)+INDEX($BD$13:$BL$162,BP3104,0))/100)))&gt;0)*($D$10:$L$10-($D$9:$L$9+INT(($S$12:$AA$12+INDEX($AJ$13:$AR$162,BN3104,0)+INDEX($AT$13:$BB$162,BO3104,0)+INDEX($BD$13:$BL$162,BP3104,0))/100)))),0)</f>
        <v/>
      </c>
      <c r="BS3104">
        <f>IF(3091&lt;$U$9,SUMPRODUCT(($D$9:$L$9+INT(($S$12:$AA$12+INDEX($AJ$13:$AR$162,BN3104,0)+INDEX($AT$13:$BB$162,BO3104,0)+INDEX($BD$13:$BL$162,BP3104,0))/100))),0)</f>
        <v/>
      </c>
      <c r="BT3104">
        <f>IF(AND(3091&lt;$U$9,$W$5),BQ3104*1000000-MIN(BR3104,999)*1000+BS3104-3091/100000,-1000000000-3091)</f>
        <v/>
      </c>
    </row>
    <row r="3105">
      <c r="BN3105">
        <f>IF(3092&lt;$U$9,INT(3092/($U$7*$U$8))+1,1)</f>
        <v/>
      </c>
      <c r="BO3105">
        <f>IF(3092&lt;$U$9,MOD(INT(3092/$U$8),$U$7)+1,1)</f>
        <v/>
      </c>
      <c r="BP3105">
        <f>IF(3092&lt;$U$9,MOD(3092,$U$8)+1,1)</f>
        <v/>
      </c>
      <c r="BQ3105">
        <f>IF(3092&lt;$U$9,SUMPRODUCT(($D$10:$L$10&lt;&gt;"")*(($D$9:$L$9+INT(($S$12:$AA$12+INDEX($AJ$13:$AR$162,BN3105,0)+INDEX($AT$13:$BB$162,BO3105,0)+INDEX($BD$13:$BL$162,BP3105,0))/100))&gt;=$D$10:$L$10)),0)</f>
        <v/>
      </c>
      <c r="BR3105">
        <f>IF(3092&lt;$U$9,SUMPRODUCT(($D$10:$L$10&lt;&gt;"")*(($D$10:$L$10-($D$9:$L$9+INT(($S$12:$AA$12+INDEX($AJ$13:$AR$162,BN3105,0)+INDEX($AT$13:$BB$162,BO3105,0)+INDEX($BD$13:$BL$162,BP3105,0))/100)))&gt;0)*($D$10:$L$10-($D$9:$L$9+INT(($S$12:$AA$12+INDEX($AJ$13:$AR$162,BN3105,0)+INDEX($AT$13:$BB$162,BO3105,0)+INDEX($BD$13:$BL$162,BP3105,0))/100)))),0)</f>
        <v/>
      </c>
      <c r="BS3105">
        <f>IF(3092&lt;$U$9,SUMPRODUCT(($D$9:$L$9+INT(($S$12:$AA$12+INDEX($AJ$13:$AR$162,BN3105,0)+INDEX($AT$13:$BB$162,BO3105,0)+INDEX($BD$13:$BL$162,BP3105,0))/100))),0)</f>
        <v/>
      </c>
      <c r="BT3105">
        <f>IF(AND(3092&lt;$U$9,$W$5),BQ3105*1000000-MIN(BR3105,999)*1000+BS3105-3092/100000,-1000000000-3092)</f>
        <v/>
      </c>
    </row>
    <row r="3106">
      <c r="BN3106">
        <f>IF(3093&lt;$U$9,INT(3093/($U$7*$U$8))+1,1)</f>
        <v/>
      </c>
      <c r="BO3106">
        <f>IF(3093&lt;$U$9,MOD(INT(3093/$U$8),$U$7)+1,1)</f>
        <v/>
      </c>
      <c r="BP3106">
        <f>IF(3093&lt;$U$9,MOD(3093,$U$8)+1,1)</f>
        <v/>
      </c>
      <c r="BQ3106">
        <f>IF(3093&lt;$U$9,SUMPRODUCT(($D$10:$L$10&lt;&gt;"")*(($D$9:$L$9+INT(($S$12:$AA$12+INDEX($AJ$13:$AR$162,BN3106,0)+INDEX($AT$13:$BB$162,BO3106,0)+INDEX($BD$13:$BL$162,BP3106,0))/100))&gt;=$D$10:$L$10)),0)</f>
        <v/>
      </c>
      <c r="BR3106">
        <f>IF(3093&lt;$U$9,SUMPRODUCT(($D$10:$L$10&lt;&gt;"")*(($D$10:$L$10-($D$9:$L$9+INT(($S$12:$AA$12+INDEX($AJ$13:$AR$162,BN3106,0)+INDEX($AT$13:$BB$162,BO3106,0)+INDEX($BD$13:$BL$162,BP3106,0))/100)))&gt;0)*($D$10:$L$10-($D$9:$L$9+INT(($S$12:$AA$12+INDEX($AJ$13:$AR$162,BN3106,0)+INDEX($AT$13:$BB$162,BO3106,0)+INDEX($BD$13:$BL$162,BP3106,0))/100)))),0)</f>
        <v/>
      </c>
      <c r="BS3106">
        <f>IF(3093&lt;$U$9,SUMPRODUCT(($D$9:$L$9+INT(($S$12:$AA$12+INDEX($AJ$13:$AR$162,BN3106,0)+INDEX($AT$13:$BB$162,BO3106,0)+INDEX($BD$13:$BL$162,BP3106,0))/100))),0)</f>
        <v/>
      </c>
      <c r="BT3106">
        <f>IF(AND(3093&lt;$U$9,$W$5),BQ3106*1000000-MIN(BR3106,999)*1000+BS3106-3093/100000,-1000000000-3093)</f>
        <v/>
      </c>
    </row>
    <row r="3107">
      <c r="BN3107">
        <f>IF(3094&lt;$U$9,INT(3094/($U$7*$U$8))+1,1)</f>
        <v/>
      </c>
      <c r="BO3107">
        <f>IF(3094&lt;$U$9,MOD(INT(3094/$U$8),$U$7)+1,1)</f>
        <v/>
      </c>
      <c r="BP3107">
        <f>IF(3094&lt;$U$9,MOD(3094,$U$8)+1,1)</f>
        <v/>
      </c>
      <c r="BQ3107">
        <f>IF(3094&lt;$U$9,SUMPRODUCT(($D$10:$L$10&lt;&gt;"")*(($D$9:$L$9+INT(($S$12:$AA$12+INDEX($AJ$13:$AR$162,BN3107,0)+INDEX($AT$13:$BB$162,BO3107,0)+INDEX($BD$13:$BL$162,BP3107,0))/100))&gt;=$D$10:$L$10)),0)</f>
        <v/>
      </c>
      <c r="BR3107">
        <f>IF(3094&lt;$U$9,SUMPRODUCT(($D$10:$L$10&lt;&gt;"")*(($D$10:$L$10-($D$9:$L$9+INT(($S$12:$AA$12+INDEX($AJ$13:$AR$162,BN3107,0)+INDEX($AT$13:$BB$162,BO3107,0)+INDEX($BD$13:$BL$162,BP3107,0))/100)))&gt;0)*($D$10:$L$10-($D$9:$L$9+INT(($S$12:$AA$12+INDEX($AJ$13:$AR$162,BN3107,0)+INDEX($AT$13:$BB$162,BO3107,0)+INDEX($BD$13:$BL$162,BP3107,0))/100)))),0)</f>
        <v/>
      </c>
      <c r="BS3107">
        <f>IF(3094&lt;$U$9,SUMPRODUCT(($D$9:$L$9+INT(($S$12:$AA$12+INDEX($AJ$13:$AR$162,BN3107,0)+INDEX($AT$13:$BB$162,BO3107,0)+INDEX($BD$13:$BL$162,BP3107,0))/100))),0)</f>
        <v/>
      </c>
      <c r="BT3107">
        <f>IF(AND(3094&lt;$U$9,$W$5),BQ3107*1000000-MIN(BR3107,999)*1000+BS3107-3094/100000,-1000000000-3094)</f>
        <v/>
      </c>
    </row>
    <row r="3108">
      <c r="BN3108">
        <f>IF(3095&lt;$U$9,INT(3095/($U$7*$U$8))+1,1)</f>
        <v/>
      </c>
      <c r="BO3108">
        <f>IF(3095&lt;$U$9,MOD(INT(3095/$U$8),$U$7)+1,1)</f>
        <v/>
      </c>
      <c r="BP3108">
        <f>IF(3095&lt;$U$9,MOD(3095,$U$8)+1,1)</f>
        <v/>
      </c>
      <c r="BQ3108">
        <f>IF(3095&lt;$U$9,SUMPRODUCT(($D$10:$L$10&lt;&gt;"")*(($D$9:$L$9+INT(($S$12:$AA$12+INDEX($AJ$13:$AR$162,BN3108,0)+INDEX($AT$13:$BB$162,BO3108,0)+INDEX($BD$13:$BL$162,BP3108,0))/100))&gt;=$D$10:$L$10)),0)</f>
        <v/>
      </c>
      <c r="BR3108">
        <f>IF(3095&lt;$U$9,SUMPRODUCT(($D$10:$L$10&lt;&gt;"")*(($D$10:$L$10-($D$9:$L$9+INT(($S$12:$AA$12+INDEX($AJ$13:$AR$162,BN3108,0)+INDEX($AT$13:$BB$162,BO3108,0)+INDEX($BD$13:$BL$162,BP3108,0))/100)))&gt;0)*($D$10:$L$10-($D$9:$L$9+INT(($S$12:$AA$12+INDEX($AJ$13:$AR$162,BN3108,0)+INDEX($AT$13:$BB$162,BO3108,0)+INDEX($BD$13:$BL$162,BP3108,0))/100)))),0)</f>
        <v/>
      </c>
      <c r="BS3108">
        <f>IF(3095&lt;$U$9,SUMPRODUCT(($D$9:$L$9+INT(($S$12:$AA$12+INDEX($AJ$13:$AR$162,BN3108,0)+INDEX($AT$13:$BB$162,BO3108,0)+INDEX($BD$13:$BL$162,BP3108,0))/100))),0)</f>
        <v/>
      </c>
      <c r="BT3108">
        <f>IF(AND(3095&lt;$U$9,$W$5),BQ3108*1000000-MIN(BR3108,999)*1000+BS3108-3095/100000,-1000000000-3095)</f>
        <v/>
      </c>
    </row>
    <row r="3109">
      <c r="BN3109">
        <f>IF(3096&lt;$U$9,INT(3096/($U$7*$U$8))+1,1)</f>
        <v/>
      </c>
      <c r="BO3109">
        <f>IF(3096&lt;$U$9,MOD(INT(3096/$U$8),$U$7)+1,1)</f>
        <v/>
      </c>
      <c r="BP3109">
        <f>IF(3096&lt;$U$9,MOD(3096,$U$8)+1,1)</f>
        <v/>
      </c>
      <c r="BQ3109">
        <f>IF(3096&lt;$U$9,SUMPRODUCT(($D$10:$L$10&lt;&gt;"")*(($D$9:$L$9+INT(($S$12:$AA$12+INDEX($AJ$13:$AR$162,BN3109,0)+INDEX($AT$13:$BB$162,BO3109,0)+INDEX($BD$13:$BL$162,BP3109,0))/100))&gt;=$D$10:$L$10)),0)</f>
        <v/>
      </c>
      <c r="BR3109">
        <f>IF(3096&lt;$U$9,SUMPRODUCT(($D$10:$L$10&lt;&gt;"")*(($D$10:$L$10-($D$9:$L$9+INT(($S$12:$AA$12+INDEX($AJ$13:$AR$162,BN3109,0)+INDEX($AT$13:$BB$162,BO3109,0)+INDEX($BD$13:$BL$162,BP3109,0))/100)))&gt;0)*($D$10:$L$10-($D$9:$L$9+INT(($S$12:$AA$12+INDEX($AJ$13:$AR$162,BN3109,0)+INDEX($AT$13:$BB$162,BO3109,0)+INDEX($BD$13:$BL$162,BP3109,0))/100)))),0)</f>
        <v/>
      </c>
      <c r="BS3109">
        <f>IF(3096&lt;$U$9,SUMPRODUCT(($D$9:$L$9+INT(($S$12:$AA$12+INDEX($AJ$13:$AR$162,BN3109,0)+INDEX($AT$13:$BB$162,BO3109,0)+INDEX($BD$13:$BL$162,BP3109,0))/100))),0)</f>
        <v/>
      </c>
      <c r="BT3109">
        <f>IF(AND(3096&lt;$U$9,$W$5),BQ3109*1000000-MIN(BR3109,999)*1000+BS3109-3096/100000,-1000000000-3096)</f>
        <v/>
      </c>
    </row>
    <row r="3110">
      <c r="BN3110">
        <f>IF(3097&lt;$U$9,INT(3097/($U$7*$U$8))+1,1)</f>
        <v/>
      </c>
      <c r="BO3110">
        <f>IF(3097&lt;$U$9,MOD(INT(3097/$U$8),$U$7)+1,1)</f>
        <v/>
      </c>
      <c r="BP3110">
        <f>IF(3097&lt;$U$9,MOD(3097,$U$8)+1,1)</f>
        <v/>
      </c>
      <c r="BQ3110">
        <f>IF(3097&lt;$U$9,SUMPRODUCT(($D$10:$L$10&lt;&gt;"")*(($D$9:$L$9+INT(($S$12:$AA$12+INDEX($AJ$13:$AR$162,BN3110,0)+INDEX($AT$13:$BB$162,BO3110,0)+INDEX($BD$13:$BL$162,BP3110,0))/100))&gt;=$D$10:$L$10)),0)</f>
        <v/>
      </c>
      <c r="BR3110">
        <f>IF(3097&lt;$U$9,SUMPRODUCT(($D$10:$L$10&lt;&gt;"")*(($D$10:$L$10-($D$9:$L$9+INT(($S$12:$AA$12+INDEX($AJ$13:$AR$162,BN3110,0)+INDEX($AT$13:$BB$162,BO3110,0)+INDEX($BD$13:$BL$162,BP3110,0))/100)))&gt;0)*($D$10:$L$10-($D$9:$L$9+INT(($S$12:$AA$12+INDEX($AJ$13:$AR$162,BN3110,0)+INDEX($AT$13:$BB$162,BO3110,0)+INDEX($BD$13:$BL$162,BP3110,0))/100)))),0)</f>
        <v/>
      </c>
      <c r="BS3110">
        <f>IF(3097&lt;$U$9,SUMPRODUCT(($D$9:$L$9+INT(($S$12:$AA$12+INDEX($AJ$13:$AR$162,BN3110,0)+INDEX($AT$13:$BB$162,BO3110,0)+INDEX($BD$13:$BL$162,BP3110,0))/100))),0)</f>
        <v/>
      </c>
      <c r="BT3110">
        <f>IF(AND(3097&lt;$U$9,$W$5),BQ3110*1000000-MIN(BR3110,999)*1000+BS3110-3097/100000,-1000000000-3097)</f>
        <v/>
      </c>
    </row>
    <row r="3111">
      <c r="BN3111">
        <f>IF(3098&lt;$U$9,INT(3098/($U$7*$U$8))+1,1)</f>
        <v/>
      </c>
      <c r="BO3111">
        <f>IF(3098&lt;$U$9,MOD(INT(3098/$U$8),$U$7)+1,1)</f>
        <v/>
      </c>
      <c r="BP3111">
        <f>IF(3098&lt;$U$9,MOD(3098,$U$8)+1,1)</f>
        <v/>
      </c>
      <c r="BQ3111">
        <f>IF(3098&lt;$U$9,SUMPRODUCT(($D$10:$L$10&lt;&gt;"")*(($D$9:$L$9+INT(($S$12:$AA$12+INDEX($AJ$13:$AR$162,BN3111,0)+INDEX($AT$13:$BB$162,BO3111,0)+INDEX($BD$13:$BL$162,BP3111,0))/100))&gt;=$D$10:$L$10)),0)</f>
        <v/>
      </c>
      <c r="BR3111">
        <f>IF(3098&lt;$U$9,SUMPRODUCT(($D$10:$L$10&lt;&gt;"")*(($D$10:$L$10-($D$9:$L$9+INT(($S$12:$AA$12+INDEX($AJ$13:$AR$162,BN3111,0)+INDEX($AT$13:$BB$162,BO3111,0)+INDEX($BD$13:$BL$162,BP3111,0))/100)))&gt;0)*($D$10:$L$10-($D$9:$L$9+INT(($S$12:$AA$12+INDEX($AJ$13:$AR$162,BN3111,0)+INDEX($AT$13:$BB$162,BO3111,0)+INDEX($BD$13:$BL$162,BP3111,0))/100)))),0)</f>
        <v/>
      </c>
      <c r="BS3111">
        <f>IF(3098&lt;$U$9,SUMPRODUCT(($D$9:$L$9+INT(($S$12:$AA$12+INDEX($AJ$13:$AR$162,BN3111,0)+INDEX($AT$13:$BB$162,BO3111,0)+INDEX($BD$13:$BL$162,BP3111,0))/100))),0)</f>
        <v/>
      </c>
      <c r="BT3111">
        <f>IF(AND(3098&lt;$U$9,$W$5),BQ3111*1000000-MIN(BR3111,999)*1000+BS3111-3098/100000,-1000000000-3098)</f>
        <v/>
      </c>
    </row>
    <row r="3112">
      <c r="BN3112">
        <f>IF(3099&lt;$U$9,INT(3099/($U$7*$U$8))+1,1)</f>
        <v/>
      </c>
      <c r="BO3112">
        <f>IF(3099&lt;$U$9,MOD(INT(3099/$U$8),$U$7)+1,1)</f>
        <v/>
      </c>
      <c r="BP3112">
        <f>IF(3099&lt;$U$9,MOD(3099,$U$8)+1,1)</f>
        <v/>
      </c>
      <c r="BQ3112">
        <f>IF(3099&lt;$U$9,SUMPRODUCT(($D$10:$L$10&lt;&gt;"")*(($D$9:$L$9+INT(($S$12:$AA$12+INDEX($AJ$13:$AR$162,BN3112,0)+INDEX($AT$13:$BB$162,BO3112,0)+INDEX($BD$13:$BL$162,BP3112,0))/100))&gt;=$D$10:$L$10)),0)</f>
        <v/>
      </c>
      <c r="BR3112">
        <f>IF(3099&lt;$U$9,SUMPRODUCT(($D$10:$L$10&lt;&gt;"")*(($D$10:$L$10-($D$9:$L$9+INT(($S$12:$AA$12+INDEX($AJ$13:$AR$162,BN3112,0)+INDEX($AT$13:$BB$162,BO3112,0)+INDEX($BD$13:$BL$162,BP3112,0))/100)))&gt;0)*($D$10:$L$10-($D$9:$L$9+INT(($S$12:$AA$12+INDEX($AJ$13:$AR$162,BN3112,0)+INDEX($AT$13:$BB$162,BO3112,0)+INDEX($BD$13:$BL$162,BP3112,0))/100)))),0)</f>
        <v/>
      </c>
      <c r="BS3112">
        <f>IF(3099&lt;$U$9,SUMPRODUCT(($D$9:$L$9+INT(($S$12:$AA$12+INDEX($AJ$13:$AR$162,BN3112,0)+INDEX($AT$13:$BB$162,BO3112,0)+INDEX($BD$13:$BL$162,BP3112,0))/100))),0)</f>
        <v/>
      </c>
      <c r="BT3112">
        <f>IF(AND(3099&lt;$U$9,$W$5),BQ3112*1000000-MIN(BR3112,999)*1000+BS3112-3099/100000,-1000000000-3099)</f>
        <v/>
      </c>
    </row>
    <row r="3113">
      <c r="BN3113">
        <f>IF(3100&lt;$U$9,INT(3100/($U$7*$U$8))+1,1)</f>
        <v/>
      </c>
      <c r="BO3113">
        <f>IF(3100&lt;$U$9,MOD(INT(3100/$U$8),$U$7)+1,1)</f>
        <v/>
      </c>
      <c r="BP3113">
        <f>IF(3100&lt;$U$9,MOD(3100,$U$8)+1,1)</f>
        <v/>
      </c>
      <c r="BQ3113">
        <f>IF(3100&lt;$U$9,SUMPRODUCT(($D$10:$L$10&lt;&gt;"")*(($D$9:$L$9+INT(($S$12:$AA$12+INDEX($AJ$13:$AR$162,BN3113,0)+INDEX($AT$13:$BB$162,BO3113,0)+INDEX($BD$13:$BL$162,BP3113,0))/100))&gt;=$D$10:$L$10)),0)</f>
        <v/>
      </c>
      <c r="BR3113">
        <f>IF(3100&lt;$U$9,SUMPRODUCT(($D$10:$L$10&lt;&gt;"")*(($D$10:$L$10-($D$9:$L$9+INT(($S$12:$AA$12+INDEX($AJ$13:$AR$162,BN3113,0)+INDEX($AT$13:$BB$162,BO3113,0)+INDEX($BD$13:$BL$162,BP3113,0))/100)))&gt;0)*($D$10:$L$10-($D$9:$L$9+INT(($S$12:$AA$12+INDEX($AJ$13:$AR$162,BN3113,0)+INDEX($AT$13:$BB$162,BO3113,0)+INDEX($BD$13:$BL$162,BP3113,0))/100)))),0)</f>
        <v/>
      </c>
      <c r="BS3113">
        <f>IF(3100&lt;$U$9,SUMPRODUCT(($D$9:$L$9+INT(($S$12:$AA$12+INDEX($AJ$13:$AR$162,BN3113,0)+INDEX($AT$13:$BB$162,BO3113,0)+INDEX($BD$13:$BL$162,BP3113,0))/100))),0)</f>
        <v/>
      </c>
      <c r="BT3113">
        <f>IF(AND(3100&lt;$U$9,$W$5),BQ3113*1000000-MIN(BR3113,999)*1000+BS3113-3100/100000,-1000000000-3100)</f>
        <v/>
      </c>
    </row>
    <row r="3114">
      <c r="BN3114">
        <f>IF(3101&lt;$U$9,INT(3101/($U$7*$U$8))+1,1)</f>
        <v/>
      </c>
      <c r="BO3114">
        <f>IF(3101&lt;$U$9,MOD(INT(3101/$U$8),$U$7)+1,1)</f>
        <v/>
      </c>
      <c r="BP3114">
        <f>IF(3101&lt;$U$9,MOD(3101,$U$8)+1,1)</f>
        <v/>
      </c>
      <c r="BQ3114">
        <f>IF(3101&lt;$U$9,SUMPRODUCT(($D$10:$L$10&lt;&gt;"")*(($D$9:$L$9+INT(($S$12:$AA$12+INDEX($AJ$13:$AR$162,BN3114,0)+INDEX($AT$13:$BB$162,BO3114,0)+INDEX($BD$13:$BL$162,BP3114,0))/100))&gt;=$D$10:$L$10)),0)</f>
        <v/>
      </c>
      <c r="BR3114">
        <f>IF(3101&lt;$U$9,SUMPRODUCT(($D$10:$L$10&lt;&gt;"")*(($D$10:$L$10-($D$9:$L$9+INT(($S$12:$AA$12+INDEX($AJ$13:$AR$162,BN3114,0)+INDEX($AT$13:$BB$162,BO3114,0)+INDEX($BD$13:$BL$162,BP3114,0))/100)))&gt;0)*($D$10:$L$10-($D$9:$L$9+INT(($S$12:$AA$12+INDEX($AJ$13:$AR$162,BN3114,0)+INDEX($AT$13:$BB$162,BO3114,0)+INDEX($BD$13:$BL$162,BP3114,0))/100)))),0)</f>
        <v/>
      </c>
      <c r="BS3114">
        <f>IF(3101&lt;$U$9,SUMPRODUCT(($D$9:$L$9+INT(($S$12:$AA$12+INDEX($AJ$13:$AR$162,BN3114,0)+INDEX($AT$13:$BB$162,BO3114,0)+INDEX($BD$13:$BL$162,BP3114,0))/100))),0)</f>
        <v/>
      </c>
      <c r="BT3114">
        <f>IF(AND(3101&lt;$U$9,$W$5),BQ3114*1000000-MIN(BR3114,999)*1000+BS3114-3101/100000,-1000000000-3101)</f>
        <v/>
      </c>
    </row>
    <row r="3115">
      <c r="BN3115">
        <f>IF(3102&lt;$U$9,INT(3102/($U$7*$U$8))+1,1)</f>
        <v/>
      </c>
      <c r="BO3115">
        <f>IF(3102&lt;$U$9,MOD(INT(3102/$U$8),$U$7)+1,1)</f>
        <v/>
      </c>
      <c r="BP3115">
        <f>IF(3102&lt;$U$9,MOD(3102,$U$8)+1,1)</f>
        <v/>
      </c>
      <c r="BQ3115">
        <f>IF(3102&lt;$U$9,SUMPRODUCT(($D$10:$L$10&lt;&gt;"")*(($D$9:$L$9+INT(($S$12:$AA$12+INDEX($AJ$13:$AR$162,BN3115,0)+INDEX($AT$13:$BB$162,BO3115,0)+INDEX($BD$13:$BL$162,BP3115,0))/100))&gt;=$D$10:$L$10)),0)</f>
        <v/>
      </c>
      <c r="BR3115">
        <f>IF(3102&lt;$U$9,SUMPRODUCT(($D$10:$L$10&lt;&gt;"")*(($D$10:$L$10-($D$9:$L$9+INT(($S$12:$AA$12+INDEX($AJ$13:$AR$162,BN3115,0)+INDEX($AT$13:$BB$162,BO3115,0)+INDEX($BD$13:$BL$162,BP3115,0))/100)))&gt;0)*($D$10:$L$10-($D$9:$L$9+INT(($S$12:$AA$12+INDEX($AJ$13:$AR$162,BN3115,0)+INDEX($AT$13:$BB$162,BO3115,0)+INDEX($BD$13:$BL$162,BP3115,0))/100)))),0)</f>
        <v/>
      </c>
      <c r="BS3115">
        <f>IF(3102&lt;$U$9,SUMPRODUCT(($D$9:$L$9+INT(($S$12:$AA$12+INDEX($AJ$13:$AR$162,BN3115,0)+INDEX($AT$13:$BB$162,BO3115,0)+INDEX($BD$13:$BL$162,BP3115,0))/100))),0)</f>
        <v/>
      </c>
      <c r="BT3115">
        <f>IF(AND(3102&lt;$U$9,$W$5),BQ3115*1000000-MIN(BR3115,999)*1000+BS3115-3102/100000,-1000000000-3102)</f>
        <v/>
      </c>
    </row>
    <row r="3116">
      <c r="BN3116">
        <f>IF(3103&lt;$U$9,INT(3103/($U$7*$U$8))+1,1)</f>
        <v/>
      </c>
      <c r="BO3116">
        <f>IF(3103&lt;$U$9,MOD(INT(3103/$U$8),$U$7)+1,1)</f>
        <v/>
      </c>
      <c r="BP3116">
        <f>IF(3103&lt;$U$9,MOD(3103,$U$8)+1,1)</f>
        <v/>
      </c>
      <c r="BQ3116">
        <f>IF(3103&lt;$U$9,SUMPRODUCT(($D$10:$L$10&lt;&gt;"")*(($D$9:$L$9+INT(($S$12:$AA$12+INDEX($AJ$13:$AR$162,BN3116,0)+INDEX($AT$13:$BB$162,BO3116,0)+INDEX($BD$13:$BL$162,BP3116,0))/100))&gt;=$D$10:$L$10)),0)</f>
        <v/>
      </c>
      <c r="BR3116">
        <f>IF(3103&lt;$U$9,SUMPRODUCT(($D$10:$L$10&lt;&gt;"")*(($D$10:$L$10-($D$9:$L$9+INT(($S$12:$AA$12+INDEX($AJ$13:$AR$162,BN3116,0)+INDEX($AT$13:$BB$162,BO3116,0)+INDEX($BD$13:$BL$162,BP3116,0))/100)))&gt;0)*($D$10:$L$10-($D$9:$L$9+INT(($S$12:$AA$12+INDEX($AJ$13:$AR$162,BN3116,0)+INDEX($AT$13:$BB$162,BO3116,0)+INDEX($BD$13:$BL$162,BP3116,0))/100)))),0)</f>
        <v/>
      </c>
      <c r="BS3116">
        <f>IF(3103&lt;$U$9,SUMPRODUCT(($D$9:$L$9+INT(($S$12:$AA$12+INDEX($AJ$13:$AR$162,BN3116,0)+INDEX($AT$13:$BB$162,BO3116,0)+INDEX($BD$13:$BL$162,BP3116,0))/100))),0)</f>
        <v/>
      </c>
      <c r="BT3116">
        <f>IF(AND(3103&lt;$U$9,$W$5),BQ3116*1000000-MIN(BR3116,999)*1000+BS3116-3103/100000,-1000000000-3103)</f>
        <v/>
      </c>
    </row>
    <row r="3117">
      <c r="BN3117">
        <f>IF(3104&lt;$U$9,INT(3104/($U$7*$U$8))+1,1)</f>
        <v/>
      </c>
      <c r="BO3117">
        <f>IF(3104&lt;$U$9,MOD(INT(3104/$U$8),$U$7)+1,1)</f>
        <v/>
      </c>
      <c r="BP3117">
        <f>IF(3104&lt;$U$9,MOD(3104,$U$8)+1,1)</f>
        <v/>
      </c>
      <c r="BQ3117">
        <f>IF(3104&lt;$U$9,SUMPRODUCT(($D$10:$L$10&lt;&gt;"")*(($D$9:$L$9+INT(($S$12:$AA$12+INDEX($AJ$13:$AR$162,BN3117,0)+INDEX($AT$13:$BB$162,BO3117,0)+INDEX($BD$13:$BL$162,BP3117,0))/100))&gt;=$D$10:$L$10)),0)</f>
        <v/>
      </c>
      <c r="BR3117">
        <f>IF(3104&lt;$U$9,SUMPRODUCT(($D$10:$L$10&lt;&gt;"")*(($D$10:$L$10-($D$9:$L$9+INT(($S$12:$AA$12+INDEX($AJ$13:$AR$162,BN3117,0)+INDEX($AT$13:$BB$162,BO3117,0)+INDEX($BD$13:$BL$162,BP3117,0))/100)))&gt;0)*($D$10:$L$10-($D$9:$L$9+INT(($S$12:$AA$12+INDEX($AJ$13:$AR$162,BN3117,0)+INDEX($AT$13:$BB$162,BO3117,0)+INDEX($BD$13:$BL$162,BP3117,0))/100)))),0)</f>
        <v/>
      </c>
      <c r="BS3117">
        <f>IF(3104&lt;$U$9,SUMPRODUCT(($D$9:$L$9+INT(($S$12:$AA$12+INDEX($AJ$13:$AR$162,BN3117,0)+INDEX($AT$13:$BB$162,BO3117,0)+INDEX($BD$13:$BL$162,BP3117,0))/100))),0)</f>
        <v/>
      </c>
      <c r="BT3117">
        <f>IF(AND(3104&lt;$U$9,$W$5),BQ3117*1000000-MIN(BR3117,999)*1000+BS3117-3104/100000,-1000000000-3104)</f>
        <v/>
      </c>
    </row>
    <row r="3118">
      <c r="BN3118">
        <f>IF(3105&lt;$U$9,INT(3105/($U$7*$U$8))+1,1)</f>
        <v/>
      </c>
      <c r="BO3118">
        <f>IF(3105&lt;$U$9,MOD(INT(3105/$U$8),$U$7)+1,1)</f>
        <v/>
      </c>
      <c r="BP3118">
        <f>IF(3105&lt;$U$9,MOD(3105,$U$8)+1,1)</f>
        <v/>
      </c>
      <c r="BQ3118">
        <f>IF(3105&lt;$U$9,SUMPRODUCT(($D$10:$L$10&lt;&gt;"")*(($D$9:$L$9+INT(($S$12:$AA$12+INDEX($AJ$13:$AR$162,BN3118,0)+INDEX($AT$13:$BB$162,BO3118,0)+INDEX($BD$13:$BL$162,BP3118,0))/100))&gt;=$D$10:$L$10)),0)</f>
        <v/>
      </c>
      <c r="BR3118">
        <f>IF(3105&lt;$U$9,SUMPRODUCT(($D$10:$L$10&lt;&gt;"")*(($D$10:$L$10-($D$9:$L$9+INT(($S$12:$AA$12+INDEX($AJ$13:$AR$162,BN3118,0)+INDEX($AT$13:$BB$162,BO3118,0)+INDEX($BD$13:$BL$162,BP3118,0))/100)))&gt;0)*($D$10:$L$10-($D$9:$L$9+INT(($S$12:$AA$12+INDEX($AJ$13:$AR$162,BN3118,0)+INDEX($AT$13:$BB$162,BO3118,0)+INDEX($BD$13:$BL$162,BP3118,0))/100)))),0)</f>
        <v/>
      </c>
      <c r="BS3118">
        <f>IF(3105&lt;$U$9,SUMPRODUCT(($D$9:$L$9+INT(($S$12:$AA$12+INDEX($AJ$13:$AR$162,BN3118,0)+INDEX($AT$13:$BB$162,BO3118,0)+INDEX($BD$13:$BL$162,BP3118,0))/100))),0)</f>
        <v/>
      </c>
      <c r="BT3118">
        <f>IF(AND(3105&lt;$U$9,$W$5),BQ3118*1000000-MIN(BR3118,999)*1000+BS3118-3105/100000,-1000000000-3105)</f>
        <v/>
      </c>
    </row>
    <row r="3119">
      <c r="BN3119">
        <f>IF(3106&lt;$U$9,INT(3106/($U$7*$U$8))+1,1)</f>
        <v/>
      </c>
      <c r="BO3119">
        <f>IF(3106&lt;$U$9,MOD(INT(3106/$U$8),$U$7)+1,1)</f>
        <v/>
      </c>
      <c r="BP3119">
        <f>IF(3106&lt;$U$9,MOD(3106,$U$8)+1,1)</f>
        <v/>
      </c>
      <c r="BQ3119">
        <f>IF(3106&lt;$U$9,SUMPRODUCT(($D$10:$L$10&lt;&gt;"")*(($D$9:$L$9+INT(($S$12:$AA$12+INDEX($AJ$13:$AR$162,BN3119,0)+INDEX($AT$13:$BB$162,BO3119,0)+INDEX($BD$13:$BL$162,BP3119,0))/100))&gt;=$D$10:$L$10)),0)</f>
        <v/>
      </c>
      <c r="BR3119">
        <f>IF(3106&lt;$U$9,SUMPRODUCT(($D$10:$L$10&lt;&gt;"")*(($D$10:$L$10-($D$9:$L$9+INT(($S$12:$AA$12+INDEX($AJ$13:$AR$162,BN3119,0)+INDEX($AT$13:$BB$162,BO3119,0)+INDEX($BD$13:$BL$162,BP3119,0))/100)))&gt;0)*($D$10:$L$10-($D$9:$L$9+INT(($S$12:$AA$12+INDEX($AJ$13:$AR$162,BN3119,0)+INDEX($AT$13:$BB$162,BO3119,0)+INDEX($BD$13:$BL$162,BP3119,0))/100)))),0)</f>
        <v/>
      </c>
      <c r="BS3119">
        <f>IF(3106&lt;$U$9,SUMPRODUCT(($D$9:$L$9+INT(($S$12:$AA$12+INDEX($AJ$13:$AR$162,BN3119,0)+INDEX($AT$13:$BB$162,BO3119,0)+INDEX($BD$13:$BL$162,BP3119,0))/100))),0)</f>
        <v/>
      </c>
      <c r="BT3119">
        <f>IF(AND(3106&lt;$U$9,$W$5),BQ3119*1000000-MIN(BR3119,999)*1000+BS3119-3106/100000,-1000000000-3106)</f>
        <v/>
      </c>
    </row>
    <row r="3120">
      <c r="BN3120">
        <f>IF(3107&lt;$U$9,INT(3107/($U$7*$U$8))+1,1)</f>
        <v/>
      </c>
      <c r="BO3120">
        <f>IF(3107&lt;$U$9,MOD(INT(3107/$U$8),$U$7)+1,1)</f>
        <v/>
      </c>
      <c r="BP3120">
        <f>IF(3107&lt;$U$9,MOD(3107,$U$8)+1,1)</f>
        <v/>
      </c>
      <c r="BQ3120">
        <f>IF(3107&lt;$U$9,SUMPRODUCT(($D$10:$L$10&lt;&gt;"")*(($D$9:$L$9+INT(($S$12:$AA$12+INDEX($AJ$13:$AR$162,BN3120,0)+INDEX($AT$13:$BB$162,BO3120,0)+INDEX($BD$13:$BL$162,BP3120,0))/100))&gt;=$D$10:$L$10)),0)</f>
        <v/>
      </c>
      <c r="BR3120">
        <f>IF(3107&lt;$U$9,SUMPRODUCT(($D$10:$L$10&lt;&gt;"")*(($D$10:$L$10-($D$9:$L$9+INT(($S$12:$AA$12+INDEX($AJ$13:$AR$162,BN3120,0)+INDEX($AT$13:$BB$162,BO3120,0)+INDEX($BD$13:$BL$162,BP3120,0))/100)))&gt;0)*($D$10:$L$10-($D$9:$L$9+INT(($S$12:$AA$12+INDEX($AJ$13:$AR$162,BN3120,0)+INDEX($AT$13:$BB$162,BO3120,0)+INDEX($BD$13:$BL$162,BP3120,0))/100)))),0)</f>
        <v/>
      </c>
      <c r="BS3120">
        <f>IF(3107&lt;$U$9,SUMPRODUCT(($D$9:$L$9+INT(($S$12:$AA$12+INDEX($AJ$13:$AR$162,BN3120,0)+INDEX($AT$13:$BB$162,BO3120,0)+INDEX($BD$13:$BL$162,BP3120,0))/100))),0)</f>
        <v/>
      </c>
      <c r="BT3120">
        <f>IF(AND(3107&lt;$U$9,$W$5),BQ3120*1000000-MIN(BR3120,999)*1000+BS3120-3107/100000,-1000000000-3107)</f>
        <v/>
      </c>
    </row>
    <row r="3121">
      <c r="BN3121">
        <f>IF(3108&lt;$U$9,INT(3108/($U$7*$U$8))+1,1)</f>
        <v/>
      </c>
      <c r="BO3121">
        <f>IF(3108&lt;$U$9,MOD(INT(3108/$U$8),$U$7)+1,1)</f>
        <v/>
      </c>
      <c r="BP3121">
        <f>IF(3108&lt;$U$9,MOD(3108,$U$8)+1,1)</f>
        <v/>
      </c>
      <c r="BQ3121">
        <f>IF(3108&lt;$U$9,SUMPRODUCT(($D$10:$L$10&lt;&gt;"")*(($D$9:$L$9+INT(($S$12:$AA$12+INDEX($AJ$13:$AR$162,BN3121,0)+INDEX($AT$13:$BB$162,BO3121,0)+INDEX($BD$13:$BL$162,BP3121,0))/100))&gt;=$D$10:$L$10)),0)</f>
        <v/>
      </c>
      <c r="BR3121">
        <f>IF(3108&lt;$U$9,SUMPRODUCT(($D$10:$L$10&lt;&gt;"")*(($D$10:$L$10-($D$9:$L$9+INT(($S$12:$AA$12+INDEX($AJ$13:$AR$162,BN3121,0)+INDEX($AT$13:$BB$162,BO3121,0)+INDEX($BD$13:$BL$162,BP3121,0))/100)))&gt;0)*($D$10:$L$10-($D$9:$L$9+INT(($S$12:$AA$12+INDEX($AJ$13:$AR$162,BN3121,0)+INDEX($AT$13:$BB$162,BO3121,0)+INDEX($BD$13:$BL$162,BP3121,0))/100)))),0)</f>
        <v/>
      </c>
      <c r="BS3121">
        <f>IF(3108&lt;$U$9,SUMPRODUCT(($D$9:$L$9+INT(($S$12:$AA$12+INDEX($AJ$13:$AR$162,BN3121,0)+INDEX($AT$13:$BB$162,BO3121,0)+INDEX($BD$13:$BL$162,BP3121,0))/100))),0)</f>
        <v/>
      </c>
      <c r="BT3121">
        <f>IF(AND(3108&lt;$U$9,$W$5),BQ3121*1000000-MIN(BR3121,999)*1000+BS3121-3108/100000,-1000000000-3108)</f>
        <v/>
      </c>
    </row>
    <row r="3122">
      <c r="BN3122">
        <f>IF(3109&lt;$U$9,INT(3109/($U$7*$U$8))+1,1)</f>
        <v/>
      </c>
      <c r="BO3122">
        <f>IF(3109&lt;$U$9,MOD(INT(3109/$U$8),$U$7)+1,1)</f>
        <v/>
      </c>
      <c r="BP3122">
        <f>IF(3109&lt;$U$9,MOD(3109,$U$8)+1,1)</f>
        <v/>
      </c>
      <c r="BQ3122">
        <f>IF(3109&lt;$U$9,SUMPRODUCT(($D$10:$L$10&lt;&gt;"")*(($D$9:$L$9+INT(($S$12:$AA$12+INDEX($AJ$13:$AR$162,BN3122,0)+INDEX($AT$13:$BB$162,BO3122,0)+INDEX($BD$13:$BL$162,BP3122,0))/100))&gt;=$D$10:$L$10)),0)</f>
        <v/>
      </c>
      <c r="BR3122">
        <f>IF(3109&lt;$U$9,SUMPRODUCT(($D$10:$L$10&lt;&gt;"")*(($D$10:$L$10-($D$9:$L$9+INT(($S$12:$AA$12+INDEX($AJ$13:$AR$162,BN3122,0)+INDEX($AT$13:$BB$162,BO3122,0)+INDEX($BD$13:$BL$162,BP3122,0))/100)))&gt;0)*($D$10:$L$10-($D$9:$L$9+INT(($S$12:$AA$12+INDEX($AJ$13:$AR$162,BN3122,0)+INDEX($AT$13:$BB$162,BO3122,0)+INDEX($BD$13:$BL$162,BP3122,0))/100)))),0)</f>
        <v/>
      </c>
      <c r="BS3122">
        <f>IF(3109&lt;$U$9,SUMPRODUCT(($D$9:$L$9+INT(($S$12:$AA$12+INDEX($AJ$13:$AR$162,BN3122,0)+INDEX($AT$13:$BB$162,BO3122,0)+INDEX($BD$13:$BL$162,BP3122,0))/100))),0)</f>
        <v/>
      </c>
      <c r="BT3122">
        <f>IF(AND(3109&lt;$U$9,$W$5),BQ3122*1000000-MIN(BR3122,999)*1000+BS3122-3109/100000,-1000000000-3109)</f>
        <v/>
      </c>
    </row>
    <row r="3123">
      <c r="BN3123">
        <f>IF(3110&lt;$U$9,INT(3110/($U$7*$U$8))+1,1)</f>
        <v/>
      </c>
      <c r="BO3123">
        <f>IF(3110&lt;$U$9,MOD(INT(3110/$U$8),$U$7)+1,1)</f>
        <v/>
      </c>
      <c r="BP3123">
        <f>IF(3110&lt;$U$9,MOD(3110,$U$8)+1,1)</f>
        <v/>
      </c>
      <c r="BQ3123">
        <f>IF(3110&lt;$U$9,SUMPRODUCT(($D$10:$L$10&lt;&gt;"")*(($D$9:$L$9+INT(($S$12:$AA$12+INDEX($AJ$13:$AR$162,BN3123,0)+INDEX($AT$13:$BB$162,BO3123,0)+INDEX($BD$13:$BL$162,BP3123,0))/100))&gt;=$D$10:$L$10)),0)</f>
        <v/>
      </c>
      <c r="BR3123">
        <f>IF(3110&lt;$U$9,SUMPRODUCT(($D$10:$L$10&lt;&gt;"")*(($D$10:$L$10-($D$9:$L$9+INT(($S$12:$AA$12+INDEX($AJ$13:$AR$162,BN3123,0)+INDEX($AT$13:$BB$162,BO3123,0)+INDEX($BD$13:$BL$162,BP3123,0))/100)))&gt;0)*($D$10:$L$10-($D$9:$L$9+INT(($S$12:$AA$12+INDEX($AJ$13:$AR$162,BN3123,0)+INDEX($AT$13:$BB$162,BO3123,0)+INDEX($BD$13:$BL$162,BP3123,0))/100)))),0)</f>
        <v/>
      </c>
      <c r="BS3123">
        <f>IF(3110&lt;$U$9,SUMPRODUCT(($D$9:$L$9+INT(($S$12:$AA$12+INDEX($AJ$13:$AR$162,BN3123,0)+INDEX($AT$13:$BB$162,BO3123,0)+INDEX($BD$13:$BL$162,BP3123,0))/100))),0)</f>
        <v/>
      </c>
      <c r="BT3123">
        <f>IF(AND(3110&lt;$U$9,$W$5),BQ3123*1000000-MIN(BR3123,999)*1000+BS3123-3110/100000,-1000000000-3110)</f>
        <v/>
      </c>
    </row>
    <row r="3124">
      <c r="BN3124">
        <f>IF(3111&lt;$U$9,INT(3111/($U$7*$U$8))+1,1)</f>
        <v/>
      </c>
      <c r="BO3124">
        <f>IF(3111&lt;$U$9,MOD(INT(3111/$U$8),$U$7)+1,1)</f>
        <v/>
      </c>
      <c r="BP3124">
        <f>IF(3111&lt;$U$9,MOD(3111,$U$8)+1,1)</f>
        <v/>
      </c>
      <c r="BQ3124">
        <f>IF(3111&lt;$U$9,SUMPRODUCT(($D$10:$L$10&lt;&gt;"")*(($D$9:$L$9+INT(($S$12:$AA$12+INDEX($AJ$13:$AR$162,BN3124,0)+INDEX($AT$13:$BB$162,BO3124,0)+INDEX($BD$13:$BL$162,BP3124,0))/100))&gt;=$D$10:$L$10)),0)</f>
        <v/>
      </c>
      <c r="BR3124">
        <f>IF(3111&lt;$U$9,SUMPRODUCT(($D$10:$L$10&lt;&gt;"")*(($D$10:$L$10-($D$9:$L$9+INT(($S$12:$AA$12+INDEX($AJ$13:$AR$162,BN3124,0)+INDEX($AT$13:$BB$162,BO3124,0)+INDEX($BD$13:$BL$162,BP3124,0))/100)))&gt;0)*($D$10:$L$10-($D$9:$L$9+INT(($S$12:$AA$12+INDEX($AJ$13:$AR$162,BN3124,0)+INDEX($AT$13:$BB$162,BO3124,0)+INDEX($BD$13:$BL$162,BP3124,0))/100)))),0)</f>
        <v/>
      </c>
      <c r="BS3124">
        <f>IF(3111&lt;$U$9,SUMPRODUCT(($D$9:$L$9+INT(($S$12:$AA$12+INDEX($AJ$13:$AR$162,BN3124,0)+INDEX($AT$13:$BB$162,BO3124,0)+INDEX($BD$13:$BL$162,BP3124,0))/100))),0)</f>
        <v/>
      </c>
      <c r="BT3124">
        <f>IF(AND(3111&lt;$U$9,$W$5),BQ3124*1000000-MIN(BR3124,999)*1000+BS3124-3111/100000,-1000000000-3111)</f>
        <v/>
      </c>
    </row>
    <row r="3125">
      <c r="BN3125">
        <f>IF(3112&lt;$U$9,INT(3112/($U$7*$U$8))+1,1)</f>
        <v/>
      </c>
      <c r="BO3125">
        <f>IF(3112&lt;$U$9,MOD(INT(3112/$U$8),$U$7)+1,1)</f>
        <v/>
      </c>
      <c r="BP3125">
        <f>IF(3112&lt;$U$9,MOD(3112,$U$8)+1,1)</f>
        <v/>
      </c>
      <c r="BQ3125">
        <f>IF(3112&lt;$U$9,SUMPRODUCT(($D$10:$L$10&lt;&gt;"")*(($D$9:$L$9+INT(($S$12:$AA$12+INDEX($AJ$13:$AR$162,BN3125,0)+INDEX($AT$13:$BB$162,BO3125,0)+INDEX($BD$13:$BL$162,BP3125,0))/100))&gt;=$D$10:$L$10)),0)</f>
        <v/>
      </c>
      <c r="BR3125">
        <f>IF(3112&lt;$U$9,SUMPRODUCT(($D$10:$L$10&lt;&gt;"")*(($D$10:$L$10-($D$9:$L$9+INT(($S$12:$AA$12+INDEX($AJ$13:$AR$162,BN3125,0)+INDEX($AT$13:$BB$162,BO3125,0)+INDEX($BD$13:$BL$162,BP3125,0))/100)))&gt;0)*($D$10:$L$10-($D$9:$L$9+INT(($S$12:$AA$12+INDEX($AJ$13:$AR$162,BN3125,0)+INDEX($AT$13:$BB$162,BO3125,0)+INDEX($BD$13:$BL$162,BP3125,0))/100)))),0)</f>
        <v/>
      </c>
      <c r="BS3125">
        <f>IF(3112&lt;$U$9,SUMPRODUCT(($D$9:$L$9+INT(($S$12:$AA$12+INDEX($AJ$13:$AR$162,BN3125,0)+INDEX($AT$13:$BB$162,BO3125,0)+INDEX($BD$13:$BL$162,BP3125,0))/100))),0)</f>
        <v/>
      </c>
      <c r="BT3125">
        <f>IF(AND(3112&lt;$U$9,$W$5),BQ3125*1000000-MIN(BR3125,999)*1000+BS3125-3112/100000,-1000000000-3112)</f>
        <v/>
      </c>
    </row>
    <row r="3126">
      <c r="BN3126">
        <f>IF(3113&lt;$U$9,INT(3113/($U$7*$U$8))+1,1)</f>
        <v/>
      </c>
      <c r="BO3126">
        <f>IF(3113&lt;$U$9,MOD(INT(3113/$U$8),$U$7)+1,1)</f>
        <v/>
      </c>
      <c r="BP3126">
        <f>IF(3113&lt;$U$9,MOD(3113,$U$8)+1,1)</f>
        <v/>
      </c>
      <c r="BQ3126">
        <f>IF(3113&lt;$U$9,SUMPRODUCT(($D$10:$L$10&lt;&gt;"")*(($D$9:$L$9+INT(($S$12:$AA$12+INDEX($AJ$13:$AR$162,BN3126,0)+INDEX($AT$13:$BB$162,BO3126,0)+INDEX($BD$13:$BL$162,BP3126,0))/100))&gt;=$D$10:$L$10)),0)</f>
        <v/>
      </c>
      <c r="BR3126">
        <f>IF(3113&lt;$U$9,SUMPRODUCT(($D$10:$L$10&lt;&gt;"")*(($D$10:$L$10-($D$9:$L$9+INT(($S$12:$AA$12+INDEX($AJ$13:$AR$162,BN3126,0)+INDEX($AT$13:$BB$162,BO3126,0)+INDEX($BD$13:$BL$162,BP3126,0))/100)))&gt;0)*($D$10:$L$10-($D$9:$L$9+INT(($S$12:$AA$12+INDEX($AJ$13:$AR$162,BN3126,0)+INDEX($AT$13:$BB$162,BO3126,0)+INDEX($BD$13:$BL$162,BP3126,0))/100)))),0)</f>
        <v/>
      </c>
      <c r="BS3126">
        <f>IF(3113&lt;$U$9,SUMPRODUCT(($D$9:$L$9+INT(($S$12:$AA$12+INDEX($AJ$13:$AR$162,BN3126,0)+INDEX($AT$13:$BB$162,BO3126,0)+INDEX($BD$13:$BL$162,BP3126,0))/100))),0)</f>
        <v/>
      </c>
      <c r="BT3126">
        <f>IF(AND(3113&lt;$U$9,$W$5),BQ3126*1000000-MIN(BR3126,999)*1000+BS3126-3113/100000,-1000000000-3113)</f>
        <v/>
      </c>
    </row>
    <row r="3127">
      <c r="BN3127">
        <f>IF(3114&lt;$U$9,INT(3114/($U$7*$U$8))+1,1)</f>
        <v/>
      </c>
      <c r="BO3127">
        <f>IF(3114&lt;$U$9,MOD(INT(3114/$U$8),$U$7)+1,1)</f>
        <v/>
      </c>
      <c r="BP3127">
        <f>IF(3114&lt;$U$9,MOD(3114,$U$8)+1,1)</f>
        <v/>
      </c>
      <c r="BQ3127">
        <f>IF(3114&lt;$U$9,SUMPRODUCT(($D$10:$L$10&lt;&gt;"")*(($D$9:$L$9+INT(($S$12:$AA$12+INDEX($AJ$13:$AR$162,BN3127,0)+INDEX($AT$13:$BB$162,BO3127,0)+INDEX($BD$13:$BL$162,BP3127,0))/100))&gt;=$D$10:$L$10)),0)</f>
        <v/>
      </c>
      <c r="BR3127">
        <f>IF(3114&lt;$U$9,SUMPRODUCT(($D$10:$L$10&lt;&gt;"")*(($D$10:$L$10-($D$9:$L$9+INT(($S$12:$AA$12+INDEX($AJ$13:$AR$162,BN3127,0)+INDEX($AT$13:$BB$162,BO3127,0)+INDEX($BD$13:$BL$162,BP3127,0))/100)))&gt;0)*($D$10:$L$10-($D$9:$L$9+INT(($S$12:$AA$12+INDEX($AJ$13:$AR$162,BN3127,0)+INDEX($AT$13:$BB$162,BO3127,0)+INDEX($BD$13:$BL$162,BP3127,0))/100)))),0)</f>
        <v/>
      </c>
      <c r="BS3127">
        <f>IF(3114&lt;$U$9,SUMPRODUCT(($D$9:$L$9+INT(($S$12:$AA$12+INDEX($AJ$13:$AR$162,BN3127,0)+INDEX($AT$13:$BB$162,BO3127,0)+INDEX($BD$13:$BL$162,BP3127,0))/100))),0)</f>
        <v/>
      </c>
      <c r="BT3127">
        <f>IF(AND(3114&lt;$U$9,$W$5),BQ3127*1000000-MIN(BR3127,999)*1000+BS3127-3114/100000,-1000000000-3114)</f>
        <v/>
      </c>
    </row>
    <row r="3128">
      <c r="BN3128">
        <f>IF(3115&lt;$U$9,INT(3115/($U$7*$U$8))+1,1)</f>
        <v/>
      </c>
      <c r="BO3128">
        <f>IF(3115&lt;$U$9,MOD(INT(3115/$U$8),$U$7)+1,1)</f>
        <v/>
      </c>
      <c r="BP3128">
        <f>IF(3115&lt;$U$9,MOD(3115,$U$8)+1,1)</f>
        <v/>
      </c>
      <c r="BQ3128">
        <f>IF(3115&lt;$U$9,SUMPRODUCT(($D$10:$L$10&lt;&gt;"")*(($D$9:$L$9+INT(($S$12:$AA$12+INDEX($AJ$13:$AR$162,BN3128,0)+INDEX($AT$13:$BB$162,BO3128,0)+INDEX($BD$13:$BL$162,BP3128,0))/100))&gt;=$D$10:$L$10)),0)</f>
        <v/>
      </c>
      <c r="BR3128">
        <f>IF(3115&lt;$U$9,SUMPRODUCT(($D$10:$L$10&lt;&gt;"")*(($D$10:$L$10-($D$9:$L$9+INT(($S$12:$AA$12+INDEX($AJ$13:$AR$162,BN3128,0)+INDEX($AT$13:$BB$162,BO3128,0)+INDEX($BD$13:$BL$162,BP3128,0))/100)))&gt;0)*($D$10:$L$10-($D$9:$L$9+INT(($S$12:$AA$12+INDEX($AJ$13:$AR$162,BN3128,0)+INDEX($AT$13:$BB$162,BO3128,0)+INDEX($BD$13:$BL$162,BP3128,0))/100)))),0)</f>
        <v/>
      </c>
      <c r="BS3128">
        <f>IF(3115&lt;$U$9,SUMPRODUCT(($D$9:$L$9+INT(($S$12:$AA$12+INDEX($AJ$13:$AR$162,BN3128,0)+INDEX($AT$13:$BB$162,BO3128,0)+INDEX($BD$13:$BL$162,BP3128,0))/100))),0)</f>
        <v/>
      </c>
      <c r="BT3128">
        <f>IF(AND(3115&lt;$U$9,$W$5),BQ3128*1000000-MIN(BR3128,999)*1000+BS3128-3115/100000,-1000000000-3115)</f>
        <v/>
      </c>
    </row>
    <row r="3129">
      <c r="BN3129">
        <f>IF(3116&lt;$U$9,INT(3116/($U$7*$U$8))+1,1)</f>
        <v/>
      </c>
      <c r="BO3129">
        <f>IF(3116&lt;$U$9,MOD(INT(3116/$U$8),$U$7)+1,1)</f>
        <v/>
      </c>
      <c r="BP3129">
        <f>IF(3116&lt;$U$9,MOD(3116,$U$8)+1,1)</f>
        <v/>
      </c>
      <c r="BQ3129">
        <f>IF(3116&lt;$U$9,SUMPRODUCT(($D$10:$L$10&lt;&gt;"")*(($D$9:$L$9+INT(($S$12:$AA$12+INDEX($AJ$13:$AR$162,BN3129,0)+INDEX($AT$13:$BB$162,BO3129,0)+INDEX($BD$13:$BL$162,BP3129,0))/100))&gt;=$D$10:$L$10)),0)</f>
        <v/>
      </c>
      <c r="BR3129">
        <f>IF(3116&lt;$U$9,SUMPRODUCT(($D$10:$L$10&lt;&gt;"")*(($D$10:$L$10-($D$9:$L$9+INT(($S$12:$AA$12+INDEX($AJ$13:$AR$162,BN3129,0)+INDEX($AT$13:$BB$162,BO3129,0)+INDEX($BD$13:$BL$162,BP3129,0))/100)))&gt;0)*($D$10:$L$10-($D$9:$L$9+INT(($S$12:$AA$12+INDEX($AJ$13:$AR$162,BN3129,0)+INDEX($AT$13:$BB$162,BO3129,0)+INDEX($BD$13:$BL$162,BP3129,0))/100)))),0)</f>
        <v/>
      </c>
      <c r="BS3129">
        <f>IF(3116&lt;$U$9,SUMPRODUCT(($D$9:$L$9+INT(($S$12:$AA$12+INDEX($AJ$13:$AR$162,BN3129,0)+INDEX($AT$13:$BB$162,BO3129,0)+INDEX($BD$13:$BL$162,BP3129,0))/100))),0)</f>
        <v/>
      </c>
      <c r="BT3129">
        <f>IF(AND(3116&lt;$U$9,$W$5),BQ3129*1000000-MIN(BR3129,999)*1000+BS3129-3116/100000,-1000000000-3116)</f>
        <v/>
      </c>
    </row>
    <row r="3130">
      <c r="BN3130">
        <f>IF(3117&lt;$U$9,INT(3117/($U$7*$U$8))+1,1)</f>
        <v/>
      </c>
      <c r="BO3130">
        <f>IF(3117&lt;$U$9,MOD(INT(3117/$U$8),$U$7)+1,1)</f>
        <v/>
      </c>
      <c r="BP3130">
        <f>IF(3117&lt;$U$9,MOD(3117,$U$8)+1,1)</f>
        <v/>
      </c>
      <c r="BQ3130">
        <f>IF(3117&lt;$U$9,SUMPRODUCT(($D$10:$L$10&lt;&gt;"")*(($D$9:$L$9+INT(($S$12:$AA$12+INDEX($AJ$13:$AR$162,BN3130,0)+INDEX($AT$13:$BB$162,BO3130,0)+INDEX($BD$13:$BL$162,BP3130,0))/100))&gt;=$D$10:$L$10)),0)</f>
        <v/>
      </c>
      <c r="BR3130">
        <f>IF(3117&lt;$U$9,SUMPRODUCT(($D$10:$L$10&lt;&gt;"")*(($D$10:$L$10-($D$9:$L$9+INT(($S$12:$AA$12+INDEX($AJ$13:$AR$162,BN3130,0)+INDEX($AT$13:$BB$162,BO3130,0)+INDEX($BD$13:$BL$162,BP3130,0))/100)))&gt;0)*($D$10:$L$10-($D$9:$L$9+INT(($S$12:$AA$12+INDEX($AJ$13:$AR$162,BN3130,0)+INDEX($AT$13:$BB$162,BO3130,0)+INDEX($BD$13:$BL$162,BP3130,0))/100)))),0)</f>
        <v/>
      </c>
      <c r="BS3130">
        <f>IF(3117&lt;$U$9,SUMPRODUCT(($D$9:$L$9+INT(($S$12:$AA$12+INDEX($AJ$13:$AR$162,BN3130,0)+INDEX($AT$13:$BB$162,BO3130,0)+INDEX($BD$13:$BL$162,BP3130,0))/100))),0)</f>
        <v/>
      </c>
      <c r="BT3130">
        <f>IF(AND(3117&lt;$U$9,$W$5),BQ3130*1000000-MIN(BR3130,999)*1000+BS3130-3117/100000,-1000000000-3117)</f>
        <v/>
      </c>
    </row>
    <row r="3131">
      <c r="BN3131">
        <f>IF(3118&lt;$U$9,INT(3118/($U$7*$U$8))+1,1)</f>
        <v/>
      </c>
      <c r="BO3131">
        <f>IF(3118&lt;$U$9,MOD(INT(3118/$U$8),$U$7)+1,1)</f>
        <v/>
      </c>
      <c r="BP3131">
        <f>IF(3118&lt;$U$9,MOD(3118,$U$8)+1,1)</f>
        <v/>
      </c>
      <c r="BQ3131">
        <f>IF(3118&lt;$U$9,SUMPRODUCT(($D$10:$L$10&lt;&gt;"")*(($D$9:$L$9+INT(($S$12:$AA$12+INDEX($AJ$13:$AR$162,BN3131,0)+INDEX($AT$13:$BB$162,BO3131,0)+INDEX($BD$13:$BL$162,BP3131,0))/100))&gt;=$D$10:$L$10)),0)</f>
        <v/>
      </c>
      <c r="BR3131">
        <f>IF(3118&lt;$U$9,SUMPRODUCT(($D$10:$L$10&lt;&gt;"")*(($D$10:$L$10-($D$9:$L$9+INT(($S$12:$AA$12+INDEX($AJ$13:$AR$162,BN3131,0)+INDEX($AT$13:$BB$162,BO3131,0)+INDEX($BD$13:$BL$162,BP3131,0))/100)))&gt;0)*($D$10:$L$10-($D$9:$L$9+INT(($S$12:$AA$12+INDEX($AJ$13:$AR$162,BN3131,0)+INDEX($AT$13:$BB$162,BO3131,0)+INDEX($BD$13:$BL$162,BP3131,0))/100)))),0)</f>
        <v/>
      </c>
      <c r="BS3131">
        <f>IF(3118&lt;$U$9,SUMPRODUCT(($D$9:$L$9+INT(($S$12:$AA$12+INDEX($AJ$13:$AR$162,BN3131,0)+INDEX($AT$13:$BB$162,BO3131,0)+INDEX($BD$13:$BL$162,BP3131,0))/100))),0)</f>
        <v/>
      </c>
      <c r="BT3131">
        <f>IF(AND(3118&lt;$U$9,$W$5),BQ3131*1000000-MIN(BR3131,999)*1000+BS3131-3118/100000,-1000000000-3118)</f>
        <v/>
      </c>
    </row>
    <row r="3132">
      <c r="BN3132">
        <f>IF(3119&lt;$U$9,INT(3119/($U$7*$U$8))+1,1)</f>
        <v/>
      </c>
      <c r="BO3132">
        <f>IF(3119&lt;$U$9,MOD(INT(3119/$U$8),$U$7)+1,1)</f>
        <v/>
      </c>
      <c r="BP3132">
        <f>IF(3119&lt;$U$9,MOD(3119,$U$8)+1,1)</f>
        <v/>
      </c>
      <c r="BQ3132">
        <f>IF(3119&lt;$U$9,SUMPRODUCT(($D$10:$L$10&lt;&gt;"")*(($D$9:$L$9+INT(($S$12:$AA$12+INDEX($AJ$13:$AR$162,BN3132,0)+INDEX($AT$13:$BB$162,BO3132,0)+INDEX($BD$13:$BL$162,BP3132,0))/100))&gt;=$D$10:$L$10)),0)</f>
        <v/>
      </c>
      <c r="BR3132">
        <f>IF(3119&lt;$U$9,SUMPRODUCT(($D$10:$L$10&lt;&gt;"")*(($D$10:$L$10-($D$9:$L$9+INT(($S$12:$AA$12+INDEX($AJ$13:$AR$162,BN3132,0)+INDEX($AT$13:$BB$162,BO3132,0)+INDEX($BD$13:$BL$162,BP3132,0))/100)))&gt;0)*($D$10:$L$10-($D$9:$L$9+INT(($S$12:$AA$12+INDEX($AJ$13:$AR$162,BN3132,0)+INDEX($AT$13:$BB$162,BO3132,0)+INDEX($BD$13:$BL$162,BP3132,0))/100)))),0)</f>
        <v/>
      </c>
      <c r="BS3132">
        <f>IF(3119&lt;$U$9,SUMPRODUCT(($D$9:$L$9+INT(($S$12:$AA$12+INDEX($AJ$13:$AR$162,BN3132,0)+INDEX($AT$13:$BB$162,BO3132,0)+INDEX($BD$13:$BL$162,BP3132,0))/100))),0)</f>
        <v/>
      </c>
      <c r="BT3132">
        <f>IF(AND(3119&lt;$U$9,$W$5),BQ3132*1000000-MIN(BR3132,999)*1000+BS3132-3119/100000,-1000000000-3119)</f>
        <v/>
      </c>
    </row>
    <row r="3133">
      <c r="BN3133">
        <f>IF(3120&lt;$U$9,INT(3120/($U$7*$U$8))+1,1)</f>
        <v/>
      </c>
      <c r="BO3133">
        <f>IF(3120&lt;$U$9,MOD(INT(3120/$U$8),$U$7)+1,1)</f>
        <v/>
      </c>
      <c r="BP3133">
        <f>IF(3120&lt;$U$9,MOD(3120,$U$8)+1,1)</f>
        <v/>
      </c>
      <c r="BQ3133">
        <f>IF(3120&lt;$U$9,SUMPRODUCT(($D$10:$L$10&lt;&gt;"")*(($D$9:$L$9+INT(($S$12:$AA$12+INDEX($AJ$13:$AR$162,BN3133,0)+INDEX($AT$13:$BB$162,BO3133,0)+INDEX($BD$13:$BL$162,BP3133,0))/100))&gt;=$D$10:$L$10)),0)</f>
        <v/>
      </c>
      <c r="BR3133">
        <f>IF(3120&lt;$U$9,SUMPRODUCT(($D$10:$L$10&lt;&gt;"")*(($D$10:$L$10-($D$9:$L$9+INT(($S$12:$AA$12+INDEX($AJ$13:$AR$162,BN3133,0)+INDEX($AT$13:$BB$162,BO3133,0)+INDEX($BD$13:$BL$162,BP3133,0))/100)))&gt;0)*($D$10:$L$10-($D$9:$L$9+INT(($S$12:$AA$12+INDEX($AJ$13:$AR$162,BN3133,0)+INDEX($AT$13:$BB$162,BO3133,0)+INDEX($BD$13:$BL$162,BP3133,0))/100)))),0)</f>
        <v/>
      </c>
      <c r="BS3133">
        <f>IF(3120&lt;$U$9,SUMPRODUCT(($D$9:$L$9+INT(($S$12:$AA$12+INDEX($AJ$13:$AR$162,BN3133,0)+INDEX($AT$13:$BB$162,BO3133,0)+INDEX($BD$13:$BL$162,BP3133,0))/100))),0)</f>
        <v/>
      </c>
      <c r="BT3133">
        <f>IF(AND(3120&lt;$U$9,$W$5),BQ3133*1000000-MIN(BR3133,999)*1000+BS3133-3120/100000,-1000000000-3120)</f>
        <v/>
      </c>
    </row>
    <row r="3134">
      <c r="BN3134">
        <f>IF(3121&lt;$U$9,INT(3121/($U$7*$U$8))+1,1)</f>
        <v/>
      </c>
      <c r="BO3134">
        <f>IF(3121&lt;$U$9,MOD(INT(3121/$U$8),$U$7)+1,1)</f>
        <v/>
      </c>
      <c r="BP3134">
        <f>IF(3121&lt;$U$9,MOD(3121,$U$8)+1,1)</f>
        <v/>
      </c>
      <c r="BQ3134">
        <f>IF(3121&lt;$U$9,SUMPRODUCT(($D$10:$L$10&lt;&gt;"")*(($D$9:$L$9+INT(($S$12:$AA$12+INDEX($AJ$13:$AR$162,BN3134,0)+INDEX($AT$13:$BB$162,BO3134,0)+INDEX($BD$13:$BL$162,BP3134,0))/100))&gt;=$D$10:$L$10)),0)</f>
        <v/>
      </c>
      <c r="BR3134">
        <f>IF(3121&lt;$U$9,SUMPRODUCT(($D$10:$L$10&lt;&gt;"")*(($D$10:$L$10-($D$9:$L$9+INT(($S$12:$AA$12+INDEX($AJ$13:$AR$162,BN3134,0)+INDEX($AT$13:$BB$162,BO3134,0)+INDEX($BD$13:$BL$162,BP3134,0))/100)))&gt;0)*($D$10:$L$10-($D$9:$L$9+INT(($S$12:$AA$12+INDEX($AJ$13:$AR$162,BN3134,0)+INDEX($AT$13:$BB$162,BO3134,0)+INDEX($BD$13:$BL$162,BP3134,0))/100)))),0)</f>
        <v/>
      </c>
      <c r="BS3134">
        <f>IF(3121&lt;$U$9,SUMPRODUCT(($D$9:$L$9+INT(($S$12:$AA$12+INDEX($AJ$13:$AR$162,BN3134,0)+INDEX($AT$13:$BB$162,BO3134,0)+INDEX($BD$13:$BL$162,BP3134,0))/100))),0)</f>
        <v/>
      </c>
      <c r="BT3134">
        <f>IF(AND(3121&lt;$U$9,$W$5),BQ3134*1000000-MIN(BR3134,999)*1000+BS3134-3121/100000,-1000000000-3121)</f>
        <v/>
      </c>
    </row>
    <row r="3135">
      <c r="BN3135">
        <f>IF(3122&lt;$U$9,INT(3122/($U$7*$U$8))+1,1)</f>
        <v/>
      </c>
      <c r="BO3135">
        <f>IF(3122&lt;$U$9,MOD(INT(3122/$U$8),$U$7)+1,1)</f>
        <v/>
      </c>
      <c r="BP3135">
        <f>IF(3122&lt;$U$9,MOD(3122,$U$8)+1,1)</f>
        <v/>
      </c>
      <c r="BQ3135">
        <f>IF(3122&lt;$U$9,SUMPRODUCT(($D$10:$L$10&lt;&gt;"")*(($D$9:$L$9+INT(($S$12:$AA$12+INDEX($AJ$13:$AR$162,BN3135,0)+INDEX($AT$13:$BB$162,BO3135,0)+INDEX($BD$13:$BL$162,BP3135,0))/100))&gt;=$D$10:$L$10)),0)</f>
        <v/>
      </c>
      <c r="BR3135">
        <f>IF(3122&lt;$U$9,SUMPRODUCT(($D$10:$L$10&lt;&gt;"")*(($D$10:$L$10-($D$9:$L$9+INT(($S$12:$AA$12+INDEX($AJ$13:$AR$162,BN3135,0)+INDEX($AT$13:$BB$162,BO3135,0)+INDEX($BD$13:$BL$162,BP3135,0))/100)))&gt;0)*($D$10:$L$10-($D$9:$L$9+INT(($S$12:$AA$12+INDEX($AJ$13:$AR$162,BN3135,0)+INDEX($AT$13:$BB$162,BO3135,0)+INDEX($BD$13:$BL$162,BP3135,0))/100)))),0)</f>
        <v/>
      </c>
      <c r="BS3135">
        <f>IF(3122&lt;$U$9,SUMPRODUCT(($D$9:$L$9+INT(($S$12:$AA$12+INDEX($AJ$13:$AR$162,BN3135,0)+INDEX($AT$13:$BB$162,BO3135,0)+INDEX($BD$13:$BL$162,BP3135,0))/100))),0)</f>
        <v/>
      </c>
      <c r="BT3135">
        <f>IF(AND(3122&lt;$U$9,$W$5),BQ3135*1000000-MIN(BR3135,999)*1000+BS3135-3122/100000,-1000000000-3122)</f>
        <v/>
      </c>
    </row>
    <row r="3136">
      <c r="BN3136">
        <f>IF(3123&lt;$U$9,INT(3123/($U$7*$U$8))+1,1)</f>
        <v/>
      </c>
      <c r="BO3136">
        <f>IF(3123&lt;$U$9,MOD(INT(3123/$U$8),$U$7)+1,1)</f>
        <v/>
      </c>
      <c r="BP3136">
        <f>IF(3123&lt;$U$9,MOD(3123,$U$8)+1,1)</f>
        <v/>
      </c>
      <c r="BQ3136">
        <f>IF(3123&lt;$U$9,SUMPRODUCT(($D$10:$L$10&lt;&gt;"")*(($D$9:$L$9+INT(($S$12:$AA$12+INDEX($AJ$13:$AR$162,BN3136,0)+INDEX($AT$13:$BB$162,BO3136,0)+INDEX($BD$13:$BL$162,BP3136,0))/100))&gt;=$D$10:$L$10)),0)</f>
        <v/>
      </c>
      <c r="BR3136">
        <f>IF(3123&lt;$U$9,SUMPRODUCT(($D$10:$L$10&lt;&gt;"")*(($D$10:$L$10-($D$9:$L$9+INT(($S$12:$AA$12+INDEX($AJ$13:$AR$162,BN3136,0)+INDEX($AT$13:$BB$162,BO3136,0)+INDEX($BD$13:$BL$162,BP3136,0))/100)))&gt;0)*($D$10:$L$10-($D$9:$L$9+INT(($S$12:$AA$12+INDEX($AJ$13:$AR$162,BN3136,0)+INDEX($AT$13:$BB$162,BO3136,0)+INDEX($BD$13:$BL$162,BP3136,0))/100)))),0)</f>
        <v/>
      </c>
      <c r="BS3136">
        <f>IF(3123&lt;$U$9,SUMPRODUCT(($D$9:$L$9+INT(($S$12:$AA$12+INDEX($AJ$13:$AR$162,BN3136,0)+INDEX($AT$13:$BB$162,BO3136,0)+INDEX($BD$13:$BL$162,BP3136,0))/100))),0)</f>
        <v/>
      </c>
      <c r="BT3136">
        <f>IF(AND(3123&lt;$U$9,$W$5),BQ3136*1000000-MIN(BR3136,999)*1000+BS3136-3123/100000,-1000000000-3123)</f>
        <v/>
      </c>
    </row>
    <row r="3137">
      <c r="BN3137">
        <f>IF(3124&lt;$U$9,INT(3124/($U$7*$U$8))+1,1)</f>
        <v/>
      </c>
      <c r="BO3137">
        <f>IF(3124&lt;$U$9,MOD(INT(3124/$U$8),$U$7)+1,1)</f>
        <v/>
      </c>
      <c r="BP3137">
        <f>IF(3124&lt;$U$9,MOD(3124,$U$8)+1,1)</f>
        <v/>
      </c>
      <c r="BQ3137">
        <f>IF(3124&lt;$U$9,SUMPRODUCT(($D$10:$L$10&lt;&gt;"")*(($D$9:$L$9+INT(($S$12:$AA$12+INDEX($AJ$13:$AR$162,BN3137,0)+INDEX($AT$13:$BB$162,BO3137,0)+INDEX($BD$13:$BL$162,BP3137,0))/100))&gt;=$D$10:$L$10)),0)</f>
        <v/>
      </c>
      <c r="BR3137">
        <f>IF(3124&lt;$U$9,SUMPRODUCT(($D$10:$L$10&lt;&gt;"")*(($D$10:$L$10-($D$9:$L$9+INT(($S$12:$AA$12+INDEX($AJ$13:$AR$162,BN3137,0)+INDEX($AT$13:$BB$162,BO3137,0)+INDEX($BD$13:$BL$162,BP3137,0))/100)))&gt;0)*($D$10:$L$10-($D$9:$L$9+INT(($S$12:$AA$12+INDEX($AJ$13:$AR$162,BN3137,0)+INDEX($AT$13:$BB$162,BO3137,0)+INDEX($BD$13:$BL$162,BP3137,0))/100)))),0)</f>
        <v/>
      </c>
      <c r="BS3137">
        <f>IF(3124&lt;$U$9,SUMPRODUCT(($D$9:$L$9+INT(($S$12:$AA$12+INDEX($AJ$13:$AR$162,BN3137,0)+INDEX($AT$13:$BB$162,BO3137,0)+INDEX($BD$13:$BL$162,BP3137,0))/100))),0)</f>
        <v/>
      </c>
      <c r="BT3137">
        <f>IF(AND(3124&lt;$U$9,$W$5),BQ3137*1000000-MIN(BR3137,999)*1000+BS3137-3124/100000,-1000000000-3124)</f>
        <v/>
      </c>
    </row>
    <row r="3138">
      <c r="BN3138">
        <f>IF(3125&lt;$U$9,INT(3125/($U$7*$U$8))+1,1)</f>
        <v/>
      </c>
      <c r="BO3138">
        <f>IF(3125&lt;$U$9,MOD(INT(3125/$U$8),$U$7)+1,1)</f>
        <v/>
      </c>
      <c r="BP3138">
        <f>IF(3125&lt;$U$9,MOD(3125,$U$8)+1,1)</f>
        <v/>
      </c>
      <c r="BQ3138">
        <f>IF(3125&lt;$U$9,SUMPRODUCT(($D$10:$L$10&lt;&gt;"")*(($D$9:$L$9+INT(($S$12:$AA$12+INDEX($AJ$13:$AR$162,BN3138,0)+INDEX($AT$13:$BB$162,BO3138,0)+INDEX($BD$13:$BL$162,BP3138,0))/100))&gt;=$D$10:$L$10)),0)</f>
        <v/>
      </c>
      <c r="BR3138">
        <f>IF(3125&lt;$U$9,SUMPRODUCT(($D$10:$L$10&lt;&gt;"")*(($D$10:$L$10-($D$9:$L$9+INT(($S$12:$AA$12+INDEX($AJ$13:$AR$162,BN3138,0)+INDEX($AT$13:$BB$162,BO3138,0)+INDEX($BD$13:$BL$162,BP3138,0))/100)))&gt;0)*($D$10:$L$10-($D$9:$L$9+INT(($S$12:$AA$12+INDEX($AJ$13:$AR$162,BN3138,0)+INDEX($AT$13:$BB$162,BO3138,0)+INDEX($BD$13:$BL$162,BP3138,0))/100)))),0)</f>
        <v/>
      </c>
      <c r="BS3138">
        <f>IF(3125&lt;$U$9,SUMPRODUCT(($D$9:$L$9+INT(($S$12:$AA$12+INDEX($AJ$13:$AR$162,BN3138,0)+INDEX($AT$13:$BB$162,BO3138,0)+INDEX($BD$13:$BL$162,BP3138,0))/100))),0)</f>
        <v/>
      </c>
      <c r="BT3138">
        <f>IF(AND(3125&lt;$U$9,$W$5),BQ3138*1000000-MIN(BR3138,999)*1000+BS3138-3125/100000,-1000000000-3125)</f>
        <v/>
      </c>
    </row>
    <row r="3139">
      <c r="BN3139">
        <f>IF(3126&lt;$U$9,INT(3126/($U$7*$U$8))+1,1)</f>
        <v/>
      </c>
      <c r="BO3139">
        <f>IF(3126&lt;$U$9,MOD(INT(3126/$U$8),$U$7)+1,1)</f>
        <v/>
      </c>
      <c r="BP3139">
        <f>IF(3126&lt;$U$9,MOD(3126,$U$8)+1,1)</f>
        <v/>
      </c>
      <c r="BQ3139">
        <f>IF(3126&lt;$U$9,SUMPRODUCT(($D$10:$L$10&lt;&gt;"")*(($D$9:$L$9+INT(($S$12:$AA$12+INDEX($AJ$13:$AR$162,BN3139,0)+INDEX($AT$13:$BB$162,BO3139,0)+INDEX($BD$13:$BL$162,BP3139,0))/100))&gt;=$D$10:$L$10)),0)</f>
        <v/>
      </c>
      <c r="BR3139">
        <f>IF(3126&lt;$U$9,SUMPRODUCT(($D$10:$L$10&lt;&gt;"")*(($D$10:$L$10-($D$9:$L$9+INT(($S$12:$AA$12+INDEX($AJ$13:$AR$162,BN3139,0)+INDEX($AT$13:$BB$162,BO3139,0)+INDEX($BD$13:$BL$162,BP3139,0))/100)))&gt;0)*($D$10:$L$10-($D$9:$L$9+INT(($S$12:$AA$12+INDEX($AJ$13:$AR$162,BN3139,0)+INDEX($AT$13:$BB$162,BO3139,0)+INDEX($BD$13:$BL$162,BP3139,0))/100)))),0)</f>
        <v/>
      </c>
      <c r="BS3139">
        <f>IF(3126&lt;$U$9,SUMPRODUCT(($D$9:$L$9+INT(($S$12:$AA$12+INDEX($AJ$13:$AR$162,BN3139,0)+INDEX($AT$13:$BB$162,BO3139,0)+INDEX($BD$13:$BL$162,BP3139,0))/100))),0)</f>
        <v/>
      </c>
      <c r="BT3139">
        <f>IF(AND(3126&lt;$U$9,$W$5),BQ3139*1000000-MIN(BR3139,999)*1000+BS3139-3126/100000,-1000000000-3126)</f>
        <v/>
      </c>
    </row>
    <row r="3140">
      <c r="BN3140">
        <f>IF(3127&lt;$U$9,INT(3127/($U$7*$U$8))+1,1)</f>
        <v/>
      </c>
      <c r="BO3140">
        <f>IF(3127&lt;$U$9,MOD(INT(3127/$U$8),$U$7)+1,1)</f>
        <v/>
      </c>
      <c r="BP3140">
        <f>IF(3127&lt;$U$9,MOD(3127,$U$8)+1,1)</f>
        <v/>
      </c>
      <c r="BQ3140">
        <f>IF(3127&lt;$U$9,SUMPRODUCT(($D$10:$L$10&lt;&gt;"")*(($D$9:$L$9+INT(($S$12:$AA$12+INDEX($AJ$13:$AR$162,BN3140,0)+INDEX($AT$13:$BB$162,BO3140,0)+INDEX($BD$13:$BL$162,BP3140,0))/100))&gt;=$D$10:$L$10)),0)</f>
        <v/>
      </c>
      <c r="BR3140">
        <f>IF(3127&lt;$U$9,SUMPRODUCT(($D$10:$L$10&lt;&gt;"")*(($D$10:$L$10-($D$9:$L$9+INT(($S$12:$AA$12+INDEX($AJ$13:$AR$162,BN3140,0)+INDEX($AT$13:$BB$162,BO3140,0)+INDEX($BD$13:$BL$162,BP3140,0))/100)))&gt;0)*($D$10:$L$10-($D$9:$L$9+INT(($S$12:$AA$12+INDEX($AJ$13:$AR$162,BN3140,0)+INDEX($AT$13:$BB$162,BO3140,0)+INDEX($BD$13:$BL$162,BP3140,0))/100)))),0)</f>
        <v/>
      </c>
      <c r="BS3140">
        <f>IF(3127&lt;$U$9,SUMPRODUCT(($D$9:$L$9+INT(($S$12:$AA$12+INDEX($AJ$13:$AR$162,BN3140,0)+INDEX($AT$13:$BB$162,BO3140,0)+INDEX($BD$13:$BL$162,BP3140,0))/100))),0)</f>
        <v/>
      </c>
      <c r="BT3140">
        <f>IF(AND(3127&lt;$U$9,$W$5),BQ3140*1000000-MIN(BR3140,999)*1000+BS3140-3127/100000,-1000000000-3127)</f>
        <v/>
      </c>
    </row>
    <row r="3141">
      <c r="BN3141">
        <f>IF(3128&lt;$U$9,INT(3128/($U$7*$U$8))+1,1)</f>
        <v/>
      </c>
      <c r="BO3141">
        <f>IF(3128&lt;$U$9,MOD(INT(3128/$U$8),$U$7)+1,1)</f>
        <v/>
      </c>
      <c r="BP3141">
        <f>IF(3128&lt;$U$9,MOD(3128,$U$8)+1,1)</f>
        <v/>
      </c>
      <c r="BQ3141">
        <f>IF(3128&lt;$U$9,SUMPRODUCT(($D$10:$L$10&lt;&gt;"")*(($D$9:$L$9+INT(($S$12:$AA$12+INDEX($AJ$13:$AR$162,BN3141,0)+INDEX($AT$13:$BB$162,BO3141,0)+INDEX($BD$13:$BL$162,BP3141,0))/100))&gt;=$D$10:$L$10)),0)</f>
        <v/>
      </c>
      <c r="BR3141">
        <f>IF(3128&lt;$U$9,SUMPRODUCT(($D$10:$L$10&lt;&gt;"")*(($D$10:$L$10-($D$9:$L$9+INT(($S$12:$AA$12+INDEX($AJ$13:$AR$162,BN3141,0)+INDEX($AT$13:$BB$162,BO3141,0)+INDEX($BD$13:$BL$162,BP3141,0))/100)))&gt;0)*($D$10:$L$10-($D$9:$L$9+INT(($S$12:$AA$12+INDEX($AJ$13:$AR$162,BN3141,0)+INDEX($AT$13:$BB$162,BO3141,0)+INDEX($BD$13:$BL$162,BP3141,0))/100)))),0)</f>
        <v/>
      </c>
      <c r="BS3141">
        <f>IF(3128&lt;$U$9,SUMPRODUCT(($D$9:$L$9+INT(($S$12:$AA$12+INDEX($AJ$13:$AR$162,BN3141,0)+INDEX($AT$13:$BB$162,BO3141,0)+INDEX($BD$13:$BL$162,BP3141,0))/100))),0)</f>
        <v/>
      </c>
      <c r="BT3141">
        <f>IF(AND(3128&lt;$U$9,$W$5),BQ3141*1000000-MIN(BR3141,999)*1000+BS3141-3128/100000,-1000000000-3128)</f>
        <v/>
      </c>
    </row>
    <row r="3142">
      <c r="BN3142">
        <f>IF(3129&lt;$U$9,INT(3129/($U$7*$U$8))+1,1)</f>
        <v/>
      </c>
      <c r="BO3142">
        <f>IF(3129&lt;$U$9,MOD(INT(3129/$U$8),$U$7)+1,1)</f>
        <v/>
      </c>
      <c r="BP3142">
        <f>IF(3129&lt;$U$9,MOD(3129,$U$8)+1,1)</f>
        <v/>
      </c>
      <c r="BQ3142">
        <f>IF(3129&lt;$U$9,SUMPRODUCT(($D$10:$L$10&lt;&gt;"")*(($D$9:$L$9+INT(($S$12:$AA$12+INDEX($AJ$13:$AR$162,BN3142,0)+INDEX($AT$13:$BB$162,BO3142,0)+INDEX($BD$13:$BL$162,BP3142,0))/100))&gt;=$D$10:$L$10)),0)</f>
        <v/>
      </c>
      <c r="BR3142">
        <f>IF(3129&lt;$U$9,SUMPRODUCT(($D$10:$L$10&lt;&gt;"")*(($D$10:$L$10-($D$9:$L$9+INT(($S$12:$AA$12+INDEX($AJ$13:$AR$162,BN3142,0)+INDEX($AT$13:$BB$162,BO3142,0)+INDEX($BD$13:$BL$162,BP3142,0))/100)))&gt;0)*($D$10:$L$10-($D$9:$L$9+INT(($S$12:$AA$12+INDEX($AJ$13:$AR$162,BN3142,0)+INDEX($AT$13:$BB$162,BO3142,0)+INDEX($BD$13:$BL$162,BP3142,0))/100)))),0)</f>
        <v/>
      </c>
      <c r="BS3142">
        <f>IF(3129&lt;$U$9,SUMPRODUCT(($D$9:$L$9+INT(($S$12:$AA$12+INDEX($AJ$13:$AR$162,BN3142,0)+INDEX($AT$13:$BB$162,BO3142,0)+INDEX($BD$13:$BL$162,BP3142,0))/100))),0)</f>
        <v/>
      </c>
      <c r="BT3142">
        <f>IF(AND(3129&lt;$U$9,$W$5),BQ3142*1000000-MIN(BR3142,999)*1000+BS3142-3129/100000,-1000000000-3129)</f>
        <v/>
      </c>
    </row>
    <row r="3143">
      <c r="BN3143">
        <f>IF(3130&lt;$U$9,INT(3130/($U$7*$U$8))+1,1)</f>
        <v/>
      </c>
      <c r="BO3143">
        <f>IF(3130&lt;$U$9,MOD(INT(3130/$U$8),$U$7)+1,1)</f>
        <v/>
      </c>
      <c r="BP3143">
        <f>IF(3130&lt;$U$9,MOD(3130,$U$8)+1,1)</f>
        <v/>
      </c>
      <c r="BQ3143">
        <f>IF(3130&lt;$U$9,SUMPRODUCT(($D$10:$L$10&lt;&gt;"")*(($D$9:$L$9+INT(($S$12:$AA$12+INDEX($AJ$13:$AR$162,BN3143,0)+INDEX($AT$13:$BB$162,BO3143,0)+INDEX($BD$13:$BL$162,BP3143,0))/100))&gt;=$D$10:$L$10)),0)</f>
        <v/>
      </c>
      <c r="BR3143">
        <f>IF(3130&lt;$U$9,SUMPRODUCT(($D$10:$L$10&lt;&gt;"")*(($D$10:$L$10-($D$9:$L$9+INT(($S$12:$AA$12+INDEX($AJ$13:$AR$162,BN3143,0)+INDEX($AT$13:$BB$162,BO3143,0)+INDEX($BD$13:$BL$162,BP3143,0))/100)))&gt;0)*($D$10:$L$10-($D$9:$L$9+INT(($S$12:$AA$12+INDEX($AJ$13:$AR$162,BN3143,0)+INDEX($AT$13:$BB$162,BO3143,0)+INDEX($BD$13:$BL$162,BP3143,0))/100)))),0)</f>
        <v/>
      </c>
      <c r="BS3143">
        <f>IF(3130&lt;$U$9,SUMPRODUCT(($D$9:$L$9+INT(($S$12:$AA$12+INDEX($AJ$13:$AR$162,BN3143,0)+INDEX($AT$13:$BB$162,BO3143,0)+INDEX($BD$13:$BL$162,BP3143,0))/100))),0)</f>
        <v/>
      </c>
      <c r="BT3143">
        <f>IF(AND(3130&lt;$U$9,$W$5),BQ3143*1000000-MIN(BR3143,999)*1000+BS3143-3130/100000,-1000000000-3130)</f>
        <v/>
      </c>
    </row>
    <row r="3144">
      <c r="BN3144">
        <f>IF(3131&lt;$U$9,INT(3131/($U$7*$U$8))+1,1)</f>
        <v/>
      </c>
      <c r="BO3144">
        <f>IF(3131&lt;$U$9,MOD(INT(3131/$U$8),$U$7)+1,1)</f>
        <v/>
      </c>
      <c r="BP3144">
        <f>IF(3131&lt;$U$9,MOD(3131,$U$8)+1,1)</f>
        <v/>
      </c>
      <c r="BQ3144">
        <f>IF(3131&lt;$U$9,SUMPRODUCT(($D$10:$L$10&lt;&gt;"")*(($D$9:$L$9+INT(($S$12:$AA$12+INDEX($AJ$13:$AR$162,BN3144,0)+INDEX($AT$13:$BB$162,BO3144,0)+INDEX($BD$13:$BL$162,BP3144,0))/100))&gt;=$D$10:$L$10)),0)</f>
        <v/>
      </c>
      <c r="BR3144">
        <f>IF(3131&lt;$U$9,SUMPRODUCT(($D$10:$L$10&lt;&gt;"")*(($D$10:$L$10-($D$9:$L$9+INT(($S$12:$AA$12+INDEX($AJ$13:$AR$162,BN3144,0)+INDEX($AT$13:$BB$162,BO3144,0)+INDEX($BD$13:$BL$162,BP3144,0))/100)))&gt;0)*($D$10:$L$10-($D$9:$L$9+INT(($S$12:$AA$12+INDEX($AJ$13:$AR$162,BN3144,0)+INDEX($AT$13:$BB$162,BO3144,0)+INDEX($BD$13:$BL$162,BP3144,0))/100)))),0)</f>
        <v/>
      </c>
      <c r="BS3144">
        <f>IF(3131&lt;$U$9,SUMPRODUCT(($D$9:$L$9+INT(($S$12:$AA$12+INDEX($AJ$13:$AR$162,BN3144,0)+INDEX($AT$13:$BB$162,BO3144,0)+INDEX($BD$13:$BL$162,BP3144,0))/100))),0)</f>
        <v/>
      </c>
      <c r="BT3144">
        <f>IF(AND(3131&lt;$U$9,$W$5),BQ3144*1000000-MIN(BR3144,999)*1000+BS3144-3131/100000,-1000000000-3131)</f>
        <v/>
      </c>
    </row>
    <row r="3145">
      <c r="BN3145">
        <f>IF(3132&lt;$U$9,INT(3132/($U$7*$U$8))+1,1)</f>
        <v/>
      </c>
      <c r="BO3145">
        <f>IF(3132&lt;$U$9,MOD(INT(3132/$U$8),$U$7)+1,1)</f>
        <v/>
      </c>
      <c r="BP3145">
        <f>IF(3132&lt;$U$9,MOD(3132,$U$8)+1,1)</f>
        <v/>
      </c>
      <c r="BQ3145">
        <f>IF(3132&lt;$U$9,SUMPRODUCT(($D$10:$L$10&lt;&gt;"")*(($D$9:$L$9+INT(($S$12:$AA$12+INDEX($AJ$13:$AR$162,BN3145,0)+INDEX($AT$13:$BB$162,BO3145,0)+INDEX($BD$13:$BL$162,BP3145,0))/100))&gt;=$D$10:$L$10)),0)</f>
        <v/>
      </c>
      <c r="BR3145">
        <f>IF(3132&lt;$U$9,SUMPRODUCT(($D$10:$L$10&lt;&gt;"")*(($D$10:$L$10-($D$9:$L$9+INT(($S$12:$AA$12+INDEX($AJ$13:$AR$162,BN3145,0)+INDEX($AT$13:$BB$162,BO3145,0)+INDEX($BD$13:$BL$162,BP3145,0))/100)))&gt;0)*($D$10:$L$10-($D$9:$L$9+INT(($S$12:$AA$12+INDEX($AJ$13:$AR$162,BN3145,0)+INDEX($AT$13:$BB$162,BO3145,0)+INDEX($BD$13:$BL$162,BP3145,0))/100)))),0)</f>
        <v/>
      </c>
      <c r="BS3145">
        <f>IF(3132&lt;$U$9,SUMPRODUCT(($D$9:$L$9+INT(($S$12:$AA$12+INDEX($AJ$13:$AR$162,BN3145,0)+INDEX($AT$13:$BB$162,BO3145,0)+INDEX($BD$13:$BL$162,BP3145,0))/100))),0)</f>
        <v/>
      </c>
      <c r="BT3145">
        <f>IF(AND(3132&lt;$U$9,$W$5),BQ3145*1000000-MIN(BR3145,999)*1000+BS3145-3132/100000,-1000000000-3132)</f>
        <v/>
      </c>
    </row>
    <row r="3146">
      <c r="BN3146">
        <f>IF(3133&lt;$U$9,INT(3133/($U$7*$U$8))+1,1)</f>
        <v/>
      </c>
      <c r="BO3146">
        <f>IF(3133&lt;$U$9,MOD(INT(3133/$U$8),$U$7)+1,1)</f>
        <v/>
      </c>
      <c r="BP3146">
        <f>IF(3133&lt;$U$9,MOD(3133,$U$8)+1,1)</f>
        <v/>
      </c>
      <c r="BQ3146">
        <f>IF(3133&lt;$U$9,SUMPRODUCT(($D$10:$L$10&lt;&gt;"")*(($D$9:$L$9+INT(($S$12:$AA$12+INDEX($AJ$13:$AR$162,BN3146,0)+INDEX($AT$13:$BB$162,BO3146,0)+INDEX($BD$13:$BL$162,BP3146,0))/100))&gt;=$D$10:$L$10)),0)</f>
        <v/>
      </c>
      <c r="BR3146">
        <f>IF(3133&lt;$U$9,SUMPRODUCT(($D$10:$L$10&lt;&gt;"")*(($D$10:$L$10-($D$9:$L$9+INT(($S$12:$AA$12+INDEX($AJ$13:$AR$162,BN3146,0)+INDEX($AT$13:$BB$162,BO3146,0)+INDEX($BD$13:$BL$162,BP3146,0))/100)))&gt;0)*($D$10:$L$10-($D$9:$L$9+INT(($S$12:$AA$12+INDEX($AJ$13:$AR$162,BN3146,0)+INDEX($AT$13:$BB$162,BO3146,0)+INDEX($BD$13:$BL$162,BP3146,0))/100)))),0)</f>
        <v/>
      </c>
      <c r="BS3146">
        <f>IF(3133&lt;$U$9,SUMPRODUCT(($D$9:$L$9+INT(($S$12:$AA$12+INDEX($AJ$13:$AR$162,BN3146,0)+INDEX($AT$13:$BB$162,BO3146,0)+INDEX($BD$13:$BL$162,BP3146,0))/100))),0)</f>
        <v/>
      </c>
      <c r="BT3146">
        <f>IF(AND(3133&lt;$U$9,$W$5),BQ3146*1000000-MIN(BR3146,999)*1000+BS3146-3133/100000,-1000000000-3133)</f>
        <v/>
      </c>
    </row>
    <row r="3147">
      <c r="BN3147">
        <f>IF(3134&lt;$U$9,INT(3134/($U$7*$U$8))+1,1)</f>
        <v/>
      </c>
      <c r="BO3147">
        <f>IF(3134&lt;$U$9,MOD(INT(3134/$U$8),$U$7)+1,1)</f>
        <v/>
      </c>
      <c r="BP3147">
        <f>IF(3134&lt;$U$9,MOD(3134,$U$8)+1,1)</f>
        <v/>
      </c>
      <c r="BQ3147">
        <f>IF(3134&lt;$U$9,SUMPRODUCT(($D$10:$L$10&lt;&gt;"")*(($D$9:$L$9+INT(($S$12:$AA$12+INDEX($AJ$13:$AR$162,BN3147,0)+INDEX($AT$13:$BB$162,BO3147,0)+INDEX($BD$13:$BL$162,BP3147,0))/100))&gt;=$D$10:$L$10)),0)</f>
        <v/>
      </c>
      <c r="BR3147">
        <f>IF(3134&lt;$U$9,SUMPRODUCT(($D$10:$L$10&lt;&gt;"")*(($D$10:$L$10-($D$9:$L$9+INT(($S$12:$AA$12+INDEX($AJ$13:$AR$162,BN3147,0)+INDEX($AT$13:$BB$162,BO3147,0)+INDEX($BD$13:$BL$162,BP3147,0))/100)))&gt;0)*($D$10:$L$10-($D$9:$L$9+INT(($S$12:$AA$12+INDEX($AJ$13:$AR$162,BN3147,0)+INDEX($AT$13:$BB$162,BO3147,0)+INDEX($BD$13:$BL$162,BP3147,0))/100)))),0)</f>
        <v/>
      </c>
      <c r="BS3147">
        <f>IF(3134&lt;$U$9,SUMPRODUCT(($D$9:$L$9+INT(($S$12:$AA$12+INDEX($AJ$13:$AR$162,BN3147,0)+INDEX($AT$13:$BB$162,BO3147,0)+INDEX($BD$13:$BL$162,BP3147,0))/100))),0)</f>
        <v/>
      </c>
      <c r="BT3147">
        <f>IF(AND(3134&lt;$U$9,$W$5),BQ3147*1000000-MIN(BR3147,999)*1000+BS3147-3134/100000,-1000000000-3134)</f>
        <v/>
      </c>
    </row>
    <row r="3148">
      <c r="BN3148">
        <f>IF(3135&lt;$U$9,INT(3135/($U$7*$U$8))+1,1)</f>
        <v/>
      </c>
      <c r="BO3148">
        <f>IF(3135&lt;$U$9,MOD(INT(3135/$U$8),$U$7)+1,1)</f>
        <v/>
      </c>
      <c r="BP3148">
        <f>IF(3135&lt;$U$9,MOD(3135,$U$8)+1,1)</f>
        <v/>
      </c>
      <c r="BQ3148">
        <f>IF(3135&lt;$U$9,SUMPRODUCT(($D$10:$L$10&lt;&gt;"")*(($D$9:$L$9+INT(($S$12:$AA$12+INDEX($AJ$13:$AR$162,BN3148,0)+INDEX($AT$13:$BB$162,BO3148,0)+INDEX($BD$13:$BL$162,BP3148,0))/100))&gt;=$D$10:$L$10)),0)</f>
        <v/>
      </c>
      <c r="BR3148">
        <f>IF(3135&lt;$U$9,SUMPRODUCT(($D$10:$L$10&lt;&gt;"")*(($D$10:$L$10-($D$9:$L$9+INT(($S$12:$AA$12+INDEX($AJ$13:$AR$162,BN3148,0)+INDEX($AT$13:$BB$162,BO3148,0)+INDEX($BD$13:$BL$162,BP3148,0))/100)))&gt;0)*($D$10:$L$10-($D$9:$L$9+INT(($S$12:$AA$12+INDEX($AJ$13:$AR$162,BN3148,0)+INDEX($AT$13:$BB$162,BO3148,0)+INDEX($BD$13:$BL$162,BP3148,0))/100)))),0)</f>
        <v/>
      </c>
      <c r="BS3148">
        <f>IF(3135&lt;$U$9,SUMPRODUCT(($D$9:$L$9+INT(($S$12:$AA$12+INDEX($AJ$13:$AR$162,BN3148,0)+INDEX($AT$13:$BB$162,BO3148,0)+INDEX($BD$13:$BL$162,BP3148,0))/100))),0)</f>
        <v/>
      </c>
      <c r="BT3148">
        <f>IF(AND(3135&lt;$U$9,$W$5),BQ3148*1000000-MIN(BR3148,999)*1000+BS3148-3135/100000,-1000000000-3135)</f>
        <v/>
      </c>
    </row>
    <row r="3149">
      <c r="BN3149">
        <f>IF(3136&lt;$U$9,INT(3136/($U$7*$U$8))+1,1)</f>
        <v/>
      </c>
      <c r="BO3149">
        <f>IF(3136&lt;$U$9,MOD(INT(3136/$U$8),$U$7)+1,1)</f>
        <v/>
      </c>
      <c r="BP3149">
        <f>IF(3136&lt;$U$9,MOD(3136,$U$8)+1,1)</f>
        <v/>
      </c>
      <c r="BQ3149">
        <f>IF(3136&lt;$U$9,SUMPRODUCT(($D$10:$L$10&lt;&gt;"")*(($D$9:$L$9+INT(($S$12:$AA$12+INDEX($AJ$13:$AR$162,BN3149,0)+INDEX($AT$13:$BB$162,BO3149,0)+INDEX($BD$13:$BL$162,BP3149,0))/100))&gt;=$D$10:$L$10)),0)</f>
        <v/>
      </c>
      <c r="BR3149">
        <f>IF(3136&lt;$U$9,SUMPRODUCT(($D$10:$L$10&lt;&gt;"")*(($D$10:$L$10-($D$9:$L$9+INT(($S$12:$AA$12+INDEX($AJ$13:$AR$162,BN3149,0)+INDEX($AT$13:$BB$162,BO3149,0)+INDEX($BD$13:$BL$162,BP3149,0))/100)))&gt;0)*($D$10:$L$10-($D$9:$L$9+INT(($S$12:$AA$12+INDEX($AJ$13:$AR$162,BN3149,0)+INDEX($AT$13:$BB$162,BO3149,0)+INDEX($BD$13:$BL$162,BP3149,0))/100)))),0)</f>
        <v/>
      </c>
      <c r="BS3149">
        <f>IF(3136&lt;$U$9,SUMPRODUCT(($D$9:$L$9+INT(($S$12:$AA$12+INDEX($AJ$13:$AR$162,BN3149,0)+INDEX($AT$13:$BB$162,BO3149,0)+INDEX($BD$13:$BL$162,BP3149,0))/100))),0)</f>
        <v/>
      </c>
      <c r="BT3149">
        <f>IF(AND(3136&lt;$U$9,$W$5),BQ3149*1000000-MIN(BR3149,999)*1000+BS3149-3136/100000,-1000000000-3136)</f>
        <v/>
      </c>
    </row>
    <row r="3150">
      <c r="BN3150">
        <f>IF(3137&lt;$U$9,INT(3137/($U$7*$U$8))+1,1)</f>
        <v/>
      </c>
      <c r="BO3150">
        <f>IF(3137&lt;$U$9,MOD(INT(3137/$U$8),$U$7)+1,1)</f>
        <v/>
      </c>
      <c r="BP3150">
        <f>IF(3137&lt;$U$9,MOD(3137,$U$8)+1,1)</f>
        <v/>
      </c>
      <c r="BQ3150">
        <f>IF(3137&lt;$U$9,SUMPRODUCT(($D$10:$L$10&lt;&gt;"")*(($D$9:$L$9+INT(($S$12:$AA$12+INDEX($AJ$13:$AR$162,BN3150,0)+INDEX($AT$13:$BB$162,BO3150,0)+INDEX($BD$13:$BL$162,BP3150,0))/100))&gt;=$D$10:$L$10)),0)</f>
        <v/>
      </c>
      <c r="BR3150">
        <f>IF(3137&lt;$U$9,SUMPRODUCT(($D$10:$L$10&lt;&gt;"")*(($D$10:$L$10-($D$9:$L$9+INT(($S$12:$AA$12+INDEX($AJ$13:$AR$162,BN3150,0)+INDEX($AT$13:$BB$162,BO3150,0)+INDEX($BD$13:$BL$162,BP3150,0))/100)))&gt;0)*($D$10:$L$10-($D$9:$L$9+INT(($S$12:$AA$12+INDEX($AJ$13:$AR$162,BN3150,0)+INDEX($AT$13:$BB$162,BO3150,0)+INDEX($BD$13:$BL$162,BP3150,0))/100)))),0)</f>
        <v/>
      </c>
      <c r="BS3150">
        <f>IF(3137&lt;$U$9,SUMPRODUCT(($D$9:$L$9+INT(($S$12:$AA$12+INDEX($AJ$13:$AR$162,BN3150,0)+INDEX($AT$13:$BB$162,BO3150,0)+INDEX($BD$13:$BL$162,BP3150,0))/100))),0)</f>
        <v/>
      </c>
      <c r="BT3150">
        <f>IF(AND(3137&lt;$U$9,$W$5),BQ3150*1000000-MIN(BR3150,999)*1000+BS3150-3137/100000,-1000000000-3137)</f>
        <v/>
      </c>
    </row>
    <row r="3151">
      <c r="BN3151">
        <f>IF(3138&lt;$U$9,INT(3138/($U$7*$U$8))+1,1)</f>
        <v/>
      </c>
      <c r="BO3151">
        <f>IF(3138&lt;$U$9,MOD(INT(3138/$U$8),$U$7)+1,1)</f>
        <v/>
      </c>
      <c r="BP3151">
        <f>IF(3138&lt;$U$9,MOD(3138,$U$8)+1,1)</f>
        <v/>
      </c>
      <c r="BQ3151">
        <f>IF(3138&lt;$U$9,SUMPRODUCT(($D$10:$L$10&lt;&gt;"")*(($D$9:$L$9+INT(($S$12:$AA$12+INDEX($AJ$13:$AR$162,BN3151,0)+INDEX($AT$13:$BB$162,BO3151,0)+INDEX($BD$13:$BL$162,BP3151,0))/100))&gt;=$D$10:$L$10)),0)</f>
        <v/>
      </c>
      <c r="BR3151">
        <f>IF(3138&lt;$U$9,SUMPRODUCT(($D$10:$L$10&lt;&gt;"")*(($D$10:$L$10-($D$9:$L$9+INT(($S$12:$AA$12+INDEX($AJ$13:$AR$162,BN3151,0)+INDEX($AT$13:$BB$162,BO3151,0)+INDEX($BD$13:$BL$162,BP3151,0))/100)))&gt;0)*($D$10:$L$10-($D$9:$L$9+INT(($S$12:$AA$12+INDEX($AJ$13:$AR$162,BN3151,0)+INDEX($AT$13:$BB$162,BO3151,0)+INDEX($BD$13:$BL$162,BP3151,0))/100)))),0)</f>
        <v/>
      </c>
      <c r="BS3151">
        <f>IF(3138&lt;$U$9,SUMPRODUCT(($D$9:$L$9+INT(($S$12:$AA$12+INDEX($AJ$13:$AR$162,BN3151,0)+INDEX($AT$13:$BB$162,BO3151,0)+INDEX($BD$13:$BL$162,BP3151,0))/100))),0)</f>
        <v/>
      </c>
      <c r="BT3151">
        <f>IF(AND(3138&lt;$U$9,$W$5),BQ3151*1000000-MIN(BR3151,999)*1000+BS3151-3138/100000,-1000000000-3138)</f>
        <v/>
      </c>
    </row>
    <row r="3152">
      <c r="BN3152">
        <f>IF(3139&lt;$U$9,INT(3139/($U$7*$U$8))+1,1)</f>
        <v/>
      </c>
      <c r="BO3152">
        <f>IF(3139&lt;$U$9,MOD(INT(3139/$U$8),$U$7)+1,1)</f>
        <v/>
      </c>
      <c r="BP3152">
        <f>IF(3139&lt;$U$9,MOD(3139,$U$8)+1,1)</f>
        <v/>
      </c>
      <c r="BQ3152">
        <f>IF(3139&lt;$U$9,SUMPRODUCT(($D$10:$L$10&lt;&gt;"")*(($D$9:$L$9+INT(($S$12:$AA$12+INDEX($AJ$13:$AR$162,BN3152,0)+INDEX($AT$13:$BB$162,BO3152,0)+INDEX($BD$13:$BL$162,BP3152,0))/100))&gt;=$D$10:$L$10)),0)</f>
        <v/>
      </c>
      <c r="BR3152">
        <f>IF(3139&lt;$U$9,SUMPRODUCT(($D$10:$L$10&lt;&gt;"")*(($D$10:$L$10-($D$9:$L$9+INT(($S$12:$AA$12+INDEX($AJ$13:$AR$162,BN3152,0)+INDEX($AT$13:$BB$162,BO3152,0)+INDEX($BD$13:$BL$162,BP3152,0))/100)))&gt;0)*($D$10:$L$10-($D$9:$L$9+INT(($S$12:$AA$12+INDEX($AJ$13:$AR$162,BN3152,0)+INDEX($AT$13:$BB$162,BO3152,0)+INDEX($BD$13:$BL$162,BP3152,0))/100)))),0)</f>
        <v/>
      </c>
      <c r="BS3152">
        <f>IF(3139&lt;$U$9,SUMPRODUCT(($D$9:$L$9+INT(($S$12:$AA$12+INDEX($AJ$13:$AR$162,BN3152,0)+INDEX($AT$13:$BB$162,BO3152,0)+INDEX($BD$13:$BL$162,BP3152,0))/100))),0)</f>
        <v/>
      </c>
      <c r="BT3152">
        <f>IF(AND(3139&lt;$U$9,$W$5),BQ3152*1000000-MIN(BR3152,999)*1000+BS3152-3139/100000,-1000000000-3139)</f>
        <v/>
      </c>
    </row>
    <row r="3153">
      <c r="BN3153">
        <f>IF(3140&lt;$U$9,INT(3140/($U$7*$U$8))+1,1)</f>
        <v/>
      </c>
      <c r="BO3153">
        <f>IF(3140&lt;$U$9,MOD(INT(3140/$U$8),$U$7)+1,1)</f>
        <v/>
      </c>
      <c r="BP3153">
        <f>IF(3140&lt;$U$9,MOD(3140,$U$8)+1,1)</f>
        <v/>
      </c>
      <c r="BQ3153">
        <f>IF(3140&lt;$U$9,SUMPRODUCT(($D$10:$L$10&lt;&gt;"")*(($D$9:$L$9+INT(($S$12:$AA$12+INDEX($AJ$13:$AR$162,BN3153,0)+INDEX($AT$13:$BB$162,BO3153,0)+INDEX($BD$13:$BL$162,BP3153,0))/100))&gt;=$D$10:$L$10)),0)</f>
        <v/>
      </c>
      <c r="BR3153">
        <f>IF(3140&lt;$U$9,SUMPRODUCT(($D$10:$L$10&lt;&gt;"")*(($D$10:$L$10-($D$9:$L$9+INT(($S$12:$AA$12+INDEX($AJ$13:$AR$162,BN3153,0)+INDEX($AT$13:$BB$162,BO3153,0)+INDEX($BD$13:$BL$162,BP3153,0))/100)))&gt;0)*($D$10:$L$10-($D$9:$L$9+INT(($S$12:$AA$12+INDEX($AJ$13:$AR$162,BN3153,0)+INDEX($AT$13:$BB$162,BO3153,0)+INDEX($BD$13:$BL$162,BP3153,0))/100)))),0)</f>
        <v/>
      </c>
      <c r="BS3153">
        <f>IF(3140&lt;$U$9,SUMPRODUCT(($D$9:$L$9+INT(($S$12:$AA$12+INDEX($AJ$13:$AR$162,BN3153,0)+INDEX($AT$13:$BB$162,BO3153,0)+INDEX($BD$13:$BL$162,BP3153,0))/100))),0)</f>
        <v/>
      </c>
      <c r="BT3153">
        <f>IF(AND(3140&lt;$U$9,$W$5),BQ3153*1000000-MIN(BR3153,999)*1000+BS3153-3140/100000,-1000000000-3140)</f>
        <v/>
      </c>
    </row>
    <row r="3154">
      <c r="BN3154">
        <f>IF(3141&lt;$U$9,INT(3141/($U$7*$U$8))+1,1)</f>
        <v/>
      </c>
      <c r="BO3154">
        <f>IF(3141&lt;$U$9,MOD(INT(3141/$U$8),$U$7)+1,1)</f>
        <v/>
      </c>
      <c r="BP3154">
        <f>IF(3141&lt;$U$9,MOD(3141,$U$8)+1,1)</f>
        <v/>
      </c>
      <c r="BQ3154">
        <f>IF(3141&lt;$U$9,SUMPRODUCT(($D$10:$L$10&lt;&gt;"")*(($D$9:$L$9+INT(($S$12:$AA$12+INDEX($AJ$13:$AR$162,BN3154,0)+INDEX($AT$13:$BB$162,BO3154,0)+INDEX($BD$13:$BL$162,BP3154,0))/100))&gt;=$D$10:$L$10)),0)</f>
        <v/>
      </c>
      <c r="BR3154">
        <f>IF(3141&lt;$U$9,SUMPRODUCT(($D$10:$L$10&lt;&gt;"")*(($D$10:$L$10-($D$9:$L$9+INT(($S$12:$AA$12+INDEX($AJ$13:$AR$162,BN3154,0)+INDEX($AT$13:$BB$162,BO3154,0)+INDEX($BD$13:$BL$162,BP3154,0))/100)))&gt;0)*($D$10:$L$10-($D$9:$L$9+INT(($S$12:$AA$12+INDEX($AJ$13:$AR$162,BN3154,0)+INDEX($AT$13:$BB$162,BO3154,0)+INDEX($BD$13:$BL$162,BP3154,0))/100)))),0)</f>
        <v/>
      </c>
      <c r="BS3154">
        <f>IF(3141&lt;$U$9,SUMPRODUCT(($D$9:$L$9+INT(($S$12:$AA$12+INDEX($AJ$13:$AR$162,BN3154,0)+INDEX($AT$13:$BB$162,BO3154,0)+INDEX($BD$13:$BL$162,BP3154,0))/100))),0)</f>
        <v/>
      </c>
      <c r="BT3154">
        <f>IF(AND(3141&lt;$U$9,$W$5),BQ3154*1000000-MIN(BR3154,999)*1000+BS3154-3141/100000,-1000000000-3141)</f>
        <v/>
      </c>
    </row>
    <row r="3155">
      <c r="BN3155">
        <f>IF(3142&lt;$U$9,INT(3142/($U$7*$U$8))+1,1)</f>
        <v/>
      </c>
      <c r="BO3155">
        <f>IF(3142&lt;$U$9,MOD(INT(3142/$U$8),$U$7)+1,1)</f>
        <v/>
      </c>
      <c r="BP3155">
        <f>IF(3142&lt;$U$9,MOD(3142,$U$8)+1,1)</f>
        <v/>
      </c>
      <c r="BQ3155">
        <f>IF(3142&lt;$U$9,SUMPRODUCT(($D$10:$L$10&lt;&gt;"")*(($D$9:$L$9+INT(($S$12:$AA$12+INDEX($AJ$13:$AR$162,BN3155,0)+INDEX($AT$13:$BB$162,BO3155,0)+INDEX($BD$13:$BL$162,BP3155,0))/100))&gt;=$D$10:$L$10)),0)</f>
        <v/>
      </c>
      <c r="BR3155">
        <f>IF(3142&lt;$U$9,SUMPRODUCT(($D$10:$L$10&lt;&gt;"")*(($D$10:$L$10-($D$9:$L$9+INT(($S$12:$AA$12+INDEX($AJ$13:$AR$162,BN3155,0)+INDEX($AT$13:$BB$162,BO3155,0)+INDEX($BD$13:$BL$162,BP3155,0))/100)))&gt;0)*($D$10:$L$10-($D$9:$L$9+INT(($S$12:$AA$12+INDEX($AJ$13:$AR$162,BN3155,0)+INDEX($AT$13:$BB$162,BO3155,0)+INDEX($BD$13:$BL$162,BP3155,0))/100)))),0)</f>
        <v/>
      </c>
      <c r="BS3155">
        <f>IF(3142&lt;$U$9,SUMPRODUCT(($D$9:$L$9+INT(($S$12:$AA$12+INDEX($AJ$13:$AR$162,BN3155,0)+INDEX($AT$13:$BB$162,BO3155,0)+INDEX($BD$13:$BL$162,BP3155,0))/100))),0)</f>
        <v/>
      </c>
      <c r="BT3155">
        <f>IF(AND(3142&lt;$U$9,$W$5),BQ3155*1000000-MIN(BR3155,999)*1000+BS3155-3142/100000,-1000000000-3142)</f>
        <v/>
      </c>
    </row>
    <row r="3156">
      <c r="BN3156">
        <f>IF(3143&lt;$U$9,INT(3143/($U$7*$U$8))+1,1)</f>
        <v/>
      </c>
      <c r="BO3156">
        <f>IF(3143&lt;$U$9,MOD(INT(3143/$U$8),$U$7)+1,1)</f>
        <v/>
      </c>
      <c r="BP3156">
        <f>IF(3143&lt;$U$9,MOD(3143,$U$8)+1,1)</f>
        <v/>
      </c>
      <c r="BQ3156">
        <f>IF(3143&lt;$U$9,SUMPRODUCT(($D$10:$L$10&lt;&gt;"")*(($D$9:$L$9+INT(($S$12:$AA$12+INDEX($AJ$13:$AR$162,BN3156,0)+INDEX($AT$13:$BB$162,BO3156,0)+INDEX($BD$13:$BL$162,BP3156,0))/100))&gt;=$D$10:$L$10)),0)</f>
        <v/>
      </c>
      <c r="BR3156">
        <f>IF(3143&lt;$U$9,SUMPRODUCT(($D$10:$L$10&lt;&gt;"")*(($D$10:$L$10-($D$9:$L$9+INT(($S$12:$AA$12+INDEX($AJ$13:$AR$162,BN3156,0)+INDEX($AT$13:$BB$162,BO3156,0)+INDEX($BD$13:$BL$162,BP3156,0))/100)))&gt;0)*($D$10:$L$10-($D$9:$L$9+INT(($S$12:$AA$12+INDEX($AJ$13:$AR$162,BN3156,0)+INDEX($AT$13:$BB$162,BO3156,0)+INDEX($BD$13:$BL$162,BP3156,0))/100)))),0)</f>
        <v/>
      </c>
      <c r="BS3156">
        <f>IF(3143&lt;$U$9,SUMPRODUCT(($D$9:$L$9+INT(($S$12:$AA$12+INDEX($AJ$13:$AR$162,BN3156,0)+INDEX($AT$13:$BB$162,BO3156,0)+INDEX($BD$13:$BL$162,BP3156,0))/100))),0)</f>
        <v/>
      </c>
      <c r="BT3156">
        <f>IF(AND(3143&lt;$U$9,$W$5),BQ3156*1000000-MIN(BR3156,999)*1000+BS3156-3143/100000,-1000000000-3143)</f>
        <v/>
      </c>
    </row>
    <row r="3157">
      <c r="BN3157">
        <f>IF(3144&lt;$U$9,INT(3144/($U$7*$U$8))+1,1)</f>
        <v/>
      </c>
      <c r="BO3157">
        <f>IF(3144&lt;$U$9,MOD(INT(3144/$U$8),$U$7)+1,1)</f>
        <v/>
      </c>
      <c r="BP3157">
        <f>IF(3144&lt;$U$9,MOD(3144,$U$8)+1,1)</f>
        <v/>
      </c>
      <c r="BQ3157">
        <f>IF(3144&lt;$U$9,SUMPRODUCT(($D$10:$L$10&lt;&gt;"")*(($D$9:$L$9+INT(($S$12:$AA$12+INDEX($AJ$13:$AR$162,BN3157,0)+INDEX($AT$13:$BB$162,BO3157,0)+INDEX($BD$13:$BL$162,BP3157,0))/100))&gt;=$D$10:$L$10)),0)</f>
        <v/>
      </c>
      <c r="BR3157">
        <f>IF(3144&lt;$U$9,SUMPRODUCT(($D$10:$L$10&lt;&gt;"")*(($D$10:$L$10-($D$9:$L$9+INT(($S$12:$AA$12+INDEX($AJ$13:$AR$162,BN3157,0)+INDEX($AT$13:$BB$162,BO3157,0)+INDEX($BD$13:$BL$162,BP3157,0))/100)))&gt;0)*($D$10:$L$10-($D$9:$L$9+INT(($S$12:$AA$12+INDEX($AJ$13:$AR$162,BN3157,0)+INDEX($AT$13:$BB$162,BO3157,0)+INDEX($BD$13:$BL$162,BP3157,0))/100)))),0)</f>
        <v/>
      </c>
      <c r="BS3157">
        <f>IF(3144&lt;$U$9,SUMPRODUCT(($D$9:$L$9+INT(($S$12:$AA$12+INDEX($AJ$13:$AR$162,BN3157,0)+INDEX($AT$13:$BB$162,BO3157,0)+INDEX($BD$13:$BL$162,BP3157,0))/100))),0)</f>
        <v/>
      </c>
      <c r="BT3157">
        <f>IF(AND(3144&lt;$U$9,$W$5),BQ3157*1000000-MIN(BR3157,999)*1000+BS3157-3144/100000,-1000000000-3144)</f>
        <v/>
      </c>
    </row>
    <row r="3158">
      <c r="BN3158">
        <f>IF(3145&lt;$U$9,INT(3145/($U$7*$U$8))+1,1)</f>
        <v/>
      </c>
      <c r="BO3158">
        <f>IF(3145&lt;$U$9,MOD(INT(3145/$U$8),$U$7)+1,1)</f>
        <v/>
      </c>
      <c r="BP3158">
        <f>IF(3145&lt;$U$9,MOD(3145,$U$8)+1,1)</f>
        <v/>
      </c>
      <c r="BQ3158">
        <f>IF(3145&lt;$U$9,SUMPRODUCT(($D$10:$L$10&lt;&gt;"")*(($D$9:$L$9+INT(($S$12:$AA$12+INDEX($AJ$13:$AR$162,BN3158,0)+INDEX($AT$13:$BB$162,BO3158,0)+INDEX($BD$13:$BL$162,BP3158,0))/100))&gt;=$D$10:$L$10)),0)</f>
        <v/>
      </c>
      <c r="BR3158">
        <f>IF(3145&lt;$U$9,SUMPRODUCT(($D$10:$L$10&lt;&gt;"")*(($D$10:$L$10-($D$9:$L$9+INT(($S$12:$AA$12+INDEX($AJ$13:$AR$162,BN3158,0)+INDEX($AT$13:$BB$162,BO3158,0)+INDEX($BD$13:$BL$162,BP3158,0))/100)))&gt;0)*($D$10:$L$10-($D$9:$L$9+INT(($S$12:$AA$12+INDEX($AJ$13:$AR$162,BN3158,0)+INDEX($AT$13:$BB$162,BO3158,0)+INDEX($BD$13:$BL$162,BP3158,0))/100)))),0)</f>
        <v/>
      </c>
      <c r="BS3158">
        <f>IF(3145&lt;$U$9,SUMPRODUCT(($D$9:$L$9+INT(($S$12:$AA$12+INDEX($AJ$13:$AR$162,BN3158,0)+INDEX($AT$13:$BB$162,BO3158,0)+INDEX($BD$13:$BL$162,BP3158,0))/100))),0)</f>
        <v/>
      </c>
      <c r="BT3158">
        <f>IF(AND(3145&lt;$U$9,$W$5),BQ3158*1000000-MIN(BR3158,999)*1000+BS3158-3145/100000,-1000000000-3145)</f>
        <v/>
      </c>
    </row>
    <row r="3159">
      <c r="BN3159">
        <f>IF(3146&lt;$U$9,INT(3146/($U$7*$U$8))+1,1)</f>
        <v/>
      </c>
      <c r="BO3159">
        <f>IF(3146&lt;$U$9,MOD(INT(3146/$U$8),$U$7)+1,1)</f>
        <v/>
      </c>
      <c r="BP3159">
        <f>IF(3146&lt;$U$9,MOD(3146,$U$8)+1,1)</f>
        <v/>
      </c>
      <c r="BQ3159">
        <f>IF(3146&lt;$U$9,SUMPRODUCT(($D$10:$L$10&lt;&gt;"")*(($D$9:$L$9+INT(($S$12:$AA$12+INDEX($AJ$13:$AR$162,BN3159,0)+INDEX($AT$13:$BB$162,BO3159,0)+INDEX($BD$13:$BL$162,BP3159,0))/100))&gt;=$D$10:$L$10)),0)</f>
        <v/>
      </c>
      <c r="BR3159">
        <f>IF(3146&lt;$U$9,SUMPRODUCT(($D$10:$L$10&lt;&gt;"")*(($D$10:$L$10-($D$9:$L$9+INT(($S$12:$AA$12+INDEX($AJ$13:$AR$162,BN3159,0)+INDEX($AT$13:$BB$162,BO3159,0)+INDEX($BD$13:$BL$162,BP3159,0))/100)))&gt;0)*($D$10:$L$10-($D$9:$L$9+INT(($S$12:$AA$12+INDEX($AJ$13:$AR$162,BN3159,0)+INDEX($AT$13:$BB$162,BO3159,0)+INDEX($BD$13:$BL$162,BP3159,0))/100)))),0)</f>
        <v/>
      </c>
      <c r="BS3159">
        <f>IF(3146&lt;$U$9,SUMPRODUCT(($D$9:$L$9+INT(($S$12:$AA$12+INDEX($AJ$13:$AR$162,BN3159,0)+INDEX($AT$13:$BB$162,BO3159,0)+INDEX($BD$13:$BL$162,BP3159,0))/100))),0)</f>
        <v/>
      </c>
      <c r="BT3159">
        <f>IF(AND(3146&lt;$U$9,$W$5),BQ3159*1000000-MIN(BR3159,999)*1000+BS3159-3146/100000,-1000000000-3146)</f>
        <v/>
      </c>
    </row>
    <row r="3160">
      <c r="BN3160">
        <f>IF(3147&lt;$U$9,INT(3147/($U$7*$U$8))+1,1)</f>
        <v/>
      </c>
      <c r="BO3160">
        <f>IF(3147&lt;$U$9,MOD(INT(3147/$U$8),$U$7)+1,1)</f>
        <v/>
      </c>
      <c r="BP3160">
        <f>IF(3147&lt;$U$9,MOD(3147,$U$8)+1,1)</f>
        <v/>
      </c>
      <c r="BQ3160">
        <f>IF(3147&lt;$U$9,SUMPRODUCT(($D$10:$L$10&lt;&gt;"")*(($D$9:$L$9+INT(($S$12:$AA$12+INDEX($AJ$13:$AR$162,BN3160,0)+INDEX($AT$13:$BB$162,BO3160,0)+INDEX($BD$13:$BL$162,BP3160,0))/100))&gt;=$D$10:$L$10)),0)</f>
        <v/>
      </c>
      <c r="BR3160">
        <f>IF(3147&lt;$U$9,SUMPRODUCT(($D$10:$L$10&lt;&gt;"")*(($D$10:$L$10-($D$9:$L$9+INT(($S$12:$AA$12+INDEX($AJ$13:$AR$162,BN3160,0)+INDEX($AT$13:$BB$162,BO3160,0)+INDEX($BD$13:$BL$162,BP3160,0))/100)))&gt;0)*($D$10:$L$10-($D$9:$L$9+INT(($S$12:$AA$12+INDEX($AJ$13:$AR$162,BN3160,0)+INDEX($AT$13:$BB$162,BO3160,0)+INDEX($BD$13:$BL$162,BP3160,0))/100)))),0)</f>
        <v/>
      </c>
      <c r="BS3160">
        <f>IF(3147&lt;$U$9,SUMPRODUCT(($D$9:$L$9+INT(($S$12:$AA$12+INDEX($AJ$13:$AR$162,BN3160,0)+INDEX($AT$13:$BB$162,BO3160,0)+INDEX($BD$13:$BL$162,BP3160,0))/100))),0)</f>
        <v/>
      </c>
      <c r="BT3160">
        <f>IF(AND(3147&lt;$U$9,$W$5),BQ3160*1000000-MIN(BR3160,999)*1000+BS3160-3147/100000,-1000000000-3147)</f>
        <v/>
      </c>
    </row>
    <row r="3161">
      <c r="BN3161">
        <f>IF(3148&lt;$U$9,INT(3148/($U$7*$U$8))+1,1)</f>
        <v/>
      </c>
      <c r="BO3161">
        <f>IF(3148&lt;$U$9,MOD(INT(3148/$U$8),$U$7)+1,1)</f>
        <v/>
      </c>
      <c r="BP3161">
        <f>IF(3148&lt;$U$9,MOD(3148,$U$8)+1,1)</f>
        <v/>
      </c>
      <c r="BQ3161">
        <f>IF(3148&lt;$U$9,SUMPRODUCT(($D$10:$L$10&lt;&gt;"")*(($D$9:$L$9+INT(($S$12:$AA$12+INDEX($AJ$13:$AR$162,BN3161,0)+INDEX($AT$13:$BB$162,BO3161,0)+INDEX($BD$13:$BL$162,BP3161,0))/100))&gt;=$D$10:$L$10)),0)</f>
        <v/>
      </c>
      <c r="BR3161">
        <f>IF(3148&lt;$U$9,SUMPRODUCT(($D$10:$L$10&lt;&gt;"")*(($D$10:$L$10-($D$9:$L$9+INT(($S$12:$AA$12+INDEX($AJ$13:$AR$162,BN3161,0)+INDEX($AT$13:$BB$162,BO3161,0)+INDEX($BD$13:$BL$162,BP3161,0))/100)))&gt;0)*($D$10:$L$10-($D$9:$L$9+INT(($S$12:$AA$12+INDEX($AJ$13:$AR$162,BN3161,0)+INDEX($AT$13:$BB$162,BO3161,0)+INDEX($BD$13:$BL$162,BP3161,0))/100)))),0)</f>
        <v/>
      </c>
      <c r="BS3161">
        <f>IF(3148&lt;$U$9,SUMPRODUCT(($D$9:$L$9+INT(($S$12:$AA$12+INDEX($AJ$13:$AR$162,BN3161,0)+INDEX($AT$13:$BB$162,BO3161,0)+INDEX($BD$13:$BL$162,BP3161,0))/100))),0)</f>
        <v/>
      </c>
      <c r="BT3161">
        <f>IF(AND(3148&lt;$U$9,$W$5),BQ3161*1000000-MIN(BR3161,999)*1000+BS3161-3148/100000,-1000000000-3148)</f>
        <v/>
      </c>
    </row>
    <row r="3162">
      <c r="BN3162">
        <f>IF(3149&lt;$U$9,INT(3149/($U$7*$U$8))+1,1)</f>
        <v/>
      </c>
      <c r="BO3162">
        <f>IF(3149&lt;$U$9,MOD(INT(3149/$U$8),$U$7)+1,1)</f>
        <v/>
      </c>
      <c r="BP3162">
        <f>IF(3149&lt;$U$9,MOD(3149,$U$8)+1,1)</f>
        <v/>
      </c>
      <c r="BQ3162">
        <f>IF(3149&lt;$U$9,SUMPRODUCT(($D$10:$L$10&lt;&gt;"")*(($D$9:$L$9+INT(($S$12:$AA$12+INDEX($AJ$13:$AR$162,BN3162,0)+INDEX($AT$13:$BB$162,BO3162,0)+INDEX($BD$13:$BL$162,BP3162,0))/100))&gt;=$D$10:$L$10)),0)</f>
        <v/>
      </c>
      <c r="BR3162">
        <f>IF(3149&lt;$U$9,SUMPRODUCT(($D$10:$L$10&lt;&gt;"")*(($D$10:$L$10-($D$9:$L$9+INT(($S$12:$AA$12+INDEX($AJ$13:$AR$162,BN3162,0)+INDEX($AT$13:$BB$162,BO3162,0)+INDEX($BD$13:$BL$162,BP3162,0))/100)))&gt;0)*($D$10:$L$10-($D$9:$L$9+INT(($S$12:$AA$12+INDEX($AJ$13:$AR$162,BN3162,0)+INDEX($AT$13:$BB$162,BO3162,0)+INDEX($BD$13:$BL$162,BP3162,0))/100)))),0)</f>
        <v/>
      </c>
      <c r="BS3162">
        <f>IF(3149&lt;$U$9,SUMPRODUCT(($D$9:$L$9+INT(($S$12:$AA$12+INDEX($AJ$13:$AR$162,BN3162,0)+INDEX($AT$13:$BB$162,BO3162,0)+INDEX($BD$13:$BL$162,BP3162,0))/100))),0)</f>
        <v/>
      </c>
      <c r="BT3162">
        <f>IF(AND(3149&lt;$U$9,$W$5),BQ3162*1000000-MIN(BR3162,999)*1000+BS3162-3149/100000,-1000000000-3149)</f>
        <v/>
      </c>
    </row>
    <row r="3163">
      <c r="BN3163">
        <f>IF(3150&lt;$U$9,INT(3150/($U$7*$U$8))+1,1)</f>
        <v/>
      </c>
      <c r="BO3163">
        <f>IF(3150&lt;$U$9,MOD(INT(3150/$U$8),$U$7)+1,1)</f>
        <v/>
      </c>
      <c r="BP3163">
        <f>IF(3150&lt;$U$9,MOD(3150,$U$8)+1,1)</f>
        <v/>
      </c>
      <c r="BQ3163">
        <f>IF(3150&lt;$U$9,SUMPRODUCT(($D$10:$L$10&lt;&gt;"")*(($D$9:$L$9+INT(($S$12:$AA$12+INDEX($AJ$13:$AR$162,BN3163,0)+INDEX($AT$13:$BB$162,BO3163,0)+INDEX($BD$13:$BL$162,BP3163,0))/100))&gt;=$D$10:$L$10)),0)</f>
        <v/>
      </c>
      <c r="BR3163">
        <f>IF(3150&lt;$U$9,SUMPRODUCT(($D$10:$L$10&lt;&gt;"")*(($D$10:$L$10-($D$9:$L$9+INT(($S$12:$AA$12+INDEX($AJ$13:$AR$162,BN3163,0)+INDEX($AT$13:$BB$162,BO3163,0)+INDEX($BD$13:$BL$162,BP3163,0))/100)))&gt;0)*($D$10:$L$10-($D$9:$L$9+INT(($S$12:$AA$12+INDEX($AJ$13:$AR$162,BN3163,0)+INDEX($AT$13:$BB$162,BO3163,0)+INDEX($BD$13:$BL$162,BP3163,0))/100)))),0)</f>
        <v/>
      </c>
      <c r="BS3163">
        <f>IF(3150&lt;$U$9,SUMPRODUCT(($D$9:$L$9+INT(($S$12:$AA$12+INDEX($AJ$13:$AR$162,BN3163,0)+INDEX($AT$13:$BB$162,BO3163,0)+INDEX($BD$13:$BL$162,BP3163,0))/100))),0)</f>
        <v/>
      </c>
      <c r="BT3163">
        <f>IF(AND(3150&lt;$U$9,$W$5),BQ3163*1000000-MIN(BR3163,999)*1000+BS3163-3150/100000,-1000000000-3150)</f>
        <v/>
      </c>
    </row>
    <row r="3164">
      <c r="BN3164">
        <f>IF(3151&lt;$U$9,INT(3151/($U$7*$U$8))+1,1)</f>
        <v/>
      </c>
      <c r="BO3164">
        <f>IF(3151&lt;$U$9,MOD(INT(3151/$U$8),$U$7)+1,1)</f>
        <v/>
      </c>
      <c r="BP3164">
        <f>IF(3151&lt;$U$9,MOD(3151,$U$8)+1,1)</f>
        <v/>
      </c>
      <c r="BQ3164">
        <f>IF(3151&lt;$U$9,SUMPRODUCT(($D$10:$L$10&lt;&gt;"")*(($D$9:$L$9+INT(($S$12:$AA$12+INDEX($AJ$13:$AR$162,BN3164,0)+INDEX($AT$13:$BB$162,BO3164,0)+INDEX($BD$13:$BL$162,BP3164,0))/100))&gt;=$D$10:$L$10)),0)</f>
        <v/>
      </c>
      <c r="BR3164">
        <f>IF(3151&lt;$U$9,SUMPRODUCT(($D$10:$L$10&lt;&gt;"")*(($D$10:$L$10-($D$9:$L$9+INT(($S$12:$AA$12+INDEX($AJ$13:$AR$162,BN3164,0)+INDEX($AT$13:$BB$162,BO3164,0)+INDEX($BD$13:$BL$162,BP3164,0))/100)))&gt;0)*($D$10:$L$10-($D$9:$L$9+INT(($S$12:$AA$12+INDEX($AJ$13:$AR$162,BN3164,0)+INDEX($AT$13:$BB$162,BO3164,0)+INDEX($BD$13:$BL$162,BP3164,0))/100)))),0)</f>
        <v/>
      </c>
      <c r="BS3164">
        <f>IF(3151&lt;$U$9,SUMPRODUCT(($D$9:$L$9+INT(($S$12:$AA$12+INDEX($AJ$13:$AR$162,BN3164,0)+INDEX($AT$13:$BB$162,BO3164,0)+INDEX($BD$13:$BL$162,BP3164,0))/100))),0)</f>
        <v/>
      </c>
      <c r="BT3164">
        <f>IF(AND(3151&lt;$U$9,$W$5),BQ3164*1000000-MIN(BR3164,999)*1000+BS3164-3151/100000,-1000000000-3151)</f>
        <v/>
      </c>
    </row>
    <row r="3165">
      <c r="BN3165">
        <f>IF(3152&lt;$U$9,INT(3152/($U$7*$U$8))+1,1)</f>
        <v/>
      </c>
      <c r="BO3165">
        <f>IF(3152&lt;$U$9,MOD(INT(3152/$U$8),$U$7)+1,1)</f>
        <v/>
      </c>
      <c r="BP3165">
        <f>IF(3152&lt;$U$9,MOD(3152,$U$8)+1,1)</f>
        <v/>
      </c>
      <c r="BQ3165">
        <f>IF(3152&lt;$U$9,SUMPRODUCT(($D$10:$L$10&lt;&gt;"")*(($D$9:$L$9+INT(($S$12:$AA$12+INDEX($AJ$13:$AR$162,BN3165,0)+INDEX($AT$13:$BB$162,BO3165,0)+INDEX($BD$13:$BL$162,BP3165,0))/100))&gt;=$D$10:$L$10)),0)</f>
        <v/>
      </c>
      <c r="BR3165">
        <f>IF(3152&lt;$U$9,SUMPRODUCT(($D$10:$L$10&lt;&gt;"")*(($D$10:$L$10-($D$9:$L$9+INT(($S$12:$AA$12+INDEX($AJ$13:$AR$162,BN3165,0)+INDEX($AT$13:$BB$162,BO3165,0)+INDEX($BD$13:$BL$162,BP3165,0))/100)))&gt;0)*($D$10:$L$10-($D$9:$L$9+INT(($S$12:$AA$12+INDEX($AJ$13:$AR$162,BN3165,0)+INDEX($AT$13:$BB$162,BO3165,0)+INDEX($BD$13:$BL$162,BP3165,0))/100)))),0)</f>
        <v/>
      </c>
      <c r="BS3165">
        <f>IF(3152&lt;$U$9,SUMPRODUCT(($D$9:$L$9+INT(($S$12:$AA$12+INDEX($AJ$13:$AR$162,BN3165,0)+INDEX($AT$13:$BB$162,BO3165,0)+INDEX($BD$13:$BL$162,BP3165,0))/100))),0)</f>
        <v/>
      </c>
      <c r="BT3165">
        <f>IF(AND(3152&lt;$U$9,$W$5),BQ3165*1000000-MIN(BR3165,999)*1000+BS3165-3152/100000,-1000000000-3152)</f>
        <v/>
      </c>
    </row>
    <row r="3166">
      <c r="BN3166">
        <f>IF(3153&lt;$U$9,INT(3153/($U$7*$U$8))+1,1)</f>
        <v/>
      </c>
      <c r="BO3166">
        <f>IF(3153&lt;$U$9,MOD(INT(3153/$U$8),$U$7)+1,1)</f>
        <v/>
      </c>
      <c r="BP3166">
        <f>IF(3153&lt;$U$9,MOD(3153,$U$8)+1,1)</f>
        <v/>
      </c>
      <c r="BQ3166">
        <f>IF(3153&lt;$U$9,SUMPRODUCT(($D$10:$L$10&lt;&gt;"")*(($D$9:$L$9+INT(($S$12:$AA$12+INDEX($AJ$13:$AR$162,BN3166,0)+INDEX($AT$13:$BB$162,BO3166,0)+INDEX($BD$13:$BL$162,BP3166,0))/100))&gt;=$D$10:$L$10)),0)</f>
        <v/>
      </c>
      <c r="BR3166">
        <f>IF(3153&lt;$U$9,SUMPRODUCT(($D$10:$L$10&lt;&gt;"")*(($D$10:$L$10-($D$9:$L$9+INT(($S$12:$AA$12+INDEX($AJ$13:$AR$162,BN3166,0)+INDEX($AT$13:$BB$162,BO3166,0)+INDEX($BD$13:$BL$162,BP3166,0))/100)))&gt;0)*($D$10:$L$10-($D$9:$L$9+INT(($S$12:$AA$12+INDEX($AJ$13:$AR$162,BN3166,0)+INDEX($AT$13:$BB$162,BO3166,0)+INDEX($BD$13:$BL$162,BP3166,0))/100)))),0)</f>
        <v/>
      </c>
      <c r="BS3166">
        <f>IF(3153&lt;$U$9,SUMPRODUCT(($D$9:$L$9+INT(($S$12:$AA$12+INDEX($AJ$13:$AR$162,BN3166,0)+INDEX($AT$13:$BB$162,BO3166,0)+INDEX($BD$13:$BL$162,BP3166,0))/100))),0)</f>
        <v/>
      </c>
      <c r="BT3166">
        <f>IF(AND(3153&lt;$U$9,$W$5),BQ3166*1000000-MIN(BR3166,999)*1000+BS3166-3153/100000,-1000000000-3153)</f>
        <v/>
      </c>
    </row>
    <row r="3167">
      <c r="BN3167">
        <f>IF(3154&lt;$U$9,INT(3154/($U$7*$U$8))+1,1)</f>
        <v/>
      </c>
      <c r="BO3167">
        <f>IF(3154&lt;$U$9,MOD(INT(3154/$U$8),$U$7)+1,1)</f>
        <v/>
      </c>
      <c r="BP3167">
        <f>IF(3154&lt;$U$9,MOD(3154,$U$8)+1,1)</f>
        <v/>
      </c>
      <c r="BQ3167">
        <f>IF(3154&lt;$U$9,SUMPRODUCT(($D$10:$L$10&lt;&gt;"")*(($D$9:$L$9+INT(($S$12:$AA$12+INDEX($AJ$13:$AR$162,BN3167,0)+INDEX($AT$13:$BB$162,BO3167,0)+INDEX($BD$13:$BL$162,BP3167,0))/100))&gt;=$D$10:$L$10)),0)</f>
        <v/>
      </c>
      <c r="BR3167">
        <f>IF(3154&lt;$U$9,SUMPRODUCT(($D$10:$L$10&lt;&gt;"")*(($D$10:$L$10-($D$9:$L$9+INT(($S$12:$AA$12+INDEX($AJ$13:$AR$162,BN3167,0)+INDEX($AT$13:$BB$162,BO3167,0)+INDEX($BD$13:$BL$162,BP3167,0))/100)))&gt;0)*($D$10:$L$10-($D$9:$L$9+INT(($S$12:$AA$12+INDEX($AJ$13:$AR$162,BN3167,0)+INDEX($AT$13:$BB$162,BO3167,0)+INDEX($BD$13:$BL$162,BP3167,0))/100)))),0)</f>
        <v/>
      </c>
      <c r="BS3167">
        <f>IF(3154&lt;$U$9,SUMPRODUCT(($D$9:$L$9+INT(($S$12:$AA$12+INDEX($AJ$13:$AR$162,BN3167,0)+INDEX($AT$13:$BB$162,BO3167,0)+INDEX($BD$13:$BL$162,BP3167,0))/100))),0)</f>
        <v/>
      </c>
      <c r="BT3167">
        <f>IF(AND(3154&lt;$U$9,$W$5),BQ3167*1000000-MIN(BR3167,999)*1000+BS3167-3154/100000,-1000000000-3154)</f>
        <v/>
      </c>
    </row>
    <row r="3168">
      <c r="BN3168">
        <f>IF(3155&lt;$U$9,INT(3155/($U$7*$U$8))+1,1)</f>
        <v/>
      </c>
      <c r="BO3168">
        <f>IF(3155&lt;$U$9,MOD(INT(3155/$U$8),$U$7)+1,1)</f>
        <v/>
      </c>
      <c r="BP3168">
        <f>IF(3155&lt;$U$9,MOD(3155,$U$8)+1,1)</f>
        <v/>
      </c>
      <c r="BQ3168">
        <f>IF(3155&lt;$U$9,SUMPRODUCT(($D$10:$L$10&lt;&gt;"")*(($D$9:$L$9+INT(($S$12:$AA$12+INDEX($AJ$13:$AR$162,BN3168,0)+INDEX($AT$13:$BB$162,BO3168,0)+INDEX($BD$13:$BL$162,BP3168,0))/100))&gt;=$D$10:$L$10)),0)</f>
        <v/>
      </c>
      <c r="BR3168">
        <f>IF(3155&lt;$U$9,SUMPRODUCT(($D$10:$L$10&lt;&gt;"")*(($D$10:$L$10-($D$9:$L$9+INT(($S$12:$AA$12+INDEX($AJ$13:$AR$162,BN3168,0)+INDEX($AT$13:$BB$162,BO3168,0)+INDEX($BD$13:$BL$162,BP3168,0))/100)))&gt;0)*($D$10:$L$10-($D$9:$L$9+INT(($S$12:$AA$12+INDEX($AJ$13:$AR$162,BN3168,0)+INDEX($AT$13:$BB$162,BO3168,0)+INDEX($BD$13:$BL$162,BP3168,0))/100)))),0)</f>
        <v/>
      </c>
      <c r="BS3168">
        <f>IF(3155&lt;$U$9,SUMPRODUCT(($D$9:$L$9+INT(($S$12:$AA$12+INDEX($AJ$13:$AR$162,BN3168,0)+INDEX($AT$13:$BB$162,BO3168,0)+INDEX($BD$13:$BL$162,BP3168,0))/100))),0)</f>
        <v/>
      </c>
      <c r="BT3168">
        <f>IF(AND(3155&lt;$U$9,$W$5),BQ3168*1000000-MIN(BR3168,999)*1000+BS3168-3155/100000,-1000000000-3155)</f>
        <v/>
      </c>
    </row>
    <row r="3169">
      <c r="BN3169">
        <f>IF(3156&lt;$U$9,INT(3156/($U$7*$U$8))+1,1)</f>
        <v/>
      </c>
      <c r="BO3169">
        <f>IF(3156&lt;$U$9,MOD(INT(3156/$U$8),$U$7)+1,1)</f>
        <v/>
      </c>
      <c r="BP3169">
        <f>IF(3156&lt;$U$9,MOD(3156,$U$8)+1,1)</f>
        <v/>
      </c>
      <c r="BQ3169">
        <f>IF(3156&lt;$U$9,SUMPRODUCT(($D$10:$L$10&lt;&gt;"")*(($D$9:$L$9+INT(($S$12:$AA$12+INDEX($AJ$13:$AR$162,BN3169,0)+INDEX($AT$13:$BB$162,BO3169,0)+INDEX($BD$13:$BL$162,BP3169,0))/100))&gt;=$D$10:$L$10)),0)</f>
        <v/>
      </c>
      <c r="BR3169">
        <f>IF(3156&lt;$U$9,SUMPRODUCT(($D$10:$L$10&lt;&gt;"")*(($D$10:$L$10-($D$9:$L$9+INT(($S$12:$AA$12+INDEX($AJ$13:$AR$162,BN3169,0)+INDEX($AT$13:$BB$162,BO3169,0)+INDEX($BD$13:$BL$162,BP3169,0))/100)))&gt;0)*($D$10:$L$10-($D$9:$L$9+INT(($S$12:$AA$12+INDEX($AJ$13:$AR$162,BN3169,0)+INDEX($AT$13:$BB$162,BO3169,0)+INDEX($BD$13:$BL$162,BP3169,0))/100)))),0)</f>
        <v/>
      </c>
      <c r="BS3169">
        <f>IF(3156&lt;$U$9,SUMPRODUCT(($D$9:$L$9+INT(($S$12:$AA$12+INDEX($AJ$13:$AR$162,BN3169,0)+INDEX($AT$13:$BB$162,BO3169,0)+INDEX($BD$13:$BL$162,BP3169,0))/100))),0)</f>
        <v/>
      </c>
      <c r="BT3169">
        <f>IF(AND(3156&lt;$U$9,$W$5),BQ3169*1000000-MIN(BR3169,999)*1000+BS3169-3156/100000,-1000000000-3156)</f>
        <v/>
      </c>
    </row>
    <row r="3170">
      <c r="BN3170">
        <f>IF(3157&lt;$U$9,INT(3157/($U$7*$U$8))+1,1)</f>
        <v/>
      </c>
      <c r="BO3170">
        <f>IF(3157&lt;$U$9,MOD(INT(3157/$U$8),$U$7)+1,1)</f>
        <v/>
      </c>
      <c r="BP3170">
        <f>IF(3157&lt;$U$9,MOD(3157,$U$8)+1,1)</f>
        <v/>
      </c>
      <c r="BQ3170">
        <f>IF(3157&lt;$U$9,SUMPRODUCT(($D$10:$L$10&lt;&gt;"")*(($D$9:$L$9+INT(($S$12:$AA$12+INDEX($AJ$13:$AR$162,BN3170,0)+INDEX($AT$13:$BB$162,BO3170,0)+INDEX($BD$13:$BL$162,BP3170,0))/100))&gt;=$D$10:$L$10)),0)</f>
        <v/>
      </c>
      <c r="BR3170">
        <f>IF(3157&lt;$U$9,SUMPRODUCT(($D$10:$L$10&lt;&gt;"")*(($D$10:$L$10-($D$9:$L$9+INT(($S$12:$AA$12+INDEX($AJ$13:$AR$162,BN3170,0)+INDEX($AT$13:$BB$162,BO3170,0)+INDEX($BD$13:$BL$162,BP3170,0))/100)))&gt;0)*($D$10:$L$10-($D$9:$L$9+INT(($S$12:$AA$12+INDEX($AJ$13:$AR$162,BN3170,0)+INDEX($AT$13:$BB$162,BO3170,0)+INDEX($BD$13:$BL$162,BP3170,0))/100)))),0)</f>
        <v/>
      </c>
      <c r="BS3170">
        <f>IF(3157&lt;$U$9,SUMPRODUCT(($D$9:$L$9+INT(($S$12:$AA$12+INDEX($AJ$13:$AR$162,BN3170,0)+INDEX($AT$13:$BB$162,BO3170,0)+INDEX($BD$13:$BL$162,BP3170,0))/100))),0)</f>
        <v/>
      </c>
      <c r="BT3170">
        <f>IF(AND(3157&lt;$U$9,$W$5),BQ3170*1000000-MIN(BR3170,999)*1000+BS3170-3157/100000,-1000000000-3157)</f>
        <v/>
      </c>
    </row>
    <row r="3171">
      <c r="BN3171">
        <f>IF(3158&lt;$U$9,INT(3158/($U$7*$U$8))+1,1)</f>
        <v/>
      </c>
      <c r="BO3171">
        <f>IF(3158&lt;$U$9,MOD(INT(3158/$U$8),$U$7)+1,1)</f>
        <v/>
      </c>
      <c r="BP3171">
        <f>IF(3158&lt;$U$9,MOD(3158,$U$8)+1,1)</f>
        <v/>
      </c>
      <c r="BQ3171">
        <f>IF(3158&lt;$U$9,SUMPRODUCT(($D$10:$L$10&lt;&gt;"")*(($D$9:$L$9+INT(($S$12:$AA$12+INDEX($AJ$13:$AR$162,BN3171,0)+INDEX($AT$13:$BB$162,BO3171,0)+INDEX($BD$13:$BL$162,BP3171,0))/100))&gt;=$D$10:$L$10)),0)</f>
        <v/>
      </c>
      <c r="BR3171">
        <f>IF(3158&lt;$U$9,SUMPRODUCT(($D$10:$L$10&lt;&gt;"")*(($D$10:$L$10-($D$9:$L$9+INT(($S$12:$AA$12+INDEX($AJ$13:$AR$162,BN3171,0)+INDEX($AT$13:$BB$162,BO3171,0)+INDEX($BD$13:$BL$162,BP3171,0))/100)))&gt;0)*($D$10:$L$10-($D$9:$L$9+INT(($S$12:$AA$12+INDEX($AJ$13:$AR$162,BN3171,0)+INDEX($AT$13:$BB$162,BO3171,0)+INDEX($BD$13:$BL$162,BP3171,0))/100)))),0)</f>
        <v/>
      </c>
      <c r="BS3171">
        <f>IF(3158&lt;$U$9,SUMPRODUCT(($D$9:$L$9+INT(($S$12:$AA$12+INDEX($AJ$13:$AR$162,BN3171,0)+INDEX($AT$13:$BB$162,BO3171,0)+INDEX($BD$13:$BL$162,BP3171,0))/100))),0)</f>
        <v/>
      </c>
      <c r="BT3171">
        <f>IF(AND(3158&lt;$U$9,$W$5),BQ3171*1000000-MIN(BR3171,999)*1000+BS3171-3158/100000,-1000000000-3158)</f>
        <v/>
      </c>
    </row>
    <row r="3172">
      <c r="BN3172">
        <f>IF(3159&lt;$U$9,INT(3159/($U$7*$U$8))+1,1)</f>
        <v/>
      </c>
      <c r="BO3172">
        <f>IF(3159&lt;$U$9,MOD(INT(3159/$U$8),$U$7)+1,1)</f>
        <v/>
      </c>
      <c r="BP3172">
        <f>IF(3159&lt;$U$9,MOD(3159,$U$8)+1,1)</f>
        <v/>
      </c>
      <c r="BQ3172">
        <f>IF(3159&lt;$U$9,SUMPRODUCT(($D$10:$L$10&lt;&gt;"")*(($D$9:$L$9+INT(($S$12:$AA$12+INDEX($AJ$13:$AR$162,BN3172,0)+INDEX($AT$13:$BB$162,BO3172,0)+INDEX($BD$13:$BL$162,BP3172,0))/100))&gt;=$D$10:$L$10)),0)</f>
        <v/>
      </c>
      <c r="BR3172">
        <f>IF(3159&lt;$U$9,SUMPRODUCT(($D$10:$L$10&lt;&gt;"")*(($D$10:$L$10-($D$9:$L$9+INT(($S$12:$AA$12+INDEX($AJ$13:$AR$162,BN3172,0)+INDEX($AT$13:$BB$162,BO3172,0)+INDEX($BD$13:$BL$162,BP3172,0))/100)))&gt;0)*($D$10:$L$10-($D$9:$L$9+INT(($S$12:$AA$12+INDEX($AJ$13:$AR$162,BN3172,0)+INDEX($AT$13:$BB$162,BO3172,0)+INDEX($BD$13:$BL$162,BP3172,0))/100)))),0)</f>
        <v/>
      </c>
      <c r="BS3172">
        <f>IF(3159&lt;$U$9,SUMPRODUCT(($D$9:$L$9+INT(($S$12:$AA$12+INDEX($AJ$13:$AR$162,BN3172,0)+INDEX($AT$13:$BB$162,BO3172,0)+INDEX($BD$13:$BL$162,BP3172,0))/100))),0)</f>
        <v/>
      </c>
      <c r="BT3172">
        <f>IF(AND(3159&lt;$U$9,$W$5),BQ3172*1000000-MIN(BR3172,999)*1000+BS3172-3159/100000,-1000000000-3159)</f>
        <v/>
      </c>
    </row>
    <row r="3173">
      <c r="BN3173">
        <f>IF(3160&lt;$U$9,INT(3160/($U$7*$U$8))+1,1)</f>
        <v/>
      </c>
      <c r="BO3173">
        <f>IF(3160&lt;$U$9,MOD(INT(3160/$U$8),$U$7)+1,1)</f>
        <v/>
      </c>
      <c r="BP3173">
        <f>IF(3160&lt;$U$9,MOD(3160,$U$8)+1,1)</f>
        <v/>
      </c>
      <c r="BQ3173">
        <f>IF(3160&lt;$U$9,SUMPRODUCT(($D$10:$L$10&lt;&gt;"")*(($D$9:$L$9+INT(($S$12:$AA$12+INDEX($AJ$13:$AR$162,BN3173,0)+INDEX($AT$13:$BB$162,BO3173,0)+INDEX($BD$13:$BL$162,BP3173,0))/100))&gt;=$D$10:$L$10)),0)</f>
        <v/>
      </c>
      <c r="BR3173">
        <f>IF(3160&lt;$U$9,SUMPRODUCT(($D$10:$L$10&lt;&gt;"")*(($D$10:$L$10-($D$9:$L$9+INT(($S$12:$AA$12+INDEX($AJ$13:$AR$162,BN3173,0)+INDEX($AT$13:$BB$162,BO3173,0)+INDEX($BD$13:$BL$162,BP3173,0))/100)))&gt;0)*($D$10:$L$10-($D$9:$L$9+INT(($S$12:$AA$12+INDEX($AJ$13:$AR$162,BN3173,0)+INDEX($AT$13:$BB$162,BO3173,0)+INDEX($BD$13:$BL$162,BP3173,0))/100)))),0)</f>
        <v/>
      </c>
      <c r="BS3173">
        <f>IF(3160&lt;$U$9,SUMPRODUCT(($D$9:$L$9+INT(($S$12:$AA$12+INDEX($AJ$13:$AR$162,BN3173,0)+INDEX($AT$13:$BB$162,BO3173,0)+INDEX($BD$13:$BL$162,BP3173,0))/100))),0)</f>
        <v/>
      </c>
      <c r="BT3173">
        <f>IF(AND(3160&lt;$U$9,$W$5),BQ3173*1000000-MIN(BR3173,999)*1000+BS3173-3160/100000,-1000000000-3160)</f>
        <v/>
      </c>
    </row>
    <row r="3174">
      <c r="BN3174">
        <f>IF(3161&lt;$U$9,INT(3161/($U$7*$U$8))+1,1)</f>
        <v/>
      </c>
      <c r="BO3174">
        <f>IF(3161&lt;$U$9,MOD(INT(3161/$U$8),$U$7)+1,1)</f>
        <v/>
      </c>
      <c r="BP3174">
        <f>IF(3161&lt;$U$9,MOD(3161,$U$8)+1,1)</f>
        <v/>
      </c>
      <c r="BQ3174">
        <f>IF(3161&lt;$U$9,SUMPRODUCT(($D$10:$L$10&lt;&gt;"")*(($D$9:$L$9+INT(($S$12:$AA$12+INDEX($AJ$13:$AR$162,BN3174,0)+INDEX($AT$13:$BB$162,BO3174,0)+INDEX($BD$13:$BL$162,BP3174,0))/100))&gt;=$D$10:$L$10)),0)</f>
        <v/>
      </c>
      <c r="BR3174">
        <f>IF(3161&lt;$U$9,SUMPRODUCT(($D$10:$L$10&lt;&gt;"")*(($D$10:$L$10-($D$9:$L$9+INT(($S$12:$AA$12+INDEX($AJ$13:$AR$162,BN3174,0)+INDEX($AT$13:$BB$162,BO3174,0)+INDEX($BD$13:$BL$162,BP3174,0))/100)))&gt;0)*($D$10:$L$10-($D$9:$L$9+INT(($S$12:$AA$12+INDEX($AJ$13:$AR$162,BN3174,0)+INDEX($AT$13:$BB$162,BO3174,0)+INDEX($BD$13:$BL$162,BP3174,0))/100)))),0)</f>
        <v/>
      </c>
      <c r="BS3174">
        <f>IF(3161&lt;$U$9,SUMPRODUCT(($D$9:$L$9+INT(($S$12:$AA$12+INDEX($AJ$13:$AR$162,BN3174,0)+INDEX($AT$13:$BB$162,BO3174,0)+INDEX($BD$13:$BL$162,BP3174,0))/100))),0)</f>
        <v/>
      </c>
      <c r="BT3174">
        <f>IF(AND(3161&lt;$U$9,$W$5),BQ3174*1000000-MIN(BR3174,999)*1000+BS3174-3161/100000,-1000000000-3161)</f>
        <v/>
      </c>
    </row>
    <row r="3175">
      <c r="BN3175">
        <f>IF(3162&lt;$U$9,INT(3162/($U$7*$U$8))+1,1)</f>
        <v/>
      </c>
      <c r="BO3175">
        <f>IF(3162&lt;$U$9,MOD(INT(3162/$U$8),$U$7)+1,1)</f>
        <v/>
      </c>
      <c r="BP3175">
        <f>IF(3162&lt;$U$9,MOD(3162,$U$8)+1,1)</f>
        <v/>
      </c>
      <c r="BQ3175">
        <f>IF(3162&lt;$U$9,SUMPRODUCT(($D$10:$L$10&lt;&gt;"")*(($D$9:$L$9+INT(($S$12:$AA$12+INDEX($AJ$13:$AR$162,BN3175,0)+INDEX($AT$13:$BB$162,BO3175,0)+INDEX($BD$13:$BL$162,BP3175,0))/100))&gt;=$D$10:$L$10)),0)</f>
        <v/>
      </c>
      <c r="BR3175">
        <f>IF(3162&lt;$U$9,SUMPRODUCT(($D$10:$L$10&lt;&gt;"")*(($D$10:$L$10-($D$9:$L$9+INT(($S$12:$AA$12+INDEX($AJ$13:$AR$162,BN3175,0)+INDEX($AT$13:$BB$162,BO3175,0)+INDEX($BD$13:$BL$162,BP3175,0))/100)))&gt;0)*($D$10:$L$10-($D$9:$L$9+INT(($S$12:$AA$12+INDEX($AJ$13:$AR$162,BN3175,0)+INDEX($AT$13:$BB$162,BO3175,0)+INDEX($BD$13:$BL$162,BP3175,0))/100)))),0)</f>
        <v/>
      </c>
      <c r="BS3175">
        <f>IF(3162&lt;$U$9,SUMPRODUCT(($D$9:$L$9+INT(($S$12:$AA$12+INDEX($AJ$13:$AR$162,BN3175,0)+INDEX($AT$13:$BB$162,BO3175,0)+INDEX($BD$13:$BL$162,BP3175,0))/100))),0)</f>
        <v/>
      </c>
      <c r="BT3175">
        <f>IF(AND(3162&lt;$U$9,$W$5),BQ3175*1000000-MIN(BR3175,999)*1000+BS3175-3162/100000,-1000000000-3162)</f>
        <v/>
      </c>
    </row>
    <row r="3176">
      <c r="BN3176">
        <f>IF(3163&lt;$U$9,INT(3163/($U$7*$U$8))+1,1)</f>
        <v/>
      </c>
      <c r="BO3176">
        <f>IF(3163&lt;$U$9,MOD(INT(3163/$U$8),$U$7)+1,1)</f>
        <v/>
      </c>
      <c r="BP3176">
        <f>IF(3163&lt;$U$9,MOD(3163,$U$8)+1,1)</f>
        <v/>
      </c>
      <c r="BQ3176">
        <f>IF(3163&lt;$U$9,SUMPRODUCT(($D$10:$L$10&lt;&gt;"")*(($D$9:$L$9+INT(($S$12:$AA$12+INDEX($AJ$13:$AR$162,BN3176,0)+INDEX($AT$13:$BB$162,BO3176,0)+INDEX($BD$13:$BL$162,BP3176,0))/100))&gt;=$D$10:$L$10)),0)</f>
        <v/>
      </c>
      <c r="BR3176">
        <f>IF(3163&lt;$U$9,SUMPRODUCT(($D$10:$L$10&lt;&gt;"")*(($D$10:$L$10-($D$9:$L$9+INT(($S$12:$AA$12+INDEX($AJ$13:$AR$162,BN3176,0)+INDEX($AT$13:$BB$162,BO3176,0)+INDEX($BD$13:$BL$162,BP3176,0))/100)))&gt;0)*($D$10:$L$10-($D$9:$L$9+INT(($S$12:$AA$12+INDEX($AJ$13:$AR$162,BN3176,0)+INDEX($AT$13:$BB$162,BO3176,0)+INDEX($BD$13:$BL$162,BP3176,0))/100)))),0)</f>
        <v/>
      </c>
      <c r="BS3176">
        <f>IF(3163&lt;$U$9,SUMPRODUCT(($D$9:$L$9+INT(($S$12:$AA$12+INDEX($AJ$13:$AR$162,BN3176,0)+INDEX($AT$13:$BB$162,BO3176,0)+INDEX($BD$13:$BL$162,BP3176,0))/100))),0)</f>
        <v/>
      </c>
      <c r="BT3176">
        <f>IF(AND(3163&lt;$U$9,$W$5),BQ3176*1000000-MIN(BR3176,999)*1000+BS3176-3163/100000,-1000000000-3163)</f>
        <v/>
      </c>
    </row>
    <row r="3177">
      <c r="BN3177">
        <f>IF(3164&lt;$U$9,INT(3164/($U$7*$U$8))+1,1)</f>
        <v/>
      </c>
      <c r="BO3177">
        <f>IF(3164&lt;$U$9,MOD(INT(3164/$U$8),$U$7)+1,1)</f>
        <v/>
      </c>
      <c r="BP3177">
        <f>IF(3164&lt;$U$9,MOD(3164,$U$8)+1,1)</f>
        <v/>
      </c>
      <c r="BQ3177">
        <f>IF(3164&lt;$U$9,SUMPRODUCT(($D$10:$L$10&lt;&gt;"")*(($D$9:$L$9+INT(($S$12:$AA$12+INDEX($AJ$13:$AR$162,BN3177,0)+INDEX($AT$13:$BB$162,BO3177,0)+INDEX($BD$13:$BL$162,BP3177,0))/100))&gt;=$D$10:$L$10)),0)</f>
        <v/>
      </c>
      <c r="BR3177">
        <f>IF(3164&lt;$U$9,SUMPRODUCT(($D$10:$L$10&lt;&gt;"")*(($D$10:$L$10-($D$9:$L$9+INT(($S$12:$AA$12+INDEX($AJ$13:$AR$162,BN3177,0)+INDEX($AT$13:$BB$162,BO3177,0)+INDEX($BD$13:$BL$162,BP3177,0))/100)))&gt;0)*($D$10:$L$10-($D$9:$L$9+INT(($S$12:$AA$12+INDEX($AJ$13:$AR$162,BN3177,0)+INDEX($AT$13:$BB$162,BO3177,0)+INDEX($BD$13:$BL$162,BP3177,0))/100)))),0)</f>
        <v/>
      </c>
      <c r="BS3177">
        <f>IF(3164&lt;$U$9,SUMPRODUCT(($D$9:$L$9+INT(($S$12:$AA$12+INDEX($AJ$13:$AR$162,BN3177,0)+INDEX($AT$13:$BB$162,BO3177,0)+INDEX($BD$13:$BL$162,BP3177,0))/100))),0)</f>
        <v/>
      </c>
      <c r="BT3177">
        <f>IF(AND(3164&lt;$U$9,$W$5),BQ3177*1000000-MIN(BR3177,999)*1000+BS3177-3164/100000,-1000000000-3164)</f>
        <v/>
      </c>
    </row>
    <row r="3178">
      <c r="BN3178">
        <f>IF(3165&lt;$U$9,INT(3165/($U$7*$U$8))+1,1)</f>
        <v/>
      </c>
      <c r="BO3178">
        <f>IF(3165&lt;$U$9,MOD(INT(3165/$U$8),$U$7)+1,1)</f>
        <v/>
      </c>
      <c r="BP3178">
        <f>IF(3165&lt;$U$9,MOD(3165,$U$8)+1,1)</f>
        <v/>
      </c>
      <c r="BQ3178">
        <f>IF(3165&lt;$U$9,SUMPRODUCT(($D$10:$L$10&lt;&gt;"")*(($D$9:$L$9+INT(($S$12:$AA$12+INDEX($AJ$13:$AR$162,BN3178,0)+INDEX($AT$13:$BB$162,BO3178,0)+INDEX($BD$13:$BL$162,BP3178,0))/100))&gt;=$D$10:$L$10)),0)</f>
        <v/>
      </c>
      <c r="BR3178">
        <f>IF(3165&lt;$U$9,SUMPRODUCT(($D$10:$L$10&lt;&gt;"")*(($D$10:$L$10-($D$9:$L$9+INT(($S$12:$AA$12+INDEX($AJ$13:$AR$162,BN3178,0)+INDEX($AT$13:$BB$162,BO3178,0)+INDEX($BD$13:$BL$162,BP3178,0))/100)))&gt;0)*($D$10:$L$10-($D$9:$L$9+INT(($S$12:$AA$12+INDEX($AJ$13:$AR$162,BN3178,0)+INDEX($AT$13:$BB$162,BO3178,0)+INDEX($BD$13:$BL$162,BP3178,0))/100)))),0)</f>
        <v/>
      </c>
      <c r="BS3178">
        <f>IF(3165&lt;$U$9,SUMPRODUCT(($D$9:$L$9+INT(($S$12:$AA$12+INDEX($AJ$13:$AR$162,BN3178,0)+INDEX($AT$13:$BB$162,BO3178,0)+INDEX($BD$13:$BL$162,BP3178,0))/100))),0)</f>
        <v/>
      </c>
      <c r="BT3178">
        <f>IF(AND(3165&lt;$U$9,$W$5),BQ3178*1000000-MIN(BR3178,999)*1000+BS3178-3165/100000,-1000000000-3165)</f>
        <v/>
      </c>
    </row>
    <row r="3179">
      <c r="BN3179">
        <f>IF(3166&lt;$U$9,INT(3166/($U$7*$U$8))+1,1)</f>
        <v/>
      </c>
      <c r="BO3179">
        <f>IF(3166&lt;$U$9,MOD(INT(3166/$U$8),$U$7)+1,1)</f>
        <v/>
      </c>
      <c r="BP3179">
        <f>IF(3166&lt;$U$9,MOD(3166,$U$8)+1,1)</f>
        <v/>
      </c>
      <c r="BQ3179">
        <f>IF(3166&lt;$U$9,SUMPRODUCT(($D$10:$L$10&lt;&gt;"")*(($D$9:$L$9+INT(($S$12:$AA$12+INDEX($AJ$13:$AR$162,BN3179,0)+INDEX($AT$13:$BB$162,BO3179,0)+INDEX($BD$13:$BL$162,BP3179,0))/100))&gt;=$D$10:$L$10)),0)</f>
        <v/>
      </c>
      <c r="BR3179">
        <f>IF(3166&lt;$U$9,SUMPRODUCT(($D$10:$L$10&lt;&gt;"")*(($D$10:$L$10-($D$9:$L$9+INT(($S$12:$AA$12+INDEX($AJ$13:$AR$162,BN3179,0)+INDEX($AT$13:$BB$162,BO3179,0)+INDEX($BD$13:$BL$162,BP3179,0))/100)))&gt;0)*($D$10:$L$10-($D$9:$L$9+INT(($S$12:$AA$12+INDEX($AJ$13:$AR$162,BN3179,0)+INDEX($AT$13:$BB$162,BO3179,0)+INDEX($BD$13:$BL$162,BP3179,0))/100)))),0)</f>
        <v/>
      </c>
      <c r="BS3179">
        <f>IF(3166&lt;$U$9,SUMPRODUCT(($D$9:$L$9+INT(($S$12:$AA$12+INDEX($AJ$13:$AR$162,BN3179,0)+INDEX($AT$13:$BB$162,BO3179,0)+INDEX($BD$13:$BL$162,BP3179,0))/100))),0)</f>
        <v/>
      </c>
      <c r="BT3179">
        <f>IF(AND(3166&lt;$U$9,$W$5),BQ3179*1000000-MIN(BR3179,999)*1000+BS3179-3166/100000,-1000000000-3166)</f>
        <v/>
      </c>
    </row>
    <row r="3180">
      <c r="BN3180">
        <f>IF(3167&lt;$U$9,INT(3167/($U$7*$U$8))+1,1)</f>
        <v/>
      </c>
      <c r="BO3180">
        <f>IF(3167&lt;$U$9,MOD(INT(3167/$U$8),$U$7)+1,1)</f>
        <v/>
      </c>
      <c r="BP3180">
        <f>IF(3167&lt;$U$9,MOD(3167,$U$8)+1,1)</f>
        <v/>
      </c>
      <c r="BQ3180">
        <f>IF(3167&lt;$U$9,SUMPRODUCT(($D$10:$L$10&lt;&gt;"")*(($D$9:$L$9+INT(($S$12:$AA$12+INDEX($AJ$13:$AR$162,BN3180,0)+INDEX($AT$13:$BB$162,BO3180,0)+INDEX($BD$13:$BL$162,BP3180,0))/100))&gt;=$D$10:$L$10)),0)</f>
        <v/>
      </c>
      <c r="BR3180">
        <f>IF(3167&lt;$U$9,SUMPRODUCT(($D$10:$L$10&lt;&gt;"")*(($D$10:$L$10-($D$9:$L$9+INT(($S$12:$AA$12+INDEX($AJ$13:$AR$162,BN3180,0)+INDEX($AT$13:$BB$162,BO3180,0)+INDEX($BD$13:$BL$162,BP3180,0))/100)))&gt;0)*($D$10:$L$10-($D$9:$L$9+INT(($S$12:$AA$12+INDEX($AJ$13:$AR$162,BN3180,0)+INDEX($AT$13:$BB$162,BO3180,0)+INDEX($BD$13:$BL$162,BP3180,0))/100)))),0)</f>
        <v/>
      </c>
      <c r="BS3180">
        <f>IF(3167&lt;$U$9,SUMPRODUCT(($D$9:$L$9+INT(($S$12:$AA$12+INDEX($AJ$13:$AR$162,BN3180,0)+INDEX($AT$13:$BB$162,BO3180,0)+INDEX($BD$13:$BL$162,BP3180,0))/100))),0)</f>
        <v/>
      </c>
      <c r="BT3180">
        <f>IF(AND(3167&lt;$U$9,$W$5),BQ3180*1000000-MIN(BR3180,999)*1000+BS3180-3167/100000,-1000000000-3167)</f>
        <v/>
      </c>
    </row>
    <row r="3181">
      <c r="BN3181">
        <f>IF(3168&lt;$U$9,INT(3168/($U$7*$U$8))+1,1)</f>
        <v/>
      </c>
      <c r="BO3181">
        <f>IF(3168&lt;$U$9,MOD(INT(3168/$U$8),$U$7)+1,1)</f>
        <v/>
      </c>
      <c r="BP3181">
        <f>IF(3168&lt;$U$9,MOD(3168,$U$8)+1,1)</f>
        <v/>
      </c>
      <c r="BQ3181">
        <f>IF(3168&lt;$U$9,SUMPRODUCT(($D$10:$L$10&lt;&gt;"")*(($D$9:$L$9+INT(($S$12:$AA$12+INDEX($AJ$13:$AR$162,BN3181,0)+INDEX($AT$13:$BB$162,BO3181,0)+INDEX($BD$13:$BL$162,BP3181,0))/100))&gt;=$D$10:$L$10)),0)</f>
        <v/>
      </c>
      <c r="BR3181">
        <f>IF(3168&lt;$U$9,SUMPRODUCT(($D$10:$L$10&lt;&gt;"")*(($D$10:$L$10-($D$9:$L$9+INT(($S$12:$AA$12+INDEX($AJ$13:$AR$162,BN3181,0)+INDEX($AT$13:$BB$162,BO3181,0)+INDEX($BD$13:$BL$162,BP3181,0))/100)))&gt;0)*($D$10:$L$10-($D$9:$L$9+INT(($S$12:$AA$12+INDEX($AJ$13:$AR$162,BN3181,0)+INDEX($AT$13:$BB$162,BO3181,0)+INDEX($BD$13:$BL$162,BP3181,0))/100)))),0)</f>
        <v/>
      </c>
      <c r="BS3181">
        <f>IF(3168&lt;$U$9,SUMPRODUCT(($D$9:$L$9+INT(($S$12:$AA$12+INDEX($AJ$13:$AR$162,BN3181,0)+INDEX($AT$13:$BB$162,BO3181,0)+INDEX($BD$13:$BL$162,BP3181,0))/100))),0)</f>
        <v/>
      </c>
      <c r="BT3181">
        <f>IF(AND(3168&lt;$U$9,$W$5),BQ3181*1000000-MIN(BR3181,999)*1000+BS3181-3168/100000,-1000000000-3168)</f>
        <v/>
      </c>
    </row>
    <row r="3182">
      <c r="BN3182">
        <f>IF(3169&lt;$U$9,INT(3169/($U$7*$U$8))+1,1)</f>
        <v/>
      </c>
      <c r="BO3182">
        <f>IF(3169&lt;$U$9,MOD(INT(3169/$U$8),$U$7)+1,1)</f>
        <v/>
      </c>
      <c r="BP3182">
        <f>IF(3169&lt;$U$9,MOD(3169,$U$8)+1,1)</f>
        <v/>
      </c>
      <c r="BQ3182">
        <f>IF(3169&lt;$U$9,SUMPRODUCT(($D$10:$L$10&lt;&gt;"")*(($D$9:$L$9+INT(($S$12:$AA$12+INDEX($AJ$13:$AR$162,BN3182,0)+INDEX($AT$13:$BB$162,BO3182,0)+INDEX($BD$13:$BL$162,BP3182,0))/100))&gt;=$D$10:$L$10)),0)</f>
        <v/>
      </c>
      <c r="BR3182">
        <f>IF(3169&lt;$U$9,SUMPRODUCT(($D$10:$L$10&lt;&gt;"")*(($D$10:$L$10-($D$9:$L$9+INT(($S$12:$AA$12+INDEX($AJ$13:$AR$162,BN3182,0)+INDEX($AT$13:$BB$162,BO3182,0)+INDEX($BD$13:$BL$162,BP3182,0))/100)))&gt;0)*($D$10:$L$10-($D$9:$L$9+INT(($S$12:$AA$12+INDEX($AJ$13:$AR$162,BN3182,0)+INDEX($AT$13:$BB$162,BO3182,0)+INDEX($BD$13:$BL$162,BP3182,0))/100)))),0)</f>
        <v/>
      </c>
      <c r="BS3182">
        <f>IF(3169&lt;$U$9,SUMPRODUCT(($D$9:$L$9+INT(($S$12:$AA$12+INDEX($AJ$13:$AR$162,BN3182,0)+INDEX($AT$13:$BB$162,BO3182,0)+INDEX($BD$13:$BL$162,BP3182,0))/100))),0)</f>
        <v/>
      </c>
      <c r="BT3182">
        <f>IF(AND(3169&lt;$U$9,$W$5),BQ3182*1000000-MIN(BR3182,999)*1000+BS3182-3169/100000,-1000000000-3169)</f>
        <v/>
      </c>
    </row>
    <row r="3183">
      <c r="BN3183">
        <f>IF(3170&lt;$U$9,INT(3170/($U$7*$U$8))+1,1)</f>
        <v/>
      </c>
      <c r="BO3183">
        <f>IF(3170&lt;$U$9,MOD(INT(3170/$U$8),$U$7)+1,1)</f>
        <v/>
      </c>
      <c r="BP3183">
        <f>IF(3170&lt;$U$9,MOD(3170,$U$8)+1,1)</f>
        <v/>
      </c>
      <c r="BQ3183">
        <f>IF(3170&lt;$U$9,SUMPRODUCT(($D$10:$L$10&lt;&gt;"")*(($D$9:$L$9+INT(($S$12:$AA$12+INDEX($AJ$13:$AR$162,BN3183,0)+INDEX($AT$13:$BB$162,BO3183,0)+INDEX($BD$13:$BL$162,BP3183,0))/100))&gt;=$D$10:$L$10)),0)</f>
        <v/>
      </c>
      <c r="BR3183">
        <f>IF(3170&lt;$U$9,SUMPRODUCT(($D$10:$L$10&lt;&gt;"")*(($D$10:$L$10-($D$9:$L$9+INT(($S$12:$AA$12+INDEX($AJ$13:$AR$162,BN3183,0)+INDEX($AT$13:$BB$162,BO3183,0)+INDEX($BD$13:$BL$162,BP3183,0))/100)))&gt;0)*($D$10:$L$10-($D$9:$L$9+INT(($S$12:$AA$12+INDEX($AJ$13:$AR$162,BN3183,0)+INDEX($AT$13:$BB$162,BO3183,0)+INDEX($BD$13:$BL$162,BP3183,0))/100)))),0)</f>
        <v/>
      </c>
      <c r="BS3183">
        <f>IF(3170&lt;$U$9,SUMPRODUCT(($D$9:$L$9+INT(($S$12:$AA$12+INDEX($AJ$13:$AR$162,BN3183,0)+INDEX($AT$13:$BB$162,BO3183,0)+INDEX($BD$13:$BL$162,BP3183,0))/100))),0)</f>
        <v/>
      </c>
      <c r="BT3183">
        <f>IF(AND(3170&lt;$U$9,$W$5),BQ3183*1000000-MIN(BR3183,999)*1000+BS3183-3170/100000,-1000000000-3170)</f>
        <v/>
      </c>
    </row>
    <row r="3184">
      <c r="BN3184">
        <f>IF(3171&lt;$U$9,INT(3171/($U$7*$U$8))+1,1)</f>
        <v/>
      </c>
      <c r="BO3184">
        <f>IF(3171&lt;$U$9,MOD(INT(3171/$U$8),$U$7)+1,1)</f>
        <v/>
      </c>
      <c r="BP3184">
        <f>IF(3171&lt;$U$9,MOD(3171,$U$8)+1,1)</f>
        <v/>
      </c>
      <c r="BQ3184">
        <f>IF(3171&lt;$U$9,SUMPRODUCT(($D$10:$L$10&lt;&gt;"")*(($D$9:$L$9+INT(($S$12:$AA$12+INDEX($AJ$13:$AR$162,BN3184,0)+INDEX($AT$13:$BB$162,BO3184,0)+INDEX($BD$13:$BL$162,BP3184,0))/100))&gt;=$D$10:$L$10)),0)</f>
        <v/>
      </c>
      <c r="BR3184">
        <f>IF(3171&lt;$U$9,SUMPRODUCT(($D$10:$L$10&lt;&gt;"")*(($D$10:$L$10-($D$9:$L$9+INT(($S$12:$AA$12+INDEX($AJ$13:$AR$162,BN3184,0)+INDEX($AT$13:$BB$162,BO3184,0)+INDEX($BD$13:$BL$162,BP3184,0))/100)))&gt;0)*($D$10:$L$10-($D$9:$L$9+INT(($S$12:$AA$12+INDEX($AJ$13:$AR$162,BN3184,0)+INDEX($AT$13:$BB$162,BO3184,0)+INDEX($BD$13:$BL$162,BP3184,0))/100)))),0)</f>
        <v/>
      </c>
      <c r="BS3184">
        <f>IF(3171&lt;$U$9,SUMPRODUCT(($D$9:$L$9+INT(($S$12:$AA$12+INDEX($AJ$13:$AR$162,BN3184,0)+INDEX($AT$13:$BB$162,BO3184,0)+INDEX($BD$13:$BL$162,BP3184,0))/100))),0)</f>
        <v/>
      </c>
      <c r="BT3184">
        <f>IF(AND(3171&lt;$U$9,$W$5),BQ3184*1000000-MIN(BR3184,999)*1000+BS3184-3171/100000,-1000000000-3171)</f>
        <v/>
      </c>
    </row>
    <row r="3185">
      <c r="BN3185">
        <f>IF(3172&lt;$U$9,INT(3172/($U$7*$U$8))+1,1)</f>
        <v/>
      </c>
      <c r="BO3185">
        <f>IF(3172&lt;$U$9,MOD(INT(3172/$U$8),$U$7)+1,1)</f>
        <v/>
      </c>
      <c r="BP3185">
        <f>IF(3172&lt;$U$9,MOD(3172,$U$8)+1,1)</f>
        <v/>
      </c>
      <c r="BQ3185">
        <f>IF(3172&lt;$U$9,SUMPRODUCT(($D$10:$L$10&lt;&gt;"")*(($D$9:$L$9+INT(($S$12:$AA$12+INDEX($AJ$13:$AR$162,BN3185,0)+INDEX($AT$13:$BB$162,BO3185,0)+INDEX($BD$13:$BL$162,BP3185,0))/100))&gt;=$D$10:$L$10)),0)</f>
        <v/>
      </c>
      <c r="BR3185">
        <f>IF(3172&lt;$U$9,SUMPRODUCT(($D$10:$L$10&lt;&gt;"")*(($D$10:$L$10-($D$9:$L$9+INT(($S$12:$AA$12+INDEX($AJ$13:$AR$162,BN3185,0)+INDEX($AT$13:$BB$162,BO3185,0)+INDEX($BD$13:$BL$162,BP3185,0))/100)))&gt;0)*($D$10:$L$10-($D$9:$L$9+INT(($S$12:$AA$12+INDEX($AJ$13:$AR$162,BN3185,0)+INDEX($AT$13:$BB$162,BO3185,0)+INDEX($BD$13:$BL$162,BP3185,0))/100)))),0)</f>
        <v/>
      </c>
      <c r="BS3185">
        <f>IF(3172&lt;$U$9,SUMPRODUCT(($D$9:$L$9+INT(($S$12:$AA$12+INDEX($AJ$13:$AR$162,BN3185,0)+INDEX($AT$13:$BB$162,BO3185,0)+INDEX($BD$13:$BL$162,BP3185,0))/100))),0)</f>
        <v/>
      </c>
      <c r="BT3185">
        <f>IF(AND(3172&lt;$U$9,$W$5),BQ3185*1000000-MIN(BR3185,999)*1000+BS3185-3172/100000,-1000000000-3172)</f>
        <v/>
      </c>
    </row>
    <row r="3186">
      <c r="BN3186">
        <f>IF(3173&lt;$U$9,INT(3173/($U$7*$U$8))+1,1)</f>
        <v/>
      </c>
      <c r="BO3186">
        <f>IF(3173&lt;$U$9,MOD(INT(3173/$U$8),$U$7)+1,1)</f>
        <v/>
      </c>
      <c r="BP3186">
        <f>IF(3173&lt;$U$9,MOD(3173,$U$8)+1,1)</f>
        <v/>
      </c>
      <c r="BQ3186">
        <f>IF(3173&lt;$U$9,SUMPRODUCT(($D$10:$L$10&lt;&gt;"")*(($D$9:$L$9+INT(($S$12:$AA$12+INDEX($AJ$13:$AR$162,BN3186,0)+INDEX($AT$13:$BB$162,BO3186,0)+INDEX($BD$13:$BL$162,BP3186,0))/100))&gt;=$D$10:$L$10)),0)</f>
        <v/>
      </c>
      <c r="BR3186">
        <f>IF(3173&lt;$U$9,SUMPRODUCT(($D$10:$L$10&lt;&gt;"")*(($D$10:$L$10-($D$9:$L$9+INT(($S$12:$AA$12+INDEX($AJ$13:$AR$162,BN3186,0)+INDEX($AT$13:$BB$162,BO3186,0)+INDEX($BD$13:$BL$162,BP3186,0))/100)))&gt;0)*($D$10:$L$10-($D$9:$L$9+INT(($S$12:$AA$12+INDEX($AJ$13:$AR$162,BN3186,0)+INDEX($AT$13:$BB$162,BO3186,0)+INDEX($BD$13:$BL$162,BP3186,0))/100)))),0)</f>
        <v/>
      </c>
      <c r="BS3186">
        <f>IF(3173&lt;$U$9,SUMPRODUCT(($D$9:$L$9+INT(($S$12:$AA$12+INDEX($AJ$13:$AR$162,BN3186,0)+INDEX($AT$13:$BB$162,BO3186,0)+INDEX($BD$13:$BL$162,BP3186,0))/100))),0)</f>
        <v/>
      </c>
      <c r="BT3186">
        <f>IF(AND(3173&lt;$U$9,$W$5),BQ3186*1000000-MIN(BR3186,999)*1000+BS3186-3173/100000,-1000000000-3173)</f>
        <v/>
      </c>
    </row>
    <row r="3187">
      <c r="BN3187">
        <f>IF(3174&lt;$U$9,INT(3174/($U$7*$U$8))+1,1)</f>
        <v/>
      </c>
      <c r="BO3187">
        <f>IF(3174&lt;$U$9,MOD(INT(3174/$U$8),$U$7)+1,1)</f>
        <v/>
      </c>
      <c r="BP3187">
        <f>IF(3174&lt;$U$9,MOD(3174,$U$8)+1,1)</f>
        <v/>
      </c>
      <c r="BQ3187">
        <f>IF(3174&lt;$U$9,SUMPRODUCT(($D$10:$L$10&lt;&gt;"")*(($D$9:$L$9+INT(($S$12:$AA$12+INDEX($AJ$13:$AR$162,BN3187,0)+INDEX($AT$13:$BB$162,BO3187,0)+INDEX($BD$13:$BL$162,BP3187,0))/100))&gt;=$D$10:$L$10)),0)</f>
        <v/>
      </c>
      <c r="BR3187">
        <f>IF(3174&lt;$U$9,SUMPRODUCT(($D$10:$L$10&lt;&gt;"")*(($D$10:$L$10-($D$9:$L$9+INT(($S$12:$AA$12+INDEX($AJ$13:$AR$162,BN3187,0)+INDEX($AT$13:$BB$162,BO3187,0)+INDEX($BD$13:$BL$162,BP3187,0))/100)))&gt;0)*($D$10:$L$10-($D$9:$L$9+INT(($S$12:$AA$12+INDEX($AJ$13:$AR$162,BN3187,0)+INDEX($AT$13:$BB$162,BO3187,0)+INDEX($BD$13:$BL$162,BP3187,0))/100)))),0)</f>
        <v/>
      </c>
      <c r="BS3187">
        <f>IF(3174&lt;$U$9,SUMPRODUCT(($D$9:$L$9+INT(($S$12:$AA$12+INDEX($AJ$13:$AR$162,BN3187,0)+INDEX($AT$13:$BB$162,BO3187,0)+INDEX($BD$13:$BL$162,BP3187,0))/100))),0)</f>
        <v/>
      </c>
      <c r="BT3187">
        <f>IF(AND(3174&lt;$U$9,$W$5),BQ3187*1000000-MIN(BR3187,999)*1000+BS3187-3174/100000,-1000000000-3174)</f>
        <v/>
      </c>
    </row>
    <row r="3188">
      <c r="BN3188">
        <f>IF(3175&lt;$U$9,INT(3175/($U$7*$U$8))+1,1)</f>
        <v/>
      </c>
      <c r="BO3188">
        <f>IF(3175&lt;$U$9,MOD(INT(3175/$U$8),$U$7)+1,1)</f>
        <v/>
      </c>
      <c r="BP3188">
        <f>IF(3175&lt;$U$9,MOD(3175,$U$8)+1,1)</f>
        <v/>
      </c>
      <c r="BQ3188">
        <f>IF(3175&lt;$U$9,SUMPRODUCT(($D$10:$L$10&lt;&gt;"")*(($D$9:$L$9+INT(($S$12:$AA$12+INDEX($AJ$13:$AR$162,BN3188,0)+INDEX($AT$13:$BB$162,BO3188,0)+INDEX($BD$13:$BL$162,BP3188,0))/100))&gt;=$D$10:$L$10)),0)</f>
        <v/>
      </c>
      <c r="BR3188">
        <f>IF(3175&lt;$U$9,SUMPRODUCT(($D$10:$L$10&lt;&gt;"")*(($D$10:$L$10-($D$9:$L$9+INT(($S$12:$AA$12+INDEX($AJ$13:$AR$162,BN3188,0)+INDEX($AT$13:$BB$162,BO3188,0)+INDEX($BD$13:$BL$162,BP3188,0))/100)))&gt;0)*($D$10:$L$10-($D$9:$L$9+INT(($S$12:$AA$12+INDEX($AJ$13:$AR$162,BN3188,0)+INDEX($AT$13:$BB$162,BO3188,0)+INDEX($BD$13:$BL$162,BP3188,0))/100)))),0)</f>
        <v/>
      </c>
      <c r="BS3188">
        <f>IF(3175&lt;$U$9,SUMPRODUCT(($D$9:$L$9+INT(($S$12:$AA$12+INDEX($AJ$13:$AR$162,BN3188,0)+INDEX($AT$13:$BB$162,BO3188,0)+INDEX($BD$13:$BL$162,BP3188,0))/100))),0)</f>
        <v/>
      </c>
      <c r="BT3188">
        <f>IF(AND(3175&lt;$U$9,$W$5),BQ3188*1000000-MIN(BR3188,999)*1000+BS3188-3175/100000,-1000000000-3175)</f>
        <v/>
      </c>
    </row>
    <row r="3189">
      <c r="BN3189">
        <f>IF(3176&lt;$U$9,INT(3176/($U$7*$U$8))+1,1)</f>
        <v/>
      </c>
      <c r="BO3189">
        <f>IF(3176&lt;$U$9,MOD(INT(3176/$U$8),$U$7)+1,1)</f>
        <v/>
      </c>
      <c r="BP3189">
        <f>IF(3176&lt;$U$9,MOD(3176,$U$8)+1,1)</f>
        <v/>
      </c>
      <c r="BQ3189">
        <f>IF(3176&lt;$U$9,SUMPRODUCT(($D$10:$L$10&lt;&gt;"")*(($D$9:$L$9+INT(($S$12:$AA$12+INDEX($AJ$13:$AR$162,BN3189,0)+INDEX($AT$13:$BB$162,BO3189,0)+INDEX($BD$13:$BL$162,BP3189,0))/100))&gt;=$D$10:$L$10)),0)</f>
        <v/>
      </c>
      <c r="BR3189">
        <f>IF(3176&lt;$U$9,SUMPRODUCT(($D$10:$L$10&lt;&gt;"")*(($D$10:$L$10-($D$9:$L$9+INT(($S$12:$AA$12+INDEX($AJ$13:$AR$162,BN3189,0)+INDEX($AT$13:$BB$162,BO3189,0)+INDEX($BD$13:$BL$162,BP3189,0))/100)))&gt;0)*($D$10:$L$10-($D$9:$L$9+INT(($S$12:$AA$12+INDEX($AJ$13:$AR$162,BN3189,0)+INDEX($AT$13:$BB$162,BO3189,0)+INDEX($BD$13:$BL$162,BP3189,0))/100)))),0)</f>
        <v/>
      </c>
      <c r="BS3189">
        <f>IF(3176&lt;$U$9,SUMPRODUCT(($D$9:$L$9+INT(($S$12:$AA$12+INDEX($AJ$13:$AR$162,BN3189,0)+INDEX($AT$13:$BB$162,BO3189,0)+INDEX($BD$13:$BL$162,BP3189,0))/100))),0)</f>
        <v/>
      </c>
      <c r="BT3189">
        <f>IF(AND(3176&lt;$U$9,$W$5),BQ3189*1000000-MIN(BR3189,999)*1000+BS3189-3176/100000,-1000000000-3176)</f>
        <v/>
      </c>
    </row>
    <row r="3190">
      <c r="BN3190">
        <f>IF(3177&lt;$U$9,INT(3177/($U$7*$U$8))+1,1)</f>
        <v/>
      </c>
      <c r="BO3190">
        <f>IF(3177&lt;$U$9,MOD(INT(3177/$U$8),$U$7)+1,1)</f>
        <v/>
      </c>
      <c r="BP3190">
        <f>IF(3177&lt;$U$9,MOD(3177,$U$8)+1,1)</f>
        <v/>
      </c>
      <c r="BQ3190">
        <f>IF(3177&lt;$U$9,SUMPRODUCT(($D$10:$L$10&lt;&gt;"")*(($D$9:$L$9+INT(($S$12:$AA$12+INDEX($AJ$13:$AR$162,BN3190,0)+INDEX($AT$13:$BB$162,BO3190,0)+INDEX($BD$13:$BL$162,BP3190,0))/100))&gt;=$D$10:$L$10)),0)</f>
        <v/>
      </c>
      <c r="BR3190">
        <f>IF(3177&lt;$U$9,SUMPRODUCT(($D$10:$L$10&lt;&gt;"")*(($D$10:$L$10-($D$9:$L$9+INT(($S$12:$AA$12+INDEX($AJ$13:$AR$162,BN3190,0)+INDEX($AT$13:$BB$162,BO3190,0)+INDEX($BD$13:$BL$162,BP3190,0))/100)))&gt;0)*($D$10:$L$10-($D$9:$L$9+INT(($S$12:$AA$12+INDEX($AJ$13:$AR$162,BN3190,0)+INDEX($AT$13:$BB$162,BO3190,0)+INDEX($BD$13:$BL$162,BP3190,0))/100)))),0)</f>
        <v/>
      </c>
      <c r="BS3190">
        <f>IF(3177&lt;$U$9,SUMPRODUCT(($D$9:$L$9+INT(($S$12:$AA$12+INDEX($AJ$13:$AR$162,BN3190,0)+INDEX($AT$13:$BB$162,BO3190,0)+INDEX($BD$13:$BL$162,BP3190,0))/100))),0)</f>
        <v/>
      </c>
      <c r="BT3190">
        <f>IF(AND(3177&lt;$U$9,$W$5),BQ3190*1000000-MIN(BR3190,999)*1000+BS3190-3177/100000,-1000000000-3177)</f>
        <v/>
      </c>
    </row>
    <row r="3191">
      <c r="BN3191">
        <f>IF(3178&lt;$U$9,INT(3178/($U$7*$U$8))+1,1)</f>
        <v/>
      </c>
      <c r="BO3191">
        <f>IF(3178&lt;$U$9,MOD(INT(3178/$U$8),$U$7)+1,1)</f>
        <v/>
      </c>
      <c r="BP3191">
        <f>IF(3178&lt;$U$9,MOD(3178,$U$8)+1,1)</f>
        <v/>
      </c>
      <c r="BQ3191">
        <f>IF(3178&lt;$U$9,SUMPRODUCT(($D$10:$L$10&lt;&gt;"")*(($D$9:$L$9+INT(($S$12:$AA$12+INDEX($AJ$13:$AR$162,BN3191,0)+INDEX($AT$13:$BB$162,BO3191,0)+INDEX($BD$13:$BL$162,BP3191,0))/100))&gt;=$D$10:$L$10)),0)</f>
        <v/>
      </c>
      <c r="BR3191">
        <f>IF(3178&lt;$U$9,SUMPRODUCT(($D$10:$L$10&lt;&gt;"")*(($D$10:$L$10-($D$9:$L$9+INT(($S$12:$AA$12+INDEX($AJ$13:$AR$162,BN3191,0)+INDEX($AT$13:$BB$162,BO3191,0)+INDEX($BD$13:$BL$162,BP3191,0))/100)))&gt;0)*($D$10:$L$10-($D$9:$L$9+INT(($S$12:$AA$12+INDEX($AJ$13:$AR$162,BN3191,0)+INDEX($AT$13:$BB$162,BO3191,0)+INDEX($BD$13:$BL$162,BP3191,0))/100)))),0)</f>
        <v/>
      </c>
      <c r="BS3191">
        <f>IF(3178&lt;$U$9,SUMPRODUCT(($D$9:$L$9+INT(($S$12:$AA$12+INDEX($AJ$13:$AR$162,BN3191,0)+INDEX($AT$13:$BB$162,BO3191,0)+INDEX($BD$13:$BL$162,BP3191,0))/100))),0)</f>
        <v/>
      </c>
      <c r="BT3191">
        <f>IF(AND(3178&lt;$U$9,$W$5),BQ3191*1000000-MIN(BR3191,999)*1000+BS3191-3178/100000,-1000000000-3178)</f>
        <v/>
      </c>
    </row>
    <row r="3192">
      <c r="BN3192">
        <f>IF(3179&lt;$U$9,INT(3179/($U$7*$U$8))+1,1)</f>
        <v/>
      </c>
      <c r="BO3192">
        <f>IF(3179&lt;$U$9,MOD(INT(3179/$U$8),$U$7)+1,1)</f>
        <v/>
      </c>
      <c r="BP3192">
        <f>IF(3179&lt;$U$9,MOD(3179,$U$8)+1,1)</f>
        <v/>
      </c>
      <c r="BQ3192">
        <f>IF(3179&lt;$U$9,SUMPRODUCT(($D$10:$L$10&lt;&gt;"")*(($D$9:$L$9+INT(($S$12:$AA$12+INDEX($AJ$13:$AR$162,BN3192,0)+INDEX($AT$13:$BB$162,BO3192,0)+INDEX($BD$13:$BL$162,BP3192,0))/100))&gt;=$D$10:$L$10)),0)</f>
        <v/>
      </c>
      <c r="BR3192">
        <f>IF(3179&lt;$U$9,SUMPRODUCT(($D$10:$L$10&lt;&gt;"")*(($D$10:$L$10-($D$9:$L$9+INT(($S$12:$AA$12+INDEX($AJ$13:$AR$162,BN3192,0)+INDEX($AT$13:$BB$162,BO3192,0)+INDEX($BD$13:$BL$162,BP3192,0))/100)))&gt;0)*($D$10:$L$10-($D$9:$L$9+INT(($S$12:$AA$12+INDEX($AJ$13:$AR$162,BN3192,0)+INDEX($AT$13:$BB$162,BO3192,0)+INDEX($BD$13:$BL$162,BP3192,0))/100)))),0)</f>
        <v/>
      </c>
      <c r="BS3192">
        <f>IF(3179&lt;$U$9,SUMPRODUCT(($D$9:$L$9+INT(($S$12:$AA$12+INDEX($AJ$13:$AR$162,BN3192,0)+INDEX($AT$13:$BB$162,BO3192,0)+INDEX($BD$13:$BL$162,BP3192,0))/100))),0)</f>
        <v/>
      </c>
      <c r="BT3192">
        <f>IF(AND(3179&lt;$U$9,$W$5),BQ3192*1000000-MIN(BR3192,999)*1000+BS3192-3179/100000,-1000000000-3179)</f>
        <v/>
      </c>
    </row>
    <row r="3193">
      <c r="BN3193">
        <f>IF(3180&lt;$U$9,INT(3180/($U$7*$U$8))+1,1)</f>
        <v/>
      </c>
      <c r="BO3193">
        <f>IF(3180&lt;$U$9,MOD(INT(3180/$U$8),$U$7)+1,1)</f>
        <v/>
      </c>
      <c r="BP3193">
        <f>IF(3180&lt;$U$9,MOD(3180,$U$8)+1,1)</f>
        <v/>
      </c>
      <c r="BQ3193">
        <f>IF(3180&lt;$U$9,SUMPRODUCT(($D$10:$L$10&lt;&gt;"")*(($D$9:$L$9+INT(($S$12:$AA$12+INDEX($AJ$13:$AR$162,BN3193,0)+INDEX($AT$13:$BB$162,BO3193,0)+INDEX($BD$13:$BL$162,BP3193,0))/100))&gt;=$D$10:$L$10)),0)</f>
        <v/>
      </c>
      <c r="BR3193">
        <f>IF(3180&lt;$U$9,SUMPRODUCT(($D$10:$L$10&lt;&gt;"")*(($D$10:$L$10-($D$9:$L$9+INT(($S$12:$AA$12+INDEX($AJ$13:$AR$162,BN3193,0)+INDEX($AT$13:$BB$162,BO3193,0)+INDEX($BD$13:$BL$162,BP3193,0))/100)))&gt;0)*($D$10:$L$10-($D$9:$L$9+INT(($S$12:$AA$12+INDEX($AJ$13:$AR$162,BN3193,0)+INDEX($AT$13:$BB$162,BO3193,0)+INDEX($BD$13:$BL$162,BP3193,0))/100)))),0)</f>
        <v/>
      </c>
      <c r="BS3193">
        <f>IF(3180&lt;$U$9,SUMPRODUCT(($D$9:$L$9+INT(($S$12:$AA$12+INDEX($AJ$13:$AR$162,BN3193,0)+INDEX($AT$13:$BB$162,BO3193,0)+INDEX($BD$13:$BL$162,BP3193,0))/100))),0)</f>
        <v/>
      </c>
      <c r="BT3193">
        <f>IF(AND(3180&lt;$U$9,$W$5),BQ3193*1000000-MIN(BR3193,999)*1000+BS3193-3180/100000,-1000000000-3180)</f>
        <v/>
      </c>
    </row>
    <row r="3194">
      <c r="BN3194">
        <f>IF(3181&lt;$U$9,INT(3181/($U$7*$U$8))+1,1)</f>
        <v/>
      </c>
      <c r="BO3194">
        <f>IF(3181&lt;$U$9,MOD(INT(3181/$U$8),$U$7)+1,1)</f>
        <v/>
      </c>
      <c r="BP3194">
        <f>IF(3181&lt;$U$9,MOD(3181,$U$8)+1,1)</f>
        <v/>
      </c>
      <c r="BQ3194">
        <f>IF(3181&lt;$U$9,SUMPRODUCT(($D$10:$L$10&lt;&gt;"")*(($D$9:$L$9+INT(($S$12:$AA$12+INDEX($AJ$13:$AR$162,BN3194,0)+INDEX($AT$13:$BB$162,BO3194,0)+INDEX($BD$13:$BL$162,BP3194,0))/100))&gt;=$D$10:$L$10)),0)</f>
        <v/>
      </c>
      <c r="BR3194">
        <f>IF(3181&lt;$U$9,SUMPRODUCT(($D$10:$L$10&lt;&gt;"")*(($D$10:$L$10-($D$9:$L$9+INT(($S$12:$AA$12+INDEX($AJ$13:$AR$162,BN3194,0)+INDEX($AT$13:$BB$162,BO3194,0)+INDEX($BD$13:$BL$162,BP3194,0))/100)))&gt;0)*($D$10:$L$10-($D$9:$L$9+INT(($S$12:$AA$12+INDEX($AJ$13:$AR$162,BN3194,0)+INDEX($AT$13:$BB$162,BO3194,0)+INDEX($BD$13:$BL$162,BP3194,0))/100)))),0)</f>
        <v/>
      </c>
      <c r="BS3194">
        <f>IF(3181&lt;$U$9,SUMPRODUCT(($D$9:$L$9+INT(($S$12:$AA$12+INDEX($AJ$13:$AR$162,BN3194,0)+INDEX($AT$13:$BB$162,BO3194,0)+INDEX($BD$13:$BL$162,BP3194,0))/100))),0)</f>
        <v/>
      </c>
      <c r="BT3194">
        <f>IF(AND(3181&lt;$U$9,$W$5),BQ3194*1000000-MIN(BR3194,999)*1000+BS3194-3181/100000,-1000000000-3181)</f>
        <v/>
      </c>
    </row>
    <row r="3195">
      <c r="BN3195">
        <f>IF(3182&lt;$U$9,INT(3182/($U$7*$U$8))+1,1)</f>
        <v/>
      </c>
      <c r="BO3195">
        <f>IF(3182&lt;$U$9,MOD(INT(3182/$U$8),$U$7)+1,1)</f>
        <v/>
      </c>
      <c r="BP3195">
        <f>IF(3182&lt;$U$9,MOD(3182,$U$8)+1,1)</f>
        <v/>
      </c>
      <c r="BQ3195">
        <f>IF(3182&lt;$U$9,SUMPRODUCT(($D$10:$L$10&lt;&gt;"")*(($D$9:$L$9+INT(($S$12:$AA$12+INDEX($AJ$13:$AR$162,BN3195,0)+INDEX($AT$13:$BB$162,BO3195,0)+INDEX($BD$13:$BL$162,BP3195,0))/100))&gt;=$D$10:$L$10)),0)</f>
        <v/>
      </c>
      <c r="BR3195">
        <f>IF(3182&lt;$U$9,SUMPRODUCT(($D$10:$L$10&lt;&gt;"")*(($D$10:$L$10-($D$9:$L$9+INT(($S$12:$AA$12+INDEX($AJ$13:$AR$162,BN3195,0)+INDEX($AT$13:$BB$162,BO3195,0)+INDEX($BD$13:$BL$162,BP3195,0))/100)))&gt;0)*($D$10:$L$10-($D$9:$L$9+INT(($S$12:$AA$12+INDEX($AJ$13:$AR$162,BN3195,0)+INDEX($AT$13:$BB$162,BO3195,0)+INDEX($BD$13:$BL$162,BP3195,0))/100)))),0)</f>
        <v/>
      </c>
      <c r="BS3195">
        <f>IF(3182&lt;$U$9,SUMPRODUCT(($D$9:$L$9+INT(($S$12:$AA$12+INDEX($AJ$13:$AR$162,BN3195,0)+INDEX($AT$13:$BB$162,BO3195,0)+INDEX($BD$13:$BL$162,BP3195,0))/100))),0)</f>
        <v/>
      </c>
      <c r="BT3195">
        <f>IF(AND(3182&lt;$U$9,$W$5),BQ3195*1000000-MIN(BR3195,999)*1000+BS3195-3182/100000,-1000000000-3182)</f>
        <v/>
      </c>
    </row>
    <row r="3196">
      <c r="BN3196">
        <f>IF(3183&lt;$U$9,INT(3183/($U$7*$U$8))+1,1)</f>
        <v/>
      </c>
      <c r="BO3196">
        <f>IF(3183&lt;$U$9,MOD(INT(3183/$U$8),$U$7)+1,1)</f>
        <v/>
      </c>
      <c r="BP3196">
        <f>IF(3183&lt;$U$9,MOD(3183,$U$8)+1,1)</f>
        <v/>
      </c>
      <c r="BQ3196">
        <f>IF(3183&lt;$U$9,SUMPRODUCT(($D$10:$L$10&lt;&gt;"")*(($D$9:$L$9+INT(($S$12:$AA$12+INDEX($AJ$13:$AR$162,BN3196,0)+INDEX($AT$13:$BB$162,BO3196,0)+INDEX($BD$13:$BL$162,BP3196,0))/100))&gt;=$D$10:$L$10)),0)</f>
        <v/>
      </c>
      <c r="BR3196">
        <f>IF(3183&lt;$U$9,SUMPRODUCT(($D$10:$L$10&lt;&gt;"")*(($D$10:$L$10-($D$9:$L$9+INT(($S$12:$AA$12+INDEX($AJ$13:$AR$162,BN3196,0)+INDEX($AT$13:$BB$162,BO3196,0)+INDEX($BD$13:$BL$162,BP3196,0))/100)))&gt;0)*($D$10:$L$10-($D$9:$L$9+INT(($S$12:$AA$12+INDEX($AJ$13:$AR$162,BN3196,0)+INDEX($AT$13:$BB$162,BO3196,0)+INDEX($BD$13:$BL$162,BP3196,0))/100)))),0)</f>
        <v/>
      </c>
      <c r="BS3196">
        <f>IF(3183&lt;$U$9,SUMPRODUCT(($D$9:$L$9+INT(($S$12:$AA$12+INDEX($AJ$13:$AR$162,BN3196,0)+INDEX($AT$13:$BB$162,BO3196,0)+INDEX($BD$13:$BL$162,BP3196,0))/100))),0)</f>
        <v/>
      </c>
      <c r="BT3196">
        <f>IF(AND(3183&lt;$U$9,$W$5),BQ3196*1000000-MIN(BR3196,999)*1000+BS3196-3183/100000,-1000000000-3183)</f>
        <v/>
      </c>
    </row>
    <row r="3197">
      <c r="BN3197">
        <f>IF(3184&lt;$U$9,INT(3184/($U$7*$U$8))+1,1)</f>
        <v/>
      </c>
      <c r="BO3197">
        <f>IF(3184&lt;$U$9,MOD(INT(3184/$U$8),$U$7)+1,1)</f>
        <v/>
      </c>
      <c r="BP3197">
        <f>IF(3184&lt;$U$9,MOD(3184,$U$8)+1,1)</f>
        <v/>
      </c>
      <c r="BQ3197">
        <f>IF(3184&lt;$U$9,SUMPRODUCT(($D$10:$L$10&lt;&gt;"")*(($D$9:$L$9+INT(($S$12:$AA$12+INDEX($AJ$13:$AR$162,BN3197,0)+INDEX($AT$13:$BB$162,BO3197,0)+INDEX($BD$13:$BL$162,BP3197,0))/100))&gt;=$D$10:$L$10)),0)</f>
        <v/>
      </c>
      <c r="BR3197">
        <f>IF(3184&lt;$U$9,SUMPRODUCT(($D$10:$L$10&lt;&gt;"")*(($D$10:$L$10-($D$9:$L$9+INT(($S$12:$AA$12+INDEX($AJ$13:$AR$162,BN3197,0)+INDEX($AT$13:$BB$162,BO3197,0)+INDEX($BD$13:$BL$162,BP3197,0))/100)))&gt;0)*($D$10:$L$10-($D$9:$L$9+INT(($S$12:$AA$12+INDEX($AJ$13:$AR$162,BN3197,0)+INDEX($AT$13:$BB$162,BO3197,0)+INDEX($BD$13:$BL$162,BP3197,0))/100)))),0)</f>
        <v/>
      </c>
      <c r="BS3197">
        <f>IF(3184&lt;$U$9,SUMPRODUCT(($D$9:$L$9+INT(($S$12:$AA$12+INDEX($AJ$13:$AR$162,BN3197,0)+INDEX($AT$13:$BB$162,BO3197,0)+INDEX($BD$13:$BL$162,BP3197,0))/100))),0)</f>
        <v/>
      </c>
      <c r="BT3197">
        <f>IF(AND(3184&lt;$U$9,$W$5),BQ3197*1000000-MIN(BR3197,999)*1000+BS3197-3184/100000,-1000000000-3184)</f>
        <v/>
      </c>
    </row>
    <row r="3198">
      <c r="BN3198">
        <f>IF(3185&lt;$U$9,INT(3185/($U$7*$U$8))+1,1)</f>
        <v/>
      </c>
      <c r="BO3198">
        <f>IF(3185&lt;$U$9,MOD(INT(3185/$U$8),$U$7)+1,1)</f>
        <v/>
      </c>
      <c r="BP3198">
        <f>IF(3185&lt;$U$9,MOD(3185,$U$8)+1,1)</f>
        <v/>
      </c>
      <c r="BQ3198">
        <f>IF(3185&lt;$U$9,SUMPRODUCT(($D$10:$L$10&lt;&gt;"")*(($D$9:$L$9+INT(($S$12:$AA$12+INDEX($AJ$13:$AR$162,BN3198,0)+INDEX($AT$13:$BB$162,BO3198,0)+INDEX($BD$13:$BL$162,BP3198,0))/100))&gt;=$D$10:$L$10)),0)</f>
        <v/>
      </c>
      <c r="BR3198">
        <f>IF(3185&lt;$U$9,SUMPRODUCT(($D$10:$L$10&lt;&gt;"")*(($D$10:$L$10-($D$9:$L$9+INT(($S$12:$AA$12+INDEX($AJ$13:$AR$162,BN3198,0)+INDEX($AT$13:$BB$162,BO3198,0)+INDEX($BD$13:$BL$162,BP3198,0))/100)))&gt;0)*($D$10:$L$10-($D$9:$L$9+INT(($S$12:$AA$12+INDEX($AJ$13:$AR$162,BN3198,0)+INDEX($AT$13:$BB$162,BO3198,0)+INDEX($BD$13:$BL$162,BP3198,0))/100)))),0)</f>
        <v/>
      </c>
      <c r="BS3198">
        <f>IF(3185&lt;$U$9,SUMPRODUCT(($D$9:$L$9+INT(($S$12:$AA$12+INDEX($AJ$13:$AR$162,BN3198,0)+INDEX($AT$13:$BB$162,BO3198,0)+INDEX($BD$13:$BL$162,BP3198,0))/100))),0)</f>
        <v/>
      </c>
      <c r="BT3198">
        <f>IF(AND(3185&lt;$U$9,$W$5),BQ3198*1000000-MIN(BR3198,999)*1000+BS3198-3185/100000,-1000000000-3185)</f>
        <v/>
      </c>
    </row>
    <row r="3199">
      <c r="BN3199">
        <f>IF(3186&lt;$U$9,INT(3186/($U$7*$U$8))+1,1)</f>
        <v/>
      </c>
      <c r="BO3199">
        <f>IF(3186&lt;$U$9,MOD(INT(3186/$U$8),$U$7)+1,1)</f>
        <v/>
      </c>
      <c r="BP3199">
        <f>IF(3186&lt;$U$9,MOD(3186,$U$8)+1,1)</f>
        <v/>
      </c>
      <c r="BQ3199">
        <f>IF(3186&lt;$U$9,SUMPRODUCT(($D$10:$L$10&lt;&gt;"")*(($D$9:$L$9+INT(($S$12:$AA$12+INDEX($AJ$13:$AR$162,BN3199,0)+INDEX($AT$13:$BB$162,BO3199,0)+INDEX($BD$13:$BL$162,BP3199,0))/100))&gt;=$D$10:$L$10)),0)</f>
        <v/>
      </c>
      <c r="BR3199">
        <f>IF(3186&lt;$U$9,SUMPRODUCT(($D$10:$L$10&lt;&gt;"")*(($D$10:$L$10-($D$9:$L$9+INT(($S$12:$AA$12+INDEX($AJ$13:$AR$162,BN3199,0)+INDEX($AT$13:$BB$162,BO3199,0)+INDEX($BD$13:$BL$162,BP3199,0))/100)))&gt;0)*($D$10:$L$10-($D$9:$L$9+INT(($S$12:$AA$12+INDEX($AJ$13:$AR$162,BN3199,0)+INDEX($AT$13:$BB$162,BO3199,0)+INDEX($BD$13:$BL$162,BP3199,0))/100)))),0)</f>
        <v/>
      </c>
      <c r="BS3199">
        <f>IF(3186&lt;$U$9,SUMPRODUCT(($D$9:$L$9+INT(($S$12:$AA$12+INDEX($AJ$13:$AR$162,BN3199,0)+INDEX($AT$13:$BB$162,BO3199,0)+INDEX($BD$13:$BL$162,BP3199,0))/100))),0)</f>
        <v/>
      </c>
      <c r="BT3199">
        <f>IF(AND(3186&lt;$U$9,$W$5),BQ3199*1000000-MIN(BR3199,999)*1000+BS3199-3186/100000,-1000000000-3186)</f>
        <v/>
      </c>
    </row>
    <row r="3200">
      <c r="BN3200">
        <f>IF(3187&lt;$U$9,INT(3187/($U$7*$U$8))+1,1)</f>
        <v/>
      </c>
      <c r="BO3200">
        <f>IF(3187&lt;$U$9,MOD(INT(3187/$U$8),$U$7)+1,1)</f>
        <v/>
      </c>
      <c r="BP3200">
        <f>IF(3187&lt;$U$9,MOD(3187,$U$8)+1,1)</f>
        <v/>
      </c>
      <c r="BQ3200">
        <f>IF(3187&lt;$U$9,SUMPRODUCT(($D$10:$L$10&lt;&gt;"")*(($D$9:$L$9+INT(($S$12:$AA$12+INDEX($AJ$13:$AR$162,BN3200,0)+INDEX($AT$13:$BB$162,BO3200,0)+INDEX($BD$13:$BL$162,BP3200,0))/100))&gt;=$D$10:$L$10)),0)</f>
        <v/>
      </c>
      <c r="BR3200">
        <f>IF(3187&lt;$U$9,SUMPRODUCT(($D$10:$L$10&lt;&gt;"")*(($D$10:$L$10-($D$9:$L$9+INT(($S$12:$AA$12+INDEX($AJ$13:$AR$162,BN3200,0)+INDEX($AT$13:$BB$162,BO3200,0)+INDEX($BD$13:$BL$162,BP3200,0))/100)))&gt;0)*($D$10:$L$10-($D$9:$L$9+INT(($S$12:$AA$12+INDEX($AJ$13:$AR$162,BN3200,0)+INDEX($AT$13:$BB$162,BO3200,0)+INDEX($BD$13:$BL$162,BP3200,0))/100)))),0)</f>
        <v/>
      </c>
      <c r="BS3200">
        <f>IF(3187&lt;$U$9,SUMPRODUCT(($D$9:$L$9+INT(($S$12:$AA$12+INDEX($AJ$13:$AR$162,BN3200,0)+INDEX($AT$13:$BB$162,BO3200,0)+INDEX($BD$13:$BL$162,BP3200,0))/100))),0)</f>
        <v/>
      </c>
      <c r="BT3200">
        <f>IF(AND(3187&lt;$U$9,$W$5),BQ3200*1000000-MIN(BR3200,999)*1000+BS3200-3187/100000,-1000000000-3187)</f>
        <v/>
      </c>
    </row>
    <row r="3201">
      <c r="BN3201">
        <f>IF(3188&lt;$U$9,INT(3188/($U$7*$U$8))+1,1)</f>
        <v/>
      </c>
      <c r="BO3201">
        <f>IF(3188&lt;$U$9,MOD(INT(3188/$U$8),$U$7)+1,1)</f>
        <v/>
      </c>
      <c r="BP3201">
        <f>IF(3188&lt;$U$9,MOD(3188,$U$8)+1,1)</f>
        <v/>
      </c>
      <c r="BQ3201">
        <f>IF(3188&lt;$U$9,SUMPRODUCT(($D$10:$L$10&lt;&gt;"")*(($D$9:$L$9+INT(($S$12:$AA$12+INDEX($AJ$13:$AR$162,BN3201,0)+INDEX($AT$13:$BB$162,BO3201,0)+INDEX($BD$13:$BL$162,BP3201,0))/100))&gt;=$D$10:$L$10)),0)</f>
        <v/>
      </c>
      <c r="BR3201">
        <f>IF(3188&lt;$U$9,SUMPRODUCT(($D$10:$L$10&lt;&gt;"")*(($D$10:$L$10-($D$9:$L$9+INT(($S$12:$AA$12+INDEX($AJ$13:$AR$162,BN3201,0)+INDEX($AT$13:$BB$162,BO3201,0)+INDEX($BD$13:$BL$162,BP3201,0))/100)))&gt;0)*($D$10:$L$10-($D$9:$L$9+INT(($S$12:$AA$12+INDEX($AJ$13:$AR$162,BN3201,0)+INDEX($AT$13:$BB$162,BO3201,0)+INDEX($BD$13:$BL$162,BP3201,0))/100)))),0)</f>
        <v/>
      </c>
      <c r="BS3201">
        <f>IF(3188&lt;$U$9,SUMPRODUCT(($D$9:$L$9+INT(($S$12:$AA$12+INDEX($AJ$13:$AR$162,BN3201,0)+INDEX($AT$13:$BB$162,BO3201,0)+INDEX($BD$13:$BL$162,BP3201,0))/100))),0)</f>
        <v/>
      </c>
      <c r="BT3201">
        <f>IF(AND(3188&lt;$U$9,$W$5),BQ3201*1000000-MIN(BR3201,999)*1000+BS3201-3188/100000,-1000000000-3188)</f>
        <v/>
      </c>
    </row>
    <row r="3202">
      <c r="BN3202">
        <f>IF(3189&lt;$U$9,INT(3189/($U$7*$U$8))+1,1)</f>
        <v/>
      </c>
      <c r="BO3202">
        <f>IF(3189&lt;$U$9,MOD(INT(3189/$U$8),$U$7)+1,1)</f>
        <v/>
      </c>
      <c r="BP3202">
        <f>IF(3189&lt;$U$9,MOD(3189,$U$8)+1,1)</f>
        <v/>
      </c>
      <c r="BQ3202">
        <f>IF(3189&lt;$U$9,SUMPRODUCT(($D$10:$L$10&lt;&gt;"")*(($D$9:$L$9+INT(($S$12:$AA$12+INDEX($AJ$13:$AR$162,BN3202,0)+INDEX($AT$13:$BB$162,BO3202,0)+INDEX($BD$13:$BL$162,BP3202,0))/100))&gt;=$D$10:$L$10)),0)</f>
        <v/>
      </c>
      <c r="BR3202">
        <f>IF(3189&lt;$U$9,SUMPRODUCT(($D$10:$L$10&lt;&gt;"")*(($D$10:$L$10-($D$9:$L$9+INT(($S$12:$AA$12+INDEX($AJ$13:$AR$162,BN3202,0)+INDEX($AT$13:$BB$162,BO3202,0)+INDEX($BD$13:$BL$162,BP3202,0))/100)))&gt;0)*($D$10:$L$10-($D$9:$L$9+INT(($S$12:$AA$12+INDEX($AJ$13:$AR$162,BN3202,0)+INDEX($AT$13:$BB$162,BO3202,0)+INDEX($BD$13:$BL$162,BP3202,0))/100)))),0)</f>
        <v/>
      </c>
      <c r="BS3202">
        <f>IF(3189&lt;$U$9,SUMPRODUCT(($D$9:$L$9+INT(($S$12:$AA$12+INDEX($AJ$13:$AR$162,BN3202,0)+INDEX($AT$13:$BB$162,BO3202,0)+INDEX($BD$13:$BL$162,BP3202,0))/100))),0)</f>
        <v/>
      </c>
      <c r="BT3202">
        <f>IF(AND(3189&lt;$U$9,$W$5),BQ3202*1000000-MIN(BR3202,999)*1000+BS3202-3189/100000,-1000000000-3189)</f>
        <v/>
      </c>
    </row>
    <row r="3203">
      <c r="BN3203">
        <f>IF(3190&lt;$U$9,INT(3190/($U$7*$U$8))+1,1)</f>
        <v/>
      </c>
      <c r="BO3203">
        <f>IF(3190&lt;$U$9,MOD(INT(3190/$U$8),$U$7)+1,1)</f>
        <v/>
      </c>
      <c r="BP3203">
        <f>IF(3190&lt;$U$9,MOD(3190,$U$8)+1,1)</f>
        <v/>
      </c>
      <c r="BQ3203">
        <f>IF(3190&lt;$U$9,SUMPRODUCT(($D$10:$L$10&lt;&gt;"")*(($D$9:$L$9+INT(($S$12:$AA$12+INDEX($AJ$13:$AR$162,BN3203,0)+INDEX($AT$13:$BB$162,BO3203,0)+INDEX($BD$13:$BL$162,BP3203,0))/100))&gt;=$D$10:$L$10)),0)</f>
        <v/>
      </c>
      <c r="BR3203">
        <f>IF(3190&lt;$U$9,SUMPRODUCT(($D$10:$L$10&lt;&gt;"")*(($D$10:$L$10-($D$9:$L$9+INT(($S$12:$AA$12+INDEX($AJ$13:$AR$162,BN3203,0)+INDEX($AT$13:$BB$162,BO3203,0)+INDEX($BD$13:$BL$162,BP3203,0))/100)))&gt;0)*($D$10:$L$10-($D$9:$L$9+INT(($S$12:$AA$12+INDEX($AJ$13:$AR$162,BN3203,0)+INDEX($AT$13:$BB$162,BO3203,0)+INDEX($BD$13:$BL$162,BP3203,0))/100)))),0)</f>
        <v/>
      </c>
      <c r="BS3203">
        <f>IF(3190&lt;$U$9,SUMPRODUCT(($D$9:$L$9+INT(($S$12:$AA$12+INDEX($AJ$13:$AR$162,BN3203,0)+INDEX($AT$13:$BB$162,BO3203,0)+INDEX($BD$13:$BL$162,BP3203,0))/100))),0)</f>
        <v/>
      </c>
      <c r="BT3203">
        <f>IF(AND(3190&lt;$U$9,$W$5),BQ3203*1000000-MIN(BR3203,999)*1000+BS3203-3190/100000,-1000000000-3190)</f>
        <v/>
      </c>
    </row>
    <row r="3204">
      <c r="BN3204">
        <f>IF(3191&lt;$U$9,INT(3191/($U$7*$U$8))+1,1)</f>
        <v/>
      </c>
      <c r="BO3204">
        <f>IF(3191&lt;$U$9,MOD(INT(3191/$U$8),$U$7)+1,1)</f>
        <v/>
      </c>
      <c r="BP3204">
        <f>IF(3191&lt;$U$9,MOD(3191,$U$8)+1,1)</f>
        <v/>
      </c>
      <c r="BQ3204">
        <f>IF(3191&lt;$U$9,SUMPRODUCT(($D$10:$L$10&lt;&gt;"")*(($D$9:$L$9+INT(($S$12:$AA$12+INDEX($AJ$13:$AR$162,BN3204,0)+INDEX($AT$13:$BB$162,BO3204,0)+INDEX($BD$13:$BL$162,BP3204,0))/100))&gt;=$D$10:$L$10)),0)</f>
        <v/>
      </c>
      <c r="BR3204">
        <f>IF(3191&lt;$U$9,SUMPRODUCT(($D$10:$L$10&lt;&gt;"")*(($D$10:$L$10-($D$9:$L$9+INT(($S$12:$AA$12+INDEX($AJ$13:$AR$162,BN3204,0)+INDEX($AT$13:$BB$162,BO3204,0)+INDEX($BD$13:$BL$162,BP3204,0))/100)))&gt;0)*($D$10:$L$10-($D$9:$L$9+INT(($S$12:$AA$12+INDEX($AJ$13:$AR$162,BN3204,0)+INDEX($AT$13:$BB$162,BO3204,0)+INDEX($BD$13:$BL$162,BP3204,0))/100)))),0)</f>
        <v/>
      </c>
      <c r="BS3204">
        <f>IF(3191&lt;$U$9,SUMPRODUCT(($D$9:$L$9+INT(($S$12:$AA$12+INDEX($AJ$13:$AR$162,BN3204,0)+INDEX($AT$13:$BB$162,BO3204,0)+INDEX($BD$13:$BL$162,BP3204,0))/100))),0)</f>
        <v/>
      </c>
      <c r="BT3204">
        <f>IF(AND(3191&lt;$U$9,$W$5),BQ3204*1000000-MIN(BR3204,999)*1000+BS3204-3191/100000,-1000000000-3191)</f>
        <v/>
      </c>
    </row>
    <row r="3205">
      <c r="BN3205">
        <f>IF(3192&lt;$U$9,INT(3192/($U$7*$U$8))+1,1)</f>
        <v/>
      </c>
      <c r="BO3205">
        <f>IF(3192&lt;$U$9,MOD(INT(3192/$U$8),$U$7)+1,1)</f>
        <v/>
      </c>
      <c r="BP3205">
        <f>IF(3192&lt;$U$9,MOD(3192,$U$8)+1,1)</f>
        <v/>
      </c>
      <c r="BQ3205">
        <f>IF(3192&lt;$U$9,SUMPRODUCT(($D$10:$L$10&lt;&gt;"")*(($D$9:$L$9+INT(($S$12:$AA$12+INDEX($AJ$13:$AR$162,BN3205,0)+INDEX($AT$13:$BB$162,BO3205,0)+INDEX($BD$13:$BL$162,BP3205,0))/100))&gt;=$D$10:$L$10)),0)</f>
        <v/>
      </c>
      <c r="BR3205">
        <f>IF(3192&lt;$U$9,SUMPRODUCT(($D$10:$L$10&lt;&gt;"")*(($D$10:$L$10-($D$9:$L$9+INT(($S$12:$AA$12+INDEX($AJ$13:$AR$162,BN3205,0)+INDEX($AT$13:$BB$162,BO3205,0)+INDEX($BD$13:$BL$162,BP3205,0))/100)))&gt;0)*($D$10:$L$10-($D$9:$L$9+INT(($S$12:$AA$12+INDEX($AJ$13:$AR$162,BN3205,0)+INDEX($AT$13:$BB$162,BO3205,0)+INDEX($BD$13:$BL$162,BP3205,0))/100)))),0)</f>
        <v/>
      </c>
      <c r="BS3205">
        <f>IF(3192&lt;$U$9,SUMPRODUCT(($D$9:$L$9+INT(($S$12:$AA$12+INDEX($AJ$13:$AR$162,BN3205,0)+INDEX($AT$13:$BB$162,BO3205,0)+INDEX($BD$13:$BL$162,BP3205,0))/100))),0)</f>
        <v/>
      </c>
      <c r="BT3205">
        <f>IF(AND(3192&lt;$U$9,$W$5),BQ3205*1000000-MIN(BR3205,999)*1000+BS3205-3192/100000,-1000000000-3192)</f>
        <v/>
      </c>
    </row>
    <row r="3206">
      <c r="BN3206">
        <f>IF(3193&lt;$U$9,INT(3193/($U$7*$U$8))+1,1)</f>
        <v/>
      </c>
      <c r="BO3206">
        <f>IF(3193&lt;$U$9,MOD(INT(3193/$U$8),$U$7)+1,1)</f>
        <v/>
      </c>
      <c r="BP3206">
        <f>IF(3193&lt;$U$9,MOD(3193,$U$8)+1,1)</f>
        <v/>
      </c>
      <c r="BQ3206">
        <f>IF(3193&lt;$U$9,SUMPRODUCT(($D$10:$L$10&lt;&gt;"")*(($D$9:$L$9+INT(($S$12:$AA$12+INDEX($AJ$13:$AR$162,BN3206,0)+INDEX($AT$13:$BB$162,BO3206,0)+INDEX($BD$13:$BL$162,BP3206,0))/100))&gt;=$D$10:$L$10)),0)</f>
        <v/>
      </c>
      <c r="BR3206">
        <f>IF(3193&lt;$U$9,SUMPRODUCT(($D$10:$L$10&lt;&gt;"")*(($D$10:$L$10-($D$9:$L$9+INT(($S$12:$AA$12+INDEX($AJ$13:$AR$162,BN3206,0)+INDEX($AT$13:$BB$162,BO3206,0)+INDEX($BD$13:$BL$162,BP3206,0))/100)))&gt;0)*($D$10:$L$10-($D$9:$L$9+INT(($S$12:$AA$12+INDEX($AJ$13:$AR$162,BN3206,0)+INDEX($AT$13:$BB$162,BO3206,0)+INDEX($BD$13:$BL$162,BP3206,0))/100)))),0)</f>
        <v/>
      </c>
      <c r="BS3206">
        <f>IF(3193&lt;$U$9,SUMPRODUCT(($D$9:$L$9+INT(($S$12:$AA$12+INDEX($AJ$13:$AR$162,BN3206,0)+INDEX($AT$13:$BB$162,BO3206,0)+INDEX($BD$13:$BL$162,BP3206,0))/100))),0)</f>
        <v/>
      </c>
      <c r="BT3206">
        <f>IF(AND(3193&lt;$U$9,$W$5),BQ3206*1000000-MIN(BR3206,999)*1000+BS3206-3193/100000,-1000000000-3193)</f>
        <v/>
      </c>
    </row>
    <row r="3207">
      <c r="BN3207">
        <f>IF(3194&lt;$U$9,INT(3194/($U$7*$U$8))+1,1)</f>
        <v/>
      </c>
      <c r="BO3207">
        <f>IF(3194&lt;$U$9,MOD(INT(3194/$U$8),$U$7)+1,1)</f>
        <v/>
      </c>
      <c r="BP3207">
        <f>IF(3194&lt;$U$9,MOD(3194,$U$8)+1,1)</f>
        <v/>
      </c>
      <c r="BQ3207">
        <f>IF(3194&lt;$U$9,SUMPRODUCT(($D$10:$L$10&lt;&gt;"")*(($D$9:$L$9+INT(($S$12:$AA$12+INDEX($AJ$13:$AR$162,BN3207,0)+INDEX($AT$13:$BB$162,BO3207,0)+INDEX($BD$13:$BL$162,BP3207,0))/100))&gt;=$D$10:$L$10)),0)</f>
        <v/>
      </c>
      <c r="BR3207">
        <f>IF(3194&lt;$U$9,SUMPRODUCT(($D$10:$L$10&lt;&gt;"")*(($D$10:$L$10-($D$9:$L$9+INT(($S$12:$AA$12+INDEX($AJ$13:$AR$162,BN3207,0)+INDEX($AT$13:$BB$162,BO3207,0)+INDEX($BD$13:$BL$162,BP3207,0))/100)))&gt;0)*($D$10:$L$10-($D$9:$L$9+INT(($S$12:$AA$12+INDEX($AJ$13:$AR$162,BN3207,0)+INDEX($AT$13:$BB$162,BO3207,0)+INDEX($BD$13:$BL$162,BP3207,0))/100)))),0)</f>
        <v/>
      </c>
      <c r="BS3207">
        <f>IF(3194&lt;$U$9,SUMPRODUCT(($D$9:$L$9+INT(($S$12:$AA$12+INDEX($AJ$13:$AR$162,BN3207,0)+INDEX($AT$13:$BB$162,BO3207,0)+INDEX($BD$13:$BL$162,BP3207,0))/100))),0)</f>
        <v/>
      </c>
      <c r="BT3207">
        <f>IF(AND(3194&lt;$U$9,$W$5),BQ3207*1000000-MIN(BR3207,999)*1000+BS3207-3194/100000,-1000000000-3194)</f>
        <v/>
      </c>
    </row>
    <row r="3208">
      <c r="BN3208">
        <f>IF(3195&lt;$U$9,INT(3195/($U$7*$U$8))+1,1)</f>
        <v/>
      </c>
      <c r="BO3208">
        <f>IF(3195&lt;$U$9,MOD(INT(3195/$U$8),$U$7)+1,1)</f>
        <v/>
      </c>
      <c r="BP3208">
        <f>IF(3195&lt;$U$9,MOD(3195,$U$8)+1,1)</f>
        <v/>
      </c>
      <c r="BQ3208">
        <f>IF(3195&lt;$U$9,SUMPRODUCT(($D$10:$L$10&lt;&gt;"")*(($D$9:$L$9+INT(($S$12:$AA$12+INDEX($AJ$13:$AR$162,BN3208,0)+INDEX($AT$13:$BB$162,BO3208,0)+INDEX($BD$13:$BL$162,BP3208,0))/100))&gt;=$D$10:$L$10)),0)</f>
        <v/>
      </c>
      <c r="BR3208">
        <f>IF(3195&lt;$U$9,SUMPRODUCT(($D$10:$L$10&lt;&gt;"")*(($D$10:$L$10-($D$9:$L$9+INT(($S$12:$AA$12+INDEX($AJ$13:$AR$162,BN3208,0)+INDEX($AT$13:$BB$162,BO3208,0)+INDEX($BD$13:$BL$162,BP3208,0))/100)))&gt;0)*($D$10:$L$10-($D$9:$L$9+INT(($S$12:$AA$12+INDEX($AJ$13:$AR$162,BN3208,0)+INDEX($AT$13:$BB$162,BO3208,0)+INDEX($BD$13:$BL$162,BP3208,0))/100)))),0)</f>
        <v/>
      </c>
      <c r="BS3208">
        <f>IF(3195&lt;$U$9,SUMPRODUCT(($D$9:$L$9+INT(($S$12:$AA$12+INDEX($AJ$13:$AR$162,BN3208,0)+INDEX($AT$13:$BB$162,BO3208,0)+INDEX($BD$13:$BL$162,BP3208,0))/100))),0)</f>
        <v/>
      </c>
      <c r="BT3208">
        <f>IF(AND(3195&lt;$U$9,$W$5),BQ3208*1000000-MIN(BR3208,999)*1000+BS3208-3195/100000,-1000000000-3195)</f>
        <v/>
      </c>
    </row>
    <row r="3209">
      <c r="BN3209">
        <f>IF(3196&lt;$U$9,INT(3196/($U$7*$U$8))+1,1)</f>
        <v/>
      </c>
      <c r="BO3209">
        <f>IF(3196&lt;$U$9,MOD(INT(3196/$U$8),$U$7)+1,1)</f>
        <v/>
      </c>
      <c r="BP3209">
        <f>IF(3196&lt;$U$9,MOD(3196,$U$8)+1,1)</f>
        <v/>
      </c>
      <c r="BQ3209">
        <f>IF(3196&lt;$U$9,SUMPRODUCT(($D$10:$L$10&lt;&gt;"")*(($D$9:$L$9+INT(($S$12:$AA$12+INDEX($AJ$13:$AR$162,BN3209,0)+INDEX($AT$13:$BB$162,BO3209,0)+INDEX($BD$13:$BL$162,BP3209,0))/100))&gt;=$D$10:$L$10)),0)</f>
        <v/>
      </c>
      <c r="BR3209">
        <f>IF(3196&lt;$U$9,SUMPRODUCT(($D$10:$L$10&lt;&gt;"")*(($D$10:$L$10-($D$9:$L$9+INT(($S$12:$AA$12+INDEX($AJ$13:$AR$162,BN3209,0)+INDEX($AT$13:$BB$162,BO3209,0)+INDEX($BD$13:$BL$162,BP3209,0))/100)))&gt;0)*($D$10:$L$10-($D$9:$L$9+INT(($S$12:$AA$12+INDEX($AJ$13:$AR$162,BN3209,0)+INDEX($AT$13:$BB$162,BO3209,0)+INDEX($BD$13:$BL$162,BP3209,0))/100)))),0)</f>
        <v/>
      </c>
      <c r="BS3209">
        <f>IF(3196&lt;$U$9,SUMPRODUCT(($D$9:$L$9+INT(($S$12:$AA$12+INDEX($AJ$13:$AR$162,BN3209,0)+INDEX($AT$13:$BB$162,BO3209,0)+INDEX($BD$13:$BL$162,BP3209,0))/100))),0)</f>
        <v/>
      </c>
      <c r="BT3209">
        <f>IF(AND(3196&lt;$U$9,$W$5),BQ3209*1000000-MIN(BR3209,999)*1000+BS3209-3196/100000,-1000000000-3196)</f>
        <v/>
      </c>
    </row>
    <row r="3210">
      <c r="BN3210">
        <f>IF(3197&lt;$U$9,INT(3197/($U$7*$U$8))+1,1)</f>
        <v/>
      </c>
      <c r="BO3210">
        <f>IF(3197&lt;$U$9,MOD(INT(3197/$U$8),$U$7)+1,1)</f>
        <v/>
      </c>
      <c r="BP3210">
        <f>IF(3197&lt;$U$9,MOD(3197,$U$8)+1,1)</f>
        <v/>
      </c>
      <c r="BQ3210">
        <f>IF(3197&lt;$U$9,SUMPRODUCT(($D$10:$L$10&lt;&gt;"")*(($D$9:$L$9+INT(($S$12:$AA$12+INDEX($AJ$13:$AR$162,BN3210,0)+INDEX($AT$13:$BB$162,BO3210,0)+INDEX($BD$13:$BL$162,BP3210,0))/100))&gt;=$D$10:$L$10)),0)</f>
        <v/>
      </c>
      <c r="BR3210">
        <f>IF(3197&lt;$U$9,SUMPRODUCT(($D$10:$L$10&lt;&gt;"")*(($D$10:$L$10-($D$9:$L$9+INT(($S$12:$AA$12+INDEX($AJ$13:$AR$162,BN3210,0)+INDEX($AT$13:$BB$162,BO3210,0)+INDEX($BD$13:$BL$162,BP3210,0))/100)))&gt;0)*($D$10:$L$10-($D$9:$L$9+INT(($S$12:$AA$12+INDEX($AJ$13:$AR$162,BN3210,0)+INDEX($AT$13:$BB$162,BO3210,0)+INDEX($BD$13:$BL$162,BP3210,0))/100)))),0)</f>
        <v/>
      </c>
      <c r="BS3210">
        <f>IF(3197&lt;$U$9,SUMPRODUCT(($D$9:$L$9+INT(($S$12:$AA$12+INDEX($AJ$13:$AR$162,BN3210,0)+INDEX($AT$13:$BB$162,BO3210,0)+INDEX($BD$13:$BL$162,BP3210,0))/100))),0)</f>
        <v/>
      </c>
      <c r="BT3210">
        <f>IF(AND(3197&lt;$U$9,$W$5),BQ3210*1000000-MIN(BR3210,999)*1000+BS3210-3197/100000,-1000000000-3197)</f>
        <v/>
      </c>
    </row>
    <row r="3211">
      <c r="BN3211">
        <f>IF(3198&lt;$U$9,INT(3198/($U$7*$U$8))+1,1)</f>
        <v/>
      </c>
      <c r="BO3211">
        <f>IF(3198&lt;$U$9,MOD(INT(3198/$U$8),$U$7)+1,1)</f>
        <v/>
      </c>
      <c r="BP3211">
        <f>IF(3198&lt;$U$9,MOD(3198,$U$8)+1,1)</f>
        <v/>
      </c>
      <c r="BQ3211">
        <f>IF(3198&lt;$U$9,SUMPRODUCT(($D$10:$L$10&lt;&gt;"")*(($D$9:$L$9+INT(($S$12:$AA$12+INDEX($AJ$13:$AR$162,BN3211,0)+INDEX($AT$13:$BB$162,BO3211,0)+INDEX($BD$13:$BL$162,BP3211,0))/100))&gt;=$D$10:$L$10)),0)</f>
        <v/>
      </c>
      <c r="BR3211">
        <f>IF(3198&lt;$U$9,SUMPRODUCT(($D$10:$L$10&lt;&gt;"")*(($D$10:$L$10-($D$9:$L$9+INT(($S$12:$AA$12+INDEX($AJ$13:$AR$162,BN3211,0)+INDEX($AT$13:$BB$162,BO3211,0)+INDEX($BD$13:$BL$162,BP3211,0))/100)))&gt;0)*($D$10:$L$10-($D$9:$L$9+INT(($S$12:$AA$12+INDEX($AJ$13:$AR$162,BN3211,0)+INDEX($AT$13:$BB$162,BO3211,0)+INDEX($BD$13:$BL$162,BP3211,0))/100)))),0)</f>
        <v/>
      </c>
      <c r="BS3211">
        <f>IF(3198&lt;$U$9,SUMPRODUCT(($D$9:$L$9+INT(($S$12:$AA$12+INDEX($AJ$13:$AR$162,BN3211,0)+INDEX($AT$13:$BB$162,BO3211,0)+INDEX($BD$13:$BL$162,BP3211,0))/100))),0)</f>
        <v/>
      </c>
      <c r="BT3211">
        <f>IF(AND(3198&lt;$U$9,$W$5),BQ3211*1000000-MIN(BR3211,999)*1000+BS3211-3198/100000,-1000000000-3198)</f>
        <v/>
      </c>
    </row>
    <row r="3212">
      <c r="BN3212">
        <f>IF(3199&lt;$U$9,INT(3199/($U$7*$U$8))+1,1)</f>
        <v/>
      </c>
      <c r="BO3212">
        <f>IF(3199&lt;$U$9,MOD(INT(3199/$U$8),$U$7)+1,1)</f>
        <v/>
      </c>
      <c r="BP3212">
        <f>IF(3199&lt;$U$9,MOD(3199,$U$8)+1,1)</f>
        <v/>
      </c>
      <c r="BQ3212">
        <f>IF(3199&lt;$U$9,SUMPRODUCT(($D$10:$L$10&lt;&gt;"")*(($D$9:$L$9+INT(($S$12:$AA$12+INDEX($AJ$13:$AR$162,BN3212,0)+INDEX($AT$13:$BB$162,BO3212,0)+INDEX($BD$13:$BL$162,BP3212,0))/100))&gt;=$D$10:$L$10)),0)</f>
        <v/>
      </c>
      <c r="BR3212">
        <f>IF(3199&lt;$U$9,SUMPRODUCT(($D$10:$L$10&lt;&gt;"")*(($D$10:$L$10-($D$9:$L$9+INT(($S$12:$AA$12+INDEX($AJ$13:$AR$162,BN3212,0)+INDEX($AT$13:$BB$162,BO3212,0)+INDEX($BD$13:$BL$162,BP3212,0))/100)))&gt;0)*($D$10:$L$10-($D$9:$L$9+INT(($S$12:$AA$12+INDEX($AJ$13:$AR$162,BN3212,0)+INDEX($AT$13:$BB$162,BO3212,0)+INDEX($BD$13:$BL$162,BP3212,0))/100)))),0)</f>
        <v/>
      </c>
      <c r="BS3212">
        <f>IF(3199&lt;$U$9,SUMPRODUCT(($D$9:$L$9+INT(($S$12:$AA$12+INDEX($AJ$13:$AR$162,BN3212,0)+INDEX($AT$13:$BB$162,BO3212,0)+INDEX($BD$13:$BL$162,BP3212,0))/100))),0)</f>
        <v/>
      </c>
      <c r="BT3212">
        <f>IF(AND(3199&lt;$U$9,$W$5),BQ3212*1000000-MIN(BR3212,999)*1000+BS3212-3199/100000,-1000000000-3199)</f>
        <v/>
      </c>
    </row>
    <row r="3213">
      <c r="BN3213">
        <f>IF(3200&lt;$U$9,INT(3200/($U$7*$U$8))+1,1)</f>
        <v/>
      </c>
      <c r="BO3213">
        <f>IF(3200&lt;$U$9,MOD(INT(3200/$U$8),$U$7)+1,1)</f>
        <v/>
      </c>
      <c r="BP3213">
        <f>IF(3200&lt;$U$9,MOD(3200,$U$8)+1,1)</f>
        <v/>
      </c>
      <c r="BQ3213">
        <f>IF(3200&lt;$U$9,SUMPRODUCT(($D$10:$L$10&lt;&gt;"")*(($D$9:$L$9+INT(($S$12:$AA$12+INDEX($AJ$13:$AR$162,BN3213,0)+INDEX($AT$13:$BB$162,BO3213,0)+INDEX($BD$13:$BL$162,BP3213,0))/100))&gt;=$D$10:$L$10)),0)</f>
        <v/>
      </c>
      <c r="BR3213">
        <f>IF(3200&lt;$U$9,SUMPRODUCT(($D$10:$L$10&lt;&gt;"")*(($D$10:$L$10-($D$9:$L$9+INT(($S$12:$AA$12+INDEX($AJ$13:$AR$162,BN3213,0)+INDEX($AT$13:$BB$162,BO3213,0)+INDEX($BD$13:$BL$162,BP3213,0))/100)))&gt;0)*($D$10:$L$10-($D$9:$L$9+INT(($S$12:$AA$12+INDEX($AJ$13:$AR$162,BN3213,0)+INDEX($AT$13:$BB$162,BO3213,0)+INDEX($BD$13:$BL$162,BP3213,0))/100)))),0)</f>
        <v/>
      </c>
      <c r="BS3213">
        <f>IF(3200&lt;$U$9,SUMPRODUCT(($D$9:$L$9+INT(($S$12:$AA$12+INDEX($AJ$13:$AR$162,BN3213,0)+INDEX($AT$13:$BB$162,BO3213,0)+INDEX($BD$13:$BL$162,BP3213,0))/100))),0)</f>
        <v/>
      </c>
      <c r="BT3213">
        <f>IF(AND(3200&lt;$U$9,$W$5),BQ3213*1000000-MIN(BR3213,999)*1000+BS3213-3200/100000,-1000000000-3200)</f>
        <v/>
      </c>
    </row>
    <row r="3214">
      <c r="BN3214">
        <f>IF(3201&lt;$U$9,INT(3201/($U$7*$U$8))+1,1)</f>
        <v/>
      </c>
      <c r="BO3214">
        <f>IF(3201&lt;$U$9,MOD(INT(3201/$U$8),$U$7)+1,1)</f>
        <v/>
      </c>
      <c r="BP3214">
        <f>IF(3201&lt;$U$9,MOD(3201,$U$8)+1,1)</f>
        <v/>
      </c>
      <c r="BQ3214">
        <f>IF(3201&lt;$U$9,SUMPRODUCT(($D$10:$L$10&lt;&gt;"")*(($D$9:$L$9+INT(($S$12:$AA$12+INDEX($AJ$13:$AR$162,BN3214,0)+INDEX($AT$13:$BB$162,BO3214,0)+INDEX($BD$13:$BL$162,BP3214,0))/100))&gt;=$D$10:$L$10)),0)</f>
        <v/>
      </c>
      <c r="BR3214">
        <f>IF(3201&lt;$U$9,SUMPRODUCT(($D$10:$L$10&lt;&gt;"")*(($D$10:$L$10-($D$9:$L$9+INT(($S$12:$AA$12+INDEX($AJ$13:$AR$162,BN3214,0)+INDEX($AT$13:$BB$162,BO3214,0)+INDEX($BD$13:$BL$162,BP3214,0))/100)))&gt;0)*($D$10:$L$10-($D$9:$L$9+INT(($S$12:$AA$12+INDEX($AJ$13:$AR$162,BN3214,0)+INDEX($AT$13:$BB$162,BO3214,0)+INDEX($BD$13:$BL$162,BP3214,0))/100)))),0)</f>
        <v/>
      </c>
      <c r="BS3214">
        <f>IF(3201&lt;$U$9,SUMPRODUCT(($D$9:$L$9+INT(($S$12:$AA$12+INDEX($AJ$13:$AR$162,BN3214,0)+INDEX($AT$13:$BB$162,BO3214,0)+INDEX($BD$13:$BL$162,BP3214,0))/100))),0)</f>
        <v/>
      </c>
      <c r="BT3214">
        <f>IF(AND(3201&lt;$U$9,$W$5),BQ3214*1000000-MIN(BR3214,999)*1000+BS3214-3201/100000,-1000000000-3201)</f>
        <v/>
      </c>
    </row>
    <row r="3215">
      <c r="BN3215">
        <f>IF(3202&lt;$U$9,INT(3202/($U$7*$U$8))+1,1)</f>
        <v/>
      </c>
      <c r="BO3215">
        <f>IF(3202&lt;$U$9,MOD(INT(3202/$U$8),$U$7)+1,1)</f>
        <v/>
      </c>
      <c r="BP3215">
        <f>IF(3202&lt;$U$9,MOD(3202,$U$8)+1,1)</f>
        <v/>
      </c>
      <c r="BQ3215">
        <f>IF(3202&lt;$U$9,SUMPRODUCT(($D$10:$L$10&lt;&gt;"")*(($D$9:$L$9+INT(($S$12:$AA$12+INDEX($AJ$13:$AR$162,BN3215,0)+INDEX($AT$13:$BB$162,BO3215,0)+INDEX($BD$13:$BL$162,BP3215,0))/100))&gt;=$D$10:$L$10)),0)</f>
        <v/>
      </c>
      <c r="BR3215">
        <f>IF(3202&lt;$U$9,SUMPRODUCT(($D$10:$L$10&lt;&gt;"")*(($D$10:$L$10-($D$9:$L$9+INT(($S$12:$AA$12+INDEX($AJ$13:$AR$162,BN3215,0)+INDEX($AT$13:$BB$162,BO3215,0)+INDEX($BD$13:$BL$162,BP3215,0))/100)))&gt;0)*($D$10:$L$10-($D$9:$L$9+INT(($S$12:$AA$12+INDEX($AJ$13:$AR$162,BN3215,0)+INDEX($AT$13:$BB$162,BO3215,0)+INDEX($BD$13:$BL$162,BP3215,0))/100)))),0)</f>
        <v/>
      </c>
      <c r="BS3215">
        <f>IF(3202&lt;$U$9,SUMPRODUCT(($D$9:$L$9+INT(($S$12:$AA$12+INDEX($AJ$13:$AR$162,BN3215,0)+INDEX($AT$13:$BB$162,BO3215,0)+INDEX($BD$13:$BL$162,BP3215,0))/100))),0)</f>
        <v/>
      </c>
      <c r="BT3215">
        <f>IF(AND(3202&lt;$U$9,$W$5),BQ3215*1000000-MIN(BR3215,999)*1000+BS3215-3202/100000,-1000000000-3202)</f>
        <v/>
      </c>
    </row>
    <row r="3216">
      <c r="BN3216">
        <f>IF(3203&lt;$U$9,INT(3203/($U$7*$U$8))+1,1)</f>
        <v/>
      </c>
      <c r="BO3216">
        <f>IF(3203&lt;$U$9,MOD(INT(3203/$U$8),$U$7)+1,1)</f>
        <v/>
      </c>
      <c r="BP3216">
        <f>IF(3203&lt;$U$9,MOD(3203,$U$8)+1,1)</f>
        <v/>
      </c>
      <c r="BQ3216">
        <f>IF(3203&lt;$U$9,SUMPRODUCT(($D$10:$L$10&lt;&gt;"")*(($D$9:$L$9+INT(($S$12:$AA$12+INDEX($AJ$13:$AR$162,BN3216,0)+INDEX($AT$13:$BB$162,BO3216,0)+INDEX($BD$13:$BL$162,BP3216,0))/100))&gt;=$D$10:$L$10)),0)</f>
        <v/>
      </c>
      <c r="BR3216">
        <f>IF(3203&lt;$U$9,SUMPRODUCT(($D$10:$L$10&lt;&gt;"")*(($D$10:$L$10-($D$9:$L$9+INT(($S$12:$AA$12+INDEX($AJ$13:$AR$162,BN3216,0)+INDEX($AT$13:$BB$162,BO3216,0)+INDEX($BD$13:$BL$162,BP3216,0))/100)))&gt;0)*($D$10:$L$10-($D$9:$L$9+INT(($S$12:$AA$12+INDEX($AJ$13:$AR$162,BN3216,0)+INDEX($AT$13:$BB$162,BO3216,0)+INDEX($BD$13:$BL$162,BP3216,0))/100)))),0)</f>
        <v/>
      </c>
      <c r="BS3216">
        <f>IF(3203&lt;$U$9,SUMPRODUCT(($D$9:$L$9+INT(($S$12:$AA$12+INDEX($AJ$13:$AR$162,BN3216,0)+INDEX($AT$13:$BB$162,BO3216,0)+INDEX($BD$13:$BL$162,BP3216,0))/100))),0)</f>
        <v/>
      </c>
      <c r="BT3216">
        <f>IF(AND(3203&lt;$U$9,$W$5),BQ3216*1000000-MIN(BR3216,999)*1000+BS3216-3203/100000,-1000000000-3203)</f>
        <v/>
      </c>
    </row>
    <row r="3217">
      <c r="BN3217">
        <f>IF(3204&lt;$U$9,INT(3204/($U$7*$U$8))+1,1)</f>
        <v/>
      </c>
      <c r="BO3217">
        <f>IF(3204&lt;$U$9,MOD(INT(3204/$U$8),$U$7)+1,1)</f>
        <v/>
      </c>
      <c r="BP3217">
        <f>IF(3204&lt;$U$9,MOD(3204,$U$8)+1,1)</f>
        <v/>
      </c>
      <c r="BQ3217">
        <f>IF(3204&lt;$U$9,SUMPRODUCT(($D$10:$L$10&lt;&gt;"")*(($D$9:$L$9+INT(($S$12:$AA$12+INDEX($AJ$13:$AR$162,BN3217,0)+INDEX($AT$13:$BB$162,BO3217,0)+INDEX($BD$13:$BL$162,BP3217,0))/100))&gt;=$D$10:$L$10)),0)</f>
        <v/>
      </c>
      <c r="BR3217">
        <f>IF(3204&lt;$U$9,SUMPRODUCT(($D$10:$L$10&lt;&gt;"")*(($D$10:$L$10-($D$9:$L$9+INT(($S$12:$AA$12+INDEX($AJ$13:$AR$162,BN3217,0)+INDEX($AT$13:$BB$162,BO3217,0)+INDEX($BD$13:$BL$162,BP3217,0))/100)))&gt;0)*($D$10:$L$10-($D$9:$L$9+INT(($S$12:$AA$12+INDEX($AJ$13:$AR$162,BN3217,0)+INDEX($AT$13:$BB$162,BO3217,0)+INDEX($BD$13:$BL$162,BP3217,0))/100)))),0)</f>
        <v/>
      </c>
      <c r="BS3217">
        <f>IF(3204&lt;$U$9,SUMPRODUCT(($D$9:$L$9+INT(($S$12:$AA$12+INDEX($AJ$13:$AR$162,BN3217,0)+INDEX($AT$13:$BB$162,BO3217,0)+INDEX($BD$13:$BL$162,BP3217,0))/100))),0)</f>
        <v/>
      </c>
      <c r="BT3217">
        <f>IF(AND(3204&lt;$U$9,$W$5),BQ3217*1000000-MIN(BR3217,999)*1000+BS3217-3204/100000,-1000000000-3204)</f>
        <v/>
      </c>
    </row>
    <row r="3218">
      <c r="BN3218">
        <f>IF(3205&lt;$U$9,INT(3205/($U$7*$U$8))+1,1)</f>
        <v/>
      </c>
      <c r="BO3218">
        <f>IF(3205&lt;$U$9,MOD(INT(3205/$U$8),$U$7)+1,1)</f>
        <v/>
      </c>
      <c r="BP3218">
        <f>IF(3205&lt;$U$9,MOD(3205,$U$8)+1,1)</f>
        <v/>
      </c>
      <c r="BQ3218">
        <f>IF(3205&lt;$U$9,SUMPRODUCT(($D$10:$L$10&lt;&gt;"")*(($D$9:$L$9+INT(($S$12:$AA$12+INDEX($AJ$13:$AR$162,BN3218,0)+INDEX($AT$13:$BB$162,BO3218,0)+INDEX($BD$13:$BL$162,BP3218,0))/100))&gt;=$D$10:$L$10)),0)</f>
        <v/>
      </c>
      <c r="BR3218">
        <f>IF(3205&lt;$U$9,SUMPRODUCT(($D$10:$L$10&lt;&gt;"")*(($D$10:$L$10-($D$9:$L$9+INT(($S$12:$AA$12+INDEX($AJ$13:$AR$162,BN3218,0)+INDEX($AT$13:$BB$162,BO3218,0)+INDEX($BD$13:$BL$162,BP3218,0))/100)))&gt;0)*($D$10:$L$10-($D$9:$L$9+INT(($S$12:$AA$12+INDEX($AJ$13:$AR$162,BN3218,0)+INDEX($AT$13:$BB$162,BO3218,0)+INDEX($BD$13:$BL$162,BP3218,0))/100)))),0)</f>
        <v/>
      </c>
      <c r="BS3218">
        <f>IF(3205&lt;$U$9,SUMPRODUCT(($D$9:$L$9+INT(($S$12:$AA$12+INDEX($AJ$13:$AR$162,BN3218,0)+INDEX($AT$13:$BB$162,BO3218,0)+INDEX($BD$13:$BL$162,BP3218,0))/100))),0)</f>
        <v/>
      </c>
      <c r="BT3218">
        <f>IF(AND(3205&lt;$U$9,$W$5),BQ3218*1000000-MIN(BR3218,999)*1000+BS3218-3205/100000,-1000000000-3205)</f>
        <v/>
      </c>
    </row>
    <row r="3219">
      <c r="BN3219">
        <f>IF(3206&lt;$U$9,INT(3206/($U$7*$U$8))+1,1)</f>
        <v/>
      </c>
      <c r="BO3219">
        <f>IF(3206&lt;$U$9,MOD(INT(3206/$U$8),$U$7)+1,1)</f>
        <v/>
      </c>
      <c r="BP3219">
        <f>IF(3206&lt;$U$9,MOD(3206,$U$8)+1,1)</f>
        <v/>
      </c>
      <c r="BQ3219">
        <f>IF(3206&lt;$U$9,SUMPRODUCT(($D$10:$L$10&lt;&gt;"")*(($D$9:$L$9+INT(($S$12:$AA$12+INDEX($AJ$13:$AR$162,BN3219,0)+INDEX($AT$13:$BB$162,BO3219,0)+INDEX($BD$13:$BL$162,BP3219,0))/100))&gt;=$D$10:$L$10)),0)</f>
        <v/>
      </c>
      <c r="BR3219">
        <f>IF(3206&lt;$U$9,SUMPRODUCT(($D$10:$L$10&lt;&gt;"")*(($D$10:$L$10-($D$9:$L$9+INT(($S$12:$AA$12+INDEX($AJ$13:$AR$162,BN3219,0)+INDEX($AT$13:$BB$162,BO3219,0)+INDEX($BD$13:$BL$162,BP3219,0))/100)))&gt;0)*($D$10:$L$10-($D$9:$L$9+INT(($S$12:$AA$12+INDEX($AJ$13:$AR$162,BN3219,0)+INDEX($AT$13:$BB$162,BO3219,0)+INDEX($BD$13:$BL$162,BP3219,0))/100)))),0)</f>
        <v/>
      </c>
      <c r="BS3219">
        <f>IF(3206&lt;$U$9,SUMPRODUCT(($D$9:$L$9+INT(($S$12:$AA$12+INDEX($AJ$13:$AR$162,BN3219,0)+INDEX($AT$13:$BB$162,BO3219,0)+INDEX($BD$13:$BL$162,BP3219,0))/100))),0)</f>
        <v/>
      </c>
      <c r="BT3219">
        <f>IF(AND(3206&lt;$U$9,$W$5),BQ3219*1000000-MIN(BR3219,999)*1000+BS3219-3206/100000,-1000000000-3206)</f>
        <v/>
      </c>
    </row>
    <row r="3220">
      <c r="BN3220">
        <f>IF(3207&lt;$U$9,INT(3207/($U$7*$U$8))+1,1)</f>
        <v/>
      </c>
      <c r="BO3220">
        <f>IF(3207&lt;$U$9,MOD(INT(3207/$U$8),$U$7)+1,1)</f>
        <v/>
      </c>
      <c r="BP3220">
        <f>IF(3207&lt;$U$9,MOD(3207,$U$8)+1,1)</f>
        <v/>
      </c>
      <c r="BQ3220">
        <f>IF(3207&lt;$U$9,SUMPRODUCT(($D$10:$L$10&lt;&gt;"")*(($D$9:$L$9+INT(($S$12:$AA$12+INDEX($AJ$13:$AR$162,BN3220,0)+INDEX($AT$13:$BB$162,BO3220,0)+INDEX($BD$13:$BL$162,BP3220,0))/100))&gt;=$D$10:$L$10)),0)</f>
        <v/>
      </c>
      <c r="BR3220">
        <f>IF(3207&lt;$U$9,SUMPRODUCT(($D$10:$L$10&lt;&gt;"")*(($D$10:$L$10-($D$9:$L$9+INT(($S$12:$AA$12+INDEX($AJ$13:$AR$162,BN3220,0)+INDEX($AT$13:$BB$162,BO3220,0)+INDEX($BD$13:$BL$162,BP3220,0))/100)))&gt;0)*($D$10:$L$10-($D$9:$L$9+INT(($S$12:$AA$12+INDEX($AJ$13:$AR$162,BN3220,0)+INDEX($AT$13:$BB$162,BO3220,0)+INDEX($BD$13:$BL$162,BP3220,0))/100)))),0)</f>
        <v/>
      </c>
      <c r="BS3220">
        <f>IF(3207&lt;$U$9,SUMPRODUCT(($D$9:$L$9+INT(($S$12:$AA$12+INDEX($AJ$13:$AR$162,BN3220,0)+INDEX($AT$13:$BB$162,BO3220,0)+INDEX($BD$13:$BL$162,BP3220,0))/100))),0)</f>
        <v/>
      </c>
      <c r="BT3220">
        <f>IF(AND(3207&lt;$U$9,$W$5),BQ3220*1000000-MIN(BR3220,999)*1000+BS3220-3207/100000,-1000000000-3207)</f>
        <v/>
      </c>
    </row>
    <row r="3221">
      <c r="BN3221">
        <f>IF(3208&lt;$U$9,INT(3208/($U$7*$U$8))+1,1)</f>
        <v/>
      </c>
      <c r="BO3221">
        <f>IF(3208&lt;$U$9,MOD(INT(3208/$U$8),$U$7)+1,1)</f>
        <v/>
      </c>
      <c r="BP3221">
        <f>IF(3208&lt;$U$9,MOD(3208,$U$8)+1,1)</f>
        <v/>
      </c>
      <c r="BQ3221">
        <f>IF(3208&lt;$U$9,SUMPRODUCT(($D$10:$L$10&lt;&gt;"")*(($D$9:$L$9+INT(($S$12:$AA$12+INDEX($AJ$13:$AR$162,BN3221,0)+INDEX($AT$13:$BB$162,BO3221,0)+INDEX($BD$13:$BL$162,BP3221,0))/100))&gt;=$D$10:$L$10)),0)</f>
        <v/>
      </c>
      <c r="BR3221">
        <f>IF(3208&lt;$U$9,SUMPRODUCT(($D$10:$L$10&lt;&gt;"")*(($D$10:$L$10-($D$9:$L$9+INT(($S$12:$AA$12+INDEX($AJ$13:$AR$162,BN3221,0)+INDEX($AT$13:$BB$162,BO3221,0)+INDEX($BD$13:$BL$162,BP3221,0))/100)))&gt;0)*($D$10:$L$10-($D$9:$L$9+INT(($S$12:$AA$12+INDEX($AJ$13:$AR$162,BN3221,0)+INDEX($AT$13:$BB$162,BO3221,0)+INDEX($BD$13:$BL$162,BP3221,0))/100)))),0)</f>
        <v/>
      </c>
      <c r="BS3221">
        <f>IF(3208&lt;$U$9,SUMPRODUCT(($D$9:$L$9+INT(($S$12:$AA$12+INDEX($AJ$13:$AR$162,BN3221,0)+INDEX($AT$13:$BB$162,BO3221,0)+INDEX($BD$13:$BL$162,BP3221,0))/100))),0)</f>
        <v/>
      </c>
      <c r="BT3221">
        <f>IF(AND(3208&lt;$U$9,$W$5),BQ3221*1000000-MIN(BR3221,999)*1000+BS3221-3208/100000,-1000000000-3208)</f>
        <v/>
      </c>
    </row>
    <row r="3222">
      <c r="BN3222">
        <f>IF(3209&lt;$U$9,INT(3209/($U$7*$U$8))+1,1)</f>
        <v/>
      </c>
      <c r="BO3222">
        <f>IF(3209&lt;$U$9,MOD(INT(3209/$U$8),$U$7)+1,1)</f>
        <v/>
      </c>
      <c r="BP3222">
        <f>IF(3209&lt;$U$9,MOD(3209,$U$8)+1,1)</f>
        <v/>
      </c>
      <c r="BQ3222">
        <f>IF(3209&lt;$U$9,SUMPRODUCT(($D$10:$L$10&lt;&gt;"")*(($D$9:$L$9+INT(($S$12:$AA$12+INDEX($AJ$13:$AR$162,BN3222,0)+INDEX($AT$13:$BB$162,BO3222,0)+INDEX($BD$13:$BL$162,BP3222,0))/100))&gt;=$D$10:$L$10)),0)</f>
        <v/>
      </c>
      <c r="BR3222">
        <f>IF(3209&lt;$U$9,SUMPRODUCT(($D$10:$L$10&lt;&gt;"")*(($D$10:$L$10-($D$9:$L$9+INT(($S$12:$AA$12+INDEX($AJ$13:$AR$162,BN3222,0)+INDEX($AT$13:$BB$162,BO3222,0)+INDEX($BD$13:$BL$162,BP3222,0))/100)))&gt;0)*($D$10:$L$10-($D$9:$L$9+INT(($S$12:$AA$12+INDEX($AJ$13:$AR$162,BN3222,0)+INDEX($AT$13:$BB$162,BO3222,0)+INDEX($BD$13:$BL$162,BP3222,0))/100)))),0)</f>
        <v/>
      </c>
      <c r="BS3222">
        <f>IF(3209&lt;$U$9,SUMPRODUCT(($D$9:$L$9+INT(($S$12:$AA$12+INDEX($AJ$13:$AR$162,BN3222,0)+INDEX($AT$13:$BB$162,BO3222,0)+INDEX($BD$13:$BL$162,BP3222,0))/100))),0)</f>
        <v/>
      </c>
      <c r="BT3222">
        <f>IF(AND(3209&lt;$U$9,$W$5),BQ3222*1000000-MIN(BR3222,999)*1000+BS3222-3209/100000,-1000000000-3209)</f>
        <v/>
      </c>
    </row>
    <row r="3223">
      <c r="BN3223">
        <f>IF(3210&lt;$U$9,INT(3210/($U$7*$U$8))+1,1)</f>
        <v/>
      </c>
      <c r="BO3223">
        <f>IF(3210&lt;$U$9,MOD(INT(3210/$U$8),$U$7)+1,1)</f>
        <v/>
      </c>
      <c r="BP3223">
        <f>IF(3210&lt;$U$9,MOD(3210,$U$8)+1,1)</f>
        <v/>
      </c>
      <c r="BQ3223">
        <f>IF(3210&lt;$U$9,SUMPRODUCT(($D$10:$L$10&lt;&gt;"")*(($D$9:$L$9+INT(($S$12:$AA$12+INDEX($AJ$13:$AR$162,BN3223,0)+INDEX($AT$13:$BB$162,BO3223,0)+INDEX($BD$13:$BL$162,BP3223,0))/100))&gt;=$D$10:$L$10)),0)</f>
        <v/>
      </c>
      <c r="BR3223">
        <f>IF(3210&lt;$U$9,SUMPRODUCT(($D$10:$L$10&lt;&gt;"")*(($D$10:$L$10-($D$9:$L$9+INT(($S$12:$AA$12+INDEX($AJ$13:$AR$162,BN3223,0)+INDEX($AT$13:$BB$162,BO3223,0)+INDEX($BD$13:$BL$162,BP3223,0))/100)))&gt;0)*($D$10:$L$10-($D$9:$L$9+INT(($S$12:$AA$12+INDEX($AJ$13:$AR$162,BN3223,0)+INDEX($AT$13:$BB$162,BO3223,0)+INDEX($BD$13:$BL$162,BP3223,0))/100)))),0)</f>
        <v/>
      </c>
      <c r="BS3223">
        <f>IF(3210&lt;$U$9,SUMPRODUCT(($D$9:$L$9+INT(($S$12:$AA$12+INDEX($AJ$13:$AR$162,BN3223,0)+INDEX($AT$13:$BB$162,BO3223,0)+INDEX($BD$13:$BL$162,BP3223,0))/100))),0)</f>
        <v/>
      </c>
      <c r="BT3223">
        <f>IF(AND(3210&lt;$U$9,$W$5),BQ3223*1000000-MIN(BR3223,999)*1000+BS3223-3210/100000,-1000000000-3210)</f>
        <v/>
      </c>
    </row>
    <row r="3224">
      <c r="BN3224">
        <f>IF(3211&lt;$U$9,INT(3211/($U$7*$U$8))+1,1)</f>
        <v/>
      </c>
      <c r="BO3224">
        <f>IF(3211&lt;$U$9,MOD(INT(3211/$U$8),$U$7)+1,1)</f>
        <v/>
      </c>
      <c r="BP3224">
        <f>IF(3211&lt;$U$9,MOD(3211,$U$8)+1,1)</f>
        <v/>
      </c>
      <c r="BQ3224">
        <f>IF(3211&lt;$U$9,SUMPRODUCT(($D$10:$L$10&lt;&gt;"")*(($D$9:$L$9+INT(($S$12:$AA$12+INDEX($AJ$13:$AR$162,BN3224,0)+INDEX($AT$13:$BB$162,BO3224,0)+INDEX($BD$13:$BL$162,BP3224,0))/100))&gt;=$D$10:$L$10)),0)</f>
        <v/>
      </c>
      <c r="BR3224">
        <f>IF(3211&lt;$U$9,SUMPRODUCT(($D$10:$L$10&lt;&gt;"")*(($D$10:$L$10-($D$9:$L$9+INT(($S$12:$AA$12+INDEX($AJ$13:$AR$162,BN3224,0)+INDEX($AT$13:$BB$162,BO3224,0)+INDEX($BD$13:$BL$162,BP3224,0))/100)))&gt;0)*($D$10:$L$10-($D$9:$L$9+INT(($S$12:$AA$12+INDEX($AJ$13:$AR$162,BN3224,0)+INDEX($AT$13:$BB$162,BO3224,0)+INDEX($BD$13:$BL$162,BP3224,0))/100)))),0)</f>
        <v/>
      </c>
      <c r="BS3224">
        <f>IF(3211&lt;$U$9,SUMPRODUCT(($D$9:$L$9+INT(($S$12:$AA$12+INDEX($AJ$13:$AR$162,BN3224,0)+INDEX($AT$13:$BB$162,BO3224,0)+INDEX($BD$13:$BL$162,BP3224,0))/100))),0)</f>
        <v/>
      </c>
      <c r="BT3224">
        <f>IF(AND(3211&lt;$U$9,$W$5),BQ3224*1000000-MIN(BR3224,999)*1000+BS3224-3211/100000,-1000000000-3211)</f>
        <v/>
      </c>
    </row>
    <row r="3225">
      <c r="BN3225">
        <f>IF(3212&lt;$U$9,INT(3212/($U$7*$U$8))+1,1)</f>
        <v/>
      </c>
      <c r="BO3225">
        <f>IF(3212&lt;$U$9,MOD(INT(3212/$U$8),$U$7)+1,1)</f>
        <v/>
      </c>
      <c r="BP3225">
        <f>IF(3212&lt;$U$9,MOD(3212,$U$8)+1,1)</f>
        <v/>
      </c>
      <c r="BQ3225">
        <f>IF(3212&lt;$U$9,SUMPRODUCT(($D$10:$L$10&lt;&gt;"")*(($D$9:$L$9+INT(($S$12:$AA$12+INDEX($AJ$13:$AR$162,BN3225,0)+INDEX($AT$13:$BB$162,BO3225,0)+INDEX($BD$13:$BL$162,BP3225,0))/100))&gt;=$D$10:$L$10)),0)</f>
        <v/>
      </c>
      <c r="BR3225">
        <f>IF(3212&lt;$U$9,SUMPRODUCT(($D$10:$L$10&lt;&gt;"")*(($D$10:$L$10-($D$9:$L$9+INT(($S$12:$AA$12+INDEX($AJ$13:$AR$162,BN3225,0)+INDEX($AT$13:$BB$162,BO3225,0)+INDEX($BD$13:$BL$162,BP3225,0))/100)))&gt;0)*($D$10:$L$10-($D$9:$L$9+INT(($S$12:$AA$12+INDEX($AJ$13:$AR$162,BN3225,0)+INDEX($AT$13:$BB$162,BO3225,0)+INDEX($BD$13:$BL$162,BP3225,0))/100)))),0)</f>
        <v/>
      </c>
      <c r="BS3225">
        <f>IF(3212&lt;$U$9,SUMPRODUCT(($D$9:$L$9+INT(($S$12:$AA$12+INDEX($AJ$13:$AR$162,BN3225,0)+INDEX($AT$13:$BB$162,BO3225,0)+INDEX($BD$13:$BL$162,BP3225,0))/100))),0)</f>
        <v/>
      </c>
      <c r="BT3225">
        <f>IF(AND(3212&lt;$U$9,$W$5),BQ3225*1000000-MIN(BR3225,999)*1000+BS3225-3212/100000,-1000000000-3212)</f>
        <v/>
      </c>
    </row>
    <row r="3226">
      <c r="BN3226">
        <f>IF(3213&lt;$U$9,INT(3213/($U$7*$U$8))+1,1)</f>
        <v/>
      </c>
      <c r="BO3226">
        <f>IF(3213&lt;$U$9,MOD(INT(3213/$U$8),$U$7)+1,1)</f>
        <v/>
      </c>
      <c r="BP3226">
        <f>IF(3213&lt;$U$9,MOD(3213,$U$8)+1,1)</f>
        <v/>
      </c>
      <c r="BQ3226">
        <f>IF(3213&lt;$U$9,SUMPRODUCT(($D$10:$L$10&lt;&gt;"")*(($D$9:$L$9+INT(($S$12:$AA$12+INDEX($AJ$13:$AR$162,BN3226,0)+INDEX($AT$13:$BB$162,BO3226,0)+INDEX($BD$13:$BL$162,BP3226,0))/100))&gt;=$D$10:$L$10)),0)</f>
        <v/>
      </c>
      <c r="BR3226">
        <f>IF(3213&lt;$U$9,SUMPRODUCT(($D$10:$L$10&lt;&gt;"")*(($D$10:$L$10-($D$9:$L$9+INT(($S$12:$AA$12+INDEX($AJ$13:$AR$162,BN3226,0)+INDEX($AT$13:$BB$162,BO3226,0)+INDEX($BD$13:$BL$162,BP3226,0))/100)))&gt;0)*($D$10:$L$10-($D$9:$L$9+INT(($S$12:$AA$12+INDEX($AJ$13:$AR$162,BN3226,0)+INDEX($AT$13:$BB$162,BO3226,0)+INDEX($BD$13:$BL$162,BP3226,0))/100)))),0)</f>
        <v/>
      </c>
      <c r="BS3226">
        <f>IF(3213&lt;$U$9,SUMPRODUCT(($D$9:$L$9+INT(($S$12:$AA$12+INDEX($AJ$13:$AR$162,BN3226,0)+INDEX($AT$13:$BB$162,BO3226,0)+INDEX($BD$13:$BL$162,BP3226,0))/100))),0)</f>
        <v/>
      </c>
      <c r="BT3226">
        <f>IF(AND(3213&lt;$U$9,$W$5),BQ3226*1000000-MIN(BR3226,999)*1000+BS3226-3213/100000,-1000000000-3213)</f>
        <v/>
      </c>
    </row>
    <row r="3227">
      <c r="BN3227">
        <f>IF(3214&lt;$U$9,INT(3214/($U$7*$U$8))+1,1)</f>
        <v/>
      </c>
      <c r="BO3227">
        <f>IF(3214&lt;$U$9,MOD(INT(3214/$U$8),$U$7)+1,1)</f>
        <v/>
      </c>
      <c r="BP3227">
        <f>IF(3214&lt;$U$9,MOD(3214,$U$8)+1,1)</f>
        <v/>
      </c>
      <c r="BQ3227">
        <f>IF(3214&lt;$U$9,SUMPRODUCT(($D$10:$L$10&lt;&gt;"")*(($D$9:$L$9+INT(($S$12:$AA$12+INDEX($AJ$13:$AR$162,BN3227,0)+INDEX($AT$13:$BB$162,BO3227,0)+INDEX($BD$13:$BL$162,BP3227,0))/100))&gt;=$D$10:$L$10)),0)</f>
        <v/>
      </c>
      <c r="BR3227">
        <f>IF(3214&lt;$U$9,SUMPRODUCT(($D$10:$L$10&lt;&gt;"")*(($D$10:$L$10-($D$9:$L$9+INT(($S$12:$AA$12+INDEX($AJ$13:$AR$162,BN3227,0)+INDEX($AT$13:$BB$162,BO3227,0)+INDEX($BD$13:$BL$162,BP3227,0))/100)))&gt;0)*($D$10:$L$10-($D$9:$L$9+INT(($S$12:$AA$12+INDEX($AJ$13:$AR$162,BN3227,0)+INDEX($AT$13:$BB$162,BO3227,0)+INDEX($BD$13:$BL$162,BP3227,0))/100)))),0)</f>
        <v/>
      </c>
      <c r="BS3227">
        <f>IF(3214&lt;$U$9,SUMPRODUCT(($D$9:$L$9+INT(($S$12:$AA$12+INDEX($AJ$13:$AR$162,BN3227,0)+INDEX($AT$13:$BB$162,BO3227,0)+INDEX($BD$13:$BL$162,BP3227,0))/100))),0)</f>
        <v/>
      </c>
      <c r="BT3227">
        <f>IF(AND(3214&lt;$U$9,$W$5),BQ3227*1000000-MIN(BR3227,999)*1000+BS3227-3214/100000,-1000000000-3214)</f>
        <v/>
      </c>
    </row>
    <row r="3228">
      <c r="BN3228">
        <f>IF(3215&lt;$U$9,INT(3215/($U$7*$U$8))+1,1)</f>
        <v/>
      </c>
      <c r="BO3228">
        <f>IF(3215&lt;$U$9,MOD(INT(3215/$U$8),$U$7)+1,1)</f>
        <v/>
      </c>
      <c r="BP3228">
        <f>IF(3215&lt;$U$9,MOD(3215,$U$8)+1,1)</f>
        <v/>
      </c>
      <c r="BQ3228">
        <f>IF(3215&lt;$U$9,SUMPRODUCT(($D$10:$L$10&lt;&gt;"")*(($D$9:$L$9+INT(($S$12:$AA$12+INDEX($AJ$13:$AR$162,BN3228,0)+INDEX($AT$13:$BB$162,BO3228,0)+INDEX($BD$13:$BL$162,BP3228,0))/100))&gt;=$D$10:$L$10)),0)</f>
        <v/>
      </c>
      <c r="BR3228">
        <f>IF(3215&lt;$U$9,SUMPRODUCT(($D$10:$L$10&lt;&gt;"")*(($D$10:$L$10-($D$9:$L$9+INT(($S$12:$AA$12+INDEX($AJ$13:$AR$162,BN3228,0)+INDEX($AT$13:$BB$162,BO3228,0)+INDEX($BD$13:$BL$162,BP3228,0))/100)))&gt;0)*($D$10:$L$10-($D$9:$L$9+INT(($S$12:$AA$12+INDEX($AJ$13:$AR$162,BN3228,0)+INDEX($AT$13:$BB$162,BO3228,0)+INDEX($BD$13:$BL$162,BP3228,0))/100)))),0)</f>
        <v/>
      </c>
      <c r="BS3228">
        <f>IF(3215&lt;$U$9,SUMPRODUCT(($D$9:$L$9+INT(($S$12:$AA$12+INDEX($AJ$13:$AR$162,BN3228,0)+INDEX($AT$13:$BB$162,BO3228,0)+INDEX($BD$13:$BL$162,BP3228,0))/100))),0)</f>
        <v/>
      </c>
      <c r="BT3228">
        <f>IF(AND(3215&lt;$U$9,$W$5),BQ3228*1000000-MIN(BR3228,999)*1000+BS3228-3215/100000,-1000000000-3215)</f>
        <v/>
      </c>
    </row>
    <row r="3229">
      <c r="BN3229">
        <f>IF(3216&lt;$U$9,INT(3216/($U$7*$U$8))+1,1)</f>
        <v/>
      </c>
      <c r="BO3229">
        <f>IF(3216&lt;$U$9,MOD(INT(3216/$U$8),$U$7)+1,1)</f>
        <v/>
      </c>
      <c r="BP3229">
        <f>IF(3216&lt;$U$9,MOD(3216,$U$8)+1,1)</f>
        <v/>
      </c>
      <c r="BQ3229">
        <f>IF(3216&lt;$U$9,SUMPRODUCT(($D$10:$L$10&lt;&gt;"")*(($D$9:$L$9+INT(($S$12:$AA$12+INDEX($AJ$13:$AR$162,BN3229,0)+INDEX($AT$13:$BB$162,BO3229,0)+INDEX($BD$13:$BL$162,BP3229,0))/100))&gt;=$D$10:$L$10)),0)</f>
        <v/>
      </c>
      <c r="BR3229">
        <f>IF(3216&lt;$U$9,SUMPRODUCT(($D$10:$L$10&lt;&gt;"")*(($D$10:$L$10-($D$9:$L$9+INT(($S$12:$AA$12+INDEX($AJ$13:$AR$162,BN3229,0)+INDEX($AT$13:$BB$162,BO3229,0)+INDEX($BD$13:$BL$162,BP3229,0))/100)))&gt;0)*($D$10:$L$10-($D$9:$L$9+INT(($S$12:$AA$12+INDEX($AJ$13:$AR$162,BN3229,0)+INDEX($AT$13:$BB$162,BO3229,0)+INDEX($BD$13:$BL$162,BP3229,0))/100)))),0)</f>
        <v/>
      </c>
      <c r="BS3229">
        <f>IF(3216&lt;$U$9,SUMPRODUCT(($D$9:$L$9+INT(($S$12:$AA$12+INDEX($AJ$13:$AR$162,BN3229,0)+INDEX($AT$13:$BB$162,BO3229,0)+INDEX($BD$13:$BL$162,BP3229,0))/100))),0)</f>
        <v/>
      </c>
      <c r="BT3229">
        <f>IF(AND(3216&lt;$U$9,$W$5),BQ3229*1000000-MIN(BR3229,999)*1000+BS3229-3216/100000,-1000000000-3216)</f>
        <v/>
      </c>
    </row>
    <row r="3230">
      <c r="BN3230">
        <f>IF(3217&lt;$U$9,INT(3217/($U$7*$U$8))+1,1)</f>
        <v/>
      </c>
      <c r="BO3230">
        <f>IF(3217&lt;$U$9,MOD(INT(3217/$U$8),$U$7)+1,1)</f>
        <v/>
      </c>
      <c r="BP3230">
        <f>IF(3217&lt;$U$9,MOD(3217,$U$8)+1,1)</f>
        <v/>
      </c>
      <c r="BQ3230">
        <f>IF(3217&lt;$U$9,SUMPRODUCT(($D$10:$L$10&lt;&gt;"")*(($D$9:$L$9+INT(($S$12:$AA$12+INDEX($AJ$13:$AR$162,BN3230,0)+INDEX($AT$13:$BB$162,BO3230,0)+INDEX($BD$13:$BL$162,BP3230,0))/100))&gt;=$D$10:$L$10)),0)</f>
        <v/>
      </c>
      <c r="BR3230">
        <f>IF(3217&lt;$U$9,SUMPRODUCT(($D$10:$L$10&lt;&gt;"")*(($D$10:$L$10-($D$9:$L$9+INT(($S$12:$AA$12+INDEX($AJ$13:$AR$162,BN3230,0)+INDEX($AT$13:$BB$162,BO3230,0)+INDEX($BD$13:$BL$162,BP3230,0))/100)))&gt;0)*($D$10:$L$10-($D$9:$L$9+INT(($S$12:$AA$12+INDEX($AJ$13:$AR$162,BN3230,0)+INDEX($AT$13:$BB$162,BO3230,0)+INDEX($BD$13:$BL$162,BP3230,0))/100)))),0)</f>
        <v/>
      </c>
      <c r="BS3230">
        <f>IF(3217&lt;$U$9,SUMPRODUCT(($D$9:$L$9+INT(($S$12:$AA$12+INDEX($AJ$13:$AR$162,BN3230,0)+INDEX($AT$13:$BB$162,BO3230,0)+INDEX($BD$13:$BL$162,BP3230,0))/100))),0)</f>
        <v/>
      </c>
      <c r="BT3230">
        <f>IF(AND(3217&lt;$U$9,$W$5),BQ3230*1000000-MIN(BR3230,999)*1000+BS3230-3217/100000,-1000000000-3217)</f>
        <v/>
      </c>
    </row>
    <row r="3231">
      <c r="BN3231">
        <f>IF(3218&lt;$U$9,INT(3218/($U$7*$U$8))+1,1)</f>
        <v/>
      </c>
      <c r="BO3231">
        <f>IF(3218&lt;$U$9,MOD(INT(3218/$U$8),$U$7)+1,1)</f>
        <v/>
      </c>
      <c r="BP3231">
        <f>IF(3218&lt;$U$9,MOD(3218,$U$8)+1,1)</f>
        <v/>
      </c>
      <c r="BQ3231">
        <f>IF(3218&lt;$U$9,SUMPRODUCT(($D$10:$L$10&lt;&gt;"")*(($D$9:$L$9+INT(($S$12:$AA$12+INDEX($AJ$13:$AR$162,BN3231,0)+INDEX($AT$13:$BB$162,BO3231,0)+INDEX($BD$13:$BL$162,BP3231,0))/100))&gt;=$D$10:$L$10)),0)</f>
        <v/>
      </c>
      <c r="BR3231">
        <f>IF(3218&lt;$U$9,SUMPRODUCT(($D$10:$L$10&lt;&gt;"")*(($D$10:$L$10-($D$9:$L$9+INT(($S$12:$AA$12+INDEX($AJ$13:$AR$162,BN3231,0)+INDEX($AT$13:$BB$162,BO3231,0)+INDEX($BD$13:$BL$162,BP3231,0))/100)))&gt;0)*($D$10:$L$10-($D$9:$L$9+INT(($S$12:$AA$12+INDEX($AJ$13:$AR$162,BN3231,0)+INDEX($AT$13:$BB$162,BO3231,0)+INDEX($BD$13:$BL$162,BP3231,0))/100)))),0)</f>
        <v/>
      </c>
      <c r="BS3231">
        <f>IF(3218&lt;$U$9,SUMPRODUCT(($D$9:$L$9+INT(($S$12:$AA$12+INDEX($AJ$13:$AR$162,BN3231,0)+INDEX($AT$13:$BB$162,BO3231,0)+INDEX($BD$13:$BL$162,BP3231,0))/100))),0)</f>
        <v/>
      </c>
      <c r="BT3231">
        <f>IF(AND(3218&lt;$U$9,$W$5),BQ3231*1000000-MIN(BR3231,999)*1000+BS3231-3218/100000,-1000000000-3218)</f>
        <v/>
      </c>
    </row>
    <row r="3232">
      <c r="BN3232">
        <f>IF(3219&lt;$U$9,INT(3219/($U$7*$U$8))+1,1)</f>
        <v/>
      </c>
      <c r="BO3232">
        <f>IF(3219&lt;$U$9,MOD(INT(3219/$U$8),$U$7)+1,1)</f>
        <v/>
      </c>
      <c r="BP3232">
        <f>IF(3219&lt;$U$9,MOD(3219,$U$8)+1,1)</f>
        <v/>
      </c>
      <c r="BQ3232">
        <f>IF(3219&lt;$U$9,SUMPRODUCT(($D$10:$L$10&lt;&gt;"")*(($D$9:$L$9+INT(($S$12:$AA$12+INDEX($AJ$13:$AR$162,BN3232,0)+INDEX($AT$13:$BB$162,BO3232,0)+INDEX($BD$13:$BL$162,BP3232,0))/100))&gt;=$D$10:$L$10)),0)</f>
        <v/>
      </c>
      <c r="BR3232">
        <f>IF(3219&lt;$U$9,SUMPRODUCT(($D$10:$L$10&lt;&gt;"")*(($D$10:$L$10-($D$9:$L$9+INT(($S$12:$AA$12+INDEX($AJ$13:$AR$162,BN3232,0)+INDEX($AT$13:$BB$162,BO3232,0)+INDEX($BD$13:$BL$162,BP3232,0))/100)))&gt;0)*($D$10:$L$10-($D$9:$L$9+INT(($S$12:$AA$12+INDEX($AJ$13:$AR$162,BN3232,0)+INDEX($AT$13:$BB$162,BO3232,0)+INDEX($BD$13:$BL$162,BP3232,0))/100)))),0)</f>
        <v/>
      </c>
      <c r="BS3232">
        <f>IF(3219&lt;$U$9,SUMPRODUCT(($D$9:$L$9+INT(($S$12:$AA$12+INDEX($AJ$13:$AR$162,BN3232,0)+INDEX($AT$13:$BB$162,BO3232,0)+INDEX($BD$13:$BL$162,BP3232,0))/100))),0)</f>
        <v/>
      </c>
      <c r="BT3232">
        <f>IF(AND(3219&lt;$U$9,$W$5),BQ3232*1000000-MIN(BR3232,999)*1000+BS3232-3219/100000,-1000000000-3219)</f>
        <v/>
      </c>
    </row>
    <row r="3233">
      <c r="BN3233">
        <f>IF(3220&lt;$U$9,INT(3220/($U$7*$U$8))+1,1)</f>
        <v/>
      </c>
      <c r="BO3233">
        <f>IF(3220&lt;$U$9,MOD(INT(3220/$U$8),$U$7)+1,1)</f>
        <v/>
      </c>
      <c r="BP3233">
        <f>IF(3220&lt;$U$9,MOD(3220,$U$8)+1,1)</f>
        <v/>
      </c>
      <c r="BQ3233">
        <f>IF(3220&lt;$U$9,SUMPRODUCT(($D$10:$L$10&lt;&gt;"")*(($D$9:$L$9+INT(($S$12:$AA$12+INDEX($AJ$13:$AR$162,BN3233,0)+INDEX($AT$13:$BB$162,BO3233,0)+INDEX($BD$13:$BL$162,BP3233,0))/100))&gt;=$D$10:$L$10)),0)</f>
        <v/>
      </c>
      <c r="BR3233">
        <f>IF(3220&lt;$U$9,SUMPRODUCT(($D$10:$L$10&lt;&gt;"")*(($D$10:$L$10-($D$9:$L$9+INT(($S$12:$AA$12+INDEX($AJ$13:$AR$162,BN3233,0)+INDEX($AT$13:$BB$162,BO3233,0)+INDEX($BD$13:$BL$162,BP3233,0))/100)))&gt;0)*($D$10:$L$10-($D$9:$L$9+INT(($S$12:$AA$12+INDEX($AJ$13:$AR$162,BN3233,0)+INDEX($AT$13:$BB$162,BO3233,0)+INDEX($BD$13:$BL$162,BP3233,0))/100)))),0)</f>
        <v/>
      </c>
      <c r="BS3233">
        <f>IF(3220&lt;$U$9,SUMPRODUCT(($D$9:$L$9+INT(($S$12:$AA$12+INDEX($AJ$13:$AR$162,BN3233,0)+INDEX($AT$13:$BB$162,BO3233,0)+INDEX($BD$13:$BL$162,BP3233,0))/100))),0)</f>
        <v/>
      </c>
      <c r="BT3233">
        <f>IF(AND(3220&lt;$U$9,$W$5),BQ3233*1000000-MIN(BR3233,999)*1000+BS3233-3220/100000,-1000000000-3220)</f>
        <v/>
      </c>
    </row>
    <row r="3234">
      <c r="BN3234">
        <f>IF(3221&lt;$U$9,INT(3221/($U$7*$U$8))+1,1)</f>
        <v/>
      </c>
      <c r="BO3234">
        <f>IF(3221&lt;$U$9,MOD(INT(3221/$U$8),$U$7)+1,1)</f>
        <v/>
      </c>
      <c r="BP3234">
        <f>IF(3221&lt;$U$9,MOD(3221,$U$8)+1,1)</f>
        <v/>
      </c>
      <c r="BQ3234">
        <f>IF(3221&lt;$U$9,SUMPRODUCT(($D$10:$L$10&lt;&gt;"")*(($D$9:$L$9+INT(($S$12:$AA$12+INDEX($AJ$13:$AR$162,BN3234,0)+INDEX($AT$13:$BB$162,BO3234,0)+INDEX($BD$13:$BL$162,BP3234,0))/100))&gt;=$D$10:$L$10)),0)</f>
        <v/>
      </c>
      <c r="BR3234">
        <f>IF(3221&lt;$U$9,SUMPRODUCT(($D$10:$L$10&lt;&gt;"")*(($D$10:$L$10-($D$9:$L$9+INT(($S$12:$AA$12+INDEX($AJ$13:$AR$162,BN3234,0)+INDEX($AT$13:$BB$162,BO3234,0)+INDEX($BD$13:$BL$162,BP3234,0))/100)))&gt;0)*($D$10:$L$10-($D$9:$L$9+INT(($S$12:$AA$12+INDEX($AJ$13:$AR$162,BN3234,0)+INDEX($AT$13:$BB$162,BO3234,0)+INDEX($BD$13:$BL$162,BP3234,0))/100)))),0)</f>
        <v/>
      </c>
      <c r="BS3234">
        <f>IF(3221&lt;$U$9,SUMPRODUCT(($D$9:$L$9+INT(($S$12:$AA$12+INDEX($AJ$13:$AR$162,BN3234,0)+INDEX($AT$13:$BB$162,BO3234,0)+INDEX($BD$13:$BL$162,BP3234,0))/100))),0)</f>
        <v/>
      </c>
      <c r="BT3234">
        <f>IF(AND(3221&lt;$U$9,$W$5),BQ3234*1000000-MIN(BR3234,999)*1000+BS3234-3221/100000,-1000000000-3221)</f>
        <v/>
      </c>
    </row>
    <row r="3235">
      <c r="BN3235">
        <f>IF(3222&lt;$U$9,INT(3222/($U$7*$U$8))+1,1)</f>
        <v/>
      </c>
      <c r="BO3235">
        <f>IF(3222&lt;$U$9,MOD(INT(3222/$U$8),$U$7)+1,1)</f>
        <v/>
      </c>
      <c r="BP3235">
        <f>IF(3222&lt;$U$9,MOD(3222,$U$8)+1,1)</f>
        <v/>
      </c>
      <c r="BQ3235">
        <f>IF(3222&lt;$U$9,SUMPRODUCT(($D$10:$L$10&lt;&gt;"")*(($D$9:$L$9+INT(($S$12:$AA$12+INDEX($AJ$13:$AR$162,BN3235,0)+INDEX($AT$13:$BB$162,BO3235,0)+INDEX($BD$13:$BL$162,BP3235,0))/100))&gt;=$D$10:$L$10)),0)</f>
        <v/>
      </c>
      <c r="BR3235">
        <f>IF(3222&lt;$U$9,SUMPRODUCT(($D$10:$L$10&lt;&gt;"")*(($D$10:$L$10-($D$9:$L$9+INT(($S$12:$AA$12+INDEX($AJ$13:$AR$162,BN3235,0)+INDEX($AT$13:$BB$162,BO3235,0)+INDEX($BD$13:$BL$162,BP3235,0))/100)))&gt;0)*($D$10:$L$10-($D$9:$L$9+INT(($S$12:$AA$12+INDEX($AJ$13:$AR$162,BN3235,0)+INDEX($AT$13:$BB$162,BO3235,0)+INDEX($BD$13:$BL$162,BP3235,0))/100)))),0)</f>
        <v/>
      </c>
      <c r="BS3235">
        <f>IF(3222&lt;$U$9,SUMPRODUCT(($D$9:$L$9+INT(($S$12:$AA$12+INDEX($AJ$13:$AR$162,BN3235,0)+INDEX($AT$13:$BB$162,BO3235,0)+INDEX($BD$13:$BL$162,BP3235,0))/100))),0)</f>
        <v/>
      </c>
      <c r="BT3235">
        <f>IF(AND(3222&lt;$U$9,$W$5),BQ3235*1000000-MIN(BR3235,999)*1000+BS3235-3222/100000,-1000000000-3222)</f>
        <v/>
      </c>
    </row>
    <row r="3236">
      <c r="BN3236">
        <f>IF(3223&lt;$U$9,INT(3223/($U$7*$U$8))+1,1)</f>
        <v/>
      </c>
      <c r="BO3236">
        <f>IF(3223&lt;$U$9,MOD(INT(3223/$U$8),$U$7)+1,1)</f>
        <v/>
      </c>
      <c r="BP3236">
        <f>IF(3223&lt;$U$9,MOD(3223,$U$8)+1,1)</f>
        <v/>
      </c>
      <c r="BQ3236">
        <f>IF(3223&lt;$U$9,SUMPRODUCT(($D$10:$L$10&lt;&gt;"")*(($D$9:$L$9+INT(($S$12:$AA$12+INDEX($AJ$13:$AR$162,BN3236,0)+INDEX($AT$13:$BB$162,BO3236,0)+INDEX($BD$13:$BL$162,BP3236,0))/100))&gt;=$D$10:$L$10)),0)</f>
        <v/>
      </c>
      <c r="BR3236">
        <f>IF(3223&lt;$U$9,SUMPRODUCT(($D$10:$L$10&lt;&gt;"")*(($D$10:$L$10-($D$9:$L$9+INT(($S$12:$AA$12+INDEX($AJ$13:$AR$162,BN3236,0)+INDEX($AT$13:$BB$162,BO3236,0)+INDEX($BD$13:$BL$162,BP3236,0))/100)))&gt;0)*($D$10:$L$10-($D$9:$L$9+INT(($S$12:$AA$12+INDEX($AJ$13:$AR$162,BN3236,0)+INDEX($AT$13:$BB$162,BO3236,0)+INDEX($BD$13:$BL$162,BP3236,0))/100)))),0)</f>
        <v/>
      </c>
      <c r="BS3236">
        <f>IF(3223&lt;$U$9,SUMPRODUCT(($D$9:$L$9+INT(($S$12:$AA$12+INDEX($AJ$13:$AR$162,BN3236,0)+INDEX($AT$13:$BB$162,BO3236,0)+INDEX($BD$13:$BL$162,BP3236,0))/100))),0)</f>
        <v/>
      </c>
      <c r="BT3236">
        <f>IF(AND(3223&lt;$U$9,$W$5),BQ3236*1000000-MIN(BR3236,999)*1000+BS3236-3223/100000,-1000000000-3223)</f>
        <v/>
      </c>
    </row>
    <row r="3237">
      <c r="BN3237">
        <f>IF(3224&lt;$U$9,INT(3224/($U$7*$U$8))+1,1)</f>
        <v/>
      </c>
      <c r="BO3237">
        <f>IF(3224&lt;$U$9,MOD(INT(3224/$U$8),$U$7)+1,1)</f>
        <v/>
      </c>
      <c r="BP3237">
        <f>IF(3224&lt;$U$9,MOD(3224,$U$8)+1,1)</f>
        <v/>
      </c>
      <c r="BQ3237">
        <f>IF(3224&lt;$U$9,SUMPRODUCT(($D$10:$L$10&lt;&gt;"")*(($D$9:$L$9+INT(($S$12:$AA$12+INDEX($AJ$13:$AR$162,BN3237,0)+INDEX($AT$13:$BB$162,BO3237,0)+INDEX($BD$13:$BL$162,BP3237,0))/100))&gt;=$D$10:$L$10)),0)</f>
        <v/>
      </c>
      <c r="BR3237">
        <f>IF(3224&lt;$U$9,SUMPRODUCT(($D$10:$L$10&lt;&gt;"")*(($D$10:$L$10-($D$9:$L$9+INT(($S$12:$AA$12+INDEX($AJ$13:$AR$162,BN3237,0)+INDEX($AT$13:$BB$162,BO3237,0)+INDEX($BD$13:$BL$162,BP3237,0))/100)))&gt;0)*($D$10:$L$10-($D$9:$L$9+INT(($S$12:$AA$12+INDEX($AJ$13:$AR$162,BN3237,0)+INDEX($AT$13:$BB$162,BO3237,0)+INDEX($BD$13:$BL$162,BP3237,0))/100)))),0)</f>
        <v/>
      </c>
      <c r="BS3237">
        <f>IF(3224&lt;$U$9,SUMPRODUCT(($D$9:$L$9+INT(($S$12:$AA$12+INDEX($AJ$13:$AR$162,BN3237,0)+INDEX($AT$13:$BB$162,BO3237,0)+INDEX($BD$13:$BL$162,BP3237,0))/100))),0)</f>
        <v/>
      </c>
      <c r="BT3237">
        <f>IF(AND(3224&lt;$U$9,$W$5),BQ3237*1000000-MIN(BR3237,999)*1000+BS3237-3224/100000,-1000000000-3224)</f>
        <v/>
      </c>
    </row>
    <row r="3238">
      <c r="BN3238">
        <f>IF(3225&lt;$U$9,INT(3225/($U$7*$U$8))+1,1)</f>
        <v/>
      </c>
      <c r="BO3238">
        <f>IF(3225&lt;$U$9,MOD(INT(3225/$U$8),$U$7)+1,1)</f>
        <v/>
      </c>
      <c r="BP3238">
        <f>IF(3225&lt;$U$9,MOD(3225,$U$8)+1,1)</f>
        <v/>
      </c>
      <c r="BQ3238">
        <f>IF(3225&lt;$U$9,SUMPRODUCT(($D$10:$L$10&lt;&gt;"")*(($D$9:$L$9+INT(($S$12:$AA$12+INDEX($AJ$13:$AR$162,BN3238,0)+INDEX($AT$13:$BB$162,BO3238,0)+INDEX($BD$13:$BL$162,BP3238,0))/100))&gt;=$D$10:$L$10)),0)</f>
        <v/>
      </c>
      <c r="BR3238">
        <f>IF(3225&lt;$U$9,SUMPRODUCT(($D$10:$L$10&lt;&gt;"")*(($D$10:$L$10-($D$9:$L$9+INT(($S$12:$AA$12+INDEX($AJ$13:$AR$162,BN3238,0)+INDEX($AT$13:$BB$162,BO3238,0)+INDEX($BD$13:$BL$162,BP3238,0))/100)))&gt;0)*($D$10:$L$10-($D$9:$L$9+INT(($S$12:$AA$12+INDEX($AJ$13:$AR$162,BN3238,0)+INDEX($AT$13:$BB$162,BO3238,0)+INDEX($BD$13:$BL$162,BP3238,0))/100)))),0)</f>
        <v/>
      </c>
      <c r="BS3238">
        <f>IF(3225&lt;$U$9,SUMPRODUCT(($D$9:$L$9+INT(($S$12:$AA$12+INDEX($AJ$13:$AR$162,BN3238,0)+INDEX($AT$13:$BB$162,BO3238,0)+INDEX($BD$13:$BL$162,BP3238,0))/100))),0)</f>
        <v/>
      </c>
      <c r="BT3238">
        <f>IF(AND(3225&lt;$U$9,$W$5),BQ3238*1000000-MIN(BR3238,999)*1000+BS3238-3225/100000,-1000000000-3225)</f>
        <v/>
      </c>
    </row>
    <row r="3239">
      <c r="BN3239">
        <f>IF(3226&lt;$U$9,INT(3226/($U$7*$U$8))+1,1)</f>
        <v/>
      </c>
      <c r="BO3239">
        <f>IF(3226&lt;$U$9,MOD(INT(3226/$U$8),$U$7)+1,1)</f>
        <v/>
      </c>
      <c r="BP3239">
        <f>IF(3226&lt;$U$9,MOD(3226,$U$8)+1,1)</f>
        <v/>
      </c>
      <c r="BQ3239">
        <f>IF(3226&lt;$U$9,SUMPRODUCT(($D$10:$L$10&lt;&gt;"")*(($D$9:$L$9+INT(($S$12:$AA$12+INDEX($AJ$13:$AR$162,BN3239,0)+INDEX($AT$13:$BB$162,BO3239,0)+INDEX($BD$13:$BL$162,BP3239,0))/100))&gt;=$D$10:$L$10)),0)</f>
        <v/>
      </c>
      <c r="BR3239">
        <f>IF(3226&lt;$U$9,SUMPRODUCT(($D$10:$L$10&lt;&gt;"")*(($D$10:$L$10-($D$9:$L$9+INT(($S$12:$AA$12+INDEX($AJ$13:$AR$162,BN3239,0)+INDEX($AT$13:$BB$162,BO3239,0)+INDEX($BD$13:$BL$162,BP3239,0))/100)))&gt;0)*($D$10:$L$10-($D$9:$L$9+INT(($S$12:$AA$12+INDEX($AJ$13:$AR$162,BN3239,0)+INDEX($AT$13:$BB$162,BO3239,0)+INDEX($BD$13:$BL$162,BP3239,0))/100)))),0)</f>
        <v/>
      </c>
      <c r="BS3239">
        <f>IF(3226&lt;$U$9,SUMPRODUCT(($D$9:$L$9+INT(($S$12:$AA$12+INDEX($AJ$13:$AR$162,BN3239,0)+INDEX($AT$13:$BB$162,BO3239,0)+INDEX($BD$13:$BL$162,BP3239,0))/100))),0)</f>
        <v/>
      </c>
      <c r="BT3239">
        <f>IF(AND(3226&lt;$U$9,$W$5),BQ3239*1000000-MIN(BR3239,999)*1000+BS3239-3226/100000,-1000000000-3226)</f>
        <v/>
      </c>
    </row>
    <row r="3240">
      <c r="BN3240">
        <f>IF(3227&lt;$U$9,INT(3227/($U$7*$U$8))+1,1)</f>
        <v/>
      </c>
      <c r="BO3240">
        <f>IF(3227&lt;$U$9,MOD(INT(3227/$U$8),$U$7)+1,1)</f>
        <v/>
      </c>
      <c r="BP3240">
        <f>IF(3227&lt;$U$9,MOD(3227,$U$8)+1,1)</f>
        <v/>
      </c>
      <c r="BQ3240">
        <f>IF(3227&lt;$U$9,SUMPRODUCT(($D$10:$L$10&lt;&gt;"")*(($D$9:$L$9+INT(($S$12:$AA$12+INDEX($AJ$13:$AR$162,BN3240,0)+INDEX($AT$13:$BB$162,BO3240,0)+INDEX($BD$13:$BL$162,BP3240,0))/100))&gt;=$D$10:$L$10)),0)</f>
        <v/>
      </c>
      <c r="BR3240">
        <f>IF(3227&lt;$U$9,SUMPRODUCT(($D$10:$L$10&lt;&gt;"")*(($D$10:$L$10-($D$9:$L$9+INT(($S$12:$AA$12+INDEX($AJ$13:$AR$162,BN3240,0)+INDEX($AT$13:$BB$162,BO3240,0)+INDEX($BD$13:$BL$162,BP3240,0))/100)))&gt;0)*($D$10:$L$10-($D$9:$L$9+INT(($S$12:$AA$12+INDEX($AJ$13:$AR$162,BN3240,0)+INDEX($AT$13:$BB$162,BO3240,0)+INDEX($BD$13:$BL$162,BP3240,0))/100)))),0)</f>
        <v/>
      </c>
      <c r="BS3240">
        <f>IF(3227&lt;$U$9,SUMPRODUCT(($D$9:$L$9+INT(($S$12:$AA$12+INDEX($AJ$13:$AR$162,BN3240,0)+INDEX($AT$13:$BB$162,BO3240,0)+INDEX($BD$13:$BL$162,BP3240,0))/100))),0)</f>
        <v/>
      </c>
      <c r="BT3240">
        <f>IF(AND(3227&lt;$U$9,$W$5),BQ3240*1000000-MIN(BR3240,999)*1000+BS3240-3227/100000,-1000000000-3227)</f>
        <v/>
      </c>
    </row>
    <row r="3241">
      <c r="BN3241">
        <f>IF(3228&lt;$U$9,INT(3228/($U$7*$U$8))+1,1)</f>
        <v/>
      </c>
      <c r="BO3241">
        <f>IF(3228&lt;$U$9,MOD(INT(3228/$U$8),$U$7)+1,1)</f>
        <v/>
      </c>
      <c r="BP3241">
        <f>IF(3228&lt;$U$9,MOD(3228,$U$8)+1,1)</f>
        <v/>
      </c>
      <c r="BQ3241">
        <f>IF(3228&lt;$U$9,SUMPRODUCT(($D$10:$L$10&lt;&gt;"")*(($D$9:$L$9+INT(($S$12:$AA$12+INDEX($AJ$13:$AR$162,BN3241,0)+INDEX($AT$13:$BB$162,BO3241,0)+INDEX($BD$13:$BL$162,BP3241,0))/100))&gt;=$D$10:$L$10)),0)</f>
        <v/>
      </c>
      <c r="BR3241">
        <f>IF(3228&lt;$U$9,SUMPRODUCT(($D$10:$L$10&lt;&gt;"")*(($D$10:$L$10-($D$9:$L$9+INT(($S$12:$AA$12+INDEX($AJ$13:$AR$162,BN3241,0)+INDEX($AT$13:$BB$162,BO3241,0)+INDEX($BD$13:$BL$162,BP3241,0))/100)))&gt;0)*($D$10:$L$10-($D$9:$L$9+INT(($S$12:$AA$12+INDEX($AJ$13:$AR$162,BN3241,0)+INDEX($AT$13:$BB$162,BO3241,0)+INDEX($BD$13:$BL$162,BP3241,0))/100)))),0)</f>
        <v/>
      </c>
      <c r="BS3241">
        <f>IF(3228&lt;$U$9,SUMPRODUCT(($D$9:$L$9+INT(($S$12:$AA$12+INDEX($AJ$13:$AR$162,BN3241,0)+INDEX($AT$13:$BB$162,BO3241,0)+INDEX($BD$13:$BL$162,BP3241,0))/100))),0)</f>
        <v/>
      </c>
      <c r="BT3241">
        <f>IF(AND(3228&lt;$U$9,$W$5),BQ3241*1000000-MIN(BR3241,999)*1000+BS3241-3228/100000,-1000000000-3228)</f>
        <v/>
      </c>
    </row>
    <row r="3242">
      <c r="BN3242">
        <f>IF(3229&lt;$U$9,INT(3229/($U$7*$U$8))+1,1)</f>
        <v/>
      </c>
      <c r="BO3242">
        <f>IF(3229&lt;$U$9,MOD(INT(3229/$U$8),$U$7)+1,1)</f>
        <v/>
      </c>
      <c r="BP3242">
        <f>IF(3229&lt;$U$9,MOD(3229,$U$8)+1,1)</f>
        <v/>
      </c>
      <c r="BQ3242">
        <f>IF(3229&lt;$U$9,SUMPRODUCT(($D$10:$L$10&lt;&gt;"")*(($D$9:$L$9+INT(($S$12:$AA$12+INDEX($AJ$13:$AR$162,BN3242,0)+INDEX($AT$13:$BB$162,BO3242,0)+INDEX($BD$13:$BL$162,BP3242,0))/100))&gt;=$D$10:$L$10)),0)</f>
        <v/>
      </c>
      <c r="BR3242">
        <f>IF(3229&lt;$U$9,SUMPRODUCT(($D$10:$L$10&lt;&gt;"")*(($D$10:$L$10-($D$9:$L$9+INT(($S$12:$AA$12+INDEX($AJ$13:$AR$162,BN3242,0)+INDEX($AT$13:$BB$162,BO3242,0)+INDEX($BD$13:$BL$162,BP3242,0))/100)))&gt;0)*($D$10:$L$10-($D$9:$L$9+INT(($S$12:$AA$12+INDEX($AJ$13:$AR$162,BN3242,0)+INDEX($AT$13:$BB$162,BO3242,0)+INDEX($BD$13:$BL$162,BP3242,0))/100)))),0)</f>
        <v/>
      </c>
      <c r="BS3242">
        <f>IF(3229&lt;$U$9,SUMPRODUCT(($D$9:$L$9+INT(($S$12:$AA$12+INDEX($AJ$13:$AR$162,BN3242,0)+INDEX($AT$13:$BB$162,BO3242,0)+INDEX($BD$13:$BL$162,BP3242,0))/100))),0)</f>
        <v/>
      </c>
      <c r="BT3242">
        <f>IF(AND(3229&lt;$U$9,$W$5),BQ3242*1000000-MIN(BR3242,999)*1000+BS3242-3229/100000,-1000000000-3229)</f>
        <v/>
      </c>
    </row>
    <row r="3243">
      <c r="BN3243">
        <f>IF(3230&lt;$U$9,INT(3230/($U$7*$U$8))+1,1)</f>
        <v/>
      </c>
      <c r="BO3243">
        <f>IF(3230&lt;$U$9,MOD(INT(3230/$U$8),$U$7)+1,1)</f>
        <v/>
      </c>
      <c r="BP3243">
        <f>IF(3230&lt;$U$9,MOD(3230,$U$8)+1,1)</f>
        <v/>
      </c>
      <c r="BQ3243">
        <f>IF(3230&lt;$U$9,SUMPRODUCT(($D$10:$L$10&lt;&gt;"")*(($D$9:$L$9+INT(($S$12:$AA$12+INDEX($AJ$13:$AR$162,BN3243,0)+INDEX($AT$13:$BB$162,BO3243,0)+INDEX($BD$13:$BL$162,BP3243,0))/100))&gt;=$D$10:$L$10)),0)</f>
        <v/>
      </c>
      <c r="BR3243">
        <f>IF(3230&lt;$U$9,SUMPRODUCT(($D$10:$L$10&lt;&gt;"")*(($D$10:$L$10-($D$9:$L$9+INT(($S$12:$AA$12+INDEX($AJ$13:$AR$162,BN3243,0)+INDEX($AT$13:$BB$162,BO3243,0)+INDEX($BD$13:$BL$162,BP3243,0))/100)))&gt;0)*($D$10:$L$10-($D$9:$L$9+INT(($S$12:$AA$12+INDEX($AJ$13:$AR$162,BN3243,0)+INDEX($AT$13:$BB$162,BO3243,0)+INDEX($BD$13:$BL$162,BP3243,0))/100)))),0)</f>
        <v/>
      </c>
      <c r="BS3243">
        <f>IF(3230&lt;$U$9,SUMPRODUCT(($D$9:$L$9+INT(($S$12:$AA$12+INDEX($AJ$13:$AR$162,BN3243,0)+INDEX($AT$13:$BB$162,BO3243,0)+INDEX($BD$13:$BL$162,BP3243,0))/100))),0)</f>
        <v/>
      </c>
      <c r="BT3243">
        <f>IF(AND(3230&lt;$U$9,$W$5),BQ3243*1000000-MIN(BR3243,999)*1000+BS3243-3230/100000,-1000000000-3230)</f>
        <v/>
      </c>
    </row>
    <row r="3244">
      <c r="BN3244">
        <f>IF(3231&lt;$U$9,INT(3231/($U$7*$U$8))+1,1)</f>
        <v/>
      </c>
      <c r="BO3244">
        <f>IF(3231&lt;$U$9,MOD(INT(3231/$U$8),$U$7)+1,1)</f>
        <v/>
      </c>
      <c r="BP3244">
        <f>IF(3231&lt;$U$9,MOD(3231,$U$8)+1,1)</f>
        <v/>
      </c>
      <c r="BQ3244">
        <f>IF(3231&lt;$U$9,SUMPRODUCT(($D$10:$L$10&lt;&gt;"")*(($D$9:$L$9+INT(($S$12:$AA$12+INDEX($AJ$13:$AR$162,BN3244,0)+INDEX($AT$13:$BB$162,BO3244,0)+INDEX($BD$13:$BL$162,BP3244,0))/100))&gt;=$D$10:$L$10)),0)</f>
        <v/>
      </c>
      <c r="BR3244">
        <f>IF(3231&lt;$U$9,SUMPRODUCT(($D$10:$L$10&lt;&gt;"")*(($D$10:$L$10-($D$9:$L$9+INT(($S$12:$AA$12+INDEX($AJ$13:$AR$162,BN3244,0)+INDEX($AT$13:$BB$162,BO3244,0)+INDEX($BD$13:$BL$162,BP3244,0))/100)))&gt;0)*($D$10:$L$10-($D$9:$L$9+INT(($S$12:$AA$12+INDEX($AJ$13:$AR$162,BN3244,0)+INDEX($AT$13:$BB$162,BO3244,0)+INDEX($BD$13:$BL$162,BP3244,0))/100)))),0)</f>
        <v/>
      </c>
      <c r="BS3244">
        <f>IF(3231&lt;$U$9,SUMPRODUCT(($D$9:$L$9+INT(($S$12:$AA$12+INDEX($AJ$13:$AR$162,BN3244,0)+INDEX($AT$13:$BB$162,BO3244,0)+INDEX($BD$13:$BL$162,BP3244,0))/100))),0)</f>
        <v/>
      </c>
      <c r="BT3244">
        <f>IF(AND(3231&lt;$U$9,$W$5),BQ3244*1000000-MIN(BR3244,999)*1000+BS3244-3231/100000,-1000000000-3231)</f>
        <v/>
      </c>
    </row>
    <row r="3245">
      <c r="BN3245">
        <f>IF(3232&lt;$U$9,INT(3232/($U$7*$U$8))+1,1)</f>
        <v/>
      </c>
      <c r="BO3245">
        <f>IF(3232&lt;$U$9,MOD(INT(3232/$U$8),$U$7)+1,1)</f>
        <v/>
      </c>
      <c r="BP3245">
        <f>IF(3232&lt;$U$9,MOD(3232,$U$8)+1,1)</f>
        <v/>
      </c>
      <c r="BQ3245">
        <f>IF(3232&lt;$U$9,SUMPRODUCT(($D$10:$L$10&lt;&gt;"")*(($D$9:$L$9+INT(($S$12:$AA$12+INDEX($AJ$13:$AR$162,BN3245,0)+INDEX($AT$13:$BB$162,BO3245,0)+INDEX($BD$13:$BL$162,BP3245,0))/100))&gt;=$D$10:$L$10)),0)</f>
        <v/>
      </c>
      <c r="BR3245">
        <f>IF(3232&lt;$U$9,SUMPRODUCT(($D$10:$L$10&lt;&gt;"")*(($D$10:$L$10-($D$9:$L$9+INT(($S$12:$AA$12+INDEX($AJ$13:$AR$162,BN3245,0)+INDEX($AT$13:$BB$162,BO3245,0)+INDEX($BD$13:$BL$162,BP3245,0))/100)))&gt;0)*($D$10:$L$10-($D$9:$L$9+INT(($S$12:$AA$12+INDEX($AJ$13:$AR$162,BN3245,0)+INDEX($AT$13:$BB$162,BO3245,0)+INDEX($BD$13:$BL$162,BP3245,0))/100)))),0)</f>
        <v/>
      </c>
      <c r="BS3245">
        <f>IF(3232&lt;$U$9,SUMPRODUCT(($D$9:$L$9+INT(($S$12:$AA$12+INDEX($AJ$13:$AR$162,BN3245,0)+INDEX($AT$13:$BB$162,BO3245,0)+INDEX($BD$13:$BL$162,BP3245,0))/100))),0)</f>
        <v/>
      </c>
      <c r="BT3245">
        <f>IF(AND(3232&lt;$U$9,$W$5),BQ3245*1000000-MIN(BR3245,999)*1000+BS3245-3232/100000,-1000000000-3232)</f>
        <v/>
      </c>
    </row>
    <row r="3246">
      <c r="BN3246">
        <f>IF(3233&lt;$U$9,INT(3233/($U$7*$U$8))+1,1)</f>
        <v/>
      </c>
      <c r="BO3246">
        <f>IF(3233&lt;$U$9,MOD(INT(3233/$U$8),$U$7)+1,1)</f>
        <v/>
      </c>
      <c r="BP3246">
        <f>IF(3233&lt;$U$9,MOD(3233,$U$8)+1,1)</f>
        <v/>
      </c>
      <c r="BQ3246">
        <f>IF(3233&lt;$U$9,SUMPRODUCT(($D$10:$L$10&lt;&gt;"")*(($D$9:$L$9+INT(($S$12:$AA$12+INDEX($AJ$13:$AR$162,BN3246,0)+INDEX($AT$13:$BB$162,BO3246,0)+INDEX($BD$13:$BL$162,BP3246,0))/100))&gt;=$D$10:$L$10)),0)</f>
        <v/>
      </c>
      <c r="BR3246">
        <f>IF(3233&lt;$U$9,SUMPRODUCT(($D$10:$L$10&lt;&gt;"")*(($D$10:$L$10-($D$9:$L$9+INT(($S$12:$AA$12+INDEX($AJ$13:$AR$162,BN3246,0)+INDEX($AT$13:$BB$162,BO3246,0)+INDEX($BD$13:$BL$162,BP3246,0))/100)))&gt;0)*($D$10:$L$10-($D$9:$L$9+INT(($S$12:$AA$12+INDEX($AJ$13:$AR$162,BN3246,0)+INDEX($AT$13:$BB$162,BO3246,0)+INDEX($BD$13:$BL$162,BP3246,0))/100)))),0)</f>
        <v/>
      </c>
      <c r="BS3246">
        <f>IF(3233&lt;$U$9,SUMPRODUCT(($D$9:$L$9+INT(($S$12:$AA$12+INDEX($AJ$13:$AR$162,BN3246,0)+INDEX($AT$13:$BB$162,BO3246,0)+INDEX($BD$13:$BL$162,BP3246,0))/100))),0)</f>
        <v/>
      </c>
      <c r="BT3246">
        <f>IF(AND(3233&lt;$U$9,$W$5),BQ3246*1000000-MIN(BR3246,999)*1000+BS3246-3233/100000,-1000000000-3233)</f>
        <v/>
      </c>
    </row>
    <row r="3247">
      <c r="BN3247">
        <f>IF(3234&lt;$U$9,INT(3234/($U$7*$U$8))+1,1)</f>
        <v/>
      </c>
      <c r="BO3247">
        <f>IF(3234&lt;$U$9,MOD(INT(3234/$U$8),$U$7)+1,1)</f>
        <v/>
      </c>
      <c r="BP3247">
        <f>IF(3234&lt;$U$9,MOD(3234,$U$8)+1,1)</f>
        <v/>
      </c>
      <c r="BQ3247">
        <f>IF(3234&lt;$U$9,SUMPRODUCT(($D$10:$L$10&lt;&gt;"")*(($D$9:$L$9+INT(($S$12:$AA$12+INDEX($AJ$13:$AR$162,BN3247,0)+INDEX($AT$13:$BB$162,BO3247,0)+INDEX($BD$13:$BL$162,BP3247,0))/100))&gt;=$D$10:$L$10)),0)</f>
        <v/>
      </c>
      <c r="BR3247">
        <f>IF(3234&lt;$U$9,SUMPRODUCT(($D$10:$L$10&lt;&gt;"")*(($D$10:$L$10-($D$9:$L$9+INT(($S$12:$AA$12+INDEX($AJ$13:$AR$162,BN3247,0)+INDEX($AT$13:$BB$162,BO3247,0)+INDEX($BD$13:$BL$162,BP3247,0))/100)))&gt;0)*($D$10:$L$10-($D$9:$L$9+INT(($S$12:$AA$12+INDEX($AJ$13:$AR$162,BN3247,0)+INDEX($AT$13:$BB$162,BO3247,0)+INDEX($BD$13:$BL$162,BP3247,0))/100)))),0)</f>
        <v/>
      </c>
      <c r="BS3247">
        <f>IF(3234&lt;$U$9,SUMPRODUCT(($D$9:$L$9+INT(($S$12:$AA$12+INDEX($AJ$13:$AR$162,BN3247,0)+INDEX($AT$13:$BB$162,BO3247,0)+INDEX($BD$13:$BL$162,BP3247,0))/100))),0)</f>
        <v/>
      </c>
      <c r="BT3247">
        <f>IF(AND(3234&lt;$U$9,$W$5),BQ3247*1000000-MIN(BR3247,999)*1000+BS3247-3234/100000,-1000000000-3234)</f>
        <v/>
      </c>
    </row>
    <row r="3248">
      <c r="BN3248">
        <f>IF(3235&lt;$U$9,INT(3235/($U$7*$U$8))+1,1)</f>
        <v/>
      </c>
      <c r="BO3248">
        <f>IF(3235&lt;$U$9,MOD(INT(3235/$U$8),$U$7)+1,1)</f>
        <v/>
      </c>
      <c r="BP3248">
        <f>IF(3235&lt;$U$9,MOD(3235,$U$8)+1,1)</f>
        <v/>
      </c>
      <c r="BQ3248">
        <f>IF(3235&lt;$U$9,SUMPRODUCT(($D$10:$L$10&lt;&gt;"")*(($D$9:$L$9+INT(($S$12:$AA$12+INDEX($AJ$13:$AR$162,BN3248,0)+INDEX($AT$13:$BB$162,BO3248,0)+INDEX($BD$13:$BL$162,BP3248,0))/100))&gt;=$D$10:$L$10)),0)</f>
        <v/>
      </c>
      <c r="BR3248">
        <f>IF(3235&lt;$U$9,SUMPRODUCT(($D$10:$L$10&lt;&gt;"")*(($D$10:$L$10-($D$9:$L$9+INT(($S$12:$AA$12+INDEX($AJ$13:$AR$162,BN3248,0)+INDEX($AT$13:$BB$162,BO3248,0)+INDEX($BD$13:$BL$162,BP3248,0))/100)))&gt;0)*($D$10:$L$10-($D$9:$L$9+INT(($S$12:$AA$12+INDEX($AJ$13:$AR$162,BN3248,0)+INDEX($AT$13:$BB$162,BO3248,0)+INDEX($BD$13:$BL$162,BP3248,0))/100)))),0)</f>
        <v/>
      </c>
      <c r="BS3248">
        <f>IF(3235&lt;$U$9,SUMPRODUCT(($D$9:$L$9+INT(($S$12:$AA$12+INDEX($AJ$13:$AR$162,BN3248,0)+INDEX($AT$13:$BB$162,BO3248,0)+INDEX($BD$13:$BL$162,BP3248,0))/100))),0)</f>
        <v/>
      </c>
      <c r="BT3248">
        <f>IF(AND(3235&lt;$U$9,$W$5),BQ3248*1000000-MIN(BR3248,999)*1000+BS3248-3235/100000,-1000000000-3235)</f>
        <v/>
      </c>
    </row>
    <row r="3249">
      <c r="BN3249">
        <f>IF(3236&lt;$U$9,INT(3236/($U$7*$U$8))+1,1)</f>
        <v/>
      </c>
      <c r="BO3249">
        <f>IF(3236&lt;$U$9,MOD(INT(3236/$U$8),$U$7)+1,1)</f>
        <v/>
      </c>
      <c r="BP3249">
        <f>IF(3236&lt;$U$9,MOD(3236,$U$8)+1,1)</f>
        <v/>
      </c>
      <c r="BQ3249">
        <f>IF(3236&lt;$U$9,SUMPRODUCT(($D$10:$L$10&lt;&gt;"")*(($D$9:$L$9+INT(($S$12:$AA$12+INDEX($AJ$13:$AR$162,BN3249,0)+INDEX($AT$13:$BB$162,BO3249,0)+INDEX($BD$13:$BL$162,BP3249,0))/100))&gt;=$D$10:$L$10)),0)</f>
        <v/>
      </c>
      <c r="BR3249">
        <f>IF(3236&lt;$U$9,SUMPRODUCT(($D$10:$L$10&lt;&gt;"")*(($D$10:$L$10-($D$9:$L$9+INT(($S$12:$AA$12+INDEX($AJ$13:$AR$162,BN3249,0)+INDEX($AT$13:$BB$162,BO3249,0)+INDEX($BD$13:$BL$162,BP3249,0))/100)))&gt;0)*($D$10:$L$10-($D$9:$L$9+INT(($S$12:$AA$12+INDEX($AJ$13:$AR$162,BN3249,0)+INDEX($AT$13:$BB$162,BO3249,0)+INDEX($BD$13:$BL$162,BP3249,0))/100)))),0)</f>
        <v/>
      </c>
      <c r="BS3249">
        <f>IF(3236&lt;$U$9,SUMPRODUCT(($D$9:$L$9+INT(($S$12:$AA$12+INDEX($AJ$13:$AR$162,BN3249,0)+INDEX($AT$13:$BB$162,BO3249,0)+INDEX($BD$13:$BL$162,BP3249,0))/100))),0)</f>
        <v/>
      </c>
      <c r="BT3249">
        <f>IF(AND(3236&lt;$U$9,$W$5),BQ3249*1000000-MIN(BR3249,999)*1000+BS3249-3236/100000,-1000000000-3236)</f>
        <v/>
      </c>
    </row>
    <row r="3250">
      <c r="BN3250">
        <f>IF(3237&lt;$U$9,INT(3237/($U$7*$U$8))+1,1)</f>
        <v/>
      </c>
      <c r="BO3250">
        <f>IF(3237&lt;$U$9,MOD(INT(3237/$U$8),$U$7)+1,1)</f>
        <v/>
      </c>
      <c r="BP3250">
        <f>IF(3237&lt;$U$9,MOD(3237,$U$8)+1,1)</f>
        <v/>
      </c>
      <c r="BQ3250">
        <f>IF(3237&lt;$U$9,SUMPRODUCT(($D$10:$L$10&lt;&gt;"")*(($D$9:$L$9+INT(($S$12:$AA$12+INDEX($AJ$13:$AR$162,BN3250,0)+INDEX($AT$13:$BB$162,BO3250,0)+INDEX($BD$13:$BL$162,BP3250,0))/100))&gt;=$D$10:$L$10)),0)</f>
        <v/>
      </c>
      <c r="BR3250">
        <f>IF(3237&lt;$U$9,SUMPRODUCT(($D$10:$L$10&lt;&gt;"")*(($D$10:$L$10-($D$9:$L$9+INT(($S$12:$AA$12+INDEX($AJ$13:$AR$162,BN3250,0)+INDEX($AT$13:$BB$162,BO3250,0)+INDEX($BD$13:$BL$162,BP3250,0))/100)))&gt;0)*($D$10:$L$10-($D$9:$L$9+INT(($S$12:$AA$12+INDEX($AJ$13:$AR$162,BN3250,0)+INDEX($AT$13:$BB$162,BO3250,0)+INDEX($BD$13:$BL$162,BP3250,0))/100)))),0)</f>
        <v/>
      </c>
      <c r="BS3250">
        <f>IF(3237&lt;$U$9,SUMPRODUCT(($D$9:$L$9+INT(($S$12:$AA$12+INDEX($AJ$13:$AR$162,BN3250,0)+INDEX($AT$13:$BB$162,BO3250,0)+INDEX($BD$13:$BL$162,BP3250,0))/100))),0)</f>
        <v/>
      </c>
      <c r="BT3250">
        <f>IF(AND(3237&lt;$U$9,$W$5),BQ3250*1000000-MIN(BR3250,999)*1000+BS3250-3237/100000,-1000000000-3237)</f>
        <v/>
      </c>
    </row>
    <row r="3251">
      <c r="BN3251">
        <f>IF(3238&lt;$U$9,INT(3238/($U$7*$U$8))+1,1)</f>
        <v/>
      </c>
      <c r="BO3251">
        <f>IF(3238&lt;$U$9,MOD(INT(3238/$U$8),$U$7)+1,1)</f>
        <v/>
      </c>
      <c r="BP3251">
        <f>IF(3238&lt;$U$9,MOD(3238,$U$8)+1,1)</f>
        <v/>
      </c>
      <c r="BQ3251">
        <f>IF(3238&lt;$U$9,SUMPRODUCT(($D$10:$L$10&lt;&gt;"")*(($D$9:$L$9+INT(($S$12:$AA$12+INDEX($AJ$13:$AR$162,BN3251,0)+INDEX($AT$13:$BB$162,BO3251,0)+INDEX($BD$13:$BL$162,BP3251,0))/100))&gt;=$D$10:$L$10)),0)</f>
        <v/>
      </c>
      <c r="BR3251">
        <f>IF(3238&lt;$U$9,SUMPRODUCT(($D$10:$L$10&lt;&gt;"")*(($D$10:$L$10-($D$9:$L$9+INT(($S$12:$AA$12+INDEX($AJ$13:$AR$162,BN3251,0)+INDEX($AT$13:$BB$162,BO3251,0)+INDEX($BD$13:$BL$162,BP3251,0))/100)))&gt;0)*($D$10:$L$10-($D$9:$L$9+INT(($S$12:$AA$12+INDEX($AJ$13:$AR$162,BN3251,0)+INDEX($AT$13:$BB$162,BO3251,0)+INDEX($BD$13:$BL$162,BP3251,0))/100)))),0)</f>
        <v/>
      </c>
      <c r="BS3251">
        <f>IF(3238&lt;$U$9,SUMPRODUCT(($D$9:$L$9+INT(($S$12:$AA$12+INDEX($AJ$13:$AR$162,BN3251,0)+INDEX($AT$13:$BB$162,BO3251,0)+INDEX($BD$13:$BL$162,BP3251,0))/100))),0)</f>
        <v/>
      </c>
      <c r="BT3251">
        <f>IF(AND(3238&lt;$U$9,$W$5),BQ3251*1000000-MIN(BR3251,999)*1000+BS3251-3238/100000,-1000000000-3238)</f>
        <v/>
      </c>
    </row>
    <row r="3252">
      <c r="BN3252">
        <f>IF(3239&lt;$U$9,INT(3239/($U$7*$U$8))+1,1)</f>
        <v/>
      </c>
      <c r="BO3252">
        <f>IF(3239&lt;$U$9,MOD(INT(3239/$U$8),$U$7)+1,1)</f>
        <v/>
      </c>
      <c r="BP3252">
        <f>IF(3239&lt;$U$9,MOD(3239,$U$8)+1,1)</f>
        <v/>
      </c>
      <c r="BQ3252">
        <f>IF(3239&lt;$U$9,SUMPRODUCT(($D$10:$L$10&lt;&gt;"")*(($D$9:$L$9+INT(($S$12:$AA$12+INDEX($AJ$13:$AR$162,BN3252,0)+INDEX($AT$13:$BB$162,BO3252,0)+INDEX($BD$13:$BL$162,BP3252,0))/100))&gt;=$D$10:$L$10)),0)</f>
        <v/>
      </c>
      <c r="BR3252">
        <f>IF(3239&lt;$U$9,SUMPRODUCT(($D$10:$L$10&lt;&gt;"")*(($D$10:$L$10-($D$9:$L$9+INT(($S$12:$AA$12+INDEX($AJ$13:$AR$162,BN3252,0)+INDEX($AT$13:$BB$162,BO3252,0)+INDEX($BD$13:$BL$162,BP3252,0))/100)))&gt;0)*($D$10:$L$10-($D$9:$L$9+INT(($S$12:$AA$12+INDEX($AJ$13:$AR$162,BN3252,0)+INDEX($AT$13:$BB$162,BO3252,0)+INDEX($BD$13:$BL$162,BP3252,0))/100)))),0)</f>
        <v/>
      </c>
      <c r="BS3252">
        <f>IF(3239&lt;$U$9,SUMPRODUCT(($D$9:$L$9+INT(($S$12:$AA$12+INDEX($AJ$13:$AR$162,BN3252,0)+INDEX($AT$13:$BB$162,BO3252,0)+INDEX($BD$13:$BL$162,BP3252,0))/100))),0)</f>
        <v/>
      </c>
      <c r="BT3252">
        <f>IF(AND(3239&lt;$U$9,$W$5),BQ3252*1000000-MIN(BR3252,999)*1000+BS3252-3239/100000,-1000000000-3239)</f>
        <v/>
      </c>
    </row>
    <row r="3253">
      <c r="BN3253">
        <f>IF(3240&lt;$U$9,INT(3240/($U$7*$U$8))+1,1)</f>
        <v/>
      </c>
      <c r="BO3253">
        <f>IF(3240&lt;$U$9,MOD(INT(3240/$U$8),$U$7)+1,1)</f>
        <v/>
      </c>
      <c r="BP3253">
        <f>IF(3240&lt;$U$9,MOD(3240,$U$8)+1,1)</f>
        <v/>
      </c>
      <c r="BQ3253">
        <f>IF(3240&lt;$U$9,SUMPRODUCT(($D$10:$L$10&lt;&gt;"")*(($D$9:$L$9+INT(($S$12:$AA$12+INDEX($AJ$13:$AR$162,BN3253,0)+INDEX($AT$13:$BB$162,BO3253,0)+INDEX($BD$13:$BL$162,BP3253,0))/100))&gt;=$D$10:$L$10)),0)</f>
        <v/>
      </c>
      <c r="BR3253">
        <f>IF(3240&lt;$U$9,SUMPRODUCT(($D$10:$L$10&lt;&gt;"")*(($D$10:$L$10-($D$9:$L$9+INT(($S$12:$AA$12+INDEX($AJ$13:$AR$162,BN3253,0)+INDEX($AT$13:$BB$162,BO3253,0)+INDEX($BD$13:$BL$162,BP3253,0))/100)))&gt;0)*($D$10:$L$10-($D$9:$L$9+INT(($S$12:$AA$12+INDEX($AJ$13:$AR$162,BN3253,0)+INDEX($AT$13:$BB$162,BO3253,0)+INDEX($BD$13:$BL$162,BP3253,0))/100)))),0)</f>
        <v/>
      </c>
      <c r="BS3253">
        <f>IF(3240&lt;$U$9,SUMPRODUCT(($D$9:$L$9+INT(($S$12:$AA$12+INDEX($AJ$13:$AR$162,BN3253,0)+INDEX($AT$13:$BB$162,BO3253,0)+INDEX($BD$13:$BL$162,BP3253,0))/100))),0)</f>
        <v/>
      </c>
      <c r="BT3253">
        <f>IF(AND(3240&lt;$U$9,$W$5),BQ3253*1000000-MIN(BR3253,999)*1000+BS3253-3240/100000,-1000000000-3240)</f>
        <v/>
      </c>
    </row>
    <row r="3254">
      <c r="BN3254">
        <f>IF(3241&lt;$U$9,INT(3241/($U$7*$U$8))+1,1)</f>
        <v/>
      </c>
      <c r="BO3254">
        <f>IF(3241&lt;$U$9,MOD(INT(3241/$U$8),$U$7)+1,1)</f>
        <v/>
      </c>
      <c r="BP3254">
        <f>IF(3241&lt;$U$9,MOD(3241,$U$8)+1,1)</f>
        <v/>
      </c>
      <c r="BQ3254">
        <f>IF(3241&lt;$U$9,SUMPRODUCT(($D$10:$L$10&lt;&gt;"")*(($D$9:$L$9+INT(($S$12:$AA$12+INDEX($AJ$13:$AR$162,BN3254,0)+INDEX($AT$13:$BB$162,BO3254,0)+INDEX($BD$13:$BL$162,BP3254,0))/100))&gt;=$D$10:$L$10)),0)</f>
        <v/>
      </c>
      <c r="BR3254">
        <f>IF(3241&lt;$U$9,SUMPRODUCT(($D$10:$L$10&lt;&gt;"")*(($D$10:$L$10-($D$9:$L$9+INT(($S$12:$AA$12+INDEX($AJ$13:$AR$162,BN3254,0)+INDEX($AT$13:$BB$162,BO3254,0)+INDEX($BD$13:$BL$162,BP3254,0))/100)))&gt;0)*($D$10:$L$10-($D$9:$L$9+INT(($S$12:$AA$12+INDEX($AJ$13:$AR$162,BN3254,0)+INDEX($AT$13:$BB$162,BO3254,0)+INDEX($BD$13:$BL$162,BP3254,0))/100)))),0)</f>
        <v/>
      </c>
      <c r="BS3254">
        <f>IF(3241&lt;$U$9,SUMPRODUCT(($D$9:$L$9+INT(($S$12:$AA$12+INDEX($AJ$13:$AR$162,BN3254,0)+INDEX($AT$13:$BB$162,BO3254,0)+INDEX($BD$13:$BL$162,BP3254,0))/100))),0)</f>
        <v/>
      </c>
      <c r="BT3254">
        <f>IF(AND(3241&lt;$U$9,$W$5),BQ3254*1000000-MIN(BR3254,999)*1000+BS3254-3241/100000,-1000000000-3241)</f>
        <v/>
      </c>
    </row>
    <row r="3255">
      <c r="BN3255">
        <f>IF(3242&lt;$U$9,INT(3242/($U$7*$U$8))+1,1)</f>
        <v/>
      </c>
      <c r="BO3255">
        <f>IF(3242&lt;$U$9,MOD(INT(3242/$U$8),$U$7)+1,1)</f>
        <v/>
      </c>
      <c r="BP3255">
        <f>IF(3242&lt;$U$9,MOD(3242,$U$8)+1,1)</f>
        <v/>
      </c>
      <c r="BQ3255">
        <f>IF(3242&lt;$U$9,SUMPRODUCT(($D$10:$L$10&lt;&gt;"")*(($D$9:$L$9+INT(($S$12:$AA$12+INDEX($AJ$13:$AR$162,BN3255,0)+INDEX($AT$13:$BB$162,BO3255,0)+INDEX($BD$13:$BL$162,BP3255,0))/100))&gt;=$D$10:$L$10)),0)</f>
        <v/>
      </c>
      <c r="BR3255">
        <f>IF(3242&lt;$U$9,SUMPRODUCT(($D$10:$L$10&lt;&gt;"")*(($D$10:$L$10-($D$9:$L$9+INT(($S$12:$AA$12+INDEX($AJ$13:$AR$162,BN3255,0)+INDEX($AT$13:$BB$162,BO3255,0)+INDEX($BD$13:$BL$162,BP3255,0))/100)))&gt;0)*($D$10:$L$10-($D$9:$L$9+INT(($S$12:$AA$12+INDEX($AJ$13:$AR$162,BN3255,0)+INDEX($AT$13:$BB$162,BO3255,0)+INDEX($BD$13:$BL$162,BP3255,0))/100)))),0)</f>
        <v/>
      </c>
      <c r="BS3255">
        <f>IF(3242&lt;$U$9,SUMPRODUCT(($D$9:$L$9+INT(($S$12:$AA$12+INDEX($AJ$13:$AR$162,BN3255,0)+INDEX($AT$13:$BB$162,BO3255,0)+INDEX($BD$13:$BL$162,BP3255,0))/100))),0)</f>
        <v/>
      </c>
      <c r="BT3255">
        <f>IF(AND(3242&lt;$U$9,$W$5),BQ3255*1000000-MIN(BR3255,999)*1000+BS3255-3242/100000,-1000000000-3242)</f>
        <v/>
      </c>
    </row>
    <row r="3256">
      <c r="BN3256">
        <f>IF(3243&lt;$U$9,INT(3243/($U$7*$U$8))+1,1)</f>
        <v/>
      </c>
      <c r="BO3256">
        <f>IF(3243&lt;$U$9,MOD(INT(3243/$U$8),$U$7)+1,1)</f>
        <v/>
      </c>
      <c r="BP3256">
        <f>IF(3243&lt;$U$9,MOD(3243,$U$8)+1,1)</f>
        <v/>
      </c>
      <c r="BQ3256">
        <f>IF(3243&lt;$U$9,SUMPRODUCT(($D$10:$L$10&lt;&gt;"")*(($D$9:$L$9+INT(($S$12:$AA$12+INDEX($AJ$13:$AR$162,BN3256,0)+INDEX($AT$13:$BB$162,BO3256,0)+INDEX($BD$13:$BL$162,BP3256,0))/100))&gt;=$D$10:$L$10)),0)</f>
        <v/>
      </c>
      <c r="BR3256">
        <f>IF(3243&lt;$U$9,SUMPRODUCT(($D$10:$L$10&lt;&gt;"")*(($D$10:$L$10-($D$9:$L$9+INT(($S$12:$AA$12+INDEX($AJ$13:$AR$162,BN3256,0)+INDEX($AT$13:$BB$162,BO3256,0)+INDEX($BD$13:$BL$162,BP3256,0))/100)))&gt;0)*($D$10:$L$10-($D$9:$L$9+INT(($S$12:$AA$12+INDEX($AJ$13:$AR$162,BN3256,0)+INDEX($AT$13:$BB$162,BO3256,0)+INDEX($BD$13:$BL$162,BP3256,0))/100)))),0)</f>
        <v/>
      </c>
      <c r="BS3256">
        <f>IF(3243&lt;$U$9,SUMPRODUCT(($D$9:$L$9+INT(($S$12:$AA$12+INDEX($AJ$13:$AR$162,BN3256,0)+INDEX($AT$13:$BB$162,BO3256,0)+INDEX($BD$13:$BL$162,BP3256,0))/100))),0)</f>
        <v/>
      </c>
      <c r="BT3256">
        <f>IF(AND(3243&lt;$U$9,$W$5),BQ3256*1000000-MIN(BR3256,999)*1000+BS3256-3243/100000,-1000000000-3243)</f>
        <v/>
      </c>
    </row>
    <row r="3257">
      <c r="BN3257">
        <f>IF(3244&lt;$U$9,INT(3244/($U$7*$U$8))+1,1)</f>
        <v/>
      </c>
      <c r="BO3257">
        <f>IF(3244&lt;$U$9,MOD(INT(3244/$U$8),$U$7)+1,1)</f>
        <v/>
      </c>
      <c r="BP3257">
        <f>IF(3244&lt;$U$9,MOD(3244,$U$8)+1,1)</f>
        <v/>
      </c>
      <c r="BQ3257">
        <f>IF(3244&lt;$U$9,SUMPRODUCT(($D$10:$L$10&lt;&gt;"")*(($D$9:$L$9+INT(($S$12:$AA$12+INDEX($AJ$13:$AR$162,BN3257,0)+INDEX($AT$13:$BB$162,BO3257,0)+INDEX($BD$13:$BL$162,BP3257,0))/100))&gt;=$D$10:$L$10)),0)</f>
        <v/>
      </c>
      <c r="BR3257">
        <f>IF(3244&lt;$U$9,SUMPRODUCT(($D$10:$L$10&lt;&gt;"")*(($D$10:$L$10-($D$9:$L$9+INT(($S$12:$AA$12+INDEX($AJ$13:$AR$162,BN3257,0)+INDEX($AT$13:$BB$162,BO3257,0)+INDEX($BD$13:$BL$162,BP3257,0))/100)))&gt;0)*($D$10:$L$10-($D$9:$L$9+INT(($S$12:$AA$12+INDEX($AJ$13:$AR$162,BN3257,0)+INDEX($AT$13:$BB$162,BO3257,0)+INDEX($BD$13:$BL$162,BP3257,0))/100)))),0)</f>
        <v/>
      </c>
      <c r="BS3257">
        <f>IF(3244&lt;$U$9,SUMPRODUCT(($D$9:$L$9+INT(($S$12:$AA$12+INDEX($AJ$13:$AR$162,BN3257,0)+INDEX($AT$13:$BB$162,BO3257,0)+INDEX($BD$13:$BL$162,BP3257,0))/100))),0)</f>
        <v/>
      </c>
      <c r="BT3257">
        <f>IF(AND(3244&lt;$U$9,$W$5),BQ3257*1000000-MIN(BR3257,999)*1000+BS3257-3244/100000,-1000000000-3244)</f>
        <v/>
      </c>
    </row>
    <row r="3258">
      <c r="BN3258">
        <f>IF(3245&lt;$U$9,INT(3245/($U$7*$U$8))+1,1)</f>
        <v/>
      </c>
      <c r="BO3258">
        <f>IF(3245&lt;$U$9,MOD(INT(3245/$U$8),$U$7)+1,1)</f>
        <v/>
      </c>
      <c r="BP3258">
        <f>IF(3245&lt;$U$9,MOD(3245,$U$8)+1,1)</f>
        <v/>
      </c>
      <c r="BQ3258">
        <f>IF(3245&lt;$U$9,SUMPRODUCT(($D$10:$L$10&lt;&gt;"")*(($D$9:$L$9+INT(($S$12:$AA$12+INDEX($AJ$13:$AR$162,BN3258,0)+INDEX($AT$13:$BB$162,BO3258,0)+INDEX($BD$13:$BL$162,BP3258,0))/100))&gt;=$D$10:$L$10)),0)</f>
        <v/>
      </c>
      <c r="BR3258">
        <f>IF(3245&lt;$U$9,SUMPRODUCT(($D$10:$L$10&lt;&gt;"")*(($D$10:$L$10-($D$9:$L$9+INT(($S$12:$AA$12+INDEX($AJ$13:$AR$162,BN3258,0)+INDEX($AT$13:$BB$162,BO3258,0)+INDEX($BD$13:$BL$162,BP3258,0))/100)))&gt;0)*($D$10:$L$10-($D$9:$L$9+INT(($S$12:$AA$12+INDEX($AJ$13:$AR$162,BN3258,0)+INDEX($AT$13:$BB$162,BO3258,0)+INDEX($BD$13:$BL$162,BP3258,0))/100)))),0)</f>
        <v/>
      </c>
      <c r="BS3258">
        <f>IF(3245&lt;$U$9,SUMPRODUCT(($D$9:$L$9+INT(($S$12:$AA$12+INDEX($AJ$13:$AR$162,BN3258,0)+INDEX($AT$13:$BB$162,BO3258,0)+INDEX($BD$13:$BL$162,BP3258,0))/100))),0)</f>
        <v/>
      </c>
      <c r="BT3258">
        <f>IF(AND(3245&lt;$U$9,$W$5),BQ3258*1000000-MIN(BR3258,999)*1000+BS3258-3245/100000,-1000000000-3245)</f>
        <v/>
      </c>
    </row>
    <row r="3259">
      <c r="BN3259">
        <f>IF(3246&lt;$U$9,INT(3246/($U$7*$U$8))+1,1)</f>
        <v/>
      </c>
      <c r="BO3259">
        <f>IF(3246&lt;$U$9,MOD(INT(3246/$U$8),$U$7)+1,1)</f>
        <v/>
      </c>
      <c r="BP3259">
        <f>IF(3246&lt;$U$9,MOD(3246,$U$8)+1,1)</f>
        <v/>
      </c>
      <c r="BQ3259">
        <f>IF(3246&lt;$U$9,SUMPRODUCT(($D$10:$L$10&lt;&gt;"")*(($D$9:$L$9+INT(($S$12:$AA$12+INDEX($AJ$13:$AR$162,BN3259,0)+INDEX($AT$13:$BB$162,BO3259,0)+INDEX($BD$13:$BL$162,BP3259,0))/100))&gt;=$D$10:$L$10)),0)</f>
        <v/>
      </c>
      <c r="BR3259">
        <f>IF(3246&lt;$U$9,SUMPRODUCT(($D$10:$L$10&lt;&gt;"")*(($D$10:$L$10-($D$9:$L$9+INT(($S$12:$AA$12+INDEX($AJ$13:$AR$162,BN3259,0)+INDEX($AT$13:$BB$162,BO3259,0)+INDEX($BD$13:$BL$162,BP3259,0))/100)))&gt;0)*($D$10:$L$10-($D$9:$L$9+INT(($S$12:$AA$12+INDEX($AJ$13:$AR$162,BN3259,0)+INDEX($AT$13:$BB$162,BO3259,0)+INDEX($BD$13:$BL$162,BP3259,0))/100)))),0)</f>
        <v/>
      </c>
      <c r="BS3259">
        <f>IF(3246&lt;$U$9,SUMPRODUCT(($D$9:$L$9+INT(($S$12:$AA$12+INDEX($AJ$13:$AR$162,BN3259,0)+INDEX($AT$13:$BB$162,BO3259,0)+INDEX($BD$13:$BL$162,BP3259,0))/100))),0)</f>
        <v/>
      </c>
      <c r="BT3259">
        <f>IF(AND(3246&lt;$U$9,$W$5),BQ3259*1000000-MIN(BR3259,999)*1000+BS3259-3246/100000,-1000000000-3246)</f>
        <v/>
      </c>
    </row>
    <row r="3260">
      <c r="BN3260">
        <f>IF(3247&lt;$U$9,INT(3247/($U$7*$U$8))+1,1)</f>
        <v/>
      </c>
      <c r="BO3260">
        <f>IF(3247&lt;$U$9,MOD(INT(3247/$U$8),$U$7)+1,1)</f>
        <v/>
      </c>
      <c r="BP3260">
        <f>IF(3247&lt;$U$9,MOD(3247,$U$8)+1,1)</f>
        <v/>
      </c>
      <c r="BQ3260">
        <f>IF(3247&lt;$U$9,SUMPRODUCT(($D$10:$L$10&lt;&gt;"")*(($D$9:$L$9+INT(($S$12:$AA$12+INDEX($AJ$13:$AR$162,BN3260,0)+INDEX($AT$13:$BB$162,BO3260,0)+INDEX($BD$13:$BL$162,BP3260,0))/100))&gt;=$D$10:$L$10)),0)</f>
        <v/>
      </c>
      <c r="BR3260">
        <f>IF(3247&lt;$U$9,SUMPRODUCT(($D$10:$L$10&lt;&gt;"")*(($D$10:$L$10-($D$9:$L$9+INT(($S$12:$AA$12+INDEX($AJ$13:$AR$162,BN3260,0)+INDEX($AT$13:$BB$162,BO3260,0)+INDEX($BD$13:$BL$162,BP3260,0))/100)))&gt;0)*($D$10:$L$10-($D$9:$L$9+INT(($S$12:$AA$12+INDEX($AJ$13:$AR$162,BN3260,0)+INDEX($AT$13:$BB$162,BO3260,0)+INDEX($BD$13:$BL$162,BP3260,0))/100)))),0)</f>
        <v/>
      </c>
      <c r="BS3260">
        <f>IF(3247&lt;$U$9,SUMPRODUCT(($D$9:$L$9+INT(($S$12:$AA$12+INDEX($AJ$13:$AR$162,BN3260,0)+INDEX($AT$13:$BB$162,BO3260,0)+INDEX($BD$13:$BL$162,BP3260,0))/100))),0)</f>
        <v/>
      </c>
      <c r="BT3260">
        <f>IF(AND(3247&lt;$U$9,$W$5),BQ3260*1000000-MIN(BR3260,999)*1000+BS3260-3247/100000,-1000000000-3247)</f>
        <v/>
      </c>
    </row>
    <row r="3261">
      <c r="BN3261">
        <f>IF(3248&lt;$U$9,INT(3248/($U$7*$U$8))+1,1)</f>
        <v/>
      </c>
      <c r="BO3261">
        <f>IF(3248&lt;$U$9,MOD(INT(3248/$U$8),$U$7)+1,1)</f>
        <v/>
      </c>
      <c r="BP3261">
        <f>IF(3248&lt;$U$9,MOD(3248,$U$8)+1,1)</f>
        <v/>
      </c>
      <c r="BQ3261">
        <f>IF(3248&lt;$U$9,SUMPRODUCT(($D$10:$L$10&lt;&gt;"")*(($D$9:$L$9+INT(($S$12:$AA$12+INDEX($AJ$13:$AR$162,BN3261,0)+INDEX($AT$13:$BB$162,BO3261,0)+INDEX($BD$13:$BL$162,BP3261,0))/100))&gt;=$D$10:$L$10)),0)</f>
        <v/>
      </c>
      <c r="BR3261">
        <f>IF(3248&lt;$U$9,SUMPRODUCT(($D$10:$L$10&lt;&gt;"")*(($D$10:$L$10-($D$9:$L$9+INT(($S$12:$AA$12+INDEX($AJ$13:$AR$162,BN3261,0)+INDEX($AT$13:$BB$162,BO3261,0)+INDEX($BD$13:$BL$162,BP3261,0))/100)))&gt;0)*($D$10:$L$10-($D$9:$L$9+INT(($S$12:$AA$12+INDEX($AJ$13:$AR$162,BN3261,0)+INDEX($AT$13:$BB$162,BO3261,0)+INDEX($BD$13:$BL$162,BP3261,0))/100)))),0)</f>
        <v/>
      </c>
      <c r="BS3261">
        <f>IF(3248&lt;$U$9,SUMPRODUCT(($D$9:$L$9+INT(($S$12:$AA$12+INDEX($AJ$13:$AR$162,BN3261,0)+INDEX($AT$13:$BB$162,BO3261,0)+INDEX($BD$13:$BL$162,BP3261,0))/100))),0)</f>
        <v/>
      </c>
      <c r="BT3261">
        <f>IF(AND(3248&lt;$U$9,$W$5),BQ3261*1000000-MIN(BR3261,999)*1000+BS3261-3248/100000,-1000000000-3248)</f>
        <v/>
      </c>
    </row>
    <row r="3262">
      <c r="BN3262">
        <f>IF(3249&lt;$U$9,INT(3249/($U$7*$U$8))+1,1)</f>
        <v/>
      </c>
      <c r="BO3262">
        <f>IF(3249&lt;$U$9,MOD(INT(3249/$U$8),$U$7)+1,1)</f>
        <v/>
      </c>
      <c r="BP3262">
        <f>IF(3249&lt;$U$9,MOD(3249,$U$8)+1,1)</f>
        <v/>
      </c>
      <c r="BQ3262">
        <f>IF(3249&lt;$U$9,SUMPRODUCT(($D$10:$L$10&lt;&gt;"")*(($D$9:$L$9+INT(($S$12:$AA$12+INDEX($AJ$13:$AR$162,BN3262,0)+INDEX($AT$13:$BB$162,BO3262,0)+INDEX($BD$13:$BL$162,BP3262,0))/100))&gt;=$D$10:$L$10)),0)</f>
        <v/>
      </c>
      <c r="BR3262">
        <f>IF(3249&lt;$U$9,SUMPRODUCT(($D$10:$L$10&lt;&gt;"")*(($D$10:$L$10-($D$9:$L$9+INT(($S$12:$AA$12+INDEX($AJ$13:$AR$162,BN3262,0)+INDEX($AT$13:$BB$162,BO3262,0)+INDEX($BD$13:$BL$162,BP3262,0))/100)))&gt;0)*($D$10:$L$10-($D$9:$L$9+INT(($S$12:$AA$12+INDEX($AJ$13:$AR$162,BN3262,0)+INDEX($AT$13:$BB$162,BO3262,0)+INDEX($BD$13:$BL$162,BP3262,0))/100)))),0)</f>
        <v/>
      </c>
      <c r="BS3262">
        <f>IF(3249&lt;$U$9,SUMPRODUCT(($D$9:$L$9+INT(($S$12:$AA$12+INDEX($AJ$13:$AR$162,BN3262,0)+INDEX($AT$13:$BB$162,BO3262,0)+INDEX($BD$13:$BL$162,BP3262,0))/100))),0)</f>
        <v/>
      </c>
      <c r="BT3262">
        <f>IF(AND(3249&lt;$U$9,$W$5),BQ3262*1000000-MIN(BR3262,999)*1000+BS3262-3249/100000,-1000000000-3249)</f>
        <v/>
      </c>
    </row>
    <row r="3263">
      <c r="BN3263">
        <f>IF(3250&lt;$U$9,INT(3250/($U$7*$U$8))+1,1)</f>
        <v/>
      </c>
      <c r="BO3263">
        <f>IF(3250&lt;$U$9,MOD(INT(3250/$U$8),$U$7)+1,1)</f>
        <v/>
      </c>
      <c r="BP3263">
        <f>IF(3250&lt;$U$9,MOD(3250,$U$8)+1,1)</f>
        <v/>
      </c>
      <c r="BQ3263">
        <f>IF(3250&lt;$U$9,SUMPRODUCT(($D$10:$L$10&lt;&gt;"")*(($D$9:$L$9+INT(($S$12:$AA$12+INDEX($AJ$13:$AR$162,BN3263,0)+INDEX($AT$13:$BB$162,BO3263,0)+INDEX($BD$13:$BL$162,BP3263,0))/100))&gt;=$D$10:$L$10)),0)</f>
        <v/>
      </c>
      <c r="BR3263">
        <f>IF(3250&lt;$U$9,SUMPRODUCT(($D$10:$L$10&lt;&gt;"")*(($D$10:$L$10-($D$9:$L$9+INT(($S$12:$AA$12+INDEX($AJ$13:$AR$162,BN3263,0)+INDEX($AT$13:$BB$162,BO3263,0)+INDEX($BD$13:$BL$162,BP3263,0))/100)))&gt;0)*($D$10:$L$10-($D$9:$L$9+INT(($S$12:$AA$12+INDEX($AJ$13:$AR$162,BN3263,0)+INDEX($AT$13:$BB$162,BO3263,0)+INDEX($BD$13:$BL$162,BP3263,0))/100)))),0)</f>
        <v/>
      </c>
      <c r="BS3263">
        <f>IF(3250&lt;$U$9,SUMPRODUCT(($D$9:$L$9+INT(($S$12:$AA$12+INDEX($AJ$13:$AR$162,BN3263,0)+INDEX($AT$13:$BB$162,BO3263,0)+INDEX($BD$13:$BL$162,BP3263,0))/100))),0)</f>
        <v/>
      </c>
      <c r="BT3263">
        <f>IF(AND(3250&lt;$U$9,$W$5),BQ3263*1000000-MIN(BR3263,999)*1000+BS3263-3250/100000,-1000000000-3250)</f>
        <v/>
      </c>
    </row>
    <row r="3264">
      <c r="BN3264">
        <f>IF(3251&lt;$U$9,INT(3251/($U$7*$U$8))+1,1)</f>
        <v/>
      </c>
      <c r="BO3264">
        <f>IF(3251&lt;$U$9,MOD(INT(3251/$U$8),$U$7)+1,1)</f>
        <v/>
      </c>
      <c r="BP3264">
        <f>IF(3251&lt;$U$9,MOD(3251,$U$8)+1,1)</f>
        <v/>
      </c>
      <c r="BQ3264">
        <f>IF(3251&lt;$U$9,SUMPRODUCT(($D$10:$L$10&lt;&gt;"")*(($D$9:$L$9+INT(($S$12:$AA$12+INDEX($AJ$13:$AR$162,BN3264,0)+INDEX($AT$13:$BB$162,BO3264,0)+INDEX($BD$13:$BL$162,BP3264,0))/100))&gt;=$D$10:$L$10)),0)</f>
        <v/>
      </c>
      <c r="BR3264">
        <f>IF(3251&lt;$U$9,SUMPRODUCT(($D$10:$L$10&lt;&gt;"")*(($D$10:$L$10-($D$9:$L$9+INT(($S$12:$AA$12+INDEX($AJ$13:$AR$162,BN3264,0)+INDEX($AT$13:$BB$162,BO3264,0)+INDEX($BD$13:$BL$162,BP3264,0))/100)))&gt;0)*($D$10:$L$10-($D$9:$L$9+INT(($S$12:$AA$12+INDEX($AJ$13:$AR$162,BN3264,0)+INDEX($AT$13:$BB$162,BO3264,0)+INDEX($BD$13:$BL$162,BP3264,0))/100)))),0)</f>
        <v/>
      </c>
      <c r="BS3264">
        <f>IF(3251&lt;$U$9,SUMPRODUCT(($D$9:$L$9+INT(($S$12:$AA$12+INDEX($AJ$13:$AR$162,BN3264,0)+INDEX($AT$13:$BB$162,BO3264,0)+INDEX($BD$13:$BL$162,BP3264,0))/100))),0)</f>
        <v/>
      </c>
      <c r="BT3264">
        <f>IF(AND(3251&lt;$U$9,$W$5),BQ3264*1000000-MIN(BR3264,999)*1000+BS3264-3251/100000,-1000000000-3251)</f>
        <v/>
      </c>
    </row>
    <row r="3265">
      <c r="BN3265">
        <f>IF(3252&lt;$U$9,INT(3252/($U$7*$U$8))+1,1)</f>
        <v/>
      </c>
      <c r="BO3265">
        <f>IF(3252&lt;$U$9,MOD(INT(3252/$U$8),$U$7)+1,1)</f>
        <v/>
      </c>
      <c r="BP3265">
        <f>IF(3252&lt;$U$9,MOD(3252,$U$8)+1,1)</f>
        <v/>
      </c>
      <c r="BQ3265">
        <f>IF(3252&lt;$U$9,SUMPRODUCT(($D$10:$L$10&lt;&gt;"")*(($D$9:$L$9+INT(($S$12:$AA$12+INDEX($AJ$13:$AR$162,BN3265,0)+INDEX($AT$13:$BB$162,BO3265,0)+INDEX($BD$13:$BL$162,BP3265,0))/100))&gt;=$D$10:$L$10)),0)</f>
        <v/>
      </c>
      <c r="BR3265">
        <f>IF(3252&lt;$U$9,SUMPRODUCT(($D$10:$L$10&lt;&gt;"")*(($D$10:$L$10-($D$9:$L$9+INT(($S$12:$AA$12+INDEX($AJ$13:$AR$162,BN3265,0)+INDEX($AT$13:$BB$162,BO3265,0)+INDEX($BD$13:$BL$162,BP3265,0))/100)))&gt;0)*($D$10:$L$10-($D$9:$L$9+INT(($S$12:$AA$12+INDEX($AJ$13:$AR$162,BN3265,0)+INDEX($AT$13:$BB$162,BO3265,0)+INDEX($BD$13:$BL$162,BP3265,0))/100)))),0)</f>
        <v/>
      </c>
      <c r="BS3265">
        <f>IF(3252&lt;$U$9,SUMPRODUCT(($D$9:$L$9+INT(($S$12:$AA$12+INDEX($AJ$13:$AR$162,BN3265,0)+INDEX($AT$13:$BB$162,BO3265,0)+INDEX($BD$13:$BL$162,BP3265,0))/100))),0)</f>
        <v/>
      </c>
      <c r="BT3265">
        <f>IF(AND(3252&lt;$U$9,$W$5),BQ3265*1000000-MIN(BR3265,999)*1000+BS3265-3252/100000,-1000000000-3252)</f>
        <v/>
      </c>
    </row>
    <row r="3266">
      <c r="BN3266">
        <f>IF(3253&lt;$U$9,INT(3253/($U$7*$U$8))+1,1)</f>
        <v/>
      </c>
      <c r="BO3266">
        <f>IF(3253&lt;$U$9,MOD(INT(3253/$U$8),$U$7)+1,1)</f>
        <v/>
      </c>
      <c r="BP3266">
        <f>IF(3253&lt;$U$9,MOD(3253,$U$8)+1,1)</f>
        <v/>
      </c>
      <c r="BQ3266">
        <f>IF(3253&lt;$U$9,SUMPRODUCT(($D$10:$L$10&lt;&gt;"")*(($D$9:$L$9+INT(($S$12:$AA$12+INDEX($AJ$13:$AR$162,BN3266,0)+INDEX($AT$13:$BB$162,BO3266,0)+INDEX($BD$13:$BL$162,BP3266,0))/100))&gt;=$D$10:$L$10)),0)</f>
        <v/>
      </c>
      <c r="BR3266">
        <f>IF(3253&lt;$U$9,SUMPRODUCT(($D$10:$L$10&lt;&gt;"")*(($D$10:$L$10-($D$9:$L$9+INT(($S$12:$AA$12+INDEX($AJ$13:$AR$162,BN3266,0)+INDEX($AT$13:$BB$162,BO3266,0)+INDEX($BD$13:$BL$162,BP3266,0))/100)))&gt;0)*($D$10:$L$10-($D$9:$L$9+INT(($S$12:$AA$12+INDEX($AJ$13:$AR$162,BN3266,0)+INDEX($AT$13:$BB$162,BO3266,0)+INDEX($BD$13:$BL$162,BP3266,0))/100)))),0)</f>
        <v/>
      </c>
      <c r="BS3266">
        <f>IF(3253&lt;$U$9,SUMPRODUCT(($D$9:$L$9+INT(($S$12:$AA$12+INDEX($AJ$13:$AR$162,BN3266,0)+INDEX($AT$13:$BB$162,BO3266,0)+INDEX($BD$13:$BL$162,BP3266,0))/100))),0)</f>
        <v/>
      </c>
      <c r="BT3266">
        <f>IF(AND(3253&lt;$U$9,$W$5),BQ3266*1000000-MIN(BR3266,999)*1000+BS3266-3253/100000,-1000000000-3253)</f>
        <v/>
      </c>
    </row>
    <row r="3267">
      <c r="BN3267">
        <f>IF(3254&lt;$U$9,INT(3254/($U$7*$U$8))+1,1)</f>
        <v/>
      </c>
      <c r="BO3267">
        <f>IF(3254&lt;$U$9,MOD(INT(3254/$U$8),$U$7)+1,1)</f>
        <v/>
      </c>
      <c r="BP3267">
        <f>IF(3254&lt;$U$9,MOD(3254,$U$8)+1,1)</f>
        <v/>
      </c>
      <c r="BQ3267">
        <f>IF(3254&lt;$U$9,SUMPRODUCT(($D$10:$L$10&lt;&gt;"")*(($D$9:$L$9+INT(($S$12:$AA$12+INDEX($AJ$13:$AR$162,BN3267,0)+INDEX($AT$13:$BB$162,BO3267,0)+INDEX($BD$13:$BL$162,BP3267,0))/100))&gt;=$D$10:$L$10)),0)</f>
        <v/>
      </c>
      <c r="BR3267">
        <f>IF(3254&lt;$U$9,SUMPRODUCT(($D$10:$L$10&lt;&gt;"")*(($D$10:$L$10-($D$9:$L$9+INT(($S$12:$AA$12+INDEX($AJ$13:$AR$162,BN3267,0)+INDEX($AT$13:$BB$162,BO3267,0)+INDEX($BD$13:$BL$162,BP3267,0))/100)))&gt;0)*($D$10:$L$10-($D$9:$L$9+INT(($S$12:$AA$12+INDEX($AJ$13:$AR$162,BN3267,0)+INDEX($AT$13:$BB$162,BO3267,0)+INDEX($BD$13:$BL$162,BP3267,0))/100)))),0)</f>
        <v/>
      </c>
      <c r="BS3267">
        <f>IF(3254&lt;$U$9,SUMPRODUCT(($D$9:$L$9+INT(($S$12:$AA$12+INDEX($AJ$13:$AR$162,BN3267,0)+INDEX($AT$13:$BB$162,BO3267,0)+INDEX($BD$13:$BL$162,BP3267,0))/100))),0)</f>
        <v/>
      </c>
      <c r="BT3267">
        <f>IF(AND(3254&lt;$U$9,$W$5),BQ3267*1000000-MIN(BR3267,999)*1000+BS3267-3254/100000,-1000000000-3254)</f>
        <v/>
      </c>
    </row>
    <row r="3268">
      <c r="BN3268">
        <f>IF(3255&lt;$U$9,INT(3255/($U$7*$U$8))+1,1)</f>
        <v/>
      </c>
      <c r="BO3268">
        <f>IF(3255&lt;$U$9,MOD(INT(3255/$U$8),$U$7)+1,1)</f>
        <v/>
      </c>
      <c r="BP3268">
        <f>IF(3255&lt;$U$9,MOD(3255,$U$8)+1,1)</f>
        <v/>
      </c>
      <c r="BQ3268">
        <f>IF(3255&lt;$U$9,SUMPRODUCT(($D$10:$L$10&lt;&gt;"")*(($D$9:$L$9+INT(($S$12:$AA$12+INDEX($AJ$13:$AR$162,BN3268,0)+INDEX($AT$13:$BB$162,BO3268,0)+INDEX($BD$13:$BL$162,BP3268,0))/100))&gt;=$D$10:$L$10)),0)</f>
        <v/>
      </c>
      <c r="BR3268">
        <f>IF(3255&lt;$U$9,SUMPRODUCT(($D$10:$L$10&lt;&gt;"")*(($D$10:$L$10-($D$9:$L$9+INT(($S$12:$AA$12+INDEX($AJ$13:$AR$162,BN3268,0)+INDEX($AT$13:$BB$162,BO3268,0)+INDEX($BD$13:$BL$162,BP3268,0))/100)))&gt;0)*($D$10:$L$10-($D$9:$L$9+INT(($S$12:$AA$12+INDEX($AJ$13:$AR$162,BN3268,0)+INDEX($AT$13:$BB$162,BO3268,0)+INDEX($BD$13:$BL$162,BP3268,0))/100)))),0)</f>
        <v/>
      </c>
      <c r="BS3268">
        <f>IF(3255&lt;$U$9,SUMPRODUCT(($D$9:$L$9+INT(($S$12:$AA$12+INDEX($AJ$13:$AR$162,BN3268,0)+INDEX($AT$13:$BB$162,BO3268,0)+INDEX($BD$13:$BL$162,BP3268,0))/100))),0)</f>
        <v/>
      </c>
      <c r="BT3268">
        <f>IF(AND(3255&lt;$U$9,$W$5),BQ3268*1000000-MIN(BR3268,999)*1000+BS3268-3255/100000,-1000000000-3255)</f>
        <v/>
      </c>
    </row>
    <row r="3269">
      <c r="BN3269">
        <f>IF(3256&lt;$U$9,INT(3256/($U$7*$U$8))+1,1)</f>
        <v/>
      </c>
      <c r="BO3269">
        <f>IF(3256&lt;$U$9,MOD(INT(3256/$U$8),$U$7)+1,1)</f>
        <v/>
      </c>
      <c r="BP3269">
        <f>IF(3256&lt;$U$9,MOD(3256,$U$8)+1,1)</f>
        <v/>
      </c>
      <c r="BQ3269">
        <f>IF(3256&lt;$U$9,SUMPRODUCT(($D$10:$L$10&lt;&gt;"")*(($D$9:$L$9+INT(($S$12:$AA$12+INDEX($AJ$13:$AR$162,BN3269,0)+INDEX($AT$13:$BB$162,BO3269,0)+INDEX($BD$13:$BL$162,BP3269,0))/100))&gt;=$D$10:$L$10)),0)</f>
        <v/>
      </c>
      <c r="BR3269">
        <f>IF(3256&lt;$U$9,SUMPRODUCT(($D$10:$L$10&lt;&gt;"")*(($D$10:$L$10-($D$9:$L$9+INT(($S$12:$AA$12+INDEX($AJ$13:$AR$162,BN3269,0)+INDEX($AT$13:$BB$162,BO3269,0)+INDEX($BD$13:$BL$162,BP3269,0))/100)))&gt;0)*($D$10:$L$10-($D$9:$L$9+INT(($S$12:$AA$12+INDEX($AJ$13:$AR$162,BN3269,0)+INDEX($AT$13:$BB$162,BO3269,0)+INDEX($BD$13:$BL$162,BP3269,0))/100)))),0)</f>
        <v/>
      </c>
      <c r="BS3269">
        <f>IF(3256&lt;$U$9,SUMPRODUCT(($D$9:$L$9+INT(($S$12:$AA$12+INDEX($AJ$13:$AR$162,BN3269,0)+INDEX($AT$13:$BB$162,BO3269,0)+INDEX($BD$13:$BL$162,BP3269,0))/100))),0)</f>
        <v/>
      </c>
      <c r="BT3269">
        <f>IF(AND(3256&lt;$U$9,$W$5),BQ3269*1000000-MIN(BR3269,999)*1000+BS3269-3256/100000,-1000000000-3256)</f>
        <v/>
      </c>
    </row>
    <row r="3270">
      <c r="BN3270">
        <f>IF(3257&lt;$U$9,INT(3257/($U$7*$U$8))+1,1)</f>
        <v/>
      </c>
      <c r="BO3270">
        <f>IF(3257&lt;$U$9,MOD(INT(3257/$U$8),$U$7)+1,1)</f>
        <v/>
      </c>
      <c r="BP3270">
        <f>IF(3257&lt;$U$9,MOD(3257,$U$8)+1,1)</f>
        <v/>
      </c>
      <c r="BQ3270">
        <f>IF(3257&lt;$U$9,SUMPRODUCT(($D$10:$L$10&lt;&gt;"")*(($D$9:$L$9+INT(($S$12:$AA$12+INDEX($AJ$13:$AR$162,BN3270,0)+INDEX($AT$13:$BB$162,BO3270,0)+INDEX($BD$13:$BL$162,BP3270,0))/100))&gt;=$D$10:$L$10)),0)</f>
        <v/>
      </c>
      <c r="BR3270">
        <f>IF(3257&lt;$U$9,SUMPRODUCT(($D$10:$L$10&lt;&gt;"")*(($D$10:$L$10-($D$9:$L$9+INT(($S$12:$AA$12+INDEX($AJ$13:$AR$162,BN3270,0)+INDEX($AT$13:$BB$162,BO3270,0)+INDEX($BD$13:$BL$162,BP3270,0))/100)))&gt;0)*($D$10:$L$10-($D$9:$L$9+INT(($S$12:$AA$12+INDEX($AJ$13:$AR$162,BN3270,0)+INDEX($AT$13:$BB$162,BO3270,0)+INDEX($BD$13:$BL$162,BP3270,0))/100)))),0)</f>
        <v/>
      </c>
      <c r="BS3270">
        <f>IF(3257&lt;$U$9,SUMPRODUCT(($D$9:$L$9+INT(($S$12:$AA$12+INDEX($AJ$13:$AR$162,BN3270,0)+INDEX($AT$13:$BB$162,BO3270,0)+INDEX($BD$13:$BL$162,BP3270,0))/100))),0)</f>
        <v/>
      </c>
      <c r="BT3270">
        <f>IF(AND(3257&lt;$U$9,$W$5),BQ3270*1000000-MIN(BR3270,999)*1000+BS3270-3257/100000,-1000000000-3257)</f>
        <v/>
      </c>
    </row>
    <row r="3271">
      <c r="BN3271">
        <f>IF(3258&lt;$U$9,INT(3258/($U$7*$U$8))+1,1)</f>
        <v/>
      </c>
      <c r="BO3271">
        <f>IF(3258&lt;$U$9,MOD(INT(3258/$U$8),$U$7)+1,1)</f>
        <v/>
      </c>
      <c r="BP3271">
        <f>IF(3258&lt;$U$9,MOD(3258,$U$8)+1,1)</f>
        <v/>
      </c>
      <c r="BQ3271">
        <f>IF(3258&lt;$U$9,SUMPRODUCT(($D$10:$L$10&lt;&gt;"")*(($D$9:$L$9+INT(($S$12:$AA$12+INDEX($AJ$13:$AR$162,BN3271,0)+INDEX($AT$13:$BB$162,BO3271,0)+INDEX($BD$13:$BL$162,BP3271,0))/100))&gt;=$D$10:$L$10)),0)</f>
        <v/>
      </c>
      <c r="BR3271">
        <f>IF(3258&lt;$U$9,SUMPRODUCT(($D$10:$L$10&lt;&gt;"")*(($D$10:$L$10-($D$9:$L$9+INT(($S$12:$AA$12+INDEX($AJ$13:$AR$162,BN3271,0)+INDEX($AT$13:$BB$162,BO3271,0)+INDEX($BD$13:$BL$162,BP3271,0))/100)))&gt;0)*($D$10:$L$10-($D$9:$L$9+INT(($S$12:$AA$12+INDEX($AJ$13:$AR$162,BN3271,0)+INDEX($AT$13:$BB$162,BO3271,0)+INDEX($BD$13:$BL$162,BP3271,0))/100)))),0)</f>
        <v/>
      </c>
      <c r="BS3271">
        <f>IF(3258&lt;$U$9,SUMPRODUCT(($D$9:$L$9+INT(($S$12:$AA$12+INDEX($AJ$13:$AR$162,BN3271,0)+INDEX($AT$13:$BB$162,BO3271,0)+INDEX($BD$13:$BL$162,BP3271,0))/100))),0)</f>
        <v/>
      </c>
      <c r="BT3271">
        <f>IF(AND(3258&lt;$U$9,$W$5),BQ3271*1000000-MIN(BR3271,999)*1000+BS3271-3258/100000,-1000000000-3258)</f>
        <v/>
      </c>
    </row>
    <row r="3272">
      <c r="BN3272">
        <f>IF(3259&lt;$U$9,INT(3259/($U$7*$U$8))+1,1)</f>
        <v/>
      </c>
      <c r="BO3272">
        <f>IF(3259&lt;$U$9,MOD(INT(3259/$U$8),$U$7)+1,1)</f>
        <v/>
      </c>
      <c r="BP3272">
        <f>IF(3259&lt;$U$9,MOD(3259,$U$8)+1,1)</f>
        <v/>
      </c>
      <c r="BQ3272">
        <f>IF(3259&lt;$U$9,SUMPRODUCT(($D$10:$L$10&lt;&gt;"")*(($D$9:$L$9+INT(($S$12:$AA$12+INDEX($AJ$13:$AR$162,BN3272,0)+INDEX($AT$13:$BB$162,BO3272,0)+INDEX($BD$13:$BL$162,BP3272,0))/100))&gt;=$D$10:$L$10)),0)</f>
        <v/>
      </c>
      <c r="BR3272">
        <f>IF(3259&lt;$U$9,SUMPRODUCT(($D$10:$L$10&lt;&gt;"")*(($D$10:$L$10-($D$9:$L$9+INT(($S$12:$AA$12+INDEX($AJ$13:$AR$162,BN3272,0)+INDEX($AT$13:$BB$162,BO3272,0)+INDEX($BD$13:$BL$162,BP3272,0))/100)))&gt;0)*($D$10:$L$10-($D$9:$L$9+INT(($S$12:$AA$12+INDEX($AJ$13:$AR$162,BN3272,0)+INDEX($AT$13:$BB$162,BO3272,0)+INDEX($BD$13:$BL$162,BP3272,0))/100)))),0)</f>
        <v/>
      </c>
      <c r="BS3272">
        <f>IF(3259&lt;$U$9,SUMPRODUCT(($D$9:$L$9+INT(($S$12:$AA$12+INDEX($AJ$13:$AR$162,BN3272,0)+INDEX($AT$13:$BB$162,BO3272,0)+INDEX($BD$13:$BL$162,BP3272,0))/100))),0)</f>
        <v/>
      </c>
      <c r="BT3272">
        <f>IF(AND(3259&lt;$U$9,$W$5),BQ3272*1000000-MIN(BR3272,999)*1000+BS3272-3259/100000,-1000000000-3259)</f>
        <v/>
      </c>
    </row>
    <row r="3273">
      <c r="BN3273">
        <f>IF(3260&lt;$U$9,INT(3260/($U$7*$U$8))+1,1)</f>
        <v/>
      </c>
      <c r="BO3273">
        <f>IF(3260&lt;$U$9,MOD(INT(3260/$U$8),$U$7)+1,1)</f>
        <v/>
      </c>
      <c r="BP3273">
        <f>IF(3260&lt;$U$9,MOD(3260,$U$8)+1,1)</f>
        <v/>
      </c>
      <c r="BQ3273">
        <f>IF(3260&lt;$U$9,SUMPRODUCT(($D$10:$L$10&lt;&gt;"")*(($D$9:$L$9+INT(($S$12:$AA$12+INDEX($AJ$13:$AR$162,BN3273,0)+INDEX($AT$13:$BB$162,BO3273,0)+INDEX($BD$13:$BL$162,BP3273,0))/100))&gt;=$D$10:$L$10)),0)</f>
        <v/>
      </c>
      <c r="BR3273">
        <f>IF(3260&lt;$U$9,SUMPRODUCT(($D$10:$L$10&lt;&gt;"")*(($D$10:$L$10-($D$9:$L$9+INT(($S$12:$AA$12+INDEX($AJ$13:$AR$162,BN3273,0)+INDEX($AT$13:$BB$162,BO3273,0)+INDEX($BD$13:$BL$162,BP3273,0))/100)))&gt;0)*($D$10:$L$10-($D$9:$L$9+INT(($S$12:$AA$12+INDEX($AJ$13:$AR$162,BN3273,0)+INDEX($AT$13:$BB$162,BO3273,0)+INDEX($BD$13:$BL$162,BP3273,0))/100)))),0)</f>
        <v/>
      </c>
      <c r="BS3273">
        <f>IF(3260&lt;$U$9,SUMPRODUCT(($D$9:$L$9+INT(($S$12:$AA$12+INDEX($AJ$13:$AR$162,BN3273,0)+INDEX($AT$13:$BB$162,BO3273,0)+INDEX($BD$13:$BL$162,BP3273,0))/100))),0)</f>
        <v/>
      </c>
      <c r="BT3273">
        <f>IF(AND(3260&lt;$U$9,$W$5),BQ3273*1000000-MIN(BR3273,999)*1000+BS3273-3260/100000,-1000000000-3260)</f>
        <v/>
      </c>
    </row>
    <row r="3274">
      <c r="BN3274">
        <f>IF(3261&lt;$U$9,INT(3261/($U$7*$U$8))+1,1)</f>
        <v/>
      </c>
      <c r="BO3274">
        <f>IF(3261&lt;$U$9,MOD(INT(3261/$U$8),$U$7)+1,1)</f>
        <v/>
      </c>
      <c r="BP3274">
        <f>IF(3261&lt;$U$9,MOD(3261,$U$8)+1,1)</f>
        <v/>
      </c>
      <c r="BQ3274">
        <f>IF(3261&lt;$U$9,SUMPRODUCT(($D$10:$L$10&lt;&gt;"")*(($D$9:$L$9+INT(($S$12:$AA$12+INDEX($AJ$13:$AR$162,BN3274,0)+INDEX($AT$13:$BB$162,BO3274,0)+INDEX($BD$13:$BL$162,BP3274,0))/100))&gt;=$D$10:$L$10)),0)</f>
        <v/>
      </c>
      <c r="BR3274">
        <f>IF(3261&lt;$U$9,SUMPRODUCT(($D$10:$L$10&lt;&gt;"")*(($D$10:$L$10-($D$9:$L$9+INT(($S$12:$AA$12+INDEX($AJ$13:$AR$162,BN3274,0)+INDEX($AT$13:$BB$162,BO3274,0)+INDEX($BD$13:$BL$162,BP3274,0))/100)))&gt;0)*($D$10:$L$10-($D$9:$L$9+INT(($S$12:$AA$12+INDEX($AJ$13:$AR$162,BN3274,0)+INDEX($AT$13:$BB$162,BO3274,0)+INDEX($BD$13:$BL$162,BP3274,0))/100)))),0)</f>
        <v/>
      </c>
      <c r="BS3274">
        <f>IF(3261&lt;$U$9,SUMPRODUCT(($D$9:$L$9+INT(($S$12:$AA$12+INDEX($AJ$13:$AR$162,BN3274,0)+INDEX($AT$13:$BB$162,BO3274,0)+INDEX($BD$13:$BL$162,BP3274,0))/100))),0)</f>
        <v/>
      </c>
      <c r="BT3274">
        <f>IF(AND(3261&lt;$U$9,$W$5),BQ3274*1000000-MIN(BR3274,999)*1000+BS3274-3261/100000,-1000000000-3261)</f>
        <v/>
      </c>
    </row>
    <row r="3275">
      <c r="BN3275">
        <f>IF(3262&lt;$U$9,INT(3262/($U$7*$U$8))+1,1)</f>
        <v/>
      </c>
      <c r="BO3275">
        <f>IF(3262&lt;$U$9,MOD(INT(3262/$U$8),$U$7)+1,1)</f>
        <v/>
      </c>
      <c r="BP3275">
        <f>IF(3262&lt;$U$9,MOD(3262,$U$8)+1,1)</f>
        <v/>
      </c>
      <c r="BQ3275">
        <f>IF(3262&lt;$U$9,SUMPRODUCT(($D$10:$L$10&lt;&gt;"")*(($D$9:$L$9+INT(($S$12:$AA$12+INDEX($AJ$13:$AR$162,BN3275,0)+INDEX($AT$13:$BB$162,BO3275,0)+INDEX($BD$13:$BL$162,BP3275,0))/100))&gt;=$D$10:$L$10)),0)</f>
        <v/>
      </c>
      <c r="BR3275">
        <f>IF(3262&lt;$U$9,SUMPRODUCT(($D$10:$L$10&lt;&gt;"")*(($D$10:$L$10-($D$9:$L$9+INT(($S$12:$AA$12+INDEX($AJ$13:$AR$162,BN3275,0)+INDEX($AT$13:$BB$162,BO3275,0)+INDEX($BD$13:$BL$162,BP3275,0))/100)))&gt;0)*($D$10:$L$10-($D$9:$L$9+INT(($S$12:$AA$12+INDEX($AJ$13:$AR$162,BN3275,0)+INDEX($AT$13:$BB$162,BO3275,0)+INDEX($BD$13:$BL$162,BP3275,0))/100)))),0)</f>
        <v/>
      </c>
      <c r="BS3275">
        <f>IF(3262&lt;$U$9,SUMPRODUCT(($D$9:$L$9+INT(($S$12:$AA$12+INDEX($AJ$13:$AR$162,BN3275,0)+INDEX($AT$13:$BB$162,BO3275,0)+INDEX($BD$13:$BL$162,BP3275,0))/100))),0)</f>
        <v/>
      </c>
      <c r="BT3275">
        <f>IF(AND(3262&lt;$U$9,$W$5),BQ3275*1000000-MIN(BR3275,999)*1000+BS3275-3262/100000,-1000000000-3262)</f>
        <v/>
      </c>
    </row>
    <row r="3276">
      <c r="BN3276">
        <f>IF(3263&lt;$U$9,INT(3263/($U$7*$U$8))+1,1)</f>
        <v/>
      </c>
      <c r="BO3276">
        <f>IF(3263&lt;$U$9,MOD(INT(3263/$U$8),$U$7)+1,1)</f>
        <v/>
      </c>
      <c r="BP3276">
        <f>IF(3263&lt;$U$9,MOD(3263,$U$8)+1,1)</f>
        <v/>
      </c>
      <c r="BQ3276">
        <f>IF(3263&lt;$U$9,SUMPRODUCT(($D$10:$L$10&lt;&gt;"")*(($D$9:$L$9+INT(($S$12:$AA$12+INDEX($AJ$13:$AR$162,BN3276,0)+INDEX($AT$13:$BB$162,BO3276,0)+INDEX($BD$13:$BL$162,BP3276,0))/100))&gt;=$D$10:$L$10)),0)</f>
        <v/>
      </c>
      <c r="BR3276">
        <f>IF(3263&lt;$U$9,SUMPRODUCT(($D$10:$L$10&lt;&gt;"")*(($D$10:$L$10-($D$9:$L$9+INT(($S$12:$AA$12+INDEX($AJ$13:$AR$162,BN3276,0)+INDEX($AT$13:$BB$162,BO3276,0)+INDEX($BD$13:$BL$162,BP3276,0))/100)))&gt;0)*($D$10:$L$10-($D$9:$L$9+INT(($S$12:$AA$12+INDEX($AJ$13:$AR$162,BN3276,0)+INDEX($AT$13:$BB$162,BO3276,0)+INDEX($BD$13:$BL$162,BP3276,0))/100)))),0)</f>
        <v/>
      </c>
      <c r="BS3276">
        <f>IF(3263&lt;$U$9,SUMPRODUCT(($D$9:$L$9+INT(($S$12:$AA$12+INDEX($AJ$13:$AR$162,BN3276,0)+INDEX($AT$13:$BB$162,BO3276,0)+INDEX($BD$13:$BL$162,BP3276,0))/100))),0)</f>
        <v/>
      </c>
      <c r="BT3276">
        <f>IF(AND(3263&lt;$U$9,$W$5),BQ3276*1000000-MIN(BR3276,999)*1000+BS3276-3263/100000,-1000000000-3263)</f>
        <v/>
      </c>
    </row>
    <row r="3277">
      <c r="BN3277">
        <f>IF(3264&lt;$U$9,INT(3264/($U$7*$U$8))+1,1)</f>
        <v/>
      </c>
      <c r="BO3277">
        <f>IF(3264&lt;$U$9,MOD(INT(3264/$U$8),$U$7)+1,1)</f>
        <v/>
      </c>
      <c r="BP3277">
        <f>IF(3264&lt;$U$9,MOD(3264,$U$8)+1,1)</f>
        <v/>
      </c>
      <c r="BQ3277">
        <f>IF(3264&lt;$U$9,SUMPRODUCT(($D$10:$L$10&lt;&gt;"")*(($D$9:$L$9+INT(($S$12:$AA$12+INDEX($AJ$13:$AR$162,BN3277,0)+INDEX($AT$13:$BB$162,BO3277,0)+INDEX($BD$13:$BL$162,BP3277,0))/100))&gt;=$D$10:$L$10)),0)</f>
        <v/>
      </c>
      <c r="BR3277">
        <f>IF(3264&lt;$U$9,SUMPRODUCT(($D$10:$L$10&lt;&gt;"")*(($D$10:$L$10-($D$9:$L$9+INT(($S$12:$AA$12+INDEX($AJ$13:$AR$162,BN3277,0)+INDEX($AT$13:$BB$162,BO3277,0)+INDEX($BD$13:$BL$162,BP3277,0))/100)))&gt;0)*($D$10:$L$10-($D$9:$L$9+INT(($S$12:$AA$12+INDEX($AJ$13:$AR$162,BN3277,0)+INDEX($AT$13:$BB$162,BO3277,0)+INDEX($BD$13:$BL$162,BP3277,0))/100)))),0)</f>
        <v/>
      </c>
      <c r="BS3277">
        <f>IF(3264&lt;$U$9,SUMPRODUCT(($D$9:$L$9+INT(($S$12:$AA$12+INDEX($AJ$13:$AR$162,BN3277,0)+INDEX($AT$13:$BB$162,BO3277,0)+INDEX($BD$13:$BL$162,BP3277,0))/100))),0)</f>
        <v/>
      </c>
      <c r="BT3277">
        <f>IF(AND(3264&lt;$U$9,$W$5),BQ3277*1000000-MIN(BR3277,999)*1000+BS3277-3264/100000,-1000000000-3264)</f>
        <v/>
      </c>
    </row>
    <row r="3278">
      <c r="BN3278">
        <f>IF(3265&lt;$U$9,INT(3265/($U$7*$U$8))+1,1)</f>
        <v/>
      </c>
      <c r="BO3278">
        <f>IF(3265&lt;$U$9,MOD(INT(3265/$U$8),$U$7)+1,1)</f>
        <v/>
      </c>
      <c r="BP3278">
        <f>IF(3265&lt;$U$9,MOD(3265,$U$8)+1,1)</f>
        <v/>
      </c>
      <c r="BQ3278">
        <f>IF(3265&lt;$U$9,SUMPRODUCT(($D$10:$L$10&lt;&gt;"")*(($D$9:$L$9+INT(($S$12:$AA$12+INDEX($AJ$13:$AR$162,BN3278,0)+INDEX($AT$13:$BB$162,BO3278,0)+INDEX($BD$13:$BL$162,BP3278,0))/100))&gt;=$D$10:$L$10)),0)</f>
        <v/>
      </c>
      <c r="BR3278">
        <f>IF(3265&lt;$U$9,SUMPRODUCT(($D$10:$L$10&lt;&gt;"")*(($D$10:$L$10-($D$9:$L$9+INT(($S$12:$AA$12+INDEX($AJ$13:$AR$162,BN3278,0)+INDEX($AT$13:$BB$162,BO3278,0)+INDEX($BD$13:$BL$162,BP3278,0))/100)))&gt;0)*($D$10:$L$10-($D$9:$L$9+INT(($S$12:$AA$12+INDEX($AJ$13:$AR$162,BN3278,0)+INDEX($AT$13:$BB$162,BO3278,0)+INDEX($BD$13:$BL$162,BP3278,0))/100)))),0)</f>
        <v/>
      </c>
      <c r="BS3278">
        <f>IF(3265&lt;$U$9,SUMPRODUCT(($D$9:$L$9+INT(($S$12:$AA$12+INDEX($AJ$13:$AR$162,BN3278,0)+INDEX($AT$13:$BB$162,BO3278,0)+INDEX($BD$13:$BL$162,BP3278,0))/100))),0)</f>
        <v/>
      </c>
      <c r="BT3278">
        <f>IF(AND(3265&lt;$U$9,$W$5),BQ3278*1000000-MIN(BR3278,999)*1000+BS3278-3265/100000,-1000000000-3265)</f>
        <v/>
      </c>
    </row>
    <row r="3279">
      <c r="BN3279">
        <f>IF(3266&lt;$U$9,INT(3266/($U$7*$U$8))+1,1)</f>
        <v/>
      </c>
      <c r="BO3279">
        <f>IF(3266&lt;$U$9,MOD(INT(3266/$U$8),$U$7)+1,1)</f>
        <v/>
      </c>
      <c r="BP3279">
        <f>IF(3266&lt;$U$9,MOD(3266,$U$8)+1,1)</f>
        <v/>
      </c>
      <c r="BQ3279">
        <f>IF(3266&lt;$U$9,SUMPRODUCT(($D$10:$L$10&lt;&gt;"")*(($D$9:$L$9+INT(($S$12:$AA$12+INDEX($AJ$13:$AR$162,BN3279,0)+INDEX($AT$13:$BB$162,BO3279,0)+INDEX($BD$13:$BL$162,BP3279,0))/100))&gt;=$D$10:$L$10)),0)</f>
        <v/>
      </c>
      <c r="BR3279">
        <f>IF(3266&lt;$U$9,SUMPRODUCT(($D$10:$L$10&lt;&gt;"")*(($D$10:$L$10-($D$9:$L$9+INT(($S$12:$AA$12+INDEX($AJ$13:$AR$162,BN3279,0)+INDEX($AT$13:$BB$162,BO3279,0)+INDEX($BD$13:$BL$162,BP3279,0))/100)))&gt;0)*($D$10:$L$10-($D$9:$L$9+INT(($S$12:$AA$12+INDEX($AJ$13:$AR$162,BN3279,0)+INDEX($AT$13:$BB$162,BO3279,0)+INDEX($BD$13:$BL$162,BP3279,0))/100)))),0)</f>
        <v/>
      </c>
      <c r="BS3279">
        <f>IF(3266&lt;$U$9,SUMPRODUCT(($D$9:$L$9+INT(($S$12:$AA$12+INDEX($AJ$13:$AR$162,BN3279,0)+INDEX($AT$13:$BB$162,BO3279,0)+INDEX($BD$13:$BL$162,BP3279,0))/100))),0)</f>
        <v/>
      </c>
      <c r="BT3279">
        <f>IF(AND(3266&lt;$U$9,$W$5),BQ3279*1000000-MIN(BR3279,999)*1000+BS3279-3266/100000,-1000000000-3266)</f>
        <v/>
      </c>
    </row>
    <row r="3280">
      <c r="BN3280">
        <f>IF(3267&lt;$U$9,INT(3267/($U$7*$U$8))+1,1)</f>
        <v/>
      </c>
      <c r="BO3280">
        <f>IF(3267&lt;$U$9,MOD(INT(3267/$U$8),$U$7)+1,1)</f>
        <v/>
      </c>
      <c r="BP3280">
        <f>IF(3267&lt;$U$9,MOD(3267,$U$8)+1,1)</f>
        <v/>
      </c>
      <c r="BQ3280">
        <f>IF(3267&lt;$U$9,SUMPRODUCT(($D$10:$L$10&lt;&gt;"")*(($D$9:$L$9+INT(($S$12:$AA$12+INDEX($AJ$13:$AR$162,BN3280,0)+INDEX($AT$13:$BB$162,BO3280,0)+INDEX($BD$13:$BL$162,BP3280,0))/100))&gt;=$D$10:$L$10)),0)</f>
        <v/>
      </c>
      <c r="BR3280">
        <f>IF(3267&lt;$U$9,SUMPRODUCT(($D$10:$L$10&lt;&gt;"")*(($D$10:$L$10-($D$9:$L$9+INT(($S$12:$AA$12+INDEX($AJ$13:$AR$162,BN3280,0)+INDEX($AT$13:$BB$162,BO3280,0)+INDEX($BD$13:$BL$162,BP3280,0))/100)))&gt;0)*($D$10:$L$10-($D$9:$L$9+INT(($S$12:$AA$12+INDEX($AJ$13:$AR$162,BN3280,0)+INDEX($AT$13:$BB$162,BO3280,0)+INDEX($BD$13:$BL$162,BP3280,0))/100)))),0)</f>
        <v/>
      </c>
      <c r="BS3280">
        <f>IF(3267&lt;$U$9,SUMPRODUCT(($D$9:$L$9+INT(($S$12:$AA$12+INDEX($AJ$13:$AR$162,BN3280,0)+INDEX($AT$13:$BB$162,BO3280,0)+INDEX($BD$13:$BL$162,BP3280,0))/100))),0)</f>
        <v/>
      </c>
      <c r="BT3280">
        <f>IF(AND(3267&lt;$U$9,$W$5),BQ3280*1000000-MIN(BR3280,999)*1000+BS3280-3267/100000,-1000000000-3267)</f>
        <v/>
      </c>
    </row>
    <row r="3281">
      <c r="BN3281">
        <f>IF(3268&lt;$U$9,INT(3268/($U$7*$U$8))+1,1)</f>
        <v/>
      </c>
      <c r="BO3281">
        <f>IF(3268&lt;$U$9,MOD(INT(3268/$U$8),$U$7)+1,1)</f>
        <v/>
      </c>
      <c r="BP3281">
        <f>IF(3268&lt;$U$9,MOD(3268,$U$8)+1,1)</f>
        <v/>
      </c>
      <c r="BQ3281">
        <f>IF(3268&lt;$U$9,SUMPRODUCT(($D$10:$L$10&lt;&gt;"")*(($D$9:$L$9+INT(($S$12:$AA$12+INDEX($AJ$13:$AR$162,BN3281,0)+INDEX($AT$13:$BB$162,BO3281,0)+INDEX($BD$13:$BL$162,BP3281,0))/100))&gt;=$D$10:$L$10)),0)</f>
        <v/>
      </c>
      <c r="BR3281">
        <f>IF(3268&lt;$U$9,SUMPRODUCT(($D$10:$L$10&lt;&gt;"")*(($D$10:$L$10-($D$9:$L$9+INT(($S$12:$AA$12+INDEX($AJ$13:$AR$162,BN3281,0)+INDEX($AT$13:$BB$162,BO3281,0)+INDEX($BD$13:$BL$162,BP3281,0))/100)))&gt;0)*($D$10:$L$10-($D$9:$L$9+INT(($S$12:$AA$12+INDEX($AJ$13:$AR$162,BN3281,0)+INDEX($AT$13:$BB$162,BO3281,0)+INDEX($BD$13:$BL$162,BP3281,0))/100)))),0)</f>
        <v/>
      </c>
      <c r="BS3281">
        <f>IF(3268&lt;$U$9,SUMPRODUCT(($D$9:$L$9+INT(($S$12:$AA$12+INDEX($AJ$13:$AR$162,BN3281,0)+INDEX($AT$13:$BB$162,BO3281,0)+INDEX($BD$13:$BL$162,BP3281,0))/100))),0)</f>
        <v/>
      </c>
      <c r="BT3281">
        <f>IF(AND(3268&lt;$U$9,$W$5),BQ3281*1000000-MIN(BR3281,999)*1000+BS3281-3268/100000,-1000000000-3268)</f>
        <v/>
      </c>
    </row>
    <row r="3282">
      <c r="BN3282">
        <f>IF(3269&lt;$U$9,INT(3269/($U$7*$U$8))+1,1)</f>
        <v/>
      </c>
      <c r="BO3282">
        <f>IF(3269&lt;$U$9,MOD(INT(3269/$U$8),$U$7)+1,1)</f>
        <v/>
      </c>
      <c r="BP3282">
        <f>IF(3269&lt;$U$9,MOD(3269,$U$8)+1,1)</f>
        <v/>
      </c>
      <c r="BQ3282">
        <f>IF(3269&lt;$U$9,SUMPRODUCT(($D$10:$L$10&lt;&gt;"")*(($D$9:$L$9+INT(($S$12:$AA$12+INDEX($AJ$13:$AR$162,BN3282,0)+INDEX($AT$13:$BB$162,BO3282,0)+INDEX($BD$13:$BL$162,BP3282,0))/100))&gt;=$D$10:$L$10)),0)</f>
        <v/>
      </c>
      <c r="BR3282">
        <f>IF(3269&lt;$U$9,SUMPRODUCT(($D$10:$L$10&lt;&gt;"")*(($D$10:$L$10-($D$9:$L$9+INT(($S$12:$AA$12+INDEX($AJ$13:$AR$162,BN3282,0)+INDEX($AT$13:$BB$162,BO3282,0)+INDEX($BD$13:$BL$162,BP3282,0))/100)))&gt;0)*($D$10:$L$10-($D$9:$L$9+INT(($S$12:$AA$12+INDEX($AJ$13:$AR$162,BN3282,0)+INDEX($AT$13:$BB$162,BO3282,0)+INDEX($BD$13:$BL$162,BP3282,0))/100)))),0)</f>
        <v/>
      </c>
      <c r="BS3282">
        <f>IF(3269&lt;$U$9,SUMPRODUCT(($D$9:$L$9+INT(($S$12:$AA$12+INDEX($AJ$13:$AR$162,BN3282,0)+INDEX($AT$13:$BB$162,BO3282,0)+INDEX($BD$13:$BL$162,BP3282,0))/100))),0)</f>
        <v/>
      </c>
      <c r="BT3282">
        <f>IF(AND(3269&lt;$U$9,$W$5),BQ3282*1000000-MIN(BR3282,999)*1000+BS3282-3269/100000,-1000000000-3269)</f>
        <v/>
      </c>
    </row>
    <row r="3283">
      <c r="BN3283">
        <f>IF(3270&lt;$U$9,INT(3270/($U$7*$U$8))+1,1)</f>
        <v/>
      </c>
      <c r="BO3283">
        <f>IF(3270&lt;$U$9,MOD(INT(3270/$U$8),$U$7)+1,1)</f>
        <v/>
      </c>
      <c r="BP3283">
        <f>IF(3270&lt;$U$9,MOD(3270,$U$8)+1,1)</f>
        <v/>
      </c>
      <c r="BQ3283">
        <f>IF(3270&lt;$U$9,SUMPRODUCT(($D$10:$L$10&lt;&gt;"")*(($D$9:$L$9+INT(($S$12:$AA$12+INDEX($AJ$13:$AR$162,BN3283,0)+INDEX($AT$13:$BB$162,BO3283,0)+INDEX($BD$13:$BL$162,BP3283,0))/100))&gt;=$D$10:$L$10)),0)</f>
        <v/>
      </c>
      <c r="BR3283">
        <f>IF(3270&lt;$U$9,SUMPRODUCT(($D$10:$L$10&lt;&gt;"")*(($D$10:$L$10-($D$9:$L$9+INT(($S$12:$AA$12+INDEX($AJ$13:$AR$162,BN3283,0)+INDEX($AT$13:$BB$162,BO3283,0)+INDEX($BD$13:$BL$162,BP3283,0))/100)))&gt;0)*($D$10:$L$10-($D$9:$L$9+INT(($S$12:$AA$12+INDEX($AJ$13:$AR$162,BN3283,0)+INDEX($AT$13:$BB$162,BO3283,0)+INDEX($BD$13:$BL$162,BP3283,0))/100)))),0)</f>
        <v/>
      </c>
      <c r="BS3283">
        <f>IF(3270&lt;$U$9,SUMPRODUCT(($D$9:$L$9+INT(($S$12:$AA$12+INDEX($AJ$13:$AR$162,BN3283,0)+INDEX($AT$13:$BB$162,BO3283,0)+INDEX($BD$13:$BL$162,BP3283,0))/100))),0)</f>
        <v/>
      </c>
      <c r="BT3283">
        <f>IF(AND(3270&lt;$U$9,$W$5),BQ3283*1000000-MIN(BR3283,999)*1000+BS3283-3270/100000,-1000000000-3270)</f>
        <v/>
      </c>
    </row>
    <row r="3284">
      <c r="BN3284">
        <f>IF(3271&lt;$U$9,INT(3271/($U$7*$U$8))+1,1)</f>
        <v/>
      </c>
      <c r="BO3284">
        <f>IF(3271&lt;$U$9,MOD(INT(3271/$U$8),$U$7)+1,1)</f>
        <v/>
      </c>
      <c r="BP3284">
        <f>IF(3271&lt;$U$9,MOD(3271,$U$8)+1,1)</f>
        <v/>
      </c>
      <c r="BQ3284">
        <f>IF(3271&lt;$U$9,SUMPRODUCT(($D$10:$L$10&lt;&gt;"")*(($D$9:$L$9+INT(($S$12:$AA$12+INDEX($AJ$13:$AR$162,BN3284,0)+INDEX($AT$13:$BB$162,BO3284,0)+INDEX($BD$13:$BL$162,BP3284,0))/100))&gt;=$D$10:$L$10)),0)</f>
        <v/>
      </c>
      <c r="BR3284">
        <f>IF(3271&lt;$U$9,SUMPRODUCT(($D$10:$L$10&lt;&gt;"")*(($D$10:$L$10-($D$9:$L$9+INT(($S$12:$AA$12+INDEX($AJ$13:$AR$162,BN3284,0)+INDEX($AT$13:$BB$162,BO3284,0)+INDEX($BD$13:$BL$162,BP3284,0))/100)))&gt;0)*($D$10:$L$10-($D$9:$L$9+INT(($S$12:$AA$12+INDEX($AJ$13:$AR$162,BN3284,0)+INDEX($AT$13:$BB$162,BO3284,0)+INDEX($BD$13:$BL$162,BP3284,0))/100)))),0)</f>
        <v/>
      </c>
      <c r="BS3284">
        <f>IF(3271&lt;$U$9,SUMPRODUCT(($D$9:$L$9+INT(($S$12:$AA$12+INDEX($AJ$13:$AR$162,BN3284,0)+INDEX($AT$13:$BB$162,BO3284,0)+INDEX($BD$13:$BL$162,BP3284,0))/100))),0)</f>
        <v/>
      </c>
      <c r="BT3284">
        <f>IF(AND(3271&lt;$U$9,$W$5),BQ3284*1000000-MIN(BR3284,999)*1000+BS3284-3271/100000,-1000000000-3271)</f>
        <v/>
      </c>
    </row>
    <row r="3285">
      <c r="BN3285">
        <f>IF(3272&lt;$U$9,INT(3272/($U$7*$U$8))+1,1)</f>
        <v/>
      </c>
      <c r="BO3285">
        <f>IF(3272&lt;$U$9,MOD(INT(3272/$U$8),$U$7)+1,1)</f>
        <v/>
      </c>
      <c r="BP3285">
        <f>IF(3272&lt;$U$9,MOD(3272,$U$8)+1,1)</f>
        <v/>
      </c>
      <c r="BQ3285">
        <f>IF(3272&lt;$U$9,SUMPRODUCT(($D$10:$L$10&lt;&gt;"")*(($D$9:$L$9+INT(($S$12:$AA$12+INDEX($AJ$13:$AR$162,BN3285,0)+INDEX($AT$13:$BB$162,BO3285,0)+INDEX($BD$13:$BL$162,BP3285,0))/100))&gt;=$D$10:$L$10)),0)</f>
        <v/>
      </c>
      <c r="BR3285">
        <f>IF(3272&lt;$U$9,SUMPRODUCT(($D$10:$L$10&lt;&gt;"")*(($D$10:$L$10-($D$9:$L$9+INT(($S$12:$AA$12+INDEX($AJ$13:$AR$162,BN3285,0)+INDEX($AT$13:$BB$162,BO3285,0)+INDEX($BD$13:$BL$162,BP3285,0))/100)))&gt;0)*($D$10:$L$10-($D$9:$L$9+INT(($S$12:$AA$12+INDEX($AJ$13:$AR$162,BN3285,0)+INDEX($AT$13:$BB$162,BO3285,0)+INDEX($BD$13:$BL$162,BP3285,0))/100)))),0)</f>
        <v/>
      </c>
      <c r="BS3285">
        <f>IF(3272&lt;$U$9,SUMPRODUCT(($D$9:$L$9+INT(($S$12:$AA$12+INDEX($AJ$13:$AR$162,BN3285,0)+INDEX($AT$13:$BB$162,BO3285,0)+INDEX($BD$13:$BL$162,BP3285,0))/100))),0)</f>
        <v/>
      </c>
      <c r="BT3285">
        <f>IF(AND(3272&lt;$U$9,$W$5),BQ3285*1000000-MIN(BR3285,999)*1000+BS3285-3272/100000,-1000000000-3272)</f>
        <v/>
      </c>
    </row>
    <row r="3286">
      <c r="BN3286">
        <f>IF(3273&lt;$U$9,INT(3273/($U$7*$U$8))+1,1)</f>
        <v/>
      </c>
      <c r="BO3286">
        <f>IF(3273&lt;$U$9,MOD(INT(3273/$U$8),$U$7)+1,1)</f>
        <v/>
      </c>
      <c r="BP3286">
        <f>IF(3273&lt;$U$9,MOD(3273,$U$8)+1,1)</f>
        <v/>
      </c>
      <c r="BQ3286">
        <f>IF(3273&lt;$U$9,SUMPRODUCT(($D$10:$L$10&lt;&gt;"")*(($D$9:$L$9+INT(($S$12:$AA$12+INDEX($AJ$13:$AR$162,BN3286,0)+INDEX($AT$13:$BB$162,BO3286,0)+INDEX($BD$13:$BL$162,BP3286,0))/100))&gt;=$D$10:$L$10)),0)</f>
        <v/>
      </c>
      <c r="BR3286">
        <f>IF(3273&lt;$U$9,SUMPRODUCT(($D$10:$L$10&lt;&gt;"")*(($D$10:$L$10-($D$9:$L$9+INT(($S$12:$AA$12+INDEX($AJ$13:$AR$162,BN3286,0)+INDEX($AT$13:$BB$162,BO3286,0)+INDEX($BD$13:$BL$162,BP3286,0))/100)))&gt;0)*($D$10:$L$10-($D$9:$L$9+INT(($S$12:$AA$12+INDEX($AJ$13:$AR$162,BN3286,0)+INDEX($AT$13:$BB$162,BO3286,0)+INDEX($BD$13:$BL$162,BP3286,0))/100)))),0)</f>
        <v/>
      </c>
      <c r="BS3286">
        <f>IF(3273&lt;$U$9,SUMPRODUCT(($D$9:$L$9+INT(($S$12:$AA$12+INDEX($AJ$13:$AR$162,BN3286,0)+INDEX($AT$13:$BB$162,BO3286,0)+INDEX($BD$13:$BL$162,BP3286,0))/100))),0)</f>
        <v/>
      </c>
      <c r="BT3286">
        <f>IF(AND(3273&lt;$U$9,$W$5),BQ3286*1000000-MIN(BR3286,999)*1000+BS3286-3273/100000,-1000000000-3273)</f>
        <v/>
      </c>
    </row>
    <row r="3287">
      <c r="BN3287">
        <f>IF(3274&lt;$U$9,INT(3274/($U$7*$U$8))+1,1)</f>
        <v/>
      </c>
      <c r="BO3287">
        <f>IF(3274&lt;$U$9,MOD(INT(3274/$U$8),$U$7)+1,1)</f>
        <v/>
      </c>
      <c r="BP3287">
        <f>IF(3274&lt;$U$9,MOD(3274,$U$8)+1,1)</f>
        <v/>
      </c>
      <c r="BQ3287">
        <f>IF(3274&lt;$U$9,SUMPRODUCT(($D$10:$L$10&lt;&gt;"")*(($D$9:$L$9+INT(($S$12:$AA$12+INDEX($AJ$13:$AR$162,BN3287,0)+INDEX($AT$13:$BB$162,BO3287,0)+INDEX($BD$13:$BL$162,BP3287,0))/100))&gt;=$D$10:$L$10)),0)</f>
        <v/>
      </c>
      <c r="BR3287">
        <f>IF(3274&lt;$U$9,SUMPRODUCT(($D$10:$L$10&lt;&gt;"")*(($D$10:$L$10-($D$9:$L$9+INT(($S$12:$AA$12+INDEX($AJ$13:$AR$162,BN3287,0)+INDEX($AT$13:$BB$162,BO3287,0)+INDEX($BD$13:$BL$162,BP3287,0))/100)))&gt;0)*($D$10:$L$10-($D$9:$L$9+INT(($S$12:$AA$12+INDEX($AJ$13:$AR$162,BN3287,0)+INDEX($AT$13:$BB$162,BO3287,0)+INDEX($BD$13:$BL$162,BP3287,0))/100)))),0)</f>
        <v/>
      </c>
      <c r="BS3287">
        <f>IF(3274&lt;$U$9,SUMPRODUCT(($D$9:$L$9+INT(($S$12:$AA$12+INDEX($AJ$13:$AR$162,BN3287,0)+INDEX($AT$13:$BB$162,BO3287,0)+INDEX($BD$13:$BL$162,BP3287,0))/100))),0)</f>
        <v/>
      </c>
      <c r="BT3287">
        <f>IF(AND(3274&lt;$U$9,$W$5),BQ3287*1000000-MIN(BR3287,999)*1000+BS3287-3274/100000,-1000000000-3274)</f>
        <v/>
      </c>
    </row>
    <row r="3288">
      <c r="BN3288">
        <f>IF(3275&lt;$U$9,INT(3275/($U$7*$U$8))+1,1)</f>
        <v/>
      </c>
      <c r="BO3288">
        <f>IF(3275&lt;$U$9,MOD(INT(3275/$U$8),$U$7)+1,1)</f>
        <v/>
      </c>
      <c r="BP3288">
        <f>IF(3275&lt;$U$9,MOD(3275,$U$8)+1,1)</f>
        <v/>
      </c>
      <c r="BQ3288">
        <f>IF(3275&lt;$U$9,SUMPRODUCT(($D$10:$L$10&lt;&gt;"")*(($D$9:$L$9+INT(($S$12:$AA$12+INDEX($AJ$13:$AR$162,BN3288,0)+INDEX($AT$13:$BB$162,BO3288,0)+INDEX($BD$13:$BL$162,BP3288,0))/100))&gt;=$D$10:$L$10)),0)</f>
        <v/>
      </c>
      <c r="BR3288">
        <f>IF(3275&lt;$U$9,SUMPRODUCT(($D$10:$L$10&lt;&gt;"")*(($D$10:$L$10-($D$9:$L$9+INT(($S$12:$AA$12+INDEX($AJ$13:$AR$162,BN3288,0)+INDEX($AT$13:$BB$162,BO3288,0)+INDEX($BD$13:$BL$162,BP3288,0))/100)))&gt;0)*($D$10:$L$10-($D$9:$L$9+INT(($S$12:$AA$12+INDEX($AJ$13:$AR$162,BN3288,0)+INDEX($AT$13:$BB$162,BO3288,0)+INDEX($BD$13:$BL$162,BP3288,0))/100)))),0)</f>
        <v/>
      </c>
      <c r="BS3288">
        <f>IF(3275&lt;$U$9,SUMPRODUCT(($D$9:$L$9+INT(($S$12:$AA$12+INDEX($AJ$13:$AR$162,BN3288,0)+INDEX($AT$13:$BB$162,BO3288,0)+INDEX($BD$13:$BL$162,BP3288,0))/100))),0)</f>
        <v/>
      </c>
      <c r="BT3288">
        <f>IF(AND(3275&lt;$U$9,$W$5),BQ3288*1000000-MIN(BR3288,999)*1000+BS3288-3275/100000,-1000000000-3275)</f>
        <v/>
      </c>
    </row>
    <row r="3289">
      <c r="BN3289">
        <f>IF(3276&lt;$U$9,INT(3276/($U$7*$U$8))+1,1)</f>
        <v/>
      </c>
      <c r="BO3289">
        <f>IF(3276&lt;$U$9,MOD(INT(3276/$U$8),$U$7)+1,1)</f>
        <v/>
      </c>
      <c r="BP3289">
        <f>IF(3276&lt;$U$9,MOD(3276,$U$8)+1,1)</f>
        <v/>
      </c>
      <c r="BQ3289">
        <f>IF(3276&lt;$U$9,SUMPRODUCT(($D$10:$L$10&lt;&gt;"")*(($D$9:$L$9+INT(($S$12:$AA$12+INDEX($AJ$13:$AR$162,BN3289,0)+INDEX($AT$13:$BB$162,BO3289,0)+INDEX($BD$13:$BL$162,BP3289,0))/100))&gt;=$D$10:$L$10)),0)</f>
        <v/>
      </c>
      <c r="BR3289">
        <f>IF(3276&lt;$U$9,SUMPRODUCT(($D$10:$L$10&lt;&gt;"")*(($D$10:$L$10-($D$9:$L$9+INT(($S$12:$AA$12+INDEX($AJ$13:$AR$162,BN3289,0)+INDEX($AT$13:$BB$162,BO3289,0)+INDEX($BD$13:$BL$162,BP3289,0))/100)))&gt;0)*($D$10:$L$10-($D$9:$L$9+INT(($S$12:$AA$12+INDEX($AJ$13:$AR$162,BN3289,0)+INDEX($AT$13:$BB$162,BO3289,0)+INDEX($BD$13:$BL$162,BP3289,0))/100)))),0)</f>
        <v/>
      </c>
      <c r="BS3289">
        <f>IF(3276&lt;$U$9,SUMPRODUCT(($D$9:$L$9+INT(($S$12:$AA$12+INDEX($AJ$13:$AR$162,BN3289,0)+INDEX($AT$13:$BB$162,BO3289,0)+INDEX($BD$13:$BL$162,BP3289,0))/100))),0)</f>
        <v/>
      </c>
      <c r="BT3289">
        <f>IF(AND(3276&lt;$U$9,$W$5),BQ3289*1000000-MIN(BR3289,999)*1000+BS3289-3276/100000,-1000000000-3276)</f>
        <v/>
      </c>
    </row>
    <row r="3290">
      <c r="BN3290">
        <f>IF(3277&lt;$U$9,INT(3277/($U$7*$U$8))+1,1)</f>
        <v/>
      </c>
      <c r="BO3290">
        <f>IF(3277&lt;$U$9,MOD(INT(3277/$U$8),$U$7)+1,1)</f>
        <v/>
      </c>
      <c r="BP3290">
        <f>IF(3277&lt;$U$9,MOD(3277,$U$8)+1,1)</f>
        <v/>
      </c>
      <c r="BQ3290">
        <f>IF(3277&lt;$U$9,SUMPRODUCT(($D$10:$L$10&lt;&gt;"")*(($D$9:$L$9+INT(($S$12:$AA$12+INDEX($AJ$13:$AR$162,BN3290,0)+INDEX($AT$13:$BB$162,BO3290,0)+INDEX($BD$13:$BL$162,BP3290,0))/100))&gt;=$D$10:$L$10)),0)</f>
        <v/>
      </c>
      <c r="BR3290">
        <f>IF(3277&lt;$U$9,SUMPRODUCT(($D$10:$L$10&lt;&gt;"")*(($D$10:$L$10-($D$9:$L$9+INT(($S$12:$AA$12+INDEX($AJ$13:$AR$162,BN3290,0)+INDEX($AT$13:$BB$162,BO3290,0)+INDEX($BD$13:$BL$162,BP3290,0))/100)))&gt;0)*($D$10:$L$10-($D$9:$L$9+INT(($S$12:$AA$12+INDEX($AJ$13:$AR$162,BN3290,0)+INDEX($AT$13:$BB$162,BO3290,0)+INDEX($BD$13:$BL$162,BP3290,0))/100)))),0)</f>
        <v/>
      </c>
      <c r="BS3290">
        <f>IF(3277&lt;$U$9,SUMPRODUCT(($D$9:$L$9+INT(($S$12:$AA$12+INDEX($AJ$13:$AR$162,BN3290,0)+INDEX($AT$13:$BB$162,BO3290,0)+INDEX($BD$13:$BL$162,BP3290,0))/100))),0)</f>
        <v/>
      </c>
      <c r="BT3290">
        <f>IF(AND(3277&lt;$U$9,$W$5),BQ3290*1000000-MIN(BR3290,999)*1000+BS3290-3277/100000,-1000000000-3277)</f>
        <v/>
      </c>
    </row>
    <row r="3291">
      <c r="BN3291">
        <f>IF(3278&lt;$U$9,INT(3278/($U$7*$U$8))+1,1)</f>
        <v/>
      </c>
      <c r="BO3291">
        <f>IF(3278&lt;$U$9,MOD(INT(3278/$U$8),$U$7)+1,1)</f>
        <v/>
      </c>
      <c r="BP3291">
        <f>IF(3278&lt;$U$9,MOD(3278,$U$8)+1,1)</f>
        <v/>
      </c>
      <c r="BQ3291">
        <f>IF(3278&lt;$U$9,SUMPRODUCT(($D$10:$L$10&lt;&gt;"")*(($D$9:$L$9+INT(($S$12:$AA$12+INDEX($AJ$13:$AR$162,BN3291,0)+INDEX($AT$13:$BB$162,BO3291,0)+INDEX($BD$13:$BL$162,BP3291,0))/100))&gt;=$D$10:$L$10)),0)</f>
        <v/>
      </c>
      <c r="BR3291">
        <f>IF(3278&lt;$U$9,SUMPRODUCT(($D$10:$L$10&lt;&gt;"")*(($D$10:$L$10-($D$9:$L$9+INT(($S$12:$AA$12+INDEX($AJ$13:$AR$162,BN3291,0)+INDEX($AT$13:$BB$162,BO3291,0)+INDEX($BD$13:$BL$162,BP3291,0))/100)))&gt;0)*($D$10:$L$10-($D$9:$L$9+INT(($S$12:$AA$12+INDEX($AJ$13:$AR$162,BN3291,0)+INDEX($AT$13:$BB$162,BO3291,0)+INDEX($BD$13:$BL$162,BP3291,0))/100)))),0)</f>
        <v/>
      </c>
      <c r="BS3291">
        <f>IF(3278&lt;$U$9,SUMPRODUCT(($D$9:$L$9+INT(($S$12:$AA$12+INDEX($AJ$13:$AR$162,BN3291,0)+INDEX($AT$13:$BB$162,BO3291,0)+INDEX($BD$13:$BL$162,BP3291,0))/100))),0)</f>
        <v/>
      </c>
      <c r="BT3291">
        <f>IF(AND(3278&lt;$U$9,$W$5),BQ3291*1000000-MIN(BR3291,999)*1000+BS3291-3278/100000,-1000000000-3278)</f>
        <v/>
      </c>
    </row>
    <row r="3292">
      <c r="BN3292">
        <f>IF(3279&lt;$U$9,INT(3279/($U$7*$U$8))+1,1)</f>
        <v/>
      </c>
      <c r="BO3292">
        <f>IF(3279&lt;$U$9,MOD(INT(3279/$U$8),$U$7)+1,1)</f>
        <v/>
      </c>
      <c r="BP3292">
        <f>IF(3279&lt;$U$9,MOD(3279,$U$8)+1,1)</f>
        <v/>
      </c>
      <c r="BQ3292">
        <f>IF(3279&lt;$U$9,SUMPRODUCT(($D$10:$L$10&lt;&gt;"")*(($D$9:$L$9+INT(($S$12:$AA$12+INDEX($AJ$13:$AR$162,BN3292,0)+INDEX($AT$13:$BB$162,BO3292,0)+INDEX($BD$13:$BL$162,BP3292,0))/100))&gt;=$D$10:$L$10)),0)</f>
        <v/>
      </c>
      <c r="BR3292">
        <f>IF(3279&lt;$U$9,SUMPRODUCT(($D$10:$L$10&lt;&gt;"")*(($D$10:$L$10-($D$9:$L$9+INT(($S$12:$AA$12+INDEX($AJ$13:$AR$162,BN3292,0)+INDEX($AT$13:$BB$162,BO3292,0)+INDEX($BD$13:$BL$162,BP3292,0))/100)))&gt;0)*($D$10:$L$10-($D$9:$L$9+INT(($S$12:$AA$12+INDEX($AJ$13:$AR$162,BN3292,0)+INDEX($AT$13:$BB$162,BO3292,0)+INDEX($BD$13:$BL$162,BP3292,0))/100)))),0)</f>
        <v/>
      </c>
      <c r="BS3292">
        <f>IF(3279&lt;$U$9,SUMPRODUCT(($D$9:$L$9+INT(($S$12:$AA$12+INDEX($AJ$13:$AR$162,BN3292,0)+INDEX($AT$13:$BB$162,BO3292,0)+INDEX($BD$13:$BL$162,BP3292,0))/100))),0)</f>
        <v/>
      </c>
      <c r="BT3292">
        <f>IF(AND(3279&lt;$U$9,$W$5),BQ3292*1000000-MIN(BR3292,999)*1000+BS3292-3279/100000,-1000000000-3279)</f>
        <v/>
      </c>
    </row>
    <row r="3293">
      <c r="BN3293">
        <f>IF(3280&lt;$U$9,INT(3280/($U$7*$U$8))+1,1)</f>
        <v/>
      </c>
      <c r="BO3293">
        <f>IF(3280&lt;$U$9,MOD(INT(3280/$U$8),$U$7)+1,1)</f>
        <v/>
      </c>
      <c r="BP3293">
        <f>IF(3280&lt;$U$9,MOD(3280,$U$8)+1,1)</f>
        <v/>
      </c>
      <c r="BQ3293">
        <f>IF(3280&lt;$U$9,SUMPRODUCT(($D$10:$L$10&lt;&gt;"")*(($D$9:$L$9+INT(($S$12:$AA$12+INDEX($AJ$13:$AR$162,BN3293,0)+INDEX($AT$13:$BB$162,BO3293,0)+INDEX($BD$13:$BL$162,BP3293,0))/100))&gt;=$D$10:$L$10)),0)</f>
        <v/>
      </c>
      <c r="BR3293">
        <f>IF(3280&lt;$U$9,SUMPRODUCT(($D$10:$L$10&lt;&gt;"")*(($D$10:$L$10-($D$9:$L$9+INT(($S$12:$AA$12+INDEX($AJ$13:$AR$162,BN3293,0)+INDEX($AT$13:$BB$162,BO3293,0)+INDEX($BD$13:$BL$162,BP3293,0))/100)))&gt;0)*($D$10:$L$10-($D$9:$L$9+INT(($S$12:$AA$12+INDEX($AJ$13:$AR$162,BN3293,0)+INDEX($AT$13:$BB$162,BO3293,0)+INDEX($BD$13:$BL$162,BP3293,0))/100)))),0)</f>
        <v/>
      </c>
      <c r="BS3293">
        <f>IF(3280&lt;$U$9,SUMPRODUCT(($D$9:$L$9+INT(($S$12:$AA$12+INDEX($AJ$13:$AR$162,BN3293,0)+INDEX($AT$13:$BB$162,BO3293,0)+INDEX($BD$13:$BL$162,BP3293,0))/100))),0)</f>
        <v/>
      </c>
      <c r="BT3293">
        <f>IF(AND(3280&lt;$U$9,$W$5),BQ3293*1000000-MIN(BR3293,999)*1000+BS3293-3280/100000,-1000000000-3280)</f>
        <v/>
      </c>
    </row>
    <row r="3294">
      <c r="BN3294">
        <f>IF(3281&lt;$U$9,INT(3281/($U$7*$U$8))+1,1)</f>
        <v/>
      </c>
      <c r="BO3294">
        <f>IF(3281&lt;$U$9,MOD(INT(3281/$U$8),$U$7)+1,1)</f>
        <v/>
      </c>
      <c r="BP3294">
        <f>IF(3281&lt;$U$9,MOD(3281,$U$8)+1,1)</f>
        <v/>
      </c>
      <c r="BQ3294">
        <f>IF(3281&lt;$U$9,SUMPRODUCT(($D$10:$L$10&lt;&gt;"")*(($D$9:$L$9+INT(($S$12:$AA$12+INDEX($AJ$13:$AR$162,BN3294,0)+INDEX($AT$13:$BB$162,BO3294,0)+INDEX($BD$13:$BL$162,BP3294,0))/100))&gt;=$D$10:$L$10)),0)</f>
        <v/>
      </c>
      <c r="BR3294">
        <f>IF(3281&lt;$U$9,SUMPRODUCT(($D$10:$L$10&lt;&gt;"")*(($D$10:$L$10-($D$9:$L$9+INT(($S$12:$AA$12+INDEX($AJ$13:$AR$162,BN3294,0)+INDEX($AT$13:$BB$162,BO3294,0)+INDEX($BD$13:$BL$162,BP3294,0))/100)))&gt;0)*($D$10:$L$10-($D$9:$L$9+INT(($S$12:$AA$12+INDEX($AJ$13:$AR$162,BN3294,0)+INDEX($AT$13:$BB$162,BO3294,0)+INDEX($BD$13:$BL$162,BP3294,0))/100)))),0)</f>
        <v/>
      </c>
      <c r="BS3294">
        <f>IF(3281&lt;$U$9,SUMPRODUCT(($D$9:$L$9+INT(($S$12:$AA$12+INDEX($AJ$13:$AR$162,BN3294,0)+INDEX($AT$13:$BB$162,BO3294,0)+INDEX($BD$13:$BL$162,BP3294,0))/100))),0)</f>
        <v/>
      </c>
      <c r="BT3294">
        <f>IF(AND(3281&lt;$U$9,$W$5),BQ3294*1000000-MIN(BR3294,999)*1000+BS3294-3281/100000,-1000000000-3281)</f>
        <v/>
      </c>
    </row>
    <row r="3295">
      <c r="BN3295">
        <f>IF(3282&lt;$U$9,INT(3282/($U$7*$U$8))+1,1)</f>
        <v/>
      </c>
      <c r="BO3295">
        <f>IF(3282&lt;$U$9,MOD(INT(3282/$U$8),$U$7)+1,1)</f>
        <v/>
      </c>
      <c r="BP3295">
        <f>IF(3282&lt;$U$9,MOD(3282,$U$8)+1,1)</f>
        <v/>
      </c>
      <c r="BQ3295">
        <f>IF(3282&lt;$U$9,SUMPRODUCT(($D$10:$L$10&lt;&gt;"")*(($D$9:$L$9+INT(($S$12:$AA$12+INDEX($AJ$13:$AR$162,BN3295,0)+INDEX($AT$13:$BB$162,BO3295,0)+INDEX($BD$13:$BL$162,BP3295,0))/100))&gt;=$D$10:$L$10)),0)</f>
        <v/>
      </c>
      <c r="BR3295">
        <f>IF(3282&lt;$U$9,SUMPRODUCT(($D$10:$L$10&lt;&gt;"")*(($D$10:$L$10-($D$9:$L$9+INT(($S$12:$AA$12+INDEX($AJ$13:$AR$162,BN3295,0)+INDEX($AT$13:$BB$162,BO3295,0)+INDEX($BD$13:$BL$162,BP3295,0))/100)))&gt;0)*($D$10:$L$10-($D$9:$L$9+INT(($S$12:$AA$12+INDEX($AJ$13:$AR$162,BN3295,0)+INDEX($AT$13:$BB$162,BO3295,0)+INDEX($BD$13:$BL$162,BP3295,0))/100)))),0)</f>
        <v/>
      </c>
      <c r="BS3295">
        <f>IF(3282&lt;$U$9,SUMPRODUCT(($D$9:$L$9+INT(($S$12:$AA$12+INDEX($AJ$13:$AR$162,BN3295,0)+INDEX($AT$13:$BB$162,BO3295,0)+INDEX($BD$13:$BL$162,BP3295,0))/100))),0)</f>
        <v/>
      </c>
      <c r="BT3295">
        <f>IF(AND(3282&lt;$U$9,$W$5),BQ3295*1000000-MIN(BR3295,999)*1000+BS3295-3282/100000,-1000000000-3282)</f>
        <v/>
      </c>
    </row>
    <row r="3296">
      <c r="BN3296">
        <f>IF(3283&lt;$U$9,INT(3283/($U$7*$U$8))+1,1)</f>
        <v/>
      </c>
      <c r="BO3296">
        <f>IF(3283&lt;$U$9,MOD(INT(3283/$U$8),$U$7)+1,1)</f>
        <v/>
      </c>
      <c r="BP3296">
        <f>IF(3283&lt;$U$9,MOD(3283,$U$8)+1,1)</f>
        <v/>
      </c>
      <c r="BQ3296">
        <f>IF(3283&lt;$U$9,SUMPRODUCT(($D$10:$L$10&lt;&gt;"")*(($D$9:$L$9+INT(($S$12:$AA$12+INDEX($AJ$13:$AR$162,BN3296,0)+INDEX($AT$13:$BB$162,BO3296,0)+INDEX($BD$13:$BL$162,BP3296,0))/100))&gt;=$D$10:$L$10)),0)</f>
        <v/>
      </c>
      <c r="BR3296">
        <f>IF(3283&lt;$U$9,SUMPRODUCT(($D$10:$L$10&lt;&gt;"")*(($D$10:$L$10-($D$9:$L$9+INT(($S$12:$AA$12+INDEX($AJ$13:$AR$162,BN3296,0)+INDEX($AT$13:$BB$162,BO3296,0)+INDEX($BD$13:$BL$162,BP3296,0))/100)))&gt;0)*($D$10:$L$10-($D$9:$L$9+INT(($S$12:$AA$12+INDEX($AJ$13:$AR$162,BN3296,0)+INDEX($AT$13:$BB$162,BO3296,0)+INDEX($BD$13:$BL$162,BP3296,0))/100)))),0)</f>
        <v/>
      </c>
      <c r="BS3296">
        <f>IF(3283&lt;$U$9,SUMPRODUCT(($D$9:$L$9+INT(($S$12:$AA$12+INDEX($AJ$13:$AR$162,BN3296,0)+INDEX($AT$13:$BB$162,BO3296,0)+INDEX($BD$13:$BL$162,BP3296,0))/100))),0)</f>
        <v/>
      </c>
      <c r="BT3296">
        <f>IF(AND(3283&lt;$U$9,$W$5),BQ3296*1000000-MIN(BR3296,999)*1000+BS3296-3283/100000,-1000000000-3283)</f>
        <v/>
      </c>
    </row>
    <row r="3297">
      <c r="BN3297">
        <f>IF(3284&lt;$U$9,INT(3284/($U$7*$U$8))+1,1)</f>
        <v/>
      </c>
      <c r="BO3297">
        <f>IF(3284&lt;$U$9,MOD(INT(3284/$U$8),$U$7)+1,1)</f>
        <v/>
      </c>
      <c r="BP3297">
        <f>IF(3284&lt;$U$9,MOD(3284,$U$8)+1,1)</f>
        <v/>
      </c>
      <c r="BQ3297">
        <f>IF(3284&lt;$U$9,SUMPRODUCT(($D$10:$L$10&lt;&gt;"")*(($D$9:$L$9+INT(($S$12:$AA$12+INDEX($AJ$13:$AR$162,BN3297,0)+INDEX($AT$13:$BB$162,BO3297,0)+INDEX($BD$13:$BL$162,BP3297,0))/100))&gt;=$D$10:$L$10)),0)</f>
        <v/>
      </c>
      <c r="BR3297">
        <f>IF(3284&lt;$U$9,SUMPRODUCT(($D$10:$L$10&lt;&gt;"")*(($D$10:$L$10-($D$9:$L$9+INT(($S$12:$AA$12+INDEX($AJ$13:$AR$162,BN3297,0)+INDEX($AT$13:$BB$162,BO3297,0)+INDEX($BD$13:$BL$162,BP3297,0))/100)))&gt;0)*($D$10:$L$10-($D$9:$L$9+INT(($S$12:$AA$12+INDEX($AJ$13:$AR$162,BN3297,0)+INDEX($AT$13:$BB$162,BO3297,0)+INDEX($BD$13:$BL$162,BP3297,0))/100)))),0)</f>
        <v/>
      </c>
      <c r="BS3297">
        <f>IF(3284&lt;$U$9,SUMPRODUCT(($D$9:$L$9+INT(($S$12:$AA$12+INDEX($AJ$13:$AR$162,BN3297,0)+INDEX($AT$13:$BB$162,BO3297,0)+INDEX($BD$13:$BL$162,BP3297,0))/100))),0)</f>
        <v/>
      </c>
      <c r="BT3297">
        <f>IF(AND(3284&lt;$U$9,$W$5),BQ3297*1000000-MIN(BR3297,999)*1000+BS3297-3284/100000,-1000000000-3284)</f>
        <v/>
      </c>
    </row>
    <row r="3298">
      <c r="BN3298">
        <f>IF(3285&lt;$U$9,INT(3285/($U$7*$U$8))+1,1)</f>
        <v/>
      </c>
      <c r="BO3298">
        <f>IF(3285&lt;$U$9,MOD(INT(3285/$U$8),$U$7)+1,1)</f>
        <v/>
      </c>
      <c r="BP3298">
        <f>IF(3285&lt;$U$9,MOD(3285,$U$8)+1,1)</f>
        <v/>
      </c>
      <c r="BQ3298">
        <f>IF(3285&lt;$U$9,SUMPRODUCT(($D$10:$L$10&lt;&gt;"")*(($D$9:$L$9+INT(($S$12:$AA$12+INDEX($AJ$13:$AR$162,BN3298,0)+INDEX($AT$13:$BB$162,BO3298,0)+INDEX($BD$13:$BL$162,BP3298,0))/100))&gt;=$D$10:$L$10)),0)</f>
        <v/>
      </c>
      <c r="BR3298">
        <f>IF(3285&lt;$U$9,SUMPRODUCT(($D$10:$L$10&lt;&gt;"")*(($D$10:$L$10-($D$9:$L$9+INT(($S$12:$AA$12+INDEX($AJ$13:$AR$162,BN3298,0)+INDEX($AT$13:$BB$162,BO3298,0)+INDEX($BD$13:$BL$162,BP3298,0))/100)))&gt;0)*($D$10:$L$10-($D$9:$L$9+INT(($S$12:$AA$12+INDEX($AJ$13:$AR$162,BN3298,0)+INDEX($AT$13:$BB$162,BO3298,0)+INDEX($BD$13:$BL$162,BP3298,0))/100)))),0)</f>
        <v/>
      </c>
      <c r="BS3298">
        <f>IF(3285&lt;$U$9,SUMPRODUCT(($D$9:$L$9+INT(($S$12:$AA$12+INDEX($AJ$13:$AR$162,BN3298,0)+INDEX($AT$13:$BB$162,BO3298,0)+INDEX($BD$13:$BL$162,BP3298,0))/100))),0)</f>
        <v/>
      </c>
      <c r="BT3298">
        <f>IF(AND(3285&lt;$U$9,$W$5),BQ3298*1000000-MIN(BR3298,999)*1000+BS3298-3285/100000,-1000000000-3285)</f>
        <v/>
      </c>
    </row>
    <row r="3299">
      <c r="BN3299">
        <f>IF(3286&lt;$U$9,INT(3286/($U$7*$U$8))+1,1)</f>
        <v/>
      </c>
      <c r="BO3299">
        <f>IF(3286&lt;$U$9,MOD(INT(3286/$U$8),$U$7)+1,1)</f>
        <v/>
      </c>
      <c r="BP3299">
        <f>IF(3286&lt;$U$9,MOD(3286,$U$8)+1,1)</f>
        <v/>
      </c>
      <c r="BQ3299">
        <f>IF(3286&lt;$U$9,SUMPRODUCT(($D$10:$L$10&lt;&gt;"")*(($D$9:$L$9+INT(($S$12:$AA$12+INDEX($AJ$13:$AR$162,BN3299,0)+INDEX($AT$13:$BB$162,BO3299,0)+INDEX($BD$13:$BL$162,BP3299,0))/100))&gt;=$D$10:$L$10)),0)</f>
        <v/>
      </c>
      <c r="BR3299">
        <f>IF(3286&lt;$U$9,SUMPRODUCT(($D$10:$L$10&lt;&gt;"")*(($D$10:$L$10-($D$9:$L$9+INT(($S$12:$AA$12+INDEX($AJ$13:$AR$162,BN3299,0)+INDEX($AT$13:$BB$162,BO3299,0)+INDEX($BD$13:$BL$162,BP3299,0))/100)))&gt;0)*($D$10:$L$10-($D$9:$L$9+INT(($S$12:$AA$12+INDEX($AJ$13:$AR$162,BN3299,0)+INDEX($AT$13:$BB$162,BO3299,0)+INDEX($BD$13:$BL$162,BP3299,0))/100)))),0)</f>
        <v/>
      </c>
      <c r="BS3299">
        <f>IF(3286&lt;$U$9,SUMPRODUCT(($D$9:$L$9+INT(($S$12:$AA$12+INDEX($AJ$13:$AR$162,BN3299,0)+INDEX($AT$13:$BB$162,BO3299,0)+INDEX($BD$13:$BL$162,BP3299,0))/100))),0)</f>
        <v/>
      </c>
      <c r="BT3299">
        <f>IF(AND(3286&lt;$U$9,$W$5),BQ3299*1000000-MIN(BR3299,999)*1000+BS3299-3286/100000,-1000000000-3286)</f>
        <v/>
      </c>
    </row>
    <row r="3300">
      <c r="BN3300">
        <f>IF(3287&lt;$U$9,INT(3287/($U$7*$U$8))+1,1)</f>
        <v/>
      </c>
      <c r="BO3300">
        <f>IF(3287&lt;$U$9,MOD(INT(3287/$U$8),$U$7)+1,1)</f>
        <v/>
      </c>
      <c r="BP3300">
        <f>IF(3287&lt;$U$9,MOD(3287,$U$8)+1,1)</f>
        <v/>
      </c>
      <c r="BQ3300">
        <f>IF(3287&lt;$U$9,SUMPRODUCT(($D$10:$L$10&lt;&gt;"")*(($D$9:$L$9+INT(($S$12:$AA$12+INDEX($AJ$13:$AR$162,BN3300,0)+INDEX($AT$13:$BB$162,BO3300,0)+INDEX($BD$13:$BL$162,BP3300,0))/100))&gt;=$D$10:$L$10)),0)</f>
        <v/>
      </c>
      <c r="BR3300">
        <f>IF(3287&lt;$U$9,SUMPRODUCT(($D$10:$L$10&lt;&gt;"")*(($D$10:$L$10-($D$9:$L$9+INT(($S$12:$AA$12+INDEX($AJ$13:$AR$162,BN3300,0)+INDEX($AT$13:$BB$162,BO3300,0)+INDEX($BD$13:$BL$162,BP3300,0))/100)))&gt;0)*($D$10:$L$10-($D$9:$L$9+INT(($S$12:$AA$12+INDEX($AJ$13:$AR$162,BN3300,0)+INDEX($AT$13:$BB$162,BO3300,0)+INDEX($BD$13:$BL$162,BP3300,0))/100)))),0)</f>
        <v/>
      </c>
      <c r="BS3300">
        <f>IF(3287&lt;$U$9,SUMPRODUCT(($D$9:$L$9+INT(($S$12:$AA$12+INDEX($AJ$13:$AR$162,BN3300,0)+INDEX($AT$13:$BB$162,BO3300,0)+INDEX($BD$13:$BL$162,BP3300,0))/100))),0)</f>
        <v/>
      </c>
      <c r="BT3300">
        <f>IF(AND(3287&lt;$U$9,$W$5),BQ3300*1000000-MIN(BR3300,999)*1000+BS3300-3287/100000,-1000000000-3287)</f>
        <v/>
      </c>
    </row>
    <row r="3301">
      <c r="BN3301">
        <f>IF(3288&lt;$U$9,INT(3288/($U$7*$U$8))+1,1)</f>
        <v/>
      </c>
      <c r="BO3301">
        <f>IF(3288&lt;$U$9,MOD(INT(3288/$U$8),$U$7)+1,1)</f>
        <v/>
      </c>
      <c r="BP3301">
        <f>IF(3288&lt;$U$9,MOD(3288,$U$8)+1,1)</f>
        <v/>
      </c>
      <c r="BQ3301">
        <f>IF(3288&lt;$U$9,SUMPRODUCT(($D$10:$L$10&lt;&gt;"")*(($D$9:$L$9+INT(($S$12:$AA$12+INDEX($AJ$13:$AR$162,BN3301,0)+INDEX($AT$13:$BB$162,BO3301,0)+INDEX($BD$13:$BL$162,BP3301,0))/100))&gt;=$D$10:$L$10)),0)</f>
        <v/>
      </c>
      <c r="BR3301">
        <f>IF(3288&lt;$U$9,SUMPRODUCT(($D$10:$L$10&lt;&gt;"")*(($D$10:$L$10-($D$9:$L$9+INT(($S$12:$AA$12+INDEX($AJ$13:$AR$162,BN3301,0)+INDEX($AT$13:$BB$162,BO3301,0)+INDEX($BD$13:$BL$162,BP3301,0))/100)))&gt;0)*($D$10:$L$10-($D$9:$L$9+INT(($S$12:$AA$12+INDEX($AJ$13:$AR$162,BN3301,0)+INDEX($AT$13:$BB$162,BO3301,0)+INDEX($BD$13:$BL$162,BP3301,0))/100)))),0)</f>
        <v/>
      </c>
      <c r="BS3301">
        <f>IF(3288&lt;$U$9,SUMPRODUCT(($D$9:$L$9+INT(($S$12:$AA$12+INDEX($AJ$13:$AR$162,BN3301,0)+INDEX($AT$13:$BB$162,BO3301,0)+INDEX($BD$13:$BL$162,BP3301,0))/100))),0)</f>
        <v/>
      </c>
      <c r="BT3301">
        <f>IF(AND(3288&lt;$U$9,$W$5),BQ3301*1000000-MIN(BR3301,999)*1000+BS3301-3288/100000,-1000000000-3288)</f>
        <v/>
      </c>
    </row>
    <row r="3302">
      <c r="BN3302">
        <f>IF(3289&lt;$U$9,INT(3289/($U$7*$U$8))+1,1)</f>
        <v/>
      </c>
      <c r="BO3302">
        <f>IF(3289&lt;$U$9,MOD(INT(3289/$U$8),$U$7)+1,1)</f>
        <v/>
      </c>
      <c r="BP3302">
        <f>IF(3289&lt;$U$9,MOD(3289,$U$8)+1,1)</f>
        <v/>
      </c>
      <c r="BQ3302">
        <f>IF(3289&lt;$U$9,SUMPRODUCT(($D$10:$L$10&lt;&gt;"")*(($D$9:$L$9+INT(($S$12:$AA$12+INDEX($AJ$13:$AR$162,BN3302,0)+INDEX($AT$13:$BB$162,BO3302,0)+INDEX($BD$13:$BL$162,BP3302,0))/100))&gt;=$D$10:$L$10)),0)</f>
        <v/>
      </c>
      <c r="BR3302">
        <f>IF(3289&lt;$U$9,SUMPRODUCT(($D$10:$L$10&lt;&gt;"")*(($D$10:$L$10-($D$9:$L$9+INT(($S$12:$AA$12+INDEX($AJ$13:$AR$162,BN3302,0)+INDEX($AT$13:$BB$162,BO3302,0)+INDEX($BD$13:$BL$162,BP3302,0))/100)))&gt;0)*($D$10:$L$10-($D$9:$L$9+INT(($S$12:$AA$12+INDEX($AJ$13:$AR$162,BN3302,0)+INDEX($AT$13:$BB$162,BO3302,0)+INDEX($BD$13:$BL$162,BP3302,0))/100)))),0)</f>
        <v/>
      </c>
      <c r="BS3302">
        <f>IF(3289&lt;$U$9,SUMPRODUCT(($D$9:$L$9+INT(($S$12:$AA$12+INDEX($AJ$13:$AR$162,BN3302,0)+INDEX($AT$13:$BB$162,BO3302,0)+INDEX($BD$13:$BL$162,BP3302,0))/100))),0)</f>
        <v/>
      </c>
      <c r="BT3302">
        <f>IF(AND(3289&lt;$U$9,$W$5),BQ3302*1000000-MIN(BR3302,999)*1000+BS3302-3289/100000,-1000000000-3289)</f>
        <v/>
      </c>
    </row>
    <row r="3303">
      <c r="BN3303">
        <f>IF(3290&lt;$U$9,INT(3290/($U$7*$U$8))+1,1)</f>
        <v/>
      </c>
      <c r="BO3303">
        <f>IF(3290&lt;$U$9,MOD(INT(3290/$U$8),$U$7)+1,1)</f>
        <v/>
      </c>
      <c r="BP3303">
        <f>IF(3290&lt;$U$9,MOD(3290,$U$8)+1,1)</f>
        <v/>
      </c>
      <c r="BQ3303">
        <f>IF(3290&lt;$U$9,SUMPRODUCT(($D$10:$L$10&lt;&gt;"")*(($D$9:$L$9+INT(($S$12:$AA$12+INDEX($AJ$13:$AR$162,BN3303,0)+INDEX($AT$13:$BB$162,BO3303,0)+INDEX($BD$13:$BL$162,BP3303,0))/100))&gt;=$D$10:$L$10)),0)</f>
        <v/>
      </c>
      <c r="BR3303">
        <f>IF(3290&lt;$U$9,SUMPRODUCT(($D$10:$L$10&lt;&gt;"")*(($D$10:$L$10-($D$9:$L$9+INT(($S$12:$AA$12+INDEX($AJ$13:$AR$162,BN3303,0)+INDEX($AT$13:$BB$162,BO3303,0)+INDEX($BD$13:$BL$162,BP3303,0))/100)))&gt;0)*($D$10:$L$10-($D$9:$L$9+INT(($S$12:$AA$12+INDEX($AJ$13:$AR$162,BN3303,0)+INDEX($AT$13:$BB$162,BO3303,0)+INDEX($BD$13:$BL$162,BP3303,0))/100)))),0)</f>
        <v/>
      </c>
      <c r="BS3303">
        <f>IF(3290&lt;$U$9,SUMPRODUCT(($D$9:$L$9+INT(($S$12:$AA$12+INDEX($AJ$13:$AR$162,BN3303,0)+INDEX($AT$13:$BB$162,BO3303,0)+INDEX($BD$13:$BL$162,BP3303,0))/100))),0)</f>
        <v/>
      </c>
      <c r="BT3303">
        <f>IF(AND(3290&lt;$U$9,$W$5),BQ3303*1000000-MIN(BR3303,999)*1000+BS3303-3290/100000,-1000000000-3290)</f>
        <v/>
      </c>
    </row>
    <row r="3304">
      <c r="BN3304">
        <f>IF(3291&lt;$U$9,INT(3291/($U$7*$U$8))+1,1)</f>
        <v/>
      </c>
      <c r="BO3304">
        <f>IF(3291&lt;$U$9,MOD(INT(3291/$U$8),$U$7)+1,1)</f>
        <v/>
      </c>
      <c r="BP3304">
        <f>IF(3291&lt;$U$9,MOD(3291,$U$8)+1,1)</f>
        <v/>
      </c>
      <c r="BQ3304">
        <f>IF(3291&lt;$U$9,SUMPRODUCT(($D$10:$L$10&lt;&gt;"")*(($D$9:$L$9+INT(($S$12:$AA$12+INDEX($AJ$13:$AR$162,BN3304,0)+INDEX($AT$13:$BB$162,BO3304,0)+INDEX($BD$13:$BL$162,BP3304,0))/100))&gt;=$D$10:$L$10)),0)</f>
        <v/>
      </c>
      <c r="BR3304">
        <f>IF(3291&lt;$U$9,SUMPRODUCT(($D$10:$L$10&lt;&gt;"")*(($D$10:$L$10-($D$9:$L$9+INT(($S$12:$AA$12+INDEX($AJ$13:$AR$162,BN3304,0)+INDEX($AT$13:$BB$162,BO3304,0)+INDEX($BD$13:$BL$162,BP3304,0))/100)))&gt;0)*($D$10:$L$10-($D$9:$L$9+INT(($S$12:$AA$12+INDEX($AJ$13:$AR$162,BN3304,0)+INDEX($AT$13:$BB$162,BO3304,0)+INDEX($BD$13:$BL$162,BP3304,0))/100)))),0)</f>
        <v/>
      </c>
      <c r="BS3304">
        <f>IF(3291&lt;$U$9,SUMPRODUCT(($D$9:$L$9+INT(($S$12:$AA$12+INDEX($AJ$13:$AR$162,BN3304,0)+INDEX($AT$13:$BB$162,BO3304,0)+INDEX($BD$13:$BL$162,BP3304,0))/100))),0)</f>
        <v/>
      </c>
      <c r="BT3304">
        <f>IF(AND(3291&lt;$U$9,$W$5),BQ3304*1000000-MIN(BR3304,999)*1000+BS3304-3291/100000,-1000000000-3291)</f>
        <v/>
      </c>
    </row>
    <row r="3305">
      <c r="BN3305">
        <f>IF(3292&lt;$U$9,INT(3292/($U$7*$U$8))+1,1)</f>
        <v/>
      </c>
      <c r="BO3305">
        <f>IF(3292&lt;$U$9,MOD(INT(3292/$U$8),$U$7)+1,1)</f>
        <v/>
      </c>
      <c r="BP3305">
        <f>IF(3292&lt;$U$9,MOD(3292,$U$8)+1,1)</f>
        <v/>
      </c>
      <c r="BQ3305">
        <f>IF(3292&lt;$U$9,SUMPRODUCT(($D$10:$L$10&lt;&gt;"")*(($D$9:$L$9+INT(($S$12:$AA$12+INDEX($AJ$13:$AR$162,BN3305,0)+INDEX($AT$13:$BB$162,BO3305,0)+INDEX($BD$13:$BL$162,BP3305,0))/100))&gt;=$D$10:$L$10)),0)</f>
        <v/>
      </c>
      <c r="BR3305">
        <f>IF(3292&lt;$U$9,SUMPRODUCT(($D$10:$L$10&lt;&gt;"")*(($D$10:$L$10-($D$9:$L$9+INT(($S$12:$AA$12+INDEX($AJ$13:$AR$162,BN3305,0)+INDEX($AT$13:$BB$162,BO3305,0)+INDEX($BD$13:$BL$162,BP3305,0))/100)))&gt;0)*($D$10:$L$10-($D$9:$L$9+INT(($S$12:$AA$12+INDEX($AJ$13:$AR$162,BN3305,0)+INDEX($AT$13:$BB$162,BO3305,0)+INDEX($BD$13:$BL$162,BP3305,0))/100)))),0)</f>
        <v/>
      </c>
      <c r="BS3305">
        <f>IF(3292&lt;$U$9,SUMPRODUCT(($D$9:$L$9+INT(($S$12:$AA$12+INDEX($AJ$13:$AR$162,BN3305,0)+INDEX($AT$13:$BB$162,BO3305,0)+INDEX($BD$13:$BL$162,BP3305,0))/100))),0)</f>
        <v/>
      </c>
      <c r="BT3305">
        <f>IF(AND(3292&lt;$U$9,$W$5),BQ3305*1000000-MIN(BR3305,999)*1000+BS3305-3292/100000,-1000000000-3292)</f>
        <v/>
      </c>
    </row>
    <row r="3306">
      <c r="BN3306">
        <f>IF(3293&lt;$U$9,INT(3293/($U$7*$U$8))+1,1)</f>
        <v/>
      </c>
      <c r="BO3306">
        <f>IF(3293&lt;$U$9,MOD(INT(3293/$U$8),$U$7)+1,1)</f>
        <v/>
      </c>
      <c r="BP3306">
        <f>IF(3293&lt;$U$9,MOD(3293,$U$8)+1,1)</f>
        <v/>
      </c>
      <c r="BQ3306">
        <f>IF(3293&lt;$U$9,SUMPRODUCT(($D$10:$L$10&lt;&gt;"")*(($D$9:$L$9+INT(($S$12:$AA$12+INDEX($AJ$13:$AR$162,BN3306,0)+INDEX($AT$13:$BB$162,BO3306,0)+INDEX($BD$13:$BL$162,BP3306,0))/100))&gt;=$D$10:$L$10)),0)</f>
        <v/>
      </c>
      <c r="BR3306">
        <f>IF(3293&lt;$U$9,SUMPRODUCT(($D$10:$L$10&lt;&gt;"")*(($D$10:$L$10-($D$9:$L$9+INT(($S$12:$AA$12+INDEX($AJ$13:$AR$162,BN3306,0)+INDEX($AT$13:$BB$162,BO3306,0)+INDEX($BD$13:$BL$162,BP3306,0))/100)))&gt;0)*($D$10:$L$10-($D$9:$L$9+INT(($S$12:$AA$12+INDEX($AJ$13:$AR$162,BN3306,0)+INDEX($AT$13:$BB$162,BO3306,0)+INDEX($BD$13:$BL$162,BP3306,0))/100)))),0)</f>
        <v/>
      </c>
      <c r="BS3306">
        <f>IF(3293&lt;$U$9,SUMPRODUCT(($D$9:$L$9+INT(($S$12:$AA$12+INDEX($AJ$13:$AR$162,BN3306,0)+INDEX($AT$13:$BB$162,BO3306,0)+INDEX($BD$13:$BL$162,BP3306,0))/100))),0)</f>
        <v/>
      </c>
      <c r="BT3306">
        <f>IF(AND(3293&lt;$U$9,$W$5),BQ3306*1000000-MIN(BR3306,999)*1000+BS3306-3293/100000,-1000000000-3293)</f>
        <v/>
      </c>
    </row>
    <row r="3307">
      <c r="BN3307">
        <f>IF(3294&lt;$U$9,INT(3294/($U$7*$U$8))+1,1)</f>
        <v/>
      </c>
      <c r="BO3307">
        <f>IF(3294&lt;$U$9,MOD(INT(3294/$U$8),$U$7)+1,1)</f>
        <v/>
      </c>
      <c r="BP3307">
        <f>IF(3294&lt;$U$9,MOD(3294,$U$8)+1,1)</f>
        <v/>
      </c>
      <c r="BQ3307">
        <f>IF(3294&lt;$U$9,SUMPRODUCT(($D$10:$L$10&lt;&gt;"")*(($D$9:$L$9+INT(($S$12:$AA$12+INDEX($AJ$13:$AR$162,BN3307,0)+INDEX($AT$13:$BB$162,BO3307,0)+INDEX($BD$13:$BL$162,BP3307,0))/100))&gt;=$D$10:$L$10)),0)</f>
        <v/>
      </c>
      <c r="BR3307">
        <f>IF(3294&lt;$U$9,SUMPRODUCT(($D$10:$L$10&lt;&gt;"")*(($D$10:$L$10-($D$9:$L$9+INT(($S$12:$AA$12+INDEX($AJ$13:$AR$162,BN3307,0)+INDEX($AT$13:$BB$162,BO3307,0)+INDEX($BD$13:$BL$162,BP3307,0))/100)))&gt;0)*($D$10:$L$10-($D$9:$L$9+INT(($S$12:$AA$12+INDEX($AJ$13:$AR$162,BN3307,0)+INDEX($AT$13:$BB$162,BO3307,0)+INDEX($BD$13:$BL$162,BP3307,0))/100)))),0)</f>
        <v/>
      </c>
      <c r="BS3307">
        <f>IF(3294&lt;$U$9,SUMPRODUCT(($D$9:$L$9+INT(($S$12:$AA$12+INDEX($AJ$13:$AR$162,BN3307,0)+INDEX($AT$13:$BB$162,BO3307,0)+INDEX($BD$13:$BL$162,BP3307,0))/100))),0)</f>
        <v/>
      </c>
      <c r="BT3307">
        <f>IF(AND(3294&lt;$U$9,$W$5),BQ3307*1000000-MIN(BR3307,999)*1000+BS3307-3294/100000,-1000000000-3294)</f>
        <v/>
      </c>
    </row>
    <row r="3308">
      <c r="BN3308">
        <f>IF(3295&lt;$U$9,INT(3295/($U$7*$U$8))+1,1)</f>
        <v/>
      </c>
      <c r="BO3308">
        <f>IF(3295&lt;$U$9,MOD(INT(3295/$U$8),$U$7)+1,1)</f>
        <v/>
      </c>
      <c r="BP3308">
        <f>IF(3295&lt;$U$9,MOD(3295,$U$8)+1,1)</f>
        <v/>
      </c>
      <c r="BQ3308">
        <f>IF(3295&lt;$U$9,SUMPRODUCT(($D$10:$L$10&lt;&gt;"")*(($D$9:$L$9+INT(($S$12:$AA$12+INDEX($AJ$13:$AR$162,BN3308,0)+INDEX($AT$13:$BB$162,BO3308,0)+INDEX($BD$13:$BL$162,BP3308,0))/100))&gt;=$D$10:$L$10)),0)</f>
        <v/>
      </c>
      <c r="BR3308">
        <f>IF(3295&lt;$U$9,SUMPRODUCT(($D$10:$L$10&lt;&gt;"")*(($D$10:$L$10-($D$9:$L$9+INT(($S$12:$AA$12+INDEX($AJ$13:$AR$162,BN3308,0)+INDEX($AT$13:$BB$162,BO3308,0)+INDEX($BD$13:$BL$162,BP3308,0))/100)))&gt;0)*($D$10:$L$10-($D$9:$L$9+INT(($S$12:$AA$12+INDEX($AJ$13:$AR$162,BN3308,0)+INDEX($AT$13:$BB$162,BO3308,0)+INDEX($BD$13:$BL$162,BP3308,0))/100)))),0)</f>
        <v/>
      </c>
      <c r="BS3308">
        <f>IF(3295&lt;$U$9,SUMPRODUCT(($D$9:$L$9+INT(($S$12:$AA$12+INDEX($AJ$13:$AR$162,BN3308,0)+INDEX($AT$13:$BB$162,BO3308,0)+INDEX($BD$13:$BL$162,BP3308,0))/100))),0)</f>
        <v/>
      </c>
      <c r="BT3308">
        <f>IF(AND(3295&lt;$U$9,$W$5),BQ3308*1000000-MIN(BR3308,999)*1000+BS3308-3295/100000,-1000000000-3295)</f>
        <v/>
      </c>
    </row>
    <row r="3309">
      <c r="BN3309">
        <f>IF(3296&lt;$U$9,INT(3296/($U$7*$U$8))+1,1)</f>
        <v/>
      </c>
      <c r="BO3309">
        <f>IF(3296&lt;$U$9,MOD(INT(3296/$U$8),$U$7)+1,1)</f>
        <v/>
      </c>
      <c r="BP3309">
        <f>IF(3296&lt;$U$9,MOD(3296,$U$8)+1,1)</f>
        <v/>
      </c>
      <c r="BQ3309">
        <f>IF(3296&lt;$U$9,SUMPRODUCT(($D$10:$L$10&lt;&gt;"")*(($D$9:$L$9+INT(($S$12:$AA$12+INDEX($AJ$13:$AR$162,BN3309,0)+INDEX($AT$13:$BB$162,BO3309,0)+INDEX($BD$13:$BL$162,BP3309,0))/100))&gt;=$D$10:$L$10)),0)</f>
        <v/>
      </c>
      <c r="BR3309">
        <f>IF(3296&lt;$U$9,SUMPRODUCT(($D$10:$L$10&lt;&gt;"")*(($D$10:$L$10-($D$9:$L$9+INT(($S$12:$AA$12+INDEX($AJ$13:$AR$162,BN3309,0)+INDEX($AT$13:$BB$162,BO3309,0)+INDEX($BD$13:$BL$162,BP3309,0))/100)))&gt;0)*($D$10:$L$10-($D$9:$L$9+INT(($S$12:$AA$12+INDEX($AJ$13:$AR$162,BN3309,0)+INDEX($AT$13:$BB$162,BO3309,0)+INDEX($BD$13:$BL$162,BP3309,0))/100)))),0)</f>
        <v/>
      </c>
      <c r="BS3309">
        <f>IF(3296&lt;$U$9,SUMPRODUCT(($D$9:$L$9+INT(($S$12:$AA$12+INDEX($AJ$13:$AR$162,BN3309,0)+INDEX($AT$13:$BB$162,BO3309,0)+INDEX($BD$13:$BL$162,BP3309,0))/100))),0)</f>
        <v/>
      </c>
      <c r="BT3309">
        <f>IF(AND(3296&lt;$U$9,$W$5),BQ3309*1000000-MIN(BR3309,999)*1000+BS3309-3296/100000,-1000000000-3296)</f>
        <v/>
      </c>
    </row>
    <row r="3310">
      <c r="BN3310">
        <f>IF(3297&lt;$U$9,INT(3297/($U$7*$U$8))+1,1)</f>
        <v/>
      </c>
      <c r="BO3310">
        <f>IF(3297&lt;$U$9,MOD(INT(3297/$U$8),$U$7)+1,1)</f>
        <v/>
      </c>
      <c r="BP3310">
        <f>IF(3297&lt;$U$9,MOD(3297,$U$8)+1,1)</f>
        <v/>
      </c>
      <c r="BQ3310">
        <f>IF(3297&lt;$U$9,SUMPRODUCT(($D$10:$L$10&lt;&gt;"")*(($D$9:$L$9+INT(($S$12:$AA$12+INDEX($AJ$13:$AR$162,BN3310,0)+INDEX($AT$13:$BB$162,BO3310,0)+INDEX($BD$13:$BL$162,BP3310,0))/100))&gt;=$D$10:$L$10)),0)</f>
        <v/>
      </c>
      <c r="BR3310">
        <f>IF(3297&lt;$U$9,SUMPRODUCT(($D$10:$L$10&lt;&gt;"")*(($D$10:$L$10-($D$9:$L$9+INT(($S$12:$AA$12+INDEX($AJ$13:$AR$162,BN3310,0)+INDEX($AT$13:$BB$162,BO3310,0)+INDEX($BD$13:$BL$162,BP3310,0))/100)))&gt;0)*($D$10:$L$10-($D$9:$L$9+INT(($S$12:$AA$12+INDEX($AJ$13:$AR$162,BN3310,0)+INDEX($AT$13:$BB$162,BO3310,0)+INDEX($BD$13:$BL$162,BP3310,0))/100)))),0)</f>
        <v/>
      </c>
      <c r="BS3310">
        <f>IF(3297&lt;$U$9,SUMPRODUCT(($D$9:$L$9+INT(($S$12:$AA$12+INDEX($AJ$13:$AR$162,BN3310,0)+INDEX($AT$13:$BB$162,BO3310,0)+INDEX($BD$13:$BL$162,BP3310,0))/100))),0)</f>
        <v/>
      </c>
      <c r="BT3310">
        <f>IF(AND(3297&lt;$U$9,$W$5),BQ3310*1000000-MIN(BR3310,999)*1000+BS3310-3297/100000,-1000000000-3297)</f>
        <v/>
      </c>
    </row>
    <row r="3311">
      <c r="BN3311">
        <f>IF(3298&lt;$U$9,INT(3298/($U$7*$U$8))+1,1)</f>
        <v/>
      </c>
      <c r="BO3311">
        <f>IF(3298&lt;$U$9,MOD(INT(3298/$U$8),$U$7)+1,1)</f>
        <v/>
      </c>
      <c r="BP3311">
        <f>IF(3298&lt;$U$9,MOD(3298,$U$8)+1,1)</f>
        <v/>
      </c>
      <c r="BQ3311">
        <f>IF(3298&lt;$U$9,SUMPRODUCT(($D$10:$L$10&lt;&gt;"")*(($D$9:$L$9+INT(($S$12:$AA$12+INDEX($AJ$13:$AR$162,BN3311,0)+INDEX($AT$13:$BB$162,BO3311,0)+INDEX($BD$13:$BL$162,BP3311,0))/100))&gt;=$D$10:$L$10)),0)</f>
        <v/>
      </c>
      <c r="BR3311">
        <f>IF(3298&lt;$U$9,SUMPRODUCT(($D$10:$L$10&lt;&gt;"")*(($D$10:$L$10-($D$9:$L$9+INT(($S$12:$AA$12+INDEX($AJ$13:$AR$162,BN3311,0)+INDEX($AT$13:$BB$162,BO3311,0)+INDEX($BD$13:$BL$162,BP3311,0))/100)))&gt;0)*($D$10:$L$10-($D$9:$L$9+INT(($S$12:$AA$12+INDEX($AJ$13:$AR$162,BN3311,0)+INDEX($AT$13:$BB$162,BO3311,0)+INDEX($BD$13:$BL$162,BP3311,0))/100)))),0)</f>
        <v/>
      </c>
      <c r="BS3311">
        <f>IF(3298&lt;$U$9,SUMPRODUCT(($D$9:$L$9+INT(($S$12:$AA$12+INDEX($AJ$13:$AR$162,BN3311,0)+INDEX($AT$13:$BB$162,BO3311,0)+INDEX($BD$13:$BL$162,BP3311,0))/100))),0)</f>
        <v/>
      </c>
      <c r="BT3311">
        <f>IF(AND(3298&lt;$U$9,$W$5),BQ3311*1000000-MIN(BR3311,999)*1000+BS3311-3298/100000,-1000000000-3298)</f>
        <v/>
      </c>
    </row>
    <row r="3312">
      <c r="BN3312">
        <f>IF(3299&lt;$U$9,INT(3299/($U$7*$U$8))+1,1)</f>
        <v/>
      </c>
      <c r="BO3312">
        <f>IF(3299&lt;$U$9,MOD(INT(3299/$U$8),$U$7)+1,1)</f>
        <v/>
      </c>
      <c r="BP3312">
        <f>IF(3299&lt;$U$9,MOD(3299,$U$8)+1,1)</f>
        <v/>
      </c>
      <c r="BQ3312">
        <f>IF(3299&lt;$U$9,SUMPRODUCT(($D$10:$L$10&lt;&gt;"")*(($D$9:$L$9+INT(($S$12:$AA$12+INDEX($AJ$13:$AR$162,BN3312,0)+INDEX($AT$13:$BB$162,BO3312,0)+INDEX($BD$13:$BL$162,BP3312,0))/100))&gt;=$D$10:$L$10)),0)</f>
        <v/>
      </c>
      <c r="BR3312">
        <f>IF(3299&lt;$U$9,SUMPRODUCT(($D$10:$L$10&lt;&gt;"")*(($D$10:$L$10-($D$9:$L$9+INT(($S$12:$AA$12+INDEX($AJ$13:$AR$162,BN3312,0)+INDEX($AT$13:$BB$162,BO3312,0)+INDEX($BD$13:$BL$162,BP3312,0))/100)))&gt;0)*($D$10:$L$10-($D$9:$L$9+INT(($S$12:$AA$12+INDEX($AJ$13:$AR$162,BN3312,0)+INDEX($AT$13:$BB$162,BO3312,0)+INDEX($BD$13:$BL$162,BP3312,0))/100)))),0)</f>
        <v/>
      </c>
      <c r="BS3312">
        <f>IF(3299&lt;$U$9,SUMPRODUCT(($D$9:$L$9+INT(($S$12:$AA$12+INDEX($AJ$13:$AR$162,BN3312,0)+INDEX($AT$13:$BB$162,BO3312,0)+INDEX($BD$13:$BL$162,BP3312,0))/100))),0)</f>
        <v/>
      </c>
      <c r="BT3312">
        <f>IF(AND(3299&lt;$U$9,$W$5),BQ3312*1000000-MIN(BR3312,999)*1000+BS3312-3299/100000,-1000000000-3299)</f>
        <v/>
      </c>
    </row>
    <row r="3313">
      <c r="BN3313">
        <f>IF(3300&lt;$U$9,INT(3300/($U$7*$U$8))+1,1)</f>
        <v/>
      </c>
      <c r="BO3313">
        <f>IF(3300&lt;$U$9,MOD(INT(3300/$U$8),$U$7)+1,1)</f>
        <v/>
      </c>
      <c r="BP3313">
        <f>IF(3300&lt;$U$9,MOD(3300,$U$8)+1,1)</f>
        <v/>
      </c>
      <c r="BQ3313">
        <f>IF(3300&lt;$U$9,SUMPRODUCT(($D$10:$L$10&lt;&gt;"")*(($D$9:$L$9+INT(($S$12:$AA$12+INDEX($AJ$13:$AR$162,BN3313,0)+INDEX($AT$13:$BB$162,BO3313,0)+INDEX($BD$13:$BL$162,BP3313,0))/100))&gt;=$D$10:$L$10)),0)</f>
        <v/>
      </c>
      <c r="BR3313">
        <f>IF(3300&lt;$U$9,SUMPRODUCT(($D$10:$L$10&lt;&gt;"")*(($D$10:$L$10-($D$9:$L$9+INT(($S$12:$AA$12+INDEX($AJ$13:$AR$162,BN3313,0)+INDEX($AT$13:$BB$162,BO3313,0)+INDEX($BD$13:$BL$162,BP3313,0))/100)))&gt;0)*($D$10:$L$10-($D$9:$L$9+INT(($S$12:$AA$12+INDEX($AJ$13:$AR$162,BN3313,0)+INDEX($AT$13:$BB$162,BO3313,0)+INDEX($BD$13:$BL$162,BP3313,0))/100)))),0)</f>
        <v/>
      </c>
      <c r="BS3313">
        <f>IF(3300&lt;$U$9,SUMPRODUCT(($D$9:$L$9+INT(($S$12:$AA$12+INDEX($AJ$13:$AR$162,BN3313,0)+INDEX($AT$13:$BB$162,BO3313,0)+INDEX($BD$13:$BL$162,BP3313,0))/100))),0)</f>
        <v/>
      </c>
      <c r="BT3313">
        <f>IF(AND(3300&lt;$U$9,$W$5),BQ3313*1000000-MIN(BR3313,999)*1000+BS3313-3300/100000,-1000000000-3300)</f>
        <v/>
      </c>
    </row>
    <row r="3314">
      <c r="BN3314">
        <f>IF(3301&lt;$U$9,INT(3301/($U$7*$U$8))+1,1)</f>
        <v/>
      </c>
      <c r="BO3314">
        <f>IF(3301&lt;$U$9,MOD(INT(3301/$U$8),$U$7)+1,1)</f>
        <v/>
      </c>
      <c r="BP3314">
        <f>IF(3301&lt;$U$9,MOD(3301,$U$8)+1,1)</f>
        <v/>
      </c>
      <c r="BQ3314">
        <f>IF(3301&lt;$U$9,SUMPRODUCT(($D$10:$L$10&lt;&gt;"")*(($D$9:$L$9+INT(($S$12:$AA$12+INDEX($AJ$13:$AR$162,BN3314,0)+INDEX($AT$13:$BB$162,BO3314,0)+INDEX($BD$13:$BL$162,BP3314,0))/100))&gt;=$D$10:$L$10)),0)</f>
        <v/>
      </c>
      <c r="BR3314">
        <f>IF(3301&lt;$U$9,SUMPRODUCT(($D$10:$L$10&lt;&gt;"")*(($D$10:$L$10-($D$9:$L$9+INT(($S$12:$AA$12+INDEX($AJ$13:$AR$162,BN3314,0)+INDEX($AT$13:$BB$162,BO3314,0)+INDEX($BD$13:$BL$162,BP3314,0))/100)))&gt;0)*($D$10:$L$10-($D$9:$L$9+INT(($S$12:$AA$12+INDEX($AJ$13:$AR$162,BN3314,0)+INDEX($AT$13:$BB$162,BO3314,0)+INDEX($BD$13:$BL$162,BP3314,0))/100)))),0)</f>
        <v/>
      </c>
      <c r="BS3314">
        <f>IF(3301&lt;$U$9,SUMPRODUCT(($D$9:$L$9+INT(($S$12:$AA$12+INDEX($AJ$13:$AR$162,BN3314,0)+INDEX($AT$13:$BB$162,BO3314,0)+INDEX($BD$13:$BL$162,BP3314,0))/100))),0)</f>
        <v/>
      </c>
      <c r="BT3314">
        <f>IF(AND(3301&lt;$U$9,$W$5),BQ3314*1000000-MIN(BR3314,999)*1000+BS3314-3301/100000,-1000000000-3301)</f>
        <v/>
      </c>
    </row>
    <row r="3315">
      <c r="BN3315">
        <f>IF(3302&lt;$U$9,INT(3302/($U$7*$U$8))+1,1)</f>
        <v/>
      </c>
      <c r="BO3315">
        <f>IF(3302&lt;$U$9,MOD(INT(3302/$U$8),$U$7)+1,1)</f>
        <v/>
      </c>
      <c r="BP3315">
        <f>IF(3302&lt;$U$9,MOD(3302,$U$8)+1,1)</f>
        <v/>
      </c>
      <c r="BQ3315">
        <f>IF(3302&lt;$U$9,SUMPRODUCT(($D$10:$L$10&lt;&gt;"")*(($D$9:$L$9+INT(($S$12:$AA$12+INDEX($AJ$13:$AR$162,BN3315,0)+INDEX($AT$13:$BB$162,BO3315,0)+INDEX($BD$13:$BL$162,BP3315,0))/100))&gt;=$D$10:$L$10)),0)</f>
        <v/>
      </c>
      <c r="BR3315">
        <f>IF(3302&lt;$U$9,SUMPRODUCT(($D$10:$L$10&lt;&gt;"")*(($D$10:$L$10-($D$9:$L$9+INT(($S$12:$AA$12+INDEX($AJ$13:$AR$162,BN3315,0)+INDEX($AT$13:$BB$162,BO3315,0)+INDEX($BD$13:$BL$162,BP3315,0))/100)))&gt;0)*($D$10:$L$10-($D$9:$L$9+INT(($S$12:$AA$12+INDEX($AJ$13:$AR$162,BN3315,0)+INDEX($AT$13:$BB$162,BO3315,0)+INDEX($BD$13:$BL$162,BP3315,0))/100)))),0)</f>
        <v/>
      </c>
      <c r="BS3315">
        <f>IF(3302&lt;$U$9,SUMPRODUCT(($D$9:$L$9+INT(($S$12:$AA$12+INDEX($AJ$13:$AR$162,BN3315,0)+INDEX($AT$13:$BB$162,BO3315,0)+INDEX($BD$13:$BL$162,BP3315,0))/100))),0)</f>
        <v/>
      </c>
      <c r="BT3315">
        <f>IF(AND(3302&lt;$U$9,$W$5),BQ3315*1000000-MIN(BR3315,999)*1000+BS3315-3302/100000,-1000000000-3302)</f>
        <v/>
      </c>
    </row>
    <row r="3316">
      <c r="BN3316">
        <f>IF(3303&lt;$U$9,INT(3303/($U$7*$U$8))+1,1)</f>
        <v/>
      </c>
      <c r="BO3316">
        <f>IF(3303&lt;$U$9,MOD(INT(3303/$U$8),$U$7)+1,1)</f>
        <v/>
      </c>
      <c r="BP3316">
        <f>IF(3303&lt;$U$9,MOD(3303,$U$8)+1,1)</f>
        <v/>
      </c>
      <c r="BQ3316">
        <f>IF(3303&lt;$U$9,SUMPRODUCT(($D$10:$L$10&lt;&gt;"")*(($D$9:$L$9+INT(($S$12:$AA$12+INDEX($AJ$13:$AR$162,BN3316,0)+INDEX($AT$13:$BB$162,BO3316,0)+INDEX($BD$13:$BL$162,BP3316,0))/100))&gt;=$D$10:$L$10)),0)</f>
        <v/>
      </c>
      <c r="BR3316">
        <f>IF(3303&lt;$U$9,SUMPRODUCT(($D$10:$L$10&lt;&gt;"")*(($D$10:$L$10-($D$9:$L$9+INT(($S$12:$AA$12+INDEX($AJ$13:$AR$162,BN3316,0)+INDEX($AT$13:$BB$162,BO3316,0)+INDEX($BD$13:$BL$162,BP3316,0))/100)))&gt;0)*($D$10:$L$10-($D$9:$L$9+INT(($S$12:$AA$12+INDEX($AJ$13:$AR$162,BN3316,0)+INDEX($AT$13:$BB$162,BO3316,0)+INDEX($BD$13:$BL$162,BP3316,0))/100)))),0)</f>
        <v/>
      </c>
      <c r="BS3316">
        <f>IF(3303&lt;$U$9,SUMPRODUCT(($D$9:$L$9+INT(($S$12:$AA$12+INDEX($AJ$13:$AR$162,BN3316,0)+INDEX($AT$13:$BB$162,BO3316,0)+INDEX($BD$13:$BL$162,BP3316,0))/100))),0)</f>
        <v/>
      </c>
      <c r="BT3316">
        <f>IF(AND(3303&lt;$U$9,$W$5),BQ3316*1000000-MIN(BR3316,999)*1000+BS3316-3303/100000,-1000000000-3303)</f>
        <v/>
      </c>
    </row>
    <row r="3317">
      <c r="BN3317">
        <f>IF(3304&lt;$U$9,INT(3304/($U$7*$U$8))+1,1)</f>
        <v/>
      </c>
      <c r="BO3317">
        <f>IF(3304&lt;$U$9,MOD(INT(3304/$U$8),$U$7)+1,1)</f>
        <v/>
      </c>
      <c r="BP3317">
        <f>IF(3304&lt;$U$9,MOD(3304,$U$8)+1,1)</f>
        <v/>
      </c>
      <c r="BQ3317">
        <f>IF(3304&lt;$U$9,SUMPRODUCT(($D$10:$L$10&lt;&gt;"")*(($D$9:$L$9+INT(($S$12:$AA$12+INDEX($AJ$13:$AR$162,BN3317,0)+INDEX($AT$13:$BB$162,BO3317,0)+INDEX($BD$13:$BL$162,BP3317,0))/100))&gt;=$D$10:$L$10)),0)</f>
        <v/>
      </c>
      <c r="BR3317">
        <f>IF(3304&lt;$U$9,SUMPRODUCT(($D$10:$L$10&lt;&gt;"")*(($D$10:$L$10-($D$9:$L$9+INT(($S$12:$AA$12+INDEX($AJ$13:$AR$162,BN3317,0)+INDEX($AT$13:$BB$162,BO3317,0)+INDEX($BD$13:$BL$162,BP3317,0))/100)))&gt;0)*($D$10:$L$10-($D$9:$L$9+INT(($S$12:$AA$12+INDEX($AJ$13:$AR$162,BN3317,0)+INDEX($AT$13:$BB$162,BO3317,0)+INDEX($BD$13:$BL$162,BP3317,0))/100)))),0)</f>
        <v/>
      </c>
      <c r="BS3317">
        <f>IF(3304&lt;$U$9,SUMPRODUCT(($D$9:$L$9+INT(($S$12:$AA$12+INDEX($AJ$13:$AR$162,BN3317,0)+INDEX($AT$13:$BB$162,BO3317,0)+INDEX($BD$13:$BL$162,BP3317,0))/100))),0)</f>
        <v/>
      </c>
      <c r="BT3317">
        <f>IF(AND(3304&lt;$U$9,$W$5),BQ3317*1000000-MIN(BR3317,999)*1000+BS3317-3304/100000,-1000000000-3304)</f>
        <v/>
      </c>
    </row>
    <row r="3318">
      <c r="BN3318">
        <f>IF(3305&lt;$U$9,INT(3305/($U$7*$U$8))+1,1)</f>
        <v/>
      </c>
      <c r="BO3318">
        <f>IF(3305&lt;$U$9,MOD(INT(3305/$U$8),$U$7)+1,1)</f>
        <v/>
      </c>
      <c r="BP3318">
        <f>IF(3305&lt;$U$9,MOD(3305,$U$8)+1,1)</f>
        <v/>
      </c>
      <c r="BQ3318">
        <f>IF(3305&lt;$U$9,SUMPRODUCT(($D$10:$L$10&lt;&gt;"")*(($D$9:$L$9+INT(($S$12:$AA$12+INDEX($AJ$13:$AR$162,BN3318,0)+INDEX($AT$13:$BB$162,BO3318,0)+INDEX($BD$13:$BL$162,BP3318,0))/100))&gt;=$D$10:$L$10)),0)</f>
        <v/>
      </c>
      <c r="BR3318">
        <f>IF(3305&lt;$U$9,SUMPRODUCT(($D$10:$L$10&lt;&gt;"")*(($D$10:$L$10-($D$9:$L$9+INT(($S$12:$AA$12+INDEX($AJ$13:$AR$162,BN3318,0)+INDEX($AT$13:$BB$162,BO3318,0)+INDEX($BD$13:$BL$162,BP3318,0))/100)))&gt;0)*($D$10:$L$10-($D$9:$L$9+INT(($S$12:$AA$12+INDEX($AJ$13:$AR$162,BN3318,0)+INDEX($AT$13:$BB$162,BO3318,0)+INDEX($BD$13:$BL$162,BP3318,0))/100)))),0)</f>
        <v/>
      </c>
      <c r="BS3318">
        <f>IF(3305&lt;$U$9,SUMPRODUCT(($D$9:$L$9+INT(($S$12:$AA$12+INDEX($AJ$13:$AR$162,BN3318,0)+INDEX($AT$13:$BB$162,BO3318,0)+INDEX($BD$13:$BL$162,BP3318,0))/100))),0)</f>
        <v/>
      </c>
      <c r="BT3318">
        <f>IF(AND(3305&lt;$U$9,$W$5),BQ3318*1000000-MIN(BR3318,999)*1000+BS3318-3305/100000,-1000000000-3305)</f>
        <v/>
      </c>
    </row>
    <row r="3319">
      <c r="BN3319">
        <f>IF(3306&lt;$U$9,INT(3306/($U$7*$U$8))+1,1)</f>
        <v/>
      </c>
      <c r="BO3319">
        <f>IF(3306&lt;$U$9,MOD(INT(3306/$U$8),$U$7)+1,1)</f>
        <v/>
      </c>
      <c r="BP3319">
        <f>IF(3306&lt;$U$9,MOD(3306,$U$8)+1,1)</f>
        <v/>
      </c>
      <c r="BQ3319">
        <f>IF(3306&lt;$U$9,SUMPRODUCT(($D$10:$L$10&lt;&gt;"")*(($D$9:$L$9+INT(($S$12:$AA$12+INDEX($AJ$13:$AR$162,BN3319,0)+INDEX($AT$13:$BB$162,BO3319,0)+INDEX($BD$13:$BL$162,BP3319,0))/100))&gt;=$D$10:$L$10)),0)</f>
        <v/>
      </c>
      <c r="BR3319">
        <f>IF(3306&lt;$U$9,SUMPRODUCT(($D$10:$L$10&lt;&gt;"")*(($D$10:$L$10-($D$9:$L$9+INT(($S$12:$AA$12+INDEX($AJ$13:$AR$162,BN3319,0)+INDEX($AT$13:$BB$162,BO3319,0)+INDEX($BD$13:$BL$162,BP3319,0))/100)))&gt;0)*($D$10:$L$10-($D$9:$L$9+INT(($S$12:$AA$12+INDEX($AJ$13:$AR$162,BN3319,0)+INDEX($AT$13:$BB$162,BO3319,0)+INDEX($BD$13:$BL$162,BP3319,0))/100)))),0)</f>
        <v/>
      </c>
      <c r="BS3319">
        <f>IF(3306&lt;$U$9,SUMPRODUCT(($D$9:$L$9+INT(($S$12:$AA$12+INDEX($AJ$13:$AR$162,BN3319,0)+INDEX($AT$13:$BB$162,BO3319,0)+INDEX($BD$13:$BL$162,BP3319,0))/100))),0)</f>
        <v/>
      </c>
      <c r="BT3319">
        <f>IF(AND(3306&lt;$U$9,$W$5),BQ3319*1000000-MIN(BR3319,999)*1000+BS3319-3306/100000,-1000000000-3306)</f>
        <v/>
      </c>
    </row>
    <row r="3320">
      <c r="BN3320">
        <f>IF(3307&lt;$U$9,INT(3307/($U$7*$U$8))+1,1)</f>
        <v/>
      </c>
      <c r="BO3320">
        <f>IF(3307&lt;$U$9,MOD(INT(3307/$U$8),$U$7)+1,1)</f>
        <v/>
      </c>
      <c r="BP3320">
        <f>IF(3307&lt;$U$9,MOD(3307,$U$8)+1,1)</f>
        <v/>
      </c>
      <c r="BQ3320">
        <f>IF(3307&lt;$U$9,SUMPRODUCT(($D$10:$L$10&lt;&gt;"")*(($D$9:$L$9+INT(($S$12:$AA$12+INDEX($AJ$13:$AR$162,BN3320,0)+INDEX($AT$13:$BB$162,BO3320,0)+INDEX($BD$13:$BL$162,BP3320,0))/100))&gt;=$D$10:$L$10)),0)</f>
        <v/>
      </c>
      <c r="BR3320">
        <f>IF(3307&lt;$U$9,SUMPRODUCT(($D$10:$L$10&lt;&gt;"")*(($D$10:$L$10-($D$9:$L$9+INT(($S$12:$AA$12+INDEX($AJ$13:$AR$162,BN3320,0)+INDEX($AT$13:$BB$162,BO3320,0)+INDEX($BD$13:$BL$162,BP3320,0))/100)))&gt;0)*($D$10:$L$10-($D$9:$L$9+INT(($S$12:$AA$12+INDEX($AJ$13:$AR$162,BN3320,0)+INDEX($AT$13:$BB$162,BO3320,0)+INDEX($BD$13:$BL$162,BP3320,0))/100)))),0)</f>
        <v/>
      </c>
      <c r="BS3320">
        <f>IF(3307&lt;$U$9,SUMPRODUCT(($D$9:$L$9+INT(($S$12:$AA$12+INDEX($AJ$13:$AR$162,BN3320,0)+INDEX($AT$13:$BB$162,BO3320,0)+INDEX($BD$13:$BL$162,BP3320,0))/100))),0)</f>
        <v/>
      </c>
      <c r="BT3320">
        <f>IF(AND(3307&lt;$U$9,$W$5),BQ3320*1000000-MIN(BR3320,999)*1000+BS3320-3307/100000,-1000000000-3307)</f>
        <v/>
      </c>
    </row>
    <row r="3321">
      <c r="BN3321">
        <f>IF(3308&lt;$U$9,INT(3308/($U$7*$U$8))+1,1)</f>
        <v/>
      </c>
      <c r="BO3321">
        <f>IF(3308&lt;$U$9,MOD(INT(3308/$U$8),$U$7)+1,1)</f>
        <v/>
      </c>
      <c r="BP3321">
        <f>IF(3308&lt;$U$9,MOD(3308,$U$8)+1,1)</f>
        <v/>
      </c>
      <c r="BQ3321">
        <f>IF(3308&lt;$U$9,SUMPRODUCT(($D$10:$L$10&lt;&gt;"")*(($D$9:$L$9+INT(($S$12:$AA$12+INDEX($AJ$13:$AR$162,BN3321,0)+INDEX($AT$13:$BB$162,BO3321,0)+INDEX($BD$13:$BL$162,BP3321,0))/100))&gt;=$D$10:$L$10)),0)</f>
        <v/>
      </c>
      <c r="BR3321">
        <f>IF(3308&lt;$U$9,SUMPRODUCT(($D$10:$L$10&lt;&gt;"")*(($D$10:$L$10-($D$9:$L$9+INT(($S$12:$AA$12+INDEX($AJ$13:$AR$162,BN3321,0)+INDEX($AT$13:$BB$162,BO3321,0)+INDEX($BD$13:$BL$162,BP3321,0))/100)))&gt;0)*($D$10:$L$10-($D$9:$L$9+INT(($S$12:$AA$12+INDEX($AJ$13:$AR$162,BN3321,0)+INDEX($AT$13:$BB$162,BO3321,0)+INDEX($BD$13:$BL$162,BP3321,0))/100)))),0)</f>
        <v/>
      </c>
      <c r="BS3321">
        <f>IF(3308&lt;$U$9,SUMPRODUCT(($D$9:$L$9+INT(($S$12:$AA$12+INDEX($AJ$13:$AR$162,BN3321,0)+INDEX($AT$13:$BB$162,BO3321,0)+INDEX($BD$13:$BL$162,BP3321,0))/100))),0)</f>
        <v/>
      </c>
      <c r="BT3321">
        <f>IF(AND(3308&lt;$U$9,$W$5),BQ3321*1000000-MIN(BR3321,999)*1000+BS3321-3308/100000,-1000000000-3308)</f>
        <v/>
      </c>
    </row>
    <row r="3322">
      <c r="BN3322">
        <f>IF(3309&lt;$U$9,INT(3309/($U$7*$U$8))+1,1)</f>
        <v/>
      </c>
      <c r="BO3322">
        <f>IF(3309&lt;$U$9,MOD(INT(3309/$U$8),$U$7)+1,1)</f>
        <v/>
      </c>
      <c r="BP3322">
        <f>IF(3309&lt;$U$9,MOD(3309,$U$8)+1,1)</f>
        <v/>
      </c>
      <c r="BQ3322">
        <f>IF(3309&lt;$U$9,SUMPRODUCT(($D$10:$L$10&lt;&gt;"")*(($D$9:$L$9+INT(($S$12:$AA$12+INDEX($AJ$13:$AR$162,BN3322,0)+INDEX($AT$13:$BB$162,BO3322,0)+INDEX($BD$13:$BL$162,BP3322,0))/100))&gt;=$D$10:$L$10)),0)</f>
        <v/>
      </c>
      <c r="BR3322">
        <f>IF(3309&lt;$U$9,SUMPRODUCT(($D$10:$L$10&lt;&gt;"")*(($D$10:$L$10-($D$9:$L$9+INT(($S$12:$AA$12+INDEX($AJ$13:$AR$162,BN3322,0)+INDEX($AT$13:$BB$162,BO3322,0)+INDEX($BD$13:$BL$162,BP3322,0))/100)))&gt;0)*($D$10:$L$10-($D$9:$L$9+INT(($S$12:$AA$12+INDEX($AJ$13:$AR$162,BN3322,0)+INDEX($AT$13:$BB$162,BO3322,0)+INDEX($BD$13:$BL$162,BP3322,0))/100)))),0)</f>
        <v/>
      </c>
      <c r="BS3322">
        <f>IF(3309&lt;$U$9,SUMPRODUCT(($D$9:$L$9+INT(($S$12:$AA$12+INDEX($AJ$13:$AR$162,BN3322,0)+INDEX($AT$13:$BB$162,BO3322,0)+INDEX($BD$13:$BL$162,BP3322,0))/100))),0)</f>
        <v/>
      </c>
      <c r="BT3322">
        <f>IF(AND(3309&lt;$U$9,$W$5),BQ3322*1000000-MIN(BR3322,999)*1000+BS3322-3309/100000,-1000000000-3309)</f>
        <v/>
      </c>
    </row>
    <row r="3323">
      <c r="BN3323">
        <f>IF(3310&lt;$U$9,INT(3310/($U$7*$U$8))+1,1)</f>
        <v/>
      </c>
      <c r="BO3323">
        <f>IF(3310&lt;$U$9,MOD(INT(3310/$U$8),$U$7)+1,1)</f>
        <v/>
      </c>
      <c r="BP3323">
        <f>IF(3310&lt;$U$9,MOD(3310,$U$8)+1,1)</f>
        <v/>
      </c>
      <c r="BQ3323">
        <f>IF(3310&lt;$U$9,SUMPRODUCT(($D$10:$L$10&lt;&gt;"")*(($D$9:$L$9+INT(($S$12:$AA$12+INDEX($AJ$13:$AR$162,BN3323,0)+INDEX($AT$13:$BB$162,BO3323,0)+INDEX($BD$13:$BL$162,BP3323,0))/100))&gt;=$D$10:$L$10)),0)</f>
        <v/>
      </c>
      <c r="BR3323">
        <f>IF(3310&lt;$U$9,SUMPRODUCT(($D$10:$L$10&lt;&gt;"")*(($D$10:$L$10-($D$9:$L$9+INT(($S$12:$AA$12+INDEX($AJ$13:$AR$162,BN3323,0)+INDEX($AT$13:$BB$162,BO3323,0)+INDEX($BD$13:$BL$162,BP3323,0))/100)))&gt;0)*($D$10:$L$10-($D$9:$L$9+INT(($S$12:$AA$12+INDEX($AJ$13:$AR$162,BN3323,0)+INDEX($AT$13:$BB$162,BO3323,0)+INDEX($BD$13:$BL$162,BP3323,0))/100)))),0)</f>
        <v/>
      </c>
      <c r="BS3323">
        <f>IF(3310&lt;$U$9,SUMPRODUCT(($D$9:$L$9+INT(($S$12:$AA$12+INDEX($AJ$13:$AR$162,BN3323,0)+INDEX($AT$13:$BB$162,BO3323,0)+INDEX($BD$13:$BL$162,BP3323,0))/100))),0)</f>
        <v/>
      </c>
      <c r="BT3323">
        <f>IF(AND(3310&lt;$U$9,$W$5),BQ3323*1000000-MIN(BR3323,999)*1000+BS3323-3310/100000,-1000000000-3310)</f>
        <v/>
      </c>
    </row>
    <row r="3324">
      <c r="BN3324">
        <f>IF(3311&lt;$U$9,INT(3311/($U$7*$U$8))+1,1)</f>
        <v/>
      </c>
      <c r="BO3324">
        <f>IF(3311&lt;$U$9,MOD(INT(3311/$U$8),$U$7)+1,1)</f>
        <v/>
      </c>
      <c r="BP3324">
        <f>IF(3311&lt;$U$9,MOD(3311,$U$8)+1,1)</f>
        <v/>
      </c>
      <c r="BQ3324">
        <f>IF(3311&lt;$U$9,SUMPRODUCT(($D$10:$L$10&lt;&gt;"")*(($D$9:$L$9+INT(($S$12:$AA$12+INDEX($AJ$13:$AR$162,BN3324,0)+INDEX($AT$13:$BB$162,BO3324,0)+INDEX($BD$13:$BL$162,BP3324,0))/100))&gt;=$D$10:$L$10)),0)</f>
        <v/>
      </c>
      <c r="BR3324">
        <f>IF(3311&lt;$U$9,SUMPRODUCT(($D$10:$L$10&lt;&gt;"")*(($D$10:$L$10-($D$9:$L$9+INT(($S$12:$AA$12+INDEX($AJ$13:$AR$162,BN3324,0)+INDEX($AT$13:$BB$162,BO3324,0)+INDEX($BD$13:$BL$162,BP3324,0))/100)))&gt;0)*($D$10:$L$10-($D$9:$L$9+INT(($S$12:$AA$12+INDEX($AJ$13:$AR$162,BN3324,0)+INDEX($AT$13:$BB$162,BO3324,0)+INDEX($BD$13:$BL$162,BP3324,0))/100)))),0)</f>
        <v/>
      </c>
      <c r="BS3324">
        <f>IF(3311&lt;$U$9,SUMPRODUCT(($D$9:$L$9+INT(($S$12:$AA$12+INDEX($AJ$13:$AR$162,BN3324,0)+INDEX($AT$13:$BB$162,BO3324,0)+INDEX($BD$13:$BL$162,BP3324,0))/100))),0)</f>
        <v/>
      </c>
      <c r="BT3324">
        <f>IF(AND(3311&lt;$U$9,$W$5),BQ3324*1000000-MIN(BR3324,999)*1000+BS3324-3311/100000,-1000000000-3311)</f>
        <v/>
      </c>
    </row>
    <row r="3325">
      <c r="BN3325">
        <f>IF(3312&lt;$U$9,INT(3312/($U$7*$U$8))+1,1)</f>
        <v/>
      </c>
      <c r="BO3325">
        <f>IF(3312&lt;$U$9,MOD(INT(3312/$U$8),$U$7)+1,1)</f>
        <v/>
      </c>
      <c r="BP3325">
        <f>IF(3312&lt;$U$9,MOD(3312,$U$8)+1,1)</f>
        <v/>
      </c>
      <c r="BQ3325">
        <f>IF(3312&lt;$U$9,SUMPRODUCT(($D$10:$L$10&lt;&gt;"")*(($D$9:$L$9+INT(($S$12:$AA$12+INDEX($AJ$13:$AR$162,BN3325,0)+INDEX($AT$13:$BB$162,BO3325,0)+INDEX($BD$13:$BL$162,BP3325,0))/100))&gt;=$D$10:$L$10)),0)</f>
        <v/>
      </c>
      <c r="BR3325">
        <f>IF(3312&lt;$U$9,SUMPRODUCT(($D$10:$L$10&lt;&gt;"")*(($D$10:$L$10-($D$9:$L$9+INT(($S$12:$AA$12+INDEX($AJ$13:$AR$162,BN3325,0)+INDEX($AT$13:$BB$162,BO3325,0)+INDEX($BD$13:$BL$162,BP3325,0))/100)))&gt;0)*($D$10:$L$10-($D$9:$L$9+INT(($S$12:$AA$12+INDEX($AJ$13:$AR$162,BN3325,0)+INDEX($AT$13:$BB$162,BO3325,0)+INDEX($BD$13:$BL$162,BP3325,0))/100)))),0)</f>
        <v/>
      </c>
      <c r="BS3325">
        <f>IF(3312&lt;$U$9,SUMPRODUCT(($D$9:$L$9+INT(($S$12:$AA$12+INDEX($AJ$13:$AR$162,BN3325,0)+INDEX($AT$13:$BB$162,BO3325,0)+INDEX($BD$13:$BL$162,BP3325,0))/100))),0)</f>
        <v/>
      </c>
      <c r="BT3325">
        <f>IF(AND(3312&lt;$U$9,$W$5),BQ3325*1000000-MIN(BR3325,999)*1000+BS3325-3312/100000,-1000000000-3312)</f>
        <v/>
      </c>
    </row>
    <row r="3326">
      <c r="BN3326">
        <f>IF(3313&lt;$U$9,INT(3313/($U$7*$U$8))+1,1)</f>
        <v/>
      </c>
      <c r="BO3326">
        <f>IF(3313&lt;$U$9,MOD(INT(3313/$U$8),$U$7)+1,1)</f>
        <v/>
      </c>
      <c r="BP3326">
        <f>IF(3313&lt;$U$9,MOD(3313,$U$8)+1,1)</f>
        <v/>
      </c>
      <c r="BQ3326">
        <f>IF(3313&lt;$U$9,SUMPRODUCT(($D$10:$L$10&lt;&gt;"")*(($D$9:$L$9+INT(($S$12:$AA$12+INDEX($AJ$13:$AR$162,BN3326,0)+INDEX($AT$13:$BB$162,BO3326,0)+INDEX($BD$13:$BL$162,BP3326,0))/100))&gt;=$D$10:$L$10)),0)</f>
        <v/>
      </c>
      <c r="BR3326">
        <f>IF(3313&lt;$U$9,SUMPRODUCT(($D$10:$L$10&lt;&gt;"")*(($D$10:$L$10-($D$9:$L$9+INT(($S$12:$AA$12+INDEX($AJ$13:$AR$162,BN3326,0)+INDEX($AT$13:$BB$162,BO3326,0)+INDEX($BD$13:$BL$162,BP3326,0))/100)))&gt;0)*($D$10:$L$10-($D$9:$L$9+INT(($S$12:$AA$12+INDEX($AJ$13:$AR$162,BN3326,0)+INDEX($AT$13:$BB$162,BO3326,0)+INDEX($BD$13:$BL$162,BP3326,0))/100)))),0)</f>
        <v/>
      </c>
      <c r="BS3326">
        <f>IF(3313&lt;$U$9,SUMPRODUCT(($D$9:$L$9+INT(($S$12:$AA$12+INDEX($AJ$13:$AR$162,BN3326,0)+INDEX($AT$13:$BB$162,BO3326,0)+INDEX($BD$13:$BL$162,BP3326,0))/100))),0)</f>
        <v/>
      </c>
      <c r="BT3326">
        <f>IF(AND(3313&lt;$U$9,$W$5),BQ3326*1000000-MIN(BR3326,999)*1000+BS3326-3313/100000,-1000000000-3313)</f>
        <v/>
      </c>
    </row>
    <row r="3327">
      <c r="BN3327">
        <f>IF(3314&lt;$U$9,INT(3314/($U$7*$U$8))+1,1)</f>
        <v/>
      </c>
      <c r="BO3327">
        <f>IF(3314&lt;$U$9,MOD(INT(3314/$U$8),$U$7)+1,1)</f>
        <v/>
      </c>
      <c r="BP3327">
        <f>IF(3314&lt;$U$9,MOD(3314,$U$8)+1,1)</f>
        <v/>
      </c>
      <c r="BQ3327">
        <f>IF(3314&lt;$U$9,SUMPRODUCT(($D$10:$L$10&lt;&gt;"")*(($D$9:$L$9+INT(($S$12:$AA$12+INDEX($AJ$13:$AR$162,BN3327,0)+INDEX($AT$13:$BB$162,BO3327,0)+INDEX($BD$13:$BL$162,BP3327,0))/100))&gt;=$D$10:$L$10)),0)</f>
        <v/>
      </c>
      <c r="BR3327">
        <f>IF(3314&lt;$U$9,SUMPRODUCT(($D$10:$L$10&lt;&gt;"")*(($D$10:$L$10-($D$9:$L$9+INT(($S$12:$AA$12+INDEX($AJ$13:$AR$162,BN3327,0)+INDEX($AT$13:$BB$162,BO3327,0)+INDEX($BD$13:$BL$162,BP3327,0))/100)))&gt;0)*($D$10:$L$10-($D$9:$L$9+INT(($S$12:$AA$12+INDEX($AJ$13:$AR$162,BN3327,0)+INDEX($AT$13:$BB$162,BO3327,0)+INDEX($BD$13:$BL$162,BP3327,0))/100)))),0)</f>
        <v/>
      </c>
      <c r="BS3327">
        <f>IF(3314&lt;$U$9,SUMPRODUCT(($D$9:$L$9+INT(($S$12:$AA$12+INDEX($AJ$13:$AR$162,BN3327,0)+INDEX($AT$13:$BB$162,BO3327,0)+INDEX($BD$13:$BL$162,BP3327,0))/100))),0)</f>
        <v/>
      </c>
      <c r="BT3327">
        <f>IF(AND(3314&lt;$U$9,$W$5),BQ3327*1000000-MIN(BR3327,999)*1000+BS3327-3314/100000,-1000000000-3314)</f>
        <v/>
      </c>
    </row>
    <row r="3328">
      <c r="BN3328">
        <f>IF(3315&lt;$U$9,INT(3315/($U$7*$U$8))+1,1)</f>
        <v/>
      </c>
      <c r="BO3328">
        <f>IF(3315&lt;$U$9,MOD(INT(3315/$U$8),$U$7)+1,1)</f>
        <v/>
      </c>
      <c r="BP3328">
        <f>IF(3315&lt;$U$9,MOD(3315,$U$8)+1,1)</f>
        <v/>
      </c>
      <c r="BQ3328">
        <f>IF(3315&lt;$U$9,SUMPRODUCT(($D$10:$L$10&lt;&gt;"")*(($D$9:$L$9+INT(($S$12:$AA$12+INDEX($AJ$13:$AR$162,BN3328,0)+INDEX($AT$13:$BB$162,BO3328,0)+INDEX($BD$13:$BL$162,BP3328,0))/100))&gt;=$D$10:$L$10)),0)</f>
        <v/>
      </c>
      <c r="BR3328">
        <f>IF(3315&lt;$U$9,SUMPRODUCT(($D$10:$L$10&lt;&gt;"")*(($D$10:$L$10-($D$9:$L$9+INT(($S$12:$AA$12+INDEX($AJ$13:$AR$162,BN3328,0)+INDEX($AT$13:$BB$162,BO3328,0)+INDEX($BD$13:$BL$162,BP3328,0))/100)))&gt;0)*($D$10:$L$10-($D$9:$L$9+INT(($S$12:$AA$12+INDEX($AJ$13:$AR$162,BN3328,0)+INDEX($AT$13:$BB$162,BO3328,0)+INDEX($BD$13:$BL$162,BP3328,0))/100)))),0)</f>
        <v/>
      </c>
      <c r="BS3328">
        <f>IF(3315&lt;$U$9,SUMPRODUCT(($D$9:$L$9+INT(($S$12:$AA$12+INDEX($AJ$13:$AR$162,BN3328,0)+INDEX($AT$13:$BB$162,BO3328,0)+INDEX($BD$13:$BL$162,BP3328,0))/100))),0)</f>
        <v/>
      </c>
      <c r="BT3328">
        <f>IF(AND(3315&lt;$U$9,$W$5),BQ3328*1000000-MIN(BR3328,999)*1000+BS3328-3315/100000,-1000000000-3315)</f>
        <v/>
      </c>
    </row>
    <row r="3329">
      <c r="BN3329">
        <f>IF(3316&lt;$U$9,INT(3316/($U$7*$U$8))+1,1)</f>
        <v/>
      </c>
      <c r="BO3329">
        <f>IF(3316&lt;$U$9,MOD(INT(3316/$U$8),$U$7)+1,1)</f>
        <v/>
      </c>
      <c r="BP3329">
        <f>IF(3316&lt;$U$9,MOD(3316,$U$8)+1,1)</f>
        <v/>
      </c>
      <c r="BQ3329">
        <f>IF(3316&lt;$U$9,SUMPRODUCT(($D$10:$L$10&lt;&gt;"")*(($D$9:$L$9+INT(($S$12:$AA$12+INDEX($AJ$13:$AR$162,BN3329,0)+INDEX($AT$13:$BB$162,BO3329,0)+INDEX($BD$13:$BL$162,BP3329,0))/100))&gt;=$D$10:$L$10)),0)</f>
        <v/>
      </c>
      <c r="BR3329">
        <f>IF(3316&lt;$U$9,SUMPRODUCT(($D$10:$L$10&lt;&gt;"")*(($D$10:$L$10-($D$9:$L$9+INT(($S$12:$AA$12+INDEX($AJ$13:$AR$162,BN3329,0)+INDEX($AT$13:$BB$162,BO3329,0)+INDEX($BD$13:$BL$162,BP3329,0))/100)))&gt;0)*($D$10:$L$10-($D$9:$L$9+INT(($S$12:$AA$12+INDEX($AJ$13:$AR$162,BN3329,0)+INDEX($AT$13:$BB$162,BO3329,0)+INDEX($BD$13:$BL$162,BP3329,0))/100)))),0)</f>
        <v/>
      </c>
      <c r="BS3329">
        <f>IF(3316&lt;$U$9,SUMPRODUCT(($D$9:$L$9+INT(($S$12:$AA$12+INDEX($AJ$13:$AR$162,BN3329,0)+INDEX($AT$13:$BB$162,BO3329,0)+INDEX($BD$13:$BL$162,BP3329,0))/100))),0)</f>
        <v/>
      </c>
      <c r="BT3329">
        <f>IF(AND(3316&lt;$U$9,$W$5),BQ3329*1000000-MIN(BR3329,999)*1000+BS3329-3316/100000,-1000000000-3316)</f>
        <v/>
      </c>
    </row>
    <row r="3330">
      <c r="BN3330">
        <f>IF(3317&lt;$U$9,INT(3317/($U$7*$U$8))+1,1)</f>
        <v/>
      </c>
      <c r="BO3330">
        <f>IF(3317&lt;$U$9,MOD(INT(3317/$U$8),$U$7)+1,1)</f>
        <v/>
      </c>
      <c r="BP3330">
        <f>IF(3317&lt;$U$9,MOD(3317,$U$8)+1,1)</f>
        <v/>
      </c>
      <c r="BQ3330">
        <f>IF(3317&lt;$U$9,SUMPRODUCT(($D$10:$L$10&lt;&gt;"")*(($D$9:$L$9+INT(($S$12:$AA$12+INDEX($AJ$13:$AR$162,BN3330,0)+INDEX($AT$13:$BB$162,BO3330,0)+INDEX($BD$13:$BL$162,BP3330,0))/100))&gt;=$D$10:$L$10)),0)</f>
        <v/>
      </c>
      <c r="BR3330">
        <f>IF(3317&lt;$U$9,SUMPRODUCT(($D$10:$L$10&lt;&gt;"")*(($D$10:$L$10-($D$9:$L$9+INT(($S$12:$AA$12+INDEX($AJ$13:$AR$162,BN3330,0)+INDEX($AT$13:$BB$162,BO3330,0)+INDEX($BD$13:$BL$162,BP3330,0))/100)))&gt;0)*($D$10:$L$10-($D$9:$L$9+INT(($S$12:$AA$12+INDEX($AJ$13:$AR$162,BN3330,0)+INDEX($AT$13:$BB$162,BO3330,0)+INDEX($BD$13:$BL$162,BP3330,0))/100)))),0)</f>
        <v/>
      </c>
      <c r="BS3330">
        <f>IF(3317&lt;$U$9,SUMPRODUCT(($D$9:$L$9+INT(($S$12:$AA$12+INDEX($AJ$13:$AR$162,BN3330,0)+INDEX($AT$13:$BB$162,BO3330,0)+INDEX($BD$13:$BL$162,BP3330,0))/100))),0)</f>
        <v/>
      </c>
      <c r="BT3330">
        <f>IF(AND(3317&lt;$U$9,$W$5),BQ3330*1000000-MIN(BR3330,999)*1000+BS3330-3317/100000,-1000000000-3317)</f>
        <v/>
      </c>
    </row>
    <row r="3331">
      <c r="BN3331">
        <f>IF(3318&lt;$U$9,INT(3318/($U$7*$U$8))+1,1)</f>
        <v/>
      </c>
      <c r="BO3331">
        <f>IF(3318&lt;$U$9,MOD(INT(3318/$U$8),$U$7)+1,1)</f>
        <v/>
      </c>
      <c r="BP3331">
        <f>IF(3318&lt;$U$9,MOD(3318,$U$8)+1,1)</f>
        <v/>
      </c>
      <c r="BQ3331">
        <f>IF(3318&lt;$U$9,SUMPRODUCT(($D$10:$L$10&lt;&gt;"")*(($D$9:$L$9+INT(($S$12:$AA$12+INDEX($AJ$13:$AR$162,BN3331,0)+INDEX($AT$13:$BB$162,BO3331,0)+INDEX($BD$13:$BL$162,BP3331,0))/100))&gt;=$D$10:$L$10)),0)</f>
        <v/>
      </c>
      <c r="BR3331">
        <f>IF(3318&lt;$U$9,SUMPRODUCT(($D$10:$L$10&lt;&gt;"")*(($D$10:$L$10-($D$9:$L$9+INT(($S$12:$AA$12+INDEX($AJ$13:$AR$162,BN3331,0)+INDEX($AT$13:$BB$162,BO3331,0)+INDEX($BD$13:$BL$162,BP3331,0))/100)))&gt;0)*($D$10:$L$10-($D$9:$L$9+INT(($S$12:$AA$12+INDEX($AJ$13:$AR$162,BN3331,0)+INDEX($AT$13:$BB$162,BO3331,0)+INDEX($BD$13:$BL$162,BP3331,0))/100)))),0)</f>
        <v/>
      </c>
      <c r="BS3331">
        <f>IF(3318&lt;$U$9,SUMPRODUCT(($D$9:$L$9+INT(($S$12:$AA$12+INDEX($AJ$13:$AR$162,BN3331,0)+INDEX($AT$13:$BB$162,BO3331,0)+INDEX($BD$13:$BL$162,BP3331,0))/100))),0)</f>
        <v/>
      </c>
      <c r="BT3331">
        <f>IF(AND(3318&lt;$U$9,$W$5),BQ3331*1000000-MIN(BR3331,999)*1000+BS3331-3318/100000,-1000000000-3318)</f>
        <v/>
      </c>
    </row>
    <row r="3332">
      <c r="BN3332">
        <f>IF(3319&lt;$U$9,INT(3319/($U$7*$U$8))+1,1)</f>
        <v/>
      </c>
      <c r="BO3332">
        <f>IF(3319&lt;$U$9,MOD(INT(3319/$U$8),$U$7)+1,1)</f>
        <v/>
      </c>
      <c r="BP3332">
        <f>IF(3319&lt;$U$9,MOD(3319,$U$8)+1,1)</f>
        <v/>
      </c>
      <c r="BQ3332">
        <f>IF(3319&lt;$U$9,SUMPRODUCT(($D$10:$L$10&lt;&gt;"")*(($D$9:$L$9+INT(($S$12:$AA$12+INDEX($AJ$13:$AR$162,BN3332,0)+INDEX($AT$13:$BB$162,BO3332,0)+INDEX($BD$13:$BL$162,BP3332,0))/100))&gt;=$D$10:$L$10)),0)</f>
        <v/>
      </c>
      <c r="BR3332">
        <f>IF(3319&lt;$U$9,SUMPRODUCT(($D$10:$L$10&lt;&gt;"")*(($D$10:$L$10-($D$9:$L$9+INT(($S$12:$AA$12+INDEX($AJ$13:$AR$162,BN3332,0)+INDEX($AT$13:$BB$162,BO3332,0)+INDEX($BD$13:$BL$162,BP3332,0))/100)))&gt;0)*($D$10:$L$10-($D$9:$L$9+INT(($S$12:$AA$12+INDEX($AJ$13:$AR$162,BN3332,0)+INDEX($AT$13:$BB$162,BO3332,0)+INDEX($BD$13:$BL$162,BP3332,0))/100)))),0)</f>
        <v/>
      </c>
      <c r="BS3332">
        <f>IF(3319&lt;$U$9,SUMPRODUCT(($D$9:$L$9+INT(($S$12:$AA$12+INDEX($AJ$13:$AR$162,BN3332,0)+INDEX($AT$13:$BB$162,BO3332,0)+INDEX($BD$13:$BL$162,BP3332,0))/100))),0)</f>
        <v/>
      </c>
      <c r="BT3332">
        <f>IF(AND(3319&lt;$U$9,$W$5),BQ3332*1000000-MIN(BR3332,999)*1000+BS3332-3319/100000,-1000000000-3319)</f>
        <v/>
      </c>
    </row>
    <row r="3333">
      <c r="BN3333">
        <f>IF(3320&lt;$U$9,INT(3320/($U$7*$U$8))+1,1)</f>
        <v/>
      </c>
      <c r="BO3333">
        <f>IF(3320&lt;$U$9,MOD(INT(3320/$U$8),$U$7)+1,1)</f>
        <v/>
      </c>
      <c r="BP3333">
        <f>IF(3320&lt;$U$9,MOD(3320,$U$8)+1,1)</f>
        <v/>
      </c>
      <c r="BQ3333">
        <f>IF(3320&lt;$U$9,SUMPRODUCT(($D$10:$L$10&lt;&gt;"")*(($D$9:$L$9+INT(($S$12:$AA$12+INDEX($AJ$13:$AR$162,BN3333,0)+INDEX($AT$13:$BB$162,BO3333,0)+INDEX($BD$13:$BL$162,BP3333,0))/100))&gt;=$D$10:$L$10)),0)</f>
        <v/>
      </c>
      <c r="BR3333">
        <f>IF(3320&lt;$U$9,SUMPRODUCT(($D$10:$L$10&lt;&gt;"")*(($D$10:$L$10-($D$9:$L$9+INT(($S$12:$AA$12+INDEX($AJ$13:$AR$162,BN3333,0)+INDEX($AT$13:$BB$162,BO3333,0)+INDEX($BD$13:$BL$162,BP3333,0))/100)))&gt;0)*($D$10:$L$10-($D$9:$L$9+INT(($S$12:$AA$12+INDEX($AJ$13:$AR$162,BN3333,0)+INDEX($AT$13:$BB$162,BO3333,0)+INDEX($BD$13:$BL$162,BP3333,0))/100)))),0)</f>
        <v/>
      </c>
      <c r="BS3333">
        <f>IF(3320&lt;$U$9,SUMPRODUCT(($D$9:$L$9+INT(($S$12:$AA$12+INDEX($AJ$13:$AR$162,BN3333,0)+INDEX($AT$13:$BB$162,BO3333,0)+INDEX($BD$13:$BL$162,BP3333,0))/100))),0)</f>
        <v/>
      </c>
      <c r="BT3333">
        <f>IF(AND(3320&lt;$U$9,$W$5),BQ3333*1000000-MIN(BR3333,999)*1000+BS3333-3320/100000,-1000000000-3320)</f>
        <v/>
      </c>
    </row>
    <row r="3334">
      <c r="BN3334">
        <f>IF(3321&lt;$U$9,INT(3321/($U$7*$U$8))+1,1)</f>
        <v/>
      </c>
      <c r="BO3334">
        <f>IF(3321&lt;$U$9,MOD(INT(3321/$U$8),$U$7)+1,1)</f>
        <v/>
      </c>
      <c r="BP3334">
        <f>IF(3321&lt;$U$9,MOD(3321,$U$8)+1,1)</f>
        <v/>
      </c>
      <c r="BQ3334">
        <f>IF(3321&lt;$U$9,SUMPRODUCT(($D$10:$L$10&lt;&gt;"")*(($D$9:$L$9+INT(($S$12:$AA$12+INDEX($AJ$13:$AR$162,BN3334,0)+INDEX($AT$13:$BB$162,BO3334,0)+INDEX($BD$13:$BL$162,BP3334,0))/100))&gt;=$D$10:$L$10)),0)</f>
        <v/>
      </c>
      <c r="BR3334">
        <f>IF(3321&lt;$U$9,SUMPRODUCT(($D$10:$L$10&lt;&gt;"")*(($D$10:$L$10-($D$9:$L$9+INT(($S$12:$AA$12+INDEX($AJ$13:$AR$162,BN3334,0)+INDEX($AT$13:$BB$162,BO3334,0)+INDEX($BD$13:$BL$162,BP3334,0))/100)))&gt;0)*($D$10:$L$10-($D$9:$L$9+INT(($S$12:$AA$12+INDEX($AJ$13:$AR$162,BN3334,0)+INDEX($AT$13:$BB$162,BO3334,0)+INDEX($BD$13:$BL$162,BP3334,0))/100)))),0)</f>
        <v/>
      </c>
      <c r="BS3334">
        <f>IF(3321&lt;$U$9,SUMPRODUCT(($D$9:$L$9+INT(($S$12:$AA$12+INDEX($AJ$13:$AR$162,BN3334,0)+INDEX($AT$13:$BB$162,BO3334,0)+INDEX($BD$13:$BL$162,BP3334,0))/100))),0)</f>
        <v/>
      </c>
      <c r="BT3334">
        <f>IF(AND(3321&lt;$U$9,$W$5),BQ3334*1000000-MIN(BR3334,999)*1000+BS3334-3321/100000,-1000000000-3321)</f>
        <v/>
      </c>
    </row>
    <row r="3335">
      <c r="BN3335">
        <f>IF(3322&lt;$U$9,INT(3322/($U$7*$U$8))+1,1)</f>
        <v/>
      </c>
      <c r="BO3335">
        <f>IF(3322&lt;$U$9,MOD(INT(3322/$U$8),$U$7)+1,1)</f>
        <v/>
      </c>
      <c r="BP3335">
        <f>IF(3322&lt;$U$9,MOD(3322,$U$8)+1,1)</f>
        <v/>
      </c>
      <c r="BQ3335">
        <f>IF(3322&lt;$U$9,SUMPRODUCT(($D$10:$L$10&lt;&gt;"")*(($D$9:$L$9+INT(($S$12:$AA$12+INDEX($AJ$13:$AR$162,BN3335,0)+INDEX($AT$13:$BB$162,BO3335,0)+INDEX($BD$13:$BL$162,BP3335,0))/100))&gt;=$D$10:$L$10)),0)</f>
        <v/>
      </c>
      <c r="BR3335">
        <f>IF(3322&lt;$U$9,SUMPRODUCT(($D$10:$L$10&lt;&gt;"")*(($D$10:$L$10-($D$9:$L$9+INT(($S$12:$AA$12+INDEX($AJ$13:$AR$162,BN3335,0)+INDEX($AT$13:$BB$162,BO3335,0)+INDEX($BD$13:$BL$162,BP3335,0))/100)))&gt;0)*($D$10:$L$10-($D$9:$L$9+INT(($S$12:$AA$12+INDEX($AJ$13:$AR$162,BN3335,0)+INDEX($AT$13:$BB$162,BO3335,0)+INDEX($BD$13:$BL$162,BP3335,0))/100)))),0)</f>
        <v/>
      </c>
      <c r="BS3335">
        <f>IF(3322&lt;$U$9,SUMPRODUCT(($D$9:$L$9+INT(($S$12:$AA$12+INDEX($AJ$13:$AR$162,BN3335,0)+INDEX($AT$13:$BB$162,BO3335,0)+INDEX($BD$13:$BL$162,BP3335,0))/100))),0)</f>
        <v/>
      </c>
      <c r="BT3335">
        <f>IF(AND(3322&lt;$U$9,$W$5),BQ3335*1000000-MIN(BR3335,999)*1000+BS3335-3322/100000,-1000000000-3322)</f>
        <v/>
      </c>
    </row>
    <row r="3336">
      <c r="BN3336">
        <f>IF(3323&lt;$U$9,INT(3323/($U$7*$U$8))+1,1)</f>
        <v/>
      </c>
      <c r="BO3336">
        <f>IF(3323&lt;$U$9,MOD(INT(3323/$U$8),$U$7)+1,1)</f>
        <v/>
      </c>
      <c r="BP3336">
        <f>IF(3323&lt;$U$9,MOD(3323,$U$8)+1,1)</f>
        <v/>
      </c>
      <c r="BQ3336">
        <f>IF(3323&lt;$U$9,SUMPRODUCT(($D$10:$L$10&lt;&gt;"")*(($D$9:$L$9+INT(($S$12:$AA$12+INDEX($AJ$13:$AR$162,BN3336,0)+INDEX($AT$13:$BB$162,BO3336,0)+INDEX($BD$13:$BL$162,BP3336,0))/100))&gt;=$D$10:$L$10)),0)</f>
        <v/>
      </c>
      <c r="BR3336">
        <f>IF(3323&lt;$U$9,SUMPRODUCT(($D$10:$L$10&lt;&gt;"")*(($D$10:$L$10-($D$9:$L$9+INT(($S$12:$AA$12+INDEX($AJ$13:$AR$162,BN3336,0)+INDEX($AT$13:$BB$162,BO3336,0)+INDEX($BD$13:$BL$162,BP3336,0))/100)))&gt;0)*($D$10:$L$10-($D$9:$L$9+INT(($S$12:$AA$12+INDEX($AJ$13:$AR$162,BN3336,0)+INDEX($AT$13:$BB$162,BO3336,0)+INDEX($BD$13:$BL$162,BP3336,0))/100)))),0)</f>
        <v/>
      </c>
      <c r="BS3336">
        <f>IF(3323&lt;$U$9,SUMPRODUCT(($D$9:$L$9+INT(($S$12:$AA$12+INDEX($AJ$13:$AR$162,BN3336,0)+INDEX($AT$13:$BB$162,BO3336,0)+INDEX($BD$13:$BL$162,BP3336,0))/100))),0)</f>
        <v/>
      </c>
      <c r="BT3336">
        <f>IF(AND(3323&lt;$U$9,$W$5),BQ3336*1000000-MIN(BR3336,999)*1000+BS3336-3323/100000,-1000000000-3323)</f>
        <v/>
      </c>
    </row>
    <row r="3337">
      <c r="BN3337">
        <f>IF(3324&lt;$U$9,INT(3324/($U$7*$U$8))+1,1)</f>
        <v/>
      </c>
      <c r="BO3337">
        <f>IF(3324&lt;$U$9,MOD(INT(3324/$U$8),$U$7)+1,1)</f>
        <v/>
      </c>
      <c r="BP3337">
        <f>IF(3324&lt;$U$9,MOD(3324,$U$8)+1,1)</f>
        <v/>
      </c>
      <c r="BQ3337">
        <f>IF(3324&lt;$U$9,SUMPRODUCT(($D$10:$L$10&lt;&gt;"")*(($D$9:$L$9+INT(($S$12:$AA$12+INDEX($AJ$13:$AR$162,BN3337,0)+INDEX($AT$13:$BB$162,BO3337,0)+INDEX($BD$13:$BL$162,BP3337,0))/100))&gt;=$D$10:$L$10)),0)</f>
        <v/>
      </c>
      <c r="BR3337">
        <f>IF(3324&lt;$U$9,SUMPRODUCT(($D$10:$L$10&lt;&gt;"")*(($D$10:$L$10-($D$9:$L$9+INT(($S$12:$AA$12+INDEX($AJ$13:$AR$162,BN3337,0)+INDEX($AT$13:$BB$162,BO3337,0)+INDEX($BD$13:$BL$162,BP3337,0))/100)))&gt;0)*($D$10:$L$10-($D$9:$L$9+INT(($S$12:$AA$12+INDEX($AJ$13:$AR$162,BN3337,0)+INDEX($AT$13:$BB$162,BO3337,0)+INDEX($BD$13:$BL$162,BP3337,0))/100)))),0)</f>
        <v/>
      </c>
      <c r="BS3337">
        <f>IF(3324&lt;$U$9,SUMPRODUCT(($D$9:$L$9+INT(($S$12:$AA$12+INDEX($AJ$13:$AR$162,BN3337,0)+INDEX($AT$13:$BB$162,BO3337,0)+INDEX($BD$13:$BL$162,BP3337,0))/100))),0)</f>
        <v/>
      </c>
      <c r="BT3337">
        <f>IF(AND(3324&lt;$U$9,$W$5),BQ3337*1000000-MIN(BR3337,999)*1000+BS3337-3324/100000,-1000000000-3324)</f>
        <v/>
      </c>
    </row>
    <row r="3338">
      <c r="BN3338">
        <f>IF(3325&lt;$U$9,INT(3325/($U$7*$U$8))+1,1)</f>
        <v/>
      </c>
      <c r="BO3338">
        <f>IF(3325&lt;$U$9,MOD(INT(3325/$U$8),$U$7)+1,1)</f>
        <v/>
      </c>
      <c r="BP3338">
        <f>IF(3325&lt;$U$9,MOD(3325,$U$8)+1,1)</f>
        <v/>
      </c>
      <c r="BQ3338">
        <f>IF(3325&lt;$U$9,SUMPRODUCT(($D$10:$L$10&lt;&gt;"")*(($D$9:$L$9+INT(($S$12:$AA$12+INDEX($AJ$13:$AR$162,BN3338,0)+INDEX($AT$13:$BB$162,BO3338,0)+INDEX($BD$13:$BL$162,BP3338,0))/100))&gt;=$D$10:$L$10)),0)</f>
        <v/>
      </c>
      <c r="BR3338">
        <f>IF(3325&lt;$U$9,SUMPRODUCT(($D$10:$L$10&lt;&gt;"")*(($D$10:$L$10-($D$9:$L$9+INT(($S$12:$AA$12+INDEX($AJ$13:$AR$162,BN3338,0)+INDEX($AT$13:$BB$162,BO3338,0)+INDEX($BD$13:$BL$162,BP3338,0))/100)))&gt;0)*($D$10:$L$10-($D$9:$L$9+INT(($S$12:$AA$12+INDEX($AJ$13:$AR$162,BN3338,0)+INDEX($AT$13:$BB$162,BO3338,0)+INDEX($BD$13:$BL$162,BP3338,0))/100)))),0)</f>
        <v/>
      </c>
      <c r="BS3338">
        <f>IF(3325&lt;$U$9,SUMPRODUCT(($D$9:$L$9+INT(($S$12:$AA$12+INDEX($AJ$13:$AR$162,BN3338,0)+INDEX($AT$13:$BB$162,BO3338,0)+INDEX($BD$13:$BL$162,BP3338,0))/100))),0)</f>
        <v/>
      </c>
      <c r="BT3338">
        <f>IF(AND(3325&lt;$U$9,$W$5),BQ3338*1000000-MIN(BR3338,999)*1000+BS3338-3325/100000,-1000000000-3325)</f>
        <v/>
      </c>
    </row>
    <row r="3339">
      <c r="BN3339">
        <f>IF(3326&lt;$U$9,INT(3326/($U$7*$U$8))+1,1)</f>
        <v/>
      </c>
      <c r="BO3339">
        <f>IF(3326&lt;$U$9,MOD(INT(3326/$U$8),$U$7)+1,1)</f>
        <v/>
      </c>
      <c r="BP3339">
        <f>IF(3326&lt;$U$9,MOD(3326,$U$8)+1,1)</f>
        <v/>
      </c>
      <c r="BQ3339">
        <f>IF(3326&lt;$U$9,SUMPRODUCT(($D$10:$L$10&lt;&gt;"")*(($D$9:$L$9+INT(($S$12:$AA$12+INDEX($AJ$13:$AR$162,BN3339,0)+INDEX($AT$13:$BB$162,BO3339,0)+INDEX($BD$13:$BL$162,BP3339,0))/100))&gt;=$D$10:$L$10)),0)</f>
        <v/>
      </c>
      <c r="BR3339">
        <f>IF(3326&lt;$U$9,SUMPRODUCT(($D$10:$L$10&lt;&gt;"")*(($D$10:$L$10-($D$9:$L$9+INT(($S$12:$AA$12+INDEX($AJ$13:$AR$162,BN3339,0)+INDEX($AT$13:$BB$162,BO3339,0)+INDEX($BD$13:$BL$162,BP3339,0))/100)))&gt;0)*($D$10:$L$10-($D$9:$L$9+INT(($S$12:$AA$12+INDEX($AJ$13:$AR$162,BN3339,0)+INDEX($AT$13:$BB$162,BO3339,0)+INDEX($BD$13:$BL$162,BP3339,0))/100)))),0)</f>
        <v/>
      </c>
      <c r="BS3339">
        <f>IF(3326&lt;$U$9,SUMPRODUCT(($D$9:$L$9+INT(($S$12:$AA$12+INDEX($AJ$13:$AR$162,BN3339,0)+INDEX($AT$13:$BB$162,BO3339,0)+INDEX($BD$13:$BL$162,BP3339,0))/100))),0)</f>
        <v/>
      </c>
      <c r="BT3339">
        <f>IF(AND(3326&lt;$U$9,$W$5),BQ3339*1000000-MIN(BR3339,999)*1000+BS3339-3326/100000,-1000000000-3326)</f>
        <v/>
      </c>
    </row>
    <row r="3340">
      <c r="BN3340">
        <f>IF(3327&lt;$U$9,INT(3327/($U$7*$U$8))+1,1)</f>
        <v/>
      </c>
      <c r="BO3340">
        <f>IF(3327&lt;$U$9,MOD(INT(3327/$U$8),$U$7)+1,1)</f>
        <v/>
      </c>
      <c r="BP3340">
        <f>IF(3327&lt;$U$9,MOD(3327,$U$8)+1,1)</f>
        <v/>
      </c>
      <c r="BQ3340">
        <f>IF(3327&lt;$U$9,SUMPRODUCT(($D$10:$L$10&lt;&gt;"")*(($D$9:$L$9+INT(($S$12:$AA$12+INDEX($AJ$13:$AR$162,BN3340,0)+INDEX($AT$13:$BB$162,BO3340,0)+INDEX($BD$13:$BL$162,BP3340,0))/100))&gt;=$D$10:$L$10)),0)</f>
        <v/>
      </c>
      <c r="BR3340">
        <f>IF(3327&lt;$U$9,SUMPRODUCT(($D$10:$L$10&lt;&gt;"")*(($D$10:$L$10-($D$9:$L$9+INT(($S$12:$AA$12+INDEX($AJ$13:$AR$162,BN3340,0)+INDEX($AT$13:$BB$162,BO3340,0)+INDEX($BD$13:$BL$162,BP3340,0))/100)))&gt;0)*($D$10:$L$10-($D$9:$L$9+INT(($S$12:$AA$12+INDEX($AJ$13:$AR$162,BN3340,0)+INDEX($AT$13:$BB$162,BO3340,0)+INDEX($BD$13:$BL$162,BP3340,0))/100)))),0)</f>
        <v/>
      </c>
      <c r="BS3340">
        <f>IF(3327&lt;$U$9,SUMPRODUCT(($D$9:$L$9+INT(($S$12:$AA$12+INDEX($AJ$13:$AR$162,BN3340,0)+INDEX($AT$13:$BB$162,BO3340,0)+INDEX($BD$13:$BL$162,BP3340,0))/100))),0)</f>
        <v/>
      </c>
      <c r="BT3340">
        <f>IF(AND(3327&lt;$U$9,$W$5),BQ3340*1000000-MIN(BR3340,999)*1000+BS3340-3327/100000,-1000000000-3327)</f>
        <v/>
      </c>
    </row>
    <row r="3341">
      <c r="BN3341">
        <f>IF(3328&lt;$U$9,INT(3328/($U$7*$U$8))+1,1)</f>
        <v/>
      </c>
      <c r="BO3341">
        <f>IF(3328&lt;$U$9,MOD(INT(3328/$U$8),$U$7)+1,1)</f>
        <v/>
      </c>
      <c r="BP3341">
        <f>IF(3328&lt;$U$9,MOD(3328,$U$8)+1,1)</f>
        <v/>
      </c>
      <c r="BQ3341">
        <f>IF(3328&lt;$U$9,SUMPRODUCT(($D$10:$L$10&lt;&gt;"")*(($D$9:$L$9+INT(($S$12:$AA$12+INDEX($AJ$13:$AR$162,BN3341,0)+INDEX($AT$13:$BB$162,BO3341,0)+INDEX($BD$13:$BL$162,BP3341,0))/100))&gt;=$D$10:$L$10)),0)</f>
        <v/>
      </c>
      <c r="BR3341">
        <f>IF(3328&lt;$U$9,SUMPRODUCT(($D$10:$L$10&lt;&gt;"")*(($D$10:$L$10-($D$9:$L$9+INT(($S$12:$AA$12+INDEX($AJ$13:$AR$162,BN3341,0)+INDEX($AT$13:$BB$162,BO3341,0)+INDEX($BD$13:$BL$162,BP3341,0))/100)))&gt;0)*($D$10:$L$10-($D$9:$L$9+INT(($S$12:$AA$12+INDEX($AJ$13:$AR$162,BN3341,0)+INDEX($AT$13:$BB$162,BO3341,0)+INDEX($BD$13:$BL$162,BP3341,0))/100)))),0)</f>
        <v/>
      </c>
      <c r="BS3341">
        <f>IF(3328&lt;$U$9,SUMPRODUCT(($D$9:$L$9+INT(($S$12:$AA$12+INDEX($AJ$13:$AR$162,BN3341,0)+INDEX($AT$13:$BB$162,BO3341,0)+INDEX($BD$13:$BL$162,BP3341,0))/100))),0)</f>
        <v/>
      </c>
      <c r="BT3341">
        <f>IF(AND(3328&lt;$U$9,$W$5),BQ3341*1000000-MIN(BR3341,999)*1000+BS3341-3328/100000,-1000000000-3328)</f>
        <v/>
      </c>
    </row>
    <row r="3342">
      <c r="BN3342">
        <f>IF(3329&lt;$U$9,INT(3329/($U$7*$U$8))+1,1)</f>
        <v/>
      </c>
      <c r="BO3342">
        <f>IF(3329&lt;$U$9,MOD(INT(3329/$U$8),$U$7)+1,1)</f>
        <v/>
      </c>
      <c r="BP3342">
        <f>IF(3329&lt;$U$9,MOD(3329,$U$8)+1,1)</f>
        <v/>
      </c>
      <c r="BQ3342">
        <f>IF(3329&lt;$U$9,SUMPRODUCT(($D$10:$L$10&lt;&gt;"")*(($D$9:$L$9+INT(($S$12:$AA$12+INDEX($AJ$13:$AR$162,BN3342,0)+INDEX($AT$13:$BB$162,BO3342,0)+INDEX($BD$13:$BL$162,BP3342,0))/100))&gt;=$D$10:$L$10)),0)</f>
        <v/>
      </c>
      <c r="BR3342">
        <f>IF(3329&lt;$U$9,SUMPRODUCT(($D$10:$L$10&lt;&gt;"")*(($D$10:$L$10-($D$9:$L$9+INT(($S$12:$AA$12+INDEX($AJ$13:$AR$162,BN3342,0)+INDEX($AT$13:$BB$162,BO3342,0)+INDEX($BD$13:$BL$162,BP3342,0))/100)))&gt;0)*($D$10:$L$10-($D$9:$L$9+INT(($S$12:$AA$12+INDEX($AJ$13:$AR$162,BN3342,0)+INDEX($AT$13:$BB$162,BO3342,0)+INDEX($BD$13:$BL$162,BP3342,0))/100)))),0)</f>
        <v/>
      </c>
      <c r="BS3342">
        <f>IF(3329&lt;$U$9,SUMPRODUCT(($D$9:$L$9+INT(($S$12:$AA$12+INDEX($AJ$13:$AR$162,BN3342,0)+INDEX($AT$13:$BB$162,BO3342,0)+INDEX($BD$13:$BL$162,BP3342,0))/100))),0)</f>
        <v/>
      </c>
      <c r="BT3342">
        <f>IF(AND(3329&lt;$U$9,$W$5),BQ3342*1000000-MIN(BR3342,999)*1000+BS3342-3329/100000,-1000000000-3329)</f>
        <v/>
      </c>
    </row>
    <row r="3343">
      <c r="BN3343">
        <f>IF(3330&lt;$U$9,INT(3330/($U$7*$U$8))+1,1)</f>
        <v/>
      </c>
      <c r="BO3343">
        <f>IF(3330&lt;$U$9,MOD(INT(3330/$U$8),$U$7)+1,1)</f>
        <v/>
      </c>
      <c r="BP3343">
        <f>IF(3330&lt;$U$9,MOD(3330,$U$8)+1,1)</f>
        <v/>
      </c>
      <c r="BQ3343">
        <f>IF(3330&lt;$U$9,SUMPRODUCT(($D$10:$L$10&lt;&gt;"")*(($D$9:$L$9+INT(($S$12:$AA$12+INDEX($AJ$13:$AR$162,BN3343,0)+INDEX($AT$13:$BB$162,BO3343,0)+INDEX($BD$13:$BL$162,BP3343,0))/100))&gt;=$D$10:$L$10)),0)</f>
        <v/>
      </c>
      <c r="BR3343">
        <f>IF(3330&lt;$U$9,SUMPRODUCT(($D$10:$L$10&lt;&gt;"")*(($D$10:$L$10-($D$9:$L$9+INT(($S$12:$AA$12+INDEX($AJ$13:$AR$162,BN3343,0)+INDEX($AT$13:$BB$162,BO3343,0)+INDEX($BD$13:$BL$162,BP3343,0))/100)))&gt;0)*($D$10:$L$10-($D$9:$L$9+INT(($S$12:$AA$12+INDEX($AJ$13:$AR$162,BN3343,0)+INDEX($AT$13:$BB$162,BO3343,0)+INDEX($BD$13:$BL$162,BP3343,0))/100)))),0)</f>
        <v/>
      </c>
      <c r="BS3343">
        <f>IF(3330&lt;$U$9,SUMPRODUCT(($D$9:$L$9+INT(($S$12:$AA$12+INDEX($AJ$13:$AR$162,BN3343,0)+INDEX($AT$13:$BB$162,BO3343,0)+INDEX($BD$13:$BL$162,BP3343,0))/100))),0)</f>
        <v/>
      </c>
      <c r="BT3343">
        <f>IF(AND(3330&lt;$U$9,$W$5),BQ3343*1000000-MIN(BR3343,999)*1000+BS3343-3330/100000,-1000000000-3330)</f>
        <v/>
      </c>
    </row>
    <row r="3344">
      <c r="BN3344">
        <f>IF(3331&lt;$U$9,INT(3331/($U$7*$U$8))+1,1)</f>
        <v/>
      </c>
      <c r="BO3344">
        <f>IF(3331&lt;$U$9,MOD(INT(3331/$U$8),$U$7)+1,1)</f>
        <v/>
      </c>
      <c r="BP3344">
        <f>IF(3331&lt;$U$9,MOD(3331,$U$8)+1,1)</f>
        <v/>
      </c>
      <c r="BQ3344">
        <f>IF(3331&lt;$U$9,SUMPRODUCT(($D$10:$L$10&lt;&gt;"")*(($D$9:$L$9+INT(($S$12:$AA$12+INDEX($AJ$13:$AR$162,BN3344,0)+INDEX($AT$13:$BB$162,BO3344,0)+INDEX($BD$13:$BL$162,BP3344,0))/100))&gt;=$D$10:$L$10)),0)</f>
        <v/>
      </c>
      <c r="BR3344">
        <f>IF(3331&lt;$U$9,SUMPRODUCT(($D$10:$L$10&lt;&gt;"")*(($D$10:$L$10-($D$9:$L$9+INT(($S$12:$AA$12+INDEX($AJ$13:$AR$162,BN3344,0)+INDEX($AT$13:$BB$162,BO3344,0)+INDEX($BD$13:$BL$162,BP3344,0))/100)))&gt;0)*($D$10:$L$10-($D$9:$L$9+INT(($S$12:$AA$12+INDEX($AJ$13:$AR$162,BN3344,0)+INDEX($AT$13:$BB$162,BO3344,0)+INDEX($BD$13:$BL$162,BP3344,0))/100)))),0)</f>
        <v/>
      </c>
      <c r="BS3344">
        <f>IF(3331&lt;$U$9,SUMPRODUCT(($D$9:$L$9+INT(($S$12:$AA$12+INDEX($AJ$13:$AR$162,BN3344,0)+INDEX($AT$13:$BB$162,BO3344,0)+INDEX($BD$13:$BL$162,BP3344,0))/100))),0)</f>
        <v/>
      </c>
      <c r="BT3344">
        <f>IF(AND(3331&lt;$U$9,$W$5),BQ3344*1000000-MIN(BR3344,999)*1000+BS3344-3331/100000,-1000000000-3331)</f>
        <v/>
      </c>
    </row>
    <row r="3345">
      <c r="BN3345">
        <f>IF(3332&lt;$U$9,INT(3332/($U$7*$U$8))+1,1)</f>
        <v/>
      </c>
      <c r="BO3345">
        <f>IF(3332&lt;$U$9,MOD(INT(3332/$U$8),$U$7)+1,1)</f>
        <v/>
      </c>
      <c r="BP3345">
        <f>IF(3332&lt;$U$9,MOD(3332,$U$8)+1,1)</f>
        <v/>
      </c>
      <c r="BQ3345">
        <f>IF(3332&lt;$U$9,SUMPRODUCT(($D$10:$L$10&lt;&gt;"")*(($D$9:$L$9+INT(($S$12:$AA$12+INDEX($AJ$13:$AR$162,BN3345,0)+INDEX($AT$13:$BB$162,BO3345,0)+INDEX($BD$13:$BL$162,BP3345,0))/100))&gt;=$D$10:$L$10)),0)</f>
        <v/>
      </c>
      <c r="BR3345">
        <f>IF(3332&lt;$U$9,SUMPRODUCT(($D$10:$L$10&lt;&gt;"")*(($D$10:$L$10-($D$9:$L$9+INT(($S$12:$AA$12+INDEX($AJ$13:$AR$162,BN3345,0)+INDEX($AT$13:$BB$162,BO3345,0)+INDEX($BD$13:$BL$162,BP3345,0))/100)))&gt;0)*($D$10:$L$10-($D$9:$L$9+INT(($S$12:$AA$12+INDEX($AJ$13:$AR$162,BN3345,0)+INDEX($AT$13:$BB$162,BO3345,0)+INDEX($BD$13:$BL$162,BP3345,0))/100)))),0)</f>
        <v/>
      </c>
      <c r="BS3345">
        <f>IF(3332&lt;$U$9,SUMPRODUCT(($D$9:$L$9+INT(($S$12:$AA$12+INDEX($AJ$13:$AR$162,BN3345,0)+INDEX($AT$13:$BB$162,BO3345,0)+INDEX($BD$13:$BL$162,BP3345,0))/100))),0)</f>
        <v/>
      </c>
      <c r="BT3345">
        <f>IF(AND(3332&lt;$U$9,$W$5),BQ3345*1000000-MIN(BR3345,999)*1000+BS3345-3332/100000,-1000000000-3332)</f>
        <v/>
      </c>
    </row>
    <row r="3346">
      <c r="BN3346">
        <f>IF(3333&lt;$U$9,INT(3333/($U$7*$U$8))+1,1)</f>
        <v/>
      </c>
      <c r="BO3346">
        <f>IF(3333&lt;$U$9,MOD(INT(3333/$U$8),$U$7)+1,1)</f>
        <v/>
      </c>
      <c r="BP3346">
        <f>IF(3333&lt;$U$9,MOD(3333,$U$8)+1,1)</f>
        <v/>
      </c>
      <c r="BQ3346">
        <f>IF(3333&lt;$U$9,SUMPRODUCT(($D$10:$L$10&lt;&gt;"")*(($D$9:$L$9+INT(($S$12:$AA$12+INDEX($AJ$13:$AR$162,BN3346,0)+INDEX($AT$13:$BB$162,BO3346,0)+INDEX($BD$13:$BL$162,BP3346,0))/100))&gt;=$D$10:$L$10)),0)</f>
        <v/>
      </c>
      <c r="BR3346">
        <f>IF(3333&lt;$U$9,SUMPRODUCT(($D$10:$L$10&lt;&gt;"")*(($D$10:$L$10-($D$9:$L$9+INT(($S$12:$AA$12+INDEX($AJ$13:$AR$162,BN3346,0)+INDEX($AT$13:$BB$162,BO3346,0)+INDEX($BD$13:$BL$162,BP3346,0))/100)))&gt;0)*($D$10:$L$10-($D$9:$L$9+INT(($S$12:$AA$12+INDEX($AJ$13:$AR$162,BN3346,0)+INDEX($AT$13:$BB$162,BO3346,0)+INDEX($BD$13:$BL$162,BP3346,0))/100)))),0)</f>
        <v/>
      </c>
      <c r="BS3346">
        <f>IF(3333&lt;$U$9,SUMPRODUCT(($D$9:$L$9+INT(($S$12:$AA$12+INDEX($AJ$13:$AR$162,BN3346,0)+INDEX($AT$13:$BB$162,BO3346,0)+INDEX($BD$13:$BL$162,BP3346,0))/100))),0)</f>
        <v/>
      </c>
      <c r="BT3346">
        <f>IF(AND(3333&lt;$U$9,$W$5),BQ3346*1000000-MIN(BR3346,999)*1000+BS3346-3333/100000,-1000000000-3333)</f>
        <v/>
      </c>
    </row>
    <row r="3347">
      <c r="BN3347">
        <f>IF(3334&lt;$U$9,INT(3334/($U$7*$U$8))+1,1)</f>
        <v/>
      </c>
      <c r="BO3347">
        <f>IF(3334&lt;$U$9,MOD(INT(3334/$U$8),$U$7)+1,1)</f>
        <v/>
      </c>
      <c r="BP3347">
        <f>IF(3334&lt;$U$9,MOD(3334,$U$8)+1,1)</f>
        <v/>
      </c>
      <c r="BQ3347">
        <f>IF(3334&lt;$U$9,SUMPRODUCT(($D$10:$L$10&lt;&gt;"")*(($D$9:$L$9+INT(($S$12:$AA$12+INDEX($AJ$13:$AR$162,BN3347,0)+INDEX($AT$13:$BB$162,BO3347,0)+INDEX($BD$13:$BL$162,BP3347,0))/100))&gt;=$D$10:$L$10)),0)</f>
        <v/>
      </c>
      <c r="BR3347">
        <f>IF(3334&lt;$U$9,SUMPRODUCT(($D$10:$L$10&lt;&gt;"")*(($D$10:$L$10-($D$9:$L$9+INT(($S$12:$AA$12+INDEX($AJ$13:$AR$162,BN3347,0)+INDEX($AT$13:$BB$162,BO3347,0)+INDEX($BD$13:$BL$162,BP3347,0))/100)))&gt;0)*($D$10:$L$10-($D$9:$L$9+INT(($S$12:$AA$12+INDEX($AJ$13:$AR$162,BN3347,0)+INDEX($AT$13:$BB$162,BO3347,0)+INDEX($BD$13:$BL$162,BP3347,0))/100)))),0)</f>
        <v/>
      </c>
      <c r="BS3347">
        <f>IF(3334&lt;$U$9,SUMPRODUCT(($D$9:$L$9+INT(($S$12:$AA$12+INDEX($AJ$13:$AR$162,BN3347,0)+INDEX($AT$13:$BB$162,BO3347,0)+INDEX($BD$13:$BL$162,BP3347,0))/100))),0)</f>
        <v/>
      </c>
      <c r="BT3347">
        <f>IF(AND(3334&lt;$U$9,$W$5),BQ3347*1000000-MIN(BR3347,999)*1000+BS3347-3334/100000,-1000000000-3334)</f>
        <v/>
      </c>
    </row>
    <row r="3348">
      <c r="BN3348">
        <f>IF(3335&lt;$U$9,INT(3335/($U$7*$U$8))+1,1)</f>
        <v/>
      </c>
      <c r="BO3348">
        <f>IF(3335&lt;$U$9,MOD(INT(3335/$U$8),$U$7)+1,1)</f>
        <v/>
      </c>
      <c r="BP3348">
        <f>IF(3335&lt;$U$9,MOD(3335,$U$8)+1,1)</f>
        <v/>
      </c>
      <c r="BQ3348">
        <f>IF(3335&lt;$U$9,SUMPRODUCT(($D$10:$L$10&lt;&gt;"")*(($D$9:$L$9+INT(($S$12:$AA$12+INDEX($AJ$13:$AR$162,BN3348,0)+INDEX($AT$13:$BB$162,BO3348,0)+INDEX($BD$13:$BL$162,BP3348,0))/100))&gt;=$D$10:$L$10)),0)</f>
        <v/>
      </c>
      <c r="BR3348">
        <f>IF(3335&lt;$U$9,SUMPRODUCT(($D$10:$L$10&lt;&gt;"")*(($D$10:$L$10-($D$9:$L$9+INT(($S$12:$AA$12+INDEX($AJ$13:$AR$162,BN3348,0)+INDEX($AT$13:$BB$162,BO3348,0)+INDEX($BD$13:$BL$162,BP3348,0))/100)))&gt;0)*($D$10:$L$10-($D$9:$L$9+INT(($S$12:$AA$12+INDEX($AJ$13:$AR$162,BN3348,0)+INDEX($AT$13:$BB$162,BO3348,0)+INDEX($BD$13:$BL$162,BP3348,0))/100)))),0)</f>
        <v/>
      </c>
      <c r="BS3348">
        <f>IF(3335&lt;$U$9,SUMPRODUCT(($D$9:$L$9+INT(($S$12:$AA$12+INDEX($AJ$13:$AR$162,BN3348,0)+INDEX($AT$13:$BB$162,BO3348,0)+INDEX($BD$13:$BL$162,BP3348,0))/100))),0)</f>
        <v/>
      </c>
      <c r="BT3348">
        <f>IF(AND(3335&lt;$U$9,$W$5),BQ3348*1000000-MIN(BR3348,999)*1000+BS3348-3335/100000,-1000000000-3335)</f>
        <v/>
      </c>
    </row>
    <row r="3349">
      <c r="BN3349">
        <f>IF(3336&lt;$U$9,INT(3336/($U$7*$U$8))+1,1)</f>
        <v/>
      </c>
      <c r="BO3349">
        <f>IF(3336&lt;$U$9,MOD(INT(3336/$U$8),$U$7)+1,1)</f>
        <v/>
      </c>
      <c r="BP3349">
        <f>IF(3336&lt;$U$9,MOD(3336,$U$8)+1,1)</f>
        <v/>
      </c>
      <c r="BQ3349">
        <f>IF(3336&lt;$U$9,SUMPRODUCT(($D$10:$L$10&lt;&gt;"")*(($D$9:$L$9+INT(($S$12:$AA$12+INDEX($AJ$13:$AR$162,BN3349,0)+INDEX($AT$13:$BB$162,BO3349,0)+INDEX($BD$13:$BL$162,BP3349,0))/100))&gt;=$D$10:$L$10)),0)</f>
        <v/>
      </c>
      <c r="BR3349">
        <f>IF(3336&lt;$U$9,SUMPRODUCT(($D$10:$L$10&lt;&gt;"")*(($D$10:$L$10-($D$9:$L$9+INT(($S$12:$AA$12+INDEX($AJ$13:$AR$162,BN3349,0)+INDEX($AT$13:$BB$162,BO3349,0)+INDEX($BD$13:$BL$162,BP3349,0))/100)))&gt;0)*($D$10:$L$10-($D$9:$L$9+INT(($S$12:$AA$12+INDEX($AJ$13:$AR$162,BN3349,0)+INDEX($AT$13:$BB$162,BO3349,0)+INDEX($BD$13:$BL$162,BP3349,0))/100)))),0)</f>
        <v/>
      </c>
      <c r="BS3349">
        <f>IF(3336&lt;$U$9,SUMPRODUCT(($D$9:$L$9+INT(($S$12:$AA$12+INDEX($AJ$13:$AR$162,BN3349,0)+INDEX($AT$13:$BB$162,BO3349,0)+INDEX($BD$13:$BL$162,BP3349,0))/100))),0)</f>
        <v/>
      </c>
      <c r="BT3349">
        <f>IF(AND(3336&lt;$U$9,$W$5),BQ3349*1000000-MIN(BR3349,999)*1000+BS3349-3336/100000,-1000000000-3336)</f>
        <v/>
      </c>
    </row>
    <row r="3350">
      <c r="BN3350">
        <f>IF(3337&lt;$U$9,INT(3337/($U$7*$U$8))+1,1)</f>
        <v/>
      </c>
      <c r="BO3350">
        <f>IF(3337&lt;$U$9,MOD(INT(3337/$U$8),$U$7)+1,1)</f>
        <v/>
      </c>
      <c r="BP3350">
        <f>IF(3337&lt;$U$9,MOD(3337,$U$8)+1,1)</f>
        <v/>
      </c>
      <c r="BQ3350">
        <f>IF(3337&lt;$U$9,SUMPRODUCT(($D$10:$L$10&lt;&gt;"")*(($D$9:$L$9+INT(($S$12:$AA$12+INDEX($AJ$13:$AR$162,BN3350,0)+INDEX($AT$13:$BB$162,BO3350,0)+INDEX($BD$13:$BL$162,BP3350,0))/100))&gt;=$D$10:$L$10)),0)</f>
        <v/>
      </c>
      <c r="BR3350">
        <f>IF(3337&lt;$U$9,SUMPRODUCT(($D$10:$L$10&lt;&gt;"")*(($D$10:$L$10-($D$9:$L$9+INT(($S$12:$AA$12+INDEX($AJ$13:$AR$162,BN3350,0)+INDEX($AT$13:$BB$162,BO3350,0)+INDEX($BD$13:$BL$162,BP3350,0))/100)))&gt;0)*($D$10:$L$10-($D$9:$L$9+INT(($S$12:$AA$12+INDEX($AJ$13:$AR$162,BN3350,0)+INDEX($AT$13:$BB$162,BO3350,0)+INDEX($BD$13:$BL$162,BP3350,0))/100)))),0)</f>
        <v/>
      </c>
      <c r="BS3350">
        <f>IF(3337&lt;$U$9,SUMPRODUCT(($D$9:$L$9+INT(($S$12:$AA$12+INDEX($AJ$13:$AR$162,BN3350,0)+INDEX($AT$13:$BB$162,BO3350,0)+INDEX($BD$13:$BL$162,BP3350,0))/100))),0)</f>
        <v/>
      </c>
      <c r="BT3350">
        <f>IF(AND(3337&lt;$U$9,$W$5),BQ3350*1000000-MIN(BR3350,999)*1000+BS3350-3337/100000,-1000000000-3337)</f>
        <v/>
      </c>
    </row>
    <row r="3351">
      <c r="BN3351">
        <f>IF(3338&lt;$U$9,INT(3338/($U$7*$U$8))+1,1)</f>
        <v/>
      </c>
      <c r="BO3351">
        <f>IF(3338&lt;$U$9,MOD(INT(3338/$U$8),$U$7)+1,1)</f>
        <v/>
      </c>
      <c r="BP3351">
        <f>IF(3338&lt;$U$9,MOD(3338,$U$8)+1,1)</f>
        <v/>
      </c>
      <c r="BQ3351">
        <f>IF(3338&lt;$U$9,SUMPRODUCT(($D$10:$L$10&lt;&gt;"")*(($D$9:$L$9+INT(($S$12:$AA$12+INDEX($AJ$13:$AR$162,BN3351,0)+INDEX($AT$13:$BB$162,BO3351,0)+INDEX($BD$13:$BL$162,BP3351,0))/100))&gt;=$D$10:$L$10)),0)</f>
        <v/>
      </c>
      <c r="BR3351">
        <f>IF(3338&lt;$U$9,SUMPRODUCT(($D$10:$L$10&lt;&gt;"")*(($D$10:$L$10-($D$9:$L$9+INT(($S$12:$AA$12+INDEX($AJ$13:$AR$162,BN3351,0)+INDEX($AT$13:$BB$162,BO3351,0)+INDEX($BD$13:$BL$162,BP3351,0))/100)))&gt;0)*($D$10:$L$10-($D$9:$L$9+INT(($S$12:$AA$12+INDEX($AJ$13:$AR$162,BN3351,0)+INDEX($AT$13:$BB$162,BO3351,0)+INDEX($BD$13:$BL$162,BP3351,0))/100)))),0)</f>
        <v/>
      </c>
      <c r="BS3351">
        <f>IF(3338&lt;$U$9,SUMPRODUCT(($D$9:$L$9+INT(($S$12:$AA$12+INDEX($AJ$13:$AR$162,BN3351,0)+INDEX($AT$13:$BB$162,BO3351,0)+INDEX($BD$13:$BL$162,BP3351,0))/100))),0)</f>
        <v/>
      </c>
      <c r="BT3351">
        <f>IF(AND(3338&lt;$U$9,$W$5),BQ3351*1000000-MIN(BR3351,999)*1000+BS3351-3338/100000,-1000000000-3338)</f>
        <v/>
      </c>
    </row>
    <row r="3352">
      <c r="BN3352">
        <f>IF(3339&lt;$U$9,INT(3339/($U$7*$U$8))+1,1)</f>
        <v/>
      </c>
      <c r="BO3352">
        <f>IF(3339&lt;$U$9,MOD(INT(3339/$U$8),$U$7)+1,1)</f>
        <v/>
      </c>
      <c r="BP3352">
        <f>IF(3339&lt;$U$9,MOD(3339,$U$8)+1,1)</f>
        <v/>
      </c>
      <c r="BQ3352">
        <f>IF(3339&lt;$U$9,SUMPRODUCT(($D$10:$L$10&lt;&gt;"")*(($D$9:$L$9+INT(($S$12:$AA$12+INDEX($AJ$13:$AR$162,BN3352,0)+INDEX($AT$13:$BB$162,BO3352,0)+INDEX($BD$13:$BL$162,BP3352,0))/100))&gt;=$D$10:$L$10)),0)</f>
        <v/>
      </c>
      <c r="BR3352">
        <f>IF(3339&lt;$U$9,SUMPRODUCT(($D$10:$L$10&lt;&gt;"")*(($D$10:$L$10-($D$9:$L$9+INT(($S$12:$AA$12+INDEX($AJ$13:$AR$162,BN3352,0)+INDEX($AT$13:$BB$162,BO3352,0)+INDEX($BD$13:$BL$162,BP3352,0))/100)))&gt;0)*($D$10:$L$10-($D$9:$L$9+INT(($S$12:$AA$12+INDEX($AJ$13:$AR$162,BN3352,0)+INDEX($AT$13:$BB$162,BO3352,0)+INDEX($BD$13:$BL$162,BP3352,0))/100)))),0)</f>
        <v/>
      </c>
      <c r="BS3352">
        <f>IF(3339&lt;$U$9,SUMPRODUCT(($D$9:$L$9+INT(($S$12:$AA$12+INDEX($AJ$13:$AR$162,BN3352,0)+INDEX($AT$13:$BB$162,BO3352,0)+INDEX($BD$13:$BL$162,BP3352,0))/100))),0)</f>
        <v/>
      </c>
      <c r="BT3352">
        <f>IF(AND(3339&lt;$U$9,$W$5),BQ3352*1000000-MIN(BR3352,999)*1000+BS3352-3339/100000,-1000000000-3339)</f>
        <v/>
      </c>
    </row>
    <row r="3353">
      <c r="BN3353">
        <f>IF(3340&lt;$U$9,INT(3340/($U$7*$U$8))+1,1)</f>
        <v/>
      </c>
      <c r="BO3353">
        <f>IF(3340&lt;$U$9,MOD(INT(3340/$U$8),$U$7)+1,1)</f>
        <v/>
      </c>
      <c r="BP3353">
        <f>IF(3340&lt;$U$9,MOD(3340,$U$8)+1,1)</f>
        <v/>
      </c>
      <c r="BQ3353">
        <f>IF(3340&lt;$U$9,SUMPRODUCT(($D$10:$L$10&lt;&gt;"")*(($D$9:$L$9+INT(($S$12:$AA$12+INDEX($AJ$13:$AR$162,BN3353,0)+INDEX($AT$13:$BB$162,BO3353,0)+INDEX($BD$13:$BL$162,BP3353,0))/100))&gt;=$D$10:$L$10)),0)</f>
        <v/>
      </c>
      <c r="BR3353">
        <f>IF(3340&lt;$U$9,SUMPRODUCT(($D$10:$L$10&lt;&gt;"")*(($D$10:$L$10-($D$9:$L$9+INT(($S$12:$AA$12+INDEX($AJ$13:$AR$162,BN3353,0)+INDEX($AT$13:$BB$162,BO3353,0)+INDEX($BD$13:$BL$162,BP3353,0))/100)))&gt;0)*($D$10:$L$10-($D$9:$L$9+INT(($S$12:$AA$12+INDEX($AJ$13:$AR$162,BN3353,0)+INDEX($AT$13:$BB$162,BO3353,0)+INDEX($BD$13:$BL$162,BP3353,0))/100)))),0)</f>
        <v/>
      </c>
      <c r="BS3353">
        <f>IF(3340&lt;$U$9,SUMPRODUCT(($D$9:$L$9+INT(($S$12:$AA$12+INDEX($AJ$13:$AR$162,BN3353,0)+INDEX($AT$13:$BB$162,BO3353,0)+INDEX($BD$13:$BL$162,BP3353,0))/100))),0)</f>
        <v/>
      </c>
      <c r="BT3353">
        <f>IF(AND(3340&lt;$U$9,$W$5),BQ3353*1000000-MIN(BR3353,999)*1000+BS3353-3340/100000,-1000000000-3340)</f>
        <v/>
      </c>
    </row>
    <row r="3354">
      <c r="BN3354">
        <f>IF(3341&lt;$U$9,INT(3341/($U$7*$U$8))+1,1)</f>
        <v/>
      </c>
      <c r="BO3354">
        <f>IF(3341&lt;$U$9,MOD(INT(3341/$U$8),$U$7)+1,1)</f>
        <v/>
      </c>
      <c r="BP3354">
        <f>IF(3341&lt;$U$9,MOD(3341,$U$8)+1,1)</f>
        <v/>
      </c>
      <c r="BQ3354">
        <f>IF(3341&lt;$U$9,SUMPRODUCT(($D$10:$L$10&lt;&gt;"")*(($D$9:$L$9+INT(($S$12:$AA$12+INDEX($AJ$13:$AR$162,BN3354,0)+INDEX($AT$13:$BB$162,BO3354,0)+INDEX($BD$13:$BL$162,BP3354,0))/100))&gt;=$D$10:$L$10)),0)</f>
        <v/>
      </c>
      <c r="BR3354">
        <f>IF(3341&lt;$U$9,SUMPRODUCT(($D$10:$L$10&lt;&gt;"")*(($D$10:$L$10-($D$9:$L$9+INT(($S$12:$AA$12+INDEX($AJ$13:$AR$162,BN3354,0)+INDEX($AT$13:$BB$162,BO3354,0)+INDEX($BD$13:$BL$162,BP3354,0))/100)))&gt;0)*($D$10:$L$10-($D$9:$L$9+INT(($S$12:$AA$12+INDEX($AJ$13:$AR$162,BN3354,0)+INDEX($AT$13:$BB$162,BO3354,0)+INDEX($BD$13:$BL$162,BP3354,0))/100)))),0)</f>
        <v/>
      </c>
      <c r="BS3354">
        <f>IF(3341&lt;$U$9,SUMPRODUCT(($D$9:$L$9+INT(($S$12:$AA$12+INDEX($AJ$13:$AR$162,BN3354,0)+INDEX($AT$13:$BB$162,BO3354,0)+INDEX($BD$13:$BL$162,BP3354,0))/100))),0)</f>
        <v/>
      </c>
      <c r="BT3354">
        <f>IF(AND(3341&lt;$U$9,$W$5),BQ3354*1000000-MIN(BR3354,999)*1000+BS3354-3341/100000,-1000000000-3341)</f>
        <v/>
      </c>
    </row>
    <row r="3355">
      <c r="BN3355">
        <f>IF(3342&lt;$U$9,INT(3342/($U$7*$U$8))+1,1)</f>
        <v/>
      </c>
      <c r="BO3355">
        <f>IF(3342&lt;$U$9,MOD(INT(3342/$U$8),$U$7)+1,1)</f>
        <v/>
      </c>
      <c r="BP3355">
        <f>IF(3342&lt;$U$9,MOD(3342,$U$8)+1,1)</f>
        <v/>
      </c>
      <c r="BQ3355">
        <f>IF(3342&lt;$U$9,SUMPRODUCT(($D$10:$L$10&lt;&gt;"")*(($D$9:$L$9+INT(($S$12:$AA$12+INDEX($AJ$13:$AR$162,BN3355,0)+INDEX($AT$13:$BB$162,BO3355,0)+INDEX($BD$13:$BL$162,BP3355,0))/100))&gt;=$D$10:$L$10)),0)</f>
        <v/>
      </c>
      <c r="BR3355">
        <f>IF(3342&lt;$U$9,SUMPRODUCT(($D$10:$L$10&lt;&gt;"")*(($D$10:$L$10-($D$9:$L$9+INT(($S$12:$AA$12+INDEX($AJ$13:$AR$162,BN3355,0)+INDEX($AT$13:$BB$162,BO3355,0)+INDEX($BD$13:$BL$162,BP3355,0))/100)))&gt;0)*($D$10:$L$10-($D$9:$L$9+INT(($S$12:$AA$12+INDEX($AJ$13:$AR$162,BN3355,0)+INDEX($AT$13:$BB$162,BO3355,0)+INDEX($BD$13:$BL$162,BP3355,0))/100)))),0)</f>
        <v/>
      </c>
      <c r="BS3355">
        <f>IF(3342&lt;$U$9,SUMPRODUCT(($D$9:$L$9+INT(($S$12:$AA$12+INDEX($AJ$13:$AR$162,BN3355,0)+INDEX($AT$13:$BB$162,BO3355,0)+INDEX($BD$13:$BL$162,BP3355,0))/100))),0)</f>
        <v/>
      </c>
      <c r="BT3355">
        <f>IF(AND(3342&lt;$U$9,$W$5),BQ3355*1000000-MIN(BR3355,999)*1000+BS3355-3342/100000,-1000000000-3342)</f>
        <v/>
      </c>
    </row>
    <row r="3356">
      <c r="BN3356">
        <f>IF(3343&lt;$U$9,INT(3343/($U$7*$U$8))+1,1)</f>
        <v/>
      </c>
      <c r="BO3356">
        <f>IF(3343&lt;$U$9,MOD(INT(3343/$U$8),$U$7)+1,1)</f>
        <v/>
      </c>
      <c r="BP3356">
        <f>IF(3343&lt;$U$9,MOD(3343,$U$8)+1,1)</f>
        <v/>
      </c>
      <c r="BQ3356">
        <f>IF(3343&lt;$U$9,SUMPRODUCT(($D$10:$L$10&lt;&gt;"")*(($D$9:$L$9+INT(($S$12:$AA$12+INDEX($AJ$13:$AR$162,BN3356,0)+INDEX($AT$13:$BB$162,BO3356,0)+INDEX($BD$13:$BL$162,BP3356,0))/100))&gt;=$D$10:$L$10)),0)</f>
        <v/>
      </c>
      <c r="BR3356">
        <f>IF(3343&lt;$U$9,SUMPRODUCT(($D$10:$L$10&lt;&gt;"")*(($D$10:$L$10-($D$9:$L$9+INT(($S$12:$AA$12+INDEX($AJ$13:$AR$162,BN3356,0)+INDEX($AT$13:$BB$162,BO3356,0)+INDEX($BD$13:$BL$162,BP3356,0))/100)))&gt;0)*($D$10:$L$10-($D$9:$L$9+INT(($S$12:$AA$12+INDEX($AJ$13:$AR$162,BN3356,0)+INDEX($AT$13:$BB$162,BO3356,0)+INDEX($BD$13:$BL$162,BP3356,0))/100)))),0)</f>
        <v/>
      </c>
      <c r="BS3356">
        <f>IF(3343&lt;$U$9,SUMPRODUCT(($D$9:$L$9+INT(($S$12:$AA$12+INDEX($AJ$13:$AR$162,BN3356,0)+INDEX($AT$13:$BB$162,BO3356,0)+INDEX($BD$13:$BL$162,BP3356,0))/100))),0)</f>
        <v/>
      </c>
      <c r="BT3356">
        <f>IF(AND(3343&lt;$U$9,$W$5),BQ3356*1000000-MIN(BR3356,999)*1000+BS3356-3343/100000,-1000000000-3343)</f>
        <v/>
      </c>
    </row>
    <row r="3357">
      <c r="BN3357">
        <f>IF(3344&lt;$U$9,INT(3344/($U$7*$U$8))+1,1)</f>
        <v/>
      </c>
      <c r="BO3357">
        <f>IF(3344&lt;$U$9,MOD(INT(3344/$U$8),$U$7)+1,1)</f>
        <v/>
      </c>
      <c r="BP3357">
        <f>IF(3344&lt;$U$9,MOD(3344,$U$8)+1,1)</f>
        <v/>
      </c>
      <c r="BQ3357">
        <f>IF(3344&lt;$U$9,SUMPRODUCT(($D$10:$L$10&lt;&gt;"")*(($D$9:$L$9+INT(($S$12:$AA$12+INDEX($AJ$13:$AR$162,BN3357,0)+INDEX($AT$13:$BB$162,BO3357,0)+INDEX($BD$13:$BL$162,BP3357,0))/100))&gt;=$D$10:$L$10)),0)</f>
        <v/>
      </c>
      <c r="BR3357">
        <f>IF(3344&lt;$U$9,SUMPRODUCT(($D$10:$L$10&lt;&gt;"")*(($D$10:$L$10-($D$9:$L$9+INT(($S$12:$AA$12+INDEX($AJ$13:$AR$162,BN3357,0)+INDEX($AT$13:$BB$162,BO3357,0)+INDEX($BD$13:$BL$162,BP3357,0))/100)))&gt;0)*($D$10:$L$10-($D$9:$L$9+INT(($S$12:$AA$12+INDEX($AJ$13:$AR$162,BN3357,0)+INDEX($AT$13:$BB$162,BO3357,0)+INDEX($BD$13:$BL$162,BP3357,0))/100)))),0)</f>
        <v/>
      </c>
      <c r="BS3357">
        <f>IF(3344&lt;$U$9,SUMPRODUCT(($D$9:$L$9+INT(($S$12:$AA$12+INDEX($AJ$13:$AR$162,BN3357,0)+INDEX($AT$13:$BB$162,BO3357,0)+INDEX($BD$13:$BL$162,BP3357,0))/100))),0)</f>
        <v/>
      </c>
      <c r="BT3357">
        <f>IF(AND(3344&lt;$U$9,$W$5),BQ3357*1000000-MIN(BR3357,999)*1000+BS3357-3344/100000,-1000000000-3344)</f>
        <v/>
      </c>
    </row>
    <row r="3358">
      <c r="BN3358">
        <f>IF(3345&lt;$U$9,INT(3345/($U$7*$U$8))+1,1)</f>
        <v/>
      </c>
      <c r="BO3358">
        <f>IF(3345&lt;$U$9,MOD(INT(3345/$U$8),$U$7)+1,1)</f>
        <v/>
      </c>
      <c r="BP3358">
        <f>IF(3345&lt;$U$9,MOD(3345,$U$8)+1,1)</f>
        <v/>
      </c>
      <c r="BQ3358">
        <f>IF(3345&lt;$U$9,SUMPRODUCT(($D$10:$L$10&lt;&gt;"")*(($D$9:$L$9+INT(($S$12:$AA$12+INDEX($AJ$13:$AR$162,BN3358,0)+INDEX($AT$13:$BB$162,BO3358,0)+INDEX($BD$13:$BL$162,BP3358,0))/100))&gt;=$D$10:$L$10)),0)</f>
        <v/>
      </c>
      <c r="BR3358">
        <f>IF(3345&lt;$U$9,SUMPRODUCT(($D$10:$L$10&lt;&gt;"")*(($D$10:$L$10-($D$9:$L$9+INT(($S$12:$AA$12+INDEX($AJ$13:$AR$162,BN3358,0)+INDEX($AT$13:$BB$162,BO3358,0)+INDEX($BD$13:$BL$162,BP3358,0))/100)))&gt;0)*($D$10:$L$10-($D$9:$L$9+INT(($S$12:$AA$12+INDEX($AJ$13:$AR$162,BN3358,0)+INDEX($AT$13:$BB$162,BO3358,0)+INDEX($BD$13:$BL$162,BP3358,0))/100)))),0)</f>
        <v/>
      </c>
      <c r="BS3358">
        <f>IF(3345&lt;$U$9,SUMPRODUCT(($D$9:$L$9+INT(($S$12:$AA$12+INDEX($AJ$13:$AR$162,BN3358,0)+INDEX($AT$13:$BB$162,BO3358,0)+INDEX($BD$13:$BL$162,BP3358,0))/100))),0)</f>
        <v/>
      </c>
      <c r="BT3358">
        <f>IF(AND(3345&lt;$U$9,$W$5),BQ3358*1000000-MIN(BR3358,999)*1000+BS3358-3345/100000,-1000000000-3345)</f>
        <v/>
      </c>
    </row>
    <row r="3359">
      <c r="BN3359">
        <f>IF(3346&lt;$U$9,INT(3346/($U$7*$U$8))+1,1)</f>
        <v/>
      </c>
      <c r="BO3359">
        <f>IF(3346&lt;$U$9,MOD(INT(3346/$U$8),$U$7)+1,1)</f>
        <v/>
      </c>
      <c r="BP3359">
        <f>IF(3346&lt;$U$9,MOD(3346,$U$8)+1,1)</f>
        <v/>
      </c>
      <c r="BQ3359">
        <f>IF(3346&lt;$U$9,SUMPRODUCT(($D$10:$L$10&lt;&gt;"")*(($D$9:$L$9+INT(($S$12:$AA$12+INDEX($AJ$13:$AR$162,BN3359,0)+INDEX($AT$13:$BB$162,BO3359,0)+INDEX($BD$13:$BL$162,BP3359,0))/100))&gt;=$D$10:$L$10)),0)</f>
        <v/>
      </c>
      <c r="BR3359">
        <f>IF(3346&lt;$U$9,SUMPRODUCT(($D$10:$L$10&lt;&gt;"")*(($D$10:$L$10-($D$9:$L$9+INT(($S$12:$AA$12+INDEX($AJ$13:$AR$162,BN3359,0)+INDEX($AT$13:$BB$162,BO3359,0)+INDEX($BD$13:$BL$162,BP3359,0))/100)))&gt;0)*($D$10:$L$10-($D$9:$L$9+INT(($S$12:$AA$12+INDEX($AJ$13:$AR$162,BN3359,0)+INDEX($AT$13:$BB$162,BO3359,0)+INDEX($BD$13:$BL$162,BP3359,0))/100)))),0)</f>
        <v/>
      </c>
      <c r="BS3359">
        <f>IF(3346&lt;$U$9,SUMPRODUCT(($D$9:$L$9+INT(($S$12:$AA$12+INDEX($AJ$13:$AR$162,BN3359,0)+INDEX($AT$13:$BB$162,BO3359,0)+INDEX($BD$13:$BL$162,BP3359,0))/100))),0)</f>
        <v/>
      </c>
      <c r="BT3359">
        <f>IF(AND(3346&lt;$U$9,$W$5),BQ3359*1000000-MIN(BR3359,999)*1000+BS3359-3346/100000,-1000000000-3346)</f>
        <v/>
      </c>
    </row>
    <row r="3360">
      <c r="BN3360">
        <f>IF(3347&lt;$U$9,INT(3347/($U$7*$U$8))+1,1)</f>
        <v/>
      </c>
      <c r="BO3360">
        <f>IF(3347&lt;$U$9,MOD(INT(3347/$U$8),$U$7)+1,1)</f>
        <v/>
      </c>
      <c r="BP3360">
        <f>IF(3347&lt;$U$9,MOD(3347,$U$8)+1,1)</f>
        <v/>
      </c>
      <c r="BQ3360">
        <f>IF(3347&lt;$U$9,SUMPRODUCT(($D$10:$L$10&lt;&gt;"")*(($D$9:$L$9+INT(($S$12:$AA$12+INDEX($AJ$13:$AR$162,BN3360,0)+INDEX($AT$13:$BB$162,BO3360,0)+INDEX($BD$13:$BL$162,BP3360,0))/100))&gt;=$D$10:$L$10)),0)</f>
        <v/>
      </c>
      <c r="BR3360">
        <f>IF(3347&lt;$U$9,SUMPRODUCT(($D$10:$L$10&lt;&gt;"")*(($D$10:$L$10-($D$9:$L$9+INT(($S$12:$AA$12+INDEX($AJ$13:$AR$162,BN3360,0)+INDEX($AT$13:$BB$162,BO3360,0)+INDEX($BD$13:$BL$162,BP3360,0))/100)))&gt;0)*($D$10:$L$10-($D$9:$L$9+INT(($S$12:$AA$12+INDEX($AJ$13:$AR$162,BN3360,0)+INDEX($AT$13:$BB$162,BO3360,0)+INDEX($BD$13:$BL$162,BP3360,0))/100)))),0)</f>
        <v/>
      </c>
      <c r="BS3360">
        <f>IF(3347&lt;$U$9,SUMPRODUCT(($D$9:$L$9+INT(($S$12:$AA$12+INDEX($AJ$13:$AR$162,BN3360,0)+INDEX($AT$13:$BB$162,BO3360,0)+INDEX($BD$13:$BL$162,BP3360,0))/100))),0)</f>
        <v/>
      </c>
      <c r="BT3360">
        <f>IF(AND(3347&lt;$U$9,$W$5),BQ3360*1000000-MIN(BR3360,999)*1000+BS3360-3347/100000,-1000000000-3347)</f>
        <v/>
      </c>
    </row>
    <row r="3361">
      <c r="BN3361">
        <f>IF(3348&lt;$U$9,INT(3348/($U$7*$U$8))+1,1)</f>
        <v/>
      </c>
      <c r="BO3361">
        <f>IF(3348&lt;$U$9,MOD(INT(3348/$U$8),$U$7)+1,1)</f>
        <v/>
      </c>
      <c r="BP3361">
        <f>IF(3348&lt;$U$9,MOD(3348,$U$8)+1,1)</f>
        <v/>
      </c>
      <c r="BQ3361">
        <f>IF(3348&lt;$U$9,SUMPRODUCT(($D$10:$L$10&lt;&gt;"")*(($D$9:$L$9+INT(($S$12:$AA$12+INDEX($AJ$13:$AR$162,BN3361,0)+INDEX($AT$13:$BB$162,BO3361,0)+INDEX($BD$13:$BL$162,BP3361,0))/100))&gt;=$D$10:$L$10)),0)</f>
        <v/>
      </c>
      <c r="BR3361">
        <f>IF(3348&lt;$U$9,SUMPRODUCT(($D$10:$L$10&lt;&gt;"")*(($D$10:$L$10-($D$9:$L$9+INT(($S$12:$AA$12+INDEX($AJ$13:$AR$162,BN3361,0)+INDEX($AT$13:$BB$162,BO3361,0)+INDEX($BD$13:$BL$162,BP3361,0))/100)))&gt;0)*($D$10:$L$10-($D$9:$L$9+INT(($S$12:$AA$12+INDEX($AJ$13:$AR$162,BN3361,0)+INDEX($AT$13:$BB$162,BO3361,0)+INDEX($BD$13:$BL$162,BP3361,0))/100)))),0)</f>
        <v/>
      </c>
      <c r="BS3361">
        <f>IF(3348&lt;$U$9,SUMPRODUCT(($D$9:$L$9+INT(($S$12:$AA$12+INDEX($AJ$13:$AR$162,BN3361,0)+INDEX($AT$13:$BB$162,BO3361,0)+INDEX($BD$13:$BL$162,BP3361,0))/100))),0)</f>
        <v/>
      </c>
      <c r="BT3361">
        <f>IF(AND(3348&lt;$U$9,$W$5),BQ3361*1000000-MIN(BR3361,999)*1000+BS3361-3348/100000,-1000000000-3348)</f>
        <v/>
      </c>
    </row>
    <row r="3362">
      <c r="BN3362">
        <f>IF(3349&lt;$U$9,INT(3349/($U$7*$U$8))+1,1)</f>
        <v/>
      </c>
      <c r="BO3362">
        <f>IF(3349&lt;$U$9,MOD(INT(3349/$U$8),$U$7)+1,1)</f>
        <v/>
      </c>
      <c r="BP3362">
        <f>IF(3349&lt;$U$9,MOD(3349,$U$8)+1,1)</f>
        <v/>
      </c>
      <c r="BQ3362">
        <f>IF(3349&lt;$U$9,SUMPRODUCT(($D$10:$L$10&lt;&gt;"")*(($D$9:$L$9+INT(($S$12:$AA$12+INDEX($AJ$13:$AR$162,BN3362,0)+INDEX($AT$13:$BB$162,BO3362,0)+INDEX($BD$13:$BL$162,BP3362,0))/100))&gt;=$D$10:$L$10)),0)</f>
        <v/>
      </c>
      <c r="BR3362">
        <f>IF(3349&lt;$U$9,SUMPRODUCT(($D$10:$L$10&lt;&gt;"")*(($D$10:$L$10-($D$9:$L$9+INT(($S$12:$AA$12+INDEX($AJ$13:$AR$162,BN3362,0)+INDEX($AT$13:$BB$162,BO3362,0)+INDEX($BD$13:$BL$162,BP3362,0))/100)))&gt;0)*($D$10:$L$10-($D$9:$L$9+INT(($S$12:$AA$12+INDEX($AJ$13:$AR$162,BN3362,0)+INDEX($AT$13:$BB$162,BO3362,0)+INDEX($BD$13:$BL$162,BP3362,0))/100)))),0)</f>
        <v/>
      </c>
      <c r="BS3362">
        <f>IF(3349&lt;$U$9,SUMPRODUCT(($D$9:$L$9+INT(($S$12:$AA$12+INDEX($AJ$13:$AR$162,BN3362,0)+INDEX($AT$13:$BB$162,BO3362,0)+INDEX($BD$13:$BL$162,BP3362,0))/100))),0)</f>
        <v/>
      </c>
      <c r="BT3362">
        <f>IF(AND(3349&lt;$U$9,$W$5),BQ3362*1000000-MIN(BR3362,999)*1000+BS3362-3349/100000,-1000000000-3349)</f>
        <v/>
      </c>
    </row>
    <row r="3363">
      <c r="BN3363">
        <f>IF(3350&lt;$U$9,INT(3350/($U$7*$U$8))+1,1)</f>
        <v/>
      </c>
      <c r="BO3363">
        <f>IF(3350&lt;$U$9,MOD(INT(3350/$U$8),$U$7)+1,1)</f>
        <v/>
      </c>
      <c r="BP3363">
        <f>IF(3350&lt;$U$9,MOD(3350,$U$8)+1,1)</f>
        <v/>
      </c>
      <c r="BQ3363">
        <f>IF(3350&lt;$U$9,SUMPRODUCT(($D$10:$L$10&lt;&gt;"")*(($D$9:$L$9+INT(($S$12:$AA$12+INDEX($AJ$13:$AR$162,BN3363,0)+INDEX($AT$13:$BB$162,BO3363,0)+INDEX($BD$13:$BL$162,BP3363,0))/100))&gt;=$D$10:$L$10)),0)</f>
        <v/>
      </c>
      <c r="BR3363">
        <f>IF(3350&lt;$U$9,SUMPRODUCT(($D$10:$L$10&lt;&gt;"")*(($D$10:$L$10-($D$9:$L$9+INT(($S$12:$AA$12+INDEX($AJ$13:$AR$162,BN3363,0)+INDEX($AT$13:$BB$162,BO3363,0)+INDEX($BD$13:$BL$162,BP3363,0))/100)))&gt;0)*($D$10:$L$10-($D$9:$L$9+INT(($S$12:$AA$12+INDEX($AJ$13:$AR$162,BN3363,0)+INDEX($AT$13:$BB$162,BO3363,0)+INDEX($BD$13:$BL$162,BP3363,0))/100)))),0)</f>
        <v/>
      </c>
      <c r="BS3363">
        <f>IF(3350&lt;$U$9,SUMPRODUCT(($D$9:$L$9+INT(($S$12:$AA$12+INDEX($AJ$13:$AR$162,BN3363,0)+INDEX($AT$13:$BB$162,BO3363,0)+INDEX($BD$13:$BL$162,BP3363,0))/100))),0)</f>
        <v/>
      </c>
      <c r="BT3363">
        <f>IF(AND(3350&lt;$U$9,$W$5),BQ3363*1000000-MIN(BR3363,999)*1000+BS3363-3350/100000,-1000000000-3350)</f>
        <v/>
      </c>
    </row>
    <row r="3364">
      <c r="BN3364">
        <f>IF(3351&lt;$U$9,INT(3351/($U$7*$U$8))+1,1)</f>
        <v/>
      </c>
      <c r="BO3364">
        <f>IF(3351&lt;$U$9,MOD(INT(3351/$U$8),$U$7)+1,1)</f>
        <v/>
      </c>
      <c r="BP3364">
        <f>IF(3351&lt;$U$9,MOD(3351,$U$8)+1,1)</f>
        <v/>
      </c>
      <c r="BQ3364">
        <f>IF(3351&lt;$U$9,SUMPRODUCT(($D$10:$L$10&lt;&gt;"")*(($D$9:$L$9+INT(($S$12:$AA$12+INDEX($AJ$13:$AR$162,BN3364,0)+INDEX($AT$13:$BB$162,BO3364,0)+INDEX($BD$13:$BL$162,BP3364,0))/100))&gt;=$D$10:$L$10)),0)</f>
        <v/>
      </c>
      <c r="BR3364">
        <f>IF(3351&lt;$U$9,SUMPRODUCT(($D$10:$L$10&lt;&gt;"")*(($D$10:$L$10-($D$9:$L$9+INT(($S$12:$AA$12+INDEX($AJ$13:$AR$162,BN3364,0)+INDEX($AT$13:$BB$162,BO3364,0)+INDEX($BD$13:$BL$162,BP3364,0))/100)))&gt;0)*($D$10:$L$10-($D$9:$L$9+INT(($S$12:$AA$12+INDEX($AJ$13:$AR$162,BN3364,0)+INDEX($AT$13:$BB$162,BO3364,0)+INDEX($BD$13:$BL$162,BP3364,0))/100)))),0)</f>
        <v/>
      </c>
      <c r="BS3364">
        <f>IF(3351&lt;$U$9,SUMPRODUCT(($D$9:$L$9+INT(($S$12:$AA$12+INDEX($AJ$13:$AR$162,BN3364,0)+INDEX($AT$13:$BB$162,BO3364,0)+INDEX($BD$13:$BL$162,BP3364,0))/100))),0)</f>
        <v/>
      </c>
      <c r="BT3364">
        <f>IF(AND(3351&lt;$U$9,$W$5),BQ3364*1000000-MIN(BR3364,999)*1000+BS3364-3351/100000,-1000000000-3351)</f>
        <v/>
      </c>
    </row>
    <row r="3365">
      <c r="BN3365">
        <f>IF(3352&lt;$U$9,INT(3352/($U$7*$U$8))+1,1)</f>
        <v/>
      </c>
      <c r="BO3365">
        <f>IF(3352&lt;$U$9,MOD(INT(3352/$U$8),$U$7)+1,1)</f>
        <v/>
      </c>
      <c r="BP3365">
        <f>IF(3352&lt;$U$9,MOD(3352,$U$8)+1,1)</f>
        <v/>
      </c>
      <c r="BQ3365">
        <f>IF(3352&lt;$U$9,SUMPRODUCT(($D$10:$L$10&lt;&gt;"")*(($D$9:$L$9+INT(($S$12:$AA$12+INDEX($AJ$13:$AR$162,BN3365,0)+INDEX($AT$13:$BB$162,BO3365,0)+INDEX($BD$13:$BL$162,BP3365,0))/100))&gt;=$D$10:$L$10)),0)</f>
        <v/>
      </c>
      <c r="BR3365">
        <f>IF(3352&lt;$U$9,SUMPRODUCT(($D$10:$L$10&lt;&gt;"")*(($D$10:$L$10-($D$9:$L$9+INT(($S$12:$AA$12+INDEX($AJ$13:$AR$162,BN3365,0)+INDEX($AT$13:$BB$162,BO3365,0)+INDEX($BD$13:$BL$162,BP3365,0))/100)))&gt;0)*($D$10:$L$10-($D$9:$L$9+INT(($S$12:$AA$12+INDEX($AJ$13:$AR$162,BN3365,0)+INDEX($AT$13:$BB$162,BO3365,0)+INDEX($BD$13:$BL$162,BP3365,0))/100)))),0)</f>
        <v/>
      </c>
      <c r="BS3365">
        <f>IF(3352&lt;$U$9,SUMPRODUCT(($D$9:$L$9+INT(($S$12:$AA$12+INDEX($AJ$13:$AR$162,BN3365,0)+INDEX($AT$13:$BB$162,BO3365,0)+INDEX($BD$13:$BL$162,BP3365,0))/100))),0)</f>
        <v/>
      </c>
      <c r="BT3365">
        <f>IF(AND(3352&lt;$U$9,$W$5),BQ3365*1000000-MIN(BR3365,999)*1000+BS3365-3352/100000,-1000000000-3352)</f>
        <v/>
      </c>
    </row>
    <row r="3366">
      <c r="BN3366">
        <f>IF(3353&lt;$U$9,INT(3353/($U$7*$U$8))+1,1)</f>
        <v/>
      </c>
      <c r="BO3366">
        <f>IF(3353&lt;$U$9,MOD(INT(3353/$U$8),$U$7)+1,1)</f>
        <v/>
      </c>
      <c r="BP3366">
        <f>IF(3353&lt;$U$9,MOD(3353,$U$8)+1,1)</f>
        <v/>
      </c>
      <c r="BQ3366">
        <f>IF(3353&lt;$U$9,SUMPRODUCT(($D$10:$L$10&lt;&gt;"")*(($D$9:$L$9+INT(($S$12:$AA$12+INDEX($AJ$13:$AR$162,BN3366,0)+INDEX($AT$13:$BB$162,BO3366,0)+INDEX($BD$13:$BL$162,BP3366,0))/100))&gt;=$D$10:$L$10)),0)</f>
        <v/>
      </c>
      <c r="BR3366">
        <f>IF(3353&lt;$U$9,SUMPRODUCT(($D$10:$L$10&lt;&gt;"")*(($D$10:$L$10-($D$9:$L$9+INT(($S$12:$AA$12+INDEX($AJ$13:$AR$162,BN3366,0)+INDEX($AT$13:$BB$162,BO3366,0)+INDEX($BD$13:$BL$162,BP3366,0))/100)))&gt;0)*($D$10:$L$10-($D$9:$L$9+INT(($S$12:$AA$12+INDEX($AJ$13:$AR$162,BN3366,0)+INDEX($AT$13:$BB$162,BO3366,0)+INDEX($BD$13:$BL$162,BP3366,0))/100)))),0)</f>
        <v/>
      </c>
      <c r="BS3366">
        <f>IF(3353&lt;$U$9,SUMPRODUCT(($D$9:$L$9+INT(($S$12:$AA$12+INDEX($AJ$13:$AR$162,BN3366,0)+INDEX($AT$13:$BB$162,BO3366,0)+INDEX($BD$13:$BL$162,BP3366,0))/100))),0)</f>
        <v/>
      </c>
      <c r="BT3366">
        <f>IF(AND(3353&lt;$U$9,$W$5),BQ3366*1000000-MIN(BR3366,999)*1000+BS3366-3353/100000,-1000000000-3353)</f>
        <v/>
      </c>
    </row>
    <row r="3367">
      <c r="BN3367">
        <f>IF(3354&lt;$U$9,INT(3354/($U$7*$U$8))+1,1)</f>
        <v/>
      </c>
      <c r="BO3367">
        <f>IF(3354&lt;$U$9,MOD(INT(3354/$U$8),$U$7)+1,1)</f>
        <v/>
      </c>
      <c r="BP3367">
        <f>IF(3354&lt;$U$9,MOD(3354,$U$8)+1,1)</f>
        <v/>
      </c>
      <c r="BQ3367">
        <f>IF(3354&lt;$U$9,SUMPRODUCT(($D$10:$L$10&lt;&gt;"")*(($D$9:$L$9+INT(($S$12:$AA$12+INDEX($AJ$13:$AR$162,BN3367,0)+INDEX($AT$13:$BB$162,BO3367,0)+INDEX($BD$13:$BL$162,BP3367,0))/100))&gt;=$D$10:$L$10)),0)</f>
        <v/>
      </c>
      <c r="BR3367">
        <f>IF(3354&lt;$U$9,SUMPRODUCT(($D$10:$L$10&lt;&gt;"")*(($D$10:$L$10-($D$9:$L$9+INT(($S$12:$AA$12+INDEX($AJ$13:$AR$162,BN3367,0)+INDEX($AT$13:$BB$162,BO3367,0)+INDEX($BD$13:$BL$162,BP3367,0))/100)))&gt;0)*($D$10:$L$10-($D$9:$L$9+INT(($S$12:$AA$12+INDEX($AJ$13:$AR$162,BN3367,0)+INDEX($AT$13:$BB$162,BO3367,0)+INDEX($BD$13:$BL$162,BP3367,0))/100)))),0)</f>
        <v/>
      </c>
      <c r="BS3367">
        <f>IF(3354&lt;$U$9,SUMPRODUCT(($D$9:$L$9+INT(($S$12:$AA$12+INDEX($AJ$13:$AR$162,BN3367,0)+INDEX($AT$13:$BB$162,BO3367,0)+INDEX($BD$13:$BL$162,BP3367,0))/100))),0)</f>
        <v/>
      </c>
      <c r="BT3367">
        <f>IF(AND(3354&lt;$U$9,$W$5),BQ3367*1000000-MIN(BR3367,999)*1000+BS3367-3354/100000,-1000000000-3354)</f>
        <v/>
      </c>
    </row>
    <row r="3368">
      <c r="BN3368">
        <f>IF(3355&lt;$U$9,INT(3355/($U$7*$U$8))+1,1)</f>
        <v/>
      </c>
      <c r="BO3368">
        <f>IF(3355&lt;$U$9,MOD(INT(3355/$U$8),$U$7)+1,1)</f>
        <v/>
      </c>
      <c r="BP3368">
        <f>IF(3355&lt;$U$9,MOD(3355,$U$8)+1,1)</f>
        <v/>
      </c>
      <c r="BQ3368">
        <f>IF(3355&lt;$U$9,SUMPRODUCT(($D$10:$L$10&lt;&gt;"")*(($D$9:$L$9+INT(($S$12:$AA$12+INDEX($AJ$13:$AR$162,BN3368,0)+INDEX($AT$13:$BB$162,BO3368,0)+INDEX($BD$13:$BL$162,BP3368,0))/100))&gt;=$D$10:$L$10)),0)</f>
        <v/>
      </c>
      <c r="BR3368">
        <f>IF(3355&lt;$U$9,SUMPRODUCT(($D$10:$L$10&lt;&gt;"")*(($D$10:$L$10-($D$9:$L$9+INT(($S$12:$AA$12+INDEX($AJ$13:$AR$162,BN3368,0)+INDEX($AT$13:$BB$162,BO3368,0)+INDEX($BD$13:$BL$162,BP3368,0))/100)))&gt;0)*($D$10:$L$10-($D$9:$L$9+INT(($S$12:$AA$12+INDEX($AJ$13:$AR$162,BN3368,0)+INDEX($AT$13:$BB$162,BO3368,0)+INDEX($BD$13:$BL$162,BP3368,0))/100)))),0)</f>
        <v/>
      </c>
      <c r="BS3368">
        <f>IF(3355&lt;$U$9,SUMPRODUCT(($D$9:$L$9+INT(($S$12:$AA$12+INDEX($AJ$13:$AR$162,BN3368,0)+INDEX($AT$13:$BB$162,BO3368,0)+INDEX($BD$13:$BL$162,BP3368,0))/100))),0)</f>
        <v/>
      </c>
      <c r="BT3368">
        <f>IF(AND(3355&lt;$U$9,$W$5),BQ3368*1000000-MIN(BR3368,999)*1000+BS3368-3355/100000,-1000000000-3355)</f>
        <v/>
      </c>
    </row>
    <row r="3369">
      <c r="BN3369">
        <f>IF(3356&lt;$U$9,INT(3356/($U$7*$U$8))+1,1)</f>
        <v/>
      </c>
      <c r="BO3369">
        <f>IF(3356&lt;$U$9,MOD(INT(3356/$U$8),$U$7)+1,1)</f>
        <v/>
      </c>
      <c r="BP3369">
        <f>IF(3356&lt;$U$9,MOD(3356,$U$8)+1,1)</f>
        <v/>
      </c>
      <c r="BQ3369">
        <f>IF(3356&lt;$U$9,SUMPRODUCT(($D$10:$L$10&lt;&gt;"")*(($D$9:$L$9+INT(($S$12:$AA$12+INDEX($AJ$13:$AR$162,BN3369,0)+INDEX($AT$13:$BB$162,BO3369,0)+INDEX($BD$13:$BL$162,BP3369,0))/100))&gt;=$D$10:$L$10)),0)</f>
        <v/>
      </c>
      <c r="BR3369">
        <f>IF(3356&lt;$U$9,SUMPRODUCT(($D$10:$L$10&lt;&gt;"")*(($D$10:$L$10-($D$9:$L$9+INT(($S$12:$AA$12+INDEX($AJ$13:$AR$162,BN3369,0)+INDEX($AT$13:$BB$162,BO3369,0)+INDEX($BD$13:$BL$162,BP3369,0))/100)))&gt;0)*($D$10:$L$10-($D$9:$L$9+INT(($S$12:$AA$12+INDEX($AJ$13:$AR$162,BN3369,0)+INDEX($AT$13:$BB$162,BO3369,0)+INDEX($BD$13:$BL$162,BP3369,0))/100)))),0)</f>
        <v/>
      </c>
      <c r="BS3369">
        <f>IF(3356&lt;$U$9,SUMPRODUCT(($D$9:$L$9+INT(($S$12:$AA$12+INDEX($AJ$13:$AR$162,BN3369,0)+INDEX($AT$13:$BB$162,BO3369,0)+INDEX($BD$13:$BL$162,BP3369,0))/100))),0)</f>
        <v/>
      </c>
      <c r="BT3369">
        <f>IF(AND(3356&lt;$U$9,$W$5),BQ3369*1000000-MIN(BR3369,999)*1000+BS3369-3356/100000,-1000000000-3356)</f>
        <v/>
      </c>
    </row>
    <row r="3370">
      <c r="BN3370">
        <f>IF(3357&lt;$U$9,INT(3357/($U$7*$U$8))+1,1)</f>
        <v/>
      </c>
      <c r="BO3370">
        <f>IF(3357&lt;$U$9,MOD(INT(3357/$U$8),$U$7)+1,1)</f>
        <v/>
      </c>
      <c r="BP3370">
        <f>IF(3357&lt;$U$9,MOD(3357,$U$8)+1,1)</f>
        <v/>
      </c>
      <c r="BQ3370">
        <f>IF(3357&lt;$U$9,SUMPRODUCT(($D$10:$L$10&lt;&gt;"")*(($D$9:$L$9+INT(($S$12:$AA$12+INDEX($AJ$13:$AR$162,BN3370,0)+INDEX($AT$13:$BB$162,BO3370,0)+INDEX($BD$13:$BL$162,BP3370,0))/100))&gt;=$D$10:$L$10)),0)</f>
        <v/>
      </c>
      <c r="BR3370">
        <f>IF(3357&lt;$U$9,SUMPRODUCT(($D$10:$L$10&lt;&gt;"")*(($D$10:$L$10-($D$9:$L$9+INT(($S$12:$AA$12+INDEX($AJ$13:$AR$162,BN3370,0)+INDEX($AT$13:$BB$162,BO3370,0)+INDEX($BD$13:$BL$162,BP3370,0))/100)))&gt;0)*($D$10:$L$10-($D$9:$L$9+INT(($S$12:$AA$12+INDEX($AJ$13:$AR$162,BN3370,0)+INDEX($AT$13:$BB$162,BO3370,0)+INDEX($BD$13:$BL$162,BP3370,0))/100)))),0)</f>
        <v/>
      </c>
      <c r="BS3370">
        <f>IF(3357&lt;$U$9,SUMPRODUCT(($D$9:$L$9+INT(($S$12:$AA$12+INDEX($AJ$13:$AR$162,BN3370,0)+INDEX($AT$13:$BB$162,BO3370,0)+INDEX($BD$13:$BL$162,BP3370,0))/100))),0)</f>
        <v/>
      </c>
      <c r="BT3370">
        <f>IF(AND(3357&lt;$U$9,$W$5),BQ3370*1000000-MIN(BR3370,999)*1000+BS3370-3357/100000,-1000000000-3357)</f>
        <v/>
      </c>
    </row>
    <row r="3371">
      <c r="BN3371">
        <f>IF(3358&lt;$U$9,INT(3358/($U$7*$U$8))+1,1)</f>
        <v/>
      </c>
      <c r="BO3371">
        <f>IF(3358&lt;$U$9,MOD(INT(3358/$U$8),$U$7)+1,1)</f>
        <v/>
      </c>
      <c r="BP3371">
        <f>IF(3358&lt;$U$9,MOD(3358,$U$8)+1,1)</f>
        <v/>
      </c>
      <c r="BQ3371">
        <f>IF(3358&lt;$U$9,SUMPRODUCT(($D$10:$L$10&lt;&gt;"")*(($D$9:$L$9+INT(($S$12:$AA$12+INDEX($AJ$13:$AR$162,BN3371,0)+INDEX($AT$13:$BB$162,BO3371,0)+INDEX($BD$13:$BL$162,BP3371,0))/100))&gt;=$D$10:$L$10)),0)</f>
        <v/>
      </c>
      <c r="BR3371">
        <f>IF(3358&lt;$U$9,SUMPRODUCT(($D$10:$L$10&lt;&gt;"")*(($D$10:$L$10-($D$9:$L$9+INT(($S$12:$AA$12+INDEX($AJ$13:$AR$162,BN3371,0)+INDEX($AT$13:$BB$162,BO3371,0)+INDEX($BD$13:$BL$162,BP3371,0))/100)))&gt;0)*($D$10:$L$10-($D$9:$L$9+INT(($S$12:$AA$12+INDEX($AJ$13:$AR$162,BN3371,0)+INDEX($AT$13:$BB$162,BO3371,0)+INDEX($BD$13:$BL$162,BP3371,0))/100)))),0)</f>
        <v/>
      </c>
      <c r="BS3371">
        <f>IF(3358&lt;$U$9,SUMPRODUCT(($D$9:$L$9+INT(($S$12:$AA$12+INDEX($AJ$13:$AR$162,BN3371,0)+INDEX($AT$13:$BB$162,BO3371,0)+INDEX($BD$13:$BL$162,BP3371,0))/100))),0)</f>
        <v/>
      </c>
      <c r="BT3371">
        <f>IF(AND(3358&lt;$U$9,$W$5),BQ3371*1000000-MIN(BR3371,999)*1000+BS3371-3358/100000,-1000000000-3358)</f>
        <v/>
      </c>
    </row>
    <row r="3372">
      <c r="BN3372">
        <f>IF(3359&lt;$U$9,INT(3359/($U$7*$U$8))+1,1)</f>
        <v/>
      </c>
      <c r="BO3372">
        <f>IF(3359&lt;$U$9,MOD(INT(3359/$U$8),$U$7)+1,1)</f>
        <v/>
      </c>
      <c r="BP3372">
        <f>IF(3359&lt;$U$9,MOD(3359,$U$8)+1,1)</f>
        <v/>
      </c>
      <c r="BQ3372">
        <f>IF(3359&lt;$U$9,SUMPRODUCT(($D$10:$L$10&lt;&gt;"")*(($D$9:$L$9+INT(($S$12:$AA$12+INDEX($AJ$13:$AR$162,BN3372,0)+INDEX($AT$13:$BB$162,BO3372,0)+INDEX($BD$13:$BL$162,BP3372,0))/100))&gt;=$D$10:$L$10)),0)</f>
        <v/>
      </c>
      <c r="BR3372">
        <f>IF(3359&lt;$U$9,SUMPRODUCT(($D$10:$L$10&lt;&gt;"")*(($D$10:$L$10-($D$9:$L$9+INT(($S$12:$AA$12+INDEX($AJ$13:$AR$162,BN3372,0)+INDEX($AT$13:$BB$162,BO3372,0)+INDEX($BD$13:$BL$162,BP3372,0))/100)))&gt;0)*($D$10:$L$10-($D$9:$L$9+INT(($S$12:$AA$12+INDEX($AJ$13:$AR$162,BN3372,0)+INDEX($AT$13:$BB$162,BO3372,0)+INDEX($BD$13:$BL$162,BP3372,0))/100)))),0)</f>
        <v/>
      </c>
      <c r="BS3372">
        <f>IF(3359&lt;$U$9,SUMPRODUCT(($D$9:$L$9+INT(($S$12:$AA$12+INDEX($AJ$13:$AR$162,BN3372,0)+INDEX($AT$13:$BB$162,BO3372,0)+INDEX($BD$13:$BL$162,BP3372,0))/100))),0)</f>
        <v/>
      </c>
      <c r="BT3372">
        <f>IF(AND(3359&lt;$U$9,$W$5),BQ3372*1000000-MIN(BR3372,999)*1000+BS3372-3359/100000,-1000000000-3359)</f>
        <v/>
      </c>
    </row>
    <row r="3373">
      <c r="BN3373">
        <f>IF(3360&lt;$U$9,INT(3360/($U$7*$U$8))+1,1)</f>
        <v/>
      </c>
      <c r="BO3373">
        <f>IF(3360&lt;$U$9,MOD(INT(3360/$U$8),$U$7)+1,1)</f>
        <v/>
      </c>
      <c r="BP3373">
        <f>IF(3360&lt;$U$9,MOD(3360,$U$8)+1,1)</f>
        <v/>
      </c>
      <c r="BQ3373">
        <f>IF(3360&lt;$U$9,SUMPRODUCT(($D$10:$L$10&lt;&gt;"")*(($D$9:$L$9+INT(($S$12:$AA$12+INDEX($AJ$13:$AR$162,BN3373,0)+INDEX($AT$13:$BB$162,BO3373,0)+INDEX($BD$13:$BL$162,BP3373,0))/100))&gt;=$D$10:$L$10)),0)</f>
        <v/>
      </c>
      <c r="BR3373">
        <f>IF(3360&lt;$U$9,SUMPRODUCT(($D$10:$L$10&lt;&gt;"")*(($D$10:$L$10-($D$9:$L$9+INT(($S$12:$AA$12+INDEX($AJ$13:$AR$162,BN3373,0)+INDEX($AT$13:$BB$162,BO3373,0)+INDEX($BD$13:$BL$162,BP3373,0))/100)))&gt;0)*($D$10:$L$10-($D$9:$L$9+INT(($S$12:$AA$12+INDEX($AJ$13:$AR$162,BN3373,0)+INDEX($AT$13:$BB$162,BO3373,0)+INDEX($BD$13:$BL$162,BP3373,0))/100)))),0)</f>
        <v/>
      </c>
      <c r="BS3373">
        <f>IF(3360&lt;$U$9,SUMPRODUCT(($D$9:$L$9+INT(($S$12:$AA$12+INDEX($AJ$13:$AR$162,BN3373,0)+INDEX($AT$13:$BB$162,BO3373,0)+INDEX($BD$13:$BL$162,BP3373,0))/100))),0)</f>
        <v/>
      </c>
      <c r="BT3373">
        <f>IF(AND(3360&lt;$U$9,$W$5),BQ3373*1000000-MIN(BR3373,999)*1000+BS3373-3360/100000,-1000000000-3360)</f>
        <v/>
      </c>
    </row>
    <row r="3374">
      <c r="BN3374">
        <f>IF(3361&lt;$U$9,INT(3361/($U$7*$U$8))+1,1)</f>
        <v/>
      </c>
      <c r="BO3374">
        <f>IF(3361&lt;$U$9,MOD(INT(3361/$U$8),$U$7)+1,1)</f>
        <v/>
      </c>
      <c r="BP3374">
        <f>IF(3361&lt;$U$9,MOD(3361,$U$8)+1,1)</f>
        <v/>
      </c>
      <c r="BQ3374">
        <f>IF(3361&lt;$U$9,SUMPRODUCT(($D$10:$L$10&lt;&gt;"")*(($D$9:$L$9+INT(($S$12:$AA$12+INDEX($AJ$13:$AR$162,BN3374,0)+INDEX($AT$13:$BB$162,BO3374,0)+INDEX($BD$13:$BL$162,BP3374,0))/100))&gt;=$D$10:$L$10)),0)</f>
        <v/>
      </c>
      <c r="BR3374">
        <f>IF(3361&lt;$U$9,SUMPRODUCT(($D$10:$L$10&lt;&gt;"")*(($D$10:$L$10-($D$9:$L$9+INT(($S$12:$AA$12+INDEX($AJ$13:$AR$162,BN3374,0)+INDEX($AT$13:$BB$162,BO3374,0)+INDEX($BD$13:$BL$162,BP3374,0))/100)))&gt;0)*($D$10:$L$10-($D$9:$L$9+INT(($S$12:$AA$12+INDEX($AJ$13:$AR$162,BN3374,0)+INDEX($AT$13:$BB$162,BO3374,0)+INDEX($BD$13:$BL$162,BP3374,0))/100)))),0)</f>
        <v/>
      </c>
      <c r="BS3374">
        <f>IF(3361&lt;$U$9,SUMPRODUCT(($D$9:$L$9+INT(($S$12:$AA$12+INDEX($AJ$13:$AR$162,BN3374,0)+INDEX($AT$13:$BB$162,BO3374,0)+INDEX($BD$13:$BL$162,BP3374,0))/100))),0)</f>
        <v/>
      </c>
      <c r="BT3374">
        <f>IF(AND(3361&lt;$U$9,$W$5),BQ3374*1000000-MIN(BR3374,999)*1000+BS3374-3361/100000,-1000000000-3361)</f>
        <v/>
      </c>
    </row>
    <row r="3375">
      <c r="BN3375">
        <f>IF(3362&lt;$U$9,INT(3362/($U$7*$U$8))+1,1)</f>
        <v/>
      </c>
      <c r="BO3375">
        <f>IF(3362&lt;$U$9,MOD(INT(3362/$U$8),$U$7)+1,1)</f>
        <v/>
      </c>
      <c r="BP3375">
        <f>IF(3362&lt;$U$9,MOD(3362,$U$8)+1,1)</f>
        <v/>
      </c>
      <c r="BQ3375">
        <f>IF(3362&lt;$U$9,SUMPRODUCT(($D$10:$L$10&lt;&gt;"")*(($D$9:$L$9+INT(($S$12:$AA$12+INDEX($AJ$13:$AR$162,BN3375,0)+INDEX($AT$13:$BB$162,BO3375,0)+INDEX($BD$13:$BL$162,BP3375,0))/100))&gt;=$D$10:$L$10)),0)</f>
        <v/>
      </c>
      <c r="BR3375">
        <f>IF(3362&lt;$U$9,SUMPRODUCT(($D$10:$L$10&lt;&gt;"")*(($D$10:$L$10-($D$9:$L$9+INT(($S$12:$AA$12+INDEX($AJ$13:$AR$162,BN3375,0)+INDEX($AT$13:$BB$162,BO3375,0)+INDEX($BD$13:$BL$162,BP3375,0))/100)))&gt;0)*($D$10:$L$10-($D$9:$L$9+INT(($S$12:$AA$12+INDEX($AJ$13:$AR$162,BN3375,0)+INDEX($AT$13:$BB$162,BO3375,0)+INDEX($BD$13:$BL$162,BP3375,0))/100)))),0)</f>
        <v/>
      </c>
      <c r="BS3375">
        <f>IF(3362&lt;$U$9,SUMPRODUCT(($D$9:$L$9+INT(($S$12:$AA$12+INDEX($AJ$13:$AR$162,BN3375,0)+INDEX($AT$13:$BB$162,BO3375,0)+INDEX($BD$13:$BL$162,BP3375,0))/100))),0)</f>
        <v/>
      </c>
      <c r="BT3375">
        <f>IF(AND(3362&lt;$U$9,$W$5),BQ3375*1000000-MIN(BR3375,999)*1000+BS3375-3362/100000,-1000000000-3362)</f>
        <v/>
      </c>
    </row>
    <row r="3376">
      <c r="BN3376">
        <f>IF(3363&lt;$U$9,INT(3363/($U$7*$U$8))+1,1)</f>
        <v/>
      </c>
      <c r="BO3376">
        <f>IF(3363&lt;$U$9,MOD(INT(3363/$U$8),$U$7)+1,1)</f>
        <v/>
      </c>
      <c r="BP3376">
        <f>IF(3363&lt;$U$9,MOD(3363,$U$8)+1,1)</f>
        <v/>
      </c>
      <c r="BQ3376">
        <f>IF(3363&lt;$U$9,SUMPRODUCT(($D$10:$L$10&lt;&gt;"")*(($D$9:$L$9+INT(($S$12:$AA$12+INDEX($AJ$13:$AR$162,BN3376,0)+INDEX($AT$13:$BB$162,BO3376,0)+INDEX($BD$13:$BL$162,BP3376,0))/100))&gt;=$D$10:$L$10)),0)</f>
        <v/>
      </c>
      <c r="BR3376">
        <f>IF(3363&lt;$U$9,SUMPRODUCT(($D$10:$L$10&lt;&gt;"")*(($D$10:$L$10-($D$9:$L$9+INT(($S$12:$AA$12+INDEX($AJ$13:$AR$162,BN3376,0)+INDEX($AT$13:$BB$162,BO3376,0)+INDEX($BD$13:$BL$162,BP3376,0))/100)))&gt;0)*($D$10:$L$10-($D$9:$L$9+INT(($S$12:$AA$12+INDEX($AJ$13:$AR$162,BN3376,0)+INDEX($AT$13:$BB$162,BO3376,0)+INDEX($BD$13:$BL$162,BP3376,0))/100)))),0)</f>
        <v/>
      </c>
      <c r="BS3376">
        <f>IF(3363&lt;$U$9,SUMPRODUCT(($D$9:$L$9+INT(($S$12:$AA$12+INDEX($AJ$13:$AR$162,BN3376,0)+INDEX($AT$13:$BB$162,BO3376,0)+INDEX($BD$13:$BL$162,BP3376,0))/100))),0)</f>
        <v/>
      </c>
      <c r="BT3376">
        <f>IF(AND(3363&lt;$U$9,$W$5),BQ3376*1000000-MIN(BR3376,999)*1000+BS3376-3363/100000,-1000000000-3363)</f>
        <v/>
      </c>
    </row>
    <row r="3377">
      <c r="BN3377">
        <f>IF(3364&lt;$U$9,INT(3364/($U$7*$U$8))+1,1)</f>
        <v/>
      </c>
      <c r="BO3377">
        <f>IF(3364&lt;$U$9,MOD(INT(3364/$U$8),$U$7)+1,1)</f>
        <v/>
      </c>
      <c r="BP3377">
        <f>IF(3364&lt;$U$9,MOD(3364,$U$8)+1,1)</f>
        <v/>
      </c>
      <c r="BQ3377">
        <f>IF(3364&lt;$U$9,SUMPRODUCT(($D$10:$L$10&lt;&gt;"")*(($D$9:$L$9+INT(($S$12:$AA$12+INDEX($AJ$13:$AR$162,BN3377,0)+INDEX($AT$13:$BB$162,BO3377,0)+INDEX($BD$13:$BL$162,BP3377,0))/100))&gt;=$D$10:$L$10)),0)</f>
        <v/>
      </c>
      <c r="BR3377">
        <f>IF(3364&lt;$U$9,SUMPRODUCT(($D$10:$L$10&lt;&gt;"")*(($D$10:$L$10-($D$9:$L$9+INT(($S$12:$AA$12+INDEX($AJ$13:$AR$162,BN3377,0)+INDEX($AT$13:$BB$162,BO3377,0)+INDEX($BD$13:$BL$162,BP3377,0))/100)))&gt;0)*($D$10:$L$10-($D$9:$L$9+INT(($S$12:$AA$12+INDEX($AJ$13:$AR$162,BN3377,0)+INDEX($AT$13:$BB$162,BO3377,0)+INDEX($BD$13:$BL$162,BP3377,0))/100)))),0)</f>
        <v/>
      </c>
      <c r="BS3377">
        <f>IF(3364&lt;$U$9,SUMPRODUCT(($D$9:$L$9+INT(($S$12:$AA$12+INDEX($AJ$13:$AR$162,BN3377,0)+INDEX($AT$13:$BB$162,BO3377,0)+INDEX($BD$13:$BL$162,BP3377,0))/100))),0)</f>
        <v/>
      </c>
      <c r="BT3377">
        <f>IF(AND(3364&lt;$U$9,$W$5),BQ3377*1000000-MIN(BR3377,999)*1000+BS3377-3364/100000,-1000000000-3364)</f>
        <v/>
      </c>
    </row>
    <row r="3378">
      <c r="BN3378">
        <f>IF(3365&lt;$U$9,INT(3365/($U$7*$U$8))+1,1)</f>
        <v/>
      </c>
      <c r="BO3378">
        <f>IF(3365&lt;$U$9,MOD(INT(3365/$U$8),$U$7)+1,1)</f>
        <v/>
      </c>
      <c r="BP3378">
        <f>IF(3365&lt;$U$9,MOD(3365,$U$8)+1,1)</f>
        <v/>
      </c>
      <c r="BQ3378">
        <f>IF(3365&lt;$U$9,SUMPRODUCT(($D$10:$L$10&lt;&gt;"")*(($D$9:$L$9+INT(($S$12:$AA$12+INDEX($AJ$13:$AR$162,BN3378,0)+INDEX($AT$13:$BB$162,BO3378,0)+INDEX($BD$13:$BL$162,BP3378,0))/100))&gt;=$D$10:$L$10)),0)</f>
        <v/>
      </c>
      <c r="BR3378">
        <f>IF(3365&lt;$U$9,SUMPRODUCT(($D$10:$L$10&lt;&gt;"")*(($D$10:$L$10-($D$9:$L$9+INT(($S$12:$AA$12+INDEX($AJ$13:$AR$162,BN3378,0)+INDEX($AT$13:$BB$162,BO3378,0)+INDEX($BD$13:$BL$162,BP3378,0))/100)))&gt;0)*($D$10:$L$10-($D$9:$L$9+INT(($S$12:$AA$12+INDEX($AJ$13:$AR$162,BN3378,0)+INDEX($AT$13:$BB$162,BO3378,0)+INDEX($BD$13:$BL$162,BP3378,0))/100)))),0)</f>
        <v/>
      </c>
      <c r="BS3378">
        <f>IF(3365&lt;$U$9,SUMPRODUCT(($D$9:$L$9+INT(($S$12:$AA$12+INDEX($AJ$13:$AR$162,BN3378,0)+INDEX($AT$13:$BB$162,BO3378,0)+INDEX($BD$13:$BL$162,BP3378,0))/100))),0)</f>
        <v/>
      </c>
      <c r="BT3378">
        <f>IF(AND(3365&lt;$U$9,$W$5),BQ3378*1000000-MIN(BR3378,999)*1000+BS3378-3365/100000,-1000000000-3365)</f>
        <v/>
      </c>
    </row>
    <row r="3379">
      <c r="BN3379">
        <f>IF(3366&lt;$U$9,INT(3366/($U$7*$U$8))+1,1)</f>
        <v/>
      </c>
      <c r="BO3379">
        <f>IF(3366&lt;$U$9,MOD(INT(3366/$U$8),$U$7)+1,1)</f>
        <v/>
      </c>
      <c r="BP3379">
        <f>IF(3366&lt;$U$9,MOD(3366,$U$8)+1,1)</f>
        <v/>
      </c>
      <c r="BQ3379">
        <f>IF(3366&lt;$U$9,SUMPRODUCT(($D$10:$L$10&lt;&gt;"")*(($D$9:$L$9+INT(($S$12:$AA$12+INDEX($AJ$13:$AR$162,BN3379,0)+INDEX($AT$13:$BB$162,BO3379,0)+INDEX($BD$13:$BL$162,BP3379,0))/100))&gt;=$D$10:$L$10)),0)</f>
        <v/>
      </c>
      <c r="BR3379">
        <f>IF(3366&lt;$U$9,SUMPRODUCT(($D$10:$L$10&lt;&gt;"")*(($D$10:$L$10-($D$9:$L$9+INT(($S$12:$AA$12+INDEX($AJ$13:$AR$162,BN3379,0)+INDEX($AT$13:$BB$162,BO3379,0)+INDEX($BD$13:$BL$162,BP3379,0))/100)))&gt;0)*($D$10:$L$10-($D$9:$L$9+INT(($S$12:$AA$12+INDEX($AJ$13:$AR$162,BN3379,0)+INDEX($AT$13:$BB$162,BO3379,0)+INDEX($BD$13:$BL$162,BP3379,0))/100)))),0)</f>
        <v/>
      </c>
      <c r="BS3379">
        <f>IF(3366&lt;$U$9,SUMPRODUCT(($D$9:$L$9+INT(($S$12:$AA$12+INDEX($AJ$13:$AR$162,BN3379,0)+INDEX($AT$13:$BB$162,BO3379,0)+INDEX($BD$13:$BL$162,BP3379,0))/100))),0)</f>
        <v/>
      </c>
      <c r="BT3379">
        <f>IF(AND(3366&lt;$U$9,$W$5),BQ3379*1000000-MIN(BR3379,999)*1000+BS3379-3366/100000,-1000000000-3366)</f>
        <v/>
      </c>
    </row>
    <row r="3380">
      <c r="BN3380">
        <f>IF(3367&lt;$U$9,INT(3367/($U$7*$U$8))+1,1)</f>
        <v/>
      </c>
      <c r="BO3380">
        <f>IF(3367&lt;$U$9,MOD(INT(3367/$U$8),$U$7)+1,1)</f>
        <v/>
      </c>
      <c r="BP3380">
        <f>IF(3367&lt;$U$9,MOD(3367,$U$8)+1,1)</f>
        <v/>
      </c>
      <c r="BQ3380">
        <f>IF(3367&lt;$U$9,SUMPRODUCT(($D$10:$L$10&lt;&gt;"")*(($D$9:$L$9+INT(($S$12:$AA$12+INDEX($AJ$13:$AR$162,BN3380,0)+INDEX($AT$13:$BB$162,BO3380,0)+INDEX($BD$13:$BL$162,BP3380,0))/100))&gt;=$D$10:$L$10)),0)</f>
        <v/>
      </c>
      <c r="BR3380">
        <f>IF(3367&lt;$U$9,SUMPRODUCT(($D$10:$L$10&lt;&gt;"")*(($D$10:$L$10-($D$9:$L$9+INT(($S$12:$AA$12+INDEX($AJ$13:$AR$162,BN3380,0)+INDEX($AT$13:$BB$162,BO3380,0)+INDEX($BD$13:$BL$162,BP3380,0))/100)))&gt;0)*($D$10:$L$10-($D$9:$L$9+INT(($S$12:$AA$12+INDEX($AJ$13:$AR$162,BN3380,0)+INDEX($AT$13:$BB$162,BO3380,0)+INDEX($BD$13:$BL$162,BP3380,0))/100)))),0)</f>
        <v/>
      </c>
      <c r="BS3380">
        <f>IF(3367&lt;$U$9,SUMPRODUCT(($D$9:$L$9+INT(($S$12:$AA$12+INDEX($AJ$13:$AR$162,BN3380,0)+INDEX($AT$13:$BB$162,BO3380,0)+INDEX($BD$13:$BL$162,BP3380,0))/100))),0)</f>
        <v/>
      </c>
      <c r="BT3380">
        <f>IF(AND(3367&lt;$U$9,$W$5),BQ3380*1000000-MIN(BR3380,999)*1000+BS3380-3367/100000,-1000000000-3367)</f>
        <v/>
      </c>
    </row>
    <row r="3381">
      <c r="BN3381">
        <f>IF(3368&lt;$U$9,INT(3368/($U$7*$U$8))+1,1)</f>
        <v/>
      </c>
      <c r="BO3381">
        <f>IF(3368&lt;$U$9,MOD(INT(3368/$U$8),$U$7)+1,1)</f>
        <v/>
      </c>
      <c r="BP3381">
        <f>IF(3368&lt;$U$9,MOD(3368,$U$8)+1,1)</f>
        <v/>
      </c>
      <c r="BQ3381">
        <f>IF(3368&lt;$U$9,SUMPRODUCT(($D$10:$L$10&lt;&gt;"")*(($D$9:$L$9+INT(($S$12:$AA$12+INDEX($AJ$13:$AR$162,BN3381,0)+INDEX($AT$13:$BB$162,BO3381,0)+INDEX($BD$13:$BL$162,BP3381,0))/100))&gt;=$D$10:$L$10)),0)</f>
        <v/>
      </c>
      <c r="BR3381">
        <f>IF(3368&lt;$U$9,SUMPRODUCT(($D$10:$L$10&lt;&gt;"")*(($D$10:$L$10-($D$9:$L$9+INT(($S$12:$AA$12+INDEX($AJ$13:$AR$162,BN3381,0)+INDEX($AT$13:$BB$162,BO3381,0)+INDEX($BD$13:$BL$162,BP3381,0))/100)))&gt;0)*($D$10:$L$10-($D$9:$L$9+INT(($S$12:$AA$12+INDEX($AJ$13:$AR$162,BN3381,0)+INDEX($AT$13:$BB$162,BO3381,0)+INDEX($BD$13:$BL$162,BP3381,0))/100)))),0)</f>
        <v/>
      </c>
      <c r="BS3381">
        <f>IF(3368&lt;$U$9,SUMPRODUCT(($D$9:$L$9+INT(($S$12:$AA$12+INDEX($AJ$13:$AR$162,BN3381,0)+INDEX($AT$13:$BB$162,BO3381,0)+INDEX($BD$13:$BL$162,BP3381,0))/100))),0)</f>
        <v/>
      </c>
      <c r="BT3381">
        <f>IF(AND(3368&lt;$U$9,$W$5),BQ3381*1000000-MIN(BR3381,999)*1000+BS3381-3368/100000,-1000000000-3368)</f>
        <v/>
      </c>
    </row>
    <row r="3382">
      <c r="BN3382">
        <f>IF(3369&lt;$U$9,INT(3369/($U$7*$U$8))+1,1)</f>
        <v/>
      </c>
      <c r="BO3382">
        <f>IF(3369&lt;$U$9,MOD(INT(3369/$U$8),$U$7)+1,1)</f>
        <v/>
      </c>
      <c r="BP3382">
        <f>IF(3369&lt;$U$9,MOD(3369,$U$8)+1,1)</f>
        <v/>
      </c>
      <c r="BQ3382">
        <f>IF(3369&lt;$U$9,SUMPRODUCT(($D$10:$L$10&lt;&gt;"")*(($D$9:$L$9+INT(($S$12:$AA$12+INDEX($AJ$13:$AR$162,BN3382,0)+INDEX($AT$13:$BB$162,BO3382,0)+INDEX($BD$13:$BL$162,BP3382,0))/100))&gt;=$D$10:$L$10)),0)</f>
        <v/>
      </c>
      <c r="BR3382">
        <f>IF(3369&lt;$U$9,SUMPRODUCT(($D$10:$L$10&lt;&gt;"")*(($D$10:$L$10-($D$9:$L$9+INT(($S$12:$AA$12+INDEX($AJ$13:$AR$162,BN3382,0)+INDEX($AT$13:$BB$162,BO3382,0)+INDEX($BD$13:$BL$162,BP3382,0))/100)))&gt;0)*($D$10:$L$10-($D$9:$L$9+INT(($S$12:$AA$12+INDEX($AJ$13:$AR$162,BN3382,0)+INDEX($AT$13:$BB$162,BO3382,0)+INDEX($BD$13:$BL$162,BP3382,0))/100)))),0)</f>
        <v/>
      </c>
      <c r="BS3382">
        <f>IF(3369&lt;$U$9,SUMPRODUCT(($D$9:$L$9+INT(($S$12:$AA$12+INDEX($AJ$13:$AR$162,BN3382,0)+INDEX($AT$13:$BB$162,BO3382,0)+INDEX($BD$13:$BL$162,BP3382,0))/100))),0)</f>
        <v/>
      </c>
      <c r="BT3382">
        <f>IF(AND(3369&lt;$U$9,$W$5),BQ3382*1000000-MIN(BR3382,999)*1000+BS3382-3369/100000,-1000000000-3369)</f>
        <v/>
      </c>
    </row>
    <row r="3383">
      <c r="BN3383">
        <f>IF(3370&lt;$U$9,INT(3370/($U$7*$U$8))+1,1)</f>
        <v/>
      </c>
      <c r="BO3383">
        <f>IF(3370&lt;$U$9,MOD(INT(3370/$U$8),$U$7)+1,1)</f>
        <v/>
      </c>
      <c r="BP3383">
        <f>IF(3370&lt;$U$9,MOD(3370,$U$8)+1,1)</f>
        <v/>
      </c>
      <c r="BQ3383">
        <f>IF(3370&lt;$U$9,SUMPRODUCT(($D$10:$L$10&lt;&gt;"")*(($D$9:$L$9+INT(($S$12:$AA$12+INDEX($AJ$13:$AR$162,BN3383,0)+INDEX($AT$13:$BB$162,BO3383,0)+INDEX($BD$13:$BL$162,BP3383,0))/100))&gt;=$D$10:$L$10)),0)</f>
        <v/>
      </c>
      <c r="BR3383">
        <f>IF(3370&lt;$U$9,SUMPRODUCT(($D$10:$L$10&lt;&gt;"")*(($D$10:$L$10-($D$9:$L$9+INT(($S$12:$AA$12+INDEX($AJ$13:$AR$162,BN3383,0)+INDEX($AT$13:$BB$162,BO3383,0)+INDEX($BD$13:$BL$162,BP3383,0))/100)))&gt;0)*($D$10:$L$10-($D$9:$L$9+INT(($S$12:$AA$12+INDEX($AJ$13:$AR$162,BN3383,0)+INDEX($AT$13:$BB$162,BO3383,0)+INDEX($BD$13:$BL$162,BP3383,0))/100)))),0)</f>
        <v/>
      </c>
      <c r="BS3383">
        <f>IF(3370&lt;$U$9,SUMPRODUCT(($D$9:$L$9+INT(($S$12:$AA$12+INDEX($AJ$13:$AR$162,BN3383,0)+INDEX($AT$13:$BB$162,BO3383,0)+INDEX($BD$13:$BL$162,BP3383,0))/100))),0)</f>
        <v/>
      </c>
      <c r="BT3383">
        <f>IF(AND(3370&lt;$U$9,$W$5),BQ3383*1000000-MIN(BR3383,999)*1000+BS3383-3370/100000,-1000000000-3370)</f>
        <v/>
      </c>
    </row>
    <row r="3384">
      <c r="BN3384">
        <f>IF(3371&lt;$U$9,INT(3371/($U$7*$U$8))+1,1)</f>
        <v/>
      </c>
      <c r="BO3384">
        <f>IF(3371&lt;$U$9,MOD(INT(3371/$U$8),$U$7)+1,1)</f>
        <v/>
      </c>
      <c r="BP3384">
        <f>IF(3371&lt;$U$9,MOD(3371,$U$8)+1,1)</f>
        <v/>
      </c>
      <c r="BQ3384">
        <f>IF(3371&lt;$U$9,SUMPRODUCT(($D$10:$L$10&lt;&gt;"")*(($D$9:$L$9+INT(($S$12:$AA$12+INDEX($AJ$13:$AR$162,BN3384,0)+INDEX($AT$13:$BB$162,BO3384,0)+INDEX($BD$13:$BL$162,BP3384,0))/100))&gt;=$D$10:$L$10)),0)</f>
        <v/>
      </c>
      <c r="BR3384">
        <f>IF(3371&lt;$U$9,SUMPRODUCT(($D$10:$L$10&lt;&gt;"")*(($D$10:$L$10-($D$9:$L$9+INT(($S$12:$AA$12+INDEX($AJ$13:$AR$162,BN3384,0)+INDEX($AT$13:$BB$162,BO3384,0)+INDEX($BD$13:$BL$162,BP3384,0))/100)))&gt;0)*($D$10:$L$10-($D$9:$L$9+INT(($S$12:$AA$12+INDEX($AJ$13:$AR$162,BN3384,0)+INDEX($AT$13:$BB$162,BO3384,0)+INDEX($BD$13:$BL$162,BP3384,0))/100)))),0)</f>
        <v/>
      </c>
      <c r="BS3384">
        <f>IF(3371&lt;$U$9,SUMPRODUCT(($D$9:$L$9+INT(($S$12:$AA$12+INDEX($AJ$13:$AR$162,BN3384,0)+INDEX($AT$13:$BB$162,BO3384,0)+INDEX($BD$13:$BL$162,BP3384,0))/100))),0)</f>
        <v/>
      </c>
      <c r="BT3384">
        <f>IF(AND(3371&lt;$U$9,$W$5),BQ3384*1000000-MIN(BR3384,999)*1000+BS3384-3371/100000,-1000000000-3371)</f>
        <v/>
      </c>
    </row>
    <row r="3385">
      <c r="BN3385">
        <f>IF(3372&lt;$U$9,INT(3372/($U$7*$U$8))+1,1)</f>
        <v/>
      </c>
      <c r="BO3385">
        <f>IF(3372&lt;$U$9,MOD(INT(3372/$U$8),$U$7)+1,1)</f>
        <v/>
      </c>
      <c r="BP3385">
        <f>IF(3372&lt;$U$9,MOD(3372,$U$8)+1,1)</f>
        <v/>
      </c>
      <c r="BQ3385">
        <f>IF(3372&lt;$U$9,SUMPRODUCT(($D$10:$L$10&lt;&gt;"")*(($D$9:$L$9+INT(($S$12:$AA$12+INDEX($AJ$13:$AR$162,BN3385,0)+INDEX($AT$13:$BB$162,BO3385,0)+INDEX($BD$13:$BL$162,BP3385,0))/100))&gt;=$D$10:$L$10)),0)</f>
        <v/>
      </c>
      <c r="BR3385">
        <f>IF(3372&lt;$U$9,SUMPRODUCT(($D$10:$L$10&lt;&gt;"")*(($D$10:$L$10-($D$9:$L$9+INT(($S$12:$AA$12+INDEX($AJ$13:$AR$162,BN3385,0)+INDEX($AT$13:$BB$162,BO3385,0)+INDEX($BD$13:$BL$162,BP3385,0))/100)))&gt;0)*($D$10:$L$10-($D$9:$L$9+INT(($S$12:$AA$12+INDEX($AJ$13:$AR$162,BN3385,0)+INDEX($AT$13:$BB$162,BO3385,0)+INDEX($BD$13:$BL$162,BP3385,0))/100)))),0)</f>
        <v/>
      </c>
      <c r="BS3385">
        <f>IF(3372&lt;$U$9,SUMPRODUCT(($D$9:$L$9+INT(($S$12:$AA$12+INDEX($AJ$13:$AR$162,BN3385,0)+INDEX($AT$13:$BB$162,BO3385,0)+INDEX($BD$13:$BL$162,BP3385,0))/100))),0)</f>
        <v/>
      </c>
      <c r="BT3385">
        <f>IF(AND(3372&lt;$U$9,$W$5),BQ3385*1000000-MIN(BR3385,999)*1000+BS3385-3372/100000,-1000000000-3372)</f>
        <v/>
      </c>
    </row>
    <row r="3386">
      <c r="BN3386">
        <f>IF(3373&lt;$U$9,INT(3373/($U$7*$U$8))+1,1)</f>
        <v/>
      </c>
      <c r="BO3386">
        <f>IF(3373&lt;$U$9,MOD(INT(3373/$U$8),$U$7)+1,1)</f>
        <v/>
      </c>
      <c r="BP3386">
        <f>IF(3373&lt;$U$9,MOD(3373,$U$8)+1,1)</f>
        <v/>
      </c>
      <c r="BQ3386">
        <f>IF(3373&lt;$U$9,SUMPRODUCT(($D$10:$L$10&lt;&gt;"")*(($D$9:$L$9+INT(($S$12:$AA$12+INDEX($AJ$13:$AR$162,BN3386,0)+INDEX($AT$13:$BB$162,BO3386,0)+INDEX($BD$13:$BL$162,BP3386,0))/100))&gt;=$D$10:$L$10)),0)</f>
        <v/>
      </c>
      <c r="BR3386">
        <f>IF(3373&lt;$U$9,SUMPRODUCT(($D$10:$L$10&lt;&gt;"")*(($D$10:$L$10-($D$9:$L$9+INT(($S$12:$AA$12+INDEX($AJ$13:$AR$162,BN3386,0)+INDEX($AT$13:$BB$162,BO3386,0)+INDEX($BD$13:$BL$162,BP3386,0))/100)))&gt;0)*($D$10:$L$10-($D$9:$L$9+INT(($S$12:$AA$12+INDEX($AJ$13:$AR$162,BN3386,0)+INDEX($AT$13:$BB$162,BO3386,0)+INDEX($BD$13:$BL$162,BP3386,0))/100)))),0)</f>
        <v/>
      </c>
      <c r="BS3386">
        <f>IF(3373&lt;$U$9,SUMPRODUCT(($D$9:$L$9+INT(($S$12:$AA$12+INDEX($AJ$13:$AR$162,BN3386,0)+INDEX($AT$13:$BB$162,BO3386,0)+INDEX($BD$13:$BL$162,BP3386,0))/100))),0)</f>
        <v/>
      </c>
      <c r="BT3386">
        <f>IF(AND(3373&lt;$U$9,$W$5),BQ3386*1000000-MIN(BR3386,999)*1000+BS3386-3373/100000,-1000000000-3373)</f>
        <v/>
      </c>
    </row>
    <row r="3387">
      <c r="BN3387">
        <f>IF(3374&lt;$U$9,INT(3374/($U$7*$U$8))+1,1)</f>
        <v/>
      </c>
      <c r="BO3387">
        <f>IF(3374&lt;$U$9,MOD(INT(3374/$U$8),$U$7)+1,1)</f>
        <v/>
      </c>
      <c r="BP3387">
        <f>IF(3374&lt;$U$9,MOD(3374,$U$8)+1,1)</f>
        <v/>
      </c>
      <c r="BQ3387">
        <f>IF(3374&lt;$U$9,SUMPRODUCT(($D$10:$L$10&lt;&gt;"")*(($D$9:$L$9+INT(($S$12:$AA$12+INDEX($AJ$13:$AR$162,BN3387,0)+INDEX($AT$13:$BB$162,BO3387,0)+INDEX($BD$13:$BL$162,BP3387,0))/100))&gt;=$D$10:$L$10)),0)</f>
        <v/>
      </c>
      <c r="BR3387">
        <f>IF(3374&lt;$U$9,SUMPRODUCT(($D$10:$L$10&lt;&gt;"")*(($D$10:$L$10-($D$9:$L$9+INT(($S$12:$AA$12+INDEX($AJ$13:$AR$162,BN3387,0)+INDEX($AT$13:$BB$162,BO3387,0)+INDEX($BD$13:$BL$162,BP3387,0))/100)))&gt;0)*($D$10:$L$10-($D$9:$L$9+INT(($S$12:$AA$12+INDEX($AJ$13:$AR$162,BN3387,0)+INDEX($AT$13:$BB$162,BO3387,0)+INDEX($BD$13:$BL$162,BP3387,0))/100)))),0)</f>
        <v/>
      </c>
      <c r="BS3387">
        <f>IF(3374&lt;$U$9,SUMPRODUCT(($D$9:$L$9+INT(($S$12:$AA$12+INDEX($AJ$13:$AR$162,BN3387,0)+INDEX($AT$13:$BB$162,BO3387,0)+INDEX($BD$13:$BL$162,BP3387,0))/100))),0)</f>
        <v/>
      </c>
      <c r="BT3387">
        <f>IF(AND(3374&lt;$U$9,$W$5),BQ3387*1000000-MIN(BR3387,999)*1000+BS3387-3374/100000,-1000000000-3374)</f>
        <v/>
      </c>
    </row>
    <row r="3388">
      <c r="BN3388">
        <f>IF(3375&lt;$U$9,INT(3375/($U$7*$U$8))+1,1)</f>
        <v/>
      </c>
      <c r="BO3388">
        <f>IF(3375&lt;$U$9,MOD(INT(3375/$U$8),$U$7)+1,1)</f>
        <v/>
      </c>
      <c r="BP3388">
        <f>IF(3375&lt;$U$9,MOD(3375,$U$8)+1,1)</f>
        <v/>
      </c>
      <c r="BQ3388">
        <f>IF(3375&lt;$U$9,SUMPRODUCT(($D$10:$L$10&lt;&gt;"")*(($D$9:$L$9+INT(($S$12:$AA$12+INDEX($AJ$13:$AR$162,BN3388,0)+INDEX($AT$13:$BB$162,BO3388,0)+INDEX($BD$13:$BL$162,BP3388,0))/100))&gt;=$D$10:$L$10)),0)</f>
        <v/>
      </c>
      <c r="BR3388">
        <f>IF(3375&lt;$U$9,SUMPRODUCT(($D$10:$L$10&lt;&gt;"")*(($D$10:$L$10-($D$9:$L$9+INT(($S$12:$AA$12+INDEX($AJ$13:$AR$162,BN3388,0)+INDEX($AT$13:$BB$162,BO3388,0)+INDEX($BD$13:$BL$162,BP3388,0))/100)))&gt;0)*($D$10:$L$10-($D$9:$L$9+INT(($S$12:$AA$12+INDEX($AJ$13:$AR$162,BN3388,0)+INDEX($AT$13:$BB$162,BO3388,0)+INDEX($BD$13:$BL$162,BP3388,0))/100)))),0)</f>
        <v/>
      </c>
      <c r="BS3388">
        <f>IF(3375&lt;$U$9,SUMPRODUCT(($D$9:$L$9+INT(($S$12:$AA$12+INDEX($AJ$13:$AR$162,BN3388,0)+INDEX($AT$13:$BB$162,BO3388,0)+INDEX($BD$13:$BL$162,BP3388,0))/100))),0)</f>
        <v/>
      </c>
      <c r="BT3388">
        <f>IF(AND(3375&lt;$U$9,$W$5),BQ3388*1000000-MIN(BR3388,999)*1000+BS3388-3375/100000,-1000000000-3375)</f>
        <v/>
      </c>
    </row>
    <row r="3389">
      <c r="BN3389">
        <f>IF(3376&lt;$U$9,INT(3376/($U$7*$U$8))+1,1)</f>
        <v/>
      </c>
      <c r="BO3389">
        <f>IF(3376&lt;$U$9,MOD(INT(3376/$U$8),$U$7)+1,1)</f>
        <v/>
      </c>
      <c r="BP3389">
        <f>IF(3376&lt;$U$9,MOD(3376,$U$8)+1,1)</f>
        <v/>
      </c>
      <c r="BQ3389">
        <f>IF(3376&lt;$U$9,SUMPRODUCT(($D$10:$L$10&lt;&gt;"")*(($D$9:$L$9+INT(($S$12:$AA$12+INDEX($AJ$13:$AR$162,BN3389,0)+INDEX($AT$13:$BB$162,BO3389,0)+INDEX($BD$13:$BL$162,BP3389,0))/100))&gt;=$D$10:$L$10)),0)</f>
        <v/>
      </c>
      <c r="BR3389">
        <f>IF(3376&lt;$U$9,SUMPRODUCT(($D$10:$L$10&lt;&gt;"")*(($D$10:$L$10-($D$9:$L$9+INT(($S$12:$AA$12+INDEX($AJ$13:$AR$162,BN3389,0)+INDEX($AT$13:$BB$162,BO3389,0)+INDEX($BD$13:$BL$162,BP3389,0))/100)))&gt;0)*($D$10:$L$10-($D$9:$L$9+INT(($S$12:$AA$12+INDEX($AJ$13:$AR$162,BN3389,0)+INDEX($AT$13:$BB$162,BO3389,0)+INDEX($BD$13:$BL$162,BP3389,0))/100)))),0)</f>
        <v/>
      </c>
      <c r="BS3389">
        <f>IF(3376&lt;$U$9,SUMPRODUCT(($D$9:$L$9+INT(($S$12:$AA$12+INDEX($AJ$13:$AR$162,BN3389,0)+INDEX($AT$13:$BB$162,BO3389,0)+INDEX($BD$13:$BL$162,BP3389,0))/100))),0)</f>
        <v/>
      </c>
      <c r="BT3389">
        <f>IF(AND(3376&lt;$U$9,$W$5),BQ3389*1000000-MIN(BR3389,999)*1000+BS3389-3376/100000,-1000000000-3376)</f>
        <v/>
      </c>
    </row>
    <row r="3390">
      <c r="BN3390">
        <f>IF(3377&lt;$U$9,INT(3377/($U$7*$U$8))+1,1)</f>
        <v/>
      </c>
      <c r="BO3390">
        <f>IF(3377&lt;$U$9,MOD(INT(3377/$U$8),$U$7)+1,1)</f>
        <v/>
      </c>
      <c r="BP3390">
        <f>IF(3377&lt;$U$9,MOD(3377,$U$8)+1,1)</f>
        <v/>
      </c>
      <c r="BQ3390">
        <f>IF(3377&lt;$U$9,SUMPRODUCT(($D$10:$L$10&lt;&gt;"")*(($D$9:$L$9+INT(($S$12:$AA$12+INDEX($AJ$13:$AR$162,BN3390,0)+INDEX($AT$13:$BB$162,BO3390,0)+INDEX($BD$13:$BL$162,BP3390,0))/100))&gt;=$D$10:$L$10)),0)</f>
        <v/>
      </c>
      <c r="BR3390">
        <f>IF(3377&lt;$U$9,SUMPRODUCT(($D$10:$L$10&lt;&gt;"")*(($D$10:$L$10-($D$9:$L$9+INT(($S$12:$AA$12+INDEX($AJ$13:$AR$162,BN3390,0)+INDEX($AT$13:$BB$162,BO3390,0)+INDEX($BD$13:$BL$162,BP3390,0))/100)))&gt;0)*($D$10:$L$10-($D$9:$L$9+INT(($S$12:$AA$12+INDEX($AJ$13:$AR$162,BN3390,0)+INDEX($AT$13:$BB$162,BO3390,0)+INDEX($BD$13:$BL$162,BP3390,0))/100)))),0)</f>
        <v/>
      </c>
      <c r="BS3390">
        <f>IF(3377&lt;$U$9,SUMPRODUCT(($D$9:$L$9+INT(($S$12:$AA$12+INDEX($AJ$13:$AR$162,BN3390,0)+INDEX($AT$13:$BB$162,BO3390,0)+INDEX($BD$13:$BL$162,BP3390,0))/100))),0)</f>
        <v/>
      </c>
      <c r="BT3390">
        <f>IF(AND(3377&lt;$U$9,$W$5),BQ3390*1000000-MIN(BR3390,999)*1000+BS3390-3377/100000,-1000000000-3377)</f>
        <v/>
      </c>
    </row>
    <row r="3391">
      <c r="BN3391">
        <f>IF(3378&lt;$U$9,INT(3378/($U$7*$U$8))+1,1)</f>
        <v/>
      </c>
      <c r="BO3391">
        <f>IF(3378&lt;$U$9,MOD(INT(3378/$U$8),$U$7)+1,1)</f>
        <v/>
      </c>
      <c r="BP3391">
        <f>IF(3378&lt;$U$9,MOD(3378,$U$8)+1,1)</f>
        <v/>
      </c>
      <c r="BQ3391">
        <f>IF(3378&lt;$U$9,SUMPRODUCT(($D$10:$L$10&lt;&gt;"")*(($D$9:$L$9+INT(($S$12:$AA$12+INDEX($AJ$13:$AR$162,BN3391,0)+INDEX($AT$13:$BB$162,BO3391,0)+INDEX($BD$13:$BL$162,BP3391,0))/100))&gt;=$D$10:$L$10)),0)</f>
        <v/>
      </c>
      <c r="BR3391">
        <f>IF(3378&lt;$U$9,SUMPRODUCT(($D$10:$L$10&lt;&gt;"")*(($D$10:$L$10-($D$9:$L$9+INT(($S$12:$AA$12+INDEX($AJ$13:$AR$162,BN3391,0)+INDEX($AT$13:$BB$162,BO3391,0)+INDEX($BD$13:$BL$162,BP3391,0))/100)))&gt;0)*($D$10:$L$10-($D$9:$L$9+INT(($S$12:$AA$12+INDEX($AJ$13:$AR$162,BN3391,0)+INDEX($AT$13:$BB$162,BO3391,0)+INDEX($BD$13:$BL$162,BP3391,0))/100)))),0)</f>
        <v/>
      </c>
      <c r="BS3391">
        <f>IF(3378&lt;$U$9,SUMPRODUCT(($D$9:$L$9+INT(($S$12:$AA$12+INDEX($AJ$13:$AR$162,BN3391,0)+INDEX($AT$13:$BB$162,BO3391,0)+INDEX($BD$13:$BL$162,BP3391,0))/100))),0)</f>
        <v/>
      </c>
      <c r="BT3391">
        <f>IF(AND(3378&lt;$U$9,$W$5),BQ3391*1000000-MIN(BR3391,999)*1000+BS3391-3378/100000,-1000000000-3378)</f>
        <v/>
      </c>
    </row>
    <row r="3392">
      <c r="BN3392">
        <f>IF(3379&lt;$U$9,INT(3379/($U$7*$U$8))+1,1)</f>
        <v/>
      </c>
      <c r="BO3392">
        <f>IF(3379&lt;$U$9,MOD(INT(3379/$U$8),$U$7)+1,1)</f>
        <v/>
      </c>
      <c r="BP3392">
        <f>IF(3379&lt;$U$9,MOD(3379,$U$8)+1,1)</f>
        <v/>
      </c>
      <c r="BQ3392">
        <f>IF(3379&lt;$U$9,SUMPRODUCT(($D$10:$L$10&lt;&gt;"")*(($D$9:$L$9+INT(($S$12:$AA$12+INDEX($AJ$13:$AR$162,BN3392,0)+INDEX($AT$13:$BB$162,BO3392,0)+INDEX($BD$13:$BL$162,BP3392,0))/100))&gt;=$D$10:$L$10)),0)</f>
        <v/>
      </c>
      <c r="BR3392">
        <f>IF(3379&lt;$U$9,SUMPRODUCT(($D$10:$L$10&lt;&gt;"")*(($D$10:$L$10-($D$9:$L$9+INT(($S$12:$AA$12+INDEX($AJ$13:$AR$162,BN3392,0)+INDEX($AT$13:$BB$162,BO3392,0)+INDEX($BD$13:$BL$162,BP3392,0))/100)))&gt;0)*($D$10:$L$10-($D$9:$L$9+INT(($S$12:$AA$12+INDEX($AJ$13:$AR$162,BN3392,0)+INDEX($AT$13:$BB$162,BO3392,0)+INDEX($BD$13:$BL$162,BP3392,0))/100)))),0)</f>
        <v/>
      </c>
      <c r="BS3392">
        <f>IF(3379&lt;$U$9,SUMPRODUCT(($D$9:$L$9+INT(($S$12:$AA$12+INDEX($AJ$13:$AR$162,BN3392,0)+INDEX($AT$13:$BB$162,BO3392,0)+INDEX($BD$13:$BL$162,BP3392,0))/100))),0)</f>
        <v/>
      </c>
      <c r="BT3392">
        <f>IF(AND(3379&lt;$U$9,$W$5),BQ3392*1000000-MIN(BR3392,999)*1000+BS3392-3379/100000,-1000000000-3379)</f>
        <v/>
      </c>
    </row>
    <row r="3393">
      <c r="BN3393">
        <f>IF(3380&lt;$U$9,INT(3380/($U$7*$U$8))+1,1)</f>
        <v/>
      </c>
      <c r="BO3393">
        <f>IF(3380&lt;$U$9,MOD(INT(3380/$U$8),$U$7)+1,1)</f>
        <v/>
      </c>
      <c r="BP3393">
        <f>IF(3380&lt;$U$9,MOD(3380,$U$8)+1,1)</f>
        <v/>
      </c>
      <c r="BQ3393">
        <f>IF(3380&lt;$U$9,SUMPRODUCT(($D$10:$L$10&lt;&gt;"")*(($D$9:$L$9+INT(($S$12:$AA$12+INDEX($AJ$13:$AR$162,BN3393,0)+INDEX($AT$13:$BB$162,BO3393,0)+INDEX($BD$13:$BL$162,BP3393,0))/100))&gt;=$D$10:$L$10)),0)</f>
        <v/>
      </c>
      <c r="BR3393">
        <f>IF(3380&lt;$U$9,SUMPRODUCT(($D$10:$L$10&lt;&gt;"")*(($D$10:$L$10-($D$9:$L$9+INT(($S$12:$AA$12+INDEX($AJ$13:$AR$162,BN3393,0)+INDEX($AT$13:$BB$162,BO3393,0)+INDEX($BD$13:$BL$162,BP3393,0))/100)))&gt;0)*($D$10:$L$10-($D$9:$L$9+INT(($S$12:$AA$12+INDEX($AJ$13:$AR$162,BN3393,0)+INDEX($AT$13:$BB$162,BO3393,0)+INDEX($BD$13:$BL$162,BP3393,0))/100)))),0)</f>
        <v/>
      </c>
      <c r="BS3393">
        <f>IF(3380&lt;$U$9,SUMPRODUCT(($D$9:$L$9+INT(($S$12:$AA$12+INDEX($AJ$13:$AR$162,BN3393,0)+INDEX($AT$13:$BB$162,BO3393,0)+INDEX($BD$13:$BL$162,BP3393,0))/100))),0)</f>
        <v/>
      </c>
      <c r="BT3393">
        <f>IF(AND(3380&lt;$U$9,$W$5),BQ3393*1000000-MIN(BR3393,999)*1000+BS3393-3380/100000,-1000000000-3380)</f>
        <v/>
      </c>
    </row>
    <row r="3394">
      <c r="BN3394">
        <f>IF(3381&lt;$U$9,INT(3381/($U$7*$U$8))+1,1)</f>
        <v/>
      </c>
      <c r="BO3394">
        <f>IF(3381&lt;$U$9,MOD(INT(3381/$U$8),$U$7)+1,1)</f>
        <v/>
      </c>
      <c r="BP3394">
        <f>IF(3381&lt;$U$9,MOD(3381,$U$8)+1,1)</f>
        <v/>
      </c>
      <c r="BQ3394">
        <f>IF(3381&lt;$U$9,SUMPRODUCT(($D$10:$L$10&lt;&gt;"")*(($D$9:$L$9+INT(($S$12:$AA$12+INDEX($AJ$13:$AR$162,BN3394,0)+INDEX($AT$13:$BB$162,BO3394,0)+INDEX($BD$13:$BL$162,BP3394,0))/100))&gt;=$D$10:$L$10)),0)</f>
        <v/>
      </c>
      <c r="BR3394">
        <f>IF(3381&lt;$U$9,SUMPRODUCT(($D$10:$L$10&lt;&gt;"")*(($D$10:$L$10-($D$9:$L$9+INT(($S$12:$AA$12+INDEX($AJ$13:$AR$162,BN3394,0)+INDEX($AT$13:$BB$162,BO3394,0)+INDEX($BD$13:$BL$162,BP3394,0))/100)))&gt;0)*($D$10:$L$10-($D$9:$L$9+INT(($S$12:$AA$12+INDEX($AJ$13:$AR$162,BN3394,0)+INDEX($AT$13:$BB$162,BO3394,0)+INDEX($BD$13:$BL$162,BP3394,0))/100)))),0)</f>
        <v/>
      </c>
      <c r="BS3394">
        <f>IF(3381&lt;$U$9,SUMPRODUCT(($D$9:$L$9+INT(($S$12:$AA$12+INDEX($AJ$13:$AR$162,BN3394,0)+INDEX($AT$13:$BB$162,BO3394,0)+INDEX($BD$13:$BL$162,BP3394,0))/100))),0)</f>
        <v/>
      </c>
      <c r="BT3394">
        <f>IF(AND(3381&lt;$U$9,$W$5),BQ3394*1000000-MIN(BR3394,999)*1000+BS3394-3381/100000,-1000000000-3381)</f>
        <v/>
      </c>
    </row>
    <row r="3395">
      <c r="BN3395">
        <f>IF(3382&lt;$U$9,INT(3382/($U$7*$U$8))+1,1)</f>
        <v/>
      </c>
      <c r="BO3395">
        <f>IF(3382&lt;$U$9,MOD(INT(3382/$U$8),$U$7)+1,1)</f>
        <v/>
      </c>
      <c r="BP3395">
        <f>IF(3382&lt;$U$9,MOD(3382,$U$8)+1,1)</f>
        <v/>
      </c>
      <c r="BQ3395">
        <f>IF(3382&lt;$U$9,SUMPRODUCT(($D$10:$L$10&lt;&gt;"")*(($D$9:$L$9+INT(($S$12:$AA$12+INDEX($AJ$13:$AR$162,BN3395,0)+INDEX($AT$13:$BB$162,BO3395,0)+INDEX($BD$13:$BL$162,BP3395,0))/100))&gt;=$D$10:$L$10)),0)</f>
        <v/>
      </c>
      <c r="BR3395">
        <f>IF(3382&lt;$U$9,SUMPRODUCT(($D$10:$L$10&lt;&gt;"")*(($D$10:$L$10-($D$9:$L$9+INT(($S$12:$AA$12+INDEX($AJ$13:$AR$162,BN3395,0)+INDEX($AT$13:$BB$162,BO3395,0)+INDEX($BD$13:$BL$162,BP3395,0))/100)))&gt;0)*($D$10:$L$10-($D$9:$L$9+INT(($S$12:$AA$12+INDEX($AJ$13:$AR$162,BN3395,0)+INDEX($AT$13:$BB$162,BO3395,0)+INDEX($BD$13:$BL$162,BP3395,0))/100)))),0)</f>
        <v/>
      </c>
      <c r="BS3395">
        <f>IF(3382&lt;$U$9,SUMPRODUCT(($D$9:$L$9+INT(($S$12:$AA$12+INDEX($AJ$13:$AR$162,BN3395,0)+INDEX($AT$13:$BB$162,BO3395,0)+INDEX($BD$13:$BL$162,BP3395,0))/100))),0)</f>
        <v/>
      </c>
      <c r="BT3395">
        <f>IF(AND(3382&lt;$U$9,$W$5),BQ3395*1000000-MIN(BR3395,999)*1000+BS3395-3382/100000,-1000000000-3382)</f>
        <v/>
      </c>
    </row>
    <row r="3396">
      <c r="BN3396">
        <f>IF(3383&lt;$U$9,INT(3383/($U$7*$U$8))+1,1)</f>
        <v/>
      </c>
      <c r="BO3396">
        <f>IF(3383&lt;$U$9,MOD(INT(3383/$U$8),$U$7)+1,1)</f>
        <v/>
      </c>
      <c r="BP3396">
        <f>IF(3383&lt;$U$9,MOD(3383,$U$8)+1,1)</f>
        <v/>
      </c>
      <c r="BQ3396">
        <f>IF(3383&lt;$U$9,SUMPRODUCT(($D$10:$L$10&lt;&gt;"")*(($D$9:$L$9+INT(($S$12:$AA$12+INDEX($AJ$13:$AR$162,BN3396,0)+INDEX($AT$13:$BB$162,BO3396,0)+INDEX($BD$13:$BL$162,BP3396,0))/100))&gt;=$D$10:$L$10)),0)</f>
        <v/>
      </c>
      <c r="BR3396">
        <f>IF(3383&lt;$U$9,SUMPRODUCT(($D$10:$L$10&lt;&gt;"")*(($D$10:$L$10-($D$9:$L$9+INT(($S$12:$AA$12+INDEX($AJ$13:$AR$162,BN3396,0)+INDEX($AT$13:$BB$162,BO3396,0)+INDEX($BD$13:$BL$162,BP3396,0))/100)))&gt;0)*($D$10:$L$10-($D$9:$L$9+INT(($S$12:$AA$12+INDEX($AJ$13:$AR$162,BN3396,0)+INDEX($AT$13:$BB$162,BO3396,0)+INDEX($BD$13:$BL$162,BP3396,0))/100)))),0)</f>
        <v/>
      </c>
      <c r="BS3396">
        <f>IF(3383&lt;$U$9,SUMPRODUCT(($D$9:$L$9+INT(($S$12:$AA$12+INDEX($AJ$13:$AR$162,BN3396,0)+INDEX($AT$13:$BB$162,BO3396,0)+INDEX($BD$13:$BL$162,BP3396,0))/100))),0)</f>
        <v/>
      </c>
      <c r="BT3396">
        <f>IF(AND(3383&lt;$U$9,$W$5),BQ3396*1000000-MIN(BR3396,999)*1000+BS3396-3383/100000,-1000000000-3383)</f>
        <v/>
      </c>
    </row>
    <row r="3397">
      <c r="BN3397">
        <f>IF(3384&lt;$U$9,INT(3384/($U$7*$U$8))+1,1)</f>
        <v/>
      </c>
      <c r="BO3397">
        <f>IF(3384&lt;$U$9,MOD(INT(3384/$U$8),$U$7)+1,1)</f>
        <v/>
      </c>
      <c r="BP3397">
        <f>IF(3384&lt;$U$9,MOD(3384,$U$8)+1,1)</f>
        <v/>
      </c>
      <c r="BQ3397">
        <f>IF(3384&lt;$U$9,SUMPRODUCT(($D$10:$L$10&lt;&gt;"")*(($D$9:$L$9+INT(($S$12:$AA$12+INDEX($AJ$13:$AR$162,BN3397,0)+INDEX($AT$13:$BB$162,BO3397,0)+INDEX($BD$13:$BL$162,BP3397,0))/100))&gt;=$D$10:$L$10)),0)</f>
        <v/>
      </c>
      <c r="BR3397">
        <f>IF(3384&lt;$U$9,SUMPRODUCT(($D$10:$L$10&lt;&gt;"")*(($D$10:$L$10-($D$9:$L$9+INT(($S$12:$AA$12+INDEX($AJ$13:$AR$162,BN3397,0)+INDEX($AT$13:$BB$162,BO3397,0)+INDEX($BD$13:$BL$162,BP3397,0))/100)))&gt;0)*($D$10:$L$10-($D$9:$L$9+INT(($S$12:$AA$12+INDEX($AJ$13:$AR$162,BN3397,0)+INDEX($AT$13:$BB$162,BO3397,0)+INDEX($BD$13:$BL$162,BP3397,0))/100)))),0)</f>
        <v/>
      </c>
      <c r="BS3397">
        <f>IF(3384&lt;$U$9,SUMPRODUCT(($D$9:$L$9+INT(($S$12:$AA$12+INDEX($AJ$13:$AR$162,BN3397,0)+INDEX($AT$13:$BB$162,BO3397,0)+INDEX($BD$13:$BL$162,BP3397,0))/100))),0)</f>
        <v/>
      </c>
      <c r="BT3397">
        <f>IF(AND(3384&lt;$U$9,$W$5),BQ3397*1000000-MIN(BR3397,999)*1000+BS3397-3384/100000,-1000000000-3384)</f>
        <v/>
      </c>
    </row>
    <row r="3398">
      <c r="BN3398">
        <f>IF(3385&lt;$U$9,INT(3385/($U$7*$U$8))+1,1)</f>
        <v/>
      </c>
      <c r="BO3398">
        <f>IF(3385&lt;$U$9,MOD(INT(3385/$U$8),$U$7)+1,1)</f>
        <v/>
      </c>
      <c r="BP3398">
        <f>IF(3385&lt;$U$9,MOD(3385,$U$8)+1,1)</f>
        <v/>
      </c>
      <c r="BQ3398">
        <f>IF(3385&lt;$U$9,SUMPRODUCT(($D$10:$L$10&lt;&gt;"")*(($D$9:$L$9+INT(($S$12:$AA$12+INDEX($AJ$13:$AR$162,BN3398,0)+INDEX($AT$13:$BB$162,BO3398,0)+INDEX($BD$13:$BL$162,BP3398,0))/100))&gt;=$D$10:$L$10)),0)</f>
        <v/>
      </c>
      <c r="BR3398">
        <f>IF(3385&lt;$U$9,SUMPRODUCT(($D$10:$L$10&lt;&gt;"")*(($D$10:$L$10-($D$9:$L$9+INT(($S$12:$AA$12+INDEX($AJ$13:$AR$162,BN3398,0)+INDEX($AT$13:$BB$162,BO3398,0)+INDEX($BD$13:$BL$162,BP3398,0))/100)))&gt;0)*($D$10:$L$10-($D$9:$L$9+INT(($S$12:$AA$12+INDEX($AJ$13:$AR$162,BN3398,0)+INDEX($AT$13:$BB$162,BO3398,0)+INDEX($BD$13:$BL$162,BP3398,0))/100)))),0)</f>
        <v/>
      </c>
      <c r="BS3398">
        <f>IF(3385&lt;$U$9,SUMPRODUCT(($D$9:$L$9+INT(($S$12:$AA$12+INDEX($AJ$13:$AR$162,BN3398,0)+INDEX($AT$13:$BB$162,BO3398,0)+INDEX($BD$13:$BL$162,BP3398,0))/100))),0)</f>
        <v/>
      </c>
      <c r="BT3398">
        <f>IF(AND(3385&lt;$U$9,$W$5),BQ3398*1000000-MIN(BR3398,999)*1000+BS3398-3385/100000,-1000000000-3385)</f>
        <v/>
      </c>
    </row>
    <row r="3399">
      <c r="BN3399">
        <f>IF(3386&lt;$U$9,INT(3386/($U$7*$U$8))+1,1)</f>
        <v/>
      </c>
      <c r="BO3399">
        <f>IF(3386&lt;$U$9,MOD(INT(3386/$U$8),$U$7)+1,1)</f>
        <v/>
      </c>
      <c r="BP3399">
        <f>IF(3386&lt;$U$9,MOD(3386,$U$8)+1,1)</f>
        <v/>
      </c>
      <c r="BQ3399">
        <f>IF(3386&lt;$U$9,SUMPRODUCT(($D$10:$L$10&lt;&gt;"")*(($D$9:$L$9+INT(($S$12:$AA$12+INDEX($AJ$13:$AR$162,BN3399,0)+INDEX($AT$13:$BB$162,BO3399,0)+INDEX($BD$13:$BL$162,BP3399,0))/100))&gt;=$D$10:$L$10)),0)</f>
        <v/>
      </c>
      <c r="BR3399">
        <f>IF(3386&lt;$U$9,SUMPRODUCT(($D$10:$L$10&lt;&gt;"")*(($D$10:$L$10-($D$9:$L$9+INT(($S$12:$AA$12+INDEX($AJ$13:$AR$162,BN3399,0)+INDEX($AT$13:$BB$162,BO3399,0)+INDEX($BD$13:$BL$162,BP3399,0))/100)))&gt;0)*($D$10:$L$10-($D$9:$L$9+INT(($S$12:$AA$12+INDEX($AJ$13:$AR$162,BN3399,0)+INDEX($AT$13:$BB$162,BO3399,0)+INDEX($BD$13:$BL$162,BP3399,0))/100)))),0)</f>
        <v/>
      </c>
      <c r="BS3399">
        <f>IF(3386&lt;$U$9,SUMPRODUCT(($D$9:$L$9+INT(($S$12:$AA$12+INDEX($AJ$13:$AR$162,BN3399,0)+INDEX($AT$13:$BB$162,BO3399,0)+INDEX($BD$13:$BL$162,BP3399,0))/100))),0)</f>
        <v/>
      </c>
      <c r="BT3399">
        <f>IF(AND(3386&lt;$U$9,$W$5),BQ3399*1000000-MIN(BR3399,999)*1000+BS3399-3386/100000,-1000000000-3386)</f>
        <v/>
      </c>
    </row>
    <row r="3400">
      <c r="BN3400">
        <f>IF(3387&lt;$U$9,INT(3387/($U$7*$U$8))+1,1)</f>
        <v/>
      </c>
      <c r="BO3400">
        <f>IF(3387&lt;$U$9,MOD(INT(3387/$U$8),$U$7)+1,1)</f>
        <v/>
      </c>
      <c r="BP3400">
        <f>IF(3387&lt;$U$9,MOD(3387,$U$8)+1,1)</f>
        <v/>
      </c>
      <c r="BQ3400">
        <f>IF(3387&lt;$U$9,SUMPRODUCT(($D$10:$L$10&lt;&gt;"")*(($D$9:$L$9+INT(($S$12:$AA$12+INDEX($AJ$13:$AR$162,BN3400,0)+INDEX($AT$13:$BB$162,BO3400,0)+INDEX($BD$13:$BL$162,BP3400,0))/100))&gt;=$D$10:$L$10)),0)</f>
        <v/>
      </c>
      <c r="BR3400">
        <f>IF(3387&lt;$U$9,SUMPRODUCT(($D$10:$L$10&lt;&gt;"")*(($D$10:$L$10-($D$9:$L$9+INT(($S$12:$AA$12+INDEX($AJ$13:$AR$162,BN3400,0)+INDEX($AT$13:$BB$162,BO3400,0)+INDEX($BD$13:$BL$162,BP3400,0))/100)))&gt;0)*($D$10:$L$10-($D$9:$L$9+INT(($S$12:$AA$12+INDEX($AJ$13:$AR$162,BN3400,0)+INDEX($AT$13:$BB$162,BO3400,0)+INDEX($BD$13:$BL$162,BP3400,0))/100)))),0)</f>
        <v/>
      </c>
      <c r="BS3400">
        <f>IF(3387&lt;$U$9,SUMPRODUCT(($D$9:$L$9+INT(($S$12:$AA$12+INDEX($AJ$13:$AR$162,BN3400,0)+INDEX($AT$13:$BB$162,BO3400,0)+INDEX($BD$13:$BL$162,BP3400,0))/100))),0)</f>
        <v/>
      </c>
      <c r="BT3400">
        <f>IF(AND(3387&lt;$U$9,$W$5),BQ3400*1000000-MIN(BR3400,999)*1000+BS3400-3387/100000,-1000000000-3387)</f>
        <v/>
      </c>
    </row>
    <row r="3401">
      <c r="BN3401">
        <f>IF(3388&lt;$U$9,INT(3388/($U$7*$U$8))+1,1)</f>
        <v/>
      </c>
      <c r="BO3401">
        <f>IF(3388&lt;$U$9,MOD(INT(3388/$U$8),$U$7)+1,1)</f>
        <v/>
      </c>
      <c r="BP3401">
        <f>IF(3388&lt;$U$9,MOD(3388,$U$8)+1,1)</f>
        <v/>
      </c>
      <c r="BQ3401">
        <f>IF(3388&lt;$U$9,SUMPRODUCT(($D$10:$L$10&lt;&gt;"")*(($D$9:$L$9+INT(($S$12:$AA$12+INDEX($AJ$13:$AR$162,BN3401,0)+INDEX($AT$13:$BB$162,BO3401,0)+INDEX($BD$13:$BL$162,BP3401,0))/100))&gt;=$D$10:$L$10)),0)</f>
        <v/>
      </c>
      <c r="BR3401">
        <f>IF(3388&lt;$U$9,SUMPRODUCT(($D$10:$L$10&lt;&gt;"")*(($D$10:$L$10-($D$9:$L$9+INT(($S$12:$AA$12+INDEX($AJ$13:$AR$162,BN3401,0)+INDEX($AT$13:$BB$162,BO3401,0)+INDEX($BD$13:$BL$162,BP3401,0))/100)))&gt;0)*($D$10:$L$10-($D$9:$L$9+INT(($S$12:$AA$12+INDEX($AJ$13:$AR$162,BN3401,0)+INDEX($AT$13:$BB$162,BO3401,0)+INDEX($BD$13:$BL$162,BP3401,0))/100)))),0)</f>
        <v/>
      </c>
      <c r="BS3401">
        <f>IF(3388&lt;$U$9,SUMPRODUCT(($D$9:$L$9+INT(($S$12:$AA$12+INDEX($AJ$13:$AR$162,BN3401,0)+INDEX($AT$13:$BB$162,BO3401,0)+INDEX($BD$13:$BL$162,BP3401,0))/100))),0)</f>
        <v/>
      </c>
      <c r="BT3401">
        <f>IF(AND(3388&lt;$U$9,$W$5),BQ3401*1000000-MIN(BR3401,999)*1000+BS3401-3388/100000,-1000000000-3388)</f>
        <v/>
      </c>
    </row>
    <row r="3402">
      <c r="BN3402">
        <f>IF(3389&lt;$U$9,INT(3389/($U$7*$U$8))+1,1)</f>
        <v/>
      </c>
      <c r="BO3402">
        <f>IF(3389&lt;$U$9,MOD(INT(3389/$U$8),$U$7)+1,1)</f>
        <v/>
      </c>
      <c r="BP3402">
        <f>IF(3389&lt;$U$9,MOD(3389,$U$8)+1,1)</f>
        <v/>
      </c>
      <c r="BQ3402">
        <f>IF(3389&lt;$U$9,SUMPRODUCT(($D$10:$L$10&lt;&gt;"")*(($D$9:$L$9+INT(($S$12:$AA$12+INDEX($AJ$13:$AR$162,BN3402,0)+INDEX($AT$13:$BB$162,BO3402,0)+INDEX($BD$13:$BL$162,BP3402,0))/100))&gt;=$D$10:$L$10)),0)</f>
        <v/>
      </c>
      <c r="BR3402">
        <f>IF(3389&lt;$U$9,SUMPRODUCT(($D$10:$L$10&lt;&gt;"")*(($D$10:$L$10-($D$9:$L$9+INT(($S$12:$AA$12+INDEX($AJ$13:$AR$162,BN3402,0)+INDEX($AT$13:$BB$162,BO3402,0)+INDEX($BD$13:$BL$162,BP3402,0))/100)))&gt;0)*($D$10:$L$10-($D$9:$L$9+INT(($S$12:$AA$12+INDEX($AJ$13:$AR$162,BN3402,0)+INDEX($AT$13:$BB$162,BO3402,0)+INDEX($BD$13:$BL$162,BP3402,0))/100)))),0)</f>
        <v/>
      </c>
      <c r="BS3402">
        <f>IF(3389&lt;$U$9,SUMPRODUCT(($D$9:$L$9+INT(($S$12:$AA$12+INDEX($AJ$13:$AR$162,BN3402,0)+INDEX($AT$13:$BB$162,BO3402,0)+INDEX($BD$13:$BL$162,BP3402,0))/100))),0)</f>
        <v/>
      </c>
      <c r="BT3402">
        <f>IF(AND(3389&lt;$U$9,$W$5),BQ3402*1000000-MIN(BR3402,999)*1000+BS3402-3389/100000,-1000000000-3389)</f>
        <v/>
      </c>
    </row>
    <row r="3403">
      <c r="BN3403">
        <f>IF(3390&lt;$U$9,INT(3390/($U$7*$U$8))+1,1)</f>
        <v/>
      </c>
      <c r="BO3403">
        <f>IF(3390&lt;$U$9,MOD(INT(3390/$U$8),$U$7)+1,1)</f>
        <v/>
      </c>
      <c r="BP3403">
        <f>IF(3390&lt;$U$9,MOD(3390,$U$8)+1,1)</f>
        <v/>
      </c>
      <c r="BQ3403">
        <f>IF(3390&lt;$U$9,SUMPRODUCT(($D$10:$L$10&lt;&gt;"")*(($D$9:$L$9+INT(($S$12:$AA$12+INDEX($AJ$13:$AR$162,BN3403,0)+INDEX($AT$13:$BB$162,BO3403,0)+INDEX($BD$13:$BL$162,BP3403,0))/100))&gt;=$D$10:$L$10)),0)</f>
        <v/>
      </c>
      <c r="BR3403">
        <f>IF(3390&lt;$U$9,SUMPRODUCT(($D$10:$L$10&lt;&gt;"")*(($D$10:$L$10-($D$9:$L$9+INT(($S$12:$AA$12+INDEX($AJ$13:$AR$162,BN3403,0)+INDEX($AT$13:$BB$162,BO3403,0)+INDEX($BD$13:$BL$162,BP3403,0))/100)))&gt;0)*($D$10:$L$10-($D$9:$L$9+INT(($S$12:$AA$12+INDEX($AJ$13:$AR$162,BN3403,0)+INDEX($AT$13:$BB$162,BO3403,0)+INDEX($BD$13:$BL$162,BP3403,0))/100)))),0)</f>
        <v/>
      </c>
      <c r="BS3403">
        <f>IF(3390&lt;$U$9,SUMPRODUCT(($D$9:$L$9+INT(($S$12:$AA$12+INDEX($AJ$13:$AR$162,BN3403,0)+INDEX($AT$13:$BB$162,BO3403,0)+INDEX($BD$13:$BL$162,BP3403,0))/100))),0)</f>
        <v/>
      </c>
      <c r="BT3403">
        <f>IF(AND(3390&lt;$U$9,$W$5),BQ3403*1000000-MIN(BR3403,999)*1000+BS3403-3390/100000,-1000000000-3390)</f>
        <v/>
      </c>
    </row>
    <row r="3404">
      <c r="BN3404">
        <f>IF(3391&lt;$U$9,INT(3391/($U$7*$U$8))+1,1)</f>
        <v/>
      </c>
      <c r="BO3404">
        <f>IF(3391&lt;$U$9,MOD(INT(3391/$U$8),$U$7)+1,1)</f>
        <v/>
      </c>
      <c r="BP3404">
        <f>IF(3391&lt;$U$9,MOD(3391,$U$8)+1,1)</f>
        <v/>
      </c>
      <c r="BQ3404">
        <f>IF(3391&lt;$U$9,SUMPRODUCT(($D$10:$L$10&lt;&gt;"")*(($D$9:$L$9+INT(($S$12:$AA$12+INDEX($AJ$13:$AR$162,BN3404,0)+INDEX($AT$13:$BB$162,BO3404,0)+INDEX($BD$13:$BL$162,BP3404,0))/100))&gt;=$D$10:$L$10)),0)</f>
        <v/>
      </c>
      <c r="BR3404">
        <f>IF(3391&lt;$U$9,SUMPRODUCT(($D$10:$L$10&lt;&gt;"")*(($D$10:$L$10-($D$9:$L$9+INT(($S$12:$AA$12+INDEX($AJ$13:$AR$162,BN3404,0)+INDEX($AT$13:$BB$162,BO3404,0)+INDEX($BD$13:$BL$162,BP3404,0))/100)))&gt;0)*($D$10:$L$10-($D$9:$L$9+INT(($S$12:$AA$12+INDEX($AJ$13:$AR$162,BN3404,0)+INDEX($AT$13:$BB$162,BO3404,0)+INDEX($BD$13:$BL$162,BP3404,0))/100)))),0)</f>
        <v/>
      </c>
      <c r="BS3404">
        <f>IF(3391&lt;$U$9,SUMPRODUCT(($D$9:$L$9+INT(($S$12:$AA$12+INDEX($AJ$13:$AR$162,BN3404,0)+INDEX($AT$13:$BB$162,BO3404,0)+INDEX($BD$13:$BL$162,BP3404,0))/100))),0)</f>
        <v/>
      </c>
      <c r="BT3404">
        <f>IF(AND(3391&lt;$U$9,$W$5),BQ3404*1000000-MIN(BR3404,999)*1000+BS3404-3391/100000,-1000000000-3391)</f>
        <v/>
      </c>
    </row>
    <row r="3405">
      <c r="BN3405">
        <f>IF(3392&lt;$U$9,INT(3392/($U$7*$U$8))+1,1)</f>
        <v/>
      </c>
      <c r="BO3405">
        <f>IF(3392&lt;$U$9,MOD(INT(3392/$U$8),$U$7)+1,1)</f>
        <v/>
      </c>
      <c r="BP3405">
        <f>IF(3392&lt;$U$9,MOD(3392,$U$8)+1,1)</f>
        <v/>
      </c>
      <c r="BQ3405">
        <f>IF(3392&lt;$U$9,SUMPRODUCT(($D$10:$L$10&lt;&gt;"")*(($D$9:$L$9+INT(($S$12:$AA$12+INDEX($AJ$13:$AR$162,BN3405,0)+INDEX($AT$13:$BB$162,BO3405,0)+INDEX($BD$13:$BL$162,BP3405,0))/100))&gt;=$D$10:$L$10)),0)</f>
        <v/>
      </c>
      <c r="BR3405">
        <f>IF(3392&lt;$U$9,SUMPRODUCT(($D$10:$L$10&lt;&gt;"")*(($D$10:$L$10-($D$9:$L$9+INT(($S$12:$AA$12+INDEX($AJ$13:$AR$162,BN3405,0)+INDEX($AT$13:$BB$162,BO3405,0)+INDEX($BD$13:$BL$162,BP3405,0))/100)))&gt;0)*($D$10:$L$10-($D$9:$L$9+INT(($S$12:$AA$12+INDEX($AJ$13:$AR$162,BN3405,0)+INDEX($AT$13:$BB$162,BO3405,0)+INDEX($BD$13:$BL$162,BP3405,0))/100)))),0)</f>
        <v/>
      </c>
      <c r="BS3405">
        <f>IF(3392&lt;$U$9,SUMPRODUCT(($D$9:$L$9+INT(($S$12:$AA$12+INDEX($AJ$13:$AR$162,BN3405,0)+INDEX($AT$13:$BB$162,BO3405,0)+INDEX($BD$13:$BL$162,BP3405,0))/100))),0)</f>
        <v/>
      </c>
      <c r="BT3405">
        <f>IF(AND(3392&lt;$U$9,$W$5),BQ3405*1000000-MIN(BR3405,999)*1000+BS3405-3392/100000,-1000000000-3392)</f>
        <v/>
      </c>
    </row>
    <row r="3406">
      <c r="BN3406">
        <f>IF(3393&lt;$U$9,INT(3393/($U$7*$U$8))+1,1)</f>
        <v/>
      </c>
      <c r="BO3406">
        <f>IF(3393&lt;$U$9,MOD(INT(3393/$U$8),$U$7)+1,1)</f>
        <v/>
      </c>
      <c r="BP3406">
        <f>IF(3393&lt;$U$9,MOD(3393,$U$8)+1,1)</f>
        <v/>
      </c>
      <c r="BQ3406">
        <f>IF(3393&lt;$U$9,SUMPRODUCT(($D$10:$L$10&lt;&gt;"")*(($D$9:$L$9+INT(($S$12:$AA$12+INDEX($AJ$13:$AR$162,BN3406,0)+INDEX($AT$13:$BB$162,BO3406,0)+INDEX($BD$13:$BL$162,BP3406,0))/100))&gt;=$D$10:$L$10)),0)</f>
        <v/>
      </c>
      <c r="BR3406">
        <f>IF(3393&lt;$U$9,SUMPRODUCT(($D$10:$L$10&lt;&gt;"")*(($D$10:$L$10-($D$9:$L$9+INT(($S$12:$AA$12+INDEX($AJ$13:$AR$162,BN3406,0)+INDEX($AT$13:$BB$162,BO3406,0)+INDEX($BD$13:$BL$162,BP3406,0))/100)))&gt;0)*($D$10:$L$10-($D$9:$L$9+INT(($S$12:$AA$12+INDEX($AJ$13:$AR$162,BN3406,0)+INDEX($AT$13:$BB$162,BO3406,0)+INDEX($BD$13:$BL$162,BP3406,0))/100)))),0)</f>
        <v/>
      </c>
      <c r="BS3406">
        <f>IF(3393&lt;$U$9,SUMPRODUCT(($D$9:$L$9+INT(($S$12:$AA$12+INDEX($AJ$13:$AR$162,BN3406,0)+INDEX($AT$13:$BB$162,BO3406,0)+INDEX($BD$13:$BL$162,BP3406,0))/100))),0)</f>
        <v/>
      </c>
      <c r="BT3406">
        <f>IF(AND(3393&lt;$U$9,$W$5),BQ3406*1000000-MIN(BR3406,999)*1000+BS3406-3393/100000,-1000000000-3393)</f>
        <v/>
      </c>
    </row>
    <row r="3407">
      <c r="BN3407">
        <f>IF(3394&lt;$U$9,INT(3394/($U$7*$U$8))+1,1)</f>
        <v/>
      </c>
      <c r="BO3407">
        <f>IF(3394&lt;$U$9,MOD(INT(3394/$U$8),$U$7)+1,1)</f>
        <v/>
      </c>
      <c r="BP3407">
        <f>IF(3394&lt;$U$9,MOD(3394,$U$8)+1,1)</f>
        <v/>
      </c>
      <c r="BQ3407">
        <f>IF(3394&lt;$U$9,SUMPRODUCT(($D$10:$L$10&lt;&gt;"")*(($D$9:$L$9+INT(($S$12:$AA$12+INDEX($AJ$13:$AR$162,BN3407,0)+INDEX($AT$13:$BB$162,BO3407,0)+INDEX($BD$13:$BL$162,BP3407,0))/100))&gt;=$D$10:$L$10)),0)</f>
        <v/>
      </c>
      <c r="BR3407">
        <f>IF(3394&lt;$U$9,SUMPRODUCT(($D$10:$L$10&lt;&gt;"")*(($D$10:$L$10-($D$9:$L$9+INT(($S$12:$AA$12+INDEX($AJ$13:$AR$162,BN3407,0)+INDEX($AT$13:$BB$162,BO3407,0)+INDEX($BD$13:$BL$162,BP3407,0))/100)))&gt;0)*($D$10:$L$10-($D$9:$L$9+INT(($S$12:$AA$12+INDEX($AJ$13:$AR$162,BN3407,0)+INDEX($AT$13:$BB$162,BO3407,0)+INDEX($BD$13:$BL$162,BP3407,0))/100)))),0)</f>
        <v/>
      </c>
      <c r="BS3407">
        <f>IF(3394&lt;$U$9,SUMPRODUCT(($D$9:$L$9+INT(($S$12:$AA$12+INDEX($AJ$13:$AR$162,BN3407,0)+INDEX($AT$13:$BB$162,BO3407,0)+INDEX($BD$13:$BL$162,BP3407,0))/100))),0)</f>
        <v/>
      </c>
      <c r="BT3407">
        <f>IF(AND(3394&lt;$U$9,$W$5),BQ3407*1000000-MIN(BR3407,999)*1000+BS3407-3394/100000,-1000000000-3394)</f>
        <v/>
      </c>
    </row>
    <row r="3408">
      <c r="BN3408">
        <f>IF(3395&lt;$U$9,INT(3395/($U$7*$U$8))+1,1)</f>
        <v/>
      </c>
      <c r="BO3408">
        <f>IF(3395&lt;$U$9,MOD(INT(3395/$U$8),$U$7)+1,1)</f>
        <v/>
      </c>
      <c r="BP3408">
        <f>IF(3395&lt;$U$9,MOD(3395,$U$8)+1,1)</f>
        <v/>
      </c>
      <c r="BQ3408">
        <f>IF(3395&lt;$U$9,SUMPRODUCT(($D$10:$L$10&lt;&gt;"")*(($D$9:$L$9+INT(($S$12:$AA$12+INDEX($AJ$13:$AR$162,BN3408,0)+INDEX($AT$13:$BB$162,BO3408,0)+INDEX($BD$13:$BL$162,BP3408,0))/100))&gt;=$D$10:$L$10)),0)</f>
        <v/>
      </c>
      <c r="BR3408">
        <f>IF(3395&lt;$U$9,SUMPRODUCT(($D$10:$L$10&lt;&gt;"")*(($D$10:$L$10-($D$9:$L$9+INT(($S$12:$AA$12+INDEX($AJ$13:$AR$162,BN3408,0)+INDEX($AT$13:$BB$162,BO3408,0)+INDEX($BD$13:$BL$162,BP3408,0))/100)))&gt;0)*($D$10:$L$10-($D$9:$L$9+INT(($S$12:$AA$12+INDEX($AJ$13:$AR$162,BN3408,0)+INDEX($AT$13:$BB$162,BO3408,0)+INDEX($BD$13:$BL$162,BP3408,0))/100)))),0)</f>
        <v/>
      </c>
      <c r="BS3408">
        <f>IF(3395&lt;$U$9,SUMPRODUCT(($D$9:$L$9+INT(($S$12:$AA$12+INDEX($AJ$13:$AR$162,BN3408,0)+INDEX($AT$13:$BB$162,BO3408,0)+INDEX($BD$13:$BL$162,BP3408,0))/100))),0)</f>
        <v/>
      </c>
      <c r="BT3408">
        <f>IF(AND(3395&lt;$U$9,$W$5),BQ3408*1000000-MIN(BR3408,999)*1000+BS3408-3395/100000,-1000000000-3395)</f>
        <v/>
      </c>
    </row>
    <row r="3409">
      <c r="BN3409">
        <f>IF(3396&lt;$U$9,INT(3396/($U$7*$U$8))+1,1)</f>
        <v/>
      </c>
      <c r="BO3409">
        <f>IF(3396&lt;$U$9,MOD(INT(3396/$U$8),$U$7)+1,1)</f>
        <v/>
      </c>
      <c r="BP3409">
        <f>IF(3396&lt;$U$9,MOD(3396,$U$8)+1,1)</f>
        <v/>
      </c>
      <c r="BQ3409">
        <f>IF(3396&lt;$U$9,SUMPRODUCT(($D$10:$L$10&lt;&gt;"")*(($D$9:$L$9+INT(($S$12:$AA$12+INDEX($AJ$13:$AR$162,BN3409,0)+INDEX($AT$13:$BB$162,BO3409,0)+INDEX($BD$13:$BL$162,BP3409,0))/100))&gt;=$D$10:$L$10)),0)</f>
        <v/>
      </c>
      <c r="BR3409">
        <f>IF(3396&lt;$U$9,SUMPRODUCT(($D$10:$L$10&lt;&gt;"")*(($D$10:$L$10-($D$9:$L$9+INT(($S$12:$AA$12+INDEX($AJ$13:$AR$162,BN3409,0)+INDEX($AT$13:$BB$162,BO3409,0)+INDEX($BD$13:$BL$162,BP3409,0))/100)))&gt;0)*($D$10:$L$10-($D$9:$L$9+INT(($S$12:$AA$12+INDEX($AJ$13:$AR$162,BN3409,0)+INDEX($AT$13:$BB$162,BO3409,0)+INDEX($BD$13:$BL$162,BP3409,0))/100)))),0)</f>
        <v/>
      </c>
      <c r="BS3409">
        <f>IF(3396&lt;$U$9,SUMPRODUCT(($D$9:$L$9+INT(($S$12:$AA$12+INDEX($AJ$13:$AR$162,BN3409,0)+INDEX($AT$13:$BB$162,BO3409,0)+INDEX($BD$13:$BL$162,BP3409,0))/100))),0)</f>
        <v/>
      </c>
      <c r="BT3409">
        <f>IF(AND(3396&lt;$U$9,$W$5),BQ3409*1000000-MIN(BR3409,999)*1000+BS3409-3396/100000,-1000000000-3396)</f>
        <v/>
      </c>
    </row>
    <row r="3410">
      <c r="BN3410">
        <f>IF(3397&lt;$U$9,INT(3397/($U$7*$U$8))+1,1)</f>
        <v/>
      </c>
      <c r="BO3410">
        <f>IF(3397&lt;$U$9,MOD(INT(3397/$U$8),$U$7)+1,1)</f>
        <v/>
      </c>
      <c r="BP3410">
        <f>IF(3397&lt;$U$9,MOD(3397,$U$8)+1,1)</f>
        <v/>
      </c>
      <c r="BQ3410">
        <f>IF(3397&lt;$U$9,SUMPRODUCT(($D$10:$L$10&lt;&gt;"")*(($D$9:$L$9+INT(($S$12:$AA$12+INDEX($AJ$13:$AR$162,BN3410,0)+INDEX($AT$13:$BB$162,BO3410,0)+INDEX($BD$13:$BL$162,BP3410,0))/100))&gt;=$D$10:$L$10)),0)</f>
        <v/>
      </c>
      <c r="BR3410">
        <f>IF(3397&lt;$U$9,SUMPRODUCT(($D$10:$L$10&lt;&gt;"")*(($D$10:$L$10-($D$9:$L$9+INT(($S$12:$AA$12+INDEX($AJ$13:$AR$162,BN3410,0)+INDEX($AT$13:$BB$162,BO3410,0)+INDEX($BD$13:$BL$162,BP3410,0))/100)))&gt;0)*($D$10:$L$10-($D$9:$L$9+INT(($S$12:$AA$12+INDEX($AJ$13:$AR$162,BN3410,0)+INDEX($AT$13:$BB$162,BO3410,0)+INDEX($BD$13:$BL$162,BP3410,0))/100)))),0)</f>
        <v/>
      </c>
      <c r="BS3410">
        <f>IF(3397&lt;$U$9,SUMPRODUCT(($D$9:$L$9+INT(($S$12:$AA$12+INDEX($AJ$13:$AR$162,BN3410,0)+INDEX($AT$13:$BB$162,BO3410,0)+INDEX($BD$13:$BL$162,BP3410,0))/100))),0)</f>
        <v/>
      </c>
      <c r="BT3410">
        <f>IF(AND(3397&lt;$U$9,$W$5),BQ3410*1000000-MIN(BR3410,999)*1000+BS3410-3397/100000,-1000000000-3397)</f>
        <v/>
      </c>
    </row>
    <row r="3411">
      <c r="BN3411">
        <f>IF(3398&lt;$U$9,INT(3398/($U$7*$U$8))+1,1)</f>
        <v/>
      </c>
      <c r="BO3411">
        <f>IF(3398&lt;$U$9,MOD(INT(3398/$U$8),$U$7)+1,1)</f>
        <v/>
      </c>
      <c r="BP3411">
        <f>IF(3398&lt;$U$9,MOD(3398,$U$8)+1,1)</f>
        <v/>
      </c>
      <c r="BQ3411">
        <f>IF(3398&lt;$U$9,SUMPRODUCT(($D$10:$L$10&lt;&gt;"")*(($D$9:$L$9+INT(($S$12:$AA$12+INDEX($AJ$13:$AR$162,BN3411,0)+INDEX($AT$13:$BB$162,BO3411,0)+INDEX($BD$13:$BL$162,BP3411,0))/100))&gt;=$D$10:$L$10)),0)</f>
        <v/>
      </c>
      <c r="BR3411">
        <f>IF(3398&lt;$U$9,SUMPRODUCT(($D$10:$L$10&lt;&gt;"")*(($D$10:$L$10-($D$9:$L$9+INT(($S$12:$AA$12+INDEX($AJ$13:$AR$162,BN3411,0)+INDEX($AT$13:$BB$162,BO3411,0)+INDEX($BD$13:$BL$162,BP3411,0))/100)))&gt;0)*($D$10:$L$10-($D$9:$L$9+INT(($S$12:$AA$12+INDEX($AJ$13:$AR$162,BN3411,0)+INDEX($AT$13:$BB$162,BO3411,0)+INDEX($BD$13:$BL$162,BP3411,0))/100)))),0)</f>
        <v/>
      </c>
      <c r="BS3411">
        <f>IF(3398&lt;$U$9,SUMPRODUCT(($D$9:$L$9+INT(($S$12:$AA$12+INDEX($AJ$13:$AR$162,BN3411,0)+INDEX($AT$13:$BB$162,BO3411,0)+INDEX($BD$13:$BL$162,BP3411,0))/100))),0)</f>
        <v/>
      </c>
      <c r="BT3411">
        <f>IF(AND(3398&lt;$U$9,$W$5),BQ3411*1000000-MIN(BR3411,999)*1000+BS3411-3398/100000,-1000000000-3398)</f>
        <v/>
      </c>
    </row>
    <row r="3412">
      <c r="BN3412">
        <f>IF(3399&lt;$U$9,INT(3399/($U$7*$U$8))+1,1)</f>
        <v/>
      </c>
      <c r="BO3412">
        <f>IF(3399&lt;$U$9,MOD(INT(3399/$U$8),$U$7)+1,1)</f>
        <v/>
      </c>
      <c r="BP3412">
        <f>IF(3399&lt;$U$9,MOD(3399,$U$8)+1,1)</f>
        <v/>
      </c>
      <c r="BQ3412">
        <f>IF(3399&lt;$U$9,SUMPRODUCT(($D$10:$L$10&lt;&gt;"")*(($D$9:$L$9+INT(($S$12:$AA$12+INDEX($AJ$13:$AR$162,BN3412,0)+INDEX($AT$13:$BB$162,BO3412,0)+INDEX($BD$13:$BL$162,BP3412,0))/100))&gt;=$D$10:$L$10)),0)</f>
        <v/>
      </c>
      <c r="BR3412">
        <f>IF(3399&lt;$U$9,SUMPRODUCT(($D$10:$L$10&lt;&gt;"")*(($D$10:$L$10-($D$9:$L$9+INT(($S$12:$AA$12+INDEX($AJ$13:$AR$162,BN3412,0)+INDEX($AT$13:$BB$162,BO3412,0)+INDEX($BD$13:$BL$162,BP3412,0))/100)))&gt;0)*($D$10:$L$10-($D$9:$L$9+INT(($S$12:$AA$12+INDEX($AJ$13:$AR$162,BN3412,0)+INDEX($AT$13:$BB$162,BO3412,0)+INDEX($BD$13:$BL$162,BP3412,0))/100)))),0)</f>
        <v/>
      </c>
      <c r="BS3412">
        <f>IF(3399&lt;$U$9,SUMPRODUCT(($D$9:$L$9+INT(($S$12:$AA$12+INDEX($AJ$13:$AR$162,BN3412,0)+INDEX($AT$13:$BB$162,BO3412,0)+INDEX($BD$13:$BL$162,BP3412,0))/100))),0)</f>
        <v/>
      </c>
      <c r="BT3412">
        <f>IF(AND(3399&lt;$U$9,$W$5),BQ3412*1000000-MIN(BR3412,999)*1000+BS3412-3399/100000,-1000000000-3399)</f>
        <v/>
      </c>
    </row>
    <row r="3413">
      <c r="BN3413">
        <f>IF(3400&lt;$U$9,INT(3400/($U$7*$U$8))+1,1)</f>
        <v/>
      </c>
      <c r="BO3413">
        <f>IF(3400&lt;$U$9,MOD(INT(3400/$U$8),$U$7)+1,1)</f>
        <v/>
      </c>
      <c r="BP3413">
        <f>IF(3400&lt;$U$9,MOD(3400,$U$8)+1,1)</f>
        <v/>
      </c>
      <c r="BQ3413">
        <f>IF(3400&lt;$U$9,SUMPRODUCT(($D$10:$L$10&lt;&gt;"")*(($D$9:$L$9+INT(($S$12:$AA$12+INDEX($AJ$13:$AR$162,BN3413,0)+INDEX($AT$13:$BB$162,BO3413,0)+INDEX($BD$13:$BL$162,BP3413,0))/100))&gt;=$D$10:$L$10)),0)</f>
        <v/>
      </c>
      <c r="BR3413">
        <f>IF(3400&lt;$U$9,SUMPRODUCT(($D$10:$L$10&lt;&gt;"")*(($D$10:$L$10-($D$9:$L$9+INT(($S$12:$AA$12+INDEX($AJ$13:$AR$162,BN3413,0)+INDEX($AT$13:$BB$162,BO3413,0)+INDEX($BD$13:$BL$162,BP3413,0))/100)))&gt;0)*($D$10:$L$10-($D$9:$L$9+INT(($S$12:$AA$12+INDEX($AJ$13:$AR$162,BN3413,0)+INDEX($AT$13:$BB$162,BO3413,0)+INDEX($BD$13:$BL$162,BP3413,0))/100)))),0)</f>
        <v/>
      </c>
      <c r="BS3413">
        <f>IF(3400&lt;$U$9,SUMPRODUCT(($D$9:$L$9+INT(($S$12:$AA$12+INDEX($AJ$13:$AR$162,BN3413,0)+INDEX($AT$13:$BB$162,BO3413,0)+INDEX($BD$13:$BL$162,BP3413,0))/100))),0)</f>
        <v/>
      </c>
      <c r="BT3413">
        <f>IF(AND(3400&lt;$U$9,$W$5),BQ3413*1000000-MIN(BR3413,999)*1000+BS3413-3400/100000,-1000000000-3400)</f>
        <v/>
      </c>
    </row>
    <row r="3414">
      <c r="BN3414">
        <f>IF(3401&lt;$U$9,INT(3401/($U$7*$U$8))+1,1)</f>
        <v/>
      </c>
      <c r="BO3414">
        <f>IF(3401&lt;$U$9,MOD(INT(3401/$U$8),$U$7)+1,1)</f>
        <v/>
      </c>
      <c r="BP3414">
        <f>IF(3401&lt;$U$9,MOD(3401,$U$8)+1,1)</f>
        <v/>
      </c>
      <c r="BQ3414">
        <f>IF(3401&lt;$U$9,SUMPRODUCT(($D$10:$L$10&lt;&gt;"")*(($D$9:$L$9+INT(($S$12:$AA$12+INDEX($AJ$13:$AR$162,BN3414,0)+INDEX($AT$13:$BB$162,BO3414,0)+INDEX($BD$13:$BL$162,BP3414,0))/100))&gt;=$D$10:$L$10)),0)</f>
        <v/>
      </c>
      <c r="BR3414">
        <f>IF(3401&lt;$U$9,SUMPRODUCT(($D$10:$L$10&lt;&gt;"")*(($D$10:$L$10-($D$9:$L$9+INT(($S$12:$AA$12+INDEX($AJ$13:$AR$162,BN3414,0)+INDEX($AT$13:$BB$162,BO3414,0)+INDEX($BD$13:$BL$162,BP3414,0))/100)))&gt;0)*($D$10:$L$10-($D$9:$L$9+INT(($S$12:$AA$12+INDEX($AJ$13:$AR$162,BN3414,0)+INDEX($AT$13:$BB$162,BO3414,0)+INDEX($BD$13:$BL$162,BP3414,0))/100)))),0)</f>
        <v/>
      </c>
      <c r="BS3414">
        <f>IF(3401&lt;$U$9,SUMPRODUCT(($D$9:$L$9+INT(($S$12:$AA$12+INDEX($AJ$13:$AR$162,BN3414,0)+INDEX($AT$13:$BB$162,BO3414,0)+INDEX($BD$13:$BL$162,BP3414,0))/100))),0)</f>
        <v/>
      </c>
      <c r="BT3414">
        <f>IF(AND(3401&lt;$U$9,$W$5),BQ3414*1000000-MIN(BR3414,999)*1000+BS3414-3401/100000,-1000000000-3401)</f>
        <v/>
      </c>
    </row>
    <row r="3415">
      <c r="BN3415">
        <f>IF(3402&lt;$U$9,INT(3402/($U$7*$U$8))+1,1)</f>
        <v/>
      </c>
      <c r="BO3415">
        <f>IF(3402&lt;$U$9,MOD(INT(3402/$U$8),$U$7)+1,1)</f>
        <v/>
      </c>
      <c r="BP3415">
        <f>IF(3402&lt;$U$9,MOD(3402,$U$8)+1,1)</f>
        <v/>
      </c>
      <c r="BQ3415">
        <f>IF(3402&lt;$U$9,SUMPRODUCT(($D$10:$L$10&lt;&gt;"")*(($D$9:$L$9+INT(($S$12:$AA$12+INDEX($AJ$13:$AR$162,BN3415,0)+INDEX($AT$13:$BB$162,BO3415,0)+INDEX($BD$13:$BL$162,BP3415,0))/100))&gt;=$D$10:$L$10)),0)</f>
        <v/>
      </c>
      <c r="BR3415">
        <f>IF(3402&lt;$U$9,SUMPRODUCT(($D$10:$L$10&lt;&gt;"")*(($D$10:$L$10-($D$9:$L$9+INT(($S$12:$AA$12+INDEX($AJ$13:$AR$162,BN3415,0)+INDEX($AT$13:$BB$162,BO3415,0)+INDEX($BD$13:$BL$162,BP3415,0))/100)))&gt;0)*($D$10:$L$10-($D$9:$L$9+INT(($S$12:$AA$12+INDEX($AJ$13:$AR$162,BN3415,0)+INDEX($AT$13:$BB$162,BO3415,0)+INDEX($BD$13:$BL$162,BP3415,0))/100)))),0)</f>
        <v/>
      </c>
      <c r="BS3415">
        <f>IF(3402&lt;$U$9,SUMPRODUCT(($D$9:$L$9+INT(($S$12:$AA$12+INDEX($AJ$13:$AR$162,BN3415,0)+INDEX($AT$13:$BB$162,BO3415,0)+INDEX($BD$13:$BL$162,BP3415,0))/100))),0)</f>
        <v/>
      </c>
      <c r="BT3415">
        <f>IF(AND(3402&lt;$U$9,$W$5),BQ3415*1000000-MIN(BR3415,999)*1000+BS3415-3402/100000,-1000000000-3402)</f>
        <v/>
      </c>
    </row>
    <row r="3416">
      <c r="BN3416">
        <f>IF(3403&lt;$U$9,INT(3403/($U$7*$U$8))+1,1)</f>
        <v/>
      </c>
      <c r="BO3416">
        <f>IF(3403&lt;$U$9,MOD(INT(3403/$U$8),$U$7)+1,1)</f>
        <v/>
      </c>
      <c r="BP3416">
        <f>IF(3403&lt;$U$9,MOD(3403,$U$8)+1,1)</f>
        <v/>
      </c>
      <c r="BQ3416">
        <f>IF(3403&lt;$U$9,SUMPRODUCT(($D$10:$L$10&lt;&gt;"")*(($D$9:$L$9+INT(($S$12:$AA$12+INDEX($AJ$13:$AR$162,BN3416,0)+INDEX($AT$13:$BB$162,BO3416,0)+INDEX($BD$13:$BL$162,BP3416,0))/100))&gt;=$D$10:$L$10)),0)</f>
        <v/>
      </c>
      <c r="BR3416">
        <f>IF(3403&lt;$U$9,SUMPRODUCT(($D$10:$L$10&lt;&gt;"")*(($D$10:$L$10-($D$9:$L$9+INT(($S$12:$AA$12+INDEX($AJ$13:$AR$162,BN3416,0)+INDEX($AT$13:$BB$162,BO3416,0)+INDEX($BD$13:$BL$162,BP3416,0))/100)))&gt;0)*($D$10:$L$10-($D$9:$L$9+INT(($S$12:$AA$12+INDEX($AJ$13:$AR$162,BN3416,0)+INDEX($AT$13:$BB$162,BO3416,0)+INDEX($BD$13:$BL$162,BP3416,0))/100)))),0)</f>
        <v/>
      </c>
      <c r="BS3416">
        <f>IF(3403&lt;$U$9,SUMPRODUCT(($D$9:$L$9+INT(($S$12:$AA$12+INDEX($AJ$13:$AR$162,BN3416,0)+INDEX($AT$13:$BB$162,BO3416,0)+INDEX($BD$13:$BL$162,BP3416,0))/100))),0)</f>
        <v/>
      </c>
      <c r="BT3416">
        <f>IF(AND(3403&lt;$U$9,$W$5),BQ3416*1000000-MIN(BR3416,999)*1000+BS3416-3403/100000,-1000000000-3403)</f>
        <v/>
      </c>
    </row>
    <row r="3417">
      <c r="BN3417">
        <f>IF(3404&lt;$U$9,INT(3404/($U$7*$U$8))+1,1)</f>
        <v/>
      </c>
      <c r="BO3417">
        <f>IF(3404&lt;$U$9,MOD(INT(3404/$U$8),$U$7)+1,1)</f>
        <v/>
      </c>
      <c r="BP3417">
        <f>IF(3404&lt;$U$9,MOD(3404,$U$8)+1,1)</f>
        <v/>
      </c>
      <c r="BQ3417">
        <f>IF(3404&lt;$U$9,SUMPRODUCT(($D$10:$L$10&lt;&gt;"")*(($D$9:$L$9+INT(($S$12:$AA$12+INDEX($AJ$13:$AR$162,BN3417,0)+INDEX($AT$13:$BB$162,BO3417,0)+INDEX($BD$13:$BL$162,BP3417,0))/100))&gt;=$D$10:$L$10)),0)</f>
        <v/>
      </c>
      <c r="BR3417">
        <f>IF(3404&lt;$U$9,SUMPRODUCT(($D$10:$L$10&lt;&gt;"")*(($D$10:$L$10-($D$9:$L$9+INT(($S$12:$AA$12+INDEX($AJ$13:$AR$162,BN3417,0)+INDEX($AT$13:$BB$162,BO3417,0)+INDEX($BD$13:$BL$162,BP3417,0))/100)))&gt;0)*($D$10:$L$10-($D$9:$L$9+INT(($S$12:$AA$12+INDEX($AJ$13:$AR$162,BN3417,0)+INDEX($AT$13:$BB$162,BO3417,0)+INDEX($BD$13:$BL$162,BP3417,0))/100)))),0)</f>
        <v/>
      </c>
      <c r="BS3417">
        <f>IF(3404&lt;$U$9,SUMPRODUCT(($D$9:$L$9+INT(($S$12:$AA$12+INDEX($AJ$13:$AR$162,BN3417,0)+INDEX($AT$13:$BB$162,BO3417,0)+INDEX($BD$13:$BL$162,BP3417,0))/100))),0)</f>
        <v/>
      </c>
      <c r="BT3417">
        <f>IF(AND(3404&lt;$U$9,$W$5),BQ3417*1000000-MIN(BR3417,999)*1000+BS3417-3404/100000,-1000000000-3404)</f>
        <v/>
      </c>
    </row>
    <row r="3418">
      <c r="BN3418">
        <f>IF(3405&lt;$U$9,INT(3405/($U$7*$U$8))+1,1)</f>
        <v/>
      </c>
      <c r="BO3418">
        <f>IF(3405&lt;$U$9,MOD(INT(3405/$U$8),$U$7)+1,1)</f>
        <v/>
      </c>
      <c r="BP3418">
        <f>IF(3405&lt;$U$9,MOD(3405,$U$8)+1,1)</f>
        <v/>
      </c>
      <c r="BQ3418">
        <f>IF(3405&lt;$U$9,SUMPRODUCT(($D$10:$L$10&lt;&gt;"")*(($D$9:$L$9+INT(($S$12:$AA$12+INDEX($AJ$13:$AR$162,BN3418,0)+INDEX($AT$13:$BB$162,BO3418,0)+INDEX($BD$13:$BL$162,BP3418,0))/100))&gt;=$D$10:$L$10)),0)</f>
        <v/>
      </c>
      <c r="BR3418">
        <f>IF(3405&lt;$U$9,SUMPRODUCT(($D$10:$L$10&lt;&gt;"")*(($D$10:$L$10-($D$9:$L$9+INT(($S$12:$AA$12+INDEX($AJ$13:$AR$162,BN3418,0)+INDEX($AT$13:$BB$162,BO3418,0)+INDEX($BD$13:$BL$162,BP3418,0))/100)))&gt;0)*($D$10:$L$10-($D$9:$L$9+INT(($S$12:$AA$12+INDEX($AJ$13:$AR$162,BN3418,0)+INDEX($AT$13:$BB$162,BO3418,0)+INDEX($BD$13:$BL$162,BP3418,0))/100)))),0)</f>
        <v/>
      </c>
      <c r="BS3418">
        <f>IF(3405&lt;$U$9,SUMPRODUCT(($D$9:$L$9+INT(($S$12:$AA$12+INDEX($AJ$13:$AR$162,BN3418,0)+INDEX($AT$13:$BB$162,BO3418,0)+INDEX($BD$13:$BL$162,BP3418,0))/100))),0)</f>
        <v/>
      </c>
      <c r="BT3418">
        <f>IF(AND(3405&lt;$U$9,$W$5),BQ3418*1000000-MIN(BR3418,999)*1000+BS3418-3405/100000,-1000000000-3405)</f>
        <v/>
      </c>
    </row>
    <row r="3419">
      <c r="BN3419">
        <f>IF(3406&lt;$U$9,INT(3406/($U$7*$U$8))+1,1)</f>
        <v/>
      </c>
      <c r="BO3419">
        <f>IF(3406&lt;$U$9,MOD(INT(3406/$U$8),$U$7)+1,1)</f>
        <v/>
      </c>
      <c r="BP3419">
        <f>IF(3406&lt;$U$9,MOD(3406,$U$8)+1,1)</f>
        <v/>
      </c>
      <c r="BQ3419">
        <f>IF(3406&lt;$U$9,SUMPRODUCT(($D$10:$L$10&lt;&gt;"")*(($D$9:$L$9+INT(($S$12:$AA$12+INDEX($AJ$13:$AR$162,BN3419,0)+INDEX($AT$13:$BB$162,BO3419,0)+INDEX($BD$13:$BL$162,BP3419,0))/100))&gt;=$D$10:$L$10)),0)</f>
        <v/>
      </c>
      <c r="BR3419">
        <f>IF(3406&lt;$U$9,SUMPRODUCT(($D$10:$L$10&lt;&gt;"")*(($D$10:$L$10-($D$9:$L$9+INT(($S$12:$AA$12+INDEX($AJ$13:$AR$162,BN3419,0)+INDEX($AT$13:$BB$162,BO3419,0)+INDEX($BD$13:$BL$162,BP3419,0))/100)))&gt;0)*($D$10:$L$10-($D$9:$L$9+INT(($S$12:$AA$12+INDEX($AJ$13:$AR$162,BN3419,0)+INDEX($AT$13:$BB$162,BO3419,0)+INDEX($BD$13:$BL$162,BP3419,0))/100)))),0)</f>
        <v/>
      </c>
      <c r="BS3419">
        <f>IF(3406&lt;$U$9,SUMPRODUCT(($D$9:$L$9+INT(($S$12:$AA$12+INDEX($AJ$13:$AR$162,BN3419,0)+INDEX($AT$13:$BB$162,BO3419,0)+INDEX($BD$13:$BL$162,BP3419,0))/100))),0)</f>
        <v/>
      </c>
      <c r="BT3419">
        <f>IF(AND(3406&lt;$U$9,$W$5),BQ3419*1000000-MIN(BR3419,999)*1000+BS3419-3406/100000,-1000000000-3406)</f>
        <v/>
      </c>
    </row>
    <row r="3420">
      <c r="BN3420">
        <f>IF(3407&lt;$U$9,INT(3407/($U$7*$U$8))+1,1)</f>
        <v/>
      </c>
      <c r="BO3420">
        <f>IF(3407&lt;$U$9,MOD(INT(3407/$U$8),$U$7)+1,1)</f>
        <v/>
      </c>
      <c r="BP3420">
        <f>IF(3407&lt;$U$9,MOD(3407,$U$8)+1,1)</f>
        <v/>
      </c>
      <c r="BQ3420">
        <f>IF(3407&lt;$U$9,SUMPRODUCT(($D$10:$L$10&lt;&gt;"")*(($D$9:$L$9+INT(($S$12:$AA$12+INDEX($AJ$13:$AR$162,BN3420,0)+INDEX($AT$13:$BB$162,BO3420,0)+INDEX($BD$13:$BL$162,BP3420,0))/100))&gt;=$D$10:$L$10)),0)</f>
        <v/>
      </c>
      <c r="BR3420">
        <f>IF(3407&lt;$U$9,SUMPRODUCT(($D$10:$L$10&lt;&gt;"")*(($D$10:$L$10-($D$9:$L$9+INT(($S$12:$AA$12+INDEX($AJ$13:$AR$162,BN3420,0)+INDEX($AT$13:$BB$162,BO3420,0)+INDEX($BD$13:$BL$162,BP3420,0))/100)))&gt;0)*($D$10:$L$10-($D$9:$L$9+INT(($S$12:$AA$12+INDEX($AJ$13:$AR$162,BN3420,0)+INDEX($AT$13:$BB$162,BO3420,0)+INDEX($BD$13:$BL$162,BP3420,0))/100)))),0)</f>
        <v/>
      </c>
      <c r="BS3420">
        <f>IF(3407&lt;$U$9,SUMPRODUCT(($D$9:$L$9+INT(($S$12:$AA$12+INDEX($AJ$13:$AR$162,BN3420,0)+INDEX($AT$13:$BB$162,BO3420,0)+INDEX($BD$13:$BL$162,BP3420,0))/100))),0)</f>
        <v/>
      </c>
      <c r="BT3420">
        <f>IF(AND(3407&lt;$U$9,$W$5),BQ3420*1000000-MIN(BR3420,999)*1000+BS3420-3407/100000,-1000000000-3407)</f>
        <v/>
      </c>
    </row>
    <row r="3421">
      <c r="BN3421">
        <f>IF(3408&lt;$U$9,INT(3408/($U$7*$U$8))+1,1)</f>
        <v/>
      </c>
      <c r="BO3421">
        <f>IF(3408&lt;$U$9,MOD(INT(3408/$U$8),$U$7)+1,1)</f>
        <v/>
      </c>
      <c r="BP3421">
        <f>IF(3408&lt;$U$9,MOD(3408,$U$8)+1,1)</f>
        <v/>
      </c>
      <c r="BQ3421">
        <f>IF(3408&lt;$U$9,SUMPRODUCT(($D$10:$L$10&lt;&gt;"")*(($D$9:$L$9+INT(($S$12:$AA$12+INDEX($AJ$13:$AR$162,BN3421,0)+INDEX($AT$13:$BB$162,BO3421,0)+INDEX($BD$13:$BL$162,BP3421,0))/100))&gt;=$D$10:$L$10)),0)</f>
        <v/>
      </c>
      <c r="BR3421">
        <f>IF(3408&lt;$U$9,SUMPRODUCT(($D$10:$L$10&lt;&gt;"")*(($D$10:$L$10-($D$9:$L$9+INT(($S$12:$AA$12+INDEX($AJ$13:$AR$162,BN3421,0)+INDEX($AT$13:$BB$162,BO3421,0)+INDEX($BD$13:$BL$162,BP3421,0))/100)))&gt;0)*($D$10:$L$10-($D$9:$L$9+INT(($S$12:$AA$12+INDEX($AJ$13:$AR$162,BN3421,0)+INDEX($AT$13:$BB$162,BO3421,0)+INDEX($BD$13:$BL$162,BP3421,0))/100)))),0)</f>
        <v/>
      </c>
      <c r="BS3421">
        <f>IF(3408&lt;$U$9,SUMPRODUCT(($D$9:$L$9+INT(($S$12:$AA$12+INDEX($AJ$13:$AR$162,BN3421,0)+INDEX($AT$13:$BB$162,BO3421,0)+INDEX($BD$13:$BL$162,BP3421,0))/100))),0)</f>
        <v/>
      </c>
      <c r="BT3421">
        <f>IF(AND(3408&lt;$U$9,$W$5),BQ3421*1000000-MIN(BR3421,999)*1000+BS3421-3408/100000,-1000000000-3408)</f>
        <v/>
      </c>
    </row>
    <row r="3422">
      <c r="BN3422">
        <f>IF(3409&lt;$U$9,INT(3409/($U$7*$U$8))+1,1)</f>
        <v/>
      </c>
      <c r="BO3422">
        <f>IF(3409&lt;$U$9,MOD(INT(3409/$U$8),$U$7)+1,1)</f>
        <v/>
      </c>
      <c r="BP3422">
        <f>IF(3409&lt;$U$9,MOD(3409,$U$8)+1,1)</f>
        <v/>
      </c>
      <c r="BQ3422">
        <f>IF(3409&lt;$U$9,SUMPRODUCT(($D$10:$L$10&lt;&gt;"")*(($D$9:$L$9+INT(($S$12:$AA$12+INDEX($AJ$13:$AR$162,BN3422,0)+INDEX($AT$13:$BB$162,BO3422,0)+INDEX($BD$13:$BL$162,BP3422,0))/100))&gt;=$D$10:$L$10)),0)</f>
        <v/>
      </c>
      <c r="BR3422">
        <f>IF(3409&lt;$U$9,SUMPRODUCT(($D$10:$L$10&lt;&gt;"")*(($D$10:$L$10-($D$9:$L$9+INT(($S$12:$AA$12+INDEX($AJ$13:$AR$162,BN3422,0)+INDEX($AT$13:$BB$162,BO3422,0)+INDEX($BD$13:$BL$162,BP3422,0))/100)))&gt;0)*($D$10:$L$10-($D$9:$L$9+INT(($S$12:$AA$12+INDEX($AJ$13:$AR$162,BN3422,0)+INDEX($AT$13:$BB$162,BO3422,0)+INDEX($BD$13:$BL$162,BP3422,0))/100)))),0)</f>
        <v/>
      </c>
      <c r="BS3422">
        <f>IF(3409&lt;$U$9,SUMPRODUCT(($D$9:$L$9+INT(($S$12:$AA$12+INDEX($AJ$13:$AR$162,BN3422,0)+INDEX($AT$13:$BB$162,BO3422,0)+INDEX($BD$13:$BL$162,BP3422,0))/100))),0)</f>
        <v/>
      </c>
      <c r="BT3422">
        <f>IF(AND(3409&lt;$U$9,$W$5),BQ3422*1000000-MIN(BR3422,999)*1000+BS3422-3409/100000,-1000000000-3409)</f>
        <v/>
      </c>
    </row>
    <row r="3423">
      <c r="BN3423">
        <f>IF(3410&lt;$U$9,INT(3410/($U$7*$U$8))+1,1)</f>
        <v/>
      </c>
      <c r="BO3423">
        <f>IF(3410&lt;$U$9,MOD(INT(3410/$U$8),$U$7)+1,1)</f>
        <v/>
      </c>
      <c r="BP3423">
        <f>IF(3410&lt;$U$9,MOD(3410,$U$8)+1,1)</f>
        <v/>
      </c>
      <c r="BQ3423">
        <f>IF(3410&lt;$U$9,SUMPRODUCT(($D$10:$L$10&lt;&gt;"")*(($D$9:$L$9+INT(($S$12:$AA$12+INDEX($AJ$13:$AR$162,BN3423,0)+INDEX($AT$13:$BB$162,BO3423,0)+INDEX($BD$13:$BL$162,BP3423,0))/100))&gt;=$D$10:$L$10)),0)</f>
        <v/>
      </c>
      <c r="BR3423">
        <f>IF(3410&lt;$U$9,SUMPRODUCT(($D$10:$L$10&lt;&gt;"")*(($D$10:$L$10-($D$9:$L$9+INT(($S$12:$AA$12+INDEX($AJ$13:$AR$162,BN3423,0)+INDEX($AT$13:$BB$162,BO3423,0)+INDEX($BD$13:$BL$162,BP3423,0))/100)))&gt;0)*($D$10:$L$10-($D$9:$L$9+INT(($S$12:$AA$12+INDEX($AJ$13:$AR$162,BN3423,0)+INDEX($AT$13:$BB$162,BO3423,0)+INDEX($BD$13:$BL$162,BP3423,0))/100)))),0)</f>
        <v/>
      </c>
      <c r="BS3423">
        <f>IF(3410&lt;$U$9,SUMPRODUCT(($D$9:$L$9+INT(($S$12:$AA$12+INDEX($AJ$13:$AR$162,BN3423,0)+INDEX($AT$13:$BB$162,BO3423,0)+INDEX($BD$13:$BL$162,BP3423,0))/100))),0)</f>
        <v/>
      </c>
      <c r="BT3423">
        <f>IF(AND(3410&lt;$U$9,$W$5),BQ3423*1000000-MIN(BR3423,999)*1000+BS3423-3410/100000,-1000000000-3410)</f>
        <v/>
      </c>
    </row>
    <row r="3424">
      <c r="BN3424">
        <f>IF(3411&lt;$U$9,INT(3411/($U$7*$U$8))+1,1)</f>
        <v/>
      </c>
      <c r="BO3424">
        <f>IF(3411&lt;$U$9,MOD(INT(3411/$U$8),$U$7)+1,1)</f>
        <v/>
      </c>
      <c r="BP3424">
        <f>IF(3411&lt;$U$9,MOD(3411,$U$8)+1,1)</f>
        <v/>
      </c>
      <c r="BQ3424">
        <f>IF(3411&lt;$U$9,SUMPRODUCT(($D$10:$L$10&lt;&gt;"")*(($D$9:$L$9+INT(($S$12:$AA$12+INDEX($AJ$13:$AR$162,BN3424,0)+INDEX($AT$13:$BB$162,BO3424,0)+INDEX($BD$13:$BL$162,BP3424,0))/100))&gt;=$D$10:$L$10)),0)</f>
        <v/>
      </c>
      <c r="BR3424">
        <f>IF(3411&lt;$U$9,SUMPRODUCT(($D$10:$L$10&lt;&gt;"")*(($D$10:$L$10-($D$9:$L$9+INT(($S$12:$AA$12+INDEX($AJ$13:$AR$162,BN3424,0)+INDEX($AT$13:$BB$162,BO3424,0)+INDEX($BD$13:$BL$162,BP3424,0))/100)))&gt;0)*($D$10:$L$10-($D$9:$L$9+INT(($S$12:$AA$12+INDEX($AJ$13:$AR$162,BN3424,0)+INDEX($AT$13:$BB$162,BO3424,0)+INDEX($BD$13:$BL$162,BP3424,0))/100)))),0)</f>
        <v/>
      </c>
      <c r="BS3424">
        <f>IF(3411&lt;$U$9,SUMPRODUCT(($D$9:$L$9+INT(($S$12:$AA$12+INDEX($AJ$13:$AR$162,BN3424,0)+INDEX($AT$13:$BB$162,BO3424,0)+INDEX($BD$13:$BL$162,BP3424,0))/100))),0)</f>
        <v/>
      </c>
      <c r="BT3424">
        <f>IF(AND(3411&lt;$U$9,$W$5),BQ3424*1000000-MIN(BR3424,999)*1000+BS3424-3411/100000,-1000000000-3411)</f>
        <v/>
      </c>
    </row>
    <row r="3425">
      <c r="BN3425">
        <f>IF(3412&lt;$U$9,INT(3412/($U$7*$U$8))+1,1)</f>
        <v/>
      </c>
      <c r="BO3425">
        <f>IF(3412&lt;$U$9,MOD(INT(3412/$U$8),$U$7)+1,1)</f>
        <v/>
      </c>
      <c r="BP3425">
        <f>IF(3412&lt;$U$9,MOD(3412,$U$8)+1,1)</f>
        <v/>
      </c>
      <c r="BQ3425">
        <f>IF(3412&lt;$U$9,SUMPRODUCT(($D$10:$L$10&lt;&gt;"")*(($D$9:$L$9+INT(($S$12:$AA$12+INDEX($AJ$13:$AR$162,BN3425,0)+INDEX($AT$13:$BB$162,BO3425,0)+INDEX($BD$13:$BL$162,BP3425,0))/100))&gt;=$D$10:$L$10)),0)</f>
        <v/>
      </c>
      <c r="BR3425">
        <f>IF(3412&lt;$U$9,SUMPRODUCT(($D$10:$L$10&lt;&gt;"")*(($D$10:$L$10-($D$9:$L$9+INT(($S$12:$AA$12+INDEX($AJ$13:$AR$162,BN3425,0)+INDEX($AT$13:$BB$162,BO3425,0)+INDEX($BD$13:$BL$162,BP3425,0))/100)))&gt;0)*($D$10:$L$10-($D$9:$L$9+INT(($S$12:$AA$12+INDEX($AJ$13:$AR$162,BN3425,0)+INDEX($AT$13:$BB$162,BO3425,0)+INDEX($BD$13:$BL$162,BP3425,0))/100)))),0)</f>
        <v/>
      </c>
      <c r="BS3425">
        <f>IF(3412&lt;$U$9,SUMPRODUCT(($D$9:$L$9+INT(($S$12:$AA$12+INDEX($AJ$13:$AR$162,BN3425,0)+INDEX($AT$13:$BB$162,BO3425,0)+INDEX($BD$13:$BL$162,BP3425,0))/100))),0)</f>
        <v/>
      </c>
      <c r="BT3425">
        <f>IF(AND(3412&lt;$U$9,$W$5),BQ3425*1000000-MIN(BR3425,999)*1000+BS3425-3412/100000,-1000000000-3412)</f>
        <v/>
      </c>
    </row>
    <row r="3426">
      <c r="BN3426">
        <f>IF(3413&lt;$U$9,INT(3413/($U$7*$U$8))+1,1)</f>
        <v/>
      </c>
      <c r="BO3426">
        <f>IF(3413&lt;$U$9,MOD(INT(3413/$U$8),$U$7)+1,1)</f>
        <v/>
      </c>
      <c r="BP3426">
        <f>IF(3413&lt;$U$9,MOD(3413,$U$8)+1,1)</f>
        <v/>
      </c>
      <c r="BQ3426">
        <f>IF(3413&lt;$U$9,SUMPRODUCT(($D$10:$L$10&lt;&gt;"")*(($D$9:$L$9+INT(($S$12:$AA$12+INDEX($AJ$13:$AR$162,BN3426,0)+INDEX($AT$13:$BB$162,BO3426,0)+INDEX($BD$13:$BL$162,BP3426,0))/100))&gt;=$D$10:$L$10)),0)</f>
        <v/>
      </c>
      <c r="BR3426">
        <f>IF(3413&lt;$U$9,SUMPRODUCT(($D$10:$L$10&lt;&gt;"")*(($D$10:$L$10-($D$9:$L$9+INT(($S$12:$AA$12+INDEX($AJ$13:$AR$162,BN3426,0)+INDEX($AT$13:$BB$162,BO3426,0)+INDEX($BD$13:$BL$162,BP3426,0))/100)))&gt;0)*($D$10:$L$10-($D$9:$L$9+INT(($S$12:$AA$12+INDEX($AJ$13:$AR$162,BN3426,0)+INDEX($AT$13:$BB$162,BO3426,0)+INDEX($BD$13:$BL$162,BP3426,0))/100)))),0)</f>
        <v/>
      </c>
      <c r="BS3426">
        <f>IF(3413&lt;$U$9,SUMPRODUCT(($D$9:$L$9+INT(($S$12:$AA$12+INDEX($AJ$13:$AR$162,BN3426,0)+INDEX($AT$13:$BB$162,BO3426,0)+INDEX($BD$13:$BL$162,BP3426,0))/100))),0)</f>
        <v/>
      </c>
      <c r="BT3426">
        <f>IF(AND(3413&lt;$U$9,$W$5),BQ3426*1000000-MIN(BR3426,999)*1000+BS3426-3413/100000,-1000000000-3413)</f>
        <v/>
      </c>
    </row>
    <row r="3427">
      <c r="BN3427">
        <f>IF(3414&lt;$U$9,INT(3414/($U$7*$U$8))+1,1)</f>
        <v/>
      </c>
      <c r="BO3427">
        <f>IF(3414&lt;$U$9,MOD(INT(3414/$U$8),$U$7)+1,1)</f>
        <v/>
      </c>
      <c r="BP3427">
        <f>IF(3414&lt;$U$9,MOD(3414,$U$8)+1,1)</f>
        <v/>
      </c>
      <c r="BQ3427">
        <f>IF(3414&lt;$U$9,SUMPRODUCT(($D$10:$L$10&lt;&gt;"")*(($D$9:$L$9+INT(($S$12:$AA$12+INDEX($AJ$13:$AR$162,BN3427,0)+INDEX($AT$13:$BB$162,BO3427,0)+INDEX($BD$13:$BL$162,BP3427,0))/100))&gt;=$D$10:$L$10)),0)</f>
        <v/>
      </c>
      <c r="BR3427">
        <f>IF(3414&lt;$U$9,SUMPRODUCT(($D$10:$L$10&lt;&gt;"")*(($D$10:$L$10-($D$9:$L$9+INT(($S$12:$AA$12+INDEX($AJ$13:$AR$162,BN3427,0)+INDEX($AT$13:$BB$162,BO3427,0)+INDEX($BD$13:$BL$162,BP3427,0))/100)))&gt;0)*($D$10:$L$10-($D$9:$L$9+INT(($S$12:$AA$12+INDEX($AJ$13:$AR$162,BN3427,0)+INDEX($AT$13:$BB$162,BO3427,0)+INDEX($BD$13:$BL$162,BP3427,0))/100)))),0)</f>
        <v/>
      </c>
      <c r="BS3427">
        <f>IF(3414&lt;$U$9,SUMPRODUCT(($D$9:$L$9+INT(($S$12:$AA$12+INDEX($AJ$13:$AR$162,BN3427,0)+INDEX($AT$13:$BB$162,BO3427,0)+INDEX($BD$13:$BL$162,BP3427,0))/100))),0)</f>
        <v/>
      </c>
      <c r="BT3427">
        <f>IF(AND(3414&lt;$U$9,$W$5),BQ3427*1000000-MIN(BR3427,999)*1000+BS3427-3414/100000,-1000000000-3414)</f>
        <v/>
      </c>
    </row>
    <row r="3428">
      <c r="BN3428">
        <f>IF(3415&lt;$U$9,INT(3415/($U$7*$U$8))+1,1)</f>
        <v/>
      </c>
      <c r="BO3428">
        <f>IF(3415&lt;$U$9,MOD(INT(3415/$U$8),$U$7)+1,1)</f>
        <v/>
      </c>
      <c r="BP3428">
        <f>IF(3415&lt;$U$9,MOD(3415,$U$8)+1,1)</f>
        <v/>
      </c>
      <c r="BQ3428">
        <f>IF(3415&lt;$U$9,SUMPRODUCT(($D$10:$L$10&lt;&gt;"")*(($D$9:$L$9+INT(($S$12:$AA$12+INDEX($AJ$13:$AR$162,BN3428,0)+INDEX($AT$13:$BB$162,BO3428,0)+INDEX($BD$13:$BL$162,BP3428,0))/100))&gt;=$D$10:$L$10)),0)</f>
        <v/>
      </c>
      <c r="BR3428">
        <f>IF(3415&lt;$U$9,SUMPRODUCT(($D$10:$L$10&lt;&gt;"")*(($D$10:$L$10-($D$9:$L$9+INT(($S$12:$AA$12+INDEX($AJ$13:$AR$162,BN3428,0)+INDEX($AT$13:$BB$162,BO3428,0)+INDEX($BD$13:$BL$162,BP3428,0))/100)))&gt;0)*($D$10:$L$10-($D$9:$L$9+INT(($S$12:$AA$12+INDEX($AJ$13:$AR$162,BN3428,0)+INDEX($AT$13:$BB$162,BO3428,0)+INDEX($BD$13:$BL$162,BP3428,0))/100)))),0)</f>
        <v/>
      </c>
      <c r="BS3428">
        <f>IF(3415&lt;$U$9,SUMPRODUCT(($D$9:$L$9+INT(($S$12:$AA$12+INDEX($AJ$13:$AR$162,BN3428,0)+INDEX($AT$13:$BB$162,BO3428,0)+INDEX($BD$13:$BL$162,BP3428,0))/100))),0)</f>
        <v/>
      </c>
      <c r="BT3428">
        <f>IF(AND(3415&lt;$U$9,$W$5),BQ3428*1000000-MIN(BR3428,999)*1000+BS3428-3415/100000,-1000000000-3415)</f>
        <v/>
      </c>
    </row>
    <row r="3429">
      <c r="BN3429">
        <f>IF(3416&lt;$U$9,INT(3416/($U$7*$U$8))+1,1)</f>
        <v/>
      </c>
      <c r="BO3429">
        <f>IF(3416&lt;$U$9,MOD(INT(3416/$U$8),$U$7)+1,1)</f>
        <v/>
      </c>
      <c r="BP3429">
        <f>IF(3416&lt;$U$9,MOD(3416,$U$8)+1,1)</f>
        <v/>
      </c>
      <c r="BQ3429">
        <f>IF(3416&lt;$U$9,SUMPRODUCT(($D$10:$L$10&lt;&gt;"")*(($D$9:$L$9+INT(($S$12:$AA$12+INDEX($AJ$13:$AR$162,BN3429,0)+INDEX($AT$13:$BB$162,BO3429,0)+INDEX($BD$13:$BL$162,BP3429,0))/100))&gt;=$D$10:$L$10)),0)</f>
        <v/>
      </c>
      <c r="BR3429">
        <f>IF(3416&lt;$U$9,SUMPRODUCT(($D$10:$L$10&lt;&gt;"")*(($D$10:$L$10-($D$9:$L$9+INT(($S$12:$AA$12+INDEX($AJ$13:$AR$162,BN3429,0)+INDEX($AT$13:$BB$162,BO3429,0)+INDEX($BD$13:$BL$162,BP3429,0))/100)))&gt;0)*($D$10:$L$10-($D$9:$L$9+INT(($S$12:$AA$12+INDEX($AJ$13:$AR$162,BN3429,0)+INDEX($AT$13:$BB$162,BO3429,0)+INDEX($BD$13:$BL$162,BP3429,0))/100)))),0)</f>
        <v/>
      </c>
      <c r="BS3429">
        <f>IF(3416&lt;$U$9,SUMPRODUCT(($D$9:$L$9+INT(($S$12:$AA$12+INDEX($AJ$13:$AR$162,BN3429,0)+INDEX($AT$13:$BB$162,BO3429,0)+INDEX($BD$13:$BL$162,BP3429,0))/100))),0)</f>
        <v/>
      </c>
      <c r="BT3429">
        <f>IF(AND(3416&lt;$U$9,$W$5),BQ3429*1000000-MIN(BR3429,999)*1000+BS3429-3416/100000,-1000000000-3416)</f>
        <v/>
      </c>
    </row>
    <row r="3430">
      <c r="BN3430">
        <f>IF(3417&lt;$U$9,INT(3417/($U$7*$U$8))+1,1)</f>
        <v/>
      </c>
      <c r="BO3430">
        <f>IF(3417&lt;$U$9,MOD(INT(3417/$U$8),$U$7)+1,1)</f>
        <v/>
      </c>
      <c r="BP3430">
        <f>IF(3417&lt;$U$9,MOD(3417,$U$8)+1,1)</f>
        <v/>
      </c>
      <c r="BQ3430">
        <f>IF(3417&lt;$U$9,SUMPRODUCT(($D$10:$L$10&lt;&gt;"")*(($D$9:$L$9+INT(($S$12:$AA$12+INDEX($AJ$13:$AR$162,BN3430,0)+INDEX($AT$13:$BB$162,BO3430,0)+INDEX($BD$13:$BL$162,BP3430,0))/100))&gt;=$D$10:$L$10)),0)</f>
        <v/>
      </c>
      <c r="BR3430">
        <f>IF(3417&lt;$U$9,SUMPRODUCT(($D$10:$L$10&lt;&gt;"")*(($D$10:$L$10-($D$9:$L$9+INT(($S$12:$AA$12+INDEX($AJ$13:$AR$162,BN3430,0)+INDEX($AT$13:$BB$162,BO3430,0)+INDEX($BD$13:$BL$162,BP3430,0))/100)))&gt;0)*($D$10:$L$10-($D$9:$L$9+INT(($S$12:$AA$12+INDEX($AJ$13:$AR$162,BN3430,0)+INDEX($AT$13:$BB$162,BO3430,0)+INDEX($BD$13:$BL$162,BP3430,0))/100)))),0)</f>
        <v/>
      </c>
      <c r="BS3430">
        <f>IF(3417&lt;$U$9,SUMPRODUCT(($D$9:$L$9+INT(($S$12:$AA$12+INDEX($AJ$13:$AR$162,BN3430,0)+INDEX($AT$13:$BB$162,BO3430,0)+INDEX($BD$13:$BL$162,BP3430,0))/100))),0)</f>
        <v/>
      </c>
      <c r="BT3430">
        <f>IF(AND(3417&lt;$U$9,$W$5),BQ3430*1000000-MIN(BR3430,999)*1000+BS3430-3417/100000,-1000000000-3417)</f>
        <v/>
      </c>
    </row>
    <row r="3431">
      <c r="BN3431">
        <f>IF(3418&lt;$U$9,INT(3418/($U$7*$U$8))+1,1)</f>
        <v/>
      </c>
      <c r="BO3431">
        <f>IF(3418&lt;$U$9,MOD(INT(3418/$U$8),$U$7)+1,1)</f>
        <v/>
      </c>
      <c r="BP3431">
        <f>IF(3418&lt;$U$9,MOD(3418,$U$8)+1,1)</f>
        <v/>
      </c>
      <c r="BQ3431">
        <f>IF(3418&lt;$U$9,SUMPRODUCT(($D$10:$L$10&lt;&gt;"")*(($D$9:$L$9+INT(($S$12:$AA$12+INDEX($AJ$13:$AR$162,BN3431,0)+INDEX($AT$13:$BB$162,BO3431,0)+INDEX($BD$13:$BL$162,BP3431,0))/100))&gt;=$D$10:$L$10)),0)</f>
        <v/>
      </c>
      <c r="BR3431">
        <f>IF(3418&lt;$U$9,SUMPRODUCT(($D$10:$L$10&lt;&gt;"")*(($D$10:$L$10-($D$9:$L$9+INT(($S$12:$AA$12+INDEX($AJ$13:$AR$162,BN3431,0)+INDEX($AT$13:$BB$162,BO3431,0)+INDEX($BD$13:$BL$162,BP3431,0))/100)))&gt;0)*($D$10:$L$10-($D$9:$L$9+INT(($S$12:$AA$12+INDEX($AJ$13:$AR$162,BN3431,0)+INDEX($AT$13:$BB$162,BO3431,0)+INDEX($BD$13:$BL$162,BP3431,0))/100)))),0)</f>
        <v/>
      </c>
      <c r="BS3431">
        <f>IF(3418&lt;$U$9,SUMPRODUCT(($D$9:$L$9+INT(($S$12:$AA$12+INDEX($AJ$13:$AR$162,BN3431,0)+INDEX($AT$13:$BB$162,BO3431,0)+INDEX($BD$13:$BL$162,BP3431,0))/100))),0)</f>
        <v/>
      </c>
      <c r="BT3431">
        <f>IF(AND(3418&lt;$U$9,$W$5),BQ3431*1000000-MIN(BR3431,999)*1000+BS3431-3418/100000,-1000000000-3418)</f>
        <v/>
      </c>
    </row>
    <row r="3432">
      <c r="BN3432">
        <f>IF(3419&lt;$U$9,INT(3419/($U$7*$U$8))+1,1)</f>
        <v/>
      </c>
      <c r="BO3432">
        <f>IF(3419&lt;$U$9,MOD(INT(3419/$U$8),$U$7)+1,1)</f>
        <v/>
      </c>
      <c r="BP3432">
        <f>IF(3419&lt;$U$9,MOD(3419,$U$8)+1,1)</f>
        <v/>
      </c>
      <c r="BQ3432">
        <f>IF(3419&lt;$U$9,SUMPRODUCT(($D$10:$L$10&lt;&gt;"")*(($D$9:$L$9+INT(($S$12:$AA$12+INDEX($AJ$13:$AR$162,BN3432,0)+INDEX($AT$13:$BB$162,BO3432,0)+INDEX($BD$13:$BL$162,BP3432,0))/100))&gt;=$D$10:$L$10)),0)</f>
        <v/>
      </c>
      <c r="BR3432">
        <f>IF(3419&lt;$U$9,SUMPRODUCT(($D$10:$L$10&lt;&gt;"")*(($D$10:$L$10-($D$9:$L$9+INT(($S$12:$AA$12+INDEX($AJ$13:$AR$162,BN3432,0)+INDEX($AT$13:$BB$162,BO3432,0)+INDEX($BD$13:$BL$162,BP3432,0))/100)))&gt;0)*($D$10:$L$10-($D$9:$L$9+INT(($S$12:$AA$12+INDEX($AJ$13:$AR$162,BN3432,0)+INDEX($AT$13:$BB$162,BO3432,0)+INDEX($BD$13:$BL$162,BP3432,0))/100)))),0)</f>
        <v/>
      </c>
      <c r="BS3432">
        <f>IF(3419&lt;$U$9,SUMPRODUCT(($D$9:$L$9+INT(($S$12:$AA$12+INDEX($AJ$13:$AR$162,BN3432,0)+INDEX($AT$13:$BB$162,BO3432,0)+INDEX($BD$13:$BL$162,BP3432,0))/100))),0)</f>
        <v/>
      </c>
      <c r="BT3432">
        <f>IF(AND(3419&lt;$U$9,$W$5),BQ3432*1000000-MIN(BR3432,999)*1000+BS3432-3419/100000,-1000000000-3419)</f>
        <v/>
      </c>
    </row>
    <row r="3433">
      <c r="BN3433">
        <f>IF(3420&lt;$U$9,INT(3420/($U$7*$U$8))+1,1)</f>
        <v/>
      </c>
      <c r="BO3433">
        <f>IF(3420&lt;$U$9,MOD(INT(3420/$U$8),$U$7)+1,1)</f>
        <v/>
      </c>
      <c r="BP3433">
        <f>IF(3420&lt;$U$9,MOD(3420,$U$8)+1,1)</f>
        <v/>
      </c>
      <c r="BQ3433">
        <f>IF(3420&lt;$U$9,SUMPRODUCT(($D$10:$L$10&lt;&gt;"")*(($D$9:$L$9+INT(($S$12:$AA$12+INDEX($AJ$13:$AR$162,BN3433,0)+INDEX($AT$13:$BB$162,BO3433,0)+INDEX($BD$13:$BL$162,BP3433,0))/100))&gt;=$D$10:$L$10)),0)</f>
        <v/>
      </c>
      <c r="BR3433">
        <f>IF(3420&lt;$U$9,SUMPRODUCT(($D$10:$L$10&lt;&gt;"")*(($D$10:$L$10-($D$9:$L$9+INT(($S$12:$AA$12+INDEX($AJ$13:$AR$162,BN3433,0)+INDEX($AT$13:$BB$162,BO3433,0)+INDEX($BD$13:$BL$162,BP3433,0))/100)))&gt;0)*($D$10:$L$10-($D$9:$L$9+INT(($S$12:$AA$12+INDEX($AJ$13:$AR$162,BN3433,0)+INDEX($AT$13:$BB$162,BO3433,0)+INDEX($BD$13:$BL$162,BP3433,0))/100)))),0)</f>
        <v/>
      </c>
      <c r="BS3433">
        <f>IF(3420&lt;$U$9,SUMPRODUCT(($D$9:$L$9+INT(($S$12:$AA$12+INDEX($AJ$13:$AR$162,BN3433,0)+INDEX($AT$13:$BB$162,BO3433,0)+INDEX($BD$13:$BL$162,BP3433,0))/100))),0)</f>
        <v/>
      </c>
      <c r="BT3433">
        <f>IF(AND(3420&lt;$U$9,$W$5),BQ3433*1000000-MIN(BR3433,999)*1000+BS3433-3420/100000,-1000000000-3420)</f>
        <v/>
      </c>
    </row>
    <row r="3434">
      <c r="BN3434">
        <f>IF(3421&lt;$U$9,INT(3421/($U$7*$U$8))+1,1)</f>
        <v/>
      </c>
      <c r="BO3434">
        <f>IF(3421&lt;$U$9,MOD(INT(3421/$U$8),$U$7)+1,1)</f>
        <v/>
      </c>
      <c r="BP3434">
        <f>IF(3421&lt;$U$9,MOD(3421,$U$8)+1,1)</f>
        <v/>
      </c>
      <c r="BQ3434">
        <f>IF(3421&lt;$U$9,SUMPRODUCT(($D$10:$L$10&lt;&gt;"")*(($D$9:$L$9+INT(($S$12:$AA$12+INDEX($AJ$13:$AR$162,BN3434,0)+INDEX($AT$13:$BB$162,BO3434,0)+INDEX($BD$13:$BL$162,BP3434,0))/100))&gt;=$D$10:$L$10)),0)</f>
        <v/>
      </c>
      <c r="BR3434">
        <f>IF(3421&lt;$U$9,SUMPRODUCT(($D$10:$L$10&lt;&gt;"")*(($D$10:$L$10-($D$9:$L$9+INT(($S$12:$AA$12+INDEX($AJ$13:$AR$162,BN3434,0)+INDEX($AT$13:$BB$162,BO3434,0)+INDEX($BD$13:$BL$162,BP3434,0))/100)))&gt;0)*($D$10:$L$10-($D$9:$L$9+INT(($S$12:$AA$12+INDEX($AJ$13:$AR$162,BN3434,0)+INDEX($AT$13:$BB$162,BO3434,0)+INDEX($BD$13:$BL$162,BP3434,0))/100)))),0)</f>
        <v/>
      </c>
      <c r="BS3434">
        <f>IF(3421&lt;$U$9,SUMPRODUCT(($D$9:$L$9+INT(($S$12:$AA$12+INDEX($AJ$13:$AR$162,BN3434,0)+INDEX($AT$13:$BB$162,BO3434,0)+INDEX($BD$13:$BL$162,BP3434,0))/100))),0)</f>
        <v/>
      </c>
      <c r="BT3434">
        <f>IF(AND(3421&lt;$U$9,$W$5),BQ3434*1000000-MIN(BR3434,999)*1000+BS3434-3421/100000,-1000000000-3421)</f>
        <v/>
      </c>
    </row>
    <row r="3435">
      <c r="BN3435">
        <f>IF(3422&lt;$U$9,INT(3422/($U$7*$U$8))+1,1)</f>
        <v/>
      </c>
      <c r="BO3435">
        <f>IF(3422&lt;$U$9,MOD(INT(3422/$U$8),$U$7)+1,1)</f>
        <v/>
      </c>
      <c r="BP3435">
        <f>IF(3422&lt;$U$9,MOD(3422,$U$8)+1,1)</f>
        <v/>
      </c>
      <c r="BQ3435">
        <f>IF(3422&lt;$U$9,SUMPRODUCT(($D$10:$L$10&lt;&gt;"")*(($D$9:$L$9+INT(($S$12:$AA$12+INDEX($AJ$13:$AR$162,BN3435,0)+INDEX($AT$13:$BB$162,BO3435,0)+INDEX($BD$13:$BL$162,BP3435,0))/100))&gt;=$D$10:$L$10)),0)</f>
        <v/>
      </c>
      <c r="BR3435">
        <f>IF(3422&lt;$U$9,SUMPRODUCT(($D$10:$L$10&lt;&gt;"")*(($D$10:$L$10-($D$9:$L$9+INT(($S$12:$AA$12+INDEX($AJ$13:$AR$162,BN3435,0)+INDEX($AT$13:$BB$162,BO3435,0)+INDEX($BD$13:$BL$162,BP3435,0))/100)))&gt;0)*($D$10:$L$10-($D$9:$L$9+INT(($S$12:$AA$12+INDEX($AJ$13:$AR$162,BN3435,0)+INDEX($AT$13:$BB$162,BO3435,0)+INDEX($BD$13:$BL$162,BP3435,0))/100)))),0)</f>
        <v/>
      </c>
      <c r="BS3435">
        <f>IF(3422&lt;$U$9,SUMPRODUCT(($D$9:$L$9+INT(($S$12:$AA$12+INDEX($AJ$13:$AR$162,BN3435,0)+INDEX($AT$13:$BB$162,BO3435,0)+INDEX($BD$13:$BL$162,BP3435,0))/100))),0)</f>
        <v/>
      </c>
      <c r="BT3435">
        <f>IF(AND(3422&lt;$U$9,$W$5),BQ3435*1000000-MIN(BR3435,999)*1000+BS3435-3422/100000,-1000000000-3422)</f>
        <v/>
      </c>
    </row>
    <row r="3436">
      <c r="BN3436">
        <f>IF(3423&lt;$U$9,INT(3423/($U$7*$U$8))+1,1)</f>
        <v/>
      </c>
      <c r="BO3436">
        <f>IF(3423&lt;$U$9,MOD(INT(3423/$U$8),$U$7)+1,1)</f>
        <v/>
      </c>
      <c r="BP3436">
        <f>IF(3423&lt;$U$9,MOD(3423,$U$8)+1,1)</f>
        <v/>
      </c>
      <c r="BQ3436">
        <f>IF(3423&lt;$U$9,SUMPRODUCT(($D$10:$L$10&lt;&gt;"")*(($D$9:$L$9+INT(($S$12:$AA$12+INDEX($AJ$13:$AR$162,BN3436,0)+INDEX($AT$13:$BB$162,BO3436,0)+INDEX($BD$13:$BL$162,BP3436,0))/100))&gt;=$D$10:$L$10)),0)</f>
        <v/>
      </c>
      <c r="BR3436">
        <f>IF(3423&lt;$U$9,SUMPRODUCT(($D$10:$L$10&lt;&gt;"")*(($D$10:$L$10-($D$9:$L$9+INT(($S$12:$AA$12+INDEX($AJ$13:$AR$162,BN3436,0)+INDEX($AT$13:$BB$162,BO3436,0)+INDEX($BD$13:$BL$162,BP3436,0))/100)))&gt;0)*($D$10:$L$10-($D$9:$L$9+INT(($S$12:$AA$12+INDEX($AJ$13:$AR$162,BN3436,0)+INDEX($AT$13:$BB$162,BO3436,0)+INDEX($BD$13:$BL$162,BP3436,0))/100)))),0)</f>
        <v/>
      </c>
      <c r="BS3436">
        <f>IF(3423&lt;$U$9,SUMPRODUCT(($D$9:$L$9+INT(($S$12:$AA$12+INDEX($AJ$13:$AR$162,BN3436,0)+INDEX($AT$13:$BB$162,BO3436,0)+INDEX($BD$13:$BL$162,BP3436,0))/100))),0)</f>
        <v/>
      </c>
      <c r="BT3436">
        <f>IF(AND(3423&lt;$U$9,$W$5),BQ3436*1000000-MIN(BR3436,999)*1000+BS3436-3423/100000,-1000000000-3423)</f>
        <v/>
      </c>
    </row>
    <row r="3437">
      <c r="BN3437">
        <f>IF(3424&lt;$U$9,INT(3424/($U$7*$U$8))+1,1)</f>
        <v/>
      </c>
      <c r="BO3437">
        <f>IF(3424&lt;$U$9,MOD(INT(3424/$U$8),$U$7)+1,1)</f>
        <v/>
      </c>
      <c r="BP3437">
        <f>IF(3424&lt;$U$9,MOD(3424,$U$8)+1,1)</f>
        <v/>
      </c>
      <c r="BQ3437">
        <f>IF(3424&lt;$U$9,SUMPRODUCT(($D$10:$L$10&lt;&gt;"")*(($D$9:$L$9+INT(($S$12:$AA$12+INDEX($AJ$13:$AR$162,BN3437,0)+INDEX($AT$13:$BB$162,BO3437,0)+INDEX($BD$13:$BL$162,BP3437,0))/100))&gt;=$D$10:$L$10)),0)</f>
        <v/>
      </c>
      <c r="BR3437">
        <f>IF(3424&lt;$U$9,SUMPRODUCT(($D$10:$L$10&lt;&gt;"")*(($D$10:$L$10-($D$9:$L$9+INT(($S$12:$AA$12+INDEX($AJ$13:$AR$162,BN3437,0)+INDEX($AT$13:$BB$162,BO3437,0)+INDEX($BD$13:$BL$162,BP3437,0))/100)))&gt;0)*($D$10:$L$10-($D$9:$L$9+INT(($S$12:$AA$12+INDEX($AJ$13:$AR$162,BN3437,0)+INDEX($AT$13:$BB$162,BO3437,0)+INDEX($BD$13:$BL$162,BP3437,0))/100)))),0)</f>
        <v/>
      </c>
      <c r="BS3437">
        <f>IF(3424&lt;$U$9,SUMPRODUCT(($D$9:$L$9+INT(($S$12:$AA$12+INDEX($AJ$13:$AR$162,BN3437,0)+INDEX($AT$13:$BB$162,BO3437,0)+INDEX($BD$13:$BL$162,BP3437,0))/100))),0)</f>
        <v/>
      </c>
      <c r="BT3437">
        <f>IF(AND(3424&lt;$U$9,$W$5),BQ3437*1000000-MIN(BR3437,999)*1000+BS3437-3424/100000,-1000000000-3424)</f>
        <v/>
      </c>
    </row>
    <row r="3438">
      <c r="BN3438">
        <f>IF(3425&lt;$U$9,INT(3425/($U$7*$U$8))+1,1)</f>
        <v/>
      </c>
      <c r="BO3438">
        <f>IF(3425&lt;$U$9,MOD(INT(3425/$U$8),$U$7)+1,1)</f>
        <v/>
      </c>
      <c r="BP3438">
        <f>IF(3425&lt;$U$9,MOD(3425,$U$8)+1,1)</f>
        <v/>
      </c>
      <c r="BQ3438">
        <f>IF(3425&lt;$U$9,SUMPRODUCT(($D$10:$L$10&lt;&gt;"")*(($D$9:$L$9+INT(($S$12:$AA$12+INDEX($AJ$13:$AR$162,BN3438,0)+INDEX($AT$13:$BB$162,BO3438,0)+INDEX($BD$13:$BL$162,BP3438,0))/100))&gt;=$D$10:$L$10)),0)</f>
        <v/>
      </c>
      <c r="BR3438">
        <f>IF(3425&lt;$U$9,SUMPRODUCT(($D$10:$L$10&lt;&gt;"")*(($D$10:$L$10-($D$9:$L$9+INT(($S$12:$AA$12+INDEX($AJ$13:$AR$162,BN3438,0)+INDEX($AT$13:$BB$162,BO3438,0)+INDEX($BD$13:$BL$162,BP3438,0))/100)))&gt;0)*($D$10:$L$10-($D$9:$L$9+INT(($S$12:$AA$12+INDEX($AJ$13:$AR$162,BN3438,0)+INDEX($AT$13:$BB$162,BO3438,0)+INDEX($BD$13:$BL$162,BP3438,0))/100)))),0)</f>
        <v/>
      </c>
      <c r="BS3438">
        <f>IF(3425&lt;$U$9,SUMPRODUCT(($D$9:$L$9+INT(($S$12:$AA$12+INDEX($AJ$13:$AR$162,BN3438,0)+INDEX($AT$13:$BB$162,BO3438,0)+INDEX($BD$13:$BL$162,BP3438,0))/100))),0)</f>
        <v/>
      </c>
      <c r="BT3438">
        <f>IF(AND(3425&lt;$U$9,$W$5),BQ3438*1000000-MIN(BR3438,999)*1000+BS3438-3425/100000,-1000000000-3425)</f>
        <v/>
      </c>
    </row>
    <row r="3439">
      <c r="BN3439">
        <f>IF(3426&lt;$U$9,INT(3426/($U$7*$U$8))+1,1)</f>
        <v/>
      </c>
      <c r="BO3439">
        <f>IF(3426&lt;$U$9,MOD(INT(3426/$U$8),$U$7)+1,1)</f>
        <v/>
      </c>
      <c r="BP3439">
        <f>IF(3426&lt;$U$9,MOD(3426,$U$8)+1,1)</f>
        <v/>
      </c>
      <c r="BQ3439">
        <f>IF(3426&lt;$U$9,SUMPRODUCT(($D$10:$L$10&lt;&gt;"")*(($D$9:$L$9+INT(($S$12:$AA$12+INDEX($AJ$13:$AR$162,BN3439,0)+INDEX($AT$13:$BB$162,BO3439,0)+INDEX($BD$13:$BL$162,BP3439,0))/100))&gt;=$D$10:$L$10)),0)</f>
        <v/>
      </c>
      <c r="BR3439">
        <f>IF(3426&lt;$U$9,SUMPRODUCT(($D$10:$L$10&lt;&gt;"")*(($D$10:$L$10-($D$9:$L$9+INT(($S$12:$AA$12+INDEX($AJ$13:$AR$162,BN3439,0)+INDEX($AT$13:$BB$162,BO3439,0)+INDEX($BD$13:$BL$162,BP3439,0))/100)))&gt;0)*($D$10:$L$10-($D$9:$L$9+INT(($S$12:$AA$12+INDEX($AJ$13:$AR$162,BN3439,0)+INDEX($AT$13:$BB$162,BO3439,0)+INDEX($BD$13:$BL$162,BP3439,0))/100)))),0)</f>
        <v/>
      </c>
      <c r="BS3439">
        <f>IF(3426&lt;$U$9,SUMPRODUCT(($D$9:$L$9+INT(($S$12:$AA$12+INDEX($AJ$13:$AR$162,BN3439,0)+INDEX($AT$13:$BB$162,BO3439,0)+INDEX($BD$13:$BL$162,BP3439,0))/100))),0)</f>
        <v/>
      </c>
      <c r="BT3439">
        <f>IF(AND(3426&lt;$U$9,$W$5),BQ3439*1000000-MIN(BR3439,999)*1000+BS3439-3426/100000,-1000000000-3426)</f>
        <v/>
      </c>
    </row>
    <row r="3440">
      <c r="BN3440">
        <f>IF(3427&lt;$U$9,INT(3427/($U$7*$U$8))+1,1)</f>
        <v/>
      </c>
      <c r="BO3440">
        <f>IF(3427&lt;$U$9,MOD(INT(3427/$U$8),$U$7)+1,1)</f>
        <v/>
      </c>
      <c r="BP3440">
        <f>IF(3427&lt;$U$9,MOD(3427,$U$8)+1,1)</f>
        <v/>
      </c>
      <c r="BQ3440">
        <f>IF(3427&lt;$U$9,SUMPRODUCT(($D$10:$L$10&lt;&gt;"")*(($D$9:$L$9+INT(($S$12:$AA$12+INDEX($AJ$13:$AR$162,BN3440,0)+INDEX($AT$13:$BB$162,BO3440,0)+INDEX($BD$13:$BL$162,BP3440,0))/100))&gt;=$D$10:$L$10)),0)</f>
        <v/>
      </c>
      <c r="BR3440">
        <f>IF(3427&lt;$U$9,SUMPRODUCT(($D$10:$L$10&lt;&gt;"")*(($D$10:$L$10-($D$9:$L$9+INT(($S$12:$AA$12+INDEX($AJ$13:$AR$162,BN3440,0)+INDEX($AT$13:$BB$162,BO3440,0)+INDEX($BD$13:$BL$162,BP3440,0))/100)))&gt;0)*($D$10:$L$10-($D$9:$L$9+INT(($S$12:$AA$12+INDEX($AJ$13:$AR$162,BN3440,0)+INDEX($AT$13:$BB$162,BO3440,0)+INDEX($BD$13:$BL$162,BP3440,0))/100)))),0)</f>
        <v/>
      </c>
      <c r="BS3440">
        <f>IF(3427&lt;$U$9,SUMPRODUCT(($D$9:$L$9+INT(($S$12:$AA$12+INDEX($AJ$13:$AR$162,BN3440,0)+INDEX($AT$13:$BB$162,BO3440,0)+INDEX($BD$13:$BL$162,BP3440,0))/100))),0)</f>
        <v/>
      </c>
      <c r="BT3440">
        <f>IF(AND(3427&lt;$U$9,$W$5),BQ3440*1000000-MIN(BR3440,999)*1000+BS3440-3427/100000,-1000000000-3427)</f>
        <v/>
      </c>
    </row>
    <row r="3441">
      <c r="BN3441">
        <f>IF(3428&lt;$U$9,INT(3428/($U$7*$U$8))+1,1)</f>
        <v/>
      </c>
      <c r="BO3441">
        <f>IF(3428&lt;$U$9,MOD(INT(3428/$U$8),$U$7)+1,1)</f>
        <v/>
      </c>
      <c r="BP3441">
        <f>IF(3428&lt;$U$9,MOD(3428,$U$8)+1,1)</f>
        <v/>
      </c>
      <c r="BQ3441">
        <f>IF(3428&lt;$U$9,SUMPRODUCT(($D$10:$L$10&lt;&gt;"")*(($D$9:$L$9+INT(($S$12:$AA$12+INDEX($AJ$13:$AR$162,BN3441,0)+INDEX($AT$13:$BB$162,BO3441,0)+INDEX($BD$13:$BL$162,BP3441,0))/100))&gt;=$D$10:$L$10)),0)</f>
        <v/>
      </c>
      <c r="BR3441">
        <f>IF(3428&lt;$U$9,SUMPRODUCT(($D$10:$L$10&lt;&gt;"")*(($D$10:$L$10-($D$9:$L$9+INT(($S$12:$AA$12+INDEX($AJ$13:$AR$162,BN3441,0)+INDEX($AT$13:$BB$162,BO3441,0)+INDEX($BD$13:$BL$162,BP3441,0))/100)))&gt;0)*($D$10:$L$10-($D$9:$L$9+INT(($S$12:$AA$12+INDEX($AJ$13:$AR$162,BN3441,0)+INDEX($AT$13:$BB$162,BO3441,0)+INDEX($BD$13:$BL$162,BP3441,0))/100)))),0)</f>
        <v/>
      </c>
      <c r="BS3441">
        <f>IF(3428&lt;$U$9,SUMPRODUCT(($D$9:$L$9+INT(($S$12:$AA$12+INDEX($AJ$13:$AR$162,BN3441,0)+INDEX($AT$13:$BB$162,BO3441,0)+INDEX($BD$13:$BL$162,BP3441,0))/100))),0)</f>
        <v/>
      </c>
      <c r="BT3441">
        <f>IF(AND(3428&lt;$U$9,$W$5),BQ3441*1000000-MIN(BR3441,999)*1000+BS3441-3428/100000,-1000000000-3428)</f>
        <v/>
      </c>
    </row>
    <row r="3442">
      <c r="BN3442">
        <f>IF(3429&lt;$U$9,INT(3429/($U$7*$U$8))+1,1)</f>
        <v/>
      </c>
      <c r="BO3442">
        <f>IF(3429&lt;$U$9,MOD(INT(3429/$U$8),$U$7)+1,1)</f>
        <v/>
      </c>
      <c r="BP3442">
        <f>IF(3429&lt;$U$9,MOD(3429,$U$8)+1,1)</f>
        <v/>
      </c>
      <c r="BQ3442">
        <f>IF(3429&lt;$U$9,SUMPRODUCT(($D$10:$L$10&lt;&gt;"")*(($D$9:$L$9+INT(($S$12:$AA$12+INDEX($AJ$13:$AR$162,BN3442,0)+INDEX($AT$13:$BB$162,BO3442,0)+INDEX($BD$13:$BL$162,BP3442,0))/100))&gt;=$D$10:$L$10)),0)</f>
        <v/>
      </c>
      <c r="BR3442">
        <f>IF(3429&lt;$U$9,SUMPRODUCT(($D$10:$L$10&lt;&gt;"")*(($D$10:$L$10-($D$9:$L$9+INT(($S$12:$AA$12+INDEX($AJ$13:$AR$162,BN3442,0)+INDEX($AT$13:$BB$162,BO3442,0)+INDEX($BD$13:$BL$162,BP3442,0))/100)))&gt;0)*($D$10:$L$10-($D$9:$L$9+INT(($S$12:$AA$12+INDEX($AJ$13:$AR$162,BN3442,0)+INDEX($AT$13:$BB$162,BO3442,0)+INDEX($BD$13:$BL$162,BP3442,0))/100)))),0)</f>
        <v/>
      </c>
      <c r="BS3442">
        <f>IF(3429&lt;$U$9,SUMPRODUCT(($D$9:$L$9+INT(($S$12:$AA$12+INDEX($AJ$13:$AR$162,BN3442,0)+INDEX($AT$13:$BB$162,BO3442,0)+INDEX($BD$13:$BL$162,BP3442,0))/100))),0)</f>
        <v/>
      </c>
      <c r="BT3442">
        <f>IF(AND(3429&lt;$U$9,$W$5),BQ3442*1000000-MIN(BR3442,999)*1000+BS3442-3429/100000,-1000000000-3429)</f>
        <v/>
      </c>
    </row>
    <row r="3443">
      <c r="BN3443">
        <f>IF(3430&lt;$U$9,INT(3430/($U$7*$U$8))+1,1)</f>
        <v/>
      </c>
      <c r="BO3443">
        <f>IF(3430&lt;$U$9,MOD(INT(3430/$U$8),$U$7)+1,1)</f>
        <v/>
      </c>
      <c r="BP3443">
        <f>IF(3430&lt;$U$9,MOD(3430,$U$8)+1,1)</f>
        <v/>
      </c>
      <c r="BQ3443">
        <f>IF(3430&lt;$U$9,SUMPRODUCT(($D$10:$L$10&lt;&gt;"")*(($D$9:$L$9+INT(($S$12:$AA$12+INDEX($AJ$13:$AR$162,BN3443,0)+INDEX($AT$13:$BB$162,BO3443,0)+INDEX($BD$13:$BL$162,BP3443,0))/100))&gt;=$D$10:$L$10)),0)</f>
        <v/>
      </c>
      <c r="BR3443">
        <f>IF(3430&lt;$U$9,SUMPRODUCT(($D$10:$L$10&lt;&gt;"")*(($D$10:$L$10-($D$9:$L$9+INT(($S$12:$AA$12+INDEX($AJ$13:$AR$162,BN3443,0)+INDEX($AT$13:$BB$162,BO3443,0)+INDEX($BD$13:$BL$162,BP3443,0))/100)))&gt;0)*($D$10:$L$10-($D$9:$L$9+INT(($S$12:$AA$12+INDEX($AJ$13:$AR$162,BN3443,0)+INDEX($AT$13:$BB$162,BO3443,0)+INDEX($BD$13:$BL$162,BP3443,0))/100)))),0)</f>
        <v/>
      </c>
      <c r="BS3443">
        <f>IF(3430&lt;$U$9,SUMPRODUCT(($D$9:$L$9+INT(($S$12:$AA$12+INDEX($AJ$13:$AR$162,BN3443,0)+INDEX($AT$13:$BB$162,BO3443,0)+INDEX($BD$13:$BL$162,BP3443,0))/100))),0)</f>
        <v/>
      </c>
      <c r="BT3443">
        <f>IF(AND(3430&lt;$U$9,$W$5),BQ3443*1000000-MIN(BR3443,999)*1000+BS3443-3430/100000,-1000000000-3430)</f>
        <v/>
      </c>
    </row>
    <row r="3444">
      <c r="BN3444">
        <f>IF(3431&lt;$U$9,INT(3431/($U$7*$U$8))+1,1)</f>
        <v/>
      </c>
      <c r="BO3444">
        <f>IF(3431&lt;$U$9,MOD(INT(3431/$U$8),$U$7)+1,1)</f>
        <v/>
      </c>
      <c r="BP3444">
        <f>IF(3431&lt;$U$9,MOD(3431,$U$8)+1,1)</f>
        <v/>
      </c>
      <c r="BQ3444">
        <f>IF(3431&lt;$U$9,SUMPRODUCT(($D$10:$L$10&lt;&gt;"")*(($D$9:$L$9+INT(($S$12:$AA$12+INDEX($AJ$13:$AR$162,BN3444,0)+INDEX($AT$13:$BB$162,BO3444,0)+INDEX($BD$13:$BL$162,BP3444,0))/100))&gt;=$D$10:$L$10)),0)</f>
        <v/>
      </c>
      <c r="BR3444">
        <f>IF(3431&lt;$U$9,SUMPRODUCT(($D$10:$L$10&lt;&gt;"")*(($D$10:$L$10-($D$9:$L$9+INT(($S$12:$AA$12+INDEX($AJ$13:$AR$162,BN3444,0)+INDEX($AT$13:$BB$162,BO3444,0)+INDEX($BD$13:$BL$162,BP3444,0))/100)))&gt;0)*($D$10:$L$10-($D$9:$L$9+INT(($S$12:$AA$12+INDEX($AJ$13:$AR$162,BN3444,0)+INDEX($AT$13:$BB$162,BO3444,0)+INDEX($BD$13:$BL$162,BP3444,0))/100)))),0)</f>
        <v/>
      </c>
      <c r="BS3444">
        <f>IF(3431&lt;$U$9,SUMPRODUCT(($D$9:$L$9+INT(($S$12:$AA$12+INDEX($AJ$13:$AR$162,BN3444,0)+INDEX($AT$13:$BB$162,BO3444,0)+INDEX($BD$13:$BL$162,BP3444,0))/100))),0)</f>
        <v/>
      </c>
      <c r="BT3444">
        <f>IF(AND(3431&lt;$U$9,$W$5),BQ3444*1000000-MIN(BR3444,999)*1000+BS3444-3431/100000,-1000000000-3431)</f>
        <v/>
      </c>
    </row>
    <row r="3445">
      <c r="BN3445">
        <f>IF(3432&lt;$U$9,INT(3432/($U$7*$U$8))+1,1)</f>
        <v/>
      </c>
      <c r="BO3445">
        <f>IF(3432&lt;$U$9,MOD(INT(3432/$U$8),$U$7)+1,1)</f>
        <v/>
      </c>
      <c r="BP3445">
        <f>IF(3432&lt;$U$9,MOD(3432,$U$8)+1,1)</f>
        <v/>
      </c>
      <c r="BQ3445">
        <f>IF(3432&lt;$U$9,SUMPRODUCT(($D$10:$L$10&lt;&gt;"")*(($D$9:$L$9+INT(($S$12:$AA$12+INDEX($AJ$13:$AR$162,BN3445,0)+INDEX($AT$13:$BB$162,BO3445,0)+INDEX($BD$13:$BL$162,BP3445,0))/100))&gt;=$D$10:$L$10)),0)</f>
        <v/>
      </c>
      <c r="BR3445">
        <f>IF(3432&lt;$U$9,SUMPRODUCT(($D$10:$L$10&lt;&gt;"")*(($D$10:$L$10-($D$9:$L$9+INT(($S$12:$AA$12+INDEX($AJ$13:$AR$162,BN3445,0)+INDEX($AT$13:$BB$162,BO3445,0)+INDEX($BD$13:$BL$162,BP3445,0))/100)))&gt;0)*($D$10:$L$10-($D$9:$L$9+INT(($S$12:$AA$12+INDEX($AJ$13:$AR$162,BN3445,0)+INDEX($AT$13:$BB$162,BO3445,0)+INDEX($BD$13:$BL$162,BP3445,0))/100)))),0)</f>
        <v/>
      </c>
      <c r="BS3445">
        <f>IF(3432&lt;$U$9,SUMPRODUCT(($D$9:$L$9+INT(($S$12:$AA$12+INDEX($AJ$13:$AR$162,BN3445,0)+INDEX($AT$13:$BB$162,BO3445,0)+INDEX($BD$13:$BL$162,BP3445,0))/100))),0)</f>
        <v/>
      </c>
      <c r="BT3445">
        <f>IF(AND(3432&lt;$U$9,$W$5),BQ3445*1000000-MIN(BR3445,999)*1000+BS3445-3432/100000,-1000000000-3432)</f>
        <v/>
      </c>
    </row>
    <row r="3446">
      <c r="BN3446">
        <f>IF(3433&lt;$U$9,INT(3433/($U$7*$U$8))+1,1)</f>
        <v/>
      </c>
      <c r="BO3446">
        <f>IF(3433&lt;$U$9,MOD(INT(3433/$U$8),$U$7)+1,1)</f>
        <v/>
      </c>
      <c r="BP3446">
        <f>IF(3433&lt;$U$9,MOD(3433,$U$8)+1,1)</f>
        <v/>
      </c>
      <c r="BQ3446">
        <f>IF(3433&lt;$U$9,SUMPRODUCT(($D$10:$L$10&lt;&gt;"")*(($D$9:$L$9+INT(($S$12:$AA$12+INDEX($AJ$13:$AR$162,BN3446,0)+INDEX($AT$13:$BB$162,BO3446,0)+INDEX($BD$13:$BL$162,BP3446,0))/100))&gt;=$D$10:$L$10)),0)</f>
        <v/>
      </c>
      <c r="BR3446">
        <f>IF(3433&lt;$U$9,SUMPRODUCT(($D$10:$L$10&lt;&gt;"")*(($D$10:$L$10-($D$9:$L$9+INT(($S$12:$AA$12+INDEX($AJ$13:$AR$162,BN3446,0)+INDEX($AT$13:$BB$162,BO3446,0)+INDEX($BD$13:$BL$162,BP3446,0))/100)))&gt;0)*($D$10:$L$10-($D$9:$L$9+INT(($S$12:$AA$12+INDEX($AJ$13:$AR$162,BN3446,0)+INDEX($AT$13:$BB$162,BO3446,0)+INDEX($BD$13:$BL$162,BP3446,0))/100)))),0)</f>
        <v/>
      </c>
      <c r="BS3446">
        <f>IF(3433&lt;$U$9,SUMPRODUCT(($D$9:$L$9+INT(($S$12:$AA$12+INDEX($AJ$13:$AR$162,BN3446,0)+INDEX($AT$13:$BB$162,BO3446,0)+INDEX($BD$13:$BL$162,BP3446,0))/100))),0)</f>
        <v/>
      </c>
      <c r="BT3446">
        <f>IF(AND(3433&lt;$U$9,$W$5),BQ3446*1000000-MIN(BR3446,999)*1000+BS3446-3433/100000,-1000000000-3433)</f>
        <v/>
      </c>
    </row>
    <row r="3447">
      <c r="BN3447">
        <f>IF(3434&lt;$U$9,INT(3434/($U$7*$U$8))+1,1)</f>
        <v/>
      </c>
      <c r="BO3447">
        <f>IF(3434&lt;$U$9,MOD(INT(3434/$U$8),$U$7)+1,1)</f>
        <v/>
      </c>
      <c r="BP3447">
        <f>IF(3434&lt;$U$9,MOD(3434,$U$8)+1,1)</f>
        <v/>
      </c>
      <c r="BQ3447">
        <f>IF(3434&lt;$U$9,SUMPRODUCT(($D$10:$L$10&lt;&gt;"")*(($D$9:$L$9+INT(($S$12:$AA$12+INDEX($AJ$13:$AR$162,BN3447,0)+INDEX($AT$13:$BB$162,BO3447,0)+INDEX($BD$13:$BL$162,BP3447,0))/100))&gt;=$D$10:$L$10)),0)</f>
        <v/>
      </c>
      <c r="BR3447">
        <f>IF(3434&lt;$U$9,SUMPRODUCT(($D$10:$L$10&lt;&gt;"")*(($D$10:$L$10-($D$9:$L$9+INT(($S$12:$AA$12+INDEX($AJ$13:$AR$162,BN3447,0)+INDEX($AT$13:$BB$162,BO3447,0)+INDEX($BD$13:$BL$162,BP3447,0))/100)))&gt;0)*($D$10:$L$10-($D$9:$L$9+INT(($S$12:$AA$12+INDEX($AJ$13:$AR$162,BN3447,0)+INDEX($AT$13:$BB$162,BO3447,0)+INDEX($BD$13:$BL$162,BP3447,0))/100)))),0)</f>
        <v/>
      </c>
      <c r="BS3447">
        <f>IF(3434&lt;$U$9,SUMPRODUCT(($D$9:$L$9+INT(($S$12:$AA$12+INDEX($AJ$13:$AR$162,BN3447,0)+INDEX($AT$13:$BB$162,BO3447,0)+INDEX($BD$13:$BL$162,BP3447,0))/100))),0)</f>
        <v/>
      </c>
      <c r="BT3447">
        <f>IF(AND(3434&lt;$U$9,$W$5),BQ3447*1000000-MIN(BR3447,999)*1000+BS3447-3434/100000,-1000000000-3434)</f>
        <v/>
      </c>
    </row>
    <row r="3448">
      <c r="BN3448">
        <f>IF(3435&lt;$U$9,INT(3435/($U$7*$U$8))+1,1)</f>
        <v/>
      </c>
      <c r="BO3448">
        <f>IF(3435&lt;$U$9,MOD(INT(3435/$U$8),$U$7)+1,1)</f>
        <v/>
      </c>
      <c r="BP3448">
        <f>IF(3435&lt;$U$9,MOD(3435,$U$8)+1,1)</f>
        <v/>
      </c>
      <c r="BQ3448">
        <f>IF(3435&lt;$U$9,SUMPRODUCT(($D$10:$L$10&lt;&gt;"")*(($D$9:$L$9+INT(($S$12:$AA$12+INDEX($AJ$13:$AR$162,BN3448,0)+INDEX($AT$13:$BB$162,BO3448,0)+INDEX($BD$13:$BL$162,BP3448,0))/100))&gt;=$D$10:$L$10)),0)</f>
        <v/>
      </c>
      <c r="BR3448">
        <f>IF(3435&lt;$U$9,SUMPRODUCT(($D$10:$L$10&lt;&gt;"")*(($D$10:$L$10-($D$9:$L$9+INT(($S$12:$AA$12+INDEX($AJ$13:$AR$162,BN3448,0)+INDEX($AT$13:$BB$162,BO3448,0)+INDEX($BD$13:$BL$162,BP3448,0))/100)))&gt;0)*($D$10:$L$10-($D$9:$L$9+INT(($S$12:$AA$12+INDEX($AJ$13:$AR$162,BN3448,0)+INDEX($AT$13:$BB$162,BO3448,0)+INDEX($BD$13:$BL$162,BP3448,0))/100)))),0)</f>
        <v/>
      </c>
      <c r="BS3448">
        <f>IF(3435&lt;$U$9,SUMPRODUCT(($D$9:$L$9+INT(($S$12:$AA$12+INDEX($AJ$13:$AR$162,BN3448,0)+INDEX($AT$13:$BB$162,BO3448,0)+INDEX($BD$13:$BL$162,BP3448,0))/100))),0)</f>
        <v/>
      </c>
      <c r="BT3448">
        <f>IF(AND(3435&lt;$U$9,$W$5),BQ3448*1000000-MIN(BR3448,999)*1000+BS3448-3435/100000,-1000000000-3435)</f>
        <v/>
      </c>
    </row>
    <row r="3449">
      <c r="BN3449">
        <f>IF(3436&lt;$U$9,INT(3436/($U$7*$U$8))+1,1)</f>
        <v/>
      </c>
      <c r="BO3449">
        <f>IF(3436&lt;$U$9,MOD(INT(3436/$U$8),$U$7)+1,1)</f>
        <v/>
      </c>
      <c r="BP3449">
        <f>IF(3436&lt;$U$9,MOD(3436,$U$8)+1,1)</f>
        <v/>
      </c>
      <c r="BQ3449">
        <f>IF(3436&lt;$U$9,SUMPRODUCT(($D$10:$L$10&lt;&gt;"")*(($D$9:$L$9+INT(($S$12:$AA$12+INDEX($AJ$13:$AR$162,BN3449,0)+INDEX($AT$13:$BB$162,BO3449,0)+INDEX($BD$13:$BL$162,BP3449,0))/100))&gt;=$D$10:$L$10)),0)</f>
        <v/>
      </c>
      <c r="BR3449">
        <f>IF(3436&lt;$U$9,SUMPRODUCT(($D$10:$L$10&lt;&gt;"")*(($D$10:$L$10-($D$9:$L$9+INT(($S$12:$AA$12+INDEX($AJ$13:$AR$162,BN3449,0)+INDEX($AT$13:$BB$162,BO3449,0)+INDEX($BD$13:$BL$162,BP3449,0))/100)))&gt;0)*($D$10:$L$10-($D$9:$L$9+INT(($S$12:$AA$12+INDEX($AJ$13:$AR$162,BN3449,0)+INDEX($AT$13:$BB$162,BO3449,0)+INDEX($BD$13:$BL$162,BP3449,0))/100)))),0)</f>
        <v/>
      </c>
      <c r="BS3449">
        <f>IF(3436&lt;$U$9,SUMPRODUCT(($D$9:$L$9+INT(($S$12:$AA$12+INDEX($AJ$13:$AR$162,BN3449,0)+INDEX($AT$13:$BB$162,BO3449,0)+INDEX($BD$13:$BL$162,BP3449,0))/100))),0)</f>
        <v/>
      </c>
      <c r="BT3449">
        <f>IF(AND(3436&lt;$U$9,$W$5),BQ3449*1000000-MIN(BR3449,999)*1000+BS3449-3436/100000,-1000000000-3436)</f>
        <v/>
      </c>
    </row>
    <row r="3450">
      <c r="BN3450">
        <f>IF(3437&lt;$U$9,INT(3437/($U$7*$U$8))+1,1)</f>
        <v/>
      </c>
      <c r="BO3450">
        <f>IF(3437&lt;$U$9,MOD(INT(3437/$U$8),$U$7)+1,1)</f>
        <v/>
      </c>
      <c r="BP3450">
        <f>IF(3437&lt;$U$9,MOD(3437,$U$8)+1,1)</f>
        <v/>
      </c>
      <c r="BQ3450">
        <f>IF(3437&lt;$U$9,SUMPRODUCT(($D$10:$L$10&lt;&gt;"")*(($D$9:$L$9+INT(($S$12:$AA$12+INDEX($AJ$13:$AR$162,BN3450,0)+INDEX($AT$13:$BB$162,BO3450,0)+INDEX($BD$13:$BL$162,BP3450,0))/100))&gt;=$D$10:$L$10)),0)</f>
        <v/>
      </c>
      <c r="BR3450">
        <f>IF(3437&lt;$U$9,SUMPRODUCT(($D$10:$L$10&lt;&gt;"")*(($D$10:$L$10-($D$9:$L$9+INT(($S$12:$AA$12+INDEX($AJ$13:$AR$162,BN3450,0)+INDEX($AT$13:$BB$162,BO3450,0)+INDEX($BD$13:$BL$162,BP3450,0))/100)))&gt;0)*($D$10:$L$10-($D$9:$L$9+INT(($S$12:$AA$12+INDEX($AJ$13:$AR$162,BN3450,0)+INDEX($AT$13:$BB$162,BO3450,0)+INDEX($BD$13:$BL$162,BP3450,0))/100)))),0)</f>
        <v/>
      </c>
      <c r="BS3450">
        <f>IF(3437&lt;$U$9,SUMPRODUCT(($D$9:$L$9+INT(($S$12:$AA$12+INDEX($AJ$13:$AR$162,BN3450,0)+INDEX($AT$13:$BB$162,BO3450,0)+INDEX($BD$13:$BL$162,BP3450,0))/100))),0)</f>
        <v/>
      </c>
      <c r="BT3450">
        <f>IF(AND(3437&lt;$U$9,$W$5),BQ3450*1000000-MIN(BR3450,999)*1000+BS3450-3437/100000,-1000000000-3437)</f>
        <v/>
      </c>
    </row>
    <row r="3451">
      <c r="BN3451">
        <f>IF(3438&lt;$U$9,INT(3438/($U$7*$U$8))+1,1)</f>
        <v/>
      </c>
      <c r="BO3451">
        <f>IF(3438&lt;$U$9,MOD(INT(3438/$U$8),$U$7)+1,1)</f>
        <v/>
      </c>
      <c r="BP3451">
        <f>IF(3438&lt;$U$9,MOD(3438,$U$8)+1,1)</f>
        <v/>
      </c>
      <c r="BQ3451">
        <f>IF(3438&lt;$U$9,SUMPRODUCT(($D$10:$L$10&lt;&gt;"")*(($D$9:$L$9+INT(($S$12:$AA$12+INDEX($AJ$13:$AR$162,BN3451,0)+INDEX($AT$13:$BB$162,BO3451,0)+INDEX($BD$13:$BL$162,BP3451,0))/100))&gt;=$D$10:$L$10)),0)</f>
        <v/>
      </c>
      <c r="BR3451">
        <f>IF(3438&lt;$U$9,SUMPRODUCT(($D$10:$L$10&lt;&gt;"")*(($D$10:$L$10-($D$9:$L$9+INT(($S$12:$AA$12+INDEX($AJ$13:$AR$162,BN3451,0)+INDEX($AT$13:$BB$162,BO3451,0)+INDEX($BD$13:$BL$162,BP3451,0))/100)))&gt;0)*($D$10:$L$10-($D$9:$L$9+INT(($S$12:$AA$12+INDEX($AJ$13:$AR$162,BN3451,0)+INDEX($AT$13:$BB$162,BO3451,0)+INDEX($BD$13:$BL$162,BP3451,0))/100)))),0)</f>
        <v/>
      </c>
      <c r="BS3451">
        <f>IF(3438&lt;$U$9,SUMPRODUCT(($D$9:$L$9+INT(($S$12:$AA$12+INDEX($AJ$13:$AR$162,BN3451,0)+INDEX($AT$13:$BB$162,BO3451,0)+INDEX($BD$13:$BL$162,BP3451,0))/100))),0)</f>
        <v/>
      </c>
      <c r="BT3451">
        <f>IF(AND(3438&lt;$U$9,$W$5),BQ3451*1000000-MIN(BR3451,999)*1000+BS3451-3438/100000,-1000000000-3438)</f>
        <v/>
      </c>
    </row>
    <row r="3452">
      <c r="BN3452">
        <f>IF(3439&lt;$U$9,INT(3439/($U$7*$U$8))+1,1)</f>
        <v/>
      </c>
      <c r="BO3452">
        <f>IF(3439&lt;$U$9,MOD(INT(3439/$U$8),$U$7)+1,1)</f>
        <v/>
      </c>
      <c r="BP3452">
        <f>IF(3439&lt;$U$9,MOD(3439,$U$8)+1,1)</f>
        <v/>
      </c>
      <c r="BQ3452">
        <f>IF(3439&lt;$U$9,SUMPRODUCT(($D$10:$L$10&lt;&gt;"")*(($D$9:$L$9+INT(($S$12:$AA$12+INDEX($AJ$13:$AR$162,BN3452,0)+INDEX($AT$13:$BB$162,BO3452,0)+INDEX($BD$13:$BL$162,BP3452,0))/100))&gt;=$D$10:$L$10)),0)</f>
        <v/>
      </c>
      <c r="BR3452">
        <f>IF(3439&lt;$U$9,SUMPRODUCT(($D$10:$L$10&lt;&gt;"")*(($D$10:$L$10-($D$9:$L$9+INT(($S$12:$AA$12+INDEX($AJ$13:$AR$162,BN3452,0)+INDEX($AT$13:$BB$162,BO3452,0)+INDEX($BD$13:$BL$162,BP3452,0))/100)))&gt;0)*($D$10:$L$10-($D$9:$L$9+INT(($S$12:$AA$12+INDEX($AJ$13:$AR$162,BN3452,0)+INDEX($AT$13:$BB$162,BO3452,0)+INDEX($BD$13:$BL$162,BP3452,0))/100)))),0)</f>
        <v/>
      </c>
      <c r="BS3452">
        <f>IF(3439&lt;$U$9,SUMPRODUCT(($D$9:$L$9+INT(($S$12:$AA$12+INDEX($AJ$13:$AR$162,BN3452,0)+INDEX($AT$13:$BB$162,BO3452,0)+INDEX($BD$13:$BL$162,BP3452,0))/100))),0)</f>
        <v/>
      </c>
      <c r="BT3452">
        <f>IF(AND(3439&lt;$U$9,$W$5),BQ3452*1000000-MIN(BR3452,999)*1000+BS3452-3439/100000,-1000000000-3439)</f>
        <v/>
      </c>
    </row>
    <row r="3453">
      <c r="BN3453">
        <f>IF(3440&lt;$U$9,INT(3440/($U$7*$U$8))+1,1)</f>
        <v/>
      </c>
      <c r="BO3453">
        <f>IF(3440&lt;$U$9,MOD(INT(3440/$U$8),$U$7)+1,1)</f>
        <v/>
      </c>
      <c r="BP3453">
        <f>IF(3440&lt;$U$9,MOD(3440,$U$8)+1,1)</f>
        <v/>
      </c>
      <c r="BQ3453">
        <f>IF(3440&lt;$U$9,SUMPRODUCT(($D$10:$L$10&lt;&gt;"")*(($D$9:$L$9+INT(($S$12:$AA$12+INDEX($AJ$13:$AR$162,BN3453,0)+INDEX($AT$13:$BB$162,BO3453,0)+INDEX($BD$13:$BL$162,BP3453,0))/100))&gt;=$D$10:$L$10)),0)</f>
        <v/>
      </c>
      <c r="BR3453">
        <f>IF(3440&lt;$U$9,SUMPRODUCT(($D$10:$L$10&lt;&gt;"")*(($D$10:$L$10-($D$9:$L$9+INT(($S$12:$AA$12+INDEX($AJ$13:$AR$162,BN3453,0)+INDEX($AT$13:$BB$162,BO3453,0)+INDEX($BD$13:$BL$162,BP3453,0))/100)))&gt;0)*($D$10:$L$10-($D$9:$L$9+INT(($S$12:$AA$12+INDEX($AJ$13:$AR$162,BN3453,0)+INDEX($AT$13:$BB$162,BO3453,0)+INDEX($BD$13:$BL$162,BP3453,0))/100)))),0)</f>
        <v/>
      </c>
      <c r="BS3453">
        <f>IF(3440&lt;$U$9,SUMPRODUCT(($D$9:$L$9+INT(($S$12:$AA$12+INDEX($AJ$13:$AR$162,BN3453,0)+INDEX($AT$13:$BB$162,BO3453,0)+INDEX($BD$13:$BL$162,BP3453,0))/100))),0)</f>
        <v/>
      </c>
      <c r="BT3453">
        <f>IF(AND(3440&lt;$U$9,$W$5),BQ3453*1000000-MIN(BR3453,999)*1000+BS3453-3440/100000,-1000000000-3440)</f>
        <v/>
      </c>
    </row>
    <row r="3454">
      <c r="BN3454">
        <f>IF(3441&lt;$U$9,INT(3441/($U$7*$U$8))+1,1)</f>
        <v/>
      </c>
      <c r="BO3454">
        <f>IF(3441&lt;$U$9,MOD(INT(3441/$U$8),$U$7)+1,1)</f>
        <v/>
      </c>
      <c r="BP3454">
        <f>IF(3441&lt;$U$9,MOD(3441,$U$8)+1,1)</f>
        <v/>
      </c>
      <c r="BQ3454">
        <f>IF(3441&lt;$U$9,SUMPRODUCT(($D$10:$L$10&lt;&gt;"")*(($D$9:$L$9+INT(($S$12:$AA$12+INDEX($AJ$13:$AR$162,BN3454,0)+INDEX($AT$13:$BB$162,BO3454,0)+INDEX($BD$13:$BL$162,BP3454,0))/100))&gt;=$D$10:$L$10)),0)</f>
        <v/>
      </c>
      <c r="BR3454">
        <f>IF(3441&lt;$U$9,SUMPRODUCT(($D$10:$L$10&lt;&gt;"")*(($D$10:$L$10-($D$9:$L$9+INT(($S$12:$AA$12+INDEX($AJ$13:$AR$162,BN3454,0)+INDEX($AT$13:$BB$162,BO3454,0)+INDEX($BD$13:$BL$162,BP3454,0))/100)))&gt;0)*($D$10:$L$10-($D$9:$L$9+INT(($S$12:$AA$12+INDEX($AJ$13:$AR$162,BN3454,0)+INDEX($AT$13:$BB$162,BO3454,0)+INDEX($BD$13:$BL$162,BP3454,0))/100)))),0)</f>
        <v/>
      </c>
      <c r="BS3454">
        <f>IF(3441&lt;$U$9,SUMPRODUCT(($D$9:$L$9+INT(($S$12:$AA$12+INDEX($AJ$13:$AR$162,BN3454,0)+INDEX($AT$13:$BB$162,BO3454,0)+INDEX($BD$13:$BL$162,BP3454,0))/100))),0)</f>
        <v/>
      </c>
      <c r="BT3454">
        <f>IF(AND(3441&lt;$U$9,$W$5),BQ3454*1000000-MIN(BR3454,999)*1000+BS3454-3441/100000,-1000000000-3441)</f>
        <v/>
      </c>
    </row>
    <row r="3455">
      <c r="BN3455">
        <f>IF(3442&lt;$U$9,INT(3442/($U$7*$U$8))+1,1)</f>
        <v/>
      </c>
      <c r="BO3455">
        <f>IF(3442&lt;$U$9,MOD(INT(3442/$U$8),$U$7)+1,1)</f>
        <v/>
      </c>
      <c r="BP3455">
        <f>IF(3442&lt;$U$9,MOD(3442,$U$8)+1,1)</f>
        <v/>
      </c>
      <c r="BQ3455">
        <f>IF(3442&lt;$U$9,SUMPRODUCT(($D$10:$L$10&lt;&gt;"")*(($D$9:$L$9+INT(($S$12:$AA$12+INDEX($AJ$13:$AR$162,BN3455,0)+INDEX($AT$13:$BB$162,BO3455,0)+INDEX($BD$13:$BL$162,BP3455,0))/100))&gt;=$D$10:$L$10)),0)</f>
        <v/>
      </c>
      <c r="BR3455">
        <f>IF(3442&lt;$U$9,SUMPRODUCT(($D$10:$L$10&lt;&gt;"")*(($D$10:$L$10-($D$9:$L$9+INT(($S$12:$AA$12+INDEX($AJ$13:$AR$162,BN3455,0)+INDEX($AT$13:$BB$162,BO3455,0)+INDEX($BD$13:$BL$162,BP3455,0))/100)))&gt;0)*($D$10:$L$10-($D$9:$L$9+INT(($S$12:$AA$12+INDEX($AJ$13:$AR$162,BN3455,0)+INDEX($AT$13:$BB$162,BO3455,0)+INDEX($BD$13:$BL$162,BP3455,0))/100)))),0)</f>
        <v/>
      </c>
      <c r="BS3455">
        <f>IF(3442&lt;$U$9,SUMPRODUCT(($D$9:$L$9+INT(($S$12:$AA$12+INDEX($AJ$13:$AR$162,BN3455,0)+INDEX($AT$13:$BB$162,BO3455,0)+INDEX($BD$13:$BL$162,BP3455,0))/100))),0)</f>
        <v/>
      </c>
      <c r="BT3455">
        <f>IF(AND(3442&lt;$U$9,$W$5),BQ3455*1000000-MIN(BR3455,999)*1000+BS3455-3442/100000,-1000000000-3442)</f>
        <v/>
      </c>
    </row>
    <row r="3456">
      <c r="BN3456">
        <f>IF(3443&lt;$U$9,INT(3443/($U$7*$U$8))+1,1)</f>
        <v/>
      </c>
      <c r="BO3456">
        <f>IF(3443&lt;$U$9,MOD(INT(3443/$U$8),$U$7)+1,1)</f>
        <v/>
      </c>
      <c r="BP3456">
        <f>IF(3443&lt;$U$9,MOD(3443,$U$8)+1,1)</f>
        <v/>
      </c>
      <c r="BQ3456">
        <f>IF(3443&lt;$U$9,SUMPRODUCT(($D$10:$L$10&lt;&gt;"")*(($D$9:$L$9+INT(($S$12:$AA$12+INDEX($AJ$13:$AR$162,BN3456,0)+INDEX($AT$13:$BB$162,BO3456,0)+INDEX($BD$13:$BL$162,BP3456,0))/100))&gt;=$D$10:$L$10)),0)</f>
        <v/>
      </c>
      <c r="BR3456">
        <f>IF(3443&lt;$U$9,SUMPRODUCT(($D$10:$L$10&lt;&gt;"")*(($D$10:$L$10-($D$9:$L$9+INT(($S$12:$AA$12+INDEX($AJ$13:$AR$162,BN3456,0)+INDEX($AT$13:$BB$162,BO3456,0)+INDEX($BD$13:$BL$162,BP3456,0))/100)))&gt;0)*($D$10:$L$10-($D$9:$L$9+INT(($S$12:$AA$12+INDEX($AJ$13:$AR$162,BN3456,0)+INDEX($AT$13:$BB$162,BO3456,0)+INDEX($BD$13:$BL$162,BP3456,0))/100)))),0)</f>
        <v/>
      </c>
      <c r="BS3456">
        <f>IF(3443&lt;$U$9,SUMPRODUCT(($D$9:$L$9+INT(($S$12:$AA$12+INDEX($AJ$13:$AR$162,BN3456,0)+INDEX($AT$13:$BB$162,BO3456,0)+INDEX($BD$13:$BL$162,BP3456,0))/100))),0)</f>
        <v/>
      </c>
      <c r="BT3456">
        <f>IF(AND(3443&lt;$U$9,$W$5),BQ3456*1000000-MIN(BR3456,999)*1000+BS3456-3443/100000,-1000000000-3443)</f>
        <v/>
      </c>
    </row>
    <row r="3457">
      <c r="BN3457">
        <f>IF(3444&lt;$U$9,INT(3444/($U$7*$U$8))+1,1)</f>
        <v/>
      </c>
      <c r="BO3457">
        <f>IF(3444&lt;$U$9,MOD(INT(3444/$U$8),$U$7)+1,1)</f>
        <v/>
      </c>
      <c r="BP3457">
        <f>IF(3444&lt;$U$9,MOD(3444,$U$8)+1,1)</f>
        <v/>
      </c>
      <c r="BQ3457">
        <f>IF(3444&lt;$U$9,SUMPRODUCT(($D$10:$L$10&lt;&gt;"")*(($D$9:$L$9+INT(($S$12:$AA$12+INDEX($AJ$13:$AR$162,BN3457,0)+INDEX($AT$13:$BB$162,BO3457,0)+INDEX($BD$13:$BL$162,BP3457,0))/100))&gt;=$D$10:$L$10)),0)</f>
        <v/>
      </c>
      <c r="BR3457">
        <f>IF(3444&lt;$U$9,SUMPRODUCT(($D$10:$L$10&lt;&gt;"")*(($D$10:$L$10-($D$9:$L$9+INT(($S$12:$AA$12+INDEX($AJ$13:$AR$162,BN3457,0)+INDEX($AT$13:$BB$162,BO3457,0)+INDEX($BD$13:$BL$162,BP3457,0))/100)))&gt;0)*($D$10:$L$10-($D$9:$L$9+INT(($S$12:$AA$12+INDEX($AJ$13:$AR$162,BN3457,0)+INDEX($AT$13:$BB$162,BO3457,0)+INDEX($BD$13:$BL$162,BP3457,0))/100)))),0)</f>
        <v/>
      </c>
      <c r="BS3457">
        <f>IF(3444&lt;$U$9,SUMPRODUCT(($D$9:$L$9+INT(($S$12:$AA$12+INDEX($AJ$13:$AR$162,BN3457,0)+INDEX($AT$13:$BB$162,BO3457,0)+INDEX($BD$13:$BL$162,BP3457,0))/100))),0)</f>
        <v/>
      </c>
      <c r="BT3457">
        <f>IF(AND(3444&lt;$U$9,$W$5),BQ3457*1000000-MIN(BR3457,999)*1000+BS3457-3444/100000,-1000000000-3444)</f>
        <v/>
      </c>
    </row>
    <row r="3458">
      <c r="BN3458">
        <f>IF(3445&lt;$U$9,INT(3445/($U$7*$U$8))+1,1)</f>
        <v/>
      </c>
      <c r="BO3458">
        <f>IF(3445&lt;$U$9,MOD(INT(3445/$U$8),$U$7)+1,1)</f>
        <v/>
      </c>
      <c r="BP3458">
        <f>IF(3445&lt;$U$9,MOD(3445,$U$8)+1,1)</f>
        <v/>
      </c>
      <c r="BQ3458">
        <f>IF(3445&lt;$U$9,SUMPRODUCT(($D$10:$L$10&lt;&gt;"")*(($D$9:$L$9+INT(($S$12:$AA$12+INDEX($AJ$13:$AR$162,BN3458,0)+INDEX($AT$13:$BB$162,BO3458,0)+INDEX($BD$13:$BL$162,BP3458,0))/100))&gt;=$D$10:$L$10)),0)</f>
        <v/>
      </c>
      <c r="BR3458">
        <f>IF(3445&lt;$U$9,SUMPRODUCT(($D$10:$L$10&lt;&gt;"")*(($D$10:$L$10-($D$9:$L$9+INT(($S$12:$AA$12+INDEX($AJ$13:$AR$162,BN3458,0)+INDEX($AT$13:$BB$162,BO3458,0)+INDEX($BD$13:$BL$162,BP3458,0))/100)))&gt;0)*($D$10:$L$10-($D$9:$L$9+INT(($S$12:$AA$12+INDEX($AJ$13:$AR$162,BN3458,0)+INDEX($AT$13:$BB$162,BO3458,0)+INDEX($BD$13:$BL$162,BP3458,0))/100)))),0)</f>
        <v/>
      </c>
      <c r="BS3458">
        <f>IF(3445&lt;$U$9,SUMPRODUCT(($D$9:$L$9+INT(($S$12:$AA$12+INDEX($AJ$13:$AR$162,BN3458,0)+INDEX($AT$13:$BB$162,BO3458,0)+INDEX($BD$13:$BL$162,BP3458,0))/100))),0)</f>
        <v/>
      </c>
      <c r="BT3458">
        <f>IF(AND(3445&lt;$U$9,$W$5),BQ3458*1000000-MIN(BR3458,999)*1000+BS3458-3445/100000,-1000000000-3445)</f>
        <v/>
      </c>
    </row>
    <row r="3459">
      <c r="BN3459">
        <f>IF(3446&lt;$U$9,INT(3446/($U$7*$U$8))+1,1)</f>
        <v/>
      </c>
      <c r="BO3459">
        <f>IF(3446&lt;$U$9,MOD(INT(3446/$U$8),$U$7)+1,1)</f>
        <v/>
      </c>
      <c r="BP3459">
        <f>IF(3446&lt;$U$9,MOD(3446,$U$8)+1,1)</f>
        <v/>
      </c>
      <c r="BQ3459">
        <f>IF(3446&lt;$U$9,SUMPRODUCT(($D$10:$L$10&lt;&gt;"")*(($D$9:$L$9+INT(($S$12:$AA$12+INDEX($AJ$13:$AR$162,BN3459,0)+INDEX($AT$13:$BB$162,BO3459,0)+INDEX($BD$13:$BL$162,BP3459,0))/100))&gt;=$D$10:$L$10)),0)</f>
        <v/>
      </c>
      <c r="BR3459">
        <f>IF(3446&lt;$U$9,SUMPRODUCT(($D$10:$L$10&lt;&gt;"")*(($D$10:$L$10-($D$9:$L$9+INT(($S$12:$AA$12+INDEX($AJ$13:$AR$162,BN3459,0)+INDEX($AT$13:$BB$162,BO3459,0)+INDEX($BD$13:$BL$162,BP3459,0))/100)))&gt;0)*($D$10:$L$10-($D$9:$L$9+INT(($S$12:$AA$12+INDEX($AJ$13:$AR$162,BN3459,0)+INDEX($AT$13:$BB$162,BO3459,0)+INDEX($BD$13:$BL$162,BP3459,0))/100)))),0)</f>
        <v/>
      </c>
      <c r="BS3459">
        <f>IF(3446&lt;$U$9,SUMPRODUCT(($D$9:$L$9+INT(($S$12:$AA$12+INDEX($AJ$13:$AR$162,BN3459,0)+INDEX($AT$13:$BB$162,BO3459,0)+INDEX($BD$13:$BL$162,BP3459,0))/100))),0)</f>
        <v/>
      </c>
      <c r="BT3459">
        <f>IF(AND(3446&lt;$U$9,$W$5),BQ3459*1000000-MIN(BR3459,999)*1000+BS3459-3446/100000,-1000000000-3446)</f>
        <v/>
      </c>
    </row>
    <row r="3460">
      <c r="BN3460">
        <f>IF(3447&lt;$U$9,INT(3447/($U$7*$U$8))+1,1)</f>
        <v/>
      </c>
      <c r="BO3460">
        <f>IF(3447&lt;$U$9,MOD(INT(3447/$U$8),$U$7)+1,1)</f>
        <v/>
      </c>
      <c r="BP3460">
        <f>IF(3447&lt;$U$9,MOD(3447,$U$8)+1,1)</f>
        <v/>
      </c>
      <c r="BQ3460">
        <f>IF(3447&lt;$U$9,SUMPRODUCT(($D$10:$L$10&lt;&gt;"")*(($D$9:$L$9+INT(($S$12:$AA$12+INDEX($AJ$13:$AR$162,BN3460,0)+INDEX($AT$13:$BB$162,BO3460,0)+INDEX($BD$13:$BL$162,BP3460,0))/100))&gt;=$D$10:$L$10)),0)</f>
        <v/>
      </c>
      <c r="BR3460">
        <f>IF(3447&lt;$U$9,SUMPRODUCT(($D$10:$L$10&lt;&gt;"")*(($D$10:$L$10-($D$9:$L$9+INT(($S$12:$AA$12+INDEX($AJ$13:$AR$162,BN3460,0)+INDEX($AT$13:$BB$162,BO3460,0)+INDEX($BD$13:$BL$162,BP3460,0))/100)))&gt;0)*($D$10:$L$10-($D$9:$L$9+INT(($S$12:$AA$12+INDEX($AJ$13:$AR$162,BN3460,0)+INDEX($AT$13:$BB$162,BO3460,0)+INDEX($BD$13:$BL$162,BP3460,0))/100)))),0)</f>
        <v/>
      </c>
      <c r="BS3460">
        <f>IF(3447&lt;$U$9,SUMPRODUCT(($D$9:$L$9+INT(($S$12:$AA$12+INDEX($AJ$13:$AR$162,BN3460,0)+INDEX($AT$13:$BB$162,BO3460,0)+INDEX($BD$13:$BL$162,BP3460,0))/100))),0)</f>
        <v/>
      </c>
      <c r="BT3460">
        <f>IF(AND(3447&lt;$U$9,$W$5),BQ3460*1000000-MIN(BR3460,999)*1000+BS3460-3447/100000,-1000000000-3447)</f>
        <v/>
      </c>
    </row>
    <row r="3461">
      <c r="BN3461">
        <f>IF(3448&lt;$U$9,INT(3448/($U$7*$U$8))+1,1)</f>
        <v/>
      </c>
      <c r="BO3461">
        <f>IF(3448&lt;$U$9,MOD(INT(3448/$U$8),$U$7)+1,1)</f>
        <v/>
      </c>
      <c r="BP3461">
        <f>IF(3448&lt;$U$9,MOD(3448,$U$8)+1,1)</f>
        <v/>
      </c>
      <c r="BQ3461">
        <f>IF(3448&lt;$U$9,SUMPRODUCT(($D$10:$L$10&lt;&gt;"")*(($D$9:$L$9+INT(($S$12:$AA$12+INDEX($AJ$13:$AR$162,BN3461,0)+INDEX($AT$13:$BB$162,BO3461,0)+INDEX($BD$13:$BL$162,BP3461,0))/100))&gt;=$D$10:$L$10)),0)</f>
        <v/>
      </c>
      <c r="BR3461">
        <f>IF(3448&lt;$U$9,SUMPRODUCT(($D$10:$L$10&lt;&gt;"")*(($D$10:$L$10-($D$9:$L$9+INT(($S$12:$AA$12+INDEX($AJ$13:$AR$162,BN3461,0)+INDEX($AT$13:$BB$162,BO3461,0)+INDEX($BD$13:$BL$162,BP3461,0))/100)))&gt;0)*($D$10:$L$10-($D$9:$L$9+INT(($S$12:$AA$12+INDEX($AJ$13:$AR$162,BN3461,0)+INDEX($AT$13:$BB$162,BO3461,0)+INDEX($BD$13:$BL$162,BP3461,0))/100)))),0)</f>
        <v/>
      </c>
      <c r="BS3461">
        <f>IF(3448&lt;$U$9,SUMPRODUCT(($D$9:$L$9+INT(($S$12:$AA$12+INDEX($AJ$13:$AR$162,BN3461,0)+INDEX($AT$13:$BB$162,BO3461,0)+INDEX($BD$13:$BL$162,BP3461,0))/100))),0)</f>
        <v/>
      </c>
      <c r="BT3461">
        <f>IF(AND(3448&lt;$U$9,$W$5),BQ3461*1000000-MIN(BR3461,999)*1000+BS3461-3448/100000,-1000000000-3448)</f>
        <v/>
      </c>
    </row>
    <row r="3462">
      <c r="BN3462">
        <f>IF(3449&lt;$U$9,INT(3449/($U$7*$U$8))+1,1)</f>
        <v/>
      </c>
      <c r="BO3462">
        <f>IF(3449&lt;$U$9,MOD(INT(3449/$U$8),$U$7)+1,1)</f>
        <v/>
      </c>
      <c r="BP3462">
        <f>IF(3449&lt;$U$9,MOD(3449,$U$8)+1,1)</f>
        <v/>
      </c>
      <c r="BQ3462">
        <f>IF(3449&lt;$U$9,SUMPRODUCT(($D$10:$L$10&lt;&gt;"")*(($D$9:$L$9+INT(($S$12:$AA$12+INDEX($AJ$13:$AR$162,BN3462,0)+INDEX($AT$13:$BB$162,BO3462,0)+INDEX($BD$13:$BL$162,BP3462,0))/100))&gt;=$D$10:$L$10)),0)</f>
        <v/>
      </c>
      <c r="BR3462">
        <f>IF(3449&lt;$U$9,SUMPRODUCT(($D$10:$L$10&lt;&gt;"")*(($D$10:$L$10-($D$9:$L$9+INT(($S$12:$AA$12+INDEX($AJ$13:$AR$162,BN3462,0)+INDEX($AT$13:$BB$162,BO3462,0)+INDEX($BD$13:$BL$162,BP3462,0))/100)))&gt;0)*($D$10:$L$10-($D$9:$L$9+INT(($S$12:$AA$12+INDEX($AJ$13:$AR$162,BN3462,0)+INDEX($AT$13:$BB$162,BO3462,0)+INDEX($BD$13:$BL$162,BP3462,0))/100)))),0)</f>
        <v/>
      </c>
      <c r="BS3462">
        <f>IF(3449&lt;$U$9,SUMPRODUCT(($D$9:$L$9+INT(($S$12:$AA$12+INDEX($AJ$13:$AR$162,BN3462,0)+INDEX($AT$13:$BB$162,BO3462,0)+INDEX($BD$13:$BL$162,BP3462,0))/100))),0)</f>
        <v/>
      </c>
      <c r="BT3462">
        <f>IF(AND(3449&lt;$U$9,$W$5),BQ3462*1000000-MIN(BR3462,999)*1000+BS3462-3449/100000,-1000000000-3449)</f>
        <v/>
      </c>
    </row>
    <row r="3463">
      <c r="BN3463">
        <f>IF(3450&lt;$U$9,INT(3450/($U$7*$U$8))+1,1)</f>
        <v/>
      </c>
      <c r="BO3463">
        <f>IF(3450&lt;$U$9,MOD(INT(3450/$U$8),$U$7)+1,1)</f>
        <v/>
      </c>
      <c r="BP3463">
        <f>IF(3450&lt;$U$9,MOD(3450,$U$8)+1,1)</f>
        <v/>
      </c>
      <c r="BQ3463">
        <f>IF(3450&lt;$U$9,SUMPRODUCT(($D$10:$L$10&lt;&gt;"")*(($D$9:$L$9+INT(($S$12:$AA$12+INDEX($AJ$13:$AR$162,BN3463,0)+INDEX($AT$13:$BB$162,BO3463,0)+INDEX($BD$13:$BL$162,BP3463,0))/100))&gt;=$D$10:$L$10)),0)</f>
        <v/>
      </c>
      <c r="BR3463">
        <f>IF(3450&lt;$U$9,SUMPRODUCT(($D$10:$L$10&lt;&gt;"")*(($D$10:$L$10-($D$9:$L$9+INT(($S$12:$AA$12+INDEX($AJ$13:$AR$162,BN3463,0)+INDEX($AT$13:$BB$162,BO3463,0)+INDEX($BD$13:$BL$162,BP3463,0))/100)))&gt;0)*($D$10:$L$10-($D$9:$L$9+INT(($S$12:$AA$12+INDEX($AJ$13:$AR$162,BN3463,0)+INDEX($AT$13:$BB$162,BO3463,0)+INDEX($BD$13:$BL$162,BP3463,0))/100)))),0)</f>
        <v/>
      </c>
      <c r="BS3463">
        <f>IF(3450&lt;$U$9,SUMPRODUCT(($D$9:$L$9+INT(($S$12:$AA$12+INDEX($AJ$13:$AR$162,BN3463,0)+INDEX($AT$13:$BB$162,BO3463,0)+INDEX($BD$13:$BL$162,BP3463,0))/100))),0)</f>
        <v/>
      </c>
      <c r="BT3463">
        <f>IF(AND(3450&lt;$U$9,$W$5),BQ3463*1000000-MIN(BR3463,999)*1000+BS3463-3450/100000,-1000000000-3450)</f>
        <v/>
      </c>
    </row>
    <row r="3464">
      <c r="BN3464">
        <f>IF(3451&lt;$U$9,INT(3451/($U$7*$U$8))+1,1)</f>
        <v/>
      </c>
      <c r="BO3464">
        <f>IF(3451&lt;$U$9,MOD(INT(3451/$U$8),$U$7)+1,1)</f>
        <v/>
      </c>
      <c r="BP3464">
        <f>IF(3451&lt;$U$9,MOD(3451,$U$8)+1,1)</f>
        <v/>
      </c>
      <c r="BQ3464">
        <f>IF(3451&lt;$U$9,SUMPRODUCT(($D$10:$L$10&lt;&gt;"")*(($D$9:$L$9+INT(($S$12:$AA$12+INDEX($AJ$13:$AR$162,BN3464,0)+INDEX($AT$13:$BB$162,BO3464,0)+INDEX($BD$13:$BL$162,BP3464,0))/100))&gt;=$D$10:$L$10)),0)</f>
        <v/>
      </c>
      <c r="BR3464">
        <f>IF(3451&lt;$U$9,SUMPRODUCT(($D$10:$L$10&lt;&gt;"")*(($D$10:$L$10-($D$9:$L$9+INT(($S$12:$AA$12+INDEX($AJ$13:$AR$162,BN3464,0)+INDEX($AT$13:$BB$162,BO3464,0)+INDEX($BD$13:$BL$162,BP3464,0))/100)))&gt;0)*($D$10:$L$10-($D$9:$L$9+INT(($S$12:$AA$12+INDEX($AJ$13:$AR$162,BN3464,0)+INDEX($AT$13:$BB$162,BO3464,0)+INDEX($BD$13:$BL$162,BP3464,0))/100)))),0)</f>
        <v/>
      </c>
      <c r="BS3464">
        <f>IF(3451&lt;$U$9,SUMPRODUCT(($D$9:$L$9+INT(($S$12:$AA$12+INDEX($AJ$13:$AR$162,BN3464,0)+INDEX($AT$13:$BB$162,BO3464,0)+INDEX($BD$13:$BL$162,BP3464,0))/100))),0)</f>
        <v/>
      </c>
      <c r="BT3464">
        <f>IF(AND(3451&lt;$U$9,$W$5),BQ3464*1000000-MIN(BR3464,999)*1000+BS3464-3451/100000,-1000000000-3451)</f>
        <v/>
      </c>
    </row>
    <row r="3465">
      <c r="BN3465">
        <f>IF(3452&lt;$U$9,INT(3452/($U$7*$U$8))+1,1)</f>
        <v/>
      </c>
      <c r="BO3465">
        <f>IF(3452&lt;$U$9,MOD(INT(3452/$U$8),$U$7)+1,1)</f>
        <v/>
      </c>
      <c r="BP3465">
        <f>IF(3452&lt;$U$9,MOD(3452,$U$8)+1,1)</f>
        <v/>
      </c>
      <c r="BQ3465">
        <f>IF(3452&lt;$U$9,SUMPRODUCT(($D$10:$L$10&lt;&gt;"")*(($D$9:$L$9+INT(($S$12:$AA$12+INDEX($AJ$13:$AR$162,BN3465,0)+INDEX($AT$13:$BB$162,BO3465,0)+INDEX($BD$13:$BL$162,BP3465,0))/100))&gt;=$D$10:$L$10)),0)</f>
        <v/>
      </c>
      <c r="BR3465">
        <f>IF(3452&lt;$U$9,SUMPRODUCT(($D$10:$L$10&lt;&gt;"")*(($D$10:$L$10-($D$9:$L$9+INT(($S$12:$AA$12+INDEX($AJ$13:$AR$162,BN3465,0)+INDEX($AT$13:$BB$162,BO3465,0)+INDEX($BD$13:$BL$162,BP3465,0))/100)))&gt;0)*($D$10:$L$10-($D$9:$L$9+INT(($S$12:$AA$12+INDEX($AJ$13:$AR$162,BN3465,0)+INDEX($AT$13:$BB$162,BO3465,0)+INDEX($BD$13:$BL$162,BP3465,0))/100)))),0)</f>
        <v/>
      </c>
      <c r="BS3465">
        <f>IF(3452&lt;$U$9,SUMPRODUCT(($D$9:$L$9+INT(($S$12:$AA$12+INDEX($AJ$13:$AR$162,BN3465,0)+INDEX($AT$13:$BB$162,BO3465,0)+INDEX($BD$13:$BL$162,BP3465,0))/100))),0)</f>
        <v/>
      </c>
      <c r="BT3465">
        <f>IF(AND(3452&lt;$U$9,$W$5),BQ3465*1000000-MIN(BR3465,999)*1000+BS3465-3452/100000,-1000000000-3452)</f>
        <v/>
      </c>
    </row>
    <row r="3466">
      <c r="BN3466">
        <f>IF(3453&lt;$U$9,INT(3453/($U$7*$U$8))+1,1)</f>
        <v/>
      </c>
      <c r="BO3466">
        <f>IF(3453&lt;$U$9,MOD(INT(3453/$U$8),$U$7)+1,1)</f>
        <v/>
      </c>
      <c r="BP3466">
        <f>IF(3453&lt;$U$9,MOD(3453,$U$8)+1,1)</f>
        <v/>
      </c>
      <c r="BQ3466">
        <f>IF(3453&lt;$U$9,SUMPRODUCT(($D$10:$L$10&lt;&gt;"")*(($D$9:$L$9+INT(($S$12:$AA$12+INDEX($AJ$13:$AR$162,BN3466,0)+INDEX($AT$13:$BB$162,BO3466,0)+INDEX($BD$13:$BL$162,BP3466,0))/100))&gt;=$D$10:$L$10)),0)</f>
        <v/>
      </c>
      <c r="BR3466">
        <f>IF(3453&lt;$U$9,SUMPRODUCT(($D$10:$L$10&lt;&gt;"")*(($D$10:$L$10-($D$9:$L$9+INT(($S$12:$AA$12+INDEX($AJ$13:$AR$162,BN3466,0)+INDEX($AT$13:$BB$162,BO3466,0)+INDEX($BD$13:$BL$162,BP3466,0))/100)))&gt;0)*($D$10:$L$10-($D$9:$L$9+INT(($S$12:$AA$12+INDEX($AJ$13:$AR$162,BN3466,0)+INDEX($AT$13:$BB$162,BO3466,0)+INDEX($BD$13:$BL$162,BP3466,0))/100)))),0)</f>
        <v/>
      </c>
      <c r="BS3466">
        <f>IF(3453&lt;$U$9,SUMPRODUCT(($D$9:$L$9+INT(($S$12:$AA$12+INDEX($AJ$13:$AR$162,BN3466,0)+INDEX($AT$13:$BB$162,BO3466,0)+INDEX($BD$13:$BL$162,BP3466,0))/100))),0)</f>
        <v/>
      </c>
      <c r="BT3466">
        <f>IF(AND(3453&lt;$U$9,$W$5),BQ3466*1000000-MIN(BR3466,999)*1000+BS3466-3453/100000,-1000000000-3453)</f>
        <v/>
      </c>
    </row>
    <row r="3467">
      <c r="BN3467">
        <f>IF(3454&lt;$U$9,INT(3454/($U$7*$U$8))+1,1)</f>
        <v/>
      </c>
      <c r="BO3467">
        <f>IF(3454&lt;$U$9,MOD(INT(3454/$U$8),$U$7)+1,1)</f>
        <v/>
      </c>
      <c r="BP3467">
        <f>IF(3454&lt;$U$9,MOD(3454,$U$8)+1,1)</f>
        <v/>
      </c>
      <c r="BQ3467">
        <f>IF(3454&lt;$U$9,SUMPRODUCT(($D$10:$L$10&lt;&gt;"")*(($D$9:$L$9+INT(($S$12:$AA$12+INDEX($AJ$13:$AR$162,BN3467,0)+INDEX($AT$13:$BB$162,BO3467,0)+INDEX($BD$13:$BL$162,BP3467,0))/100))&gt;=$D$10:$L$10)),0)</f>
        <v/>
      </c>
      <c r="BR3467">
        <f>IF(3454&lt;$U$9,SUMPRODUCT(($D$10:$L$10&lt;&gt;"")*(($D$10:$L$10-($D$9:$L$9+INT(($S$12:$AA$12+INDEX($AJ$13:$AR$162,BN3467,0)+INDEX($AT$13:$BB$162,BO3467,0)+INDEX($BD$13:$BL$162,BP3467,0))/100)))&gt;0)*($D$10:$L$10-($D$9:$L$9+INT(($S$12:$AA$12+INDEX($AJ$13:$AR$162,BN3467,0)+INDEX($AT$13:$BB$162,BO3467,0)+INDEX($BD$13:$BL$162,BP3467,0))/100)))),0)</f>
        <v/>
      </c>
      <c r="BS3467">
        <f>IF(3454&lt;$U$9,SUMPRODUCT(($D$9:$L$9+INT(($S$12:$AA$12+INDEX($AJ$13:$AR$162,BN3467,0)+INDEX($AT$13:$BB$162,BO3467,0)+INDEX($BD$13:$BL$162,BP3467,0))/100))),0)</f>
        <v/>
      </c>
      <c r="BT3467">
        <f>IF(AND(3454&lt;$U$9,$W$5),BQ3467*1000000-MIN(BR3467,999)*1000+BS3467-3454/100000,-1000000000-3454)</f>
        <v/>
      </c>
    </row>
    <row r="3468">
      <c r="BN3468">
        <f>IF(3455&lt;$U$9,INT(3455/($U$7*$U$8))+1,1)</f>
        <v/>
      </c>
      <c r="BO3468">
        <f>IF(3455&lt;$U$9,MOD(INT(3455/$U$8),$U$7)+1,1)</f>
        <v/>
      </c>
      <c r="BP3468">
        <f>IF(3455&lt;$U$9,MOD(3455,$U$8)+1,1)</f>
        <v/>
      </c>
      <c r="BQ3468">
        <f>IF(3455&lt;$U$9,SUMPRODUCT(($D$10:$L$10&lt;&gt;"")*(($D$9:$L$9+INT(($S$12:$AA$12+INDEX($AJ$13:$AR$162,BN3468,0)+INDEX($AT$13:$BB$162,BO3468,0)+INDEX($BD$13:$BL$162,BP3468,0))/100))&gt;=$D$10:$L$10)),0)</f>
        <v/>
      </c>
      <c r="BR3468">
        <f>IF(3455&lt;$U$9,SUMPRODUCT(($D$10:$L$10&lt;&gt;"")*(($D$10:$L$10-($D$9:$L$9+INT(($S$12:$AA$12+INDEX($AJ$13:$AR$162,BN3468,0)+INDEX($AT$13:$BB$162,BO3468,0)+INDEX($BD$13:$BL$162,BP3468,0))/100)))&gt;0)*($D$10:$L$10-($D$9:$L$9+INT(($S$12:$AA$12+INDEX($AJ$13:$AR$162,BN3468,0)+INDEX($AT$13:$BB$162,BO3468,0)+INDEX($BD$13:$BL$162,BP3468,0))/100)))),0)</f>
        <v/>
      </c>
      <c r="BS3468">
        <f>IF(3455&lt;$U$9,SUMPRODUCT(($D$9:$L$9+INT(($S$12:$AA$12+INDEX($AJ$13:$AR$162,BN3468,0)+INDEX($AT$13:$BB$162,BO3468,0)+INDEX($BD$13:$BL$162,BP3468,0))/100))),0)</f>
        <v/>
      </c>
      <c r="BT3468">
        <f>IF(AND(3455&lt;$U$9,$W$5),BQ3468*1000000-MIN(BR3468,999)*1000+BS3468-3455/100000,-1000000000-3455)</f>
        <v/>
      </c>
    </row>
    <row r="3469">
      <c r="BN3469">
        <f>IF(3456&lt;$U$9,INT(3456/($U$7*$U$8))+1,1)</f>
        <v/>
      </c>
      <c r="BO3469">
        <f>IF(3456&lt;$U$9,MOD(INT(3456/$U$8),$U$7)+1,1)</f>
        <v/>
      </c>
      <c r="BP3469">
        <f>IF(3456&lt;$U$9,MOD(3456,$U$8)+1,1)</f>
        <v/>
      </c>
      <c r="BQ3469">
        <f>IF(3456&lt;$U$9,SUMPRODUCT(($D$10:$L$10&lt;&gt;"")*(($D$9:$L$9+INT(($S$12:$AA$12+INDEX($AJ$13:$AR$162,BN3469,0)+INDEX($AT$13:$BB$162,BO3469,0)+INDEX($BD$13:$BL$162,BP3469,0))/100))&gt;=$D$10:$L$10)),0)</f>
        <v/>
      </c>
      <c r="BR3469">
        <f>IF(3456&lt;$U$9,SUMPRODUCT(($D$10:$L$10&lt;&gt;"")*(($D$10:$L$10-($D$9:$L$9+INT(($S$12:$AA$12+INDEX($AJ$13:$AR$162,BN3469,0)+INDEX($AT$13:$BB$162,BO3469,0)+INDEX($BD$13:$BL$162,BP3469,0))/100)))&gt;0)*($D$10:$L$10-($D$9:$L$9+INT(($S$12:$AA$12+INDEX($AJ$13:$AR$162,BN3469,0)+INDEX($AT$13:$BB$162,BO3469,0)+INDEX($BD$13:$BL$162,BP3469,0))/100)))),0)</f>
        <v/>
      </c>
      <c r="BS3469">
        <f>IF(3456&lt;$U$9,SUMPRODUCT(($D$9:$L$9+INT(($S$12:$AA$12+INDEX($AJ$13:$AR$162,BN3469,0)+INDEX($AT$13:$BB$162,BO3469,0)+INDEX($BD$13:$BL$162,BP3469,0))/100))),0)</f>
        <v/>
      </c>
      <c r="BT3469">
        <f>IF(AND(3456&lt;$U$9,$W$5),BQ3469*1000000-MIN(BR3469,999)*1000+BS3469-3456/100000,-1000000000-3456)</f>
        <v/>
      </c>
    </row>
    <row r="3470">
      <c r="BN3470">
        <f>IF(3457&lt;$U$9,INT(3457/($U$7*$U$8))+1,1)</f>
        <v/>
      </c>
      <c r="BO3470">
        <f>IF(3457&lt;$U$9,MOD(INT(3457/$U$8),$U$7)+1,1)</f>
        <v/>
      </c>
      <c r="BP3470">
        <f>IF(3457&lt;$U$9,MOD(3457,$U$8)+1,1)</f>
        <v/>
      </c>
      <c r="BQ3470">
        <f>IF(3457&lt;$U$9,SUMPRODUCT(($D$10:$L$10&lt;&gt;"")*(($D$9:$L$9+INT(($S$12:$AA$12+INDEX($AJ$13:$AR$162,BN3470,0)+INDEX($AT$13:$BB$162,BO3470,0)+INDEX($BD$13:$BL$162,BP3470,0))/100))&gt;=$D$10:$L$10)),0)</f>
        <v/>
      </c>
      <c r="BR3470">
        <f>IF(3457&lt;$U$9,SUMPRODUCT(($D$10:$L$10&lt;&gt;"")*(($D$10:$L$10-($D$9:$L$9+INT(($S$12:$AA$12+INDEX($AJ$13:$AR$162,BN3470,0)+INDEX($AT$13:$BB$162,BO3470,0)+INDEX($BD$13:$BL$162,BP3470,0))/100)))&gt;0)*($D$10:$L$10-($D$9:$L$9+INT(($S$12:$AA$12+INDEX($AJ$13:$AR$162,BN3470,0)+INDEX($AT$13:$BB$162,BO3470,0)+INDEX($BD$13:$BL$162,BP3470,0))/100)))),0)</f>
        <v/>
      </c>
      <c r="BS3470">
        <f>IF(3457&lt;$U$9,SUMPRODUCT(($D$9:$L$9+INT(($S$12:$AA$12+INDEX($AJ$13:$AR$162,BN3470,0)+INDEX($AT$13:$BB$162,BO3470,0)+INDEX($BD$13:$BL$162,BP3470,0))/100))),0)</f>
        <v/>
      </c>
      <c r="BT3470">
        <f>IF(AND(3457&lt;$U$9,$W$5),BQ3470*1000000-MIN(BR3470,999)*1000+BS3470-3457/100000,-1000000000-3457)</f>
        <v/>
      </c>
    </row>
    <row r="3471">
      <c r="BN3471">
        <f>IF(3458&lt;$U$9,INT(3458/($U$7*$U$8))+1,1)</f>
        <v/>
      </c>
      <c r="BO3471">
        <f>IF(3458&lt;$U$9,MOD(INT(3458/$U$8),$U$7)+1,1)</f>
        <v/>
      </c>
      <c r="BP3471">
        <f>IF(3458&lt;$U$9,MOD(3458,$U$8)+1,1)</f>
        <v/>
      </c>
      <c r="BQ3471">
        <f>IF(3458&lt;$U$9,SUMPRODUCT(($D$10:$L$10&lt;&gt;"")*(($D$9:$L$9+INT(($S$12:$AA$12+INDEX($AJ$13:$AR$162,BN3471,0)+INDEX($AT$13:$BB$162,BO3471,0)+INDEX($BD$13:$BL$162,BP3471,0))/100))&gt;=$D$10:$L$10)),0)</f>
        <v/>
      </c>
      <c r="BR3471">
        <f>IF(3458&lt;$U$9,SUMPRODUCT(($D$10:$L$10&lt;&gt;"")*(($D$10:$L$10-($D$9:$L$9+INT(($S$12:$AA$12+INDEX($AJ$13:$AR$162,BN3471,0)+INDEX($AT$13:$BB$162,BO3471,0)+INDEX($BD$13:$BL$162,BP3471,0))/100)))&gt;0)*($D$10:$L$10-($D$9:$L$9+INT(($S$12:$AA$12+INDEX($AJ$13:$AR$162,BN3471,0)+INDEX($AT$13:$BB$162,BO3471,0)+INDEX($BD$13:$BL$162,BP3471,0))/100)))),0)</f>
        <v/>
      </c>
      <c r="BS3471">
        <f>IF(3458&lt;$U$9,SUMPRODUCT(($D$9:$L$9+INT(($S$12:$AA$12+INDEX($AJ$13:$AR$162,BN3471,0)+INDEX($AT$13:$BB$162,BO3471,0)+INDEX($BD$13:$BL$162,BP3471,0))/100))),0)</f>
        <v/>
      </c>
      <c r="BT3471">
        <f>IF(AND(3458&lt;$U$9,$W$5),BQ3471*1000000-MIN(BR3471,999)*1000+BS3471-3458/100000,-1000000000-3458)</f>
        <v/>
      </c>
    </row>
    <row r="3472">
      <c r="BN3472">
        <f>IF(3459&lt;$U$9,INT(3459/($U$7*$U$8))+1,1)</f>
        <v/>
      </c>
      <c r="BO3472">
        <f>IF(3459&lt;$U$9,MOD(INT(3459/$U$8),$U$7)+1,1)</f>
        <v/>
      </c>
      <c r="BP3472">
        <f>IF(3459&lt;$U$9,MOD(3459,$U$8)+1,1)</f>
        <v/>
      </c>
      <c r="BQ3472">
        <f>IF(3459&lt;$U$9,SUMPRODUCT(($D$10:$L$10&lt;&gt;"")*(($D$9:$L$9+INT(($S$12:$AA$12+INDEX($AJ$13:$AR$162,BN3472,0)+INDEX($AT$13:$BB$162,BO3472,0)+INDEX($BD$13:$BL$162,BP3472,0))/100))&gt;=$D$10:$L$10)),0)</f>
        <v/>
      </c>
      <c r="BR3472">
        <f>IF(3459&lt;$U$9,SUMPRODUCT(($D$10:$L$10&lt;&gt;"")*(($D$10:$L$10-($D$9:$L$9+INT(($S$12:$AA$12+INDEX($AJ$13:$AR$162,BN3472,0)+INDEX($AT$13:$BB$162,BO3472,0)+INDEX($BD$13:$BL$162,BP3472,0))/100)))&gt;0)*($D$10:$L$10-($D$9:$L$9+INT(($S$12:$AA$12+INDEX($AJ$13:$AR$162,BN3472,0)+INDEX($AT$13:$BB$162,BO3472,0)+INDEX($BD$13:$BL$162,BP3472,0))/100)))),0)</f>
        <v/>
      </c>
      <c r="BS3472">
        <f>IF(3459&lt;$U$9,SUMPRODUCT(($D$9:$L$9+INT(($S$12:$AA$12+INDEX($AJ$13:$AR$162,BN3472,0)+INDEX($AT$13:$BB$162,BO3472,0)+INDEX($BD$13:$BL$162,BP3472,0))/100))),0)</f>
        <v/>
      </c>
      <c r="BT3472">
        <f>IF(AND(3459&lt;$U$9,$W$5),BQ3472*1000000-MIN(BR3472,999)*1000+BS3472-3459/100000,-1000000000-3459)</f>
        <v/>
      </c>
    </row>
    <row r="3473">
      <c r="BN3473">
        <f>IF(3460&lt;$U$9,INT(3460/($U$7*$U$8))+1,1)</f>
        <v/>
      </c>
      <c r="BO3473">
        <f>IF(3460&lt;$U$9,MOD(INT(3460/$U$8),$U$7)+1,1)</f>
        <v/>
      </c>
      <c r="BP3473">
        <f>IF(3460&lt;$U$9,MOD(3460,$U$8)+1,1)</f>
        <v/>
      </c>
      <c r="BQ3473">
        <f>IF(3460&lt;$U$9,SUMPRODUCT(($D$10:$L$10&lt;&gt;"")*(($D$9:$L$9+INT(($S$12:$AA$12+INDEX($AJ$13:$AR$162,BN3473,0)+INDEX($AT$13:$BB$162,BO3473,0)+INDEX($BD$13:$BL$162,BP3473,0))/100))&gt;=$D$10:$L$10)),0)</f>
        <v/>
      </c>
      <c r="BR3473">
        <f>IF(3460&lt;$U$9,SUMPRODUCT(($D$10:$L$10&lt;&gt;"")*(($D$10:$L$10-($D$9:$L$9+INT(($S$12:$AA$12+INDEX($AJ$13:$AR$162,BN3473,0)+INDEX($AT$13:$BB$162,BO3473,0)+INDEX($BD$13:$BL$162,BP3473,0))/100)))&gt;0)*($D$10:$L$10-($D$9:$L$9+INT(($S$12:$AA$12+INDEX($AJ$13:$AR$162,BN3473,0)+INDEX($AT$13:$BB$162,BO3473,0)+INDEX($BD$13:$BL$162,BP3473,0))/100)))),0)</f>
        <v/>
      </c>
      <c r="BS3473">
        <f>IF(3460&lt;$U$9,SUMPRODUCT(($D$9:$L$9+INT(($S$12:$AA$12+INDEX($AJ$13:$AR$162,BN3473,0)+INDEX($AT$13:$BB$162,BO3473,0)+INDEX($BD$13:$BL$162,BP3473,0))/100))),0)</f>
        <v/>
      </c>
      <c r="BT3473">
        <f>IF(AND(3460&lt;$U$9,$W$5),BQ3473*1000000-MIN(BR3473,999)*1000+BS3473-3460/100000,-1000000000-3460)</f>
        <v/>
      </c>
    </row>
    <row r="3474">
      <c r="BN3474">
        <f>IF(3461&lt;$U$9,INT(3461/($U$7*$U$8))+1,1)</f>
        <v/>
      </c>
      <c r="BO3474">
        <f>IF(3461&lt;$U$9,MOD(INT(3461/$U$8),$U$7)+1,1)</f>
        <v/>
      </c>
      <c r="BP3474">
        <f>IF(3461&lt;$U$9,MOD(3461,$U$8)+1,1)</f>
        <v/>
      </c>
      <c r="BQ3474">
        <f>IF(3461&lt;$U$9,SUMPRODUCT(($D$10:$L$10&lt;&gt;"")*(($D$9:$L$9+INT(($S$12:$AA$12+INDEX($AJ$13:$AR$162,BN3474,0)+INDEX($AT$13:$BB$162,BO3474,0)+INDEX($BD$13:$BL$162,BP3474,0))/100))&gt;=$D$10:$L$10)),0)</f>
        <v/>
      </c>
      <c r="BR3474">
        <f>IF(3461&lt;$U$9,SUMPRODUCT(($D$10:$L$10&lt;&gt;"")*(($D$10:$L$10-($D$9:$L$9+INT(($S$12:$AA$12+INDEX($AJ$13:$AR$162,BN3474,0)+INDEX($AT$13:$BB$162,BO3474,0)+INDEX($BD$13:$BL$162,BP3474,0))/100)))&gt;0)*($D$10:$L$10-($D$9:$L$9+INT(($S$12:$AA$12+INDEX($AJ$13:$AR$162,BN3474,0)+INDEX($AT$13:$BB$162,BO3474,0)+INDEX($BD$13:$BL$162,BP3474,0))/100)))),0)</f>
        <v/>
      </c>
      <c r="BS3474">
        <f>IF(3461&lt;$U$9,SUMPRODUCT(($D$9:$L$9+INT(($S$12:$AA$12+INDEX($AJ$13:$AR$162,BN3474,0)+INDEX($AT$13:$BB$162,BO3474,0)+INDEX($BD$13:$BL$162,BP3474,0))/100))),0)</f>
        <v/>
      </c>
      <c r="BT3474">
        <f>IF(AND(3461&lt;$U$9,$W$5),BQ3474*1000000-MIN(BR3474,999)*1000+BS3474-3461/100000,-1000000000-3461)</f>
        <v/>
      </c>
    </row>
    <row r="3475">
      <c r="BN3475">
        <f>IF(3462&lt;$U$9,INT(3462/($U$7*$U$8))+1,1)</f>
        <v/>
      </c>
      <c r="BO3475">
        <f>IF(3462&lt;$U$9,MOD(INT(3462/$U$8),$U$7)+1,1)</f>
        <v/>
      </c>
      <c r="BP3475">
        <f>IF(3462&lt;$U$9,MOD(3462,$U$8)+1,1)</f>
        <v/>
      </c>
      <c r="BQ3475">
        <f>IF(3462&lt;$U$9,SUMPRODUCT(($D$10:$L$10&lt;&gt;"")*(($D$9:$L$9+INT(($S$12:$AA$12+INDEX($AJ$13:$AR$162,BN3475,0)+INDEX($AT$13:$BB$162,BO3475,0)+INDEX($BD$13:$BL$162,BP3475,0))/100))&gt;=$D$10:$L$10)),0)</f>
        <v/>
      </c>
      <c r="BR3475">
        <f>IF(3462&lt;$U$9,SUMPRODUCT(($D$10:$L$10&lt;&gt;"")*(($D$10:$L$10-($D$9:$L$9+INT(($S$12:$AA$12+INDEX($AJ$13:$AR$162,BN3475,0)+INDEX($AT$13:$BB$162,BO3475,0)+INDEX($BD$13:$BL$162,BP3475,0))/100)))&gt;0)*($D$10:$L$10-($D$9:$L$9+INT(($S$12:$AA$12+INDEX($AJ$13:$AR$162,BN3475,0)+INDEX($AT$13:$BB$162,BO3475,0)+INDEX($BD$13:$BL$162,BP3475,0))/100)))),0)</f>
        <v/>
      </c>
      <c r="BS3475">
        <f>IF(3462&lt;$U$9,SUMPRODUCT(($D$9:$L$9+INT(($S$12:$AA$12+INDEX($AJ$13:$AR$162,BN3475,0)+INDEX($AT$13:$BB$162,BO3475,0)+INDEX($BD$13:$BL$162,BP3475,0))/100))),0)</f>
        <v/>
      </c>
      <c r="BT3475">
        <f>IF(AND(3462&lt;$U$9,$W$5),BQ3475*1000000-MIN(BR3475,999)*1000+BS3475-3462/100000,-1000000000-3462)</f>
        <v/>
      </c>
    </row>
    <row r="3476">
      <c r="BN3476">
        <f>IF(3463&lt;$U$9,INT(3463/($U$7*$U$8))+1,1)</f>
        <v/>
      </c>
      <c r="BO3476">
        <f>IF(3463&lt;$U$9,MOD(INT(3463/$U$8),$U$7)+1,1)</f>
        <v/>
      </c>
      <c r="BP3476">
        <f>IF(3463&lt;$U$9,MOD(3463,$U$8)+1,1)</f>
        <v/>
      </c>
      <c r="BQ3476">
        <f>IF(3463&lt;$U$9,SUMPRODUCT(($D$10:$L$10&lt;&gt;"")*(($D$9:$L$9+INT(($S$12:$AA$12+INDEX($AJ$13:$AR$162,BN3476,0)+INDEX($AT$13:$BB$162,BO3476,0)+INDEX($BD$13:$BL$162,BP3476,0))/100))&gt;=$D$10:$L$10)),0)</f>
        <v/>
      </c>
      <c r="BR3476">
        <f>IF(3463&lt;$U$9,SUMPRODUCT(($D$10:$L$10&lt;&gt;"")*(($D$10:$L$10-($D$9:$L$9+INT(($S$12:$AA$12+INDEX($AJ$13:$AR$162,BN3476,0)+INDEX($AT$13:$BB$162,BO3476,0)+INDEX($BD$13:$BL$162,BP3476,0))/100)))&gt;0)*($D$10:$L$10-($D$9:$L$9+INT(($S$12:$AA$12+INDEX($AJ$13:$AR$162,BN3476,0)+INDEX($AT$13:$BB$162,BO3476,0)+INDEX($BD$13:$BL$162,BP3476,0))/100)))),0)</f>
        <v/>
      </c>
      <c r="BS3476">
        <f>IF(3463&lt;$U$9,SUMPRODUCT(($D$9:$L$9+INT(($S$12:$AA$12+INDEX($AJ$13:$AR$162,BN3476,0)+INDEX($AT$13:$BB$162,BO3476,0)+INDEX($BD$13:$BL$162,BP3476,0))/100))),0)</f>
        <v/>
      </c>
      <c r="BT3476">
        <f>IF(AND(3463&lt;$U$9,$W$5),BQ3476*1000000-MIN(BR3476,999)*1000+BS3476-3463/100000,-1000000000-3463)</f>
        <v/>
      </c>
    </row>
    <row r="3477">
      <c r="BN3477">
        <f>IF(3464&lt;$U$9,INT(3464/($U$7*$U$8))+1,1)</f>
        <v/>
      </c>
      <c r="BO3477">
        <f>IF(3464&lt;$U$9,MOD(INT(3464/$U$8),$U$7)+1,1)</f>
        <v/>
      </c>
      <c r="BP3477">
        <f>IF(3464&lt;$U$9,MOD(3464,$U$8)+1,1)</f>
        <v/>
      </c>
      <c r="BQ3477">
        <f>IF(3464&lt;$U$9,SUMPRODUCT(($D$10:$L$10&lt;&gt;"")*(($D$9:$L$9+INT(($S$12:$AA$12+INDEX($AJ$13:$AR$162,BN3477,0)+INDEX($AT$13:$BB$162,BO3477,0)+INDEX($BD$13:$BL$162,BP3477,0))/100))&gt;=$D$10:$L$10)),0)</f>
        <v/>
      </c>
      <c r="BR3477">
        <f>IF(3464&lt;$U$9,SUMPRODUCT(($D$10:$L$10&lt;&gt;"")*(($D$10:$L$10-($D$9:$L$9+INT(($S$12:$AA$12+INDEX($AJ$13:$AR$162,BN3477,0)+INDEX($AT$13:$BB$162,BO3477,0)+INDEX($BD$13:$BL$162,BP3477,0))/100)))&gt;0)*($D$10:$L$10-($D$9:$L$9+INT(($S$12:$AA$12+INDEX($AJ$13:$AR$162,BN3477,0)+INDEX($AT$13:$BB$162,BO3477,0)+INDEX($BD$13:$BL$162,BP3477,0))/100)))),0)</f>
        <v/>
      </c>
      <c r="BS3477">
        <f>IF(3464&lt;$U$9,SUMPRODUCT(($D$9:$L$9+INT(($S$12:$AA$12+INDEX($AJ$13:$AR$162,BN3477,0)+INDEX($AT$13:$BB$162,BO3477,0)+INDEX($BD$13:$BL$162,BP3477,0))/100))),0)</f>
        <v/>
      </c>
      <c r="BT3477">
        <f>IF(AND(3464&lt;$U$9,$W$5),BQ3477*1000000-MIN(BR3477,999)*1000+BS3477-3464/100000,-1000000000-3464)</f>
        <v/>
      </c>
    </row>
    <row r="3478">
      <c r="BN3478">
        <f>IF(3465&lt;$U$9,INT(3465/($U$7*$U$8))+1,1)</f>
        <v/>
      </c>
      <c r="BO3478">
        <f>IF(3465&lt;$U$9,MOD(INT(3465/$U$8),$U$7)+1,1)</f>
        <v/>
      </c>
      <c r="BP3478">
        <f>IF(3465&lt;$U$9,MOD(3465,$U$8)+1,1)</f>
        <v/>
      </c>
      <c r="BQ3478">
        <f>IF(3465&lt;$U$9,SUMPRODUCT(($D$10:$L$10&lt;&gt;"")*(($D$9:$L$9+INT(($S$12:$AA$12+INDEX($AJ$13:$AR$162,BN3478,0)+INDEX($AT$13:$BB$162,BO3478,0)+INDEX($BD$13:$BL$162,BP3478,0))/100))&gt;=$D$10:$L$10)),0)</f>
        <v/>
      </c>
      <c r="BR3478">
        <f>IF(3465&lt;$U$9,SUMPRODUCT(($D$10:$L$10&lt;&gt;"")*(($D$10:$L$10-($D$9:$L$9+INT(($S$12:$AA$12+INDEX($AJ$13:$AR$162,BN3478,0)+INDEX($AT$13:$BB$162,BO3478,0)+INDEX($BD$13:$BL$162,BP3478,0))/100)))&gt;0)*($D$10:$L$10-($D$9:$L$9+INT(($S$12:$AA$12+INDEX($AJ$13:$AR$162,BN3478,0)+INDEX($AT$13:$BB$162,BO3478,0)+INDEX($BD$13:$BL$162,BP3478,0))/100)))),0)</f>
        <v/>
      </c>
      <c r="BS3478">
        <f>IF(3465&lt;$U$9,SUMPRODUCT(($D$9:$L$9+INT(($S$12:$AA$12+INDEX($AJ$13:$AR$162,BN3478,0)+INDEX($AT$13:$BB$162,BO3478,0)+INDEX($BD$13:$BL$162,BP3478,0))/100))),0)</f>
        <v/>
      </c>
      <c r="BT3478">
        <f>IF(AND(3465&lt;$U$9,$W$5),BQ3478*1000000-MIN(BR3478,999)*1000+BS3478-3465/100000,-1000000000-3465)</f>
        <v/>
      </c>
    </row>
    <row r="3479">
      <c r="BN3479">
        <f>IF(3466&lt;$U$9,INT(3466/($U$7*$U$8))+1,1)</f>
        <v/>
      </c>
      <c r="BO3479">
        <f>IF(3466&lt;$U$9,MOD(INT(3466/$U$8),$U$7)+1,1)</f>
        <v/>
      </c>
      <c r="BP3479">
        <f>IF(3466&lt;$U$9,MOD(3466,$U$8)+1,1)</f>
        <v/>
      </c>
      <c r="BQ3479">
        <f>IF(3466&lt;$U$9,SUMPRODUCT(($D$10:$L$10&lt;&gt;"")*(($D$9:$L$9+INT(($S$12:$AA$12+INDEX($AJ$13:$AR$162,BN3479,0)+INDEX($AT$13:$BB$162,BO3479,0)+INDEX($BD$13:$BL$162,BP3479,0))/100))&gt;=$D$10:$L$10)),0)</f>
        <v/>
      </c>
      <c r="BR3479">
        <f>IF(3466&lt;$U$9,SUMPRODUCT(($D$10:$L$10&lt;&gt;"")*(($D$10:$L$10-($D$9:$L$9+INT(($S$12:$AA$12+INDEX($AJ$13:$AR$162,BN3479,0)+INDEX($AT$13:$BB$162,BO3479,0)+INDEX($BD$13:$BL$162,BP3479,0))/100)))&gt;0)*($D$10:$L$10-($D$9:$L$9+INT(($S$12:$AA$12+INDEX($AJ$13:$AR$162,BN3479,0)+INDEX($AT$13:$BB$162,BO3479,0)+INDEX($BD$13:$BL$162,BP3479,0))/100)))),0)</f>
        <v/>
      </c>
      <c r="BS3479">
        <f>IF(3466&lt;$U$9,SUMPRODUCT(($D$9:$L$9+INT(($S$12:$AA$12+INDEX($AJ$13:$AR$162,BN3479,0)+INDEX($AT$13:$BB$162,BO3479,0)+INDEX($BD$13:$BL$162,BP3479,0))/100))),0)</f>
        <v/>
      </c>
      <c r="BT3479">
        <f>IF(AND(3466&lt;$U$9,$W$5),BQ3479*1000000-MIN(BR3479,999)*1000+BS3479-3466/100000,-1000000000-3466)</f>
        <v/>
      </c>
    </row>
    <row r="3480">
      <c r="BN3480">
        <f>IF(3467&lt;$U$9,INT(3467/($U$7*$U$8))+1,1)</f>
        <v/>
      </c>
      <c r="BO3480">
        <f>IF(3467&lt;$U$9,MOD(INT(3467/$U$8),$U$7)+1,1)</f>
        <v/>
      </c>
      <c r="BP3480">
        <f>IF(3467&lt;$U$9,MOD(3467,$U$8)+1,1)</f>
        <v/>
      </c>
      <c r="BQ3480">
        <f>IF(3467&lt;$U$9,SUMPRODUCT(($D$10:$L$10&lt;&gt;"")*(($D$9:$L$9+INT(($S$12:$AA$12+INDEX($AJ$13:$AR$162,BN3480,0)+INDEX($AT$13:$BB$162,BO3480,0)+INDEX($BD$13:$BL$162,BP3480,0))/100))&gt;=$D$10:$L$10)),0)</f>
        <v/>
      </c>
      <c r="BR3480">
        <f>IF(3467&lt;$U$9,SUMPRODUCT(($D$10:$L$10&lt;&gt;"")*(($D$10:$L$10-($D$9:$L$9+INT(($S$12:$AA$12+INDEX($AJ$13:$AR$162,BN3480,0)+INDEX($AT$13:$BB$162,BO3480,0)+INDEX($BD$13:$BL$162,BP3480,0))/100)))&gt;0)*($D$10:$L$10-($D$9:$L$9+INT(($S$12:$AA$12+INDEX($AJ$13:$AR$162,BN3480,0)+INDEX($AT$13:$BB$162,BO3480,0)+INDEX($BD$13:$BL$162,BP3480,0))/100)))),0)</f>
        <v/>
      </c>
      <c r="BS3480">
        <f>IF(3467&lt;$U$9,SUMPRODUCT(($D$9:$L$9+INT(($S$12:$AA$12+INDEX($AJ$13:$AR$162,BN3480,0)+INDEX($AT$13:$BB$162,BO3480,0)+INDEX($BD$13:$BL$162,BP3480,0))/100))),0)</f>
        <v/>
      </c>
      <c r="BT3480">
        <f>IF(AND(3467&lt;$U$9,$W$5),BQ3480*1000000-MIN(BR3480,999)*1000+BS3480-3467/100000,-1000000000-3467)</f>
        <v/>
      </c>
    </row>
    <row r="3481">
      <c r="BN3481">
        <f>IF(3468&lt;$U$9,INT(3468/($U$7*$U$8))+1,1)</f>
        <v/>
      </c>
      <c r="BO3481">
        <f>IF(3468&lt;$U$9,MOD(INT(3468/$U$8),$U$7)+1,1)</f>
        <v/>
      </c>
      <c r="BP3481">
        <f>IF(3468&lt;$U$9,MOD(3468,$U$8)+1,1)</f>
        <v/>
      </c>
      <c r="BQ3481">
        <f>IF(3468&lt;$U$9,SUMPRODUCT(($D$10:$L$10&lt;&gt;"")*(($D$9:$L$9+INT(($S$12:$AA$12+INDEX($AJ$13:$AR$162,BN3481,0)+INDEX($AT$13:$BB$162,BO3481,0)+INDEX($BD$13:$BL$162,BP3481,0))/100))&gt;=$D$10:$L$10)),0)</f>
        <v/>
      </c>
      <c r="BR3481">
        <f>IF(3468&lt;$U$9,SUMPRODUCT(($D$10:$L$10&lt;&gt;"")*(($D$10:$L$10-($D$9:$L$9+INT(($S$12:$AA$12+INDEX($AJ$13:$AR$162,BN3481,0)+INDEX($AT$13:$BB$162,BO3481,0)+INDEX($BD$13:$BL$162,BP3481,0))/100)))&gt;0)*($D$10:$L$10-($D$9:$L$9+INT(($S$12:$AA$12+INDEX($AJ$13:$AR$162,BN3481,0)+INDEX($AT$13:$BB$162,BO3481,0)+INDEX($BD$13:$BL$162,BP3481,0))/100)))),0)</f>
        <v/>
      </c>
      <c r="BS3481">
        <f>IF(3468&lt;$U$9,SUMPRODUCT(($D$9:$L$9+INT(($S$12:$AA$12+INDEX($AJ$13:$AR$162,BN3481,0)+INDEX($AT$13:$BB$162,BO3481,0)+INDEX($BD$13:$BL$162,BP3481,0))/100))),0)</f>
        <v/>
      </c>
      <c r="BT3481">
        <f>IF(AND(3468&lt;$U$9,$W$5),BQ3481*1000000-MIN(BR3481,999)*1000+BS3481-3468/100000,-1000000000-3468)</f>
        <v/>
      </c>
    </row>
    <row r="3482">
      <c r="BN3482">
        <f>IF(3469&lt;$U$9,INT(3469/($U$7*$U$8))+1,1)</f>
        <v/>
      </c>
      <c r="BO3482">
        <f>IF(3469&lt;$U$9,MOD(INT(3469/$U$8),$U$7)+1,1)</f>
        <v/>
      </c>
      <c r="BP3482">
        <f>IF(3469&lt;$U$9,MOD(3469,$U$8)+1,1)</f>
        <v/>
      </c>
      <c r="BQ3482">
        <f>IF(3469&lt;$U$9,SUMPRODUCT(($D$10:$L$10&lt;&gt;"")*(($D$9:$L$9+INT(($S$12:$AA$12+INDEX($AJ$13:$AR$162,BN3482,0)+INDEX($AT$13:$BB$162,BO3482,0)+INDEX($BD$13:$BL$162,BP3482,0))/100))&gt;=$D$10:$L$10)),0)</f>
        <v/>
      </c>
      <c r="BR3482">
        <f>IF(3469&lt;$U$9,SUMPRODUCT(($D$10:$L$10&lt;&gt;"")*(($D$10:$L$10-($D$9:$L$9+INT(($S$12:$AA$12+INDEX($AJ$13:$AR$162,BN3482,0)+INDEX($AT$13:$BB$162,BO3482,0)+INDEX($BD$13:$BL$162,BP3482,0))/100)))&gt;0)*($D$10:$L$10-($D$9:$L$9+INT(($S$12:$AA$12+INDEX($AJ$13:$AR$162,BN3482,0)+INDEX($AT$13:$BB$162,BO3482,0)+INDEX($BD$13:$BL$162,BP3482,0))/100)))),0)</f>
        <v/>
      </c>
      <c r="BS3482">
        <f>IF(3469&lt;$U$9,SUMPRODUCT(($D$9:$L$9+INT(($S$12:$AA$12+INDEX($AJ$13:$AR$162,BN3482,0)+INDEX($AT$13:$BB$162,BO3482,0)+INDEX($BD$13:$BL$162,BP3482,0))/100))),0)</f>
        <v/>
      </c>
      <c r="BT3482">
        <f>IF(AND(3469&lt;$U$9,$W$5),BQ3482*1000000-MIN(BR3482,999)*1000+BS3482-3469/100000,-1000000000-3469)</f>
        <v/>
      </c>
    </row>
    <row r="3483">
      <c r="BN3483">
        <f>IF(3470&lt;$U$9,INT(3470/($U$7*$U$8))+1,1)</f>
        <v/>
      </c>
      <c r="BO3483">
        <f>IF(3470&lt;$U$9,MOD(INT(3470/$U$8),$U$7)+1,1)</f>
        <v/>
      </c>
      <c r="BP3483">
        <f>IF(3470&lt;$U$9,MOD(3470,$U$8)+1,1)</f>
        <v/>
      </c>
      <c r="BQ3483">
        <f>IF(3470&lt;$U$9,SUMPRODUCT(($D$10:$L$10&lt;&gt;"")*(($D$9:$L$9+INT(($S$12:$AA$12+INDEX($AJ$13:$AR$162,BN3483,0)+INDEX($AT$13:$BB$162,BO3483,0)+INDEX($BD$13:$BL$162,BP3483,0))/100))&gt;=$D$10:$L$10)),0)</f>
        <v/>
      </c>
      <c r="BR3483">
        <f>IF(3470&lt;$U$9,SUMPRODUCT(($D$10:$L$10&lt;&gt;"")*(($D$10:$L$10-($D$9:$L$9+INT(($S$12:$AA$12+INDEX($AJ$13:$AR$162,BN3483,0)+INDEX($AT$13:$BB$162,BO3483,0)+INDEX($BD$13:$BL$162,BP3483,0))/100)))&gt;0)*($D$10:$L$10-($D$9:$L$9+INT(($S$12:$AA$12+INDEX($AJ$13:$AR$162,BN3483,0)+INDEX($AT$13:$BB$162,BO3483,0)+INDEX($BD$13:$BL$162,BP3483,0))/100)))),0)</f>
        <v/>
      </c>
      <c r="BS3483">
        <f>IF(3470&lt;$U$9,SUMPRODUCT(($D$9:$L$9+INT(($S$12:$AA$12+INDEX($AJ$13:$AR$162,BN3483,0)+INDEX($AT$13:$BB$162,BO3483,0)+INDEX($BD$13:$BL$162,BP3483,0))/100))),0)</f>
        <v/>
      </c>
      <c r="BT3483">
        <f>IF(AND(3470&lt;$U$9,$W$5),BQ3483*1000000-MIN(BR3483,999)*1000+BS3483-3470/100000,-1000000000-3470)</f>
        <v/>
      </c>
    </row>
    <row r="3484">
      <c r="BN3484">
        <f>IF(3471&lt;$U$9,INT(3471/($U$7*$U$8))+1,1)</f>
        <v/>
      </c>
      <c r="BO3484">
        <f>IF(3471&lt;$U$9,MOD(INT(3471/$U$8),$U$7)+1,1)</f>
        <v/>
      </c>
      <c r="BP3484">
        <f>IF(3471&lt;$U$9,MOD(3471,$U$8)+1,1)</f>
        <v/>
      </c>
      <c r="BQ3484">
        <f>IF(3471&lt;$U$9,SUMPRODUCT(($D$10:$L$10&lt;&gt;"")*(($D$9:$L$9+INT(($S$12:$AA$12+INDEX($AJ$13:$AR$162,BN3484,0)+INDEX($AT$13:$BB$162,BO3484,0)+INDEX($BD$13:$BL$162,BP3484,0))/100))&gt;=$D$10:$L$10)),0)</f>
        <v/>
      </c>
      <c r="BR3484">
        <f>IF(3471&lt;$U$9,SUMPRODUCT(($D$10:$L$10&lt;&gt;"")*(($D$10:$L$10-($D$9:$L$9+INT(($S$12:$AA$12+INDEX($AJ$13:$AR$162,BN3484,0)+INDEX($AT$13:$BB$162,BO3484,0)+INDEX($BD$13:$BL$162,BP3484,0))/100)))&gt;0)*($D$10:$L$10-($D$9:$L$9+INT(($S$12:$AA$12+INDEX($AJ$13:$AR$162,BN3484,0)+INDEX($AT$13:$BB$162,BO3484,0)+INDEX($BD$13:$BL$162,BP3484,0))/100)))),0)</f>
        <v/>
      </c>
      <c r="BS3484">
        <f>IF(3471&lt;$U$9,SUMPRODUCT(($D$9:$L$9+INT(($S$12:$AA$12+INDEX($AJ$13:$AR$162,BN3484,0)+INDEX($AT$13:$BB$162,BO3484,0)+INDEX($BD$13:$BL$162,BP3484,0))/100))),0)</f>
        <v/>
      </c>
      <c r="BT3484">
        <f>IF(AND(3471&lt;$U$9,$W$5),BQ3484*1000000-MIN(BR3484,999)*1000+BS3484-3471/100000,-1000000000-3471)</f>
        <v/>
      </c>
    </row>
    <row r="3485">
      <c r="BN3485">
        <f>IF(3472&lt;$U$9,INT(3472/($U$7*$U$8))+1,1)</f>
        <v/>
      </c>
      <c r="BO3485">
        <f>IF(3472&lt;$U$9,MOD(INT(3472/$U$8),$U$7)+1,1)</f>
        <v/>
      </c>
      <c r="BP3485">
        <f>IF(3472&lt;$U$9,MOD(3472,$U$8)+1,1)</f>
        <v/>
      </c>
      <c r="BQ3485">
        <f>IF(3472&lt;$U$9,SUMPRODUCT(($D$10:$L$10&lt;&gt;"")*(($D$9:$L$9+INT(($S$12:$AA$12+INDEX($AJ$13:$AR$162,BN3485,0)+INDEX($AT$13:$BB$162,BO3485,0)+INDEX($BD$13:$BL$162,BP3485,0))/100))&gt;=$D$10:$L$10)),0)</f>
        <v/>
      </c>
      <c r="BR3485">
        <f>IF(3472&lt;$U$9,SUMPRODUCT(($D$10:$L$10&lt;&gt;"")*(($D$10:$L$10-($D$9:$L$9+INT(($S$12:$AA$12+INDEX($AJ$13:$AR$162,BN3485,0)+INDEX($AT$13:$BB$162,BO3485,0)+INDEX($BD$13:$BL$162,BP3485,0))/100)))&gt;0)*($D$10:$L$10-($D$9:$L$9+INT(($S$12:$AA$12+INDEX($AJ$13:$AR$162,BN3485,0)+INDEX($AT$13:$BB$162,BO3485,0)+INDEX($BD$13:$BL$162,BP3485,0))/100)))),0)</f>
        <v/>
      </c>
      <c r="BS3485">
        <f>IF(3472&lt;$U$9,SUMPRODUCT(($D$9:$L$9+INT(($S$12:$AA$12+INDEX($AJ$13:$AR$162,BN3485,0)+INDEX($AT$13:$BB$162,BO3485,0)+INDEX($BD$13:$BL$162,BP3485,0))/100))),0)</f>
        <v/>
      </c>
      <c r="BT3485">
        <f>IF(AND(3472&lt;$U$9,$W$5),BQ3485*1000000-MIN(BR3485,999)*1000+BS3485-3472/100000,-1000000000-3472)</f>
        <v/>
      </c>
    </row>
    <row r="3486">
      <c r="BN3486">
        <f>IF(3473&lt;$U$9,INT(3473/($U$7*$U$8))+1,1)</f>
        <v/>
      </c>
      <c r="BO3486">
        <f>IF(3473&lt;$U$9,MOD(INT(3473/$U$8),$U$7)+1,1)</f>
        <v/>
      </c>
      <c r="BP3486">
        <f>IF(3473&lt;$U$9,MOD(3473,$U$8)+1,1)</f>
        <v/>
      </c>
      <c r="BQ3486">
        <f>IF(3473&lt;$U$9,SUMPRODUCT(($D$10:$L$10&lt;&gt;"")*(($D$9:$L$9+INT(($S$12:$AA$12+INDEX($AJ$13:$AR$162,BN3486,0)+INDEX($AT$13:$BB$162,BO3486,0)+INDEX($BD$13:$BL$162,BP3486,0))/100))&gt;=$D$10:$L$10)),0)</f>
        <v/>
      </c>
      <c r="BR3486">
        <f>IF(3473&lt;$U$9,SUMPRODUCT(($D$10:$L$10&lt;&gt;"")*(($D$10:$L$10-($D$9:$L$9+INT(($S$12:$AA$12+INDEX($AJ$13:$AR$162,BN3486,0)+INDEX($AT$13:$BB$162,BO3486,0)+INDEX($BD$13:$BL$162,BP3486,0))/100)))&gt;0)*($D$10:$L$10-($D$9:$L$9+INT(($S$12:$AA$12+INDEX($AJ$13:$AR$162,BN3486,0)+INDEX($AT$13:$BB$162,BO3486,0)+INDEX($BD$13:$BL$162,BP3486,0))/100)))),0)</f>
        <v/>
      </c>
      <c r="BS3486">
        <f>IF(3473&lt;$U$9,SUMPRODUCT(($D$9:$L$9+INT(($S$12:$AA$12+INDEX($AJ$13:$AR$162,BN3486,0)+INDEX($AT$13:$BB$162,BO3486,0)+INDEX($BD$13:$BL$162,BP3486,0))/100))),0)</f>
        <v/>
      </c>
      <c r="BT3486">
        <f>IF(AND(3473&lt;$U$9,$W$5),BQ3486*1000000-MIN(BR3486,999)*1000+BS3486-3473/100000,-1000000000-3473)</f>
        <v/>
      </c>
    </row>
    <row r="3487">
      <c r="BN3487">
        <f>IF(3474&lt;$U$9,INT(3474/($U$7*$U$8))+1,1)</f>
        <v/>
      </c>
      <c r="BO3487">
        <f>IF(3474&lt;$U$9,MOD(INT(3474/$U$8),$U$7)+1,1)</f>
        <v/>
      </c>
      <c r="BP3487">
        <f>IF(3474&lt;$U$9,MOD(3474,$U$8)+1,1)</f>
        <v/>
      </c>
      <c r="BQ3487">
        <f>IF(3474&lt;$U$9,SUMPRODUCT(($D$10:$L$10&lt;&gt;"")*(($D$9:$L$9+INT(($S$12:$AA$12+INDEX($AJ$13:$AR$162,BN3487,0)+INDEX($AT$13:$BB$162,BO3487,0)+INDEX($BD$13:$BL$162,BP3487,0))/100))&gt;=$D$10:$L$10)),0)</f>
        <v/>
      </c>
      <c r="BR3487">
        <f>IF(3474&lt;$U$9,SUMPRODUCT(($D$10:$L$10&lt;&gt;"")*(($D$10:$L$10-($D$9:$L$9+INT(($S$12:$AA$12+INDEX($AJ$13:$AR$162,BN3487,0)+INDEX($AT$13:$BB$162,BO3487,0)+INDEX($BD$13:$BL$162,BP3487,0))/100)))&gt;0)*($D$10:$L$10-($D$9:$L$9+INT(($S$12:$AA$12+INDEX($AJ$13:$AR$162,BN3487,0)+INDEX($AT$13:$BB$162,BO3487,0)+INDEX($BD$13:$BL$162,BP3487,0))/100)))),0)</f>
        <v/>
      </c>
      <c r="BS3487">
        <f>IF(3474&lt;$U$9,SUMPRODUCT(($D$9:$L$9+INT(($S$12:$AA$12+INDEX($AJ$13:$AR$162,BN3487,0)+INDEX($AT$13:$BB$162,BO3487,0)+INDEX($BD$13:$BL$162,BP3487,0))/100))),0)</f>
        <v/>
      </c>
      <c r="BT3487">
        <f>IF(AND(3474&lt;$U$9,$W$5),BQ3487*1000000-MIN(BR3487,999)*1000+BS3487-3474/100000,-1000000000-3474)</f>
        <v/>
      </c>
    </row>
    <row r="3488">
      <c r="BN3488">
        <f>IF(3475&lt;$U$9,INT(3475/($U$7*$U$8))+1,1)</f>
        <v/>
      </c>
      <c r="BO3488">
        <f>IF(3475&lt;$U$9,MOD(INT(3475/$U$8),$U$7)+1,1)</f>
        <v/>
      </c>
      <c r="BP3488">
        <f>IF(3475&lt;$U$9,MOD(3475,$U$8)+1,1)</f>
        <v/>
      </c>
      <c r="BQ3488">
        <f>IF(3475&lt;$U$9,SUMPRODUCT(($D$10:$L$10&lt;&gt;"")*(($D$9:$L$9+INT(($S$12:$AA$12+INDEX($AJ$13:$AR$162,BN3488,0)+INDEX($AT$13:$BB$162,BO3488,0)+INDEX($BD$13:$BL$162,BP3488,0))/100))&gt;=$D$10:$L$10)),0)</f>
        <v/>
      </c>
      <c r="BR3488">
        <f>IF(3475&lt;$U$9,SUMPRODUCT(($D$10:$L$10&lt;&gt;"")*(($D$10:$L$10-($D$9:$L$9+INT(($S$12:$AA$12+INDEX($AJ$13:$AR$162,BN3488,0)+INDEX($AT$13:$BB$162,BO3488,0)+INDEX($BD$13:$BL$162,BP3488,0))/100)))&gt;0)*($D$10:$L$10-($D$9:$L$9+INT(($S$12:$AA$12+INDEX($AJ$13:$AR$162,BN3488,0)+INDEX($AT$13:$BB$162,BO3488,0)+INDEX($BD$13:$BL$162,BP3488,0))/100)))),0)</f>
        <v/>
      </c>
      <c r="BS3488">
        <f>IF(3475&lt;$U$9,SUMPRODUCT(($D$9:$L$9+INT(($S$12:$AA$12+INDEX($AJ$13:$AR$162,BN3488,0)+INDEX($AT$13:$BB$162,BO3488,0)+INDEX($BD$13:$BL$162,BP3488,0))/100))),0)</f>
        <v/>
      </c>
      <c r="BT3488">
        <f>IF(AND(3475&lt;$U$9,$W$5),BQ3488*1000000-MIN(BR3488,999)*1000+BS3488-3475/100000,-1000000000-3475)</f>
        <v/>
      </c>
    </row>
    <row r="3489">
      <c r="BN3489">
        <f>IF(3476&lt;$U$9,INT(3476/($U$7*$U$8))+1,1)</f>
        <v/>
      </c>
      <c r="BO3489">
        <f>IF(3476&lt;$U$9,MOD(INT(3476/$U$8),$U$7)+1,1)</f>
        <v/>
      </c>
      <c r="BP3489">
        <f>IF(3476&lt;$U$9,MOD(3476,$U$8)+1,1)</f>
        <v/>
      </c>
      <c r="BQ3489">
        <f>IF(3476&lt;$U$9,SUMPRODUCT(($D$10:$L$10&lt;&gt;"")*(($D$9:$L$9+INT(($S$12:$AA$12+INDEX($AJ$13:$AR$162,BN3489,0)+INDEX($AT$13:$BB$162,BO3489,0)+INDEX($BD$13:$BL$162,BP3489,0))/100))&gt;=$D$10:$L$10)),0)</f>
        <v/>
      </c>
      <c r="BR3489">
        <f>IF(3476&lt;$U$9,SUMPRODUCT(($D$10:$L$10&lt;&gt;"")*(($D$10:$L$10-($D$9:$L$9+INT(($S$12:$AA$12+INDEX($AJ$13:$AR$162,BN3489,0)+INDEX($AT$13:$BB$162,BO3489,0)+INDEX($BD$13:$BL$162,BP3489,0))/100)))&gt;0)*($D$10:$L$10-($D$9:$L$9+INT(($S$12:$AA$12+INDEX($AJ$13:$AR$162,BN3489,0)+INDEX($AT$13:$BB$162,BO3489,0)+INDEX($BD$13:$BL$162,BP3489,0))/100)))),0)</f>
        <v/>
      </c>
      <c r="BS3489">
        <f>IF(3476&lt;$U$9,SUMPRODUCT(($D$9:$L$9+INT(($S$12:$AA$12+INDEX($AJ$13:$AR$162,BN3489,0)+INDEX($AT$13:$BB$162,BO3489,0)+INDEX($BD$13:$BL$162,BP3489,0))/100))),0)</f>
        <v/>
      </c>
      <c r="BT3489">
        <f>IF(AND(3476&lt;$U$9,$W$5),BQ3489*1000000-MIN(BR3489,999)*1000+BS3489-3476/100000,-1000000000-3476)</f>
        <v/>
      </c>
    </row>
    <row r="3490">
      <c r="BN3490">
        <f>IF(3477&lt;$U$9,INT(3477/($U$7*$U$8))+1,1)</f>
        <v/>
      </c>
      <c r="BO3490">
        <f>IF(3477&lt;$U$9,MOD(INT(3477/$U$8),$U$7)+1,1)</f>
        <v/>
      </c>
      <c r="BP3490">
        <f>IF(3477&lt;$U$9,MOD(3477,$U$8)+1,1)</f>
        <v/>
      </c>
      <c r="BQ3490">
        <f>IF(3477&lt;$U$9,SUMPRODUCT(($D$10:$L$10&lt;&gt;"")*(($D$9:$L$9+INT(($S$12:$AA$12+INDEX($AJ$13:$AR$162,BN3490,0)+INDEX($AT$13:$BB$162,BO3490,0)+INDEX($BD$13:$BL$162,BP3490,0))/100))&gt;=$D$10:$L$10)),0)</f>
        <v/>
      </c>
      <c r="BR3490">
        <f>IF(3477&lt;$U$9,SUMPRODUCT(($D$10:$L$10&lt;&gt;"")*(($D$10:$L$10-($D$9:$L$9+INT(($S$12:$AA$12+INDEX($AJ$13:$AR$162,BN3490,0)+INDEX($AT$13:$BB$162,BO3490,0)+INDEX($BD$13:$BL$162,BP3490,0))/100)))&gt;0)*($D$10:$L$10-($D$9:$L$9+INT(($S$12:$AA$12+INDEX($AJ$13:$AR$162,BN3490,0)+INDEX($AT$13:$BB$162,BO3490,0)+INDEX($BD$13:$BL$162,BP3490,0))/100)))),0)</f>
        <v/>
      </c>
      <c r="BS3490">
        <f>IF(3477&lt;$U$9,SUMPRODUCT(($D$9:$L$9+INT(($S$12:$AA$12+INDEX($AJ$13:$AR$162,BN3490,0)+INDEX($AT$13:$BB$162,BO3490,0)+INDEX($BD$13:$BL$162,BP3490,0))/100))),0)</f>
        <v/>
      </c>
      <c r="BT3490">
        <f>IF(AND(3477&lt;$U$9,$W$5),BQ3490*1000000-MIN(BR3490,999)*1000+BS3490-3477/100000,-1000000000-3477)</f>
        <v/>
      </c>
    </row>
    <row r="3491">
      <c r="BN3491">
        <f>IF(3478&lt;$U$9,INT(3478/($U$7*$U$8))+1,1)</f>
        <v/>
      </c>
      <c r="BO3491">
        <f>IF(3478&lt;$U$9,MOD(INT(3478/$U$8),$U$7)+1,1)</f>
        <v/>
      </c>
      <c r="BP3491">
        <f>IF(3478&lt;$U$9,MOD(3478,$U$8)+1,1)</f>
        <v/>
      </c>
      <c r="BQ3491">
        <f>IF(3478&lt;$U$9,SUMPRODUCT(($D$10:$L$10&lt;&gt;"")*(($D$9:$L$9+INT(($S$12:$AA$12+INDEX($AJ$13:$AR$162,BN3491,0)+INDEX($AT$13:$BB$162,BO3491,0)+INDEX($BD$13:$BL$162,BP3491,0))/100))&gt;=$D$10:$L$10)),0)</f>
        <v/>
      </c>
      <c r="BR3491">
        <f>IF(3478&lt;$U$9,SUMPRODUCT(($D$10:$L$10&lt;&gt;"")*(($D$10:$L$10-($D$9:$L$9+INT(($S$12:$AA$12+INDEX($AJ$13:$AR$162,BN3491,0)+INDEX($AT$13:$BB$162,BO3491,0)+INDEX($BD$13:$BL$162,BP3491,0))/100)))&gt;0)*($D$10:$L$10-($D$9:$L$9+INT(($S$12:$AA$12+INDEX($AJ$13:$AR$162,BN3491,0)+INDEX($AT$13:$BB$162,BO3491,0)+INDEX($BD$13:$BL$162,BP3491,0))/100)))),0)</f>
        <v/>
      </c>
      <c r="BS3491">
        <f>IF(3478&lt;$U$9,SUMPRODUCT(($D$9:$L$9+INT(($S$12:$AA$12+INDEX($AJ$13:$AR$162,BN3491,0)+INDEX($AT$13:$BB$162,BO3491,0)+INDEX($BD$13:$BL$162,BP3491,0))/100))),0)</f>
        <v/>
      </c>
      <c r="BT3491">
        <f>IF(AND(3478&lt;$U$9,$W$5),BQ3491*1000000-MIN(BR3491,999)*1000+BS3491-3478/100000,-1000000000-3478)</f>
        <v/>
      </c>
    </row>
    <row r="3492">
      <c r="BN3492">
        <f>IF(3479&lt;$U$9,INT(3479/($U$7*$U$8))+1,1)</f>
        <v/>
      </c>
      <c r="BO3492">
        <f>IF(3479&lt;$U$9,MOD(INT(3479/$U$8),$U$7)+1,1)</f>
        <v/>
      </c>
      <c r="BP3492">
        <f>IF(3479&lt;$U$9,MOD(3479,$U$8)+1,1)</f>
        <v/>
      </c>
      <c r="BQ3492">
        <f>IF(3479&lt;$U$9,SUMPRODUCT(($D$10:$L$10&lt;&gt;"")*(($D$9:$L$9+INT(($S$12:$AA$12+INDEX($AJ$13:$AR$162,BN3492,0)+INDEX($AT$13:$BB$162,BO3492,0)+INDEX($BD$13:$BL$162,BP3492,0))/100))&gt;=$D$10:$L$10)),0)</f>
        <v/>
      </c>
      <c r="BR3492">
        <f>IF(3479&lt;$U$9,SUMPRODUCT(($D$10:$L$10&lt;&gt;"")*(($D$10:$L$10-($D$9:$L$9+INT(($S$12:$AA$12+INDEX($AJ$13:$AR$162,BN3492,0)+INDEX($AT$13:$BB$162,BO3492,0)+INDEX($BD$13:$BL$162,BP3492,0))/100)))&gt;0)*($D$10:$L$10-($D$9:$L$9+INT(($S$12:$AA$12+INDEX($AJ$13:$AR$162,BN3492,0)+INDEX($AT$13:$BB$162,BO3492,0)+INDEX($BD$13:$BL$162,BP3492,0))/100)))),0)</f>
        <v/>
      </c>
      <c r="BS3492">
        <f>IF(3479&lt;$U$9,SUMPRODUCT(($D$9:$L$9+INT(($S$12:$AA$12+INDEX($AJ$13:$AR$162,BN3492,0)+INDEX($AT$13:$BB$162,BO3492,0)+INDEX($BD$13:$BL$162,BP3492,0))/100))),0)</f>
        <v/>
      </c>
      <c r="BT3492">
        <f>IF(AND(3479&lt;$U$9,$W$5),BQ3492*1000000-MIN(BR3492,999)*1000+BS3492-3479/100000,-1000000000-3479)</f>
        <v/>
      </c>
    </row>
    <row r="3493">
      <c r="BN3493">
        <f>IF(3480&lt;$U$9,INT(3480/($U$7*$U$8))+1,1)</f>
        <v/>
      </c>
      <c r="BO3493">
        <f>IF(3480&lt;$U$9,MOD(INT(3480/$U$8),$U$7)+1,1)</f>
        <v/>
      </c>
      <c r="BP3493">
        <f>IF(3480&lt;$U$9,MOD(3480,$U$8)+1,1)</f>
        <v/>
      </c>
      <c r="BQ3493">
        <f>IF(3480&lt;$U$9,SUMPRODUCT(($D$10:$L$10&lt;&gt;"")*(($D$9:$L$9+INT(($S$12:$AA$12+INDEX($AJ$13:$AR$162,BN3493,0)+INDEX($AT$13:$BB$162,BO3493,0)+INDEX($BD$13:$BL$162,BP3493,0))/100))&gt;=$D$10:$L$10)),0)</f>
        <v/>
      </c>
      <c r="BR3493">
        <f>IF(3480&lt;$U$9,SUMPRODUCT(($D$10:$L$10&lt;&gt;"")*(($D$10:$L$10-($D$9:$L$9+INT(($S$12:$AA$12+INDEX($AJ$13:$AR$162,BN3493,0)+INDEX($AT$13:$BB$162,BO3493,0)+INDEX($BD$13:$BL$162,BP3493,0))/100)))&gt;0)*($D$10:$L$10-($D$9:$L$9+INT(($S$12:$AA$12+INDEX($AJ$13:$AR$162,BN3493,0)+INDEX($AT$13:$BB$162,BO3493,0)+INDEX($BD$13:$BL$162,BP3493,0))/100)))),0)</f>
        <v/>
      </c>
      <c r="BS3493">
        <f>IF(3480&lt;$U$9,SUMPRODUCT(($D$9:$L$9+INT(($S$12:$AA$12+INDEX($AJ$13:$AR$162,BN3493,0)+INDEX($AT$13:$BB$162,BO3493,0)+INDEX($BD$13:$BL$162,BP3493,0))/100))),0)</f>
        <v/>
      </c>
      <c r="BT3493">
        <f>IF(AND(3480&lt;$U$9,$W$5),BQ3493*1000000-MIN(BR3493,999)*1000+BS3493-3480/100000,-1000000000-3480)</f>
        <v/>
      </c>
    </row>
    <row r="3494">
      <c r="BN3494">
        <f>IF(3481&lt;$U$9,INT(3481/($U$7*$U$8))+1,1)</f>
        <v/>
      </c>
      <c r="BO3494">
        <f>IF(3481&lt;$U$9,MOD(INT(3481/$U$8),$U$7)+1,1)</f>
        <v/>
      </c>
      <c r="BP3494">
        <f>IF(3481&lt;$U$9,MOD(3481,$U$8)+1,1)</f>
        <v/>
      </c>
      <c r="BQ3494">
        <f>IF(3481&lt;$U$9,SUMPRODUCT(($D$10:$L$10&lt;&gt;"")*(($D$9:$L$9+INT(($S$12:$AA$12+INDEX($AJ$13:$AR$162,BN3494,0)+INDEX($AT$13:$BB$162,BO3494,0)+INDEX($BD$13:$BL$162,BP3494,0))/100))&gt;=$D$10:$L$10)),0)</f>
        <v/>
      </c>
      <c r="BR3494">
        <f>IF(3481&lt;$U$9,SUMPRODUCT(($D$10:$L$10&lt;&gt;"")*(($D$10:$L$10-($D$9:$L$9+INT(($S$12:$AA$12+INDEX($AJ$13:$AR$162,BN3494,0)+INDEX($AT$13:$BB$162,BO3494,0)+INDEX($BD$13:$BL$162,BP3494,0))/100)))&gt;0)*($D$10:$L$10-($D$9:$L$9+INT(($S$12:$AA$12+INDEX($AJ$13:$AR$162,BN3494,0)+INDEX($AT$13:$BB$162,BO3494,0)+INDEX($BD$13:$BL$162,BP3494,0))/100)))),0)</f>
        <v/>
      </c>
      <c r="BS3494">
        <f>IF(3481&lt;$U$9,SUMPRODUCT(($D$9:$L$9+INT(($S$12:$AA$12+INDEX($AJ$13:$AR$162,BN3494,0)+INDEX($AT$13:$BB$162,BO3494,0)+INDEX($BD$13:$BL$162,BP3494,0))/100))),0)</f>
        <v/>
      </c>
      <c r="BT3494">
        <f>IF(AND(3481&lt;$U$9,$W$5),BQ3494*1000000-MIN(BR3494,999)*1000+BS3494-3481/100000,-1000000000-3481)</f>
        <v/>
      </c>
    </row>
    <row r="3495">
      <c r="BN3495">
        <f>IF(3482&lt;$U$9,INT(3482/($U$7*$U$8))+1,1)</f>
        <v/>
      </c>
      <c r="BO3495">
        <f>IF(3482&lt;$U$9,MOD(INT(3482/$U$8),$U$7)+1,1)</f>
        <v/>
      </c>
      <c r="BP3495">
        <f>IF(3482&lt;$U$9,MOD(3482,$U$8)+1,1)</f>
        <v/>
      </c>
      <c r="BQ3495">
        <f>IF(3482&lt;$U$9,SUMPRODUCT(($D$10:$L$10&lt;&gt;"")*(($D$9:$L$9+INT(($S$12:$AA$12+INDEX($AJ$13:$AR$162,BN3495,0)+INDEX($AT$13:$BB$162,BO3495,0)+INDEX($BD$13:$BL$162,BP3495,0))/100))&gt;=$D$10:$L$10)),0)</f>
        <v/>
      </c>
      <c r="BR3495">
        <f>IF(3482&lt;$U$9,SUMPRODUCT(($D$10:$L$10&lt;&gt;"")*(($D$10:$L$10-($D$9:$L$9+INT(($S$12:$AA$12+INDEX($AJ$13:$AR$162,BN3495,0)+INDEX($AT$13:$BB$162,BO3495,0)+INDEX($BD$13:$BL$162,BP3495,0))/100)))&gt;0)*($D$10:$L$10-($D$9:$L$9+INT(($S$12:$AA$12+INDEX($AJ$13:$AR$162,BN3495,0)+INDEX($AT$13:$BB$162,BO3495,0)+INDEX($BD$13:$BL$162,BP3495,0))/100)))),0)</f>
        <v/>
      </c>
      <c r="BS3495">
        <f>IF(3482&lt;$U$9,SUMPRODUCT(($D$9:$L$9+INT(($S$12:$AA$12+INDEX($AJ$13:$AR$162,BN3495,0)+INDEX($AT$13:$BB$162,BO3495,0)+INDEX($BD$13:$BL$162,BP3495,0))/100))),0)</f>
        <v/>
      </c>
      <c r="BT3495">
        <f>IF(AND(3482&lt;$U$9,$W$5),BQ3495*1000000-MIN(BR3495,999)*1000+BS3495-3482/100000,-1000000000-3482)</f>
        <v/>
      </c>
    </row>
    <row r="3496">
      <c r="BN3496">
        <f>IF(3483&lt;$U$9,INT(3483/($U$7*$U$8))+1,1)</f>
        <v/>
      </c>
      <c r="BO3496">
        <f>IF(3483&lt;$U$9,MOD(INT(3483/$U$8),$U$7)+1,1)</f>
        <v/>
      </c>
      <c r="BP3496">
        <f>IF(3483&lt;$U$9,MOD(3483,$U$8)+1,1)</f>
        <v/>
      </c>
      <c r="BQ3496">
        <f>IF(3483&lt;$U$9,SUMPRODUCT(($D$10:$L$10&lt;&gt;"")*(($D$9:$L$9+INT(($S$12:$AA$12+INDEX($AJ$13:$AR$162,BN3496,0)+INDEX($AT$13:$BB$162,BO3496,0)+INDEX($BD$13:$BL$162,BP3496,0))/100))&gt;=$D$10:$L$10)),0)</f>
        <v/>
      </c>
      <c r="BR3496">
        <f>IF(3483&lt;$U$9,SUMPRODUCT(($D$10:$L$10&lt;&gt;"")*(($D$10:$L$10-($D$9:$L$9+INT(($S$12:$AA$12+INDEX($AJ$13:$AR$162,BN3496,0)+INDEX($AT$13:$BB$162,BO3496,0)+INDEX($BD$13:$BL$162,BP3496,0))/100)))&gt;0)*($D$10:$L$10-($D$9:$L$9+INT(($S$12:$AA$12+INDEX($AJ$13:$AR$162,BN3496,0)+INDEX($AT$13:$BB$162,BO3496,0)+INDEX($BD$13:$BL$162,BP3496,0))/100)))),0)</f>
        <v/>
      </c>
      <c r="BS3496">
        <f>IF(3483&lt;$U$9,SUMPRODUCT(($D$9:$L$9+INT(($S$12:$AA$12+INDEX($AJ$13:$AR$162,BN3496,0)+INDEX($AT$13:$BB$162,BO3496,0)+INDEX($BD$13:$BL$162,BP3496,0))/100))),0)</f>
        <v/>
      </c>
      <c r="BT3496">
        <f>IF(AND(3483&lt;$U$9,$W$5),BQ3496*1000000-MIN(BR3496,999)*1000+BS3496-3483/100000,-1000000000-3483)</f>
        <v/>
      </c>
    </row>
    <row r="3497">
      <c r="BN3497">
        <f>IF(3484&lt;$U$9,INT(3484/($U$7*$U$8))+1,1)</f>
        <v/>
      </c>
      <c r="BO3497">
        <f>IF(3484&lt;$U$9,MOD(INT(3484/$U$8),$U$7)+1,1)</f>
        <v/>
      </c>
      <c r="BP3497">
        <f>IF(3484&lt;$U$9,MOD(3484,$U$8)+1,1)</f>
        <v/>
      </c>
      <c r="BQ3497">
        <f>IF(3484&lt;$U$9,SUMPRODUCT(($D$10:$L$10&lt;&gt;"")*(($D$9:$L$9+INT(($S$12:$AA$12+INDEX($AJ$13:$AR$162,BN3497,0)+INDEX($AT$13:$BB$162,BO3497,0)+INDEX($BD$13:$BL$162,BP3497,0))/100))&gt;=$D$10:$L$10)),0)</f>
        <v/>
      </c>
      <c r="BR3497">
        <f>IF(3484&lt;$U$9,SUMPRODUCT(($D$10:$L$10&lt;&gt;"")*(($D$10:$L$10-($D$9:$L$9+INT(($S$12:$AA$12+INDEX($AJ$13:$AR$162,BN3497,0)+INDEX($AT$13:$BB$162,BO3497,0)+INDEX($BD$13:$BL$162,BP3497,0))/100)))&gt;0)*($D$10:$L$10-($D$9:$L$9+INT(($S$12:$AA$12+INDEX($AJ$13:$AR$162,BN3497,0)+INDEX($AT$13:$BB$162,BO3497,0)+INDEX($BD$13:$BL$162,BP3497,0))/100)))),0)</f>
        <v/>
      </c>
      <c r="BS3497">
        <f>IF(3484&lt;$U$9,SUMPRODUCT(($D$9:$L$9+INT(($S$12:$AA$12+INDEX($AJ$13:$AR$162,BN3497,0)+INDEX($AT$13:$BB$162,BO3497,0)+INDEX($BD$13:$BL$162,BP3497,0))/100))),0)</f>
        <v/>
      </c>
      <c r="BT3497">
        <f>IF(AND(3484&lt;$U$9,$W$5),BQ3497*1000000-MIN(BR3497,999)*1000+BS3497-3484/100000,-1000000000-3484)</f>
        <v/>
      </c>
    </row>
    <row r="3498">
      <c r="BN3498">
        <f>IF(3485&lt;$U$9,INT(3485/($U$7*$U$8))+1,1)</f>
        <v/>
      </c>
      <c r="BO3498">
        <f>IF(3485&lt;$U$9,MOD(INT(3485/$U$8),$U$7)+1,1)</f>
        <v/>
      </c>
      <c r="BP3498">
        <f>IF(3485&lt;$U$9,MOD(3485,$U$8)+1,1)</f>
        <v/>
      </c>
      <c r="BQ3498">
        <f>IF(3485&lt;$U$9,SUMPRODUCT(($D$10:$L$10&lt;&gt;"")*(($D$9:$L$9+INT(($S$12:$AA$12+INDEX($AJ$13:$AR$162,BN3498,0)+INDEX($AT$13:$BB$162,BO3498,0)+INDEX($BD$13:$BL$162,BP3498,0))/100))&gt;=$D$10:$L$10)),0)</f>
        <v/>
      </c>
      <c r="BR3498">
        <f>IF(3485&lt;$U$9,SUMPRODUCT(($D$10:$L$10&lt;&gt;"")*(($D$10:$L$10-($D$9:$L$9+INT(($S$12:$AA$12+INDEX($AJ$13:$AR$162,BN3498,0)+INDEX($AT$13:$BB$162,BO3498,0)+INDEX($BD$13:$BL$162,BP3498,0))/100)))&gt;0)*($D$10:$L$10-($D$9:$L$9+INT(($S$12:$AA$12+INDEX($AJ$13:$AR$162,BN3498,0)+INDEX($AT$13:$BB$162,BO3498,0)+INDEX($BD$13:$BL$162,BP3498,0))/100)))),0)</f>
        <v/>
      </c>
      <c r="BS3498">
        <f>IF(3485&lt;$U$9,SUMPRODUCT(($D$9:$L$9+INT(($S$12:$AA$12+INDEX($AJ$13:$AR$162,BN3498,0)+INDEX($AT$13:$BB$162,BO3498,0)+INDEX($BD$13:$BL$162,BP3498,0))/100))),0)</f>
        <v/>
      </c>
      <c r="BT3498">
        <f>IF(AND(3485&lt;$U$9,$W$5),BQ3498*1000000-MIN(BR3498,999)*1000+BS3498-3485/100000,-1000000000-3485)</f>
        <v/>
      </c>
    </row>
    <row r="3499">
      <c r="BN3499">
        <f>IF(3486&lt;$U$9,INT(3486/($U$7*$U$8))+1,1)</f>
        <v/>
      </c>
      <c r="BO3499">
        <f>IF(3486&lt;$U$9,MOD(INT(3486/$U$8),$U$7)+1,1)</f>
        <v/>
      </c>
      <c r="BP3499">
        <f>IF(3486&lt;$U$9,MOD(3486,$U$8)+1,1)</f>
        <v/>
      </c>
      <c r="BQ3499">
        <f>IF(3486&lt;$U$9,SUMPRODUCT(($D$10:$L$10&lt;&gt;"")*(($D$9:$L$9+INT(($S$12:$AA$12+INDEX($AJ$13:$AR$162,BN3499,0)+INDEX($AT$13:$BB$162,BO3499,0)+INDEX($BD$13:$BL$162,BP3499,0))/100))&gt;=$D$10:$L$10)),0)</f>
        <v/>
      </c>
      <c r="BR3499">
        <f>IF(3486&lt;$U$9,SUMPRODUCT(($D$10:$L$10&lt;&gt;"")*(($D$10:$L$10-($D$9:$L$9+INT(($S$12:$AA$12+INDEX($AJ$13:$AR$162,BN3499,0)+INDEX($AT$13:$BB$162,BO3499,0)+INDEX($BD$13:$BL$162,BP3499,0))/100)))&gt;0)*($D$10:$L$10-($D$9:$L$9+INT(($S$12:$AA$12+INDEX($AJ$13:$AR$162,BN3499,0)+INDEX($AT$13:$BB$162,BO3499,0)+INDEX($BD$13:$BL$162,BP3499,0))/100)))),0)</f>
        <v/>
      </c>
      <c r="BS3499">
        <f>IF(3486&lt;$U$9,SUMPRODUCT(($D$9:$L$9+INT(($S$12:$AA$12+INDEX($AJ$13:$AR$162,BN3499,0)+INDEX($AT$13:$BB$162,BO3499,0)+INDEX($BD$13:$BL$162,BP3499,0))/100))),0)</f>
        <v/>
      </c>
      <c r="BT3499">
        <f>IF(AND(3486&lt;$U$9,$W$5),BQ3499*1000000-MIN(BR3499,999)*1000+BS3499-3486/100000,-1000000000-3486)</f>
        <v/>
      </c>
    </row>
    <row r="3500">
      <c r="BN3500">
        <f>IF(3487&lt;$U$9,INT(3487/($U$7*$U$8))+1,1)</f>
        <v/>
      </c>
      <c r="BO3500">
        <f>IF(3487&lt;$U$9,MOD(INT(3487/$U$8),$U$7)+1,1)</f>
        <v/>
      </c>
      <c r="BP3500">
        <f>IF(3487&lt;$U$9,MOD(3487,$U$8)+1,1)</f>
        <v/>
      </c>
      <c r="BQ3500">
        <f>IF(3487&lt;$U$9,SUMPRODUCT(($D$10:$L$10&lt;&gt;"")*(($D$9:$L$9+INT(($S$12:$AA$12+INDEX($AJ$13:$AR$162,BN3500,0)+INDEX($AT$13:$BB$162,BO3500,0)+INDEX($BD$13:$BL$162,BP3500,0))/100))&gt;=$D$10:$L$10)),0)</f>
        <v/>
      </c>
      <c r="BR3500">
        <f>IF(3487&lt;$U$9,SUMPRODUCT(($D$10:$L$10&lt;&gt;"")*(($D$10:$L$10-($D$9:$L$9+INT(($S$12:$AA$12+INDEX($AJ$13:$AR$162,BN3500,0)+INDEX($AT$13:$BB$162,BO3500,0)+INDEX($BD$13:$BL$162,BP3500,0))/100)))&gt;0)*($D$10:$L$10-($D$9:$L$9+INT(($S$12:$AA$12+INDEX($AJ$13:$AR$162,BN3500,0)+INDEX($AT$13:$BB$162,BO3500,0)+INDEX($BD$13:$BL$162,BP3500,0))/100)))),0)</f>
        <v/>
      </c>
      <c r="BS3500">
        <f>IF(3487&lt;$U$9,SUMPRODUCT(($D$9:$L$9+INT(($S$12:$AA$12+INDEX($AJ$13:$AR$162,BN3500,0)+INDEX($AT$13:$BB$162,BO3500,0)+INDEX($BD$13:$BL$162,BP3500,0))/100))),0)</f>
        <v/>
      </c>
      <c r="BT3500">
        <f>IF(AND(3487&lt;$U$9,$W$5),BQ3500*1000000-MIN(BR3500,999)*1000+BS3500-3487/100000,-1000000000-3487)</f>
        <v/>
      </c>
    </row>
    <row r="3501">
      <c r="BN3501">
        <f>IF(3488&lt;$U$9,INT(3488/($U$7*$U$8))+1,1)</f>
        <v/>
      </c>
      <c r="BO3501">
        <f>IF(3488&lt;$U$9,MOD(INT(3488/$U$8),$U$7)+1,1)</f>
        <v/>
      </c>
      <c r="BP3501">
        <f>IF(3488&lt;$U$9,MOD(3488,$U$8)+1,1)</f>
        <v/>
      </c>
      <c r="BQ3501">
        <f>IF(3488&lt;$U$9,SUMPRODUCT(($D$10:$L$10&lt;&gt;"")*(($D$9:$L$9+INT(($S$12:$AA$12+INDEX($AJ$13:$AR$162,BN3501,0)+INDEX($AT$13:$BB$162,BO3501,0)+INDEX($BD$13:$BL$162,BP3501,0))/100))&gt;=$D$10:$L$10)),0)</f>
        <v/>
      </c>
      <c r="BR3501">
        <f>IF(3488&lt;$U$9,SUMPRODUCT(($D$10:$L$10&lt;&gt;"")*(($D$10:$L$10-($D$9:$L$9+INT(($S$12:$AA$12+INDEX($AJ$13:$AR$162,BN3501,0)+INDEX($AT$13:$BB$162,BO3501,0)+INDEX($BD$13:$BL$162,BP3501,0))/100)))&gt;0)*($D$10:$L$10-($D$9:$L$9+INT(($S$12:$AA$12+INDEX($AJ$13:$AR$162,BN3501,0)+INDEX($AT$13:$BB$162,BO3501,0)+INDEX($BD$13:$BL$162,BP3501,0))/100)))),0)</f>
        <v/>
      </c>
      <c r="BS3501">
        <f>IF(3488&lt;$U$9,SUMPRODUCT(($D$9:$L$9+INT(($S$12:$AA$12+INDEX($AJ$13:$AR$162,BN3501,0)+INDEX($AT$13:$BB$162,BO3501,0)+INDEX($BD$13:$BL$162,BP3501,0))/100))),0)</f>
        <v/>
      </c>
      <c r="BT3501">
        <f>IF(AND(3488&lt;$U$9,$W$5),BQ3501*1000000-MIN(BR3501,999)*1000+BS3501-3488/100000,-1000000000-3488)</f>
        <v/>
      </c>
    </row>
    <row r="3502">
      <c r="BN3502">
        <f>IF(3489&lt;$U$9,INT(3489/($U$7*$U$8))+1,1)</f>
        <v/>
      </c>
      <c r="BO3502">
        <f>IF(3489&lt;$U$9,MOD(INT(3489/$U$8),$U$7)+1,1)</f>
        <v/>
      </c>
      <c r="BP3502">
        <f>IF(3489&lt;$U$9,MOD(3489,$U$8)+1,1)</f>
        <v/>
      </c>
      <c r="BQ3502">
        <f>IF(3489&lt;$U$9,SUMPRODUCT(($D$10:$L$10&lt;&gt;"")*(($D$9:$L$9+INT(($S$12:$AA$12+INDEX($AJ$13:$AR$162,BN3502,0)+INDEX($AT$13:$BB$162,BO3502,0)+INDEX($BD$13:$BL$162,BP3502,0))/100))&gt;=$D$10:$L$10)),0)</f>
        <v/>
      </c>
      <c r="BR3502">
        <f>IF(3489&lt;$U$9,SUMPRODUCT(($D$10:$L$10&lt;&gt;"")*(($D$10:$L$10-($D$9:$L$9+INT(($S$12:$AA$12+INDEX($AJ$13:$AR$162,BN3502,0)+INDEX($AT$13:$BB$162,BO3502,0)+INDEX($BD$13:$BL$162,BP3502,0))/100)))&gt;0)*($D$10:$L$10-($D$9:$L$9+INT(($S$12:$AA$12+INDEX($AJ$13:$AR$162,BN3502,0)+INDEX($AT$13:$BB$162,BO3502,0)+INDEX($BD$13:$BL$162,BP3502,0))/100)))),0)</f>
        <v/>
      </c>
      <c r="BS3502">
        <f>IF(3489&lt;$U$9,SUMPRODUCT(($D$9:$L$9+INT(($S$12:$AA$12+INDEX($AJ$13:$AR$162,BN3502,0)+INDEX($AT$13:$BB$162,BO3502,0)+INDEX($BD$13:$BL$162,BP3502,0))/100))),0)</f>
        <v/>
      </c>
      <c r="BT3502">
        <f>IF(AND(3489&lt;$U$9,$W$5),BQ3502*1000000-MIN(BR3502,999)*1000+BS3502-3489/100000,-1000000000-3489)</f>
        <v/>
      </c>
    </row>
    <row r="3503">
      <c r="BN3503">
        <f>IF(3490&lt;$U$9,INT(3490/($U$7*$U$8))+1,1)</f>
        <v/>
      </c>
      <c r="BO3503">
        <f>IF(3490&lt;$U$9,MOD(INT(3490/$U$8),$U$7)+1,1)</f>
        <v/>
      </c>
      <c r="BP3503">
        <f>IF(3490&lt;$U$9,MOD(3490,$U$8)+1,1)</f>
        <v/>
      </c>
      <c r="BQ3503">
        <f>IF(3490&lt;$U$9,SUMPRODUCT(($D$10:$L$10&lt;&gt;"")*(($D$9:$L$9+INT(($S$12:$AA$12+INDEX($AJ$13:$AR$162,BN3503,0)+INDEX($AT$13:$BB$162,BO3503,0)+INDEX($BD$13:$BL$162,BP3503,0))/100))&gt;=$D$10:$L$10)),0)</f>
        <v/>
      </c>
      <c r="BR3503">
        <f>IF(3490&lt;$U$9,SUMPRODUCT(($D$10:$L$10&lt;&gt;"")*(($D$10:$L$10-($D$9:$L$9+INT(($S$12:$AA$12+INDEX($AJ$13:$AR$162,BN3503,0)+INDEX($AT$13:$BB$162,BO3503,0)+INDEX($BD$13:$BL$162,BP3503,0))/100)))&gt;0)*($D$10:$L$10-($D$9:$L$9+INT(($S$12:$AA$12+INDEX($AJ$13:$AR$162,BN3503,0)+INDEX($AT$13:$BB$162,BO3503,0)+INDEX($BD$13:$BL$162,BP3503,0))/100)))),0)</f>
        <v/>
      </c>
      <c r="BS3503">
        <f>IF(3490&lt;$U$9,SUMPRODUCT(($D$9:$L$9+INT(($S$12:$AA$12+INDEX($AJ$13:$AR$162,BN3503,0)+INDEX($AT$13:$BB$162,BO3503,0)+INDEX($BD$13:$BL$162,BP3503,0))/100))),0)</f>
        <v/>
      </c>
      <c r="BT3503">
        <f>IF(AND(3490&lt;$U$9,$W$5),BQ3503*1000000-MIN(BR3503,999)*1000+BS3503-3490/100000,-1000000000-3490)</f>
        <v/>
      </c>
    </row>
    <row r="3504">
      <c r="BN3504">
        <f>IF(3491&lt;$U$9,INT(3491/($U$7*$U$8))+1,1)</f>
        <v/>
      </c>
      <c r="BO3504">
        <f>IF(3491&lt;$U$9,MOD(INT(3491/$U$8),$U$7)+1,1)</f>
        <v/>
      </c>
      <c r="BP3504">
        <f>IF(3491&lt;$U$9,MOD(3491,$U$8)+1,1)</f>
        <v/>
      </c>
      <c r="BQ3504">
        <f>IF(3491&lt;$U$9,SUMPRODUCT(($D$10:$L$10&lt;&gt;"")*(($D$9:$L$9+INT(($S$12:$AA$12+INDEX($AJ$13:$AR$162,BN3504,0)+INDEX($AT$13:$BB$162,BO3504,0)+INDEX($BD$13:$BL$162,BP3504,0))/100))&gt;=$D$10:$L$10)),0)</f>
        <v/>
      </c>
      <c r="BR3504">
        <f>IF(3491&lt;$U$9,SUMPRODUCT(($D$10:$L$10&lt;&gt;"")*(($D$10:$L$10-($D$9:$L$9+INT(($S$12:$AA$12+INDEX($AJ$13:$AR$162,BN3504,0)+INDEX($AT$13:$BB$162,BO3504,0)+INDEX($BD$13:$BL$162,BP3504,0))/100)))&gt;0)*($D$10:$L$10-($D$9:$L$9+INT(($S$12:$AA$12+INDEX($AJ$13:$AR$162,BN3504,0)+INDEX($AT$13:$BB$162,BO3504,0)+INDEX($BD$13:$BL$162,BP3504,0))/100)))),0)</f>
        <v/>
      </c>
      <c r="BS3504">
        <f>IF(3491&lt;$U$9,SUMPRODUCT(($D$9:$L$9+INT(($S$12:$AA$12+INDEX($AJ$13:$AR$162,BN3504,0)+INDEX($AT$13:$BB$162,BO3504,0)+INDEX($BD$13:$BL$162,BP3504,0))/100))),0)</f>
        <v/>
      </c>
      <c r="BT3504">
        <f>IF(AND(3491&lt;$U$9,$W$5),BQ3504*1000000-MIN(BR3504,999)*1000+BS3504-3491/100000,-1000000000-3491)</f>
        <v/>
      </c>
    </row>
    <row r="3505">
      <c r="BN3505">
        <f>IF(3492&lt;$U$9,INT(3492/($U$7*$U$8))+1,1)</f>
        <v/>
      </c>
      <c r="BO3505">
        <f>IF(3492&lt;$U$9,MOD(INT(3492/$U$8),$U$7)+1,1)</f>
        <v/>
      </c>
      <c r="BP3505">
        <f>IF(3492&lt;$U$9,MOD(3492,$U$8)+1,1)</f>
        <v/>
      </c>
      <c r="BQ3505">
        <f>IF(3492&lt;$U$9,SUMPRODUCT(($D$10:$L$10&lt;&gt;"")*(($D$9:$L$9+INT(($S$12:$AA$12+INDEX($AJ$13:$AR$162,BN3505,0)+INDEX($AT$13:$BB$162,BO3505,0)+INDEX($BD$13:$BL$162,BP3505,0))/100))&gt;=$D$10:$L$10)),0)</f>
        <v/>
      </c>
      <c r="BR3505">
        <f>IF(3492&lt;$U$9,SUMPRODUCT(($D$10:$L$10&lt;&gt;"")*(($D$10:$L$10-($D$9:$L$9+INT(($S$12:$AA$12+INDEX($AJ$13:$AR$162,BN3505,0)+INDEX($AT$13:$BB$162,BO3505,0)+INDEX($BD$13:$BL$162,BP3505,0))/100)))&gt;0)*($D$10:$L$10-($D$9:$L$9+INT(($S$12:$AA$12+INDEX($AJ$13:$AR$162,BN3505,0)+INDEX($AT$13:$BB$162,BO3505,0)+INDEX($BD$13:$BL$162,BP3505,0))/100)))),0)</f>
        <v/>
      </c>
      <c r="BS3505">
        <f>IF(3492&lt;$U$9,SUMPRODUCT(($D$9:$L$9+INT(($S$12:$AA$12+INDEX($AJ$13:$AR$162,BN3505,0)+INDEX($AT$13:$BB$162,BO3505,0)+INDEX($BD$13:$BL$162,BP3505,0))/100))),0)</f>
        <v/>
      </c>
      <c r="BT3505">
        <f>IF(AND(3492&lt;$U$9,$W$5),BQ3505*1000000-MIN(BR3505,999)*1000+BS3505-3492/100000,-1000000000-3492)</f>
        <v/>
      </c>
    </row>
    <row r="3506">
      <c r="BN3506">
        <f>IF(3493&lt;$U$9,INT(3493/($U$7*$U$8))+1,1)</f>
        <v/>
      </c>
      <c r="BO3506">
        <f>IF(3493&lt;$U$9,MOD(INT(3493/$U$8),$U$7)+1,1)</f>
        <v/>
      </c>
      <c r="BP3506">
        <f>IF(3493&lt;$U$9,MOD(3493,$U$8)+1,1)</f>
        <v/>
      </c>
      <c r="BQ3506">
        <f>IF(3493&lt;$U$9,SUMPRODUCT(($D$10:$L$10&lt;&gt;"")*(($D$9:$L$9+INT(($S$12:$AA$12+INDEX($AJ$13:$AR$162,BN3506,0)+INDEX($AT$13:$BB$162,BO3506,0)+INDEX($BD$13:$BL$162,BP3506,0))/100))&gt;=$D$10:$L$10)),0)</f>
        <v/>
      </c>
      <c r="BR3506">
        <f>IF(3493&lt;$U$9,SUMPRODUCT(($D$10:$L$10&lt;&gt;"")*(($D$10:$L$10-($D$9:$L$9+INT(($S$12:$AA$12+INDEX($AJ$13:$AR$162,BN3506,0)+INDEX($AT$13:$BB$162,BO3506,0)+INDEX($BD$13:$BL$162,BP3506,0))/100)))&gt;0)*($D$10:$L$10-($D$9:$L$9+INT(($S$12:$AA$12+INDEX($AJ$13:$AR$162,BN3506,0)+INDEX($AT$13:$BB$162,BO3506,0)+INDEX($BD$13:$BL$162,BP3506,0))/100)))),0)</f>
        <v/>
      </c>
      <c r="BS3506">
        <f>IF(3493&lt;$U$9,SUMPRODUCT(($D$9:$L$9+INT(($S$12:$AA$12+INDEX($AJ$13:$AR$162,BN3506,0)+INDEX($AT$13:$BB$162,BO3506,0)+INDEX($BD$13:$BL$162,BP3506,0))/100))),0)</f>
        <v/>
      </c>
      <c r="BT3506">
        <f>IF(AND(3493&lt;$U$9,$W$5),BQ3506*1000000-MIN(BR3506,999)*1000+BS3506-3493/100000,-1000000000-3493)</f>
        <v/>
      </c>
    </row>
    <row r="3507">
      <c r="BN3507">
        <f>IF(3494&lt;$U$9,INT(3494/($U$7*$U$8))+1,1)</f>
        <v/>
      </c>
      <c r="BO3507">
        <f>IF(3494&lt;$U$9,MOD(INT(3494/$U$8),$U$7)+1,1)</f>
        <v/>
      </c>
      <c r="BP3507">
        <f>IF(3494&lt;$U$9,MOD(3494,$U$8)+1,1)</f>
        <v/>
      </c>
      <c r="BQ3507">
        <f>IF(3494&lt;$U$9,SUMPRODUCT(($D$10:$L$10&lt;&gt;"")*(($D$9:$L$9+INT(($S$12:$AA$12+INDEX($AJ$13:$AR$162,BN3507,0)+INDEX($AT$13:$BB$162,BO3507,0)+INDEX($BD$13:$BL$162,BP3507,0))/100))&gt;=$D$10:$L$10)),0)</f>
        <v/>
      </c>
      <c r="BR3507">
        <f>IF(3494&lt;$U$9,SUMPRODUCT(($D$10:$L$10&lt;&gt;"")*(($D$10:$L$10-($D$9:$L$9+INT(($S$12:$AA$12+INDEX($AJ$13:$AR$162,BN3507,0)+INDEX($AT$13:$BB$162,BO3507,0)+INDEX($BD$13:$BL$162,BP3507,0))/100)))&gt;0)*($D$10:$L$10-($D$9:$L$9+INT(($S$12:$AA$12+INDEX($AJ$13:$AR$162,BN3507,0)+INDEX($AT$13:$BB$162,BO3507,0)+INDEX($BD$13:$BL$162,BP3507,0))/100)))),0)</f>
        <v/>
      </c>
      <c r="BS3507">
        <f>IF(3494&lt;$U$9,SUMPRODUCT(($D$9:$L$9+INT(($S$12:$AA$12+INDEX($AJ$13:$AR$162,BN3507,0)+INDEX($AT$13:$BB$162,BO3507,0)+INDEX($BD$13:$BL$162,BP3507,0))/100))),0)</f>
        <v/>
      </c>
      <c r="BT3507">
        <f>IF(AND(3494&lt;$U$9,$W$5),BQ3507*1000000-MIN(BR3507,999)*1000+BS3507-3494/100000,-1000000000-3494)</f>
        <v/>
      </c>
    </row>
    <row r="3508">
      <c r="BN3508">
        <f>IF(3495&lt;$U$9,INT(3495/($U$7*$U$8))+1,1)</f>
        <v/>
      </c>
      <c r="BO3508">
        <f>IF(3495&lt;$U$9,MOD(INT(3495/$U$8),$U$7)+1,1)</f>
        <v/>
      </c>
      <c r="BP3508">
        <f>IF(3495&lt;$U$9,MOD(3495,$U$8)+1,1)</f>
        <v/>
      </c>
      <c r="BQ3508">
        <f>IF(3495&lt;$U$9,SUMPRODUCT(($D$10:$L$10&lt;&gt;"")*(($D$9:$L$9+INT(($S$12:$AA$12+INDEX($AJ$13:$AR$162,BN3508,0)+INDEX($AT$13:$BB$162,BO3508,0)+INDEX($BD$13:$BL$162,BP3508,0))/100))&gt;=$D$10:$L$10)),0)</f>
        <v/>
      </c>
      <c r="BR3508">
        <f>IF(3495&lt;$U$9,SUMPRODUCT(($D$10:$L$10&lt;&gt;"")*(($D$10:$L$10-($D$9:$L$9+INT(($S$12:$AA$12+INDEX($AJ$13:$AR$162,BN3508,0)+INDEX($AT$13:$BB$162,BO3508,0)+INDEX($BD$13:$BL$162,BP3508,0))/100)))&gt;0)*($D$10:$L$10-($D$9:$L$9+INT(($S$12:$AA$12+INDEX($AJ$13:$AR$162,BN3508,0)+INDEX($AT$13:$BB$162,BO3508,0)+INDEX($BD$13:$BL$162,BP3508,0))/100)))),0)</f>
        <v/>
      </c>
      <c r="BS3508">
        <f>IF(3495&lt;$U$9,SUMPRODUCT(($D$9:$L$9+INT(($S$12:$AA$12+INDEX($AJ$13:$AR$162,BN3508,0)+INDEX($AT$13:$BB$162,BO3508,0)+INDEX($BD$13:$BL$162,BP3508,0))/100))),0)</f>
        <v/>
      </c>
      <c r="BT3508">
        <f>IF(AND(3495&lt;$U$9,$W$5),BQ3508*1000000-MIN(BR3508,999)*1000+BS3508-3495/100000,-1000000000-3495)</f>
        <v/>
      </c>
    </row>
    <row r="3509">
      <c r="BN3509">
        <f>IF(3496&lt;$U$9,INT(3496/($U$7*$U$8))+1,1)</f>
        <v/>
      </c>
      <c r="BO3509">
        <f>IF(3496&lt;$U$9,MOD(INT(3496/$U$8),$U$7)+1,1)</f>
        <v/>
      </c>
      <c r="BP3509">
        <f>IF(3496&lt;$U$9,MOD(3496,$U$8)+1,1)</f>
        <v/>
      </c>
      <c r="BQ3509">
        <f>IF(3496&lt;$U$9,SUMPRODUCT(($D$10:$L$10&lt;&gt;"")*(($D$9:$L$9+INT(($S$12:$AA$12+INDEX($AJ$13:$AR$162,BN3509,0)+INDEX($AT$13:$BB$162,BO3509,0)+INDEX($BD$13:$BL$162,BP3509,0))/100))&gt;=$D$10:$L$10)),0)</f>
        <v/>
      </c>
      <c r="BR3509">
        <f>IF(3496&lt;$U$9,SUMPRODUCT(($D$10:$L$10&lt;&gt;"")*(($D$10:$L$10-($D$9:$L$9+INT(($S$12:$AA$12+INDEX($AJ$13:$AR$162,BN3509,0)+INDEX($AT$13:$BB$162,BO3509,0)+INDEX($BD$13:$BL$162,BP3509,0))/100)))&gt;0)*($D$10:$L$10-($D$9:$L$9+INT(($S$12:$AA$12+INDEX($AJ$13:$AR$162,BN3509,0)+INDEX($AT$13:$BB$162,BO3509,0)+INDEX($BD$13:$BL$162,BP3509,0))/100)))),0)</f>
        <v/>
      </c>
      <c r="BS3509">
        <f>IF(3496&lt;$U$9,SUMPRODUCT(($D$9:$L$9+INT(($S$12:$AA$12+INDEX($AJ$13:$AR$162,BN3509,0)+INDEX($AT$13:$BB$162,BO3509,0)+INDEX($BD$13:$BL$162,BP3509,0))/100))),0)</f>
        <v/>
      </c>
      <c r="BT3509">
        <f>IF(AND(3496&lt;$U$9,$W$5),BQ3509*1000000-MIN(BR3509,999)*1000+BS3509-3496/100000,-1000000000-3496)</f>
        <v/>
      </c>
    </row>
    <row r="3510">
      <c r="BN3510">
        <f>IF(3497&lt;$U$9,INT(3497/($U$7*$U$8))+1,1)</f>
        <v/>
      </c>
      <c r="BO3510">
        <f>IF(3497&lt;$U$9,MOD(INT(3497/$U$8),$U$7)+1,1)</f>
        <v/>
      </c>
      <c r="BP3510">
        <f>IF(3497&lt;$U$9,MOD(3497,$U$8)+1,1)</f>
        <v/>
      </c>
      <c r="BQ3510">
        <f>IF(3497&lt;$U$9,SUMPRODUCT(($D$10:$L$10&lt;&gt;"")*(($D$9:$L$9+INT(($S$12:$AA$12+INDEX($AJ$13:$AR$162,BN3510,0)+INDEX($AT$13:$BB$162,BO3510,0)+INDEX($BD$13:$BL$162,BP3510,0))/100))&gt;=$D$10:$L$10)),0)</f>
        <v/>
      </c>
      <c r="BR3510">
        <f>IF(3497&lt;$U$9,SUMPRODUCT(($D$10:$L$10&lt;&gt;"")*(($D$10:$L$10-($D$9:$L$9+INT(($S$12:$AA$12+INDEX($AJ$13:$AR$162,BN3510,0)+INDEX($AT$13:$BB$162,BO3510,0)+INDEX($BD$13:$BL$162,BP3510,0))/100)))&gt;0)*($D$10:$L$10-($D$9:$L$9+INT(($S$12:$AA$12+INDEX($AJ$13:$AR$162,BN3510,0)+INDEX($AT$13:$BB$162,BO3510,0)+INDEX($BD$13:$BL$162,BP3510,0))/100)))),0)</f>
        <v/>
      </c>
      <c r="BS3510">
        <f>IF(3497&lt;$U$9,SUMPRODUCT(($D$9:$L$9+INT(($S$12:$AA$12+INDEX($AJ$13:$AR$162,BN3510,0)+INDEX($AT$13:$BB$162,BO3510,0)+INDEX($BD$13:$BL$162,BP3510,0))/100))),0)</f>
        <v/>
      </c>
      <c r="BT3510">
        <f>IF(AND(3497&lt;$U$9,$W$5),BQ3510*1000000-MIN(BR3510,999)*1000+BS3510-3497/100000,-1000000000-3497)</f>
        <v/>
      </c>
    </row>
    <row r="3511">
      <c r="BN3511">
        <f>IF(3498&lt;$U$9,INT(3498/($U$7*$U$8))+1,1)</f>
        <v/>
      </c>
      <c r="BO3511">
        <f>IF(3498&lt;$U$9,MOD(INT(3498/$U$8),$U$7)+1,1)</f>
        <v/>
      </c>
      <c r="BP3511">
        <f>IF(3498&lt;$U$9,MOD(3498,$U$8)+1,1)</f>
        <v/>
      </c>
      <c r="BQ3511">
        <f>IF(3498&lt;$U$9,SUMPRODUCT(($D$10:$L$10&lt;&gt;"")*(($D$9:$L$9+INT(($S$12:$AA$12+INDEX($AJ$13:$AR$162,BN3511,0)+INDEX($AT$13:$BB$162,BO3511,0)+INDEX($BD$13:$BL$162,BP3511,0))/100))&gt;=$D$10:$L$10)),0)</f>
        <v/>
      </c>
      <c r="BR3511">
        <f>IF(3498&lt;$U$9,SUMPRODUCT(($D$10:$L$10&lt;&gt;"")*(($D$10:$L$10-($D$9:$L$9+INT(($S$12:$AA$12+INDEX($AJ$13:$AR$162,BN3511,0)+INDEX($AT$13:$BB$162,BO3511,0)+INDEX($BD$13:$BL$162,BP3511,0))/100)))&gt;0)*($D$10:$L$10-($D$9:$L$9+INT(($S$12:$AA$12+INDEX($AJ$13:$AR$162,BN3511,0)+INDEX($AT$13:$BB$162,BO3511,0)+INDEX($BD$13:$BL$162,BP3511,0))/100)))),0)</f>
        <v/>
      </c>
      <c r="BS3511">
        <f>IF(3498&lt;$U$9,SUMPRODUCT(($D$9:$L$9+INT(($S$12:$AA$12+INDEX($AJ$13:$AR$162,BN3511,0)+INDEX($AT$13:$BB$162,BO3511,0)+INDEX($BD$13:$BL$162,BP3511,0))/100))),0)</f>
        <v/>
      </c>
      <c r="BT3511">
        <f>IF(AND(3498&lt;$U$9,$W$5),BQ3511*1000000-MIN(BR3511,999)*1000+BS3511-3498/100000,-1000000000-3498)</f>
        <v/>
      </c>
    </row>
    <row r="3512">
      <c r="BN3512">
        <f>IF(3499&lt;$U$9,INT(3499/($U$7*$U$8))+1,1)</f>
        <v/>
      </c>
      <c r="BO3512">
        <f>IF(3499&lt;$U$9,MOD(INT(3499/$U$8),$U$7)+1,1)</f>
        <v/>
      </c>
      <c r="BP3512">
        <f>IF(3499&lt;$U$9,MOD(3499,$U$8)+1,1)</f>
        <v/>
      </c>
      <c r="BQ3512">
        <f>IF(3499&lt;$U$9,SUMPRODUCT(($D$10:$L$10&lt;&gt;"")*(($D$9:$L$9+INT(($S$12:$AA$12+INDEX($AJ$13:$AR$162,BN3512,0)+INDEX($AT$13:$BB$162,BO3512,0)+INDEX($BD$13:$BL$162,BP3512,0))/100))&gt;=$D$10:$L$10)),0)</f>
        <v/>
      </c>
      <c r="BR3512">
        <f>IF(3499&lt;$U$9,SUMPRODUCT(($D$10:$L$10&lt;&gt;"")*(($D$10:$L$10-($D$9:$L$9+INT(($S$12:$AA$12+INDEX($AJ$13:$AR$162,BN3512,0)+INDEX($AT$13:$BB$162,BO3512,0)+INDEX($BD$13:$BL$162,BP3512,0))/100)))&gt;0)*($D$10:$L$10-($D$9:$L$9+INT(($S$12:$AA$12+INDEX($AJ$13:$AR$162,BN3512,0)+INDEX($AT$13:$BB$162,BO3512,0)+INDEX($BD$13:$BL$162,BP3512,0))/100)))),0)</f>
        <v/>
      </c>
      <c r="BS3512">
        <f>IF(3499&lt;$U$9,SUMPRODUCT(($D$9:$L$9+INT(($S$12:$AA$12+INDEX($AJ$13:$AR$162,BN3512,0)+INDEX($AT$13:$BB$162,BO3512,0)+INDEX($BD$13:$BL$162,BP3512,0))/100))),0)</f>
        <v/>
      </c>
      <c r="BT3512">
        <f>IF(AND(3499&lt;$U$9,$W$5),BQ3512*1000000-MIN(BR3512,999)*1000+BS3512-3499/100000,-1000000000-3499)</f>
        <v/>
      </c>
    </row>
    <row r="3513">
      <c r="BN3513">
        <f>IF(3500&lt;$U$9,INT(3500/($U$7*$U$8))+1,1)</f>
        <v/>
      </c>
      <c r="BO3513">
        <f>IF(3500&lt;$U$9,MOD(INT(3500/$U$8),$U$7)+1,1)</f>
        <v/>
      </c>
      <c r="BP3513">
        <f>IF(3500&lt;$U$9,MOD(3500,$U$8)+1,1)</f>
        <v/>
      </c>
      <c r="BQ3513">
        <f>IF(3500&lt;$U$9,SUMPRODUCT(($D$10:$L$10&lt;&gt;"")*(($D$9:$L$9+INT(($S$12:$AA$12+INDEX($AJ$13:$AR$162,BN3513,0)+INDEX($AT$13:$BB$162,BO3513,0)+INDEX($BD$13:$BL$162,BP3513,0))/100))&gt;=$D$10:$L$10)),0)</f>
        <v/>
      </c>
      <c r="BR3513">
        <f>IF(3500&lt;$U$9,SUMPRODUCT(($D$10:$L$10&lt;&gt;"")*(($D$10:$L$10-($D$9:$L$9+INT(($S$12:$AA$12+INDEX($AJ$13:$AR$162,BN3513,0)+INDEX($AT$13:$BB$162,BO3513,0)+INDEX($BD$13:$BL$162,BP3513,0))/100)))&gt;0)*($D$10:$L$10-($D$9:$L$9+INT(($S$12:$AA$12+INDEX($AJ$13:$AR$162,BN3513,0)+INDEX($AT$13:$BB$162,BO3513,0)+INDEX($BD$13:$BL$162,BP3513,0))/100)))),0)</f>
        <v/>
      </c>
      <c r="BS3513">
        <f>IF(3500&lt;$U$9,SUMPRODUCT(($D$9:$L$9+INT(($S$12:$AA$12+INDEX($AJ$13:$AR$162,BN3513,0)+INDEX($AT$13:$BB$162,BO3513,0)+INDEX($BD$13:$BL$162,BP3513,0))/100))),0)</f>
        <v/>
      </c>
      <c r="BT3513">
        <f>IF(AND(3500&lt;$U$9,$W$5),BQ3513*1000000-MIN(BR3513,999)*1000+BS3513-3500/100000,-1000000000-3500)</f>
        <v/>
      </c>
    </row>
    <row r="3514">
      <c r="BN3514">
        <f>IF(3501&lt;$U$9,INT(3501/($U$7*$U$8))+1,1)</f>
        <v/>
      </c>
      <c r="BO3514">
        <f>IF(3501&lt;$U$9,MOD(INT(3501/$U$8),$U$7)+1,1)</f>
        <v/>
      </c>
      <c r="BP3514">
        <f>IF(3501&lt;$U$9,MOD(3501,$U$8)+1,1)</f>
        <v/>
      </c>
      <c r="BQ3514">
        <f>IF(3501&lt;$U$9,SUMPRODUCT(($D$10:$L$10&lt;&gt;"")*(($D$9:$L$9+INT(($S$12:$AA$12+INDEX($AJ$13:$AR$162,BN3514,0)+INDEX($AT$13:$BB$162,BO3514,0)+INDEX($BD$13:$BL$162,BP3514,0))/100))&gt;=$D$10:$L$10)),0)</f>
        <v/>
      </c>
      <c r="BR3514">
        <f>IF(3501&lt;$U$9,SUMPRODUCT(($D$10:$L$10&lt;&gt;"")*(($D$10:$L$10-($D$9:$L$9+INT(($S$12:$AA$12+INDEX($AJ$13:$AR$162,BN3514,0)+INDEX($AT$13:$BB$162,BO3514,0)+INDEX($BD$13:$BL$162,BP3514,0))/100)))&gt;0)*($D$10:$L$10-($D$9:$L$9+INT(($S$12:$AA$12+INDEX($AJ$13:$AR$162,BN3514,0)+INDEX($AT$13:$BB$162,BO3514,0)+INDEX($BD$13:$BL$162,BP3514,0))/100)))),0)</f>
        <v/>
      </c>
      <c r="BS3514">
        <f>IF(3501&lt;$U$9,SUMPRODUCT(($D$9:$L$9+INT(($S$12:$AA$12+INDEX($AJ$13:$AR$162,BN3514,0)+INDEX($AT$13:$BB$162,BO3514,0)+INDEX($BD$13:$BL$162,BP3514,0))/100))),0)</f>
        <v/>
      </c>
      <c r="BT3514">
        <f>IF(AND(3501&lt;$U$9,$W$5),BQ3514*1000000-MIN(BR3514,999)*1000+BS3514-3501/100000,-1000000000-3501)</f>
        <v/>
      </c>
    </row>
    <row r="3515">
      <c r="BN3515">
        <f>IF(3502&lt;$U$9,INT(3502/($U$7*$U$8))+1,1)</f>
        <v/>
      </c>
      <c r="BO3515">
        <f>IF(3502&lt;$U$9,MOD(INT(3502/$U$8),$U$7)+1,1)</f>
        <v/>
      </c>
      <c r="BP3515">
        <f>IF(3502&lt;$U$9,MOD(3502,$U$8)+1,1)</f>
        <v/>
      </c>
      <c r="BQ3515">
        <f>IF(3502&lt;$U$9,SUMPRODUCT(($D$10:$L$10&lt;&gt;"")*(($D$9:$L$9+INT(($S$12:$AA$12+INDEX($AJ$13:$AR$162,BN3515,0)+INDEX($AT$13:$BB$162,BO3515,0)+INDEX($BD$13:$BL$162,BP3515,0))/100))&gt;=$D$10:$L$10)),0)</f>
        <v/>
      </c>
      <c r="BR3515">
        <f>IF(3502&lt;$U$9,SUMPRODUCT(($D$10:$L$10&lt;&gt;"")*(($D$10:$L$10-($D$9:$L$9+INT(($S$12:$AA$12+INDEX($AJ$13:$AR$162,BN3515,0)+INDEX($AT$13:$BB$162,BO3515,0)+INDEX($BD$13:$BL$162,BP3515,0))/100)))&gt;0)*($D$10:$L$10-($D$9:$L$9+INT(($S$12:$AA$12+INDEX($AJ$13:$AR$162,BN3515,0)+INDEX($AT$13:$BB$162,BO3515,0)+INDEX($BD$13:$BL$162,BP3515,0))/100)))),0)</f>
        <v/>
      </c>
      <c r="BS3515">
        <f>IF(3502&lt;$U$9,SUMPRODUCT(($D$9:$L$9+INT(($S$12:$AA$12+INDEX($AJ$13:$AR$162,BN3515,0)+INDEX($AT$13:$BB$162,BO3515,0)+INDEX($BD$13:$BL$162,BP3515,0))/100))),0)</f>
        <v/>
      </c>
      <c r="BT3515">
        <f>IF(AND(3502&lt;$U$9,$W$5),BQ3515*1000000-MIN(BR3515,999)*1000+BS3515-3502/100000,-1000000000-3502)</f>
        <v/>
      </c>
    </row>
    <row r="3516">
      <c r="BN3516">
        <f>IF(3503&lt;$U$9,INT(3503/($U$7*$U$8))+1,1)</f>
        <v/>
      </c>
      <c r="BO3516">
        <f>IF(3503&lt;$U$9,MOD(INT(3503/$U$8),$U$7)+1,1)</f>
        <v/>
      </c>
      <c r="BP3516">
        <f>IF(3503&lt;$U$9,MOD(3503,$U$8)+1,1)</f>
        <v/>
      </c>
      <c r="BQ3516">
        <f>IF(3503&lt;$U$9,SUMPRODUCT(($D$10:$L$10&lt;&gt;"")*(($D$9:$L$9+INT(($S$12:$AA$12+INDEX($AJ$13:$AR$162,BN3516,0)+INDEX($AT$13:$BB$162,BO3516,0)+INDEX($BD$13:$BL$162,BP3516,0))/100))&gt;=$D$10:$L$10)),0)</f>
        <v/>
      </c>
      <c r="BR3516">
        <f>IF(3503&lt;$U$9,SUMPRODUCT(($D$10:$L$10&lt;&gt;"")*(($D$10:$L$10-($D$9:$L$9+INT(($S$12:$AA$12+INDEX($AJ$13:$AR$162,BN3516,0)+INDEX($AT$13:$BB$162,BO3516,0)+INDEX($BD$13:$BL$162,BP3516,0))/100)))&gt;0)*($D$10:$L$10-($D$9:$L$9+INT(($S$12:$AA$12+INDEX($AJ$13:$AR$162,BN3516,0)+INDEX($AT$13:$BB$162,BO3516,0)+INDEX($BD$13:$BL$162,BP3516,0))/100)))),0)</f>
        <v/>
      </c>
      <c r="BS3516">
        <f>IF(3503&lt;$U$9,SUMPRODUCT(($D$9:$L$9+INT(($S$12:$AA$12+INDEX($AJ$13:$AR$162,BN3516,0)+INDEX($AT$13:$BB$162,BO3516,0)+INDEX($BD$13:$BL$162,BP3516,0))/100))),0)</f>
        <v/>
      </c>
      <c r="BT3516">
        <f>IF(AND(3503&lt;$U$9,$W$5),BQ3516*1000000-MIN(BR3516,999)*1000+BS3516-3503/100000,-1000000000-3503)</f>
        <v/>
      </c>
    </row>
    <row r="3517">
      <c r="BN3517">
        <f>IF(3504&lt;$U$9,INT(3504/($U$7*$U$8))+1,1)</f>
        <v/>
      </c>
      <c r="BO3517">
        <f>IF(3504&lt;$U$9,MOD(INT(3504/$U$8),$U$7)+1,1)</f>
        <v/>
      </c>
      <c r="BP3517">
        <f>IF(3504&lt;$U$9,MOD(3504,$U$8)+1,1)</f>
        <v/>
      </c>
      <c r="BQ3517">
        <f>IF(3504&lt;$U$9,SUMPRODUCT(($D$10:$L$10&lt;&gt;"")*(($D$9:$L$9+INT(($S$12:$AA$12+INDEX($AJ$13:$AR$162,BN3517,0)+INDEX($AT$13:$BB$162,BO3517,0)+INDEX($BD$13:$BL$162,BP3517,0))/100))&gt;=$D$10:$L$10)),0)</f>
        <v/>
      </c>
      <c r="BR3517">
        <f>IF(3504&lt;$U$9,SUMPRODUCT(($D$10:$L$10&lt;&gt;"")*(($D$10:$L$10-($D$9:$L$9+INT(($S$12:$AA$12+INDEX($AJ$13:$AR$162,BN3517,0)+INDEX($AT$13:$BB$162,BO3517,0)+INDEX($BD$13:$BL$162,BP3517,0))/100)))&gt;0)*($D$10:$L$10-($D$9:$L$9+INT(($S$12:$AA$12+INDEX($AJ$13:$AR$162,BN3517,0)+INDEX($AT$13:$BB$162,BO3517,0)+INDEX($BD$13:$BL$162,BP3517,0))/100)))),0)</f>
        <v/>
      </c>
      <c r="BS3517">
        <f>IF(3504&lt;$U$9,SUMPRODUCT(($D$9:$L$9+INT(($S$12:$AA$12+INDEX($AJ$13:$AR$162,BN3517,0)+INDEX($AT$13:$BB$162,BO3517,0)+INDEX($BD$13:$BL$162,BP3517,0))/100))),0)</f>
        <v/>
      </c>
      <c r="BT3517">
        <f>IF(AND(3504&lt;$U$9,$W$5),BQ3517*1000000-MIN(BR3517,999)*1000+BS3517-3504/100000,-1000000000-3504)</f>
        <v/>
      </c>
    </row>
    <row r="3518">
      <c r="BN3518">
        <f>IF(3505&lt;$U$9,INT(3505/($U$7*$U$8))+1,1)</f>
        <v/>
      </c>
      <c r="BO3518">
        <f>IF(3505&lt;$U$9,MOD(INT(3505/$U$8),$U$7)+1,1)</f>
        <v/>
      </c>
      <c r="BP3518">
        <f>IF(3505&lt;$U$9,MOD(3505,$U$8)+1,1)</f>
        <v/>
      </c>
      <c r="BQ3518">
        <f>IF(3505&lt;$U$9,SUMPRODUCT(($D$10:$L$10&lt;&gt;"")*(($D$9:$L$9+INT(($S$12:$AA$12+INDEX($AJ$13:$AR$162,BN3518,0)+INDEX($AT$13:$BB$162,BO3518,0)+INDEX($BD$13:$BL$162,BP3518,0))/100))&gt;=$D$10:$L$10)),0)</f>
        <v/>
      </c>
      <c r="BR3518">
        <f>IF(3505&lt;$U$9,SUMPRODUCT(($D$10:$L$10&lt;&gt;"")*(($D$10:$L$10-($D$9:$L$9+INT(($S$12:$AA$12+INDEX($AJ$13:$AR$162,BN3518,0)+INDEX($AT$13:$BB$162,BO3518,0)+INDEX($BD$13:$BL$162,BP3518,0))/100)))&gt;0)*($D$10:$L$10-($D$9:$L$9+INT(($S$12:$AA$12+INDEX($AJ$13:$AR$162,BN3518,0)+INDEX($AT$13:$BB$162,BO3518,0)+INDEX($BD$13:$BL$162,BP3518,0))/100)))),0)</f>
        <v/>
      </c>
      <c r="BS3518">
        <f>IF(3505&lt;$U$9,SUMPRODUCT(($D$9:$L$9+INT(($S$12:$AA$12+INDEX($AJ$13:$AR$162,BN3518,0)+INDEX($AT$13:$BB$162,BO3518,0)+INDEX($BD$13:$BL$162,BP3518,0))/100))),0)</f>
        <v/>
      </c>
      <c r="BT3518">
        <f>IF(AND(3505&lt;$U$9,$W$5),BQ3518*1000000-MIN(BR3518,999)*1000+BS3518-3505/100000,-1000000000-3505)</f>
        <v/>
      </c>
    </row>
    <row r="3519">
      <c r="BN3519">
        <f>IF(3506&lt;$U$9,INT(3506/($U$7*$U$8))+1,1)</f>
        <v/>
      </c>
      <c r="BO3519">
        <f>IF(3506&lt;$U$9,MOD(INT(3506/$U$8),$U$7)+1,1)</f>
        <v/>
      </c>
      <c r="BP3519">
        <f>IF(3506&lt;$U$9,MOD(3506,$U$8)+1,1)</f>
        <v/>
      </c>
      <c r="BQ3519">
        <f>IF(3506&lt;$U$9,SUMPRODUCT(($D$10:$L$10&lt;&gt;"")*(($D$9:$L$9+INT(($S$12:$AA$12+INDEX($AJ$13:$AR$162,BN3519,0)+INDEX($AT$13:$BB$162,BO3519,0)+INDEX($BD$13:$BL$162,BP3519,0))/100))&gt;=$D$10:$L$10)),0)</f>
        <v/>
      </c>
      <c r="BR3519">
        <f>IF(3506&lt;$U$9,SUMPRODUCT(($D$10:$L$10&lt;&gt;"")*(($D$10:$L$10-($D$9:$L$9+INT(($S$12:$AA$12+INDEX($AJ$13:$AR$162,BN3519,0)+INDEX($AT$13:$BB$162,BO3519,0)+INDEX($BD$13:$BL$162,BP3519,0))/100)))&gt;0)*($D$10:$L$10-($D$9:$L$9+INT(($S$12:$AA$12+INDEX($AJ$13:$AR$162,BN3519,0)+INDEX($AT$13:$BB$162,BO3519,0)+INDEX($BD$13:$BL$162,BP3519,0))/100)))),0)</f>
        <v/>
      </c>
      <c r="BS3519">
        <f>IF(3506&lt;$U$9,SUMPRODUCT(($D$9:$L$9+INT(($S$12:$AA$12+INDEX($AJ$13:$AR$162,BN3519,0)+INDEX($AT$13:$BB$162,BO3519,0)+INDEX($BD$13:$BL$162,BP3519,0))/100))),0)</f>
        <v/>
      </c>
      <c r="BT3519">
        <f>IF(AND(3506&lt;$U$9,$W$5),BQ3519*1000000-MIN(BR3519,999)*1000+BS3519-3506/100000,-1000000000-3506)</f>
        <v/>
      </c>
    </row>
    <row r="3520">
      <c r="BN3520">
        <f>IF(3507&lt;$U$9,INT(3507/($U$7*$U$8))+1,1)</f>
        <v/>
      </c>
      <c r="BO3520">
        <f>IF(3507&lt;$U$9,MOD(INT(3507/$U$8),$U$7)+1,1)</f>
        <v/>
      </c>
      <c r="BP3520">
        <f>IF(3507&lt;$U$9,MOD(3507,$U$8)+1,1)</f>
        <v/>
      </c>
      <c r="BQ3520">
        <f>IF(3507&lt;$U$9,SUMPRODUCT(($D$10:$L$10&lt;&gt;"")*(($D$9:$L$9+INT(($S$12:$AA$12+INDEX($AJ$13:$AR$162,BN3520,0)+INDEX($AT$13:$BB$162,BO3520,0)+INDEX($BD$13:$BL$162,BP3520,0))/100))&gt;=$D$10:$L$10)),0)</f>
        <v/>
      </c>
      <c r="BR3520">
        <f>IF(3507&lt;$U$9,SUMPRODUCT(($D$10:$L$10&lt;&gt;"")*(($D$10:$L$10-($D$9:$L$9+INT(($S$12:$AA$12+INDEX($AJ$13:$AR$162,BN3520,0)+INDEX($AT$13:$BB$162,BO3520,0)+INDEX($BD$13:$BL$162,BP3520,0))/100)))&gt;0)*($D$10:$L$10-($D$9:$L$9+INT(($S$12:$AA$12+INDEX($AJ$13:$AR$162,BN3520,0)+INDEX($AT$13:$BB$162,BO3520,0)+INDEX($BD$13:$BL$162,BP3520,0))/100)))),0)</f>
        <v/>
      </c>
      <c r="BS3520">
        <f>IF(3507&lt;$U$9,SUMPRODUCT(($D$9:$L$9+INT(($S$12:$AA$12+INDEX($AJ$13:$AR$162,BN3520,0)+INDEX($AT$13:$BB$162,BO3520,0)+INDEX($BD$13:$BL$162,BP3520,0))/100))),0)</f>
        <v/>
      </c>
      <c r="BT3520">
        <f>IF(AND(3507&lt;$U$9,$W$5),BQ3520*1000000-MIN(BR3520,999)*1000+BS3520-3507/100000,-1000000000-3507)</f>
        <v/>
      </c>
    </row>
    <row r="3521">
      <c r="BN3521">
        <f>IF(3508&lt;$U$9,INT(3508/($U$7*$U$8))+1,1)</f>
        <v/>
      </c>
      <c r="BO3521">
        <f>IF(3508&lt;$U$9,MOD(INT(3508/$U$8),$U$7)+1,1)</f>
        <v/>
      </c>
      <c r="BP3521">
        <f>IF(3508&lt;$U$9,MOD(3508,$U$8)+1,1)</f>
        <v/>
      </c>
      <c r="BQ3521">
        <f>IF(3508&lt;$U$9,SUMPRODUCT(($D$10:$L$10&lt;&gt;"")*(($D$9:$L$9+INT(($S$12:$AA$12+INDEX($AJ$13:$AR$162,BN3521,0)+INDEX($AT$13:$BB$162,BO3521,0)+INDEX($BD$13:$BL$162,BP3521,0))/100))&gt;=$D$10:$L$10)),0)</f>
        <v/>
      </c>
      <c r="BR3521">
        <f>IF(3508&lt;$U$9,SUMPRODUCT(($D$10:$L$10&lt;&gt;"")*(($D$10:$L$10-($D$9:$L$9+INT(($S$12:$AA$12+INDEX($AJ$13:$AR$162,BN3521,0)+INDEX($AT$13:$BB$162,BO3521,0)+INDEX($BD$13:$BL$162,BP3521,0))/100)))&gt;0)*($D$10:$L$10-($D$9:$L$9+INT(($S$12:$AA$12+INDEX($AJ$13:$AR$162,BN3521,0)+INDEX($AT$13:$BB$162,BO3521,0)+INDEX($BD$13:$BL$162,BP3521,0))/100)))),0)</f>
        <v/>
      </c>
      <c r="BS3521">
        <f>IF(3508&lt;$U$9,SUMPRODUCT(($D$9:$L$9+INT(($S$12:$AA$12+INDEX($AJ$13:$AR$162,BN3521,0)+INDEX($AT$13:$BB$162,BO3521,0)+INDEX($BD$13:$BL$162,BP3521,0))/100))),0)</f>
        <v/>
      </c>
      <c r="BT3521">
        <f>IF(AND(3508&lt;$U$9,$W$5),BQ3521*1000000-MIN(BR3521,999)*1000+BS3521-3508/100000,-1000000000-3508)</f>
        <v/>
      </c>
    </row>
    <row r="3522">
      <c r="BN3522">
        <f>IF(3509&lt;$U$9,INT(3509/($U$7*$U$8))+1,1)</f>
        <v/>
      </c>
      <c r="BO3522">
        <f>IF(3509&lt;$U$9,MOD(INT(3509/$U$8),$U$7)+1,1)</f>
        <v/>
      </c>
      <c r="BP3522">
        <f>IF(3509&lt;$U$9,MOD(3509,$U$8)+1,1)</f>
        <v/>
      </c>
      <c r="BQ3522">
        <f>IF(3509&lt;$U$9,SUMPRODUCT(($D$10:$L$10&lt;&gt;"")*(($D$9:$L$9+INT(($S$12:$AA$12+INDEX($AJ$13:$AR$162,BN3522,0)+INDEX($AT$13:$BB$162,BO3522,0)+INDEX($BD$13:$BL$162,BP3522,0))/100))&gt;=$D$10:$L$10)),0)</f>
        <v/>
      </c>
      <c r="BR3522">
        <f>IF(3509&lt;$U$9,SUMPRODUCT(($D$10:$L$10&lt;&gt;"")*(($D$10:$L$10-($D$9:$L$9+INT(($S$12:$AA$12+INDEX($AJ$13:$AR$162,BN3522,0)+INDEX($AT$13:$BB$162,BO3522,0)+INDEX($BD$13:$BL$162,BP3522,0))/100)))&gt;0)*($D$10:$L$10-($D$9:$L$9+INT(($S$12:$AA$12+INDEX($AJ$13:$AR$162,BN3522,0)+INDEX($AT$13:$BB$162,BO3522,0)+INDEX($BD$13:$BL$162,BP3522,0))/100)))),0)</f>
        <v/>
      </c>
      <c r="BS3522">
        <f>IF(3509&lt;$U$9,SUMPRODUCT(($D$9:$L$9+INT(($S$12:$AA$12+INDEX($AJ$13:$AR$162,BN3522,0)+INDEX($AT$13:$BB$162,BO3522,0)+INDEX($BD$13:$BL$162,BP3522,0))/100))),0)</f>
        <v/>
      </c>
      <c r="BT3522">
        <f>IF(AND(3509&lt;$U$9,$W$5),BQ3522*1000000-MIN(BR3522,999)*1000+BS3522-3509/100000,-1000000000-3509)</f>
        <v/>
      </c>
    </row>
    <row r="3523">
      <c r="BN3523">
        <f>IF(3510&lt;$U$9,INT(3510/($U$7*$U$8))+1,1)</f>
        <v/>
      </c>
      <c r="BO3523">
        <f>IF(3510&lt;$U$9,MOD(INT(3510/$U$8),$U$7)+1,1)</f>
        <v/>
      </c>
      <c r="BP3523">
        <f>IF(3510&lt;$U$9,MOD(3510,$U$8)+1,1)</f>
        <v/>
      </c>
      <c r="BQ3523">
        <f>IF(3510&lt;$U$9,SUMPRODUCT(($D$10:$L$10&lt;&gt;"")*(($D$9:$L$9+INT(($S$12:$AA$12+INDEX($AJ$13:$AR$162,BN3523,0)+INDEX($AT$13:$BB$162,BO3523,0)+INDEX($BD$13:$BL$162,BP3523,0))/100))&gt;=$D$10:$L$10)),0)</f>
        <v/>
      </c>
      <c r="BR3523">
        <f>IF(3510&lt;$U$9,SUMPRODUCT(($D$10:$L$10&lt;&gt;"")*(($D$10:$L$10-($D$9:$L$9+INT(($S$12:$AA$12+INDEX($AJ$13:$AR$162,BN3523,0)+INDEX($AT$13:$BB$162,BO3523,0)+INDEX($BD$13:$BL$162,BP3523,0))/100)))&gt;0)*($D$10:$L$10-($D$9:$L$9+INT(($S$12:$AA$12+INDEX($AJ$13:$AR$162,BN3523,0)+INDEX($AT$13:$BB$162,BO3523,0)+INDEX($BD$13:$BL$162,BP3523,0))/100)))),0)</f>
        <v/>
      </c>
      <c r="BS3523">
        <f>IF(3510&lt;$U$9,SUMPRODUCT(($D$9:$L$9+INT(($S$12:$AA$12+INDEX($AJ$13:$AR$162,BN3523,0)+INDEX($AT$13:$BB$162,BO3523,0)+INDEX($BD$13:$BL$162,BP3523,0))/100))),0)</f>
        <v/>
      </c>
      <c r="BT3523">
        <f>IF(AND(3510&lt;$U$9,$W$5),BQ3523*1000000-MIN(BR3523,999)*1000+BS3523-3510/100000,-1000000000-3510)</f>
        <v/>
      </c>
    </row>
    <row r="3524">
      <c r="BN3524">
        <f>IF(3511&lt;$U$9,INT(3511/($U$7*$U$8))+1,1)</f>
        <v/>
      </c>
      <c r="BO3524">
        <f>IF(3511&lt;$U$9,MOD(INT(3511/$U$8),$U$7)+1,1)</f>
        <v/>
      </c>
      <c r="BP3524">
        <f>IF(3511&lt;$U$9,MOD(3511,$U$8)+1,1)</f>
        <v/>
      </c>
      <c r="BQ3524">
        <f>IF(3511&lt;$U$9,SUMPRODUCT(($D$10:$L$10&lt;&gt;"")*(($D$9:$L$9+INT(($S$12:$AA$12+INDEX($AJ$13:$AR$162,BN3524,0)+INDEX($AT$13:$BB$162,BO3524,0)+INDEX($BD$13:$BL$162,BP3524,0))/100))&gt;=$D$10:$L$10)),0)</f>
        <v/>
      </c>
      <c r="BR3524">
        <f>IF(3511&lt;$U$9,SUMPRODUCT(($D$10:$L$10&lt;&gt;"")*(($D$10:$L$10-($D$9:$L$9+INT(($S$12:$AA$12+INDEX($AJ$13:$AR$162,BN3524,0)+INDEX($AT$13:$BB$162,BO3524,0)+INDEX($BD$13:$BL$162,BP3524,0))/100)))&gt;0)*($D$10:$L$10-($D$9:$L$9+INT(($S$12:$AA$12+INDEX($AJ$13:$AR$162,BN3524,0)+INDEX($AT$13:$BB$162,BO3524,0)+INDEX($BD$13:$BL$162,BP3524,0))/100)))),0)</f>
        <v/>
      </c>
      <c r="BS3524">
        <f>IF(3511&lt;$U$9,SUMPRODUCT(($D$9:$L$9+INT(($S$12:$AA$12+INDEX($AJ$13:$AR$162,BN3524,0)+INDEX($AT$13:$BB$162,BO3524,0)+INDEX($BD$13:$BL$162,BP3524,0))/100))),0)</f>
        <v/>
      </c>
      <c r="BT3524">
        <f>IF(AND(3511&lt;$U$9,$W$5),BQ3524*1000000-MIN(BR3524,999)*1000+BS3524-3511/100000,-1000000000-3511)</f>
        <v/>
      </c>
    </row>
    <row r="3525">
      <c r="BN3525">
        <f>IF(3512&lt;$U$9,INT(3512/($U$7*$U$8))+1,1)</f>
        <v/>
      </c>
      <c r="BO3525">
        <f>IF(3512&lt;$U$9,MOD(INT(3512/$U$8),$U$7)+1,1)</f>
        <v/>
      </c>
      <c r="BP3525">
        <f>IF(3512&lt;$U$9,MOD(3512,$U$8)+1,1)</f>
        <v/>
      </c>
      <c r="BQ3525">
        <f>IF(3512&lt;$U$9,SUMPRODUCT(($D$10:$L$10&lt;&gt;"")*(($D$9:$L$9+INT(($S$12:$AA$12+INDEX($AJ$13:$AR$162,BN3525,0)+INDEX($AT$13:$BB$162,BO3525,0)+INDEX($BD$13:$BL$162,BP3525,0))/100))&gt;=$D$10:$L$10)),0)</f>
        <v/>
      </c>
      <c r="BR3525">
        <f>IF(3512&lt;$U$9,SUMPRODUCT(($D$10:$L$10&lt;&gt;"")*(($D$10:$L$10-($D$9:$L$9+INT(($S$12:$AA$12+INDEX($AJ$13:$AR$162,BN3525,0)+INDEX($AT$13:$BB$162,BO3525,0)+INDEX($BD$13:$BL$162,BP3525,0))/100)))&gt;0)*($D$10:$L$10-($D$9:$L$9+INT(($S$12:$AA$12+INDEX($AJ$13:$AR$162,BN3525,0)+INDEX($AT$13:$BB$162,BO3525,0)+INDEX($BD$13:$BL$162,BP3525,0))/100)))),0)</f>
        <v/>
      </c>
      <c r="BS3525">
        <f>IF(3512&lt;$U$9,SUMPRODUCT(($D$9:$L$9+INT(($S$12:$AA$12+INDEX($AJ$13:$AR$162,BN3525,0)+INDEX($AT$13:$BB$162,BO3525,0)+INDEX($BD$13:$BL$162,BP3525,0))/100))),0)</f>
        <v/>
      </c>
      <c r="BT3525">
        <f>IF(AND(3512&lt;$U$9,$W$5),BQ3525*1000000-MIN(BR3525,999)*1000+BS3525-3512/100000,-1000000000-3512)</f>
        <v/>
      </c>
    </row>
    <row r="3526">
      <c r="BN3526">
        <f>IF(3513&lt;$U$9,INT(3513/($U$7*$U$8))+1,1)</f>
        <v/>
      </c>
      <c r="BO3526">
        <f>IF(3513&lt;$U$9,MOD(INT(3513/$U$8),$U$7)+1,1)</f>
        <v/>
      </c>
      <c r="BP3526">
        <f>IF(3513&lt;$U$9,MOD(3513,$U$8)+1,1)</f>
        <v/>
      </c>
      <c r="BQ3526">
        <f>IF(3513&lt;$U$9,SUMPRODUCT(($D$10:$L$10&lt;&gt;"")*(($D$9:$L$9+INT(($S$12:$AA$12+INDEX($AJ$13:$AR$162,BN3526,0)+INDEX($AT$13:$BB$162,BO3526,0)+INDEX($BD$13:$BL$162,BP3526,0))/100))&gt;=$D$10:$L$10)),0)</f>
        <v/>
      </c>
      <c r="BR3526">
        <f>IF(3513&lt;$U$9,SUMPRODUCT(($D$10:$L$10&lt;&gt;"")*(($D$10:$L$10-($D$9:$L$9+INT(($S$12:$AA$12+INDEX($AJ$13:$AR$162,BN3526,0)+INDEX($AT$13:$BB$162,BO3526,0)+INDEX($BD$13:$BL$162,BP3526,0))/100)))&gt;0)*($D$10:$L$10-($D$9:$L$9+INT(($S$12:$AA$12+INDEX($AJ$13:$AR$162,BN3526,0)+INDEX($AT$13:$BB$162,BO3526,0)+INDEX($BD$13:$BL$162,BP3526,0))/100)))),0)</f>
        <v/>
      </c>
      <c r="BS3526">
        <f>IF(3513&lt;$U$9,SUMPRODUCT(($D$9:$L$9+INT(($S$12:$AA$12+INDEX($AJ$13:$AR$162,BN3526,0)+INDEX($AT$13:$BB$162,BO3526,0)+INDEX($BD$13:$BL$162,BP3526,0))/100))),0)</f>
        <v/>
      </c>
      <c r="BT3526">
        <f>IF(AND(3513&lt;$U$9,$W$5),BQ3526*1000000-MIN(BR3526,999)*1000+BS3526-3513/100000,-1000000000-3513)</f>
        <v/>
      </c>
    </row>
    <row r="3527">
      <c r="BN3527">
        <f>IF(3514&lt;$U$9,INT(3514/($U$7*$U$8))+1,1)</f>
        <v/>
      </c>
      <c r="BO3527">
        <f>IF(3514&lt;$U$9,MOD(INT(3514/$U$8),$U$7)+1,1)</f>
        <v/>
      </c>
      <c r="BP3527">
        <f>IF(3514&lt;$U$9,MOD(3514,$U$8)+1,1)</f>
        <v/>
      </c>
      <c r="BQ3527">
        <f>IF(3514&lt;$U$9,SUMPRODUCT(($D$10:$L$10&lt;&gt;"")*(($D$9:$L$9+INT(($S$12:$AA$12+INDEX($AJ$13:$AR$162,BN3527,0)+INDEX($AT$13:$BB$162,BO3527,0)+INDEX($BD$13:$BL$162,BP3527,0))/100))&gt;=$D$10:$L$10)),0)</f>
        <v/>
      </c>
      <c r="BR3527">
        <f>IF(3514&lt;$U$9,SUMPRODUCT(($D$10:$L$10&lt;&gt;"")*(($D$10:$L$10-($D$9:$L$9+INT(($S$12:$AA$12+INDEX($AJ$13:$AR$162,BN3527,0)+INDEX($AT$13:$BB$162,BO3527,0)+INDEX($BD$13:$BL$162,BP3527,0))/100)))&gt;0)*($D$10:$L$10-($D$9:$L$9+INT(($S$12:$AA$12+INDEX($AJ$13:$AR$162,BN3527,0)+INDEX($AT$13:$BB$162,BO3527,0)+INDEX($BD$13:$BL$162,BP3527,0))/100)))),0)</f>
        <v/>
      </c>
      <c r="BS3527">
        <f>IF(3514&lt;$U$9,SUMPRODUCT(($D$9:$L$9+INT(($S$12:$AA$12+INDEX($AJ$13:$AR$162,BN3527,0)+INDEX($AT$13:$BB$162,BO3527,0)+INDEX($BD$13:$BL$162,BP3527,0))/100))),0)</f>
        <v/>
      </c>
      <c r="BT3527">
        <f>IF(AND(3514&lt;$U$9,$W$5),BQ3527*1000000-MIN(BR3527,999)*1000+BS3527-3514/100000,-1000000000-3514)</f>
        <v/>
      </c>
    </row>
    <row r="3528">
      <c r="BN3528">
        <f>IF(3515&lt;$U$9,INT(3515/($U$7*$U$8))+1,1)</f>
        <v/>
      </c>
      <c r="BO3528">
        <f>IF(3515&lt;$U$9,MOD(INT(3515/$U$8),$U$7)+1,1)</f>
        <v/>
      </c>
      <c r="BP3528">
        <f>IF(3515&lt;$U$9,MOD(3515,$U$8)+1,1)</f>
        <v/>
      </c>
      <c r="BQ3528">
        <f>IF(3515&lt;$U$9,SUMPRODUCT(($D$10:$L$10&lt;&gt;"")*(($D$9:$L$9+INT(($S$12:$AA$12+INDEX($AJ$13:$AR$162,BN3528,0)+INDEX($AT$13:$BB$162,BO3528,0)+INDEX($BD$13:$BL$162,BP3528,0))/100))&gt;=$D$10:$L$10)),0)</f>
        <v/>
      </c>
      <c r="BR3528">
        <f>IF(3515&lt;$U$9,SUMPRODUCT(($D$10:$L$10&lt;&gt;"")*(($D$10:$L$10-($D$9:$L$9+INT(($S$12:$AA$12+INDEX($AJ$13:$AR$162,BN3528,0)+INDEX($AT$13:$BB$162,BO3528,0)+INDEX($BD$13:$BL$162,BP3528,0))/100)))&gt;0)*($D$10:$L$10-($D$9:$L$9+INT(($S$12:$AA$12+INDEX($AJ$13:$AR$162,BN3528,0)+INDEX($AT$13:$BB$162,BO3528,0)+INDEX($BD$13:$BL$162,BP3528,0))/100)))),0)</f>
        <v/>
      </c>
      <c r="BS3528">
        <f>IF(3515&lt;$U$9,SUMPRODUCT(($D$9:$L$9+INT(($S$12:$AA$12+INDEX($AJ$13:$AR$162,BN3528,0)+INDEX($AT$13:$BB$162,BO3528,0)+INDEX($BD$13:$BL$162,BP3528,0))/100))),0)</f>
        <v/>
      </c>
      <c r="BT3528">
        <f>IF(AND(3515&lt;$U$9,$W$5),BQ3528*1000000-MIN(BR3528,999)*1000+BS3528-3515/100000,-1000000000-3515)</f>
        <v/>
      </c>
    </row>
    <row r="3529">
      <c r="BN3529">
        <f>IF(3516&lt;$U$9,INT(3516/($U$7*$U$8))+1,1)</f>
        <v/>
      </c>
      <c r="BO3529">
        <f>IF(3516&lt;$U$9,MOD(INT(3516/$U$8),$U$7)+1,1)</f>
        <v/>
      </c>
      <c r="BP3529">
        <f>IF(3516&lt;$U$9,MOD(3516,$U$8)+1,1)</f>
        <v/>
      </c>
      <c r="BQ3529">
        <f>IF(3516&lt;$U$9,SUMPRODUCT(($D$10:$L$10&lt;&gt;"")*(($D$9:$L$9+INT(($S$12:$AA$12+INDEX($AJ$13:$AR$162,BN3529,0)+INDEX($AT$13:$BB$162,BO3529,0)+INDEX($BD$13:$BL$162,BP3529,0))/100))&gt;=$D$10:$L$10)),0)</f>
        <v/>
      </c>
      <c r="BR3529">
        <f>IF(3516&lt;$U$9,SUMPRODUCT(($D$10:$L$10&lt;&gt;"")*(($D$10:$L$10-($D$9:$L$9+INT(($S$12:$AA$12+INDEX($AJ$13:$AR$162,BN3529,0)+INDEX($AT$13:$BB$162,BO3529,0)+INDEX($BD$13:$BL$162,BP3529,0))/100)))&gt;0)*($D$10:$L$10-($D$9:$L$9+INT(($S$12:$AA$12+INDEX($AJ$13:$AR$162,BN3529,0)+INDEX($AT$13:$BB$162,BO3529,0)+INDEX($BD$13:$BL$162,BP3529,0))/100)))),0)</f>
        <v/>
      </c>
      <c r="BS3529">
        <f>IF(3516&lt;$U$9,SUMPRODUCT(($D$9:$L$9+INT(($S$12:$AA$12+INDEX($AJ$13:$AR$162,BN3529,0)+INDEX($AT$13:$BB$162,BO3529,0)+INDEX($BD$13:$BL$162,BP3529,0))/100))),0)</f>
        <v/>
      </c>
      <c r="BT3529">
        <f>IF(AND(3516&lt;$U$9,$W$5),BQ3529*1000000-MIN(BR3529,999)*1000+BS3529-3516/100000,-1000000000-3516)</f>
        <v/>
      </c>
    </row>
    <row r="3530">
      <c r="BN3530">
        <f>IF(3517&lt;$U$9,INT(3517/($U$7*$U$8))+1,1)</f>
        <v/>
      </c>
      <c r="BO3530">
        <f>IF(3517&lt;$U$9,MOD(INT(3517/$U$8),$U$7)+1,1)</f>
        <v/>
      </c>
      <c r="BP3530">
        <f>IF(3517&lt;$U$9,MOD(3517,$U$8)+1,1)</f>
        <v/>
      </c>
      <c r="BQ3530">
        <f>IF(3517&lt;$U$9,SUMPRODUCT(($D$10:$L$10&lt;&gt;"")*(($D$9:$L$9+INT(($S$12:$AA$12+INDEX($AJ$13:$AR$162,BN3530,0)+INDEX($AT$13:$BB$162,BO3530,0)+INDEX($BD$13:$BL$162,BP3530,0))/100))&gt;=$D$10:$L$10)),0)</f>
        <v/>
      </c>
      <c r="BR3530">
        <f>IF(3517&lt;$U$9,SUMPRODUCT(($D$10:$L$10&lt;&gt;"")*(($D$10:$L$10-($D$9:$L$9+INT(($S$12:$AA$12+INDEX($AJ$13:$AR$162,BN3530,0)+INDEX($AT$13:$BB$162,BO3530,0)+INDEX($BD$13:$BL$162,BP3530,0))/100)))&gt;0)*($D$10:$L$10-($D$9:$L$9+INT(($S$12:$AA$12+INDEX($AJ$13:$AR$162,BN3530,0)+INDEX($AT$13:$BB$162,BO3530,0)+INDEX($BD$13:$BL$162,BP3530,0))/100)))),0)</f>
        <v/>
      </c>
      <c r="BS3530">
        <f>IF(3517&lt;$U$9,SUMPRODUCT(($D$9:$L$9+INT(($S$12:$AA$12+INDEX($AJ$13:$AR$162,BN3530,0)+INDEX($AT$13:$BB$162,BO3530,0)+INDEX($BD$13:$BL$162,BP3530,0))/100))),0)</f>
        <v/>
      </c>
      <c r="BT3530">
        <f>IF(AND(3517&lt;$U$9,$W$5),BQ3530*1000000-MIN(BR3530,999)*1000+BS3530-3517/100000,-1000000000-3517)</f>
        <v/>
      </c>
    </row>
    <row r="3531">
      <c r="BN3531">
        <f>IF(3518&lt;$U$9,INT(3518/($U$7*$U$8))+1,1)</f>
        <v/>
      </c>
      <c r="BO3531">
        <f>IF(3518&lt;$U$9,MOD(INT(3518/$U$8),$U$7)+1,1)</f>
        <v/>
      </c>
      <c r="BP3531">
        <f>IF(3518&lt;$U$9,MOD(3518,$U$8)+1,1)</f>
        <v/>
      </c>
      <c r="BQ3531">
        <f>IF(3518&lt;$U$9,SUMPRODUCT(($D$10:$L$10&lt;&gt;"")*(($D$9:$L$9+INT(($S$12:$AA$12+INDEX($AJ$13:$AR$162,BN3531,0)+INDEX($AT$13:$BB$162,BO3531,0)+INDEX($BD$13:$BL$162,BP3531,0))/100))&gt;=$D$10:$L$10)),0)</f>
        <v/>
      </c>
      <c r="BR3531">
        <f>IF(3518&lt;$U$9,SUMPRODUCT(($D$10:$L$10&lt;&gt;"")*(($D$10:$L$10-($D$9:$L$9+INT(($S$12:$AA$12+INDEX($AJ$13:$AR$162,BN3531,0)+INDEX($AT$13:$BB$162,BO3531,0)+INDEX($BD$13:$BL$162,BP3531,0))/100)))&gt;0)*($D$10:$L$10-($D$9:$L$9+INT(($S$12:$AA$12+INDEX($AJ$13:$AR$162,BN3531,0)+INDEX($AT$13:$BB$162,BO3531,0)+INDEX($BD$13:$BL$162,BP3531,0))/100)))),0)</f>
        <v/>
      </c>
      <c r="BS3531">
        <f>IF(3518&lt;$U$9,SUMPRODUCT(($D$9:$L$9+INT(($S$12:$AA$12+INDEX($AJ$13:$AR$162,BN3531,0)+INDEX($AT$13:$BB$162,BO3531,0)+INDEX($BD$13:$BL$162,BP3531,0))/100))),0)</f>
        <v/>
      </c>
      <c r="BT3531">
        <f>IF(AND(3518&lt;$U$9,$W$5),BQ3531*1000000-MIN(BR3531,999)*1000+BS3531-3518/100000,-1000000000-3518)</f>
        <v/>
      </c>
    </row>
    <row r="3532">
      <c r="BN3532">
        <f>IF(3519&lt;$U$9,INT(3519/($U$7*$U$8))+1,1)</f>
        <v/>
      </c>
      <c r="BO3532">
        <f>IF(3519&lt;$U$9,MOD(INT(3519/$U$8),$U$7)+1,1)</f>
        <v/>
      </c>
      <c r="BP3532">
        <f>IF(3519&lt;$U$9,MOD(3519,$U$8)+1,1)</f>
        <v/>
      </c>
      <c r="BQ3532">
        <f>IF(3519&lt;$U$9,SUMPRODUCT(($D$10:$L$10&lt;&gt;"")*(($D$9:$L$9+INT(($S$12:$AA$12+INDEX($AJ$13:$AR$162,BN3532,0)+INDEX($AT$13:$BB$162,BO3532,0)+INDEX($BD$13:$BL$162,BP3532,0))/100))&gt;=$D$10:$L$10)),0)</f>
        <v/>
      </c>
      <c r="BR3532">
        <f>IF(3519&lt;$U$9,SUMPRODUCT(($D$10:$L$10&lt;&gt;"")*(($D$10:$L$10-($D$9:$L$9+INT(($S$12:$AA$12+INDEX($AJ$13:$AR$162,BN3532,0)+INDEX($AT$13:$BB$162,BO3532,0)+INDEX($BD$13:$BL$162,BP3532,0))/100)))&gt;0)*($D$10:$L$10-($D$9:$L$9+INT(($S$12:$AA$12+INDEX($AJ$13:$AR$162,BN3532,0)+INDEX($AT$13:$BB$162,BO3532,0)+INDEX($BD$13:$BL$162,BP3532,0))/100)))),0)</f>
        <v/>
      </c>
      <c r="BS3532">
        <f>IF(3519&lt;$U$9,SUMPRODUCT(($D$9:$L$9+INT(($S$12:$AA$12+INDEX($AJ$13:$AR$162,BN3532,0)+INDEX($AT$13:$BB$162,BO3532,0)+INDEX($BD$13:$BL$162,BP3532,0))/100))),0)</f>
        <v/>
      </c>
      <c r="BT3532">
        <f>IF(AND(3519&lt;$U$9,$W$5),BQ3532*1000000-MIN(BR3532,999)*1000+BS3532-3519/100000,-1000000000-3519)</f>
        <v/>
      </c>
    </row>
    <row r="3533">
      <c r="BN3533">
        <f>IF(3520&lt;$U$9,INT(3520/($U$7*$U$8))+1,1)</f>
        <v/>
      </c>
      <c r="BO3533">
        <f>IF(3520&lt;$U$9,MOD(INT(3520/$U$8),$U$7)+1,1)</f>
        <v/>
      </c>
      <c r="BP3533">
        <f>IF(3520&lt;$U$9,MOD(3520,$U$8)+1,1)</f>
        <v/>
      </c>
      <c r="BQ3533">
        <f>IF(3520&lt;$U$9,SUMPRODUCT(($D$10:$L$10&lt;&gt;"")*(($D$9:$L$9+INT(($S$12:$AA$12+INDEX($AJ$13:$AR$162,BN3533,0)+INDEX($AT$13:$BB$162,BO3533,0)+INDEX($BD$13:$BL$162,BP3533,0))/100))&gt;=$D$10:$L$10)),0)</f>
        <v/>
      </c>
      <c r="BR3533">
        <f>IF(3520&lt;$U$9,SUMPRODUCT(($D$10:$L$10&lt;&gt;"")*(($D$10:$L$10-($D$9:$L$9+INT(($S$12:$AA$12+INDEX($AJ$13:$AR$162,BN3533,0)+INDEX($AT$13:$BB$162,BO3533,0)+INDEX($BD$13:$BL$162,BP3533,0))/100)))&gt;0)*($D$10:$L$10-($D$9:$L$9+INT(($S$12:$AA$12+INDEX($AJ$13:$AR$162,BN3533,0)+INDEX($AT$13:$BB$162,BO3533,0)+INDEX($BD$13:$BL$162,BP3533,0))/100)))),0)</f>
        <v/>
      </c>
      <c r="BS3533">
        <f>IF(3520&lt;$U$9,SUMPRODUCT(($D$9:$L$9+INT(($S$12:$AA$12+INDEX($AJ$13:$AR$162,BN3533,0)+INDEX($AT$13:$BB$162,BO3533,0)+INDEX($BD$13:$BL$162,BP3533,0))/100))),0)</f>
        <v/>
      </c>
      <c r="BT3533">
        <f>IF(AND(3520&lt;$U$9,$W$5),BQ3533*1000000-MIN(BR3533,999)*1000+BS3533-3520/100000,-1000000000-3520)</f>
        <v/>
      </c>
    </row>
    <row r="3534">
      <c r="BN3534">
        <f>IF(3521&lt;$U$9,INT(3521/($U$7*$U$8))+1,1)</f>
        <v/>
      </c>
      <c r="BO3534">
        <f>IF(3521&lt;$U$9,MOD(INT(3521/$U$8),$U$7)+1,1)</f>
        <v/>
      </c>
      <c r="BP3534">
        <f>IF(3521&lt;$U$9,MOD(3521,$U$8)+1,1)</f>
        <v/>
      </c>
      <c r="BQ3534">
        <f>IF(3521&lt;$U$9,SUMPRODUCT(($D$10:$L$10&lt;&gt;"")*(($D$9:$L$9+INT(($S$12:$AA$12+INDEX($AJ$13:$AR$162,BN3534,0)+INDEX($AT$13:$BB$162,BO3534,0)+INDEX($BD$13:$BL$162,BP3534,0))/100))&gt;=$D$10:$L$10)),0)</f>
        <v/>
      </c>
      <c r="BR3534">
        <f>IF(3521&lt;$U$9,SUMPRODUCT(($D$10:$L$10&lt;&gt;"")*(($D$10:$L$10-($D$9:$L$9+INT(($S$12:$AA$12+INDEX($AJ$13:$AR$162,BN3534,0)+INDEX($AT$13:$BB$162,BO3534,0)+INDEX($BD$13:$BL$162,BP3534,0))/100)))&gt;0)*($D$10:$L$10-($D$9:$L$9+INT(($S$12:$AA$12+INDEX($AJ$13:$AR$162,BN3534,0)+INDEX($AT$13:$BB$162,BO3534,0)+INDEX($BD$13:$BL$162,BP3534,0))/100)))),0)</f>
        <v/>
      </c>
      <c r="BS3534">
        <f>IF(3521&lt;$U$9,SUMPRODUCT(($D$9:$L$9+INT(($S$12:$AA$12+INDEX($AJ$13:$AR$162,BN3534,0)+INDEX($AT$13:$BB$162,BO3534,0)+INDEX($BD$13:$BL$162,BP3534,0))/100))),0)</f>
        <v/>
      </c>
      <c r="BT3534">
        <f>IF(AND(3521&lt;$U$9,$W$5),BQ3534*1000000-MIN(BR3534,999)*1000+BS3534-3521/100000,-1000000000-3521)</f>
        <v/>
      </c>
    </row>
    <row r="3535">
      <c r="BN3535">
        <f>IF(3522&lt;$U$9,INT(3522/($U$7*$U$8))+1,1)</f>
        <v/>
      </c>
      <c r="BO3535">
        <f>IF(3522&lt;$U$9,MOD(INT(3522/$U$8),$U$7)+1,1)</f>
        <v/>
      </c>
      <c r="BP3535">
        <f>IF(3522&lt;$U$9,MOD(3522,$U$8)+1,1)</f>
        <v/>
      </c>
      <c r="BQ3535">
        <f>IF(3522&lt;$U$9,SUMPRODUCT(($D$10:$L$10&lt;&gt;"")*(($D$9:$L$9+INT(($S$12:$AA$12+INDEX($AJ$13:$AR$162,BN3535,0)+INDEX($AT$13:$BB$162,BO3535,0)+INDEX($BD$13:$BL$162,BP3535,0))/100))&gt;=$D$10:$L$10)),0)</f>
        <v/>
      </c>
      <c r="BR3535">
        <f>IF(3522&lt;$U$9,SUMPRODUCT(($D$10:$L$10&lt;&gt;"")*(($D$10:$L$10-($D$9:$L$9+INT(($S$12:$AA$12+INDEX($AJ$13:$AR$162,BN3535,0)+INDEX($AT$13:$BB$162,BO3535,0)+INDEX($BD$13:$BL$162,BP3535,0))/100)))&gt;0)*($D$10:$L$10-($D$9:$L$9+INT(($S$12:$AA$12+INDEX($AJ$13:$AR$162,BN3535,0)+INDEX($AT$13:$BB$162,BO3535,0)+INDEX($BD$13:$BL$162,BP3535,0))/100)))),0)</f>
        <v/>
      </c>
      <c r="BS3535">
        <f>IF(3522&lt;$U$9,SUMPRODUCT(($D$9:$L$9+INT(($S$12:$AA$12+INDEX($AJ$13:$AR$162,BN3535,0)+INDEX($AT$13:$BB$162,BO3535,0)+INDEX($BD$13:$BL$162,BP3535,0))/100))),0)</f>
        <v/>
      </c>
      <c r="BT3535">
        <f>IF(AND(3522&lt;$U$9,$W$5),BQ3535*1000000-MIN(BR3535,999)*1000+BS3535-3522/100000,-1000000000-3522)</f>
        <v/>
      </c>
    </row>
    <row r="3536">
      <c r="BN3536">
        <f>IF(3523&lt;$U$9,INT(3523/($U$7*$U$8))+1,1)</f>
        <v/>
      </c>
      <c r="BO3536">
        <f>IF(3523&lt;$U$9,MOD(INT(3523/$U$8),$U$7)+1,1)</f>
        <v/>
      </c>
      <c r="BP3536">
        <f>IF(3523&lt;$U$9,MOD(3523,$U$8)+1,1)</f>
        <v/>
      </c>
      <c r="BQ3536">
        <f>IF(3523&lt;$U$9,SUMPRODUCT(($D$10:$L$10&lt;&gt;"")*(($D$9:$L$9+INT(($S$12:$AA$12+INDEX($AJ$13:$AR$162,BN3536,0)+INDEX($AT$13:$BB$162,BO3536,0)+INDEX($BD$13:$BL$162,BP3536,0))/100))&gt;=$D$10:$L$10)),0)</f>
        <v/>
      </c>
      <c r="BR3536">
        <f>IF(3523&lt;$U$9,SUMPRODUCT(($D$10:$L$10&lt;&gt;"")*(($D$10:$L$10-($D$9:$L$9+INT(($S$12:$AA$12+INDEX($AJ$13:$AR$162,BN3536,0)+INDEX($AT$13:$BB$162,BO3536,0)+INDEX($BD$13:$BL$162,BP3536,0))/100)))&gt;0)*($D$10:$L$10-($D$9:$L$9+INT(($S$12:$AA$12+INDEX($AJ$13:$AR$162,BN3536,0)+INDEX($AT$13:$BB$162,BO3536,0)+INDEX($BD$13:$BL$162,BP3536,0))/100)))),0)</f>
        <v/>
      </c>
      <c r="BS3536">
        <f>IF(3523&lt;$U$9,SUMPRODUCT(($D$9:$L$9+INT(($S$12:$AA$12+INDEX($AJ$13:$AR$162,BN3536,0)+INDEX($AT$13:$BB$162,BO3536,0)+INDEX($BD$13:$BL$162,BP3536,0))/100))),0)</f>
        <v/>
      </c>
      <c r="BT3536">
        <f>IF(AND(3523&lt;$U$9,$W$5),BQ3536*1000000-MIN(BR3536,999)*1000+BS3536-3523/100000,-1000000000-3523)</f>
        <v/>
      </c>
    </row>
    <row r="3537">
      <c r="BN3537">
        <f>IF(3524&lt;$U$9,INT(3524/($U$7*$U$8))+1,1)</f>
        <v/>
      </c>
      <c r="BO3537">
        <f>IF(3524&lt;$U$9,MOD(INT(3524/$U$8),$U$7)+1,1)</f>
        <v/>
      </c>
      <c r="BP3537">
        <f>IF(3524&lt;$U$9,MOD(3524,$U$8)+1,1)</f>
        <v/>
      </c>
      <c r="BQ3537">
        <f>IF(3524&lt;$U$9,SUMPRODUCT(($D$10:$L$10&lt;&gt;"")*(($D$9:$L$9+INT(($S$12:$AA$12+INDEX($AJ$13:$AR$162,BN3537,0)+INDEX($AT$13:$BB$162,BO3537,0)+INDEX($BD$13:$BL$162,BP3537,0))/100))&gt;=$D$10:$L$10)),0)</f>
        <v/>
      </c>
      <c r="BR3537">
        <f>IF(3524&lt;$U$9,SUMPRODUCT(($D$10:$L$10&lt;&gt;"")*(($D$10:$L$10-($D$9:$L$9+INT(($S$12:$AA$12+INDEX($AJ$13:$AR$162,BN3537,0)+INDEX($AT$13:$BB$162,BO3537,0)+INDEX($BD$13:$BL$162,BP3537,0))/100)))&gt;0)*($D$10:$L$10-($D$9:$L$9+INT(($S$12:$AA$12+INDEX($AJ$13:$AR$162,BN3537,0)+INDEX($AT$13:$BB$162,BO3537,0)+INDEX($BD$13:$BL$162,BP3537,0))/100)))),0)</f>
        <v/>
      </c>
      <c r="BS3537">
        <f>IF(3524&lt;$U$9,SUMPRODUCT(($D$9:$L$9+INT(($S$12:$AA$12+INDEX($AJ$13:$AR$162,BN3537,0)+INDEX($AT$13:$BB$162,BO3537,0)+INDEX($BD$13:$BL$162,BP3537,0))/100))),0)</f>
        <v/>
      </c>
      <c r="BT3537">
        <f>IF(AND(3524&lt;$U$9,$W$5),BQ3537*1000000-MIN(BR3537,999)*1000+BS3537-3524/100000,-1000000000-3524)</f>
        <v/>
      </c>
    </row>
    <row r="3538">
      <c r="BN3538">
        <f>IF(3525&lt;$U$9,INT(3525/($U$7*$U$8))+1,1)</f>
        <v/>
      </c>
      <c r="BO3538">
        <f>IF(3525&lt;$U$9,MOD(INT(3525/$U$8),$U$7)+1,1)</f>
        <v/>
      </c>
      <c r="BP3538">
        <f>IF(3525&lt;$U$9,MOD(3525,$U$8)+1,1)</f>
        <v/>
      </c>
      <c r="BQ3538">
        <f>IF(3525&lt;$U$9,SUMPRODUCT(($D$10:$L$10&lt;&gt;"")*(($D$9:$L$9+INT(($S$12:$AA$12+INDEX($AJ$13:$AR$162,BN3538,0)+INDEX($AT$13:$BB$162,BO3538,0)+INDEX($BD$13:$BL$162,BP3538,0))/100))&gt;=$D$10:$L$10)),0)</f>
        <v/>
      </c>
      <c r="BR3538">
        <f>IF(3525&lt;$U$9,SUMPRODUCT(($D$10:$L$10&lt;&gt;"")*(($D$10:$L$10-($D$9:$L$9+INT(($S$12:$AA$12+INDEX($AJ$13:$AR$162,BN3538,0)+INDEX($AT$13:$BB$162,BO3538,0)+INDEX($BD$13:$BL$162,BP3538,0))/100)))&gt;0)*($D$10:$L$10-($D$9:$L$9+INT(($S$12:$AA$12+INDEX($AJ$13:$AR$162,BN3538,0)+INDEX($AT$13:$BB$162,BO3538,0)+INDEX($BD$13:$BL$162,BP3538,0))/100)))),0)</f>
        <v/>
      </c>
      <c r="BS3538">
        <f>IF(3525&lt;$U$9,SUMPRODUCT(($D$9:$L$9+INT(($S$12:$AA$12+INDEX($AJ$13:$AR$162,BN3538,0)+INDEX($AT$13:$BB$162,BO3538,0)+INDEX($BD$13:$BL$162,BP3538,0))/100))),0)</f>
        <v/>
      </c>
      <c r="BT3538">
        <f>IF(AND(3525&lt;$U$9,$W$5),BQ3538*1000000-MIN(BR3538,999)*1000+BS3538-3525/100000,-1000000000-3525)</f>
        <v/>
      </c>
    </row>
    <row r="3539">
      <c r="BN3539">
        <f>IF(3526&lt;$U$9,INT(3526/($U$7*$U$8))+1,1)</f>
        <v/>
      </c>
      <c r="BO3539">
        <f>IF(3526&lt;$U$9,MOD(INT(3526/$U$8),$U$7)+1,1)</f>
        <v/>
      </c>
      <c r="BP3539">
        <f>IF(3526&lt;$U$9,MOD(3526,$U$8)+1,1)</f>
        <v/>
      </c>
      <c r="BQ3539">
        <f>IF(3526&lt;$U$9,SUMPRODUCT(($D$10:$L$10&lt;&gt;"")*(($D$9:$L$9+INT(($S$12:$AA$12+INDEX($AJ$13:$AR$162,BN3539,0)+INDEX($AT$13:$BB$162,BO3539,0)+INDEX($BD$13:$BL$162,BP3539,0))/100))&gt;=$D$10:$L$10)),0)</f>
        <v/>
      </c>
      <c r="BR3539">
        <f>IF(3526&lt;$U$9,SUMPRODUCT(($D$10:$L$10&lt;&gt;"")*(($D$10:$L$10-($D$9:$L$9+INT(($S$12:$AA$12+INDEX($AJ$13:$AR$162,BN3539,0)+INDEX($AT$13:$BB$162,BO3539,0)+INDEX($BD$13:$BL$162,BP3539,0))/100)))&gt;0)*($D$10:$L$10-($D$9:$L$9+INT(($S$12:$AA$12+INDEX($AJ$13:$AR$162,BN3539,0)+INDEX($AT$13:$BB$162,BO3539,0)+INDEX($BD$13:$BL$162,BP3539,0))/100)))),0)</f>
        <v/>
      </c>
      <c r="BS3539">
        <f>IF(3526&lt;$U$9,SUMPRODUCT(($D$9:$L$9+INT(($S$12:$AA$12+INDEX($AJ$13:$AR$162,BN3539,0)+INDEX($AT$13:$BB$162,BO3539,0)+INDEX($BD$13:$BL$162,BP3539,0))/100))),0)</f>
        <v/>
      </c>
      <c r="BT3539">
        <f>IF(AND(3526&lt;$U$9,$W$5),BQ3539*1000000-MIN(BR3539,999)*1000+BS3539-3526/100000,-1000000000-3526)</f>
        <v/>
      </c>
    </row>
    <row r="3540">
      <c r="BN3540">
        <f>IF(3527&lt;$U$9,INT(3527/($U$7*$U$8))+1,1)</f>
        <v/>
      </c>
      <c r="BO3540">
        <f>IF(3527&lt;$U$9,MOD(INT(3527/$U$8),$U$7)+1,1)</f>
        <v/>
      </c>
      <c r="BP3540">
        <f>IF(3527&lt;$U$9,MOD(3527,$U$8)+1,1)</f>
        <v/>
      </c>
      <c r="BQ3540">
        <f>IF(3527&lt;$U$9,SUMPRODUCT(($D$10:$L$10&lt;&gt;"")*(($D$9:$L$9+INT(($S$12:$AA$12+INDEX($AJ$13:$AR$162,BN3540,0)+INDEX($AT$13:$BB$162,BO3540,0)+INDEX($BD$13:$BL$162,BP3540,0))/100))&gt;=$D$10:$L$10)),0)</f>
        <v/>
      </c>
      <c r="BR3540">
        <f>IF(3527&lt;$U$9,SUMPRODUCT(($D$10:$L$10&lt;&gt;"")*(($D$10:$L$10-($D$9:$L$9+INT(($S$12:$AA$12+INDEX($AJ$13:$AR$162,BN3540,0)+INDEX($AT$13:$BB$162,BO3540,0)+INDEX($BD$13:$BL$162,BP3540,0))/100)))&gt;0)*($D$10:$L$10-($D$9:$L$9+INT(($S$12:$AA$12+INDEX($AJ$13:$AR$162,BN3540,0)+INDEX($AT$13:$BB$162,BO3540,0)+INDEX($BD$13:$BL$162,BP3540,0))/100)))),0)</f>
        <v/>
      </c>
      <c r="BS3540">
        <f>IF(3527&lt;$U$9,SUMPRODUCT(($D$9:$L$9+INT(($S$12:$AA$12+INDEX($AJ$13:$AR$162,BN3540,0)+INDEX($AT$13:$BB$162,BO3540,0)+INDEX($BD$13:$BL$162,BP3540,0))/100))),0)</f>
        <v/>
      </c>
      <c r="BT3540">
        <f>IF(AND(3527&lt;$U$9,$W$5),BQ3540*1000000-MIN(BR3540,999)*1000+BS3540-3527/100000,-1000000000-3527)</f>
        <v/>
      </c>
    </row>
    <row r="3541">
      <c r="BN3541">
        <f>IF(3528&lt;$U$9,INT(3528/($U$7*$U$8))+1,1)</f>
        <v/>
      </c>
      <c r="BO3541">
        <f>IF(3528&lt;$U$9,MOD(INT(3528/$U$8),$U$7)+1,1)</f>
        <v/>
      </c>
      <c r="BP3541">
        <f>IF(3528&lt;$U$9,MOD(3528,$U$8)+1,1)</f>
        <v/>
      </c>
      <c r="BQ3541">
        <f>IF(3528&lt;$U$9,SUMPRODUCT(($D$10:$L$10&lt;&gt;"")*(($D$9:$L$9+INT(($S$12:$AA$12+INDEX($AJ$13:$AR$162,BN3541,0)+INDEX($AT$13:$BB$162,BO3541,0)+INDEX($BD$13:$BL$162,BP3541,0))/100))&gt;=$D$10:$L$10)),0)</f>
        <v/>
      </c>
      <c r="BR3541">
        <f>IF(3528&lt;$U$9,SUMPRODUCT(($D$10:$L$10&lt;&gt;"")*(($D$10:$L$10-($D$9:$L$9+INT(($S$12:$AA$12+INDEX($AJ$13:$AR$162,BN3541,0)+INDEX($AT$13:$BB$162,BO3541,0)+INDEX($BD$13:$BL$162,BP3541,0))/100)))&gt;0)*($D$10:$L$10-($D$9:$L$9+INT(($S$12:$AA$12+INDEX($AJ$13:$AR$162,BN3541,0)+INDEX($AT$13:$BB$162,BO3541,0)+INDEX($BD$13:$BL$162,BP3541,0))/100)))),0)</f>
        <v/>
      </c>
      <c r="BS3541">
        <f>IF(3528&lt;$U$9,SUMPRODUCT(($D$9:$L$9+INT(($S$12:$AA$12+INDEX($AJ$13:$AR$162,BN3541,0)+INDEX($AT$13:$BB$162,BO3541,0)+INDEX($BD$13:$BL$162,BP3541,0))/100))),0)</f>
        <v/>
      </c>
      <c r="BT3541">
        <f>IF(AND(3528&lt;$U$9,$W$5),BQ3541*1000000-MIN(BR3541,999)*1000+BS3541-3528/100000,-1000000000-3528)</f>
        <v/>
      </c>
    </row>
    <row r="3542">
      <c r="BN3542">
        <f>IF(3529&lt;$U$9,INT(3529/($U$7*$U$8))+1,1)</f>
        <v/>
      </c>
      <c r="BO3542">
        <f>IF(3529&lt;$U$9,MOD(INT(3529/$U$8),$U$7)+1,1)</f>
        <v/>
      </c>
      <c r="BP3542">
        <f>IF(3529&lt;$U$9,MOD(3529,$U$8)+1,1)</f>
        <v/>
      </c>
      <c r="BQ3542">
        <f>IF(3529&lt;$U$9,SUMPRODUCT(($D$10:$L$10&lt;&gt;"")*(($D$9:$L$9+INT(($S$12:$AA$12+INDEX($AJ$13:$AR$162,BN3542,0)+INDEX($AT$13:$BB$162,BO3542,0)+INDEX($BD$13:$BL$162,BP3542,0))/100))&gt;=$D$10:$L$10)),0)</f>
        <v/>
      </c>
      <c r="BR3542">
        <f>IF(3529&lt;$U$9,SUMPRODUCT(($D$10:$L$10&lt;&gt;"")*(($D$10:$L$10-($D$9:$L$9+INT(($S$12:$AA$12+INDEX($AJ$13:$AR$162,BN3542,0)+INDEX($AT$13:$BB$162,BO3542,0)+INDEX($BD$13:$BL$162,BP3542,0))/100)))&gt;0)*($D$10:$L$10-($D$9:$L$9+INT(($S$12:$AA$12+INDEX($AJ$13:$AR$162,BN3542,0)+INDEX($AT$13:$BB$162,BO3542,0)+INDEX($BD$13:$BL$162,BP3542,0))/100)))),0)</f>
        <v/>
      </c>
      <c r="BS3542">
        <f>IF(3529&lt;$U$9,SUMPRODUCT(($D$9:$L$9+INT(($S$12:$AA$12+INDEX($AJ$13:$AR$162,BN3542,0)+INDEX($AT$13:$BB$162,BO3542,0)+INDEX($BD$13:$BL$162,BP3542,0))/100))),0)</f>
        <v/>
      </c>
      <c r="BT3542">
        <f>IF(AND(3529&lt;$U$9,$W$5),BQ3542*1000000-MIN(BR3542,999)*1000+BS3542-3529/100000,-1000000000-3529)</f>
        <v/>
      </c>
    </row>
    <row r="3543">
      <c r="BN3543">
        <f>IF(3530&lt;$U$9,INT(3530/($U$7*$U$8))+1,1)</f>
        <v/>
      </c>
      <c r="BO3543">
        <f>IF(3530&lt;$U$9,MOD(INT(3530/$U$8),$U$7)+1,1)</f>
        <v/>
      </c>
      <c r="BP3543">
        <f>IF(3530&lt;$U$9,MOD(3530,$U$8)+1,1)</f>
        <v/>
      </c>
      <c r="BQ3543">
        <f>IF(3530&lt;$U$9,SUMPRODUCT(($D$10:$L$10&lt;&gt;"")*(($D$9:$L$9+INT(($S$12:$AA$12+INDEX($AJ$13:$AR$162,BN3543,0)+INDEX($AT$13:$BB$162,BO3543,0)+INDEX($BD$13:$BL$162,BP3543,0))/100))&gt;=$D$10:$L$10)),0)</f>
        <v/>
      </c>
      <c r="BR3543">
        <f>IF(3530&lt;$U$9,SUMPRODUCT(($D$10:$L$10&lt;&gt;"")*(($D$10:$L$10-($D$9:$L$9+INT(($S$12:$AA$12+INDEX($AJ$13:$AR$162,BN3543,0)+INDEX($AT$13:$BB$162,BO3543,0)+INDEX($BD$13:$BL$162,BP3543,0))/100)))&gt;0)*($D$10:$L$10-($D$9:$L$9+INT(($S$12:$AA$12+INDEX($AJ$13:$AR$162,BN3543,0)+INDEX($AT$13:$BB$162,BO3543,0)+INDEX($BD$13:$BL$162,BP3543,0))/100)))),0)</f>
        <v/>
      </c>
      <c r="BS3543">
        <f>IF(3530&lt;$U$9,SUMPRODUCT(($D$9:$L$9+INT(($S$12:$AA$12+INDEX($AJ$13:$AR$162,BN3543,0)+INDEX($AT$13:$BB$162,BO3543,0)+INDEX($BD$13:$BL$162,BP3543,0))/100))),0)</f>
        <v/>
      </c>
      <c r="BT3543">
        <f>IF(AND(3530&lt;$U$9,$W$5),BQ3543*1000000-MIN(BR3543,999)*1000+BS3543-3530/100000,-1000000000-3530)</f>
        <v/>
      </c>
    </row>
    <row r="3544">
      <c r="BN3544">
        <f>IF(3531&lt;$U$9,INT(3531/($U$7*$U$8))+1,1)</f>
        <v/>
      </c>
      <c r="BO3544">
        <f>IF(3531&lt;$U$9,MOD(INT(3531/$U$8),$U$7)+1,1)</f>
        <v/>
      </c>
      <c r="BP3544">
        <f>IF(3531&lt;$U$9,MOD(3531,$U$8)+1,1)</f>
        <v/>
      </c>
      <c r="BQ3544">
        <f>IF(3531&lt;$U$9,SUMPRODUCT(($D$10:$L$10&lt;&gt;"")*(($D$9:$L$9+INT(($S$12:$AA$12+INDEX($AJ$13:$AR$162,BN3544,0)+INDEX($AT$13:$BB$162,BO3544,0)+INDEX($BD$13:$BL$162,BP3544,0))/100))&gt;=$D$10:$L$10)),0)</f>
        <v/>
      </c>
      <c r="BR3544">
        <f>IF(3531&lt;$U$9,SUMPRODUCT(($D$10:$L$10&lt;&gt;"")*(($D$10:$L$10-($D$9:$L$9+INT(($S$12:$AA$12+INDEX($AJ$13:$AR$162,BN3544,0)+INDEX($AT$13:$BB$162,BO3544,0)+INDEX($BD$13:$BL$162,BP3544,0))/100)))&gt;0)*($D$10:$L$10-($D$9:$L$9+INT(($S$12:$AA$12+INDEX($AJ$13:$AR$162,BN3544,0)+INDEX($AT$13:$BB$162,BO3544,0)+INDEX($BD$13:$BL$162,BP3544,0))/100)))),0)</f>
        <v/>
      </c>
      <c r="BS3544">
        <f>IF(3531&lt;$U$9,SUMPRODUCT(($D$9:$L$9+INT(($S$12:$AA$12+INDEX($AJ$13:$AR$162,BN3544,0)+INDEX($AT$13:$BB$162,BO3544,0)+INDEX($BD$13:$BL$162,BP3544,0))/100))),0)</f>
        <v/>
      </c>
      <c r="BT3544">
        <f>IF(AND(3531&lt;$U$9,$W$5),BQ3544*1000000-MIN(BR3544,999)*1000+BS3544-3531/100000,-1000000000-3531)</f>
        <v/>
      </c>
    </row>
    <row r="3545">
      <c r="BN3545">
        <f>IF(3532&lt;$U$9,INT(3532/($U$7*$U$8))+1,1)</f>
        <v/>
      </c>
      <c r="BO3545">
        <f>IF(3532&lt;$U$9,MOD(INT(3532/$U$8),$U$7)+1,1)</f>
        <v/>
      </c>
      <c r="BP3545">
        <f>IF(3532&lt;$U$9,MOD(3532,$U$8)+1,1)</f>
        <v/>
      </c>
      <c r="BQ3545">
        <f>IF(3532&lt;$U$9,SUMPRODUCT(($D$10:$L$10&lt;&gt;"")*(($D$9:$L$9+INT(($S$12:$AA$12+INDEX($AJ$13:$AR$162,BN3545,0)+INDEX($AT$13:$BB$162,BO3545,0)+INDEX($BD$13:$BL$162,BP3545,0))/100))&gt;=$D$10:$L$10)),0)</f>
        <v/>
      </c>
      <c r="BR3545">
        <f>IF(3532&lt;$U$9,SUMPRODUCT(($D$10:$L$10&lt;&gt;"")*(($D$10:$L$10-($D$9:$L$9+INT(($S$12:$AA$12+INDEX($AJ$13:$AR$162,BN3545,0)+INDEX($AT$13:$BB$162,BO3545,0)+INDEX($BD$13:$BL$162,BP3545,0))/100)))&gt;0)*($D$10:$L$10-($D$9:$L$9+INT(($S$12:$AA$12+INDEX($AJ$13:$AR$162,BN3545,0)+INDEX($AT$13:$BB$162,BO3545,0)+INDEX($BD$13:$BL$162,BP3545,0))/100)))),0)</f>
        <v/>
      </c>
      <c r="BS3545">
        <f>IF(3532&lt;$U$9,SUMPRODUCT(($D$9:$L$9+INT(($S$12:$AA$12+INDEX($AJ$13:$AR$162,BN3545,0)+INDEX($AT$13:$BB$162,BO3545,0)+INDEX($BD$13:$BL$162,BP3545,0))/100))),0)</f>
        <v/>
      </c>
      <c r="BT3545">
        <f>IF(AND(3532&lt;$U$9,$W$5),BQ3545*1000000-MIN(BR3545,999)*1000+BS3545-3532/100000,-1000000000-3532)</f>
        <v/>
      </c>
    </row>
    <row r="3546">
      <c r="BN3546">
        <f>IF(3533&lt;$U$9,INT(3533/($U$7*$U$8))+1,1)</f>
        <v/>
      </c>
      <c r="BO3546">
        <f>IF(3533&lt;$U$9,MOD(INT(3533/$U$8),$U$7)+1,1)</f>
        <v/>
      </c>
      <c r="BP3546">
        <f>IF(3533&lt;$U$9,MOD(3533,$U$8)+1,1)</f>
        <v/>
      </c>
      <c r="BQ3546">
        <f>IF(3533&lt;$U$9,SUMPRODUCT(($D$10:$L$10&lt;&gt;"")*(($D$9:$L$9+INT(($S$12:$AA$12+INDEX($AJ$13:$AR$162,BN3546,0)+INDEX($AT$13:$BB$162,BO3546,0)+INDEX($BD$13:$BL$162,BP3546,0))/100))&gt;=$D$10:$L$10)),0)</f>
        <v/>
      </c>
      <c r="BR3546">
        <f>IF(3533&lt;$U$9,SUMPRODUCT(($D$10:$L$10&lt;&gt;"")*(($D$10:$L$10-($D$9:$L$9+INT(($S$12:$AA$12+INDEX($AJ$13:$AR$162,BN3546,0)+INDEX($AT$13:$BB$162,BO3546,0)+INDEX($BD$13:$BL$162,BP3546,0))/100)))&gt;0)*($D$10:$L$10-($D$9:$L$9+INT(($S$12:$AA$12+INDEX($AJ$13:$AR$162,BN3546,0)+INDEX($AT$13:$BB$162,BO3546,0)+INDEX($BD$13:$BL$162,BP3546,0))/100)))),0)</f>
        <v/>
      </c>
      <c r="BS3546">
        <f>IF(3533&lt;$U$9,SUMPRODUCT(($D$9:$L$9+INT(($S$12:$AA$12+INDEX($AJ$13:$AR$162,BN3546,0)+INDEX($AT$13:$BB$162,BO3546,0)+INDEX($BD$13:$BL$162,BP3546,0))/100))),0)</f>
        <v/>
      </c>
      <c r="BT3546">
        <f>IF(AND(3533&lt;$U$9,$W$5),BQ3546*1000000-MIN(BR3546,999)*1000+BS3546-3533/100000,-1000000000-3533)</f>
        <v/>
      </c>
    </row>
    <row r="3547">
      <c r="BN3547">
        <f>IF(3534&lt;$U$9,INT(3534/($U$7*$U$8))+1,1)</f>
        <v/>
      </c>
      <c r="BO3547">
        <f>IF(3534&lt;$U$9,MOD(INT(3534/$U$8),$U$7)+1,1)</f>
        <v/>
      </c>
      <c r="BP3547">
        <f>IF(3534&lt;$U$9,MOD(3534,$U$8)+1,1)</f>
        <v/>
      </c>
      <c r="BQ3547">
        <f>IF(3534&lt;$U$9,SUMPRODUCT(($D$10:$L$10&lt;&gt;"")*(($D$9:$L$9+INT(($S$12:$AA$12+INDEX($AJ$13:$AR$162,BN3547,0)+INDEX($AT$13:$BB$162,BO3547,0)+INDEX($BD$13:$BL$162,BP3547,0))/100))&gt;=$D$10:$L$10)),0)</f>
        <v/>
      </c>
      <c r="BR3547">
        <f>IF(3534&lt;$U$9,SUMPRODUCT(($D$10:$L$10&lt;&gt;"")*(($D$10:$L$10-($D$9:$L$9+INT(($S$12:$AA$12+INDEX($AJ$13:$AR$162,BN3547,0)+INDEX($AT$13:$BB$162,BO3547,0)+INDEX($BD$13:$BL$162,BP3547,0))/100)))&gt;0)*($D$10:$L$10-($D$9:$L$9+INT(($S$12:$AA$12+INDEX($AJ$13:$AR$162,BN3547,0)+INDEX($AT$13:$BB$162,BO3547,0)+INDEX($BD$13:$BL$162,BP3547,0))/100)))),0)</f>
        <v/>
      </c>
      <c r="BS3547">
        <f>IF(3534&lt;$U$9,SUMPRODUCT(($D$9:$L$9+INT(($S$12:$AA$12+INDEX($AJ$13:$AR$162,BN3547,0)+INDEX($AT$13:$BB$162,BO3547,0)+INDEX($BD$13:$BL$162,BP3547,0))/100))),0)</f>
        <v/>
      </c>
      <c r="BT3547">
        <f>IF(AND(3534&lt;$U$9,$W$5),BQ3547*1000000-MIN(BR3547,999)*1000+BS3547-3534/100000,-1000000000-3534)</f>
        <v/>
      </c>
    </row>
    <row r="3548">
      <c r="BN3548">
        <f>IF(3535&lt;$U$9,INT(3535/($U$7*$U$8))+1,1)</f>
        <v/>
      </c>
      <c r="BO3548">
        <f>IF(3535&lt;$U$9,MOD(INT(3535/$U$8),$U$7)+1,1)</f>
        <v/>
      </c>
      <c r="BP3548">
        <f>IF(3535&lt;$U$9,MOD(3535,$U$8)+1,1)</f>
        <v/>
      </c>
      <c r="BQ3548">
        <f>IF(3535&lt;$U$9,SUMPRODUCT(($D$10:$L$10&lt;&gt;"")*(($D$9:$L$9+INT(($S$12:$AA$12+INDEX($AJ$13:$AR$162,BN3548,0)+INDEX($AT$13:$BB$162,BO3548,0)+INDEX($BD$13:$BL$162,BP3548,0))/100))&gt;=$D$10:$L$10)),0)</f>
        <v/>
      </c>
      <c r="BR3548">
        <f>IF(3535&lt;$U$9,SUMPRODUCT(($D$10:$L$10&lt;&gt;"")*(($D$10:$L$10-($D$9:$L$9+INT(($S$12:$AA$12+INDEX($AJ$13:$AR$162,BN3548,0)+INDEX($AT$13:$BB$162,BO3548,0)+INDEX($BD$13:$BL$162,BP3548,0))/100)))&gt;0)*($D$10:$L$10-($D$9:$L$9+INT(($S$12:$AA$12+INDEX($AJ$13:$AR$162,BN3548,0)+INDEX($AT$13:$BB$162,BO3548,0)+INDEX($BD$13:$BL$162,BP3548,0))/100)))),0)</f>
        <v/>
      </c>
      <c r="BS3548">
        <f>IF(3535&lt;$U$9,SUMPRODUCT(($D$9:$L$9+INT(($S$12:$AA$12+INDEX($AJ$13:$AR$162,BN3548,0)+INDEX($AT$13:$BB$162,BO3548,0)+INDEX($BD$13:$BL$162,BP3548,0))/100))),0)</f>
        <v/>
      </c>
      <c r="BT3548">
        <f>IF(AND(3535&lt;$U$9,$W$5),BQ3548*1000000-MIN(BR3548,999)*1000+BS3548-3535/100000,-1000000000-3535)</f>
        <v/>
      </c>
    </row>
    <row r="3549">
      <c r="BN3549">
        <f>IF(3536&lt;$U$9,INT(3536/($U$7*$U$8))+1,1)</f>
        <v/>
      </c>
      <c r="BO3549">
        <f>IF(3536&lt;$U$9,MOD(INT(3536/$U$8),$U$7)+1,1)</f>
        <v/>
      </c>
      <c r="BP3549">
        <f>IF(3536&lt;$U$9,MOD(3536,$U$8)+1,1)</f>
        <v/>
      </c>
      <c r="BQ3549">
        <f>IF(3536&lt;$U$9,SUMPRODUCT(($D$10:$L$10&lt;&gt;"")*(($D$9:$L$9+INT(($S$12:$AA$12+INDEX($AJ$13:$AR$162,BN3549,0)+INDEX($AT$13:$BB$162,BO3549,0)+INDEX($BD$13:$BL$162,BP3549,0))/100))&gt;=$D$10:$L$10)),0)</f>
        <v/>
      </c>
      <c r="BR3549">
        <f>IF(3536&lt;$U$9,SUMPRODUCT(($D$10:$L$10&lt;&gt;"")*(($D$10:$L$10-($D$9:$L$9+INT(($S$12:$AA$12+INDEX($AJ$13:$AR$162,BN3549,0)+INDEX($AT$13:$BB$162,BO3549,0)+INDEX($BD$13:$BL$162,BP3549,0))/100)))&gt;0)*($D$10:$L$10-($D$9:$L$9+INT(($S$12:$AA$12+INDEX($AJ$13:$AR$162,BN3549,0)+INDEX($AT$13:$BB$162,BO3549,0)+INDEX($BD$13:$BL$162,BP3549,0))/100)))),0)</f>
        <v/>
      </c>
      <c r="BS3549">
        <f>IF(3536&lt;$U$9,SUMPRODUCT(($D$9:$L$9+INT(($S$12:$AA$12+INDEX($AJ$13:$AR$162,BN3549,0)+INDEX($AT$13:$BB$162,BO3549,0)+INDEX($BD$13:$BL$162,BP3549,0))/100))),0)</f>
        <v/>
      </c>
      <c r="BT3549">
        <f>IF(AND(3536&lt;$U$9,$W$5),BQ3549*1000000-MIN(BR3549,999)*1000+BS3549-3536/100000,-1000000000-3536)</f>
        <v/>
      </c>
    </row>
    <row r="3550">
      <c r="BN3550">
        <f>IF(3537&lt;$U$9,INT(3537/($U$7*$U$8))+1,1)</f>
        <v/>
      </c>
      <c r="BO3550">
        <f>IF(3537&lt;$U$9,MOD(INT(3537/$U$8),$U$7)+1,1)</f>
        <v/>
      </c>
      <c r="BP3550">
        <f>IF(3537&lt;$U$9,MOD(3537,$U$8)+1,1)</f>
        <v/>
      </c>
      <c r="BQ3550">
        <f>IF(3537&lt;$U$9,SUMPRODUCT(($D$10:$L$10&lt;&gt;"")*(($D$9:$L$9+INT(($S$12:$AA$12+INDEX($AJ$13:$AR$162,BN3550,0)+INDEX($AT$13:$BB$162,BO3550,0)+INDEX($BD$13:$BL$162,BP3550,0))/100))&gt;=$D$10:$L$10)),0)</f>
        <v/>
      </c>
      <c r="BR3550">
        <f>IF(3537&lt;$U$9,SUMPRODUCT(($D$10:$L$10&lt;&gt;"")*(($D$10:$L$10-($D$9:$L$9+INT(($S$12:$AA$12+INDEX($AJ$13:$AR$162,BN3550,0)+INDEX($AT$13:$BB$162,BO3550,0)+INDEX($BD$13:$BL$162,BP3550,0))/100)))&gt;0)*($D$10:$L$10-($D$9:$L$9+INT(($S$12:$AA$12+INDEX($AJ$13:$AR$162,BN3550,0)+INDEX($AT$13:$BB$162,BO3550,0)+INDEX($BD$13:$BL$162,BP3550,0))/100)))),0)</f>
        <v/>
      </c>
      <c r="BS3550">
        <f>IF(3537&lt;$U$9,SUMPRODUCT(($D$9:$L$9+INT(($S$12:$AA$12+INDEX($AJ$13:$AR$162,BN3550,0)+INDEX($AT$13:$BB$162,BO3550,0)+INDEX($BD$13:$BL$162,BP3550,0))/100))),0)</f>
        <v/>
      </c>
      <c r="BT3550">
        <f>IF(AND(3537&lt;$U$9,$W$5),BQ3550*1000000-MIN(BR3550,999)*1000+BS3550-3537/100000,-1000000000-3537)</f>
        <v/>
      </c>
    </row>
    <row r="3551">
      <c r="BN3551">
        <f>IF(3538&lt;$U$9,INT(3538/($U$7*$U$8))+1,1)</f>
        <v/>
      </c>
      <c r="BO3551">
        <f>IF(3538&lt;$U$9,MOD(INT(3538/$U$8),$U$7)+1,1)</f>
        <v/>
      </c>
      <c r="BP3551">
        <f>IF(3538&lt;$U$9,MOD(3538,$U$8)+1,1)</f>
        <v/>
      </c>
      <c r="BQ3551">
        <f>IF(3538&lt;$U$9,SUMPRODUCT(($D$10:$L$10&lt;&gt;"")*(($D$9:$L$9+INT(($S$12:$AA$12+INDEX($AJ$13:$AR$162,BN3551,0)+INDEX($AT$13:$BB$162,BO3551,0)+INDEX($BD$13:$BL$162,BP3551,0))/100))&gt;=$D$10:$L$10)),0)</f>
        <v/>
      </c>
      <c r="BR3551">
        <f>IF(3538&lt;$U$9,SUMPRODUCT(($D$10:$L$10&lt;&gt;"")*(($D$10:$L$10-($D$9:$L$9+INT(($S$12:$AA$12+INDEX($AJ$13:$AR$162,BN3551,0)+INDEX($AT$13:$BB$162,BO3551,0)+INDEX($BD$13:$BL$162,BP3551,0))/100)))&gt;0)*($D$10:$L$10-($D$9:$L$9+INT(($S$12:$AA$12+INDEX($AJ$13:$AR$162,BN3551,0)+INDEX($AT$13:$BB$162,BO3551,0)+INDEX($BD$13:$BL$162,BP3551,0))/100)))),0)</f>
        <v/>
      </c>
      <c r="BS3551">
        <f>IF(3538&lt;$U$9,SUMPRODUCT(($D$9:$L$9+INT(($S$12:$AA$12+INDEX($AJ$13:$AR$162,BN3551,0)+INDEX($AT$13:$BB$162,BO3551,0)+INDEX($BD$13:$BL$162,BP3551,0))/100))),0)</f>
        <v/>
      </c>
      <c r="BT3551">
        <f>IF(AND(3538&lt;$U$9,$W$5),BQ3551*1000000-MIN(BR3551,999)*1000+BS3551-3538/100000,-1000000000-3538)</f>
        <v/>
      </c>
    </row>
    <row r="3552">
      <c r="BN3552">
        <f>IF(3539&lt;$U$9,INT(3539/($U$7*$U$8))+1,1)</f>
        <v/>
      </c>
      <c r="BO3552">
        <f>IF(3539&lt;$U$9,MOD(INT(3539/$U$8),$U$7)+1,1)</f>
        <v/>
      </c>
      <c r="BP3552">
        <f>IF(3539&lt;$U$9,MOD(3539,$U$8)+1,1)</f>
        <v/>
      </c>
      <c r="BQ3552">
        <f>IF(3539&lt;$U$9,SUMPRODUCT(($D$10:$L$10&lt;&gt;"")*(($D$9:$L$9+INT(($S$12:$AA$12+INDEX($AJ$13:$AR$162,BN3552,0)+INDEX($AT$13:$BB$162,BO3552,0)+INDEX($BD$13:$BL$162,BP3552,0))/100))&gt;=$D$10:$L$10)),0)</f>
        <v/>
      </c>
      <c r="BR3552">
        <f>IF(3539&lt;$U$9,SUMPRODUCT(($D$10:$L$10&lt;&gt;"")*(($D$10:$L$10-($D$9:$L$9+INT(($S$12:$AA$12+INDEX($AJ$13:$AR$162,BN3552,0)+INDEX($AT$13:$BB$162,BO3552,0)+INDEX($BD$13:$BL$162,BP3552,0))/100)))&gt;0)*($D$10:$L$10-($D$9:$L$9+INT(($S$12:$AA$12+INDEX($AJ$13:$AR$162,BN3552,0)+INDEX($AT$13:$BB$162,BO3552,0)+INDEX($BD$13:$BL$162,BP3552,0))/100)))),0)</f>
        <v/>
      </c>
      <c r="BS3552">
        <f>IF(3539&lt;$U$9,SUMPRODUCT(($D$9:$L$9+INT(($S$12:$AA$12+INDEX($AJ$13:$AR$162,BN3552,0)+INDEX($AT$13:$BB$162,BO3552,0)+INDEX($BD$13:$BL$162,BP3552,0))/100))),0)</f>
        <v/>
      </c>
      <c r="BT3552">
        <f>IF(AND(3539&lt;$U$9,$W$5),BQ3552*1000000-MIN(BR3552,999)*1000+BS3552-3539/100000,-1000000000-3539)</f>
        <v/>
      </c>
    </row>
    <row r="3553">
      <c r="BN3553">
        <f>IF(3540&lt;$U$9,INT(3540/($U$7*$U$8))+1,1)</f>
        <v/>
      </c>
      <c r="BO3553">
        <f>IF(3540&lt;$U$9,MOD(INT(3540/$U$8),$U$7)+1,1)</f>
        <v/>
      </c>
      <c r="BP3553">
        <f>IF(3540&lt;$U$9,MOD(3540,$U$8)+1,1)</f>
        <v/>
      </c>
      <c r="BQ3553">
        <f>IF(3540&lt;$U$9,SUMPRODUCT(($D$10:$L$10&lt;&gt;"")*(($D$9:$L$9+INT(($S$12:$AA$12+INDEX($AJ$13:$AR$162,BN3553,0)+INDEX($AT$13:$BB$162,BO3553,0)+INDEX($BD$13:$BL$162,BP3553,0))/100))&gt;=$D$10:$L$10)),0)</f>
        <v/>
      </c>
      <c r="BR3553">
        <f>IF(3540&lt;$U$9,SUMPRODUCT(($D$10:$L$10&lt;&gt;"")*(($D$10:$L$10-($D$9:$L$9+INT(($S$12:$AA$12+INDEX($AJ$13:$AR$162,BN3553,0)+INDEX($AT$13:$BB$162,BO3553,0)+INDEX($BD$13:$BL$162,BP3553,0))/100)))&gt;0)*($D$10:$L$10-($D$9:$L$9+INT(($S$12:$AA$12+INDEX($AJ$13:$AR$162,BN3553,0)+INDEX($AT$13:$BB$162,BO3553,0)+INDEX($BD$13:$BL$162,BP3553,0))/100)))),0)</f>
        <v/>
      </c>
      <c r="BS3553">
        <f>IF(3540&lt;$U$9,SUMPRODUCT(($D$9:$L$9+INT(($S$12:$AA$12+INDEX($AJ$13:$AR$162,BN3553,0)+INDEX($AT$13:$BB$162,BO3553,0)+INDEX($BD$13:$BL$162,BP3553,0))/100))),0)</f>
        <v/>
      </c>
      <c r="BT3553">
        <f>IF(AND(3540&lt;$U$9,$W$5),BQ3553*1000000-MIN(BR3553,999)*1000+BS3553-3540/100000,-1000000000-3540)</f>
        <v/>
      </c>
    </row>
    <row r="3554">
      <c r="BN3554">
        <f>IF(3541&lt;$U$9,INT(3541/($U$7*$U$8))+1,1)</f>
        <v/>
      </c>
      <c r="BO3554">
        <f>IF(3541&lt;$U$9,MOD(INT(3541/$U$8),$U$7)+1,1)</f>
        <v/>
      </c>
      <c r="BP3554">
        <f>IF(3541&lt;$U$9,MOD(3541,$U$8)+1,1)</f>
        <v/>
      </c>
      <c r="BQ3554">
        <f>IF(3541&lt;$U$9,SUMPRODUCT(($D$10:$L$10&lt;&gt;"")*(($D$9:$L$9+INT(($S$12:$AA$12+INDEX($AJ$13:$AR$162,BN3554,0)+INDEX($AT$13:$BB$162,BO3554,0)+INDEX($BD$13:$BL$162,BP3554,0))/100))&gt;=$D$10:$L$10)),0)</f>
        <v/>
      </c>
      <c r="BR3554">
        <f>IF(3541&lt;$U$9,SUMPRODUCT(($D$10:$L$10&lt;&gt;"")*(($D$10:$L$10-($D$9:$L$9+INT(($S$12:$AA$12+INDEX($AJ$13:$AR$162,BN3554,0)+INDEX($AT$13:$BB$162,BO3554,0)+INDEX($BD$13:$BL$162,BP3554,0))/100)))&gt;0)*($D$10:$L$10-($D$9:$L$9+INT(($S$12:$AA$12+INDEX($AJ$13:$AR$162,BN3554,0)+INDEX($AT$13:$BB$162,BO3554,0)+INDEX($BD$13:$BL$162,BP3554,0))/100)))),0)</f>
        <v/>
      </c>
      <c r="BS3554">
        <f>IF(3541&lt;$U$9,SUMPRODUCT(($D$9:$L$9+INT(($S$12:$AA$12+INDEX($AJ$13:$AR$162,BN3554,0)+INDEX($AT$13:$BB$162,BO3554,0)+INDEX($BD$13:$BL$162,BP3554,0))/100))),0)</f>
        <v/>
      </c>
      <c r="BT3554">
        <f>IF(AND(3541&lt;$U$9,$W$5),BQ3554*1000000-MIN(BR3554,999)*1000+BS3554-3541/100000,-1000000000-3541)</f>
        <v/>
      </c>
    </row>
    <row r="3555">
      <c r="BN3555">
        <f>IF(3542&lt;$U$9,INT(3542/($U$7*$U$8))+1,1)</f>
        <v/>
      </c>
      <c r="BO3555">
        <f>IF(3542&lt;$U$9,MOD(INT(3542/$U$8),$U$7)+1,1)</f>
        <v/>
      </c>
      <c r="BP3555">
        <f>IF(3542&lt;$U$9,MOD(3542,$U$8)+1,1)</f>
        <v/>
      </c>
      <c r="BQ3555">
        <f>IF(3542&lt;$U$9,SUMPRODUCT(($D$10:$L$10&lt;&gt;"")*(($D$9:$L$9+INT(($S$12:$AA$12+INDEX($AJ$13:$AR$162,BN3555,0)+INDEX($AT$13:$BB$162,BO3555,0)+INDEX($BD$13:$BL$162,BP3555,0))/100))&gt;=$D$10:$L$10)),0)</f>
        <v/>
      </c>
      <c r="BR3555">
        <f>IF(3542&lt;$U$9,SUMPRODUCT(($D$10:$L$10&lt;&gt;"")*(($D$10:$L$10-($D$9:$L$9+INT(($S$12:$AA$12+INDEX($AJ$13:$AR$162,BN3555,0)+INDEX($AT$13:$BB$162,BO3555,0)+INDEX($BD$13:$BL$162,BP3555,0))/100)))&gt;0)*($D$10:$L$10-($D$9:$L$9+INT(($S$12:$AA$12+INDEX($AJ$13:$AR$162,BN3555,0)+INDEX($AT$13:$BB$162,BO3555,0)+INDEX($BD$13:$BL$162,BP3555,0))/100)))),0)</f>
        <v/>
      </c>
      <c r="BS3555">
        <f>IF(3542&lt;$U$9,SUMPRODUCT(($D$9:$L$9+INT(($S$12:$AA$12+INDEX($AJ$13:$AR$162,BN3555,0)+INDEX($AT$13:$BB$162,BO3555,0)+INDEX($BD$13:$BL$162,BP3555,0))/100))),0)</f>
        <v/>
      </c>
      <c r="BT3555">
        <f>IF(AND(3542&lt;$U$9,$W$5),BQ3555*1000000-MIN(BR3555,999)*1000+BS3555-3542/100000,-1000000000-3542)</f>
        <v/>
      </c>
    </row>
    <row r="3556">
      <c r="BN3556">
        <f>IF(3543&lt;$U$9,INT(3543/($U$7*$U$8))+1,1)</f>
        <v/>
      </c>
      <c r="BO3556">
        <f>IF(3543&lt;$U$9,MOD(INT(3543/$U$8),$U$7)+1,1)</f>
        <v/>
      </c>
      <c r="BP3556">
        <f>IF(3543&lt;$U$9,MOD(3543,$U$8)+1,1)</f>
        <v/>
      </c>
      <c r="BQ3556">
        <f>IF(3543&lt;$U$9,SUMPRODUCT(($D$10:$L$10&lt;&gt;"")*(($D$9:$L$9+INT(($S$12:$AA$12+INDEX($AJ$13:$AR$162,BN3556,0)+INDEX($AT$13:$BB$162,BO3556,0)+INDEX($BD$13:$BL$162,BP3556,0))/100))&gt;=$D$10:$L$10)),0)</f>
        <v/>
      </c>
      <c r="BR3556">
        <f>IF(3543&lt;$U$9,SUMPRODUCT(($D$10:$L$10&lt;&gt;"")*(($D$10:$L$10-($D$9:$L$9+INT(($S$12:$AA$12+INDEX($AJ$13:$AR$162,BN3556,0)+INDEX($AT$13:$BB$162,BO3556,0)+INDEX($BD$13:$BL$162,BP3556,0))/100)))&gt;0)*($D$10:$L$10-($D$9:$L$9+INT(($S$12:$AA$12+INDEX($AJ$13:$AR$162,BN3556,0)+INDEX($AT$13:$BB$162,BO3556,0)+INDEX($BD$13:$BL$162,BP3556,0))/100)))),0)</f>
        <v/>
      </c>
      <c r="BS3556">
        <f>IF(3543&lt;$U$9,SUMPRODUCT(($D$9:$L$9+INT(($S$12:$AA$12+INDEX($AJ$13:$AR$162,BN3556,0)+INDEX($AT$13:$BB$162,BO3556,0)+INDEX($BD$13:$BL$162,BP3556,0))/100))),0)</f>
        <v/>
      </c>
      <c r="BT3556">
        <f>IF(AND(3543&lt;$U$9,$W$5),BQ3556*1000000-MIN(BR3556,999)*1000+BS3556-3543/100000,-1000000000-3543)</f>
        <v/>
      </c>
    </row>
    <row r="3557">
      <c r="BN3557">
        <f>IF(3544&lt;$U$9,INT(3544/($U$7*$U$8))+1,1)</f>
        <v/>
      </c>
      <c r="BO3557">
        <f>IF(3544&lt;$U$9,MOD(INT(3544/$U$8),$U$7)+1,1)</f>
        <v/>
      </c>
      <c r="BP3557">
        <f>IF(3544&lt;$U$9,MOD(3544,$U$8)+1,1)</f>
        <v/>
      </c>
      <c r="BQ3557">
        <f>IF(3544&lt;$U$9,SUMPRODUCT(($D$10:$L$10&lt;&gt;"")*(($D$9:$L$9+INT(($S$12:$AA$12+INDEX($AJ$13:$AR$162,BN3557,0)+INDEX($AT$13:$BB$162,BO3557,0)+INDEX($BD$13:$BL$162,BP3557,0))/100))&gt;=$D$10:$L$10)),0)</f>
        <v/>
      </c>
      <c r="BR3557">
        <f>IF(3544&lt;$U$9,SUMPRODUCT(($D$10:$L$10&lt;&gt;"")*(($D$10:$L$10-($D$9:$L$9+INT(($S$12:$AA$12+INDEX($AJ$13:$AR$162,BN3557,0)+INDEX($AT$13:$BB$162,BO3557,0)+INDEX($BD$13:$BL$162,BP3557,0))/100)))&gt;0)*($D$10:$L$10-($D$9:$L$9+INT(($S$12:$AA$12+INDEX($AJ$13:$AR$162,BN3557,0)+INDEX($AT$13:$BB$162,BO3557,0)+INDEX($BD$13:$BL$162,BP3557,0))/100)))),0)</f>
        <v/>
      </c>
      <c r="BS3557">
        <f>IF(3544&lt;$U$9,SUMPRODUCT(($D$9:$L$9+INT(($S$12:$AA$12+INDEX($AJ$13:$AR$162,BN3557,0)+INDEX($AT$13:$BB$162,BO3557,0)+INDEX($BD$13:$BL$162,BP3557,0))/100))),0)</f>
        <v/>
      </c>
      <c r="BT3557">
        <f>IF(AND(3544&lt;$U$9,$W$5),BQ3557*1000000-MIN(BR3557,999)*1000+BS3557-3544/100000,-1000000000-3544)</f>
        <v/>
      </c>
    </row>
    <row r="3558">
      <c r="BN3558">
        <f>IF(3545&lt;$U$9,INT(3545/($U$7*$U$8))+1,1)</f>
        <v/>
      </c>
      <c r="BO3558">
        <f>IF(3545&lt;$U$9,MOD(INT(3545/$U$8),$U$7)+1,1)</f>
        <v/>
      </c>
      <c r="BP3558">
        <f>IF(3545&lt;$U$9,MOD(3545,$U$8)+1,1)</f>
        <v/>
      </c>
      <c r="BQ3558">
        <f>IF(3545&lt;$U$9,SUMPRODUCT(($D$10:$L$10&lt;&gt;"")*(($D$9:$L$9+INT(($S$12:$AA$12+INDEX($AJ$13:$AR$162,BN3558,0)+INDEX($AT$13:$BB$162,BO3558,0)+INDEX($BD$13:$BL$162,BP3558,0))/100))&gt;=$D$10:$L$10)),0)</f>
        <v/>
      </c>
      <c r="BR3558">
        <f>IF(3545&lt;$U$9,SUMPRODUCT(($D$10:$L$10&lt;&gt;"")*(($D$10:$L$10-($D$9:$L$9+INT(($S$12:$AA$12+INDEX($AJ$13:$AR$162,BN3558,0)+INDEX($AT$13:$BB$162,BO3558,0)+INDEX($BD$13:$BL$162,BP3558,0))/100)))&gt;0)*($D$10:$L$10-($D$9:$L$9+INT(($S$12:$AA$12+INDEX($AJ$13:$AR$162,BN3558,0)+INDEX($AT$13:$BB$162,BO3558,0)+INDEX($BD$13:$BL$162,BP3558,0))/100)))),0)</f>
        <v/>
      </c>
      <c r="BS3558">
        <f>IF(3545&lt;$U$9,SUMPRODUCT(($D$9:$L$9+INT(($S$12:$AA$12+INDEX($AJ$13:$AR$162,BN3558,0)+INDEX($AT$13:$BB$162,BO3558,0)+INDEX($BD$13:$BL$162,BP3558,0))/100))),0)</f>
        <v/>
      </c>
      <c r="BT3558">
        <f>IF(AND(3545&lt;$U$9,$W$5),BQ3558*1000000-MIN(BR3558,999)*1000+BS3558-3545/100000,-1000000000-3545)</f>
        <v/>
      </c>
    </row>
    <row r="3559">
      <c r="BN3559">
        <f>IF(3546&lt;$U$9,INT(3546/($U$7*$U$8))+1,1)</f>
        <v/>
      </c>
      <c r="BO3559">
        <f>IF(3546&lt;$U$9,MOD(INT(3546/$U$8),$U$7)+1,1)</f>
        <v/>
      </c>
      <c r="BP3559">
        <f>IF(3546&lt;$U$9,MOD(3546,$U$8)+1,1)</f>
        <v/>
      </c>
      <c r="BQ3559">
        <f>IF(3546&lt;$U$9,SUMPRODUCT(($D$10:$L$10&lt;&gt;"")*(($D$9:$L$9+INT(($S$12:$AA$12+INDEX($AJ$13:$AR$162,BN3559,0)+INDEX($AT$13:$BB$162,BO3559,0)+INDEX($BD$13:$BL$162,BP3559,0))/100))&gt;=$D$10:$L$10)),0)</f>
        <v/>
      </c>
      <c r="BR3559">
        <f>IF(3546&lt;$U$9,SUMPRODUCT(($D$10:$L$10&lt;&gt;"")*(($D$10:$L$10-($D$9:$L$9+INT(($S$12:$AA$12+INDEX($AJ$13:$AR$162,BN3559,0)+INDEX($AT$13:$BB$162,BO3559,0)+INDEX($BD$13:$BL$162,BP3559,0))/100)))&gt;0)*($D$10:$L$10-($D$9:$L$9+INT(($S$12:$AA$12+INDEX($AJ$13:$AR$162,BN3559,0)+INDEX($AT$13:$BB$162,BO3559,0)+INDEX($BD$13:$BL$162,BP3559,0))/100)))),0)</f>
        <v/>
      </c>
      <c r="BS3559">
        <f>IF(3546&lt;$U$9,SUMPRODUCT(($D$9:$L$9+INT(($S$12:$AA$12+INDEX($AJ$13:$AR$162,BN3559,0)+INDEX($AT$13:$BB$162,BO3559,0)+INDEX($BD$13:$BL$162,BP3559,0))/100))),0)</f>
        <v/>
      </c>
      <c r="BT3559">
        <f>IF(AND(3546&lt;$U$9,$W$5),BQ3559*1000000-MIN(BR3559,999)*1000+BS3559-3546/100000,-1000000000-3546)</f>
        <v/>
      </c>
    </row>
    <row r="3560">
      <c r="BN3560">
        <f>IF(3547&lt;$U$9,INT(3547/($U$7*$U$8))+1,1)</f>
        <v/>
      </c>
      <c r="BO3560">
        <f>IF(3547&lt;$U$9,MOD(INT(3547/$U$8),$U$7)+1,1)</f>
        <v/>
      </c>
      <c r="BP3560">
        <f>IF(3547&lt;$U$9,MOD(3547,$U$8)+1,1)</f>
        <v/>
      </c>
      <c r="BQ3560">
        <f>IF(3547&lt;$U$9,SUMPRODUCT(($D$10:$L$10&lt;&gt;"")*(($D$9:$L$9+INT(($S$12:$AA$12+INDEX($AJ$13:$AR$162,BN3560,0)+INDEX($AT$13:$BB$162,BO3560,0)+INDEX($BD$13:$BL$162,BP3560,0))/100))&gt;=$D$10:$L$10)),0)</f>
        <v/>
      </c>
      <c r="BR3560">
        <f>IF(3547&lt;$U$9,SUMPRODUCT(($D$10:$L$10&lt;&gt;"")*(($D$10:$L$10-($D$9:$L$9+INT(($S$12:$AA$12+INDEX($AJ$13:$AR$162,BN3560,0)+INDEX($AT$13:$BB$162,BO3560,0)+INDEX($BD$13:$BL$162,BP3560,0))/100)))&gt;0)*($D$10:$L$10-($D$9:$L$9+INT(($S$12:$AA$12+INDEX($AJ$13:$AR$162,BN3560,0)+INDEX($AT$13:$BB$162,BO3560,0)+INDEX($BD$13:$BL$162,BP3560,0))/100)))),0)</f>
        <v/>
      </c>
      <c r="BS3560">
        <f>IF(3547&lt;$U$9,SUMPRODUCT(($D$9:$L$9+INT(($S$12:$AA$12+INDEX($AJ$13:$AR$162,BN3560,0)+INDEX($AT$13:$BB$162,BO3560,0)+INDEX($BD$13:$BL$162,BP3560,0))/100))),0)</f>
        <v/>
      </c>
      <c r="BT3560">
        <f>IF(AND(3547&lt;$U$9,$W$5),BQ3560*1000000-MIN(BR3560,999)*1000+BS3560-3547/100000,-1000000000-3547)</f>
        <v/>
      </c>
    </row>
    <row r="3561">
      <c r="BN3561">
        <f>IF(3548&lt;$U$9,INT(3548/($U$7*$U$8))+1,1)</f>
        <v/>
      </c>
      <c r="BO3561">
        <f>IF(3548&lt;$U$9,MOD(INT(3548/$U$8),$U$7)+1,1)</f>
        <v/>
      </c>
      <c r="BP3561">
        <f>IF(3548&lt;$U$9,MOD(3548,$U$8)+1,1)</f>
        <v/>
      </c>
      <c r="BQ3561">
        <f>IF(3548&lt;$U$9,SUMPRODUCT(($D$10:$L$10&lt;&gt;"")*(($D$9:$L$9+INT(($S$12:$AA$12+INDEX($AJ$13:$AR$162,BN3561,0)+INDEX($AT$13:$BB$162,BO3561,0)+INDEX($BD$13:$BL$162,BP3561,0))/100))&gt;=$D$10:$L$10)),0)</f>
        <v/>
      </c>
      <c r="BR3561">
        <f>IF(3548&lt;$U$9,SUMPRODUCT(($D$10:$L$10&lt;&gt;"")*(($D$10:$L$10-($D$9:$L$9+INT(($S$12:$AA$12+INDEX($AJ$13:$AR$162,BN3561,0)+INDEX($AT$13:$BB$162,BO3561,0)+INDEX($BD$13:$BL$162,BP3561,0))/100)))&gt;0)*($D$10:$L$10-($D$9:$L$9+INT(($S$12:$AA$12+INDEX($AJ$13:$AR$162,BN3561,0)+INDEX($AT$13:$BB$162,BO3561,0)+INDEX($BD$13:$BL$162,BP3561,0))/100)))),0)</f>
        <v/>
      </c>
      <c r="BS3561">
        <f>IF(3548&lt;$U$9,SUMPRODUCT(($D$9:$L$9+INT(($S$12:$AA$12+INDEX($AJ$13:$AR$162,BN3561,0)+INDEX($AT$13:$BB$162,BO3561,0)+INDEX($BD$13:$BL$162,BP3561,0))/100))),0)</f>
        <v/>
      </c>
      <c r="BT3561">
        <f>IF(AND(3548&lt;$U$9,$W$5),BQ3561*1000000-MIN(BR3561,999)*1000+BS3561-3548/100000,-1000000000-3548)</f>
        <v/>
      </c>
    </row>
    <row r="3562">
      <c r="BN3562">
        <f>IF(3549&lt;$U$9,INT(3549/($U$7*$U$8))+1,1)</f>
        <v/>
      </c>
      <c r="BO3562">
        <f>IF(3549&lt;$U$9,MOD(INT(3549/$U$8),$U$7)+1,1)</f>
        <v/>
      </c>
      <c r="BP3562">
        <f>IF(3549&lt;$U$9,MOD(3549,$U$8)+1,1)</f>
        <v/>
      </c>
      <c r="BQ3562">
        <f>IF(3549&lt;$U$9,SUMPRODUCT(($D$10:$L$10&lt;&gt;"")*(($D$9:$L$9+INT(($S$12:$AA$12+INDEX($AJ$13:$AR$162,BN3562,0)+INDEX($AT$13:$BB$162,BO3562,0)+INDEX($BD$13:$BL$162,BP3562,0))/100))&gt;=$D$10:$L$10)),0)</f>
        <v/>
      </c>
      <c r="BR3562">
        <f>IF(3549&lt;$U$9,SUMPRODUCT(($D$10:$L$10&lt;&gt;"")*(($D$10:$L$10-($D$9:$L$9+INT(($S$12:$AA$12+INDEX($AJ$13:$AR$162,BN3562,0)+INDEX($AT$13:$BB$162,BO3562,0)+INDEX($BD$13:$BL$162,BP3562,0))/100)))&gt;0)*($D$10:$L$10-($D$9:$L$9+INT(($S$12:$AA$12+INDEX($AJ$13:$AR$162,BN3562,0)+INDEX($AT$13:$BB$162,BO3562,0)+INDEX($BD$13:$BL$162,BP3562,0))/100)))),0)</f>
        <v/>
      </c>
      <c r="BS3562">
        <f>IF(3549&lt;$U$9,SUMPRODUCT(($D$9:$L$9+INT(($S$12:$AA$12+INDEX($AJ$13:$AR$162,BN3562,0)+INDEX($AT$13:$BB$162,BO3562,0)+INDEX($BD$13:$BL$162,BP3562,0))/100))),0)</f>
        <v/>
      </c>
      <c r="BT3562">
        <f>IF(AND(3549&lt;$U$9,$W$5),BQ3562*1000000-MIN(BR3562,999)*1000+BS3562-3549/100000,-1000000000-3549)</f>
        <v/>
      </c>
    </row>
    <row r="3563">
      <c r="BN3563">
        <f>IF(3550&lt;$U$9,INT(3550/($U$7*$U$8))+1,1)</f>
        <v/>
      </c>
      <c r="BO3563">
        <f>IF(3550&lt;$U$9,MOD(INT(3550/$U$8),$U$7)+1,1)</f>
        <v/>
      </c>
      <c r="BP3563">
        <f>IF(3550&lt;$U$9,MOD(3550,$U$8)+1,1)</f>
        <v/>
      </c>
      <c r="BQ3563">
        <f>IF(3550&lt;$U$9,SUMPRODUCT(($D$10:$L$10&lt;&gt;"")*(($D$9:$L$9+INT(($S$12:$AA$12+INDEX($AJ$13:$AR$162,BN3563,0)+INDEX($AT$13:$BB$162,BO3563,0)+INDEX($BD$13:$BL$162,BP3563,0))/100))&gt;=$D$10:$L$10)),0)</f>
        <v/>
      </c>
      <c r="BR3563">
        <f>IF(3550&lt;$U$9,SUMPRODUCT(($D$10:$L$10&lt;&gt;"")*(($D$10:$L$10-($D$9:$L$9+INT(($S$12:$AA$12+INDEX($AJ$13:$AR$162,BN3563,0)+INDEX($AT$13:$BB$162,BO3563,0)+INDEX($BD$13:$BL$162,BP3563,0))/100)))&gt;0)*($D$10:$L$10-($D$9:$L$9+INT(($S$12:$AA$12+INDEX($AJ$13:$AR$162,BN3563,0)+INDEX($AT$13:$BB$162,BO3563,0)+INDEX($BD$13:$BL$162,BP3563,0))/100)))),0)</f>
        <v/>
      </c>
      <c r="BS3563">
        <f>IF(3550&lt;$U$9,SUMPRODUCT(($D$9:$L$9+INT(($S$12:$AA$12+INDEX($AJ$13:$AR$162,BN3563,0)+INDEX($AT$13:$BB$162,BO3563,0)+INDEX($BD$13:$BL$162,BP3563,0))/100))),0)</f>
        <v/>
      </c>
      <c r="BT3563">
        <f>IF(AND(3550&lt;$U$9,$W$5),BQ3563*1000000-MIN(BR3563,999)*1000+BS3563-3550/100000,-1000000000-3550)</f>
        <v/>
      </c>
    </row>
    <row r="3564">
      <c r="BN3564">
        <f>IF(3551&lt;$U$9,INT(3551/($U$7*$U$8))+1,1)</f>
        <v/>
      </c>
      <c r="BO3564">
        <f>IF(3551&lt;$U$9,MOD(INT(3551/$U$8),$U$7)+1,1)</f>
        <v/>
      </c>
      <c r="BP3564">
        <f>IF(3551&lt;$U$9,MOD(3551,$U$8)+1,1)</f>
        <v/>
      </c>
      <c r="BQ3564">
        <f>IF(3551&lt;$U$9,SUMPRODUCT(($D$10:$L$10&lt;&gt;"")*(($D$9:$L$9+INT(($S$12:$AA$12+INDEX($AJ$13:$AR$162,BN3564,0)+INDEX($AT$13:$BB$162,BO3564,0)+INDEX($BD$13:$BL$162,BP3564,0))/100))&gt;=$D$10:$L$10)),0)</f>
        <v/>
      </c>
      <c r="BR3564">
        <f>IF(3551&lt;$U$9,SUMPRODUCT(($D$10:$L$10&lt;&gt;"")*(($D$10:$L$10-($D$9:$L$9+INT(($S$12:$AA$12+INDEX($AJ$13:$AR$162,BN3564,0)+INDEX($AT$13:$BB$162,BO3564,0)+INDEX($BD$13:$BL$162,BP3564,0))/100)))&gt;0)*($D$10:$L$10-($D$9:$L$9+INT(($S$12:$AA$12+INDEX($AJ$13:$AR$162,BN3564,0)+INDEX($AT$13:$BB$162,BO3564,0)+INDEX($BD$13:$BL$162,BP3564,0))/100)))),0)</f>
        <v/>
      </c>
      <c r="BS3564">
        <f>IF(3551&lt;$U$9,SUMPRODUCT(($D$9:$L$9+INT(($S$12:$AA$12+INDEX($AJ$13:$AR$162,BN3564,0)+INDEX($AT$13:$BB$162,BO3564,0)+INDEX($BD$13:$BL$162,BP3564,0))/100))),0)</f>
        <v/>
      </c>
      <c r="BT3564">
        <f>IF(AND(3551&lt;$U$9,$W$5),BQ3564*1000000-MIN(BR3564,999)*1000+BS3564-3551/100000,-1000000000-3551)</f>
        <v/>
      </c>
    </row>
    <row r="3565">
      <c r="BN3565">
        <f>IF(3552&lt;$U$9,INT(3552/($U$7*$U$8))+1,1)</f>
        <v/>
      </c>
      <c r="BO3565">
        <f>IF(3552&lt;$U$9,MOD(INT(3552/$U$8),$U$7)+1,1)</f>
        <v/>
      </c>
      <c r="BP3565">
        <f>IF(3552&lt;$U$9,MOD(3552,$U$8)+1,1)</f>
        <v/>
      </c>
      <c r="BQ3565">
        <f>IF(3552&lt;$U$9,SUMPRODUCT(($D$10:$L$10&lt;&gt;"")*(($D$9:$L$9+INT(($S$12:$AA$12+INDEX($AJ$13:$AR$162,BN3565,0)+INDEX($AT$13:$BB$162,BO3565,0)+INDEX($BD$13:$BL$162,BP3565,0))/100))&gt;=$D$10:$L$10)),0)</f>
        <v/>
      </c>
      <c r="BR3565">
        <f>IF(3552&lt;$U$9,SUMPRODUCT(($D$10:$L$10&lt;&gt;"")*(($D$10:$L$10-($D$9:$L$9+INT(($S$12:$AA$12+INDEX($AJ$13:$AR$162,BN3565,0)+INDEX($AT$13:$BB$162,BO3565,0)+INDEX($BD$13:$BL$162,BP3565,0))/100)))&gt;0)*($D$10:$L$10-($D$9:$L$9+INT(($S$12:$AA$12+INDEX($AJ$13:$AR$162,BN3565,0)+INDEX($AT$13:$BB$162,BO3565,0)+INDEX($BD$13:$BL$162,BP3565,0))/100)))),0)</f>
        <v/>
      </c>
      <c r="BS3565">
        <f>IF(3552&lt;$U$9,SUMPRODUCT(($D$9:$L$9+INT(($S$12:$AA$12+INDEX($AJ$13:$AR$162,BN3565,0)+INDEX($AT$13:$BB$162,BO3565,0)+INDEX($BD$13:$BL$162,BP3565,0))/100))),0)</f>
        <v/>
      </c>
      <c r="BT3565">
        <f>IF(AND(3552&lt;$U$9,$W$5),BQ3565*1000000-MIN(BR3565,999)*1000+BS3565-3552/100000,-1000000000-3552)</f>
        <v/>
      </c>
    </row>
    <row r="3566">
      <c r="BN3566">
        <f>IF(3553&lt;$U$9,INT(3553/($U$7*$U$8))+1,1)</f>
        <v/>
      </c>
      <c r="BO3566">
        <f>IF(3553&lt;$U$9,MOD(INT(3553/$U$8),$U$7)+1,1)</f>
        <v/>
      </c>
      <c r="BP3566">
        <f>IF(3553&lt;$U$9,MOD(3553,$U$8)+1,1)</f>
        <v/>
      </c>
      <c r="BQ3566">
        <f>IF(3553&lt;$U$9,SUMPRODUCT(($D$10:$L$10&lt;&gt;"")*(($D$9:$L$9+INT(($S$12:$AA$12+INDEX($AJ$13:$AR$162,BN3566,0)+INDEX($AT$13:$BB$162,BO3566,0)+INDEX($BD$13:$BL$162,BP3566,0))/100))&gt;=$D$10:$L$10)),0)</f>
        <v/>
      </c>
      <c r="BR3566">
        <f>IF(3553&lt;$U$9,SUMPRODUCT(($D$10:$L$10&lt;&gt;"")*(($D$10:$L$10-($D$9:$L$9+INT(($S$12:$AA$12+INDEX($AJ$13:$AR$162,BN3566,0)+INDEX($AT$13:$BB$162,BO3566,0)+INDEX($BD$13:$BL$162,BP3566,0))/100)))&gt;0)*($D$10:$L$10-($D$9:$L$9+INT(($S$12:$AA$12+INDEX($AJ$13:$AR$162,BN3566,0)+INDEX($AT$13:$BB$162,BO3566,0)+INDEX($BD$13:$BL$162,BP3566,0))/100)))),0)</f>
        <v/>
      </c>
      <c r="BS3566">
        <f>IF(3553&lt;$U$9,SUMPRODUCT(($D$9:$L$9+INT(($S$12:$AA$12+INDEX($AJ$13:$AR$162,BN3566,0)+INDEX($AT$13:$BB$162,BO3566,0)+INDEX($BD$13:$BL$162,BP3566,0))/100))),0)</f>
        <v/>
      </c>
      <c r="BT3566">
        <f>IF(AND(3553&lt;$U$9,$W$5),BQ3566*1000000-MIN(BR3566,999)*1000+BS3566-3553/100000,-1000000000-3553)</f>
        <v/>
      </c>
    </row>
    <row r="3567">
      <c r="BN3567">
        <f>IF(3554&lt;$U$9,INT(3554/($U$7*$U$8))+1,1)</f>
        <v/>
      </c>
      <c r="BO3567">
        <f>IF(3554&lt;$U$9,MOD(INT(3554/$U$8),$U$7)+1,1)</f>
        <v/>
      </c>
      <c r="BP3567">
        <f>IF(3554&lt;$U$9,MOD(3554,$U$8)+1,1)</f>
        <v/>
      </c>
      <c r="BQ3567">
        <f>IF(3554&lt;$U$9,SUMPRODUCT(($D$10:$L$10&lt;&gt;"")*(($D$9:$L$9+INT(($S$12:$AA$12+INDEX($AJ$13:$AR$162,BN3567,0)+INDEX($AT$13:$BB$162,BO3567,0)+INDEX($BD$13:$BL$162,BP3567,0))/100))&gt;=$D$10:$L$10)),0)</f>
        <v/>
      </c>
      <c r="BR3567">
        <f>IF(3554&lt;$U$9,SUMPRODUCT(($D$10:$L$10&lt;&gt;"")*(($D$10:$L$10-($D$9:$L$9+INT(($S$12:$AA$12+INDEX($AJ$13:$AR$162,BN3567,0)+INDEX($AT$13:$BB$162,BO3567,0)+INDEX($BD$13:$BL$162,BP3567,0))/100)))&gt;0)*($D$10:$L$10-($D$9:$L$9+INT(($S$12:$AA$12+INDEX($AJ$13:$AR$162,BN3567,0)+INDEX($AT$13:$BB$162,BO3567,0)+INDEX($BD$13:$BL$162,BP3567,0))/100)))),0)</f>
        <v/>
      </c>
      <c r="BS3567">
        <f>IF(3554&lt;$U$9,SUMPRODUCT(($D$9:$L$9+INT(($S$12:$AA$12+INDEX($AJ$13:$AR$162,BN3567,0)+INDEX($AT$13:$BB$162,BO3567,0)+INDEX($BD$13:$BL$162,BP3567,0))/100))),0)</f>
        <v/>
      </c>
      <c r="BT3567">
        <f>IF(AND(3554&lt;$U$9,$W$5),BQ3567*1000000-MIN(BR3567,999)*1000+BS3567-3554/100000,-1000000000-3554)</f>
        <v/>
      </c>
    </row>
    <row r="3568">
      <c r="BN3568">
        <f>IF(3555&lt;$U$9,INT(3555/($U$7*$U$8))+1,1)</f>
        <v/>
      </c>
      <c r="BO3568">
        <f>IF(3555&lt;$U$9,MOD(INT(3555/$U$8),$U$7)+1,1)</f>
        <v/>
      </c>
      <c r="BP3568">
        <f>IF(3555&lt;$U$9,MOD(3555,$U$8)+1,1)</f>
        <v/>
      </c>
      <c r="BQ3568">
        <f>IF(3555&lt;$U$9,SUMPRODUCT(($D$10:$L$10&lt;&gt;"")*(($D$9:$L$9+INT(($S$12:$AA$12+INDEX($AJ$13:$AR$162,BN3568,0)+INDEX($AT$13:$BB$162,BO3568,0)+INDEX($BD$13:$BL$162,BP3568,0))/100))&gt;=$D$10:$L$10)),0)</f>
        <v/>
      </c>
      <c r="BR3568">
        <f>IF(3555&lt;$U$9,SUMPRODUCT(($D$10:$L$10&lt;&gt;"")*(($D$10:$L$10-($D$9:$L$9+INT(($S$12:$AA$12+INDEX($AJ$13:$AR$162,BN3568,0)+INDEX($AT$13:$BB$162,BO3568,0)+INDEX($BD$13:$BL$162,BP3568,0))/100)))&gt;0)*($D$10:$L$10-($D$9:$L$9+INT(($S$12:$AA$12+INDEX($AJ$13:$AR$162,BN3568,0)+INDEX($AT$13:$BB$162,BO3568,0)+INDEX($BD$13:$BL$162,BP3568,0))/100)))),0)</f>
        <v/>
      </c>
      <c r="BS3568">
        <f>IF(3555&lt;$U$9,SUMPRODUCT(($D$9:$L$9+INT(($S$12:$AA$12+INDEX($AJ$13:$AR$162,BN3568,0)+INDEX($AT$13:$BB$162,BO3568,0)+INDEX($BD$13:$BL$162,BP3568,0))/100))),0)</f>
        <v/>
      </c>
      <c r="BT3568">
        <f>IF(AND(3555&lt;$U$9,$W$5),BQ3568*1000000-MIN(BR3568,999)*1000+BS3568-3555/100000,-1000000000-3555)</f>
        <v/>
      </c>
    </row>
    <row r="3569">
      <c r="BN3569">
        <f>IF(3556&lt;$U$9,INT(3556/($U$7*$U$8))+1,1)</f>
        <v/>
      </c>
      <c r="BO3569">
        <f>IF(3556&lt;$U$9,MOD(INT(3556/$U$8),$U$7)+1,1)</f>
        <v/>
      </c>
      <c r="BP3569">
        <f>IF(3556&lt;$U$9,MOD(3556,$U$8)+1,1)</f>
        <v/>
      </c>
      <c r="BQ3569">
        <f>IF(3556&lt;$U$9,SUMPRODUCT(($D$10:$L$10&lt;&gt;"")*(($D$9:$L$9+INT(($S$12:$AA$12+INDEX($AJ$13:$AR$162,BN3569,0)+INDEX($AT$13:$BB$162,BO3569,0)+INDEX($BD$13:$BL$162,BP3569,0))/100))&gt;=$D$10:$L$10)),0)</f>
        <v/>
      </c>
      <c r="BR3569">
        <f>IF(3556&lt;$U$9,SUMPRODUCT(($D$10:$L$10&lt;&gt;"")*(($D$10:$L$10-($D$9:$L$9+INT(($S$12:$AA$12+INDEX($AJ$13:$AR$162,BN3569,0)+INDEX($AT$13:$BB$162,BO3569,0)+INDEX($BD$13:$BL$162,BP3569,0))/100)))&gt;0)*($D$10:$L$10-($D$9:$L$9+INT(($S$12:$AA$12+INDEX($AJ$13:$AR$162,BN3569,0)+INDEX($AT$13:$BB$162,BO3569,0)+INDEX($BD$13:$BL$162,BP3569,0))/100)))),0)</f>
        <v/>
      </c>
      <c r="BS3569">
        <f>IF(3556&lt;$U$9,SUMPRODUCT(($D$9:$L$9+INT(($S$12:$AA$12+INDEX($AJ$13:$AR$162,BN3569,0)+INDEX($AT$13:$BB$162,BO3569,0)+INDEX($BD$13:$BL$162,BP3569,0))/100))),0)</f>
        <v/>
      </c>
      <c r="BT3569">
        <f>IF(AND(3556&lt;$U$9,$W$5),BQ3569*1000000-MIN(BR3569,999)*1000+BS3569-3556/100000,-1000000000-3556)</f>
        <v/>
      </c>
    </row>
    <row r="3570">
      <c r="BN3570">
        <f>IF(3557&lt;$U$9,INT(3557/($U$7*$U$8))+1,1)</f>
        <v/>
      </c>
      <c r="BO3570">
        <f>IF(3557&lt;$U$9,MOD(INT(3557/$U$8),$U$7)+1,1)</f>
        <v/>
      </c>
      <c r="BP3570">
        <f>IF(3557&lt;$U$9,MOD(3557,$U$8)+1,1)</f>
        <v/>
      </c>
      <c r="BQ3570">
        <f>IF(3557&lt;$U$9,SUMPRODUCT(($D$10:$L$10&lt;&gt;"")*(($D$9:$L$9+INT(($S$12:$AA$12+INDEX($AJ$13:$AR$162,BN3570,0)+INDEX($AT$13:$BB$162,BO3570,0)+INDEX($BD$13:$BL$162,BP3570,0))/100))&gt;=$D$10:$L$10)),0)</f>
        <v/>
      </c>
      <c r="BR3570">
        <f>IF(3557&lt;$U$9,SUMPRODUCT(($D$10:$L$10&lt;&gt;"")*(($D$10:$L$10-($D$9:$L$9+INT(($S$12:$AA$12+INDEX($AJ$13:$AR$162,BN3570,0)+INDEX($AT$13:$BB$162,BO3570,0)+INDEX($BD$13:$BL$162,BP3570,0))/100)))&gt;0)*($D$10:$L$10-($D$9:$L$9+INT(($S$12:$AA$12+INDEX($AJ$13:$AR$162,BN3570,0)+INDEX($AT$13:$BB$162,BO3570,0)+INDEX($BD$13:$BL$162,BP3570,0))/100)))),0)</f>
        <v/>
      </c>
      <c r="BS3570">
        <f>IF(3557&lt;$U$9,SUMPRODUCT(($D$9:$L$9+INT(($S$12:$AA$12+INDEX($AJ$13:$AR$162,BN3570,0)+INDEX($AT$13:$BB$162,BO3570,0)+INDEX($BD$13:$BL$162,BP3570,0))/100))),0)</f>
        <v/>
      </c>
      <c r="BT3570">
        <f>IF(AND(3557&lt;$U$9,$W$5),BQ3570*1000000-MIN(BR3570,999)*1000+BS3570-3557/100000,-1000000000-3557)</f>
        <v/>
      </c>
    </row>
    <row r="3571">
      <c r="BN3571">
        <f>IF(3558&lt;$U$9,INT(3558/($U$7*$U$8))+1,1)</f>
        <v/>
      </c>
      <c r="BO3571">
        <f>IF(3558&lt;$U$9,MOD(INT(3558/$U$8),$U$7)+1,1)</f>
        <v/>
      </c>
      <c r="BP3571">
        <f>IF(3558&lt;$U$9,MOD(3558,$U$8)+1,1)</f>
        <v/>
      </c>
      <c r="BQ3571">
        <f>IF(3558&lt;$U$9,SUMPRODUCT(($D$10:$L$10&lt;&gt;"")*(($D$9:$L$9+INT(($S$12:$AA$12+INDEX($AJ$13:$AR$162,BN3571,0)+INDEX($AT$13:$BB$162,BO3571,0)+INDEX($BD$13:$BL$162,BP3571,0))/100))&gt;=$D$10:$L$10)),0)</f>
        <v/>
      </c>
      <c r="BR3571">
        <f>IF(3558&lt;$U$9,SUMPRODUCT(($D$10:$L$10&lt;&gt;"")*(($D$10:$L$10-($D$9:$L$9+INT(($S$12:$AA$12+INDEX($AJ$13:$AR$162,BN3571,0)+INDEX($AT$13:$BB$162,BO3571,0)+INDEX($BD$13:$BL$162,BP3571,0))/100)))&gt;0)*($D$10:$L$10-($D$9:$L$9+INT(($S$12:$AA$12+INDEX($AJ$13:$AR$162,BN3571,0)+INDEX($AT$13:$BB$162,BO3571,0)+INDEX($BD$13:$BL$162,BP3571,0))/100)))),0)</f>
        <v/>
      </c>
      <c r="BS3571">
        <f>IF(3558&lt;$U$9,SUMPRODUCT(($D$9:$L$9+INT(($S$12:$AA$12+INDEX($AJ$13:$AR$162,BN3571,0)+INDEX($AT$13:$BB$162,BO3571,0)+INDEX($BD$13:$BL$162,BP3571,0))/100))),0)</f>
        <v/>
      </c>
      <c r="BT3571">
        <f>IF(AND(3558&lt;$U$9,$W$5),BQ3571*1000000-MIN(BR3571,999)*1000+BS3571-3558/100000,-1000000000-3558)</f>
        <v/>
      </c>
    </row>
    <row r="3572">
      <c r="BN3572">
        <f>IF(3559&lt;$U$9,INT(3559/($U$7*$U$8))+1,1)</f>
        <v/>
      </c>
      <c r="BO3572">
        <f>IF(3559&lt;$U$9,MOD(INT(3559/$U$8),$U$7)+1,1)</f>
        <v/>
      </c>
      <c r="BP3572">
        <f>IF(3559&lt;$U$9,MOD(3559,$U$8)+1,1)</f>
        <v/>
      </c>
      <c r="BQ3572">
        <f>IF(3559&lt;$U$9,SUMPRODUCT(($D$10:$L$10&lt;&gt;"")*(($D$9:$L$9+INT(($S$12:$AA$12+INDEX($AJ$13:$AR$162,BN3572,0)+INDEX($AT$13:$BB$162,BO3572,0)+INDEX($BD$13:$BL$162,BP3572,0))/100))&gt;=$D$10:$L$10)),0)</f>
        <v/>
      </c>
      <c r="BR3572">
        <f>IF(3559&lt;$U$9,SUMPRODUCT(($D$10:$L$10&lt;&gt;"")*(($D$10:$L$10-($D$9:$L$9+INT(($S$12:$AA$12+INDEX($AJ$13:$AR$162,BN3572,0)+INDEX($AT$13:$BB$162,BO3572,0)+INDEX($BD$13:$BL$162,BP3572,0))/100)))&gt;0)*($D$10:$L$10-($D$9:$L$9+INT(($S$12:$AA$12+INDEX($AJ$13:$AR$162,BN3572,0)+INDEX($AT$13:$BB$162,BO3572,0)+INDEX($BD$13:$BL$162,BP3572,0))/100)))),0)</f>
        <v/>
      </c>
      <c r="BS3572">
        <f>IF(3559&lt;$U$9,SUMPRODUCT(($D$9:$L$9+INT(($S$12:$AA$12+INDEX($AJ$13:$AR$162,BN3572,0)+INDEX($AT$13:$BB$162,BO3572,0)+INDEX($BD$13:$BL$162,BP3572,0))/100))),0)</f>
        <v/>
      </c>
      <c r="BT3572">
        <f>IF(AND(3559&lt;$U$9,$W$5),BQ3572*1000000-MIN(BR3572,999)*1000+BS3572-3559/100000,-1000000000-3559)</f>
        <v/>
      </c>
    </row>
    <row r="3573">
      <c r="BN3573">
        <f>IF(3560&lt;$U$9,INT(3560/($U$7*$U$8))+1,1)</f>
        <v/>
      </c>
      <c r="BO3573">
        <f>IF(3560&lt;$U$9,MOD(INT(3560/$U$8),$U$7)+1,1)</f>
        <v/>
      </c>
      <c r="BP3573">
        <f>IF(3560&lt;$U$9,MOD(3560,$U$8)+1,1)</f>
        <v/>
      </c>
      <c r="BQ3573">
        <f>IF(3560&lt;$U$9,SUMPRODUCT(($D$10:$L$10&lt;&gt;"")*(($D$9:$L$9+INT(($S$12:$AA$12+INDEX($AJ$13:$AR$162,BN3573,0)+INDEX($AT$13:$BB$162,BO3573,0)+INDEX($BD$13:$BL$162,BP3573,0))/100))&gt;=$D$10:$L$10)),0)</f>
        <v/>
      </c>
      <c r="BR3573">
        <f>IF(3560&lt;$U$9,SUMPRODUCT(($D$10:$L$10&lt;&gt;"")*(($D$10:$L$10-($D$9:$L$9+INT(($S$12:$AA$12+INDEX($AJ$13:$AR$162,BN3573,0)+INDEX($AT$13:$BB$162,BO3573,0)+INDEX($BD$13:$BL$162,BP3573,0))/100)))&gt;0)*($D$10:$L$10-($D$9:$L$9+INT(($S$12:$AA$12+INDEX($AJ$13:$AR$162,BN3573,0)+INDEX($AT$13:$BB$162,BO3573,0)+INDEX($BD$13:$BL$162,BP3573,0))/100)))),0)</f>
        <v/>
      </c>
      <c r="BS3573">
        <f>IF(3560&lt;$U$9,SUMPRODUCT(($D$9:$L$9+INT(($S$12:$AA$12+INDEX($AJ$13:$AR$162,BN3573,0)+INDEX($AT$13:$BB$162,BO3573,0)+INDEX($BD$13:$BL$162,BP3573,0))/100))),0)</f>
        <v/>
      </c>
      <c r="BT3573">
        <f>IF(AND(3560&lt;$U$9,$W$5),BQ3573*1000000-MIN(BR3573,999)*1000+BS3573-3560/100000,-1000000000-3560)</f>
        <v/>
      </c>
    </row>
    <row r="3574">
      <c r="BN3574">
        <f>IF(3561&lt;$U$9,INT(3561/($U$7*$U$8))+1,1)</f>
        <v/>
      </c>
      <c r="BO3574">
        <f>IF(3561&lt;$U$9,MOD(INT(3561/$U$8),$U$7)+1,1)</f>
        <v/>
      </c>
      <c r="BP3574">
        <f>IF(3561&lt;$U$9,MOD(3561,$U$8)+1,1)</f>
        <v/>
      </c>
      <c r="BQ3574">
        <f>IF(3561&lt;$U$9,SUMPRODUCT(($D$10:$L$10&lt;&gt;"")*(($D$9:$L$9+INT(($S$12:$AA$12+INDEX($AJ$13:$AR$162,BN3574,0)+INDEX($AT$13:$BB$162,BO3574,0)+INDEX($BD$13:$BL$162,BP3574,0))/100))&gt;=$D$10:$L$10)),0)</f>
        <v/>
      </c>
      <c r="BR3574">
        <f>IF(3561&lt;$U$9,SUMPRODUCT(($D$10:$L$10&lt;&gt;"")*(($D$10:$L$10-($D$9:$L$9+INT(($S$12:$AA$12+INDEX($AJ$13:$AR$162,BN3574,0)+INDEX($AT$13:$BB$162,BO3574,0)+INDEX($BD$13:$BL$162,BP3574,0))/100)))&gt;0)*($D$10:$L$10-($D$9:$L$9+INT(($S$12:$AA$12+INDEX($AJ$13:$AR$162,BN3574,0)+INDEX($AT$13:$BB$162,BO3574,0)+INDEX($BD$13:$BL$162,BP3574,0))/100)))),0)</f>
        <v/>
      </c>
      <c r="BS3574">
        <f>IF(3561&lt;$U$9,SUMPRODUCT(($D$9:$L$9+INT(($S$12:$AA$12+INDEX($AJ$13:$AR$162,BN3574,0)+INDEX($AT$13:$BB$162,BO3574,0)+INDEX($BD$13:$BL$162,BP3574,0))/100))),0)</f>
        <v/>
      </c>
      <c r="BT3574">
        <f>IF(AND(3561&lt;$U$9,$W$5),BQ3574*1000000-MIN(BR3574,999)*1000+BS3574-3561/100000,-1000000000-3561)</f>
        <v/>
      </c>
    </row>
    <row r="3575">
      <c r="BN3575">
        <f>IF(3562&lt;$U$9,INT(3562/($U$7*$U$8))+1,1)</f>
        <v/>
      </c>
      <c r="BO3575">
        <f>IF(3562&lt;$U$9,MOD(INT(3562/$U$8),$U$7)+1,1)</f>
        <v/>
      </c>
      <c r="BP3575">
        <f>IF(3562&lt;$U$9,MOD(3562,$U$8)+1,1)</f>
        <v/>
      </c>
      <c r="BQ3575">
        <f>IF(3562&lt;$U$9,SUMPRODUCT(($D$10:$L$10&lt;&gt;"")*(($D$9:$L$9+INT(($S$12:$AA$12+INDEX($AJ$13:$AR$162,BN3575,0)+INDEX($AT$13:$BB$162,BO3575,0)+INDEX($BD$13:$BL$162,BP3575,0))/100))&gt;=$D$10:$L$10)),0)</f>
        <v/>
      </c>
      <c r="BR3575">
        <f>IF(3562&lt;$U$9,SUMPRODUCT(($D$10:$L$10&lt;&gt;"")*(($D$10:$L$10-($D$9:$L$9+INT(($S$12:$AA$12+INDEX($AJ$13:$AR$162,BN3575,0)+INDEX($AT$13:$BB$162,BO3575,0)+INDEX($BD$13:$BL$162,BP3575,0))/100)))&gt;0)*($D$10:$L$10-($D$9:$L$9+INT(($S$12:$AA$12+INDEX($AJ$13:$AR$162,BN3575,0)+INDEX($AT$13:$BB$162,BO3575,0)+INDEX($BD$13:$BL$162,BP3575,0))/100)))),0)</f>
        <v/>
      </c>
      <c r="BS3575">
        <f>IF(3562&lt;$U$9,SUMPRODUCT(($D$9:$L$9+INT(($S$12:$AA$12+INDEX($AJ$13:$AR$162,BN3575,0)+INDEX($AT$13:$BB$162,BO3575,0)+INDEX($BD$13:$BL$162,BP3575,0))/100))),0)</f>
        <v/>
      </c>
      <c r="BT3575">
        <f>IF(AND(3562&lt;$U$9,$W$5),BQ3575*1000000-MIN(BR3575,999)*1000+BS3575-3562/100000,-1000000000-3562)</f>
        <v/>
      </c>
    </row>
    <row r="3576">
      <c r="BN3576">
        <f>IF(3563&lt;$U$9,INT(3563/($U$7*$U$8))+1,1)</f>
        <v/>
      </c>
      <c r="BO3576">
        <f>IF(3563&lt;$U$9,MOD(INT(3563/$U$8),$U$7)+1,1)</f>
        <v/>
      </c>
      <c r="BP3576">
        <f>IF(3563&lt;$U$9,MOD(3563,$U$8)+1,1)</f>
        <v/>
      </c>
      <c r="BQ3576">
        <f>IF(3563&lt;$U$9,SUMPRODUCT(($D$10:$L$10&lt;&gt;"")*(($D$9:$L$9+INT(($S$12:$AA$12+INDEX($AJ$13:$AR$162,BN3576,0)+INDEX($AT$13:$BB$162,BO3576,0)+INDEX($BD$13:$BL$162,BP3576,0))/100))&gt;=$D$10:$L$10)),0)</f>
        <v/>
      </c>
      <c r="BR3576">
        <f>IF(3563&lt;$U$9,SUMPRODUCT(($D$10:$L$10&lt;&gt;"")*(($D$10:$L$10-($D$9:$L$9+INT(($S$12:$AA$12+INDEX($AJ$13:$AR$162,BN3576,0)+INDEX($AT$13:$BB$162,BO3576,0)+INDEX($BD$13:$BL$162,BP3576,0))/100)))&gt;0)*($D$10:$L$10-($D$9:$L$9+INT(($S$12:$AA$12+INDEX($AJ$13:$AR$162,BN3576,0)+INDEX($AT$13:$BB$162,BO3576,0)+INDEX($BD$13:$BL$162,BP3576,0))/100)))),0)</f>
        <v/>
      </c>
      <c r="BS3576">
        <f>IF(3563&lt;$U$9,SUMPRODUCT(($D$9:$L$9+INT(($S$12:$AA$12+INDEX($AJ$13:$AR$162,BN3576,0)+INDEX($AT$13:$BB$162,BO3576,0)+INDEX($BD$13:$BL$162,BP3576,0))/100))),0)</f>
        <v/>
      </c>
      <c r="BT3576">
        <f>IF(AND(3563&lt;$U$9,$W$5),BQ3576*1000000-MIN(BR3576,999)*1000+BS3576-3563/100000,-1000000000-3563)</f>
        <v/>
      </c>
    </row>
    <row r="3577">
      <c r="BN3577">
        <f>IF(3564&lt;$U$9,INT(3564/($U$7*$U$8))+1,1)</f>
        <v/>
      </c>
      <c r="BO3577">
        <f>IF(3564&lt;$U$9,MOD(INT(3564/$U$8),$U$7)+1,1)</f>
        <v/>
      </c>
      <c r="BP3577">
        <f>IF(3564&lt;$U$9,MOD(3564,$U$8)+1,1)</f>
        <v/>
      </c>
      <c r="BQ3577">
        <f>IF(3564&lt;$U$9,SUMPRODUCT(($D$10:$L$10&lt;&gt;"")*(($D$9:$L$9+INT(($S$12:$AA$12+INDEX($AJ$13:$AR$162,BN3577,0)+INDEX($AT$13:$BB$162,BO3577,0)+INDEX($BD$13:$BL$162,BP3577,0))/100))&gt;=$D$10:$L$10)),0)</f>
        <v/>
      </c>
      <c r="BR3577">
        <f>IF(3564&lt;$U$9,SUMPRODUCT(($D$10:$L$10&lt;&gt;"")*(($D$10:$L$10-($D$9:$L$9+INT(($S$12:$AA$12+INDEX($AJ$13:$AR$162,BN3577,0)+INDEX($AT$13:$BB$162,BO3577,0)+INDEX($BD$13:$BL$162,BP3577,0))/100)))&gt;0)*($D$10:$L$10-($D$9:$L$9+INT(($S$12:$AA$12+INDEX($AJ$13:$AR$162,BN3577,0)+INDEX($AT$13:$BB$162,BO3577,0)+INDEX($BD$13:$BL$162,BP3577,0))/100)))),0)</f>
        <v/>
      </c>
      <c r="BS3577">
        <f>IF(3564&lt;$U$9,SUMPRODUCT(($D$9:$L$9+INT(($S$12:$AA$12+INDEX($AJ$13:$AR$162,BN3577,0)+INDEX($AT$13:$BB$162,BO3577,0)+INDEX($BD$13:$BL$162,BP3577,0))/100))),0)</f>
        <v/>
      </c>
      <c r="BT3577">
        <f>IF(AND(3564&lt;$U$9,$W$5),BQ3577*1000000-MIN(BR3577,999)*1000+BS3577-3564/100000,-1000000000-3564)</f>
        <v/>
      </c>
    </row>
    <row r="3578">
      <c r="BN3578">
        <f>IF(3565&lt;$U$9,INT(3565/($U$7*$U$8))+1,1)</f>
        <v/>
      </c>
      <c r="BO3578">
        <f>IF(3565&lt;$U$9,MOD(INT(3565/$U$8),$U$7)+1,1)</f>
        <v/>
      </c>
      <c r="BP3578">
        <f>IF(3565&lt;$U$9,MOD(3565,$U$8)+1,1)</f>
        <v/>
      </c>
      <c r="BQ3578">
        <f>IF(3565&lt;$U$9,SUMPRODUCT(($D$10:$L$10&lt;&gt;"")*(($D$9:$L$9+INT(($S$12:$AA$12+INDEX($AJ$13:$AR$162,BN3578,0)+INDEX($AT$13:$BB$162,BO3578,0)+INDEX($BD$13:$BL$162,BP3578,0))/100))&gt;=$D$10:$L$10)),0)</f>
        <v/>
      </c>
      <c r="BR3578">
        <f>IF(3565&lt;$U$9,SUMPRODUCT(($D$10:$L$10&lt;&gt;"")*(($D$10:$L$10-($D$9:$L$9+INT(($S$12:$AA$12+INDEX($AJ$13:$AR$162,BN3578,0)+INDEX($AT$13:$BB$162,BO3578,0)+INDEX($BD$13:$BL$162,BP3578,0))/100)))&gt;0)*($D$10:$L$10-($D$9:$L$9+INT(($S$12:$AA$12+INDEX($AJ$13:$AR$162,BN3578,0)+INDEX($AT$13:$BB$162,BO3578,0)+INDEX($BD$13:$BL$162,BP3578,0))/100)))),0)</f>
        <v/>
      </c>
      <c r="BS3578">
        <f>IF(3565&lt;$U$9,SUMPRODUCT(($D$9:$L$9+INT(($S$12:$AA$12+INDEX($AJ$13:$AR$162,BN3578,0)+INDEX($AT$13:$BB$162,BO3578,0)+INDEX($BD$13:$BL$162,BP3578,0))/100))),0)</f>
        <v/>
      </c>
      <c r="BT3578">
        <f>IF(AND(3565&lt;$U$9,$W$5),BQ3578*1000000-MIN(BR3578,999)*1000+BS3578-3565/100000,-1000000000-3565)</f>
        <v/>
      </c>
    </row>
    <row r="3579">
      <c r="BN3579">
        <f>IF(3566&lt;$U$9,INT(3566/($U$7*$U$8))+1,1)</f>
        <v/>
      </c>
      <c r="BO3579">
        <f>IF(3566&lt;$U$9,MOD(INT(3566/$U$8),$U$7)+1,1)</f>
        <v/>
      </c>
      <c r="BP3579">
        <f>IF(3566&lt;$U$9,MOD(3566,$U$8)+1,1)</f>
        <v/>
      </c>
      <c r="BQ3579">
        <f>IF(3566&lt;$U$9,SUMPRODUCT(($D$10:$L$10&lt;&gt;"")*(($D$9:$L$9+INT(($S$12:$AA$12+INDEX($AJ$13:$AR$162,BN3579,0)+INDEX($AT$13:$BB$162,BO3579,0)+INDEX($BD$13:$BL$162,BP3579,0))/100))&gt;=$D$10:$L$10)),0)</f>
        <v/>
      </c>
      <c r="BR3579">
        <f>IF(3566&lt;$U$9,SUMPRODUCT(($D$10:$L$10&lt;&gt;"")*(($D$10:$L$10-($D$9:$L$9+INT(($S$12:$AA$12+INDEX($AJ$13:$AR$162,BN3579,0)+INDEX($AT$13:$BB$162,BO3579,0)+INDEX($BD$13:$BL$162,BP3579,0))/100)))&gt;0)*($D$10:$L$10-($D$9:$L$9+INT(($S$12:$AA$12+INDEX($AJ$13:$AR$162,BN3579,0)+INDEX($AT$13:$BB$162,BO3579,0)+INDEX($BD$13:$BL$162,BP3579,0))/100)))),0)</f>
        <v/>
      </c>
      <c r="BS3579">
        <f>IF(3566&lt;$U$9,SUMPRODUCT(($D$9:$L$9+INT(($S$12:$AA$12+INDEX($AJ$13:$AR$162,BN3579,0)+INDEX($AT$13:$BB$162,BO3579,0)+INDEX($BD$13:$BL$162,BP3579,0))/100))),0)</f>
        <v/>
      </c>
      <c r="BT3579">
        <f>IF(AND(3566&lt;$U$9,$W$5),BQ3579*1000000-MIN(BR3579,999)*1000+BS3579-3566/100000,-1000000000-3566)</f>
        <v/>
      </c>
    </row>
    <row r="3580">
      <c r="BN3580">
        <f>IF(3567&lt;$U$9,INT(3567/($U$7*$U$8))+1,1)</f>
        <v/>
      </c>
      <c r="BO3580">
        <f>IF(3567&lt;$U$9,MOD(INT(3567/$U$8),$U$7)+1,1)</f>
        <v/>
      </c>
      <c r="BP3580">
        <f>IF(3567&lt;$U$9,MOD(3567,$U$8)+1,1)</f>
        <v/>
      </c>
      <c r="BQ3580">
        <f>IF(3567&lt;$U$9,SUMPRODUCT(($D$10:$L$10&lt;&gt;"")*(($D$9:$L$9+INT(($S$12:$AA$12+INDEX($AJ$13:$AR$162,BN3580,0)+INDEX($AT$13:$BB$162,BO3580,0)+INDEX($BD$13:$BL$162,BP3580,0))/100))&gt;=$D$10:$L$10)),0)</f>
        <v/>
      </c>
      <c r="BR3580">
        <f>IF(3567&lt;$U$9,SUMPRODUCT(($D$10:$L$10&lt;&gt;"")*(($D$10:$L$10-($D$9:$L$9+INT(($S$12:$AA$12+INDEX($AJ$13:$AR$162,BN3580,0)+INDEX($AT$13:$BB$162,BO3580,0)+INDEX($BD$13:$BL$162,BP3580,0))/100)))&gt;0)*($D$10:$L$10-($D$9:$L$9+INT(($S$12:$AA$12+INDEX($AJ$13:$AR$162,BN3580,0)+INDEX($AT$13:$BB$162,BO3580,0)+INDEX($BD$13:$BL$162,BP3580,0))/100)))),0)</f>
        <v/>
      </c>
      <c r="BS3580">
        <f>IF(3567&lt;$U$9,SUMPRODUCT(($D$9:$L$9+INT(($S$12:$AA$12+INDEX($AJ$13:$AR$162,BN3580,0)+INDEX($AT$13:$BB$162,BO3580,0)+INDEX($BD$13:$BL$162,BP3580,0))/100))),0)</f>
        <v/>
      </c>
      <c r="BT3580">
        <f>IF(AND(3567&lt;$U$9,$W$5),BQ3580*1000000-MIN(BR3580,999)*1000+BS3580-3567/100000,-1000000000-3567)</f>
        <v/>
      </c>
    </row>
    <row r="3581">
      <c r="BN3581">
        <f>IF(3568&lt;$U$9,INT(3568/($U$7*$U$8))+1,1)</f>
        <v/>
      </c>
      <c r="BO3581">
        <f>IF(3568&lt;$U$9,MOD(INT(3568/$U$8),$U$7)+1,1)</f>
        <v/>
      </c>
      <c r="BP3581">
        <f>IF(3568&lt;$U$9,MOD(3568,$U$8)+1,1)</f>
        <v/>
      </c>
      <c r="BQ3581">
        <f>IF(3568&lt;$U$9,SUMPRODUCT(($D$10:$L$10&lt;&gt;"")*(($D$9:$L$9+INT(($S$12:$AA$12+INDEX($AJ$13:$AR$162,BN3581,0)+INDEX($AT$13:$BB$162,BO3581,0)+INDEX($BD$13:$BL$162,BP3581,0))/100))&gt;=$D$10:$L$10)),0)</f>
        <v/>
      </c>
      <c r="BR3581">
        <f>IF(3568&lt;$U$9,SUMPRODUCT(($D$10:$L$10&lt;&gt;"")*(($D$10:$L$10-($D$9:$L$9+INT(($S$12:$AA$12+INDEX($AJ$13:$AR$162,BN3581,0)+INDEX($AT$13:$BB$162,BO3581,0)+INDEX($BD$13:$BL$162,BP3581,0))/100)))&gt;0)*($D$10:$L$10-($D$9:$L$9+INT(($S$12:$AA$12+INDEX($AJ$13:$AR$162,BN3581,0)+INDEX($AT$13:$BB$162,BO3581,0)+INDEX($BD$13:$BL$162,BP3581,0))/100)))),0)</f>
        <v/>
      </c>
      <c r="BS3581">
        <f>IF(3568&lt;$U$9,SUMPRODUCT(($D$9:$L$9+INT(($S$12:$AA$12+INDEX($AJ$13:$AR$162,BN3581,0)+INDEX($AT$13:$BB$162,BO3581,0)+INDEX($BD$13:$BL$162,BP3581,0))/100))),0)</f>
        <v/>
      </c>
      <c r="BT3581">
        <f>IF(AND(3568&lt;$U$9,$W$5),BQ3581*1000000-MIN(BR3581,999)*1000+BS3581-3568/100000,-1000000000-3568)</f>
        <v/>
      </c>
    </row>
    <row r="3582">
      <c r="BN3582">
        <f>IF(3569&lt;$U$9,INT(3569/($U$7*$U$8))+1,1)</f>
        <v/>
      </c>
      <c r="BO3582">
        <f>IF(3569&lt;$U$9,MOD(INT(3569/$U$8),$U$7)+1,1)</f>
        <v/>
      </c>
      <c r="BP3582">
        <f>IF(3569&lt;$U$9,MOD(3569,$U$8)+1,1)</f>
        <v/>
      </c>
      <c r="BQ3582">
        <f>IF(3569&lt;$U$9,SUMPRODUCT(($D$10:$L$10&lt;&gt;"")*(($D$9:$L$9+INT(($S$12:$AA$12+INDEX($AJ$13:$AR$162,BN3582,0)+INDEX($AT$13:$BB$162,BO3582,0)+INDEX($BD$13:$BL$162,BP3582,0))/100))&gt;=$D$10:$L$10)),0)</f>
        <v/>
      </c>
      <c r="BR3582">
        <f>IF(3569&lt;$U$9,SUMPRODUCT(($D$10:$L$10&lt;&gt;"")*(($D$10:$L$10-($D$9:$L$9+INT(($S$12:$AA$12+INDEX($AJ$13:$AR$162,BN3582,0)+INDEX($AT$13:$BB$162,BO3582,0)+INDEX($BD$13:$BL$162,BP3582,0))/100)))&gt;0)*($D$10:$L$10-($D$9:$L$9+INT(($S$12:$AA$12+INDEX($AJ$13:$AR$162,BN3582,0)+INDEX($AT$13:$BB$162,BO3582,0)+INDEX($BD$13:$BL$162,BP3582,0))/100)))),0)</f>
        <v/>
      </c>
      <c r="BS3582">
        <f>IF(3569&lt;$U$9,SUMPRODUCT(($D$9:$L$9+INT(($S$12:$AA$12+INDEX($AJ$13:$AR$162,BN3582,0)+INDEX($AT$13:$BB$162,BO3582,0)+INDEX($BD$13:$BL$162,BP3582,0))/100))),0)</f>
        <v/>
      </c>
      <c r="BT3582">
        <f>IF(AND(3569&lt;$U$9,$W$5),BQ3582*1000000-MIN(BR3582,999)*1000+BS3582-3569/100000,-1000000000-3569)</f>
        <v/>
      </c>
    </row>
    <row r="3583">
      <c r="BN3583">
        <f>IF(3570&lt;$U$9,INT(3570/($U$7*$U$8))+1,1)</f>
        <v/>
      </c>
      <c r="BO3583">
        <f>IF(3570&lt;$U$9,MOD(INT(3570/$U$8),$U$7)+1,1)</f>
        <v/>
      </c>
      <c r="BP3583">
        <f>IF(3570&lt;$U$9,MOD(3570,$U$8)+1,1)</f>
        <v/>
      </c>
      <c r="BQ3583">
        <f>IF(3570&lt;$U$9,SUMPRODUCT(($D$10:$L$10&lt;&gt;"")*(($D$9:$L$9+INT(($S$12:$AA$12+INDEX($AJ$13:$AR$162,BN3583,0)+INDEX($AT$13:$BB$162,BO3583,0)+INDEX($BD$13:$BL$162,BP3583,0))/100))&gt;=$D$10:$L$10)),0)</f>
        <v/>
      </c>
      <c r="BR3583">
        <f>IF(3570&lt;$U$9,SUMPRODUCT(($D$10:$L$10&lt;&gt;"")*(($D$10:$L$10-($D$9:$L$9+INT(($S$12:$AA$12+INDEX($AJ$13:$AR$162,BN3583,0)+INDEX($AT$13:$BB$162,BO3583,0)+INDEX($BD$13:$BL$162,BP3583,0))/100)))&gt;0)*($D$10:$L$10-($D$9:$L$9+INT(($S$12:$AA$12+INDEX($AJ$13:$AR$162,BN3583,0)+INDEX($AT$13:$BB$162,BO3583,0)+INDEX($BD$13:$BL$162,BP3583,0))/100)))),0)</f>
        <v/>
      </c>
      <c r="BS3583">
        <f>IF(3570&lt;$U$9,SUMPRODUCT(($D$9:$L$9+INT(($S$12:$AA$12+INDEX($AJ$13:$AR$162,BN3583,0)+INDEX($AT$13:$BB$162,BO3583,0)+INDEX($BD$13:$BL$162,BP3583,0))/100))),0)</f>
        <v/>
      </c>
      <c r="BT3583">
        <f>IF(AND(3570&lt;$U$9,$W$5),BQ3583*1000000-MIN(BR3583,999)*1000+BS3583-3570/100000,-1000000000-3570)</f>
        <v/>
      </c>
    </row>
    <row r="3584">
      <c r="BN3584">
        <f>IF(3571&lt;$U$9,INT(3571/($U$7*$U$8))+1,1)</f>
        <v/>
      </c>
      <c r="BO3584">
        <f>IF(3571&lt;$U$9,MOD(INT(3571/$U$8),$U$7)+1,1)</f>
        <v/>
      </c>
      <c r="BP3584">
        <f>IF(3571&lt;$U$9,MOD(3571,$U$8)+1,1)</f>
        <v/>
      </c>
      <c r="BQ3584">
        <f>IF(3571&lt;$U$9,SUMPRODUCT(($D$10:$L$10&lt;&gt;"")*(($D$9:$L$9+INT(($S$12:$AA$12+INDEX($AJ$13:$AR$162,BN3584,0)+INDEX($AT$13:$BB$162,BO3584,0)+INDEX($BD$13:$BL$162,BP3584,0))/100))&gt;=$D$10:$L$10)),0)</f>
        <v/>
      </c>
      <c r="BR3584">
        <f>IF(3571&lt;$U$9,SUMPRODUCT(($D$10:$L$10&lt;&gt;"")*(($D$10:$L$10-($D$9:$L$9+INT(($S$12:$AA$12+INDEX($AJ$13:$AR$162,BN3584,0)+INDEX($AT$13:$BB$162,BO3584,0)+INDEX($BD$13:$BL$162,BP3584,0))/100)))&gt;0)*($D$10:$L$10-($D$9:$L$9+INT(($S$12:$AA$12+INDEX($AJ$13:$AR$162,BN3584,0)+INDEX($AT$13:$BB$162,BO3584,0)+INDEX($BD$13:$BL$162,BP3584,0))/100)))),0)</f>
        <v/>
      </c>
      <c r="BS3584">
        <f>IF(3571&lt;$U$9,SUMPRODUCT(($D$9:$L$9+INT(($S$12:$AA$12+INDEX($AJ$13:$AR$162,BN3584,0)+INDEX($AT$13:$BB$162,BO3584,0)+INDEX($BD$13:$BL$162,BP3584,0))/100))),0)</f>
        <v/>
      </c>
      <c r="BT3584">
        <f>IF(AND(3571&lt;$U$9,$W$5),BQ3584*1000000-MIN(BR3584,999)*1000+BS3584-3571/100000,-1000000000-3571)</f>
        <v/>
      </c>
    </row>
    <row r="3585">
      <c r="BN3585">
        <f>IF(3572&lt;$U$9,INT(3572/($U$7*$U$8))+1,1)</f>
        <v/>
      </c>
      <c r="BO3585">
        <f>IF(3572&lt;$U$9,MOD(INT(3572/$U$8),$U$7)+1,1)</f>
        <v/>
      </c>
      <c r="BP3585">
        <f>IF(3572&lt;$U$9,MOD(3572,$U$8)+1,1)</f>
        <v/>
      </c>
      <c r="BQ3585">
        <f>IF(3572&lt;$U$9,SUMPRODUCT(($D$10:$L$10&lt;&gt;"")*(($D$9:$L$9+INT(($S$12:$AA$12+INDEX($AJ$13:$AR$162,BN3585,0)+INDEX($AT$13:$BB$162,BO3585,0)+INDEX($BD$13:$BL$162,BP3585,0))/100))&gt;=$D$10:$L$10)),0)</f>
        <v/>
      </c>
      <c r="BR3585">
        <f>IF(3572&lt;$U$9,SUMPRODUCT(($D$10:$L$10&lt;&gt;"")*(($D$10:$L$10-($D$9:$L$9+INT(($S$12:$AA$12+INDEX($AJ$13:$AR$162,BN3585,0)+INDEX($AT$13:$BB$162,BO3585,0)+INDEX($BD$13:$BL$162,BP3585,0))/100)))&gt;0)*($D$10:$L$10-($D$9:$L$9+INT(($S$12:$AA$12+INDEX($AJ$13:$AR$162,BN3585,0)+INDEX($AT$13:$BB$162,BO3585,0)+INDEX($BD$13:$BL$162,BP3585,0))/100)))),0)</f>
        <v/>
      </c>
      <c r="BS3585">
        <f>IF(3572&lt;$U$9,SUMPRODUCT(($D$9:$L$9+INT(($S$12:$AA$12+INDEX($AJ$13:$AR$162,BN3585,0)+INDEX($AT$13:$BB$162,BO3585,0)+INDEX($BD$13:$BL$162,BP3585,0))/100))),0)</f>
        <v/>
      </c>
      <c r="BT3585">
        <f>IF(AND(3572&lt;$U$9,$W$5),BQ3585*1000000-MIN(BR3585,999)*1000+BS3585-3572/100000,-1000000000-3572)</f>
        <v/>
      </c>
    </row>
    <row r="3586">
      <c r="BN3586">
        <f>IF(3573&lt;$U$9,INT(3573/($U$7*$U$8))+1,1)</f>
        <v/>
      </c>
      <c r="BO3586">
        <f>IF(3573&lt;$U$9,MOD(INT(3573/$U$8),$U$7)+1,1)</f>
        <v/>
      </c>
      <c r="BP3586">
        <f>IF(3573&lt;$U$9,MOD(3573,$U$8)+1,1)</f>
        <v/>
      </c>
      <c r="BQ3586">
        <f>IF(3573&lt;$U$9,SUMPRODUCT(($D$10:$L$10&lt;&gt;"")*(($D$9:$L$9+INT(($S$12:$AA$12+INDEX($AJ$13:$AR$162,BN3586,0)+INDEX($AT$13:$BB$162,BO3586,0)+INDEX($BD$13:$BL$162,BP3586,0))/100))&gt;=$D$10:$L$10)),0)</f>
        <v/>
      </c>
      <c r="BR3586">
        <f>IF(3573&lt;$U$9,SUMPRODUCT(($D$10:$L$10&lt;&gt;"")*(($D$10:$L$10-($D$9:$L$9+INT(($S$12:$AA$12+INDEX($AJ$13:$AR$162,BN3586,0)+INDEX($AT$13:$BB$162,BO3586,0)+INDEX($BD$13:$BL$162,BP3586,0))/100)))&gt;0)*($D$10:$L$10-($D$9:$L$9+INT(($S$12:$AA$12+INDEX($AJ$13:$AR$162,BN3586,0)+INDEX($AT$13:$BB$162,BO3586,0)+INDEX($BD$13:$BL$162,BP3586,0))/100)))),0)</f>
        <v/>
      </c>
      <c r="BS3586">
        <f>IF(3573&lt;$U$9,SUMPRODUCT(($D$9:$L$9+INT(($S$12:$AA$12+INDEX($AJ$13:$AR$162,BN3586,0)+INDEX($AT$13:$BB$162,BO3586,0)+INDEX($BD$13:$BL$162,BP3586,0))/100))),0)</f>
        <v/>
      </c>
      <c r="BT3586">
        <f>IF(AND(3573&lt;$U$9,$W$5),BQ3586*1000000-MIN(BR3586,999)*1000+BS3586-3573/100000,-1000000000-3573)</f>
        <v/>
      </c>
    </row>
    <row r="3587">
      <c r="BN3587">
        <f>IF(3574&lt;$U$9,INT(3574/($U$7*$U$8))+1,1)</f>
        <v/>
      </c>
      <c r="BO3587">
        <f>IF(3574&lt;$U$9,MOD(INT(3574/$U$8),$U$7)+1,1)</f>
        <v/>
      </c>
      <c r="BP3587">
        <f>IF(3574&lt;$U$9,MOD(3574,$U$8)+1,1)</f>
        <v/>
      </c>
      <c r="BQ3587">
        <f>IF(3574&lt;$U$9,SUMPRODUCT(($D$10:$L$10&lt;&gt;"")*(($D$9:$L$9+INT(($S$12:$AA$12+INDEX($AJ$13:$AR$162,BN3587,0)+INDEX($AT$13:$BB$162,BO3587,0)+INDEX($BD$13:$BL$162,BP3587,0))/100))&gt;=$D$10:$L$10)),0)</f>
        <v/>
      </c>
      <c r="BR3587">
        <f>IF(3574&lt;$U$9,SUMPRODUCT(($D$10:$L$10&lt;&gt;"")*(($D$10:$L$10-($D$9:$L$9+INT(($S$12:$AA$12+INDEX($AJ$13:$AR$162,BN3587,0)+INDEX($AT$13:$BB$162,BO3587,0)+INDEX($BD$13:$BL$162,BP3587,0))/100)))&gt;0)*($D$10:$L$10-($D$9:$L$9+INT(($S$12:$AA$12+INDEX($AJ$13:$AR$162,BN3587,0)+INDEX($AT$13:$BB$162,BO3587,0)+INDEX($BD$13:$BL$162,BP3587,0))/100)))),0)</f>
        <v/>
      </c>
      <c r="BS3587">
        <f>IF(3574&lt;$U$9,SUMPRODUCT(($D$9:$L$9+INT(($S$12:$AA$12+INDEX($AJ$13:$AR$162,BN3587,0)+INDEX($AT$13:$BB$162,BO3587,0)+INDEX($BD$13:$BL$162,BP3587,0))/100))),0)</f>
        <v/>
      </c>
      <c r="BT3587">
        <f>IF(AND(3574&lt;$U$9,$W$5),BQ3587*1000000-MIN(BR3587,999)*1000+BS3587-3574/100000,-1000000000-3574)</f>
        <v/>
      </c>
    </row>
    <row r="3588">
      <c r="BN3588">
        <f>IF(3575&lt;$U$9,INT(3575/($U$7*$U$8))+1,1)</f>
        <v/>
      </c>
      <c r="BO3588">
        <f>IF(3575&lt;$U$9,MOD(INT(3575/$U$8),$U$7)+1,1)</f>
        <v/>
      </c>
      <c r="BP3588">
        <f>IF(3575&lt;$U$9,MOD(3575,$U$8)+1,1)</f>
        <v/>
      </c>
      <c r="BQ3588">
        <f>IF(3575&lt;$U$9,SUMPRODUCT(($D$10:$L$10&lt;&gt;"")*(($D$9:$L$9+INT(($S$12:$AA$12+INDEX($AJ$13:$AR$162,BN3588,0)+INDEX($AT$13:$BB$162,BO3588,0)+INDEX($BD$13:$BL$162,BP3588,0))/100))&gt;=$D$10:$L$10)),0)</f>
        <v/>
      </c>
      <c r="BR3588">
        <f>IF(3575&lt;$U$9,SUMPRODUCT(($D$10:$L$10&lt;&gt;"")*(($D$10:$L$10-($D$9:$L$9+INT(($S$12:$AA$12+INDEX($AJ$13:$AR$162,BN3588,0)+INDEX($AT$13:$BB$162,BO3588,0)+INDEX($BD$13:$BL$162,BP3588,0))/100)))&gt;0)*($D$10:$L$10-($D$9:$L$9+INT(($S$12:$AA$12+INDEX($AJ$13:$AR$162,BN3588,0)+INDEX($AT$13:$BB$162,BO3588,0)+INDEX($BD$13:$BL$162,BP3588,0))/100)))),0)</f>
        <v/>
      </c>
      <c r="BS3588">
        <f>IF(3575&lt;$U$9,SUMPRODUCT(($D$9:$L$9+INT(($S$12:$AA$12+INDEX($AJ$13:$AR$162,BN3588,0)+INDEX($AT$13:$BB$162,BO3588,0)+INDEX($BD$13:$BL$162,BP3588,0))/100))),0)</f>
        <v/>
      </c>
      <c r="BT3588">
        <f>IF(AND(3575&lt;$U$9,$W$5),BQ3588*1000000-MIN(BR3588,999)*1000+BS3588-3575/100000,-1000000000-3575)</f>
        <v/>
      </c>
    </row>
    <row r="3589">
      <c r="BN3589">
        <f>IF(3576&lt;$U$9,INT(3576/($U$7*$U$8))+1,1)</f>
        <v/>
      </c>
      <c r="BO3589">
        <f>IF(3576&lt;$U$9,MOD(INT(3576/$U$8),$U$7)+1,1)</f>
        <v/>
      </c>
      <c r="BP3589">
        <f>IF(3576&lt;$U$9,MOD(3576,$U$8)+1,1)</f>
        <v/>
      </c>
      <c r="BQ3589">
        <f>IF(3576&lt;$U$9,SUMPRODUCT(($D$10:$L$10&lt;&gt;"")*(($D$9:$L$9+INT(($S$12:$AA$12+INDEX($AJ$13:$AR$162,BN3589,0)+INDEX($AT$13:$BB$162,BO3589,0)+INDEX($BD$13:$BL$162,BP3589,0))/100))&gt;=$D$10:$L$10)),0)</f>
        <v/>
      </c>
      <c r="BR3589">
        <f>IF(3576&lt;$U$9,SUMPRODUCT(($D$10:$L$10&lt;&gt;"")*(($D$10:$L$10-($D$9:$L$9+INT(($S$12:$AA$12+INDEX($AJ$13:$AR$162,BN3589,0)+INDEX($AT$13:$BB$162,BO3589,0)+INDEX($BD$13:$BL$162,BP3589,0))/100)))&gt;0)*($D$10:$L$10-($D$9:$L$9+INT(($S$12:$AA$12+INDEX($AJ$13:$AR$162,BN3589,0)+INDEX($AT$13:$BB$162,BO3589,0)+INDEX($BD$13:$BL$162,BP3589,0))/100)))),0)</f>
        <v/>
      </c>
      <c r="BS3589">
        <f>IF(3576&lt;$U$9,SUMPRODUCT(($D$9:$L$9+INT(($S$12:$AA$12+INDEX($AJ$13:$AR$162,BN3589,0)+INDEX($AT$13:$BB$162,BO3589,0)+INDEX($BD$13:$BL$162,BP3589,0))/100))),0)</f>
        <v/>
      </c>
      <c r="BT3589">
        <f>IF(AND(3576&lt;$U$9,$W$5),BQ3589*1000000-MIN(BR3589,999)*1000+BS3589-3576/100000,-1000000000-3576)</f>
        <v/>
      </c>
    </row>
    <row r="3590">
      <c r="BN3590">
        <f>IF(3577&lt;$U$9,INT(3577/($U$7*$U$8))+1,1)</f>
        <v/>
      </c>
      <c r="BO3590">
        <f>IF(3577&lt;$U$9,MOD(INT(3577/$U$8),$U$7)+1,1)</f>
        <v/>
      </c>
      <c r="BP3590">
        <f>IF(3577&lt;$U$9,MOD(3577,$U$8)+1,1)</f>
        <v/>
      </c>
      <c r="BQ3590">
        <f>IF(3577&lt;$U$9,SUMPRODUCT(($D$10:$L$10&lt;&gt;"")*(($D$9:$L$9+INT(($S$12:$AA$12+INDEX($AJ$13:$AR$162,BN3590,0)+INDEX($AT$13:$BB$162,BO3590,0)+INDEX($BD$13:$BL$162,BP3590,0))/100))&gt;=$D$10:$L$10)),0)</f>
        <v/>
      </c>
      <c r="BR3590">
        <f>IF(3577&lt;$U$9,SUMPRODUCT(($D$10:$L$10&lt;&gt;"")*(($D$10:$L$10-($D$9:$L$9+INT(($S$12:$AA$12+INDEX($AJ$13:$AR$162,BN3590,0)+INDEX($AT$13:$BB$162,BO3590,0)+INDEX($BD$13:$BL$162,BP3590,0))/100)))&gt;0)*($D$10:$L$10-($D$9:$L$9+INT(($S$12:$AA$12+INDEX($AJ$13:$AR$162,BN3590,0)+INDEX($AT$13:$BB$162,BO3590,0)+INDEX($BD$13:$BL$162,BP3590,0))/100)))),0)</f>
        <v/>
      </c>
      <c r="BS3590">
        <f>IF(3577&lt;$U$9,SUMPRODUCT(($D$9:$L$9+INT(($S$12:$AA$12+INDEX($AJ$13:$AR$162,BN3590,0)+INDEX($AT$13:$BB$162,BO3590,0)+INDEX($BD$13:$BL$162,BP3590,0))/100))),0)</f>
        <v/>
      </c>
      <c r="BT3590">
        <f>IF(AND(3577&lt;$U$9,$W$5),BQ3590*1000000-MIN(BR3590,999)*1000+BS3590-3577/100000,-1000000000-3577)</f>
        <v/>
      </c>
    </row>
    <row r="3591">
      <c r="BN3591">
        <f>IF(3578&lt;$U$9,INT(3578/($U$7*$U$8))+1,1)</f>
        <v/>
      </c>
      <c r="BO3591">
        <f>IF(3578&lt;$U$9,MOD(INT(3578/$U$8),$U$7)+1,1)</f>
        <v/>
      </c>
      <c r="BP3591">
        <f>IF(3578&lt;$U$9,MOD(3578,$U$8)+1,1)</f>
        <v/>
      </c>
      <c r="BQ3591">
        <f>IF(3578&lt;$U$9,SUMPRODUCT(($D$10:$L$10&lt;&gt;"")*(($D$9:$L$9+INT(($S$12:$AA$12+INDEX($AJ$13:$AR$162,BN3591,0)+INDEX($AT$13:$BB$162,BO3591,0)+INDEX($BD$13:$BL$162,BP3591,0))/100))&gt;=$D$10:$L$10)),0)</f>
        <v/>
      </c>
      <c r="BR3591">
        <f>IF(3578&lt;$U$9,SUMPRODUCT(($D$10:$L$10&lt;&gt;"")*(($D$10:$L$10-($D$9:$L$9+INT(($S$12:$AA$12+INDEX($AJ$13:$AR$162,BN3591,0)+INDEX($AT$13:$BB$162,BO3591,0)+INDEX($BD$13:$BL$162,BP3591,0))/100)))&gt;0)*($D$10:$L$10-($D$9:$L$9+INT(($S$12:$AA$12+INDEX($AJ$13:$AR$162,BN3591,0)+INDEX($AT$13:$BB$162,BO3591,0)+INDEX($BD$13:$BL$162,BP3591,0))/100)))),0)</f>
        <v/>
      </c>
      <c r="BS3591">
        <f>IF(3578&lt;$U$9,SUMPRODUCT(($D$9:$L$9+INT(($S$12:$AA$12+INDEX($AJ$13:$AR$162,BN3591,0)+INDEX($AT$13:$BB$162,BO3591,0)+INDEX($BD$13:$BL$162,BP3591,0))/100))),0)</f>
        <v/>
      </c>
      <c r="BT3591">
        <f>IF(AND(3578&lt;$U$9,$W$5),BQ3591*1000000-MIN(BR3591,999)*1000+BS3591-3578/100000,-1000000000-3578)</f>
        <v/>
      </c>
    </row>
    <row r="3592">
      <c r="BN3592">
        <f>IF(3579&lt;$U$9,INT(3579/($U$7*$U$8))+1,1)</f>
        <v/>
      </c>
      <c r="BO3592">
        <f>IF(3579&lt;$U$9,MOD(INT(3579/$U$8),$U$7)+1,1)</f>
        <v/>
      </c>
      <c r="BP3592">
        <f>IF(3579&lt;$U$9,MOD(3579,$U$8)+1,1)</f>
        <v/>
      </c>
      <c r="BQ3592">
        <f>IF(3579&lt;$U$9,SUMPRODUCT(($D$10:$L$10&lt;&gt;"")*(($D$9:$L$9+INT(($S$12:$AA$12+INDEX($AJ$13:$AR$162,BN3592,0)+INDEX($AT$13:$BB$162,BO3592,0)+INDEX($BD$13:$BL$162,BP3592,0))/100))&gt;=$D$10:$L$10)),0)</f>
        <v/>
      </c>
      <c r="BR3592">
        <f>IF(3579&lt;$U$9,SUMPRODUCT(($D$10:$L$10&lt;&gt;"")*(($D$10:$L$10-($D$9:$L$9+INT(($S$12:$AA$12+INDEX($AJ$13:$AR$162,BN3592,0)+INDEX($AT$13:$BB$162,BO3592,0)+INDEX($BD$13:$BL$162,BP3592,0))/100)))&gt;0)*($D$10:$L$10-($D$9:$L$9+INT(($S$12:$AA$12+INDEX($AJ$13:$AR$162,BN3592,0)+INDEX($AT$13:$BB$162,BO3592,0)+INDEX($BD$13:$BL$162,BP3592,0))/100)))),0)</f>
        <v/>
      </c>
      <c r="BS3592">
        <f>IF(3579&lt;$U$9,SUMPRODUCT(($D$9:$L$9+INT(($S$12:$AA$12+INDEX($AJ$13:$AR$162,BN3592,0)+INDEX($AT$13:$BB$162,BO3592,0)+INDEX($BD$13:$BL$162,BP3592,0))/100))),0)</f>
        <v/>
      </c>
      <c r="BT3592">
        <f>IF(AND(3579&lt;$U$9,$W$5),BQ3592*1000000-MIN(BR3592,999)*1000+BS3592-3579/100000,-1000000000-3579)</f>
        <v/>
      </c>
    </row>
    <row r="3593">
      <c r="BN3593">
        <f>IF(3580&lt;$U$9,INT(3580/($U$7*$U$8))+1,1)</f>
        <v/>
      </c>
      <c r="BO3593">
        <f>IF(3580&lt;$U$9,MOD(INT(3580/$U$8),$U$7)+1,1)</f>
        <v/>
      </c>
      <c r="BP3593">
        <f>IF(3580&lt;$U$9,MOD(3580,$U$8)+1,1)</f>
        <v/>
      </c>
      <c r="BQ3593">
        <f>IF(3580&lt;$U$9,SUMPRODUCT(($D$10:$L$10&lt;&gt;"")*(($D$9:$L$9+INT(($S$12:$AA$12+INDEX($AJ$13:$AR$162,BN3593,0)+INDEX($AT$13:$BB$162,BO3593,0)+INDEX($BD$13:$BL$162,BP3593,0))/100))&gt;=$D$10:$L$10)),0)</f>
        <v/>
      </c>
      <c r="BR3593">
        <f>IF(3580&lt;$U$9,SUMPRODUCT(($D$10:$L$10&lt;&gt;"")*(($D$10:$L$10-($D$9:$L$9+INT(($S$12:$AA$12+INDEX($AJ$13:$AR$162,BN3593,0)+INDEX($AT$13:$BB$162,BO3593,0)+INDEX($BD$13:$BL$162,BP3593,0))/100)))&gt;0)*($D$10:$L$10-($D$9:$L$9+INT(($S$12:$AA$12+INDEX($AJ$13:$AR$162,BN3593,0)+INDEX($AT$13:$BB$162,BO3593,0)+INDEX($BD$13:$BL$162,BP3593,0))/100)))),0)</f>
        <v/>
      </c>
      <c r="BS3593">
        <f>IF(3580&lt;$U$9,SUMPRODUCT(($D$9:$L$9+INT(($S$12:$AA$12+INDEX($AJ$13:$AR$162,BN3593,0)+INDEX($AT$13:$BB$162,BO3593,0)+INDEX($BD$13:$BL$162,BP3593,0))/100))),0)</f>
        <v/>
      </c>
      <c r="BT3593">
        <f>IF(AND(3580&lt;$U$9,$W$5),BQ3593*1000000-MIN(BR3593,999)*1000+BS3593-3580/100000,-1000000000-3580)</f>
        <v/>
      </c>
    </row>
    <row r="3594">
      <c r="BN3594">
        <f>IF(3581&lt;$U$9,INT(3581/($U$7*$U$8))+1,1)</f>
        <v/>
      </c>
      <c r="BO3594">
        <f>IF(3581&lt;$U$9,MOD(INT(3581/$U$8),$U$7)+1,1)</f>
        <v/>
      </c>
      <c r="BP3594">
        <f>IF(3581&lt;$U$9,MOD(3581,$U$8)+1,1)</f>
        <v/>
      </c>
      <c r="BQ3594">
        <f>IF(3581&lt;$U$9,SUMPRODUCT(($D$10:$L$10&lt;&gt;"")*(($D$9:$L$9+INT(($S$12:$AA$12+INDEX($AJ$13:$AR$162,BN3594,0)+INDEX($AT$13:$BB$162,BO3594,0)+INDEX($BD$13:$BL$162,BP3594,0))/100))&gt;=$D$10:$L$10)),0)</f>
        <v/>
      </c>
      <c r="BR3594">
        <f>IF(3581&lt;$U$9,SUMPRODUCT(($D$10:$L$10&lt;&gt;"")*(($D$10:$L$10-($D$9:$L$9+INT(($S$12:$AA$12+INDEX($AJ$13:$AR$162,BN3594,0)+INDEX($AT$13:$BB$162,BO3594,0)+INDEX($BD$13:$BL$162,BP3594,0))/100)))&gt;0)*($D$10:$L$10-($D$9:$L$9+INT(($S$12:$AA$12+INDEX($AJ$13:$AR$162,BN3594,0)+INDEX($AT$13:$BB$162,BO3594,0)+INDEX($BD$13:$BL$162,BP3594,0))/100)))),0)</f>
        <v/>
      </c>
      <c r="BS3594">
        <f>IF(3581&lt;$U$9,SUMPRODUCT(($D$9:$L$9+INT(($S$12:$AA$12+INDEX($AJ$13:$AR$162,BN3594,0)+INDEX($AT$13:$BB$162,BO3594,0)+INDEX($BD$13:$BL$162,BP3594,0))/100))),0)</f>
        <v/>
      </c>
      <c r="BT3594">
        <f>IF(AND(3581&lt;$U$9,$W$5),BQ3594*1000000-MIN(BR3594,999)*1000+BS3594-3581/100000,-1000000000-3581)</f>
        <v/>
      </c>
    </row>
    <row r="3595">
      <c r="BN3595">
        <f>IF(3582&lt;$U$9,INT(3582/($U$7*$U$8))+1,1)</f>
        <v/>
      </c>
      <c r="BO3595">
        <f>IF(3582&lt;$U$9,MOD(INT(3582/$U$8),$U$7)+1,1)</f>
        <v/>
      </c>
      <c r="BP3595">
        <f>IF(3582&lt;$U$9,MOD(3582,$U$8)+1,1)</f>
        <v/>
      </c>
      <c r="BQ3595">
        <f>IF(3582&lt;$U$9,SUMPRODUCT(($D$10:$L$10&lt;&gt;"")*(($D$9:$L$9+INT(($S$12:$AA$12+INDEX($AJ$13:$AR$162,BN3595,0)+INDEX($AT$13:$BB$162,BO3595,0)+INDEX($BD$13:$BL$162,BP3595,0))/100))&gt;=$D$10:$L$10)),0)</f>
        <v/>
      </c>
      <c r="BR3595">
        <f>IF(3582&lt;$U$9,SUMPRODUCT(($D$10:$L$10&lt;&gt;"")*(($D$10:$L$10-($D$9:$L$9+INT(($S$12:$AA$12+INDEX($AJ$13:$AR$162,BN3595,0)+INDEX($AT$13:$BB$162,BO3595,0)+INDEX($BD$13:$BL$162,BP3595,0))/100)))&gt;0)*($D$10:$L$10-($D$9:$L$9+INT(($S$12:$AA$12+INDEX($AJ$13:$AR$162,BN3595,0)+INDEX($AT$13:$BB$162,BO3595,0)+INDEX($BD$13:$BL$162,BP3595,0))/100)))),0)</f>
        <v/>
      </c>
      <c r="BS3595">
        <f>IF(3582&lt;$U$9,SUMPRODUCT(($D$9:$L$9+INT(($S$12:$AA$12+INDEX($AJ$13:$AR$162,BN3595,0)+INDEX($AT$13:$BB$162,BO3595,0)+INDEX($BD$13:$BL$162,BP3595,0))/100))),0)</f>
        <v/>
      </c>
      <c r="BT3595">
        <f>IF(AND(3582&lt;$U$9,$W$5),BQ3595*1000000-MIN(BR3595,999)*1000+BS3595-3582/100000,-1000000000-3582)</f>
        <v/>
      </c>
    </row>
    <row r="3596">
      <c r="BN3596">
        <f>IF(3583&lt;$U$9,INT(3583/($U$7*$U$8))+1,1)</f>
        <v/>
      </c>
      <c r="BO3596">
        <f>IF(3583&lt;$U$9,MOD(INT(3583/$U$8),$U$7)+1,1)</f>
        <v/>
      </c>
      <c r="BP3596">
        <f>IF(3583&lt;$U$9,MOD(3583,$U$8)+1,1)</f>
        <v/>
      </c>
      <c r="BQ3596">
        <f>IF(3583&lt;$U$9,SUMPRODUCT(($D$10:$L$10&lt;&gt;"")*(($D$9:$L$9+INT(($S$12:$AA$12+INDEX($AJ$13:$AR$162,BN3596,0)+INDEX($AT$13:$BB$162,BO3596,0)+INDEX($BD$13:$BL$162,BP3596,0))/100))&gt;=$D$10:$L$10)),0)</f>
        <v/>
      </c>
      <c r="BR3596">
        <f>IF(3583&lt;$U$9,SUMPRODUCT(($D$10:$L$10&lt;&gt;"")*(($D$10:$L$10-($D$9:$L$9+INT(($S$12:$AA$12+INDEX($AJ$13:$AR$162,BN3596,0)+INDEX($AT$13:$BB$162,BO3596,0)+INDEX($BD$13:$BL$162,BP3596,0))/100)))&gt;0)*($D$10:$L$10-($D$9:$L$9+INT(($S$12:$AA$12+INDEX($AJ$13:$AR$162,BN3596,0)+INDEX($AT$13:$BB$162,BO3596,0)+INDEX($BD$13:$BL$162,BP3596,0))/100)))),0)</f>
        <v/>
      </c>
      <c r="BS3596">
        <f>IF(3583&lt;$U$9,SUMPRODUCT(($D$9:$L$9+INT(($S$12:$AA$12+INDEX($AJ$13:$AR$162,BN3596,0)+INDEX($AT$13:$BB$162,BO3596,0)+INDEX($BD$13:$BL$162,BP3596,0))/100))),0)</f>
        <v/>
      </c>
      <c r="BT3596">
        <f>IF(AND(3583&lt;$U$9,$W$5),BQ3596*1000000-MIN(BR3596,999)*1000+BS3596-3583/100000,-1000000000-3583)</f>
        <v/>
      </c>
    </row>
    <row r="3597">
      <c r="BN3597">
        <f>IF(3584&lt;$U$9,INT(3584/($U$7*$U$8))+1,1)</f>
        <v/>
      </c>
      <c r="BO3597">
        <f>IF(3584&lt;$U$9,MOD(INT(3584/$U$8),$U$7)+1,1)</f>
        <v/>
      </c>
      <c r="BP3597">
        <f>IF(3584&lt;$U$9,MOD(3584,$U$8)+1,1)</f>
        <v/>
      </c>
      <c r="BQ3597">
        <f>IF(3584&lt;$U$9,SUMPRODUCT(($D$10:$L$10&lt;&gt;"")*(($D$9:$L$9+INT(($S$12:$AA$12+INDEX($AJ$13:$AR$162,BN3597,0)+INDEX($AT$13:$BB$162,BO3597,0)+INDEX($BD$13:$BL$162,BP3597,0))/100))&gt;=$D$10:$L$10)),0)</f>
        <v/>
      </c>
      <c r="BR3597">
        <f>IF(3584&lt;$U$9,SUMPRODUCT(($D$10:$L$10&lt;&gt;"")*(($D$10:$L$10-($D$9:$L$9+INT(($S$12:$AA$12+INDEX($AJ$13:$AR$162,BN3597,0)+INDEX($AT$13:$BB$162,BO3597,0)+INDEX($BD$13:$BL$162,BP3597,0))/100)))&gt;0)*($D$10:$L$10-($D$9:$L$9+INT(($S$12:$AA$12+INDEX($AJ$13:$AR$162,BN3597,0)+INDEX($AT$13:$BB$162,BO3597,0)+INDEX($BD$13:$BL$162,BP3597,0))/100)))),0)</f>
        <v/>
      </c>
      <c r="BS3597">
        <f>IF(3584&lt;$U$9,SUMPRODUCT(($D$9:$L$9+INT(($S$12:$AA$12+INDEX($AJ$13:$AR$162,BN3597,0)+INDEX($AT$13:$BB$162,BO3597,0)+INDEX($BD$13:$BL$162,BP3597,0))/100))),0)</f>
        <v/>
      </c>
      <c r="BT3597">
        <f>IF(AND(3584&lt;$U$9,$W$5),BQ3597*1000000-MIN(BR3597,999)*1000+BS3597-3584/100000,-1000000000-3584)</f>
        <v/>
      </c>
    </row>
    <row r="3598">
      <c r="BN3598">
        <f>IF(3585&lt;$U$9,INT(3585/($U$7*$U$8))+1,1)</f>
        <v/>
      </c>
      <c r="BO3598">
        <f>IF(3585&lt;$U$9,MOD(INT(3585/$U$8),$U$7)+1,1)</f>
        <v/>
      </c>
      <c r="BP3598">
        <f>IF(3585&lt;$U$9,MOD(3585,$U$8)+1,1)</f>
        <v/>
      </c>
      <c r="BQ3598">
        <f>IF(3585&lt;$U$9,SUMPRODUCT(($D$10:$L$10&lt;&gt;"")*(($D$9:$L$9+INT(($S$12:$AA$12+INDEX($AJ$13:$AR$162,BN3598,0)+INDEX($AT$13:$BB$162,BO3598,0)+INDEX($BD$13:$BL$162,BP3598,0))/100))&gt;=$D$10:$L$10)),0)</f>
        <v/>
      </c>
      <c r="BR3598">
        <f>IF(3585&lt;$U$9,SUMPRODUCT(($D$10:$L$10&lt;&gt;"")*(($D$10:$L$10-($D$9:$L$9+INT(($S$12:$AA$12+INDEX($AJ$13:$AR$162,BN3598,0)+INDEX($AT$13:$BB$162,BO3598,0)+INDEX($BD$13:$BL$162,BP3598,0))/100)))&gt;0)*($D$10:$L$10-($D$9:$L$9+INT(($S$12:$AA$12+INDEX($AJ$13:$AR$162,BN3598,0)+INDEX($AT$13:$BB$162,BO3598,0)+INDEX($BD$13:$BL$162,BP3598,0))/100)))),0)</f>
        <v/>
      </c>
      <c r="BS3598">
        <f>IF(3585&lt;$U$9,SUMPRODUCT(($D$9:$L$9+INT(($S$12:$AA$12+INDEX($AJ$13:$AR$162,BN3598,0)+INDEX($AT$13:$BB$162,BO3598,0)+INDEX($BD$13:$BL$162,BP3598,0))/100))),0)</f>
        <v/>
      </c>
      <c r="BT3598">
        <f>IF(AND(3585&lt;$U$9,$W$5),BQ3598*1000000-MIN(BR3598,999)*1000+BS3598-3585/100000,-1000000000-3585)</f>
        <v/>
      </c>
    </row>
    <row r="3599">
      <c r="BN3599">
        <f>IF(3586&lt;$U$9,INT(3586/($U$7*$U$8))+1,1)</f>
        <v/>
      </c>
      <c r="BO3599">
        <f>IF(3586&lt;$U$9,MOD(INT(3586/$U$8),$U$7)+1,1)</f>
        <v/>
      </c>
      <c r="BP3599">
        <f>IF(3586&lt;$U$9,MOD(3586,$U$8)+1,1)</f>
        <v/>
      </c>
      <c r="BQ3599">
        <f>IF(3586&lt;$U$9,SUMPRODUCT(($D$10:$L$10&lt;&gt;"")*(($D$9:$L$9+INT(($S$12:$AA$12+INDEX($AJ$13:$AR$162,BN3599,0)+INDEX($AT$13:$BB$162,BO3599,0)+INDEX($BD$13:$BL$162,BP3599,0))/100))&gt;=$D$10:$L$10)),0)</f>
        <v/>
      </c>
      <c r="BR3599">
        <f>IF(3586&lt;$U$9,SUMPRODUCT(($D$10:$L$10&lt;&gt;"")*(($D$10:$L$10-($D$9:$L$9+INT(($S$12:$AA$12+INDEX($AJ$13:$AR$162,BN3599,0)+INDEX($AT$13:$BB$162,BO3599,0)+INDEX($BD$13:$BL$162,BP3599,0))/100)))&gt;0)*($D$10:$L$10-($D$9:$L$9+INT(($S$12:$AA$12+INDEX($AJ$13:$AR$162,BN3599,0)+INDEX($AT$13:$BB$162,BO3599,0)+INDEX($BD$13:$BL$162,BP3599,0))/100)))),0)</f>
        <v/>
      </c>
      <c r="BS3599">
        <f>IF(3586&lt;$U$9,SUMPRODUCT(($D$9:$L$9+INT(($S$12:$AA$12+INDEX($AJ$13:$AR$162,BN3599,0)+INDEX($AT$13:$BB$162,BO3599,0)+INDEX($BD$13:$BL$162,BP3599,0))/100))),0)</f>
        <v/>
      </c>
      <c r="BT3599">
        <f>IF(AND(3586&lt;$U$9,$W$5),BQ3599*1000000-MIN(BR3599,999)*1000+BS3599-3586/100000,-1000000000-3586)</f>
        <v/>
      </c>
    </row>
    <row r="3600">
      <c r="BN3600">
        <f>IF(3587&lt;$U$9,INT(3587/($U$7*$U$8))+1,1)</f>
        <v/>
      </c>
      <c r="BO3600">
        <f>IF(3587&lt;$U$9,MOD(INT(3587/$U$8),$U$7)+1,1)</f>
        <v/>
      </c>
      <c r="BP3600">
        <f>IF(3587&lt;$U$9,MOD(3587,$U$8)+1,1)</f>
        <v/>
      </c>
      <c r="BQ3600">
        <f>IF(3587&lt;$U$9,SUMPRODUCT(($D$10:$L$10&lt;&gt;"")*(($D$9:$L$9+INT(($S$12:$AA$12+INDEX($AJ$13:$AR$162,BN3600,0)+INDEX($AT$13:$BB$162,BO3600,0)+INDEX($BD$13:$BL$162,BP3600,0))/100))&gt;=$D$10:$L$10)),0)</f>
        <v/>
      </c>
      <c r="BR3600">
        <f>IF(3587&lt;$U$9,SUMPRODUCT(($D$10:$L$10&lt;&gt;"")*(($D$10:$L$10-($D$9:$L$9+INT(($S$12:$AA$12+INDEX($AJ$13:$AR$162,BN3600,0)+INDEX($AT$13:$BB$162,BO3600,0)+INDEX($BD$13:$BL$162,BP3600,0))/100)))&gt;0)*($D$10:$L$10-($D$9:$L$9+INT(($S$12:$AA$12+INDEX($AJ$13:$AR$162,BN3600,0)+INDEX($AT$13:$BB$162,BO3600,0)+INDEX($BD$13:$BL$162,BP3600,0))/100)))),0)</f>
        <v/>
      </c>
      <c r="BS3600">
        <f>IF(3587&lt;$U$9,SUMPRODUCT(($D$9:$L$9+INT(($S$12:$AA$12+INDEX($AJ$13:$AR$162,BN3600,0)+INDEX($AT$13:$BB$162,BO3600,0)+INDEX($BD$13:$BL$162,BP3600,0))/100))),0)</f>
        <v/>
      </c>
      <c r="BT3600">
        <f>IF(AND(3587&lt;$U$9,$W$5),BQ3600*1000000-MIN(BR3600,999)*1000+BS3600-3587/100000,-1000000000-3587)</f>
        <v/>
      </c>
    </row>
    <row r="3601">
      <c r="BN3601">
        <f>IF(3588&lt;$U$9,INT(3588/($U$7*$U$8))+1,1)</f>
        <v/>
      </c>
      <c r="BO3601">
        <f>IF(3588&lt;$U$9,MOD(INT(3588/$U$8),$U$7)+1,1)</f>
        <v/>
      </c>
      <c r="BP3601">
        <f>IF(3588&lt;$U$9,MOD(3588,$U$8)+1,1)</f>
        <v/>
      </c>
      <c r="BQ3601">
        <f>IF(3588&lt;$U$9,SUMPRODUCT(($D$10:$L$10&lt;&gt;"")*(($D$9:$L$9+INT(($S$12:$AA$12+INDEX($AJ$13:$AR$162,BN3601,0)+INDEX($AT$13:$BB$162,BO3601,0)+INDEX($BD$13:$BL$162,BP3601,0))/100))&gt;=$D$10:$L$10)),0)</f>
        <v/>
      </c>
      <c r="BR3601">
        <f>IF(3588&lt;$U$9,SUMPRODUCT(($D$10:$L$10&lt;&gt;"")*(($D$10:$L$10-($D$9:$L$9+INT(($S$12:$AA$12+INDEX($AJ$13:$AR$162,BN3601,0)+INDEX($AT$13:$BB$162,BO3601,0)+INDEX($BD$13:$BL$162,BP3601,0))/100)))&gt;0)*($D$10:$L$10-($D$9:$L$9+INT(($S$12:$AA$12+INDEX($AJ$13:$AR$162,BN3601,0)+INDEX($AT$13:$BB$162,BO3601,0)+INDEX($BD$13:$BL$162,BP3601,0))/100)))),0)</f>
        <v/>
      </c>
      <c r="BS3601">
        <f>IF(3588&lt;$U$9,SUMPRODUCT(($D$9:$L$9+INT(($S$12:$AA$12+INDEX($AJ$13:$AR$162,BN3601,0)+INDEX($AT$13:$BB$162,BO3601,0)+INDEX($BD$13:$BL$162,BP3601,0))/100))),0)</f>
        <v/>
      </c>
      <c r="BT3601">
        <f>IF(AND(3588&lt;$U$9,$W$5),BQ3601*1000000-MIN(BR3601,999)*1000+BS3601-3588/100000,-1000000000-3588)</f>
        <v/>
      </c>
    </row>
    <row r="3602">
      <c r="BN3602">
        <f>IF(3589&lt;$U$9,INT(3589/($U$7*$U$8))+1,1)</f>
        <v/>
      </c>
      <c r="BO3602">
        <f>IF(3589&lt;$U$9,MOD(INT(3589/$U$8),$U$7)+1,1)</f>
        <v/>
      </c>
      <c r="BP3602">
        <f>IF(3589&lt;$U$9,MOD(3589,$U$8)+1,1)</f>
        <v/>
      </c>
      <c r="BQ3602">
        <f>IF(3589&lt;$U$9,SUMPRODUCT(($D$10:$L$10&lt;&gt;"")*(($D$9:$L$9+INT(($S$12:$AA$12+INDEX($AJ$13:$AR$162,BN3602,0)+INDEX($AT$13:$BB$162,BO3602,0)+INDEX($BD$13:$BL$162,BP3602,0))/100))&gt;=$D$10:$L$10)),0)</f>
        <v/>
      </c>
      <c r="BR3602">
        <f>IF(3589&lt;$U$9,SUMPRODUCT(($D$10:$L$10&lt;&gt;"")*(($D$10:$L$10-($D$9:$L$9+INT(($S$12:$AA$12+INDEX($AJ$13:$AR$162,BN3602,0)+INDEX($AT$13:$BB$162,BO3602,0)+INDEX($BD$13:$BL$162,BP3602,0))/100)))&gt;0)*($D$10:$L$10-($D$9:$L$9+INT(($S$12:$AA$12+INDEX($AJ$13:$AR$162,BN3602,0)+INDEX($AT$13:$BB$162,BO3602,0)+INDEX($BD$13:$BL$162,BP3602,0))/100)))),0)</f>
        <v/>
      </c>
      <c r="BS3602">
        <f>IF(3589&lt;$U$9,SUMPRODUCT(($D$9:$L$9+INT(($S$12:$AA$12+INDEX($AJ$13:$AR$162,BN3602,0)+INDEX($AT$13:$BB$162,BO3602,0)+INDEX($BD$13:$BL$162,BP3602,0))/100))),0)</f>
        <v/>
      </c>
      <c r="BT3602">
        <f>IF(AND(3589&lt;$U$9,$W$5),BQ3602*1000000-MIN(BR3602,999)*1000+BS3602-3589/100000,-1000000000-3589)</f>
        <v/>
      </c>
    </row>
    <row r="3603">
      <c r="BN3603">
        <f>IF(3590&lt;$U$9,INT(3590/($U$7*$U$8))+1,1)</f>
        <v/>
      </c>
      <c r="BO3603">
        <f>IF(3590&lt;$U$9,MOD(INT(3590/$U$8),$U$7)+1,1)</f>
        <v/>
      </c>
      <c r="BP3603">
        <f>IF(3590&lt;$U$9,MOD(3590,$U$8)+1,1)</f>
        <v/>
      </c>
      <c r="BQ3603">
        <f>IF(3590&lt;$U$9,SUMPRODUCT(($D$10:$L$10&lt;&gt;"")*(($D$9:$L$9+INT(($S$12:$AA$12+INDEX($AJ$13:$AR$162,BN3603,0)+INDEX($AT$13:$BB$162,BO3603,0)+INDEX($BD$13:$BL$162,BP3603,0))/100))&gt;=$D$10:$L$10)),0)</f>
        <v/>
      </c>
      <c r="BR3603">
        <f>IF(3590&lt;$U$9,SUMPRODUCT(($D$10:$L$10&lt;&gt;"")*(($D$10:$L$10-($D$9:$L$9+INT(($S$12:$AA$12+INDEX($AJ$13:$AR$162,BN3603,0)+INDEX($AT$13:$BB$162,BO3603,0)+INDEX($BD$13:$BL$162,BP3603,0))/100)))&gt;0)*($D$10:$L$10-($D$9:$L$9+INT(($S$12:$AA$12+INDEX($AJ$13:$AR$162,BN3603,0)+INDEX($AT$13:$BB$162,BO3603,0)+INDEX($BD$13:$BL$162,BP3603,0))/100)))),0)</f>
        <v/>
      </c>
      <c r="BS3603">
        <f>IF(3590&lt;$U$9,SUMPRODUCT(($D$9:$L$9+INT(($S$12:$AA$12+INDEX($AJ$13:$AR$162,BN3603,0)+INDEX($AT$13:$BB$162,BO3603,0)+INDEX($BD$13:$BL$162,BP3603,0))/100))),0)</f>
        <v/>
      </c>
      <c r="BT3603">
        <f>IF(AND(3590&lt;$U$9,$W$5),BQ3603*1000000-MIN(BR3603,999)*1000+BS3603-3590/100000,-1000000000-3590)</f>
        <v/>
      </c>
    </row>
    <row r="3604">
      <c r="BN3604">
        <f>IF(3591&lt;$U$9,INT(3591/($U$7*$U$8))+1,1)</f>
        <v/>
      </c>
      <c r="BO3604">
        <f>IF(3591&lt;$U$9,MOD(INT(3591/$U$8),$U$7)+1,1)</f>
        <v/>
      </c>
      <c r="BP3604">
        <f>IF(3591&lt;$U$9,MOD(3591,$U$8)+1,1)</f>
        <v/>
      </c>
      <c r="BQ3604">
        <f>IF(3591&lt;$U$9,SUMPRODUCT(($D$10:$L$10&lt;&gt;"")*(($D$9:$L$9+INT(($S$12:$AA$12+INDEX($AJ$13:$AR$162,BN3604,0)+INDEX($AT$13:$BB$162,BO3604,0)+INDEX($BD$13:$BL$162,BP3604,0))/100))&gt;=$D$10:$L$10)),0)</f>
        <v/>
      </c>
      <c r="BR3604">
        <f>IF(3591&lt;$U$9,SUMPRODUCT(($D$10:$L$10&lt;&gt;"")*(($D$10:$L$10-($D$9:$L$9+INT(($S$12:$AA$12+INDEX($AJ$13:$AR$162,BN3604,0)+INDEX($AT$13:$BB$162,BO3604,0)+INDEX($BD$13:$BL$162,BP3604,0))/100)))&gt;0)*($D$10:$L$10-($D$9:$L$9+INT(($S$12:$AA$12+INDEX($AJ$13:$AR$162,BN3604,0)+INDEX($AT$13:$BB$162,BO3604,0)+INDEX($BD$13:$BL$162,BP3604,0))/100)))),0)</f>
        <v/>
      </c>
      <c r="BS3604">
        <f>IF(3591&lt;$U$9,SUMPRODUCT(($D$9:$L$9+INT(($S$12:$AA$12+INDEX($AJ$13:$AR$162,BN3604,0)+INDEX($AT$13:$BB$162,BO3604,0)+INDEX($BD$13:$BL$162,BP3604,0))/100))),0)</f>
        <v/>
      </c>
      <c r="BT3604">
        <f>IF(AND(3591&lt;$U$9,$W$5),BQ3604*1000000-MIN(BR3604,999)*1000+BS3604-3591/100000,-1000000000-3591)</f>
        <v/>
      </c>
    </row>
    <row r="3605">
      <c r="BN3605">
        <f>IF(3592&lt;$U$9,INT(3592/($U$7*$U$8))+1,1)</f>
        <v/>
      </c>
      <c r="BO3605">
        <f>IF(3592&lt;$U$9,MOD(INT(3592/$U$8),$U$7)+1,1)</f>
        <v/>
      </c>
      <c r="BP3605">
        <f>IF(3592&lt;$U$9,MOD(3592,$U$8)+1,1)</f>
        <v/>
      </c>
      <c r="BQ3605">
        <f>IF(3592&lt;$U$9,SUMPRODUCT(($D$10:$L$10&lt;&gt;"")*(($D$9:$L$9+INT(($S$12:$AA$12+INDEX($AJ$13:$AR$162,BN3605,0)+INDEX($AT$13:$BB$162,BO3605,0)+INDEX($BD$13:$BL$162,BP3605,0))/100))&gt;=$D$10:$L$10)),0)</f>
        <v/>
      </c>
      <c r="BR3605">
        <f>IF(3592&lt;$U$9,SUMPRODUCT(($D$10:$L$10&lt;&gt;"")*(($D$10:$L$10-($D$9:$L$9+INT(($S$12:$AA$12+INDEX($AJ$13:$AR$162,BN3605,0)+INDEX($AT$13:$BB$162,BO3605,0)+INDEX($BD$13:$BL$162,BP3605,0))/100)))&gt;0)*($D$10:$L$10-($D$9:$L$9+INT(($S$12:$AA$12+INDEX($AJ$13:$AR$162,BN3605,0)+INDEX($AT$13:$BB$162,BO3605,0)+INDEX($BD$13:$BL$162,BP3605,0))/100)))),0)</f>
        <v/>
      </c>
      <c r="BS3605">
        <f>IF(3592&lt;$U$9,SUMPRODUCT(($D$9:$L$9+INT(($S$12:$AA$12+INDEX($AJ$13:$AR$162,BN3605,0)+INDEX($AT$13:$BB$162,BO3605,0)+INDEX($BD$13:$BL$162,BP3605,0))/100))),0)</f>
        <v/>
      </c>
      <c r="BT3605">
        <f>IF(AND(3592&lt;$U$9,$W$5),BQ3605*1000000-MIN(BR3605,999)*1000+BS3605-3592/100000,-1000000000-3592)</f>
        <v/>
      </c>
    </row>
    <row r="3606">
      <c r="BN3606">
        <f>IF(3593&lt;$U$9,INT(3593/($U$7*$U$8))+1,1)</f>
        <v/>
      </c>
      <c r="BO3606">
        <f>IF(3593&lt;$U$9,MOD(INT(3593/$U$8),$U$7)+1,1)</f>
        <v/>
      </c>
      <c r="BP3606">
        <f>IF(3593&lt;$U$9,MOD(3593,$U$8)+1,1)</f>
        <v/>
      </c>
      <c r="BQ3606">
        <f>IF(3593&lt;$U$9,SUMPRODUCT(($D$10:$L$10&lt;&gt;"")*(($D$9:$L$9+INT(($S$12:$AA$12+INDEX($AJ$13:$AR$162,BN3606,0)+INDEX($AT$13:$BB$162,BO3606,0)+INDEX($BD$13:$BL$162,BP3606,0))/100))&gt;=$D$10:$L$10)),0)</f>
        <v/>
      </c>
      <c r="BR3606">
        <f>IF(3593&lt;$U$9,SUMPRODUCT(($D$10:$L$10&lt;&gt;"")*(($D$10:$L$10-($D$9:$L$9+INT(($S$12:$AA$12+INDEX($AJ$13:$AR$162,BN3606,0)+INDEX($AT$13:$BB$162,BO3606,0)+INDEX($BD$13:$BL$162,BP3606,0))/100)))&gt;0)*($D$10:$L$10-($D$9:$L$9+INT(($S$12:$AA$12+INDEX($AJ$13:$AR$162,BN3606,0)+INDEX($AT$13:$BB$162,BO3606,0)+INDEX($BD$13:$BL$162,BP3606,0))/100)))),0)</f>
        <v/>
      </c>
      <c r="BS3606">
        <f>IF(3593&lt;$U$9,SUMPRODUCT(($D$9:$L$9+INT(($S$12:$AA$12+INDEX($AJ$13:$AR$162,BN3606,0)+INDEX($AT$13:$BB$162,BO3606,0)+INDEX($BD$13:$BL$162,BP3606,0))/100))),0)</f>
        <v/>
      </c>
      <c r="BT3606">
        <f>IF(AND(3593&lt;$U$9,$W$5),BQ3606*1000000-MIN(BR3606,999)*1000+BS3606-3593/100000,-1000000000-3593)</f>
        <v/>
      </c>
    </row>
    <row r="3607">
      <c r="BN3607">
        <f>IF(3594&lt;$U$9,INT(3594/($U$7*$U$8))+1,1)</f>
        <v/>
      </c>
      <c r="BO3607">
        <f>IF(3594&lt;$U$9,MOD(INT(3594/$U$8),$U$7)+1,1)</f>
        <v/>
      </c>
      <c r="BP3607">
        <f>IF(3594&lt;$U$9,MOD(3594,$U$8)+1,1)</f>
        <v/>
      </c>
      <c r="BQ3607">
        <f>IF(3594&lt;$U$9,SUMPRODUCT(($D$10:$L$10&lt;&gt;"")*(($D$9:$L$9+INT(($S$12:$AA$12+INDEX($AJ$13:$AR$162,BN3607,0)+INDEX($AT$13:$BB$162,BO3607,0)+INDEX($BD$13:$BL$162,BP3607,0))/100))&gt;=$D$10:$L$10)),0)</f>
        <v/>
      </c>
      <c r="BR3607">
        <f>IF(3594&lt;$U$9,SUMPRODUCT(($D$10:$L$10&lt;&gt;"")*(($D$10:$L$10-($D$9:$L$9+INT(($S$12:$AA$12+INDEX($AJ$13:$AR$162,BN3607,0)+INDEX($AT$13:$BB$162,BO3607,0)+INDEX($BD$13:$BL$162,BP3607,0))/100)))&gt;0)*($D$10:$L$10-($D$9:$L$9+INT(($S$12:$AA$12+INDEX($AJ$13:$AR$162,BN3607,0)+INDEX($AT$13:$BB$162,BO3607,0)+INDEX($BD$13:$BL$162,BP3607,0))/100)))),0)</f>
        <v/>
      </c>
      <c r="BS3607">
        <f>IF(3594&lt;$U$9,SUMPRODUCT(($D$9:$L$9+INT(($S$12:$AA$12+INDEX($AJ$13:$AR$162,BN3607,0)+INDEX($AT$13:$BB$162,BO3607,0)+INDEX($BD$13:$BL$162,BP3607,0))/100))),0)</f>
        <v/>
      </c>
      <c r="BT3607">
        <f>IF(AND(3594&lt;$U$9,$W$5),BQ3607*1000000-MIN(BR3607,999)*1000+BS3607-3594/100000,-1000000000-3594)</f>
        <v/>
      </c>
    </row>
    <row r="3608">
      <c r="BN3608">
        <f>IF(3595&lt;$U$9,INT(3595/($U$7*$U$8))+1,1)</f>
        <v/>
      </c>
      <c r="BO3608">
        <f>IF(3595&lt;$U$9,MOD(INT(3595/$U$8),$U$7)+1,1)</f>
        <v/>
      </c>
      <c r="BP3608">
        <f>IF(3595&lt;$U$9,MOD(3595,$U$8)+1,1)</f>
        <v/>
      </c>
      <c r="BQ3608">
        <f>IF(3595&lt;$U$9,SUMPRODUCT(($D$10:$L$10&lt;&gt;"")*(($D$9:$L$9+INT(($S$12:$AA$12+INDEX($AJ$13:$AR$162,BN3608,0)+INDEX($AT$13:$BB$162,BO3608,0)+INDEX($BD$13:$BL$162,BP3608,0))/100))&gt;=$D$10:$L$10)),0)</f>
        <v/>
      </c>
      <c r="BR3608">
        <f>IF(3595&lt;$U$9,SUMPRODUCT(($D$10:$L$10&lt;&gt;"")*(($D$10:$L$10-($D$9:$L$9+INT(($S$12:$AA$12+INDEX($AJ$13:$AR$162,BN3608,0)+INDEX($AT$13:$BB$162,BO3608,0)+INDEX($BD$13:$BL$162,BP3608,0))/100)))&gt;0)*($D$10:$L$10-($D$9:$L$9+INT(($S$12:$AA$12+INDEX($AJ$13:$AR$162,BN3608,0)+INDEX($AT$13:$BB$162,BO3608,0)+INDEX($BD$13:$BL$162,BP3608,0))/100)))),0)</f>
        <v/>
      </c>
      <c r="BS3608">
        <f>IF(3595&lt;$U$9,SUMPRODUCT(($D$9:$L$9+INT(($S$12:$AA$12+INDEX($AJ$13:$AR$162,BN3608,0)+INDEX($AT$13:$BB$162,BO3608,0)+INDEX($BD$13:$BL$162,BP3608,0))/100))),0)</f>
        <v/>
      </c>
      <c r="BT3608">
        <f>IF(AND(3595&lt;$U$9,$W$5),BQ3608*1000000-MIN(BR3608,999)*1000+BS3608-3595/100000,-1000000000-3595)</f>
        <v/>
      </c>
    </row>
    <row r="3609">
      <c r="BN3609">
        <f>IF(3596&lt;$U$9,INT(3596/($U$7*$U$8))+1,1)</f>
        <v/>
      </c>
      <c r="BO3609">
        <f>IF(3596&lt;$U$9,MOD(INT(3596/$U$8),$U$7)+1,1)</f>
        <v/>
      </c>
      <c r="BP3609">
        <f>IF(3596&lt;$U$9,MOD(3596,$U$8)+1,1)</f>
        <v/>
      </c>
      <c r="BQ3609">
        <f>IF(3596&lt;$U$9,SUMPRODUCT(($D$10:$L$10&lt;&gt;"")*(($D$9:$L$9+INT(($S$12:$AA$12+INDEX($AJ$13:$AR$162,BN3609,0)+INDEX($AT$13:$BB$162,BO3609,0)+INDEX($BD$13:$BL$162,BP3609,0))/100))&gt;=$D$10:$L$10)),0)</f>
        <v/>
      </c>
      <c r="BR3609">
        <f>IF(3596&lt;$U$9,SUMPRODUCT(($D$10:$L$10&lt;&gt;"")*(($D$10:$L$10-($D$9:$L$9+INT(($S$12:$AA$12+INDEX($AJ$13:$AR$162,BN3609,0)+INDEX($AT$13:$BB$162,BO3609,0)+INDEX($BD$13:$BL$162,BP3609,0))/100)))&gt;0)*($D$10:$L$10-($D$9:$L$9+INT(($S$12:$AA$12+INDEX($AJ$13:$AR$162,BN3609,0)+INDEX($AT$13:$BB$162,BO3609,0)+INDEX($BD$13:$BL$162,BP3609,0))/100)))),0)</f>
        <v/>
      </c>
      <c r="BS3609">
        <f>IF(3596&lt;$U$9,SUMPRODUCT(($D$9:$L$9+INT(($S$12:$AA$12+INDEX($AJ$13:$AR$162,BN3609,0)+INDEX($AT$13:$BB$162,BO3609,0)+INDEX($BD$13:$BL$162,BP3609,0))/100))),0)</f>
        <v/>
      </c>
      <c r="BT3609">
        <f>IF(AND(3596&lt;$U$9,$W$5),BQ3609*1000000-MIN(BR3609,999)*1000+BS3609-3596/100000,-1000000000-3596)</f>
        <v/>
      </c>
    </row>
    <row r="3610">
      <c r="BN3610">
        <f>IF(3597&lt;$U$9,INT(3597/($U$7*$U$8))+1,1)</f>
        <v/>
      </c>
      <c r="BO3610">
        <f>IF(3597&lt;$U$9,MOD(INT(3597/$U$8),$U$7)+1,1)</f>
        <v/>
      </c>
      <c r="BP3610">
        <f>IF(3597&lt;$U$9,MOD(3597,$U$8)+1,1)</f>
        <v/>
      </c>
      <c r="BQ3610">
        <f>IF(3597&lt;$U$9,SUMPRODUCT(($D$10:$L$10&lt;&gt;"")*(($D$9:$L$9+INT(($S$12:$AA$12+INDEX($AJ$13:$AR$162,BN3610,0)+INDEX($AT$13:$BB$162,BO3610,0)+INDEX($BD$13:$BL$162,BP3610,0))/100))&gt;=$D$10:$L$10)),0)</f>
        <v/>
      </c>
      <c r="BR3610">
        <f>IF(3597&lt;$U$9,SUMPRODUCT(($D$10:$L$10&lt;&gt;"")*(($D$10:$L$10-($D$9:$L$9+INT(($S$12:$AA$12+INDEX($AJ$13:$AR$162,BN3610,0)+INDEX($AT$13:$BB$162,BO3610,0)+INDEX($BD$13:$BL$162,BP3610,0))/100)))&gt;0)*($D$10:$L$10-($D$9:$L$9+INT(($S$12:$AA$12+INDEX($AJ$13:$AR$162,BN3610,0)+INDEX($AT$13:$BB$162,BO3610,0)+INDEX($BD$13:$BL$162,BP3610,0))/100)))),0)</f>
        <v/>
      </c>
      <c r="BS3610">
        <f>IF(3597&lt;$U$9,SUMPRODUCT(($D$9:$L$9+INT(($S$12:$AA$12+INDEX($AJ$13:$AR$162,BN3610,0)+INDEX($AT$13:$BB$162,BO3610,0)+INDEX($BD$13:$BL$162,BP3610,0))/100))),0)</f>
        <v/>
      </c>
      <c r="BT3610">
        <f>IF(AND(3597&lt;$U$9,$W$5),BQ3610*1000000-MIN(BR3610,999)*1000+BS3610-3597/100000,-1000000000-3597)</f>
        <v/>
      </c>
    </row>
    <row r="3611">
      <c r="BN3611">
        <f>IF(3598&lt;$U$9,INT(3598/($U$7*$U$8))+1,1)</f>
        <v/>
      </c>
      <c r="BO3611">
        <f>IF(3598&lt;$U$9,MOD(INT(3598/$U$8),$U$7)+1,1)</f>
        <v/>
      </c>
      <c r="BP3611">
        <f>IF(3598&lt;$U$9,MOD(3598,$U$8)+1,1)</f>
        <v/>
      </c>
      <c r="BQ3611">
        <f>IF(3598&lt;$U$9,SUMPRODUCT(($D$10:$L$10&lt;&gt;"")*(($D$9:$L$9+INT(($S$12:$AA$12+INDEX($AJ$13:$AR$162,BN3611,0)+INDEX($AT$13:$BB$162,BO3611,0)+INDEX($BD$13:$BL$162,BP3611,0))/100))&gt;=$D$10:$L$10)),0)</f>
        <v/>
      </c>
      <c r="BR3611">
        <f>IF(3598&lt;$U$9,SUMPRODUCT(($D$10:$L$10&lt;&gt;"")*(($D$10:$L$10-($D$9:$L$9+INT(($S$12:$AA$12+INDEX($AJ$13:$AR$162,BN3611,0)+INDEX($AT$13:$BB$162,BO3611,0)+INDEX($BD$13:$BL$162,BP3611,0))/100)))&gt;0)*($D$10:$L$10-($D$9:$L$9+INT(($S$12:$AA$12+INDEX($AJ$13:$AR$162,BN3611,0)+INDEX($AT$13:$BB$162,BO3611,0)+INDEX($BD$13:$BL$162,BP3611,0))/100)))),0)</f>
        <v/>
      </c>
      <c r="BS3611">
        <f>IF(3598&lt;$U$9,SUMPRODUCT(($D$9:$L$9+INT(($S$12:$AA$12+INDEX($AJ$13:$AR$162,BN3611,0)+INDEX($AT$13:$BB$162,BO3611,0)+INDEX($BD$13:$BL$162,BP3611,0))/100))),0)</f>
        <v/>
      </c>
      <c r="BT3611">
        <f>IF(AND(3598&lt;$U$9,$W$5),BQ3611*1000000-MIN(BR3611,999)*1000+BS3611-3598/100000,-1000000000-3598)</f>
        <v/>
      </c>
    </row>
    <row r="3612">
      <c r="BN3612">
        <f>IF(3599&lt;$U$9,INT(3599/($U$7*$U$8))+1,1)</f>
        <v/>
      </c>
      <c r="BO3612">
        <f>IF(3599&lt;$U$9,MOD(INT(3599/$U$8),$U$7)+1,1)</f>
        <v/>
      </c>
      <c r="BP3612">
        <f>IF(3599&lt;$U$9,MOD(3599,$U$8)+1,1)</f>
        <v/>
      </c>
      <c r="BQ3612">
        <f>IF(3599&lt;$U$9,SUMPRODUCT(($D$10:$L$10&lt;&gt;"")*(($D$9:$L$9+INT(($S$12:$AA$12+INDEX($AJ$13:$AR$162,BN3612,0)+INDEX($AT$13:$BB$162,BO3612,0)+INDEX($BD$13:$BL$162,BP3612,0))/100))&gt;=$D$10:$L$10)),0)</f>
        <v/>
      </c>
      <c r="BR3612">
        <f>IF(3599&lt;$U$9,SUMPRODUCT(($D$10:$L$10&lt;&gt;"")*(($D$10:$L$10-($D$9:$L$9+INT(($S$12:$AA$12+INDEX($AJ$13:$AR$162,BN3612,0)+INDEX($AT$13:$BB$162,BO3612,0)+INDEX($BD$13:$BL$162,BP3612,0))/100)))&gt;0)*($D$10:$L$10-($D$9:$L$9+INT(($S$12:$AA$12+INDEX($AJ$13:$AR$162,BN3612,0)+INDEX($AT$13:$BB$162,BO3612,0)+INDEX($BD$13:$BL$162,BP3612,0))/100)))),0)</f>
        <v/>
      </c>
      <c r="BS3612">
        <f>IF(3599&lt;$U$9,SUMPRODUCT(($D$9:$L$9+INT(($S$12:$AA$12+INDEX($AJ$13:$AR$162,BN3612,0)+INDEX($AT$13:$BB$162,BO3612,0)+INDEX($BD$13:$BL$162,BP3612,0))/100))),0)</f>
        <v/>
      </c>
      <c r="BT3612">
        <f>IF(AND(3599&lt;$U$9,$W$5),BQ3612*1000000-MIN(BR3612,999)*1000+BS3612-3599/100000,-1000000000-3599)</f>
        <v/>
      </c>
    </row>
    <row r="3613">
      <c r="BN3613">
        <f>IF(3600&lt;$U$9,INT(3600/($U$7*$U$8))+1,1)</f>
        <v/>
      </c>
      <c r="BO3613">
        <f>IF(3600&lt;$U$9,MOD(INT(3600/$U$8),$U$7)+1,1)</f>
        <v/>
      </c>
      <c r="BP3613">
        <f>IF(3600&lt;$U$9,MOD(3600,$U$8)+1,1)</f>
        <v/>
      </c>
      <c r="BQ3613">
        <f>IF(3600&lt;$U$9,SUMPRODUCT(($D$10:$L$10&lt;&gt;"")*(($D$9:$L$9+INT(($S$12:$AA$12+INDEX($AJ$13:$AR$162,BN3613,0)+INDEX($AT$13:$BB$162,BO3613,0)+INDEX($BD$13:$BL$162,BP3613,0))/100))&gt;=$D$10:$L$10)),0)</f>
        <v/>
      </c>
      <c r="BR3613">
        <f>IF(3600&lt;$U$9,SUMPRODUCT(($D$10:$L$10&lt;&gt;"")*(($D$10:$L$10-($D$9:$L$9+INT(($S$12:$AA$12+INDEX($AJ$13:$AR$162,BN3613,0)+INDEX($AT$13:$BB$162,BO3613,0)+INDEX($BD$13:$BL$162,BP3613,0))/100)))&gt;0)*($D$10:$L$10-($D$9:$L$9+INT(($S$12:$AA$12+INDEX($AJ$13:$AR$162,BN3613,0)+INDEX($AT$13:$BB$162,BO3613,0)+INDEX($BD$13:$BL$162,BP3613,0))/100)))),0)</f>
        <v/>
      </c>
      <c r="BS3613">
        <f>IF(3600&lt;$U$9,SUMPRODUCT(($D$9:$L$9+INT(($S$12:$AA$12+INDEX($AJ$13:$AR$162,BN3613,0)+INDEX($AT$13:$BB$162,BO3613,0)+INDEX($BD$13:$BL$162,BP3613,0))/100))),0)</f>
        <v/>
      </c>
      <c r="BT3613">
        <f>IF(AND(3600&lt;$U$9,$W$5),BQ3613*1000000-MIN(BR3613,999)*1000+BS3613-3600/100000,-1000000000-3600)</f>
        <v/>
      </c>
    </row>
    <row r="3614">
      <c r="BN3614">
        <f>IF(3601&lt;$U$9,INT(3601/($U$7*$U$8))+1,1)</f>
        <v/>
      </c>
      <c r="BO3614">
        <f>IF(3601&lt;$U$9,MOD(INT(3601/$U$8),$U$7)+1,1)</f>
        <v/>
      </c>
      <c r="BP3614">
        <f>IF(3601&lt;$U$9,MOD(3601,$U$8)+1,1)</f>
        <v/>
      </c>
      <c r="BQ3614">
        <f>IF(3601&lt;$U$9,SUMPRODUCT(($D$10:$L$10&lt;&gt;"")*(($D$9:$L$9+INT(($S$12:$AA$12+INDEX($AJ$13:$AR$162,BN3614,0)+INDEX($AT$13:$BB$162,BO3614,0)+INDEX($BD$13:$BL$162,BP3614,0))/100))&gt;=$D$10:$L$10)),0)</f>
        <v/>
      </c>
      <c r="BR3614">
        <f>IF(3601&lt;$U$9,SUMPRODUCT(($D$10:$L$10&lt;&gt;"")*(($D$10:$L$10-($D$9:$L$9+INT(($S$12:$AA$12+INDEX($AJ$13:$AR$162,BN3614,0)+INDEX($AT$13:$BB$162,BO3614,0)+INDEX($BD$13:$BL$162,BP3614,0))/100)))&gt;0)*($D$10:$L$10-($D$9:$L$9+INT(($S$12:$AA$12+INDEX($AJ$13:$AR$162,BN3614,0)+INDEX($AT$13:$BB$162,BO3614,0)+INDEX($BD$13:$BL$162,BP3614,0))/100)))),0)</f>
        <v/>
      </c>
      <c r="BS3614">
        <f>IF(3601&lt;$U$9,SUMPRODUCT(($D$9:$L$9+INT(($S$12:$AA$12+INDEX($AJ$13:$AR$162,BN3614,0)+INDEX($AT$13:$BB$162,BO3614,0)+INDEX($BD$13:$BL$162,BP3614,0))/100))),0)</f>
        <v/>
      </c>
      <c r="BT3614">
        <f>IF(AND(3601&lt;$U$9,$W$5),BQ3614*1000000-MIN(BR3614,999)*1000+BS3614-3601/100000,-1000000000-3601)</f>
        <v/>
      </c>
    </row>
    <row r="3615">
      <c r="BN3615">
        <f>IF(3602&lt;$U$9,INT(3602/($U$7*$U$8))+1,1)</f>
        <v/>
      </c>
      <c r="BO3615">
        <f>IF(3602&lt;$U$9,MOD(INT(3602/$U$8),$U$7)+1,1)</f>
        <v/>
      </c>
      <c r="BP3615">
        <f>IF(3602&lt;$U$9,MOD(3602,$U$8)+1,1)</f>
        <v/>
      </c>
      <c r="BQ3615">
        <f>IF(3602&lt;$U$9,SUMPRODUCT(($D$10:$L$10&lt;&gt;"")*(($D$9:$L$9+INT(($S$12:$AA$12+INDEX($AJ$13:$AR$162,BN3615,0)+INDEX($AT$13:$BB$162,BO3615,0)+INDEX($BD$13:$BL$162,BP3615,0))/100))&gt;=$D$10:$L$10)),0)</f>
        <v/>
      </c>
      <c r="BR3615">
        <f>IF(3602&lt;$U$9,SUMPRODUCT(($D$10:$L$10&lt;&gt;"")*(($D$10:$L$10-($D$9:$L$9+INT(($S$12:$AA$12+INDEX($AJ$13:$AR$162,BN3615,0)+INDEX($AT$13:$BB$162,BO3615,0)+INDEX($BD$13:$BL$162,BP3615,0))/100)))&gt;0)*($D$10:$L$10-($D$9:$L$9+INT(($S$12:$AA$12+INDEX($AJ$13:$AR$162,BN3615,0)+INDEX($AT$13:$BB$162,BO3615,0)+INDEX($BD$13:$BL$162,BP3615,0))/100)))),0)</f>
        <v/>
      </c>
      <c r="BS3615">
        <f>IF(3602&lt;$U$9,SUMPRODUCT(($D$9:$L$9+INT(($S$12:$AA$12+INDEX($AJ$13:$AR$162,BN3615,0)+INDEX($AT$13:$BB$162,BO3615,0)+INDEX($BD$13:$BL$162,BP3615,0))/100))),0)</f>
        <v/>
      </c>
      <c r="BT3615">
        <f>IF(AND(3602&lt;$U$9,$W$5),BQ3615*1000000-MIN(BR3615,999)*1000+BS3615-3602/100000,-1000000000-3602)</f>
        <v/>
      </c>
    </row>
    <row r="3616">
      <c r="BN3616">
        <f>IF(3603&lt;$U$9,INT(3603/($U$7*$U$8))+1,1)</f>
        <v/>
      </c>
      <c r="BO3616">
        <f>IF(3603&lt;$U$9,MOD(INT(3603/$U$8),$U$7)+1,1)</f>
        <v/>
      </c>
      <c r="BP3616">
        <f>IF(3603&lt;$U$9,MOD(3603,$U$8)+1,1)</f>
        <v/>
      </c>
      <c r="BQ3616">
        <f>IF(3603&lt;$U$9,SUMPRODUCT(($D$10:$L$10&lt;&gt;"")*(($D$9:$L$9+INT(($S$12:$AA$12+INDEX($AJ$13:$AR$162,BN3616,0)+INDEX($AT$13:$BB$162,BO3616,0)+INDEX($BD$13:$BL$162,BP3616,0))/100))&gt;=$D$10:$L$10)),0)</f>
        <v/>
      </c>
      <c r="BR3616">
        <f>IF(3603&lt;$U$9,SUMPRODUCT(($D$10:$L$10&lt;&gt;"")*(($D$10:$L$10-($D$9:$L$9+INT(($S$12:$AA$12+INDEX($AJ$13:$AR$162,BN3616,0)+INDEX($AT$13:$BB$162,BO3616,0)+INDEX($BD$13:$BL$162,BP3616,0))/100)))&gt;0)*($D$10:$L$10-($D$9:$L$9+INT(($S$12:$AA$12+INDEX($AJ$13:$AR$162,BN3616,0)+INDEX($AT$13:$BB$162,BO3616,0)+INDEX($BD$13:$BL$162,BP3616,0))/100)))),0)</f>
        <v/>
      </c>
      <c r="BS3616">
        <f>IF(3603&lt;$U$9,SUMPRODUCT(($D$9:$L$9+INT(($S$12:$AA$12+INDEX($AJ$13:$AR$162,BN3616,0)+INDEX($AT$13:$BB$162,BO3616,0)+INDEX($BD$13:$BL$162,BP3616,0))/100))),0)</f>
        <v/>
      </c>
      <c r="BT3616">
        <f>IF(AND(3603&lt;$U$9,$W$5),BQ3616*1000000-MIN(BR3616,999)*1000+BS3616-3603/100000,-1000000000-3603)</f>
        <v/>
      </c>
    </row>
    <row r="3617">
      <c r="BN3617">
        <f>IF(3604&lt;$U$9,INT(3604/($U$7*$U$8))+1,1)</f>
        <v/>
      </c>
      <c r="BO3617">
        <f>IF(3604&lt;$U$9,MOD(INT(3604/$U$8),$U$7)+1,1)</f>
        <v/>
      </c>
      <c r="BP3617">
        <f>IF(3604&lt;$U$9,MOD(3604,$U$8)+1,1)</f>
        <v/>
      </c>
      <c r="BQ3617">
        <f>IF(3604&lt;$U$9,SUMPRODUCT(($D$10:$L$10&lt;&gt;"")*(($D$9:$L$9+INT(($S$12:$AA$12+INDEX($AJ$13:$AR$162,BN3617,0)+INDEX($AT$13:$BB$162,BO3617,0)+INDEX($BD$13:$BL$162,BP3617,0))/100))&gt;=$D$10:$L$10)),0)</f>
        <v/>
      </c>
      <c r="BR3617">
        <f>IF(3604&lt;$U$9,SUMPRODUCT(($D$10:$L$10&lt;&gt;"")*(($D$10:$L$10-($D$9:$L$9+INT(($S$12:$AA$12+INDEX($AJ$13:$AR$162,BN3617,0)+INDEX($AT$13:$BB$162,BO3617,0)+INDEX($BD$13:$BL$162,BP3617,0))/100)))&gt;0)*($D$10:$L$10-($D$9:$L$9+INT(($S$12:$AA$12+INDEX($AJ$13:$AR$162,BN3617,0)+INDEX($AT$13:$BB$162,BO3617,0)+INDEX($BD$13:$BL$162,BP3617,0))/100)))),0)</f>
        <v/>
      </c>
      <c r="BS3617">
        <f>IF(3604&lt;$U$9,SUMPRODUCT(($D$9:$L$9+INT(($S$12:$AA$12+INDEX($AJ$13:$AR$162,BN3617,0)+INDEX($AT$13:$BB$162,BO3617,0)+INDEX($BD$13:$BL$162,BP3617,0))/100))),0)</f>
        <v/>
      </c>
      <c r="BT3617">
        <f>IF(AND(3604&lt;$U$9,$W$5),BQ3617*1000000-MIN(BR3617,999)*1000+BS3617-3604/100000,-1000000000-3604)</f>
        <v/>
      </c>
    </row>
    <row r="3618">
      <c r="BN3618">
        <f>IF(3605&lt;$U$9,INT(3605/($U$7*$U$8))+1,1)</f>
        <v/>
      </c>
      <c r="BO3618">
        <f>IF(3605&lt;$U$9,MOD(INT(3605/$U$8),$U$7)+1,1)</f>
        <v/>
      </c>
      <c r="BP3618">
        <f>IF(3605&lt;$U$9,MOD(3605,$U$8)+1,1)</f>
        <v/>
      </c>
      <c r="BQ3618">
        <f>IF(3605&lt;$U$9,SUMPRODUCT(($D$10:$L$10&lt;&gt;"")*(($D$9:$L$9+INT(($S$12:$AA$12+INDEX($AJ$13:$AR$162,BN3618,0)+INDEX($AT$13:$BB$162,BO3618,0)+INDEX($BD$13:$BL$162,BP3618,0))/100))&gt;=$D$10:$L$10)),0)</f>
        <v/>
      </c>
      <c r="BR3618">
        <f>IF(3605&lt;$U$9,SUMPRODUCT(($D$10:$L$10&lt;&gt;"")*(($D$10:$L$10-($D$9:$L$9+INT(($S$12:$AA$12+INDEX($AJ$13:$AR$162,BN3618,0)+INDEX($AT$13:$BB$162,BO3618,0)+INDEX($BD$13:$BL$162,BP3618,0))/100)))&gt;0)*($D$10:$L$10-($D$9:$L$9+INT(($S$12:$AA$12+INDEX($AJ$13:$AR$162,BN3618,0)+INDEX($AT$13:$BB$162,BO3618,0)+INDEX($BD$13:$BL$162,BP3618,0))/100)))),0)</f>
        <v/>
      </c>
      <c r="BS3618">
        <f>IF(3605&lt;$U$9,SUMPRODUCT(($D$9:$L$9+INT(($S$12:$AA$12+INDEX($AJ$13:$AR$162,BN3618,0)+INDEX($AT$13:$BB$162,BO3618,0)+INDEX($BD$13:$BL$162,BP3618,0))/100))),0)</f>
        <v/>
      </c>
      <c r="BT3618">
        <f>IF(AND(3605&lt;$U$9,$W$5),BQ3618*1000000-MIN(BR3618,999)*1000+BS3618-3605/100000,-1000000000-3605)</f>
        <v/>
      </c>
    </row>
    <row r="3619">
      <c r="BN3619">
        <f>IF(3606&lt;$U$9,INT(3606/($U$7*$U$8))+1,1)</f>
        <v/>
      </c>
      <c r="BO3619">
        <f>IF(3606&lt;$U$9,MOD(INT(3606/$U$8),$U$7)+1,1)</f>
        <v/>
      </c>
      <c r="BP3619">
        <f>IF(3606&lt;$U$9,MOD(3606,$U$8)+1,1)</f>
        <v/>
      </c>
      <c r="BQ3619">
        <f>IF(3606&lt;$U$9,SUMPRODUCT(($D$10:$L$10&lt;&gt;"")*(($D$9:$L$9+INT(($S$12:$AA$12+INDEX($AJ$13:$AR$162,BN3619,0)+INDEX($AT$13:$BB$162,BO3619,0)+INDEX($BD$13:$BL$162,BP3619,0))/100))&gt;=$D$10:$L$10)),0)</f>
        <v/>
      </c>
      <c r="BR3619">
        <f>IF(3606&lt;$U$9,SUMPRODUCT(($D$10:$L$10&lt;&gt;"")*(($D$10:$L$10-($D$9:$L$9+INT(($S$12:$AA$12+INDEX($AJ$13:$AR$162,BN3619,0)+INDEX($AT$13:$BB$162,BO3619,0)+INDEX($BD$13:$BL$162,BP3619,0))/100)))&gt;0)*($D$10:$L$10-($D$9:$L$9+INT(($S$12:$AA$12+INDEX($AJ$13:$AR$162,BN3619,0)+INDEX($AT$13:$BB$162,BO3619,0)+INDEX($BD$13:$BL$162,BP3619,0))/100)))),0)</f>
        <v/>
      </c>
      <c r="BS3619">
        <f>IF(3606&lt;$U$9,SUMPRODUCT(($D$9:$L$9+INT(($S$12:$AA$12+INDEX($AJ$13:$AR$162,BN3619,0)+INDEX($AT$13:$BB$162,BO3619,0)+INDEX($BD$13:$BL$162,BP3619,0))/100))),0)</f>
        <v/>
      </c>
      <c r="BT3619">
        <f>IF(AND(3606&lt;$U$9,$W$5),BQ3619*1000000-MIN(BR3619,999)*1000+BS3619-3606/100000,-1000000000-3606)</f>
        <v/>
      </c>
    </row>
    <row r="3620">
      <c r="BN3620">
        <f>IF(3607&lt;$U$9,INT(3607/($U$7*$U$8))+1,1)</f>
        <v/>
      </c>
      <c r="BO3620">
        <f>IF(3607&lt;$U$9,MOD(INT(3607/$U$8),$U$7)+1,1)</f>
        <v/>
      </c>
      <c r="BP3620">
        <f>IF(3607&lt;$U$9,MOD(3607,$U$8)+1,1)</f>
        <v/>
      </c>
      <c r="BQ3620">
        <f>IF(3607&lt;$U$9,SUMPRODUCT(($D$10:$L$10&lt;&gt;"")*(($D$9:$L$9+INT(($S$12:$AA$12+INDEX($AJ$13:$AR$162,BN3620,0)+INDEX($AT$13:$BB$162,BO3620,0)+INDEX($BD$13:$BL$162,BP3620,0))/100))&gt;=$D$10:$L$10)),0)</f>
        <v/>
      </c>
      <c r="BR3620">
        <f>IF(3607&lt;$U$9,SUMPRODUCT(($D$10:$L$10&lt;&gt;"")*(($D$10:$L$10-($D$9:$L$9+INT(($S$12:$AA$12+INDEX($AJ$13:$AR$162,BN3620,0)+INDEX($AT$13:$BB$162,BO3620,0)+INDEX($BD$13:$BL$162,BP3620,0))/100)))&gt;0)*($D$10:$L$10-($D$9:$L$9+INT(($S$12:$AA$12+INDEX($AJ$13:$AR$162,BN3620,0)+INDEX($AT$13:$BB$162,BO3620,0)+INDEX($BD$13:$BL$162,BP3620,0))/100)))),0)</f>
        <v/>
      </c>
      <c r="BS3620">
        <f>IF(3607&lt;$U$9,SUMPRODUCT(($D$9:$L$9+INT(($S$12:$AA$12+INDEX($AJ$13:$AR$162,BN3620,0)+INDEX($AT$13:$BB$162,BO3620,0)+INDEX($BD$13:$BL$162,BP3620,0))/100))),0)</f>
        <v/>
      </c>
      <c r="BT3620">
        <f>IF(AND(3607&lt;$U$9,$W$5),BQ3620*1000000-MIN(BR3620,999)*1000+BS3620-3607/100000,-1000000000-3607)</f>
        <v/>
      </c>
    </row>
    <row r="3621">
      <c r="BN3621">
        <f>IF(3608&lt;$U$9,INT(3608/($U$7*$U$8))+1,1)</f>
        <v/>
      </c>
      <c r="BO3621">
        <f>IF(3608&lt;$U$9,MOD(INT(3608/$U$8),$U$7)+1,1)</f>
        <v/>
      </c>
      <c r="BP3621">
        <f>IF(3608&lt;$U$9,MOD(3608,$U$8)+1,1)</f>
        <v/>
      </c>
      <c r="BQ3621">
        <f>IF(3608&lt;$U$9,SUMPRODUCT(($D$10:$L$10&lt;&gt;"")*(($D$9:$L$9+INT(($S$12:$AA$12+INDEX($AJ$13:$AR$162,BN3621,0)+INDEX($AT$13:$BB$162,BO3621,0)+INDEX($BD$13:$BL$162,BP3621,0))/100))&gt;=$D$10:$L$10)),0)</f>
        <v/>
      </c>
      <c r="BR3621">
        <f>IF(3608&lt;$U$9,SUMPRODUCT(($D$10:$L$10&lt;&gt;"")*(($D$10:$L$10-($D$9:$L$9+INT(($S$12:$AA$12+INDEX($AJ$13:$AR$162,BN3621,0)+INDEX($AT$13:$BB$162,BO3621,0)+INDEX($BD$13:$BL$162,BP3621,0))/100)))&gt;0)*($D$10:$L$10-($D$9:$L$9+INT(($S$12:$AA$12+INDEX($AJ$13:$AR$162,BN3621,0)+INDEX($AT$13:$BB$162,BO3621,0)+INDEX($BD$13:$BL$162,BP3621,0))/100)))),0)</f>
        <v/>
      </c>
      <c r="BS3621">
        <f>IF(3608&lt;$U$9,SUMPRODUCT(($D$9:$L$9+INT(($S$12:$AA$12+INDEX($AJ$13:$AR$162,BN3621,0)+INDEX($AT$13:$BB$162,BO3621,0)+INDEX($BD$13:$BL$162,BP3621,0))/100))),0)</f>
        <v/>
      </c>
      <c r="BT3621">
        <f>IF(AND(3608&lt;$U$9,$W$5),BQ3621*1000000-MIN(BR3621,999)*1000+BS3621-3608/100000,-1000000000-3608)</f>
        <v/>
      </c>
    </row>
    <row r="3622">
      <c r="BN3622">
        <f>IF(3609&lt;$U$9,INT(3609/($U$7*$U$8))+1,1)</f>
        <v/>
      </c>
      <c r="BO3622">
        <f>IF(3609&lt;$U$9,MOD(INT(3609/$U$8),$U$7)+1,1)</f>
        <v/>
      </c>
      <c r="BP3622">
        <f>IF(3609&lt;$U$9,MOD(3609,$U$8)+1,1)</f>
        <v/>
      </c>
      <c r="BQ3622">
        <f>IF(3609&lt;$U$9,SUMPRODUCT(($D$10:$L$10&lt;&gt;"")*(($D$9:$L$9+INT(($S$12:$AA$12+INDEX($AJ$13:$AR$162,BN3622,0)+INDEX($AT$13:$BB$162,BO3622,0)+INDEX($BD$13:$BL$162,BP3622,0))/100))&gt;=$D$10:$L$10)),0)</f>
        <v/>
      </c>
      <c r="BR3622">
        <f>IF(3609&lt;$U$9,SUMPRODUCT(($D$10:$L$10&lt;&gt;"")*(($D$10:$L$10-($D$9:$L$9+INT(($S$12:$AA$12+INDEX($AJ$13:$AR$162,BN3622,0)+INDEX($AT$13:$BB$162,BO3622,0)+INDEX($BD$13:$BL$162,BP3622,0))/100)))&gt;0)*($D$10:$L$10-($D$9:$L$9+INT(($S$12:$AA$12+INDEX($AJ$13:$AR$162,BN3622,0)+INDEX($AT$13:$BB$162,BO3622,0)+INDEX($BD$13:$BL$162,BP3622,0))/100)))),0)</f>
        <v/>
      </c>
      <c r="BS3622">
        <f>IF(3609&lt;$U$9,SUMPRODUCT(($D$9:$L$9+INT(($S$12:$AA$12+INDEX($AJ$13:$AR$162,BN3622,0)+INDEX($AT$13:$BB$162,BO3622,0)+INDEX($BD$13:$BL$162,BP3622,0))/100))),0)</f>
        <v/>
      </c>
      <c r="BT3622">
        <f>IF(AND(3609&lt;$U$9,$W$5),BQ3622*1000000-MIN(BR3622,999)*1000+BS3622-3609/100000,-1000000000-3609)</f>
        <v/>
      </c>
    </row>
    <row r="3623">
      <c r="BN3623">
        <f>IF(3610&lt;$U$9,INT(3610/($U$7*$U$8))+1,1)</f>
        <v/>
      </c>
      <c r="BO3623">
        <f>IF(3610&lt;$U$9,MOD(INT(3610/$U$8),$U$7)+1,1)</f>
        <v/>
      </c>
      <c r="BP3623">
        <f>IF(3610&lt;$U$9,MOD(3610,$U$8)+1,1)</f>
        <v/>
      </c>
      <c r="BQ3623">
        <f>IF(3610&lt;$U$9,SUMPRODUCT(($D$10:$L$10&lt;&gt;"")*(($D$9:$L$9+INT(($S$12:$AA$12+INDEX($AJ$13:$AR$162,BN3623,0)+INDEX($AT$13:$BB$162,BO3623,0)+INDEX($BD$13:$BL$162,BP3623,0))/100))&gt;=$D$10:$L$10)),0)</f>
        <v/>
      </c>
      <c r="BR3623">
        <f>IF(3610&lt;$U$9,SUMPRODUCT(($D$10:$L$10&lt;&gt;"")*(($D$10:$L$10-($D$9:$L$9+INT(($S$12:$AA$12+INDEX($AJ$13:$AR$162,BN3623,0)+INDEX($AT$13:$BB$162,BO3623,0)+INDEX($BD$13:$BL$162,BP3623,0))/100)))&gt;0)*($D$10:$L$10-($D$9:$L$9+INT(($S$12:$AA$12+INDEX($AJ$13:$AR$162,BN3623,0)+INDEX($AT$13:$BB$162,BO3623,0)+INDEX($BD$13:$BL$162,BP3623,0))/100)))),0)</f>
        <v/>
      </c>
      <c r="BS3623">
        <f>IF(3610&lt;$U$9,SUMPRODUCT(($D$9:$L$9+INT(($S$12:$AA$12+INDEX($AJ$13:$AR$162,BN3623,0)+INDEX($AT$13:$BB$162,BO3623,0)+INDEX($BD$13:$BL$162,BP3623,0))/100))),0)</f>
        <v/>
      </c>
      <c r="BT3623">
        <f>IF(AND(3610&lt;$U$9,$W$5),BQ3623*1000000-MIN(BR3623,999)*1000+BS3623-3610/100000,-1000000000-3610)</f>
        <v/>
      </c>
    </row>
    <row r="3624">
      <c r="BN3624">
        <f>IF(3611&lt;$U$9,INT(3611/($U$7*$U$8))+1,1)</f>
        <v/>
      </c>
      <c r="BO3624">
        <f>IF(3611&lt;$U$9,MOD(INT(3611/$U$8),$U$7)+1,1)</f>
        <v/>
      </c>
      <c r="BP3624">
        <f>IF(3611&lt;$U$9,MOD(3611,$U$8)+1,1)</f>
        <v/>
      </c>
      <c r="BQ3624">
        <f>IF(3611&lt;$U$9,SUMPRODUCT(($D$10:$L$10&lt;&gt;"")*(($D$9:$L$9+INT(($S$12:$AA$12+INDEX($AJ$13:$AR$162,BN3624,0)+INDEX($AT$13:$BB$162,BO3624,0)+INDEX($BD$13:$BL$162,BP3624,0))/100))&gt;=$D$10:$L$10)),0)</f>
        <v/>
      </c>
      <c r="BR3624">
        <f>IF(3611&lt;$U$9,SUMPRODUCT(($D$10:$L$10&lt;&gt;"")*(($D$10:$L$10-($D$9:$L$9+INT(($S$12:$AA$12+INDEX($AJ$13:$AR$162,BN3624,0)+INDEX($AT$13:$BB$162,BO3624,0)+INDEX($BD$13:$BL$162,BP3624,0))/100)))&gt;0)*($D$10:$L$10-($D$9:$L$9+INT(($S$12:$AA$12+INDEX($AJ$13:$AR$162,BN3624,0)+INDEX($AT$13:$BB$162,BO3624,0)+INDEX($BD$13:$BL$162,BP3624,0))/100)))),0)</f>
        <v/>
      </c>
      <c r="BS3624">
        <f>IF(3611&lt;$U$9,SUMPRODUCT(($D$9:$L$9+INT(($S$12:$AA$12+INDEX($AJ$13:$AR$162,BN3624,0)+INDEX($AT$13:$BB$162,BO3624,0)+INDEX($BD$13:$BL$162,BP3624,0))/100))),0)</f>
        <v/>
      </c>
      <c r="BT3624">
        <f>IF(AND(3611&lt;$U$9,$W$5),BQ3624*1000000-MIN(BR3624,999)*1000+BS3624-3611/100000,-1000000000-3611)</f>
        <v/>
      </c>
    </row>
    <row r="3625">
      <c r="BN3625">
        <f>IF(3612&lt;$U$9,INT(3612/($U$7*$U$8))+1,1)</f>
        <v/>
      </c>
      <c r="BO3625">
        <f>IF(3612&lt;$U$9,MOD(INT(3612/$U$8),$U$7)+1,1)</f>
        <v/>
      </c>
      <c r="BP3625">
        <f>IF(3612&lt;$U$9,MOD(3612,$U$8)+1,1)</f>
        <v/>
      </c>
      <c r="BQ3625">
        <f>IF(3612&lt;$U$9,SUMPRODUCT(($D$10:$L$10&lt;&gt;"")*(($D$9:$L$9+INT(($S$12:$AA$12+INDEX($AJ$13:$AR$162,BN3625,0)+INDEX($AT$13:$BB$162,BO3625,0)+INDEX($BD$13:$BL$162,BP3625,0))/100))&gt;=$D$10:$L$10)),0)</f>
        <v/>
      </c>
      <c r="BR3625">
        <f>IF(3612&lt;$U$9,SUMPRODUCT(($D$10:$L$10&lt;&gt;"")*(($D$10:$L$10-($D$9:$L$9+INT(($S$12:$AA$12+INDEX($AJ$13:$AR$162,BN3625,0)+INDEX($AT$13:$BB$162,BO3625,0)+INDEX($BD$13:$BL$162,BP3625,0))/100)))&gt;0)*($D$10:$L$10-($D$9:$L$9+INT(($S$12:$AA$12+INDEX($AJ$13:$AR$162,BN3625,0)+INDEX($AT$13:$BB$162,BO3625,0)+INDEX($BD$13:$BL$162,BP3625,0))/100)))),0)</f>
        <v/>
      </c>
      <c r="BS3625">
        <f>IF(3612&lt;$U$9,SUMPRODUCT(($D$9:$L$9+INT(($S$12:$AA$12+INDEX($AJ$13:$AR$162,BN3625,0)+INDEX($AT$13:$BB$162,BO3625,0)+INDEX($BD$13:$BL$162,BP3625,0))/100))),0)</f>
        <v/>
      </c>
      <c r="BT3625">
        <f>IF(AND(3612&lt;$U$9,$W$5),BQ3625*1000000-MIN(BR3625,999)*1000+BS3625-3612/100000,-1000000000-3612)</f>
        <v/>
      </c>
    </row>
    <row r="3626">
      <c r="BN3626">
        <f>IF(3613&lt;$U$9,INT(3613/($U$7*$U$8))+1,1)</f>
        <v/>
      </c>
      <c r="BO3626">
        <f>IF(3613&lt;$U$9,MOD(INT(3613/$U$8),$U$7)+1,1)</f>
        <v/>
      </c>
      <c r="BP3626">
        <f>IF(3613&lt;$U$9,MOD(3613,$U$8)+1,1)</f>
        <v/>
      </c>
      <c r="BQ3626">
        <f>IF(3613&lt;$U$9,SUMPRODUCT(($D$10:$L$10&lt;&gt;"")*(($D$9:$L$9+INT(($S$12:$AA$12+INDEX($AJ$13:$AR$162,BN3626,0)+INDEX($AT$13:$BB$162,BO3626,0)+INDEX($BD$13:$BL$162,BP3626,0))/100))&gt;=$D$10:$L$10)),0)</f>
        <v/>
      </c>
      <c r="BR3626">
        <f>IF(3613&lt;$U$9,SUMPRODUCT(($D$10:$L$10&lt;&gt;"")*(($D$10:$L$10-($D$9:$L$9+INT(($S$12:$AA$12+INDEX($AJ$13:$AR$162,BN3626,0)+INDEX($AT$13:$BB$162,BO3626,0)+INDEX($BD$13:$BL$162,BP3626,0))/100)))&gt;0)*($D$10:$L$10-($D$9:$L$9+INT(($S$12:$AA$12+INDEX($AJ$13:$AR$162,BN3626,0)+INDEX($AT$13:$BB$162,BO3626,0)+INDEX($BD$13:$BL$162,BP3626,0))/100)))),0)</f>
        <v/>
      </c>
      <c r="BS3626">
        <f>IF(3613&lt;$U$9,SUMPRODUCT(($D$9:$L$9+INT(($S$12:$AA$12+INDEX($AJ$13:$AR$162,BN3626,0)+INDEX($AT$13:$BB$162,BO3626,0)+INDEX($BD$13:$BL$162,BP3626,0))/100))),0)</f>
        <v/>
      </c>
      <c r="BT3626">
        <f>IF(AND(3613&lt;$U$9,$W$5),BQ3626*1000000-MIN(BR3626,999)*1000+BS3626-3613/100000,-1000000000-3613)</f>
        <v/>
      </c>
    </row>
    <row r="3627">
      <c r="BN3627">
        <f>IF(3614&lt;$U$9,INT(3614/($U$7*$U$8))+1,1)</f>
        <v/>
      </c>
      <c r="BO3627">
        <f>IF(3614&lt;$U$9,MOD(INT(3614/$U$8),$U$7)+1,1)</f>
        <v/>
      </c>
      <c r="BP3627">
        <f>IF(3614&lt;$U$9,MOD(3614,$U$8)+1,1)</f>
        <v/>
      </c>
      <c r="BQ3627">
        <f>IF(3614&lt;$U$9,SUMPRODUCT(($D$10:$L$10&lt;&gt;"")*(($D$9:$L$9+INT(($S$12:$AA$12+INDEX($AJ$13:$AR$162,BN3627,0)+INDEX($AT$13:$BB$162,BO3627,0)+INDEX($BD$13:$BL$162,BP3627,0))/100))&gt;=$D$10:$L$10)),0)</f>
        <v/>
      </c>
      <c r="BR3627">
        <f>IF(3614&lt;$U$9,SUMPRODUCT(($D$10:$L$10&lt;&gt;"")*(($D$10:$L$10-($D$9:$L$9+INT(($S$12:$AA$12+INDEX($AJ$13:$AR$162,BN3627,0)+INDEX($AT$13:$BB$162,BO3627,0)+INDEX($BD$13:$BL$162,BP3627,0))/100)))&gt;0)*($D$10:$L$10-($D$9:$L$9+INT(($S$12:$AA$12+INDEX($AJ$13:$AR$162,BN3627,0)+INDEX($AT$13:$BB$162,BO3627,0)+INDEX($BD$13:$BL$162,BP3627,0))/100)))),0)</f>
        <v/>
      </c>
      <c r="BS3627">
        <f>IF(3614&lt;$U$9,SUMPRODUCT(($D$9:$L$9+INT(($S$12:$AA$12+INDEX($AJ$13:$AR$162,BN3627,0)+INDEX($AT$13:$BB$162,BO3627,0)+INDEX($BD$13:$BL$162,BP3627,0))/100))),0)</f>
        <v/>
      </c>
      <c r="BT3627">
        <f>IF(AND(3614&lt;$U$9,$W$5),BQ3627*1000000-MIN(BR3627,999)*1000+BS3627-3614/100000,-1000000000-3614)</f>
        <v/>
      </c>
    </row>
    <row r="3628">
      <c r="BN3628">
        <f>IF(3615&lt;$U$9,INT(3615/($U$7*$U$8))+1,1)</f>
        <v/>
      </c>
      <c r="BO3628">
        <f>IF(3615&lt;$U$9,MOD(INT(3615/$U$8),$U$7)+1,1)</f>
        <v/>
      </c>
      <c r="BP3628">
        <f>IF(3615&lt;$U$9,MOD(3615,$U$8)+1,1)</f>
        <v/>
      </c>
      <c r="BQ3628">
        <f>IF(3615&lt;$U$9,SUMPRODUCT(($D$10:$L$10&lt;&gt;"")*(($D$9:$L$9+INT(($S$12:$AA$12+INDEX($AJ$13:$AR$162,BN3628,0)+INDEX($AT$13:$BB$162,BO3628,0)+INDEX($BD$13:$BL$162,BP3628,0))/100))&gt;=$D$10:$L$10)),0)</f>
        <v/>
      </c>
      <c r="BR3628">
        <f>IF(3615&lt;$U$9,SUMPRODUCT(($D$10:$L$10&lt;&gt;"")*(($D$10:$L$10-($D$9:$L$9+INT(($S$12:$AA$12+INDEX($AJ$13:$AR$162,BN3628,0)+INDEX($AT$13:$BB$162,BO3628,0)+INDEX($BD$13:$BL$162,BP3628,0))/100)))&gt;0)*($D$10:$L$10-($D$9:$L$9+INT(($S$12:$AA$12+INDEX($AJ$13:$AR$162,BN3628,0)+INDEX($AT$13:$BB$162,BO3628,0)+INDEX($BD$13:$BL$162,BP3628,0))/100)))),0)</f>
        <v/>
      </c>
      <c r="BS3628">
        <f>IF(3615&lt;$U$9,SUMPRODUCT(($D$9:$L$9+INT(($S$12:$AA$12+INDEX($AJ$13:$AR$162,BN3628,0)+INDEX($AT$13:$BB$162,BO3628,0)+INDEX($BD$13:$BL$162,BP3628,0))/100))),0)</f>
        <v/>
      </c>
      <c r="BT3628">
        <f>IF(AND(3615&lt;$U$9,$W$5),BQ3628*1000000-MIN(BR3628,999)*1000+BS3628-3615/100000,-1000000000-3615)</f>
        <v/>
      </c>
    </row>
    <row r="3629">
      <c r="BN3629">
        <f>IF(3616&lt;$U$9,INT(3616/($U$7*$U$8))+1,1)</f>
        <v/>
      </c>
      <c r="BO3629">
        <f>IF(3616&lt;$U$9,MOD(INT(3616/$U$8),$U$7)+1,1)</f>
        <v/>
      </c>
      <c r="BP3629">
        <f>IF(3616&lt;$U$9,MOD(3616,$U$8)+1,1)</f>
        <v/>
      </c>
      <c r="BQ3629">
        <f>IF(3616&lt;$U$9,SUMPRODUCT(($D$10:$L$10&lt;&gt;"")*(($D$9:$L$9+INT(($S$12:$AA$12+INDEX($AJ$13:$AR$162,BN3629,0)+INDEX($AT$13:$BB$162,BO3629,0)+INDEX($BD$13:$BL$162,BP3629,0))/100))&gt;=$D$10:$L$10)),0)</f>
        <v/>
      </c>
      <c r="BR3629">
        <f>IF(3616&lt;$U$9,SUMPRODUCT(($D$10:$L$10&lt;&gt;"")*(($D$10:$L$10-($D$9:$L$9+INT(($S$12:$AA$12+INDEX($AJ$13:$AR$162,BN3629,0)+INDEX($AT$13:$BB$162,BO3629,0)+INDEX($BD$13:$BL$162,BP3629,0))/100)))&gt;0)*($D$10:$L$10-($D$9:$L$9+INT(($S$12:$AA$12+INDEX($AJ$13:$AR$162,BN3629,0)+INDEX($AT$13:$BB$162,BO3629,0)+INDEX($BD$13:$BL$162,BP3629,0))/100)))),0)</f>
        <v/>
      </c>
      <c r="BS3629">
        <f>IF(3616&lt;$U$9,SUMPRODUCT(($D$9:$L$9+INT(($S$12:$AA$12+INDEX($AJ$13:$AR$162,BN3629,0)+INDEX($AT$13:$BB$162,BO3629,0)+INDEX($BD$13:$BL$162,BP3629,0))/100))),0)</f>
        <v/>
      </c>
      <c r="BT3629">
        <f>IF(AND(3616&lt;$U$9,$W$5),BQ3629*1000000-MIN(BR3629,999)*1000+BS3629-3616/100000,-1000000000-3616)</f>
        <v/>
      </c>
    </row>
    <row r="3630">
      <c r="BN3630">
        <f>IF(3617&lt;$U$9,INT(3617/($U$7*$U$8))+1,1)</f>
        <v/>
      </c>
      <c r="BO3630">
        <f>IF(3617&lt;$U$9,MOD(INT(3617/$U$8),$U$7)+1,1)</f>
        <v/>
      </c>
      <c r="BP3630">
        <f>IF(3617&lt;$U$9,MOD(3617,$U$8)+1,1)</f>
        <v/>
      </c>
      <c r="BQ3630">
        <f>IF(3617&lt;$U$9,SUMPRODUCT(($D$10:$L$10&lt;&gt;"")*(($D$9:$L$9+INT(($S$12:$AA$12+INDEX($AJ$13:$AR$162,BN3630,0)+INDEX($AT$13:$BB$162,BO3630,0)+INDEX($BD$13:$BL$162,BP3630,0))/100))&gt;=$D$10:$L$10)),0)</f>
        <v/>
      </c>
      <c r="BR3630">
        <f>IF(3617&lt;$U$9,SUMPRODUCT(($D$10:$L$10&lt;&gt;"")*(($D$10:$L$10-($D$9:$L$9+INT(($S$12:$AA$12+INDEX($AJ$13:$AR$162,BN3630,0)+INDEX($AT$13:$BB$162,BO3630,0)+INDEX($BD$13:$BL$162,BP3630,0))/100)))&gt;0)*($D$10:$L$10-($D$9:$L$9+INT(($S$12:$AA$12+INDEX($AJ$13:$AR$162,BN3630,0)+INDEX($AT$13:$BB$162,BO3630,0)+INDEX($BD$13:$BL$162,BP3630,0))/100)))),0)</f>
        <v/>
      </c>
      <c r="BS3630">
        <f>IF(3617&lt;$U$9,SUMPRODUCT(($D$9:$L$9+INT(($S$12:$AA$12+INDEX($AJ$13:$AR$162,BN3630,0)+INDEX($AT$13:$BB$162,BO3630,0)+INDEX($BD$13:$BL$162,BP3630,0))/100))),0)</f>
        <v/>
      </c>
      <c r="BT3630">
        <f>IF(AND(3617&lt;$U$9,$W$5),BQ3630*1000000-MIN(BR3630,999)*1000+BS3630-3617/100000,-1000000000-3617)</f>
        <v/>
      </c>
    </row>
    <row r="3631">
      <c r="BN3631">
        <f>IF(3618&lt;$U$9,INT(3618/($U$7*$U$8))+1,1)</f>
        <v/>
      </c>
      <c r="BO3631">
        <f>IF(3618&lt;$U$9,MOD(INT(3618/$U$8),$U$7)+1,1)</f>
        <v/>
      </c>
      <c r="BP3631">
        <f>IF(3618&lt;$U$9,MOD(3618,$U$8)+1,1)</f>
        <v/>
      </c>
      <c r="BQ3631">
        <f>IF(3618&lt;$U$9,SUMPRODUCT(($D$10:$L$10&lt;&gt;"")*(($D$9:$L$9+INT(($S$12:$AA$12+INDEX($AJ$13:$AR$162,BN3631,0)+INDEX($AT$13:$BB$162,BO3631,0)+INDEX($BD$13:$BL$162,BP3631,0))/100))&gt;=$D$10:$L$10)),0)</f>
        <v/>
      </c>
      <c r="BR3631">
        <f>IF(3618&lt;$U$9,SUMPRODUCT(($D$10:$L$10&lt;&gt;"")*(($D$10:$L$10-($D$9:$L$9+INT(($S$12:$AA$12+INDEX($AJ$13:$AR$162,BN3631,0)+INDEX($AT$13:$BB$162,BO3631,0)+INDEX($BD$13:$BL$162,BP3631,0))/100)))&gt;0)*($D$10:$L$10-($D$9:$L$9+INT(($S$12:$AA$12+INDEX($AJ$13:$AR$162,BN3631,0)+INDEX($AT$13:$BB$162,BO3631,0)+INDEX($BD$13:$BL$162,BP3631,0))/100)))),0)</f>
        <v/>
      </c>
      <c r="BS3631">
        <f>IF(3618&lt;$U$9,SUMPRODUCT(($D$9:$L$9+INT(($S$12:$AA$12+INDEX($AJ$13:$AR$162,BN3631,0)+INDEX($AT$13:$BB$162,BO3631,0)+INDEX($BD$13:$BL$162,BP3631,0))/100))),0)</f>
        <v/>
      </c>
      <c r="BT3631">
        <f>IF(AND(3618&lt;$U$9,$W$5),BQ3631*1000000-MIN(BR3631,999)*1000+BS3631-3618/100000,-1000000000-3618)</f>
        <v/>
      </c>
    </row>
    <row r="3632">
      <c r="BN3632">
        <f>IF(3619&lt;$U$9,INT(3619/($U$7*$U$8))+1,1)</f>
        <v/>
      </c>
      <c r="BO3632">
        <f>IF(3619&lt;$U$9,MOD(INT(3619/$U$8),$U$7)+1,1)</f>
        <v/>
      </c>
      <c r="BP3632">
        <f>IF(3619&lt;$U$9,MOD(3619,$U$8)+1,1)</f>
        <v/>
      </c>
      <c r="BQ3632">
        <f>IF(3619&lt;$U$9,SUMPRODUCT(($D$10:$L$10&lt;&gt;"")*(($D$9:$L$9+INT(($S$12:$AA$12+INDEX($AJ$13:$AR$162,BN3632,0)+INDEX($AT$13:$BB$162,BO3632,0)+INDEX($BD$13:$BL$162,BP3632,0))/100))&gt;=$D$10:$L$10)),0)</f>
        <v/>
      </c>
      <c r="BR3632">
        <f>IF(3619&lt;$U$9,SUMPRODUCT(($D$10:$L$10&lt;&gt;"")*(($D$10:$L$10-($D$9:$L$9+INT(($S$12:$AA$12+INDEX($AJ$13:$AR$162,BN3632,0)+INDEX($AT$13:$BB$162,BO3632,0)+INDEX($BD$13:$BL$162,BP3632,0))/100)))&gt;0)*($D$10:$L$10-($D$9:$L$9+INT(($S$12:$AA$12+INDEX($AJ$13:$AR$162,BN3632,0)+INDEX($AT$13:$BB$162,BO3632,0)+INDEX($BD$13:$BL$162,BP3632,0))/100)))),0)</f>
        <v/>
      </c>
      <c r="BS3632">
        <f>IF(3619&lt;$U$9,SUMPRODUCT(($D$9:$L$9+INT(($S$12:$AA$12+INDEX($AJ$13:$AR$162,BN3632,0)+INDEX($AT$13:$BB$162,BO3632,0)+INDEX($BD$13:$BL$162,BP3632,0))/100))),0)</f>
        <v/>
      </c>
      <c r="BT3632">
        <f>IF(AND(3619&lt;$U$9,$W$5),BQ3632*1000000-MIN(BR3632,999)*1000+BS3632-3619/100000,-1000000000-3619)</f>
        <v/>
      </c>
    </row>
    <row r="3633">
      <c r="BN3633">
        <f>IF(3620&lt;$U$9,INT(3620/($U$7*$U$8))+1,1)</f>
        <v/>
      </c>
      <c r="BO3633">
        <f>IF(3620&lt;$U$9,MOD(INT(3620/$U$8),$U$7)+1,1)</f>
        <v/>
      </c>
      <c r="BP3633">
        <f>IF(3620&lt;$U$9,MOD(3620,$U$8)+1,1)</f>
        <v/>
      </c>
      <c r="BQ3633">
        <f>IF(3620&lt;$U$9,SUMPRODUCT(($D$10:$L$10&lt;&gt;"")*(($D$9:$L$9+INT(($S$12:$AA$12+INDEX($AJ$13:$AR$162,BN3633,0)+INDEX($AT$13:$BB$162,BO3633,0)+INDEX($BD$13:$BL$162,BP3633,0))/100))&gt;=$D$10:$L$10)),0)</f>
        <v/>
      </c>
      <c r="BR3633">
        <f>IF(3620&lt;$U$9,SUMPRODUCT(($D$10:$L$10&lt;&gt;"")*(($D$10:$L$10-($D$9:$L$9+INT(($S$12:$AA$12+INDEX($AJ$13:$AR$162,BN3633,0)+INDEX($AT$13:$BB$162,BO3633,0)+INDEX($BD$13:$BL$162,BP3633,0))/100)))&gt;0)*($D$10:$L$10-($D$9:$L$9+INT(($S$12:$AA$12+INDEX($AJ$13:$AR$162,BN3633,0)+INDEX($AT$13:$BB$162,BO3633,0)+INDEX($BD$13:$BL$162,BP3633,0))/100)))),0)</f>
        <v/>
      </c>
      <c r="BS3633">
        <f>IF(3620&lt;$U$9,SUMPRODUCT(($D$9:$L$9+INT(($S$12:$AA$12+INDEX($AJ$13:$AR$162,BN3633,0)+INDEX($AT$13:$BB$162,BO3633,0)+INDEX($BD$13:$BL$162,BP3633,0))/100))),0)</f>
        <v/>
      </c>
      <c r="BT3633">
        <f>IF(AND(3620&lt;$U$9,$W$5),BQ3633*1000000-MIN(BR3633,999)*1000+BS3633-3620/100000,-1000000000-3620)</f>
        <v/>
      </c>
    </row>
    <row r="3634">
      <c r="BN3634">
        <f>IF(3621&lt;$U$9,INT(3621/($U$7*$U$8))+1,1)</f>
        <v/>
      </c>
      <c r="BO3634">
        <f>IF(3621&lt;$U$9,MOD(INT(3621/$U$8),$U$7)+1,1)</f>
        <v/>
      </c>
      <c r="BP3634">
        <f>IF(3621&lt;$U$9,MOD(3621,$U$8)+1,1)</f>
        <v/>
      </c>
      <c r="BQ3634">
        <f>IF(3621&lt;$U$9,SUMPRODUCT(($D$10:$L$10&lt;&gt;"")*(($D$9:$L$9+INT(($S$12:$AA$12+INDEX($AJ$13:$AR$162,BN3634,0)+INDEX($AT$13:$BB$162,BO3634,0)+INDEX($BD$13:$BL$162,BP3634,0))/100))&gt;=$D$10:$L$10)),0)</f>
        <v/>
      </c>
      <c r="BR3634">
        <f>IF(3621&lt;$U$9,SUMPRODUCT(($D$10:$L$10&lt;&gt;"")*(($D$10:$L$10-($D$9:$L$9+INT(($S$12:$AA$12+INDEX($AJ$13:$AR$162,BN3634,0)+INDEX($AT$13:$BB$162,BO3634,0)+INDEX($BD$13:$BL$162,BP3634,0))/100)))&gt;0)*($D$10:$L$10-($D$9:$L$9+INT(($S$12:$AA$12+INDEX($AJ$13:$AR$162,BN3634,0)+INDEX($AT$13:$BB$162,BO3634,0)+INDEX($BD$13:$BL$162,BP3634,0))/100)))),0)</f>
        <v/>
      </c>
      <c r="BS3634">
        <f>IF(3621&lt;$U$9,SUMPRODUCT(($D$9:$L$9+INT(($S$12:$AA$12+INDEX($AJ$13:$AR$162,BN3634,0)+INDEX($AT$13:$BB$162,BO3634,0)+INDEX($BD$13:$BL$162,BP3634,0))/100))),0)</f>
        <v/>
      </c>
      <c r="BT3634">
        <f>IF(AND(3621&lt;$U$9,$W$5),BQ3634*1000000-MIN(BR3634,999)*1000+BS3634-3621/100000,-1000000000-3621)</f>
        <v/>
      </c>
    </row>
    <row r="3635">
      <c r="BN3635">
        <f>IF(3622&lt;$U$9,INT(3622/($U$7*$U$8))+1,1)</f>
        <v/>
      </c>
      <c r="BO3635">
        <f>IF(3622&lt;$U$9,MOD(INT(3622/$U$8),$U$7)+1,1)</f>
        <v/>
      </c>
      <c r="BP3635">
        <f>IF(3622&lt;$U$9,MOD(3622,$U$8)+1,1)</f>
        <v/>
      </c>
      <c r="BQ3635">
        <f>IF(3622&lt;$U$9,SUMPRODUCT(($D$10:$L$10&lt;&gt;"")*(($D$9:$L$9+INT(($S$12:$AA$12+INDEX($AJ$13:$AR$162,BN3635,0)+INDEX($AT$13:$BB$162,BO3635,0)+INDEX($BD$13:$BL$162,BP3635,0))/100))&gt;=$D$10:$L$10)),0)</f>
        <v/>
      </c>
      <c r="BR3635">
        <f>IF(3622&lt;$U$9,SUMPRODUCT(($D$10:$L$10&lt;&gt;"")*(($D$10:$L$10-($D$9:$L$9+INT(($S$12:$AA$12+INDEX($AJ$13:$AR$162,BN3635,0)+INDEX($AT$13:$BB$162,BO3635,0)+INDEX($BD$13:$BL$162,BP3635,0))/100)))&gt;0)*($D$10:$L$10-($D$9:$L$9+INT(($S$12:$AA$12+INDEX($AJ$13:$AR$162,BN3635,0)+INDEX($AT$13:$BB$162,BO3635,0)+INDEX($BD$13:$BL$162,BP3635,0))/100)))),0)</f>
        <v/>
      </c>
      <c r="BS3635">
        <f>IF(3622&lt;$U$9,SUMPRODUCT(($D$9:$L$9+INT(($S$12:$AA$12+INDEX($AJ$13:$AR$162,BN3635,0)+INDEX($AT$13:$BB$162,BO3635,0)+INDEX($BD$13:$BL$162,BP3635,0))/100))),0)</f>
        <v/>
      </c>
      <c r="BT3635">
        <f>IF(AND(3622&lt;$U$9,$W$5),BQ3635*1000000-MIN(BR3635,999)*1000+BS3635-3622/100000,-1000000000-3622)</f>
        <v/>
      </c>
    </row>
    <row r="3636">
      <c r="BN3636">
        <f>IF(3623&lt;$U$9,INT(3623/($U$7*$U$8))+1,1)</f>
        <v/>
      </c>
      <c r="BO3636">
        <f>IF(3623&lt;$U$9,MOD(INT(3623/$U$8),$U$7)+1,1)</f>
        <v/>
      </c>
      <c r="BP3636">
        <f>IF(3623&lt;$U$9,MOD(3623,$U$8)+1,1)</f>
        <v/>
      </c>
      <c r="BQ3636">
        <f>IF(3623&lt;$U$9,SUMPRODUCT(($D$10:$L$10&lt;&gt;"")*(($D$9:$L$9+INT(($S$12:$AA$12+INDEX($AJ$13:$AR$162,BN3636,0)+INDEX($AT$13:$BB$162,BO3636,0)+INDEX($BD$13:$BL$162,BP3636,0))/100))&gt;=$D$10:$L$10)),0)</f>
        <v/>
      </c>
      <c r="BR3636">
        <f>IF(3623&lt;$U$9,SUMPRODUCT(($D$10:$L$10&lt;&gt;"")*(($D$10:$L$10-($D$9:$L$9+INT(($S$12:$AA$12+INDEX($AJ$13:$AR$162,BN3636,0)+INDEX($AT$13:$BB$162,BO3636,0)+INDEX($BD$13:$BL$162,BP3636,0))/100)))&gt;0)*($D$10:$L$10-($D$9:$L$9+INT(($S$12:$AA$12+INDEX($AJ$13:$AR$162,BN3636,0)+INDEX($AT$13:$BB$162,BO3636,0)+INDEX($BD$13:$BL$162,BP3636,0))/100)))),0)</f>
        <v/>
      </c>
      <c r="BS3636">
        <f>IF(3623&lt;$U$9,SUMPRODUCT(($D$9:$L$9+INT(($S$12:$AA$12+INDEX($AJ$13:$AR$162,BN3636,0)+INDEX($AT$13:$BB$162,BO3636,0)+INDEX($BD$13:$BL$162,BP3636,0))/100))),0)</f>
        <v/>
      </c>
      <c r="BT3636">
        <f>IF(AND(3623&lt;$U$9,$W$5),BQ3636*1000000-MIN(BR3636,999)*1000+BS3636-3623/100000,-1000000000-3623)</f>
        <v/>
      </c>
    </row>
    <row r="3637">
      <c r="BN3637">
        <f>IF(3624&lt;$U$9,INT(3624/($U$7*$U$8))+1,1)</f>
        <v/>
      </c>
      <c r="BO3637">
        <f>IF(3624&lt;$U$9,MOD(INT(3624/$U$8),$U$7)+1,1)</f>
        <v/>
      </c>
      <c r="BP3637">
        <f>IF(3624&lt;$U$9,MOD(3624,$U$8)+1,1)</f>
        <v/>
      </c>
      <c r="BQ3637">
        <f>IF(3624&lt;$U$9,SUMPRODUCT(($D$10:$L$10&lt;&gt;"")*(($D$9:$L$9+INT(($S$12:$AA$12+INDEX($AJ$13:$AR$162,BN3637,0)+INDEX($AT$13:$BB$162,BO3637,0)+INDEX($BD$13:$BL$162,BP3637,0))/100))&gt;=$D$10:$L$10)),0)</f>
        <v/>
      </c>
      <c r="BR3637">
        <f>IF(3624&lt;$U$9,SUMPRODUCT(($D$10:$L$10&lt;&gt;"")*(($D$10:$L$10-($D$9:$L$9+INT(($S$12:$AA$12+INDEX($AJ$13:$AR$162,BN3637,0)+INDEX($AT$13:$BB$162,BO3637,0)+INDEX($BD$13:$BL$162,BP3637,0))/100)))&gt;0)*($D$10:$L$10-($D$9:$L$9+INT(($S$12:$AA$12+INDEX($AJ$13:$AR$162,BN3637,0)+INDEX($AT$13:$BB$162,BO3637,0)+INDEX($BD$13:$BL$162,BP3637,0))/100)))),0)</f>
        <v/>
      </c>
      <c r="BS3637">
        <f>IF(3624&lt;$U$9,SUMPRODUCT(($D$9:$L$9+INT(($S$12:$AA$12+INDEX($AJ$13:$AR$162,BN3637,0)+INDEX($AT$13:$BB$162,BO3637,0)+INDEX($BD$13:$BL$162,BP3637,0))/100))),0)</f>
        <v/>
      </c>
      <c r="BT3637">
        <f>IF(AND(3624&lt;$U$9,$W$5),BQ3637*1000000-MIN(BR3637,999)*1000+BS3637-3624/100000,-1000000000-3624)</f>
        <v/>
      </c>
    </row>
    <row r="3638">
      <c r="BN3638">
        <f>IF(3625&lt;$U$9,INT(3625/($U$7*$U$8))+1,1)</f>
        <v/>
      </c>
      <c r="BO3638">
        <f>IF(3625&lt;$U$9,MOD(INT(3625/$U$8),$U$7)+1,1)</f>
        <v/>
      </c>
      <c r="BP3638">
        <f>IF(3625&lt;$U$9,MOD(3625,$U$8)+1,1)</f>
        <v/>
      </c>
      <c r="BQ3638">
        <f>IF(3625&lt;$U$9,SUMPRODUCT(($D$10:$L$10&lt;&gt;"")*(($D$9:$L$9+INT(($S$12:$AA$12+INDEX($AJ$13:$AR$162,BN3638,0)+INDEX($AT$13:$BB$162,BO3638,0)+INDEX($BD$13:$BL$162,BP3638,0))/100))&gt;=$D$10:$L$10)),0)</f>
        <v/>
      </c>
      <c r="BR3638">
        <f>IF(3625&lt;$U$9,SUMPRODUCT(($D$10:$L$10&lt;&gt;"")*(($D$10:$L$10-($D$9:$L$9+INT(($S$12:$AA$12+INDEX($AJ$13:$AR$162,BN3638,0)+INDEX($AT$13:$BB$162,BO3638,0)+INDEX($BD$13:$BL$162,BP3638,0))/100)))&gt;0)*($D$10:$L$10-($D$9:$L$9+INT(($S$12:$AA$12+INDEX($AJ$13:$AR$162,BN3638,0)+INDEX($AT$13:$BB$162,BO3638,0)+INDEX($BD$13:$BL$162,BP3638,0))/100)))),0)</f>
        <v/>
      </c>
      <c r="BS3638">
        <f>IF(3625&lt;$U$9,SUMPRODUCT(($D$9:$L$9+INT(($S$12:$AA$12+INDEX($AJ$13:$AR$162,BN3638,0)+INDEX($AT$13:$BB$162,BO3638,0)+INDEX($BD$13:$BL$162,BP3638,0))/100))),0)</f>
        <v/>
      </c>
      <c r="BT3638">
        <f>IF(AND(3625&lt;$U$9,$W$5),BQ3638*1000000-MIN(BR3638,999)*1000+BS3638-3625/100000,-1000000000-3625)</f>
        <v/>
      </c>
    </row>
    <row r="3639">
      <c r="BN3639">
        <f>IF(3626&lt;$U$9,INT(3626/($U$7*$U$8))+1,1)</f>
        <v/>
      </c>
      <c r="BO3639">
        <f>IF(3626&lt;$U$9,MOD(INT(3626/$U$8),$U$7)+1,1)</f>
        <v/>
      </c>
      <c r="BP3639">
        <f>IF(3626&lt;$U$9,MOD(3626,$U$8)+1,1)</f>
        <v/>
      </c>
      <c r="BQ3639">
        <f>IF(3626&lt;$U$9,SUMPRODUCT(($D$10:$L$10&lt;&gt;"")*(($D$9:$L$9+INT(($S$12:$AA$12+INDEX($AJ$13:$AR$162,BN3639,0)+INDEX($AT$13:$BB$162,BO3639,0)+INDEX($BD$13:$BL$162,BP3639,0))/100))&gt;=$D$10:$L$10)),0)</f>
        <v/>
      </c>
      <c r="BR3639">
        <f>IF(3626&lt;$U$9,SUMPRODUCT(($D$10:$L$10&lt;&gt;"")*(($D$10:$L$10-($D$9:$L$9+INT(($S$12:$AA$12+INDEX($AJ$13:$AR$162,BN3639,0)+INDEX($AT$13:$BB$162,BO3639,0)+INDEX($BD$13:$BL$162,BP3639,0))/100)))&gt;0)*($D$10:$L$10-($D$9:$L$9+INT(($S$12:$AA$12+INDEX($AJ$13:$AR$162,BN3639,0)+INDEX($AT$13:$BB$162,BO3639,0)+INDEX($BD$13:$BL$162,BP3639,0))/100)))),0)</f>
        <v/>
      </c>
      <c r="BS3639">
        <f>IF(3626&lt;$U$9,SUMPRODUCT(($D$9:$L$9+INT(($S$12:$AA$12+INDEX($AJ$13:$AR$162,BN3639,0)+INDEX($AT$13:$BB$162,BO3639,0)+INDEX($BD$13:$BL$162,BP3639,0))/100))),0)</f>
        <v/>
      </c>
      <c r="BT3639">
        <f>IF(AND(3626&lt;$U$9,$W$5),BQ3639*1000000-MIN(BR3639,999)*1000+BS3639-3626/100000,-1000000000-3626)</f>
        <v/>
      </c>
    </row>
    <row r="3640">
      <c r="BN3640">
        <f>IF(3627&lt;$U$9,INT(3627/($U$7*$U$8))+1,1)</f>
        <v/>
      </c>
      <c r="BO3640">
        <f>IF(3627&lt;$U$9,MOD(INT(3627/$U$8),$U$7)+1,1)</f>
        <v/>
      </c>
      <c r="BP3640">
        <f>IF(3627&lt;$U$9,MOD(3627,$U$8)+1,1)</f>
        <v/>
      </c>
      <c r="BQ3640">
        <f>IF(3627&lt;$U$9,SUMPRODUCT(($D$10:$L$10&lt;&gt;"")*(($D$9:$L$9+INT(($S$12:$AA$12+INDEX($AJ$13:$AR$162,BN3640,0)+INDEX($AT$13:$BB$162,BO3640,0)+INDEX($BD$13:$BL$162,BP3640,0))/100))&gt;=$D$10:$L$10)),0)</f>
        <v/>
      </c>
      <c r="BR3640">
        <f>IF(3627&lt;$U$9,SUMPRODUCT(($D$10:$L$10&lt;&gt;"")*(($D$10:$L$10-($D$9:$L$9+INT(($S$12:$AA$12+INDEX($AJ$13:$AR$162,BN3640,0)+INDEX($AT$13:$BB$162,BO3640,0)+INDEX($BD$13:$BL$162,BP3640,0))/100)))&gt;0)*($D$10:$L$10-($D$9:$L$9+INT(($S$12:$AA$12+INDEX($AJ$13:$AR$162,BN3640,0)+INDEX($AT$13:$BB$162,BO3640,0)+INDEX($BD$13:$BL$162,BP3640,0))/100)))),0)</f>
        <v/>
      </c>
      <c r="BS3640">
        <f>IF(3627&lt;$U$9,SUMPRODUCT(($D$9:$L$9+INT(($S$12:$AA$12+INDEX($AJ$13:$AR$162,BN3640,0)+INDEX($AT$13:$BB$162,BO3640,0)+INDEX($BD$13:$BL$162,BP3640,0))/100))),0)</f>
        <v/>
      </c>
      <c r="BT3640">
        <f>IF(AND(3627&lt;$U$9,$W$5),BQ3640*1000000-MIN(BR3640,999)*1000+BS3640-3627/100000,-1000000000-3627)</f>
        <v/>
      </c>
    </row>
    <row r="3641">
      <c r="BN3641">
        <f>IF(3628&lt;$U$9,INT(3628/($U$7*$U$8))+1,1)</f>
        <v/>
      </c>
      <c r="BO3641">
        <f>IF(3628&lt;$U$9,MOD(INT(3628/$U$8),$U$7)+1,1)</f>
        <v/>
      </c>
      <c r="BP3641">
        <f>IF(3628&lt;$U$9,MOD(3628,$U$8)+1,1)</f>
        <v/>
      </c>
      <c r="BQ3641">
        <f>IF(3628&lt;$U$9,SUMPRODUCT(($D$10:$L$10&lt;&gt;"")*(($D$9:$L$9+INT(($S$12:$AA$12+INDEX($AJ$13:$AR$162,BN3641,0)+INDEX($AT$13:$BB$162,BO3641,0)+INDEX($BD$13:$BL$162,BP3641,0))/100))&gt;=$D$10:$L$10)),0)</f>
        <v/>
      </c>
      <c r="BR3641">
        <f>IF(3628&lt;$U$9,SUMPRODUCT(($D$10:$L$10&lt;&gt;"")*(($D$10:$L$10-($D$9:$L$9+INT(($S$12:$AA$12+INDEX($AJ$13:$AR$162,BN3641,0)+INDEX($AT$13:$BB$162,BO3641,0)+INDEX($BD$13:$BL$162,BP3641,0))/100)))&gt;0)*($D$10:$L$10-($D$9:$L$9+INT(($S$12:$AA$12+INDEX($AJ$13:$AR$162,BN3641,0)+INDEX($AT$13:$BB$162,BO3641,0)+INDEX($BD$13:$BL$162,BP3641,0))/100)))),0)</f>
        <v/>
      </c>
      <c r="BS3641">
        <f>IF(3628&lt;$U$9,SUMPRODUCT(($D$9:$L$9+INT(($S$12:$AA$12+INDEX($AJ$13:$AR$162,BN3641,0)+INDEX($AT$13:$BB$162,BO3641,0)+INDEX($BD$13:$BL$162,BP3641,0))/100))),0)</f>
        <v/>
      </c>
      <c r="BT3641">
        <f>IF(AND(3628&lt;$U$9,$W$5),BQ3641*1000000-MIN(BR3641,999)*1000+BS3641-3628/100000,-1000000000-3628)</f>
        <v/>
      </c>
    </row>
    <row r="3642">
      <c r="BN3642">
        <f>IF(3629&lt;$U$9,INT(3629/($U$7*$U$8))+1,1)</f>
        <v/>
      </c>
      <c r="BO3642">
        <f>IF(3629&lt;$U$9,MOD(INT(3629/$U$8),$U$7)+1,1)</f>
        <v/>
      </c>
      <c r="BP3642">
        <f>IF(3629&lt;$U$9,MOD(3629,$U$8)+1,1)</f>
        <v/>
      </c>
      <c r="BQ3642">
        <f>IF(3629&lt;$U$9,SUMPRODUCT(($D$10:$L$10&lt;&gt;"")*(($D$9:$L$9+INT(($S$12:$AA$12+INDEX($AJ$13:$AR$162,BN3642,0)+INDEX($AT$13:$BB$162,BO3642,0)+INDEX($BD$13:$BL$162,BP3642,0))/100))&gt;=$D$10:$L$10)),0)</f>
        <v/>
      </c>
      <c r="BR3642">
        <f>IF(3629&lt;$U$9,SUMPRODUCT(($D$10:$L$10&lt;&gt;"")*(($D$10:$L$10-($D$9:$L$9+INT(($S$12:$AA$12+INDEX($AJ$13:$AR$162,BN3642,0)+INDEX($AT$13:$BB$162,BO3642,0)+INDEX($BD$13:$BL$162,BP3642,0))/100)))&gt;0)*($D$10:$L$10-($D$9:$L$9+INT(($S$12:$AA$12+INDEX($AJ$13:$AR$162,BN3642,0)+INDEX($AT$13:$BB$162,BO3642,0)+INDEX($BD$13:$BL$162,BP3642,0))/100)))),0)</f>
        <v/>
      </c>
      <c r="BS3642">
        <f>IF(3629&lt;$U$9,SUMPRODUCT(($D$9:$L$9+INT(($S$12:$AA$12+INDEX($AJ$13:$AR$162,BN3642,0)+INDEX($AT$13:$BB$162,BO3642,0)+INDEX($BD$13:$BL$162,BP3642,0))/100))),0)</f>
        <v/>
      </c>
      <c r="BT3642">
        <f>IF(AND(3629&lt;$U$9,$W$5),BQ3642*1000000-MIN(BR3642,999)*1000+BS3642-3629/100000,-1000000000-3629)</f>
        <v/>
      </c>
    </row>
    <row r="3643">
      <c r="BN3643">
        <f>IF(3630&lt;$U$9,INT(3630/($U$7*$U$8))+1,1)</f>
        <v/>
      </c>
      <c r="BO3643">
        <f>IF(3630&lt;$U$9,MOD(INT(3630/$U$8),$U$7)+1,1)</f>
        <v/>
      </c>
      <c r="BP3643">
        <f>IF(3630&lt;$U$9,MOD(3630,$U$8)+1,1)</f>
        <v/>
      </c>
      <c r="BQ3643">
        <f>IF(3630&lt;$U$9,SUMPRODUCT(($D$10:$L$10&lt;&gt;"")*(($D$9:$L$9+INT(($S$12:$AA$12+INDEX($AJ$13:$AR$162,BN3643,0)+INDEX($AT$13:$BB$162,BO3643,0)+INDEX($BD$13:$BL$162,BP3643,0))/100))&gt;=$D$10:$L$10)),0)</f>
        <v/>
      </c>
      <c r="BR3643">
        <f>IF(3630&lt;$U$9,SUMPRODUCT(($D$10:$L$10&lt;&gt;"")*(($D$10:$L$10-($D$9:$L$9+INT(($S$12:$AA$12+INDEX($AJ$13:$AR$162,BN3643,0)+INDEX($AT$13:$BB$162,BO3643,0)+INDEX($BD$13:$BL$162,BP3643,0))/100)))&gt;0)*($D$10:$L$10-($D$9:$L$9+INT(($S$12:$AA$12+INDEX($AJ$13:$AR$162,BN3643,0)+INDEX($AT$13:$BB$162,BO3643,0)+INDEX($BD$13:$BL$162,BP3643,0))/100)))),0)</f>
        <v/>
      </c>
      <c r="BS3643">
        <f>IF(3630&lt;$U$9,SUMPRODUCT(($D$9:$L$9+INT(($S$12:$AA$12+INDEX($AJ$13:$AR$162,BN3643,0)+INDEX($AT$13:$BB$162,BO3643,0)+INDEX($BD$13:$BL$162,BP3643,0))/100))),0)</f>
        <v/>
      </c>
      <c r="BT3643">
        <f>IF(AND(3630&lt;$U$9,$W$5),BQ3643*1000000-MIN(BR3643,999)*1000+BS3643-3630/100000,-1000000000-3630)</f>
        <v/>
      </c>
    </row>
    <row r="3644">
      <c r="BN3644">
        <f>IF(3631&lt;$U$9,INT(3631/($U$7*$U$8))+1,1)</f>
        <v/>
      </c>
      <c r="BO3644">
        <f>IF(3631&lt;$U$9,MOD(INT(3631/$U$8),$U$7)+1,1)</f>
        <v/>
      </c>
      <c r="BP3644">
        <f>IF(3631&lt;$U$9,MOD(3631,$U$8)+1,1)</f>
        <v/>
      </c>
      <c r="BQ3644">
        <f>IF(3631&lt;$U$9,SUMPRODUCT(($D$10:$L$10&lt;&gt;"")*(($D$9:$L$9+INT(($S$12:$AA$12+INDEX($AJ$13:$AR$162,BN3644,0)+INDEX($AT$13:$BB$162,BO3644,0)+INDEX($BD$13:$BL$162,BP3644,0))/100))&gt;=$D$10:$L$10)),0)</f>
        <v/>
      </c>
      <c r="BR3644">
        <f>IF(3631&lt;$U$9,SUMPRODUCT(($D$10:$L$10&lt;&gt;"")*(($D$10:$L$10-($D$9:$L$9+INT(($S$12:$AA$12+INDEX($AJ$13:$AR$162,BN3644,0)+INDEX($AT$13:$BB$162,BO3644,0)+INDEX($BD$13:$BL$162,BP3644,0))/100)))&gt;0)*($D$10:$L$10-($D$9:$L$9+INT(($S$12:$AA$12+INDEX($AJ$13:$AR$162,BN3644,0)+INDEX($AT$13:$BB$162,BO3644,0)+INDEX($BD$13:$BL$162,BP3644,0))/100)))),0)</f>
        <v/>
      </c>
      <c r="BS3644">
        <f>IF(3631&lt;$U$9,SUMPRODUCT(($D$9:$L$9+INT(($S$12:$AA$12+INDEX($AJ$13:$AR$162,BN3644,0)+INDEX($AT$13:$BB$162,BO3644,0)+INDEX($BD$13:$BL$162,BP3644,0))/100))),0)</f>
        <v/>
      </c>
      <c r="BT3644">
        <f>IF(AND(3631&lt;$U$9,$W$5),BQ3644*1000000-MIN(BR3644,999)*1000+BS3644-3631/100000,-1000000000-3631)</f>
        <v/>
      </c>
    </row>
    <row r="3645">
      <c r="BN3645">
        <f>IF(3632&lt;$U$9,INT(3632/($U$7*$U$8))+1,1)</f>
        <v/>
      </c>
      <c r="BO3645">
        <f>IF(3632&lt;$U$9,MOD(INT(3632/$U$8),$U$7)+1,1)</f>
        <v/>
      </c>
      <c r="BP3645">
        <f>IF(3632&lt;$U$9,MOD(3632,$U$8)+1,1)</f>
        <v/>
      </c>
      <c r="BQ3645">
        <f>IF(3632&lt;$U$9,SUMPRODUCT(($D$10:$L$10&lt;&gt;"")*(($D$9:$L$9+INT(($S$12:$AA$12+INDEX($AJ$13:$AR$162,BN3645,0)+INDEX($AT$13:$BB$162,BO3645,0)+INDEX($BD$13:$BL$162,BP3645,0))/100))&gt;=$D$10:$L$10)),0)</f>
        <v/>
      </c>
      <c r="BR3645">
        <f>IF(3632&lt;$U$9,SUMPRODUCT(($D$10:$L$10&lt;&gt;"")*(($D$10:$L$10-($D$9:$L$9+INT(($S$12:$AA$12+INDEX($AJ$13:$AR$162,BN3645,0)+INDEX($AT$13:$BB$162,BO3645,0)+INDEX($BD$13:$BL$162,BP3645,0))/100)))&gt;0)*($D$10:$L$10-($D$9:$L$9+INT(($S$12:$AA$12+INDEX($AJ$13:$AR$162,BN3645,0)+INDEX($AT$13:$BB$162,BO3645,0)+INDEX($BD$13:$BL$162,BP3645,0))/100)))),0)</f>
        <v/>
      </c>
      <c r="BS3645">
        <f>IF(3632&lt;$U$9,SUMPRODUCT(($D$9:$L$9+INT(($S$12:$AA$12+INDEX($AJ$13:$AR$162,BN3645,0)+INDEX($AT$13:$BB$162,BO3645,0)+INDEX($BD$13:$BL$162,BP3645,0))/100))),0)</f>
        <v/>
      </c>
      <c r="BT3645">
        <f>IF(AND(3632&lt;$U$9,$W$5),BQ3645*1000000-MIN(BR3645,999)*1000+BS3645-3632/100000,-1000000000-3632)</f>
        <v/>
      </c>
    </row>
    <row r="3646">
      <c r="BN3646">
        <f>IF(3633&lt;$U$9,INT(3633/($U$7*$U$8))+1,1)</f>
        <v/>
      </c>
      <c r="BO3646">
        <f>IF(3633&lt;$U$9,MOD(INT(3633/$U$8),$U$7)+1,1)</f>
        <v/>
      </c>
      <c r="BP3646">
        <f>IF(3633&lt;$U$9,MOD(3633,$U$8)+1,1)</f>
        <v/>
      </c>
      <c r="BQ3646">
        <f>IF(3633&lt;$U$9,SUMPRODUCT(($D$10:$L$10&lt;&gt;"")*(($D$9:$L$9+INT(($S$12:$AA$12+INDEX($AJ$13:$AR$162,BN3646,0)+INDEX($AT$13:$BB$162,BO3646,0)+INDEX($BD$13:$BL$162,BP3646,0))/100))&gt;=$D$10:$L$10)),0)</f>
        <v/>
      </c>
      <c r="BR3646">
        <f>IF(3633&lt;$U$9,SUMPRODUCT(($D$10:$L$10&lt;&gt;"")*(($D$10:$L$10-($D$9:$L$9+INT(($S$12:$AA$12+INDEX($AJ$13:$AR$162,BN3646,0)+INDEX($AT$13:$BB$162,BO3646,0)+INDEX($BD$13:$BL$162,BP3646,0))/100)))&gt;0)*($D$10:$L$10-($D$9:$L$9+INT(($S$12:$AA$12+INDEX($AJ$13:$AR$162,BN3646,0)+INDEX($AT$13:$BB$162,BO3646,0)+INDEX($BD$13:$BL$162,BP3646,0))/100)))),0)</f>
        <v/>
      </c>
      <c r="BS3646">
        <f>IF(3633&lt;$U$9,SUMPRODUCT(($D$9:$L$9+INT(($S$12:$AA$12+INDEX($AJ$13:$AR$162,BN3646,0)+INDEX($AT$13:$BB$162,BO3646,0)+INDEX($BD$13:$BL$162,BP3646,0))/100))),0)</f>
        <v/>
      </c>
      <c r="BT3646">
        <f>IF(AND(3633&lt;$U$9,$W$5),BQ3646*1000000-MIN(BR3646,999)*1000+BS3646-3633/100000,-1000000000-3633)</f>
        <v/>
      </c>
    </row>
    <row r="3647">
      <c r="BN3647">
        <f>IF(3634&lt;$U$9,INT(3634/($U$7*$U$8))+1,1)</f>
        <v/>
      </c>
      <c r="BO3647">
        <f>IF(3634&lt;$U$9,MOD(INT(3634/$U$8),$U$7)+1,1)</f>
        <v/>
      </c>
      <c r="BP3647">
        <f>IF(3634&lt;$U$9,MOD(3634,$U$8)+1,1)</f>
        <v/>
      </c>
      <c r="BQ3647">
        <f>IF(3634&lt;$U$9,SUMPRODUCT(($D$10:$L$10&lt;&gt;"")*(($D$9:$L$9+INT(($S$12:$AA$12+INDEX($AJ$13:$AR$162,BN3647,0)+INDEX($AT$13:$BB$162,BO3647,0)+INDEX($BD$13:$BL$162,BP3647,0))/100))&gt;=$D$10:$L$10)),0)</f>
        <v/>
      </c>
      <c r="BR3647">
        <f>IF(3634&lt;$U$9,SUMPRODUCT(($D$10:$L$10&lt;&gt;"")*(($D$10:$L$10-($D$9:$L$9+INT(($S$12:$AA$12+INDEX($AJ$13:$AR$162,BN3647,0)+INDEX($AT$13:$BB$162,BO3647,0)+INDEX($BD$13:$BL$162,BP3647,0))/100)))&gt;0)*($D$10:$L$10-($D$9:$L$9+INT(($S$12:$AA$12+INDEX($AJ$13:$AR$162,BN3647,0)+INDEX($AT$13:$BB$162,BO3647,0)+INDEX($BD$13:$BL$162,BP3647,0))/100)))),0)</f>
        <v/>
      </c>
      <c r="BS3647">
        <f>IF(3634&lt;$U$9,SUMPRODUCT(($D$9:$L$9+INT(($S$12:$AA$12+INDEX($AJ$13:$AR$162,BN3647,0)+INDEX($AT$13:$BB$162,BO3647,0)+INDEX($BD$13:$BL$162,BP3647,0))/100))),0)</f>
        <v/>
      </c>
      <c r="BT3647">
        <f>IF(AND(3634&lt;$U$9,$W$5),BQ3647*1000000-MIN(BR3647,999)*1000+BS3647-3634/100000,-1000000000-3634)</f>
        <v/>
      </c>
    </row>
    <row r="3648">
      <c r="BN3648">
        <f>IF(3635&lt;$U$9,INT(3635/($U$7*$U$8))+1,1)</f>
        <v/>
      </c>
      <c r="BO3648">
        <f>IF(3635&lt;$U$9,MOD(INT(3635/$U$8),$U$7)+1,1)</f>
        <v/>
      </c>
      <c r="BP3648">
        <f>IF(3635&lt;$U$9,MOD(3635,$U$8)+1,1)</f>
        <v/>
      </c>
      <c r="BQ3648">
        <f>IF(3635&lt;$U$9,SUMPRODUCT(($D$10:$L$10&lt;&gt;"")*(($D$9:$L$9+INT(($S$12:$AA$12+INDEX($AJ$13:$AR$162,BN3648,0)+INDEX($AT$13:$BB$162,BO3648,0)+INDEX($BD$13:$BL$162,BP3648,0))/100))&gt;=$D$10:$L$10)),0)</f>
        <v/>
      </c>
      <c r="BR3648">
        <f>IF(3635&lt;$U$9,SUMPRODUCT(($D$10:$L$10&lt;&gt;"")*(($D$10:$L$10-($D$9:$L$9+INT(($S$12:$AA$12+INDEX($AJ$13:$AR$162,BN3648,0)+INDEX($AT$13:$BB$162,BO3648,0)+INDEX($BD$13:$BL$162,BP3648,0))/100)))&gt;0)*($D$10:$L$10-($D$9:$L$9+INT(($S$12:$AA$12+INDEX($AJ$13:$AR$162,BN3648,0)+INDEX($AT$13:$BB$162,BO3648,0)+INDEX($BD$13:$BL$162,BP3648,0))/100)))),0)</f>
        <v/>
      </c>
      <c r="BS3648">
        <f>IF(3635&lt;$U$9,SUMPRODUCT(($D$9:$L$9+INT(($S$12:$AA$12+INDEX($AJ$13:$AR$162,BN3648,0)+INDEX($AT$13:$BB$162,BO3648,0)+INDEX($BD$13:$BL$162,BP3648,0))/100))),0)</f>
        <v/>
      </c>
      <c r="BT3648">
        <f>IF(AND(3635&lt;$U$9,$W$5),BQ3648*1000000-MIN(BR3648,999)*1000+BS3648-3635/100000,-1000000000-3635)</f>
        <v/>
      </c>
    </row>
    <row r="3649">
      <c r="BN3649">
        <f>IF(3636&lt;$U$9,INT(3636/($U$7*$U$8))+1,1)</f>
        <v/>
      </c>
      <c r="BO3649">
        <f>IF(3636&lt;$U$9,MOD(INT(3636/$U$8),$U$7)+1,1)</f>
        <v/>
      </c>
      <c r="BP3649">
        <f>IF(3636&lt;$U$9,MOD(3636,$U$8)+1,1)</f>
        <v/>
      </c>
      <c r="BQ3649">
        <f>IF(3636&lt;$U$9,SUMPRODUCT(($D$10:$L$10&lt;&gt;"")*(($D$9:$L$9+INT(($S$12:$AA$12+INDEX($AJ$13:$AR$162,BN3649,0)+INDEX($AT$13:$BB$162,BO3649,0)+INDEX($BD$13:$BL$162,BP3649,0))/100))&gt;=$D$10:$L$10)),0)</f>
        <v/>
      </c>
      <c r="BR3649">
        <f>IF(3636&lt;$U$9,SUMPRODUCT(($D$10:$L$10&lt;&gt;"")*(($D$10:$L$10-($D$9:$L$9+INT(($S$12:$AA$12+INDEX($AJ$13:$AR$162,BN3649,0)+INDEX($AT$13:$BB$162,BO3649,0)+INDEX($BD$13:$BL$162,BP3649,0))/100)))&gt;0)*($D$10:$L$10-($D$9:$L$9+INT(($S$12:$AA$12+INDEX($AJ$13:$AR$162,BN3649,0)+INDEX($AT$13:$BB$162,BO3649,0)+INDEX($BD$13:$BL$162,BP3649,0))/100)))),0)</f>
        <v/>
      </c>
      <c r="BS3649">
        <f>IF(3636&lt;$U$9,SUMPRODUCT(($D$9:$L$9+INT(($S$12:$AA$12+INDEX($AJ$13:$AR$162,BN3649,0)+INDEX($AT$13:$BB$162,BO3649,0)+INDEX($BD$13:$BL$162,BP3649,0))/100))),0)</f>
        <v/>
      </c>
      <c r="BT3649">
        <f>IF(AND(3636&lt;$U$9,$W$5),BQ3649*1000000-MIN(BR3649,999)*1000+BS3649-3636/100000,-1000000000-3636)</f>
        <v/>
      </c>
    </row>
    <row r="3650">
      <c r="BN3650">
        <f>IF(3637&lt;$U$9,INT(3637/($U$7*$U$8))+1,1)</f>
        <v/>
      </c>
      <c r="BO3650">
        <f>IF(3637&lt;$U$9,MOD(INT(3637/$U$8),$U$7)+1,1)</f>
        <v/>
      </c>
      <c r="BP3650">
        <f>IF(3637&lt;$U$9,MOD(3637,$U$8)+1,1)</f>
        <v/>
      </c>
      <c r="BQ3650">
        <f>IF(3637&lt;$U$9,SUMPRODUCT(($D$10:$L$10&lt;&gt;"")*(($D$9:$L$9+INT(($S$12:$AA$12+INDEX($AJ$13:$AR$162,BN3650,0)+INDEX($AT$13:$BB$162,BO3650,0)+INDEX($BD$13:$BL$162,BP3650,0))/100))&gt;=$D$10:$L$10)),0)</f>
        <v/>
      </c>
      <c r="BR3650">
        <f>IF(3637&lt;$U$9,SUMPRODUCT(($D$10:$L$10&lt;&gt;"")*(($D$10:$L$10-($D$9:$L$9+INT(($S$12:$AA$12+INDEX($AJ$13:$AR$162,BN3650,0)+INDEX($AT$13:$BB$162,BO3650,0)+INDEX($BD$13:$BL$162,BP3650,0))/100)))&gt;0)*($D$10:$L$10-($D$9:$L$9+INT(($S$12:$AA$12+INDEX($AJ$13:$AR$162,BN3650,0)+INDEX($AT$13:$BB$162,BO3650,0)+INDEX($BD$13:$BL$162,BP3650,0))/100)))),0)</f>
        <v/>
      </c>
      <c r="BS3650">
        <f>IF(3637&lt;$U$9,SUMPRODUCT(($D$9:$L$9+INT(($S$12:$AA$12+INDEX($AJ$13:$AR$162,BN3650,0)+INDEX($AT$13:$BB$162,BO3650,0)+INDEX($BD$13:$BL$162,BP3650,0))/100))),0)</f>
        <v/>
      </c>
      <c r="BT3650">
        <f>IF(AND(3637&lt;$U$9,$W$5),BQ3650*1000000-MIN(BR3650,999)*1000+BS3650-3637/100000,-1000000000-3637)</f>
        <v/>
      </c>
    </row>
    <row r="3651">
      <c r="BN3651">
        <f>IF(3638&lt;$U$9,INT(3638/($U$7*$U$8))+1,1)</f>
        <v/>
      </c>
      <c r="BO3651">
        <f>IF(3638&lt;$U$9,MOD(INT(3638/$U$8),$U$7)+1,1)</f>
        <v/>
      </c>
      <c r="BP3651">
        <f>IF(3638&lt;$U$9,MOD(3638,$U$8)+1,1)</f>
        <v/>
      </c>
      <c r="BQ3651">
        <f>IF(3638&lt;$U$9,SUMPRODUCT(($D$10:$L$10&lt;&gt;"")*(($D$9:$L$9+INT(($S$12:$AA$12+INDEX($AJ$13:$AR$162,BN3651,0)+INDEX($AT$13:$BB$162,BO3651,0)+INDEX($BD$13:$BL$162,BP3651,0))/100))&gt;=$D$10:$L$10)),0)</f>
        <v/>
      </c>
      <c r="BR3651">
        <f>IF(3638&lt;$U$9,SUMPRODUCT(($D$10:$L$10&lt;&gt;"")*(($D$10:$L$10-($D$9:$L$9+INT(($S$12:$AA$12+INDEX($AJ$13:$AR$162,BN3651,0)+INDEX($AT$13:$BB$162,BO3651,0)+INDEX($BD$13:$BL$162,BP3651,0))/100)))&gt;0)*($D$10:$L$10-($D$9:$L$9+INT(($S$12:$AA$12+INDEX($AJ$13:$AR$162,BN3651,0)+INDEX($AT$13:$BB$162,BO3651,0)+INDEX($BD$13:$BL$162,BP3651,0))/100)))),0)</f>
        <v/>
      </c>
      <c r="BS3651">
        <f>IF(3638&lt;$U$9,SUMPRODUCT(($D$9:$L$9+INT(($S$12:$AA$12+INDEX($AJ$13:$AR$162,BN3651,0)+INDEX($AT$13:$BB$162,BO3651,0)+INDEX($BD$13:$BL$162,BP3651,0))/100))),0)</f>
        <v/>
      </c>
      <c r="BT3651">
        <f>IF(AND(3638&lt;$U$9,$W$5),BQ3651*1000000-MIN(BR3651,999)*1000+BS3651-3638/100000,-1000000000-3638)</f>
        <v/>
      </c>
    </row>
    <row r="3652">
      <c r="BN3652">
        <f>IF(3639&lt;$U$9,INT(3639/($U$7*$U$8))+1,1)</f>
        <v/>
      </c>
      <c r="BO3652">
        <f>IF(3639&lt;$U$9,MOD(INT(3639/$U$8),$U$7)+1,1)</f>
        <v/>
      </c>
      <c r="BP3652">
        <f>IF(3639&lt;$U$9,MOD(3639,$U$8)+1,1)</f>
        <v/>
      </c>
      <c r="BQ3652">
        <f>IF(3639&lt;$U$9,SUMPRODUCT(($D$10:$L$10&lt;&gt;"")*(($D$9:$L$9+INT(($S$12:$AA$12+INDEX($AJ$13:$AR$162,BN3652,0)+INDEX($AT$13:$BB$162,BO3652,0)+INDEX($BD$13:$BL$162,BP3652,0))/100))&gt;=$D$10:$L$10)),0)</f>
        <v/>
      </c>
      <c r="BR3652">
        <f>IF(3639&lt;$U$9,SUMPRODUCT(($D$10:$L$10&lt;&gt;"")*(($D$10:$L$10-($D$9:$L$9+INT(($S$12:$AA$12+INDEX($AJ$13:$AR$162,BN3652,0)+INDEX($AT$13:$BB$162,BO3652,0)+INDEX($BD$13:$BL$162,BP3652,0))/100)))&gt;0)*($D$10:$L$10-($D$9:$L$9+INT(($S$12:$AA$12+INDEX($AJ$13:$AR$162,BN3652,0)+INDEX($AT$13:$BB$162,BO3652,0)+INDEX($BD$13:$BL$162,BP3652,0))/100)))),0)</f>
        <v/>
      </c>
      <c r="BS3652">
        <f>IF(3639&lt;$U$9,SUMPRODUCT(($D$9:$L$9+INT(($S$12:$AA$12+INDEX($AJ$13:$AR$162,BN3652,0)+INDEX($AT$13:$BB$162,BO3652,0)+INDEX($BD$13:$BL$162,BP3652,0))/100))),0)</f>
        <v/>
      </c>
      <c r="BT3652">
        <f>IF(AND(3639&lt;$U$9,$W$5),BQ3652*1000000-MIN(BR3652,999)*1000+BS3652-3639/100000,-1000000000-3639)</f>
        <v/>
      </c>
    </row>
    <row r="3653">
      <c r="BN3653">
        <f>IF(3640&lt;$U$9,INT(3640/($U$7*$U$8))+1,1)</f>
        <v/>
      </c>
      <c r="BO3653">
        <f>IF(3640&lt;$U$9,MOD(INT(3640/$U$8),$U$7)+1,1)</f>
        <v/>
      </c>
      <c r="BP3653">
        <f>IF(3640&lt;$U$9,MOD(3640,$U$8)+1,1)</f>
        <v/>
      </c>
      <c r="BQ3653">
        <f>IF(3640&lt;$U$9,SUMPRODUCT(($D$10:$L$10&lt;&gt;"")*(($D$9:$L$9+INT(($S$12:$AA$12+INDEX($AJ$13:$AR$162,BN3653,0)+INDEX($AT$13:$BB$162,BO3653,0)+INDEX($BD$13:$BL$162,BP3653,0))/100))&gt;=$D$10:$L$10)),0)</f>
        <v/>
      </c>
      <c r="BR3653">
        <f>IF(3640&lt;$U$9,SUMPRODUCT(($D$10:$L$10&lt;&gt;"")*(($D$10:$L$10-($D$9:$L$9+INT(($S$12:$AA$12+INDEX($AJ$13:$AR$162,BN3653,0)+INDEX($AT$13:$BB$162,BO3653,0)+INDEX($BD$13:$BL$162,BP3653,0))/100)))&gt;0)*($D$10:$L$10-($D$9:$L$9+INT(($S$12:$AA$12+INDEX($AJ$13:$AR$162,BN3653,0)+INDEX($AT$13:$BB$162,BO3653,0)+INDEX($BD$13:$BL$162,BP3653,0))/100)))),0)</f>
        <v/>
      </c>
      <c r="BS3653">
        <f>IF(3640&lt;$U$9,SUMPRODUCT(($D$9:$L$9+INT(($S$12:$AA$12+INDEX($AJ$13:$AR$162,BN3653,0)+INDEX($AT$13:$BB$162,BO3653,0)+INDEX($BD$13:$BL$162,BP3653,0))/100))),0)</f>
        <v/>
      </c>
      <c r="BT3653">
        <f>IF(AND(3640&lt;$U$9,$W$5),BQ3653*1000000-MIN(BR3653,999)*1000+BS3653-3640/100000,-1000000000-3640)</f>
        <v/>
      </c>
    </row>
    <row r="3654">
      <c r="BN3654">
        <f>IF(3641&lt;$U$9,INT(3641/($U$7*$U$8))+1,1)</f>
        <v/>
      </c>
      <c r="BO3654">
        <f>IF(3641&lt;$U$9,MOD(INT(3641/$U$8),$U$7)+1,1)</f>
        <v/>
      </c>
      <c r="BP3654">
        <f>IF(3641&lt;$U$9,MOD(3641,$U$8)+1,1)</f>
        <v/>
      </c>
      <c r="BQ3654">
        <f>IF(3641&lt;$U$9,SUMPRODUCT(($D$10:$L$10&lt;&gt;"")*(($D$9:$L$9+INT(($S$12:$AA$12+INDEX($AJ$13:$AR$162,BN3654,0)+INDEX($AT$13:$BB$162,BO3654,0)+INDEX($BD$13:$BL$162,BP3654,0))/100))&gt;=$D$10:$L$10)),0)</f>
        <v/>
      </c>
      <c r="BR3654">
        <f>IF(3641&lt;$U$9,SUMPRODUCT(($D$10:$L$10&lt;&gt;"")*(($D$10:$L$10-($D$9:$L$9+INT(($S$12:$AA$12+INDEX($AJ$13:$AR$162,BN3654,0)+INDEX($AT$13:$BB$162,BO3654,0)+INDEX($BD$13:$BL$162,BP3654,0))/100)))&gt;0)*($D$10:$L$10-($D$9:$L$9+INT(($S$12:$AA$12+INDEX($AJ$13:$AR$162,BN3654,0)+INDEX($AT$13:$BB$162,BO3654,0)+INDEX($BD$13:$BL$162,BP3654,0))/100)))),0)</f>
        <v/>
      </c>
      <c r="BS3654">
        <f>IF(3641&lt;$U$9,SUMPRODUCT(($D$9:$L$9+INT(($S$12:$AA$12+INDEX($AJ$13:$AR$162,BN3654,0)+INDEX($AT$13:$BB$162,BO3654,0)+INDEX($BD$13:$BL$162,BP3654,0))/100))),0)</f>
        <v/>
      </c>
      <c r="BT3654">
        <f>IF(AND(3641&lt;$U$9,$W$5),BQ3654*1000000-MIN(BR3654,999)*1000+BS3654-3641/100000,-1000000000-3641)</f>
        <v/>
      </c>
    </row>
    <row r="3655">
      <c r="BN3655">
        <f>IF(3642&lt;$U$9,INT(3642/($U$7*$U$8))+1,1)</f>
        <v/>
      </c>
      <c r="BO3655">
        <f>IF(3642&lt;$U$9,MOD(INT(3642/$U$8),$U$7)+1,1)</f>
        <v/>
      </c>
      <c r="BP3655">
        <f>IF(3642&lt;$U$9,MOD(3642,$U$8)+1,1)</f>
        <v/>
      </c>
      <c r="BQ3655">
        <f>IF(3642&lt;$U$9,SUMPRODUCT(($D$10:$L$10&lt;&gt;"")*(($D$9:$L$9+INT(($S$12:$AA$12+INDEX($AJ$13:$AR$162,BN3655,0)+INDEX($AT$13:$BB$162,BO3655,0)+INDEX($BD$13:$BL$162,BP3655,0))/100))&gt;=$D$10:$L$10)),0)</f>
        <v/>
      </c>
      <c r="BR3655">
        <f>IF(3642&lt;$U$9,SUMPRODUCT(($D$10:$L$10&lt;&gt;"")*(($D$10:$L$10-($D$9:$L$9+INT(($S$12:$AA$12+INDEX($AJ$13:$AR$162,BN3655,0)+INDEX($AT$13:$BB$162,BO3655,0)+INDEX($BD$13:$BL$162,BP3655,0))/100)))&gt;0)*($D$10:$L$10-($D$9:$L$9+INT(($S$12:$AA$12+INDEX($AJ$13:$AR$162,BN3655,0)+INDEX($AT$13:$BB$162,BO3655,0)+INDEX($BD$13:$BL$162,BP3655,0))/100)))),0)</f>
        <v/>
      </c>
      <c r="BS3655">
        <f>IF(3642&lt;$U$9,SUMPRODUCT(($D$9:$L$9+INT(($S$12:$AA$12+INDEX($AJ$13:$AR$162,BN3655,0)+INDEX($AT$13:$BB$162,BO3655,0)+INDEX($BD$13:$BL$162,BP3655,0))/100))),0)</f>
        <v/>
      </c>
      <c r="BT3655">
        <f>IF(AND(3642&lt;$U$9,$W$5),BQ3655*1000000-MIN(BR3655,999)*1000+BS3655-3642/100000,-1000000000-3642)</f>
        <v/>
      </c>
    </row>
    <row r="3656">
      <c r="BN3656">
        <f>IF(3643&lt;$U$9,INT(3643/($U$7*$U$8))+1,1)</f>
        <v/>
      </c>
      <c r="BO3656">
        <f>IF(3643&lt;$U$9,MOD(INT(3643/$U$8),$U$7)+1,1)</f>
        <v/>
      </c>
      <c r="BP3656">
        <f>IF(3643&lt;$U$9,MOD(3643,$U$8)+1,1)</f>
        <v/>
      </c>
      <c r="BQ3656">
        <f>IF(3643&lt;$U$9,SUMPRODUCT(($D$10:$L$10&lt;&gt;"")*(($D$9:$L$9+INT(($S$12:$AA$12+INDEX($AJ$13:$AR$162,BN3656,0)+INDEX($AT$13:$BB$162,BO3656,0)+INDEX($BD$13:$BL$162,BP3656,0))/100))&gt;=$D$10:$L$10)),0)</f>
        <v/>
      </c>
      <c r="BR3656">
        <f>IF(3643&lt;$U$9,SUMPRODUCT(($D$10:$L$10&lt;&gt;"")*(($D$10:$L$10-($D$9:$L$9+INT(($S$12:$AA$12+INDEX($AJ$13:$AR$162,BN3656,0)+INDEX($AT$13:$BB$162,BO3656,0)+INDEX($BD$13:$BL$162,BP3656,0))/100)))&gt;0)*($D$10:$L$10-($D$9:$L$9+INT(($S$12:$AA$12+INDEX($AJ$13:$AR$162,BN3656,0)+INDEX($AT$13:$BB$162,BO3656,0)+INDEX($BD$13:$BL$162,BP3656,0))/100)))),0)</f>
        <v/>
      </c>
      <c r="BS3656">
        <f>IF(3643&lt;$U$9,SUMPRODUCT(($D$9:$L$9+INT(($S$12:$AA$12+INDEX($AJ$13:$AR$162,BN3656,0)+INDEX($AT$13:$BB$162,BO3656,0)+INDEX($BD$13:$BL$162,BP3656,0))/100))),0)</f>
        <v/>
      </c>
      <c r="BT3656">
        <f>IF(AND(3643&lt;$U$9,$W$5),BQ3656*1000000-MIN(BR3656,999)*1000+BS3656-3643/100000,-1000000000-3643)</f>
        <v/>
      </c>
    </row>
    <row r="3657">
      <c r="BN3657">
        <f>IF(3644&lt;$U$9,INT(3644/($U$7*$U$8))+1,1)</f>
        <v/>
      </c>
      <c r="BO3657">
        <f>IF(3644&lt;$U$9,MOD(INT(3644/$U$8),$U$7)+1,1)</f>
        <v/>
      </c>
      <c r="BP3657">
        <f>IF(3644&lt;$U$9,MOD(3644,$U$8)+1,1)</f>
        <v/>
      </c>
      <c r="BQ3657">
        <f>IF(3644&lt;$U$9,SUMPRODUCT(($D$10:$L$10&lt;&gt;"")*(($D$9:$L$9+INT(($S$12:$AA$12+INDEX($AJ$13:$AR$162,BN3657,0)+INDEX($AT$13:$BB$162,BO3657,0)+INDEX($BD$13:$BL$162,BP3657,0))/100))&gt;=$D$10:$L$10)),0)</f>
        <v/>
      </c>
      <c r="BR3657">
        <f>IF(3644&lt;$U$9,SUMPRODUCT(($D$10:$L$10&lt;&gt;"")*(($D$10:$L$10-($D$9:$L$9+INT(($S$12:$AA$12+INDEX($AJ$13:$AR$162,BN3657,0)+INDEX($AT$13:$BB$162,BO3657,0)+INDEX($BD$13:$BL$162,BP3657,0))/100)))&gt;0)*($D$10:$L$10-($D$9:$L$9+INT(($S$12:$AA$12+INDEX($AJ$13:$AR$162,BN3657,0)+INDEX($AT$13:$BB$162,BO3657,0)+INDEX($BD$13:$BL$162,BP3657,0))/100)))),0)</f>
        <v/>
      </c>
      <c r="BS3657">
        <f>IF(3644&lt;$U$9,SUMPRODUCT(($D$9:$L$9+INT(($S$12:$AA$12+INDEX($AJ$13:$AR$162,BN3657,0)+INDEX($AT$13:$BB$162,BO3657,0)+INDEX($BD$13:$BL$162,BP3657,0))/100))),0)</f>
        <v/>
      </c>
      <c r="BT3657">
        <f>IF(AND(3644&lt;$U$9,$W$5),BQ3657*1000000-MIN(BR3657,999)*1000+BS3657-3644/100000,-1000000000-3644)</f>
        <v/>
      </c>
    </row>
    <row r="3658">
      <c r="BN3658">
        <f>IF(3645&lt;$U$9,INT(3645/($U$7*$U$8))+1,1)</f>
        <v/>
      </c>
      <c r="BO3658">
        <f>IF(3645&lt;$U$9,MOD(INT(3645/$U$8),$U$7)+1,1)</f>
        <v/>
      </c>
      <c r="BP3658">
        <f>IF(3645&lt;$U$9,MOD(3645,$U$8)+1,1)</f>
        <v/>
      </c>
      <c r="BQ3658">
        <f>IF(3645&lt;$U$9,SUMPRODUCT(($D$10:$L$10&lt;&gt;"")*(($D$9:$L$9+INT(($S$12:$AA$12+INDEX($AJ$13:$AR$162,BN3658,0)+INDEX($AT$13:$BB$162,BO3658,0)+INDEX($BD$13:$BL$162,BP3658,0))/100))&gt;=$D$10:$L$10)),0)</f>
        <v/>
      </c>
      <c r="BR3658">
        <f>IF(3645&lt;$U$9,SUMPRODUCT(($D$10:$L$10&lt;&gt;"")*(($D$10:$L$10-($D$9:$L$9+INT(($S$12:$AA$12+INDEX($AJ$13:$AR$162,BN3658,0)+INDEX($AT$13:$BB$162,BO3658,0)+INDEX($BD$13:$BL$162,BP3658,0))/100)))&gt;0)*($D$10:$L$10-($D$9:$L$9+INT(($S$12:$AA$12+INDEX($AJ$13:$AR$162,BN3658,0)+INDEX($AT$13:$BB$162,BO3658,0)+INDEX($BD$13:$BL$162,BP3658,0))/100)))),0)</f>
        <v/>
      </c>
      <c r="BS3658">
        <f>IF(3645&lt;$U$9,SUMPRODUCT(($D$9:$L$9+INT(($S$12:$AA$12+INDEX($AJ$13:$AR$162,BN3658,0)+INDEX($AT$13:$BB$162,BO3658,0)+INDEX($BD$13:$BL$162,BP3658,0))/100))),0)</f>
        <v/>
      </c>
      <c r="BT3658">
        <f>IF(AND(3645&lt;$U$9,$W$5),BQ3658*1000000-MIN(BR3658,999)*1000+BS3658-3645/100000,-1000000000-3645)</f>
        <v/>
      </c>
    </row>
    <row r="3659">
      <c r="BN3659">
        <f>IF(3646&lt;$U$9,INT(3646/($U$7*$U$8))+1,1)</f>
        <v/>
      </c>
      <c r="BO3659">
        <f>IF(3646&lt;$U$9,MOD(INT(3646/$U$8),$U$7)+1,1)</f>
        <v/>
      </c>
      <c r="BP3659">
        <f>IF(3646&lt;$U$9,MOD(3646,$U$8)+1,1)</f>
        <v/>
      </c>
      <c r="BQ3659">
        <f>IF(3646&lt;$U$9,SUMPRODUCT(($D$10:$L$10&lt;&gt;"")*(($D$9:$L$9+INT(($S$12:$AA$12+INDEX($AJ$13:$AR$162,BN3659,0)+INDEX($AT$13:$BB$162,BO3659,0)+INDEX($BD$13:$BL$162,BP3659,0))/100))&gt;=$D$10:$L$10)),0)</f>
        <v/>
      </c>
      <c r="BR3659">
        <f>IF(3646&lt;$U$9,SUMPRODUCT(($D$10:$L$10&lt;&gt;"")*(($D$10:$L$10-($D$9:$L$9+INT(($S$12:$AA$12+INDEX($AJ$13:$AR$162,BN3659,0)+INDEX($AT$13:$BB$162,BO3659,0)+INDEX($BD$13:$BL$162,BP3659,0))/100)))&gt;0)*($D$10:$L$10-($D$9:$L$9+INT(($S$12:$AA$12+INDEX($AJ$13:$AR$162,BN3659,0)+INDEX($AT$13:$BB$162,BO3659,0)+INDEX($BD$13:$BL$162,BP3659,0))/100)))),0)</f>
        <v/>
      </c>
      <c r="BS3659">
        <f>IF(3646&lt;$U$9,SUMPRODUCT(($D$9:$L$9+INT(($S$12:$AA$12+INDEX($AJ$13:$AR$162,BN3659,0)+INDEX($AT$13:$BB$162,BO3659,0)+INDEX($BD$13:$BL$162,BP3659,0))/100))),0)</f>
        <v/>
      </c>
      <c r="BT3659">
        <f>IF(AND(3646&lt;$U$9,$W$5),BQ3659*1000000-MIN(BR3659,999)*1000+BS3659-3646/100000,-1000000000-3646)</f>
        <v/>
      </c>
    </row>
    <row r="3660">
      <c r="BN3660">
        <f>IF(3647&lt;$U$9,INT(3647/($U$7*$U$8))+1,1)</f>
        <v/>
      </c>
      <c r="BO3660">
        <f>IF(3647&lt;$U$9,MOD(INT(3647/$U$8),$U$7)+1,1)</f>
        <v/>
      </c>
      <c r="BP3660">
        <f>IF(3647&lt;$U$9,MOD(3647,$U$8)+1,1)</f>
        <v/>
      </c>
      <c r="BQ3660">
        <f>IF(3647&lt;$U$9,SUMPRODUCT(($D$10:$L$10&lt;&gt;"")*(($D$9:$L$9+INT(($S$12:$AA$12+INDEX($AJ$13:$AR$162,BN3660,0)+INDEX($AT$13:$BB$162,BO3660,0)+INDEX($BD$13:$BL$162,BP3660,0))/100))&gt;=$D$10:$L$10)),0)</f>
        <v/>
      </c>
      <c r="BR3660">
        <f>IF(3647&lt;$U$9,SUMPRODUCT(($D$10:$L$10&lt;&gt;"")*(($D$10:$L$10-($D$9:$L$9+INT(($S$12:$AA$12+INDEX($AJ$13:$AR$162,BN3660,0)+INDEX($AT$13:$BB$162,BO3660,0)+INDEX($BD$13:$BL$162,BP3660,0))/100)))&gt;0)*($D$10:$L$10-($D$9:$L$9+INT(($S$12:$AA$12+INDEX($AJ$13:$AR$162,BN3660,0)+INDEX($AT$13:$BB$162,BO3660,0)+INDEX($BD$13:$BL$162,BP3660,0))/100)))),0)</f>
        <v/>
      </c>
      <c r="BS3660">
        <f>IF(3647&lt;$U$9,SUMPRODUCT(($D$9:$L$9+INT(($S$12:$AA$12+INDEX($AJ$13:$AR$162,BN3660,0)+INDEX($AT$13:$BB$162,BO3660,0)+INDEX($BD$13:$BL$162,BP3660,0))/100))),0)</f>
        <v/>
      </c>
      <c r="BT3660">
        <f>IF(AND(3647&lt;$U$9,$W$5),BQ3660*1000000-MIN(BR3660,999)*1000+BS3660-3647/100000,-1000000000-3647)</f>
        <v/>
      </c>
    </row>
    <row r="3661">
      <c r="BN3661">
        <f>IF(3648&lt;$U$9,INT(3648/($U$7*$U$8))+1,1)</f>
        <v/>
      </c>
      <c r="BO3661">
        <f>IF(3648&lt;$U$9,MOD(INT(3648/$U$8),$U$7)+1,1)</f>
        <v/>
      </c>
      <c r="BP3661">
        <f>IF(3648&lt;$U$9,MOD(3648,$U$8)+1,1)</f>
        <v/>
      </c>
      <c r="BQ3661">
        <f>IF(3648&lt;$U$9,SUMPRODUCT(($D$10:$L$10&lt;&gt;"")*(($D$9:$L$9+INT(($S$12:$AA$12+INDEX($AJ$13:$AR$162,BN3661,0)+INDEX($AT$13:$BB$162,BO3661,0)+INDEX($BD$13:$BL$162,BP3661,0))/100))&gt;=$D$10:$L$10)),0)</f>
        <v/>
      </c>
      <c r="BR3661">
        <f>IF(3648&lt;$U$9,SUMPRODUCT(($D$10:$L$10&lt;&gt;"")*(($D$10:$L$10-($D$9:$L$9+INT(($S$12:$AA$12+INDEX($AJ$13:$AR$162,BN3661,0)+INDEX($AT$13:$BB$162,BO3661,0)+INDEX($BD$13:$BL$162,BP3661,0))/100)))&gt;0)*($D$10:$L$10-($D$9:$L$9+INT(($S$12:$AA$12+INDEX($AJ$13:$AR$162,BN3661,0)+INDEX($AT$13:$BB$162,BO3661,0)+INDEX($BD$13:$BL$162,BP3661,0))/100)))),0)</f>
        <v/>
      </c>
      <c r="BS3661">
        <f>IF(3648&lt;$U$9,SUMPRODUCT(($D$9:$L$9+INT(($S$12:$AA$12+INDEX($AJ$13:$AR$162,BN3661,0)+INDEX($AT$13:$BB$162,BO3661,0)+INDEX($BD$13:$BL$162,BP3661,0))/100))),0)</f>
        <v/>
      </c>
      <c r="BT3661">
        <f>IF(AND(3648&lt;$U$9,$W$5),BQ3661*1000000-MIN(BR3661,999)*1000+BS3661-3648/100000,-1000000000-3648)</f>
        <v/>
      </c>
    </row>
    <row r="3662">
      <c r="BN3662">
        <f>IF(3649&lt;$U$9,INT(3649/($U$7*$U$8))+1,1)</f>
        <v/>
      </c>
      <c r="BO3662">
        <f>IF(3649&lt;$U$9,MOD(INT(3649/$U$8),$U$7)+1,1)</f>
        <v/>
      </c>
      <c r="BP3662">
        <f>IF(3649&lt;$U$9,MOD(3649,$U$8)+1,1)</f>
        <v/>
      </c>
      <c r="BQ3662">
        <f>IF(3649&lt;$U$9,SUMPRODUCT(($D$10:$L$10&lt;&gt;"")*(($D$9:$L$9+INT(($S$12:$AA$12+INDEX($AJ$13:$AR$162,BN3662,0)+INDEX($AT$13:$BB$162,BO3662,0)+INDEX($BD$13:$BL$162,BP3662,0))/100))&gt;=$D$10:$L$10)),0)</f>
        <v/>
      </c>
      <c r="BR3662">
        <f>IF(3649&lt;$U$9,SUMPRODUCT(($D$10:$L$10&lt;&gt;"")*(($D$10:$L$10-($D$9:$L$9+INT(($S$12:$AA$12+INDEX($AJ$13:$AR$162,BN3662,0)+INDEX($AT$13:$BB$162,BO3662,0)+INDEX($BD$13:$BL$162,BP3662,0))/100)))&gt;0)*($D$10:$L$10-($D$9:$L$9+INT(($S$12:$AA$12+INDEX($AJ$13:$AR$162,BN3662,0)+INDEX($AT$13:$BB$162,BO3662,0)+INDEX($BD$13:$BL$162,BP3662,0))/100)))),0)</f>
        <v/>
      </c>
      <c r="BS3662">
        <f>IF(3649&lt;$U$9,SUMPRODUCT(($D$9:$L$9+INT(($S$12:$AA$12+INDEX($AJ$13:$AR$162,BN3662,0)+INDEX($AT$13:$BB$162,BO3662,0)+INDEX($BD$13:$BL$162,BP3662,0))/100))),0)</f>
        <v/>
      </c>
      <c r="BT3662">
        <f>IF(AND(3649&lt;$U$9,$W$5),BQ3662*1000000-MIN(BR3662,999)*1000+BS3662-3649/100000,-1000000000-3649)</f>
        <v/>
      </c>
    </row>
    <row r="3663">
      <c r="BN3663">
        <f>IF(3650&lt;$U$9,INT(3650/($U$7*$U$8))+1,1)</f>
        <v/>
      </c>
      <c r="BO3663">
        <f>IF(3650&lt;$U$9,MOD(INT(3650/$U$8),$U$7)+1,1)</f>
        <v/>
      </c>
      <c r="BP3663">
        <f>IF(3650&lt;$U$9,MOD(3650,$U$8)+1,1)</f>
        <v/>
      </c>
      <c r="BQ3663">
        <f>IF(3650&lt;$U$9,SUMPRODUCT(($D$10:$L$10&lt;&gt;"")*(($D$9:$L$9+INT(($S$12:$AA$12+INDEX($AJ$13:$AR$162,BN3663,0)+INDEX($AT$13:$BB$162,BO3663,0)+INDEX($BD$13:$BL$162,BP3663,0))/100))&gt;=$D$10:$L$10)),0)</f>
        <v/>
      </c>
      <c r="BR3663">
        <f>IF(3650&lt;$U$9,SUMPRODUCT(($D$10:$L$10&lt;&gt;"")*(($D$10:$L$10-($D$9:$L$9+INT(($S$12:$AA$12+INDEX($AJ$13:$AR$162,BN3663,0)+INDEX($AT$13:$BB$162,BO3663,0)+INDEX($BD$13:$BL$162,BP3663,0))/100)))&gt;0)*($D$10:$L$10-($D$9:$L$9+INT(($S$12:$AA$12+INDEX($AJ$13:$AR$162,BN3663,0)+INDEX($AT$13:$BB$162,BO3663,0)+INDEX($BD$13:$BL$162,BP3663,0))/100)))),0)</f>
        <v/>
      </c>
      <c r="BS3663">
        <f>IF(3650&lt;$U$9,SUMPRODUCT(($D$9:$L$9+INT(($S$12:$AA$12+INDEX($AJ$13:$AR$162,BN3663,0)+INDEX($AT$13:$BB$162,BO3663,0)+INDEX($BD$13:$BL$162,BP3663,0))/100))),0)</f>
        <v/>
      </c>
      <c r="BT3663">
        <f>IF(AND(3650&lt;$U$9,$W$5),BQ3663*1000000-MIN(BR3663,999)*1000+BS3663-3650/100000,-1000000000-3650)</f>
        <v/>
      </c>
    </row>
    <row r="3664">
      <c r="BN3664">
        <f>IF(3651&lt;$U$9,INT(3651/($U$7*$U$8))+1,1)</f>
        <v/>
      </c>
      <c r="BO3664">
        <f>IF(3651&lt;$U$9,MOD(INT(3651/$U$8),$U$7)+1,1)</f>
        <v/>
      </c>
      <c r="BP3664">
        <f>IF(3651&lt;$U$9,MOD(3651,$U$8)+1,1)</f>
        <v/>
      </c>
      <c r="BQ3664">
        <f>IF(3651&lt;$U$9,SUMPRODUCT(($D$10:$L$10&lt;&gt;"")*(($D$9:$L$9+INT(($S$12:$AA$12+INDEX($AJ$13:$AR$162,BN3664,0)+INDEX($AT$13:$BB$162,BO3664,0)+INDEX($BD$13:$BL$162,BP3664,0))/100))&gt;=$D$10:$L$10)),0)</f>
        <v/>
      </c>
      <c r="BR3664">
        <f>IF(3651&lt;$U$9,SUMPRODUCT(($D$10:$L$10&lt;&gt;"")*(($D$10:$L$10-($D$9:$L$9+INT(($S$12:$AA$12+INDEX($AJ$13:$AR$162,BN3664,0)+INDEX($AT$13:$BB$162,BO3664,0)+INDEX($BD$13:$BL$162,BP3664,0))/100)))&gt;0)*($D$10:$L$10-($D$9:$L$9+INT(($S$12:$AA$12+INDEX($AJ$13:$AR$162,BN3664,0)+INDEX($AT$13:$BB$162,BO3664,0)+INDEX($BD$13:$BL$162,BP3664,0))/100)))),0)</f>
        <v/>
      </c>
      <c r="BS3664">
        <f>IF(3651&lt;$U$9,SUMPRODUCT(($D$9:$L$9+INT(($S$12:$AA$12+INDEX($AJ$13:$AR$162,BN3664,0)+INDEX($AT$13:$BB$162,BO3664,0)+INDEX($BD$13:$BL$162,BP3664,0))/100))),0)</f>
        <v/>
      </c>
      <c r="BT3664">
        <f>IF(AND(3651&lt;$U$9,$W$5),BQ3664*1000000-MIN(BR3664,999)*1000+BS3664-3651/100000,-1000000000-3651)</f>
        <v/>
      </c>
    </row>
    <row r="3665">
      <c r="BN3665">
        <f>IF(3652&lt;$U$9,INT(3652/($U$7*$U$8))+1,1)</f>
        <v/>
      </c>
      <c r="BO3665">
        <f>IF(3652&lt;$U$9,MOD(INT(3652/$U$8),$U$7)+1,1)</f>
        <v/>
      </c>
      <c r="BP3665">
        <f>IF(3652&lt;$U$9,MOD(3652,$U$8)+1,1)</f>
        <v/>
      </c>
      <c r="BQ3665">
        <f>IF(3652&lt;$U$9,SUMPRODUCT(($D$10:$L$10&lt;&gt;"")*(($D$9:$L$9+INT(($S$12:$AA$12+INDEX($AJ$13:$AR$162,BN3665,0)+INDEX($AT$13:$BB$162,BO3665,0)+INDEX($BD$13:$BL$162,BP3665,0))/100))&gt;=$D$10:$L$10)),0)</f>
        <v/>
      </c>
      <c r="BR3665">
        <f>IF(3652&lt;$U$9,SUMPRODUCT(($D$10:$L$10&lt;&gt;"")*(($D$10:$L$10-($D$9:$L$9+INT(($S$12:$AA$12+INDEX($AJ$13:$AR$162,BN3665,0)+INDEX($AT$13:$BB$162,BO3665,0)+INDEX($BD$13:$BL$162,BP3665,0))/100)))&gt;0)*($D$10:$L$10-($D$9:$L$9+INT(($S$12:$AA$12+INDEX($AJ$13:$AR$162,BN3665,0)+INDEX($AT$13:$BB$162,BO3665,0)+INDEX($BD$13:$BL$162,BP3665,0))/100)))),0)</f>
        <v/>
      </c>
      <c r="BS3665">
        <f>IF(3652&lt;$U$9,SUMPRODUCT(($D$9:$L$9+INT(($S$12:$AA$12+INDEX($AJ$13:$AR$162,BN3665,0)+INDEX($AT$13:$BB$162,BO3665,0)+INDEX($BD$13:$BL$162,BP3665,0))/100))),0)</f>
        <v/>
      </c>
      <c r="BT3665">
        <f>IF(AND(3652&lt;$U$9,$W$5),BQ3665*1000000-MIN(BR3665,999)*1000+BS3665-3652/100000,-1000000000-3652)</f>
        <v/>
      </c>
    </row>
    <row r="3666">
      <c r="BN3666">
        <f>IF(3653&lt;$U$9,INT(3653/($U$7*$U$8))+1,1)</f>
        <v/>
      </c>
      <c r="BO3666">
        <f>IF(3653&lt;$U$9,MOD(INT(3653/$U$8),$U$7)+1,1)</f>
        <v/>
      </c>
      <c r="BP3666">
        <f>IF(3653&lt;$U$9,MOD(3653,$U$8)+1,1)</f>
        <v/>
      </c>
      <c r="BQ3666">
        <f>IF(3653&lt;$U$9,SUMPRODUCT(($D$10:$L$10&lt;&gt;"")*(($D$9:$L$9+INT(($S$12:$AA$12+INDEX($AJ$13:$AR$162,BN3666,0)+INDEX($AT$13:$BB$162,BO3666,0)+INDEX($BD$13:$BL$162,BP3666,0))/100))&gt;=$D$10:$L$10)),0)</f>
        <v/>
      </c>
      <c r="BR3666">
        <f>IF(3653&lt;$U$9,SUMPRODUCT(($D$10:$L$10&lt;&gt;"")*(($D$10:$L$10-($D$9:$L$9+INT(($S$12:$AA$12+INDEX($AJ$13:$AR$162,BN3666,0)+INDEX($AT$13:$BB$162,BO3666,0)+INDEX($BD$13:$BL$162,BP3666,0))/100)))&gt;0)*($D$10:$L$10-($D$9:$L$9+INT(($S$12:$AA$12+INDEX($AJ$13:$AR$162,BN3666,0)+INDEX($AT$13:$BB$162,BO3666,0)+INDEX($BD$13:$BL$162,BP3666,0))/100)))),0)</f>
        <v/>
      </c>
      <c r="BS3666">
        <f>IF(3653&lt;$U$9,SUMPRODUCT(($D$9:$L$9+INT(($S$12:$AA$12+INDEX($AJ$13:$AR$162,BN3666,0)+INDEX($AT$13:$BB$162,BO3666,0)+INDEX($BD$13:$BL$162,BP3666,0))/100))),0)</f>
        <v/>
      </c>
      <c r="BT3666">
        <f>IF(AND(3653&lt;$U$9,$W$5),BQ3666*1000000-MIN(BR3666,999)*1000+BS3666-3653/100000,-1000000000-3653)</f>
        <v/>
      </c>
    </row>
    <row r="3667">
      <c r="BN3667">
        <f>IF(3654&lt;$U$9,INT(3654/($U$7*$U$8))+1,1)</f>
        <v/>
      </c>
      <c r="BO3667">
        <f>IF(3654&lt;$U$9,MOD(INT(3654/$U$8),$U$7)+1,1)</f>
        <v/>
      </c>
      <c r="BP3667">
        <f>IF(3654&lt;$U$9,MOD(3654,$U$8)+1,1)</f>
        <v/>
      </c>
      <c r="BQ3667">
        <f>IF(3654&lt;$U$9,SUMPRODUCT(($D$10:$L$10&lt;&gt;"")*(($D$9:$L$9+INT(($S$12:$AA$12+INDEX($AJ$13:$AR$162,BN3667,0)+INDEX($AT$13:$BB$162,BO3667,0)+INDEX($BD$13:$BL$162,BP3667,0))/100))&gt;=$D$10:$L$10)),0)</f>
        <v/>
      </c>
      <c r="BR3667">
        <f>IF(3654&lt;$U$9,SUMPRODUCT(($D$10:$L$10&lt;&gt;"")*(($D$10:$L$10-($D$9:$L$9+INT(($S$12:$AA$12+INDEX($AJ$13:$AR$162,BN3667,0)+INDEX($AT$13:$BB$162,BO3667,0)+INDEX($BD$13:$BL$162,BP3667,0))/100)))&gt;0)*($D$10:$L$10-($D$9:$L$9+INT(($S$12:$AA$12+INDEX($AJ$13:$AR$162,BN3667,0)+INDEX($AT$13:$BB$162,BO3667,0)+INDEX($BD$13:$BL$162,BP3667,0))/100)))),0)</f>
        <v/>
      </c>
      <c r="BS3667">
        <f>IF(3654&lt;$U$9,SUMPRODUCT(($D$9:$L$9+INT(($S$12:$AA$12+INDEX($AJ$13:$AR$162,BN3667,0)+INDEX($AT$13:$BB$162,BO3667,0)+INDEX($BD$13:$BL$162,BP3667,0))/100))),0)</f>
        <v/>
      </c>
      <c r="BT3667">
        <f>IF(AND(3654&lt;$U$9,$W$5),BQ3667*1000000-MIN(BR3667,999)*1000+BS3667-3654/100000,-1000000000-3654)</f>
        <v/>
      </c>
    </row>
    <row r="3668">
      <c r="BN3668">
        <f>IF(3655&lt;$U$9,INT(3655/($U$7*$U$8))+1,1)</f>
        <v/>
      </c>
      <c r="BO3668">
        <f>IF(3655&lt;$U$9,MOD(INT(3655/$U$8),$U$7)+1,1)</f>
        <v/>
      </c>
      <c r="BP3668">
        <f>IF(3655&lt;$U$9,MOD(3655,$U$8)+1,1)</f>
        <v/>
      </c>
      <c r="BQ3668">
        <f>IF(3655&lt;$U$9,SUMPRODUCT(($D$10:$L$10&lt;&gt;"")*(($D$9:$L$9+INT(($S$12:$AA$12+INDEX($AJ$13:$AR$162,BN3668,0)+INDEX($AT$13:$BB$162,BO3668,0)+INDEX($BD$13:$BL$162,BP3668,0))/100))&gt;=$D$10:$L$10)),0)</f>
        <v/>
      </c>
      <c r="BR3668">
        <f>IF(3655&lt;$U$9,SUMPRODUCT(($D$10:$L$10&lt;&gt;"")*(($D$10:$L$10-($D$9:$L$9+INT(($S$12:$AA$12+INDEX($AJ$13:$AR$162,BN3668,0)+INDEX($AT$13:$BB$162,BO3668,0)+INDEX($BD$13:$BL$162,BP3668,0))/100)))&gt;0)*($D$10:$L$10-($D$9:$L$9+INT(($S$12:$AA$12+INDEX($AJ$13:$AR$162,BN3668,0)+INDEX($AT$13:$BB$162,BO3668,0)+INDEX($BD$13:$BL$162,BP3668,0))/100)))),0)</f>
        <v/>
      </c>
      <c r="BS3668">
        <f>IF(3655&lt;$U$9,SUMPRODUCT(($D$9:$L$9+INT(($S$12:$AA$12+INDEX($AJ$13:$AR$162,BN3668,0)+INDEX($AT$13:$BB$162,BO3668,0)+INDEX($BD$13:$BL$162,BP3668,0))/100))),0)</f>
        <v/>
      </c>
      <c r="BT3668">
        <f>IF(AND(3655&lt;$U$9,$W$5),BQ3668*1000000-MIN(BR3668,999)*1000+BS3668-3655/100000,-1000000000-3655)</f>
        <v/>
      </c>
    </row>
    <row r="3669">
      <c r="BN3669">
        <f>IF(3656&lt;$U$9,INT(3656/($U$7*$U$8))+1,1)</f>
        <v/>
      </c>
      <c r="BO3669">
        <f>IF(3656&lt;$U$9,MOD(INT(3656/$U$8),$U$7)+1,1)</f>
        <v/>
      </c>
      <c r="BP3669">
        <f>IF(3656&lt;$U$9,MOD(3656,$U$8)+1,1)</f>
        <v/>
      </c>
      <c r="BQ3669">
        <f>IF(3656&lt;$U$9,SUMPRODUCT(($D$10:$L$10&lt;&gt;"")*(($D$9:$L$9+INT(($S$12:$AA$12+INDEX($AJ$13:$AR$162,BN3669,0)+INDEX($AT$13:$BB$162,BO3669,0)+INDEX($BD$13:$BL$162,BP3669,0))/100))&gt;=$D$10:$L$10)),0)</f>
        <v/>
      </c>
      <c r="BR3669">
        <f>IF(3656&lt;$U$9,SUMPRODUCT(($D$10:$L$10&lt;&gt;"")*(($D$10:$L$10-($D$9:$L$9+INT(($S$12:$AA$12+INDEX($AJ$13:$AR$162,BN3669,0)+INDEX($AT$13:$BB$162,BO3669,0)+INDEX($BD$13:$BL$162,BP3669,0))/100)))&gt;0)*($D$10:$L$10-($D$9:$L$9+INT(($S$12:$AA$12+INDEX($AJ$13:$AR$162,BN3669,0)+INDEX($AT$13:$BB$162,BO3669,0)+INDEX($BD$13:$BL$162,BP3669,0))/100)))),0)</f>
        <v/>
      </c>
      <c r="BS3669">
        <f>IF(3656&lt;$U$9,SUMPRODUCT(($D$9:$L$9+INT(($S$12:$AA$12+INDEX($AJ$13:$AR$162,BN3669,0)+INDEX($AT$13:$BB$162,BO3669,0)+INDEX($BD$13:$BL$162,BP3669,0))/100))),0)</f>
        <v/>
      </c>
      <c r="BT3669">
        <f>IF(AND(3656&lt;$U$9,$W$5),BQ3669*1000000-MIN(BR3669,999)*1000+BS3669-3656/100000,-1000000000-3656)</f>
        <v/>
      </c>
    </row>
    <row r="3670">
      <c r="BN3670">
        <f>IF(3657&lt;$U$9,INT(3657/($U$7*$U$8))+1,1)</f>
        <v/>
      </c>
      <c r="BO3670">
        <f>IF(3657&lt;$U$9,MOD(INT(3657/$U$8),$U$7)+1,1)</f>
        <v/>
      </c>
      <c r="BP3670">
        <f>IF(3657&lt;$U$9,MOD(3657,$U$8)+1,1)</f>
        <v/>
      </c>
      <c r="BQ3670">
        <f>IF(3657&lt;$U$9,SUMPRODUCT(($D$10:$L$10&lt;&gt;"")*(($D$9:$L$9+INT(($S$12:$AA$12+INDEX($AJ$13:$AR$162,BN3670,0)+INDEX($AT$13:$BB$162,BO3670,0)+INDEX($BD$13:$BL$162,BP3670,0))/100))&gt;=$D$10:$L$10)),0)</f>
        <v/>
      </c>
      <c r="BR3670">
        <f>IF(3657&lt;$U$9,SUMPRODUCT(($D$10:$L$10&lt;&gt;"")*(($D$10:$L$10-($D$9:$L$9+INT(($S$12:$AA$12+INDEX($AJ$13:$AR$162,BN3670,0)+INDEX($AT$13:$BB$162,BO3670,0)+INDEX($BD$13:$BL$162,BP3670,0))/100)))&gt;0)*($D$10:$L$10-($D$9:$L$9+INT(($S$12:$AA$12+INDEX($AJ$13:$AR$162,BN3670,0)+INDEX($AT$13:$BB$162,BO3670,0)+INDEX($BD$13:$BL$162,BP3670,0))/100)))),0)</f>
        <v/>
      </c>
      <c r="BS3670">
        <f>IF(3657&lt;$U$9,SUMPRODUCT(($D$9:$L$9+INT(($S$12:$AA$12+INDEX($AJ$13:$AR$162,BN3670,0)+INDEX($AT$13:$BB$162,BO3670,0)+INDEX($BD$13:$BL$162,BP3670,0))/100))),0)</f>
        <v/>
      </c>
      <c r="BT3670">
        <f>IF(AND(3657&lt;$U$9,$W$5),BQ3670*1000000-MIN(BR3670,999)*1000+BS3670-3657/100000,-1000000000-3657)</f>
        <v/>
      </c>
    </row>
    <row r="3671">
      <c r="BN3671">
        <f>IF(3658&lt;$U$9,INT(3658/($U$7*$U$8))+1,1)</f>
        <v/>
      </c>
      <c r="BO3671">
        <f>IF(3658&lt;$U$9,MOD(INT(3658/$U$8),$U$7)+1,1)</f>
        <v/>
      </c>
      <c r="BP3671">
        <f>IF(3658&lt;$U$9,MOD(3658,$U$8)+1,1)</f>
        <v/>
      </c>
      <c r="BQ3671">
        <f>IF(3658&lt;$U$9,SUMPRODUCT(($D$10:$L$10&lt;&gt;"")*(($D$9:$L$9+INT(($S$12:$AA$12+INDEX($AJ$13:$AR$162,BN3671,0)+INDEX($AT$13:$BB$162,BO3671,0)+INDEX($BD$13:$BL$162,BP3671,0))/100))&gt;=$D$10:$L$10)),0)</f>
        <v/>
      </c>
      <c r="BR3671">
        <f>IF(3658&lt;$U$9,SUMPRODUCT(($D$10:$L$10&lt;&gt;"")*(($D$10:$L$10-($D$9:$L$9+INT(($S$12:$AA$12+INDEX($AJ$13:$AR$162,BN3671,0)+INDEX($AT$13:$BB$162,BO3671,0)+INDEX($BD$13:$BL$162,BP3671,0))/100)))&gt;0)*($D$10:$L$10-($D$9:$L$9+INT(($S$12:$AA$12+INDEX($AJ$13:$AR$162,BN3671,0)+INDEX($AT$13:$BB$162,BO3671,0)+INDEX($BD$13:$BL$162,BP3671,0))/100)))),0)</f>
        <v/>
      </c>
      <c r="BS3671">
        <f>IF(3658&lt;$U$9,SUMPRODUCT(($D$9:$L$9+INT(($S$12:$AA$12+INDEX($AJ$13:$AR$162,BN3671,0)+INDEX($AT$13:$BB$162,BO3671,0)+INDEX($BD$13:$BL$162,BP3671,0))/100))),0)</f>
        <v/>
      </c>
      <c r="BT3671">
        <f>IF(AND(3658&lt;$U$9,$W$5),BQ3671*1000000-MIN(BR3671,999)*1000+BS3671-3658/100000,-1000000000-3658)</f>
        <v/>
      </c>
    </row>
    <row r="3672">
      <c r="BN3672">
        <f>IF(3659&lt;$U$9,INT(3659/($U$7*$U$8))+1,1)</f>
        <v/>
      </c>
      <c r="BO3672">
        <f>IF(3659&lt;$U$9,MOD(INT(3659/$U$8),$U$7)+1,1)</f>
        <v/>
      </c>
      <c r="BP3672">
        <f>IF(3659&lt;$U$9,MOD(3659,$U$8)+1,1)</f>
        <v/>
      </c>
      <c r="BQ3672">
        <f>IF(3659&lt;$U$9,SUMPRODUCT(($D$10:$L$10&lt;&gt;"")*(($D$9:$L$9+INT(($S$12:$AA$12+INDEX($AJ$13:$AR$162,BN3672,0)+INDEX($AT$13:$BB$162,BO3672,0)+INDEX($BD$13:$BL$162,BP3672,0))/100))&gt;=$D$10:$L$10)),0)</f>
        <v/>
      </c>
      <c r="BR3672">
        <f>IF(3659&lt;$U$9,SUMPRODUCT(($D$10:$L$10&lt;&gt;"")*(($D$10:$L$10-($D$9:$L$9+INT(($S$12:$AA$12+INDEX($AJ$13:$AR$162,BN3672,0)+INDEX($AT$13:$BB$162,BO3672,0)+INDEX($BD$13:$BL$162,BP3672,0))/100)))&gt;0)*($D$10:$L$10-($D$9:$L$9+INT(($S$12:$AA$12+INDEX($AJ$13:$AR$162,BN3672,0)+INDEX($AT$13:$BB$162,BO3672,0)+INDEX($BD$13:$BL$162,BP3672,0))/100)))),0)</f>
        <v/>
      </c>
      <c r="BS3672">
        <f>IF(3659&lt;$U$9,SUMPRODUCT(($D$9:$L$9+INT(($S$12:$AA$12+INDEX($AJ$13:$AR$162,BN3672,0)+INDEX($AT$13:$BB$162,BO3672,0)+INDEX($BD$13:$BL$162,BP3672,0))/100))),0)</f>
        <v/>
      </c>
      <c r="BT3672">
        <f>IF(AND(3659&lt;$U$9,$W$5),BQ3672*1000000-MIN(BR3672,999)*1000+BS3672-3659/100000,-1000000000-3659)</f>
        <v/>
      </c>
    </row>
    <row r="3673">
      <c r="BN3673">
        <f>IF(3660&lt;$U$9,INT(3660/($U$7*$U$8))+1,1)</f>
        <v/>
      </c>
      <c r="BO3673">
        <f>IF(3660&lt;$U$9,MOD(INT(3660/$U$8),$U$7)+1,1)</f>
        <v/>
      </c>
      <c r="BP3673">
        <f>IF(3660&lt;$U$9,MOD(3660,$U$8)+1,1)</f>
        <v/>
      </c>
      <c r="BQ3673">
        <f>IF(3660&lt;$U$9,SUMPRODUCT(($D$10:$L$10&lt;&gt;"")*(($D$9:$L$9+INT(($S$12:$AA$12+INDEX($AJ$13:$AR$162,BN3673,0)+INDEX($AT$13:$BB$162,BO3673,0)+INDEX($BD$13:$BL$162,BP3673,0))/100))&gt;=$D$10:$L$10)),0)</f>
        <v/>
      </c>
      <c r="BR3673">
        <f>IF(3660&lt;$U$9,SUMPRODUCT(($D$10:$L$10&lt;&gt;"")*(($D$10:$L$10-($D$9:$L$9+INT(($S$12:$AA$12+INDEX($AJ$13:$AR$162,BN3673,0)+INDEX($AT$13:$BB$162,BO3673,0)+INDEX($BD$13:$BL$162,BP3673,0))/100)))&gt;0)*($D$10:$L$10-($D$9:$L$9+INT(($S$12:$AA$12+INDEX($AJ$13:$AR$162,BN3673,0)+INDEX($AT$13:$BB$162,BO3673,0)+INDEX($BD$13:$BL$162,BP3673,0))/100)))),0)</f>
        <v/>
      </c>
      <c r="BS3673">
        <f>IF(3660&lt;$U$9,SUMPRODUCT(($D$9:$L$9+INT(($S$12:$AA$12+INDEX($AJ$13:$AR$162,BN3673,0)+INDEX($AT$13:$BB$162,BO3673,0)+INDEX($BD$13:$BL$162,BP3673,0))/100))),0)</f>
        <v/>
      </c>
      <c r="BT3673">
        <f>IF(AND(3660&lt;$U$9,$W$5),BQ3673*1000000-MIN(BR3673,999)*1000+BS3673-3660/100000,-1000000000-3660)</f>
        <v/>
      </c>
    </row>
    <row r="3674">
      <c r="BN3674">
        <f>IF(3661&lt;$U$9,INT(3661/($U$7*$U$8))+1,1)</f>
        <v/>
      </c>
      <c r="BO3674">
        <f>IF(3661&lt;$U$9,MOD(INT(3661/$U$8),$U$7)+1,1)</f>
        <v/>
      </c>
      <c r="BP3674">
        <f>IF(3661&lt;$U$9,MOD(3661,$U$8)+1,1)</f>
        <v/>
      </c>
      <c r="BQ3674">
        <f>IF(3661&lt;$U$9,SUMPRODUCT(($D$10:$L$10&lt;&gt;"")*(($D$9:$L$9+INT(($S$12:$AA$12+INDEX($AJ$13:$AR$162,BN3674,0)+INDEX($AT$13:$BB$162,BO3674,0)+INDEX($BD$13:$BL$162,BP3674,0))/100))&gt;=$D$10:$L$10)),0)</f>
        <v/>
      </c>
      <c r="BR3674">
        <f>IF(3661&lt;$U$9,SUMPRODUCT(($D$10:$L$10&lt;&gt;"")*(($D$10:$L$10-($D$9:$L$9+INT(($S$12:$AA$12+INDEX($AJ$13:$AR$162,BN3674,0)+INDEX($AT$13:$BB$162,BO3674,0)+INDEX($BD$13:$BL$162,BP3674,0))/100)))&gt;0)*($D$10:$L$10-($D$9:$L$9+INT(($S$12:$AA$12+INDEX($AJ$13:$AR$162,BN3674,0)+INDEX($AT$13:$BB$162,BO3674,0)+INDEX($BD$13:$BL$162,BP3674,0))/100)))),0)</f>
        <v/>
      </c>
      <c r="BS3674">
        <f>IF(3661&lt;$U$9,SUMPRODUCT(($D$9:$L$9+INT(($S$12:$AA$12+INDEX($AJ$13:$AR$162,BN3674,0)+INDEX($AT$13:$BB$162,BO3674,0)+INDEX($BD$13:$BL$162,BP3674,0))/100))),0)</f>
        <v/>
      </c>
      <c r="BT3674">
        <f>IF(AND(3661&lt;$U$9,$W$5),BQ3674*1000000-MIN(BR3674,999)*1000+BS3674-3661/100000,-1000000000-3661)</f>
        <v/>
      </c>
    </row>
    <row r="3675">
      <c r="BN3675">
        <f>IF(3662&lt;$U$9,INT(3662/($U$7*$U$8))+1,1)</f>
        <v/>
      </c>
      <c r="BO3675">
        <f>IF(3662&lt;$U$9,MOD(INT(3662/$U$8),$U$7)+1,1)</f>
        <v/>
      </c>
      <c r="BP3675">
        <f>IF(3662&lt;$U$9,MOD(3662,$U$8)+1,1)</f>
        <v/>
      </c>
      <c r="BQ3675">
        <f>IF(3662&lt;$U$9,SUMPRODUCT(($D$10:$L$10&lt;&gt;"")*(($D$9:$L$9+INT(($S$12:$AA$12+INDEX($AJ$13:$AR$162,BN3675,0)+INDEX($AT$13:$BB$162,BO3675,0)+INDEX($BD$13:$BL$162,BP3675,0))/100))&gt;=$D$10:$L$10)),0)</f>
        <v/>
      </c>
      <c r="BR3675">
        <f>IF(3662&lt;$U$9,SUMPRODUCT(($D$10:$L$10&lt;&gt;"")*(($D$10:$L$10-($D$9:$L$9+INT(($S$12:$AA$12+INDEX($AJ$13:$AR$162,BN3675,0)+INDEX($AT$13:$BB$162,BO3675,0)+INDEX($BD$13:$BL$162,BP3675,0))/100)))&gt;0)*($D$10:$L$10-($D$9:$L$9+INT(($S$12:$AA$12+INDEX($AJ$13:$AR$162,BN3675,0)+INDEX($AT$13:$BB$162,BO3675,0)+INDEX($BD$13:$BL$162,BP3675,0))/100)))),0)</f>
        <v/>
      </c>
      <c r="BS3675">
        <f>IF(3662&lt;$U$9,SUMPRODUCT(($D$9:$L$9+INT(($S$12:$AA$12+INDEX($AJ$13:$AR$162,BN3675,0)+INDEX($AT$13:$BB$162,BO3675,0)+INDEX($BD$13:$BL$162,BP3675,0))/100))),0)</f>
        <v/>
      </c>
      <c r="BT3675">
        <f>IF(AND(3662&lt;$U$9,$W$5),BQ3675*1000000-MIN(BR3675,999)*1000+BS3675-3662/100000,-1000000000-3662)</f>
        <v/>
      </c>
    </row>
    <row r="3676">
      <c r="BN3676">
        <f>IF(3663&lt;$U$9,INT(3663/($U$7*$U$8))+1,1)</f>
        <v/>
      </c>
      <c r="BO3676">
        <f>IF(3663&lt;$U$9,MOD(INT(3663/$U$8),$U$7)+1,1)</f>
        <v/>
      </c>
      <c r="BP3676">
        <f>IF(3663&lt;$U$9,MOD(3663,$U$8)+1,1)</f>
        <v/>
      </c>
      <c r="BQ3676">
        <f>IF(3663&lt;$U$9,SUMPRODUCT(($D$10:$L$10&lt;&gt;"")*(($D$9:$L$9+INT(($S$12:$AA$12+INDEX($AJ$13:$AR$162,BN3676,0)+INDEX($AT$13:$BB$162,BO3676,0)+INDEX($BD$13:$BL$162,BP3676,0))/100))&gt;=$D$10:$L$10)),0)</f>
        <v/>
      </c>
      <c r="BR3676">
        <f>IF(3663&lt;$U$9,SUMPRODUCT(($D$10:$L$10&lt;&gt;"")*(($D$10:$L$10-($D$9:$L$9+INT(($S$12:$AA$12+INDEX($AJ$13:$AR$162,BN3676,0)+INDEX($AT$13:$BB$162,BO3676,0)+INDEX($BD$13:$BL$162,BP3676,0))/100)))&gt;0)*($D$10:$L$10-($D$9:$L$9+INT(($S$12:$AA$12+INDEX($AJ$13:$AR$162,BN3676,0)+INDEX($AT$13:$BB$162,BO3676,0)+INDEX($BD$13:$BL$162,BP3676,0))/100)))),0)</f>
        <v/>
      </c>
      <c r="BS3676">
        <f>IF(3663&lt;$U$9,SUMPRODUCT(($D$9:$L$9+INT(($S$12:$AA$12+INDEX($AJ$13:$AR$162,BN3676,0)+INDEX($AT$13:$BB$162,BO3676,0)+INDEX($BD$13:$BL$162,BP3676,0))/100))),0)</f>
        <v/>
      </c>
      <c r="BT3676">
        <f>IF(AND(3663&lt;$U$9,$W$5),BQ3676*1000000-MIN(BR3676,999)*1000+BS3676-3663/100000,-1000000000-3663)</f>
        <v/>
      </c>
    </row>
    <row r="3677">
      <c r="BN3677">
        <f>IF(3664&lt;$U$9,INT(3664/($U$7*$U$8))+1,1)</f>
        <v/>
      </c>
      <c r="BO3677">
        <f>IF(3664&lt;$U$9,MOD(INT(3664/$U$8),$U$7)+1,1)</f>
        <v/>
      </c>
      <c r="BP3677">
        <f>IF(3664&lt;$U$9,MOD(3664,$U$8)+1,1)</f>
        <v/>
      </c>
      <c r="BQ3677">
        <f>IF(3664&lt;$U$9,SUMPRODUCT(($D$10:$L$10&lt;&gt;"")*(($D$9:$L$9+INT(($S$12:$AA$12+INDEX($AJ$13:$AR$162,BN3677,0)+INDEX($AT$13:$BB$162,BO3677,0)+INDEX($BD$13:$BL$162,BP3677,0))/100))&gt;=$D$10:$L$10)),0)</f>
        <v/>
      </c>
      <c r="BR3677">
        <f>IF(3664&lt;$U$9,SUMPRODUCT(($D$10:$L$10&lt;&gt;"")*(($D$10:$L$10-($D$9:$L$9+INT(($S$12:$AA$12+INDEX($AJ$13:$AR$162,BN3677,0)+INDEX($AT$13:$BB$162,BO3677,0)+INDEX($BD$13:$BL$162,BP3677,0))/100)))&gt;0)*($D$10:$L$10-($D$9:$L$9+INT(($S$12:$AA$12+INDEX($AJ$13:$AR$162,BN3677,0)+INDEX($AT$13:$BB$162,BO3677,0)+INDEX($BD$13:$BL$162,BP3677,0))/100)))),0)</f>
        <v/>
      </c>
      <c r="BS3677">
        <f>IF(3664&lt;$U$9,SUMPRODUCT(($D$9:$L$9+INT(($S$12:$AA$12+INDEX($AJ$13:$AR$162,BN3677,0)+INDEX($AT$13:$BB$162,BO3677,0)+INDEX($BD$13:$BL$162,BP3677,0))/100))),0)</f>
        <v/>
      </c>
      <c r="BT3677">
        <f>IF(AND(3664&lt;$U$9,$W$5),BQ3677*1000000-MIN(BR3677,999)*1000+BS3677-3664/100000,-1000000000-3664)</f>
        <v/>
      </c>
    </row>
    <row r="3678">
      <c r="BN3678">
        <f>IF(3665&lt;$U$9,INT(3665/($U$7*$U$8))+1,1)</f>
        <v/>
      </c>
      <c r="BO3678">
        <f>IF(3665&lt;$U$9,MOD(INT(3665/$U$8),$U$7)+1,1)</f>
        <v/>
      </c>
      <c r="BP3678">
        <f>IF(3665&lt;$U$9,MOD(3665,$U$8)+1,1)</f>
        <v/>
      </c>
      <c r="BQ3678">
        <f>IF(3665&lt;$U$9,SUMPRODUCT(($D$10:$L$10&lt;&gt;"")*(($D$9:$L$9+INT(($S$12:$AA$12+INDEX($AJ$13:$AR$162,BN3678,0)+INDEX($AT$13:$BB$162,BO3678,0)+INDEX($BD$13:$BL$162,BP3678,0))/100))&gt;=$D$10:$L$10)),0)</f>
        <v/>
      </c>
      <c r="BR3678">
        <f>IF(3665&lt;$U$9,SUMPRODUCT(($D$10:$L$10&lt;&gt;"")*(($D$10:$L$10-($D$9:$L$9+INT(($S$12:$AA$12+INDEX($AJ$13:$AR$162,BN3678,0)+INDEX($AT$13:$BB$162,BO3678,0)+INDEX($BD$13:$BL$162,BP3678,0))/100)))&gt;0)*($D$10:$L$10-($D$9:$L$9+INT(($S$12:$AA$12+INDEX($AJ$13:$AR$162,BN3678,0)+INDEX($AT$13:$BB$162,BO3678,0)+INDEX($BD$13:$BL$162,BP3678,0))/100)))),0)</f>
        <v/>
      </c>
      <c r="BS3678">
        <f>IF(3665&lt;$U$9,SUMPRODUCT(($D$9:$L$9+INT(($S$12:$AA$12+INDEX($AJ$13:$AR$162,BN3678,0)+INDEX($AT$13:$BB$162,BO3678,0)+INDEX($BD$13:$BL$162,BP3678,0))/100))),0)</f>
        <v/>
      </c>
      <c r="BT3678">
        <f>IF(AND(3665&lt;$U$9,$W$5),BQ3678*1000000-MIN(BR3678,999)*1000+BS3678-3665/100000,-1000000000-3665)</f>
        <v/>
      </c>
    </row>
    <row r="3679">
      <c r="BN3679">
        <f>IF(3666&lt;$U$9,INT(3666/($U$7*$U$8))+1,1)</f>
        <v/>
      </c>
      <c r="BO3679">
        <f>IF(3666&lt;$U$9,MOD(INT(3666/$U$8),$U$7)+1,1)</f>
        <v/>
      </c>
      <c r="BP3679">
        <f>IF(3666&lt;$U$9,MOD(3666,$U$8)+1,1)</f>
        <v/>
      </c>
      <c r="BQ3679">
        <f>IF(3666&lt;$U$9,SUMPRODUCT(($D$10:$L$10&lt;&gt;"")*(($D$9:$L$9+INT(($S$12:$AA$12+INDEX($AJ$13:$AR$162,BN3679,0)+INDEX($AT$13:$BB$162,BO3679,0)+INDEX($BD$13:$BL$162,BP3679,0))/100))&gt;=$D$10:$L$10)),0)</f>
        <v/>
      </c>
      <c r="BR3679">
        <f>IF(3666&lt;$U$9,SUMPRODUCT(($D$10:$L$10&lt;&gt;"")*(($D$10:$L$10-($D$9:$L$9+INT(($S$12:$AA$12+INDEX($AJ$13:$AR$162,BN3679,0)+INDEX($AT$13:$BB$162,BO3679,0)+INDEX($BD$13:$BL$162,BP3679,0))/100)))&gt;0)*($D$10:$L$10-($D$9:$L$9+INT(($S$12:$AA$12+INDEX($AJ$13:$AR$162,BN3679,0)+INDEX($AT$13:$BB$162,BO3679,0)+INDEX($BD$13:$BL$162,BP3679,0))/100)))),0)</f>
        <v/>
      </c>
      <c r="BS3679">
        <f>IF(3666&lt;$U$9,SUMPRODUCT(($D$9:$L$9+INT(($S$12:$AA$12+INDEX($AJ$13:$AR$162,BN3679,0)+INDEX($AT$13:$BB$162,BO3679,0)+INDEX($BD$13:$BL$162,BP3679,0))/100))),0)</f>
        <v/>
      </c>
      <c r="BT3679">
        <f>IF(AND(3666&lt;$U$9,$W$5),BQ3679*1000000-MIN(BR3679,999)*1000+BS3679-3666/100000,-1000000000-3666)</f>
        <v/>
      </c>
    </row>
    <row r="3680">
      <c r="BN3680">
        <f>IF(3667&lt;$U$9,INT(3667/($U$7*$U$8))+1,1)</f>
        <v/>
      </c>
      <c r="BO3680">
        <f>IF(3667&lt;$U$9,MOD(INT(3667/$U$8),$U$7)+1,1)</f>
        <v/>
      </c>
      <c r="BP3680">
        <f>IF(3667&lt;$U$9,MOD(3667,$U$8)+1,1)</f>
        <v/>
      </c>
      <c r="BQ3680">
        <f>IF(3667&lt;$U$9,SUMPRODUCT(($D$10:$L$10&lt;&gt;"")*(($D$9:$L$9+INT(($S$12:$AA$12+INDEX($AJ$13:$AR$162,BN3680,0)+INDEX($AT$13:$BB$162,BO3680,0)+INDEX($BD$13:$BL$162,BP3680,0))/100))&gt;=$D$10:$L$10)),0)</f>
        <v/>
      </c>
      <c r="BR3680">
        <f>IF(3667&lt;$U$9,SUMPRODUCT(($D$10:$L$10&lt;&gt;"")*(($D$10:$L$10-($D$9:$L$9+INT(($S$12:$AA$12+INDEX($AJ$13:$AR$162,BN3680,0)+INDEX($AT$13:$BB$162,BO3680,0)+INDEX($BD$13:$BL$162,BP3680,0))/100)))&gt;0)*($D$10:$L$10-($D$9:$L$9+INT(($S$12:$AA$12+INDEX($AJ$13:$AR$162,BN3680,0)+INDEX($AT$13:$BB$162,BO3680,0)+INDEX($BD$13:$BL$162,BP3680,0))/100)))),0)</f>
        <v/>
      </c>
      <c r="BS3680">
        <f>IF(3667&lt;$U$9,SUMPRODUCT(($D$9:$L$9+INT(($S$12:$AA$12+INDEX($AJ$13:$AR$162,BN3680,0)+INDEX($AT$13:$BB$162,BO3680,0)+INDEX($BD$13:$BL$162,BP3680,0))/100))),0)</f>
        <v/>
      </c>
      <c r="BT3680">
        <f>IF(AND(3667&lt;$U$9,$W$5),BQ3680*1000000-MIN(BR3680,999)*1000+BS3680-3667/100000,-1000000000-3667)</f>
        <v/>
      </c>
    </row>
    <row r="3681">
      <c r="BN3681">
        <f>IF(3668&lt;$U$9,INT(3668/($U$7*$U$8))+1,1)</f>
        <v/>
      </c>
      <c r="BO3681">
        <f>IF(3668&lt;$U$9,MOD(INT(3668/$U$8),$U$7)+1,1)</f>
        <v/>
      </c>
      <c r="BP3681">
        <f>IF(3668&lt;$U$9,MOD(3668,$U$8)+1,1)</f>
        <v/>
      </c>
      <c r="BQ3681">
        <f>IF(3668&lt;$U$9,SUMPRODUCT(($D$10:$L$10&lt;&gt;"")*(($D$9:$L$9+INT(($S$12:$AA$12+INDEX($AJ$13:$AR$162,BN3681,0)+INDEX($AT$13:$BB$162,BO3681,0)+INDEX($BD$13:$BL$162,BP3681,0))/100))&gt;=$D$10:$L$10)),0)</f>
        <v/>
      </c>
      <c r="BR3681">
        <f>IF(3668&lt;$U$9,SUMPRODUCT(($D$10:$L$10&lt;&gt;"")*(($D$10:$L$10-($D$9:$L$9+INT(($S$12:$AA$12+INDEX($AJ$13:$AR$162,BN3681,0)+INDEX($AT$13:$BB$162,BO3681,0)+INDEX($BD$13:$BL$162,BP3681,0))/100)))&gt;0)*($D$10:$L$10-($D$9:$L$9+INT(($S$12:$AA$12+INDEX($AJ$13:$AR$162,BN3681,0)+INDEX($AT$13:$BB$162,BO3681,0)+INDEX($BD$13:$BL$162,BP3681,0))/100)))),0)</f>
        <v/>
      </c>
      <c r="BS3681">
        <f>IF(3668&lt;$U$9,SUMPRODUCT(($D$9:$L$9+INT(($S$12:$AA$12+INDEX($AJ$13:$AR$162,BN3681,0)+INDEX($AT$13:$BB$162,BO3681,0)+INDEX($BD$13:$BL$162,BP3681,0))/100))),0)</f>
        <v/>
      </c>
      <c r="BT3681">
        <f>IF(AND(3668&lt;$U$9,$W$5),BQ3681*1000000-MIN(BR3681,999)*1000+BS3681-3668/100000,-1000000000-3668)</f>
        <v/>
      </c>
    </row>
    <row r="3682">
      <c r="BN3682">
        <f>IF(3669&lt;$U$9,INT(3669/($U$7*$U$8))+1,1)</f>
        <v/>
      </c>
      <c r="BO3682">
        <f>IF(3669&lt;$U$9,MOD(INT(3669/$U$8),$U$7)+1,1)</f>
        <v/>
      </c>
      <c r="BP3682">
        <f>IF(3669&lt;$U$9,MOD(3669,$U$8)+1,1)</f>
        <v/>
      </c>
      <c r="BQ3682">
        <f>IF(3669&lt;$U$9,SUMPRODUCT(($D$10:$L$10&lt;&gt;"")*(($D$9:$L$9+INT(($S$12:$AA$12+INDEX($AJ$13:$AR$162,BN3682,0)+INDEX($AT$13:$BB$162,BO3682,0)+INDEX($BD$13:$BL$162,BP3682,0))/100))&gt;=$D$10:$L$10)),0)</f>
        <v/>
      </c>
      <c r="BR3682">
        <f>IF(3669&lt;$U$9,SUMPRODUCT(($D$10:$L$10&lt;&gt;"")*(($D$10:$L$10-($D$9:$L$9+INT(($S$12:$AA$12+INDEX($AJ$13:$AR$162,BN3682,0)+INDEX($AT$13:$BB$162,BO3682,0)+INDEX($BD$13:$BL$162,BP3682,0))/100)))&gt;0)*($D$10:$L$10-($D$9:$L$9+INT(($S$12:$AA$12+INDEX($AJ$13:$AR$162,BN3682,0)+INDEX($AT$13:$BB$162,BO3682,0)+INDEX($BD$13:$BL$162,BP3682,0))/100)))),0)</f>
        <v/>
      </c>
      <c r="BS3682">
        <f>IF(3669&lt;$U$9,SUMPRODUCT(($D$9:$L$9+INT(($S$12:$AA$12+INDEX($AJ$13:$AR$162,BN3682,0)+INDEX($AT$13:$BB$162,BO3682,0)+INDEX($BD$13:$BL$162,BP3682,0))/100))),0)</f>
        <v/>
      </c>
      <c r="BT3682">
        <f>IF(AND(3669&lt;$U$9,$W$5),BQ3682*1000000-MIN(BR3682,999)*1000+BS3682-3669/100000,-1000000000-3669)</f>
        <v/>
      </c>
    </row>
    <row r="3683">
      <c r="BN3683">
        <f>IF(3670&lt;$U$9,INT(3670/($U$7*$U$8))+1,1)</f>
        <v/>
      </c>
      <c r="BO3683">
        <f>IF(3670&lt;$U$9,MOD(INT(3670/$U$8),$U$7)+1,1)</f>
        <v/>
      </c>
      <c r="BP3683">
        <f>IF(3670&lt;$U$9,MOD(3670,$U$8)+1,1)</f>
        <v/>
      </c>
      <c r="BQ3683">
        <f>IF(3670&lt;$U$9,SUMPRODUCT(($D$10:$L$10&lt;&gt;"")*(($D$9:$L$9+INT(($S$12:$AA$12+INDEX($AJ$13:$AR$162,BN3683,0)+INDEX($AT$13:$BB$162,BO3683,0)+INDEX($BD$13:$BL$162,BP3683,0))/100))&gt;=$D$10:$L$10)),0)</f>
        <v/>
      </c>
      <c r="BR3683">
        <f>IF(3670&lt;$U$9,SUMPRODUCT(($D$10:$L$10&lt;&gt;"")*(($D$10:$L$10-($D$9:$L$9+INT(($S$12:$AA$12+INDEX($AJ$13:$AR$162,BN3683,0)+INDEX($AT$13:$BB$162,BO3683,0)+INDEX($BD$13:$BL$162,BP3683,0))/100)))&gt;0)*($D$10:$L$10-($D$9:$L$9+INT(($S$12:$AA$12+INDEX($AJ$13:$AR$162,BN3683,0)+INDEX($AT$13:$BB$162,BO3683,0)+INDEX($BD$13:$BL$162,BP3683,0))/100)))),0)</f>
        <v/>
      </c>
      <c r="BS3683">
        <f>IF(3670&lt;$U$9,SUMPRODUCT(($D$9:$L$9+INT(($S$12:$AA$12+INDEX($AJ$13:$AR$162,BN3683,0)+INDEX($AT$13:$BB$162,BO3683,0)+INDEX($BD$13:$BL$162,BP3683,0))/100))),0)</f>
        <v/>
      </c>
      <c r="BT3683">
        <f>IF(AND(3670&lt;$U$9,$W$5),BQ3683*1000000-MIN(BR3683,999)*1000+BS3683-3670/100000,-1000000000-3670)</f>
        <v/>
      </c>
    </row>
    <row r="3684">
      <c r="BN3684">
        <f>IF(3671&lt;$U$9,INT(3671/($U$7*$U$8))+1,1)</f>
        <v/>
      </c>
      <c r="BO3684">
        <f>IF(3671&lt;$U$9,MOD(INT(3671/$U$8),$U$7)+1,1)</f>
        <v/>
      </c>
      <c r="BP3684">
        <f>IF(3671&lt;$U$9,MOD(3671,$U$8)+1,1)</f>
        <v/>
      </c>
      <c r="BQ3684">
        <f>IF(3671&lt;$U$9,SUMPRODUCT(($D$10:$L$10&lt;&gt;"")*(($D$9:$L$9+INT(($S$12:$AA$12+INDEX($AJ$13:$AR$162,BN3684,0)+INDEX($AT$13:$BB$162,BO3684,0)+INDEX($BD$13:$BL$162,BP3684,0))/100))&gt;=$D$10:$L$10)),0)</f>
        <v/>
      </c>
      <c r="BR3684">
        <f>IF(3671&lt;$U$9,SUMPRODUCT(($D$10:$L$10&lt;&gt;"")*(($D$10:$L$10-($D$9:$L$9+INT(($S$12:$AA$12+INDEX($AJ$13:$AR$162,BN3684,0)+INDEX($AT$13:$BB$162,BO3684,0)+INDEX($BD$13:$BL$162,BP3684,0))/100)))&gt;0)*($D$10:$L$10-($D$9:$L$9+INT(($S$12:$AA$12+INDEX($AJ$13:$AR$162,BN3684,0)+INDEX($AT$13:$BB$162,BO3684,0)+INDEX($BD$13:$BL$162,BP3684,0))/100)))),0)</f>
        <v/>
      </c>
      <c r="BS3684">
        <f>IF(3671&lt;$U$9,SUMPRODUCT(($D$9:$L$9+INT(($S$12:$AA$12+INDEX($AJ$13:$AR$162,BN3684,0)+INDEX($AT$13:$BB$162,BO3684,0)+INDEX($BD$13:$BL$162,BP3684,0))/100))),0)</f>
        <v/>
      </c>
      <c r="BT3684">
        <f>IF(AND(3671&lt;$U$9,$W$5),BQ3684*1000000-MIN(BR3684,999)*1000+BS3684-3671/100000,-1000000000-3671)</f>
        <v/>
      </c>
    </row>
    <row r="3685">
      <c r="BN3685">
        <f>IF(3672&lt;$U$9,INT(3672/($U$7*$U$8))+1,1)</f>
        <v/>
      </c>
      <c r="BO3685">
        <f>IF(3672&lt;$U$9,MOD(INT(3672/$U$8),$U$7)+1,1)</f>
        <v/>
      </c>
      <c r="BP3685">
        <f>IF(3672&lt;$U$9,MOD(3672,$U$8)+1,1)</f>
        <v/>
      </c>
      <c r="BQ3685">
        <f>IF(3672&lt;$U$9,SUMPRODUCT(($D$10:$L$10&lt;&gt;"")*(($D$9:$L$9+INT(($S$12:$AA$12+INDEX($AJ$13:$AR$162,BN3685,0)+INDEX($AT$13:$BB$162,BO3685,0)+INDEX($BD$13:$BL$162,BP3685,0))/100))&gt;=$D$10:$L$10)),0)</f>
        <v/>
      </c>
      <c r="BR3685">
        <f>IF(3672&lt;$U$9,SUMPRODUCT(($D$10:$L$10&lt;&gt;"")*(($D$10:$L$10-($D$9:$L$9+INT(($S$12:$AA$12+INDEX($AJ$13:$AR$162,BN3685,0)+INDEX($AT$13:$BB$162,BO3685,0)+INDEX($BD$13:$BL$162,BP3685,0))/100)))&gt;0)*($D$10:$L$10-($D$9:$L$9+INT(($S$12:$AA$12+INDEX($AJ$13:$AR$162,BN3685,0)+INDEX($AT$13:$BB$162,BO3685,0)+INDEX($BD$13:$BL$162,BP3685,0))/100)))),0)</f>
        <v/>
      </c>
      <c r="BS3685">
        <f>IF(3672&lt;$U$9,SUMPRODUCT(($D$9:$L$9+INT(($S$12:$AA$12+INDEX($AJ$13:$AR$162,BN3685,0)+INDEX($AT$13:$BB$162,BO3685,0)+INDEX($BD$13:$BL$162,BP3685,0))/100))),0)</f>
        <v/>
      </c>
      <c r="BT3685">
        <f>IF(AND(3672&lt;$U$9,$W$5),BQ3685*1000000-MIN(BR3685,999)*1000+BS3685-3672/100000,-1000000000-3672)</f>
        <v/>
      </c>
    </row>
    <row r="3686">
      <c r="BN3686">
        <f>IF(3673&lt;$U$9,INT(3673/($U$7*$U$8))+1,1)</f>
        <v/>
      </c>
      <c r="BO3686">
        <f>IF(3673&lt;$U$9,MOD(INT(3673/$U$8),$U$7)+1,1)</f>
        <v/>
      </c>
      <c r="BP3686">
        <f>IF(3673&lt;$U$9,MOD(3673,$U$8)+1,1)</f>
        <v/>
      </c>
      <c r="BQ3686">
        <f>IF(3673&lt;$U$9,SUMPRODUCT(($D$10:$L$10&lt;&gt;"")*(($D$9:$L$9+INT(($S$12:$AA$12+INDEX($AJ$13:$AR$162,BN3686,0)+INDEX($AT$13:$BB$162,BO3686,0)+INDEX($BD$13:$BL$162,BP3686,0))/100))&gt;=$D$10:$L$10)),0)</f>
        <v/>
      </c>
      <c r="BR3686">
        <f>IF(3673&lt;$U$9,SUMPRODUCT(($D$10:$L$10&lt;&gt;"")*(($D$10:$L$10-($D$9:$L$9+INT(($S$12:$AA$12+INDEX($AJ$13:$AR$162,BN3686,0)+INDEX($AT$13:$BB$162,BO3686,0)+INDEX($BD$13:$BL$162,BP3686,0))/100)))&gt;0)*($D$10:$L$10-($D$9:$L$9+INT(($S$12:$AA$12+INDEX($AJ$13:$AR$162,BN3686,0)+INDEX($AT$13:$BB$162,BO3686,0)+INDEX($BD$13:$BL$162,BP3686,0))/100)))),0)</f>
        <v/>
      </c>
      <c r="BS3686">
        <f>IF(3673&lt;$U$9,SUMPRODUCT(($D$9:$L$9+INT(($S$12:$AA$12+INDEX($AJ$13:$AR$162,BN3686,0)+INDEX($AT$13:$BB$162,BO3686,0)+INDEX($BD$13:$BL$162,BP3686,0))/100))),0)</f>
        <v/>
      </c>
      <c r="BT3686">
        <f>IF(AND(3673&lt;$U$9,$W$5),BQ3686*1000000-MIN(BR3686,999)*1000+BS3686-3673/100000,-1000000000-3673)</f>
        <v/>
      </c>
    </row>
    <row r="3687">
      <c r="BN3687">
        <f>IF(3674&lt;$U$9,INT(3674/($U$7*$U$8))+1,1)</f>
        <v/>
      </c>
      <c r="BO3687">
        <f>IF(3674&lt;$U$9,MOD(INT(3674/$U$8),$U$7)+1,1)</f>
        <v/>
      </c>
      <c r="BP3687">
        <f>IF(3674&lt;$U$9,MOD(3674,$U$8)+1,1)</f>
        <v/>
      </c>
      <c r="BQ3687">
        <f>IF(3674&lt;$U$9,SUMPRODUCT(($D$10:$L$10&lt;&gt;"")*(($D$9:$L$9+INT(($S$12:$AA$12+INDEX($AJ$13:$AR$162,BN3687,0)+INDEX($AT$13:$BB$162,BO3687,0)+INDEX($BD$13:$BL$162,BP3687,0))/100))&gt;=$D$10:$L$10)),0)</f>
        <v/>
      </c>
      <c r="BR3687">
        <f>IF(3674&lt;$U$9,SUMPRODUCT(($D$10:$L$10&lt;&gt;"")*(($D$10:$L$10-($D$9:$L$9+INT(($S$12:$AA$12+INDEX($AJ$13:$AR$162,BN3687,0)+INDEX($AT$13:$BB$162,BO3687,0)+INDEX($BD$13:$BL$162,BP3687,0))/100)))&gt;0)*($D$10:$L$10-($D$9:$L$9+INT(($S$12:$AA$12+INDEX($AJ$13:$AR$162,BN3687,0)+INDEX($AT$13:$BB$162,BO3687,0)+INDEX($BD$13:$BL$162,BP3687,0))/100)))),0)</f>
        <v/>
      </c>
      <c r="BS3687">
        <f>IF(3674&lt;$U$9,SUMPRODUCT(($D$9:$L$9+INT(($S$12:$AA$12+INDEX($AJ$13:$AR$162,BN3687,0)+INDEX($AT$13:$BB$162,BO3687,0)+INDEX($BD$13:$BL$162,BP3687,0))/100))),0)</f>
        <v/>
      </c>
      <c r="BT3687">
        <f>IF(AND(3674&lt;$U$9,$W$5),BQ3687*1000000-MIN(BR3687,999)*1000+BS3687-3674/100000,-1000000000-3674)</f>
        <v/>
      </c>
    </row>
    <row r="3688">
      <c r="BN3688">
        <f>IF(3675&lt;$U$9,INT(3675/($U$7*$U$8))+1,1)</f>
        <v/>
      </c>
      <c r="BO3688">
        <f>IF(3675&lt;$U$9,MOD(INT(3675/$U$8),$U$7)+1,1)</f>
        <v/>
      </c>
      <c r="BP3688">
        <f>IF(3675&lt;$U$9,MOD(3675,$U$8)+1,1)</f>
        <v/>
      </c>
      <c r="BQ3688">
        <f>IF(3675&lt;$U$9,SUMPRODUCT(($D$10:$L$10&lt;&gt;"")*(($D$9:$L$9+INT(($S$12:$AA$12+INDEX($AJ$13:$AR$162,BN3688,0)+INDEX($AT$13:$BB$162,BO3688,0)+INDEX($BD$13:$BL$162,BP3688,0))/100))&gt;=$D$10:$L$10)),0)</f>
        <v/>
      </c>
      <c r="BR3688">
        <f>IF(3675&lt;$U$9,SUMPRODUCT(($D$10:$L$10&lt;&gt;"")*(($D$10:$L$10-($D$9:$L$9+INT(($S$12:$AA$12+INDEX($AJ$13:$AR$162,BN3688,0)+INDEX($AT$13:$BB$162,BO3688,0)+INDEX($BD$13:$BL$162,BP3688,0))/100)))&gt;0)*($D$10:$L$10-($D$9:$L$9+INT(($S$12:$AA$12+INDEX($AJ$13:$AR$162,BN3688,0)+INDEX($AT$13:$BB$162,BO3688,0)+INDEX($BD$13:$BL$162,BP3688,0))/100)))),0)</f>
        <v/>
      </c>
      <c r="BS3688">
        <f>IF(3675&lt;$U$9,SUMPRODUCT(($D$9:$L$9+INT(($S$12:$AA$12+INDEX($AJ$13:$AR$162,BN3688,0)+INDEX($AT$13:$BB$162,BO3688,0)+INDEX($BD$13:$BL$162,BP3688,0))/100))),0)</f>
        <v/>
      </c>
      <c r="BT3688">
        <f>IF(AND(3675&lt;$U$9,$W$5),BQ3688*1000000-MIN(BR3688,999)*1000+BS3688-3675/100000,-1000000000-3675)</f>
        <v/>
      </c>
    </row>
    <row r="3689">
      <c r="BN3689">
        <f>IF(3676&lt;$U$9,INT(3676/($U$7*$U$8))+1,1)</f>
        <v/>
      </c>
      <c r="BO3689">
        <f>IF(3676&lt;$U$9,MOD(INT(3676/$U$8),$U$7)+1,1)</f>
        <v/>
      </c>
      <c r="BP3689">
        <f>IF(3676&lt;$U$9,MOD(3676,$U$8)+1,1)</f>
        <v/>
      </c>
      <c r="BQ3689">
        <f>IF(3676&lt;$U$9,SUMPRODUCT(($D$10:$L$10&lt;&gt;"")*(($D$9:$L$9+INT(($S$12:$AA$12+INDEX($AJ$13:$AR$162,BN3689,0)+INDEX($AT$13:$BB$162,BO3689,0)+INDEX($BD$13:$BL$162,BP3689,0))/100))&gt;=$D$10:$L$10)),0)</f>
        <v/>
      </c>
      <c r="BR3689">
        <f>IF(3676&lt;$U$9,SUMPRODUCT(($D$10:$L$10&lt;&gt;"")*(($D$10:$L$10-($D$9:$L$9+INT(($S$12:$AA$12+INDEX($AJ$13:$AR$162,BN3689,0)+INDEX($AT$13:$BB$162,BO3689,0)+INDEX($BD$13:$BL$162,BP3689,0))/100)))&gt;0)*($D$10:$L$10-($D$9:$L$9+INT(($S$12:$AA$12+INDEX($AJ$13:$AR$162,BN3689,0)+INDEX($AT$13:$BB$162,BO3689,0)+INDEX($BD$13:$BL$162,BP3689,0))/100)))),0)</f>
        <v/>
      </c>
      <c r="BS3689">
        <f>IF(3676&lt;$U$9,SUMPRODUCT(($D$9:$L$9+INT(($S$12:$AA$12+INDEX($AJ$13:$AR$162,BN3689,0)+INDEX($AT$13:$BB$162,BO3689,0)+INDEX($BD$13:$BL$162,BP3689,0))/100))),0)</f>
        <v/>
      </c>
      <c r="BT3689">
        <f>IF(AND(3676&lt;$U$9,$W$5),BQ3689*1000000-MIN(BR3689,999)*1000+BS3689-3676/100000,-1000000000-3676)</f>
        <v/>
      </c>
    </row>
    <row r="3690">
      <c r="BN3690">
        <f>IF(3677&lt;$U$9,INT(3677/($U$7*$U$8))+1,1)</f>
        <v/>
      </c>
      <c r="BO3690">
        <f>IF(3677&lt;$U$9,MOD(INT(3677/$U$8),$U$7)+1,1)</f>
        <v/>
      </c>
      <c r="BP3690">
        <f>IF(3677&lt;$U$9,MOD(3677,$U$8)+1,1)</f>
        <v/>
      </c>
      <c r="BQ3690">
        <f>IF(3677&lt;$U$9,SUMPRODUCT(($D$10:$L$10&lt;&gt;"")*(($D$9:$L$9+INT(($S$12:$AA$12+INDEX($AJ$13:$AR$162,BN3690,0)+INDEX($AT$13:$BB$162,BO3690,0)+INDEX($BD$13:$BL$162,BP3690,0))/100))&gt;=$D$10:$L$10)),0)</f>
        <v/>
      </c>
      <c r="BR3690">
        <f>IF(3677&lt;$U$9,SUMPRODUCT(($D$10:$L$10&lt;&gt;"")*(($D$10:$L$10-($D$9:$L$9+INT(($S$12:$AA$12+INDEX($AJ$13:$AR$162,BN3690,0)+INDEX($AT$13:$BB$162,BO3690,0)+INDEX($BD$13:$BL$162,BP3690,0))/100)))&gt;0)*($D$10:$L$10-($D$9:$L$9+INT(($S$12:$AA$12+INDEX($AJ$13:$AR$162,BN3690,0)+INDEX($AT$13:$BB$162,BO3690,0)+INDEX($BD$13:$BL$162,BP3690,0))/100)))),0)</f>
        <v/>
      </c>
      <c r="BS3690">
        <f>IF(3677&lt;$U$9,SUMPRODUCT(($D$9:$L$9+INT(($S$12:$AA$12+INDEX($AJ$13:$AR$162,BN3690,0)+INDEX($AT$13:$BB$162,BO3690,0)+INDEX($BD$13:$BL$162,BP3690,0))/100))),0)</f>
        <v/>
      </c>
      <c r="BT3690">
        <f>IF(AND(3677&lt;$U$9,$W$5),BQ3690*1000000-MIN(BR3690,999)*1000+BS3690-3677/100000,-1000000000-3677)</f>
        <v/>
      </c>
    </row>
    <row r="3691">
      <c r="BN3691">
        <f>IF(3678&lt;$U$9,INT(3678/($U$7*$U$8))+1,1)</f>
        <v/>
      </c>
      <c r="BO3691">
        <f>IF(3678&lt;$U$9,MOD(INT(3678/$U$8),$U$7)+1,1)</f>
        <v/>
      </c>
      <c r="BP3691">
        <f>IF(3678&lt;$U$9,MOD(3678,$U$8)+1,1)</f>
        <v/>
      </c>
      <c r="BQ3691">
        <f>IF(3678&lt;$U$9,SUMPRODUCT(($D$10:$L$10&lt;&gt;"")*(($D$9:$L$9+INT(($S$12:$AA$12+INDEX($AJ$13:$AR$162,BN3691,0)+INDEX($AT$13:$BB$162,BO3691,0)+INDEX($BD$13:$BL$162,BP3691,0))/100))&gt;=$D$10:$L$10)),0)</f>
        <v/>
      </c>
      <c r="BR3691">
        <f>IF(3678&lt;$U$9,SUMPRODUCT(($D$10:$L$10&lt;&gt;"")*(($D$10:$L$10-($D$9:$L$9+INT(($S$12:$AA$12+INDEX($AJ$13:$AR$162,BN3691,0)+INDEX($AT$13:$BB$162,BO3691,0)+INDEX($BD$13:$BL$162,BP3691,0))/100)))&gt;0)*($D$10:$L$10-($D$9:$L$9+INT(($S$12:$AA$12+INDEX($AJ$13:$AR$162,BN3691,0)+INDEX($AT$13:$BB$162,BO3691,0)+INDEX($BD$13:$BL$162,BP3691,0))/100)))),0)</f>
        <v/>
      </c>
      <c r="BS3691">
        <f>IF(3678&lt;$U$9,SUMPRODUCT(($D$9:$L$9+INT(($S$12:$AA$12+INDEX($AJ$13:$AR$162,BN3691,0)+INDEX($AT$13:$BB$162,BO3691,0)+INDEX($BD$13:$BL$162,BP3691,0))/100))),0)</f>
        <v/>
      </c>
      <c r="BT3691">
        <f>IF(AND(3678&lt;$U$9,$W$5),BQ3691*1000000-MIN(BR3691,999)*1000+BS3691-3678/100000,-1000000000-3678)</f>
        <v/>
      </c>
    </row>
    <row r="3692">
      <c r="BN3692">
        <f>IF(3679&lt;$U$9,INT(3679/($U$7*$U$8))+1,1)</f>
        <v/>
      </c>
      <c r="BO3692">
        <f>IF(3679&lt;$U$9,MOD(INT(3679/$U$8),$U$7)+1,1)</f>
        <v/>
      </c>
      <c r="BP3692">
        <f>IF(3679&lt;$U$9,MOD(3679,$U$8)+1,1)</f>
        <v/>
      </c>
      <c r="BQ3692">
        <f>IF(3679&lt;$U$9,SUMPRODUCT(($D$10:$L$10&lt;&gt;"")*(($D$9:$L$9+INT(($S$12:$AA$12+INDEX($AJ$13:$AR$162,BN3692,0)+INDEX($AT$13:$BB$162,BO3692,0)+INDEX($BD$13:$BL$162,BP3692,0))/100))&gt;=$D$10:$L$10)),0)</f>
        <v/>
      </c>
      <c r="BR3692">
        <f>IF(3679&lt;$U$9,SUMPRODUCT(($D$10:$L$10&lt;&gt;"")*(($D$10:$L$10-($D$9:$L$9+INT(($S$12:$AA$12+INDEX($AJ$13:$AR$162,BN3692,0)+INDEX($AT$13:$BB$162,BO3692,0)+INDEX($BD$13:$BL$162,BP3692,0))/100)))&gt;0)*($D$10:$L$10-($D$9:$L$9+INT(($S$12:$AA$12+INDEX($AJ$13:$AR$162,BN3692,0)+INDEX($AT$13:$BB$162,BO3692,0)+INDEX($BD$13:$BL$162,BP3692,0))/100)))),0)</f>
        <v/>
      </c>
      <c r="BS3692">
        <f>IF(3679&lt;$U$9,SUMPRODUCT(($D$9:$L$9+INT(($S$12:$AA$12+INDEX($AJ$13:$AR$162,BN3692,0)+INDEX($AT$13:$BB$162,BO3692,0)+INDEX($BD$13:$BL$162,BP3692,0))/100))),0)</f>
        <v/>
      </c>
      <c r="BT3692">
        <f>IF(AND(3679&lt;$U$9,$W$5),BQ3692*1000000-MIN(BR3692,999)*1000+BS3692-3679/100000,-1000000000-3679)</f>
        <v/>
      </c>
    </row>
    <row r="3693">
      <c r="BN3693">
        <f>IF(3680&lt;$U$9,INT(3680/($U$7*$U$8))+1,1)</f>
        <v/>
      </c>
      <c r="BO3693">
        <f>IF(3680&lt;$U$9,MOD(INT(3680/$U$8),$U$7)+1,1)</f>
        <v/>
      </c>
      <c r="BP3693">
        <f>IF(3680&lt;$U$9,MOD(3680,$U$8)+1,1)</f>
        <v/>
      </c>
      <c r="BQ3693">
        <f>IF(3680&lt;$U$9,SUMPRODUCT(($D$10:$L$10&lt;&gt;"")*(($D$9:$L$9+INT(($S$12:$AA$12+INDEX($AJ$13:$AR$162,BN3693,0)+INDEX($AT$13:$BB$162,BO3693,0)+INDEX($BD$13:$BL$162,BP3693,0))/100))&gt;=$D$10:$L$10)),0)</f>
        <v/>
      </c>
      <c r="BR3693">
        <f>IF(3680&lt;$U$9,SUMPRODUCT(($D$10:$L$10&lt;&gt;"")*(($D$10:$L$10-($D$9:$L$9+INT(($S$12:$AA$12+INDEX($AJ$13:$AR$162,BN3693,0)+INDEX($AT$13:$BB$162,BO3693,0)+INDEX($BD$13:$BL$162,BP3693,0))/100)))&gt;0)*($D$10:$L$10-($D$9:$L$9+INT(($S$12:$AA$12+INDEX($AJ$13:$AR$162,BN3693,0)+INDEX($AT$13:$BB$162,BO3693,0)+INDEX($BD$13:$BL$162,BP3693,0))/100)))),0)</f>
        <v/>
      </c>
      <c r="BS3693">
        <f>IF(3680&lt;$U$9,SUMPRODUCT(($D$9:$L$9+INT(($S$12:$AA$12+INDEX($AJ$13:$AR$162,BN3693,0)+INDEX($AT$13:$BB$162,BO3693,0)+INDEX($BD$13:$BL$162,BP3693,0))/100))),0)</f>
        <v/>
      </c>
      <c r="BT3693">
        <f>IF(AND(3680&lt;$U$9,$W$5),BQ3693*1000000-MIN(BR3693,999)*1000+BS3693-3680/100000,-1000000000-3680)</f>
        <v/>
      </c>
    </row>
    <row r="3694">
      <c r="BN3694">
        <f>IF(3681&lt;$U$9,INT(3681/($U$7*$U$8))+1,1)</f>
        <v/>
      </c>
      <c r="BO3694">
        <f>IF(3681&lt;$U$9,MOD(INT(3681/$U$8),$U$7)+1,1)</f>
        <v/>
      </c>
      <c r="BP3694">
        <f>IF(3681&lt;$U$9,MOD(3681,$U$8)+1,1)</f>
        <v/>
      </c>
      <c r="BQ3694">
        <f>IF(3681&lt;$U$9,SUMPRODUCT(($D$10:$L$10&lt;&gt;"")*(($D$9:$L$9+INT(($S$12:$AA$12+INDEX($AJ$13:$AR$162,BN3694,0)+INDEX($AT$13:$BB$162,BO3694,0)+INDEX($BD$13:$BL$162,BP3694,0))/100))&gt;=$D$10:$L$10)),0)</f>
        <v/>
      </c>
      <c r="BR3694">
        <f>IF(3681&lt;$U$9,SUMPRODUCT(($D$10:$L$10&lt;&gt;"")*(($D$10:$L$10-($D$9:$L$9+INT(($S$12:$AA$12+INDEX($AJ$13:$AR$162,BN3694,0)+INDEX($AT$13:$BB$162,BO3694,0)+INDEX($BD$13:$BL$162,BP3694,0))/100)))&gt;0)*($D$10:$L$10-($D$9:$L$9+INT(($S$12:$AA$12+INDEX($AJ$13:$AR$162,BN3694,0)+INDEX($AT$13:$BB$162,BO3694,0)+INDEX($BD$13:$BL$162,BP3694,0))/100)))),0)</f>
        <v/>
      </c>
      <c r="BS3694">
        <f>IF(3681&lt;$U$9,SUMPRODUCT(($D$9:$L$9+INT(($S$12:$AA$12+INDEX($AJ$13:$AR$162,BN3694,0)+INDEX($AT$13:$BB$162,BO3694,0)+INDEX($BD$13:$BL$162,BP3694,0))/100))),0)</f>
        <v/>
      </c>
      <c r="BT3694">
        <f>IF(AND(3681&lt;$U$9,$W$5),BQ3694*1000000-MIN(BR3694,999)*1000+BS3694-3681/100000,-1000000000-3681)</f>
        <v/>
      </c>
    </row>
    <row r="3695">
      <c r="BN3695">
        <f>IF(3682&lt;$U$9,INT(3682/($U$7*$U$8))+1,1)</f>
        <v/>
      </c>
      <c r="BO3695">
        <f>IF(3682&lt;$U$9,MOD(INT(3682/$U$8),$U$7)+1,1)</f>
        <v/>
      </c>
      <c r="BP3695">
        <f>IF(3682&lt;$U$9,MOD(3682,$U$8)+1,1)</f>
        <v/>
      </c>
      <c r="BQ3695">
        <f>IF(3682&lt;$U$9,SUMPRODUCT(($D$10:$L$10&lt;&gt;"")*(($D$9:$L$9+INT(($S$12:$AA$12+INDEX($AJ$13:$AR$162,BN3695,0)+INDEX($AT$13:$BB$162,BO3695,0)+INDEX($BD$13:$BL$162,BP3695,0))/100))&gt;=$D$10:$L$10)),0)</f>
        <v/>
      </c>
      <c r="BR3695">
        <f>IF(3682&lt;$U$9,SUMPRODUCT(($D$10:$L$10&lt;&gt;"")*(($D$10:$L$10-($D$9:$L$9+INT(($S$12:$AA$12+INDEX($AJ$13:$AR$162,BN3695,0)+INDEX($AT$13:$BB$162,BO3695,0)+INDEX($BD$13:$BL$162,BP3695,0))/100)))&gt;0)*($D$10:$L$10-($D$9:$L$9+INT(($S$12:$AA$12+INDEX($AJ$13:$AR$162,BN3695,0)+INDEX($AT$13:$BB$162,BO3695,0)+INDEX($BD$13:$BL$162,BP3695,0))/100)))),0)</f>
        <v/>
      </c>
      <c r="BS3695">
        <f>IF(3682&lt;$U$9,SUMPRODUCT(($D$9:$L$9+INT(($S$12:$AA$12+INDEX($AJ$13:$AR$162,BN3695,0)+INDEX($AT$13:$BB$162,BO3695,0)+INDEX($BD$13:$BL$162,BP3695,0))/100))),0)</f>
        <v/>
      </c>
      <c r="BT3695">
        <f>IF(AND(3682&lt;$U$9,$W$5),BQ3695*1000000-MIN(BR3695,999)*1000+BS3695-3682/100000,-1000000000-3682)</f>
        <v/>
      </c>
    </row>
    <row r="3696">
      <c r="BN3696">
        <f>IF(3683&lt;$U$9,INT(3683/($U$7*$U$8))+1,1)</f>
        <v/>
      </c>
      <c r="BO3696">
        <f>IF(3683&lt;$U$9,MOD(INT(3683/$U$8),$U$7)+1,1)</f>
        <v/>
      </c>
      <c r="BP3696">
        <f>IF(3683&lt;$U$9,MOD(3683,$U$8)+1,1)</f>
        <v/>
      </c>
      <c r="BQ3696">
        <f>IF(3683&lt;$U$9,SUMPRODUCT(($D$10:$L$10&lt;&gt;"")*(($D$9:$L$9+INT(($S$12:$AA$12+INDEX($AJ$13:$AR$162,BN3696,0)+INDEX($AT$13:$BB$162,BO3696,0)+INDEX($BD$13:$BL$162,BP3696,0))/100))&gt;=$D$10:$L$10)),0)</f>
        <v/>
      </c>
      <c r="BR3696">
        <f>IF(3683&lt;$U$9,SUMPRODUCT(($D$10:$L$10&lt;&gt;"")*(($D$10:$L$10-($D$9:$L$9+INT(($S$12:$AA$12+INDEX($AJ$13:$AR$162,BN3696,0)+INDEX($AT$13:$BB$162,BO3696,0)+INDEX($BD$13:$BL$162,BP3696,0))/100)))&gt;0)*($D$10:$L$10-($D$9:$L$9+INT(($S$12:$AA$12+INDEX($AJ$13:$AR$162,BN3696,0)+INDEX($AT$13:$BB$162,BO3696,0)+INDEX($BD$13:$BL$162,BP3696,0))/100)))),0)</f>
        <v/>
      </c>
      <c r="BS3696">
        <f>IF(3683&lt;$U$9,SUMPRODUCT(($D$9:$L$9+INT(($S$12:$AA$12+INDEX($AJ$13:$AR$162,BN3696,0)+INDEX($AT$13:$BB$162,BO3696,0)+INDEX($BD$13:$BL$162,BP3696,0))/100))),0)</f>
        <v/>
      </c>
      <c r="BT3696">
        <f>IF(AND(3683&lt;$U$9,$W$5),BQ3696*1000000-MIN(BR3696,999)*1000+BS3696-3683/100000,-1000000000-3683)</f>
        <v/>
      </c>
    </row>
    <row r="3697">
      <c r="BN3697">
        <f>IF(3684&lt;$U$9,INT(3684/($U$7*$U$8))+1,1)</f>
        <v/>
      </c>
      <c r="BO3697">
        <f>IF(3684&lt;$U$9,MOD(INT(3684/$U$8),$U$7)+1,1)</f>
        <v/>
      </c>
      <c r="BP3697">
        <f>IF(3684&lt;$U$9,MOD(3684,$U$8)+1,1)</f>
        <v/>
      </c>
      <c r="BQ3697">
        <f>IF(3684&lt;$U$9,SUMPRODUCT(($D$10:$L$10&lt;&gt;"")*(($D$9:$L$9+INT(($S$12:$AA$12+INDEX($AJ$13:$AR$162,BN3697,0)+INDEX($AT$13:$BB$162,BO3697,0)+INDEX($BD$13:$BL$162,BP3697,0))/100))&gt;=$D$10:$L$10)),0)</f>
        <v/>
      </c>
      <c r="BR3697">
        <f>IF(3684&lt;$U$9,SUMPRODUCT(($D$10:$L$10&lt;&gt;"")*(($D$10:$L$10-($D$9:$L$9+INT(($S$12:$AA$12+INDEX($AJ$13:$AR$162,BN3697,0)+INDEX($AT$13:$BB$162,BO3697,0)+INDEX($BD$13:$BL$162,BP3697,0))/100)))&gt;0)*($D$10:$L$10-($D$9:$L$9+INT(($S$12:$AA$12+INDEX($AJ$13:$AR$162,BN3697,0)+INDEX($AT$13:$BB$162,BO3697,0)+INDEX($BD$13:$BL$162,BP3697,0))/100)))),0)</f>
        <v/>
      </c>
      <c r="BS3697">
        <f>IF(3684&lt;$U$9,SUMPRODUCT(($D$9:$L$9+INT(($S$12:$AA$12+INDEX($AJ$13:$AR$162,BN3697,0)+INDEX($AT$13:$BB$162,BO3697,0)+INDEX($BD$13:$BL$162,BP3697,0))/100))),0)</f>
        <v/>
      </c>
      <c r="BT3697">
        <f>IF(AND(3684&lt;$U$9,$W$5),BQ3697*1000000-MIN(BR3697,999)*1000+BS3697-3684/100000,-1000000000-3684)</f>
        <v/>
      </c>
    </row>
    <row r="3698">
      <c r="BN3698">
        <f>IF(3685&lt;$U$9,INT(3685/($U$7*$U$8))+1,1)</f>
        <v/>
      </c>
      <c r="BO3698">
        <f>IF(3685&lt;$U$9,MOD(INT(3685/$U$8),$U$7)+1,1)</f>
        <v/>
      </c>
      <c r="BP3698">
        <f>IF(3685&lt;$U$9,MOD(3685,$U$8)+1,1)</f>
        <v/>
      </c>
      <c r="BQ3698">
        <f>IF(3685&lt;$U$9,SUMPRODUCT(($D$10:$L$10&lt;&gt;"")*(($D$9:$L$9+INT(($S$12:$AA$12+INDEX($AJ$13:$AR$162,BN3698,0)+INDEX($AT$13:$BB$162,BO3698,0)+INDEX($BD$13:$BL$162,BP3698,0))/100))&gt;=$D$10:$L$10)),0)</f>
        <v/>
      </c>
      <c r="BR3698">
        <f>IF(3685&lt;$U$9,SUMPRODUCT(($D$10:$L$10&lt;&gt;"")*(($D$10:$L$10-($D$9:$L$9+INT(($S$12:$AA$12+INDEX($AJ$13:$AR$162,BN3698,0)+INDEX($AT$13:$BB$162,BO3698,0)+INDEX($BD$13:$BL$162,BP3698,0))/100)))&gt;0)*($D$10:$L$10-($D$9:$L$9+INT(($S$12:$AA$12+INDEX($AJ$13:$AR$162,BN3698,0)+INDEX($AT$13:$BB$162,BO3698,0)+INDEX($BD$13:$BL$162,BP3698,0))/100)))),0)</f>
        <v/>
      </c>
      <c r="BS3698">
        <f>IF(3685&lt;$U$9,SUMPRODUCT(($D$9:$L$9+INT(($S$12:$AA$12+INDEX($AJ$13:$AR$162,BN3698,0)+INDEX($AT$13:$BB$162,BO3698,0)+INDEX($BD$13:$BL$162,BP3698,0))/100))),0)</f>
        <v/>
      </c>
      <c r="BT3698">
        <f>IF(AND(3685&lt;$U$9,$W$5),BQ3698*1000000-MIN(BR3698,999)*1000+BS3698-3685/100000,-1000000000-3685)</f>
        <v/>
      </c>
    </row>
    <row r="3699">
      <c r="BN3699">
        <f>IF(3686&lt;$U$9,INT(3686/($U$7*$U$8))+1,1)</f>
        <v/>
      </c>
      <c r="BO3699">
        <f>IF(3686&lt;$U$9,MOD(INT(3686/$U$8),$U$7)+1,1)</f>
        <v/>
      </c>
      <c r="BP3699">
        <f>IF(3686&lt;$U$9,MOD(3686,$U$8)+1,1)</f>
        <v/>
      </c>
      <c r="BQ3699">
        <f>IF(3686&lt;$U$9,SUMPRODUCT(($D$10:$L$10&lt;&gt;"")*(($D$9:$L$9+INT(($S$12:$AA$12+INDEX($AJ$13:$AR$162,BN3699,0)+INDEX($AT$13:$BB$162,BO3699,0)+INDEX($BD$13:$BL$162,BP3699,0))/100))&gt;=$D$10:$L$10)),0)</f>
        <v/>
      </c>
      <c r="BR3699">
        <f>IF(3686&lt;$U$9,SUMPRODUCT(($D$10:$L$10&lt;&gt;"")*(($D$10:$L$10-($D$9:$L$9+INT(($S$12:$AA$12+INDEX($AJ$13:$AR$162,BN3699,0)+INDEX($AT$13:$BB$162,BO3699,0)+INDEX($BD$13:$BL$162,BP3699,0))/100)))&gt;0)*($D$10:$L$10-($D$9:$L$9+INT(($S$12:$AA$12+INDEX($AJ$13:$AR$162,BN3699,0)+INDEX($AT$13:$BB$162,BO3699,0)+INDEX($BD$13:$BL$162,BP3699,0))/100)))),0)</f>
        <v/>
      </c>
      <c r="BS3699">
        <f>IF(3686&lt;$U$9,SUMPRODUCT(($D$9:$L$9+INT(($S$12:$AA$12+INDEX($AJ$13:$AR$162,BN3699,0)+INDEX($AT$13:$BB$162,BO3699,0)+INDEX($BD$13:$BL$162,BP3699,0))/100))),0)</f>
        <v/>
      </c>
      <c r="BT3699">
        <f>IF(AND(3686&lt;$U$9,$W$5),BQ3699*1000000-MIN(BR3699,999)*1000+BS3699-3686/100000,-1000000000-3686)</f>
        <v/>
      </c>
    </row>
    <row r="3700">
      <c r="BN3700">
        <f>IF(3687&lt;$U$9,INT(3687/($U$7*$U$8))+1,1)</f>
        <v/>
      </c>
      <c r="BO3700">
        <f>IF(3687&lt;$U$9,MOD(INT(3687/$U$8),$U$7)+1,1)</f>
        <v/>
      </c>
      <c r="BP3700">
        <f>IF(3687&lt;$U$9,MOD(3687,$U$8)+1,1)</f>
        <v/>
      </c>
      <c r="BQ3700">
        <f>IF(3687&lt;$U$9,SUMPRODUCT(($D$10:$L$10&lt;&gt;"")*(($D$9:$L$9+INT(($S$12:$AA$12+INDEX($AJ$13:$AR$162,BN3700,0)+INDEX($AT$13:$BB$162,BO3700,0)+INDEX($BD$13:$BL$162,BP3700,0))/100))&gt;=$D$10:$L$10)),0)</f>
        <v/>
      </c>
      <c r="BR3700">
        <f>IF(3687&lt;$U$9,SUMPRODUCT(($D$10:$L$10&lt;&gt;"")*(($D$10:$L$10-($D$9:$L$9+INT(($S$12:$AA$12+INDEX($AJ$13:$AR$162,BN3700,0)+INDEX($AT$13:$BB$162,BO3700,0)+INDEX($BD$13:$BL$162,BP3700,0))/100)))&gt;0)*($D$10:$L$10-($D$9:$L$9+INT(($S$12:$AA$12+INDEX($AJ$13:$AR$162,BN3700,0)+INDEX($AT$13:$BB$162,BO3700,0)+INDEX($BD$13:$BL$162,BP3700,0))/100)))),0)</f>
        <v/>
      </c>
      <c r="BS3700">
        <f>IF(3687&lt;$U$9,SUMPRODUCT(($D$9:$L$9+INT(($S$12:$AA$12+INDEX($AJ$13:$AR$162,BN3700,0)+INDEX($AT$13:$BB$162,BO3700,0)+INDEX($BD$13:$BL$162,BP3700,0))/100))),0)</f>
        <v/>
      </c>
      <c r="BT3700">
        <f>IF(AND(3687&lt;$U$9,$W$5),BQ3700*1000000-MIN(BR3700,999)*1000+BS3700-3687/100000,-1000000000-3687)</f>
        <v/>
      </c>
    </row>
    <row r="3701">
      <c r="BN3701">
        <f>IF(3688&lt;$U$9,INT(3688/($U$7*$U$8))+1,1)</f>
        <v/>
      </c>
      <c r="BO3701">
        <f>IF(3688&lt;$U$9,MOD(INT(3688/$U$8),$U$7)+1,1)</f>
        <v/>
      </c>
      <c r="BP3701">
        <f>IF(3688&lt;$U$9,MOD(3688,$U$8)+1,1)</f>
        <v/>
      </c>
      <c r="BQ3701">
        <f>IF(3688&lt;$U$9,SUMPRODUCT(($D$10:$L$10&lt;&gt;"")*(($D$9:$L$9+INT(($S$12:$AA$12+INDEX($AJ$13:$AR$162,BN3701,0)+INDEX($AT$13:$BB$162,BO3701,0)+INDEX($BD$13:$BL$162,BP3701,0))/100))&gt;=$D$10:$L$10)),0)</f>
        <v/>
      </c>
      <c r="BR3701">
        <f>IF(3688&lt;$U$9,SUMPRODUCT(($D$10:$L$10&lt;&gt;"")*(($D$10:$L$10-($D$9:$L$9+INT(($S$12:$AA$12+INDEX($AJ$13:$AR$162,BN3701,0)+INDEX($AT$13:$BB$162,BO3701,0)+INDEX($BD$13:$BL$162,BP3701,0))/100)))&gt;0)*($D$10:$L$10-($D$9:$L$9+INT(($S$12:$AA$12+INDEX($AJ$13:$AR$162,BN3701,0)+INDEX($AT$13:$BB$162,BO3701,0)+INDEX($BD$13:$BL$162,BP3701,0))/100)))),0)</f>
        <v/>
      </c>
      <c r="BS3701">
        <f>IF(3688&lt;$U$9,SUMPRODUCT(($D$9:$L$9+INT(($S$12:$AA$12+INDEX($AJ$13:$AR$162,BN3701,0)+INDEX($AT$13:$BB$162,BO3701,0)+INDEX($BD$13:$BL$162,BP3701,0))/100))),0)</f>
        <v/>
      </c>
      <c r="BT3701">
        <f>IF(AND(3688&lt;$U$9,$W$5),BQ3701*1000000-MIN(BR3701,999)*1000+BS3701-3688/100000,-1000000000-3688)</f>
        <v/>
      </c>
    </row>
    <row r="3702">
      <c r="BN3702">
        <f>IF(3689&lt;$U$9,INT(3689/($U$7*$U$8))+1,1)</f>
        <v/>
      </c>
      <c r="BO3702">
        <f>IF(3689&lt;$U$9,MOD(INT(3689/$U$8),$U$7)+1,1)</f>
        <v/>
      </c>
      <c r="BP3702">
        <f>IF(3689&lt;$U$9,MOD(3689,$U$8)+1,1)</f>
        <v/>
      </c>
      <c r="BQ3702">
        <f>IF(3689&lt;$U$9,SUMPRODUCT(($D$10:$L$10&lt;&gt;"")*(($D$9:$L$9+INT(($S$12:$AA$12+INDEX($AJ$13:$AR$162,BN3702,0)+INDEX($AT$13:$BB$162,BO3702,0)+INDEX($BD$13:$BL$162,BP3702,0))/100))&gt;=$D$10:$L$10)),0)</f>
        <v/>
      </c>
      <c r="BR3702">
        <f>IF(3689&lt;$U$9,SUMPRODUCT(($D$10:$L$10&lt;&gt;"")*(($D$10:$L$10-($D$9:$L$9+INT(($S$12:$AA$12+INDEX($AJ$13:$AR$162,BN3702,0)+INDEX($AT$13:$BB$162,BO3702,0)+INDEX($BD$13:$BL$162,BP3702,0))/100)))&gt;0)*($D$10:$L$10-($D$9:$L$9+INT(($S$12:$AA$12+INDEX($AJ$13:$AR$162,BN3702,0)+INDEX($AT$13:$BB$162,BO3702,0)+INDEX($BD$13:$BL$162,BP3702,0))/100)))),0)</f>
        <v/>
      </c>
      <c r="BS3702">
        <f>IF(3689&lt;$U$9,SUMPRODUCT(($D$9:$L$9+INT(($S$12:$AA$12+INDEX($AJ$13:$AR$162,BN3702,0)+INDEX($AT$13:$BB$162,BO3702,0)+INDEX($BD$13:$BL$162,BP3702,0))/100))),0)</f>
        <v/>
      </c>
      <c r="BT3702">
        <f>IF(AND(3689&lt;$U$9,$W$5),BQ3702*1000000-MIN(BR3702,999)*1000+BS3702-3689/100000,-1000000000-3689)</f>
        <v/>
      </c>
    </row>
    <row r="3703">
      <c r="BN3703">
        <f>IF(3690&lt;$U$9,INT(3690/($U$7*$U$8))+1,1)</f>
        <v/>
      </c>
      <c r="BO3703">
        <f>IF(3690&lt;$U$9,MOD(INT(3690/$U$8),$U$7)+1,1)</f>
        <v/>
      </c>
      <c r="BP3703">
        <f>IF(3690&lt;$U$9,MOD(3690,$U$8)+1,1)</f>
        <v/>
      </c>
      <c r="BQ3703">
        <f>IF(3690&lt;$U$9,SUMPRODUCT(($D$10:$L$10&lt;&gt;"")*(($D$9:$L$9+INT(($S$12:$AA$12+INDEX($AJ$13:$AR$162,BN3703,0)+INDEX($AT$13:$BB$162,BO3703,0)+INDEX($BD$13:$BL$162,BP3703,0))/100))&gt;=$D$10:$L$10)),0)</f>
        <v/>
      </c>
      <c r="BR3703">
        <f>IF(3690&lt;$U$9,SUMPRODUCT(($D$10:$L$10&lt;&gt;"")*(($D$10:$L$10-($D$9:$L$9+INT(($S$12:$AA$12+INDEX($AJ$13:$AR$162,BN3703,0)+INDEX($AT$13:$BB$162,BO3703,0)+INDEX($BD$13:$BL$162,BP3703,0))/100)))&gt;0)*($D$10:$L$10-($D$9:$L$9+INT(($S$12:$AA$12+INDEX($AJ$13:$AR$162,BN3703,0)+INDEX($AT$13:$BB$162,BO3703,0)+INDEX($BD$13:$BL$162,BP3703,0))/100)))),0)</f>
        <v/>
      </c>
      <c r="BS3703">
        <f>IF(3690&lt;$U$9,SUMPRODUCT(($D$9:$L$9+INT(($S$12:$AA$12+INDEX($AJ$13:$AR$162,BN3703,0)+INDEX($AT$13:$BB$162,BO3703,0)+INDEX($BD$13:$BL$162,BP3703,0))/100))),0)</f>
        <v/>
      </c>
      <c r="BT3703">
        <f>IF(AND(3690&lt;$U$9,$W$5),BQ3703*1000000-MIN(BR3703,999)*1000+BS3703-3690/100000,-1000000000-3690)</f>
        <v/>
      </c>
    </row>
    <row r="3704">
      <c r="BN3704">
        <f>IF(3691&lt;$U$9,INT(3691/($U$7*$U$8))+1,1)</f>
        <v/>
      </c>
      <c r="BO3704">
        <f>IF(3691&lt;$U$9,MOD(INT(3691/$U$8),$U$7)+1,1)</f>
        <v/>
      </c>
      <c r="BP3704">
        <f>IF(3691&lt;$U$9,MOD(3691,$U$8)+1,1)</f>
        <v/>
      </c>
      <c r="BQ3704">
        <f>IF(3691&lt;$U$9,SUMPRODUCT(($D$10:$L$10&lt;&gt;"")*(($D$9:$L$9+INT(($S$12:$AA$12+INDEX($AJ$13:$AR$162,BN3704,0)+INDEX($AT$13:$BB$162,BO3704,0)+INDEX($BD$13:$BL$162,BP3704,0))/100))&gt;=$D$10:$L$10)),0)</f>
        <v/>
      </c>
      <c r="BR3704">
        <f>IF(3691&lt;$U$9,SUMPRODUCT(($D$10:$L$10&lt;&gt;"")*(($D$10:$L$10-($D$9:$L$9+INT(($S$12:$AA$12+INDEX($AJ$13:$AR$162,BN3704,0)+INDEX($AT$13:$BB$162,BO3704,0)+INDEX($BD$13:$BL$162,BP3704,0))/100)))&gt;0)*($D$10:$L$10-($D$9:$L$9+INT(($S$12:$AA$12+INDEX($AJ$13:$AR$162,BN3704,0)+INDEX($AT$13:$BB$162,BO3704,0)+INDEX($BD$13:$BL$162,BP3704,0))/100)))),0)</f>
        <v/>
      </c>
      <c r="BS3704">
        <f>IF(3691&lt;$U$9,SUMPRODUCT(($D$9:$L$9+INT(($S$12:$AA$12+INDEX($AJ$13:$AR$162,BN3704,0)+INDEX($AT$13:$BB$162,BO3704,0)+INDEX($BD$13:$BL$162,BP3704,0))/100))),0)</f>
        <v/>
      </c>
      <c r="BT3704">
        <f>IF(AND(3691&lt;$U$9,$W$5),BQ3704*1000000-MIN(BR3704,999)*1000+BS3704-3691/100000,-1000000000-3691)</f>
        <v/>
      </c>
    </row>
    <row r="3705">
      <c r="BN3705">
        <f>IF(3692&lt;$U$9,INT(3692/($U$7*$U$8))+1,1)</f>
        <v/>
      </c>
      <c r="BO3705">
        <f>IF(3692&lt;$U$9,MOD(INT(3692/$U$8),$U$7)+1,1)</f>
        <v/>
      </c>
      <c r="BP3705">
        <f>IF(3692&lt;$U$9,MOD(3692,$U$8)+1,1)</f>
        <v/>
      </c>
      <c r="BQ3705">
        <f>IF(3692&lt;$U$9,SUMPRODUCT(($D$10:$L$10&lt;&gt;"")*(($D$9:$L$9+INT(($S$12:$AA$12+INDEX($AJ$13:$AR$162,BN3705,0)+INDEX($AT$13:$BB$162,BO3705,0)+INDEX($BD$13:$BL$162,BP3705,0))/100))&gt;=$D$10:$L$10)),0)</f>
        <v/>
      </c>
      <c r="BR3705">
        <f>IF(3692&lt;$U$9,SUMPRODUCT(($D$10:$L$10&lt;&gt;"")*(($D$10:$L$10-($D$9:$L$9+INT(($S$12:$AA$12+INDEX($AJ$13:$AR$162,BN3705,0)+INDEX($AT$13:$BB$162,BO3705,0)+INDEX($BD$13:$BL$162,BP3705,0))/100)))&gt;0)*($D$10:$L$10-($D$9:$L$9+INT(($S$12:$AA$12+INDEX($AJ$13:$AR$162,BN3705,0)+INDEX($AT$13:$BB$162,BO3705,0)+INDEX($BD$13:$BL$162,BP3705,0))/100)))),0)</f>
        <v/>
      </c>
      <c r="BS3705">
        <f>IF(3692&lt;$U$9,SUMPRODUCT(($D$9:$L$9+INT(($S$12:$AA$12+INDEX($AJ$13:$AR$162,BN3705,0)+INDEX($AT$13:$BB$162,BO3705,0)+INDEX($BD$13:$BL$162,BP3705,0))/100))),0)</f>
        <v/>
      </c>
      <c r="BT3705">
        <f>IF(AND(3692&lt;$U$9,$W$5),BQ3705*1000000-MIN(BR3705,999)*1000+BS3705-3692/100000,-1000000000-3692)</f>
        <v/>
      </c>
    </row>
    <row r="3706">
      <c r="BN3706">
        <f>IF(3693&lt;$U$9,INT(3693/($U$7*$U$8))+1,1)</f>
        <v/>
      </c>
      <c r="BO3706">
        <f>IF(3693&lt;$U$9,MOD(INT(3693/$U$8),$U$7)+1,1)</f>
        <v/>
      </c>
      <c r="BP3706">
        <f>IF(3693&lt;$U$9,MOD(3693,$U$8)+1,1)</f>
        <v/>
      </c>
      <c r="BQ3706">
        <f>IF(3693&lt;$U$9,SUMPRODUCT(($D$10:$L$10&lt;&gt;"")*(($D$9:$L$9+INT(($S$12:$AA$12+INDEX($AJ$13:$AR$162,BN3706,0)+INDEX($AT$13:$BB$162,BO3706,0)+INDEX($BD$13:$BL$162,BP3706,0))/100))&gt;=$D$10:$L$10)),0)</f>
        <v/>
      </c>
      <c r="BR3706">
        <f>IF(3693&lt;$U$9,SUMPRODUCT(($D$10:$L$10&lt;&gt;"")*(($D$10:$L$10-($D$9:$L$9+INT(($S$12:$AA$12+INDEX($AJ$13:$AR$162,BN3706,0)+INDEX($AT$13:$BB$162,BO3706,0)+INDEX($BD$13:$BL$162,BP3706,0))/100)))&gt;0)*($D$10:$L$10-($D$9:$L$9+INT(($S$12:$AA$12+INDEX($AJ$13:$AR$162,BN3706,0)+INDEX($AT$13:$BB$162,BO3706,0)+INDEX($BD$13:$BL$162,BP3706,0))/100)))),0)</f>
        <v/>
      </c>
      <c r="BS3706">
        <f>IF(3693&lt;$U$9,SUMPRODUCT(($D$9:$L$9+INT(($S$12:$AA$12+INDEX($AJ$13:$AR$162,BN3706,0)+INDEX($AT$13:$BB$162,BO3706,0)+INDEX($BD$13:$BL$162,BP3706,0))/100))),0)</f>
        <v/>
      </c>
      <c r="BT3706">
        <f>IF(AND(3693&lt;$U$9,$W$5),BQ3706*1000000-MIN(BR3706,999)*1000+BS3706-3693/100000,-1000000000-3693)</f>
        <v/>
      </c>
    </row>
    <row r="3707">
      <c r="BN3707">
        <f>IF(3694&lt;$U$9,INT(3694/($U$7*$U$8))+1,1)</f>
        <v/>
      </c>
      <c r="BO3707">
        <f>IF(3694&lt;$U$9,MOD(INT(3694/$U$8),$U$7)+1,1)</f>
        <v/>
      </c>
      <c r="BP3707">
        <f>IF(3694&lt;$U$9,MOD(3694,$U$8)+1,1)</f>
        <v/>
      </c>
      <c r="BQ3707">
        <f>IF(3694&lt;$U$9,SUMPRODUCT(($D$10:$L$10&lt;&gt;"")*(($D$9:$L$9+INT(($S$12:$AA$12+INDEX($AJ$13:$AR$162,BN3707,0)+INDEX($AT$13:$BB$162,BO3707,0)+INDEX($BD$13:$BL$162,BP3707,0))/100))&gt;=$D$10:$L$10)),0)</f>
        <v/>
      </c>
      <c r="BR3707">
        <f>IF(3694&lt;$U$9,SUMPRODUCT(($D$10:$L$10&lt;&gt;"")*(($D$10:$L$10-($D$9:$L$9+INT(($S$12:$AA$12+INDEX($AJ$13:$AR$162,BN3707,0)+INDEX($AT$13:$BB$162,BO3707,0)+INDEX($BD$13:$BL$162,BP3707,0))/100)))&gt;0)*($D$10:$L$10-($D$9:$L$9+INT(($S$12:$AA$12+INDEX($AJ$13:$AR$162,BN3707,0)+INDEX($AT$13:$BB$162,BO3707,0)+INDEX($BD$13:$BL$162,BP3707,0))/100)))),0)</f>
        <v/>
      </c>
      <c r="BS3707">
        <f>IF(3694&lt;$U$9,SUMPRODUCT(($D$9:$L$9+INT(($S$12:$AA$12+INDEX($AJ$13:$AR$162,BN3707,0)+INDEX($AT$13:$BB$162,BO3707,0)+INDEX($BD$13:$BL$162,BP3707,0))/100))),0)</f>
        <v/>
      </c>
      <c r="BT3707">
        <f>IF(AND(3694&lt;$U$9,$W$5),BQ3707*1000000-MIN(BR3707,999)*1000+BS3707-3694/100000,-1000000000-3694)</f>
        <v/>
      </c>
    </row>
    <row r="3708">
      <c r="BN3708">
        <f>IF(3695&lt;$U$9,INT(3695/($U$7*$U$8))+1,1)</f>
        <v/>
      </c>
      <c r="BO3708">
        <f>IF(3695&lt;$U$9,MOD(INT(3695/$U$8),$U$7)+1,1)</f>
        <v/>
      </c>
      <c r="BP3708">
        <f>IF(3695&lt;$U$9,MOD(3695,$U$8)+1,1)</f>
        <v/>
      </c>
      <c r="BQ3708">
        <f>IF(3695&lt;$U$9,SUMPRODUCT(($D$10:$L$10&lt;&gt;"")*(($D$9:$L$9+INT(($S$12:$AA$12+INDEX($AJ$13:$AR$162,BN3708,0)+INDEX($AT$13:$BB$162,BO3708,0)+INDEX($BD$13:$BL$162,BP3708,0))/100))&gt;=$D$10:$L$10)),0)</f>
        <v/>
      </c>
      <c r="BR3708">
        <f>IF(3695&lt;$U$9,SUMPRODUCT(($D$10:$L$10&lt;&gt;"")*(($D$10:$L$10-($D$9:$L$9+INT(($S$12:$AA$12+INDEX($AJ$13:$AR$162,BN3708,0)+INDEX($AT$13:$BB$162,BO3708,0)+INDEX($BD$13:$BL$162,BP3708,0))/100)))&gt;0)*($D$10:$L$10-($D$9:$L$9+INT(($S$12:$AA$12+INDEX($AJ$13:$AR$162,BN3708,0)+INDEX($AT$13:$BB$162,BO3708,0)+INDEX($BD$13:$BL$162,BP3708,0))/100)))),0)</f>
        <v/>
      </c>
      <c r="BS3708">
        <f>IF(3695&lt;$U$9,SUMPRODUCT(($D$9:$L$9+INT(($S$12:$AA$12+INDEX($AJ$13:$AR$162,BN3708,0)+INDEX($AT$13:$BB$162,BO3708,0)+INDEX($BD$13:$BL$162,BP3708,0))/100))),0)</f>
        <v/>
      </c>
      <c r="BT3708">
        <f>IF(AND(3695&lt;$U$9,$W$5),BQ3708*1000000-MIN(BR3708,999)*1000+BS3708-3695/100000,-1000000000-3695)</f>
        <v/>
      </c>
    </row>
    <row r="3709">
      <c r="BN3709">
        <f>IF(3696&lt;$U$9,INT(3696/($U$7*$U$8))+1,1)</f>
        <v/>
      </c>
      <c r="BO3709">
        <f>IF(3696&lt;$U$9,MOD(INT(3696/$U$8),$U$7)+1,1)</f>
        <v/>
      </c>
      <c r="BP3709">
        <f>IF(3696&lt;$U$9,MOD(3696,$U$8)+1,1)</f>
        <v/>
      </c>
      <c r="BQ3709">
        <f>IF(3696&lt;$U$9,SUMPRODUCT(($D$10:$L$10&lt;&gt;"")*(($D$9:$L$9+INT(($S$12:$AA$12+INDEX($AJ$13:$AR$162,BN3709,0)+INDEX($AT$13:$BB$162,BO3709,0)+INDEX($BD$13:$BL$162,BP3709,0))/100))&gt;=$D$10:$L$10)),0)</f>
        <v/>
      </c>
      <c r="BR3709">
        <f>IF(3696&lt;$U$9,SUMPRODUCT(($D$10:$L$10&lt;&gt;"")*(($D$10:$L$10-($D$9:$L$9+INT(($S$12:$AA$12+INDEX($AJ$13:$AR$162,BN3709,0)+INDEX($AT$13:$BB$162,BO3709,0)+INDEX($BD$13:$BL$162,BP3709,0))/100)))&gt;0)*($D$10:$L$10-($D$9:$L$9+INT(($S$12:$AA$12+INDEX($AJ$13:$AR$162,BN3709,0)+INDEX($AT$13:$BB$162,BO3709,0)+INDEX($BD$13:$BL$162,BP3709,0))/100)))),0)</f>
        <v/>
      </c>
      <c r="BS3709">
        <f>IF(3696&lt;$U$9,SUMPRODUCT(($D$9:$L$9+INT(($S$12:$AA$12+INDEX($AJ$13:$AR$162,BN3709,0)+INDEX($AT$13:$BB$162,BO3709,0)+INDEX($BD$13:$BL$162,BP3709,0))/100))),0)</f>
        <v/>
      </c>
      <c r="BT3709">
        <f>IF(AND(3696&lt;$U$9,$W$5),BQ3709*1000000-MIN(BR3709,999)*1000+BS3709-3696/100000,-1000000000-3696)</f>
        <v/>
      </c>
    </row>
    <row r="3710">
      <c r="BN3710">
        <f>IF(3697&lt;$U$9,INT(3697/($U$7*$U$8))+1,1)</f>
        <v/>
      </c>
      <c r="BO3710">
        <f>IF(3697&lt;$U$9,MOD(INT(3697/$U$8),$U$7)+1,1)</f>
        <v/>
      </c>
      <c r="BP3710">
        <f>IF(3697&lt;$U$9,MOD(3697,$U$8)+1,1)</f>
        <v/>
      </c>
      <c r="BQ3710">
        <f>IF(3697&lt;$U$9,SUMPRODUCT(($D$10:$L$10&lt;&gt;"")*(($D$9:$L$9+INT(($S$12:$AA$12+INDEX($AJ$13:$AR$162,BN3710,0)+INDEX($AT$13:$BB$162,BO3710,0)+INDEX($BD$13:$BL$162,BP3710,0))/100))&gt;=$D$10:$L$10)),0)</f>
        <v/>
      </c>
      <c r="BR3710">
        <f>IF(3697&lt;$U$9,SUMPRODUCT(($D$10:$L$10&lt;&gt;"")*(($D$10:$L$10-($D$9:$L$9+INT(($S$12:$AA$12+INDEX($AJ$13:$AR$162,BN3710,0)+INDEX($AT$13:$BB$162,BO3710,0)+INDEX($BD$13:$BL$162,BP3710,0))/100)))&gt;0)*($D$10:$L$10-($D$9:$L$9+INT(($S$12:$AA$12+INDEX($AJ$13:$AR$162,BN3710,0)+INDEX($AT$13:$BB$162,BO3710,0)+INDEX($BD$13:$BL$162,BP3710,0))/100)))),0)</f>
        <v/>
      </c>
      <c r="BS3710">
        <f>IF(3697&lt;$U$9,SUMPRODUCT(($D$9:$L$9+INT(($S$12:$AA$12+INDEX($AJ$13:$AR$162,BN3710,0)+INDEX($AT$13:$BB$162,BO3710,0)+INDEX($BD$13:$BL$162,BP3710,0))/100))),0)</f>
        <v/>
      </c>
      <c r="BT3710">
        <f>IF(AND(3697&lt;$U$9,$W$5),BQ3710*1000000-MIN(BR3710,999)*1000+BS3710-3697/100000,-1000000000-3697)</f>
        <v/>
      </c>
    </row>
    <row r="3711">
      <c r="BN3711">
        <f>IF(3698&lt;$U$9,INT(3698/($U$7*$U$8))+1,1)</f>
        <v/>
      </c>
      <c r="BO3711">
        <f>IF(3698&lt;$U$9,MOD(INT(3698/$U$8),$U$7)+1,1)</f>
        <v/>
      </c>
      <c r="BP3711">
        <f>IF(3698&lt;$U$9,MOD(3698,$U$8)+1,1)</f>
        <v/>
      </c>
      <c r="BQ3711">
        <f>IF(3698&lt;$U$9,SUMPRODUCT(($D$10:$L$10&lt;&gt;"")*(($D$9:$L$9+INT(($S$12:$AA$12+INDEX($AJ$13:$AR$162,BN3711,0)+INDEX($AT$13:$BB$162,BO3711,0)+INDEX($BD$13:$BL$162,BP3711,0))/100))&gt;=$D$10:$L$10)),0)</f>
        <v/>
      </c>
      <c r="BR3711">
        <f>IF(3698&lt;$U$9,SUMPRODUCT(($D$10:$L$10&lt;&gt;"")*(($D$10:$L$10-($D$9:$L$9+INT(($S$12:$AA$12+INDEX($AJ$13:$AR$162,BN3711,0)+INDEX($AT$13:$BB$162,BO3711,0)+INDEX($BD$13:$BL$162,BP3711,0))/100)))&gt;0)*($D$10:$L$10-($D$9:$L$9+INT(($S$12:$AA$12+INDEX($AJ$13:$AR$162,BN3711,0)+INDEX($AT$13:$BB$162,BO3711,0)+INDEX($BD$13:$BL$162,BP3711,0))/100)))),0)</f>
        <v/>
      </c>
      <c r="BS3711">
        <f>IF(3698&lt;$U$9,SUMPRODUCT(($D$9:$L$9+INT(($S$12:$AA$12+INDEX($AJ$13:$AR$162,BN3711,0)+INDEX($AT$13:$BB$162,BO3711,0)+INDEX($BD$13:$BL$162,BP3711,0))/100))),0)</f>
        <v/>
      </c>
      <c r="BT3711">
        <f>IF(AND(3698&lt;$U$9,$W$5),BQ3711*1000000-MIN(BR3711,999)*1000+BS3711-3698/100000,-1000000000-3698)</f>
        <v/>
      </c>
    </row>
    <row r="3712">
      <c r="BN3712">
        <f>IF(3699&lt;$U$9,INT(3699/($U$7*$U$8))+1,1)</f>
        <v/>
      </c>
      <c r="BO3712">
        <f>IF(3699&lt;$U$9,MOD(INT(3699/$U$8),$U$7)+1,1)</f>
        <v/>
      </c>
      <c r="BP3712">
        <f>IF(3699&lt;$U$9,MOD(3699,$U$8)+1,1)</f>
        <v/>
      </c>
      <c r="BQ3712">
        <f>IF(3699&lt;$U$9,SUMPRODUCT(($D$10:$L$10&lt;&gt;"")*(($D$9:$L$9+INT(($S$12:$AA$12+INDEX($AJ$13:$AR$162,BN3712,0)+INDEX($AT$13:$BB$162,BO3712,0)+INDEX($BD$13:$BL$162,BP3712,0))/100))&gt;=$D$10:$L$10)),0)</f>
        <v/>
      </c>
      <c r="BR3712">
        <f>IF(3699&lt;$U$9,SUMPRODUCT(($D$10:$L$10&lt;&gt;"")*(($D$10:$L$10-($D$9:$L$9+INT(($S$12:$AA$12+INDEX($AJ$13:$AR$162,BN3712,0)+INDEX($AT$13:$BB$162,BO3712,0)+INDEX($BD$13:$BL$162,BP3712,0))/100)))&gt;0)*($D$10:$L$10-($D$9:$L$9+INT(($S$12:$AA$12+INDEX($AJ$13:$AR$162,BN3712,0)+INDEX($AT$13:$BB$162,BO3712,0)+INDEX($BD$13:$BL$162,BP3712,0))/100)))),0)</f>
        <v/>
      </c>
      <c r="BS3712">
        <f>IF(3699&lt;$U$9,SUMPRODUCT(($D$9:$L$9+INT(($S$12:$AA$12+INDEX($AJ$13:$AR$162,BN3712,0)+INDEX($AT$13:$BB$162,BO3712,0)+INDEX($BD$13:$BL$162,BP3712,0))/100))),0)</f>
        <v/>
      </c>
      <c r="BT3712">
        <f>IF(AND(3699&lt;$U$9,$W$5),BQ3712*1000000-MIN(BR3712,999)*1000+BS3712-3699/100000,-1000000000-3699)</f>
        <v/>
      </c>
    </row>
    <row r="3713">
      <c r="BN3713">
        <f>IF(3700&lt;$U$9,INT(3700/($U$7*$U$8))+1,1)</f>
        <v/>
      </c>
      <c r="BO3713">
        <f>IF(3700&lt;$U$9,MOD(INT(3700/$U$8),$U$7)+1,1)</f>
        <v/>
      </c>
      <c r="BP3713">
        <f>IF(3700&lt;$U$9,MOD(3700,$U$8)+1,1)</f>
        <v/>
      </c>
      <c r="BQ3713">
        <f>IF(3700&lt;$U$9,SUMPRODUCT(($D$10:$L$10&lt;&gt;"")*(($D$9:$L$9+INT(($S$12:$AA$12+INDEX($AJ$13:$AR$162,BN3713,0)+INDEX($AT$13:$BB$162,BO3713,0)+INDEX($BD$13:$BL$162,BP3713,0))/100))&gt;=$D$10:$L$10)),0)</f>
        <v/>
      </c>
      <c r="BR3713">
        <f>IF(3700&lt;$U$9,SUMPRODUCT(($D$10:$L$10&lt;&gt;"")*(($D$10:$L$10-($D$9:$L$9+INT(($S$12:$AA$12+INDEX($AJ$13:$AR$162,BN3713,0)+INDEX($AT$13:$BB$162,BO3713,0)+INDEX($BD$13:$BL$162,BP3713,0))/100)))&gt;0)*($D$10:$L$10-($D$9:$L$9+INT(($S$12:$AA$12+INDEX($AJ$13:$AR$162,BN3713,0)+INDEX($AT$13:$BB$162,BO3713,0)+INDEX($BD$13:$BL$162,BP3713,0))/100)))),0)</f>
        <v/>
      </c>
      <c r="BS3713">
        <f>IF(3700&lt;$U$9,SUMPRODUCT(($D$9:$L$9+INT(($S$12:$AA$12+INDEX($AJ$13:$AR$162,BN3713,0)+INDEX($AT$13:$BB$162,BO3713,0)+INDEX($BD$13:$BL$162,BP3713,0))/100))),0)</f>
        <v/>
      </c>
      <c r="BT3713">
        <f>IF(AND(3700&lt;$U$9,$W$5),BQ3713*1000000-MIN(BR3713,999)*1000+BS3713-3700/100000,-1000000000-3700)</f>
        <v/>
      </c>
    </row>
    <row r="3714">
      <c r="BN3714">
        <f>IF(3701&lt;$U$9,INT(3701/($U$7*$U$8))+1,1)</f>
        <v/>
      </c>
      <c r="BO3714">
        <f>IF(3701&lt;$U$9,MOD(INT(3701/$U$8),$U$7)+1,1)</f>
        <v/>
      </c>
      <c r="BP3714">
        <f>IF(3701&lt;$U$9,MOD(3701,$U$8)+1,1)</f>
        <v/>
      </c>
      <c r="BQ3714">
        <f>IF(3701&lt;$U$9,SUMPRODUCT(($D$10:$L$10&lt;&gt;"")*(($D$9:$L$9+INT(($S$12:$AA$12+INDEX($AJ$13:$AR$162,BN3714,0)+INDEX($AT$13:$BB$162,BO3714,0)+INDEX($BD$13:$BL$162,BP3714,0))/100))&gt;=$D$10:$L$10)),0)</f>
        <v/>
      </c>
      <c r="BR3714">
        <f>IF(3701&lt;$U$9,SUMPRODUCT(($D$10:$L$10&lt;&gt;"")*(($D$10:$L$10-($D$9:$L$9+INT(($S$12:$AA$12+INDEX($AJ$13:$AR$162,BN3714,0)+INDEX($AT$13:$BB$162,BO3714,0)+INDEX($BD$13:$BL$162,BP3714,0))/100)))&gt;0)*($D$10:$L$10-($D$9:$L$9+INT(($S$12:$AA$12+INDEX($AJ$13:$AR$162,BN3714,0)+INDEX($AT$13:$BB$162,BO3714,0)+INDEX($BD$13:$BL$162,BP3714,0))/100)))),0)</f>
        <v/>
      </c>
      <c r="BS3714">
        <f>IF(3701&lt;$U$9,SUMPRODUCT(($D$9:$L$9+INT(($S$12:$AA$12+INDEX($AJ$13:$AR$162,BN3714,0)+INDEX($AT$13:$BB$162,BO3714,0)+INDEX($BD$13:$BL$162,BP3714,0))/100))),0)</f>
        <v/>
      </c>
      <c r="BT3714">
        <f>IF(AND(3701&lt;$U$9,$W$5),BQ3714*1000000-MIN(BR3714,999)*1000+BS3714-3701/100000,-1000000000-3701)</f>
        <v/>
      </c>
    </row>
    <row r="3715">
      <c r="BN3715">
        <f>IF(3702&lt;$U$9,INT(3702/($U$7*$U$8))+1,1)</f>
        <v/>
      </c>
      <c r="BO3715">
        <f>IF(3702&lt;$U$9,MOD(INT(3702/$U$8),$U$7)+1,1)</f>
        <v/>
      </c>
      <c r="BP3715">
        <f>IF(3702&lt;$U$9,MOD(3702,$U$8)+1,1)</f>
        <v/>
      </c>
      <c r="BQ3715">
        <f>IF(3702&lt;$U$9,SUMPRODUCT(($D$10:$L$10&lt;&gt;"")*(($D$9:$L$9+INT(($S$12:$AA$12+INDEX($AJ$13:$AR$162,BN3715,0)+INDEX($AT$13:$BB$162,BO3715,0)+INDEX($BD$13:$BL$162,BP3715,0))/100))&gt;=$D$10:$L$10)),0)</f>
        <v/>
      </c>
      <c r="BR3715">
        <f>IF(3702&lt;$U$9,SUMPRODUCT(($D$10:$L$10&lt;&gt;"")*(($D$10:$L$10-($D$9:$L$9+INT(($S$12:$AA$12+INDEX($AJ$13:$AR$162,BN3715,0)+INDEX($AT$13:$BB$162,BO3715,0)+INDEX($BD$13:$BL$162,BP3715,0))/100)))&gt;0)*($D$10:$L$10-($D$9:$L$9+INT(($S$12:$AA$12+INDEX($AJ$13:$AR$162,BN3715,0)+INDEX($AT$13:$BB$162,BO3715,0)+INDEX($BD$13:$BL$162,BP3715,0))/100)))),0)</f>
        <v/>
      </c>
      <c r="BS3715">
        <f>IF(3702&lt;$U$9,SUMPRODUCT(($D$9:$L$9+INT(($S$12:$AA$12+INDEX($AJ$13:$AR$162,BN3715,0)+INDEX($AT$13:$BB$162,BO3715,0)+INDEX($BD$13:$BL$162,BP3715,0))/100))),0)</f>
        <v/>
      </c>
      <c r="BT3715">
        <f>IF(AND(3702&lt;$U$9,$W$5),BQ3715*1000000-MIN(BR3715,999)*1000+BS3715-3702/100000,-1000000000-3702)</f>
        <v/>
      </c>
    </row>
    <row r="3716">
      <c r="BN3716">
        <f>IF(3703&lt;$U$9,INT(3703/($U$7*$U$8))+1,1)</f>
        <v/>
      </c>
      <c r="BO3716">
        <f>IF(3703&lt;$U$9,MOD(INT(3703/$U$8),$U$7)+1,1)</f>
        <v/>
      </c>
      <c r="BP3716">
        <f>IF(3703&lt;$U$9,MOD(3703,$U$8)+1,1)</f>
        <v/>
      </c>
      <c r="BQ3716">
        <f>IF(3703&lt;$U$9,SUMPRODUCT(($D$10:$L$10&lt;&gt;"")*(($D$9:$L$9+INT(($S$12:$AA$12+INDEX($AJ$13:$AR$162,BN3716,0)+INDEX($AT$13:$BB$162,BO3716,0)+INDEX($BD$13:$BL$162,BP3716,0))/100))&gt;=$D$10:$L$10)),0)</f>
        <v/>
      </c>
      <c r="BR3716">
        <f>IF(3703&lt;$U$9,SUMPRODUCT(($D$10:$L$10&lt;&gt;"")*(($D$10:$L$10-($D$9:$L$9+INT(($S$12:$AA$12+INDEX($AJ$13:$AR$162,BN3716,0)+INDEX($AT$13:$BB$162,BO3716,0)+INDEX($BD$13:$BL$162,BP3716,0))/100)))&gt;0)*($D$10:$L$10-($D$9:$L$9+INT(($S$12:$AA$12+INDEX($AJ$13:$AR$162,BN3716,0)+INDEX($AT$13:$BB$162,BO3716,0)+INDEX($BD$13:$BL$162,BP3716,0))/100)))),0)</f>
        <v/>
      </c>
      <c r="BS3716">
        <f>IF(3703&lt;$U$9,SUMPRODUCT(($D$9:$L$9+INT(($S$12:$AA$12+INDEX($AJ$13:$AR$162,BN3716,0)+INDEX($AT$13:$BB$162,BO3716,0)+INDEX($BD$13:$BL$162,BP3716,0))/100))),0)</f>
        <v/>
      </c>
      <c r="BT3716">
        <f>IF(AND(3703&lt;$U$9,$W$5),BQ3716*1000000-MIN(BR3716,999)*1000+BS3716-3703/100000,-1000000000-3703)</f>
        <v/>
      </c>
    </row>
    <row r="3717">
      <c r="BN3717">
        <f>IF(3704&lt;$U$9,INT(3704/($U$7*$U$8))+1,1)</f>
        <v/>
      </c>
      <c r="BO3717">
        <f>IF(3704&lt;$U$9,MOD(INT(3704/$U$8),$U$7)+1,1)</f>
        <v/>
      </c>
      <c r="BP3717">
        <f>IF(3704&lt;$U$9,MOD(3704,$U$8)+1,1)</f>
        <v/>
      </c>
      <c r="BQ3717">
        <f>IF(3704&lt;$U$9,SUMPRODUCT(($D$10:$L$10&lt;&gt;"")*(($D$9:$L$9+INT(($S$12:$AA$12+INDEX($AJ$13:$AR$162,BN3717,0)+INDEX($AT$13:$BB$162,BO3717,0)+INDEX($BD$13:$BL$162,BP3717,0))/100))&gt;=$D$10:$L$10)),0)</f>
        <v/>
      </c>
      <c r="BR3717">
        <f>IF(3704&lt;$U$9,SUMPRODUCT(($D$10:$L$10&lt;&gt;"")*(($D$10:$L$10-($D$9:$L$9+INT(($S$12:$AA$12+INDEX($AJ$13:$AR$162,BN3717,0)+INDEX($AT$13:$BB$162,BO3717,0)+INDEX($BD$13:$BL$162,BP3717,0))/100)))&gt;0)*($D$10:$L$10-($D$9:$L$9+INT(($S$12:$AA$12+INDEX($AJ$13:$AR$162,BN3717,0)+INDEX($AT$13:$BB$162,BO3717,0)+INDEX($BD$13:$BL$162,BP3717,0))/100)))),0)</f>
        <v/>
      </c>
      <c r="BS3717">
        <f>IF(3704&lt;$U$9,SUMPRODUCT(($D$9:$L$9+INT(($S$12:$AA$12+INDEX($AJ$13:$AR$162,BN3717,0)+INDEX($AT$13:$BB$162,BO3717,0)+INDEX($BD$13:$BL$162,BP3717,0))/100))),0)</f>
        <v/>
      </c>
      <c r="BT3717">
        <f>IF(AND(3704&lt;$U$9,$W$5),BQ3717*1000000-MIN(BR3717,999)*1000+BS3717-3704/100000,-1000000000-3704)</f>
        <v/>
      </c>
    </row>
    <row r="3718">
      <c r="BN3718">
        <f>IF(3705&lt;$U$9,INT(3705/($U$7*$U$8))+1,1)</f>
        <v/>
      </c>
      <c r="BO3718">
        <f>IF(3705&lt;$U$9,MOD(INT(3705/$U$8),$U$7)+1,1)</f>
        <v/>
      </c>
      <c r="BP3718">
        <f>IF(3705&lt;$U$9,MOD(3705,$U$8)+1,1)</f>
        <v/>
      </c>
      <c r="BQ3718">
        <f>IF(3705&lt;$U$9,SUMPRODUCT(($D$10:$L$10&lt;&gt;"")*(($D$9:$L$9+INT(($S$12:$AA$12+INDEX($AJ$13:$AR$162,BN3718,0)+INDEX($AT$13:$BB$162,BO3718,0)+INDEX($BD$13:$BL$162,BP3718,0))/100))&gt;=$D$10:$L$10)),0)</f>
        <v/>
      </c>
      <c r="BR3718">
        <f>IF(3705&lt;$U$9,SUMPRODUCT(($D$10:$L$10&lt;&gt;"")*(($D$10:$L$10-($D$9:$L$9+INT(($S$12:$AA$12+INDEX($AJ$13:$AR$162,BN3718,0)+INDEX($AT$13:$BB$162,BO3718,0)+INDEX($BD$13:$BL$162,BP3718,0))/100)))&gt;0)*($D$10:$L$10-($D$9:$L$9+INT(($S$12:$AA$12+INDEX($AJ$13:$AR$162,BN3718,0)+INDEX($AT$13:$BB$162,BO3718,0)+INDEX($BD$13:$BL$162,BP3718,0))/100)))),0)</f>
        <v/>
      </c>
      <c r="BS3718">
        <f>IF(3705&lt;$U$9,SUMPRODUCT(($D$9:$L$9+INT(($S$12:$AA$12+INDEX($AJ$13:$AR$162,BN3718,0)+INDEX($AT$13:$BB$162,BO3718,0)+INDEX($BD$13:$BL$162,BP3718,0))/100))),0)</f>
        <v/>
      </c>
      <c r="BT3718">
        <f>IF(AND(3705&lt;$U$9,$W$5),BQ3718*1000000-MIN(BR3718,999)*1000+BS3718-3705/100000,-1000000000-3705)</f>
        <v/>
      </c>
    </row>
    <row r="3719">
      <c r="BN3719">
        <f>IF(3706&lt;$U$9,INT(3706/($U$7*$U$8))+1,1)</f>
        <v/>
      </c>
      <c r="BO3719">
        <f>IF(3706&lt;$U$9,MOD(INT(3706/$U$8),$U$7)+1,1)</f>
        <v/>
      </c>
      <c r="BP3719">
        <f>IF(3706&lt;$U$9,MOD(3706,$U$8)+1,1)</f>
        <v/>
      </c>
      <c r="BQ3719">
        <f>IF(3706&lt;$U$9,SUMPRODUCT(($D$10:$L$10&lt;&gt;"")*(($D$9:$L$9+INT(($S$12:$AA$12+INDEX($AJ$13:$AR$162,BN3719,0)+INDEX($AT$13:$BB$162,BO3719,0)+INDEX($BD$13:$BL$162,BP3719,0))/100))&gt;=$D$10:$L$10)),0)</f>
        <v/>
      </c>
      <c r="BR3719">
        <f>IF(3706&lt;$U$9,SUMPRODUCT(($D$10:$L$10&lt;&gt;"")*(($D$10:$L$10-($D$9:$L$9+INT(($S$12:$AA$12+INDEX($AJ$13:$AR$162,BN3719,0)+INDEX($AT$13:$BB$162,BO3719,0)+INDEX($BD$13:$BL$162,BP3719,0))/100)))&gt;0)*($D$10:$L$10-($D$9:$L$9+INT(($S$12:$AA$12+INDEX($AJ$13:$AR$162,BN3719,0)+INDEX($AT$13:$BB$162,BO3719,0)+INDEX($BD$13:$BL$162,BP3719,0))/100)))),0)</f>
        <v/>
      </c>
      <c r="BS3719">
        <f>IF(3706&lt;$U$9,SUMPRODUCT(($D$9:$L$9+INT(($S$12:$AA$12+INDEX($AJ$13:$AR$162,BN3719,0)+INDEX($AT$13:$BB$162,BO3719,0)+INDEX($BD$13:$BL$162,BP3719,0))/100))),0)</f>
        <v/>
      </c>
      <c r="BT3719">
        <f>IF(AND(3706&lt;$U$9,$W$5),BQ3719*1000000-MIN(BR3719,999)*1000+BS3719-3706/100000,-1000000000-3706)</f>
        <v/>
      </c>
    </row>
    <row r="3720">
      <c r="BN3720">
        <f>IF(3707&lt;$U$9,INT(3707/($U$7*$U$8))+1,1)</f>
        <v/>
      </c>
      <c r="BO3720">
        <f>IF(3707&lt;$U$9,MOD(INT(3707/$U$8),$U$7)+1,1)</f>
        <v/>
      </c>
      <c r="BP3720">
        <f>IF(3707&lt;$U$9,MOD(3707,$U$8)+1,1)</f>
        <v/>
      </c>
      <c r="BQ3720">
        <f>IF(3707&lt;$U$9,SUMPRODUCT(($D$10:$L$10&lt;&gt;"")*(($D$9:$L$9+INT(($S$12:$AA$12+INDEX($AJ$13:$AR$162,BN3720,0)+INDEX($AT$13:$BB$162,BO3720,0)+INDEX($BD$13:$BL$162,BP3720,0))/100))&gt;=$D$10:$L$10)),0)</f>
        <v/>
      </c>
      <c r="BR3720">
        <f>IF(3707&lt;$U$9,SUMPRODUCT(($D$10:$L$10&lt;&gt;"")*(($D$10:$L$10-($D$9:$L$9+INT(($S$12:$AA$12+INDEX($AJ$13:$AR$162,BN3720,0)+INDEX($AT$13:$BB$162,BO3720,0)+INDEX($BD$13:$BL$162,BP3720,0))/100)))&gt;0)*($D$10:$L$10-($D$9:$L$9+INT(($S$12:$AA$12+INDEX($AJ$13:$AR$162,BN3720,0)+INDEX($AT$13:$BB$162,BO3720,0)+INDEX($BD$13:$BL$162,BP3720,0))/100)))),0)</f>
        <v/>
      </c>
      <c r="BS3720">
        <f>IF(3707&lt;$U$9,SUMPRODUCT(($D$9:$L$9+INT(($S$12:$AA$12+INDEX($AJ$13:$AR$162,BN3720,0)+INDEX($AT$13:$BB$162,BO3720,0)+INDEX($BD$13:$BL$162,BP3720,0))/100))),0)</f>
        <v/>
      </c>
      <c r="BT3720">
        <f>IF(AND(3707&lt;$U$9,$W$5),BQ3720*1000000-MIN(BR3720,999)*1000+BS3720-3707/100000,-1000000000-3707)</f>
        <v/>
      </c>
    </row>
    <row r="3721">
      <c r="BN3721">
        <f>IF(3708&lt;$U$9,INT(3708/($U$7*$U$8))+1,1)</f>
        <v/>
      </c>
      <c r="BO3721">
        <f>IF(3708&lt;$U$9,MOD(INT(3708/$U$8),$U$7)+1,1)</f>
        <v/>
      </c>
      <c r="BP3721">
        <f>IF(3708&lt;$U$9,MOD(3708,$U$8)+1,1)</f>
        <v/>
      </c>
      <c r="BQ3721">
        <f>IF(3708&lt;$U$9,SUMPRODUCT(($D$10:$L$10&lt;&gt;"")*(($D$9:$L$9+INT(($S$12:$AA$12+INDEX($AJ$13:$AR$162,BN3721,0)+INDEX($AT$13:$BB$162,BO3721,0)+INDEX($BD$13:$BL$162,BP3721,0))/100))&gt;=$D$10:$L$10)),0)</f>
        <v/>
      </c>
      <c r="BR3721">
        <f>IF(3708&lt;$U$9,SUMPRODUCT(($D$10:$L$10&lt;&gt;"")*(($D$10:$L$10-($D$9:$L$9+INT(($S$12:$AA$12+INDEX($AJ$13:$AR$162,BN3721,0)+INDEX($AT$13:$BB$162,BO3721,0)+INDEX($BD$13:$BL$162,BP3721,0))/100)))&gt;0)*($D$10:$L$10-($D$9:$L$9+INT(($S$12:$AA$12+INDEX($AJ$13:$AR$162,BN3721,0)+INDEX($AT$13:$BB$162,BO3721,0)+INDEX($BD$13:$BL$162,BP3721,0))/100)))),0)</f>
        <v/>
      </c>
      <c r="BS3721">
        <f>IF(3708&lt;$U$9,SUMPRODUCT(($D$9:$L$9+INT(($S$12:$AA$12+INDEX($AJ$13:$AR$162,BN3721,0)+INDEX($AT$13:$BB$162,BO3721,0)+INDEX($BD$13:$BL$162,BP3721,0))/100))),0)</f>
        <v/>
      </c>
      <c r="BT3721">
        <f>IF(AND(3708&lt;$U$9,$W$5),BQ3721*1000000-MIN(BR3721,999)*1000+BS3721-3708/100000,-1000000000-3708)</f>
        <v/>
      </c>
    </row>
    <row r="3722">
      <c r="BN3722">
        <f>IF(3709&lt;$U$9,INT(3709/($U$7*$U$8))+1,1)</f>
        <v/>
      </c>
      <c r="BO3722">
        <f>IF(3709&lt;$U$9,MOD(INT(3709/$U$8),$U$7)+1,1)</f>
        <v/>
      </c>
      <c r="BP3722">
        <f>IF(3709&lt;$U$9,MOD(3709,$U$8)+1,1)</f>
        <v/>
      </c>
      <c r="BQ3722">
        <f>IF(3709&lt;$U$9,SUMPRODUCT(($D$10:$L$10&lt;&gt;"")*(($D$9:$L$9+INT(($S$12:$AA$12+INDEX($AJ$13:$AR$162,BN3722,0)+INDEX($AT$13:$BB$162,BO3722,0)+INDEX($BD$13:$BL$162,BP3722,0))/100))&gt;=$D$10:$L$10)),0)</f>
        <v/>
      </c>
      <c r="BR3722">
        <f>IF(3709&lt;$U$9,SUMPRODUCT(($D$10:$L$10&lt;&gt;"")*(($D$10:$L$10-($D$9:$L$9+INT(($S$12:$AA$12+INDEX($AJ$13:$AR$162,BN3722,0)+INDEX($AT$13:$BB$162,BO3722,0)+INDEX($BD$13:$BL$162,BP3722,0))/100)))&gt;0)*($D$10:$L$10-($D$9:$L$9+INT(($S$12:$AA$12+INDEX($AJ$13:$AR$162,BN3722,0)+INDEX($AT$13:$BB$162,BO3722,0)+INDEX($BD$13:$BL$162,BP3722,0))/100)))),0)</f>
        <v/>
      </c>
      <c r="BS3722">
        <f>IF(3709&lt;$U$9,SUMPRODUCT(($D$9:$L$9+INT(($S$12:$AA$12+INDEX($AJ$13:$AR$162,BN3722,0)+INDEX($AT$13:$BB$162,BO3722,0)+INDEX($BD$13:$BL$162,BP3722,0))/100))),0)</f>
        <v/>
      </c>
      <c r="BT3722">
        <f>IF(AND(3709&lt;$U$9,$W$5),BQ3722*1000000-MIN(BR3722,999)*1000+BS3722-3709/100000,-1000000000-3709)</f>
        <v/>
      </c>
    </row>
    <row r="3723">
      <c r="BN3723">
        <f>IF(3710&lt;$U$9,INT(3710/($U$7*$U$8))+1,1)</f>
        <v/>
      </c>
      <c r="BO3723">
        <f>IF(3710&lt;$U$9,MOD(INT(3710/$U$8),$U$7)+1,1)</f>
        <v/>
      </c>
      <c r="BP3723">
        <f>IF(3710&lt;$U$9,MOD(3710,$U$8)+1,1)</f>
        <v/>
      </c>
      <c r="BQ3723">
        <f>IF(3710&lt;$U$9,SUMPRODUCT(($D$10:$L$10&lt;&gt;"")*(($D$9:$L$9+INT(($S$12:$AA$12+INDEX($AJ$13:$AR$162,BN3723,0)+INDEX($AT$13:$BB$162,BO3723,0)+INDEX($BD$13:$BL$162,BP3723,0))/100))&gt;=$D$10:$L$10)),0)</f>
        <v/>
      </c>
      <c r="BR3723">
        <f>IF(3710&lt;$U$9,SUMPRODUCT(($D$10:$L$10&lt;&gt;"")*(($D$10:$L$10-($D$9:$L$9+INT(($S$12:$AA$12+INDEX($AJ$13:$AR$162,BN3723,0)+INDEX($AT$13:$BB$162,BO3723,0)+INDEX($BD$13:$BL$162,BP3723,0))/100)))&gt;0)*($D$10:$L$10-($D$9:$L$9+INT(($S$12:$AA$12+INDEX($AJ$13:$AR$162,BN3723,0)+INDEX($AT$13:$BB$162,BO3723,0)+INDEX($BD$13:$BL$162,BP3723,0))/100)))),0)</f>
        <v/>
      </c>
      <c r="BS3723">
        <f>IF(3710&lt;$U$9,SUMPRODUCT(($D$9:$L$9+INT(($S$12:$AA$12+INDEX($AJ$13:$AR$162,BN3723,0)+INDEX($AT$13:$BB$162,BO3723,0)+INDEX($BD$13:$BL$162,BP3723,0))/100))),0)</f>
        <v/>
      </c>
      <c r="BT3723">
        <f>IF(AND(3710&lt;$U$9,$W$5),BQ3723*1000000-MIN(BR3723,999)*1000+BS3723-3710/100000,-1000000000-3710)</f>
        <v/>
      </c>
    </row>
    <row r="3724">
      <c r="BN3724">
        <f>IF(3711&lt;$U$9,INT(3711/($U$7*$U$8))+1,1)</f>
        <v/>
      </c>
      <c r="BO3724">
        <f>IF(3711&lt;$U$9,MOD(INT(3711/$U$8),$U$7)+1,1)</f>
        <v/>
      </c>
      <c r="BP3724">
        <f>IF(3711&lt;$U$9,MOD(3711,$U$8)+1,1)</f>
        <v/>
      </c>
      <c r="BQ3724">
        <f>IF(3711&lt;$U$9,SUMPRODUCT(($D$10:$L$10&lt;&gt;"")*(($D$9:$L$9+INT(($S$12:$AA$12+INDEX($AJ$13:$AR$162,BN3724,0)+INDEX($AT$13:$BB$162,BO3724,0)+INDEX($BD$13:$BL$162,BP3724,0))/100))&gt;=$D$10:$L$10)),0)</f>
        <v/>
      </c>
      <c r="BR3724">
        <f>IF(3711&lt;$U$9,SUMPRODUCT(($D$10:$L$10&lt;&gt;"")*(($D$10:$L$10-($D$9:$L$9+INT(($S$12:$AA$12+INDEX($AJ$13:$AR$162,BN3724,0)+INDEX($AT$13:$BB$162,BO3724,0)+INDEX($BD$13:$BL$162,BP3724,0))/100)))&gt;0)*($D$10:$L$10-($D$9:$L$9+INT(($S$12:$AA$12+INDEX($AJ$13:$AR$162,BN3724,0)+INDEX($AT$13:$BB$162,BO3724,0)+INDEX($BD$13:$BL$162,BP3724,0))/100)))),0)</f>
        <v/>
      </c>
      <c r="BS3724">
        <f>IF(3711&lt;$U$9,SUMPRODUCT(($D$9:$L$9+INT(($S$12:$AA$12+INDEX($AJ$13:$AR$162,BN3724,0)+INDEX($AT$13:$BB$162,BO3724,0)+INDEX($BD$13:$BL$162,BP3724,0))/100))),0)</f>
        <v/>
      </c>
      <c r="BT3724">
        <f>IF(AND(3711&lt;$U$9,$W$5),BQ3724*1000000-MIN(BR3724,999)*1000+BS3724-3711/100000,-1000000000-3711)</f>
        <v/>
      </c>
    </row>
    <row r="3725">
      <c r="BN3725">
        <f>IF(3712&lt;$U$9,INT(3712/($U$7*$U$8))+1,1)</f>
        <v/>
      </c>
      <c r="BO3725">
        <f>IF(3712&lt;$U$9,MOD(INT(3712/$U$8),$U$7)+1,1)</f>
        <v/>
      </c>
      <c r="BP3725">
        <f>IF(3712&lt;$U$9,MOD(3712,$U$8)+1,1)</f>
        <v/>
      </c>
      <c r="BQ3725">
        <f>IF(3712&lt;$U$9,SUMPRODUCT(($D$10:$L$10&lt;&gt;"")*(($D$9:$L$9+INT(($S$12:$AA$12+INDEX($AJ$13:$AR$162,BN3725,0)+INDEX($AT$13:$BB$162,BO3725,0)+INDEX($BD$13:$BL$162,BP3725,0))/100))&gt;=$D$10:$L$10)),0)</f>
        <v/>
      </c>
      <c r="BR3725">
        <f>IF(3712&lt;$U$9,SUMPRODUCT(($D$10:$L$10&lt;&gt;"")*(($D$10:$L$10-($D$9:$L$9+INT(($S$12:$AA$12+INDEX($AJ$13:$AR$162,BN3725,0)+INDEX($AT$13:$BB$162,BO3725,0)+INDEX($BD$13:$BL$162,BP3725,0))/100)))&gt;0)*($D$10:$L$10-($D$9:$L$9+INT(($S$12:$AA$12+INDEX($AJ$13:$AR$162,BN3725,0)+INDEX($AT$13:$BB$162,BO3725,0)+INDEX($BD$13:$BL$162,BP3725,0))/100)))),0)</f>
        <v/>
      </c>
      <c r="BS3725">
        <f>IF(3712&lt;$U$9,SUMPRODUCT(($D$9:$L$9+INT(($S$12:$AA$12+INDEX($AJ$13:$AR$162,BN3725,0)+INDEX($AT$13:$BB$162,BO3725,0)+INDEX($BD$13:$BL$162,BP3725,0))/100))),0)</f>
        <v/>
      </c>
      <c r="BT3725">
        <f>IF(AND(3712&lt;$U$9,$W$5),BQ3725*1000000-MIN(BR3725,999)*1000+BS3725-3712/100000,-1000000000-3712)</f>
        <v/>
      </c>
    </row>
    <row r="3726">
      <c r="BN3726">
        <f>IF(3713&lt;$U$9,INT(3713/($U$7*$U$8))+1,1)</f>
        <v/>
      </c>
      <c r="BO3726">
        <f>IF(3713&lt;$U$9,MOD(INT(3713/$U$8),$U$7)+1,1)</f>
        <v/>
      </c>
      <c r="BP3726">
        <f>IF(3713&lt;$U$9,MOD(3713,$U$8)+1,1)</f>
        <v/>
      </c>
      <c r="BQ3726">
        <f>IF(3713&lt;$U$9,SUMPRODUCT(($D$10:$L$10&lt;&gt;"")*(($D$9:$L$9+INT(($S$12:$AA$12+INDEX($AJ$13:$AR$162,BN3726,0)+INDEX($AT$13:$BB$162,BO3726,0)+INDEX($BD$13:$BL$162,BP3726,0))/100))&gt;=$D$10:$L$10)),0)</f>
        <v/>
      </c>
      <c r="BR3726">
        <f>IF(3713&lt;$U$9,SUMPRODUCT(($D$10:$L$10&lt;&gt;"")*(($D$10:$L$10-($D$9:$L$9+INT(($S$12:$AA$12+INDEX($AJ$13:$AR$162,BN3726,0)+INDEX($AT$13:$BB$162,BO3726,0)+INDEX($BD$13:$BL$162,BP3726,0))/100)))&gt;0)*($D$10:$L$10-($D$9:$L$9+INT(($S$12:$AA$12+INDEX($AJ$13:$AR$162,BN3726,0)+INDEX($AT$13:$BB$162,BO3726,0)+INDEX($BD$13:$BL$162,BP3726,0))/100)))),0)</f>
        <v/>
      </c>
      <c r="BS3726">
        <f>IF(3713&lt;$U$9,SUMPRODUCT(($D$9:$L$9+INT(($S$12:$AA$12+INDEX($AJ$13:$AR$162,BN3726,0)+INDEX($AT$13:$BB$162,BO3726,0)+INDEX($BD$13:$BL$162,BP3726,0))/100))),0)</f>
        <v/>
      </c>
      <c r="BT3726">
        <f>IF(AND(3713&lt;$U$9,$W$5),BQ3726*1000000-MIN(BR3726,999)*1000+BS3726-3713/100000,-1000000000-3713)</f>
        <v/>
      </c>
    </row>
    <row r="3727">
      <c r="BN3727">
        <f>IF(3714&lt;$U$9,INT(3714/($U$7*$U$8))+1,1)</f>
        <v/>
      </c>
      <c r="BO3727">
        <f>IF(3714&lt;$U$9,MOD(INT(3714/$U$8),$U$7)+1,1)</f>
        <v/>
      </c>
      <c r="BP3727">
        <f>IF(3714&lt;$U$9,MOD(3714,$U$8)+1,1)</f>
        <v/>
      </c>
      <c r="BQ3727">
        <f>IF(3714&lt;$U$9,SUMPRODUCT(($D$10:$L$10&lt;&gt;"")*(($D$9:$L$9+INT(($S$12:$AA$12+INDEX($AJ$13:$AR$162,BN3727,0)+INDEX($AT$13:$BB$162,BO3727,0)+INDEX($BD$13:$BL$162,BP3727,0))/100))&gt;=$D$10:$L$10)),0)</f>
        <v/>
      </c>
      <c r="BR3727">
        <f>IF(3714&lt;$U$9,SUMPRODUCT(($D$10:$L$10&lt;&gt;"")*(($D$10:$L$10-($D$9:$L$9+INT(($S$12:$AA$12+INDEX($AJ$13:$AR$162,BN3727,0)+INDEX($AT$13:$BB$162,BO3727,0)+INDEX($BD$13:$BL$162,BP3727,0))/100)))&gt;0)*($D$10:$L$10-($D$9:$L$9+INT(($S$12:$AA$12+INDEX($AJ$13:$AR$162,BN3727,0)+INDEX($AT$13:$BB$162,BO3727,0)+INDEX($BD$13:$BL$162,BP3727,0))/100)))),0)</f>
        <v/>
      </c>
      <c r="BS3727">
        <f>IF(3714&lt;$U$9,SUMPRODUCT(($D$9:$L$9+INT(($S$12:$AA$12+INDEX($AJ$13:$AR$162,BN3727,0)+INDEX($AT$13:$BB$162,BO3727,0)+INDEX($BD$13:$BL$162,BP3727,0))/100))),0)</f>
        <v/>
      </c>
      <c r="BT3727">
        <f>IF(AND(3714&lt;$U$9,$W$5),BQ3727*1000000-MIN(BR3727,999)*1000+BS3727-3714/100000,-1000000000-3714)</f>
        <v/>
      </c>
    </row>
    <row r="3728">
      <c r="BN3728">
        <f>IF(3715&lt;$U$9,INT(3715/($U$7*$U$8))+1,1)</f>
        <v/>
      </c>
      <c r="BO3728">
        <f>IF(3715&lt;$U$9,MOD(INT(3715/$U$8),$U$7)+1,1)</f>
        <v/>
      </c>
      <c r="BP3728">
        <f>IF(3715&lt;$U$9,MOD(3715,$U$8)+1,1)</f>
        <v/>
      </c>
      <c r="BQ3728">
        <f>IF(3715&lt;$U$9,SUMPRODUCT(($D$10:$L$10&lt;&gt;"")*(($D$9:$L$9+INT(($S$12:$AA$12+INDEX($AJ$13:$AR$162,BN3728,0)+INDEX($AT$13:$BB$162,BO3728,0)+INDEX($BD$13:$BL$162,BP3728,0))/100))&gt;=$D$10:$L$10)),0)</f>
        <v/>
      </c>
      <c r="BR3728">
        <f>IF(3715&lt;$U$9,SUMPRODUCT(($D$10:$L$10&lt;&gt;"")*(($D$10:$L$10-($D$9:$L$9+INT(($S$12:$AA$12+INDEX($AJ$13:$AR$162,BN3728,0)+INDEX($AT$13:$BB$162,BO3728,0)+INDEX($BD$13:$BL$162,BP3728,0))/100)))&gt;0)*($D$10:$L$10-($D$9:$L$9+INT(($S$12:$AA$12+INDEX($AJ$13:$AR$162,BN3728,0)+INDEX($AT$13:$BB$162,BO3728,0)+INDEX($BD$13:$BL$162,BP3728,0))/100)))),0)</f>
        <v/>
      </c>
      <c r="BS3728">
        <f>IF(3715&lt;$U$9,SUMPRODUCT(($D$9:$L$9+INT(($S$12:$AA$12+INDEX($AJ$13:$AR$162,BN3728,0)+INDEX($AT$13:$BB$162,BO3728,0)+INDEX($BD$13:$BL$162,BP3728,0))/100))),0)</f>
        <v/>
      </c>
      <c r="BT3728">
        <f>IF(AND(3715&lt;$U$9,$W$5),BQ3728*1000000-MIN(BR3728,999)*1000+BS3728-3715/100000,-1000000000-3715)</f>
        <v/>
      </c>
    </row>
    <row r="3729">
      <c r="BN3729">
        <f>IF(3716&lt;$U$9,INT(3716/($U$7*$U$8))+1,1)</f>
        <v/>
      </c>
      <c r="BO3729">
        <f>IF(3716&lt;$U$9,MOD(INT(3716/$U$8),$U$7)+1,1)</f>
        <v/>
      </c>
      <c r="BP3729">
        <f>IF(3716&lt;$U$9,MOD(3716,$U$8)+1,1)</f>
        <v/>
      </c>
      <c r="BQ3729">
        <f>IF(3716&lt;$U$9,SUMPRODUCT(($D$10:$L$10&lt;&gt;"")*(($D$9:$L$9+INT(($S$12:$AA$12+INDEX($AJ$13:$AR$162,BN3729,0)+INDEX($AT$13:$BB$162,BO3729,0)+INDEX($BD$13:$BL$162,BP3729,0))/100))&gt;=$D$10:$L$10)),0)</f>
        <v/>
      </c>
      <c r="BR3729">
        <f>IF(3716&lt;$U$9,SUMPRODUCT(($D$10:$L$10&lt;&gt;"")*(($D$10:$L$10-($D$9:$L$9+INT(($S$12:$AA$12+INDEX($AJ$13:$AR$162,BN3729,0)+INDEX($AT$13:$BB$162,BO3729,0)+INDEX($BD$13:$BL$162,BP3729,0))/100)))&gt;0)*($D$10:$L$10-($D$9:$L$9+INT(($S$12:$AA$12+INDEX($AJ$13:$AR$162,BN3729,0)+INDEX($AT$13:$BB$162,BO3729,0)+INDEX($BD$13:$BL$162,BP3729,0))/100)))),0)</f>
        <v/>
      </c>
      <c r="BS3729">
        <f>IF(3716&lt;$U$9,SUMPRODUCT(($D$9:$L$9+INT(($S$12:$AA$12+INDEX($AJ$13:$AR$162,BN3729,0)+INDEX($AT$13:$BB$162,BO3729,0)+INDEX($BD$13:$BL$162,BP3729,0))/100))),0)</f>
        <v/>
      </c>
      <c r="BT3729">
        <f>IF(AND(3716&lt;$U$9,$W$5),BQ3729*1000000-MIN(BR3729,999)*1000+BS3729-3716/100000,-1000000000-3716)</f>
        <v/>
      </c>
    </row>
    <row r="3730">
      <c r="BN3730">
        <f>IF(3717&lt;$U$9,INT(3717/($U$7*$U$8))+1,1)</f>
        <v/>
      </c>
      <c r="BO3730">
        <f>IF(3717&lt;$U$9,MOD(INT(3717/$U$8),$U$7)+1,1)</f>
        <v/>
      </c>
      <c r="BP3730">
        <f>IF(3717&lt;$U$9,MOD(3717,$U$8)+1,1)</f>
        <v/>
      </c>
      <c r="BQ3730">
        <f>IF(3717&lt;$U$9,SUMPRODUCT(($D$10:$L$10&lt;&gt;"")*(($D$9:$L$9+INT(($S$12:$AA$12+INDEX($AJ$13:$AR$162,BN3730,0)+INDEX($AT$13:$BB$162,BO3730,0)+INDEX($BD$13:$BL$162,BP3730,0))/100))&gt;=$D$10:$L$10)),0)</f>
        <v/>
      </c>
      <c r="BR3730">
        <f>IF(3717&lt;$U$9,SUMPRODUCT(($D$10:$L$10&lt;&gt;"")*(($D$10:$L$10-($D$9:$L$9+INT(($S$12:$AA$12+INDEX($AJ$13:$AR$162,BN3730,0)+INDEX($AT$13:$BB$162,BO3730,0)+INDEX($BD$13:$BL$162,BP3730,0))/100)))&gt;0)*($D$10:$L$10-($D$9:$L$9+INT(($S$12:$AA$12+INDEX($AJ$13:$AR$162,BN3730,0)+INDEX($AT$13:$BB$162,BO3730,0)+INDEX($BD$13:$BL$162,BP3730,0))/100)))),0)</f>
        <v/>
      </c>
      <c r="BS3730">
        <f>IF(3717&lt;$U$9,SUMPRODUCT(($D$9:$L$9+INT(($S$12:$AA$12+INDEX($AJ$13:$AR$162,BN3730,0)+INDEX($AT$13:$BB$162,BO3730,0)+INDEX($BD$13:$BL$162,BP3730,0))/100))),0)</f>
        <v/>
      </c>
      <c r="BT3730">
        <f>IF(AND(3717&lt;$U$9,$W$5),BQ3730*1000000-MIN(BR3730,999)*1000+BS3730-3717/100000,-1000000000-3717)</f>
        <v/>
      </c>
    </row>
    <row r="3731">
      <c r="BN3731">
        <f>IF(3718&lt;$U$9,INT(3718/($U$7*$U$8))+1,1)</f>
        <v/>
      </c>
      <c r="BO3731">
        <f>IF(3718&lt;$U$9,MOD(INT(3718/$U$8),$U$7)+1,1)</f>
        <v/>
      </c>
      <c r="BP3731">
        <f>IF(3718&lt;$U$9,MOD(3718,$U$8)+1,1)</f>
        <v/>
      </c>
      <c r="BQ3731">
        <f>IF(3718&lt;$U$9,SUMPRODUCT(($D$10:$L$10&lt;&gt;"")*(($D$9:$L$9+INT(($S$12:$AA$12+INDEX($AJ$13:$AR$162,BN3731,0)+INDEX($AT$13:$BB$162,BO3731,0)+INDEX($BD$13:$BL$162,BP3731,0))/100))&gt;=$D$10:$L$10)),0)</f>
        <v/>
      </c>
      <c r="BR3731">
        <f>IF(3718&lt;$U$9,SUMPRODUCT(($D$10:$L$10&lt;&gt;"")*(($D$10:$L$10-($D$9:$L$9+INT(($S$12:$AA$12+INDEX($AJ$13:$AR$162,BN3731,0)+INDEX($AT$13:$BB$162,BO3731,0)+INDEX($BD$13:$BL$162,BP3731,0))/100)))&gt;0)*($D$10:$L$10-($D$9:$L$9+INT(($S$12:$AA$12+INDEX($AJ$13:$AR$162,BN3731,0)+INDEX($AT$13:$BB$162,BO3731,0)+INDEX($BD$13:$BL$162,BP3731,0))/100)))),0)</f>
        <v/>
      </c>
      <c r="BS3731">
        <f>IF(3718&lt;$U$9,SUMPRODUCT(($D$9:$L$9+INT(($S$12:$AA$12+INDEX($AJ$13:$AR$162,BN3731,0)+INDEX($AT$13:$BB$162,BO3731,0)+INDEX($BD$13:$BL$162,BP3731,0))/100))),0)</f>
        <v/>
      </c>
      <c r="BT3731">
        <f>IF(AND(3718&lt;$U$9,$W$5),BQ3731*1000000-MIN(BR3731,999)*1000+BS3731-3718/100000,-1000000000-3718)</f>
        <v/>
      </c>
    </row>
    <row r="3732">
      <c r="BN3732">
        <f>IF(3719&lt;$U$9,INT(3719/($U$7*$U$8))+1,1)</f>
        <v/>
      </c>
      <c r="BO3732">
        <f>IF(3719&lt;$U$9,MOD(INT(3719/$U$8),$U$7)+1,1)</f>
        <v/>
      </c>
      <c r="BP3732">
        <f>IF(3719&lt;$U$9,MOD(3719,$U$8)+1,1)</f>
        <v/>
      </c>
      <c r="BQ3732">
        <f>IF(3719&lt;$U$9,SUMPRODUCT(($D$10:$L$10&lt;&gt;"")*(($D$9:$L$9+INT(($S$12:$AA$12+INDEX($AJ$13:$AR$162,BN3732,0)+INDEX($AT$13:$BB$162,BO3732,0)+INDEX($BD$13:$BL$162,BP3732,0))/100))&gt;=$D$10:$L$10)),0)</f>
        <v/>
      </c>
      <c r="BR3732">
        <f>IF(3719&lt;$U$9,SUMPRODUCT(($D$10:$L$10&lt;&gt;"")*(($D$10:$L$10-($D$9:$L$9+INT(($S$12:$AA$12+INDEX($AJ$13:$AR$162,BN3732,0)+INDEX($AT$13:$BB$162,BO3732,0)+INDEX($BD$13:$BL$162,BP3732,0))/100)))&gt;0)*($D$10:$L$10-($D$9:$L$9+INT(($S$12:$AA$12+INDEX($AJ$13:$AR$162,BN3732,0)+INDEX($AT$13:$BB$162,BO3732,0)+INDEX($BD$13:$BL$162,BP3732,0))/100)))),0)</f>
        <v/>
      </c>
      <c r="BS3732">
        <f>IF(3719&lt;$U$9,SUMPRODUCT(($D$9:$L$9+INT(($S$12:$AA$12+INDEX($AJ$13:$AR$162,BN3732,0)+INDEX($AT$13:$BB$162,BO3732,0)+INDEX($BD$13:$BL$162,BP3732,0))/100))),0)</f>
        <v/>
      </c>
      <c r="BT3732">
        <f>IF(AND(3719&lt;$U$9,$W$5),BQ3732*1000000-MIN(BR3732,999)*1000+BS3732-3719/100000,-1000000000-3719)</f>
        <v/>
      </c>
    </row>
    <row r="3733">
      <c r="BN3733">
        <f>IF(3720&lt;$U$9,INT(3720/($U$7*$U$8))+1,1)</f>
        <v/>
      </c>
      <c r="BO3733">
        <f>IF(3720&lt;$U$9,MOD(INT(3720/$U$8),$U$7)+1,1)</f>
        <v/>
      </c>
      <c r="BP3733">
        <f>IF(3720&lt;$U$9,MOD(3720,$U$8)+1,1)</f>
        <v/>
      </c>
      <c r="BQ3733">
        <f>IF(3720&lt;$U$9,SUMPRODUCT(($D$10:$L$10&lt;&gt;"")*(($D$9:$L$9+INT(($S$12:$AA$12+INDEX($AJ$13:$AR$162,BN3733,0)+INDEX($AT$13:$BB$162,BO3733,0)+INDEX($BD$13:$BL$162,BP3733,0))/100))&gt;=$D$10:$L$10)),0)</f>
        <v/>
      </c>
      <c r="BR3733">
        <f>IF(3720&lt;$U$9,SUMPRODUCT(($D$10:$L$10&lt;&gt;"")*(($D$10:$L$10-($D$9:$L$9+INT(($S$12:$AA$12+INDEX($AJ$13:$AR$162,BN3733,0)+INDEX($AT$13:$BB$162,BO3733,0)+INDEX($BD$13:$BL$162,BP3733,0))/100)))&gt;0)*($D$10:$L$10-($D$9:$L$9+INT(($S$12:$AA$12+INDEX($AJ$13:$AR$162,BN3733,0)+INDEX($AT$13:$BB$162,BO3733,0)+INDEX($BD$13:$BL$162,BP3733,0))/100)))),0)</f>
        <v/>
      </c>
      <c r="BS3733">
        <f>IF(3720&lt;$U$9,SUMPRODUCT(($D$9:$L$9+INT(($S$12:$AA$12+INDEX($AJ$13:$AR$162,BN3733,0)+INDEX($AT$13:$BB$162,BO3733,0)+INDEX($BD$13:$BL$162,BP3733,0))/100))),0)</f>
        <v/>
      </c>
      <c r="BT3733">
        <f>IF(AND(3720&lt;$U$9,$W$5),BQ3733*1000000-MIN(BR3733,999)*1000+BS3733-3720/100000,-1000000000-3720)</f>
        <v/>
      </c>
    </row>
    <row r="3734">
      <c r="BN3734">
        <f>IF(3721&lt;$U$9,INT(3721/($U$7*$U$8))+1,1)</f>
        <v/>
      </c>
      <c r="BO3734">
        <f>IF(3721&lt;$U$9,MOD(INT(3721/$U$8),$U$7)+1,1)</f>
        <v/>
      </c>
      <c r="BP3734">
        <f>IF(3721&lt;$U$9,MOD(3721,$U$8)+1,1)</f>
        <v/>
      </c>
      <c r="BQ3734">
        <f>IF(3721&lt;$U$9,SUMPRODUCT(($D$10:$L$10&lt;&gt;"")*(($D$9:$L$9+INT(($S$12:$AA$12+INDEX($AJ$13:$AR$162,BN3734,0)+INDEX($AT$13:$BB$162,BO3734,0)+INDEX($BD$13:$BL$162,BP3734,0))/100))&gt;=$D$10:$L$10)),0)</f>
        <v/>
      </c>
      <c r="BR3734">
        <f>IF(3721&lt;$U$9,SUMPRODUCT(($D$10:$L$10&lt;&gt;"")*(($D$10:$L$10-($D$9:$L$9+INT(($S$12:$AA$12+INDEX($AJ$13:$AR$162,BN3734,0)+INDEX($AT$13:$BB$162,BO3734,0)+INDEX($BD$13:$BL$162,BP3734,0))/100)))&gt;0)*($D$10:$L$10-($D$9:$L$9+INT(($S$12:$AA$12+INDEX($AJ$13:$AR$162,BN3734,0)+INDEX($AT$13:$BB$162,BO3734,0)+INDEX($BD$13:$BL$162,BP3734,0))/100)))),0)</f>
        <v/>
      </c>
      <c r="BS3734">
        <f>IF(3721&lt;$U$9,SUMPRODUCT(($D$9:$L$9+INT(($S$12:$AA$12+INDEX($AJ$13:$AR$162,BN3734,0)+INDEX($AT$13:$BB$162,BO3734,0)+INDEX($BD$13:$BL$162,BP3734,0))/100))),0)</f>
        <v/>
      </c>
      <c r="BT3734">
        <f>IF(AND(3721&lt;$U$9,$W$5),BQ3734*1000000-MIN(BR3734,999)*1000+BS3734-3721/100000,-1000000000-3721)</f>
        <v/>
      </c>
    </row>
    <row r="3735">
      <c r="BN3735">
        <f>IF(3722&lt;$U$9,INT(3722/($U$7*$U$8))+1,1)</f>
        <v/>
      </c>
      <c r="BO3735">
        <f>IF(3722&lt;$U$9,MOD(INT(3722/$U$8),$U$7)+1,1)</f>
        <v/>
      </c>
      <c r="BP3735">
        <f>IF(3722&lt;$U$9,MOD(3722,$U$8)+1,1)</f>
        <v/>
      </c>
      <c r="BQ3735">
        <f>IF(3722&lt;$U$9,SUMPRODUCT(($D$10:$L$10&lt;&gt;"")*(($D$9:$L$9+INT(($S$12:$AA$12+INDEX($AJ$13:$AR$162,BN3735,0)+INDEX($AT$13:$BB$162,BO3735,0)+INDEX($BD$13:$BL$162,BP3735,0))/100))&gt;=$D$10:$L$10)),0)</f>
        <v/>
      </c>
      <c r="BR3735">
        <f>IF(3722&lt;$U$9,SUMPRODUCT(($D$10:$L$10&lt;&gt;"")*(($D$10:$L$10-($D$9:$L$9+INT(($S$12:$AA$12+INDEX($AJ$13:$AR$162,BN3735,0)+INDEX($AT$13:$BB$162,BO3735,0)+INDEX($BD$13:$BL$162,BP3735,0))/100)))&gt;0)*($D$10:$L$10-($D$9:$L$9+INT(($S$12:$AA$12+INDEX($AJ$13:$AR$162,BN3735,0)+INDEX($AT$13:$BB$162,BO3735,0)+INDEX($BD$13:$BL$162,BP3735,0))/100)))),0)</f>
        <v/>
      </c>
      <c r="BS3735">
        <f>IF(3722&lt;$U$9,SUMPRODUCT(($D$9:$L$9+INT(($S$12:$AA$12+INDEX($AJ$13:$AR$162,BN3735,0)+INDEX($AT$13:$BB$162,BO3735,0)+INDEX($BD$13:$BL$162,BP3735,0))/100))),0)</f>
        <v/>
      </c>
      <c r="BT3735">
        <f>IF(AND(3722&lt;$U$9,$W$5),BQ3735*1000000-MIN(BR3735,999)*1000+BS3735-3722/100000,-1000000000-3722)</f>
        <v/>
      </c>
    </row>
    <row r="3736">
      <c r="BN3736">
        <f>IF(3723&lt;$U$9,INT(3723/($U$7*$U$8))+1,1)</f>
        <v/>
      </c>
      <c r="BO3736">
        <f>IF(3723&lt;$U$9,MOD(INT(3723/$U$8),$U$7)+1,1)</f>
        <v/>
      </c>
      <c r="BP3736">
        <f>IF(3723&lt;$U$9,MOD(3723,$U$8)+1,1)</f>
        <v/>
      </c>
      <c r="BQ3736">
        <f>IF(3723&lt;$U$9,SUMPRODUCT(($D$10:$L$10&lt;&gt;"")*(($D$9:$L$9+INT(($S$12:$AA$12+INDEX($AJ$13:$AR$162,BN3736,0)+INDEX($AT$13:$BB$162,BO3736,0)+INDEX($BD$13:$BL$162,BP3736,0))/100))&gt;=$D$10:$L$10)),0)</f>
        <v/>
      </c>
      <c r="BR3736">
        <f>IF(3723&lt;$U$9,SUMPRODUCT(($D$10:$L$10&lt;&gt;"")*(($D$10:$L$10-($D$9:$L$9+INT(($S$12:$AA$12+INDEX($AJ$13:$AR$162,BN3736,0)+INDEX($AT$13:$BB$162,BO3736,0)+INDEX($BD$13:$BL$162,BP3736,0))/100)))&gt;0)*($D$10:$L$10-($D$9:$L$9+INT(($S$12:$AA$12+INDEX($AJ$13:$AR$162,BN3736,0)+INDEX($AT$13:$BB$162,BO3736,0)+INDEX($BD$13:$BL$162,BP3736,0))/100)))),0)</f>
        <v/>
      </c>
      <c r="BS3736">
        <f>IF(3723&lt;$U$9,SUMPRODUCT(($D$9:$L$9+INT(($S$12:$AA$12+INDEX($AJ$13:$AR$162,BN3736,0)+INDEX($AT$13:$BB$162,BO3736,0)+INDEX($BD$13:$BL$162,BP3736,0))/100))),0)</f>
        <v/>
      </c>
      <c r="BT3736">
        <f>IF(AND(3723&lt;$U$9,$W$5),BQ3736*1000000-MIN(BR3736,999)*1000+BS3736-3723/100000,-1000000000-3723)</f>
        <v/>
      </c>
    </row>
    <row r="3737">
      <c r="BN3737">
        <f>IF(3724&lt;$U$9,INT(3724/($U$7*$U$8))+1,1)</f>
        <v/>
      </c>
      <c r="BO3737">
        <f>IF(3724&lt;$U$9,MOD(INT(3724/$U$8),$U$7)+1,1)</f>
        <v/>
      </c>
      <c r="BP3737">
        <f>IF(3724&lt;$U$9,MOD(3724,$U$8)+1,1)</f>
        <v/>
      </c>
      <c r="BQ3737">
        <f>IF(3724&lt;$U$9,SUMPRODUCT(($D$10:$L$10&lt;&gt;"")*(($D$9:$L$9+INT(($S$12:$AA$12+INDEX($AJ$13:$AR$162,BN3737,0)+INDEX($AT$13:$BB$162,BO3737,0)+INDEX($BD$13:$BL$162,BP3737,0))/100))&gt;=$D$10:$L$10)),0)</f>
        <v/>
      </c>
      <c r="BR3737">
        <f>IF(3724&lt;$U$9,SUMPRODUCT(($D$10:$L$10&lt;&gt;"")*(($D$10:$L$10-($D$9:$L$9+INT(($S$12:$AA$12+INDEX($AJ$13:$AR$162,BN3737,0)+INDEX($AT$13:$BB$162,BO3737,0)+INDEX($BD$13:$BL$162,BP3737,0))/100)))&gt;0)*($D$10:$L$10-($D$9:$L$9+INT(($S$12:$AA$12+INDEX($AJ$13:$AR$162,BN3737,0)+INDEX($AT$13:$BB$162,BO3737,0)+INDEX($BD$13:$BL$162,BP3737,0))/100)))),0)</f>
        <v/>
      </c>
      <c r="BS3737">
        <f>IF(3724&lt;$U$9,SUMPRODUCT(($D$9:$L$9+INT(($S$12:$AA$12+INDEX($AJ$13:$AR$162,BN3737,0)+INDEX($AT$13:$BB$162,BO3737,0)+INDEX($BD$13:$BL$162,BP3737,0))/100))),0)</f>
        <v/>
      </c>
      <c r="BT3737">
        <f>IF(AND(3724&lt;$U$9,$W$5),BQ3737*1000000-MIN(BR3737,999)*1000+BS3737-3724/100000,-1000000000-3724)</f>
        <v/>
      </c>
    </row>
    <row r="3738">
      <c r="BN3738">
        <f>IF(3725&lt;$U$9,INT(3725/($U$7*$U$8))+1,1)</f>
        <v/>
      </c>
      <c r="BO3738">
        <f>IF(3725&lt;$U$9,MOD(INT(3725/$U$8),$U$7)+1,1)</f>
        <v/>
      </c>
      <c r="BP3738">
        <f>IF(3725&lt;$U$9,MOD(3725,$U$8)+1,1)</f>
        <v/>
      </c>
      <c r="BQ3738">
        <f>IF(3725&lt;$U$9,SUMPRODUCT(($D$10:$L$10&lt;&gt;"")*(($D$9:$L$9+INT(($S$12:$AA$12+INDEX($AJ$13:$AR$162,BN3738,0)+INDEX($AT$13:$BB$162,BO3738,0)+INDEX($BD$13:$BL$162,BP3738,0))/100))&gt;=$D$10:$L$10)),0)</f>
        <v/>
      </c>
      <c r="BR3738">
        <f>IF(3725&lt;$U$9,SUMPRODUCT(($D$10:$L$10&lt;&gt;"")*(($D$10:$L$10-($D$9:$L$9+INT(($S$12:$AA$12+INDEX($AJ$13:$AR$162,BN3738,0)+INDEX($AT$13:$BB$162,BO3738,0)+INDEX($BD$13:$BL$162,BP3738,0))/100)))&gt;0)*($D$10:$L$10-($D$9:$L$9+INT(($S$12:$AA$12+INDEX($AJ$13:$AR$162,BN3738,0)+INDEX($AT$13:$BB$162,BO3738,0)+INDEX($BD$13:$BL$162,BP3738,0))/100)))),0)</f>
        <v/>
      </c>
      <c r="BS3738">
        <f>IF(3725&lt;$U$9,SUMPRODUCT(($D$9:$L$9+INT(($S$12:$AA$12+INDEX($AJ$13:$AR$162,BN3738,0)+INDEX($AT$13:$BB$162,BO3738,0)+INDEX($BD$13:$BL$162,BP3738,0))/100))),0)</f>
        <v/>
      </c>
      <c r="BT3738">
        <f>IF(AND(3725&lt;$U$9,$W$5),BQ3738*1000000-MIN(BR3738,999)*1000+BS3738-3725/100000,-1000000000-3725)</f>
        <v/>
      </c>
    </row>
    <row r="3739">
      <c r="BN3739">
        <f>IF(3726&lt;$U$9,INT(3726/($U$7*$U$8))+1,1)</f>
        <v/>
      </c>
      <c r="BO3739">
        <f>IF(3726&lt;$U$9,MOD(INT(3726/$U$8),$U$7)+1,1)</f>
        <v/>
      </c>
      <c r="BP3739">
        <f>IF(3726&lt;$U$9,MOD(3726,$U$8)+1,1)</f>
        <v/>
      </c>
      <c r="BQ3739">
        <f>IF(3726&lt;$U$9,SUMPRODUCT(($D$10:$L$10&lt;&gt;"")*(($D$9:$L$9+INT(($S$12:$AA$12+INDEX($AJ$13:$AR$162,BN3739,0)+INDEX($AT$13:$BB$162,BO3739,0)+INDEX($BD$13:$BL$162,BP3739,0))/100))&gt;=$D$10:$L$10)),0)</f>
        <v/>
      </c>
      <c r="BR3739">
        <f>IF(3726&lt;$U$9,SUMPRODUCT(($D$10:$L$10&lt;&gt;"")*(($D$10:$L$10-($D$9:$L$9+INT(($S$12:$AA$12+INDEX($AJ$13:$AR$162,BN3739,0)+INDEX($AT$13:$BB$162,BO3739,0)+INDEX($BD$13:$BL$162,BP3739,0))/100)))&gt;0)*($D$10:$L$10-($D$9:$L$9+INT(($S$12:$AA$12+INDEX($AJ$13:$AR$162,BN3739,0)+INDEX($AT$13:$BB$162,BO3739,0)+INDEX($BD$13:$BL$162,BP3739,0))/100)))),0)</f>
        <v/>
      </c>
      <c r="BS3739">
        <f>IF(3726&lt;$U$9,SUMPRODUCT(($D$9:$L$9+INT(($S$12:$AA$12+INDEX($AJ$13:$AR$162,BN3739,0)+INDEX($AT$13:$BB$162,BO3739,0)+INDEX($BD$13:$BL$162,BP3739,0))/100))),0)</f>
        <v/>
      </c>
      <c r="BT3739">
        <f>IF(AND(3726&lt;$U$9,$W$5),BQ3739*1000000-MIN(BR3739,999)*1000+BS3739-3726/100000,-1000000000-3726)</f>
        <v/>
      </c>
    </row>
    <row r="3740">
      <c r="BN3740">
        <f>IF(3727&lt;$U$9,INT(3727/($U$7*$U$8))+1,1)</f>
        <v/>
      </c>
      <c r="BO3740">
        <f>IF(3727&lt;$U$9,MOD(INT(3727/$U$8),$U$7)+1,1)</f>
        <v/>
      </c>
      <c r="BP3740">
        <f>IF(3727&lt;$U$9,MOD(3727,$U$8)+1,1)</f>
        <v/>
      </c>
      <c r="BQ3740">
        <f>IF(3727&lt;$U$9,SUMPRODUCT(($D$10:$L$10&lt;&gt;"")*(($D$9:$L$9+INT(($S$12:$AA$12+INDEX($AJ$13:$AR$162,BN3740,0)+INDEX($AT$13:$BB$162,BO3740,0)+INDEX($BD$13:$BL$162,BP3740,0))/100))&gt;=$D$10:$L$10)),0)</f>
        <v/>
      </c>
      <c r="BR3740">
        <f>IF(3727&lt;$U$9,SUMPRODUCT(($D$10:$L$10&lt;&gt;"")*(($D$10:$L$10-($D$9:$L$9+INT(($S$12:$AA$12+INDEX($AJ$13:$AR$162,BN3740,0)+INDEX($AT$13:$BB$162,BO3740,0)+INDEX($BD$13:$BL$162,BP3740,0))/100)))&gt;0)*($D$10:$L$10-($D$9:$L$9+INT(($S$12:$AA$12+INDEX($AJ$13:$AR$162,BN3740,0)+INDEX($AT$13:$BB$162,BO3740,0)+INDEX($BD$13:$BL$162,BP3740,0))/100)))),0)</f>
        <v/>
      </c>
      <c r="BS3740">
        <f>IF(3727&lt;$U$9,SUMPRODUCT(($D$9:$L$9+INT(($S$12:$AA$12+INDEX($AJ$13:$AR$162,BN3740,0)+INDEX($AT$13:$BB$162,BO3740,0)+INDEX($BD$13:$BL$162,BP3740,0))/100))),0)</f>
        <v/>
      </c>
      <c r="BT3740">
        <f>IF(AND(3727&lt;$U$9,$W$5),BQ3740*1000000-MIN(BR3740,999)*1000+BS3740-3727/100000,-1000000000-3727)</f>
        <v/>
      </c>
    </row>
    <row r="3741">
      <c r="BN3741">
        <f>IF(3728&lt;$U$9,INT(3728/($U$7*$U$8))+1,1)</f>
        <v/>
      </c>
      <c r="BO3741">
        <f>IF(3728&lt;$U$9,MOD(INT(3728/$U$8),$U$7)+1,1)</f>
        <v/>
      </c>
      <c r="BP3741">
        <f>IF(3728&lt;$U$9,MOD(3728,$U$8)+1,1)</f>
        <v/>
      </c>
      <c r="BQ3741">
        <f>IF(3728&lt;$U$9,SUMPRODUCT(($D$10:$L$10&lt;&gt;"")*(($D$9:$L$9+INT(($S$12:$AA$12+INDEX($AJ$13:$AR$162,BN3741,0)+INDEX($AT$13:$BB$162,BO3741,0)+INDEX($BD$13:$BL$162,BP3741,0))/100))&gt;=$D$10:$L$10)),0)</f>
        <v/>
      </c>
      <c r="BR3741">
        <f>IF(3728&lt;$U$9,SUMPRODUCT(($D$10:$L$10&lt;&gt;"")*(($D$10:$L$10-($D$9:$L$9+INT(($S$12:$AA$12+INDEX($AJ$13:$AR$162,BN3741,0)+INDEX($AT$13:$BB$162,BO3741,0)+INDEX($BD$13:$BL$162,BP3741,0))/100)))&gt;0)*($D$10:$L$10-($D$9:$L$9+INT(($S$12:$AA$12+INDEX($AJ$13:$AR$162,BN3741,0)+INDEX($AT$13:$BB$162,BO3741,0)+INDEX($BD$13:$BL$162,BP3741,0))/100)))),0)</f>
        <v/>
      </c>
      <c r="BS3741">
        <f>IF(3728&lt;$U$9,SUMPRODUCT(($D$9:$L$9+INT(($S$12:$AA$12+INDEX($AJ$13:$AR$162,BN3741,0)+INDEX($AT$13:$BB$162,BO3741,0)+INDEX($BD$13:$BL$162,BP3741,0))/100))),0)</f>
        <v/>
      </c>
      <c r="BT3741">
        <f>IF(AND(3728&lt;$U$9,$W$5),BQ3741*1000000-MIN(BR3741,999)*1000+BS3741-3728/100000,-1000000000-3728)</f>
        <v/>
      </c>
    </row>
    <row r="3742">
      <c r="BN3742">
        <f>IF(3729&lt;$U$9,INT(3729/($U$7*$U$8))+1,1)</f>
        <v/>
      </c>
      <c r="BO3742">
        <f>IF(3729&lt;$U$9,MOD(INT(3729/$U$8),$U$7)+1,1)</f>
        <v/>
      </c>
      <c r="BP3742">
        <f>IF(3729&lt;$U$9,MOD(3729,$U$8)+1,1)</f>
        <v/>
      </c>
      <c r="BQ3742">
        <f>IF(3729&lt;$U$9,SUMPRODUCT(($D$10:$L$10&lt;&gt;"")*(($D$9:$L$9+INT(($S$12:$AA$12+INDEX($AJ$13:$AR$162,BN3742,0)+INDEX($AT$13:$BB$162,BO3742,0)+INDEX($BD$13:$BL$162,BP3742,0))/100))&gt;=$D$10:$L$10)),0)</f>
        <v/>
      </c>
      <c r="BR3742">
        <f>IF(3729&lt;$U$9,SUMPRODUCT(($D$10:$L$10&lt;&gt;"")*(($D$10:$L$10-($D$9:$L$9+INT(($S$12:$AA$12+INDEX($AJ$13:$AR$162,BN3742,0)+INDEX($AT$13:$BB$162,BO3742,0)+INDEX($BD$13:$BL$162,BP3742,0))/100)))&gt;0)*($D$10:$L$10-($D$9:$L$9+INT(($S$12:$AA$12+INDEX($AJ$13:$AR$162,BN3742,0)+INDEX($AT$13:$BB$162,BO3742,0)+INDEX($BD$13:$BL$162,BP3742,0))/100)))),0)</f>
        <v/>
      </c>
      <c r="BS3742">
        <f>IF(3729&lt;$U$9,SUMPRODUCT(($D$9:$L$9+INT(($S$12:$AA$12+INDEX($AJ$13:$AR$162,BN3742,0)+INDEX($AT$13:$BB$162,BO3742,0)+INDEX($BD$13:$BL$162,BP3742,0))/100))),0)</f>
        <v/>
      </c>
      <c r="BT3742">
        <f>IF(AND(3729&lt;$U$9,$W$5),BQ3742*1000000-MIN(BR3742,999)*1000+BS3742-3729/100000,-1000000000-3729)</f>
        <v/>
      </c>
    </row>
    <row r="3743">
      <c r="BN3743">
        <f>IF(3730&lt;$U$9,INT(3730/($U$7*$U$8))+1,1)</f>
        <v/>
      </c>
      <c r="BO3743">
        <f>IF(3730&lt;$U$9,MOD(INT(3730/$U$8),$U$7)+1,1)</f>
        <v/>
      </c>
      <c r="BP3743">
        <f>IF(3730&lt;$U$9,MOD(3730,$U$8)+1,1)</f>
        <v/>
      </c>
      <c r="BQ3743">
        <f>IF(3730&lt;$U$9,SUMPRODUCT(($D$10:$L$10&lt;&gt;"")*(($D$9:$L$9+INT(($S$12:$AA$12+INDEX($AJ$13:$AR$162,BN3743,0)+INDEX($AT$13:$BB$162,BO3743,0)+INDEX($BD$13:$BL$162,BP3743,0))/100))&gt;=$D$10:$L$10)),0)</f>
        <v/>
      </c>
      <c r="BR3743">
        <f>IF(3730&lt;$U$9,SUMPRODUCT(($D$10:$L$10&lt;&gt;"")*(($D$10:$L$10-($D$9:$L$9+INT(($S$12:$AA$12+INDEX($AJ$13:$AR$162,BN3743,0)+INDEX($AT$13:$BB$162,BO3743,0)+INDEX($BD$13:$BL$162,BP3743,0))/100)))&gt;0)*($D$10:$L$10-($D$9:$L$9+INT(($S$12:$AA$12+INDEX($AJ$13:$AR$162,BN3743,0)+INDEX($AT$13:$BB$162,BO3743,0)+INDEX($BD$13:$BL$162,BP3743,0))/100)))),0)</f>
        <v/>
      </c>
      <c r="BS3743">
        <f>IF(3730&lt;$U$9,SUMPRODUCT(($D$9:$L$9+INT(($S$12:$AA$12+INDEX($AJ$13:$AR$162,BN3743,0)+INDEX($AT$13:$BB$162,BO3743,0)+INDEX($BD$13:$BL$162,BP3743,0))/100))),0)</f>
        <v/>
      </c>
      <c r="BT3743">
        <f>IF(AND(3730&lt;$U$9,$W$5),BQ3743*1000000-MIN(BR3743,999)*1000+BS3743-3730/100000,-1000000000-3730)</f>
        <v/>
      </c>
    </row>
    <row r="3744">
      <c r="BN3744">
        <f>IF(3731&lt;$U$9,INT(3731/($U$7*$U$8))+1,1)</f>
        <v/>
      </c>
      <c r="BO3744">
        <f>IF(3731&lt;$U$9,MOD(INT(3731/$U$8),$U$7)+1,1)</f>
        <v/>
      </c>
      <c r="BP3744">
        <f>IF(3731&lt;$U$9,MOD(3731,$U$8)+1,1)</f>
        <v/>
      </c>
      <c r="BQ3744">
        <f>IF(3731&lt;$U$9,SUMPRODUCT(($D$10:$L$10&lt;&gt;"")*(($D$9:$L$9+INT(($S$12:$AA$12+INDEX($AJ$13:$AR$162,BN3744,0)+INDEX($AT$13:$BB$162,BO3744,0)+INDEX($BD$13:$BL$162,BP3744,0))/100))&gt;=$D$10:$L$10)),0)</f>
        <v/>
      </c>
      <c r="BR3744">
        <f>IF(3731&lt;$U$9,SUMPRODUCT(($D$10:$L$10&lt;&gt;"")*(($D$10:$L$10-($D$9:$L$9+INT(($S$12:$AA$12+INDEX($AJ$13:$AR$162,BN3744,0)+INDEX($AT$13:$BB$162,BO3744,0)+INDEX($BD$13:$BL$162,BP3744,0))/100)))&gt;0)*($D$10:$L$10-($D$9:$L$9+INT(($S$12:$AA$12+INDEX($AJ$13:$AR$162,BN3744,0)+INDEX($AT$13:$BB$162,BO3744,0)+INDEX($BD$13:$BL$162,BP3744,0))/100)))),0)</f>
        <v/>
      </c>
      <c r="BS3744">
        <f>IF(3731&lt;$U$9,SUMPRODUCT(($D$9:$L$9+INT(($S$12:$AA$12+INDEX($AJ$13:$AR$162,BN3744,0)+INDEX($AT$13:$BB$162,BO3744,0)+INDEX($BD$13:$BL$162,BP3744,0))/100))),0)</f>
        <v/>
      </c>
      <c r="BT3744">
        <f>IF(AND(3731&lt;$U$9,$W$5),BQ3744*1000000-MIN(BR3744,999)*1000+BS3744-3731/100000,-1000000000-3731)</f>
        <v/>
      </c>
    </row>
    <row r="3745">
      <c r="BN3745">
        <f>IF(3732&lt;$U$9,INT(3732/($U$7*$U$8))+1,1)</f>
        <v/>
      </c>
      <c r="BO3745">
        <f>IF(3732&lt;$U$9,MOD(INT(3732/$U$8),$U$7)+1,1)</f>
        <v/>
      </c>
      <c r="BP3745">
        <f>IF(3732&lt;$U$9,MOD(3732,$U$8)+1,1)</f>
        <v/>
      </c>
      <c r="BQ3745">
        <f>IF(3732&lt;$U$9,SUMPRODUCT(($D$10:$L$10&lt;&gt;"")*(($D$9:$L$9+INT(($S$12:$AA$12+INDEX($AJ$13:$AR$162,BN3745,0)+INDEX($AT$13:$BB$162,BO3745,0)+INDEX($BD$13:$BL$162,BP3745,0))/100))&gt;=$D$10:$L$10)),0)</f>
        <v/>
      </c>
      <c r="BR3745">
        <f>IF(3732&lt;$U$9,SUMPRODUCT(($D$10:$L$10&lt;&gt;"")*(($D$10:$L$10-($D$9:$L$9+INT(($S$12:$AA$12+INDEX($AJ$13:$AR$162,BN3745,0)+INDEX($AT$13:$BB$162,BO3745,0)+INDEX($BD$13:$BL$162,BP3745,0))/100)))&gt;0)*($D$10:$L$10-($D$9:$L$9+INT(($S$12:$AA$12+INDEX($AJ$13:$AR$162,BN3745,0)+INDEX($AT$13:$BB$162,BO3745,0)+INDEX($BD$13:$BL$162,BP3745,0))/100)))),0)</f>
        <v/>
      </c>
      <c r="BS3745">
        <f>IF(3732&lt;$U$9,SUMPRODUCT(($D$9:$L$9+INT(($S$12:$AA$12+INDEX($AJ$13:$AR$162,BN3745,0)+INDEX($AT$13:$BB$162,BO3745,0)+INDEX($BD$13:$BL$162,BP3745,0))/100))),0)</f>
        <v/>
      </c>
      <c r="BT3745">
        <f>IF(AND(3732&lt;$U$9,$W$5),BQ3745*1000000-MIN(BR3745,999)*1000+BS3745-3732/100000,-1000000000-3732)</f>
        <v/>
      </c>
    </row>
    <row r="3746">
      <c r="BN3746">
        <f>IF(3733&lt;$U$9,INT(3733/($U$7*$U$8))+1,1)</f>
        <v/>
      </c>
      <c r="BO3746">
        <f>IF(3733&lt;$U$9,MOD(INT(3733/$U$8),$U$7)+1,1)</f>
        <v/>
      </c>
      <c r="BP3746">
        <f>IF(3733&lt;$U$9,MOD(3733,$U$8)+1,1)</f>
        <v/>
      </c>
      <c r="BQ3746">
        <f>IF(3733&lt;$U$9,SUMPRODUCT(($D$10:$L$10&lt;&gt;"")*(($D$9:$L$9+INT(($S$12:$AA$12+INDEX($AJ$13:$AR$162,BN3746,0)+INDEX($AT$13:$BB$162,BO3746,0)+INDEX($BD$13:$BL$162,BP3746,0))/100))&gt;=$D$10:$L$10)),0)</f>
        <v/>
      </c>
      <c r="BR3746">
        <f>IF(3733&lt;$U$9,SUMPRODUCT(($D$10:$L$10&lt;&gt;"")*(($D$10:$L$10-($D$9:$L$9+INT(($S$12:$AA$12+INDEX($AJ$13:$AR$162,BN3746,0)+INDEX($AT$13:$BB$162,BO3746,0)+INDEX($BD$13:$BL$162,BP3746,0))/100)))&gt;0)*($D$10:$L$10-($D$9:$L$9+INT(($S$12:$AA$12+INDEX($AJ$13:$AR$162,BN3746,0)+INDEX($AT$13:$BB$162,BO3746,0)+INDEX($BD$13:$BL$162,BP3746,0))/100)))),0)</f>
        <v/>
      </c>
      <c r="BS3746">
        <f>IF(3733&lt;$U$9,SUMPRODUCT(($D$9:$L$9+INT(($S$12:$AA$12+INDEX($AJ$13:$AR$162,BN3746,0)+INDEX($AT$13:$BB$162,BO3746,0)+INDEX($BD$13:$BL$162,BP3746,0))/100))),0)</f>
        <v/>
      </c>
      <c r="BT3746">
        <f>IF(AND(3733&lt;$U$9,$W$5),BQ3746*1000000-MIN(BR3746,999)*1000+BS3746-3733/100000,-1000000000-3733)</f>
        <v/>
      </c>
    </row>
    <row r="3747">
      <c r="BN3747">
        <f>IF(3734&lt;$U$9,INT(3734/($U$7*$U$8))+1,1)</f>
        <v/>
      </c>
      <c r="BO3747">
        <f>IF(3734&lt;$U$9,MOD(INT(3734/$U$8),$U$7)+1,1)</f>
        <v/>
      </c>
      <c r="BP3747">
        <f>IF(3734&lt;$U$9,MOD(3734,$U$8)+1,1)</f>
        <v/>
      </c>
      <c r="BQ3747">
        <f>IF(3734&lt;$U$9,SUMPRODUCT(($D$10:$L$10&lt;&gt;"")*(($D$9:$L$9+INT(($S$12:$AA$12+INDEX($AJ$13:$AR$162,BN3747,0)+INDEX($AT$13:$BB$162,BO3747,0)+INDEX($BD$13:$BL$162,BP3747,0))/100))&gt;=$D$10:$L$10)),0)</f>
        <v/>
      </c>
      <c r="BR3747">
        <f>IF(3734&lt;$U$9,SUMPRODUCT(($D$10:$L$10&lt;&gt;"")*(($D$10:$L$10-($D$9:$L$9+INT(($S$12:$AA$12+INDEX($AJ$13:$AR$162,BN3747,0)+INDEX($AT$13:$BB$162,BO3747,0)+INDEX($BD$13:$BL$162,BP3747,0))/100)))&gt;0)*($D$10:$L$10-($D$9:$L$9+INT(($S$12:$AA$12+INDEX($AJ$13:$AR$162,BN3747,0)+INDEX($AT$13:$BB$162,BO3747,0)+INDEX($BD$13:$BL$162,BP3747,0))/100)))),0)</f>
        <v/>
      </c>
      <c r="BS3747">
        <f>IF(3734&lt;$U$9,SUMPRODUCT(($D$9:$L$9+INT(($S$12:$AA$12+INDEX($AJ$13:$AR$162,BN3747,0)+INDEX($AT$13:$BB$162,BO3747,0)+INDEX($BD$13:$BL$162,BP3747,0))/100))),0)</f>
        <v/>
      </c>
      <c r="BT3747">
        <f>IF(AND(3734&lt;$U$9,$W$5),BQ3747*1000000-MIN(BR3747,999)*1000+BS3747-3734/100000,-1000000000-3734)</f>
        <v/>
      </c>
    </row>
    <row r="3748">
      <c r="BN3748">
        <f>IF(3735&lt;$U$9,INT(3735/($U$7*$U$8))+1,1)</f>
        <v/>
      </c>
      <c r="BO3748">
        <f>IF(3735&lt;$U$9,MOD(INT(3735/$U$8),$U$7)+1,1)</f>
        <v/>
      </c>
      <c r="BP3748">
        <f>IF(3735&lt;$U$9,MOD(3735,$U$8)+1,1)</f>
        <v/>
      </c>
      <c r="BQ3748">
        <f>IF(3735&lt;$U$9,SUMPRODUCT(($D$10:$L$10&lt;&gt;"")*(($D$9:$L$9+INT(($S$12:$AA$12+INDEX($AJ$13:$AR$162,BN3748,0)+INDEX($AT$13:$BB$162,BO3748,0)+INDEX($BD$13:$BL$162,BP3748,0))/100))&gt;=$D$10:$L$10)),0)</f>
        <v/>
      </c>
      <c r="BR3748">
        <f>IF(3735&lt;$U$9,SUMPRODUCT(($D$10:$L$10&lt;&gt;"")*(($D$10:$L$10-($D$9:$L$9+INT(($S$12:$AA$12+INDEX($AJ$13:$AR$162,BN3748,0)+INDEX($AT$13:$BB$162,BO3748,0)+INDEX($BD$13:$BL$162,BP3748,0))/100)))&gt;0)*($D$10:$L$10-($D$9:$L$9+INT(($S$12:$AA$12+INDEX($AJ$13:$AR$162,BN3748,0)+INDEX($AT$13:$BB$162,BO3748,0)+INDEX($BD$13:$BL$162,BP3748,0))/100)))),0)</f>
        <v/>
      </c>
      <c r="BS3748">
        <f>IF(3735&lt;$U$9,SUMPRODUCT(($D$9:$L$9+INT(($S$12:$AA$12+INDEX($AJ$13:$AR$162,BN3748,0)+INDEX($AT$13:$BB$162,BO3748,0)+INDEX($BD$13:$BL$162,BP3748,0))/100))),0)</f>
        <v/>
      </c>
      <c r="BT3748">
        <f>IF(AND(3735&lt;$U$9,$W$5),BQ3748*1000000-MIN(BR3748,999)*1000+BS3748-3735/100000,-1000000000-3735)</f>
        <v/>
      </c>
    </row>
    <row r="3749">
      <c r="BN3749">
        <f>IF(3736&lt;$U$9,INT(3736/($U$7*$U$8))+1,1)</f>
        <v/>
      </c>
      <c r="BO3749">
        <f>IF(3736&lt;$U$9,MOD(INT(3736/$U$8),$U$7)+1,1)</f>
        <v/>
      </c>
      <c r="BP3749">
        <f>IF(3736&lt;$U$9,MOD(3736,$U$8)+1,1)</f>
        <v/>
      </c>
      <c r="BQ3749">
        <f>IF(3736&lt;$U$9,SUMPRODUCT(($D$10:$L$10&lt;&gt;"")*(($D$9:$L$9+INT(($S$12:$AA$12+INDEX($AJ$13:$AR$162,BN3749,0)+INDEX($AT$13:$BB$162,BO3749,0)+INDEX($BD$13:$BL$162,BP3749,0))/100))&gt;=$D$10:$L$10)),0)</f>
        <v/>
      </c>
      <c r="BR3749">
        <f>IF(3736&lt;$U$9,SUMPRODUCT(($D$10:$L$10&lt;&gt;"")*(($D$10:$L$10-($D$9:$L$9+INT(($S$12:$AA$12+INDEX($AJ$13:$AR$162,BN3749,0)+INDEX($AT$13:$BB$162,BO3749,0)+INDEX($BD$13:$BL$162,BP3749,0))/100)))&gt;0)*($D$10:$L$10-($D$9:$L$9+INT(($S$12:$AA$12+INDEX($AJ$13:$AR$162,BN3749,0)+INDEX($AT$13:$BB$162,BO3749,0)+INDEX($BD$13:$BL$162,BP3749,0))/100)))),0)</f>
        <v/>
      </c>
      <c r="BS3749">
        <f>IF(3736&lt;$U$9,SUMPRODUCT(($D$9:$L$9+INT(($S$12:$AA$12+INDEX($AJ$13:$AR$162,BN3749,0)+INDEX($AT$13:$BB$162,BO3749,0)+INDEX($BD$13:$BL$162,BP3749,0))/100))),0)</f>
        <v/>
      </c>
      <c r="BT3749">
        <f>IF(AND(3736&lt;$U$9,$W$5),BQ3749*1000000-MIN(BR3749,999)*1000+BS3749-3736/100000,-1000000000-3736)</f>
        <v/>
      </c>
    </row>
    <row r="3750">
      <c r="BN3750">
        <f>IF(3737&lt;$U$9,INT(3737/($U$7*$U$8))+1,1)</f>
        <v/>
      </c>
      <c r="BO3750">
        <f>IF(3737&lt;$U$9,MOD(INT(3737/$U$8),$U$7)+1,1)</f>
        <v/>
      </c>
      <c r="BP3750">
        <f>IF(3737&lt;$U$9,MOD(3737,$U$8)+1,1)</f>
        <v/>
      </c>
      <c r="BQ3750">
        <f>IF(3737&lt;$U$9,SUMPRODUCT(($D$10:$L$10&lt;&gt;"")*(($D$9:$L$9+INT(($S$12:$AA$12+INDEX($AJ$13:$AR$162,BN3750,0)+INDEX($AT$13:$BB$162,BO3750,0)+INDEX($BD$13:$BL$162,BP3750,0))/100))&gt;=$D$10:$L$10)),0)</f>
        <v/>
      </c>
      <c r="BR3750">
        <f>IF(3737&lt;$U$9,SUMPRODUCT(($D$10:$L$10&lt;&gt;"")*(($D$10:$L$10-($D$9:$L$9+INT(($S$12:$AA$12+INDEX($AJ$13:$AR$162,BN3750,0)+INDEX($AT$13:$BB$162,BO3750,0)+INDEX($BD$13:$BL$162,BP3750,0))/100)))&gt;0)*($D$10:$L$10-($D$9:$L$9+INT(($S$12:$AA$12+INDEX($AJ$13:$AR$162,BN3750,0)+INDEX($AT$13:$BB$162,BO3750,0)+INDEX($BD$13:$BL$162,BP3750,0))/100)))),0)</f>
        <v/>
      </c>
      <c r="BS3750">
        <f>IF(3737&lt;$U$9,SUMPRODUCT(($D$9:$L$9+INT(($S$12:$AA$12+INDEX($AJ$13:$AR$162,BN3750,0)+INDEX($AT$13:$BB$162,BO3750,0)+INDEX($BD$13:$BL$162,BP3750,0))/100))),0)</f>
        <v/>
      </c>
      <c r="BT3750">
        <f>IF(AND(3737&lt;$U$9,$W$5),BQ3750*1000000-MIN(BR3750,999)*1000+BS3750-3737/100000,-1000000000-3737)</f>
        <v/>
      </c>
    </row>
    <row r="3751">
      <c r="BN3751">
        <f>IF(3738&lt;$U$9,INT(3738/($U$7*$U$8))+1,1)</f>
        <v/>
      </c>
      <c r="BO3751">
        <f>IF(3738&lt;$U$9,MOD(INT(3738/$U$8),$U$7)+1,1)</f>
        <v/>
      </c>
      <c r="BP3751">
        <f>IF(3738&lt;$U$9,MOD(3738,$U$8)+1,1)</f>
        <v/>
      </c>
      <c r="BQ3751">
        <f>IF(3738&lt;$U$9,SUMPRODUCT(($D$10:$L$10&lt;&gt;"")*(($D$9:$L$9+INT(($S$12:$AA$12+INDEX($AJ$13:$AR$162,BN3751,0)+INDEX($AT$13:$BB$162,BO3751,0)+INDEX($BD$13:$BL$162,BP3751,0))/100))&gt;=$D$10:$L$10)),0)</f>
        <v/>
      </c>
      <c r="BR3751">
        <f>IF(3738&lt;$U$9,SUMPRODUCT(($D$10:$L$10&lt;&gt;"")*(($D$10:$L$10-($D$9:$L$9+INT(($S$12:$AA$12+INDEX($AJ$13:$AR$162,BN3751,0)+INDEX($AT$13:$BB$162,BO3751,0)+INDEX($BD$13:$BL$162,BP3751,0))/100)))&gt;0)*($D$10:$L$10-($D$9:$L$9+INT(($S$12:$AA$12+INDEX($AJ$13:$AR$162,BN3751,0)+INDEX($AT$13:$BB$162,BO3751,0)+INDEX($BD$13:$BL$162,BP3751,0))/100)))),0)</f>
        <v/>
      </c>
      <c r="BS3751">
        <f>IF(3738&lt;$U$9,SUMPRODUCT(($D$9:$L$9+INT(($S$12:$AA$12+INDEX($AJ$13:$AR$162,BN3751,0)+INDEX($AT$13:$BB$162,BO3751,0)+INDEX($BD$13:$BL$162,BP3751,0))/100))),0)</f>
        <v/>
      </c>
      <c r="BT3751">
        <f>IF(AND(3738&lt;$U$9,$W$5),BQ3751*1000000-MIN(BR3751,999)*1000+BS3751-3738/100000,-1000000000-3738)</f>
        <v/>
      </c>
    </row>
    <row r="3752">
      <c r="BN3752">
        <f>IF(3739&lt;$U$9,INT(3739/($U$7*$U$8))+1,1)</f>
        <v/>
      </c>
      <c r="BO3752">
        <f>IF(3739&lt;$U$9,MOD(INT(3739/$U$8),$U$7)+1,1)</f>
        <v/>
      </c>
      <c r="BP3752">
        <f>IF(3739&lt;$U$9,MOD(3739,$U$8)+1,1)</f>
        <v/>
      </c>
      <c r="BQ3752">
        <f>IF(3739&lt;$U$9,SUMPRODUCT(($D$10:$L$10&lt;&gt;"")*(($D$9:$L$9+INT(($S$12:$AA$12+INDEX($AJ$13:$AR$162,BN3752,0)+INDEX($AT$13:$BB$162,BO3752,0)+INDEX($BD$13:$BL$162,BP3752,0))/100))&gt;=$D$10:$L$10)),0)</f>
        <v/>
      </c>
      <c r="BR3752">
        <f>IF(3739&lt;$U$9,SUMPRODUCT(($D$10:$L$10&lt;&gt;"")*(($D$10:$L$10-($D$9:$L$9+INT(($S$12:$AA$12+INDEX($AJ$13:$AR$162,BN3752,0)+INDEX($AT$13:$BB$162,BO3752,0)+INDEX($BD$13:$BL$162,BP3752,0))/100)))&gt;0)*($D$10:$L$10-($D$9:$L$9+INT(($S$12:$AA$12+INDEX($AJ$13:$AR$162,BN3752,0)+INDEX($AT$13:$BB$162,BO3752,0)+INDEX($BD$13:$BL$162,BP3752,0))/100)))),0)</f>
        <v/>
      </c>
      <c r="BS3752">
        <f>IF(3739&lt;$U$9,SUMPRODUCT(($D$9:$L$9+INT(($S$12:$AA$12+INDEX($AJ$13:$AR$162,BN3752,0)+INDEX($AT$13:$BB$162,BO3752,0)+INDEX($BD$13:$BL$162,BP3752,0))/100))),0)</f>
        <v/>
      </c>
      <c r="BT3752">
        <f>IF(AND(3739&lt;$U$9,$W$5),BQ3752*1000000-MIN(BR3752,999)*1000+BS3752-3739/100000,-1000000000-3739)</f>
        <v/>
      </c>
    </row>
    <row r="3753">
      <c r="BN3753">
        <f>IF(3740&lt;$U$9,INT(3740/($U$7*$U$8))+1,1)</f>
        <v/>
      </c>
      <c r="BO3753">
        <f>IF(3740&lt;$U$9,MOD(INT(3740/$U$8),$U$7)+1,1)</f>
        <v/>
      </c>
      <c r="BP3753">
        <f>IF(3740&lt;$U$9,MOD(3740,$U$8)+1,1)</f>
        <v/>
      </c>
      <c r="BQ3753">
        <f>IF(3740&lt;$U$9,SUMPRODUCT(($D$10:$L$10&lt;&gt;"")*(($D$9:$L$9+INT(($S$12:$AA$12+INDEX($AJ$13:$AR$162,BN3753,0)+INDEX($AT$13:$BB$162,BO3753,0)+INDEX($BD$13:$BL$162,BP3753,0))/100))&gt;=$D$10:$L$10)),0)</f>
        <v/>
      </c>
      <c r="BR3753">
        <f>IF(3740&lt;$U$9,SUMPRODUCT(($D$10:$L$10&lt;&gt;"")*(($D$10:$L$10-($D$9:$L$9+INT(($S$12:$AA$12+INDEX($AJ$13:$AR$162,BN3753,0)+INDEX($AT$13:$BB$162,BO3753,0)+INDEX($BD$13:$BL$162,BP3753,0))/100)))&gt;0)*($D$10:$L$10-($D$9:$L$9+INT(($S$12:$AA$12+INDEX($AJ$13:$AR$162,BN3753,0)+INDEX($AT$13:$BB$162,BO3753,0)+INDEX($BD$13:$BL$162,BP3753,0))/100)))),0)</f>
        <v/>
      </c>
      <c r="BS3753">
        <f>IF(3740&lt;$U$9,SUMPRODUCT(($D$9:$L$9+INT(($S$12:$AA$12+INDEX($AJ$13:$AR$162,BN3753,0)+INDEX($AT$13:$BB$162,BO3753,0)+INDEX($BD$13:$BL$162,BP3753,0))/100))),0)</f>
        <v/>
      </c>
      <c r="BT3753">
        <f>IF(AND(3740&lt;$U$9,$W$5),BQ3753*1000000-MIN(BR3753,999)*1000+BS3753-3740/100000,-1000000000-3740)</f>
        <v/>
      </c>
    </row>
    <row r="3754">
      <c r="BN3754">
        <f>IF(3741&lt;$U$9,INT(3741/($U$7*$U$8))+1,1)</f>
        <v/>
      </c>
      <c r="BO3754">
        <f>IF(3741&lt;$U$9,MOD(INT(3741/$U$8),$U$7)+1,1)</f>
        <v/>
      </c>
      <c r="BP3754">
        <f>IF(3741&lt;$U$9,MOD(3741,$U$8)+1,1)</f>
        <v/>
      </c>
      <c r="BQ3754">
        <f>IF(3741&lt;$U$9,SUMPRODUCT(($D$10:$L$10&lt;&gt;"")*(($D$9:$L$9+INT(($S$12:$AA$12+INDEX($AJ$13:$AR$162,BN3754,0)+INDEX($AT$13:$BB$162,BO3754,0)+INDEX($BD$13:$BL$162,BP3754,0))/100))&gt;=$D$10:$L$10)),0)</f>
        <v/>
      </c>
      <c r="BR3754">
        <f>IF(3741&lt;$U$9,SUMPRODUCT(($D$10:$L$10&lt;&gt;"")*(($D$10:$L$10-($D$9:$L$9+INT(($S$12:$AA$12+INDEX($AJ$13:$AR$162,BN3754,0)+INDEX($AT$13:$BB$162,BO3754,0)+INDEX($BD$13:$BL$162,BP3754,0))/100)))&gt;0)*($D$10:$L$10-($D$9:$L$9+INT(($S$12:$AA$12+INDEX($AJ$13:$AR$162,BN3754,0)+INDEX($AT$13:$BB$162,BO3754,0)+INDEX($BD$13:$BL$162,BP3754,0))/100)))),0)</f>
        <v/>
      </c>
      <c r="BS3754">
        <f>IF(3741&lt;$U$9,SUMPRODUCT(($D$9:$L$9+INT(($S$12:$AA$12+INDEX($AJ$13:$AR$162,BN3754,0)+INDEX($AT$13:$BB$162,BO3754,0)+INDEX($BD$13:$BL$162,BP3754,0))/100))),0)</f>
        <v/>
      </c>
      <c r="BT3754">
        <f>IF(AND(3741&lt;$U$9,$W$5),BQ3754*1000000-MIN(BR3754,999)*1000+BS3754-3741/100000,-1000000000-3741)</f>
        <v/>
      </c>
    </row>
    <row r="3755">
      <c r="BN3755">
        <f>IF(3742&lt;$U$9,INT(3742/($U$7*$U$8))+1,1)</f>
        <v/>
      </c>
      <c r="BO3755">
        <f>IF(3742&lt;$U$9,MOD(INT(3742/$U$8),$U$7)+1,1)</f>
        <v/>
      </c>
      <c r="BP3755">
        <f>IF(3742&lt;$U$9,MOD(3742,$U$8)+1,1)</f>
        <v/>
      </c>
      <c r="BQ3755">
        <f>IF(3742&lt;$U$9,SUMPRODUCT(($D$10:$L$10&lt;&gt;"")*(($D$9:$L$9+INT(($S$12:$AA$12+INDEX($AJ$13:$AR$162,BN3755,0)+INDEX($AT$13:$BB$162,BO3755,0)+INDEX($BD$13:$BL$162,BP3755,0))/100))&gt;=$D$10:$L$10)),0)</f>
        <v/>
      </c>
      <c r="BR3755">
        <f>IF(3742&lt;$U$9,SUMPRODUCT(($D$10:$L$10&lt;&gt;"")*(($D$10:$L$10-($D$9:$L$9+INT(($S$12:$AA$12+INDEX($AJ$13:$AR$162,BN3755,0)+INDEX($AT$13:$BB$162,BO3755,0)+INDEX($BD$13:$BL$162,BP3755,0))/100)))&gt;0)*($D$10:$L$10-($D$9:$L$9+INT(($S$12:$AA$12+INDEX($AJ$13:$AR$162,BN3755,0)+INDEX($AT$13:$BB$162,BO3755,0)+INDEX($BD$13:$BL$162,BP3755,0))/100)))),0)</f>
        <v/>
      </c>
      <c r="BS3755">
        <f>IF(3742&lt;$U$9,SUMPRODUCT(($D$9:$L$9+INT(($S$12:$AA$12+INDEX($AJ$13:$AR$162,BN3755,0)+INDEX($AT$13:$BB$162,BO3755,0)+INDEX($BD$13:$BL$162,BP3755,0))/100))),0)</f>
        <v/>
      </c>
      <c r="BT3755">
        <f>IF(AND(3742&lt;$U$9,$W$5),BQ3755*1000000-MIN(BR3755,999)*1000+BS3755-3742/100000,-1000000000-3742)</f>
        <v/>
      </c>
    </row>
    <row r="3756">
      <c r="BN3756">
        <f>IF(3743&lt;$U$9,INT(3743/($U$7*$U$8))+1,1)</f>
        <v/>
      </c>
      <c r="BO3756">
        <f>IF(3743&lt;$U$9,MOD(INT(3743/$U$8),$U$7)+1,1)</f>
        <v/>
      </c>
      <c r="BP3756">
        <f>IF(3743&lt;$U$9,MOD(3743,$U$8)+1,1)</f>
        <v/>
      </c>
      <c r="BQ3756">
        <f>IF(3743&lt;$U$9,SUMPRODUCT(($D$10:$L$10&lt;&gt;"")*(($D$9:$L$9+INT(($S$12:$AA$12+INDEX($AJ$13:$AR$162,BN3756,0)+INDEX($AT$13:$BB$162,BO3756,0)+INDEX($BD$13:$BL$162,BP3756,0))/100))&gt;=$D$10:$L$10)),0)</f>
        <v/>
      </c>
      <c r="BR3756">
        <f>IF(3743&lt;$U$9,SUMPRODUCT(($D$10:$L$10&lt;&gt;"")*(($D$10:$L$10-($D$9:$L$9+INT(($S$12:$AA$12+INDEX($AJ$13:$AR$162,BN3756,0)+INDEX($AT$13:$BB$162,BO3756,0)+INDEX($BD$13:$BL$162,BP3756,0))/100)))&gt;0)*($D$10:$L$10-($D$9:$L$9+INT(($S$12:$AA$12+INDEX($AJ$13:$AR$162,BN3756,0)+INDEX($AT$13:$BB$162,BO3756,0)+INDEX($BD$13:$BL$162,BP3756,0))/100)))),0)</f>
        <v/>
      </c>
      <c r="BS3756">
        <f>IF(3743&lt;$U$9,SUMPRODUCT(($D$9:$L$9+INT(($S$12:$AA$12+INDEX($AJ$13:$AR$162,BN3756,0)+INDEX($AT$13:$BB$162,BO3756,0)+INDEX($BD$13:$BL$162,BP3756,0))/100))),0)</f>
        <v/>
      </c>
      <c r="BT3756">
        <f>IF(AND(3743&lt;$U$9,$W$5),BQ3756*1000000-MIN(BR3756,999)*1000+BS3756-3743/100000,-1000000000-3743)</f>
        <v/>
      </c>
    </row>
    <row r="3757">
      <c r="BN3757">
        <f>IF(3744&lt;$U$9,INT(3744/($U$7*$U$8))+1,1)</f>
        <v/>
      </c>
      <c r="BO3757">
        <f>IF(3744&lt;$U$9,MOD(INT(3744/$U$8),$U$7)+1,1)</f>
        <v/>
      </c>
      <c r="BP3757">
        <f>IF(3744&lt;$U$9,MOD(3744,$U$8)+1,1)</f>
        <v/>
      </c>
      <c r="BQ3757">
        <f>IF(3744&lt;$U$9,SUMPRODUCT(($D$10:$L$10&lt;&gt;"")*(($D$9:$L$9+INT(($S$12:$AA$12+INDEX($AJ$13:$AR$162,BN3757,0)+INDEX($AT$13:$BB$162,BO3757,0)+INDEX($BD$13:$BL$162,BP3757,0))/100))&gt;=$D$10:$L$10)),0)</f>
        <v/>
      </c>
      <c r="BR3757">
        <f>IF(3744&lt;$U$9,SUMPRODUCT(($D$10:$L$10&lt;&gt;"")*(($D$10:$L$10-($D$9:$L$9+INT(($S$12:$AA$12+INDEX($AJ$13:$AR$162,BN3757,0)+INDEX($AT$13:$BB$162,BO3757,0)+INDEX($BD$13:$BL$162,BP3757,0))/100)))&gt;0)*($D$10:$L$10-($D$9:$L$9+INT(($S$12:$AA$12+INDEX($AJ$13:$AR$162,BN3757,0)+INDEX($AT$13:$BB$162,BO3757,0)+INDEX($BD$13:$BL$162,BP3757,0))/100)))),0)</f>
        <v/>
      </c>
      <c r="BS3757">
        <f>IF(3744&lt;$U$9,SUMPRODUCT(($D$9:$L$9+INT(($S$12:$AA$12+INDEX($AJ$13:$AR$162,BN3757,0)+INDEX($AT$13:$BB$162,BO3757,0)+INDEX($BD$13:$BL$162,BP3757,0))/100))),0)</f>
        <v/>
      </c>
      <c r="BT3757">
        <f>IF(AND(3744&lt;$U$9,$W$5),BQ3757*1000000-MIN(BR3757,999)*1000+BS3757-3744/100000,-1000000000-3744)</f>
        <v/>
      </c>
    </row>
    <row r="3758">
      <c r="BN3758">
        <f>IF(3745&lt;$U$9,INT(3745/($U$7*$U$8))+1,1)</f>
        <v/>
      </c>
      <c r="BO3758">
        <f>IF(3745&lt;$U$9,MOD(INT(3745/$U$8),$U$7)+1,1)</f>
        <v/>
      </c>
      <c r="BP3758">
        <f>IF(3745&lt;$U$9,MOD(3745,$U$8)+1,1)</f>
        <v/>
      </c>
      <c r="BQ3758">
        <f>IF(3745&lt;$U$9,SUMPRODUCT(($D$10:$L$10&lt;&gt;"")*(($D$9:$L$9+INT(($S$12:$AA$12+INDEX($AJ$13:$AR$162,BN3758,0)+INDEX($AT$13:$BB$162,BO3758,0)+INDEX($BD$13:$BL$162,BP3758,0))/100))&gt;=$D$10:$L$10)),0)</f>
        <v/>
      </c>
      <c r="BR3758">
        <f>IF(3745&lt;$U$9,SUMPRODUCT(($D$10:$L$10&lt;&gt;"")*(($D$10:$L$10-($D$9:$L$9+INT(($S$12:$AA$12+INDEX($AJ$13:$AR$162,BN3758,0)+INDEX($AT$13:$BB$162,BO3758,0)+INDEX($BD$13:$BL$162,BP3758,0))/100)))&gt;0)*($D$10:$L$10-($D$9:$L$9+INT(($S$12:$AA$12+INDEX($AJ$13:$AR$162,BN3758,0)+INDEX($AT$13:$BB$162,BO3758,0)+INDEX($BD$13:$BL$162,BP3758,0))/100)))),0)</f>
        <v/>
      </c>
      <c r="BS3758">
        <f>IF(3745&lt;$U$9,SUMPRODUCT(($D$9:$L$9+INT(($S$12:$AA$12+INDEX($AJ$13:$AR$162,BN3758,0)+INDEX($AT$13:$BB$162,BO3758,0)+INDEX($BD$13:$BL$162,BP3758,0))/100))),0)</f>
        <v/>
      </c>
      <c r="BT3758">
        <f>IF(AND(3745&lt;$U$9,$W$5),BQ3758*1000000-MIN(BR3758,999)*1000+BS3758-3745/100000,-1000000000-3745)</f>
        <v/>
      </c>
    </row>
    <row r="3759">
      <c r="BN3759">
        <f>IF(3746&lt;$U$9,INT(3746/($U$7*$U$8))+1,1)</f>
        <v/>
      </c>
      <c r="BO3759">
        <f>IF(3746&lt;$U$9,MOD(INT(3746/$U$8),$U$7)+1,1)</f>
        <v/>
      </c>
      <c r="BP3759">
        <f>IF(3746&lt;$U$9,MOD(3746,$U$8)+1,1)</f>
        <v/>
      </c>
      <c r="BQ3759">
        <f>IF(3746&lt;$U$9,SUMPRODUCT(($D$10:$L$10&lt;&gt;"")*(($D$9:$L$9+INT(($S$12:$AA$12+INDEX($AJ$13:$AR$162,BN3759,0)+INDEX($AT$13:$BB$162,BO3759,0)+INDEX($BD$13:$BL$162,BP3759,0))/100))&gt;=$D$10:$L$10)),0)</f>
        <v/>
      </c>
      <c r="BR3759">
        <f>IF(3746&lt;$U$9,SUMPRODUCT(($D$10:$L$10&lt;&gt;"")*(($D$10:$L$10-($D$9:$L$9+INT(($S$12:$AA$12+INDEX($AJ$13:$AR$162,BN3759,0)+INDEX($AT$13:$BB$162,BO3759,0)+INDEX($BD$13:$BL$162,BP3759,0))/100)))&gt;0)*($D$10:$L$10-($D$9:$L$9+INT(($S$12:$AA$12+INDEX($AJ$13:$AR$162,BN3759,0)+INDEX($AT$13:$BB$162,BO3759,0)+INDEX($BD$13:$BL$162,BP3759,0))/100)))),0)</f>
        <v/>
      </c>
      <c r="BS3759">
        <f>IF(3746&lt;$U$9,SUMPRODUCT(($D$9:$L$9+INT(($S$12:$AA$12+INDEX($AJ$13:$AR$162,BN3759,0)+INDEX($AT$13:$BB$162,BO3759,0)+INDEX($BD$13:$BL$162,BP3759,0))/100))),0)</f>
        <v/>
      </c>
      <c r="BT3759">
        <f>IF(AND(3746&lt;$U$9,$W$5),BQ3759*1000000-MIN(BR3759,999)*1000+BS3759-3746/100000,-1000000000-3746)</f>
        <v/>
      </c>
    </row>
    <row r="3760">
      <c r="BN3760">
        <f>IF(3747&lt;$U$9,INT(3747/($U$7*$U$8))+1,1)</f>
        <v/>
      </c>
      <c r="BO3760">
        <f>IF(3747&lt;$U$9,MOD(INT(3747/$U$8),$U$7)+1,1)</f>
        <v/>
      </c>
      <c r="BP3760">
        <f>IF(3747&lt;$U$9,MOD(3747,$U$8)+1,1)</f>
        <v/>
      </c>
      <c r="BQ3760">
        <f>IF(3747&lt;$U$9,SUMPRODUCT(($D$10:$L$10&lt;&gt;"")*(($D$9:$L$9+INT(($S$12:$AA$12+INDEX($AJ$13:$AR$162,BN3760,0)+INDEX($AT$13:$BB$162,BO3760,0)+INDEX($BD$13:$BL$162,BP3760,0))/100))&gt;=$D$10:$L$10)),0)</f>
        <v/>
      </c>
      <c r="BR3760">
        <f>IF(3747&lt;$U$9,SUMPRODUCT(($D$10:$L$10&lt;&gt;"")*(($D$10:$L$10-($D$9:$L$9+INT(($S$12:$AA$12+INDEX($AJ$13:$AR$162,BN3760,0)+INDEX($AT$13:$BB$162,BO3760,0)+INDEX($BD$13:$BL$162,BP3760,0))/100)))&gt;0)*($D$10:$L$10-($D$9:$L$9+INT(($S$12:$AA$12+INDEX($AJ$13:$AR$162,BN3760,0)+INDEX($AT$13:$BB$162,BO3760,0)+INDEX($BD$13:$BL$162,BP3760,0))/100)))),0)</f>
        <v/>
      </c>
      <c r="BS3760">
        <f>IF(3747&lt;$U$9,SUMPRODUCT(($D$9:$L$9+INT(($S$12:$AA$12+INDEX($AJ$13:$AR$162,BN3760,0)+INDEX($AT$13:$BB$162,BO3760,0)+INDEX($BD$13:$BL$162,BP3760,0))/100))),0)</f>
        <v/>
      </c>
      <c r="BT3760">
        <f>IF(AND(3747&lt;$U$9,$W$5),BQ3760*1000000-MIN(BR3760,999)*1000+BS3760-3747/100000,-1000000000-3747)</f>
        <v/>
      </c>
    </row>
    <row r="3761">
      <c r="BN3761">
        <f>IF(3748&lt;$U$9,INT(3748/($U$7*$U$8))+1,1)</f>
        <v/>
      </c>
      <c r="BO3761">
        <f>IF(3748&lt;$U$9,MOD(INT(3748/$U$8),$U$7)+1,1)</f>
        <v/>
      </c>
      <c r="BP3761">
        <f>IF(3748&lt;$U$9,MOD(3748,$U$8)+1,1)</f>
        <v/>
      </c>
      <c r="BQ3761">
        <f>IF(3748&lt;$U$9,SUMPRODUCT(($D$10:$L$10&lt;&gt;"")*(($D$9:$L$9+INT(($S$12:$AA$12+INDEX($AJ$13:$AR$162,BN3761,0)+INDEX($AT$13:$BB$162,BO3761,0)+INDEX($BD$13:$BL$162,BP3761,0))/100))&gt;=$D$10:$L$10)),0)</f>
        <v/>
      </c>
      <c r="BR3761">
        <f>IF(3748&lt;$U$9,SUMPRODUCT(($D$10:$L$10&lt;&gt;"")*(($D$10:$L$10-($D$9:$L$9+INT(($S$12:$AA$12+INDEX($AJ$13:$AR$162,BN3761,0)+INDEX($AT$13:$BB$162,BO3761,0)+INDEX($BD$13:$BL$162,BP3761,0))/100)))&gt;0)*($D$10:$L$10-($D$9:$L$9+INT(($S$12:$AA$12+INDEX($AJ$13:$AR$162,BN3761,0)+INDEX($AT$13:$BB$162,BO3761,0)+INDEX($BD$13:$BL$162,BP3761,0))/100)))),0)</f>
        <v/>
      </c>
      <c r="BS3761">
        <f>IF(3748&lt;$U$9,SUMPRODUCT(($D$9:$L$9+INT(($S$12:$AA$12+INDEX($AJ$13:$AR$162,BN3761,0)+INDEX($AT$13:$BB$162,BO3761,0)+INDEX($BD$13:$BL$162,BP3761,0))/100))),0)</f>
        <v/>
      </c>
      <c r="BT3761">
        <f>IF(AND(3748&lt;$U$9,$W$5),BQ3761*1000000-MIN(BR3761,999)*1000+BS3761-3748/100000,-1000000000-3748)</f>
        <v/>
      </c>
    </row>
    <row r="3762">
      <c r="BN3762">
        <f>IF(3749&lt;$U$9,INT(3749/($U$7*$U$8))+1,1)</f>
        <v/>
      </c>
      <c r="BO3762">
        <f>IF(3749&lt;$U$9,MOD(INT(3749/$U$8),$U$7)+1,1)</f>
        <v/>
      </c>
      <c r="BP3762">
        <f>IF(3749&lt;$U$9,MOD(3749,$U$8)+1,1)</f>
        <v/>
      </c>
      <c r="BQ3762">
        <f>IF(3749&lt;$U$9,SUMPRODUCT(($D$10:$L$10&lt;&gt;"")*(($D$9:$L$9+INT(($S$12:$AA$12+INDEX($AJ$13:$AR$162,BN3762,0)+INDEX($AT$13:$BB$162,BO3762,0)+INDEX($BD$13:$BL$162,BP3762,0))/100))&gt;=$D$10:$L$10)),0)</f>
        <v/>
      </c>
      <c r="BR3762">
        <f>IF(3749&lt;$U$9,SUMPRODUCT(($D$10:$L$10&lt;&gt;"")*(($D$10:$L$10-($D$9:$L$9+INT(($S$12:$AA$12+INDEX($AJ$13:$AR$162,BN3762,0)+INDEX($AT$13:$BB$162,BO3762,0)+INDEX($BD$13:$BL$162,BP3762,0))/100)))&gt;0)*($D$10:$L$10-($D$9:$L$9+INT(($S$12:$AA$12+INDEX($AJ$13:$AR$162,BN3762,0)+INDEX($AT$13:$BB$162,BO3762,0)+INDEX($BD$13:$BL$162,BP3762,0))/100)))),0)</f>
        <v/>
      </c>
      <c r="BS3762">
        <f>IF(3749&lt;$U$9,SUMPRODUCT(($D$9:$L$9+INT(($S$12:$AA$12+INDEX($AJ$13:$AR$162,BN3762,0)+INDEX($AT$13:$BB$162,BO3762,0)+INDEX($BD$13:$BL$162,BP3762,0))/100))),0)</f>
        <v/>
      </c>
      <c r="BT3762">
        <f>IF(AND(3749&lt;$U$9,$W$5),BQ3762*1000000-MIN(BR3762,999)*1000+BS3762-3749/100000,-1000000000-3749)</f>
        <v/>
      </c>
    </row>
    <row r="3763">
      <c r="BN3763">
        <f>IF(3750&lt;$U$9,INT(3750/($U$7*$U$8))+1,1)</f>
        <v/>
      </c>
      <c r="BO3763">
        <f>IF(3750&lt;$U$9,MOD(INT(3750/$U$8),$U$7)+1,1)</f>
        <v/>
      </c>
      <c r="BP3763">
        <f>IF(3750&lt;$U$9,MOD(3750,$U$8)+1,1)</f>
        <v/>
      </c>
      <c r="BQ3763">
        <f>IF(3750&lt;$U$9,SUMPRODUCT(($D$10:$L$10&lt;&gt;"")*(($D$9:$L$9+INT(($S$12:$AA$12+INDEX($AJ$13:$AR$162,BN3763,0)+INDEX($AT$13:$BB$162,BO3763,0)+INDEX($BD$13:$BL$162,BP3763,0))/100))&gt;=$D$10:$L$10)),0)</f>
        <v/>
      </c>
      <c r="BR3763">
        <f>IF(3750&lt;$U$9,SUMPRODUCT(($D$10:$L$10&lt;&gt;"")*(($D$10:$L$10-($D$9:$L$9+INT(($S$12:$AA$12+INDEX($AJ$13:$AR$162,BN3763,0)+INDEX($AT$13:$BB$162,BO3763,0)+INDEX($BD$13:$BL$162,BP3763,0))/100)))&gt;0)*($D$10:$L$10-($D$9:$L$9+INT(($S$12:$AA$12+INDEX($AJ$13:$AR$162,BN3763,0)+INDEX($AT$13:$BB$162,BO3763,0)+INDEX($BD$13:$BL$162,BP3763,0))/100)))),0)</f>
        <v/>
      </c>
      <c r="BS3763">
        <f>IF(3750&lt;$U$9,SUMPRODUCT(($D$9:$L$9+INT(($S$12:$AA$12+INDEX($AJ$13:$AR$162,BN3763,0)+INDEX($AT$13:$BB$162,BO3763,0)+INDEX($BD$13:$BL$162,BP3763,0))/100))),0)</f>
        <v/>
      </c>
      <c r="BT3763">
        <f>IF(AND(3750&lt;$U$9,$W$5),BQ3763*1000000-MIN(BR3763,999)*1000+BS3763-3750/100000,-1000000000-3750)</f>
        <v/>
      </c>
    </row>
    <row r="3764">
      <c r="BN3764">
        <f>IF(3751&lt;$U$9,INT(3751/($U$7*$U$8))+1,1)</f>
        <v/>
      </c>
      <c r="BO3764">
        <f>IF(3751&lt;$U$9,MOD(INT(3751/$U$8),$U$7)+1,1)</f>
        <v/>
      </c>
      <c r="BP3764">
        <f>IF(3751&lt;$U$9,MOD(3751,$U$8)+1,1)</f>
        <v/>
      </c>
      <c r="BQ3764">
        <f>IF(3751&lt;$U$9,SUMPRODUCT(($D$10:$L$10&lt;&gt;"")*(($D$9:$L$9+INT(($S$12:$AA$12+INDEX($AJ$13:$AR$162,BN3764,0)+INDEX($AT$13:$BB$162,BO3764,0)+INDEX($BD$13:$BL$162,BP3764,0))/100))&gt;=$D$10:$L$10)),0)</f>
        <v/>
      </c>
      <c r="BR3764">
        <f>IF(3751&lt;$U$9,SUMPRODUCT(($D$10:$L$10&lt;&gt;"")*(($D$10:$L$10-($D$9:$L$9+INT(($S$12:$AA$12+INDEX($AJ$13:$AR$162,BN3764,0)+INDEX($AT$13:$BB$162,BO3764,0)+INDEX($BD$13:$BL$162,BP3764,0))/100)))&gt;0)*($D$10:$L$10-($D$9:$L$9+INT(($S$12:$AA$12+INDEX($AJ$13:$AR$162,BN3764,0)+INDEX($AT$13:$BB$162,BO3764,0)+INDEX($BD$13:$BL$162,BP3764,0))/100)))),0)</f>
        <v/>
      </c>
      <c r="BS3764">
        <f>IF(3751&lt;$U$9,SUMPRODUCT(($D$9:$L$9+INT(($S$12:$AA$12+INDEX($AJ$13:$AR$162,BN3764,0)+INDEX($AT$13:$BB$162,BO3764,0)+INDEX($BD$13:$BL$162,BP3764,0))/100))),0)</f>
        <v/>
      </c>
      <c r="BT3764">
        <f>IF(AND(3751&lt;$U$9,$W$5),BQ3764*1000000-MIN(BR3764,999)*1000+BS3764-3751/100000,-1000000000-3751)</f>
        <v/>
      </c>
    </row>
    <row r="3765">
      <c r="BN3765">
        <f>IF(3752&lt;$U$9,INT(3752/($U$7*$U$8))+1,1)</f>
        <v/>
      </c>
      <c r="BO3765">
        <f>IF(3752&lt;$U$9,MOD(INT(3752/$U$8),$U$7)+1,1)</f>
        <v/>
      </c>
      <c r="BP3765">
        <f>IF(3752&lt;$U$9,MOD(3752,$U$8)+1,1)</f>
        <v/>
      </c>
      <c r="BQ3765">
        <f>IF(3752&lt;$U$9,SUMPRODUCT(($D$10:$L$10&lt;&gt;"")*(($D$9:$L$9+INT(($S$12:$AA$12+INDEX($AJ$13:$AR$162,BN3765,0)+INDEX($AT$13:$BB$162,BO3765,0)+INDEX($BD$13:$BL$162,BP3765,0))/100))&gt;=$D$10:$L$10)),0)</f>
        <v/>
      </c>
      <c r="BR3765">
        <f>IF(3752&lt;$U$9,SUMPRODUCT(($D$10:$L$10&lt;&gt;"")*(($D$10:$L$10-($D$9:$L$9+INT(($S$12:$AA$12+INDEX($AJ$13:$AR$162,BN3765,0)+INDEX($AT$13:$BB$162,BO3765,0)+INDEX($BD$13:$BL$162,BP3765,0))/100)))&gt;0)*($D$10:$L$10-($D$9:$L$9+INT(($S$12:$AA$12+INDEX($AJ$13:$AR$162,BN3765,0)+INDEX($AT$13:$BB$162,BO3765,0)+INDEX($BD$13:$BL$162,BP3765,0))/100)))),0)</f>
        <v/>
      </c>
      <c r="BS3765">
        <f>IF(3752&lt;$U$9,SUMPRODUCT(($D$9:$L$9+INT(($S$12:$AA$12+INDEX($AJ$13:$AR$162,BN3765,0)+INDEX($AT$13:$BB$162,BO3765,0)+INDEX($BD$13:$BL$162,BP3765,0))/100))),0)</f>
        <v/>
      </c>
      <c r="BT3765">
        <f>IF(AND(3752&lt;$U$9,$W$5),BQ3765*1000000-MIN(BR3765,999)*1000+BS3765-3752/100000,-1000000000-3752)</f>
        <v/>
      </c>
    </row>
    <row r="3766">
      <c r="BN3766">
        <f>IF(3753&lt;$U$9,INT(3753/($U$7*$U$8))+1,1)</f>
        <v/>
      </c>
      <c r="BO3766">
        <f>IF(3753&lt;$U$9,MOD(INT(3753/$U$8),$U$7)+1,1)</f>
        <v/>
      </c>
      <c r="BP3766">
        <f>IF(3753&lt;$U$9,MOD(3753,$U$8)+1,1)</f>
        <v/>
      </c>
      <c r="BQ3766">
        <f>IF(3753&lt;$U$9,SUMPRODUCT(($D$10:$L$10&lt;&gt;"")*(($D$9:$L$9+INT(($S$12:$AA$12+INDEX($AJ$13:$AR$162,BN3766,0)+INDEX($AT$13:$BB$162,BO3766,0)+INDEX($BD$13:$BL$162,BP3766,0))/100))&gt;=$D$10:$L$10)),0)</f>
        <v/>
      </c>
      <c r="BR3766">
        <f>IF(3753&lt;$U$9,SUMPRODUCT(($D$10:$L$10&lt;&gt;"")*(($D$10:$L$10-($D$9:$L$9+INT(($S$12:$AA$12+INDEX($AJ$13:$AR$162,BN3766,0)+INDEX($AT$13:$BB$162,BO3766,0)+INDEX($BD$13:$BL$162,BP3766,0))/100)))&gt;0)*($D$10:$L$10-($D$9:$L$9+INT(($S$12:$AA$12+INDEX($AJ$13:$AR$162,BN3766,0)+INDEX($AT$13:$BB$162,BO3766,0)+INDEX($BD$13:$BL$162,BP3766,0))/100)))),0)</f>
        <v/>
      </c>
      <c r="BS3766">
        <f>IF(3753&lt;$U$9,SUMPRODUCT(($D$9:$L$9+INT(($S$12:$AA$12+INDEX($AJ$13:$AR$162,BN3766,0)+INDEX($AT$13:$BB$162,BO3766,0)+INDEX($BD$13:$BL$162,BP3766,0))/100))),0)</f>
        <v/>
      </c>
      <c r="BT3766">
        <f>IF(AND(3753&lt;$U$9,$W$5),BQ3766*1000000-MIN(BR3766,999)*1000+BS3766-3753/100000,-1000000000-3753)</f>
        <v/>
      </c>
    </row>
    <row r="3767">
      <c r="BN3767">
        <f>IF(3754&lt;$U$9,INT(3754/($U$7*$U$8))+1,1)</f>
        <v/>
      </c>
      <c r="BO3767">
        <f>IF(3754&lt;$U$9,MOD(INT(3754/$U$8),$U$7)+1,1)</f>
        <v/>
      </c>
      <c r="BP3767">
        <f>IF(3754&lt;$U$9,MOD(3754,$U$8)+1,1)</f>
        <v/>
      </c>
      <c r="BQ3767">
        <f>IF(3754&lt;$U$9,SUMPRODUCT(($D$10:$L$10&lt;&gt;"")*(($D$9:$L$9+INT(($S$12:$AA$12+INDEX($AJ$13:$AR$162,BN3767,0)+INDEX($AT$13:$BB$162,BO3767,0)+INDEX($BD$13:$BL$162,BP3767,0))/100))&gt;=$D$10:$L$10)),0)</f>
        <v/>
      </c>
      <c r="BR3767">
        <f>IF(3754&lt;$U$9,SUMPRODUCT(($D$10:$L$10&lt;&gt;"")*(($D$10:$L$10-($D$9:$L$9+INT(($S$12:$AA$12+INDEX($AJ$13:$AR$162,BN3767,0)+INDEX($AT$13:$BB$162,BO3767,0)+INDEX($BD$13:$BL$162,BP3767,0))/100)))&gt;0)*($D$10:$L$10-($D$9:$L$9+INT(($S$12:$AA$12+INDEX($AJ$13:$AR$162,BN3767,0)+INDEX($AT$13:$BB$162,BO3767,0)+INDEX($BD$13:$BL$162,BP3767,0))/100)))),0)</f>
        <v/>
      </c>
      <c r="BS3767">
        <f>IF(3754&lt;$U$9,SUMPRODUCT(($D$9:$L$9+INT(($S$12:$AA$12+INDEX($AJ$13:$AR$162,BN3767,0)+INDEX($AT$13:$BB$162,BO3767,0)+INDEX($BD$13:$BL$162,BP3767,0))/100))),0)</f>
        <v/>
      </c>
      <c r="BT3767">
        <f>IF(AND(3754&lt;$U$9,$W$5),BQ3767*1000000-MIN(BR3767,999)*1000+BS3767-3754/100000,-1000000000-3754)</f>
        <v/>
      </c>
    </row>
    <row r="3768">
      <c r="BN3768">
        <f>IF(3755&lt;$U$9,INT(3755/($U$7*$U$8))+1,1)</f>
        <v/>
      </c>
      <c r="BO3768">
        <f>IF(3755&lt;$U$9,MOD(INT(3755/$U$8),$U$7)+1,1)</f>
        <v/>
      </c>
      <c r="BP3768">
        <f>IF(3755&lt;$U$9,MOD(3755,$U$8)+1,1)</f>
        <v/>
      </c>
      <c r="BQ3768">
        <f>IF(3755&lt;$U$9,SUMPRODUCT(($D$10:$L$10&lt;&gt;"")*(($D$9:$L$9+INT(($S$12:$AA$12+INDEX($AJ$13:$AR$162,BN3768,0)+INDEX($AT$13:$BB$162,BO3768,0)+INDEX($BD$13:$BL$162,BP3768,0))/100))&gt;=$D$10:$L$10)),0)</f>
        <v/>
      </c>
      <c r="BR3768">
        <f>IF(3755&lt;$U$9,SUMPRODUCT(($D$10:$L$10&lt;&gt;"")*(($D$10:$L$10-($D$9:$L$9+INT(($S$12:$AA$12+INDEX($AJ$13:$AR$162,BN3768,0)+INDEX($AT$13:$BB$162,BO3768,0)+INDEX($BD$13:$BL$162,BP3768,0))/100)))&gt;0)*($D$10:$L$10-($D$9:$L$9+INT(($S$12:$AA$12+INDEX($AJ$13:$AR$162,BN3768,0)+INDEX($AT$13:$BB$162,BO3768,0)+INDEX($BD$13:$BL$162,BP3768,0))/100)))),0)</f>
        <v/>
      </c>
      <c r="BS3768">
        <f>IF(3755&lt;$U$9,SUMPRODUCT(($D$9:$L$9+INT(($S$12:$AA$12+INDEX($AJ$13:$AR$162,BN3768,0)+INDEX($AT$13:$BB$162,BO3768,0)+INDEX($BD$13:$BL$162,BP3768,0))/100))),0)</f>
        <v/>
      </c>
      <c r="BT3768">
        <f>IF(AND(3755&lt;$U$9,$W$5),BQ3768*1000000-MIN(BR3768,999)*1000+BS3768-3755/100000,-1000000000-3755)</f>
        <v/>
      </c>
    </row>
    <row r="3769">
      <c r="BN3769">
        <f>IF(3756&lt;$U$9,INT(3756/($U$7*$U$8))+1,1)</f>
        <v/>
      </c>
      <c r="BO3769">
        <f>IF(3756&lt;$U$9,MOD(INT(3756/$U$8),$U$7)+1,1)</f>
        <v/>
      </c>
      <c r="BP3769">
        <f>IF(3756&lt;$U$9,MOD(3756,$U$8)+1,1)</f>
        <v/>
      </c>
      <c r="BQ3769">
        <f>IF(3756&lt;$U$9,SUMPRODUCT(($D$10:$L$10&lt;&gt;"")*(($D$9:$L$9+INT(($S$12:$AA$12+INDEX($AJ$13:$AR$162,BN3769,0)+INDEX($AT$13:$BB$162,BO3769,0)+INDEX($BD$13:$BL$162,BP3769,0))/100))&gt;=$D$10:$L$10)),0)</f>
        <v/>
      </c>
      <c r="BR3769">
        <f>IF(3756&lt;$U$9,SUMPRODUCT(($D$10:$L$10&lt;&gt;"")*(($D$10:$L$10-($D$9:$L$9+INT(($S$12:$AA$12+INDEX($AJ$13:$AR$162,BN3769,0)+INDEX($AT$13:$BB$162,BO3769,0)+INDEX($BD$13:$BL$162,BP3769,0))/100)))&gt;0)*($D$10:$L$10-($D$9:$L$9+INT(($S$12:$AA$12+INDEX($AJ$13:$AR$162,BN3769,0)+INDEX($AT$13:$BB$162,BO3769,0)+INDEX($BD$13:$BL$162,BP3769,0))/100)))),0)</f>
        <v/>
      </c>
      <c r="BS3769">
        <f>IF(3756&lt;$U$9,SUMPRODUCT(($D$9:$L$9+INT(($S$12:$AA$12+INDEX($AJ$13:$AR$162,BN3769,0)+INDEX($AT$13:$BB$162,BO3769,0)+INDEX($BD$13:$BL$162,BP3769,0))/100))),0)</f>
        <v/>
      </c>
      <c r="BT3769">
        <f>IF(AND(3756&lt;$U$9,$W$5),BQ3769*1000000-MIN(BR3769,999)*1000+BS3769-3756/100000,-1000000000-3756)</f>
        <v/>
      </c>
    </row>
    <row r="3770">
      <c r="BN3770">
        <f>IF(3757&lt;$U$9,INT(3757/($U$7*$U$8))+1,1)</f>
        <v/>
      </c>
      <c r="BO3770">
        <f>IF(3757&lt;$U$9,MOD(INT(3757/$U$8),$U$7)+1,1)</f>
        <v/>
      </c>
      <c r="BP3770">
        <f>IF(3757&lt;$U$9,MOD(3757,$U$8)+1,1)</f>
        <v/>
      </c>
      <c r="BQ3770">
        <f>IF(3757&lt;$U$9,SUMPRODUCT(($D$10:$L$10&lt;&gt;"")*(($D$9:$L$9+INT(($S$12:$AA$12+INDEX($AJ$13:$AR$162,BN3770,0)+INDEX($AT$13:$BB$162,BO3770,0)+INDEX($BD$13:$BL$162,BP3770,0))/100))&gt;=$D$10:$L$10)),0)</f>
        <v/>
      </c>
      <c r="BR3770">
        <f>IF(3757&lt;$U$9,SUMPRODUCT(($D$10:$L$10&lt;&gt;"")*(($D$10:$L$10-($D$9:$L$9+INT(($S$12:$AA$12+INDEX($AJ$13:$AR$162,BN3770,0)+INDEX($AT$13:$BB$162,BO3770,0)+INDEX($BD$13:$BL$162,BP3770,0))/100)))&gt;0)*($D$10:$L$10-($D$9:$L$9+INT(($S$12:$AA$12+INDEX($AJ$13:$AR$162,BN3770,0)+INDEX($AT$13:$BB$162,BO3770,0)+INDEX($BD$13:$BL$162,BP3770,0))/100)))),0)</f>
        <v/>
      </c>
      <c r="BS3770">
        <f>IF(3757&lt;$U$9,SUMPRODUCT(($D$9:$L$9+INT(($S$12:$AA$12+INDEX($AJ$13:$AR$162,BN3770,0)+INDEX($AT$13:$BB$162,BO3770,0)+INDEX($BD$13:$BL$162,BP3770,0))/100))),0)</f>
        <v/>
      </c>
      <c r="BT3770">
        <f>IF(AND(3757&lt;$U$9,$W$5),BQ3770*1000000-MIN(BR3770,999)*1000+BS3770-3757/100000,-1000000000-3757)</f>
        <v/>
      </c>
    </row>
    <row r="3771">
      <c r="BN3771">
        <f>IF(3758&lt;$U$9,INT(3758/($U$7*$U$8))+1,1)</f>
        <v/>
      </c>
      <c r="BO3771">
        <f>IF(3758&lt;$U$9,MOD(INT(3758/$U$8),$U$7)+1,1)</f>
        <v/>
      </c>
      <c r="BP3771">
        <f>IF(3758&lt;$U$9,MOD(3758,$U$8)+1,1)</f>
        <v/>
      </c>
      <c r="BQ3771">
        <f>IF(3758&lt;$U$9,SUMPRODUCT(($D$10:$L$10&lt;&gt;"")*(($D$9:$L$9+INT(($S$12:$AA$12+INDEX($AJ$13:$AR$162,BN3771,0)+INDEX($AT$13:$BB$162,BO3771,0)+INDEX($BD$13:$BL$162,BP3771,0))/100))&gt;=$D$10:$L$10)),0)</f>
        <v/>
      </c>
      <c r="BR3771">
        <f>IF(3758&lt;$U$9,SUMPRODUCT(($D$10:$L$10&lt;&gt;"")*(($D$10:$L$10-($D$9:$L$9+INT(($S$12:$AA$12+INDEX($AJ$13:$AR$162,BN3771,0)+INDEX($AT$13:$BB$162,BO3771,0)+INDEX($BD$13:$BL$162,BP3771,0))/100)))&gt;0)*($D$10:$L$10-($D$9:$L$9+INT(($S$12:$AA$12+INDEX($AJ$13:$AR$162,BN3771,0)+INDEX($AT$13:$BB$162,BO3771,0)+INDEX($BD$13:$BL$162,BP3771,0))/100)))),0)</f>
        <v/>
      </c>
      <c r="BS3771">
        <f>IF(3758&lt;$U$9,SUMPRODUCT(($D$9:$L$9+INT(($S$12:$AA$12+INDEX($AJ$13:$AR$162,BN3771,0)+INDEX($AT$13:$BB$162,BO3771,0)+INDEX($BD$13:$BL$162,BP3771,0))/100))),0)</f>
        <v/>
      </c>
      <c r="BT3771">
        <f>IF(AND(3758&lt;$U$9,$W$5),BQ3771*1000000-MIN(BR3771,999)*1000+BS3771-3758/100000,-1000000000-3758)</f>
        <v/>
      </c>
    </row>
    <row r="3772">
      <c r="BN3772">
        <f>IF(3759&lt;$U$9,INT(3759/($U$7*$U$8))+1,1)</f>
        <v/>
      </c>
      <c r="BO3772">
        <f>IF(3759&lt;$U$9,MOD(INT(3759/$U$8),$U$7)+1,1)</f>
        <v/>
      </c>
      <c r="BP3772">
        <f>IF(3759&lt;$U$9,MOD(3759,$U$8)+1,1)</f>
        <v/>
      </c>
      <c r="BQ3772">
        <f>IF(3759&lt;$U$9,SUMPRODUCT(($D$10:$L$10&lt;&gt;"")*(($D$9:$L$9+INT(($S$12:$AA$12+INDEX($AJ$13:$AR$162,BN3772,0)+INDEX($AT$13:$BB$162,BO3772,0)+INDEX($BD$13:$BL$162,BP3772,0))/100))&gt;=$D$10:$L$10)),0)</f>
        <v/>
      </c>
      <c r="BR3772">
        <f>IF(3759&lt;$U$9,SUMPRODUCT(($D$10:$L$10&lt;&gt;"")*(($D$10:$L$10-($D$9:$L$9+INT(($S$12:$AA$12+INDEX($AJ$13:$AR$162,BN3772,0)+INDEX($AT$13:$BB$162,BO3772,0)+INDEX($BD$13:$BL$162,BP3772,0))/100)))&gt;0)*($D$10:$L$10-($D$9:$L$9+INT(($S$12:$AA$12+INDEX($AJ$13:$AR$162,BN3772,0)+INDEX($AT$13:$BB$162,BO3772,0)+INDEX($BD$13:$BL$162,BP3772,0))/100)))),0)</f>
        <v/>
      </c>
      <c r="BS3772">
        <f>IF(3759&lt;$U$9,SUMPRODUCT(($D$9:$L$9+INT(($S$12:$AA$12+INDEX($AJ$13:$AR$162,BN3772,0)+INDEX($AT$13:$BB$162,BO3772,0)+INDEX($BD$13:$BL$162,BP3772,0))/100))),0)</f>
        <v/>
      </c>
      <c r="BT3772">
        <f>IF(AND(3759&lt;$U$9,$W$5),BQ3772*1000000-MIN(BR3772,999)*1000+BS3772-3759/100000,-1000000000-3759)</f>
        <v/>
      </c>
    </row>
    <row r="3773">
      <c r="BN3773">
        <f>IF(3760&lt;$U$9,INT(3760/($U$7*$U$8))+1,1)</f>
        <v/>
      </c>
      <c r="BO3773">
        <f>IF(3760&lt;$U$9,MOD(INT(3760/$U$8),$U$7)+1,1)</f>
        <v/>
      </c>
      <c r="BP3773">
        <f>IF(3760&lt;$U$9,MOD(3760,$U$8)+1,1)</f>
        <v/>
      </c>
      <c r="BQ3773">
        <f>IF(3760&lt;$U$9,SUMPRODUCT(($D$10:$L$10&lt;&gt;"")*(($D$9:$L$9+INT(($S$12:$AA$12+INDEX($AJ$13:$AR$162,BN3773,0)+INDEX($AT$13:$BB$162,BO3773,0)+INDEX($BD$13:$BL$162,BP3773,0))/100))&gt;=$D$10:$L$10)),0)</f>
        <v/>
      </c>
      <c r="BR3773">
        <f>IF(3760&lt;$U$9,SUMPRODUCT(($D$10:$L$10&lt;&gt;"")*(($D$10:$L$10-($D$9:$L$9+INT(($S$12:$AA$12+INDEX($AJ$13:$AR$162,BN3773,0)+INDEX($AT$13:$BB$162,BO3773,0)+INDEX($BD$13:$BL$162,BP3773,0))/100)))&gt;0)*($D$10:$L$10-($D$9:$L$9+INT(($S$12:$AA$12+INDEX($AJ$13:$AR$162,BN3773,0)+INDEX($AT$13:$BB$162,BO3773,0)+INDEX($BD$13:$BL$162,BP3773,0))/100)))),0)</f>
        <v/>
      </c>
      <c r="BS3773">
        <f>IF(3760&lt;$U$9,SUMPRODUCT(($D$9:$L$9+INT(($S$12:$AA$12+INDEX($AJ$13:$AR$162,BN3773,0)+INDEX($AT$13:$BB$162,BO3773,0)+INDEX($BD$13:$BL$162,BP3773,0))/100))),0)</f>
        <v/>
      </c>
      <c r="BT3773">
        <f>IF(AND(3760&lt;$U$9,$W$5),BQ3773*1000000-MIN(BR3773,999)*1000+BS3773-3760/100000,-1000000000-3760)</f>
        <v/>
      </c>
    </row>
    <row r="3774">
      <c r="BN3774">
        <f>IF(3761&lt;$U$9,INT(3761/($U$7*$U$8))+1,1)</f>
        <v/>
      </c>
      <c r="BO3774">
        <f>IF(3761&lt;$U$9,MOD(INT(3761/$U$8),$U$7)+1,1)</f>
        <v/>
      </c>
      <c r="BP3774">
        <f>IF(3761&lt;$U$9,MOD(3761,$U$8)+1,1)</f>
        <v/>
      </c>
      <c r="BQ3774">
        <f>IF(3761&lt;$U$9,SUMPRODUCT(($D$10:$L$10&lt;&gt;"")*(($D$9:$L$9+INT(($S$12:$AA$12+INDEX($AJ$13:$AR$162,BN3774,0)+INDEX($AT$13:$BB$162,BO3774,0)+INDEX($BD$13:$BL$162,BP3774,0))/100))&gt;=$D$10:$L$10)),0)</f>
        <v/>
      </c>
      <c r="BR3774">
        <f>IF(3761&lt;$U$9,SUMPRODUCT(($D$10:$L$10&lt;&gt;"")*(($D$10:$L$10-($D$9:$L$9+INT(($S$12:$AA$12+INDEX($AJ$13:$AR$162,BN3774,0)+INDEX($AT$13:$BB$162,BO3774,0)+INDEX($BD$13:$BL$162,BP3774,0))/100)))&gt;0)*($D$10:$L$10-($D$9:$L$9+INT(($S$12:$AA$12+INDEX($AJ$13:$AR$162,BN3774,0)+INDEX($AT$13:$BB$162,BO3774,0)+INDEX($BD$13:$BL$162,BP3774,0))/100)))),0)</f>
        <v/>
      </c>
      <c r="BS3774">
        <f>IF(3761&lt;$U$9,SUMPRODUCT(($D$9:$L$9+INT(($S$12:$AA$12+INDEX($AJ$13:$AR$162,BN3774,0)+INDEX($AT$13:$BB$162,BO3774,0)+INDEX($BD$13:$BL$162,BP3774,0))/100))),0)</f>
        <v/>
      </c>
      <c r="BT3774">
        <f>IF(AND(3761&lt;$U$9,$W$5),BQ3774*1000000-MIN(BR3774,999)*1000+BS3774-3761/100000,-1000000000-3761)</f>
        <v/>
      </c>
    </row>
    <row r="3775">
      <c r="BN3775">
        <f>IF(3762&lt;$U$9,INT(3762/($U$7*$U$8))+1,1)</f>
        <v/>
      </c>
      <c r="BO3775">
        <f>IF(3762&lt;$U$9,MOD(INT(3762/$U$8),$U$7)+1,1)</f>
        <v/>
      </c>
      <c r="BP3775">
        <f>IF(3762&lt;$U$9,MOD(3762,$U$8)+1,1)</f>
        <v/>
      </c>
      <c r="BQ3775">
        <f>IF(3762&lt;$U$9,SUMPRODUCT(($D$10:$L$10&lt;&gt;"")*(($D$9:$L$9+INT(($S$12:$AA$12+INDEX($AJ$13:$AR$162,BN3775,0)+INDEX($AT$13:$BB$162,BO3775,0)+INDEX($BD$13:$BL$162,BP3775,0))/100))&gt;=$D$10:$L$10)),0)</f>
        <v/>
      </c>
      <c r="BR3775">
        <f>IF(3762&lt;$U$9,SUMPRODUCT(($D$10:$L$10&lt;&gt;"")*(($D$10:$L$10-($D$9:$L$9+INT(($S$12:$AA$12+INDEX($AJ$13:$AR$162,BN3775,0)+INDEX($AT$13:$BB$162,BO3775,0)+INDEX($BD$13:$BL$162,BP3775,0))/100)))&gt;0)*($D$10:$L$10-($D$9:$L$9+INT(($S$12:$AA$12+INDEX($AJ$13:$AR$162,BN3775,0)+INDEX($AT$13:$BB$162,BO3775,0)+INDEX($BD$13:$BL$162,BP3775,0))/100)))),0)</f>
        <v/>
      </c>
      <c r="BS3775">
        <f>IF(3762&lt;$U$9,SUMPRODUCT(($D$9:$L$9+INT(($S$12:$AA$12+INDEX($AJ$13:$AR$162,BN3775,0)+INDEX($AT$13:$BB$162,BO3775,0)+INDEX($BD$13:$BL$162,BP3775,0))/100))),0)</f>
        <v/>
      </c>
      <c r="BT3775">
        <f>IF(AND(3762&lt;$U$9,$W$5),BQ3775*1000000-MIN(BR3775,999)*1000+BS3775-3762/100000,-1000000000-3762)</f>
        <v/>
      </c>
    </row>
    <row r="3776">
      <c r="BN3776">
        <f>IF(3763&lt;$U$9,INT(3763/($U$7*$U$8))+1,1)</f>
        <v/>
      </c>
      <c r="BO3776">
        <f>IF(3763&lt;$U$9,MOD(INT(3763/$U$8),$U$7)+1,1)</f>
        <v/>
      </c>
      <c r="BP3776">
        <f>IF(3763&lt;$U$9,MOD(3763,$U$8)+1,1)</f>
        <v/>
      </c>
      <c r="BQ3776">
        <f>IF(3763&lt;$U$9,SUMPRODUCT(($D$10:$L$10&lt;&gt;"")*(($D$9:$L$9+INT(($S$12:$AA$12+INDEX($AJ$13:$AR$162,BN3776,0)+INDEX($AT$13:$BB$162,BO3776,0)+INDEX($BD$13:$BL$162,BP3776,0))/100))&gt;=$D$10:$L$10)),0)</f>
        <v/>
      </c>
      <c r="BR3776">
        <f>IF(3763&lt;$U$9,SUMPRODUCT(($D$10:$L$10&lt;&gt;"")*(($D$10:$L$10-($D$9:$L$9+INT(($S$12:$AA$12+INDEX($AJ$13:$AR$162,BN3776,0)+INDEX($AT$13:$BB$162,BO3776,0)+INDEX($BD$13:$BL$162,BP3776,0))/100)))&gt;0)*($D$10:$L$10-($D$9:$L$9+INT(($S$12:$AA$12+INDEX($AJ$13:$AR$162,BN3776,0)+INDEX($AT$13:$BB$162,BO3776,0)+INDEX($BD$13:$BL$162,BP3776,0))/100)))),0)</f>
        <v/>
      </c>
      <c r="BS3776">
        <f>IF(3763&lt;$U$9,SUMPRODUCT(($D$9:$L$9+INT(($S$12:$AA$12+INDEX($AJ$13:$AR$162,BN3776,0)+INDEX($AT$13:$BB$162,BO3776,0)+INDEX($BD$13:$BL$162,BP3776,0))/100))),0)</f>
        <v/>
      </c>
      <c r="BT3776">
        <f>IF(AND(3763&lt;$U$9,$W$5),BQ3776*1000000-MIN(BR3776,999)*1000+BS3776-3763/100000,-1000000000-3763)</f>
        <v/>
      </c>
    </row>
    <row r="3777">
      <c r="BN3777">
        <f>IF(3764&lt;$U$9,INT(3764/($U$7*$U$8))+1,1)</f>
        <v/>
      </c>
      <c r="BO3777">
        <f>IF(3764&lt;$U$9,MOD(INT(3764/$U$8),$U$7)+1,1)</f>
        <v/>
      </c>
      <c r="BP3777">
        <f>IF(3764&lt;$U$9,MOD(3764,$U$8)+1,1)</f>
        <v/>
      </c>
      <c r="BQ3777">
        <f>IF(3764&lt;$U$9,SUMPRODUCT(($D$10:$L$10&lt;&gt;"")*(($D$9:$L$9+INT(($S$12:$AA$12+INDEX($AJ$13:$AR$162,BN3777,0)+INDEX($AT$13:$BB$162,BO3777,0)+INDEX($BD$13:$BL$162,BP3777,0))/100))&gt;=$D$10:$L$10)),0)</f>
        <v/>
      </c>
      <c r="BR3777">
        <f>IF(3764&lt;$U$9,SUMPRODUCT(($D$10:$L$10&lt;&gt;"")*(($D$10:$L$10-($D$9:$L$9+INT(($S$12:$AA$12+INDEX($AJ$13:$AR$162,BN3777,0)+INDEX($AT$13:$BB$162,BO3777,0)+INDEX($BD$13:$BL$162,BP3777,0))/100)))&gt;0)*($D$10:$L$10-($D$9:$L$9+INT(($S$12:$AA$12+INDEX($AJ$13:$AR$162,BN3777,0)+INDEX($AT$13:$BB$162,BO3777,0)+INDEX($BD$13:$BL$162,BP3777,0))/100)))),0)</f>
        <v/>
      </c>
      <c r="BS3777">
        <f>IF(3764&lt;$U$9,SUMPRODUCT(($D$9:$L$9+INT(($S$12:$AA$12+INDEX($AJ$13:$AR$162,BN3777,0)+INDEX($AT$13:$BB$162,BO3777,0)+INDEX($BD$13:$BL$162,BP3777,0))/100))),0)</f>
        <v/>
      </c>
      <c r="BT3777">
        <f>IF(AND(3764&lt;$U$9,$W$5),BQ3777*1000000-MIN(BR3777,999)*1000+BS3777-3764/100000,-1000000000-3764)</f>
        <v/>
      </c>
    </row>
    <row r="3778">
      <c r="BN3778">
        <f>IF(3765&lt;$U$9,INT(3765/($U$7*$U$8))+1,1)</f>
        <v/>
      </c>
      <c r="BO3778">
        <f>IF(3765&lt;$U$9,MOD(INT(3765/$U$8),$U$7)+1,1)</f>
        <v/>
      </c>
      <c r="BP3778">
        <f>IF(3765&lt;$U$9,MOD(3765,$U$8)+1,1)</f>
        <v/>
      </c>
      <c r="BQ3778">
        <f>IF(3765&lt;$U$9,SUMPRODUCT(($D$10:$L$10&lt;&gt;"")*(($D$9:$L$9+INT(($S$12:$AA$12+INDEX($AJ$13:$AR$162,BN3778,0)+INDEX($AT$13:$BB$162,BO3778,0)+INDEX($BD$13:$BL$162,BP3778,0))/100))&gt;=$D$10:$L$10)),0)</f>
        <v/>
      </c>
      <c r="BR3778">
        <f>IF(3765&lt;$U$9,SUMPRODUCT(($D$10:$L$10&lt;&gt;"")*(($D$10:$L$10-($D$9:$L$9+INT(($S$12:$AA$12+INDEX($AJ$13:$AR$162,BN3778,0)+INDEX($AT$13:$BB$162,BO3778,0)+INDEX($BD$13:$BL$162,BP3778,0))/100)))&gt;0)*($D$10:$L$10-($D$9:$L$9+INT(($S$12:$AA$12+INDEX($AJ$13:$AR$162,BN3778,0)+INDEX($AT$13:$BB$162,BO3778,0)+INDEX($BD$13:$BL$162,BP3778,0))/100)))),0)</f>
        <v/>
      </c>
      <c r="BS3778">
        <f>IF(3765&lt;$U$9,SUMPRODUCT(($D$9:$L$9+INT(($S$12:$AA$12+INDEX($AJ$13:$AR$162,BN3778,0)+INDEX($AT$13:$BB$162,BO3778,0)+INDEX($BD$13:$BL$162,BP3778,0))/100))),0)</f>
        <v/>
      </c>
      <c r="BT3778">
        <f>IF(AND(3765&lt;$U$9,$W$5),BQ3778*1000000-MIN(BR3778,999)*1000+BS3778-3765/100000,-1000000000-3765)</f>
        <v/>
      </c>
    </row>
    <row r="3779">
      <c r="BN3779">
        <f>IF(3766&lt;$U$9,INT(3766/($U$7*$U$8))+1,1)</f>
        <v/>
      </c>
      <c r="BO3779">
        <f>IF(3766&lt;$U$9,MOD(INT(3766/$U$8),$U$7)+1,1)</f>
        <v/>
      </c>
      <c r="BP3779">
        <f>IF(3766&lt;$U$9,MOD(3766,$U$8)+1,1)</f>
        <v/>
      </c>
      <c r="BQ3779">
        <f>IF(3766&lt;$U$9,SUMPRODUCT(($D$10:$L$10&lt;&gt;"")*(($D$9:$L$9+INT(($S$12:$AA$12+INDEX($AJ$13:$AR$162,BN3779,0)+INDEX($AT$13:$BB$162,BO3779,0)+INDEX($BD$13:$BL$162,BP3779,0))/100))&gt;=$D$10:$L$10)),0)</f>
        <v/>
      </c>
      <c r="BR3779">
        <f>IF(3766&lt;$U$9,SUMPRODUCT(($D$10:$L$10&lt;&gt;"")*(($D$10:$L$10-($D$9:$L$9+INT(($S$12:$AA$12+INDEX($AJ$13:$AR$162,BN3779,0)+INDEX($AT$13:$BB$162,BO3779,0)+INDEX($BD$13:$BL$162,BP3779,0))/100)))&gt;0)*($D$10:$L$10-($D$9:$L$9+INT(($S$12:$AA$12+INDEX($AJ$13:$AR$162,BN3779,0)+INDEX($AT$13:$BB$162,BO3779,0)+INDEX($BD$13:$BL$162,BP3779,0))/100)))),0)</f>
        <v/>
      </c>
      <c r="BS3779">
        <f>IF(3766&lt;$U$9,SUMPRODUCT(($D$9:$L$9+INT(($S$12:$AA$12+INDEX($AJ$13:$AR$162,BN3779,0)+INDEX($AT$13:$BB$162,BO3779,0)+INDEX($BD$13:$BL$162,BP3779,0))/100))),0)</f>
        <v/>
      </c>
      <c r="BT3779">
        <f>IF(AND(3766&lt;$U$9,$W$5),BQ3779*1000000-MIN(BR3779,999)*1000+BS3779-3766/100000,-1000000000-3766)</f>
        <v/>
      </c>
    </row>
    <row r="3780">
      <c r="BN3780">
        <f>IF(3767&lt;$U$9,INT(3767/($U$7*$U$8))+1,1)</f>
        <v/>
      </c>
      <c r="BO3780">
        <f>IF(3767&lt;$U$9,MOD(INT(3767/$U$8),$U$7)+1,1)</f>
        <v/>
      </c>
      <c r="BP3780">
        <f>IF(3767&lt;$U$9,MOD(3767,$U$8)+1,1)</f>
        <v/>
      </c>
      <c r="BQ3780">
        <f>IF(3767&lt;$U$9,SUMPRODUCT(($D$10:$L$10&lt;&gt;"")*(($D$9:$L$9+INT(($S$12:$AA$12+INDEX($AJ$13:$AR$162,BN3780,0)+INDEX($AT$13:$BB$162,BO3780,0)+INDEX($BD$13:$BL$162,BP3780,0))/100))&gt;=$D$10:$L$10)),0)</f>
        <v/>
      </c>
      <c r="BR3780">
        <f>IF(3767&lt;$U$9,SUMPRODUCT(($D$10:$L$10&lt;&gt;"")*(($D$10:$L$10-($D$9:$L$9+INT(($S$12:$AA$12+INDEX($AJ$13:$AR$162,BN3780,0)+INDEX($AT$13:$BB$162,BO3780,0)+INDEX($BD$13:$BL$162,BP3780,0))/100)))&gt;0)*($D$10:$L$10-($D$9:$L$9+INT(($S$12:$AA$12+INDEX($AJ$13:$AR$162,BN3780,0)+INDEX($AT$13:$BB$162,BO3780,0)+INDEX($BD$13:$BL$162,BP3780,0))/100)))),0)</f>
        <v/>
      </c>
      <c r="BS3780">
        <f>IF(3767&lt;$U$9,SUMPRODUCT(($D$9:$L$9+INT(($S$12:$AA$12+INDEX($AJ$13:$AR$162,BN3780,0)+INDEX($AT$13:$BB$162,BO3780,0)+INDEX($BD$13:$BL$162,BP3780,0))/100))),0)</f>
        <v/>
      </c>
      <c r="BT3780">
        <f>IF(AND(3767&lt;$U$9,$W$5),BQ3780*1000000-MIN(BR3780,999)*1000+BS3780-3767/100000,-1000000000-3767)</f>
        <v/>
      </c>
    </row>
    <row r="3781">
      <c r="BN3781">
        <f>IF(3768&lt;$U$9,INT(3768/($U$7*$U$8))+1,1)</f>
        <v/>
      </c>
      <c r="BO3781">
        <f>IF(3768&lt;$U$9,MOD(INT(3768/$U$8),$U$7)+1,1)</f>
        <v/>
      </c>
      <c r="BP3781">
        <f>IF(3768&lt;$U$9,MOD(3768,$U$8)+1,1)</f>
        <v/>
      </c>
      <c r="BQ3781">
        <f>IF(3768&lt;$U$9,SUMPRODUCT(($D$10:$L$10&lt;&gt;"")*(($D$9:$L$9+INT(($S$12:$AA$12+INDEX($AJ$13:$AR$162,BN3781,0)+INDEX($AT$13:$BB$162,BO3781,0)+INDEX($BD$13:$BL$162,BP3781,0))/100))&gt;=$D$10:$L$10)),0)</f>
        <v/>
      </c>
      <c r="BR3781">
        <f>IF(3768&lt;$U$9,SUMPRODUCT(($D$10:$L$10&lt;&gt;"")*(($D$10:$L$10-($D$9:$L$9+INT(($S$12:$AA$12+INDEX($AJ$13:$AR$162,BN3781,0)+INDEX($AT$13:$BB$162,BO3781,0)+INDEX($BD$13:$BL$162,BP3781,0))/100)))&gt;0)*($D$10:$L$10-($D$9:$L$9+INT(($S$12:$AA$12+INDEX($AJ$13:$AR$162,BN3781,0)+INDEX($AT$13:$BB$162,BO3781,0)+INDEX($BD$13:$BL$162,BP3781,0))/100)))),0)</f>
        <v/>
      </c>
      <c r="BS3781">
        <f>IF(3768&lt;$U$9,SUMPRODUCT(($D$9:$L$9+INT(($S$12:$AA$12+INDEX($AJ$13:$AR$162,BN3781,0)+INDEX($AT$13:$BB$162,BO3781,0)+INDEX($BD$13:$BL$162,BP3781,0))/100))),0)</f>
        <v/>
      </c>
      <c r="BT3781">
        <f>IF(AND(3768&lt;$U$9,$W$5),BQ3781*1000000-MIN(BR3781,999)*1000+BS3781-3768/100000,-1000000000-3768)</f>
        <v/>
      </c>
    </row>
    <row r="3782">
      <c r="BN3782">
        <f>IF(3769&lt;$U$9,INT(3769/($U$7*$U$8))+1,1)</f>
        <v/>
      </c>
      <c r="BO3782">
        <f>IF(3769&lt;$U$9,MOD(INT(3769/$U$8),$U$7)+1,1)</f>
        <v/>
      </c>
      <c r="BP3782">
        <f>IF(3769&lt;$U$9,MOD(3769,$U$8)+1,1)</f>
        <v/>
      </c>
      <c r="BQ3782">
        <f>IF(3769&lt;$U$9,SUMPRODUCT(($D$10:$L$10&lt;&gt;"")*(($D$9:$L$9+INT(($S$12:$AA$12+INDEX($AJ$13:$AR$162,BN3782,0)+INDEX($AT$13:$BB$162,BO3782,0)+INDEX($BD$13:$BL$162,BP3782,0))/100))&gt;=$D$10:$L$10)),0)</f>
        <v/>
      </c>
      <c r="BR3782">
        <f>IF(3769&lt;$U$9,SUMPRODUCT(($D$10:$L$10&lt;&gt;"")*(($D$10:$L$10-($D$9:$L$9+INT(($S$12:$AA$12+INDEX($AJ$13:$AR$162,BN3782,0)+INDEX($AT$13:$BB$162,BO3782,0)+INDEX($BD$13:$BL$162,BP3782,0))/100)))&gt;0)*($D$10:$L$10-($D$9:$L$9+INT(($S$12:$AA$12+INDEX($AJ$13:$AR$162,BN3782,0)+INDEX($AT$13:$BB$162,BO3782,0)+INDEX($BD$13:$BL$162,BP3782,0))/100)))),0)</f>
        <v/>
      </c>
      <c r="BS3782">
        <f>IF(3769&lt;$U$9,SUMPRODUCT(($D$9:$L$9+INT(($S$12:$AA$12+INDEX($AJ$13:$AR$162,BN3782,0)+INDEX($AT$13:$BB$162,BO3782,0)+INDEX($BD$13:$BL$162,BP3782,0))/100))),0)</f>
        <v/>
      </c>
      <c r="BT3782">
        <f>IF(AND(3769&lt;$U$9,$W$5),BQ3782*1000000-MIN(BR3782,999)*1000+BS3782-3769/100000,-1000000000-3769)</f>
        <v/>
      </c>
    </row>
    <row r="3783">
      <c r="BN3783">
        <f>IF(3770&lt;$U$9,INT(3770/($U$7*$U$8))+1,1)</f>
        <v/>
      </c>
      <c r="BO3783">
        <f>IF(3770&lt;$U$9,MOD(INT(3770/$U$8),$U$7)+1,1)</f>
        <v/>
      </c>
      <c r="BP3783">
        <f>IF(3770&lt;$U$9,MOD(3770,$U$8)+1,1)</f>
        <v/>
      </c>
      <c r="BQ3783">
        <f>IF(3770&lt;$U$9,SUMPRODUCT(($D$10:$L$10&lt;&gt;"")*(($D$9:$L$9+INT(($S$12:$AA$12+INDEX($AJ$13:$AR$162,BN3783,0)+INDEX($AT$13:$BB$162,BO3783,0)+INDEX($BD$13:$BL$162,BP3783,0))/100))&gt;=$D$10:$L$10)),0)</f>
        <v/>
      </c>
      <c r="BR3783">
        <f>IF(3770&lt;$U$9,SUMPRODUCT(($D$10:$L$10&lt;&gt;"")*(($D$10:$L$10-($D$9:$L$9+INT(($S$12:$AA$12+INDEX($AJ$13:$AR$162,BN3783,0)+INDEX($AT$13:$BB$162,BO3783,0)+INDEX($BD$13:$BL$162,BP3783,0))/100)))&gt;0)*($D$10:$L$10-($D$9:$L$9+INT(($S$12:$AA$12+INDEX($AJ$13:$AR$162,BN3783,0)+INDEX($AT$13:$BB$162,BO3783,0)+INDEX($BD$13:$BL$162,BP3783,0))/100)))),0)</f>
        <v/>
      </c>
      <c r="BS3783">
        <f>IF(3770&lt;$U$9,SUMPRODUCT(($D$9:$L$9+INT(($S$12:$AA$12+INDEX($AJ$13:$AR$162,BN3783,0)+INDEX($AT$13:$BB$162,BO3783,0)+INDEX($BD$13:$BL$162,BP3783,0))/100))),0)</f>
        <v/>
      </c>
      <c r="BT3783">
        <f>IF(AND(3770&lt;$U$9,$W$5),BQ3783*1000000-MIN(BR3783,999)*1000+BS3783-3770/100000,-1000000000-3770)</f>
        <v/>
      </c>
    </row>
    <row r="3784">
      <c r="BN3784">
        <f>IF(3771&lt;$U$9,INT(3771/($U$7*$U$8))+1,1)</f>
        <v/>
      </c>
      <c r="BO3784">
        <f>IF(3771&lt;$U$9,MOD(INT(3771/$U$8),$U$7)+1,1)</f>
        <v/>
      </c>
      <c r="BP3784">
        <f>IF(3771&lt;$U$9,MOD(3771,$U$8)+1,1)</f>
        <v/>
      </c>
      <c r="BQ3784">
        <f>IF(3771&lt;$U$9,SUMPRODUCT(($D$10:$L$10&lt;&gt;"")*(($D$9:$L$9+INT(($S$12:$AA$12+INDEX($AJ$13:$AR$162,BN3784,0)+INDEX($AT$13:$BB$162,BO3784,0)+INDEX($BD$13:$BL$162,BP3784,0))/100))&gt;=$D$10:$L$10)),0)</f>
        <v/>
      </c>
      <c r="BR3784">
        <f>IF(3771&lt;$U$9,SUMPRODUCT(($D$10:$L$10&lt;&gt;"")*(($D$10:$L$10-($D$9:$L$9+INT(($S$12:$AA$12+INDEX($AJ$13:$AR$162,BN3784,0)+INDEX($AT$13:$BB$162,BO3784,0)+INDEX($BD$13:$BL$162,BP3784,0))/100)))&gt;0)*($D$10:$L$10-($D$9:$L$9+INT(($S$12:$AA$12+INDEX($AJ$13:$AR$162,BN3784,0)+INDEX($AT$13:$BB$162,BO3784,0)+INDEX($BD$13:$BL$162,BP3784,0))/100)))),0)</f>
        <v/>
      </c>
      <c r="BS3784">
        <f>IF(3771&lt;$U$9,SUMPRODUCT(($D$9:$L$9+INT(($S$12:$AA$12+INDEX($AJ$13:$AR$162,BN3784,0)+INDEX($AT$13:$BB$162,BO3784,0)+INDEX($BD$13:$BL$162,BP3784,0))/100))),0)</f>
        <v/>
      </c>
      <c r="BT3784">
        <f>IF(AND(3771&lt;$U$9,$W$5),BQ3784*1000000-MIN(BR3784,999)*1000+BS3784-3771/100000,-1000000000-3771)</f>
        <v/>
      </c>
    </row>
    <row r="3785">
      <c r="BN3785">
        <f>IF(3772&lt;$U$9,INT(3772/($U$7*$U$8))+1,1)</f>
        <v/>
      </c>
      <c r="BO3785">
        <f>IF(3772&lt;$U$9,MOD(INT(3772/$U$8),$U$7)+1,1)</f>
        <v/>
      </c>
      <c r="BP3785">
        <f>IF(3772&lt;$U$9,MOD(3772,$U$8)+1,1)</f>
        <v/>
      </c>
      <c r="BQ3785">
        <f>IF(3772&lt;$U$9,SUMPRODUCT(($D$10:$L$10&lt;&gt;"")*(($D$9:$L$9+INT(($S$12:$AA$12+INDEX($AJ$13:$AR$162,BN3785,0)+INDEX($AT$13:$BB$162,BO3785,0)+INDEX($BD$13:$BL$162,BP3785,0))/100))&gt;=$D$10:$L$10)),0)</f>
        <v/>
      </c>
      <c r="BR3785">
        <f>IF(3772&lt;$U$9,SUMPRODUCT(($D$10:$L$10&lt;&gt;"")*(($D$10:$L$10-($D$9:$L$9+INT(($S$12:$AA$12+INDEX($AJ$13:$AR$162,BN3785,0)+INDEX($AT$13:$BB$162,BO3785,0)+INDEX($BD$13:$BL$162,BP3785,0))/100)))&gt;0)*($D$10:$L$10-($D$9:$L$9+INT(($S$12:$AA$12+INDEX($AJ$13:$AR$162,BN3785,0)+INDEX($AT$13:$BB$162,BO3785,0)+INDEX($BD$13:$BL$162,BP3785,0))/100)))),0)</f>
        <v/>
      </c>
      <c r="BS3785">
        <f>IF(3772&lt;$U$9,SUMPRODUCT(($D$9:$L$9+INT(($S$12:$AA$12+INDEX($AJ$13:$AR$162,BN3785,0)+INDEX($AT$13:$BB$162,BO3785,0)+INDEX($BD$13:$BL$162,BP3785,0))/100))),0)</f>
        <v/>
      </c>
      <c r="BT3785">
        <f>IF(AND(3772&lt;$U$9,$W$5),BQ3785*1000000-MIN(BR3785,999)*1000+BS3785-3772/100000,-1000000000-3772)</f>
        <v/>
      </c>
    </row>
    <row r="3786">
      <c r="BN3786">
        <f>IF(3773&lt;$U$9,INT(3773/($U$7*$U$8))+1,1)</f>
        <v/>
      </c>
      <c r="BO3786">
        <f>IF(3773&lt;$U$9,MOD(INT(3773/$U$8),$U$7)+1,1)</f>
        <v/>
      </c>
      <c r="BP3786">
        <f>IF(3773&lt;$U$9,MOD(3773,$U$8)+1,1)</f>
        <v/>
      </c>
      <c r="BQ3786">
        <f>IF(3773&lt;$U$9,SUMPRODUCT(($D$10:$L$10&lt;&gt;"")*(($D$9:$L$9+INT(($S$12:$AA$12+INDEX($AJ$13:$AR$162,BN3786,0)+INDEX($AT$13:$BB$162,BO3786,0)+INDEX($BD$13:$BL$162,BP3786,0))/100))&gt;=$D$10:$L$10)),0)</f>
        <v/>
      </c>
      <c r="BR3786">
        <f>IF(3773&lt;$U$9,SUMPRODUCT(($D$10:$L$10&lt;&gt;"")*(($D$10:$L$10-($D$9:$L$9+INT(($S$12:$AA$12+INDEX($AJ$13:$AR$162,BN3786,0)+INDEX($AT$13:$BB$162,BO3786,0)+INDEX($BD$13:$BL$162,BP3786,0))/100)))&gt;0)*($D$10:$L$10-($D$9:$L$9+INT(($S$12:$AA$12+INDEX($AJ$13:$AR$162,BN3786,0)+INDEX($AT$13:$BB$162,BO3786,0)+INDEX($BD$13:$BL$162,BP3786,0))/100)))),0)</f>
        <v/>
      </c>
      <c r="BS3786">
        <f>IF(3773&lt;$U$9,SUMPRODUCT(($D$9:$L$9+INT(($S$12:$AA$12+INDEX($AJ$13:$AR$162,BN3786,0)+INDEX($AT$13:$BB$162,BO3786,0)+INDEX($BD$13:$BL$162,BP3786,0))/100))),0)</f>
        <v/>
      </c>
      <c r="BT3786">
        <f>IF(AND(3773&lt;$U$9,$W$5),BQ3786*1000000-MIN(BR3786,999)*1000+BS3786-3773/100000,-1000000000-3773)</f>
        <v/>
      </c>
    </row>
    <row r="3787">
      <c r="BN3787">
        <f>IF(3774&lt;$U$9,INT(3774/($U$7*$U$8))+1,1)</f>
        <v/>
      </c>
      <c r="BO3787">
        <f>IF(3774&lt;$U$9,MOD(INT(3774/$U$8),$U$7)+1,1)</f>
        <v/>
      </c>
      <c r="BP3787">
        <f>IF(3774&lt;$U$9,MOD(3774,$U$8)+1,1)</f>
        <v/>
      </c>
      <c r="BQ3787">
        <f>IF(3774&lt;$U$9,SUMPRODUCT(($D$10:$L$10&lt;&gt;"")*(($D$9:$L$9+INT(($S$12:$AA$12+INDEX($AJ$13:$AR$162,BN3787,0)+INDEX($AT$13:$BB$162,BO3787,0)+INDEX($BD$13:$BL$162,BP3787,0))/100))&gt;=$D$10:$L$10)),0)</f>
        <v/>
      </c>
      <c r="BR3787">
        <f>IF(3774&lt;$U$9,SUMPRODUCT(($D$10:$L$10&lt;&gt;"")*(($D$10:$L$10-($D$9:$L$9+INT(($S$12:$AA$12+INDEX($AJ$13:$AR$162,BN3787,0)+INDEX($AT$13:$BB$162,BO3787,0)+INDEX($BD$13:$BL$162,BP3787,0))/100)))&gt;0)*($D$10:$L$10-($D$9:$L$9+INT(($S$12:$AA$12+INDEX($AJ$13:$AR$162,BN3787,0)+INDEX($AT$13:$BB$162,BO3787,0)+INDEX($BD$13:$BL$162,BP3787,0))/100)))),0)</f>
        <v/>
      </c>
      <c r="BS3787">
        <f>IF(3774&lt;$U$9,SUMPRODUCT(($D$9:$L$9+INT(($S$12:$AA$12+INDEX($AJ$13:$AR$162,BN3787,0)+INDEX($AT$13:$BB$162,BO3787,0)+INDEX($BD$13:$BL$162,BP3787,0))/100))),0)</f>
        <v/>
      </c>
      <c r="BT3787">
        <f>IF(AND(3774&lt;$U$9,$W$5),BQ3787*1000000-MIN(BR3787,999)*1000+BS3787-3774/100000,-1000000000-3774)</f>
        <v/>
      </c>
    </row>
    <row r="3788">
      <c r="BN3788">
        <f>IF(3775&lt;$U$9,INT(3775/($U$7*$U$8))+1,1)</f>
        <v/>
      </c>
      <c r="BO3788">
        <f>IF(3775&lt;$U$9,MOD(INT(3775/$U$8),$U$7)+1,1)</f>
        <v/>
      </c>
      <c r="BP3788">
        <f>IF(3775&lt;$U$9,MOD(3775,$U$8)+1,1)</f>
        <v/>
      </c>
      <c r="BQ3788">
        <f>IF(3775&lt;$U$9,SUMPRODUCT(($D$10:$L$10&lt;&gt;"")*(($D$9:$L$9+INT(($S$12:$AA$12+INDEX($AJ$13:$AR$162,BN3788,0)+INDEX($AT$13:$BB$162,BO3788,0)+INDEX($BD$13:$BL$162,BP3788,0))/100))&gt;=$D$10:$L$10)),0)</f>
        <v/>
      </c>
      <c r="BR3788">
        <f>IF(3775&lt;$U$9,SUMPRODUCT(($D$10:$L$10&lt;&gt;"")*(($D$10:$L$10-($D$9:$L$9+INT(($S$12:$AA$12+INDEX($AJ$13:$AR$162,BN3788,0)+INDEX($AT$13:$BB$162,BO3788,0)+INDEX($BD$13:$BL$162,BP3788,0))/100)))&gt;0)*($D$10:$L$10-($D$9:$L$9+INT(($S$12:$AA$12+INDEX($AJ$13:$AR$162,BN3788,0)+INDEX($AT$13:$BB$162,BO3788,0)+INDEX($BD$13:$BL$162,BP3788,0))/100)))),0)</f>
        <v/>
      </c>
      <c r="BS3788">
        <f>IF(3775&lt;$U$9,SUMPRODUCT(($D$9:$L$9+INT(($S$12:$AA$12+INDEX($AJ$13:$AR$162,BN3788,0)+INDEX($AT$13:$BB$162,BO3788,0)+INDEX($BD$13:$BL$162,BP3788,0))/100))),0)</f>
        <v/>
      </c>
      <c r="BT3788">
        <f>IF(AND(3775&lt;$U$9,$W$5),BQ3788*1000000-MIN(BR3788,999)*1000+BS3788-3775/100000,-1000000000-3775)</f>
        <v/>
      </c>
    </row>
    <row r="3789">
      <c r="BN3789">
        <f>IF(3776&lt;$U$9,INT(3776/($U$7*$U$8))+1,1)</f>
        <v/>
      </c>
      <c r="BO3789">
        <f>IF(3776&lt;$U$9,MOD(INT(3776/$U$8),$U$7)+1,1)</f>
        <v/>
      </c>
      <c r="BP3789">
        <f>IF(3776&lt;$U$9,MOD(3776,$U$8)+1,1)</f>
        <v/>
      </c>
      <c r="BQ3789">
        <f>IF(3776&lt;$U$9,SUMPRODUCT(($D$10:$L$10&lt;&gt;"")*(($D$9:$L$9+INT(($S$12:$AA$12+INDEX($AJ$13:$AR$162,BN3789,0)+INDEX($AT$13:$BB$162,BO3789,0)+INDEX($BD$13:$BL$162,BP3789,0))/100))&gt;=$D$10:$L$10)),0)</f>
        <v/>
      </c>
      <c r="BR3789">
        <f>IF(3776&lt;$U$9,SUMPRODUCT(($D$10:$L$10&lt;&gt;"")*(($D$10:$L$10-($D$9:$L$9+INT(($S$12:$AA$12+INDEX($AJ$13:$AR$162,BN3789,0)+INDEX($AT$13:$BB$162,BO3789,0)+INDEX($BD$13:$BL$162,BP3789,0))/100)))&gt;0)*($D$10:$L$10-($D$9:$L$9+INT(($S$12:$AA$12+INDEX($AJ$13:$AR$162,BN3789,0)+INDEX($AT$13:$BB$162,BO3789,0)+INDEX($BD$13:$BL$162,BP3789,0))/100)))),0)</f>
        <v/>
      </c>
      <c r="BS3789">
        <f>IF(3776&lt;$U$9,SUMPRODUCT(($D$9:$L$9+INT(($S$12:$AA$12+INDEX($AJ$13:$AR$162,BN3789,0)+INDEX($AT$13:$BB$162,BO3789,0)+INDEX($BD$13:$BL$162,BP3789,0))/100))),0)</f>
        <v/>
      </c>
      <c r="BT3789">
        <f>IF(AND(3776&lt;$U$9,$W$5),BQ3789*1000000-MIN(BR3789,999)*1000+BS3789-3776/100000,-1000000000-3776)</f>
        <v/>
      </c>
    </row>
    <row r="3790">
      <c r="BN3790">
        <f>IF(3777&lt;$U$9,INT(3777/($U$7*$U$8))+1,1)</f>
        <v/>
      </c>
      <c r="BO3790">
        <f>IF(3777&lt;$U$9,MOD(INT(3777/$U$8),$U$7)+1,1)</f>
        <v/>
      </c>
      <c r="BP3790">
        <f>IF(3777&lt;$U$9,MOD(3777,$U$8)+1,1)</f>
        <v/>
      </c>
      <c r="BQ3790">
        <f>IF(3777&lt;$U$9,SUMPRODUCT(($D$10:$L$10&lt;&gt;"")*(($D$9:$L$9+INT(($S$12:$AA$12+INDEX($AJ$13:$AR$162,BN3790,0)+INDEX($AT$13:$BB$162,BO3790,0)+INDEX($BD$13:$BL$162,BP3790,0))/100))&gt;=$D$10:$L$10)),0)</f>
        <v/>
      </c>
      <c r="BR3790">
        <f>IF(3777&lt;$U$9,SUMPRODUCT(($D$10:$L$10&lt;&gt;"")*(($D$10:$L$10-($D$9:$L$9+INT(($S$12:$AA$12+INDEX($AJ$13:$AR$162,BN3790,0)+INDEX($AT$13:$BB$162,BO3790,0)+INDEX($BD$13:$BL$162,BP3790,0))/100)))&gt;0)*($D$10:$L$10-($D$9:$L$9+INT(($S$12:$AA$12+INDEX($AJ$13:$AR$162,BN3790,0)+INDEX($AT$13:$BB$162,BO3790,0)+INDEX($BD$13:$BL$162,BP3790,0))/100)))),0)</f>
        <v/>
      </c>
      <c r="BS3790">
        <f>IF(3777&lt;$U$9,SUMPRODUCT(($D$9:$L$9+INT(($S$12:$AA$12+INDEX($AJ$13:$AR$162,BN3790,0)+INDEX($AT$13:$BB$162,BO3790,0)+INDEX($BD$13:$BL$162,BP3790,0))/100))),0)</f>
        <v/>
      </c>
      <c r="BT3790">
        <f>IF(AND(3777&lt;$U$9,$W$5),BQ3790*1000000-MIN(BR3790,999)*1000+BS3790-3777/100000,-1000000000-3777)</f>
        <v/>
      </c>
    </row>
    <row r="3791">
      <c r="BN3791">
        <f>IF(3778&lt;$U$9,INT(3778/($U$7*$U$8))+1,1)</f>
        <v/>
      </c>
      <c r="BO3791">
        <f>IF(3778&lt;$U$9,MOD(INT(3778/$U$8),$U$7)+1,1)</f>
        <v/>
      </c>
      <c r="BP3791">
        <f>IF(3778&lt;$U$9,MOD(3778,$U$8)+1,1)</f>
        <v/>
      </c>
      <c r="BQ3791">
        <f>IF(3778&lt;$U$9,SUMPRODUCT(($D$10:$L$10&lt;&gt;"")*(($D$9:$L$9+INT(($S$12:$AA$12+INDEX($AJ$13:$AR$162,BN3791,0)+INDEX($AT$13:$BB$162,BO3791,0)+INDEX($BD$13:$BL$162,BP3791,0))/100))&gt;=$D$10:$L$10)),0)</f>
        <v/>
      </c>
      <c r="BR3791">
        <f>IF(3778&lt;$U$9,SUMPRODUCT(($D$10:$L$10&lt;&gt;"")*(($D$10:$L$10-($D$9:$L$9+INT(($S$12:$AA$12+INDEX($AJ$13:$AR$162,BN3791,0)+INDEX($AT$13:$BB$162,BO3791,0)+INDEX($BD$13:$BL$162,BP3791,0))/100)))&gt;0)*($D$10:$L$10-($D$9:$L$9+INT(($S$12:$AA$12+INDEX($AJ$13:$AR$162,BN3791,0)+INDEX($AT$13:$BB$162,BO3791,0)+INDEX($BD$13:$BL$162,BP3791,0))/100)))),0)</f>
        <v/>
      </c>
      <c r="BS3791">
        <f>IF(3778&lt;$U$9,SUMPRODUCT(($D$9:$L$9+INT(($S$12:$AA$12+INDEX($AJ$13:$AR$162,BN3791,0)+INDEX($AT$13:$BB$162,BO3791,0)+INDEX($BD$13:$BL$162,BP3791,0))/100))),0)</f>
        <v/>
      </c>
      <c r="BT3791">
        <f>IF(AND(3778&lt;$U$9,$W$5),BQ3791*1000000-MIN(BR3791,999)*1000+BS3791-3778/100000,-1000000000-3778)</f>
        <v/>
      </c>
    </row>
    <row r="3792">
      <c r="BN3792">
        <f>IF(3779&lt;$U$9,INT(3779/($U$7*$U$8))+1,1)</f>
        <v/>
      </c>
      <c r="BO3792">
        <f>IF(3779&lt;$U$9,MOD(INT(3779/$U$8),$U$7)+1,1)</f>
        <v/>
      </c>
      <c r="BP3792">
        <f>IF(3779&lt;$U$9,MOD(3779,$U$8)+1,1)</f>
        <v/>
      </c>
      <c r="BQ3792">
        <f>IF(3779&lt;$U$9,SUMPRODUCT(($D$10:$L$10&lt;&gt;"")*(($D$9:$L$9+INT(($S$12:$AA$12+INDEX($AJ$13:$AR$162,BN3792,0)+INDEX($AT$13:$BB$162,BO3792,0)+INDEX($BD$13:$BL$162,BP3792,0))/100))&gt;=$D$10:$L$10)),0)</f>
        <v/>
      </c>
      <c r="BR3792">
        <f>IF(3779&lt;$U$9,SUMPRODUCT(($D$10:$L$10&lt;&gt;"")*(($D$10:$L$10-($D$9:$L$9+INT(($S$12:$AA$12+INDEX($AJ$13:$AR$162,BN3792,0)+INDEX($AT$13:$BB$162,BO3792,0)+INDEX($BD$13:$BL$162,BP3792,0))/100)))&gt;0)*($D$10:$L$10-($D$9:$L$9+INT(($S$12:$AA$12+INDEX($AJ$13:$AR$162,BN3792,0)+INDEX($AT$13:$BB$162,BO3792,0)+INDEX($BD$13:$BL$162,BP3792,0))/100)))),0)</f>
        <v/>
      </c>
      <c r="BS3792">
        <f>IF(3779&lt;$U$9,SUMPRODUCT(($D$9:$L$9+INT(($S$12:$AA$12+INDEX($AJ$13:$AR$162,BN3792,0)+INDEX($AT$13:$BB$162,BO3792,0)+INDEX($BD$13:$BL$162,BP3792,0))/100))),0)</f>
        <v/>
      </c>
      <c r="BT3792">
        <f>IF(AND(3779&lt;$U$9,$W$5),BQ3792*1000000-MIN(BR3792,999)*1000+BS3792-3779/100000,-1000000000-3779)</f>
        <v/>
      </c>
    </row>
    <row r="3793">
      <c r="BN3793">
        <f>IF(3780&lt;$U$9,INT(3780/($U$7*$U$8))+1,1)</f>
        <v/>
      </c>
      <c r="BO3793">
        <f>IF(3780&lt;$U$9,MOD(INT(3780/$U$8),$U$7)+1,1)</f>
        <v/>
      </c>
      <c r="BP3793">
        <f>IF(3780&lt;$U$9,MOD(3780,$U$8)+1,1)</f>
        <v/>
      </c>
      <c r="BQ3793">
        <f>IF(3780&lt;$U$9,SUMPRODUCT(($D$10:$L$10&lt;&gt;"")*(($D$9:$L$9+INT(($S$12:$AA$12+INDEX($AJ$13:$AR$162,BN3793,0)+INDEX($AT$13:$BB$162,BO3793,0)+INDEX($BD$13:$BL$162,BP3793,0))/100))&gt;=$D$10:$L$10)),0)</f>
        <v/>
      </c>
      <c r="BR3793">
        <f>IF(3780&lt;$U$9,SUMPRODUCT(($D$10:$L$10&lt;&gt;"")*(($D$10:$L$10-($D$9:$L$9+INT(($S$12:$AA$12+INDEX($AJ$13:$AR$162,BN3793,0)+INDEX($AT$13:$BB$162,BO3793,0)+INDEX($BD$13:$BL$162,BP3793,0))/100)))&gt;0)*($D$10:$L$10-($D$9:$L$9+INT(($S$12:$AA$12+INDEX($AJ$13:$AR$162,BN3793,0)+INDEX($AT$13:$BB$162,BO3793,0)+INDEX($BD$13:$BL$162,BP3793,0))/100)))),0)</f>
        <v/>
      </c>
      <c r="BS3793">
        <f>IF(3780&lt;$U$9,SUMPRODUCT(($D$9:$L$9+INT(($S$12:$AA$12+INDEX($AJ$13:$AR$162,BN3793,0)+INDEX($AT$13:$BB$162,BO3793,0)+INDEX($BD$13:$BL$162,BP3793,0))/100))),0)</f>
        <v/>
      </c>
      <c r="BT3793">
        <f>IF(AND(3780&lt;$U$9,$W$5),BQ3793*1000000-MIN(BR3793,999)*1000+BS3793-3780/100000,-1000000000-3780)</f>
        <v/>
      </c>
    </row>
    <row r="3794">
      <c r="BN3794">
        <f>IF(3781&lt;$U$9,INT(3781/($U$7*$U$8))+1,1)</f>
        <v/>
      </c>
      <c r="BO3794">
        <f>IF(3781&lt;$U$9,MOD(INT(3781/$U$8),$U$7)+1,1)</f>
        <v/>
      </c>
      <c r="BP3794">
        <f>IF(3781&lt;$U$9,MOD(3781,$U$8)+1,1)</f>
        <v/>
      </c>
      <c r="BQ3794">
        <f>IF(3781&lt;$U$9,SUMPRODUCT(($D$10:$L$10&lt;&gt;"")*(($D$9:$L$9+INT(($S$12:$AA$12+INDEX($AJ$13:$AR$162,BN3794,0)+INDEX($AT$13:$BB$162,BO3794,0)+INDEX($BD$13:$BL$162,BP3794,0))/100))&gt;=$D$10:$L$10)),0)</f>
        <v/>
      </c>
      <c r="BR3794">
        <f>IF(3781&lt;$U$9,SUMPRODUCT(($D$10:$L$10&lt;&gt;"")*(($D$10:$L$10-($D$9:$L$9+INT(($S$12:$AA$12+INDEX($AJ$13:$AR$162,BN3794,0)+INDEX($AT$13:$BB$162,BO3794,0)+INDEX($BD$13:$BL$162,BP3794,0))/100)))&gt;0)*($D$10:$L$10-($D$9:$L$9+INT(($S$12:$AA$12+INDEX($AJ$13:$AR$162,BN3794,0)+INDEX($AT$13:$BB$162,BO3794,0)+INDEX($BD$13:$BL$162,BP3794,0))/100)))),0)</f>
        <v/>
      </c>
      <c r="BS3794">
        <f>IF(3781&lt;$U$9,SUMPRODUCT(($D$9:$L$9+INT(($S$12:$AA$12+INDEX($AJ$13:$AR$162,BN3794,0)+INDEX($AT$13:$BB$162,BO3794,0)+INDEX($BD$13:$BL$162,BP3794,0))/100))),0)</f>
        <v/>
      </c>
      <c r="BT3794">
        <f>IF(AND(3781&lt;$U$9,$W$5),BQ3794*1000000-MIN(BR3794,999)*1000+BS3794-3781/100000,-1000000000-3781)</f>
        <v/>
      </c>
    </row>
    <row r="3795">
      <c r="BN3795">
        <f>IF(3782&lt;$U$9,INT(3782/($U$7*$U$8))+1,1)</f>
        <v/>
      </c>
      <c r="BO3795">
        <f>IF(3782&lt;$U$9,MOD(INT(3782/$U$8),$U$7)+1,1)</f>
        <v/>
      </c>
      <c r="BP3795">
        <f>IF(3782&lt;$U$9,MOD(3782,$U$8)+1,1)</f>
        <v/>
      </c>
      <c r="BQ3795">
        <f>IF(3782&lt;$U$9,SUMPRODUCT(($D$10:$L$10&lt;&gt;"")*(($D$9:$L$9+INT(($S$12:$AA$12+INDEX($AJ$13:$AR$162,BN3795,0)+INDEX($AT$13:$BB$162,BO3795,0)+INDEX($BD$13:$BL$162,BP3795,0))/100))&gt;=$D$10:$L$10)),0)</f>
        <v/>
      </c>
      <c r="BR3795">
        <f>IF(3782&lt;$U$9,SUMPRODUCT(($D$10:$L$10&lt;&gt;"")*(($D$10:$L$10-($D$9:$L$9+INT(($S$12:$AA$12+INDEX($AJ$13:$AR$162,BN3795,0)+INDEX($AT$13:$BB$162,BO3795,0)+INDEX($BD$13:$BL$162,BP3795,0))/100)))&gt;0)*($D$10:$L$10-($D$9:$L$9+INT(($S$12:$AA$12+INDEX($AJ$13:$AR$162,BN3795,0)+INDEX($AT$13:$BB$162,BO3795,0)+INDEX($BD$13:$BL$162,BP3795,0))/100)))),0)</f>
        <v/>
      </c>
      <c r="BS3795">
        <f>IF(3782&lt;$U$9,SUMPRODUCT(($D$9:$L$9+INT(($S$12:$AA$12+INDEX($AJ$13:$AR$162,BN3795,0)+INDEX($AT$13:$BB$162,BO3795,0)+INDEX($BD$13:$BL$162,BP3795,0))/100))),0)</f>
        <v/>
      </c>
      <c r="BT3795">
        <f>IF(AND(3782&lt;$U$9,$W$5),BQ3795*1000000-MIN(BR3795,999)*1000+BS3795-3782/100000,-1000000000-3782)</f>
        <v/>
      </c>
    </row>
    <row r="3796">
      <c r="BN3796">
        <f>IF(3783&lt;$U$9,INT(3783/($U$7*$U$8))+1,1)</f>
        <v/>
      </c>
      <c r="BO3796">
        <f>IF(3783&lt;$U$9,MOD(INT(3783/$U$8),$U$7)+1,1)</f>
        <v/>
      </c>
      <c r="BP3796">
        <f>IF(3783&lt;$U$9,MOD(3783,$U$8)+1,1)</f>
        <v/>
      </c>
      <c r="BQ3796">
        <f>IF(3783&lt;$U$9,SUMPRODUCT(($D$10:$L$10&lt;&gt;"")*(($D$9:$L$9+INT(($S$12:$AA$12+INDEX($AJ$13:$AR$162,BN3796,0)+INDEX($AT$13:$BB$162,BO3796,0)+INDEX($BD$13:$BL$162,BP3796,0))/100))&gt;=$D$10:$L$10)),0)</f>
        <v/>
      </c>
      <c r="BR3796">
        <f>IF(3783&lt;$U$9,SUMPRODUCT(($D$10:$L$10&lt;&gt;"")*(($D$10:$L$10-($D$9:$L$9+INT(($S$12:$AA$12+INDEX($AJ$13:$AR$162,BN3796,0)+INDEX($AT$13:$BB$162,BO3796,0)+INDEX($BD$13:$BL$162,BP3796,0))/100)))&gt;0)*($D$10:$L$10-($D$9:$L$9+INT(($S$12:$AA$12+INDEX($AJ$13:$AR$162,BN3796,0)+INDEX($AT$13:$BB$162,BO3796,0)+INDEX($BD$13:$BL$162,BP3796,0))/100)))),0)</f>
        <v/>
      </c>
      <c r="BS3796">
        <f>IF(3783&lt;$U$9,SUMPRODUCT(($D$9:$L$9+INT(($S$12:$AA$12+INDEX($AJ$13:$AR$162,BN3796,0)+INDEX($AT$13:$BB$162,BO3796,0)+INDEX($BD$13:$BL$162,BP3796,0))/100))),0)</f>
        <v/>
      </c>
      <c r="BT3796">
        <f>IF(AND(3783&lt;$U$9,$W$5),BQ3796*1000000-MIN(BR3796,999)*1000+BS3796-3783/100000,-1000000000-3783)</f>
        <v/>
      </c>
    </row>
    <row r="3797">
      <c r="BN3797">
        <f>IF(3784&lt;$U$9,INT(3784/($U$7*$U$8))+1,1)</f>
        <v/>
      </c>
      <c r="BO3797">
        <f>IF(3784&lt;$U$9,MOD(INT(3784/$U$8),$U$7)+1,1)</f>
        <v/>
      </c>
      <c r="BP3797">
        <f>IF(3784&lt;$U$9,MOD(3784,$U$8)+1,1)</f>
        <v/>
      </c>
      <c r="BQ3797">
        <f>IF(3784&lt;$U$9,SUMPRODUCT(($D$10:$L$10&lt;&gt;"")*(($D$9:$L$9+INT(($S$12:$AA$12+INDEX($AJ$13:$AR$162,BN3797,0)+INDEX($AT$13:$BB$162,BO3797,0)+INDEX($BD$13:$BL$162,BP3797,0))/100))&gt;=$D$10:$L$10)),0)</f>
        <v/>
      </c>
      <c r="BR3797">
        <f>IF(3784&lt;$U$9,SUMPRODUCT(($D$10:$L$10&lt;&gt;"")*(($D$10:$L$10-($D$9:$L$9+INT(($S$12:$AA$12+INDEX($AJ$13:$AR$162,BN3797,0)+INDEX($AT$13:$BB$162,BO3797,0)+INDEX($BD$13:$BL$162,BP3797,0))/100)))&gt;0)*($D$10:$L$10-($D$9:$L$9+INT(($S$12:$AA$12+INDEX($AJ$13:$AR$162,BN3797,0)+INDEX($AT$13:$BB$162,BO3797,0)+INDEX($BD$13:$BL$162,BP3797,0))/100)))),0)</f>
        <v/>
      </c>
      <c r="BS3797">
        <f>IF(3784&lt;$U$9,SUMPRODUCT(($D$9:$L$9+INT(($S$12:$AA$12+INDEX($AJ$13:$AR$162,BN3797,0)+INDEX($AT$13:$BB$162,BO3797,0)+INDEX($BD$13:$BL$162,BP3797,0))/100))),0)</f>
        <v/>
      </c>
      <c r="BT3797">
        <f>IF(AND(3784&lt;$U$9,$W$5),BQ3797*1000000-MIN(BR3797,999)*1000+BS3797-3784/100000,-1000000000-3784)</f>
        <v/>
      </c>
    </row>
    <row r="3798">
      <c r="BN3798">
        <f>IF(3785&lt;$U$9,INT(3785/($U$7*$U$8))+1,1)</f>
        <v/>
      </c>
      <c r="BO3798">
        <f>IF(3785&lt;$U$9,MOD(INT(3785/$U$8),$U$7)+1,1)</f>
        <v/>
      </c>
      <c r="BP3798">
        <f>IF(3785&lt;$U$9,MOD(3785,$U$8)+1,1)</f>
        <v/>
      </c>
      <c r="BQ3798">
        <f>IF(3785&lt;$U$9,SUMPRODUCT(($D$10:$L$10&lt;&gt;"")*(($D$9:$L$9+INT(($S$12:$AA$12+INDEX($AJ$13:$AR$162,BN3798,0)+INDEX($AT$13:$BB$162,BO3798,0)+INDEX($BD$13:$BL$162,BP3798,0))/100))&gt;=$D$10:$L$10)),0)</f>
        <v/>
      </c>
      <c r="BR3798">
        <f>IF(3785&lt;$U$9,SUMPRODUCT(($D$10:$L$10&lt;&gt;"")*(($D$10:$L$10-($D$9:$L$9+INT(($S$12:$AA$12+INDEX($AJ$13:$AR$162,BN3798,0)+INDEX($AT$13:$BB$162,BO3798,0)+INDEX($BD$13:$BL$162,BP3798,0))/100)))&gt;0)*($D$10:$L$10-($D$9:$L$9+INT(($S$12:$AA$12+INDEX($AJ$13:$AR$162,BN3798,0)+INDEX($AT$13:$BB$162,BO3798,0)+INDEX($BD$13:$BL$162,BP3798,0))/100)))),0)</f>
        <v/>
      </c>
      <c r="BS3798">
        <f>IF(3785&lt;$U$9,SUMPRODUCT(($D$9:$L$9+INT(($S$12:$AA$12+INDEX($AJ$13:$AR$162,BN3798,0)+INDEX($AT$13:$BB$162,BO3798,0)+INDEX($BD$13:$BL$162,BP3798,0))/100))),0)</f>
        <v/>
      </c>
      <c r="BT3798">
        <f>IF(AND(3785&lt;$U$9,$W$5),BQ3798*1000000-MIN(BR3798,999)*1000+BS3798-3785/100000,-1000000000-3785)</f>
        <v/>
      </c>
    </row>
    <row r="3799">
      <c r="BN3799">
        <f>IF(3786&lt;$U$9,INT(3786/($U$7*$U$8))+1,1)</f>
        <v/>
      </c>
      <c r="BO3799">
        <f>IF(3786&lt;$U$9,MOD(INT(3786/$U$8),$U$7)+1,1)</f>
        <v/>
      </c>
      <c r="BP3799">
        <f>IF(3786&lt;$U$9,MOD(3786,$U$8)+1,1)</f>
        <v/>
      </c>
      <c r="BQ3799">
        <f>IF(3786&lt;$U$9,SUMPRODUCT(($D$10:$L$10&lt;&gt;"")*(($D$9:$L$9+INT(($S$12:$AA$12+INDEX($AJ$13:$AR$162,BN3799,0)+INDEX($AT$13:$BB$162,BO3799,0)+INDEX($BD$13:$BL$162,BP3799,0))/100))&gt;=$D$10:$L$10)),0)</f>
        <v/>
      </c>
      <c r="BR3799">
        <f>IF(3786&lt;$U$9,SUMPRODUCT(($D$10:$L$10&lt;&gt;"")*(($D$10:$L$10-($D$9:$L$9+INT(($S$12:$AA$12+INDEX($AJ$13:$AR$162,BN3799,0)+INDEX($AT$13:$BB$162,BO3799,0)+INDEX($BD$13:$BL$162,BP3799,0))/100)))&gt;0)*($D$10:$L$10-($D$9:$L$9+INT(($S$12:$AA$12+INDEX($AJ$13:$AR$162,BN3799,0)+INDEX($AT$13:$BB$162,BO3799,0)+INDEX($BD$13:$BL$162,BP3799,0))/100)))),0)</f>
        <v/>
      </c>
      <c r="BS3799">
        <f>IF(3786&lt;$U$9,SUMPRODUCT(($D$9:$L$9+INT(($S$12:$AA$12+INDEX($AJ$13:$AR$162,BN3799,0)+INDEX($AT$13:$BB$162,BO3799,0)+INDEX($BD$13:$BL$162,BP3799,0))/100))),0)</f>
        <v/>
      </c>
      <c r="BT3799">
        <f>IF(AND(3786&lt;$U$9,$W$5),BQ3799*1000000-MIN(BR3799,999)*1000+BS3799-3786/100000,-1000000000-3786)</f>
        <v/>
      </c>
    </row>
    <row r="3800">
      <c r="BN3800">
        <f>IF(3787&lt;$U$9,INT(3787/($U$7*$U$8))+1,1)</f>
        <v/>
      </c>
      <c r="BO3800">
        <f>IF(3787&lt;$U$9,MOD(INT(3787/$U$8),$U$7)+1,1)</f>
        <v/>
      </c>
      <c r="BP3800">
        <f>IF(3787&lt;$U$9,MOD(3787,$U$8)+1,1)</f>
        <v/>
      </c>
      <c r="BQ3800">
        <f>IF(3787&lt;$U$9,SUMPRODUCT(($D$10:$L$10&lt;&gt;"")*(($D$9:$L$9+INT(($S$12:$AA$12+INDEX($AJ$13:$AR$162,BN3800,0)+INDEX($AT$13:$BB$162,BO3800,0)+INDEX($BD$13:$BL$162,BP3800,0))/100))&gt;=$D$10:$L$10)),0)</f>
        <v/>
      </c>
      <c r="BR3800">
        <f>IF(3787&lt;$U$9,SUMPRODUCT(($D$10:$L$10&lt;&gt;"")*(($D$10:$L$10-($D$9:$L$9+INT(($S$12:$AA$12+INDEX($AJ$13:$AR$162,BN3800,0)+INDEX($AT$13:$BB$162,BO3800,0)+INDEX($BD$13:$BL$162,BP3800,0))/100)))&gt;0)*($D$10:$L$10-($D$9:$L$9+INT(($S$12:$AA$12+INDEX($AJ$13:$AR$162,BN3800,0)+INDEX($AT$13:$BB$162,BO3800,0)+INDEX($BD$13:$BL$162,BP3800,0))/100)))),0)</f>
        <v/>
      </c>
      <c r="BS3800">
        <f>IF(3787&lt;$U$9,SUMPRODUCT(($D$9:$L$9+INT(($S$12:$AA$12+INDEX($AJ$13:$AR$162,BN3800,0)+INDEX($AT$13:$BB$162,BO3800,0)+INDEX($BD$13:$BL$162,BP3800,0))/100))),0)</f>
        <v/>
      </c>
      <c r="BT3800">
        <f>IF(AND(3787&lt;$U$9,$W$5),BQ3800*1000000-MIN(BR3800,999)*1000+BS3800-3787/100000,-1000000000-3787)</f>
        <v/>
      </c>
    </row>
    <row r="3801">
      <c r="BN3801">
        <f>IF(3788&lt;$U$9,INT(3788/($U$7*$U$8))+1,1)</f>
        <v/>
      </c>
      <c r="BO3801">
        <f>IF(3788&lt;$U$9,MOD(INT(3788/$U$8),$U$7)+1,1)</f>
        <v/>
      </c>
      <c r="BP3801">
        <f>IF(3788&lt;$U$9,MOD(3788,$U$8)+1,1)</f>
        <v/>
      </c>
      <c r="BQ3801">
        <f>IF(3788&lt;$U$9,SUMPRODUCT(($D$10:$L$10&lt;&gt;"")*(($D$9:$L$9+INT(($S$12:$AA$12+INDEX($AJ$13:$AR$162,BN3801,0)+INDEX($AT$13:$BB$162,BO3801,0)+INDEX($BD$13:$BL$162,BP3801,0))/100))&gt;=$D$10:$L$10)),0)</f>
        <v/>
      </c>
      <c r="BR3801">
        <f>IF(3788&lt;$U$9,SUMPRODUCT(($D$10:$L$10&lt;&gt;"")*(($D$10:$L$10-($D$9:$L$9+INT(($S$12:$AA$12+INDEX($AJ$13:$AR$162,BN3801,0)+INDEX($AT$13:$BB$162,BO3801,0)+INDEX($BD$13:$BL$162,BP3801,0))/100)))&gt;0)*($D$10:$L$10-($D$9:$L$9+INT(($S$12:$AA$12+INDEX($AJ$13:$AR$162,BN3801,0)+INDEX($AT$13:$BB$162,BO3801,0)+INDEX($BD$13:$BL$162,BP3801,0))/100)))),0)</f>
        <v/>
      </c>
      <c r="BS3801">
        <f>IF(3788&lt;$U$9,SUMPRODUCT(($D$9:$L$9+INT(($S$12:$AA$12+INDEX($AJ$13:$AR$162,BN3801,0)+INDEX($AT$13:$BB$162,BO3801,0)+INDEX($BD$13:$BL$162,BP3801,0))/100))),0)</f>
        <v/>
      </c>
      <c r="BT3801">
        <f>IF(AND(3788&lt;$U$9,$W$5),BQ3801*1000000-MIN(BR3801,999)*1000+BS3801-3788/100000,-1000000000-3788)</f>
        <v/>
      </c>
    </row>
    <row r="3802">
      <c r="BN3802">
        <f>IF(3789&lt;$U$9,INT(3789/($U$7*$U$8))+1,1)</f>
        <v/>
      </c>
      <c r="BO3802">
        <f>IF(3789&lt;$U$9,MOD(INT(3789/$U$8),$U$7)+1,1)</f>
        <v/>
      </c>
      <c r="BP3802">
        <f>IF(3789&lt;$U$9,MOD(3789,$U$8)+1,1)</f>
        <v/>
      </c>
      <c r="BQ3802">
        <f>IF(3789&lt;$U$9,SUMPRODUCT(($D$10:$L$10&lt;&gt;"")*(($D$9:$L$9+INT(($S$12:$AA$12+INDEX($AJ$13:$AR$162,BN3802,0)+INDEX($AT$13:$BB$162,BO3802,0)+INDEX($BD$13:$BL$162,BP3802,0))/100))&gt;=$D$10:$L$10)),0)</f>
        <v/>
      </c>
      <c r="BR3802">
        <f>IF(3789&lt;$U$9,SUMPRODUCT(($D$10:$L$10&lt;&gt;"")*(($D$10:$L$10-($D$9:$L$9+INT(($S$12:$AA$12+INDEX($AJ$13:$AR$162,BN3802,0)+INDEX($AT$13:$BB$162,BO3802,0)+INDEX($BD$13:$BL$162,BP3802,0))/100)))&gt;0)*($D$10:$L$10-($D$9:$L$9+INT(($S$12:$AA$12+INDEX($AJ$13:$AR$162,BN3802,0)+INDEX($AT$13:$BB$162,BO3802,0)+INDEX($BD$13:$BL$162,BP3802,0))/100)))),0)</f>
        <v/>
      </c>
      <c r="BS3802">
        <f>IF(3789&lt;$U$9,SUMPRODUCT(($D$9:$L$9+INT(($S$12:$AA$12+INDEX($AJ$13:$AR$162,BN3802,0)+INDEX($AT$13:$BB$162,BO3802,0)+INDEX($BD$13:$BL$162,BP3802,0))/100))),0)</f>
        <v/>
      </c>
      <c r="BT3802">
        <f>IF(AND(3789&lt;$U$9,$W$5),BQ3802*1000000-MIN(BR3802,999)*1000+BS3802-3789/100000,-1000000000-3789)</f>
        <v/>
      </c>
    </row>
    <row r="3803">
      <c r="BN3803">
        <f>IF(3790&lt;$U$9,INT(3790/($U$7*$U$8))+1,1)</f>
        <v/>
      </c>
      <c r="BO3803">
        <f>IF(3790&lt;$U$9,MOD(INT(3790/$U$8),$U$7)+1,1)</f>
        <v/>
      </c>
      <c r="BP3803">
        <f>IF(3790&lt;$U$9,MOD(3790,$U$8)+1,1)</f>
        <v/>
      </c>
      <c r="BQ3803">
        <f>IF(3790&lt;$U$9,SUMPRODUCT(($D$10:$L$10&lt;&gt;"")*(($D$9:$L$9+INT(($S$12:$AA$12+INDEX($AJ$13:$AR$162,BN3803,0)+INDEX($AT$13:$BB$162,BO3803,0)+INDEX($BD$13:$BL$162,BP3803,0))/100))&gt;=$D$10:$L$10)),0)</f>
        <v/>
      </c>
      <c r="BR3803">
        <f>IF(3790&lt;$U$9,SUMPRODUCT(($D$10:$L$10&lt;&gt;"")*(($D$10:$L$10-($D$9:$L$9+INT(($S$12:$AA$12+INDEX($AJ$13:$AR$162,BN3803,0)+INDEX($AT$13:$BB$162,BO3803,0)+INDEX($BD$13:$BL$162,BP3803,0))/100)))&gt;0)*($D$10:$L$10-($D$9:$L$9+INT(($S$12:$AA$12+INDEX($AJ$13:$AR$162,BN3803,0)+INDEX($AT$13:$BB$162,BO3803,0)+INDEX($BD$13:$BL$162,BP3803,0))/100)))),0)</f>
        <v/>
      </c>
      <c r="BS3803">
        <f>IF(3790&lt;$U$9,SUMPRODUCT(($D$9:$L$9+INT(($S$12:$AA$12+INDEX($AJ$13:$AR$162,BN3803,0)+INDEX($AT$13:$BB$162,BO3803,0)+INDEX($BD$13:$BL$162,BP3803,0))/100))),0)</f>
        <v/>
      </c>
      <c r="BT3803">
        <f>IF(AND(3790&lt;$U$9,$W$5),BQ3803*1000000-MIN(BR3803,999)*1000+BS3803-3790/100000,-1000000000-3790)</f>
        <v/>
      </c>
    </row>
    <row r="3804">
      <c r="BN3804">
        <f>IF(3791&lt;$U$9,INT(3791/($U$7*$U$8))+1,1)</f>
        <v/>
      </c>
      <c r="BO3804">
        <f>IF(3791&lt;$U$9,MOD(INT(3791/$U$8),$U$7)+1,1)</f>
        <v/>
      </c>
      <c r="BP3804">
        <f>IF(3791&lt;$U$9,MOD(3791,$U$8)+1,1)</f>
        <v/>
      </c>
      <c r="BQ3804">
        <f>IF(3791&lt;$U$9,SUMPRODUCT(($D$10:$L$10&lt;&gt;"")*(($D$9:$L$9+INT(($S$12:$AA$12+INDEX($AJ$13:$AR$162,BN3804,0)+INDEX($AT$13:$BB$162,BO3804,0)+INDEX($BD$13:$BL$162,BP3804,0))/100))&gt;=$D$10:$L$10)),0)</f>
        <v/>
      </c>
      <c r="BR3804">
        <f>IF(3791&lt;$U$9,SUMPRODUCT(($D$10:$L$10&lt;&gt;"")*(($D$10:$L$10-($D$9:$L$9+INT(($S$12:$AA$12+INDEX($AJ$13:$AR$162,BN3804,0)+INDEX($AT$13:$BB$162,BO3804,0)+INDEX($BD$13:$BL$162,BP3804,0))/100)))&gt;0)*($D$10:$L$10-($D$9:$L$9+INT(($S$12:$AA$12+INDEX($AJ$13:$AR$162,BN3804,0)+INDEX($AT$13:$BB$162,BO3804,0)+INDEX($BD$13:$BL$162,BP3804,0))/100)))),0)</f>
        <v/>
      </c>
      <c r="BS3804">
        <f>IF(3791&lt;$U$9,SUMPRODUCT(($D$9:$L$9+INT(($S$12:$AA$12+INDEX($AJ$13:$AR$162,BN3804,0)+INDEX($AT$13:$BB$162,BO3804,0)+INDEX($BD$13:$BL$162,BP3804,0))/100))),0)</f>
        <v/>
      </c>
      <c r="BT3804">
        <f>IF(AND(3791&lt;$U$9,$W$5),BQ3804*1000000-MIN(BR3804,999)*1000+BS3804-3791/100000,-1000000000-3791)</f>
        <v/>
      </c>
    </row>
    <row r="3805">
      <c r="BN3805">
        <f>IF(3792&lt;$U$9,INT(3792/($U$7*$U$8))+1,1)</f>
        <v/>
      </c>
      <c r="BO3805">
        <f>IF(3792&lt;$U$9,MOD(INT(3792/$U$8),$U$7)+1,1)</f>
        <v/>
      </c>
      <c r="BP3805">
        <f>IF(3792&lt;$U$9,MOD(3792,$U$8)+1,1)</f>
        <v/>
      </c>
      <c r="BQ3805">
        <f>IF(3792&lt;$U$9,SUMPRODUCT(($D$10:$L$10&lt;&gt;"")*(($D$9:$L$9+INT(($S$12:$AA$12+INDEX($AJ$13:$AR$162,BN3805,0)+INDEX($AT$13:$BB$162,BO3805,0)+INDEX($BD$13:$BL$162,BP3805,0))/100))&gt;=$D$10:$L$10)),0)</f>
        <v/>
      </c>
      <c r="BR3805">
        <f>IF(3792&lt;$U$9,SUMPRODUCT(($D$10:$L$10&lt;&gt;"")*(($D$10:$L$10-($D$9:$L$9+INT(($S$12:$AA$12+INDEX($AJ$13:$AR$162,BN3805,0)+INDEX($AT$13:$BB$162,BO3805,0)+INDEX($BD$13:$BL$162,BP3805,0))/100)))&gt;0)*($D$10:$L$10-($D$9:$L$9+INT(($S$12:$AA$12+INDEX($AJ$13:$AR$162,BN3805,0)+INDEX($AT$13:$BB$162,BO3805,0)+INDEX($BD$13:$BL$162,BP3805,0))/100)))),0)</f>
        <v/>
      </c>
      <c r="BS3805">
        <f>IF(3792&lt;$U$9,SUMPRODUCT(($D$9:$L$9+INT(($S$12:$AA$12+INDEX($AJ$13:$AR$162,BN3805,0)+INDEX($AT$13:$BB$162,BO3805,0)+INDEX($BD$13:$BL$162,BP3805,0))/100))),0)</f>
        <v/>
      </c>
      <c r="BT3805">
        <f>IF(AND(3792&lt;$U$9,$W$5),BQ3805*1000000-MIN(BR3805,999)*1000+BS3805-3792/100000,-1000000000-3792)</f>
        <v/>
      </c>
    </row>
    <row r="3806">
      <c r="BN3806">
        <f>IF(3793&lt;$U$9,INT(3793/($U$7*$U$8))+1,1)</f>
        <v/>
      </c>
      <c r="BO3806">
        <f>IF(3793&lt;$U$9,MOD(INT(3793/$U$8),$U$7)+1,1)</f>
        <v/>
      </c>
      <c r="BP3806">
        <f>IF(3793&lt;$U$9,MOD(3793,$U$8)+1,1)</f>
        <v/>
      </c>
      <c r="BQ3806">
        <f>IF(3793&lt;$U$9,SUMPRODUCT(($D$10:$L$10&lt;&gt;"")*(($D$9:$L$9+INT(($S$12:$AA$12+INDEX($AJ$13:$AR$162,BN3806,0)+INDEX($AT$13:$BB$162,BO3806,0)+INDEX($BD$13:$BL$162,BP3806,0))/100))&gt;=$D$10:$L$10)),0)</f>
        <v/>
      </c>
      <c r="BR3806">
        <f>IF(3793&lt;$U$9,SUMPRODUCT(($D$10:$L$10&lt;&gt;"")*(($D$10:$L$10-($D$9:$L$9+INT(($S$12:$AA$12+INDEX($AJ$13:$AR$162,BN3806,0)+INDEX($AT$13:$BB$162,BO3806,0)+INDEX($BD$13:$BL$162,BP3806,0))/100)))&gt;0)*($D$10:$L$10-($D$9:$L$9+INT(($S$12:$AA$12+INDEX($AJ$13:$AR$162,BN3806,0)+INDEX($AT$13:$BB$162,BO3806,0)+INDEX($BD$13:$BL$162,BP3806,0))/100)))),0)</f>
        <v/>
      </c>
      <c r="BS3806">
        <f>IF(3793&lt;$U$9,SUMPRODUCT(($D$9:$L$9+INT(($S$12:$AA$12+INDEX($AJ$13:$AR$162,BN3806,0)+INDEX($AT$13:$BB$162,BO3806,0)+INDEX($BD$13:$BL$162,BP3806,0))/100))),0)</f>
        <v/>
      </c>
      <c r="BT3806">
        <f>IF(AND(3793&lt;$U$9,$W$5),BQ3806*1000000-MIN(BR3806,999)*1000+BS3806-3793/100000,-1000000000-3793)</f>
        <v/>
      </c>
    </row>
    <row r="3807">
      <c r="BN3807">
        <f>IF(3794&lt;$U$9,INT(3794/($U$7*$U$8))+1,1)</f>
        <v/>
      </c>
      <c r="BO3807">
        <f>IF(3794&lt;$U$9,MOD(INT(3794/$U$8),$U$7)+1,1)</f>
        <v/>
      </c>
      <c r="BP3807">
        <f>IF(3794&lt;$U$9,MOD(3794,$U$8)+1,1)</f>
        <v/>
      </c>
      <c r="BQ3807">
        <f>IF(3794&lt;$U$9,SUMPRODUCT(($D$10:$L$10&lt;&gt;"")*(($D$9:$L$9+INT(($S$12:$AA$12+INDEX($AJ$13:$AR$162,BN3807,0)+INDEX($AT$13:$BB$162,BO3807,0)+INDEX($BD$13:$BL$162,BP3807,0))/100))&gt;=$D$10:$L$10)),0)</f>
        <v/>
      </c>
      <c r="BR3807">
        <f>IF(3794&lt;$U$9,SUMPRODUCT(($D$10:$L$10&lt;&gt;"")*(($D$10:$L$10-($D$9:$L$9+INT(($S$12:$AA$12+INDEX($AJ$13:$AR$162,BN3807,0)+INDEX($AT$13:$BB$162,BO3807,0)+INDEX($BD$13:$BL$162,BP3807,0))/100)))&gt;0)*($D$10:$L$10-($D$9:$L$9+INT(($S$12:$AA$12+INDEX($AJ$13:$AR$162,BN3807,0)+INDEX($AT$13:$BB$162,BO3807,0)+INDEX($BD$13:$BL$162,BP3807,0))/100)))),0)</f>
        <v/>
      </c>
      <c r="BS3807">
        <f>IF(3794&lt;$U$9,SUMPRODUCT(($D$9:$L$9+INT(($S$12:$AA$12+INDEX($AJ$13:$AR$162,BN3807,0)+INDEX($AT$13:$BB$162,BO3807,0)+INDEX($BD$13:$BL$162,BP3807,0))/100))),0)</f>
        <v/>
      </c>
      <c r="BT3807">
        <f>IF(AND(3794&lt;$U$9,$W$5),BQ3807*1000000-MIN(BR3807,999)*1000+BS3807-3794/100000,-1000000000-3794)</f>
        <v/>
      </c>
    </row>
    <row r="3808">
      <c r="BN3808">
        <f>IF(3795&lt;$U$9,INT(3795/($U$7*$U$8))+1,1)</f>
        <v/>
      </c>
      <c r="BO3808">
        <f>IF(3795&lt;$U$9,MOD(INT(3795/$U$8),$U$7)+1,1)</f>
        <v/>
      </c>
      <c r="BP3808">
        <f>IF(3795&lt;$U$9,MOD(3795,$U$8)+1,1)</f>
        <v/>
      </c>
      <c r="BQ3808">
        <f>IF(3795&lt;$U$9,SUMPRODUCT(($D$10:$L$10&lt;&gt;"")*(($D$9:$L$9+INT(($S$12:$AA$12+INDEX($AJ$13:$AR$162,BN3808,0)+INDEX($AT$13:$BB$162,BO3808,0)+INDEX($BD$13:$BL$162,BP3808,0))/100))&gt;=$D$10:$L$10)),0)</f>
        <v/>
      </c>
      <c r="BR3808">
        <f>IF(3795&lt;$U$9,SUMPRODUCT(($D$10:$L$10&lt;&gt;"")*(($D$10:$L$10-($D$9:$L$9+INT(($S$12:$AA$12+INDEX($AJ$13:$AR$162,BN3808,0)+INDEX($AT$13:$BB$162,BO3808,0)+INDEX($BD$13:$BL$162,BP3808,0))/100)))&gt;0)*($D$10:$L$10-($D$9:$L$9+INT(($S$12:$AA$12+INDEX($AJ$13:$AR$162,BN3808,0)+INDEX($AT$13:$BB$162,BO3808,0)+INDEX($BD$13:$BL$162,BP3808,0))/100)))),0)</f>
        <v/>
      </c>
      <c r="BS3808">
        <f>IF(3795&lt;$U$9,SUMPRODUCT(($D$9:$L$9+INT(($S$12:$AA$12+INDEX($AJ$13:$AR$162,BN3808,0)+INDEX($AT$13:$BB$162,BO3808,0)+INDEX($BD$13:$BL$162,BP3808,0))/100))),0)</f>
        <v/>
      </c>
      <c r="BT3808">
        <f>IF(AND(3795&lt;$U$9,$W$5),BQ3808*1000000-MIN(BR3808,999)*1000+BS3808-3795/100000,-1000000000-3795)</f>
        <v/>
      </c>
    </row>
    <row r="3809">
      <c r="BN3809">
        <f>IF(3796&lt;$U$9,INT(3796/($U$7*$U$8))+1,1)</f>
        <v/>
      </c>
      <c r="BO3809">
        <f>IF(3796&lt;$U$9,MOD(INT(3796/$U$8),$U$7)+1,1)</f>
        <v/>
      </c>
      <c r="BP3809">
        <f>IF(3796&lt;$U$9,MOD(3796,$U$8)+1,1)</f>
        <v/>
      </c>
      <c r="BQ3809">
        <f>IF(3796&lt;$U$9,SUMPRODUCT(($D$10:$L$10&lt;&gt;"")*(($D$9:$L$9+INT(($S$12:$AA$12+INDEX($AJ$13:$AR$162,BN3809,0)+INDEX($AT$13:$BB$162,BO3809,0)+INDEX($BD$13:$BL$162,BP3809,0))/100))&gt;=$D$10:$L$10)),0)</f>
        <v/>
      </c>
      <c r="BR3809">
        <f>IF(3796&lt;$U$9,SUMPRODUCT(($D$10:$L$10&lt;&gt;"")*(($D$10:$L$10-($D$9:$L$9+INT(($S$12:$AA$12+INDEX($AJ$13:$AR$162,BN3809,0)+INDEX($AT$13:$BB$162,BO3809,0)+INDEX($BD$13:$BL$162,BP3809,0))/100)))&gt;0)*($D$10:$L$10-($D$9:$L$9+INT(($S$12:$AA$12+INDEX($AJ$13:$AR$162,BN3809,0)+INDEX($AT$13:$BB$162,BO3809,0)+INDEX($BD$13:$BL$162,BP3809,0))/100)))),0)</f>
        <v/>
      </c>
      <c r="BS3809">
        <f>IF(3796&lt;$U$9,SUMPRODUCT(($D$9:$L$9+INT(($S$12:$AA$12+INDEX($AJ$13:$AR$162,BN3809,0)+INDEX($AT$13:$BB$162,BO3809,0)+INDEX($BD$13:$BL$162,BP3809,0))/100))),0)</f>
        <v/>
      </c>
      <c r="BT3809">
        <f>IF(AND(3796&lt;$U$9,$W$5),BQ3809*1000000-MIN(BR3809,999)*1000+BS3809-3796/100000,-1000000000-3796)</f>
        <v/>
      </c>
    </row>
    <row r="3810">
      <c r="BN3810">
        <f>IF(3797&lt;$U$9,INT(3797/($U$7*$U$8))+1,1)</f>
        <v/>
      </c>
      <c r="BO3810">
        <f>IF(3797&lt;$U$9,MOD(INT(3797/$U$8),$U$7)+1,1)</f>
        <v/>
      </c>
      <c r="BP3810">
        <f>IF(3797&lt;$U$9,MOD(3797,$U$8)+1,1)</f>
        <v/>
      </c>
      <c r="BQ3810">
        <f>IF(3797&lt;$U$9,SUMPRODUCT(($D$10:$L$10&lt;&gt;"")*(($D$9:$L$9+INT(($S$12:$AA$12+INDEX($AJ$13:$AR$162,BN3810,0)+INDEX($AT$13:$BB$162,BO3810,0)+INDEX($BD$13:$BL$162,BP3810,0))/100))&gt;=$D$10:$L$10)),0)</f>
        <v/>
      </c>
      <c r="BR3810">
        <f>IF(3797&lt;$U$9,SUMPRODUCT(($D$10:$L$10&lt;&gt;"")*(($D$10:$L$10-($D$9:$L$9+INT(($S$12:$AA$12+INDEX($AJ$13:$AR$162,BN3810,0)+INDEX($AT$13:$BB$162,BO3810,0)+INDEX($BD$13:$BL$162,BP3810,0))/100)))&gt;0)*($D$10:$L$10-($D$9:$L$9+INT(($S$12:$AA$12+INDEX($AJ$13:$AR$162,BN3810,0)+INDEX($AT$13:$BB$162,BO3810,0)+INDEX($BD$13:$BL$162,BP3810,0))/100)))),0)</f>
        <v/>
      </c>
      <c r="BS3810">
        <f>IF(3797&lt;$U$9,SUMPRODUCT(($D$9:$L$9+INT(($S$12:$AA$12+INDEX($AJ$13:$AR$162,BN3810,0)+INDEX($AT$13:$BB$162,BO3810,0)+INDEX($BD$13:$BL$162,BP3810,0))/100))),0)</f>
        <v/>
      </c>
      <c r="BT3810">
        <f>IF(AND(3797&lt;$U$9,$W$5),BQ3810*1000000-MIN(BR3810,999)*1000+BS3810-3797/100000,-1000000000-3797)</f>
        <v/>
      </c>
    </row>
    <row r="3811">
      <c r="BN3811">
        <f>IF(3798&lt;$U$9,INT(3798/($U$7*$U$8))+1,1)</f>
        <v/>
      </c>
      <c r="BO3811">
        <f>IF(3798&lt;$U$9,MOD(INT(3798/$U$8),$U$7)+1,1)</f>
        <v/>
      </c>
      <c r="BP3811">
        <f>IF(3798&lt;$U$9,MOD(3798,$U$8)+1,1)</f>
        <v/>
      </c>
      <c r="BQ3811">
        <f>IF(3798&lt;$U$9,SUMPRODUCT(($D$10:$L$10&lt;&gt;"")*(($D$9:$L$9+INT(($S$12:$AA$12+INDEX($AJ$13:$AR$162,BN3811,0)+INDEX($AT$13:$BB$162,BO3811,0)+INDEX($BD$13:$BL$162,BP3811,0))/100))&gt;=$D$10:$L$10)),0)</f>
        <v/>
      </c>
      <c r="BR3811">
        <f>IF(3798&lt;$U$9,SUMPRODUCT(($D$10:$L$10&lt;&gt;"")*(($D$10:$L$10-($D$9:$L$9+INT(($S$12:$AA$12+INDEX($AJ$13:$AR$162,BN3811,0)+INDEX($AT$13:$BB$162,BO3811,0)+INDEX($BD$13:$BL$162,BP3811,0))/100)))&gt;0)*($D$10:$L$10-($D$9:$L$9+INT(($S$12:$AA$12+INDEX($AJ$13:$AR$162,BN3811,0)+INDEX($AT$13:$BB$162,BO3811,0)+INDEX($BD$13:$BL$162,BP3811,0))/100)))),0)</f>
        <v/>
      </c>
      <c r="BS3811">
        <f>IF(3798&lt;$U$9,SUMPRODUCT(($D$9:$L$9+INT(($S$12:$AA$12+INDEX($AJ$13:$AR$162,BN3811,0)+INDEX($AT$13:$BB$162,BO3811,0)+INDEX($BD$13:$BL$162,BP3811,0))/100))),0)</f>
        <v/>
      </c>
      <c r="BT3811">
        <f>IF(AND(3798&lt;$U$9,$W$5),BQ3811*1000000-MIN(BR3811,999)*1000+BS3811-3798/100000,-1000000000-3798)</f>
        <v/>
      </c>
    </row>
    <row r="3812">
      <c r="BN3812">
        <f>IF(3799&lt;$U$9,INT(3799/($U$7*$U$8))+1,1)</f>
        <v/>
      </c>
      <c r="BO3812">
        <f>IF(3799&lt;$U$9,MOD(INT(3799/$U$8),$U$7)+1,1)</f>
        <v/>
      </c>
      <c r="BP3812">
        <f>IF(3799&lt;$U$9,MOD(3799,$U$8)+1,1)</f>
        <v/>
      </c>
      <c r="BQ3812">
        <f>IF(3799&lt;$U$9,SUMPRODUCT(($D$10:$L$10&lt;&gt;"")*(($D$9:$L$9+INT(($S$12:$AA$12+INDEX($AJ$13:$AR$162,BN3812,0)+INDEX($AT$13:$BB$162,BO3812,0)+INDEX($BD$13:$BL$162,BP3812,0))/100))&gt;=$D$10:$L$10)),0)</f>
        <v/>
      </c>
      <c r="BR3812">
        <f>IF(3799&lt;$U$9,SUMPRODUCT(($D$10:$L$10&lt;&gt;"")*(($D$10:$L$10-($D$9:$L$9+INT(($S$12:$AA$12+INDEX($AJ$13:$AR$162,BN3812,0)+INDEX($AT$13:$BB$162,BO3812,0)+INDEX($BD$13:$BL$162,BP3812,0))/100)))&gt;0)*($D$10:$L$10-($D$9:$L$9+INT(($S$12:$AA$12+INDEX($AJ$13:$AR$162,BN3812,0)+INDEX($AT$13:$BB$162,BO3812,0)+INDEX($BD$13:$BL$162,BP3812,0))/100)))),0)</f>
        <v/>
      </c>
      <c r="BS3812">
        <f>IF(3799&lt;$U$9,SUMPRODUCT(($D$9:$L$9+INT(($S$12:$AA$12+INDEX($AJ$13:$AR$162,BN3812,0)+INDEX($AT$13:$BB$162,BO3812,0)+INDEX($BD$13:$BL$162,BP3812,0))/100))),0)</f>
        <v/>
      </c>
      <c r="BT3812">
        <f>IF(AND(3799&lt;$U$9,$W$5),BQ3812*1000000-MIN(BR3812,999)*1000+BS3812-3799/100000,-1000000000-3799)</f>
        <v/>
      </c>
    </row>
    <row r="3813">
      <c r="BN3813">
        <f>IF(3800&lt;$U$9,INT(3800/($U$7*$U$8))+1,1)</f>
        <v/>
      </c>
      <c r="BO3813">
        <f>IF(3800&lt;$U$9,MOD(INT(3800/$U$8),$U$7)+1,1)</f>
        <v/>
      </c>
      <c r="BP3813">
        <f>IF(3800&lt;$U$9,MOD(3800,$U$8)+1,1)</f>
        <v/>
      </c>
      <c r="BQ3813">
        <f>IF(3800&lt;$U$9,SUMPRODUCT(($D$10:$L$10&lt;&gt;"")*(($D$9:$L$9+INT(($S$12:$AA$12+INDEX($AJ$13:$AR$162,BN3813,0)+INDEX($AT$13:$BB$162,BO3813,0)+INDEX($BD$13:$BL$162,BP3813,0))/100))&gt;=$D$10:$L$10)),0)</f>
        <v/>
      </c>
      <c r="BR3813">
        <f>IF(3800&lt;$U$9,SUMPRODUCT(($D$10:$L$10&lt;&gt;"")*(($D$10:$L$10-($D$9:$L$9+INT(($S$12:$AA$12+INDEX($AJ$13:$AR$162,BN3813,0)+INDEX($AT$13:$BB$162,BO3813,0)+INDEX($BD$13:$BL$162,BP3813,0))/100)))&gt;0)*($D$10:$L$10-($D$9:$L$9+INT(($S$12:$AA$12+INDEX($AJ$13:$AR$162,BN3813,0)+INDEX($AT$13:$BB$162,BO3813,0)+INDEX($BD$13:$BL$162,BP3813,0))/100)))),0)</f>
        <v/>
      </c>
      <c r="BS3813">
        <f>IF(3800&lt;$U$9,SUMPRODUCT(($D$9:$L$9+INT(($S$12:$AA$12+INDEX($AJ$13:$AR$162,BN3813,0)+INDEX($AT$13:$BB$162,BO3813,0)+INDEX($BD$13:$BL$162,BP3813,0))/100))),0)</f>
        <v/>
      </c>
      <c r="BT3813">
        <f>IF(AND(3800&lt;$U$9,$W$5),BQ3813*1000000-MIN(BR3813,999)*1000+BS3813-3800/100000,-1000000000-3800)</f>
        <v/>
      </c>
    </row>
    <row r="3814">
      <c r="BN3814">
        <f>IF(3801&lt;$U$9,INT(3801/($U$7*$U$8))+1,1)</f>
        <v/>
      </c>
      <c r="BO3814">
        <f>IF(3801&lt;$U$9,MOD(INT(3801/$U$8),$U$7)+1,1)</f>
        <v/>
      </c>
      <c r="BP3814">
        <f>IF(3801&lt;$U$9,MOD(3801,$U$8)+1,1)</f>
        <v/>
      </c>
      <c r="BQ3814">
        <f>IF(3801&lt;$U$9,SUMPRODUCT(($D$10:$L$10&lt;&gt;"")*(($D$9:$L$9+INT(($S$12:$AA$12+INDEX($AJ$13:$AR$162,BN3814,0)+INDEX($AT$13:$BB$162,BO3814,0)+INDEX($BD$13:$BL$162,BP3814,0))/100))&gt;=$D$10:$L$10)),0)</f>
        <v/>
      </c>
      <c r="BR3814">
        <f>IF(3801&lt;$U$9,SUMPRODUCT(($D$10:$L$10&lt;&gt;"")*(($D$10:$L$10-($D$9:$L$9+INT(($S$12:$AA$12+INDEX($AJ$13:$AR$162,BN3814,0)+INDEX($AT$13:$BB$162,BO3814,0)+INDEX($BD$13:$BL$162,BP3814,0))/100)))&gt;0)*($D$10:$L$10-($D$9:$L$9+INT(($S$12:$AA$12+INDEX($AJ$13:$AR$162,BN3814,0)+INDEX($AT$13:$BB$162,BO3814,0)+INDEX($BD$13:$BL$162,BP3814,0))/100)))),0)</f>
        <v/>
      </c>
      <c r="BS3814">
        <f>IF(3801&lt;$U$9,SUMPRODUCT(($D$9:$L$9+INT(($S$12:$AA$12+INDEX($AJ$13:$AR$162,BN3814,0)+INDEX($AT$13:$BB$162,BO3814,0)+INDEX($BD$13:$BL$162,BP3814,0))/100))),0)</f>
        <v/>
      </c>
      <c r="BT3814">
        <f>IF(AND(3801&lt;$U$9,$W$5),BQ3814*1000000-MIN(BR3814,999)*1000+BS3814-3801/100000,-1000000000-3801)</f>
        <v/>
      </c>
    </row>
    <row r="3815">
      <c r="BN3815">
        <f>IF(3802&lt;$U$9,INT(3802/($U$7*$U$8))+1,1)</f>
        <v/>
      </c>
      <c r="BO3815">
        <f>IF(3802&lt;$U$9,MOD(INT(3802/$U$8),$U$7)+1,1)</f>
        <v/>
      </c>
      <c r="BP3815">
        <f>IF(3802&lt;$U$9,MOD(3802,$U$8)+1,1)</f>
        <v/>
      </c>
      <c r="BQ3815">
        <f>IF(3802&lt;$U$9,SUMPRODUCT(($D$10:$L$10&lt;&gt;"")*(($D$9:$L$9+INT(($S$12:$AA$12+INDEX($AJ$13:$AR$162,BN3815,0)+INDEX($AT$13:$BB$162,BO3815,0)+INDEX($BD$13:$BL$162,BP3815,0))/100))&gt;=$D$10:$L$10)),0)</f>
        <v/>
      </c>
      <c r="BR3815">
        <f>IF(3802&lt;$U$9,SUMPRODUCT(($D$10:$L$10&lt;&gt;"")*(($D$10:$L$10-($D$9:$L$9+INT(($S$12:$AA$12+INDEX($AJ$13:$AR$162,BN3815,0)+INDEX($AT$13:$BB$162,BO3815,0)+INDEX($BD$13:$BL$162,BP3815,0))/100)))&gt;0)*($D$10:$L$10-($D$9:$L$9+INT(($S$12:$AA$12+INDEX($AJ$13:$AR$162,BN3815,0)+INDEX($AT$13:$BB$162,BO3815,0)+INDEX($BD$13:$BL$162,BP3815,0))/100)))),0)</f>
        <v/>
      </c>
      <c r="BS3815">
        <f>IF(3802&lt;$U$9,SUMPRODUCT(($D$9:$L$9+INT(($S$12:$AA$12+INDEX($AJ$13:$AR$162,BN3815,0)+INDEX($AT$13:$BB$162,BO3815,0)+INDEX($BD$13:$BL$162,BP3815,0))/100))),0)</f>
        <v/>
      </c>
      <c r="BT3815">
        <f>IF(AND(3802&lt;$U$9,$W$5),BQ3815*1000000-MIN(BR3815,999)*1000+BS3815-3802/100000,-1000000000-3802)</f>
        <v/>
      </c>
    </row>
    <row r="3816">
      <c r="BN3816">
        <f>IF(3803&lt;$U$9,INT(3803/($U$7*$U$8))+1,1)</f>
        <v/>
      </c>
      <c r="BO3816">
        <f>IF(3803&lt;$U$9,MOD(INT(3803/$U$8),$U$7)+1,1)</f>
        <v/>
      </c>
      <c r="BP3816">
        <f>IF(3803&lt;$U$9,MOD(3803,$U$8)+1,1)</f>
        <v/>
      </c>
      <c r="BQ3816">
        <f>IF(3803&lt;$U$9,SUMPRODUCT(($D$10:$L$10&lt;&gt;"")*(($D$9:$L$9+INT(($S$12:$AA$12+INDEX($AJ$13:$AR$162,BN3816,0)+INDEX($AT$13:$BB$162,BO3816,0)+INDEX($BD$13:$BL$162,BP3816,0))/100))&gt;=$D$10:$L$10)),0)</f>
        <v/>
      </c>
      <c r="BR3816">
        <f>IF(3803&lt;$U$9,SUMPRODUCT(($D$10:$L$10&lt;&gt;"")*(($D$10:$L$10-($D$9:$L$9+INT(($S$12:$AA$12+INDEX($AJ$13:$AR$162,BN3816,0)+INDEX($AT$13:$BB$162,BO3816,0)+INDEX($BD$13:$BL$162,BP3816,0))/100)))&gt;0)*($D$10:$L$10-($D$9:$L$9+INT(($S$12:$AA$12+INDEX($AJ$13:$AR$162,BN3816,0)+INDEX($AT$13:$BB$162,BO3816,0)+INDEX($BD$13:$BL$162,BP3816,0))/100)))),0)</f>
        <v/>
      </c>
      <c r="BS3816">
        <f>IF(3803&lt;$U$9,SUMPRODUCT(($D$9:$L$9+INT(($S$12:$AA$12+INDEX($AJ$13:$AR$162,BN3816,0)+INDEX($AT$13:$BB$162,BO3816,0)+INDEX($BD$13:$BL$162,BP3816,0))/100))),0)</f>
        <v/>
      </c>
      <c r="BT3816">
        <f>IF(AND(3803&lt;$U$9,$W$5),BQ3816*1000000-MIN(BR3816,999)*1000+BS3816-3803/100000,-1000000000-3803)</f>
        <v/>
      </c>
    </row>
    <row r="3817">
      <c r="BN3817">
        <f>IF(3804&lt;$U$9,INT(3804/($U$7*$U$8))+1,1)</f>
        <v/>
      </c>
      <c r="BO3817">
        <f>IF(3804&lt;$U$9,MOD(INT(3804/$U$8),$U$7)+1,1)</f>
        <v/>
      </c>
      <c r="BP3817">
        <f>IF(3804&lt;$U$9,MOD(3804,$U$8)+1,1)</f>
        <v/>
      </c>
      <c r="BQ3817">
        <f>IF(3804&lt;$U$9,SUMPRODUCT(($D$10:$L$10&lt;&gt;"")*(($D$9:$L$9+INT(($S$12:$AA$12+INDEX($AJ$13:$AR$162,BN3817,0)+INDEX($AT$13:$BB$162,BO3817,0)+INDEX($BD$13:$BL$162,BP3817,0))/100))&gt;=$D$10:$L$10)),0)</f>
        <v/>
      </c>
      <c r="BR3817">
        <f>IF(3804&lt;$U$9,SUMPRODUCT(($D$10:$L$10&lt;&gt;"")*(($D$10:$L$10-($D$9:$L$9+INT(($S$12:$AA$12+INDEX($AJ$13:$AR$162,BN3817,0)+INDEX($AT$13:$BB$162,BO3817,0)+INDEX($BD$13:$BL$162,BP3817,0))/100)))&gt;0)*($D$10:$L$10-($D$9:$L$9+INT(($S$12:$AA$12+INDEX($AJ$13:$AR$162,BN3817,0)+INDEX($AT$13:$BB$162,BO3817,0)+INDEX($BD$13:$BL$162,BP3817,0))/100)))),0)</f>
        <v/>
      </c>
      <c r="BS3817">
        <f>IF(3804&lt;$U$9,SUMPRODUCT(($D$9:$L$9+INT(($S$12:$AA$12+INDEX($AJ$13:$AR$162,BN3817,0)+INDEX($AT$13:$BB$162,BO3817,0)+INDEX($BD$13:$BL$162,BP3817,0))/100))),0)</f>
        <v/>
      </c>
      <c r="BT3817">
        <f>IF(AND(3804&lt;$U$9,$W$5),BQ3817*1000000-MIN(BR3817,999)*1000+BS3817-3804/100000,-1000000000-3804)</f>
        <v/>
      </c>
    </row>
    <row r="3818">
      <c r="BN3818">
        <f>IF(3805&lt;$U$9,INT(3805/($U$7*$U$8))+1,1)</f>
        <v/>
      </c>
      <c r="BO3818">
        <f>IF(3805&lt;$U$9,MOD(INT(3805/$U$8),$U$7)+1,1)</f>
        <v/>
      </c>
      <c r="BP3818">
        <f>IF(3805&lt;$U$9,MOD(3805,$U$8)+1,1)</f>
        <v/>
      </c>
      <c r="BQ3818">
        <f>IF(3805&lt;$U$9,SUMPRODUCT(($D$10:$L$10&lt;&gt;"")*(($D$9:$L$9+INT(($S$12:$AA$12+INDEX($AJ$13:$AR$162,BN3818,0)+INDEX($AT$13:$BB$162,BO3818,0)+INDEX($BD$13:$BL$162,BP3818,0))/100))&gt;=$D$10:$L$10)),0)</f>
        <v/>
      </c>
      <c r="BR3818">
        <f>IF(3805&lt;$U$9,SUMPRODUCT(($D$10:$L$10&lt;&gt;"")*(($D$10:$L$10-($D$9:$L$9+INT(($S$12:$AA$12+INDEX($AJ$13:$AR$162,BN3818,0)+INDEX($AT$13:$BB$162,BO3818,0)+INDEX($BD$13:$BL$162,BP3818,0))/100)))&gt;0)*($D$10:$L$10-($D$9:$L$9+INT(($S$12:$AA$12+INDEX($AJ$13:$AR$162,BN3818,0)+INDEX($AT$13:$BB$162,BO3818,0)+INDEX($BD$13:$BL$162,BP3818,0))/100)))),0)</f>
        <v/>
      </c>
      <c r="BS3818">
        <f>IF(3805&lt;$U$9,SUMPRODUCT(($D$9:$L$9+INT(($S$12:$AA$12+INDEX($AJ$13:$AR$162,BN3818,0)+INDEX($AT$13:$BB$162,BO3818,0)+INDEX($BD$13:$BL$162,BP3818,0))/100))),0)</f>
        <v/>
      </c>
      <c r="BT3818">
        <f>IF(AND(3805&lt;$U$9,$W$5),BQ3818*1000000-MIN(BR3818,999)*1000+BS3818-3805/100000,-1000000000-3805)</f>
        <v/>
      </c>
    </row>
    <row r="3819">
      <c r="BN3819">
        <f>IF(3806&lt;$U$9,INT(3806/($U$7*$U$8))+1,1)</f>
        <v/>
      </c>
      <c r="BO3819">
        <f>IF(3806&lt;$U$9,MOD(INT(3806/$U$8),$U$7)+1,1)</f>
        <v/>
      </c>
      <c r="BP3819">
        <f>IF(3806&lt;$U$9,MOD(3806,$U$8)+1,1)</f>
        <v/>
      </c>
      <c r="BQ3819">
        <f>IF(3806&lt;$U$9,SUMPRODUCT(($D$10:$L$10&lt;&gt;"")*(($D$9:$L$9+INT(($S$12:$AA$12+INDEX($AJ$13:$AR$162,BN3819,0)+INDEX($AT$13:$BB$162,BO3819,0)+INDEX($BD$13:$BL$162,BP3819,0))/100))&gt;=$D$10:$L$10)),0)</f>
        <v/>
      </c>
      <c r="BR3819">
        <f>IF(3806&lt;$U$9,SUMPRODUCT(($D$10:$L$10&lt;&gt;"")*(($D$10:$L$10-($D$9:$L$9+INT(($S$12:$AA$12+INDEX($AJ$13:$AR$162,BN3819,0)+INDEX($AT$13:$BB$162,BO3819,0)+INDEX($BD$13:$BL$162,BP3819,0))/100)))&gt;0)*($D$10:$L$10-($D$9:$L$9+INT(($S$12:$AA$12+INDEX($AJ$13:$AR$162,BN3819,0)+INDEX($AT$13:$BB$162,BO3819,0)+INDEX($BD$13:$BL$162,BP3819,0))/100)))),0)</f>
        <v/>
      </c>
      <c r="BS3819">
        <f>IF(3806&lt;$U$9,SUMPRODUCT(($D$9:$L$9+INT(($S$12:$AA$12+INDEX($AJ$13:$AR$162,BN3819,0)+INDEX($AT$13:$BB$162,BO3819,0)+INDEX($BD$13:$BL$162,BP3819,0))/100))),0)</f>
        <v/>
      </c>
      <c r="BT3819">
        <f>IF(AND(3806&lt;$U$9,$W$5),BQ3819*1000000-MIN(BR3819,999)*1000+BS3819-3806/100000,-1000000000-3806)</f>
        <v/>
      </c>
    </row>
    <row r="3820">
      <c r="BN3820">
        <f>IF(3807&lt;$U$9,INT(3807/($U$7*$U$8))+1,1)</f>
        <v/>
      </c>
      <c r="BO3820">
        <f>IF(3807&lt;$U$9,MOD(INT(3807/$U$8),$U$7)+1,1)</f>
        <v/>
      </c>
      <c r="BP3820">
        <f>IF(3807&lt;$U$9,MOD(3807,$U$8)+1,1)</f>
        <v/>
      </c>
      <c r="BQ3820">
        <f>IF(3807&lt;$U$9,SUMPRODUCT(($D$10:$L$10&lt;&gt;"")*(($D$9:$L$9+INT(($S$12:$AA$12+INDEX($AJ$13:$AR$162,BN3820,0)+INDEX($AT$13:$BB$162,BO3820,0)+INDEX($BD$13:$BL$162,BP3820,0))/100))&gt;=$D$10:$L$10)),0)</f>
        <v/>
      </c>
      <c r="BR3820">
        <f>IF(3807&lt;$U$9,SUMPRODUCT(($D$10:$L$10&lt;&gt;"")*(($D$10:$L$10-($D$9:$L$9+INT(($S$12:$AA$12+INDEX($AJ$13:$AR$162,BN3820,0)+INDEX($AT$13:$BB$162,BO3820,0)+INDEX($BD$13:$BL$162,BP3820,0))/100)))&gt;0)*($D$10:$L$10-($D$9:$L$9+INT(($S$12:$AA$12+INDEX($AJ$13:$AR$162,BN3820,0)+INDEX($AT$13:$BB$162,BO3820,0)+INDEX($BD$13:$BL$162,BP3820,0))/100)))),0)</f>
        <v/>
      </c>
      <c r="BS3820">
        <f>IF(3807&lt;$U$9,SUMPRODUCT(($D$9:$L$9+INT(($S$12:$AA$12+INDEX($AJ$13:$AR$162,BN3820,0)+INDEX($AT$13:$BB$162,BO3820,0)+INDEX($BD$13:$BL$162,BP3820,0))/100))),0)</f>
        <v/>
      </c>
      <c r="BT3820">
        <f>IF(AND(3807&lt;$U$9,$W$5),BQ3820*1000000-MIN(BR3820,999)*1000+BS3820-3807/100000,-1000000000-3807)</f>
        <v/>
      </c>
    </row>
    <row r="3821">
      <c r="BN3821">
        <f>IF(3808&lt;$U$9,INT(3808/($U$7*$U$8))+1,1)</f>
        <v/>
      </c>
      <c r="BO3821">
        <f>IF(3808&lt;$U$9,MOD(INT(3808/$U$8),$U$7)+1,1)</f>
        <v/>
      </c>
      <c r="BP3821">
        <f>IF(3808&lt;$U$9,MOD(3808,$U$8)+1,1)</f>
        <v/>
      </c>
      <c r="BQ3821">
        <f>IF(3808&lt;$U$9,SUMPRODUCT(($D$10:$L$10&lt;&gt;"")*(($D$9:$L$9+INT(($S$12:$AA$12+INDEX($AJ$13:$AR$162,BN3821,0)+INDEX($AT$13:$BB$162,BO3821,0)+INDEX($BD$13:$BL$162,BP3821,0))/100))&gt;=$D$10:$L$10)),0)</f>
        <v/>
      </c>
      <c r="BR3821">
        <f>IF(3808&lt;$U$9,SUMPRODUCT(($D$10:$L$10&lt;&gt;"")*(($D$10:$L$10-($D$9:$L$9+INT(($S$12:$AA$12+INDEX($AJ$13:$AR$162,BN3821,0)+INDEX($AT$13:$BB$162,BO3821,0)+INDEX($BD$13:$BL$162,BP3821,0))/100)))&gt;0)*($D$10:$L$10-($D$9:$L$9+INT(($S$12:$AA$12+INDEX($AJ$13:$AR$162,BN3821,0)+INDEX($AT$13:$BB$162,BO3821,0)+INDEX($BD$13:$BL$162,BP3821,0))/100)))),0)</f>
        <v/>
      </c>
      <c r="BS3821">
        <f>IF(3808&lt;$U$9,SUMPRODUCT(($D$9:$L$9+INT(($S$12:$AA$12+INDEX($AJ$13:$AR$162,BN3821,0)+INDEX($AT$13:$BB$162,BO3821,0)+INDEX($BD$13:$BL$162,BP3821,0))/100))),0)</f>
        <v/>
      </c>
      <c r="BT3821">
        <f>IF(AND(3808&lt;$U$9,$W$5),BQ3821*1000000-MIN(BR3821,999)*1000+BS3821-3808/100000,-1000000000-3808)</f>
        <v/>
      </c>
    </row>
    <row r="3822">
      <c r="BN3822">
        <f>IF(3809&lt;$U$9,INT(3809/($U$7*$U$8))+1,1)</f>
        <v/>
      </c>
      <c r="BO3822">
        <f>IF(3809&lt;$U$9,MOD(INT(3809/$U$8),$U$7)+1,1)</f>
        <v/>
      </c>
      <c r="BP3822">
        <f>IF(3809&lt;$U$9,MOD(3809,$U$8)+1,1)</f>
        <v/>
      </c>
      <c r="BQ3822">
        <f>IF(3809&lt;$U$9,SUMPRODUCT(($D$10:$L$10&lt;&gt;"")*(($D$9:$L$9+INT(($S$12:$AA$12+INDEX($AJ$13:$AR$162,BN3822,0)+INDEX($AT$13:$BB$162,BO3822,0)+INDEX($BD$13:$BL$162,BP3822,0))/100))&gt;=$D$10:$L$10)),0)</f>
        <v/>
      </c>
      <c r="BR3822">
        <f>IF(3809&lt;$U$9,SUMPRODUCT(($D$10:$L$10&lt;&gt;"")*(($D$10:$L$10-($D$9:$L$9+INT(($S$12:$AA$12+INDEX($AJ$13:$AR$162,BN3822,0)+INDEX($AT$13:$BB$162,BO3822,0)+INDEX($BD$13:$BL$162,BP3822,0))/100)))&gt;0)*($D$10:$L$10-($D$9:$L$9+INT(($S$12:$AA$12+INDEX($AJ$13:$AR$162,BN3822,0)+INDEX($AT$13:$BB$162,BO3822,0)+INDEX($BD$13:$BL$162,BP3822,0))/100)))),0)</f>
        <v/>
      </c>
      <c r="BS3822">
        <f>IF(3809&lt;$U$9,SUMPRODUCT(($D$9:$L$9+INT(($S$12:$AA$12+INDEX($AJ$13:$AR$162,BN3822,0)+INDEX($AT$13:$BB$162,BO3822,0)+INDEX($BD$13:$BL$162,BP3822,0))/100))),0)</f>
        <v/>
      </c>
      <c r="BT3822">
        <f>IF(AND(3809&lt;$U$9,$W$5),BQ3822*1000000-MIN(BR3822,999)*1000+BS3822-3809/100000,-1000000000-3809)</f>
        <v/>
      </c>
    </row>
    <row r="3823">
      <c r="BN3823">
        <f>IF(3810&lt;$U$9,INT(3810/($U$7*$U$8))+1,1)</f>
        <v/>
      </c>
      <c r="BO3823">
        <f>IF(3810&lt;$U$9,MOD(INT(3810/$U$8),$U$7)+1,1)</f>
        <v/>
      </c>
      <c r="BP3823">
        <f>IF(3810&lt;$U$9,MOD(3810,$U$8)+1,1)</f>
        <v/>
      </c>
      <c r="BQ3823">
        <f>IF(3810&lt;$U$9,SUMPRODUCT(($D$10:$L$10&lt;&gt;"")*(($D$9:$L$9+INT(($S$12:$AA$12+INDEX($AJ$13:$AR$162,BN3823,0)+INDEX($AT$13:$BB$162,BO3823,0)+INDEX($BD$13:$BL$162,BP3823,0))/100))&gt;=$D$10:$L$10)),0)</f>
        <v/>
      </c>
      <c r="BR3823">
        <f>IF(3810&lt;$U$9,SUMPRODUCT(($D$10:$L$10&lt;&gt;"")*(($D$10:$L$10-($D$9:$L$9+INT(($S$12:$AA$12+INDEX($AJ$13:$AR$162,BN3823,0)+INDEX($AT$13:$BB$162,BO3823,0)+INDEX($BD$13:$BL$162,BP3823,0))/100)))&gt;0)*($D$10:$L$10-($D$9:$L$9+INT(($S$12:$AA$12+INDEX($AJ$13:$AR$162,BN3823,0)+INDEX($AT$13:$BB$162,BO3823,0)+INDEX($BD$13:$BL$162,BP3823,0))/100)))),0)</f>
        <v/>
      </c>
      <c r="BS3823">
        <f>IF(3810&lt;$U$9,SUMPRODUCT(($D$9:$L$9+INT(($S$12:$AA$12+INDEX($AJ$13:$AR$162,BN3823,0)+INDEX($AT$13:$BB$162,BO3823,0)+INDEX($BD$13:$BL$162,BP3823,0))/100))),0)</f>
        <v/>
      </c>
      <c r="BT3823">
        <f>IF(AND(3810&lt;$U$9,$W$5),BQ3823*1000000-MIN(BR3823,999)*1000+BS3823-3810/100000,-1000000000-3810)</f>
        <v/>
      </c>
    </row>
    <row r="3824">
      <c r="BN3824">
        <f>IF(3811&lt;$U$9,INT(3811/($U$7*$U$8))+1,1)</f>
        <v/>
      </c>
      <c r="BO3824">
        <f>IF(3811&lt;$U$9,MOD(INT(3811/$U$8),$U$7)+1,1)</f>
        <v/>
      </c>
      <c r="BP3824">
        <f>IF(3811&lt;$U$9,MOD(3811,$U$8)+1,1)</f>
        <v/>
      </c>
      <c r="BQ3824">
        <f>IF(3811&lt;$U$9,SUMPRODUCT(($D$10:$L$10&lt;&gt;"")*(($D$9:$L$9+INT(($S$12:$AA$12+INDEX($AJ$13:$AR$162,BN3824,0)+INDEX($AT$13:$BB$162,BO3824,0)+INDEX($BD$13:$BL$162,BP3824,0))/100))&gt;=$D$10:$L$10)),0)</f>
        <v/>
      </c>
      <c r="BR3824">
        <f>IF(3811&lt;$U$9,SUMPRODUCT(($D$10:$L$10&lt;&gt;"")*(($D$10:$L$10-($D$9:$L$9+INT(($S$12:$AA$12+INDEX($AJ$13:$AR$162,BN3824,0)+INDEX($AT$13:$BB$162,BO3824,0)+INDEX($BD$13:$BL$162,BP3824,0))/100)))&gt;0)*($D$10:$L$10-($D$9:$L$9+INT(($S$12:$AA$12+INDEX($AJ$13:$AR$162,BN3824,0)+INDEX($AT$13:$BB$162,BO3824,0)+INDEX($BD$13:$BL$162,BP3824,0))/100)))),0)</f>
        <v/>
      </c>
      <c r="BS3824">
        <f>IF(3811&lt;$U$9,SUMPRODUCT(($D$9:$L$9+INT(($S$12:$AA$12+INDEX($AJ$13:$AR$162,BN3824,0)+INDEX($AT$13:$BB$162,BO3824,0)+INDEX($BD$13:$BL$162,BP3824,0))/100))),0)</f>
        <v/>
      </c>
      <c r="BT3824">
        <f>IF(AND(3811&lt;$U$9,$W$5),BQ3824*1000000-MIN(BR3824,999)*1000+BS3824-3811/100000,-1000000000-3811)</f>
        <v/>
      </c>
    </row>
    <row r="3825">
      <c r="BN3825">
        <f>IF(3812&lt;$U$9,INT(3812/($U$7*$U$8))+1,1)</f>
        <v/>
      </c>
      <c r="BO3825">
        <f>IF(3812&lt;$U$9,MOD(INT(3812/$U$8),$U$7)+1,1)</f>
        <v/>
      </c>
      <c r="BP3825">
        <f>IF(3812&lt;$U$9,MOD(3812,$U$8)+1,1)</f>
        <v/>
      </c>
      <c r="BQ3825">
        <f>IF(3812&lt;$U$9,SUMPRODUCT(($D$10:$L$10&lt;&gt;"")*(($D$9:$L$9+INT(($S$12:$AA$12+INDEX($AJ$13:$AR$162,BN3825,0)+INDEX($AT$13:$BB$162,BO3825,0)+INDEX($BD$13:$BL$162,BP3825,0))/100))&gt;=$D$10:$L$10)),0)</f>
        <v/>
      </c>
      <c r="BR3825">
        <f>IF(3812&lt;$U$9,SUMPRODUCT(($D$10:$L$10&lt;&gt;"")*(($D$10:$L$10-($D$9:$L$9+INT(($S$12:$AA$12+INDEX($AJ$13:$AR$162,BN3825,0)+INDEX($AT$13:$BB$162,BO3825,0)+INDEX($BD$13:$BL$162,BP3825,0))/100)))&gt;0)*($D$10:$L$10-($D$9:$L$9+INT(($S$12:$AA$12+INDEX($AJ$13:$AR$162,BN3825,0)+INDEX($AT$13:$BB$162,BO3825,0)+INDEX($BD$13:$BL$162,BP3825,0))/100)))),0)</f>
        <v/>
      </c>
      <c r="BS3825">
        <f>IF(3812&lt;$U$9,SUMPRODUCT(($D$9:$L$9+INT(($S$12:$AA$12+INDEX($AJ$13:$AR$162,BN3825,0)+INDEX($AT$13:$BB$162,BO3825,0)+INDEX($BD$13:$BL$162,BP3825,0))/100))),0)</f>
        <v/>
      </c>
      <c r="BT3825">
        <f>IF(AND(3812&lt;$U$9,$W$5),BQ3825*1000000-MIN(BR3825,999)*1000+BS3825-3812/100000,-1000000000-3812)</f>
        <v/>
      </c>
    </row>
    <row r="3826">
      <c r="BN3826">
        <f>IF(3813&lt;$U$9,INT(3813/($U$7*$U$8))+1,1)</f>
        <v/>
      </c>
      <c r="BO3826">
        <f>IF(3813&lt;$U$9,MOD(INT(3813/$U$8),$U$7)+1,1)</f>
        <v/>
      </c>
      <c r="BP3826">
        <f>IF(3813&lt;$U$9,MOD(3813,$U$8)+1,1)</f>
        <v/>
      </c>
      <c r="BQ3826">
        <f>IF(3813&lt;$U$9,SUMPRODUCT(($D$10:$L$10&lt;&gt;"")*(($D$9:$L$9+INT(($S$12:$AA$12+INDEX($AJ$13:$AR$162,BN3826,0)+INDEX($AT$13:$BB$162,BO3826,0)+INDEX($BD$13:$BL$162,BP3826,0))/100))&gt;=$D$10:$L$10)),0)</f>
        <v/>
      </c>
      <c r="BR3826">
        <f>IF(3813&lt;$U$9,SUMPRODUCT(($D$10:$L$10&lt;&gt;"")*(($D$10:$L$10-($D$9:$L$9+INT(($S$12:$AA$12+INDEX($AJ$13:$AR$162,BN3826,0)+INDEX($AT$13:$BB$162,BO3826,0)+INDEX($BD$13:$BL$162,BP3826,0))/100)))&gt;0)*($D$10:$L$10-($D$9:$L$9+INT(($S$12:$AA$12+INDEX($AJ$13:$AR$162,BN3826,0)+INDEX($AT$13:$BB$162,BO3826,0)+INDEX($BD$13:$BL$162,BP3826,0))/100)))),0)</f>
        <v/>
      </c>
      <c r="BS3826">
        <f>IF(3813&lt;$U$9,SUMPRODUCT(($D$9:$L$9+INT(($S$12:$AA$12+INDEX($AJ$13:$AR$162,BN3826,0)+INDEX($AT$13:$BB$162,BO3826,0)+INDEX($BD$13:$BL$162,BP3826,0))/100))),0)</f>
        <v/>
      </c>
      <c r="BT3826">
        <f>IF(AND(3813&lt;$U$9,$W$5),BQ3826*1000000-MIN(BR3826,999)*1000+BS3826-3813/100000,-1000000000-3813)</f>
        <v/>
      </c>
    </row>
    <row r="3827">
      <c r="BN3827">
        <f>IF(3814&lt;$U$9,INT(3814/($U$7*$U$8))+1,1)</f>
        <v/>
      </c>
      <c r="BO3827">
        <f>IF(3814&lt;$U$9,MOD(INT(3814/$U$8),$U$7)+1,1)</f>
        <v/>
      </c>
      <c r="BP3827">
        <f>IF(3814&lt;$U$9,MOD(3814,$U$8)+1,1)</f>
        <v/>
      </c>
      <c r="BQ3827">
        <f>IF(3814&lt;$U$9,SUMPRODUCT(($D$10:$L$10&lt;&gt;"")*(($D$9:$L$9+INT(($S$12:$AA$12+INDEX($AJ$13:$AR$162,BN3827,0)+INDEX($AT$13:$BB$162,BO3827,0)+INDEX($BD$13:$BL$162,BP3827,0))/100))&gt;=$D$10:$L$10)),0)</f>
        <v/>
      </c>
      <c r="BR3827">
        <f>IF(3814&lt;$U$9,SUMPRODUCT(($D$10:$L$10&lt;&gt;"")*(($D$10:$L$10-($D$9:$L$9+INT(($S$12:$AA$12+INDEX($AJ$13:$AR$162,BN3827,0)+INDEX($AT$13:$BB$162,BO3827,0)+INDEX($BD$13:$BL$162,BP3827,0))/100)))&gt;0)*($D$10:$L$10-($D$9:$L$9+INT(($S$12:$AA$12+INDEX($AJ$13:$AR$162,BN3827,0)+INDEX($AT$13:$BB$162,BO3827,0)+INDEX($BD$13:$BL$162,BP3827,0))/100)))),0)</f>
        <v/>
      </c>
      <c r="BS3827">
        <f>IF(3814&lt;$U$9,SUMPRODUCT(($D$9:$L$9+INT(($S$12:$AA$12+INDEX($AJ$13:$AR$162,BN3827,0)+INDEX($AT$13:$BB$162,BO3827,0)+INDEX($BD$13:$BL$162,BP3827,0))/100))),0)</f>
        <v/>
      </c>
      <c r="BT3827">
        <f>IF(AND(3814&lt;$U$9,$W$5),BQ3827*1000000-MIN(BR3827,999)*1000+BS3827-3814/100000,-1000000000-3814)</f>
        <v/>
      </c>
    </row>
    <row r="3828">
      <c r="BN3828">
        <f>IF(3815&lt;$U$9,INT(3815/($U$7*$U$8))+1,1)</f>
        <v/>
      </c>
      <c r="BO3828">
        <f>IF(3815&lt;$U$9,MOD(INT(3815/$U$8),$U$7)+1,1)</f>
        <v/>
      </c>
      <c r="BP3828">
        <f>IF(3815&lt;$U$9,MOD(3815,$U$8)+1,1)</f>
        <v/>
      </c>
      <c r="BQ3828">
        <f>IF(3815&lt;$U$9,SUMPRODUCT(($D$10:$L$10&lt;&gt;"")*(($D$9:$L$9+INT(($S$12:$AA$12+INDEX($AJ$13:$AR$162,BN3828,0)+INDEX($AT$13:$BB$162,BO3828,0)+INDEX($BD$13:$BL$162,BP3828,0))/100))&gt;=$D$10:$L$10)),0)</f>
        <v/>
      </c>
      <c r="BR3828">
        <f>IF(3815&lt;$U$9,SUMPRODUCT(($D$10:$L$10&lt;&gt;"")*(($D$10:$L$10-($D$9:$L$9+INT(($S$12:$AA$12+INDEX($AJ$13:$AR$162,BN3828,0)+INDEX($AT$13:$BB$162,BO3828,0)+INDEX($BD$13:$BL$162,BP3828,0))/100)))&gt;0)*($D$10:$L$10-($D$9:$L$9+INT(($S$12:$AA$12+INDEX($AJ$13:$AR$162,BN3828,0)+INDEX($AT$13:$BB$162,BO3828,0)+INDEX($BD$13:$BL$162,BP3828,0))/100)))),0)</f>
        <v/>
      </c>
      <c r="BS3828">
        <f>IF(3815&lt;$U$9,SUMPRODUCT(($D$9:$L$9+INT(($S$12:$AA$12+INDEX($AJ$13:$AR$162,BN3828,0)+INDEX($AT$13:$BB$162,BO3828,0)+INDEX($BD$13:$BL$162,BP3828,0))/100))),0)</f>
        <v/>
      </c>
      <c r="BT3828">
        <f>IF(AND(3815&lt;$U$9,$W$5),BQ3828*1000000-MIN(BR3828,999)*1000+BS3828-3815/100000,-1000000000-3815)</f>
        <v/>
      </c>
    </row>
    <row r="3829">
      <c r="BN3829">
        <f>IF(3816&lt;$U$9,INT(3816/($U$7*$U$8))+1,1)</f>
        <v/>
      </c>
      <c r="BO3829">
        <f>IF(3816&lt;$U$9,MOD(INT(3816/$U$8),$U$7)+1,1)</f>
        <v/>
      </c>
      <c r="BP3829">
        <f>IF(3816&lt;$U$9,MOD(3816,$U$8)+1,1)</f>
        <v/>
      </c>
      <c r="BQ3829">
        <f>IF(3816&lt;$U$9,SUMPRODUCT(($D$10:$L$10&lt;&gt;"")*(($D$9:$L$9+INT(($S$12:$AA$12+INDEX($AJ$13:$AR$162,BN3829,0)+INDEX($AT$13:$BB$162,BO3829,0)+INDEX($BD$13:$BL$162,BP3829,0))/100))&gt;=$D$10:$L$10)),0)</f>
        <v/>
      </c>
      <c r="BR3829">
        <f>IF(3816&lt;$U$9,SUMPRODUCT(($D$10:$L$10&lt;&gt;"")*(($D$10:$L$10-($D$9:$L$9+INT(($S$12:$AA$12+INDEX($AJ$13:$AR$162,BN3829,0)+INDEX($AT$13:$BB$162,BO3829,0)+INDEX($BD$13:$BL$162,BP3829,0))/100)))&gt;0)*($D$10:$L$10-($D$9:$L$9+INT(($S$12:$AA$12+INDEX($AJ$13:$AR$162,BN3829,0)+INDEX($AT$13:$BB$162,BO3829,0)+INDEX($BD$13:$BL$162,BP3829,0))/100)))),0)</f>
        <v/>
      </c>
      <c r="BS3829">
        <f>IF(3816&lt;$U$9,SUMPRODUCT(($D$9:$L$9+INT(($S$12:$AA$12+INDEX($AJ$13:$AR$162,BN3829,0)+INDEX($AT$13:$BB$162,BO3829,0)+INDEX($BD$13:$BL$162,BP3829,0))/100))),0)</f>
        <v/>
      </c>
      <c r="BT3829">
        <f>IF(AND(3816&lt;$U$9,$W$5),BQ3829*1000000-MIN(BR3829,999)*1000+BS3829-3816/100000,-1000000000-3816)</f>
        <v/>
      </c>
    </row>
    <row r="3830">
      <c r="BN3830">
        <f>IF(3817&lt;$U$9,INT(3817/($U$7*$U$8))+1,1)</f>
        <v/>
      </c>
      <c r="BO3830">
        <f>IF(3817&lt;$U$9,MOD(INT(3817/$U$8),$U$7)+1,1)</f>
        <v/>
      </c>
      <c r="BP3830">
        <f>IF(3817&lt;$U$9,MOD(3817,$U$8)+1,1)</f>
        <v/>
      </c>
      <c r="BQ3830">
        <f>IF(3817&lt;$U$9,SUMPRODUCT(($D$10:$L$10&lt;&gt;"")*(($D$9:$L$9+INT(($S$12:$AA$12+INDEX($AJ$13:$AR$162,BN3830,0)+INDEX($AT$13:$BB$162,BO3830,0)+INDEX($BD$13:$BL$162,BP3830,0))/100))&gt;=$D$10:$L$10)),0)</f>
        <v/>
      </c>
      <c r="BR3830">
        <f>IF(3817&lt;$U$9,SUMPRODUCT(($D$10:$L$10&lt;&gt;"")*(($D$10:$L$10-($D$9:$L$9+INT(($S$12:$AA$12+INDEX($AJ$13:$AR$162,BN3830,0)+INDEX($AT$13:$BB$162,BO3830,0)+INDEX($BD$13:$BL$162,BP3830,0))/100)))&gt;0)*($D$10:$L$10-($D$9:$L$9+INT(($S$12:$AA$12+INDEX($AJ$13:$AR$162,BN3830,0)+INDEX($AT$13:$BB$162,BO3830,0)+INDEX($BD$13:$BL$162,BP3830,0))/100)))),0)</f>
        <v/>
      </c>
      <c r="BS3830">
        <f>IF(3817&lt;$U$9,SUMPRODUCT(($D$9:$L$9+INT(($S$12:$AA$12+INDEX($AJ$13:$AR$162,BN3830,0)+INDEX($AT$13:$BB$162,BO3830,0)+INDEX($BD$13:$BL$162,BP3830,0))/100))),0)</f>
        <v/>
      </c>
      <c r="BT3830">
        <f>IF(AND(3817&lt;$U$9,$W$5),BQ3830*1000000-MIN(BR3830,999)*1000+BS3830-3817/100000,-1000000000-3817)</f>
        <v/>
      </c>
    </row>
    <row r="3831">
      <c r="BN3831">
        <f>IF(3818&lt;$U$9,INT(3818/($U$7*$U$8))+1,1)</f>
        <v/>
      </c>
      <c r="BO3831">
        <f>IF(3818&lt;$U$9,MOD(INT(3818/$U$8),$U$7)+1,1)</f>
        <v/>
      </c>
      <c r="BP3831">
        <f>IF(3818&lt;$U$9,MOD(3818,$U$8)+1,1)</f>
        <v/>
      </c>
      <c r="BQ3831">
        <f>IF(3818&lt;$U$9,SUMPRODUCT(($D$10:$L$10&lt;&gt;"")*(($D$9:$L$9+INT(($S$12:$AA$12+INDEX($AJ$13:$AR$162,BN3831,0)+INDEX($AT$13:$BB$162,BO3831,0)+INDEX($BD$13:$BL$162,BP3831,0))/100))&gt;=$D$10:$L$10)),0)</f>
        <v/>
      </c>
      <c r="BR3831">
        <f>IF(3818&lt;$U$9,SUMPRODUCT(($D$10:$L$10&lt;&gt;"")*(($D$10:$L$10-($D$9:$L$9+INT(($S$12:$AA$12+INDEX($AJ$13:$AR$162,BN3831,0)+INDEX($AT$13:$BB$162,BO3831,0)+INDEX($BD$13:$BL$162,BP3831,0))/100)))&gt;0)*($D$10:$L$10-($D$9:$L$9+INT(($S$12:$AA$12+INDEX($AJ$13:$AR$162,BN3831,0)+INDEX($AT$13:$BB$162,BO3831,0)+INDEX($BD$13:$BL$162,BP3831,0))/100)))),0)</f>
        <v/>
      </c>
      <c r="BS3831">
        <f>IF(3818&lt;$U$9,SUMPRODUCT(($D$9:$L$9+INT(($S$12:$AA$12+INDEX($AJ$13:$AR$162,BN3831,0)+INDEX($AT$13:$BB$162,BO3831,0)+INDEX($BD$13:$BL$162,BP3831,0))/100))),0)</f>
        <v/>
      </c>
      <c r="BT3831">
        <f>IF(AND(3818&lt;$U$9,$W$5),BQ3831*1000000-MIN(BR3831,999)*1000+BS3831-3818/100000,-1000000000-3818)</f>
        <v/>
      </c>
    </row>
    <row r="3832">
      <c r="BN3832">
        <f>IF(3819&lt;$U$9,INT(3819/($U$7*$U$8))+1,1)</f>
        <v/>
      </c>
      <c r="BO3832">
        <f>IF(3819&lt;$U$9,MOD(INT(3819/$U$8),$U$7)+1,1)</f>
        <v/>
      </c>
      <c r="BP3832">
        <f>IF(3819&lt;$U$9,MOD(3819,$U$8)+1,1)</f>
        <v/>
      </c>
      <c r="BQ3832">
        <f>IF(3819&lt;$U$9,SUMPRODUCT(($D$10:$L$10&lt;&gt;"")*(($D$9:$L$9+INT(($S$12:$AA$12+INDEX($AJ$13:$AR$162,BN3832,0)+INDEX($AT$13:$BB$162,BO3832,0)+INDEX($BD$13:$BL$162,BP3832,0))/100))&gt;=$D$10:$L$10)),0)</f>
        <v/>
      </c>
      <c r="BR3832">
        <f>IF(3819&lt;$U$9,SUMPRODUCT(($D$10:$L$10&lt;&gt;"")*(($D$10:$L$10-($D$9:$L$9+INT(($S$12:$AA$12+INDEX($AJ$13:$AR$162,BN3832,0)+INDEX($AT$13:$BB$162,BO3832,0)+INDEX($BD$13:$BL$162,BP3832,0))/100)))&gt;0)*($D$10:$L$10-($D$9:$L$9+INT(($S$12:$AA$12+INDEX($AJ$13:$AR$162,BN3832,0)+INDEX($AT$13:$BB$162,BO3832,0)+INDEX($BD$13:$BL$162,BP3832,0))/100)))),0)</f>
        <v/>
      </c>
      <c r="BS3832">
        <f>IF(3819&lt;$U$9,SUMPRODUCT(($D$9:$L$9+INT(($S$12:$AA$12+INDEX($AJ$13:$AR$162,BN3832,0)+INDEX($AT$13:$BB$162,BO3832,0)+INDEX($BD$13:$BL$162,BP3832,0))/100))),0)</f>
        <v/>
      </c>
      <c r="BT3832">
        <f>IF(AND(3819&lt;$U$9,$W$5),BQ3832*1000000-MIN(BR3832,999)*1000+BS3832-3819/100000,-1000000000-3819)</f>
        <v/>
      </c>
    </row>
    <row r="3833">
      <c r="BN3833">
        <f>IF(3820&lt;$U$9,INT(3820/($U$7*$U$8))+1,1)</f>
        <v/>
      </c>
      <c r="BO3833">
        <f>IF(3820&lt;$U$9,MOD(INT(3820/$U$8),$U$7)+1,1)</f>
        <v/>
      </c>
      <c r="BP3833">
        <f>IF(3820&lt;$U$9,MOD(3820,$U$8)+1,1)</f>
        <v/>
      </c>
      <c r="BQ3833">
        <f>IF(3820&lt;$U$9,SUMPRODUCT(($D$10:$L$10&lt;&gt;"")*(($D$9:$L$9+INT(($S$12:$AA$12+INDEX($AJ$13:$AR$162,BN3833,0)+INDEX($AT$13:$BB$162,BO3833,0)+INDEX($BD$13:$BL$162,BP3833,0))/100))&gt;=$D$10:$L$10)),0)</f>
        <v/>
      </c>
      <c r="BR3833">
        <f>IF(3820&lt;$U$9,SUMPRODUCT(($D$10:$L$10&lt;&gt;"")*(($D$10:$L$10-($D$9:$L$9+INT(($S$12:$AA$12+INDEX($AJ$13:$AR$162,BN3833,0)+INDEX($AT$13:$BB$162,BO3833,0)+INDEX($BD$13:$BL$162,BP3833,0))/100)))&gt;0)*($D$10:$L$10-($D$9:$L$9+INT(($S$12:$AA$12+INDEX($AJ$13:$AR$162,BN3833,0)+INDEX($AT$13:$BB$162,BO3833,0)+INDEX($BD$13:$BL$162,BP3833,0))/100)))),0)</f>
        <v/>
      </c>
      <c r="BS3833">
        <f>IF(3820&lt;$U$9,SUMPRODUCT(($D$9:$L$9+INT(($S$12:$AA$12+INDEX($AJ$13:$AR$162,BN3833,0)+INDEX($AT$13:$BB$162,BO3833,0)+INDEX($BD$13:$BL$162,BP3833,0))/100))),0)</f>
        <v/>
      </c>
      <c r="BT3833">
        <f>IF(AND(3820&lt;$U$9,$W$5),BQ3833*1000000-MIN(BR3833,999)*1000+BS3833-3820/100000,-1000000000-3820)</f>
        <v/>
      </c>
    </row>
    <row r="3834">
      <c r="BN3834">
        <f>IF(3821&lt;$U$9,INT(3821/($U$7*$U$8))+1,1)</f>
        <v/>
      </c>
      <c r="BO3834">
        <f>IF(3821&lt;$U$9,MOD(INT(3821/$U$8),$U$7)+1,1)</f>
        <v/>
      </c>
      <c r="BP3834">
        <f>IF(3821&lt;$U$9,MOD(3821,$U$8)+1,1)</f>
        <v/>
      </c>
      <c r="BQ3834">
        <f>IF(3821&lt;$U$9,SUMPRODUCT(($D$10:$L$10&lt;&gt;"")*(($D$9:$L$9+INT(($S$12:$AA$12+INDEX($AJ$13:$AR$162,BN3834,0)+INDEX($AT$13:$BB$162,BO3834,0)+INDEX($BD$13:$BL$162,BP3834,0))/100))&gt;=$D$10:$L$10)),0)</f>
        <v/>
      </c>
      <c r="BR3834">
        <f>IF(3821&lt;$U$9,SUMPRODUCT(($D$10:$L$10&lt;&gt;"")*(($D$10:$L$10-($D$9:$L$9+INT(($S$12:$AA$12+INDEX($AJ$13:$AR$162,BN3834,0)+INDEX($AT$13:$BB$162,BO3834,0)+INDEX($BD$13:$BL$162,BP3834,0))/100)))&gt;0)*($D$10:$L$10-($D$9:$L$9+INT(($S$12:$AA$12+INDEX($AJ$13:$AR$162,BN3834,0)+INDEX($AT$13:$BB$162,BO3834,0)+INDEX($BD$13:$BL$162,BP3834,0))/100)))),0)</f>
        <v/>
      </c>
      <c r="BS3834">
        <f>IF(3821&lt;$U$9,SUMPRODUCT(($D$9:$L$9+INT(($S$12:$AA$12+INDEX($AJ$13:$AR$162,BN3834,0)+INDEX($AT$13:$BB$162,BO3834,0)+INDEX($BD$13:$BL$162,BP3834,0))/100))),0)</f>
        <v/>
      </c>
      <c r="BT3834">
        <f>IF(AND(3821&lt;$U$9,$W$5),BQ3834*1000000-MIN(BR3834,999)*1000+BS3834-3821/100000,-1000000000-3821)</f>
        <v/>
      </c>
    </row>
    <row r="3835">
      <c r="BN3835">
        <f>IF(3822&lt;$U$9,INT(3822/($U$7*$U$8))+1,1)</f>
        <v/>
      </c>
      <c r="BO3835">
        <f>IF(3822&lt;$U$9,MOD(INT(3822/$U$8),$U$7)+1,1)</f>
        <v/>
      </c>
      <c r="BP3835">
        <f>IF(3822&lt;$U$9,MOD(3822,$U$8)+1,1)</f>
        <v/>
      </c>
      <c r="BQ3835">
        <f>IF(3822&lt;$U$9,SUMPRODUCT(($D$10:$L$10&lt;&gt;"")*(($D$9:$L$9+INT(($S$12:$AA$12+INDEX($AJ$13:$AR$162,BN3835,0)+INDEX($AT$13:$BB$162,BO3835,0)+INDEX($BD$13:$BL$162,BP3835,0))/100))&gt;=$D$10:$L$10)),0)</f>
        <v/>
      </c>
      <c r="BR3835">
        <f>IF(3822&lt;$U$9,SUMPRODUCT(($D$10:$L$10&lt;&gt;"")*(($D$10:$L$10-($D$9:$L$9+INT(($S$12:$AA$12+INDEX($AJ$13:$AR$162,BN3835,0)+INDEX($AT$13:$BB$162,BO3835,0)+INDEX($BD$13:$BL$162,BP3835,0))/100)))&gt;0)*($D$10:$L$10-($D$9:$L$9+INT(($S$12:$AA$12+INDEX($AJ$13:$AR$162,BN3835,0)+INDEX($AT$13:$BB$162,BO3835,0)+INDEX($BD$13:$BL$162,BP3835,0))/100)))),0)</f>
        <v/>
      </c>
      <c r="BS3835">
        <f>IF(3822&lt;$U$9,SUMPRODUCT(($D$9:$L$9+INT(($S$12:$AA$12+INDEX($AJ$13:$AR$162,BN3835,0)+INDEX($AT$13:$BB$162,BO3835,0)+INDEX($BD$13:$BL$162,BP3835,0))/100))),0)</f>
        <v/>
      </c>
      <c r="BT3835">
        <f>IF(AND(3822&lt;$U$9,$W$5),BQ3835*1000000-MIN(BR3835,999)*1000+BS3835-3822/100000,-1000000000-3822)</f>
        <v/>
      </c>
    </row>
    <row r="3836">
      <c r="BN3836">
        <f>IF(3823&lt;$U$9,INT(3823/($U$7*$U$8))+1,1)</f>
        <v/>
      </c>
      <c r="BO3836">
        <f>IF(3823&lt;$U$9,MOD(INT(3823/$U$8),$U$7)+1,1)</f>
        <v/>
      </c>
      <c r="BP3836">
        <f>IF(3823&lt;$U$9,MOD(3823,$U$8)+1,1)</f>
        <v/>
      </c>
      <c r="BQ3836">
        <f>IF(3823&lt;$U$9,SUMPRODUCT(($D$10:$L$10&lt;&gt;"")*(($D$9:$L$9+INT(($S$12:$AA$12+INDEX($AJ$13:$AR$162,BN3836,0)+INDEX($AT$13:$BB$162,BO3836,0)+INDEX($BD$13:$BL$162,BP3836,0))/100))&gt;=$D$10:$L$10)),0)</f>
        <v/>
      </c>
      <c r="BR3836">
        <f>IF(3823&lt;$U$9,SUMPRODUCT(($D$10:$L$10&lt;&gt;"")*(($D$10:$L$10-($D$9:$L$9+INT(($S$12:$AA$12+INDEX($AJ$13:$AR$162,BN3836,0)+INDEX($AT$13:$BB$162,BO3836,0)+INDEX($BD$13:$BL$162,BP3836,0))/100)))&gt;0)*($D$10:$L$10-($D$9:$L$9+INT(($S$12:$AA$12+INDEX($AJ$13:$AR$162,BN3836,0)+INDEX($AT$13:$BB$162,BO3836,0)+INDEX($BD$13:$BL$162,BP3836,0))/100)))),0)</f>
        <v/>
      </c>
      <c r="BS3836">
        <f>IF(3823&lt;$U$9,SUMPRODUCT(($D$9:$L$9+INT(($S$12:$AA$12+INDEX($AJ$13:$AR$162,BN3836,0)+INDEX($AT$13:$BB$162,BO3836,0)+INDEX($BD$13:$BL$162,BP3836,0))/100))),0)</f>
        <v/>
      </c>
      <c r="BT3836">
        <f>IF(AND(3823&lt;$U$9,$W$5),BQ3836*1000000-MIN(BR3836,999)*1000+BS3836-3823/100000,-1000000000-3823)</f>
        <v/>
      </c>
    </row>
    <row r="3837">
      <c r="BN3837">
        <f>IF(3824&lt;$U$9,INT(3824/($U$7*$U$8))+1,1)</f>
        <v/>
      </c>
      <c r="BO3837">
        <f>IF(3824&lt;$U$9,MOD(INT(3824/$U$8),$U$7)+1,1)</f>
        <v/>
      </c>
      <c r="BP3837">
        <f>IF(3824&lt;$U$9,MOD(3824,$U$8)+1,1)</f>
        <v/>
      </c>
      <c r="BQ3837">
        <f>IF(3824&lt;$U$9,SUMPRODUCT(($D$10:$L$10&lt;&gt;"")*(($D$9:$L$9+INT(($S$12:$AA$12+INDEX($AJ$13:$AR$162,BN3837,0)+INDEX($AT$13:$BB$162,BO3837,0)+INDEX($BD$13:$BL$162,BP3837,0))/100))&gt;=$D$10:$L$10)),0)</f>
        <v/>
      </c>
      <c r="BR3837">
        <f>IF(3824&lt;$U$9,SUMPRODUCT(($D$10:$L$10&lt;&gt;"")*(($D$10:$L$10-($D$9:$L$9+INT(($S$12:$AA$12+INDEX($AJ$13:$AR$162,BN3837,0)+INDEX($AT$13:$BB$162,BO3837,0)+INDEX($BD$13:$BL$162,BP3837,0))/100)))&gt;0)*($D$10:$L$10-($D$9:$L$9+INT(($S$12:$AA$12+INDEX($AJ$13:$AR$162,BN3837,0)+INDEX($AT$13:$BB$162,BO3837,0)+INDEX($BD$13:$BL$162,BP3837,0))/100)))),0)</f>
        <v/>
      </c>
      <c r="BS3837">
        <f>IF(3824&lt;$U$9,SUMPRODUCT(($D$9:$L$9+INT(($S$12:$AA$12+INDEX($AJ$13:$AR$162,BN3837,0)+INDEX($AT$13:$BB$162,BO3837,0)+INDEX($BD$13:$BL$162,BP3837,0))/100))),0)</f>
        <v/>
      </c>
      <c r="BT3837">
        <f>IF(AND(3824&lt;$U$9,$W$5),BQ3837*1000000-MIN(BR3837,999)*1000+BS3837-3824/100000,-1000000000-3824)</f>
        <v/>
      </c>
    </row>
    <row r="3838">
      <c r="BN3838">
        <f>IF(3825&lt;$U$9,INT(3825/($U$7*$U$8))+1,1)</f>
        <v/>
      </c>
      <c r="BO3838">
        <f>IF(3825&lt;$U$9,MOD(INT(3825/$U$8),$U$7)+1,1)</f>
        <v/>
      </c>
      <c r="BP3838">
        <f>IF(3825&lt;$U$9,MOD(3825,$U$8)+1,1)</f>
        <v/>
      </c>
      <c r="BQ3838">
        <f>IF(3825&lt;$U$9,SUMPRODUCT(($D$10:$L$10&lt;&gt;"")*(($D$9:$L$9+INT(($S$12:$AA$12+INDEX($AJ$13:$AR$162,BN3838,0)+INDEX($AT$13:$BB$162,BO3838,0)+INDEX($BD$13:$BL$162,BP3838,0))/100))&gt;=$D$10:$L$10)),0)</f>
        <v/>
      </c>
      <c r="BR3838">
        <f>IF(3825&lt;$U$9,SUMPRODUCT(($D$10:$L$10&lt;&gt;"")*(($D$10:$L$10-($D$9:$L$9+INT(($S$12:$AA$12+INDEX($AJ$13:$AR$162,BN3838,0)+INDEX($AT$13:$BB$162,BO3838,0)+INDEX($BD$13:$BL$162,BP3838,0))/100)))&gt;0)*($D$10:$L$10-($D$9:$L$9+INT(($S$12:$AA$12+INDEX($AJ$13:$AR$162,BN3838,0)+INDEX($AT$13:$BB$162,BO3838,0)+INDEX($BD$13:$BL$162,BP3838,0))/100)))),0)</f>
        <v/>
      </c>
      <c r="BS3838">
        <f>IF(3825&lt;$U$9,SUMPRODUCT(($D$9:$L$9+INT(($S$12:$AA$12+INDEX($AJ$13:$AR$162,BN3838,0)+INDEX($AT$13:$BB$162,BO3838,0)+INDEX($BD$13:$BL$162,BP3838,0))/100))),0)</f>
        <v/>
      </c>
      <c r="BT3838">
        <f>IF(AND(3825&lt;$U$9,$W$5),BQ3838*1000000-MIN(BR3838,999)*1000+BS3838-3825/100000,-1000000000-3825)</f>
        <v/>
      </c>
    </row>
    <row r="3839">
      <c r="BN3839">
        <f>IF(3826&lt;$U$9,INT(3826/($U$7*$U$8))+1,1)</f>
        <v/>
      </c>
      <c r="BO3839">
        <f>IF(3826&lt;$U$9,MOD(INT(3826/$U$8),$U$7)+1,1)</f>
        <v/>
      </c>
      <c r="BP3839">
        <f>IF(3826&lt;$U$9,MOD(3826,$U$8)+1,1)</f>
        <v/>
      </c>
      <c r="BQ3839">
        <f>IF(3826&lt;$U$9,SUMPRODUCT(($D$10:$L$10&lt;&gt;"")*(($D$9:$L$9+INT(($S$12:$AA$12+INDEX($AJ$13:$AR$162,BN3839,0)+INDEX($AT$13:$BB$162,BO3839,0)+INDEX($BD$13:$BL$162,BP3839,0))/100))&gt;=$D$10:$L$10)),0)</f>
        <v/>
      </c>
      <c r="BR3839">
        <f>IF(3826&lt;$U$9,SUMPRODUCT(($D$10:$L$10&lt;&gt;"")*(($D$10:$L$10-($D$9:$L$9+INT(($S$12:$AA$12+INDEX($AJ$13:$AR$162,BN3839,0)+INDEX($AT$13:$BB$162,BO3839,0)+INDEX($BD$13:$BL$162,BP3839,0))/100)))&gt;0)*($D$10:$L$10-($D$9:$L$9+INT(($S$12:$AA$12+INDEX($AJ$13:$AR$162,BN3839,0)+INDEX($AT$13:$BB$162,BO3839,0)+INDEX($BD$13:$BL$162,BP3839,0))/100)))),0)</f>
        <v/>
      </c>
      <c r="BS3839">
        <f>IF(3826&lt;$U$9,SUMPRODUCT(($D$9:$L$9+INT(($S$12:$AA$12+INDEX($AJ$13:$AR$162,BN3839,0)+INDEX($AT$13:$BB$162,BO3839,0)+INDEX($BD$13:$BL$162,BP3839,0))/100))),0)</f>
        <v/>
      </c>
      <c r="BT3839">
        <f>IF(AND(3826&lt;$U$9,$W$5),BQ3839*1000000-MIN(BR3839,999)*1000+BS3839-3826/100000,-1000000000-3826)</f>
        <v/>
      </c>
    </row>
    <row r="3840">
      <c r="BN3840">
        <f>IF(3827&lt;$U$9,INT(3827/($U$7*$U$8))+1,1)</f>
        <v/>
      </c>
      <c r="BO3840">
        <f>IF(3827&lt;$U$9,MOD(INT(3827/$U$8),$U$7)+1,1)</f>
        <v/>
      </c>
      <c r="BP3840">
        <f>IF(3827&lt;$U$9,MOD(3827,$U$8)+1,1)</f>
        <v/>
      </c>
      <c r="BQ3840">
        <f>IF(3827&lt;$U$9,SUMPRODUCT(($D$10:$L$10&lt;&gt;"")*(($D$9:$L$9+INT(($S$12:$AA$12+INDEX($AJ$13:$AR$162,BN3840,0)+INDEX($AT$13:$BB$162,BO3840,0)+INDEX($BD$13:$BL$162,BP3840,0))/100))&gt;=$D$10:$L$10)),0)</f>
        <v/>
      </c>
      <c r="BR3840">
        <f>IF(3827&lt;$U$9,SUMPRODUCT(($D$10:$L$10&lt;&gt;"")*(($D$10:$L$10-($D$9:$L$9+INT(($S$12:$AA$12+INDEX($AJ$13:$AR$162,BN3840,0)+INDEX($AT$13:$BB$162,BO3840,0)+INDEX($BD$13:$BL$162,BP3840,0))/100)))&gt;0)*($D$10:$L$10-($D$9:$L$9+INT(($S$12:$AA$12+INDEX($AJ$13:$AR$162,BN3840,0)+INDEX($AT$13:$BB$162,BO3840,0)+INDEX($BD$13:$BL$162,BP3840,0))/100)))),0)</f>
        <v/>
      </c>
      <c r="BS3840">
        <f>IF(3827&lt;$U$9,SUMPRODUCT(($D$9:$L$9+INT(($S$12:$AA$12+INDEX($AJ$13:$AR$162,BN3840,0)+INDEX($AT$13:$BB$162,BO3840,0)+INDEX($BD$13:$BL$162,BP3840,0))/100))),0)</f>
        <v/>
      </c>
      <c r="BT3840">
        <f>IF(AND(3827&lt;$U$9,$W$5),BQ3840*1000000-MIN(BR3840,999)*1000+BS3840-3827/100000,-1000000000-3827)</f>
        <v/>
      </c>
    </row>
    <row r="3841">
      <c r="BN3841">
        <f>IF(3828&lt;$U$9,INT(3828/($U$7*$U$8))+1,1)</f>
        <v/>
      </c>
      <c r="BO3841">
        <f>IF(3828&lt;$U$9,MOD(INT(3828/$U$8),$U$7)+1,1)</f>
        <v/>
      </c>
      <c r="BP3841">
        <f>IF(3828&lt;$U$9,MOD(3828,$U$8)+1,1)</f>
        <v/>
      </c>
      <c r="BQ3841">
        <f>IF(3828&lt;$U$9,SUMPRODUCT(($D$10:$L$10&lt;&gt;"")*(($D$9:$L$9+INT(($S$12:$AA$12+INDEX($AJ$13:$AR$162,BN3841,0)+INDEX($AT$13:$BB$162,BO3841,0)+INDEX($BD$13:$BL$162,BP3841,0))/100))&gt;=$D$10:$L$10)),0)</f>
        <v/>
      </c>
      <c r="BR3841">
        <f>IF(3828&lt;$U$9,SUMPRODUCT(($D$10:$L$10&lt;&gt;"")*(($D$10:$L$10-($D$9:$L$9+INT(($S$12:$AA$12+INDEX($AJ$13:$AR$162,BN3841,0)+INDEX($AT$13:$BB$162,BO3841,0)+INDEX($BD$13:$BL$162,BP3841,0))/100)))&gt;0)*($D$10:$L$10-($D$9:$L$9+INT(($S$12:$AA$12+INDEX($AJ$13:$AR$162,BN3841,0)+INDEX($AT$13:$BB$162,BO3841,0)+INDEX($BD$13:$BL$162,BP3841,0))/100)))),0)</f>
        <v/>
      </c>
      <c r="BS3841">
        <f>IF(3828&lt;$U$9,SUMPRODUCT(($D$9:$L$9+INT(($S$12:$AA$12+INDEX($AJ$13:$AR$162,BN3841,0)+INDEX($AT$13:$BB$162,BO3841,0)+INDEX($BD$13:$BL$162,BP3841,0))/100))),0)</f>
        <v/>
      </c>
      <c r="BT3841">
        <f>IF(AND(3828&lt;$U$9,$W$5),BQ3841*1000000-MIN(BR3841,999)*1000+BS3841-3828/100000,-1000000000-3828)</f>
        <v/>
      </c>
    </row>
    <row r="3842">
      <c r="BN3842">
        <f>IF(3829&lt;$U$9,INT(3829/($U$7*$U$8))+1,1)</f>
        <v/>
      </c>
      <c r="BO3842">
        <f>IF(3829&lt;$U$9,MOD(INT(3829/$U$8),$U$7)+1,1)</f>
        <v/>
      </c>
      <c r="BP3842">
        <f>IF(3829&lt;$U$9,MOD(3829,$U$8)+1,1)</f>
        <v/>
      </c>
      <c r="BQ3842">
        <f>IF(3829&lt;$U$9,SUMPRODUCT(($D$10:$L$10&lt;&gt;"")*(($D$9:$L$9+INT(($S$12:$AA$12+INDEX($AJ$13:$AR$162,BN3842,0)+INDEX($AT$13:$BB$162,BO3842,0)+INDEX($BD$13:$BL$162,BP3842,0))/100))&gt;=$D$10:$L$10)),0)</f>
        <v/>
      </c>
      <c r="BR3842">
        <f>IF(3829&lt;$U$9,SUMPRODUCT(($D$10:$L$10&lt;&gt;"")*(($D$10:$L$10-($D$9:$L$9+INT(($S$12:$AA$12+INDEX($AJ$13:$AR$162,BN3842,0)+INDEX($AT$13:$BB$162,BO3842,0)+INDEX($BD$13:$BL$162,BP3842,0))/100)))&gt;0)*($D$10:$L$10-($D$9:$L$9+INT(($S$12:$AA$12+INDEX($AJ$13:$AR$162,BN3842,0)+INDEX($AT$13:$BB$162,BO3842,0)+INDEX($BD$13:$BL$162,BP3842,0))/100)))),0)</f>
        <v/>
      </c>
      <c r="BS3842">
        <f>IF(3829&lt;$U$9,SUMPRODUCT(($D$9:$L$9+INT(($S$12:$AA$12+INDEX($AJ$13:$AR$162,BN3842,0)+INDEX($AT$13:$BB$162,BO3842,0)+INDEX($BD$13:$BL$162,BP3842,0))/100))),0)</f>
        <v/>
      </c>
      <c r="BT3842">
        <f>IF(AND(3829&lt;$U$9,$W$5),BQ3842*1000000-MIN(BR3842,999)*1000+BS3842-3829/100000,-1000000000-3829)</f>
        <v/>
      </c>
    </row>
    <row r="3843">
      <c r="BN3843">
        <f>IF(3830&lt;$U$9,INT(3830/($U$7*$U$8))+1,1)</f>
        <v/>
      </c>
      <c r="BO3843">
        <f>IF(3830&lt;$U$9,MOD(INT(3830/$U$8),$U$7)+1,1)</f>
        <v/>
      </c>
      <c r="BP3843">
        <f>IF(3830&lt;$U$9,MOD(3830,$U$8)+1,1)</f>
        <v/>
      </c>
      <c r="BQ3843">
        <f>IF(3830&lt;$U$9,SUMPRODUCT(($D$10:$L$10&lt;&gt;"")*(($D$9:$L$9+INT(($S$12:$AA$12+INDEX($AJ$13:$AR$162,BN3843,0)+INDEX($AT$13:$BB$162,BO3843,0)+INDEX($BD$13:$BL$162,BP3843,0))/100))&gt;=$D$10:$L$10)),0)</f>
        <v/>
      </c>
      <c r="BR3843">
        <f>IF(3830&lt;$U$9,SUMPRODUCT(($D$10:$L$10&lt;&gt;"")*(($D$10:$L$10-($D$9:$L$9+INT(($S$12:$AA$12+INDEX($AJ$13:$AR$162,BN3843,0)+INDEX($AT$13:$BB$162,BO3843,0)+INDEX($BD$13:$BL$162,BP3843,0))/100)))&gt;0)*($D$10:$L$10-($D$9:$L$9+INT(($S$12:$AA$12+INDEX($AJ$13:$AR$162,BN3843,0)+INDEX($AT$13:$BB$162,BO3843,0)+INDEX($BD$13:$BL$162,BP3843,0))/100)))),0)</f>
        <v/>
      </c>
      <c r="BS3843">
        <f>IF(3830&lt;$U$9,SUMPRODUCT(($D$9:$L$9+INT(($S$12:$AA$12+INDEX($AJ$13:$AR$162,BN3843,0)+INDEX($AT$13:$BB$162,BO3843,0)+INDEX($BD$13:$BL$162,BP3843,0))/100))),0)</f>
        <v/>
      </c>
      <c r="BT3843">
        <f>IF(AND(3830&lt;$U$9,$W$5),BQ3843*1000000-MIN(BR3843,999)*1000+BS3843-3830/100000,-1000000000-3830)</f>
        <v/>
      </c>
    </row>
    <row r="3844">
      <c r="BN3844">
        <f>IF(3831&lt;$U$9,INT(3831/($U$7*$U$8))+1,1)</f>
        <v/>
      </c>
      <c r="BO3844">
        <f>IF(3831&lt;$U$9,MOD(INT(3831/$U$8),$U$7)+1,1)</f>
        <v/>
      </c>
      <c r="BP3844">
        <f>IF(3831&lt;$U$9,MOD(3831,$U$8)+1,1)</f>
        <v/>
      </c>
      <c r="BQ3844">
        <f>IF(3831&lt;$U$9,SUMPRODUCT(($D$10:$L$10&lt;&gt;"")*(($D$9:$L$9+INT(($S$12:$AA$12+INDEX($AJ$13:$AR$162,BN3844,0)+INDEX($AT$13:$BB$162,BO3844,0)+INDEX($BD$13:$BL$162,BP3844,0))/100))&gt;=$D$10:$L$10)),0)</f>
        <v/>
      </c>
      <c r="BR3844">
        <f>IF(3831&lt;$U$9,SUMPRODUCT(($D$10:$L$10&lt;&gt;"")*(($D$10:$L$10-($D$9:$L$9+INT(($S$12:$AA$12+INDEX($AJ$13:$AR$162,BN3844,0)+INDEX($AT$13:$BB$162,BO3844,0)+INDEX($BD$13:$BL$162,BP3844,0))/100)))&gt;0)*($D$10:$L$10-($D$9:$L$9+INT(($S$12:$AA$12+INDEX($AJ$13:$AR$162,BN3844,0)+INDEX($AT$13:$BB$162,BO3844,0)+INDEX($BD$13:$BL$162,BP3844,0))/100)))),0)</f>
        <v/>
      </c>
      <c r="BS3844">
        <f>IF(3831&lt;$U$9,SUMPRODUCT(($D$9:$L$9+INT(($S$12:$AA$12+INDEX($AJ$13:$AR$162,BN3844,0)+INDEX($AT$13:$BB$162,BO3844,0)+INDEX($BD$13:$BL$162,BP3844,0))/100))),0)</f>
        <v/>
      </c>
      <c r="BT3844">
        <f>IF(AND(3831&lt;$U$9,$W$5),BQ3844*1000000-MIN(BR3844,999)*1000+BS3844-3831/100000,-1000000000-3831)</f>
        <v/>
      </c>
    </row>
    <row r="3845">
      <c r="BN3845">
        <f>IF(3832&lt;$U$9,INT(3832/($U$7*$U$8))+1,1)</f>
        <v/>
      </c>
      <c r="BO3845">
        <f>IF(3832&lt;$U$9,MOD(INT(3832/$U$8),$U$7)+1,1)</f>
        <v/>
      </c>
      <c r="BP3845">
        <f>IF(3832&lt;$U$9,MOD(3832,$U$8)+1,1)</f>
        <v/>
      </c>
      <c r="BQ3845">
        <f>IF(3832&lt;$U$9,SUMPRODUCT(($D$10:$L$10&lt;&gt;"")*(($D$9:$L$9+INT(($S$12:$AA$12+INDEX($AJ$13:$AR$162,BN3845,0)+INDEX($AT$13:$BB$162,BO3845,0)+INDEX($BD$13:$BL$162,BP3845,0))/100))&gt;=$D$10:$L$10)),0)</f>
        <v/>
      </c>
      <c r="BR3845">
        <f>IF(3832&lt;$U$9,SUMPRODUCT(($D$10:$L$10&lt;&gt;"")*(($D$10:$L$10-($D$9:$L$9+INT(($S$12:$AA$12+INDEX($AJ$13:$AR$162,BN3845,0)+INDEX($AT$13:$BB$162,BO3845,0)+INDEX($BD$13:$BL$162,BP3845,0))/100)))&gt;0)*($D$10:$L$10-($D$9:$L$9+INT(($S$12:$AA$12+INDEX($AJ$13:$AR$162,BN3845,0)+INDEX($AT$13:$BB$162,BO3845,0)+INDEX($BD$13:$BL$162,BP3845,0))/100)))),0)</f>
        <v/>
      </c>
      <c r="BS3845">
        <f>IF(3832&lt;$U$9,SUMPRODUCT(($D$9:$L$9+INT(($S$12:$AA$12+INDEX($AJ$13:$AR$162,BN3845,0)+INDEX($AT$13:$BB$162,BO3845,0)+INDEX($BD$13:$BL$162,BP3845,0))/100))),0)</f>
        <v/>
      </c>
      <c r="BT3845">
        <f>IF(AND(3832&lt;$U$9,$W$5),BQ3845*1000000-MIN(BR3845,999)*1000+BS3845-3832/100000,-1000000000-3832)</f>
        <v/>
      </c>
    </row>
    <row r="3846">
      <c r="BN3846">
        <f>IF(3833&lt;$U$9,INT(3833/($U$7*$U$8))+1,1)</f>
        <v/>
      </c>
      <c r="BO3846">
        <f>IF(3833&lt;$U$9,MOD(INT(3833/$U$8),$U$7)+1,1)</f>
        <v/>
      </c>
      <c r="BP3846">
        <f>IF(3833&lt;$U$9,MOD(3833,$U$8)+1,1)</f>
        <v/>
      </c>
      <c r="BQ3846">
        <f>IF(3833&lt;$U$9,SUMPRODUCT(($D$10:$L$10&lt;&gt;"")*(($D$9:$L$9+INT(($S$12:$AA$12+INDEX($AJ$13:$AR$162,BN3846,0)+INDEX($AT$13:$BB$162,BO3846,0)+INDEX($BD$13:$BL$162,BP3846,0))/100))&gt;=$D$10:$L$10)),0)</f>
        <v/>
      </c>
      <c r="BR3846">
        <f>IF(3833&lt;$U$9,SUMPRODUCT(($D$10:$L$10&lt;&gt;"")*(($D$10:$L$10-($D$9:$L$9+INT(($S$12:$AA$12+INDEX($AJ$13:$AR$162,BN3846,0)+INDEX($AT$13:$BB$162,BO3846,0)+INDEX($BD$13:$BL$162,BP3846,0))/100)))&gt;0)*($D$10:$L$10-($D$9:$L$9+INT(($S$12:$AA$12+INDEX($AJ$13:$AR$162,BN3846,0)+INDEX($AT$13:$BB$162,BO3846,0)+INDEX($BD$13:$BL$162,BP3846,0))/100)))),0)</f>
        <v/>
      </c>
      <c r="BS3846">
        <f>IF(3833&lt;$U$9,SUMPRODUCT(($D$9:$L$9+INT(($S$12:$AA$12+INDEX($AJ$13:$AR$162,BN3846,0)+INDEX($AT$13:$BB$162,BO3846,0)+INDEX($BD$13:$BL$162,BP3846,0))/100))),0)</f>
        <v/>
      </c>
      <c r="BT3846">
        <f>IF(AND(3833&lt;$U$9,$W$5),BQ3846*1000000-MIN(BR3846,999)*1000+BS3846-3833/100000,-1000000000-3833)</f>
        <v/>
      </c>
    </row>
    <row r="3847">
      <c r="BN3847">
        <f>IF(3834&lt;$U$9,INT(3834/($U$7*$U$8))+1,1)</f>
        <v/>
      </c>
      <c r="BO3847">
        <f>IF(3834&lt;$U$9,MOD(INT(3834/$U$8),$U$7)+1,1)</f>
        <v/>
      </c>
      <c r="BP3847">
        <f>IF(3834&lt;$U$9,MOD(3834,$U$8)+1,1)</f>
        <v/>
      </c>
      <c r="BQ3847">
        <f>IF(3834&lt;$U$9,SUMPRODUCT(($D$10:$L$10&lt;&gt;"")*(($D$9:$L$9+INT(($S$12:$AA$12+INDEX($AJ$13:$AR$162,BN3847,0)+INDEX($AT$13:$BB$162,BO3847,0)+INDEX($BD$13:$BL$162,BP3847,0))/100))&gt;=$D$10:$L$10)),0)</f>
        <v/>
      </c>
      <c r="BR3847">
        <f>IF(3834&lt;$U$9,SUMPRODUCT(($D$10:$L$10&lt;&gt;"")*(($D$10:$L$10-($D$9:$L$9+INT(($S$12:$AA$12+INDEX($AJ$13:$AR$162,BN3847,0)+INDEX($AT$13:$BB$162,BO3847,0)+INDEX($BD$13:$BL$162,BP3847,0))/100)))&gt;0)*($D$10:$L$10-($D$9:$L$9+INT(($S$12:$AA$12+INDEX($AJ$13:$AR$162,BN3847,0)+INDEX($AT$13:$BB$162,BO3847,0)+INDEX($BD$13:$BL$162,BP3847,0))/100)))),0)</f>
        <v/>
      </c>
      <c r="BS3847">
        <f>IF(3834&lt;$U$9,SUMPRODUCT(($D$9:$L$9+INT(($S$12:$AA$12+INDEX($AJ$13:$AR$162,BN3847,0)+INDEX($AT$13:$BB$162,BO3847,0)+INDEX($BD$13:$BL$162,BP3847,0))/100))),0)</f>
        <v/>
      </c>
      <c r="BT3847">
        <f>IF(AND(3834&lt;$U$9,$W$5),BQ3847*1000000-MIN(BR3847,999)*1000+BS3847-3834/100000,-1000000000-3834)</f>
        <v/>
      </c>
    </row>
    <row r="3848">
      <c r="BN3848">
        <f>IF(3835&lt;$U$9,INT(3835/($U$7*$U$8))+1,1)</f>
        <v/>
      </c>
      <c r="BO3848">
        <f>IF(3835&lt;$U$9,MOD(INT(3835/$U$8),$U$7)+1,1)</f>
        <v/>
      </c>
      <c r="BP3848">
        <f>IF(3835&lt;$U$9,MOD(3835,$U$8)+1,1)</f>
        <v/>
      </c>
      <c r="BQ3848">
        <f>IF(3835&lt;$U$9,SUMPRODUCT(($D$10:$L$10&lt;&gt;"")*(($D$9:$L$9+INT(($S$12:$AA$12+INDEX($AJ$13:$AR$162,BN3848,0)+INDEX($AT$13:$BB$162,BO3848,0)+INDEX($BD$13:$BL$162,BP3848,0))/100))&gt;=$D$10:$L$10)),0)</f>
        <v/>
      </c>
      <c r="BR3848">
        <f>IF(3835&lt;$U$9,SUMPRODUCT(($D$10:$L$10&lt;&gt;"")*(($D$10:$L$10-($D$9:$L$9+INT(($S$12:$AA$12+INDEX($AJ$13:$AR$162,BN3848,0)+INDEX($AT$13:$BB$162,BO3848,0)+INDEX($BD$13:$BL$162,BP3848,0))/100)))&gt;0)*($D$10:$L$10-($D$9:$L$9+INT(($S$12:$AA$12+INDEX($AJ$13:$AR$162,BN3848,0)+INDEX($AT$13:$BB$162,BO3848,0)+INDEX($BD$13:$BL$162,BP3848,0))/100)))),0)</f>
        <v/>
      </c>
      <c r="BS3848">
        <f>IF(3835&lt;$U$9,SUMPRODUCT(($D$9:$L$9+INT(($S$12:$AA$12+INDEX($AJ$13:$AR$162,BN3848,0)+INDEX($AT$13:$BB$162,BO3848,0)+INDEX($BD$13:$BL$162,BP3848,0))/100))),0)</f>
        <v/>
      </c>
      <c r="BT3848">
        <f>IF(AND(3835&lt;$U$9,$W$5),BQ3848*1000000-MIN(BR3848,999)*1000+BS3848-3835/100000,-1000000000-3835)</f>
        <v/>
      </c>
    </row>
    <row r="3849">
      <c r="BN3849">
        <f>IF(3836&lt;$U$9,INT(3836/($U$7*$U$8))+1,1)</f>
        <v/>
      </c>
      <c r="BO3849">
        <f>IF(3836&lt;$U$9,MOD(INT(3836/$U$8),$U$7)+1,1)</f>
        <v/>
      </c>
      <c r="BP3849">
        <f>IF(3836&lt;$U$9,MOD(3836,$U$8)+1,1)</f>
        <v/>
      </c>
      <c r="BQ3849">
        <f>IF(3836&lt;$U$9,SUMPRODUCT(($D$10:$L$10&lt;&gt;"")*(($D$9:$L$9+INT(($S$12:$AA$12+INDEX($AJ$13:$AR$162,BN3849,0)+INDEX($AT$13:$BB$162,BO3849,0)+INDEX($BD$13:$BL$162,BP3849,0))/100))&gt;=$D$10:$L$10)),0)</f>
        <v/>
      </c>
      <c r="BR3849">
        <f>IF(3836&lt;$U$9,SUMPRODUCT(($D$10:$L$10&lt;&gt;"")*(($D$10:$L$10-($D$9:$L$9+INT(($S$12:$AA$12+INDEX($AJ$13:$AR$162,BN3849,0)+INDEX($AT$13:$BB$162,BO3849,0)+INDEX($BD$13:$BL$162,BP3849,0))/100)))&gt;0)*($D$10:$L$10-($D$9:$L$9+INT(($S$12:$AA$12+INDEX($AJ$13:$AR$162,BN3849,0)+INDEX($AT$13:$BB$162,BO3849,0)+INDEX($BD$13:$BL$162,BP3849,0))/100)))),0)</f>
        <v/>
      </c>
      <c r="BS3849">
        <f>IF(3836&lt;$U$9,SUMPRODUCT(($D$9:$L$9+INT(($S$12:$AA$12+INDEX($AJ$13:$AR$162,BN3849,0)+INDEX($AT$13:$BB$162,BO3849,0)+INDEX($BD$13:$BL$162,BP3849,0))/100))),0)</f>
        <v/>
      </c>
      <c r="BT3849">
        <f>IF(AND(3836&lt;$U$9,$W$5),BQ3849*1000000-MIN(BR3849,999)*1000+BS3849-3836/100000,-1000000000-3836)</f>
        <v/>
      </c>
    </row>
    <row r="3850">
      <c r="BN3850">
        <f>IF(3837&lt;$U$9,INT(3837/($U$7*$U$8))+1,1)</f>
        <v/>
      </c>
      <c r="BO3850">
        <f>IF(3837&lt;$U$9,MOD(INT(3837/$U$8),$U$7)+1,1)</f>
        <v/>
      </c>
      <c r="BP3850">
        <f>IF(3837&lt;$U$9,MOD(3837,$U$8)+1,1)</f>
        <v/>
      </c>
      <c r="BQ3850">
        <f>IF(3837&lt;$U$9,SUMPRODUCT(($D$10:$L$10&lt;&gt;"")*(($D$9:$L$9+INT(($S$12:$AA$12+INDEX($AJ$13:$AR$162,BN3850,0)+INDEX($AT$13:$BB$162,BO3850,0)+INDEX($BD$13:$BL$162,BP3850,0))/100))&gt;=$D$10:$L$10)),0)</f>
        <v/>
      </c>
      <c r="BR3850">
        <f>IF(3837&lt;$U$9,SUMPRODUCT(($D$10:$L$10&lt;&gt;"")*(($D$10:$L$10-($D$9:$L$9+INT(($S$12:$AA$12+INDEX($AJ$13:$AR$162,BN3850,0)+INDEX($AT$13:$BB$162,BO3850,0)+INDEX($BD$13:$BL$162,BP3850,0))/100)))&gt;0)*($D$10:$L$10-($D$9:$L$9+INT(($S$12:$AA$12+INDEX($AJ$13:$AR$162,BN3850,0)+INDEX($AT$13:$BB$162,BO3850,0)+INDEX($BD$13:$BL$162,BP3850,0))/100)))),0)</f>
        <v/>
      </c>
      <c r="BS3850">
        <f>IF(3837&lt;$U$9,SUMPRODUCT(($D$9:$L$9+INT(($S$12:$AA$12+INDEX($AJ$13:$AR$162,BN3850,0)+INDEX($AT$13:$BB$162,BO3850,0)+INDEX($BD$13:$BL$162,BP3850,0))/100))),0)</f>
        <v/>
      </c>
      <c r="BT3850">
        <f>IF(AND(3837&lt;$U$9,$W$5),BQ3850*1000000-MIN(BR3850,999)*1000+BS3850-3837/100000,-1000000000-3837)</f>
        <v/>
      </c>
    </row>
    <row r="3851">
      <c r="BN3851">
        <f>IF(3838&lt;$U$9,INT(3838/($U$7*$U$8))+1,1)</f>
        <v/>
      </c>
      <c r="BO3851">
        <f>IF(3838&lt;$U$9,MOD(INT(3838/$U$8),$U$7)+1,1)</f>
        <v/>
      </c>
      <c r="BP3851">
        <f>IF(3838&lt;$U$9,MOD(3838,$U$8)+1,1)</f>
        <v/>
      </c>
      <c r="BQ3851">
        <f>IF(3838&lt;$U$9,SUMPRODUCT(($D$10:$L$10&lt;&gt;"")*(($D$9:$L$9+INT(($S$12:$AA$12+INDEX($AJ$13:$AR$162,BN3851,0)+INDEX($AT$13:$BB$162,BO3851,0)+INDEX($BD$13:$BL$162,BP3851,0))/100))&gt;=$D$10:$L$10)),0)</f>
        <v/>
      </c>
      <c r="BR3851">
        <f>IF(3838&lt;$U$9,SUMPRODUCT(($D$10:$L$10&lt;&gt;"")*(($D$10:$L$10-($D$9:$L$9+INT(($S$12:$AA$12+INDEX($AJ$13:$AR$162,BN3851,0)+INDEX($AT$13:$BB$162,BO3851,0)+INDEX($BD$13:$BL$162,BP3851,0))/100)))&gt;0)*($D$10:$L$10-($D$9:$L$9+INT(($S$12:$AA$12+INDEX($AJ$13:$AR$162,BN3851,0)+INDEX($AT$13:$BB$162,BO3851,0)+INDEX($BD$13:$BL$162,BP3851,0))/100)))),0)</f>
        <v/>
      </c>
      <c r="BS3851">
        <f>IF(3838&lt;$U$9,SUMPRODUCT(($D$9:$L$9+INT(($S$12:$AA$12+INDEX($AJ$13:$AR$162,BN3851,0)+INDEX($AT$13:$BB$162,BO3851,0)+INDEX($BD$13:$BL$162,BP3851,0))/100))),0)</f>
        <v/>
      </c>
      <c r="BT3851">
        <f>IF(AND(3838&lt;$U$9,$W$5),BQ3851*1000000-MIN(BR3851,999)*1000+BS3851-3838/100000,-1000000000-3838)</f>
        <v/>
      </c>
    </row>
    <row r="3852">
      <c r="BN3852">
        <f>IF(3839&lt;$U$9,INT(3839/($U$7*$U$8))+1,1)</f>
        <v/>
      </c>
      <c r="BO3852">
        <f>IF(3839&lt;$U$9,MOD(INT(3839/$U$8),$U$7)+1,1)</f>
        <v/>
      </c>
      <c r="BP3852">
        <f>IF(3839&lt;$U$9,MOD(3839,$U$8)+1,1)</f>
        <v/>
      </c>
      <c r="BQ3852">
        <f>IF(3839&lt;$U$9,SUMPRODUCT(($D$10:$L$10&lt;&gt;"")*(($D$9:$L$9+INT(($S$12:$AA$12+INDEX($AJ$13:$AR$162,BN3852,0)+INDEX($AT$13:$BB$162,BO3852,0)+INDEX($BD$13:$BL$162,BP3852,0))/100))&gt;=$D$10:$L$10)),0)</f>
        <v/>
      </c>
      <c r="BR3852">
        <f>IF(3839&lt;$U$9,SUMPRODUCT(($D$10:$L$10&lt;&gt;"")*(($D$10:$L$10-($D$9:$L$9+INT(($S$12:$AA$12+INDEX($AJ$13:$AR$162,BN3852,0)+INDEX($AT$13:$BB$162,BO3852,0)+INDEX($BD$13:$BL$162,BP3852,0))/100)))&gt;0)*($D$10:$L$10-($D$9:$L$9+INT(($S$12:$AA$12+INDEX($AJ$13:$AR$162,BN3852,0)+INDEX($AT$13:$BB$162,BO3852,0)+INDEX($BD$13:$BL$162,BP3852,0))/100)))),0)</f>
        <v/>
      </c>
      <c r="BS3852">
        <f>IF(3839&lt;$U$9,SUMPRODUCT(($D$9:$L$9+INT(($S$12:$AA$12+INDEX($AJ$13:$AR$162,BN3852,0)+INDEX($AT$13:$BB$162,BO3852,0)+INDEX($BD$13:$BL$162,BP3852,0))/100))),0)</f>
        <v/>
      </c>
      <c r="BT3852">
        <f>IF(AND(3839&lt;$U$9,$W$5),BQ3852*1000000-MIN(BR3852,999)*1000+BS3852-3839/100000,-1000000000-3839)</f>
        <v/>
      </c>
    </row>
    <row r="3853">
      <c r="BN3853">
        <f>IF(3840&lt;$U$9,INT(3840/($U$7*$U$8))+1,1)</f>
        <v/>
      </c>
      <c r="BO3853">
        <f>IF(3840&lt;$U$9,MOD(INT(3840/$U$8),$U$7)+1,1)</f>
        <v/>
      </c>
      <c r="BP3853">
        <f>IF(3840&lt;$U$9,MOD(3840,$U$8)+1,1)</f>
        <v/>
      </c>
      <c r="BQ3853">
        <f>IF(3840&lt;$U$9,SUMPRODUCT(($D$10:$L$10&lt;&gt;"")*(($D$9:$L$9+INT(($S$12:$AA$12+INDEX($AJ$13:$AR$162,BN3853,0)+INDEX($AT$13:$BB$162,BO3853,0)+INDEX($BD$13:$BL$162,BP3853,0))/100))&gt;=$D$10:$L$10)),0)</f>
        <v/>
      </c>
      <c r="BR3853">
        <f>IF(3840&lt;$U$9,SUMPRODUCT(($D$10:$L$10&lt;&gt;"")*(($D$10:$L$10-($D$9:$L$9+INT(($S$12:$AA$12+INDEX($AJ$13:$AR$162,BN3853,0)+INDEX($AT$13:$BB$162,BO3853,0)+INDEX($BD$13:$BL$162,BP3853,0))/100)))&gt;0)*($D$10:$L$10-($D$9:$L$9+INT(($S$12:$AA$12+INDEX($AJ$13:$AR$162,BN3853,0)+INDEX($AT$13:$BB$162,BO3853,0)+INDEX($BD$13:$BL$162,BP3853,0))/100)))),0)</f>
        <v/>
      </c>
      <c r="BS3853">
        <f>IF(3840&lt;$U$9,SUMPRODUCT(($D$9:$L$9+INT(($S$12:$AA$12+INDEX($AJ$13:$AR$162,BN3853,0)+INDEX($AT$13:$BB$162,BO3853,0)+INDEX($BD$13:$BL$162,BP3853,0))/100))),0)</f>
        <v/>
      </c>
      <c r="BT3853">
        <f>IF(AND(3840&lt;$U$9,$W$5),BQ3853*1000000-MIN(BR3853,999)*1000+BS3853-3840/100000,-1000000000-3840)</f>
        <v/>
      </c>
    </row>
    <row r="3854">
      <c r="BN3854">
        <f>IF(3841&lt;$U$9,INT(3841/($U$7*$U$8))+1,1)</f>
        <v/>
      </c>
      <c r="BO3854">
        <f>IF(3841&lt;$U$9,MOD(INT(3841/$U$8),$U$7)+1,1)</f>
        <v/>
      </c>
      <c r="BP3854">
        <f>IF(3841&lt;$U$9,MOD(3841,$U$8)+1,1)</f>
        <v/>
      </c>
      <c r="BQ3854">
        <f>IF(3841&lt;$U$9,SUMPRODUCT(($D$10:$L$10&lt;&gt;"")*(($D$9:$L$9+INT(($S$12:$AA$12+INDEX($AJ$13:$AR$162,BN3854,0)+INDEX($AT$13:$BB$162,BO3854,0)+INDEX($BD$13:$BL$162,BP3854,0))/100))&gt;=$D$10:$L$10)),0)</f>
        <v/>
      </c>
      <c r="BR3854">
        <f>IF(3841&lt;$U$9,SUMPRODUCT(($D$10:$L$10&lt;&gt;"")*(($D$10:$L$10-($D$9:$L$9+INT(($S$12:$AA$12+INDEX($AJ$13:$AR$162,BN3854,0)+INDEX($AT$13:$BB$162,BO3854,0)+INDEX($BD$13:$BL$162,BP3854,0))/100)))&gt;0)*($D$10:$L$10-($D$9:$L$9+INT(($S$12:$AA$12+INDEX($AJ$13:$AR$162,BN3854,0)+INDEX($AT$13:$BB$162,BO3854,0)+INDEX($BD$13:$BL$162,BP3854,0))/100)))),0)</f>
        <v/>
      </c>
      <c r="BS3854">
        <f>IF(3841&lt;$U$9,SUMPRODUCT(($D$9:$L$9+INT(($S$12:$AA$12+INDEX($AJ$13:$AR$162,BN3854,0)+INDEX($AT$13:$BB$162,BO3854,0)+INDEX($BD$13:$BL$162,BP3854,0))/100))),0)</f>
        <v/>
      </c>
      <c r="BT3854">
        <f>IF(AND(3841&lt;$U$9,$W$5),BQ3854*1000000-MIN(BR3854,999)*1000+BS3854-3841/100000,-1000000000-3841)</f>
        <v/>
      </c>
    </row>
    <row r="3855">
      <c r="BN3855">
        <f>IF(3842&lt;$U$9,INT(3842/($U$7*$U$8))+1,1)</f>
        <v/>
      </c>
      <c r="BO3855">
        <f>IF(3842&lt;$U$9,MOD(INT(3842/$U$8),$U$7)+1,1)</f>
        <v/>
      </c>
      <c r="BP3855">
        <f>IF(3842&lt;$U$9,MOD(3842,$U$8)+1,1)</f>
        <v/>
      </c>
      <c r="BQ3855">
        <f>IF(3842&lt;$U$9,SUMPRODUCT(($D$10:$L$10&lt;&gt;"")*(($D$9:$L$9+INT(($S$12:$AA$12+INDEX($AJ$13:$AR$162,BN3855,0)+INDEX($AT$13:$BB$162,BO3855,0)+INDEX($BD$13:$BL$162,BP3855,0))/100))&gt;=$D$10:$L$10)),0)</f>
        <v/>
      </c>
      <c r="BR3855">
        <f>IF(3842&lt;$U$9,SUMPRODUCT(($D$10:$L$10&lt;&gt;"")*(($D$10:$L$10-($D$9:$L$9+INT(($S$12:$AA$12+INDEX($AJ$13:$AR$162,BN3855,0)+INDEX($AT$13:$BB$162,BO3855,0)+INDEX($BD$13:$BL$162,BP3855,0))/100)))&gt;0)*($D$10:$L$10-($D$9:$L$9+INT(($S$12:$AA$12+INDEX($AJ$13:$AR$162,BN3855,0)+INDEX($AT$13:$BB$162,BO3855,0)+INDEX($BD$13:$BL$162,BP3855,0))/100)))),0)</f>
        <v/>
      </c>
      <c r="BS3855">
        <f>IF(3842&lt;$U$9,SUMPRODUCT(($D$9:$L$9+INT(($S$12:$AA$12+INDEX($AJ$13:$AR$162,BN3855,0)+INDEX($AT$13:$BB$162,BO3855,0)+INDEX($BD$13:$BL$162,BP3855,0))/100))),0)</f>
        <v/>
      </c>
      <c r="BT3855">
        <f>IF(AND(3842&lt;$U$9,$W$5),BQ3855*1000000-MIN(BR3855,999)*1000+BS3855-3842/100000,-1000000000-3842)</f>
        <v/>
      </c>
    </row>
    <row r="3856">
      <c r="BN3856">
        <f>IF(3843&lt;$U$9,INT(3843/($U$7*$U$8))+1,1)</f>
        <v/>
      </c>
      <c r="BO3856">
        <f>IF(3843&lt;$U$9,MOD(INT(3843/$U$8),$U$7)+1,1)</f>
        <v/>
      </c>
      <c r="BP3856">
        <f>IF(3843&lt;$U$9,MOD(3843,$U$8)+1,1)</f>
        <v/>
      </c>
      <c r="BQ3856">
        <f>IF(3843&lt;$U$9,SUMPRODUCT(($D$10:$L$10&lt;&gt;"")*(($D$9:$L$9+INT(($S$12:$AA$12+INDEX($AJ$13:$AR$162,BN3856,0)+INDEX($AT$13:$BB$162,BO3856,0)+INDEX($BD$13:$BL$162,BP3856,0))/100))&gt;=$D$10:$L$10)),0)</f>
        <v/>
      </c>
      <c r="BR3856">
        <f>IF(3843&lt;$U$9,SUMPRODUCT(($D$10:$L$10&lt;&gt;"")*(($D$10:$L$10-($D$9:$L$9+INT(($S$12:$AA$12+INDEX($AJ$13:$AR$162,BN3856,0)+INDEX($AT$13:$BB$162,BO3856,0)+INDEX($BD$13:$BL$162,BP3856,0))/100)))&gt;0)*($D$10:$L$10-($D$9:$L$9+INT(($S$12:$AA$12+INDEX($AJ$13:$AR$162,BN3856,0)+INDEX($AT$13:$BB$162,BO3856,0)+INDEX($BD$13:$BL$162,BP3856,0))/100)))),0)</f>
        <v/>
      </c>
      <c r="BS3856">
        <f>IF(3843&lt;$U$9,SUMPRODUCT(($D$9:$L$9+INT(($S$12:$AA$12+INDEX($AJ$13:$AR$162,BN3856,0)+INDEX($AT$13:$BB$162,BO3856,0)+INDEX($BD$13:$BL$162,BP3856,0))/100))),0)</f>
        <v/>
      </c>
      <c r="BT3856">
        <f>IF(AND(3843&lt;$U$9,$W$5),BQ3856*1000000-MIN(BR3856,999)*1000+BS3856-3843/100000,-1000000000-3843)</f>
        <v/>
      </c>
    </row>
    <row r="3857">
      <c r="BN3857">
        <f>IF(3844&lt;$U$9,INT(3844/($U$7*$U$8))+1,1)</f>
        <v/>
      </c>
      <c r="BO3857">
        <f>IF(3844&lt;$U$9,MOD(INT(3844/$U$8),$U$7)+1,1)</f>
        <v/>
      </c>
      <c r="BP3857">
        <f>IF(3844&lt;$U$9,MOD(3844,$U$8)+1,1)</f>
        <v/>
      </c>
      <c r="BQ3857">
        <f>IF(3844&lt;$U$9,SUMPRODUCT(($D$10:$L$10&lt;&gt;"")*(($D$9:$L$9+INT(($S$12:$AA$12+INDEX($AJ$13:$AR$162,BN3857,0)+INDEX($AT$13:$BB$162,BO3857,0)+INDEX($BD$13:$BL$162,BP3857,0))/100))&gt;=$D$10:$L$10)),0)</f>
        <v/>
      </c>
      <c r="BR3857">
        <f>IF(3844&lt;$U$9,SUMPRODUCT(($D$10:$L$10&lt;&gt;"")*(($D$10:$L$10-($D$9:$L$9+INT(($S$12:$AA$12+INDEX($AJ$13:$AR$162,BN3857,0)+INDEX($AT$13:$BB$162,BO3857,0)+INDEX($BD$13:$BL$162,BP3857,0))/100)))&gt;0)*($D$10:$L$10-($D$9:$L$9+INT(($S$12:$AA$12+INDEX($AJ$13:$AR$162,BN3857,0)+INDEX($AT$13:$BB$162,BO3857,0)+INDEX($BD$13:$BL$162,BP3857,0))/100)))),0)</f>
        <v/>
      </c>
      <c r="BS3857">
        <f>IF(3844&lt;$U$9,SUMPRODUCT(($D$9:$L$9+INT(($S$12:$AA$12+INDEX($AJ$13:$AR$162,BN3857,0)+INDEX($AT$13:$BB$162,BO3857,0)+INDEX($BD$13:$BL$162,BP3857,0))/100))),0)</f>
        <v/>
      </c>
      <c r="BT3857">
        <f>IF(AND(3844&lt;$U$9,$W$5),BQ3857*1000000-MIN(BR3857,999)*1000+BS3857-3844/100000,-1000000000-3844)</f>
        <v/>
      </c>
    </row>
    <row r="3858">
      <c r="BN3858">
        <f>IF(3845&lt;$U$9,INT(3845/($U$7*$U$8))+1,1)</f>
        <v/>
      </c>
      <c r="BO3858">
        <f>IF(3845&lt;$U$9,MOD(INT(3845/$U$8),$U$7)+1,1)</f>
        <v/>
      </c>
      <c r="BP3858">
        <f>IF(3845&lt;$U$9,MOD(3845,$U$8)+1,1)</f>
        <v/>
      </c>
      <c r="BQ3858">
        <f>IF(3845&lt;$U$9,SUMPRODUCT(($D$10:$L$10&lt;&gt;"")*(($D$9:$L$9+INT(($S$12:$AA$12+INDEX($AJ$13:$AR$162,BN3858,0)+INDEX($AT$13:$BB$162,BO3858,0)+INDEX($BD$13:$BL$162,BP3858,0))/100))&gt;=$D$10:$L$10)),0)</f>
        <v/>
      </c>
      <c r="BR3858">
        <f>IF(3845&lt;$U$9,SUMPRODUCT(($D$10:$L$10&lt;&gt;"")*(($D$10:$L$10-($D$9:$L$9+INT(($S$12:$AA$12+INDEX($AJ$13:$AR$162,BN3858,0)+INDEX($AT$13:$BB$162,BO3858,0)+INDEX($BD$13:$BL$162,BP3858,0))/100)))&gt;0)*($D$10:$L$10-($D$9:$L$9+INT(($S$12:$AA$12+INDEX($AJ$13:$AR$162,BN3858,0)+INDEX($AT$13:$BB$162,BO3858,0)+INDEX($BD$13:$BL$162,BP3858,0))/100)))),0)</f>
        <v/>
      </c>
      <c r="BS3858">
        <f>IF(3845&lt;$U$9,SUMPRODUCT(($D$9:$L$9+INT(($S$12:$AA$12+INDEX($AJ$13:$AR$162,BN3858,0)+INDEX($AT$13:$BB$162,BO3858,0)+INDEX($BD$13:$BL$162,BP3858,0))/100))),0)</f>
        <v/>
      </c>
      <c r="BT3858">
        <f>IF(AND(3845&lt;$U$9,$W$5),BQ3858*1000000-MIN(BR3858,999)*1000+BS3858-3845/100000,-1000000000-3845)</f>
        <v/>
      </c>
    </row>
    <row r="3859">
      <c r="BN3859">
        <f>IF(3846&lt;$U$9,INT(3846/($U$7*$U$8))+1,1)</f>
        <v/>
      </c>
      <c r="BO3859">
        <f>IF(3846&lt;$U$9,MOD(INT(3846/$U$8),$U$7)+1,1)</f>
        <v/>
      </c>
      <c r="BP3859">
        <f>IF(3846&lt;$U$9,MOD(3846,$U$8)+1,1)</f>
        <v/>
      </c>
      <c r="BQ3859">
        <f>IF(3846&lt;$U$9,SUMPRODUCT(($D$10:$L$10&lt;&gt;"")*(($D$9:$L$9+INT(($S$12:$AA$12+INDEX($AJ$13:$AR$162,BN3859,0)+INDEX($AT$13:$BB$162,BO3859,0)+INDEX($BD$13:$BL$162,BP3859,0))/100))&gt;=$D$10:$L$10)),0)</f>
        <v/>
      </c>
      <c r="BR3859">
        <f>IF(3846&lt;$U$9,SUMPRODUCT(($D$10:$L$10&lt;&gt;"")*(($D$10:$L$10-($D$9:$L$9+INT(($S$12:$AA$12+INDEX($AJ$13:$AR$162,BN3859,0)+INDEX($AT$13:$BB$162,BO3859,0)+INDEX($BD$13:$BL$162,BP3859,0))/100)))&gt;0)*($D$10:$L$10-($D$9:$L$9+INT(($S$12:$AA$12+INDEX($AJ$13:$AR$162,BN3859,0)+INDEX($AT$13:$BB$162,BO3859,0)+INDEX($BD$13:$BL$162,BP3859,0))/100)))),0)</f>
        <v/>
      </c>
      <c r="BS3859">
        <f>IF(3846&lt;$U$9,SUMPRODUCT(($D$9:$L$9+INT(($S$12:$AA$12+INDEX($AJ$13:$AR$162,BN3859,0)+INDEX($AT$13:$BB$162,BO3859,0)+INDEX($BD$13:$BL$162,BP3859,0))/100))),0)</f>
        <v/>
      </c>
      <c r="BT3859">
        <f>IF(AND(3846&lt;$U$9,$W$5),BQ3859*1000000-MIN(BR3859,999)*1000+BS3859-3846/100000,-1000000000-3846)</f>
        <v/>
      </c>
    </row>
    <row r="3860">
      <c r="BN3860">
        <f>IF(3847&lt;$U$9,INT(3847/($U$7*$U$8))+1,1)</f>
        <v/>
      </c>
      <c r="BO3860">
        <f>IF(3847&lt;$U$9,MOD(INT(3847/$U$8),$U$7)+1,1)</f>
        <v/>
      </c>
      <c r="BP3860">
        <f>IF(3847&lt;$U$9,MOD(3847,$U$8)+1,1)</f>
        <v/>
      </c>
      <c r="BQ3860">
        <f>IF(3847&lt;$U$9,SUMPRODUCT(($D$10:$L$10&lt;&gt;"")*(($D$9:$L$9+INT(($S$12:$AA$12+INDEX($AJ$13:$AR$162,BN3860,0)+INDEX($AT$13:$BB$162,BO3860,0)+INDEX($BD$13:$BL$162,BP3860,0))/100))&gt;=$D$10:$L$10)),0)</f>
        <v/>
      </c>
      <c r="BR3860">
        <f>IF(3847&lt;$U$9,SUMPRODUCT(($D$10:$L$10&lt;&gt;"")*(($D$10:$L$10-($D$9:$L$9+INT(($S$12:$AA$12+INDEX($AJ$13:$AR$162,BN3860,0)+INDEX($AT$13:$BB$162,BO3860,0)+INDEX($BD$13:$BL$162,BP3860,0))/100)))&gt;0)*($D$10:$L$10-($D$9:$L$9+INT(($S$12:$AA$12+INDEX($AJ$13:$AR$162,BN3860,0)+INDEX($AT$13:$BB$162,BO3860,0)+INDEX($BD$13:$BL$162,BP3860,0))/100)))),0)</f>
        <v/>
      </c>
      <c r="BS3860">
        <f>IF(3847&lt;$U$9,SUMPRODUCT(($D$9:$L$9+INT(($S$12:$AA$12+INDEX($AJ$13:$AR$162,BN3860,0)+INDEX($AT$13:$BB$162,BO3860,0)+INDEX($BD$13:$BL$162,BP3860,0))/100))),0)</f>
        <v/>
      </c>
      <c r="BT3860">
        <f>IF(AND(3847&lt;$U$9,$W$5),BQ3860*1000000-MIN(BR3860,999)*1000+BS3860-3847/100000,-1000000000-3847)</f>
        <v/>
      </c>
    </row>
    <row r="3861">
      <c r="BN3861">
        <f>IF(3848&lt;$U$9,INT(3848/($U$7*$U$8))+1,1)</f>
        <v/>
      </c>
      <c r="BO3861">
        <f>IF(3848&lt;$U$9,MOD(INT(3848/$U$8),$U$7)+1,1)</f>
        <v/>
      </c>
      <c r="BP3861">
        <f>IF(3848&lt;$U$9,MOD(3848,$U$8)+1,1)</f>
        <v/>
      </c>
      <c r="BQ3861">
        <f>IF(3848&lt;$U$9,SUMPRODUCT(($D$10:$L$10&lt;&gt;"")*(($D$9:$L$9+INT(($S$12:$AA$12+INDEX($AJ$13:$AR$162,BN3861,0)+INDEX($AT$13:$BB$162,BO3861,0)+INDEX($BD$13:$BL$162,BP3861,0))/100))&gt;=$D$10:$L$10)),0)</f>
        <v/>
      </c>
      <c r="BR3861">
        <f>IF(3848&lt;$U$9,SUMPRODUCT(($D$10:$L$10&lt;&gt;"")*(($D$10:$L$10-($D$9:$L$9+INT(($S$12:$AA$12+INDEX($AJ$13:$AR$162,BN3861,0)+INDEX($AT$13:$BB$162,BO3861,0)+INDEX($BD$13:$BL$162,BP3861,0))/100)))&gt;0)*($D$10:$L$10-($D$9:$L$9+INT(($S$12:$AA$12+INDEX($AJ$13:$AR$162,BN3861,0)+INDEX($AT$13:$BB$162,BO3861,0)+INDEX($BD$13:$BL$162,BP3861,0))/100)))),0)</f>
        <v/>
      </c>
      <c r="BS3861">
        <f>IF(3848&lt;$U$9,SUMPRODUCT(($D$9:$L$9+INT(($S$12:$AA$12+INDEX($AJ$13:$AR$162,BN3861,0)+INDEX($AT$13:$BB$162,BO3861,0)+INDEX($BD$13:$BL$162,BP3861,0))/100))),0)</f>
        <v/>
      </c>
      <c r="BT3861">
        <f>IF(AND(3848&lt;$U$9,$W$5),BQ3861*1000000-MIN(BR3861,999)*1000+BS3861-3848/100000,-1000000000-3848)</f>
        <v/>
      </c>
    </row>
    <row r="3862">
      <c r="BN3862">
        <f>IF(3849&lt;$U$9,INT(3849/($U$7*$U$8))+1,1)</f>
        <v/>
      </c>
      <c r="BO3862">
        <f>IF(3849&lt;$U$9,MOD(INT(3849/$U$8),$U$7)+1,1)</f>
        <v/>
      </c>
      <c r="BP3862">
        <f>IF(3849&lt;$U$9,MOD(3849,$U$8)+1,1)</f>
        <v/>
      </c>
      <c r="BQ3862">
        <f>IF(3849&lt;$U$9,SUMPRODUCT(($D$10:$L$10&lt;&gt;"")*(($D$9:$L$9+INT(($S$12:$AA$12+INDEX($AJ$13:$AR$162,BN3862,0)+INDEX($AT$13:$BB$162,BO3862,0)+INDEX($BD$13:$BL$162,BP3862,0))/100))&gt;=$D$10:$L$10)),0)</f>
        <v/>
      </c>
      <c r="BR3862">
        <f>IF(3849&lt;$U$9,SUMPRODUCT(($D$10:$L$10&lt;&gt;"")*(($D$10:$L$10-($D$9:$L$9+INT(($S$12:$AA$12+INDEX($AJ$13:$AR$162,BN3862,0)+INDEX($AT$13:$BB$162,BO3862,0)+INDEX($BD$13:$BL$162,BP3862,0))/100)))&gt;0)*($D$10:$L$10-($D$9:$L$9+INT(($S$12:$AA$12+INDEX($AJ$13:$AR$162,BN3862,0)+INDEX($AT$13:$BB$162,BO3862,0)+INDEX($BD$13:$BL$162,BP3862,0))/100)))),0)</f>
        <v/>
      </c>
      <c r="BS3862">
        <f>IF(3849&lt;$U$9,SUMPRODUCT(($D$9:$L$9+INT(($S$12:$AA$12+INDEX($AJ$13:$AR$162,BN3862,0)+INDEX($AT$13:$BB$162,BO3862,0)+INDEX($BD$13:$BL$162,BP3862,0))/100))),0)</f>
        <v/>
      </c>
      <c r="BT3862">
        <f>IF(AND(3849&lt;$U$9,$W$5),BQ3862*1000000-MIN(BR3862,999)*1000+BS3862-3849/100000,-1000000000-3849)</f>
        <v/>
      </c>
    </row>
    <row r="3863">
      <c r="BN3863">
        <f>IF(3850&lt;$U$9,INT(3850/($U$7*$U$8))+1,1)</f>
        <v/>
      </c>
      <c r="BO3863">
        <f>IF(3850&lt;$U$9,MOD(INT(3850/$U$8),$U$7)+1,1)</f>
        <v/>
      </c>
      <c r="BP3863">
        <f>IF(3850&lt;$U$9,MOD(3850,$U$8)+1,1)</f>
        <v/>
      </c>
      <c r="BQ3863">
        <f>IF(3850&lt;$U$9,SUMPRODUCT(($D$10:$L$10&lt;&gt;"")*(($D$9:$L$9+INT(($S$12:$AA$12+INDEX($AJ$13:$AR$162,BN3863,0)+INDEX($AT$13:$BB$162,BO3863,0)+INDEX($BD$13:$BL$162,BP3863,0))/100))&gt;=$D$10:$L$10)),0)</f>
        <v/>
      </c>
      <c r="BR3863">
        <f>IF(3850&lt;$U$9,SUMPRODUCT(($D$10:$L$10&lt;&gt;"")*(($D$10:$L$10-($D$9:$L$9+INT(($S$12:$AA$12+INDEX($AJ$13:$AR$162,BN3863,0)+INDEX($AT$13:$BB$162,BO3863,0)+INDEX($BD$13:$BL$162,BP3863,0))/100)))&gt;0)*($D$10:$L$10-($D$9:$L$9+INT(($S$12:$AA$12+INDEX($AJ$13:$AR$162,BN3863,0)+INDEX($AT$13:$BB$162,BO3863,0)+INDEX($BD$13:$BL$162,BP3863,0))/100)))),0)</f>
        <v/>
      </c>
      <c r="BS3863">
        <f>IF(3850&lt;$U$9,SUMPRODUCT(($D$9:$L$9+INT(($S$12:$AA$12+INDEX($AJ$13:$AR$162,BN3863,0)+INDEX($AT$13:$BB$162,BO3863,0)+INDEX($BD$13:$BL$162,BP3863,0))/100))),0)</f>
        <v/>
      </c>
      <c r="BT3863">
        <f>IF(AND(3850&lt;$U$9,$W$5),BQ3863*1000000-MIN(BR3863,999)*1000+BS3863-3850/100000,-1000000000-3850)</f>
        <v/>
      </c>
    </row>
    <row r="3864">
      <c r="BN3864">
        <f>IF(3851&lt;$U$9,INT(3851/($U$7*$U$8))+1,1)</f>
        <v/>
      </c>
      <c r="BO3864">
        <f>IF(3851&lt;$U$9,MOD(INT(3851/$U$8),$U$7)+1,1)</f>
        <v/>
      </c>
      <c r="BP3864">
        <f>IF(3851&lt;$U$9,MOD(3851,$U$8)+1,1)</f>
        <v/>
      </c>
      <c r="BQ3864">
        <f>IF(3851&lt;$U$9,SUMPRODUCT(($D$10:$L$10&lt;&gt;"")*(($D$9:$L$9+INT(($S$12:$AA$12+INDEX($AJ$13:$AR$162,BN3864,0)+INDEX($AT$13:$BB$162,BO3864,0)+INDEX($BD$13:$BL$162,BP3864,0))/100))&gt;=$D$10:$L$10)),0)</f>
        <v/>
      </c>
      <c r="BR3864">
        <f>IF(3851&lt;$U$9,SUMPRODUCT(($D$10:$L$10&lt;&gt;"")*(($D$10:$L$10-($D$9:$L$9+INT(($S$12:$AA$12+INDEX($AJ$13:$AR$162,BN3864,0)+INDEX($AT$13:$BB$162,BO3864,0)+INDEX($BD$13:$BL$162,BP3864,0))/100)))&gt;0)*($D$10:$L$10-($D$9:$L$9+INT(($S$12:$AA$12+INDEX($AJ$13:$AR$162,BN3864,0)+INDEX($AT$13:$BB$162,BO3864,0)+INDEX($BD$13:$BL$162,BP3864,0))/100)))),0)</f>
        <v/>
      </c>
      <c r="BS3864">
        <f>IF(3851&lt;$U$9,SUMPRODUCT(($D$9:$L$9+INT(($S$12:$AA$12+INDEX($AJ$13:$AR$162,BN3864,0)+INDEX($AT$13:$BB$162,BO3864,0)+INDEX($BD$13:$BL$162,BP3864,0))/100))),0)</f>
        <v/>
      </c>
      <c r="BT3864">
        <f>IF(AND(3851&lt;$U$9,$W$5),BQ3864*1000000-MIN(BR3864,999)*1000+BS3864-3851/100000,-1000000000-3851)</f>
        <v/>
      </c>
    </row>
    <row r="3865">
      <c r="BN3865">
        <f>IF(3852&lt;$U$9,INT(3852/($U$7*$U$8))+1,1)</f>
        <v/>
      </c>
      <c r="BO3865">
        <f>IF(3852&lt;$U$9,MOD(INT(3852/$U$8),$U$7)+1,1)</f>
        <v/>
      </c>
      <c r="BP3865">
        <f>IF(3852&lt;$U$9,MOD(3852,$U$8)+1,1)</f>
        <v/>
      </c>
      <c r="BQ3865">
        <f>IF(3852&lt;$U$9,SUMPRODUCT(($D$10:$L$10&lt;&gt;"")*(($D$9:$L$9+INT(($S$12:$AA$12+INDEX($AJ$13:$AR$162,BN3865,0)+INDEX($AT$13:$BB$162,BO3865,0)+INDEX($BD$13:$BL$162,BP3865,0))/100))&gt;=$D$10:$L$10)),0)</f>
        <v/>
      </c>
      <c r="BR3865">
        <f>IF(3852&lt;$U$9,SUMPRODUCT(($D$10:$L$10&lt;&gt;"")*(($D$10:$L$10-($D$9:$L$9+INT(($S$12:$AA$12+INDEX($AJ$13:$AR$162,BN3865,0)+INDEX($AT$13:$BB$162,BO3865,0)+INDEX($BD$13:$BL$162,BP3865,0))/100)))&gt;0)*($D$10:$L$10-($D$9:$L$9+INT(($S$12:$AA$12+INDEX($AJ$13:$AR$162,BN3865,0)+INDEX($AT$13:$BB$162,BO3865,0)+INDEX($BD$13:$BL$162,BP3865,0))/100)))),0)</f>
        <v/>
      </c>
      <c r="BS3865">
        <f>IF(3852&lt;$U$9,SUMPRODUCT(($D$9:$L$9+INT(($S$12:$AA$12+INDEX($AJ$13:$AR$162,BN3865,0)+INDEX($AT$13:$BB$162,BO3865,0)+INDEX($BD$13:$BL$162,BP3865,0))/100))),0)</f>
        <v/>
      </c>
      <c r="BT3865">
        <f>IF(AND(3852&lt;$U$9,$W$5),BQ3865*1000000-MIN(BR3865,999)*1000+BS3865-3852/100000,-1000000000-3852)</f>
        <v/>
      </c>
    </row>
    <row r="3866">
      <c r="BN3866">
        <f>IF(3853&lt;$U$9,INT(3853/($U$7*$U$8))+1,1)</f>
        <v/>
      </c>
      <c r="BO3866">
        <f>IF(3853&lt;$U$9,MOD(INT(3853/$U$8),$U$7)+1,1)</f>
        <v/>
      </c>
      <c r="BP3866">
        <f>IF(3853&lt;$U$9,MOD(3853,$U$8)+1,1)</f>
        <v/>
      </c>
      <c r="BQ3866">
        <f>IF(3853&lt;$U$9,SUMPRODUCT(($D$10:$L$10&lt;&gt;"")*(($D$9:$L$9+INT(($S$12:$AA$12+INDEX($AJ$13:$AR$162,BN3866,0)+INDEX($AT$13:$BB$162,BO3866,0)+INDEX($BD$13:$BL$162,BP3866,0))/100))&gt;=$D$10:$L$10)),0)</f>
        <v/>
      </c>
      <c r="BR3866">
        <f>IF(3853&lt;$U$9,SUMPRODUCT(($D$10:$L$10&lt;&gt;"")*(($D$10:$L$10-($D$9:$L$9+INT(($S$12:$AA$12+INDEX($AJ$13:$AR$162,BN3866,0)+INDEX($AT$13:$BB$162,BO3866,0)+INDEX($BD$13:$BL$162,BP3866,0))/100)))&gt;0)*($D$10:$L$10-($D$9:$L$9+INT(($S$12:$AA$12+INDEX($AJ$13:$AR$162,BN3866,0)+INDEX($AT$13:$BB$162,BO3866,0)+INDEX($BD$13:$BL$162,BP3866,0))/100)))),0)</f>
        <v/>
      </c>
      <c r="BS3866">
        <f>IF(3853&lt;$U$9,SUMPRODUCT(($D$9:$L$9+INT(($S$12:$AA$12+INDEX($AJ$13:$AR$162,BN3866,0)+INDEX($AT$13:$BB$162,BO3866,0)+INDEX($BD$13:$BL$162,BP3866,0))/100))),0)</f>
        <v/>
      </c>
      <c r="BT3866">
        <f>IF(AND(3853&lt;$U$9,$W$5),BQ3866*1000000-MIN(BR3866,999)*1000+BS3866-3853/100000,-1000000000-3853)</f>
        <v/>
      </c>
    </row>
    <row r="3867">
      <c r="BN3867">
        <f>IF(3854&lt;$U$9,INT(3854/($U$7*$U$8))+1,1)</f>
        <v/>
      </c>
      <c r="BO3867">
        <f>IF(3854&lt;$U$9,MOD(INT(3854/$U$8),$U$7)+1,1)</f>
        <v/>
      </c>
      <c r="BP3867">
        <f>IF(3854&lt;$U$9,MOD(3854,$U$8)+1,1)</f>
        <v/>
      </c>
      <c r="BQ3867">
        <f>IF(3854&lt;$U$9,SUMPRODUCT(($D$10:$L$10&lt;&gt;"")*(($D$9:$L$9+INT(($S$12:$AA$12+INDEX($AJ$13:$AR$162,BN3867,0)+INDEX($AT$13:$BB$162,BO3867,0)+INDEX($BD$13:$BL$162,BP3867,0))/100))&gt;=$D$10:$L$10)),0)</f>
        <v/>
      </c>
      <c r="BR3867">
        <f>IF(3854&lt;$U$9,SUMPRODUCT(($D$10:$L$10&lt;&gt;"")*(($D$10:$L$10-($D$9:$L$9+INT(($S$12:$AA$12+INDEX($AJ$13:$AR$162,BN3867,0)+INDEX($AT$13:$BB$162,BO3867,0)+INDEX($BD$13:$BL$162,BP3867,0))/100)))&gt;0)*($D$10:$L$10-($D$9:$L$9+INT(($S$12:$AA$12+INDEX($AJ$13:$AR$162,BN3867,0)+INDEX($AT$13:$BB$162,BO3867,0)+INDEX($BD$13:$BL$162,BP3867,0))/100)))),0)</f>
        <v/>
      </c>
      <c r="BS3867">
        <f>IF(3854&lt;$U$9,SUMPRODUCT(($D$9:$L$9+INT(($S$12:$AA$12+INDEX($AJ$13:$AR$162,BN3867,0)+INDEX($AT$13:$BB$162,BO3867,0)+INDEX($BD$13:$BL$162,BP3867,0))/100))),0)</f>
        <v/>
      </c>
      <c r="BT3867">
        <f>IF(AND(3854&lt;$U$9,$W$5),BQ3867*1000000-MIN(BR3867,999)*1000+BS3867-3854/100000,-1000000000-3854)</f>
        <v/>
      </c>
    </row>
    <row r="3868">
      <c r="BN3868">
        <f>IF(3855&lt;$U$9,INT(3855/($U$7*$U$8))+1,1)</f>
        <v/>
      </c>
      <c r="BO3868">
        <f>IF(3855&lt;$U$9,MOD(INT(3855/$U$8),$U$7)+1,1)</f>
        <v/>
      </c>
      <c r="BP3868">
        <f>IF(3855&lt;$U$9,MOD(3855,$U$8)+1,1)</f>
        <v/>
      </c>
      <c r="BQ3868">
        <f>IF(3855&lt;$U$9,SUMPRODUCT(($D$10:$L$10&lt;&gt;"")*(($D$9:$L$9+INT(($S$12:$AA$12+INDEX($AJ$13:$AR$162,BN3868,0)+INDEX($AT$13:$BB$162,BO3868,0)+INDEX($BD$13:$BL$162,BP3868,0))/100))&gt;=$D$10:$L$10)),0)</f>
        <v/>
      </c>
      <c r="BR3868">
        <f>IF(3855&lt;$U$9,SUMPRODUCT(($D$10:$L$10&lt;&gt;"")*(($D$10:$L$10-($D$9:$L$9+INT(($S$12:$AA$12+INDEX($AJ$13:$AR$162,BN3868,0)+INDEX($AT$13:$BB$162,BO3868,0)+INDEX($BD$13:$BL$162,BP3868,0))/100)))&gt;0)*($D$10:$L$10-($D$9:$L$9+INT(($S$12:$AA$12+INDEX($AJ$13:$AR$162,BN3868,0)+INDEX($AT$13:$BB$162,BO3868,0)+INDEX($BD$13:$BL$162,BP3868,0))/100)))),0)</f>
        <v/>
      </c>
      <c r="BS3868">
        <f>IF(3855&lt;$U$9,SUMPRODUCT(($D$9:$L$9+INT(($S$12:$AA$12+INDEX($AJ$13:$AR$162,BN3868,0)+INDEX($AT$13:$BB$162,BO3868,0)+INDEX($BD$13:$BL$162,BP3868,0))/100))),0)</f>
        <v/>
      </c>
      <c r="BT3868">
        <f>IF(AND(3855&lt;$U$9,$W$5),BQ3868*1000000-MIN(BR3868,999)*1000+BS3868-3855/100000,-1000000000-3855)</f>
        <v/>
      </c>
    </row>
    <row r="3869">
      <c r="BN3869">
        <f>IF(3856&lt;$U$9,INT(3856/($U$7*$U$8))+1,1)</f>
        <v/>
      </c>
      <c r="BO3869">
        <f>IF(3856&lt;$U$9,MOD(INT(3856/$U$8),$U$7)+1,1)</f>
        <v/>
      </c>
      <c r="BP3869">
        <f>IF(3856&lt;$U$9,MOD(3856,$U$8)+1,1)</f>
        <v/>
      </c>
      <c r="BQ3869">
        <f>IF(3856&lt;$U$9,SUMPRODUCT(($D$10:$L$10&lt;&gt;"")*(($D$9:$L$9+INT(($S$12:$AA$12+INDEX($AJ$13:$AR$162,BN3869,0)+INDEX($AT$13:$BB$162,BO3869,0)+INDEX($BD$13:$BL$162,BP3869,0))/100))&gt;=$D$10:$L$10)),0)</f>
        <v/>
      </c>
      <c r="BR3869">
        <f>IF(3856&lt;$U$9,SUMPRODUCT(($D$10:$L$10&lt;&gt;"")*(($D$10:$L$10-($D$9:$L$9+INT(($S$12:$AA$12+INDEX($AJ$13:$AR$162,BN3869,0)+INDEX($AT$13:$BB$162,BO3869,0)+INDEX($BD$13:$BL$162,BP3869,0))/100)))&gt;0)*($D$10:$L$10-($D$9:$L$9+INT(($S$12:$AA$12+INDEX($AJ$13:$AR$162,BN3869,0)+INDEX($AT$13:$BB$162,BO3869,0)+INDEX($BD$13:$BL$162,BP3869,0))/100)))),0)</f>
        <v/>
      </c>
      <c r="BS3869">
        <f>IF(3856&lt;$U$9,SUMPRODUCT(($D$9:$L$9+INT(($S$12:$AA$12+INDEX($AJ$13:$AR$162,BN3869,0)+INDEX($AT$13:$BB$162,BO3869,0)+INDEX($BD$13:$BL$162,BP3869,0))/100))),0)</f>
        <v/>
      </c>
      <c r="BT3869">
        <f>IF(AND(3856&lt;$U$9,$W$5),BQ3869*1000000-MIN(BR3869,999)*1000+BS3869-3856/100000,-1000000000-3856)</f>
        <v/>
      </c>
    </row>
    <row r="3870">
      <c r="BN3870">
        <f>IF(3857&lt;$U$9,INT(3857/($U$7*$U$8))+1,1)</f>
        <v/>
      </c>
      <c r="BO3870">
        <f>IF(3857&lt;$U$9,MOD(INT(3857/$U$8),$U$7)+1,1)</f>
        <v/>
      </c>
      <c r="BP3870">
        <f>IF(3857&lt;$U$9,MOD(3857,$U$8)+1,1)</f>
        <v/>
      </c>
      <c r="BQ3870">
        <f>IF(3857&lt;$U$9,SUMPRODUCT(($D$10:$L$10&lt;&gt;"")*(($D$9:$L$9+INT(($S$12:$AA$12+INDEX($AJ$13:$AR$162,BN3870,0)+INDEX($AT$13:$BB$162,BO3870,0)+INDEX($BD$13:$BL$162,BP3870,0))/100))&gt;=$D$10:$L$10)),0)</f>
        <v/>
      </c>
      <c r="BR3870">
        <f>IF(3857&lt;$U$9,SUMPRODUCT(($D$10:$L$10&lt;&gt;"")*(($D$10:$L$10-($D$9:$L$9+INT(($S$12:$AA$12+INDEX($AJ$13:$AR$162,BN3870,0)+INDEX($AT$13:$BB$162,BO3870,0)+INDEX($BD$13:$BL$162,BP3870,0))/100)))&gt;0)*($D$10:$L$10-($D$9:$L$9+INT(($S$12:$AA$12+INDEX($AJ$13:$AR$162,BN3870,0)+INDEX($AT$13:$BB$162,BO3870,0)+INDEX($BD$13:$BL$162,BP3870,0))/100)))),0)</f>
        <v/>
      </c>
      <c r="BS3870">
        <f>IF(3857&lt;$U$9,SUMPRODUCT(($D$9:$L$9+INT(($S$12:$AA$12+INDEX($AJ$13:$AR$162,BN3870,0)+INDEX($AT$13:$BB$162,BO3870,0)+INDEX($BD$13:$BL$162,BP3870,0))/100))),0)</f>
        <v/>
      </c>
      <c r="BT3870">
        <f>IF(AND(3857&lt;$U$9,$W$5),BQ3870*1000000-MIN(BR3870,999)*1000+BS3870-3857/100000,-1000000000-3857)</f>
        <v/>
      </c>
    </row>
    <row r="3871">
      <c r="BN3871">
        <f>IF(3858&lt;$U$9,INT(3858/($U$7*$U$8))+1,1)</f>
        <v/>
      </c>
      <c r="BO3871">
        <f>IF(3858&lt;$U$9,MOD(INT(3858/$U$8),$U$7)+1,1)</f>
        <v/>
      </c>
      <c r="BP3871">
        <f>IF(3858&lt;$U$9,MOD(3858,$U$8)+1,1)</f>
        <v/>
      </c>
      <c r="BQ3871">
        <f>IF(3858&lt;$U$9,SUMPRODUCT(($D$10:$L$10&lt;&gt;"")*(($D$9:$L$9+INT(($S$12:$AA$12+INDEX($AJ$13:$AR$162,BN3871,0)+INDEX($AT$13:$BB$162,BO3871,0)+INDEX($BD$13:$BL$162,BP3871,0))/100))&gt;=$D$10:$L$10)),0)</f>
        <v/>
      </c>
      <c r="BR3871">
        <f>IF(3858&lt;$U$9,SUMPRODUCT(($D$10:$L$10&lt;&gt;"")*(($D$10:$L$10-($D$9:$L$9+INT(($S$12:$AA$12+INDEX($AJ$13:$AR$162,BN3871,0)+INDEX($AT$13:$BB$162,BO3871,0)+INDEX($BD$13:$BL$162,BP3871,0))/100)))&gt;0)*($D$10:$L$10-($D$9:$L$9+INT(($S$12:$AA$12+INDEX($AJ$13:$AR$162,BN3871,0)+INDEX($AT$13:$BB$162,BO3871,0)+INDEX($BD$13:$BL$162,BP3871,0))/100)))),0)</f>
        <v/>
      </c>
      <c r="BS3871">
        <f>IF(3858&lt;$U$9,SUMPRODUCT(($D$9:$L$9+INT(($S$12:$AA$12+INDEX($AJ$13:$AR$162,BN3871,0)+INDEX($AT$13:$BB$162,BO3871,0)+INDEX($BD$13:$BL$162,BP3871,0))/100))),0)</f>
        <v/>
      </c>
      <c r="BT3871">
        <f>IF(AND(3858&lt;$U$9,$W$5),BQ3871*1000000-MIN(BR3871,999)*1000+BS3871-3858/100000,-1000000000-3858)</f>
        <v/>
      </c>
    </row>
    <row r="3872">
      <c r="BN3872">
        <f>IF(3859&lt;$U$9,INT(3859/($U$7*$U$8))+1,1)</f>
        <v/>
      </c>
      <c r="BO3872">
        <f>IF(3859&lt;$U$9,MOD(INT(3859/$U$8),$U$7)+1,1)</f>
        <v/>
      </c>
      <c r="BP3872">
        <f>IF(3859&lt;$U$9,MOD(3859,$U$8)+1,1)</f>
        <v/>
      </c>
      <c r="BQ3872">
        <f>IF(3859&lt;$U$9,SUMPRODUCT(($D$10:$L$10&lt;&gt;"")*(($D$9:$L$9+INT(($S$12:$AA$12+INDEX($AJ$13:$AR$162,BN3872,0)+INDEX($AT$13:$BB$162,BO3872,0)+INDEX($BD$13:$BL$162,BP3872,0))/100))&gt;=$D$10:$L$10)),0)</f>
        <v/>
      </c>
      <c r="BR3872">
        <f>IF(3859&lt;$U$9,SUMPRODUCT(($D$10:$L$10&lt;&gt;"")*(($D$10:$L$10-($D$9:$L$9+INT(($S$12:$AA$12+INDEX($AJ$13:$AR$162,BN3872,0)+INDEX($AT$13:$BB$162,BO3872,0)+INDEX($BD$13:$BL$162,BP3872,0))/100)))&gt;0)*($D$10:$L$10-($D$9:$L$9+INT(($S$12:$AA$12+INDEX($AJ$13:$AR$162,BN3872,0)+INDEX($AT$13:$BB$162,BO3872,0)+INDEX($BD$13:$BL$162,BP3872,0))/100)))),0)</f>
        <v/>
      </c>
      <c r="BS3872">
        <f>IF(3859&lt;$U$9,SUMPRODUCT(($D$9:$L$9+INT(($S$12:$AA$12+INDEX($AJ$13:$AR$162,BN3872,0)+INDEX($AT$13:$BB$162,BO3872,0)+INDEX($BD$13:$BL$162,BP3872,0))/100))),0)</f>
        <v/>
      </c>
      <c r="BT3872">
        <f>IF(AND(3859&lt;$U$9,$W$5),BQ3872*1000000-MIN(BR3872,999)*1000+BS3872-3859/100000,-1000000000-3859)</f>
        <v/>
      </c>
    </row>
    <row r="3873">
      <c r="BN3873">
        <f>IF(3860&lt;$U$9,INT(3860/($U$7*$U$8))+1,1)</f>
        <v/>
      </c>
      <c r="BO3873">
        <f>IF(3860&lt;$U$9,MOD(INT(3860/$U$8),$U$7)+1,1)</f>
        <v/>
      </c>
      <c r="BP3873">
        <f>IF(3860&lt;$U$9,MOD(3860,$U$8)+1,1)</f>
        <v/>
      </c>
      <c r="BQ3873">
        <f>IF(3860&lt;$U$9,SUMPRODUCT(($D$10:$L$10&lt;&gt;"")*(($D$9:$L$9+INT(($S$12:$AA$12+INDEX($AJ$13:$AR$162,BN3873,0)+INDEX($AT$13:$BB$162,BO3873,0)+INDEX($BD$13:$BL$162,BP3873,0))/100))&gt;=$D$10:$L$10)),0)</f>
        <v/>
      </c>
      <c r="BR3873">
        <f>IF(3860&lt;$U$9,SUMPRODUCT(($D$10:$L$10&lt;&gt;"")*(($D$10:$L$10-($D$9:$L$9+INT(($S$12:$AA$12+INDEX($AJ$13:$AR$162,BN3873,0)+INDEX($AT$13:$BB$162,BO3873,0)+INDEX($BD$13:$BL$162,BP3873,0))/100)))&gt;0)*($D$10:$L$10-($D$9:$L$9+INT(($S$12:$AA$12+INDEX($AJ$13:$AR$162,BN3873,0)+INDEX($AT$13:$BB$162,BO3873,0)+INDEX($BD$13:$BL$162,BP3873,0))/100)))),0)</f>
        <v/>
      </c>
      <c r="BS3873">
        <f>IF(3860&lt;$U$9,SUMPRODUCT(($D$9:$L$9+INT(($S$12:$AA$12+INDEX($AJ$13:$AR$162,BN3873,0)+INDEX($AT$13:$BB$162,BO3873,0)+INDEX($BD$13:$BL$162,BP3873,0))/100))),0)</f>
        <v/>
      </c>
      <c r="BT3873">
        <f>IF(AND(3860&lt;$U$9,$W$5),BQ3873*1000000-MIN(BR3873,999)*1000+BS3873-3860/100000,-1000000000-3860)</f>
        <v/>
      </c>
    </row>
    <row r="3874">
      <c r="BN3874">
        <f>IF(3861&lt;$U$9,INT(3861/($U$7*$U$8))+1,1)</f>
        <v/>
      </c>
      <c r="BO3874">
        <f>IF(3861&lt;$U$9,MOD(INT(3861/$U$8),$U$7)+1,1)</f>
        <v/>
      </c>
      <c r="BP3874">
        <f>IF(3861&lt;$U$9,MOD(3861,$U$8)+1,1)</f>
        <v/>
      </c>
      <c r="BQ3874">
        <f>IF(3861&lt;$U$9,SUMPRODUCT(($D$10:$L$10&lt;&gt;"")*(($D$9:$L$9+INT(($S$12:$AA$12+INDEX($AJ$13:$AR$162,BN3874,0)+INDEX($AT$13:$BB$162,BO3874,0)+INDEX($BD$13:$BL$162,BP3874,0))/100))&gt;=$D$10:$L$10)),0)</f>
        <v/>
      </c>
      <c r="BR3874">
        <f>IF(3861&lt;$U$9,SUMPRODUCT(($D$10:$L$10&lt;&gt;"")*(($D$10:$L$10-($D$9:$L$9+INT(($S$12:$AA$12+INDEX($AJ$13:$AR$162,BN3874,0)+INDEX($AT$13:$BB$162,BO3874,0)+INDEX($BD$13:$BL$162,BP3874,0))/100)))&gt;0)*($D$10:$L$10-($D$9:$L$9+INT(($S$12:$AA$12+INDEX($AJ$13:$AR$162,BN3874,0)+INDEX($AT$13:$BB$162,BO3874,0)+INDEX($BD$13:$BL$162,BP3874,0))/100)))),0)</f>
        <v/>
      </c>
      <c r="BS3874">
        <f>IF(3861&lt;$U$9,SUMPRODUCT(($D$9:$L$9+INT(($S$12:$AA$12+INDEX($AJ$13:$AR$162,BN3874,0)+INDEX($AT$13:$BB$162,BO3874,0)+INDEX($BD$13:$BL$162,BP3874,0))/100))),0)</f>
        <v/>
      </c>
      <c r="BT3874">
        <f>IF(AND(3861&lt;$U$9,$W$5),BQ3874*1000000-MIN(BR3874,999)*1000+BS3874-3861/100000,-1000000000-3861)</f>
        <v/>
      </c>
    </row>
    <row r="3875">
      <c r="BN3875">
        <f>IF(3862&lt;$U$9,INT(3862/($U$7*$U$8))+1,1)</f>
        <v/>
      </c>
      <c r="BO3875">
        <f>IF(3862&lt;$U$9,MOD(INT(3862/$U$8),$U$7)+1,1)</f>
        <v/>
      </c>
      <c r="BP3875">
        <f>IF(3862&lt;$U$9,MOD(3862,$U$8)+1,1)</f>
        <v/>
      </c>
      <c r="BQ3875">
        <f>IF(3862&lt;$U$9,SUMPRODUCT(($D$10:$L$10&lt;&gt;"")*(($D$9:$L$9+INT(($S$12:$AA$12+INDEX($AJ$13:$AR$162,BN3875,0)+INDEX($AT$13:$BB$162,BO3875,0)+INDEX($BD$13:$BL$162,BP3875,0))/100))&gt;=$D$10:$L$10)),0)</f>
        <v/>
      </c>
      <c r="BR3875">
        <f>IF(3862&lt;$U$9,SUMPRODUCT(($D$10:$L$10&lt;&gt;"")*(($D$10:$L$10-($D$9:$L$9+INT(($S$12:$AA$12+INDEX($AJ$13:$AR$162,BN3875,0)+INDEX($AT$13:$BB$162,BO3875,0)+INDEX($BD$13:$BL$162,BP3875,0))/100)))&gt;0)*($D$10:$L$10-($D$9:$L$9+INT(($S$12:$AA$12+INDEX($AJ$13:$AR$162,BN3875,0)+INDEX($AT$13:$BB$162,BO3875,0)+INDEX($BD$13:$BL$162,BP3875,0))/100)))),0)</f>
        <v/>
      </c>
      <c r="BS3875">
        <f>IF(3862&lt;$U$9,SUMPRODUCT(($D$9:$L$9+INT(($S$12:$AA$12+INDEX($AJ$13:$AR$162,BN3875,0)+INDEX($AT$13:$BB$162,BO3875,0)+INDEX($BD$13:$BL$162,BP3875,0))/100))),0)</f>
        <v/>
      </c>
      <c r="BT3875">
        <f>IF(AND(3862&lt;$U$9,$W$5),BQ3875*1000000-MIN(BR3875,999)*1000+BS3875-3862/100000,-1000000000-3862)</f>
        <v/>
      </c>
    </row>
    <row r="3876">
      <c r="BN3876">
        <f>IF(3863&lt;$U$9,INT(3863/($U$7*$U$8))+1,1)</f>
        <v/>
      </c>
      <c r="BO3876">
        <f>IF(3863&lt;$U$9,MOD(INT(3863/$U$8),$U$7)+1,1)</f>
        <v/>
      </c>
      <c r="BP3876">
        <f>IF(3863&lt;$U$9,MOD(3863,$U$8)+1,1)</f>
        <v/>
      </c>
      <c r="BQ3876">
        <f>IF(3863&lt;$U$9,SUMPRODUCT(($D$10:$L$10&lt;&gt;"")*(($D$9:$L$9+INT(($S$12:$AA$12+INDEX($AJ$13:$AR$162,BN3876,0)+INDEX($AT$13:$BB$162,BO3876,0)+INDEX($BD$13:$BL$162,BP3876,0))/100))&gt;=$D$10:$L$10)),0)</f>
        <v/>
      </c>
      <c r="BR3876">
        <f>IF(3863&lt;$U$9,SUMPRODUCT(($D$10:$L$10&lt;&gt;"")*(($D$10:$L$10-($D$9:$L$9+INT(($S$12:$AA$12+INDEX($AJ$13:$AR$162,BN3876,0)+INDEX($AT$13:$BB$162,BO3876,0)+INDEX($BD$13:$BL$162,BP3876,0))/100)))&gt;0)*($D$10:$L$10-($D$9:$L$9+INT(($S$12:$AA$12+INDEX($AJ$13:$AR$162,BN3876,0)+INDEX($AT$13:$BB$162,BO3876,0)+INDEX($BD$13:$BL$162,BP3876,0))/100)))),0)</f>
        <v/>
      </c>
      <c r="BS3876">
        <f>IF(3863&lt;$U$9,SUMPRODUCT(($D$9:$L$9+INT(($S$12:$AA$12+INDEX($AJ$13:$AR$162,BN3876,0)+INDEX($AT$13:$BB$162,BO3876,0)+INDEX($BD$13:$BL$162,BP3876,0))/100))),0)</f>
        <v/>
      </c>
      <c r="BT3876">
        <f>IF(AND(3863&lt;$U$9,$W$5),BQ3876*1000000-MIN(BR3876,999)*1000+BS3876-3863/100000,-1000000000-3863)</f>
        <v/>
      </c>
    </row>
    <row r="3877">
      <c r="BN3877">
        <f>IF(3864&lt;$U$9,INT(3864/($U$7*$U$8))+1,1)</f>
        <v/>
      </c>
      <c r="BO3877">
        <f>IF(3864&lt;$U$9,MOD(INT(3864/$U$8),$U$7)+1,1)</f>
        <v/>
      </c>
      <c r="BP3877">
        <f>IF(3864&lt;$U$9,MOD(3864,$U$8)+1,1)</f>
        <v/>
      </c>
      <c r="BQ3877">
        <f>IF(3864&lt;$U$9,SUMPRODUCT(($D$10:$L$10&lt;&gt;"")*(($D$9:$L$9+INT(($S$12:$AA$12+INDEX($AJ$13:$AR$162,BN3877,0)+INDEX($AT$13:$BB$162,BO3877,0)+INDEX($BD$13:$BL$162,BP3877,0))/100))&gt;=$D$10:$L$10)),0)</f>
        <v/>
      </c>
      <c r="BR3877">
        <f>IF(3864&lt;$U$9,SUMPRODUCT(($D$10:$L$10&lt;&gt;"")*(($D$10:$L$10-($D$9:$L$9+INT(($S$12:$AA$12+INDEX($AJ$13:$AR$162,BN3877,0)+INDEX($AT$13:$BB$162,BO3877,0)+INDEX($BD$13:$BL$162,BP3877,0))/100)))&gt;0)*($D$10:$L$10-($D$9:$L$9+INT(($S$12:$AA$12+INDEX($AJ$13:$AR$162,BN3877,0)+INDEX($AT$13:$BB$162,BO3877,0)+INDEX($BD$13:$BL$162,BP3877,0))/100)))),0)</f>
        <v/>
      </c>
      <c r="BS3877">
        <f>IF(3864&lt;$U$9,SUMPRODUCT(($D$9:$L$9+INT(($S$12:$AA$12+INDEX($AJ$13:$AR$162,BN3877,0)+INDEX($AT$13:$BB$162,BO3877,0)+INDEX($BD$13:$BL$162,BP3877,0))/100))),0)</f>
        <v/>
      </c>
      <c r="BT3877">
        <f>IF(AND(3864&lt;$U$9,$W$5),BQ3877*1000000-MIN(BR3877,999)*1000+BS3877-3864/100000,-1000000000-3864)</f>
        <v/>
      </c>
    </row>
    <row r="3878">
      <c r="BN3878">
        <f>IF(3865&lt;$U$9,INT(3865/($U$7*$U$8))+1,1)</f>
        <v/>
      </c>
      <c r="BO3878">
        <f>IF(3865&lt;$U$9,MOD(INT(3865/$U$8),$U$7)+1,1)</f>
        <v/>
      </c>
      <c r="BP3878">
        <f>IF(3865&lt;$U$9,MOD(3865,$U$8)+1,1)</f>
        <v/>
      </c>
      <c r="BQ3878">
        <f>IF(3865&lt;$U$9,SUMPRODUCT(($D$10:$L$10&lt;&gt;"")*(($D$9:$L$9+INT(($S$12:$AA$12+INDEX($AJ$13:$AR$162,BN3878,0)+INDEX($AT$13:$BB$162,BO3878,0)+INDEX($BD$13:$BL$162,BP3878,0))/100))&gt;=$D$10:$L$10)),0)</f>
        <v/>
      </c>
      <c r="BR3878">
        <f>IF(3865&lt;$U$9,SUMPRODUCT(($D$10:$L$10&lt;&gt;"")*(($D$10:$L$10-($D$9:$L$9+INT(($S$12:$AA$12+INDEX($AJ$13:$AR$162,BN3878,0)+INDEX($AT$13:$BB$162,BO3878,0)+INDEX($BD$13:$BL$162,BP3878,0))/100)))&gt;0)*($D$10:$L$10-($D$9:$L$9+INT(($S$12:$AA$12+INDEX($AJ$13:$AR$162,BN3878,0)+INDEX($AT$13:$BB$162,BO3878,0)+INDEX($BD$13:$BL$162,BP3878,0))/100)))),0)</f>
        <v/>
      </c>
      <c r="BS3878">
        <f>IF(3865&lt;$U$9,SUMPRODUCT(($D$9:$L$9+INT(($S$12:$AA$12+INDEX($AJ$13:$AR$162,BN3878,0)+INDEX($AT$13:$BB$162,BO3878,0)+INDEX($BD$13:$BL$162,BP3878,0))/100))),0)</f>
        <v/>
      </c>
      <c r="BT3878">
        <f>IF(AND(3865&lt;$U$9,$W$5),BQ3878*1000000-MIN(BR3878,999)*1000+BS3878-3865/100000,-1000000000-3865)</f>
        <v/>
      </c>
    </row>
    <row r="3879">
      <c r="BN3879">
        <f>IF(3866&lt;$U$9,INT(3866/($U$7*$U$8))+1,1)</f>
        <v/>
      </c>
      <c r="BO3879">
        <f>IF(3866&lt;$U$9,MOD(INT(3866/$U$8),$U$7)+1,1)</f>
        <v/>
      </c>
      <c r="BP3879">
        <f>IF(3866&lt;$U$9,MOD(3866,$U$8)+1,1)</f>
        <v/>
      </c>
      <c r="BQ3879">
        <f>IF(3866&lt;$U$9,SUMPRODUCT(($D$10:$L$10&lt;&gt;"")*(($D$9:$L$9+INT(($S$12:$AA$12+INDEX($AJ$13:$AR$162,BN3879,0)+INDEX($AT$13:$BB$162,BO3879,0)+INDEX($BD$13:$BL$162,BP3879,0))/100))&gt;=$D$10:$L$10)),0)</f>
        <v/>
      </c>
      <c r="BR3879">
        <f>IF(3866&lt;$U$9,SUMPRODUCT(($D$10:$L$10&lt;&gt;"")*(($D$10:$L$10-($D$9:$L$9+INT(($S$12:$AA$12+INDEX($AJ$13:$AR$162,BN3879,0)+INDEX($AT$13:$BB$162,BO3879,0)+INDEX($BD$13:$BL$162,BP3879,0))/100)))&gt;0)*($D$10:$L$10-($D$9:$L$9+INT(($S$12:$AA$12+INDEX($AJ$13:$AR$162,BN3879,0)+INDEX($AT$13:$BB$162,BO3879,0)+INDEX($BD$13:$BL$162,BP3879,0))/100)))),0)</f>
        <v/>
      </c>
      <c r="BS3879">
        <f>IF(3866&lt;$U$9,SUMPRODUCT(($D$9:$L$9+INT(($S$12:$AA$12+INDEX($AJ$13:$AR$162,BN3879,0)+INDEX($AT$13:$BB$162,BO3879,0)+INDEX($BD$13:$BL$162,BP3879,0))/100))),0)</f>
        <v/>
      </c>
      <c r="BT3879">
        <f>IF(AND(3866&lt;$U$9,$W$5),BQ3879*1000000-MIN(BR3879,999)*1000+BS3879-3866/100000,-1000000000-3866)</f>
        <v/>
      </c>
    </row>
    <row r="3880">
      <c r="BN3880">
        <f>IF(3867&lt;$U$9,INT(3867/($U$7*$U$8))+1,1)</f>
        <v/>
      </c>
      <c r="BO3880">
        <f>IF(3867&lt;$U$9,MOD(INT(3867/$U$8),$U$7)+1,1)</f>
        <v/>
      </c>
      <c r="BP3880">
        <f>IF(3867&lt;$U$9,MOD(3867,$U$8)+1,1)</f>
        <v/>
      </c>
      <c r="BQ3880">
        <f>IF(3867&lt;$U$9,SUMPRODUCT(($D$10:$L$10&lt;&gt;"")*(($D$9:$L$9+INT(($S$12:$AA$12+INDEX($AJ$13:$AR$162,BN3880,0)+INDEX($AT$13:$BB$162,BO3880,0)+INDEX($BD$13:$BL$162,BP3880,0))/100))&gt;=$D$10:$L$10)),0)</f>
        <v/>
      </c>
      <c r="BR3880">
        <f>IF(3867&lt;$U$9,SUMPRODUCT(($D$10:$L$10&lt;&gt;"")*(($D$10:$L$10-($D$9:$L$9+INT(($S$12:$AA$12+INDEX($AJ$13:$AR$162,BN3880,0)+INDEX($AT$13:$BB$162,BO3880,0)+INDEX($BD$13:$BL$162,BP3880,0))/100)))&gt;0)*($D$10:$L$10-($D$9:$L$9+INT(($S$12:$AA$12+INDEX($AJ$13:$AR$162,BN3880,0)+INDEX($AT$13:$BB$162,BO3880,0)+INDEX($BD$13:$BL$162,BP3880,0))/100)))),0)</f>
        <v/>
      </c>
      <c r="BS3880">
        <f>IF(3867&lt;$U$9,SUMPRODUCT(($D$9:$L$9+INT(($S$12:$AA$12+INDEX($AJ$13:$AR$162,BN3880,0)+INDEX($AT$13:$BB$162,BO3880,0)+INDEX($BD$13:$BL$162,BP3880,0))/100))),0)</f>
        <v/>
      </c>
      <c r="BT3880">
        <f>IF(AND(3867&lt;$U$9,$W$5),BQ3880*1000000-MIN(BR3880,999)*1000+BS3880-3867/100000,-1000000000-3867)</f>
        <v/>
      </c>
    </row>
    <row r="3881">
      <c r="BN3881">
        <f>IF(3868&lt;$U$9,INT(3868/($U$7*$U$8))+1,1)</f>
        <v/>
      </c>
      <c r="BO3881">
        <f>IF(3868&lt;$U$9,MOD(INT(3868/$U$8),$U$7)+1,1)</f>
        <v/>
      </c>
      <c r="BP3881">
        <f>IF(3868&lt;$U$9,MOD(3868,$U$8)+1,1)</f>
        <v/>
      </c>
      <c r="BQ3881">
        <f>IF(3868&lt;$U$9,SUMPRODUCT(($D$10:$L$10&lt;&gt;"")*(($D$9:$L$9+INT(($S$12:$AA$12+INDEX($AJ$13:$AR$162,BN3881,0)+INDEX($AT$13:$BB$162,BO3881,0)+INDEX($BD$13:$BL$162,BP3881,0))/100))&gt;=$D$10:$L$10)),0)</f>
        <v/>
      </c>
      <c r="BR3881">
        <f>IF(3868&lt;$U$9,SUMPRODUCT(($D$10:$L$10&lt;&gt;"")*(($D$10:$L$10-($D$9:$L$9+INT(($S$12:$AA$12+INDEX($AJ$13:$AR$162,BN3881,0)+INDEX($AT$13:$BB$162,BO3881,0)+INDEX($BD$13:$BL$162,BP3881,0))/100)))&gt;0)*($D$10:$L$10-($D$9:$L$9+INT(($S$12:$AA$12+INDEX($AJ$13:$AR$162,BN3881,0)+INDEX($AT$13:$BB$162,BO3881,0)+INDEX($BD$13:$BL$162,BP3881,0))/100)))),0)</f>
        <v/>
      </c>
      <c r="BS3881">
        <f>IF(3868&lt;$U$9,SUMPRODUCT(($D$9:$L$9+INT(($S$12:$AA$12+INDEX($AJ$13:$AR$162,BN3881,0)+INDEX($AT$13:$BB$162,BO3881,0)+INDEX($BD$13:$BL$162,BP3881,0))/100))),0)</f>
        <v/>
      </c>
      <c r="BT3881">
        <f>IF(AND(3868&lt;$U$9,$W$5),BQ3881*1000000-MIN(BR3881,999)*1000+BS3881-3868/100000,-1000000000-3868)</f>
        <v/>
      </c>
    </row>
    <row r="3882">
      <c r="BN3882">
        <f>IF(3869&lt;$U$9,INT(3869/($U$7*$U$8))+1,1)</f>
        <v/>
      </c>
      <c r="BO3882">
        <f>IF(3869&lt;$U$9,MOD(INT(3869/$U$8),$U$7)+1,1)</f>
        <v/>
      </c>
      <c r="BP3882">
        <f>IF(3869&lt;$U$9,MOD(3869,$U$8)+1,1)</f>
        <v/>
      </c>
      <c r="BQ3882">
        <f>IF(3869&lt;$U$9,SUMPRODUCT(($D$10:$L$10&lt;&gt;"")*(($D$9:$L$9+INT(($S$12:$AA$12+INDEX($AJ$13:$AR$162,BN3882,0)+INDEX($AT$13:$BB$162,BO3882,0)+INDEX($BD$13:$BL$162,BP3882,0))/100))&gt;=$D$10:$L$10)),0)</f>
        <v/>
      </c>
      <c r="BR3882">
        <f>IF(3869&lt;$U$9,SUMPRODUCT(($D$10:$L$10&lt;&gt;"")*(($D$10:$L$10-($D$9:$L$9+INT(($S$12:$AA$12+INDEX($AJ$13:$AR$162,BN3882,0)+INDEX($AT$13:$BB$162,BO3882,0)+INDEX($BD$13:$BL$162,BP3882,0))/100)))&gt;0)*($D$10:$L$10-($D$9:$L$9+INT(($S$12:$AA$12+INDEX($AJ$13:$AR$162,BN3882,0)+INDEX($AT$13:$BB$162,BO3882,0)+INDEX($BD$13:$BL$162,BP3882,0))/100)))),0)</f>
        <v/>
      </c>
      <c r="BS3882">
        <f>IF(3869&lt;$U$9,SUMPRODUCT(($D$9:$L$9+INT(($S$12:$AA$12+INDEX($AJ$13:$AR$162,BN3882,0)+INDEX($AT$13:$BB$162,BO3882,0)+INDEX($BD$13:$BL$162,BP3882,0))/100))),0)</f>
        <v/>
      </c>
      <c r="BT3882">
        <f>IF(AND(3869&lt;$U$9,$W$5),BQ3882*1000000-MIN(BR3882,999)*1000+BS3882-3869/100000,-1000000000-3869)</f>
        <v/>
      </c>
    </row>
    <row r="3883">
      <c r="BN3883">
        <f>IF(3870&lt;$U$9,INT(3870/($U$7*$U$8))+1,1)</f>
        <v/>
      </c>
      <c r="BO3883">
        <f>IF(3870&lt;$U$9,MOD(INT(3870/$U$8),$U$7)+1,1)</f>
        <v/>
      </c>
      <c r="BP3883">
        <f>IF(3870&lt;$U$9,MOD(3870,$U$8)+1,1)</f>
        <v/>
      </c>
      <c r="BQ3883">
        <f>IF(3870&lt;$U$9,SUMPRODUCT(($D$10:$L$10&lt;&gt;"")*(($D$9:$L$9+INT(($S$12:$AA$12+INDEX($AJ$13:$AR$162,BN3883,0)+INDEX($AT$13:$BB$162,BO3883,0)+INDEX($BD$13:$BL$162,BP3883,0))/100))&gt;=$D$10:$L$10)),0)</f>
        <v/>
      </c>
      <c r="BR3883">
        <f>IF(3870&lt;$U$9,SUMPRODUCT(($D$10:$L$10&lt;&gt;"")*(($D$10:$L$10-($D$9:$L$9+INT(($S$12:$AA$12+INDEX($AJ$13:$AR$162,BN3883,0)+INDEX($AT$13:$BB$162,BO3883,0)+INDEX($BD$13:$BL$162,BP3883,0))/100)))&gt;0)*($D$10:$L$10-($D$9:$L$9+INT(($S$12:$AA$12+INDEX($AJ$13:$AR$162,BN3883,0)+INDEX($AT$13:$BB$162,BO3883,0)+INDEX($BD$13:$BL$162,BP3883,0))/100)))),0)</f>
        <v/>
      </c>
      <c r="BS3883">
        <f>IF(3870&lt;$U$9,SUMPRODUCT(($D$9:$L$9+INT(($S$12:$AA$12+INDEX($AJ$13:$AR$162,BN3883,0)+INDEX($AT$13:$BB$162,BO3883,0)+INDEX($BD$13:$BL$162,BP3883,0))/100))),0)</f>
        <v/>
      </c>
      <c r="BT3883">
        <f>IF(AND(3870&lt;$U$9,$W$5),BQ3883*1000000-MIN(BR3883,999)*1000+BS3883-3870/100000,-1000000000-3870)</f>
        <v/>
      </c>
    </row>
    <row r="3884">
      <c r="BN3884">
        <f>IF(3871&lt;$U$9,INT(3871/($U$7*$U$8))+1,1)</f>
        <v/>
      </c>
      <c r="BO3884">
        <f>IF(3871&lt;$U$9,MOD(INT(3871/$U$8),$U$7)+1,1)</f>
        <v/>
      </c>
      <c r="BP3884">
        <f>IF(3871&lt;$U$9,MOD(3871,$U$8)+1,1)</f>
        <v/>
      </c>
      <c r="BQ3884">
        <f>IF(3871&lt;$U$9,SUMPRODUCT(($D$10:$L$10&lt;&gt;"")*(($D$9:$L$9+INT(($S$12:$AA$12+INDEX($AJ$13:$AR$162,BN3884,0)+INDEX($AT$13:$BB$162,BO3884,0)+INDEX($BD$13:$BL$162,BP3884,0))/100))&gt;=$D$10:$L$10)),0)</f>
        <v/>
      </c>
      <c r="BR3884">
        <f>IF(3871&lt;$U$9,SUMPRODUCT(($D$10:$L$10&lt;&gt;"")*(($D$10:$L$10-($D$9:$L$9+INT(($S$12:$AA$12+INDEX($AJ$13:$AR$162,BN3884,0)+INDEX($AT$13:$BB$162,BO3884,0)+INDEX($BD$13:$BL$162,BP3884,0))/100)))&gt;0)*($D$10:$L$10-($D$9:$L$9+INT(($S$12:$AA$12+INDEX($AJ$13:$AR$162,BN3884,0)+INDEX($AT$13:$BB$162,BO3884,0)+INDEX($BD$13:$BL$162,BP3884,0))/100)))),0)</f>
        <v/>
      </c>
      <c r="BS3884">
        <f>IF(3871&lt;$U$9,SUMPRODUCT(($D$9:$L$9+INT(($S$12:$AA$12+INDEX($AJ$13:$AR$162,BN3884,0)+INDEX($AT$13:$BB$162,BO3884,0)+INDEX($BD$13:$BL$162,BP3884,0))/100))),0)</f>
        <v/>
      </c>
      <c r="BT3884">
        <f>IF(AND(3871&lt;$U$9,$W$5),BQ3884*1000000-MIN(BR3884,999)*1000+BS3884-3871/100000,-1000000000-3871)</f>
        <v/>
      </c>
    </row>
    <row r="3885">
      <c r="BN3885">
        <f>IF(3872&lt;$U$9,INT(3872/($U$7*$U$8))+1,1)</f>
        <v/>
      </c>
      <c r="BO3885">
        <f>IF(3872&lt;$U$9,MOD(INT(3872/$U$8),$U$7)+1,1)</f>
        <v/>
      </c>
      <c r="BP3885">
        <f>IF(3872&lt;$U$9,MOD(3872,$U$8)+1,1)</f>
        <v/>
      </c>
      <c r="BQ3885">
        <f>IF(3872&lt;$U$9,SUMPRODUCT(($D$10:$L$10&lt;&gt;"")*(($D$9:$L$9+INT(($S$12:$AA$12+INDEX($AJ$13:$AR$162,BN3885,0)+INDEX($AT$13:$BB$162,BO3885,0)+INDEX($BD$13:$BL$162,BP3885,0))/100))&gt;=$D$10:$L$10)),0)</f>
        <v/>
      </c>
      <c r="BR3885">
        <f>IF(3872&lt;$U$9,SUMPRODUCT(($D$10:$L$10&lt;&gt;"")*(($D$10:$L$10-($D$9:$L$9+INT(($S$12:$AA$12+INDEX($AJ$13:$AR$162,BN3885,0)+INDEX($AT$13:$BB$162,BO3885,0)+INDEX($BD$13:$BL$162,BP3885,0))/100)))&gt;0)*($D$10:$L$10-($D$9:$L$9+INT(($S$12:$AA$12+INDEX($AJ$13:$AR$162,BN3885,0)+INDEX($AT$13:$BB$162,BO3885,0)+INDEX($BD$13:$BL$162,BP3885,0))/100)))),0)</f>
        <v/>
      </c>
      <c r="BS3885">
        <f>IF(3872&lt;$U$9,SUMPRODUCT(($D$9:$L$9+INT(($S$12:$AA$12+INDEX($AJ$13:$AR$162,BN3885,0)+INDEX($AT$13:$BB$162,BO3885,0)+INDEX($BD$13:$BL$162,BP3885,0))/100))),0)</f>
        <v/>
      </c>
      <c r="BT3885">
        <f>IF(AND(3872&lt;$U$9,$W$5),BQ3885*1000000-MIN(BR3885,999)*1000+BS3885-3872/100000,-1000000000-3872)</f>
        <v/>
      </c>
    </row>
    <row r="3886">
      <c r="BN3886">
        <f>IF(3873&lt;$U$9,INT(3873/($U$7*$U$8))+1,1)</f>
        <v/>
      </c>
      <c r="BO3886">
        <f>IF(3873&lt;$U$9,MOD(INT(3873/$U$8),$U$7)+1,1)</f>
        <v/>
      </c>
      <c r="BP3886">
        <f>IF(3873&lt;$U$9,MOD(3873,$U$8)+1,1)</f>
        <v/>
      </c>
      <c r="BQ3886">
        <f>IF(3873&lt;$U$9,SUMPRODUCT(($D$10:$L$10&lt;&gt;"")*(($D$9:$L$9+INT(($S$12:$AA$12+INDEX($AJ$13:$AR$162,BN3886,0)+INDEX($AT$13:$BB$162,BO3886,0)+INDEX($BD$13:$BL$162,BP3886,0))/100))&gt;=$D$10:$L$10)),0)</f>
        <v/>
      </c>
      <c r="BR3886">
        <f>IF(3873&lt;$U$9,SUMPRODUCT(($D$10:$L$10&lt;&gt;"")*(($D$10:$L$10-($D$9:$L$9+INT(($S$12:$AA$12+INDEX($AJ$13:$AR$162,BN3886,0)+INDEX($AT$13:$BB$162,BO3886,0)+INDEX($BD$13:$BL$162,BP3886,0))/100)))&gt;0)*($D$10:$L$10-($D$9:$L$9+INT(($S$12:$AA$12+INDEX($AJ$13:$AR$162,BN3886,0)+INDEX($AT$13:$BB$162,BO3886,0)+INDEX($BD$13:$BL$162,BP3886,0))/100)))),0)</f>
        <v/>
      </c>
      <c r="BS3886">
        <f>IF(3873&lt;$U$9,SUMPRODUCT(($D$9:$L$9+INT(($S$12:$AA$12+INDEX($AJ$13:$AR$162,BN3886,0)+INDEX($AT$13:$BB$162,BO3886,0)+INDEX($BD$13:$BL$162,BP3886,0))/100))),0)</f>
        <v/>
      </c>
      <c r="BT3886">
        <f>IF(AND(3873&lt;$U$9,$W$5),BQ3886*1000000-MIN(BR3886,999)*1000+BS3886-3873/100000,-1000000000-3873)</f>
        <v/>
      </c>
    </row>
    <row r="3887">
      <c r="BN3887">
        <f>IF(3874&lt;$U$9,INT(3874/($U$7*$U$8))+1,1)</f>
        <v/>
      </c>
      <c r="BO3887">
        <f>IF(3874&lt;$U$9,MOD(INT(3874/$U$8),$U$7)+1,1)</f>
        <v/>
      </c>
      <c r="BP3887">
        <f>IF(3874&lt;$U$9,MOD(3874,$U$8)+1,1)</f>
        <v/>
      </c>
      <c r="BQ3887">
        <f>IF(3874&lt;$U$9,SUMPRODUCT(($D$10:$L$10&lt;&gt;"")*(($D$9:$L$9+INT(($S$12:$AA$12+INDEX($AJ$13:$AR$162,BN3887,0)+INDEX($AT$13:$BB$162,BO3887,0)+INDEX($BD$13:$BL$162,BP3887,0))/100))&gt;=$D$10:$L$10)),0)</f>
        <v/>
      </c>
      <c r="BR3887">
        <f>IF(3874&lt;$U$9,SUMPRODUCT(($D$10:$L$10&lt;&gt;"")*(($D$10:$L$10-($D$9:$L$9+INT(($S$12:$AA$12+INDEX($AJ$13:$AR$162,BN3887,0)+INDEX($AT$13:$BB$162,BO3887,0)+INDEX($BD$13:$BL$162,BP3887,0))/100)))&gt;0)*($D$10:$L$10-($D$9:$L$9+INT(($S$12:$AA$12+INDEX($AJ$13:$AR$162,BN3887,0)+INDEX($AT$13:$BB$162,BO3887,0)+INDEX($BD$13:$BL$162,BP3887,0))/100)))),0)</f>
        <v/>
      </c>
      <c r="BS3887">
        <f>IF(3874&lt;$U$9,SUMPRODUCT(($D$9:$L$9+INT(($S$12:$AA$12+INDEX($AJ$13:$AR$162,BN3887,0)+INDEX($AT$13:$BB$162,BO3887,0)+INDEX($BD$13:$BL$162,BP3887,0))/100))),0)</f>
        <v/>
      </c>
      <c r="BT3887">
        <f>IF(AND(3874&lt;$U$9,$W$5),BQ3887*1000000-MIN(BR3887,999)*1000+BS3887-3874/100000,-1000000000-3874)</f>
        <v/>
      </c>
    </row>
    <row r="3888">
      <c r="BN3888">
        <f>IF(3875&lt;$U$9,INT(3875/($U$7*$U$8))+1,1)</f>
        <v/>
      </c>
      <c r="BO3888">
        <f>IF(3875&lt;$U$9,MOD(INT(3875/$U$8),$U$7)+1,1)</f>
        <v/>
      </c>
      <c r="BP3888">
        <f>IF(3875&lt;$U$9,MOD(3875,$U$8)+1,1)</f>
        <v/>
      </c>
      <c r="BQ3888">
        <f>IF(3875&lt;$U$9,SUMPRODUCT(($D$10:$L$10&lt;&gt;"")*(($D$9:$L$9+INT(($S$12:$AA$12+INDEX($AJ$13:$AR$162,BN3888,0)+INDEX($AT$13:$BB$162,BO3888,0)+INDEX($BD$13:$BL$162,BP3888,0))/100))&gt;=$D$10:$L$10)),0)</f>
        <v/>
      </c>
      <c r="BR3888">
        <f>IF(3875&lt;$U$9,SUMPRODUCT(($D$10:$L$10&lt;&gt;"")*(($D$10:$L$10-($D$9:$L$9+INT(($S$12:$AA$12+INDEX($AJ$13:$AR$162,BN3888,0)+INDEX($AT$13:$BB$162,BO3888,0)+INDEX($BD$13:$BL$162,BP3888,0))/100)))&gt;0)*($D$10:$L$10-($D$9:$L$9+INT(($S$12:$AA$12+INDEX($AJ$13:$AR$162,BN3888,0)+INDEX($AT$13:$BB$162,BO3888,0)+INDEX($BD$13:$BL$162,BP3888,0))/100)))),0)</f>
        <v/>
      </c>
      <c r="BS3888">
        <f>IF(3875&lt;$U$9,SUMPRODUCT(($D$9:$L$9+INT(($S$12:$AA$12+INDEX($AJ$13:$AR$162,BN3888,0)+INDEX($AT$13:$BB$162,BO3888,0)+INDEX($BD$13:$BL$162,BP3888,0))/100))),0)</f>
        <v/>
      </c>
      <c r="BT3888">
        <f>IF(AND(3875&lt;$U$9,$W$5),BQ3888*1000000-MIN(BR3888,999)*1000+BS3888-3875/100000,-1000000000-3875)</f>
        <v/>
      </c>
    </row>
    <row r="3889">
      <c r="BN3889">
        <f>IF(3876&lt;$U$9,INT(3876/($U$7*$U$8))+1,1)</f>
        <v/>
      </c>
      <c r="BO3889">
        <f>IF(3876&lt;$U$9,MOD(INT(3876/$U$8),$U$7)+1,1)</f>
        <v/>
      </c>
      <c r="BP3889">
        <f>IF(3876&lt;$U$9,MOD(3876,$U$8)+1,1)</f>
        <v/>
      </c>
      <c r="BQ3889">
        <f>IF(3876&lt;$U$9,SUMPRODUCT(($D$10:$L$10&lt;&gt;"")*(($D$9:$L$9+INT(($S$12:$AA$12+INDEX($AJ$13:$AR$162,BN3889,0)+INDEX($AT$13:$BB$162,BO3889,0)+INDEX($BD$13:$BL$162,BP3889,0))/100))&gt;=$D$10:$L$10)),0)</f>
        <v/>
      </c>
      <c r="BR3889">
        <f>IF(3876&lt;$U$9,SUMPRODUCT(($D$10:$L$10&lt;&gt;"")*(($D$10:$L$10-($D$9:$L$9+INT(($S$12:$AA$12+INDEX($AJ$13:$AR$162,BN3889,0)+INDEX($AT$13:$BB$162,BO3889,0)+INDEX($BD$13:$BL$162,BP3889,0))/100)))&gt;0)*($D$10:$L$10-($D$9:$L$9+INT(($S$12:$AA$12+INDEX($AJ$13:$AR$162,BN3889,0)+INDEX($AT$13:$BB$162,BO3889,0)+INDEX($BD$13:$BL$162,BP3889,0))/100)))),0)</f>
        <v/>
      </c>
      <c r="BS3889">
        <f>IF(3876&lt;$U$9,SUMPRODUCT(($D$9:$L$9+INT(($S$12:$AA$12+INDEX($AJ$13:$AR$162,BN3889,0)+INDEX($AT$13:$BB$162,BO3889,0)+INDEX($BD$13:$BL$162,BP3889,0))/100))),0)</f>
        <v/>
      </c>
      <c r="BT3889">
        <f>IF(AND(3876&lt;$U$9,$W$5),BQ3889*1000000-MIN(BR3889,999)*1000+BS3889-3876/100000,-1000000000-3876)</f>
        <v/>
      </c>
    </row>
    <row r="3890">
      <c r="BN3890">
        <f>IF(3877&lt;$U$9,INT(3877/($U$7*$U$8))+1,1)</f>
        <v/>
      </c>
      <c r="BO3890">
        <f>IF(3877&lt;$U$9,MOD(INT(3877/$U$8),$U$7)+1,1)</f>
        <v/>
      </c>
      <c r="BP3890">
        <f>IF(3877&lt;$U$9,MOD(3877,$U$8)+1,1)</f>
        <v/>
      </c>
      <c r="BQ3890">
        <f>IF(3877&lt;$U$9,SUMPRODUCT(($D$10:$L$10&lt;&gt;"")*(($D$9:$L$9+INT(($S$12:$AA$12+INDEX($AJ$13:$AR$162,BN3890,0)+INDEX($AT$13:$BB$162,BO3890,0)+INDEX($BD$13:$BL$162,BP3890,0))/100))&gt;=$D$10:$L$10)),0)</f>
        <v/>
      </c>
      <c r="BR3890">
        <f>IF(3877&lt;$U$9,SUMPRODUCT(($D$10:$L$10&lt;&gt;"")*(($D$10:$L$10-($D$9:$L$9+INT(($S$12:$AA$12+INDEX($AJ$13:$AR$162,BN3890,0)+INDEX($AT$13:$BB$162,BO3890,0)+INDEX($BD$13:$BL$162,BP3890,0))/100)))&gt;0)*($D$10:$L$10-($D$9:$L$9+INT(($S$12:$AA$12+INDEX($AJ$13:$AR$162,BN3890,0)+INDEX($AT$13:$BB$162,BO3890,0)+INDEX($BD$13:$BL$162,BP3890,0))/100)))),0)</f>
        <v/>
      </c>
      <c r="BS3890">
        <f>IF(3877&lt;$U$9,SUMPRODUCT(($D$9:$L$9+INT(($S$12:$AA$12+INDEX($AJ$13:$AR$162,BN3890,0)+INDEX($AT$13:$BB$162,BO3890,0)+INDEX($BD$13:$BL$162,BP3890,0))/100))),0)</f>
        <v/>
      </c>
      <c r="BT3890">
        <f>IF(AND(3877&lt;$U$9,$W$5),BQ3890*1000000-MIN(BR3890,999)*1000+BS3890-3877/100000,-1000000000-3877)</f>
        <v/>
      </c>
    </row>
    <row r="3891">
      <c r="BN3891">
        <f>IF(3878&lt;$U$9,INT(3878/($U$7*$U$8))+1,1)</f>
        <v/>
      </c>
      <c r="BO3891">
        <f>IF(3878&lt;$U$9,MOD(INT(3878/$U$8),$U$7)+1,1)</f>
        <v/>
      </c>
      <c r="BP3891">
        <f>IF(3878&lt;$U$9,MOD(3878,$U$8)+1,1)</f>
        <v/>
      </c>
      <c r="BQ3891">
        <f>IF(3878&lt;$U$9,SUMPRODUCT(($D$10:$L$10&lt;&gt;"")*(($D$9:$L$9+INT(($S$12:$AA$12+INDEX($AJ$13:$AR$162,BN3891,0)+INDEX($AT$13:$BB$162,BO3891,0)+INDEX($BD$13:$BL$162,BP3891,0))/100))&gt;=$D$10:$L$10)),0)</f>
        <v/>
      </c>
      <c r="BR3891">
        <f>IF(3878&lt;$U$9,SUMPRODUCT(($D$10:$L$10&lt;&gt;"")*(($D$10:$L$10-($D$9:$L$9+INT(($S$12:$AA$12+INDEX($AJ$13:$AR$162,BN3891,0)+INDEX($AT$13:$BB$162,BO3891,0)+INDEX($BD$13:$BL$162,BP3891,0))/100)))&gt;0)*($D$10:$L$10-($D$9:$L$9+INT(($S$12:$AA$12+INDEX($AJ$13:$AR$162,BN3891,0)+INDEX($AT$13:$BB$162,BO3891,0)+INDEX($BD$13:$BL$162,BP3891,0))/100)))),0)</f>
        <v/>
      </c>
      <c r="BS3891">
        <f>IF(3878&lt;$U$9,SUMPRODUCT(($D$9:$L$9+INT(($S$12:$AA$12+INDEX($AJ$13:$AR$162,BN3891,0)+INDEX($AT$13:$BB$162,BO3891,0)+INDEX($BD$13:$BL$162,BP3891,0))/100))),0)</f>
        <v/>
      </c>
      <c r="BT3891">
        <f>IF(AND(3878&lt;$U$9,$W$5),BQ3891*1000000-MIN(BR3891,999)*1000+BS3891-3878/100000,-1000000000-3878)</f>
        <v/>
      </c>
    </row>
    <row r="3892">
      <c r="BN3892">
        <f>IF(3879&lt;$U$9,INT(3879/($U$7*$U$8))+1,1)</f>
        <v/>
      </c>
      <c r="BO3892">
        <f>IF(3879&lt;$U$9,MOD(INT(3879/$U$8),$U$7)+1,1)</f>
        <v/>
      </c>
      <c r="BP3892">
        <f>IF(3879&lt;$U$9,MOD(3879,$U$8)+1,1)</f>
        <v/>
      </c>
      <c r="BQ3892">
        <f>IF(3879&lt;$U$9,SUMPRODUCT(($D$10:$L$10&lt;&gt;"")*(($D$9:$L$9+INT(($S$12:$AA$12+INDEX($AJ$13:$AR$162,BN3892,0)+INDEX($AT$13:$BB$162,BO3892,0)+INDEX($BD$13:$BL$162,BP3892,0))/100))&gt;=$D$10:$L$10)),0)</f>
        <v/>
      </c>
      <c r="BR3892">
        <f>IF(3879&lt;$U$9,SUMPRODUCT(($D$10:$L$10&lt;&gt;"")*(($D$10:$L$10-($D$9:$L$9+INT(($S$12:$AA$12+INDEX($AJ$13:$AR$162,BN3892,0)+INDEX($AT$13:$BB$162,BO3892,0)+INDEX($BD$13:$BL$162,BP3892,0))/100)))&gt;0)*($D$10:$L$10-($D$9:$L$9+INT(($S$12:$AA$12+INDEX($AJ$13:$AR$162,BN3892,0)+INDEX($AT$13:$BB$162,BO3892,0)+INDEX($BD$13:$BL$162,BP3892,0))/100)))),0)</f>
        <v/>
      </c>
      <c r="BS3892">
        <f>IF(3879&lt;$U$9,SUMPRODUCT(($D$9:$L$9+INT(($S$12:$AA$12+INDEX($AJ$13:$AR$162,BN3892,0)+INDEX($AT$13:$BB$162,BO3892,0)+INDEX($BD$13:$BL$162,BP3892,0))/100))),0)</f>
        <v/>
      </c>
      <c r="BT3892">
        <f>IF(AND(3879&lt;$U$9,$W$5),BQ3892*1000000-MIN(BR3892,999)*1000+BS3892-3879/100000,-1000000000-3879)</f>
        <v/>
      </c>
    </row>
    <row r="3893">
      <c r="BN3893">
        <f>IF(3880&lt;$U$9,INT(3880/($U$7*$U$8))+1,1)</f>
        <v/>
      </c>
      <c r="BO3893">
        <f>IF(3880&lt;$U$9,MOD(INT(3880/$U$8),$U$7)+1,1)</f>
        <v/>
      </c>
      <c r="BP3893">
        <f>IF(3880&lt;$U$9,MOD(3880,$U$8)+1,1)</f>
        <v/>
      </c>
      <c r="BQ3893">
        <f>IF(3880&lt;$U$9,SUMPRODUCT(($D$10:$L$10&lt;&gt;"")*(($D$9:$L$9+INT(($S$12:$AA$12+INDEX($AJ$13:$AR$162,BN3893,0)+INDEX($AT$13:$BB$162,BO3893,0)+INDEX($BD$13:$BL$162,BP3893,0))/100))&gt;=$D$10:$L$10)),0)</f>
        <v/>
      </c>
      <c r="BR3893">
        <f>IF(3880&lt;$U$9,SUMPRODUCT(($D$10:$L$10&lt;&gt;"")*(($D$10:$L$10-($D$9:$L$9+INT(($S$12:$AA$12+INDEX($AJ$13:$AR$162,BN3893,0)+INDEX($AT$13:$BB$162,BO3893,0)+INDEX($BD$13:$BL$162,BP3893,0))/100)))&gt;0)*($D$10:$L$10-($D$9:$L$9+INT(($S$12:$AA$12+INDEX($AJ$13:$AR$162,BN3893,0)+INDEX($AT$13:$BB$162,BO3893,0)+INDEX($BD$13:$BL$162,BP3893,0))/100)))),0)</f>
        <v/>
      </c>
      <c r="BS3893">
        <f>IF(3880&lt;$U$9,SUMPRODUCT(($D$9:$L$9+INT(($S$12:$AA$12+INDEX($AJ$13:$AR$162,BN3893,0)+INDEX($AT$13:$BB$162,BO3893,0)+INDEX($BD$13:$BL$162,BP3893,0))/100))),0)</f>
        <v/>
      </c>
      <c r="BT3893">
        <f>IF(AND(3880&lt;$U$9,$W$5),BQ3893*1000000-MIN(BR3893,999)*1000+BS3893-3880/100000,-1000000000-3880)</f>
        <v/>
      </c>
    </row>
    <row r="3894">
      <c r="BN3894">
        <f>IF(3881&lt;$U$9,INT(3881/($U$7*$U$8))+1,1)</f>
        <v/>
      </c>
      <c r="BO3894">
        <f>IF(3881&lt;$U$9,MOD(INT(3881/$U$8),$U$7)+1,1)</f>
        <v/>
      </c>
      <c r="BP3894">
        <f>IF(3881&lt;$U$9,MOD(3881,$U$8)+1,1)</f>
        <v/>
      </c>
      <c r="BQ3894">
        <f>IF(3881&lt;$U$9,SUMPRODUCT(($D$10:$L$10&lt;&gt;"")*(($D$9:$L$9+INT(($S$12:$AA$12+INDEX($AJ$13:$AR$162,BN3894,0)+INDEX($AT$13:$BB$162,BO3894,0)+INDEX($BD$13:$BL$162,BP3894,0))/100))&gt;=$D$10:$L$10)),0)</f>
        <v/>
      </c>
      <c r="BR3894">
        <f>IF(3881&lt;$U$9,SUMPRODUCT(($D$10:$L$10&lt;&gt;"")*(($D$10:$L$10-($D$9:$L$9+INT(($S$12:$AA$12+INDEX($AJ$13:$AR$162,BN3894,0)+INDEX($AT$13:$BB$162,BO3894,0)+INDEX($BD$13:$BL$162,BP3894,0))/100)))&gt;0)*($D$10:$L$10-($D$9:$L$9+INT(($S$12:$AA$12+INDEX($AJ$13:$AR$162,BN3894,0)+INDEX($AT$13:$BB$162,BO3894,0)+INDEX($BD$13:$BL$162,BP3894,0))/100)))),0)</f>
        <v/>
      </c>
      <c r="BS3894">
        <f>IF(3881&lt;$U$9,SUMPRODUCT(($D$9:$L$9+INT(($S$12:$AA$12+INDEX($AJ$13:$AR$162,BN3894,0)+INDEX($AT$13:$BB$162,BO3894,0)+INDEX($BD$13:$BL$162,BP3894,0))/100))),0)</f>
        <v/>
      </c>
      <c r="BT3894">
        <f>IF(AND(3881&lt;$U$9,$W$5),BQ3894*1000000-MIN(BR3894,999)*1000+BS3894-3881/100000,-1000000000-3881)</f>
        <v/>
      </c>
    </row>
    <row r="3895">
      <c r="BN3895">
        <f>IF(3882&lt;$U$9,INT(3882/($U$7*$U$8))+1,1)</f>
        <v/>
      </c>
      <c r="BO3895">
        <f>IF(3882&lt;$U$9,MOD(INT(3882/$U$8),$U$7)+1,1)</f>
        <v/>
      </c>
      <c r="BP3895">
        <f>IF(3882&lt;$U$9,MOD(3882,$U$8)+1,1)</f>
        <v/>
      </c>
      <c r="BQ3895">
        <f>IF(3882&lt;$U$9,SUMPRODUCT(($D$10:$L$10&lt;&gt;"")*(($D$9:$L$9+INT(($S$12:$AA$12+INDEX($AJ$13:$AR$162,BN3895,0)+INDEX($AT$13:$BB$162,BO3895,0)+INDEX($BD$13:$BL$162,BP3895,0))/100))&gt;=$D$10:$L$10)),0)</f>
        <v/>
      </c>
      <c r="BR3895">
        <f>IF(3882&lt;$U$9,SUMPRODUCT(($D$10:$L$10&lt;&gt;"")*(($D$10:$L$10-($D$9:$L$9+INT(($S$12:$AA$12+INDEX($AJ$13:$AR$162,BN3895,0)+INDEX($AT$13:$BB$162,BO3895,0)+INDEX($BD$13:$BL$162,BP3895,0))/100)))&gt;0)*($D$10:$L$10-($D$9:$L$9+INT(($S$12:$AA$12+INDEX($AJ$13:$AR$162,BN3895,0)+INDEX($AT$13:$BB$162,BO3895,0)+INDEX($BD$13:$BL$162,BP3895,0))/100)))),0)</f>
        <v/>
      </c>
      <c r="BS3895">
        <f>IF(3882&lt;$U$9,SUMPRODUCT(($D$9:$L$9+INT(($S$12:$AA$12+INDEX($AJ$13:$AR$162,BN3895,0)+INDEX($AT$13:$BB$162,BO3895,0)+INDEX($BD$13:$BL$162,BP3895,0))/100))),0)</f>
        <v/>
      </c>
      <c r="BT3895">
        <f>IF(AND(3882&lt;$U$9,$W$5),BQ3895*1000000-MIN(BR3895,999)*1000+BS3895-3882/100000,-1000000000-3882)</f>
        <v/>
      </c>
    </row>
    <row r="3896">
      <c r="BN3896">
        <f>IF(3883&lt;$U$9,INT(3883/($U$7*$U$8))+1,1)</f>
        <v/>
      </c>
      <c r="BO3896">
        <f>IF(3883&lt;$U$9,MOD(INT(3883/$U$8),$U$7)+1,1)</f>
        <v/>
      </c>
      <c r="BP3896">
        <f>IF(3883&lt;$U$9,MOD(3883,$U$8)+1,1)</f>
        <v/>
      </c>
      <c r="BQ3896">
        <f>IF(3883&lt;$U$9,SUMPRODUCT(($D$10:$L$10&lt;&gt;"")*(($D$9:$L$9+INT(($S$12:$AA$12+INDEX($AJ$13:$AR$162,BN3896,0)+INDEX($AT$13:$BB$162,BO3896,0)+INDEX($BD$13:$BL$162,BP3896,0))/100))&gt;=$D$10:$L$10)),0)</f>
        <v/>
      </c>
      <c r="BR3896">
        <f>IF(3883&lt;$U$9,SUMPRODUCT(($D$10:$L$10&lt;&gt;"")*(($D$10:$L$10-($D$9:$L$9+INT(($S$12:$AA$12+INDEX($AJ$13:$AR$162,BN3896,0)+INDEX($AT$13:$BB$162,BO3896,0)+INDEX($BD$13:$BL$162,BP3896,0))/100)))&gt;0)*($D$10:$L$10-($D$9:$L$9+INT(($S$12:$AA$12+INDEX($AJ$13:$AR$162,BN3896,0)+INDEX($AT$13:$BB$162,BO3896,0)+INDEX($BD$13:$BL$162,BP3896,0))/100)))),0)</f>
        <v/>
      </c>
      <c r="BS3896">
        <f>IF(3883&lt;$U$9,SUMPRODUCT(($D$9:$L$9+INT(($S$12:$AA$12+INDEX($AJ$13:$AR$162,BN3896,0)+INDEX($AT$13:$BB$162,BO3896,0)+INDEX($BD$13:$BL$162,BP3896,0))/100))),0)</f>
        <v/>
      </c>
      <c r="BT3896">
        <f>IF(AND(3883&lt;$U$9,$W$5),BQ3896*1000000-MIN(BR3896,999)*1000+BS3896-3883/100000,-1000000000-3883)</f>
        <v/>
      </c>
    </row>
    <row r="3897">
      <c r="BN3897">
        <f>IF(3884&lt;$U$9,INT(3884/($U$7*$U$8))+1,1)</f>
        <v/>
      </c>
      <c r="BO3897">
        <f>IF(3884&lt;$U$9,MOD(INT(3884/$U$8),$U$7)+1,1)</f>
        <v/>
      </c>
      <c r="BP3897">
        <f>IF(3884&lt;$U$9,MOD(3884,$U$8)+1,1)</f>
        <v/>
      </c>
      <c r="BQ3897">
        <f>IF(3884&lt;$U$9,SUMPRODUCT(($D$10:$L$10&lt;&gt;"")*(($D$9:$L$9+INT(($S$12:$AA$12+INDEX($AJ$13:$AR$162,BN3897,0)+INDEX($AT$13:$BB$162,BO3897,0)+INDEX($BD$13:$BL$162,BP3897,0))/100))&gt;=$D$10:$L$10)),0)</f>
        <v/>
      </c>
      <c r="BR3897">
        <f>IF(3884&lt;$U$9,SUMPRODUCT(($D$10:$L$10&lt;&gt;"")*(($D$10:$L$10-($D$9:$L$9+INT(($S$12:$AA$12+INDEX($AJ$13:$AR$162,BN3897,0)+INDEX($AT$13:$BB$162,BO3897,0)+INDEX($BD$13:$BL$162,BP3897,0))/100)))&gt;0)*($D$10:$L$10-($D$9:$L$9+INT(($S$12:$AA$12+INDEX($AJ$13:$AR$162,BN3897,0)+INDEX($AT$13:$BB$162,BO3897,0)+INDEX($BD$13:$BL$162,BP3897,0))/100)))),0)</f>
        <v/>
      </c>
      <c r="BS3897">
        <f>IF(3884&lt;$U$9,SUMPRODUCT(($D$9:$L$9+INT(($S$12:$AA$12+INDEX($AJ$13:$AR$162,BN3897,0)+INDEX($AT$13:$BB$162,BO3897,0)+INDEX($BD$13:$BL$162,BP3897,0))/100))),0)</f>
        <v/>
      </c>
      <c r="BT3897">
        <f>IF(AND(3884&lt;$U$9,$W$5),BQ3897*1000000-MIN(BR3897,999)*1000+BS3897-3884/100000,-1000000000-3884)</f>
        <v/>
      </c>
    </row>
    <row r="3898">
      <c r="BN3898">
        <f>IF(3885&lt;$U$9,INT(3885/($U$7*$U$8))+1,1)</f>
        <v/>
      </c>
      <c r="BO3898">
        <f>IF(3885&lt;$U$9,MOD(INT(3885/$U$8),$U$7)+1,1)</f>
        <v/>
      </c>
      <c r="BP3898">
        <f>IF(3885&lt;$U$9,MOD(3885,$U$8)+1,1)</f>
        <v/>
      </c>
      <c r="BQ3898">
        <f>IF(3885&lt;$U$9,SUMPRODUCT(($D$10:$L$10&lt;&gt;"")*(($D$9:$L$9+INT(($S$12:$AA$12+INDEX($AJ$13:$AR$162,BN3898,0)+INDEX($AT$13:$BB$162,BO3898,0)+INDEX($BD$13:$BL$162,BP3898,0))/100))&gt;=$D$10:$L$10)),0)</f>
        <v/>
      </c>
      <c r="BR3898">
        <f>IF(3885&lt;$U$9,SUMPRODUCT(($D$10:$L$10&lt;&gt;"")*(($D$10:$L$10-($D$9:$L$9+INT(($S$12:$AA$12+INDEX($AJ$13:$AR$162,BN3898,0)+INDEX($AT$13:$BB$162,BO3898,0)+INDEX($BD$13:$BL$162,BP3898,0))/100)))&gt;0)*($D$10:$L$10-($D$9:$L$9+INT(($S$12:$AA$12+INDEX($AJ$13:$AR$162,BN3898,0)+INDEX($AT$13:$BB$162,BO3898,0)+INDEX($BD$13:$BL$162,BP3898,0))/100)))),0)</f>
        <v/>
      </c>
      <c r="BS3898">
        <f>IF(3885&lt;$U$9,SUMPRODUCT(($D$9:$L$9+INT(($S$12:$AA$12+INDEX($AJ$13:$AR$162,BN3898,0)+INDEX($AT$13:$BB$162,BO3898,0)+INDEX($BD$13:$BL$162,BP3898,0))/100))),0)</f>
        <v/>
      </c>
      <c r="BT3898">
        <f>IF(AND(3885&lt;$U$9,$W$5),BQ3898*1000000-MIN(BR3898,999)*1000+BS3898-3885/100000,-1000000000-3885)</f>
        <v/>
      </c>
    </row>
    <row r="3899">
      <c r="BN3899">
        <f>IF(3886&lt;$U$9,INT(3886/($U$7*$U$8))+1,1)</f>
        <v/>
      </c>
      <c r="BO3899">
        <f>IF(3886&lt;$U$9,MOD(INT(3886/$U$8),$U$7)+1,1)</f>
        <v/>
      </c>
      <c r="BP3899">
        <f>IF(3886&lt;$U$9,MOD(3886,$U$8)+1,1)</f>
        <v/>
      </c>
      <c r="BQ3899">
        <f>IF(3886&lt;$U$9,SUMPRODUCT(($D$10:$L$10&lt;&gt;"")*(($D$9:$L$9+INT(($S$12:$AA$12+INDEX($AJ$13:$AR$162,BN3899,0)+INDEX($AT$13:$BB$162,BO3899,0)+INDEX($BD$13:$BL$162,BP3899,0))/100))&gt;=$D$10:$L$10)),0)</f>
        <v/>
      </c>
      <c r="BR3899">
        <f>IF(3886&lt;$U$9,SUMPRODUCT(($D$10:$L$10&lt;&gt;"")*(($D$10:$L$10-($D$9:$L$9+INT(($S$12:$AA$12+INDEX($AJ$13:$AR$162,BN3899,0)+INDEX($AT$13:$BB$162,BO3899,0)+INDEX($BD$13:$BL$162,BP3899,0))/100)))&gt;0)*($D$10:$L$10-($D$9:$L$9+INT(($S$12:$AA$12+INDEX($AJ$13:$AR$162,BN3899,0)+INDEX($AT$13:$BB$162,BO3899,0)+INDEX($BD$13:$BL$162,BP3899,0))/100)))),0)</f>
        <v/>
      </c>
      <c r="BS3899">
        <f>IF(3886&lt;$U$9,SUMPRODUCT(($D$9:$L$9+INT(($S$12:$AA$12+INDEX($AJ$13:$AR$162,BN3899,0)+INDEX($AT$13:$BB$162,BO3899,0)+INDEX($BD$13:$BL$162,BP3899,0))/100))),0)</f>
        <v/>
      </c>
      <c r="BT3899">
        <f>IF(AND(3886&lt;$U$9,$W$5),BQ3899*1000000-MIN(BR3899,999)*1000+BS3899-3886/100000,-1000000000-3886)</f>
        <v/>
      </c>
    </row>
    <row r="3900">
      <c r="BN3900">
        <f>IF(3887&lt;$U$9,INT(3887/($U$7*$U$8))+1,1)</f>
        <v/>
      </c>
      <c r="BO3900">
        <f>IF(3887&lt;$U$9,MOD(INT(3887/$U$8),$U$7)+1,1)</f>
        <v/>
      </c>
      <c r="BP3900">
        <f>IF(3887&lt;$U$9,MOD(3887,$U$8)+1,1)</f>
        <v/>
      </c>
      <c r="BQ3900">
        <f>IF(3887&lt;$U$9,SUMPRODUCT(($D$10:$L$10&lt;&gt;"")*(($D$9:$L$9+INT(($S$12:$AA$12+INDEX($AJ$13:$AR$162,BN3900,0)+INDEX($AT$13:$BB$162,BO3900,0)+INDEX($BD$13:$BL$162,BP3900,0))/100))&gt;=$D$10:$L$10)),0)</f>
        <v/>
      </c>
      <c r="BR3900">
        <f>IF(3887&lt;$U$9,SUMPRODUCT(($D$10:$L$10&lt;&gt;"")*(($D$10:$L$10-($D$9:$L$9+INT(($S$12:$AA$12+INDEX($AJ$13:$AR$162,BN3900,0)+INDEX($AT$13:$BB$162,BO3900,0)+INDEX($BD$13:$BL$162,BP3900,0))/100)))&gt;0)*($D$10:$L$10-($D$9:$L$9+INT(($S$12:$AA$12+INDEX($AJ$13:$AR$162,BN3900,0)+INDEX($AT$13:$BB$162,BO3900,0)+INDEX($BD$13:$BL$162,BP3900,0))/100)))),0)</f>
        <v/>
      </c>
      <c r="BS3900">
        <f>IF(3887&lt;$U$9,SUMPRODUCT(($D$9:$L$9+INT(($S$12:$AA$12+INDEX($AJ$13:$AR$162,BN3900,0)+INDEX($AT$13:$BB$162,BO3900,0)+INDEX($BD$13:$BL$162,BP3900,0))/100))),0)</f>
        <v/>
      </c>
      <c r="BT3900">
        <f>IF(AND(3887&lt;$U$9,$W$5),BQ3900*1000000-MIN(BR3900,999)*1000+BS3900-3887/100000,-1000000000-3887)</f>
        <v/>
      </c>
    </row>
    <row r="3901">
      <c r="BN3901">
        <f>IF(3888&lt;$U$9,INT(3888/($U$7*$U$8))+1,1)</f>
        <v/>
      </c>
      <c r="BO3901">
        <f>IF(3888&lt;$U$9,MOD(INT(3888/$U$8),$U$7)+1,1)</f>
        <v/>
      </c>
      <c r="BP3901">
        <f>IF(3888&lt;$U$9,MOD(3888,$U$8)+1,1)</f>
        <v/>
      </c>
      <c r="BQ3901">
        <f>IF(3888&lt;$U$9,SUMPRODUCT(($D$10:$L$10&lt;&gt;"")*(($D$9:$L$9+INT(($S$12:$AA$12+INDEX($AJ$13:$AR$162,BN3901,0)+INDEX($AT$13:$BB$162,BO3901,0)+INDEX($BD$13:$BL$162,BP3901,0))/100))&gt;=$D$10:$L$10)),0)</f>
        <v/>
      </c>
      <c r="BR3901">
        <f>IF(3888&lt;$U$9,SUMPRODUCT(($D$10:$L$10&lt;&gt;"")*(($D$10:$L$10-($D$9:$L$9+INT(($S$12:$AA$12+INDEX($AJ$13:$AR$162,BN3901,0)+INDEX($AT$13:$BB$162,BO3901,0)+INDEX($BD$13:$BL$162,BP3901,0))/100)))&gt;0)*($D$10:$L$10-($D$9:$L$9+INT(($S$12:$AA$12+INDEX($AJ$13:$AR$162,BN3901,0)+INDEX($AT$13:$BB$162,BO3901,0)+INDEX($BD$13:$BL$162,BP3901,0))/100)))),0)</f>
        <v/>
      </c>
      <c r="BS3901">
        <f>IF(3888&lt;$U$9,SUMPRODUCT(($D$9:$L$9+INT(($S$12:$AA$12+INDEX($AJ$13:$AR$162,BN3901,0)+INDEX($AT$13:$BB$162,BO3901,0)+INDEX($BD$13:$BL$162,BP3901,0))/100))),0)</f>
        <v/>
      </c>
      <c r="BT3901">
        <f>IF(AND(3888&lt;$U$9,$W$5),BQ3901*1000000-MIN(BR3901,999)*1000+BS3901-3888/100000,-1000000000-3888)</f>
        <v/>
      </c>
    </row>
    <row r="3902">
      <c r="BN3902">
        <f>IF(3889&lt;$U$9,INT(3889/($U$7*$U$8))+1,1)</f>
        <v/>
      </c>
      <c r="BO3902">
        <f>IF(3889&lt;$U$9,MOD(INT(3889/$U$8),$U$7)+1,1)</f>
        <v/>
      </c>
      <c r="BP3902">
        <f>IF(3889&lt;$U$9,MOD(3889,$U$8)+1,1)</f>
        <v/>
      </c>
      <c r="BQ3902">
        <f>IF(3889&lt;$U$9,SUMPRODUCT(($D$10:$L$10&lt;&gt;"")*(($D$9:$L$9+INT(($S$12:$AA$12+INDEX($AJ$13:$AR$162,BN3902,0)+INDEX($AT$13:$BB$162,BO3902,0)+INDEX($BD$13:$BL$162,BP3902,0))/100))&gt;=$D$10:$L$10)),0)</f>
        <v/>
      </c>
      <c r="BR3902">
        <f>IF(3889&lt;$U$9,SUMPRODUCT(($D$10:$L$10&lt;&gt;"")*(($D$10:$L$10-($D$9:$L$9+INT(($S$12:$AA$12+INDEX($AJ$13:$AR$162,BN3902,0)+INDEX($AT$13:$BB$162,BO3902,0)+INDEX($BD$13:$BL$162,BP3902,0))/100)))&gt;0)*($D$10:$L$10-($D$9:$L$9+INT(($S$12:$AA$12+INDEX($AJ$13:$AR$162,BN3902,0)+INDEX($AT$13:$BB$162,BO3902,0)+INDEX($BD$13:$BL$162,BP3902,0))/100)))),0)</f>
        <v/>
      </c>
      <c r="BS3902">
        <f>IF(3889&lt;$U$9,SUMPRODUCT(($D$9:$L$9+INT(($S$12:$AA$12+INDEX($AJ$13:$AR$162,BN3902,0)+INDEX($AT$13:$BB$162,BO3902,0)+INDEX($BD$13:$BL$162,BP3902,0))/100))),0)</f>
        <v/>
      </c>
      <c r="BT3902">
        <f>IF(AND(3889&lt;$U$9,$W$5),BQ3902*1000000-MIN(BR3902,999)*1000+BS3902-3889/100000,-1000000000-3889)</f>
        <v/>
      </c>
    </row>
    <row r="3903">
      <c r="BN3903">
        <f>IF(3890&lt;$U$9,INT(3890/($U$7*$U$8))+1,1)</f>
        <v/>
      </c>
      <c r="BO3903">
        <f>IF(3890&lt;$U$9,MOD(INT(3890/$U$8),$U$7)+1,1)</f>
        <v/>
      </c>
      <c r="BP3903">
        <f>IF(3890&lt;$U$9,MOD(3890,$U$8)+1,1)</f>
        <v/>
      </c>
      <c r="BQ3903">
        <f>IF(3890&lt;$U$9,SUMPRODUCT(($D$10:$L$10&lt;&gt;"")*(($D$9:$L$9+INT(($S$12:$AA$12+INDEX($AJ$13:$AR$162,BN3903,0)+INDEX($AT$13:$BB$162,BO3903,0)+INDEX($BD$13:$BL$162,BP3903,0))/100))&gt;=$D$10:$L$10)),0)</f>
        <v/>
      </c>
      <c r="BR3903">
        <f>IF(3890&lt;$U$9,SUMPRODUCT(($D$10:$L$10&lt;&gt;"")*(($D$10:$L$10-($D$9:$L$9+INT(($S$12:$AA$12+INDEX($AJ$13:$AR$162,BN3903,0)+INDEX($AT$13:$BB$162,BO3903,0)+INDEX($BD$13:$BL$162,BP3903,0))/100)))&gt;0)*($D$10:$L$10-($D$9:$L$9+INT(($S$12:$AA$12+INDEX($AJ$13:$AR$162,BN3903,0)+INDEX($AT$13:$BB$162,BO3903,0)+INDEX($BD$13:$BL$162,BP3903,0))/100)))),0)</f>
        <v/>
      </c>
      <c r="BS3903">
        <f>IF(3890&lt;$U$9,SUMPRODUCT(($D$9:$L$9+INT(($S$12:$AA$12+INDEX($AJ$13:$AR$162,BN3903,0)+INDEX($AT$13:$BB$162,BO3903,0)+INDEX($BD$13:$BL$162,BP3903,0))/100))),0)</f>
        <v/>
      </c>
      <c r="BT3903">
        <f>IF(AND(3890&lt;$U$9,$W$5),BQ3903*1000000-MIN(BR3903,999)*1000+BS3903-3890/100000,-1000000000-3890)</f>
        <v/>
      </c>
    </row>
    <row r="3904">
      <c r="BN3904">
        <f>IF(3891&lt;$U$9,INT(3891/($U$7*$U$8))+1,1)</f>
        <v/>
      </c>
      <c r="BO3904">
        <f>IF(3891&lt;$U$9,MOD(INT(3891/$U$8),$U$7)+1,1)</f>
        <v/>
      </c>
      <c r="BP3904">
        <f>IF(3891&lt;$U$9,MOD(3891,$U$8)+1,1)</f>
        <v/>
      </c>
      <c r="BQ3904">
        <f>IF(3891&lt;$U$9,SUMPRODUCT(($D$10:$L$10&lt;&gt;"")*(($D$9:$L$9+INT(($S$12:$AA$12+INDEX($AJ$13:$AR$162,BN3904,0)+INDEX($AT$13:$BB$162,BO3904,0)+INDEX($BD$13:$BL$162,BP3904,0))/100))&gt;=$D$10:$L$10)),0)</f>
        <v/>
      </c>
      <c r="BR3904">
        <f>IF(3891&lt;$U$9,SUMPRODUCT(($D$10:$L$10&lt;&gt;"")*(($D$10:$L$10-($D$9:$L$9+INT(($S$12:$AA$12+INDEX($AJ$13:$AR$162,BN3904,0)+INDEX($AT$13:$BB$162,BO3904,0)+INDEX($BD$13:$BL$162,BP3904,0))/100)))&gt;0)*($D$10:$L$10-($D$9:$L$9+INT(($S$12:$AA$12+INDEX($AJ$13:$AR$162,BN3904,0)+INDEX($AT$13:$BB$162,BO3904,0)+INDEX($BD$13:$BL$162,BP3904,0))/100)))),0)</f>
        <v/>
      </c>
      <c r="BS3904">
        <f>IF(3891&lt;$U$9,SUMPRODUCT(($D$9:$L$9+INT(($S$12:$AA$12+INDEX($AJ$13:$AR$162,BN3904,0)+INDEX($AT$13:$BB$162,BO3904,0)+INDEX($BD$13:$BL$162,BP3904,0))/100))),0)</f>
        <v/>
      </c>
      <c r="BT3904">
        <f>IF(AND(3891&lt;$U$9,$W$5),BQ3904*1000000-MIN(BR3904,999)*1000+BS3904-3891/100000,-1000000000-3891)</f>
        <v/>
      </c>
    </row>
    <row r="3905">
      <c r="BN3905">
        <f>IF(3892&lt;$U$9,INT(3892/($U$7*$U$8))+1,1)</f>
        <v/>
      </c>
      <c r="BO3905">
        <f>IF(3892&lt;$U$9,MOD(INT(3892/$U$8),$U$7)+1,1)</f>
        <v/>
      </c>
      <c r="BP3905">
        <f>IF(3892&lt;$U$9,MOD(3892,$U$8)+1,1)</f>
        <v/>
      </c>
      <c r="BQ3905">
        <f>IF(3892&lt;$U$9,SUMPRODUCT(($D$10:$L$10&lt;&gt;"")*(($D$9:$L$9+INT(($S$12:$AA$12+INDEX($AJ$13:$AR$162,BN3905,0)+INDEX($AT$13:$BB$162,BO3905,0)+INDEX($BD$13:$BL$162,BP3905,0))/100))&gt;=$D$10:$L$10)),0)</f>
        <v/>
      </c>
      <c r="BR3905">
        <f>IF(3892&lt;$U$9,SUMPRODUCT(($D$10:$L$10&lt;&gt;"")*(($D$10:$L$10-($D$9:$L$9+INT(($S$12:$AA$12+INDEX($AJ$13:$AR$162,BN3905,0)+INDEX($AT$13:$BB$162,BO3905,0)+INDEX($BD$13:$BL$162,BP3905,0))/100)))&gt;0)*($D$10:$L$10-($D$9:$L$9+INT(($S$12:$AA$12+INDEX($AJ$13:$AR$162,BN3905,0)+INDEX($AT$13:$BB$162,BO3905,0)+INDEX($BD$13:$BL$162,BP3905,0))/100)))),0)</f>
        <v/>
      </c>
      <c r="BS3905">
        <f>IF(3892&lt;$U$9,SUMPRODUCT(($D$9:$L$9+INT(($S$12:$AA$12+INDEX($AJ$13:$AR$162,BN3905,0)+INDEX($AT$13:$BB$162,BO3905,0)+INDEX($BD$13:$BL$162,BP3905,0))/100))),0)</f>
        <v/>
      </c>
      <c r="BT3905">
        <f>IF(AND(3892&lt;$U$9,$W$5),BQ3905*1000000-MIN(BR3905,999)*1000+BS3905-3892/100000,-1000000000-3892)</f>
        <v/>
      </c>
    </row>
    <row r="3906">
      <c r="BN3906">
        <f>IF(3893&lt;$U$9,INT(3893/($U$7*$U$8))+1,1)</f>
        <v/>
      </c>
      <c r="BO3906">
        <f>IF(3893&lt;$U$9,MOD(INT(3893/$U$8),$U$7)+1,1)</f>
        <v/>
      </c>
      <c r="BP3906">
        <f>IF(3893&lt;$U$9,MOD(3893,$U$8)+1,1)</f>
        <v/>
      </c>
      <c r="BQ3906">
        <f>IF(3893&lt;$U$9,SUMPRODUCT(($D$10:$L$10&lt;&gt;"")*(($D$9:$L$9+INT(($S$12:$AA$12+INDEX($AJ$13:$AR$162,BN3906,0)+INDEX($AT$13:$BB$162,BO3906,0)+INDEX($BD$13:$BL$162,BP3906,0))/100))&gt;=$D$10:$L$10)),0)</f>
        <v/>
      </c>
      <c r="BR3906">
        <f>IF(3893&lt;$U$9,SUMPRODUCT(($D$10:$L$10&lt;&gt;"")*(($D$10:$L$10-($D$9:$L$9+INT(($S$12:$AA$12+INDEX($AJ$13:$AR$162,BN3906,0)+INDEX($AT$13:$BB$162,BO3906,0)+INDEX($BD$13:$BL$162,BP3906,0))/100)))&gt;0)*($D$10:$L$10-($D$9:$L$9+INT(($S$12:$AA$12+INDEX($AJ$13:$AR$162,BN3906,0)+INDEX($AT$13:$BB$162,BO3906,0)+INDEX($BD$13:$BL$162,BP3906,0))/100)))),0)</f>
        <v/>
      </c>
      <c r="BS3906">
        <f>IF(3893&lt;$U$9,SUMPRODUCT(($D$9:$L$9+INT(($S$12:$AA$12+INDEX($AJ$13:$AR$162,BN3906,0)+INDEX($AT$13:$BB$162,BO3906,0)+INDEX($BD$13:$BL$162,BP3906,0))/100))),0)</f>
        <v/>
      </c>
      <c r="BT3906">
        <f>IF(AND(3893&lt;$U$9,$W$5),BQ3906*1000000-MIN(BR3906,999)*1000+BS3906-3893/100000,-1000000000-3893)</f>
        <v/>
      </c>
    </row>
    <row r="3907">
      <c r="BN3907">
        <f>IF(3894&lt;$U$9,INT(3894/($U$7*$U$8))+1,1)</f>
        <v/>
      </c>
      <c r="BO3907">
        <f>IF(3894&lt;$U$9,MOD(INT(3894/$U$8),$U$7)+1,1)</f>
        <v/>
      </c>
      <c r="BP3907">
        <f>IF(3894&lt;$U$9,MOD(3894,$U$8)+1,1)</f>
        <v/>
      </c>
      <c r="BQ3907">
        <f>IF(3894&lt;$U$9,SUMPRODUCT(($D$10:$L$10&lt;&gt;"")*(($D$9:$L$9+INT(($S$12:$AA$12+INDEX($AJ$13:$AR$162,BN3907,0)+INDEX($AT$13:$BB$162,BO3907,0)+INDEX($BD$13:$BL$162,BP3907,0))/100))&gt;=$D$10:$L$10)),0)</f>
        <v/>
      </c>
      <c r="BR3907">
        <f>IF(3894&lt;$U$9,SUMPRODUCT(($D$10:$L$10&lt;&gt;"")*(($D$10:$L$10-($D$9:$L$9+INT(($S$12:$AA$12+INDEX($AJ$13:$AR$162,BN3907,0)+INDEX($AT$13:$BB$162,BO3907,0)+INDEX($BD$13:$BL$162,BP3907,0))/100)))&gt;0)*($D$10:$L$10-($D$9:$L$9+INT(($S$12:$AA$12+INDEX($AJ$13:$AR$162,BN3907,0)+INDEX($AT$13:$BB$162,BO3907,0)+INDEX($BD$13:$BL$162,BP3907,0))/100)))),0)</f>
        <v/>
      </c>
      <c r="BS3907">
        <f>IF(3894&lt;$U$9,SUMPRODUCT(($D$9:$L$9+INT(($S$12:$AA$12+INDEX($AJ$13:$AR$162,BN3907,0)+INDEX($AT$13:$BB$162,BO3907,0)+INDEX($BD$13:$BL$162,BP3907,0))/100))),0)</f>
        <v/>
      </c>
      <c r="BT3907">
        <f>IF(AND(3894&lt;$U$9,$W$5),BQ3907*1000000-MIN(BR3907,999)*1000+BS3907-3894/100000,-1000000000-3894)</f>
        <v/>
      </c>
    </row>
    <row r="3908">
      <c r="BN3908">
        <f>IF(3895&lt;$U$9,INT(3895/($U$7*$U$8))+1,1)</f>
        <v/>
      </c>
      <c r="BO3908">
        <f>IF(3895&lt;$U$9,MOD(INT(3895/$U$8),$U$7)+1,1)</f>
        <v/>
      </c>
      <c r="BP3908">
        <f>IF(3895&lt;$U$9,MOD(3895,$U$8)+1,1)</f>
        <v/>
      </c>
      <c r="BQ3908">
        <f>IF(3895&lt;$U$9,SUMPRODUCT(($D$10:$L$10&lt;&gt;"")*(($D$9:$L$9+INT(($S$12:$AA$12+INDEX($AJ$13:$AR$162,BN3908,0)+INDEX($AT$13:$BB$162,BO3908,0)+INDEX($BD$13:$BL$162,BP3908,0))/100))&gt;=$D$10:$L$10)),0)</f>
        <v/>
      </c>
      <c r="BR3908">
        <f>IF(3895&lt;$U$9,SUMPRODUCT(($D$10:$L$10&lt;&gt;"")*(($D$10:$L$10-($D$9:$L$9+INT(($S$12:$AA$12+INDEX($AJ$13:$AR$162,BN3908,0)+INDEX($AT$13:$BB$162,BO3908,0)+INDEX($BD$13:$BL$162,BP3908,0))/100)))&gt;0)*($D$10:$L$10-($D$9:$L$9+INT(($S$12:$AA$12+INDEX($AJ$13:$AR$162,BN3908,0)+INDEX($AT$13:$BB$162,BO3908,0)+INDEX($BD$13:$BL$162,BP3908,0))/100)))),0)</f>
        <v/>
      </c>
      <c r="BS3908">
        <f>IF(3895&lt;$U$9,SUMPRODUCT(($D$9:$L$9+INT(($S$12:$AA$12+INDEX($AJ$13:$AR$162,BN3908,0)+INDEX($AT$13:$BB$162,BO3908,0)+INDEX($BD$13:$BL$162,BP3908,0))/100))),0)</f>
        <v/>
      </c>
      <c r="BT3908">
        <f>IF(AND(3895&lt;$U$9,$W$5),BQ3908*1000000-MIN(BR3908,999)*1000+BS3908-3895/100000,-1000000000-3895)</f>
        <v/>
      </c>
    </row>
    <row r="3909">
      <c r="BN3909">
        <f>IF(3896&lt;$U$9,INT(3896/($U$7*$U$8))+1,1)</f>
        <v/>
      </c>
      <c r="BO3909">
        <f>IF(3896&lt;$U$9,MOD(INT(3896/$U$8),$U$7)+1,1)</f>
        <v/>
      </c>
      <c r="BP3909">
        <f>IF(3896&lt;$U$9,MOD(3896,$U$8)+1,1)</f>
        <v/>
      </c>
      <c r="BQ3909">
        <f>IF(3896&lt;$U$9,SUMPRODUCT(($D$10:$L$10&lt;&gt;"")*(($D$9:$L$9+INT(($S$12:$AA$12+INDEX($AJ$13:$AR$162,BN3909,0)+INDEX($AT$13:$BB$162,BO3909,0)+INDEX($BD$13:$BL$162,BP3909,0))/100))&gt;=$D$10:$L$10)),0)</f>
        <v/>
      </c>
      <c r="BR3909">
        <f>IF(3896&lt;$U$9,SUMPRODUCT(($D$10:$L$10&lt;&gt;"")*(($D$10:$L$10-($D$9:$L$9+INT(($S$12:$AA$12+INDEX($AJ$13:$AR$162,BN3909,0)+INDEX($AT$13:$BB$162,BO3909,0)+INDEX($BD$13:$BL$162,BP3909,0))/100)))&gt;0)*($D$10:$L$10-($D$9:$L$9+INT(($S$12:$AA$12+INDEX($AJ$13:$AR$162,BN3909,0)+INDEX($AT$13:$BB$162,BO3909,0)+INDEX($BD$13:$BL$162,BP3909,0))/100)))),0)</f>
        <v/>
      </c>
      <c r="BS3909">
        <f>IF(3896&lt;$U$9,SUMPRODUCT(($D$9:$L$9+INT(($S$12:$AA$12+INDEX($AJ$13:$AR$162,BN3909,0)+INDEX($AT$13:$BB$162,BO3909,0)+INDEX($BD$13:$BL$162,BP3909,0))/100))),0)</f>
        <v/>
      </c>
      <c r="BT3909">
        <f>IF(AND(3896&lt;$U$9,$W$5),BQ3909*1000000-MIN(BR3909,999)*1000+BS3909-3896/100000,-1000000000-3896)</f>
        <v/>
      </c>
    </row>
    <row r="3910">
      <c r="BN3910">
        <f>IF(3897&lt;$U$9,INT(3897/($U$7*$U$8))+1,1)</f>
        <v/>
      </c>
      <c r="BO3910">
        <f>IF(3897&lt;$U$9,MOD(INT(3897/$U$8),$U$7)+1,1)</f>
        <v/>
      </c>
      <c r="BP3910">
        <f>IF(3897&lt;$U$9,MOD(3897,$U$8)+1,1)</f>
        <v/>
      </c>
      <c r="BQ3910">
        <f>IF(3897&lt;$U$9,SUMPRODUCT(($D$10:$L$10&lt;&gt;"")*(($D$9:$L$9+INT(($S$12:$AA$12+INDEX($AJ$13:$AR$162,BN3910,0)+INDEX($AT$13:$BB$162,BO3910,0)+INDEX($BD$13:$BL$162,BP3910,0))/100))&gt;=$D$10:$L$10)),0)</f>
        <v/>
      </c>
      <c r="BR3910">
        <f>IF(3897&lt;$U$9,SUMPRODUCT(($D$10:$L$10&lt;&gt;"")*(($D$10:$L$10-($D$9:$L$9+INT(($S$12:$AA$12+INDEX($AJ$13:$AR$162,BN3910,0)+INDEX($AT$13:$BB$162,BO3910,0)+INDEX($BD$13:$BL$162,BP3910,0))/100)))&gt;0)*($D$10:$L$10-($D$9:$L$9+INT(($S$12:$AA$12+INDEX($AJ$13:$AR$162,BN3910,0)+INDEX($AT$13:$BB$162,BO3910,0)+INDEX($BD$13:$BL$162,BP3910,0))/100)))),0)</f>
        <v/>
      </c>
      <c r="BS3910">
        <f>IF(3897&lt;$U$9,SUMPRODUCT(($D$9:$L$9+INT(($S$12:$AA$12+INDEX($AJ$13:$AR$162,BN3910,0)+INDEX($AT$13:$BB$162,BO3910,0)+INDEX($BD$13:$BL$162,BP3910,0))/100))),0)</f>
        <v/>
      </c>
      <c r="BT3910">
        <f>IF(AND(3897&lt;$U$9,$W$5),BQ3910*1000000-MIN(BR3910,999)*1000+BS3910-3897/100000,-1000000000-3897)</f>
        <v/>
      </c>
    </row>
    <row r="3911">
      <c r="BN3911">
        <f>IF(3898&lt;$U$9,INT(3898/($U$7*$U$8))+1,1)</f>
        <v/>
      </c>
      <c r="BO3911">
        <f>IF(3898&lt;$U$9,MOD(INT(3898/$U$8),$U$7)+1,1)</f>
        <v/>
      </c>
      <c r="BP3911">
        <f>IF(3898&lt;$U$9,MOD(3898,$U$8)+1,1)</f>
        <v/>
      </c>
      <c r="BQ3911">
        <f>IF(3898&lt;$U$9,SUMPRODUCT(($D$10:$L$10&lt;&gt;"")*(($D$9:$L$9+INT(($S$12:$AA$12+INDEX($AJ$13:$AR$162,BN3911,0)+INDEX($AT$13:$BB$162,BO3911,0)+INDEX($BD$13:$BL$162,BP3911,0))/100))&gt;=$D$10:$L$10)),0)</f>
        <v/>
      </c>
      <c r="BR3911">
        <f>IF(3898&lt;$U$9,SUMPRODUCT(($D$10:$L$10&lt;&gt;"")*(($D$10:$L$10-($D$9:$L$9+INT(($S$12:$AA$12+INDEX($AJ$13:$AR$162,BN3911,0)+INDEX($AT$13:$BB$162,BO3911,0)+INDEX($BD$13:$BL$162,BP3911,0))/100)))&gt;0)*($D$10:$L$10-($D$9:$L$9+INT(($S$12:$AA$12+INDEX($AJ$13:$AR$162,BN3911,0)+INDEX($AT$13:$BB$162,BO3911,0)+INDEX($BD$13:$BL$162,BP3911,0))/100)))),0)</f>
        <v/>
      </c>
      <c r="BS3911">
        <f>IF(3898&lt;$U$9,SUMPRODUCT(($D$9:$L$9+INT(($S$12:$AA$12+INDEX($AJ$13:$AR$162,BN3911,0)+INDEX($AT$13:$BB$162,BO3911,0)+INDEX($BD$13:$BL$162,BP3911,0))/100))),0)</f>
        <v/>
      </c>
      <c r="BT3911">
        <f>IF(AND(3898&lt;$U$9,$W$5),BQ3911*1000000-MIN(BR3911,999)*1000+BS3911-3898/100000,-1000000000-3898)</f>
        <v/>
      </c>
    </row>
    <row r="3912">
      <c r="BN3912">
        <f>IF(3899&lt;$U$9,INT(3899/($U$7*$U$8))+1,1)</f>
        <v/>
      </c>
      <c r="BO3912">
        <f>IF(3899&lt;$U$9,MOD(INT(3899/$U$8),$U$7)+1,1)</f>
        <v/>
      </c>
      <c r="BP3912">
        <f>IF(3899&lt;$U$9,MOD(3899,$U$8)+1,1)</f>
        <v/>
      </c>
      <c r="BQ3912">
        <f>IF(3899&lt;$U$9,SUMPRODUCT(($D$10:$L$10&lt;&gt;"")*(($D$9:$L$9+INT(($S$12:$AA$12+INDEX($AJ$13:$AR$162,BN3912,0)+INDEX($AT$13:$BB$162,BO3912,0)+INDEX($BD$13:$BL$162,BP3912,0))/100))&gt;=$D$10:$L$10)),0)</f>
        <v/>
      </c>
      <c r="BR3912">
        <f>IF(3899&lt;$U$9,SUMPRODUCT(($D$10:$L$10&lt;&gt;"")*(($D$10:$L$10-($D$9:$L$9+INT(($S$12:$AA$12+INDEX($AJ$13:$AR$162,BN3912,0)+INDEX($AT$13:$BB$162,BO3912,0)+INDEX($BD$13:$BL$162,BP3912,0))/100)))&gt;0)*($D$10:$L$10-($D$9:$L$9+INT(($S$12:$AA$12+INDEX($AJ$13:$AR$162,BN3912,0)+INDEX($AT$13:$BB$162,BO3912,0)+INDEX($BD$13:$BL$162,BP3912,0))/100)))),0)</f>
        <v/>
      </c>
      <c r="BS3912">
        <f>IF(3899&lt;$U$9,SUMPRODUCT(($D$9:$L$9+INT(($S$12:$AA$12+INDEX($AJ$13:$AR$162,BN3912,0)+INDEX($AT$13:$BB$162,BO3912,0)+INDEX($BD$13:$BL$162,BP3912,0))/100))),0)</f>
        <v/>
      </c>
      <c r="BT3912">
        <f>IF(AND(3899&lt;$U$9,$W$5),BQ3912*1000000-MIN(BR3912,999)*1000+BS3912-3899/100000,-1000000000-3899)</f>
        <v/>
      </c>
    </row>
    <row r="3913">
      <c r="BN3913">
        <f>IF(3900&lt;$U$9,INT(3900/($U$7*$U$8))+1,1)</f>
        <v/>
      </c>
      <c r="BO3913">
        <f>IF(3900&lt;$U$9,MOD(INT(3900/$U$8),$U$7)+1,1)</f>
        <v/>
      </c>
      <c r="BP3913">
        <f>IF(3900&lt;$U$9,MOD(3900,$U$8)+1,1)</f>
        <v/>
      </c>
      <c r="BQ3913">
        <f>IF(3900&lt;$U$9,SUMPRODUCT(($D$10:$L$10&lt;&gt;"")*(($D$9:$L$9+INT(($S$12:$AA$12+INDEX($AJ$13:$AR$162,BN3913,0)+INDEX($AT$13:$BB$162,BO3913,0)+INDEX($BD$13:$BL$162,BP3913,0))/100))&gt;=$D$10:$L$10)),0)</f>
        <v/>
      </c>
      <c r="BR3913">
        <f>IF(3900&lt;$U$9,SUMPRODUCT(($D$10:$L$10&lt;&gt;"")*(($D$10:$L$10-($D$9:$L$9+INT(($S$12:$AA$12+INDEX($AJ$13:$AR$162,BN3913,0)+INDEX($AT$13:$BB$162,BO3913,0)+INDEX($BD$13:$BL$162,BP3913,0))/100)))&gt;0)*($D$10:$L$10-($D$9:$L$9+INT(($S$12:$AA$12+INDEX($AJ$13:$AR$162,BN3913,0)+INDEX($AT$13:$BB$162,BO3913,0)+INDEX($BD$13:$BL$162,BP3913,0))/100)))),0)</f>
        <v/>
      </c>
      <c r="BS3913">
        <f>IF(3900&lt;$U$9,SUMPRODUCT(($D$9:$L$9+INT(($S$12:$AA$12+INDEX($AJ$13:$AR$162,BN3913,0)+INDEX($AT$13:$BB$162,BO3913,0)+INDEX($BD$13:$BL$162,BP3913,0))/100))),0)</f>
        <v/>
      </c>
      <c r="BT3913">
        <f>IF(AND(3900&lt;$U$9,$W$5),BQ3913*1000000-MIN(BR3913,999)*1000+BS3913-3900/100000,-1000000000-3900)</f>
        <v/>
      </c>
    </row>
    <row r="3914">
      <c r="BN3914">
        <f>IF(3901&lt;$U$9,INT(3901/($U$7*$U$8))+1,1)</f>
        <v/>
      </c>
      <c r="BO3914">
        <f>IF(3901&lt;$U$9,MOD(INT(3901/$U$8),$U$7)+1,1)</f>
        <v/>
      </c>
      <c r="BP3914">
        <f>IF(3901&lt;$U$9,MOD(3901,$U$8)+1,1)</f>
        <v/>
      </c>
      <c r="BQ3914">
        <f>IF(3901&lt;$U$9,SUMPRODUCT(($D$10:$L$10&lt;&gt;"")*(($D$9:$L$9+INT(($S$12:$AA$12+INDEX($AJ$13:$AR$162,BN3914,0)+INDEX($AT$13:$BB$162,BO3914,0)+INDEX($BD$13:$BL$162,BP3914,0))/100))&gt;=$D$10:$L$10)),0)</f>
        <v/>
      </c>
      <c r="BR3914">
        <f>IF(3901&lt;$U$9,SUMPRODUCT(($D$10:$L$10&lt;&gt;"")*(($D$10:$L$10-($D$9:$L$9+INT(($S$12:$AA$12+INDEX($AJ$13:$AR$162,BN3914,0)+INDEX($AT$13:$BB$162,BO3914,0)+INDEX($BD$13:$BL$162,BP3914,0))/100)))&gt;0)*($D$10:$L$10-($D$9:$L$9+INT(($S$12:$AA$12+INDEX($AJ$13:$AR$162,BN3914,0)+INDEX($AT$13:$BB$162,BO3914,0)+INDEX($BD$13:$BL$162,BP3914,0))/100)))),0)</f>
        <v/>
      </c>
      <c r="BS3914">
        <f>IF(3901&lt;$U$9,SUMPRODUCT(($D$9:$L$9+INT(($S$12:$AA$12+INDEX($AJ$13:$AR$162,BN3914,0)+INDEX($AT$13:$BB$162,BO3914,0)+INDEX($BD$13:$BL$162,BP3914,0))/100))),0)</f>
        <v/>
      </c>
      <c r="BT3914">
        <f>IF(AND(3901&lt;$U$9,$W$5),BQ3914*1000000-MIN(BR3914,999)*1000+BS3914-3901/100000,-1000000000-3901)</f>
        <v/>
      </c>
    </row>
    <row r="3915">
      <c r="BN3915">
        <f>IF(3902&lt;$U$9,INT(3902/($U$7*$U$8))+1,1)</f>
        <v/>
      </c>
      <c r="BO3915">
        <f>IF(3902&lt;$U$9,MOD(INT(3902/$U$8),$U$7)+1,1)</f>
        <v/>
      </c>
      <c r="BP3915">
        <f>IF(3902&lt;$U$9,MOD(3902,$U$8)+1,1)</f>
        <v/>
      </c>
      <c r="BQ3915">
        <f>IF(3902&lt;$U$9,SUMPRODUCT(($D$10:$L$10&lt;&gt;"")*(($D$9:$L$9+INT(($S$12:$AA$12+INDEX($AJ$13:$AR$162,BN3915,0)+INDEX($AT$13:$BB$162,BO3915,0)+INDEX($BD$13:$BL$162,BP3915,0))/100))&gt;=$D$10:$L$10)),0)</f>
        <v/>
      </c>
      <c r="BR3915">
        <f>IF(3902&lt;$U$9,SUMPRODUCT(($D$10:$L$10&lt;&gt;"")*(($D$10:$L$10-($D$9:$L$9+INT(($S$12:$AA$12+INDEX($AJ$13:$AR$162,BN3915,0)+INDEX($AT$13:$BB$162,BO3915,0)+INDEX($BD$13:$BL$162,BP3915,0))/100)))&gt;0)*($D$10:$L$10-($D$9:$L$9+INT(($S$12:$AA$12+INDEX($AJ$13:$AR$162,BN3915,0)+INDEX($AT$13:$BB$162,BO3915,0)+INDEX($BD$13:$BL$162,BP3915,0))/100)))),0)</f>
        <v/>
      </c>
      <c r="BS3915">
        <f>IF(3902&lt;$U$9,SUMPRODUCT(($D$9:$L$9+INT(($S$12:$AA$12+INDEX($AJ$13:$AR$162,BN3915,0)+INDEX($AT$13:$BB$162,BO3915,0)+INDEX($BD$13:$BL$162,BP3915,0))/100))),0)</f>
        <v/>
      </c>
      <c r="BT3915">
        <f>IF(AND(3902&lt;$U$9,$W$5),BQ3915*1000000-MIN(BR3915,999)*1000+BS3915-3902/100000,-1000000000-3902)</f>
        <v/>
      </c>
    </row>
    <row r="3916">
      <c r="BN3916">
        <f>IF(3903&lt;$U$9,INT(3903/($U$7*$U$8))+1,1)</f>
        <v/>
      </c>
      <c r="BO3916">
        <f>IF(3903&lt;$U$9,MOD(INT(3903/$U$8),$U$7)+1,1)</f>
        <v/>
      </c>
      <c r="BP3916">
        <f>IF(3903&lt;$U$9,MOD(3903,$U$8)+1,1)</f>
        <v/>
      </c>
      <c r="BQ3916">
        <f>IF(3903&lt;$U$9,SUMPRODUCT(($D$10:$L$10&lt;&gt;"")*(($D$9:$L$9+INT(($S$12:$AA$12+INDEX($AJ$13:$AR$162,BN3916,0)+INDEX($AT$13:$BB$162,BO3916,0)+INDEX($BD$13:$BL$162,BP3916,0))/100))&gt;=$D$10:$L$10)),0)</f>
        <v/>
      </c>
      <c r="BR3916">
        <f>IF(3903&lt;$U$9,SUMPRODUCT(($D$10:$L$10&lt;&gt;"")*(($D$10:$L$10-($D$9:$L$9+INT(($S$12:$AA$12+INDEX($AJ$13:$AR$162,BN3916,0)+INDEX($AT$13:$BB$162,BO3916,0)+INDEX($BD$13:$BL$162,BP3916,0))/100)))&gt;0)*($D$10:$L$10-($D$9:$L$9+INT(($S$12:$AA$12+INDEX($AJ$13:$AR$162,BN3916,0)+INDEX($AT$13:$BB$162,BO3916,0)+INDEX($BD$13:$BL$162,BP3916,0))/100)))),0)</f>
        <v/>
      </c>
      <c r="BS3916">
        <f>IF(3903&lt;$U$9,SUMPRODUCT(($D$9:$L$9+INT(($S$12:$AA$12+INDEX($AJ$13:$AR$162,BN3916,0)+INDEX($AT$13:$BB$162,BO3916,0)+INDEX($BD$13:$BL$162,BP3916,0))/100))),0)</f>
        <v/>
      </c>
      <c r="BT3916">
        <f>IF(AND(3903&lt;$U$9,$W$5),BQ3916*1000000-MIN(BR3916,999)*1000+BS3916-3903/100000,-1000000000-3903)</f>
        <v/>
      </c>
    </row>
    <row r="3917">
      <c r="BN3917">
        <f>IF(3904&lt;$U$9,INT(3904/($U$7*$U$8))+1,1)</f>
        <v/>
      </c>
      <c r="BO3917">
        <f>IF(3904&lt;$U$9,MOD(INT(3904/$U$8),$U$7)+1,1)</f>
        <v/>
      </c>
      <c r="BP3917">
        <f>IF(3904&lt;$U$9,MOD(3904,$U$8)+1,1)</f>
        <v/>
      </c>
      <c r="BQ3917">
        <f>IF(3904&lt;$U$9,SUMPRODUCT(($D$10:$L$10&lt;&gt;"")*(($D$9:$L$9+INT(($S$12:$AA$12+INDEX($AJ$13:$AR$162,BN3917,0)+INDEX($AT$13:$BB$162,BO3917,0)+INDEX($BD$13:$BL$162,BP3917,0))/100))&gt;=$D$10:$L$10)),0)</f>
        <v/>
      </c>
      <c r="BR3917">
        <f>IF(3904&lt;$U$9,SUMPRODUCT(($D$10:$L$10&lt;&gt;"")*(($D$10:$L$10-($D$9:$L$9+INT(($S$12:$AA$12+INDEX($AJ$13:$AR$162,BN3917,0)+INDEX($AT$13:$BB$162,BO3917,0)+INDEX($BD$13:$BL$162,BP3917,0))/100)))&gt;0)*($D$10:$L$10-($D$9:$L$9+INT(($S$12:$AA$12+INDEX($AJ$13:$AR$162,BN3917,0)+INDEX($AT$13:$BB$162,BO3917,0)+INDEX($BD$13:$BL$162,BP3917,0))/100)))),0)</f>
        <v/>
      </c>
      <c r="BS3917">
        <f>IF(3904&lt;$U$9,SUMPRODUCT(($D$9:$L$9+INT(($S$12:$AA$12+INDEX($AJ$13:$AR$162,BN3917,0)+INDEX($AT$13:$BB$162,BO3917,0)+INDEX($BD$13:$BL$162,BP3917,0))/100))),0)</f>
        <v/>
      </c>
      <c r="BT3917">
        <f>IF(AND(3904&lt;$U$9,$W$5),BQ3917*1000000-MIN(BR3917,999)*1000+BS3917-3904/100000,-1000000000-3904)</f>
        <v/>
      </c>
    </row>
    <row r="3918">
      <c r="BN3918">
        <f>IF(3905&lt;$U$9,INT(3905/($U$7*$U$8))+1,1)</f>
        <v/>
      </c>
      <c r="BO3918">
        <f>IF(3905&lt;$U$9,MOD(INT(3905/$U$8),$U$7)+1,1)</f>
        <v/>
      </c>
      <c r="BP3918">
        <f>IF(3905&lt;$U$9,MOD(3905,$U$8)+1,1)</f>
        <v/>
      </c>
      <c r="BQ3918">
        <f>IF(3905&lt;$U$9,SUMPRODUCT(($D$10:$L$10&lt;&gt;"")*(($D$9:$L$9+INT(($S$12:$AA$12+INDEX($AJ$13:$AR$162,BN3918,0)+INDEX($AT$13:$BB$162,BO3918,0)+INDEX($BD$13:$BL$162,BP3918,0))/100))&gt;=$D$10:$L$10)),0)</f>
        <v/>
      </c>
      <c r="BR3918">
        <f>IF(3905&lt;$U$9,SUMPRODUCT(($D$10:$L$10&lt;&gt;"")*(($D$10:$L$10-($D$9:$L$9+INT(($S$12:$AA$12+INDEX($AJ$13:$AR$162,BN3918,0)+INDEX($AT$13:$BB$162,BO3918,0)+INDEX($BD$13:$BL$162,BP3918,0))/100)))&gt;0)*($D$10:$L$10-($D$9:$L$9+INT(($S$12:$AA$12+INDEX($AJ$13:$AR$162,BN3918,0)+INDEX($AT$13:$BB$162,BO3918,0)+INDEX($BD$13:$BL$162,BP3918,0))/100)))),0)</f>
        <v/>
      </c>
      <c r="BS3918">
        <f>IF(3905&lt;$U$9,SUMPRODUCT(($D$9:$L$9+INT(($S$12:$AA$12+INDEX($AJ$13:$AR$162,BN3918,0)+INDEX($AT$13:$BB$162,BO3918,0)+INDEX($BD$13:$BL$162,BP3918,0))/100))),0)</f>
        <v/>
      </c>
      <c r="BT3918">
        <f>IF(AND(3905&lt;$U$9,$W$5),BQ3918*1000000-MIN(BR3918,999)*1000+BS3918-3905/100000,-1000000000-3905)</f>
        <v/>
      </c>
    </row>
    <row r="3919">
      <c r="BN3919">
        <f>IF(3906&lt;$U$9,INT(3906/($U$7*$U$8))+1,1)</f>
        <v/>
      </c>
      <c r="BO3919">
        <f>IF(3906&lt;$U$9,MOD(INT(3906/$U$8),$U$7)+1,1)</f>
        <v/>
      </c>
      <c r="BP3919">
        <f>IF(3906&lt;$U$9,MOD(3906,$U$8)+1,1)</f>
        <v/>
      </c>
      <c r="BQ3919">
        <f>IF(3906&lt;$U$9,SUMPRODUCT(($D$10:$L$10&lt;&gt;"")*(($D$9:$L$9+INT(($S$12:$AA$12+INDEX($AJ$13:$AR$162,BN3919,0)+INDEX($AT$13:$BB$162,BO3919,0)+INDEX($BD$13:$BL$162,BP3919,0))/100))&gt;=$D$10:$L$10)),0)</f>
        <v/>
      </c>
      <c r="BR3919">
        <f>IF(3906&lt;$U$9,SUMPRODUCT(($D$10:$L$10&lt;&gt;"")*(($D$10:$L$10-($D$9:$L$9+INT(($S$12:$AA$12+INDEX($AJ$13:$AR$162,BN3919,0)+INDEX($AT$13:$BB$162,BO3919,0)+INDEX($BD$13:$BL$162,BP3919,0))/100)))&gt;0)*($D$10:$L$10-($D$9:$L$9+INT(($S$12:$AA$12+INDEX($AJ$13:$AR$162,BN3919,0)+INDEX($AT$13:$BB$162,BO3919,0)+INDEX($BD$13:$BL$162,BP3919,0))/100)))),0)</f>
        <v/>
      </c>
      <c r="BS3919">
        <f>IF(3906&lt;$U$9,SUMPRODUCT(($D$9:$L$9+INT(($S$12:$AA$12+INDEX($AJ$13:$AR$162,BN3919,0)+INDEX($AT$13:$BB$162,BO3919,0)+INDEX($BD$13:$BL$162,BP3919,0))/100))),0)</f>
        <v/>
      </c>
      <c r="BT3919">
        <f>IF(AND(3906&lt;$U$9,$W$5),BQ3919*1000000-MIN(BR3919,999)*1000+BS3919-3906/100000,-1000000000-3906)</f>
        <v/>
      </c>
    </row>
    <row r="3920">
      <c r="BN3920">
        <f>IF(3907&lt;$U$9,INT(3907/($U$7*$U$8))+1,1)</f>
        <v/>
      </c>
      <c r="BO3920">
        <f>IF(3907&lt;$U$9,MOD(INT(3907/$U$8),$U$7)+1,1)</f>
        <v/>
      </c>
      <c r="BP3920">
        <f>IF(3907&lt;$U$9,MOD(3907,$U$8)+1,1)</f>
        <v/>
      </c>
      <c r="BQ3920">
        <f>IF(3907&lt;$U$9,SUMPRODUCT(($D$10:$L$10&lt;&gt;"")*(($D$9:$L$9+INT(($S$12:$AA$12+INDEX($AJ$13:$AR$162,BN3920,0)+INDEX($AT$13:$BB$162,BO3920,0)+INDEX($BD$13:$BL$162,BP3920,0))/100))&gt;=$D$10:$L$10)),0)</f>
        <v/>
      </c>
      <c r="BR3920">
        <f>IF(3907&lt;$U$9,SUMPRODUCT(($D$10:$L$10&lt;&gt;"")*(($D$10:$L$10-($D$9:$L$9+INT(($S$12:$AA$12+INDEX($AJ$13:$AR$162,BN3920,0)+INDEX($AT$13:$BB$162,BO3920,0)+INDEX($BD$13:$BL$162,BP3920,0))/100)))&gt;0)*($D$10:$L$10-($D$9:$L$9+INT(($S$12:$AA$12+INDEX($AJ$13:$AR$162,BN3920,0)+INDEX($AT$13:$BB$162,BO3920,0)+INDEX($BD$13:$BL$162,BP3920,0))/100)))),0)</f>
        <v/>
      </c>
      <c r="BS3920">
        <f>IF(3907&lt;$U$9,SUMPRODUCT(($D$9:$L$9+INT(($S$12:$AA$12+INDEX($AJ$13:$AR$162,BN3920,0)+INDEX($AT$13:$BB$162,BO3920,0)+INDEX($BD$13:$BL$162,BP3920,0))/100))),0)</f>
        <v/>
      </c>
      <c r="BT3920">
        <f>IF(AND(3907&lt;$U$9,$W$5),BQ3920*1000000-MIN(BR3920,999)*1000+BS3920-3907/100000,-1000000000-3907)</f>
        <v/>
      </c>
    </row>
    <row r="3921">
      <c r="BN3921">
        <f>IF(3908&lt;$U$9,INT(3908/($U$7*$U$8))+1,1)</f>
        <v/>
      </c>
      <c r="BO3921">
        <f>IF(3908&lt;$U$9,MOD(INT(3908/$U$8),$U$7)+1,1)</f>
        <v/>
      </c>
      <c r="BP3921">
        <f>IF(3908&lt;$U$9,MOD(3908,$U$8)+1,1)</f>
        <v/>
      </c>
      <c r="BQ3921">
        <f>IF(3908&lt;$U$9,SUMPRODUCT(($D$10:$L$10&lt;&gt;"")*(($D$9:$L$9+INT(($S$12:$AA$12+INDEX($AJ$13:$AR$162,BN3921,0)+INDEX($AT$13:$BB$162,BO3921,0)+INDEX($BD$13:$BL$162,BP3921,0))/100))&gt;=$D$10:$L$10)),0)</f>
        <v/>
      </c>
      <c r="BR3921">
        <f>IF(3908&lt;$U$9,SUMPRODUCT(($D$10:$L$10&lt;&gt;"")*(($D$10:$L$10-($D$9:$L$9+INT(($S$12:$AA$12+INDEX($AJ$13:$AR$162,BN3921,0)+INDEX($AT$13:$BB$162,BO3921,0)+INDEX($BD$13:$BL$162,BP3921,0))/100)))&gt;0)*($D$10:$L$10-($D$9:$L$9+INT(($S$12:$AA$12+INDEX($AJ$13:$AR$162,BN3921,0)+INDEX($AT$13:$BB$162,BO3921,0)+INDEX($BD$13:$BL$162,BP3921,0))/100)))),0)</f>
        <v/>
      </c>
      <c r="BS3921">
        <f>IF(3908&lt;$U$9,SUMPRODUCT(($D$9:$L$9+INT(($S$12:$AA$12+INDEX($AJ$13:$AR$162,BN3921,0)+INDEX($AT$13:$BB$162,BO3921,0)+INDEX($BD$13:$BL$162,BP3921,0))/100))),0)</f>
        <v/>
      </c>
      <c r="BT3921">
        <f>IF(AND(3908&lt;$U$9,$W$5),BQ3921*1000000-MIN(BR3921,999)*1000+BS3921-3908/100000,-1000000000-3908)</f>
        <v/>
      </c>
    </row>
    <row r="3922">
      <c r="BN3922">
        <f>IF(3909&lt;$U$9,INT(3909/($U$7*$U$8))+1,1)</f>
        <v/>
      </c>
      <c r="BO3922">
        <f>IF(3909&lt;$U$9,MOD(INT(3909/$U$8),$U$7)+1,1)</f>
        <v/>
      </c>
      <c r="BP3922">
        <f>IF(3909&lt;$U$9,MOD(3909,$U$8)+1,1)</f>
        <v/>
      </c>
      <c r="BQ3922">
        <f>IF(3909&lt;$U$9,SUMPRODUCT(($D$10:$L$10&lt;&gt;"")*(($D$9:$L$9+INT(($S$12:$AA$12+INDEX($AJ$13:$AR$162,BN3922,0)+INDEX($AT$13:$BB$162,BO3922,0)+INDEX($BD$13:$BL$162,BP3922,0))/100))&gt;=$D$10:$L$10)),0)</f>
        <v/>
      </c>
      <c r="BR3922">
        <f>IF(3909&lt;$U$9,SUMPRODUCT(($D$10:$L$10&lt;&gt;"")*(($D$10:$L$10-($D$9:$L$9+INT(($S$12:$AA$12+INDEX($AJ$13:$AR$162,BN3922,0)+INDEX($AT$13:$BB$162,BO3922,0)+INDEX($BD$13:$BL$162,BP3922,0))/100)))&gt;0)*($D$10:$L$10-($D$9:$L$9+INT(($S$12:$AA$12+INDEX($AJ$13:$AR$162,BN3922,0)+INDEX($AT$13:$BB$162,BO3922,0)+INDEX($BD$13:$BL$162,BP3922,0))/100)))),0)</f>
        <v/>
      </c>
      <c r="BS3922">
        <f>IF(3909&lt;$U$9,SUMPRODUCT(($D$9:$L$9+INT(($S$12:$AA$12+INDEX($AJ$13:$AR$162,BN3922,0)+INDEX($AT$13:$BB$162,BO3922,0)+INDEX($BD$13:$BL$162,BP3922,0))/100))),0)</f>
        <v/>
      </c>
      <c r="BT3922">
        <f>IF(AND(3909&lt;$U$9,$W$5),BQ3922*1000000-MIN(BR3922,999)*1000+BS3922-3909/100000,-1000000000-3909)</f>
        <v/>
      </c>
    </row>
    <row r="3923">
      <c r="BN3923">
        <f>IF(3910&lt;$U$9,INT(3910/($U$7*$U$8))+1,1)</f>
        <v/>
      </c>
      <c r="BO3923">
        <f>IF(3910&lt;$U$9,MOD(INT(3910/$U$8),$U$7)+1,1)</f>
        <v/>
      </c>
      <c r="BP3923">
        <f>IF(3910&lt;$U$9,MOD(3910,$U$8)+1,1)</f>
        <v/>
      </c>
      <c r="BQ3923">
        <f>IF(3910&lt;$U$9,SUMPRODUCT(($D$10:$L$10&lt;&gt;"")*(($D$9:$L$9+INT(($S$12:$AA$12+INDEX($AJ$13:$AR$162,BN3923,0)+INDEX($AT$13:$BB$162,BO3923,0)+INDEX($BD$13:$BL$162,BP3923,0))/100))&gt;=$D$10:$L$10)),0)</f>
        <v/>
      </c>
      <c r="BR3923">
        <f>IF(3910&lt;$U$9,SUMPRODUCT(($D$10:$L$10&lt;&gt;"")*(($D$10:$L$10-($D$9:$L$9+INT(($S$12:$AA$12+INDEX($AJ$13:$AR$162,BN3923,0)+INDEX($AT$13:$BB$162,BO3923,0)+INDEX($BD$13:$BL$162,BP3923,0))/100)))&gt;0)*($D$10:$L$10-($D$9:$L$9+INT(($S$12:$AA$12+INDEX($AJ$13:$AR$162,BN3923,0)+INDEX($AT$13:$BB$162,BO3923,0)+INDEX($BD$13:$BL$162,BP3923,0))/100)))),0)</f>
        <v/>
      </c>
      <c r="BS3923">
        <f>IF(3910&lt;$U$9,SUMPRODUCT(($D$9:$L$9+INT(($S$12:$AA$12+INDEX($AJ$13:$AR$162,BN3923,0)+INDEX($AT$13:$BB$162,BO3923,0)+INDEX($BD$13:$BL$162,BP3923,0))/100))),0)</f>
        <v/>
      </c>
      <c r="BT3923">
        <f>IF(AND(3910&lt;$U$9,$W$5),BQ3923*1000000-MIN(BR3923,999)*1000+BS3923-3910/100000,-1000000000-3910)</f>
        <v/>
      </c>
    </row>
    <row r="3924">
      <c r="BN3924">
        <f>IF(3911&lt;$U$9,INT(3911/($U$7*$U$8))+1,1)</f>
        <v/>
      </c>
      <c r="BO3924">
        <f>IF(3911&lt;$U$9,MOD(INT(3911/$U$8),$U$7)+1,1)</f>
        <v/>
      </c>
      <c r="BP3924">
        <f>IF(3911&lt;$U$9,MOD(3911,$U$8)+1,1)</f>
        <v/>
      </c>
      <c r="BQ3924">
        <f>IF(3911&lt;$U$9,SUMPRODUCT(($D$10:$L$10&lt;&gt;"")*(($D$9:$L$9+INT(($S$12:$AA$12+INDEX($AJ$13:$AR$162,BN3924,0)+INDEX($AT$13:$BB$162,BO3924,0)+INDEX($BD$13:$BL$162,BP3924,0))/100))&gt;=$D$10:$L$10)),0)</f>
        <v/>
      </c>
      <c r="BR3924">
        <f>IF(3911&lt;$U$9,SUMPRODUCT(($D$10:$L$10&lt;&gt;"")*(($D$10:$L$10-($D$9:$L$9+INT(($S$12:$AA$12+INDEX($AJ$13:$AR$162,BN3924,0)+INDEX($AT$13:$BB$162,BO3924,0)+INDEX($BD$13:$BL$162,BP3924,0))/100)))&gt;0)*($D$10:$L$10-($D$9:$L$9+INT(($S$12:$AA$12+INDEX($AJ$13:$AR$162,BN3924,0)+INDEX($AT$13:$BB$162,BO3924,0)+INDEX($BD$13:$BL$162,BP3924,0))/100)))),0)</f>
        <v/>
      </c>
      <c r="BS3924">
        <f>IF(3911&lt;$U$9,SUMPRODUCT(($D$9:$L$9+INT(($S$12:$AA$12+INDEX($AJ$13:$AR$162,BN3924,0)+INDEX($AT$13:$BB$162,BO3924,0)+INDEX($BD$13:$BL$162,BP3924,0))/100))),0)</f>
        <v/>
      </c>
      <c r="BT3924">
        <f>IF(AND(3911&lt;$U$9,$W$5),BQ3924*1000000-MIN(BR3924,999)*1000+BS3924-3911/100000,-1000000000-3911)</f>
        <v/>
      </c>
    </row>
    <row r="3925">
      <c r="BN3925">
        <f>IF(3912&lt;$U$9,INT(3912/($U$7*$U$8))+1,1)</f>
        <v/>
      </c>
      <c r="BO3925">
        <f>IF(3912&lt;$U$9,MOD(INT(3912/$U$8),$U$7)+1,1)</f>
        <v/>
      </c>
      <c r="BP3925">
        <f>IF(3912&lt;$U$9,MOD(3912,$U$8)+1,1)</f>
        <v/>
      </c>
      <c r="BQ3925">
        <f>IF(3912&lt;$U$9,SUMPRODUCT(($D$10:$L$10&lt;&gt;"")*(($D$9:$L$9+INT(($S$12:$AA$12+INDEX($AJ$13:$AR$162,BN3925,0)+INDEX($AT$13:$BB$162,BO3925,0)+INDEX($BD$13:$BL$162,BP3925,0))/100))&gt;=$D$10:$L$10)),0)</f>
        <v/>
      </c>
      <c r="BR3925">
        <f>IF(3912&lt;$U$9,SUMPRODUCT(($D$10:$L$10&lt;&gt;"")*(($D$10:$L$10-($D$9:$L$9+INT(($S$12:$AA$12+INDEX($AJ$13:$AR$162,BN3925,0)+INDEX($AT$13:$BB$162,BO3925,0)+INDEX($BD$13:$BL$162,BP3925,0))/100)))&gt;0)*($D$10:$L$10-($D$9:$L$9+INT(($S$12:$AA$12+INDEX($AJ$13:$AR$162,BN3925,0)+INDEX($AT$13:$BB$162,BO3925,0)+INDEX($BD$13:$BL$162,BP3925,0))/100)))),0)</f>
        <v/>
      </c>
      <c r="BS3925">
        <f>IF(3912&lt;$U$9,SUMPRODUCT(($D$9:$L$9+INT(($S$12:$AA$12+INDEX($AJ$13:$AR$162,BN3925,0)+INDEX($AT$13:$BB$162,BO3925,0)+INDEX($BD$13:$BL$162,BP3925,0))/100))),0)</f>
        <v/>
      </c>
      <c r="BT3925">
        <f>IF(AND(3912&lt;$U$9,$W$5),BQ3925*1000000-MIN(BR3925,999)*1000+BS3925-3912/100000,-1000000000-3912)</f>
        <v/>
      </c>
    </row>
    <row r="3926">
      <c r="BN3926">
        <f>IF(3913&lt;$U$9,INT(3913/($U$7*$U$8))+1,1)</f>
        <v/>
      </c>
      <c r="BO3926">
        <f>IF(3913&lt;$U$9,MOD(INT(3913/$U$8),$U$7)+1,1)</f>
        <v/>
      </c>
      <c r="BP3926">
        <f>IF(3913&lt;$U$9,MOD(3913,$U$8)+1,1)</f>
        <v/>
      </c>
      <c r="BQ3926">
        <f>IF(3913&lt;$U$9,SUMPRODUCT(($D$10:$L$10&lt;&gt;"")*(($D$9:$L$9+INT(($S$12:$AA$12+INDEX($AJ$13:$AR$162,BN3926,0)+INDEX($AT$13:$BB$162,BO3926,0)+INDEX($BD$13:$BL$162,BP3926,0))/100))&gt;=$D$10:$L$10)),0)</f>
        <v/>
      </c>
      <c r="BR3926">
        <f>IF(3913&lt;$U$9,SUMPRODUCT(($D$10:$L$10&lt;&gt;"")*(($D$10:$L$10-($D$9:$L$9+INT(($S$12:$AA$12+INDEX($AJ$13:$AR$162,BN3926,0)+INDEX($AT$13:$BB$162,BO3926,0)+INDEX($BD$13:$BL$162,BP3926,0))/100)))&gt;0)*($D$10:$L$10-($D$9:$L$9+INT(($S$12:$AA$12+INDEX($AJ$13:$AR$162,BN3926,0)+INDEX($AT$13:$BB$162,BO3926,0)+INDEX($BD$13:$BL$162,BP3926,0))/100)))),0)</f>
        <v/>
      </c>
      <c r="BS3926">
        <f>IF(3913&lt;$U$9,SUMPRODUCT(($D$9:$L$9+INT(($S$12:$AA$12+INDEX($AJ$13:$AR$162,BN3926,0)+INDEX($AT$13:$BB$162,BO3926,0)+INDEX($BD$13:$BL$162,BP3926,0))/100))),0)</f>
        <v/>
      </c>
      <c r="BT3926">
        <f>IF(AND(3913&lt;$U$9,$W$5),BQ3926*1000000-MIN(BR3926,999)*1000+BS3926-3913/100000,-1000000000-3913)</f>
        <v/>
      </c>
    </row>
    <row r="3927">
      <c r="BN3927">
        <f>IF(3914&lt;$U$9,INT(3914/($U$7*$U$8))+1,1)</f>
        <v/>
      </c>
      <c r="BO3927">
        <f>IF(3914&lt;$U$9,MOD(INT(3914/$U$8),$U$7)+1,1)</f>
        <v/>
      </c>
      <c r="BP3927">
        <f>IF(3914&lt;$U$9,MOD(3914,$U$8)+1,1)</f>
        <v/>
      </c>
      <c r="BQ3927">
        <f>IF(3914&lt;$U$9,SUMPRODUCT(($D$10:$L$10&lt;&gt;"")*(($D$9:$L$9+INT(($S$12:$AA$12+INDEX($AJ$13:$AR$162,BN3927,0)+INDEX($AT$13:$BB$162,BO3927,0)+INDEX($BD$13:$BL$162,BP3927,0))/100))&gt;=$D$10:$L$10)),0)</f>
        <v/>
      </c>
      <c r="BR3927">
        <f>IF(3914&lt;$U$9,SUMPRODUCT(($D$10:$L$10&lt;&gt;"")*(($D$10:$L$10-($D$9:$L$9+INT(($S$12:$AA$12+INDEX($AJ$13:$AR$162,BN3927,0)+INDEX($AT$13:$BB$162,BO3927,0)+INDEX($BD$13:$BL$162,BP3927,0))/100)))&gt;0)*($D$10:$L$10-($D$9:$L$9+INT(($S$12:$AA$12+INDEX($AJ$13:$AR$162,BN3927,0)+INDEX($AT$13:$BB$162,BO3927,0)+INDEX($BD$13:$BL$162,BP3927,0))/100)))),0)</f>
        <v/>
      </c>
      <c r="BS3927">
        <f>IF(3914&lt;$U$9,SUMPRODUCT(($D$9:$L$9+INT(($S$12:$AA$12+INDEX($AJ$13:$AR$162,BN3927,0)+INDEX($AT$13:$BB$162,BO3927,0)+INDEX($BD$13:$BL$162,BP3927,0))/100))),0)</f>
        <v/>
      </c>
      <c r="BT3927">
        <f>IF(AND(3914&lt;$U$9,$W$5),BQ3927*1000000-MIN(BR3927,999)*1000+BS3927-3914/100000,-1000000000-3914)</f>
        <v/>
      </c>
    </row>
    <row r="3928">
      <c r="BN3928">
        <f>IF(3915&lt;$U$9,INT(3915/($U$7*$U$8))+1,1)</f>
        <v/>
      </c>
      <c r="BO3928">
        <f>IF(3915&lt;$U$9,MOD(INT(3915/$U$8),$U$7)+1,1)</f>
        <v/>
      </c>
      <c r="BP3928">
        <f>IF(3915&lt;$U$9,MOD(3915,$U$8)+1,1)</f>
        <v/>
      </c>
      <c r="BQ3928">
        <f>IF(3915&lt;$U$9,SUMPRODUCT(($D$10:$L$10&lt;&gt;"")*(($D$9:$L$9+INT(($S$12:$AA$12+INDEX($AJ$13:$AR$162,BN3928,0)+INDEX($AT$13:$BB$162,BO3928,0)+INDEX($BD$13:$BL$162,BP3928,0))/100))&gt;=$D$10:$L$10)),0)</f>
        <v/>
      </c>
      <c r="BR3928">
        <f>IF(3915&lt;$U$9,SUMPRODUCT(($D$10:$L$10&lt;&gt;"")*(($D$10:$L$10-($D$9:$L$9+INT(($S$12:$AA$12+INDEX($AJ$13:$AR$162,BN3928,0)+INDEX($AT$13:$BB$162,BO3928,0)+INDEX($BD$13:$BL$162,BP3928,0))/100)))&gt;0)*($D$10:$L$10-($D$9:$L$9+INT(($S$12:$AA$12+INDEX($AJ$13:$AR$162,BN3928,0)+INDEX($AT$13:$BB$162,BO3928,0)+INDEX($BD$13:$BL$162,BP3928,0))/100)))),0)</f>
        <v/>
      </c>
      <c r="BS3928">
        <f>IF(3915&lt;$U$9,SUMPRODUCT(($D$9:$L$9+INT(($S$12:$AA$12+INDEX($AJ$13:$AR$162,BN3928,0)+INDEX($AT$13:$BB$162,BO3928,0)+INDEX($BD$13:$BL$162,BP3928,0))/100))),0)</f>
        <v/>
      </c>
      <c r="BT3928">
        <f>IF(AND(3915&lt;$U$9,$W$5),BQ3928*1000000-MIN(BR3928,999)*1000+BS3928-3915/100000,-1000000000-3915)</f>
        <v/>
      </c>
    </row>
    <row r="3929">
      <c r="BN3929">
        <f>IF(3916&lt;$U$9,INT(3916/($U$7*$U$8))+1,1)</f>
        <v/>
      </c>
      <c r="BO3929">
        <f>IF(3916&lt;$U$9,MOD(INT(3916/$U$8),$U$7)+1,1)</f>
        <v/>
      </c>
      <c r="BP3929">
        <f>IF(3916&lt;$U$9,MOD(3916,$U$8)+1,1)</f>
        <v/>
      </c>
      <c r="BQ3929">
        <f>IF(3916&lt;$U$9,SUMPRODUCT(($D$10:$L$10&lt;&gt;"")*(($D$9:$L$9+INT(($S$12:$AA$12+INDEX($AJ$13:$AR$162,BN3929,0)+INDEX($AT$13:$BB$162,BO3929,0)+INDEX($BD$13:$BL$162,BP3929,0))/100))&gt;=$D$10:$L$10)),0)</f>
        <v/>
      </c>
      <c r="BR3929">
        <f>IF(3916&lt;$U$9,SUMPRODUCT(($D$10:$L$10&lt;&gt;"")*(($D$10:$L$10-($D$9:$L$9+INT(($S$12:$AA$12+INDEX($AJ$13:$AR$162,BN3929,0)+INDEX($AT$13:$BB$162,BO3929,0)+INDEX($BD$13:$BL$162,BP3929,0))/100)))&gt;0)*($D$10:$L$10-($D$9:$L$9+INT(($S$12:$AA$12+INDEX($AJ$13:$AR$162,BN3929,0)+INDEX($AT$13:$BB$162,BO3929,0)+INDEX($BD$13:$BL$162,BP3929,0))/100)))),0)</f>
        <v/>
      </c>
      <c r="BS3929">
        <f>IF(3916&lt;$U$9,SUMPRODUCT(($D$9:$L$9+INT(($S$12:$AA$12+INDEX($AJ$13:$AR$162,BN3929,0)+INDEX($AT$13:$BB$162,BO3929,0)+INDEX($BD$13:$BL$162,BP3929,0))/100))),0)</f>
        <v/>
      </c>
      <c r="BT3929">
        <f>IF(AND(3916&lt;$U$9,$W$5),BQ3929*1000000-MIN(BR3929,999)*1000+BS3929-3916/100000,-1000000000-3916)</f>
        <v/>
      </c>
    </row>
    <row r="3930">
      <c r="BN3930">
        <f>IF(3917&lt;$U$9,INT(3917/($U$7*$U$8))+1,1)</f>
        <v/>
      </c>
      <c r="BO3930">
        <f>IF(3917&lt;$U$9,MOD(INT(3917/$U$8),$U$7)+1,1)</f>
        <v/>
      </c>
      <c r="BP3930">
        <f>IF(3917&lt;$U$9,MOD(3917,$U$8)+1,1)</f>
        <v/>
      </c>
      <c r="BQ3930">
        <f>IF(3917&lt;$U$9,SUMPRODUCT(($D$10:$L$10&lt;&gt;"")*(($D$9:$L$9+INT(($S$12:$AA$12+INDEX($AJ$13:$AR$162,BN3930,0)+INDEX($AT$13:$BB$162,BO3930,0)+INDEX($BD$13:$BL$162,BP3930,0))/100))&gt;=$D$10:$L$10)),0)</f>
        <v/>
      </c>
      <c r="BR3930">
        <f>IF(3917&lt;$U$9,SUMPRODUCT(($D$10:$L$10&lt;&gt;"")*(($D$10:$L$10-($D$9:$L$9+INT(($S$12:$AA$12+INDEX($AJ$13:$AR$162,BN3930,0)+INDEX($AT$13:$BB$162,BO3930,0)+INDEX($BD$13:$BL$162,BP3930,0))/100)))&gt;0)*($D$10:$L$10-($D$9:$L$9+INT(($S$12:$AA$12+INDEX($AJ$13:$AR$162,BN3930,0)+INDEX($AT$13:$BB$162,BO3930,0)+INDEX($BD$13:$BL$162,BP3930,0))/100)))),0)</f>
        <v/>
      </c>
      <c r="BS3930">
        <f>IF(3917&lt;$U$9,SUMPRODUCT(($D$9:$L$9+INT(($S$12:$AA$12+INDEX($AJ$13:$AR$162,BN3930,0)+INDEX($AT$13:$BB$162,BO3930,0)+INDEX($BD$13:$BL$162,BP3930,0))/100))),0)</f>
        <v/>
      </c>
      <c r="BT3930">
        <f>IF(AND(3917&lt;$U$9,$W$5),BQ3930*1000000-MIN(BR3930,999)*1000+BS3930-3917/100000,-1000000000-3917)</f>
        <v/>
      </c>
    </row>
    <row r="3931">
      <c r="BN3931">
        <f>IF(3918&lt;$U$9,INT(3918/($U$7*$U$8))+1,1)</f>
        <v/>
      </c>
      <c r="BO3931">
        <f>IF(3918&lt;$U$9,MOD(INT(3918/$U$8),$U$7)+1,1)</f>
        <v/>
      </c>
      <c r="BP3931">
        <f>IF(3918&lt;$U$9,MOD(3918,$U$8)+1,1)</f>
        <v/>
      </c>
      <c r="BQ3931">
        <f>IF(3918&lt;$U$9,SUMPRODUCT(($D$10:$L$10&lt;&gt;"")*(($D$9:$L$9+INT(($S$12:$AA$12+INDEX($AJ$13:$AR$162,BN3931,0)+INDEX($AT$13:$BB$162,BO3931,0)+INDEX($BD$13:$BL$162,BP3931,0))/100))&gt;=$D$10:$L$10)),0)</f>
        <v/>
      </c>
      <c r="BR3931">
        <f>IF(3918&lt;$U$9,SUMPRODUCT(($D$10:$L$10&lt;&gt;"")*(($D$10:$L$10-($D$9:$L$9+INT(($S$12:$AA$12+INDEX($AJ$13:$AR$162,BN3931,0)+INDEX($AT$13:$BB$162,BO3931,0)+INDEX($BD$13:$BL$162,BP3931,0))/100)))&gt;0)*($D$10:$L$10-($D$9:$L$9+INT(($S$12:$AA$12+INDEX($AJ$13:$AR$162,BN3931,0)+INDEX($AT$13:$BB$162,BO3931,0)+INDEX($BD$13:$BL$162,BP3931,0))/100)))),0)</f>
        <v/>
      </c>
      <c r="BS3931">
        <f>IF(3918&lt;$U$9,SUMPRODUCT(($D$9:$L$9+INT(($S$12:$AA$12+INDEX($AJ$13:$AR$162,BN3931,0)+INDEX($AT$13:$BB$162,BO3931,0)+INDEX($BD$13:$BL$162,BP3931,0))/100))),0)</f>
        <v/>
      </c>
      <c r="BT3931">
        <f>IF(AND(3918&lt;$U$9,$W$5),BQ3931*1000000-MIN(BR3931,999)*1000+BS3931-3918/100000,-1000000000-3918)</f>
        <v/>
      </c>
    </row>
    <row r="3932">
      <c r="BN3932">
        <f>IF(3919&lt;$U$9,INT(3919/($U$7*$U$8))+1,1)</f>
        <v/>
      </c>
      <c r="BO3932">
        <f>IF(3919&lt;$U$9,MOD(INT(3919/$U$8),$U$7)+1,1)</f>
        <v/>
      </c>
      <c r="BP3932">
        <f>IF(3919&lt;$U$9,MOD(3919,$U$8)+1,1)</f>
        <v/>
      </c>
      <c r="BQ3932">
        <f>IF(3919&lt;$U$9,SUMPRODUCT(($D$10:$L$10&lt;&gt;"")*(($D$9:$L$9+INT(($S$12:$AA$12+INDEX($AJ$13:$AR$162,BN3932,0)+INDEX($AT$13:$BB$162,BO3932,0)+INDEX($BD$13:$BL$162,BP3932,0))/100))&gt;=$D$10:$L$10)),0)</f>
        <v/>
      </c>
      <c r="BR3932">
        <f>IF(3919&lt;$U$9,SUMPRODUCT(($D$10:$L$10&lt;&gt;"")*(($D$10:$L$10-($D$9:$L$9+INT(($S$12:$AA$12+INDEX($AJ$13:$AR$162,BN3932,0)+INDEX($AT$13:$BB$162,BO3932,0)+INDEX($BD$13:$BL$162,BP3932,0))/100)))&gt;0)*($D$10:$L$10-($D$9:$L$9+INT(($S$12:$AA$12+INDEX($AJ$13:$AR$162,BN3932,0)+INDEX($AT$13:$BB$162,BO3932,0)+INDEX($BD$13:$BL$162,BP3932,0))/100)))),0)</f>
        <v/>
      </c>
      <c r="BS3932">
        <f>IF(3919&lt;$U$9,SUMPRODUCT(($D$9:$L$9+INT(($S$12:$AA$12+INDEX($AJ$13:$AR$162,BN3932,0)+INDEX($AT$13:$BB$162,BO3932,0)+INDEX($BD$13:$BL$162,BP3932,0))/100))),0)</f>
        <v/>
      </c>
      <c r="BT3932">
        <f>IF(AND(3919&lt;$U$9,$W$5),BQ3932*1000000-MIN(BR3932,999)*1000+BS3932-3919/100000,-1000000000-3919)</f>
        <v/>
      </c>
    </row>
    <row r="3933">
      <c r="BN3933">
        <f>IF(3920&lt;$U$9,INT(3920/($U$7*$U$8))+1,1)</f>
        <v/>
      </c>
      <c r="BO3933">
        <f>IF(3920&lt;$U$9,MOD(INT(3920/$U$8),$U$7)+1,1)</f>
        <v/>
      </c>
      <c r="BP3933">
        <f>IF(3920&lt;$U$9,MOD(3920,$U$8)+1,1)</f>
        <v/>
      </c>
      <c r="BQ3933">
        <f>IF(3920&lt;$U$9,SUMPRODUCT(($D$10:$L$10&lt;&gt;"")*(($D$9:$L$9+INT(($S$12:$AA$12+INDEX($AJ$13:$AR$162,BN3933,0)+INDEX($AT$13:$BB$162,BO3933,0)+INDEX($BD$13:$BL$162,BP3933,0))/100))&gt;=$D$10:$L$10)),0)</f>
        <v/>
      </c>
      <c r="BR3933">
        <f>IF(3920&lt;$U$9,SUMPRODUCT(($D$10:$L$10&lt;&gt;"")*(($D$10:$L$10-($D$9:$L$9+INT(($S$12:$AA$12+INDEX($AJ$13:$AR$162,BN3933,0)+INDEX($AT$13:$BB$162,BO3933,0)+INDEX($BD$13:$BL$162,BP3933,0))/100)))&gt;0)*($D$10:$L$10-($D$9:$L$9+INT(($S$12:$AA$12+INDEX($AJ$13:$AR$162,BN3933,0)+INDEX($AT$13:$BB$162,BO3933,0)+INDEX($BD$13:$BL$162,BP3933,0))/100)))),0)</f>
        <v/>
      </c>
      <c r="BS3933">
        <f>IF(3920&lt;$U$9,SUMPRODUCT(($D$9:$L$9+INT(($S$12:$AA$12+INDEX($AJ$13:$AR$162,BN3933,0)+INDEX($AT$13:$BB$162,BO3933,0)+INDEX($BD$13:$BL$162,BP3933,0))/100))),0)</f>
        <v/>
      </c>
      <c r="BT3933">
        <f>IF(AND(3920&lt;$U$9,$W$5),BQ3933*1000000-MIN(BR3933,999)*1000+BS3933-3920/100000,-1000000000-3920)</f>
        <v/>
      </c>
    </row>
    <row r="3934">
      <c r="BN3934">
        <f>IF(3921&lt;$U$9,INT(3921/($U$7*$U$8))+1,1)</f>
        <v/>
      </c>
      <c r="BO3934">
        <f>IF(3921&lt;$U$9,MOD(INT(3921/$U$8),$U$7)+1,1)</f>
        <v/>
      </c>
      <c r="BP3934">
        <f>IF(3921&lt;$U$9,MOD(3921,$U$8)+1,1)</f>
        <v/>
      </c>
      <c r="BQ3934">
        <f>IF(3921&lt;$U$9,SUMPRODUCT(($D$10:$L$10&lt;&gt;"")*(($D$9:$L$9+INT(($S$12:$AA$12+INDEX($AJ$13:$AR$162,BN3934,0)+INDEX($AT$13:$BB$162,BO3934,0)+INDEX($BD$13:$BL$162,BP3934,0))/100))&gt;=$D$10:$L$10)),0)</f>
        <v/>
      </c>
      <c r="BR3934">
        <f>IF(3921&lt;$U$9,SUMPRODUCT(($D$10:$L$10&lt;&gt;"")*(($D$10:$L$10-($D$9:$L$9+INT(($S$12:$AA$12+INDEX($AJ$13:$AR$162,BN3934,0)+INDEX($AT$13:$BB$162,BO3934,0)+INDEX($BD$13:$BL$162,BP3934,0))/100)))&gt;0)*($D$10:$L$10-($D$9:$L$9+INT(($S$12:$AA$12+INDEX($AJ$13:$AR$162,BN3934,0)+INDEX($AT$13:$BB$162,BO3934,0)+INDEX($BD$13:$BL$162,BP3934,0))/100)))),0)</f>
        <v/>
      </c>
      <c r="BS3934">
        <f>IF(3921&lt;$U$9,SUMPRODUCT(($D$9:$L$9+INT(($S$12:$AA$12+INDEX($AJ$13:$AR$162,BN3934,0)+INDEX($AT$13:$BB$162,BO3934,0)+INDEX($BD$13:$BL$162,BP3934,0))/100))),0)</f>
        <v/>
      </c>
      <c r="BT3934">
        <f>IF(AND(3921&lt;$U$9,$W$5),BQ3934*1000000-MIN(BR3934,999)*1000+BS3934-3921/100000,-1000000000-3921)</f>
        <v/>
      </c>
    </row>
    <row r="3935">
      <c r="BN3935">
        <f>IF(3922&lt;$U$9,INT(3922/($U$7*$U$8))+1,1)</f>
        <v/>
      </c>
      <c r="BO3935">
        <f>IF(3922&lt;$U$9,MOD(INT(3922/$U$8),$U$7)+1,1)</f>
        <v/>
      </c>
      <c r="BP3935">
        <f>IF(3922&lt;$U$9,MOD(3922,$U$8)+1,1)</f>
        <v/>
      </c>
      <c r="BQ3935">
        <f>IF(3922&lt;$U$9,SUMPRODUCT(($D$10:$L$10&lt;&gt;"")*(($D$9:$L$9+INT(($S$12:$AA$12+INDEX($AJ$13:$AR$162,BN3935,0)+INDEX($AT$13:$BB$162,BO3935,0)+INDEX($BD$13:$BL$162,BP3935,0))/100))&gt;=$D$10:$L$10)),0)</f>
        <v/>
      </c>
      <c r="BR3935">
        <f>IF(3922&lt;$U$9,SUMPRODUCT(($D$10:$L$10&lt;&gt;"")*(($D$10:$L$10-($D$9:$L$9+INT(($S$12:$AA$12+INDEX($AJ$13:$AR$162,BN3935,0)+INDEX($AT$13:$BB$162,BO3935,0)+INDEX($BD$13:$BL$162,BP3935,0))/100)))&gt;0)*($D$10:$L$10-($D$9:$L$9+INT(($S$12:$AA$12+INDEX($AJ$13:$AR$162,BN3935,0)+INDEX($AT$13:$BB$162,BO3935,0)+INDEX($BD$13:$BL$162,BP3935,0))/100)))),0)</f>
        <v/>
      </c>
      <c r="BS3935">
        <f>IF(3922&lt;$U$9,SUMPRODUCT(($D$9:$L$9+INT(($S$12:$AA$12+INDEX($AJ$13:$AR$162,BN3935,0)+INDEX($AT$13:$BB$162,BO3935,0)+INDEX($BD$13:$BL$162,BP3935,0))/100))),0)</f>
        <v/>
      </c>
      <c r="BT3935">
        <f>IF(AND(3922&lt;$U$9,$W$5),BQ3935*1000000-MIN(BR3935,999)*1000+BS3935-3922/100000,-1000000000-3922)</f>
        <v/>
      </c>
    </row>
    <row r="3936">
      <c r="BN3936">
        <f>IF(3923&lt;$U$9,INT(3923/($U$7*$U$8))+1,1)</f>
        <v/>
      </c>
      <c r="BO3936">
        <f>IF(3923&lt;$U$9,MOD(INT(3923/$U$8),$U$7)+1,1)</f>
        <v/>
      </c>
      <c r="BP3936">
        <f>IF(3923&lt;$U$9,MOD(3923,$U$8)+1,1)</f>
        <v/>
      </c>
      <c r="BQ3936">
        <f>IF(3923&lt;$U$9,SUMPRODUCT(($D$10:$L$10&lt;&gt;"")*(($D$9:$L$9+INT(($S$12:$AA$12+INDEX($AJ$13:$AR$162,BN3936,0)+INDEX($AT$13:$BB$162,BO3936,0)+INDEX($BD$13:$BL$162,BP3936,0))/100))&gt;=$D$10:$L$10)),0)</f>
        <v/>
      </c>
      <c r="BR3936">
        <f>IF(3923&lt;$U$9,SUMPRODUCT(($D$10:$L$10&lt;&gt;"")*(($D$10:$L$10-($D$9:$L$9+INT(($S$12:$AA$12+INDEX($AJ$13:$AR$162,BN3936,0)+INDEX($AT$13:$BB$162,BO3936,0)+INDEX($BD$13:$BL$162,BP3936,0))/100)))&gt;0)*($D$10:$L$10-($D$9:$L$9+INT(($S$12:$AA$12+INDEX($AJ$13:$AR$162,BN3936,0)+INDEX($AT$13:$BB$162,BO3936,0)+INDEX($BD$13:$BL$162,BP3936,0))/100)))),0)</f>
        <v/>
      </c>
      <c r="BS3936">
        <f>IF(3923&lt;$U$9,SUMPRODUCT(($D$9:$L$9+INT(($S$12:$AA$12+INDEX($AJ$13:$AR$162,BN3936,0)+INDEX($AT$13:$BB$162,BO3936,0)+INDEX($BD$13:$BL$162,BP3936,0))/100))),0)</f>
        <v/>
      </c>
      <c r="BT3936">
        <f>IF(AND(3923&lt;$U$9,$W$5),BQ3936*1000000-MIN(BR3936,999)*1000+BS3936-3923/100000,-1000000000-3923)</f>
        <v/>
      </c>
    </row>
    <row r="3937">
      <c r="BN3937">
        <f>IF(3924&lt;$U$9,INT(3924/($U$7*$U$8))+1,1)</f>
        <v/>
      </c>
      <c r="BO3937">
        <f>IF(3924&lt;$U$9,MOD(INT(3924/$U$8),$U$7)+1,1)</f>
        <v/>
      </c>
      <c r="BP3937">
        <f>IF(3924&lt;$U$9,MOD(3924,$U$8)+1,1)</f>
        <v/>
      </c>
      <c r="BQ3937">
        <f>IF(3924&lt;$U$9,SUMPRODUCT(($D$10:$L$10&lt;&gt;"")*(($D$9:$L$9+INT(($S$12:$AA$12+INDEX($AJ$13:$AR$162,BN3937,0)+INDEX($AT$13:$BB$162,BO3937,0)+INDEX($BD$13:$BL$162,BP3937,0))/100))&gt;=$D$10:$L$10)),0)</f>
        <v/>
      </c>
      <c r="BR3937">
        <f>IF(3924&lt;$U$9,SUMPRODUCT(($D$10:$L$10&lt;&gt;"")*(($D$10:$L$10-($D$9:$L$9+INT(($S$12:$AA$12+INDEX($AJ$13:$AR$162,BN3937,0)+INDEX($AT$13:$BB$162,BO3937,0)+INDEX($BD$13:$BL$162,BP3937,0))/100)))&gt;0)*($D$10:$L$10-($D$9:$L$9+INT(($S$12:$AA$12+INDEX($AJ$13:$AR$162,BN3937,0)+INDEX($AT$13:$BB$162,BO3937,0)+INDEX($BD$13:$BL$162,BP3937,0))/100)))),0)</f>
        <v/>
      </c>
      <c r="BS3937">
        <f>IF(3924&lt;$U$9,SUMPRODUCT(($D$9:$L$9+INT(($S$12:$AA$12+INDEX($AJ$13:$AR$162,BN3937,0)+INDEX($AT$13:$BB$162,BO3937,0)+INDEX($BD$13:$BL$162,BP3937,0))/100))),0)</f>
        <v/>
      </c>
      <c r="BT3937">
        <f>IF(AND(3924&lt;$U$9,$W$5),BQ3937*1000000-MIN(BR3937,999)*1000+BS3937-3924/100000,-1000000000-3924)</f>
        <v/>
      </c>
    </row>
    <row r="3938">
      <c r="BN3938">
        <f>IF(3925&lt;$U$9,INT(3925/($U$7*$U$8))+1,1)</f>
        <v/>
      </c>
      <c r="BO3938">
        <f>IF(3925&lt;$U$9,MOD(INT(3925/$U$8),$U$7)+1,1)</f>
        <v/>
      </c>
      <c r="BP3938">
        <f>IF(3925&lt;$U$9,MOD(3925,$U$8)+1,1)</f>
        <v/>
      </c>
      <c r="BQ3938">
        <f>IF(3925&lt;$U$9,SUMPRODUCT(($D$10:$L$10&lt;&gt;"")*(($D$9:$L$9+INT(($S$12:$AA$12+INDEX($AJ$13:$AR$162,BN3938,0)+INDEX($AT$13:$BB$162,BO3938,0)+INDEX($BD$13:$BL$162,BP3938,0))/100))&gt;=$D$10:$L$10)),0)</f>
        <v/>
      </c>
      <c r="BR3938">
        <f>IF(3925&lt;$U$9,SUMPRODUCT(($D$10:$L$10&lt;&gt;"")*(($D$10:$L$10-($D$9:$L$9+INT(($S$12:$AA$12+INDEX($AJ$13:$AR$162,BN3938,0)+INDEX($AT$13:$BB$162,BO3938,0)+INDEX($BD$13:$BL$162,BP3938,0))/100)))&gt;0)*($D$10:$L$10-($D$9:$L$9+INT(($S$12:$AA$12+INDEX($AJ$13:$AR$162,BN3938,0)+INDEX($AT$13:$BB$162,BO3938,0)+INDEX($BD$13:$BL$162,BP3938,0))/100)))),0)</f>
        <v/>
      </c>
      <c r="BS3938">
        <f>IF(3925&lt;$U$9,SUMPRODUCT(($D$9:$L$9+INT(($S$12:$AA$12+INDEX($AJ$13:$AR$162,BN3938,0)+INDEX($AT$13:$BB$162,BO3938,0)+INDEX($BD$13:$BL$162,BP3938,0))/100))),0)</f>
        <v/>
      </c>
      <c r="BT3938">
        <f>IF(AND(3925&lt;$U$9,$W$5),BQ3938*1000000-MIN(BR3938,999)*1000+BS3938-3925/100000,-1000000000-3925)</f>
        <v/>
      </c>
    </row>
    <row r="3939">
      <c r="BN3939">
        <f>IF(3926&lt;$U$9,INT(3926/($U$7*$U$8))+1,1)</f>
        <v/>
      </c>
      <c r="BO3939">
        <f>IF(3926&lt;$U$9,MOD(INT(3926/$U$8),$U$7)+1,1)</f>
        <v/>
      </c>
      <c r="BP3939">
        <f>IF(3926&lt;$U$9,MOD(3926,$U$8)+1,1)</f>
        <v/>
      </c>
      <c r="BQ3939">
        <f>IF(3926&lt;$U$9,SUMPRODUCT(($D$10:$L$10&lt;&gt;"")*(($D$9:$L$9+INT(($S$12:$AA$12+INDEX($AJ$13:$AR$162,BN3939,0)+INDEX($AT$13:$BB$162,BO3939,0)+INDEX($BD$13:$BL$162,BP3939,0))/100))&gt;=$D$10:$L$10)),0)</f>
        <v/>
      </c>
      <c r="BR3939">
        <f>IF(3926&lt;$U$9,SUMPRODUCT(($D$10:$L$10&lt;&gt;"")*(($D$10:$L$10-($D$9:$L$9+INT(($S$12:$AA$12+INDEX($AJ$13:$AR$162,BN3939,0)+INDEX($AT$13:$BB$162,BO3939,0)+INDEX($BD$13:$BL$162,BP3939,0))/100)))&gt;0)*($D$10:$L$10-($D$9:$L$9+INT(($S$12:$AA$12+INDEX($AJ$13:$AR$162,BN3939,0)+INDEX($AT$13:$BB$162,BO3939,0)+INDEX($BD$13:$BL$162,BP3939,0))/100)))),0)</f>
        <v/>
      </c>
      <c r="BS3939">
        <f>IF(3926&lt;$U$9,SUMPRODUCT(($D$9:$L$9+INT(($S$12:$AA$12+INDEX($AJ$13:$AR$162,BN3939,0)+INDEX($AT$13:$BB$162,BO3939,0)+INDEX($BD$13:$BL$162,BP3939,0))/100))),0)</f>
        <v/>
      </c>
      <c r="BT3939">
        <f>IF(AND(3926&lt;$U$9,$W$5),BQ3939*1000000-MIN(BR3939,999)*1000+BS3939-3926/100000,-1000000000-3926)</f>
        <v/>
      </c>
    </row>
    <row r="3940">
      <c r="BN3940">
        <f>IF(3927&lt;$U$9,INT(3927/($U$7*$U$8))+1,1)</f>
        <v/>
      </c>
      <c r="BO3940">
        <f>IF(3927&lt;$U$9,MOD(INT(3927/$U$8),$U$7)+1,1)</f>
        <v/>
      </c>
      <c r="BP3940">
        <f>IF(3927&lt;$U$9,MOD(3927,$U$8)+1,1)</f>
        <v/>
      </c>
      <c r="BQ3940">
        <f>IF(3927&lt;$U$9,SUMPRODUCT(($D$10:$L$10&lt;&gt;"")*(($D$9:$L$9+INT(($S$12:$AA$12+INDEX($AJ$13:$AR$162,BN3940,0)+INDEX($AT$13:$BB$162,BO3940,0)+INDEX($BD$13:$BL$162,BP3940,0))/100))&gt;=$D$10:$L$10)),0)</f>
        <v/>
      </c>
      <c r="BR3940">
        <f>IF(3927&lt;$U$9,SUMPRODUCT(($D$10:$L$10&lt;&gt;"")*(($D$10:$L$10-($D$9:$L$9+INT(($S$12:$AA$12+INDEX($AJ$13:$AR$162,BN3940,0)+INDEX($AT$13:$BB$162,BO3940,0)+INDEX($BD$13:$BL$162,BP3940,0))/100)))&gt;0)*($D$10:$L$10-($D$9:$L$9+INT(($S$12:$AA$12+INDEX($AJ$13:$AR$162,BN3940,0)+INDEX($AT$13:$BB$162,BO3940,0)+INDEX($BD$13:$BL$162,BP3940,0))/100)))),0)</f>
        <v/>
      </c>
      <c r="BS3940">
        <f>IF(3927&lt;$U$9,SUMPRODUCT(($D$9:$L$9+INT(($S$12:$AA$12+INDEX($AJ$13:$AR$162,BN3940,0)+INDEX($AT$13:$BB$162,BO3940,0)+INDEX($BD$13:$BL$162,BP3940,0))/100))),0)</f>
        <v/>
      </c>
      <c r="BT3940">
        <f>IF(AND(3927&lt;$U$9,$W$5),BQ3940*1000000-MIN(BR3940,999)*1000+BS3940-3927/100000,-1000000000-3927)</f>
        <v/>
      </c>
    </row>
    <row r="3941">
      <c r="BN3941">
        <f>IF(3928&lt;$U$9,INT(3928/($U$7*$U$8))+1,1)</f>
        <v/>
      </c>
      <c r="BO3941">
        <f>IF(3928&lt;$U$9,MOD(INT(3928/$U$8),$U$7)+1,1)</f>
        <v/>
      </c>
      <c r="BP3941">
        <f>IF(3928&lt;$U$9,MOD(3928,$U$8)+1,1)</f>
        <v/>
      </c>
      <c r="BQ3941">
        <f>IF(3928&lt;$U$9,SUMPRODUCT(($D$10:$L$10&lt;&gt;"")*(($D$9:$L$9+INT(($S$12:$AA$12+INDEX($AJ$13:$AR$162,BN3941,0)+INDEX($AT$13:$BB$162,BO3941,0)+INDEX($BD$13:$BL$162,BP3941,0))/100))&gt;=$D$10:$L$10)),0)</f>
        <v/>
      </c>
      <c r="BR3941">
        <f>IF(3928&lt;$U$9,SUMPRODUCT(($D$10:$L$10&lt;&gt;"")*(($D$10:$L$10-($D$9:$L$9+INT(($S$12:$AA$12+INDEX($AJ$13:$AR$162,BN3941,0)+INDEX($AT$13:$BB$162,BO3941,0)+INDEX($BD$13:$BL$162,BP3941,0))/100)))&gt;0)*($D$10:$L$10-($D$9:$L$9+INT(($S$12:$AA$12+INDEX($AJ$13:$AR$162,BN3941,0)+INDEX($AT$13:$BB$162,BO3941,0)+INDEX($BD$13:$BL$162,BP3941,0))/100)))),0)</f>
        <v/>
      </c>
      <c r="BS3941">
        <f>IF(3928&lt;$U$9,SUMPRODUCT(($D$9:$L$9+INT(($S$12:$AA$12+INDEX($AJ$13:$AR$162,BN3941,0)+INDEX($AT$13:$BB$162,BO3941,0)+INDEX($BD$13:$BL$162,BP3941,0))/100))),0)</f>
        <v/>
      </c>
      <c r="BT3941">
        <f>IF(AND(3928&lt;$U$9,$W$5),BQ3941*1000000-MIN(BR3941,999)*1000+BS3941-3928/100000,-1000000000-3928)</f>
        <v/>
      </c>
    </row>
    <row r="3942">
      <c r="BN3942">
        <f>IF(3929&lt;$U$9,INT(3929/($U$7*$U$8))+1,1)</f>
        <v/>
      </c>
      <c r="BO3942">
        <f>IF(3929&lt;$U$9,MOD(INT(3929/$U$8),$U$7)+1,1)</f>
        <v/>
      </c>
      <c r="BP3942">
        <f>IF(3929&lt;$U$9,MOD(3929,$U$8)+1,1)</f>
        <v/>
      </c>
      <c r="BQ3942">
        <f>IF(3929&lt;$U$9,SUMPRODUCT(($D$10:$L$10&lt;&gt;"")*(($D$9:$L$9+INT(($S$12:$AA$12+INDEX($AJ$13:$AR$162,BN3942,0)+INDEX($AT$13:$BB$162,BO3942,0)+INDEX($BD$13:$BL$162,BP3942,0))/100))&gt;=$D$10:$L$10)),0)</f>
        <v/>
      </c>
      <c r="BR3942">
        <f>IF(3929&lt;$U$9,SUMPRODUCT(($D$10:$L$10&lt;&gt;"")*(($D$10:$L$10-($D$9:$L$9+INT(($S$12:$AA$12+INDEX($AJ$13:$AR$162,BN3942,0)+INDEX($AT$13:$BB$162,BO3942,0)+INDEX($BD$13:$BL$162,BP3942,0))/100)))&gt;0)*($D$10:$L$10-($D$9:$L$9+INT(($S$12:$AA$12+INDEX($AJ$13:$AR$162,BN3942,0)+INDEX($AT$13:$BB$162,BO3942,0)+INDEX($BD$13:$BL$162,BP3942,0))/100)))),0)</f>
        <v/>
      </c>
      <c r="BS3942">
        <f>IF(3929&lt;$U$9,SUMPRODUCT(($D$9:$L$9+INT(($S$12:$AA$12+INDEX($AJ$13:$AR$162,BN3942,0)+INDEX($AT$13:$BB$162,BO3942,0)+INDEX($BD$13:$BL$162,BP3942,0))/100))),0)</f>
        <v/>
      </c>
      <c r="BT3942">
        <f>IF(AND(3929&lt;$U$9,$W$5),BQ3942*1000000-MIN(BR3942,999)*1000+BS3942-3929/100000,-1000000000-3929)</f>
        <v/>
      </c>
    </row>
    <row r="3943">
      <c r="BN3943">
        <f>IF(3930&lt;$U$9,INT(3930/($U$7*$U$8))+1,1)</f>
        <v/>
      </c>
      <c r="BO3943">
        <f>IF(3930&lt;$U$9,MOD(INT(3930/$U$8),$U$7)+1,1)</f>
        <v/>
      </c>
      <c r="BP3943">
        <f>IF(3930&lt;$U$9,MOD(3930,$U$8)+1,1)</f>
        <v/>
      </c>
      <c r="BQ3943">
        <f>IF(3930&lt;$U$9,SUMPRODUCT(($D$10:$L$10&lt;&gt;"")*(($D$9:$L$9+INT(($S$12:$AA$12+INDEX($AJ$13:$AR$162,BN3943,0)+INDEX($AT$13:$BB$162,BO3943,0)+INDEX($BD$13:$BL$162,BP3943,0))/100))&gt;=$D$10:$L$10)),0)</f>
        <v/>
      </c>
      <c r="BR3943">
        <f>IF(3930&lt;$U$9,SUMPRODUCT(($D$10:$L$10&lt;&gt;"")*(($D$10:$L$10-($D$9:$L$9+INT(($S$12:$AA$12+INDEX($AJ$13:$AR$162,BN3943,0)+INDEX($AT$13:$BB$162,BO3943,0)+INDEX($BD$13:$BL$162,BP3943,0))/100)))&gt;0)*($D$10:$L$10-($D$9:$L$9+INT(($S$12:$AA$12+INDEX($AJ$13:$AR$162,BN3943,0)+INDEX($AT$13:$BB$162,BO3943,0)+INDEX($BD$13:$BL$162,BP3943,0))/100)))),0)</f>
        <v/>
      </c>
      <c r="BS3943">
        <f>IF(3930&lt;$U$9,SUMPRODUCT(($D$9:$L$9+INT(($S$12:$AA$12+INDEX($AJ$13:$AR$162,BN3943,0)+INDEX($AT$13:$BB$162,BO3943,0)+INDEX($BD$13:$BL$162,BP3943,0))/100))),0)</f>
        <v/>
      </c>
      <c r="BT3943">
        <f>IF(AND(3930&lt;$U$9,$W$5),BQ3943*1000000-MIN(BR3943,999)*1000+BS3943-3930/100000,-1000000000-3930)</f>
        <v/>
      </c>
    </row>
    <row r="3944">
      <c r="BN3944">
        <f>IF(3931&lt;$U$9,INT(3931/($U$7*$U$8))+1,1)</f>
        <v/>
      </c>
      <c r="BO3944">
        <f>IF(3931&lt;$U$9,MOD(INT(3931/$U$8),$U$7)+1,1)</f>
        <v/>
      </c>
      <c r="BP3944">
        <f>IF(3931&lt;$U$9,MOD(3931,$U$8)+1,1)</f>
        <v/>
      </c>
      <c r="BQ3944">
        <f>IF(3931&lt;$U$9,SUMPRODUCT(($D$10:$L$10&lt;&gt;"")*(($D$9:$L$9+INT(($S$12:$AA$12+INDEX($AJ$13:$AR$162,BN3944,0)+INDEX($AT$13:$BB$162,BO3944,0)+INDEX($BD$13:$BL$162,BP3944,0))/100))&gt;=$D$10:$L$10)),0)</f>
        <v/>
      </c>
      <c r="BR3944">
        <f>IF(3931&lt;$U$9,SUMPRODUCT(($D$10:$L$10&lt;&gt;"")*(($D$10:$L$10-($D$9:$L$9+INT(($S$12:$AA$12+INDEX($AJ$13:$AR$162,BN3944,0)+INDEX($AT$13:$BB$162,BO3944,0)+INDEX($BD$13:$BL$162,BP3944,0))/100)))&gt;0)*($D$10:$L$10-($D$9:$L$9+INT(($S$12:$AA$12+INDEX($AJ$13:$AR$162,BN3944,0)+INDEX($AT$13:$BB$162,BO3944,0)+INDEX($BD$13:$BL$162,BP3944,0))/100)))),0)</f>
        <v/>
      </c>
      <c r="BS3944">
        <f>IF(3931&lt;$U$9,SUMPRODUCT(($D$9:$L$9+INT(($S$12:$AA$12+INDEX($AJ$13:$AR$162,BN3944,0)+INDEX($AT$13:$BB$162,BO3944,0)+INDEX($BD$13:$BL$162,BP3944,0))/100))),0)</f>
        <v/>
      </c>
      <c r="BT3944">
        <f>IF(AND(3931&lt;$U$9,$W$5),BQ3944*1000000-MIN(BR3944,999)*1000+BS3944-3931/100000,-1000000000-3931)</f>
        <v/>
      </c>
    </row>
    <row r="3945">
      <c r="BN3945">
        <f>IF(3932&lt;$U$9,INT(3932/($U$7*$U$8))+1,1)</f>
        <v/>
      </c>
      <c r="BO3945">
        <f>IF(3932&lt;$U$9,MOD(INT(3932/$U$8),$U$7)+1,1)</f>
        <v/>
      </c>
      <c r="BP3945">
        <f>IF(3932&lt;$U$9,MOD(3932,$U$8)+1,1)</f>
        <v/>
      </c>
      <c r="BQ3945">
        <f>IF(3932&lt;$U$9,SUMPRODUCT(($D$10:$L$10&lt;&gt;"")*(($D$9:$L$9+INT(($S$12:$AA$12+INDEX($AJ$13:$AR$162,BN3945,0)+INDEX($AT$13:$BB$162,BO3945,0)+INDEX($BD$13:$BL$162,BP3945,0))/100))&gt;=$D$10:$L$10)),0)</f>
        <v/>
      </c>
      <c r="BR3945">
        <f>IF(3932&lt;$U$9,SUMPRODUCT(($D$10:$L$10&lt;&gt;"")*(($D$10:$L$10-($D$9:$L$9+INT(($S$12:$AA$12+INDEX($AJ$13:$AR$162,BN3945,0)+INDEX($AT$13:$BB$162,BO3945,0)+INDEX($BD$13:$BL$162,BP3945,0))/100)))&gt;0)*($D$10:$L$10-($D$9:$L$9+INT(($S$12:$AA$12+INDEX($AJ$13:$AR$162,BN3945,0)+INDEX($AT$13:$BB$162,BO3945,0)+INDEX($BD$13:$BL$162,BP3945,0))/100)))),0)</f>
        <v/>
      </c>
      <c r="BS3945">
        <f>IF(3932&lt;$U$9,SUMPRODUCT(($D$9:$L$9+INT(($S$12:$AA$12+INDEX($AJ$13:$AR$162,BN3945,0)+INDEX($AT$13:$BB$162,BO3945,0)+INDEX($BD$13:$BL$162,BP3945,0))/100))),0)</f>
        <v/>
      </c>
      <c r="BT3945">
        <f>IF(AND(3932&lt;$U$9,$W$5),BQ3945*1000000-MIN(BR3945,999)*1000+BS3945-3932/100000,-1000000000-3932)</f>
        <v/>
      </c>
    </row>
    <row r="3946">
      <c r="BN3946">
        <f>IF(3933&lt;$U$9,INT(3933/($U$7*$U$8))+1,1)</f>
        <v/>
      </c>
      <c r="BO3946">
        <f>IF(3933&lt;$U$9,MOD(INT(3933/$U$8),$U$7)+1,1)</f>
        <v/>
      </c>
      <c r="BP3946">
        <f>IF(3933&lt;$U$9,MOD(3933,$U$8)+1,1)</f>
        <v/>
      </c>
      <c r="BQ3946">
        <f>IF(3933&lt;$U$9,SUMPRODUCT(($D$10:$L$10&lt;&gt;"")*(($D$9:$L$9+INT(($S$12:$AA$12+INDEX($AJ$13:$AR$162,BN3946,0)+INDEX($AT$13:$BB$162,BO3946,0)+INDEX($BD$13:$BL$162,BP3946,0))/100))&gt;=$D$10:$L$10)),0)</f>
        <v/>
      </c>
      <c r="BR3946">
        <f>IF(3933&lt;$U$9,SUMPRODUCT(($D$10:$L$10&lt;&gt;"")*(($D$10:$L$10-($D$9:$L$9+INT(($S$12:$AA$12+INDEX($AJ$13:$AR$162,BN3946,0)+INDEX($AT$13:$BB$162,BO3946,0)+INDEX($BD$13:$BL$162,BP3946,0))/100)))&gt;0)*($D$10:$L$10-($D$9:$L$9+INT(($S$12:$AA$12+INDEX($AJ$13:$AR$162,BN3946,0)+INDEX($AT$13:$BB$162,BO3946,0)+INDEX($BD$13:$BL$162,BP3946,0))/100)))),0)</f>
        <v/>
      </c>
      <c r="BS3946">
        <f>IF(3933&lt;$U$9,SUMPRODUCT(($D$9:$L$9+INT(($S$12:$AA$12+INDEX($AJ$13:$AR$162,BN3946,0)+INDEX($AT$13:$BB$162,BO3946,0)+INDEX($BD$13:$BL$162,BP3946,0))/100))),0)</f>
        <v/>
      </c>
      <c r="BT3946">
        <f>IF(AND(3933&lt;$U$9,$W$5),BQ3946*1000000-MIN(BR3946,999)*1000+BS3946-3933/100000,-1000000000-3933)</f>
        <v/>
      </c>
    </row>
    <row r="3947">
      <c r="BN3947">
        <f>IF(3934&lt;$U$9,INT(3934/($U$7*$U$8))+1,1)</f>
        <v/>
      </c>
      <c r="BO3947">
        <f>IF(3934&lt;$U$9,MOD(INT(3934/$U$8),$U$7)+1,1)</f>
        <v/>
      </c>
      <c r="BP3947">
        <f>IF(3934&lt;$U$9,MOD(3934,$U$8)+1,1)</f>
        <v/>
      </c>
      <c r="BQ3947">
        <f>IF(3934&lt;$U$9,SUMPRODUCT(($D$10:$L$10&lt;&gt;"")*(($D$9:$L$9+INT(($S$12:$AA$12+INDEX($AJ$13:$AR$162,BN3947,0)+INDEX($AT$13:$BB$162,BO3947,0)+INDEX($BD$13:$BL$162,BP3947,0))/100))&gt;=$D$10:$L$10)),0)</f>
        <v/>
      </c>
      <c r="BR3947">
        <f>IF(3934&lt;$U$9,SUMPRODUCT(($D$10:$L$10&lt;&gt;"")*(($D$10:$L$10-($D$9:$L$9+INT(($S$12:$AA$12+INDEX($AJ$13:$AR$162,BN3947,0)+INDEX($AT$13:$BB$162,BO3947,0)+INDEX($BD$13:$BL$162,BP3947,0))/100)))&gt;0)*($D$10:$L$10-($D$9:$L$9+INT(($S$12:$AA$12+INDEX($AJ$13:$AR$162,BN3947,0)+INDEX($AT$13:$BB$162,BO3947,0)+INDEX($BD$13:$BL$162,BP3947,0))/100)))),0)</f>
        <v/>
      </c>
      <c r="BS3947">
        <f>IF(3934&lt;$U$9,SUMPRODUCT(($D$9:$L$9+INT(($S$12:$AA$12+INDEX($AJ$13:$AR$162,BN3947,0)+INDEX($AT$13:$BB$162,BO3947,0)+INDEX($BD$13:$BL$162,BP3947,0))/100))),0)</f>
        <v/>
      </c>
      <c r="BT3947">
        <f>IF(AND(3934&lt;$U$9,$W$5),BQ3947*1000000-MIN(BR3947,999)*1000+BS3947-3934/100000,-1000000000-3934)</f>
        <v/>
      </c>
    </row>
    <row r="3948">
      <c r="BN3948">
        <f>IF(3935&lt;$U$9,INT(3935/($U$7*$U$8))+1,1)</f>
        <v/>
      </c>
      <c r="BO3948">
        <f>IF(3935&lt;$U$9,MOD(INT(3935/$U$8),$U$7)+1,1)</f>
        <v/>
      </c>
      <c r="BP3948">
        <f>IF(3935&lt;$U$9,MOD(3935,$U$8)+1,1)</f>
        <v/>
      </c>
      <c r="BQ3948">
        <f>IF(3935&lt;$U$9,SUMPRODUCT(($D$10:$L$10&lt;&gt;"")*(($D$9:$L$9+INT(($S$12:$AA$12+INDEX($AJ$13:$AR$162,BN3948,0)+INDEX($AT$13:$BB$162,BO3948,0)+INDEX($BD$13:$BL$162,BP3948,0))/100))&gt;=$D$10:$L$10)),0)</f>
        <v/>
      </c>
      <c r="BR3948">
        <f>IF(3935&lt;$U$9,SUMPRODUCT(($D$10:$L$10&lt;&gt;"")*(($D$10:$L$10-($D$9:$L$9+INT(($S$12:$AA$12+INDEX($AJ$13:$AR$162,BN3948,0)+INDEX($AT$13:$BB$162,BO3948,0)+INDEX($BD$13:$BL$162,BP3948,0))/100)))&gt;0)*($D$10:$L$10-($D$9:$L$9+INT(($S$12:$AA$12+INDEX($AJ$13:$AR$162,BN3948,0)+INDEX($AT$13:$BB$162,BO3948,0)+INDEX($BD$13:$BL$162,BP3948,0))/100)))),0)</f>
        <v/>
      </c>
      <c r="BS3948">
        <f>IF(3935&lt;$U$9,SUMPRODUCT(($D$9:$L$9+INT(($S$12:$AA$12+INDEX($AJ$13:$AR$162,BN3948,0)+INDEX($AT$13:$BB$162,BO3948,0)+INDEX($BD$13:$BL$162,BP3948,0))/100))),0)</f>
        <v/>
      </c>
      <c r="BT3948">
        <f>IF(AND(3935&lt;$U$9,$W$5),BQ3948*1000000-MIN(BR3948,999)*1000+BS3948-3935/100000,-1000000000-3935)</f>
        <v/>
      </c>
    </row>
    <row r="3949">
      <c r="BN3949">
        <f>IF(3936&lt;$U$9,INT(3936/($U$7*$U$8))+1,1)</f>
        <v/>
      </c>
      <c r="BO3949">
        <f>IF(3936&lt;$U$9,MOD(INT(3936/$U$8),$U$7)+1,1)</f>
        <v/>
      </c>
      <c r="BP3949">
        <f>IF(3936&lt;$U$9,MOD(3936,$U$8)+1,1)</f>
        <v/>
      </c>
      <c r="BQ3949">
        <f>IF(3936&lt;$U$9,SUMPRODUCT(($D$10:$L$10&lt;&gt;"")*(($D$9:$L$9+INT(($S$12:$AA$12+INDEX($AJ$13:$AR$162,BN3949,0)+INDEX($AT$13:$BB$162,BO3949,0)+INDEX($BD$13:$BL$162,BP3949,0))/100))&gt;=$D$10:$L$10)),0)</f>
        <v/>
      </c>
      <c r="BR3949">
        <f>IF(3936&lt;$U$9,SUMPRODUCT(($D$10:$L$10&lt;&gt;"")*(($D$10:$L$10-($D$9:$L$9+INT(($S$12:$AA$12+INDEX($AJ$13:$AR$162,BN3949,0)+INDEX($AT$13:$BB$162,BO3949,0)+INDEX($BD$13:$BL$162,BP3949,0))/100)))&gt;0)*($D$10:$L$10-($D$9:$L$9+INT(($S$12:$AA$12+INDEX($AJ$13:$AR$162,BN3949,0)+INDEX($AT$13:$BB$162,BO3949,0)+INDEX($BD$13:$BL$162,BP3949,0))/100)))),0)</f>
        <v/>
      </c>
      <c r="BS3949">
        <f>IF(3936&lt;$U$9,SUMPRODUCT(($D$9:$L$9+INT(($S$12:$AA$12+INDEX($AJ$13:$AR$162,BN3949,0)+INDEX($AT$13:$BB$162,BO3949,0)+INDEX($BD$13:$BL$162,BP3949,0))/100))),0)</f>
        <v/>
      </c>
      <c r="BT3949">
        <f>IF(AND(3936&lt;$U$9,$W$5),BQ3949*1000000-MIN(BR3949,999)*1000+BS3949-3936/100000,-1000000000-3936)</f>
        <v/>
      </c>
    </row>
    <row r="3950">
      <c r="BN3950">
        <f>IF(3937&lt;$U$9,INT(3937/($U$7*$U$8))+1,1)</f>
        <v/>
      </c>
      <c r="BO3950">
        <f>IF(3937&lt;$U$9,MOD(INT(3937/$U$8),$U$7)+1,1)</f>
        <v/>
      </c>
      <c r="BP3950">
        <f>IF(3937&lt;$U$9,MOD(3937,$U$8)+1,1)</f>
        <v/>
      </c>
      <c r="BQ3950">
        <f>IF(3937&lt;$U$9,SUMPRODUCT(($D$10:$L$10&lt;&gt;"")*(($D$9:$L$9+INT(($S$12:$AA$12+INDEX($AJ$13:$AR$162,BN3950,0)+INDEX($AT$13:$BB$162,BO3950,0)+INDEX($BD$13:$BL$162,BP3950,0))/100))&gt;=$D$10:$L$10)),0)</f>
        <v/>
      </c>
      <c r="BR3950">
        <f>IF(3937&lt;$U$9,SUMPRODUCT(($D$10:$L$10&lt;&gt;"")*(($D$10:$L$10-($D$9:$L$9+INT(($S$12:$AA$12+INDEX($AJ$13:$AR$162,BN3950,0)+INDEX($AT$13:$BB$162,BO3950,0)+INDEX($BD$13:$BL$162,BP3950,0))/100)))&gt;0)*($D$10:$L$10-($D$9:$L$9+INT(($S$12:$AA$12+INDEX($AJ$13:$AR$162,BN3950,0)+INDEX($AT$13:$BB$162,BO3950,0)+INDEX($BD$13:$BL$162,BP3950,0))/100)))),0)</f>
        <v/>
      </c>
      <c r="BS3950">
        <f>IF(3937&lt;$U$9,SUMPRODUCT(($D$9:$L$9+INT(($S$12:$AA$12+INDEX($AJ$13:$AR$162,BN3950,0)+INDEX($AT$13:$BB$162,BO3950,0)+INDEX($BD$13:$BL$162,BP3950,0))/100))),0)</f>
        <v/>
      </c>
      <c r="BT3950">
        <f>IF(AND(3937&lt;$U$9,$W$5),BQ3950*1000000-MIN(BR3950,999)*1000+BS3950-3937/100000,-1000000000-3937)</f>
        <v/>
      </c>
    </row>
    <row r="3951">
      <c r="BN3951">
        <f>IF(3938&lt;$U$9,INT(3938/($U$7*$U$8))+1,1)</f>
        <v/>
      </c>
      <c r="BO3951">
        <f>IF(3938&lt;$U$9,MOD(INT(3938/$U$8),$U$7)+1,1)</f>
        <v/>
      </c>
      <c r="BP3951">
        <f>IF(3938&lt;$U$9,MOD(3938,$U$8)+1,1)</f>
        <v/>
      </c>
      <c r="BQ3951">
        <f>IF(3938&lt;$U$9,SUMPRODUCT(($D$10:$L$10&lt;&gt;"")*(($D$9:$L$9+INT(($S$12:$AA$12+INDEX($AJ$13:$AR$162,BN3951,0)+INDEX($AT$13:$BB$162,BO3951,0)+INDEX($BD$13:$BL$162,BP3951,0))/100))&gt;=$D$10:$L$10)),0)</f>
        <v/>
      </c>
      <c r="BR3951">
        <f>IF(3938&lt;$U$9,SUMPRODUCT(($D$10:$L$10&lt;&gt;"")*(($D$10:$L$10-($D$9:$L$9+INT(($S$12:$AA$12+INDEX($AJ$13:$AR$162,BN3951,0)+INDEX($AT$13:$BB$162,BO3951,0)+INDEX($BD$13:$BL$162,BP3951,0))/100)))&gt;0)*($D$10:$L$10-($D$9:$L$9+INT(($S$12:$AA$12+INDEX($AJ$13:$AR$162,BN3951,0)+INDEX($AT$13:$BB$162,BO3951,0)+INDEX($BD$13:$BL$162,BP3951,0))/100)))),0)</f>
        <v/>
      </c>
      <c r="BS3951">
        <f>IF(3938&lt;$U$9,SUMPRODUCT(($D$9:$L$9+INT(($S$12:$AA$12+INDEX($AJ$13:$AR$162,BN3951,0)+INDEX($AT$13:$BB$162,BO3951,0)+INDEX($BD$13:$BL$162,BP3951,0))/100))),0)</f>
        <v/>
      </c>
      <c r="BT3951">
        <f>IF(AND(3938&lt;$U$9,$W$5),BQ3951*1000000-MIN(BR3951,999)*1000+BS3951-3938/100000,-1000000000-3938)</f>
        <v/>
      </c>
    </row>
    <row r="3952">
      <c r="BN3952">
        <f>IF(3939&lt;$U$9,INT(3939/($U$7*$U$8))+1,1)</f>
        <v/>
      </c>
      <c r="BO3952">
        <f>IF(3939&lt;$U$9,MOD(INT(3939/$U$8),$U$7)+1,1)</f>
        <v/>
      </c>
      <c r="BP3952">
        <f>IF(3939&lt;$U$9,MOD(3939,$U$8)+1,1)</f>
        <v/>
      </c>
      <c r="BQ3952">
        <f>IF(3939&lt;$U$9,SUMPRODUCT(($D$10:$L$10&lt;&gt;"")*(($D$9:$L$9+INT(($S$12:$AA$12+INDEX($AJ$13:$AR$162,BN3952,0)+INDEX($AT$13:$BB$162,BO3952,0)+INDEX($BD$13:$BL$162,BP3952,0))/100))&gt;=$D$10:$L$10)),0)</f>
        <v/>
      </c>
      <c r="BR3952">
        <f>IF(3939&lt;$U$9,SUMPRODUCT(($D$10:$L$10&lt;&gt;"")*(($D$10:$L$10-($D$9:$L$9+INT(($S$12:$AA$12+INDEX($AJ$13:$AR$162,BN3952,0)+INDEX($AT$13:$BB$162,BO3952,0)+INDEX($BD$13:$BL$162,BP3952,0))/100)))&gt;0)*($D$10:$L$10-($D$9:$L$9+INT(($S$12:$AA$12+INDEX($AJ$13:$AR$162,BN3952,0)+INDEX($AT$13:$BB$162,BO3952,0)+INDEX($BD$13:$BL$162,BP3952,0))/100)))),0)</f>
        <v/>
      </c>
      <c r="BS3952">
        <f>IF(3939&lt;$U$9,SUMPRODUCT(($D$9:$L$9+INT(($S$12:$AA$12+INDEX($AJ$13:$AR$162,BN3952,0)+INDEX($AT$13:$BB$162,BO3952,0)+INDEX($BD$13:$BL$162,BP3952,0))/100))),0)</f>
        <v/>
      </c>
      <c r="BT3952">
        <f>IF(AND(3939&lt;$U$9,$W$5),BQ3952*1000000-MIN(BR3952,999)*1000+BS3952-3939/100000,-1000000000-3939)</f>
        <v/>
      </c>
    </row>
    <row r="3953">
      <c r="BN3953">
        <f>IF(3940&lt;$U$9,INT(3940/($U$7*$U$8))+1,1)</f>
        <v/>
      </c>
      <c r="BO3953">
        <f>IF(3940&lt;$U$9,MOD(INT(3940/$U$8),$U$7)+1,1)</f>
        <v/>
      </c>
      <c r="BP3953">
        <f>IF(3940&lt;$U$9,MOD(3940,$U$8)+1,1)</f>
        <v/>
      </c>
      <c r="BQ3953">
        <f>IF(3940&lt;$U$9,SUMPRODUCT(($D$10:$L$10&lt;&gt;"")*(($D$9:$L$9+INT(($S$12:$AA$12+INDEX($AJ$13:$AR$162,BN3953,0)+INDEX($AT$13:$BB$162,BO3953,0)+INDEX($BD$13:$BL$162,BP3953,0))/100))&gt;=$D$10:$L$10)),0)</f>
        <v/>
      </c>
      <c r="BR3953">
        <f>IF(3940&lt;$U$9,SUMPRODUCT(($D$10:$L$10&lt;&gt;"")*(($D$10:$L$10-($D$9:$L$9+INT(($S$12:$AA$12+INDEX($AJ$13:$AR$162,BN3953,0)+INDEX($AT$13:$BB$162,BO3953,0)+INDEX($BD$13:$BL$162,BP3953,0))/100)))&gt;0)*($D$10:$L$10-($D$9:$L$9+INT(($S$12:$AA$12+INDEX($AJ$13:$AR$162,BN3953,0)+INDEX($AT$13:$BB$162,BO3953,0)+INDEX($BD$13:$BL$162,BP3953,0))/100)))),0)</f>
        <v/>
      </c>
      <c r="BS3953">
        <f>IF(3940&lt;$U$9,SUMPRODUCT(($D$9:$L$9+INT(($S$12:$AA$12+INDEX($AJ$13:$AR$162,BN3953,0)+INDEX($AT$13:$BB$162,BO3953,0)+INDEX($BD$13:$BL$162,BP3953,0))/100))),0)</f>
        <v/>
      </c>
      <c r="BT3953">
        <f>IF(AND(3940&lt;$U$9,$W$5),BQ3953*1000000-MIN(BR3953,999)*1000+BS3953-3940/100000,-1000000000-3940)</f>
        <v/>
      </c>
    </row>
    <row r="3954">
      <c r="BN3954">
        <f>IF(3941&lt;$U$9,INT(3941/($U$7*$U$8))+1,1)</f>
        <v/>
      </c>
      <c r="BO3954">
        <f>IF(3941&lt;$U$9,MOD(INT(3941/$U$8),$U$7)+1,1)</f>
        <v/>
      </c>
      <c r="BP3954">
        <f>IF(3941&lt;$U$9,MOD(3941,$U$8)+1,1)</f>
        <v/>
      </c>
      <c r="BQ3954">
        <f>IF(3941&lt;$U$9,SUMPRODUCT(($D$10:$L$10&lt;&gt;"")*(($D$9:$L$9+INT(($S$12:$AA$12+INDEX($AJ$13:$AR$162,BN3954,0)+INDEX($AT$13:$BB$162,BO3954,0)+INDEX($BD$13:$BL$162,BP3954,0))/100))&gt;=$D$10:$L$10)),0)</f>
        <v/>
      </c>
      <c r="BR3954">
        <f>IF(3941&lt;$U$9,SUMPRODUCT(($D$10:$L$10&lt;&gt;"")*(($D$10:$L$10-($D$9:$L$9+INT(($S$12:$AA$12+INDEX($AJ$13:$AR$162,BN3954,0)+INDEX($AT$13:$BB$162,BO3954,0)+INDEX($BD$13:$BL$162,BP3954,0))/100)))&gt;0)*($D$10:$L$10-($D$9:$L$9+INT(($S$12:$AA$12+INDEX($AJ$13:$AR$162,BN3954,0)+INDEX($AT$13:$BB$162,BO3954,0)+INDEX($BD$13:$BL$162,BP3954,0))/100)))),0)</f>
        <v/>
      </c>
      <c r="BS3954">
        <f>IF(3941&lt;$U$9,SUMPRODUCT(($D$9:$L$9+INT(($S$12:$AA$12+INDEX($AJ$13:$AR$162,BN3954,0)+INDEX($AT$13:$BB$162,BO3954,0)+INDEX($BD$13:$BL$162,BP3954,0))/100))),0)</f>
        <v/>
      </c>
      <c r="BT3954">
        <f>IF(AND(3941&lt;$U$9,$W$5),BQ3954*1000000-MIN(BR3954,999)*1000+BS3954-3941/100000,-1000000000-3941)</f>
        <v/>
      </c>
    </row>
    <row r="3955">
      <c r="BN3955">
        <f>IF(3942&lt;$U$9,INT(3942/($U$7*$U$8))+1,1)</f>
        <v/>
      </c>
      <c r="BO3955">
        <f>IF(3942&lt;$U$9,MOD(INT(3942/$U$8),$U$7)+1,1)</f>
        <v/>
      </c>
      <c r="BP3955">
        <f>IF(3942&lt;$U$9,MOD(3942,$U$8)+1,1)</f>
        <v/>
      </c>
      <c r="BQ3955">
        <f>IF(3942&lt;$U$9,SUMPRODUCT(($D$10:$L$10&lt;&gt;"")*(($D$9:$L$9+INT(($S$12:$AA$12+INDEX($AJ$13:$AR$162,BN3955,0)+INDEX($AT$13:$BB$162,BO3955,0)+INDEX($BD$13:$BL$162,BP3955,0))/100))&gt;=$D$10:$L$10)),0)</f>
        <v/>
      </c>
      <c r="BR3955">
        <f>IF(3942&lt;$U$9,SUMPRODUCT(($D$10:$L$10&lt;&gt;"")*(($D$10:$L$10-($D$9:$L$9+INT(($S$12:$AA$12+INDEX($AJ$13:$AR$162,BN3955,0)+INDEX($AT$13:$BB$162,BO3955,0)+INDEX($BD$13:$BL$162,BP3955,0))/100)))&gt;0)*($D$10:$L$10-($D$9:$L$9+INT(($S$12:$AA$12+INDEX($AJ$13:$AR$162,BN3955,0)+INDEX($AT$13:$BB$162,BO3955,0)+INDEX($BD$13:$BL$162,BP3955,0))/100)))),0)</f>
        <v/>
      </c>
      <c r="BS3955">
        <f>IF(3942&lt;$U$9,SUMPRODUCT(($D$9:$L$9+INT(($S$12:$AA$12+INDEX($AJ$13:$AR$162,BN3955,0)+INDEX($AT$13:$BB$162,BO3955,0)+INDEX($BD$13:$BL$162,BP3955,0))/100))),0)</f>
        <v/>
      </c>
      <c r="BT3955">
        <f>IF(AND(3942&lt;$U$9,$W$5),BQ3955*1000000-MIN(BR3955,999)*1000+BS3955-3942/100000,-1000000000-3942)</f>
        <v/>
      </c>
    </row>
    <row r="3956">
      <c r="BN3956">
        <f>IF(3943&lt;$U$9,INT(3943/($U$7*$U$8))+1,1)</f>
        <v/>
      </c>
      <c r="BO3956">
        <f>IF(3943&lt;$U$9,MOD(INT(3943/$U$8),$U$7)+1,1)</f>
        <v/>
      </c>
      <c r="BP3956">
        <f>IF(3943&lt;$U$9,MOD(3943,$U$8)+1,1)</f>
        <v/>
      </c>
      <c r="BQ3956">
        <f>IF(3943&lt;$U$9,SUMPRODUCT(($D$10:$L$10&lt;&gt;"")*(($D$9:$L$9+INT(($S$12:$AA$12+INDEX($AJ$13:$AR$162,BN3956,0)+INDEX($AT$13:$BB$162,BO3956,0)+INDEX($BD$13:$BL$162,BP3956,0))/100))&gt;=$D$10:$L$10)),0)</f>
        <v/>
      </c>
      <c r="BR3956">
        <f>IF(3943&lt;$U$9,SUMPRODUCT(($D$10:$L$10&lt;&gt;"")*(($D$10:$L$10-($D$9:$L$9+INT(($S$12:$AA$12+INDEX($AJ$13:$AR$162,BN3956,0)+INDEX($AT$13:$BB$162,BO3956,0)+INDEX($BD$13:$BL$162,BP3956,0))/100)))&gt;0)*($D$10:$L$10-($D$9:$L$9+INT(($S$12:$AA$12+INDEX($AJ$13:$AR$162,BN3956,0)+INDEX($AT$13:$BB$162,BO3956,0)+INDEX($BD$13:$BL$162,BP3956,0))/100)))),0)</f>
        <v/>
      </c>
      <c r="BS3956">
        <f>IF(3943&lt;$U$9,SUMPRODUCT(($D$9:$L$9+INT(($S$12:$AA$12+INDEX($AJ$13:$AR$162,BN3956,0)+INDEX($AT$13:$BB$162,BO3956,0)+INDEX($BD$13:$BL$162,BP3956,0))/100))),0)</f>
        <v/>
      </c>
      <c r="BT3956">
        <f>IF(AND(3943&lt;$U$9,$W$5),BQ3956*1000000-MIN(BR3956,999)*1000+BS3956-3943/100000,-1000000000-3943)</f>
        <v/>
      </c>
    </row>
    <row r="3957">
      <c r="BN3957">
        <f>IF(3944&lt;$U$9,INT(3944/($U$7*$U$8))+1,1)</f>
        <v/>
      </c>
      <c r="BO3957">
        <f>IF(3944&lt;$U$9,MOD(INT(3944/$U$8),$U$7)+1,1)</f>
        <v/>
      </c>
      <c r="BP3957">
        <f>IF(3944&lt;$U$9,MOD(3944,$U$8)+1,1)</f>
        <v/>
      </c>
      <c r="BQ3957">
        <f>IF(3944&lt;$U$9,SUMPRODUCT(($D$10:$L$10&lt;&gt;"")*(($D$9:$L$9+INT(($S$12:$AA$12+INDEX($AJ$13:$AR$162,BN3957,0)+INDEX($AT$13:$BB$162,BO3957,0)+INDEX($BD$13:$BL$162,BP3957,0))/100))&gt;=$D$10:$L$10)),0)</f>
        <v/>
      </c>
      <c r="BR3957">
        <f>IF(3944&lt;$U$9,SUMPRODUCT(($D$10:$L$10&lt;&gt;"")*(($D$10:$L$10-($D$9:$L$9+INT(($S$12:$AA$12+INDEX($AJ$13:$AR$162,BN3957,0)+INDEX($AT$13:$BB$162,BO3957,0)+INDEX($BD$13:$BL$162,BP3957,0))/100)))&gt;0)*($D$10:$L$10-($D$9:$L$9+INT(($S$12:$AA$12+INDEX($AJ$13:$AR$162,BN3957,0)+INDEX($AT$13:$BB$162,BO3957,0)+INDEX($BD$13:$BL$162,BP3957,0))/100)))),0)</f>
        <v/>
      </c>
      <c r="BS3957">
        <f>IF(3944&lt;$U$9,SUMPRODUCT(($D$9:$L$9+INT(($S$12:$AA$12+INDEX($AJ$13:$AR$162,BN3957,0)+INDEX($AT$13:$BB$162,BO3957,0)+INDEX($BD$13:$BL$162,BP3957,0))/100))),0)</f>
        <v/>
      </c>
      <c r="BT3957">
        <f>IF(AND(3944&lt;$U$9,$W$5),BQ3957*1000000-MIN(BR3957,999)*1000+BS3957-3944/100000,-1000000000-3944)</f>
        <v/>
      </c>
    </row>
    <row r="3958">
      <c r="BN3958">
        <f>IF(3945&lt;$U$9,INT(3945/($U$7*$U$8))+1,1)</f>
        <v/>
      </c>
      <c r="BO3958">
        <f>IF(3945&lt;$U$9,MOD(INT(3945/$U$8),$U$7)+1,1)</f>
        <v/>
      </c>
      <c r="BP3958">
        <f>IF(3945&lt;$U$9,MOD(3945,$U$8)+1,1)</f>
        <v/>
      </c>
      <c r="BQ3958">
        <f>IF(3945&lt;$U$9,SUMPRODUCT(($D$10:$L$10&lt;&gt;"")*(($D$9:$L$9+INT(($S$12:$AA$12+INDEX($AJ$13:$AR$162,BN3958,0)+INDEX($AT$13:$BB$162,BO3958,0)+INDEX($BD$13:$BL$162,BP3958,0))/100))&gt;=$D$10:$L$10)),0)</f>
        <v/>
      </c>
      <c r="BR3958">
        <f>IF(3945&lt;$U$9,SUMPRODUCT(($D$10:$L$10&lt;&gt;"")*(($D$10:$L$10-($D$9:$L$9+INT(($S$12:$AA$12+INDEX($AJ$13:$AR$162,BN3958,0)+INDEX($AT$13:$BB$162,BO3958,0)+INDEX($BD$13:$BL$162,BP3958,0))/100)))&gt;0)*($D$10:$L$10-($D$9:$L$9+INT(($S$12:$AA$12+INDEX($AJ$13:$AR$162,BN3958,0)+INDEX($AT$13:$BB$162,BO3958,0)+INDEX($BD$13:$BL$162,BP3958,0))/100)))),0)</f>
        <v/>
      </c>
      <c r="BS3958">
        <f>IF(3945&lt;$U$9,SUMPRODUCT(($D$9:$L$9+INT(($S$12:$AA$12+INDEX($AJ$13:$AR$162,BN3958,0)+INDEX($AT$13:$BB$162,BO3958,0)+INDEX($BD$13:$BL$162,BP3958,0))/100))),0)</f>
        <v/>
      </c>
      <c r="BT3958">
        <f>IF(AND(3945&lt;$U$9,$W$5),BQ3958*1000000-MIN(BR3958,999)*1000+BS3958-3945/100000,-1000000000-3945)</f>
        <v/>
      </c>
    </row>
    <row r="3959">
      <c r="BN3959">
        <f>IF(3946&lt;$U$9,INT(3946/($U$7*$U$8))+1,1)</f>
        <v/>
      </c>
      <c r="BO3959">
        <f>IF(3946&lt;$U$9,MOD(INT(3946/$U$8),$U$7)+1,1)</f>
        <v/>
      </c>
      <c r="BP3959">
        <f>IF(3946&lt;$U$9,MOD(3946,$U$8)+1,1)</f>
        <v/>
      </c>
      <c r="BQ3959">
        <f>IF(3946&lt;$U$9,SUMPRODUCT(($D$10:$L$10&lt;&gt;"")*(($D$9:$L$9+INT(($S$12:$AA$12+INDEX($AJ$13:$AR$162,BN3959,0)+INDEX($AT$13:$BB$162,BO3959,0)+INDEX($BD$13:$BL$162,BP3959,0))/100))&gt;=$D$10:$L$10)),0)</f>
        <v/>
      </c>
      <c r="BR3959">
        <f>IF(3946&lt;$U$9,SUMPRODUCT(($D$10:$L$10&lt;&gt;"")*(($D$10:$L$10-($D$9:$L$9+INT(($S$12:$AA$12+INDEX($AJ$13:$AR$162,BN3959,0)+INDEX($AT$13:$BB$162,BO3959,0)+INDEX($BD$13:$BL$162,BP3959,0))/100)))&gt;0)*($D$10:$L$10-($D$9:$L$9+INT(($S$12:$AA$12+INDEX($AJ$13:$AR$162,BN3959,0)+INDEX($AT$13:$BB$162,BO3959,0)+INDEX($BD$13:$BL$162,BP3959,0))/100)))),0)</f>
        <v/>
      </c>
      <c r="BS3959">
        <f>IF(3946&lt;$U$9,SUMPRODUCT(($D$9:$L$9+INT(($S$12:$AA$12+INDEX($AJ$13:$AR$162,BN3959,0)+INDEX($AT$13:$BB$162,BO3959,0)+INDEX($BD$13:$BL$162,BP3959,0))/100))),0)</f>
        <v/>
      </c>
      <c r="BT3959">
        <f>IF(AND(3946&lt;$U$9,$W$5),BQ3959*1000000-MIN(BR3959,999)*1000+BS3959-3946/100000,-1000000000-3946)</f>
        <v/>
      </c>
    </row>
    <row r="3960">
      <c r="BN3960">
        <f>IF(3947&lt;$U$9,INT(3947/($U$7*$U$8))+1,1)</f>
        <v/>
      </c>
      <c r="BO3960">
        <f>IF(3947&lt;$U$9,MOD(INT(3947/$U$8),$U$7)+1,1)</f>
        <v/>
      </c>
      <c r="BP3960">
        <f>IF(3947&lt;$U$9,MOD(3947,$U$8)+1,1)</f>
        <v/>
      </c>
      <c r="BQ3960">
        <f>IF(3947&lt;$U$9,SUMPRODUCT(($D$10:$L$10&lt;&gt;"")*(($D$9:$L$9+INT(($S$12:$AA$12+INDEX($AJ$13:$AR$162,BN3960,0)+INDEX($AT$13:$BB$162,BO3960,0)+INDEX($BD$13:$BL$162,BP3960,0))/100))&gt;=$D$10:$L$10)),0)</f>
        <v/>
      </c>
      <c r="BR3960">
        <f>IF(3947&lt;$U$9,SUMPRODUCT(($D$10:$L$10&lt;&gt;"")*(($D$10:$L$10-($D$9:$L$9+INT(($S$12:$AA$12+INDEX($AJ$13:$AR$162,BN3960,0)+INDEX($AT$13:$BB$162,BO3960,0)+INDEX($BD$13:$BL$162,BP3960,0))/100)))&gt;0)*($D$10:$L$10-($D$9:$L$9+INT(($S$12:$AA$12+INDEX($AJ$13:$AR$162,BN3960,0)+INDEX($AT$13:$BB$162,BO3960,0)+INDEX($BD$13:$BL$162,BP3960,0))/100)))),0)</f>
        <v/>
      </c>
      <c r="BS3960">
        <f>IF(3947&lt;$U$9,SUMPRODUCT(($D$9:$L$9+INT(($S$12:$AA$12+INDEX($AJ$13:$AR$162,BN3960,0)+INDEX($AT$13:$BB$162,BO3960,0)+INDEX($BD$13:$BL$162,BP3960,0))/100))),0)</f>
        <v/>
      </c>
      <c r="BT3960">
        <f>IF(AND(3947&lt;$U$9,$W$5),BQ3960*1000000-MIN(BR3960,999)*1000+BS3960-3947/100000,-1000000000-3947)</f>
        <v/>
      </c>
    </row>
    <row r="3961">
      <c r="BN3961">
        <f>IF(3948&lt;$U$9,INT(3948/($U$7*$U$8))+1,1)</f>
        <v/>
      </c>
      <c r="BO3961">
        <f>IF(3948&lt;$U$9,MOD(INT(3948/$U$8),$U$7)+1,1)</f>
        <v/>
      </c>
      <c r="BP3961">
        <f>IF(3948&lt;$U$9,MOD(3948,$U$8)+1,1)</f>
        <v/>
      </c>
      <c r="BQ3961">
        <f>IF(3948&lt;$U$9,SUMPRODUCT(($D$10:$L$10&lt;&gt;"")*(($D$9:$L$9+INT(($S$12:$AA$12+INDEX($AJ$13:$AR$162,BN3961,0)+INDEX($AT$13:$BB$162,BO3961,0)+INDEX($BD$13:$BL$162,BP3961,0))/100))&gt;=$D$10:$L$10)),0)</f>
        <v/>
      </c>
      <c r="BR3961">
        <f>IF(3948&lt;$U$9,SUMPRODUCT(($D$10:$L$10&lt;&gt;"")*(($D$10:$L$10-($D$9:$L$9+INT(($S$12:$AA$12+INDEX($AJ$13:$AR$162,BN3961,0)+INDEX($AT$13:$BB$162,BO3961,0)+INDEX($BD$13:$BL$162,BP3961,0))/100)))&gt;0)*($D$10:$L$10-($D$9:$L$9+INT(($S$12:$AA$12+INDEX($AJ$13:$AR$162,BN3961,0)+INDEX($AT$13:$BB$162,BO3961,0)+INDEX($BD$13:$BL$162,BP3961,0))/100)))),0)</f>
        <v/>
      </c>
      <c r="BS3961">
        <f>IF(3948&lt;$U$9,SUMPRODUCT(($D$9:$L$9+INT(($S$12:$AA$12+INDEX($AJ$13:$AR$162,BN3961,0)+INDEX($AT$13:$BB$162,BO3961,0)+INDEX($BD$13:$BL$162,BP3961,0))/100))),0)</f>
        <v/>
      </c>
      <c r="BT3961">
        <f>IF(AND(3948&lt;$U$9,$W$5),BQ3961*1000000-MIN(BR3961,999)*1000+BS3961-3948/100000,-1000000000-3948)</f>
        <v/>
      </c>
    </row>
    <row r="3962">
      <c r="BN3962">
        <f>IF(3949&lt;$U$9,INT(3949/($U$7*$U$8))+1,1)</f>
        <v/>
      </c>
      <c r="BO3962">
        <f>IF(3949&lt;$U$9,MOD(INT(3949/$U$8),$U$7)+1,1)</f>
        <v/>
      </c>
      <c r="BP3962">
        <f>IF(3949&lt;$U$9,MOD(3949,$U$8)+1,1)</f>
        <v/>
      </c>
      <c r="BQ3962">
        <f>IF(3949&lt;$U$9,SUMPRODUCT(($D$10:$L$10&lt;&gt;"")*(($D$9:$L$9+INT(($S$12:$AA$12+INDEX($AJ$13:$AR$162,BN3962,0)+INDEX($AT$13:$BB$162,BO3962,0)+INDEX($BD$13:$BL$162,BP3962,0))/100))&gt;=$D$10:$L$10)),0)</f>
        <v/>
      </c>
      <c r="BR3962">
        <f>IF(3949&lt;$U$9,SUMPRODUCT(($D$10:$L$10&lt;&gt;"")*(($D$10:$L$10-($D$9:$L$9+INT(($S$12:$AA$12+INDEX($AJ$13:$AR$162,BN3962,0)+INDEX($AT$13:$BB$162,BO3962,0)+INDEX($BD$13:$BL$162,BP3962,0))/100)))&gt;0)*($D$10:$L$10-($D$9:$L$9+INT(($S$12:$AA$12+INDEX($AJ$13:$AR$162,BN3962,0)+INDEX($AT$13:$BB$162,BO3962,0)+INDEX($BD$13:$BL$162,BP3962,0))/100)))),0)</f>
        <v/>
      </c>
      <c r="BS3962">
        <f>IF(3949&lt;$U$9,SUMPRODUCT(($D$9:$L$9+INT(($S$12:$AA$12+INDEX($AJ$13:$AR$162,BN3962,0)+INDEX($AT$13:$BB$162,BO3962,0)+INDEX($BD$13:$BL$162,BP3962,0))/100))),0)</f>
        <v/>
      </c>
      <c r="BT3962">
        <f>IF(AND(3949&lt;$U$9,$W$5),BQ3962*1000000-MIN(BR3962,999)*1000+BS3962-3949/100000,-1000000000-3949)</f>
        <v/>
      </c>
    </row>
    <row r="3963">
      <c r="BN3963">
        <f>IF(3950&lt;$U$9,INT(3950/($U$7*$U$8))+1,1)</f>
        <v/>
      </c>
      <c r="BO3963">
        <f>IF(3950&lt;$U$9,MOD(INT(3950/$U$8),$U$7)+1,1)</f>
        <v/>
      </c>
      <c r="BP3963">
        <f>IF(3950&lt;$U$9,MOD(3950,$U$8)+1,1)</f>
        <v/>
      </c>
      <c r="BQ3963">
        <f>IF(3950&lt;$U$9,SUMPRODUCT(($D$10:$L$10&lt;&gt;"")*(($D$9:$L$9+INT(($S$12:$AA$12+INDEX($AJ$13:$AR$162,BN3963,0)+INDEX($AT$13:$BB$162,BO3963,0)+INDEX($BD$13:$BL$162,BP3963,0))/100))&gt;=$D$10:$L$10)),0)</f>
        <v/>
      </c>
      <c r="BR3963">
        <f>IF(3950&lt;$U$9,SUMPRODUCT(($D$10:$L$10&lt;&gt;"")*(($D$10:$L$10-($D$9:$L$9+INT(($S$12:$AA$12+INDEX($AJ$13:$AR$162,BN3963,0)+INDEX($AT$13:$BB$162,BO3963,0)+INDEX($BD$13:$BL$162,BP3963,0))/100)))&gt;0)*($D$10:$L$10-($D$9:$L$9+INT(($S$12:$AA$12+INDEX($AJ$13:$AR$162,BN3963,0)+INDEX($AT$13:$BB$162,BO3963,0)+INDEX($BD$13:$BL$162,BP3963,0))/100)))),0)</f>
        <v/>
      </c>
      <c r="BS3963">
        <f>IF(3950&lt;$U$9,SUMPRODUCT(($D$9:$L$9+INT(($S$12:$AA$12+INDEX($AJ$13:$AR$162,BN3963,0)+INDEX($AT$13:$BB$162,BO3963,0)+INDEX($BD$13:$BL$162,BP3963,0))/100))),0)</f>
        <v/>
      </c>
      <c r="BT3963">
        <f>IF(AND(3950&lt;$U$9,$W$5),BQ3963*1000000-MIN(BR3963,999)*1000+BS3963-3950/100000,-1000000000-3950)</f>
        <v/>
      </c>
    </row>
    <row r="3964">
      <c r="BN3964">
        <f>IF(3951&lt;$U$9,INT(3951/($U$7*$U$8))+1,1)</f>
        <v/>
      </c>
      <c r="BO3964">
        <f>IF(3951&lt;$U$9,MOD(INT(3951/$U$8),$U$7)+1,1)</f>
        <v/>
      </c>
      <c r="BP3964">
        <f>IF(3951&lt;$U$9,MOD(3951,$U$8)+1,1)</f>
        <v/>
      </c>
      <c r="BQ3964">
        <f>IF(3951&lt;$U$9,SUMPRODUCT(($D$10:$L$10&lt;&gt;"")*(($D$9:$L$9+INT(($S$12:$AA$12+INDEX($AJ$13:$AR$162,BN3964,0)+INDEX($AT$13:$BB$162,BO3964,0)+INDEX($BD$13:$BL$162,BP3964,0))/100))&gt;=$D$10:$L$10)),0)</f>
        <v/>
      </c>
      <c r="BR3964">
        <f>IF(3951&lt;$U$9,SUMPRODUCT(($D$10:$L$10&lt;&gt;"")*(($D$10:$L$10-($D$9:$L$9+INT(($S$12:$AA$12+INDEX($AJ$13:$AR$162,BN3964,0)+INDEX($AT$13:$BB$162,BO3964,0)+INDEX($BD$13:$BL$162,BP3964,0))/100)))&gt;0)*($D$10:$L$10-($D$9:$L$9+INT(($S$12:$AA$12+INDEX($AJ$13:$AR$162,BN3964,0)+INDEX($AT$13:$BB$162,BO3964,0)+INDEX($BD$13:$BL$162,BP3964,0))/100)))),0)</f>
        <v/>
      </c>
      <c r="BS3964">
        <f>IF(3951&lt;$U$9,SUMPRODUCT(($D$9:$L$9+INT(($S$12:$AA$12+INDEX($AJ$13:$AR$162,BN3964,0)+INDEX($AT$13:$BB$162,BO3964,0)+INDEX($BD$13:$BL$162,BP3964,0))/100))),0)</f>
        <v/>
      </c>
      <c r="BT3964">
        <f>IF(AND(3951&lt;$U$9,$W$5),BQ3964*1000000-MIN(BR3964,999)*1000+BS3964-3951/100000,-1000000000-3951)</f>
        <v/>
      </c>
    </row>
    <row r="3965">
      <c r="BN3965">
        <f>IF(3952&lt;$U$9,INT(3952/($U$7*$U$8))+1,1)</f>
        <v/>
      </c>
      <c r="BO3965">
        <f>IF(3952&lt;$U$9,MOD(INT(3952/$U$8),$U$7)+1,1)</f>
        <v/>
      </c>
      <c r="BP3965">
        <f>IF(3952&lt;$U$9,MOD(3952,$U$8)+1,1)</f>
        <v/>
      </c>
      <c r="BQ3965">
        <f>IF(3952&lt;$U$9,SUMPRODUCT(($D$10:$L$10&lt;&gt;"")*(($D$9:$L$9+INT(($S$12:$AA$12+INDEX($AJ$13:$AR$162,BN3965,0)+INDEX($AT$13:$BB$162,BO3965,0)+INDEX($BD$13:$BL$162,BP3965,0))/100))&gt;=$D$10:$L$10)),0)</f>
        <v/>
      </c>
      <c r="BR3965">
        <f>IF(3952&lt;$U$9,SUMPRODUCT(($D$10:$L$10&lt;&gt;"")*(($D$10:$L$10-($D$9:$L$9+INT(($S$12:$AA$12+INDEX($AJ$13:$AR$162,BN3965,0)+INDEX($AT$13:$BB$162,BO3965,0)+INDEX($BD$13:$BL$162,BP3965,0))/100)))&gt;0)*($D$10:$L$10-($D$9:$L$9+INT(($S$12:$AA$12+INDEX($AJ$13:$AR$162,BN3965,0)+INDEX($AT$13:$BB$162,BO3965,0)+INDEX($BD$13:$BL$162,BP3965,0))/100)))),0)</f>
        <v/>
      </c>
      <c r="BS3965">
        <f>IF(3952&lt;$U$9,SUMPRODUCT(($D$9:$L$9+INT(($S$12:$AA$12+INDEX($AJ$13:$AR$162,BN3965,0)+INDEX($AT$13:$BB$162,BO3965,0)+INDEX($BD$13:$BL$162,BP3965,0))/100))),0)</f>
        <v/>
      </c>
      <c r="BT3965">
        <f>IF(AND(3952&lt;$U$9,$W$5),BQ3965*1000000-MIN(BR3965,999)*1000+BS3965-3952/100000,-1000000000-3952)</f>
        <v/>
      </c>
    </row>
    <row r="3966">
      <c r="BN3966">
        <f>IF(3953&lt;$U$9,INT(3953/($U$7*$U$8))+1,1)</f>
        <v/>
      </c>
      <c r="BO3966">
        <f>IF(3953&lt;$U$9,MOD(INT(3953/$U$8),$U$7)+1,1)</f>
        <v/>
      </c>
      <c r="BP3966">
        <f>IF(3953&lt;$U$9,MOD(3953,$U$8)+1,1)</f>
        <v/>
      </c>
      <c r="BQ3966">
        <f>IF(3953&lt;$U$9,SUMPRODUCT(($D$10:$L$10&lt;&gt;"")*(($D$9:$L$9+INT(($S$12:$AA$12+INDEX($AJ$13:$AR$162,BN3966,0)+INDEX($AT$13:$BB$162,BO3966,0)+INDEX($BD$13:$BL$162,BP3966,0))/100))&gt;=$D$10:$L$10)),0)</f>
        <v/>
      </c>
      <c r="BR3966">
        <f>IF(3953&lt;$U$9,SUMPRODUCT(($D$10:$L$10&lt;&gt;"")*(($D$10:$L$10-($D$9:$L$9+INT(($S$12:$AA$12+INDEX($AJ$13:$AR$162,BN3966,0)+INDEX($AT$13:$BB$162,BO3966,0)+INDEX($BD$13:$BL$162,BP3966,0))/100)))&gt;0)*($D$10:$L$10-($D$9:$L$9+INT(($S$12:$AA$12+INDEX($AJ$13:$AR$162,BN3966,0)+INDEX($AT$13:$BB$162,BO3966,0)+INDEX($BD$13:$BL$162,BP3966,0))/100)))),0)</f>
        <v/>
      </c>
      <c r="BS3966">
        <f>IF(3953&lt;$U$9,SUMPRODUCT(($D$9:$L$9+INT(($S$12:$AA$12+INDEX($AJ$13:$AR$162,BN3966,0)+INDEX($AT$13:$BB$162,BO3966,0)+INDEX($BD$13:$BL$162,BP3966,0))/100))),0)</f>
        <v/>
      </c>
      <c r="BT3966">
        <f>IF(AND(3953&lt;$U$9,$W$5),BQ3966*1000000-MIN(BR3966,999)*1000+BS3966-3953/100000,-1000000000-3953)</f>
        <v/>
      </c>
    </row>
    <row r="3967">
      <c r="BN3967">
        <f>IF(3954&lt;$U$9,INT(3954/($U$7*$U$8))+1,1)</f>
        <v/>
      </c>
      <c r="BO3967">
        <f>IF(3954&lt;$U$9,MOD(INT(3954/$U$8),$U$7)+1,1)</f>
        <v/>
      </c>
      <c r="BP3967">
        <f>IF(3954&lt;$U$9,MOD(3954,$U$8)+1,1)</f>
        <v/>
      </c>
      <c r="BQ3967">
        <f>IF(3954&lt;$U$9,SUMPRODUCT(($D$10:$L$10&lt;&gt;"")*(($D$9:$L$9+INT(($S$12:$AA$12+INDEX($AJ$13:$AR$162,BN3967,0)+INDEX($AT$13:$BB$162,BO3967,0)+INDEX($BD$13:$BL$162,BP3967,0))/100))&gt;=$D$10:$L$10)),0)</f>
        <v/>
      </c>
      <c r="BR3967">
        <f>IF(3954&lt;$U$9,SUMPRODUCT(($D$10:$L$10&lt;&gt;"")*(($D$10:$L$10-($D$9:$L$9+INT(($S$12:$AA$12+INDEX($AJ$13:$AR$162,BN3967,0)+INDEX($AT$13:$BB$162,BO3967,0)+INDEX($BD$13:$BL$162,BP3967,0))/100)))&gt;0)*($D$10:$L$10-($D$9:$L$9+INT(($S$12:$AA$12+INDEX($AJ$13:$AR$162,BN3967,0)+INDEX($AT$13:$BB$162,BO3967,0)+INDEX($BD$13:$BL$162,BP3967,0))/100)))),0)</f>
        <v/>
      </c>
      <c r="BS3967">
        <f>IF(3954&lt;$U$9,SUMPRODUCT(($D$9:$L$9+INT(($S$12:$AA$12+INDEX($AJ$13:$AR$162,BN3967,0)+INDEX($AT$13:$BB$162,BO3967,0)+INDEX($BD$13:$BL$162,BP3967,0))/100))),0)</f>
        <v/>
      </c>
      <c r="BT3967">
        <f>IF(AND(3954&lt;$U$9,$W$5),BQ3967*1000000-MIN(BR3967,999)*1000+BS3967-3954/100000,-1000000000-3954)</f>
        <v/>
      </c>
    </row>
    <row r="3968">
      <c r="BN3968">
        <f>IF(3955&lt;$U$9,INT(3955/($U$7*$U$8))+1,1)</f>
        <v/>
      </c>
      <c r="BO3968">
        <f>IF(3955&lt;$U$9,MOD(INT(3955/$U$8),$U$7)+1,1)</f>
        <v/>
      </c>
      <c r="BP3968">
        <f>IF(3955&lt;$U$9,MOD(3955,$U$8)+1,1)</f>
        <v/>
      </c>
      <c r="BQ3968">
        <f>IF(3955&lt;$U$9,SUMPRODUCT(($D$10:$L$10&lt;&gt;"")*(($D$9:$L$9+INT(($S$12:$AA$12+INDEX($AJ$13:$AR$162,BN3968,0)+INDEX($AT$13:$BB$162,BO3968,0)+INDEX($BD$13:$BL$162,BP3968,0))/100))&gt;=$D$10:$L$10)),0)</f>
        <v/>
      </c>
      <c r="BR3968">
        <f>IF(3955&lt;$U$9,SUMPRODUCT(($D$10:$L$10&lt;&gt;"")*(($D$10:$L$10-($D$9:$L$9+INT(($S$12:$AA$12+INDEX($AJ$13:$AR$162,BN3968,0)+INDEX($AT$13:$BB$162,BO3968,0)+INDEX($BD$13:$BL$162,BP3968,0))/100)))&gt;0)*($D$10:$L$10-($D$9:$L$9+INT(($S$12:$AA$12+INDEX($AJ$13:$AR$162,BN3968,0)+INDEX($AT$13:$BB$162,BO3968,0)+INDEX($BD$13:$BL$162,BP3968,0))/100)))),0)</f>
        <v/>
      </c>
      <c r="BS3968">
        <f>IF(3955&lt;$U$9,SUMPRODUCT(($D$9:$L$9+INT(($S$12:$AA$12+INDEX($AJ$13:$AR$162,BN3968,0)+INDEX($AT$13:$BB$162,BO3968,0)+INDEX($BD$13:$BL$162,BP3968,0))/100))),0)</f>
        <v/>
      </c>
      <c r="BT3968">
        <f>IF(AND(3955&lt;$U$9,$W$5),BQ3968*1000000-MIN(BR3968,999)*1000+BS3968-3955/100000,-1000000000-3955)</f>
        <v/>
      </c>
    </row>
    <row r="3969">
      <c r="BN3969">
        <f>IF(3956&lt;$U$9,INT(3956/($U$7*$U$8))+1,1)</f>
        <v/>
      </c>
      <c r="BO3969">
        <f>IF(3956&lt;$U$9,MOD(INT(3956/$U$8),$U$7)+1,1)</f>
        <v/>
      </c>
      <c r="BP3969">
        <f>IF(3956&lt;$U$9,MOD(3956,$U$8)+1,1)</f>
        <v/>
      </c>
      <c r="BQ3969">
        <f>IF(3956&lt;$U$9,SUMPRODUCT(($D$10:$L$10&lt;&gt;"")*(($D$9:$L$9+INT(($S$12:$AA$12+INDEX($AJ$13:$AR$162,BN3969,0)+INDEX($AT$13:$BB$162,BO3969,0)+INDEX($BD$13:$BL$162,BP3969,0))/100))&gt;=$D$10:$L$10)),0)</f>
        <v/>
      </c>
      <c r="BR3969">
        <f>IF(3956&lt;$U$9,SUMPRODUCT(($D$10:$L$10&lt;&gt;"")*(($D$10:$L$10-($D$9:$L$9+INT(($S$12:$AA$12+INDEX($AJ$13:$AR$162,BN3969,0)+INDEX($AT$13:$BB$162,BO3969,0)+INDEX($BD$13:$BL$162,BP3969,0))/100)))&gt;0)*($D$10:$L$10-($D$9:$L$9+INT(($S$12:$AA$12+INDEX($AJ$13:$AR$162,BN3969,0)+INDEX($AT$13:$BB$162,BO3969,0)+INDEX($BD$13:$BL$162,BP3969,0))/100)))),0)</f>
        <v/>
      </c>
      <c r="BS3969">
        <f>IF(3956&lt;$U$9,SUMPRODUCT(($D$9:$L$9+INT(($S$12:$AA$12+INDEX($AJ$13:$AR$162,BN3969,0)+INDEX($AT$13:$BB$162,BO3969,0)+INDEX($BD$13:$BL$162,BP3969,0))/100))),0)</f>
        <v/>
      </c>
      <c r="BT3969">
        <f>IF(AND(3956&lt;$U$9,$W$5),BQ3969*1000000-MIN(BR3969,999)*1000+BS3969-3956/100000,-1000000000-3956)</f>
        <v/>
      </c>
    </row>
    <row r="3970">
      <c r="BN3970">
        <f>IF(3957&lt;$U$9,INT(3957/($U$7*$U$8))+1,1)</f>
        <v/>
      </c>
      <c r="BO3970">
        <f>IF(3957&lt;$U$9,MOD(INT(3957/$U$8),$U$7)+1,1)</f>
        <v/>
      </c>
      <c r="BP3970">
        <f>IF(3957&lt;$U$9,MOD(3957,$U$8)+1,1)</f>
        <v/>
      </c>
      <c r="BQ3970">
        <f>IF(3957&lt;$U$9,SUMPRODUCT(($D$10:$L$10&lt;&gt;"")*(($D$9:$L$9+INT(($S$12:$AA$12+INDEX($AJ$13:$AR$162,BN3970,0)+INDEX($AT$13:$BB$162,BO3970,0)+INDEX($BD$13:$BL$162,BP3970,0))/100))&gt;=$D$10:$L$10)),0)</f>
        <v/>
      </c>
      <c r="BR3970">
        <f>IF(3957&lt;$U$9,SUMPRODUCT(($D$10:$L$10&lt;&gt;"")*(($D$10:$L$10-($D$9:$L$9+INT(($S$12:$AA$12+INDEX($AJ$13:$AR$162,BN3970,0)+INDEX($AT$13:$BB$162,BO3970,0)+INDEX($BD$13:$BL$162,BP3970,0))/100)))&gt;0)*($D$10:$L$10-($D$9:$L$9+INT(($S$12:$AA$12+INDEX($AJ$13:$AR$162,BN3970,0)+INDEX($AT$13:$BB$162,BO3970,0)+INDEX($BD$13:$BL$162,BP3970,0))/100)))),0)</f>
        <v/>
      </c>
      <c r="BS3970">
        <f>IF(3957&lt;$U$9,SUMPRODUCT(($D$9:$L$9+INT(($S$12:$AA$12+INDEX($AJ$13:$AR$162,BN3970,0)+INDEX($AT$13:$BB$162,BO3970,0)+INDEX($BD$13:$BL$162,BP3970,0))/100))),0)</f>
        <v/>
      </c>
      <c r="BT3970">
        <f>IF(AND(3957&lt;$U$9,$W$5),BQ3970*1000000-MIN(BR3970,999)*1000+BS3970-3957/100000,-1000000000-3957)</f>
        <v/>
      </c>
    </row>
    <row r="3971">
      <c r="BN3971">
        <f>IF(3958&lt;$U$9,INT(3958/($U$7*$U$8))+1,1)</f>
        <v/>
      </c>
      <c r="BO3971">
        <f>IF(3958&lt;$U$9,MOD(INT(3958/$U$8),$U$7)+1,1)</f>
        <v/>
      </c>
      <c r="BP3971">
        <f>IF(3958&lt;$U$9,MOD(3958,$U$8)+1,1)</f>
        <v/>
      </c>
      <c r="BQ3971">
        <f>IF(3958&lt;$U$9,SUMPRODUCT(($D$10:$L$10&lt;&gt;"")*(($D$9:$L$9+INT(($S$12:$AA$12+INDEX($AJ$13:$AR$162,BN3971,0)+INDEX($AT$13:$BB$162,BO3971,0)+INDEX($BD$13:$BL$162,BP3971,0))/100))&gt;=$D$10:$L$10)),0)</f>
        <v/>
      </c>
      <c r="BR3971">
        <f>IF(3958&lt;$U$9,SUMPRODUCT(($D$10:$L$10&lt;&gt;"")*(($D$10:$L$10-($D$9:$L$9+INT(($S$12:$AA$12+INDEX($AJ$13:$AR$162,BN3971,0)+INDEX($AT$13:$BB$162,BO3971,0)+INDEX($BD$13:$BL$162,BP3971,0))/100)))&gt;0)*($D$10:$L$10-($D$9:$L$9+INT(($S$12:$AA$12+INDEX($AJ$13:$AR$162,BN3971,0)+INDEX($AT$13:$BB$162,BO3971,0)+INDEX($BD$13:$BL$162,BP3971,0))/100)))),0)</f>
        <v/>
      </c>
      <c r="BS3971">
        <f>IF(3958&lt;$U$9,SUMPRODUCT(($D$9:$L$9+INT(($S$12:$AA$12+INDEX($AJ$13:$AR$162,BN3971,0)+INDEX($AT$13:$BB$162,BO3971,0)+INDEX($BD$13:$BL$162,BP3971,0))/100))),0)</f>
        <v/>
      </c>
      <c r="BT3971">
        <f>IF(AND(3958&lt;$U$9,$W$5),BQ3971*1000000-MIN(BR3971,999)*1000+BS3971-3958/100000,-1000000000-3958)</f>
        <v/>
      </c>
    </row>
    <row r="3972">
      <c r="BN3972">
        <f>IF(3959&lt;$U$9,INT(3959/($U$7*$U$8))+1,1)</f>
        <v/>
      </c>
      <c r="BO3972">
        <f>IF(3959&lt;$U$9,MOD(INT(3959/$U$8),$U$7)+1,1)</f>
        <v/>
      </c>
      <c r="BP3972">
        <f>IF(3959&lt;$U$9,MOD(3959,$U$8)+1,1)</f>
        <v/>
      </c>
      <c r="BQ3972">
        <f>IF(3959&lt;$U$9,SUMPRODUCT(($D$10:$L$10&lt;&gt;"")*(($D$9:$L$9+INT(($S$12:$AA$12+INDEX($AJ$13:$AR$162,BN3972,0)+INDEX($AT$13:$BB$162,BO3972,0)+INDEX($BD$13:$BL$162,BP3972,0))/100))&gt;=$D$10:$L$10)),0)</f>
        <v/>
      </c>
      <c r="BR3972">
        <f>IF(3959&lt;$U$9,SUMPRODUCT(($D$10:$L$10&lt;&gt;"")*(($D$10:$L$10-($D$9:$L$9+INT(($S$12:$AA$12+INDEX($AJ$13:$AR$162,BN3972,0)+INDEX($AT$13:$BB$162,BO3972,0)+INDEX($BD$13:$BL$162,BP3972,0))/100)))&gt;0)*($D$10:$L$10-($D$9:$L$9+INT(($S$12:$AA$12+INDEX($AJ$13:$AR$162,BN3972,0)+INDEX($AT$13:$BB$162,BO3972,0)+INDEX($BD$13:$BL$162,BP3972,0))/100)))),0)</f>
        <v/>
      </c>
      <c r="BS3972">
        <f>IF(3959&lt;$U$9,SUMPRODUCT(($D$9:$L$9+INT(($S$12:$AA$12+INDEX($AJ$13:$AR$162,BN3972,0)+INDEX($AT$13:$BB$162,BO3972,0)+INDEX($BD$13:$BL$162,BP3972,0))/100))),0)</f>
        <v/>
      </c>
      <c r="BT3972">
        <f>IF(AND(3959&lt;$U$9,$W$5),BQ3972*1000000-MIN(BR3972,999)*1000+BS3972-3959/100000,-1000000000-3959)</f>
        <v/>
      </c>
    </row>
    <row r="3973">
      <c r="BN3973">
        <f>IF(3960&lt;$U$9,INT(3960/($U$7*$U$8))+1,1)</f>
        <v/>
      </c>
      <c r="BO3973">
        <f>IF(3960&lt;$U$9,MOD(INT(3960/$U$8),$U$7)+1,1)</f>
        <v/>
      </c>
      <c r="BP3973">
        <f>IF(3960&lt;$U$9,MOD(3960,$U$8)+1,1)</f>
        <v/>
      </c>
      <c r="BQ3973">
        <f>IF(3960&lt;$U$9,SUMPRODUCT(($D$10:$L$10&lt;&gt;"")*(($D$9:$L$9+INT(($S$12:$AA$12+INDEX($AJ$13:$AR$162,BN3973,0)+INDEX($AT$13:$BB$162,BO3973,0)+INDEX($BD$13:$BL$162,BP3973,0))/100))&gt;=$D$10:$L$10)),0)</f>
        <v/>
      </c>
      <c r="BR3973">
        <f>IF(3960&lt;$U$9,SUMPRODUCT(($D$10:$L$10&lt;&gt;"")*(($D$10:$L$10-($D$9:$L$9+INT(($S$12:$AA$12+INDEX($AJ$13:$AR$162,BN3973,0)+INDEX($AT$13:$BB$162,BO3973,0)+INDEX($BD$13:$BL$162,BP3973,0))/100)))&gt;0)*($D$10:$L$10-($D$9:$L$9+INT(($S$12:$AA$12+INDEX($AJ$13:$AR$162,BN3973,0)+INDEX($AT$13:$BB$162,BO3973,0)+INDEX($BD$13:$BL$162,BP3973,0))/100)))),0)</f>
        <v/>
      </c>
      <c r="BS3973">
        <f>IF(3960&lt;$U$9,SUMPRODUCT(($D$9:$L$9+INT(($S$12:$AA$12+INDEX($AJ$13:$AR$162,BN3973,0)+INDEX($AT$13:$BB$162,BO3973,0)+INDEX($BD$13:$BL$162,BP3973,0))/100))),0)</f>
        <v/>
      </c>
      <c r="BT3973">
        <f>IF(AND(3960&lt;$U$9,$W$5),BQ3973*1000000-MIN(BR3973,999)*1000+BS3973-3960/100000,-1000000000-3960)</f>
        <v/>
      </c>
    </row>
    <row r="3974">
      <c r="BN3974">
        <f>IF(3961&lt;$U$9,INT(3961/($U$7*$U$8))+1,1)</f>
        <v/>
      </c>
      <c r="BO3974">
        <f>IF(3961&lt;$U$9,MOD(INT(3961/$U$8),$U$7)+1,1)</f>
        <v/>
      </c>
      <c r="BP3974">
        <f>IF(3961&lt;$U$9,MOD(3961,$U$8)+1,1)</f>
        <v/>
      </c>
      <c r="BQ3974">
        <f>IF(3961&lt;$U$9,SUMPRODUCT(($D$10:$L$10&lt;&gt;"")*(($D$9:$L$9+INT(($S$12:$AA$12+INDEX($AJ$13:$AR$162,BN3974,0)+INDEX($AT$13:$BB$162,BO3974,0)+INDEX($BD$13:$BL$162,BP3974,0))/100))&gt;=$D$10:$L$10)),0)</f>
        <v/>
      </c>
      <c r="BR3974">
        <f>IF(3961&lt;$U$9,SUMPRODUCT(($D$10:$L$10&lt;&gt;"")*(($D$10:$L$10-($D$9:$L$9+INT(($S$12:$AA$12+INDEX($AJ$13:$AR$162,BN3974,0)+INDEX($AT$13:$BB$162,BO3974,0)+INDEX($BD$13:$BL$162,BP3974,0))/100)))&gt;0)*($D$10:$L$10-($D$9:$L$9+INT(($S$12:$AA$12+INDEX($AJ$13:$AR$162,BN3974,0)+INDEX($AT$13:$BB$162,BO3974,0)+INDEX($BD$13:$BL$162,BP3974,0))/100)))),0)</f>
        <v/>
      </c>
      <c r="BS3974">
        <f>IF(3961&lt;$U$9,SUMPRODUCT(($D$9:$L$9+INT(($S$12:$AA$12+INDEX($AJ$13:$AR$162,BN3974,0)+INDEX($AT$13:$BB$162,BO3974,0)+INDEX($BD$13:$BL$162,BP3974,0))/100))),0)</f>
        <v/>
      </c>
      <c r="BT3974">
        <f>IF(AND(3961&lt;$U$9,$W$5),BQ3974*1000000-MIN(BR3974,999)*1000+BS3974-3961/100000,-1000000000-3961)</f>
        <v/>
      </c>
    </row>
    <row r="3975">
      <c r="BN3975">
        <f>IF(3962&lt;$U$9,INT(3962/($U$7*$U$8))+1,1)</f>
        <v/>
      </c>
      <c r="BO3975">
        <f>IF(3962&lt;$U$9,MOD(INT(3962/$U$8),$U$7)+1,1)</f>
        <v/>
      </c>
      <c r="BP3975">
        <f>IF(3962&lt;$U$9,MOD(3962,$U$8)+1,1)</f>
        <v/>
      </c>
      <c r="BQ3975">
        <f>IF(3962&lt;$U$9,SUMPRODUCT(($D$10:$L$10&lt;&gt;"")*(($D$9:$L$9+INT(($S$12:$AA$12+INDEX($AJ$13:$AR$162,BN3975,0)+INDEX($AT$13:$BB$162,BO3975,0)+INDEX($BD$13:$BL$162,BP3975,0))/100))&gt;=$D$10:$L$10)),0)</f>
        <v/>
      </c>
      <c r="BR3975">
        <f>IF(3962&lt;$U$9,SUMPRODUCT(($D$10:$L$10&lt;&gt;"")*(($D$10:$L$10-($D$9:$L$9+INT(($S$12:$AA$12+INDEX($AJ$13:$AR$162,BN3975,0)+INDEX($AT$13:$BB$162,BO3975,0)+INDEX($BD$13:$BL$162,BP3975,0))/100)))&gt;0)*($D$10:$L$10-($D$9:$L$9+INT(($S$12:$AA$12+INDEX($AJ$13:$AR$162,BN3975,0)+INDEX($AT$13:$BB$162,BO3975,0)+INDEX($BD$13:$BL$162,BP3975,0))/100)))),0)</f>
        <v/>
      </c>
      <c r="BS3975">
        <f>IF(3962&lt;$U$9,SUMPRODUCT(($D$9:$L$9+INT(($S$12:$AA$12+INDEX($AJ$13:$AR$162,BN3975,0)+INDEX($AT$13:$BB$162,BO3975,0)+INDEX($BD$13:$BL$162,BP3975,0))/100))),0)</f>
        <v/>
      </c>
      <c r="BT3975">
        <f>IF(AND(3962&lt;$U$9,$W$5),BQ3975*1000000-MIN(BR3975,999)*1000+BS3975-3962/100000,-1000000000-3962)</f>
        <v/>
      </c>
    </row>
    <row r="3976">
      <c r="BN3976">
        <f>IF(3963&lt;$U$9,INT(3963/($U$7*$U$8))+1,1)</f>
        <v/>
      </c>
      <c r="BO3976">
        <f>IF(3963&lt;$U$9,MOD(INT(3963/$U$8),$U$7)+1,1)</f>
        <v/>
      </c>
      <c r="BP3976">
        <f>IF(3963&lt;$U$9,MOD(3963,$U$8)+1,1)</f>
        <v/>
      </c>
      <c r="BQ3976">
        <f>IF(3963&lt;$U$9,SUMPRODUCT(($D$10:$L$10&lt;&gt;"")*(($D$9:$L$9+INT(($S$12:$AA$12+INDEX($AJ$13:$AR$162,BN3976,0)+INDEX($AT$13:$BB$162,BO3976,0)+INDEX($BD$13:$BL$162,BP3976,0))/100))&gt;=$D$10:$L$10)),0)</f>
        <v/>
      </c>
      <c r="BR3976">
        <f>IF(3963&lt;$U$9,SUMPRODUCT(($D$10:$L$10&lt;&gt;"")*(($D$10:$L$10-($D$9:$L$9+INT(($S$12:$AA$12+INDEX($AJ$13:$AR$162,BN3976,0)+INDEX($AT$13:$BB$162,BO3976,0)+INDEX($BD$13:$BL$162,BP3976,0))/100)))&gt;0)*($D$10:$L$10-($D$9:$L$9+INT(($S$12:$AA$12+INDEX($AJ$13:$AR$162,BN3976,0)+INDEX($AT$13:$BB$162,BO3976,0)+INDEX($BD$13:$BL$162,BP3976,0))/100)))),0)</f>
        <v/>
      </c>
      <c r="BS3976">
        <f>IF(3963&lt;$U$9,SUMPRODUCT(($D$9:$L$9+INT(($S$12:$AA$12+INDEX($AJ$13:$AR$162,BN3976,0)+INDEX($AT$13:$BB$162,BO3976,0)+INDEX($BD$13:$BL$162,BP3976,0))/100))),0)</f>
        <v/>
      </c>
      <c r="BT3976">
        <f>IF(AND(3963&lt;$U$9,$W$5),BQ3976*1000000-MIN(BR3976,999)*1000+BS3976-3963/100000,-1000000000-3963)</f>
        <v/>
      </c>
    </row>
    <row r="3977">
      <c r="BN3977">
        <f>IF(3964&lt;$U$9,INT(3964/($U$7*$U$8))+1,1)</f>
        <v/>
      </c>
      <c r="BO3977">
        <f>IF(3964&lt;$U$9,MOD(INT(3964/$U$8),$U$7)+1,1)</f>
        <v/>
      </c>
      <c r="BP3977">
        <f>IF(3964&lt;$U$9,MOD(3964,$U$8)+1,1)</f>
        <v/>
      </c>
      <c r="BQ3977">
        <f>IF(3964&lt;$U$9,SUMPRODUCT(($D$10:$L$10&lt;&gt;"")*(($D$9:$L$9+INT(($S$12:$AA$12+INDEX($AJ$13:$AR$162,BN3977,0)+INDEX($AT$13:$BB$162,BO3977,0)+INDEX($BD$13:$BL$162,BP3977,0))/100))&gt;=$D$10:$L$10)),0)</f>
        <v/>
      </c>
      <c r="BR3977">
        <f>IF(3964&lt;$U$9,SUMPRODUCT(($D$10:$L$10&lt;&gt;"")*(($D$10:$L$10-($D$9:$L$9+INT(($S$12:$AA$12+INDEX($AJ$13:$AR$162,BN3977,0)+INDEX($AT$13:$BB$162,BO3977,0)+INDEX($BD$13:$BL$162,BP3977,0))/100)))&gt;0)*($D$10:$L$10-($D$9:$L$9+INT(($S$12:$AA$12+INDEX($AJ$13:$AR$162,BN3977,0)+INDEX($AT$13:$BB$162,BO3977,0)+INDEX($BD$13:$BL$162,BP3977,0))/100)))),0)</f>
        <v/>
      </c>
      <c r="BS3977">
        <f>IF(3964&lt;$U$9,SUMPRODUCT(($D$9:$L$9+INT(($S$12:$AA$12+INDEX($AJ$13:$AR$162,BN3977,0)+INDEX($AT$13:$BB$162,BO3977,0)+INDEX($BD$13:$BL$162,BP3977,0))/100))),0)</f>
        <v/>
      </c>
      <c r="BT3977">
        <f>IF(AND(3964&lt;$U$9,$W$5),BQ3977*1000000-MIN(BR3977,999)*1000+BS3977-3964/100000,-1000000000-3964)</f>
        <v/>
      </c>
    </row>
    <row r="3978">
      <c r="BN3978">
        <f>IF(3965&lt;$U$9,INT(3965/($U$7*$U$8))+1,1)</f>
        <v/>
      </c>
      <c r="BO3978">
        <f>IF(3965&lt;$U$9,MOD(INT(3965/$U$8),$U$7)+1,1)</f>
        <v/>
      </c>
      <c r="BP3978">
        <f>IF(3965&lt;$U$9,MOD(3965,$U$8)+1,1)</f>
        <v/>
      </c>
      <c r="BQ3978">
        <f>IF(3965&lt;$U$9,SUMPRODUCT(($D$10:$L$10&lt;&gt;"")*(($D$9:$L$9+INT(($S$12:$AA$12+INDEX($AJ$13:$AR$162,BN3978,0)+INDEX($AT$13:$BB$162,BO3978,0)+INDEX($BD$13:$BL$162,BP3978,0))/100))&gt;=$D$10:$L$10)),0)</f>
        <v/>
      </c>
      <c r="BR3978">
        <f>IF(3965&lt;$U$9,SUMPRODUCT(($D$10:$L$10&lt;&gt;"")*(($D$10:$L$10-($D$9:$L$9+INT(($S$12:$AA$12+INDEX($AJ$13:$AR$162,BN3978,0)+INDEX($AT$13:$BB$162,BO3978,0)+INDEX($BD$13:$BL$162,BP3978,0))/100)))&gt;0)*($D$10:$L$10-($D$9:$L$9+INT(($S$12:$AA$12+INDEX($AJ$13:$AR$162,BN3978,0)+INDEX($AT$13:$BB$162,BO3978,0)+INDEX($BD$13:$BL$162,BP3978,0))/100)))),0)</f>
        <v/>
      </c>
      <c r="BS3978">
        <f>IF(3965&lt;$U$9,SUMPRODUCT(($D$9:$L$9+INT(($S$12:$AA$12+INDEX($AJ$13:$AR$162,BN3978,0)+INDEX($AT$13:$BB$162,BO3978,0)+INDEX($BD$13:$BL$162,BP3978,0))/100))),0)</f>
        <v/>
      </c>
      <c r="BT3978">
        <f>IF(AND(3965&lt;$U$9,$W$5),BQ3978*1000000-MIN(BR3978,999)*1000+BS3978-3965/100000,-1000000000-3965)</f>
        <v/>
      </c>
    </row>
    <row r="3979">
      <c r="BN3979">
        <f>IF(3966&lt;$U$9,INT(3966/($U$7*$U$8))+1,1)</f>
        <v/>
      </c>
      <c r="BO3979">
        <f>IF(3966&lt;$U$9,MOD(INT(3966/$U$8),$U$7)+1,1)</f>
        <v/>
      </c>
      <c r="BP3979">
        <f>IF(3966&lt;$U$9,MOD(3966,$U$8)+1,1)</f>
        <v/>
      </c>
      <c r="BQ3979">
        <f>IF(3966&lt;$U$9,SUMPRODUCT(($D$10:$L$10&lt;&gt;"")*(($D$9:$L$9+INT(($S$12:$AA$12+INDEX($AJ$13:$AR$162,BN3979,0)+INDEX($AT$13:$BB$162,BO3979,0)+INDEX($BD$13:$BL$162,BP3979,0))/100))&gt;=$D$10:$L$10)),0)</f>
        <v/>
      </c>
      <c r="BR3979">
        <f>IF(3966&lt;$U$9,SUMPRODUCT(($D$10:$L$10&lt;&gt;"")*(($D$10:$L$10-($D$9:$L$9+INT(($S$12:$AA$12+INDEX($AJ$13:$AR$162,BN3979,0)+INDEX($AT$13:$BB$162,BO3979,0)+INDEX($BD$13:$BL$162,BP3979,0))/100)))&gt;0)*($D$10:$L$10-($D$9:$L$9+INT(($S$12:$AA$12+INDEX($AJ$13:$AR$162,BN3979,0)+INDEX($AT$13:$BB$162,BO3979,0)+INDEX($BD$13:$BL$162,BP3979,0))/100)))),0)</f>
        <v/>
      </c>
      <c r="BS3979">
        <f>IF(3966&lt;$U$9,SUMPRODUCT(($D$9:$L$9+INT(($S$12:$AA$12+INDEX($AJ$13:$AR$162,BN3979,0)+INDEX($AT$13:$BB$162,BO3979,0)+INDEX($BD$13:$BL$162,BP3979,0))/100))),0)</f>
        <v/>
      </c>
      <c r="BT3979">
        <f>IF(AND(3966&lt;$U$9,$W$5),BQ3979*1000000-MIN(BR3979,999)*1000+BS3979-3966/100000,-1000000000-3966)</f>
        <v/>
      </c>
    </row>
    <row r="3980">
      <c r="BN3980">
        <f>IF(3967&lt;$U$9,INT(3967/($U$7*$U$8))+1,1)</f>
        <v/>
      </c>
      <c r="BO3980">
        <f>IF(3967&lt;$U$9,MOD(INT(3967/$U$8),$U$7)+1,1)</f>
        <v/>
      </c>
      <c r="BP3980">
        <f>IF(3967&lt;$U$9,MOD(3967,$U$8)+1,1)</f>
        <v/>
      </c>
      <c r="BQ3980">
        <f>IF(3967&lt;$U$9,SUMPRODUCT(($D$10:$L$10&lt;&gt;"")*(($D$9:$L$9+INT(($S$12:$AA$12+INDEX($AJ$13:$AR$162,BN3980,0)+INDEX($AT$13:$BB$162,BO3980,0)+INDEX($BD$13:$BL$162,BP3980,0))/100))&gt;=$D$10:$L$10)),0)</f>
        <v/>
      </c>
      <c r="BR3980">
        <f>IF(3967&lt;$U$9,SUMPRODUCT(($D$10:$L$10&lt;&gt;"")*(($D$10:$L$10-($D$9:$L$9+INT(($S$12:$AA$12+INDEX($AJ$13:$AR$162,BN3980,0)+INDEX($AT$13:$BB$162,BO3980,0)+INDEX($BD$13:$BL$162,BP3980,0))/100)))&gt;0)*($D$10:$L$10-($D$9:$L$9+INT(($S$12:$AA$12+INDEX($AJ$13:$AR$162,BN3980,0)+INDEX($AT$13:$BB$162,BO3980,0)+INDEX($BD$13:$BL$162,BP3980,0))/100)))),0)</f>
        <v/>
      </c>
      <c r="BS3980">
        <f>IF(3967&lt;$U$9,SUMPRODUCT(($D$9:$L$9+INT(($S$12:$AA$12+INDEX($AJ$13:$AR$162,BN3980,0)+INDEX($AT$13:$BB$162,BO3980,0)+INDEX($BD$13:$BL$162,BP3980,0))/100))),0)</f>
        <v/>
      </c>
      <c r="BT3980">
        <f>IF(AND(3967&lt;$U$9,$W$5),BQ3980*1000000-MIN(BR3980,999)*1000+BS3980-3967/100000,-1000000000-3967)</f>
        <v/>
      </c>
    </row>
    <row r="3981">
      <c r="BN3981">
        <f>IF(3968&lt;$U$9,INT(3968/($U$7*$U$8))+1,1)</f>
        <v/>
      </c>
      <c r="BO3981">
        <f>IF(3968&lt;$U$9,MOD(INT(3968/$U$8),$U$7)+1,1)</f>
        <v/>
      </c>
      <c r="BP3981">
        <f>IF(3968&lt;$U$9,MOD(3968,$U$8)+1,1)</f>
        <v/>
      </c>
      <c r="BQ3981">
        <f>IF(3968&lt;$U$9,SUMPRODUCT(($D$10:$L$10&lt;&gt;"")*(($D$9:$L$9+INT(($S$12:$AA$12+INDEX($AJ$13:$AR$162,BN3981,0)+INDEX($AT$13:$BB$162,BO3981,0)+INDEX($BD$13:$BL$162,BP3981,0))/100))&gt;=$D$10:$L$10)),0)</f>
        <v/>
      </c>
      <c r="BR3981">
        <f>IF(3968&lt;$U$9,SUMPRODUCT(($D$10:$L$10&lt;&gt;"")*(($D$10:$L$10-($D$9:$L$9+INT(($S$12:$AA$12+INDEX($AJ$13:$AR$162,BN3981,0)+INDEX($AT$13:$BB$162,BO3981,0)+INDEX($BD$13:$BL$162,BP3981,0))/100)))&gt;0)*($D$10:$L$10-($D$9:$L$9+INT(($S$12:$AA$12+INDEX($AJ$13:$AR$162,BN3981,0)+INDEX($AT$13:$BB$162,BO3981,0)+INDEX($BD$13:$BL$162,BP3981,0))/100)))),0)</f>
        <v/>
      </c>
      <c r="BS3981">
        <f>IF(3968&lt;$U$9,SUMPRODUCT(($D$9:$L$9+INT(($S$12:$AA$12+INDEX($AJ$13:$AR$162,BN3981,0)+INDEX($AT$13:$BB$162,BO3981,0)+INDEX($BD$13:$BL$162,BP3981,0))/100))),0)</f>
        <v/>
      </c>
      <c r="BT3981">
        <f>IF(AND(3968&lt;$U$9,$W$5),BQ3981*1000000-MIN(BR3981,999)*1000+BS3981-3968/100000,-1000000000-3968)</f>
        <v/>
      </c>
    </row>
    <row r="3982">
      <c r="BN3982">
        <f>IF(3969&lt;$U$9,INT(3969/($U$7*$U$8))+1,1)</f>
        <v/>
      </c>
      <c r="BO3982">
        <f>IF(3969&lt;$U$9,MOD(INT(3969/$U$8),$U$7)+1,1)</f>
        <v/>
      </c>
      <c r="BP3982">
        <f>IF(3969&lt;$U$9,MOD(3969,$U$8)+1,1)</f>
        <v/>
      </c>
      <c r="BQ3982">
        <f>IF(3969&lt;$U$9,SUMPRODUCT(($D$10:$L$10&lt;&gt;"")*(($D$9:$L$9+INT(($S$12:$AA$12+INDEX($AJ$13:$AR$162,BN3982,0)+INDEX($AT$13:$BB$162,BO3982,0)+INDEX($BD$13:$BL$162,BP3982,0))/100))&gt;=$D$10:$L$10)),0)</f>
        <v/>
      </c>
      <c r="BR3982">
        <f>IF(3969&lt;$U$9,SUMPRODUCT(($D$10:$L$10&lt;&gt;"")*(($D$10:$L$10-($D$9:$L$9+INT(($S$12:$AA$12+INDEX($AJ$13:$AR$162,BN3982,0)+INDEX($AT$13:$BB$162,BO3982,0)+INDEX($BD$13:$BL$162,BP3982,0))/100)))&gt;0)*($D$10:$L$10-($D$9:$L$9+INT(($S$12:$AA$12+INDEX($AJ$13:$AR$162,BN3982,0)+INDEX($AT$13:$BB$162,BO3982,0)+INDEX($BD$13:$BL$162,BP3982,0))/100)))),0)</f>
        <v/>
      </c>
      <c r="BS3982">
        <f>IF(3969&lt;$U$9,SUMPRODUCT(($D$9:$L$9+INT(($S$12:$AA$12+INDEX($AJ$13:$AR$162,BN3982,0)+INDEX($AT$13:$BB$162,BO3982,0)+INDEX($BD$13:$BL$162,BP3982,0))/100))),0)</f>
        <v/>
      </c>
      <c r="BT3982">
        <f>IF(AND(3969&lt;$U$9,$W$5),BQ3982*1000000-MIN(BR3982,999)*1000+BS3982-3969/100000,-1000000000-3969)</f>
        <v/>
      </c>
    </row>
    <row r="3983">
      <c r="BN3983">
        <f>IF(3970&lt;$U$9,INT(3970/($U$7*$U$8))+1,1)</f>
        <v/>
      </c>
      <c r="BO3983">
        <f>IF(3970&lt;$U$9,MOD(INT(3970/$U$8),$U$7)+1,1)</f>
        <v/>
      </c>
      <c r="BP3983">
        <f>IF(3970&lt;$U$9,MOD(3970,$U$8)+1,1)</f>
        <v/>
      </c>
      <c r="BQ3983">
        <f>IF(3970&lt;$U$9,SUMPRODUCT(($D$10:$L$10&lt;&gt;"")*(($D$9:$L$9+INT(($S$12:$AA$12+INDEX($AJ$13:$AR$162,BN3983,0)+INDEX($AT$13:$BB$162,BO3983,0)+INDEX($BD$13:$BL$162,BP3983,0))/100))&gt;=$D$10:$L$10)),0)</f>
        <v/>
      </c>
      <c r="BR3983">
        <f>IF(3970&lt;$U$9,SUMPRODUCT(($D$10:$L$10&lt;&gt;"")*(($D$10:$L$10-($D$9:$L$9+INT(($S$12:$AA$12+INDEX($AJ$13:$AR$162,BN3983,0)+INDEX($AT$13:$BB$162,BO3983,0)+INDEX($BD$13:$BL$162,BP3983,0))/100)))&gt;0)*($D$10:$L$10-($D$9:$L$9+INT(($S$12:$AA$12+INDEX($AJ$13:$AR$162,BN3983,0)+INDEX($AT$13:$BB$162,BO3983,0)+INDEX($BD$13:$BL$162,BP3983,0))/100)))),0)</f>
        <v/>
      </c>
      <c r="BS3983">
        <f>IF(3970&lt;$U$9,SUMPRODUCT(($D$9:$L$9+INT(($S$12:$AA$12+INDEX($AJ$13:$AR$162,BN3983,0)+INDEX($AT$13:$BB$162,BO3983,0)+INDEX($BD$13:$BL$162,BP3983,0))/100))),0)</f>
        <v/>
      </c>
      <c r="BT3983">
        <f>IF(AND(3970&lt;$U$9,$W$5),BQ3983*1000000-MIN(BR3983,999)*1000+BS3983-3970/100000,-1000000000-3970)</f>
        <v/>
      </c>
    </row>
    <row r="3984">
      <c r="BN3984">
        <f>IF(3971&lt;$U$9,INT(3971/($U$7*$U$8))+1,1)</f>
        <v/>
      </c>
      <c r="BO3984">
        <f>IF(3971&lt;$U$9,MOD(INT(3971/$U$8),$U$7)+1,1)</f>
        <v/>
      </c>
      <c r="BP3984">
        <f>IF(3971&lt;$U$9,MOD(3971,$U$8)+1,1)</f>
        <v/>
      </c>
      <c r="BQ3984">
        <f>IF(3971&lt;$U$9,SUMPRODUCT(($D$10:$L$10&lt;&gt;"")*(($D$9:$L$9+INT(($S$12:$AA$12+INDEX($AJ$13:$AR$162,BN3984,0)+INDEX($AT$13:$BB$162,BO3984,0)+INDEX($BD$13:$BL$162,BP3984,0))/100))&gt;=$D$10:$L$10)),0)</f>
        <v/>
      </c>
      <c r="BR3984">
        <f>IF(3971&lt;$U$9,SUMPRODUCT(($D$10:$L$10&lt;&gt;"")*(($D$10:$L$10-($D$9:$L$9+INT(($S$12:$AA$12+INDEX($AJ$13:$AR$162,BN3984,0)+INDEX($AT$13:$BB$162,BO3984,0)+INDEX($BD$13:$BL$162,BP3984,0))/100)))&gt;0)*($D$10:$L$10-($D$9:$L$9+INT(($S$12:$AA$12+INDEX($AJ$13:$AR$162,BN3984,0)+INDEX($AT$13:$BB$162,BO3984,0)+INDEX($BD$13:$BL$162,BP3984,0))/100)))),0)</f>
        <v/>
      </c>
      <c r="BS3984">
        <f>IF(3971&lt;$U$9,SUMPRODUCT(($D$9:$L$9+INT(($S$12:$AA$12+INDEX($AJ$13:$AR$162,BN3984,0)+INDEX($AT$13:$BB$162,BO3984,0)+INDEX($BD$13:$BL$162,BP3984,0))/100))),0)</f>
        <v/>
      </c>
      <c r="BT3984">
        <f>IF(AND(3971&lt;$U$9,$W$5),BQ3984*1000000-MIN(BR3984,999)*1000+BS3984-3971/100000,-1000000000-3971)</f>
        <v/>
      </c>
    </row>
    <row r="3985">
      <c r="BN3985">
        <f>IF(3972&lt;$U$9,INT(3972/($U$7*$U$8))+1,1)</f>
        <v/>
      </c>
      <c r="BO3985">
        <f>IF(3972&lt;$U$9,MOD(INT(3972/$U$8),$U$7)+1,1)</f>
        <v/>
      </c>
      <c r="BP3985">
        <f>IF(3972&lt;$U$9,MOD(3972,$U$8)+1,1)</f>
        <v/>
      </c>
      <c r="BQ3985">
        <f>IF(3972&lt;$U$9,SUMPRODUCT(($D$10:$L$10&lt;&gt;"")*(($D$9:$L$9+INT(($S$12:$AA$12+INDEX($AJ$13:$AR$162,BN3985,0)+INDEX($AT$13:$BB$162,BO3985,0)+INDEX($BD$13:$BL$162,BP3985,0))/100))&gt;=$D$10:$L$10)),0)</f>
        <v/>
      </c>
      <c r="BR3985">
        <f>IF(3972&lt;$U$9,SUMPRODUCT(($D$10:$L$10&lt;&gt;"")*(($D$10:$L$10-($D$9:$L$9+INT(($S$12:$AA$12+INDEX($AJ$13:$AR$162,BN3985,0)+INDEX($AT$13:$BB$162,BO3985,0)+INDEX($BD$13:$BL$162,BP3985,0))/100)))&gt;0)*($D$10:$L$10-($D$9:$L$9+INT(($S$12:$AA$12+INDEX($AJ$13:$AR$162,BN3985,0)+INDEX($AT$13:$BB$162,BO3985,0)+INDEX($BD$13:$BL$162,BP3985,0))/100)))),0)</f>
        <v/>
      </c>
      <c r="BS3985">
        <f>IF(3972&lt;$U$9,SUMPRODUCT(($D$9:$L$9+INT(($S$12:$AA$12+INDEX($AJ$13:$AR$162,BN3985,0)+INDEX($AT$13:$BB$162,BO3985,0)+INDEX($BD$13:$BL$162,BP3985,0))/100))),0)</f>
        <v/>
      </c>
      <c r="BT3985">
        <f>IF(AND(3972&lt;$U$9,$W$5),BQ3985*1000000-MIN(BR3985,999)*1000+BS3985-3972/100000,-1000000000-3972)</f>
        <v/>
      </c>
    </row>
    <row r="3986">
      <c r="BN3986">
        <f>IF(3973&lt;$U$9,INT(3973/($U$7*$U$8))+1,1)</f>
        <v/>
      </c>
      <c r="BO3986">
        <f>IF(3973&lt;$U$9,MOD(INT(3973/$U$8),$U$7)+1,1)</f>
        <v/>
      </c>
      <c r="BP3986">
        <f>IF(3973&lt;$U$9,MOD(3973,$U$8)+1,1)</f>
        <v/>
      </c>
      <c r="BQ3986">
        <f>IF(3973&lt;$U$9,SUMPRODUCT(($D$10:$L$10&lt;&gt;"")*(($D$9:$L$9+INT(($S$12:$AA$12+INDEX($AJ$13:$AR$162,BN3986,0)+INDEX($AT$13:$BB$162,BO3986,0)+INDEX($BD$13:$BL$162,BP3986,0))/100))&gt;=$D$10:$L$10)),0)</f>
        <v/>
      </c>
      <c r="BR3986">
        <f>IF(3973&lt;$U$9,SUMPRODUCT(($D$10:$L$10&lt;&gt;"")*(($D$10:$L$10-($D$9:$L$9+INT(($S$12:$AA$12+INDEX($AJ$13:$AR$162,BN3986,0)+INDEX($AT$13:$BB$162,BO3986,0)+INDEX($BD$13:$BL$162,BP3986,0))/100)))&gt;0)*($D$10:$L$10-($D$9:$L$9+INT(($S$12:$AA$12+INDEX($AJ$13:$AR$162,BN3986,0)+INDEX($AT$13:$BB$162,BO3986,0)+INDEX($BD$13:$BL$162,BP3986,0))/100)))),0)</f>
        <v/>
      </c>
      <c r="BS3986">
        <f>IF(3973&lt;$U$9,SUMPRODUCT(($D$9:$L$9+INT(($S$12:$AA$12+INDEX($AJ$13:$AR$162,BN3986,0)+INDEX($AT$13:$BB$162,BO3986,0)+INDEX($BD$13:$BL$162,BP3986,0))/100))),0)</f>
        <v/>
      </c>
      <c r="BT3986">
        <f>IF(AND(3973&lt;$U$9,$W$5),BQ3986*1000000-MIN(BR3986,999)*1000+BS3986-3973/100000,-1000000000-3973)</f>
        <v/>
      </c>
    </row>
    <row r="3987">
      <c r="BN3987">
        <f>IF(3974&lt;$U$9,INT(3974/($U$7*$U$8))+1,1)</f>
        <v/>
      </c>
      <c r="BO3987">
        <f>IF(3974&lt;$U$9,MOD(INT(3974/$U$8),$U$7)+1,1)</f>
        <v/>
      </c>
      <c r="BP3987">
        <f>IF(3974&lt;$U$9,MOD(3974,$U$8)+1,1)</f>
        <v/>
      </c>
      <c r="BQ3987">
        <f>IF(3974&lt;$U$9,SUMPRODUCT(($D$10:$L$10&lt;&gt;"")*(($D$9:$L$9+INT(($S$12:$AA$12+INDEX($AJ$13:$AR$162,BN3987,0)+INDEX($AT$13:$BB$162,BO3987,0)+INDEX($BD$13:$BL$162,BP3987,0))/100))&gt;=$D$10:$L$10)),0)</f>
        <v/>
      </c>
      <c r="BR3987">
        <f>IF(3974&lt;$U$9,SUMPRODUCT(($D$10:$L$10&lt;&gt;"")*(($D$10:$L$10-($D$9:$L$9+INT(($S$12:$AA$12+INDEX($AJ$13:$AR$162,BN3987,0)+INDEX($AT$13:$BB$162,BO3987,0)+INDEX($BD$13:$BL$162,BP3987,0))/100)))&gt;0)*($D$10:$L$10-($D$9:$L$9+INT(($S$12:$AA$12+INDEX($AJ$13:$AR$162,BN3987,0)+INDEX($AT$13:$BB$162,BO3987,0)+INDEX($BD$13:$BL$162,BP3987,0))/100)))),0)</f>
        <v/>
      </c>
      <c r="BS3987">
        <f>IF(3974&lt;$U$9,SUMPRODUCT(($D$9:$L$9+INT(($S$12:$AA$12+INDEX($AJ$13:$AR$162,BN3987,0)+INDEX($AT$13:$BB$162,BO3987,0)+INDEX($BD$13:$BL$162,BP3987,0))/100))),0)</f>
        <v/>
      </c>
      <c r="BT3987">
        <f>IF(AND(3974&lt;$U$9,$W$5),BQ3987*1000000-MIN(BR3987,999)*1000+BS3987-3974/100000,-1000000000-3974)</f>
        <v/>
      </c>
    </row>
    <row r="3988">
      <c r="BN3988">
        <f>IF(3975&lt;$U$9,INT(3975/($U$7*$U$8))+1,1)</f>
        <v/>
      </c>
      <c r="BO3988">
        <f>IF(3975&lt;$U$9,MOD(INT(3975/$U$8),$U$7)+1,1)</f>
        <v/>
      </c>
      <c r="BP3988">
        <f>IF(3975&lt;$U$9,MOD(3975,$U$8)+1,1)</f>
        <v/>
      </c>
      <c r="BQ3988">
        <f>IF(3975&lt;$U$9,SUMPRODUCT(($D$10:$L$10&lt;&gt;"")*(($D$9:$L$9+INT(($S$12:$AA$12+INDEX($AJ$13:$AR$162,BN3988,0)+INDEX($AT$13:$BB$162,BO3988,0)+INDEX($BD$13:$BL$162,BP3988,0))/100))&gt;=$D$10:$L$10)),0)</f>
        <v/>
      </c>
      <c r="BR3988">
        <f>IF(3975&lt;$U$9,SUMPRODUCT(($D$10:$L$10&lt;&gt;"")*(($D$10:$L$10-($D$9:$L$9+INT(($S$12:$AA$12+INDEX($AJ$13:$AR$162,BN3988,0)+INDEX($AT$13:$BB$162,BO3988,0)+INDEX($BD$13:$BL$162,BP3988,0))/100)))&gt;0)*($D$10:$L$10-($D$9:$L$9+INT(($S$12:$AA$12+INDEX($AJ$13:$AR$162,BN3988,0)+INDEX($AT$13:$BB$162,BO3988,0)+INDEX($BD$13:$BL$162,BP3988,0))/100)))),0)</f>
        <v/>
      </c>
      <c r="BS3988">
        <f>IF(3975&lt;$U$9,SUMPRODUCT(($D$9:$L$9+INT(($S$12:$AA$12+INDEX($AJ$13:$AR$162,BN3988,0)+INDEX($AT$13:$BB$162,BO3988,0)+INDEX($BD$13:$BL$162,BP3988,0))/100))),0)</f>
        <v/>
      </c>
      <c r="BT3988">
        <f>IF(AND(3975&lt;$U$9,$W$5),BQ3988*1000000-MIN(BR3988,999)*1000+BS3988-3975/100000,-1000000000-3975)</f>
        <v/>
      </c>
    </row>
    <row r="3989">
      <c r="BN3989">
        <f>IF(3976&lt;$U$9,INT(3976/($U$7*$U$8))+1,1)</f>
        <v/>
      </c>
      <c r="BO3989">
        <f>IF(3976&lt;$U$9,MOD(INT(3976/$U$8),$U$7)+1,1)</f>
        <v/>
      </c>
      <c r="BP3989">
        <f>IF(3976&lt;$U$9,MOD(3976,$U$8)+1,1)</f>
        <v/>
      </c>
      <c r="BQ3989">
        <f>IF(3976&lt;$U$9,SUMPRODUCT(($D$10:$L$10&lt;&gt;"")*(($D$9:$L$9+INT(($S$12:$AA$12+INDEX($AJ$13:$AR$162,BN3989,0)+INDEX($AT$13:$BB$162,BO3989,0)+INDEX($BD$13:$BL$162,BP3989,0))/100))&gt;=$D$10:$L$10)),0)</f>
        <v/>
      </c>
      <c r="BR3989">
        <f>IF(3976&lt;$U$9,SUMPRODUCT(($D$10:$L$10&lt;&gt;"")*(($D$10:$L$10-($D$9:$L$9+INT(($S$12:$AA$12+INDEX($AJ$13:$AR$162,BN3989,0)+INDEX($AT$13:$BB$162,BO3989,0)+INDEX($BD$13:$BL$162,BP3989,0))/100)))&gt;0)*($D$10:$L$10-($D$9:$L$9+INT(($S$12:$AA$12+INDEX($AJ$13:$AR$162,BN3989,0)+INDEX($AT$13:$BB$162,BO3989,0)+INDEX($BD$13:$BL$162,BP3989,0))/100)))),0)</f>
        <v/>
      </c>
      <c r="BS3989">
        <f>IF(3976&lt;$U$9,SUMPRODUCT(($D$9:$L$9+INT(($S$12:$AA$12+INDEX($AJ$13:$AR$162,BN3989,0)+INDEX($AT$13:$BB$162,BO3989,0)+INDEX($BD$13:$BL$162,BP3989,0))/100))),0)</f>
        <v/>
      </c>
      <c r="BT3989">
        <f>IF(AND(3976&lt;$U$9,$W$5),BQ3989*1000000-MIN(BR3989,999)*1000+BS3989-3976/100000,-1000000000-3976)</f>
        <v/>
      </c>
    </row>
    <row r="3990">
      <c r="BN3990">
        <f>IF(3977&lt;$U$9,INT(3977/($U$7*$U$8))+1,1)</f>
        <v/>
      </c>
      <c r="BO3990">
        <f>IF(3977&lt;$U$9,MOD(INT(3977/$U$8),$U$7)+1,1)</f>
        <v/>
      </c>
      <c r="BP3990">
        <f>IF(3977&lt;$U$9,MOD(3977,$U$8)+1,1)</f>
        <v/>
      </c>
      <c r="BQ3990">
        <f>IF(3977&lt;$U$9,SUMPRODUCT(($D$10:$L$10&lt;&gt;"")*(($D$9:$L$9+INT(($S$12:$AA$12+INDEX($AJ$13:$AR$162,BN3990,0)+INDEX($AT$13:$BB$162,BO3990,0)+INDEX($BD$13:$BL$162,BP3990,0))/100))&gt;=$D$10:$L$10)),0)</f>
        <v/>
      </c>
      <c r="BR3990">
        <f>IF(3977&lt;$U$9,SUMPRODUCT(($D$10:$L$10&lt;&gt;"")*(($D$10:$L$10-($D$9:$L$9+INT(($S$12:$AA$12+INDEX($AJ$13:$AR$162,BN3990,0)+INDEX($AT$13:$BB$162,BO3990,0)+INDEX($BD$13:$BL$162,BP3990,0))/100)))&gt;0)*($D$10:$L$10-($D$9:$L$9+INT(($S$12:$AA$12+INDEX($AJ$13:$AR$162,BN3990,0)+INDEX($AT$13:$BB$162,BO3990,0)+INDEX($BD$13:$BL$162,BP3990,0))/100)))),0)</f>
        <v/>
      </c>
      <c r="BS3990">
        <f>IF(3977&lt;$U$9,SUMPRODUCT(($D$9:$L$9+INT(($S$12:$AA$12+INDEX($AJ$13:$AR$162,BN3990,0)+INDEX($AT$13:$BB$162,BO3990,0)+INDEX($BD$13:$BL$162,BP3990,0))/100))),0)</f>
        <v/>
      </c>
      <c r="BT3990">
        <f>IF(AND(3977&lt;$U$9,$W$5),BQ3990*1000000-MIN(BR3990,999)*1000+BS3990-3977/100000,-1000000000-3977)</f>
        <v/>
      </c>
    </row>
    <row r="3991">
      <c r="BN3991">
        <f>IF(3978&lt;$U$9,INT(3978/($U$7*$U$8))+1,1)</f>
        <v/>
      </c>
      <c r="BO3991">
        <f>IF(3978&lt;$U$9,MOD(INT(3978/$U$8),$U$7)+1,1)</f>
        <v/>
      </c>
      <c r="BP3991">
        <f>IF(3978&lt;$U$9,MOD(3978,$U$8)+1,1)</f>
        <v/>
      </c>
      <c r="BQ3991">
        <f>IF(3978&lt;$U$9,SUMPRODUCT(($D$10:$L$10&lt;&gt;"")*(($D$9:$L$9+INT(($S$12:$AA$12+INDEX($AJ$13:$AR$162,BN3991,0)+INDEX($AT$13:$BB$162,BO3991,0)+INDEX($BD$13:$BL$162,BP3991,0))/100))&gt;=$D$10:$L$10)),0)</f>
        <v/>
      </c>
      <c r="BR3991">
        <f>IF(3978&lt;$U$9,SUMPRODUCT(($D$10:$L$10&lt;&gt;"")*(($D$10:$L$10-($D$9:$L$9+INT(($S$12:$AA$12+INDEX($AJ$13:$AR$162,BN3991,0)+INDEX($AT$13:$BB$162,BO3991,0)+INDEX($BD$13:$BL$162,BP3991,0))/100)))&gt;0)*($D$10:$L$10-($D$9:$L$9+INT(($S$12:$AA$12+INDEX($AJ$13:$AR$162,BN3991,0)+INDEX($AT$13:$BB$162,BO3991,0)+INDEX($BD$13:$BL$162,BP3991,0))/100)))),0)</f>
        <v/>
      </c>
      <c r="BS3991">
        <f>IF(3978&lt;$U$9,SUMPRODUCT(($D$9:$L$9+INT(($S$12:$AA$12+INDEX($AJ$13:$AR$162,BN3991,0)+INDEX($AT$13:$BB$162,BO3991,0)+INDEX($BD$13:$BL$162,BP3991,0))/100))),0)</f>
        <v/>
      </c>
      <c r="BT3991">
        <f>IF(AND(3978&lt;$U$9,$W$5),BQ3991*1000000-MIN(BR3991,999)*1000+BS3991-3978/100000,-1000000000-3978)</f>
        <v/>
      </c>
    </row>
    <row r="3992">
      <c r="BN3992">
        <f>IF(3979&lt;$U$9,INT(3979/($U$7*$U$8))+1,1)</f>
        <v/>
      </c>
      <c r="BO3992">
        <f>IF(3979&lt;$U$9,MOD(INT(3979/$U$8),$U$7)+1,1)</f>
        <v/>
      </c>
      <c r="BP3992">
        <f>IF(3979&lt;$U$9,MOD(3979,$U$8)+1,1)</f>
        <v/>
      </c>
      <c r="BQ3992">
        <f>IF(3979&lt;$U$9,SUMPRODUCT(($D$10:$L$10&lt;&gt;"")*(($D$9:$L$9+INT(($S$12:$AA$12+INDEX($AJ$13:$AR$162,BN3992,0)+INDEX($AT$13:$BB$162,BO3992,0)+INDEX($BD$13:$BL$162,BP3992,0))/100))&gt;=$D$10:$L$10)),0)</f>
        <v/>
      </c>
      <c r="BR3992">
        <f>IF(3979&lt;$U$9,SUMPRODUCT(($D$10:$L$10&lt;&gt;"")*(($D$10:$L$10-($D$9:$L$9+INT(($S$12:$AA$12+INDEX($AJ$13:$AR$162,BN3992,0)+INDEX($AT$13:$BB$162,BO3992,0)+INDEX($BD$13:$BL$162,BP3992,0))/100)))&gt;0)*($D$10:$L$10-($D$9:$L$9+INT(($S$12:$AA$12+INDEX($AJ$13:$AR$162,BN3992,0)+INDEX($AT$13:$BB$162,BO3992,0)+INDEX($BD$13:$BL$162,BP3992,0))/100)))),0)</f>
        <v/>
      </c>
      <c r="BS3992">
        <f>IF(3979&lt;$U$9,SUMPRODUCT(($D$9:$L$9+INT(($S$12:$AA$12+INDEX($AJ$13:$AR$162,BN3992,0)+INDEX($AT$13:$BB$162,BO3992,0)+INDEX($BD$13:$BL$162,BP3992,0))/100))),0)</f>
        <v/>
      </c>
      <c r="BT3992">
        <f>IF(AND(3979&lt;$U$9,$W$5),BQ3992*1000000-MIN(BR3992,999)*1000+BS3992-3979/100000,-1000000000-3979)</f>
        <v/>
      </c>
    </row>
    <row r="3993">
      <c r="BN3993">
        <f>IF(3980&lt;$U$9,INT(3980/($U$7*$U$8))+1,1)</f>
        <v/>
      </c>
      <c r="BO3993">
        <f>IF(3980&lt;$U$9,MOD(INT(3980/$U$8),$U$7)+1,1)</f>
        <v/>
      </c>
      <c r="BP3993">
        <f>IF(3980&lt;$U$9,MOD(3980,$U$8)+1,1)</f>
        <v/>
      </c>
      <c r="BQ3993">
        <f>IF(3980&lt;$U$9,SUMPRODUCT(($D$10:$L$10&lt;&gt;"")*(($D$9:$L$9+INT(($S$12:$AA$12+INDEX($AJ$13:$AR$162,BN3993,0)+INDEX($AT$13:$BB$162,BO3993,0)+INDEX($BD$13:$BL$162,BP3993,0))/100))&gt;=$D$10:$L$10)),0)</f>
        <v/>
      </c>
      <c r="BR3993">
        <f>IF(3980&lt;$U$9,SUMPRODUCT(($D$10:$L$10&lt;&gt;"")*(($D$10:$L$10-($D$9:$L$9+INT(($S$12:$AA$12+INDEX($AJ$13:$AR$162,BN3993,0)+INDEX($AT$13:$BB$162,BO3993,0)+INDEX($BD$13:$BL$162,BP3993,0))/100)))&gt;0)*($D$10:$L$10-($D$9:$L$9+INT(($S$12:$AA$12+INDEX($AJ$13:$AR$162,BN3993,0)+INDEX($AT$13:$BB$162,BO3993,0)+INDEX($BD$13:$BL$162,BP3993,0))/100)))),0)</f>
        <v/>
      </c>
      <c r="BS3993">
        <f>IF(3980&lt;$U$9,SUMPRODUCT(($D$9:$L$9+INT(($S$12:$AA$12+INDEX($AJ$13:$AR$162,BN3993,0)+INDEX($AT$13:$BB$162,BO3993,0)+INDEX($BD$13:$BL$162,BP3993,0))/100))),0)</f>
        <v/>
      </c>
      <c r="BT3993">
        <f>IF(AND(3980&lt;$U$9,$W$5),BQ3993*1000000-MIN(BR3993,999)*1000+BS3993-3980/100000,-1000000000-3980)</f>
        <v/>
      </c>
    </row>
    <row r="3994">
      <c r="BN3994">
        <f>IF(3981&lt;$U$9,INT(3981/($U$7*$U$8))+1,1)</f>
        <v/>
      </c>
      <c r="BO3994">
        <f>IF(3981&lt;$U$9,MOD(INT(3981/$U$8),$U$7)+1,1)</f>
        <v/>
      </c>
      <c r="BP3994">
        <f>IF(3981&lt;$U$9,MOD(3981,$U$8)+1,1)</f>
        <v/>
      </c>
      <c r="BQ3994">
        <f>IF(3981&lt;$U$9,SUMPRODUCT(($D$10:$L$10&lt;&gt;"")*(($D$9:$L$9+INT(($S$12:$AA$12+INDEX($AJ$13:$AR$162,BN3994,0)+INDEX($AT$13:$BB$162,BO3994,0)+INDEX($BD$13:$BL$162,BP3994,0))/100))&gt;=$D$10:$L$10)),0)</f>
        <v/>
      </c>
      <c r="BR3994">
        <f>IF(3981&lt;$U$9,SUMPRODUCT(($D$10:$L$10&lt;&gt;"")*(($D$10:$L$10-($D$9:$L$9+INT(($S$12:$AA$12+INDEX($AJ$13:$AR$162,BN3994,0)+INDEX($AT$13:$BB$162,BO3994,0)+INDEX($BD$13:$BL$162,BP3994,0))/100)))&gt;0)*($D$10:$L$10-($D$9:$L$9+INT(($S$12:$AA$12+INDEX($AJ$13:$AR$162,BN3994,0)+INDEX($AT$13:$BB$162,BO3994,0)+INDEX($BD$13:$BL$162,BP3994,0))/100)))),0)</f>
        <v/>
      </c>
      <c r="BS3994">
        <f>IF(3981&lt;$U$9,SUMPRODUCT(($D$9:$L$9+INT(($S$12:$AA$12+INDEX($AJ$13:$AR$162,BN3994,0)+INDEX($AT$13:$BB$162,BO3994,0)+INDEX($BD$13:$BL$162,BP3994,0))/100))),0)</f>
        <v/>
      </c>
      <c r="BT3994">
        <f>IF(AND(3981&lt;$U$9,$W$5),BQ3994*1000000-MIN(BR3994,999)*1000+BS3994-3981/100000,-1000000000-3981)</f>
        <v/>
      </c>
    </row>
    <row r="3995">
      <c r="BN3995">
        <f>IF(3982&lt;$U$9,INT(3982/($U$7*$U$8))+1,1)</f>
        <v/>
      </c>
      <c r="BO3995">
        <f>IF(3982&lt;$U$9,MOD(INT(3982/$U$8),$U$7)+1,1)</f>
        <v/>
      </c>
      <c r="BP3995">
        <f>IF(3982&lt;$U$9,MOD(3982,$U$8)+1,1)</f>
        <v/>
      </c>
      <c r="BQ3995">
        <f>IF(3982&lt;$U$9,SUMPRODUCT(($D$10:$L$10&lt;&gt;"")*(($D$9:$L$9+INT(($S$12:$AA$12+INDEX($AJ$13:$AR$162,BN3995,0)+INDEX($AT$13:$BB$162,BO3995,0)+INDEX($BD$13:$BL$162,BP3995,0))/100))&gt;=$D$10:$L$10)),0)</f>
        <v/>
      </c>
      <c r="BR3995">
        <f>IF(3982&lt;$U$9,SUMPRODUCT(($D$10:$L$10&lt;&gt;"")*(($D$10:$L$10-($D$9:$L$9+INT(($S$12:$AA$12+INDEX($AJ$13:$AR$162,BN3995,0)+INDEX($AT$13:$BB$162,BO3995,0)+INDEX($BD$13:$BL$162,BP3995,0))/100)))&gt;0)*($D$10:$L$10-($D$9:$L$9+INT(($S$12:$AA$12+INDEX($AJ$13:$AR$162,BN3995,0)+INDEX($AT$13:$BB$162,BO3995,0)+INDEX($BD$13:$BL$162,BP3995,0))/100)))),0)</f>
        <v/>
      </c>
      <c r="BS3995">
        <f>IF(3982&lt;$U$9,SUMPRODUCT(($D$9:$L$9+INT(($S$12:$AA$12+INDEX($AJ$13:$AR$162,BN3995,0)+INDEX($AT$13:$BB$162,BO3995,0)+INDEX($BD$13:$BL$162,BP3995,0))/100))),0)</f>
        <v/>
      </c>
      <c r="BT3995">
        <f>IF(AND(3982&lt;$U$9,$W$5),BQ3995*1000000-MIN(BR3995,999)*1000+BS3995-3982/100000,-1000000000-3982)</f>
        <v/>
      </c>
    </row>
    <row r="3996">
      <c r="BN3996">
        <f>IF(3983&lt;$U$9,INT(3983/($U$7*$U$8))+1,1)</f>
        <v/>
      </c>
      <c r="BO3996">
        <f>IF(3983&lt;$U$9,MOD(INT(3983/$U$8),$U$7)+1,1)</f>
        <v/>
      </c>
      <c r="BP3996">
        <f>IF(3983&lt;$U$9,MOD(3983,$U$8)+1,1)</f>
        <v/>
      </c>
      <c r="BQ3996">
        <f>IF(3983&lt;$U$9,SUMPRODUCT(($D$10:$L$10&lt;&gt;"")*(($D$9:$L$9+INT(($S$12:$AA$12+INDEX($AJ$13:$AR$162,BN3996,0)+INDEX($AT$13:$BB$162,BO3996,0)+INDEX($BD$13:$BL$162,BP3996,0))/100))&gt;=$D$10:$L$10)),0)</f>
        <v/>
      </c>
      <c r="BR3996">
        <f>IF(3983&lt;$U$9,SUMPRODUCT(($D$10:$L$10&lt;&gt;"")*(($D$10:$L$10-($D$9:$L$9+INT(($S$12:$AA$12+INDEX($AJ$13:$AR$162,BN3996,0)+INDEX($AT$13:$BB$162,BO3996,0)+INDEX($BD$13:$BL$162,BP3996,0))/100)))&gt;0)*($D$10:$L$10-($D$9:$L$9+INT(($S$12:$AA$12+INDEX($AJ$13:$AR$162,BN3996,0)+INDEX($AT$13:$BB$162,BO3996,0)+INDEX($BD$13:$BL$162,BP3996,0))/100)))),0)</f>
        <v/>
      </c>
      <c r="BS3996">
        <f>IF(3983&lt;$U$9,SUMPRODUCT(($D$9:$L$9+INT(($S$12:$AA$12+INDEX($AJ$13:$AR$162,BN3996,0)+INDEX($AT$13:$BB$162,BO3996,0)+INDEX($BD$13:$BL$162,BP3996,0))/100))),0)</f>
        <v/>
      </c>
      <c r="BT3996">
        <f>IF(AND(3983&lt;$U$9,$W$5),BQ3996*1000000-MIN(BR3996,999)*1000+BS3996-3983/100000,-1000000000-3983)</f>
        <v/>
      </c>
    </row>
    <row r="3997">
      <c r="BN3997">
        <f>IF(3984&lt;$U$9,INT(3984/($U$7*$U$8))+1,1)</f>
        <v/>
      </c>
      <c r="BO3997">
        <f>IF(3984&lt;$U$9,MOD(INT(3984/$U$8),$U$7)+1,1)</f>
        <v/>
      </c>
      <c r="BP3997">
        <f>IF(3984&lt;$U$9,MOD(3984,$U$8)+1,1)</f>
        <v/>
      </c>
      <c r="BQ3997">
        <f>IF(3984&lt;$U$9,SUMPRODUCT(($D$10:$L$10&lt;&gt;"")*(($D$9:$L$9+INT(($S$12:$AA$12+INDEX($AJ$13:$AR$162,BN3997,0)+INDEX($AT$13:$BB$162,BO3997,0)+INDEX($BD$13:$BL$162,BP3997,0))/100))&gt;=$D$10:$L$10)),0)</f>
        <v/>
      </c>
      <c r="BR3997">
        <f>IF(3984&lt;$U$9,SUMPRODUCT(($D$10:$L$10&lt;&gt;"")*(($D$10:$L$10-($D$9:$L$9+INT(($S$12:$AA$12+INDEX($AJ$13:$AR$162,BN3997,0)+INDEX($AT$13:$BB$162,BO3997,0)+INDEX($BD$13:$BL$162,BP3997,0))/100)))&gt;0)*($D$10:$L$10-($D$9:$L$9+INT(($S$12:$AA$12+INDEX($AJ$13:$AR$162,BN3997,0)+INDEX($AT$13:$BB$162,BO3997,0)+INDEX($BD$13:$BL$162,BP3997,0))/100)))),0)</f>
        <v/>
      </c>
      <c r="BS3997">
        <f>IF(3984&lt;$U$9,SUMPRODUCT(($D$9:$L$9+INT(($S$12:$AA$12+INDEX($AJ$13:$AR$162,BN3997,0)+INDEX($AT$13:$BB$162,BO3997,0)+INDEX($BD$13:$BL$162,BP3997,0))/100))),0)</f>
        <v/>
      </c>
      <c r="BT3997">
        <f>IF(AND(3984&lt;$U$9,$W$5),BQ3997*1000000-MIN(BR3997,999)*1000+BS3997-3984/100000,-1000000000-3984)</f>
        <v/>
      </c>
    </row>
    <row r="3998">
      <c r="BN3998">
        <f>IF(3985&lt;$U$9,INT(3985/($U$7*$U$8))+1,1)</f>
        <v/>
      </c>
      <c r="BO3998">
        <f>IF(3985&lt;$U$9,MOD(INT(3985/$U$8),$U$7)+1,1)</f>
        <v/>
      </c>
      <c r="BP3998">
        <f>IF(3985&lt;$U$9,MOD(3985,$U$8)+1,1)</f>
        <v/>
      </c>
      <c r="BQ3998">
        <f>IF(3985&lt;$U$9,SUMPRODUCT(($D$10:$L$10&lt;&gt;"")*(($D$9:$L$9+INT(($S$12:$AA$12+INDEX($AJ$13:$AR$162,BN3998,0)+INDEX($AT$13:$BB$162,BO3998,0)+INDEX($BD$13:$BL$162,BP3998,0))/100))&gt;=$D$10:$L$10)),0)</f>
        <v/>
      </c>
      <c r="BR3998">
        <f>IF(3985&lt;$U$9,SUMPRODUCT(($D$10:$L$10&lt;&gt;"")*(($D$10:$L$10-($D$9:$L$9+INT(($S$12:$AA$12+INDEX($AJ$13:$AR$162,BN3998,0)+INDEX($AT$13:$BB$162,BO3998,0)+INDEX($BD$13:$BL$162,BP3998,0))/100)))&gt;0)*($D$10:$L$10-($D$9:$L$9+INT(($S$12:$AA$12+INDEX($AJ$13:$AR$162,BN3998,0)+INDEX($AT$13:$BB$162,BO3998,0)+INDEX($BD$13:$BL$162,BP3998,0))/100)))),0)</f>
        <v/>
      </c>
      <c r="BS3998">
        <f>IF(3985&lt;$U$9,SUMPRODUCT(($D$9:$L$9+INT(($S$12:$AA$12+INDEX($AJ$13:$AR$162,BN3998,0)+INDEX($AT$13:$BB$162,BO3998,0)+INDEX($BD$13:$BL$162,BP3998,0))/100))),0)</f>
        <v/>
      </c>
      <c r="BT3998">
        <f>IF(AND(3985&lt;$U$9,$W$5),BQ3998*1000000-MIN(BR3998,999)*1000+BS3998-3985/100000,-1000000000-3985)</f>
        <v/>
      </c>
    </row>
    <row r="3999">
      <c r="BN3999">
        <f>IF(3986&lt;$U$9,INT(3986/($U$7*$U$8))+1,1)</f>
        <v/>
      </c>
      <c r="BO3999">
        <f>IF(3986&lt;$U$9,MOD(INT(3986/$U$8),$U$7)+1,1)</f>
        <v/>
      </c>
      <c r="BP3999">
        <f>IF(3986&lt;$U$9,MOD(3986,$U$8)+1,1)</f>
        <v/>
      </c>
      <c r="BQ3999">
        <f>IF(3986&lt;$U$9,SUMPRODUCT(($D$10:$L$10&lt;&gt;"")*(($D$9:$L$9+INT(($S$12:$AA$12+INDEX($AJ$13:$AR$162,BN3999,0)+INDEX($AT$13:$BB$162,BO3999,0)+INDEX($BD$13:$BL$162,BP3999,0))/100))&gt;=$D$10:$L$10)),0)</f>
        <v/>
      </c>
      <c r="BR3999">
        <f>IF(3986&lt;$U$9,SUMPRODUCT(($D$10:$L$10&lt;&gt;"")*(($D$10:$L$10-($D$9:$L$9+INT(($S$12:$AA$12+INDEX($AJ$13:$AR$162,BN3999,0)+INDEX($AT$13:$BB$162,BO3999,0)+INDEX($BD$13:$BL$162,BP3999,0))/100)))&gt;0)*($D$10:$L$10-($D$9:$L$9+INT(($S$12:$AA$12+INDEX($AJ$13:$AR$162,BN3999,0)+INDEX($AT$13:$BB$162,BO3999,0)+INDEX($BD$13:$BL$162,BP3999,0))/100)))),0)</f>
        <v/>
      </c>
      <c r="BS3999">
        <f>IF(3986&lt;$U$9,SUMPRODUCT(($D$9:$L$9+INT(($S$12:$AA$12+INDEX($AJ$13:$AR$162,BN3999,0)+INDEX($AT$13:$BB$162,BO3999,0)+INDEX($BD$13:$BL$162,BP3999,0))/100))),0)</f>
        <v/>
      </c>
      <c r="BT3999">
        <f>IF(AND(3986&lt;$U$9,$W$5),BQ3999*1000000-MIN(BR3999,999)*1000+BS3999-3986/100000,-1000000000-3986)</f>
        <v/>
      </c>
    </row>
    <row r="4000">
      <c r="BN4000">
        <f>IF(3987&lt;$U$9,INT(3987/($U$7*$U$8))+1,1)</f>
        <v/>
      </c>
      <c r="BO4000">
        <f>IF(3987&lt;$U$9,MOD(INT(3987/$U$8),$U$7)+1,1)</f>
        <v/>
      </c>
      <c r="BP4000">
        <f>IF(3987&lt;$U$9,MOD(3987,$U$8)+1,1)</f>
        <v/>
      </c>
      <c r="BQ4000">
        <f>IF(3987&lt;$U$9,SUMPRODUCT(($D$10:$L$10&lt;&gt;"")*(($D$9:$L$9+INT(($S$12:$AA$12+INDEX($AJ$13:$AR$162,BN4000,0)+INDEX($AT$13:$BB$162,BO4000,0)+INDEX($BD$13:$BL$162,BP4000,0))/100))&gt;=$D$10:$L$10)),0)</f>
        <v/>
      </c>
      <c r="BR4000">
        <f>IF(3987&lt;$U$9,SUMPRODUCT(($D$10:$L$10&lt;&gt;"")*(($D$10:$L$10-($D$9:$L$9+INT(($S$12:$AA$12+INDEX($AJ$13:$AR$162,BN4000,0)+INDEX($AT$13:$BB$162,BO4000,0)+INDEX($BD$13:$BL$162,BP4000,0))/100)))&gt;0)*($D$10:$L$10-($D$9:$L$9+INT(($S$12:$AA$12+INDEX($AJ$13:$AR$162,BN4000,0)+INDEX($AT$13:$BB$162,BO4000,0)+INDEX($BD$13:$BL$162,BP4000,0))/100)))),0)</f>
        <v/>
      </c>
      <c r="BS4000">
        <f>IF(3987&lt;$U$9,SUMPRODUCT(($D$9:$L$9+INT(($S$12:$AA$12+INDEX($AJ$13:$AR$162,BN4000,0)+INDEX($AT$13:$BB$162,BO4000,0)+INDEX($BD$13:$BL$162,BP4000,0))/100))),0)</f>
        <v/>
      </c>
      <c r="BT4000">
        <f>IF(AND(3987&lt;$U$9,$W$5),BQ4000*1000000-MIN(BR4000,999)*1000+BS4000-3987/100000,-1000000000-3987)</f>
        <v/>
      </c>
    </row>
    <row r="4001">
      <c r="BN4001">
        <f>IF(3988&lt;$U$9,INT(3988/($U$7*$U$8))+1,1)</f>
        <v/>
      </c>
      <c r="BO4001">
        <f>IF(3988&lt;$U$9,MOD(INT(3988/$U$8),$U$7)+1,1)</f>
        <v/>
      </c>
      <c r="BP4001">
        <f>IF(3988&lt;$U$9,MOD(3988,$U$8)+1,1)</f>
        <v/>
      </c>
      <c r="BQ4001">
        <f>IF(3988&lt;$U$9,SUMPRODUCT(($D$10:$L$10&lt;&gt;"")*(($D$9:$L$9+INT(($S$12:$AA$12+INDEX($AJ$13:$AR$162,BN4001,0)+INDEX($AT$13:$BB$162,BO4001,0)+INDEX($BD$13:$BL$162,BP4001,0))/100))&gt;=$D$10:$L$10)),0)</f>
        <v/>
      </c>
      <c r="BR4001">
        <f>IF(3988&lt;$U$9,SUMPRODUCT(($D$10:$L$10&lt;&gt;"")*(($D$10:$L$10-($D$9:$L$9+INT(($S$12:$AA$12+INDEX($AJ$13:$AR$162,BN4001,0)+INDEX($AT$13:$BB$162,BO4001,0)+INDEX($BD$13:$BL$162,BP4001,0))/100)))&gt;0)*($D$10:$L$10-($D$9:$L$9+INT(($S$12:$AA$12+INDEX($AJ$13:$AR$162,BN4001,0)+INDEX($AT$13:$BB$162,BO4001,0)+INDEX($BD$13:$BL$162,BP4001,0))/100)))),0)</f>
        <v/>
      </c>
      <c r="BS4001">
        <f>IF(3988&lt;$U$9,SUMPRODUCT(($D$9:$L$9+INT(($S$12:$AA$12+INDEX($AJ$13:$AR$162,BN4001,0)+INDEX($AT$13:$BB$162,BO4001,0)+INDEX($BD$13:$BL$162,BP4001,0))/100))),0)</f>
        <v/>
      </c>
      <c r="BT4001">
        <f>IF(AND(3988&lt;$U$9,$W$5),BQ4001*1000000-MIN(BR4001,999)*1000+BS4001-3988/100000,-1000000000-3988)</f>
        <v/>
      </c>
    </row>
    <row r="4002">
      <c r="BN4002">
        <f>IF(3989&lt;$U$9,INT(3989/($U$7*$U$8))+1,1)</f>
        <v/>
      </c>
      <c r="BO4002">
        <f>IF(3989&lt;$U$9,MOD(INT(3989/$U$8),$U$7)+1,1)</f>
        <v/>
      </c>
      <c r="BP4002">
        <f>IF(3989&lt;$U$9,MOD(3989,$U$8)+1,1)</f>
        <v/>
      </c>
      <c r="BQ4002">
        <f>IF(3989&lt;$U$9,SUMPRODUCT(($D$10:$L$10&lt;&gt;"")*(($D$9:$L$9+INT(($S$12:$AA$12+INDEX($AJ$13:$AR$162,BN4002,0)+INDEX($AT$13:$BB$162,BO4002,0)+INDEX($BD$13:$BL$162,BP4002,0))/100))&gt;=$D$10:$L$10)),0)</f>
        <v/>
      </c>
      <c r="BR4002">
        <f>IF(3989&lt;$U$9,SUMPRODUCT(($D$10:$L$10&lt;&gt;"")*(($D$10:$L$10-($D$9:$L$9+INT(($S$12:$AA$12+INDEX($AJ$13:$AR$162,BN4002,0)+INDEX($AT$13:$BB$162,BO4002,0)+INDEX($BD$13:$BL$162,BP4002,0))/100)))&gt;0)*($D$10:$L$10-($D$9:$L$9+INT(($S$12:$AA$12+INDEX($AJ$13:$AR$162,BN4002,0)+INDEX($AT$13:$BB$162,BO4002,0)+INDEX($BD$13:$BL$162,BP4002,0))/100)))),0)</f>
        <v/>
      </c>
      <c r="BS4002">
        <f>IF(3989&lt;$U$9,SUMPRODUCT(($D$9:$L$9+INT(($S$12:$AA$12+INDEX($AJ$13:$AR$162,BN4002,0)+INDEX($AT$13:$BB$162,BO4002,0)+INDEX($BD$13:$BL$162,BP4002,0))/100))),0)</f>
        <v/>
      </c>
      <c r="BT4002">
        <f>IF(AND(3989&lt;$U$9,$W$5),BQ4002*1000000-MIN(BR4002,999)*1000+BS4002-3989/100000,-1000000000-3989)</f>
        <v/>
      </c>
    </row>
    <row r="4003">
      <c r="BN4003">
        <f>IF(3990&lt;$U$9,INT(3990/($U$7*$U$8))+1,1)</f>
        <v/>
      </c>
      <c r="BO4003">
        <f>IF(3990&lt;$U$9,MOD(INT(3990/$U$8),$U$7)+1,1)</f>
        <v/>
      </c>
      <c r="BP4003">
        <f>IF(3990&lt;$U$9,MOD(3990,$U$8)+1,1)</f>
        <v/>
      </c>
      <c r="BQ4003">
        <f>IF(3990&lt;$U$9,SUMPRODUCT(($D$10:$L$10&lt;&gt;"")*(($D$9:$L$9+INT(($S$12:$AA$12+INDEX($AJ$13:$AR$162,BN4003,0)+INDEX($AT$13:$BB$162,BO4003,0)+INDEX($BD$13:$BL$162,BP4003,0))/100))&gt;=$D$10:$L$10)),0)</f>
        <v/>
      </c>
      <c r="BR4003">
        <f>IF(3990&lt;$U$9,SUMPRODUCT(($D$10:$L$10&lt;&gt;"")*(($D$10:$L$10-($D$9:$L$9+INT(($S$12:$AA$12+INDEX($AJ$13:$AR$162,BN4003,0)+INDEX($AT$13:$BB$162,BO4003,0)+INDEX($BD$13:$BL$162,BP4003,0))/100)))&gt;0)*($D$10:$L$10-($D$9:$L$9+INT(($S$12:$AA$12+INDEX($AJ$13:$AR$162,BN4003,0)+INDEX($AT$13:$BB$162,BO4003,0)+INDEX($BD$13:$BL$162,BP4003,0))/100)))),0)</f>
        <v/>
      </c>
      <c r="BS4003">
        <f>IF(3990&lt;$U$9,SUMPRODUCT(($D$9:$L$9+INT(($S$12:$AA$12+INDEX($AJ$13:$AR$162,BN4003,0)+INDEX($AT$13:$BB$162,BO4003,0)+INDEX($BD$13:$BL$162,BP4003,0))/100))),0)</f>
        <v/>
      </c>
      <c r="BT4003">
        <f>IF(AND(3990&lt;$U$9,$W$5),BQ4003*1000000-MIN(BR4003,999)*1000+BS4003-3990/100000,-1000000000-3990)</f>
        <v/>
      </c>
    </row>
    <row r="4004">
      <c r="BN4004">
        <f>IF(3991&lt;$U$9,INT(3991/($U$7*$U$8))+1,1)</f>
        <v/>
      </c>
      <c r="BO4004">
        <f>IF(3991&lt;$U$9,MOD(INT(3991/$U$8),$U$7)+1,1)</f>
        <v/>
      </c>
      <c r="BP4004">
        <f>IF(3991&lt;$U$9,MOD(3991,$U$8)+1,1)</f>
        <v/>
      </c>
      <c r="BQ4004">
        <f>IF(3991&lt;$U$9,SUMPRODUCT(($D$10:$L$10&lt;&gt;"")*(($D$9:$L$9+INT(($S$12:$AA$12+INDEX($AJ$13:$AR$162,BN4004,0)+INDEX($AT$13:$BB$162,BO4004,0)+INDEX($BD$13:$BL$162,BP4004,0))/100))&gt;=$D$10:$L$10)),0)</f>
        <v/>
      </c>
      <c r="BR4004">
        <f>IF(3991&lt;$U$9,SUMPRODUCT(($D$10:$L$10&lt;&gt;"")*(($D$10:$L$10-($D$9:$L$9+INT(($S$12:$AA$12+INDEX($AJ$13:$AR$162,BN4004,0)+INDEX($AT$13:$BB$162,BO4004,0)+INDEX($BD$13:$BL$162,BP4004,0))/100)))&gt;0)*($D$10:$L$10-($D$9:$L$9+INT(($S$12:$AA$12+INDEX($AJ$13:$AR$162,BN4004,0)+INDEX($AT$13:$BB$162,BO4004,0)+INDEX($BD$13:$BL$162,BP4004,0))/100)))),0)</f>
        <v/>
      </c>
      <c r="BS4004">
        <f>IF(3991&lt;$U$9,SUMPRODUCT(($D$9:$L$9+INT(($S$12:$AA$12+INDEX($AJ$13:$AR$162,BN4004,0)+INDEX($AT$13:$BB$162,BO4004,0)+INDEX($BD$13:$BL$162,BP4004,0))/100))),0)</f>
        <v/>
      </c>
      <c r="BT4004">
        <f>IF(AND(3991&lt;$U$9,$W$5),BQ4004*1000000-MIN(BR4004,999)*1000+BS4004-3991/100000,-1000000000-3991)</f>
        <v/>
      </c>
    </row>
    <row r="4005">
      <c r="BN4005">
        <f>IF(3992&lt;$U$9,INT(3992/($U$7*$U$8))+1,1)</f>
        <v/>
      </c>
      <c r="BO4005">
        <f>IF(3992&lt;$U$9,MOD(INT(3992/$U$8),$U$7)+1,1)</f>
        <v/>
      </c>
      <c r="BP4005">
        <f>IF(3992&lt;$U$9,MOD(3992,$U$8)+1,1)</f>
        <v/>
      </c>
      <c r="BQ4005">
        <f>IF(3992&lt;$U$9,SUMPRODUCT(($D$10:$L$10&lt;&gt;"")*(($D$9:$L$9+INT(($S$12:$AA$12+INDEX($AJ$13:$AR$162,BN4005,0)+INDEX($AT$13:$BB$162,BO4005,0)+INDEX($BD$13:$BL$162,BP4005,0))/100))&gt;=$D$10:$L$10)),0)</f>
        <v/>
      </c>
      <c r="BR4005">
        <f>IF(3992&lt;$U$9,SUMPRODUCT(($D$10:$L$10&lt;&gt;"")*(($D$10:$L$10-($D$9:$L$9+INT(($S$12:$AA$12+INDEX($AJ$13:$AR$162,BN4005,0)+INDEX($AT$13:$BB$162,BO4005,0)+INDEX($BD$13:$BL$162,BP4005,0))/100)))&gt;0)*($D$10:$L$10-($D$9:$L$9+INT(($S$12:$AA$12+INDEX($AJ$13:$AR$162,BN4005,0)+INDEX($AT$13:$BB$162,BO4005,0)+INDEX($BD$13:$BL$162,BP4005,0))/100)))),0)</f>
        <v/>
      </c>
      <c r="BS4005">
        <f>IF(3992&lt;$U$9,SUMPRODUCT(($D$9:$L$9+INT(($S$12:$AA$12+INDEX($AJ$13:$AR$162,BN4005,0)+INDEX($AT$13:$BB$162,BO4005,0)+INDEX($BD$13:$BL$162,BP4005,0))/100))),0)</f>
        <v/>
      </c>
      <c r="BT4005">
        <f>IF(AND(3992&lt;$U$9,$W$5),BQ4005*1000000-MIN(BR4005,999)*1000+BS4005-3992/100000,-1000000000-3992)</f>
        <v/>
      </c>
    </row>
    <row r="4006">
      <c r="BN4006">
        <f>IF(3993&lt;$U$9,INT(3993/($U$7*$U$8))+1,1)</f>
        <v/>
      </c>
      <c r="BO4006">
        <f>IF(3993&lt;$U$9,MOD(INT(3993/$U$8),$U$7)+1,1)</f>
        <v/>
      </c>
      <c r="BP4006">
        <f>IF(3993&lt;$U$9,MOD(3993,$U$8)+1,1)</f>
        <v/>
      </c>
      <c r="BQ4006">
        <f>IF(3993&lt;$U$9,SUMPRODUCT(($D$10:$L$10&lt;&gt;"")*(($D$9:$L$9+INT(($S$12:$AA$12+INDEX($AJ$13:$AR$162,BN4006,0)+INDEX($AT$13:$BB$162,BO4006,0)+INDEX($BD$13:$BL$162,BP4006,0))/100))&gt;=$D$10:$L$10)),0)</f>
        <v/>
      </c>
      <c r="BR4006">
        <f>IF(3993&lt;$U$9,SUMPRODUCT(($D$10:$L$10&lt;&gt;"")*(($D$10:$L$10-($D$9:$L$9+INT(($S$12:$AA$12+INDEX($AJ$13:$AR$162,BN4006,0)+INDEX($AT$13:$BB$162,BO4006,0)+INDEX($BD$13:$BL$162,BP4006,0))/100)))&gt;0)*($D$10:$L$10-($D$9:$L$9+INT(($S$12:$AA$12+INDEX($AJ$13:$AR$162,BN4006,0)+INDEX($AT$13:$BB$162,BO4006,0)+INDEX($BD$13:$BL$162,BP4006,0))/100)))),0)</f>
        <v/>
      </c>
      <c r="BS4006">
        <f>IF(3993&lt;$U$9,SUMPRODUCT(($D$9:$L$9+INT(($S$12:$AA$12+INDEX($AJ$13:$AR$162,BN4006,0)+INDEX($AT$13:$BB$162,BO4006,0)+INDEX($BD$13:$BL$162,BP4006,0))/100))),0)</f>
        <v/>
      </c>
      <c r="BT4006">
        <f>IF(AND(3993&lt;$U$9,$W$5),BQ4006*1000000-MIN(BR4006,999)*1000+BS4006-3993/100000,-1000000000-3993)</f>
        <v/>
      </c>
    </row>
    <row r="4007">
      <c r="BN4007">
        <f>IF(3994&lt;$U$9,INT(3994/($U$7*$U$8))+1,1)</f>
        <v/>
      </c>
      <c r="BO4007">
        <f>IF(3994&lt;$U$9,MOD(INT(3994/$U$8),$U$7)+1,1)</f>
        <v/>
      </c>
      <c r="BP4007">
        <f>IF(3994&lt;$U$9,MOD(3994,$U$8)+1,1)</f>
        <v/>
      </c>
      <c r="BQ4007">
        <f>IF(3994&lt;$U$9,SUMPRODUCT(($D$10:$L$10&lt;&gt;"")*(($D$9:$L$9+INT(($S$12:$AA$12+INDEX($AJ$13:$AR$162,BN4007,0)+INDEX($AT$13:$BB$162,BO4007,0)+INDEX($BD$13:$BL$162,BP4007,0))/100))&gt;=$D$10:$L$10)),0)</f>
        <v/>
      </c>
      <c r="BR4007">
        <f>IF(3994&lt;$U$9,SUMPRODUCT(($D$10:$L$10&lt;&gt;"")*(($D$10:$L$10-($D$9:$L$9+INT(($S$12:$AA$12+INDEX($AJ$13:$AR$162,BN4007,0)+INDEX($AT$13:$BB$162,BO4007,0)+INDEX($BD$13:$BL$162,BP4007,0))/100)))&gt;0)*($D$10:$L$10-($D$9:$L$9+INT(($S$12:$AA$12+INDEX($AJ$13:$AR$162,BN4007,0)+INDEX($AT$13:$BB$162,BO4007,0)+INDEX($BD$13:$BL$162,BP4007,0))/100)))),0)</f>
        <v/>
      </c>
      <c r="BS4007">
        <f>IF(3994&lt;$U$9,SUMPRODUCT(($D$9:$L$9+INT(($S$12:$AA$12+INDEX($AJ$13:$AR$162,BN4007,0)+INDEX($AT$13:$BB$162,BO4007,0)+INDEX($BD$13:$BL$162,BP4007,0))/100))),0)</f>
        <v/>
      </c>
      <c r="BT4007">
        <f>IF(AND(3994&lt;$U$9,$W$5),BQ4007*1000000-MIN(BR4007,999)*1000+BS4007-3994/100000,-1000000000-3994)</f>
        <v/>
      </c>
    </row>
    <row r="4008">
      <c r="BN4008">
        <f>IF(3995&lt;$U$9,INT(3995/($U$7*$U$8))+1,1)</f>
        <v/>
      </c>
      <c r="BO4008">
        <f>IF(3995&lt;$U$9,MOD(INT(3995/$U$8),$U$7)+1,1)</f>
        <v/>
      </c>
      <c r="BP4008">
        <f>IF(3995&lt;$U$9,MOD(3995,$U$8)+1,1)</f>
        <v/>
      </c>
      <c r="BQ4008">
        <f>IF(3995&lt;$U$9,SUMPRODUCT(($D$10:$L$10&lt;&gt;"")*(($D$9:$L$9+INT(($S$12:$AA$12+INDEX($AJ$13:$AR$162,BN4008,0)+INDEX($AT$13:$BB$162,BO4008,0)+INDEX($BD$13:$BL$162,BP4008,0))/100))&gt;=$D$10:$L$10)),0)</f>
        <v/>
      </c>
      <c r="BR4008">
        <f>IF(3995&lt;$U$9,SUMPRODUCT(($D$10:$L$10&lt;&gt;"")*(($D$10:$L$10-($D$9:$L$9+INT(($S$12:$AA$12+INDEX($AJ$13:$AR$162,BN4008,0)+INDEX($AT$13:$BB$162,BO4008,0)+INDEX($BD$13:$BL$162,BP4008,0))/100)))&gt;0)*($D$10:$L$10-($D$9:$L$9+INT(($S$12:$AA$12+INDEX($AJ$13:$AR$162,BN4008,0)+INDEX($AT$13:$BB$162,BO4008,0)+INDEX($BD$13:$BL$162,BP4008,0))/100)))),0)</f>
        <v/>
      </c>
      <c r="BS4008">
        <f>IF(3995&lt;$U$9,SUMPRODUCT(($D$9:$L$9+INT(($S$12:$AA$12+INDEX($AJ$13:$AR$162,BN4008,0)+INDEX($AT$13:$BB$162,BO4008,0)+INDEX($BD$13:$BL$162,BP4008,0))/100))),0)</f>
        <v/>
      </c>
      <c r="BT4008">
        <f>IF(AND(3995&lt;$U$9,$W$5),BQ4008*1000000-MIN(BR4008,999)*1000+BS4008-3995/100000,-1000000000-3995)</f>
        <v/>
      </c>
    </row>
    <row r="4009">
      <c r="BN4009">
        <f>IF(3996&lt;$U$9,INT(3996/($U$7*$U$8))+1,1)</f>
        <v/>
      </c>
      <c r="BO4009">
        <f>IF(3996&lt;$U$9,MOD(INT(3996/$U$8),$U$7)+1,1)</f>
        <v/>
      </c>
      <c r="BP4009">
        <f>IF(3996&lt;$U$9,MOD(3996,$U$8)+1,1)</f>
        <v/>
      </c>
      <c r="BQ4009">
        <f>IF(3996&lt;$U$9,SUMPRODUCT(($D$10:$L$10&lt;&gt;"")*(($D$9:$L$9+INT(($S$12:$AA$12+INDEX($AJ$13:$AR$162,BN4009,0)+INDEX($AT$13:$BB$162,BO4009,0)+INDEX($BD$13:$BL$162,BP4009,0))/100))&gt;=$D$10:$L$10)),0)</f>
        <v/>
      </c>
      <c r="BR4009">
        <f>IF(3996&lt;$U$9,SUMPRODUCT(($D$10:$L$10&lt;&gt;"")*(($D$10:$L$10-($D$9:$L$9+INT(($S$12:$AA$12+INDEX($AJ$13:$AR$162,BN4009,0)+INDEX($AT$13:$BB$162,BO4009,0)+INDEX($BD$13:$BL$162,BP4009,0))/100)))&gt;0)*($D$10:$L$10-($D$9:$L$9+INT(($S$12:$AA$12+INDEX($AJ$13:$AR$162,BN4009,0)+INDEX($AT$13:$BB$162,BO4009,0)+INDEX($BD$13:$BL$162,BP4009,0))/100)))),0)</f>
        <v/>
      </c>
      <c r="BS4009">
        <f>IF(3996&lt;$U$9,SUMPRODUCT(($D$9:$L$9+INT(($S$12:$AA$12+INDEX($AJ$13:$AR$162,BN4009,0)+INDEX($AT$13:$BB$162,BO4009,0)+INDEX($BD$13:$BL$162,BP4009,0))/100))),0)</f>
        <v/>
      </c>
      <c r="BT4009">
        <f>IF(AND(3996&lt;$U$9,$W$5),BQ4009*1000000-MIN(BR4009,999)*1000+BS4009-3996/100000,-1000000000-3996)</f>
        <v/>
      </c>
    </row>
    <row r="4010">
      <c r="BN4010">
        <f>IF(3997&lt;$U$9,INT(3997/($U$7*$U$8))+1,1)</f>
        <v/>
      </c>
      <c r="BO4010">
        <f>IF(3997&lt;$U$9,MOD(INT(3997/$U$8),$U$7)+1,1)</f>
        <v/>
      </c>
      <c r="BP4010">
        <f>IF(3997&lt;$U$9,MOD(3997,$U$8)+1,1)</f>
        <v/>
      </c>
      <c r="BQ4010">
        <f>IF(3997&lt;$U$9,SUMPRODUCT(($D$10:$L$10&lt;&gt;"")*(($D$9:$L$9+INT(($S$12:$AA$12+INDEX($AJ$13:$AR$162,BN4010,0)+INDEX($AT$13:$BB$162,BO4010,0)+INDEX($BD$13:$BL$162,BP4010,0))/100))&gt;=$D$10:$L$10)),0)</f>
        <v/>
      </c>
      <c r="BR4010">
        <f>IF(3997&lt;$U$9,SUMPRODUCT(($D$10:$L$10&lt;&gt;"")*(($D$10:$L$10-($D$9:$L$9+INT(($S$12:$AA$12+INDEX($AJ$13:$AR$162,BN4010,0)+INDEX($AT$13:$BB$162,BO4010,0)+INDEX($BD$13:$BL$162,BP4010,0))/100)))&gt;0)*($D$10:$L$10-($D$9:$L$9+INT(($S$12:$AA$12+INDEX($AJ$13:$AR$162,BN4010,0)+INDEX($AT$13:$BB$162,BO4010,0)+INDEX($BD$13:$BL$162,BP4010,0))/100)))),0)</f>
        <v/>
      </c>
      <c r="BS4010">
        <f>IF(3997&lt;$U$9,SUMPRODUCT(($D$9:$L$9+INT(($S$12:$AA$12+INDEX($AJ$13:$AR$162,BN4010,0)+INDEX($AT$13:$BB$162,BO4010,0)+INDEX($BD$13:$BL$162,BP4010,0))/100))),0)</f>
        <v/>
      </c>
      <c r="BT4010">
        <f>IF(AND(3997&lt;$U$9,$W$5),BQ4010*1000000-MIN(BR4010,999)*1000+BS4010-3997/100000,-1000000000-3997)</f>
        <v/>
      </c>
    </row>
    <row r="4011">
      <c r="BN4011">
        <f>IF(3998&lt;$U$9,INT(3998/($U$7*$U$8))+1,1)</f>
        <v/>
      </c>
      <c r="BO4011">
        <f>IF(3998&lt;$U$9,MOD(INT(3998/$U$8),$U$7)+1,1)</f>
        <v/>
      </c>
      <c r="BP4011">
        <f>IF(3998&lt;$U$9,MOD(3998,$U$8)+1,1)</f>
        <v/>
      </c>
      <c r="BQ4011">
        <f>IF(3998&lt;$U$9,SUMPRODUCT(($D$10:$L$10&lt;&gt;"")*(($D$9:$L$9+INT(($S$12:$AA$12+INDEX($AJ$13:$AR$162,BN4011,0)+INDEX($AT$13:$BB$162,BO4011,0)+INDEX($BD$13:$BL$162,BP4011,0))/100))&gt;=$D$10:$L$10)),0)</f>
        <v/>
      </c>
      <c r="BR4011">
        <f>IF(3998&lt;$U$9,SUMPRODUCT(($D$10:$L$10&lt;&gt;"")*(($D$10:$L$10-($D$9:$L$9+INT(($S$12:$AA$12+INDEX($AJ$13:$AR$162,BN4011,0)+INDEX($AT$13:$BB$162,BO4011,0)+INDEX($BD$13:$BL$162,BP4011,0))/100)))&gt;0)*($D$10:$L$10-($D$9:$L$9+INT(($S$12:$AA$12+INDEX($AJ$13:$AR$162,BN4011,0)+INDEX($AT$13:$BB$162,BO4011,0)+INDEX($BD$13:$BL$162,BP4011,0))/100)))),0)</f>
        <v/>
      </c>
      <c r="BS4011">
        <f>IF(3998&lt;$U$9,SUMPRODUCT(($D$9:$L$9+INT(($S$12:$AA$12+INDEX($AJ$13:$AR$162,BN4011,0)+INDEX($AT$13:$BB$162,BO4011,0)+INDEX($BD$13:$BL$162,BP4011,0))/100))),0)</f>
        <v/>
      </c>
      <c r="BT4011">
        <f>IF(AND(3998&lt;$U$9,$W$5),BQ4011*1000000-MIN(BR4011,999)*1000+BS4011-3998/100000,-1000000000-3998)</f>
        <v/>
      </c>
    </row>
    <row r="4012">
      <c r="BN4012">
        <f>IF(3999&lt;$U$9,INT(3999/($U$7*$U$8))+1,1)</f>
        <v/>
      </c>
      <c r="BO4012">
        <f>IF(3999&lt;$U$9,MOD(INT(3999/$U$8),$U$7)+1,1)</f>
        <v/>
      </c>
      <c r="BP4012">
        <f>IF(3999&lt;$U$9,MOD(3999,$U$8)+1,1)</f>
        <v/>
      </c>
      <c r="BQ4012">
        <f>IF(3999&lt;$U$9,SUMPRODUCT(($D$10:$L$10&lt;&gt;"")*(($D$9:$L$9+INT(($S$12:$AA$12+INDEX($AJ$13:$AR$162,BN4012,0)+INDEX($AT$13:$BB$162,BO4012,0)+INDEX($BD$13:$BL$162,BP4012,0))/100))&gt;=$D$10:$L$10)),0)</f>
        <v/>
      </c>
      <c r="BR4012">
        <f>IF(3999&lt;$U$9,SUMPRODUCT(($D$10:$L$10&lt;&gt;"")*(($D$10:$L$10-($D$9:$L$9+INT(($S$12:$AA$12+INDEX($AJ$13:$AR$162,BN4012,0)+INDEX($AT$13:$BB$162,BO4012,0)+INDEX($BD$13:$BL$162,BP4012,0))/100)))&gt;0)*($D$10:$L$10-($D$9:$L$9+INT(($S$12:$AA$12+INDEX($AJ$13:$AR$162,BN4012,0)+INDEX($AT$13:$BB$162,BO4012,0)+INDEX($BD$13:$BL$162,BP4012,0))/100)))),0)</f>
        <v/>
      </c>
      <c r="BS4012">
        <f>IF(3999&lt;$U$9,SUMPRODUCT(($D$9:$L$9+INT(($S$12:$AA$12+INDEX($AJ$13:$AR$162,BN4012,0)+INDEX($AT$13:$BB$162,BO4012,0)+INDEX($BD$13:$BL$162,BP4012,0))/100))),0)</f>
        <v/>
      </c>
      <c r="BT4012">
        <f>IF(AND(3999&lt;$U$9,$W$5),BQ4012*1000000-MIN(BR4012,999)*1000+BS4012-3999/100000,-1000000000-3999)</f>
        <v/>
      </c>
    </row>
    <row r="4013">
      <c r="BN4013">
        <f>IF(4000&lt;$U$9,INT(4000/($U$7*$U$8))+1,1)</f>
        <v/>
      </c>
      <c r="BO4013">
        <f>IF(4000&lt;$U$9,MOD(INT(4000/$U$8),$U$7)+1,1)</f>
        <v/>
      </c>
      <c r="BP4013">
        <f>IF(4000&lt;$U$9,MOD(4000,$U$8)+1,1)</f>
        <v/>
      </c>
      <c r="BQ4013">
        <f>IF(4000&lt;$U$9,SUMPRODUCT(($D$10:$L$10&lt;&gt;"")*(($D$9:$L$9+INT(($S$12:$AA$12+INDEX($AJ$13:$AR$162,BN4013,0)+INDEX($AT$13:$BB$162,BO4013,0)+INDEX($BD$13:$BL$162,BP4013,0))/100))&gt;=$D$10:$L$10)),0)</f>
        <v/>
      </c>
      <c r="BR4013">
        <f>IF(4000&lt;$U$9,SUMPRODUCT(($D$10:$L$10&lt;&gt;"")*(($D$10:$L$10-($D$9:$L$9+INT(($S$12:$AA$12+INDEX($AJ$13:$AR$162,BN4013,0)+INDEX($AT$13:$BB$162,BO4013,0)+INDEX($BD$13:$BL$162,BP4013,0))/100)))&gt;0)*($D$10:$L$10-($D$9:$L$9+INT(($S$12:$AA$12+INDEX($AJ$13:$AR$162,BN4013,0)+INDEX($AT$13:$BB$162,BO4013,0)+INDEX($BD$13:$BL$162,BP4013,0))/100)))),0)</f>
        <v/>
      </c>
      <c r="BS4013">
        <f>IF(4000&lt;$U$9,SUMPRODUCT(($D$9:$L$9+INT(($S$12:$AA$12+INDEX($AJ$13:$AR$162,BN4013,0)+INDEX($AT$13:$BB$162,BO4013,0)+INDEX($BD$13:$BL$162,BP4013,0))/100))),0)</f>
        <v/>
      </c>
      <c r="BT4013">
        <f>IF(AND(4000&lt;$U$9,$W$5),BQ4013*1000000-MIN(BR4013,999)*1000+BS4013-4000/100000,-1000000000-4000)</f>
        <v/>
      </c>
    </row>
    <row r="4014">
      <c r="BN4014">
        <f>IF(4001&lt;$U$9,INT(4001/($U$7*$U$8))+1,1)</f>
        <v/>
      </c>
      <c r="BO4014">
        <f>IF(4001&lt;$U$9,MOD(INT(4001/$U$8),$U$7)+1,1)</f>
        <v/>
      </c>
      <c r="BP4014">
        <f>IF(4001&lt;$U$9,MOD(4001,$U$8)+1,1)</f>
        <v/>
      </c>
      <c r="BQ4014">
        <f>IF(4001&lt;$U$9,SUMPRODUCT(($D$10:$L$10&lt;&gt;"")*(($D$9:$L$9+INT(($S$12:$AA$12+INDEX($AJ$13:$AR$162,BN4014,0)+INDEX($AT$13:$BB$162,BO4014,0)+INDEX($BD$13:$BL$162,BP4014,0))/100))&gt;=$D$10:$L$10)),0)</f>
        <v/>
      </c>
      <c r="BR4014">
        <f>IF(4001&lt;$U$9,SUMPRODUCT(($D$10:$L$10&lt;&gt;"")*(($D$10:$L$10-($D$9:$L$9+INT(($S$12:$AA$12+INDEX($AJ$13:$AR$162,BN4014,0)+INDEX($AT$13:$BB$162,BO4014,0)+INDEX($BD$13:$BL$162,BP4014,0))/100)))&gt;0)*($D$10:$L$10-($D$9:$L$9+INT(($S$12:$AA$12+INDEX($AJ$13:$AR$162,BN4014,0)+INDEX($AT$13:$BB$162,BO4014,0)+INDEX($BD$13:$BL$162,BP4014,0))/100)))),0)</f>
        <v/>
      </c>
      <c r="BS4014">
        <f>IF(4001&lt;$U$9,SUMPRODUCT(($D$9:$L$9+INT(($S$12:$AA$12+INDEX($AJ$13:$AR$162,BN4014,0)+INDEX($AT$13:$BB$162,BO4014,0)+INDEX($BD$13:$BL$162,BP4014,0))/100))),0)</f>
        <v/>
      </c>
      <c r="BT4014">
        <f>IF(AND(4001&lt;$U$9,$W$5),BQ4014*1000000-MIN(BR4014,999)*1000+BS4014-4001/100000,-1000000000-4001)</f>
        <v/>
      </c>
    </row>
    <row r="4015">
      <c r="BN4015">
        <f>IF(4002&lt;$U$9,INT(4002/($U$7*$U$8))+1,1)</f>
        <v/>
      </c>
      <c r="BO4015">
        <f>IF(4002&lt;$U$9,MOD(INT(4002/$U$8),$U$7)+1,1)</f>
        <v/>
      </c>
      <c r="BP4015">
        <f>IF(4002&lt;$U$9,MOD(4002,$U$8)+1,1)</f>
        <v/>
      </c>
      <c r="BQ4015">
        <f>IF(4002&lt;$U$9,SUMPRODUCT(($D$10:$L$10&lt;&gt;"")*(($D$9:$L$9+INT(($S$12:$AA$12+INDEX($AJ$13:$AR$162,BN4015,0)+INDEX($AT$13:$BB$162,BO4015,0)+INDEX($BD$13:$BL$162,BP4015,0))/100))&gt;=$D$10:$L$10)),0)</f>
        <v/>
      </c>
      <c r="BR4015">
        <f>IF(4002&lt;$U$9,SUMPRODUCT(($D$10:$L$10&lt;&gt;"")*(($D$10:$L$10-($D$9:$L$9+INT(($S$12:$AA$12+INDEX($AJ$13:$AR$162,BN4015,0)+INDEX($AT$13:$BB$162,BO4015,0)+INDEX($BD$13:$BL$162,BP4015,0))/100)))&gt;0)*($D$10:$L$10-($D$9:$L$9+INT(($S$12:$AA$12+INDEX($AJ$13:$AR$162,BN4015,0)+INDEX($AT$13:$BB$162,BO4015,0)+INDEX($BD$13:$BL$162,BP4015,0))/100)))),0)</f>
        <v/>
      </c>
      <c r="BS4015">
        <f>IF(4002&lt;$U$9,SUMPRODUCT(($D$9:$L$9+INT(($S$12:$AA$12+INDEX($AJ$13:$AR$162,BN4015,0)+INDEX($AT$13:$BB$162,BO4015,0)+INDEX($BD$13:$BL$162,BP4015,0))/100))),0)</f>
        <v/>
      </c>
      <c r="BT4015">
        <f>IF(AND(4002&lt;$U$9,$W$5),BQ4015*1000000-MIN(BR4015,999)*1000+BS4015-4002/100000,-1000000000-4002)</f>
        <v/>
      </c>
    </row>
    <row r="4016">
      <c r="BN4016">
        <f>IF(4003&lt;$U$9,INT(4003/($U$7*$U$8))+1,1)</f>
        <v/>
      </c>
      <c r="BO4016">
        <f>IF(4003&lt;$U$9,MOD(INT(4003/$U$8),$U$7)+1,1)</f>
        <v/>
      </c>
      <c r="BP4016">
        <f>IF(4003&lt;$U$9,MOD(4003,$U$8)+1,1)</f>
        <v/>
      </c>
      <c r="BQ4016">
        <f>IF(4003&lt;$U$9,SUMPRODUCT(($D$10:$L$10&lt;&gt;"")*(($D$9:$L$9+INT(($S$12:$AA$12+INDEX($AJ$13:$AR$162,BN4016,0)+INDEX($AT$13:$BB$162,BO4016,0)+INDEX($BD$13:$BL$162,BP4016,0))/100))&gt;=$D$10:$L$10)),0)</f>
        <v/>
      </c>
      <c r="BR4016">
        <f>IF(4003&lt;$U$9,SUMPRODUCT(($D$10:$L$10&lt;&gt;"")*(($D$10:$L$10-($D$9:$L$9+INT(($S$12:$AA$12+INDEX($AJ$13:$AR$162,BN4016,0)+INDEX($AT$13:$BB$162,BO4016,0)+INDEX($BD$13:$BL$162,BP4016,0))/100)))&gt;0)*($D$10:$L$10-($D$9:$L$9+INT(($S$12:$AA$12+INDEX($AJ$13:$AR$162,BN4016,0)+INDEX($AT$13:$BB$162,BO4016,0)+INDEX($BD$13:$BL$162,BP4016,0))/100)))),0)</f>
        <v/>
      </c>
      <c r="BS4016">
        <f>IF(4003&lt;$U$9,SUMPRODUCT(($D$9:$L$9+INT(($S$12:$AA$12+INDEX($AJ$13:$AR$162,BN4016,0)+INDEX($AT$13:$BB$162,BO4016,0)+INDEX($BD$13:$BL$162,BP4016,0))/100))),0)</f>
        <v/>
      </c>
      <c r="BT4016">
        <f>IF(AND(4003&lt;$U$9,$W$5),BQ4016*1000000-MIN(BR4016,999)*1000+BS4016-4003/100000,-1000000000-4003)</f>
        <v/>
      </c>
    </row>
    <row r="4017">
      <c r="BN4017">
        <f>IF(4004&lt;$U$9,INT(4004/($U$7*$U$8))+1,1)</f>
        <v/>
      </c>
      <c r="BO4017">
        <f>IF(4004&lt;$U$9,MOD(INT(4004/$U$8),$U$7)+1,1)</f>
        <v/>
      </c>
      <c r="BP4017">
        <f>IF(4004&lt;$U$9,MOD(4004,$U$8)+1,1)</f>
        <v/>
      </c>
      <c r="BQ4017">
        <f>IF(4004&lt;$U$9,SUMPRODUCT(($D$10:$L$10&lt;&gt;"")*(($D$9:$L$9+INT(($S$12:$AA$12+INDEX($AJ$13:$AR$162,BN4017,0)+INDEX($AT$13:$BB$162,BO4017,0)+INDEX($BD$13:$BL$162,BP4017,0))/100))&gt;=$D$10:$L$10)),0)</f>
        <v/>
      </c>
      <c r="BR4017">
        <f>IF(4004&lt;$U$9,SUMPRODUCT(($D$10:$L$10&lt;&gt;"")*(($D$10:$L$10-($D$9:$L$9+INT(($S$12:$AA$12+INDEX($AJ$13:$AR$162,BN4017,0)+INDEX($AT$13:$BB$162,BO4017,0)+INDEX($BD$13:$BL$162,BP4017,0))/100)))&gt;0)*($D$10:$L$10-($D$9:$L$9+INT(($S$12:$AA$12+INDEX($AJ$13:$AR$162,BN4017,0)+INDEX($AT$13:$BB$162,BO4017,0)+INDEX($BD$13:$BL$162,BP4017,0))/100)))),0)</f>
        <v/>
      </c>
      <c r="BS4017">
        <f>IF(4004&lt;$U$9,SUMPRODUCT(($D$9:$L$9+INT(($S$12:$AA$12+INDEX($AJ$13:$AR$162,BN4017,0)+INDEX($AT$13:$BB$162,BO4017,0)+INDEX($BD$13:$BL$162,BP4017,0))/100))),0)</f>
        <v/>
      </c>
      <c r="BT4017">
        <f>IF(AND(4004&lt;$U$9,$W$5),BQ4017*1000000-MIN(BR4017,999)*1000+BS4017-4004/100000,-1000000000-4004)</f>
        <v/>
      </c>
    </row>
    <row r="4018">
      <c r="BN4018">
        <f>IF(4005&lt;$U$9,INT(4005/($U$7*$U$8))+1,1)</f>
        <v/>
      </c>
      <c r="BO4018">
        <f>IF(4005&lt;$U$9,MOD(INT(4005/$U$8),$U$7)+1,1)</f>
        <v/>
      </c>
      <c r="BP4018">
        <f>IF(4005&lt;$U$9,MOD(4005,$U$8)+1,1)</f>
        <v/>
      </c>
      <c r="BQ4018">
        <f>IF(4005&lt;$U$9,SUMPRODUCT(($D$10:$L$10&lt;&gt;"")*(($D$9:$L$9+INT(($S$12:$AA$12+INDEX($AJ$13:$AR$162,BN4018,0)+INDEX($AT$13:$BB$162,BO4018,0)+INDEX($BD$13:$BL$162,BP4018,0))/100))&gt;=$D$10:$L$10)),0)</f>
        <v/>
      </c>
      <c r="BR4018">
        <f>IF(4005&lt;$U$9,SUMPRODUCT(($D$10:$L$10&lt;&gt;"")*(($D$10:$L$10-($D$9:$L$9+INT(($S$12:$AA$12+INDEX($AJ$13:$AR$162,BN4018,0)+INDEX($AT$13:$BB$162,BO4018,0)+INDEX($BD$13:$BL$162,BP4018,0))/100)))&gt;0)*($D$10:$L$10-($D$9:$L$9+INT(($S$12:$AA$12+INDEX($AJ$13:$AR$162,BN4018,0)+INDEX($AT$13:$BB$162,BO4018,0)+INDEX($BD$13:$BL$162,BP4018,0))/100)))),0)</f>
        <v/>
      </c>
      <c r="BS4018">
        <f>IF(4005&lt;$U$9,SUMPRODUCT(($D$9:$L$9+INT(($S$12:$AA$12+INDEX($AJ$13:$AR$162,BN4018,0)+INDEX($AT$13:$BB$162,BO4018,0)+INDEX($BD$13:$BL$162,BP4018,0))/100))),0)</f>
        <v/>
      </c>
      <c r="BT4018">
        <f>IF(AND(4005&lt;$U$9,$W$5),BQ4018*1000000-MIN(BR4018,999)*1000+BS4018-4005/100000,-1000000000-4005)</f>
        <v/>
      </c>
    </row>
    <row r="4019">
      <c r="BN4019">
        <f>IF(4006&lt;$U$9,INT(4006/($U$7*$U$8))+1,1)</f>
        <v/>
      </c>
      <c r="BO4019">
        <f>IF(4006&lt;$U$9,MOD(INT(4006/$U$8),$U$7)+1,1)</f>
        <v/>
      </c>
      <c r="BP4019">
        <f>IF(4006&lt;$U$9,MOD(4006,$U$8)+1,1)</f>
        <v/>
      </c>
      <c r="BQ4019">
        <f>IF(4006&lt;$U$9,SUMPRODUCT(($D$10:$L$10&lt;&gt;"")*(($D$9:$L$9+INT(($S$12:$AA$12+INDEX($AJ$13:$AR$162,BN4019,0)+INDEX($AT$13:$BB$162,BO4019,0)+INDEX($BD$13:$BL$162,BP4019,0))/100))&gt;=$D$10:$L$10)),0)</f>
        <v/>
      </c>
      <c r="BR4019">
        <f>IF(4006&lt;$U$9,SUMPRODUCT(($D$10:$L$10&lt;&gt;"")*(($D$10:$L$10-($D$9:$L$9+INT(($S$12:$AA$12+INDEX($AJ$13:$AR$162,BN4019,0)+INDEX($AT$13:$BB$162,BO4019,0)+INDEX($BD$13:$BL$162,BP4019,0))/100)))&gt;0)*($D$10:$L$10-($D$9:$L$9+INT(($S$12:$AA$12+INDEX($AJ$13:$AR$162,BN4019,0)+INDEX($AT$13:$BB$162,BO4019,0)+INDEX($BD$13:$BL$162,BP4019,0))/100)))),0)</f>
        <v/>
      </c>
      <c r="BS4019">
        <f>IF(4006&lt;$U$9,SUMPRODUCT(($D$9:$L$9+INT(($S$12:$AA$12+INDEX($AJ$13:$AR$162,BN4019,0)+INDEX($AT$13:$BB$162,BO4019,0)+INDEX($BD$13:$BL$162,BP4019,0))/100))),0)</f>
        <v/>
      </c>
      <c r="BT4019">
        <f>IF(AND(4006&lt;$U$9,$W$5),BQ4019*1000000-MIN(BR4019,999)*1000+BS4019-4006/100000,-1000000000-4006)</f>
        <v/>
      </c>
    </row>
    <row r="4020">
      <c r="BN4020">
        <f>IF(4007&lt;$U$9,INT(4007/($U$7*$U$8))+1,1)</f>
        <v/>
      </c>
      <c r="BO4020">
        <f>IF(4007&lt;$U$9,MOD(INT(4007/$U$8),$U$7)+1,1)</f>
        <v/>
      </c>
      <c r="BP4020">
        <f>IF(4007&lt;$U$9,MOD(4007,$U$8)+1,1)</f>
        <v/>
      </c>
      <c r="BQ4020">
        <f>IF(4007&lt;$U$9,SUMPRODUCT(($D$10:$L$10&lt;&gt;"")*(($D$9:$L$9+INT(($S$12:$AA$12+INDEX($AJ$13:$AR$162,BN4020,0)+INDEX($AT$13:$BB$162,BO4020,0)+INDEX($BD$13:$BL$162,BP4020,0))/100))&gt;=$D$10:$L$10)),0)</f>
        <v/>
      </c>
      <c r="BR4020">
        <f>IF(4007&lt;$U$9,SUMPRODUCT(($D$10:$L$10&lt;&gt;"")*(($D$10:$L$10-($D$9:$L$9+INT(($S$12:$AA$12+INDEX($AJ$13:$AR$162,BN4020,0)+INDEX($AT$13:$BB$162,BO4020,0)+INDEX($BD$13:$BL$162,BP4020,0))/100)))&gt;0)*($D$10:$L$10-($D$9:$L$9+INT(($S$12:$AA$12+INDEX($AJ$13:$AR$162,BN4020,0)+INDEX($AT$13:$BB$162,BO4020,0)+INDEX($BD$13:$BL$162,BP4020,0))/100)))),0)</f>
        <v/>
      </c>
      <c r="BS4020">
        <f>IF(4007&lt;$U$9,SUMPRODUCT(($D$9:$L$9+INT(($S$12:$AA$12+INDEX($AJ$13:$AR$162,BN4020,0)+INDEX($AT$13:$BB$162,BO4020,0)+INDEX($BD$13:$BL$162,BP4020,0))/100))),0)</f>
        <v/>
      </c>
      <c r="BT4020">
        <f>IF(AND(4007&lt;$U$9,$W$5),BQ4020*1000000-MIN(BR4020,999)*1000+BS4020-4007/100000,-1000000000-4007)</f>
        <v/>
      </c>
    </row>
    <row r="4021">
      <c r="BN4021">
        <f>IF(4008&lt;$U$9,INT(4008/($U$7*$U$8))+1,1)</f>
        <v/>
      </c>
      <c r="BO4021">
        <f>IF(4008&lt;$U$9,MOD(INT(4008/$U$8),$U$7)+1,1)</f>
        <v/>
      </c>
      <c r="BP4021">
        <f>IF(4008&lt;$U$9,MOD(4008,$U$8)+1,1)</f>
        <v/>
      </c>
      <c r="BQ4021">
        <f>IF(4008&lt;$U$9,SUMPRODUCT(($D$10:$L$10&lt;&gt;"")*(($D$9:$L$9+INT(($S$12:$AA$12+INDEX($AJ$13:$AR$162,BN4021,0)+INDEX($AT$13:$BB$162,BO4021,0)+INDEX($BD$13:$BL$162,BP4021,0))/100))&gt;=$D$10:$L$10)),0)</f>
        <v/>
      </c>
      <c r="BR4021">
        <f>IF(4008&lt;$U$9,SUMPRODUCT(($D$10:$L$10&lt;&gt;"")*(($D$10:$L$10-($D$9:$L$9+INT(($S$12:$AA$12+INDEX($AJ$13:$AR$162,BN4021,0)+INDEX($AT$13:$BB$162,BO4021,0)+INDEX($BD$13:$BL$162,BP4021,0))/100)))&gt;0)*($D$10:$L$10-($D$9:$L$9+INT(($S$12:$AA$12+INDEX($AJ$13:$AR$162,BN4021,0)+INDEX($AT$13:$BB$162,BO4021,0)+INDEX($BD$13:$BL$162,BP4021,0))/100)))),0)</f>
        <v/>
      </c>
      <c r="BS4021">
        <f>IF(4008&lt;$U$9,SUMPRODUCT(($D$9:$L$9+INT(($S$12:$AA$12+INDEX($AJ$13:$AR$162,BN4021,0)+INDEX($AT$13:$BB$162,BO4021,0)+INDEX($BD$13:$BL$162,BP4021,0))/100))),0)</f>
        <v/>
      </c>
      <c r="BT4021">
        <f>IF(AND(4008&lt;$U$9,$W$5),BQ4021*1000000-MIN(BR4021,999)*1000+BS4021-4008/100000,-1000000000-4008)</f>
        <v/>
      </c>
    </row>
    <row r="4022">
      <c r="BN4022">
        <f>IF(4009&lt;$U$9,INT(4009/($U$7*$U$8))+1,1)</f>
        <v/>
      </c>
      <c r="BO4022">
        <f>IF(4009&lt;$U$9,MOD(INT(4009/$U$8),$U$7)+1,1)</f>
        <v/>
      </c>
      <c r="BP4022">
        <f>IF(4009&lt;$U$9,MOD(4009,$U$8)+1,1)</f>
        <v/>
      </c>
      <c r="BQ4022">
        <f>IF(4009&lt;$U$9,SUMPRODUCT(($D$10:$L$10&lt;&gt;"")*(($D$9:$L$9+INT(($S$12:$AA$12+INDEX($AJ$13:$AR$162,BN4022,0)+INDEX($AT$13:$BB$162,BO4022,0)+INDEX($BD$13:$BL$162,BP4022,0))/100))&gt;=$D$10:$L$10)),0)</f>
        <v/>
      </c>
      <c r="BR4022">
        <f>IF(4009&lt;$U$9,SUMPRODUCT(($D$10:$L$10&lt;&gt;"")*(($D$10:$L$10-($D$9:$L$9+INT(($S$12:$AA$12+INDEX($AJ$13:$AR$162,BN4022,0)+INDEX($AT$13:$BB$162,BO4022,0)+INDEX($BD$13:$BL$162,BP4022,0))/100)))&gt;0)*($D$10:$L$10-($D$9:$L$9+INT(($S$12:$AA$12+INDEX($AJ$13:$AR$162,BN4022,0)+INDEX($AT$13:$BB$162,BO4022,0)+INDEX($BD$13:$BL$162,BP4022,0))/100)))),0)</f>
        <v/>
      </c>
      <c r="BS4022">
        <f>IF(4009&lt;$U$9,SUMPRODUCT(($D$9:$L$9+INT(($S$12:$AA$12+INDEX($AJ$13:$AR$162,BN4022,0)+INDEX($AT$13:$BB$162,BO4022,0)+INDEX($BD$13:$BL$162,BP4022,0))/100))),0)</f>
        <v/>
      </c>
      <c r="BT4022">
        <f>IF(AND(4009&lt;$U$9,$W$5),BQ4022*1000000-MIN(BR4022,999)*1000+BS4022-4009/100000,-1000000000-4009)</f>
        <v/>
      </c>
    </row>
    <row r="4023">
      <c r="BN4023">
        <f>IF(4010&lt;$U$9,INT(4010/($U$7*$U$8))+1,1)</f>
        <v/>
      </c>
      <c r="BO4023">
        <f>IF(4010&lt;$U$9,MOD(INT(4010/$U$8),$U$7)+1,1)</f>
        <v/>
      </c>
      <c r="BP4023">
        <f>IF(4010&lt;$U$9,MOD(4010,$U$8)+1,1)</f>
        <v/>
      </c>
      <c r="BQ4023">
        <f>IF(4010&lt;$U$9,SUMPRODUCT(($D$10:$L$10&lt;&gt;"")*(($D$9:$L$9+INT(($S$12:$AA$12+INDEX($AJ$13:$AR$162,BN4023,0)+INDEX($AT$13:$BB$162,BO4023,0)+INDEX($BD$13:$BL$162,BP4023,0))/100))&gt;=$D$10:$L$10)),0)</f>
        <v/>
      </c>
      <c r="BR4023">
        <f>IF(4010&lt;$U$9,SUMPRODUCT(($D$10:$L$10&lt;&gt;"")*(($D$10:$L$10-($D$9:$L$9+INT(($S$12:$AA$12+INDEX($AJ$13:$AR$162,BN4023,0)+INDEX($AT$13:$BB$162,BO4023,0)+INDEX($BD$13:$BL$162,BP4023,0))/100)))&gt;0)*($D$10:$L$10-($D$9:$L$9+INT(($S$12:$AA$12+INDEX($AJ$13:$AR$162,BN4023,0)+INDEX($AT$13:$BB$162,BO4023,0)+INDEX($BD$13:$BL$162,BP4023,0))/100)))),0)</f>
        <v/>
      </c>
      <c r="BS4023">
        <f>IF(4010&lt;$U$9,SUMPRODUCT(($D$9:$L$9+INT(($S$12:$AA$12+INDEX($AJ$13:$AR$162,BN4023,0)+INDEX($AT$13:$BB$162,BO4023,0)+INDEX($BD$13:$BL$162,BP4023,0))/100))),0)</f>
        <v/>
      </c>
      <c r="BT4023">
        <f>IF(AND(4010&lt;$U$9,$W$5),BQ4023*1000000-MIN(BR4023,999)*1000+BS4023-4010/100000,-1000000000-4010)</f>
        <v/>
      </c>
    </row>
    <row r="4024">
      <c r="BN4024">
        <f>IF(4011&lt;$U$9,INT(4011/($U$7*$U$8))+1,1)</f>
        <v/>
      </c>
      <c r="BO4024">
        <f>IF(4011&lt;$U$9,MOD(INT(4011/$U$8),$U$7)+1,1)</f>
        <v/>
      </c>
      <c r="BP4024">
        <f>IF(4011&lt;$U$9,MOD(4011,$U$8)+1,1)</f>
        <v/>
      </c>
      <c r="BQ4024">
        <f>IF(4011&lt;$U$9,SUMPRODUCT(($D$10:$L$10&lt;&gt;"")*(($D$9:$L$9+INT(($S$12:$AA$12+INDEX($AJ$13:$AR$162,BN4024,0)+INDEX($AT$13:$BB$162,BO4024,0)+INDEX($BD$13:$BL$162,BP4024,0))/100))&gt;=$D$10:$L$10)),0)</f>
        <v/>
      </c>
      <c r="BR4024">
        <f>IF(4011&lt;$U$9,SUMPRODUCT(($D$10:$L$10&lt;&gt;"")*(($D$10:$L$10-($D$9:$L$9+INT(($S$12:$AA$12+INDEX($AJ$13:$AR$162,BN4024,0)+INDEX($AT$13:$BB$162,BO4024,0)+INDEX($BD$13:$BL$162,BP4024,0))/100)))&gt;0)*($D$10:$L$10-($D$9:$L$9+INT(($S$12:$AA$12+INDEX($AJ$13:$AR$162,BN4024,0)+INDEX($AT$13:$BB$162,BO4024,0)+INDEX($BD$13:$BL$162,BP4024,0))/100)))),0)</f>
        <v/>
      </c>
      <c r="BS4024">
        <f>IF(4011&lt;$U$9,SUMPRODUCT(($D$9:$L$9+INT(($S$12:$AA$12+INDEX($AJ$13:$AR$162,BN4024,0)+INDEX($AT$13:$BB$162,BO4024,0)+INDEX($BD$13:$BL$162,BP4024,0))/100))),0)</f>
        <v/>
      </c>
      <c r="BT4024">
        <f>IF(AND(4011&lt;$U$9,$W$5),BQ4024*1000000-MIN(BR4024,999)*1000+BS4024-4011/100000,-1000000000-4011)</f>
        <v/>
      </c>
    </row>
    <row r="4025">
      <c r="BN4025">
        <f>IF(4012&lt;$U$9,INT(4012/($U$7*$U$8))+1,1)</f>
        <v/>
      </c>
      <c r="BO4025">
        <f>IF(4012&lt;$U$9,MOD(INT(4012/$U$8),$U$7)+1,1)</f>
        <v/>
      </c>
      <c r="BP4025">
        <f>IF(4012&lt;$U$9,MOD(4012,$U$8)+1,1)</f>
        <v/>
      </c>
      <c r="BQ4025">
        <f>IF(4012&lt;$U$9,SUMPRODUCT(($D$10:$L$10&lt;&gt;"")*(($D$9:$L$9+INT(($S$12:$AA$12+INDEX($AJ$13:$AR$162,BN4025,0)+INDEX($AT$13:$BB$162,BO4025,0)+INDEX($BD$13:$BL$162,BP4025,0))/100))&gt;=$D$10:$L$10)),0)</f>
        <v/>
      </c>
      <c r="BR4025">
        <f>IF(4012&lt;$U$9,SUMPRODUCT(($D$10:$L$10&lt;&gt;"")*(($D$10:$L$10-($D$9:$L$9+INT(($S$12:$AA$12+INDEX($AJ$13:$AR$162,BN4025,0)+INDEX($AT$13:$BB$162,BO4025,0)+INDEX($BD$13:$BL$162,BP4025,0))/100)))&gt;0)*($D$10:$L$10-($D$9:$L$9+INT(($S$12:$AA$12+INDEX($AJ$13:$AR$162,BN4025,0)+INDEX($AT$13:$BB$162,BO4025,0)+INDEX($BD$13:$BL$162,BP4025,0))/100)))),0)</f>
        <v/>
      </c>
      <c r="BS4025">
        <f>IF(4012&lt;$U$9,SUMPRODUCT(($D$9:$L$9+INT(($S$12:$AA$12+INDEX($AJ$13:$AR$162,BN4025,0)+INDEX($AT$13:$BB$162,BO4025,0)+INDEX($BD$13:$BL$162,BP4025,0))/100))),0)</f>
        <v/>
      </c>
      <c r="BT4025">
        <f>IF(AND(4012&lt;$U$9,$W$5),BQ4025*1000000-MIN(BR4025,999)*1000+BS4025-4012/100000,-1000000000-4012)</f>
        <v/>
      </c>
    </row>
    <row r="4026">
      <c r="BN4026">
        <f>IF(4013&lt;$U$9,INT(4013/($U$7*$U$8))+1,1)</f>
        <v/>
      </c>
      <c r="BO4026">
        <f>IF(4013&lt;$U$9,MOD(INT(4013/$U$8),$U$7)+1,1)</f>
        <v/>
      </c>
      <c r="BP4026">
        <f>IF(4013&lt;$U$9,MOD(4013,$U$8)+1,1)</f>
        <v/>
      </c>
      <c r="BQ4026">
        <f>IF(4013&lt;$U$9,SUMPRODUCT(($D$10:$L$10&lt;&gt;"")*(($D$9:$L$9+INT(($S$12:$AA$12+INDEX($AJ$13:$AR$162,BN4026,0)+INDEX($AT$13:$BB$162,BO4026,0)+INDEX($BD$13:$BL$162,BP4026,0))/100))&gt;=$D$10:$L$10)),0)</f>
        <v/>
      </c>
      <c r="BR4026">
        <f>IF(4013&lt;$U$9,SUMPRODUCT(($D$10:$L$10&lt;&gt;"")*(($D$10:$L$10-($D$9:$L$9+INT(($S$12:$AA$12+INDEX($AJ$13:$AR$162,BN4026,0)+INDEX($AT$13:$BB$162,BO4026,0)+INDEX($BD$13:$BL$162,BP4026,0))/100)))&gt;0)*($D$10:$L$10-($D$9:$L$9+INT(($S$12:$AA$12+INDEX($AJ$13:$AR$162,BN4026,0)+INDEX($AT$13:$BB$162,BO4026,0)+INDEX($BD$13:$BL$162,BP4026,0))/100)))),0)</f>
        <v/>
      </c>
      <c r="BS4026">
        <f>IF(4013&lt;$U$9,SUMPRODUCT(($D$9:$L$9+INT(($S$12:$AA$12+INDEX($AJ$13:$AR$162,BN4026,0)+INDEX($AT$13:$BB$162,BO4026,0)+INDEX($BD$13:$BL$162,BP4026,0))/100))),0)</f>
        <v/>
      </c>
      <c r="BT4026">
        <f>IF(AND(4013&lt;$U$9,$W$5),BQ4026*1000000-MIN(BR4026,999)*1000+BS4026-4013/100000,-1000000000-4013)</f>
        <v/>
      </c>
    </row>
    <row r="4027">
      <c r="BN4027">
        <f>IF(4014&lt;$U$9,INT(4014/($U$7*$U$8))+1,1)</f>
        <v/>
      </c>
      <c r="BO4027">
        <f>IF(4014&lt;$U$9,MOD(INT(4014/$U$8),$U$7)+1,1)</f>
        <v/>
      </c>
      <c r="BP4027">
        <f>IF(4014&lt;$U$9,MOD(4014,$U$8)+1,1)</f>
        <v/>
      </c>
      <c r="BQ4027">
        <f>IF(4014&lt;$U$9,SUMPRODUCT(($D$10:$L$10&lt;&gt;"")*(($D$9:$L$9+INT(($S$12:$AA$12+INDEX($AJ$13:$AR$162,BN4027,0)+INDEX($AT$13:$BB$162,BO4027,0)+INDEX($BD$13:$BL$162,BP4027,0))/100))&gt;=$D$10:$L$10)),0)</f>
        <v/>
      </c>
      <c r="BR4027">
        <f>IF(4014&lt;$U$9,SUMPRODUCT(($D$10:$L$10&lt;&gt;"")*(($D$10:$L$10-($D$9:$L$9+INT(($S$12:$AA$12+INDEX($AJ$13:$AR$162,BN4027,0)+INDEX($AT$13:$BB$162,BO4027,0)+INDEX($BD$13:$BL$162,BP4027,0))/100)))&gt;0)*($D$10:$L$10-($D$9:$L$9+INT(($S$12:$AA$12+INDEX($AJ$13:$AR$162,BN4027,0)+INDEX($AT$13:$BB$162,BO4027,0)+INDEX($BD$13:$BL$162,BP4027,0))/100)))),0)</f>
        <v/>
      </c>
      <c r="BS4027">
        <f>IF(4014&lt;$U$9,SUMPRODUCT(($D$9:$L$9+INT(($S$12:$AA$12+INDEX($AJ$13:$AR$162,BN4027,0)+INDEX($AT$13:$BB$162,BO4027,0)+INDEX($BD$13:$BL$162,BP4027,0))/100))),0)</f>
        <v/>
      </c>
      <c r="BT4027">
        <f>IF(AND(4014&lt;$U$9,$W$5),BQ4027*1000000-MIN(BR4027,999)*1000+BS4027-4014/100000,-1000000000-4014)</f>
        <v/>
      </c>
    </row>
    <row r="4028">
      <c r="BN4028">
        <f>IF(4015&lt;$U$9,INT(4015/($U$7*$U$8))+1,1)</f>
        <v/>
      </c>
      <c r="BO4028">
        <f>IF(4015&lt;$U$9,MOD(INT(4015/$U$8),$U$7)+1,1)</f>
        <v/>
      </c>
      <c r="BP4028">
        <f>IF(4015&lt;$U$9,MOD(4015,$U$8)+1,1)</f>
        <v/>
      </c>
      <c r="BQ4028">
        <f>IF(4015&lt;$U$9,SUMPRODUCT(($D$10:$L$10&lt;&gt;"")*(($D$9:$L$9+INT(($S$12:$AA$12+INDEX($AJ$13:$AR$162,BN4028,0)+INDEX($AT$13:$BB$162,BO4028,0)+INDEX($BD$13:$BL$162,BP4028,0))/100))&gt;=$D$10:$L$10)),0)</f>
        <v/>
      </c>
      <c r="BR4028">
        <f>IF(4015&lt;$U$9,SUMPRODUCT(($D$10:$L$10&lt;&gt;"")*(($D$10:$L$10-($D$9:$L$9+INT(($S$12:$AA$12+INDEX($AJ$13:$AR$162,BN4028,0)+INDEX($AT$13:$BB$162,BO4028,0)+INDEX($BD$13:$BL$162,BP4028,0))/100)))&gt;0)*($D$10:$L$10-($D$9:$L$9+INT(($S$12:$AA$12+INDEX($AJ$13:$AR$162,BN4028,0)+INDEX($AT$13:$BB$162,BO4028,0)+INDEX($BD$13:$BL$162,BP4028,0))/100)))),0)</f>
        <v/>
      </c>
      <c r="BS4028">
        <f>IF(4015&lt;$U$9,SUMPRODUCT(($D$9:$L$9+INT(($S$12:$AA$12+INDEX($AJ$13:$AR$162,BN4028,0)+INDEX($AT$13:$BB$162,BO4028,0)+INDEX($BD$13:$BL$162,BP4028,0))/100))),0)</f>
        <v/>
      </c>
      <c r="BT4028">
        <f>IF(AND(4015&lt;$U$9,$W$5),BQ4028*1000000-MIN(BR4028,999)*1000+BS4028-4015/100000,-1000000000-4015)</f>
        <v/>
      </c>
    </row>
    <row r="4029">
      <c r="BN4029">
        <f>IF(4016&lt;$U$9,INT(4016/($U$7*$U$8))+1,1)</f>
        <v/>
      </c>
      <c r="BO4029">
        <f>IF(4016&lt;$U$9,MOD(INT(4016/$U$8),$U$7)+1,1)</f>
        <v/>
      </c>
      <c r="BP4029">
        <f>IF(4016&lt;$U$9,MOD(4016,$U$8)+1,1)</f>
        <v/>
      </c>
      <c r="BQ4029">
        <f>IF(4016&lt;$U$9,SUMPRODUCT(($D$10:$L$10&lt;&gt;"")*(($D$9:$L$9+INT(($S$12:$AA$12+INDEX($AJ$13:$AR$162,BN4029,0)+INDEX($AT$13:$BB$162,BO4029,0)+INDEX($BD$13:$BL$162,BP4029,0))/100))&gt;=$D$10:$L$10)),0)</f>
        <v/>
      </c>
      <c r="BR4029">
        <f>IF(4016&lt;$U$9,SUMPRODUCT(($D$10:$L$10&lt;&gt;"")*(($D$10:$L$10-($D$9:$L$9+INT(($S$12:$AA$12+INDEX($AJ$13:$AR$162,BN4029,0)+INDEX($AT$13:$BB$162,BO4029,0)+INDEX($BD$13:$BL$162,BP4029,0))/100)))&gt;0)*($D$10:$L$10-($D$9:$L$9+INT(($S$12:$AA$12+INDEX($AJ$13:$AR$162,BN4029,0)+INDEX($AT$13:$BB$162,BO4029,0)+INDEX($BD$13:$BL$162,BP4029,0))/100)))),0)</f>
        <v/>
      </c>
      <c r="BS4029">
        <f>IF(4016&lt;$U$9,SUMPRODUCT(($D$9:$L$9+INT(($S$12:$AA$12+INDEX($AJ$13:$AR$162,BN4029,0)+INDEX($AT$13:$BB$162,BO4029,0)+INDEX($BD$13:$BL$162,BP4029,0))/100))),0)</f>
        <v/>
      </c>
      <c r="BT4029">
        <f>IF(AND(4016&lt;$U$9,$W$5),BQ4029*1000000-MIN(BR4029,999)*1000+BS4029-4016/100000,-1000000000-4016)</f>
        <v/>
      </c>
    </row>
    <row r="4030">
      <c r="BN4030">
        <f>IF(4017&lt;$U$9,INT(4017/($U$7*$U$8))+1,1)</f>
        <v/>
      </c>
      <c r="BO4030">
        <f>IF(4017&lt;$U$9,MOD(INT(4017/$U$8),$U$7)+1,1)</f>
        <v/>
      </c>
      <c r="BP4030">
        <f>IF(4017&lt;$U$9,MOD(4017,$U$8)+1,1)</f>
        <v/>
      </c>
      <c r="BQ4030">
        <f>IF(4017&lt;$U$9,SUMPRODUCT(($D$10:$L$10&lt;&gt;"")*(($D$9:$L$9+INT(($S$12:$AA$12+INDEX($AJ$13:$AR$162,BN4030,0)+INDEX($AT$13:$BB$162,BO4030,0)+INDEX($BD$13:$BL$162,BP4030,0))/100))&gt;=$D$10:$L$10)),0)</f>
        <v/>
      </c>
      <c r="BR4030">
        <f>IF(4017&lt;$U$9,SUMPRODUCT(($D$10:$L$10&lt;&gt;"")*(($D$10:$L$10-($D$9:$L$9+INT(($S$12:$AA$12+INDEX($AJ$13:$AR$162,BN4030,0)+INDEX($AT$13:$BB$162,BO4030,0)+INDEX($BD$13:$BL$162,BP4030,0))/100)))&gt;0)*($D$10:$L$10-($D$9:$L$9+INT(($S$12:$AA$12+INDEX($AJ$13:$AR$162,BN4030,0)+INDEX($AT$13:$BB$162,BO4030,0)+INDEX($BD$13:$BL$162,BP4030,0))/100)))),0)</f>
        <v/>
      </c>
      <c r="BS4030">
        <f>IF(4017&lt;$U$9,SUMPRODUCT(($D$9:$L$9+INT(($S$12:$AA$12+INDEX($AJ$13:$AR$162,BN4030,0)+INDEX($AT$13:$BB$162,BO4030,0)+INDEX($BD$13:$BL$162,BP4030,0))/100))),0)</f>
        <v/>
      </c>
      <c r="BT4030">
        <f>IF(AND(4017&lt;$U$9,$W$5),BQ4030*1000000-MIN(BR4030,999)*1000+BS4030-4017/100000,-1000000000-4017)</f>
        <v/>
      </c>
    </row>
    <row r="4031">
      <c r="BN4031">
        <f>IF(4018&lt;$U$9,INT(4018/($U$7*$U$8))+1,1)</f>
        <v/>
      </c>
      <c r="BO4031">
        <f>IF(4018&lt;$U$9,MOD(INT(4018/$U$8),$U$7)+1,1)</f>
        <v/>
      </c>
      <c r="BP4031">
        <f>IF(4018&lt;$U$9,MOD(4018,$U$8)+1,1)</f>
        <v/>
      </c>
      <c r="BQ4031">
        <f>IF(4018&lt;$U$9,SUMPRODUCT(($D$10:$L$10&lt;&gt;"")*(($D$9:$L$9+INT(($S$12:$AA$12+INDEX($AJ$13:$AR$162,BN4031,0)+INDEX($AT$13:$BB$162,BO4031,0)+INDEX($BD$13:$BL$162,BP4031,0))/100))&gt;=$D$10:$L$10)),0)</f>
        <v/>
      </c>
      <c r="BR4031">
        <f>IF(4018&lt;$U$9,SUMPRODUCT(($D$10:$L$10&lt;&gt;"")*(($D$10:$L$10-($D$9:$L$9+INT(($S$12:$AA$12+INDEX($AJ$13:$AR$162,BN4031,0)+INDEX($AT$13:$BB$162,BO4031,0)+INDEX($BD$13:$BL$162,BP4031,0))/100)))&gt;0)*($D$10:$L$10-($D$9:$L$9+INT(($S$12:$AA$12+INDEX($AJ$13:$AR$162,BN4031,0)+INDEX($AT$13:$BB$162,BO4031,0)+INDEX($BD$13:$BL$162,BP4031,0))/100)))),0)</f>
        <v/>
      </c>
      <c r="BS4031">
        <f>IF(4018&lt;$U$9,SUMPRODUCT(($D$9:$L$9+INT(($S$12:$AA$12+INDEX($AJ$13:$AR$162,BN4031,0)+INDEX($AT$13:$BB$162,BO4031,0)+INDEX($BD$13:$BL$162,BP4031,0))/100))),0)</f>
        <v/>
      </c>
      <c r="BT4031">
        <f>IF(AND(4018&lt;$U$9,$W$5),BQ4031*1000000-MIN(BR4031,999)*1000+BS4031-4018/100000,-1000000000-4018)</f>
        <v/>
      </c>
    </row>
    <row r="4032">
      <c r="BN4032">
        <f>IF(4019&lt;$U$9,INT(4019/($U$7*$U$8))+1,1)</f>
        <v/>
      </c>
      <c r="BO4032">
        <f>IF(4019&lt;$U$9,MOD(INT(4019/$U$8),$U$7)+1,1)</f>
        <v/>
      </c>
      <c r="BP4032">
        <f>IF(4019&lt;$U$9,MOD(4019,$U$8)+1,1)</f>
        <v/>
      </c>
      <c r="BQ4032">
        <f>IF(4019&lt;$U$9,SUMPRODUCT(($D$10:$L$10&lt;&gt;"")*(($D$9:$L$9+INT(($S$12:$AA$12+INDEX($AJ$13:$AR$162,BN4032,0)+INDEX($AT$13:$BB$162,BO4032,0)+INDEX($BD$13:$BL$162,BP4032,0))/100))&gt;=$D$10:$L$10)),0)</f>
        <v/>
      </c>
      <c r="BR4032">
        <f>IF(4019&lt;$U$9,SUMPRODUCT(($D$10:$L$10&lt;&gt;"")*(($D$10:$L$10-($D$9:$L$9+INT(($S$12:$AA$12+INDEX($AJ$13:$AR$162,BN4032,0)+INDEX($AT$13:$BB$162,BO4032,0)+INDEX($BD$13:$BL$162,BP4032,0))/100)))&gt;0)*($D$10:$L$10-($D$9:$L$9+INT(($S$12:$AA$12+INDEX($AJ$13:$AR$162,BN4032,0)+INDEX($AT$13:$BB$162,BO4032,0)+INDEX($BD$13:$BL$162,BP4032,0))/100)))),0)</f>
        <v/>
      </c>
      <c r="BS4032">
        <f>IF(4019&lt;$U$9,SUMPRODUCT(($D$9:$L$9+INT(($S$12:$AA$12+INDEX($AJ$13:$AR$162,BN4032,0)+INDEX($AT$13:$BB$162,BO4032,0)+INDEX($BD$13:$BL$162,BP4032,0))/100))),0)</f>
        <v/>
      </c>
      <c r="BT4032">
        <f>IF(AND(4019&lt;$U$9,$W$5),BQ4032*1000000-MIN(BR4032,999)*1000+BS4032-4019/100000,-1000000000-4019)</f>
        <v/>
      </c>
    </row>
    <row r="4033">
      <c r="BN4033">
        <f>IF(4020&lt;$U$9,INT(4020/($U$7*$U$8))+1,1)</f>
        <v/>
      </c>
      <c r="BO4033">
        <f>IF(4020&lt;$U$9,MOD(INT(4020/$U$8),$U$7)+1,1)</f>
        <v/>
      </c>
      <c r="BP4033">
        <f>IF(4020&lt;$U$9,MOD(4020,$U$8)+1,1)</f>
        <v/>
      </c>
      <c r="BQ4033">
        <f>IF(4020&lt;$U$9,SUMPRODUCT(($D$10:$L$10&lt;&gt;"")*(($D$9:$L$9+INT(($S$12:$AA$12+INDEX($AJ$13:$AR$162,BN4033,0)+INDEX($AT$13:$BB$162,BO4033,0)+INDEX($BD$13:$BL$162,BP4033,0))/100))&gt;=$D$10:$L$10)),0)</f>
        <v/>
      </c>
      <c r="BR4033">
        <f>IF(4020&lt;$U$9,SUMPRODUCT(($D$10:$L$10&lt;&gt;"")*(($D$10:$L$10-($D$9:$L$9+INT(($S$12:$AA$12+INDEX($AJ$13:$AR$162,BN4033,0)+INDEX($AT$13:$BB$162,BO4033,0)+INDEX($BD$13:$BL$162,BP4033,0))/100)))&gt;0)*($D$10:$L$10-($D$9:$L$9+INT(($S$12:$AA$12+INDEX($AJ$13:$AR$162,BN4033,0)+INDEX($AT$13:$BB$162,BO4033,0)+INDEX($BD$13:$BL$162,BP4033,0))/100)))),0)</f>
        <v/>
      </c>
      <c r="BS4033">
        <f>IF(4020&lt;$U$9,SUMPRODUCT(($D$9:$L$9+INT(($S$12:$AA$12+INDEX($AJ$13:$AR$162,BN4033,0)+INDEX($AT$13:$BB$162,BO4033,0)+INDEX($BD$13:$BL$162,BP4033,0))/100))),0)</f>
        <v/>
      </c>
      <c r="BT4033">
        <f>IF(AND(4020&lt;$U$9,$W$5),BQ4033*1000000-MIN(BR4033,999)*1000+BS4033-4020/100000,-1000000000-4020)</f>
        <v/>
      </c>
    </row>
    <row r="4034">
      <c r="BN4034">
        <f>IF(4021&lt;$U$9,INT(4021/($U$7*$U$8))+1,1)</f>
        <v/>
      </c>
      <c r="BO4034">
        <f>IF(4021&lt;$U$9,MOD(INT(4021/$U$8),$U$7)+1,1)</f>
        <v/>
      </c>
      <c r="BP4034">
        <f>IF(4021&lt;$U$9,MOD(4021,$U$8)+1,1)</f>
        <v/>
      </c>
      <c r="BQ4034">
        <f>IF(4021&lt;$U$9,SUMPRODUCT(($D$10:$L$10&lt;&gt;"")*(($D$9:$L$9+INT(($S$12:$AA$12+INDEX($AJ$13:$AR$162,BN4034,0)+INDEX($AT$13:$BB$162,BO4034,0)+INDEX($BD$13:$BL$162,BP4034,0))/100))&gt;=$D$10:$L$10)),0)</f>
        <v/>
      </c>
      <c r="BR4034">
        <f>IF(4021&lt;$U$9,SUMPRODUCT(($D$10:$L$10&lt;&gt;"")*(($D$10:$L$10-($D$9:$L$9+INT(($S$12:$AA$12+INDEX($AJ$13:$AR$162,BN4034,0)+INDEX($AT$13:$BB$162,BO4034,0)+INDEX($BD$13:$BL$162,BP4034,0))/100)))&gt;0)*($D$10:$L$10-($D$9:$L$9+INT(($S$12:$AA$12+INDEX($AJ$13:$AR$162,BN4034,0)+INDEX($AT$13:$BB$162,BO4034,0)+INDEX($BD$13:$BL$162,BP4034,0))/100)))),0)</f>
        <v/>
      </c>
      <c r="BS4034">
        <f>IF(4021&lt;$U$9,SUMPRODUCT(($D$9:$L$9+INT(($S$12:$AA$12+INDEX($AJ$13:$AR$162,BN4034,0)+INDEX($AT$13:$BB$162,BO4034,0)+INDEX($BD$13:$BL$162,BP4034,0))/100))),0)</f>
        <v/>
      </c>
      <c r="BT4034">
        <f>IF(AND(4021&lt;$U$9,$W$5),BQ4034*1000000-MIN(BR4034,999)*1000+BS4034-4021/100000,-1000000000-4021)</f>
        <v/>
      </c>
    </row>
    <row r="4035">
      <c r="BN4035">
        <f>IF(4022&lt;$U$9,INT(4022/($U$7*$U$8))+1,1)</f>
        <v/>
      </c>
      <c r="BO4035">
        <f>IF(4022&lt;$U$9,MOD(INT(4022/$U$8),$U$7)+1,1)</f>
        <v/>
      </c>
      <c r="BP4035">
        <f>IF(4022&lt;$U$9,MOD(4022,$U$8)+1,1)</f>
        <v/>
      </c>
      <c r="BQ4035">
        <f>IF(4022&lt;$U$9,SUMPRODUCT(($D$10:$L$10&lt;&gt;"")*(($D$9:$L$9+INT(($S$12:$AA$12+INDEX($AJ$13:$AR$162,BN4035,0)+INDEX($AT$13:$BB$162,BO4035,0)+INDEX($BD$13:$BL$162,BP4035,0))/100))&gt;=$D$10:$L$10)),0)</f>
        <v/>
      </c>
      <c r="BR4035">
        <f>IF(4022&lt;$U$9,SUMPRODUCT(($D$10:$L$10&lt;&gt;"")*(($D$10:$L$10-($D$9:$L$9+INT(($S$12:$AA$12+INDEX($AJ$13:$AR$162,BN4035,0)+INDEX($AT$13:$BB$162,BO4035,0)+INDEX($BD$13:$BL$162,BP4035,0))/100)))&gt;0)*($D$10:$L$10-($D$9:$L$9+INT(($S$12:$AA$12+INDEX($AJ$13:$AR$162,BN4035,0)+INDEX($AT$13:$BB$162,BO4035,0)+INDEX($BD$13:$BL$162,BP4035,0))/100)))),0)</f>
        <v/>
      </c>
      <c r="BS4035">
        <f>IF(4022&lt;$U$9,SUMPRODUCT(($D$9:$L$9+INT(($S$12:$AA$12+INDEX($AJ$13:$AR$162,BN4035,0)+INDEX($AT$13:$BB$162,BO4035,0)+INDEX($BD$13:$BL$162,BP4035,0))/100))),0)</f>
        <v/>
      </c>
      <c r="BT4035">
        <f>IF(AND(4022&lt;$U$9,$W$5),BQ4035*1000000-MIN(BR4035,999)*1000+BS4035-4022/100000,-1000000000-4022)</f>
        <v/>
      </c>
    </row>
    <row r="4036">
      <c r="BN4036">
        <f>IF(4023&lt;$U$9,INT(4023/($U$7*$U$8))+1,1)</f>
        <v/>
      </c>
      <c r="BO4036">
        <f>IF(4023&lt;$U$9,MOD(INT(4023/$U$8),$U$7)+1,1)</f>
        <v/>
      </c>
      <c r="BP4036">
        <f>IF(4023&lt;$U$9,MOD(4023,$U$8)+1,1)</f>
        <v/>
      </c>
      <c r="BQ4036">
        <f>IF(4023&lt;$U$9,SUMPRODUCT(($D$10:$L$10&lt;&gt;"")*(($D$9:$L$9+INT(($S$12:$AA$12+INDEX($AJ$13:$AR$162,BN4036,0)+INDEX($AT$13:$BB$162,BO4036,0)+INDEX($BD$13:$BL$162,BP4036,0))/100))&gt;=$D$10:$L$10)),0)</f>
        <v/>
      </c>
      <c r="BR4036">
        <f>IF(4023&lt;$U$9,SUMPRODUCT(($D$10:$L$10&lt;&gt;"")*(($D$10:$L$10-($D$9:$L$9+INT(($S$12:$AA$12+INDEX($AJ$13:$AR$162,BN4036,0)+INDEX($AT$13:$BB$162,BO4036,0)+INDEX($BD$13:$BL$162,BP4036,0))/100)))&gt;0)*($D$10:$L$10-($D$9:$L$9+INT(($S$12:$AA$12+INDEX($AJ$13:$AR$162,BN4036,0)+INDEX($AT$13:$BB$162,BO4036,0)+INDEX($BD$13:$BL$162,BP4036,0))/100)))),0)</f>
        <v/>
      </c>
      <c r="BS4036">
        <f>IF(4023&lt;$U$9,SUMPRODUCT(($D$9:$L$9+INT(($S$12:$AA$12+INDEX($AJ$13:$AR$162,BN4036,0)+INDEX($AT$13:$BB$162,BO4036,0)+INDEX($BD$13:$BL$162,BP4036,0))/100))),0)</f>
        <v/>
      </c>
      <c r="BT4036">
        <f>IF(AND(4023&lt;$U$9,$W$5),BQ4036*1000000-MIN(BR4036,999)*1000+BS4036-4023/100000,-1000000000-4023)</f>
        <v/>
      </c>
    </row>
    <row r="4037">
      <c r="BN4037">
        <f>IF(4024&lt;$U$9,INT(4024/($U$7*$U$8))+1,1)</f>
        <v/>
      </c>
      <c r="BO4037">
        <f>IF(4024&lt;$U$9,MOD(INT(4024/$U$8),$U$7)+1,1)</f>
        <v/>
      </c>
      <c r="BP4037">
        <f>IF(4024&lt;$U$9,MOD(4024,$U$8)+1,1)</f>
        <v/>
      </c>
      <c r="BQ4037">
        <f>IF(4024&lt;$U$9,SUMPRODUCT(($D$10:$L$10&lt;&gt;"")*(($D$9:$L$9+INT(($S$12:$AA$12+INDEX($AJ$13:$AR$162,BN4037,0)+INDEX($AT$13:$BB$162,BO4037,0)+INDEX($BD$13:$BL$162,BP4037,0))/100))&gt;=$D$10:$L$10)),0)</f>
        <v/>
      </c>
      <c r="BR4037">
        <f>IF(4024&lt;$U$9,SUMPRODUCT(($D$10:$L$10&lt;&gt;"")*(($D$10:$L$10-($D$9:$L$9+INT(($S$12:$AA$12+INDEX($AJ$13:$AR$162,BN4037,0)+INDEX($AT$13:$BB$162,BO4037,0)+INDEX($BD$13:$BL$162,BP4037,0))/100)))&gt;0)*($D$10:$L$10-($D$9:$L$9+INT(($S$12:$AA$12+INDEX($AJ$13:$AR$162,BN4037,0)+INDEX($AT$13:$BB$162,BO4037,0)+INDEX($BD$13:$BL$162,BP4037,0))/100)))),0)</f>
        <v/>
      </c>
      <c r="BS4037">
        <f>IF(4024&lt;$U$9,SUMPRODUCT(($D$9:$L$9+INT(($S$12:$AA$12+INDEX($AJ$13:$AR$162,BN4037,0)+INDEX($AT$13:$BB$162,BO4037,0)+INDEX($BD$13:$BL$162,BP4037,0))/100))),0)</f>
        <v/>
      </c>
      <c r="BT4037">
        <f>IF(AND(4024&lt;$U$9,$W$5),BQ4037*1000000-MIN(BR4037,999)*1000+BS4037-4024/100000,-1000000000-4024)</f>
        <v/>
      </c>
    </row>
    <row r="4038">
      <c r="BN4038">
        <f>IF(4025&lt;$U$9,INT(4025/($U$7*$U$8))+1,1)</f>
        <v/>
      </c>
      <c r="BO4038">
        <f>IF(4025&lt;$U$9,MOD(INT(4025/$U$8),$U$7)+1,1)</f>
        <v/>
      </c>
      <c r="BP4038">
        <f>IF(4025&lt;$U$9,MOD(4025,$U$8)+1,1)</f>
        <v/>
      </c>
      <c r="BQ4038">
        <f>IF(4025&lt;$U$9,SUMPRODUCT(($D$10:$L$10&lt;&gt;"")*(($D$9:$L$9+INT(($S$12:$AA$12+INDEX($AJ$13:$AR$162,BN4038,0)+INDEX($AT$13:$BB$162,BO4038,0)+INDEX($BD$13:$BL$162,BP4038,0))/100))&gt;=$D$10:$L$10)),0)</f>
        <v/>
      </c>
      <c r="BR4038">
        <f>IF(4025&lt;$U$9,SUMPRODUCT(($D$10:$L$10&lt;&gt;"")*(($D$10:$L$10-($D$9:$L$9+INT(($S$12:$AA$12+INDEX($AJ$13:$AR$162,BN4038,0)+INDEX($AT$13:$BB$162,BO4038,0)+INDEX($BD$13:$BL$162,BP4038,0))/100)))&gt;0)*($D$10:$L$10-($D$9:$L$9+INT(($S$12:$AA$12+INDEX($AJ$13:$AR$162,BN4038,0)+INDEX($AT$13:$BB$162,BO4038,0)+INDEX($BD$13:$BL$162,BP4038,0))/100)))),0)</f>
        <v/>
      </c>
      <c r="BS4038">
        <f>IF(4025&lt;$U$9,SUMPRODUCT(($D$9:$L$9+INT(($S$12:$AA$12+INDEX($AJ$13:$AR$162,BN4038,0)+INDEX($AT$13:$BB$162,BO4038,0)+INDEX($BD$13:$BL$162,BP4038,0))/100))),0)</f>
        <v/>
      </c>
      <c r="BT4038">
        <f>IF(AND(4025&lt;$U$9,$W$5),BQ4038*1000000-MIN(BR4038,999)*1000+BS4038-4025/100000,-1000000000-4025)</f>
        <v/>
      </c>
    </row>
    <row r="4039">
      <c r="BN4039">
        <f>IF(4026&lt;$U$9,INT(4026/($U$7*$U$8))+1,1)</f>
        <v/>
      </c>
      <c r="BO4039">
        <f>IF(4026&lt;$U$9,MOD(INT(4026/$U$8),$U$7)+1,1)</f>
        <v/>
      </c>
      <c r="BP4039">
        <f>IF(4026&lt;$U$9,MOD(4026,$U$8)+1,1)</f>
        <v/>
      </c>
      <c r="BQ4039">
        <f>IF(4026&lt;$U$9,SUMPRODUCT(($D$10:$L$10&lt;&gt;"")*(($D$9:$L$9+INT(($S$12:$AA$12+INDEX($AJ$13:$AR$162,BN4039,0)+INDEX($AT$13:$BB$162,BO4039,0)+INDEX($BD$13:$BL$162,BP4039,0))/100))&gt;=$D$10:$L$10)),0)</f>
        <v/>
      </c>
      <c r="BR4039">
        <f>IF(4026&lt;$U$9,SUMPRODUCT(($D$10:$L$10&lt;&gt;"")*(($D$10:$L$10-($D$9:$L$9+INT(($S$12:$AA$12+INDEX($AJ$13:$AR$162,BN4039,0)+INDEX($AT$13:$BB$162,BO4039,0)+INDEX($BD$13:$BL$162,BP4039,0))/100)))&gt;0)*($D$10:$L$10-($D$9:$L$9+INT(($S$12:$AA$12+INDEX($AJ$13:$AR$162,BN4039,0)+INDEX($AT$13:$BB$162,BO4039,0)+INDEX($BD$13:$BL$162,BP4039,0))/100)))),0)</f>
        <v/>
      </c>
      <c r="BS4039">
        <f>IF(4026&lt;$U$9,SUMPRODUCT(($D$9:$L$9+INT(($S$12:$AA$12+INDEX($AJ$13:$AR$162,BN4039,0)+INDEX($AT$13:$BB$162,BO4039,0)+INDEX($BD$13:$BL$162,BP4039,0))/100))),0)</f>
        <v/>
      </c>
      <c r="BT4039">
        <f>IF(AND(4026&lt;$U$9,$W$5),BQ4039*1000000-MIN(BR4039,999)*1000+BS4039-4026/100000,-1000000000-4026)</f>
        <v/>
      </c>
    </row>
    <row r="4040">
      <c r="BN4040">
        <f>IF(4027&lt;$U$9,INT(4027/($U$7*$U$8))+1,1)</f>
        <v/>
      </c>
      <c r="BO4040">
        <f>IF(4027&lt;$U$9,MOD(INT(4027/$U$8),$U$7)+1,1)</f>
        <v/>
      </c>
      <c r="BP4040">
        <f>IF(4027&lt;$U$9,MOD(4027,$U$8)+1,1)</f>
        <v/>
      </c>
      <c r="BQ4040">
        <f>IF(4027&lt;$U$9,SUMPRODUCT(($D$10:$L$10&lt;&gt;"")*(($D$9:$L$9+INT(($S$12:$AA$12+INDEX($AJ$13:$AR$162,BN4040,0)+INDEX($AT$13:$BB$162,BO4040,0)+INDEX($BD$13:$BL$162,BP4040,0))/100))&gt;=$D$10:$L$10)),0)</f>
        <v/>
      </c>
      <c r="BR4040">
        <f>IF(4027&lt;$U$9,SUMPRODUCT(($D$10:$L$10&lt;&gt;"")*(($D$10:$L$10-($D$9:$L$9+INT(($S$12:$AA$12+INDEX($AJ$13:$AR$162,BN4040,0)+INDEX($AT$13:$BB$162,BO4040,0)+INDEX($BD$13:$BL$162,BP4040,0))/100)))&gt;0)*($D$10:$L$10-($D$9:$L$9+INT(($S$12:$AA$12+INDEX($AJ$13:$AR$162,BN4040,0)+INDEX($AT$13:$BB$162,BO4040,0)+INDEX($BD$13:$BL$162,BP4040,0))/100)))),0)</f>
        <v/>
      </c>
      <c r="BS4040">
        <f>IF(4027&lt;$U$9,SUMPRODUCT(($D$9:$L$9+INT(($S$12:$AA$12+INDEX($AJ$13:$AR$162,BN4040,0)+INDEX($AT$13:$BB$162,BO4040,0)+INDEX($BD$13:$BL$162,BP4040,0))/100))),0)</f>
        <v/>
      </c>
      <c r="BT4040">
        <f>IF(AND(4027&lt;$U$9,$W$5),BQ4040*1000000-MIN(BR4040,999)*1000+BS4040-4027/100000,-1000000000-4027)</f>
        <v/>
      </c>
    </row>
    <row r="4041">
      <c r="BN4041">
        <f>IF(4028&lt;$U$9,INT(4028/($U$7*$U$8))+1,1)</f>
        <v/>
      </c>
      <c r="BO4041">
        <f>IF(4028&lt;$U$9,MOD(INT(4028/$U$8),$U$7)+1,1)</f>
        <v/>
      </c>
      <c r="BP4041">
        <f>IF(4028&lt;$U$9,MOD(4028,$U$8)+1,1)</f>
        <v/>
      </c>
      <c r="BQ4041">
        <f>IF(4028&lt;$U$9,SUMPRODUCT(($D$10:$L$10&lt;&gt;"")*(($D$9:$L$9+INT(($S$12:$AA$12+INDEX($AJ$13:$AR$162,BN4041,0)+INDEX($AT$13:$BB$162,BO4041,0)+INDEX($BD$13:$BL$162,BP4041,0))/100))&gt;=$D$10:$L$10)),0)</f>
        <v/>
      </c>
      <c r="BR4041">
        <f>IF(4028&lt;$U$9,SUMPRODUCT(($D$10:$L$10&lt;&gt;"")*(($D$10:$L$10-($D$9:$L$9+INT(($S$12:$AA$12+INDEX($AJ$13:$AR$162,BN4041,0)+INDEX($AT$13:$BB$162,BO4041,0)+INDEX($BD$13:$BL$162,BP4041,0))/100)))&gt;0)*($D$10:$L$10-($D$9:$L$9+INT(($S$12:$AA$12+INDEX($AJ$13:$AR$162,BN4041,0)+INDEX($AT$13:$BB$162,BO4041,0)+INDEX($BD$13:$BL$162,BP4041,0))/100)))),0)</f>
        <v/>
      </c>
      <c r="BS4041">
        <f>IF(4028&lt;$U$9,SUMPRODUCT(($D$9:$L$9+INT(($S$12:$AA$12+INDEX($AJ$13:$AR$162,BN4041,0)+INDEX($AT$13:$BB$162,BO4041,0)+INDEX($BD$13:$BL$162,BP4041,0))/100))),0)</f>
        <v/>
      </c>
      <c r="BT4041">
        <f>IF(AND(4028&lt;$U$9,$W$5),BQ4041*1000000-MIN(BR4041,999)*1000+BS4041-4028/100000,-1000000000-4028)</f>
        <v/>
      </c>
    </row>
    <row r="4042">
      <c r="BN4042">
        <f>IF(4029&lt;$U$9,INT(4029/($U$7*$U$8))+1,1)</f>
        <v/>
      </c>
      <c r="BO4042">
        <f>IF(4029&lt;$U$9,MOD(INT(4029/$U$8),$U$7)+1,1)</f>
        <v/>
      </c>
      <c r="BP4042">
        <f>IF(4029&lt;$U$9,MOD(4029,$U$8)+1,1)</f>
        <v/>
      </c>
      <c r="BQ4042">
        <f>IF(4029&lt;$U$9,SUMPRODUCT(($D$10:$L$10&lt;&gt;"")*(($D$9:$L$9+INT(($S$12:$AA$12+INDEX($AJ$13:$AR$162,BN4042,0)+INDEX($AT$13:$BB$162,BO4042,0)+INDEX($BD$13:$BL$162,BP4042,0))/100))&gt;=$D$10:$L$10)),0)</f>
        <v/>
      </c>
      <c r="BR4042">
        <f>IF(4029&lt;$U$9,SUMPRODUCT(($D$10:$L$10&lt;&gt;"")*(($D$10:$L$10-($D$9:$L$9+INT(($S$12:$AA$12+INDEX($AJ$13:$AR$162,BN4042,0)+INDEX($AT$13:$BB$162,BO4042,0)+INDEX($BD$13:$BL$162,BP4042,0))/100)))&gt;0)*($D$10:$L$10-($D$9:$L$9+INT(($S$12:$AA$12+INDEX($AJ$13:$AR$162,BN4042,0)+INDEX($AT$13:$BB$162,BO4042,0)+INDEX($BD$13:$BL$162,BP4042,0))/100)))),0)</f>
        <v/>
      </c>
      <c r="BS4042">
        <f>IF(4029&lt;$U$9,SUMPRODUCT(($D$9:$L$9+INT(($S$12:$AA$12+INDEX($AJ$13:$AR$162,BN4042,0)+INDEX($AT$13:$BB$162,BO4042,0)+INDEX($BD$13:$BL$162,BP4042,0))/100))),0)</f>
        <v/>
      </c>
      <c r="BT4042">
        <f>IF(AND(4029&lt;$U$9,$W$5),BQ4042*1000000-MIN(BR4042,999)*1000+BS4042-4029/100000,-1000000000-4029)</f>
        <v/>
      </c>
    </row>
    <row r="4043">
      <c r="BN4043">
        <f>IF(4030&lt;$U$9,INT(4030/($U$7*$U$8))+1,1)</f>
        <v/>
      </c>
      <c r="BO4043">
        <f>IF(4030&lt;$U$9,MOD(INT(4030/$U$8),$U$7)+1,1)</f>
        <v/>
      </c>
      <c r="BP4043">
        <f>IF(4030&lt;$U$9,MOD(4030,$U$8)+1,1)</f>
        <v/>
      </c>
      <c r="BQ4043">
        <f>IF(4030&lt;$U$9,SUMPRODUCT(($D$10:$L$10&lt;&gt;"")*(($D$9:$L$9+INT(($S$12:$AA$12+INDEX($AJ$13:$AR$162,BN4043,0)+INDEX($AT$13:$BB$162,BO4043,0)+INDEX($BD$13:$BL$162,BP4043,0))/100))&gt;=$D$10:$L$10)),0)</f>
        <v/>
      </c>
      <c r="BR4043">
        <f>IF(4030&lt;$U$9,SUMPRODUCT(($D$10:$L$10&lt;&gt;"")*(($D$10:$L$10-($D$9:$L$9+INT(($S$12:$AA$12+INDEX($AJ$13:$AR$162,BN4043,0)+INDEX($AT$13:$BB$162,BO4043,0)+INDEX($BD$13:$BL$162,BP4043,0))/100)))&gt;0)*($D$10:$L$10-($D$9:$L$9+INT(($S$12:$AA$12+INDEX($AJ$13:$AR$162,BN4043,0)+INDEX($AT$13:$BB$162,BO4043,0)+INDEX($BD$13:$BL$162,BP4043,0))/100)))),0)</f>
        <v/>
      </c>
      <c r="BS4043">
        <f>IF(4030&lt;$U$9,SUMPRODUCT(($D$9:$L$9+INT(($S$12:$AA$12+INDEX($AJ$13:$AR$162,BN4043,0)+INDEX($AT$13:$BB$162,BO4043,0)+INDEX($BD$13:$BL$162,BP4043,0))/100))),0)</f>
        <v/>
      </c>
      <c r="BT4043">
        <f>IF(AND(4030&lt;$U$9,$W$5),BQ4043*1000000-MIN(BR4043,999)*1000+BS4043-4030/100000,-1000000000-4030)</f>
        <v/>
      </c>
    </row>
    <row r="4044">
      <c r="BN4044">
        <f>IF(4031&lt;$U$9,INT(4031/($U$7*$U$8))+1,1)</f>
        <v/>
      </c>
      <c r="BO4044">
        <f>IF(4031&lt;$U$9,MOD(INT(4031/$U$8),$U$7)+1,1)</f>
        <v/>
      </c>
      <c r="BP4044">
        <f>IF(4031&lt;$U$9,MOD(4031,$U$8)+1,1)</f>
        <v/>
      </c>
      <c r="BQ4044">
        <f>IF(4031&lt;$U$9,SUMPRODUCT(($D$10:$L$10&lt;&gt;"")*(($D$9:$L$9+INT(($S$12:$AA$12+INDEX($AJ$13:$AR$162,BN4044,0)+INDEX($AT$13:$BB$162,BO4044,0)+INDEX($BD$13:$BL$162,BP4044,0))/100))&gt;=$D$10:$L$10)),0)</f>
        <v/>
      </c>
      <c r="BR4044">
        <f>IF(4031&lt;$U$9,SUMPRODUCT(($D$10:$L$10&lt;&gt;"")*(($D$10:$L$10-($D$9:$L$9+INT(($S$12:$AA$12+INDEX($AJ$13:$AR$162,BN4044,0)+INDEX($AT$13:$BB$162,BO4044,0)+INDEX($BD$13:$BL$162,BP4044,0))/100)))&gt;0)*($D$10:$L$10-($D$9:$L$9+INT(($S$12:$AA$12+INDEX($AJ$13:$AR$162,BN4044,0)+INDEX($AT$13:$BB$162,BO4044,0)+INDEX($BD$13:$BL$162,BP4044,0))/100)))),0)</f>
        <v/>
      </c>
      <c r="BS4044">
        <f>IF(4031&lt;$U$9,SUMPRODUCT(($D$9:$L$9+INT(($S$12:$AA$12+INDEX($AJ$13:$AR$162,BN4044,0)+INDEX($AT$13:$BB$162,BO4044,0)+INDEX($BD$13:$BL$162,BP4044,0))/100))),0)</f>
        <v/>
      </c>
      <c r="BT4044">
        <f>IF(AND(4031&lt;$U$9,$W$5),BQ4044*1000000-MIN(BR4044,999)*1000+BS4044-4031/100000,-1000000000-4031)</f>
        <v/>
      </c>
    </row>
    <row r="4045">
      <c r="BN4045">
        <f>IF(4032&lt;$U$9,INT(4032/($U$7*$U$8))+1,1)</f>
        <v/>
      </c>
      <c r="BO4045">
        <f>IF(4032&lt;$U$9,MOD(INT(4032/$U$8),$U$7)+1,1)</f>
        <v/>
      </c>
      <c r="BP4045">
        <f>IF(4032&lt;$U$9,MOD(4032,$U$8)+1,1)</f>
        <v/>
      </c>
      <c r="BQ4045">
        <f>IF(4032&lt;$U$9,SUMPRODUCT(($D$10:$L$10&lt;&gt;"")*(($D$9:$L$9+INT(($S$12:$AA$12+INDEX($AJ$13:$AR$162,BN4045,0)+INDEX($AT$13:$BB$162,BO4045,0)+INDEX($BD$13:$BL$162,BP4045,0))/100))&gt;=$D$10:$L$10)),0)</f>
        <v/>
      </c>
      <c r="BR4045">
        <f>IF(4032&lt;$U$9,SUMPRODUCT(($D$10:$L$10&lt;&gt;"")*(($D$10:$L$10-($D$9:$L$9+INT(($S$12:$AA$12+INDEX($AJ$13:$AR$162,BN4045,0)+INDEX($AT$13:$BB$162,BO4045,0)+INDEX($BD$13:$BL$162,BP4045,0))/100)))&gt;0)*($D$10:$L$10-($D$9:$L$9+INT(($S$12:$AA$12+INDEX($AJ$13:$AR$162,BN4045,0)+INDEX($AT$13:$BB$162,BO4045,0)+INDEX($BD$13:$BL$162,BP4045,0))/100)))),0)</f>
        <v/>
      </c>
      <c r="BS4045">
        <f>IF(4032&lt;$U$9,SUMPRODUCT(($D$9:$L$9+INT(($S$12:$AA$12+INDEX($AJ$13:$AR$162,BN4045,0)+INDEX($AT$13:$BB$162,BO4045,0)+INDEX($BD$13:$BL$162,BP4045,0))/100))),0)</f>
        <v/>
      </c>
      <c r="BT4045">
        <f>IF(AND(4032&lt;$U$9,$W$5),BQ4045*1000000-MIN(BR4045,999)*1000+BS4045-4032/100000,-1000000000-4032)</f>
        <v/>
      </c>
    </row>
    <row r="4046">
      <c r="BN4046">
        <f>IF(4033&lt;$U$9,INT(4033/($U$7*$U$8))+1,1)</f>
        <v/>
      </c>
      <c r="BO4046">
        <f>IF(4033&lt;$U$9,MOD(INT(4033/$U$8),$U$7)+1,1)</f>
        <v/>
      </c>
      <c r="BP4046">
        <f>IF(4033&lt;$U$9,MOD(4033,$U$8)+1,1)</f>
        <v/>
      </c>
      <c r="BQ4046">
        <f>IF(4033&lt;$U$9,SUMPRODUCT(($D$10:$L$10&lt;&gt;"")*(($D$9:$L$9+INT(($S$12:$AA$12+INDEX($AJ$13:$AR$162,BN4046,0)+INDEX($AT$13:$BB$162,BO4046,0)+INDEX($BD$13:$BL$162,BP4046,0))/100))&gt;=$D$10:$L$10)),0)</f>
        <v/>
      </c>
      <c r="BR4046">
        <f>IF(4033&lt;$U$9,SUMPRODUCT(($D$10:$L$10&lt;&gt;"")*(($D$10:$L$10-($D$9:$L$9+INT(($S$12:$AA$12+INDEX($AJ$13:$AR$162,BN4046,0)+INDEX($AT$13:$BB$162,BO4046,0)+INDEX($BD$13:$BL$162,BP4046,0))/100)))&gt;0)*($D$10:$L$10-($D$9:$L$9+INT(($S$12:$AA$12+INDEX($AJ$13:$AR$162,BN4046,0)+INDEX($AT$13:$BB$162,BO4046,0)+INDEX($BD$13:$BL$162,BP4046,0))/100)))),0)</f>
        <v/>
      </c>
      <c r="BS4046">
        <f>IF(4033&lt;$U$9,SUMPRODUCT(($D$9:$L$9+INT(($S$12:$AA$12+INDEX($AJ$13:$AR$162,BN4046,0)+INDEX($AT$13:$BB$162,BO4046,0)+INDEX($BD$13:$BL$162,BP4046,0))/100))),0)</f>
        <v/>
      </c>
      <c r="BT4046">
        <f>IF(AND(4033&lt;$U$9,$W$5),BQ4046*1000000-MIN(BR4046,999)*1000+BS4046-4033/100000,-1000000000-4033)</f>
        <v/>
      </c>
    </row>
    <row r="4047">
      <c r="BN4047">
        <f>IF(4034&lt;$U$9,INT(4034/($U$7*$U$8))+1,1)</f>
        <v/>
      </c>
      <c r="BO4047">
        <f>IF(4034&lt;$U$9,MOD(INT(4034/$U$8),$U$7)+1,1)</f>
        <v/>
      </c>
      <c r="BP4047">
        <f>IF(4034&lt;$U$9,MOD(4034,$U$8)+1,1)</f>
        <v/>
      </c>
      <c r="BQ4047">
        <f>IF(4034&lt;$U$9,SUMPRODUCT(($D$10:$L$10&lt;&gt;"")*(($D$9:$L$9+INT(($S$12:$AA$12+INDEX($AJ$13:$AR$162,BN4047,0)+INDEX($AT$13:$BB$162,BO4047,0)+INDEX($BD$13:$BL$162,BP4047,0))/100))&gt;=$D$10:$L$10)),0)</f>
        <v/>
      </c>
      <c r="BR4047">
        <f>IF(4034&lt;$U$9,SUMPRODUCT(($D$10:$L$10&lt;&gt;"")*(($D$10:$L$10-($D$9:$L$9+INT(($S$12:$AA$12+INDEX($AJ$13:$AR$162,BN4047,0)+INDEX($AT$13:$BB$162,BO4047,0)+INDEX($BD$13:$BL$162,BP4047,0))/100)))&gt;0)*($D$10:$L$10-($D$9:$L$9+INT(($S$12:$AA$12+INDEX($AJ$13:$AR$162,BN4047,0)+INDEX($AT$13:$BB$162,BO4047,0)+INDEX($BD$13:$BL$162,BP4047,0))/100)))),0)</f>
        <v/>
      </c>
      <c r="BS4047">
        <f>IF(4034&lt;$U$9,SUMPRODUCT(($D$9:$L$9+INT(($S$12:$AA$12+INDEX($AJ$13:$AR$162,BN4047,0)+INDEX($AT$13:$BB$162,BO4047,0)+INDEX($BD$13:$BL$162,BP4047,0))/100))),0)</f>
        <v/>
      </c>
      <c r="BT4047">
        <f>IF(AND(4034&lt;$U$9,$W$5),BQ4047*1000000-MIN(BR4047,999)*1000+BS4047-4034/100000,-1000000000-4034)</f>
        <v/>
      </c>
    </row>
    <row r="4048">
      <c r="BN4048">
        <f>IF(4035&lt;$U$9,INT(4035/($U$7*$U$8))+1,1)</f>
        <v/>
      </c>
      <c r="BO4048">
        <f>IF(4035&lt;$U$9,MOD(INT(4035/$U$8),$U$7)+1,1)</f>
        <v/>
      </c>
      <c r="BP4048">
        <f>IF(4035&lt;$U$9,MOD(4035,$U$8)+1,1)</f>
        <v/>
      </c>
      <c r="BQ4048">
        <f>IF(4035&lt;$U$9,SUMPRODUCT(($D$10:$L$10&lt;&gt;"")*(($D$9:$L$9+INT(($S$12:$AA$12+INDEX($AJ$13:$AR$162,BN4048,0)+INDEX($AT$13:$BB$162,BO4048,0)+INDEX($BD$13:$BL$162,BP4048,0))/100))&gt;=$D$10:$L$10)),0)</f>
        <v/>
      </c>
      <c r="BR4048">
        <f>IF(4035&lt;$U$9,SUMPRODUCT(($D$10:$L$10&lt;&gt;"")*(($D$10:$L$10-($D$9:$L$9+INT(($S$12:$AA$12+INDEX($AJ$13:$AR$162,BN4048,0)+INDEX($AT$13:$BB$162,BO4048,0)+INDEX($BD$13:$BL$162,BP4048,0))/100)))&gt;0)*($D$10:$L$10-($D$9:$L$9+INT(($S$12:$AA$12+INDEX($AJ$13:$AR$162,BN4048,0)+INDEX($AT$13:$BB$162,BO4048,0)+INDEX($BD$13:$BL$162,BP4048,0))/100)))),0)</f>
        <v/>
      </c>
      <c r="BS4048">
        <f>IF(4035&lt;$U$9,SUMPRODUCT(($D$9:$L$9+INT(($S$12:$AA$12+INDEX($AJ$13:$AR$162,BN4048,0)+INDEX($AT$13:$BB$162,BO4048,0)+INDEX($BD$13:$BL$162,BP4048,0))/100))),0)</f>
        <v/>
      </c>
      <c r="BT4048">
        <f>IF(AND(4035&lt;$U$9,$W$5),BQ4048*1000000-MIN(BR4048,999)*1000+BS4048-4035/100000,-1000000000-4035)</f>
        <v/>
      </c>
    </row>
    <row r="4049">
      <c r="BN4049">
        <f>IF(4036&lt;$U$9,INT(4036/($U$7*$U$8))+1,1)</f>
        <v/>
      </c>
      <c r="BO4049">
        <f>IF(4036&lt;$U$9,MOD(INT(4036/$U$8),$U$7)+1,1)</f>
        <v/>
      </c>
      <c r="BP4049">
        <f>IF(4036&lt;$U$9,MOD(4036,$U$8)+1,1)</f>
        <v/>
      </c>
      <c r="BQ4049">
        <f>IF(4036&lt;$U$9,SUMPRODUCT(($D$10:$L$10&lt;&gt;"")*(($D$9:$L$9+INT(($S$12:$AA$12+INDEX($AJ$13:$AR$162,BN4049,0)+INDEX($AT$13:$BB$162,BO4049,0)+INDEX($BD$13:$BL$162,BP4049,0))/100))&gt;=$D$10:$L$10)),0)</f>
        <v/>
      </c>
      <c r="BR4049">
        <f>IF(4036&lt;$U$9,SUMPRODUCT(($D$10:$L$10&lt;&gt;"")*(($D$10:$L$10-($D$9:$L$9+INT(($S$12:$AA$12+INDEX($AJ$13:$AR$162,BN4049,0)+INDEX($AT$13:$BB$162,BO4049,0)+INDEX($BD$13:$BL$162,BP4049,0))/100)))&gt;0)*($D$10:$L$10-($D$9:$L$9+INT(($S$12:$AA$12+INDEX($AJ$13:$AR$162,BN4049,0)+INDEX($AT$13:$BB$162,BO4049,0)+INDEX($BD$13:$BL$162,BP4049,0))/100)))),0)</f>
        <v/>
      </c>
      <c r="BS4049">
        <f>IF(4036&lt;$U$9,SUMPRODUCT(($D$9:$L$9+INT(($S$12:$AA$12+INDEX($AJ$13:$AR$162,BN4049,0)+INDEX($AT$13:$BB$162,BO4049,0)+INDEX($BD$13:$BL$162,BP4049,0))/100))),0)</f>
        <v/>
      </c>
      <c r="BT4049">
        <f>IF(AND(4036&lt;$U$9,$W$5),BQ4049*1000000-MIN(BR4049,999)*1000+BS4049-4036/100000,-1000000000-4036)</f>
        <v/>
      </c>
    </row>
    <row r="4050">
      <c r="BN4050">
        <f>IF(4037&lt;$U$9,INT(4037/($U$7*$U$8))+1,1)</f>
        <v/>
      </c>
      <c r="BO4050">
        <f>IF(4037&lt;$U$9,MOD(INT(4037/$U$8),$U$7)+1,1)</f>
        <v/>
      </c>
      <c r="BP4050">
        <f>IF(4037&lt;$U$9,MOD(4037,$U$8)+1,1)</f>
        <v/>
      </c>
      <c r="BQ4050">
        <f>IF(4037&lt;$U$9,SUMPRODUCT(($D$10:$L$10&lt;&gt;"")*(($D$9:$L$9+INT(($S$12:$AA$12+INDEX($AJ$13:$AR$162,BN4050,0)+INDEX($AT$13:$BB$162,BO4050,0)+INDEX($BD$13:$BL$162,BP4050,0))/100))&gt;=$D$10:$L$10)),0)</f>
        <v/>
      </c>
      <c r="BR4050">
        <f>IF(4037&lt;$U$9,SUMPRODUCT(($D$10:$L$10&lt;&gt;"")*(($D$10:$L$10-($D$9:$L$9+INT(($S$12:$AA$12+INDEX($AJ$13:$AR$162,BN4050,0)+INDEX($AT$13:$BB$162,BO4050,0)+INDEX($BD$13:$BL$162,BP4050,0))/100)))&gt;0)*($D$10:$L$10-($D$9:$L$9+INT(($S$12:$AA$12+INDEX($AJ$13:$AR$162,BN4050,0)+INDEX($AT$13:$BB$162,BO4050,0)+INDEX($BD$13:$BL$162,BP4050,0))/100)))),0)</f>
        <v/>
      </c>
      <c r="BS4050">
        <f>IF(4037&lt;$U$9,SUMPRODUCT(($D$9:$L$9+INT(($S$12:$AA$12+INDEX($AJ$13:$AR$162,BN4050,0)+INDEX($AT$13:$BB$162,BO4050,0)+INDEX($BD$13:$BL$162,BP4050,0))/100))),0)</f>
        <v/>
      </c>
      <c r="BT4050">
        <f>IF(AND(4037&lt;$U$9,$W$5),BQ4050*1000000-MIN(BR4050,999)*1000+BS4050-4037/100000,-1000000000-4037)</f>
        <v/>
      </c>
    </row>
    <row r="4051">
      <c r="BN4051">
        <f>IF(4038&lt;$U$9,INT(4038/($U$7*$U$8))+1,1)</f>
        <v/>
      </c>
      <c r="BO4051">
        <f>IF(4038&lt;$U$9,MOD(INT(4038/$U$8),$U$7)+1,1)</f>
        <v/>
      </c>
      <c r="BP4051">
        <f>IF(4038&lt;$U$9,MOD(4038,$U$8)+1,1)</f>
        <v/>
      </c>
      <c r="BQ4051">
        <f>IF(4038&lt;$U$9,SUMPRODUCT(($D$10:$L$10&lt;&gt;"")*(($D$9:$L$9+INT(($S$12:$AA$12+INDEX($AJ$13:$AR$162,BN4051,0)+INDEX($AT$13:$BB$162,BO4051,0)+INDEX($BD$13:$BL$162,BP4051,0))/100))&gt;=$D$10:$L$10)),0)</f>
        <v/>
      </c>
      <c r="BR4051">
        <f>IF(4038&lt;$U$9,SUMPRODUCT(($D$10:$L$10&lt;&gt;"")*(($D$10:$L$10-($D$9:$L$9+INT(($S$12:$AA$12+INDEX($AJ$13:$AR$162,BN4051,0)+INDEX($AT$13:$BB$162,BO4051,0)+INDEX($BD$13:$BL$162,BP4051,0))/100)))&gt;0)*($D$10:$L$10-($D$9:$L$9+INT(($S$12:$AA$12+INDEX($AJ$13:$AR$162,BN4051,0)+INDEX($AT$13:$BB$162,BO4051,0)+INDEX($BD$13:$BL$162,BP4051,0))/100)))),0)</f>
        <v/>
      </c>
      <c r="BS4051">
        <f>IF(4038&lt;$U$9,SUMPRODUCT(($D$9:$L$9+INT(($S$12:$AA$12+INDEX($AJ$13:$AR$162,BN4051,0)+INDEX($AT$13:$BB$162,BO4051,0)+INDEX($BD$13:$BL$162,BP4051,0))/100))),0)</f>
        <v/>
      </c>
      <c r="BT4051">
        <f>IF(AND(4038&lt;$U$9,$W$5),BQ4051*1000000-MIN(BR4051,999)*1000+BS4051-4038/100000,-1000000000-4038)</f>
        <v/>
      </c>
    </row>
    <row r="4052">
      <c r="BN4052">
        <f>IF(4039&lt;$U$9,INT(4039/($U$7*$U$8))+1,1)</f>
        <v/>
      </c>
      <c r="BO4052">
        <f>IF(4039&lt;$U$9,MOD(INT(4039/$U$8),$U$7)+1,1)</f>
        <v/>
      </c>
      <c r="BP4052">
        <f>IF(4039&lt;$U$9,MOD(4039,$U$8)+1,1)</f>
        <v/>
      </c>
      <c r="BQ4052">
        <f>IF(4039&lt;$U$9,SUMPRODUCT(($D$10:$L$10&lt;&gt;"")*(($D$9:$L$9+INT(($S$12:$AA$12+INDEX($AJ$13:$AR$162,BN4052,0)+INDEX($AT$13:$BB$162,BO4052,0)+INDEX($BD$13:$BL$162,BP4052,0))/100))&gt;=$D$10:$L$10)),0)</f>
        <v/>
      </c>
      <c r="BR4052">
        <f>IF(4039&lt;$U$9,SUMPRODUCT(($D$10:$L$10&lt;&gt;"")*(($D$10:$L$10-($D$9:$L$9+INT(($S$12:$AA$12+INDEX($AJ$13:$AR$162,BN4052,0)+INDEX($AT$13:$BB$162,BO4052,0)+INDEX($BD$13:$BL$162,BP4052,0))/100)))&gt;0)*($D$10:$L$10-($D$9:$L$9+INT(($S$12:$AA$12+INDEX($AJ$13:$AR$162,BN4052,0)+INDEX($AT$13:$BB$162,BO4052,0)+INDEX($BD$13:$BL$162,BP4052,0))/100)))),0)</f>
        <v/>
      </c>
      <c r="BS4052">
        <f>IF(4039&lt;$U$9,SUMPRODUCT(($D$9:$L$9+INT(($S$12:$AA$12+INDEX($AJ$13:$AR$162,BN4052,0)+INDEX($AT$13:$BB$162,BO4052,0)+INDEX($BD$13:$BL$162,BP4052,0))/100))),0)</f>
        <v/>
      </c>
      <c r="BT4052">
        <f>IF(AND(4039&lt;$U$9,$W$5),BQ4052*1000000-MIN(BR4052,999)*1000+BS4052-4039/100000,-1000000000-4039)</f>
        <v/>
      </c>
    </row>
    <row r="4053">
      <c r="BN4053">
        <f>IF(4040&lt;$U$9,INT(4040/($U$7*$U$8))+1,1)</f>
        <v/>
      </c>
      <c r="BO4053">
        <f>IF(4040&lt;$U$9,MOD(INT(4040/$U$8),$U$7)+1,1)</f>
        <v/>
      </c>
      <c r="BP4053">
        <f>IF(4040&lt;$U$9,MOD(4040,$U$8)+1,1)</f>
        <v/>
      </c>
      <c r="BQ4053">
        <f>IF(4040&lt;$U$9,SUMPRODUCT(($D$10:$L$10&lt;&gt;"")*(($D$9:$L$9+INT(($S$12:$AA$12+INDEX($AJ$13:$AR$162,BN4053,0)+INDEX($AT$13:$BB$162,BO4053,0)+INDEX($BD$13:$BL$162,BP4053,0))/100))&gt;=$D$10:$L$10)),0)</f>
        <v/>
      </c>
      <c r="BR4053">
        <f>IF(4040&lt;$U$9,SUMPRODUCT(($D$10:$L$10&lt;&gt;"")*(($D$10:$L$10-($D$9:$L$9+INT(($S$12:$AA$12+INDEX($AJ$13:$AR$162,BN4053,0)+INDEX($AT$13:$BB$162,BO4053,0)+INDEX($BD$13:$BL$162,BP4053,0))/100)))&gt;0)*($D$10:$L$10-($D$9:$L$9+INT(($S$12:$AA$12+INDEX($AJ$13:$AR$162,BN4053,0)+INDEX($AT$13:$BB$162,BO4053,0)+INDEX($BD$13:$BL$162,BP4053,0))/100)))),0)</f>
        <v/>
      </c>
      <c r="BS4053">
        <f>IF(4040&lt;$U$9,SUMPRODUCT(($D$9:$L$9+INT(($S$12:$AA$12+INDEX($AJ$13:$AR$162,BN4053,0)+INDEX($AT$13:$BB$162,BO4053,0)+INDEX($BD$13:$BL$162,BP4053,0))/100))),0)</f>
        <v/>
      </c>
      <c r="BT4053">
        <f>IF(AND(4040&lt;$U$9,$W$5),BQ4053*1000000-MIN(BR4053,999)*1000+BS4053-4040/100000,-1000000000-4040)</f>
        <v/>
      </c>
    </row>
    <row r="4054">
      <c r="BN4054">
        <f>IF(4041&lt;$U$9,INT(4041/($U$7*$U$8))+1,1)</f>
        <v/>
      </c>
      <c r="BO4054">
        <f>IF(4041&lt;$U$9,MOD(INT(4041/$U$8),$U$7)+1,1)</f>
        <v/>
      </c>
      <c r="BP4054">
        <f>IF(4041&lt;$U$9,MOD(4041,$U$8)+1,1)</f>
        <v/>
      </c>
      <c r="BQ4054">
        <f>IF(4041&lt;$U$9,SUMPRODUCT(($D$10:$L$10&lt;&gt;"")*(($D$9:$L$9+INT(($S$12:$AA$12+INDEX($AJ$13:$AR$162,BN4054,0)+INDEX($AT$13:$BB$162,BO4054,0)+INDEX($BD$13:$BL$162,BP4054,0))/100))&gt;=$D$10:$L$10)),0)</f>
        <v/>
      </c>
      <c r="BR4054">
        <f>IF(4041&lt;$U$9,SUMPRODUCT(($D$10:$L$10&lt;&gt;"")*(($D$10:$L$10-($D$9:$L$9+INT(($S$12:$AA$12+INDEX($AJ$13:$AR$162,BN4054,0)+INDEX($AT$13:$BB$162,BO4054,0)+INDEX($BD$13:$BL$162,BP4054,0))/100)))&gt;0)*($D$10:$L$10-($D$9:$L$9+INT(($S$12:$AA$12+INDEX($AJ$13:$AR$162,BN4054,0)+INDEX($AT$13:$BB$162,BO4054,0)+INDEX($BD$13:$BL$162,BP4054,0))/100)))),0)</f>
        <v/>
      </c>
      <c r="BS4054">
        <f>IF(4041&lt;$U$9,SUMPRODUCT(($D$9:$L$9+INT(($S$12:$AA$12+INDEX($AJ$13:$AR$162,BN4054,0)+INDEX($AT$13:$BB$162,BO4054,0)+INDEX($BD$13:$BL$162,BP4054,0))/100))),0)</f>
        <v/>
      </c>
      <c r="BT4054">
        <f>IF(AND(4041&lt;$U$9,$W$5),BQ4054*1000000-MIN(BR4054,999)*1000+BS4054-4041/100000,-1000000000-4041)</f>
        <v/>
      </c>
    </row>
    <row r="4055">
      <c r="BN4055">
        <f>IF(4042&lt;$U$9,INT(4042/($U$7*$U$8))+1,1)</f>
        <v/>
      </c>
      <c r="BO4055">
        <f>IF(4042&lt;$U$9,MOD(INT(4042/$U$8),$U$7)+1,1)</f>
        <v/>
      </c>
      <c r="BP4055">
        <f>IF(4042&lt;$U$9,MOD(4042,$U$8)+1,1)</f>
        <v/>
      </c>
      <c r="BQ4055">
        <f>IF(4042&lt;$U$9,SUMPRODUCT(($D$10:$L$10&lt;&gt;"")*(($D$9:$L$9+INT(($S$12:$AA$12+INDEX($AJ$13:$AR$162,BN4055,0)+INDEX($AT$13:$BB$162,BO4055,0)+INDEX($BD$13:$BL$162,BP4055,0))/100))&gt;=$D$10:$L$10)),0)</f>
        <v/>
      </c>
      <c r="BR4055">
        <f>IF(4042&lt;$U$9,SUMPRODUCT(($D$10:$L$10&lt;&gt;"")*(($D$10:$L$10-($D$9:$L$9+INT(($S$12:$AA$12+INDEX($AJ$13:$AR$162,BN4055,0)+INDEX($AT$13:$BB$162,BO4055,0)+INDEX($BD$13:$BL$162,BP4055,0))/100)))&gt;0)*($D$10:$L$10-($D$9:$L$9+INT(($S$12:$AA$12+INDEX($AJ$13:$AR$162,BN4055,0)+INDEX($AT$13:$BB$162,BO4055,0)+INDEX($BD$13:$BL$162,BP4055,0))/100)))),0)</f>
        <v/>
      </c>
      <c r="BS4055">
        <f>IF(4042&lt;$U$9,SUMPRODUCT(($D$9:$L$9+INT(($S$12:$AA$12+INDEX($AJ$13:$AR$162,BN4055,0)+INDEX($AT$13:$BB$162,BO4055,0)+INDEX($BD$13:$BL$162,BP4055,0))/100))),0)</f>
        <v/>
      </c>
      <c r="BT4055">
        <f>IF(AND(4042&lt;$U$9,$W$5),BQ4055*1000000-MIN(BR4055,999)*1000+BS4055-4042/100000,-1000000000-4042)</f>
        <v/>
      </c>
    </row>
    <row r="4056">
      <c r="BN4056">
        <f>IF(4043&lt;$U$9,INT(4043/($U$7*$U$8))+1,1)</f>
        <v/>
      </c>
      <c r="BO4056">
        <f>IF(4043&lt;$U$9,MOD(INT(4043/$U$8),$U$7)+1,1)</f>
        <v/>
      </c>
      <c r="BP4056">
        <f>IF(4043&lt;$U$9,MOD(4043,$U$8)+1,1)</f>
        <v/>
      </c>
      <c r="BQ4056">
        <f>IF(4043&lt;$U$9,SUMPRODUCT(($D$10:$L$10&lt;&gt;"")*(($D$9:$L$9+INT(($S$12:$AA$12+INDEX($AJ$13:$AR$162,BN4056,0)+INDEX($AT$13:$BB$162,BO4056,0)+INDEX($BD$13:$BL$162,BP4056,0))/100))&gt;=$D$10:$L$10)),0)</f>
        <v/>
      </c>
      <c r="BR4056">
        <f>IF(4043&lt;$U$9,SUMPRODUCT(($D$10:$L$10&lt;&gt;"")*(($D$10:$L$10-($D$9:$L$9+INT(($S$12:$AA$12+INDEX($AJ$13:$AR$162,BN4056,0)+INDEX($AT$13:$BB$162,BO4056,0)+INDEX($BD$13:$BL$162,BP4056,0))/100)))&gt;0)*($D$10:$L$10-($D$9:$L$9+INT(($S$12:$AA$12+INDEX($AJ$13:$AR$162,BN4056,0)+INDEX($AT$13:$BB$162,BO4056,0)+INDEX($BD$13:$BL$162,BP4056,0))/100)))),0)</f>
        <v/>
      </c>
      <c r="BS4056">
        <f>IF(4043&lt;$U$9,SUMPRODUCT(($D$9:$L$9+INT(($S$12:$AA$12+INDEX($AJ$13:$AR$162,BN4056,0)+INDEX($AT$13:$BB$162,BO4056,0)+INDEX($BD$13:$BL$162,BP4056,0))/100))),0)</f>
        <v/>
      </c>
      <c r="BT4056">
        <f>IF(AND(4043&lt;$U$9,$W$5),BQ4056*1000000-MIN(BR4056,999)*1000+BS4056-4043/100000,-1000000000-4043)</f>
        <v/>
      </c>
    </row>
    <row r="4057">
      <c r="BN4057">
        <f>IF(4044&lt;$U$9,INT(4044/($U$7*$U$8))+1,1)</f>
        <v/>
      </c>
      <c r="BO4057">
        <f>IF(4044&lt;$U$9,MOD(INT(4044/$U$8),$U$7)+1,1)</f>
        <v/>
      </c>
      <c r="BP4057">
        <f>IF(4044&lt;$U$9,MOD(4044,$U$8)+1,1)</f>
        <v/>
      </c>
      <c r="BQ4057">
        <f>IF(4044&lt;$U$9,SUMPRODUCT(($D$10:$L$10&lt;&gt;"")*(($D$9:$L$9+INT(($S$12:$AA$12+INDEX($AJ$13:$AR$162,BN4057,0)+INDEX($AT$13:$BB$162,BO4057,0)+INDEX($BD$13:$BL$162,BP4057,0))/100))&gt;=$D$10:$L$10)),0)</f>
        <v/>
      </c>
      <c r="BR4057">
        <f>IF(4044&lt;$U$9,SUMPRODUCT(($D$10:$L$10&lt;&gt;"")*(($D$10:$L$10-($D$9:$L$9+INT(($S$12:$AA$12+INDEX($AJ$13:$AR$162,BN4057,0)+INDEX($AT$13:$BB$162,BO4057,0)+INDEX($BD$13:$BL$162,BP4057,0))/100)))&gt;0)*($D$10:$L$10-($D$9:$L$9+INT(($S$12:$AA$12+INDEX($AJ$13:$AR$162,BN4057,0)+INDEX($AT$13:$BB$162,BO4057,0)+INDEX($BD$13:$BL$162,BP4057,0))/100)))),0)</f>
        <v/>
      </c>
      <c r="BS4057">
        <f>IF(4044&lt;$U$9,SUMPRODUCT(($D$9:$L$9+INT(($S$12:$AA$12+INDEX($AJ$13:$AR$162,BN4057,0)+INDEX($AT$13:$BB$162,BO4057,0)+INDEX($BD$13:$BL$162,BP4057,0))/100))),0)</f>
        <v/>
      </c>
      <c r="BT4057">
        <f>IF(AND(4044&lt;$U$9,$W$5),BQ4057*1000000-MIN(BR4057,999)*1000+BS4057-4044/100000,-1000000000-4044)</f>
        <v/>
      </c>
    </row>
    <row r="4058">
      <c r="BN4058">
        <f>IF(4045&lt;$U$9,INT(4045/($U$7*$U$8))+1,1)</f>
        <v/>
      </c>
      <c r="BO4058">
        <f>IF(4045&lt;$U$9,MOD(INT(4045/$U$8),$U$7)+1,1)</f>
        <v/>
      </c>
      <c r="BP4058">
        <f>IF(4045&lt;$U$9,MOD(4045,$U$8)+1,1)</f>
        <v/>
      </c>
      <c r="BQ4058">
        <f>IF(4045&lt;$U$9,SUMPRODUCT(($D$10:$L$10&lt;&gt;"")*(($D$9:$L$9+INT(($S$12:$AA$12+INDEX($AJ$13:$AR$162,BN4058,0)+INDEX($AT$13:$BB$162,BO4058,0)+INDEX($BD$13:$BL$162,BP4058,0))/100))&gt;=$D$10:$L$10)),0)</f>
        <v/>
      </c>
      <c r="BR4058">
        <f>IF(4045&lt;$U$9,SUMPRODUCT(($D$10:$L$10&lt;&gt;"")*(($D$10:$L$10-($D$9:$L$9+INT(($S$12:$AA$12+INDEX($AJ$13:$AR$162,BN4058,0)+INDEX($AT$13:$BB$162,BO4058,0)+INDEX($BD$13:$BL$162,BP4058,0))/100)))&gt;0)*($D$10:$L$10-($D$9:$L$9+INT(($S$12:$AA$12+INDEX($AJ$13:$AR$162,BN4058,0)+INDEX($AT$13:$BB$162,BO4058,0)+INDEX($BD$13:$BL$162,BP4058,0))/100)))),0)</f>
        <v/>
      </c>
      <c r="BS4058">
        <f>IF(4045&lt;$U$9,SUMPRODUCT(($D$9:$L$9+INT(($S$12:$AA$12+INDEX($AJ$13:$AR$162,BN4058,0)+INDEX($AT$13:$BB$162,BO4058,0)+INDEX($BD$13:$BL$162,BP4058,0))/100))),0)</f>
        <v/>
      </c>
      <c r="BT4058">
        <f>IF(AND(4045&lt;$U$9,$W$5),BQ4058*1000000-MIN(BR4058,999)*1000+BS4058-4045/100000,-1000000000-4045)</f>
        <v/>
      </c>
    </row>
    <row r="4059">
      <c r="BN4059">
        <f>IF(4046&lt;$U$9,INT(4046/($U$7*$U$8))+1,1)</f>
        <v/>
      </c>
      <c r="BO4059">
        <f>IF(4046&lt;$U$9,MOD(INT(4046/$U$8),$U$7)+1,1)</f>
        <v/>
      </c>
      <c r="BP4059">
        <f>IF(4046&lt;$U$9,MOD(4046,$U$8)+1,1)</f>
        <v/>
      </c>
      <c r="BQ4059">
        <f>IF(4046&lt;$U$9,SUMPRODUCT(($D$10:$L$10&lt;&gt;"")*(($D$9:$L$9+INT(($S$12:$AA$12+INDEX($AJ$13:$AR$162,BN4059,0)+INDEX($AT$13:$BB$162,BO4059,0)+INDEX($BD$13:$BL$162,BP4059,0))/100))&gt;=$D$10:$L$10)),0)</f>
        <v/>
      </c>
      <c r="BR4059">
        <f>IF(4046&lt;$U$9,SUMPRODUCT(($D$10:$L$10&lt;&gt;"")*(($D$10:$L$10-($D$9:$L$9+INT(($S$12:$AA$12+INDEX($AJ$13:$AR$162,BN4059,0)+INDEX($AT$13:$BB$162,BO4059,0)+INDEX($BD$13:$BL$162,BP4059,0))/100)))&gt;0)*($D$10:$L$10-($D$9:$L$9+INT(($S$12:$AA$12+INDEX($AJ$13:$AR$162,BN4059,0)+INDEX($AT$13:$BB$162,BO4059,0)+INDEX($BD$13:$BL$162,BP4059,0))/100)))),0)</f>
        <v/>
      </c>
      <c r="BS4059">
        <f>IF(4046&lt;$U$9,SUMPRODUCT(($D$9:$L$9+INT(($S$12:$AA$12+INDEX($AJ$13:$AR$162,BN4059,0)+INDEX($AT$13:$BB$162,BO4059,0)+INDEX($BD$13:$BL$162,BP4059,0))/100))),0)</f>
        <v/>
      </c>
      <c r="BT4059">
        <f>IF(AND(4046&lt;$U$9,$W$5),BQ4059*1000000-MIN(BR4059,999)*1000+BS4059-4046/100000,-1000000000-4046)</f>
        <v/>
      </c>
    </row>
    <row r="4060">
      <c r="BN4060">
        <f>IF(4047&lt;$U$9,INT(4047/($U$7*$U$8))+1,1)</f>
        <v/>
      </c>
      <c r="BO4060">
        <f>IF(4047&lt;$U$9,MOD(INT(4047/$U$8),$U$7)+1,1)</f>
        <v/>
      </c>
      <c r="BP4060">
        <f>IF(4047&lt;$U$9,MOD(4047,$U$8)+1,1)</f>
        <v/>
      </c>
      <c r="BQ4060">
        <f>IF(4047&lt;$U$9,SUMPRODUCT(($D$10:$L$10&lt;&gt;"")*(($D$9:$L$9+INT(($S$12:$AA$12+INDEX($AJ$13:$AR$162,BN4060,0)+INDEX($AT$13:$BB$162,BO4060,0)+INDEX($BD$13:$BL$162,BP4060,0))/100))&gt;=$D$10:$L$10)),0)</f>
        <v/>
      </c>
      <c r="BR4060">
        <f>IF(4047&lt;$U$9,SUMPRODUCT(($D$10:$L$10&lt;&gt;"")*(($D$10:$L$10-($D$9:$L$9+INT(($S$12:$AA$12+INDEX($AJ$13:$AR$162,BN4060,0)+INDEX($AT$13:$BB$162,BO4060,0)+INDEX($BD$13:$BL$162,BP4060,0))/100)))&gt;0)*($D$10:$L$10-($D$9:$L$9+INT(($S$12:$AA$12+INDEX($AJ$13:$AR$162,BN4060,0)+INDEX($AT$13:$BB$162,BO4060,0)+INDEX($BD$13:$BL$162,BP4060,0))/100)))),0)</f>
        <v/>
      </c>
      <c r="BS4060">
        <f>IF(4047&lt;$U$9,SUMPRODUCT(($D$9:$L$9+INT(($S$12:$AA$12+INDEX($AJ$13:$AR$162,BN4060,0)+INDEX($AT$13:$BB$162,BO4060,0)+INDEX($BD$13:$BL$162,BP4060,0))/100))),0)</f>
        <v/>
      </c>
      <c r="BT4060">
        <f>IF(AND(4047&lt;$U$9,$W$5),BQ4060*1000000-MIN(BR4060,999)*1000+BS4060-4047/100000,-1000000000-4047)</f>
        <v/>
      </c>
    </row>
    <row r="4061">
      <c r="BN4061">
        <f>IF(4048&lt;$U$9,INT(4048/($U$7*$U$8))+1,1)</f>
        <v/>
      </c>
      <c r="BO4061">
        <f>IF(4048&lt;$U$9,MOD(INT(4048/$U$8),$U$7)+1,1)</f>
        <v/>
      </c>
      <c r="BP4061">
        <f>IF(4048&lt;$U$9,MOD(4048,$U$8)+1,1)</f>
        <v/>
      </c>
      <c r="BQ4061">
        <f>IF(4048&lt;$U$9,SUMPRODUCT(($D$10:$L$10&lt;&gt;"")*(($D$9:$L$9+INT(($S$12:$AA$12+INDEX($AJ$13:$AR$162,BN4061,0)+INDEX($AT$13:$BB$162,BO4061,0)+INDEX($BD$13:$BL$162,BP4061,0))/100))&gt;=$D$10:$L$10)),0)</f>
        <v/>
      </c>
      <c r="BR4061">
        <f>IF(4048&lt;$U$9,SUMPRODUCT(($D$10:$L$10&lt;&gt;"")*(($D$10:$L$10-($D$9:$L$9+INT(($S$12:$AA$12+INDEX($AJ$13:$AR$162,BN4061,0)+INDEX($AT$13:$BB$162,BO4061,0)+INDEX($BD$13:$BL$162,BP4061,0))/100)))&gt;0)*($D$10:$L$10-($D$9:$L$9+INT(($S$12:$AA$12+INDEX($AJ$13:$AR$162,BN4061,0)+INDEX($AT$13:$BB$162,BO4061,0)+INDEX($BD$13:$BL$162,BP4061,0))/100)))),0)</f>
        <v/>
      </c>
      <c r="BS4061">
        <f>IF(4048&lt;$U$9,SUMPRODUCT(($D$9:$L$9+INT(($S$12:$AA$12+INDEX($AJ$13:$AR$162,BN4061,0)+INDEX($AT$13:$BB$162,BO4061,0)+INDEX($BD$13:$BL$162,BP4061,0))/100))),0)</f>
        <v/>
      </c>
      <c r="BT4061">
        <f>IF(AND(4048&lt;$U$9,$W$5),BQ4061*1000000-MIN(BR4061,999)*1000+BS4061-4048/100000,-1000000000-4048)</f>
        <v/>
      </c>
    </row>
    <row r="4062">
      <c r="BN4062">
        <f>IF(4049&lt;$U$9,INT(4049/($U$7*$U$8))+1,1)</f>
        <v/>
      </c>
      <c r="BO4062">
        <f>IF(4049&lt;$U$9,MOD(INT(4049/$U$8),$U$7)+1,1)</f>
        <v/>
      </c>
      <c r="BP4062">
        <f>IF(4049&lt;$U$9,MOD(4049,$U$8)+1,1)</f>
        <v/>
      </c>
      <c r="BQ4062">
        <f>IF(4049&lt;$U$9,SUMPRODUCT(($D$10:$L$10&lt;&gt;"")*(($D$9:$L$9+INT(($S$12:$AA$12+INDEX($AJ$13:$AR$162,BN4062,0)+INDEX($AT$13:$BB$162,BO4062,0)+INDEX($BD$13:$BL$162,BP4062,0))/100))&gt;=$D$10:$L$10)),0)</f>
        <v/>
      </c>
      <c r="BR4062">
        <f>IF(4049&lt;$U$9,SUMPRODUCT(($D$10:$L$10&lt;&gt;"")*(($D$10:$L$10-($D$9:$L$9+INT(($S$12:$AA$12+INDEX($AJ$13:$AR$162,BN4062,0)+INDEX($AT$13:$BB$162,BO4062,0)+INDEX($BD$13:$BL$162,BP4062,0))/100)))&gt;0)*($D$10:$L$10-($D$9:$L$9+INT(($S$12:$AA$12+INDEX($AJ$13:$AR$162,BN4062,0)+INDEX($AT$13:$BB$162,BO4062,0)+INDEX($BD$13:$BL$162,BP4062,0))/100)))),0)</f>
        <v/>
      </c>
      <c r="BS4062">
        <f>IF(4049&lt;$U$9,SUMPRODUCT(($D$9:$L$9+INT(($S$12:$AA$12+INDEX($AJ$13:$AR$162,BN4062,0)+INDEX($AT$13:$BB$162,BO4062,0)+INDEX($BD$13:$BL$162,BP4062,0))/100))),0)</f>
        <v/>
      </c>
      <c r="BT4062">
        <f>IF(AND(4049&lt;$U$9,$W$5),BQ4062*1000000-MIN(BR4062,999)*1000+BS4062-4049/100000,-1000000000-4049)</f>
        <v/>
      </c>
    </row>
    <row r="4063">
      <c r="BN4063">
        <f>IF(4050&lt;$U$9,INT(4050/($U$7*$U$8))+1,1)</f>
        <v/>
      </c>
      <c r="BO4063">
        <f>IF(4050&lt;$U$9,MOD(INT(4050/$U$8),$U$7)+1,1)</f>
        <v/>
      </c>
      <c r="BP4063">
        <f>IF(4050&lt;$U$9,MOD(4050,$U$8)+1,1)</f>
        <v/>
      </c>
      <c r="BQ4063">
        <f>IF(4050&lt;$U$9,SUMPRODUCT(($D$10:$L$10&lt;&gt;"")*(($D$9:$L$9+INT(($S$12:$AA$12+INDEX($AJ$13:$AR$162,BN4063,0)+INDEX($AT$13:$BB$162,BO4063,0)+INDEX($BD$13:$BL$162,BP4063,0))/100))&gt;=$D$10:$L$10)),0)</f>
        <v/>
      </c>
      <c r="BR4063">
        <f>IF(4050&lt;$U$9,SUMPRODUCT(($D$10:$L$10&lt;&gt;"")*(($D$10:$L$10-($D$9:$L$9+INT(($S$12:$AA$12+INDEX($AJ$13:$AR$162,BN4063,0)+INDEX($AT$13:$BB$162,BO4063,0)+INDEX($BD$13:$BL$162,BP4063,0))/100)))&gt;0)*($D$10:$L$10-($D$9:$L$9+INT(($S$12:$AA$12+INDEX($AJ$13:$AR$162,BN4063,0)+INDEX($AT$13:$BB$162,BO4063,0)+INDEX($BD$13:$BL$162,BP4063,0))/100)))),0)</f>
        <v/>
      </c>
      <c r="BS4063">
        <f>IF(4050&lt;$U$9,SUMPRODUCT(($D$9:$L$9+INT(($S$12:$AA$12+INDEX($AJ$13:$AR$162,BN4063,0)+INDEX($AT$13:$BB$162,BO4063,0)+INDEX($BD$13:$BL$162,BP4063,0))/100))),0)</f>
        <v/>
      </c>
      <c r="BT4063">
        <f>IF(AND(4050&lt;$U$9,$W$5),BQ4063*1000000-MIN(BR4063,999)*1000+BS4063-4050/100000,-1000000000-4050)</f>
        <v/>
      </c>
    </row>
    <row r="4064">
      <c r="BN4064">
        <f>IF(4051&lt;$U$9,INT(4051/($U$7*$U$8))+1,1)</f>
        <v/>
      </c>
      <c r="BO4064">
        <f>IF(4051&lt;$U$9,MOD(INT(4051/$U$8),$U$7)+1,1)</f>
        <v/>
      </c>
      <c r="BP4064">
        <f>IF(4051&lt;$U$9,MOD(4051,$U$8)+1,1)</f>
        <v/>
      </c>
      <c r="BQ4064">
        <f>IF(4051&lt;$U$9,SUMPRODUCT(($D$10:$L$10&lt;&gt;"")*(($D$9:$L$9+INT(($S$12:$AA$12+INDEX($AJ$13:$AR$162,BN4064,0)+INDEX($AT$13:$BB$162,BO4064,0)+INDEX($BD$13:$BL$162,BP4064,0))/100))&gt;=$D$10:$L$10)),0)</f>
        <v/>
      </c>
      <c r="BR4064">
        <f>IF(4051&lt;$U$9,SUMPRODUCT(($D$10:$L$10&lt;&gt;"")*(($D$10:$L$10-($D$9:$L$9+INT(($S$12:$AA$12+INDEX($AJ$13:$AR$162,BN4064,0)+INDEX($AT$13:$BB$162,BO4064,0)+INDEX($BD$13:$BL$162,BP4064,0))/100)))&gt;0)*($D$10:$L$10-($D$9:$L$9+INT(($S$12:$AA$12+INDEX($AJ$13:$AR$162,BN4064,0)+INDEX($AT$13:$BB$162,BO4064,0)+INDEX($BD$13:$BL$162,BP4064,0))/100)))),0)</f>
        <v/>
      </c>
      <c r="BS4064">
        <f>IF(4051&lt;$U$9,SUMPRODUCT(($D$9:$L$9+INT(($S$12:$AA$12+INDEX($AJ$13:$AR$162,BN4064,0)+INDEX($AT$13:$BB$162,BO4064,0)+INDEX($BD$13:$BL$162,BP4064,0))/100))),0)</f>
        <v/>
      </c>
      <c r="BT4064">
        <f>IF(AND(4051&lt;$U$9,$W$5),BQ4064*1000000-MIN(BR4064,999)*1000+BS4064-4051/100000,-1000000000-4051)</f>
        <v/>
      </c>
    </row>
    <row r="4065">
      <c r="BN4065">
        <f>IF(4052&lt;$U$9,INT(4052/($U$7*$U$8))+1,1)</f>
        <v/>
      </c>
      <c r="BO4065">
        <f>IF(4052&lt;$U$9,MOD(INT(4052/$U$8),$U$7)+1,1)</f>
        <v/>
      </c>
      <c r="BP4065">
        <f>IF(4052&lt;$U$9,MOD(4052,$U$8)+1,1)</f>
        <v/>
      </c>
      <c r="BQ4065">
        <f>IF(4052&lt;$U$9,SUMPRODUCT(($D$10:$L$10&lt;&gt;"")*(($D$9:$L$9+INT(($S$12:$AA$12+INDEX($AJ$13:$AR$162,BN4065,0)+INDEX($AT$13:$BB$162,BO4065,0)+INDEX($BD$13:$BL$162,BP4065,0))/100))&gt;=$D$10:$L$10)),0)</f>
        <v/>
      </c>
      <c r="BR4065">
        <f>IF(4052&lt;$U$9,SUMPRODUCT(($D$10:$L$10&lt;&gt;"")*(($D$10:$L$10-($D$9:$L$9+INT(($S$12:$AA$12+INDEX($AJ$13:$AR$162,BN4065,0)+INDEX($AT$13:$BB$162,BO4065,0)+INDEX($BD$13:$BL$162,BP4065,0))/100)))&gt;0)*($D$10:$L$10-($D$9:$L$9+INT(($S$12:$AA$12+INDEX($AJ$13:$AR$162,BN4065,0)+INDEX($AT$13:$BB$162,BO4065,0)+INDEX($BD$13:$BL$162,BP4065,0))/100)))),0)</f>
        <v/>
      </c>
      <c r="BS4065">
        <f>IF(4052&lt;$U$9,SUMPRODUCT(($D$9:$L$9+INT(($S$12:$AA$12+INDEX($AJ$13:$AR$162,BN4065,0)+INDEX($AT$13:$BB$162,BO4065,0)+INDEX($BD$13:$BL$162,BP4065,0))/100))),0)</f>
        <v/>
      </c>
      <c r="BT4065">
        <f>IF(AND(4052&lt;$U$9,$W$5),BQ4065*1000000-MIN(BR4065,999)*1000+BS4065-4052/100000,-1000000000-4052)</f>
        <v/>
      </c>
    </row>
    <row r="4066">
      <c r="BN4066">
        <f>IF(4053&lt;$U$9,INT(4053/($U$7*$U$8))+1,1)</f>
        <v/>
      </c>
      <c r="BO4066">
        <f>IF(4053&lt;$U$9,MOD(INT(4053/$U$8),$U$7)+1,1)</f>
        <v/>
      </c>
      <c r="BP4066">
        <f>IF(4053&lt;$U$9,MOD(4053,$U$8)+1,1)</f>
        <v/>
      </c>
      <c r="BQ4066">
        <f>IF(4053&lt;$U$9,SUMPRODUCT(($D$10:$L$10&lt;&gt;"")*(($D$9:$L$9+INT(($S$12:$AA$12+INDEX($AJ$13:$AR$162,BN4066,0)+INDEX($AT$13:$BB$162,BO4066,0)+INDEX($BD$13:$BL$162,BP4066,0))/100))&gt;=$D$10:$L$10)),0)</f>
        <v/>
      </c>
      <c r="BR4066">
        <f>IF(4053&lt;$U$9,SUMPRODUCT(($D$10:$L$10&lt;&gt;"")*(($D$10:$L$10-($D$9:$L$9+INT(($S$12:$AA$12+INDEX($AJ$13:$AR$162,BN4066,0)+INDEX($AT$13:$BB$162,BO4066,0)+INDEX($BD$13:$BL$162,BP4066,0))/100)))&gt;0)*($D$10:$L$10-($D$9:$L$9+INT(($S$12:$AA$12+INDEX($AJ$13:$AR$162,BN4066,0)+INDEX($AT$13:$BB$162,BO4066,0)+INDEX($BD$13:$BL$162,BP4066,0))/100)))),0)</f>
        <v/>
      </c>
      <c r="BS4066">
        <f>IF(4053&lt;$U$9,SUMPRODUCT(($D$9:$L$9+INT(($S$12:$AA$12+INDEX($AJ$13:$AR$162,BN4066,0)+INDEX($AT$13:$BB$162,BO4066,0)+INDEX($BD$13:$BL$162,BP4066,0))/100))),0)</f>
        <v/>
      </c>
      <c r="BT4066">
        <f>IF(AND(4053&lt;$U$9,$W$5),BQ4066*1000000-MIN(BR4066,999)*1000+BS4066-4053/100000,-1000000000-4053)</f>
        <v/>
      </c>
    </row>
    <row r="4067">
      <c r="BN4067">
        <f>IF(4054&lt;$U$9,INT(4054/($U$7*$U$8))+1,1)</f>
        <v/>
      </c>
      <c r="BO4067">
        <f>IF(4054&lt;$U$9,MOD(INT(4054/$U$8),$U$7)+1,1)</f>
        <v/>
      </c>
      <c r="BP4067">
        <f>IF(4054&lt;$U$9,MOD(4054,$U$8)+1,1)</f>
        <v/>
      </c>
      <c r="BQ4067">
        <f>IF(4054&lt;$U$9,SUMPRODUCT(($D$10:$L$10&lt;&gt;"")*(($D$9:$L$9+INT(($S$12:$AA$12+INDEX($AJ$13:$AR$162,BN4067,0)+INDEX($AT$13:$BB$162,BO4067,0)+INDEX($BD$13:$BL$162,BP4067,0))/100))&gt;=$D$10:$L$10)),0)</f>
        <v/>
      </c>
      <c r="BR4067">
        <f>IF(4054&lt;$U$9,SUMPRODUCT(($D$10:$L$10&lt;&gt;"")*(($D$10:$L$10-($D$9:$L$9+INT(($S$12:$AA$12+INDEX($AJ$13:$AR$162,BN4067,0)+INDEX($AT$13:$BB$162,BO4067,0)+INDEX($BD$13:$BL$162,BP4067,0))/100)))&gt;0)*($D$10:$L$10-($D$9:$L$9+INT(($S$12:$AA$12+INDEX($AJ$13:$AR$162,BN4067,0)+INDEX($AT$13:$BB$162,BO4067,0)+INDEX($BD$13:$BL$162,BP4067,0))/100)))),0)</f>
        <v/>
      </c>
      <c r="BS4067">
        <f>IF(4054&lt;$U$9,SUMPRODUCT(($D$9:$L$9+INT(($S$12:$AA$12+INDEX($AJ$13:$AR$162,BN4067,0)+INDEX($AT$13:$BB$162,BO4067,0)+INDEX($BD$13:$BL$162,BP4067,0))/100))),0)</f>
        <v/>
      </c>
      <c r="BT4067">
        <f>IF(AND(4054&lt;$U$9,$W$5),BQ4067*1000000-MIN(BR4067,999)*1000+BS4067-4054/100000,-1000000000-4054)</f>
        <v/>
      </c>
    </row>
    <row r="4068">
      <c r="BN4068">
        <f>IF(4055&lt;$U$9,INT(4055/($U$7*$U$8))+1,1)</f>
        <v/>
      </c>
      <c r="BO4068">
        <f>IF(4055&lt;$U$9,MOD(INT(4055/$U$8),$U$7)+1,1)</f>
        <v/>
      </c>
      <c r="BP4068">
        <f>IF(4055&lt;$U$9,MOD(4055,$U$8)+1,1)</f>
        <v/>
      </c>
      <c r="BQ4068">
        <f>IF(4055&lt;$U$9,SUMPRODUCT(($D$10:$L$10&lt;&gt;"")*(($D$9:$L$9+INT(($S$12:$AA$12+INDEX($AJ$13:$AR$162,BN4068,0)+INDEX($AT$13:$BB$162,BO4068,0)+INDEX($BD$13:$BL$162,BP4068,0))/100))&gt;=$D$10:$L$10)),0)</f>
        <v/>
      </c>
      <c r="BR4068">
        <f>IF(4055&lt;$U$9,SUMPRODUCT(($D$10:$L$10&lt;&gt;"")*(($D$10:$L$10-($D$9:$L$9+INT(($S$12:$AA$12+INDEX($AJ$13:$AR$162,BN4068,0)+INDEX($AT$13:$BB$162,BO4068,0)+INDEX($BD$13:$BL$162,BP4068,0))/100)))&gt;0)*($D$10:$L$10-($D$9:$L$9+INT(($S$12:$AA$12+INDEX($AJ$13:$AR$162,BN4068,0)+INDEX($AT$13:$BB$162,BO4068,0)+INDEX($BD$13:$BL$162,BP4068,0))/100)))),0)</f>
        <v/>
      </c>
      <c r="BS4068">
        <f>IF(4055&lt;$U$9,SUMPRODUCT(($D$9:$L$9+INT(($S$12:$AA$12+INDEX($AJ$13:$AR$162,BN4068,0)+INDEX($AT$13:$BB$162,BO4068,0)+INDEX($BD$13:$BL$162,BP4068,0))/100))),0)</f>
        <v/>
      </c>
      <c r="BT4068">
        <f>IF(AND(4055&lt;$U$9,$W$5),BQ4068*1000000-MIN(BR4068,999)*1000+BS4068-4055/100000,-1000000000-4055)</f>
        <v/>
      </c>
    </row>
    <row r="4069">
      <c r="BN4069">
        <f>IF(4056&lt;$U$9,INT(4056/($U$7*$U$8))+1,1)</f>
        <v/>
      </c>
      <c r="BO4069">
        <f>IF(4056&lt;$U$9,MOD(INT(4056/$U$8),$U$7)+1,1)</f>
        <v/>
      </c>
      <c r="BP4069">
        <f>IF(4056&lt;$U$9,MOD(4056,$U$8)+1,1)</f>
        <v/>
      </c>
      <c r="BQ4069">
        <f>IF(4056&lt;$U$9,SUMPRODUCT(($D$10:$L$10&lt;&gt;"")*(($D$9:$L$9+INT(($S$12:$AA$12+INDEX($AJ$13:$AR$162,BN4069,0)+INDEX($AT$13:$BB$162,BO4069,0)+INDEX($BD$13:$BL$162,BP4069,0))/100))&gt;=$D$10:$L$10)),0)</f>
        <v/>
      </c>
      <c r="BR4069">
        <f>IF(4056&lt;$U$9,SUMPRODUCT(($D$10:$L$10&lt;&gt;"")*(($D$10:$L$10-($D$9:$L$9+INT(($S$12:$AA$12+INDEX($AJ$13:$AR$162,BN4069,0)+INDEX($AT$13:$BB$162,BO4069,0)+INDEX($BD$13:$BL$162,BP4069,0))/100)))&gt;0)*($D$10:$L$10-($D$9:$L$9+INT(($S$12:$AA$12+INDEX($AJ$13:$AR$162,BN4069,0)+INDEX($AT$13:$BB$162,BO4069,0)+INDEX($BD$13:$BL$162,BP4069,0))/100)))),0)</f>
        <v/>
      </c>
      <c r="BS4069">
        <f>IF(4056&lt;$U$9,SUMPRODUCT(($D$9:$L$9+INT(($S$12:$AA$12+INDEX($AJ$13:$AR$162,BN4069,0)+INDEX($AT$13:$BB$162,BO4069,0)+INDEX($BD$13:$BL$162,BP4069,0))/100))),0)</f>
        <v/>
      </c>
      <c r="BT4069">
        <f>IF(AND(4056&lt;$U$9,$W$5),BQ4069*1000000-MIN(BR4069,999)*1000+BS4069-4056/100000,-1000000000-4056)</f>
        <v/>
      </c>
    </row>
    <row r="4070">
      <c r="BN4070">
        <f>IF(4057&lt;$U$9,INT(4057/($U$7*$U$8))+1,1)</f>
        <v/>
      </c>
      <c r="BO4070">
        <f>IF(4057&lt;$U$9,MOD(INT(4057/$U$8),$U$7)+1,1)</f>
        <v/>
      </c>
      <c r="BP4070">
        <f>IF(4057&lt;$U$9,MOD(4057,$U$8)+1,1)</f>
        <v/>
      </c>
      <c r="BQ4070">
        <f>IF(4057&lt;$U$9,SUMPRODUCT(($D$10:$L$10&lt;&gt;"")*(($D$9:$L$9+INT(($S$12:$AA$12+INDEX($AJ$13:$AR$162,BN4070,0)+INDEX($AT$13:$BB$162,BO4070,0)+INDEX($BD$13:$BL$162,BP4070,0))/100))&gt;=$D$10:$L$10)),0)</f>
        <v/>
      </c>
      <c r="BR4070">
        <f>IF(4057&lt;$U$9,SUMPRODUCT(($D$10:$L$10&lt;&gt;"")*(($D$10:$L$10-($D$9:$L$9+INT(($S$12:$AA$12+INDEX($AJ$13:$AR$162,BN4070,0)+INDEX($AT$13:$BB$162,BO4070,0)+INDEX($BD$13:$BL$162,BP4070,0))/100)))&gt;0)*($D$10:$L$10-($D$9:$L$9+INT(($S$12:$AA$12+INDEX($AJ$13:$AR$162,BN4070,0)+INDEX($AT$13:$BB$162,BO4070,0)+INDEX($BD$13:$BL$162,BP4070,0))/100)))),0)</f>
        <v/>
      </c>
      <c r="BS4070">
        <f>IF(4057&lt;$U$9,SUMPRODUCT(($D$9:$L$9+INT(($S$12:$AA$12+INDEX($AJ$13:$AR$162,BN4070,0)+INDEX($AT$13:$BB$162,BO4070,0)+INDEX($BD$13:$BL$162,BP4070,0))/100))),0)</f>
        <v/>
      </c>
      <c r="BT4070">
        <f>IF(AND(4057&lt;$U$9,$W$5),BQ4070*1000000-MIN(BR4070,999)*1000+BS4070-4057/100000,-1000000000-4057)</f>
        <v/>
      </c>
    </row>
    <row r="4071">
      <c r="BN4071">
        <f>IF(4058&lt;$U$9,INT(4058/($U$7*$U$8))+1,1)</f>
        <v/>
      </c>
      <c r="BO4071">
        <f>IF(4058&lt;$U$9,MOD(INT(4058/$U$8),$U$7)+1,1)</f>
        <v/>
      </c>
      <c r="BP4071">
        <f>IF(4058&lt;$U$9,MOD(4058,$U$8)+1,1)</f>
        <v/>
      </c>
      <c r="BQ4071">
        <f>IF(4058&lt;$U$9,SUMPRODUCT(($D$10:$L$10&lt;&gt;"")*(($D$9:$L$9+INT(($S$12:$AA$12+INDEX($AJ$13:$AR$162,BN4071,0)+INDEX($AT$13:$BB$162,BO4071,0)+INDEX($BD$13:$BL$162,BP4071,0))/100))&gt;=$D$10:$L$10)),0)</f>
        <v/>
      </c>
      <c r="BR4071">
        <f>IF(4058&lt;$U$9,SUMPRODUCT(($D$10:$L$10&lt;&gt;"")*(($D$10:$L$10-($D$9:$L$9+INT(($S$12:$AA$12+INDEX($AJ$13:$AR$162,BN4071,0)+INDEX($AT$13:$BB$162,BO4071,0)+INDEX($BD$13:$BL$162,BP4071,0))/100)))&gt;0)*($D$10:$L$10-($D$9:$L$9+INT(($S$12:$AA$12+INDEX($AJ$13:$AR$162,BN4071,0)+INDEX($AT$13:$BB$162,BO4071,0)+INDEX($BD$13:$BL$162,BP4071,0))/100)))),0)</f>
        <v/>
      </c>
      <c r="BS4071">
        <f>IF(4058&lt;$U$9,SUMPRODUCT(($D$9:$L$9+INT(($S$12:$AA$12+INDEX($AJ$13:$AR$162,BN4071,0)+INDEX($AT$13:$BB$162,BO4071,0)+INDEX($BD$13:$BL$162,BP4071,0))/100))),0)</f>
        <v/>
      </c>
      <c r="BT4071">
        <f>IF(AND(4058&lt;$U$9,$W$5),BQ4071*1000000-MIN(BR4071,999)*1000+BS4071-4058/100000,-1000000000-4058)</f>
        <v/>
      </c>
    </row>
    <row r="4072">
      <c r="BN4072">
        <f>IF(4059&lt;$U$9,INT(4059/($U$7*$U$8))+1,1)</f>
        <v/>
      </c>
      <c r="BO4072">
        <f>IF(4059&lt;$U$9,MOD(INT(4059/$U$8),$U$7)+1,1)</f>
        <v/>
      </c>
      <c r="BP4072">
        <f>IF(4059&lt;$U$9,MOD(4059,$U$8)+1,1)</f>
        <v/>
      </c>
      <c r="BQ4072">
        <f>IF(4059&lt;$U$9,SUMPRODUCT(($D$10:$L$10&lt;&gt;"")*(($D$9:$L$9+INT(($S$12:$AA$12+INDEX($AJ$13:$AR$162,BN4072,0)+INDEX($AT$13:$BB$162,BO4072,0)+INDEX($BD$13:$BL$162,BP4072,0))/100))&gt;=$D$10:$L$10)),0)</f>
        <v/>
      </c>
      <c r="BR4072">
        <f>IF(4059&lt;$U$9,SUMPRODUCT(($D$10:$L$10&lt;&gt;"")*(($D$10:$L$10-($D$9:$L$9+INT(($S$12:$AA$12+INDEX($AJ$13:$AR$162,BN4072,0)+INDEX($AT$13:$BB$162,BO4072,0)+INDEX($BD$13:$BL$162,BP4072,0))/100)))&gt;0)*($D$10:$L$10-($D$9:$L$9+INT(($S$12:$AA$12+INDEX($AJ$13:$AR$162,BN4072,0)+INDEX($AT$13:$BB$162,BO4072,0)+INDEX($BD$13:$BL$162,BP4072,0))/100)))),0)</f>
        <v/>
      </c>
      <c r="BS4072">
        <f>IF(4059&lt;$U$9,SUMPRODUCT(($D$9:$L$9+INT(($S$12:$AA$12+INDEX($AJ$13:$AR$162,BN4072,0)+INDEX($AT$13:$BB$162,BO4072,0)+INDEX($BD$13:$BL$162,BP4072,0))/100))),0)</f>
        <v/>
      </c>
      <c r="BT4072">
        <f>IF(AND(4059&lt;$U$9,$W$5),BQ4072*1000000-MIN(BR4072,999)*1000+BS4072-4059/100000,-1000000000-4059)</f>
        <v/>
      </c>
    </row>
    <row r="4073">
      <c r="BN4073">
        <f>IF(4060&lt;$U$9,INT(4060/($U$7*$U$8))+1,1)</f>
        <v/>
      </c>
      <c r="BO4073">
        <f>IF(4060&lt;$U$9,MOD(INT(4060/$U$8),$U$7)+1,1)</f>
        <v/>
      </c>
      <c r="BP4073">
        <f>IF(4060&lt;$U$9,MOD(4060,$U$8)+1,1)</f>
        <v/>
      </c>
      <c r="BQ4073">
        <f>IF(4060&lt;$U$9,SUMPRODUCT(($D$10:$L$10&lt;&gt;"")*(($D$9:$L$9+INT(($S$12:$AA$12+INDEX($AJ$13:$AR$162,BN4073,0)+INDEX($AT$13:$BB$162,BO4073,0)+INDEX($BD$13:$BL$162,BP4073,0))/100))&gt;=$D$10:$L$10)),0)</f>
        <v/>
      </c>
      <c r="BR4073">
        <f>IF(4060&lt;$U$9,SUMPRODUCT(($D$10:$L$10&lt;&gt;"")*(($D$10:$L$10-($D$9:$L$9+INT(($S$12:$AA$12+INDEX($AJ$13:$AR$162,BN4073,0)+INDEX($AT$13:$BB$162,BO4073,0)+INDEX($BD$13:$BL$162,BP4073,0))/100)))&gt;0)*($D$10:$L$10-($D$9:$L$9+INT(($S$12:$AA$12+INDEX($AJ$13:$AR$162,BN4073,0)+INDEX($AT$13:$BB$162,BO4073,0)+INDEX($BD$13:$BL$162,BP4073,0))/100)))),0)</f>
        <v/>
      </c>
      <c r="BS4073">
        <f>IF(4060&lt;$U$9,SUMPRODUCT(($D$9:$L$9+INT(($S$12:$AA$12+INDEX($AJ$13:$AR$162,BN4073,0)+INDEX($AT$13:$BB$162,BO4073,0)+INDEX($BD$13:$BL$162,BP4073,0))/100))),0)</f>
        <v/>
      </c>
      <c r="BT4073">
        <f>IF(AND(4060&lt;$U$9,$W$5),BQ4073*1000000-MIN(BR4073,999)*1000+BS4073-4060/100000,-1000000000-4060)</f>
        <v/>
      </c>
    </row>
    <row r="4074">
      <c r="BN4074">
        <f>IF(4061&lt;$U$9,INT(4061/($U$7*$U$8))+1,1)</f>
        <v/>
      </c>
      <c r="BO4074">
        <f>IF(4061&lt;$U$9,MOD(INT(4061/$U$8),$U$7)+1,1)</f>
        <v/>
      </c>
      <c r="BP4074">
        <f>IF(4061&lt;$U$9,MOD(4061,$U$8)+1,1)</f>
        <v/>
      </c>
      <c r="BQ4074">
        <f>IF(4061&lt;$U$9,SUMPRODUCT(($D$10:$L$10&lt;&gt;"")*(($D$9:$L$9+INT(($S$12:$AA$12+INDEX($AJ$13:$AR$162,BN4074,0)+INDEX($AT$13:$BB$162,BO4074,0)+INDEX($BD$13:$BL$162,BP4074,0))/100))&gt;=$D$10:$L$10)),0)</f>
        <v/>
      </c>
      <c r="BR4074">
        <f>IF(4061&lt;$U$9,SUMPRODUCT(($D$10:$L$10&lt;&gt;"")*(($D$10:$L$10-($D$9:$L$9+INT(($S$12:$AA$12+INDEX($AJ$13:$AR$162,BN4074,0)+INDEX($AT$13:$BB$162,BO4074,0)+INDEX($BD$13:$BL$162,BP4074,0))/100)))&gt;0)*($D$10:$L$10-($D$9:$L$9+INT(($S$12:$AA$12+INDEX($AJ$13:$AR$162,BN4074,0)+INDEX($AT$13:$BB$162,BO4074,0)+INDEX($BD$13:$BL$162,BP4074,0))/100)))),0)</f>
        <v/>
      </c>
      <c r="BS4074">
        <f>IF(4061&lt;$U$9,SUMPRODUCT(($D$9:$L$9+INT(($S$12:$AA$12+INDEX($AJ$13:$AR$162,BN4074,0)+INDEX($AT$13:$BB$162,BO4074,0)+INDEX($BD$13:$BL$162,BP4074,0))/100))),0)</f>
        <v/>
      </c>
      <c r="BT4074">
        <f>IF(AND(4061&lt;$U$9,$W$5),BQ4074*1000000-MIN(BR4074,999)*1000+BS4074-4061/100000,-1000000000-4061)</f>
        <v/>
      </c>
    </row>
    <row r="4075">
      <c r="BN4075">
        <f>IF(4062&lt;$U$9,INT(4062/($U$7*$U$8))+1,1)</f>
        <v/>
      </c>
      <c r="BO4075">
        <f>IF(4062&lt;$U$9,MOD(INT(4062/$U$8),$U$7)+1,1)</f>
        <v/>
      </c>
      <c r="BP4075">
        <f>IF(4062&lt;$U$9,MOD(4062,$U$8)+1,1)</f>
        <v/>
      </c>
      <c r="BQ4075">
        <f>IF(4062&lt;$U$9,SUMPRODUCT(($D$10:$L$10&lt;&gt;"")*(($D$9:$L$9+INT(($S$12:$AA$12+INDEX($AJ$13:$AR$162,BN4075,0)+INDEX($AT$13:$BB$162,BO4075,0)+INDEX($BD$13:$BL$162,BP4075,0))/100))&gt;=$D$10:$L$10)),0)</f>
        <v/>
      </c>
      <c r="BR4075">
        <f>IF(4062&lt;$U$9,SUMPRODUCT(($D$10:$L$10&lt;&gt;"")*(($D$10:$L$10-($D$9:$L$9+INT(($S$12:$AA$12+INDEX($AJ$13:$AR$162,BN4075,0)+INDEX($AT$13:$BB$162,BO4075,0)+INDEX($BD$13:$BL$162,BP4075,0))/100)))&gt;0)*($D$10:$L$10-($D$9:$L$9+INT(($S$12:$AA$12+INDEX($AJ$13:$AR$162,BN4075,0)+INDEX($AT$13:$BB$162,BO4075,0)+INDEX($BD$13:$BL$162,BP4075,0))/100)))),0)</f>
        <v/>
      </c>
      <c r="BS4075">
        <f>IF(4062&lt;$U$9,SUMPRODUCT(($D$9:$L$9+INT(($S$12:$AA$12+INDEX($AJ$13:$AR$162,BN4075,0)+INDEX($AT$13:$BB$162,BO4075,0)+INDEX($BD$13:$BL$162,BP4075,0))/100))),0)</f>
        <v/>
      </c>
      <c r="BT4075">
        <f>IF(AND(4062&lt;$U$9,$W$5),BQ4075*1000000-MIN(BR4075,999)*1000+BS4075-4062/100000,-1000000000-4062)</f>
        <v/>
      </c>
    </row>
    <row r="4076">
      <c r="BN4076">
        <f>IF(4063&lt;$U$9,INT(4063/($U$7*$U$8))+1,1)</f>
        <v/>
      </c>
      <c r="BO4076">
        <f>IF(4063&lt;$U$9,MOD(INT(4063/$U$8),$U$7)+1,1)</f>
        <v/>
      </c>
      <c r="BP4076">
        <f>IF(4063&lt;$U$9,MOD(4063,$U$8)+1,1)</f>
        <v/>
      </c>
      <c r="BQ4076">
        <f>IF(4063&lt;$U$9,SUMPRODUCT(($D$10:$L$10&lt;&gt;"")*(($D$9:$L$9+INT(($S$12:$AA$12+INDEX($AJ$13:$AR$162,BN4076,0)+INDEX($AT$13:$BB$162,BO4076,0)+INDEX($BD$13:$BL$162,BP4076,0))/100))&gt;=$D$10:$L$10)),0)</f>
        <v/>
      </c>
      <c r="BR4076">
        <f>IF(4063&lt;$U$9,SUMPRODUCT(($D$10:$L$10&lt;&gt;"")*(($D$10:$L$10-($D$9:$L$9+INT(($S$12:$AA$12+INDEX($AJ$13:$AR$162,BN4076,0)+INDEX($AT$13:$BB$162,BO4076,0)+INDEX($BD$13:$BL$162,BP4076,0))/100)))&gt;0)*($D$10:$L$10-($D$9:$L$9+INT(($S$12:$AA$12+INDEX($AJ$13:$AR$162,BN4076,0)+INDEX($AT$13:$BB$162,BO4076,0)+INDEX($BD$13:$BL$162,BP4076,0))/100)))),0)</f>
        <v/>
      </c>
      <c r="BS4076">
        <f>IF(4063&lt;$U$9,SUMPRODUCT(($D$9:$L$9+INT(($S$12:$AA$12+INDEX($AJ$13:$AR$162,BN4076,0)+INDEX($AT$13:$BB$162,BO4076,0)+INDEX($BD$13:$BL$162,BP4076,0))/100))),0)</f>
        <v/>
      </c>
      <c r="BT4076">
        <f>IF(AND(4063&lt;$U$9,$W$5),BQ4076*1000000-MIN(BR4076,999)*1000+BS4076-4063/100000,-1000000000-4063)</f>
        <v/>
      </c>
    </row>
    <row r="4077">
      <c r="BN4077">
        <f>IF(4064&lt;$U$9,INT(4064/($U$7*$U$8))+1,1)</f>
        <v/>
      </c>
      <c r="BO4077">
        <f>IF(4064&lt;$U$9,MOD(INT(4064/$U$8),$U$7)+1,1)</f>
        <v/>
      </c>
      <c r="BP4077">
        <f>IF(4064&lt;$U$9,MOD(4064,$U$8)+1,1)</f>
        <v/>
      </c>
      <c r="BQ4077">
        <f>IF(4064&lt;$U$9,SUMPRODUCT(($D$10:$L$10&lt;&gt;"")*(($D$9:$L$9+INT(($S$12:$AA$12+INDEX($AJ$13:$AR$162,BN4077,0)+INDEX($AT$13:$BB$162,BO4077,0)+INDEX($BD$13:$BL$162,BP4077,0))/100))&gt;=$D$10:$L$10)),0)</f>
        <v/>
      </c>
      <c r="BR4077">
        <f>IF(4064&lt;$U$9,SUMPRODUCT(($D$10:$L$10&lt;&gt;"")*(($D$10:$L$10-($D$9:$L$9+INT(($S$12:$AA$12+INDEX($AJ$13:$AR$162,BN4077,0)+INDEX($AT$13:$BB$162,BO4077,0)+INDEX($BD$13:$BL$162,BP4077,0))/100)))&gt;0)*($D$10:$L$10-($D$9:$L$9+INT(($S$12:$AA$12+INDEX($AJ$13:$AR$162,BN4077,0)+INDEX($AT$13:$BB$162,BO4077,0)+INDEX($BD$13:$BL$162,BP4077,0))/100)))),0)</f>
        <v/>
      </c>
      <c r="BS4077">
        <f>IF(4064&lt;$U$9,SUMPRODUCT(($D$9:$L$9+INT(($S$12:$AA$12+INDEX($AJ$13:$AR$162,BN4077,0)+INDEX($AT$13:$BB$162,BO4077,0)+INDEX($BD$13:$BL$162,BP4077,0))/100))),0)</f>
        <v/>
      </c>
      <c r="BT4077">
        <f>IF(AND(4064&lt;$U$9,$W$5),BQ4077*1000000-MIN(BR4077,999)*1000+BS4077-4064/100000,-1000000000-4064)</f>
        <v/>
      </c>
    </row>
    <row r="4078">
      <c r="BN4078">
        <f>IF(4065&lt;$U$9,INT(4065/($U$7*$U$8))+1,1)</f>
        <v/>
      </c>
      <c r="BO4078">
        <f>IF(4065&lt;$U$9,MOD(INT(4065/$U$8),$U$7)+1,1)</f>
        <v/>
      </c>
      <c r="BP4078">
        <f>IF(4065&lt;$U$9,MOD(4065,$U$8)+1,1)</f>
        <v/>
      </c>
      <c r="BQ4078">
        <f>IF(4065&lt;$U$9,SUMPRODUCT(($D$10:$L$10&lt;&gt;"")*(($D$9:$L$9+INT(($S$12:$AA$12+INDEX($AJ$13:$AR$162,BN4078,0)+INDEX($AT$13:$BB$162,BO4078,0)+INDEX($BD$13:$BL$162,BP4078,0))/100))&gt;=$D$10:$L$10)),0)</f>
        <v/>
      </c>
      <c r="BR4078">
        <f>IF(4065&lt;$U$9,SUMPRODUCT(($D$10:$L$10&lt;&gt;"")*(($D$10:$L$10-($D$9:$L$9+INT(($S$12:$AA$12+INDEX($AJ$13:$AR$162,BN4078,0)+INDEX($AT$13:$BB$162,BO4078,0)+INDEX($BD$13:$BL$162,BP4078,0))/100)))&gt;0)*($D$10:$L$10-($D$9:$L$9+INT(($S$12:$AA$12+INDEX($AJ$13:$AR$162,BN4078,0)+INDEX($AT$13:$BB$162,BO4078,0)+INDEX($BD$13:$BL$162,BP4078,0))/100)))),0)</f>
        <v/>
      </c>
      <c r="BS4078">
        <f>IF(4065&lt;$U$9,SUMPRODUCT(($D$9:$L$9+INT(($S$12:$AA$12+INDEX($AJ$13:$AR$162,BN4078,0)+INDEX($AT$13:$BB$162,BO4078,0)+INDEX($BD$13:$BL$162,BP4078,0))/100))),0)</f>
        <v/>
      </c>
      <c r="BT4078">
        <f>IF(AND(4065&lt;$U$9,$W$5),BQ4078*1000000-MIN(BR4078,999)*1000+BS4078-4065/100000,-1000000000-4065)</f>
        <v/>
      </c>
    </row>
    <row r="4079">
      <c r="BN4079">
        <f>IF(4066&lt;$U$9,INT(4066/($U$7*$U$8))+1,1)</f>
        <v/>
      </c>
      <c r="BO4079">
        <f>IF(4066&lt;$U$9,MOD(INT(4066/$U$8),$U$7)+1,1)</f>
        <v/>
      </c>
      <c r="BP4079">
        <f>IF(4066&lt;$U$9,MOD(4066,$U$8)+1,1)</f>
        <v/>
      </c>
      <c r="BQ4079">
        <f>IF(4066&lt;$U$9,SUMPRODUCT(($D$10:$L$10&lt;&gt;"")*(($D$9:$L$9+INT(($S$12:$AA$12+INDEX($AJ$13:$AR$162,BN4079,0)+INDEX($AT$13:$BB$162,BO4079,0)+INDEX($BD$13:$BL$162,BP4079,0))/100))&gt;=$D$10:$L$10)),0)</f>
        <v/>
      </c>
      <c r="BR4079">
        <f>IF(4066&lt;$U$9,SUMPRODUCT(($D$10:$L$10&lt;&gt;"")*(($D$10:$L$10-($D$9:$L$9+INT(($S$12:$AA$12+INDEX($AJ$13:$AR$162,BN4079,0)+INDEX($AT$13:$BB$162,BO4079,0)+INDEX($BD$13:$BL$162,BP4079,0))/100)))&gt;0)*($D$10:$L$10-($D$9:$L$9+INT(($S$12:$AA$12+INDEX($AJ$13:$AR$162,BN4079,0)+INDEX($AT$13:$BB$162,BO4079,0)+INDEX($BD$13:$BL$162,BP4079,0))/100)))),0)</f>
        <v/>
      </c>
      <c r="BS4079">
        <f>IF(4066&lt;$U$9,SUMPRODUCT(($D$9:$L$9+INT(($S$12:$AA$12+INDEX($AJ$13:$AR$162,BN4079,0)+INDEX($AT$13:$BB$162,BO4079,0)+INDEX($BD$13:$BL$162,BP4079,0))/100))),0)</f>
        <v/>
      </c>
      <c r="BT4079">
        <f>IF(AND(4066&lt;$U$9,$W$5),BQ4079*1000000-MIN(BR4079,999)*1000+BS4079-4066/100000,-1000000000-4066)</f>
        <v/>
      </c>
    </row>
    <row r="4080">
      <c r="BN4080">
        <f>IF(4067&lt;$U$9,INT(4067/($U$7*$U$8))+1,1)</f>
        <v/>
      </c>
      <c r="BO4080">
        <f>IF(4067&lt;$U$9,MOD(INT(4067/$U$8),$U$7)+1,1)</f>
        <v/>
      </c>
      <c r="BP4080">
        <f>IF(4067&lt;$U$9,MOD(4067,$U$8)+1,1)</f>
        <v/>
      </c>
      <c r="BQ4080">
        <f>IF(4067&lt;$U$9,SUMPRODUCT(($D$10:$L$10&lt;&gt;"")*(($D$9:$L$9+INT(($S$12:$AA$12+INDEX($AJ$13:$AR$162,BN4080,0)+INDEX($AT$13:$BB$162,BO4080,0)+INDEX($BD$13:$BL$162,BP4080,0))/100))&gt;=$D$10:$L$10)),0)</f>
        <v/>
      </c>
      <c r="BR4080">
        <f>IF(4067&lt;$U$9,SUMPRODUCT(($D$10:$L$10&lt;&gt;"")*(($D$10:$L$10-($D$9:$L$9+INT(($S$12:$AA$12+INDEX($AJ$13:$AR$162,BN4080,0)+INDEX($AT$13:$BB$162,BO4080,0)+INDEX($BD$13:$BL$162,BP4080,0))/100)))&gt;0)*($D$10:$L$10-($D$9:$L$9+INT(($S$12:$AA$12+INDEX($AJ$13:$AR$162,BN4080,0)+INDEX($AT$13:$BB$162,BO4080,0)+INDEX($BD$13:$BL$162,BP4080,0))/100)))),0)</f>
        <v/>
      </c>
      <c r="BS4080">
        <f>IF(4067&lt;$U$9,SUMPRODUCT(($D$9:$L$9+INT(($S$12:$AA$12+INDEX($AJ$13:$AR$162,BN4080,0)+INDEX($AT$13:$BB$162,BO4080,0)+INDEX($BD$13:$BL$162,BP4080,0))/100))),0)</f>
        <v/>
      </c>
      <c r="BT4080">
        <f>IF(AND(4067&lt;$U$9,$W$5),BQ4080*1000000-MIN(BR4080,999)*1000+BS4080-4067/100000,-1000000000-4067)</f>
        <v/>
      </c>
    </row>
    <row r="4081">
      <c r="BN4081">
        <f>IF(4068&lt;$U$9,INT(4068/($U$7*$U$8))+1,1)</f>
        <v/>
      </c>
      <c r="BO4081">
        <f>IF(4068&lt;$U$9,MOD(INT(4068/$U$8),$U$7)+1,1)</f>
        <v/>
      </c>
      <c r="BP4081">
        <f>IF(4068&lt;$U$9,MOD(4068,$U$8)+1,1)</f>
        <v/>
      </c>
      <c r="BQ4081">
        <f>IF(4068&lt;$U$9,SUMPRODUCT(($D$10:$L$10&lt;&gt;"")*(($D$9:$L$9+INT(($S$12:$AA$12+INDEX($AJ$13:$AR$162,BN4081,0)+INDEX($AT$13:$BB$162,BO4081,0)+INDEX($BD$13:$BL$162,BP4081,0))/100))&gt;=$D$10:$L$10)),0)</f>
        <v/>
      </c>
      <c r="BR4081">
        <f>IF(4068&lt;$U$9,SUMPRODUCT(($D$10:$L$10&lt;&gt;"")*(($D$10:$L$10-($D$9:$L$9+INT(($S$12:$AA$12+INDEX($AJ$13:$AR$162,BN4081,0)+INDEX($AT$13:$BB$162,BO4081,0)+INDEX($BD$13:$BL$162,BP4081,0))/100)))&gt;0)*($D$10:$L$10-($D$9:$L$9+INT(($S$12:$AA$12+INDEX($AJ$13:$AR$162,BN4081,0)+INDEX($AT$13:$BB$162,BO4081,0)+INDEX($BD$13:$BL$162,BP4081,0))/100)))),0)</f>
        <v/>
      </c>
      <c r="BS4081">
        <f>IF(4068&lt;$U$9,SUMPRODUCT(($D$9:$L$9+INT(($S$12:$AA$12+INDEX($AJ$13:$AR$162,BN4081,0)+INDEX($AT$13:$BB$162,BO4081,0)+INDEX($BD$13:$BL$162,BP4081,0))/100))),0)</f>
        <v/>
      </c>
      <c r="BT4081">
        <f>IF(AND(4068&lt;$U$9,$W$5),BQ4081*1000000-MIN(BR4081,999)*1000+BS4081-4068/100000,-1000000000-4068)</f>
        <v/>
      </c>
    </row>
    <row r="4082">
      <c r="BN4082">
        <f>IF(4069&lt;$U$9,INT(4069/($U$7*$U$8))+1,1)</f>
        <v/>
      </c>
      <c r="BO4082">
        <f>IF(4069&lt;$U$9,MOD(INT(4069/$U$8),$U$7)+1,1)</f>
        <v/>
      </c>
      <c r="BP4082">
        <f>IF(4069&lt;$U$9,MOD(4069,$U$8)+1,1)</f>
        <v/>
      </c>
      <c r="BQ4082">
        <f>IF(4069&lt;$U$9,SUMPRODUCT(($D$10:$L$10&lt;&gt;"")*(($D$9:$L$9+INT(($S$12:$AA$12+INDEX($AJ$13:$AR$162,BN4082,0)+INDEX($AT$13:$BB$162,BO4082,0)+INDEX($BD$13:$BL$162,BP4082,0))/100))&gt;=$D$10:$L$10)),0)</f>
        <v/>
      </c>
      <c r="BR4082">
        <f>IF(4069&lt;$U$9,SUMPRODUCT(($D$10:$L$10&lt;&gt;"")*(($D$10:$L$10-($D$9:$L$9+INT(($S$12:$AA$12+INDEX($AJ$13:$AR$162,BN4082,0)+INDEX($AT$13:$BB$162,BO4082,0)+INDEX($BD$13:$BL$162,BP4082,0))/100)))&gt;0)*($D$10:$L$10-($D$9:$L$9+INT(($S$12:$AA$12+INDEX($AJ$13:$AR$162,BN4082,0)+INDEX($AT$13:$BB$162,BO4082,0)+INDEX($BD$13:$BL$162,BP4082,0))/100)))),0)</f>
        <v/>
      </c>
      <c r="BS4082">
        <f>IF(4069&lt;$U$9,SUMPRODUCT(($D$9:$L$9+INT(($S$12:$AA$12+INDEX($AJ$13:$AR$162,BN4082,0)+INDEX($AT$13:$BB$162,BO4082,0)+INDEX($BD$13:$BL$162,BP4082,0))/100))),0)</f>
        <v/>
      </c>
      <c r="BT4082">
        <f>IF(AND(4069&lt;$U$9,$W$5),BQ4082*1000000-MIN(BR4082,999)*1000+BS4082-4069/100000,-1000000000-4069)</f>
        <v/>
      </c>
    </row>
    <row r="4083">
      <c r="BN4083">
        <f>IF(4070&lt;$U$9,INT(4070/($U$7*$U$8))+1,1)</f>
        <v/>
      </c>
      <c r="BO4083">
        <f>IF(4070&lt;$U$9,MOD(INT(4070/$U$8),$U$7)+1,1)</f>
        <v/>
      </c>
      <c r="BP4083">
        <f>IF(4070&lt;$U$9,MOD(4070,$U$8)+1,1)</f>
        <v/>
      </c>
      <c r="BQ4083">
        <f>IF(4070&lt;$U$9,SUMPRODUCT(($D$10:$L$10&lt;&gt;"")*(($D$9:$L$9+INT(($S$12:$AA$12+INDEX($AJ$13:$AR$162,BN4083,0)+INDEX($AT$13:$BB$162,BO4083,0)+INDEX($BD$13:$BL$162,BP4083,0))/100))&gt;=$D$10:$L$10)),0)</f>
        <v/>
      </c>
      <c r="BR4083">
        <f>IF(4070&lt;$U$9,SUMPRODUCT(($D$10:$L$10&lt;&gt;"")*(($D$10:$L$10-($D$9:$L$9+INT(($S$12:$AA$12+INDEX($AJ$13:$AR$162,BN4083,0)+INDEX($AT$13:$BB$162,BO4083,0)+INDEX($BD$13:$BL$162,BP4083,0))/100)))&gt;0)*($D$10:$L$10-($D$9:$L$9+INT(($S$12:$AA$12+INDEX($AJ$13:$AR$162,BN4083,0)+INDEX($AT$13:$BB$162,BO4083,0)+INDEX($BD$13:$BL$162,BP4083,0))/100)))),0)</f>
        <v/>
      </c>
      <c r="BS4083">
        <f>IF(4070&lt;$U$9,SUMPRODUCT(($D$9:$L$9+INT(($S$12:$AA$12+INDEX($AJ$13:$AR$162,BN4083,0)+INDEX($AT$13:$BB$162,BO4083,0)+INDEX($BD$13:$BL$162,BP4083,0))/100))),0)</f>
        <v/>
      </c>
      <c r="BT4083">
        <f>IF(AND(4070&lt;$U$9,$W$5),BQ4083*1000000-MIN(BR4083,999)*1000+BS4083-4070/100000,-1000000000-4070)</f>
        <v/>
      </c>
    </row>
    <row r="4084">
      <c r="BN4084">
        <f>IF(4071&lt;$U$9,INT(4071/($U$7*$U$8))+1,1)</f>
        <v/>
      </c>
      <c r="BO4084">
        <f>IF(4071&lt;$U$9,MOD(INT(4071/$U$8),$U$7)+1,1)</f>
        <v/>
      </c>
      <c r="BP4084">
        <f>IF(4071&lt;$U$9,MOD(4071,$U$8)+1,1)</f>
        <v/>
      </c>
      <c r="BQ4084">
        <f>IF(4071&lt;$U$9,SUMPRODUCT(($D$10:$L$10&lt;&gt;"")*(($D$9:$L$9+INT(($S$12:$AA$12+INDEX($AJ$13:$AR$162,BN4084,0)+INDEX($AT$13:$BB$162,BO4084,0)+INDEX($BD$13:$BL$162,BP4084,0))/100))&gt;=$D$10:$L$10)),0)</f>
        <v/>
      </c>
      <c r="BR4084">
        <f>IF(4071&lt;$U$9,SUMPRODUCT(($D$10:$L$10&lt;&gt;"")*(($D$10:$L$10-($D$9:$L$9+INT(($S$12:$AA$12+INDEX($AJ$13:$AR$162,BN4084,0)+INDEX($AT$13:$BB$162,BO4084,0)+INDEX($BD$13:$BL$162,BP4084,0))/100)))&gt;0)*($D$10:$L$10-($D$9:$L$9+INT(($S$12:$AA$12+INDEX($AJ$13:$AR$162,BN4084,0)+INDEX($AT$13:$BB$162,BO4084,0)+INDEX($BD$13:$BL$162,BP4084,0))/100)))),0)</f>
        <v/>
      </c>
      <c r="BS4084">
        <f>IF(4071&lt;$U$9,SUMPRODUCT(($D$9:$L$9+INT(($S$12:$AA$12+INDEX($AJ$13:$AR$162,BN4084,0)+INDEX($AT$13:$BB$162,BO4084,0)+INDEX($BD$13:$BL$162,BP4084,0))/100))),0)</f>
        <v/>
      </c>
      <c r="BT4084">
        <f>IF(AND(4071&lt;$U$9,$W$5),BQ4084*1000000-MIN(BR4084,999)*1000+BS4084-4071/100000,-1000000000-4071)</f>
        <v/>
      </c>
    </row>
    <row r="4085">
      <c r="BN4085">
        <f>IF(4072&lt;$U$9,INT(4072/($U$7*$U$8))+1,1)</f>
        <v/>
      </c>
      <c r="BO4085">
        <f>IF(4072&lt;$U$9,MOD(INT(4072/$U$8),$U$7)+1,1)</f>
        <v/>
      </c>
      <c r="BP4085">
        <f>IF(4072&lt;$U$9,MOD(4072,$U$8)+1,1)</f>
        <v/>
      </c>
      <c r="BQ4085">
        <f>IF(4072&lt;$U$9,SUMPRODUCT(($D$10:$L$10&lt;&gt;"")*(($D$9:$L$9+INT(($S$12:$AA$12+INDEX($AJ$13:$AR$162,BN4085,0)+INDEX($AT$13:$BB$162,BO4085,0)+INDEX($BD$13:$BL$162,BP4085,0))/100))&gt;=$D$10:$L$10)),0)</f>
        <v/>
      </c>
      <c r="BR4085">
        <f>IF(4072&lt;$U$9,SUMPRODUCT(($D$10:$L$10&lt;&gt;"")*(($D$10:$L$10-($D$9:$L$9+INT(($S$12:$AA$12+INDEX($AJ$13:$AR$162,BN4085,0)+INDEX($AT$13:$BB$162,BO4085,0)+INDEX($BD$13:$BL$162,BP4085,0))/100)))&gt;0)*($D$10:$L$10-($D$9:$L$9+INT(($S$12:$AA$12+INDEX($AJ$13:$AR$162,BN4085,0)+INDEX($AT$13:$BB$162,BO4085,0)+INDEX($BD$13:$BL$162,BP4085,0))/100)))),0)</f>
        <v/>
      </c>
      <c r="BS4085">
        <f>IF(4072&lt;$U$9,SUMPRODUCT(($D$9:$L$9+INT(($S$12:$AA$12+INDEX($AJ$13:$AR$162,BN4085,0)+INDEX($AT$13:$BB$162,BO4085,0)+INDEX($BD$13:$BL$162,BP4085,0))/100))),0)</f>
        <v/>
      </c>
      <c r="BT4085">
        <f>IF(AND(4072&lt;$U$9,$W$5),BQ4085*1000000-MIN(BR4085,999)*1000+BS4085-4072/100000,-1000000000-4072)</f>
        <v/>
      </c>
    </row>
    <row r="4086">
      <c r="BN4086">
        <f>IF(4073&lt;$U$9,INT(4073/($U$7*$U$8))+1,1)</f>
        <v/>
      </c>
      <c r="BO4086">
        <f>IF(4073&lt;$U$9,MOD(INT(4073/$U$8),$U$7)+1,1)</f>
        <v/>
      </c>
      <c r="BP4086">
        <f>IF(4073&lt;$U$9,MOD(4073,$U$8)+1,1)</f>
        <v/>
      </c>
      <c r="BQ4086">
        <f>IF(4073&lt;$U$9,SUMPRODUCT(($D$10:$L$10&lt;&gt;"")*(($D$9:$L$9+INT(($S$12:$AA$12+INDEX($AJ$13:$AR$162,BN4086,0)+INDEX($AT$13:$BB$162,BO4086,0)+INDEX($BD$13:$BL$162,BP4086,0))/100))&gt;=$D$10:$L$10)),0)</f>
        <v/>
      </c>
      <c r="BR4086">
        <f>IF(4073&lt;$U$9,SUMPRODUCT(($D$10:$L$10&lt;&gt;"")*(($D$10:$L$10-($D$9:$L$9+INT(($S$12:$AA$12+INDEX($AJ$13:$AR$162,BN4086,0)+INDEX($AT$13:$BB$162,BO4086,0)+INDEX($BD$13:$BL$162,BP4086,0))/100)))&gt;0)*($D$10:$L$10-($D$9:$L$9+INT(($S$12:$AA$12+INDEX($AJ$13:$AR$162,BN4086,0)+INDEX($AT$13:$BB$162,BO4086,0)+INDEX($BD$13:$BL$162,BP4086,0))/100)))),0)</f>
        <v/>
      </c>
      <c r="BS4086">
        <f>IF(4073&lt;$U$9,SUMPRODUCT(($D$9:$L$9+INT(($S$12:$AA$12+INDEX($AJ$13:$AR$162,BN4086,0)+INDEX($AT$13:$BB$162,BO4086,0)+INDEX($BD$13:$BL$162,BP4086,0))/100))),0)</f>
        <v/>
      </c>
      <c r="BT4086">
        <f>IF(AND(4073&lt;$U$9,$W$5),BQ4086*1000000-MIN(BR4086,999)*1000+BS4086-4073/100000,-1000000000-4073)</f>
        <v/>
      </c>
    </row>
    <row r="4087">
      <c r="BN4087">
        <f>IF(4074&lt;$U$9,INT(4074/($U$7*$U$8))+1,1)</f>
        <v/>
      </c>
      <c r="BO4087">
        <f>IF(4074&lt;$U$9,MOD(INT(4074/$U$8),$U$7)+1,1)</f>
        <v/>
      </c>
      <c r="BP4087">
        <f>IF(4074&lt;$U$9,MOD(4074,$U$8)+1,1)</f>
        <v/>
      </c>
      <c r="BQ4087">
        <f>IF(4074&lt;$U$9,SUMPRODUCT(($D$10:$L$10&lt;&gt;"")*(($D$9:$L$9+INT(($S$12:$AA$12+INDEX($AJ$13:$AR$162,BN4087,0)+INDEX($AT$13:$BB$162,BO4087,0)+INDEX($BD$13:$BL$162,BP4087,0))/100))&gt;=$D$10:$L$10)),0)</f>
        <v/>
      </c>
      <c r="BR4087">
        <f>IF(4074&lt;$U$9,SUMPRODUCT(($D$10:$L$10&lt;&gt;"")*(($D$10:$L$10-($D$9:$L$9+INT(($S$12:$AA$12+INDEX($AJ$13:$AR$162,BN4087,0)+INDEX($AT$13:$BB$162,BO4087,0)+INDEX($BD$13:$BL$162,BP4087,0))/100)))&gt;0)*($D$10:$L$10-($D$9:$L$9+INT(($S$12:$AA$12+INDEX($AJ$13:$AR$162,BN4087,0)+INDEX($AT$13:$BB$162,BO4087,0)+INDEX($BD$13:$BL$162,BP4087,0))/100)))),0)</f>
        <v/>
      </c>
      <c r="BS4087">
        <f>IF(4074&lt;$U$9,SUMPRODUCT(($D$9:$L$9+INT(($S$12:$AA$12+INDEX($AJ$13:$AR$162,BN4087,0)+INDEX($AT$13:$BB$162,BO4087,0)+INDEX($BD$13:$BL$162,BP4087,0))/100))),0)</f>
        <v/>
      </c>
      <c r="BT4087">
        <f>IF(AND(4074&lt;$U$9,$W$5),BQ4087*1000000-MIN(BR4087,999)*1000+BS4087-4074/100000,-1000000000-4074)</f>
        <v/>
      </c>
    </row>
    <row r="4088">
      <c r="BN4088">
        <f>IF(4075&lt;$U$9,INT(4075/($U$7*$U$8))+1,1)</f>
        <v/>
      </c>
      <c r="BO4088">
        <f>IF(4075&lt;$U$9,MOD(INT(4075/$U$8),$U$7)+1,1)</f>
        <v/>
      </c>
      <c r="BP4088">
        <f>IF(4075&lt;$U$9,MOD(4075,$U$8)+1,1)</f>
        <v/>
      </c>
      <c r="BQ4088">
        <f>IF(4075&lt;$U$9,SUMPRODUCT(($D$10:$L$10&lt;&gt;"")*(($D$9:$L$9+INT(($S$12:$AA$12+INDEX($AJ$13:$AR$162,BN4088,0)+INDEX($AT$13:$BB$162,BO4088,0)+INDEX($BD$13:$BL$162,BP4088,0))/100))&gt;=$D$10:$L$10)),0)</f>
        <v/>
      </c>
      <c r="BR4088">
        <f>IF(4075&lt;$U$9,SUMPRODUCT(($D$10:$L$10&lt;&gt;"")*(($D$10:$L$10-($D$9:$L$9+INT(($S$12:$AA$12+INDEX($AJ$13:$AR$162,BN4088,0)+INDEX($AT$13:$BB$162,BO4088,0)+INDEX($BD$13:$BL$162,BP4088,0))/100)))&gt;0)*($D$10:$L$10-($D$9:$L$9+INT(($S$12:$AA$12+INDEX($AJ$13:$AR$162,BN4088,0)+INDEX($AT$13:$BB$162,BO4088,0)+INDEX($BD$13:$BL$162,BP4088,0))/100)))),0)</f>
        <v/>
      </c>
      <c r="BS4088">
        <f>IF(4075&lt;$U$9,SUMPRODUCT(($D$9:$L$9+INT(($S$12:$AA$12+INDEX($AJ$13:$AR$162,BN4088,0)+INDEX($AT$13:$BB$162,BO4088,0)+INDEX($BD$13:$BL$162,BP4088,0))/100))),0)</f>
        <v/>
      </c>
      <c r="BT4088">
        <f>IF(AND(4075&lt;$U$9,$W$5),BQ4088*1000000-MIN(BR4088,999)*1000+BS4088-4075/100000,-1000000000-4075)</f>
        <v/>
      </c>
    </row>
    <row r="4089">
      <c r="BN4089">
        <f>IF(4076&lt;$U$9,INT(4076/($U$7*$U$8))+1,1)</f>
        <v/>
      </c>
      <c r="BO4089">
        <f>IF(4076&lt;$U$9,MOD(INT(4076/$U$8),$U$7)+1,1)</f>
        <v/>
      </c>
      <c r="BP4089">
        <f>IF(4076&lt;$U$9,MOD(4076,$U$8)+1,1)</f>
        <v/>
      </c>
      <c r="BQ4089">
        <f>IF(4076&lt;$U$9,SUMPRODUCT(($D$10:$L$10&lt;&gt;"")*(($D$9:$L$9+INT(($S$12:$AA$12+INDEX($AJ$13:$AR$162,BN4089,0)+INDEX($AT$13:$BB$162,BO4089,0)+INDEX($BD$13:$BL$162,BP4089,0))/100))&gt;=$D$10:$L$10)),0)</f>
        <v/>
      </c>
      <c r="BR4089">
        <f>IF(4076&lt;$U$9,SUMPRODUCT(($D$10:$L$10&lt;&gt;"")*(($D$10:$L$10-($D$9:$L$9+INT(($S$12:$AA$12+INDEX($AJ$13:$AR$162,BN4089,0)+INDEX($AT$13:$BB$162,BO4089,0)+INDEX($BD$13:$BL$162,BP4089,0))/100)))&gt;0)*($D$10:$L$10-($D$9:$L$9+INT(($S$12:$AA$12+INDEX($AJ$13:$AR$162,BN4089,0)+INDEX($AT$13:$BB$162,BO4089,0)+INDEX($BD$13:$BL$162,BP4089,0))/100)))),0)</f>
        <v/>
      </c>
      <c r="BS4089">
        <f>IF(4076&lt;$U$9,SUMPRODUCT(($D$9:$L$9+INT(($S$12:$AA$12+INDEX($AJ$13:$AR$162,BN4089,0)+INDEX($AT$13:$BB$162,BO4089,0)+INDEX($BD$13:$BL$162,BP4089,0))/100))),0)</f>
        <v/>
      </c>
      <c r="BT4089">
        <f>IF(AND(4076&lt;$U$9,$W$5),BQ4089*1000000-MIN(BR4089,999)*1000+BS4089-4076/100000,-1000000000-4076)</f>
        <v/>
      </c>
    </row>
    <row r="4090">
      <c r="BN4090">
        <f>IF(4077&lt;$U$9,INT(4077/($U$7*$U$8))+1,1)</f>
        <v/>
      </c>
      <c r="BO4090">
        <f>IF(4077&lt;$U$9,MOD(INT(4077/$U$8),$U$7)+1,1)</f>
        <v/>
      </c>
      <c r="BP4090">
        <f>IF(4077&lt;$U$9,MOD(4077,$U$8)+1,1)</f>
        <v/>
      </c>
      <c r="BQ4090">
        <f>IF(4077&lt;$U$9,SUMPRODUCT(($D$10:$L$10&lt;&gt;"")*(($D$9:$L$9+INT(($S$12:$AA$12+INDEX($AJ$13:$AR$162,BN4090,0)+INDEX($AT$13:$BB$162,BO4090,0)+INDEX($BD$13:$BL$162,BP4090,0))/100))&gt;=$D$10:$L$10)),0)</f>
        <v/>
      </c>
      <c r="BR4090">
        <f>IF(4077&lt;$U$9,SUMPRODUCT(($D$10:$L$10&lt;&gt;"")*(($D$10:$L$10-($D$9:$L$9+INT(($S$12:$AA$12+INDEX($AJ$13:$AR$162,BN4090,0)+INDEX($AT$13:$BB$162,BO4090,0)+INDEX($BD$13:$BL$162,BP4090,0))/100)))&gt;0)*($D$10:$L$10-($D$9:$L$9+INT(($S$12:$AA$12+INDEX($AJ$13:$AR$162,BN4090,0)+INDEX($AT$13:$BB$162,BO4090,0)+INDEX($BD$13:$BL$162,BP4090,0))/100)))),0)</f>
        <v/>
      </c>
      <c r="BS4090">
        <f>IF(4077&lt;$U$9,SUMPRODUCT(($D$9:$L$9+INT(($S$12:$AA$12+INDEX($AJ$13:$AR$162,BN4090,0)+INDEX($AT$13:$BB$162,BO4090,0)+INDEX($BD$13:$BL$162,BP4090,0))/100))),0)</f>
        <v/>
      </c>
      <c r="BT4090">
        <f>IF(AND(4077&lt;$U$9,$W$5),BQ4090*1000000-MIN(BR4090,999)*1000+BS4090-4077/100000,-1000000000-4077)</f>
        <v/>
      </c>
    </row>
    <row r="4091">
      <c r="BN4091">
        <f>IF(4078&lt;$U$9,INT(4078/($U$7*$U$8))+1,1)</f>
        <v/>
      </c>
      <c r="BO4091">
        <f>IF(4078&lt;$U$9,MOD(INT(4078/$U$8),$U$7)+1,1)</f>
        <v/>
      </c>
      <c r="BP4091">
        <f>IF(4078&lt;$U$9,MOD(4078,$U$8)+1,1)</f>
        <v/>
      </c>
      <c r="BQ4091">
        <f>IF(4078&lt;$U$9,SUMPRODUCT(($D$10:$L$10&lt;&gt;"")*(($D$9:$L$9+INT(($S$12:$AA$12+INDEX($AJ$13:$AR$162,BN4091,0)+INDEX($AT$13:$BB$162,BO4091,0)+INDEX($BD$13:$BL$162,BP4091,0))/100))&gt;=$D$10:$L$10)),0)</f>
        <v/>
      </c>
      <c r="BR4091">
        <f>IF(4078&lt;$U$9,SUMPRODUCT(($D$10:$L$10&lt;&gt;"")*(($D$10:$L$10-($D$9:$L$9+INT(($S$12:$AA$12+INDEX($AJ$13:$AR$162,BN4091,0)+INDEX($AT$13:$BB$162,BO4091,0)+INDEX($BD$13:$BL$162,BP4091,0))/100)))&gt;0)*($D$10:$L$10-($D$9:$L$9+INT(($S$12:$AA$12+INDEX($AJ$13:$AR$162,BN4091,0)+INDEX($AT$13:$BB$162,BO4091,0)+INDEX($BD$13:$BL$162,BP4091,0))/100)))),0)</f>
        <v/>
      </c>
      <c r="BS4091">
        <f>IF(4078&lt;$U$9,SUMPRODUCT(($D$9:$L$9+INT(($S$12:$AA$12+INDEX($AJ$13:$AR$162,BN4091,0)+INDEX($AT$13:$BB$162,BO4091,0)+INDEX($BD$13:$BL$162,BP4091,0))/100))),0)</f>
        <v/>
      </c>
      <c r="BT4091">
        <f>IF(AND(4078&lt;$U$9,$W$5),BQ4091*1000000-MIN(BR4091,999)*1000+BS4091-4078/100000,-1000000000-4078)</f>
        <v/>
      </c>
    </row>
    <row r="4092">
      <c r="BN4092">
        <f>IF(4079&lt;$U$9,INT(4079/($U$7*$U$8))+1,1)</f>
        <v/>
      </c>
      <c r="BO4092">
        <f>IF(4079&lt;$U$9,MOD(INT(4079/$U$8),$U$7)+1,1)</f>
        <v/>
      </c>
      <c r="BP4092">
        <f>IF(4079&lt;$U$9,MOD(4079,$U$8)+1,1)</f>
        <v/>
      </c>
      <c r="BQ4092">
        <f>IF(4079&lt;$U$9,SUMPRODUCT(($D$10:$L$10&lt;&gt;"")*(($D$9:$L$9+INT(($S$12:$AA$12+INDEX($AJ$13:$AR$162,BN4092,0)+INDEX($AT$13:$BB$162,BO4092,0)+INDEX($BD$13:$BL$162,BP4092,0))/100))&gt;=$D$10:$L$10)),0)</f>
        <v/>
      </c>
      <c r="BR4092">
        <f>IF(4079&lt;$U$9,SUMPRODUCT(($D$10:$L$10&lt;&gt;"")*(($D$10:$L$10-($D$9:$L$9+INT(($S$12:$AA$12+INDEX($AJ$13:$AR$162,BN4092,0)+INDEX($AT$13:$BB$162,BO4092,0)+INDEX($BD$13:$BL$162,BP4092,0))/100)))&gt;0)*($D$10:$L$10-($D$9:$L$9+INT(($S$12:$AA$12+INDEX($AJ$13:$AR$162,BN4092,0)+INDEX($AT$13:$BB$162,BO4092,0)+INDEX($BD$13:$BL$162,BP4092,0))/100)))),0)</f>
        <v/>
      </c>
      <c r="BS4092">
        <f>IF(4079&lt;$U$9,SUMPRODUCT(($D$9:$L$9+INT(($S$12:$AA$12+INDEX($AJ$13:$AR$162,BN4092,0)+INDEX($AT$13:$BB$162,BO4092,0)+INDEX($BD$13:$BL$162,BP4092,0))/100))),0)</f>
        <v/>
      </c>
      <c r="BT4092">
        <f>IF(AND(4079&lt;$U$9,$W$5),BQ4092*1000000-MIN(BR4092,999)*1000+BS4092-4079/100000,-1000000000-4079)</f>
        <v/>
      </c>
    </row>
    <row r="4093">
      <c r="BN4093">
        <f>IF(4080&lt;$U$9,INT(4080/($U$7*$U$8))+1,1)</f>
        <v/>
      </c>
      <c r="BO4093">
        <f>IF(4080&lt;$U$9,MOD(INT(4080/$U$8),$U$7)+1,1)</f>
        <v/>
      </c>
      <c r="BP4093">
        <f>IF(4080&lt;$U$9,MOD(4080,$U$8)+1,1)</f>
        <v/>
      </c>
      <c r="BQ4093">
        <f>IF(4080&lt;$U$9,SUMPRODUCT(($D$10:$L$10&lt;&gt;"")*(($D$9:$L$9+INT(($S$12:$AA$12+INDEX($AJ$13:$AR$162,BN4093,0)+INDEX($AT$13:$BB$162,BO4093,0)+INDEX($BD$13:$BL$162,BP4093,0))/100))&gt;=$D$10:$L$10)),0)</f>
        <v/>
      </c>
      <c r="BR4093">
        <f>IF(4080&lt;$U$9,SUMPRODUCT(($D$10:$L$10&lt;&gt;"")*(($D$10:$L$10-($D$9:$L$9+INT(($S$12:$AA$12+INDEX($AJ$13:$AR$162,BN4093,0)+INDEX($AT$13:$BB$162,BO4093,0)+INDEX($BD$13:$BL$162,BP4093,0))/100)))&gt;0)*($D$10:$L$10-($D$9:$L$9+INT(($S$12:$AA$12+INDEX($AJ$13:$AR$162,BN4093,0)+INDEX($AT$13:$BB$162,BO4093,0)+INDEX($BD$13:$BL$162,BP4093,0))/100)))),0)</f>
        <v/>
      </c>
      <c r="BS4093">
        <f>IF(4080&lt;$U$9,SUMPRODUCT(($D$9:$L$9+INT(($S$12:$AA$12+INDEX($AJ$13:$AR$162,BN4093,0)+INDEX($AT$13:$BB$162,BO4093,0)+INDEX($BD$13:$BL$162,BP4093,0))/100))),0)</f>
        <v/>
      </c>
      <c r="BT4093">
        <f>IF(AND(4080&lt;$U$9,$W$5),BQ4093*1000000-MIN(BR4093,999)*1000+BS4093-4080/100000,-1000000000-4080)</f>
        <v/>
      </c>
    </row>
    <row r="4094">
      <c r="BN4094">
        <f>IF(4081&lt;$U$9,INT(4081/($U$7*$U$8))+1,1)</f>
        <v/>
      </c>
      <c r="BO4094">
        <f>IF(4081&lt;$U$9,MOD(INT(4081/$U$8),$U$7)+1,1)</f>
        <v/>
      </c>
      <c r="BP4094">
        <f>IF(4081&lt;$U$9,MOD(4081,$U$8)+1,1)</f>
        <v/>
      </c>
      <c r="BQ4094">
        <f>IF(4081&lt;$U$9,SUMPRODUCT(($D$10:$L$10&lt;&gt;"")*(($D$9:$L$9+INT(($S$12:$AA$12+INDEX($AJ$13:$AR$162,BN4094,0)+INDEX($AT$13:$BB$162,BO4094,0)+INDEX($BD$13:$BL$162,BP4094,0))/100))&gt;=$D$10:$L$10)),0)</f>
        <v/>
      </c>
      <c r="BR4094">
        <f>IF(4081&lt;$U$9,SUMPRODUCT(($D$10:$L$10&lt;&gt;"")*(($D$10:$L$10-($D$9:$L$9+INT(($S$12:$AA$12+INDEX($AJ$13:$AR$162,BN4094,0)+INDEX($AT$13:$BB$162,BO4094,0)+INDEX($BD$13:$BL$162,BP4094,0))/100)))&gt;0)*($D$10:$L$10-($D$9:$L$9+INT(($S$12:$AA$12+INDEX($AJ$13:$AR$162,BN4094,0)+INDEX($AT$13:$BB$162,BO4094,0)+INDEX($BD$13:$BL$162,BP4094,0))/100)))),0)</f>
        <v/>
      </c>
      <c r="BS4094">
        <f>IF(4081&lt;$U$9,SUMPRODUCT(($D$9:$L$9+INT(($S$12:$AA$12+INDEX($AJ$13:$AR$162,BN4094,0)+INDEX($AT$13:$BB$162,BO4094,0)+INDEX($BD$13:$BL$162,BP4094,0))/100))),0)</f>
        <v/>
      </c>
      <c r="BT4094">
        <f>IF(AND(4081&lt;$U$9,$W$5),BQ4094*1000000-MIN(BR4094,999)*1000+BS4094-4081/100000,-1000000000-4081)</f>
        <v/>
      </c>
    </row>
    <row r="4095">
      <c r="BN4095">
        <f>IF(4082&lt;$U$9,INT(4082/($U$7*$U$8))+1,1)</f>
        <v/>
      </c>
      <c r="BO4095">
        <f>IF(4082&lt;$U$9,MOD(INT(4082/$U$8),$U$7)+1,1)</f>
        <v/>
      </c>
      <c r="BP4095">
        <f>IF(4082&lt;$U$9,MOD(4082,$U$8)+1,1)</f>
        <v/>
      </c>
      <c r="BQ4095">
        <f>IF(4082&lt;$U$9,SUMPRODUCT(($D$10:$L$10&lt;&gt;"")*(($D$9:$L$9+INT(($S$12:$AA$12+INDEX($AJ$13:$AR$162,BN4095,0)+INDEX($AT$13:$BB$162,BO4095,0)+INDEX($BD$13:$BL$162,BP4095,0))/100))&gt;=$D$10:$L$10)),0)</f>
        <v/>
      </c>
      <c r="BR4095">
        <f>IF(4082&lt;$U$9,SUMPRODUCT(($D$10:$L$10&lt;&gt;"")*(($D$10:$L$10-($D$9:$L$9+INT(($S$12:$AA$12+INDEX($AJ$13:$AR$162,BN4095,0)+INDEX($AT$13:$BB$162,BO4095,0)+INDEX($BD$13:$BL$162,BP4095,0))/100)))&gt;0)*($D$10:$L$10-($D$9:$L$9+INT(($S$12:$AA$12+INDEX($AJ$13:$AR$162,BN4095,0)+INDEX($AT$13:$BB$162,BO4095,0)+INDEX($BD$13:$BL$162,BP4095,0))/100)))),0)</f>
        <v/>
      </c>
      <c r="BS4095">
        <f>IF(4082&lt;$U$9,SUMPRODUCT(($D$9:$L$9+INT(($S$12:$AA$12+INDEX($AJ$13:$AR$162,BN4095,0)+INDEX($AT$13:$BB$162,BO4095,0)+INDEX($BD$13:$BL$162,BP4095,0))/100))),0)</f>
        <v/>
      </c>
      <c r="BT4095">
        <f>IF(AND(4082&lt;$U$9,$W$5),BQ4095*1000000-MIN(BR4095,999)*1000+BS4095-4082/100000,-1000000000-4082)</f>
        <v/>
      </c>
    </row>
    <row r="4096">
      <c r="BN4096">
        <f>IF(4083&lt;$U$9,INT(4083/($U$7*$U$8))+1,1)</f>
        <v/>
      </c>
      <c r="BO4096">
        <f>IF(4083&lt;$U$9,MOD(INT(4083/$U$8),$U$7)+1,1)</f>
        <v/>
      </c>
      <c r="BP4096">
        <f>IF(4083&lt;$U$9,MOD(4083,$U$8)+1,1)</f>
        <v/>
      </c>
      <c r="BQ4096">
        <f>IF(4083&lt;$U$9,SUMPRODUCT(($D$10:$L$10&lt;&gt;"")*(($D$9:$L$9+INT(($S$12:$AA$12+INDEX($AJ$13:$AR$162,BN4096,0)+INDEX($AT$13:$BB$162,BO4096,0)+INDEX($BD$13:$BL$162,BP4096,0))/100))&gt;=$D$10:$L$10)),0)</f>
        <v/>
      </c>
      <c r="BR4096">
        <f>IF(4083&lt;$U$9,SUMPRODUCT(($D$10:$L$10&lt;&gt;"")*(($D$10:$L$10-($D$9:$L$9+INT(($S$12:$AA$12+INDEX($AJ$13:$AR$162,BN4096,0)+INDEX($AT$13:$BB$162,BO4096,0)+INDEX($BD$13:$BL$162,BP4096,0))/100)))&gt;0)*($D$10:$L$10-($D$9:$L$9+INT(($S$12:$AA$12+INDEX($AJ$13:$AR$162,BN4096,0)+INDEX($AT$13:$BB$162,BO4096,0)+INDEX($BD$13:$BL$162,BP4096,0))/100)))),0)</f>
        <v/>
      </c>
      <c r="BS4096">
        <f>IF(4083&lt;$U$9,SUMPRODUCT(($D$9:$L$9+INT(($S$12:$AA$12+INDEX($AJ$13:$AR$162,BN4096,0)+INDEX($AT$13:$BB$162,BO4096,0)+INDEX($BD$13:$BL$162,BP4096,0))/100))),0)</f>
        <v/>
      </c>
      <c r="BT4096">
        <f>IF(AND(4083&lt;$U$9,$W$5),BQ4096*1000000-MIN(BR4096,999)*1000+BS4096-4083/100000,-1000000000-4083)</f>
        <v/>
      </c>
    </row>
    <row r="4097">
      <c r="BN4097">
        <f>IF(4084&lt;$U$9,INT(4084/($U$7*$U$8))+1,1)</f>
        <v/>
      </c>
      <c r="BO4097">
        <f>IF(4084&lt;$U$9,MOD(INT(4084/$U$8),$U$7)+1,1)</f>
        <v/>
      </c>
      <c r="BP4097">
        <f>IF(4084&lt;$U$9,MOD(4084,$U$8)+1,1)</f>
        <v/>
      </c>
      <c r="BQ4097">
        <f>IF(4084&lt;$U$9,SUMPRODUCT(($D$10:$L$10&lt;&gt;"")*(($D$9:$L$9+INT(($S$12:$AA$12+INDEX($AJ$13:$AR$162,BN4097,0)+INDEX($AT$13:$BB$162,BO4097,0)+INDEX($BD$13:$BL$162,BP4097,0))/100))&gt;=$D$10:$L$10)),0)</f>
        <v/>
      </c>
      <c r="BR4097">
        <f>IF(4084&lt;$U$9,SUMPRODUCT(($D$10:$L$10&lt;&gt;"")*(($D$10:$L$10-($D$9:$L$9+INT(($S$12:$AA$12+INDEX($AJ$13:$AR$162,BN4097,0)+INDEX($AT$13:$BB$162,BO4097,0)+INDEX($BD$13:$BL$162,BP4097,0))/100)))&gt;0)*($D$10:$L$10-($D$9:$L$9+INT(($S$12:$AA$12+INDEX($AJ$13:$AR$162,BN4097,0)+INDEX($AT$13:$BB$162,BO4097,0)+INDEX($BD$13:$BL$162,BP4097,0))/100)))),0)</f>
        <v/>
      </c>
      <c r="BS4097">
        <f>IF(4084&lt;$U$9,SUMPRODUCT(($D$9:$L$9+INT(($S$12:$AA$12+INDEX($AJ$13:$AR$162,BN4097,0)+INDEX($AT$13:$BB$162,BO4097,0)+INDEX($BD$13:$BL$162,BP4097,0))/100))),0)</f>
        <v/>
      </c>
      <c r="BT4097">
        <f>IF(AND(4084&lt;$U$9,$W$5),BQ4097*1000000-MIN(BR4097,999)*1000+BS4097-4084/100000,-1000000000-4084)</f>
        <v/>
      </c>
    </row>
    <row r="4098">
      <c r="BN4098">
        <f>IF(4085&lt;$U$9,INT(4085/($U$7*$U$8))+1,1)</f>
        <v/>
      </c>
      <c r="BO4098">
        <f>IF(4085&lt;$U$9,MOD(INT(4085/$U$8),$U$7)+1,1)</f>
        <v/>
      </c>
      <c r="BP4098">
        <f>IF(4085&lt;$U$9,MOD(4085,$U$8)+1,1)</f>
        <v/>
      </c>
      <c r="BQ4098">
        <f>IF(4085&lt;$U$9,SUMPRODUCT(($D$10:$L$10&lt;&gt;"")*(($D$9:$L$9+INT(($S$12:$AA$12+INDEX($AJ$13:$AR$162,BN4098,0)+INDEX($AT$13:$BB$162,BO4098,0)+INDEX($BD$13:$BL$162,BP4098,0))/100))&gt;=$D$10:$L$10)),0)</f>
        <v/>
      </c>
      <c r="BR4098">
        <f>IF(4085&lt;$U$9,SUMPRODUCT(($D$10:$L$10&lt;&gt;"")*(($D$10:$L$10-($D$9:$L$9+INT(($S$12:$AA$12+INDEX($AJ$13:$AR$162,BN4098,0)+INDEX($AT$13:$BB$162,BO4098,0)+INDEX($BD$13:$BL$162,BP4098,0))/100)))&gt;0)*($D$10:$L$10-($D$9:$L$9+INT(($S$12:$AA$12+INDEX($AJ$13:$AR$162,BN4098,0)+INDEX($AT$13:$BB$162,BO4098,0)+INDEX($BD$13:$BL$162,BP4098,0))/100)))),0)</f>
        <v/>
      </c>
      <c r="BS4098">
        <f>IF(4085&lt;$U$9,SUMPRODUCT(($D$9:$L$9+INT(($S$12:$AA$12+INDEX($AJ$13:$AR$162,BN4098,0)+INDEX($AT$13:$BB$162,BO4098,0)+INDEX($BD$13:$BL$162,BP4098,0))/100))),0)</f>
        <v/>
      </c>
      <c r="BT4098">
        <f>IF(AND(4085&lt;$U$9,$W$5),BQ4098*1000000-MIN(BR4098,999)*1000+BS4098-4085/100000,-1000000000-4085)</f>
        <v/>
      </c>
    </row>
    <row r="4099">
      <c r="BN4099">
        <f>IF(4086&lt;$U$9,INT(4086/($U$7*$U$8))+1,1)</f>
        <v/>
      </c>
      <c r="BO4099">
        <f>IF(4086&lt;$U$9,MOD(INT(4086/$U$8),$U$7)+1,1)</f>
        <v/>
      </c>
      <c r="BP4099">
        <f>IF(4086&lt;$U$9,MOD(4086,$U$8)+1,1)</f>
        <v/>
      </c>
      <c r="BQ4099">
        <f>IF(4086&lt;$U$9,SUMPRODUCT(($D$10:$L$10&lt;&gt;"")*(($D$9:$L$9+INT(($S$12:$AA$12+INDEX($AJ$13:$AR$162,BN4099,0)+INDEX($AT$13:$BB$162,BO4099,0)+INDEX($BD$13:$BL$162,BP4099,0))/100))&gt;=$D$10:$L$10)),0)</f>
        <v/>
      </c>
      <c r="BR4099">
        <f>IF(4086&lt;$U$9,SUMPRODUCT(($D$10:$L$10&lt;&gt;"")*(($D$10:$L$10-($D$9:$L$9+INT(($S$12:$AA$12+INDEX($AJ$13:$AR$162,BN4099,0)+INDEX($AT$13:$BB$162,BO4099,0)+INDEX($BD$13:$BL$162,BP4099,0))/100)))&gt;0)*($D$10:$L$10-($D$9:$L$9+INT(($S$12:$AA$12+INDEX($AJ$13:$AR$162,BN4099,0)+INDEX($AT$13:$BB$162,BO4099,0)+INDEX($BD$13:$BL$162,BP4099,0))/100)))),0)</f>
        <v/>
      </c>
      <c r="BS4099">
        <f>IF(4086&lt;$U$9,SUMPRODUCT(($D$9:$L$9+INT(($S$12:$AA$12+INDEX($AJ$13:$AR$162,BN4099,0)+INDEX($AT$13:$BB$162,BO4099,0)+INDEX($BD$13:$BL$162,BP4099,0))/100))),0)</f>
        <v/>
      </c>
      <c r="BT4099">
        <f>IF(AND(4086&lt;$U$9,$W$5),BQ4099*1000000-MIN(BR4099,999)*1000+BS4099-4086/100000,-1000000000-4086)</f>
        <v/>
      </c>
    </row>
    <row r="4100">
      <c r="BN4100">
        <f>IF(4087&lt;$U$9,INT(4087/($U$7*$U$8))+1,1)</f>
        <v/>
      </c>
      <c r="BO4100">
        <f>IF(4087&lt;$U$9,MOD(INT(4087/$U$8),$U$7)+1,1)</f>
        <v/>
      </c>
      <c r="BP4100">
        <f>IF(4087&lt;$U$9,MOD(4087,$U$8)+1,1)</f>
        <v/>
      </c>
      <c r="BQ4100">
        <f>IF(4087&lt;$U$9,SUMPRODUCT(($D$10:$L$10&lt;&gt;"")*(($D$9:$L$9+INT(($S$12:$AA$12+INDEX($AJ$13:$AR$162,BN4100,0)+INDEX($AT$13:$BB$162,BO4100,0)+INDEX($BD$13:$BL$162,BP4100,0))/100))&gt;=$D$10:$L$10)),0)</f>
        <v/>
      </c>
      <c r="BR4100">
        <f>IF(4087&lt;$U$9,SUMPRODUCT(($D$10:$L$10&lt;&gt;"")*(($D$10:$L$10-($D$9:$L$9+INT(($S$12:$AA$12+INDEX($AJ$13:$AR$162,BN4100,0)+INDEX($AT$13:$BB$162,BO4100,0)+INDEX($BD$13:$BL$162,BP4100,0))/100)))&gt;0)*($D$10:$L$10-($D$9:$L$9+INT(($S$12:$AA$12+INDEX($AJ$13:$AR$162,BN4100,0)+INDEX($AT$13:$BB$162,BO4100,0)+INDEX($BD$13:$BL$162,BP4100,0))/100)))),0)</f>
        <v/>
      </c>
      <c r="BS4100">
        <f>IF(4087&lt;$U$9,SUMPRODUCT(($D$9:$L$9+INT(($S$12:$AA$12+INDEX($AJ$13:$AR$162,BN4100,0)+INDEX($AT$13:$BB$162,BO4100,0)+INDEX($BD$13:$BL$162,BP4100,0))/100))),0)</f>
        <v/>
      </c>
      <c r="BT4100">
        <f>IF(AND(4087&lt;$U$9,$W$5),BQ4100*1000000-MIN(BR4100,999)*1000+BS4100-4087/100000,-1000000000-4087)</f>
        <v/>
      </c>
    </row>
    <row r="4101">
      <c r="BN4101">
        <f>IF(4088&lt;$U$9,INT(4088/($U$7*$U$8))+1,1)</f>
        <v/>
      </c>
      <c r="BO4101">
        <f>IF(4088&lt;$U$9,MOD(INT(4088/$U$8),$U$7)+1,1)</f>
        <v/>
      </c>
      <c r="BP4101">
        <f>IF(4088&lt;$U$9,MOD(4088,$U$8)+1,1)</f>
        <v/>
      </c>
      <c r="BQ4101">
        <f>IF(4088&lt;$U$9,SUMPRODUCT(($D$10:$L$10&lt;&gt;"")*(($D$9:$L$9+INT(($S$12:$AA$12+INDEX($AJ$13:$AR$162,BN4101,0)+INDEX($AT$13:$BB$162,BO4101,0)+INDEX($BD$13:$BL$162,BP4101,0))/100))&gt;=$D$10:$L$10)),0)</f>
        <v/>
      </c>
      <c r="BR4101">
        <f>IF(4088&lt;$U$9,SUMPRODUCT(($D$10:$L$10&lt;&gt;"")*(($D$10:$L$10-($D$9:$L$9+INT(($S$12:$AA$12+INDEX($AJ$13:$AR$162,BN4101,0)+INDEX($AT$13:$BB$162,BO4101,0)+INDEX($BD$13:$BL$162,BP4101,0))/100)))&gt;0)*($D$10:$L$10-($D$9:$L$9+INT(($S$12:$AA$12+INDEX($AJ$13:$AR$162,BN4101,0)+INDEX($AT$13:$BB$162,BO4101,0)+INDEX($BD$13:$BL$162,BP4101,0))/100)))),0)</f>
        <v/>
      </c>
      <c r="BS4101">
        <f>IF(4088&lt;$U$9,SUMPRODUCT(($D$9:$L$9+INT(($S$12:$AA$12+INDEX($AJ$13:$AR$162,BN4101,0)+INDEX($AT$13:$BB$162,BO4101,0)+INDEX($BD$13:$BL$162,BP4101,0))/100))),0)</f>
        <v/>
      </c>
      <c r="BT4101">
        <f>IF(AND(4088&lt;$U$9,$W$5),BQ4101*1000000-MIN(BR4101,999)*1000+BS4101-4088/100000,-1000000000-4088)</f>
        <v/>
      </c>
    </row>
    <row r="4102">
      <c r="BN4102">
        <f>IF(4089&lt;$U$9,INT(4089/($U$7*$U$8))+1,1)</f>
        <v/>
      </c>
      <c r="BO4102">
        <f>IF(4089&lt;$U$9,MOD(INT(4089/$U$8),$U$7)+1,1)</f>
        <v/>
      </c>
      <c r="BP4102">
        <f>IF(4089&lt;$U$9,MOD(4089,$U$8)+1,1)</f>
        <v/>
      </c>
      <c r="BQ4102">
        <f>IF(4089&lt;$U$9,SUMPRODUCT(($D$10:$L$10&lt;&gt;"")*(($D$9:$L$9+INT(($S$12:$AA$12+INDEX($AJ$13:$AR$162,BN4102,0)+INDEX($AT$13:$BB$162,BO4102,0)+INDEX($BD$13:$BL$162,BP4102,0))/100))&gt;=$D$10:$L$10)),0)</f>
        <v/>
      </c>
      <c r="BR4102">
        <f>IF(4089&lt;$U$9,SUMPRODUCT(($D$10:$L$10&lt;&gt;"")*(($D$10:$L$10-($D$9:$L$9+INT(($S$12:$AA$12+INDEX($AJ$13:$AR$162,BN4102,0)+INDEX($AT$13:$BB$162,BO4102,0)+INDEX($BD$13:$BL$162,BP4102,0))/100)))&gt;0)*($D$10:$L$10-($D$9:$L$9+INT(($S$12:$AA$12+INDEX($AJ$13:$AR$162,BN4102,0)+INDEX($AT$13:$BB$162,BO4102,0)+INDEX($BD$13:$BL$162,BP4102,0))/100)))),0)</f>
        <v/>
      </c>
      <c r="BS4102">
        <f>IF(4089&lt;$U$9,SUMPRODUCT(($D$9:$L$9+INT(($S$12:$AA$12+INDEX($AJ$13:$AR$162,BN4102,0)+INDEX($AT$13:$BB$162,BO4102,0)+INDEX($BD$13:$BL$162,BP4102,0))/100))),0)</f>
        <v/>
      </c>
      <c r="BT4102">
        <f>IF(AND(4089&lt;$U$9,$W$5),BQ4102*1000000-MIN(BR4102,999)*1000+BS4102-4089/100000,-1000000000-4089)</f>
        <v/>
      </c>
    </row>
    <row r="4103">
      <c r="BN4103">
        <f>IF(4090&lt;$U$9,INT(4090/($U$7*$U$8))+1,1)</f>
        <v/>
      </c>
      <c r="BO4103">
        <f>IF(4090&lt;$U$9,MOD(INT(4090/$U$8),$U$7)+1,1)</f>
        <v/>
      </c>
      <c r="BP4103">
        <f>IF(4090&lt;$U$9,MOD(4090,$U$8)+1,1)</f>
        <v/>
      </c>
      <c r="BQ4103">
        <f>IF(4090&lt;$U$9,SUMPRODUCT(($D$10:$L$10&lt;&gt;"")*(($D$9:$L$9+INT(($S$12:$AA$12+INDEX($AJ$13:$AR$162,BN4103,0)+INDEX($AT$13:$BB$162,BO4103,0)+INDEX($BD$13:$BL$162,BP4103,0))/100))&gt;=$D$10:$L$10)),0)</f>
        <v/>
      </c>
      <c r="BR4103">
        <f>IF(4090&lt;$U$9,SUMPRODUCT(($D$10:$L$10&lt;&gt;"")*(($D$10:$L$10-($D$9:$L$9+INT(($S$12:$AA$12+INDEX($AJ$13:$AR$162,BN4103,0)+INDEX($AT$13:$BB$162,BO4103,0)+INDEX($BD$13:$BL$162,BP4103,0))/100)))&gt;0)*($D$10:$L$10-($D$9:$L$9+INT(($S$12:$AA$12+INDEX($AJ$13:$AR$162,BN4103,0)+INDEX($AT$13:$BB$162,BO4103,0)+INDEX($BD$13:$BL$162,BP4103,0))/100)))),0)</f>
        <v/>
      </c>
      <c r="BS4103">
        <f>IF(4090&lt;$U$9,SUMPRODUCT(($D$9:$L$9+INT(($S$12:$AA$12+INDEX($AJ$13:$AR$162,BN4103,0)+INDEX($AT$13:$BB$162,BO4103,0)+INDEX($BD$13:$BL$162,BP4103,0))/100))),0)</f>
        <v/>
      </c>
      <c r="BT4103">
        <f>IF(AND(4090&lt;$U$9,$W$5),BQ4103*1000000-MIN(BR4103,999)*1000+BS4103-4090/100000,-1000000000-4090)</f>
        <v/>
      </c>
    </row>
    <row r="4104">
      <c r="BN4104">
        <f>IF(4091&lt;$U$9,INT(4091/($U$7*$U$8))+1,1)</f>
        <v/>
      </c>
      <c r="BO4104">
        <f>IF(4091&lt;$U$9,MOD(INT(4091/$U$8),$U$7)+1,1)</f>
        <v/>
      </c>
      <c r="BP4104">
        <f>IF(4091&lt;$U$9,MOD(4091,$U$8)+1,1)</f>
        <v/>
      </c>
      <c r="BQ4104">
        <f>IF(4091&lt;$U$9,SUMPRODUCT(($D$10:$L$10&lt;&gt;"")*(($D$9:$L$9+INT(($S$12:$AA$12+INDEX($AJ$13:$AR$162,BN4104,0)+INDEX($AT$13:$BB$162,BO4104,0)+INDEX($BD$13:$BL$162,BP4104,0))/100))&gt;=$D$10:$L$10)),0)</f>
        <v/>
      </c>
      <c r="BR4104">
        <f>IF(4091&lt;$U$9,SUMPRODUCT(($D$10:$L$10&lt;&gt;"")*(($D$10:$L$10-($D$9:$L$9+INT(($S$12:$AA$12+INDEX($AJ$13:$AR$162,BN4104,0)+INDEX($AT$13:$BB$162,BO4104,0)+INDEX($BD$13:$BL$162,BP4104,0))/100)))&gt;0)*($D$10:$L$10-($D$9:$L$9+INT(($S$12:$AA$12+INDEX($AJ$13:$AR$162,BN4104,0)+INDEX($AT$13:$BB$162,BO4104,0)+INDEX($BD$13:$BL$162,BP4104,0))/100)))),0)</f>
        <v/>
      </c>
      <c r="BS4104">
        <f>IF(4091&lt;$U$9,SUMPRODUCT(($D$9:$L$9+INT(($S$12:$AA$12+INDEX($AJ$13:$AR$162,BN4104,0)+INDEX($AT$13:$BB$162,BO4104,0)+INDEX($BD$13:$BL$162,BP4104,0))/100))),0)</f>
        <v/>
      </c>
      <c r="BT4104">
        <f>IF(AND(4091&lt;$U$9,$W$5),BQ4104*1000000-MIN(BR4104,999)*1000+BS4104-4091/100000,-1000000000-4091)</f>
        <v/>
      </c>
    </row>
    <row r="4105">
      <c r="BN4105">
        <f>IF(4092&lt;$U$9,INT(4092/($U$7*$U$8))+1,1)</f>
        <v/>
      </c>
      <c r="BO4105">
        <f>IF(4092&lt;$U$9,MOD(INT(4092/$U$8),$U$7)+1,1)</f>
        <v/>
      </c>
      <c r="BP4105">
        <f>IF(4092&lt;$U$9,MOD(4092,$U$8)+1,1)</f>
        <v/>
      </c>
      <c r="BQ4105">
        <f>IF(4092&lt;$U$9,SUMPRODUCT(($D$10:$L$10&lt;&gt;"")*(($D$9:$L$9+INT(($S$12:$AA$12+INDEX($AJ$13:$AR$162,BN4105,0)+INDEX($AT$13:$BB$162,BO4105,0)+INDEX($BD$13:$BL$162,BP4105,0))/100))&gt;=$D$10:$L$10)),0)</f>
        <v/>
      </c>
      <c r="BR4105">
        <f>IF(4092&lt;$U$9,SUMPRODUCT(($D$10:$L$10&lt;&gt;"")*(($D$10:$L$10-($D$9:$L$9+INT(($S$12:$AA$12+INDEX($AJ$13:$AR$162,BN4105,0)+INDEX($AT$13:$BB$162,BO4105,0)+INDEX($BD$13:$BL$162,BP4105,0))/100)))&gt;0)*($D$10:$L$10-($D$9:$L$9+INT(($S$12:$AA$12+INDEX($AJ$13:$AR$162,BN4105,0)+INDEX($AT$13:$BB$162,BO4105,0)+INDEX($BD$13:$BL$162,BP4105,0))/100)))),0)</f>
        <v/>
      </c>
      <c r="BS4105">
        <f>IF(4092&lt;$U$9,SUMPRODUCT(($D$9:$L$9+INT(($S$12:$AA$12+INDEX($AJ$13:$AR$162,BN4105,0)+INDEX($AT$13:$BB$162,BO4105,0)+INDEX($BD$13:$BL$162,BP4105,0))/100))),0)</f>
        <v/>
      </c>
      <c r="BT4105">
        <f>IF(AND(4092&lt;$U$9,$W$5),BQ4105*1000000-MIN(BR4105,999)*1000+BS4105-4092/100000,-1000000000-4092)</f>
        <v/>
      </c>
    </row>
    <row r="4106">
      <c r="BN4106">
        <f>IF(4093&lt;$U$9,INT(4093/($U$7*$U$8))+1,1)</f>
        <v/>
      </c>
      <c r="BO4106">
        <f>IF(4093&lt;$U$9,MOD(INT(4093/$U$8),$U$7)+1,1)</f>
        <v/>
      </c>
      <c r="BP4106">
        <f>IF(4093&lt;$U$9,MOD(4093,$U$8)+1,1)</f>
        <v/>
      </c>
      <c r="BQ4106">
        <f>IF(4093&lt;$U$9,SUMPRODUCT(($D$10:$L$10&lt;&gt;"")*(($D$9:$L$9+INT(($S$12:$AA$12+INDEX($AJ$13:$AR$162,BN4106,0)+INDEX($AT$13:$BB$162,BO4106,0)+INDEX($BD$13:$BL$162,BP4106,0))/100))&gt;=$D$10:$L$10)),0)</f>
        <v/>
      </c>
      <c r="BR4106">
        <f>IF(4093&lt;$U$9,SUMPRODUCT(($D$10:$L$10&lt;&gt;"")*(($D$10:$L$10-($D$9:$L$9+INT(($S$12:$AA$12+INDEX($AJ$13:$AR$162,BN4106,0)+INDEX($AT$13:$BB$162,BO4106,0)+INDEX($BD$13:$BL$162,BP4106,0))/100)))&gt;0)*($D$10:$L$10-($D$9:$L$9+INT(($S$12:$AA$12+INDEX($AJ$13:$AR$162,BN4106,0)+INDEX($AT$13:$BB$162,BO4106,0)+INDEX($BD$13:$BL$162,BP4106,0))/100)))),0)</f>
        <v/>
      </c>
      <c r="BS4106">
        <f>IF(4093&lt;$U$9,SUMPRODUCT(($D$9:$L$9+INT(($S$12:$AA$12+INDEX($AJ$13:$AR$162,BN4106,0)+INDEX($AT$13:$BB$162,BO4106,0)+INDEX($BD$13:$BL$162,BP4106,0))/100))),0)</f>
        <v/>
      </c>
      <c r="BT4106">
        <f>IF(AND(4093&lt;$U$9,$W$5),BQ4106*1000000-MIN(BR4106,999)*1000+BS4106-4093/100000,-1000000000-4093)</f>
        <v/>
      </c>
    </row>
    <row r="4107">
      <c r="BN4107">
        <f>IF(4094&lt;$U$9,INT(4094/($U$7*$U$8))+1,1)</f>
        <v/>
      </c>
      <c r="BO4107">
        <f>IF(4094&lt;$U$9,MOD(INT(4094/$U$8),$U$7)+1,1)</f>
        <v/>
      </c>
      <c r="BP4107">
        <f>IF(4094&lt;$U$9,MOD(4094,$U$8)+1,1)</f>
        <v/>
      </c>
      <c r="BQ4107">
        <f>IF(4094&lt;$U$9,SUMPRODUCT(($D$10:$L$10&lt;&gt;"")*(($D$9:$L$9+INT(($S$12:$AA$12+INDEX($AJ$13:$AR$162,BN4107,0)+INDEX($AT$13:$BB$162,BO4107,0)+INDEX($BD$13:$BL$162,BP4107,0))/100))&gt;=$D$10:$L$10)),0)</f>
        <v/>
      </c>
      <c r="BR4107">
        <f>IF(4094&lt;$U$9,SUMPRODUCT(($D$10:$L$10&lt;&gt;"")*(($D$10:$L$10-($D$9:$L$9+INT(($S$12:$AA$12+INDEX($AJ$13:$AR$162,BN4107,0)+INDEX($AT$13:$BB$162,BO4107,0)+INDEX($BD$13:$BL$162,BP4107,0))/100)))&gt;0)*($D$10:$L$10-($D$9:$L$9+INT(($S$12:$AA$12+INDEX($AJ$13:$AR$162,BN4107,0)+INDEX($AT$13:$BB$162,BO4107,0)+INDEX($BD$13:$BL$162,BP4107,0))/100)))),0)</f>
        <v/>
      </c>
      <c r="BS4107">
        <f>IF(4094&lt;$U$9,SUMPRODUCT(($D$9:$L$9+INT(($S$12:$AA$12+INDEX($AJ$13:$AR$162,BN4107,0)+INDEX($AT$13:$BB$162,BO4107,0)+INDEX($BD$13:$BL$162,BP4107,0))/100))),0)</f>
        <v/>
      </c>
      <c r="BT4107">
        <f>IF(AND(4094&lt;$U$9,$W$5),BQ4107*1000000-MIN(BR4107,999)*1000+BS4107-4094/100000,-1000000000-4094)</f>
        <v/>
      </c>
    </row>
    <row r="4108">
      <c r="BN4108">
        <f>IF(4095&lt;$U$9,INT(4095/($U$7*$U$8))+1,1)</f>
        <v/>
      </c>
      <c r="BO4108">
        <f>IF(4095&lt;$U$9,MOD(INT(4095/$U$8),$U$7)+1,1)</f>
        <v/>
      </c>
      <c r="BP4108">
        <f>IF(4095&lt;$U$9,MOD(4095,$U$8)+1,1)</f>
        <v/>
      </c>
      <c r="BQ4108">
        <f>IF(4095&lt;$U$9,SUMPRODUCT(($D$10:$L$10&lt;&gt;"")*(($D$9:$L$9+INT(($S$12:$AA$12+INDEX($AJ$13:$AR$162,BN4108,0)+INDEX($AT$13:$BB$162,BO4108,0)+INDEX($BD$13:$BL$162,BP4108,0))/100))&gt;=$D$10:$L$10)),0)</f>
        <v/>
      </c>
      <c r="BR4108">
        <f>IF(4095&lt;$U$9,SUMPRODUCT(($D$10:$L$10&lt;&gt;"")*(($D$10:$L$10-($D$9:$L$9+INT(($S$12:$AA$12+INDEX($AJ$13:$AR$162,BN4108,0)+INDEX($AT$13:$BB$162,BO4108,0)+INDEX($BD$13:$BL$162,BP4108,0))/100)))&gt;0)*($D$10:$L$10-($D$9:$L$9+INT(($S$12:$AA$12+INDEX($AJ$13:$AR$162,BN4108,0)+INDEX($AT$13:$BB$162,BO4108,0)+INDEX($BD$13:$BL$162,BP4108,0))/100)))),0)</f>
        <v/>
      </c>
      <c r="BS4108">
        <f>IF(4095&lt;$U$9,SUMPRODUCT(($D$9:$L$9+INT(($S$12:$AA$12+INDEX($AJ$13:$AR$162,BN4108,0)+INDEX($AT$13:$BB$162,BO4108,0)+INDEX($BD$13:$BL$162,BP4108,0))/100))),0)</f>
        <v/>
      </c>
      <c r="BT4108">
        <f>IF(AND(4095&lt;$U$9,$W$5),BQ4108*1000000-MIN(BR4108,999)*1000+BS4108-4095/100000,-1000000000-4095)</f>
        <v/>
      </c>
    </row>
    <row r="4109">
      <c r="BN4109">
        <f>IF(4096&lt;$U$9,INT(4096/($U$7*$U$8))+1,1)</f>
        <v/>
      </c>
      <c r="BO4109">
        <f>IF(4096&lt;$U$9,MOD(INT(4096/$U$8),$U$7)+1,1)</f>
        <v/>
      </c>
      <c r="BP4109">
        <f>IF(4096&lt;$U$9,MOD(4096,$U$8)+1,1)</f>
        <v/>
      </c>
      <c r="BQ4109">
        <f>IF(4096&lt;$U$9,SUMPRODUCT(($D$10:$L$10&lt;&gt;"")*(($D$9:$L$9+INT(($S$12:$AA$12+INDEX($AJ$13:$AR$162,BN4109,0)+INDEX($AT$13:$BB$162,BO4109,0)+INDEX($BD$13:$BL$162,BP4109,0))/100))&gt;=$D$10:$L$10)),0)</f>
        <v/>
      </c>
      <c r="BR4109">
        <f>IF(4096&lt;$U$9,SUMPRODUCT(($D$10:$L$10&lt;&gt;"")*(($D$10:$L$10-($D$9:$L$9+INT(($S$12:$AA$12+INDEX($AJ$13:$AR$162,BN4109,0)+INDEX($AT$13:$BB$162,BO4109,0)+INDEX($BD$13:$BL$162,BP4109,0))/100)))&gt;0)*($D$10:$L$10-($D$9:$L$9+INT(($S$12:$AA$12+INDEX($AJ$13:$AR$162,BN4109,0)+INDEX($AT$13:$BB$162,BO4109,0)+INDEX($BD$13:$BL$162,BP4109,0))/100)))),0)</f>
        <v/>
      </c>
      <c r="BS4109">
        <f>IF(4096&lt;$U$9,SUMPRODUCT(($D$9:$L$9+INT(($S$12:$AA$12+INDEX($AJ$13:$AR$162,BN4109,0)+INDEX($AT$13:$BB$162,BO4109,0)+INDEX($BD$13:$BL$162,BP4109,0))/100))),0)</f>
        <v/>
      </c>
      <c r="BT4109">
        <f>IF(AND(4096&lt;$U$9,$W$5),BQ4109*1000000-MIN(BR4109,999)*1000+BS4109-4096/100000,-1000000000-4096)</f>
        <v/>
      </c>
    </row>
    <row r="4110">
      <c r="BN4110">
        <f>IF(4097&lt;$U$9,INT(4097/($U$7*$U$8))+1,1)</f>
        <v/>
      </c>
      <c r="BO4110">
        <f>IF(4097&lt;$U$9,MOD(INT(4097/$U$8),$U$7)+1,1)</f>
        <v/>
      </c>
      <c r="BP4110">
        <f>IF(4097&lt;$U$9,MOD(4097,$U$8)+1,1)</f>
        <v/>
      </c>
      <c r="BQ4110">
        <f>IF(4097&lt;$U$9,SUMPRODUCT(($D$10:$L$10&lt;&gt;"")*(($D$9:$L$9+INT(($S$12:$AA$12+INDEX($AJ$13:$AR$162,BN4110,0)+INDEX($AT$13:$BB$162,BO4110,0)+INDEX($BD$13:$BL$162,BP4110,0))/100))&gt;=$D$10:$L$10)),0)</f>
        <v/>
      </c>
      <c r="BR4110">
        <f>IF(4097&lt;$U$9,SUMPRODUCT(($D$10:$L$10&lt;&gt;"")*(($D$10:$L$10-($D$9:$L$9+INT(($S$12:$AA$12+INDEX($AJ$13:$AR$162,BN4110,0)+INDEX($AT$13:$BB$162,BO4110,0)+INDEX($BD$13:$BL$162,BP4110,0))/100)))&gt;0)*($D$10:$L$10-($D$9:$L$9+INT(($S$12:$AA$12+INDEX($AJ$13:$AR$162,BN4110,0)+INDEX($AT$13:$BB$162,BO4110,0)+INDEX($BD$13:$BL$162,BP4110,0))/100)))),0)</f>
        <v/>
      </c>
      <c r="BS4110">
        <f>IF(4097&lt;$U$9,SUMPRODUCT(($D$9:$L$9+INT(($S$12:$AA$12+INDEX($AJ$13:$AR$162,BN4110,0)+INDEX($AT$13:$BB$162,BO4110,0)+INDEX($BD$13:$BL$162,BP4110,0))/100))),0)</f>
        <v/>
      </c>
      <c r="BT4110">
        <f>IF(AND(4097&lt;$U$9,$W$5),BQ4110*1000000-MIN(BR4110,999)*1000+BS4110-4097/100000,-1000000000-4097)</f>
        <v/>
      </c>
    </row>
    <row r="4111">
      <c r="BN4111">
        <f>IF(4098&lt;$U$9,INT(4098/($U$7*$U$8))+1,1)</f>
        <v/>
      </c>
      <c r="BO4111">
        <f>IF(4098&lt;$U$9,MOD(INT(4098/$U$8),$U$7)+1,1)</f>
        <v/>
      </c>
      <c r="BP4111">
        <f>IF(4098&lt;$U$9,MOD(4098,$U$8)+1,1)</f>
        <v/>
      </c>
      <c r="BQ4111">
        <f>IF(4098&lt;$U$9,SUMPRODUCT(($D$10:$L$10&lt;&gt;"")*(($D$9:$L$9+INT(($S$12:$AA$12+INDEX($AJ$13:$AR$162,BN4111,0)+INDEX($AT$13:$BB$162,BO4111,0)+INDEX($BD$13:$BL$162,BP4111,0))/100))&gt;=$D$10:$L$10)),0)</f>
        <v/>
      </c>
      <c r="BR4111">
        <f>IF(4098&lt;$U$9,SUMPRODUCT(($D$10:$L$10&lt;&gt;"")*(($D$10:$L$10-($D$9:$L$9+INT(($S$12:$AA$12+INDEX($AJ$13:$AR$162,BN4111,0)+INDEX($AT$13:$BB$162,BO4111,0)+INDEX($BD$13:$BL$162,BP4111,0))/100)))&gt;0)*($D$10:$L$10-($D$9:$L$9+INT(($S$12:$AA$12+INDEX($AJ$13:$AR$162,BN4111,0)+INDEX($AT$13:$BB$162,BO4111,0)+INDEX($BD$13:$BL$162,BP4111,0))/100)))),0)</f>
        <v/>
      </c>
      <c r="BS4111">
        <f>IF(4098&lt;$U$9,SUMPRODUCT(($D$9:$L$9+INT(($S$12:$AA$12+INDEX($AJ$13:$AR$162,BN4111,0)+INDEX($AT$13:$BB$162,BO4111,0)+INDEX($BD$13:$BL$162,BP4111,0))/100))),0)</f>
        <v/>
      </c>
      <c r="BT4111">
        <f>IF(AND(4098&lt;$U$9,$W$5),BQ4111*1000000-MIN(BR4111,999)*1000+BS4111-4098/100000,-1000000000-4098)</f>
        <v/>
      </c>
    </row>
    <row r="4112">
      <c r="BN4112">
        <f>IF(4099&lt;$U$9,INT(4099/($U$7*$U$8))+1,1)</f>
        <v/>
      </c>
      <c r="BO4112">
        <f>IF(4099&lt;$U$9,MOD(INT(4099/$U$8),$U$7)+1,1)</f>
        <v/>
      </c>
      <c r="BP4112">
        <f>IF(4099&lt;$U$9,MOD(4099,$U$8)+1,1)</f>
        <v/>
      </c>
      <c r="BQ4112">
        <f>IF(4099&lt;$U$9,SUMPRODUCT(($D$10:$L$10&lt;&gt;"")*(($D$9:$L$9+INT(($S$12:$AA$12+INDEX($AJ$13:$AR$162,BN4112,0)+INDEX($AT$13:$BB$162,BO4112,0)+INDEX($BD$13:$BL$162,BP4112,0))/100))&gt;=$D$10:$L$10)),0)</f>
        <v/>
      </c>
      <c r="BR4112">
        <f>IF(4099&lt;$U$9,SUMPRODUCT(($D$10:$L$10&lt;&gt;"")*(($D$10:$L$10-($D$9:$L$9+INT(($S$12:$AA$12+INDEX($AJ$13:$AR$162,BN4112,0)+INDEX($AT$13:$BB$162,BO4112,0)+INDEX($BD$13:$BL$162,BP4112,0))/100)))&gt;0)*($D$10:$L$10-($D$9:$L$9+INT(($S$12:$AA$12+INDEX($AJ$13:$AR$162,BN4112,0)+INDEX($AT$13:$BB$162,BO4112,0)+INDEX($BD$13:$BL$162,BP4112,0))/100)))),0)</f>
        <v/>
      </c>
      <c r="BS4112">
        <f>IF(4099&lt;$U$9,SUMPRODUCT(($D$9:$L$9+INT(($S$12:$AA$12+INDEX($AJ$13:$AR$162,BN4112,0)+INDEX($AT$13:$BB$162,BO4112,0)+INDEX($BD$13:$BL$162,BP4112,0))/100))),0)</f>
        <v/>
      </c>
      <c r="BT4112">
        <f>IF(AND(4099&lt;$U$9,$W$5),BQ4112*1000000-MIN(BR4112,999)*1000+BS4112-4099/100000,-1000000000-4099)</f>
        <v/>
      </c>
    </row>
    <row r="4113">
      <c r="BN4113">
        <f>IF(4100&lt;$U$9,INT(4100/($U$7*$U$8))+1,1)</f>
        <v/>
      </c>
      <c r="BO4113">
        <f>IF(4100&lt;$U$9,MOD(INT(4100/$U$8),$U$7)+1,1)</f>
        <v/>
      </c>
      <c r="BP4113">
        <f>IF(4100&lt;$U$9,MOD(4100,$U$8)+1,1)</f>
        <v/>
      </c>
      <c r="BQ4113">
        <f>IF(4100&lt;$U$9,SUMPRODUCT(($D$10:$L$10&lt;&gt;"")*(($D$9:$L$9+INT(($S$12:$AA$12+INDEX($AJ$13:$AR$162,BN4113,0)+INDEX($AT$13:$BB$162,BO4113,0)+INDEX($BD$13:$BL$162,BP4113,0))/100))&gt;=$D$10:$L$10)),0)</f>
        <v/>
      </c>
      <c r="BR4113">
        <f>IF(4100&lt;$U$9,SUMPRODUCT(($D$10:$L$10&lt;&gt;"")*(($D$10:$L$10-($D$9:$L$9+INT(($S$12:$AA$12+INDEX($AJ$13:$AR$162,BN4113,0)+INDEX($AT$13:$BB$162,BO4113,0)+INDEX($BD$13:$BL$162,BP4113,0))/100)))&gt;0)*($D$10:$L$10-($D$9:$L$9+INT(($S$12:$AA$12+INDEX($AJ$13:$AR$162,BN4113,0)+INDEX($AT$13:$BB$162,BO4113,0)+INDEX($BD$13:$BL$162,BP4113,0))/100)))),0)</f>
        <v/>
      </c>
      <c r="BS4113">
        <f>IF(4100&lt;$U$9,SUMPRODUCT(($D$9:$L$9+INT(($S$12:$AA$12+INDEX($AJ$13:$AR$162,BN4113,0)+INDEX($AT$13:$BB$162,BO4113,0)+INDEX($BD$13:$BL$162,BP4113,0))/100))),0)</f>
        <v/>
      </c>
      <c r="BT4113">
        <f>IF(AND(4100&lt;$U$9,$W$5),BQ4113*1000000-MIN(BR4113,999)*1000+BS4113-4100/100000,-1000000000-4100)</f>
        <v/>
      </c>
    </row>
    <row r="4114">
      <c r="BN4114">
        <f>IF(4101&lt;$U$9,INT(4101/($U$7*$U$8))+1,1)</f>
        <v/>
      </c>
      <c r="BO4114">
        <f>IF(4101&lt;$U$9,MOD(INT(4101/$U$8),$U$7)+1,1)</f>
        <v/>
      </c>
      <c r="BP4114">
        <f>IF(4101&lt;$U$9,MOD(4101,$U$8)+1,1)</f>
        <v/>
      </c>
      <c r="BQ4114">
        <f>IF(4101&lt;$U$9,SUMPRODUCT(($D$10:$L$10&lt;&gt;"")*(($D$9:$L$9+INT(($S$12:$AA$12+INDEX($AJ$13:$AR$162,BN4114,0)+INDEX($AT$13:$BB$162,BO4114,0)+INDEX($BD$13:$BL$162,BP4114,0))/100))&gt;=$D$10:$L$10)),0)</f>
        <v/>
      </c>
      <c r="BR4114">
        <f>IF(4101&lt;$U$9,SUMPRODUCT(($D$10:$L$10&lt;&gt;"")*(($D$10:$L$10-($D$9:$L$9+INT(($S$12:$AA$12+INDEX($AJ$13:$AR$162,BN4114,0)+INDEX($AT$13:$BB$162,BO4114,0)+INDEX($BD$13:$BL$162,BP4114,0))/100)))&gt;0)*($D$10:$L$10-($D$9:$L$9+INT(($S$12:$AA$12+INDEX($AJ$13:$AR$162,BN4114,0)+INDEX($AT$13:$BB$162,BO4114,0)+INDEX($BD$13:$BL$162,BP4114,0))/100)))),0)</f>
        <v/>
      </c>
      <c r="BS4114">
        <f>IF(4101&lt;$U$9,SUMPRODUCT(($D$9:$L$9+INT(($S$12:$AA$12+INDEX($AJ$13:$AR$162,BN4114,0)+INDEX($AT$13:$BB$162,BO4114,0)+INDEX($BD$13:$BL$162,BP4114,0))/100))),0)</f>
        <v/>
      </c>
      <c r="BT4114">
        <f>IF(AND(4101&lt;$U$9,$W$5),BQ4114*1000000-MIN(BR4114,999)*1000+BS4114-4101/100000,-1000000000-4101)</f>
        <v/>
      </c>
    </row>
    <row r="4115">
      <c r="BN4115">
        <f>IF(4102&lt;$U$9,INT(4102/($U$7*$U$8))+1,1)</f>
        <v/>
      </c>
      <c r="BO4115">
        <f>IF(4102&lt;$U$9,MOD(INT(4102/$U$8),$U$7)+1,1)</f>
        <v/>
      </c>
      <c r="BP4115">
        <f>IF(4102&lt;$U$9,MOD(4102,$U$8)+1,1)</f>
        <v/>
      </c>
      <c r="BQ4115">
        <f>IF(4102&lt;$U$9,SUMPRODUCT(($D$10:$L$10&lt;&gt;"")*(($D$9:$L$9+INT(($S$12:$AA$12+INDEX($AJ$13:$AR$162,BN4115,0)+INDEX($AT$13:$BB$162,BO4115,0)+INDEX($BD$13:$BL$162,BP4115,0))/100))&gt;=$D$10:$L$10)),0)</f>
        <v/>
      </c>
      <c r="BR4115">
        <f>IF(4102&lt;$U$9,SUMPRODUCT(($D$10:$L$10&lt;&gt;"")*(($D$10:$L$10-($D$9:$L$9+INT(($S$12:$AA$12+INDEX($AJ$13:$AR$162,BN4115,0)+INDEX($AT$13:$BB$162,BO4115,0)+INDEX($BD$13:$BL$162,BP4115,0))/100)))&gt;0)*($D$10:$L$10-($D$9:$L$9+INT(($S$12:$AA$12+INDEX($AJ$13:$AR$162,BN4115,0)+INDEX($AT$13:$BB$162,BO4115,0)+INDEX($BD$13:$BL$162,BP4115,0))/100)))),0)</f>
        <v/>
      </c>
      <c r="BS4115">
        <f>IF(4102&lt;$U$9,SUMPRODUCT(($D$9:$L$9+INT(($S$12:$AA$12+INDEX($AJ$13:$AR$162,BN4115,0)+INDEX($AT$13:$BB$162,BO4115,0)+INDEX($BD$13:$BL$162,BP4115,0))/100))),0)</f>
        <v/>
      </c>
      <c r="BT4115">
        <f>IF(AND(4102&lt;$U$9,$W$5),BQ4115*1000000-MIN(BR4115,999)*1000+BS4115-4102/100000,-1000000000-4102)</f>
        <v/>
      </c>
    </row>
    <row r="4116">
      <c r="BN4116">
        <f>IF(4103&lt;$U$9,INT(4103/($U$7*$U$8))+1,1)</f>
        <v/>
      </c>
      <c r="BO4116">
        <f>IF(4103&lt;$U$9,MOD(INT(4103/$U$8),$U$7)+1,1)</f>
        <v/>
      </c>
      <c r="BP4116">
        <f>IF(4103&lt;$U$9,MOD(4103,$U$8)+1,1)</f>
        <v/>
      </c>
      <c r="BQ4116">
        <f>IF(4103&lt;$U$9,SUMPRODUCT(($D$10:$L$10&lt;&gt;"")*(($D$9:$L$9+INT(($S$12:$AA$12+INDEX($AJ$13:$AR$162,BN4116,0)+INDEX($AT$13:$BB$162,BO4116,0)+INDEX($BD$13:$BL$162,BP4116,0))/100))&gt;=$D$10:$L$10)),0)</f>
        <v/>
      </c>
      <c r="BR4116">
        <f>IF(4103&lt;$U$9,SUMPRODUCT(($D$10:$L$10&lt;&gt;"")*(($D$10:$L$10-($D$9:$L$9+INT(($S$12:$AA$12+INDEX($AJ$13:$AR$162,BN4116,0)+INDEX($AT$13:$BB$162,BO4116,0)+INDEX($BD$13:$BL$162,BP4116,0))/100)))&gt;0)*($D$10:$L$10-($D$9:$L$9+INT(($S$12:$AA$12+INDEX($AJ$13:$AR$162,BN4116,0)+INDEX($AT$13:$BB$162,BO4116,0)+INDEX($BD$13:$BL$162,BP4116,0))/100)))),0)</f>
        <v/>
      </c>
      <c r="BS4116">
        <f>IF(4103&lt;$U$9,SUMPRODUCT(($D$9:$L$9+INT(($S$12:$AA$12+INDEX($AJ$13:$AR$162,BN4116,0)+INDEX($AT$13:$BB$162,BO4116,0)+INDEX($BD$13:$BL$162,BP4116,0))/100))),0)</f>
        <v/>
      </c>
      <c r="BT4116">
        <f>IF(AND(4103&lt;$U$9,$W$5),BQ4116*1000000-MIN(BR4116,999)*1000+BS4116-4103/100000,-1000000000-4103)</f>
        <v/>
      </c>
    </row>
    <row r="4117">
      <c r="BN4117">
        <f>IF(4104&lt;$U$9,INT(4104/($U$7*$U$8))+1,1)</f>
        <v/>
      </c>
      <c r="BO4117">
        <f>IF(4104&lt;$U$9,MOD(INT(4104/$U$8),$U$7)+1,1)</f>
        <v/>
      </c>
      <c r="BP4117">
        <f>IF(4104&lt;$U$9,MOD(4104,$U$8)+1,1)</f>
        <v/>
      </c>
      <c r="BQ4117">
        <f>IF(4104&lt;$U$9,SUMPRODUCT(($D$10:$L$10&lt;&gt;"")*(($D$9:$L$9+INT(($S$12:$AA$12+INDEX($AJ$13:$AR$162,BN4117,0)+INDEX($AT$13:$BB$162,BO4117,0)+INDEX($BD$13:$BL$162,BP4117,0))/100))&gt;=$D$10:$L$10)),0)</f>
        <v/>
      </c>
      <c r="BR4117">
        <f>IF(4104&lt;$U$9,SUMPRODUCT(($D$10:$L$10&lt;&gt;"")*(($D$10:$L$10-($D$9:$L$9+INT(($S$12:$AA$12+INDEX($AJ$13:$AR$162,BN4117,0)+INDEX($AT$13:$BB$162,BO4117,0)+INDEX($BD$13:$BL$162,BP4117,0))/100)))&gt;0)*($D$10:$L$10-($D$9:$L$9+INT(($S$12:$AA$12+INDEX($AJ$13:$AR$162,BN4117,0)+INDEX($AT$13:$BB$162,BO4117,0)+INDEX($BD$13:$BL$162,BP4117,0))/100)))),0)</f>
        <v/>
      </c>
      <c r="BS4117">
        <f>IF(4104&lt;$U$9,SUMPRODUCT(($D$9:$L$9+INT(($S$12:$AA$12+INDEX($AJ$13:$AR$162,BN4117,0)+INDEX($AT$13:$BB$162,BO4117,0)+INDEX($BD$13:$BL$162,BP4117,0))/100))),0)</f>
        <v/>
      </c>
      <c r="BT4117">
        <f>IF(AND(4104&lt;$U$9,$W$5),BQ4117*1000000-MIN(BR4117,999)*1000+BS4117-4104/100000,-1000000000-4104)</f>
        <v/>
      </c>
    </row>
    <row r="4118">
      <c r="BN4118">
        <f>IF(4105&lt;$U$9,INT(4105/($U$7*$U$8))+1,1)</f>
        <v/>
      </c>
      <c r="BO4118">
        <f>IF(4105&lt;$U$9,MOD(INT(4105/$U$8),$U$7)+1,1)</f>
        <v/>
      </c>
      <c r="BP4118">
        <f>IF(4105&lt;$U$9,MOD(4105,$U$8)+1,1)</f>
        <v/>
      </c>
      <c r="BQ4118">
        <f>IF(4105&lt;$U$9,SUMPRODUCT(($D$10:$L$10&lt;&gt;"")*(($D$9:$L$9+INT(($S$12:$AA$12+INDEX($AJ$13:$AR$162,BN4118,0)+INDEX($AT$13:$BB$162,BO4118,0)+INDEX($BD$13:$BL$162,BP4118,0))/100))&gt;=$D$10:$L$10)),0)</f>
        <v/>
      </c>
      <c r="BR4118">
        <f>IF(4105&lt;$U$9,SUMPRODUCT(($D$10:$L$10&lt;&gt;"")*(($D$10:$L$10-($D$9:$L$9+INT(($S$12:$AA$12+INDEX($AJ$13:$AR$162,BN4118,0)+INDEX($AT$13:$BB$162,BO4118,0)+INDEX($BD$13:$BL$162,BP4118,0))/100)))&gt;0)*($D$10:$L$10-($D$9:$L$9+INT(($S$12:$AA$12+INDEX($AJ$13:$AR$162,BN4118,0)+INDEX($AT$13:$BB$162,BO4118,0)+INDEX($BD$13:$BL$162,BP4118,0))/100)))),0)</f>
        <v/>
      </c>
      <c r="BS4118">
        <f>IF(4105&lt;$U$9,SUMPRODUCT(($D$9:$L$9+INT(($S$12:$AA$12+INDEX($AJ$13:$AR$162,BN4118,0)+INDEX($AT$13:$BB$162,BO4118,0)+INDEX($BD$13:$BL$162,BP4118,0))/100))),0)</f>
        <v/>
      </c>
      <c r="BT4118">
        <f>IF(AND(4105&lt;$U$9,$W$5),BQ4118*1000000-MIN(BR4118,999)*1000+BS4118-4105/100000,-1000000000-4105)</f>
        <v/>
      </c>
    </row>
    <row r="4119">
      <c r="BN4119">
        <f>IF(4106&lt;$U$9,INT(4106/($U$7*$U$8))+1,1)</f>
        <v/>
      </c>
      <c r="BO4119">
        <f>IF(4106&lt;$U$9,MOD(INT(4106/$U$8),$U$7)+1,1)</f>
        <v/>
      </c>
      <c r="BP4119">
        <f>IF(4106&lt;$U$9,MOD(4106,$U$8)+1,1)</f>
        <v/>
      </c>
      <c r="BQ4119">
        <f>IF(4106&lt;$U$9,SUMPRODUCT(($D$10:$L$10&lt;&gt;"")*(($D$9:$L$9+INT(($S$12:$AA$12+INDEX($AJ$13:$AR$162,BN4119,0)+INDEX($AT$13:$BB$162,BO4119,0)+INDEX($BD$13:$BL$162,BP4119,0))/100))&gt;=$D$10:$L$10)),0)</f>
        <v/>
      </c>
      <c r="BR4119">
        <f>IF(4106&lt;$U$9,SUMPRODUCT(($D$10:$L$10&lt;&gt;"")*(($D$10:$L$10-($D$9:$L$9+INT(($S$12:$AA$12+INDEX($AJ$13:$AR$162,BN4119,0)+INDEX($AT$13:$BB$162,BO4119,0)+INDEX($BD$13:$BL$162,BP4119,0))/100)))&gt;0)*($D$10:$L$10-($D$9:$L$9+INT(($S$12:$AA$12+INDEX($AJ$13:$AR$162,BN4119,0)+INDEX($AT$13:$BB$162,BO4119,0)+INDEX($BD$13:$BL$162,BP4119,0))/100)))),0)</f>
        <v/>
      </c>
      <c r="BS4119">
        <f>IF(4106&lt;$U$9,SUMPRODUCT(($D$9:$L$9+INT(($S$12:$AA$12+INDEX($AJ$13:$AR$162,BN4119,0)+INDEX($AT$13:$BB$162,BO4119,0)+INDEX($BD$13:$BL$162,BP4119,0))/100))),0)</f>
        <v/>
      </c>
      <c r="BT4119">
        <f>IF(AND(4106&lt;$U$9,$W$5),BQ4119*1000000-MIN(BR4119,999)*1000+BS4119-4106/100000,-1000000000-4106)</f>
        <v/>
      </c>
    </row>
    <row r="4120">
      <c r="BN4120">
        <f>IF(4107&lt;$U$9,INT(4107/($U$7*$U$8))+1,1)</f>
        <v/>
      </c>
      <c r="BO4120">
        <f>IF(4107&lt;$U$9,MOD(INT(4107/$U$8),$U$7)+1,1)</f>
        <v/>
      </c>
      <c r="BP4120">
        <f>IF(4107&lt;$U$9,MOD(4107,$U$8)+1,1)</f>
        <v/>
      </c>
      <c r="BQ4120">
        <f>IF(4107&lt;$U$9,SUMPRODUCT(($D$10:$L$10&lt;&gt;"")*(($D$9:$L$9+INT(($S$12:$AA$12+INDEX($AJ$13:$AR$162,BN4120,0)+INDEX($AT$13:$BB$162,BO4120,0)+INDEX($BD$13:$BL$162,BP4120,0))/100))&gt;=$D$10:$L$10)),0)</f>
        <v/>
      </c>
      <c r="BR4120">
        <f>IF(4107&lt;$U$9,SUMPRODUCT(($D$10:$L$10&lt;&gt;"")*(($D$10:$L$10-($D$9:$L$9+INT(($S$12:$AA$12+INDEX($AJ$13:$AR$162,BN4120,0)+INDEX($AT$13:$BB$162,BO4120,0)+INDEX($BD$13:$BL$162,BP4120,0))/100)))&gt;0)*($D$10:$L$10-($D$9:$L$9+INT(($S$12:$AA$12+INDEX($AJ$13:$AR$162,BN4120,0)+INDEX($AT$13:$BB$162,BO4120,0)+INDEX($BD$13:$BL$162,BP4120,0))/100)))),0)</f>
        <v/>
      </c>
      <c r="BS4120">
        <f>IF(4107&lt;$U$9,SUMPRODUCT(($D$9:$L$9+INT(($S$12:$AA$12+INDEX($AJ$13:$AR$162,BN4120,0)+INDEX($AT$13:$BB$162,BO4120,0)+INDEX($BD$13:$BL$162,BP4120,0))/100))),0)</f>
        <v/>
      </c>
      <c r="BT4120">
        <f>IF(AND(4107&lt;$U$9,$W$5),BQ4120*1000000-MIN(BR4120,999)*1000+BS4120-4107/100000,-1000000000-4107)</f>
        <v/>
      </c>
    </row>
    <row r="4121">
      <c r="BN4121">
        <f>IF(4108&lt;$U$9,INT(4108/($U$7*$U$8))+1,1)</f>
        <v/>
      </c>
      <c r="BO4121">
        <f>IF(4108&lt;$U$9,MOD(INT(4108/$U$8),$U$7)+1,1)</f>
        <v/>
      </c>
      <c r="BP4121">
        <f>IF(4108&lt;$U$9,MOD(4108,$U$8)+1,1)</f>
        <v/>
      </c>
      <c r="BQ4121">
        <f>IF(4108&lt;$U$9,SUMPRODUCT(($D$10:$L$10&lt;&gt;"")*(($D$9:$L$9+INT(($S$12:$AA$12+INDEX($AJ$13:$AR$162,BN4121,0)+INDEX($AT$13:$BB$162,BO4121,0)+INDEX($BD$13:$BL$162,BP4121,0))/100))&gt;=$D$10:$L$10)),0)</f>
        <v/>
      </c>
      <c r="BR4121">
        <f>IF(4108&lt;$U$9,SUMPRODUCT(($D$10:$L$10&lt;&gt;"")*(($D$10:$L$10-($D$9:$L$9+INT(($S$12:$AA$12+INDEX($AJ$13:$AR$162,BN4121,0)+INDEX($AT$13:$BB$162,BO4121,0)+INDEX($BD$13:$BL$162,BP4121,0))/100)))&gt;0)*($D$10:$L$10-($D$9:$L$9+INT(($S$12:$AA$12+INDEX($AJ$13:$AR$162,BN4121,0)+INDEX($AT$13:$BB$162,BO4121,0)+INDEX($BD$13:$BL$162,BP4121,0))/100)))),0)</f>
        <v/>
      </c>
      <c r="BS4121">
        <f>IF(4108&lt;$U$9,SUMPRODUCT(($D$9:$L$9+INT(($S$12:$AA$12+INDEX($AJ$13:$AR$162,BN4121,0)+INDEX($AT$13:$BB$162,BO4121,0)+INDEX($BD$13:$BL$162,BP4121,0))/100))),0)</f>
        <v/>
      </c>
      <c r="BT4121">
        <f>IF(AND(4108&lt;$U$9,$W$5),BQ4121*1000000-MIN(BR4121,999)*1000+BS4121-4108/100000,-1000000000-4108)</f>
        <v/>
      </c>
    </row>
    <row r="4122">
      <c r="BN4122">
        <f>IF(4109&lt;$U$9,INT(4109/($U$7*$U$8))+1,1)</f>
        <v/>
      </c>
      <c r="BO4122">
        <f>IF(4109&lt;$U$9,MOD(INT(4109/$U$8),$U$7)+1,1)</f>
        <v/>
      </c>
      <c r="BP4122">
        <f>IF(4109&lt;$U$9,MOD(4109,$U$8)+1,1)</f>
        <v/>
      </c>
      <c r="BQ4122">
        <f>IF(4109&lt;$U$9,SUMPRODUCT(($D$10:$L$10&lt;&gt;"")*(($D$9:$L$9+INT(($S$12:$AA$12+INDEX($AJ$13:$AR$162,BN4122,0)+INDEX($AT$13:$BB$162,BO4122,0)+INDEX($BD$13:$BL$162,BP4122,0))/100))&gt;=$D$10:$L$10)),0)</f>
        <v/>
      </c>
      <c r="BR4122">
        <f>IF(4109&lt;$U$9,SUMPRODUCT(($D$10:$L$10&lt;&gt;"")*(($D$10:$L$10-($D$9:$L$9+INT(($S$12:$AA$12+INDEX($AJ$13:$AR$162,BN4122,0)+INDEX($AT$13:$BB$162,BO4122,0)+INDEX($BD$13:$BL$162,BP4122,0))/100)))&gt;0)*($D$10:$L$10-($D$9:$L$9+INT(($S$12:$AA$12+INDEX($AJ$13:$AR$162,BN4122,0)+INDEX($AT$13:$BB$162,BO4122,0)+INDEX($BD$13:$BL$162,BP4122,0))/100)))),0)</f>
        <v/>
      </c>
      <c r="BS4122">
        <f>IF(4109&lt;$U$9,SUMPRODUCT(($D$9:$L$9+INT(($S$12:$AA$12+INDEX($AJ$13:$AR$162,BN4122,0)+INDEX($AT$13:$BB$162,BO4122,0)+INDEX($BD$13:$BL$162,BP4122,0))/100))),0)</f>
        <v/>
      </c>
      <c r="BT4122">
        <f>IF(AND(4109&lt;$U$9,$W$5),BQ4122*1000000-MIN(BR4122,999)*1000+BS4122-4109/100000,-1000000000-4109)</f>
        <v/>
      </c>
    </row>
    <row r="4123">
      <c r="BN4123">
        <f>IF(4110&lt;$U$9,INT(4110/($U$7*$U$8))+1,1)</f>
        <v/>
      </c>
      <c r="BO4123">
        <f>IF(4110&lt;$U$9,MOD(INT(4110/$U$8),$U$7)+1,1)</f>
        <v/>
      </c>
      <c r="BP4123">
        <f>IF(4110&lt;$U$9,MOD(4110,$U$8)+1,1)</f>
        <v/>
      </c>
      <c r="BQ4123">
        <f>IF(4110&lt;$U$9,SUMPRODUCT(($D$10:$L$10&lt;&gt;"")*(($D$9:$L$9+INT(($S$12:$AA$12+INDEX($AJ$13:$AR$162,BN4123,0)+INDEX($AT$13:$BB$162,BO4123,0)+INDEX($BD$13:$BL$162,BP4123,0))/100))&gt;=$D$10:$L$10)),0)</f>
        <v/>
      </c>
      <c r="BR4123">
        <f>IF(4110&lt;$U$9,SUMPRODUCT(($D$10:$L$10&lt;&gt;"")*(($D$10:$L$10-($D$9:$L$9+INT(($S$12:$AA$12+INDEX($AJ$13:$AR$162,BN4123,0)+INDEX($AT$13:$BB$162,BO4123,0)+INDEX($BD$13:$BL$162,BP4123,0))/100)))&gt;0)*($D$10:$L$10-($D$9:$L$9+INT(($S$12:$AA$12+INDEX($AJ$13:$AR$162,BN4123,0)+INDEX($AT$13:$BB$162,BO4123,0)+INDEX($BD$13:$BL$162,BP4123,0))/100)))),0)</f>
        <v/>
      </c>
      <c r="BS4123">
        <f>IF(4110&lt;$U$9,SUMPRODUCT(($D$9:$L$9+INT(($S$12:$AA$12+INDEX($AJ$13:$AR$162,BN4123,0)+INDEX($AT$13:$BB$162,BO4123,0)+INDEX($BD$13:$BL$162,BP4123,0))/100))),0)</f>
        <v/>
      </c>
      <c r="BT4123">
        <f>IF(AND(4110&lt;$U$9,$W$5),BQ4123*1000000-MIN(BR4123,999)*1000+BS4123-4110/100000,-1000000000-4110)</f>
        <v/>
      </c>
    </row>
    <row r="4124">
      <c r="BN4124">
        <f>IF(4111&lt;$U$9,INT(4111/($U$7*$U$8))+1,1)</f>
        <v/>
      </c>
      <c r="BO4124">
        <f>IF(4111&lt;$U$9,MOD(INT(4111/$U$8),$U$7)+1,1)</f>
        <v/>
      </c>
      <c r="BP4124">
        <f>IF(4111&lt;$U$9,MOD(4111,$U$8)+1,1)</f>
        <v/>
      </c>
      <c r="BQ4124">
        <f>IF(4111&lt;$U$9,SUMPRODUCT(($D$10:$L$10&lt;&gt;"")*(($D$9:$L$9+INT(($S$12:$AA$12+INDEX($AJ$13:$AR$162,BN4124,0)+INDEX($AT$13:$BB$162,BO4124,0)+INDEX($BD$13:$BL$162,BP4124,0))/100))&gt;=$D$10:$L$10)),0)</f>
        <v/>
      </c>
      <c r="BR4124">
        <f>IF(4111&lt;$U$9,SUMPRODUCT(($D$10:$L$10&lt;&gt;"")*(($D$10:$L$10-($D$9:$L$9+INT(($S$12:$AA$12+INDEX($AJ$13:$AR$162,BN4124,0)+INDEX($AT$13:$BB$162,BO4124,0)+INDEX($BD$13:$BL$162,BP4124,0))/100)))&gt;0)*($D$10:$L$10-($D$9:$L$9+INT(($S$12:$AA$12+INDEX($AJ$13:$AR$162,BN4124,0)+INDEX($AT$13:$BB$162,BO4124,0)+INDEX($BD$13:$BL$162,BP4124,0))/100)))),0)</f>
        <v/>
      </c>
      <c r="BS4124">
        <f>IF(4111&lt;$U$9,SUMPRODUCT(($D$9:$L$9+INT(($S$12:$AA$12+INDEX($AJ$13:$AR$162,BN4124,0)+INDEX($AT$13:$BB$162,BO4124,0)+INDEX($BD$13:$BL$162,BP4124,0))/100))),0)</f>
        <v/>
      </c>
      <c r="BT4124">
        <f>IF(AND(4111&lt;$U$9,$W$5),BQ4124*1000000-MIN(BR4124,999)*1000+BS4124-4111/100000,-1000000000-4111)</f>
        <v/>
      </c>
    </row>
    <row r="4125">
      <c r="BN4125">
        <f>IF(4112&lt;$U$9,INT(4112/($U$7*$U$8))+1,1)</f>
        <v/>
      </c>
      <c r="BO4125">
        <f>IF(4112&lt;$U$9,MOD(INT(4112/$U$8),$U$7)+1,1)</f>
        <v/>
      </c>
      <c r="BP4125">
        <f>IF(4112&lt;$U$9,MOD(4112,$U$8)+1,1)</f>
        <v/>
      </c>
      <c r="BQ4125">
        <f>IF(4112&lt;$U$9,SUMPRODUCT(($D$10:$L$10&lt;&gt;"")*(($D$9:$L$9+INT(($S$12:$AA$12+INDEX($AJ$13:$AR$162,BN4125,0)+INDEX($AT$13:$BB$162,BO4125,0)+INDEX($BD$13:$BL$162,BP4125,0))/100))&gt;=$D$10:$L$10)),0)</f>
        <v/>
      </c>
      <c r="BR4125">
        <f>IF(4112&lt;$U$9,SUMPRODUCT(($D$10:$L$10&lt;&gt;"")*(($D$10:$L$10-($D$9:$L$9+INT(($S$12:$AA$12+INDEX($AJ$13:$AR$162,BN4125,0)+INDEX($AT$13:$BB$162,BO4125,0)+INDEX($BD$13:$BL$162,BP4125,0))/100)))&gt;0)*($D$10:$L$10-($D$9:$L$9+INT(($S$12:$AA$12+INDEX($AJ$13:$AR$162,BN4125,0)+INDEX($AT$13:$BB$162,BO4125,0)+INDEX($BD$13:$BL$162,BP4125,0))/100)))),0)</f>
        <v/>
      </c>
      <c r="BS4125">
        <f>IF(4112&lt;$U$9,SUMPRODUCT(($D$9:$L$9+INT(($S$12:$AA$12+INDEX($AJ$13:$AR$162,BN4125,0)+INDEX($AT$13:$BB$162,BO4125,0)+INDEX($BD$13:$BL$162,BP4125,0))/100))),0)</f>
        <v/>
      </c>
      <c r="BT4125">
        <f>IF(AND(4112&lt;$U$9,$W$5),BQ4125*1000000-MIN(BR4125,999)*1000+BS4125-4112/100000,-1000000000-4112)</f>
        <v/>
      </c>
    </row>
    <row r="4126">
      <c r="BN4126">
        <f>IF(4113&lt;$U$9,INT(4113/($U$7*$U$8))+1,1)</f>
        <v/>
      </c>
      <c r="BO4126">
        <f>IF(4113&lt;$U$9,MOD(INT(4113/$U$8),$U$7)+1,1)</f>
        <v/>
      </c>
      <c r="BP4126">
        <f>IF(4113&lt;$U$9,MOD(4113,$U$8)+1,1)</f>
        <v/>
      </c>
      <c r="BQ4126">
        <f>IF(4113&lt;$U$9,SUMPRODUCT(($D$10:$L$10&lt;&gt;"")*(($D$9:$L$9+INT(($S$12:$AA$12+INDEX($AJ$13:$AR$162,BN4126,0)+INDEX($AT$13:$BB$162,BO4126,0)+INDEX($BD$13:$BL$162,BP4126,0))/100))&gt;=$D$10:$L$10)),0)</f>
        <v/>
      </c>
      <c r="BR4126">
        <f>IF(4113&lt;$U$9,SUMPRODUCT(($D$10:$L$10&lt;&gt;"")*(($D$10:$L$10-($D$9:$L$9+INT(($S$12:$AA$12+INDEX($AJ$13:$AR$162,BN4126,0)+INDEX($AT$13:$BB$162,BO4126,0)+INDEX($BD$13:$BL$162,BP4126,0))/100)))&gt;0)*($D$10:$L$10-($D$9:$L$9+INT(($S$12:$AA$12+INDEX($AJ$13:$AR$162,BN4126,0)+INDEX($AT$13:$BB$162,BO4126,0)+INDEX($BD$13:$BL$162,BP4126,0))/100)))),0)</f>
        <v/>
      </c>
      <c r="BS4126">
        <f>IF(4113&lt;$U$9,SUMPRODUCT(($D$9:$L$9+INT(($S$12:$AA$12+INDEX($AJ$13:$AR$162,BN4126,0)+INDEX($AT$13:$BB$162,BO4126,0)+INDEX($BD$13:$BL$162,BP4126,0))/100))),0)</f>
        <v/>
      </c>
      <c r="BT4126">
        <f>IF(AND(4113&lt;$U$9,$W$5),BQ4126*1000000-MIN(BR4126,999)*1000+BS4126-4113/100000,-1000000000-4113)</f>
        <v/>
      </c>
    </row>
    <row r="4127">
      <c r="BN4127">
        <f>IF(4114&lt;$U$9,INT(4114/($U$7*$U$8))+1,1)</f>
        <v/>
      </c>
      <c r="BO4127">
        <f>IF(4114&lt;$U$9,MOD(INT(4114/$U$8),$U$7)+1,1)</f>
        <v/>
      </c>
      <c r="BP4127">
        <f>IF(4114&lt;$U$9,MOD(4114,$U$8)+1,1)</f>
        <v/>
      </c>
      <c r="BQ4127">
        <f>IF(4114&lt;$U$9,SUMPRODUCT(($D$10:$L$10&lt;&gt;"")*(($D$9:$L$9+INT(($S$12:$AA$12+INDEX($AJ$13:$AR$162,BN4127,0)+INDEX($AT$13:$BB$162,BO4127,0)+INDEX($BD$13:$BL$162,BP4127,0))/100))&gt;=$D$10:$L$10)),0)</f>
        <v/>
      </c>
      <c r="BR4127">
        <f>IF(4114&lt;$U$9,SUMPRODUCT(($D$10:$L$10&lt;&gt;"")*(($D$10:$L$10-($D$9:$L$9+INT(($S$12:$AA$12+INDEX($AJ$13:$AR$162,BN4127,0)+INDEX($AT$13:$BB$162,BO4127,0)+INDEX($BD$13:$BL$162,BP4127,0))/100)))&gt;0)*($D$10:$L$10-($D$9:$L$9+INT(($S$12:$AA$12+INDEX($AJ$13:$AR$162,BN4127,0)+INDEX($AT$13:$BB$162,BO4127,0)+INDEX($BD$13:$BL$162,BP4127,0))/100)))),0)</f>
        <v/>
      </c>
      <c r="BS4127">
        <f>IF(4114&lt;$U$9,SUMPRODUCT(($D$9:$L$9+INT(($S$12:$AA$12+INDEX($AJ$13:$AR$162,BN4127,0)+INDEX($AT$13:$BB$162,BO4127,0)+INDEX($BD$13:$BL$162,BP4127,0))/100))),0)</f>
        <v/>
      </c>
      <c r="BT4127">
        <f>IF(AND(4114&lt;$U$9,$W$5),BQ4127*1000000-MIN(BR4127,999)*1000+BS4127-4114/100000,-1000000000-4114)</f>
        <v/>
      </c>
    </row>
    <row r="4128">
      <c r="BN4128">
        <f>IF(4115&lt;$U$9,INT(4115/($U$7*$U$8))+1,1)</f>
        <v/>
      </c>
      <c r="BO4128">
        <f>IF(4115&lt;$U$9,MOD(INT(4115/$U$8),$U$7)+1,1)</f>
        <v/>
      </c>
      <c r="BP4128">
        <f>IF(4115&lt;$U$9,MOD(4115,$U$8)+1,1)</f>
        <v/>
      </c>
      <c r="BQ4128">
        <f>IF(4115&lt;$U$9,SUMPRODUCT(($D$10:$L$10&lt;&gt;"")*(($D$9:$L$9+INT(($S$12:$AA$12+INDEX($AJ$13:$AR$162,BN4128,0)+INDEX($AT$13:$BB$162,BO4128,0)+INDEX($BD$13:$BL$162,BP4128,0))/100))&gt;=$D$10:$L$10)),0)</f>
        <v/>
      </c>
      <c r="BR4128">
        <f>IF(4115&lt;$U$9,SUMPRODUCT(($D$10:$L$10&lt;&gt;"")*(($D$10:$L$10-($D$9:$L$9+INT(($S$12:$AA$12+INDEX($AJ$13:$AR$162,BN4128,0)+INDEX($AT$13:$BB$162,BO4128,0)+INDEX($BD$13:$BL$162,BP4128,0))/100)))&gt;0)*($D$10:$L$10-($D$9:$L$9+INT(($S$12:$AA$12+INDEX($AJ$13:$AR$162,BN4128,0)+INDEX($AT$13:$BB$162,BO4128,0)+INDEX($BD$13:$BL$162,BP4128,0))/100)))),0)</f>
        <v/>
      </c>
      <c r="BS4128">
        <f>IF(4115&lt;$U$9,SUMPRODUCT(($D$9:$L$9+INT(($S$12:$AA$12+INDEX($AJ$13:$AR$162,BN4128,0)+INDEX($AT$13:$BB$162,BO4128,0)+INDEX($BD$13:$BL$162,BP4128,0))/100))),0)</f>
        <v/>
      </c>
      <c r="BT4128">
        <f>IF(AND(4115&lt;$U$9,$W$5),BQ4128*1000000-MIN(BR4128,999)*1000+BS4128-4115/100000,-1000000000-4115)</f>
        <v/>
      </c>
    </row>
    <row r="4129">
      <c r="BN4129">
        <f>IF(4116&lt;$U$9,INT(4116/($U$7*$U$8))+1,1)</f>
        <v/>
      </c>
      <c r="BO4129">
        <f>IF(4116&lt;$U$9,MOD(INT(4116/$U$8),$U$7)+1,1)</f>
        <v/>
      </c>
      <c r="BP4129">
        <f>IF(4116&lt;$U$9,MOD(4116,$U$8)+1,1)</f>
        <v/>
      </c>
      <c r="BQ4129">
        <f>IF(4116&lt;$U$9,SUMPRODUCT(($D$10:$L$10&lt;&gt;"")*(($D$9:$L$9+INT(($S$12:$AA$12+INDEX($AJ$13:$AR$162,BN4129,0)+INDEX($AT$13:$BB$162,BO4129,0)+INDEX($BD$13:$BL$162,BP4129,0))/100))&gt;=$D$10:$L$10)),0)</f>
        <v/>
      </c>
      <c r="BR4129">
        <f>IF(4116&lt;$U$9,SUMPRODUCT(($D$10:$L$10&lt;&gt;"")*(($D$10:$L$10-($D$9:$L$9+INT(($S$12:$AA$12+INDEX($AJ$13:$AR$162,BN4129,0)+INDEX($AT$13:$BB$162,BO4129,0)+INDEX($BD$13:$BL$162,BP4129,0))/100)))&gt;0)*($D$10:$L$10-($D$9:$L$9+INT(($S$12:$AA$12+INDEX($AJ$13:$AR$162,BN4129,0)+INDEX($AT$13:$BB$162,BO4129,0)+INDEX($BD$13:$BL$162,BP4129,0))/100)))),0)</f>
        <v/>
      </c>
      <c r="BS4129">
        <f>IF(4116&lt;$U$9,SUMPRODUCT(($D$9:$L$9+INT(($S$12:$AA$12+INDEX($AJ$13:$AR$162,BN4129,0)+INDEX($AT$13:$BB$162,BO4129,0)+INDEX($BD$13:$BL$162,BP4129,0))/100))),0)</f>
        <v/>
      </c>
      <c r="BT4129">
        <f>IF(AND(4116&lt;$U$9,$W$5),BQ4129*1000000-MIN(BR4129,999)*1000+BS4129-4116/100000,-1000000000-4116)</f>
        <v/>
      </c>
    </row>
    <row r="4130">
      <c r="BN4130">
        <f>IF(4117&lt;$U$9,INT(4117/($U$7*$U$8))+1,1)</f>
        <v/>
      </c>
      <c r="BO4130">
        <f>IF(4117&lt;$U$9,MOD(INT(4117/$U$8),$U$7)+1,1)</f>
        <v/>
      </c>
      <c r="BP4130">
        <f>IF(4117&lt;$U$9,MOD(4117,$U$8)+1,1)</f>
        <v/>
      </c>
      <c r="BQ4130">
        <f>IF(4117&lt;$U$9,SUMPRODUCT(($D$10:$L$10&lt;&gt;"")*(($D$9:$L$9+INT(($S$12:$AA$12+INDEX($AJ$13:$AR$162,BN4130,0)+INDEX($AT$13:$BB$162,BO4130,0)+INDEX($BD$13:$BL$162,BP4130,0))/100))&gt;=$D$10:$L$10)),0)</f>
        <v/>
      </c>
      <c r="BR4130">
        <f>IF(4117&lt;$U$9,SUMPRODUCT(($D$10:$L$10&lt;&gt;"")*(($D$10:$L$10-($D$9:$L$9+INT(($S$12:$AA$12+INDEX($AJ$13:$AR$162,BN4130,0)+INDEX($AT$13:$BB$162,BO4130,0)+INDEX($BD$13:$BL$162,BP4130,0))/100)))&gt;0)*($D$10:$L$10-($D$9:$L$9+INT(($S$12:$AA$12+INDEX($AJ$13:$AR$162,BN4130,0)+INDEX($AT$13:$BB$162,BO4130,0)+INDEX($BD$13:$BL$162,BP4130,0))/100)))),0)</f>
        <v/>
      </c>
      <c r="BS4130">
        <f>IF(4117&lt;$U$9,SUMPRODUCT(($D$9:$L$9+INT(($S$12:$AA$12+INDEX($AJ$13:$AR$162,BN4130,0)+INDEX($AT$13:$BB$162,BO4130,0)+INDEX($BD$13:$BL$162,BP4130,0))/100))),0)</f>
        <v/>
      </c>
      <c r="BT4130">
        <f>IF(AND(4117&lt;$U$9,$W$5),BQ4130*1000000-MIN(BR4130,999)*1000+BS4130-4117/100000,-1000000000-4117)</f>
        <v/>
      </c>
    </row>
    <row r="4131">
      <c r="BN4131">
        <f>IF(4118&lt;$U$9,INT(4118/($U$7*$U$8))+1,1)</f>
        <v/>
      </c>
      <c r="BO4131">
        <f>IF(4118&lt;$U$9,MOD(INT(4118/$U$8),$U$7)+1,1)</f>
        <v/>
      </c>
      <c r="BP4131">
        <f>IF(4118&lt;$U$9,MOD(4118,$U$8)+1,1)</f>
        <v/>
      </c>
      <c r="BQ4131">
        <f>IF(4118&lt;$U$9,SUMPRODUCT(($D$10:$L$10&lt;&gt;"")*(($D$9:$L$9+INT(($S$12:$AA$12+INDEX($AJ$13:$AR$162,BN4131,0)+INDEX($AT$13:$BB$162,BO4131,0)+INDEX($BD$13:$BL$162,BP4131,0))/100))&gt;=$D$10:$L$10)),0)</f>
        <v/>
      </c>
      <c r="BR4131">
        <f>IF(4118&lt;$U$9,SUMPRODUCT(($D$10:$L$10&lt;&gt;"")*(($D$10:$L$10-($D$9:$L$9+INT(($S$12:$AA$12+INDEX($AJ$13:$AR$162,BN4131,0)+INDEX($AT$13:$BB$162,BO4131,0)+INDEX($BD$13:$BL$162,BP4131,0))/100)))&gt;0)*($D$10:$L$10-($D$9:$L$9+INT(($S$12:$AA$12+INDEX($AJ$13:$AR$162,BN4131,0)+INDEX($AT$13:$BB$162,BO4131,0)+INDEX($BD$13:$BL$162,BP4131,0))/100)))),0)</f>
        <v/>
      </c>
      <c r="BS4131">
        <f>IF(4118&lt;$U$9,SUMPRODUCT(($D$9:$L$9+INT(($S$12:$AA$12+INDEX($AJ$13:$AR$162,BN4131,0)+INDEX($AT$13:$BB$162,BO4131,0)+INDEX($BD$13:$BL$162,BP4131,0))/100))),0)</f>
        <v/>
      </c>
      <c r="BT4131">
        <f>IF(AND(4118&lt;$U$9,$W$5),BQ4131*1000000-MIN(BR4131,999)*1000+BS4131-4118/100000,-1000000000-4118)</f>
        <v/>
      </c>
    </row>
    <row r="4132">
      <c r="BN4132">
        <f>IF(4119&lt;$U$9,INT(4119/($U$7*$U$8))+1,1)</f>
        <v/>
      </c>
      <c r="BO4132">
        <f>IF(4119&lt;$U$9,MOD(INT(4119/$U$8),$U$7)+1,1)</f>
        <v/>
      </c>
      <c r="BP4132">
        <f>IF(4119&lt;$U$9,MOD(4119,$U$8)+1,1)</f>
        <v/>
      </c>
      <c r="BQ4132">
        <f>IF(4119&lt;$U$9,SUMPRODUCT(($D$10:$L$10&lt;&gt;"")*(($D$9:$L$9+INT(($S$12:$AA$12+INDEX($AJ$13:$AR$162,BN4132,0)+INDEX($AT$13:$BB$162,BO4132,0)+INDEX($BD$13:$BL$162,BP4132,0))/100))&gt;=$D$10:$L$10)),0)</f>
        <v/>
      </c>
      <c r="BR4132">
        <f>IF(4119&lt;$U$9,SUMPRODUCT(($D$10:$L$10&lt;&gt;"")*(($D$10:$L$10-($D$9:$L$9+INT(($S$12:$AA$12+INDEX($AJ$13:$AR$162,BN4132,0)+INDEX($AT$13:$BB$162,BO4132,0)+INDEX($BD$13:$BL$162,BP4132,0))/100)))&gt;0)*($D$10:$L$10-($D$9:$L$9+INT(($S$12:$AA$12+INDEX($AJ$13:$AR$162,BN4132,0)+INDEX($AT$13:$BB$162,BO4132,0)+INDEX($BD$13:$BL$162,BP4132,0))/100)))),0)</f>
        <v/>
      </c>
      <c r="BS4132">
        <f>IF(4119&lt;$U$9,SUMPRODUCT(($D$9:$L$9+INT(($S$12:$AA$12+INDEX($AJ$13:$AR$162,BN4132,0)+INDEX($AT$13:$BB$162,BO4132,0)+INDEX($BD$13:$BL$162,BP4132,0))/100))),0)</f>
        <v/>
      </c>
      <c r="BT4132">
        <f>IF(AND(4119&lt;$U$9,$W$5),BQ4132*1000000-MIN(BR4132,999)*1000+BS4132-4119/100000,-1000000000-4119)</f>
        <v/>
      </c>
    </row>
    <row r="4133">
      <c r="BN4133">
        <f>IF(4120&lt;$U$9,INT(4120/($U$7*$U$8))+1,1)</f>
        <v/>
      </c>
      <c r="BO4133">
        <f>IF(4120&lt;$U$9,MOD(INT(4120/$U$8),$U$7)+1,1)</f>
        <v/>
      </c>
      <c r="BP4133">
        <f>IF(4120&lt;$U$9,MOD(4120,$U$8)+1,1)</f>
        <v/>
      </c>
      <c r="BQ4133">
        <f>IF(4120&lt;$U$9,SUMPRODUCT(($D$10:$L$10&lt;&gt;"")*(($D$9:$L$9+INT(($S$12:$AA$12+INDEX($AJ$13:$AR$162,BN4133,0)+INDEX($AT$13:$BB$162,BO4133,0)+INDEX($BD$13:$BL$162,BP4133,0))/100))&gt;=$D$10:$L$10)),0)</f>
        <v/>
      </c>
      <c r="BR4133">
        <f>IF(4120&lt;$U$9,SUMPRODUCT(($D$10:$L$10&lt;&gt;"")*(($D$10:$L$10-($D$9:$L$9+INT(($S$12:$AA$12+INDEX($AJ$13:$AR$162,BN4133,0)+INDEX($AT$13:$BB$162,BO4133,0)+INDEX($BD$13:$BL$162,BP4133,0))/100)))&gt;0)*($D$10:$L$10-($D$9:$L$9+INT(($S$12:$AA$12+INDEX($AJ$13:$AR$162,BN4133,0)+INDEX($AT$13:$BB$162,BO4133,0)+INDEX($BD$13:$BL$162,BP4133,0))/100)))),0)</f>
        <v/>
      </c>
      <c r="BS4133">
        <f>IF(4120&lt;$U$9,SUMPRODUCT(($D$9:$L$9+INT(($S$12:$AA$12+INDEX($AJ$13:$AR$162,BN4133,0)+INDEX($AT$13:$BB$162,BO4133,0)+INDEX($BD$13:$BL$162,BP4133,0))/100))),0)</f>
        <v/>
      </c>
      <c r="BT4133">
        <f>IF(AND(4120&lt;$U$9,$W$5),BQ4133*1000000-MIN(BR4133,999)*1000+BS4133-4120/100000,-1000000000-4120)</f>
        <v/>
      </c>
    </row>
    <row r="4134">
      <c r="BN4134">
        <f>IF(4121&lt;$U$9,INT(4121/($U$7*$U$8))+1,1)</f>
        <v/>
      </c>
      <c r="BO4134">
        <f>IF(4121&lt;$U$9,MOD(INT(4121/$U$8),$U$7)+1,1)</f>
        <v/>
      </c>
      <c r="BP4134">
        <f>IF(4121&lt;$U$9,MOD(4121,$U$8)+1,1)</f>
        <v/>
      </c>
      <c r="BQ4134">
        <f>IF(4121&lt;$U$9,SUMPRODUCT(($D$10:$L$10&lt;&gt;"")*(($D$9:$L$9+INT(($S$12:$AA$12+INDEX($AJ$13:$AR$162,BN4134,0)+INDEX($AT$13:$BB$162,BO4134,0)+INDEX($BD$13:$BL$162,BP4134,0))/100))&gt;=$D$10:$L$10)),0)</f>
        <v/>
      </c>
      <c r="BR4134">
        <f>IF(4121&lt;$U$9,SUMPRODUCT(($D$10:$L$10&lt;&gt;"")*(($D$10:$L$10-($D$9:$L$9+INT(($S$12:$AA$12+INDEX($AJ$13:$AR$162,BN4134,0)+INDEX($AT$13:$BB$162,BO4134,0)+INDEX($BD$13:$BL$162,BP4134,0))/100)))&gt;0)*($D$10:$L$10-($D$9:$L$9+INT(($S$12:$AA$12+INDEX($AJ$13:$AR$162,BN4134,0)+INDEX($AT$13:$BB$162,BO4134,0)+INDEX($BD$13:$BL$162,BP4134,0))/100)))),0)</f>
        <v/>
      </c>
      <c r="BS4134">
        <f>IF(4121&lt;$U$9,SUMPRODUCT(($D$9:$L$9+INT(($S$12:$AA$12+INDEX($AJ$13:$AR$162,BN4134,0)+INDEX($AT$13:$BB$162,BO4134,0)+INDEX($BD$13:$BL$162,BP4134,0))/100))),0)</f>
        <v/>
      </c>
      <c r="BT4134">
        <f>IF(AND(4121&lt;$U$9,$W$5),BQ4134*1000000-MIN(BR4134,999)*1000+BS4134-4121/100000,-1000000000-4121)</f>
        <v/>
      </c>
    </row>
    <row r="4135">
      <c r="BN4135">
        <f>IF(4122&lt;$U$9,INT(4122/($U$7*$U$8))+1,1)</f>
        <v/>
      </c>
      <c r="BO4135">
        <f>IF(4122&lt;$U$9,MOD(INT(4122/$U$8),$U$7)+1,1)</f>
        <v/>
      </c>
      <c r="BP4135">
        <f>IF(4122&lt;$U$9,MOD(4122,$U$8)+1,1)</f>
        <v/>
      </c>
      <c r="BQ4135">
        <f>IF(4122&lt;$U$9,SUMPRODUCT(($D$10:$L$10&lt;&gt;"")*(($D$9:$L$9+INT(($S$12:$AA$12+INDEX($AJ$13:$AR$162,BN4135,0)+INDEX($AT$13:$BB$162,BO4135,0)+INDEX($BD$13:$BL$162,BP4135,0))/100))&gt;=$D$10:$L$10)),0)</f>
        <v/>
      </c>
      <c r="BR4135">
        <f>IF(4122&lt;$U$9,SUMPRODUCT(($D$10:$L$10&lt;&gt;"")*(($D$10:$L$10-($D$9:$L$9+INT(($S$12:$AA$12+INDEX($AJ$13:$AR$162,BN4135,0)+INDEX($AT$13:$BB$162,BO4135,0)+INDEX($BD$13:$BL$162,BP4135,0))/100)))&gt;0)*($D$10:$L$10-($D$9:$L$9+INT(($S$12:$AA$12+INDEX($AJ$13:$AR$162,BN4135,0)+INDEX($AT$13:$BB$162,BO4135,0)+INDEX($BD$13:$BL$162,BP4135,0))/100)))),0)</f>
        <v/>
      </c>
      <c r="BS4135">
        <f>IF(4122&lt;$U$9,SUMPRODUCT(($D$9:$L$9+INT(($S$12:$AA$12+INDEX($AJ$13:$AR$162,BN4135,0)+INDEX($AT$13:$BB$162,BO4135,0)+INDEX($BD$13:$BL$162,BP4135,0))/100))),0)</f>
        <v/>
      </c>
      <c r="BT4135">
        <f>IF(AND(4122&lt;$U$9,$W$5),BQ4135*1000000-MIN(BR4135,999)*1000+BS4135-4122/100000,-1000000000-4122)</f>
        <v/>
      </c>
    </row>
    <row r="4136">
      <c r="BN4136">
        <f>IF(4123&lt;$U$9,INT(4123/($U$7*$U$8))+1,1)</f>
        <v/>
      </c>
      <c r="BO4136">
        <f>IF(4123&lt;$U$9,MOD(INT(4123/$U$8),$U$7)+1,1)</f>
        <v/>
      </c>
      <c r="BP4136">
        <f>IF(4123&lt;$U$9,MOD(4123,$U$8)+1,1)</f>
        <v/>
      </c>
      <c r="BQ4136">
        <f>IF(4123&lt;$U$9,SUMPRODUCT(($D$10:$L$10&lt;&gt;"")*(($D$9:$L$9+INT(($S$12:$AA$12+INDEX($AJ$13:$AR$162,BN4136,0)+INDEX($AT$13:$BB$162,BO4136,0)+INDEX($BD$13:$BL$162,BP4136,0))/100))&gt;=$D$10:$L$10)),0)</f>
        <v/>
      </c>
      <c r="BR4136">
        <f>IF(4123&lt;$U$9,SUMPRODUCT(($D$10:$L$10&lt;&gt;"")*(($D$10:$L$10-($D$9:$L$9+INT(($S$12:$AA$12+INDEX($AJ$13:$AR$162,BN4136,0)+INDEX($AT$13:$BB$162,BO4136,0)+INDEX($BD$13:$BL$162,BP4136,0))/100)))&gt;0)*($D$10:$L$10-($D$9:$L$9+INT(($S$12:$AA$12+INDEX($AJ$13:$AR$162,BN4136,0)+INDEX($AT$13:$BB$162,BO4136,0)+INDEX($BD$13:$BL$162,BP4136,0))/100)))),0)</f>
        <v/>
      </c>
      <c r="BS4136">
        <f>IF(4123&lt;$U$9,SUMPRODUCT(($D$9:$L$9+INT(($S$12:$AA$12+INDEX($AJ$13:$AR$162,BN4136,0)+INDEX($AT$13:$BB$162,BO4136,0)+INDEX($BD$13:$BL$162,BP4136,0))/100))),0)</f>
        <v/>
      </c>
      <c r="BT4136">
        <f>IF(AND(4123&lt;$U$9,$W$5),BQ4136*1000000-MIN(BR4136,999)*1000+BS4136-4123/100000,-1000000000-4123)</f>
        <v/>
      </c>
    </row>
    <row r="4137">
      <c r="BN4137">
        <f>IF(4124&lt;$U$9,INT(4124/($U$7*$U$8))+1,1)</f>
        <v/>
      </c>
      <c r="BO4137">
        <f>IF(4124&lt;$U$9,MOD(INT(4124/$U$8),$U$7)+1,1)</f>
        <v/>
      </c>
      <c r="BP4137">
        <f>IF(4124&lt;$U$9,MOD(4124,$U$8)+1,1)</f>
        <v/>
      </c>
      <c r="BQ4137">
        <f>IF(4124&lt;$U$9,SUMPRODUCT(($D$10:$L$10&lt;&gt;"")*(($D$9:$L$9+INT(($S$12:$AA$12+INDEX($AJ$13:$AR$162,BN4137,0)+INDEX($AT$13:$BB$162,BO4137,0)+INDEX($BD$13:$BL$162,BP4137,0))/100))&gt;=$D$10:$L$10)),0)</f>
        <v/>
      </c>
      <c r="BR4137">
        <f>IF(4124&lt;$U$9,SUMPRODUCT(($D$10:$L$10&lt;&gt;"")*(($D$10:$L$10-($D$9:$L$9+INT(($S$12:$AA$12+INDEX($AJ$13:$AR$162,BN4137,0)+INDEX($AT$13:$BB$162,BO4137,0)+INDEX($BD$13:$BL$162,BP4137,0))/100)))&gt;0)*($D$10:$L$10-($D$9:$L$9+INT(($S$12:$AA$12+INDEX($AJ$13:$AR$162,BN4137,0)+INDEX($AT$13:$BB$162,BO4137,0)+INDEX($BD$13:$BL$162,BP4137,0))/100)))),0)</f>
        <v/>
      </c>
      <c r="BS4137">
        <f>IF(4124&lt;$U$9,SUMPRODUCT(($D$9:$L$9+INT(($S$12:$AA$12+INDEX($AJ$13:$AR$162,BN4137,0)+INDEX($AT$13:$BB$162,BO4137,0)+INDEX($BD$13:$BL$162,BP4137,0))/100))),0)</f>
        <v/>
      </c>
      <c r="BT4137">
        <f>IF(AND(4124&lt;$U$9,$W$5),BQ4137*1000000-MIN(BR4137,999)*1000+BS4137-4124/100000,-1000000000-4124)</f>
        <v/>
      </c>
    </row>
    <row r="4138">
      <c r="BN4138">
        <f>IF(4125&lt;$U$9,INT(4125/($U$7*$U$8))+1,1)</f>
        <v/>
      </c>
      <c r="BO4138">
        <f>IF(4125&lt;$U$9,MOD(INT(4125/$U$8),$U$7)+1,1)</f>
        <v/>
      </c>
      <c r="BP4138">
        <f>IF(4125&lt;$U$9,MOD(4125,$U$8)+1,1)</f>
        <v/>
      </c>
      <c r="BQ4138">
        <f>IF(4125&lt;$U$9,SUMPRODUCT(($D$10:$L$10&lt;&gt;"")*(($D$9:$L$9+INT(($S$12:$AA$12+INDEX($AJ$13:$AR$162,BN4138,0)+INDEX($AT$13:$BB$162,BO4138,0)+INDEX($BD$13:$BL$162,BP4138,0))/100))&gt;=$D$10:$L$10)),0)</f>
        <v/>
      </c>
      <c r="BR4138">
        <f>IF(4125&lt;$U$9,SUMPRODUCT(($D$10:$L$10&lt;&gt;"")*(($D$10:$L$10-($D$9:$L$9+INT(($S$12:$AA$12+INDEX($AJ$13:$AR$162,BN4138,0)+INDEX($AT$13:$BB$162,BO4138,0)+INDEX($BD$13:$BL$162,BP4138,0))/100)))&gt;0)*($D$10:$L$10-($D$9:$L$9+INT(($S$12:$AA$12+INDEX($AJ$13:$AR$162,BN4138,0)+INDEX($AT$13:$BB$162,BO4138,0)+INDEX($BD$13:$BL$162,BP4138,0))/100)))),0)</f>
        <v/>
      </c>
      <c r="BS4138">
        <f>IF(4125&lt;$U$9,SUMPRODUCT(($D$9:$L$9+INT(($S$12:$AA$12+INDEX($AJ$13:$AR$162,BN4138,0)+INDEX($AT$13:$BB$162,BO4138,0)+INDEX($BD$13:$BL$162,BP4138,0))/100))),0)</f>
        <v/>
      </c>
      <c r="BT4138">
        <f>IF(AND(4125&lt;$U$9,$W$5),BQ4138*1000000-MIN(BR4138,999)*1000+BS4138-4125/100000,-1000000000-4125)</f>
        <v/>
      </c>
    </row>
    <row r="4139">
      <c r="BN4139">
        <f>IF(4126&lt;$U$9,INT(4126/($U$7*$U$8))+1,1)</f>
        <v/>
      </c>
      <c r="BO4139">
        <f>IF(4126&lt;$U$9,MOD(INT(4126/$U$8),$U$7)+1,1)</f>
        <v/>
      </c>
      <c r="BP4139">
        <f>IF(4126&lt;$U$9,MOD(4126,$U$8)+1,1)</f>
        <v/>
      </c>
      <c r="BQ4139">
        <f>IF(4126&lt;$U$9,SUMPRODUCT(($D$10:$L$10&lt;&gt;"")*(($D$9:$L$9+INT(($S$12:$AA$12+INDEX($AJ$13:$AR$162,BN4139,0)+INDEX($AT$13:$BB$162,BO4139,0)+INDEX($BD$13:$BL$162,BP4139,0))/100))&gt;=$D$10:$L$10)),0)</f>
        <v/>
      </c>
      <c r="BR4139">
        <f>IF(4126&lt;$U$9,SUMPRODUCT(($D$10:$L$10&lt;&gt;"")*(($D$10:$L$10-($D$9:$L$9+INT(($S$12:$AA$12+INDEX($AJ$13:$AR$162,BN4139,0)+INDEX($AT$13:$BB$162,BO4139,0)+INDEX($BD$13:$BL$162,BP4139,0))/100)))&gt;0)*($D$10:$L$10-($D$9:$L$9+INT(($S$12:$AA$12+INDEX($AJ$13:$AR$162,BN4139,0)+INDEX($AT$13:$BB$162,BO4139,0)+INDEX($BD$13:$BL$162,BP4139,0))/100)))),0)</f>
        <v/>
      </c>
      <c r="BS4139">
        <f>IF(4126&lt;$U$9,SUMPRODUCT(($D$9:$L$9+INT(($S$12:$AA$12+INDEX($AJ$13:$AR$162,BN4139,0)+INDEX($AT$13:$BB$162,BO4139,0)+INDEX($BD$13:$BL$162,BP4139,0))/100))),0)</f>
        <v/>
      </c>
      <c r="BT4139">
        <f>IF(AND(4126&lt;$U$9,$W$5),BQ4139*1000000-MIN(BR4139,999)*1000+BS4139-4126/100000,-1000000000-4126)</f>
        <v/>
      </c>
    </row>
    <row r="4140">
      <c r="BN4140">
        <f>IF(4127&lt;$U$9,INT(4127/($U$7*$U$8))+1,1)</f>
        <v/>
      </c>
      <c r="BO4140">
        <f>IF(4127&lt;$U$9,MOD(INT(4127/$U$8),$U$7)+1,1)</f>
        <v/>
      </c>
      <c r="BP4140">
        <f>IF(4127&lt;$U$9,MOD(4127,$U$8)+1,1)</f>
        <v/>
      </c>
      <c r="BQ4140">
        <f>IF(4127&lt;$U$9,SUMPRODUCT(($D$10:$L$10&lt;&gt;"")*(($D$9:$L$9+INT(($S$12:$AA$12+INDEX($AJ$13:$AR$162,BN4140,0)+INDEX($AT$13:$BB$162,BO4140,0)+INDEX($BD$13:$BL$162,BP4140,0))/100))&gt;=$D$10:$L$10)),0)</f>
        <v/>
      </c>
      <c r="BR4140">
        <f>IF(4127&lt;$U$9,SUMPRODUCT(($D$10:$L$10&lt;&gt;"")*(($D$10:$L$10-($D$9:$L$9+INT(($S$12:$AA$12+INDEX($AJ$13:$AR$162,BN4140,0)+INDEX($AT$13:$BB$162,BO4140,0)+INDEX($BD$13:$BL$162,BP4140,0))/100)))&gt;0)*($D$10:$L$10-($D$9:$L$9+INT(($S$12:$AA$12+INDEX($AJ$13:$AR$162,BN4140,0)+INDEX($AT$13:$BB$162,BO4140,0)+INDEX($BD$13:$BL$162,BP4140,0))/100)))),0)</f>
        <v/>
      </c>
      <c r="BS4140">
        <f>IF(4127&lt;$U$9,SUMPRODUCT(($D$9:$L$9+INT(($S$12:$AA$12+INDEX($AJ$13:$AR$162,BN4140,0)+INDEX($AT$13:$BB$162,BO4140,0)+INDEX($BD$13:$BL$162,BP4140,0))/100))),0)</f>
        <v/>
      </c>
      <c r="BT4140">
        <f>IF(AND(4127&lt;$U$9,$W$5),BQ4140*1000000-MIN(BR4140,999)*1000+BS4140-4127/100000,-1000000000-4127)</f>
        <v/>
      </c>
    </row>
    <row r="4141">
      <c r="BN4141">
        <f>IF(4128&lt;$U$9,INT(4128/($U$7*$U$8))+1,1)</f>
        <v/>
      </c>
      <c r="BO4141">
        <f>IF(4128&lt;$U$9,MOD(INT(4128/$U$8),$U$7)+1,1)</f>
        <v/>
      </c>
      <c r="BP4141">
        <f>IF(4128&lt;$U$9,MOD(4128,$U$8)+1,1)</f>
        <v/>
      </c>
      <c r="BQ4141">
        <f>IF(4128&lt;$U$9,SUMPRODUCT(($D$10:$L$10&lt;&gt;"")*(($D$9:$L$9+INT(($S$12:$AA$12+INDEX($AJ$13:$AR$162,BN4141,0)+INDEX($AT$13:$BB$162,BO4141,0)+INDEX($BD$13:$BL$162,BP4141,0))/100))&gt;=$D$10:$L$10)),0)</f>
        <v/>
      </c>
      <c r="BR4141">
        <f>IF(4128&lt;$U$9,SUMPRODUCT(($D$10:$L$10&lt;&gt;"")*(($D$10:$L$10-($D$9:$L$9+INT(($S$12:$AA$12+INDEX($AJ$13:$AR$162,BN4141,0)+INDEX($AT$13:$BB$162,BO4141,0)+INDEX($BD$13:$BL$162,BP4141,0))/100)))&gt;0)*($D$10:$L$10-($D$9:$L$9+INT(($S$12:$AA$12+INDEX($AJ$13:$AR$162,BN4141,0)+INDEX($AT$13:$BB$162,BO4141,0)+INDEX($BD$13:$BL$162,BP4141,0))/100)))),0)</f>
        <v/>
      </c>
      <c r="BS4141">
        <f>IF(4128&lt;$U$9,SUMPRODUCT(($D$9:$L$9+INT(($S$12:$AA$12+INDEX($AJ$13:$AR$162,BN4141,0)+INDEX($AT$13:$BB$162,BO4141,0)+INDEX($BD$13:$BL$162,BP4141,0))/100))),0)</f>
        <v/>
      </c>
      <c r="BT4141">
        <f>IF(AND(4128&lt;$U$9,$W$5),BQ4141*1000000-MIN(BR4141,999)*1000+BS4141-4128/100000,-1000000000-4128)</f>
        <v/>
      </c>
    </row>
    <row r="4142">
      <c r="BN4142">
        <f>IF(4129&lt;$U$9,INT(4129/($U$7*$U$8))+1,1)</f>
        <v/>
      </c>
      <c r="BO4142">
        <f>IF(4129&lt;$U$9,MOD(INT(4129/$U$8),$U$7)+1,1)</f>
        <v/>
      </c>
      <c r="BP4142">
        <f>IF(4129&lt;$U$9,MOD(4129,$U$8)+1,1)</f>
        <v/>
      </c>
      <c r="BQ4142">
        <f>IF(4129&lt;$U$9,SUMPRODUCT(($D$10:$L$10&lt;&gt;"")*(($D$9:$L$9+INT(($S$12:$AA$12+INDEX($AJ$13:$AR$162,BN4142,0)+INDEX($AT$13:$BB$162,BO4142,0)+INDEX($BD$13:$BL$162,BP4142,0))/100))&gt;=$D$10:$L$10)),0)</f>
        <v/>
      </c>
      <c r="BR4142">
        <f>IF(4129&lt;$U$9,SUMPRODUCT(($D$10:$L$10&lt;&gt;"")*(($D$10:$L$10-($D$9:$L$9+INT(($S$12:$AA$12+INDEX($AJ$13:$AR$162,BN4142,0)+INDEX($AT$13:$BB$162,BO4142,0)+INDEX($BD$13:$BL$162,BP4142,0))/100)))&gt;0)*($D$10:$L$10-($D$9:$L$9+INT(($S$12:$AA$12+INDEX($AJ$13:$AR$162,BN4142,0)+INDEX($AT$13:$BB$162,BO4142,0)+INDEX($BD$13:$BL$162,BP4142,0))/100)))),0)</f>
        <v/>
      </c>
      <c r="BS4142">
        <f>IF(4129&lt;$U$9,SUMPRODUCT(($D$9:$L$9+INT(($S$12:$AA$12+INDEX($AJ$13:$AR$162,BN4142,0)+INDEX($AT$13:$BB$162,BO4142,0)+INDEX($BD$13:$BL$162,BP4142,0))/100))),0)</f>
        <v/>
      </c>
      <c r="BT4142">
        <f>IF(AND(4129&lt;$U$9,$W$5),BQ4142*1000000-MIN(BR4142,999)*1000+BS4142-4129/100000,-1000000000-4129)</f>
        <v/>
      </c>
    </row>
    <row r="4143">
      <c r="BN4143">
        <f>IF(4130&lt;$U$9,INT(4130/($U$7*$U$8))+1,1)</f>
        <v/>
      </c>
      <c r="BO4143">
        <f>IF(4130&lt;$U$9,MOD(INT(4130/$U$8),$U$7)+1,1)</f>
        <v/>
      </c>
      <c r="BP4143">
        <f>IF(4130&lt;$U$9,MOD(4130,$U$8)+1,1)</f>
        <v/>
      </c>
      <c r="BQ4143">
        <f>IF(4130&lt;$U$9,SUMPRODUCT(($D$10:$L$10&lt;&gt;"")*(($D$9:$L$9+INT(($S$12:$AA$12+INDEX($AJ$13:$AR$162,BN4143,0)+INDEX($AT$13:$BB$162,BO4143,0)+INDEX($BD$13:$BL$162,BP4143,0))/100))&gt;=$D$10:$L$10)),0)</f>
        <v/>
      </c>
      <c r="BR4143">
        <f>IF(4130&lt;$U$9,SUMPRODUCT(($D$10:$L$10&lt;&gt;"")*(($D$10:$L$10-($D$9:$L$9+INT(($S$12:$AA$12+INDEX($AJ$13:$AR$162,BN4143,0)+INDEX($AT$13:$BB$162,BO4143,0)+INDEX($BD$13:$BL$162,BP4143,0))/100)))&gt;0)*($D$10:$L$10-($D$9:$L$9+INT(($S$12:$AA$12+INDEX($AJ$13:$AR$162,BN4143,0)+INDEX($AT$13:$BB$162,BO4143,0)+INDEX($BD$13:$BL$162,BP4143,0))/100)))),0)</f>
        <v/>
      </c>
      <c r="BS4143">
        <f>IF(4130&lt;$U$9,SUMPRODUCT(($D$9:$L$9+INT(($S$12:$AA$12+INDEX($AJ$13:$AR$162,BN4143,0)+INDEX($AT$13:$BB$162,BO4143,0)+INDEX($BD$13:$BL$162,BP4143,0))/100))),0)</f>
        <v/>
      </c>
      <c r="BT4143">
        <f>IF(AND(4130&lt;$U$9,$W$5),BQ4143*1000000-MIN(BR4143,999)*1000+BS4143-4130/100000,-1000000000-4130)</f>
        <v/>
      </c>
    </row>
    <row r="4144">
      <c r="BN4144">
        <f>IF(4131&lt;$U$9,INT(4131/($U$7*$U$8))+1,1)</f>
        <v/>
      </c>
      <c r="BO4144">
        <f>IF(4131&lt;$U$9,MOD(INT(4131/$U$8),$U$7)+1,1)</f>
        <v/>
      </c>
      <c r="BP4144">
        <f>IF(4131&lt;$U$9,MOD(4131,$U$8)+1,1)</f>
        <v/>
      </c>
      <c r="BQ4144">
        <f>IF(4131&lt;$U$9,SUMPRODUCT(($D$10:$L$10&lt;&gt;"")*(($D$9:$L$9+INT(($S$12:$AA$12+INDEX($AJ$13:$AR$162,BN4144,0)+INDEX($AT$13:$BB$162,BO4144,0)+INDEX($BD$13:$BL$162,BP4144,0))/100))&gt;=$D$10:$L$10)),0)</f>
        <v/>
      </c>
      <c r="BR4144">
        <f>IF(4131&lt;$U$9,SUMPRODUCT(($D$10:$L$10&lt;&gt;"")*(($D$10:$L$10-($D$9:$L$9+INT(($S$12:$AA$12+INDEX($AJ$13:$AR$162,BN4144,0)+INDEX($AT$13:$BB$162,BO4144,0)+INDEX($BD$13:$BL$162,BP4144,0))/100)))&gt;0)*($D$10:$L$10-($D$9:$L$9+INT(($S$12:$AA$12+INDEX($AJ$13:$AR$162,BN4144,0)+INDEX($AT$13:$BB$162,BO4144,0)+INDEX($BD$13:$BL$162,BP4144,0))/100)))),0)</f>
        <v/>
      </c>
      <c r="BS4144">
        <f>IF(4131&lt;$U$9,SUMPRODUCT(($D$9:$L$9+INT(($S$12:$AA$12+INDEX($AJ$13:$AR$162,BN4144,0)+INDEX($AT$13:$BB$162,BO4144,0)+INDEX($BD$13:$BL$162,BP4144,0))/100))),0)</f>
        <v/>
      </c>
      <c r="BT4144">
        <f>IF(AND(4131&lt;$U$9,$W$5),BQ4144*1000000-MIN(BR4144,999)*1000+BS4144-4131/100000,-1000000000-4131)</f>
        <v/>
      </c>
    </row>
    <row r="4145">
      <c r="BN4145">
        <f>IF(4132&lt;$U$9,INT(4132/($U$7*$U$8))+1,1)</f>
        <v/>
      </c>
      <c r="BO4145">
        <f>IF(4132&lt;$U$9,MOD(INT(4132/$U$8),$U$7)+1,1)</f>
        <v/>
      </c>
      <c r="BP4145">
        <f>IF(4132&lt;$U$9,MOD(4132,$U$8)+1,1)</f>
        <v/>
      </c>
      <c r="BQ4145">
        <f>IF(4132&lt;$U$9,SUMPRODUCT(($D$10:$L$10&lt;&gt;"")*(($D$9:$L$9+INT(($S$12:$AA$12+INDEX($AJ$13:$AR$162,BN4145,0)+INDEX($AT$13:$BB$162,BO4145,0)+INDEX($BD$13:$BL$162,BP4145,0))/100))&gt;=$D$10:$L$10)),0)</f>
        <v/>
      </c>
      <c r="BR4145">
        <f>IF(4132&lt;$U$9,SUMPRODUCT(($D$10:$L$10&lt;&gt;"")*(($D$10:$L$10-($D$9:$L$9+INT(($S$12:$AA$12+INDEX($AJ$13:$AR$162,BN4145,0)+INDEX($AT$13:$BB$162,BO4145,0)+INDEX($BD$13:$BL$162,BP4145,0))/100)))&gt;0)*($D$10:$L$10-($D$9:$L$9+INT(($S$12:$AA$12+INDEX($AJ$13:$AR$162,BN4145,0)+INDEX($AT$13:$BB$162,BO4145,0)+INDEX($BD$13:$BL$162,BP4145,0))/100)))),0)</f>
        <v/>
      </c>
      <c r="BS4145">
        <f>IF(4132&lt;$U$9,SUMPRODUCT(($D$9:$L$9+INT(($S$12:$AA$12+INDEX($AJ$13:$AR$162,BN4145,0)+INDEX($AT$13:$BB$162,BO4145,0)+INDEX($BD$13:$BL$162,BP4145,0))/100))),0)</f>
        <v/>
      </c>
      <c r="BT4145">
        <f>IF(AND(4132&lt;$U$9,$W$5),BQ4145*1000000-MIN(BR4145,999)*1000+BS4145-4132/100000,-1000000000-4132)</f>
        <v/>
      </c>
    </row>
    <row r="4146">
      <c r="BN4146">
        <f>IF(4133&lt;$U$9,INT(4133/($U$7*$U$8))+1,1)</f>
        <v/>
      </c>
      <c r="BO4146">
        <f>IF(4133&lt;$U$9,MOD(INT(4133/$U$8),$U$7)+1,1)</f>
        <v/>
      </c>
      <c r="BP4146">
        <f>IF(4133&lt;$U$9,MOD(4133,$U$8)+1,1)</f>
        <v/>
      </c>
      <c r="BQ4146">
        <f>IF(4133&lt;$U$9,SUMPRODUCT(($D$10:$L$10&lt;&gt;"")*(($D$9:$L$9+INT(($S$12:$AA$12+INDEX($AJ$13:$AR$162,BN4146,0)+INDEX($AT$13:$BB$162,BO4146,0)+INDEX($BD$13:$BL$162,BP4146,0))/100))&gt;=$D$10:$L$10)),0)</f>
        <v/>
      </c>
      <c r="BR4146">
        <f>IF(4133&lt;$U$9,SUMPRODUCT(($D$10:$L$10&lt;&gt;"")*(($D$10:$L$10-($D$9:$L$9+INT(($S$12:$AA$12+INDEX($AJ$13:$AR$162,BN4146,0)+INDEX($AT$13:$BB$162,BO4146,0)+INDEX($BD$13:$BL$162,BP4146,0))/100)))&gt;0)*($D$10:$L$10-($D$9:$L$9+INT(($S$12:$AA$12+INDEX($AJ$13:$AR$162,BN4146,0)+INDEX($AT$13:$BB$162,BO4146,0)+INDEX($BD$13:$BL$162,BP4146,0))/100)))),0)</f>
        <v/>
      </c>
      <c r="BS4146">
        <f>IF(4133&lt;$U$9,SUMPRODUCT(($D$9:$L$9+INT(($S$12:$AA$12+INDEX($AJ$13:$AR$162,BN4146,0)+INDEX($AT$13:$BB$162,BO4146,0)+INDEX($BD$13:$BL$162,BP4146,0))/100))),0)</f>
        <v/>
      </c>
      <c r="BT4146">
        <f>IF(AND(4133&lt;$U$9,$W$5),BQ4146*1000000-MIN(BR4146,999)*1000+BS4146-4133/100000,-1000000000-4133)</f>
        <v/>
      </c>
    </row>
    <row r="4147">
      <c r="BN4147">
        <f>IF(4134&lt;$U$9,INT(4134/($U$7*$U$8))+1,1)</f>
        <v/>
      </c>
      <c r="BO4147">
        <f>IF(4134&lt;$U$9,MOD(INT(4134/$U$8),$U$7)+1,1)</f>
        <v/>
      </c>
      <c r="BP4147">
        <f>IF(4134&lt;$U$9,MOD(4134,$U$8)+1,1)</f>
        <v/>
      </c>
      <c r="BQ4147">
        <f>IF(4134&lt;$U$9,SUMPRODUCT(($D$10:$L$10&lt;&gt;"")*(($D$9:$L$9+INT(($S$12:$AA$12+INDEX($AJ$13:$AR$162,BN4147,0)+INDEX($AT$13:$BB$162,BO4147,0)+INDEX($BD$13:$BL$162,BP4147,0))/100))&gt;=$D$10:$L$10)),0)</f>
        <v/>
      </c>
      <c r="BR4147">
        <f>IF(4134&lt;$U$9,SUMPRODUCT(($D$10:$L$10&lt;&gt;"")*(($D$10:$L$10-($D$9:$L$9+INT(($S$12:$AA$12+INDEX($AJ$13:$AR$162,BN4147,0)+INDEX($AT$13:$BB$162,BO4147,0)+INDEX($BD$13:$BL$162,BP4147,0))/100)))&gt;0)*($D$10:$L$10-($D$9:$L$9+INT(($S$12:$AA$12+INDEX($AJ$13:$AR$162,BN4147,0)+INDEX($AT$13:$BB$162,BO4147,0)+INDEX($BD$13:$BL$162,BP4147,0))/100)))),0)</f>
        <v/>
      </c>
      <c r="BS4147">
        <f>IF(4134&lt;$U$9,SUMPRODUCT(($D$9:$L$9+INT(($S$12:$AA$12+INDEX($AJ$13:$AR$162,BN4147,0)+INDEX($AT$13:$BB$162,BO4147,0)+INDEX($BD$13:$BL$162,BP4147,0))/100))),0)</f>
        <v/>
      </c>
      <c r="BT4147">
        <f>IF(AND(4134&lt;$U$9,$W$5),BQ4147*1000000-MIN(BR4147,999)*1000+BS4147-4134/100000,-1000000000-4134)</f>
        <v/>
      </c>
    </row>
    <row r="4148">
      <c r="BN4148">
        <f>IF(4135&lt;$U$9,INT(4135/($U$7*$U$8))+1,1)</f>
        <v/>
      </c>
      <c r="BO4148">
        <f>IF(4135&lt;$U$9,MOD(INT(4135/$U$8),$U$7)+1,1)</f>
        <v/>
      </c>
      <c r="BP4148">
        <f>IF(4135&lt;$U$9,MOD(4135,$U$8)+1,1)</f>
        <v/>
      </c>
      <c r="BQ4148">
        <f>IF(4135&lt;$U$9,SUMPRODUCT(($D$10:$L$10&lt;&gt;"")*(($D$9:$L$9+INT(($S$12:$AA$12+INDEX($AJ$13:$AR$162,BN4148,0)+INDEX($AT$13:$BB$162,BO4148,0)+INDEX($BD$13:$BL$162,BP4148,0))/100))&gt;=$D$10:$L$10)),0)</f>
        <v/>
      </c>
      <c r="BR4148">
        <f>IF(4135&lt;$U$9,SUMPRODUCT(($D$10:$L$10&lt;&gt;"")*(($D$10:$L$10-($D$9:$L$9+INT(($S$12:$AA$12+INDEX($AJ$13:$AR$162,BN4148,0)+INDEX($AT$13:$BB$162,BO4148,0)+INDEX($BD$13:$BL$162,BP4148,0))/100)))&gt;0)*($D$10:$L$10-($D$9:$L$9+INT(($S$12:$AA$12+INDEX($AJ$13:$AR$162,BN4148,0)+INDEX($AT$13:$BB$162,BO4148,0)+INDEX($BD$13:$BL$162,BP4148,0))/100)))),0)</f>
        <v/>
      </c>
      <c r="BS4148">
        <f>IF(4135&lt;$U$9,SUMPRODUCT(($D$9:$L$9+INT(($S$12:$AA$12+INDEX($AJ$13:$AR$162,BN4148,0)+INDEX($AT$13:$BB$162,BO4148,0)+INDEX($BD$13:$BL$162,BP4148,0))/100))),0)</f>
        <v/>
      </c>
      <c r="BT4148">
        <f>IF(AND(4135&lt;$U$9,$W$5),BQ4148*1000000-MIN(BR4148,999)*1000+BS4148-4135/100000,-1000000000-4135)</f>
        <v/>
      </c>
    </row>
    <row r="4149">
      <c r="BN4149">
        <f>IF(4136&lt;$U$9,INT(4136/($U$7*$U$8))+1,1)</f>
        <v/>
      </c>
      <c r="BO4149">
        <f>IF(4136&lt;$U$9,MOD(INT(4136/$U$8),$U$7)+1,1)</f>
        <v/>
      </c>
      <c r="BP4149">
        <f>IF(4136&lt;$U$9,MOD(4136,$U$8)+1,1)</f>
        <v/>
      </c>
      <c r="BQ4149">
        <f>IF(4136&lt;$U$9,SUMPRODUCT(($D$10:$L$10&lt;&gt;"")*(($D$9:$L$9+INT(($S$12:$AA$12+INDEX($AJ$13:$AR$162,BN4149,0)+INDEX($AT$13:$BB$162,BO4149,0)+INDEX($BD$13:$BL$162,BP4149,0))/100))&gt;=$D$10:$L$10)),0)</f>
        <v/>
      </c>
      <c r="BR4149">
        <f>IF(4136&lt;$U$9,SUMPRODUCT(($D$10:$L$10&lt;&gt;"")*(($D$10:$L$10-($D$9:$L$9+INT(($S$12:$AA$12+INDEX($AJ$13:$AR$162,BN4149,0)+INDEX($AT$13:$BB$162,BO4149,0)+INDEX($BD$13:$BL$162,BP4149,0))/100)))&gt;0)*($D$10:$L$10-($D$9:$L$9+INT(($S$12:$AA$12+INDEX($AJ$13:$AR$162,BN4149,0)+INDEX($AT$13:$BB$162,BO4149,0)+INDEX($BD$13:$BL$162,BP4149,0))/100)))),0)</f>
        <v/>
      </c>
      <c r="BS4149">
        <f>IF(4136&lt;$U$9,SUMPRODUCT(($D$9:$L$9+INT(($S$12:$AA$12+INDEX($AJ$13:$AR$162,BN4149,0)+INDEX($AT$13:$BB$162,BO4149,0)+INDEX($BD$13:$BL$162,BP4149,0))/100))),0)</f>
        <v/>
      </c>
      <c r="BT4149">
        <f>IF(AND(4136&lt;$U$9,$W$5),BQ4149*1000000-MIN(BR4149,999)*1000+BS4149-4136/100000,-1000000000-4136)</f>
        <v/>
      </c>
    </row>
    <row r="4150">
      <c r="BN4150">
        <f>IF(4137&lt;$U$9,INT(4137/($U$7*$U$8))+1,1)</f>
        <v/>
      </c>
      <c r="BO4150">
        <f>IF(4137&lt;$U$9,MOD(INT(4137/$U$8),$U$7)+1,1)</f>
        <v/>
      </c>
      <c r="BP4150">
        <f>IF(4137&lt;$U$9,MOD(4137,$U$8)+1,1)</f>
        <v/>
      </c>
      <c r="BQ4150">
        <f>IF(4137&lt;$U$9,SUMPRODUCT(($D$10:$L$10&lt;&gt;"")*(($D$9:$L$9+INT(($S$12:$AA$12+INDEX($AJ$13:$AR$162,BN4150,0)+INDEX($AT$13:$BB$162,BO4150,0)+INDEX($BD$13:$BL$162,BP4150,0))/100))&gt;=$D$10:$L$10)),0)</f>
        <v/>
      </c>
      <c r="BR4150">
        <f>IF(4137&lt;$U$9,SUMPRODUCT(($D$10:$L$10&lt;&gt;"")*(($D$10:$L$10-($D$9:$L$9+INT(($S$12:$AA$12+INDEX($AJ$13:$AR$162,BN4150,0)+INDEX($AT$13:$BB$162,BO4150,0)+INDEX($BD$13:$BL$162,BP4150,0))/100)))&gt;0)*($D$10:$L$10-($D$9:$L$9+INT(($S$12:$AA$12+INDEX($AJ$13:$AR$162,BN4150,0)+INDEX($AT$13:$BB$162,BO4150,0)+INDEX($BD$13:$BL$162,BP4150,0))/100)))),0)</f>
        <v/>
      </c>
      <c r="BS4150">
        <f>IF(4137&lt;$U$9,SUMPRODUCT(($D$9:$L$9+INT(($S$12:$AA$12+INDEX($AJ$13:$AR$162,BN4150,0)+INDEX($AT$13:$BB$162,BO4150,0)+INDEX($BD$13:$BL$162,BP4150,0))/100))),0)</f>
        <v/>
      </c>
      <c r="BT4150">
        <f>IF(AND(4137&lt;$U$9,$W$5),BQ4150*1000000-MIN(BR4150,999)*1000+BS4150-4137/100000,-1000000000-4137)</f>
        <v/>
      </c>
    </row>
    <row r="4151">
      <c r="BN4151">
        <f>IF(4138&lt;$U$9,INT(4138/($U$7*$U$8))+1,1)</f>
        <v/>
      </c>
      <c r="BO4151">
        <f>IF(4138&lt;$U$9,MOD(INT(4138/$U$8),$U$7)+1,1)</f>
        <v/>
      </c>
      <c r="BP4151">
        <f>IF(4138&lt;$U$9,MOD(4138,$U$8)+1,1)</f>
        <v/>
      </c>
      <c r="BQ4151">
        <f>IF(4138&lt;$U$9,SUMPRODUCT(($D$10:$L$10&lt;&gt;"")*(($D$9:$L$9+INT(($S$12:$AA$12+INDEX($AJ$13:$AR$162,BN4151,0)+INDEX($AT$13:$BB$162,BO4151,0)+INDEX($BD$13:$BL$162,BP4151,0))/100))&gt;=$D$10:$L$10)),0)</f>
        <v/>
      </c>
      <c r="BR4151">
        <f>IF(4138&lt;$U$9,SUMPRODUCT(($D$10:$L$10&lt;&gt;"")*(($D$10:$L$10-($D$9:$L$9+INT(($S$12:$AA$12+INDEX($AJ$13:$AR$162,BN4151,0)+INDEX($AT$13:$BB$162,BO4151,0)+INDEX($BD$13:$BL$162,BP4151,0))/100)))&gt;0)*($D$10:$L$10-($D$9:$L$9+INT(($S$12:$AA$12+INDEX($AJ$13:$AR$162,BN4151,0)+INDEX($AT$13:$BB$162,BO4151,0)+INDEX($BD$13:$BL$162,BP4151,0))/100)))),0)</f>
        <v/>
      </c>
      <c r="BS4151">
        <f>IF(4138&lt;$U$9,SUMPRODUCT(($D$9:$L$9+INT(($S$12:$AA$12+INDEX($AJ$13:$AR$162,BN4151,0)+INDEX($AT$13:$BB$162,BO4151,0)+INDEX($BD$13:$BL$162,BP4151,0))/100))),0)</f>
        <v/>
      </c>
      <c r="BT4151">
        <f>IF(AND(4138&lt;$U$9,$W$5),BQ4151*1000000-MIN(BR4151,999)*1000+BS4151-4138/100000,-1000000000-4138)</f>
        <v/>
      </c>
    </row>
    <row r="4152">
      <c r="BN4152">
        <f>IF(4139&lt;$U$9,INT(4139/($U$7*$U$8))+1,1)</f>
        <v/>
      </c>
      <c r="BO4152">
        <f>IF(4139&lt;$U$9,MOD(INT(4139/$U$8),$U$7)+1,1)</f>
        <v/>
      </c>
      <c r="BP4152">
        <f>IF(4139&lt;$U$9,MOD(4139,$U$8)+1,1)</f>
        <v/>
      </c>
      <c r="BQ4152">
        <f>IF(4139&lt;$U$9,SUMPRODUCT(($D$10:$L$10&lt;&gt;"")*(($D$9:$L$9+INT(($S$12:$AA$12+INDEX($AJ$13:$AR$162,BN4152,0)+INDEX($AT$13:$BB$162,BO4152,0)+INDEX($BD$13:$BL$162,BP4152,0))/100))&gt;=$D$10:$L$10)),0)</f>
        <v/>
      </c>
      <c r="BR4152">
        <f>IF(4139&lt;$U$9,SUMPRODUCT(($D$10:$L$10&lt;&gt;"")*(($D$10:$L$10-($D$9:$L$9+INT(($S$12:$AA$12+INDEX($AJ$13:$AR$162,BN4152,0)+INDEX($AT$13:$BB$162,BO4152,0)+INDEX($BD$13:$BL$162,BP4152,0))/100)))&gt;0)*($D$10:$L$10-($D$9:$L$9+INT(($S$12:$AA$12+INDEX($AJ$13:$AR$162,BN4152,0)+INDEX($AT$13:$BB$162,BO4152,0)+INDEX($BD$13:$BL$162,BP4152,0))/100)))),0)</f>
        <v/>
      </c>
      <c r="BS4152">
        <f>IF(4139&lt;$U$9,SUMPRODUCT(($D$9:$L$9+INT(($S$12:$AA$12+INDEX($AJ$13:$AR$162,BN4152,0)+INDEX($AT$13:$BB$162,BO4152,0)+INDEX($BD$13:$BL$162,BP4152,0))/100))),0)</f>
        <v/>
      </c>
      <c r="BT4152">
        <f>IF(AND(4139&lt;$U$9,$W$5),BQ4152*1000000-MIN(BR4152,999)*1000+BS4152-4139/100000,-1000000000-4139)</f>
        <v/>
      </c>
    </row>
    <row r="4153">
      <c r="BN4153">
        <f>IF(4140&lt;$U$9,INT(4140/($U$7*$U$8))+1,1)</f>
        <v/>
      </c>
      <c r="BO4153">
        <f>IF(4140&lt;$U$9,MOD(INT(4140/$U$8),$U$7)+1,1)</f>
        <v/>
      </c>
      <c r="BP4153">
        <f>IF(4140&lt;$U$9,MOD(4140,$U$8)+1,1)</f>
        <v/>
      </c>
      <c r="BQ4153">
        <f>IF(4140&lt;$U$9,SUMPRODUCT(($D$10:$L$10&lt;&gt;"")*(($D$9:$L$9+INT(($S$12:$AA$12+INDEX($AJ$13:$AR$162,BN4153,0)+INDEX($AT$13:$BB$162,BO4153,0)+INDEX($BD$13:$BL$162,BP4153,0))/100))&gt;=$D$10:$L$10)),0)</f>
        <v/>
      </c>
      <c r="BR4153">
        <f>IF(4140&lt;$U$9,SUMPRODUCT(($D$10:$L$10&lt;&gt;"")*(($D$10:$L$10-($D$9:$L$9+INT(($S$12:$AA$12+INDEX($AJ$13:$AR$162,BN4153,0)+INDEX($AT$13:$BB$162,BO4153,0)+INDEX($BD$13:$BL$162,BP4153,0))/100)))&gt;0)*($D$10:$L$10-($D$9:$L$9+INT(($S$12:$AA$12+INDEX($AJ$13:$AR$162,BN4153,0)+INDEX($AT$13:$BB$162,BO4153,0)+INDEX($BD$13:$BL$162,BP4153,0))/100)))),0)</f>
        <v/>
      </c>
      <c r="BS4153">
        <f>IF(4140&lt;$U$9,SUMPRODUCT(($D$9:$L$9+INT(($S$12:$AA$12+INDEX($AJ$13:$AR$162,BN4153,0)+INDEX($AT$13:$BB$162,BO4153,0)+INDEX($BD$13:$BL$162,BP4153,0))/100))),0)</f>
        <v/>
      </c>
      <c r="BT4153">
        <f>IF(AND(4140&lt;$U$9,$W$5),BQ4153*1000000-MIN(BR4153,999)*1000+BS4153-4140/100000,-1000000000-4140)</f>
        <v/>
      </c>
    </row>
    <row r="4154">
      <c r="BN4154">
        <f>IF(4141&lt;$U$9,INT(4141/($U$7*$U$8))+1,1)</f>
        <v/>
      </c>
      <c r="BO4154">
        <f>IF(4141&lt;$U$9,MOD(INT(4141/$U$8),$U$7)+1,1)</f>
        <v/>
      </c>
      <c r="BP4154">
        <f>IF(4141&lt;$U$9,MOD(4141,$U$8)+1,1)</f>
        <v/>
      </c>
      <c r="BQ4154">
        <f>IF(4141&lt;$U$9,SUMPRODUCT(($D$10:$L$10&lt;&gt;"")*(($D$9:$L$9+INT(($S$12:$AA$12+INDEX($AJ$13:$AR$162,BN4154,0)+INDEX($AT$13:$BB$162,BO4154,0)+INDEX($BD$13:$BL$162,BP4154,0))/100))&gt;=$D$10:$L$10)),0)</f>
        <v/>
      </c>
      <c r="BR4154">
        <f>IF(4141&lt;$U$9,SUMPRODUCT(($D$10:$L$10&lt;&gt;"")*(($D$10:$L$10-($D$9:$L$9+INT(($S$12:$AA$12+INDEX($AJ$13:$AR$162,BN4154,0)+INDEX($AT$13:$BB$162,BO4154,0)+INDEX($BD$13:$BL$162,BP4154,0))/100)))&gt;0)*($D$10:$L$10-($D$9:$L$9+INT(($S$12:$AA$12+INDEX($AJ$13:$AR$162,BN4154,0)+INDEX($AT$13:$BB$162,BO4154,0)+INDEX($BD$13:$BL$162,BP4154,0))/100)))),0)</f>
        <v/>
      </c>
      <c r="BS4154">
        <f>IF(4141&lt;$U$9,SUMPRODUCT(($D$9:$L$9+INT(($S$12:$AA$12+INDEX($AJ$13:$AR$162,BN4154,0)+INDEX($AT$13:$BB$162,BO4154,0)+INDEX($BD$13:$BL$162,BP4154,0))/100))),0)</f>
        <v/>
      </c>
      <c r="BT4154">
        <f>IF(AND(4141&lt;$U$9,$W$5),BQ4154*1000000-MIN(BR4154,999)*1000+BS4154-4141/100000,-1000000000-4141)</f>
        <v/>
      </c>
    </row>
    <row r="4155">
      <c r="BN4155">
        <f>IF(4142&lt;$U$9,INT(4142/($U$7*$U$8))+1,1)</f>
        <v/>
      </c>
      <c r="BO4155">
        <f>IF(4142&lt;$U$9,MOD(INT(4142/$U$8),$U$7)+1,1)</f>
        <v/>
      </c>
      <c r="BP4155">
        <f>IF(4142&lt;$U$9,MOD(4142,$U$8)+1,1)</f>
        <v/>
      </c>
      <c r="BQ4155">
        <f>IF(4142&lt;$U$9,SUMPRODUCT(($D$10:$L$10&lt;&gt;"")*(($D$9:$L$9+INT(($S$12:$AA$12+INDEX($AJ$13:$AR$162,BN4155,0)+INDEX($AT$13:$BB$162,BO4155,0)+INDEX($BD$13:$BL$162,BP4155,0))/100))&gt;=$D$10:$L$10)),0)</f>
        <v/>
      </c>
      <c r="BR4155">
        <f>IF(4142&lt;$U$9,SUMPRODUCT(($D$10:$L$10&lt;&gt;"")*(($D$10:$L$10-($D$9:$L$9+INT(($S$12:$AA$12+INDEX($AJ$13:$AR$162,BN4155,0)+INDEX($AT$13:$BB$162,BO4155,0)+INDEX($BD$13:$BL$162,BP4155,0))/100)))&gt;0)*($D$10:$L$10-($D$9:$L$9+INT(($S$12:$AA$12+INDEX($AJ$13:$AR$162,BN4155,0)+INDEX($AT$13:$BB$162,BO4155,0)+INDEX($BD$13:$BL$162,BP4155,0))/100)))),0)</f>
        <v/>
      </c>
      <c r="BS4155">
        <f>IF(4142&lt;$U$9,SUMPRODUCT(($D$9:$L$9+INT(($S$12:$AA$12+INDEX($AJ$13:$AR$162,BN4155,0)+INDEX($AT$13:$BB$162,BO4155,0)+INDEX($BD$13:$BL$162,BP4155,0))/100))),0)</f>
        <v/>
      </c>
      <c r="BT4155">
        <f>IF(AND(4142&lt;$U$9,$W$5),BQ4155*1000000-MIN(BR4155,999)*1000+BS4155-4142/100000,-1000000000-4142)</f>
        <v/>
      </c>
    </row>
    <row r="4156">
      <c r="BN4156">
        <f>IF(4143&lt;$U$9,INT(4143/($U$7*$U$8))+1,1)</f>
        <v/>
      </c>
      <c r="BO4156">
        <f>IF(4143&lt;$U$9,MOD(INT(4143/$U$8),$U$7)+1,1)</f>
        <v/>
      </c>
      <c r="BP4156">
        <f>IF(4143&lt;$U$9,MOD(4143,$U$8)+1,1)</f>
        <v/>
      </c>
      <c r="BQ4156">
        <f>IF(4143&lt;$U$9,SUMPRODUCT(($D$10:$L$10&lt;&gt;"")*(($D$9:$L$9+INT(($S$12:$AA$12+INDEX($AJ$13:$AR$162,BN4156,0)+INDEX($AT$13:$BB$162,BO4156,0)+INDEX($BD$13:$BL$162,BP4156,0))/100))&gt;=$D$10:$L$10)),0)</f>
        <v/>
      </c>
      <c r="BR4156">
        <f>IF(4143&lt;$U$9,SUMPRODUCT(($D$10:$L$10&lt;&gt;"")*(($D$10:$L$10-($D$9:$L$9+INT(($S$12:$AA$12+INDEX($AJ$13:$AR$162,BN4156,0)+INDEX($AT$13:$BB$162,BO4156,0)+INDEX($BD$13:$BL$162,BP4156,0))/100)))&gt;0)*($D$10:$L$10-($D$9:$L$9+INT(($S$12:$AA$12+INDEX($AJ$13:$AR$162,BN4156,0)+INDEX($AT$13:$BB$162,BO4156,0)+INDEX($BD$13:$BL$162,BP4156,0))/100)))),0)</f>
        <v/>
      </c>
      <c r="BS4156">
        <f>IF(4143&lt;$U$9,SUMPRODUCT(($D$9:$L$9+INT(($S$12:$AA$12+INDEX($AJ$13:$AR$162,BN4156,0)+INDEX($AT$13:$BB$162,BO4156,0)+INDEX($BD$13:$BL$162,BP4156,0))/100))),0)</f>
        <v/>
      </c>
      <c r="BT4156">
        <f>IF(AND(4143&lt;$U$9,$W$5),BQ4156*1000000-MIN(BR4156,999)*1000+BS4156-4143/100000,-1000000000-4143)</f>
        <v/>
      </c>
    </row>
    <row r="4157">
      <c r="BN4157">
        <f>IF(4144&lt;$U$9,INT(4144/($U$7*$U$8))+1,1)</f>
        <v/>
      </c>
      <c r="BO4157">
        <f>IF(4144&lt;$U$9,MOD(INT(4144/$U$8),$U$7)+1,1)</f>
        <v/>
      </c>
      <c r="BP4157">
        <f>IF(4144&lt;$U$9,MOD(4144,$U$8)+1,1)</f>
        <v/>
      </c>
      <c r="BQ4157">
        <f>IF(4144&lt;$U$9,SUMPRODUCT(($D$10:$L$10&lt;&gt;"")*(($D$9:$L$9+INT(($S$12:$AA$12+INDEX($AJ$13:$AR$162,BN4157,0)+INDEX($AT$13:$BB$162,BO4157,0)+INDEX($BD$13:$BL$162,BP4157,0))/100))&gt;=$D$10:$L$10)),0)</f>
        <v/>
      </c>
      <c r="BR4157">
        <f>IF(4144&lt;$U$9,SUMPRODUCT(($D$10:$L$10&lt;&gt;"")*(($D$10:$L$10-($D$9:$L$9+INT(($S$12:$AA$12+INDEX($AJ$13:$AR$162,BN4157,0)+INDEX($AT$13:$BB$162,BO4157,0)+INDEX($BD$13:$BL$162,BP4157,0))/100)))&gt;0)*($D$10:$L$10-($D$9:$L$9+INT(($S$12:$AA$12+INDEX($AJ$13:$AR$162,BN4157,0)+INDEX($AT$13:$BB$162,BO4157,0)+INDEX($BD$13:$BL$162,BP4157,0))/100)))),0)</f>
        <v/>
      </c>
      <c r="BS4157">
        <f>IF(4144&lt;$U$9,SUMPRODUCT(($D$9:$L$9+INT(($S$12:$AA$12+INDEX($AJ$13:$AR$162,BN4157,0)+INDEX($AT$13:$BB$162,BO4157,0)+INDEX($BD$13:$BL$162,BP4157,0))/100))),0)</f>
        <v/>
      </c>
      <c r="BT4157">
        <f>IF(AND(4144&lt;$U$9,$W$5),BQ4157*1000000-MIN(BR4157,999)*1000+BS4157-4144/100000,-1000000000-4144)</f>
        <v/>
      </c>
    </row>
    <row r="4158">
      <c r="BN4158">
        <f>IF(4145&lt;$U$9,INT(4145/($U$7*$U$8))+1,1)</f>
        <v/>
      </c>
      <c r="BO4158">
        <f>IF(4145&lt;$U$9,MOD(INT(4145/$U$8),$U$7)+1,1)</f>
        <v/>
      </c>
      <c r="BP4158">
        <f>IF(4145&lt;$U$9,MOD(4145,$U$8)+1,1)</f>
        <v/>
      </c>
      <c r="BQ4158">
        <f>IF(4145&lt;$U$9,SUMPRODUCT(($D$10:$L$10&lt;&gt;"")*(($D$9:$L$9+INT(($S$12:$AA$12+INDEX($AJ$13:$AR$162,BN4158,0)+INDEX($AT$13:$BB$162,BO4158,0)+INDEX($BD$13:$BL$162,BP4158,0))/100))&gt;=$D$10:$L$10)),0)</f>
        <v/>
      </c>
      <c r="BR4158">
        <f>IF(4145&lt;$U$9,SUMPRODUCT(($D$10:$L$10&lt;&gt;"")*(($D$10:$L$10-($D$9:$L$9+INT(($S$12:$AA$12+INDEX($AJ$13:$AR$162,BN4158,0)+INDEX($AT$13:$BB$162,BO4158,0)+INDEX($BD$13:$BL$162,BP4158,0))/100)))&gt;0)*($D$10:$L$10-($D$9:$L$9+INT(($S$12:$AA$12+INDEX($AJ$13:$AR$162,BN4158,0)+INDEX($AT$13:$BB$162,BO4158,0)+INDEX($BD$13:$BL$162,BP4158,0))/100)))),0)</f>
        <v/>
      </c>
      <c r="BS4158">
        <f>IF(4145&lt;$U$9,SUMPRODUCT(($D$9:$L$9+INT(($S$12:$AA$12+INDEX($AJ$13:$AR$162,BN4158,0)+INDEX($AT$13:$BB$162,BO4158,0)+INDEX($BD$13:$BL$162,BP4158,0))/100))),0)</f>
        <v/>
      </c>
      <c r="BT4158">
        <f>IF(AND(4145&lt;$U$9,$W$5),BQ4158*1000000-MIN(BR4158,999)*1000+BS4158-4145/100000,-1000000000-4145)</f>
        <v/>
      </c>
    </row>
    <row r="4159">
      <c r="BN4159">
        <f>IF(4146&lt;$U$9,INT(4146/($U$7*$U$8))+1,1)</f>
        <v/>
      </c>
      <c r="BO4159">
        <f>IF(4146&lt;$U$9,MOD(INT(4146/$U$8),$U$7)+1,1)</f>
        <v/>
      </c>
      <c r="BP4159">
        <f>IF(4146&lt;$U$9,MOD(4146,$U$8)+1,1)</f>
        <v/>
      </c>
      <c r="BQ4159">
        <f>IF(4146&lt;$U$9,SUMPRODUCT(($D$10:$L$10&lt;&gt;"")*(($D$9:$L$9+INT(($S$12:$AA$12+INDEX($AJ$13:$AR$162,BN4159,0)+INDEX($AT$13:$BB$162,BO4159,0)+INDEX($BD$13:$BL$162,BP4159,0))/100))&gt;=$D$10:$L$10)),0)</f>
        <v/>
      </c>
      <c r="BR4159">
        <f>IF(4146&lt;$U$9,SUMPRODUCT(($D$10:$L$10&lt;&gt;"")*(($D$10:$L$10-($D$9:$L$9+INT(($S$12:$AA$12+INDEX($AJ$13:$AR$162,BN4159,0)+INDEX($AT$13:$BB$162,BO4159,0)+INDEX($BD$13:$BL$162,BP4159,0))/100)))&gt;0)*($D$10:$L$10-($D$9:$L$9+INT(($S$12:$AA$12+INDEX($AJ$13:$AR$162,BN4159,0)+INDEX($AT$13:$BB$162,BO4159,0)+INDEX($BD$13:$BL$162,BP4159,0))/100)))),0)</f>
        <v/>
      </c>
      <c r="BS4159">
        <f>IF(4146&lt;$U$9,SUMPRODUCT(($D$9:$L$9+INT(($S$12:$AA$12+INDEX($AJ$13:$AR$162,BN4159,0)+INDEX($AT$13:$BB$162,BO4159,0)+INDEX($BD$13:$BL$162,BP4159,0))/100))),0)</f>
        <v/>
      </c>
      <c r="BT4159">
        <f>IF(AND(4146&lt;$U$9,$W$5),BQ4159*1000000-MIN(BR4159,999)*1000+BS4159-4146/100000,-1000000000-4146)</f>
        <v/>
      </c>
    </row>
    <row r="4160">
      <c r="BN4160">
        <f>IF(4147&lt;$U$9,INT(4147/($U$7*$U$8))+1,1)</f>
        <v/>
      </c>
      <c r="BO4160">
        <f>IF(4147&lt;$U$9,MOD(INT(4147/$U$8),$U$7)+1,1)</f>
        <v/>
      </c>
      <c r="BP4160">
        <f>IF(4147&lt;$U$9,MOD(4147,$U$8)+1,1)</f>
        <v/>
      </c>
      <c r="BQ4160">
        <f>IF(4147&lt;$U$9,SUMPRODUCT(($D$10:$L$10&lt;&gt;"")*(($D$9:$L$9+INT(($S$12:$AA$12+INDEX($AJ$13:$AR$162,BN4160,0)+INDEX($AT$13:$BB$162,BO4160,0)+INDEX($BD$13:$BL$162,BP4160,0))/100))&gt;=$D$10:$L$10)),0)</f>
        <v/>
      </c>
      <c r="BR4160">
        <f>IF(4147&lt;$U$9,SUMPRODUCT(($D$10:$L$10&lt;&gt;"")*(($D$10:$L$10-($D$9:$L$9+INT(($S$12:$AA$12+INDEX($AJ$13:$AR$162,BN4160,0)+INDEX($AT$13:$BB$162,BO4160,0)+INDEX($BD$13:$BL$162,BP4160,0))/100)))&gt;0)*($D$10:$L$10-($D$9:$L$9+INT(($S$12:$AA$12+INDEX($AJ$13:$AR$162,BN4160,0)+INDEX($AT$13:$BB$162,BO4160,0)+INDEX($BD$13:$BL$162,BP4160,0))/100)))),0)</f>
        <v/>
      </c>
      <c r="BS4160">
        <f>IF(4147&lt;$U$9,SUMPRODUCT(($D$9:$L$9+INT(($S$12:$AA$12+INDEX($AJ$13:$AR$162,BN4160,0)+INDEX($AT$13:$BB$162,BO4160,0)+INDEX($BD$13:$BL$162,BP4160,0))/100))),0)</f>
        <v/>
      </c>
      <c r="BT4160">
        <f>IF(AND(4147&lt;$U$9,$W$5),BQ4160*1000000-MIN(BR4160,999)*1000+BS4160-4147/100000,-1000000000-4147)</f>
        <v/>
      </c>
    </row>
    <row r="4161">
      <c r="BN4161">
        <f>IF(4148&lt;$U$9,INT(4148/($U$7*$U$8))+1,1)</f>
        <v/>
      </c>
      <c r="BO4161">
        <f>IF(4148&lt;$U$9,MOD(INT(4148/$U$8),$U$7)+1,1)</f>
        <v/>
      </c>
      <c r="BP4161">
        <f>IF(4148&lt;$U$9,MOD(4148,$U$8)+1,1)</f>
        <v/>
      </c>
      <c r="BQ4161">
        <f>IF(4148&lt;$U$9,SUMPRODUCT(($D$10:$L$10&lt;&gt;"")*(($D$9:$L$9+INT(($S$12:$AA$12+INDEX($AJ$13:$AR$162,BN4161,0)+INDEX($AT$13:$BB$162,BO4161,0)+INDEX($BD$13:$BL$162,BP4161,0))/100))&gt;=$D$10:$L$10)),0)</f>
        <v/>
      </c>
      <c r="BR4161">
        <f>IF(4148&lt;$U$9,SUMPRODUCT(($D$10:$L$10&lt;&gt;"")*(($D$10:$L$10-($D$9:$L$9+INT(($S$12:$AA$12+INDEX($AJ$13:$AR$162,BN4161,0)+INDEX($AT$13:$BB$162,BO4161,0)+INDEX($BD$13:$BL$162,BP4161,0))/100)))&gt;0)*($D$10:$L$10-($D$9:$L$9+INT(($S$12:$AA$12+INDEX($AJ$13:$AR$162,BN4161,0)+INDEX($AT$13:$BB$162,BO4161,0)+INDEX($BD$13:$BL$162,BP4161,0))/100)))),0)</f>
        <v/>
      </c>
      <c r="BS4161">
        <f>IF(4148&lt;$U$9,SUMPRODUCT(($D$9:$L$9+INT(($S$12:$AA$12+INDEX($AJ$13:$AR$162,BN4161,0)+INDEX($AT$13:$BB$162,BO4161,0)+INDEX($BD$13:$BL$162,BP4161,0))/100))),0)</f>
        <v/>
      </c>
      <c r="BT4161">
        <f>IF(AND(4148&lt;$U$9,$W$5),BQ4161*1000000-MIN(BR4161,999)*1000+BS4161-4148/100000,-1000000000-4148)</f>
        <v/>
      </c>
    </row>
    <row r="4162">
      <c r="BN4162">
        <f>IF(4149&lt;$U$9,INT(4149/($U$7*$U$8))+1,1)</f>
        <v/>
      </c>
      <c r="BO4162">
        <f>IF(4149&lt;$U$9,MOD(INT(4149/$U$8),$U$7)+1,1)</f>
        <v/>
      </c>
      <c r="BP4162">
        <f>IF(4149&lt;$U$9,MOD(4149,$U$8)+1,1)</f>
        <v/>
      </c>
      <c r="BQ4162">
        <f>IF(4149&lt;$U$9,SUMPRODUCT(($D$10:$L$10&lt;&gt;"")*(($D$9:$L$9+INT(($S$12:$AA$12+INDEX($AJ$13:$AR$162,BN4162,0)+INDEX($AT$13:$BB$162,BO4162,0)+INDEX($BD$13:$BL$162,BP4162,0))/100))&gt;=$D$10:$L$10)),0)</f>
        <v/>
      </c>
      <c r="BR4162">
        <f>IF(4149&lt;$U$9,SUMPRODUCT(($D$10:$L$10&lt;&gt;"")*(($D$10:$L$10-($D$9:$L$9+INT(($S$12:$AA$12+INDEX($AJ$13:$AR$162,BN4162,0)+INDEX($AT$13:$BB$162,BO4162,0)+INDEX($BD$13:$BL$162,BP4162,0))/100)))&gt;0)*($D$10:$L$10-($D$9:$L$9+INT(($S$12:$AA$12+INDEX($AJ$13:$AR$162,BN4162,0)+INDEX($AT$13:$BB$162,BO4162,0)+INDEX($BD$13:$BL$162,BP4162,0))/100)))),0)</f>
        <v/>
      </c>
      <c r="BS4162">
        <f>IF(4149&lt;$U$9,SUMPRODUCT(($D$9:$L$9+INT(($S$12:$AA$12+INDEX($AJ$13:$AR$162,BN4162,0)+INDEX($AT$13:$BB$162,BO4162,0)+INDEX($BD$13:$BL$162,BP4162,0))/100))),0)</f>
        <v/>
      </c>
      <c r="BT4162">
        <f>IF(AND(4149&lt;$U$9,$W$5),BQ4162*1000000-MIN(BR4162,999)*1000+BS4162-4149/100000,-1000000000-4149)</f>
        <v/>
      </c>
    </row>
    <row r="4163">
      <c r="BN4163">
        <f>IF(4150&lt;$U$9,INT(4150/($U$7*$U$8))+1,1)</f>
        <v/>
      </c>
      <c r="BO4163">
        <f>IF(4150&lt;$U$9,MOD(INT(4150/$U$8),$U$7)+1,1)</f>
        <v/>
      </c>
      <c r="BP4163">
        <f>IF(4150&lt;$U$9,MOD(4150,$U$8)+1,1)</f>
        <v/>
      </c>
      <c r="BQ4163">
        <f>IF(4150&lt;$U$9,SUMPRODUCT(($D$10:$L$10&lt;&gt;"")*(($D$9:$L$9+INT(($S$12:$AA$12+INDEX($AJ$13:$AR$162,BN4163,0)+INDEX($AT$13:$BB$162,BO4163,0)+INDEX($BD$13:$BL$162,BP4163,0))/100))&gt;=$D$10:$L$10)),0)</f>
        <v/>
      </c>
      <c r="BR4163">
        <f>IF(4150&lt;$U$9,SUMPRODUCT(($D$10:$L$10&lt;&gt;"")*(($D$10:$L$10-($D$9:$L$9+INT(($S$12:$AA$12+INDEX($AJ$13:$AR$162,BN4163,0)+INDEX($AT$13:$BB$162,BO4163,0)+INDEX($BD$13:$BL$162,BP4163,0))/100)))&gt;0)*($D$10:$L$10-($D$9:$L$9+INT(($S$12:$AA$12+INDEX($AJ$13:$AR$162,BN4163,0)+INDEX($AT$13:$BB$162,BO4163,0)+INDEX($BD$13:$BL$162,BP4163,0))/100)))),0)</f>
        <v/>
      </c>
      <c r="BS4163">
        <f>IF(4150&lt;$U$9,SUMPRODUCT(($D$9:$L$9+INT(($S$12:$AA$12+INDEX($AJ$13:$AR$162,BN4163,0)+INDEX($AT$13:$BB$162,BO4163,0)+INDEX($BD$13:$BL$162,BP4163,0))/100))),0)</f>
        <v/>
      </c>
      <c r="BT4163">
        <f>IF(AND(4150&lt;$U$9,$W$5),BQ4163*1000000-MIN(BR4163,999)*1000+BS4163-4150/100000,-1000000000-4150)</f>
        <v/>
      </c>
    </row>
    <row r="4164">
      <c r="BN4164">
        <f>IF(4151&lt;$U$9,INT(4151/($U$7*$U$8))+1,1)</f>
        <v/>
      </c>
      <c r="BO4164">
        <f>IF(4151&lt;$U$9,MOD(INT(4151/$U$8),$U$7)+1,1)</f>
        <v/>
      </c>
      <c r="BP4164">
        <f>IF(4151&lt;$U$9,MOD(4151,$U$8)+1,1)</f>
        <v/>
      </c>
      <c r="BQ4164">
        <f>IF(4151&lt;$U$9,SUMPRODUCT(($D$10:$L$10&lt;&gt;"")*(($D$9:$L$9+INT(($S$12:$AA$12+INDEX($AJ$13:$AR$162,BN4164,0)+INDEX($AT$13:$BB$162,BO4164,0)+INDEX($BD$13:$BL$162,BP4164,0))/100))&gt;=$D$10:$L$10)),0)</f>
        <v/>
      </c>
      <c r="BR4164">
        <f>IF(4151&lt;$U$9,SUMPRODUCT(($D$10:$L$10&lt;&gt;"")*(($D$10:$L$10-($D$9:$L$9+INT(($S$12:$AA$12+INDEX($AJ$13:$AR$162,BN4164,0)+INDEX($AT$13:$BB$162,BO4164,0)+INDEX($BD$13:$BL$162,BP4164,0))/100)))&gt;0)*($D$10:$L$10-($D$9:$L$9+INT(($S$12:$AA$12+INDEX($AJ$13:$AR$162,BN4164,0)+INDEX($AT$13:$BB$162,BO4164,0)+INDEX($BD$13:$BL$162,BP4164,0))/100)))),0)</f>
        <v/>
      </c>
      <c r="BS4164">
        <f>IF(4151&lt;$U$9,SUMPRODUCT(($D$9:$L$9+INT(($S$12:$AA$12+INDEX($AJ$13:$AR$162,BN4164,0)+INDEX($AT$13:$BB$162,BO4164,0)+INDEX($BD$13:$BL$162,BP4164,0))/100))),0)</f>
        <v/>
      </c>
      <c r="BT4164">
        <f>IF(AND(4151&lt;$U$9,$W$5),BQ4164*1000000-MIN(BR4164,999)*1000+BS4164-4151/100000,-1000000000-4151)</f>
        <v/>
      </c>
    </row>
    <row r="4165">
      <c r="BN4165">
        <f>IF(4152&lt;$U$9,INT(4152/($U$7*$U$8))+1,1)</f>
        <v/>
      </c>
      <c r="BO4165">
        <f>IF(4152&lt;$U$9,MOD(INT(4152/$U$8),$U$7)+1,1)</f>
        <v/>
      </c>
      <c r="BP4165">
        <f>IF(4152&lt;$U$9,MOD(4152,$U$8)+1,1)</f>
        <v/>
      </c>
      <c r="BQ4165">
        <f>IF(4152&lt;$U$9,SUMPRODUCT(($D$10:$L$10&lt;&gt;"")*(($D$9:$L$9+INT(($S$12:$AA$12+INDEX($AJ$13:$AR$162,BN4165,0)+INDEX($AT$13:$BB$162,BO4165,0)+INDEX($BD$13:$BL$162,BP4165,0))/100))&gt;=$D$10:$L$10)),0)</f>
        <v/>
      </c>
      <c r="BR4165">
        <f>IF(4152&lt;$U$9,SUMPRODUCT(($D$10:$L$10&lt;&gt;"")*(($D$10:$L$10-($D$9:$L$9+INT(($S$12:$AA$12+INDEX($AJ$13:$AR$162,BN4165,0)+INDEX($AT$13:$BB$162,BO4165,0)+INDEX($BD$13:$BL$162,BP4165,0))/100)))&gt;0)*($D$10:$L$10-($D$9:$L$9+INT(($S$12:$AA$12+INDEX($AJ$13:$AR$162,BN4165,0)+INDEX($AT$13:$BB$162,BO4165,0)+INDEX($BD$13:$BL$162,BP4165,0))/100)))),0)</f>
        <v/>
      </c>
      <c r="BS4165">
        <f>IF(4152&lt;$U$9,SUMPRODUCT(($D$9:$L$9+INT(($S$12:$AA$12+INDEX($AJ$13:$AR$162,BN4165,0)+INDEX($AT$13:$BB$162,BO4165,0)+INDEX($BD$13:$BL$162,BP4165,0))/100))),0)</f>
        <v/>
      </c>
      <c r="BT4165">
        <f>IF(AND(4152&lt;$U$9,$W$5),BQ4165*1000000-MIN(BR4165,999)*1000+BS4165-4152/100000,-1000000000-4152)</f>
        <v/>
      </c>
    </row>
    <row r="4166">
      <c r="BN4166">
        <f>IF(4153&lt;$U$9,INT(4153/($U$7*$U$8))+1,1)</f>
        <v/>
      </c>
      <c r="BO4166">
        <f>IF(4153&lt;$U$9,MOD(INT(4153/$U$8),$U$7)+1,1)</f>
        <v/>
      </c>
      <c r="BP4166">
        <f>IF(4153&lt;$U$9,MOD(4153,$U$8)+1,1)</f>
        <v/>
      </c>
      <c r="BQ4166">
        <f>IF(4153&lt;$U$9,SUMPRODUCT(($D$10:$L$10&lt;&gt;"")*(($D$9:$L$9+INT(($S$12:$AA$12+INDEX($AJ$13:$AR$162,BN4166,0)+INDEX($AT$13:$BB$162,BO4166,0)+INDEX($BD$13:$BL$162,BP4166,0))/100))&gt;=$D$10:$L$10)),0)</f>
        <v/>
      </c>
      <c r="BR4166">
        <f>IF(4153&lt;$U$9,SUMPRODUCT(($D$10:$L$10&lt;&gt;"")*(($D$10:$L$10-($D$9:$L$9+INT(($S$12:$AA$12+INDEX($AJ$13:$AR$162,BN4166,0)+INDEX($AT$13:$BB$162,BO4166,0)+INDEX($BD$13:$BL$162,BP4166,0))/100)))&gt;0)*($D$10:$L$10-($D$9:$L$9+INT(($S$12:$AA$12+INDEX($AJ$13:$AR$162,BN4166,0)+INDEX($AT$13:$BB$162,BO4166,0)+INDEX($BD$13:$BL$162,BP4166,0))/100)))),0)</f>
        <v/>
      </c>
      <c r="BS4166">
        <f>IF(4153&lt;$U$9,SUMPRODUCT(($D$9:$L$9+INT(($S$12:$AA$12+INDEX($AJ$13:$AR$162,BN4166,0)+INDEX($AT$13:$BB$162,BO4166,0)+INDEX($BD$13:$BL$162,BP4166,0))/100))),0)</f>
        <v/>
      </c>
      <c r="BT4166">
        <f>IF(AND(4153&lt;$U$9,$W$5),BQ4166*1000000-MIN(BR4166,999)*1000+BS4166-4153/100000,-1000000000-4153)</f>
        <v/>
      </c>
    </row>
    <row r="4167">
      <c r="BN4167">
        <f>IF(4154&lt;$U$9,INT(4154/($U$7*$U$8))+1,1)</f>
        <v/>
      </c>
      <c r="BO4167">
        <f>IF(4154&lt;$U$9,MOD(INT(4154/$U$8),$U$7)+1,1)</f>
        <v/>
      </c>
      <c r="BP4167">
        <f>IF(4154&lt;$U$9,MOD(4154,$U$8)+1,1)</f>
        <v/>
      </c>
      <c r="BQ4167">
        <f>IF(4154&lt;$U$9,SUMPRODUCT(($D$10:$L$10&lt;&gt;"")*(($D$9:$L$9+INT(($S$12:$AA$12+INDEX($AJ$13:$AR$162,BN4167,0)+INDEX($AT$13:$BB$162,BO4167,0)+INDEX($BD$13:$BL$162,BP4167,0))/100))&gt;=$D$10:$L$10)),0)</f>
        <v/>
      </c>
      <c r="BR4167">
        <f>IF(4154&lt;$U$9,SUMPRODUCT(($D$10:$L$10&lt;&gt;"")*(($D$10:$L$10-($D$9:$L$9+INT(($S$12:$AA$12+INDEX($AJ$13:$AR$162,BN4167,0)+INDEX($AT$13:$BB$162,BO4167,0)+INDEX($BD$13:$BL$162,BP4167,0))/100)))&gt;0)*($D$10:$L$10-($D$9:$L$9+INT(($S$12:$AA$12+INDEX($AJ$13:$AR$162,BN4167,0)+INDEX($AT$13:$BB$162,BO4167,0)+INDEX($BD$13:$BL$162,BP4167,0))/100)))),0)</f>
        <v/>
      </c>
      <c r="BS4167">
        <f>IF(4154&lt;$U$9,SUMPRODUCT(($D$9:$L$9+INT(($S$12:$AA$12+INDEX($AJ$13:$AR$162,BN4167,0)+INDEX($AT$13:$BB$162,BO4167,0)+INDEX($BD$13:$BL$162,BP4167,0))/100))),0)</f>
        <v/>
      </c>
      <c r="BT4167">
        <f>IF(AND(4154&lt;$U$9,$W$5),BQ4167*1000000-MIN(BR4167,999)*1000+BS4167-4154/100000,-1000000000-4154)</f>
        <v/>
      </c>
    </row>
    <row r="4168">
      <c r="BN4168">
        <f>IF(4155&lt;$U$9,INT(4155/($U$7*$U$8))+1,1)</f>
        <v/>
      </c>
      <c r="BO4168">
        <f>IF(4155&lt;$U$9,MOD(INT(4155/$U$8),$U$7)+1,1)</f>
        <v/>
      </c>
      <c r="BP4168">
        <f>IF(4155&lt;$U$9,MOD(4155,$U$8)+1,1)</f>
        <v/>
      </c>
      <c r="BQ4168">
        <f>IF(4155&lt;$U$9,SUMPRODUCT(($D$10:$L$10&lt;&gt;"")*(($D$9:$L$9+INT(($S$12:$AA$12+INDEX($AJ$13:$AR$162,BN4168,0)+INDEX($AT$13:$BB$162,BO4168,0)+INDEX($BD$13:$BL$162,BP4168,0))/100))&gt;=$D$10:$L$10)),0)</f>
        <v/>
      </c>
      <c r="BR4168">
        <f>IF(4155&lt;$U$9,SUMPRODUCT(($D$10:$L$10&lt;&gt;"")*(($D$10:$L$10-($D$9:$L$9+INT(($S$12:$AA$12+INDEX($AJ$13:$AR$162,BN4168,0)+INDEX($AT$13:$BB$162,BO4168,0)+INDEX($BD$13:$BL$162,BP4168,0))/100)))&gt;0)*($D$10:$L$10-($D$9:$L$9+INT(($S$12:$AA$12+INDEX($AJ$13:$AR$162,BN4168,0)+INDEX($AT$13:$BB$162,BO4168,0)+INDEX($BD$13:$BL$162,BP4168,0))/100)))),0)</f>
        <v/>
      </c>
      <c r="BS4168">
        <f>IF(4155&lt;$U$9,SUMPRODUCT(($D$9:$L$9+INT(($S$12:$AA$12+INDEX($AJ$13:$AR$162,BN4168,0)+INDEX($AT$13:$BB$162,BO4168,0)+INDEX($BD$13:$BL$162,BP4168,0))/100))),0)</f>
        <v/>
      </c>
      <c r="BT4168">
        <f>IF(AND(4155&lt;$U$9,$W$5),BQ4168*1000000-MIN(BR4168,999)*1000+BS4168-4155/100000,-1000000000-4155)</f>
        <v/>
      </c>
    </row>
    <row r="4169">
      <c r="BN4169">
        <f>IF(4156&lt;$U$9,INT(4156/($U$7*$U$8))+1,1)</f>
        <v/>
      </c>
      <c r="BO4169">
        <f>IF(4156&lt;$U$9,MOD(INT(4156/$U$8),$U$7)+1,1)</f>
        <v/>
      </c>
      <c r="BP4169">
        <f>IF(4156&lt;$U$9,MOD(4156,$U$8)+1,1)</f>
        <v/>
      </c>
      <c r="BQ4169">
        <f>IF(4156&lt;$U$9,SUMPRODUCT(($D$10:$L$10&lt;&gt;"")*(($D$9:$L$9+INT(($S$12:$AA$12+INDEX($AJ$13:$AR$162,BN4169,0)+INDEX($AT$13:$BB$162,BO4169,0)+INDEX($BD$13:$BL$162,BP4169,0))/100))&gt;=$D$10:$L$10)),0)</f>
        <v/>
      </c>
      <c r="BR4169">
        <f>IF(4156&lt;$U$9,SUMPRODUCT(($D$10:$L$10&lt;&gt;"")*(($D$10:$L$10-($D$9:$L$9+INT(($S$12:$AA$12+INDEX($AJ$13:$AR$162,BN4169,0)+INDEX($AT$13:$BB$162,BO4169,0)+INDEX($BD$13:$BL$162,BP4169,0))/100)))&gt;0)*($D$10:$L$10-($D$9:$L$9+INT(($S$12:$AA$12+INDEX($AJ$13:$AR$162,BN4169,0)+INDEX($AT$13:$BB$162,BO4169,0)+INDEX($BD$13:$BL$162,BP4169,0))/100)))),0)</f>
        <v/>
      </c>
      <c r="BS4169">
        <f>IF(4156&lt;$U$9,SUMPRODUCT(($D$9:$L$9+INT(($S$12:$AA$12+INDEX($AJ$13:$AR$162,BN4169,0)+INDEX($AT$13:$BB$162,BO4169,0)+INDEX($BD$13:$BL$162,BP4169,0))/100))),0)</f>
        <v/>
      </c>
      <c r="BT4169">
        <f>IF(AND(4156&lt;$U$9,$W$5),BQ4169*1000000-MIN(BR4169,999)*1000+BS4169-4156/100000,-1000000000-4156)</f>
        <v/>
      </c>
    </row>
    <row r="4170">
      <c r="BN4170">
        <f>IF(4157&lt;$U$9,INT(4157/($U$7*$U$8))+1,1)</f>
        <v/>
      </c>
      <c r="BO4170">
        <f>IF(4157&lt;$U$9,MOD(INT(4157/$U$8),$U$7)+1,1)</f>
        <v/>
      </c>
      <c r="BP4170">
        <f>IF(4157&lt;$U$9,MOD(4157,$U$8)+1,1)</f>
        <v/>
      </c>
      <c r="BQ4170">
        <f>IF(4157&lt;$U$9,SUMPRODUCT(($D$10:$L$10&lt;&gt;"")*(($D$9:$L$9+INT(($S$12:$AA$12+INDEX($AJ$13:$AR$162,BN4170,0)+INDEX($AT$13:$BB$162,BO4170,0)+INDEX($BD$13:$BL$162,BP4170,0))/100))&gt;=$D$10:$L$10)),0)</f>
        <v/>
      </c>
      <c r="BR4170">
        <f>IF(4157&lt;$U$9,SUMPRODUCT(($D$10:$L$10&lt;&gt;"")*(($D$10:$L$10-($D$9:$L$9+INT(($S$12:$AA$12+INDEX($AJ$13:$AR$162,BN4170,0)+INDEX($AT$13:$BB$162,BO4170,0)+INDEX($BD$13:$BL$162,BP4170,0))/100)))&gt;0)*($D$10:$L$10-($D$9:$L$9+INT(($S$12:$AA$12+INDEX($AJ$13:$AR$162,BN4170,0)+INDEX($AT$13:$BB$162,BO4170,0)+INDEX($BD$13:$BL$162,BP4170,0))/100)))),0)</f>
        <v/>
      </c>
      <c r="BS4170">
        <f>IF(4157&lt;$U$9,SUMPRODUCT(($D$9:$L$9+INT(($S$12:$AA$12+INDEX($AJ$13:$AR$162,BN4170,0)+INDEX($AT$13:$BB$162,BO4170,0)+INDEX($BD$13:$BL$162,BP4170,0))/100))),0)</f>
        <v/>
      </c>
      <c r="BT4170">
        <f>IF(AND(4157&lt;$U$9,$W$5),BQ4170*1000000-MIN(BR4170,999)*1000+BS4170-4157/100000,-1000000000-4157)</f>
        <v/>
      </c>
    </row>
    <row r="4171">
      <c r="BN4171">
        <f>IF(4158&lt;$U$9,INT(4158/($U$7*$U$8))+1,1)</f>
        <v/>
      </c>
      <c r="BO4171">
        <f>IF(4158&lt;$U$9,MOD(INT(4158/$U$8),$U$7)+1,1)</f>
        <v/>
      </c>
      <c r="BP4171">
        <f>IF(4158&lt;$U$9,MOD(4158,$U$8)+1,1)</f>
        <v/>
      </c>
      <c r="BQ4171">
        <f>IF(4158&lt;$U$9,SUMPRODUCT(($D$10:$L$10&lt;&gt;"")*(($D$9:$L$9+INT(($S$12:$AA$12+INDEX($AJ$13:$AR$162,BN4171,0)+INDEX($AT$13:$BB$162,BO4171,0)+INDEX($BD$13:$BL$162,BP4171,0))/100))&gt;=$D$10:$L$10)),0)</f>
        <v/>
      </c>
      <c r="BR4171">
        <f>IF(4158&lt;$U$9,SUMPRODUCT(($D$10:$L$10&lt;&gt;"")*(($D$10:$L$10-($D$9:$L$9+INT(($S$12:$AA$12+INDEX($AJ$13:$AR$162,BN4171,0)+INDEX($AT$13:$BB$162,BO4171,0)+INDEX($BD$13:$BL$162,BP4171,0))/100)))&gt;0)*($D$10:$L$10-($D$9:$L$9+INT(($S$12:$AA$12+INDEX($AJ$13:$AR$162,BN4171,0)+INDEX($AT$13:$BB$162,BO4171,0)+INDEX($BD$13:$BL$162,BP4171,0))/100)))),0)</f>
        <v/>
      </c>
      <c r="BS4171">
        <f>IF(4158&lt;$U$9,SUMPRODUCT(($D$9:$L$9+INT(($S$12:$AA$12+INDEX($AJ$13:$AR$162,BN4171,0)+INDEX($AT$13:$BB$162,BO4171,0)+INDEX($BD$13:$BL$162,BP4171,0))/100))),0)</f>
        <v/>
      </c>
      <c r="BT4171">
        <f>IF(AND(4158&lt;$U$9,$W$5),BQ4171*1000000-MIN(BR4171,999)*1000+BS4171-4158/100000,-1000000000-4158)</f>
        <v/>
      </c>
    </row>
    <row r="4172">
      <c r="BN4172">
        <f>IF(4159&lt;$U$9,INT(4159/($U$7*$U$8))+1,1)</f>
        <v/>
      </c>
      <c r="BO4172">
        <f>IF(4159&lt;$U$9,MOD(INT(4159/$U$8),$U$7)+1,1)</f>
        <v/>
      </c>
      <c r="BP4172">
        <f>IF(4159&lt;$U$9,MOD(4159,$U$8)+1,1)</f>
        <v/>
      </c>
      <c r="BQ4172">
        <f>IF(4159&lt;$U$9,SUMPRODUCT(($D$10:$L$10&lt;&gt;"")*(($D$9:$L$9+INT(($S$12:$AA$12+INDEX($AJ$13:$AR$162,BN4172,0)+INDEX($AT$13:$BB$162,BO4172,0)+INDEX($BD$13:$BL$162,BP4172,0))/100))&gt;=$D$10:$L$10)),0)</f>
        <v/>
      </c>
      <c r="BR4172">
        <f>IF(4159&lt;$U$9,SUMPRODUCT(($D$10:$L$10&lt;&gt;"")*(($D$10:$L$10-($D$9:$L$9+INT(($S$12:$AA$12+INDEX($AJ$13:$AR$162,BN4172,0)+INDEX($AT$13:$BB$162,BO4172,0)+INDEX($BD$13:$BL$162,BP4172,0))/100)))&gt;0)*($D$10:$L$10-($D$9:$L$9+INT(($S$12:$AA$12+INDEX($AJ$13:$AR$162,BN4172,0)+INDEX($AT$13:$BB$162,BO4172,0)+INDEX($BD$13:$BL$162,BP4172,0))/100)))),0)</f>
        <v/>
      </c>
      <c r="BS4172">
        <f>IF(4159&lt;$U$9,SUMPRODUCT(($D$9:$L$9+INT(($S$12:$AA$12+INDEX($AJ$13:$AR$162,BN4172,0)+INDEX($AT$13:$BB$162,BO4172,0)+INDEX($BD$13:$BL$162,BP4172,0))/100))),0)</f>
        <v/>
      </c>
      <c r="BT4172">
        <f>IF(AND(4159&lt;$U$9,$W$5),BQ4172*1000000-MIN(BR4172,999)*1000+BS4172-4159/100000,-1000000000-4159)</f>
        <v/>
      </c>
    </row>
    <row r="4173">
      <c r="BN4173">
        <f>IF(4160&lt;$U$9,INT(4160/($U$7*$U$8))+1,1)</f>
        <v/>
      </c>
      <c r="BO4173">
        <f>IF(4160&lt;$U$9,MOD(INT(4160/$U$8),$U$7)+1,1)</f>
        <v/>
      </c>
      <c r="BP4173">
        <f>IF(4160&lt;$U$9,MOD(4160,$U$8)+1,1)</f>
        <v/>
      </c>
      <c r="BQ4173">
        <f>IF(4160&lt;$U$9,SUMPRODUCT(($D$10:$L$10&lt;&gt;"")*(($D$9:$L$9+INT(($S$12:$AA$12+INDEX($AJ$13:$AR$162,BN4173,0)+INDEX($AT$13:$BB$162,BO4173,0)+INDEX($BD$13:$BL$162,BP4173,0))/100))&gt;=$D$10:$L$10)),0)</f>
        <v/>
      </c>
      <c r="BR4173">
        <f>IF(4160&lt;$U$9,SUMPRODUCT(($D$10:$L$10&lt;&gt;"")*(($D$10:$L$10-($D$9:$L$9+INT(($S$12:$AA$12+INDEX($AJ$13:$AR$162,BN4173,0)+INDEX($AT$13:$BB$162,BO4173,0)+INDEX($BD$13:$BL$162,BP4173,0))/100)))&gt;0)*($D$10:$L$10-($D$9:$L$9+INT(($S$12:$AA$12+INDEX($AJ$13:$AR$162,BN4173,0)+INDEX($AT$13:$BB$162,BO4173,0)+INDEX($BD$13:$BL$162,BP4173,0))/100)))),0)</f>
        <v/>
      </c>
      <c r="BS4173">
        <f>IF(4160&lt;$U$9,SUMPRODUCT(($D$9:$L$9+INT(($S$12:$AA$12+INDEX($AJ$13:$AR$162,BN4173,0)+INDEX($AT$13:$BB$162,BO4173,0)+INDEX($BD$13:$BL$162,BP4173,0))/100))),0)</f>
        <v/>
      </c>
      <c r="BT4173">
        <f>IF(AND(4160&lt;$U$9,$W$5),BQ4173*1000000-MIN(BR4173,999)*1000+BS4173-4160/100000,-1000000000-4160)</f>
        <v/>
      </c>
    </row>
    <row r="4174">
      <c r="BN4174">
        <f>IF(4161&lt;$U$9,INT(4161/($U$7*$U$8))+1,1)</f>
        <v/>
      </c>
      <c r="BO4174">
        <f>IF(4161&lt;$U$9,MOD(INT(4161/$U$8),$U$7)+1,1)</f>
        <v/>
      </c>
      <c r="BP4174">
        <f>IF(4161&lt;$U$9,MOD(4161,$U$8)+1,1)</f>
        <v/>
      </c>
      <c r="BQ4174">
        <f>IF(4161&lt;$U$9,SUMPRODUCT(($D$10:$L$10&lt;&gt;"")*(($D$9:$L$9+INT(($S$12:$AA$12+INDEX($AJ$13:$AR$162,BN4174,0)+INDEX($AT$13:$BB$162,BO4174,0)+INDEX($BD$13:$BL$162,BP4174,0))/100))&gt;=$D$10:$L$10)),0)</f>
        <v/>
      </c>
      <c r="BR4174">
        <f>IF(4161&lt;$U$9,SUMPRODUCT(($D$10:$L$10&lt;&gt;"")*(($D$10:$L$10-($D$9:$L$9+INT(($S$12:$AA$12+INDEX($AJ$13:$AR$162,BN4174,0)+INDEX($AT$13:$BB$162,BO4174,0)+INDEX($BD$13:$BL$162,BP4174,0))/100)))&gt;0)*($D$10:$L$10-($D$9:$L$9+INT(($S$12:$AA$12+INDEX($AJ$13:$AR$162,BN4174,0)+INDEX($AT$13:$BB$162,BO4174,0)+INDEX($BD$13:$BL$162,BP4174,0))/100)))),0)</f>
        <v/>
      </c>
      <c r="BS4174">
        <f>IF(4161&lt;$U$9,SUMPRODUCT(($D$9:$L$9+INT(($S$12:$AA$12+INDEX($AJ$13:$AR$162,BN4174,0)+INDEX($AT$13:$BB$162,BO4174,0)+INDEX($BD$13:$BL$162,BP4174,0))/100))),0)</f>
        <v/>
      </c>
      <c r="BT4174">
        <f>IF(AND(4161&lt;$U$9,$W$5),BQ4174*1000000-MIN(BR4174,999)*1000+BS4174-4161/100000,-1000000000-4161)</f>
        <v/>
      </c>
    </row>
    <row r="4175">
      <c r="BN4175">
        <f>IF(4162&lt;$U$9,INT(4162/($U$7*$U$8))+1,1)</f>
        <v/>
      </c>
      <c r="BO4175">
        <f>IF(4162&lt;$U$9,MOD(INT(4162/$U$8),$U$7)+1,1)</f>
        <v/>
      </c>
      <c r="BP4175">
        <f>IF(4162&lt;$U$9,MOD(4162,$U$8)+1,1)</f>
        <v/>
      </c>
      <c r="BQ4175">
        <f>IF(4162&lt;$U$9,SUMPRODUCT(($D$10:$L$10&lt;&gt;"")*(($D$9:$L$9+INT(($S$12:$AA$12+INDEX($AJ$13:$AR$162,BN4175,0)+INDEX($AT$13:$BB$162,BO4175,0)+INDEX($BD$13:$BL$162,BP4175,0))/100))&gt;=$D$10:$L$10)),0)</f>
        <v/>
      </c>
      <c r="BR4175">
        <f>IF(4162&lt;$U$9,SUMPRODUCT(($D$10:$L$10&lt;&gt;"")*(($D$10:$L$10-($D$9:$L$9+INT(($S$12:$AA$12+INDEX($AJ$13:$AR$162,BN4175,0)+INDEX($AT$13:$BB$162,BO4175,0)+INDEX($BD$13:$BL$162,BP4175,0))/100)))&gt;0)*($D$10:$L$10-($D$9:$L$9+INT(($S$12:$AA$12+INDEX($AJ$13:$AR$162,BN4175,0)+INDEX($AT$13:$BB$162,BO4175,0)+INDEX($BD$13:$BL$162,BP4175,0))/100)))),0)</f>
        <v/>
      </c>
      <c r="BS4175">
        <f>IF(4162&lt;$U$9,SUMPRODUCT(($D$9:$L$9+INT(($S$12:$AA$12+INDEX($AJ$13:$AR$162,BN4175,0)+INDEX($AT$13:$BB$162,BO4175,0)+INDEX($BD$13:$BL$162,BP4175,0))/100))),0)</f>
        <v/>
      </c>
      <c r="BT4175">
        <f>IF(AND(4162&lt;$U$9,$W$5),BQ4175*1000000-MIN(BR4175,999)*1000+BS4175-4162/100000,-1000000000-4162)</f>
        <v/>
      </c>
    </row>
    <row r="4176">
      <c r="BN4176">
        <f>IF(4163&lt;$U$9,INT(4163/($U$7*$U$8))+1,1)</f>
        <v/>
      </c>
      <c r="BO4176">
        <f>IF(4163&lt;$U$9,MOD(INT(4163/$U$8),$U$7)+1,1)</f>
        <v/>
      </c>
      <c r="BP4176">
        <f>IF(4163&lt;$U$9,MOD(4163,$U$8)+1,1)</f>
        <v/>
      </c>
      <c r="BQ4176">
        <f>IF(4163&lt;$U$9,SUMPRODUCT(($D$10:$L$10&lt;&gt;"")*(($D$9:$L$9+INT(($S$12:$AA$12+INDEX($AJ$13:$AR$162,BN4176,0)+INDEX($AT$13:$BB$162,BO4176,0)+INDEX($BD$13:$BL$162,BP4176,0))/100))&gt;=$D$10:$L$10)),0)</f>
        <v/>
      </c>
      <c r="BR4176">
        <f>IF(4163&lt;$U$9,SUMPRODUCT(($D$10:$L$10&lt;&gt;"")*(($D$10:$L$10-($D$9:$L$9+INT(($S$12:$AA$12+INDEX($AJ$13:$AR$162,BN4176,0)+INDEX($AT$13:$BB$162,BO4176,0)+INDEX($BD$13:$BL$162,BP4176,0))/100)))&gt;0)*($D$10:$L$10-($D$9:$L$9+INT(($S$12:$AA$12+INDEX($AJ$13:$AR$162,BN4176,0)+INDEX($AT$13:$BB$162,BO4176,0)+INDEX($BD$13:$BL$162,BP4176,0))/100)))),0)</f>
        <v/>
      </c>
      <c r="BS4176">
        <f>IF(4163&lt;$U$9,SUMPRODUCT(($D$9:$L$9+INT(($S$12:$AA$12+INDEX($AJ$13:$AR$162,BN4176,0)+INDEX($AT$13:$BB$162,BO4176,0)+INDEX($BD$13:$BL$162,BP4176,0))/100))),0)</f>
        <v/>
      </c>
      <c r="BT4176">
        <f>IF(AND(4163&lt;$U$9,$W$5),BQ4176*1000000-MIN(BR4176,999)*1000+BS4176-4163/100000,-1000000000-4163)</f>
        <v/>
      </c>
    </row>
    <row r="4177">
      <c r="BN4177">
        <f>IF(4164&lt;$U$9,INT(4164/($U$7*$U$8))+1,1)</f>
        <v/>
      </c>
      <c r="BO4177">
        <f>IF(4164&lt;$U$9,MOD(INT(4164/$U$8),$U$7)+1,1)</f>
        <v/>
      </c>
      <c r="BP4177">
        <f>IF(4164&lt;$U$9,MOD(4164,$U$8)+1,1)</f>
        <v/>
      </c>
      <c r="BQ4177">
        <f>IF(4164&lt;$U$9,SUMPRODUCT(($D$10:$L$10&lt;&gt;"")*(($D$9:$L$9+INT(($S$12:$AA$12+INDEX($AJ$13:$AR$162,BN4177,0)+INDEX($AT$13:$BB$162,BO4177,0)+INDEX($BD$13:$BL$162,BP4177,0))/100))&gt;=$D$10:$L$10)),0)</f>
        <v/>
      </c>
      <c r="BR4177">
        <f>IF(4164&lt;$U$9,SUMPRODUCT(($D$10:$L$10&lt;&gt;"")*(($D$10:$L$10-($D$9:$L$9+INT(($S$12:$AA$12+INDEX($AJ$13:$AR$162,BN4177,0)+INDEX($AT$13:$BB$162,BO4177,0)+INDEX($BD$13:$BL$162,BP4177,0))/100)))&gt;0)*($D$10:$L$10-($D$9:$L$9+INT(($S$12:$AA$12+INDEX($AJ$13:$AR$162,BN4177,0)+INDEX($AT$13:$BB$162,BO4177,0)+INDEX($BD$13:$BL$162,BP4177,0))/100)))),0)</f>
        <v/>
      </c>
      <c r="BS4177">
        <f>IF(4164&lt;$U$9,SUMPRODUCT(($D$9:$L$9+INT(($S$12:$AA$12+INDEX($AJ$13:$AR$162,BN4177,0)+INDEX($AT$13:$BB$162,BO4177,0)+INDEX($BD$13:$BL$162,BP4177,0))/100))),0)</f>
        <v/>
      </c>
      <c r="BT4177">
        <f>IF(AND(4164&lt;$U$9,$W$5),BQ4177*1000000-MIN(BR4177,999)*1000+BS4177-4164/100000,-1000000000-4164)</f>
        <v/>
      </c>
    </row>
    <row r="4178">
      <c r="BN4178">
        <f>IF(4165&lt;$U$9,INT(4165/($U$7*$U$8))+1,1)</f>
        <v/>
      </c>
      <c r="BO4178">
        <f>IF(4165&lt;$U$9,MOD(INT(4165/$U$8),$U$7)+1,1)</f>
        <v/>
      </c>
      <c r="BP4178">
        <f>IF(4165&lt;$U$9,MOD(4165,$U$8)+1,1)</f>
        <v/>
      </c>
      <c r="BQ4178">
        <f>IF(4165&lt;$U$9,SUMPRODUCT(($D$10:$L$10&lt;&gt;"")*(($D$9:$L$9+INT(($S$12:$AA$12+INDEX($AJ$13:$AR$162,BN4178,0)+INDEX($AT$13:$BB$162,BO4178,0)+INDEX($BD$13:$BL$162,BP4178,0))/100))&gt;=$D$10:$L$10)),0)</f>
        <v/>
      </c>
      <c r="BR4178">
        <f>IF(4165&lt;$U$9,SUMPRODUCT(($D$10:$L$10&lt;&gt;"")*(($D$10:$L$10-($D$9:$L$9+INT(($S$12:$AA$12+INDEX($AJ$13:$AR$162,BN4178,0)+INDEX($AT$13:$BB$162,BO4178,0)+INDEX($BD$13:$BL$162,BP4178,0))/100)))&gt;0)*($D$10:$L$10-($D$9:$L$9+INT(($S$12:$AA$12+INDEX($AJ$13:$AR$162,BN4178,0)+INDEX($AT$13:$BB$162,BO4178,0)+INDEX($BD$13:$BL$162,BP4178,0))/100)))),0)</f>
        <v/>
      </c>
      <c r="BS4178">
        <f>IF(4165&lt;$U$9,SUMPRODUCT(($D$9:$L$9+INT(($S$12:$AA$12+INDEX($AJ$13:$AR$162,BN4178,0)+INDEX($AT$13:$BB$162,BO4178,0)+INDEX($BD$13:$BL$162,BP4178,0))/100))),0)</f>
        <v/>
      </c>
      <c r="BT4178">
        <f>IF(AND(4165&lt;$U$9,$W$5),BQ4178*1000000-MIN(BR4178,999)*1000+BS4178-4165/100000,-1000000000-4165)</f>
        <v/>
      </c>
    </row>
    <row r="4179">
      <c r="BN4179">
        <f>IF(4166&lt;$U$9,INT(4166/($U$7*$U$8))+1,1)</f>
        <v/>
      </c>
      <c r="BO4179">
        <f>IF(4166&lt;$U$9,MOD(INT(4166/$U$8),$U$7)+1,1)</f>
        <v/>
      </c>
      <c r="BP4179">
        <f>IF(4166&lt;$U$9,MOD(4166,$U$8)+1,1)</f>
        <v/>
      </c>
      <c r="BQ4179">
        <f>IF(4166&lt;$U$9,SUMPRODUCT(($D$10:$L$10&lt;&gt;"")*(($D$9:$L$9+INT(($S$12:$AA$12+INDEX($AJ$13:$AR$162,BN4179,0)+INDEX($AT$13:$BB$162,BO4179,0)+INDEX($BD$13:$BL$162,BP4179,0))/100))&gt;=$D$10:$L$10)),0)</f>
        <v/>
      </c>
      <c r="BR4179">
        <f>IF(4166&lt;$U$9,SUMPRODUCT(($D$10:$L$10&lt;&gt;"")*(($D$10:$L$10-($D$9:$L$9+INT(($S$12:$AA$12+INDEX($AJ$13:$AR$162,BN4179,0)+INDEX($AT$13:$BB$162,BO4179,0)+INDEX($BD$13:$BL$162,BP4179,0))/100)))&gt;0)*($D$10:$L$10-($D$9:$L$9+INT(($S$12:$AA$12+INDEX($AJ$13:$AR$162,BN4179,0)+INDEX($AT$13:$BB$162,BO4179,0)+INDEX($BD$13:$BL$162,BP4179,0))/100)))),0)</f>
        <v/>
      </c>
      <c r="BS4179">
        <f>IF(4166&lt;$U$9,SUMPRODUCT(($D$9:$L$9+INT(($S$12:$AA$12+INDEX($AJ$13:$AR$162,BN4179,0)+INDEX($AT$13:$BB$162,BO4179,0)+INDEX($BD$13:$BL$162,BP4179,0))/100))),0)</f>
        <v/>
      </c>
      <c r="BT4179">
        <f>IF(AND(4166&lt;$U$9,$W$5),BQ4179*1000000-MIN(BR4179,999)*1000+BS4179-4166/100000,-1000000000-4166)</f>
        <v/>
      </c>
    </row>
    <row r="4180">
      <c r="BN4180">
        <f>IF(4167&lt;$U$9,INT(4167/($U$7*$U$8))+1,1)</f>
        <v/>
      </c>
      <c r="BO4180">
        <f>IF(4167&lt;$U$9,MOD(INT(4167/$U$8),$U$7)+1,1)</f>
        <v/>
      </c>
      <c r="BP4180">
        <f>IF(4167&lt;$U$9,MOD(4167,$U$8)+1,1)</f>
        <v/>
      </c>
      <c r="BQ4180">
        <f>IF(4167&lt;$U$9,SUMPRODUCT(($D$10:$L$10&lt;&gt;"")*(($D$9:$L$9+INT(($S$12:$AA$12+INDEX($AJ$13:$AR$162,BN4180,0)+INDEX($AT$13:$BB$162,BO4180,0)+INDEX($BD$13:$BL$162,BP4180,0))/100))&gt;=$D$10:$L$10)),0)</f>
        <v/>
      </c>
      <c r="BR4180">
        <f>IF(4167&lt;$U$9,SUMPRODUCT(($D$10:$L$10&lt;&gt;"")*(($D$10:$L$10-($D$9:$L$9+INT(($S$12:$AA$12+INDEX($AJ$13:$AR$162,BN4180,0)+INDEX($AT$13:$BB$162,BO4180,0)+INDEX($BD$13:$BL$162,BP4180,0))/100)))&gt;0)*($D$10:$L$10-($D$9:$L$9+INT(($S$12:$AA$12+INDEX($AJ$13:$AR$162,BN4180,0)+INDEX($AT$13:$BB$162,BO4180,0)+INDEX($BD$13:$BL$162,BP4180,0))/100)))),0)</f>
        <v/>
      </c>
      <c r="BS4180">
        <f>IF(4167&lt;$U$9,SUMPRODUCT(($D$9:$L$9+INT(($S$12:$AA$12+INDEX($AJ$13:$AR$162,BN4180,0)+INDEX($AT$13:$BB$162,BO4180,0)+INDEX($BD$13:$BL$162,BP4180,0))/100))),0)</f>
        <v/>
      </c>
      <c r="BT4180">
        <f>IF(AND(4167&lt;$U$9,$W$5),BQ4180*1000000-MIN(BR4180,999)*1000+BS4180-4167/100000,-1000000000-4167)</f>
        <v/>
      </c>
    </row>
    <row r="4181">
      <c r="BN4181">
        <f>IF(4168&lt;$U$9,INT(4168/($U$7*$U$8))+1,1)</f>
        <v/>
      </c>
      <c r="BO4181">
        <f>IF(4168&lt;$U$9,MOD(INT(4168/$U$8),$U$7)+1,1)</f>
        <v/>
      </c>
      <c r="BP4181">
        <f>IF(4168&lt;$U$9,MOD(4168,$U$8)+1,1)</f>
        <v/>
      </c>
      <c r="BQ4181">
        <f>IF(4168&lt;$U$9,SUMPRODUCT(($D$10:$L$10&lt;&gt;"")*(($D$9:$L$9+INT(($S$12:$AA$12+INDEX($AJ$13:$AR$162,BN4181,0)+INDEX($AT$13:$BB$162,BO4181,0)+INDEX($BD$13:$BL$162,BP4181,0))/100))&gt;=$D$10:$L$10)),0)</f>
        <v/>
      </c>
      <c r="BR4181">
        <f>IF(4168&lt;$U$9,SUMPRODUCT(($D$10:$L$10&lt;&gt;"")*(($D$10:$L$10-($D$9:$L$9+INT(($S$12:$AA$12+INDEX($AJ$13:$AR$162,BN4181,0)+INDEX($AT$13:$BB$162,BO4181,0)+INDEX($BD$13:$BL$162,BP4181,0))/100)))&gt;0)*($D$10:$L$10-($D$9:$L$9+INT(($S$12:$AA$12+INDEX($AJ$13:$AR$162,BN4181,0)+INDEX($AT$13:$BB$162,BO4181,0)+INDEX($BD$13:$BL$162,BP4181,0))/100)))),0)</f>
        <v/>
      </c>
      <c r="BS4181">
        <f>IF(4168&lt;$U$9,SUMPRODUCT(($D$9:$L$9+INT(($S$12:$AA$12+INDEX($AJ$13:$AR$162,BN4181,0)+INDEX($AT$13:$BB$162,BO4181,0)+INDEX($BD$13:$BL$162,BP4181,0))/100))),0)</f>
        <v/>
      </c>
      <c r="BT4181">
        <f>IF(AND(4168&lt;$U$9,$W$5),BQ4181*1000000-MIN(BR4181,999)*1000+BS4181-4168/100000,-1000000000-4168)</f>
        <v/>
      </c>
    </row>
    <row r="4182">
      <c r="BN4182">
        <f>IF(4169&lt;$U$9,INT(4169/($U$7*$U$8))+1,1)</f>
        <v/>
      </c>
      <c r="BO4182">
        <f>IF(4169&lt;$U$9,MOD(INT(4169/$U$8),$U$7)+1,1)</f>
        <v/>
      </c>
      <c r="BP4182">
        <f>IF(4169&lt;$U$9,MOD(4169,$U$8)+1,1)</f>
        <v/>
      </c>
      <c r="BQ4182">
        <f>IF(4169&lt;$U$9,SUMPRODUCT(($D$10:$L$10&lt;&gt;"")*(($D$9:$L$9+INT(($S$12:$AA$12+INDEX($AJ$13:$AR$162,BN4182,0)+INDEX($AT$13:$BB$162,BO4182,0)+INDEX($BD$13:$BL$162,BP4182,0))/100))&gt;=$D$10:$L$10)),0)</f>
        <v/>
      </c>
      <c r="BR4182">
        <f>IF(4169&lt;$U$9,SUMPRODUCT(($D$10:$L$10&lt;&gt;"")*(($D$10:$L$10-($D$9:$L$9+INT(($S$12:$AA$12+INDEX($AJ$13:$AR$162,BN4182,0)+INDEX($AT$13:$BB$162,BO4182,0)+INDEX($BD$13:$BL$162,BP4182,0))/100)))&gt;0)*($D$10:$L$10-($D$9:$L$9+INT(($S$12:$AA$12+INDEX($AJ$13:$AR$162,BN4182,0)+INDEX($AT$13:$BB$162,BO4182,0)+INDEX($BD$13:$BL$162,BP4182,0))/100)))),0)</f>
        <v/>
      </c>
      <c r="BS4182">
        <f>IF(4169&lt;$U$9,SUMPRODUCT(($D$9:$L$9+INT(($S$12:$AA$12+INDEX($AJ$13:$AR$162,BN4182,0)+INDEX($AT$13:$BB$162,BO4182,0)+INDEX($BD$13:$BL$162,BP4182,0))/100))),0)</f>
        <v/>
      </c>
      <c r="BT4182">
        <f>IF(AND(4169&lt;$U$9,$W$5),BQ4182*1000000-MIN(BR4182,999)*1000+BS4182-4169/100000,-1000000000-4169)</f>
        <v/>
      </c>
    </row>
    <row r="4183">
      <c r="BN4183">
        <f>IF(4170&lt;$U$9,INT(4170/($U$7*$U$8))+1,1)</f>
        <v/>
      </c>
      <c r="BO4183">
        <f>IF(4170&lt;$U$9,MOD(INT(4170/$U$8),$U$7)+1,1)</f>
        <v/>
      </c>
      <c r="BP4183">
        <f>IF(4170&lt;$U$9,MOD(4170,$U$8)+1,1)</f>
        <v/>
      </c>
      <c r="BQ4183">
        <f>IF(4170&lt;$U$9,SUMPRODUCT(($D$10:$L$10&lt;&gt;"")*(($D$9:$L$9+INT(($S$12:$AA$12+INDEX($AJ$13:$AR$162,BN4183,0)+INDEX($AT$13:$BB$162,BO4183,0)+INDEX($BD$13:$BL$162,BP4183,0))/100))&gt;=$D$10:$L$10)),0)</f>
        <v/>
      </c>
      <c r="BR4183">
        <f>IF(4170&lt;$U$9,SUMPRODUCT(($D$10:$L$10&lt;&gt;"")*(($D$10:$L$10-($D$9:$L$9+INT(($S$12:$AA$12+INDEX($AJ$13:$AR$162,BN4183,0)+INDEX($AT$13:$BB$162,BO4183,0)+INDEX($BD$13:$BL$162,BP4183,0))/100)))&gt;0)*($D$10:$L$10-($D$9:$L$9+INT(($S$12:$AA$12+INDEX($AJ$13:$AR$162,BN4183,0)+INDEX($AT$13:$BB$162,BO4183,0)+INDEX($BD$13:$BL$162,BP4183,0))/100)))),0)</f>
        <v/>
      </c>
      <c r="BS4183">
        <f>IF(4170&lt;$U$9,SUMPRODUCT(($D$9:$L$9+INT(($S$12:$AA$12+INDEX($AJ$13:$AR$162,BN4183,0)+INDEX($AT$13:$BB$162,BO4183,0)+INDEX($BD$13:$BL$162,BP4183,0))/100))),0)</f>
        <v/>
      </c>
      <c r="BT4183">
        <f>IF(AND(4170&lt;$U$9,$W$5),BQ4183*1000000-MIN(BR4183,999)*1000+BS4183-4170/100000,-1000000000-4170)</f>
        <v/>
      </c>
    </row>
    <row r="4184">
      <c r="BN4184">
        <f>IF(4171&lt;$U$9,INT(4171/($U$7*$U$8))+1,1)</f>
        <v/>
      </c>
      <c r="BO4184">
        <f>IF(4171&lt;$U$9,MOD(INT(4171/$U$8),$U$7)+1,1)</f>
        <v/>
      </c>
      <c r="BP4184">
        <f>IF(4171&lt;$U$9,MOD(4171,$U$8)+1,1)</f>
        <v/>
      </c>
      <c r="BQ4184">
        <f>IF(4171&lt;$U$9,SUMPRODUCT(($D$10:$L$10&lt;&gt;"")*(($D$9:$L$9+INT(($S$12:$AA$12+INDEX($AJ$13:$AR$162,BN4184,0)+INDEX($AT$13:$BB$162,BO4184,0)+INDEX($BD$13:$BL$162,BP4184,0))/100))&gt;=$D$10:$L$10)),0)</f>
        <v/>
      </c>
      <c r="BR4184">
        <f>IF(4171&lt;$U$9,SUMPRODUCT(($D$10:$L$10&lt;&gt;"")*(($D$10:$L$10-($D$9:$L$9+INT(($S$12:$AA$12+INDEX($AJ$13:$AR$162,BN4184,0)+INDEX($AT$13:$BB$162,BO4184,0)+INDEX($BD$13:$BL$162,BP4184,0))/100)))&gt;0)*($D$10:$L$10-($D$9:$L$9+INT(($S$12:$AA$12+INDEX($AJ$13:$AR$162,BN4184,0)+INDEX($AT$13:$BB$162,BO4184,0)+INDEX($BD$13:$BL$162,BP4184,0))/100)))),0)</f>
        <v/>
      </c>
      <c r="BS4184">
        <f>IF(4171&lt;$U$9,SUMPRODUCT(($D$9:$L$9+INT(($S$12:$AA$12+INDEX($AJ$13:$AR$162,BN4184,0)+INDEX($AT$13:$BB$162,BO4184,0)+INDEX($BD$13:$BL$162,BP4184,0))/100))),0)</f>
        <v/>
      </c>
      <c r="BT4184">
        <f>IF(AND(4171&lt;$U$9,$W$5),BQ4184*1000000-MIN(BR4184,999)*1000+BS4184-4171/100000,-1000000000-4171)</f>
        <v/>
      </c>
    </row>
    <row r="4185">
      <c r="BN4185">
        <f>IF(4172&lt;$U$9,INT(4172/($U$7*$U$8))+1,1)</f>
        <v/>
      </c>
      <c r="BO4185">
        <f>IF(4172&lt;$U$9,MOD(INT(4172/$U$8),$U$7)+1,1)</f>
        <v/>
      </c>
      <c r="BP4185">
        <f>IF(4172&lt;$U$9,MOD(4172,$U$8)+1,1)</f>
        <v/>
      </c>
      <c r="BQ4185">
        <f>IF(4172&lt;$U$9,SUMPRODUCT(($D$10:$L$10&lt;&gt;"")*(($D$9:$L$9+INT(($S$12:$AA$12+INDEX($AJ$13:$AR$162,BN4185,0)+INDEX($AT$13:$BB$162,BO4185,0)+INDEX($BD$13:$BL$162,BP4185,0))/100))&gt;=$D$10:$L$10)),0)</f>
        <v/>
      </c>
      <c r="BR4185">
        <f>IF(4172&lt;$U$9,SUMPRODUCT(($D$10:$L$10&lt;&gt;"")*(($D$10:$L$10-($D$9:$L$9+INT(($S$12:$AA$12+INDEX($AJ$13:$AR$162,BN4185,0)+INDEX($AT$13:$BB$162,BO4185,0)+INDEX($BD$13:$BL$162,BP4185,0))/100)))&gt;0)*($D$10:$L$10-($D$9:$L$9+INT(($S$12:$AA$12+INDEX($AJ$13:$AR$162,BN4185,0)+INDEX($AT$13:$BB$162,BO4185,0)+INDEX($BD$13:$BL$162,BP4185,0))/100)))),0)</f>
        <v/>
      </c>
      <c r="BS4185">
        <f>IF(4172&lt;$U$9,SUMPRODUCT(($D$9:$L$9+INT(($S$12:$AA$12+INDEX($AJ$13:$AR$162,BN4185,0)+INDEX($AT$13:$BB$162,BO4185,0)+INDEX($BD$13:$BL$162,BP4185,0))/100))),0)</f>
        <v/>
      </c>
      <c r="BT4185">
        <f>IF(AND(4172&lt;$U$9,$W$5),BQ4185*1000000-MIN(BR4185,999)*1000+BS4185-4172/100000,-1000000000-4172)</f>
        <v/>
      </c>
    </row>
    <row r="4186">
      <c r="BN4186">
        <f>IF(4173&lt;$U$9,INT(4173/($U$7*$U$8))+1,1)</f>
        <v/>
      </c>
      <c r="BO4186">
        <f>IF(4173&lt;$U$9,MOD(INT(4173/$U$8),$U$7)+1,1)</f>
        <v/>
      </c>
      <c r="BP4186">
        <f>IF(4173&lt;$U$9,MOD(4173,$U$8)+1,1)</f>
        <v/>
      </c>
      <c r="BQ4186">
        <f>IF(4173&lt;$U$9,SUMPRODUCT(($D$10:$L$10&lt;&gt;"")*(($D$9:$L$9+INT(($S$12:$AA$12+INDEX($AJ$13:$AR$162,BN4186,0)+INDEX($AT$13:$BB$162,BO4186,0)+INDEX($BD$13:$BL$162,BP4186,0))/100))&gt;=$D$10:$L$10)),0)</f>
        <v/>
      </c>
      <c r="BR4186">
        <f>IF(4173&lt;$U$9,SUMPRODUCT(($D$10:$L$10&lt;&gt;"")*(($D$10:$L$10-($D$9:$L$9+INT(($S$12:$AA$12+INDEX($AJ$13:$AR$162,BN4186,0)+INDEX($AT$13:$BB$162,BO4186,0)+INDEX($BD$13:$BL$162,BP4186,0))/100)))&gt;0)*($D$10:$L$10-($D$9:$L$9+INT(($S$12:$AA$12+INDEX($AJ$13:$AR$162,BN4186,0)+INDEX($AT$13:$BB$162,BO4186,0)+INDEX($BD$13:$BL$162,BP4186,0))/100)))),0)</f>
        <v/>
      </c>
      <c r="BS4186">
        <f>IF(4173&lt;$U$9,SUMPRODUCT(($D$9:$L$9+INT(($S$12:$AA$12+INDEX($AJ$13:$AR$162,BN4186,0)+INDEX($AT$13:$BB$162,BO4186,0)+INDEX($BD$13:$BL$162,BP4186,0))/100))),0)</f>
        <v/>
      </c>
      <c r="BT4186">
        <f>IF(AND(4173&lt;$U$9,$W$5),BQ4186*1000000-MIN(BR4186,999)*1000+BS4186-4173/100000,-1000000000-4173)</f>
        <v/>
      </c>
    </row>
    <row r="4187">
      <c r="BN4187">
        <f>IF(4174&lt;$U$9,INT(4174/($U$7*$U$8))+1,1)</f>
        <v/>
      </c>
      <c r="BO4187">
        <f>IF(4174&lt;$U$9,MOD(INT(4174/$U$8),$U$7)+1,1)</f>
        <v/>
      </c>
      <c r="BP4187">
        <f>IF(4174&lt;$U$9,MOD(4174,$U$8)+1,1)</f>
        <v/>
      </c>
      <c r="BQ4187">
        <f>IF(4174&lt;$U$9,SUMPRODUCT(($D$10:$L$10&lt;&gt;"")*(($D$9:$L$9+INT(($S$12:$AA$12+INDEX($AJ$13:$AR$162,BN4187,0)+INDEX($AT$13:$BB$162,BO4187,0)+INDEX($BD$13:$BL$162,BP4187,0))/100))&gt;=$D$10:$L$10)),0)</f>
        <v/>
      </c>
      <c r="BR4187">
        <f>IF(4174&lt;$U$9,SUMPRODUCT(($D$10:$L$10&lt;&gt;"")*(($D$10:$L$10-($D$9:$L$9+INT(($S$12:$AA$12+INDEX($AJ$13:$AR$162,BN4187,0)+INDEX($AT$13:$BB$162,BO4187,0)+INDEX($BD$13:$BL$162,BP4187,0))/100)))&gt;0)*($D$10:$L$10-($D$9:$L$9+INT(($S$12:$AA$12+INDEX($AJ$13:$AR$162,BN4187,0)+INDEX($AT$13:$BB$162,BO4187,0)+INDEX($BD$13:$BL$162,BP4187,0))/100)))),0)</f>
        <v/>
      </c>
      <c r="BS4187">
        <f>IF(4174&lt;$U$9,SUMPRODUCT(($D$9:$L$9+INT(($S$12:$AA$12+INDEX($AJ$13:$AR$162,BN4187,0)+INDEX($AT$13:$BB$162,BO4187,0)+INDEX($BD$13:$BL$162,BP4187,0))/100))),0)</f>
        <v/>
      </c>
      <c r="BT4187">
        <f>IF(AND(4174&lt;$U$9,$W$5),BQ4187*1000000-MIN(BR4187,999)*1000+BS4187-4174/100000,-1000000000-4174)</f>
        <v/>
      </c>
    </row>
    <row r="4188">
      <c r="BN4188">
        <f>IF(4175&lt;$U$9,INT(4175/($U$7*$U$8))+1,1)</f>
        <v/>
      </c>
      <c r="BO4188">
        <f>IF(4175&lt;$U$9,MOD(INT(4175/$U$8),$U$7)+1,1)</f>
        <v/>
      </c>
      <c r="BP4188">
        <f>IF(4175&lt;$U$9,MOD(4175,$U$8)+1,1)</f>
        <v/>
      </c>
      <c r="BQ4188">
        <f>IF(4175&lt;$U$9,SUMPRODUCT(($D$10:$L$10&lt;&gt;"")*(($D$9:$L$9+INT(($S$12:$AA$12+INDEX($AJ$13:$AR$162,BN4188,0)+INDEX($AT$13:$BB$162,BO4188,0)+INDEX($BD$13:$BL$162,BP4188,0))/100))&gt;=$D$10:$L$10)),0)</f>
        <v/>
      </c>
      <c r="BR4188">
        <f>IF(4175&lt;$U$9,SUMPRODUCT(($D$10:$L$10&lt;&gt;"")*(($D$10:$L$10-($D$9:$L$9+INT(($S$12:$AA$12+INDEX($AJ$13:$AR$162,BN4188,0)+INDEX($AT$13:$BB$162,BO4188,0)+INDEX($BD$13:$BL$162,BP4188,0))/100)))&gt;0)*($D$10:$L$10-($D$9:$L$9+INT(($S$12:$AA$12+INDEX($AJ$13:$AR$162,BN4188,0)+INDEX($AT$13:$BB$162,BO4188,0)+INDEX($BD$13:$BL$162,BP4188,0))/100)))),0)</f>
        <v/>
      </c>
      <c r="BS4188">
        <f>IF(4175&lt;$U$9,SUMPRODUCT(($D$9:$L$9+INT(($S$12:$AA$12+INDEX($AJ$13:$AR$162,BN4188,0)+INDEX($AT$13:$BB$162,BO4188,0)+INDEX($BD$13:$BL$162,BP4188,0))/100))),0)</f>
        <v/>
      </c>
      <c r="BT4188">
        <f>IF(AND(4175&lt;$U$9,$W$5),BQ4188*1000000-MIN(BR4188,999)*1000+BS4188-4175/100000,-1000000000-4175)</f>
        <v/>
      </c>
    </row>
    <row r="4189">
      <c r="BN4189">
        <f>IF(4176&lt;$U$9,INT(4176/($U$7*$U$8))+1,1)</f>
        <v/>
      </c>
      <c r="BO4189">
        <f>IF(4176&lt;$U$9,MOD(INT(4176/$U$8),$U$7)+1,1)</f>
        <v/>
      </c>
      <c r="BP4189">
        <f>IF(4176&lt;$U$9,MOD(4176,$U$8)+1,1)</f>
        <v/>
      </c>
      <c r="BQ4189">
        <f>IF(4176&lt;$U$9,SUMPRODUCT(($D$10:$L$10&lt;&gt;"")*(($D$9:$L$9+INT(($S$12:$AA$12+INDEX($AJ$13:$AR$162,BN4189,0)+INDEX($AT$13:$BB$162,BO4189,0)+INDEX($BD$13:$BL$162,BP4189,0))/100))&gt;=$D$10:$L$10)),0)</f>
        <v/>
      </c>
      <c r="BR4189">
        <f>IF(4176&lt;$U$9,SUMPRODUCT(($D$10:$L$10&lt;&gt;"")*(($D$10:$L$10-($D$9:$L$9+INT(($S$12:$AA$12+INDEX($AJ$13:$AR$162,BN4189,0)+INDEX($AT$13:$BB$162,BO4189,0)+INDEX($BD$13:$BL$162,BP4189,0))/100)))&gt;0)*($D$10:$L$10-($D$9:$L$9+INT(($S$12:$AA$12+INDEX($AJ$13:$AR$162,BN4189,0)+INDEX($AT$13:$BB$162,BO4189,0)+INDEX($BD$13:$BL$162,BP4189,0))/100)))),0)</f>
        <v/>
      </c>
      <c r="BS4189">
        <f>IF(4176&lt;$U$9,SUMPRODUCT(($D$9:$L$9+INT(($S$12:$AA$12+INDEX($AJ$13:$AR$162,BN4189,0)+INDEX($AT$13:$BB$162,BO4189,0)+INDEX($BD$13:$BL$162,BP4189,0))/100))),0)</f>
        <v/>
      </c>
      <c r="BT4189">
        <f>IF(AND(4176&lt;$U$9,$W$5),BQ4189*1000000-MIN(BR4189,999)*1000+BS4189-4176/100000,-1000000000-4176)</f>
        <v/>
      </c>
    </row>
    <row r="4190">
      <c r="BN4190">
        <f>IF(4177&lt;$U$9,INT(4177/($U$7*$U$8))+1,1)</f>
        <v/>
      </c>
      <c r="BO4190">
        <f>IF(4177&lt;$U$9,MOD(INT(4177/$U$8),$U$7)+1,1)</f>
        <v/>
      </c>
      <c r="BP4190">
        <f>IF(4177&lt;$U$9,MOD(4177,$U$8)+1,1)</f>
        <v/>
      </c>
      <c r="BQ4190">
        <f>IF(4177&lt;$U$9,SUMPRODUCT(($D$10:$L$10&lt;&gt;"")*(($D$9:$L$9+INT(($S$12:$AA$12+INDEX($AJ$13:$AR$162,BN4190,0)+INDEX($AT$13:$BB$162,BO4190,0)+INDEX($BD$13:$BL$162,BP4190,0))/100))&gt;=$D$10:$L$10)),0)</f>
        <v/>
      </c>
      <c r="BR4190">
        <f>IF(4177&lt;$U$9,SUMPRODUCT(($D$10:$L$10&lt;&gt;"")*(($D$10:$L$10-($D$9:$L$9+INT(($S$12:$AA$12+INDEX($AJ$13:$AR$162,BN4190,0)+INDEX($AT$13:$BB$162,BO4190,0)+INDEX($BD$13:$BL$162,BP4190,0))/100)))&gt;0)*($D$10:$L$10-($D$9:$L$9+INT(($S$12:$AA$12+INDEX($AJ$13:$AR$162,BN4190,0)+INDEX($AT$13:$BB$162,BO4190,0)+INDEX($BD$13:$BL$162,BP4190,0))/100)))),0)</f>
        <v/>
      </c>
      <c r="BS4190">
        <f>IF(4177&lt;$U$9,SUMPRODUCT(($D$9:$L$9+INT(($S$12:$AA$12+INDEX($AJ$13:$AR$162,BN4190,0)+INDEX($AT$13:$BB$162,BO4190,0)+INDEX($BD$13:$BL$162,BP4190,0))/100))),0)</f>
        <v/>
      </c>
      <c r="BT4190">
        <f>IF(AND(4177&lt;$U$9,$W$5),BQ4190*1000000-MIN(BR4190,999)*1000+BS4190-4177/100000,-1000000000-4177)</f>
        <v/>
      </c>
    </row>
    <row r="4191">
      <c r="BN4191">
        <f>IF(4178&lt;$U$9,INT(4178/($U$7*$U$8))+1,1)</f>
        <v/>
      </c>
      <c r="BO4191">
        <f>IF(4178&lt;$U$9,MOD(INT(4178/$U$8),$U$7)+1,1)</f>
        <v/>
      </c>
      <c r="BP4191">
        <f>IF(4178&lt;$U$9,MOD(4178,$U$8)+1,1)</f>
        <v/>
      </c>
      <c r="BQ4191">
        <f>IF(4178&lt;$U$9,SUMPRODUCT(($D$10:$L$10&lt;&gt;"")*(($D$9:$L$9+INT(($S$12:$AA$12+INDEX($AJ$13:$AR$162,BN4191,0)+INDEX($AT$13:$BB$162,BO4191,0)+INDEX($BD$13:$BL$162,BP4191,0))/100))&gt;=$D$10:$L$10)),0)</f>
        <v/>
      </c>
      <c r="BR4191">
        <f>IF(4178&lt;$U$9,SUMPRODUCT(($D$10:$L$10&lt;&gt;"")*(($D$10:$L$10-($D$9:$L$9+INT(($S$12:$AA$12+INDEX($AJ$13:$AR$162,BN4191,0)+INDEX($AT$13:$BB$162,BO4191,0)+INDEX($BD$13:$BL$162,BP4191,0))/100)))&gt;0)*($D$10:$L$10-($D$9:$L$9+INT(($S$12:$AA$12+INDEX($AJ$13:$AR$162,BN4191,0)+INDEX($AT$13:$BB$162,BO4191,0)+INDEX($BD$13:$BL$162,BP4191,0))/100)))),0)</f>
        <v/>
      </c>
      <c r="BS4191">
        <f>IF(4178&lt;$U$9,SUMPRODUCT(($D$9:$L$9+INT(($S$12:$AA$12+INDEX($AJ$13:$AR$162,BN4191,0)+INDEX($AT$13:$BB$162,BO4191,0)+INDEX($BD$13:$BL$162,BP4191,0))/100))),0)</f>
        <v/>
      </c>
      <c r="BT4191">
        <f>IF(AND(4178&lt;$U$9,$W$5),BQ4191*1000000-MIN(BR4191,999)*1000+BS4191-4178/100000,-1000000000-4178)</f>
        <v/>
      </c>
    </row>
    <row r="4192">
      <c r="BN4192">
        <f>IF(4179&lt;$U$9,INT(4179/($U$7*$U$8))+1,1)</f>
        <v/>
      </c>
      <c r="BO4192">
        <f>IF(4179&lt;$U$9,MOD(INT(4179/$U$8),$U$7)+1,1)</f>
        <v/>
      </c>
      <c r="BP4192">
        <f>IF(4179&lt;$U$9,MOD(4179,$U$8)+1,1)</f>
        <v/>
      </c>
      <c r="BQ4192">
        <f>IF(4179&lt;$U$9,SUMPRODUCT(($D$10:$L$10&lt;&gt;"")*(($D$9:$L$9+INT(($S$12:$AA$12+INDEX($AJ$13:$AR$162,BN4192,0)+INDEX($AT$13:$BB$162,BO4192,0)+INDEX($BD$13:$BL$162,BP4192,0))/100))&gt;=$D$10:$L$10)),0)</f>
        <v/>
      </c>
      <c r="BR4192">
        <f>IF(4179&lt;$U$9,SUMPRODUCT(($D$10:$L$10&lt;&gt;"")*(($D$10:$L$10-($D$9:$L$9+INT(($S$12:$AA$12+INDEX($AJ$13:$AR$162,BN4192,0)+INDEX($AT$13:$BB$162,BO4192,0)+INDEX($BD$13:$BL$162,BP4192,0))/100)))&gt;0)*($D$10:$L$10-($D$9:$L$9+INT(($S$12:$AA$12+INDEX($AJ$13:$AR$162,BN4192,0)+INDEX($AT$13:$BB$162,BO4192,0)+INDEX($BD$13:$BL$162,BP4192,0))/100)))),0)</f>
        <v/>
      </c>
      <c r="BS4192">
        <f>IF(4179&lt;$U$9,SUMPRODUCT(($D$9:$L$9+INT(($S$12:$AA$12+INDEX($AJ$13:$AR$162,BN4192,0)+INDEX($AT$13:$BB$162,BO4192,0)+INDEX($BD$13:$BL$162,BP4192,0))/100))),0)</f>
        <v/>
      </c>
      <c r="BT4192">
        <f>IF(AND(4179&lt;$U$9,$W$5),BQ4192*1000000-MIN(BR4192,999)*1000+BS4192-4179/100000,-1000000000-4179)</f>
        <v/>
      </c>
    </row>
    <row r="4193">
      <c r="BN4193">
        <f>IF(4180&lt;$U$9,INT(4180/($U$7*$U$8))+1,1)</f>
        <v/>
      </c>
      <c r="BO4193">
        <f>IF(4180&lt;$U$9,MOD(INT(4180/$U$8),$U$7)+1,1)</f>
        <v/>
      </c>
      <c r="BP4193">
        <f>IF(4180&lt;$U$9,MOD(4180,$U$8)+1,1)</f>
        <v/>
      </c>
      <c r="BQ4193">
        <f>IF(4180&lt;$U$9,SUMPRODUCT(($D$10:$L$10&lt;&gt;"")*(($D$9:$L$9+INT(($S$12:$AA$12+INDEX($AJ$13:$AR$162,BN4193,0)+INDEX($AT$13:$BB$162,BO4193,0)+INDEX($BD$13:$BL$162,BP4193,0))/100))&gt;=$D$10:$L$10)),0)</f>
        <v/>
      </c>
      <c r="BR4193">
        <f>IF(4180&lt;$U$9,SUMPRODUCT(($D$10:$L$10&lt;&gt;"")*(($D$10:$L$10-($D$9:$L$9+INT(($S$12:$AA$12+INDEX($AJ$13:$AR$162,BN4193,0)+INDEX($AT$13:$BB$162,BO4193,0)+INDEX($BD$13:$BL$162,BP4193,0))/100)))&gt;0)*($D$10:$L$10-($D$9:$L$9+INT(($S$12:$AA$12+INDEX($AJ$13:$AR$162,BN4193,0)+INDEX($AT$13:$BB$162,BO4193,0)+INDEX($BD$13:$BL$162,BP4193,0))/100)))),0)</f>
        <v/>
      </c>
      <c r="BS4193">
        <f>IF(4180&lt;$U$9,SUMPRODUCT(($D$9:$L$9+INT(($S$12:$AA$12+INDEX($AJ$13:$AR$162,BN4193,0)+INDEX($AT$13:$BB$162,BO4193,0)+INDEX($BD$13:$BL$162,BP4193,0))/100))),0)</f>
        <v/>
      </c>
      <c r="BT4193">
        <f>IF(AND(4180&lt;$U$9,$W$5),BQ4193*1000000-MIN(BR4193,999)*1000+BS4193-4180/100000,-1000000000-4180)</f>
        <v/>
      </c>
    </row>
    <row r="4194">
      <c r="BN4194">
        <f>IF(4181&lt;$U$9,INT(4181/($U$7*$U$8))+1,1)</f>
        <v/>
      </c>
      <c r="BO4194">
        <f>IF(4181&lt;$U$9,MOD(INT(4181/$U$8),$U$7)+1,1)</f>
        <v/>
      </c>
      <c r="BP4194">
        <f>IF(4181&lt;$U$9,MOD(4181,$U$8)+1,1)</f>
        <v/>
      </c>
      <c r="BQ4194">
        <f>IF(4181&lt;$U$9,SUMPRODUCT(($D$10:$L$10&lt;&gt;"")*(($D$9:$L$9+INT(($S$12:$AA$12+INDEX($AJ$13:$AR$162,BN4194,0)+INDEX($AT$13:$BB$162,BO4194,0)+INDEX($BD$13:$BL$162,BP4194,0))/100))&gt;=$D$10:$L$10)),0)</f>
        <v/>
      </c>
      <c r="BR4194">
        <f>IF(4181&lt;$U$9,SUMPRODUCT(($D$10:$L$10&lt;&gt;"")*(($D$10:$L$10-($D$9:$L$9+INT(($S$12:$AA$12+INDEX($AJ$13:$AR$162,BN4194,0)+INDEX($AT$13:$BB$162,BO4194,0)+INDEX($BD$13:$BL$162,BP4194,0))/100)))&gt;0)*($D$10:$L$10-($D$9:$L$9+INT(($S$12:$AA$12+INDEX($AJ$13:$AR$162,BN4194,0)+INDEX($AT$13:$BB$162,BO4194,0)+INDEX($BD$13:$BL$162,BP4194,0))/100)))),0)</f>
        <v/>
      </c>
      <c r="BS4194">
        <f>IF(4181&lt;$U$9,SUMPRODUCT(($D$9:$L$9+INT(($S$12:$AA$12+INDEX($AJ$13:$AR$162,BN4194,0)+INDEX($AT$13:$BB$162,BO4194,0)+INDEX($BD$13:$BL$162,BP4194,0))/100))),0)</f>
        <v/>
      </c>
      <c r="BT4194">
        <f>IF(AND(4181&lt;$U$9,$W$5),BQ4194*1000000-MIN(BR4194,999)*1000+BS4194-4181/100000,-1000000000-4181)</f>
        <v/>
      </c>
    </row>
    <row r="4195">
      <c r="BN4195">
        <f>IF(4182&lt;$U$9,INT(4182/($U$7*$U$8))+1,1)</f>
        <v/>
      </c>
      <c r="BO4195">
        <f>IF(4182&lt;$U$9,MOD(INT(4182/$U$8),$U$7)+1,1)</f>
        <v/>
      </c>
      <c r="BP4195">
        <f>IF(4182&lt;$U$9,MOD(4182,$U$8)+1,1)</f>
        <v/>
      </c>
      <c r="BQ4195">
        <f>IF(4182&lt;$U$9,SUMPRODUCT(($D$10:$L$10&lt;&gt;"")*(($D$9:$L$9+INT(($S$12:$AA$12+INDEX($AJ$13:$AR$162,BN4195,0)+INDEX($AT$13:$BB$162,BO4195,0)+INDEX($BD$13:$BL$162,BP4195,0))/100))&gt;=$D$10:$L$10)),0)</f>
        <v/>
      </c>
      <c r="BR4195">
        <f>IF(4182&lt;$U$9,SUMPRODUCT(($D$10:$L$10&lt;&gt;"")*(($D$10:$L$10-($D$9:$L$9+INT(($S$12:$AA$12+INDEX($AJ$13:$AR$162,BN4195,0)+INDEX($AT$13:$BB$162,BO4195,0)+INDEX($BD$13:$BL$162,BP4195,0))/100)))&gt;0)*($D$10:$L$10-($D$9:$L$9+INT(($S$12:$AA$12+INDEX($AJ$13:$AR$162,BN4195,0)+INDEX($AT$13:$BB$162,BO4195,0)+INDEX($BD$13:$BL$162,BP4195,0))/100)))),0)</f>
        <v/>
      </c>
      <c r="BS4195">
        <f>IF(4182&lt;$U$9,SUMPRODUCT(($D$9:$L$9+INT(($S$12:$AA$12+INDEX($AJ$13:$AR$162,BN4195,0)+INDEX($AT$13:$BB$162,BO4195,0)+INDEX($BD$13:$BL$162,BP4195,0))/100))),0)</f>
        <v/>
      </c>
      <c r="BT4195">
        <f>IF(AND(4182&lt;$U$9,$W$5),BQ4195*1000000-MIN(BR4195,999)*1000+BS4195-4182/100000,-1000000000-4182)</f>
        <v/>
      </c>
    </row>
    <row r="4196">
      <c r="BN4196">
        <f>IF(4183&lt;$U$9,INT(4183/($U$7*$U$8))+1,1)</f>
        <v/>
      </c>
      <c r="BO4196">
        <f>IF(4183&lt;$U$9,MOD(INT(4183/$U$8),$U$7)+1,1)</f>
        <v/>
      </c>
      <c r="BP4196">
        <f>IF(4183&lt;$U$9,MOD(4183,$U$8)+1,1)</f>
        <v/>
      </c>
      <c r="BQ4196">
        <f>IF(4183&lt;$U$9,SUMPRODUCT(($D$10:$L$10&lt;&gt;"")*(($D$9:$L$9+INT(($S$12:$AA$12+INDEX($AJ$13:$AR$162,BN4196,0)+INDEX($AT$13:$BB$162,BO4196,0)+INDEX($BD$13:$BL$162,BP4196,0))/100))&gt;=$D$10:$L$10)),0)</f>
        <v/>
      </c>
      <c r="BR4196">
        <f>IF(4183&lt;$U$9,SUMPRODUCT(($D$10:$L$10&lt;&gt;"")*(($D$10:$L$10-($D$9:$L$9+INT(($S$12:$AA$12+INDEX($AJ$13:$AR$162,BN4196,0)+INDEX($AT$13:$BB$162,BO4196,0)+INDEX($BD$13:$BL$162,BP4196,0))/100)))&gt;0)*($D$10:$L$10-($D$9:$L$9+INT(($S$12:$AA$12+INDEX($AJ$13:$AR$162,BN4196,0)+INDEX($AT$13:$BB$162,BO4196,0)+INDEX($BD$13:$BL$162,BP4196,0))/100)))),0)</f>
        <v/>
      </c>
      <c r="BS4196">
        <f>IF(4183&lt;$U$9,SUMPRODUCT(($D$9:$L$9+INT(($S$12:$AA$12+INDEX($AJ$13:$AR$162,BN4196,0)+INDEX($AT$13:$BB$162,BO4196,0)+INDEX($BD$13:$BL$162,BP4196,0))/100))),0)</f>
        <v/>
      </c>
      <c r="BT4196">
        <f>IF(AND(4183&lt;$U$9,$W$5),BQ4196*1000000-MIN(BR4196,999)*1000+BS4196-4183/100000,-1000000000-4183)</f>
        <v/>
      </c>
    </row>
    <row r="4197">
      <c r="BN4197">
        <f>IF(4184&lt;$U$9,INT(4184/($U$7*$U$8))+1,1)</f>
        <v/>
      </c>
      <c r="BO4197">
        <f>IF(4184&lt;$U$9,MOD(INT(4184/$U$8),$U$7)+1,1)</f>
        <v/>
      </c>
      <c r="BP4197">
        <f>IF(4184&lt;$U$9,MOD(4184,$U$8)+1,1)</f>
        <v/>
      </c>
      <c r="BQ4197">
        <f>IF(4184&lt;$U$9,SUMPRODUCT(($D$10:$L$10&lt;&gt;"")*(($D$9:$L$9+INT(($S$12:$AA$12+INDEX($AJ$13:$AR$162,BN4197,0)+INDEX($AT$13:$BB$162,BO4197,0)+INDEX($BD$13:$BL$162,BP4197,0))/100))&gt;=$D$10:$L$10)),0)</f>
        <v/>
      </c>
      <c r="BR4197">
        <f>IF(4184&lt;$U$9,SUMPRODUCT(($D$10:$L$10&lt;&gt;"")*(($D$10:$L$10-($D$9:$L$9+INT(($S$12:$AA$12+INDEX($AJ$13:$AR$162,BN4197,0)+INDEX($AT$13:$BB$162,BO4197,0)+INDEX($BD$13:$BL$162,BP4197,0))/100)))&gt;0)*($D$10:$L$10-($D$9:$L$9+INT(($S$12:$AA$12+INDEX($AJ$13:$AR$162,BN4197,0)+INDEX($AT$13:$BB$162,BO4197,0)+INDEX($BD$13:$BL$162,BP4197,0))/100)))),0)</f>
        <v/>
      </c>
      <c r="BS4197">
        <f>IF(4184&lt;$U$9,SUMPRODUCT(($D$9:$L$9+INT(($S$12:$AA$12+INDEX($AJ$13:$AR$162,BN4197,0)+INDEX($AT$13:$BB$162,BO4197,0)+INDEX($BD$13:$BL$162,BP4197,0))/100))),0)</f>
        <v/>
      </c>
      <c r="BT4197">
        <f>IF(AND(4184&lt;$U$9,$W$5),BQ4197*1000000-MIN(BR4197,999)*1000+BS4197-4184/100000,-1000000000-4184)</f>
        <v/>
      </c>
    </row>
    <row r="4198">
      <c r="BN4198">
        <f>IF(4185&lt;$U$9,INT(4185/($U$7*$U$8))+1,1)</f>
        <v/>
      </c>
      <c r="BO4198">
        <f>IF(4185&lt;$U$9,MOD(INT(4185/$U$8),$U$7)+1,1)</f>
        <v/>
      </c>
      <c r="BP4198">
        <f>IF(4185&lt;$U$9,MOD(4185,$U$8)+1,1)</f>
        <v/>
      </c>
      <c r="BQ4198">
        <f>IF(4185&lt;$U$9,SUMPRODUCT(($D$10:$L$10&lt;&gt;"")*(($D$9:$L$9+INT(($S$12:$AA$12+INDEX($AJ$13:$AR$162,BN4198,0)+INDEX($AT$13:$BB$162,BO4198,0)+INDEX($BD$13:$BL$162,BP4198,0))/100))&gt;=$D$10:$L$10)),0)</f>
        <v/>
      </c>
      <c r="BR4198">
        <f>IF(4185&lt;$U$9,SUMPRODUCT(($D$10:$L$10&lt;&gt;"")*(($D$10:$L$10-($D$9:$L$9+INT(($S$12:$AA$12+INDEX($AJ$13:$AR$162,BN4198,0)+INDEX($AT$13:$BB$162,BO4198,0)+INDEX($BD$13:$BL$162,BP4198,0))/100)))&gt;0)*($D$10:$L$10-($D$9:$L$9+INT(($S$12:$AA$12+INDEX($AJ$13:$AR$162,BN4198,0)+INDEX($AT$13:$BB$162,BO4198,0)+INDEX($BD$13:$BL$162,BP4198,0))/100)))),0)</f>
        <v/>
      </c>
      <c r="BS4198">
        <f>IF(4185&lt;$U$9,SUMPRODUCT(($D$9:$L$9+INT(($S$12:$AA$12+INDEX($AJ$13:$AR$162,BN4198,0)+INDEX($AT$13:$BB$162,BO4198,0)+INDEX($BD$13:$BL$162,BP4198,0))/100))),0)</f>
        <v/>
      </c>
      <c r="BT4198">
        <f>IF(AND(4185&lt;$U$9,$W$5),BQ4198*1000000-MIN(BR4198,999)*1000+BS4198-4185/100000,-1000000000-4185)</f>
        <v/>
      </c>
    </row>
    <row r="4199">
      <c r="BN4199">
        <f>IF(4186&lt;$U$9,INT(4186/($U$7*$U$8))+1,1)</f>
        <v/>
      </c>
      <c r="BO4199">
        <f>IF(4186&lt;$U$9,MOD(INT(4186/$U$8),$U$7)+1,1)</f>
        <v/>
      </c>
      <c r="BP4199">
        <f>IF(4186&lt;$U$9,MOD(4186,$U$8)+1,1)</f>
        <v/>
      </c>
      <c r="BQ4199">
        <f>IF(4186&lt;$U$9,SUMPRODUCT(($D$10:$L$10&lt;&gt;"")*(($D$9:$L$9+INT(($S$12:$AA$12+INDEX($AJ$13:$AR$162,BN4199,0)+INDEX($AT$13:$BB$162,BO4199,0)+INDEX($BD$13:$BL$162,BP4199,0))/100))&gt;=$D$10:$L$10)),0)</f>
        <v/>
      </c>
      <c r="BR4199">
        <f>IF(4186&lt;$U$9,SUMPRODUCT(($D$10:$L$10&lt;&gt;"")*(($D$10:$L$10-($D$9:$L$9+INT(($S$12:$AA$12+INDEX($AJ$13:$AR$162,BN4199,0)+INDEX($AT$13:$BB$162,BO4199,0)+INDEX($BD$13:$BL$162,BP4199,0))/100)))&gt;0)*($D$10:$L$10-($D$9:$L$9+INT(($S$12:$AA$12+INDEX($AJ$13:$AR$162,BN4199,0)+INDEX($AT$13:$BB$162,BO4199,0)+INDEX($BD$13:$BL$162,BP4199,0))/100)))),0)</f>
        <v/>
      </c>
      <c r="BS4199">
        <f>IF(4186&lt;$U$9,SUMPRODUCT(($D$9:$L$9+INT(($S$12:$AA$12+INDEX($AJ$13:$AR$162,BN4199,0)+INDEX($AT$13:$BB$162,BO4199,0)+INDEX($BD$13:$BL$162,BP4199,0))/100))),0)</f>
        <v/>
      </c>
      <c r="BT4199">
        <f>IF(AND(4186&lt;$U$9,$W$5),BQ4199*1000000-MIN(BR4199,999)*1000+BS4199-4186/100000,-1000000000-4186)</f>
        <v/>
      </c>
    </row>
    <row r="4200">
      <c r="BN4200">
        <f>IF(4187&lt;$U$9,INT(4187/($U$7*$U$8))+1,1)</f>
        <v/>
      </c>
      <c r="BO4200">
        <f>IF(4187&lt;$U$9,MOD(INT(4187/$U$8),$U$7)+1,1)</f>
        <v/>
      </c>
      <c r="BP4200">
        <f>IF(4187&lt;$U$9,MOD(4187,$U$8)+1,1)</f>
        <v/>
      </c>
      <c r="BQ4200">
        <f>IF(4187&lt;$U$9,SUMPRODUCT(($D$10:$L$10&lt;&gt;"")*(($D$9:$L$9+INT(($S$12:$AA$12+INDEX($AJ$13:$AR$162,BN4200,0)+INDEX($AT$13:$BB$162,BO4200,0)+INDEX($BD$13:$BL$162,BP4200,0))/100))&gt;=$D$10:$L$10)),0)</f>
        <v/>
      </c>
      <c r="BR4200">
        <f>IF(4187&lt;$U$9,SUMPRODUCT(($D$10:$L$10&lt;&gt;"")*(($D$10:$L$10-($D$9:$L$9+INT(($S$12:$AA$12+INDEX($AJ$13:$AR$162,BN4200,0)+INDEX($AT$13:$BB$162,BO4200,0)+INDEX($BD$13:$BL$162,BP4200,0))/100)))&gt;0)*($D$10:$L$10-($D$9:$L$9+INT(($S$12:$AA$12+INDEX($AJ$13:$AR$162,BN4200,0)+INDEX($AT$13:$BB$162,BO4200,0)+INDEX($BD$13:$BL$162,BP4200,0))/100)))),0)</f>
        <v/>
      </c>
      <c r="BS4200">
        <f>IF(4187&lt;$U$9,SUMPRODUCT(($D$9:$L$9+INT(($S$12:$AA$12+INDEX($AJ$13:$AR$162,BN4200,0)+INDEX($AT$13:$BB$162,BO4200,0)+INDEX($BD$13:$BL$162,BP4200,0))/100))),0)</f>
        <v/>
      </c>
      <c r="BT4200">
        <f>IF(AND(4187&lt;$U$9,$W$5),BQ4200*1000000-MIN(BR4200,999)*1000+BS4200-4187/100000,-1000000000-4187)</f>
        <v/>
      </c>
    </row>
    <row r="4201">
      <c r="BN4201">
        <f>IF(4188&lt;$U$9,INT(4188/($U$7*$U$8))+1,1)</f>
        <v/>
      </c>
      <c r="BO4201">
        <f>IF(4188&lt;$U$9,MOD(INT(4188/$U$8),$U$7)+1,1)</f>
        <v/>
      </c>
      <c r="BP4201">
        <f>IF(4188&lt;$U$9,MOD(4188,$U$8)+1,1)</f>
        <v/>
      </c>
      <c r="BQ4201">
        <f>IF(4188&lt;$U$9,SUMPRODUCT(($D$10:$L$10&lt;&gt;"")*(($D$9:$L$9+INT(($S$12:$AA$12+INDEX($AJ$13:$AR$162,BN4201,0)+INDEX($AT$13:$BB$162,BO4201,0)+INDEX($BD$13:$BL$162,BP4201,0))/100))&gt;=$D$10:$L$10)),0)</f>
        <v/>
      </c>
      <c r="BR4201">
        <f>IF(4188&lt;$U$9,SUMPRODUCT(($D$10:$L$10&lt;&gt;"")*(($D$10:$L$10-($D$9:$L$9+INT(($S$12:$AA$12+INDEX($AJ$13:$AR$162,BN4201,0)+INDEX($AT$13:$BB$162,BO4201,0)+INDEX($BD$13:$BL$162,BP4201,0))/100)))&gt;0)*($D$10:$L$10-($D$9:$L$9+INT(($S$12:$AA$12+INDEX($AJ$13:$AR$162,BN4201,0)+INDEX($AT$13:$BB$162,BO4201,0)+INDEX($BD$13:$BL$162,BP4201,0))/100)))),0)</f>
        <v/>
      </c>
      <c r="BS4201">
        <f>IF(4188&lt;$U$9,SUMPRODUCT(($D$9:$L$9+INT(($S$12:$AA$12+INDEX($AJ$13:$AR$162,BN4201,0)+INDEX($AT$13:$BB$162,BO4201,0)+INDEX($BD$13:$BL$162,BP4201,0))/100))),0)</f>
        <v/>
      </c>
      <c r="BT4201">
        <f>IF(AND(4188&lt;$U$9,$W$5),BQ4201*1000000-MIN(BR4201,999)*1000+BS4201-4188/100000,-1000000000-4188)</f>
        <v/>
      </c>
    </row>
    <row r="4202">
      <c r="BN4202">
        <f>IF(4189&lt;$U$9,INT(4189/($U$7*$U$8))+1,1)</f>
        <v/>
      </c>
      <c r="BO4202">
        <f>IF(4189&lt;$U$9,MOD(INT(4189/$U$8),$U$7)+1,1)</f>
        <v/>
      </c>
      <c r="BP4202">
        <f>IF(4189&lt;$U$9,MOD(4189,$U$8)+1,1)</f>
        <v/>
      </c>
      <c r="BQ4202">
        <f>IF(4189&lt;$U$9,SUMPRODUCT(($D$10:$L$10&lt;&gt;"")*(($D$9:$L$9+INT(($S$12:$AA$12+INDEX($AJ$13:$AR$162,BN4202,0)+INDEX($AT$13:$BB$162,BO4202,0)+INDEX($BD$13:$BL$162,BP4202,0))/100))&gt;=$D$10:$L$10)),0)</f>
        <v/>
      </c>
      <c r="BR4202">
        <f>IF(4189&lt;$U$9,SUMPRODUCT(($D$10:$L$10&lt;&gt;"")*(($D$10:$L$10-($D$9:$L$9+INT(($S$12:$AA$12+INDEX($AJ$13:$AR$162,BN4202,0)+INDEX($AT$13:$BB$162,BO4202,0)+INDEX($BD$13:$BL$162,BP4202,0))/100)))&gt;0)*($D$10:$L$10-($D$9:$L$9+INT(($S$12:$AA$12+INDEX($AJ$13:$AR$162,BN4202,0)+INDEX($AT$13:$BB$162,BO4202,0)+INDEX($BD$13:$BL$162,BP4202,0))/100)))),0)</f>
        <v/>
      </c>
      <c r="BS4202">
        <f>IF(4189&lt;$U$9,SUMPRODUCT(($D$9:$L$9+INT(($S$12:$AA$12+INDEX($AJ$13:$AR$162,BN4202,0)+INDEX($AT$13:$BB$162,BO4202,0)+INDEX($BD$13:$BL$162,BP4202,0))/100))),0)</f>
        <v/>
      </c>
      <c r="BT4202">
        <f>IF(AND(4189&lt;$U$9,$W$5),BQ4202*1000000-MIN(BR4202,999)*1000+BS4202-4189/100000,-1000000000-4189)</f>
        <v/>
      </c>
    </row>
    <row r="4203">
      <c r="BN4203">
        <f>IF(4190&lt;$U$9,INT(4190/($U$7*$U$8))+1,1)</f>
        <v/>
      </c>
      <c r="BO4203">
        <f>IF(4190&lt;$U$9,MOD(INT(4190/$U$8),$U$7)+1,1)</f>
        <v/>
      </c>
      <c r="BP4203">
        <f>IF(4190&lt;$U$9,MOD(4190,$U$8)+1,1)</f>
        <v/>
      </c>
      <c r="BQ4203">
        <f>IF(4190&lt;$U$9,SUMPRODUCT(($D$10:$L$10&lt;&gt;"")*(($D$9:$L$9+INT(($S$12:$AA$12+INDEX($AJ$13:$AR$162,BN4203,0)+INDEX($AT$13:$BB$162,BO4203,0)+INDEX($BD$13:$BL$162,BP4203,0))/100))&gt;=$D$10:$L$10)),0)</f>
        <v/>
      </c>
      <c r="BR4203">
        <f>IF(4190&lt;$U$9,SUMPRODUCT(($D$10:$L$10&lt;&gt;"")*(($D$10:$L$10-($D$9:$L$9+INT(($S$12:$AA$12+INDEX($AJ$13:$AR$162,BN4203,0)+INDEX($AT$13:$BB$162,BO4203,0)+INDEX($BD$13:$BL$162,BP4203,0))/100)))&gt;0)*($D$10:$L$10-($D$9:$L$9+INT(($S$12:$AA$12+INDEX($AJ$13:$AR$162,BN4203,0)+INDEX($AT$13:$BB$162,BO4203,0)+INDEX($BD$13:$BL$162,BP4203,0))/100)))),0)</f>
        <v/>
      </c>
      <c r="BS4203">
        <f>IF(4190&lt;$U$9,SUMPRODUCT(($D$9:$L$9+INT(($S$12:$AA$12+INDEX($AJ$13:$AR$162,BN4203,0)+INDEX($AT$13:$BB$162,BO4203,0)+INDEX($BD$13:$BL$162,BP4203,0))/100))),0)</f>
        <v/>
      </c>
      <c r="BT4203">
        <f>IF(AND(4190&lt;$U$9,$W$5),BQ4203*1000000-MIN(BR4203,999)*1000+BS4203-4190/100000,-1000000000-4190)</f>
        <v/>
      </c>
    </row>
    <row r="4204">
      <c r="BN4204">
        <f>IF(4191&lt;$U$9,INT(4191/($U$7*$U$8))+1,1)</f>
        <v/>
      </c>
      <c r="BO4204">
        <f>IF(4191&lt;$U$9,MOD(INT(4191/$U$8),$U$7)+1,1)</f>
        <v/>
      </c>
      <c r="BP4204">
        <f>IF(4191&lt;$U$9,MOD(4191,$U$8)+1,1)</f>
        <v/>
      </c>
      <c r="BQ4204">
        <f>IF(4191&lt;$U$9,SUMPRODUCT(($D$10:$L$10&lt;&gt;"")*(($D$9:$L$9+INT(($S$12:$AA$12+INDEX($AJ$13:$AR$162,BN4204,0)+INDEX($AT$13:$BB$162,BO4204,0)+INDEX($BD$13:$BL$162,BP4204,0))/100))&gt;=$D$10:$L$10)),0)</f>
        <v/>
      </c>
      <c r="BR4204">
        <f>IF(4191&lt;$U$9,SUMPRODUCT(($D$10:$L$10&lt;&gt;"")*(($D$10:$L$10-($D$9:$L$9+INT(($S$12:$AA$12+INDEX($AJ$13:$AR$162,BN4204,0)+INDEX($AT$13:$BB$162,BO4204,0)+INDEX($BD$13:$BL$162,BP4204,0))/100)))&gt;0)*($D$10:$L$10-($D$9:$L$9+INT(($S$12:$AA$12+INDEX($AJ$13:$AR$162,BN4204,0)+INDEX($AT$13:$BB$162,BO4204,0)+INDEX($BD$13:$BL$162,BP4204,0))/100)))),0)</f>
        <v/>
      </c>
      <c r="BS4204">
        <f>IF(4191&lt;$U$9,SUMPRODUCT(($D$9:$L$9+INT(($S$12:$AA$12+INDEX($AJ$13:$AR$162,BN4204,0)+INDEX($AT$13:$BB$162,BO4204,0)+INDEX($BD$13:$BL$162,BP4204,0))/100))),0)</f>
        <v/>
      </c>
      <c r="BT4204">
        <f>IF(AND(4191&lt;$U$9,$W$5),BQ4204*1000000-MIN(BR4204,999)*1000+BS4204-4191/100000,-1000000000-4191)</f>
        <v/>
      </c>
    </row>
    <row r="4205">
      <c r="BN4205">
        <f>IF(4192&lt;$U$9,INT(4192/($U$7*$U$8))+1,1)</f>
        <v/>
      </c>
      <c r="BO4205">
        <f>IF(4192&lt;$U$9,MOD(INT(4192/$U$8),$U$7)+1,1)</f>
        <v/>
      </c>
      <c r="BP4205">
        <f>IF(4192&lt;$U$9,MOD(4192,$U$8)+1,1)</f>
        <v/>
      </c>
      <c r="BQ4205">
        <f>IF(4192&lt;$U$9,SUMPRODUCT(($D$10:$L$10&lt;&gt;"")*(($D$9:$L$9+INT(($S$12:$AA$12+INDEX($AJ$13:$AR$162,BN4205,0)+INDEX($AT$13:$BB$162,BO4205,0)+INDEX($BD$13:$BL$162,BP4205,0))/100))&gt;=$D$10:$L$10)),0)</f>
        <v/>
      </c>
      <c r="BR4205">
        <f>IF(4192&lt;$U$9,SUMPRODUCT(($D$10:$L$10&lt;&gt;"")*(($D$10:$L$10-($D$9:$L$9+INT(($S$12:$AA$12+INDEX($AJ$13:$AR$162,BN4205,0)+INDEX($AT$13:$BB$162,BO4205,0)+INDEX($BD$13:$BL$162,BP4205,0))/100)))&gt;0)*($D$10:$L$10-($D$9:$L$9+INT(($S$12:$AA$12+INDEX($AJ$13:$AR$162,BN4205,0)+INDEX($AT$13:$BB$162,BO4205,0)+INDEX($BD$13:$BL$162,BP4205,0))/100)))),0)</f>
        <v/>
      </c>
      <c r="BS4205">
        <f>IF(4192&lt;$U$9,SUMPRODUCT(($D$9:$L$9+INT(($S$12:$AA$12+INDEX($AJ$13:$AR$162,BN4205,0)+INDEX($AT$13:$BB$162,BO4205,0)+INDEX($BD$13:$BL$162,BP4205,0))/100))),0)</f>
        <v/>
      </c>
      <c r="BT4205">
        <f>IF(AND(4192&lt;$U$9,$W$5),BQ4205*1000000-MIN(BR4205,999)*1000+BS4205-4192/100000,-1000000000-4192)</f>
        <v/>
      </c>
    </row>
    <row r="4206">
      <c r="BN4206">
        <f>IF(4193&lt;$U$9,INT(4193/($U$7*$U$8))+1,1)</f>
        <v/>
      </c>
      <c r="BO4206">
        <f>IF(4193&lt;$U$9,MOD(INT(4193/$U$8),$U$7)+1,1)</f>
        <v/>
      </c>
      <c r="BP4206">
        <f>IF(4193&lt;$U$9,MOD(4193,$U$8)+1,1)</f>
        <v/>
      </c>
      <c r="BQ4206">
        <f>IF(4193&lt;$U$9,SUMPRODUCT(($D$10:$L$10&lt;&gt;"")*(($D$9:$L$9+INT(($S$12:$AA$12+INDEX($AJ$13:$AR$162,BN4206,0)+INDEX($AT$13:$BB$162,BO4206,0)+INDEX($BD$13:$BL$162,BP4206,0))/100))&gt;=$D$10:$L$10)),0)</f>
        <v/>
      </c>
      <c r="BR4206">
        <f>IF(4193&lt;$U$9,SUMPRODUCT(($D$10:$L$10&lt;&gt;"")*(($D$10:$L$10-($D$9:$L$9+INT(($S$12:$AA$12+INDEX($AJ$13:$AR$162,BN4206,0)+INDEX($AT$13:$BB$162,BO4206,0)+INDEX($BD$13:$BL$162,BP4206,0))/100)))&gt;0)*($D$10:$L$10-($D$9:$L$9+INT(($S$12:$AA$12+INDEX($AJ$13:$AR$162,BN4206,0)+INDEX($AT$13:$BB$162,BO4206,0)+INDEX($BD$13:$BL$162,BP4206,0))/100)))),0)</f>
        <v/>
      </c>
      <c r="BS4206">
        <f>IF(4193&lt;$U$9,SUMPRODUCT(($D$9:$L$9+INT(($S$12:$AA$12+INDEX($AJ$13:$AR$162,BN4206,0)+INDEX($AT$13:$BB$162,BO4206,0)+INDEX($BD$13:$BL$162,BP4206,0))/100))),0)</f>
        <v/>
      </c>
      <c r="BT4206">
        <f>IF(AND(4193&lt;$U$9,$W$5),BQ4206*1000000-MIN(BR4206,999)*1000+BS4206-4193/100000,-1000000000-4193)</f>
        <v/>
      </c>
    </row>
    <row r="4207">
      <c r="BN4207">
        <f>IF(4194&lt;$U$9,INT(4194/($U$7*$U$8))+1,1)</f>
        <v/>
      </c>
      <c r="BO4207">
        <f>IF(4194&lt;$U$9,MOD(INT(4194/$U$8),$U$7)+1,1)</f>
        <v/>
      </c>
      <c r="BP4207">
        <f>IF(4194&lt;$U$9,MOD(4194,$U$8)+1,1)</f>
        <v/>
      </c>
      <c r="BQ4207">
        <f>IF(4194&lt;$U$9,SUMPRODUCT(($D$10:$L$10&lt;&gt;"")*(($D$9:$L$9+INT(($S$12:$AA$12+INDEX($AJ$13:$AR$162,BN4207,0)+INDEX($AT$13:$BB$162,BO4207,0)+INDEX($BD$13:$BL$162,BP4207,0))/100))&gt;=$D$10:$L$10)),0)</f>
        <v/>
      </c>
      <c r="BR4207">
        <f>IF(4194&lt;$U$9,SUMPRODUCT(($D$10:$L$10&lt;&gt;"")*(($D$10:$L$10-($D$9:$L$9+INT(($S$12:$AA$12+INDEX($AJ$13:$AR$162,BN4207,0)+INDEX($AT$13:$BB$162,BO4207,0)+INDEX($BD$13:$BL$162,BP4207,0))/100)))&gt;0)*($D$10:$L$10-($D$9:$L$9+INT(($S$12:$AA$12+INDEX($AJ$13:$AR$162,BN4207,0)+INDEX($AT$13:$BB$162,BO4207,0)+INDEX($BD$13:$BL$162,BP4207,0))/100)))),0)</f>
        <v/>
      </c>
      <c r="BS4207">
        <f>IF(4194&lt;$U$9,SUMPRODUCT(($D$9:$L$9+INT(($S$12:$AA$12+INDEX($AJ$13:$AR$162,BN4207,0)+INDEX($AT$13:$BB$162,BO4207,0)+INDEX($BD$13:$BL$162,BP4207,0))/100))),0)</f>
        <v/>
      </c>
      <c r="BT4207">
        <f>IF(AND(4194&lt;$U$9,$W$5),BQ4207*1000000-MIN(BR4207,999)*1000+BS4207-4194/100000,-1000000000-4194)</f>
        <v/>
      </c>
    </row>
    <row r="4208">
      <c r="BN4208">
        <f>IF(4195&lt;$U$9,INT(4195/($U$7*$U$8))+1,1)</f>
        <v/>
      </c>
      <c r="BO4208">
        <f>IF(4195&lt;$U$9,MOD(INT(4195/$U$8),$U$7)+1,1)</f>
        <v/>
      </c>
      <c r="BP4208">
        <f>IF(4195&lt;$U$9,MOD(4195,$U$8)+1,1)</f>
        <v/>
      </c>
      <c r="BQ4208">
        <f>IF(4195&lt;$U$9,SUMPRODUCT(($D$10:$L$10&lt;&gt;"")*(($D$9:$L$9+INT(($S$12:$AA$12+INDEX($AJ$13:$AR$162,BN4208,0)+INDEX($AT$13:$BB$162,BO4208,0)+INDEX($BD$13:$BL$162,BP4208,0))/100))&gt;=$D$10:$L$10)),0)</f>
        <v/>
      </c>
      <c r="BR4208">
        <f>IF(4195&lt;$U$9,SUMPRODUCT(($D$10:$L$10&lt;&gt;"")*(($D$10:$L$10-($D$9:$L$9+INT(($S$12:$AA$12+INDEX($AJ$13:$AR$162,BN4208,0)+INDEX($AT$13:$BB$162,BO4208,0)+INDEX($BD$13:$BL$162,BP4208,0))/100)))&gt;0)*($D$10:$L$10-($D$9:$L$9+INT(($S$12:$AA$12+INDEX($AJ$13:$AR$162,BN4208,0)+INDEX($AT$13:$BB$162,BO4208,0)+INDEX($BD$13:$BL$162,BP4208,0))/100)))),0)</f>
        <v/>
      </c>
      <c r="BS4208">
        <f>IF(4195&lt;$U$9,SUMPRODUCT(($D$9:$L$9+INT(($S$12:$AA$12+INDEX($AJ$13:$AR$162,BN4208,0)+INDEX($AT$13:$BB$162,BO4208,0)+INDEX($BD$13:$BL$162,BP4208,0))/100))),0)</f>
        <v/>
      </c>
      <c r="BT4208">
        <f>IF(AND(4195&lt;$U$9,$W$5),BQ4208*1000000-MIN(BR4208,999)*1000+BS4208-4195/100000,-1000000000-4195)</f>
        <v/>
      </c>
    </row>
    <row r="4209">
      <c r="BN4209">
        <f>IF(4196&lt;$U$9,INT(4196/($U$7*$U$8))+1,1)</f>
        <v/>
      </c>
      <c r="BO4209">
        <f>IF(4196&lt;$U$9,MOD(INT(4196/$U$8),$U$7)+1,1)</f>
        <v/>
      </c>
      <c r="BP4209">
        <f>IF(4196&lt;$U$9,MOD(4196,$U$8)+1,1)</f>
        <v/>
      </c>
      <c r="BQ4209">
        <f>IF(4196&lt;$U$9,SUMPRODUCT(($D$10:$L$10&lt;&gt;"")*(($D$9:$L$9+INT(($S$12:$AA$12+INDEX($AJ$13:$AR$162,BN4209,0)+INDEX($AT$13:$BB$162,BO4209,0)+INDEX($BD$13:$BL$162,BP4209,0))/100))&gt;=$D$10:$L$10)),0)</f>
        <v/>
      </c>
      <c r="BR4209">
        <f>IF(4196&lt;$U$9,SUMPRODUCT(($D$10:$L$10&lt;&gt;"")*(($D$10:$L$10-($D$9:$L$9+INT(($S$12:$AA$12+INDEX($AJ$13:$AR$162,BN4209,0)+INDEX($AT$13:$BB$162,BO4209,0)+INDEX($BD$13:$BL$162,BP4209,0))/100)))&gt;0)*($D$10:$L$10-($D$9:$L$9+INT(($S$12:$AA$12+INDEX($AJ$13:$AR$162,BN4209,0)+INDEX($AT$13:$BB$162,BO4209,0)+INDEX($BD$13:$BL$162,BP4209,0))/100)))),0)</f>
        <v/>
      </c>
      <c r="BS4209">
        <f>IF(4196&lt;$U$9,SUMPRODUCT(($D$9:$L$9+INT(($S$12:$AA$12+INDEX($AJ$13:$AR$162,BN4209,0)+INDEX($AT$13:$BB$162,BO4209,0)+INDEX($BD$13:$BL$162,BP4209,0))/100))),0)</f>
        <v/>
      </c>
      <c r="BT4209">
        <f>IF(AND(4196&lt;$U$9,$W$5),BQ4209*1000000-MIN(BR4209,999)*1000+BS4209-4196/100000,-1000000000-4196)</f>
        <v/>
      </c>
    </row>
    <row r="4210">
      <c r="BN4210">
        <f>IF(4197&lt;$U$9,INT(4197/($U$7*$U$8))+1,1)</f>
        <v/>
      </c>
      <c r="BO4210">
        <f>IF(4197&lt;$U$9,MOD(INT(4197/$U$8),$U$7)+1,1)</f>
        <v/>
      </c>
      <c r="BP4210">
        <f>IF(4197&lt;$U$9,MOD(4197,$U$8)+1,1)</f>
        <v/>
      </c>
      <c r="BQ4210">
        <f>IF(4197&lt;$U$9,SUMPRODUCT(($D$10:$L$10&lt;&gt;"")*(($D$9:$L$9+INT(($S$12:$AA$12+INDEX($AJ$13:$AR$162,BN4210,0)+INDEX($AT$13:$BB$162,BO4210,0)+INDEX($BD$13:$BL$162,BP4210,0))/100))&gt;=$D$10:$L$10)),0)</f>
        <v/>
      </c>
      <c r="BR4210">
        <f>IF(4197&lt;$U$9,SUMPRODUCT(($D$10:$L$10&lt;&gt;"")*(($D$10:$L$10-($D$9:$L$9+INT(($S$12:$AA$12+INDEX($AJ$13:$AR$162,BN4210,0)+INDEX($AT$13:$BB$162,BO4210,0)+INDEX($BD$13:$BL$162,BP4210,0))/100)))&gt;0)*($D$10:$L$10-($D$9:$L$9+INT(($S$12:$AA$12+INDEX($AJ$13:$AR$162,BN4210,0)+INDEX($AT$13:$BB$162,BO4210,0)+INDEX($BD$13:$BL$162,BP4210,0))/100)))),0)</f>
        <v/>
      </c>
      <c r="BS4210">
        <f>IF(4197&lt;$U$9,SUMPRODUCT(($D$9:$L$9+INT(($S$12:$AA$12+INDEX($AJ$13:$AR$162,BN4210,0)+INDEX($AT$13:$BB$162,BO4210,0)+INDEX($BD$13:$BL$162,BP4210,0))/100))),0)</f>
        <v/>
      </c>
      <c r="BT4210">
        <f>IF(AND(4197&lt;$U$9,$W$5),BQ4210*1000000-MIN(BR4210,999)*1000+BS4210-4197/100000,-1000000000-4197)</f>
        <v/>
      </c>
    </row>
    <row r="4211">
      <c r="BN4211">
        <f>IF(4198&lt;$U$9,INT(4198/($U$7*$U$8))+1,1)</f>
        <v/>
      </c>
      <c r="BO4211">
        <f>IF(4198&lt;$U$9,MOD(INT(4198/$U$8),$U$7)+1,1)</f>
        <v/>
      </c>
      <c r="BP4211">
        <f>IF(4198&lt;$U$9,MOD(4198,$U$8)+1,1)</f>
        <v/>
      </c>
      <c r="BQ4211">
        <f>IF(4198&lt;$U$9,SUMPRODUCT(($D$10:$L$10&lt;&gt;"")*(($D$9:$L$9+INT(($S$12:$AA$12+INDEX($AJ$13:$AR$162,BN4211,0)+INDEX($AT$13:$BB$162,BO4211,0)+INDEX($BD$13:$BL$162,BP4211,0))/100))&gt;=$D$10:$L$10)),0)</f>
        <v/>
      </c>
      <c r="BR4211">
        <f>IF(4198&lt;$U$9,SUMPRODUCT(($D$10:$L$10&lt;&gt;"")*(($D$10:$L$10-($D$9:$L$9+INT(($S$12:$AA$12+INDEX($AJ$13:$AR$162,BN4211,0)+INDEX($AT$13:$BB$162,BO4211,0)+INDEX($BD$13:$BL$162,BP4211,0))/100)))&gt;0)*($D$10:$L$10-($D$9:$L$9+INT(($S$12:$AA$12+INDEX($AJ$13:$AR$162,BN4211,0)+INDEX($AT$13:$BB$162,BO4211,0)+INDEX($BD$13:$BL$162,BP4211,0))/100)))),0)</f>
        <v/>
      </c>
      <c r="BS4211">
        <f>IF(4198&lt;$U$9,SUMPRODUCT(($D$9:$L$9+INT(($S$12:$AA$12+INDEX($AJ$13:$AR$162,BN4211,0)+INDEX($AT$13:$BB$162,BO4211,0)+INDEX($BD$13:$BL$162,BP4211,0))/100))),0)</f>
        <v/>
      </c>
      <c r="BT4211">
        <f>IF(AND(4198&lt;$U$9,$W$5),BQ4211*1000000-MIN(BR4211,999)*1000+BS4211-4198/100000,-1000000000-4198)</f>
        <v/>
      </c>
    </row>
    <row r="4212">
      <c r="BN4212">
        <f>IF(4199&lt;$U$9,INT(4199/($U$7*$U$8))+1,1)</f>
        <v/>
      </c>
      <c r="BO4212">
        <f>IF(4199&lt;$U$9,MOD(INT(4199/$U$8),$U$7)+1,1)</f>
        <v/>
      </c>
      <c r="BP4212">
        <f>IF(4199&lt;$U$9,MOD(4199,$U$8)+1,1)</f>
        <v/>
      </c>
      <c r="BQ4212">
        <f>IF(4199&lt;$U$9,SUMPRODUCT(($D$10:$L$10&lt;&gt;"")*(($D$9:$L$9+INT(($S$12:$AA$12+INDEX($AJ$13:$AR$162,BN4212,0)+INDEX($AT$13:$BB$162,BO4212,0)+INDEX($BD$13:$BL$162,BP4212,0))/100))&gt;=$D$10:$L$10)),0)</f>
        <v/>
      </c>
      <c r="BR4212">
        <f>IF(4199&lt;$U$9,SUMPRODUCT(($D$10:$L$10&lt;&gt;"")*(($D$10:$L$10-($D$9:$L$9+INT(($S$12:$AA$12+INDEX($AJ$13:$AR$162,BN4212,0)+INDEX($AT$13:$BB$162,BO4212,0)+INDEX($BD$13:$BL$162,BP4212,0))/100)))&gt;0)*($D$10:$L$10-($D$9:$L$9+INT(($S$12:$AA$12+INDEX($AJ$13:$AR$162,BN4212,0)+INDEX($AT$13:$BB$162,BO4212,0)+INDEX($BD$13:$BL$162,BP4212,0))/100)))),0)</f>
        <v/>
      </c>
      <c r="BS4212">
        <f>IF(4199&lt;$U$9,SUMPRODUCT(($D$9:$L$9+INT(($S$12:$AA$12+INDEX($AJ$13:$AR$162,BN4212,0)+INDEX($AT$13:$BB$162,BO4212,0)+INDEX($BD$13:$BL$162,BP4212,0))/100))),0)</f>
        <v/>
      </c>
      <c r="BT4212">
        <f>IF(AND(4199&lt;$U$9,$W$5),BQ4212*1000000-MIN(BR4212,999)*1000+BS4212-4199/100000,-1000000000-4199)</f>
        <v/>
      </c>
    </row>
    <row r="4213">
      <c r="BN4213">
        <f>IF(4200&lt;$U$9,INT(4200/($U$7*$U$8))+1,1)</f>
        <v/>
      </c>
      <c r="BO4213">
        <f>IF(4200&lt;$U$9,MOD(INT(4200/$U$8),$U$7)+1,1)</f>
        <v/>
      </c>
      <c r="BP4213">
        <f>IF(4200&lt;$U$9,MOD(4200,$U$8)+1,1)</f>
        <v/>
      </c>
      <c r="BQ4213">
        <f>IF(4200&lt;$U$9,SUMPRODUCT(($D$10:$L$10&lt;&gt;"")*(($D$9:$L$9+INT(($S$12:$AA$12+INDEX($AJ$13:$AR$162,BN4213,0)+INDEX($AT$13:$BB$162,BO4213,0)+INDEX($BD$13:$BL$162,BP4213,0))/100))&gt;=$D$10:$L$10)),0)</f>
        <v/>
      </c>
      <c r="BR4213">
        <f>IF(4200&lt;$U$9,SUMPRODUCT(($D$10:$L$10&lt;&gt;"")*(($D$10:$L$10-($D$9:$L$9+INT(($S$12:$AA$12+INDEX($AJ$13:$AR$162,BN4213,0)+INDEX($AT$13:$BB$162,BO4213,0)+INDEX($BD$13:$BL$162,BP4213,0))/100)))&gt;0)*($D$10:$L$10-($D$9:$L$9+INT(($S$12:$AA$12+INDEX($AJ$13:$AR$162,BN4213,0)+INDEX($AT$13:$BB$162,BO4213,0)+INDEX($BD$13:$BL$162,BP4213,0))/100)))),0)</f>
        <v/>
      </c>
      <c r="BS4213">
        <f>IF(4200&lt;$U$9,SUMPRODUCT(($D$9:$L$9+INT(($S$12:$AA$12+INDEX($AJ$13:$AR$162,BN4213,0)+INDEX($AT$13:$BB$162,BO4213,0)+INDEX($BD$13:$BL$162,BP4213,0))/100))),0)</f>
        <v/>
      </c>
      <c r="BT4213">
        <f>IF(AND(4200&lt;$U$9,$W$5),BQ4213*1000000-MIN(BR4213,999)*1000+BS4213-4200/100000,-1000000000-4200)</f>
        <v/>
      </c>
    </row>
    <row r="4214">
      <c r="BN4214">
        <f>IF(4201&lt;$U$9,INT(4201/($U$7*$U$8))+1,1)</f>
        <v/>
      </c>
      <c r="BO4214">
        <f>IF(4201&lt;$U$9,MOD(INT(4201/$U$8),$U$7)+1,1)</f>
        <v/>
      </c>
      <c r="BP4214">
        <f>IF(4201&lt;$U$9,MOD(4201,$U$8)+1,1)</f>
        <v/>
      </c>
      <c r="BQ4214">
        <f>IF(4201&lt;$U$9,SUMPRODUCT(($D$10:$L$10&lt;&gt;"")*(($D$9:$L$9+INT(($S$12:$AA$12+INDEX($AJ$13:$AR$162,BN4214,0)+INDEX($AT$13:$BB$162,BO4214,0)+INDEX($BD$13:$BL$162,BP4214,0))/100))&gt;=$D$10:$L$10)),0)</f>
        <v/>
      </c>
      <c r="BR4214">
        <f>IF(4201&lt;$U$9,SUMPRODUCT(($D$10:$L$10&lt;&gt;"")*(($D$10:$L$10-($D$9:$L$9+INT(($S$12:$AA$12+INDEX($AJ$13:$AR$162,BN4214,0)+INDEX($AT$13:$BB$162,BO4214,0)+INDEX($BD$13:$BL$162,BP4214,0))/100)))&gt;0)*($D$10:$L$10-($D$9:$L$9+INT(($S$12:$AA$12+INDEX($AJ$13:$AR$162,BN4214,0)+INDEX($AT$13:$BB$162,BO4214,0)+INDEX($BD$13:$BL$162,BP4214,0))/100)))),0)</f>
        <v/>
      </c>
      <c r="BS4214">
        <f>IF(4201&lt;$U$9,SUMPRODUCT(($D$9:$L$9+INT(($S$12:$AA$12+INDEX($AJ$13:$AR$162,BN4214,0)+INDEX($AT$13:$BB$162,BO4214,0)+INDEX($BD$13:$BL$162,BP4214,0))/100))),0)</f>
        <v/>
      </c>
      <c r="BT4214">
        <f>IF(AND(4201&lt;$U$9,$W$5),BQ4214*1000000-MIN(BR4214,999)*1000+BS4214-4201/100000,-1000000000-4201)</f>
        <v/>
      </c>
    </row>
    <row r="4215">
      <c r="BN4215">
        <f>IF(4202&lt;$U$9,INT(4202/($U$7*$U$8))+1,1)</f>
        <v/>
      </c>
      <c r="BO4215">
        <f>IF(4202&lt;$U$9,MOD(INT(4202/$U$8),$U$7)+1,1)</f>
        <v/>
      </c>
      <c r="BP4215">
        <f>IF(4202&lt;$U$9,MOD(4202,$U$8)+1,1)</f>
        <v/>
      </c>
      <c r="BQ4215">
        <f>IF(4202&lt;$U$9,SUMPRODUCT(($D$10:$L$10&lt;&gt;"")*(($D$9:$L$9+INT(($S$12:$AA$12+INDEX($AJ$13:$AR$162,BN4215,0)+INDEX($AT$13:$BB$162,BO4215,0)+INDEX($BD$13:$BL$162,BP4215,0))/100))&gt;=$D$10:$L$10)),0)</f>
        <v/>
      </c>
      <c r="BR4215">
        <f>IF(4202&lt;$U$9,SUMPRODUCT(($D$10:$L$10&lt;&gt;"")*(($D$10:$L$10-($D$9:$L$9+INT(($S$12:$AA$12+INDEX($AJ$13:$AR$162,BN4215,0)+INDEX($AT$13:$BB$162,BO4215,0)+INDEX($BD$13:$BL$162,BP4215,0))/100)))&gt;0)*($D$10:$L$10-($D$9:$L$9+INT(($S$12:$AA$12+INDEX($AJ$13:$AR$162,BN4215,0)+INDEX($AT$13:$BB$162,BO4215,0)+INDEX($BD$13:$BL$162,BP4215,0))/100)))),0)</f>
        <v/>
      </c>
      <c r="BS4215">
        <f>IF(4202&lt;$U$9,SUMPRODUCT(($D$9:$L$9+INT(($S$12:$AA$12+INDEX($AJ$13:$AR$162,BN4215,0)+INDEX($AT$13:$BB$162,BO4215,0)+INDEX($BD$13:$BL$162,BP4215,0))/100))),0)</f>
        <v/>
      </c>
      <c r="BT4215">
        <f>IF(AND(4202&lt;$U$9,$W$5),BQ4215*1000000-MIN(BR4215,999)*1000+BS4215-4202/100000,-1000000000-4202)</f>
        <v/>
      </c>
    </row>
    <row r="4216">
      <c r="BN4216">
        <f>IF(4203&lt;$U$9,INT(4203/($U$7*$U$8))+1,1)</f>
        <v/>
      </c>
      <c r="BO4216">
        <f>IF(4203&lt;$U$9,MOD(INT(4203/$U$8),$U$7)+1,1)</f>
        <v/>
      </c>
      <c r="BP4216">
        <f>IF(4203&lt;$U$9,MOD(4203,$U$8)+1,1)</f>
        <v/>
      </c>
      <c r="BQ4216">
        <f>IF(4203&lt;$U$9,SUMPRODUCT(($D$10:$L$10&lt;&gt;"")*(($D$9:$L$9+INT(($S$12:$AA$12+INDEX($AJ$13:$AR$162,BN4216,0)+INDEX($AT$13:$BB$162,BO4216,0)+INDEX($BD$13:$BL$162,BP4216,0))/100))&gt;=$D$10:$L$10)),0)</f>
        <v/>
      </c>
      <c r="BR4216">
        <f>IF(4203&lt;$U$9,SUMPRODUCT(($D$10:$L$10&lt;&gt;"")*(($D$10:$L$10-($D$9:$L$9+INT(($S$12:$AA$12+INDEX($AJ$13:$AR$162,BN4216,0)+INDEX($AT$13:$BB$162,BO4216,0)+INDEX($BD$13:$BL$162,BP4216,0))/100)))&gt;0)*($D$10:$L$10-($D$9:$L$9+INT(($S$12:$AA$12+INDEX($AJ$13:$AR$162,BN4216,0)+INDEX($AT$13:$BB$162,BO4216,0)+INDEX($BD$13:$BL$162,BP4216,0))/100)))),0)</f>
        <v/>
      </c>
      <c r="BS4216">
        <f>IF(4203&lt;$U$9,SUMPRODUCT(($D$9:$L$9+INT(($S$12:$AA$12+INDEX($AJ$13:$AR$162,BN4216,0)+INDEX($AT$13:$BB$162,BO4216,0)+INDEX($BD$13:$BL$162,BP4216,0))/100))),0)</f>
        <v/>
      </c>
      <c r="BT4216">
        <f>IF(AND(4203&lt;$U$9,$W$5),BQ4216*1000000-MIN(BR4216,999)*1000+BS4216-4203/100000,-1000000000-4203)</f>
        <v/>
      </c>
    </row>
    <row r="4217">
      <c r="BN4217">
        <f>IF(4204&lt;$U$9,INT(4204/($U$7*$U$8))+1,1)</f>
        <v/>
      </c>
      <c r="BO4217">
        <f>IF(4204&lt;$U$9,MOD(INT(4204/$U$8),$U$7)+1,1)</f>
        <v/>
      </c>
      <c r="BP4217">
        <f>IF(4204&lt;$U$9,MOD(4204,$U$8)+1,1)</f>
        <v/>
      </c>
      <c r="BQ4217">
        <f>IF(4204&lt;$U$9,SUMPRODUCT(($D$10:$L$10&lt;&gt;"")*(($D$9:$L$9+INT(($S$12:$AA$12+INDEX($AJ$13:$AR$162,BN4217,0)+INDEX($AT$13:$BB$162,BO4217,0)+INDEX($BD$13:$BL$162,BP4217,0))/100))&gt;=$D$10:$L$10)),0)</f>
        <v/>
      </c>
      <c r="BR4217">
        <f>IF(4204&lt;$U$9,SUMPRODUCT(($D$10:$L$10&lt;&gt;"")*(($D$10:$L$10-($D$9:$L$9+INT(($S$12:$AA$12+INDEX($AJ$13:$AR$162,BN4217,0)+INDEX($AT$13:$BB$162,BO4217,0)+INDEX($BD$13:$BL$162,BP4217,0))/100)))&gt;0)*($D$10:$L$10-($D$9:$L$9+INT(($S$12:$AA$12+INDEX($AJ$13:$AR$162,BN4217,0)+INDEX($AT$13:$BB$162,BO4217,0)+INDEX($BD$13:$BL$162,BP4217,0))/100)))),0)</f>
        <v/>
      </c>
      <c r="BS4217">
        <f>IF(4204&lt;$U$9,SUMPRODUCT(($D$9:$L$9+INT(($S$12:$AA$12+INDEX($AJ$13:$AR$162,BN4217,0)+INDEX($AT$13:$BB$162,BO4217,0)+INDEX($BD$13:$BL$162,BP4217,0))/100))),0)</f>
        <v/>
      </c>
      <c r="BT4217">
        <f>IF(AND(4204&lt;$U$9,$W$5),BQ4217*1000000-MIN(BR4217,999)*1000+BS4217-4204/100000,-1000000000-4204)</f>
        <v/>
      </c>
    </row>
    <row r="4218">
      <c r="BN4218">
        <f>IF(4205&lt;$U$9,INT(4205/($U$7*$U$8))+1,1)</f>
        <v/>
      </c>
      <c r="BO4218">
        <f>IF(4205&lt;$U$9,MOD(INT(4205/$U$8),$U$7)+1,1)</f>
        <v/>
      </c>
      <c r="BP4218">
        <f>IF(4205&lt;$U$9,MOD(4205,$U$8)+1,1)</f>
        <v/>
      </c>
      <c r="BQ4218">
        <f>IF(4205&lt;$U$9,SUMPRODUCT(($D$10:$L$10&lt;&gt;"")*(($D$9:$L$9+INT(($S$12:$AA$12+INDEX($AJ$13:$AR$162,BN4218,0)+INDEX($AT$13:$BB$162,BO4218,0)+INDEX($BD$13:$BL$162,BP4218,0))/100))&gt;=$D$10:$L$10)),0)</f>
        <v/>
      </c>
      <c r="BR4218">
        <f>IF(4205&lt;$U$9,SUMPRODUCT(($D$10:$L$10&lt;&gt;"")*(($D$10:$L$10-($D$9:$L$9+INT(($S$12:$AA$12+INDEX($AJ$13:$AR$162,BN4218,0)+INDEX($AT$13:$BB$162,BO4218,0)+INDEX($BD$13:$BL$162,BP4218,0))/100)))&gt;0)*($D$10:$L$10-($D$9:$L$9+INT(($S$12:$AA$12+INDEX($AJ$13:$AR$162,BN4218,0)+INDEX($AT$13:$BB$162,BO4218,0)+INDEX($BD$13:$BL$162,BP4218,0))/100)))),0)</f>
        <v/>
      </c>
      <c r="BS4218">
        <f>IF(4205&lt;$U$9,SUMPRODUCT(($D$9:$L$9+INT(($S$12:$AA$12+INDEX($AJ$13:$AR$162,BN4218,0)+INDEX($AT$13:$BB$162,BO4218,0)+INDEX($BD$13:$BL$162,BP4218,0))/100))),0)</f>
        <v/>
      </c>
      <c r="BT4218">
        <f>IF(AND(4205&lt;$U$9,$W$5),BQ4218*1000000-MIN(BR4218,999)*1000+BS4218-4205/100000,-1000000000-4205)</f>
        <v/>
      </c>
    </row>
    <row r="4219">
      <c r="BN4219">
        <f>IF(4206&lt;$U$9,INT(4206/($U$7*$U$8))+1,1)</f>
        <v/>
      </c>
      <c r="BO4219">
        <f>IF(4206&lt;$U$9,MOD(INT(4206/$U$8),$U$7)+1,1)</f>
        <v/>
      </c>
      <c r="BP4219">
        <f>IF(4206&lt;$U$9,MOD(4206,$U$8)+1,1)</f>
        <v/>
      </c>
      <c r="BQ4219">
        <f>IF(4206&lt;$U$9,SUMPRODUCT(($D$10:$L$10&lt;&gt;"")*(($D$9:$L$9+INT(($S$12:$AA$12+INDEX($AJ$13:$AR$162,BN4219,0)+INDEX($AT$13:$BB$162,BO4219,0)+INDEX($BD$13:$BL$162,BP4219,0))/100))&gt;=$D$10:$L$10)),0)</f>
        <v/>
      </c>
      <c r="BR4219">
        <f>IF(4206&lt;$U$9,SUMPRODUCT(($D$10:$L$10&lt;&gt;"")*(($D$10:$L$10-($D$9:$L$9+INT(($S$12:$AA$12+INDEX($AJ$13:$AR$162,BN4219,0)+INDEX($AT$13:$BB$162,BO4219,0)+INDEX($BD$13:$BL$162,BP4219,0))/100)))&gt;0)*($D$10:$L$10-($D$9:$L$9+INT(($S$12:$AA$12+INDEX($AJ$13:$AR$162,BN4219,0)+INDEX($AT$13:$BB$162,BO4219,0)+INDEX($BD$13:$BL$162,BP4219,0))/100)))),0)</f>
        <v/>
      </c>
      <c r="BS4219">
        <f>IF(4206&lt;$U$9,SUMPRODUCT(($D$9:$L$9+INT(($S$12:$AA$12+INDEX($AJ$13:$AR$162,BN4219,0)+INDEX($AT$13:$BB$162,BO4219,0)+INDEX($BD$13:$BL$162,BP4219,0))/100))),0)</f>
        <v/>
      </c>
      <c r="BT4219">
        <f>IF(AND(4206&lt;$U$9,$W$5),BQ4219*1000000-MIN(BR4219,999)*1000+BS4219-4206/100000,-1000000000-4206)</f>
        <v/>
      </c>
    </row>
    <row r="4220">
      <c r="BN4220">
        <f>IF(4207&lt;$U$9,INT(4207/($U$7*$U$8))+1,1)</f>
        <v/>
      </c>
      <c r="BO4220">
        <f>IF(4207&lt;$U$9,MOD(INT(4207/$U$8),$U$7)+1,1)</f>
        <v/>
      </c>
      <c r="BP4220">
        <f>IF(4207&lt;$U$9,MOD(4207,$U$8)+1,1)</f>
        <v/>
      </c>
      <c r="BQ4220">
        <f>IF(4207&lt;$U$9,SUMPRODUCT(($D$10:$L$10&lt;&gt;"")*(($D$9:$L$9+INT(($S$12:$AA$12+INDEX($AJ$13:$AR$162,BN4220,0)+INDEX($AT$13:$BB$162,BO4220,0)+INDEX($BD$13:$BL$162,BP4220,0))/100))&gt;=$D$10:$L$10)),0)</f>
        <v/>
      </c>
      <c r="BR4220">
        <f>IF(4207&lt;$U$9,SUMPRODUCT(($D$10:$L$10&lt;&gt;"")*(($D$10:$L$10-($D$9:$L$9+INT(($S$12:$AA$12+INDEX($AJ$13:$AR$162,BN4220,0)+INDEX($AT$13:$BB$162,BO4220,0)+INDEX($BD$13:$BL$162,BP4220,0))/100)))&gt;0)*($D$10:$L$10-($D$9:$L$9+INT(($S$12:$AA$12+INDEX($AJ$13:$AR$162,BN4220,0)+INDEX($AT$13:$BB$162,BO4220,0)+INDEX($BD$13:$BL$162,BP4220,0))/100)))),0)</f>
        <v/>
      </c>
      <c r="BS4220">
        <f>IF(4207&lt;$U$9,SUMPRODUCT(($D$9:$L$9+INT(($S$12:$AA$12+INDEX($AJ$13:$AR$162,BN4220,0)+INDEX($AT$13:$BB$162,BO4220,0)+INDEX($BD$13:$BL$162,BP4220,0))/100))),0)</f>
        <v/>
      </c>
      <c r="BT4220">
        <f>IF(AND(4207&lt;$U$9,$W$5),BQ4220*1000000-MIN(BR4220,999)*1000+BS4220-4207/100000,-1000000000-4207)</f>
        <v/>
      </c>
    </row>
    <row r="4221">
      <c r="BN4221">
        <f>IF(4208&lt;$U$9,INT(4208/($U$7*$U$8))+1,1)</f>
        <v/>
      </c>
      <c r="BO4221">
        <f>IF(4208&lt;$U$9,MOD(INT(4208/$U$8),$U$7)+1,1)</f>
        <v/>
      </c>
      <c r="BP4221">
        <f>IF(4208&lt;$U$9,MOD(4208,$U$8)+1,1)</f>
        <v/>
      </c>
      <c r="BQ4221">
        <f>IF(4208&lt;$U$9,SUMPRODUCT(($D$10:$L$10&lt;&gt;"")*(($D$9:$L$9+INT(($S$12:$AA$12+INDEX($AJ$13:$AR$162,BN4221,0)+INDEX($AT$13:$BB$162,BO4221,0)+INDEX($BD$13:$BL$162,BP4221,0))/100))&gt;=$D$10:$L$10)),0)</f>
        <v/>
      </c>
      <c r="BR4221">
        <f>IF(4208&lt;$U$9,SUMPRODUCT(($D$10:$L$10&lt;&gt;"")*(($D$10:$L$10-($D$9:$L$9+INT(($S$12:$AA$12+INDEX($AJ$13:$AR$162,BN4221,0)+INDEX($AT$13:$BB$162,BO4221,0)+INDEX($BD$13:$BL$162,BP4221,0))/100)))&gt;0)*($D$10:$L$10-($D$9:$L$9+INT(($S$12:$AA$12+INDEX($AJ$13:$AR$162,BN4221,0)+INDEX($AT$13:$BB$162,BO4221,0)+INDEX($BD$13:$BL$162,BP4221,0))/100)))),0)</f>
        <v/>
      </c>
      <c r="BS4221">
        <f>IF(4208&lt;$U$9,SUMPRODUCT(($D$9:$L$9+INT(($S$12:$AA$12+INDEX($AJ$13:$AR$162,BN4221,0)+INDEX($AT$13:$BB$162,BO4221,0)+INDEX($BD$13:$BL$162,BP4221,0))/100))),0)</f>
        <v/>
      </c>
      <c r="BT4221">
        <f>IF(AND(4208&lt;$U$9,$W$5),BQ4221*1000000-MIN(BR4221,999)*1000+BS4221-4208/100000,-1000000000-4208)</f>
        <v/>
      </c>
    </row>
    <row r="4222">
      <c r="BN4222">
        <f>IF(4209&lt;$U$9,INT(4209/($U$7*$U$8))+1,1)</f>
        <v/>
      </c>
      <c r="BO4222">
        <f>IF(4209&lt;$U$9,MOD(INT(4209/$U$8),$U$7)+1,1)</f>
        <v/>
      </c>
      <c r="BP4222">
        <f>IF(4209&lt;$U$9,MOD(4209,$U$8)+1,1)</f>
        <v/>
      </c>
      <c r="BQ4222">
        <f>IF(4209&lt;$U$9,SUMPRODUCT(($D$10:$L$10&lt;&gt;"")*(($D$9:$L$9+INT(($S$12:$AA$12+INDEX($AJ$13:$AR$162,BN4222,0)+INDEX($AT$13:$BB$162,BO4222,0)+INDEX($BD$13:$BL$162,BP4222,0))/100))&gt;=$D$10:$L$10)),0)</f>
        <v/>
      </c>
      <c r="BR4222">
        <f>IF(4209&lt;$U$9,SUMPRODUCT(($D$10:$L$10&lt;&gt;"")*(($D$10:$L$10-($D$9:$L$9+INT(($S$12:$AA$12+INDEX($AJ$13:$AR$162,BN4222,0)+INDEX($AT$13:$BB$162,BO4222,0)+INDEX($BD$13:$BL$162,BP4222,0))/100)))&gt;0)*($D$10:$L$10-($D$9:$L$9+INT(($S$12:$AA$12+INDEX($AJ$13:$AR$162,BN4222,0)+INDEX($AT$13:$BB$162,BO4222,0)+INDEX($BD$13:$BL$162,BP4222,0))/100)))),0)</f>
        <v/>
      </c>
      <c r="BS4222">
        <f>IF(4209&lt;$U$9,SUMPRODUCT(($D$9:$L$9+INT(($S$12:$AA$12+INDEX($AJ$13:$AR$162,BN4222,0)+INDEX($AT$13:$BB$162,BO4222,0)+INDEX($BD$13:$BL$162,BP4222,0))/100))),0)</f>
        <v/>
      </c>
      <c r="BT4222">
        <f>IF(AND(4209&lt;$U$9,$W$5),BQ4222*1000000-MIN(BR4222,999)*1000+BS4222-4209/100000,-1000000000-4209)</f>
        <v/>
      </c>
    </row>
    <row r="4223">
      <c r="BN4223">
        <f>IF(4210&lt;$U$9,INT(4210/($U$7*$U$8))+1,1)</f>
        <v/>
      </c>
      <c r="BO4223">
        <f>IF(4210&lt;$U$9,MOD(INT(4210/$U$8),$U$7)+1,1)</f>
        <v/>
      </c>
      <c r="BP4223">
        <f>IF(4210&lt;$U$9,MOD(4210,$U$8)+1,1)</f>
        <v/>
      </c>
      <c r="BQ4223">
        <f>IF(4210&lt;$U$9,SUMPRODUCT(($D$10:$L$10&lt;&gt;"")*(($D$9:$L$9+INT(($S$12:$AA$12+INDEX($AJ$13:$AR$162,BN4223,0)+INDEX($AT$13:$BB$162,BO4223,0)+INDEX($BD$13:$BL$162,BP4223,0))/100))&gt;=$D$10:$L$10)),0)</f>
        <v/>
      </c>
      <c r="BR4223">
        <f>IF(4210&lt;$U$9,SUMPRODUCT(($D$10:$L$10&lt;&gt;"")*(($D$10:$L$10-($D$9:$L$9+INT(($S$12:$AA$12+INDEX($AJ$13:$AR$162,BN4223,0)+INDEX($AT$13:$BB$162,BO4223,0)+INDEX($BD$13:$BL$162,BP4223,0))/100)))&gt;0)*($D$10:$L$10-($D$9:$L$9+INT(($S$12:$AA$12+INDEX($AJ$13:$AR$162,BN4223,0)+INDEX($AT$13:$BB$162,BO4223,0)+INDEX($BD$13:$BL$162,BP4223,0))/100)))),0)</f>
        <v/>
      </c>
      <c r="BS4223">
        <f>IF(4210&lt;$U$9,SUMPRODUCT(($D$9:$L$9+INT(($S$12:$AA$12+INDEX($AJ$13:$AR$162,BN4223,0)+INDEX($AT$13:$BB$162,BO4223,0)+INDEX($BD$13:$BL$162,BP4223,0))/100))),0)</f>
        <v/>
      </c>
      <c r="BT4223">
        <f>IF(AND(4210&lt;$U$9,$W$5),BQ4223*1000000-MIN(BR4223,999)*1000+BS4223-4210/100000,-1000000000-4210)</f>
        <v/>
      </c>
    </row>
    <row r="4224">
      <c r="BN4224">
        <f>IF(4211&lt;$U$9,INT(4211/($U$7*$U$8))+1,1)</f>
        <v/>
      </c>
      <c r="BO4224">
        <f>IF(4211&lt;$U$9,MOD(INT(4211/$U$8),$U$7)+1,1)</f>
        <v/>
      </c>
      <c r="BP4224">
        <f>IF(4211&lt;$U$9,MOD(4211,$U$8)+1,1)</f>
        <v/>
      </c>
      <c r="BQ4224">
        <f>IF(4211&lt;$U$9,SUMPRODUCT(($D$10:$L$10&lt;&gt;"")*(($D$9:$L$9+INT(($S$12:$AA$12+INDEX($AJ$13:$AR$162,BN4224,0)+INDEX($AT$13:$BB$162,BO4224,0)+INDEX($BD$13:$BL$162,BP4224,0))/100))&gt;=$D$10:$L$10)),0)</f>
        <v/>
      </c>
      <c r="BR4224">
        <f>IF(4211&lt;$U$9,SUMPRODUCT(($D$10:$L$10&lt;&gt;"")*(($D$10:$L$10-($D$9:$L$9+INT(($S$12:$AA$12+INDEX($AJ$13:$AR$162,BN4224,0)+INDEX($AT$13:$BB$162,BO4224,0)+INDEX($BD$13:$BL$162,BP4224,0))/100)))&gt;0)*($D$10:$L$10-($D$9:$L$9+INT(($S$12:$AA$12+INDEX($AJ$13:$AR$162,BN4224,0)+INDEX($AT$13:$BB$162,BO4224,0)+INDEX($BD$13:$BL$162,BP4224,0))/100)))),0)</f>
        <v/>
      </c>
      <c r="BS4224">
        <f>IF(4211&lt;$U$9,SUMPRODUCT(($D$9:$L$9+INT(($S$12:$AA$12+INDEX($AJ$13:$AR$162,BN4224,0)+INDEX($AT$13:$BB$162,BO4224,0)+INDEX($BD$13:$BL$162,BP4224,0))/100))),0)</f>
        <v/>
      </c>
      <c r="BT4224">
        <f>IF(AND(4211&lt;$U$9,$W$5),BQ4224*1000000-MIN(BR4224,999)*1000+BS4224-4211/100000,-1000000000-4211)</f>
        <v/>
      </c>
    </row>
    <row r="4225">
      <c r="BN4225">
        <f>IF(4212&lt;$U$9,INT(4212/($U$7*$U$8))+1,1)</f>
        <v/>
      </c>
      <c r="BO4225">
        <f>IF(4212&lt;$U$9,MOD(INT(4212/$U$8),$U$7)+1,1)</f>
        <v/>
      </c>
      <c r="BP4225">
        <f>IF(4212&lt;$U$9,MOD(4212,$U$8)+1,1)</f>
        <v/>
      </c>
      <c r="BQ4225">
        <f>IF(4212&lt;$U$9,SUMPRODUCT(($D$10:$L$10&lt;&gt;"")*(($D$9:$L$9+INT(($S$12:$AA$12+INDEX($AJ$13:$AR$162,BN4225,0)+INDEX($AT$13:$BB$162,BO4225,0)+INDEX($BD$13:$BL$162,BP4225,0))/100))&gt;=$D$10:$L$10)),0)</f>
        <v/>
      </c>
      <c r="BR4225">
        <f>IF(4212&lt;$U$9,SUMPRODUCT(($D$10:$L$10&lt;&gt;"")*(($D$10:$L$10-($D$9:$L$9+INT(($S$12:$AA$12+INDEX($AJ$13:$AR$162,BN4225,0)+INDEX($AT$13:$BB$162,BO4225,0)+INDEX($BD$13:$BL$162,BP4225,0))/100)))&gt;0)*($D$10:$L$10-($D$9:$L$9+INT(($S$12:$AA$12+INDEX($AJ$13:$AR$162,BN4225,0)+INDEX($AT$13:$BB$162,BO4225,0)+INDEX($BD$13:$BL$162,BP4225,0))/100)))),0)</f>
        <v/>
      </c>
      <c r="BS4225">
        <f>IF(4212&lt;$U$9,SUMPRODUCT(($D$9:$L$9+INT(($S$12:$AA$12+INDEX($AJ$13:$AR$162,BN4225,0)+INDEX($AT$13:$BB$162,BO4225,0)+INDEX($BD$13:$BL$162,BP4225,0))/100))),0)</f>
        <v/>
      </c>
      <c r="BT4225">
        <f>IF(AND(4212&lt;$U$9,$W$5),BQ4225*1000000-MIN(BR4225,999)*1000+BS4225-4212/100000,-1000000000-4212)</f>
        <v/>
      </c>
    </row>
    <row r="4226">
      <c r="BN4226">
        <f>IF(4213&lt;$U$9,INT(4213/($U$7*$U$8))+1,1)</f>
        <v/>
      </c>
      <c r="BO4226">
        <f>IF(4213&lt;$U$9,MOD(INT(4213/$U$8),$U$7)+1,1)</f>
        <v/>
      </c>
      <c r="BP4226">
        <f>IF(4213&lt;$U$9,MOD(4213,$U$8)+1,1)</f>
        <v/>
      </c>
      <c r="BQ4226">
        <f>IF(4213&lt;$U$9,SUMPRODUCT(($D$10:$L$10&lt;&gt;"")*(($D$9:$L$9+INT(($S$12:$AA$12+INDEX($AJ$13:$AR$162,BN4226,0)+INDEX($AT$13:$BB$162,BO4226,0)+INDEX($BD$13:$BL$162,BP4226,0))/100))&gt;=$D$10:$L$10)),0)</f>
        <v/>
      </c>
      <c r="BR4226">
        <f>IF(4213&lt;$U$9,SUMPRODUCT(($D$10:$L$10&lt;&gt;"")*(($D$10:$L$10-($D$9:$L$9+INT(($S$12:$AA$12+INDEX($AJ$13:$AR$162,BN4226,0)+INDEX($AT$13:$BB$162,BO4226,0)+INDEX($BD$13:$BL$162,BP4226,0))/100)))&gt;0)*($D$10:$L$10-($D$9:$L$9+INT(($S$12:$AA$12+INDEX($AJ$13:$AR$162,BN4226,0)+INDEX($AT$13:$BB$162,BO4226,0)+INDEX($BD$13:$BL$162,BP4226,0))/100)))),0)</f>
        <v/>
      </c>
      <c r="BS4226">
        <f>IF(4213&lt;$U$9,SUMPRODUCT(($D$9:$L$9+INT(($S$12:$AA$12+INDEX($AJ$13:$AR$162,BN4226,0)+INDEX($AT$13:$BB$162,BO4226,0)+INDEX($BD$13:$BL$162,BP4226,0))/100))),0)</f>
        <v/>
      </c>
      <c r="BT4226">
        <f>IF(AND(4213&lt;$U$9,$W$5),BQ4226*1000000-MIN(BR4226,999)*1000+BS4226-4213/100000,-1000000000-4213)</f>
        <v/>
      </c>
    </row>
    <row r="4227">
      <c r="BN4227">
        <f>IF(4214&lt;$U$9,INT(4214/($U$7*$U$8))+1,1)</f>
        <v/>
      </c>
      <c r="BO4227">
        <f>IF(4214&lt;$U$9,MOD(INT(4214/$U$8),$U$7)+1,1)</f>
        <v/>
      </c>
      <c r="BP4227">
        <f>IF(4214&lt;$U$9,MOD(4214,$U$8)+1,1)</f>
        <v/>
      </c>
      <c r="BQ4227">
        <f>IF(4214&lt;$U$9,SUMPRODUCT(($D$10:$L$10&lt;&gt;"")*(($D$9:$L$9+INT(($S$12:$AA$12+INDEX($AJ$13:$AR$162,BN4227,0)+INDEX($AT$13:$BB$162,BO4227,0)+INDEX($BD$13:$BL$162,BP4227,0))/100))&gt;=$D$10:$L$10)),0)</f>
        <v/>
      </c>
      <c r="BR4227">
        <f>IF(4214&lt;$U$9,SUMPRODUCT(($D$10:$L$10&lt;&gt;"")*(($D$10:$L$10-($D$9:$L$9+INT(($S$12:$AA$12+INDEX($AJ$13:$AR$162,BN4227,0)+INDEX($AT$13:$BB$162,BO4227,0)+INDEX($BD$13:$BL$162,BP4227,0))/100)))&gt;0)*($D$10:$L$10-($D$9:$L$9+INT(($S$12:$AA$12+INDEX($AJ$13:$AR$162,BN4227,0)+INDEX($AT$13:$BB$162,BO4227,0)+INDEX($BD$13:$BL$162,BP4227,0))/100)))),0)</f>
        <v/>
      </c>
      <c r="BS4227">
        <f>IF(4214&lt;$U$9,SUMPRODUCT(($D$9:$L$9+INT(($S$12:$AA$12+INDEX($AJ$13:$AR$162,BN4227,0)+INDEX($AT$13:$BB$162,BO4227,0)+INDEX($BD$13:$BL$162,BP4227,0))/100))),0)</f>
        <v/>
      </c>
      <c r="BT4227">
        <f>IF(AND(4214&lt;$U$9,$W$5),BQ4227*1000000-MIN(BR4227,999)*1000+BS4227-4214/100000,-1000000000-4214)</f>
        <v/>
      </c>
    </row>
    <row r="4228">
      <c r="BN4228">
        <f>IF(4215&lt;$U$9,INT(4215/($U$7*$U$8))+1,1)</f>
        <v/>
      </c>
      <c r="BO4228">
        <f>IF(4215&lt;$U$9,MOD(INT(4215/$U$8),$U$7)+1,1)</f>
        <v/>
      </c>
      <c r="BP4228">
        <f>IF(4215&lt;$U$9,MOD(4215,$U$8)+1,1)</f>
        <v/>
      </c>
      <c r="BQ4228">
        <f>IF(4215&lt;$U$9,SUMPRODUCT(($D$10:$L$10&lt;&gt;"")*(($D$9:$L$9+INT(($S$12:$AA$12+INDEX($AJ$13:$AR$162,BN4228,0)+INDEX($AT$13:$BB$162,BO4228,0)+INDEX($BD$13:$BL$162,BP4228,0))/100))&gt;=$D$10:$L$10)),0)</f>
        <v/>
      </c>
      <c r="BR4228">
        <f>IF(4215&lt;$U$9,SUMPRODUCT(($D$10:$L$10&lt;&gt;"")*(($D$10:$L$10-($D$9:$L$9+INT(($S$12:$AA$12+INDEX($AJ$13:$AR$162,BN4228,0)+INDEX($AT$13:$BB$162,BO4228,0)+INDEX($BD$13:$BL$162,BP4228,0))/100)))&gt;0)*($D$10:$L$10-($D$9:$L$9+INT(($S$12:$AA$12+INDEX($AJ$13:$AR$162,BN4228,0)+INDEX($AT$13:$BB$162,BO4228,0)+INDEX($BD$13:$BL$162,BP4228,0))/100)))),0)</f>
        <v/>
      </c>
      <c r="BS4228">
        <f>IF(4215&lt;$U$9,SUMPRODUCT(($D$9:$L$9+INT(($S$12:$AA$12+INDEX($AJ$13:$AR$162,BN4228,0)+INDEX($AT$13:$BB$162,BO4228,0)+INDEX($BD$13:$BL$162,BP4228,0))/100))),0)</f>
        <v/>
      </c>
      <c r="BT4228">
        <f>IF(AND(4215&lt;$U$9,$W$5),BQ4228*1000000-MIN(BR4228,999)*1000+BS4228-4215/100000,-1000000000-4215)</f>
        <v/>
      </c>
    </row>
    <row r="4229">
      <c r="BN4229">
        <f>IF(4216&lt;$U$9,INT(4216/($U$7*$U$8))+1,1)</f>
        <v/>
      </c>
      <c r="BO4229">
        <f>IF(4216&lt;$U$9,MOD(INT(4216/$U$8),$U$7)+1,1)</f>
        <v/>
      </c>
      <c r="BP4229">
        <f>IF(4216&lt;$U$9,MOD(4216,$U$8)+1,1)</f>
        <v/>
      </c>
      <c r="BQ4229">
        <f>IF(4216&lt;$U$9,SUMPRODUCT(($D$10:$L$10&lt;&gt;"")*(($D$9:$L$9+INT(($S$12:$AA$12+INDEX($AJ$13:$AR$162,BN4229,0)+INDEX($AT$13:$BB$162,BO4229,0)+INDEX($BD$13:$BL$162,BP4229,0))/100))&gt;=$D$10:$L$10)),0)</f>
        <v/>
      </c>
      <c r="BR4229">
        <f>IF(4216&lt;$U$9,SUMPRODUCT(($D$10:$L$10&lt;&gt;"")*(($D$10:$L$10-($D$9:$L$9+INT(($S$12:$AA$12+INDEX($AJ$13:$AR$162,BN4229,0)+INDEX($AT$13:$BB$162,BO4229,0)+INDEX($BD$13:$BL$162,BP4229,0))/100)))&gt;0)*($D$10:$L$10-($D$9:$L$9+INT(($S$12:$AA$12+INDEX($AJ$13:$AR$162,BN4229,0)+INDEX($AT$13:$BB$162,BO4229,0)+INDEX($BD$13:$BL$162,BP4229,0))/100)))),0)</f>
        <v/>
      </c>
      <c r="BS4229">
        <f>IF(4216&lt;$U$9,SUMPRODUCT(($D$9:$L$9+INT(($S$12:$AA$12+INDEX($AJ$13:$AR$162,BN4229,0)+INDEX($AT$13:$BB$162,BO4229,0)+INDEX($BD$13:$BL$162,BP4229,0))/100))),0)</f>
        <v/>
      </c>
      <c r="BT4229">
        <f>IF(AND(4216&lt;$U$9,$W$5),BQ4229*1000000-MIN(BR4229,999)*1000+BS4229-4216/100000,-1000000000-4216)</f>
        <v/>
      </c>
    </row>
    <row r="4230">
      <c r="BN4230">
        <f>IF(4217&lt;$U$9,INT(4217/($U$7*$U$8))+1,1)</f>
        <v/>
      </c>
      <c r="BO4230">
        <f>IF(4217&lt;$U$9,MOD(INT(4217/$U$8),$U$7)+1,1)</f>
        <v/>
      </c>
      <c r="BP4230">
        <f>IF(4217&lt;$U$9,MOD(4217,$U$8)+1,1)</f>
        <v/>
      </c>
      <c r="BQ4230">
        <f>IF(4217&lt;$U$9,SUMPRODUCT(($D$10:$L$10&lt;&gt;"")*(($D$9:$L$9+INT(($S$12:$AA$12+INDEX($AJ$13:$AR$162,BN4230,0)+INDEX($AT$13:$BB$162,BO4230,0)+INDEX($BD$13:$BL$162,BP4230,0))/100))&gt;=$D$10:$L$10)),0)</f>
        <v/>
      </c>
      <c r="BR4230">
        <f>IF(4217&lt;$U$9,SUMPRODUCT(($D$10:$L$10&lt;&gt;"")*(($D$10:$L$10-($D$9:$L$9+INT(($S$12:$AA$12+INDEX($AJ$13:$AR$162,BN4230,0)+INDEX($AT$13:$BB$162,BO4230,0)+INDEX($BD$13:$BL$162,BP4230,0))/100)))&gt;0)*($D$10:$L$10-($D$9:$L$9+INT(($S$12:$AA$12+INDEX($AJ$13:$AR$162,BN4230,0)+INDEX($AT$13:$BB$162,BO4230,0)+INDEX($BD$13:$BL$162,BP4230,0))/100)))),0)</f>
        <v/>
      </c>
      <c r="BS4230">
        <f>IF(4217&lt;$U$9,SUMPRODUCT(($D$9:$L$9+INT(($S$12:$AA$12+INDEX($AJ$13:$AR$162,BN4230,0)+INDEX($AT$13:$BB$162,BO4230,0)+INDEX($BD$13:$BL$162,BP4230,0))/100))),0)</f>
        <v/>
      </c>
      <c r="BT4230">
        <f>IF(AND(4217&lt;$U$9,$W$5),BQ4230*1000000-MIN(BR4230,999)*1000+BS4230-4217/100000,-1000000000-4217)</f>
        <v/>
      </c>
    </row>
    <row r="4231">
      <c r="BN4231">
        <f>IF(4218&lt;$U$9,INT(4218/($U$7*$U$8))+1,1)</f>
        <v/>
      </c>
      <c r="BO4231">
        <f>IF(4218&lt;$U$9,MOD(INT(4218/$U$8),$U$7)+1,1)</f>
        <v/>
      </c>
      <c r="BP4231">
        <f>IF(4218&lt;$U$9,MOD(4218,$U$8)+1,1)</f>
        <v/>
      </c>
      <c r="BQ4231">
        <f>IF(4218&lt;$U$9,SUMPRODUCT(($D$10:$L$10&lt;&gt;"")*(($D$9:$L$9+INT(($S$12:$AA$12+INDEX($AJ$13:$AR$162,BN4231,0)+INDEX($AT$13:$BB$162,BO4231,0)+INDEX($BD$13:$BL$162,BP4231,0))/100))&gt;=$D$10:$L$10)),0)</f>
        <v/>
      </c>
      <c r="BR4231">
        <f>IF(4218&lt;$U$9,SUMPRODUCT(($D$10:$L$10&lt;&gt;"")*(($D$10:$L$10-($D$9:$L$9+INT(($S$12:$AA$12+INDEX($AJ$13:$AR$162,BN4231,0)+INDEX($AT$13:$BB$162,BO4231,0)+INDEX($BD$13:$BL$162,BP4231,0))/100)))&gt;0)*($D$10:$L$10-($D$9:$L$9+INT(($S$12:$AA$12+INDEX($AJ$13:$AR$162,BN4231,0)+INDEX($AT$13:$BB$162,BO4231,0)+INDEX($BD$13:$BL$162,BP4231,0))/100)))),0)</f>
        <v/>
      </c>
      <c r="BS4231">
        <f>IF(4218&lt;$U$9,SUMPRODUCT(($D$9:$L$9+INT(($S$12:$AA$12+INDEX($AJ$13:$AR$162,BN4231,0)+INDEX($AT$13:$BB$162,BO4231,0)+INDEX($BD$13:$BL$162,BP4231,0))/100))),0)</f>
        <v/>
      </c>
      <c r="BT4231">
        <f>IF(AND(4218&lt;$U$9,$W$5),BQ4231*1000000-MIN(BR4231,999)*1000+BS4231-4218/100000,-1000000000-4218)</f>
        <v/>
      </c>
    </row>
    <row r="4232">
      <c r="BN4232">
        <f>IF(4219&lt;$U$9,INT(4219/($U$7*$U$8))+1,1)</f>
        <v/>
      </c>
      <c r="BO4232">
        <f>IF(4219&lt;$U$9,MOD(INT(4219/$U$8),$U$7)+1,1)</f>
        <v/>
      </c>
      <c r="BP4232">
        <f>IF(4219&lt;$U$9,MOD(4219,$U$8)+1,1)</f>
        <v/>
      </c>
      <c r="BQ4232">
        <f>IF(4219&lt;$U$9,SUMPRODUCT(($D$10:$L$10&lt;&gt;"")*(($D$9:$L$9+INT(($S$12:$AA$12+INDEX($AJ$13:$AR$162,BN4232,0)+INDEX($AT$13:$BB$162,BO4232,0)+INDEX($BD$13:$BL$162,BP4232,0))/100))&gt;=$D$10:$L$10)),0)</f>
        <v/>
      </c>
      <c r="BR4232">
        <f>IF(4219&lt;$U$9,SUMPRODUCT(($D$10:$L$10&lt;&gt;"")*(($D$10:$L$10-($D$9:$L$9+INT(($S$12:$AA$12+INDEX($AJ$13:$AR$162,BN4232,0)+INDEX($AT$13:$BB$162,BO4232,0)+INDEX($BD$13:$BL$162,BP4232,0))/100)))&gt;0)*($D$10:$L$10-($D$9:$L$9+INT(($S$12:$AA$12+INDEX($AJ$13:$AR$162,BN4232,0)+INDEX($AT$13:$BB$162,BO4232,0)+INDEX($BD$13:$BL$162,BP4232,0))/100)))),0)</f>
        <v/>
      </c>
      <c r="BS4232">
        <f>IF(4219&lt;$U$9,SUMPRODUCT(($D$9:$L$9+INT(($S$12:$AA$12+INDEX($AJ$13:$AR$162,BN4232,0)+INDEX($AT$13:$BB$162,BO4232,0)+INDEX($BD$13:$BL$162,BP4232,0))/100))),0)</f>
        <v/>
      </c>
      <c r="BT4232">
        <f>IF(AND(4219&lt;$U$9,$W$5),BQ4232*1000000-MIN(BR4232,999)*1000+BS4232-4219/100000,-1000000000-4219)</f>
        <v/>
      </c>
    </row>
    <row r="4233">
      <c r="BN4233">
        <f>IF(4220&lt;$U$9,INT(4220/($U$7*$U$8))+1,1)</f>
        <v/>
      </c>
      <c r="BO4233">
        <f>IF(4220&lt;$U$9,MOD(INT(4220/$U$8),$U$7)+1,1)</f>
        <v/>
      </c>
      <c r="BP4233">
        <f>IF(4220&lt;$U$9,MOD(4220,$U$8)+1,1)</f>
        <v/>
      </c>
      <c r="BQ4233">
        <f>IF(4220&lt;$U$9,SUMPRODUCT(($D$10:$L$10&lt;&gt;"")*(($D$9:$L$9+INT(($S$12:$AA$12+INDEX($AJ$13:$AR$162,BN4233,0)+INDEX($AT$13:$BB$162,BO4233,0)+INDEX($BD$13:$BL$162,BP4233,0))/100))&gt;=$D$10:$L$10)),0)</f>
        <v/>
      </c>
      <c r="BR4233">
        <f>IF(4220&lt;$U$9,SUMPRODUCT(($D$10:$L$10&lt;&gt;"")*(($D$10:$L$10-($D$9:$L$9+INT(($S$12:$AA$12+INDEX($AJ$13:$AR$162,BN4233,0)+INDEX($AT$13:$BB$162,BO4233,0)+INDEX($BD$13:$BL$162,BP4233,0))/100)))&gt;0)*($D$10:$L$10-($D$9:$L$9+INT(($S$12:$AA$12+INDEX($AJ$13:$AR$162,BN4233,0)+INDEX($AT$13:$BB$162,BO4233,0)+INDEX($BD$13:$BL$162,BP4233,0))/100)))),0)</f>
        <v/>
      </c>
      <c r="BS4233">
        <f>IF(4220&lt;$U$9,SUMPRODUCT(($D$9:$L$9+INT(($S$12:$AA$12+INDEX($AJ$13:$AR$162,BN4233,0)+INDEX($AT$13:$BB$162,BO4233,0)+INDEX($BD$13:$BL$162,BP4233,0))/100))),0)</f>
        <v/>
      </c>
      <c r="BT4233">
        <f>IF(AND(4220&lt;$U$9,$W$5),BQ4233*1000000-MIN(BR4233,999)*1000+BS4233-4220/100000,-1000000000-4220)</f>
        <v/>
      </c>
    </row>
    <row r="4234">
      <c r="BN4234">
        <f>IF(4221&lt;$U$9,INT(4221/($U$7*$U$8))+1,1)</f>
        <v/>
      </c>
      <c r="BO4234">
        <f>IF(4221&lt;$U$9,MOD(INT(4221/$U$8),$U$7)+1,1)</f>
        <v/>
      </c>
      <c r="BP4234">
        <f>IF(4221&lt;$U$9,MOD(4221,$U$8)+1,1)</f>
        <v/>
      </c>
      <c r="BQ4234">
        <f>IF(4221&lt;$U$9,SUMPRODUCT(($D$10:$L$10&lt;&gt;"")*(($D$9:$L$9+INT(($S$12:$AA$12+INDEX($AJ$13:$AR$162,BN4234,0)+INDEX($AT$13:$BB$162,BO4234,0)+INDEX($BD$13:$BL$162,BP4234,0))/100))&gt;=$D$10:$L$10)),0)</f>
        <v/>
      </c>
      <c r="BR4234">
        <f>IF(4221&lt;$U$9,SUMPRODUCT(($D$10:$L$10&lt;&gt;"")*(($D$10:$L$10-($D$9:$L$9+INT(($S$12:$AA$12+INDEX($AJ$13:$AR$162,BN4234,0)+INDEX($AT$13:$BB$162,BO4234,0)+INDEX($BD$13:$BL$162,BP4234,0))/100)))&gt;0)*($D$10:$L$10-($D$9:$L$9+INT(($S$12:$AA$12+INDEX($AJ$13:$AR$162,BN4234,0)+INDEX($AT$13:$BB$162,BO4234,0)+INDEX($BD$13:$BL$162,BP4234,0))/100)))),0)</f>
        <v/>
      </c>
      <c r="BS4234">
        <f>IF(4221&lt;$U$9,SUMPRODUCT(($D$9:$L$9+INT(($S$12:$AA$12+INDEX($AJ$13:$AR$162,BN4234,0)+INDEX($AT$13:$BB$162,BO4234,0)+INDEX($BD$13:$BL$162,BP4234,0))/100))),0)</f>
        <v/>
      </c>
      <c r="BT4234">
        <f>IF(AND(4221&lt;$U$9,$W$5),BQ4234*1000000-MIN(BR4234,999)*1000+BS4234-4221/100000,-1000000000-4221)</f>
        <v/>
      </c>
    </row>
    <row r="4235">
      <c r="BN4235">
        <f>IF(4222&lt;$U$9,INT(4222/($U$7*$U$8))+1,1)</f>
        <v/>
      </c>
      <c r="BO4235">
        <f>IF(4222&lt;$U$9,MOD(INT(4222/$U$8),$U$7)+1,1)</f>
        <v/>
      </c>
      <c r="BP4235">
        <f>IF(4222&lt;$U$9,MOD(4222,$U$8)+1,1)</f>
        <v/>
      </c>
      <c r="BQ4235">
        <f>IF(4222&lt;$U$9,SUMPRODUCT(($D$10:$L$10&lt;&gt;"")*(($D$9:$L$9+INT(($S$12:$AA$12+INDEX($AJ$13:$AR$162,BN4235,0)+INDEX($AT$13:$BB$162,BO4235,0)+INDEX($BD$13:$BL$162,BP4235,0))/100))&gt;=$D$10:$L$10)),0)</f>
        <v/>
      </c>
      <c r="BR4235">
        <f>IF(4222&lt;$U$9,SUMPRODUCT(($D$10:$L$10&lt;&gt;"")*(($D$10:$L$10-($D$9:$L$9+INT(($S$12:$AA$12+INDEX($AJ$13:$AR$162,BN4235,0)+INDEX($AT$13:$BB$162,BO4235,0)+INDEX($BD$13:$BL$162,BP4235,0))/100)))&gt;0)*($D$10:$L$10-($D$9:$L$9+INT(($S$12:$AA$12+INDEX($AJ$13:$AR$162,BN4235,0)+INDEX($AT$13:$BB$162,BO4235,0)+INDEX($BD$13:$BL$162,BP4235,0))/100)))),0)</f>
        <v/>
      </c>
      <c r="BS4235">
        <f>IF(4222&lt;$U$9,SUMPRODUCT(($D$9:$L$9+INT(($S$12:$AA$12+INDEX($AJ$13:$AR$162,BN4235,0)+INDEX($AT$13:$BB$162,BO4235,0)+INDEX($BD$13:$BL$162,BP4235,0))/100))),0)</f>
        <v/>
      </c>
      <c r="BT4235">
        <f>IF(AND(4222&lt;$U$9,$W$5),BQ4235*1000000-MIN(BR4235,999)*1000+BS4235-4222/100000,-1000000000-4222)</f>
        <v/>
      </c>
    </row>
    <row r="4236">
      <c r="BN4236">
        <f>IF(4223&lt;$U$9,INT(4223/($U$7*$U$8))+1,1)</f>
        <v/>
      </c>
      <c r="BO4236">
        <f>IF(4223&lt;$U$9,MOD(INT(4223/$U$8),$U$7)+1,1)</f>
        <v/>
      </c>
      <c r="BP4236">
        <f>IF(4223&lt;$U$9,MOD(4223,$U$8)+1,1)</f>
        <v/>
      </c>
      <c r="BQ4236">
        <f>IF(4223&lt;$U$9,SUMPRODUCT(($D$10:$L$10&lt;&gt;"")*(($D$9:$L$9+INT(($S$12:$AA$12+INDEX($AJ$13:$AR$162,BN4236,0)+INDEX($AT$13:$BB$162,BO4236,0)+INDEX($BD$13:$BL$162,BP4236,0))/100))&gt;=$D$10:$L$10)),0)</f>
        <v/>
      </c>
      <c r="BR4236">
        <f>IF(4223&lt;$U$9,SUMPRODUCT(($D$10:$L$10&lt;&gt;"")*(($D$10:$L$10-($D$9:$L$9+INT(($S$12:$AA$12+INDEX($AJ$13:$AR$162,BN4236,0)+INDEX($AT$13:$BB$162,BO4236,0)+INDEX($BD$13:$BL$162,BP4236,0))/100)))&gt;0)*($D$10:$L$10-($D$9:$L$9+INT(($S$12:$AA$12+INDEX($AJ$13:$AR$162,BN4236,0)+INDEX($AT$13:$BB$162,BO4236,0)+INDEX($BD$13:$BL$162,BP4236,0))/100)))),0)</f>
        <v/>
      </c>
      <c r="BS4236">
        <f>IF(4223&lt;$U$9,SUMPRODUCT(($D$9:$L$9+INT(($S$12:$AA$12+INDEX($AJ$13:$AR$162,BN4236,0)+INDEX($AT$13:$BB$162,BO4236,0)+INDEX($BD$13:$BL$162,BP4236,0))/100))),0)</f>
        <v/>
      </c>
      <c r="BT4236">
        <f>IF(AND(4223&lt;$U$9,$W$5),BQ4236*1000000-MIN(BR4236,999)*1000+BS4236-4223/100000,-1000000000-4223)</f>
        <v/>
      </c>
    </row>
    <row r="4237">
      <c r="BN4237">
        <f>IF(4224&lt;$U$9,INT(4224/($U$7*$U$8))+1,1)</f>
        <v/>
      </c>
      <c r="BO4237">
        <f>IF(4224&lt;$U$9,MOD(INT(4224/$U$8),$U$7)+1,1)</f>
        <v/>
      </c>
      <c r="BP4237">
        <f>IF(4224&lt;$U$9,MOD(4224,$U$8)+1,1)</f>
        <v/>
      </c>
      <c r="BQ4237">
        <f>IF(4224&lt;$U$9,SUMPRODUCT(($D$10:$L$10&lt;&gt;"")*(($D$9:$L$9+INT(($S$12:$AA$12+INDEX($AJ$13:$AR$162,BN4237,0)+INDEX($AT$13:$BB$162,BO4237,0)+INDEX($BD$13:$BL$162,BP4237,0))/100))&gt;=$D$10:$L$10)),0)</f>
        <v/>
      </c>
      <c r="BR4237">
        <f>IF(4224&lt;$U$9,SUMPRODUCT(($D$10:$L$10&lt;&gt;"")*(($D$10:$L$10-($D$9:$L$9+INT(($S$12:$AA$12+INDEX($AJ$13:$AR$162,BN4237,0)+INDEX($AT$13:$BB$162,BO4237,0)+INDEX($BD$13:$BL$162,BP4237,0))/100)))&gt;0)*($D$10:$L$10-($D$9:$L$9+INT(($S$12:$AA$12+INDEX($AJ$13:$AR$162,BN4237,0)+INDEX($AT$13:$BB$162,BO4237,0)+INDEX($BD$13:$BL$162,BP4237,0))/100)))),0)</f>
        <v/>
      </c>
      <c r="BS4237">
        <f>IF(4224&lt;$U$9,SUMPRODUCT(($D$9:$L$9+INT(($S$12:$AA$12+INDEX($AJ$13:$AR$162,BN4237,0)+INDEX($AT$13:$BB$162,BO4237,0)+INDEX($BD$13:$BL$162,BP4237,0))/100))),0)</f>
        <v/>
      </c>
      <c r="BT4237">
        <f>IF(AND(4224&lt;$U$9,$W$5),BQ4237*1000000-MIN(BR4237,999)*1000+BS4237-4224/100000,-1000000000-4224)</f>
        <v/>
      </c>
    </row>
    <row r="4238">
      <c r="BN4238">
        <f>IF(4225&lt;$U$9,INT(4225/($U$7*$U$8))+1,1)</f>
        <v/>
      </c>
      <c r="BO4238">
        <f>IF(4225&lt;$U$9,MOD(INT(4225/$U$8),$U$7)+1,1)</f>
        <v/>
      </c>
      <c r="BP4238">
        <f>IF(4225&lt;$U$9,MOD(4225,$U$8)+1,1)</f>
        <v/>
      </c>
      <c r="BQ4238">
        <f>IF(4225&lt;$U$9,SUMPRODUCT(($D$10:$L$10&lt;&gt;"")*(($D$9:$L$9+INT(($S$12:$AA$12+INDEX($AJ$13:$AR$162,BN4238,0)+INDEX($AT$13:$BB$162,BO4238,0)+INDEX($BD$13:$BL$162,BP4238,0))/100))&gt;=$D$10:$L$10)),0)</f>
        <v/>
      </c>
      <c r="BR4238">
        <f>IF(4225&lt;$U$9,SUMPRODUCT(($D$10:$L$10&lt;&gt;"")*(($D$10:$L$10-($D$9:$L$9+INT(($S$12:$AA$12+INDEX($AJ$13:$AR$162,BN4238,0)+INDEX($AT$13:$BB$162,BO4238,0)+INDEX($BD$13:$BL$162,BP4238,0))/100)))&gt;0)*($D$10:$L$10-($D$9:$L$9+INT(($S$12:$AA$12+INDEX($AJ$13:$AR$162,BN4238,0)+INDEX($AT$13:$BB$162,BO4238,0)+INDEX($BD$13:$BL$162,BP4238,0))/100)))),0)</f>
        <v/>
      </c>
      <c r="BS4238">
        <f>IF(4225&lt;$U$9,SUMPRODUCT(($D$9:$L$9+INT(($S$12:$AA$12+INDEX($AJ$13:$AR$162,BN4238,0)+INDEX($AT$13:$BB$162,BO4238,0)+INDEX($BD$13:$BL$162,BP4238,0))/100))),0)</f>
        <v/>
      </c>
      <c r="BT4238">
        <f>IF(AND(4225&lt;$U$9,$W$5),BQ4238*1000000-MIN(BR4238,999)*1000+BS4238-4225/100000,-1000000000-4225)</f>
        <v/>
      </c>
    </row>
    <row r="4239">
      <c r="BN4239">
        <f>IF(4226&lt;$U$9,INT(4226/($U$7*$U$8))+1,1)</f>
        <v/>
      </c>
      <c r="BO4239">
        <f>IF(4226&lt;$U$9,MOD(INT(4226/$U$8),$U$7)+1,1)</f>
        <v/>
      </c>
      <c r="BP4239">
        <f>IF(4226&lt;$U$9,MOD(4226,$U$8)+1,1)</f>
        <v/>
      </c>
      <c r="BQ4239">
        <f>IF(4226&lt;$U$9,SUMPRODUCT(($D$10:$L$10&lt;&gt;"")*(($D$9:$L$9+INT(($S$12:$AA$12+INDEX($AJ$13:$AR$162,BN4239,0)+INDEX($AT$13:$BB$162,BO4239,0)+INDEX($BD$13:$BL$162,BP4239,0))/100))&gt;=$D$10:$L$10)),0)</f>
        <v/>
      </c>
      <c r="BR4239">
        <f>IF(4226&lt;$U$9,SUMPRODUCT(($D$10:$L$10&lt;&gt;"")*(($D$10:$L$10-($D$9:$L$9+INT(($S$12:$AA$12+INDEX($AJ$13:$AR$162,BN4239,0)+INDEX($AT$13:$BB$162,BO4239,0)+INDEX($BD$13:$BL$162,BP4239,0))/100)))&gt;0)*($D$10:$L$10-($D$9:$L$9+INT(($S$12:$AA$12+INDEX($AJ$13:$AR$162,BN4239,0)+INDEX($AT$13:$BB$162,BO4239,0)+INDEX($BD$13:$BL$162,BP4239,0))/100)))),0)</f>
        <v/>
      </c>
      <c r="BS4239">
        <f>IF(4226&lt;$U$9,SUMPRODUCT(($D$9:$L$9+INT(($S$12:$AA$12+INDEX($AJ$13:$AR$162,BN4239,0)+INDEX($AT$13:$BB$162,BO4239,0)+INDEX($BD$13:$BL$162,BP4239,0))/100))),0)</f>
        <v/>
      </c>
      <c r="BT4239">
        <f>IF(AND(4226&lt;$U$9,$W$5),BQ4239*1000000-MIN(BR4239,999)*1000+BS4239-4226/100000,-1000000000-4226)</f>
        <v/>
      </c>
    </row>
    <row r="4240">
      <c r="BN4240">
        <f>IF(4227&lt;$U$9,INT(4227/($U$7*$U$8))+1,1)</f>
        <v/>
      </c>
      <c r="BO4240">
        <f>IF(4227&lt;$U$9,MOD(INT(4227/$U$8),$U$7)+1,1)</f>
        <v/>
      </c>
      <c r="BP4240">
        <f>IF(4227&lt;$U$9,MOD(4227,$U$8)+1,1)</f>
        <v/>
      </c>
      <c r="BQ4240">
        <f>IF(4227&lt;$U$9,SUMPRODUCT(($D$10:$L$10&lt;&gt;"")*(($D$9:$L$9+INT(($S$12:$AA$12+INDEX($AJ$13:$AR$162,BN4240,0)+INDEX($AT$13:$BB$162,BO4240,0)+INDEX($BD$13:$BL$162,BP4240,0))/100))&gt;=$D$10:$L$10)),0)</f>
        <v/>
      </c>
      <c r="BR4240">
        <f>IF(4227&lt;$U$9,SUMPRODUCT(($D$10:$L$10&lt;&gt;"")*(($D$10:$L$10-($D$9:$L$9+INT(($S$12:$AA$12+INDEX($AJ$13:$AR$162,BN4240,0)+INDEX($AT$13:$BB$162,BO4240,0)+INDEX($BD$13:$BL$162,BP4240,0))/100)))&gt;0)*($D$10:$L$10-($D$9:$L$9+INT(($S$12:$AA$12+INDEX($AJ$13:$AR$162,BN4240,0)+INDEX($AT$13:$BB$162,BO4240,0)+INDEX($BD$13:$BL$162,BP4240,0))/100)))),0)</f>
        <v/>
      </c>
      <c r="BS4240">
        <f>IF(4227&lt;$U$9,SUMPRODUCT(($D$9:$L$9+INT(($S$12:$AA$12+INDEX($AJ$13:$AR$162,BN4240,0)+INDEX($AT$13:$BB$162,BO4240,0)+INDEX($BD$13:$BL$162,BP4240,0))/100))),0)</f>
        <v/>
      </c>
      <c r="BT4240">
        <f>IF(AND(4227&lt;$U$9,$W$5),BQ4240*1000000-MIN(BR4240,999)*1000+BS4240-4227/100000,-1000000000-4227)</f>
        <v/>
      </c>
    </row>
    <row r="4241">
      <c r="BN4241">
        <f>IF(4228&lt;$U$9,INT(4228/($U$7*$U$8))+1,1)</f>
        <v/>
      </c>
      <c r="BO4241">
        <f>IF(4228&lt;$U$9,MOD(INT(4228/$U$8),$U$7)+1,1)</f>
        <v/>
      </c>
      <c r="BP4241">
        <f>IF(4228&lt;$U$9,MOD(4228,$U$8)+1,1)</f>
        <v/>
      </c>
      <c r="BQ4241">
        <f>IF(4228&lt;$U$9,SUMPRODUCT(($D$10:$L$10&lt;&gt;"")*(($D$9:$L$9+INT(($S$12:$AA$12+INDEX($AJ$13:$AR$162,BN4241,0)+INDEX($AT$13:$BB$162,BO4241,0)+INDEX($BD$13:$BL$162,BP4241,0))/100))&gt;=$D$10:$L$10)),0)</f>
        <v/>
      </c>
      <c r="BR4241">
        <f>IF(4228&lt;$U$9,SUMPRODUCT(($D$10:$L$10&lt;&gt;"")*(($D$10:$L$10-($D$9:$L$9+INT(($S$12:$AA$12+INDEX($AJ$13:$AR$162,BN4241,0)+INDEX($AT$13:$BB$162,BO4241,0)+INDEX($BD$13:$BL$162,BP4241,0))/100)))&gt;0)*($D$10:$L$10-($D$9:$L$9+INT(($S$12:$AA$12+INDEX($AJ$13:$AR$162,BN4241,0)+INDEX($AT$13:$BB$162,BO4241,0)+INDEX($BD$13:$BL$162,BP4241,0))/100)))),0)</f>
        <v/>
      </c>
      <c r="BS4241">
        <f>IF(4228&lt;$U$9,SUMPRODUCT(($D$9:$L$9+INT(($S$12:$AA$12+INDEX($AJ$13:$AR$162,BN4241,0)+INDEX($AT$13:$BB$162,BO4241,0)+INDEX($BD$13:$BL$162,BP4241,0))/100))),0)</f>
        <v/>
      </c>
      <c r="BT4241">
        <f>IF(AND(4228&lt;$U$9,$W$5),BQ4241*1000000-MIN(BR4241,999)*1000+BS4241-4228/100000,-1000000000-4228)</f>
        <v/>
      </c>
    </row>
    <row r="4242">
      <c r="BN4242">
        <f>IF(4229&lt;$U$9,INT(4229/($U$7*$U$8))+1,1)</f>
        <v/>
      </c>
      <c r="BO4242">
        <f>IF(4229&lt;$U$9,MOD(INT(4229/$U$8),$U$7)+1,1)</f>
        <v/>
      </c>
      <c r="BP4242">
        <f>IF(4229&lt;$U$9,MOD(4229,$U$8)+1,1)</f>
        <v/>
      </c>
      <c r="BQ4242">
        <f>IF(4229&lt;$U$9,SUMPRODUCT(($D$10:$L$10&lt;&gt;"")*(($D$9:$L$9+INT(($S$12:$AA$12+INDEX($AJ$13:$AR$162,BN4242,0)+INDEX($AT$13:$BB$162,BO4242,0)+INDEX($BD$13:$BL$162,BP4242,0))/100))&gt;=$D$10:$L$10)),0)</f>
        <v/>
      </c>
      <c r="BR4242">
        <f>IF(4229&lt;$U$9,SUMPRODUCT(($D$10:$L$10&lt;&gt;"")*(($D$10:$L$10-($D$9:$L$9+INT(($S$12:$AA$12+INDEX($AJ$13:$AR$162,BN4242,0)+INDEX($AT$13:$BB$162,BO4242,0)+INDEX($BD$13:$BL$162,BP4242,0))/100)))&gt;0)*($D$10:$L$10-($D$9:$L$9+INT(($S$12:$AA$12+INDEX($AJ$13:$AR$162,BN4242,0)+INDEX($AT$13:$BB$162,BO4242,0)+INDEX($BD$13:$BL$162,BP4242,0))/100)))),0)</f>
        <v/>
      </c>
      <c r="BS4242">
        <f>IF(4229&lt;$U$9,SUMPRODUCT(($D$9:$L$9+INT(($S$12:$AA$12+INDEX($AJ$13:$AR$162,BN4242,0)+INDEX($AT$13:$BB$162,BO4242,0)+INDEX($BD$13:$BL$162,BP4242,0))/100))),0)</f>
        <v/>
      </c>
      <c r="BT4242">
        <f>IF(AND(4229&lt;$U$9,$W$5),BQ4242*1000000-MIN(BR4242,999)*1000+BS4242-4229/100000,-1000000000-4229)</f>
        <v/>
      </c>
    </row>
    <row r="4243">
      <c r="BN4243">
        <f>IF(4230&lt;$U$9,INT(4230/($U$7*$U$8))+1,1)</f>
        <v/>
      </c>
      <c r="BO4243">
        <f>IF(4230&lt;$U$9,MOD(INT(4230/$U$8),$U$7)+1,1)</f>
        <v/>
      </c>
      <c r="BP4243">
        <f>IF(4230&lt;$U$9,MOD(4230,$U$8)+1,1)</f>
        <v/>
      </c>
      <c r="BQ4243">
        <f>IF(4230&lt;$U$9,SUMPRODUCT(($D$10:$L$10&lt;&gt;"")*(($D$9:$L$9+INT(($S$12:$AA$12+INDEX($AJ$13:$AR$162,BN4243,0)+INDEX($AT$13:$BB$162,BO4243,0)+INDEX($BD$13:$BL$162,BP4243,0))/100))&gt;=$D$10:$L$10)),0)</f>
        <v/>
      </c>
      <c r="BR4243">
        <f>IF(4230&lt;$U$9,SUMPRODUCT(($D$10:$L$10&lt;&gt;"")*(($D$10:$L$10-($D$9:$L$9+INT(($S$12:$AA$12+INDEX($AJ$13:$AR$162,BN4243,0)+INDEX($AT$13:$BB$162,BO4243,0)+INDEX($BD$13:$BL$162,BP4243,0))/100)))&gt;0)*($D$10:$L$10-($D$9:$L$9+INT(($S$12:$AA$12+INDEX($AJ$13:$AR$162,BN4243,0)+INDEX($AT$13:$BB$162,BO4243,0)+INDEX($BD$13:$BL$162,BP4243,0))/100)))),0)</f>
        <v/>
      </c>
      <c r="BS4243">
        <f>IF(4230&lt;$U$9,SUMPRODUCT(($D$9:$L$9+INT(($S$12:$AA$12+INDEX($AJ$13:$AR$162,BN4243,0)+INDEX($AT$13:$BB$162,BO4243,0)+INDEX($BD$13:$BL$162,BP4243,0))/100))),0)</f>
        <v/>
      </c>
      <c r="BT4243">
        <f>IF(AND(4230&lt;$U$9,$W$5),BQ4243*1000000-MIN(BR4243,999)*1000+BS4243-4230/100000,-1000000000-4230)</f>
        <v/>
      </c>
    </row>
    <row r="4244">
      <c r="BN4244">
        <f>IF(4231&lt;$U$9,INT(4231/($U$7*$U$8))+1,1)</f>
        <v/>
      </c>
      <c r="BO4244">
        <f>IF(4231&lt;$U$9,MOD(INT(4231/$U$8),$U$7)+1,1)</f>
        <v/>
      </c>
      <c r="BP4244">
        <f>IF(4231&lt;$U$9,MOD(4231,$U$8)+1,1)</f>
        <v/>
      </c>
      <c r="BQ4244">
        <f>IF(4231&lt;$U$9,SUMPRODUCT(($D$10:$L$10&lt;&gt;"")*(($D$9:$L$9+INT(($S$12:$AA$12+INDEX($AJ$13:$AR$162,BN4244,0)+INDEX($AT$13:$BB$162,BO4244,0)+INDEX($BD$13:$BL$162,BP4244,0))/100))&gt;=$D$10:$L$10)),0)</f>
        <v/>
      </c>
      <c r="BR4244">
        <f>IF(4231&lt;$U$9,SUMPRODUCT(($D$10:$L$10&lt;&gt;"")*(($D$10:$L$10-($D$9:$L$9+INT(($S$12:$AA$12+INDEX($AJ$13:$AR$162,BN4244,0)+INDEX($AT$13:$BB$162,BO4244,0)+INDEX($BD$13:$BL$162,BP4244,0))/100)))&gt;0)*($D$10:$L$10-($D$9:$L$9+INT(($S$12:$AA$12+INDEX($AJ$13:$AR$162,BN4244,0)+INDEX($AT$13:$BB$162,BO4244,0)+INDEX($BD$13:$BL$162,BP4244,0))/100)))),0)</f>
        <v/>
      </c>
      <c r="BS4244">
        <f>IF(4231&lt;$U$9,SUMPRODUCT(($D$9:$L$9+INT(($S$12:$AA$12+INDEX($AJ$13:$AR$162,BN4244,0)+INDEX($AT$13:$BB$162,BO4244,0)+INDEX($BD$13:$BL$162,BP4244,0))/100))),0)</f>
        <v/>
      </c>
      <c r="BT4244">
        <f>IF(AND(4231&lt;$U$9,$W$5),BQ4244*1000000-MIN(BR4244,999)*1000+BS4244-4231/100000,-1000000000-4231)</f>
        <v/>
      </c>
    </row>
    <row r="4245">
      <c r="BN4245">
        <f>IF(4232&lt;$U$9,INT(4232/($U$7*$U$8))+1,1)</f>
        <v/>
      </c>
      <c r="BO4245">
        <f>IF(4232&lt;$U$9,MOD(INT(4232/$U$8),$U$7)+1,1)</f>
        <v/>
      </c>
      <c r="BP4245">
        <f>IF(4232&lt;$U$9,MOD(4232,$U$8)+1,1)</f>
        <v/>
      </c>
      <c r="BQ4245">
        <f>IF(4232&lt;$U$9,SUMPRODUCT(($D$10:$L$10&lt;&gt;"")*(($D$9:$L$9+INT(($S$12:$AA$12+INDEX($AJ$13:$AR$162,BN4245,0)+INDEX($AT$13:$BB$162,BO4245,0)+INDEX($BD$13:$BL$162,BP4245,0))/100))&gt;=$D$10:$L$10)),0)</f>
        <v/>
      </c>
      <c r="BR4245">
        <f>IF(4232&lt;$U$9,SUMPRODUCT(($D$10:$L$10&lt;&gt;"")*(($D$10:$L$10-($D$9:$L$9+INT(($S$12:$AA$12+INDEX($AJ$13:$AR$162,BN4245,0)+INDEX($AT$13:$BB$162,BO4245,0)+INDEX($BD$13:$BL$162,BP4245,0))/100)))&gt;0)*($D$10:$L$10-($D$9:$L$9+INT(($S$12:$AA$12+INDEX($AJ$13:$AR$162,BN4245,0)+INDEX($AT$13:$BB$162,BO4245,0)+INDEX($BD$13:$BL$162,BP4245,0))/100)))),0)</f>
        <v/>
      </c>
      <c r="BS4245">
        <f>IF(4232&lt;$U$9,SUMPRODUCT(($D$9:$L$9+INT(($S$12:$AA$12+INDEX($AJ$13:$AR$162,BN4245,0)+INDEX($AT$13:$BB$162,BO4245,0)+INDEX($BD$13:$BL$162,BP4245,0))/100))),0)</f>
        <v/>
      </c>
      <c r="BT4245">
        <f>IF(AND(4232&lt;$U$9,$W$5),BQ4245*1000000-MIN(BR4245,999)*1000+BS4245-4232/100000,-1000000000-4232)</f>
        <v/>
      </c>
    </row>
    <row r="4246">
      <c r="BN4246">
        <f>IF(4233&lt;$U$9,INT(4233/($U$7*$U$8))+1,1)</f>
        <v/>
      </c>
      <c r="BO4246">
        <f>IF(4233&lt;$U$9,MOD(INT(4233/$U$8),$U$7)+1,1)</f>
        <v/>
      </c>
      <c r="BP4246">
        <f>IF(4233&lt;$U$9,MOD(4233,$U$8)+1,1)</f>
        <v/>
      </c>
      <c r="BQ4246">
        <f>IF(4233&lt;$U$9,SUMPRODUCT(($D$10:$L$10&lt;&gt;"")*(($D$9:$L$9+INT(($S$12:$AA$12+INDEX($AJ$13:$AR$162,BN4246,0)+INDEX($AT$13:$BB$162,BO4246,0)+INDEX($BD$13:$BL$162,BP4246,0))/100))&gt;=$D$10:$L$10)),0)</f>
        <v/>
      </c>
      <c r="BR4246">
        <f>IF(4233&lt;$U$9,SUMPRODUCT(($D$10:$L$10&lt;&gt;"")*(($D$10:$L$10-($D$9:$L$9+INT(($S$12:$AA$12+INDEX($AJ$13:$AR$162,BN4246,0)+INDEX($AT$13:$BB$162,BO4246,0)+INDEX($BD$13:$BL$162,BP4246,0))/100)))&gt;0)*($D$10:$L$10-($D$9:$L$9+INT(($S$12:$AA$12+INDEX($AJ$13:$AR$162,BN4246,0)+INDEX($AT$13:$BB$162,BO4246,0)+INDEX($BD$13:$BL$162,BP4246,0))/100)))),0)</f>
        <v/>
      </c>
      <c r="BS4246">
        <f>IF(4233&lt;$U$9,SUMPRODUCT(($D$9:$L$9+INT(($S$12:$AA$12+INDEX($AJ$13:$AR$162,BN4246,0)+INDEX($AT$13:$BB$162,BO4246,0)+INDEX($BD$13:$BL$162,BP4246,0))/100))),0)</f>
        <v/>
      </c>
      <c r="BT4246">
        <f>IF(AND(4233&lt;$U$9,$W$5),BQ4246*1000000-MIN(BR4246,999)*1000+BS4246-4233/100000,-1000000000-4233)</f>
        <v/>
      </c>
    </row>
    <row r="4247">
      <c r="BN4247">
        <f>IF(4234&lt;$U$9,INT(4234/($U$7*$U$8))+1,1)</f>
        <v/>
      </c>
      <c r="BO4247">
        <f>IF(4234&lt;$U$9,MOD(INT(4234/$U$8),$U$7)+1,1)</f>
        <v/>
      </c>
      <c r="BP4247">
        <f>IF(4234&lt;$U$9,MOD(4234,$U$8)+1,1)</f>
        <v/>
      </c>
      <c r="BQ4247">
        <f>IF(4234&lt;$U$9,SUMPRODUCT(($D$10:$L$10&lt;&gt;"")*(($D$9:$L$9+INT(($S$12:$AA$12+INDEX($AJ$13:$AR$162,BN4247,0)+INDEX($AT$13:$BB$162,BO4247,0)+INDEX($BD$13:$BL$162,BP4247,0))/100))&gt;=$D$10:$L$10)),0)</f>
        <v/>
      </c>
      <c r="BR4247">
        <f>IF(4234&lt;$U$9,SUMPRODUCT(($D$10:$L$10&lt;&gt;"")*(($D$10:$L$10-($D$9:$L$9+INT(($S$12:$AA$12+INDEX($AJ$13:$AR$162,BN4247,0)+INDEX($AT$13:$BB$162,BO4247,0)+INDEX($BD$13:$BL$162,BP4247,0))/100)))&gt;0)*($D$10:$L$10-($D$9:$L$9+INT(($S$12:$AA$12+INDEX($AJ$13:$AR$162,BN4247,0)+INDEX($AT$13:$BB$162,BO4247,0)+INDEX($BD$13:$BL$162,BP4247,0))/100)))),0)</f>
        <v/>
      </c>
      <c r="BS4247">
        <f>IF(4234&lt;$U$9,SUMPRODUCT(($D$9:$L$9+INT(($S$12:$AA$12+INDEX($AJ$13:$AR$162,BN4247,0)+INDEX($AT$13:$BB$162,BO4247,0)+INDEX($BD$13:$BL$162,BP4247,0))/100))),0)</f>
        <v/>
      </c>
      <c r="BT4247">
        <f>IF(AND(4234&lt;$U$9,$W$5),BQ4247*1000000-MIN(BR4247,999)*1000+BS4247-4234/100000,-1000000000-4234)</f>
        <v/>
      </c>
    </row>
    <row r="4248">
      <c r="BN4248">
        <f>IF(4235&lt;$U$9,INT(4235/($U$7*$U$8))+1,1)</f>
        <v/>
      </c>
      <c r="BO4248">
        <f>IF(4235&lt;$U$9,MOD(INT(4235/$U$8),$U$7)+1,1)</f>
        <v/>
      </c>
      <c r="BP4248">
        <f>IF(4235&lt;$U$9,MOD(4235,$U$8)+1,1)</f>
        <v/>
      </c>
      <c r="BQ4248">
        <f>IF(4235&lt;$U$9,SUMPRODUCT(($D$10:$L$10&lt;&gt;"")*(($D$9:$L$9+INT(($S$12:$AA$12+INDEX($AJ$13:$AR$162,BN4248,0)+INDEX($AT$13:$BB$162,BO4248,0)+INDEX($BD$13:$BL$162,BP4248,0))/100))&gt;=$D$10:$L$10)),0)</f>
        <v/>
      </c>
      <c r="BR4248">
        <f>IF(4235&lt;$U$9,SUMPRODUCT(($D$10:$L$10&lt;&gt;"")*(($D$10:$L$10-($D$9:$L$9+INT(($S$12:$AA$12+INDEX($AJ$13:$AR$162,BN4248,0)+INDEX($AT$13:$BB$162,BO4248,0)+INDEX($BD$13:$BL$162,BP4248,0))/100)))&gt;0)*($D$10:$L$10-($D$9:$L$9+INT(($S$12:$AA$12+INDEX($AJ$13:$AR$162,BN4248,0)+INDEX($AT$13:$BB$162,BO4248,0)+INDEX($BD$13:$BL$162,BP4248,0))/100)))),0)</f>
        <v/>
      </c>
      <c r="BS4248">
        <f>IF(4235&lt;$U$9,SUMPRODUCT(($D$9:$L$9+INT(($S$12:$AA$12+INDEX($AJ$13:$AR$162,BN4248,0)+INDEX($AT$13:$BB$162,BO4248,0)+INDEX($BD$13:$BL$162,BP4248,0))/100))),0)</f>
        <v/>
      </c>
      <c r="BT4248">
        <f>IF(AND(4235&lt;$U$9,$W$5),BQ4248*1000000-MIN(BR4248,999)*1000+BS4248-4235/100000,-1000000000-4235)</f>
        <v/>
      </c>
    </row>
    <row r="4249">
      <c r="BN4249">
        <f>IF(4236&lt;$U$9,INT(4236/($U$7*$U$8))+1,1)</f>
        <v/>
      </c>
      <c r="BO4249">
        <f>IF(4236&lt;$U$9,MOD(INT(4236/$U$8),$U$7)+1,1)</f>
        <v/>
      </c>
      <c r="BP4249">
        <f>IF(4236&lt;$U$9,MOD(4236,$U$8)+1,1)</f>
        <v/>
      </c>
      <c r="BQ4249">
        <f>IF(4236&lt;$U$9,SUMPRODUCT(($D$10:$L$10&lt;&gt;"")*(($D$9:$L$9+INT(($S$12:$AA$12+INDEX($AJ$13:$AR$162,BN4249,0)+INDEX($AT$13:$BB$162,BO4249,0)+INDEX($BD$13:$BL$162,BP4249,0))/100))&gt;=$D$10:$L$10)),0)</f>
        <v/>
      </c>
      <c r="BR4249">
        <f>IF(4236&lt;$U$9,SUMPRODUCT(($D$10:$L$10&lt;&gt;"")*(($D$10:$L$10-($D$9:$L$9+INT(($S$12:$AA$12+INDEX($AJ$13:$AR$162,BN4249,0)+INDEX($AT$13:$BB$162,BO4249,0)+INDEX($BD$13:$BL$162,BP4249,0))/100)))&gt;0)*($D$10:$L$10-($D$9:$L$9+INT(($S$12:$AA$12+INDEX($AJ$13:$AR$162,BN4249,0)+INDEX($AT$13:$BB$162,BO4249,0)+INDEX($BD$13:$BL$162,BP4249,0))/100)))),0)</f>
        <v/>
      </c>
      <c r="BS4249">
        <f>IF(4236&lt;$U$9,SUMPRODUCT(($D$9:$L$9+INT(($S$12:$AA$12+INDEX($AJ$13:$AR$162,BN4249,0)+INDEX($AT$13:$BB$162,BO4249,0)+INDEX($BD$13:$BL$162,BP4249,0))/100))),0)</f>
        <v/>
      </c>
      <c r="BT4249">
        <f>IF(AND(4236&lt;$U$9,$W$5),BQ4249*1000000-MIN(BR4249,999)*1000+BS4249-4236/100000,-1000000000-4236)</f>
        <v/>
      </c>
    </row>
    <row r="4250">
      <c r="BN4250">
        <f>IF(4237&lt;$U$9,INT(4237/($U$7*$U$8))+1,1)</f>
        <v/>
      </c>
      <c r="BO4250">
        <f>IF(4237&lt;$U$9,MOD(INT(4237/$U$8),$U$7)+1,1)</f>
        <v/>
      </c>
      <c r="BP4250">
        <f>IF(4237&lt;$U$9,MOD(4237,$U$8)+1,1)</f>
        <v/>
      </c>
      <c r="BQ4250">
        <f>IF(4237&lt;$U$9,SUMPRODUCT(($D$10:$L$10&lt;&gt;"")*(($D$9:$L$9+INT(($S$12:$AA$12+INDEX($AJ$13:$AR$162,BN4250,0)+INDEX($AT$13:$BB$162,BO4250,0)+INDEX($BD$13:$BL$162,BP4250,0))/100))&gt;=$D$10:$L$10)),0)</f>
        <v/>
      </c>
      <c r="BR4250">
        <f>IF(4237&lt;$U$9,SUMPRODUCT(($D$10:$L$10&lt;&gt;"")*(($D$10:$L$10-($D$9:$L$9+INT(($S$12:$AA$12+INDEX($AJ$13:$AR$162,BN4250,0)+INDEX($AT$13:$BB$162,BO4250,0)+INDEX($BD$13:$BL$162,BP4250,0))/100)))&gt;0)*($D$10:$L$10-($D$9:$L$9+INT(($S$12:$AA$12+INDEX($AJ$13:$AR$162,BN4250,0)+INDEX($AT$13:$BB$162,BO4250,0)+INDEX($BD$13:$BL$162,BP4250,0))/100)))),0)</f>
        <v/>
      </c>
      <c r="BS4250">
        <f>IF(4237&lt;$U$9,SUMPRODUCT(($D$9:$L$9+INT(($S$12:$AA$12+INDEX($AJ$13:$AR$162,BN4250,0)+INDEX($AT$13:$BB$162,BO4250,0)+INDEX($BD$13:$BL$162,BP4250,0))/100))),0)</f>
        <v/>
      </c>
      <c r="BT4250">
        <f>IF(AND(4237&lt;$U$9,$W$5),BQ4250*1000000-MIN(BR4250,999)*1000+BS4250-4237/100000,-1000000000-4237)</f>
        <v/>
      </c>
    </row>
    <row r="4251">
      <c r="BN4251">
        <f>IF(4238&lt;$U$9,INT(4238/($U$7*$U$8))+1,1)</f>
        <v/>
      </c>
      <c r="BO4251">
        <f>IF(4238&lt;$U$9,MOD(INT(4238/$U$8),$U$7)+1,1)</f>
        <v/>
      </c>
      <c r="BP4251">
        <f>IF(4238&lt;$U$9,MOD(4238,$U$8)+1,1)</f>
        <v/>
      </c>
      <c r="BQ4251">
        <f>IF(4238&lt;$U$9,SUMPRODUCT(($D$10:$L$10&lt;&gt;"")*(($D$9:$L$9+INT(($S$12:$AA$12+INDEX($AJ$13:$AR$162,BN4251,0)+INDEX($AT$13:$BB$162,BO4251,0)+INDEX($BD$13:$BL$162,BP4251,0))/100))&gt;=$D$10:$L$10)),0)</f>
        <v/>
      </c>
      <c r="BR4251">
        <f>IF(4238&lt;$U$9,SUMPRODUCT(($D$10:$L$10&lt;&gt;"")*(($D$10:$L$10-($D$9:$L$9+INT(($S$12:$AA$12+INDEX($AJ$13:$AR$162,BN4251,0)+INDEX($AT$13:$BB$162,BO4251,0)+INDEX($BD$13:$BL$162,BP4251,0))/100)))&gt;0)*($D$10:$L$10-($D$9:$L$9+INT(($S$12:$AA$12+INDEX($AJ$13:$AR$162,BN4251,0)+INDEX($AT$13:$BB$162,BO4251,0)+INDEX($BD$13:$BL$162,BP4251,0))/100)))),0)</f>
        <v/>
      </c>
      <c r="BS4251">
        <f>IF(4238&lt;$U$9,SUMPRODUCT(($D$9:$L$9+INT(($S$12:$AA$12+INDEX($AJ$13:$AR$162,BN4251,0)+INDEX($AT$13:$BB$162,BO4251,0)+INDEX($BD$13:$BL$162,BP4251,0))/100))),0)</f>
        <v/>
      </c>
      <c r="BT4251">
        <f>IF(AND(4238&lt;$U$9,$W$5),BQ4251*1000000-MIN(BR4251,999)*1000+BS4251-4238/100000,-1000000000-4238)</f>
        <v/>
      </c>
    </row>
    <row r="4252">
      <c r="BN4252">
        <f>IF(4239&lt;$U$9,INT(4239/($U$7*$U$8))+1,1)</f>
        <v/>
      </c>
      <c r="BO4252">
        <f>IF(4239&lt;$U$9,MOD(INT(4239/$U$8),$U$7)+1,1)</f>
        <v/>
      </c>
      <c r="BP4252">
        <f>IF(4239&lt;$U$9,MOD(4239,$U$8)+1,1)</f>
        <v/>
      </c>
      <c r="BQ4252">
        <f>IF(4239&lt;$U$9,SUMPRODUCT(($D$10:$L$10&lt;&gt;"")*(($D$9:$L$9+INT(($S$12:$AA$12+INDEX($AJ$13:$AR$162,BN4252,0)+INDEX($AT$13:$BB$162,BO4252,0)+INDEX($BD$13:$BL$162,BP4252,0))/100))&gt;=$D$10:$L$10)),0)</f>
        <v/>
      </c>
      <c r="BR4252">
        <f>IF(4239&lt;$U$9,SUMPRODUCT(($D$10:$L$10&lt;&gt;"")*(($D$10:$L$10-($D$9:$L$9+INT(($S$12:$AA$12+INDEX($AJ$13:$AR$162,BN4252,0)+INDEX($AT$13:$BB$162,BO4252,0)+INDEX($BD$13:$BL$162,BP4252,0))/100)))&gt;0)*($D$10:$L$10-($D$9:$L$9+INT(($S$12:$AA$12+INDEX($AJ$13:$AR$162,BN4252,0)+INDEX($AT$13:$BB$162,BO4252,0)+INDEX($BD$13:$BL$162,BP4252,0))/100)))),0)</f>
        <v/>
      </c>
      <c r="BS4252">
        <f>IF(4239&lt;$U$9,SUMPRODUCT(($D$9:$L$9+INT(($S$12:$AA$12+INDEX($AJ$13:$AR$162,BN4252,0)+INDEX($AT$13:$BB$162,BO4252,0)+INDEX($BD$13:$BL$162,BP4252,0))/100))),0)</f>
        <v/>
      </c>
      <c r="BT4252">
        <f>IF(AND(4239&lt;$U$9,$W$5),BQ4252*1000000-MIN(BR4252,999)*1000+BS4252-4239/100000,-1000000000-4239)</f>
        <v/>
      </c>
    </row>
    <row r="4253">
      <c r="BN4253">
        <f>IF(4240&lt;$U$9,INT(4240/($U$7*$U$8))+1,1)</f>
        <v/>
      </c>
      <c r="BO4253">
        <f>IF(4240&lt;$U$9,MOD(INT(4240/$U$8),$U$7)+1,1)</f>
        <v/>
      </c>
      <c r="BP4253">
        <f>IF(4240&lt;$U$9,MOD(4240,$U$8)+1,1)</f>
        <v/>
      </c>
      <c r="BQ4253">
        <f>IF(4240&lt;$U$9,SUMPRODUCT(($D$10:$L$10&lt;&gt;"")*(($D$9:$L$9+INT(($S$12:$AA$12+INDEX($AJ$13:$AR$162,BN4253,0)+INDEX($AT$13:$BB$162,BO4253,0)+INDEX($BD$13:$BL$162,BP4253,0))/100))&gt;=$D$10:$L$10)),0)</f>
        <v/>
      </c>
      <c r="BR4253">
        <f>IF(4240&lt;$U$9,SUMPRODUCT(($D$10:$L$10&lt;&gt;"")*(($D$10:$L$10-($D$9:$L$9+INT(($S$12:$AA$12+INDEX($AJ$13:$AR$162,BN4253,0)+INDEX($AT$13:$BB$162,BO4253,0)+INDEX($BD$13:$BL$162,BP4253,0))/100)))&gt;0)*($D$10:$L$10-($D$9:$L$9+INT(($S$12:$AA$12+INDEX($AJ$13:$AR$162,BN4253,0)+INDEX($AT$13:$BB$162,BO4253,0)+INDEX($BD$13:$BL$162,BP4253,0))/100)))),0)</f>
        <v/>
      </c>
      <c r="BS4253">
        <f>IF(4240&lt;$U$9,SUMPRODUCT(($D$9:$L$9+INT(($S$12:$AA$12+INDEX($AJ$13:$AR$162,BN4253,0)+INDEX($AT$13:$BB$162,BO4253,0)+INDEX($BD$13:$BL$162,BP4253,0))/100))),0)</f>
        <v/>
      </c>
      <c r="BT4253">
        <f>IF(AND(4240&lt;$U$9,$W$5),BQ4253*1000000-MIN(BR4253,999)*1000+BS4253-4240/100000,-1000000000-4240)</f>
        <v/>
      </c>
    </row>
    <row r="4254">
      <c r="BN4254">
        <f>IF(4241&lt;$U$9,INT(4241/($U$7*$U$8))+1,1)</f>
        <v/>
      </c>
      <c r="BO4254">
        <f>IF(4241&lt;$U$9,MOD(INT(4241/$U$8),$U$7)+1,1)</f>
        <v/>
      </c>
      <c r="BP4254">
        <f>IF(4241&lt;$U$9,MOD(4241,$U$8)+1,1)</f>
        <v/>
      </c>
      <c r="BQ4254">
        <f>IF(4241&lt;$U$9,SUMPRODUCT(($D$10:$L$10&lt;&gt;"")*(($D$9:$L$9+INT(($S$12:$AA$12+INDEX($AJ$13:$AR$162,BN4254,0)+INDEX($AT$13:$BB$162,BO4254,0)+INDEX($BD$13:$BL$162,BP4254,0))/100))&gt;=$D$10:$L$10)),0)</f>
        <v/>
      </c>
      <c r="BR4254">
        <f>IF(4241&lt;$U$9,SUMPRODUCT(($D$10:$L$10&lt;&gt;"")*(($D$10:$L$10-($D$9:$L$9+INT(($S$12:$AA$12+INDEX($AJ$13:$AR$162,BN4254,0)+INDEX($AT$13:$BB$162,BO4254,0)+INDEX($BD$13:$BL$162,BP4254,0))/100)))&gt;0)*($D$10:$L$10-($D$9:$L$9+INT(($S$12:$AA$12+INDEX($AJ$13:$AR$162,BN4254,0)+INDEX($AT$13:$BB$162,BO4254,0)+INDEX($BD$13:$BL$162,BP4254,0))/100)))),0)</f>
        <v/>
      </c>
      <c r="BS4254">
        <f>IF(4241&lt;$U$9,SUMPRODUCT(($D$9:$L$9+INT(($S$12:$AA$12+INDEX($AJ$13:$AR$162,BN4254,0)+INDEX($AT$13:$BB$162,BO4254,0)+INDEX($BD$13:$BL$162,BP4254,0))/100))),0)</f>
        <v/>
      </c>
      <c r="BT4254">
        <f>IF(AND(4241&lt;$U$9,$W$5),BQ4254*1000000-MIN(BR4254,999)*1000+BS4254-4241/100000,-1000000000-4241)</f>
        <v/>
      </c>
    </row>
    <row r="4255">
      <c r="BN4255">
        <f>IF(4242&lt;$U$9,INT(4242/($U$7*$U$8))+1,1)</f>
        <v/>
      </c>
      <c r="BO4255">
        <f>IF(4242&lt;$U$9,MOD(INT(4242/$U$8),$U$7)+1,1)</f>
        <v/>
      </c>
      <c r="BP4255">
        <f>IF(4242&lt;$U$9,MOD(4242,$U$8)+1,1)</f>
        <v/>
      </c>
      <c r="BQ4255">
        <f>IF(4242&lt;$U$9,SUMPRODUCT(($D$10:$L$10&lt;&gt;"")*(($D$9:$L$9+INT(($S$12:$AA$12+INDEX($AJ$13:$AR$162,BN4255,0)+INDEX($AT$13:$BB$162,BO4255,0)+INDEX($BD$13:$BL$162,BP4255,0))/100))&gt;=$D$10:$L$10)),0)</f>
        <v/>
      </c>
      <c r="BR4255">
        <f>IF(4242&lt;$U$9,SUMPRODUCT(($D$10:$L$10&lt;&gt;"")*(($D$10:$L$10-($D$9:$L$9+INT(($S$12:$AA$12+INDEX($AJ$13:$AR$162,BN4255,0)+INDEX($AT$13:$BB$162,BO4255,0)+INDEX($BD$13:$BL$162,BP4255,0))/100)))&gt;0)*($D$10:$L$10-($D$9:$L$9+INT(($S$12:$AA$12+INDEX($AJ$13:$AR$162,BN4255,0)+INDEX($AT$13:$BB$162,BO4255,0)+INDEX($BD$13:$BL$162,BP4255,0))/100)))),0)</f>
        <v/>
      </c>
      <c r="BS4255">
        <f>IF(4242&lt;$U$9,SUMPRODUCT(($D$9:$L$9+INT(($S$12:$AA$12+INDEX($AJ$13:$AR$162,BN4255,0)+INDEX($AT$13:$BB$162,BO4255,0)+INDEX($BD$13:$BL$162,BP4255,0))/100))),0)</f>
        <v/>
      </c>
      <c r="BT4255">
        <f>IF(AND(4242&lt;$U$9,$W$5),BQ4255*1000000-MIN(BR4255,999)*1000+BS4255-4242/100000,-1000000000-4242)</f>
        <v/>
      </c>
    </row>
    <row r="4256">
      <c r="BN4256">
        <f>IF(4243&lt;$U$9,INT(4243/($U$7*$U$8))+1,1)</f>
        <v/>
      </c>
      <c r="BO4256">
        <f>IF(4243&lt;$U$9,MOD(INT(4243/$U$8),$U$7)+1,1)</f>
        <v/>
      </c>
      <c r="BP4256">
        <f>IF(4243&lt;$U$9,MOD(4243,$U$8)+1,1)</f>
        <v/>
      </c>
      <c r="BQ4256">
        <f>IF(4243&lt;$U$9,SUMPRODUCT(($D$10:$L$10&lt;&gt;"")*(($D$9:$L$9+INT(($S$12:$AA$12+INDEX($AJ$13:$AR$162,BN4256,0)+INDEX($AT$13:$BB$162,BO4256,0)+INDEX($BD$13:$BL$162,BP4256,0))/100))&gt;=$D$10:$L$10)),0)</f>
        <v/>
      </c>
      <c r="BR4256">
        <f>IF(4243&lt;$U$9,SUMPRODUCT(($D$10:$L$10&lt;&gt;"")*(($D$10:$L$10-($D$9:$L$9+INT(($S$12:$AA$12+INDEX($AJ$13:$AR$162,BN4256,0)+INDEX($AT$13:$BB$162,BO4256,0)+INDEX($BD$13:$BL$162,BP4256,0))/100)))&gt;0)*($D$10:$L$10-($D$9:$L$9+INT(($S$12:$AA$12+INDEX($AJ$13:$AR$162,BN4256,0)+INDEX($AT$13:$BB$162,BO4256,0)+INDEX($BD$13:$BL$162,BP4256,0))/100)))),0)</f>
        <v/>
      </c>
      <c r="BS4256">
        <f>IF(4243&lt;$U$9,SUMPRODUCT(($D$9:$L$9+INT(($S$12:$AA$12+INDEX($AJ$13:$AR$162,BN4256,0)+INDEX($AT$13:$BB$162,BO4256,0)+INDEX($BD$13:$BL$162,BP4256,0))/100))),0)</f>
        <v/>
      </c>
      <c r="BT4256">
        <f>IF(AND(4243&lt;$U$9,$W$5),BQ4256*1000000-MIN(BR4256,999)*1000+BS4256-4243/100000,-1000000000-4243)</f>
        <v/>
      </c>
    </row>
    <row r="4257">
      <c r="BN4257">
        <f>IF(4244&lt;$U$9,INT(4244/($U$7*$U$8))+1,1)</f>
        <v/>
      </c>
      <c r="BO4257">
        <f>IF(4244&lt;$U$9,MOD(INT(4244/$U$8),$U$7)+1,1)</f>
        <v/>
      </c>
      <c r="BP4257">
        <f>IF(4244&lt;$U$9,MOD(4244,$U$8)+1,1)</f>
        <v/>
      </c>
      <c r="BQ4257">
        <f>IF(4244&lt;$U$9,SUMPRODUCT(($D$10:$L$10&lt;&gt;"")*(($D$9:$L$9+INT(($S$12:$AA$12+INDEX($AJ$13:$AR$162,BN4257,0)+INDEX($AT$13:$BB$162,BO4257,0)+INDEX($BD$13:$BL$162,BP4257,0))/100))&gt;=$D$10:$L$10)),0)</f>
        <v/>
      </c>
      <c r="BR4257">
        <f>IF(4244&lt;$U$9,SUMPRODUCT(($D$10:$L$10&lt;&gt;"")*(($D$10:$L$10-($D$9:$L$9+INT(($S$12:$AA$12+INDEX($AJ$13:$AR$162,BN4257,0)+INDEX($AT$13:$BB$162,BO4257,0)+INDEX($BD$13:$BL$162,BP4257,0))/100)))&gt;0)*($D$10:$L$10-($D$9:$L$9+INT(($S$12:$AA$12+INDEX($AJ$13:$AR$162,BN4257,0)+INDEX($AT$13:$BB$162,BO4257,0)+INDEX($BD$13:$BL$162,BP4257,0))/100)))),0)</f>
        <v/>
      </c>
      <c r="BS4257">
        <f>IF(4244&lt;$U$9,SUMPRODUCT(($D$9:$L$9+INT(($S$12:$AA$12+INDEX($AJ$13:$AR$162,BN4257,0)+INDEX($AT$13:$BB$162,BO4257,0)+INDEX($BD$13:$BL$162,BP4257,0))/100))),0)</f>
        <v/>
      </c>
      <c r="BT4257">
        <f>IF(AND(4244&lt;$U$9,$W$5),BQ4257*1000000-MIN(BR4257,999)*1000+BS4257-4244/100000,-1000000000-4244)</f>
        <v/>
      </c>
    </row>
    <row r="4258">
      <c r="BN4258">
        <f>IF(4245&lt;$U$9,INT(4245/($U$7*$U$8))+1,1)</f>
        <v/>
      </c>
      <c r="BO4258">
        <f>IF(4245&lt;$U$9,MOD(INT(4245/$U$8),$U$7)+1,1)</f>
        <v/>
      </c>
      <c r="BP4258">
        <f>IF(4245&lt;$U$9,MOD(4245,$U$8)+1,1)</f>
        <v/>
      </c>
      <c r="BQ4258">
        <f>IF(4245&lt;$U$9,SUMPRODUCT(($D$10:$L$10&lt;&gt;"")*(($D$9:$L$9+INT(($S$12:$AA$12+INDEX($AJ$13:$AR$162,BN4258,0)+INDEX($AT$13:$BB$162,BO4258,0)+INDEX($BD$13:$BL$162,BP4258,0))/100))&gt;=$D$10:$L$10)),0)</f>
        <v/>
      </c>
      <c r="BR4258">
        <f>IF(4245&lt;$U$9,SUMPRODUCT(($D$10:$L$10&lt;&gt;"")*(($D$10:$L$10-($D$9:$L$9+INT(($S$12:$AA$12+INDEX($AJ$13:$AR$162,BN4258,0)+INDEX($AT$13:$BB$162,BO4258,0)+INDEX($BD$13:$BL$162,BP4258,0))/100)))&gt;0)*($D$10:$L$10-($D$9:$L$9+INT(($S$12:$AA$12+INDEX($AJ$13:$AR$162,BN4258,0)+INDEX($AT$13:$BB$162,BO4258,0)+INDEX($BD$13:$BL$162,BP4258,0))/100)))),0)</f>
        <v/>
      </c>
      <c r="BS4258">
        <f>IF(4245&lt;$U$9,SUMPRODUCT(($D$9:$L$9+INT(($S$12:$AA$12+INDEX($AJ$13:$AR$162,BN4258,0)+INDEX($AT$13:$BB$162,BO4258,0)+INDEX($BD$13:$BL$162,BP4258,0))/100))),0)</f>
        <v/>
      </c>
      <c r="BT4258">
        <f>IF(AND(4245&lt;$U$9,$W$5),BQ4258*1000000-MIN(BR4258,999)*1000+BS4258-4245/100000,-1000000000-4245)</f>
        <v/>
      </c>
    </row>
    <row r="4259">
      <c r="BN4259">
        <f>IF(4246&lt;$U$9,INT(4246/($U$7*$U$8))+1,1)</f>
        <v/>
      </c>
      <c r="BO4259">
        <f>IF(4246&lt;$U$9,MOD(INT(4246/$U$8),$U$7)+1,1)</f>
        <v/>
      </c>
      <c r="BP4259">
        <f>IF(4246&lt;$U$9,MOD(4246,$U$8)+1,1)</f>
        <v/>
      </c>
      <c r="BQ4259">
        <f>IF(4246&lt;$U$9,SUMPRODUCT(($D$10:$L$10&lt;&gt;"")*(($D$9:$L$9+INT(($S$12:$AA$12+INDEX($AJ$13:$AR$162,BN4259,0)+INDEX($AT$13:$BB$162,BO4259,0)+INDEX($BD$13:$BL$162,BP4259,0))/100))&gt;=$D$10:$L$10)),0)</f>
        <v/>
      </c>
      <c r="BR4259">
        <f>IF(4246&lt;$U$9,SUMPRODUCT(($D$10:$L$10&lt;&gt;"")*(($D$10:$L$10-($D$9:$L$9+INT(($S$12:$AA$12+INDEX($AJ$13:$AR$162,BN4259,0)+INDEX($AT$13:$BB$162,BO4259,0)+INDEX($BD$13:$BL$162,BP4259,0))/100)))&gt;0)*($D$10:$L$10-($D$9:$L$9+INT(($S$12:$AA$12+INDEX($AJ$13:$AR$162,BN4259,0)+INDEX($AT$13:$BB$162,BO4259,0)+INDEX($BD$13:$BL$162,BP4259,0))/100)))),0)</f>
        <v/>
      </c>
      <c r="BS4259">
        <f>IF(4246&lt;$U$9,SUMPRODUCT(($D$9:$L$9+INT(($S$12:$AA$12+INDEX($AJ$13:$AR$162,BN4259,0)+INDEX($AT$13:$BB$162,BO4259,0)+INDEX($BD$13:$BL$162,BP4259,0))/100))),0)</f>
        <v/>
      </c>
      <c r="BT4259">
        <f>IF(AND(4246&lt;$U$9,$W$5),BQ4259*1000000-MIN(BR4259,999)*1000+BS4259-4246/100000,-1000000000-4246)</f>
        <v/>
      </c>
    </row>
    <row r="4260">
      <c r="BN4260">
        <f>IF(4247&lt;$U$9,INT(4247/($U$7*$U$8))+1,1)</f>
        <v/>
      </c>
      <c r="BO4260">
        <f>IF(4247&lt;$U$9,MOD(INT(4247/$U$8),$U$7)+1,1)</f>
        <v/>
      </c>
      <c r="BP4260">
        <f>IF(4247&lt;$U$9,MOD(4247,$U$8)+1,1)</f>
        <v/>
      </c>
      <c r="BQ4260">
        <f>IF(4247&lt;$U$9,SUMPRODUCT(($D$10:$L$10&lt;&gt;"")*(($D$9:$L$9+INT(($S$12:$AA$12+INDEX($AJ$13:$AR$162,BN4260,0)+INDEX($AT$13:$BB$162,BO4260,0)+INDEX($BD$13:$BL$162,BP4260,0))/100))&gt;=$D$10:$L$10)),0)</f>
        <v/>
      </c>
      <c r="BR4260">
        <f>IF(4247&lt;$U$9,SUMPRODUCT(($D$10:$L$10&lt;&gt;"")*(($D$10:$L$10-($D$9:$L$9+INT(($S$12:$AA$12+INDEX($AJ$13:$AR$162,BN4260,0)+INDEX($AT$13:$BB$162,BO4260,0)+INDEX($BD$13:$BL$162,BP4260,0))/100)))&gt;0)*($D$10:$L$10-($D$9:$L$9+INT(($S$12:$AA$12+INDEX($AJ$13:$AR$162,BN4260,0)+INDEX($AT$13:$BB$162,BO4260,0)+INDEX($BD$13:$BL$162,BP4260,0))/100)))),0)</f>
        <v/>
      </c>
      <c r="BS4260">
        <f>IF(4247&lt;$U$9,SUMPRODUCT(($D$9:$L$9+INT(($S$12:$AA$12+INDEX($AJ$13:$AR$162,BN4260,0)+INDEX($AT$13:$BB$162,BO4260,0)+INDEX($BD$13:$BL$162,BP4260,0))/100))),0)</f>
        <v/>
      </c>
      <c r="BT4260">
        <f>IF(AND(4247&lt;$U$9,$W$5),BQ4260*1000000-MIN(BR4260,999)*1000+BS4260-4247/100000,-1000000000-4247)</f>
        <v/>
      </c>
    </row>
    <row r="4261">
      <c r="BN4261">
        <f>IF(4248&lt;$U$9,INT(4248/($U$7*$U$8))+1,1)</f>
        <v/>
      </c>
      <c r="BO4261">
        <f>IF(4248&lt;$U$9,MOD(INT(4248/$U$8),$U$7)+1,1)</f>
        <v/>
      </c>
      <c r="BP4261">
        <f>IF(4248&lt;$U$9,MOD(4248,$U$8)+1,1)</f>
        <v/>
      </c>
      <c r="BQ4261">
        <f>IF(4248&lt;$U$9,SUMPRODUCT(($D$10:$L$10&lt;&gt;"")*(($D$9:$L$9+INT(($S$12:$AA$12+INDEX($AJ$13:$AR$162,BN4261,0)+INDEX($AT$13:$BB$162,BO4261,0)+INDEX($BD$13:$BL$162,BP4261,0))/100))&gt;=$D$10:$L$10)),0)</f>
        <v/>
      </c>
      <c r="BR4261">
        <f>IF(4248&lt;$U$9,SUMPRODUCT(($D$10:$L$10&lt;&gt;"")*(($D$10:$L$10-($D$9:$L$9+INT(($S$12:$AA$12+INDEX($AJ$13:$AR$162,BN4261,0)+INDEX($AT$13:$BB$162,BO4261,0)+INDEX($BD$13:$BL$162,BP4261,0))/100)))&gt;0)*($D$10:$L$10-($D$9:$L$9+INT(($S$12:$AA$12+INDEX($AJ$13:$AR$162,BN4261,0)+INDEX($AT$13:$BB$162,BO4261,0)+INDEX($BD$13:$BL$162,BP4261,0))/100)))),0)</f>
        <v/>
      </c>
      <c r="BS4261">
        <f>IF(4248&lt;$U$9,SUMPRODUCT(($D$9:$L$9+INT(($S$12:$AA$12+INDEX($AJ$13:$AR$162,BN4261,0)+INDEX($AT$13:$BB$162,BO4261,0)+INDEX($BD$13:$BL$162,BP4261,0))/100))),0)</f>
        <v/>
      </c>
      <c r="BT4261">
        <f>IF(AND(4248&lt;$U$9,$W$5),BQ4261*1000000-MIN(BR4261,999)*1000+BS4261-4248/100000,-1000000000-4248)</f>
        <v/>
      </c>
    </row>
    <row r="4262">
      <c r="BN4262">
        <f>IF(4249&lt;$U$9,INT(4249/($U$7*$U$8))+1,1)</f>
        <v/>
      </c>
      <c r="BO4262">
        <f>IF(4249&lt;$U$9,MOD(INT(4249/$U$8),$U$7)+1,1)</f>
        <v/>
      </c>
      <c r="BP4262">
        <f>IF(4249&lt;$U$9,MOD(4249,$U$8)+1,1)</f>
        <v/>
      </c>
      <c r="BQ4262">
        <f>IF(4249&lt;$U$9,SUMPRODUCT(($D$10:$L$10&lt;&gt;"")*(($D$9:$L$9+INT(($S$12:$AA$12+INDEX($AJ$13:$AR$162,BN4262,0)+INDEX($AT$13:$BB$162,BO4262,0)+INDEX($BD$13:$BL$162,BP4262,0))/100))&gt;=$D$10:$L$10)),0)</f>
        <v/>
      </c>
      <c r="BR4262">
        <f>IF(4249&lt;$U$9,SUMPRODUCT(($D$10:$L$10&lt;&gt;"")*(($D$10:$L$10-($D$9:$L$9+INT(($S$12:$AA$12+INDEX($AJ$13:$AR$162,BN4262,0)+INDEX($AT$13:$BB$162,BO4262,0)+INDEX($BD$13:$BL$162,BP4262,0))/100)))&gt;0)*($D$10:$L$10-($D$9:$L$9+INT(($S$12:$AA$12+INDEX($AJ$13:$AR$162,BN4262,0)+INDEX($AT$13:$BB$162,BO4262,0)+INDEX($BD$13:$BL$162,BP4262,0))/100)))),0)</f>
        <v/>
      </c>
      <c r="BS4262">
        <f>IF(4249&lt;$U$9,SUMPRODUCT(($D$9:$L$9+INT(($S$12:$AA$12+INDEX($AJ$13:$AR$162,BN4262,0)+INDEX($AT$13:$BB$162,BO4262,0)+INDEX($BD$13:$BL$162,BP4262,0))/100))),0)</f>
        <v/>
      </c>
      <c r="BT4262">
        <f>IF(AND(4249&lt;$U$9,$W$5),BQ4262*1000000-MIN(BR4262,999)*1000+BS4262-4249/100000,-1000000000-4249)</f>
        <v/>
      </c>
    </row>
    <row r="4263">
      <c r="BN4263">
        <f>IF(4250&lt;$U$9,INT(4250/($U$7*$U$8))+1,1)</f>
        <v/>
      </c>
      <c r="BO4263">
        <f>IF(4250&lt;$U$9,MOD(INT(4250/$U$8),$U$7)+1,1)</f>
        <v/>
      </c>
      <c r="BP4263">
        <f>IF(4250&lt;$U$9,MOD(4250,$U$8)+1,1)</f>
        <v/>
      </c>
      <c r="BQ4263">
        <f>IF(4250&lt;$U$9,SUMPRODUCT(($D$10:$L$10&lt;&gt;"")*(($D$9:$L$9+INT(($S$12:$AA$12+INDEX($AJ$13:$AR$162,BN4263,0)+INDEX($AT$13:$BB$162,BO4263,0)+INDEX($BD$13:$BL$162,BP4263,0))/100))&gt;=$D$10:$L$10)),0)</f>
        <v/>
      </c>
      <c r="BR4263">
        <f>IF(4250&lt;$U$9,SUMPRODUCT(($D$10:$L$10&lt;&gt;"")*(($D$10:$L$10-($D$9:$L$9+INT(($S$12:$AA$12+INDEX($AJ$13:$AR$162,BN4263,0)+INDEX($AT$13:$BB$162,BO4263,0)+INDEX($BD$13:$BL$162,BP4263,0))/100)))&gt;0)*($D$10:$L$10-($D$9:$L$9+INT(($S$12:$AA$12+INDEX($AJ$13:$AR$162,BN4263,0)+INDEX($AT$13:$BB$162,BO4263,0)+INDEX($BD$13:$BL$162,BP4263,0))/100)))),0)</f>
        <v/>
      </c>
      <c r="BS4263">
        <f>IF(4250&lt;$U$9,SUMPRODUCT(($D$9:$L$9+INT(($S$12:$AA$12+INDEX($AJ$13:$AR$162,BN4263,0)+INDEX($AT$13:$BB$162,BO4263,0)+INDEX($BD$13:$BL$162,BP4263,0))/100))),0)</f>
        <v/>
      </c>
      <c r="BT4263">
        <f>IF(AND(4250&lt;$U$9,$W$5),BQ4263*1000000-MIN(BR4263,999)*1000+BS4263-4250/100000,-1000000000-4250)</f>
        <v/>
      </c>
    </row>
    <row r="4264">
      <c r="BN4264">
        <f>IF(4251&lt;$U$9,INT(4251/($U$7*$U$8))+1,1)</f>
        <v/>
      </c>
      <c r="BO4264">
        <f>IF(4251&lt;$U$9,MOD(INT(4251/$U$8),$U$7)+1,1)</f>
        <v/>
      </c>
      <c r="BP4264">
        <f>IF(4251&lt;$U$9,MOD(4251,$U$8)+1,1)</f>
        <v/>
      </c>
      <c r="BQ4264">
        <f>IF(4251&lt;$U$9,SUMPRODUCT(($D$10:$L$10&lt;&gt;"")*(($D$9:$L$9+INT(($S$12:$AA$12+INDEX($AJ$13:$AR$162,BN4264,0)+INDEX($AT$13:$BB$162,BO4264,0)+INDEX($BD$13:$BL$162,BP4264,0))/100))&gt;=$D$10:$L$10)),0)</f>
        <v/>
      </c>
      <c r="BR4264">
        <f>IF(4251&lt;$U$9,SUMPRODUCT(($D$10:$L$10&lt;&gt;"")*(($D$10:$L$10-($D$9:$L$9+INT(($S$12:$AA$12+INDEX($AJ$13:$AR$162,BN4264,0)+INDEX($AT$13:$BB$162,BO4264,0)+INDEX($BD$13:$BL$162,BP4264,0))/100)))&gt;0)*($D$10:$L$10-($D$9:$L$9+INT(($S$12:$AA$12+INDEX($AJ$13:$AR$162,BN4264,0)+INDEX($AT$13:$BB$162,BO4264,0)+INDEX($BD$13:$BL$162,BP4264,0))/100)))),0)</f>
        <v/>
      </c>
      <c r="BS4264">
        <f>IF(4251&lt;$U$9,SUMPRODUCT(($D$9:$L$9+INT(($S$12:$AA$12+INDEX($AJ$13:$AR$162,BN4264,0)+INDEX($AT$13:$BB$162,BO4264,0)+INDEX($BD$13:$BL$162,BP4264,0))/100))),0)</f>
        <v/>
      </c>
      <c r="BT4264">
        <f>IF(AND(4251&lt;$U$9,$W$5),BQ4264*1000000-MIN(BR4264,999)*1000+BS4264-4251/100000,-1000000000-4251)</f>
        <v/>
      </c>
    </row>
    <row r="4265">
      <c r="BN4265">
        <f>IF(4252&lt;$U$9,INT(4252/($U$7*$U$8))+1,1)</f>
        <v/>
      </c>
      <c r="BO4265">
        <f>IF(4252&lt;$U$9,MOD(INT(4252/$U$8),$U$7)+1,1)</f>
        <v/>
      </c>
      <c r="BP4265">
        <f>IF(4252&lt;$U$9,MOD(4252,$U$8)+1,1)</f>
        <v/>
      </c>
      <c r="BQ4265">
        <f>IF(4252&lt;$U$9,SUMPRODUCT(($D$10:$L$10&lt;&gt;"")*(($D$9:$L$9+INT(($S$12:$AA$12+INDEX($AJ$13:$AR$162,BN4265,0)+INDEX($AT$13:$BB$162,BO4265,0)+INDEX($BD$13:$BL$162,BP4265,0))/100))&gt;=$D$10:$L$10)),0)</f>
        <v/>
      </c>
      <c r="BR4265">
        <f>IF(4252&lt;$U$9,SUMPRODUCT(($D$10:$L$10&lt;&gt;"")*(($D$10:$L$10-($D$9:$L$9+INT(($S$12:$AA$12+INDEX($AJ$13:$AR$162,BN4265,0)+INDEX($AT$13:$BB$162,BO4265,0)+INDEX($BD$13:$BL$162,BP4265,0))/100)))&gt;0)*($D$10:$L$10-($D$9:$L$9+INT(($S$12:$AA$12+INDEX($AJ$13:$AR$162,BN4265,0)+INDEX($AT$13:$BB$162,BO4265,0)+INDEX($BD$13:$BL$162,BP4265,0))/100)))),0)</f>
        <v/>
      </c>
      <c r="BS4265">
        <f>IF(4252&lt;$U$9,SUMPRODUCT(($D$9:$L$9+INT(($S$12:$AA$12+INDEX($AJ$13:$AR$162,BN4265,0)+INDEX($AT$13:$BB$162,BO4265,0)+INDEX($BD$13:$BL$162,BP4265,0))/100))),0)</f>
        <v/>
      </c>
      <c r="BT4265">
        <f>IF(AND(4252&lt;$U$9,$W$5),BQ4265*1000000-MIN(BR4265,999)*1000+BS4265-4252/100000,-1000000000-4252)</f>
        <v/>
      </c>
    </row>
    <row r="4266">
      <c r="BN4266">
        <f>IF(4253&lt;$U$9,INT(4253/($U$7*$U$8))+1,1)</f>
        <v/>
      </c>
      <c r="BO4266">
        <f>IF(4253&lt;$U$9,MOD(INT(4253/$U$8),$U$7)+1,1)</f>
        <v/>
      </c>
      <c r="BP4266">
        <f>IF(4253&lt;$U$9,MOD(4253,$U$8)+1,1)</f>
        <v/>
      </c>
      <c r="BQ4266">
        <f>IF(4253&lt;$U$9,SUMPRODUCT(($D$10:$L$10&lt;&gt;"")*(($D$9:$L$9+INT(($S$12:$AA$12+INDEX($AJ$13:$AR$162,BN4266,0)+INDEX($AT$13:$BB$162,BO4266,0)+INDEX($BD$13:$BL$162,BP4266,0))/100))&gt;=$D$10:$L$10)),0)</f>
        <v/>
      </c>
      <c r="BR4266">
        <f>IF(4253&lt;$U$9,SUMPRODUCT(($D$10:$L$10&lt;&gt;"")*(($D$10:$L$10-($D$9:$L$9+INT(($S$12:$AA$12+INDEX($AJ$13:$AR$162,BN4266,0)+INDEX($AT$13:$BB$162,BO4266,0)+INDEX($BD$13:$BL$162,BP4266,0))/100)))&gt;0)*($D$10:$L$10-($D$9:$L$9+INT(($S$12:$AA$12+INDEX($AJ$13:$AR$162,BN4266,0)+INDEX($AT$13:$BB$162,BO4266,0)+INDEX($BD$13:$BL$162,BP4266,0))/100)))),0)</f>
        <v/>
      </c>
      <c r="BS4266">
        <f>IF(4253&lt;$U$9,SUMPRODUCT(($D$9:$L$9+INT(($S$12:$AA$12+INDEX($AJ$13:$AR$162,BN4266,0)+INDEX($AT$13:$BB$162,BO4266,0)+INDEX($BD$13:$BL$162,BP4266,0))/100))),0)</f>
        <v/>
      </c>
      <c r="BT4266">
        <f>IF(AND(4253&lt;$U$9,$W$5),BQ4266*1000000-MIN(BR4266,999)*1000+BS4266-4253/100000,-1000000000-4253)</f>
        <v/>
      </c>
    </row>
    <row r="4267">
      <c r="BN4267">
        <f>IF(4254&lt;$U$9,INT(4254/($U$7*$U$8))+1,1)</f>
        <v/>
      </c>
      <c r="BO4267">
        <f>IF(4254&lt;$U$9,MOD(INT(4254/$U$8),$U$7)+1,1)</f>
        <v/>
      </c>
      <c r="BP4267">
        <f>IF(4254&lt;$U$9,MOD(4254,$U$8)+1,1)</f>
        <v/>
      </c>
      <c r="BQ4267">
        <f>IF(4254&lt;$U$9,SUMPRODUCT(($D$10:$L$10&lt;&gt;"")*(($D$9:$L$9+INT(($S$12:$AA$12+INDEX($AJ$13:$AR$162,BN4267,0)+INDEX($AT$13:$BB$162,BO4267,0)+INDEX($BD$13:$BL$162,BP4267,0))/100))&gt;=$D$10:$L$10)),0)</f>
        <v/>
      </c>
      <c r="BR4267">
        <f>IF(4254&lt;$U$9,SUMPRODUCT(($D$10:$L$10&lt;&gt;"")*(($D$10:$L$10-($D$9:$L$9+INT(($S$12:$AA$12+INDEX($AJ$13:$AR$162,BN4267,0)+INDEX($AT$13:$BB$162,BO4267,0)+INDEX($BD$13:$BL$162,BP4267,0))/100)))&gt;0)*($D$10:$L$10-($D$9:$L$9+INT(($S$12:$AA$12+INDEX($AJ$13:$AR$162,BN4267,0)+INDEX($AT$13:$BB$162,BO4267,0)+INDEX($BD$13:$BL$162,BP4267,0))/100)))),0)</f>
        <v/>
      </c>
      <c r="BS4267">
        <f>IF(4254&lt;$U$9,SUMPRODUCT(($D$9:$L$9+INT(($S$12:$AA$12+INDEX($AJ$13:$AR$162,BN4267,0)+INDEX($AT$13:$BB$162,BO4267,0)+INDEX($BD$13:$BL$162,BP4267,0))/100))),0)</f>
        <v/>
      </c>
      <c r="BT4267">
        <f>IF(AND(4254&lt;$U$9,$W$5),BQ4267*1000000-MIN(BR4267,999)*1000+BS4267-4254/100000,-1000000000-4254)</f>
        <v/>
      </c>
    </row>
    <row r="4268">
      <c r="BN4268">
        <f>IF(4255&lt;$U$9,INT(4255/($U$7*$U$8))+1,1)</f>
        <v/>
      </c>
      <c r="BO4268">
        <f>IF(4255&lt;$U$9,MOD(INT(4255/$U$8),$U$7)+1,1)</f>
        <v/>
      </c>
      <c r="BP4268">
        <f>IF(4255&lt;$U$9,MOD(4255,$U$8)+1,1)</f>
        <v/>
      </c>
      <c r="BQ4268">
        <f>IF(4255&lt;$U$9,SUMPRODUCT(($D$10:$L$10&lt;&gt;"")*(($D$9:$L$9+INT(($S$12:$AA$12+INDEX($AJ$13:$AR$162,BN4268,0)+INDEX($AT$13:$BB$162,BO4268,0)+INDEX($BD$13:$BL$162,BP4268,0))/100))&gt;=$D$10:$L$10)),0)</f>
        <v/>
      </c>
      <c r="BR4268">
        <f>IF(4255&lt;$U$9,SUMPRODUCT(($D$10:$L$10&lt;&gt;"")*(($D$10:$L$10-($D$9:$L$9+INT(($S$12:$AA$12+INDEX($AJ$13:$AR$162,BN4268,0)+INDEX($AT$13:$BB$162,BO4268,0)+INDEX($BD$13:$BL$162,BP4268,0))/100)))&gt;0)*($D$10:$L$10-($D$9:$L$9+INT(($S$12:$AA$12+INDEX($AJ$13:$AR$162,BN4268,0)+INDEX($AT$13:$BB$162,BO4268,0)+INDEX($BD$13:$BL$162,BP4268,0))/100)))),0)</f>
        <v/>
      </c>
      <c r="BS4268">
        <f>IF(4255&lt;$U$9,SUMPRODUCT(($D$9:$L$9+INT(($S$12:$AA$12+INDEX($AJ$13:$AR$162,BN4268,0)+INDEX($AT$13:$BB$162,BO4268,0)+INDEX($BD$13:$BL$162,BP4268,0))/100))),0)</f>
        <v/>
      </c>
      <c r="BT4268">
        <f>IF(AND(4255&lt;$U$9,$W$5),BQ4268*1000000-MIN(BR4268,999)*1000+BS4268-4255/100000,-1000000000-4255)</f>
        <v/>
      </c>
    </row>
    <row r="4269">
      <c r="BN4269">
        <f>IF(4256&lt;$U$9,INT(4256/($U$7*$U$8))+1,1)</f>
        <v/>
      </c>
      <c r="BO4269">
        <f>IF(4256&lt;$U$9,MOD(INT(4256/$U$8),$U$7)+1,1)</f>
        <v/>
      </c>
      <c r="BP4269">
        <f>IF(4256&lt;$U$9,MOD(4256,$U$8)+1,1)</f>
        <v/>
      </c>
      <c r="BQ4269">
        <f>IF(4256&lt;$U$9,SUMPRODUCT(($D$10:$L$10&lt;&gt;"")*(($D$9:$L$9+INT(($S$12:$AA$12+INDEX($AJ$13:$AR$162,BN4269,0)+INDEX($AT$13:$BB$162,BO4269,0)+INDEX($BD$13:$BL$162,BP4269,0))/100))&gt;=$D$10:$L$10)),0)</f>
        <v/>
      </c>
      <c r="BR4269">
        <f>IF(4256&lt;$U$9,SUMPRODUCT(($D$10:$L$10&lt;&gt;"")*(($D$10:$L$10-($D$9:$L$9+INT(($S$12:$AA$12+INDEX($AJ$13:$AR$162,BN4269,0)+INDEX($AT$13:$BB$162,BO4269,0)+INDEX($BD$13:$BL$162,BP4269,0))/100)))&gt;0)*($D$10:$L$10-($D$9:$L$9+INT(($S$12:$AA$12+INDEX($AJ$13:$AR$162,BN4269,0)+INDEX($AT$13:$BB$162,BO4269,0)+INDEX($BD$13:$BL$162,BP4269,0))/100)))),0)</f>
        <v/>
      </c>
      <c r="BS4269">
        <f>IF(4256&lt;$U$9,SUMPRODUCT(($D$9:$L$9+INT(($S$12:$AA$12+INDEX($AJ$13:$AR$162,BN4269,0)+INDEX($AT$13:$BB$162,BO4269,0)+INDEX($BD$13:$BL$162,BP4269,0))/100))),0)</f>
        <v/>
      </c>
      <c r="BT4269">
        <f>IF(AND(4256&lt;$U$9,$W$5),BQ4269*1000000-MIN(BR4269,999)*1000+BS4269-4256/100000,-1000000000-4256)</f>
        <v/>
      </c>
    </row>
    <row r="4270">
      <c r="BN4270">
        <f>IF(4257&lt;$U$9,INT(4257/($U$7*$U$8))+1,1)</f>
        <v/>
      </c>
      <c r="BO4270">
        <f>IF(4257&lt;$U$9,MOD(INT(4257/$U$8),$U$7)+1,1)</f>
        <v/>
      </c>
      <c r="BP4270">
        <f>IF(4257&lt;$U$9,MOD(4257,$U$8)+1,1)</f>
        <v/>
      </c>
      <c r="BQ4270">
        <f>IF(4257&lt;$U$9,SUMPRODUCT(($D$10:$L$10&lt;&gt;"")*(($D$9:$L$9+INT(($S$12:$AA$12+INDEX($AJ$13:$AR$162,BN4270,0)+INDEX($AT$13:$BB$162,BO4270,0)+INDEX($BD$13:$BL$162,BP4270,0))/100))&gt;=$D$10:$L$10)),0)</f>
        <v/>
      </c>
      <c r="BR4270">
        <f>IF(4257&lt;$U$9,SUMPRODUCT(($D$10:$L$10&lt;&gt;"")*(($D$10:$L$10-($D$9:$L$9+INT(($S$12:$AA$12+INDEX($AJ$13:$AR$162,BN4270,0)+INDEX($AT$13:$BB$162,BO4270,0)+INDEX($BD$13:$BL$162,BP4270,0))/100)))&gt;0)*($D$10:$L$10-($D$9:$L$9+INT(($S$12:$AA$12+INDEX($AJ$13:$AR$162,BN4270,0)+INDEX($AT$13:$BB$162,BO4270,0)+INDEX($BD$13:$BL$162,BP4270,0))/100)))),0)</f>
        <v/>
      </c>
      <c r="BS4270">
        <f>IF(4257&lt;$U$9,SUMPRODUCT(($D$9:$L$9+INT(($S$12:$AA$12+INDEX($AJ$13:$AR$162,BN4270,0)+INDEX($AT$13:$BB$162,BO4270,0)+INDEX($BD$13:$BL$162,BP4270,0))/100))),0)</f>
        <v/>
      </c>
      <c r="BT4270">
        <f>IF(AND(4257&lt;$U$9,$W$5),BQ4270*1000000-MIN(BR4270,999)*1000+BS4270-4257/100000,-1000000000-4257)</f>
        <v/>
      </c>
    </row>
    <row r="4271">
      <c r="BN4271">
        <f>IF(4258&lt;$U$9,INT(4258/($U$7*$U$8))+1,1)</f>
        <v/>
      </c>
      <c r="BO4271">
        <f>IF(4258&lt;$U$9,MOD(INT(4258/$U$8),$U$7)+1,1)</f>
        <v/>
      </c>
      <c r="BP4271">
        <f>IF(4258&lt;$U$9,MOD(4258,$U$8)+1,1)</f>
        <v/>
      </c>
      <c r="BQ4271">
        <f>IF(4258&lt;$U$9,SUMPRODUCT(($D$10:$L$10&lt;&gt;"")*(($D$9:$L$9+INT(($S$12:$AA$12+INDEX($AJ$13:$AR$162,BN4271,0)+INDEX($AT$13:$BB$162,BO4271,0)+INDEX($BD$13:$BL$162,BP4271,0))/100))&gt;=$D$10:$L$10)),0)</f>
        <v/>
      </c>
      <c r="BR4271">
        <f>IF(4258&lt;$U$9,SUMPRODUCT(($D$10:$L$10&lt;&gt;"")*(($D$10:$L$10-($D$9:$L$9+INT(($S$12:$AA$12+INDEX($AJ$13:$AR$162,BN4271,0)+INDEX($AT$13:$BB$162,BO4271,0)+INDEX($BD$13:$BL$162,BP4271,0))/100)))&gt;0)*($D$10:$L$10-($D$9:$L$9+INT(($S$12:$AA$12+INDEX($AJ$13:$AR$162,BN4271,0)+INDEX($AT$13:$BB$162,BO4271,0)+INDEX($BD$13:$BL$162,BP4271,0))/100)))),0)</f>
        <v/>
      </c>
      <c r="BS4271">
        <f>IF(4258&lt;$U$9,SUMPRODUCT(($D$9:$L$9+INT(($S$12:$AA$12+INDEX($AJ$13:$AR$162,BN4271,0)+INDEX($AT$13:$BB$162,BO4271,0)+INDEX($BD$13:$BL$162,BP4271,0))/100))),0)</f>
        <v/>
      </c>
      <c r="BT4271">
        <f>IF(AND(4258&lt;$U$9,$W$5),BQ4271*1000000-MIN(BR4271,999)*1000+BS4271-4258/100000,-1000000000-4258)</f>
        <v/>
      </c>
    </row>
    <row r="4272">
      <c r="BN4272">
        <f>IF(4259&lt;$U$9,INT(4259/($U$7*$U$8))+1,1)</f>
        <v/>
      </c>
      <c r="BO4272">
        <f>IF(4259&lt;$U$9,MOD(INT(4259/$U$8),$U$7)+1,1)</f>
        <v/>
      </c>
      <c r="BP4272">
        <f>IF(4259&lt;$U$9,MOD(4259,$U$8)+1,1)</f>
        <v/>
      </c>
      <c r="BQ4272">
        <f>IF(4259&lt;$U$9,SUMPRODUCT(($D$10:$L$10&lt;&gt;"")*(($D$9:$L$9+INT(($S$12:$AA$12+INDEX($AJ$13:$AR$162,BN4272,0)+INDEX($AT$13:$BB$162,BO4272,0)+INDEX($BD$13:$BL$162,BP4272,0))/100))&gt;=$D$10:$L$10)),0)</f>
        <v/>
      </c>
      <c r="BR4272">
        <f>IF(4259&lt;$U$9,SUMPRODUCT(($D$10:$L$10&lt;&gt;"")*(($D$10:$L$10-($D$9:$L$9+INT(($S$12:$AA$12+INDEX($AJ$13:$AR$162,BN4272,0)+INDEX($AT$13:$BB$162,BO4272,0)+INDEX($BD$13:$BL$162,BP4272,0))/100)))&gt;0)*($D$10:$L$10-($D$9:$L$9+INT(($S$12:$AA$12+INDEX($AJ$13:$AR$162,BN4272,0)+INDEX($AT$13:$BB$162,BO4272,0)+INDEX($BD$13:$BL$162,BP4272,0))/100)))),0)</f>
        <v/>
      </c>
      <c r="BS4272">
        <f>IF(4259&lt;$U$9,SUMPRODUCT(($D$9:$L$9+INT(($S$12:$AA$12+INDEX($AJ$13:$AR$162,BN4272,0)+INDEX($AT$13:$BB$162,BO4272,0)+INDEX($BD$13:$BL$162,BP4272,0))/100))),0)</f>
        <v/>
      </c>
      <c r="BT4272">
        <f>IF(AND(4259&lt;$U$9,$W$5),BQ4272*1000000-MIN(BR4272,999)*1000+BS4272-4259/100000,-1000000000-4259)</f>
        <v/>
      </c>
    </row>
    <row r="4273">
      <c r="BN4273">
        <f>IF(4260&lt;$U$9,INT(4260/($U$7*$U$8))+1,1)</f>
        <v/>
      </c>
      <c r="BO4273">
        <f>IF(4260&lt;$U$9,MOD(INT(4260/$U$8),$U$7)+1,1)</f>
        <v/>
      </c>
      <c r="BP4273">
        <f>IF(4260&lt;$U$9,MOD(4260,$U$8)+1,1)</f>
        <v/>
      </c>
      <c r="BQ4273">
        <f>IF(4260&lt;$U$9,SUMPRODUCT(($D$10:$L$10&lt;&gt;"")*(($D$9:$L$9+INT(($S$12:$AA$12+INDEX($AJ$13:$AR$162,BN4273,0)+INDEX($AT$13:$BB$162,BO4273,0)+INDEX($BD$13:$BL$162,BP4273,0))/100))&gt;=$D$10:$L$10)),0)</f>
        <v/>
      </c>
      <c r="BR4273">
        <f>IF(4260&lt;$U$9,SUMPRODUCT(($D$10:$L$10&lt;&gt;"")*(($D$10:$L$10-($D$9:$L$9+INT(($S$12:$AA$12+INDEX($AJ$13:$AR$162,BN4273,0)+INDEX($AT$13:$BB$162,BO4273,0)+INDEX($BD$13:$BL$162,BP4273,0))/100)))&gt;0)*($D$10:$L$10-($D$9:$L$9+INT(($S$12:$AA$12+INDEX($AJ$13:$AR$162,BN4273,0)+INDEX($AT$13:$BB$162,BO4273,0)+INDEX($BD$13:$BL$162,BP4273,0))/100)))),0)</f>
        <v/>
      </c>
      <c r="BS4273">
        <f>IF(4260&lt;$U$9,SUMPRODUCT(($D$9:$L$9+INT(($S$12:$AA$12+INDEX($AJ$13:$AR$162,BN4273,0)+INDEX($AT$13:$BB$162,BO4273,0)+INDEX($BD$13:$BL$162,BP4273,0))/100))),0)</f>
        <v/>
      </c>
      <c r="BT4273">
        <f>IF(AND(4260&lt;$U$9,$W$5),BQ4273*1000000-MIN(BR4273,999)*1000+BS4273-4260/100000,-1000000000-4260)</f>
        <v/>
      </c>
    </row>
    <row r="4274">
      <c r="BN4274">
        <f>IF(4261&lt;$U$9,INT(4261/($U$7*$U$8))+1,1)</f>
        <v/>
      </c>
      <c r="BO4274">
        <f>IF(4261&lt;$U$9,MOD(INT(4261/$U$8),$U$7)+1,1)</f>
        <v/>
      </c>
      <c r="BP4274">
        <f>IF(4261&lt;$U$9,MOD(4261,$U$8)+1,1)</f>
        <v/>
      </c>
      <c r="BQ4274">
        <f>IF(4261&lt;$U$9,SUMPRODUCT(($D$10:$L$10&lt;&gt;"")*(($D$9:$L$9+INT(($S$12:$AA$12+INDEX($AJ$13:$AR$162,BN4274,0)+INDEX($AT$13:$BB$162,BO4274,0)+INDEX($BD$13:$BL$162,BP4274,0))/100))&gt;=$D$10:$L$10)),0)</f>
        <v/>
      </c>
      <c r="BR4274">
        <f>IF(4261&lt;$U$9,SUMPRODUCT(($D$10:$L$10&lt;&gt;"")*(($D$10:$L$10-($D$9:$L$9+INT(($S$12:$AA$12+INDEX($AJ$13:$AR$162,BN4274,0)+INDEX($AT$13:$BB$162,BO4274,0)+INDEX($BD$13:$BL$162,BP4274,0))/100)))&gt;0)*($D$10:$L$10-($D$9:$L$9+INT(($S$12:$AA$12+INDEX($AJ$13:$AR$162,BN4274,0)+INDEX($AT$13:$BB$162,BO4274,0)+INDEX($BD$13:$BL$162,BP4274,0))/100)))),0)</f>
        <v/>
      </c>
      <c r="BS4274">
        <f>IF(4261&lt;$U$9,SUMPRODUCT(($D$9:$L$9+INT(($S$12:$AA$12+INDEX($AJ$13:$AR$162,BN4274,0)+INDEX($AT$13:$BB$162,BO4274,0)+INDEX($BD$13:$BL$162,BP4274,0))/100))),0)</f>
        <v/>
      </c>
      <c r="BT4274">
        <f>IF(AND(4261&lt;$U$9,$W$5),BQ4274*1000000-MIN(BR4274,999)*1000+BS4274-4261/100000,-1000000000-4261)</f>
        <v/>
      </c>
    </row>
    <row r="4275">
      <c r="BN4275">
        <f>IF(4262&lt;$U$9,INT(4262/($U$7*$U$8))+1,1)</f>
        <v/>
      </c>
      <c r="BO4275">
        <f>IF(4262&lt;$U$9,MOD(INT(4262/$U$8),$U$7)+1,1)</f>
        <v/>
      </c>
      <c r="BP4275">
        <f>IF(4262&lt;$U$9,MOD(4262,$U$8)+1,1)</f>
        <v/>
      </c>
      <c r="BQ4275">
        <f>IF(4262&lt;$U$9,SUMPRODUCT(($D$10:$L$10&lt;&gt;"")*(($D$9:$L$9+INT(($S$12:$AA$12+INDEX($AJ$13:$AR$162,BN4275,0)+INDEX($AT$13:$BB$162,BO4275,0)+INDEX($BD$13:$BL$162,BP4275,0))/100))&gt;=$D$10:$L$10)),0)</f>
        <v/>
      </c>
      <c r="BR4275">
        <f>IF(4262&lt;$U$9,SUMPRODUCT(($D$10:$L$10&lt;&gt;"")*(($D$10:$L$10-($D$9:$L$9+INT(($S$12:$AA$12+INDEX($AJ$13:$AR$162,BN4275,0)+INDEX($AT$13:$BB$162,BO4275,0)+INDEX($BD$13:$BL$162,BP4275,0))/100)))&gt;0)*($D$10:$L$10-($D$9:$L$9+INT(($S$12:$AA$12+INDEX($AJ$13:$AR$162,BN4275,0)+INDEX($AT$13:$BB$162,BO4275,0)+INDEX($BD$13:$BL$162,BP4275,0))/100)))),0)</f>
        <v/>
      </c>
      <c r="BS4275">
        <f>IF(4262&lt;$U$9,SUMPRODUCT(($D$9:$L$9+INT(($S$12:$AA$12+INDEX($AJ$13:$AR$162,BN4275,0)+INDEX($AT$13:$BB$162,BO4275,0)+INDEX($BD$13:$BL$162,BP4275,0))/100))),0)</f>
        <v/>
      </c>
      <c r="BT4275">
        <f>IF(AND(4262&lt;$U$9,$W$5),BQ4275*1000000-MIN(BR4275,999)*1000+BS4275-4262/100000,-1000000000-4262)</f>
        <v/>
      </c>
    </row>
    <row r="4276">
      <c r="BN4276">
        <f>IF(4263&lt;$U$9,INT(4263/($U$7*$U$8))+1,1)</f>
        <v/>
      </c>
      <c r="BO4276">
        <f>IF(4263&lt;$U$9,MOD(INT(4263/$U$8),$U$7)+1,1)</f>
        <v/>
      </c>
      <c r="BP4276">
        <f>IF(4263&lt;$U$9,MOD(4263,$U$8)+1,1)</f>
        <v/>
      </c>
      <c r="BQ4276">
        <f>IF(4263&lt;$U$9,SUMPRODUCT(($D$10:$L$10&lt;&gt;"")*(($D$9:$L$9+INT(($S$12:$AA$12+INDEX($AJ$13:$AR$162,BN4276,0)+INDEX($AT$13:$BB$162,BO4276,0)+INDEX($BD$13:$BL$162,BP4276,0))/100))&gt;=$D$10:$L$10)),0)</f>
        <v/>
      </c>
      <c r="BR4276">
        <f>IF(4263&lt;$U$9,SUMPRODUCT(($D$10:$L$10&lt;&gt;"")*(($D$10:$L$10-($D$9:$L$9+INT(($S$12:$AA$12+INDEX($AJ$13:$AR$162,BN4276,0)+INDEX($AT$13:$BB$162,BO4276,0)+INDEX($BD$13:$BL$162,BP4276,0))/100)))&gt;0)*($D$10:$L$10-($D$9:$L$9+INT(($S$12:$AA$12+INDEX($AJ$13:$AR$162,BN4276,0)+INDEX($AT$13:$BB$162,BO4276,0)+INDEX($BD$13:$BL$162,BP4276,0))/100)))),0)</f>
        <v/>
      </c>
      <c r="BS4276">
        <f>IF(4263&lt;$U$9,SUMPRODUCT(($D$9:$L$9+INT(($S$12:$AA$12+INDEX($AJ$13:$AR$162,BN4276,0)+INDEX($AT$13:$BB$162,BO4276,0)+INDEX($BD$13:$BL$162,BP4276,0))/100))),0)</f>
        <v/>
      </c>
      <c r="BT4276">
        <f>IF(AND(4263&lt;$U$9,$W$5),BQ4276*1000000-MIN(BR4276,999)*1000+BS4276-4263/100000,-1000000000-4263)</f>
        <v/>
      </c>
    </row>
    <row r="4277">
      <c r="BN4277">
        <f>IF(4264&lt;$U$9,INT(4264/($U$7*$U$8))+1,1)</f>
        <v/>
      </c>
      <c r="BO4277">
        <f>IF(4264&lt;$U$9,MOD(INT(4264/$U$8),$U$7)+1,1)</f>
        <v/>
      </c>
      <c r="BP4277">
        <f>IF(4264&lt;$U$9,MOD(4264,$U$8)+1,1)</f>
        <v/>
      </c>
      <c r="BQ4277">
        <f>IF(4264&lt;$U$9,SUMPRODUCT(($D$10:$L$10&lt;&gt;"")*(($D$9:$L$9+INT(($S$12:$AA$12+INDEX($AJ$13:$AR$162,BN4277,0)+INDEX($AT$13:$BB$162,BO4277,0)+INDEX($BD$13:$BL$162,BP4277,0))/100))&gt;=$D$10:$L$10)),0)</f>
        <v/>
      </c>
      <c r="BR4277">
        <f>IF(4264&lt;$U$9,SUMPRODUCT(($D$10:$L$10&lt;&gt;"")*(($D$10:$L$10-($D$9:$L$9+INT(($S$12:$AA$12+INDEX($AJ$13:$AR$162,BN4277,0)+INDEX($AT$13:$BB$162,BO4277,0)+INDEX($BD$13:$BL$162,BP4277,0))/100)))&gt;0)*($D$10:$L$10-($D$9:$L$9+INT(($S$12:$AA$12+INDEX($AJ$13:$AR$162,BN4277,0)+INDEX($AT$13:$BB$162,BO4277,0)+INDEX($BD$13:$BL$162,BP4277,0))/100)))),0)</f>
        <v/>
      </c>
      <c r="BS4277">
        <f>IF(4264&lt;$U$9,SUMPRODUCT(($D$9:$L$9+INT(($S$12:$AA$12+INDEX($AJ$13:$AR$162,BN4277,0)+INDEX($AT$13:$BB$162,BO4277,0)+INDEX($BD$13:$BL$162,BP4277,0))/100))),0)</f>
        <v/>
      </c>
      <c r="BT4277">
        <f>IF(AND(4264&lt;$U$9,$W$5),BQ4277*1000000-MIN(BR4277,999)*1000+BS4277-4264/100000,-1000000000-4264)</f>
        <v/>
      </c>
    </row>
    <row r="4278">
      <c r="BN4278">
        <f>IF(4265&lt;$U$9,INT(4265/($U$7*$U$8))+1,1)</f>
        <v/>
      </c>
      <c r="BO4278">
        <f>IF(4265&lt;$U$9,MOD(INT(4265/$U$8),$U$7)+1,1)</f>
        <v/>
      </c>
      <c r="BP4278">
        <f>IF(4265&lt;$U$9,MOD(4265,$U$8)+1,1)</f>
        <v/>
      </c>
      <c r="BQ4278">
        <f>IF(4265&lt;$U$9,SUMPRODUCT(($D$10:$L$10&lt;&gt;"")*(($D$9:$L$9+INT(($S$12:$AA$12+INDEX($AJ$13:$AR$162,BN4278,0)+INDEX($AT$13:$BB$162,BO4278,0)+INDEX($BD$13:$BL$162,BP4278,0))/100))&gt;=$D$10:$L$10)),0)</f>
        <v/>
      </c>
      <c r="BR4278">
        <f>IF(4265&lt;$U$9,SUMPRODUCT(($D$10:$L$10&lt;&gt;"")*(($D$10:$L$10-($D$9:$L$9+INT(($S$12:$AA$12+INDEX($AJ$13:$AR$162,BN4278,0)+INDEX($AT$13:$BB$162,BO4278,0)+INDEX($BD$13:$BL$162,BP4278,0))/100)))&gt;0)*($D$10:$L$10-($D$9:$L$9+INT(($S$12:$AA$12+INDEX($AJ$13:$AR$162,BN4278,0)+INDEX($AT$13:$BB$162,BO4278,0)+INDEX($BD$13:$BL$162,BP4278,0))/100)))),0)</f>
        <v/>
      </c>
      <c r="BS4278">
        <f>IF(4265&lt;$U$9,SUMPRODUCT(($D$9:$L$9+INT(($S$12:$AA$12+INDEX($AJ$13:$AR$162,BN4278,0)+INDEX($AT$13:$BB$162,BO4278,0)+INDEX($BD$13:$BL$162,BP4278,0))/100))),0)</f>
        <v/>
      </c>
      <c r="BT4278">
        <f>IF(AND(4265&lt;$U$9,$W$5),BQ4278*1000000-MIN(BR4278,999)*1000+BS4278-4265/100000,-1000000000-4265)</f>
        <v/>
      </c>
    </row>
    <row r="4279">
      <c r="BN4279">
        <f>IF(4266&lt;$U$9,INT(4266/($U$7*$U$8))+1,1)</f>
        <v/>
      </c>
      <c r="BO4279">
        <f>IF(4266&lt;$U$9,MOD(INT(4266/$U$8),$U$7)+1,1)</f>
        <v/>
      </c>
      <c r="BP4279">
        <f>IF(4266&lt;$U$9,MOD(4266,$U$8)+1,1)</f>
        <v/>
      </c>
      <c r="BQ4279">
        <f>IF(4266&lt;$U$9,SUMPRODUCT(($D$10:$L$10&lt;&gt;"")*(($D$9:$L$9+INT(($S$12:$AA$12+INDEX($AJ$13:$AR$162,BN4279,0)+INDEX($AT$13:$BB$162,BO4279,0)+INDEX($BD$13:$BL$162,BP4279,0))/100))&gt;=$D$10:$L$10)),0)</f>
        <v/>
      </c>
      <c r="BR4279">
        <f>IF(4266&lt;$U$9,SUMPRODUCT(($D$10:$L$10&lt;&gt;"")*(($D$10:$L$10-($D$9:$L$9+INT(($S$12:$AA$12+INDEX($AJ$13:$AR$162,BN4279,0)+INDEX($AT$13:$BB$162,BO4279,0)+INDEX($BD$13:$BL$162,BP4279,0))/100)))&gt;0)*($D$10:$L$10-($D$9:$L$9+INT(($S$12:$AA$12+INDEX($AJ$13:$AR$162,BN4279,0)+INDEX($AT$13:$BB$162,BO4279,0)+INDEX($BD$13:$BL$162,BP4279,0))/100)))),0)</f>
        <v/>
      </c>
      <c r="BS4279">
        <f>IF(4266&lt;$U$9,SUMPRODUCT(($D$9:$L$9+INT(($S$12:$AA$12+INDEX($AJ$13:$AR$162,BN4279,0)+INDEX($AT$13:$BB$162,BO4279,0)+INDEX($BD$13:$BL$162,BP4279,0))/100))),0)</f>
        <v/>
      </c>
      <c r="BT4279">
        <f>IF(AND(4266&lt;$U$9,$W$5),BQ4279*1000000-MIN(BR4279,999)*1000+BS4279-4266/100000,-1000000000-4266)</f>
        <v/>
      </c>
    </row>
    <row r="4280">
      <c r="BN4280">
        <f>IF(4267&lt;$U$9,INT(4267/($U$7*$U$8))+1,1)</f>
        <v/>
      </c>
      <c r="BO4280">
        <f>IF(4267&lt;$U$9,MOD(INT(4267/$U$8),$U$7)+1,1)</f>
        <v/>
      </c>
      <c r="BP4280">
        <f>IF(4267&lt;$U$9,MOD(4267,$U$8)+1,1)</f>
        <v/>
      </c>
      <c r="BQ4280">
        <f>IF(4267&lt;$U$9,SUMPRODUCT(($D$10:$L$10&lt;&gt;"")*(($D$9:$L$9+INT(($S$12:$AA$12+INDEX($AJ$13:$AR$162,BN4280,0)+INDEX($AT$13:$BB$162,BO4280,0)+INDEX($BD$13:$BL$162,BP4280,0))/100))&gt;=$D$10:$L$10)),0)</f>
        <v/>
      </c>
      <c r="BR4280">
        <f>IF(4267&lt;$U$9,SUMPRODUCT(($D$10:$L$10&lt;&gt;"")*(($D$10:$L$10-($D$9:$L$9+INT(($S$12:$AA$12+INDEX($AJ$13:$AR$162,BN4280,0)+INDEX($AT$13:$BB$162,BO4280,0)+INDEX($BD$13:$BL$162,BP4280,0))/100)))&gt;0)*($D$10:$L$10-($D$9:$L$9+INT(($S$12:$AA$12+INDEX($AJ$13:$AR$162,BN4280,0)+INDEX($AT$13:$BB$162,BO4280,0)+INDEX($BD$13:$BL$162,BP4280,0))/100)))),0)</f>
        <v/>
      </c>
      <c r="BS4280">
        <f>IF(4267&lt;$U$9,SUMPRODUCT(($D$9:$L$9+INT(($S$12:$AA$12+INDEX($AJ$13:$AR$162,BN4280,0)+INDEX($AT$13:$BB$162,BO4280,0)+INDEX($BD$13:$BL$162,BP4280,0))/100))),0)</f>
        <v/>
      </c>
      <c r="BT4280">
        <f>IF(AND(4267&lt;$U$9,$W$5),BQ4280*1000000-MIN(BR4280,999)*1000+BS4280-4267/100000,-1000000000-4267)</f>
        <v/>
      </c>
    </row>
    <row r="4281">
      <c r="BN4281">
        <f>IF(4268&lt;$U$9,INT(4268/($U$7*$U$8))+1,1)</f>
        <v/>
      </c>
      <c r="BO4281">
        <f>IF(4268&lt;$U$9,MOD(INT(4268/$U$8),$U$7)+1,1)</f>
        <v/>
      </c>
      <c r="BP4281">
        <f>IF(4268&lt;$U$9,MOD(4268,$U$8)+1,1)</f>
        <v/>
      </c>
      <c r="BQ4281">
        <f>IF(4268&lt;$U$9,SUMPRODUCT(($D$10:$L$10&lt;&gt;"")*(($D$9:$L$9+INT(($S$12:$AA$12+INDEX($AJ$13:$AR$162,BN4281,0)+INDEX($AT$13:$BB$162,BO4281,0)+INDEX($BD$13:$BL$162,BP4281,0))/100))&gt;=$D$10:$L$10)),0)</f>
        <v/>
      </c>
      <c r="BR4281">
        <f>IF(4268&lt;$U$9,SUMPRODUCT(($D$10:$L$10&lt;&gt;"")*(($D$10:$L$10-($D$9:$L$9+INT(($S$12:$AA$12+INDEX($AJ$13:$AR$162,BN4281,0)+INDEX($AT$13:$BB$162,BO4281,0)+INDEX($BD$13:$BL$162,BP4281,0))/100)))&gt;0)*($D$10:$L$10-($D$9:$L$9+INT(($S$12:$AA$12+INDEX($AJ$13:$AR$162,BN4281,0)+INDEX($AT$13:$BB$162,BO4281,0)+INDEX($BD$13:$BL$162,BP4281,0))/100)))),0)</f>
        <v/>
      </c>
      <c r="BS4281">
        <f>IF(4268&lt;$U$9,SUMPRODUCT(($D$9:$L$9+INT(($S$12:$AA$12+INDEX($AJ$13:$AR$162,BN4281,0)+INDEX($AT$13:$BB$162,BO4281,0)+INDEX($BD$13:$BL$162,BP4281,0))/100))),0)</f>
        <v/>
      </c>
      <c r="BT4281">
        <f>IF(AND(4268&lt;$U$9,$W$5),BQ4281*1000000-MIN(BR4281,999)*1000+BS4281-4268/100000,-1000000000-4268)</f>
        <v/>
      </c>
    </row>
    <row r="4282">
      <c r="BN4282">
        <f>IF(4269&lt;$U$9,INT(4269/($U$7*$U$8))+1,1)</f>
        <v/>
      </c>
      <c r="BO4282">
        <f>IF(4269&lt;$U$9,MOD(INT(4269/$U$8),$U$7)+1,1)</f>
        <v/>
      </c>
      <c r="BP4282">
        <f>IF(4269&lt;$U$9,MOD(4269,$U$8)+1,1)</f>
        <v/>
      </c>
      <c r="BQ4282">
        <f>IF(4269&lt;$U$9,SUMPRODUCT(($D$10:$L$10&lt;&gt;"")*(($D$9:$L$9+INT(($S$12:$AA$12+INDEX($AJ$13:$AR$162,BN4282,0)+INDEX($AT$13:$BB$162,BO4282,0)+INDEX($BD$13:$BL$162,BP4282,0))/100))&gt;=$D$10:$L$10)),0)</f>
        <v/>
      </c>
      <c r="BR4282">
        <f>IF(4269&lt;$U$9,SUMPRODUCT(($D$10:$L$10&lt;&gt;"")*(($D$10:$L$10-($D$9:$L$9+INT(($S$12:$AA$12+INDEX($AJ$13:$AR$162,BN4282,0)+INDEX($AT$13:$BB$162,BO4282,0)+INDEX($BD$13:$BL$162,BP4282,0))/100)))&gt;0)*($D$10:$L$10-($D$9:$L$9+INT(($S$12:$AA$12+INDEX($AJ$13:$AR$162,BN4282,0)+INDEX($AT$13:$BB$162,BO4282,0)+INDEX($BD$13:$BL$162,BP4282,0))/100)))),0)</f>
        <v/>
      </c>
      <c r="BS4282">
        <f>IF(4269&lt;$U$9,SUMPRODUCT(($D$9:$L$9+INT(($S$12:$AA$12+INDEX($AJ$13:$AR$162,BN4282,0)+INDEX($AT$13:$BB$162,BO4282,0)+INDEX($BD$13:$BL$162,BP4282,0))/100))),0)</f>
        <v/>
      </c>
      <c r="BT4282">
        <f>IF(AND(4269&lt;$U$9,$W$5),BQ4282*1000000-MIN(BR4282,999)*1000+BS4282-4269/100000,-1000000000-4269)</f>
        <v/>
      </c>
    </row>
    <row r="4283">
      <c r="BN4283">
        <f>IF(4270&lt;$U$9,INT(4270/($U$7*$U$8))+1,1)</f>
        <v/>
      </c>
      <c r="BO4283">
        <f>IF(4270&lt;$U$9,MOD(INT(4270/$U$8),$U$7)+1,1)</f>
        <v/>
      </c>
      <c r="BP4283">
        <f>IF(4270&lt;$U$9,MOD(4270,$U$8)+1,1)</f>
        <v/>
      </c>
      <c r="BQ4283">
        <f>IF(4270&lt;$U$9,SUMPRODUCT(($D$10:$L$10&lt;&gt;"")*(($D$9:$L$9+INT(($S$12:$AA$12+INDEX($AJ$13:$AR$162,BN4283,0)+INDEX($AT$13:$BB$162,BO4283,0)+INDEX($BD$13:$BL$162,BP4283,0))/100))&gt;=$D$10:$L$10)),0)</f>
        <v/>
      </c>
      <c r="BR4283">
        <f>IF(4270&lt;$U$9,SUMPRODUCT(($D$10:$L$10&lt;&gt;"")*(($D$10:$L$10-($D$9:$L$9+INT(($S$12:$AA$12+INDEX($AJ$13:$AR$162,BN4283,0)+INDEX($AT$13:$BB$162,BO4283,0)+INDEX($BD$13:$BL$162,BP4283,0))/100)))&gt;0)*($D$10:$L$10-($D$9:$L$9+INT(($S$12:$AA$12+INDEX($AJ$13:$AR$162,BN4283,0)+INDEX($AT$13:$BB$162,BO4283,0)+INDEX($BD$13:$BL$162,BP4283,0))/100)))),0)</f>
        <v/>
      </c>
      <c r="BS4283">
        <f>IF(4270&lt;$U$9,SUMPRODUCT(($D$9:$L$9+INT(($S$12:$AA$12+INDEX($AJ$13:$AR$162,BN4283,0)+INDEX($AT$13:$BB$162,BO4283,0)+INDEX($BD$13:$BL$162,BP4283,0))/100))),0)</f>
        <v/>
      </c>
      <c r="BT4283">
        <f>IF(AND(4270&lt;$U$9,$W$5),BQ4283*1000000-MIN(BR4283,999)*1000+BS4283-4270/100000,-1000000000-4270)</f>
        <v/>
      </c>
    </row>
    <row r="4284">
      <c r="BN4284">
        <f>IF(4271&lt;$U$9,INT(4271/($U$7*$U$8))+1,1)</f>
        <v/>
      </c>
      <c r="BO4284">
        <f>IF(4271&lt;$U$9,MOD(INT(4271/$U$8),$U$7)+1,1)</f>
        <v/>
      </c>
      <c r="BP4284">
        <f>IF(4271&lt;$U$9,MOD(4271,$U$8)+1,1)</f>
        <v/>
      </c>
      <c r="BQ4284">
        <f>IF(4271&lt;$U$9,SUMPRODUCT(($D$10:$L$10&lt;&gt;"")*(($D$9:$L$9+INT(($S$12:$AA$12+INDEX($AJ$13:$AR$162,BN4284,0)+INDEX($AT$13:$BB$162,BO4284,0)+INDEX($BD$13:$BL$162,BP4284,0))/100))&gt;=$D$10:$L$10)),0)</f>
        <v/>
      </c>
      <c r="BR4284">
        <f>IF(4271&lt;$U$9,SUMPRODUCT(($D$10:$L$10&lt;&gt;"")*(($D$10:$L$10-($D$9:$L$9+INT(($S$12:$AA$12+INDEX($AJ$13:$AR$162,BN4284,0)+INDEX($AT$13:$BB$162,BO4284,0)+INDEX($BD$13:$BL$162,BP4284,0))/100)))&gt;0)*($D$10:$L$10-($D$9:$L$9+INT(($S$12:$AA$12+INDEX($AJ$13:$AR$162,BN4284,0)+INDEX($AT$13:$BB$162,BO4284,0)+INDEX($BD$13:$BL$162,BP4284,0))/100)))),0)</f>
        <v/>
      </c>
      <c r="BS4284">
        <f>IF(4271&lt;$U$9,SUMPRODUCT(($D$9:$L$9+INT(($S$12:$AA$12+INDEX($AJ$13:$AR$162,BN4284,0)+INDEX($AT$13:$BB$162,BO4284,0)+INDEX($BD$13:$BL$162,BP4284,0))/100))),0)</f>
        <v/>
      </c>
      <c r="BT4284">
        <f>IF(AND(4271&lt;$U$9,$W$5),BQ4284*1000000-MIN(BR4284,999)*1000+BS4284-4271/100000,-1000000000-4271)</f>
        <v/>
      </c>
    </row>
    <row r="4285">
      <c r="BN4285">
        <f>IF(4272&lt;$U$9,INT(4272/($U$7*$U$8))+1,1)</f>
        <v/>
      </c>
      <c r="BO4285">
        <f>IF(4272&lt;$U$9,MOD(INT(4272/$U$8),$U$7)+1,1)</f>
        <v/>
      </c>
      <c r="BP4285">
        <f>IF(4272&lt;$U$9,MOD(4272,$U$8)+1,1)</f>
        <v/>
      </c>
      <c r="BQ4285">
        <f>IF(4272&lt;$U$9,SUMPRODUCT(($D$10:$L$10&lt;&gt;"")*(($D$9:$L$9+INT(($S$12:$AA$12+INDEX($AJ$13:$AR$162,BN4285,0)+INDEX($AT$13:$BB$162,BO4285,0)+INDEX($BD$13:$BL$162,BP4285,0))/100))&gt;=$D$10:$L$10)),0)</f>
        <v/>
      </c>
      <c r="BR4285">
        <f>IF(4272&lt;$U$9,SUMPRODUCT(($D$10:$L$10&lt;&gt;"")*(($D$10:$L$10-($D$9:$L$9+INT(($S$12:$AA$12+INDEX($AJ$13:$AR$162,BN4285,0)+INDEX($AT$13:$BB$162,BO4285,0)+INDEX($BD$13:$BL$162,BP4285,0))/100)))&gt;0)*($D$10:$L$10-($D$9:$L$9+INT(($S$12:$AA$12+INDEX($AJ$13:$AR$162,BN4285,0)+INDEX($AT$13:$BB$162,BO4285,0)+INDEX($BD$13:$BL$162,BP4285,0))/100)))),0)</f>
        <v/>
      </c>
      <c r="BS4285">
        <f>IF(4272&lt;$U$9,SUMPRODUCT(($D$9:$L$9+INT(($S$12:$AA$12+INDEX($AJ$13:$AR$162,BN4285,0)+INDEX($AT$13:$BB$162,BO4285,0)+INDEX($BD$13:$BL$162,BP4285,0))/100))),0)</f>
        <v/>
      </c>
      <c r="BT4285">
        <f>IF(AND(4272&lt;$U$9,$W$5),BQ4285*1000000-MIN(BR4285,999)*1000+BS4285-4272/100000,-1000000000-4272)</f>
        <v/>
      </c>
    </row>
    <row r="4286">
      <c r="BN4286">
        <f>IF(4273&lt;$U$9,INT(4273/($U$7*$U$8))+1,1)</f>
        <v/>
      </c>
      <c r="BO4286">
        <f>IF(4273&lt;$U$9,MOD(INT(4273/$U$8),$U$7)+1,1)</f>
        <v/>
      </c>
      <c r="BP4286">
        <f>IF(4273&lt;$U$9,MOD(4273,$U$8)+1,1)</f>
        <v/>
      </c>
      <c r="BQ4286">
        <f>IF(4273&lt;$U$9,SUMPRODUCT(($D$10:$L$10&lt;&gt;"")*(($D$9:$L$9+INT(($S$12:$AA$12+INDEX($AJ$13:$AR$162,BN4286,0)+INDEX($AT$13:$BB$162,BO4286,0)+INDEX($BD$13:$BL$162,BP4286,0))/100))&gt;=$D$10:$L$10)),0)</f>
        <v/>
      </c>
      <c r="BR4286">
        <f>IF(4273&lt;$U$9,SUMPRODUCT(($D$10:$L$10&lt;&gt;"")*(($D$10:$L$10-($D$9:$L$9+INT(($S$12:$AA$12+INDEX($AJ$13:$AR$162,BN4286,0)+INDEX($AT$13:$BB$162,BO4286,0)+INDEX($BD$13:$BL$162,BP4286,0))/100)))&gt;0)*($D$10:$L$10-($D$9:$L$9+INT(($S$12:$AA$12+INDEX($AJ$13:$AR$162,BN4286,0)+INDEX($AT$13:$BB$162,BO4286,0)+INDEX($BD$13:$BL$162,BP4286,0))/100)))),0)</f>
        <v/>
      </c>
      <c r="BS4286">
        <f>IF(4273&lt;$U$9,SUMPRODUCT(($D$9:$L$9+INT(($S$12:$AA$12+INDEX($AJ$13:$AR$162,BN4286,0)+INDEX($AT$13:$BB$162,BO4286,0)+INDEX($BD$13:$BL$162,BP4286,0))/100))),0)</f>
        <v/>
      </c>
      <c r="BT4286">
        <f>IF(AND(4273&lt;$U$9,$W$5),BQ4286*1000000-MIN(BR4286,999)*1000+BS4286-4273/100000,-1000000000-4273)</f>
        <v/>
      </c>
    </row>
    <row r="4287">
      <c r="BN4287">
        <f>IF(4274&lt;$U$9,INT(4274/($U$7*$U$8))+1,1)</f>
        <v/>
      </c>
      <c r="BO4287">
        <f>IF(4274&lt;$U$9,MOD(INT(4274/$U$8),$U$7)+1,1)</f>
        <v/>
      </c>
      <c r="BP4287">
        <f>IF(4274&lt;$U$9,MOD(4274,$U$8)+1,1)</f>
        <v/>
      </c>
      <c r="BQ4287">
        <f>IF(4274&lt;$U$9,SUMPRODUCT(($D$10:$L$10&lt;&gt;"")*(($D$9:$L$9+INT(($S$12:$AA$12+INDEX($AJ$13:$AR$162,BN4287,0)+INDEX($AT$13:$BB$162,BO4287,0)+INDEX($BD$13:$BL$162,BP4287,0))/100))&gt;=$D$10:$L$10)),0)</f>
        <v/>
      </c>
      <c r="BR4287">
        <f>IF(4274&lt;$U$9,SUMPRODUCT(($D$10:$L$10&lt;&gt;"")*(($D$10:$L$10-($D$9:$L$9+INT(($S$12:$AA$12+INDEX($AJ$13:$AR$162,BN4287,0)+INDEX($AT$13:$BB$162,BO4287,0)+INDEX($BD$13:$BL$162,BP4287,0))/100)))&gt;0)*($D$10:$L$10-($D$9:$L$9+INT(($S$12:$AA$12+INDEX($AJ$13:$AR$162,BN4287,0)+INDEX($AT$13:$BB$162,BO4287,0)+INDEX($BD$13:$BL$162,BP4287,0))/100)))),0)</f>
        <v/>
      </c>
      <c r="BS4287">
        <f>IF(4274&lt;$U$9,SUMPRODUCT(($D$9:$L$9+INT(($S$12:$AA$12+INDEX($AJ$13:$AR$162,BN4287,0)+INDEX($AT$13:$BB$162,BO4287,0)+INDEX($BD$13:$BL$162,BP4287,0))/100))),0)</f>
        <v/>
      </c>
      <c r="BT4287">
        <f>IF(AND(4274&lt;$U$9,$W$5),BQ4287*1000000-MIN(BR4287,999)*1000+BS4287-4274/100000,-1000000000-4274)</f>
        <v/>
      </c>
    </row>
    <row r="4288">
      <c r="BN4288">
        <f>IF(4275&lt;$U$9,INT(4275/($U$7*$U$8))+1,1)</f>
        <v/>
      </c>
      <c r="BO4288">
        <f>IF(4275&lt;$U$9,MOD(INT(4275/$U$8),$U$7)+1,1)</f>
        <v/>
      </c>
      <c r="BP4288">
        <f>IF(4275&lt;$U$9,MOD(4275,$U$8)+1,1)</f>
        <v/>
      </c>
      <c r="BQ4288">
        <f>IF(4275&lt;$U$9,SUMPRODUCT(($D$10:$L$10&lt;&gt;"")*(($D$9:$L$9+INT(($S$12:$AA$12+INDEX($AJ$13:$AR$162,BN4288,0)+INDEX($AT$13:$BB$162,BO4288,0)+INDEX($BD$13:$BL$162,BP4288,0))/100))&gt;=$D$10:$L$10)),0)</f>
        <v/>
      </c>
      <c r="BR4288">
        <f>IF(4275&lt;$U$9,SUMPRODUCT(($D$10:$L$10&lt;&gt;"")*(($D$10:$L$10-($D$9:$L$9+INT(($S$12:$AA$12+INDEX($AJ$13:$AR$162,BN4288,0)+INDEX($AT$13:$BB$162,BO4288,0)+INDEX($BD$13:$BL$162,BP4288,0))/100)))&gt;0)*($D$10:$L$10-($D$9:$L$9+INT(($S$12:$AA$12+INDEX($AJ$13:$AR$162,BN4288,0)+INDEX($AT$13:$BB$162,BO4288,0)+INDEX($BD$13:$BL$162,BP4288,0))/100)))),0)</f>
        <v/>
      </c>
      <c r="BS4288">
        <f>IF(4275&lt;$U$9,SUMPRODUCT(($D$9:$L$9+INT(($S$12:$AA$12+INDEX($AJ$13:$AR$162,BN4288,0)+INDEX($AT$13:$BB$162,BO4288,0)+INDEX($BD$13:$BL$162,BP4288,0))/100))),0)</f>
        <v/>
      </c>
      <c r="BT4288">
        <f>IF(AND(4275&lt;$U$9,$W$5),BQ4288*1000000-MIN(BR4288,999)*1000+BS4288-4275/100000,-1000000000-4275)</f>
        <v/>
      </c>
    </row>
    <row r="4289">
      <c r="BN4289">
        <f>IF(4276&lt;$U$9,INT(4276/($U$7*$U$8))+1,1)</f>
        <v/>
      </c>
      <c r="BO4289">
        <f>IF(4276&lt;$U$9,MOD(INT(4276/$U$8),$U$7)+1,1)</f>
        <v/>
      </c>
      <c r="BP4289">
        <f>IF(4276&lt;$U$9,MOD(4276,$U$8)+1,1)</f>
        <v/>
      </c>
      <c r="BQ4289">
        <f>IF(4276&lt;$U$9,SUMPRODUCT(($D$10:$L$10&lt;&gt;"")*(($D$9:$L$9+INT(($S$12:$AA$12+INDEX($AJ$13:$AR$162,BN4289,0)+INDEX($AT$13:$BB$162,BO4289,0)+INDEX($BD$13:$BL$162,BP4289,0))/100))&gt;=$D$10:$L$10)),0)</f>
        <v/>
      </c>
      <c r="BR4289">
        <f>IF(4276&lt;$U$9,SUMPRODUCT(($D$10:$L$10&lt;&gt;"")*(($D$10:$L$10-($D$9:$L$9+INT(($S$12:$AA$12+INDEX($AJ$13:$AR$162,BN4289,0)+INDEX($AT$13:$BB$162,BO4289,0)+INDEX($BD$13:$BL$162,BP4289,0))/100)))&gt;0)*($D$10:$L$10-($D$9:$L$9+INT(($S$12:$AA$12+INDEX($AJ$13:$AR$162,BN4289,0)+INDEX($AT$13:$BB$162,BO4289,0)+INDEX($BD$13:$BL$162,BP4289,0))/100)))),0)</f>
        <v/>
      </c>
      <c r="BS4289">
        <f>IF(4276&lt;$U$9,SUMPRODUCT(($D$9:$L$9+INT(($S$12:$AA$12+INDEX($AJ$13:$AR$162,BN4289,0)+INDEX($AT$13:$BB$162,BO4289,0)+INDEX($BD$13:$BL$162,BP4289,0))/100))),0)</f>
        <v/>
      </c>
      <c r="BT4289">
        <f>IF(AND(4276&lt;$U$9,$W$5),BQ4289*1000000-MIN(BR4289,999)*1000+BS4289-4276/100000,-1000000000-4276)</f>
        <v/>
      </c>
    </row>
    <row r="4290">
      <c r="BN4290">
        <f>IF(4277&lt;$U$9,INT(4277/($U$7*$U$8))+1,1)</f>
        <v/>
      </c>
      <c r="BO4290">
        <f>IF(4277&lt;$U$9,MOD(INT(4277/$U$8),$U$7)+1,1)</f>
        <v/>
      </c>
      <c r="BP4290">
        <f>IF(4277&lt;$U$9,MOD(4277,$U$8)+1,1)</f>
        <v/>
      </c>
      <c r="BQ4290">
        <f>IF(4277&lt;$U$9,SUMPRODUCT(($D$10:$L$10&lt;&gt;"")*(($D$9:$L$9+INT(($S$12:$AA$12+INDEX($AJ$13:$AR$162,BN4290,0)+INDEX($AT$13:$BB$162,BO4290,0)+INDEX($BD$13:$BL$162,BP4290,0))/100))&gt;=$D$10:$L$10)),0)</f>
        <v/>
      </c>
      <c r="BR4290">
        <f>IF(4277&lt;$U$9,SUMPRODUCT(($D$10:$L$10&lt;&gt;"")*(($D$10:$L$10-($D$9:$L$9+INT(($S$12:$AA$12+INDEX($AJ$13:$AR$162,BN4290,0)+INDEX($AT$13:$BB$162,BO4290,0)+INDEX($BD$13:$BL$162,BP4290,0))/100)))&gt;0)*($D$10:$L$10-($D$9:$L$9+INT(($S$12:$AA$12+INDEX($AJ$13:$AR$162,BN4290,0)+INDEX($AT$13:$BB$162,BO4290,0)+INDEX($BD$13:$BL$162,BP4290,0))/100)))),0)</f>
        <v/>
      </c>
      <c r="BS4290">
        <f>IF(4277&lt;$U$9,SUMPRODUCT(($D$9:$L$9+INT(($S$12:$AA$12+INDEX($AJ$13:$AR$162,BN4290,0)+INDEX($AT$13:$BB$162,BO4290,0)+INDEX($BD$13:$BL$162,BP4290,0))/100))),0)</f>
        <v/>
      </c>
      <c r="BT4290">
        <f>IF(AND(4277&lt;$U$9,$W$5),BQ4290*1000000-MIN(BR4290,999)*1000+BS4290-4277/100000,-1000000000-4277)</f>
        <v/>
      </c>
    </row>
    <row r="4291">
      <c r="BN4291">
        <f>IF(4278&lt;$U$9,INT(4278/($U$7*$U$8))+1,1)</f>
        <v/>
      </c>
      <c r="BO4291">
        <f>IF(4278&lt;$U$9,MOD(INT(4278/$U$8),$U$7)+1,1)</f>
        <v/>
      </c>
      <c r="BP4291">
        <f>IF(4278&lt;$U$9,MOD(4278,$U$8)+1,1)</f>
        <v/>
      </c>
      <c r="BQ4291">
        <f>IF(4278&lt;$U$9,SUMPRODUCT(($D$10:$L$10&lt;&gt;"")*(($D$9:$L$9+INT(($S$12:$AA$12+INDEX($AJ$13:$AR$162,BN4291,0)+INDEX($AT$13:$BB$162,BO4291,0)+INDEX($BD$13:$BL$162,BP4291,0))/100))&gt;=$D$10:$L$10)),0)</f>
        <v/>
      </c>
      <c r="BR4291">
        <f>IF(4278&lt;$U$9,SUMPRODUCT(($D$10:$L$10&lt;&gt;"")*(($D$10:$L$10-($D$9:$L$9+INT(($S$12:$AA$12+INDEX($AJ$13:$AR$162,BN4291,0)+INDEX($AT$13:$BB$162,BO4291,0)+INDEX($BD$13:$BL$162,BP4291,0))/100)))&gt;0)*($D$10:$L$10-($D$9:$L$9+INT(($S$12:$AA$12+INDEX($AJ$13:$AR$162,BN4291,0)+INDEX($AT$13:$BB$162,BO4291,0)+INDEX($BD$13:$BL$162,BP4291,0))/100)))),0)</f>
        <v/>
      </c>
      <c r="BS4291">
        <f>IF(4278&lt;$U$9,SUMPRODUCT(($D$9:$L$9+INT(($S$12:$AA$12+INDEX($AJ$13:$AR$162,BN4291,0)+INDEX($AT$13:$BB$162,BO4291,0)+INDEX($BD$13:$BL$162,BP4291,0))/100))),0)</f>
        <v/>
      </c>
      <c r="BT4291">
        <f>IF(AND(4278&lt;$U$9,$W$5),BQ4291*1000000-MIN(BR4291,999)*1000+BS4291-4278/100000,-1000000000-4278)</f>
        <v/>
      </c>
    </row>
    <row r="4292">
      <c r="BN4292">
        <f>IF(4279&lt;$U$9,INT(4279/($U$7*$U$8))+1,1)</f>
        <v/>
      </c>
      <c r="BO4292">
        <f>IF(4279&lt;$U$9,MOD(INT(4279/$U$8),$U$7)+1,1)</f>
        <v/>
      </c>
      <c r="BP4292">
        <f>IF(4279&lt;$U$9,MOD(4279,$U$8)+1,1)</f>
        <v/>
      </c>
      <c r="BQ4292">
        <f>IF(4279&lt;$U$9,SUMPRODUCT(($D$10:$L$10&lt;&gt;"")*(($D$9:$L$9+INT(($S$12:$AA$12+INDEX($AJ$13:$AR$162,BN4292,0)+INDEX($AT$13:$BB$162,BO4292,0)+INDEX($BD$13:$BL$162,BP4292,0))/100))&gt;=$D$10:$L$10)),0)</f>
        <v/>
      </c>
      <c r="BR4292">
        <f>IF(4279&lt;$U$9,SUMPRODUCT(($D$10:$L$10&lt;&gt;"")*(($D$10:$L$10-($D$9:$L$9+INT(($S$12:$AA$12+INDEX($AJ$13:$AR$162,BN4292,0)+INDEX($AT$13:$BB$162,BO4292,0)+INDEX($BD$13:$BL$162,BP4292,0))/100)))&gt;0)*($D$10:$L$10-($D$9:$L$9+INT(($S$12:$AA$12+INDEX($AJ$13:$AR$162,BN4292,0)+INDEX($AT$13:$BB$162,BO4292,0)+INDEX($BD$13:$BL$162,BP4292,0))/100)))),0)</f>
        <v/>
      </c>
      <c r="BS4292">
        <f>IF(4279&lt;$U$9,SUMPRODUCT(($D$9:$L$9+INT(($S$12:$AA$12+INDEX($AJ$13:$AR$162,BN4292,0)+INDEX($AT$13:$BB$162,BO4292,0)+INDEX($BD$13:$BL$162,BP4292,0))/100))),0)</f>
        <v/>
      </c>
      <c r="BT4292">
        <f>IF(AND(4279&lt;$U$9,$W$5),BQ4292*1000000-MIN(BR4292,999)*1000+BS4292-4279/100000,-1000000000-4279)</f>
        <v/>
      </c>
    </row>
    <row r="4293">
      <c r="BN4293">
        <f>IF(4280&lt;$U$9,INT(4280/($U$7*$U$8))+1,1)</f>
        <v/>
      </c>
      <c r="BO4293">
        <f>IF(4280&lt;$U$9,MOD(INT(4280/$U$8),$U$7)+1,1)</f>
        <v/>
      </c>
      <c r="BP4293">
        <f>IF(4280&lt;$U$9,MOD(4280,$U$8)+1,1)</f>
        <v/>
      </c>
      <c r="BQ4293">
        <f>IF(4280&lt;$U$9,SUMPRODUCT(($D$10:$L$10&lt;&gt;"")*(($D$9:$L$9+INT(($S$12:$AA$12+INDEX($AJ$13:$AR$162,BN4293,0)+INDEX($AT$13:$BB$162,BO4293,0)+INDEX($BD$13:$BL$162,BP4293,0))/100))&gt;=$D$10:$L$10)),0)</f>
        <v/>
      </c>
      <c r="BR4293">
        <f>IF(4280&lt;$U$9,SUMPRODUCT(($D$10:$L$10&lt;&gt;"")*(($D$10:$L$10-($D$9:$L$9+INT(($S$12:$AA$12+INDEX($AJ$13:$AR$162,BN4293,0)+INDEX($AT$13:$BB$162,BO4293,0)+INDEX($BD$13:$BL$162,BP4293,0))/100)))&gt;0)*($D$10:$L$10-($D$9:$L$9+INT(($S$12:$AA$12+INDEX($AJ$13:$AR$162,BN4293,0)+INDEX($AT$13:$BB$162,BO4293,0)+INDEX($BD$13:$BL$162,BP4293,0))/100)))),0)</f>
        <v/>
      </c>
      <c r="BS4293">
        <f>IF(4280&lt;$U$9,SUMPRODUCT(($D$9:$L$9+INT(($S$12:$AA$12+INDEX($AJ$13:$AR$162,BN4293,0)+INDEX($AT$13:$BB$162,BO4293,0)+INDEX($BD$13:$BL$162,BP4293,0))/100))),0)</f>
        <v/>
      </c>
      <c r="BT4293">
        <f>IF(AND(4280&lt;$U$9,$W$5),BQ4293*1000000-MIN(BR4293,999)*1000+BS4293-4280/100000,-1000000000-4280)</f>
        <v/>
      </c>
    </row>
    <row r="4294">
      <c r="BN4294">
        <f>IF(4281&lt;$U$9,INT(4281/($U$7*$U$8))+1,1)</f>
        <v/>
      </c>
      <c r="BO4294">
        <f>IF(4281&lt;$U$9,MOD(INT(4281/$U$8),$U$7)+1,1)</f>
        <v/>
      </c>
      <c r="BP4294">
        <f>IF(4281&lt;$U$9,MOD(4281,$U$8)+1,1)</f>
        <v/>
      </c>
      <c r="BQ4294">
        <f>IF(4281&lt;$U$9,SUMPRODUCT(($D$10:$L$10&lt;&gt;"")*(($D$9:$L$9+INT(($S$12:$AA$12+INDEX($AJ$13:$AR$162,BN4294,0)+INDEX($AT$13:$BB$162,BO4294,0)+INDEX($BD$13:$BL$162,BP4294,0))/100))&gt;=$D$10:$L$10)),0)</f>
        <v/>
      </c>
      <c r="BR4294">
        <f>IF(4281&lt;$U$9,SUMPRODUCT(($D$10:$L$10&lt;&gt;"")*(($D$10:$L$10-($D$9:$L$9+INT(($S$12:$AA$12+INDEX($AJ$13:$AR$162,BN4294,0)+INDEX($AT$13:$BB$162,BO4294,0)+INDEX($BD$13:$BL$162,BP4294,0))/100)))&gt;0)*($D$10:$L$10-($D$9:$L$9+INT(($S$12:$AA$12+INDEX($AJ$13:$AR$162,BN4294,0)+INDEX($AT$13:$BB$162,BO4294,0)+INDEX($BD$13:$BL$162,BP4294,0))/100)))),0)</f>
        <v/>
      </c>
      <c r="BS4294">
        <f>IF(4281&lt;$U$9,SUMPRODUCT(($D$9:$L$9+INT(($S$12:$AA$12+INDEX($AJ$13:$AR$162,BN4294,0)+INDEX($AT$13:$BB$162,BO4294,0)+INDEX($BD$13:$BL$162,BP4294,0))/100))),0)</f>
        <v/>
      </c>
      <c r="BT4294">
        <f>IF(AND(4281&lt;$U$9,$W$5),BQ4294*1000000-MIN(BR4294,999)*1000+BS4294-4281/100000,-1000000000-4281)</f>
        <v/>
      </c>
    </row>
    <row r="4295">
      <c r="BN4295">
        <f>IF(4282&lt;$U$9,INT(4282/($U$7*$U$8))+1,1)</f>
        <v/>
      </c>
      <c r="BO4295">
        <f>IF(4282&lt;$U$9,MOD(INT(4282/$U$8),$U$7)+1,1)</f>
        <v/>
      </c>
      <c r="BP4295">
        <f>IF(4282&lt;$U$9,MOD(4282,$U$8)+1,1)</f>
        <v/>
      </c>
      <c r="BQ4295">
        <f>IF(4282&lt;$U$9,SUMPRODUCT(($D$10:$L$10&lt;&gt;"")*(($D$9:$L$9+INT(($S$12:$AA$12+INDEX($AJ$13:$AR$162,BN4295,0)+INDEX($AT$13:$BB$162,BO4295,0)+INDEX($BD$13:$BL$162,BP4295,0))/100))&gt;=$D$10:$L$10)),0)</f>
        <v/>
      </c>
      <c r="BR4295">
        <f>IF(4282&lt;$U$9,SUMPRODUCT(($D$10:$L$10&lt;&gt;"")*(($D$10:$L$10-($D$9:$L$9+INT(($S$12:$AA$12+INDEX($AJ$13:$AR$162,BN4295,0)+INDEX($AT$13:$BB$162,BO4295,0)+INDEX($BD$13:$BL$162,BP4295,0))/100)))&gt;0)*($D$10:$L$10-($D$9:$L$9+INT(($S$12:$AA$12+INDEX($AJ$13:$AR$162,BN4295,0)+INDEX($AT$13:$BB$162,BO4295,0)+INDEX($BD$13:$BL$162,BP4295,0))/100)))),0)</f>
        <v/>
      </c>
      <c r="BS4295">
        <f>IF(4282&lt;$U$9,SUMPRODUCT(($D$9:$L$9+INT(($S$12:$AA$12+INDEX($AJ$13:$AR$162,BN4295,0)+INDEX($AT$13:$BB$162,BO4295,0)+INDEX($BD$13:$BL$162,BP4295,0))/100))),0)</f>
        <v/>
      </c>
      <c r="BT4295">
        <f>IF(AND(4282&lt;$U$9,$W$5),BQ4295*1000000-MIN(BR4295,999)*1000+BS4295-4282/100000,-1000000000-4282)</f>
        <v/>
      </c>
    </row>
    <row r="4296">
      <c r="BN4296">
        <f>IF(4283&lt;$U$9,INT(4283/($U$7*$U$8))+1,1)</f>
        <v/>
      </c>
      <c r="BO4296">
        <f>IF(4283&lt;$U$9,MOD(INT(4283/$U$8),$U$7)+1,1)</f>
        <v/>
      </c>
      <c r="BP4296">
        <f>IF(4283&lt;$U$9,MOD(4283,$U$8)+1,1)</f>
        <v/>
      </c>
      <c r="BQ4296">
        <f>IF(4283&lt;$U$9,SUMPRODUCT(($D$10:$L$10&lt;&gt;"")*(($D$9:$L$9+INT(($S$12:$AA$12+INDEX($AJ$13:$AR$162,BN4296,0)+INDEX($AT$13:$BB$162,BO4296,0)+INDEX($BD$13:$BL$162,BP4296,0))/100))&gt;=$D$10:$L$10)),0)</f>
        <v/>
      </c>
      <c r="BR4296">
        <f>IF(4283&lt;$U$9,SUMPRODUCT(($D$10:$L$10&lt;&gt;"")*(($D$10:$L$10-($D$9:$L$9+INT(($S$12:$AA$12+INDEX($AJ$13:$AR$162,BN4296,0)+INDEX($AT$13:$BB$162,BO4296,0)+INDEX($BD$13:$BL$162,BP4296,0))/100)))&gt;0)*($D$10:$L$10-($D$9:$L$9+INT(($S$12:$AA$12+INDEX($AJ$13:$AR$162,BN4296,0)+INDEX($AT$13:$BB$162,BO4296,0)+INDEX($BD$13:$BL$162,BP4296,0))/100)))),0)</f>
        <v/>
      </c>
      <c r="BS4296">
        <f>IF(4283&lt;$U$9,SUMPRODUCT(($D$9:$L$9+INT(($S$12:$AA$12+INDEX($AJ$13:$AR$162,BN4296,0)+INDEX($AT$13:$BB$162,BO4296,0)+INDEX($BD$13:$BL$162,BP4296,0))/100))),0)</f>
        <v/>
      </c>
      <c r="BT4296">
        <f>IF(AND(4283&lt;$U$9,$W$5),BQ4296*1000000-MIN(BR4296,999)*1000+BS4296-4283/100000,-1000000000-4283)</f>
        <v/>
      </c>
    </row>
    <row r="4297">
      <c r="BN4297">
        <f>IF(4284&lt;$U$9,INT(4284/($U$7*$U$8))+1,1)</f>
        <v/>
      </c>
      <c r="BO4297">
        <f>IF(4284&lt;$U$9,MOD(INT(4284/$U$8),$U$7)+1,1)</f>
        <v/>
      </c>
      <c r="BP4297">
        <f>IF(4284&lt;$U$9,MOD(4284,$U$8)+1,1)</f>
        <v/>
      </c>
      <c r="BQ4297">
        <f>IF(4284&lt;$U$9,SUMPRODUCT(($D$10:$L$10&lt;&gt;"")*(($D$9:$L$9+INT(($S$12:$AA$12+INDEX($AJ$13:$AR$162,BN4297,0)+INDEX($AT$13:$BB$162,BO4297,0)+INDEX($BD$13:$BL$162,BP4297,0))/100))&gt;=$D$10:$L$10)),0)</f>
        <v/>
      </c>
      <c r="BR4297">
        <f>IF(4284&lt;$U$9,SUMPRODUCT(($D$10:$L$10&lt;&gt;"")*(($D$10:$L$10-($D$9:$L$9+INT(($S$12:$AA$12+INDEX($AJ$13:$AR$162,BN4297,0)+INDEX($AT$13:$BB$162,BO4297,0)+INDEX($BD$13:$BL$162,BP4297,0))/100)))&gt;0)*($D$10:$L$10-($D$9:$L$9+INT(($S$12:$AA$12+INDEX($AJ$13:$AR$162,BN4297,0)+INDEX($AT$13:$BB$162,BO4297,0)+INDEX($BD$13:$BL$162,BP4297,0))/100)))),0)</f>
        <v/>
      </c>
      <c r="BS4297">
        <f>IF(4284&lt;$U$9,SUMPRODUCT(($D$9:$L$9+INT(($S$12:$AA$12+INDEX($AJ$13:$AR$162,BN4297,0)+INDEX($AT$13:$BB$162,BO4297,0)+INDEX($BD$13:$BL$162,BP4297,0))/100))),0)</f>
        <v/>
      </c>
      <c r="BT4297">
        <f>IF(AND(4284&lt;$U$9,$W$5),BQ4297*1000000-MIN(BR4297,999)*1000+BS4297-4284/100000,-1000000000-4284)</f>
        <v/>
      </c>
    </row>
    <row r="4298">
      <c r="BN4298">
        <f>IF(4285&lt;$U$9,INT(4285/($U$7*$U$8))+1,1)</f>
        <v/>
      </c>
      <c r="BO4298">
        <f>IF(4285&lt;$U$9,MOD(INT(4285/$U$8),$U$7)+1,1)</f>
        <v/>
      </c>
      <c r="BP4298">
        <f>IF(4285&lt;$U$9,MOD(4285,$U$8)+1,1)</f>
        <v/>
      </c>
      <c r="BQ4298">
        <f>IF(4285&lt;$U$9,SUMPRODUCT(($D$10:$L$10&lt;&gt;"")*(($D$9:$L$9+INT(($S$12:$AA$12+INDEX($AJ$13:$AR$162,BN4298,0)+INDEX($AT$13:$BB$162,BO4298,0)+INDEX($BD$13:$BL$162,BP4298,0))/100))&gt;=$D$10:$L$10)),0)</f>
        <v/>
      </c>
      <c r="BR4298">
        <f>IF(4285&lt;$U$9,SUMPRODUCT(($D$10:$L$10&lt;&gt;"")*(($D$10:$L$10-($D$9:$L$9+INT(($S$12:$AA$12+INDEX($AJ$13:$AR$162,BN4298,0)+INDEX($AT$13:$BB$162,BO4298,0)+INDEX($BD$13:$BL$162,BP4298,0))/100)))&gt;0)*($D$10:$L$10-($D$9:$L$9+INT(($S$12:$AA$12+INDEX($AJ$13:$AR$162,BN4298,0)+INDEX($AT$13:$BB$162,BO4298,0)+INDEX($BD$13:$BL$162,BP4298,0))/100)))),0)</f>
        <v/>
      </c>
      <c r="BS4298">
        <f>IF(4285&lt;$U$9,SUMPRODUCT(($D$9:$L$9+INT(($S$12:$AA$12+INDEX($AJ$13:$AR$162,BN4298,0)+INDEX($AT$13:$BB$162,BO4298,0)+INDEX($BD$13:$BL$162,BP4298,0))/100))),0)</f>
        <v/>
      </c>
      <c r="BT4298">
        <f>IF(AND(4285&lt;$U$9,$W$5),BQ4298*1000000-MIN(BR4298,999)*1000+BS4298-4285/100000,-1000000000-4285)</f>
        <v/>
      </c>
    </row>
    <row r="4299">
      <c r="BN4299">
        <f>IF(4286&lt;$U$9,INT(4286/($U$7*$U$8))+1,1)</f>
        <v/>
      </c>
      <c r="BO4299">
        <f>IF(4286&lt;$U$9,MOD(INT(4286/$U$8),$U$7)+1,1)</f>
        <v/>
      </c>
      <c r="BP4299">
        <f>IF(4286&lt;$U$9,MOD(4286,$U$8)+1,1)</f>
        <v/>
      </c>
      <c r="BQ4299">
        <f>IF(4286&lt;$U$9,SUMPRODUCT(($D$10:$L$10&lt;&gt;"")*(($D$9:$L$9+INT(($S$12:$AA$12+INDEX($AJ$13:$AR$162,BN4299,0)+INDEX($AT$13:$BB$162,BO4299,0)+INDEX($BD$13:$BL$162,BP4299,0))/100))&gt;=$D$10:$L$10)),0)</f>
        <v/>
      </c>
      <c r="BR4299">
        <f>IF(4286&lt;$U$9,SUMPRODUCT(($D$10:$L$10&lt;&gt;"")*(($D$10:$L$10-($D$9:$L$9+INT(($S$12:$AA$12+INDEX($AJ$13:$AR$162,BN4299,0)+INDEX($AT$13:$BB$162,BO4299,0)+INDEX($BD$13:$BL$162,BP4299,0))/100)))&gt;0)*($D$10:$L$10-($D$9:$L$9+INT(($S$12:$AA$12+INDEX($AJ$13:$AR$162,BN4299,0)+INDEX($AT$13:$BB$162,BO4299,0)+INDEX($BD$13:$BL$162,BP4299,0))/100)))),0)</f>
        <v/>
      </c>
      <c r="BS4299">
        <f>IF(4286&lt;$U$9,SUMPRODUCT(($D$9:$L$9+INT(($S$12:$AA$12+INDEX($AJ$13:$AR$162,BN4299,0)+INDEX($AT$13:$BB$162,BO4299,0)+INDEX($BD$13:$BL$162,BP4299,0))/100))),0)</f>
        <v/>
      </c>
      <c r="BT4299">
        <f>IF(AND(4286&lt;$U$9,$W$5),BQ4299*1000000-MIN(BR4299,999)*1000+BS4299-4286/100000,-1000000000-4286)</f>
        <v/>
      </c>
    </row>
    <row r="4300">
      <c r="BN4300">
        <f>IF(4287&lt;$U$9,INT(4287/($U$7*$U$8))+1,1)</f>
        <v/>
      </c>
      <c r="BO4300">
        <f>IF(4287&lt;$U$9,MOD(INT(4287/$U$8),$U$7)+1,1)</f>
        <v/>
      </c>
      <c r="BP4300">
        <f>IF(4287&lt;$U$9,MOD(4287,$U$8)+1,1)</f>
        <v/>
      </c>
      <c r="BQ4300">
        <f>IF(4287&lt;$U$9,SUMPRODUCT(($D$10:$L$10&lt;&gt;"")*(($D$9:$L$9+INT(($S$12:$AA$12+INDEX($AJ$13:$AR$162,BN4300,0)+INDEX($AT$13:$BB$162,BO4300,0)+INDEX($BD$13:$BL$162,BP4300,0))/100))&gt;=$D$10:$L$10)),0)</f>
        <v/>
      </c>
      <c r="BR4300">
        <f>IF(4287&lt;$U$9,SUMPRODUCT(($D$10:$L$10&lt;&gt;"")*(($D$10:$L$10-($D$9:$L$9+INT(($S$12:$AA$12+INDEX($AJ$13:$AR$162,BN4300,0)+INDEX($AT$13:$BB$162,BO4300,0)+INDEX($BD$13:$BL$162,BP4300,0))/100)))&gt;0)*($D$10:$L$10-($D$9:$L$9+INT(($S$12:$AA$12+INDEX($AJ$13:$AR$162,BN4300,0)+INDEX($AT$13:$BB$162,BO4300,0)+INDEX($BD$13:$BL$162,BP4300,0))/100)))),0)</f>
        <v/>
      </c>
      <c r="BS4300">
        <f>IF(4287&lt;$U$9,SUMPRODUCT(($D$9:$L$9+INT(($S$12:$AA$12+INDEX($AJ$13:$AR$162,BN4300,0)+INDEX($AT$13:$BB$162,BO4300,0)+INDEX($BD$13:$BL$162,BP4300,0))/100))),0)</f>
        <v/>
      </c>
      <c r="BT4300">
        <f>IF(AND(4287&lt;$U$9,$W$5),BQ4300*1000000-MIN(BR4300,999)*1000+BS4300-4287/100000,-1000000000-4287)</f>
        <v/>
      </c>
    </row>
    <row r="4301">
      <c r="BN4301">
        <f>IF(4288&lt;$U$9,INT(4288/($U$7*$U$8))+1,1)</f>
        <v/>
      </c>
      <c r="BO4301">
        <f>IF(4288&lt;$U$9,MOD(INT(4288/$U$8),$U$7)+1,1)</f>
        <v/>
      </c>
      <c r="BP4301">
        <f>IF(4288&lt;$U$9,MOD(4288,$U$8)+1,1)</f>
        <v/>
      </c>
      <c r="BQ4301">
        <f>IF(4288&lt;$U$9,SUMPRODUCT(($D$10:$L$10&lt;&gt;"")*(($D$9:$L$9+INT(($S$12:$AA$12+INDEX($AJ$13:$AR$162,BN4301,0)+INDEX($AT$13:$BB$162,BO4301,0)+INDEX($BD$13:$BL$162,BP4301,0))/100))&gt;=$D$10:$L$10)),0)</f>
        <v/>
      </c>
      <c r="BR4301">
        <f>IF(4288&lt;$U$9,SUMPRODUCT(($D$10:$L$10&lt;&gt;"")*(($D$10:$L$10-($D$9:$L$9+INT(($S$12:$AA$12+INDEX($AJ$13:$AR$162,BN4301,0)+INDEX($AT$13:$BB$162,BO4301,0)+INDEX($BD$13:$BL$162,BP4301,0))/100)))&gt;0)*($D$10:$L$10-($D$9:$L$9+INT(($S$12:$AA$12+INDEX($AJ$13:$AR$162,BN4301,0)+INDEX($AT$13:$BB$162,BO4301,0)+INDEX($BD$13:$BL$162,BP4301,0))/100)))),0)</f>
        <v/>
      </c>
      <c r="BS4301">
        <f>IF(4288&lt;$U$9,SUMPRODUCT(($D$9:$L$9+INT(($S$12:$AA$12+INDEX($AJ$13:$AR$162,BN4301,0)+INDEX($AT$13:$BB$162,BO4301,0)+INDEX($BD$13:$BL$162,BP4301,0))/100))),0)</f>
        <v/>
      </c>
      <c r="BT4301">
        <f>IF(AND(4288&lt;$U$9,$W$5),BQ4301*1000000-MIN(BR4301,999)*1000+BS4301-4288/100000,-1000000000-4288)</f>
        <v/>
      </c>
    </row>
    <row r="4302">
      <c r="BN4302">
        <f>IF(4289&lt;$U$9,INT(4289/($U$7*$U$8))+1,1)</f>
        <v/>
      </c>
      <c r="BO4302">
        <f>IF(4289&lt;$U$9,MOD(INT(4289/$U$8),$U$7)+1,1)</f>
        <v/>
      </c>
      <c r="BP4302">
        <f>IF(4289&lt;$U$9,MOD(4289,$U$8)+1,1)</f>
        <v/>
      </c>
      <c r="BQ4302">
        <f>IF(4289&lt;$U$9,SUMPRODUCT(($D$10:$L$10&lt;&gt;"")*(($D$9:$L$9+INT(($S$12:$AA$12+INDEX($AJ$13:$AR$162,BN4302,0)+INDEX($AT$13:$BB$162,BO4302,0)+INDEX($BD$13:$BL$162,BP4302,0))/100))&gt;=$D$10:$L$10)),0)</f>
        <v/>
      </c>
      <c r="BR4302">
        <f>IF(4289&lt;$U$9,SUMPRODUCT(($D$10:$L$10&lt;&gt;"")*(($D$10:$L$10-($D$9:$L$9+INT(($S$12:$AA$12+INDEX($AJ$13:$AR$162,BN4302,0)+INDEX($AT$13:$BB$162,BO4302,0)+INDEX($BD$13:$BL$162,BP4302,0))/100)))&gt;0)*($D$10:$L$10-($D$9:$L$9+INT(($S$12:$AA$12+INDEX($AJ$13:$AR$162,BN4302,0)+INDEX($AT$13:$BB$162,BO4302,0)+INDEX($BD$13:$BL$162,BP4302,0))/100)))),0)</f>
        <v/>
      </c>
      <c r="BS4302">
        <f>IF(4289&lt;$U$9,SUMPRODUCT(($D$9:$L$9+INT(($S$12:$AA$12+INDEX($AJ$13:$AR$162,BN4302,0)+INDEX($AT$13:$BB$162,BO4302,0)+INDEX($BD$13:$BL$162,BP4302,0))/100))),0)</f>
        <v/>
      </c>
      <c r="BT4302">
        <f>IF(AND(4289&lt;$U$9,$W$5),BQ4302*1000000-MIN(BR4302,999)*1000+BS4302-4289/100000,-1000000000-4289)</f>
        <v/>
      </c>
    </row>
    <row r="4303">
      <c r="BN4303">
        <f>IF(4290&lt;$U$9,INT(4290/($U$7*$U$8))+1,1)</f>
        <v/>
      </c>
      <c r="BO4303">
        <f>IF(4290&lt;$U$9,MOD(INT(4290/$U$8),$U$7)+1,1)</f>
        <v/>
      </c>
      <c r="BP4303">
        <f>IF(4290&lt;$U$9,MOD(4290,$U$8)+1,1)</f>
        <v/>
      </c>
      <c r="BQ4303">
        <f>IF(4290&lt;$U$9,SUMPRODUCT(($D$10:$L$10&lt;&gt;"")*(($D$9:$L$9+INT(($S$12:$AA$12+INDEX($AJ$13:$AR$162,BN4303,0)+INDEX($AT$13:$BB$162,BO4303,0)+INDEX($BD$13:$BL$162,BP4303,0))/100))&gt;=$D$10:$L$10)),0)</f>
        <v/>
      </c>
      <c r="BR4303">
        <f>IF(4290&lt;$U$9,SUMPRODUCT(($D$10:$L$10&lt;&gt;"")*(($D$10:$L$10-($D$9:$L$9+INT(($S$12:$AA$12+INDEX($AJ$13:$AR$162,BN4303,0)+INDEX($AT$13:$BB$162,BO4303,0)+INDEX($BD$13:$BL$162,BP4303,0))/100)))&gt;0)*($D$10:$L$10-($D$9:$L$9+INT(($S$12:$AA$12+INDEX($AJ$13:$AR$162,BN4303,0)+INDEX($AT$13:$BB$162,BO4303,0)+INDEX($BD$13:$BL$162,BP4303,0))/100)))),0)</f>
        <v/>
      </c>
      <c r="BS4303">
        <f>IF(4290&lt;$U$9,SUMPRODUCT(($D$9:$L$9+INT(($S$12:$AA$12+INDEX($AJ$13:$AR$162,BN4303,0)+INDEX($AT$13:$BB$162,BO4303,0)+INDEX($BD$13:$BL$162,BP4303,0))/100))),0)</f>
        <v/>
      </c>
      <c r="BT4303">
        <f>IF(AND(4290&lt;$U$9,$W$5),BQ4303*1000000-MIN(BR4303,999)*1000+BS4303-4290/100000,-1000000000-4290)</f>
        <v/>
      </c>
    </row>
    <row r="4304">
      <c r="BN4304">
        <f>IF(4291&lt;$U$9,INT(4291/($U$7*$U$8))+1,1)</f>
        <v/>
      </c>
      <c r="BO4304">
        <f>IF(4291&lt;$U$9,MOD(INT(4291/$U$8),$U$7)+1,1)</f>
        <v/>
      </c>
      <c r="BP4304">
        <f>IF(4291&lt;$U$9,MOD(4291,$U$8)+1,1)</f>
        <v/>
      </c>
      <c r="BQ4304">
        <f>IF(4291&lt;$U$9,SUMPRODUCT(($D$10:$L$10&lt;&gt;"")*(($D$9:$L$9+INT(($S$12:$AA$12+INDEX($AJ$13:$AR$162,BN4304,0)+INDEX($AT$13:$BB$162,BO4304,0)+INDEX($BD$13:$BL$162,BP4304,0))/100))&gt;=$D$10:$L$10)),0)</f>
        <v/>
      </c>
      <c r="BR4304">
        <f>IF(4291&lt;$U$9,SUMPRODUCT(($D$10:$L$10&lt;&gt;"")*(($D$10:$L$10-($D$9:$L$9+INT(($S$12:$AA$12+INDEX($AJ$13:$AR$162,BN4304,0)+INDEX($AT$13:$BB$162,BO4304,0)+INDEX($BD$13:$BL$162,BP4304,0))/100)))&gt;0)*($D$10:$L$10-($D$9:$L$9+INT(($S$12:$AA$12+INDEX($AJ$13:$AR$162,BN4304,0)+INDEX($AT$13:$BB$162,BO4304,0)+INDEX($BD$13:$BL$162,BP4304,0))/100)))),0)</f>
        <v/>
      </c>
      <c r="BS4304">
        <f>IF(4291&lt;$U$9,SUMPRODUCT(($D$9:$L$9+INT(($S$12:$AA$12+INDEX($AJ$13:$AR$162,BN4304,0)+INDEX($AT$13:$BB$162,BO4304,0)+INDEX($BD$13:$BL$162,BP4304,0))/100))),0)</f>
        <v/>
      </c>
      <c r="BT4304">
        <f>IF(AND(4291&lt;$U$9,$W$5),BQ4304*1000000-MIN(BR4304,999)*1000+BS4304-4291/100000,-1000000000-4291)</f>
        <v/>
      </c>
    </row>
    <row r="4305">
      <c r="BN4305">
        <f>IF(4292&lt;$U$9,INT(4292/($U$7*$U$8))+1,1)</f>
        <v/>
      </c>
      <c r="BO4305">
        <f>IF(4292&lt;$U$9,MOD(INT(4292/$U$8),$U$7)+1,1)</f>
        <v/>
      </c>
      <c r="BP4305">
        <f>IF(4292&lt;$U$9,MOD(4292,$U$8)+1,1)</f>
        <v/>
      </c>
      <c r="BQ4305">
        <f>IF(4292&lt;$U$9,SUMPRODUCT(($D$10:$L$10&lt;&gt;"")*(($D$9:$L$9+INT(($S$12:$AA$12+INDEX($AJ$13:$AR$162,BN4305,0)+INDEX($AT$13:$BB$162,BO4305,0)+INDEX($BD$13:$BL$162,BP4305,0))/100))&gt;=$D$10:$L$10)),0)</f>
        <v/>
      </c>
      <c r="BR4305">
        <f>IF(4292&lt;$U$9,SUMPRODUCT(($D$10:$L$10&lt;&gt;"")*(($D$10:$L$10-($D$9:$L$9+INT(($S$12:$AA$12+INDEX($AJ$13:$AR$162,BN4305,0)+INDEX($AT$13:$BB$162,BO4305,0)+INDEX($BD$13:$BL$162,BP4305,0))/100)))&gt;0)*($D$10:$L$10-($D$9:$L$9+INT(($S$12:$AA$12+INDEX($AJ$13:$AR$162,BN4305,0)+INDEX($AT$13:$BB$162,BO4305,0)+INDEX($BD$13:$BL$162,BP4305,0))/100)))),0)</f>
        <v/>
      </c>
      <c r="BS4305">
        <f>IF(4292&lt;$U$9,SUMPRODUCT(($D$9:$L$9+INT(($S$12:$AA$12+INDEX($AJ$13:$AR$162,BN4305,0)+INDEX($AT$13:$BB$162,BO4305,0)+INDEX($BD$13:$BL$162,BP4305,0))/100))),0)</f>
        <v/>
      </c>
      <c r="BT4305">
        <f>IF(AND(4292&lt;$U$9,$W$5),BQ4305*1000000-MIN(BR4305,999)*1000+BS4305-4292/100000,-1000000000-4292)</f>
        <v/>
      </c>
    </row>
    <row r="4306">
      <c r="BN4306">
        <f>IF(4293&lt;$U$9,INT(4293/($U$7*$U$8))+1,1)</f>
        <v/>
      </c>
      <c r="BO4306">
        <f>IF(4293&lt;$U$9,MOD(INT(4293/$U$8),$U$7)+1,1)</f>
        <v/>
      </c>
      <c r="BP4306">
        <f>IF(4293&lt;$U$9,MOD(4293,$U$8)+1,1)</f>
        <v/>
      </c>
      <c r="BQ4306">
        <f>IF(4293&lt;$U$9,SUMPRODUCT(($D$10:$L$10&lt;&gt;"")*(($D$9:$L$9+INT(($S$12:$AA$12+INDEX($AJ$13:$AR$162,BN4306,0)+INDEX($AT$13:$BB$162,BO4306,0)+INDEX($BD$13:$BL$162,BP4306,0))/100))&gt;=$D$10:$L$10)),0)</f>
        <v/>
      </c>
      <c r="BR4306">
        <f>IF(4293&lt;$U$9,SUMPRODUCT(($D$10:$L$10&lt;&gt;"")*(($D$10:$L$10-($D$9:$L$9+INT(($S$12:$AA$12+INDEX($AJ$13:$AR$162,BN4306,0)+INDEX($AT$13:$BB$162,BO4306,0)+INDEX($BD$13:$BL$162,BP4306,0))/100)))&gt;0)*($D$10:$L$10-($D$9:$L$9+INT(($S$12:$AA$12+INDEX($AJ$13:$AR$162,BN4306,0)+INDEX($AT$13:$BB$162,BO4306,0)+INDEX($BD$13:$BL$162,BP4306,0))/100)))),0)</f>
        <v/>
      </c>
      <c r="BS4306">
        <f>IF(4293&lt;$U$9,SUMPRODUCT(($D$9:$L$9+INT(($S$12:$AA$12+INDEX($AJ$13:$AR$162,BN4306,0)+INDEX($AT$13:$BB$162,BO4306,0)+INDEX($BD$13:$BL$162,BP4306,0))/100))),0)</f>
        <v/>
      </c>
      <c r="BT4306">
        <f>IF(AND(4293&lt;$U$9,$W$5),BQ4306*1000000-MIN(BR4306,999)*1000+BS4306-4293/100000,-1000000000-4293)</f>
        <v/>
      </c>
    </row>
    <row r="4307">
      <c r="BN4307">
        <f>IF(4294&lt;$U$9,INT(4294/($U$7*$U$8))+1,1)</f>
        <v/>
      </c>
      <c r="BO4307">
        <f>IF(4294&lt;$U$9,MOD(INT(4294/$U$8),$U$7)+1,1)</f>
        <v/>
      </c>
      <c r="BP4307">
        <f>IF(4294&lt;$U$9,MOD(4294,$U$8)+1,1)</f>
        <v/>
      </c>
      <c r="BQ4307">
        <f>IF(4294&lt;$U$9,SUMPRODUCT(($D$10:$L$10&lt;&gt;"")*(($D$9:$L$9+INT(($S$12:$AA$12+INDEX($AJ$13:$AR$162,BN4307,0)+INDEX($AT$13:$BB$162,BO4307,0)+INDEX($BD$13:$BL$162,BP4307,0))/100))&gt;=$D$10:$L$10)),0)</f>
        <v/>
      </c>
      <c r="BR4307">
        <f>IF(4294&lt;$U$9,SUMPRODUCT(($D$10:$L$10&lt;&gt;"")*(($D$10:$L$10-($D$9:$L$9+INT(($S$12:$AA$12+INDEX($AJ$13:$AR$162,BN4307,0)+INDEX($AT$13:$BB$162,BO4307,0)+INDEX($BD$13:$BL$162,BP4307,0))/100)))&gt;0)*($D$10:$L$10-($D$9:$L$9+INT(($S$12:$AA$12+INDEX($AJ$13:$AR$162,BN4307,0)+INDEX($AT$13:$BB$162,BO4307,0)+INDEX($BD$13:$BL$162,BP4307,0))/100)))),0)</f>
        <v/>
      </c>
      <c r="BS4307">
        <f>IF(4294&lt;$U$9,SUMPRODUCT(($D$9:$L$9+INT(($S$12:$AA$12+INDEX($AJ$13:$AR$162,BN4307,0)+INDEX($AT$13:$BB$162,BO4307,0)+INDEX($BD$13:$BL$162,BP4307,0))/100))),0)</f>
        <v/>
      </c>
      <c r="BT4307">
        <f>IF(AND(4294&lt;$U$9,$W$5),BQ4307*1000000-MIN(BR4307,999)*1000+BS4307-4294/100000,-1000000000-4294)</f>
        <v/>
      </c>
    </row>
    <row r="4308">
      <c r="BN4308">
        <f>IF(4295&lt;$U$9,INT(4295/($U$7*$U$8))+1,1)</f>
        <v/>
      </c>
      <c r="BO4308">
        <f>IF(4295&lt;$U$9,MOD(INT(4295/$U$8),$U$7)+1,1)</f>
        <v/>
      </c>
      <c r="BP4308">
        <f>IF(4295&lt;$U$9,MOD(4295,$U$8)+1,1)</f>
        <v/>
      </c>
      <c r="BQ4308">
        <f>IF(4295&lt;$U$9,SUMPRODUCT(($D$10:$L$10&lt;&gt;"")*(($D$9:$L$9+INT(($S$12:$AA$12+INDEX($AJ$13:$AR$162,BN4308,0)+INDEX($AT$13:$BB$162,BO4308,0)+INDEX($BD$13:$BL$162,BP4308,0))/100))&gt;=$D$10:$L$10)),0)</f>
        <v/>
      </c>
      <c r="BR4308">
        <f>IF(4295&lt;$U$9,SUMPRODUCT(($D$10:$L$10&lt;&gt;"")*(($D$10:$L$10-($D$9:$L$9+INT(($S$12:$AA$12+INDEX($AJ$13:$AR$162,BN4308,0)+INDEX($AT$13:$BB$162,BO4308,0)+INDEX($BD$13:$BL$162,BP4308,0))/100)))&gt;0)*($D$10:$L$10-($D$9:$L$9+INT(($S$12:$AA$12+INDEX($AJ$13:$AR$162,BN4308,0)+INDEX($AT$13:$BB$162,BO4308,0)+INDEX($BD$13:$BL$162,BP4308,0))/100)))),0)</f>
        <v/>
      </c>
      <c r="BS4308">
        <f>IF(4295&lt;$U$9,SUMPRODUCT(($D$9:$L$9+INT(($S$12:$AA$12+INDEX($AJ$13:$AR$162,BN4308,0)+INDEX($AT$13:$BB$162,BO4308,0)+INDEX($BD$13:$BL$162,BP4308,0))/100))),0)</f>
        <v/>
      </c>
      <c r="BT4308">
        <f>IF(AND(4295&lt;$U$9,$W$5),BQ4308*1000000-MIN(BR4308,999)*1000+BS4308-4295/100000,-1000000000-4295)</f>
        <v/>
      </c>
    </row>
    <row r="4309">
      <c r="BN4309">
        <f>IF(4296&lt;$U$9,INT(4296/($U$7*$U$8))+1,1)</f>
        <v/>
      </c>
      <c r="BO4309">
        <f>IF(4296&lt;$U$9,MOD(INT(4296/$U$8),$U$7)+1,1)</f>
        <v/>
      </c>
      <c r="BP4309">
        <f>IF(4296&lt;$U$9,MOD(4296,$U$8)+1,1)</f>
        <v/>
      </c>
      <c r="BQ4309">
        <f>IF(4296&lt;$U$9,SUMPRODUCT(($D$10:$L$10&lt;&gt;"")*(($D$9:$L$9+INT(($S$12:$AA$12+INDEX($AJ$13:$AR$162,BN4309,0)+INDEX($AT$13:$BB$162,BO4309,0)+INDEX($BD$13:$BL$162,BP4309,0))/100))&gt;=$D$10:$L$10)),0)</f>
        <v/>
      </c>
      <c r="BR4309">
        <f>IF(4296&lt;$U$9,SUMPRODUCT(($D$10:$L$10&lt;&gt;"")*(($D$10:$L$10-($D$9:$L$9+INT(($S$12:$AA$12+INDEX($AJ$13:$AR$162,BN4309,0)+INDEX($AT$13:$BB$162,BO4309,0)+INDEX($BD$13:$BL$162,BP4309,0))/100)))&gt;0)*($D$10:$L$10-($D$9:$L$9+INT(($S$12:$AA$12+INDEX($AJ$13:$AR$162,BN4309,0)+INDEX($AT$13:$BB$162,BO4309,0)+INDEX($BD$13:$BL$162,BP4309,0))/100)))),0)</f>
        <v/>
      </c>
      <c r="BS4309">
        <f>IF(4296&lt;$U$9,SUMPRODUCT(($D$9:$L$9+INT(($S$12:$AA$12+INDEX($AJ$13:$AR$162,BN4309,0)+INDEX($AT$13:$BB$162,BO4309,0)+INDEX($BD$13:$BL$162,BP4309,0))/100))),0)</f>
        <v/>
      </c>
      <c r="BT4309">
        <f>IF(AND(4296&lt;$U$9,$W$5),BQ4309*1000000-MIN(BR4309,999)*1000+BS4309-4296/100000,-1000000000-4296)</f>
        <v/>
      </c>
    </row>
    <row r="4310">
      <c r="BN4310">
        <f>IF(4297&lt;$U$9,INT(4297/($U$7*$U$8))+1,1)</f>
        <v/>
      </c>
      <c r="BO4310">
        <f>IF(4297&lt;$U$9,MOD(INT(4297/$U$8),$U$7)+1,1)</f>
        <v/>
      </c>
      <c r="BP4310">
        <f>IF(4297&lt;$U$9,MOD(4297,$U$8)+1,1)</f>
        <v/>
      </c>
      <c r="BQ4310">
        <f>IF(4297&lt;$U$9,SUMPRODUCT(($D$10:$L$10&lt;&gt;"")*(($D$9:$L$9+INT(($S$12:$AA$12+INDEX($AJ$13:$AR$162,BN4310,0)+INDEX($AT$13:$BB$162,BO4310,0)+INDEX($BD$13:$BL$162,BP4310,0))/100))&gt;=$D$10:$L$10)),0)</f>
        <v/>
      </c>
      <c r="BR4310">
        <f>IF(4297&lt;$U$9,SUMPRODUCT(($D$10:$L$10&lt;&gt;"")*(($D$10:$L$10-($D$9:$L$9+INT(($S$12:$AA$12+INDEX($AJ$13:$AR$162,BN4310,0)+INDEX($AT$13:$BB$162,BO4310,0)+INDEX($BD$13:$BL$162,BP4310,0))/100)))&gt;0)*($D$10:$L$10-($D$9:$L$9+INT(($S$12:$AA$12+INDEX($AJ$13:$AR$162,BN4310,0)+INDEX($AT$13:$BB$162,BO4310,0)+INDEX($BD$13:$BL$162,BP4310,0))/100)))),0)</f>
        <v/>
      </c>
      <c r="BS4310">
        <f>IF(4297&lt;$U$9,SUMPRODUCT(($D$9:$L$9+INT(($S$12:$AA$12+INDEX($AJ$13:$AR$162,BN4310,0)+INDEX($AT$13:$BB$162,BO4310,0)+INDEX($BD$13:$BL$162,BP4310,0))/100))),0)</f>
        <v/>
      </c>
      <c r="BT4310">
        <f>IF(AND(4297&lt;$U$9,$W$5),BQ4310*1000000-MIN(BR4310,999)*1000+BS4310-4297/100000,-1000000000-4297)</f>
        <v/>
      </c>
    </row>
    <row r="4311">
      <c r="BN4311">
        <f>IF(4298&lt;$U$9,INT(4298/($U$7*$U$8))+1,1)</f>
        <v/>
      </c>
      <c r="BO4311">
        <f>IF(4298&lt;$U$9,MOD(INT(4298/$U$8),$U$7)+1,1)</f>
        <v/>
      </c>
      <c r="BP4311">
        <f>IF(4298&lt;$U$9,MOD(4298,$U$8)+1,1)</f>
        <v/>
      </c>
      <c r="BQ4311">
        <f>IF(4298&lt;$U$9,SUMPRODUCT(($D$10:$L$10&lt;&gt;"")*(($D$9:$L$9+INT(($S$12:$AA$12+INDEX($AJ$13:$AR$162,BN4311,0)+INDEX($AT$13:$BB$162,BO4311,0)+INDEX($BD$13:$BL$162,BP4311,0))/100))&gt;=$D$10:$L$10)),0)</f>
        <v/>
      </c>
      <c r="BR4311">
        <f>IF(4298&lt;$U$9,SUMPRODUCT(($D$10:$L$10&lt;&gt;"")*(($D$10:$L$10-($D$9:$L$9+INT(($S$12:$AA$12+INDEX($AJ$13:$AR$162,BN4311,0)+INDEX($AT$13:$BB$162,BO4311,0)+INDEX($BD$13:$BL$162,BP4311,0))/100)))&gt;0)*($D$10:$L$10-($D$9:$L$9+INT(($S$12:$AA$12+INDEX($AJ$13:$AR$162,BN4311,0)+INDEX($AT$13:$BB$162,BO4311,0)+INDEX($BD$13:$BL$162,BP4311,0))/100)))),0)</f>
        <v/>
      </c>
      <c r="BS4311">
        <f>IF(4298&lt;$U$9,SUMPRODUCT(($D$9:$L$9+INT(($S$12:$AA$12+INDEX($AJ$13:$AR$162,BN4311,0)+INDEX($AT$13:$BB$162,BO4311,0)+INDEX($BD$13:$BL$162,BP4311,0))/100))),0)</f>
        <v/>
      </c>
      <c r="BT4311">
        <f>IF(AND(4298&lt;$U$9,$W$5),BQ4311*1000000-MIN(BR4311,999)*1000+BS4311-4298/100000,-1000000000-4298)</f>
        <v/>
      </c>
    </row>
    <row r="4312">
      <c r="BN4312">
        <f>IF(4299&lt;$U$9,INT(4299/($U$7*$U$8))+1,1)</f>
        <v/>
      </c>
      <c r="BO4312">
        <f>IF(4299&lt;$U$9,MOD(INT(4299/$U$8),$U$7)+1,1)</f>
        <v/>
      </c>
      <c r="BP4312">
        <f>IF(4299&lt;$U$9,MOD(4299,$U$8)+1,1)</f>
        <v/>
      </c>
      <c r="BQ4312">
        <f>IF(4299&lt;$U$9,SUMPRODUCT(($D$10:$L$10&lt;&gt;"")*(($D$9:$L$9+INT(($S$12:$AA$12+INDEX($AJ$13:$AR$162,BN4312,0)+INDEX($AT$13:$BB$162,BO4312,0)+INDEX($BD$13:$BL$162,BP4312,0))/100))&gt;=$D$10:$L$10)),0)</f>
        <v/>
      </c>
      <c r="BR4312">
        <f>IF(4299&lt;$U$9,SUMPRODUCT(($D$10:$L$10&lt;&gt;"")*(($D$10:$L$10-($D$9:$L$9+INT(($S$12:$AA$12+INDEX($AJ$13:$AR$162,BN4312,0)+INDEX($AT$13:$BB$162,BO4312,0)+INDEX($BD$13:$BL$162,BP4312,0))/100)))&gt;0)*($D$10:$L$10-($D$9:$L$9+INT(($S$12:$AA$12+INDEX($AJ$13:$AR$162,BN4312,0)+INDEX($AT$13:$BB$162,BO4312,0)+INDEX($BD$13:$BL$162,BP4312,0))/100)))),0)</f>
        <v/>
      </c>
      <c r="BS4312">
        <f>IF(4299&lt;$U$9,SUMPRODUCT(($D$9:$L$9+INT(($S$12:$AA$12+INDEX($AJ$13:$AR$162,BN4312,0)+INDEX($AT$13:$BB$162,BO4312,0)+INDEX($BD$13:$BL$162,BP4312,0))/100))),0)</f>
        <v/>
      </c>
      <c r="BT4312">
        <f>IF(AND(4299&lt;$U$9,$W$5),BQ4312*1000000-MIN(BR4312,999)*1000+BS4312-4299/100000,-1000000000-4299)</f>
        <v/>
      </c>
    </row>
    <row r="4313">
      <c r="BN4313">
        <f>IF(4300&lt;$U$9,INT(4300/($U$7*$U$8))+1,1)</f>
        <v/>
      </c>
      <c r="BO4313">
        <f>IF(4300&lt;$U$9,MOD(INT(4300/$U$8),$U$7)+1,1)</f>
        <v/>
      </c>
      <c r="BP4313">
        <f>IF(4300&lt;$U$9,MOD(4300,$U$8)+1,1)</f>
        <v/>
      </c>
      <c r="BQ4313">
        <f>IF(4300&lt;$U$9,SUMPRODUCT(($D$10:$L$10&lt;&gt;"")*(($D$9:$L$9+INT(($S$12:$AA$12+INDEX($AJ$13:$AR$162,BN4313,0)+INDEX($AT$13:$BB$162,BO4313,0)+INDEX($BD$13:$BL$162,BP4313,0))/100))&gt;=$D$10:$L$10)),0)</f>
        <v/>
      </c>
      <c r="BR4313">
        <f>IF(4300&lt;$U$9,SUMPRODUCT(($D$10:$L$10&lt;&gt;"")*(($D$10:$L$10-($D$9:$L$9+INT(($S$12:$AA$12+INDEX($AJ$13:$AR$162,BN4313,0)+INDEX($AT$13:$BB$162,BO4313,0)+INDEX($BD$13:$BL$162,BP4313,0))/100)))&gt;0)*($D$10:$L$10-($D$9:$L$9+INT(($S$12:$AA$12+INDEX($AJ$13:$AR$162,BN4313,0)+INDEX($AT$13:$BB$162,BO4313,0)+INDEX($BD$13:$BL$162,BP4313,0))/100)))),0)</f>
        <v/>
      </c>
      <c r="BS4313">
        <f>IF(4300&lt;$U$9,SUMPRODUCT(($D$9:$L$9+INT(($S$12:$AA$12+INDEX($AJ$13:$AR$162,BN4313,0)+INDEX($AT$13:$BB$162,BO4313,0)+INDEX($BD$13:$BL$162,BP4313,0))/100))),0)</f>
        <v/>
      </c>
      <c r="BT4313">
        <f>IF(AND(4300&lt;$U$9,$W$5),BQ4313*1000000-MIN(BR4313,999)*1000+BS4313-4300/100000,-1000000000-4300)</f>
        <v/>
      </c>
    </row>
    <row r="4314">
      <c r="BN4314">
        <f>IF(4301&lt;$U$9,INT(4301/($U$7*$U$8))+1,1)</f>
        <v/>
      </c>
      <c r="BO4314">
        <f>IF(4301&lt;$U$9,MOD(INT(4301/$U$8),$U$7)+1,1)</f>
        <v/>
      </c>
      <c r="BP4314">
        <f>IF(4301&lt;$U$9,MOD(4301,$U$8)+1,1)</f>
        <v/>
      </c>
      <c r="BQ4314">
        <f>IF(4301&lt;$U$9,SUMPRODUCT(($D$10:$L$10&lt;&gt;"")*(($D$9:$L$9+INT(($S$12:$AA$12+INDEX($AJ$13:$AR$162,BN4314,0)+INDEX($AT$13:$BB$162,BO4314,0)+INDEX($BD$13:$BL$162,BP4314,0))/100))&gt;=$D$10:$L$10)),0)</f>
        <v/>
      </c>
      <c r="BR4314">
        <f>IF(4301&lt;$U$9,SUMPRODUCT(($D$10:$L$10&lt;&gt;"")*(($D$10:$L$10-($D$9:$L$9+INT(($S$12:$AA$12+INDEX($AJ$13:$AR$162,BN4314,0)+INDEX($AT$13:$BB$162,BO4314,0)+INDEX($BD$13:$BL$162,BP4314,0))/100)))&gt;0)*($D$10:$L$10-($D$9:$L$9+INT(($S$12:$AA$12+INDEX($AJ$13:$AR$162,BN4314,0)+INDEX($AT$13:$BB$162,BO4314,0)+INDEX($BD$13:$BL$162,BP4314,0))/100)))),0)</f>
        <v/>
      </c>
      <c r="BS4314">
        <f>IF(4301&lt;$U$9,SUMPRODUCT(($D$9:$L$9+INT(($S$12:$AA$12+INDEX($AJ$13:$AR$162,BN4314,0)+INDEX($AT$13:$BB$162,BO4314,0)+INDEX($BD$13:$BL$162,BP4314,0))/100))),0)</f>
        <v/>
      </c>
      <c r="BT4314">
        <f>IF(AND(4301&lt;$U$9,$W$5),BQ4314*1000000-MIN(BR4314,999)*1000+BS4314-4301/100000,-1000000000-4301)</f>
        <v/>
      </c>
    </row>
    <row r="4315">
      <c r="BN4315">
        <f>IF(4302&lt;$U$9,INT(4302/($U$7*$U$8))+1,1)</f>
        <v/>
      </c>
      <c r="BO4315">
        <f>IF(4302&lt;$U$9,MOD(INT(4302/$U$8),$U$7)+1,1)</f>
        <v/>
      </c>
      <c r="BP4315">
        <f>IF(4302&lt;$U$9,MOD(4302,$U$8)+1,1)</f>
        <v/>
      </c>
      <c r="BQ4315">
        <f>IF(4302&lt;$U$9,SUMPRODUCT(($D$10:$L$10&lt;&gt;"")*(($D$9:$L$9+INT(($S$12:$AA$12+INDEX($AJ$13:$AR$162,BN4315,0)+INDEX($AT$13:$BB$162,BO4315,0)+INDEX($BD$13:$BL$162,BP4315,0))/100))&gt;=$D$10:$L$10)),0)</f>
        <v/>
      </c>
      <c r="BR4315">
        <f>IF(4302&lt;$U$9,SUMPRODUCT(($D$10:$L$10&lt;&gt;"")*(($D$10:$L$10-($D$9:$L$9+INT(($S$12:$AA$12+INDEX($AJ$13:$AR$162,BN4315,0)+INDEX($AT$13:$BB$162,BO4315,0)+INDEX($BD$13:$BL$162,BP4315,0))/100)))&gt;0)*($D$10:$L$10-($D$9:$L$9+INT(($S$12:$AA$12+INDEX($AJ$13:$AR$162,BN4315,0)+INDEX($AT$13:$BB$162,BO4315,0)+INDEX($BD$13:$BL$162,BP4315,0))/100)))),0)</f>
        <v/>
      </c>
      <c r="BS4315">
        <f>IF(4302&lt;$U$9,SUMPRODUCT(($D$9:$L$9+INT(($S$12:$AA$12+INDEX($AJ$13:$AR$162,BN4315,0)+INDEX($AT$13:$BB$162,BO4315,0)+INDEX($BD$13:$BL$162,BP4315,0))/100))),0)</f>
        <v/>
      </c>
      <c r="BT4315">
        <f>IF(AND(4302&lt;$U$9,$W$5),BQ4315*1000000-MIN(BR4315,999)*1000+BS4315-4302/100000,-1000000000-4302)</f>
        <v/>
      </c>
    </row>
    <row r="4316">
      <c r="BN4316">
        <f>IF(4303&lt;$U$9,INT(4303/($U$7*$U$8))+1,1)</f>
        <v/>
      </c>
      <c r="BO4316">
        <f>IF(4303&lt;$U$9,MOD(INT(4303/$U$8),$U$7)+1,1)</f>
        <v/>
      </c>
      <c r="BP4316">
        <f>IF(4303&lt;$U$9,MOD(4303,$U$8)+1,1)</f>
        <v/>
      </c>
      <c r="BQ4316">
        <f>IF(4303&lt;$U$9,SUMPRODUCT(($D$10:$L$10&lt;&gt;"")*(($D$9:$L$9+INT(($S$12:$AA$12+INDEX($AJ$13:$AR$162,BN4316,0)+INDEX($AT$13:$BB$162,BO4316,0)+INDEX($BD$13:$BL$162,BP4316,0))/100))&gt;=$D$10:$L$10)),0)</f>
        <v/>
      </c>
      <c r="BR4316">
        <f>IF(4303&lt;$U$9,SUMPRODUCT(($D$10:$L$10&lt;&gt;"")*(($D$10:$L$10-($D$9:$L$9+INT(($S$12:$AA$12+INDEX($AJ$13:$AR$162,BN4316,0)+INDEX($AT$13:$BB$162,BO4316,0)+INDEX($BD$13:$BL$162,BP4316,0))/100)))&gt;0)*($D$10:$L$10-($D$9:$L$9+INT(($S$12:$AA$12+INDEX($AJ$13:$AR$162,BN4316,0)+INDEX($AT$13:$BB$162,BO4316,0)+INDEX($BD$13:$BL$162,BP4316,0))/100)))),0)</f>
        <v/>
      </c>
      <c r="BS4316">
        <f>IF(4303&lt;$U$9,SUMPRODUCT(($D$9:$L$9+INT(($S$12:$AA$12+INDEX($AJ$13:$AR$162,BN4316,0)+INDEX($AT$13:$BB$162,BO4316,0)+INDEX($BD$13:$BL$162,BP4316,0))/100))),0)</f>
        <v/>
      </c>
      <c r="BT4316">
        <f>IF(AND(4303&lt;$U$9,$W$5),BQ4316*1000000-MIN(BR4316,999)*1000+BS4316-4303/100000,-1000000000-4303)</f>
        <v/>
      </c>
    </row>
    <row r="4317">
      <c r="BN4317">
        <f>IF(4304&lt;$U$9,INT(4304/($U$7*$U$8))+1,1)</f>
        <v/>
      </c>
      <c r="BO4317">
        <f>IF(4304&lt;$U$9,MOD(INT(4304/$U$8),$U$7)+1,1)</f>
        <v/>
      </c>
      <c r="BP4317">
        <f>IF(4304&lt;$U$9,MOD(4304,$U$8)+1,1)</f>
        <v/>
      </c>
      <c r="BQ4317">
        <f>IF(4304&lt;$U$9,SUMPRODUCT(($D$10:$L$10&lt;&gt;"")*(($D$9:$L$9+INT(($S$12:$AA$12+INDEX($AJ$13:$AR$162,BN4317,0)+INDEX($AT$13:$BB$162,BO4317,0)+INDEX($BD$13:$BL$162,BP4317,0))/100))&gt;=$D$10:$L$10)),0)</f>
        <v/>
      </c>
      <c r="BR4317">
        <f>IF(4304&lt;$U$9,SUMPRODUCT(($D$10:$L$10&lt;&gt;"")*(($D$10:$L$10-($D$9:$L$9+INT(($S$12:$AA$12+INDEX($AJ$13:$AR$162,BN4317,0)+INDEX($AT$13:$BB$162,BO4317,0)+INDEX($BD$13:$BL$162,BP4317,0))/100)))&gt;0)*($D$10:$L$10-($D$9:$L$9+INT(($S$12:$AA$12+INDEX($AJ$13:$AR$162,BN4317,0)+INDEX($AT$13:$BB$162,BO4317,0)+INDEX($BD$13:$BL$162,BP4317,0))/100)))),0)</f>
        <v/>
      </c>
      <c r="BS4317">
        <f>IF(4304&lt;$U$9,SUMPRODUCT(($D$9:$L$9+INT(($S$12:$AA$12+INDEX($AJ$13:$AR$162,BN4317,0)+INDEX($AT$13:$BB$162,BO4317,0)+INDEX($BD$13:$BL$162,BP4317,0))/100))),0)</f>
        <v/>
      </c>
      <c r="BT4317">
        <f>IF(AND(4304&lt;$U$9,$W$5),BQ4317*1000000-MIN(BR4317,999)*1000+BS4317-4304/100000,-1000000000-4304)</f>
        <v/>
      </c>
    </row>
    <row r="4318">
      <c r="BN4318">
        <f>IF(4305&lt;$U$9,INT(4305/($U$7*$U$8))+1,1)</f>
        <v/>
      </c>
      <c r="BO4318">
        <f>IF(4305&lt;$U$9,MOD(INT(4305/$U$8),$U$7)+1,1)</f>
        <v/>
      </c>
      <c r="BP4318">
        <f>IF(4305&lt;$U$9,MOD(4305,$U$8)+1,1)</f>
        <v/>
      </c>
      <c r="BQ4318">
        <f>IF(4305&lt;$U$9,SUMPRODUCT(($D$10:$L$10&lt;&gt;"")*(($D$9:$L$9+INT(($S$12:$AA$12+INDEX($AJ$13:$AR$162,BN4318,0)+INDEX($AT$13:$BB$162,BO4318,0)+INDEX($BD$13:$BL$162,BP4318,0))/100))&gt;=$D$10:$L$10)),0)</f>
        <v/>
      </c>
      <c r="BR4318">
        <f>IF(4305&lt;$U$9,SUMPRODUCT(($D$10:$L$10&lt;&gt;"")*(($D$10:$L$10-($D$9:$L$9+INT(($S$12:$AA$12+INDEX($AJ$13:$AR$162,BN4318,0)+INDEX($AT$13:$BB$162,BO4318,0)+INDEX($BD$13:$BL$162,BP4318,0))/100)))&gt;0)*($D$10:$L$10-($D$9:$L$9+INT(($S$12:$AA$12+INDEX($AJ$13:$AR$162,BN4318,0)+INDEX($AT$13:$BB$162,BO4318,0)+INDEX($BD$13:$BL$162,BP4318,0))/100)))),0)</f>
        <v/>
      </c>
      <c r="BS4318">
        <f>IF(4305&lt;$U$9,SUMPRODUCT(($D$9:$L$9+INT(($S$12:$AA$12+INDEX($AJ$13:$AR$162,BN4318,0)+INDEX($AT$13:$BB$162,BO4318,0)+INDEX($BD$13:$BL$162,BP4318,0))/100))),0)</f>
        <v/>
      </c>
      <c r="BT4318">
        <f>IF(AND(4305&lt;$U$9,$W$5),BQ4318*1000000-MIN(BR4318,999)*1000+BS4318-4305/100000,-1000000000-4305)</f>
        <v/>
      </c>
    </row>
    <row r="4319">
      <c r="BN4319">
        <f>IF(4306&lt;$U$9,INT(4306/($U$7*$U$8))+1,1)</f>
        <v/>
      </c>
      <c r="BO4319">
        <f>IF(4306&lt;$U$9,MOD(INT(4306/$U$8),$U$7)+1,1)</f>
        <v/>
      </c>
      <c r="BP4319">
        <f>IF(4306&lt;$U$9,MOD(4306,$U$8)+1,1)</f>
        <v/>
      </c>
      <c r="BQ4319">
        <f>IF(4306&lt;$U$9,SUMPRODUCT(($D$10:$L$10&lt;&gt;"")*(($D$9:$L$9+INT(($S$12:$AA$12+INDEX($AJ$13:$AR$162,BN4319,0)+INDEX($AT$13:$BB$162,BO4319,0)+INDEX($BD$13:$BL$162,BP4319,0))/100))&gt;=$D$10:$L$10)),0)</f>
        <v/>
      </c>
      <c r="BR4319">
        <f>IF(4306&lt;$U$9,SUMPRODUCT(($D$10:$L$10&lt;&gt;"")*(($D$10:$L$10-($D$9:$L$9+INT(($S$12:$AA$12+INDEX($AJ$13:$AR$162,BN4319,0)+INDEX($AT$13:$BB$162,BO4319,0)+INDEX($BD$13:$BL$162,BP4319,0))/100)))&gt;0)*($D$10:$L$10-($D$9:$L$9+INT(($S$12:$AA$12+INDEX($AJ$13:$AR$162,BN4319,0)+INDEX($AT$13:$BB$162,BO4319,0)+INDEX($BD$13:$BL$162,BP4319,0))/100)))),0)</f>
        <v/>
      </c>
      <c r="BS4319">
        <f>IF(4306&lt;$U$9,SUMPRODUCT(($D$9:$L$9+INT(($S$12:$AA$12+INDEX($AJ$13:$AR$162,BN4319,0)+INDEX($AT$13:$BB$162,BO4319,0)+INDEX($BD$13:$BL$162,BP4319,0))/100))),0)</f>
        <v/>
      </c>
      <c r="BT4319">
        <f>IF(AND(4306&lt;$U$9,$W$5),BQ4319*1000000-MIN(BR4319,999)*1000+BS4319-4306/100000,-1000000000-4306)</f>
        <v/>
      </c>
    </row>
    <row r="4320">
      <c r="BN4320">
        <f>IF(4307&lt;$U$9,INT(4307/($U$7*$U$8))+1,1)</f>
        <v/>
      </c>
      <c r="BO4320">
        <f>IF(4307&lt;$U$9,MOD(INT(4307/$U$8),$U$7)+1,1)</f>
        <v/>
      </c>
      <c r="BP4320">
        <f>IF(4307&lt;$U$9,MOD(4307,$U$8)+1,1)</f>
        <v/>
      </c>
      <c r="BQ4320">
        <f>IF(4307&lt;$U$9,SUMPRODUCT(($D$10:$L$10&lt;&gt;"")*(($D$9:$L$9+INT(($S$12:$AA$12+INDEX($AJ$13:$AR$162,BN4320,0)+INDEX($AT$13:$BB$162,BO4320,0)+INDEX($BD$13:$BL$162,BP4320,0))/100))&gt;=$D$10:$L$10)),0)</f>
        <v/>
      </c>
      <c r="BR4320">
        <f>IF(4307&lt;$U$9,SUMPRODUCT(($D$10:$L$10&lt;&gt;"")*(($D$10:$L$10-($D$9:$L$9+INT(($S$12:$AA$12+INDEX($AJ$13:$AR$162,BN4320,0)+INDEX($AT$13:$BB$162,BO4320,0)+INDEX($BD$13:$BL$162,BP4320,0))/100)))&gt;0)*($D$10:$L$10-($D$9:$L$9+INT(($S$12:$AA$12+INDEX($AJ$13:$AR$162,BN4320,0)+INDEX($AT$13:$BB$162,BO4320,0)+INDEX($BD$13:$BL$162,BP4320,0))/100)))),0)</f>
        <v/>
      </c>
      <c r="BS4320">
        <f>IF(4307&lt;$U$9,SUMPRODUCT(($D$9:$L$9+INT(($S$12:$AA$12+INDEX($AJ$13:$AR$162,BN4320,0)+INDEX($AT$13:$BB$162,BO4320,0)+INDEX($BD$13:$BL$162,BP4320,0))/100))),0)</f>
        <v/>
      </c>
      <c r="BT4320">
        <f>IF(AND(4307&lt;$U$9,$W$5),BQ4320*1000000-MIN(BR4320,999)*1000+BS4320-4307/100000,-1000000000-4307)</f>
        <v/>
      </c>
    </row>
    <row r="4321">
      <c r="BN4321">
        <f>IF(4308&lt;$U$9,INT(4308/($U$7*$U$8))+1,1)</f>
        <v/>
      </c>
      <c r="BO4321">
        <f>IF(4308&lt;$U$9,MOD(INT(4308/$U$8),$U$7)+1,1)</f>
        <v/>
      </c>
      <c r="BP4321">
        <f>IF(4308&lt;$U$9,MOD(4308,$U$8)+1,1)</f>
        <v/>
      </c>
      <c r="BQ4321">
        <f>IF(4308&lt;$U$9,SUMPRODUCT(($D$10:$L$10&lt;&gt;"")*(($D$9:$L$9+INT(($S$12:$AA$12+INDEX($AJ$13:$AR$162,BN4321,0)+INDEX($AT$13:$BB$162,BO4321,0)+INDEX($BD$13:$BL$162,BP4321,0))/100))&gt;=$D$10:$L$10)),0)</f>
        <v/>
      </c>
      <c r="BR4321">
        <f>IF(4308&lt;$U$9,SUMPRODUCT(($D$10:$L$10&lt;&gt;"")*(($D$10:$L$10-($D$9:$L$9+INT(($S$12:$AA$12+INDEX($AJ$13:$AR$162,BN4321,0)+INDEX($AT$13:$BB$162,BO4321,0)+INDEX($BD$13:$BL$162,BP4321,0))/100)))&gt;0)*($D$10:$L$10-($D$9:$L$9+INT(($S$12:$AA$12+INDEX($AJ$13:$AR$162,BN4321,0)+INDEX($AT$13:$BB$162,BO4321,0)+INDEX($BD$13:$BL$162,BP4321,0))/100)))),0)</f>
        <v/>
      </c>
      <c r="BS4321">
        <f>IF(4308&lt;$U$9,SUMPRODUCT(($D$9:$L$9+INT(($S$12:$AA$12+INDEX($AJ$13:$AR$162,BN4321,0)+INDEX($AT$13:$BB$162,BO4321,0)+INDEX($BD$13:$BL$162,BP4321,0))/100))),0)</f>
        <v/>
      </c>
      <c r="BT4321">
        <f>IF(AND(4308&lt;$U$9,$W$5),BQ4321*1000000-MIN(BR4321,999)*1000+BS4321-4308/100000,-1000000000-4308)</f>
        <v/>
      </c>
    </row>
    <row r="4322">
      <c r="BN4322">
        <f>IF(4309&lt;$U$9,INT(4309/($U$7*$U$8))+1,1)</f>
        <v/>
      </c>
      <c r="BO4322">
        <f>IF(4309&lt;$U$9,MOD(INT(4309/$U$8),$U$7)+1,1)</f>
        <v/>
      </c>
      <c r="BP4322">
        <f>IF(4309&lt;$U$9,MOD(4309,$U$8)+1,1)</f>
        <v/>
      </c>
      <c r="BQ4322">
        <f>IF(4309&lt;$U$9,SUMPRODUCT(($D$10:$L$10&lt;&gt;"")*(($D$9:$L$9+INT(($S$12:$AA$12+INDEX($AJ$13:$AR$162,BN4322,0)+INDEX($AT$13:$BB$162,BO4322,0)+INDEX($BD$13:$BL$162,BP4322,0))/100))&gt;=$D$10:$L$10)),0)</f>
        <v/>
      </c>
      <c r="BR4322">
        <f>IF(4309&lt;$U$9,SUMPRODUCT(($D$10:$L$10&lt;&gt;"")*(($D$10:$L$10-($D$9:$L$9+INT(($S$12:$AA$12+INDEX($AJ$13:$AR$162,BN4322,0)+INDEX($AT$13:$BB$162,BO4322,0)+INDEX($BD$13:$BL$162,BP4322,0))/100)))&gt;0)*($D$10:$L$10-($D$9:$L$9+INT(($S$12:$AA$12+INDEX($AJ$13:$AR$162,BN4322,0)+INDEX($AT$13:$BB$162,BO4322,0)+INDEX($BD$13:$BL$162,BP4322,0))/100)))),0)</f>
        <v/>
      </c>
      <c r="BS4322">
        <f>IF(4309&lt;$U$9,SUMPRODUCT(($D$9:$L$9+INT(($S$12:$AA$12+INDEX($AJ$13:$AR$162,BN4322,0)+INDEX($AT$13:$BB$162,BO4322,0)+INDEX($BD$13:$BL$162,BP4322,0))/100))),0)</f>
        <v/>
      </c>
      <c r="BT4322">
        <f>IF(AND(4309&lt;$U$9,$W$5),BQ4322*1000000-MIN(BR4322,999)*1000+BS4322-4309/100000,-1000000000-4309)</f>
        <v/>
      </c>
    </row>
    <row r="4323">
      <c r="BN4323">
        <f>IF(4310&lt;$U$9,INT(4310/($U$7*$U$8))+1,1)</f>
        <v/>
      </c>
      <c r="BO4323">
        <f>IF(4310&lt;$U$9,MOD(INT(4310/$U$8),$U$7)+1,1)</f>
        <v/>
      </c>
      <c r="BP4323">
        <f>IF(4310&lt;$U$9,MOD(4310,$U$8)+1,1)</f>
        <v/>
      </c>
      <c r="BQ4323">
        <f>IF(4310&lt;$U$9,SUMPRODUCT(($D$10:$L$10&lt;&gt;"")*(($D$9:$L$9+INT(($S$12:$AA$12+INDEX($AJ$13:$AR$162,BN4323,0)+INDEX($AT$13:$BB$162,BO4323,0)+INDEX($BD$13:$BL$162,BP4323,0))/100))&gt;=$D$10:$L$10)),0)</f>
        <v/>
      </c>
      <c r="BR4323">
        <f>IF(4310&lt;$U$9,SUMPRODUCT(($D$10:$L$10&lt;&gt;"")*(($D$10:$L$10-($D$9:$L$9+INT(($S$12:$AA$12+INDEX($AJ$13:$AR$162,BN4323,0)+INDEX($AT$13:$BB$162,BO4323,0)+INDEX($BD$13:$BL$162,BP4323,0))/100)))&gt;0)*($D$10:$L$10-($D$9:$L$9+INT(($S$12:$AA$12+INDEX($AJ$13:$AR$162,BN4323,0)+INDEX($AT$13:$BB$162,BO4323,0)+INDEX($BD$13:$BL$162,BP4323,0))/100)))),0)</f>
        <v/>
      </c>
      <c r="BS4323">
        <f>IF(4310&lt;$U$9,SUMPRODUCT(($D$9:$L$9+INT(($S$12:$AA$12+INDEX($AJ$13:$AR$162,BN4323,0)+INDEX($AT$13:$BB$162,BO4323,0)+INDEX($BD$13:$BL$162,BP4323,0))/100))),0)</f>
        <v/>
      </c>
      <c r="BT4323">
        <f>IF(AND(4310&lt;$U$9,$W$5),BQ4323*1000000-MIN(BR4323,999)*1000+BS4323-4310/100000,-1000000000-4310)</f>
        <v/>
      </c>
    </row>
    <row r="4324">
      <c r="BN4324">
        <f>IF(4311&lt;$U$9,INT(4311/($U$7*$U$8))+1,1)</f>
        <v/>
      </c>
      <c r="BO4324">
        <f>IF(4311&lt;$U$9,MOD(INT(4311/$U$8),$U$7)+1,1)</f>
        <v/>
      </c>
      <c r="BP4324">
        <f>IF(4311&lt;$U$9,MOD(4311,$U$8)+1,1)</f>
        <v/>
      </c>
      <c r="BQ4324">
        <f>IF(4311&lt;$U$9,SUMPRODUCT(($D$10:$L$10&lt;&gt;"")*(($D$9:$L$9+INT(($S$12:$AA$12+INDEX($AJ$13:$AR$162,BN4324,0)+INDEX($AT$13:$BB$162,BO4324,0)+INDEX($BD$13:$BL$162,BP4324,0))/100))&gt;=$D$10:$L$10)),0)</f>
        <v/>
      </c>
      <c r="BR4324">
        <f>IF(4311&lt;$U$9,SUMPRODUCT(($D$10:$L$10&lt;&gt;"")*(($D$10:$L$10-($D$9:$L$9+INT(($S$12:$AA$12+INDEX($AJ$13:$AR$162,BN4324,0)+INDEX($AT$13:$BB$162,BO4324,0)+INDEX($BD$13:$BL$162,BP4324,0))/100)))&gt;0)*($D$10:$L$10-($D$9:$L$9+INT(($S$12:$AA$12+INDEX($AJ$13:$AR$162,BN4324,0)+INDEX($AT$13:$BB$162,BO4324,0)+INDEX($BD$13:$BL$162,BP4324,0))/100)))),0)</f>
        <v/>
      </c>
      <c r="BS4324">
        <f>IF(4311&lt;$U$9,SUMPRODUCT(($D$9:$L$9+INT(($S$12:$AA$12+INDEX($AJ$13:$AR$162,BN4324,0)+INDEX($AT$13:$BB$162,BO4324,0)+INDEX($BD$13:$BL$162,BP4324,0))/100))),0)</f>
        <v/>
      </c>
      <c r="BT4324">
        <f>IF(AND(4311&lt;$U$9,$W$5),BQ4324*1000000-MIN(BR4324,999)*1000+BS4324-4311/100000,-1000000000-4311)</f>
        <v/>
      </c>
    </row>
    <row r="4325">
      <c r="BN4325">
        <f>IF(4312&lt;$U$9,INT(4312/($U$7*$U$8))+1,1)</f>
        <v/>
      </c>
      <c r="BO4325">
        <f>IF(4312&lt;$U$9,MOD(INT(4312/$U$8),$U$7)+1,1)</f>
        <v/>
      </c>
      <c r="BP4325">
        <f>IF(4312&lt;$U$9,MOD(4312,$U$8)+1,1)</f>
        <v/>
      </c>
      <c r="BQ4325">
        <f>IF(4312&lt;$U$9,SUMPRODUCT(($D$10:$L$10&lt;&gt;"")*(($D$9:$L$9+INT(($S$12:$AA$12+INDEX($AJ$13:$AR$162,BN4325,0)+INDEX($AT$13:$BB$162,BO4325,0)+INDEX($BD$13:$BL$162,BP4325,0))/100))&gt;=$D$10:$L$10)),0)</f>
        <v/>
      </c>
      <c r="BR4325">
        <f>IF(4312&lt;$U$9,SUMPRODUCT(($D$10:$L$10&lt;&gt;"")*(($D$10:$L$10-($D$9:$L$9+INT(($S$12:$AA$12+INDEX($AJ$13:$AR$162,BN4325,0)+INDEX($AT$13:$BB$162,BO4325,0)+INDEX($BD$13:$BL$162,BP4325,0))/100)))&gt;0)*($D$10:$L$10-($D$9:$L$9+INT(($S$12:$AA$12+INDEX($AJ$13:$AR$162,BN4325,0)+INDEX($AT$13:$BB$162,BO4325,0)+INDEX($BD$13:$BL$162,BP4325,0))/100)))),0)</f>
        <v/>
      </c>
      <c r="BS4325">
        <f>IF(4312&lt;$U$9,SUMPRODUCT(($D$9:$L$9+INT(($S$12:$AA$12+INDEX($AJ$13:$AR$162,BN4325,0)+INDEX($AT$13:$BB$162,BO4325,0)+INDEX($BD$13:$BL$162,BP4325,0))/100))),0)</f>
        <v/>
      </c>
      <c r="BT4325">
        <f>IF(AND(4312&lt;$U$9,$W$5),BQ4325*1000000-MIN(BR4325,999)*1000+BS4325-4312/100000,-1000000000-4312)</f>
        <v/>
      </c>
    </row>
    <row r="4326">
      <c r="BN4326">
        <f>IF(4313&lt;$U$9,INT(4313/($U$7*$U$8))+1,1)</f>
        <v/>
      </c>
      <c r="BO4326">
        <f>IF(4313&lt;$U$9,MOD(INT(4313/$U$8),$U$7)+1,1)</f>
        <v/>
      </c>
      <c r="BP4326">
        <f>IF(4313&lt;$U$9,MOD(4313,$U$8)+1,1)</f>
        <v/>
      </c>
      <c r="BQ4326">
        <f>IF(4313&lt;$U$9,SUMPRODUCT(($D$10:$L$10&lt;&gt;"")*(($D$9:$L$9+INT(($S$12:$AA$12+INDEX($AJ$13:$AR$162,BN4326,0)+INDEX($AT$13:$BB$162,BO4326,0)+INDEX($BD$13:$BL$162,BP4326,0))/100))&gt;=$D$10:$L$10)),0)</f>
        <v/>
      </c>
      <c r="BR4326">
        <f>IF(4313&lt;$U$9,SUMPRODUCT(($D$10:$L$10&lt;&gt;"")*(($D$10:$L$10-($D$9:$L$9+INT(($S$12:$AA$12+INDEX($AJ$13:$AR$162,BN4326,0)+INDEX($AT$13:$BB$162,BO4326,0)+INDEX($BD$13:$BL$162,BP4326,0))/100)))&gt;0)*($D$10:$L$10-($D$9:$L$9+INT(($S$12:$AA$12+INDEX($AJ$13:$AR$162,BN4326,0)+INDEX($AT$13:$BB$162,BO4326,0)+INDEX($BD$13:$BL$162,BP4326,0))/100)))),0)</f>
        <v/>
      </c>
      <c r="BS4326">
        <f>IF(4313&lt;$U$9,SUMPRODUCT(($D$9:$L$9+INT(($S$12:$AA$12+INDEX($AJ$13:$AR$162,BN4326,0)+INDEX($AT$13:$BB$162,BO4326,0)+INDEX($BD$13:$BL$162,BP4326,0))/100))),0)</f>
        <v/>
      </c>
      <c r="BT4326">
        <f>IF(AND(4313&lt;$U$9,$W$5),BQ4326*1000000-MIN(BR4326,999)*1000+BS4326-4313/100000,-1000000000-4313)</f>
        <v/>
      </c>
    </row>
    <row r="4327">
      <c r="BN4327">
        <f>IF(4314&lt;$U$9,INT(4314/($U$7*$U$8))+1,1)</f>
        <v/>
      </c>
      <c r="BO4327">
        <f>IF(4314&lt;$U$9,MOD(INT(4314/$U$8),$U$7)+1,1)</f>
        <v/>
      </c>
      <c r="BP4327">
        <f>IF(4314&lt;$U$9,MOD(4314,$U$8)+1,1)</f>
        <v/>
      </c>
      <c r="BQ4327">
        <f>IF(4314&lt;$U$9,SUMPRODUCT(($D$10:$L$10&lt;&gt;"")*(($D$9:$L$9+INT(($S$12:$AA$12+INDEX($AJ$13:$AR$162,BN4327,0)+INDEX($AT$13:$BB$162,BO4327,0)+INDEX($BD$13:$BL$162,BP4327,0))/100))&gt;=$D$10:$L$10)),0)</f>
        <v/>
      </c>
      <c r="BR4327">
        <f>IF(4314&lt;$U$9,SUMPRODUCT(($D$10:$L$10&lt;&gt;"")*(($D$10:$L$10-($D$9:$L$9+INT(($S$12:$AA$12+INDEX($AJ$13:$AR$162,BN4327,0)+INDEX($AT$13:$BB$162,BO4327,0)+INDEX($BD$13:$BL$162,BP4327,0))/100)))&gt;0)*($D$10:$L$10-($D$9:$L$9+INT(($S$12:$AA$12+INDEX($AJ$13:$AR$162,BN4327,0)+INDEX($AT$13:$BB$162,BO4327,0)+INDEX($BD$13:$BL$162,BP4327,0))/100)))),0)</f>
        <v/>
      </c>
      <c r="BS4327">
        <f>IF(4314&lt;$U$9,SUMPRODUCT(($D$9:$L$9+INT(($S$12:$AA$12+INDEX($AJ$13:$AR$162,BN4327,0)+INDEX($AT$13:$BB$162,BO4327,0)+INDEX($BD$13:$BL$162,BP4327,0))/100))),0)</f>
        <v/>
      </c>
      <c r="BT4327">
        <f>IF(AND(4314&lt;$U$9,$W$5),BQ4327*1000000-MIN(BR4327,999)*1000+BS4327-4314/100000,-1000000000-4314)</f>
        <v/>
      </c>
    </row>
    <row r="4328">
      <c r="BN4328">
        <f>IF(4315&lt;$U$9,INT(4315/($U$7*$U$8))+1,1)</f>
        <v/>
      </c>
      <c r="BO4328">
        <f>IF(4315&lt;$U$9,MOD(INT(4315/$U$8),$U$7)+1,1)</f>
        <v/>
      </c>
      <c r="BP4328">
        <f>IF(4315&lt;$U$9,MOD(4315,$U$8)+1,1)</f>
        <v/>
      </c>
      <c r="BQ4328">
        <f>IF(4315&lt;$U$9,SUMPRODUCT(($D$10:$L$10&lt;&gt;"")*(($D$9:$L$9+INT(($S$12:$AA$12+INDEX($AJ$13:$AR$162,BN4328,0)+INDEX($AT$13:$BB$162,BO4328,0)+INDEX($BD$13:$BL$162,BP4328,0))/100))&gt;=$D$10:$L$10)),0)</f>
        <v/>
      </c>
      <c r="BR4328">
        <f>IF(4315&lt;$U$9,SUMPRODUCT(($D$10:$L$10&lt;&gt;"")*(($D$10:$L$10-($D$9:$L$9+INT(($S$12:$AA$12+INDEX($AJ$13:$AR$162,BN4328,0)+INDEX($AT$13:$BB$162,BO4328,0)+INDEX($BD$13:$BL$162,BP4328,0))/100)))&gt;0)*($D$10:$L$10-($D$9:$L$9+INT(($S$12:$AA$12+INDEX($AJ$13:$AR$162,BN4328,0)+INDEX($AT$13:$BB$162,BO4328,0)+INDEX($BD$13:$BL$162,BP4328,0))/100)))),0)</f>
        <v/>
      </c>
      <c r="BS4328">
        <f>IF(4315&lt;$U$9,SUMPRODUCT(($D$9:$L$9+INT(($S$12:$AA$12+INDEX($AJ$13:$AR$162,BN4328,0)+INDEX($AT$13:$BB$162,BO4328,0)+INDEX($BD$13:$BL$162,BP4328,0))/100))),0)</f>
        <v/>
      </c>
      <c r="BT4328">
        <f>IF(AND(4315&lt;$U$9,$W$5),BQ4328*1000000-MIN(BR4328,999)*1000+BS4328-4315/100000,-1000000000-4315)</f>
        <v/>
      </c>
    </row>
    <row r="4329">
      <c r="BN4329">
        <f>IF(4316&lt;$U$9,INT(4316/($U$7*$U$8))+1,1)</f>
        <v/>
      </c>
      <c r="BO4329">
        <f>IF(4316&lt;$U$9,MOD(INT(4316/$U$8),$U$7)+1,1)</f>
        <v/>
      </c>
      <c r="BP4329">
        <f>IF(4316&lt;$U$9,MOD(4316,$U$8)+1,1)</f>
        <v/>
      </c>
      <c r="BQ4329">
        <f>IF(4316&lt;$U$9,SUMPRODUCT(($D$10:$L$10&lt;&gt;"")*(($D$9:$L$9+INT(($S$12:$AA$12+INDEX($AJ$13:$AR$162,BN4329,0)+INDEX($AT$13:$BB$162,BO4329,0)+INDEX($BD$13:$BL$162,BP4329,0))/100))&gt;=$D$10:$L$10)),0)</f>
        <v/>
      </c>
      <c r="BR4329">
        <f>IF(4316&lt;$U$9,SUMPRODUCT(($D$10:$L$10&lt;&gt;"")*(($D$10:$L$10-($D$9:$L$9+INT(($S$12:$AA$12+INDEX($AJ$13:$AR$162,BN4329,0)+INDEX($AT$13:$BB$162,BO4329,0)+INDEX($BD$13:$BL$162,BP4329,0))/100)))&gt;0)*($D$10:$L$10-($D$9:$L$9+INT(($S$12:$AA$12+INDEX($AJ$13:$AR$162,BN4329,0)+INDEX($AT$13:$BB$162,BO4329,0)+INDEX($BD$13:$BL$162,BP4329,0))/100)))),0)</f>
        <v/>
      </c>
      <c r="BS4329">
        <f>IF(4316&lt;$U$9,SUMPRODUCT(($D$9:$L$9+INT(($S$12:$AA$12+INDEX($AJ$13:$AR$162,BN4329,0)+INDEX($AT$13:$BB$162,BO4329,0)+INDEX($BD$13:$BL$162,BP4329,0))/100))),0)</f>
        <v/>
      </c>
      <c r="BT4329">
        <f>IF(AND(4316&lt;$U$9,$W$5),BQ4329*1000000-MIN(BR4329,999)*1000+BS4329-4316/100000,-1000000000-4316)</f>
        <v/>
      </c>
    </row>
    <row r="4330">
      <c r="BN4330">
        <f>IF(4317&lt;$U$9,INT(4317/($U$7*$U$8))+1,1)</f>
        <v/>
      </c>
      <c r="BO4330">
        <f>IF(4317&lt;$U$9,MOD(INT(4317/$U$8),$U$7)+1,1)</f>
        <v/>
      </c>
      <c r="BP4330">
        <f>IF(4317&lt;$U$9,MOD(4317,$U$8)+1,1)</f>
        <v/>
      </c>
      <c r="BQ4330">
        <f>IF(4317&lt;$U$9,SUMPRODUCT(($D$10:$L$10&lt;&gt;"")*(($D$9:$L$9+INT(($S$12:$AA$12+INDEX($AJ$13:$AR$162,BN4330,0)+INDEX($AT$13:$BB$162,BO4330,0)+INDEX($BD$13:$BL$162,BP4330,0))/100))&gt;=$D$10:$L$10)),0)</f>
        <v/>
      </c>
      <c r="BR4330">
        <f>IF(4317&lt;$U$9,SUMPRODUCT(($D$10:$L$10&lt;&gt;"")*(($D$10:$L$10-($D$9:$L$9+INT(($S$12:$AA$12+INDEX($AJ$13:$AR$162,BN4330,0)+INDEX($AT$13:$BB$162,BO4330,0)+INDEX($BD$13:$BL$162,BP4330,0))/100)))&gt;0)*($D$10:$L$10-($D$9:$L$9+INT(($S$12:$AA$12+INDEX($AJ$13:$AR$162,BN4330,0)+INDEX($AT$13:$BB$162,BO4330,0)+INDEX($BD$13:$BL$162,BP4330,0))/100)))),0)</f>
        <v/>
      </c>
      <c r="BS4330">
        <f>IF(4317&lt;$U$9,SUMPRODUCT(($D$9:$L$9+INT(($S$12:$AA$12+INDEX($AJ$13:$AR$162,BN4330,0)+INDEX($AT$13:$BB$162,BO4330,0)+INDEX($BD$13:$BL$162,BP4330,0))/100))),0)</f>
        <v/>
      </c>
      <c r="BT4330">
        <f>IF(AND(4317&lt;$U$9,$W$5),BQ4330*1000000-MIN(BR4330,999)*1000+BS4330-4317/100000,-1000000000-4317)</f>
        <v/>
      </c>
    </row>
    <row r="4331">
      <c r="BN4331">
        <f>IF(4318&lt;$U$9,INT(4318/($U$7*$U$8))+1,1)</f>
        <v/>
      </c>
      <c r="BO4331">
        <f>IF(4318&lt;$U$9,MOD(INT(4318/$U$8),$U$7)+1,1)</f>
        <v/>
      </c>
      <c r="BP4331">
        <f>IF(4318&lt;$U$9,MOD(4318,$U$8)+1,1)</f>
        <v/>
      </c>
      <c r="BQ4331">
        <f>IF(4318&lt;$U$9,SUMPRODUCT(($D$10:$L$10&lt;&gt;"")*(($D$9:$L$9+INT(($S$12:$AA$12+INDEX($AJ$13:$AR$162,BN4331,0)+INDEX($AT$13:$BB$162,BO4331,0)+INDEX($BD$13:$BL$162,BP4331,0))/100))&gt;=$D$10:$L$10)),0)</f>
        <v/>
      </c>
      <c r="BR4331">
        <f>IF(4318&lt;$U$9,SUMPRODUCT(($D$10:$L$10&lt;&gt;"")*(($D$10:$L$10-($D$9:$L$9+INT(($S$12:$AA$12+INDEX($AJ$13:$AR$162,BN4331,0)+INDEX($AT$13:$BB$162,BO4331,0)+INDEX($BD$13:$BL$162,BP4331,0))/100)))&gt;0)*($D$10:$L$10-($D$9:$L$9+INT(($S$12:$AA$12+INDEX($AJ$13:$AR$162,BN4331,0)+INDEX($AT$13:$BB$162,BO4331,0)+INDEX($BD$13:$BL$162,BP4331,0))/100)))),0)</f>
        <v/>
      </c>
      <c r="BS4331">
        <f>IF(4318&lt;$U$9,SUMPRODUCT(($D$9:$L$9+INT(($S$12:$AA$12+INDEX($AJ$13:$AR$162,BN4331,0)+INDEX($AT$13:$BB$162,BO4331,0)+INDEX($BD$13:$BL$162,BP4331,0))/100))),0)</f>
        <v/>
      </c>
      <c r="BT4331">
        <f>IF(AND(4318&lt;$U$9,$W$5),BQ4331*1000000-MIN(BR4331,999)*1000+BS4331-4318/100000,-1000000000-4318)</f>
        <v/>
      </c>
    </row>
    <row r="4332">
      <c r="BN4332">
        <f>IF(4319&lt;$U$9,INT(4319/($U$7*$U$8))+1,1)</f>
        <v/>
      </c>
      <c r="BO4332">
        <f>IF(4319&lt;$U$9,MOD(INT(4319/$U$8),$U$7)+1,1)</f>
        <v/>
      </c>
      <c r="BP4332">
        <f>IF(4319&lt;$U$9,MOD(4319,$U$8)+1,1)</f>
        <v/>
      </c>
      <c r="BQ4332">
        <f>IF(4319&lt;$U$9,SUMPRODUCT(($D$10:$L$10&lt;&gt;"")*(($D$9:$L$9+INT(($S$12:$AA$12+INDEX($AJ$13:$AR$162,BN4332,0)+INDEX($AT$13:$BB$162,BO4332,0)+INDEX($BD$13:$BL$162,BP4332,0))/100))&gt;=$D$10:$L$10)),0)</f>
        <v/>
      </c>
      <c r="BR4332">
        <f>IF(4319&lt;$U$9,SUMPRODUCT(($D$10:$L$10&lt;&gt;"")*(($D$10:$L$10-($D$9:$L$9+INT(($S$12:$AA$12+INDEX($AJ$13:$AR$162,BN4332,0)+INDEX($AT$13:$BB$162,BO4332,0)+INDEX($BD$13:$BL$162,BP4332,0))/100)))&gt;0)*($D$10:$L$10-($D$9:$L$9+INT(($S$12:$AA$12+INDEX($AJ$13:$AR$162,BN4332,0)+INDEX($AT$13:$BB$162,BO4332,0)+INDEX($BD$13:$BL$162,BP4332,0))/100)))),0)</f>
        <v/>
      </c>
      <c r="BS4332">
        <f>IF(4319&lt;$U$9,SUMPRODUCT(($D$9:$L$9+INT(($S$12:$AA$12+INDEX($AJ$13:$AR$162,BN4332,0)+INDEX($AT$13:$BB$162,BO4332,0)+INDEX($BD$13:$BL$162,BP4332,0))/100))),0)</f>
        <v/>
      </c>
      <c r="BT4332">
        <f>IF(AND(4319&lt;$U$9,$W$5),BQ4332*1000000-MIN(BR4332,999)*1000+BS4332-4319/100000,-1000000000-4319)</f>
        <v/>
      </c>
    </row>
    <row r="4333">
      <c r="BN4333">
        <f>IF(4320&lt;$U$9,INT(4320/($U$7*$U$8))+1,1)</f>
        <v/>
      </c>
      <c r="BO4333">
        <f>IF(4320&lt;$U$9,MOD(INT(4320/$U$8),$U$7)+1,1)</f>
        <v/>
      </c>
      <c r="BP4333">
        <f>IF(4320&lt;$U$9,MOD(4320,$U$8)+1,1)</f>
        <v/>
      </c>
      <c r="BQ4333">
        <f>IF(4320&lt;$U$9,SUMPRODUCT(($D$10:$L$10&lt;&gt;"")*(($D$9:$L$9+INT(($S$12:$AA$12+INDEX($AJ$13:$AR$162,BN4333,0)+INDEX($AT$13:$BB$162,BO4333,0)+INDEX($BD$13:$BL$162,BP4333,0))/100))&gt;=$D$10:$L$10)),0)</f>
        <v/>
      </c>
      <c r="BR4333">
        <f>IF(4320&lt;$U$9,SUMPRODUCT(($D$10:$L$10&lt;&gt;"")*(($D$10:$L$10-($D$9:$L$9+INT(($S$12:$AA$12+INDEX($AJ$13:$AR$162,BN4333,0)+INDEX($AT$13:$BB$162,BO4333,0)+INDEX($BD$13:$BL$162,BP4333,0))/100)))&gt;0)*($D$10:$L$10-($D$9:$L$9+INT(($S$12:$AA$12+INDEX($AJ$13:$AR$162,BN4333,0)+INDEX($AT$13:$BB$162,BO4333,0)+INDEX($BD$13:$BL$162,BP4333,0))/100)))),0)</f>
        <v/>
      </c>
      <c r="BS4333">
        <f>IF(4320&lt;$U$9,SUMPRODUCT(($D$9:$L$9+INT(($S$12:$AA$12+INDEX($AJ$13:$AR$162,BN4333,0)+INDEX($AT$13:$BB$162,BO4333,0)+INDEX($BD$13:$BL$162,BP4333,0))/100))),0)</f>
        <v/>
      </c>
      <c r="BT4333">
        <f>IF(AND(4320&lt;$U$9,$W$5),BQ4333*1000000-MIN(BR4333,999)*1000+BS4333-4320/100000,-1000000000-4320)</f>
        <v/>
      </c>
    </row>
    <row r="4334">
      <c r="BN4334">
        <f>IF(4321&lt;$U$9,INT(4321/($U$7*$U$8))+1,1)</f>
        <v/>
      </c>
      <c r="BO4334">
        <f>IF(4321&lt;$U$9,MOD(INT(4321/$U$8),$U$7)+1,1)</f>
        <v/>
      </c>
      <c r="BP4334">
        <f>IF(4321&lt;$U$9,MOD(4321,$U$8)+1,1)</f>
        <v/>
      </c>
      <c r="BQ4334">
        <f>IF(4321&lt;$U$9,SUMPRODUCT(($D$10:$L$10&lt;&gt;"")*(($D$9:$L$9+INT(($S$12:$AA$12+INDEX($AJ$13:$AR$162,BN4334,0)+INDEX($AT$13:$BB$162,BO4334,0)+INDEX($BD$13:$BL$162,BP4334,0))/100))&gt;=$D$10:$L$10)),0)</f>
        <v/>
      </c>
      <c r="BR4334">
        <f>IF(4321&lt;$U$9,SUMPRODUCT(($D$10:$L$10&lt;&gt;"")*(($D$10:$L$10-($D$9:$L$9+INT(($S$12:$AA$12+INDEX($AJ$13:$AR$162,BN4334,0)+INDEX($AT$13:$BB$162,BO4334,0)+INDEX($BD$13:$BL$162,BP4334,0))/100)))&gt;0)*($D$10:$L$10-($D$9:$L$9+INT(($S$12:$AA$12+INDEX($AJ$13:$AR$162,BN4334,0)+INDEX($AT$13:$BB$162,BO4334,0)+INDEX($BD$13:$BL$162,BP4334,0))/100)))),0)</f>
        <v/>
      </c>
      <c r="BS4334">
        <f>IF(4321&lt;$U$9,SUMPRODUCT(($D$9:$L$9+INT(($S$12:$AA$12+INDEX($AJ$13:$AR$162,BN4334,0)+INDEX($AT$13:$BB$162,BO4334,0)+INDEX($BD$13:$BL$162,BP4334,0))/100))),0)</f>
        <v/>
      </c>
      <c r="BT4334">
        <f>IF(AND(4321&lt;$U$9,$W$5),BQ4334*1000000-MIN(BR4334,999)*1000+BS4334-4321/100000,-1000000000-4321)</f>
        <v/>
      </c>
    </row>
    <row r="4335">
      <c r="BN4335">
        <f>IF(4322&lt;$U$9,INT(4322/($U$7*$U$8))+1,1)</f>
        <v/>
      </c>
      <c r="BO4335">
        <f>IF(4322&lt;$U$9,MOD(INT(4322/$U$8),$U$7)+1,1)</f>
        <v/>
      </c>
      <c r="BP4335">
        <f>IF(4322&lt;$U$9,MOD(4322,$U$8)+1,1)</f>
        <v/>
      </c>
      <c r="BQ4335">
        <f>IF(4322&lt;$U$9,SUMPRODUCT(($D$10:$L$10&lt;&gt;"")*(($D$9:$L$9+INT(($S$12:$AA$12+INDEX($AJ$13:$AR$162,BN4335,0)+INDEX($AT$13:$BB$162,BO4335,0)+INDEX($BD$13:$BL$162,BP4335,0))/100))&gt;=$D$10:$L$10)),0)</f>
        <v/>
      </c>
      <c r="BR4335">
        <f>IF(4322&lt;$U$9,SUMPRODUCT(($D$10:$L$10&lt;&gt;"")*(($D$10:$L$10-($D$9:$L$9+INT(($S$12:$AA$12+INDEX($AJ$13:$AR$162,BN4335,0)+INDEX($AT$13:$BB$162,BO4335,0)+INDEX($BD$13:$BL$162,BP4335,0))/100)))&gt;0)*($D$10:$L$10-($D$9:$L$9+INT(($S$12:$AA$12+INDEX($AJ$13:$AR$162,BN4335,0)+INDEX($AT$13:$BB$162,BO4335,0)+INDEX($BD$13:$BL$162,BP4335,0))/100)))),0)</f>
        <v/>
      </c>
      <c r="BS4335">
        <f>IF(4322&lt;$U$9,SUMPRODUCT(($D$9:$L$9+INT(($S$12:$AA$12+INDEX($AJ$13:$AR$162,BN4335,0)+INDEX($AT$13:$BB$162,BO4335,0)+INDEX($BD$13:$BL$162,BP4335,0))/100))),0)</f>
        <v/>
      </c>
      <c r="BT4335">
        <f>IF(AND(4322&lt;$U$9,$W$5),BQ4335*1000000-MIN(BR4335,999)*1000+BS4335-4322/100000,-1000000000-4322)</f>
        <v/>
      </c>
    </row>
    <row r="4336">
      <c r="BN4336">
        <f>IF(4323&lt;$U$9,INT(4323/($U$7*$U$8))+1,1)</f>
        <v/>
      </c>
      <c r="BO4336">
        <f>IF(4323&lt;$U$9,MOD(INT(4323/$U$8),$U$7)+1,1)</f>
        <v/>
      </c>
      <c r="BP4336">
        <f>IF(4323&lt;$U$9,MOD(4323,$U$8)+1,1)</f>
        <v/>
      </c>
      <c r="BQ4336">
        <f>IF(4323&lt;$U$9,SUMPRODUCT(($D$10:$L$10&lt;&gt;"")*(($D$9:$L$9+INT(($S$12:$AA$12+INDEX($AJ$13:$AR$162,BN4336,0)+INDEX($AT$13:$BB$162,BO4336,0)+INDEX($BD$13:$BL$162,BP4336,0))/100))&gt;=$D$10:$L$10)),0)</f>
        <v/>
      </c>
      <c r="BR4336">
        <f>IF(4323&lt;$U$9,SUMPRODUCT(($D$10:$L$10&lt;&gt;"")*(($D$10:$L$10-($D$9:$L$9+INT(($S$12:$AA$12+INDEX($AJ$13:$AR$162,BN4336,0)+INDEX($AT$13:$BB$162,BO4336,0)+INDEX($BD$13:$BL$162,BP4336,0))/100)))&gt;0)*($D$10:$L$10-($D$9:$L$9+INT(($S$12:$AA$12+INDEX($AJ$13:$AR$162,BN4336,0)+INDEX($AT$13:$BB$162,BO4336,0)+INDEX($BD$13:$BL$162,BP4336,0))/100)))),0)</f>
        <v/>
      </c>
      <c r="BS4336">
        <f>IF(4323&lt;$U$9,SUMPRODUCT(($D$9:$L$9+INT(($S$12:$AA$12+INDEX($AJ$13:$AR$162,BN4336,0)+INDEX($AT$13:$BB$162,BO4336,0)+INDEX($BD$13:$BL$162,BP4336,0))/100))),0)</f>
        <v/>
      </c>
      <c r="BT4336">
        <f>IF(AND(4323&lt;$U$9,$W$5),BQ4336*1000000-MIN(BR4336,999)*1000+BS4336-4323/100000,-1000000000-4323)</f>
        <v/>
      </c>
    </row>
    <row r="4337">
      <c r="BN4337">
        <f>IF(4324&lt;$U$9,INT(4324/($U$7*$U$8))+1,1)</f>
        <v/>
      </c>
      <c r="BO4337">
        <f>IF(4324&lt;$U$9,MOD(INT(4324/$U$8),$U$7)+1,1)</f>
        <v/>
      </c>
      <c r="BP4337">
        <f>IF(4324&lt;$U$9,MOD(4324,$U$8)+1,1)</f>
        <v/>
      </c>
      <c r="BQ4337">
        <f>IF(4324&lt;$U$9,SUMPRODUCT(($D$10:$L$10&lt;&gt;"")*(($D$9:$L$9+INT(($S$12:$AA$12+INDEX($AJ$13:$AR$162,BN4337,0)+INDEX($AT$13:$BB$162,BO4337,0)+INDEX($BD$13:$BL$162,BP4337,0))/100))&gt;=$D$10:$L$10)),0)</f>
        <v/>
      </c>
      <c r="BR4337">
        <f>IF(4324&lt;$U$9,SUMPRODUCT(($D$10:$L$10&lt;&gt;"")*(($D$10:$L$10-($D$9:$L$9+INT(($S$12:$AA$12+INDEX($AJ$13:$AR$162,BN4337,0)+INDEX($AT$13:$BB$162,BO4337,0)+INDEX($BD$13:$BL$162,BP4337,0))/100)))&gt;0)*($D$10:$L$10-($D$9:$L$9+INT(($S$12:$AA$12+INDEX($AJ$13:$AR$162,BN4337,0)+INDEX($AT$13:$BB$162,BO4337,0)+INDEX($BD$13:$BL$162,BP4337,0))/100)))),0)</f>
        <v/>
      </c>
      <c r="BS4337">
        <f>IF(4324&lt;$U$9,SUMPRODUCT(($D$9:$L$9+INT(($S$12:$AA$12+INDEX($AJ$13:$AR$162,BN4337,0)+INDEX($AT$13:$BB$162,BO4337,0)+INDEX($BD$13:$BL$162,BP4337,0))/100))),0)</f>
        <v/>
      </c>
      <c r="BT4337">
        <f>IF(AND(4324&lt;$U$9,$W$5),BQ4337*1000000-MIN(BR4337,999)*1000+BS4337-4324/100000,-1000000000-4324)</f>
        <v/>
      </c>
    </row>
    <row r="4338">
      <c r="BN4338">
        <f>IF(4325&lt;$U$9,INT(4325/($U$7*$U$8))+1,1)</f>
        <v/>
      </c>
      <c r="BO4338">
        <f>IF(4325&lt;$U$9,MOD(INT(4325/$U$8),$U$7)+1,1)</f>
        <v/>
      </c>
      <c r="BP4338">
        <f>IF(4325&lt;$U$9,MOD(4325,$U$8)+1,1)</f>
        <v/>
      </c>
      <c r="BQ4338">
        <f>IF(4325&lt;$U$9,SUMPRODUCT(($D$10:$L$10&lt;&gt;"")*(($D$9:$L$9+INT(($S$12:$AA$12+INDEX($AJ$13:$AR$162,BN4338,0)+INDEX($AT$13:$BB$162,BO4338,0)+INDEX($BD$13:$BL$162,BP4338,0))/100))&gt;=$D$10:$L$10)),0)</f>
        <v/>
      </c>
      <c r="BR4338">
        <f>IF(4325&lt;$U$9,SUMPRODUCT(($D$10:$L$10&lt;&gt;"")*(($D$10:$L$10-($D$9:$L$9+INT(($S$12:$AA$12+INDEX($AJ$13:$AR$162,BN4338,0)+INDEX($AT$13:$BB$162,BO4338,0)+INDEX($BD$13:$BL$162,BP4338,0))/100)))&gt;0)*($D$10:$L$10-($D$9:$L$9+INT(($S$12:$AA$12+INDEX($AJ$13:$AR$162,BN4338,0)+INDEX($AT$13:$BB$162,BO4338,0)+INDEX($BD$13:$BL$162,BP4338,0))/100)))),0)</f>
        <v/>
      </c>
      <c r="BS4338">
        <f>IF(4325&lt;$U$9,SUMPRODUCT(($D$9:$L$9+INT(($S$12:$AA$12+INDEX($AJ$13:$AR$162,BN4338,0)+INDEX($AT$13:$BB$162,BO4338,0)+INDEX($BD$13:$BL$162,BP4338,0))/100))),0)</f>
        <v/>
      </c>
      <c r="BT4338">
        <f>IF(AND(4325&lt;$U$9,$W$5),BQ4338*1000000-MIN(BR4338,999)*1000+BS4338-4325/100000,-1000000000-4325)</f>
        <v/>
      </c>
    </row>
    <row r="4339">
      <c r="BN4339">
        <f>IF(4326&lt;$U$9,INT(4326/($U$7*$U$8))+1,1)</f>
        <v/>
      </c>
      <c r="BO4339">
        <f>IF(4326&lt;$U$9,MOD(INT(4326/$U$8),$U$7)+1,1)</f>
        <v/>
      </c>
      <c r="BP4339">
        <f>IF(4326&lt;$U$9,MOD(4326,$U$8)+1,1)</f>
        <v/>
      </c>
      <c r="BQ4339">
        <f>IF(4326&lt;$U$9,SUMPRODUCT(($D$10:$L$10&lt;&gt;"")*(($D$9:$L$9+INT(($S$12:$AA$12+INDEX($AJ$13:$AR$162,BN4339,0)+INDEX($AT$13:$BB$162,BO4339,0)+INDEX($BD$13:$BL$162,BP4339,0))/100))&gt;=$D$10:$L$10)),0)</f>
        <v/>
      </c>
      <c r="BR4339">
        <f>IF(4326&lt;$U$9,SUMPRODUCT(($D$10:$L$10&lt;&gt;"")*(($D$10:$L$10-($D$9:$L$9+INT(($S$12:$AA$12+INDEX($AJ$13:$AR$162,BN4339,0)+INDEX($AT$13:$BB$162,BO4339,0)+INDEX($BD$13:$BL$162,BP4339,0))/100)))&gt;0)*($D$10:$L$10-($D$9:$L$9+INT(($S$12:$AA$12+INDEX($AJ$13:$AR$162,BN4339,0)+INDEX($AT$13:$BB$162,BO4339,0)+INDEX($BD$13:$BL$162,BP4339,0))/100)))),0)</f>
        <v/>
      </c>
      <c r="BS4339">
        <f>IF(4326&lt;$U$9,SUMPRODUCT(($D$9:$L$9+INT(($S$12:$AA$12+INDEX($AJ$13:$AR$162,BN4339,0)+INDEX($AT$13:$BB$162,BO4339,0)+INDEX($BD$13:$BL$162,BP4339,0))/100))),0)</f>
        <v/>
      </c>
      <c r="BT4339">
        <f>IF(AND(4326&lt;$U$9,$W$5),BQ4339*1000000-MIN(BR4339,999)*1000+BS4339-4326/100000,-1000000000-4326)</f>
        <v/>
      </c>
    </row>
    <row r="4340">
      <c r="BN4340">
        <f>IF(4327&lt;$U$9,INT(4327/($U$7*$U$8))+1,1)</f>
        <v/>
      </c>
      <c r="BO4340">
        <f>IF(4327&lt;$U$9,MOD(INT(4327/$U$8),$U$7)+1,1)</f>
        <v/>
      </c>
      <c r="BP4340">
        <f>IF(4327&lt;$U$9,MOD(4327,$U$8)+1,1)</f>
        <v/>
      </c>
      <c r="BQ4340">
        <f>IF(4327&lt;$U$9,SUMPRODUCT(($D$10:$L$10&lt;&gt;"")*(($D$9:$L$9+INT(($S$12:$AA$12+INDEX($AJ$13:$AR$162,BN4340,0)+INDEX($AT$13:$BB$162,BO4340,0)+INDEX($BD$13:$BL$162,BP4340,0))/100))&gt;=$D$10:$L$10)),0)</f>
        <v/>
      </c>
      <c r="BR4340">
        <f>IF(4327&lt;$U$9,SUMPRODUCT(($D$10:$L$10&lt;&gt;"")*(($D$10:$L$10-($D$9:$L$9+INT(($S$12:$AA$12+INDEX($AJ$13:$AR$162,BN4340,0)+INDEX($AT$13:$BB$162,BO4340,0)+INDEX($BD$13:$BL$162,BP4340,0))/100)))&gt;0)*($D$10:$L$10-($D$9:$L$9+INT(($S$12:$AA$12+INDEX($AJ$13:$AR$162,BN4340,0)+INDEX($AT$13:$BB$162,BO4340,0)+INDEX($BD$13:$BL$162,BP4340,0))/100)))),0)</f>
        <v/>
      </c>
      <c r="BS4340">
        <f>IF(4327&lt;$U$9,SUMPRODUCT(($D$9:$L$9+INT(($S$12:$AA$12+INDEX($AJ$13:$AR$162,BN4340,0)+INDEX($AT$13:$BB$162,BO4340,0)+INDEX($BD$13:$BL$162,BP4340,0))/100))),0)</f>
        <v/>
      </c>
      <c r="BT4340">
        <f>IF(AND(4327&lt;$U$9,$W$5),BQ4340*1000000-MIN(BR4340,999)*1000+BS4340-4327/100000,-1000000000-4327)</f>
        <v/>
      </c>
    </row>
    <row r="4341">
      <c r="BN4341">
        <f>IF(4328&lt;$U$9,INT(4328/($U$7*$U$8))+1,1)</f>
        <v/>
      </c>
      <c r="BO4341">
        <f>IF(4328&lt;$U$9,MOD(INT(4328/$U$8),$U$7)+1,1)</f>
        <v/>
      </c>
      <c r="BP4341">
        <f>IF(4328&lt;$U$9,MOD(4328,$U$8)+1,1)</f>
        <v/>
      </c>
      <c r="BQ4341">
        <f>IF(4328&lt;$U$9,SUMPRODUCT(($D$10:$L$10&lt;&gt;"")*(($D$9:$L$9+INT(($S$12:$AA$12+INDEX($AJ$13:$AR$162,BN4341,0)+INDEX($AT$13:$BB$162,BO4341,0)+INDEX($BD$13:$BL$162,BP4341,0))/100))&gt;=$D$10:$L$10)),0)</f>
        <v/>
      </c>
      <c r="BR4341">
        <f>IF(4328&lt;$U$9,SUMPRODUCT(($D$10:$L$10&lt;&gt;"")*(($D$10:$L$10-($D$9:$L$9+INT(($S$12:$AA$12+INDEX($AJ$13:$AR$162,BN4341,0)+INDEX($AT$13:$BB$162,BO4341,0)+INDEX($BD$13:$BL$162,BP4341,0))/100)))&gt;0)*($D$10:$L$10-($D$9:$L$9+INT(($S$12:$AA$12+INDEX($AJ$13:$AR$162,BN4341,0)+INDEX($AT$13:$BB$162,BO4341,0)+INDEX($BD$13:$BL$162,BP4341,0))/100)))),0)</f>
        <v/>
      </c>
      <c r="BS4341">
        <f>IF(4328&lt;$U$9,SUMPRODUCT(($D$9:$L$9+INT(($S$12:$AA$12+INDEX($AJ$13:$AR$162,BN4341,0)+INDEX($AT$13:$BB$162,BO4341,0)+INDEX($BD$13:$BL$162,BP4341,0))/100))),0)</f>
        <v/>
      </c>
      <c r="BT4341">
        <f>IF(AND(4328&lt;$U$9,$W$5),BQ4341*1000000-MIN(BR4341,999)*1000+BS4341-4328/100000,-1000000000-4328)</f>
        <v/>
      </c>
    </row>
    <row r="4342">
      <c r="BN4342">
        <f>IF(4329&lt;$U$9,INT(4329/($U$7*$U$8))+1,1)</f>
        <v/>
      </c>
      <c r="BO4342">
        <f>IF(4329&lt;$U$9,MOD(INT(4329/$U$8),$U$7)+1,1)</f>
        <v/>
      </c>
      <c r="BP4342">
        <f>IF(4329&lt;$U$9,MOD(4329,$U$8)+1,1)</f>
        <v/>
      </c>
      <c r="BQ4342">
        <f>IF(4329&lt;$U$9,SUMPRODUCT(($D$10:$L$10&lt;&gt;"")*(($D$9:$L$9+INT(($S$12:$AA$12+INDEX($AJ$13:$AR$162,BN4342,0)+INDEX($AT$13:$BB$162,BO4342,0)+INDEX($BD$13:$BL$162,BP4342,0))/100))&gt;=$D$10:$L$10)),0)</f>
        <v/>
      </c>
      <c r="BR4342">
        <f>IF(4329&lt;$U$9,SUMPRODUCT(($D$10:$L$10&lt;&gt;"")*(($D$10:$L$10-($D$9:$L$9+INT(($S$12:$AA$12+INDEX($AJ$13:$AR$162,BN4342,0)+INDEX($AT$13:$BB$162,BO4342,0)+INDEX($BD$13:$BL$162,BP4342,0))/100)))&gt;0)*($D$10:$L$10-($D$9:$L$9+INT(($S$12:$AA$12+INDEX($AJ$13:$AR$162,BN4342,0)+INDEX($AT$13:$BB$162,BO4342,0)+INDEX($BD$13:$BL$162,BP4342,0))/100)))),0)</f>
        <v/>
      </c>
      <c r="BS4342">
        <f>IF(4329&lt;$U$9,SUMPRODUCT(($D$9:$L$9+INT(($S$12:$AA$12+INDEX($AJ$13:$AR$162,BN4342,0)+INDEX($AT$13:$BB$162,BO4342,0)+INDEX($BD$13:$BL$162,BP4342,0))/100))),0)</f>
        <v/>
      </c>
      <c r="BT4342">
        <f>IF(AND(4329&lt;$U$9,$W$5),BQ4342*1000000-MIN(BR4342,999)*1000+BS4342-4329/100000,-1000000000-4329)</f>
        <v/>
      </c>
    </row>
    <row r="4343">
      <c r="BN4343">
        <f>IF(4330&lt;$U$9,INT(4330/($U$7*$U$8))+1,1)</f>
        <v/>
      </c>
      <c r="BO4343">
        <f>IF(4330&lt;$U$9,MOD(INT(4330/$U$8),$U$7)+1,1)</f>
        <v/>
      </c>
      <c r="BP4343">
        <f>IF(4330&lt;$U$9,MOD(4330,$U$8)+1,1)</f>
        <v/>
      </c>
      <c r="BQ4343">
        <f>IF(4330&lt;$U$9,SUMPRODUCT(($D$10:$L$10&lt;&gt;"")*(($D$9:$L$9+INT(($S$12:$AA$12+INDEX($AJ$13:$AR$162,BN4343,0)+INDEX($AT$13:$BB$162,BO4343,0)+INDEX($BD$13:$BL$162,BP4343,0))/100))&gt;=$D$10:$L$10)),0)</f>
        <v/>
      </c>
      <c r="BR4343">
        <f>IF(4330&lt;$U$9,SUMPRODUCT(($D$10:$L$10&lt;&gt;"")*(($D$10:$L$10-($D$9:$L$9+INT(($S$12:$AA$12+INDEX($AJ$13:$AR$162,BN4343,0)+INDEX($AT$13:$BB$162,BO4343,0)+INDEX($BD$13:$BL$162,BP4343,0))/100)))&gt;0)*($D$10:$L$10-($D$9:$L$9+INT(($S$12:$AA$12+INDEX($AJ$13:$AR$162,BN4343,0)+INDEX($AT$13:$BB$162,BO4343,0)+INDEX($BD$13:$BL$162,BP4343,0))/100)))),0)</f>
        <v/>
      </c>
      <c r="BS4343">
        <f>IF(4330&lt;$U$9,SUMPRODUCT(($D$9:$L$9+INT(($S$12:$AA$12+INDEX($AJ$13:$AR$162,BN4343,0)+INDEX($AT$13:$BB$162,BO4343,0)+INDEX($BD$13:$BL$162,BP4343,0))/100))),0)</f>
        <v/>
      </c>
      <c r="BT4343">
        <f>IF(AND(4330&lt;$U$9,$W$5),BQ4343*1000000-MIN(BR4343,999)*1000+BS4343-4330/100000,-1000000000-4330)</f>
        <v/>
      </c>
    </row>
    <row r="4344">
      <c r="BN4344">
        <f>IF(4331&lt;$U$9,INT(4331/($U$7*$U$8))+1,1)</f>
        <v/>
      </c>
      <c r="BO4344">
        <f>IF(4331&lt;$U$9,MOD(INT(4331/$U$8),$U$7)+1,1)</f>
        <v/>
      </c>
      <c r="BP4344">
        <f>IF(4331&lt;$U$9,MOD(4331,$U$8)+1,1)</f>
        <v/>
      </c>
      <c r="BQ4344">
        <f>IF(4331&lt;$U$9,SUMPRODUCT(($D$10:$L$10&lt;&gt;"")*(($D$9:$L$9+INT(($S$12:$AA$12+INDEX($AJ$13:$AR$162,BN4344,0)+INDEX($AT$13:$BB$162,BO4344,0)+INDEX($BD$13:$BL$162,BP4344,0))/100))&gt;=$D$10:$L$10)),0)</f>
        <v/>
      </c>
      <c r="BR4344">
        <f>IF(4331&lt;$U$9,SUMPRODUCT(($D$10:$L$10&lt;&gt;"")*(($D$10:$L$10-($D$9:$L$9+INT(($S$12:$AA$12+INDEX($AJ$13:$AR$162,BN4344,0)+INDEX($AT$13:$BB$162,BO4344,0)+INDEX($BD$13:$BL$162,BP4344,0))/100)))&gt;0)*($D$10:$L$10-($D$9:$L$9+INT(($S$12:$AA$12+INDEX($AJ$13:$AR$162,BN4344,0)+INDEX($AT$13:$BB$162,BO4344,0)+INDEX($BD$13:$BL$162,BP4344,0))/100)))),0)</f>
        <v/>
      </c>
      <c r="BS4344">
        <f>IF(4331&lt;$U$9,SUMPRODUCT(($D$9:$L$9+INT(($S$12:$AA$12+INDEX($AJ$13:$AR$162,BN4344,0)+INDEX($AT$13:$BB$162,BO4344,0)+INDEX($BD$13:$BL$162,BP4344,0))/100))),0)</f>
        <v/>
      </c>
      <c r="BT4344">
        <f>IF(AND(4331&lt;$U$9,$W$5),BQ4344*1000000-MIN(BR4344,999)*1000+BS4344-4331/100000,-1000000000-4331)</f>
        <v/>
      </c>
    </row>
    <row r="4345">
      <c r="BN4345">
        <f>IF(4332&lt;$U$9,INT(4332/($U$7*$U$8))+1,1)</f>
        <v/>
      </c>
      <c r="BO4345">
        <f>IF(4332&lt;$U$9,MOD(INT(4332/$U$8),$U$7)+1,1)</f>
        <v/>
      </c>
      <c r="BP4345">
        <f>IF(4332&lt;$U$9,MOD(4332,$U$8)+1,1)</f>
        <v/>
      </c>
      <c r="BQ4345">
        <f>IF(4332&lt;$U$9,SUMPRODUCT(($D$10:$L$10&lt;&gt;"")*(($D$9:$L$9+INT(($S$12:$AA$12+INDEX($AJ$13:$AR$162,BN4345,0)+INDEX($AT$13:$BB$162,BO4345,0)+INDEX($BD$13:$BL$162,BP4345,0))/100))&gt;=$D$10:$L$10)),0)</f>
        <v/>
      </c>
      <c r="BR4345">
        <f>IF(4332&lt;$U$9,SUMPRODUCT(($D$10:$L$10&lt;&gt;"")*(($D$10:$L$10-($D$9:$L$9+INT(($S$12:$AA$12+INDEX($AJ$13:$AR$162,BN4345,0)+INDEX($AT$13:$BB$162,BO4345,0)+INDEX($BD$13:$BL$162,BP4345,0))/100)))&gt;0)*($D$10:$L$10-($D$9:$L$9+INT(($S$12:$AA$12+INDEX($AJ$13:$AR$162,BN4345,0)+INDEX($AT$13:$BB$162,BO4345,0)+INDEX($BD$13:$BL$162,BP4345,0))/100)))),0)</f>
        <v/>
      </c>
      <c r="BS4345">
        <f>IF(4332&lt;$U$9,SUMPRODUCT(($D$9:$L$9+INT(($S$12:$AA$12+INDEX($AJ$13:$AR$162,BN4345,0)+INDEX($AT$13:$BB$162,BO4345,0)+INDEX($BD$13:$BL$162,BP4345,0))/100))),0)</f>
        <v/>
      </c>
      <c r="BT4345">
        <f>IF(AND(4332&lt;$U$9,$W$5),BQ4345*1000000-MIN(BR4345,999)*1000+BS4345-4332/100000,-1000000000-4332)</f>
        <v/>
      </c>
    </row>
    <row r="4346">
      <c r="BN4346">
        <f>IF(4333&lt;$U$9,INT(4333/($U$7*$U$8))+1,1)</f>
        <v/>
      </c>
      <c r="BO4346">
        <f>IF(4333&lt;$U$9,MOD(INT(4333/$U$8),$U$7)+1,1)</f>
        <v/>
      </c>
      <c r="BP4346">
        <f>IF(4333&lt;$U$9,MOD(4333,$U$8)+1,1)</f>
        <v/>
      </c>
      <c r="BQ4346">
        <f>IF(4333&lt;$U$9,SUMPRODUCT(($D$10:$L$10&lt;&gt;"")*(($D$9:$L$9+INT(($S$12:$AA$12+INDEX($AJ$13:$AR$162,BN4346,0)+INDEX($AT$13:$BB$162,BO4346,0)+INDEX($BD$13:$BL$162,BP4346,0))/100))&gt;=$D$10:$L$10)),0)</f>
        <v/>
      </c>
      <c r="BR4346">
        <f>IF(4333&lt;$U$9,SUMPRODUCT(($D$10:$L$10&lt;&gt;"")*(($D$10:$L$10-($D$9:$L$9+INT(($S$12:$AA$12+INDEX($AJ$13:$AR$162,BN4346,0)+INDEX($AT$13:$BB$162,BO4346,0)+INDEX($BD$13:$BL$162,BP4346,0))/100)))&gt;0)*($D$10:$L$10-($D$9:$L$9+INT(($S$12:$AA$12+INDEX($AJ$13:$AR$162,BN4346,0)+INDEX($AT$13:$BB$162,BO4346,0)+INDEX($BD$13:$BL$162,BP4346,0))/100)))),0)</f>
        <v/>
      </c>
      <c r="BS4346">
        <f>IF(4333&lt;$U$9,SUMPRODUCT(($D$9:$L$9+INT(($S$12:$AA$12+INDEX($AJ$13:$AR$162,BN4346,0)+INDEX($AT$13:$BB$162,BO4346,0)+INDEX($BD$13:$BL$162,BP4346,0))/100))),0)</f>
        <v/>
      </c>
      <c r="BT4346">
        <f>IF(AND(4333&lt;$U$9,$W$5),BQ4346*1000000-MIN(BR4346,999)*1000+BS4346-4333/100000,-1000000000-4333)</f>
        <v/>
      </c>
    </row>
    <row r="4347">
      <c r="BN4347">
        <f>IF(4334&lt;$U$9,INT(4334/($U$7*$U$8))+1,1)</f>
        <v/>
      </c>
      <c r="BO4347">
        <f>IF(4334&lt;$U$9,MOD(INT(4334/$U$8),$U$7)+1,1)</f>
        <v/>
      </c>
      <c r="BP4347">
        <f>IF(4334&lt;$U$9,MOD(4334,$U$8)+1,1)</f>
        <v/>
      </c>
      <c r="BQ4347">
        <f>IF(4334&lt;$U$9,SUMPRODUCT(($D$10:$L$10&lt;&gt;"")*(($D$9:$L$9+INT(($S$12:$AA$12+INDEX($AJ$13:$AR$162,BN4347,0)+INDEX($AT$13:$BB$162,BO4347,0)+INDEX($BD$13:$BL$162,BP4347,0))/100))&gt;=$D$10:$L$10)),0)</f>
        <v/>
      </c>
      <c r="BR4347">
        <f>IF(4334&lt;$U$9,SUMPRODUCT(($D$10:$L$10&lt;&gt;"")*(($D$10:$L$10-($D$9:$L$9+INT(($S$12:$AA$12+INDEX($AJ$13:$AR$162,BN4347,0)+INDEX($AT$13:$BB$162,BO4347,0)+INDEX($BD$13:$BL$162,BP4347,0))/100)))&gt;0)*($D$10:$L$10-($D$9:$L$9+INT(($S$12:$AA$12+INDEX($AJ$13:$AR$162,BN4347,0)+INDEX($AT$13:$BB$162,BO4347,0)+INDEX($BD$13:$BL$162,BP4347,0))/100)))),0)</f>
        <v/>
      </c>
      <c r="BS4347">
        <f>IF(4334&lt;$U$9,SUMPRODUCT(($D$9:$L$9+INT(($S$12:$AA$12+INDEX($AJ$13:$AR$162,BN4347,0)+INDEX($AT$13:$BB$162,BO4347,0)+INDEX($BD$13:$BL$162,BP4347,0))/100))),0)</f>
        <v/>
      </c>
      <c r="BT4347">
        <f>IF(AND(4334&lt;$U$9,$W$5),BQ4347*1000000-MIN(BR4347,999)*1000+BS4347-4334/100000,-1000000000-4334)</f>
        <v/>
      </c>
    </row>
    <row r="4348">
      <c r="BN4348">
        <f>IF(4335&lt;$U$9,INT(4335/($U$7*$U$8))+1,1)</f>
        <v/>
      </c>
      <c r="BO4348">
        <f>IF(4335&lt;$U$9,MOD(INT(4335/$U$8),$U$7)+1,1)</f>
        <v/>
      </c>
      <c r="BP4348">
        <f>IF(4335&lt;$U$9,MOD(4335,$U$8)+1,1)</f>
        <v/>
      </c>
      <c r="BQ4348">
        <f>IF(4335&lt;$U$9,SUMPRODUCT(($D$10:$L$10&lt;&gt;"")*(($D$9:$L$9+INT(($S$12:$AA$12+INDEX($AJ$13:$AR$162,BN4348,0)+INDEX($AT$13:$BB$162,BO4348,0)+INDEX($BD$13:$BL$162,BP4348,0))/100))&gt;=$D$10:$L$10)),0)</f>
        <v/>
      </c>
      <c r="BR4348">
        <f>IF(4335&lt;$U$9,SUMPRODUCT(($D$10:$L$10&lt;&gt;"")*(($D$10:$L$10-($D$9:$L$9+INT(($S$12:$AA$12+INDEX($AJ$13:$AR$162,BN4348,0)+INDEX($AT$13:$BB$162,BO4348,0)+INDEX($BD$13:$BL$162,BP4348,0))/100)))&gt;0)*($D$10:$L$10-($D$9:$L$9+INT(($S$12:$AA$12+INDEX($AJ$13:$AR$162,BN4348,0)+INDEX($AT$13:$BB$162,BO4348,0)+INDEX($BD$13:$BL$162,BP4348,0))/100)))),0)</f>
        <v/>
      </c>
      <c r="BS4348">
        <f>IF(4335&lt;$U$9,SUMPRODUCT(($D$9:$L$9+INT(($S$12:$AA$12+INDEX($AJ$13:$AR$162,BN4348,0)+INDEX($AT$13:$BB$162,BO4348,0)+INDEX($BD$13:$BL$162,BP4348,0))/100))),0)</f>
        <v/>
      </c>
      <c r="BT4348">
        <f>IF(AND(4335&lt;$U$9,$W$5),BQ4348*1000000-MIN(BR4348,999)*1000+BS4348-4335/100000,-1000000000-4335)</f>
        <v/>
      </c>
    </row>
    <row r="4349">
      <c r="BN4349">
        <f>IF(4336&lt;$U$9,INT(4336/($U$7*$U$8))+1,1)</f>
        <v/>
      </c>
      <c r="BO4349">
        <f>IF(4336&lt;$U$9,MOD(INT(4336/$U$8),$U$7)+1,1)</f>
        <v/>
      </c>
      <c r="BP4349">
        <f>IF(4336&lt;$U$9,MOD(4336,$U$8)+1,1)</f>
        <v/>
      </c>
      <c r="BQ4349">
        <f>IF(4336&lt;$U$9,SUMPRODUCT(($D$10:$L$10&lt;&gt;"")*(($D$9:$L$9+INT(($S$12:$AA$12+INDEX($AJ$13:$AR$162,BN4349,0)+INDEX($AT$13:$BB$162,BO4349,0)+INDEX($BD$13:$BL$162,BP4349,0))/100))&gt;=$D$10:$L$10)),0)</f>
        <v/>
      </c>
      <c r="BR4349">
        <f>IF(4336&lt;$U$9,SUMPRODUCT(($D$10:$L$10&lt;&gt;"")*(($D$10:$L$10-($D$9:$L$9+INT(($S$12:$AA$12+INDEX($AJ$13:$AR$162,BN4349,0)+INDEX($AT$13:$BB$162,BO4349,0)+INDEX($BD$13:$BL$162,BP4349,0))/100)))&gt;0)*($D$10:$L$10-($D$9:$L$9+INT(($S$12:$AA$12+INDEX($AJ$13:$AR$162,BN4349,0)+INDEX($AT$13:$BB$162,BO4349,0)+INDEX($BD$13:$BL$162,BP4349,0))/100)))),0)</f>
        <v/>
      </c>
      <c r="BS4349">
        <f>IF(4336&lt;$U$9,SUMPRODUCT(($D$9:$L$9+INT(($S$12:$AA$12+INDEX($AJ$13:$AR$162,BN4349,0)+INDEX($AT$13:$BB$162,BO4349,0)+INDEX($BD$13:$BL$162,BP4349,0))/100))),0)</f>
        <v/>
      </c>
      <c r="BT4349">
        <f>IF(AND(4336&lt;$U$9,$W$5),BQ4349*1000000-MIN(BR4349,999)*1000+BS4349-4336/100000,-1000000000-4336)</f>
        <v/>
      </c>
    </row>
    <row r="4350">
      <c r="BN4350">
        <f>IF(4337&lt;$U$9,INT(4337/($U$7*$U$8))+1,1)</f>
        <v/>
      </c>
      <c r="BO4350">
        <f>IF(4337&lt;$U$9,MOD(INT(4337/$U$8),$U$7)+1,1)</f>
        <v/>
      </c>
      <c r="BP4350">
        <f>IF(4337&lt;$U$9,MOD(4337,$U$8)+1,1)</f>
        <v/>
      </c>
      <c r="BQ4350">
        <f>IF(4337&lt;$U$9,SUMPRODUCT(($D$10:$L$10&lt;&gt;"")*(($D$9:$L$9+INT(($S$12:$AA$12+INDEX($AJ$13:$AR$162,BN4350,0)+INDEX($AT$13:$BB$162,BO4350,0)+INDEX($BD$13:$BL$162,BP4350,0))/100))&gt;=$D$10:$L$10)),0)</f>
        <v/>
      </c>
      <c r="BR4350">
        <f>IF(4337&lt;$U$9,SUMPRODUCT(($D$10:$L$10&lt;&gt;"")*(($D$10:$L$10-($D$9:$L$9+INT(($S$12:$AA$12+INDEX($AJ$13:$AR$162,BN4350,0)+INDEX($AT$13:$BB$162,BO4350,0)+INDEX($BD$13:$BL$162,BP4350,0))/100)))&gt;0)*($D$10:$L$10-($D$9:$L$9+INT(($S$12:$AA$12+INDEX($AJ$13:$AR$162,BN4350,0)+INDEX($AT$13:$BB$162,BO4350,0)+INDEX($BD$13:$BL$162,BP4350,0))/100)))),0)</f>
        <v/>
      </c>
      <c r="BS4350">
        <f>IF(4337&lt;$U$9,SUMPRODUCT(($D$9:$L$9+INT(($S$12:$AA$12+INDEX($AJ$13:$AR$162,BN4350,0)+INDEX($AT$13:$BB$162,BO4350,0)+INDEX($BD$13:$BL$162,BP4350,0))/100))),0)</f>
        <v/>
      </c>
      <c r="BT4350">
        <f>IF(AND(4337&lt;$U$9,$W$5),BQ4350*1000000-MIN(BR4350,999)*1000+BS4350-4337/100000,-1000000000-4337)</f>
        <v/>
      </c>
    </row>
    <row r="4351">
      <c r="BN4351">
        <f>IF(4338&lt;$U$9,INT(4338/($U$7*$U$8))+1,1)</f>
        <v/>
      </c>
      <c r="BO4351">
        <f>IF(4338&lt;$U$9,MOD(INT(4338/$U$8),$U$7)+1,1)</f>
        <v/>
      </c>
      <c r="BP4351">
        <f>IF(4338&lt;$U$9,MOD(4338,$U$8)+1,1)</f>
        <v/>
      </c>
      <c r="BQ4351">
        <f>IF(4338&lt;$U$9,SUMPRODUCT(($D$10:$L$10&lt;&gt;"")*(($D$9:$L$9+INT(($S$12:$AA$12+INDEX($AJ$13:$AR$162,BN4351,0)+INDEX($AT$13:$BB$162,BO4351,0)+INDEX($BD$13:$BL$162,BP4351,0))/100))&gt;=$D$10:$L$10)),0)</f>
        <v/>
      </c>
      <c r="BR4351">
        <f>IF(4338&lt;$U$9,SUMPRODUCT(($D$10:$L$10&lt;&gt;"")*(($D$10:$L$10-($D$9:$L$9+INT(($S$12:$AA$12+INDEX($AJ$13:$AR$162,BN4351,0)+INDEX($AT$13:$BB$162,BO4351,0)+INDEX($BD$13:$BL$162,BP4351,0))/100)))&gt;0)*($D$10:$L$10-($D$9:$L$9+INT(($S$12:$AA$12+INDEX($AJ$13:$AR$162,BN4351,0)+INDEX($AT$13:$BB$162,BO4351,0)+INDEX($BD$13:$BL$162,BP4351,0))/100)))),0)</f>
        <v/>
      </c>
      <c r="BS4351">
        <f>IF(4338&lt;$U$9,SUMPRODUCT(($D$9:$L$9+INT(($S$12:$AA$12+INDEX($AJ$13:$AR$162,BN4351,0)+INDEX($AT$13:$BB$162,BO4351,0)+INDEX($BD$13:$BL$162,BP4351,0))/100))),0)</f>
        <v/>
      </c>
      <c r="BT4351">
        <f>IF(AND(4338&lt;$U$9,$W$5),BQ4351*1000000-MIN(BR4351,999)*1000+BS4351-4338/100000,-1000000000-4338)</f>
        <v/>
      </c>
    </row>
    <row r="4352">
      <c r="BN4352">
        <f>IF(4339&lt;$U$9,INT(4339/($U$7*$U$8))+1,1)</f>
        <v/>
      </c>
      <c r="BO4352">
        <f>IF(4339&lt;$U$9,MOD(INT(4339/$U$8),$U$7)+1,1)</f>
        <v/>
      </c>
      <c r="BP4352">
        <f>IF(4339&lt;$U$9,MOD(4339,$U$8)+1,1)</f>
        <v/>
      </c>
      <c r="BQ4352">
        <f>IF(4339&lt;$U$9,SUMPRODUCT(($D$10:$L$10&lt;&gt;"")*(($D$9:$L$9+INT(($S$12:$AA$12+INDEX($AJ$13:$AR$162,BN4352,0)+INDEX($AT$13:$BB$162,BO4352,0)+INDEX($BD$13:$BL$162,BP4352,0))/100))&gt;=$D$10:$L$10)),0)</f>
        <v/>
      </c>
      <c r="BR4352">
        <f>IF(4339&lt;$U$9,SUMPRODUCT(($D$10:$L$10&lt;&gt;"")*(($D$10:$L$10-($D$9:$L$9+INT(($S$12:$AA$12+INDEX($AJ$13:$AR$162,BN4352,0)+INDEX($AT$13:$BB$162,BO4352,0)+INDEX($BD$13:$BL$162,BP4352,0))/100)))&gt;0)*($D$10:$L$10-($D$9:$L$9+INT(($S$12:$AA$12+INDEX($AJ$13:$AR$162,BN4352,0)+INDEX($AT$13:$BB$162,BO4352,0)+INDEX($BD$13:$BL$162,BP4352,0))/100)))),0)</f>
        <v/>
      </c>
      <c r="BS4352">
        <f>IF(4339&lt;$U$9,SUMPRODUCT(($D$9:$L$9+INT(($S$12:$AA$12+INDEX($AJ$13:$AR$162,BN4352,0)+INDEX($AT$13:$BB$162,BO4352,0)+INDEX($BD$13:$BL$162,BP4352,0))/100))),0)</f>
        <v/>
      </c>
      <c r="BT4352">
        <f>IF(AND(4339&lt;$U$9,$W$5),BQ4352*1000000-MIN(BR4352,999)*1000+BS4352-4339/100000,-1000000000-4339)</f>
        <v/>
      </c>
    </row>
    <row r="4353">
      <c r="BN4353">
        <f>IF(4340&lt;$U$9,INT(4340/($U$7*$U$8))+1,1)</f>
        <v/>
      </c>
      <c r="BO4353">
        <f>IF(4340&lt;$U$9,MOD(INT(4340/$U$8),$U$7)+1,1)</f>
        <v/>
      </c>
      <c r="BP4353">
        <f>IF(4340&lt;$U$9,MOD(4340,$U$8)+1,1)</f>
        <v/>
      </c>
      <c r="BQ4353">
        <f>IF(4340&lt;$U$9,SUMPRODUCT(($D$10:$L$10&lt;&gt;"")*(($D$9:$L$9+INT(($S$12:$AA$12+INDEX($AJ$13:$AR$162,BN4353,0)+INDEX($AT$13:$BB$162,BO4353,0)+INDEX($BD$13:$BL$162,BP4353,0))/100))&gt;=$D$10:$L$10)),0)</f>
        <v/>
      </c>
      <c r="BR4353">
        <f>IF(4340&lt;$U$9,SUMPRODUCT(($D$10:$L$10&lt;&gt;"")*(($D$10:$L$10-($D$9:$L$9+INT(($S$12:$AA$12+INDEX($AJ$13:$AR$162,BN4353,0)+INDEX($AT$13:$BB$162,BO4353,0)+INDEX($BD$13:$BL$162,BP4353,0))/100)))&gt;0)*($D$10:$L$10-($D$9:$L$9+INT(($S$12:$AA$12+INDEX($AJ$13:$AR$162,BN4353,0)+INDEX($AT$13:$BB$162,BO4353,0)+INDEX($BD$13:$BL$162,BP4353,0))/100)))),0)</f>
        <v/>
      </c>
      <c r="BS4353">
        <f>IF(4340&lt;$U$9,SUMPRODUCT(($D$9:$L$9+INT(($S$12:$AA$12+INDEX($AJ$13:$AR$162,BN4353,0)+INDEX($AT$13:$BB$162,BO4353,0)+INDEX($BD$13:$BL$162,BP4353,0))/100))),0)</f>
        <v/>
      </c>
      <c r="BT4353">
        <f>IF(AND(4340&lt;$U$9,$W$5),BQ4353*1000000-MIN(BR4353,999)*1000+BS4353-4340/100000,-1000000000-4340)</f>
        <v/>
      </c>
    </row>
    <row r="4354">
      <c r="BN4354">
        <f>IF(4341&lt;$U$9,INT(4341/($U$7*$U$8))+1,1)</f>
        <v/>
      </c>
      <c r="BO4354">
        <f>IF(4341&lt;$U$9,MOD(INT(4341/$U$8),$U$7)+1,1)</f>
        <v/>
      </c>
      <c r="BP4354">
        <f>IF(4341&lt;$U$9,MOD(4341,$U$8)+1,1)</f>
        <v/>
      </c>
      <c r="BQ4354">
        <f>IF(4341&lt;$U$9,SUMPRODUCT(($D$10:$L$10&lt;&gt;"")*(($D$9:$L$9+INT(($S$12:$AA$12+INDEX($AJ$13:$AR$162,BN4354,0)+INDEX($AT$13:$BB$162,BO4354,0)+INDEX($BD$13:$BL$162,BP4354,0))/100))&gt;=$D$10:$L$10)),0)</f>
        <v/>
      </c>
      <c r="BR4354">
        <f>IF(4341&lt;$U$9,SUMPRODUCT(($D$10:$L$10&lt;&gt;"")*(($D$10:$L$10-($D$9:$L$9+INT(($S$12:$AA$12+INDEX($AJ$13:$AR$162,BN4354,0)+INDEX($AT$13:$BB$162,BO4354,0)+INDEX($BD$13:$BL$162,BP4354,0))/100)))&gt;0)*($D$10:$L$10-($D$9:$L$9+INT(($S$12:$AA$12+INDEX($AJ$13:$AR$162,BN4354,0)+INDEX($AT$13:$BB$162,BO4354,0)+INDEX($BD$13:$BL$162,BP4354,0))/100)))),0)</f>
        <v/>
      </c>
      <c r="BS4354">
        <f>IF(4341&lt;$U$9,SUMPRODUCT(($D$9:$L$9+INT(($S$12:$AA$12+INDEX($AJ$13:$AR$162,BN4354,0)+INDEX($AT$13:$BB$162,BO4354,0)+INDEX($BD$13:$BL$162,BP4354,0))/100))),0)</f>
        <v/>
      </c>
      <c r="BT4354">
        <f>IF(AND(4341&lt;$U$9,$W$5),BQ4354*1000000-MIN(BR4354,999)*1000+BS4354-4341/100000,-1000000000-4341)</f>
        <v/>
      </c>
    </row>
    <row r="4355">
      <c r="BN4355">
        <f>IF(4342&lt;$U$9,INT(4342/($U$7*$U$8))+1,1)</f>
        <v/>
      </c>
      <c r="BO4355">
        <f>IF(4342&lt;$U$9,MOD(INT(4342/$U$8),$U$7)+1,1)</f>
        <v/>
      </c>
      <c r="BP4355">
        <f>IF(4342&lt;$U$9,MOD(4342,$U$8)+1,1)</f>
        <v/>
      </c>
      <c r="BQ4355">
        <f>IF(4342&lt;$U$9,SUMPRODUCT(($D$10:$L$10&lt;&gt;"")*(($D$9:$L$9+INT(($S$12:$AA$12+INDEX($AJ$13:$AR$162,BN4355,0)+INDEX($AT$13:$BB$162,BO4355,0)+INDEX($BD$13:$BL$162,BP4355,0))/100))&gt;=$D$10:$L$10)),0)</f>
        <v/>
      </c>
      <c r="BR4355">
        <f>IF(4342&lt;$U$9,SUMPRODUCT(($D$10:$L$10&lt;&gt;"")*(($D$10:$L$10-($D$9:$L$9+INT(($S$12:$AA$12+INDEX($AJ$13:$AR$162,BN4355,0)+INDEX($AT$13:$BB$162,BO4355,0)+INDEX($BD$13:$BL$162,BP4355,0))/100)))&gt;0)*($D$10:$L$10-($D$9:$L$9+INT(($S$12:$AA$12+INDEX($AJ$13:$AR$162,BN4355,0)+INDEX($AT$13:$BB$162,BO4355,0)+INDEX($BD$13:$BL$162,BP4355,0))/100)))),0)</f>
        <v/>
      </c>
      <c r="BS4355">
        <f>IF(4342&lt;$U$9,SUMPRODUCT(($D$9:$L$9+INT(($S$12:$AA$12+INDEX($AJ$13:$AR$162,BN4355,0)+INDEX($AT$13:$BB$162,BO4355,0)+INDEX($BD$13:$BL$162,BP4355,0))/100))),0)</f>
        <v/>
      </c>
      <c r="BT4355">
        <f>IF(AND(4342&lt;$U$9,$W$5),BQ4355*1000000-MIN(BR4355,999)*1000+BS4355-4342/100000,-1000000000-4342)</f>
        <v/>
      </c>
    </row>
    <row r="4356">
      <c r="BN4356">
        <f>IF(4343&lt;$U$9,INT(4343/($U$7*$U$8))+1,1)</f>
        <v/>
      </c>
      <c r="BO4356">
        <f>IF(4343&lt;$U$9,MOD(INT(4343/$U$8),$U$7)+1,1)</f>
        <v/>
      </c>
      <c r="BP4356">
        <f>IF(4343&lt;$U$9,MOD(4343,$U$8)+1,1)</f>
        <v/>
      </c>
      <c r="BQ4356">
        <f>IF(4343&lt;$U$9,SUMPRODUCT(($D$10:$L$10&lt;&gt;"")*(($D$9:$L$9+INT(($S$12:$AA$12+INDEX($AJ$13:$AR$162,BN4356,0)+INDEX($AT$13:$BB$162,BO4356,0)+INDEX($BD$13:$BL$162,BP4356,0))/100))&gt;=$D$10:$L$10)),0)</f>
        <v/>
      </c>
      <c r="BR4356">
        <f>IF(4343&lt;$U$9,SUMPRODUCT(($D$10:$L$10&lt;&gt;"")*(($D$10:$L$10-($D$9:$L$9+INT(($S$12:$AA$12+INDEX($AJ$13:$AR$162,BN4356,0)+INDEX($AT$13:$BB$162,BO4356,0)+INDEX($BD$13:$BL$162,BP4356,0))/100)))&gt;0)*($D$10:$L$10-($D$9:$L$9+INT(($S$12:$AA$12+INDEX($AJ$13:$AR$162,BN4356,0)+INDEX($AT$13:$BB$162,BO4356,0)+INDEX($BD$13:$BL$162,BP4356,0))/100)))),0)</f>
        <v/>
      </c>
      <c r="BS4356">
        <f>IF(4343&lt;$U$9,SUMPRODUCT(($D$9:$L$9+INT(($S$12:$AA$12+INDEX($AJ$13:$AR$162,BN4356,0)+INDEX($AT$13:$BB$162,BO4356,0)+INDEX($BD$13:$BL$162,BP4356,0))/100))),0)</f>
        <v/>
      </c>
      <c r="BT4356">
        <f>IF(AND(4343&lt;$U$9,$W$5),BQ4356*1000000-MIN(BR4356,999)*1000+BS4356-4343/100000,-1000000000-4343)</f>
        <v/>
      </c>
    </row>
    <row r="4357">
      <c r="BN4357">
        <f>IF(4344&lt;$U$9,INT(4344/($U$7*$U$8))+1,1)</f>
        <v/>
      </c>
      <c r="BO4357">
        <f>IF(4344&lt;$U$9,MOD(INT(4344/$U$8),$U$7)+1,1)</f>
        <v/>
      </c>
      <c r="BP4357">
        <f>IF(4344&lt;$U$9,MOD(4344,$U$8)+1,1)</f>
        <v/>
      </c>
      <c r="BQ4357">
        <f>IF(4344&lt;$U$9,SUMPRODUCT(($D$10:$L$10&lt;&gt;"")*(($D$9:$L$9+INT(($S$12:$AA$12+INDEX($AJ$13:$AR$162,BN4357,0)+INDEX($AT$13:$BB$162,BO4357,0)+INDEX($BD$13:$BL$162,BP4357,0))/100))&gt;=$D$10:$L$10)),0)</f>
        <v/>
      </c>
      <c r="BR4357">
        <f>IF(4344&lt;$U$9,SUMPRODUCT(($D$10:$L$10&lt;&gt;"")*(($D$10:$L$10-($D$9:$L$9+INT(($S$12:$AA$12+INDEX($AJ$13:$AR$162,BN4357,0)+INDEX($AT$13:$BB$162,BO4357,0)+INDEX($BD$13:$BL$162,BP4357,0))/100)))&gt;0)*($D$10:$L$10-($D$9:$L$9+INT(($S$12:$AA$12+INDEX($AJ$13:$AR$162,BN4357,0)+INDEX($AT$13:$BB$162,BO4357,0)+INDEX($BD$13:$BL$162,BP4357,0))/100)))),0)</f>
        <v/>
      </c>
      <c r="BS4357">
        <f>IF(4344&lt;$U$9,SUMPRODUCT(($D$9:$L$9+INT(($S$12:$AA$12+INDEX($AJ$13:$AR$162,BN4357,0)+INDEX($AT$13:$BB$162,BO4357,0)+INDEX($BD$13:$BL$162,BP4357,0))/100))),0)</f>
        <v/>
      </c>
      <c r="BT4357">
        <f>IF(AND(4344&lt;$U$9,$W$5),BQ4357*1000000-MIN(BR4357,999)*1000+BS4357-4344/100000,-1000000000-4344)</f>
        <v/>
      </c>
    </row>
    <row r="4358">
      <c r="BN4358">
        <f>IF(4345&lt;$U$9,INT(4345/($U$7*$U$8))+1,1)</f>
        <v/>
      </c>
      <c r="BO4358">
        <f>IF(4345&lt;$U$9,MOD(INT(4345/$U$8),$U$7)+1,1)</f>
        <v/>
      </c>
      <c r="BP4358">
        <f>IF(4345&lt;$U$9,MOD(4345,$U$8)+1,1)</f>
        <v/>
      </c>
      <c r="BQ4358">
        <f>IF(4345&lt;$U$9,SUMPRODUCT(($D$10:$L$10&lt;&gt;"")*(($D$9:$L$9+INT(($S$12:$AA$12+INDEX($AJ$13:$AR$162,BN4358,0)+INDEX($AT$13:$BB$162,BO4358,0)+INDEX($BD$13:$BL$162,BP4358,0))/100))&gt;=$D$10:$L$10)),0)</f>
        <v/>
      </c>
      <c r="BR4358">
        <f>IF(4345&lt;$U$9,SUMPRODUCT(($D$10:$L$10&lt;&gt;"")*(($D$10:$L$10-($D$9:$L$9+INT(($S$12:$AA$12+INDEX($AJ$13:$AR$162,BN4358,0)+INDEX($AT$13:$BB$162,BO4358,0)+INDEX($BD$13:$BL$162,BP4358,0))/100)))&gt;0)*($D$10:$L$10-($D$9:$L$9+INT(($S$12:$AA$12+INDEX($AJ$13:$AR$162,BN4358,0)+INDEX($AT$13:$BB$162,BO4358,0)+INDEX($BD$13:$BL$162,BP4358,0))/100)))),0)</f>
        <v/>
      </c>
      <c r="BS4358">
        <f>IF(4345&lt;$U$9,SUMPRODUCT(($D$9:$L$9+INT(($S$12:$AA$12+INDEX($AJ$13:$AR$162,BN4358,0)+INDEX($AT$13:$BB$162,BO4358,0)+INDEX($BD$13:$BL$162,BP4358,0))/100))),0)</f>
        <v/>
      </c>
      <c r="BT4358">
        <f>IF(AND(4345&lt;$U$9,$W$5),BQ4358*1000000-MIN(BR4358,999)*1000+BS4358-4345/100000,-1000000000-4345)</f>
        <v/>
      </c>
    </row>
    <row r="4359">
      <c r="BN4359">
        <f>IF(4346&lt;$U$9,INT(4346/($U$7*$U$8))+1,1)</f>
        <v/>
      </c>
      <c r="BO4359">
        <f>IF(4346&lt;$U$9,MOD(INT(4346/$U$8),$U$7)+1,1)</f>
        <v/>
      </c>
      <c r="BP4359">
        <f>IF(4346&lt;$U$9,MOD(4346,$U$8)+1,1)</f>
        <v/>
      </c>
      <c r="BQ4359">
        <f>IF(4346&lt;$U$9,SUMPRODUCT(($D$10:$L$10&lt;&gt;"")*(($D$9:$L$9+INT(($S$12:$AA$12+INDEX($AJ$13:$AR$162,BN4359,0)+INDEX($AT$13:$BB$162,BO4359,0)+INDEX($BD$13:$BL$162,BP4359,0))/100))&gt;=$D$10:$L$10)),0)</f>
        <v/>
      </c>
      <c r="BR4359">
        <f>IF(4346&lt;$U$9,SUMPRODUCT(($D$10:$L$10&lt;&gt;"")*(($D$10:$L$10-($D$9:$L$9+INT(($S$12:$AA$12+INDEX($AJ$13:$AR$162,BN4359,0)+INDEX($AT$13:$BB$162,BO4359,0)+INDEX($BD$13:$BL$162,BP4359,0))/100)))&gt;0)*($D$10:$L$10-($D$9:$L$9+INT(($S$12:$AA$12+INDEX($AJ$13:$AR$162,BN4359,0)+INDEX($AT$13:$BB$162,BO4359,0)+INDEX($BD$13:$BL$162,BP4359,0))/100)))),0)</f>
        <v/>
      </c>
      <c r="BS4359">
        <f>IF(4346&lt;$U$9,SUMPRODUCT(($D$9:$L$9+INT(($S$12:$AA$12+INDEX($AJ$13:$AR$162,BN4359,0)+INDEX($AT$13:$BB$162,BO4359,0)+INDEX($BD$13:$BL$162,BP4359,0))/100))),0)</f>
        <v/>
      </c>
      <c r="BT4359">
        <f>IF(AND(4346&lt;$U$9,$W$5),BQ4359*1000000-MIN(BR4359,999)*1000+BS4359-4346/100000,-1000000000-4346)</f>
        <v/>
      </c>
    </row>
    <row r="4360">
      <c r="BN4360">
        <f>IF(4347&lt;$U$9,INT(4347/($U$7*$U$8))+1,1)</f>
        <v/>
      </c>
      <c r="BO4360">
        <f>IF(4347&lt;$U$9,MOD(INT(4347/$U$8),$U$7)+1,1)</f>
        <v/>
      </c>
      <c r="BP4360">
        <f>IF(4347&lt;$U$9,MOD(4347,$U$8)+1,1)</f>
        <v/>
      </c>
      <c r="BQ4360">
        <f>IF(4347&lt;$U$9,SUMPRODUCT(($D$10:$L$10&lt;&gt;"")*(($D$9:$L$9+INT(($S$12:$AA$12+INDEX($AJ$13:$AR$162,BN4360,0)+INDEX($AT$13:$BB$162,BO4360,0)+INDEX($BD$13:$BL$162,BP4360,0))/100))&gt;=$D$10:$L$10)),0)</f>
        <v/>
      </c>
      <c r="BR4360">
        <f>IF(4347&lt;$U$9,SUMPRODUCT(($D$10:$L$10&lt;&gt;"")*(($D$10:$L$10-($D$9:$L$9+INT(($S$12:$AA$12+INDEX($AJ$13:$AR$162,BN4360,0)+INDEX($AT$13:$BB$162,BO4360,0)+INDEX($BD$13:$BL$162,BP4360,0))/100)))&gt;0)*($D$10:$L$10-($D$9:$L$9+INT(($S$12:$AA$12+INDEX($AJ$13:$AR$162,BN4360,0)+INDEX($AT$13:$BB$162,BO4360,0)+INDEX($BD$13:$BL$162,BP4360,0))/100)))),0)</f>
        <v/>
      </c>
      <c r="BS4360">
        <f>IF(4347&lt;$U$9,SUMPRODUCT(($D$9:$L$9+INT(($S$12:$AA$12+INDEX($AJ$13:$AR$162,BN4360,0)+INDEX($AT$13:$BB$162,BO4360,0)+INDEX($BD$13:$BL$162,BP4360,0))/100))),0)</f>
        <v/>
      </c>
      <c r="BT4360">
        <f>IF(AND(4347&lt;$U$9,$W$5),BQ4360*1000000-MIN(BR4360,999)*1000+BS4360-4347/100000,-1000000000-4347)</f>
        <v/>
      </c>
    </row>
    <row r="4361">
      <c r="BN4361">
        <f>IF(4348&lt;$U$9,INT(4348/($U$7*$U$8))+1,1)</f>
        <v/>
      </c>
      <c r="BO4361">
        <f>IF(4348&lt;$U$9,MOD(INT(4348/$U$8),$U$7)+1,1)</f>
        <v/>
      </c>
      <c r="BP4361">
        <f>IF(4348&lt;$U$9,MOD(4348,$U$8)+1,1)</f>
        <v/>
      </c>
      <c r="BQ4361">
        <f>IF(4348&lt;$U$9,SUMPRODUCT(($D$10:$L$10&lt;&gt;"")*(($D$9:$L$9+INT(($S$12:$AA$12+INDEX($AJ$13:$AR$162,BN4361,0)+INDEX($AT$13:$BB$162,BO4361,0)+INDEX($BD$13:$BL$162,BP4361,0))/100))&gt;=$D$10:$L$10)),0)</f>
        <v/>
      </c>
      <c r="BR4361">
        <f>IF(4348&lt;$U$9,SUMPRODUCT(($D$10:$L$10&lt;&gt;"")*(($D$10:$L$10-($D$9:$L$9+INT(($S$12:$AA$12+INDEX($AJ$13:$AR$162,BN4361,0)+INDEX($AT$13:$BB$162,BO4361,0)+INDEX($BD$13:$BL$162,BP4361,0))/100)))&gt;0)*($D$10:$L$10-($D$9:$L$9+INT(($S$12:$AA$12+INDEX($AJ$13:$AR$162,BN4361,0)+INDEX($AT$13:$BB$162,BO4361,0)+INDEX($BD$13:$BL$162,BP4361,0))/100)))),0)</f>
        <v/>
      </c>
      <c r="BS4361">
        <f>IF(4348&lt;$U$9,SUMPRODUCT(($D$9:$L$9+INT(($S$12:$AA$12+INDEX($AJ$13:$AR$162,BN4361,0)+INDEX($AT$13:$BB$162,BO4361,0)+INDEX($BD$13:$BL$162,BP4361,0))/100))),0)</f>
        <v/>
      </c>
      <c r="BT4361">
        <f>IF(AND(4348&lt;$U$9,$W$5),BQ4361*1000000-MIN(BR4361,999)*1000+BS4361-4348/100000,-1000000000-4348)</f>
        <v/>
      </c>
    </row>
    <row r="4362">
      <c r="BN4362">
        <f>IF(4349&lt;$U$9,INT(4349/($U$7*$U$8))+1,1)</f>
        <v/>
      </c>
      <c r="BO4362">
        <f>IF(4349&lt;$U$9,MOD(INT(4349/$U$8),$U$7)+1,1)</f>
        <v/>
      </c>
      <c r="BP4362">
        <f>IF(4349&lt;$U$9,MOD(4349,$U$8)+1,1)</f>
        <v/>
      </c>
      <c r="BQ4362">
        <f>IF(4349&lt;$U$9,SUMPRODUCT(($D$10:$L$10&lt;&gt;"")*(($D$9:$L$9+INT(($S$12:$AA$12+INDEX($AJ$13:$AR$162,BN4362,0)+INDEX($AT$13:$BB$162,BO4362,0)+INDEX($BD$13:$BL$162,BP4362,0))/100))&gt;=$D$10:$L$10)),0)</f>
        <v/>
      </c>
      <c r="BR4362">
        <f>IF(4349&lt;$U$9,SUMPRODUCT(($D$10:$L$10&lt;&gt;"")*(($D$10:$L$10-($D$9:$L$9+INT(($S$12:$AA$12+INDEX($AJ$13:$AR$162,BN4362,0)+INDEX($AT$13:$BB$162,BO4362,0)+INDEX($BD$13:$BL$162,BP4362,0))/100)))&gt;0)*($D$10:$L$10-($D$9:$L$9+INT(($S$12:$AA$12+INDEX($AJ$13:$AR$162,BN4362,0)+INDEX($AT$13:$BB$162,BO4362,0)+INDEX($BD$13:$BL$162,BP4362,0))/100)))),0)</f>
        <v/>
      </c>
      <c r="BS4362">
        <f>IF(4349&lt;$U$9,SUMPRODUCT(($D$9:$L$9+INT(($S$12:$AA$12+INDEX($AJ$13:$AR$162,BN4362,0)+INDEX($AT$13:$BB$162,BO4362,0)+INDEX($BD$13:$BL$162,BP4362,0))/100))),0)</f>
        <v/>
      </c>
      <c r="BT4362">
        <f>IF(AND(4349&lt;$U$9,$W$5),BQ4362*1000000-MIN(BR4362,999)*1000+BS4362-4349/100000,-1000000000-4349)</f>
        <v/>
      </c>
    </row>
    <row r="4363">
      <c r="BN4363">
        <f>IF(4350&lt;$U$9,INT(4350/($U$7*$U$8))+1,1)</f>
        <v/>
      </c>
      <c r="BO4363">
        <f>IF(4350&lt;$U$9,MOD(INT(4350/$U$8),$U$7)+1,1)</f>
        <v/>
      </c>
      <c r="BP4363">
        <f>IF(4350&lt;$U$9,MOD(4350,$U$8)+1,1)</f>
        <v/>
      </c>
      <c r="BQ4363">
        <f>IF(4350&lt;$U$9,SUMPRODUCT(($D$10:$L$10&lt;&gt;"")*(($D$9:$L$9+INT(($S$12:$AA$12+INDEX($AJ$13:$AR$162,BN4363,0)+INDEX($AT$13:$BB$162,BO4363,0)+INDEX($BD$13:$BL$162,BP4363,0))/100))&gt;=$D$10:$L$10)),0)</f>
        <v/>
      </c>
      <c r="BR4363">
        <f>IF(4350&lt;$U$9,SUMPRODUCT(($D$10:$L$10&lt;&gt;"")*(($D$10:$L$10-($D$9:$L$9+INT(($S$12:$AA$12+INDEX($AJ$13:$AR$162,BN4363,0)+INDEX($AT$13:$BB$162,BO4363,0)+INDEX($BD$13:$BL$162,BP4363,0))/100)))&gt;0)*($D$10:$L$10-($D$9:$L$9+INT(($S$12:$AA$12+INDEX($AJ$13:$AR$162,BN4363,0)+INDEX($AT$13:$BB$162,BO4363,0)+INDEX($BD$13:$BL$162,BP4363,0))/100)))),0)</f>
        <v/>
      </c>
      <c r="BS4363">
        <f>IF(4350&lt;$U$9,SUMPRODUCT(($D$9:$L$9+INT(($S$12:$AA$12+INDEX($AJ$13:$AR$162,BN4363,0)+INDEX($AT$13:$BB$162,BO4363,0)+INDEX($BD$13:$BL$162,BP4363,0))/100))),0)</f>
        <v/>
      </c>
      <c r="BT4363">
        <f>IF(AND(4350&lt;$U$9,$W$5),BQ4363*1000000-MIN(BR4363,999)*1000+BS4363-4350/100000,-1000000000-4350)</f>
        <v/>
      </c>
    </row>
    <row r="4364">
      <c r="BN4364">
        <f>IF(4351&lt;$U$9,INT(4351/($U$7*$U$8))+1,1)</f>
        <v/>
      </c>
      <c r="BO4364">
        <f>IF(4351&lt;$U$9,MOD(INT(4351/$U$8),$U$7)+1,1)</f>
        <v/>
      </c>
      <c r="BP4364">
        <f>IF(4351&lt;$U$9,MOD(4351,$U$8)+1,1)</f>
        <v/>
      </c>
      <c r="BQ4364">
        <f>IF(4351&lt;$U$9,SUMPRODUCT(($D$10:$L$10&lt;&gt;"")*(($D$9:$L$9+INT(($S$12:$AA$12+INDEX($AJ$13:$AR$162,BN4364,0)+INDEX($AT$13:$BB$162,BO4364,0)+INDEX($BD$13:$BL$162,BP4364,0))/100))&gt;=$D$10:$L$10)),0)</f>
        <v/>
      </c>
      <c r="BR4364">
        <f>IF(4351&lt;$U$9,SUMPRODUCT(($D$10:$L$10&lt;&gt;"")*(($D$10:$L$10-($D$9:$L$9+INT(($S$12:$AA$12+INDEX($AJ$13:$AR$162,BN4364,0)+INDEX($AT$13:$BB$162,BO4364,0)+INDEX($BD$13:$BL$162,BP4364,0))/100)))&gt;0)*($D$10:$L$10-($D$9:$L$9+INT(($S$12:$AA$12+INDEX($AJ$13:$AR$162,BN4364,0)+INDEX($AT$13:$BB$162,BO4364,0)+INDEX($BD$13:$BL$162,BP4364,0))/100)))),0)</f>
        <v/>
      </c>
      <c r="BS4364">
        <f>IF(4351&lt;$U$9,SUMPRODUCT(($D$9:$L$9+INT(($S$12:$AA$12+INDEX($AJ$13:$AR$162,BN4364,0)+INDEX($AT$13:$BB$162,BO4364,0)+INDEX($BD$13:$BL$162,BP4364,0))/100))),0)</f>
        <v/>
      </c>
      <c r="BT4364">
        <f>IF(AND(4351&lt;$U$9,$W$5),BQ4364*1000000-MIN(BR4364,999)*1000+BS4364-4351/100000,-1000000000-4351)</f>
        <v/>
      </c>
    </row>
    <row r="4365">
      <c r="BN4365">
        <f>IF(4352&lt;$U$9,INT(4352/($U$7*$U$8))+1,1)</f>
        <v/>
      </c>
      <c r="BO4365">
        <f>IF(4352&lt;$U$9,MOD(INT(4352/$U$8),$U$7)+1,1)</f>
        <v/>
      </c>
      <c r="BP4365">
        <f>IF(4352&lt;$U$9,MOD(4352,$U$8)+1,1)</f>
        <v/>
      </c>
      <c r="BQ4365">
        <f>IF(4352&lt;$U$9,SUMPRODUCT(($D$10:$L$10&lt;&gt;"")*(($D$9:$L$9+INT(($S$12:$AA$12+INDEX($AJ$13:$AR$162,BN4365,0)+INDEX($AT$13:$BB$162,BO4365,0)+INDEX($BD$13:$BL$162,BP4365,0))/100))&gt;=$D$10:$L$10)),0)</f>
        <v/>
      </c>
      <c r="BR4365">
        <f>IF(4352&lt;$U$9,SUMPRODUCT(($D$10:$L$10&lt;&gt;"")*(($D$10:$L$10-($D$9:$L$9+INT(($S$12:$AA$12+INDEX($AJ$13:$AR$162,BN4365,0)+INDEX($AT$13:$BB$162,BO4365,0)+INDEX($BD$13:$BL$162,BP4365,0))/100)))&gt;0)*($D$10:$L$10-($D$9:$L$9+INT(($S$12:$AA$12+INDEX($AJ$13:$AR$162,BN4365,0)+INDEX($AT$13:$BB$162,BO4365,0)+INDEX($BD$13:$BL$162,BP4365,0))/100)))),0)</f>
        <v/>
      </c>
      <c r="BS4365">
        <f>IF(4352&lt;$U$9,SUMPRODUCT(($D$9:$L$9+INT(($S$12:$AA$12+INDEX($AJ$13:$AR$162,BN4365,0)+INDEX($AT$13:$BB$162,BO4365,0)+INDEX($BD$13:$BL$162,BP4365,0))/100))),0)</f>
        <v/>
      </c>
      <c r="BT4365">
        <f>IF(AND(4352&lt;$U$9,$W$5),BQ4365*1000000-MIN(BR4365,999)*1000+BS4365-4352/100000,-1000000000-4352)</f>
        <v/>
      </c>
    </row>
    <row r="4366">
      <c r="BN4366">
        <f>IF(4353&lt;$U$9,INT(4353/($U$7*$U$8))+1,1)</f>
        <v/>
      </c>
      <c r="BO4366">
        <f>IF(4353&lt;$U$9,MOD(INT(4353/$U$8),$U$7)+1,1)</f>
        <v/>
      </c>
      <c r="BP4366">
        <f>IF(4353&lt;$U$9,MOD(4353,$U$8)+1,1)</f>
        <v/>
      </c>
      <c r="BQ4366">
        <f>IF(4353&lt;$U$9,SUMPRODUCT(($D$10:$L$10&lt;&gt;"")*(($D$9:$L$9+INT(($S$12:$AA$12+INDEX($AJ$13:$AR$162,BN4366,0)+INDEX($AT$13:$BB$162,BO4366,0)+INDEX($BD$13:$BL$162,BP4366,0))/100))&gt;=$D$10:$L$10)),0)</f>
        <v/>
      </c>
      <c r="BR4366">
        <f>IF(4353&lt;$U$9,SUMPRODUCT(($D$10:$L$10&lt;&gt;"")*(($D$10:$L$10-($D$9:$L$9+INT(($S$12:$AA$12+INDEX($AJ$13:$AR$162,BN4366,0)+INDEX($AT$13:$BB$162,BO4366,0)+INDEX($BD$13:$BL$162,BP4366,0))/100)))&gt;0)*($D$10:$L$10-($D$9:$L$9+INT(($S$12:$AA$12+INDEX($AJ$13:$AR$162,BN4366,0)+INDEX($AT$13:$BB$162,BO4366,0)+INDEX($BD$13:$BL$162,BP4366,0))/100)))),0)</f>
        <v/>
      </c>
      <c r="BS4366">
        <f>IF(4353&lt;$U$9,SUMPRODUCT(($D$9:$L$9+INT(($S$12:$AA$12+INDEX($AJ$13:$AR$162,BN4366,0)+INDEX($AT$13:$BB$162,BO4366,0)+INDEX($BD$13:$BL$162,BP4366,0))/100))),0)</f>
        <v/>
      </c>
      <c r="BT4366">
        <f>IF(AND(4353&lt;$U$9,$W$5),BQ4366*1000000-MIN(BR4366,999)*1000+BS4366-4353/100000,-1000000000-4353)</f>
        <v/>
      </c>
    </row>
    <row r="4367">
      <c r="BN4367">
        <f>IF(4354&lt;$U$9,INT(4354/($U$7*$U$8))+1,1)</f>
        <v/>
      </c>
      <c r="BO4367">
        <f>IF(4354&lt;$U$9,MOD(INT(4354/$U$8),$U$7)+1,1)</f>
        <v/>
      </c>
      <c r="BP4367">
        <f>IF(4354&lt;$U$9,MOD(4354,$U$8)+1,1)</f>
        <v/>
      </c>
      <c r="BQ4367">
        <f>IF(4354&lt;$U$9,SUMPRODUCT(($D$10:$L$10&lt;&gt;"")*(($D$9:$L$9+INT(($S$12:$AA$12+INDEX($AJ$13:$AR$162,BN4367,0)+INDEX($AT$13:$BB$162,BO4367,0)+INDEX($BD$13:$BL$162,BP4367,0))/100))&gt;=$D$10:$L$10)),0)</f>
        <v/>
      </c>
      <c r="BR4367">
        <f>IF(4354&lt;$U$9,SUMPRODUCT(($D$10:$L$10&lt;&gt;"")*(($D$10:$L$10-($D$9:$L$9+INT(($S$12:$AA$12+INDEX($AJ$13:$AR$162,BN4367,0)+INDEX($AT$13:$BB$162,BO4367,0)+INDEX($BD$13:$BL$162,BP4367,0))/100)))&gt;0)*($D$10:$L$10-($D$9:$L$9+INT(($S$12:$AA$12+INDEX($AJ$13:$AR$162,BN4367,0)+INDEX($AT$13:$BB$162,BO4367,0)+INDEX($BD$13:$BL$162,BP4367,0))/100)))),0)</f>
        <v/>
      </c>
      <c r="BS4367">
        <f>IF(4354&lt;$U$9,SUMPRODUCT(($D$9:$L$9+INT(($S$12:$AA$12+INDEX($AJ$13:$AR$162,BN4367,0)+INDEX($AT$13:$BB$162,BO4367,0)+INDEX($BD$13:$BL$162,BP4367,0))/100))),0)</f>
        <v/>
      </c>
      <c r="BT4367">
        <f>IF(AND(4354&lt;$U$9,$W$5),BQ4367*1000000-MIN(BR4367,999)*1000+BS4367-4354/100000,-1000000000-4354)</f>
        <v/>
      </c>
    </row>
    <row r="4368">
      <c r="BN4368">
        <f>IF(4355&lt;$U$9,INT(4355/($U$7*$U$8))+1,1)</f>
        <v/>
      </c>
      <c r="BO4368">
        <f>IF(4355&lt;$U$9,MOD(INT(4355/$U$8),$U$7)+1,1)</f>
        <v/>
      </c>
      <c r="BP4368">
        <f>IF(4355&lt;$U$9,MOD(4355,$U$8)+1,1)</f>
        <v/>
      </c>
      <c r="BQ4368">
        <f>IF(4355&lt;$U$9,SUMPRODUCT(($D$10:$L$10&lt;&gt;"")*(($D$9:$L$9+INT(($S$12:$AA$12+INDEX($AJ$13:$AR$162,BN4368,0)+INDEX($AT$13:$BB$162,BO4368,0)+INDEX($BD$13:$BL$162,BP4368,0))/100))&gt;=$D$10:$L$10)),0)</f>
        <v/>
      </c>
      <c r="BR4368">
        <f>IF(4355&lt;$U$9,SUMPRODUCT(($D$10:$L$10&lt;&gt;"")*(($D$10:$L$10-($D$9:$L$9+INT(($S$12:$AA$12+INDEX($AJ$13:$AR$162,BN4368,0)+INDEX($AT$13:$BB$162,BO4368,0)+INDEX($BD$13:$BL$162,BP4368,0))/100)))&gt;0)*($D$10:$L$10-($D$9:$L$9+INT(($S$12:$AA$12+INDEX($AJ$13:$AR$162,BN4368,0)+INDEX($AT$13:$BB$162,BO4368,0)+INDEX($BD$13:$BL$162,BP4368,0))/100)))),0)</f>
        <v/>
      </c>
      <c r="BS4368">
        <f>IF(4355&lt;$U$9,SUMPRODUCT(($D$9:$L$9+INT(($S$12:$AA$12+INDEX($AJ$13:$AR$162,BN4368,0)+INDEX($AT$13:$BB$162,BO4368,0)+INDEX($BD$13:$BL$162,BP4368,0))/100))),0)</f>
        <v/>
      </c>
      <c r="BT4368">
        <f>IF(AND(4355&lt;$U$9,$W$5),BQ4368*1000000-MIN(BR4368,999)*1000+BS4368-4355/100000,-1000000000-4355)</f>
        <v/>
      </c>
    </row>
    <row r="4369">
      <c r="BN4369">
        <f>IF(4356&lt;$U$9,INT(4356/($U$7*$U$8))+1,1)</f>
        <v/>
      </c>
      <c r="BO4369">
        <f>IF(4356&lt;$U$9,MOD(INT(4356/$U$8),$U$7)+1,1)</f>
        <v/>
      </c>
      <c r="BP4369">
        <f>IF(4356&lt;$U$9,MOD(4356,$U$8)+1,1)</f>
        <v/>
      </c>
      <c r="BQ4369">
        <f>IF(4356&lt;$U$9,SUMPRODUCT(($D$10:$L$10&lt;&gt;"")*(($D$9:$L$9+INT(($S$12:$AA$12+INDEX($AJ$13:$AR$162,BN4369,0)+INDEX($AT$13:$BB$162,BO4369,0)+INDEX($BD$13:$BL$162,BP4369,0))/100))&gt;=$D$10:$L$10)),0)</f>
        <v/>
      </c>
      <c r="BR4369">
        <f>IF(4356&lt;$U$9,SUMPRODUCT(($D$10:$L$10&lt;&gt;"")*(($D$10:$L$10-($D$9:$L$9+INT(($S$12:$AA$12+INDEX($AJ$13:$AR$162,BN4369,0)+INDEX($AT$13:$BB$162,BO4369,0)+INDEX($BD$13:$BL$162,BP4369,0))/100)))&gt;0)*($D$10:$L$10-($D$9:$L$9+INT(($S$12:$AA$12+INDEX($AJ$13:$AR$162,BN4369,0)+INDEX($AT$13:$BB$162,BO4369,0)+INDEX($BD$13:$BL$162,BP4369,0))/100)))),0)</f>
        <v/>
      </c>
      <c r="BS4369">
        <f>IF(4356&lt;$U$9,SUMPRODUCT(($D$9:$L$9+INT(($S$12:$AA$12+INDEX($AJ$13:$AR$162,BN4369,0)+INDEX($AT$13:$BB$162,BO4369,0)+INDEX($BD$13:$BL$162,BP4369,0))/100))),0)</f>
        <v/>
      </c>
      <c r="BT4369">
        <f>IF(AND(4356&lt;$U$9,$W$5),BQ4369*1000000-MIN(BR4369,999)*1000+BS4369-4356/100000,-1000000000-4356)</f>
        <v/>
      </c>
    </row>
    <row r="4370">
      <c r="BN4370">
        <f>IF(4357&lt;$U$9,INT(4357/($U$7*$U$8))+1,1)</f>
        <v/>
      </c>
      <c r="BO4370">
        <f>IF(4357&lt;$U$9,MOD(INT(4357/$U$8),$U$7)+1,1)</f>
        <v/>
      </c>
      <c r="BP4370">
        <f>IF(4357&lt;$U$9,MOD(4357,$U$8)+1,1)</f>
        <v/>
      </c>
      <c r="BQ4370">
        <f>IF(4357&lt;$U$9,SUMPRODUCT(($D$10:$L$10&lt;&gt;"")*(($D$9:$L$9+INT(($S$12:$AA$12+INDEX($AJ$13:$AR$162,BN4370,0)+INDEX($AT$13:$BB$162,BO4370,0)+INDEX($BD$13:$BL$162,BP4370,0))/100))&gt;=$D$10:$L$10)),0)</f>
        <v/>
      </c>
      <c r="BR4370">
        <f>IF(4357&lt;$U$9,SUMPRODUCT(($D$10:$L$10&lt;&gt;"")*(($D$10:$L$10-($D$9:$L$9+INT(($S$12:$AA$12+INDEX($AJ$13:$AR$162,BN4370,0)+INDEX($AT$13:$BB$162,BO4370,0)+INDEX($BD$13:$BL$162,BP4370,0))/100)))&gt;0)*($D$10:$L$10-($D$9:$L$9+INT(($S$12:$AA$12+INDEX($AJ$13:$AR$162,BN4370,0)+INDEX($AT$13:$BB$162,BO4370,0)+INDEX($BD$13:$BL$162,BP4370,0))/100)))),0)</f>
        <v/>
      </c>
      <c r="BS4370">
        <f>IF(4357&lt;$U$9,SUMPRODUCT(($D$9:$L$9+INT(($S$12:$AA$12+INDEX($AJ$13:$AR$162,BN4370,0)+INDEX($AT$13:$BB$162,BO4370,0)+INDEX($BD$13:$BL$162,BP4370,0))/100))),0)</f>
        <v/>
      </c>
      <c r="BT4370">
        <f>IF(AND(4357&lt;$U$9,$W$5),BQ4370*1000000-MIN(BR4370,999)*1000+BS4370-4357/100000,-1000000000-4357)</f>
        <v/>
      </c>
    </row>
    <row r="4371">
      <c r="BN4371">
        <f>IF(4358&lt;$U$9,INT(4358/($U$7*$U$8))+1,1)</f>
        <v/>
      </c>
      <c r="BO4371">
        <f>IF(4358&lt;$U$9,MOD(INT(4358/$U$8),$U$7)+1,1)</f>
        <v/>
      </c>
      <c r="BP4371">
        <f>IF(4358&lt;$U$9,MOD(4358,$U$8)+1,1)</f>
        <v/>
      </c>
      <c r="BQ4371">
        <f>IF(4358&lt;$U$9,SUMPRODUCT(($D$10:$L$10&lt;&gt;"")*(($D$9:$L$9+INT(($S$12:$AA$12+INDEX($AJ$13:$AR$162,BN4371,0)+INDEX($AT$13:$BB$162,BO4371,0)+INDEX($BD$13:$BL$162,BP4371,0))/100))&gt;=$D$10:$L$10)),0)</f>
        <v/>
      </c>
      <c r="BR4371">
        <f>IF(4358&lt;$U$9,SUMPRODUCT(($D$10:$L$10&lt;&gt;"")*(($D$10:$L$10-($D$9:$L$9+INT(($S$12:$AA$12+INDEX($AJ$13:$AR$162,BN4371,0)+INDEX($AT$13:$BB$162,BO4371,0)+INDEX($BD$13:$BL$162,BP4371,0))/100)))&gt;0)*($D$10:$L$10-($D$9:$L$9+INT(($S$12:$AA$12+INDEX($AJ$13:$AR$162,BN4371,0)+INDEX($AT$13:$BB$162,BO4371,0)+INDEX($BD$13:$BL$162,BP4371,0))/100)))),0)</f>
        <v/>
      </c>
      <c r="BS4371">
        <f>IF(4358&lt;$U$9,SUMPRODUCT(($D$9:$L$9+INT(($S$12:$AA$12+INDEX($AJ$13:$AR$162,BN4371,0)+INDEX($AT$13:$BB$162,BO4371,0)+INDEX($BD$13:$BL$162,BP4371,0))/100))),0)</f>
        <v/>
      </c>
      <c r="BT4371">
        <f>IF(AND(4358&lt;$U$9,$W$5),BQ4371*1000000-MIN(BR4371,999)*1000+BS4371-4358/100000,-1000000000-4358)</f>
        <v/>
      </c>
    </row>
    <row r="4372">
      <c r="BN4372">
        <f>IF(4359&lt;$U$9,INT(4359/($U$7*$U$8))+1,1)</f>
        <v/>
      </c>
      <c r="BO4372">
        <f>IF(4359&lt;$U$9,MOD(INT(4359/$U$8),$U$7)+1,1)</f>
        <v/>
      </c>
      <c r="BP4372">
        <f>IF(4359&lt;$U$9,MOD(4359,$U$8)+1,1)</f>
        <v/>
      </c>
      <c r="BQ4372">
        <f>IF(4359&lt;$U$9,SUMPRODUCT(($D$10:$L$10&lt;&gt;"")*(($D$9:$L$9+INT(($S$12:$AA$12+INDEX($AJ$13:$AR$162,BN4372,0)+INDEX($AT$13:$BB$162,BO4372,0)+INDEX($BD$13:$BL$162,BP4372,0))/100))&gt;=$D$10:$L$10)),0)</f>
        <v/>
      </c>
      <c r="BR4372">
        <f>IF(4359&lt;$U$9,SUMPRODUCT(($D$10:$L$10&lt;&gt;"")*(($D$10:$L$10-($D$9:$L$9+INT(($S$12:$AA$12+INDEX($AJ$13:$AR$162,BN4372,0)+INDEX($AT$13:$BB$162,BO4372,0)+INDEX($BD$13:$BL$162,BP4372,0))/100)))&gt;0)*($D$10:$L$10-($D$9:$L$9+INT(($S$12:$AA$12+INDEX($AJ$13:$AR$162,BN4372,0)+INDEX($AT$13:$BB$162,BO4372,0)+INDEX($BD$13:$BL$162,BP4372,0))/100)))),0)</f>
        <v/>
      </c>
      <c r="BS4372">
        <f>IF(4359&lt;$U$9,SUMPRODUCT(($D$9:$L$9+INT(($S$12:$AA$12+INDEX($AJ$13:$AR$162,BN4372,0)+INDEX($AT$13:$BB$162,BO4372,0)+INDEX($BD$13:$BL$162,BP4372,0))/100))),0)</f>
        <v/>
      </c>
      <c r="BT4372">
        <f>IF(AND(4359&lt;$U$9,$W$5),BQ4372*1000000-MIN(BR4372,999)*1000+BS4372-4359/100000,-1000000000-4359)</f>
        <v/>
      </c>
    </row>
    <row r="4373">
      <c r="BN4373">
        <f>IF(4360&lt;$U$9,INT(4360/($U$7*$U$8))+1,1)</f>
        <v/>
      </c>
      <c r="BO4373">
        <f>IF(4360&lt;$U$9,MOD(INT(4360/$U$8),$U$7)+1,1)</f>
        <v/>
      </c>
      <c r="BP4373">
        <f>IF(4360&lt;$U$9,MOD(4360,$U$8)+1,1)</f>
        <v/>
      </c>
      <c r="BQ4373">
        <f>IF(4360&lt;$U$9,SUMPRODUCT(($D$10:$L$10&lt;&gt;"")*(($D$9:$L$9+INT(($S$12:$AA$12+INDEX($AJ$13:$AR$162,BN4373,0)+INDEX($AT$13:$BB$162,BO4373,0)+INDEX($BD$13:$BL$162,BP4373,0))/100))&gt;=$D$10:$L$10)),0)</f>
        <v/>
      </c>
      <c r="BR4373">
        <f>IF(4360&lt;$U$9,SUMPRODUCT(($D$10:$L$10&lt;&gt;"")*(($D$10:$L$10-($D$9:$L$9+INT(($S$12:$AA$12+INDEX($AJ$13:$AR$162,BN4373,0)+INDEX($AT$13:$BB$162,BO4373,0)+INDEX($BD$13:$BL$162,BP4373,0))/100)))&gt;0)*($D$10:$L$10-($D$9:$L$9+INT(($S$12:$AA$12+INDEX($AJ$13:$AR$162,BN4373,0)+INDEX($AT$13:$BB$162,BO4373,0)+INDEX($BD$13:$BL$162,BP4373,0))/100)))),0)</f>
        <v/>
      </c>
      <c r="BS4373">
        <f>IF(4360&lt;$U$9,SUMPRODUCT(($D$9:$L$9+INT(($S$12:$AA$12+INDEX($AJ$13:$AR$162,BN4373,0)+INDEX($AT$13:$BB$162,BO4373,0)+INDEX($BD$13:$BL$162,BP4373,0))/100))),0)</f>
        <v/>
      </c>
      <c r="BT4373">
        <f>IF(AND(4360&lt;$U$9,$W$5),BQ4373*1000000-MIN(BR4373,999)*1000+BS4373-4360/100000,-1000000000-4360)</f>
        <v/>
      </c>
    </row>
    <row r="4374">
      <c r="BN4374">
        <f>IF(4361&lt;$U$9,INT(4361/($U$7*$U$8))+1,1)</f>
        <v/>
      </c>
      <c r="BO4374">
        <f>IF(4361&lt;$U$9,MOD(INT(4361/$U$8),$U$7)+1,1)</f>
        <v/>
      </c>
      <c r="BP4374">
        <f>IF(4361&lt;$U$9,MOD(4361,$U$8)+1,1)</f>
        <v/>
      </c>
      <c r="BQ4374">
        <f>IF(4361&lt;$U$9,SUMPRODUCT(($D$10:$L$10&lt;&gt;"")*(($D$9:$L$9+INT(($S$12:$AA$12+INDEX($AJ$13:$AR$162,BN4374,0)+INDEX($AT$13:$BB$162,BO4374,0)+INDEX($BD$13:$BL$162,BP4374,0))/100))&gt;=$D$10:$L$10)),0)</f>
        <v/>
      </c>
      <c r="BR4374">
        <f>IF(4361&lt;$U$9,SUMPRODUCT(($D$10:$L$10&lt;&gt;"")*(($D$10:$L$10-($D$9:$L$9+INT(($S$12:$AA$12+INDEX($AJ$13:$AR$162,BN4374,0)+INDEX($AT$13:$BB$162,BO4374,0)+INDEX($BD$13:$BL$162,BP4374,0))/100)))&gt;0)*($D$10:$L$10-($D$9:$L$9+INT(($S$12:$AA$12+INDEX($AJ$13:$AR$162,BN4374,0)+INDEX($AT$13:$BB$162,BO4374,0)+INDEX($BD$13:$BL$162,BP4374,0))/100)))),0)</f>
        <v/>
      </c>
      <c r="BS4374">
        <f>IF(4361&lt;$U$9,SUMPRODUCT(($D$9:$L$9+INT(($S$12:$AA$12+INDEX($AJ$13:$AR$162,BN4374,0)+INDEX($AT$13:$BB$162,BO4374,0)+INDEX($BD$13:$BL$162,BP4374,0))/100))),0)</f>
        <v/>
      </c>
      <c r="BT4374">
        <f>IF(AND(4361&lt;$U$9,$W$5),BQ4374*1000000-MIN(BR4374,999)*1000+BS4374-4361/100000,-1000000000-4361)</f>
        <v/>
      </c>
    </row>
    <row r="4375">
      <c r="BN4375">
        <f>IF(4362&lt;$U$9,INT(4362/($U$7*$U$8))+1,1)</f>
        <v/>
      </c>
      <c r="BO4375">
        <f>IF(4362&lt;$U$9,MOD(INT(4362/$U$8),$U$7)+1,1)</f>
        <v/>
      </c>
      <c r="BP4375">
        <f>IF(4362&lt;$U$9,MOD(4362,$U$8)+1,1)</f>
        <v/>
      </c>
      <c r="BQ4375">
        <f>IF(4362&lt;$U$9,SUMPRODUCT(($D$10:$L$10&lt;&gt;"")*(($D$9:$L$9+INT(($S$12:$AA$12+INDEX($AJ$13:$AR$162,BN4375,0)+INDEX($AT$13:$BB$162,BO4375,0)+INDEX($BD$13:$BL$162,BP4375,0))/100))&gt;=$D$10:$L$10)),0)</f>
        <v/>
      </c>
      <c r="BR4375">
        <f>IF(4362&lt;$U$9,SUMPRODUCT(($D$10:$L$10&lt;&gt;"")*(($D$10:$L$10-($D$9:$L$9+INT(($S$12:$AA$12+INDEX($AJ$13:$AR$162,BN4375,0)+INDEX($AT$13:$BB$162,BO4375,0)+INDEX($BD$13:$BL$162,BP4375,0))/100)))&gt;0)*($D$10:$L$10-($D$9:$L$9+INT(($S$12:$AA$12+INDEX($AJ$13:$AR$162,BN4375,0)+INDEX($AT$13:$BB$162,BO4375,0)+INDEX($BD$13:$BL$162,BP4375,0))/100)))),0)</f>
        <v/>
      </c>
      <c r="BS4375">
        <f>IF(4362&lt;$U$9,SUMPRODUCT(($D$9:$L$9+INT(($S$12:$AA$12+INDEX($AJ$13:$AR$162,BN4375,0)+INDEX($AT$13:$BB$162,BO4375,0)+INDEX($BD$13:$BL$162,BP4375,0))/100))),0)</f>
        <v/>
      </c>
      <c r="BT4375">
        <f>IF(AND(4362&lt;$U$9,$W$5),BQ4375*1000000-MIN(BR4375,999)*1000+BS4375-4362/100000,-1000000000-4362)</f>
        <v/>
      </c>
    </row>
    <row r="4376">
      <c r="BN4376">
        <f>IF(4363&lt;$U$9,INT(4363/($U$7*$U$8))+1,1)</f>
        <v/>
      </c>
      <c r="BO4376">
        <f>IF(4363&lt;$U$9,MOD(INT(4363/$U$8),$U$7)+1,1)</f>
        <v/>
      </c>
      <c r="BP4376">
        <f>IF(4363&lt;$U$9,MOD(4363,$U$8)+1,1)</f>
        <v/>
      </c>
      <c r="BQ4376">
        <f>IF(4363&lt;$U$9,SUMPRODUCT(($D$10:$L$10&lt;&gt;"")*(($D$9:$L$9+INT(($S$12:$AA$12+INDEX($AJ$13:$AR$162,BN4376,0)+INDEX($AT$13:$BB$162,BO4376,0)+INDEX($BD$13:$BL$162,BP4376,0))/100))&gt;=$D$10:$L$10)),0)</f>
        <v/>
      </c>
      <c r="BR4376">
        <f>IF(4363&lt;$U$9,SUMPRODUCT(($D$10:$L$10&lt;&gt;"")*(($D$10:$L$10-($D$9:$L$9+INT(($S$12:$AA$12+INDEX($AJ$13:$AR$162,BN4376,0)+INDEX($AT$13:$BB$162,BO4376,0)+INDEX($BD$13:$BL$162,BP4376,0))/100)))&gt;0)*($D$10:$L$10-($D$9:$L$9+INT(($S$12:$AA$12+INDEX($AJ$13:$AR$162,BN4376,0)+INDEX($AT$13:$BB$162,BO4376,0)+INDEX($BD$13:$BL$162,BP4376,0))/100)))),0)</f>
        <v/>
      </c>
      <c r="BS4376">
        <f>IF(4363&lt;$U$9,SUMPRODUCT(($D$9:$L$9+INT(($S$12:$AA$12+INDEX($AJ$13:$AR$162,BN4376,0)+INDEX($AT$13:$BB$162,BO4376,0)+INDEX($BD$13:$BL$162,BP4376,0))/100))),0)</f>
        <v/>
      </c>
      <c r="BT4376">
        <f>IF(AND(4363&lt;$U$9,$W$5),BQ4376*1000000-MIN(BR4376,999)*1000+BS4376-4363/100000,-1000000000-4363)</f>
        <v/>
      </c>
    </row>
    <row r="4377">
      <c r="BN4377">
        <f>IF(4364&lt;$U$9,INT(4364/($U$7*$U$8))+1,1)</f>
        <v/>
      </c>
      <c r="BO4377">
        <f>IF(4364&lt;$U$9,MOD(INT(4364/$U$8),$U$7)+1,1)</f>
        <v/>
      </c>
      <c r="BP4377">
        <f>IF(4364&lt;$U$9,MOD(4364,$U$8)+1,1)</f>
        <v/>
      </c>
      <c r="BQ4377">
        <f>IF(4364&lt;$U$9,SUMPRODUCT(($D$10:$L$10&lt;&gt;"")*(($D$9:$L$9+INT(($S$12:$AA$12+INDEX($AJ$13:$AR$162,BN4377,0)+INDEX($AT$13:$BB$162,BO4377,0)+INDEX($BD$13:$BL$162,BP4377,0))/100))&gt;=$D$10:$L$10)),0)</f>
        <v/>
      </c>
      <c r="BR4377">
        <f>IF(4364&lt;$U$9,SUMPRODUCT(($D$10:$L$10&lt;&gt;"")*(($D$10:$L$10-($D$9:$L$9+INT(($S$12:$AA$12+INDEX($AJ$13:$AR$162,BN4377,0)+INDEX($AT$13:$BB$162,BO4377,0)+INDEX($BD$13:$BL$162,BP4377,0))/100)))&gt;0)*($D$10:$L$10-($D$9:$L$9+INT(($S$12:$AA$12+INDEX($AJ$13:$AR$162,BN4377,0)+INDEX($AT$13:$BB$162,BO4377,0)+INDEX($BD$13:$BL$162,BP4377,0))/100)))),0)</f>
        <v/>
      </c>
      <c r="BS4377">
        <f>IF(4364&lt;$U$9,SUMPRODUCT(($D$9:$L$9+INT(($S$12:$AA$12+INDEX($AJ$13:$AR$162,BN4377,0)+INDEX($AT$13:$BB$162,BO4377,0)+INDEX($BD$13:$BL$162,BP4377,0))/100))),0)</f>
        <v/>
      </c>
      <c r="BT4377">
        <f>IF(AND(4364&lt;$U$9,$W$5),BQ4377*1000000-MIN(BR4377,999)*1000+BS4377-4364/100000,-1000000000-4364)</f>
        <v/>
      </c>
    </row>
    <row r="4378">
      <c r="BN4378">
        <f>IF(4365&lt;$U$9,INT(4365/($U$7*$U$8))+1,1)</f>
        <v/>
      </c>
      <c r="BO4378">
        <f>IF(4365&lt;$U$9,MOD(INT(4365/$U$8),$U$7)+1,1)</f>
        <v/>
      </c>
      <c r="BP4378">
        <f>IF(4365&lt;$U$9,MOD(4365,$U$8)+1,1)</f>
        <v/>
      </c>
      <c r="BQ4378">
        <f>IF(4365&lt;$U$9,SUMPRODUCT(($D$10:$L$10&lt;&gt;"")*(($D$9:$L$9+INT(($S$12:$AA$12+INDEX($AJ$13:$AR$162,BN4378,0)+INDEX($AT$13:$BB$162,BO4378,0)+INDEX($BD$13:$BL$162,BP4378,0))/100))&gt;=$D$10:$L$10)),0)</f>
        <v/>
      </c>
      <c r="BR4378">
        <f>IF(4365&lt;$U$9,SUMPRODUCT(($D$10:$L$10&lt;&gt;"")*(($D$10:$L$10-($D$9:$L$9+INT(($S$12:$AA$12+INDEX($AJ$13:$AR$162,BN4378,0)+INDEX($AT$13:$BB$162,BO4378,0)+INDEX($BD$13:$BL$162,BP4378,0))/100)))&gt;0)*($D$10:$L$10-($D$9:$L$9+INT(($S$12:$AA$12+INDEX($AJ$13:$AR$162,BN4378,0)+INDEX($AT$13:$BB$162,BO4378,0)+INDEX($BD$13:$BL$162,BP4378,0))/100)))),0)</f>
        <v/>
      </c>
      <c r="BS4378">
        <f>IF(4365&lt;$U$9,SUMPRODUCT(($D$9:$L$9+INT(($S$12:$AA$12+INDEX($AJ$13:$AR$162,BN4378,0)+INDEX($AT$13:$BB$162,BO4378,0)+INDEX($BD$13:$BL$162,BP4378,0))/100))),0)</f>
        <v/>
      </c>
      <c r="BT4378">
        <f>IF(AND(4365&lt;$U$9,$W$5),BQ4378*1000000-MIN(BR4378,999)*1000+BS4378-4365/100000,-1000000000-4365)</f>
        <v/>
      </c>
    </row>
    <row r="4379">
      <c r="BN4379">
        <f>IF(4366&lt;$U$9,INT(4366/($U$7*$U$8))+1,1)</f>
        <v/>
      </c>
      <c r="BO4379">
        <f>IF(4366&lt;$U$9,MOD(INT(4366/$U$8),$U$7)+1,1)</f>
        <v/>
      </c>
      <c r="BP4379">
        <f>IF(4366&lt;$U$9,MOD(4366,$U$8)+1,1)</f>
        <v/>
      </c>
      <c r="BQ4379">
        <f>IF(4366&lt;$U$9,SUMPRODUCT(($D$10:$L$10&lt;&gt;"")*(($D$9:$L$9+INT(($S$12:$AA$12+INDEX($AJ$13:$AR$162,BN4379,0)+INDEX($AT$13:$BB$162,BO4379,0)+INDEX($BD$13:$BL$162,BP4379,0))/100))&gt;=$D$10:$L$10)),0)</f>
        <v/>
      </c>
      <c r="BR4379">
        <f>IF(4366&lt;$U$9,SUMPRODUCT(($D$10:$L$10&lt;&gt;"")*(($D$10:$L$10-($D$9:$L$9+INT(($S$12:$AA$12+INDEX($AJ$13:$AR$162,BN4379,0)+INDEX($AT$13:$BB$162,BO4379,0)+INDEX($BD$13:$BL$162,BP4379,0))/100)))&gt;0)*($D$10:$L$10-($D$9:$L$9+INT(($S$12:$AA$12+INDEX($AJ$13:$AR$162,BN4379,0)+INDEX($AT$13:$BB$162,BO4379,0)+INDEX($BD$13:$BL$162,BP4379,0))/100)))),0)</f>
        <v/>
      </c>
      <c r="BS4379">
        <f>IF(4366&lt;$U$9,SUMPRODUCT(($D$9:$L$9+INT(($S$12:$AA$12+INDEX($AJ$13:$AR$162,BN4379,0)+INDEX($AT$13:$BB$162,BO4379,0)+INDEX($BD$13:$BL$162,BP4379,0))/100))),0)</f>
        <v/>
      </c>
      <c r="BT4379">
        <f>IF(AND(4366&lt;$U$9,$W$5),BQ4379*1000000-MIN(BR4379,999)*1000+BS4379-4366/100000,-1000000000-4366)</f>
        <v/>
      </c>
    </row>
    <row r="4380">
      <c r="BN4380">
        <f>IF(4367&lt;$U$9,INT(4367/($U$7*$U$8))+1,1)</f>
        <v/>
      </c>
      <c r="BO4380">
        <f>IF(4367&lt;$U$9,MOD(INT(4367/$U$8),$U$7)+1,1)</f>
        <v/>
      </c>
      <c r="BP4380">
        <f>IF(4367&lt;$U$9,MOD(4367,$U$8)+1,1)</f>
        <v/>
      </c>
      <c r="BQ4380">
        <f>IF(4367&lt;$U$9,SUMPRODUCT(($D$10:$L$10&lt;&gt;"")*(($D$9:$L$9+INT(($S$12:$AA$12+INDEX($AJ$13:$AR$162,BN4380,0)+INDEX($AT$13:$BB$162,BO4380,0)+INDEX($BD$13:$BL$162,BP4380,0))/100))&gt;=$D$10:$L$10)),0)</f>
        <v/>
      </c>
      <c r="BR4380">
        <f>IF(4367&lt;$U$9,SUMPRODUCT(($D$10:$L$10&lt;&gt;"")*(($D$10:$L$10-($D$9:$L$9+INT(($S$12:$AA$12+INDEX($AJ$13:$AR$162,BN4380,0)+INDEX($AT$13:$BB$162,BO4380,0)+INDEX($BD$13:$BL$162,BP4380,0))/100)))&gt;0)*($D$10:$L$10-($D$9:$L$9+INT(($S$12:$AA$12+INDEX($AJ$13:$AR$162,BN4380,0)+INDEX($AT$13:$BB$162,BO4380,0)+INDEX($BD$13:$BL$162,BP4380,0))/100)))),0)</f>
        <v/>
      </c>
      <c r="BS4380">
        <f>IF(4367&lt;$U$9,SUMPRODUCT(($D$9:$L$9+INT(($S$12:$AA$12+INDEX($AJ$13:$AR$162,BN4380,0)+INDEX($AT$13:$BB$162,BO4380,0)+INDEX($BD$13:$BL$162,BP4380,0))/100))),0)</f>
        <v/>
      </c>
      <c r="BT4380">
        <f>IF(AND(4367&lt;$U$9,$W$5),BQ4380*1000000-MIN(BR4380,999)*1000+BS4380-4367/100000,-1000000000-4367)</f>
        <v/>
      </c>
    </row>
    <row r="4381">
      <c r="BN4381">
        <f>IF(4368&lt;$U$9,INT(4368/($U$7*$U$8))+1,1)</f>
        <v/>
      </c>
      <c r="BO4381">
        <f>IF(4368&lt;$U$9,MOD(INT(4368/$U$8),$U$7)+1,1)</f>
        <v/>
      </c>
      <c r="BP4381">
        <f>IF(4368&lt;$U$9,MOD(4368,$U$8)+1,1)</f>
        <v/>
      </c>
      <c r="BQ4381">
        <f>IF(4368&lt;$U$9,SUMPRODUCT(($D$10:$L$10&lt;&gt;"")*(($D$9:$L$9+INT(($S$12:$AA$12+INDEX($AJ$13:$AR$162,BN4381,0)+INDEX($AT$13:$BB$162,BO4381,0)+INDEX($BD$13:$BL$162,BP4381,0))/100))&gt;=$D$10:$L$10)),0)</f>
        <v/>
      </c>
      <c r="BR4381">
        <f>IF(4368&lt;$U$9,SUMPRODUCT(($D$10:$L$10&lt;&gt;"")*(($D$10:$L$10-($D$9:$L$9+INT(($S$12:$AA$12+INDEX($AJ$13:$AR$162,BN4381,0)+INDEX($AT$13:$BB$162,BO4381,0)+INDEX($BD$13:$BL$162,BP4381,0))/100)))&gt;0)*($D$10:$L$10-($D$9:$L$9+INT(($S$12:$AA$12+INDEX($AJ$13:$AR$162,BN4381,0)+INDEX($AT$13:$BB$162,BO4381,0)+INDEX($BD$13:$BL$162,BP4381,0))/100)))),0)</f>
        <v/>
      </c>
      <c r="BS4381">
        <f>IF(4368&lt;$U$9,SUMPRODUCT(($D$9:$L$9+INT(($S$12:$AA$12+INDEX($AJ$13:$AR$162,BN4381,0)+INDEX($AT$13:$BB$162,BO4381,0)+INDEX($BD$13:$BL$162,BP4381,0))/100))),0)</f>
        <v/>
      </c>
      <c r="BT4381">
        <f>IF(AND(4368&lt;$U$9,$W$5),BQ4381*1000000-MIN(BR4381,999)*1000+BS4381-4368/100000,-1000000000-4368)</f>
        <v/>
      </c>
    </row>
    <row r="4382">
      <c r="BN4382">
        <f>IF(4369&lt;$U$9,INT(4369/($U$7*$U$8))+1,1)</f>
        <v/>
      </c>
      <c r="BO4382">
        <f>IF(4369&lt;$U$9,MOD(INT(4369/$U$8),$U$7)+1,1)</f>
        <v/>
      </c>
      <c r="BP4382">
        <f>IF(4369&lt;$U$9,MOD(4369,$U$8)+1,1)</f>
        <v/>
      </c>
      <c r="BQ4382">
        <f>IF(4369&lt;$U$9,SUMPRODUCT(($D$10:$L$10&lt;&gt;"")*(($D$9:$L$9+INT(($S$12:$AA$12+INDEX($AJ$13:$AR$162,BN4382,0)+INDEX($AT$13:$BB$162,BO4382,0)+INDEX($BD$13:$BL$162,BP4382,0))/100))&gt;=$D$10:$L$10)),0)</f>
        <v/>
      </c>
      <c r="BR4382">
        <f>IF(4369&lt;$U$9,SUMPRODUCT(($D$10:$L$10&lt;&gt;"")*(($D$10:$L$10-($D$9:$L$9+INT(($S$12:$AA$12+INDEX($AJ$13:$AR$162,BN4382,0)+INDEX($AT$13:$BB$162,BO4382,0)+INDEX($BD$13:$BL$162,BP4382,0))/100)))&gt;0)*($D$10:$L$10-($D$9:$L$9+INT(($S$12:$AA$12+INDEX($AJ$13:$AR$162,BN4382,0)+INDEX($AT$13:$BB$162,BO4382,0)+INDEX($BD$13:$BL$162,BP4382,0))/100)))),0)</f>
        <v/>
      </c>
      <c r="BS4382">
        <f>IF(4369&lt;$U$9,SUMPRODUCT(($D$9:$L$9+INT(($S$12:$AA$12+INDEX($AJ$13:$AR$162,BN4382,0)+INDEX($AT$13:$BB$162,BO4382,0)+INDEX($BD$13:$BL$162,BP4382,0))/100))),0)</f>
        <v/>
      </c>
      <c r="BT4382">
        <f>IF(AND(4369&lt;$U$9,$W$5),BQ4382*1000000-MIN(BR4382,999)*1000+BS4382-4369/100000,-1000000000-4369)</f>
        <v/>
      </c>
    </row>
    <row r="4383">
      <c r="BN4383">
        <f>IF(4370&lt;$U$9,INT(4370/($U$7*$U$8))+1,1)</f>
        <v/>
      </c>
      <c r="BO4383">
        <f>IF(4370&lt;$U$9,MOD(INT(4370/$U$8),$U$7)+1,1)</f>
        <v/>
      </c>
      <c r="BP4383">
        <f>IF(4370&lt;$U$9,MOD(4370,$U$8)+1,1)</f>
        <v/>
      </c>
      <c r="BQ4383">
        <f>IF(4370&lt;$U$9,SUMPRODUCT(($D$10:$L$10&lt;&gt;"")*(($D$9:$L$9+INT(($S$12:$AA$12+INDEX($AJ$13:$AR$162,BN4383,0)+INDEX($AT$13:$BB$162,BO4383,0)+INDEX($BD$13:$BL$162,BP4383,0))/100))&gt;=$D$10:$L$10)),0)</f>
        <v/>
      </c>
      <c r="BR4383">
        <f>IF(4370&lt;$U$9,SUMPRODUCT(($D$10:$L$10&lt;&gt;"")*(($D$10:$L$10-($D$9:$L$9+INT(($S$12:$AA$12+INDEX($AJ$13:$AR$162,BN4383,0)+INDEX($AT$13:$BB$162,BO4383,0)+INDEX($BD$13:$BL$162,BP4383,0))/100)))&gt;0)*($D$10:$L$10-($D$9:$L$9+INT(($S$12:$AA$12+INDEX($AJ$13:$AR$162,BN4383,0)+INDEX($AT$13:$BB$162,BO4383,0)+INDEX($BD$13:$BL$162,BP4383,0))/100)))),0)</f>
        <v/>
      </c>
      <c r="BS4383">
        <f>IF(4370&lt;$U$9,SUMPRODUCT(($D$9:$L$9+INT(($S$12:$AA$12+INDEX($AJ$13:$AR$162,BN4383,0)+INDEX($AT$13:$BB$162,BO4383,0)+INDEX($BD$13:$BL$162,BP4383,0))/100))),0)</f>
        <v/>
      </c>
      <c r="BT4383">
        <f>IF(AND(4370&lt;$U$9,$W$5),BQ4383*1000000-MIN(BR4383,999)*1000+BS4383-4370/100000,-1000000000-4370)</f>
        <v/>
      </c>
    </row>
    <row r="4384">
      <c r="BN4384">
        <f>IF(4371&lt;$U$9,INT(4371/($U$7*$U$8))+1,1)</f>
        <v/>
      </c>
      <c r="BO4384">
        <f>IF(4371&lt;$U$9,MOD(INT(4371/$U$8),$U$7)+1,1)</f>
        <v/>
      </c>
      <c r="BP4384">
        <f>IF(4371&lt;$U$9,MOD(4371,$U$8)+1,1)</f>
        <v/>
      </c>
      <c r="BQ4384">
        <f>IF(4371&lt;$U$9,SUMPRODUCT(($D$10:$L$10&lt;&gt;"")*(($D$9:$L$9+INT(($S$12:$AA$12+INDEX($AJ$13:$AR$162,BN4384,0)+INDEX($AT$13:$BB$162,BO4384,0)+INDEX($BD$13:$BL$162,BP4384,0))/100))&gt;=$D$10:$L$10)),0)</f>
        <v/>
      </c>
      <c r="BR4384">
        <f>IF(4371&lt;$U$9,SUMPRODUCT(($D$10:$L$10&lt;&gt;"")*(($D$10:$L$10-($D$9:$L$9+INT(($S$12:$AA$12+INDEX($AJ$13:$AR$162,BN4384,0)+INDEX($AT$13:$BB$162,BO4384,0)+INDEX($BD$13:$BL$162,BP4384,0))/100)))&gt;0)*($D$10:$L$10-($D$9:$L$9+INT(($S$12:$AA$12+INDEX($AJ$13:$AR$162,BN4384,0)+INDEX($AT$13:$BB$162,BO4384,0)+INDEX($BD$13:$BL$162,BP4384,0))/100)))),0)</f>
        <v/>
      </c>
      <c r="BS4384">
        <f>IF(4371&lt;$U$9,SUMPRODUCT(($D$9:$L$9+INT(($S$12:$AA$12+INDEX($AJ$13:$AR$162,BN4384,0)+INDEX($AT$13:$BB$162,BO4384,0)+INDEX($BD$13:$BL$162,BP4384,0))/100))),0)</f>
        <v/>
      </c>
      <c r="BT4384">
        <f>IF(AND(4371&lt;$U$9,$W$5),BQ4384*1000000-MIN(BR4384,999)*1000+BS4384-4371/100000,-1000000000-4371)</f>
        <v/>
      </c>
    </row>
    <row r="4385">
      <c r="BN4385">
        <f>IF(4372&lt;$U$9,INT(4372/($U$7*$U$8))+1,1)</f>
        <v/>
      </c>
      <c r="BO4385">
        <f>IF(4372&lt;$U$9,MOD(INT(4372/$U$8),$U$7)+1,1)</f>
        <v/>
      </c>
      <c r="BP4385">
        <f>IF(4372&lt;$U$9,MOD(4372,$U$8)+1,1)</f>
        <v/>
      </c>
      <c r="BQ4385">
        <f>IF(4372&lt;$U$9,SUMPRODUCT(($D$10:$L$10&lt;&gt;"")*(($D$9:$L$9+INT(($S$12:$AA$12+INDEX($AJ$13:$AR$162,BN4385,0)+INDEX($AT$13:$BB$162,BO4385,0)+INDEX($BD$13:$BL$162,BP4385,0))/100))&gt;=$D$10:$L$10)),0)</f>
        <v/>
      </c>
      <c r="BR4385">
        <f>IF(4372&lt;$U$9,SUMPRODUCT(($D$10:$L$10&lt;&gt;"")*(($D$10:$L$10-($D$9:$L$9+INT(($S$12:$AA$12+INDEX($AJ$13:$AR$162,BN4385,0)+INDEX($AT$13:$BB$162,BO4385,0)+INDEX($BD$13:$BL$162,BP4385,0))/100)))&gt;0)*($D$10:$L$10-($D$9:$L$9+INT(($S$12:$AA$12+INDEX($AJ$13:$AR$162,BN4385,0)+INDEX($AT$13:$BB$162,BO4385,0)+INDEX($BD$13:$BL$162,BP4385,0))/100)))),0)</f>
        <v/>
      </c>
      <c r="BS4385">
        <f>IF(4372&lt;$U$9,SUMPRODUCT(($D$9:$L$9+INT(($S$12:$AA$12+INDEX($AJ$13:$AR$162,BN4385,0)+INDEX($AT$13:$BB$162,BO4385,0)+INDEX($BD$13:$BL$162,BP4385,0))/100))),0)</f>
        <v/>
      </c>
      <c r="BT4385">
        <f>IF(AND(4372&lt;$U$9,$W$5),BQ4385*1000000-MIN(BR4385,999)*1000+BS4385-4372/100000,-1000000000-4372)</f>
        <v/>
      </c>
    </row>
    <row r="4386">
      <c r="BN4386">
        <f>IF(4373&lt;$U$9,INT(4373/($U$7*$U$8))+1,1)</f>
        <v/>
      </c>
      <c r="BO4386">
        <f>IF(4373&lt;$U$9,MOD(INT(4373/$U$8),$U$7)+1,1)</f>
        <v/>
      </c>
      <c r="BP4386">
        <f>IF(4373&lt;$U$9,MOD(4373,$U$8)+1,1)</f>
        <v/>
      </c>
      <c r="BQ4386">
        <f>IF(4373&lt;$U$9,SUMPRODUCT(($D$10:$L$10&lt;&gt;"")*(($D$9:$L$9+INT(($S$12:$AA$12+INDEX($AJ$13:$AR$162,BN4386,0)+INDEX($AT$13:$BB$162,BO4386,0)+INDEX($BD$13:$BL$162,BP4386,0))/100))&gt;=$D$10:$L$10)),0)</f>
        <v/>
      </c>
      <c r="BR4386">
        <f>IF(4373&lt;$U$9,SUMPRODUCT(($D$10:$L$10&lt;&gt;"")*(($D$10:$L$10-($D$9:$L$9+INT(($S$12:$AA$12+INDEX($AJ$13:$AR$162,BN4386,0)+INDEX($AT$13:$BB$162,BO4386,0)+INDEX($BD$13:$BL$162,BP4386,0))/100)))&gt;0)*($D$10:$L$10-($D$9:$L$9+INT(($S$12:$AA$12+INDEX($AJ$13:$AR$162,BN4386,0)+INDEX($AT$13:$BB$162,BO4386,0)+INDEX($BD$13:$BL$162,BP4386,0))/100)))),0)</f>
        <v/>
      </c>
      <c r="BS4386">
        <f>IF(4373&lt;$U$9,SUMPRODUCT(($D$9:$L$9+INT(($S$12:$AA$12+INDEX($AJ$13:$AR$162,BN4386,0)+INDEX($AT$13:$BB$162,BO4386,0)+INDEX($BD$13:$BL$162,BP4386,0))/100))),0)</f>
        <v/>
      </c>
      <c r="BT4386">
        <f>IF(AND(4373&lt;$U$9,$W$5),BQ4386*1000000-MIN(BR4386,999)*1000+BS4386-4373/100000,-1000000000-4373)</f>
        <v/>
      </c>
    </row>
    <row r="4387">
      <c r="BN4387">
        <f>IF(4374&lt;$U$9,INT(4374/($U$7*$U$8))+1,1)</f>
        <v/>
      </c>
      <c r="BO4387">
        <f>IF(4374&lt;$U$9,MOD(INT(4374/$U$8),$U$7)+1,1)</f>
        <v/>
      </c>
      <c r="BP4387">
        <f>IF(4374&lt;$U$9,MOD(4374,$U$8)+1,1)</f>
        <v/>
      </c>
      <c r="BQ4387">
        <f>IF(4374&lt;$U$9,SUMPRODUCT(($D$10:$L$10&lt;&gt;"")*(($D$9:$L$9+INT(($S$12:$AA$12+INDEX($AJ$13:$AR$162,BN4387,0)+INDEX($AT$13:$BB$162,BO4387,0)+INDEX($BD$13:$BL$162,BP4387,0))/100))&gt;=$D$10:$L$10)),0)</f>
        <v/>
      </c>
      <c r="BR4387">
        <f>IF(4374&lt;$U$9,SUMPRODUCT(($D$10:$L$10&lt;&gt;"")*(($D$10:$L$10-($D$9:$L$9+INT(($S$12:$AA$12+INDEX($AJ$13:$AR$162,BN4387,0)+INDEX($AT$13:$BB$162,BO4387,0)+INDEX($BD$13:$BL$162,BP4387,0))/100)))&gt;0)*($D$10:$L$10-($D$9:$L$9+INT(($S$12:$AA$12+INDEX($AJ$13:$AR$162,BN4387,0)+INDEX($AT$13:$BB$162,BO4387,0)+INDEX($BD$13:$BL$162,BP4387,0))/100)))),0)</f>
        <v/>
      </c>
      <c r="BS4387">
        <f>IF(4374&lt;$U$9,SUMPRODUCT(($D$9:$L$9+INT(($S$12:$AA$12+INDEX($AJ$13:$AR$162,BN4387,0)+INDEX($AT$13:$BB$162,BO4387,0)+INDEX($BD$13:$BL$162,BP4387,0))/100))),0)</f>
        <v/>
      </c>
      <c r="BT4387">
        <f>IF(AND(4374&lt;$U$9,$W$5),BQ4387*1000000-MIN(BR4387,999)*1000+BS4387-4374/100000,-1000000000-4374)</f>
        <v/>
      </c>
    </row>
    <row r="4388">
      <c r="BN4388">
        <f>IF(4375&lt;$U$9,INT(4375/($U$7*$U$8))+1,1)</f>
        <v/>
      </c>
      <c r="BO4388">
        <f>IF(4375&lt;$U$9,MOD(INT(4375/$U$8),$U$7)+1,1)</f>
        <v/>
      </c>
      <c r="BP4388">
        <f>IF(4375&lt;$U$9,MOD(4375,$U$8)+1,1)</f>
        <v/>
      </c>
      <c r="BQ4388">
        <f>IF(4375&lt;$U$9,SUMPRODUCT(($D$10:$L$10&lt;&gt;"")*(($D$9:$L$9+INT(($S$12:$AA$12+INDEX($AJ$13:$AR$162,BN4388,0)+INDEX($AT$13:$BB$162,BO4388,0)+INDEX($BD$13:$BL$162,BP4388,0))/100))&gt;=$D$10:$L$10)),0)</f>
        <v/>
      </c>
      <c r="BR4388">
        <f>IF(4375&lt;$U$9,SUMPRODUCT(($D$10:$L$10&lt;&gt;"")*(($D$10:$L$10-($D$9:$L$9+INT(($S$12:$AA$12+INDEX($AJ$13:$AR$162,BN4388,0)+INDEX($AT$13:$BB$162,BO4388,0)+INDEX($BD$13:$BL$162,BP4388,0))/100)))&gt;0)*($D$10:$L$10-($D$9:$L$9+INT(($S$12:$AA$12+INDEX($AJ$13:$AR$162,BN4388,0)+INDEX($AT$13:$BB$162,BO4388,0)+INDEX($BD$13:$BL$162,BP4388,0))/100)))),0)</f>
        <v/>
      </c>
      <c r="BS4388">
        <f>IF(4375&lt;$U$9,SUMPRODUCT(($D$9:$L$9+INT(($S$12:$AA$12+INDEX($AJ$13:$AR$162,BN4388,0)+INDEX($AT$13:$BB$162,BO4388,0)+INDEX($BD$13:$BL$162,BP4388,0))/100))),0)</f>
        <v/>
      </c>
      <c r="BT4388">
        <f>IF(AND(4375&lt;$U$9,$W$5),BQ4388*1000000-MIN(BR4388,999)*1000+BS4388-4375/100000,-1000000000-4375)</f>
        <v/>
      </c>
    </row>
    <row r="4389">
      <c r="BN4389">
        <f>IF(4376&lt;$U$9,INT(4376/($U$7*$U$8))+1,1)</f>
        <v/>
      </c>
      <c r="BO4389">
        <f>IF(4376&lt;$U$9,MOD(INT(4376/$U$8),$U$7)+1,1)</f>
        <v/>
      </c>
      <c r="BP4389">
        <f>IF(4376&lt;$U$9,MOD(4376,$U$8)+1,1)</f>
        <v/>
      </c>
      <c r="BQ4389">
        <f>IF(4376&lt;$U$9,SUMPRODUCT(($D$10:$L$10&lt;&gt;"")*(($D$9:$L$9+INT(($S$12:$AA$12+INDEX($AJ$13:$AR$162,BN4389,0)+INDEX($AT$13:$BB$162,BO4389,0)+INDEX($BD$13:$BL$162,BP4389,0))/100))&gt;=$D$10:$L$10)),0)</f>
        <v/>
      </c>
      <c r="BR4389">
        <f>IF(4376&lt;$U$9,SUMPRODUCT(($D$10:$L$10&lt;&gt;"")*(($D$10:$L$10-($D$9:$L$9+INT(($S$12:$AA$12+INDEX($AJ$13:$AR$162,BN4389,0)+INDEX($AT$13:$BB$162,BO4389,0)+INDEX($BD$13:$BL$162,BP4389,0))/100)))&gt;0)*($D$10:$L$10-($D$9:$L$9+INT(($S$12:$AA$12+INDEX($AJ$13:$AR$162,BN4389,0)+INDEX($AT$13:$BB$162,BO4389,0)+INDEX($BD$13:$BL$162,BP4389,0))/100)))),0)</f>
        <v/>
      </c>
      <c r="BS4389">
        <f>IF(4376&lt;$U$9,SUMPRODUCT(($D$9:$L$9+INT(($S$12:$AA$12+INDEX($AJ$13:$AR$162,BN4389,0)+INDEX($AT$13:$BB$162,BO4389,0)+INDEX($BD$13:$BL$162,BP4389,0))/100))),0)</f>
        <v/>
      </c>
      <c r="BT4389">
        <f>IF(AND(4376&lt;$U$9,$W$5),BQ4389*1000000-MIN(BR4389,999)*1000+BS4389-4376/100000,-1000000000-4376)</f>
        <v/>
      </c>
    </row>
    <row r="4390">
      <c r="BN4390">
        <f>IF(4377&lt;$U$9,INT(4377/($U$7*$U$8))+1,1)</f>
        <v/>
      </c>
      <c r="BO4390">
        <f>IF(4377&lt;$U$9,MOD(INT(4377/$U$8),$U$7)+1,1)</f>
        <v/>
      </c>
      <c r="BP4390">
        <f>IF(4377&lt;$U$9,MOD(4377,$U$8)+1,1)</f>
        <v/>
      </c>
      <c r="BQ4390">
        <f>IF(4377&lt;$U$9,SUMPRODUCT(($D$10:$L$10&lt;&gt;"")*(($D$9:$L$9+INT(($S$12:$AA$12+INDEX($AJ$13:$AR$162,BN4390,0)+INDEX($AT$13:$BB$162,BO4390,0)+INDEX($BD$13:$BL$162,BP4390,0))/100))&gt;=$D$10:$L$10)),0)</f>
        <v/>
      </c>
      <c r="BR4390">
        <f>IF(4377&lt;$U$9,SUMPRODUCT(($D$10:$L$10&lt;&gt;"")*(($D$10:$L$10-($D$9:$L$9+INT(($S$12:$AA$12+INDEX($AJ$13:$AR$162,BN4390,0)+INDEX($AT$13:$BB$162,BO4390,0)+INDEX($BD$13:$BL$162,BP4390,0))/100)))&gt;0)*($D$10:$L$10-($D$9:$L$9+INT(($S$12:$AA$12+INDEX($AJ$13:$AR$162,BN4390,0)+INDEX($AT$13:$BB$162,BO4390,0)+INDEX($BD$13:$BL$162,BP4390,0))/100)))),0)</f>
        <v/>
      </c>
      <c r="BS4390">
        <f>IF(4377&lt;$U$9,SUMPRODUCT(($D$9:$L$9+INT(($S$12:$AA$12+INDEX($AJ$13:$AR$162,BN4390,0)+INDEX($AT$13:$BB$162,BO4390,0)+INDEX($BD$13:$BL$162,BP4390,0))/100))),0)</f>
        <v/>
      </c>
      <c r="BT4390">
        <f>IF(AND(4377&lt;$U$9,$W$5),BQ4390*1000000-MIN(BR4390,999)*1000+BS4390-4377/100000,-1000000000-4377)</f>
        <v/>
      </c>
    </row>
    <row r="4391">
      <c r="BN4391">
        <f>IF(4378&lt;$U$9,INT(4378/($U$7*$U$8))+1,1)</f>
        <v/>
      </c>
      <c r="BO4391">
        <f>IF(4378&lt;$U$9,MOD(INT(4378/$U$8),$U$7)+1,1)</f>
        <v/>
      </c>
      <c r="BP4391">
        <f>IF(4378&lt;$U$9,MOD(4378,$U$8)+1,1)</f>
        <v/>
      </c>
      <c r="BQ4391">
        <f>IF(4378&lt;$U$9,SUMPRODUCT(($D$10:$L$10&lt;&gt;"")*(($D$9:$L$9+INT(($S$12:$AA$12+INDEX($AJ$13:$AR$162,BN4391,0)+INDEX($AT$13:$BB$162,BO4391,0)+INDEX($BD$13:$BL$162,BP4391,0))/100))&gt;=$D$10:$L$10)),0)</f>
        <v/>
      </c>
      <c r="BR4391">
        <f>IF(4378&lt;$U$9,SUMPRODUCT(($D$10:$L$10&lt;&gt;"")*(($D$10:$L$10-($D$9:$L$9+INT(($S$12:$AA$12+INDEX($AJ$13:$AR$162,BN4391,0)+INDEX($AT$13:$BB$162,BO4391,0)+INDEX($BD$13:$BL$162,BP4391,0))/100)))&gt;0)*($D$10:$L$10-($D$9:$L$9+INT(($S$12:$AA$12+INDEX($AJ$13:$AR$162,BN4391,0)+INDEX($AT$13:$BB$162,BO4391,0)+INDEX($BD$13:$BL$162,BP4391,0))/100)))),0)</f>
        <v/>
      </c>
      <c r="BS4391">
        <f>IF(4378&lt;$U$9,SUMPRODUCT(($D$9:$L$9+INT(($S$12:$AA$12+INDEX($AJ$13:$AR$162,BN4391,0)+INDEX($AT$13:$BB$162,BO4391,0)+INDEX($BD$13:$BL$162,BP4391,0))/100))),0)</f>
        <v/>
      </c>
      <c r="BT4391">
        <f>IF(AND(4378&lt;$U$9,$W$5),BQ4391*1000000-MIN(BR4391,999)*1000+BS4391-4378/100000,-1000000000-4378)</f>
        <v/>
      </c>
    </row>
    <row r="4392">
      <c r="BN4392">
        <f>IF(4379&lt;$U$9,INT(4379/($U$7*$U$8))+1,1)</f>
        <v/>
      </c>
      <c r="BO4392">
        <f>IF(4379&lt;$U$9,MOD(INT(4379/$U$8),$U$7)+1,1)</f>
        <v/>
      </c>
      <c r="BP4392">
        <f>IF(4379&lt;$U$9,MOD(4379,$U$8)+1,1)</f>
        <v/>
      </c>
      <c r="BQ4392">
        <f>IF(4379&lt;$U$9,SUMPRODUCT(($D$10:$L$10&lt;&gt;"")*(($D$9:$L$9+INT(($S$12:$AA$12+INDEX($AJ$13:$AR$162,BN4392,0)+INDEX($AT$13:$BB$162,BO4392,0)+INDEX($BD$13:$BL$162,BP4392,0))/100))&gt;=$D$10:$L$10)),0)</f>
        <v/>
      </c>
      <c r="BR4392">
        <f>IF(4379&lt;$U$9,SUMPRODUCT(($D$10:$L$10&lt;&gt;"")*(($D$10:$L$10-($D$9:$L$9+INT(($S$12:$AA$12+INDEX($AJ$13:$AR$162,BN4392,0)+INDEX($AT$13:$BB$162,BO4392,0)+INDEX($BD$13:$BL$162,BP4392,0))/100)))&gt;0)*($D$10:$L$10-($D$9:$L$9+INT(($S$12:$AA$12+INDEX($AJ$13:$AR$162,BN4392,0)+INDEX($AT$13:$BB$162,BO4392,0)+INDEX($BD$13:$BL$162,BP4392,0))/100)))),0)</f>
        <v/>
      </c>
      <c r="BS4392">
        <f>IF(4379&lt;$U$9,SUMPRODUCT(($D$9:$L$9+INT(($S$12:$AA$12+INDEX($AJ$13:$AR$162,BN4392,0)+INDEX($AT$13:$BB$162,BO4392,0)+INDEX($BD$13:$BL$162,BP4392,0))/100))),0)</f>
        <v/>
      </c>
      <c r="BT4392">
        <f>IF(AND(4379&lt;$U$9,$W$5),BQ4392*1000000-MIN(BR4392,999)*1000+BS4392-4379/100000,-1000000000-4379)</f>
        <v/>
      </c>
    </row>
    <row r="4393">
      <c r="BN4393">
        <f>IF(4380&lt;$U$9,INT(4380/($U$7*$U$8))+1,1)</f>
        <v/>
      </c>
      <c r="BO4393">
        <f>IF(4380&lt;$U$9,MOD(INT(4380/$U$8),$U$7)+1,1)</f>
        <v/>
      </c>
      <c r="BP4393">
        <f>IF(4380&lt;$U$9,MOD(4380,$U$8)+1,1)</f>
        <v/>
      </c>
      <c r="BQ4393">
        <f>IF(4380&lt;$U$9,SUMPRODUCT(($D$10:$L$10&lt;&gt;"")*(($D$9:$L$9+INT(($S$12:$AA$12+INDEX($AJ$13:$AR$162,BN4393,0)+INDEX($AT$13:$BB$162,BO4393,0)+INDEX($BD$13:$BL$162,BP4393,0))/100))&gt;=$D$10:$L$10)),0)</f>
        <v/>
      </c>
      <c r="BR4393">
        <f>IF(4380&lt;$U$9,SUMPRODUCT(($D$10:$L$10&lt;&gt;"")*(($D$10:$L$10-($D$9:$L$9+INT(($S$12:$AA$12+INDEX($AJ$13:$AR$162,BN4393,0)+INDEX($AT$13:$BB$162,BO4393,0)+INDEX($BD$13:$BL$162,BP4393,0))/100)))&gt;0)*($D$10:$L$10-($D$9:$L$9+INT(($S$12:$AA$12+INDEX($AJ$13:$AR$162,BN4393,0)+INDEX($AT$13:$BB$162,BO4393,0)+INDEX($BD$13:$BL$162,BP4393,0))/100)))),0)</f>
        <v/>
      </c>
      <c r="BS4393">
        <f>IF(4380&lt;$U$9,SUMPRODUCT(($D$9:$L$9+INT(($S$12:$AA$12+INDEX($AJ$13:$AR$162,BN4393,0)+INDEX($AT$13:$BB$162,BO4393,0)+INDEX($BD$13:$BL$162,BP4393,0))/100))),0)</f>
        <v/>
      </c>
      <c r="BT4393">
        <f>IF(AND(4380&lt;$U$9,$W$5),BQ4393*1000000-MIN(BR4393,999)*1000+BS4393-4380/100000,-1000000000-4380)</f>
        <v/>
      </c>
    </row>
    <row r="4394">
      <c r="BN4394">
        <f>IF(4381&lt;$U$9,INT(4381/($U$7*$U$8))+1,1)</f>
        <v/>
      </c>
      <c r="BO4394">
        <f>IF(4381&lt;$U$9,MOD(INT(4381/$U$8),$U$7)+1,1)</f>
        <v/>
      </c>
      <c r="BP4394">
        <f>IF(4381&lt;$U$9,MOD(4381,$U$8)+1,1)</f>
        <v/>
      </c>
      <c r="BQ4394">
        <f>IF(4381&lt;$U$9,SUMPRODUCT(($D$10:$L$10&lt;&gt;"")*(($D$9:$L$9+INT(($S$12:$AA$12+INDEX($AJ$13:$AR$162,BN4394,0)+INDEX($AT$13:$BB$162,BO4394,0)+INDEX($BD$13:$BL$162,BP4394,0))/100))&gt;=$D$10:$L$10)),0)</f>
        <v/>
      </c>
      <c r="BR4394">
        <f>IF(4381&lt;$U$9,SUMPRODUCT(($D$10:$L$10&lt;&gt;"")*(($D$10:$L$10-($D$9:$L$9+INT(($S$12:$AA$12+INDEX($AJ$13:$AR$162,BN4394,0)+INDEX($AT$13:$BB$162,BO4394,0)+INDEX($BD$13:$BL$162,BP4394,0))/100)))&gt;0)*($D$10:$L$10-($D$9:$L$9+INT(($S$12:$AA$12+INDEX($AJ$13:$AR$162,BN4394,0)+INDEX($AT$13:$BB$162,BO4394,0)+INDEX($BD$13:$BL$162,BP4394,0))/100)))),0)</f>
        <v/>
      </c>
      <c r="BS4394">
        <f>IF(4381&lt;$U$9,SUMPRODUCT(($D$9:$L$9+INT(($S$12:$AA$12+INDEX($AJ$13:$AR$162,BN4394,0)+INDEX($AT$13:$BB$162,BO4394,0)+INDEX($BD$13:$BL$162,BP4394,0))/100))),0)</f>
        <v/>
      </c>
      <c r="BT4394">
        <f>IF(AND(4381&lt;$U$9,$W$5),BQ4394*1000000-MIN(BR4394,999)*1000+BS4394-4381/100000,-1000000000-4381)</f>
        <v/>
      </c>
    </row>
    <row r="4395">
      <c r="BN4395">
        <f>IF(4382&lt;$U$9,INT(4382/($U$7*$U$8))+1,1)</f>
        <v/>
      </c>
      <c r="BO4395">
        <f>IF(4382&lt;$U$9,MOD(INT(4382/$U$8),$U$7)+1,1)</f>
        <v/>
      </c>
      <c r="BP4395">
        <f>IF(4382&lt;$U$9,MOD(4382,$U$8)+1,1)</f>
        <v/>
      </c>
      <c r="BQ4395">
        <f>IF(4382&lt;$U$9,SUMPRODUCT(($D$10:$L$10&lt;&gt;"")*(($D$9:$L$9+INT(($S$12:$AA$12+INDEX($AJ$13:$AR$162,BN4395,0)+INDEX($AT$13:$BB$162,BO4395,0)+INDEX($BD$13:$BL$162,BP4395,0))/100))&gt;=$D$10:$L$10)),0)</f>
        <v/>
      </c>
      <c r="BR4395">
        <f>IF(4382&lt;$U$9,SUMPRODUCT(($D$10:$L$10&lt;&gt;"")*(($D$10:$L$10-($D$9:$L$9+INT(($S$12:$AA$12+INDEX($AJ$13:$AR$162,BN4395,0)+INDEX($AT$13:$BB$162,BO4395,0)+INDEX($BD$13:$BL$162,BP4395,0))/100)))&gt;0)*($D$10:$L$10-($D$9:$L$9+INT(($S$12:$AA$12+INDEX($AJ$13:$AR$162,BN4395,0)+INDEX($AT$13:$BB$162,BO4395,0)+INDEX($BD$13:$BL$162,BP4395,0))/100)))),0)</f>
        <v/>
      </c>
      <c r="BS4395">
        <f>IF(4382&lt;$U$9,SUMPRODUCT(($D$9:$L$9+INT(($S$12:$AA$12+INDEX($AJ$13:$AR$162,BN4395,0)+INDEX($AT$13:$BB$162,BO4395,0)+INDEX($BD$13:$BL$162,BP4395,0))/100))),0)</f>
        <v/>
      </c>
      <c r="BT4395">
        <f>IF(AND(4382&lt;$U$9,$W$5),BQ4395*1000000-MIN(BR4395,999)*1000+BS4395-4382/100000,-1000000000-4382)</f>
        <v/>
      </c>
    </row>
    <row r="4396">
      <c r="BN4396">
        <f>IF(4383&lt;$U$9,INT(4383/($U$7*$U$8))+1,1)</f>
        <v/>
      </c>
      <c r="BO4396">
        <f>IF(4383&lt;$U$9,MOD(INT(4383/$U$8),$U$7)+1,1)</f>
        <v/>
      </c>
      <c r="BP4396">
        <f>IF(4383&lt;$U$9,MOD(4383,$U$8)+1,1)</f>
        <v/>
      </c>
      <c r="BQ4396">
        <f>IF(4383&lt;$U$9,SUMPRODUCT(($D$10:$L$10&lt;&gt;"")*(($D$9:$L$9+INT(($S$12:$AA$12+INDEX($AJ$13:$AR$162,BN4396,0)+INDEX($AT$13:$BB$162,BO4396,0)+INDEX($BD$13:$BL$162,BP4396,0))/100))&gt;=$D$10:$L$10)),0)</f>
        <v/>
      </c>
      <c r="BR4396">
        <f>IF(4383&lt;$U$9,SUMPRODUCT(($D$10:$L$10&lt;&gt;"")*(($D$10:$L$10-($D$9:$L$9+INT(($S$12:$AA$12+INDEX($AJ$13:$AR$162,BN4396,0)+INDEX($AT$13:$BB$162,BO4396,0)+INDEX($BD$13:$BL$162,BP4396,0))/100)))&gt;0)*($D$10:$L$10-($D$9:$L$9+INT(($S$12:$AA$12+INDEX($AJ$13:$AR$162,BN4396,0)+INDEX($AT$13:$BB$162,BO4396,0)+INDEX($BD$13:$BL$162,BP4396,0))/100)))),0)</f>
        <v/>
      </c>
      <c r="BS4396">
        <f>IF(4383&lt;$U$9,SUMPRODUCT(($D$9:$L$9+INT(($S$12:$AA$12+INDEX($AJ$13:$AR$162,BN4396,0)+INDEX($AT$13:$BB$162,BO4396,0)+INDEX($BD$13:$BL$162,BP4396,0))/100))),0)</f>
        <v/>
      </c>
      <c r="BT4396">
        <f>IF(AND(4383&lt;$U$9,$W$5),BQ4396*1000000-MIN(BR4396,999)*1000+BS4396-4383/100000,-1000000000-4383)</f>
        <v/>
      </c>
    </row>
    <row r="4397">
      <c r="BN4397">
        <f>IF(4384&lt;$U$9,INT(4384/($U$7*$U$8))+1,1)</f>
        <v/>
      </c>
      <c r="BO4397">
        <f>IF(4384&lt;$U$9,MOD(INT(4384/$U$8),$U$7)+1,1)</f>
        <v/>
      </c>
      <c r="BP4397">
        <f>IF(4384&lt;$U$9,MOD(4384,$U$8)+1,1)</f>
        <v/>
      </c>
      <c r="BQ4397">
        <f>IF(4384&lt;$U$9,SUMPRODUCT(($D$10:$L$10&lt;&gt;"")*(($D$9:$L$9+INT(($S$12:$AA$12+INDEX($AJ$13:$AR$162,BN4397,0)+INDEX($AT$13:$BB$162,BO4397,0)+INDEX($BD$13:$BL$162,BP4397,0))/100))&gt;=$D$10:$L$10)),0)</f>
        <v/>
      </c>
      <c r="BR4397">
        <f>IF(4384&lt;$U$9,SUMPRODUCT(($D$10:$L$10&lt;&gt;"")*(($D$10:$L$10-($D$9:$L$9+INT(($S$12:$AA$12+INDEX($AJ$13:$AR$162,BN4397,0)+INDEX($AT$13:$BB$162,BO4397,0)+INDEX($BD$13:$BL$162,BP4397,0))/100)))&gt;0)*($D$10:$L$10-($D$9:$L$9+INT(($S$12:$AA$12+INDEX($AJ$13:$AR$162,BN4397,0)+INDEX($AT$13:$BB$162,BO4397,0)+INDEX($BD$13:$BL$162,BP4397,0))/100)))),0)</f>
        <v/>
      </c>
      <c r="BS4397">
        <f>IF(4384&lt;$U$9,SUMPRODUCT(($D$9:$L$9+INT(($S$12:$AA$12+INDEX($AJ$13:$AR$162,BN4397,0)+INDEX($AT$13:$BB$162,BO4397,0)+INDEX($BD$13:$BL$162,BP4397,0))/100))),0)</f>
        <v/>
      </c>
      <c r="BT4397">
        <f>IF(AND(4384&lt;$U$9,$W$5),BQ4397*1000000-MIN(BR4397,999)*1000+BS4397-4384/100000,-1000000000-4384)</f>
        <v/>
      </c>
    </row>
    <row r="4398">
      <c r="BN4398">
        <f>IF(4385&lt;$U$9,INT(4385/($U$7*$U$8))+1,1)</f>
        <v/>
      </c>
      <c r="BO4398">
        <f>IF(4385&lt;$U$9,MOD(INT(4385/$U$8),$U$7)+1,1)</f>
        <v/>
      </c>
      <c r="BP4398">
        <f>IF(4385&lt;$U$9,MOD(4385,$U$8)+1,1)</f>
        <v/>
      </c>
      <c r="BQ4398">
        <f>IF(4385&lt;$U$9,SUMPRODUCT(($D$10:$L$10&lt;&gt;"")*(($D$9:$L$9+INT(($S$12:$AA$12+INDEX($AJ$13:$AR$162,BN4398,0)+INDEX($AT$13:$BB$162,BO4398,0)+INDEX($BD$13:$BL$162,BP4398,0))/100))&gt;=$D$10:$L$10)),0)</f>
        <v/>
      </c>
      <c r="BR4398">
        <f>IF(4385&lt;$U$9,SUMPRODUCT(($D$10:$L$10&lt;&gt;"")*(($D$10:$L$10-($D$9:$L$9+INT(($S$12:$AA$12+INDEX($AJ$13:$AR$162,BN4398,0)+INDEX($AT$13:$BB$162,BO4398,0)+INDEX($BD$13:$BL$162,BP4398,0))/100)))&gt;0)*($D$10:$L$10-($D$9:$L$9+INT(($S$12:$AA$12+INDEX($AJ$13:$AR$162,BN4398,0)+INDEX($AT$13:$BB$162,BO4398,0)+INDEX($BD$13:$BL$162,BP4398,0))/100)))),0)</f>
        <v/>
      </c>
      <c r="BS4398">
        <f>IF(4385&lt;$U$9,SUMPRODUCT(($D$9:$L$9+INT(($S$12:$AA$12+INDEX($AJ$13:$AR$162,BN4398,0)+INDEX($AT$13:$BB$162,BO4398,0)+INDEX($BD$13:$BL$162,BP4398,0))/100))),0)</f>
        <v/>
      </c>
      <c r="BT4398">
        <f>IF(AND(4385&lt;$U$9,$W$5),BQ4398*1000000-MIN(BR4398,999)*1000+BS4398-4385/100000,-1000000000-4385)</f>
        <v/>
      </c>
    </row>
    <row r="4399">
      <c r="BN4399">
        <f>IF(4386&lt;$U$9,INT(4386/($U$7*$U$8))+1,1)</f>
        <v/>
      </c>
      <c r="BO4399">
        <f>IF(4386&lt;$U$9,MOD(INT(4386/$U$8),$U$7)+1,1)</f>
        <v/>
      </c>
      <c r="BP4399">
        <f>IF(4386&lt;$U$9,MOD(4386,$U$8)+1,1)</f>
        <v/>
      </c>
      <c r="BQ4399">
        <f>IF(4386&lt;$U$9,SUMPRODUCT(($D$10:$L$10&lt;&gt;"")*(($D$9:$L$9+INT(($S$12:$AA$12+INDEX($AJ$13:$AR$162,BN4399,0)+INDEX($AT$13:$BB$162,BO4399,0)+INDEX($BD$13:$BL$162,BP4399,0))/100))&gt;=$D$10:$L$10)),0)</f>
        <v/>
      </c>
      <c r="BR4399">
        <f>IF(4386&lt;$U$9,SUMPRODUCT(($D$10:$L$10&lt;&gt;"")*(($D$10:$L$10-($D$9:$L$9+INT(($S$12:$AA$12+INDEX($AJ$13:$AR$162,BN4399,0)+INDEX($AT$13:$BB$162,BO4399,0)+INDEX($BD$13:$BL$162,BP4399,0))/100)))&gt;0)*($D$10:$L$10-($D$9:$L$9+INT(($S$12:$AA$12+INDEX($AJ$13:$AR$162,BN4399,0)+INDEX($AT$13:$BB$162,BO4399,0)+INDEX($BD$13:$BL$162,BP4399,0))/100)))),0)</f>
        <v/>
      </c>
      <c r="BS4399">
        <f>IF(4386&lt;$U$9,SUMPRODUCT(($D$9:$L$9+INT(($S$12:$AA$12+INDEX($AJ$13:$AR$162,BN4399,0)+INDEX($AT$13:$BB$162,BO4399,0)+INDEX($BD$13:$BL$162,BP4399,0))/100))),0)</f>
        <v/>
      </c>
      <c r="BT4399">
        <f>IF(AND(4386&lt;$U$9,$W$5),BQ4399*1000000-MIN(BR4399,999)*1000+BS4399-4386/100000,-1000000000-4386)</f>
        <v/>
      </c>
    </row>
    <row r="4400">
      <c r="BN4400">
        <f>IF(4387&lt;$U$9,INT(4387/($U$7*$U$8))+1,1)</f>
        <v/>
      </c>
      <c r="BO4400">
        <f>IF(4387&lt;$U$9,MOD(INT(4387/$U$8),$U$7)+1,1)</f>
        <v/>
      </c>
      <c r="BP4400">
        <f>IF(4387&lt;$U$9,MOD(4387,$U$8)+1,1)</f>
        <v/>
      </c>
      <c r="BQ4400">
        <f>IF(4387&lt;$U$9,SUMPRODUCT(($D$10:$L$10&lt;&gt;"")*(($D$9:$L$9+INT(($S$12:$AA$12+INDEX($AJ$13:$AR$162,BN4400,0)+INDEX($AT$13:$BB$162,BO4400,0)+INDEX($BD$13:$BL$162,BP4400,0))/100))&gt;=$D$10:$L$10)),0)</f>
        <v/>
      </c>
      <c r="BR4400">
        <f>IF(4387&lt;$U$9,SUMPRODUCT(($D$10:$L$10&lt;&gt;"")*(($D$10:$L$10-($D$9:$L$9+INT(($S$12:$AA$12+INDEX($AJ$13:$AR$162,BN4400,0)+INDEX($AT$13:$BB$162,BO4400,0)+INDEX($BD$13:$BL$162,BP4400,0))/100)))&gt;0)*($D$10:$L$10-($D$9:$L$9+INT(($S$12:$AA$12+INDEX($AJ$13:$AR$162,BN4400,0)+INDEX($AT$13:$BB$162,BO4400,0)+INDEX($BD$13:$BL$162,BP4400,0))/100)))),0)</f>
        <v/>
      </c>
      <c r="BS4400">
        <f>IF(4387&lt;$U$9,SUMPRODUCT(($D$9:$L$9+INT(($S$12:$AA$12+INDEX($AJ$13:$AR$162,BN4400,0)+INDEX($AT$13:$BB$162,BO4400,0)+INDEX($BD$13:$BL$162,BP4400,0))/100))),0)</f>
        <v/>
      </c>
      <c r="BT4400">
        <f>IF(AND(4387&lt;$U$9,$W$5),BQ4400*1000000-MIN(BR4400,999)*1000+BS4400-4387/100000,-1000000000-4387)</f>
        <v/>
      </c>
    </row>
    <row r="4401">
      <c r="BN4401">
        <f>IF(4388&lt;$U$9,INT(4388/($U$7*$U$8))+1,1)</f>
        <v/>
      </c>
      <c r="BO4401">
        <f>IF(4388&lt;$U$9,MOD(INT(4388/$U$8),$U$7)+1,1)</f>
        <v/>
      </c>
      <c r="BP4401">
        <f>IF(4388&lt;$U$9,MOD(4388,$U$8)+1,1)</f>
        <v/>
      </c>
      <c r="BQ4401">
        <f>IF(4388&lt;$U$9,SUMPRODUCT(($D$10:$L$10&lt;&gt;"")*(($D$9:$L$9+INT(($S$12:$AA$12+INDEX($AJ$13:$AR$162,BN4401,0)+INDEX($AT$13:$BB$162,BO4401,0)+INDEX($BD$13:$BL$162,BP4401,0))/100))&gt;=$D$10:$L$10)),0)</f>
        <v/>
      </c>
      <c r="BR4401">
        <f>IF(4388&lt;$U$9,SUMPRODUCT(($D$10:$L$10&lt;&gt;"")*(($D$10:$L$10-($D$9:$L$9+INT(($S$12:$AA$12+INDEX($AJ$13:$AR$162,BN4401,0)+INDEX($AT$13:$BB$162,BO4401,0)+INDEX($BD$13:$BL$162,BP4401,0))/100)))&gt;0)*($D$10:$L$10-($D$9:$L$9+INT(($S$12:$AA$12+INDEX($AJ$13:$AR$162,BN4401,0)+INDEX($AT$13:$BB$162,BO4401,0)+INDEX($BD$13:$BL$162,BP4401,0))/100)))),0)</f>
        <v/>
      </c>
      <c r="BS4401">
        <f>IF(4388&lt;$U$9,SUMPRODUCT(($D$9:$L$9+INT(($S$12:$AA$12+INDEX($AJ$13:$AR$162,BN4401,0)+INDEX($AT$13:$BB$162,BO4401,0)+INDEX($BD$13:$BL$162,BP4401,0))/100))),0)</f>
        <v/>
      </c>
      <c r="BT4401">
        <f>IF(AND(4388&lt;$U$9,$W$5),BQ4401*1000000-MIN(BR4401,999)*1000+BS4401-4388/100000,-1000000000-4388)</f>
        <v/>
      </c>
    </row>
    <row r="4402">
      <c r="BN4402">
        <f>IF(4389&lt;$U$9,INT(4389/($U$7*$U$8))+1,1)</f>
        <v/>
      </c>
      <c r="BO4402">
        <f>IF(4389&lt;$U$9,MOD(INT(4389/$U$8),$U$7)+1,1)</f>
        <v/>
      </c>
      <c r="BP4402">
        <f>IF(4389&lt;$U$9,MOD(4389,$U$8)+1,1)</f>
        <v/>
      </c>
      <c r="BQ4402">
        <f>IF(4389&lt;$U$9,SUMPRODUCT(($D$10:$L$10&lt;&gt;"")*(($D$9:$L$9+INT(($S$12:$AA$12+INDEX($AJ$13:$AR$162,BN4402,0)+INDEX($AT$13:$BB$162,BO4402,0)+INDEX($BD$13:$BL$162,BP4402,0))/100))&gt;=$D$10:$L$10)),0)</f>
        <v/>
      </c>
      <c r="BR4402">
        <f>IF(4389&lt;$U$9,SUMPRODUCT(($D$10:$L$10&lt;&gt;"")*(($D$10:$L$10-($D$9:$L$9+INT(($S$12:$AA$12+INDEX($AJ$13:$AR$162,BN4402,0)+INDEX($AT$13:$BB$162,BO4402,0)+INDEX($BD$13:$BL$162,BP4402,0))/100)))&gt;0)*($D$10:$L$10-($D$9:$L$9+INT(($S$12:$AA$12+INDEX($AJ$13:$AR$162,BN4402,0)+INDEX($AT$13:$BB$162,BO4402,0)+INDEX($BD$13:$BL$162,BP4402,0))/100)))),0)</f>
        <v/>
      </c>
      <c r="BS4402">
        <f>IF(4389&lt;$U$9,SUMPRODUCT(($D$9:$L$9+INT(($S$12:$AA$12+INDEX($AJ$13:$AR$162,BN4402,0)+INDEX($AT$13:$BB$162,BO4402,0)+INDEX($BD$13:$BL$162,BP4402,0))/100))),0)</f>
        <v/>
      </c>
      <c r="BT4402">
        <f>IF(AND(4389&lt;$U$9,$W$5),BQ4402*1000000-MIN(BR4402,999)*1000+BS4402-4389/100000,-1000000000-4389)</f>
        <v/>
      </c>
    </row>
    <row r="4403">
      <c r="BN4403">
        <f>IF(4390&lt;$U$9,INT(4390/($U$7*$U$8))+1,1)</f>
        <v/>
      </c>
      <c r="BO4403">
        <f>IF(4390&lt;$U$9,MOD(INT(4390/$U$8),$U$7)+1,1)</f>
        <v/>
      </c>
      <c r="BP4403">
        <f>IF(4390&lt;$U$9,MOD(4390,$U$8)+1,1)</f>
        <v/>
      </c>
      <c r="BQ4403">
        <f>IF(4390&lt;$U$9,SUMPRODUCT(($D$10:$L$10&lt;&gt;"")*(($D$9:$L$9+INT(($S$12:$AA$12+INDEX($AJ$13:$AR$162,BN4403,0)+INDEX($AT$13:$BB$162,BO4403,0)+INDEX($BD$13:$BL$162,BP4403,0))/100))&gt;=$D$10:$L$10)),0)</f>
        <v/>
      </c>
      <c r="BR4403">
        <f>IF(4390&lt;$U$9,SUMPRODUCT(($D$10:$L$10&lt;&gt;"")*(($D$10:$L$10-($D$9:$L$9+INT(($S$12:$AA$12+INDEX($AJ$13:$AR$162,BN4403,0)+INDEX($AT$13:$BB$162,BO4403,0)+INDEX($BD$13:$BL$162,BP4403,0))/100)))&gt;0)*($D$10:$L$10-($D$9:$L$9+INT(($S$12:$AA$12+INDEX($AJ$13:$AR$162,BN4403,0)+INDEX($AT$13:$BB$162,BO4403,0)+INDEX($BD$13:$BL$162,BP4403,0))/100)))),0)</f>
        <v/>
      </c>
      <c r="BS4403">
        <f>IF(4390&lt;$U$9,SUMPRODUCT(($D$9:$L$9+INT(($S$12:$AA$12+INDEX($AJ$13:$AR$162,BN4403,0)+INDEX($AT$13:$BB$162,BO4403,0)+INDEX($BD$13:$BL$162,BP4403,0))/100))),0)</f>
        <v/>
      </c>
      <c r="BT4403">
        <f>IF(AND(4390&lt;$U$9,$W$5),BQ4403*1000000-MIN(BR4403,999)*1000+BS4403-4390/100000,-1000000000-4390)</f>
        <v/>
      </c>
    </row>
    <row r="4404">
      <c r="BN4404">
        <f>IF(4391&lt;$U$9,INT(4391/($U$7*$U$8))+1,1)</f>
        <v/>
      </c>
      <c r="BO4404">
        <f>IF(4391&lt;$U$9,MOD(INT(4391/$U$8),$U$7)+1,1)</f>
        <v/>
      </c>
      <c r="BP4404">
        <f>IF(4391&lt;$U$9,MOD(4391,$U$8)+1,1)</f>
        <v/>
      </c>
      <c r="BQ4404">
        <f>IF(4391&lt;$U$9,SUMPRODUCT(($D$10:$L$10&lt;&gt;"")*(($D$9:$L$9+INT(($S$12:$AA$12+INDEX($AJ$13:$AR$162,BN4404,0)+INDEX($AT$13:$BB$162,BO4404,0)+INDEX($BD$13:$BL$162,BP4404,0))/100))&gt;=$D$10:$L$10)),0)</f>
        <v/>
      </c>
      <c r="BR4404">
        <f>IF(4391&lt;$U$9,SUMPRODUCT(($D$10:$L$10&lt;&gt;"")*(($D$10:$L$10-($D$9:$L$9+INT(($S$12:$AA$12+INDEX($AJ$13:$AR$162,BN4404,0)+INDEX($AT$13:$BB$162,BO4404,0)+INDEX($BD$13:$BL$162,BP4404,0))/100)))&gt;0)*($D$10:$L$10-($D$9:$L$9+INT(($S$12:$AA$12+INDEX($AJ$13:$AR$162,BN4404,0)+INDEX($AT$13:$BB$162,BO4404,0)+INDEX($BD$13:$BL$162,BP4404,0))/100)))),0)</f>
        <v/>
      </c>
      <c r="BS4404">
        <f>IF(4391&lt;$U$9,SUMPRODUCT(($D$9:$L$9+INT(($S$12:$AA$12+INDEX($AJ$13:$AR$162,BN4404,0)+INDEX($AT$13:$BB$162,BO4404,0)+INDEX($BD$13:$BL$162,BP4404,0))/100))),0)</f>
        <v/>
      </c>
      <c r="BT4404">
        <f>IF(AND(4391&lt;$U$9,$W$5),BQ4404*1000000-MIN(BR4404,999)*1000+BS4404-4391/100000,-1000000000-4391)</f>
        <v/>
      </c>
    </row>
    <row r="4405">
      <c r="BN4405">
        <f>IF(4392&lt;$U$9,INT(4392/($U$7*$U$8))+1,1)</f>
        <v/>
      </c>
      <c r="BO4405">
        <f>IF(4392&lt;$U$9,MOD(INT(4392/$U$8),$U$7)+1,1)</f>
        <v/>
      </c>
      <c r="BP4405">
        <f>IF(4392&lt;$U$9,MOD(4392,$U$8)+1,1)</f>
        <v/>
      </c>
      <c r="BQ4405">
        <f>IF(4392&lt;$U$9,SUMPRODUCT(($D$10:$L$10&lt;&gt;"")*(($D$9:$L$9+INT(($S$12:$AA$12+INDEX($AJ$13:$AR$162,BN4405,0)+INDEX($AT$13:$BB$162,BO4405,0)+INDEX($BD$13:$BL$162,BP4405,0))/100))&gt;=$D$10:$L$10)),0)</f>
        <v/>
      </c>
      <c r="BR4405">
        <f>IF(4392&lt;$U$9,SUMPRODUCT(($D$10:$L$10&lt;&gt;"")*(($D$10:$L$10-($D$9:$L$9+INT(($S$12:$AA$12+INDEX($AJ$13:$AR$162,BN4405,0)+INDEX($AT$13:$BB$162,BO4405,0)+INDEX($BD$13:$BL$162,BP4405,0))/100)))&gt;0)*($D$10:$L$10-($D$9:$L$9+INT(($S$12:$AA$12+INDEX($AJ$13:$AR$162,BN4405,0)+INDEX($AT$13:$BB$162,BO4405,0)+INDEX($BD$13:$BL$162,BP4405,0))/100)))),0)</f>
        <v/>
      </c>
      <c r="BS4405">
        <f>IF(4392&lt;$U$9,SUMPRODUCT(($D$9:$L$9+INT(($S$12:$AA$12+INDEX($AJ$13:$AR$162,BN4405,0)+INDEX($AT$13:$BB$162,BO4405,0)+INDEX($BD$13:$BL$162,BP4405,0))/100))),0)</f>
        <v/>
      </c>
      <c r="BT4405">
        <f>IF(AND(4392&lt;$U$9,$W$5),BQ4405*1000000-MIN(BR4405,999)*1000+BS4405-4392/100000,-1000000000-4392)</f>
        <v/>
      </c>
    </row>
    <row r="4406">
      <c r="BN4406">
        <f>IF(4393&lt;$U$9,INT(4393/($U$7*$U$8))+1,1)</f>
        <v/>
      </c>
      <c r="BO4406">
        <f>IF(4393&lt;$U$9,MOD(INT(4393/$U$8),$U$7)+1,1)</f>
        <v/>
      </c>
      <c r="BP4406">
        <f>IF(4393&lt;$U$9,MOD(4393,$U$8)+1,1)</f>
        <v/>
      </c>
      <c r="BQ4406">
        <f>IF(4393&lt;$U$9,SUMPRODUCT(($D$10:$L$10&lt;&gt;"")*(($D$9:$L$9+INT(($S$12:$AA$12+INDEX($AJ$13:$AR$162,BN4406,0)+INDEX($AT$13:$BB$162,BO4406,0)+INDEX($BD$13:$BL$162,BP4406,0))/100))&gt;=$D$10:$L$10)),0)</f>
        <v/>
      </c>
      <c r="BR4406">
        <f>IF(4393&lt;$U$9,SUMPRODUCT(($D$10:$L$10&lt;&gt;"")*(($D$10:$L$10-($D$9:$L$9+INT(($S$12:$AA$12+INDEX($AJ$13:$AR$162,BN4406,0)+INDEX($AT$13:$BB$162,BO4406,0)+INDEX($BD$13:$BL$162,BP4406,0))/100)))&gt;0)*($D$10:$L$10-($D$9:$L$9+INT(($S$12:$AA$12+INDEX($AJ$13:$AR$162,BN4406,0)+INDEX($AT$13:$BB$162,BO4406,0)+INDEX($BD$13:$BL$162,BP4406,0))/100)))),0)</f>
        <v/>
      </c>
      <c r="BS4406">
        <f>IF(4393&lt;$U$9,SUMPRODUCT(($D$9:$L$9+INT(($S$12:$AA$12+INDEX($AJ$13:$AR$162,BN4406,0)+INDEX($AT$13:$BB$162,BO4406,0)+INDEX($BD$13:$BL$162,BP4406,0))/100))),0)</f>
        <v/>
      </c>
      <c r="BT4406">
        <f>IF(AND(4393&lt;$U$9,$W$5),BQ4406*1000000-MIN(BR4406,999)*1000+BS4406-4393/100000,-1000000000-4393)</f>
        <v/>
      </c>
    </row>
    <row r="4407">
      <c r="BN4407">
        <f>IF(4394&lt;$U$9,INT(4394/($U$7*$U$8))+1,1)</f>
        <v/>
      </c>
      <c r="BO4407">
        <f>IF(4394&lt;$U$9,MOD(INT(4394/$U$8),$U$7)+1,1)</f>
        <v/>
      </c>
      <c r="BP4407">
        <f>IF(4394&lt;$U$9,MOD(4394,$U$8)+1,1)</f>
        <v/>
      </c>
      <c r="BQ4407">
        <f>IF(4394&lt;$U$9,SUMPRODUCT(($D$10:$L$10&lt;&gt;"")*(($D$9:$L$9+INT(($S$12:$AA$12+INDEX($AJ$13:$AR$162,BN4407,0)+INDEX($AT$13:$BB$162,BO4407,0)+INDEX($BD$13:$BL$162,BP4407,0))/100))&gt;=$D$10:$L$10)),0)</f>
        <v/>
      </c>
      <c r="BR4407">
        <f>IF(4394&lt;$U$9,SUMPRODUCT(($D$10:$L$10&lt;&gt;"")*(($D$10:$L$10-($D$9:$L$9+INT(($S$12:$AA$12+INDEX($AJ$13:$AR$162,BN4407,0)+INDEX($AT$13:$BB$162,BO4407,0)+INDEX($BD$13:$BL$162,BP4407,0))/100)))&gt;0)*($D$10:$L$10-($D$9:$L$9+INT(($S$12:$AA$12+INDEX($AJ$13:$AR$162,BN4407,0)+INDEX($AT$13:$BB$162,BO4407,0)+INDEX($BD$13:$BL$162,BP4407,0))/100)))),0)</f>
        <v/>
      </c>
      <c r="BS4407">
        <f>IF(4394&lt;$U$9,SUMPRODUCT(($D$9:$L$9+INT(($S$12:$AA$12+INDEX($AJ$13:$AR$162,BN4407,0)+INDEX($AT$13:$BB$162,BO4407,0)+INDEX($BD$13:$BL$162,BP4407,0))/100))),0)</f>
        <v/>
      </c>
      <c r="BT4407">
        <f>IF(AND(4394&lt;$U$9,$W$5),BQ4407*1000000-MIN(BR4407,999)*1000+BS4407-4394/100000,-1000000000-4394)</f>
        <v/>
      </c>
    </row>
    <row r="4408">
      <c r="BN4408">
        <f>IF(4395&lt;$U$9,INT(4395/($U$7*$U$8))+1,1)</f>
        <v/>
      </c>
      <c r="BO4408">
        <f>IF(4395&lt;$U$9,MOD(INT(4395/$U$8),$U$7)+1,1)</f>
        <v/>
      </c>
      <c r="BP4408">
        <f>IF(4395&lt;$U$9,MOD(4395,$U$8)+1,1)</f>
        <v/>
      </c>
      <c r="BQ4408">
        <f>IF(4395&lt;$U$9,SUMPRODUCT(($D$10:$L$10&lt;&gt;"")*(($D$9:$L$9+INT(($S$12:$AA$12+INDEX($AJ$13:$AR$162,BN4408,0)+INDEX($AT$13:$BB$162,BO4408,0)+INDEX($BD$13:$BL$162,BP4408,0))/100))&gt;=$D$10:$L$10)),0)</f>
        <v/>
      </c>
      <c r="BR4408">
        <f>IF(4395&lt;$U$9,SUMPRODUCT(($D$10:$L$10&lt;&gt;"")*(($D$10:$L$10-($D$9:$L$9+INT(($S$12:$AA$12+INDEX($AJ$13:$AR$162,BN4408,0)+INDEX($AT$13:$BB$162,BO4408,0)+INDEX($BD$13:$BL$162,BP4408,0))/100)))&gt;0)*($D$10:$L$10-($D$9:$L$9+INT(($S$12:$AA$12+INDEX($AJ$13:$AR$162,BN4408,0)+INDEX($AT$13:$BB$162,BO4408,0)+INDEX($BD$13:$BL$162,BP4408,0))/100)))),0)</f>
        <v/>
      </c>
      <c r="BS4408">
        <f>IF(4395&lt;$U$9,SUMPRODUCT(($D$9:$L$9+INT(($S$12:$AA$12+INDEX($AJ$13:$AR$162,BN4408,0)+INDEX($AT$13:$BB$162,BO4408,0)+INDEX($BD$13:$BL$162,BP4408,0))/100))),0)</f>
        <v/>
      </c>
      <c r="BT4408">
        <f>IF(AND(4395&lt;$U$9,$W$5),BQ4408*1000000-MIN(BR4408,999)*1000+BS4408-4395/100000,-1000000000-4395)</f>
        <v/>
      </c>
    </row>
    <row r="4409">
      <c r="BN4409">
        <f>IF(4396&lt;$U$9,INT(4396/($U$7*$U$8))+1,1)</f>
        <v/>
      </c>
      <c r="BO4409">
        <f>IF(4396&lt;$U$9,MOD(INT(4396/$U$8),$U$7)+1,1)</f>
        <v/>
      </c>
      <c r="BP4409">
        <f>IF(4396&lt;$U$9,MOD(4396,$U$8)+1,1)</f>
        <v/>
      </c>
      <c r="BQ4409">
        <f>IF(4396&lt;$U$9,SUMPRODUCT(($D$10:$L$10&lt;&gt;"")*(($D$9:$L$9+INT(($S$12:$AA$12+INDEX($AJ$13:$AR$162,BN4409,0)+INDEX($AT$13:$BB$162,BO4409,0)+INDEX($BD$13:$BL$162,BP4409,0))/100))&gt;=$D$10:$L$10)),0)</f>
        <v/>
      </c>
      <c r="BR4409">
        <f>IF(4396&lt;$U$9,SUMPRODUCT(($D$10:$L$10&lt;&gt;"")*(($D$10:$L$10-($D$9:$L$9+INT(($S$12:$AA$12+INDEX($AJ$13:$AR$162,BN4409,0)+INDEX($AT$13:$BB$162,BO4409,0)+INDEX($BD$13:$BL$162,BP4409,0))/100)))&gt;0)*($D$10:$L$10-($D$9:$L$9+INT(($S$12:$AA$12+INDEX($AJ$13:$AR$162,BN4409,0)+INDEX($AT$13:$BB$162,BO4409,0)+INDEX($BD$13:$BL$162,BP4409,0))/100)))),0)</f>
        <v/>
      </c>
      <c r="BS4409">
        <f>IF(4396&lt;$U$9,SUMPRODUCT(($D$9:$L$9+INT(($S$12:$AA$12+INDEX($AJ$13:$AR$162,BN4409,0)+INDEX($AT$13:$BB$162,BO4409,0)+INDEX($BD$13:$BL$162,BP4409,0))/100))),0)</f>
        <v/>
      </c>
      <c r="BT4409">
        <f>IF(AND(4396&lt;$U$9,$W$5),BQ4409*1000000-MIN(BR4409,999)*1000+BS4409-4396/100000,-1000000000-4396)</f>
        <v/>
      </c>
    </row>
    <row r="4410">
      <c r="BN4410">
        <f>IF(4397&lt;$U$9,INT(4397/($U$7*$U$8))+1,1)</f>
        <v/>
      </c>
      <c r="BO4410">
        <f>IF(4397&lt;$U$9,MOD(INT(4397/$U$8),$U$7)+1,1)</f>
        <v/>
      </c>
      <c r="BP4410">
        <f>IF(4397&lt;$U$9,MOD(4397,$U$8)+1,1)</f>
        <v/>
      </c>
      <c r="BQ4410">
        <f>IF(4397&lt;$U$9,SUMPRODUCT(($D$10:$L$10&lt;&gt;"")*(($D$9:$L$9+INT(($S$12:$AA$12+INDEX($AJ$13:$AR$162,BN4410,0)+INDEX($AT$13:$BB$162,BO4410,0)+INDEX($BD$13:$BL$162,BP4410,0))/100))&gt;=$D$10:$L$10)),0)</f>
        <v/>
      </c>
      <c r="BR4410">
        <f>IF(4397&lt;$U$9,SUMPRODUCT(($D$10:$L$10&lt;&gt;"")*(($D$10:$L$10-($D$9:$L$9+INT(($S$12:$AA$12+INDEX($AJ$13:$AR$162,BN4410,0)+INDEX($AT$13:$BB$162,BO4410,0)+INDEX($BD$13:$BL$162,BP4410,0))/100)))&gt;0)*($D$10:$L$10-($D$9:$L$9+INT(($S$12:$AA$12+INDEX($AJ$13:$AR$162,BN4410,0)+INDEX($AT$13:$BB$162,BO4410,0)+INDEX($BD$13:$BL$162,BP4410,0))/100)))),0)</f>
        <v/>
      </c>
      <c r="BS4410">
        <f>IF(4397&lt;$U$9,SUMPRODUCT(($D$9:$L$9+INT(($S$12:$AA$12+INDEX($AJ$13:$AR$162,BN4410,0)+INDEX($AT$13:$BB$162,BO4410,0)+INDEX($BD$13:$BL$162,BP4410,0))/100))),0)</f>
        <v/>
      </c>
      <c r="BT4410">
        <f>IF(AND(4397&lt;$U$9,$W$5),BQ4410*1000000-MIN(BR4410,999)*1000+BS4410-4397/100000,-1000000000-4397)</f>
        <v/>
      </c>
    </row>
    <row r="4411">
      <c r="BN4411">
        <f>IF(4398&lt;$U$9,INT(4398/($U$7*$U$8))+1,1)</f>
        <v/>
      </c>
      <c r="BO4411">
        <f>IF(4398&lt;$U$9,MOD(INT(4398/$U$8),$U$7)+1,1)</f>
        <v/>
      </c>
      <c r="BP4411">
        <f>IF(4398&lt;$U$9,MOD(4398,$U$8)+1,1)</f>
        <v/>
      </c>
      <c r="BQ4411">
        <f>IF(4398&lt;$U$9,SUMPRODUCT(($D$10:$L$10&lt;&gt;"")*(($D$9:$L$9+INT(($S$12:$AA$12+INDEX($AJ$13:$AR$162,BN4411,0)+INDEX($AT$13:$BB$162,BO4411,0)+INDEX($BD$13:$BL$162,BP4411,0))/100))&gt;=$D$10:$L$10)),0)</f>
        <v/>
      </c>
      <c r="BR4411">
        <f>IF(4398&lt;$U$9,SUMPRODUCT(($D$10:$L$10&lt;&gt;"")*(($D$10:$L$10-($D$9:$L$9+INT(($S$12:$AA$12+INDEX($AJ$13:$AR$162,BN4411,0)+INDEX($AT$13:$BB$162,BO4411,0)+INDEX($BD$13:$BL$162,BP4411,0))/100)))&gt;0)*($D$10:$L$10-($D$9:$L$9+INT(($S$12:$AA$12+INDEX($AJ$13:$AR$162,BN4411,0)+INDEX($AT$13:$BB$162,BO4411,0)+INDEX($BD$13:$BL$162,BP4411,0))/100)))),0)</f>
        <v/>
      </c>
      <c r="BS4411">
        <f>IF(4398&lt;$U$9,SUMPRODUCT(($D$9:$L$9+INT(($S$12:$AA$12+INDEX($AJ$13:$AR$162,BN4411,0)+INDEX($AT$13:$BB$162,BO4411,0)+INDEX($BD$13:$BL$162,BP4411,0))/100))),0)</f>
        <v/>
      </c>
      <c r="BT4411">
        <f>IF(AND(4398&lt;$U$9,$W$5),BQ4411*1000000-MIN(BR4411,999)*1000+BS4411-4398/100000,-1000000000-4398)</f>
        <v/>
      </c>
    </row>
    <row r="4412">
      <c r="BN4412">
        <f>IF(4399&lt;$U$9,INT(4399/($U$7*$U$8))+1,1)</f>
        <v/>
      </c>
      <c r="BO4412">
        <f>IF(4399&lt;$U$9,MOD(INT(4399/$U$8),$U$7)+1,1)</f>
        <v/>
      </c>
      <c r="BP4412">
        <f>IF(4399&lt;$U$9,MOD(4399,$U$8)+1,1)</f>
        <v/>
      </c>
      <c r="BQ4412">
        <f>IF(4399&lt;$U$9,SUMPRODUCT(($D$10:$L$10&lt;&gt;"")*(($D$9:$L$9+INT(($S$12:$AA$12+INDEX($AJ$13:$AR$162,BN4412,0)+INDEX($AT$13:$BB$162,BO4412,0)+INDEX($BD$13:$BL$162,BP4412,0))/100))&gt;=$D$10:$L$10)),0)</f>
        <v/>
      </c>
      <c r="BR4412">
        <f>IF(4399&lt;$U$9,SUMPRODUCT(($D$10:$L$10&lt;&gt;"")*(($D$10:$L$10-($D$9:$L$9+INT(($S$12:$AA$12+INDEX($AJ$13:$AR$162,BN4412,0)+INDEX($AT$13:$BB$162,BO4412,0)+INDEX($BD$13:$BL$162,BP4412,0))/100)))&gt;0)*($D$10:$L$10-($D$9:$L$9+INT(($S$12:$AA$12+INDEX($AJ$13:$AR$162,BN4412,0)+INDEX($AT$13:$BB$162,BO4412,0)+INDEX($BD$13:$BL$162,BP4412,0))/100)))),0)</f>
        <v/>
      </c>
      <c r="BS4412">
        <f>IF(4399&lt;$U$9,SUMPRODUCT(($D$9:$L$9+INT(($S$12:$AA$12+INDEX($AJ$13:$AR$162,BN4412,0)+INDEX($AT$13:$BB$162,BO4412,0)+INDEX($BD$13:$BL$162,BP4412,0))/100))),0)</f>
        <v/>
      </c>
      <c r="BT4412">
        <f>IF(AND(4399&lt;$U$9,$W$5),BQ4412*1000000-MIN(BR4412,999)*1000+BS4412-4399/100000,-1000000000-4399)</f>
        <v/>
      </c>
    </row>
    <row r="4413">
      <c r="BN4413">
        <f>IF(4400&lt;$U$9,INT(4400/($U$7*$U$8))+1,1)</f>
        <v/>
      </c>
      <c r="BO4413">
        <f>IF(4400&lt;$U$9,MOD(INT(4400/$U$8),$U$7)+1,1)</f>
        <v/>
      </c>
      <c r="BP4413">
        <f>IF(4400&lt;$U$9,MOD(4400,$U$8)+1,1)</f>
        <v/>
      </c>
      <c r="BQ4413">
        <f>IF(4400&lt;$U$9,SUMPRODUCT(($D$10:$L$10&lt;&gt;"")*(($D$9:$L$9+INT(($S$12:$AA$12+INDEX($AJ$13:$AR$162,BN4413,0)+INDEX($AT$13:$BB$162,BO4413,0)+INDEX($BD$13:$BL$162,BP4413,0))/100))&gt;=$D$10:$L$10)),0)</f>
        <v/>
      </c>
      <c r="BR4413">
        <f>IF(4400&lt;$U$9,SUMPRODUCT(($D$10:$L$10&lt;&gt;"")*(($D$10:$L$10-($D$9:$L$9+INT(($S$12:$AA$12+INDEX($AJ$13:$AR$162,BN4413,0)+INDEX($AT$13:$BB$162,BO4413,0)+INDEX($BD$13:$BL$162,BP4413,0))/100)))&gt;0)*($D$10:$L$10-($D$9:$L$9+INT(($S$12:$AA$12+INDEX($AJ$13:$AR$162,BN4413,0)+INDEX($AT$13:$BB$162,BO4413,0)+INDEX($BD$13:$BL$162,BP4413,0))/100)))),0)</f>
        <v/>
      </c>
      <c r="BS4413">
        <f>IF(4400&lt;$U$9,SUMPRODUCT(($D$9:$L$9+INT(($S$12:$AA$12+INDEX($AJ$13:$AR$162,BN4413,0)+INDEX($AT$13:$BB$162,BO4413,0)+INDEX($BD$13:$BL$162,BP4413,0))/100))),0)</f>
        <v/>
      </c>
      <c r="BT4413">
        <f>IF(AND(4400&lt;$U$9,$W$5),BQ4413*1000000-MIN(BR4413,999)*1000+BS4413-4400/100000,-1000000000-4400)</f>
        <v/>
      </c>
    </row>
    <row r="4414">
      <c r="BN4414">
        <f>IF(4401&lt;$U$9,INT(4401/($U$7*$U$8))+1,1)</f>
        <v/>
      </c>
      <c r="BO4414">
        <f>IF(4401&lt;$U$9,MOD(INT(4401/$U$8),$U$7)+1,1)</f>
        <v/>
      </c>
      <c r="BP4414">
        <f>IF(4401&lt;$U$9,MOD(4401,$U$8)+1,1)</f>
        <v/>
      </c>
      <c r="BQ4414">
        <f>IF(4401&lt;$U$9,SUMPRODUCT(($D$10:$L$10&lt;&gt;"")*(($D$9:$L$9+INT(($S$12:$AA$12+INDEX($AJ$13:$AR$162,BN4414,0)+INDEX($AT$13:$BB$162,BO4414,0)+INDEX($BD$13:$BL$162,BP4414,0))/100))&gt;=$D$10:$L$10)),0)</f>
        <v/>
      </c>
      <c r="BR4414">
        <f>IF(4401&lt;$U$9,SUMPRODUCT(($D$10:$L$10&lt;&gt;"")*(($D$10:$L$10-($D$9:$L$9+INT(($S$12:$AA$12+INDEX($AJ$13:$AR$162,BN4414,0)+INDEX($AT$13:$BB$162,BO4414,0)+INDEX($BD$13:$BL$162,BP4414,0))/100)))&gt;0)*($D$10:$L$10-($D$9:$L$9+INT(($S$12:$AA$12+INDEX($AJ$13:$AR$162,BN4414,0)+INDEX($AT$13:$BB$162,BO4414,0)+INDEX($BD$13:$BL$162,BP4414,0))/100)))),0)</f>
        <v/>
      </c>
      <c r="BS4414">
        <f>IF(4401&lt;$U$9,SUMPRODUCT(($D$9:$L$9+INT(($S$12:$AA$12+INDEX($AJ$13:$AR$162,BN4414,0)+INDEX($AT$13:$BB$162,BO4414,0)+INDEX($BD$13:$BL$162,BP4414,0))/100))),0)</f>
        <v/>
      </c>
      <c r="BT4414">
        <f>IF(AND(4401&lt;$U$9,$W$5),BQ4414*1000000-MIN(BR4414,999)*1000+BS4414-4401/100000,-1000000000-4401)</f>
        <v/>
      </c>
    </row>
    <row r="4415">
      <c r="BN4415">
        <f>IF(4402&lt;$U$9,INT(4402/($U$7*$U$8))+1,1)</f>
        <v/>
      </c>
      <c r="BO4415">
        <f>IF(4402&lt;$U$9,MOD(INT(4402/$U$8),$U$7)+1,1)</f>
        <v/>
      </c>
      <c r="BP4415">
        <f>IF(4402&lt;$U$9,MOD(4402,$U$8)+1,1)</f>
        <v/>
      </c>
      <c r="BQ4415">
        <f>IF(4402&lt;$U$9,SUMPRODUCT(($D$10:$L$10&lt;&gt;"")*(($D$9:$L$9+INT(($S$12:$AA$12+INDEX($AJ$13:$AR$162,BN4415,0)+INDEX($AT$13:$BB$162,BO4415,0)+INDEX($BD$13:$BL$162,BP4415,0))/100))&gt;=$D$10:$L$10)),0)</f>
        <v/>
      </c>
      <c r="BR4415">
        <f>IF(4402&lt;$U$9,SUMPRODUCT(($D$10:$L$10&lt;&gt;"")*(($D$10:$L$10-($D$9:$L$9+INT(($S$12:$AA$12+INDEX($AJ$13:$AR$162,BN4415,0)+INDEX($AT$13:$BB$162,BO4415,0)+INDEX($BD$13:$BL$162,BP4415,0))/100)))&gt;0)*($D$10:$L$10-($D$9:$L$9+INT(($S$12:$AA$12+INDEX($AJ$13:$AR$162,BN4415,0)+INDEX($AT$13:$BB$162,BO4415,0)+INDEX($BD$13:$BL$162,BP4415,0))/100)))),0)</f>
        <v/>
      </c>
      <c r="BS4415">
        <f>IF(4402&lt;$U$9,SUMPRODUCT(($D$9:$L$9+INT(($S$12:$AA$12+INDEX($AJ$13:$AR$162,BN4415,0)+INDEX($AT$13:$BB$162,BO4415,0)+INDEX($BD$13:$BL$162,BP4415,0))/100))),0)</f>
        <v/>
      </c>
      <c r="BT4415">
        <f>IF(AND(4402&lt;$U$9,$W$5),BQ4415*1000000-MIN(BR4415,999)*1000+BS4415-4402/100000,-1000000000-4402)</f>
        <v/>
      </c>
    </row>
    <row r="4416">
      <c r="BN4416">
        <f>IF(4403&lt;$U$9,INT(4403/($U$7*$U$8))+1,1)</f>
        <v/>
      </c>
      <c r="BO4416">
        <f>IF(4403&lt;$U$9,MOD(INT(4403/$U$8),$U$7)+1,1)</f>
        <v/>
      </c>
      <c r="BP4416">
        <f>IF(4403&lt;$U$9,MOD(4403,$U$8)+1,1)</f>
        <v/>
      </c>
      <c r="BQ4416">
        <f>IF(4403&lt;$U$9,SUMPRODUCT(($D$10:$L$10&lt;&gt;"")*(($D$9:$L$9+INT(($S$12:$AA$12+INDEX($AJ$13:$AR$162,BN4416,0)+INDEX($AT$13:$BB$162,BO4416,0)+INDEX($BD$13:$BL$162,BP4416,0))/100))&gt;=$D$10:$L$10)),0)</f>
        <v/>
      </c>
      <c r="BR4416">
        <f>IF(4403&lt;$U$9,SUMPRODUCT(($D$10:$L$10&lt;&gt;"")*(($D$10:$L$10-($D$9:$L$9+INT(($S$12:$AA$12+INDEX($AJ$13:$AR$162,BN4416,0)+INDEX($AT$13:$BB$162,BO4416,0)+INDEX($BD$13:$BL$162,BP4416,0))/100)))&gt;0)*($D$10:$L$10-($D$9:$L$9+INT(($S$12:$AA$12+INDEX($AJ$13:$AR$162,BN4416,0)+INDEX($AT$13:$BB$162,BO4416,0)+INDEX($BD$13:$BL$162,BP4416,0))/100)))),0)</f>
        <v/>
      </c>
      <c r="BS4416">
        <f>IF(4403&lt;$U$9,SUMPRODUCT(($D$9:$L$9+INT(($S$12:$AA$12+INDEX($AJ$13:$AR$162,BN4416,0)+INDEX($AT$13:$BB$162,BO4416,0)+INDEX($BD$13:$BL$162,BP4416,0))/100))),0)</f>
        <v/>
      </c>
      <c r="BT4416">
        <f>IF(AND(4403&lt;$U$9,$W$5),BQ4416*1000000-MIN(BR4416,999)*1000+BS4416-4403/100000,-1000000000-4403)</f>
        <v/>
      </c>
    </row>
    <row r="4417">
      <c r="BN4417">
        <f>IF(4404&lt;$U$9,INT(4404/($U$7*$U$8))+1,1)</f>
        <v/>
      </c>
      <c r="BO4417">
        <f>IF(4404&lt;$U$9,MOD(INT(4404/$U$8),$U$7)+1,1)</f>
        <v/>
      </c>
      <c r="BP4417">
        <f>IF(4404&lt;$U$9,MOD(4404,$U$8)+1,1)</f>
        <v/>
      </c>
      <c r="BQ4417">
        <f>IF(4404&lt;$U$9,SUMPRODUCT(($D$10:$L$10&lt;&gt;"")*(($D$9:$L$9+INT(($S$12:$AA$12+INDEX($AJ$13:$AR$162,BN4417,0)+INDEX($AT$13:$BB$162,BO4417,0)+INDEX($BD$13:$BL$162,BP4417,0))/100))&gt;=$D$10:$L$10)),0)</f>
        <v/>
      </c>
      <c r="BR4417">
        <f>IF(4404&lt;$U$9,SUMPRODUCT(($D$10:$L$10&lt;&gt;"")*(($D$10:$L$10-($D$9:$L$9+INT(($S$12:$AA$12+INDEX($AJ$13:$AR$162,BN4417,0)+INDEX($AT$13:$BB$162,BO4417,0)+INDEX($BD$13:$BL$162,BP4417,0))/100)))&gt;0)*($D$10:$L$10-($D$9:$L$9+INT(($S$12:$AA$12+INDEX($AJ$13:$AR$162,BN4417,0)+INDEX($AT$13:$BB$162,BO4417,0)+INDEX($BD$13:$BL$162,BP4417,0))/100)))),0)</f>
        <v/>
      </c>
      <c r="BS4417">
        <f>IF(4404&lt;$U$9,SUMPRODUCT(($D$9:$L$9+INT(($S$12:$AA$12+INDEX($AJ$13:$AR$162,BN4417,0)+INDEX($AT$13:$BB$162,BO4417,0)+INDEX($BD$13:$BL$162,BP4417,0))/100))),0)</f>
        <v/>
      </c>
      <c r="BT4417">
        <f>IF(AND(4404&lt;$U$9,$W$5),BQ4417*1000000-MIN(BR4417,999)*1000+BS4417-4404/100000,-1000000000-4404)</f>
        <v/>
      </c>
    </row>
    <row r="4418">
      <c r="BN4418">
        <f>IF(4405&lt;$U$9,INT(4405/($U$7*$U$8))+1,1)</f>
        <v/>
      </c>
      <c r="BO4418">
        <f>IF(4405&lt;$U$9,MOD(INT(4405/$U$8),$U$7)+1,1)</f>
        <v/>
      </c>
      <c r="BP4418">
        <f>IF(4405&lt;$U$9,MOD(4405,$U$8)+1,1)</f>
        <v/>
      </c>
      <c r="BQ4418">
        <f>IF(4405&lt;$U$9,SUMPRODUCT(($D$10:$L$10&lt;&gt;"")*(($D$9:$L$9+INT(($S$12:$AA$12+INDEX($AJ$13:$AR$162,BN4418,0)+INDEX($AT$13:$BB$162,BO4418,0)+INDEX($BD$13:$BL$162,BP4418,0))/100))&gt;=$D$10:$L$10)),0)</f>
        <v/>
      </c>
      <c r="BR4418">
        <f>IF(4405&lt;$U$9,SUMPRODUCT(($D$10:$L$10&lt;&gt;"")*(($D$10:$L$10-($D$9:$L$9+INT(($S$12:$AA$12+INDEX($AJ$13:$AR$162,BN4418,0)+INDEX($AT$13:$BB$162,BO4418,0)+INDEX($BD$13:$BL$162,BP4418,0))/100)))&gt;0)*($D$10:$L$10-($D$9:$L$9+INT(($S$12:$AA$12+INDEX($AJ$13:$AR$162,BN4418,0)+INDEX($AT$13:$BB$162,BO4418,0)+INDEX($BD$13:$BL$162,BP4418,0))/100)))),0)</f>
        <v/>
      </c>
      <c r="BS4418">
        <f>IF(4405&lt;$U$9,SUMPRODUCT(($D$9:$L$9+INT(($S$12:$AA$12+INDEX($AJ$13:$AR$162,BN4418,0)+INDEX($AT$13:$BB$162,BO4418,0)+INDEX($BD$13:$BL$162,BP4418,0))/100))),0)</f>
        <v/>
      </c>
      <c r="BT4418">
        <f>IF(AND(4405&lt;$U$9,$W$5),BQ4418*1000000-MIN(BR4418,999)*1000+BS4418-4405/100000,-1000000000-4405)</f>
        <v/>
      </c>
    </row>
    <row r="4419">
      <c r="BN4419">
        <f>IF(4406&lt;$U$9,INT(4406/($U$7*$U$8))+1,1)</f>
        <v/>
      </c>
      <c r="BO4419">
        <f>IF(4406&lt;$U$9,MOD(INT(4406/$U$8),$U$7)+1,1)</f>
        <v/>
      </c>
      <c r="BP4419">
        <f>IF(4406&lt;$U$9,MOD(4406,$U$8)+1,1)</f>
        <v/>
      </c>
      <c r="BQ4419">
        <f>IF(4406&lt;$U$9,SUMPRODUCT(($D$10:$L$10&lt;&gt;"")*(($D$9:$L$9+INT(($S$12:$AA$12+INDEX($AJ$13:$AR$162,BN4419,0)+INDEX($AT$13:$BB$162,BO4419,0)+INDEX($BD$13:$BL$162,BP4419,0))/100))&gt;=$D$10:$L$10)),0)</f>
        <v/>
      </c>
      <c r="BR4419">
        <f>IF(4406&lt;$U$9,SUMPRODUCT(($D$10:$L$10&lt;&gt;"")*(($D$10:$L$10-($D$9:$L$9+INT(($S$12:$AA$12+INDEX($AJ$13:$AR$162,BN4419,0)+INDEX($AT$13:$BB$162,BO4419,0)+INDEX($BD$13:$BL$162,BP4419,0))/100)))&gt;0)*($D$10:$L$10-($D$9:$L$9+INT(($S$12:$AA$12+INDEX($AJ$13:$AR$162,BN4419,0)+INDEX($AT$13:$BB$162,BO4419,0)+INDEX($BD$13:$BL$162,BP4419,0))/100)))),0)</f>
        <v/>
      </c>
      <c r="BS4419">
        <f>IF(4406&lt;$U$9,SUMPRODUCT(($D$9:$L$9+INT(($S$12:$AA$12+INDEX($AJ$13:$AR$162,BN4419,0)+INDEX($AT$13:$BB$162,BO4419,0)+INDEX($BD$13:$BL$162,BP4419,0))/100))),0)</f>
        <v/>
      </c>
      <c r="BT4419">
        <f>IF(AND(4406&lt;$U$9,$W$5),BQ4419*1000000-MIN(BR4419,999)*1000+BS4419-4406/100000,-1000000000-4406)</f>
        <v/>
      </c>
    </row>
    <row r="4420">
      <c r="BN4420">
        <f>IF(4407&lt;$U$9,INT(4407/($U$7*$U$8))+1,1)</f>
        <v/>
      </c>
      <c r="BO4420">
        <f>IF(4407&lt;$U$9,MOD(INT(4407/$U$8),$U$7)+1,1)</f>
        <v/>
      </c>
      <c r="BP4420">
        <f>IF(4407&lt;$U$9,MOD(4407,$U$8)+1,1)</f>
        <v/>
      </c>
      <c r="BQ4420">
        <f>IF(4407&lt;$U$9,SUMPRODUCT(($D$10:$L$10&lt;&gt;"")*(($D$9:$L$9+INT(($S$12:$AA$12+INDEX($AJ$13:$AR$162,BN4420,0)+INDEX($AT$13:$BB$162,BO4420,0)+INDEX($BD$13:$BL$162,BP4420,0))/100))&gt;=$D$10:$L$10)),0)</f>
        <v/>
      </c>
      <c r="BR4420">
        <f>IF(4407&lt;$U$9,SUMPRODUCT(($D$10:$L$10&lt;&gt;"")*(($D$10:$L$10-($D$9:$L$9+INT(($S$12:$AA$12+INDEX($AJ$13:$AR$162,BN4420,0)+INDEX($AT$13:$BB$162,BO4420,0)+INDEX($BD$13:$BL$162,BP4420,0))/100)))&gt;0)*($D$10:$L$10-($D$9:$L$9+INT(($S$12:$AA$12+INDEX($AJ$13:$AR$162,BN4420,0)+INDEX($AT$13:$BB$162,BO4420,0)+INDEX($BD$13:$BL$162,BP4420,0))/100)))),0)</f>
        <v/>
      </c>
      <c r="BS4420">
        <f>IF(4407&lt;$U$9,SUMPRODUCT(($D$9:$L$9+INT(($S$12:$AA$12+INDEX($AJ$13:$AR$162,BN4420,0)+INDEX($AT$13:$BB$162,BO4420,0)+INDEX($BD$13:$BL$162,BP4420,0))/100))),0)</f>
        <v/>
      </c>
      <c r="BT4420">
        <f>IF(AND(4407&lt;$U$9,$W$5),BQ4420*1000000-MIN(BR4420,999)*1000+BS4420-4407/100000,-1000000000-4407)</f>
        <v/>
      </c>
    </row>
    <row r="4421">
      <c r="BN4421">
        <f>IF(4408&lt;$U$9,INT(4408/($U$7*$U$8))+1,1)</f>
        <v/>
      </c>
      <c r="BO4421">
        <f>IF(4408&lt;$U$9,MOD(INT(4408/$U$8),$U$7)+1,1)</f>
        <v/>
      </c>
      <c r="BP4421">
        <f>IF(4408&lt;$U$9,MOD(4408,$U$8)+1,1)</f>
        <v/>
      </c>
      <c r="BQ4421">
        <f>IF(4408&lt;$U$9,SUMPRODUCT(($D$10:$L$10&lt;&gt;"")*(($D$9:$L$9+INT(($S$12:$AA$12+INDEX($AJ$13:$AR$162,BN4421,0)+INDEX($AT$13:$BB$162,BO4421,0)+INDEX($BD$13:$BL$162,BP4421,0))/100))&gt;=$D$10:$L$10)),0)</f>
        <v/>
      </c>
      <c r="BR4421">
        <f>IF(4408&lt;$U$9,SUMPRODUCT(($D$10:$L$10&lt;&gt;"")*(($D$10:$L$10-($D$9:$L$9+INT(($S$12:$AA$12+INDEX($AJ$13:$AR$162,BN4421,0)+INDEX($AT$13:$BB$162,BO4421,0)+INDEX($BD$13:$BL$162,BP4421,0))/100)))&gt;0)*($D$10:$L$10-($D$9:$L$9+INT(($S$12:$AA$12+INDEX($AJ$13:$AR$162,BN4421,0)+INDEX($AT$13:$BB$162,BO4421,0)+INDEX($BD$13:$BL$162,BP4421,0))/100)))),0)</f>
        <v/>
      </c>
      <c r="BS4421">
        <f>IF(4408&lt;$U$9,SUMPRODUCT(($D$9:$L$9+INT(($S$12:$AA$12+INDEX($AJ$13:$AR$162,BN4421,0)+INDEX($AT$13:$BB$162,BO4421,0)+INDEX($BD$13:$BL$162,BP4421,0))/100))),0)</f>
        <v/>
      </c>
      <c r="BT4421">
        <f>IF(AND(4408&lt;$U$9,$W$5),BQ4421*1000000-MIN(BR4421,999)*1000+BS4421-4408/100000,-1000000000-4408)</f>
        <v/>
      </c>
    </row>
    <row r="4422">
      <c r="BN4422">
        <f>IF(4409&lt;$U$9,INT(4409/($U$7*$U$8))+1,1)</f>
        <v/>
      </c>
      <c r="BO4422">
        <f>IF(4409&lt;$U$9,MOD(INT(4409/$U$8),$U$7)+1,1)</f>
        <v/>
      </c>
      <c r="BP4422">
        <f>IF(4409&lt;$U$9,MOD(4409,$U$8)+1,1)</f>
        <v/>
      </c>
      <c r="BQ4422">
        <f>IF(4409&lt;$U$9,SUMPRODUCT(($D$10:$L$10&lt;&gt;"")*(($D$9:$L$9+INT(($S$12:$AA$12+INDEX($AJ$13:$AR$162,BN4422,0)+INDEX($AT$13:$BB$162,BO4422,0)+INDEX($BD$13:$BL$162,BP4422,0))/100))&gt;=$D$10:$L$10)),0)</f>
        <v/>
      </c>
      <c r="BR4422">
        <f>IF(4409&lt;$U$9,SUMPRODUCT(($D$10:$L$10&lt;&gt;"")*(($D$10:$L$10-($D$9:$L$9+INT(($S$12:$AA$12+INDEX($AJ$13:$AR$162,BN4422,0)+INDEX($AT$13:$BB$162,BO4422,0)+INDEX($BD$13:$BL$162,BP4422,0))/100)))&gt;0)*($D$10:$L$10-($D$9:$L$9+INT(($S$12:$AA$12+INDEX($AJ$13:$AR$162,BN4422,0)+INDEX($AT$13:$BB$162,BO4422,0)+INDEX($BD$13:$BL$162,BP4422,0))/100)))),0)</f>
        <v/>
      </c>
      <c r="BS4422">
        <f>IF(4409&lt;$U$9,SUMPRODUCT(($D$9:$L$9+INT(($S$12:$AA$12+INDEX($AJ$13:$AR$162,BN4422,0)+INDEX($AT$13:$BB$162,BO4422,0)+INDEX($BD$13:$BL$162,BP4422,0))/100))),0)</f>
        <v/>
      </c>
      <c r="BT4422">
        <f>IF(AND(4409&lt;$U$9,$W$5),BQ4422*1000000-MIN(BR4422,999)*1000+BS4422-4409/100000,-1000000000-4409)</f>
        <v/>
      </c>
    </row>
    <row r="4423">
      <c r="BN4423">
        <f>IF(4410&lt;$U$9,INT(4410/($U$7*$U$8))+1,1)</f>
        <v/>
      </c>
      <c r="BO4423">
        <f>IF(4410&lt;$U$9,MOD(INT(4410/$U$8),$U$7)+1,1)</f>
        <v/>
      </c>
      <c r="BP4423">
        <f>IF(4410&lt;$U$9,MOD(4410,$U$8)+1,1)</f>
        <v/>
      </c>
      <c r="BQ4423">
        <f>IF(4410&lt;$U$9,SUMPRODUCT(($D$10:$L$10&lt;&gt;"")*(($D$9:$L$9+INT(($S$12:$AA$12+INDEX($AJ$13:$AR$162,BN4423,0)+INDEX($AT$13:$BB$162,BO4423,0)+INDEX($BD$13:$BL$162,BP4423,0))/100))&gt;=$D$10:$L$10)),0)</f>
        <v/>
      </c>
      <c r="BR4423">
        <f>IF(4410&lt;$U$9,SUMPRODUCT(($D$10:$L$10&lt;&gt;"")*(($D$10:$L$10-($D$9:$L$9+INT(($S$12:$AA$12+INDEX($AJ$13:$AR$162,BN4423,0)+INDEX($AT$13:$BB$162,BO4423,0)+INDEX($BD$13:$BL$162,BP4423,0))/100)))&gt;0)*($D$10:$L$10-($D$9:$L$9+INT(($S$12:$AA$12+INDEX($AJ$13:$AR$162,BN4423,0)+INDEX($AT$13:$BB$162,BO4423,0)+INDEX($BD$13:$BL$162,BP4423,0))/100)))),0)</f>
        <v/>
      </c>
      <c r="BS4423">
        <f>IF(4410&lt;$U$9,SUMPRODUCT(($D$9:$L$9+INT(($S$12:$AA$12+INDEX($AJ$13:$AR$162,BN4423,0)+INDEX($AT$13:$BB$162,BO4423,0)+INDEX($BD$13:$BL$162,BP4423,0))/100))),0)</f>
        <v/>
      </c>
      <c r="BT4423">
        <f>IF(AND(4410&lt;$U$9,$W$5),BQ4423*1000000-MIN(BR4423,999)*1000+BS4423-4410/100000,-1000000000-4410)</f>
        <v/>
      </c>
    </row>
    <row r="4424">
      <c r="BN4424">
        <f>IF(4411&lt;$U$9,INT(4411/($U$7*$U$8))+1,1)</f>
        <v/>
      </c>
      <c r="BO4424">
        <f>IF(4411&lt;$U$9,MOD(INT(4411/$U$8),$U$7)+1,1)</f>
        <v/>
      </c>
      <c r="BP4424">
        <f>IF(4411&lt;$U$9,MOD(4411,$U$8)+1,1)</f>
        <v/>
      </c>
      <c r="BQ4424">
        <f>IF(4411&lt;$U$9,SUMPRODUCT(($D$10:$L$10&lt;&gt;"")*(($D$9:$L$9+INT(($S$12:$AA$12+INDEX($AJ$13:$AR$162,BN4424,0)+INDEX($AT$13:$BB$162,BO4424,0)+INDEX($BD$13:$BL$162,BP4424,0))/100))&gt;=$D$10:$L$10)),0)</f>
        <v/>
      </c>
      <c r="BR4424">
        <f>IF(4411&lt;$U$9,SUMPRODUCT(($D$10:$L$10&lt;&gt;"")*(($D$10:$L$10-($D$9:$L$9+INT(($S$12:$AA$12+INDEX($AJ$13:$AR$162,BN4424,0)+INDEX($AT$13:$BB$162,BO4424,0)+INDEX($BD$13:$BL$162,BP4424,0))/100)))&gt;0)*($D$10:$L$10-($D$9:$L$9+INT(($S$12:$AA$12+INDEX($AJ$13:$AR$162,BN4424,0)+INDEX($AT$13:$BB$162,BO4424,0)+INDEX($BD$13:$BL$162,BP4424,0))/100)))),0)</f>
        <v/>
      </c>
      <c r="BS4424">
        <f>IF(4411&lt;$U$9,SUMPRODUCT(($D$9:$L$9+INT(($S$12:$AA$12+INDEX($AJ$13:$AR$162,BN4424,0)+INDEX($AT$13:$BB$162,BO4424,0)+INDEX($BD$13:$BL$162,BP4424,0))/100))),0)</f>
        <v/>
      </c>
      <c r="BT4424">
        <f>IF(AND(4411&lt;$U$9,$W$5),BQ4424*1000000-MIN(BR4424,999)*1000+BS4424-4411/100000,-1000000000-4411)</f>
        <v/>
      </c>
    </row>
    <row r="4425">
      <c r="BN4425">
        <f>IF(4412&lt;$U$9,INT(4412/($U$7*$U$8))+1,1)</f>
        <v/>
      </c>
      <c r="BO4425">
        <f>IF(4412&lt;$U$9,MOD(INT(4412/$U$8),$U$7)+1,1)</f>
        <v/>
      </c>
      <c r="BP4425">
        <f>IF(4412&lt;$U$9,MOD(4412,$U$8)+1,1)</f>
        <v/>
      </c>
      <c r="BQ4425">
        <f>IF(4412&lt;$U$9,SUMPRODUCT(($D$10:$L$10&lt;&gt;"")*(($D$9:$L$9+INT(($S$12:$AA$12+INDEX($AJ$13:$AR$162,BN4425,0)+INDEX($AT$13:$BB$162,BO4425,0)+INDEX($BD$13:$BL$162,BP4425,0))/100))&gt;=$D$10:$L$10)),0)</f>
        <v/>
      </c>
      <c r="BR4425">
        <f>IF(4412&lt;$U$9,SUMPRODUCT(($D$10:$L$10&lt;&gt;"")*(($D$10:$L$10-($D$9:$L$9+INT(($S$12:$AA$12+INDEX($AJ$13:$AR$162,BN4425,0)+INDEX($AT$13:$BB$162,BO4425,0)+INDEX($BD$13:$BL$162,BP4425,0))/100)))&gt;0)*($D$10:$L$10-($D$9:$L$9+INT(($S$12:$AA$12+INDEX($AJ$13:$AR$162,BN4425,0)+INDEX($AT$13:$BB$162,BO4425,0)+INDEX($BD$13:$BL$162,BP4425,0))/100)))),0)</f>
        <v/>
      </c>
      <c r="BS4425">
        <f>IF(4412&lt;$U$9,SUMPRODUCT(($D$9:$L$9+INT(($S$12:$AA$12+INDEX($AJ$13:$AR$162,BN4425,0)+INDEX($AT$13:$BB$162,BO4425,0)+INDEX($BD$13:$BL$162,BP4425,0))/100))),0)</f>
        <v/>
      </c>
      <c r="BT4425">
        <f>IF(AND(4412&lt;$U$9,$W$5),BQ4425*1000000-MIN(BR4425,999)*1000+BS4425-4412/100000,-1000000000-4412)</f>
        <v/>
      </c>
    </row>
    <row r="4426">
      <c r="BN4426">
        <f>IF(4413&lt;$U$9,INT(4413/($U$7*$U$8))+1,1)</f>
        <v/>
      </c>
      <c r="BO4426">
        <f>IF(4413&lt;$U$9,MOD(INT(4413/$U$8),$U$7)+1,1)</f>
        <v/>
      </c>
      <c r="BP4426">
        <f>IF(4413&lt;$U$9,MOD(4413,$U$8)+1,1)</f>
        <v/>
      </c>
      <c r="BQ4426">
        <f>IF(4413&lt;$U$9,SUMPRODUCT(($D$10:$L$10&lt;&gt;"")*(($D$9:$L$9+INT(($S$12:$AA$12+INDEX($AJ$13:$AR$162,BN4426,0)+INDEX($AT$13:$BB$162,BO4426,0)+INDEX($BD$13:$BL$162,BP4426,0))/100))&gt;=$D$10:$L$10)),0)</f>
        <v/>
      </c>
      <c r="BR4426">
        <f>IF(4413&lt;$U$9,SUMPRODUCT(($D$10:$L$10&lt;&gt;"")*(($D$10:$L$10-($D$9:$L$9+INT(($S$12:$AA$12+INDEX($AJ$13:$AR$162,BN4426,0)+INDEX($AT$13:$BB$162,BO4426,0)+INDEX($BD$13:$BL$162,BP4426,0))/100)))&gt;0)*($D$10:$L$10-($D$9:$L$9+INT(($S$12:$AA$12+INDEX($AJ$13:$AR$162,BN4426,0)+INDEX($AT$13:$BB$162,BO4426,0)+INDEX($BD$13:$BL$162,BP4426,0))/100)))),0)</f>
        <v/>
      </c>
      <c r="BS4426">
        <f>IF(4413&lt;$U$9,SUMPRODUCT(($D$9:$L$9+INT(($S$12:$AA$12+INDEX($AJ$13:$AR$162,BN4426,0)+INDEX($AT$13:$BB$162,BO4426,0)+INDEX($BD$13:$BL$162,BP4426,0))/100))),0)</f>
        <v/>
      </c>
      <c r="BT4426">
        <f>IF(AND(4413&lt;$U$9,$W$5),BQ4426*1000000-MIN(BR4426,999)*1000+BS4426-4413/100000,-1000000000-4413)</f>
        <v/>
      </c>
    </row>
    <row r="4427">
      <c r="BN4427">
        <f>IF(4414&lt;$U$9,INT(4414/($U$7*$U$8))+1,1)</f>
        <v/>
      </c>
      <c r="BO4427">
        <f>IF(4414&lt;$U$9,MOD(INT(4414/$U$8),$U$7)+1,1)</f>
        <v/>
      </c>
      <c r="BP4427">
        <f>IF(4414&lt;$U$9,MOD(4414,$U$8)+1,1)</f>
        <v/>
      </c>
      <c r="BQ4427">
        <f>IF(4414&lt;$U$9,SUMPRODUCT(($D$10:$L$10&lt;&gt;"")*(($D$9:$L$9+INT(($S$12:$AA$12+INDEX($AJ$13:$AR$162,BN4427,0)+INDEX($AT$13:$BB$162,BO4427,0)+INDEX($BD$13:$BL$162,BP4427,0))/100))&gt;=$D$10:$L$10)),0)</f>
        <v/>
      </c>
      <c r="BR4427">
        <f>IF(4414&lt;$U$9,SUMPRODUCT(($D$10:$L$10&lt;&gt;"")*(($D$10:$L$10-($D$9:$L$9+INT(($S$12:$AA$12+INDEX($AJ$13:$AR$162,BN4427,0)+INDEX($AT$13:$BB$162,BO4427,0)+INDEX($BD$13:$BL$162,BP4427,0))/100)))&gt;0)*($D$10:$L$10-($D$9:$L$9+INT(($S$12:$AA$12+INDEX($AJ$13:$AR$162,BN4427,0)+INDEX($AT$13:$BB$162,BO4427,0)+INDEX($BD$13:$BL$162,BP4427,0))/100)))),0)</f>
        <v/>
      </c>
      <c r="BS4427">
        <f>IF(4414&lt;$U$9,SUMPRODUCT(($D$9:$L$9+INT(($S$12:$AA$12+INDEX($AJ$13:$AR$162,BN4427,0)+INDEX($AT$13:$BB$162,BO4427,0)+INDEX($BD$13:$BL$162,BP4427,0))/100))),0)</f>
        <v/>
      </c>
      <c r="BT4427">
        <f>IF(AND(4414&lt;$U$9,$W$5),BQ4427*1000000-MIN(BR4427,999)*1000+BS4427-4414/100000,-1000000000-4414)</f>
        <v/>
      </c>
    </row>
    <row r="4428">
      <c r="BN4428">
        <f>IF(4415&lt;$U$9,INT(4415/($U$7*$U$8))+1,1)</f>
        <v/>
      </c>
      <c r="BO4428">
        <f>IF(4415&lt;$U$9,MOD(INT(4415/$U$8),$U$7)+1,1)</f>
        <v/>
      </c>
      <c r="BP4428">
        <f>IF(4415&lt;$U$9,MOD(4415,$U$8)+1,1)</f>
        <v/>
      </c>
      <c r="BQ4428">
        <f>IF(4415&lt;$U$9,SUMPRODUCT(($D$10:$L$10&lt;&gt;"")*(($D$9:$L$9+INT(($S$12:$AA$12+INDEX($AJ$13:$AR$162,BN4428,0)+INDEX($AT$13:$BB$162,BO4428,0)+INDEX($BD$13:$BL$162,BP4428,0))/100))&gt;=$D$10:$L$10)),0)</f>
        <v/>
      </c>
      <c r="BR4428">
        <f>IF(4415&lt;$U$9,SUMPRODUCT(($D$10:$L$10&lt;&gt;"")*(($D$10:$L$10-($D$9:$L$9+INT(($S$12:$AA$12+INDEX($AJ$13:$AR$162,BN4428,0)+INDEX($AT$13:$BB$162,BO4428,0)+INDEX($BD$13:$BL$162,BP4428,0))/100)))&gt;0)*($D$10:$L$10-($D$9:$L$9+INT(($S$12:$AA$12+INDEX($AJ$13:$AR$162,BN4428,0)+INDEX($AT$13:$BB$162,BO4428,0)+INDEX($BD$13:$BL$162,BP4428,0))/100)))),0)</f>
        <v/>
      </c>
      <c r="BS4428">
        <f>IF(4415&lt;$U$9,SUMPRODUCT(($D$9:$L$9+INT(($S$12:$AA$12+INDEX($AJ$13:$AR$162,BN4428,0)+INDEX($AT$13:$BB$162,BO4428,0)+INDEX($BD$13:$BL$162,BP4428,0))/100))),0)</f>
        <v/>
      </c>
      <c r="BT4428">
        <f>IF(AND(4415&lt;$U$9,$W$5),BQ4428*1000000-MIN(BR4428,999)*1000+BS4428-4415/100000,-1000000000-4415)</f>
        <v/>
      </c>
    </row>
    <row r="4429">
      <c r="BN4429">
        <f>IF(4416&lt;$U$9,INT(4416/($U$7*$U$8))+1,1)</f>
        <v/>
      </c>
      <c r="BO4429">
        <f>IF(4416&lt;$U$9,MOD(INT(4416/$U$8),$U$7)+1,1)</f>
        <v/>
      </c>
      <c r="BP4429">
        <f>IF(4416&lt;$U$9,MOD(4416,$U$8)+1,1)</f>
        <v/>
      </c>
      <c r="BQ4429">
        <f>IF(4416&lt;$U$9,SUMPRODUCT(($D$10:$L$10&lt;&gt;"")*(($D$9:$L$9+INT(($S$12:$AA$12+INDEX($AJ$13:$AR$162,BN4429,0)+INDEX($AT$13:$BB$162,BO4429,0)+INDEX($BD$13:$BL$162,BP4429,0))/100))&gt;=$D$10:$L$10)),0)</f>
        <v/>
      </c>
      <c r="BR4429">
        <f>IF(4416&lt;$U$9,SUMPRODUCT(($D$10:$L$10&lt;&gt;"")*(($D$10:$L$10-($D$9:$L$9+INT(($S$12:$AA$12+INDEX($AJ$13:$AR$162,BN4429,0)+INDEX($AT$13:$BB$162,BO4429,0)+INDEX($BD$13:$BL$162,BP4429,0))/100)))&gt;0)*($D$10:$L$10-($D$9:$L$9+INT(($S$12:$AA$12+INDEX($AJ$13:$AR$162,BN4429,0)+INDEX($AT$13:$BB$162,BO4429,0)+INDEX($BD$13:$BL$162,BP4429,0))/100)))),0)</f>
        <v/>
      </c>
      <c r="BS4429">
        <f>IF(4416&lt;$U$9,SUMPRODUCT(($D$9:$L$9+INT(($S$12:$AA$12+INDEX($AJ$13:$AR$162,BN4429,0)+INDEX($AT$13:$BB$162,BO4429,0)+INDEX($BD$13:$BL$162,BP4429,0))/100))),0)</f>
        <v/>
      </c>
      <c r="BT4429">
        <f>IF(AND(4416&lt;$U$9,$W$5),BQ4429*1000000-MIN(BR4429,999)*1000+BS4429-4416/100000,-1000000000-4416)</f>
        <v/>
      </c>
    </row>
    <row r="4430">
      <c r="BN4430">
        <f>IF(4417&lt;$U$9,INT(4417/($U$7*$U$8))+1,1)</f>
        <v/>
      </c>
      <c r="BO4430">
        <f>IF(4417&lt;$U$9,MOD(INT(4417/$U$8),$U$7)+1,1)</f>
        <v/>
      </c>
      <c r="BP4430">
        <f>IF(4417&lt;$U$9,MOD(4417,$U$8)+1,1)</f>
        <v/>
      </c>
      <c r="BQ4430">
        <f>IF(4417&lt;$U$9,SUMPRODUCT(($D$10:$L$10&lt;&gt;"")*(($D$9:$L$9+INT(($S$12:$AA$12+INDEX($AJ$13:$AR$162,BN4430,0)+INDEX($AT$13:$BB$162,BO4430,0)+INDEX($BD$13:$BL$162,BP4430,0))/100))&gt;=$D$10:$L$10)),0)</f>
        <v/>
      </c>
      <c r="BR4430">
        <f>IF(4417&lt;$U$9,SUMPRODUCT(($D$10:$L$10&lt;&gt;"")*(($D$10:$L$10-($D$9:$L$9+INT(($S$12:$AA$12+INDEX($AJ$13:$AR$162,BN4430,0)+INDEX($AT$13:$BB$162,BO4430,0)+INDEX($BD$13:$BL$162,BP4430,0))/100)))&gt;0)*($D$10:$L$10-($D$9:$L$9+INT(($S$12:$AA$12+INDEX($AJ$13:$AR$162,BN4430,0)+INDEX($AT$13:$BB$162,BO4430,0)+INDEX($BD$13:$BL$162,BP4430,0))/100)))),0)</f>
        <v/>
      </c>
      <c r="BS4430">
        <f>IF(4417&lt;$U$9,SUMPRODUCT(($D$9:$L$9+INT(($S$12:$AA$12+INDEX($AJ$13:$AR$162,BN4430,0)+INDEX($AT$13:$BB$162,BO4430,0)+INDEX($BD$13:$BL$162,BP4430,0))/100))),0)</f>
        <v/>
      </c>
      <c r="BT4430">
        <f>IF(AND(4417&lt;$U$9,$W$5),BQ4430*1000000-MIN(BR4430,999)*1000+BS4430-4417/100000,-1000000000-4417)</f>
        <v/>
      </c>
    </row>
    <row r="4431">
      <c r="BN4431">
        <f>IF(4418&lt;$U$9,INT(4418/($U$7*$U$8))+1,1)</f>
        <v/>
      </c>
      <c r="BO4431">
        <f>IF(4418&lt;$U$9,MOD(INT(4418/$U$8),$U$7)+1,1)</f>
        <v/>
      </c>
      <c r="BP4431">
        <f>IF(4418&lt;$U$9,MOD(4418,$U$8)+1,1)</f>
        <v/>
      </c>
      <c r="BQ4431">
        <f>IF(4418&lt;$U$9,SUMPRODUCT(($D$10:$L$10&lt;&gt;"")*(($D$9:$L$9+INT(($S$12:$AA$12+INDEX($AJ$13:$AR$162,BN4431,0)+INDEX($AT$13:$BB$162,BO4431,0)+INDEX($BD$13:$BL$162,BP4431,0))/100))&gt;=$D$10:$L$10)),0)</f>
        <v/>
      </c>
      <c r="BR4431">
        <f>IF(4418&lt;$U$9,SUMPRODUCT(($D$10:$L$10&lt;&gt;"")*(($D$10:$L$10-($D$9:$L$9+INT(($S$12:$AA$12+INDEX($AJ$13:$AR$162,BN4431,0)+INDEX($AT$13:$BB$162,BO4431,0)+INDEX($BD$13:$BL$162,BP4431,0))/100)))&gt;0)*($D$10:$L$10-($D$9:$L$9+INT(($S$12:$AA$12+INDEX($AJ$13:$AR$162,BN4431,0)+INDEX($AT$13:$BB$162,BO4431,0)+INDEX($BD$13:$BL$162,BP4431,0))/100)))),0)</f>
        <v/>
      </c>
      <c r="BS4431">
        <f>IF(4418&lt;$U$9,SUMPRODUCT(($D$9:$L$9+INT(($S$12:$AA$12+INDEX($AJ$13:$AR$162,BN4431,0)+INDEX($AT$13:$BB$162,BO4431,0)+INDEX($BD$13:$BL$162,BP4431,0))/100))),0)</f>
        <v/>
      </c>
      <c r="BT4431">
        <f>IF(AND(4418&lt;$U$9,$W$5),BQ4431*1000000-MIN(BR4431,999)*1000+BS4431-4418/100000,-1000000000-4418)</f>
        <v/>
      </c>
    </row>
    <row r="4432">
      <c r="BN4432">
        <f>IF(4419&lt;$U$9,INT(4419/($U$7*$U$8))+1,1)</f>
        <v/>
      </c>
      <c r="BO4432">
        <f>IF(4419&lt;$U$9,MOD(INT(4419/$U$8),$U$7)+1,1)</f>
        <v/>
      </c>
      <c r="BP4432">
        <f>IF(4419&lt;$U$9,MOD(4419,$U$8)+1,1)</f>
        <v/>
      </c>
      <c r="BQ4432">
        <f>IF(4419&lt;$U$9,SUMPRODUCT(($D$10:$L$10&lt;&gt;"")*(($D$9:$L$9+INT(($S$12:$AA$12+INDEX($AJ$13:$AR$162,BN4432,0)+INDEX($AT$13:$BB$162,BO4432,0)+INDEX($BD$13:$BL$162,BP4432,0))/100))&gt;=$D$10:$L$10)),0)</f>
        <v/>
      </c>
      <c r="BR4432">
        <f>IF(4419&lt;$U$9,SUMPRODUCT(($D$10:$L$10&lt;&gt;"")*(($D$10:$L$10-($D$9:$L$9+INT(($S$12:$AA$12+INDEX($AJ$13:$AR$162,BN4432,0)+INDEX($AT$13:$BB$162,BO4432,0)+INDEX($BD$13:$BL$162,BP4432,0))/100)))&gt;0)*($D$10:$L$10-($D$9:$L$9+INT(($S$12:$AA$12+INDEX($AJ$13:$AR$162,BN4432,0)+INDEX($AT$13:$BB$162,BO4432,0)+INDEX($BD$13:$BL$162,BP4432,0))/100)))),0)</f>
        <v/>
      </c>
      <c r="BS4432">
        <f>IF(4419&lt;$U$9,SUMPRODUCT(($D$9:$L$9+INT(($S$12:$AA$12+INDEX($AJ$13:$AR$162,BN4432,0)+INDEX($AT$13:$BB$162,BO4432,0)+INDEX($BD$13:$BL$162,BP4432,0))/100))),0)</f>
        <v/>
      </c>
      <c r="BT4432">
        <f>IF(AND(4419&lt;$U$9,$W$5),BQ4432*1000000-MIN(BR4432,999)*1000+BS4432-4419/100000,-1000000000-4419)</f>
        <v/>
      </c>
    </row>
    <row r="4433">
      <c r="BN4433">
        <f>IF(4420&lt;$U$9,INT(4420/($U$7*$U$8))+1,1)</f>
        <v/>
      </c>
      <c r="BO4433">
        <f>IF(4420&lt;$U$9,MOD(INT(4420/$U$8),$U$7)+1,1)</f>
        <v/>
      </c>
      <c r="BP4433">
        <f>IF(4420&lt;$U$9,MOD(4420,$U$8)+1,1)</f>
        <v/>
      </c>
      <c r="BQ4433">
        <f>IF(4420&lt;$U$9,SUMPRODUCT(($D$10:$L$10&lt;&gt;"")*(($D$9:$L$9+INT(($S$12:$AA$12+INDEX($AJ$13:$AR$162,BN4433,0)+INDEX($AT$13:$BB$162,BO4433,0)+INDEX($BD$13:$BL$162,BP4433,0))/100))&gt;=$D$10:$L$10)),0)</f>
        <v/>
      </c>
      <c r="BR4433">
        <f>IF(4420&lt;$U$9,SUMPRODUCT(($D$10:$L$10&lt;&gt;"")*(($D$10:$L$10-($D$9:$L$9+INT(($S$12:$AA$12+INDEX($AJ$13:$AR$162,BN4433,0)+INDEX($AT$13:$BB$162,BO4433,0)+INDEX($BD$13:$BL$162,BP4433,0))/100)))&gt;0)*($D$10:$L$10-($D$9:$L$9+INT(($S$12:$AA$12+INDEX($AJ$13:$AR$162,BN4433,0)+INDEX($AT$13:$BB$162,BO4433,0)+INDEX($BD$13:$BL$162,BP4433,0))/100)))),0)</f>
        <v/>
      </c>
      <c r="BS4433">
        <f>IF(4420&lt;$U$9,SUMPRODUCT(($D$9:$L$9+INT(($S$12:$AA$12+INDEX($AJ$13:$AR$162,BN4433,0)+INDEX($AT$13:$BB$162,BO4433,0)+INDEX($BD$13:$BL$162,BP4433,0))/100))),0)</f>
        <v/>
      </c>
      <c r="BT4433">
        <f>IF(AND(4420&lt;$U$9,$W$5),BQ4433*1000000-MIN(BR4433,999)*1000+BS4433-4420/100000,-1000000000-4420)</f>
        <v/>
      </c>
    </row>
    <row r="4434">
      <c r="BN4434">
        <f>IF(4421&lt;$U$9,INT(4421/($U$7*$U$8))+1,1)</f>
        <v/>
      </c>
      <c r="BO4434">
        <f>IF(4421&lt;$U$9,MOD(INT(4421/$U$8),$U$7)+1,1)</f>
        <v/>
      </c>
      <c r="BP4434">
        <f>IF(4421&lt;$U$9,MOD(4421,$U$8)+1,1)</f>
        <v/>
      </c>
      <c r="BQ4434">
        <f>IF(4421&lt;$U$9,SUMPRODUCT(($D$10:$L$10&lt;&gt;"")*(($D$9:$L$9+INT(($S$12:$AA$12+INDEX($AJ$13:$AR$162,BN4434,0)+INDEX($AT$13:$BB$162,BO4434,0)+INDEX($BD$13:$BL$162,BP4434,0))/100))&gt;=$D$10:$L$10)),0)</f>
        <v/>
      </c>
      <c r="BR4434">
        <f>IF(4421&lt;$U$9,SUMPRODUCT(($D$10:$L$10&lt;&gt;"")*(($D$10:$L$10-($D$9:$L$9+INT(($S$12:$AA$12+INDEX($AJ$13:$AR$162,BN4434,0)+INDEX($AT$13:$BB$162,BO4434,0)+INDEX($BD$13:$BL$162,BP4434,0))/100)))&gt;0)*($D$10:$L$10-($D$9:$L$9+INT(($S$12:$AA$12+INDEX($AJ$13:$AR$162,BN4434,0)+INDEX($AT$13:$BB$162,BO4434,0)+INDEX($BD$13:$BL$162,BP4434,0))/100)))),0)</f>
        <v/>
      </c>
      <c r="BS4434">
        <f>IF(4421&lt;$U$9,SUMPRODUCT(($D$9:$L$9+INT(($S$12:$AA$12+INDEX($AJ$13:$AR$162,BN4434,0)+INDEX($AT$13:$BB$162,BO4434,0)+INDEX($BD$13:$BL$162,BP4434,0))/100))),0)</f>
        <v/>
      </c>
      <c r="BT4434">
        <f>IF(AND(4421&lt;$U$9,$W$5),BQ4434*1000000-MIN(BR4434,999)*1000+BS4434-4421/100000,-1000000000-4421)</f>
        <v/>
      </c>
    </row>
    <row r="4435">
      <c r="BN4435">
        <f>IF(4422&lt;$U$9,INT(4422/($U$7*$U$8))+1,1)</f>
        <v/>
      </c>
      <c r="BO4435">
        <f>IF(4422&lt;$U$9,MOD(INT(4422/$U$8),$U$7)+1,1)</f>
        <v/>
      </c>
      <c r="BP4435">
        <f>IF(4422&lt;$U$9,MOD(4422,$U$8)+1,1)</f>
        <v/>
      </c>
      <c r="BQ4435">
        <f>IF(4422&lt;$U$9,SUMPRODUCT(($D$10:$L$10&lt;&gt;"")*(($D$9:$L$9+INT(($S$12:$AA$12+INDEX($AJ$13:$AR$162,BN4435,0)+INDEX($AT$13:$BB$162,BO4435,0)+INDEX($BD$13:$BL$162,BP4435,0))/100))&gt;=$D$10:$L$10)),0)</f>
        <v/>
      </c>
      <c r="BR4435">
        <f>IF(4422&lt;$U$9,SUMPRODUCT(($D$10:$L$10&lt;&gt;"")*(($D$10:$L$10-($D$9:$L$9+INT(($S$12:$AA$12+INDEX($AJ$13:$AR$162,BN4435,0)+INDEX($AT$13:$BB$162,BO4435,0)+INDEX($BD$13:$BL$162,BP4435,0))/100)))&gt;0)*($D$10:$L$10-($D$9:$L$9+INT(($S$12:$AA$12+INDEX($AJ$13:$AR$162,BN4435,0)+INDEX($AT$13:$BB$162,BO4435,0)+INDEX($BD$13:$BL$162,BP4435,0))/100)))),0)</f>
        <v/>
      </c>
      <c r="BS4435">
        <f>IF(4422&lt;$U$9,SUMPRODUCT(($D$9:$L$9+INT(($S$12:$AA$12+INDEX($AJ$13:$AR$162,BN4435,0)+INDEX($AT$13:$BB$162,BO4435,0)+INDEX($BD$13:$BL$162,BP4435,0))/100))),0)</f>
        <v/>
      </c>
      <c r="BT4435">
        <f>IF(AND(4422&lt;$U$9,$W$5),BQ4435*1000000-MIN(BR4435,999)*1000+BS4435-4422/100000,-1000000000-4422)</f>
        <v/>
      </c>
    </row>
    <row r="4436">
      <c r="BN4436">
        <f>IF(4423&lt;$U$9,INT(4423/($U$7*$U$8))+1,1)</f>
        <v/>
      </c>
      <c r="BO4436">
        <f>IF(4423&lt;$U$9,MOD(INT(4423/$U$8),$U$7)+1,1)</f>
        <v/>
      </c>
      <c r="BP4436">
        <f>IF(4423&lt;$U$9,MOD(4423,$U$8)+1,1)</f>
        <v/>
      </c>
      <c r="BQ4436">
        <f>IF(4423&lt;$U$9,SUMPRODUCT(($D$10:$L$10&lt;&gt;"")*(($D$9:$L$9+INT(($S$12:$AA$12+INDEX($AJ$13:$AR$162,BN4436,0)+INDEX($AT$13:$BB$162,BO4436,0)+INDEX($BD$13:$BL$162,BP4436,0))/100))&gt;=$D$10:$L$10)),0)</f>
        <v/>
      </c>
      <c r="BR4436">
        <f>IF(4423&lt;$U$9,SUMPRODUCT(($D$10:$L$10&lt;&gt;"")*(($D$10:$L$10-($D$9:$L$9+INT(($S$12:$AA$12+INDEX($AJ$13:$AR$162,BN4436,0)+INDEX($AT$13:$BB$162,BO4436,0)+INDEX($BD$13:$BL$162,BP4436,0))/100)))&gt;0)*($D$10:$L$10-($D$9:$L$9+INT(($S$12:$AA$12+INDEX($AJ$13:$AR$162,BN4436,0)+INDEX($AT$13:$BB$162,BO4436,0)+INDEX($BD$13:$BL$162,BP4436,0))/100)))),0)</f>
        <v/>
      </c>
      <c r="BS4436">
        <f>IF(4423&lt;$U$9,SUMPRODUCT(($D$9:$L$9+INT(($S$12:$AA$12+INDEX($AJ$13:$AR$162,BN4436,0)+INDEX($AT$13:$BB$162,BO4436,0)+INDEX($BD$13:$BL$162,BP4436,0))/100))),0)</f>
        <v/>
      </c>
      <c r="BT4436">
        <f>IF(AND(4423&lt;$U$9,$W$5),BQ4436*1000000-MIN(BR4436,999)*1000+BS4436-4423/100000,-1000000000-4423)</f>
        <v/>
      </c>
    </row>
    <row r="4437">
      <c r="BN4437">
        <f>IF(4424&lt;$U$9,INT(4424/($U$7*$U$8))+1,1)</f>
        <v/>
      </c>
      <c r="BO4437">
        <f>IF(4424&lt;$U$9,MOD(INT(4424/$U$8),$U$7)+1,1)</f>
        <v/>
      </c>
      <c r="BP4437">
        <f>IF(4424&lt;$U$9,MOD(4424,$U$8)+1,1)</f>
        <v/>
      </c>
      <c r="BQ4437">
        <f>IF(4424&lt;$U$9,SUMPRODUCT(($D$10:$L$10&lt;&gt;"")*(($D$9:$L$9+INT(($S$12:$AA$12+INDEX($AJ$13:$AR$162,BN4437,0)+INDEX($AT$13:$BB$162,BO4437,0)+INDEX($BD$13:$BL$162,BP4437,0))/100))&gt;=$D$10:$L$10)),0)</f>
        <v/>
      </c>
      <c r="BR4437">
        <f>IF(4424&lt;$U$9,SUMPRODUCT(($D$10:$L$10&lt;&gt;"")*(($D$10:$L$10-($D$9:$L$9+INT(($S$12:$AA$12+INDEX($AJ$13:$AR$162,BN4437,0)+INDEX($AT$13:$BB$162,BO4437,0)+INDEX($BD$13:$BL$162,BP4437,0))/100)))&gt;0)*($D$10:$L$10-($D$9:$L$9+INT(($S$12:$AA$12+INDEX($AJ$13:$AR$162,BN4437,0)+INDEX($AT$13:$BB$162,BO4437,0)+INDEX($BD$13:$BL$162,BP4437,0))/100)))),0)</f>
        <v/>
      </c>
      <c r="BS4437">
        <f>IF(4424&lt;$U$9,SUMPRODUCT(($D$9:$L$9+INT(($S$12:$AA$12+INDEX($AJ$13:$AR$162,BN4437,0)+INDEX($AT$13:$BB$162,BO4437,0)+INDEX($BD$13:$BL$162,BP4437,0))/100))),0)</f>
        <v/>
      </c>
      <c r="BT4437">
        <f>IF(AND(4424&lt;$U$9,$W$5),BQ4437*1000000-MIN(BR4437,999)*1000+BS4437-4424/100000,-1000000000-4424)</f>
        <v/>
      </c>
    </row>
    <row r="4438">
      <c r="BN4438">
        <f>IF(4425&lt;$U$9,INT(4425/($U$7*$U$8))+1,1)</f>
        <v/>
      </c>
      <c r="BO4438">
        <f>IF(4425&lt;$U$9,MOD(INT(4425/$U$8),$U$7)+1,1)</f>
        <v/>
      </c>
      <c r="BP4438">
        <f>IF(4425&lt;$U$9,MOD(4425,$U$8)+1,1)</f>
        <v/>
      </c>
      <c r="BQ4438">
        <f>IF(4425&lt;$U$9,SUMPRODUCT(($D$10:$L$10&lt;&gt;"")*(($D$9:$L$9+INT(($S$12:$AA$12+INDEX($AJ$13:$AR$162,BN4438,0)+INDEX($AT$13:$BB$162,BO4438,0)+INDEX($BD$13:$BL$162,BP4438,0))/100))&gt;=$D$10:$L$10)),0)</f>
        <v/>
      </c>
      <c r="BR4438">
        <f>IF(4425&lt;$U$9,SUMPRODUCT(($D$10:$L$10&lt;&gt;"")*(($D$10:$L$10-($D$9:$L$9+INT(($S$12:$AA$12+INDEX($AJ$13:$AR$162,BN4438,0)+INDEX($AT$13:$BB$162,BO4438,0)+INDEX($BD$13:$BL$162,BP4438,0))/100)))&gt;0)*($D$10:$L$10-($D$9:$L$9+INT(($S$12:$AA$12+INDEX($AJ$13:$AR$162,BN4438,0)+INDEX($AT$13:$BB$162,BO4438,0)+INDEX($BD$13:$BL$162,BP4438,0))/100)))),0)</f>
        <v/>
      </c>
      <c r="BS4438">
        <f>IF(4425&lt;$U$9,SUMPRODUCT(($D$9:$L$9+INT(($S$12:$AA$12+INDEX($AJ$13:$AR$162,BN4438,0)+INDEX($AT$13:$BB$162,BO4438,0)+INDEX($BD$13:$BL$162,BP4438,0))/100))),0)</f>
        <v/>
      </c>
      <c r="BT4438">
        <f>IF(AND(4425&lt;$U$9,$W$5),BQ4438*1000000-MIN(BR4438,999)*1000+BS4438-4425/100000,-1000000000-4425)</f>
        <v/>
      </c>
    </row>
    <row r="4439">
      <c r="BN4439">
        <f>IF(4426&lt;$U$9,INT(4426/($U$7*$U$8))+1,1)</f>
        <v/>
      </c>
      <c r="BO4439">
        <f>IF(4426&lt;$U$9,MOD(INT(4426/$U$8),$U$7)+1,1)</f>
        <v/>
      </c>
      <c r="BP4439">
        <f>IF(4426&lt;$U$9,MOD(4426,$U$8)+1,1)</f>
        <v/>
      </c>
      <c r="BQ4439">
        <f>IF(4426&lt;$U$9,SUMPRODUCT(($D$10:$L$10&lt;&gt;"")*(($D$9:$L$9+INT(($S$12:$AA$12+INDEX($AJ$13:$AR$162,BN4439,0)+INDEX($AT$13:$BB$162,BO4439,0)+INDEX($BD$13:$BL$162,BP4439,0))/100))&gt;=$D$10:$L$10)),0)</f>
        <v/>
      </c>
      <c r="BR4439">
        <f>IF(4426&lt;$U$9,SUMPRODUCT(($D$10:$L$10&lt;&gt;"")*(($D$10:$L$10-($D$9:$L$9+INT(($S$12:$AA$12+INDEX($AJ$13:$AR$162,BN4439,0)+INDEX($AT$13:$BB$162,BO4439,0)+INDEX($BD$13:$BL$162,BP4439,0))/100)))&gt;0)*($D$10:$L$10-($D$9:$L$9+INT(($S$12:$AA$12+INDEX($AJ$13:$AR$162,BN4439,0)+INDEX($AT$13:$BB$162,BO4439,0)+INDEX($BD$13:$BL$162,BP4439,0))/100)))),0)</f>
        <v/>
      </c>
      <c r="BS4439">
        <f>IF(4426&lt;$U$9,SUMPRODUCT(($D$9:$L$9+INT(($S$12:$AA$12+INDEX($AJ$13:$AR$162,BN4439,0)+INDEX($AT$13:$BB$162,BO4439,0)+INDEX($BD$13:$BL$162,BP4439,0))/100))),0)</f>
        <v/>
      </c>
      <c r="BT4439">
        <f>IF(AND(4426&lt;$U$9,$W$5),BQ4439*1000000-MIN(BR4439,999)*1000+BS4439-4426/100000,-1000000000-4426)</f>
        <v/>
      </c>
    </row>
    <row r="4440">
      <c r="BN4440">
        <f>IF(4427&lt;$U$9,INT(4427/($U$7*$U$8))+1,1)</f>
        <v/>
      </c>
      <c r="BO4440">
        <f>IF(4427&lt;$U$9,MOD(INT(4427/$U$8),$U$7)+1,1)</f>
        <v/>
      </c>
      <c r="BP4440">
        <f>IF(4427&lt;$U$9,MOD(4427,$U$8)+1,1)</f>
        <v/>
      </c>
      <c r="BQ4440">
        <f>IF(4427&lt;$U$9,SUMPRODUCT(($D$10:$L$10&lt;&gt;"")*(($D$9:$L$9+INT(($S$12:$AA$12+INDEX($AJ$13:$AR$162,BN4440,0)+INDEX($AT$13:$BB$162,BO4440,0)+INDEX($BD$13:$BL$162,BP4440,0))/100))&gt;=$D$10:$L$10)),0)</f>
        <v/>
      </c>
      <c r="BR4440">
        <f>IF(4427&lt;$U$9,SUMPRODUCT(($D$10:$L$10&lt;&gt;"")*(($D$10:$L$10-($D$9:$L$9+INT(($S$12:$AA$12+INDEX($AJ$13:$AR$162,BN4440,0)+INDEX($AT$13:$BB$162,BO4440,0)+INDEX($BD$13:$BL$162,BP4440,0))/100)))&gt;0)*($D$10:$L$10-($D$9:$L$9+INT(($S$12:$AA$12+INDEX($AJ$13:$AR$162,BN4440,0)+INDEX($AT$13:$BB$162,BO4440,0)+INDEX($BD$13:$BL$162,BP4440,0))/100)))),0)</f>
        <v/>
      </c>
      <c r="BS4440">
        <f>IF(4427&lt;$U$9,SUMPRODUCT(($D$9:$L$9+INT(($S$12:$AA$12+INDEX($AJ$13:$AR$162,BN4440,0)+INDEX($AT$13:$BB$162,BO4440,0)+INDEX($BD$13:$BL$162,BP4440,0))/100))),0)</f>
        <v/>
      </c>
      <c r="BT4440">
        <f>IF(AND(4427&lt;$U$9,$W$5),BQ4440*1000000-MIN(BR4440,999)*1000+BS4440-4427/100000,-1000000000-4427)</f>
        <v/>
      </c>
    </row>
    <row r="4441">
      <c r="BN4441">
        <f>IF(4428&lt;$U$9,INT(4428/($U$7*$U$8))+1,1)</f>
        <v/>
      </c>
      <c r="BO4441">
        <f>IF(4428&lt;$U$9,MOD(INT(4428/$U$8),$U$7)+1,1)</f>
        <v/>
      </c>
      <c r="BP4441">
        <f>IF(4428&lt;$U$9,MOD(4428,$U$8)+1,1)</f>
        <v/>
      </c>
      <c r="BQ4441">
        <f>IF(4428&lt;$U$9,SUMPRODUCT(($D$10:$L$10&lt;&gt;"")*(($D$9:$L$9+INT(($S$12:$AA$12+INDEX($AJ$13:$AR$162,BN4441,0)+INDEX($AT$13:$BB$162,BO4441,0)+INDEX($BD$13:$BL$162,BP4441,0))/100))&gt;=$D$10:$L$10)),0)</f>
        <v/>
      </c>
      <c r="BR4441">
        <f>IF(4428&lt;$U$9,SUMPRODUCT(($D$10:$L$10&lt;&gt;"")*(($D$10:$L$10-($D$9:$L$9+INT(($S$12:$AA$12+INDEX($AJ$13:$AR$162,BN4441,0)+INDEX($AT$13:$BB$162,BO4441,0)+INDEX($BD$13:$BL$162,BP4441,0))/100)))&gt;0)*($D$10:$L$10-($D$9:$L$9+INT(($S$12:$AA$12+INDEX($AJ$13:$AR$162,BN4441,0)+INDEX($AT$13:$BB$162,BO4441,0)+INDEX($BD$13:$BL$162,BP4441,0))/100)))),0)</f>
        <v/>
      </c>
      <c r="BS4441">
        <f>IF(4428&lt;$U$9,SUMPRODUCT(($D$9:$L$9+INT(($S$12:$AA$12+INDEX($AJ$13:$AR$162,BN4441,0)+INDEX($AT$13:$BB$162,BO4441,0)+INDEX($BD$13:$BL$162,BP4441,0))/100))),0)</f>
        <v/>
      </c>
      <c r="BT4441">
        <f>IF(AND(4428&lt;$U$9,$W$5),BQ4441*1000000-MIN(BR4441,999)*1000+BS4441-4428/100000,-1000000000-4428)</f>
        <v/>
      </c>
    </row>
    <row r="4442">
      <c r="BN4442">
        <f>IF(4429&lt;$U$9,INT(4429/($U$7*$U$8))+1,1)</f>
        <v/>
      </c>
      <c r="BO4442">
        <f>IF(4429&lt;$U$9,MOD(INT(4429/$U$8),$U$7)+1,1)</f>
        <v/>
      </c>
      <c r="BP4442">
        <f>IF(4429&lt;$U$9,MOD(4429,$U$8)+1,1)</f>
        <v/>
      </c>
      <c r="BQ4442">
        <f>IF(4429&lt;$U$9,SUMPRODUCT(($D$10:$L$10&lt;&gt;"")*(($D$9:$L$9+INT(($S$12:$AA$12+INDEX($AJ$13:$AR$162,BN4442,0)+INDEX($AT$13:$BB$162,BO4442,0)+INDEX($BD$13:$BL$162,BP4442,0))/100))&gt;=$D$10:$L$10)),0)</f>
        <v/>
      </c>
      <c r="BR4442">
        <f>IF(4429&lt;$U$9,SUMPRODUCT(($D$10:$L$10&lt;&gt;"")*(($D$10:$L$10-($D$9:$L$9+INT(($S$12:$AA$12+INDEX($AJ$13:$AR$162,BN4442,0)+INDEX($AT$13:$BB$162,BO4442,0)+INDEX($BD$13:$BL$162,BP4442,0))/100)))&gt;0)*($D$10:$L$10-($D$9:$L$9+INT(($S$12:$AA$12+INDEX($AJ$13:$AR$162,BN4442,0)+INDEX($AT$13:$BB$162,BO4442,0)+INDEX($BD$13:$BL$162,BP4442,0))/100)))),0)</f>
        <v/>
      </c>
      <c r="BS4442">
        <f>IF(4429&lt;$U$9,SUMPRODUCT(($D$9:$L$9+INT(($S$12:$AA$12+INDEX($AJ$13:$AR$162,BN4442,0)+INDEX($AT$13:$BB$162,BO4442,0)+INDEX($BD$13:$BL$162,BP4442,0))/100))),0)</f>
        <v/>
      </c>
      <c r="BT4442">
        <f>IF(AND(4429&lt;$U$9,$W$5),BQ4442*1000000-MIN(BR4442,999)*1000+BS4442-4429/100000,-1000000000-4429)</f>
        <v/>
      </c>
    </row>
    <row r="4443">
      <c r="BN4443">
        <f>IF(4430&lt;$U$9,INT(4430/($U$7*$U$8))+1,1)</f>
        <v/>
      </c>
      <c r="BO4443">
        <f>IF(4430&lt;$U$9,MOD(INT(4430/$U$8),$U$7)+1,1)</f>
        <v/>
      </c>
      <c r="BP4443">
        <f>IF(4430&lt;$U$9,MOD(4430,$U$8)+1,1)</f>
        <v/>
      </c>
      <c r="BQ4443">
        <f>IF(4430&lt;$U$9,SUMPRODUCT(($D$10:$L$10&lt;&gt;"")*(($D$9:$L$9+INT(($S$12:$AA$12+INDEX($AJ$13:$AR$162,BN4443,0)+INDEX($AT$13:$BB$162,BO4443,0)+INDEX($BD$13:$BL$162,BP4443,0))/100))&gt;=$D$10:$L$10)),0)</f>
        <v/>
      </c>
      <c r="BR4443">
        <f>IF(4430&lt;$U$9,SUMPRODUCT(($D$10:$L$10&lt;&gt;"")*(($D$10:$L$10-($D$9:$L$9+INT(($S$12:$AA$12+INDEX($AJ$13:$AR$162,BN4443,0)+INDEX($AT$13:$BB$162,BO4443,0)+INDEX($BD$13:$BL$162,BP4443,0))/100)))&gt;0)*($D$10:$L$10-($D$9:$L$9+INT(($S$12:$AA$12+INDEX($AJ$13:$AR$162,BN4443,0)+INDEX($AT$13:$BB$162,BO4443,0)+INDEX($BD$13:$BL$162,BP4443,0))/100)))),0)</f>
        <v/>
      </c>
      <c r="BS4443">
        <f>IF(4430&lt;$U$9,SUMPRODUCT(($D$9:$L$9+INT(($S$12:$AA$12+INDEX($AJ$13:$AR$162,BN4443,0)+INDEX($AT$13:$BB$162,BO4443,0)+INDEX($BD$13:$BL$162,BP4443,0))/100))),0)</f>
        <v/>
      </c>
      <c r="BT4443">
        <f>IF(AND(4430&lt;$U$9,$W$5),BQ4443*1000000-MIN(BR4443,999)*1000+BS4443-4430/100000,-1000000000-4430)</f>
        <v/>
      </c>
    </row>
    <row r="4444">
      <c r="BN4444">
        <f>IF(4431&lt;$U$9,INT(4431/($U$7*$U$8))+1,1)</f>
        <v/>
      </c>
      <c r="BO4444">
        <f>IF(4431&lt;$U$9,MOD(INT(4431/$U$8),$U$7)+1,1)</f>
        <v/>
      </c>
      <c r="BP4444">
        <f>IF(4431&lt;$U$9,MOD(4431,$U$8)+1,1)</f>
        <v/>
      </c>
      <c r="BQ4444">
        <f>IF(4431&lt;$U$9,SUMPRODUCT(($D$10:$L$10&lt;&gt;"")*(($D$9:$L$9+INT(($S$12:$AA$12+INDEX($AJ$13:$AR$162,BN4444,0)+INDEX($AT$13:$BB$162,BO4444,0)+INDEX($BD$13:$BL$162,BP4444,0))/100))&gt;=$D$10:$L$10)),0)</f>
        <v/>
      </c>
      <c r="BR4444">
        <f>IF(4431&lt;$U$9,SUMPRODUCT(($D$10:$L$10&lt;&gt;"")*(($D$10:$L$10-($D$9:$L$9+INT(($S$12:$AA$12+INDEX($AJ$13:$AR$162,BN4444,0)+INDEX($AT$13:$BB$162,BO4444,0)+INDEX($BD$13:$BL$162,BP4444,0))/100)))&gt;0)*($D$10:$L$10-($D$9:$L$9+INT(($S$12:$AA$12+INDEX($AJ$13:$AR$162,BN4444,0)+INDEX($AT$13:$BB$162,BO4444,0)+INDEX($BD$13:$BL$162,BP4444,0))/100)))),0)</f>
        <v/>
      </c>
      <c r="BS4444">
        <f>IF(4431&lt;$U$9,SUMPRODUCT(($D$9:$L$9+INT(($S$12:$AA$12+INDEX($AJ$13:$AR$162,BN4444,0)+INDEX($AT$13:$BB$162,BO4444,0)+INDEX($BD$13:$BL$162,BP4444,0))/100))),0)</f>
        <v/>
      </c>
      <c r="BT4444">
        <f>IF(AND(4431&lt;$U$9,$W$5),BQ4444*1000000-MIN(BR4444,999)*1000+BS4444-4431/100000,-1000000000-4431)</f>
        <v/>
      </c>
    </row>
    <row r="4445">
      <c r="BN4445">
        <f>IF(4432&lt;$U$9,INT(4432/($U$7*$U$8))+1,1)</f>
        <v/>
      </c>
      <c r="BO4445">
        <f>IF(4432&lt;$U$9,MOD(INT(4432/$U$8),$U$7)+1,1)</f>
        <v/>
      </c>
      <c r="BP4445">
        <f>IF(4432&lt;$U$9,MOD(4432,$U$8)+1,1)</f>
        <v/>
      </c>
      <c r="BQ4445">
        <f>IF(4432&lt;$U$9,SUMPRODUCT(($D$10:$L$10&lt;&gt;"")*(($D$9:$L$9+INT(($S$12:$AA$12+INDEX($AJ$13:$AR$162,BN4445,0)+INDEX($AT$13:$BB$162,BO4445,0)+INDEX($BD$13:$BL$162,BP4445,0))/100))&gt;=$D$10:$L$10)),0)</f>
        <v/>
      </c>
      <c r="BR4445">
        <f>IF(4432&lt;$U$9,SUMPRODUCT(($D$10:$L$10&lt;&gt;"")*(($D$10:$L$10-($D$9:$L$9+INT(($S$12:$AA$12+INDEX($AJ$13:$AR$162,BN4445,0)+INDEX($AT$13:$BB$162,BO4445,0)+INDEX($BD$13:$BL$162,BP4445,0))/100)))&gt;0)*($D$10:$L$10-($D$9:$L$9+INT(($S$12:$AA$12+INDEX($AJ$13:$AR$162,BN4445,0)+INDEX($AT$13:$BB$162,BO4445,0)+INDEX($BD$13:$BL$162,BP4445,0))/100)))),0)</f>
        <v/>
      </c>
      <c r="BS4445">
        <f>IF(4432&lt;$U$9,SUMPRODUCT(($D$9:$L$9+INT(($S$12:$AA$12+INDEX($AJ$13:$AR$162,BN4445,0)+INDEX($AT$13:$BB$162,BO4445,0)+INDEX($BD$13:$BL$162,BP4445,0))/100))),0)</f>
        <v/>
      </c>
      <c r="BT4445">
        <f>IF(AND(4432&lt;$U$9,$W$5),BQ4445*1000000-MIN(BR4445,999)*1000+BS4445-4432/100000,-1000000000-4432)</f>
        <v/>
      </c>
    </row>
    <row r="4446">
      <c r="BN4446">
        <f>IF(4433&lt;$U$9,INT(4433/($U$7*$U$8))+1,1)</f>
        <v/>
      </c>
      <c r="BO4446">
        <f>IF(4433&lt;$U$9,MOD(INT(4433/$U$8),$U$7)+1,1)</f>
        <v/>
      </c>
      <c r="BP4446">
        <f>IF(4433&lt;$U$9,MOD(4433,$U$8)+1,1)</f>
        <v/>
      </c>
      <c r="BQ4446">
        <f>IF(4433&lt;$U$9,SUMPRODUCT(($D$10:$L$10&lt;&gt;"")*(($D$9:$L$9+INT(($S$12:$AA$12+INDEX($AJ$13:$AR$162,BN4446,0)+INDEX($AT$13:$BB$162,BO4446,0)+INDEX($BD$13:$BL$162,BP4446,0))/100))&gt;=$D$10:$L$10)),0)</f>
        <v/>
      </c>
      <c r="BR4446">
        <f>IF(4433&lt;$U$9,SUMPRODUCT(($D$10:$L$10&lt;&gt;"")*(($D$10:$L$10-($D$9:$L$9+INT(($S$12:$AA$12+INDEX($AJ$13:$AR$162,BN4446,0)+INDEX($AT$13:$BB$162,BO4446,0)+INDEX($BD$13:$BL$162,BP4446,0))/100)))&gt;0)*($D$10:$L$10-($D$9:$L$9+INT(($S$12:$AA$12+INDEX($AJ$13:$AR$162,BN4446,0)+INDEX($AT$13:$BB$162,BO4446,0)+INDEX($BD$13:$BL$162,BP4446,0))/100)))),0)</f>
        <v/>
      </c>
      <c r="BS4446">
        <f>IF(4433&lt;$U$9,SUMPRODUCT(($D$9:$L$9+INT(($S$12:$AA$12+INDEX($AJ$13:$AR$162,BN4446,0)+INDEX($AT$13:$BB$162,BO4446,0)+INDEX($BD$13:$BL$162,BP4446,0))/100))),0)</f>
        <v/>
      </c>
      <c r="BT4446">
        <f>IF(AND(4433&lt;$U$9,$W$5),BQ4446*1000000-MIN(BR4446,999)*1000+BS4446-4433/100000,-1000000000-4433)</f>
        <v/>
      </c>
    </row>
    <row r="4447">
      <c r="BN4447">
        <f>IF(4434&lt;$U$9,INT(4434/($U$7*$U$8))+1,1)</f>
        <v/>
      </c>
      <c r="BO4447">
        <f>IF(4434&lt;$U$9,MOD(INT(4434/$U$8),$U$7)+1,1)</f>
        <v/>
      </c>
      <c r="BP4447">
        <f>IF(4434&lt;$U$9,MOD(4434,$U$8)+1,1)</f>
        <v/>
      </c>
      <c r="BQ4447">
        <f>IF(4434&lt;$U$9,SUMPRODUCT(($D$10:$L$10&lt;&gt;"")*(($D$9:$L$9+INT(($S$12:$AA$12+INDEX($AJ$13:$AR$162,BN4447,0)+INDEX($AT$13:$BB$162,BO4447,0)+INDEX($BD$13:$BL$162,BP4447,0))/100))&gt;=$D$10:$L$10)),0)</f>
        <v/>
      </c>
      <c r="BR4447">
        <f>IF(4434&lt;$U$9,SUMPRODUCT(($D$10:$L$10&lt;&gt;"")*(($D$10:$L$10-($D$9:$L$9+INT(($S$12:$AA$12+INDEX($AJ$13:$AR$162,BN4447,0)+INDEX($AT$13:$BB$162,BO4447,0)+INDEX($BD$13:$BL$162,BP4447,0))/100)))&gt;0)*($D$10:$L$10-($D$9:$L$9+INT(($S$12:$AA$12+INDEX($AJ$13:$AR$162,BN4447,0)+INDEX($AT$13:$BB$162,BO4447,0)+INDEX($BD$13:$BL$162,BP4447,0))/100)))),0)</f>
        <v/>
      </c>
      <c r="BS4447">
        <f>IF(4434&lt;$U$9,SUMPRODUCT(($D$9:$L$9+INT(($S$12:$AA$12+INDEX($AJ$13:$AR$162,BN4447,0)+INDEX($AT$13:$BB$162,BO4447,0)+INDEX($BD$13:$BL$162,BP4447,0))/100))),0)</f>
        <v/>
      </c>
      <c r="BT4447">
        <f>IF(AND(4434&lt;$U$9,$W$5),BQ4447*1000000-MIN(BR4447,999)*1000+BS4447-4434/100000,-1000000000-4434)</f>
        <v/>
      </c>
    </row>
    <row r="4448">
      <c r="BN4448">
        <f>IF(4435&lt;$U$9,INT(4435/($U$7*$U$8))+1,1)</f>
        <v/>
      </c>
      <c r="BO4448">
        <f>IF(4435&lt;$U$9,MOD(INT(4435/$U$8),$U$7)+1,1)</f>
        <v/>
      </c>
      <c r="BP4448">
        <f>IF(4435&lt;$U$9,MOD(4435,$U$8)+1,1)</f>
        <v/>
      </c>
      <c r="BQ4448">
        <f>IF(4435&lt;$U$9,SUMPRODUCT(($D$10:$L$10&lt;&gt;"")*(($D$9:$L$9+INT(($S$12:$AA$12+INDEX($AJ$13:$AR$162,BN4448,0)+INDEX($AT$13:$BB$162,BO4448,0)+INDEX($BD$13:$BL$162,BP4448,0))/100))&gt;=$D$10:$L$10)),0)</f>
        <v/>
      </c>
      <c r="BR4448">
        <f>IF(4435&lt;$U$9,SUMPRODUCT(($D$10:$L$10&lt;&gt;"")*(($D$10:$L$10-($D$9:$L$9+INT(($S$12:$AA$12+INDEX($AJ$13:$AR$162,BN4448,0)+INDEX($AT$13:$BB$162,BO4448,0)+INDEX($BD$13:$BL$162,BP4448,0))/100)))&gt;0)*($D$10:$L$10-($D$9:$L$9+INT(($S$12:$AA$12+INDEX($AJ$13:$AR$162,BN4448,0)+INDEX($AT$13:$BB$162,BO4448,0)+INDEX($BD$13:$BL$162,BP4448,0))/100)))),0)</f>
        <v/>
      </c>
      <c r="BS4448">
        <f>IF(4435&lt;$U$9,SUMPRODUCT(($D$9:$L$9+INT(($S$12:$AA$12+INDEX($AJ$13:$AR$162,BN4448,0)+INDEX($AT$13:$BB$162,BO4448,0)+INDEX($BD$13:$BL$162,BP4448,0))/100))),0)</f>
        <v/>
      </c>
      <c r="BT4448">
        <f>IF(AND(4435&lt;$U$9,$W$5),BQ4448*1000000-MIN(BR4448,999)*1000+BS4448-4435/100000,-1000000000-4435)</f>
        <v/>
      </c>
    </row>
    <row r="4449">
      <c r="BN4449">
        <f>IF(4436&lt;$U$9,INT(4436/($U$7*$U$8))+1,1)</f>
        <v/>
      </c>
      <c r="BO4449">
        <f>IF(4436&lt;$U$9,MOD(INT(4436/$U$8),$U$7)+1,1)</f>
        <v/>
      </c>
      <c r="BP4449">
        <f>IF(4436&lt;$U$9,MOD(4436,$U$8)+1,1)</f>
        <v/>
      </c>
      <c r="BQ4449">
        <f>IF(4436&lt;$U$9,SUMPRODUCT(($D$10:$L$10&lt;&gt;"")*(($D$9:$L$9+INT(($S$12:$AA$12+INDEX($AJ$13:$AR$162,BN4449,0)+INDEX($AT$13:$BB$162,BO4449,0)+INDEX($BD$13:$BL$162,BP4449,0))/100))&gt;=$D$10:$L$10)),0)</f>
        <v/>
      </c>
      <c r="BR4449">
        <f>IF(4436&lt;$U$9,SUMPRODUCT(($D$10:$L$10&lt;&gt;"")*(($D$10:$L$10-($D$9:$L$9+INT(($S$12:$AA$12+INDEX($AJ$13:$AR$162,BN4449,0)+INDEX($AT$13:$BB$162,BO4449,0)+INDEX($BD$13:$BL$162,BP4449,0))/100)))&gt;0)*($D$10:$L$10-($D$9:$L$9+INT(($S$12:$AA$12+INDEX($AJ$13:$AR$162,BN4449,0)+INDEX($AT$13:$BB$162,BO4449,0)+INDEX($BD$13:$BL$162,BP4449,0))/100)))),0)</f>
        <v/>
      </c>
      <c r="BS4449">
        <f>IF(4436&lt;$U$9,SUMPRODUCT(($D$9:$L$9+INT(($S$12:$AA$12+INDEX($AJ$13:$AR$162,BN4449,0)+INDEX($AT$13:$BB$162,BO4449,0)+INDEX($BD$13:$BL$162,BP4449,0))/100))),0)</f>
        <v/>
      </c>
      <c r="BT4449">
        <f>IF(AND(4436&lt;$U$9,$W$5),BQ4449*1000000-MIN(BR4449,999)*1000+BS4449-4436/100000,-1000000000-4436)</f>
        <v/>
      </c>
    </row>
    <row r="4450">
      <c r="BN4450">
        <f>IF(4437&lt;$U$9,INT(4437/($U$7*$U$8))+1,1)</f>
        <v/>
      </c>
      <c r="BO4450">
        <f>IF(4437&lt;$U$9,MOD(INT(4437/$U$8),$U$7)+1,1)</f>
        <v/>
      </c>
      <c r="BP4450">
        <f>IF(4437&lt;$U$9,MOD(4437,$U$8)+1,1)</f>
        <v/>
      </c>
      <c r="BQ4450">
        <f>IF(4437&lt;$U$9,SUMPRODUCT(($D$10:$L$10&lt;&gt;"")*(($D$9:$L$9+INT(($S$12:$AA$12+INDEX($AJ$13:$AR$162,BN4450,0)+INDEX($AT$13:$BB$162,BO4450,0)+INDEX($BD$13:$BL$162,BP4450,0))/100))&gt;=$D$10:$L$10)),0)</f>
        <v/>
      </c>
      <c r="BR4450">
        <f>IF(4437&lt;$U$9,SUMPRODUCT(($D$10:$L$10&lt;&gt;"")*(($D$10:$L$10-($D$9:$L$9+INT(($S$12:$AA$12+INDEX($AJ$13:$AR$162,BN4450,0)+INDEX($AT$13:$BB$162,BO4450,0)+INDEX($BD$13:$BL$162,BP4450,0))/100)))&gt;0)*($D$10:$L$10-($D$9:$L$9+INT(($S$12:$AA$12+INDEX($AJ$13:$AR$162,BN4450,0)+INDEX($AT$13:$BB$162,BO4450,0)+INDEX($BD$13:$BL$162,BP4450,0))/100)))),0)</f>
        <v/>
      </c>
      <c r="BS4450">
        <f>IF(4437&lt;$U$9,SUMPRODUCT(($D$9:$L$9+INT(($S$12:$AA$12+INDEX($AJ$13:$AR$162,BN4450,0)+INDEX($AT$13:$BB$162,BO4450,0)+INDEX($BD$13:$BL$162,BP4450,0))/100))),0)</f>
        <v/>
      </c>
      <c r="BT4450">
        <f>IF(AND(4437&lt;$U$9,$W$5),BQ4450*1000000-MIN(BR4450,999)*1000+BS4450-4437/100000,-1000000000-4437)</f>
        <v/>
      </c>
    </row>
    <row r="4451">
      <c r="BN4451">
        <f>IF(4438&lt;$U$9,INT(4438/($U$7*$U$8))+1,1)</f>
        <v/>
      </c>
      <c r="BO4451">
        <f>IF(4438&lt;$U$9,MOD(INT(4438/$U$8),$U$7)+1,1)</f>
        <v/>
      </c>
      <c r="BP4451">
        <f>IF(4438&lt;$U$9,MOD(4438,$U$8)+1,1)</f>
        <v/>
      </c>
      <c r="BQ4451">
        <f>IF(4438&lt;$U$9,SUMPRODUCT(($D$10:$L$10&lt;&gt;"")*(($D$9:$L$9+INT(($S$12:$AA$12+INDEX($AJ$13:$AR$162,BN4451,0)+INDEX($AT$13:$BB$162,BO4451,0)+INDEX($BD$13:$BL$162,BP4451,0))/100))&gt;=$D$10:$L$10)),0)</f>
        <v/>
      </c>
      <c r="BR4451">
        <f>IF(4438&lt;$U$9,SUMPRODUCT(($D$10:$L$10&lt;&gt;"")*(($D$10:$L$10-($D$9:$L$9+INT(($S$12:$AA$12+INDEX($AJ$13:$AR$162,BN4451,0)+INDEX($AT$13:$BB$162,BO4451,0)+INDEX($BD$13:$BL$162,BP4451,0))/100)))&gt;0)*($D$10:$L$10-($D$9:$L$9+INT(($S$12:$AA$12+INDEX($AJ$13:$AR$162,BN4451,0)+INDEX($AT$13:$BB$162,BO4451,0)+INDEX($BD$13:$BL$162,BP4451,0))/100)))),0)</f>
        <v/>
      </c>
      <c r="BS4451">
        <f>IF(4438&lt;$U$9,SUMPRODUCT(($D$9:$L$9+INT(($S$12:$AA$12+INDEX($AJ$13:$AR$162,BN4451,0)+INDEX($AT$13:$BB$162,BO4451,0)+INDEX($BD$13:$BL$162,BP4451,0))/100))),0)</f>
        <v/>
      </c>
      <c r="BT4451">
        <f>IF(AND(4438&lt;$U$9,$W$5),BQ4451*1000000-MIN(BR4451,999)*1000+BS4451-4438/100000,-1000000000-4438)</f>
        <v/>
      </c>
    </row>
    <row r="4452">
      <c r="BN4452">
        <f>IF(4439&lt;$U$9,INT(4439/($U$7*$U$8))+1,1)</f>
        <v/>
      </c>
      <c r="BO4452">
        <f>IF(4439&lt;$U$9,MOD(INT(4439/$U$8),$U$7)+1,1)</f>
        <v/>
      </c>
      <c r="BP4452">
        <f>IF(4439&lt;$U$9,MOD(4439,$U$8)+1,1)</f>
        <v/>
      </c>
      <c r="BQ4452">
        <f>IF(4439&lt;$U$9,SUMPRODUCT(($D$10:$L$10&lt;&gt;"")*(($D$9:$L$9+INT(($S$12:$AA$12+INDEX($AJ$13:$AR$162,BN4452,0)+INDEX($AT$13:$BB$162,BO4452,0)+INDEX($BD$13:$BL$162,BP4452,0))/100))&gt;=$D$10:$L$10)),0)</f>
        <v/>
      </c>
      <c r="BR4452">
        <f>IF(4439&lt;$U$9,SUMPRODUCT(($D$10:$L$10&lt;&gt;"")*(($D$10:$L$10-($D$9:$L$9+INT(($S$12:$AA$12+INDEX($AJ$13:$AR$162,BN4452,0)+INDEX($AT$13:$BB$162,BO4452,0)+INDEX($BD$13:$BL$162,BP4452,0))/100)))&gt;0)*($D$10:$L$10-($D$9:$L$9+INT(($S$12:$AA$12+INDEX($AJ$13:$AR$162,BN4452,0)+INDEX($AT$13:$BB$162,BO4452,0)+INDEX($BD$13:$BL$162,BP4452,0))/100)))),0)</f>
        <v/>
      </c>
      <c r="BS4452">
        <f>IF(4439&lt;$U$9,SUMPRODUCT(($D$9:$L$9+INT(($S$12:$AA$12+INDEX($AJ$13:$AR$162,BN4452,0)+INDEX($AT$13:$BB$162,BO4452,0)+INDEX($BD$13:$BL$162,BP4452,0))/100))),0)</f>
        <v/>
      </c>
      <c r="BT4452">
        <f>IF(AND(4439&lt;$U$9,$W$5),BQ4452*1000000-MIN(BR4452,999)*1000+BS4452-4439/100000,-1000000000-4439)</f>
        <v/>
      </c>
    </row>
    <row r="4453">
      <c r="BN4453">
        <f>IF(4440&lt;$U$9,INT(4440/($U$7*$U$8))+1,1)</f>
        <v/>
      </c>
      <c r="BO4453">
        <f>IF(4440&lt;$U$9,MOD(INT(4440/$U$8),$U$7)+1,1)</f>
        <v/>
      </c>
      <c r="BP4453">
        <f>IF(4440&lt;$U$9,MOD(4440,$U$8)+1,1)</f>
        <v/>
      </c>
      <c r="BQ4453">
        <f>IF(4440&lt;$U$9,SUMPRODUCT(($D$10:$L$10&lt;&gt;"")*(($D$9:$L$9+INT(($S$12:$AA$12+INDEX($AJ$13:$AR$162,BN4453,0)+INDEX($AT$13:$BB$162,BO4453,0)+INDEX($BD$13:$BL$162,BP4453,0))/100))&gt;=$D$10:$L$10)),0)</f>
        <v/>
      </c>
      <c r="BR4453">
        <f>IF(4440&lt;$U$9,SUMPRODUCT(($D$10:$L$10&lt;&gt;"")*(($D$10:$L$10-($D$9:$L$9+INT(($S$12:$AA$12+INDEX($AJ$13:$AR$162,BN4453,0)+INDEX($AT$13:$BB$162,BO4453,0)+INDEX($BD$13:$BL$162,BP4453,0))/100)))&gt;0)*($D$10:$L$10-($D$9:$L$9+INT(($S$12:$AA$12+INDEX($AJ$13:$AR$162,BN4453,0)+INDEX($AT$13:$BB$162,BO4453,0)+INDEX($BD$13:$BL$162,BP4453,0))/100)))),0)</f>
        <v/>
      </c>
      <c r="BS4453">
        <f>IF(4440&lt;$U$9,SUMPRODUCT(($D$9:$L$9+INT(($S$12:$AA$12+INDEX($AJ$13:$AR$162,BN4453,0)+INDEX($AT$13:$BB$162,BO4453,0)+INDEX($BD$13:$BL$162,BP4453,0))/100))),0)</f>
        <v/>
      </c>
      <c r="BT4453">
        <f>IF(AND(4440&lt;$U$9,$W$5),BQ4453*1000000-MIN(BR4453,999)*1000+BS4453-4440/100000,-1000000000-4440)</f>
        <v/>
      </c>
    </row>
    <row r="4454">
      <c r="BN4454">
        <f>IF(4441&lt;$U$9,INT(4441/($U$7*$U$8))+1,1)</f>
        <v/>
      </c>
      <c r="BO4454">
        <f>IF(4441&lt;$U$9,MOD(INT(4441/$U$8),$U$7)+1,1)</f>
        <v/>
      </c>
      <c r="BP4454">
        <f>IF(4441&lt;$U$9,MOD(4441,$U$8)+1,1)</f>
        <v/>
      </c>
      <c r="BQ4454">
        <f>IF(4441&lt;$U$9,SUMPRODUCT(($D$10:$L$10&lt;&gt;"")*(($D$9:$L$9+INT(($S$12:$AA$12+INDEX($AJ$13:$AR$162,BN4454,0)+INDEX($AT$13:$BB$162,BO4454,0)+INDEX($BD$13:$BL$162,BP4454,0))/100))&gt;=$D$10:$L$10)),0)</f>
        <v/>
      </c>
      <c r="BR4454">
        <f>IF(4441&lt;$U$9,SUMPRODUCT(($D$10:$L$10&lt;&gt;"")*(($D$10:$L$10-($D$9:$L$9+INT(($S$12:$AA$12+INDEX($AJ$13:$AR$162,BN4454,0)+INDEX($AT$13:$BB$162,BO4454,0)+INDEX($BD$13:$BL$162,BP4454,0))/100)))&gt;0)*($D$10:$L$10-($D$9:$L$9+INT(($S$12:$AA$12+INDEX($AJ$13:$AR$162,BN4454,0)+INDEX($AT$13:$BB$162,BO4454,0)+INDEX($BD$13:$BL$162,BP4454,0))/100)))),0)</f>
        <v/>
      </c>
      <c r="BS4454">
        <f>IF(4441&lt;$U$9,SUMPRODUCT(($D$9:$L$9+INT(($S$12:$AA$12+INDEX($AJ$13:$AR$162,BN4454,0)+INDEX($AT$13:$BB$162,BO4454,0)+INDEX($BD$13:$BL$162,BP4454,0))/100))),0)</f>
        <v/>
      </c>
      <c r="BT4454">
        <f>IF(AND(4441&lt;$U$9,$W$5),BQ4454*1000000-MIN(BR4454,999)*1000+BS4454-4441/100000,-1000000000-4441)</f>
        <v/>
      </c>
    </row>
    <row r="4455">
      <c r="BN4455">
        <f>IF(4442&lt;$U$9,INT(4442/($U$7*$U$8))+1,1)</f>
        <v/>
      </c>
      <c r="BO4455">
        <f>IF(4442&lt;$U$9,MOD(INT(4442/$U$8),$U$7)+1,1)</f>
        <v/>
      </c>
      <c r="BP4455">
        <f>IF(4442&lt;$U$9,MOD(4442,$U$8)+1,1)</f>
        <v/>
      </c>
      <c r="BQ4455">
        <f>IF(4442&lt;$U$9,SUMPRODUCT(($D$10:$L$10&lt;&gt;"")*(($D$9:$L$9+INT(($S$12:$AA$12+INDEX($AJ$13:$AR$162,BN4455,0)+INDEX($AT$13:$BB$162,BO4455,0)+INDEX($BD$13:$BL$162,BP4455,0))/100))&gt;=$D$10:$L$10)),0)</f>
        <v/>
      </c>
      <c r="BR4455">
        <f>IF(4442&lt;$U$9,SUMPRODUCT(($D$10:$L$10&lt;&gt;"")*(($D$10:$L$10-($D$9:$L$9+INT(($S$12:$AA$12+INDEX($AJ$13:$AR$162,BN4455,0)+INDEX($AT$13:$BB$162,BO4455,0)+INDEX($BD$13:$BL$162,BP4455,0))/100)))&gt;0)*($D$10:$L$10-($D$9:$L$9+INT(($S$12:$AA$12+INDEX($AJ$13:$AR$162,BN4455,0)+INDEX($AT$13:$BB$162,BO4455,0)+INDEX($BD$13:$BL$162,BP4455,0))/100)))),0)</f>
        <v/>
      </c>
      <c r="BS4455">
        <f>IF(4442&lt;$U$9,SUMPRODUCT(($D$9:$L$9+INT(($S$12:$AA$12+INDEX($AJ$13:$AR$162,BN4455,0)+INDEX($AT$13:$BB$162,BO4455,0)+INDEX($BD$13:$BL$162,BP4455,0))/100))),0)</f>
        <v/>
      </c>
      <c r="BT4455">
        <f>IF(AND(4442&lt;$U$9,$W$5),BQ4455*1000000-MIN(BR4455,999)*1000+BS4455-4442/100000,-1000000000-4442)</f>
        <v/>
      </c>
    </row>
    <row r="4456">
      <c r="BN4456">
        <f>IF(4443&lt;$U$9,INT(4443/($U$7*$U$8))+1,1)</f>
        <v/>
      </c>
      <c r="BO4456">
        <f>IF(4443&lt;$U$9,MOD(INT(4443/$U$8),$U$7)+1,1)</f>
        <v/>
      </c>
      <c r="BP4456">
        <f>IF(4443&lt;$U$9,MOD(4443,$U$8)+1,1)</f>
        <v/>
      </c>
      <c r="BQ4456">
        <f>IF(4443&lt;$U$9,SUMPRODUCT(($D$10:$L$10&lt;&gt;"")*(($D$9:$L$9+INT(($S$12:$AA$12+INDEX($AJ$13:$AR$162,BN4456,0)+INDEX($AT$13:$BB$162,BO4456,0)+INDEX($BD$13:$BL$162,BP4456,0))/100))&gt;=$D$10:$L$10)),0)</f>
        <v/>
      </c>
      <c r="BR4456">
        <f>IF(4443&lt;$U$9,SUMPRODUCT(($D$10:$L$10&lt;&gt;"")*(($D$10:$L$10-($D$9:$L$9+INT(($S$12:$AA$12+INDEX($AJ$13:$AR$162,BN4456,0)+INDEX($AT$13:$BB$162,BO4456,0)+INDEX($BD$13:$BL$162,BP4456,0))/100)))&gt;0)*($D$10:$L$10-($D$9:$L$9+INT(($S$12:$AA$12+INDEX($AJ$13:$AR$162,BN4456,0)+INDEX($AT$13:$BB$162,BO4456,0)+INDEX($BD$13:$BL$162,BP4456,0))/100)))),0)</f>
        <v/>
      </c>
      <c r="BS4456">
        <f>IF(4443&lt;$U$9,SUMPRODUCT(($D$9:$L$9+INT(($S$12:$AA$12+INDEX($AJ$13:$AR$162,BN4456,0)+INDEX($AT$13:$BB$162,BO4456,0)+INDEX($BD$13:$BL$162,BP4456,0))/100))),0)</f>
        <v/>
      </c>
      <c r="BT4456">
        <f>IF(AND(4443&lt;$U$9,$W$5),BQ4456*1000000-MIN(BR4456,999)*1000+BS4456-4443/100000,-1000000000-4443)</f>
        <v/>
      </c>
    </row>
    <row r="4457">
      <c r="BN4457">
        <f>IF(4444&lt;$U$9,INT(4444/($U$7*$U$8))+1,1)</f>
        <v/>
      </c>
      <c r="BO4457">
        <f>IF(4444&lt;$U$9,MOD(INT(4444/$U$8),$U$7)+1,1)</f>
        <v/>
      </c>
      <c r="BP4457">
        <f>IF(4444&lt;$U$9,MOD(4444,$U$8)+1,1)</f>
        <v/>
      </c>
      <c r="BQ4457">
        <f>IF(4444&lt;$U$9,SUMPRODUCT(($D$10:$L$10&lt;&gt;"")*(($D$9:$L$9+INT(($S$12:$AA$12+INDEX($AJ$13:$AR$162,BN4457,0)+INDEX($AT$13:$BB$162,BO4457,0)+INDEX($BD$13:$BL$162,BP4457,0))/100))&gt;=$D$10:$L$10)),0)</f>
        <v/>
      </c>
      <c r="BR4457">
        <f>IF(4444&lt;$U$9,SUMPRODUCT(($D$10:$L$10&lt;&gt;"")*(($D$10:$L$10-($D$9:$L$9+INT(($S$12:$AA$12+INDEX($AJ$13:$AR$162,BN4457,0)+INDEX($AT$13:$BB$162,BO4457,0)+INDEX($BD$13:$BL$162,BP4457,0))/100)))&gt;0)*($D$10:$L$10-($D$9:$L$9+INT(($S$12:$AA$12+INDEX($AJ$13:$AR$162,BN4457,0)+INDEX($AT$13:$BB$162,BO4457,0)+INDEX($BD$13:$BL$162,BP4457,0))/100)))),0)</f>
        <v/>
      </c>
      <c r="BS4457">
        <f>IF(4444&lt;$U$9,SUMPRODUCT(($D$9:$L$9+INT(($S$12:$AA$12+INDEX($AJ$13:$AR$162,BN4457,0)+INDEX($AT$13:$BB$162,BO4457,0)+INDEX($BD$13:$BL$162,BP4457,0))/100))),0)</f>
        <v/>
      </c>
      <c r="BT4457">
        <f>IF(AND(4444&lt;$U$9,$W$5),BQ4457*1000000-MIN(BR4457,999)*1000+BS4457-4444/100000,-1000000000-4444)</f>
        <v/>
      </c>
    </row>
    <row r="4458">
      <c r="BN4458">
        <f>IF(4445&lt;$U$9,INT(4445/($U$7*$U$8))+1,1)</f>
        <v/>
      </c>
      <c r="BO4458">
        <f>IF(4445&lt;$U$9,MOD(INT(4445/$U$8),$U$7)+1,1)</f>
        <v/>
      </c>
      <c r="BP4458">
        <f>IF(4445&lt;$U$9,MOD(4445,$U$8)+1,1)</f>
        <v/>
      </c>
      <c r="BQ4458">
        <f>IF(4445&lt;$U$9,SUMPRODUCT(($D$10:$L$10&lt;&gt;"")*(($D$9:$L$9+INT(($S$12:$AA$12+INDEX($AJ$13:$AR$162,BN4458,0)+INDEX($AT$13:$BB$162,BO4458,0)+INDEX($BD$13:$BL$162,BP4458,0))/100))&gt;=$D$10:$L$10)),0)</f>
        <v/>
      </c>
      <c r="BR4458">
        <f>IF(4445&lt;$U$9,SUMPRODUCT(($D$10:$L$10&lt;&gt;"")*(($D$10:$L$10-($D$9:$L$9+INT(($S$12:$AA$12+INDEX($AJ$13:$AR$162,BN4458,0)+INDEX($AT$13:$BB$162,BO4458,0)+INDEX($BD$13:$BL$162,BP4458,0))/100)))&gt;0)*($D$10:$L$10-($D$9:$L$9+INT(($S$12:$AA$12+INDEX($AJ$13:$AR$162,BN4458,0)+INDEX($AT$13:$BB$162,BO4458,0)+INDEX($BD$13:$BL$162,BP4458,0))/100)))),0)</f>
        <v/>
      </c>
      <c r="BS4458">
        <f>IF(4445&lt;$U$9,SUMPRODUCT(($D$9:$L$9+INT(($S$12:$AA$12+INDEX($AJ$13:$AR$162,BN4458,0)+INDEX($AT$13:$BB$162,BO4458,0)+INDEX($BD$13:$BL$162,BP4458,0))/100))),0)</f>
        <v/>
      </c>
      <c r="BT4458">
        <f>IF(AND(4445&lt;$U$9,$W$5),BQ4458*1000000-MIN(BR4458,999)*1000+BS4458-4445/100000,-1000000000-4445)</f>
        <v/>
      </c>
    </row>
    <row r="4459">
      <c r="BN4459">
        <f>IF(4446&lt;$U$9,INT(4446/($U$7*$U$8))+1,1)</f>
        <v/>
      </c>
      <c r="BO4459">
        <f>IF(4446&lt;$U$9,MOD(INT(4446/$U$8),$U$7)+1,1)</f>
        <v/>
      </c>
      <c r="BP4459">
        <f>IF(4446&lt;$U$9,MOD(4446,$U$8)+1,1)</f>
        <v/>
      </c>
      <c r="BQ4459">
        <f>IF(4446&lt;$U$9,SUMPRODUCT(($D$10:$L$10&lt;&gt;"")*(($D$9:$L$9+INT(($S$12:$AA$12+INDEX($AJ$13:$AR$162,BN4459,0)+INDEX($AT$13:$BB$162,BO4459,0)+INDEX($BD$13:$BL$162,BP4459,0))/100))&gt;=$D$10:$L$10)),0)</f>
        <v/>
      </c>
      <c r="BR4459">
        <f>IF(4446&lt;$U$9,SUMPRODUCT(($D$10:$L$10&lt;&gt;"")*(($D$10:$L$10-($D$9:$L$9+INT(($S$12:$AA$12+INDEX($AJ$13:$AR$162,BN4459,0)+INDEX($AT$13:$BB$162,BO4459,0)+INDEX($BD$13:$BL$162,BP4459,0))/100)))&gt;0)*($D$10:$L$10-($D$9:$L$9+INT(($S$12:$AA$12+INDEX($AJ$13:$AR$162,BN4459,0)+INDEX($AT$13:$BB$162,BO4459,0)+INDEX($BD$13:$BL$162,BP4459,0))/100)))),0)</f>
        <v/>
      </c>
      <c r="BS4459">
        <f>IF(4446&lt;$U$9,SUMPRODUCT(($D$9:$L$9+INT(($S$12:$AA$12+INDEX($AJ$13:$AR$162,BN4459,0)+INDEX($AT$13:$BB$162,BO4459,0)+INDEX($BD$13:$BL$162,BP4459,0))/100))),0)</f>
        <v/>
      </c>
      <c r="BT4459">
        <f>IF(AND(4446&lt;$U$9,$W$5),BQ4459*1000000-MIN(BR4459,999)*1000+BS4459-4446/100000,-1000000000-4446)</f>
        <v/>
      </c>
    </row>
    <row r="4460">
      <c r="BN4460">
        <f>IF(4447&lt;$U$9,INT(4447/($U$7*$U$8))+1,1)</f>
        <v/>
      </c>
      <c r="BO4460">
        <f>IF(4447&lt;$U$9,MOD(INT(4447/$U$8),$U$7)+1,1)</f>
        <v/>
      </c>
      <c r="BP4460">
        <f>IF(4447&lt;$U$9,MOD(4447,$U$8)+1,1)</f>
        <v/>
      </c>
      <c r="BQ4460">
        <f>IF(4447&lt;$U$9,SUMPRODUCT(($D$10:$L$10&lt;&gt;"")*(($D$9:$L$9+INT(($S$12:$AA$12+INDEX($AJ$13:$AR$162,BN4460,0)+INDEX($AT$13:$BB$162,BO4460,0)+INDEX($BD$13:$BL$162,BP4460,0))/100))&gt;=$D$10:$L$10)),0)</f>
        <v/>
      </c>
      <c r="BR4460">
        <f>IF(4447&lt;$U$9,SUMPRODUCT(($D$10:$L$10&lt;&gt;"")*(($D$10:$L$10-($D$9:$L$9+INT(($S$12:$AA$12+INDEX($AJ$13:$AR$162,BN4460,0)+INDEX($AT$13:$BB$162,BO4460,0)+INDEX($BD$13:$BL$162,BP4460,0))/100)))&gt;0)*($D$10:$L$10-($D$9:$L$9+INT(($S$12:$AA$12+INDEX($AJ$13:$AR$162,BN4460,0)+INDEX($AT$13:$BB$162,BO4460,0)+INDEX($BD$13:$BL$162,BP4460,0))/100)))),0)</f>
        <v/>
      </c>
      <c r="BS4460">
        <f>IF(4447&lt;$U$9,SUMPRODUCT(($D$9:$L$9+INT(($S$12:$AA$12+INDEX($AJ$13:$AR$162,BN4460,0)+INDEX($AT$13:$BB$162,BO4460,0)+INDEX($BD$13:$BL$162,BP4460,0))/100))),0)</f>
        <v/>
      </c>
      <c r="BT4460">
        <f>IF(AND(4447&lt;$U$9,$W$5),BQ4460*1000000-MIN(BR4460,999)*1000+BS4460-4447/100000,-1000000000-4447)</f>
        <v/>
      </c>
    </row>
    <row r="4461">
      <c r="BN4461">
        <f>IF(4448&lt;$U$9,INT(4448/($U$7*$U$8))+1,1)</f>
        <v/>
      </c>
      <c r="BO4461">
        <f>IF(4448&lt;$U$9,MOD(INT(4448/$U$8),$U$7)+1,1)</f>
        <v/>
      </c>
      <c r="BP4461">
        <f>IF(4448&lt;$U$9,MOD(4448,$U$8)+1,1)</f>
        <v/>
      </c>
      <c r="BQ4461">
        <f>IF(4448&lt;$U$9,SUMPRODUCT(($D$10:$L$10&lt;&gt;"")*(($D$9:$L$9+INT(($S$12:$AA$12+INDEX($AJ$13:$AR$162,BN4461,0)+INDEX($AT$13:$BB$162,BO4461,0)+INDEX($BD$13:$BL$162,BP4461,0))/100))&gt;=$D$10:$L$10)),0)</f>
        <v/>
      </c>
      <c r="BR4461">
        <f>IF(4448&lt;$U$9,SUMPRODUCT(($D$10:$L$10&lt;&gt;"")*(($D$10:$L$10-($D$9:$L$9+INT(($S$12:$AA$12+INDEX($AJ$13:$AR$162,BN4461,0)+INDEX($AT$13:$BB$162,BO4461,0)+INDEX($BD$13:$BL$162,BP4461,0))/100)))&gt;0)*($D$10:$L$10-($D$9:$L$9+INT(($S$12:$AA$12+INDEX($AJ$13:$AR$162,BN4461,0)+INDEX($AT$13:$BB$162,BO4461,0)+INDEX($BD$13:$BL$162,BP4461,0))/100)))),0)</f>
        <v/>
      </c>
      <c r="BS4461">
        <f>IF(4448&lt;$U$9,SUMPRODUCT(($D$9:$L$9+INT(($S$12:$AA$12+INDEX($AJ$13:$AR$162,BN4461,0)+INDEX($AT$13:$BB$162,BO4461,0)+INDEX($BD$13:$BL$162,BP4461,0))/100))),0)</f>
        <v/>
      </c>
      <c r="BT4461">
        <f>IF(AND(4448&lt;$U$9,$W$5),BQ4461*1000000-MIN(BR4461,999)*1000+BS4461-4448/100000,-1000000000-4448)</f>
        <v/>
      </c>
    </row>
    <row r="4462">
      <c r="BN4462">
        <f>IF(4449&lt;$U$9,INT(4449/($U$7*$U$8))+1,1)</f>
        <v/>
      </c>
      <c r="BO4462">
        <f>IF(4449&lt;$U$9,MOD(INT(4449/$U$8),$U$7)+1,1)</f>
        <v/>
      </c>
      <c r="BP4462">
        <f>IF(4449&lt;$U$9,MOD(4449,$U$8)+1,1)</f>
        <v/>
      </c>
      <c r="BQ4462">
        <f>IF(4449&lt;$U$9,SUMPRODUCT(($D$10:$L$10&lt;&gt;"")*(($D$9:$L$9+INT(($S$12:$AA$12+INDEX($AJ$13:$AR$162,BN4462,0)+INDEX($AT$13:$BB$162,BO4462,0)+INDEX($BD$13:$BL$162,BP4462,0))/100))&gt;=$D$10:$L$10)),0)</f>
        <v/>
      </c>
      <c r="BR4462">
        <f>IF(4449&lt;$U$9,SUMPRODUCT(($D$10:$L$10&lt;&gt;"")*(($D$10:$L$10-($D$9:$L$9+INT(($S$12:$AA$12+INDEX($AJ$13:$AR$162,BN4462,0)+INDEX($AT$13:$BB$162,BO4462,0)+INDEX($BD$13:$BL$162,BP4462,0))/100)))&gt;0)*($D$10:$L$10-($D$9:$L$9+INT(($S$12:$AA$12+INDEX($AJ$13:$AR$162,BN4462,0)+INDEX($AT$13:$BB$162,BO4462,0)+INDEX($BD$13:$BL$162,BP4462,0))/100)))),0)</f>
        <v/>
      </c>
      <c r="BS4462">
        <f>IF(4449&lt;$U$9,SUMPRODUCT(($D$9:$L$9+INT(($S$12:$AA$12+INDEX($AJ$13:$AR$162,BN4462,0)+INDEX($AT$13:$BB$162,BO4462,0)+INDEX($BD$13:$BL$162,BP4462,0))/100))),0)</f>
        <v/>
      </c>
      <c r="BT4462">
        <f>IF(AND(4449&lt;$U$9,$W$5),BQ4462*1000000-MIN(BR4462,999)*1000+BS4462-4449/100000,-1000000000-4449)</f>
        <v/>
      </c>
    </row>
    <row r="4463">
      <c r="BN4463">
        <f>IF(4450&lt;$U$9,INT(4450/($U$7*$U$8))+1,1)</f>
        <v/>
      </c>
      <c r="BO4463">
        <f>IF(4450&lt;$U$9,MOD(INT(4450/$U$8),$U$7)+1,1)</f>
        <v/>
      </c>
      <c r="BP4463">
        <f>IF(4450&lt;$U$9,MOD(4450,$U$8)+1,1)</f>
        <v/>
      </c>
      <c r="BQ4463">
        <f>IF(4450&lt;$U$9,SUMPRODUCT(($D$10:$L$10&lt;&gt;"")*(($D$9:$L$9+INT(($S$12:$AA$12+INDEX($AJ$13:$AR$162,BN4463,0)+INDEX($AT$13:$BB$162,BO4463,0)+INDEX($BD$13:$BL$162,BP4463,0))/100))&gt;=$D$10:$L$10)),0)</f>
        <v/>
      </c>
      <c r="BR4463">
        <f>IF(4450&lt;$U$9,SUMPRODUCT(($D$10:$L$10&lt;&gt;"")*(($D$10:$L$10-($D$9:$L$9+INT(($S$12:$AA$12+INDEX($AJ$13:$AR$162,BN4463,0)+INDEX($AT$13:$BB$162,BO4463,0)+INDEX($BD$13:$BL$162,BP4463,0))/100)))&gt;0)*($D$10:$L$10-($D$9:$L$9+INT(($S$12:$AA$12+INDEX($AJ$13:$AR$162,BN4463,0)+INDEX($AT$13:$BB$162,BO4463,0)+INDEX($BD$13:$BL$162,BP4463,0))/100)))),0)</f>
        <v/>
      </c>
      <c r="BS4463">
        <f>IF(4450&lt;$U$9,SUMPRODUCT(($D$9:$L$9+INT(($S$12:$AA$12+INDEX($AJ$13:$AR$162,BN4463,0)+INDEX($AT$13:$BB$162,BO4463,0)+INDEX($BD$13:$BL$162,BP4463,0))/100))),0)</f>
        <v/>
      </c>
      <c r="BT4463">
        <f>IF(AND(4450&lt;$U$9,$W$5),BQ4463*1000000-MIN(BR4463,999)*1000+BS4463-4450/100000,-1000000000-4450)</f>
        <v/>
      </c>
    </row>
    <row r="4464">
      <c r="BN4464">
        <f>IF(4451&lt;$U$9,INT(4451/($U$7*$U$8))+1,1)</f>
        <v/>
      </c>
      <c r="BO4464">
        <f>IF(4451&lt;$U$9,MOD(INT(4451/$U$8),$U$7)+1,1)</f>
        <v/>
      </c>
      <c r="BP4464">
        <f>IF(4451&lt;$U$9,MOD(4451,$U$8)+1,1)</f>
        <v/>
      </c>
      <c r="BQ4464">
        <f>IF(4451&lt;$U$9,SUMPRODUCT(($D$10:$L$10&lt;&gt;"")*(($D$9:$L$9+INT(($S$12:$AA$12+INDEX($AJ$13:$AR$162,BN4464,0)+INDEX($AT$13:$BB$162,BO4464,0)+INDEX($BD$13:$BL$162,BP4464,0))/100))&gt;=$D$10:$L$10)),0)</f>
        <v/>
      </c>
      <c r="BR4464">
        <f>IF(4451&lt;$U$9,SUMPRODUCT(($D$10:$L$10&lt;&gt;"")*(($D$10:$L$10-($D$9:$L$9+INT(($S$12:$AA$12+INDEX($AJ$13:$AR$162,BN4464,0)+INDEX($AT$13:$BB$162,BO4464,0)+INDEX($BD$13:$BL$162,BP4464,0))/100)))&gt;0)*($D$10:$L$10-($D$9:$L$9+INT(($S$12:$AA$12+INDEX($AJ$13:$AR$162,BN4464,0)+INDEX($AT$13:$BB$162,BO4464,0)+INDEX($BD$13:$BL$162,BP4464,0))/100)))),0)</f>
        <v/>
      </c>
      <c r="BS4464">
        <f>IF(4451&lt;$U$9,SUMPRODUCT(($D$9:$L$9+INT(($S$12:$AA$12+INDEX($AJ$13:$AR$162,BN4464,0)+INDEX($AT$13:$BB$162,BO4464,0)+INDEX($BD$13:$BL$162,BP4464,0))/100))),0)</f>
        <v/>
      </c>
      <c r="BT4464">
        <f>IF(AND(4451&lt;$U$9,$W$5),BQ4464*1000000-MIN(BR4464,999)*1000+BS4464-4451/100000,-1000000000-4451)</f>
        <v/>
      </c>
    </row>
    <row r="4465">
      <c r="BN4465">
        <f>IF(4452&lt;$U$9,INT(4452/($U$7*$U$8))+1,1)</f>
        <v/>
      </c>
      <c r="BO4465">
        <f>IF(4452&lt;$U$9,MOD(INT(4452/$U$8),$U$7)+1,1)</f>
        <v/>
      </c>
      <c r="BP4465">
        <f>IF(4452&lt;$U$9,MOD(4452,$U$8)+1,1)</f>
        <v/>
      </c>
      <c r="BQ4465">
        <f>IF(4452&lt;$U$9,SUMPRODUCT(($D$10:$L$10&lt;&gt;"")*(($D$9:$L$9+INT(($S$12:$AA$12+INDEX($AJ$13:$AR$162,BN4465,0)+INDEX($AT$13:$BB$162,BO4465,0)+INDEX($BD$13:$BL$162,BP4465,0))/100))&gt;=$D$10:$L$10)),0)</f>
        <v/>
      </c>
      <c r="BR4465">
        <f>IF(4452&lt;$U$9,SUMPRODUCT(($D$10:$L$10&lt;&gt;"")*(($D$10:$L$10-($D$9:$L$9+INT(($S$12:$AA$12+INDEX($AJ$13:$AR$162,BN4465,0)+INDEX($AT$13:$BB$162,BO4465,0)+INDEX($BD$13:$BL$162,BP4465,0))/100)))&gt;0)*($D$10:$L$10-($D$9:$L$9+INT(($S$12:$AA$12+INDEX($AJ$13:$AR$162,BN4465,0)+INDEX($AT$13:$BB$162,BO4465,0)+INDEX($BD$13:$BL$162,BP4465,0))/100)))),0)</f>
        <v/>
      </c>
      <c r="BS4465">
        <f>IF(4452&lt;$U$9,SUMPRODUCT(($D$9:$L$9+INT(($S$12:$AA$12+INDEX($AJ$13:$AR$162,BN4465,0)+INDEX($AT$13:$BB$162,BO4465,0)+INDEX($BD$13:$BL$162,BP4465,0))/100))),0)</f>
        <v/>
      </c>
      <c r="BT4465">
        <f>IF(AND(4452&lt;$U$9,$W$5),BQ4465*1000000-MIN(BR4465,999)*1000+BS4465-4452/100000,-1000000000-4452)</f>
        <v/>
      </c>
    </row>
    <row r="4466">
      <c r="BN4466">
        <f>IF(4453&lt;$U$9,INT(4453/($U$7*$U$8))+1,1)</f>
        <v/>
      </c>
      <c r="BO4466">
        <f>IF(4453&lt;$U$9,MOD(INT(4453/$U$8),$U$7)+1,1)</f>
        <v/>
      </c>
      <c r="BP4466">
        <f>IF(4453&lt;$U$9,MOD(4453,$U$8)+1,1)</f>
        <v/>
      </c>
      <c r="BQ4466">
        <f>IF(4453&lt;$U$9,SUMPRODUCT(($D$10:$L$10&lt;&gt;"")*(($D$9:$L$9+INT(($S$12:$AA$12+INDEX($AJ$13:$AR$162,BN4466,0)+INDEX($AT$13:$BB$162,BO4466,0)+INDEX($BD$13:$BL$162,BP4466,0))/100))&gt;=$D$10:$L$10)),0)</f>
        <v/>
      </c>
      <c r="BR4466">
        <f>IF(4453&lt;$U$9,SUMPRODUCT(($D$10:$L$10&lt;&gt;"")*(($D$10:$L$10-($D$9:$L$9+INT(($S$12:$AA$12+INDEX($AJ$13:$AR$162,BN4466,0)+INDEX($AT$13:$BB$162,BO4466,0)+INDEX($BD$13:$BL$162,BP4466,0))/100)))&gt;0)*($D$10:$L$10-($D$9:$L$9+INT(($S$12:$AA$12+INDEX($AJ$13:$AR$162,BN4466,0)+INDEX($AT$13:$BB$162,BO4466,0)+INDEX($BD$13:$BL$162,BP4466,0))/100)))),0)</f>
        <v/>
      </c>
      <c r="BS4466">
        <f>IF(4453&lt;$U$9,SUMPRODUCT(($D$9:$L$9+INT(($S$12:$AA$12+INDEX($AJ$13:$AR$162,BN4466,0)+INDEX($AT$13:$BB$162,BO4466,0)+INDEX($BD$13:$BL$162,BP4466,0))/100))),0)</f>
        <v/>
      </c>
      <c r="BT4466">
        <f>IF(AND(4453&lt;$U$9,$W$5),BQ4466*1000000-MIN(BR4466,999)*1000+BS4466-4453/100000,-1000000000-4453)</f>
        <v/>
      </c>
    </row>
    <row r="4467">
      <c r="BN4467">
        <f>IF(4454&lt;$U$9,INT(4454/($U$7*$U$8))+1,1)</f>
        <v/>
      </c>
      <c r="BO4467">
        <f>IF(4454&lt;$U$9,MOD(INT(4454/$U$8),$U$7)+1,1)</f>
        <v/>
      </c>
      <c r="BP4467">
        <f>IF(4454&lt;$U$9,MOD(4454,$U$8)+1,1)</f>
        <v/>
      </c>
      <c r="BQ4467">
        <f>IF(4454&lt;$U$9,SUMPRODUCT(($D$10:$L$10&lt;&gt;"")*(($D$9:$L$9+INT(($S$12:$AA$12+INDEX($AJ$13:$AR$162,BN4467,0)+INDEX($AT$13:$BB$162,BO4467,0)+INDEX($BD$13:$BL$162,BP4467,0))/100))&gt;=$D$10:$L$10)),0)</f>
        <v/>
      </c>
      <c r="BR4467">
        <f>IF(4454&lt;$U$9,SUMPRODUCT(($D$10:$L$10&lt;&gt;"")*(($D$10:$L$10-($D$9:$L$9+INT(($S$12:$AA$12+INDEX($AJ$13:$AR$162,BN4467,0)+INDEX($AT$13:$BB$162,BO4467,0)+INDEX($BD$13:$BL$162,BP4467,0))/100)))&gt;0)*($D$10:$L$10-($D$9:$L$9+INT(($S$12:$AA$12+INDEX($AJ$13:$AR$162,BN4467,0)+INDEX($AT$13:$BB$162,BO4467,0)+INDEX($BD$13:$BL$162,BP4467,0))/100)))),0)</f>
        <v/>
      </c>
      <c r="BS4467">
        <f>IF(4454&lt;$U$9,SUMPRODUCT(($D$9:$L$9+INT(($S$12:$AA$12+INDEX($AJ$13:$AR$162,BN4467,0)+INDEX($AT$13:$BB$162,BO4467,0)+INDEX($BD$13:$BL$162,BP4467,0))/100))),0)</f>
        <v/>
      </c>
      <c r="BT4467">
        <f>IF(AND(4454&lt;$U$9,$W$5),BQ4467*1000000-MIN(BR4467,999)*1000+BS4467-4454/100000,-1000000000-4454)</f>
        <v/>
      </c>
    </row>
    <row r="4468">
      <c r="BN4468">
        <f>IF(4455&lt;$U$9,INT(4455/($U$7*$U$8))+1,1)</f>
        <v/>
      </c>
      <c r="BO4468">
        <f>IF(4455&lt;$U$9,MOD(INT(4455/$U$8),$U$7)+1,1)</f>
        <v/>
      </c>
      <c r="BP4468">
        <f>IF(4455&lt;$U$9,MOD(4455,$U$8)+1,1)</f>
        <v/>
      </c>
      <c r="BQ4468">
        <f>IF(4455&lt;$U$9,SUMPRODUCT(($D$10:$L$10&lt;&gt;"")*(($D$9:$L$9+INT(($S$12:$AA$12+INDEX($AJ$13:$AR$162,BN4468,0)+INDEX($AT$13:$BB$162,BO4468,0)+INDEX($BD$13:$BL$162,BP4468,0))/100))&gt;=$D$10:$L$10)),0)</f>
        <v/>
      </c>
      <c r="BR4468">
        <f>IF(4455&lt;$U$9,SUMPRODUCT(($D$10:$L$10&lt;&gt;"")*(($D$10:$L$10-($D$9:$L$9+INT(($S$12:$AA$12+INDEX($AJ$13:$AR$162,BN4468,0)+INDEX($AT$13:$BB$162,BO4468,0)+INDEX($BD$13:$BL$162,BP4468,0))/100)))&gt;0)*($D$10:$L$10-($D$9:$L$9+INT(($S$12:$AA$12+INDEX($AJ$13:$AR$162,BN4468,0)+INDEX($AT$13:$BB$162,BO4468,0)+INDEX($BD$13:$BL$162,BP4468,0))/100)))),0)</f>
        <v/>
      </c>
      <c r="BS4468">
        <f>IF(4455&lt;$U$9,SUMPRODUCT(($D$9:$L$9+INT(($S$12:$AA$12+INDEX($AJ$13:$AR$162,BN4468,0)+INDEX($AT$13:$BB$162,BO4468,0)+INDEX($BD$13:$BL$162,BP4468,0))/100))),0)</f>
        <v/>
      </c>
      <c r="BT4468">
        <f>IF(AND(4455&lt;$U$9,$W$5),BQ4468*1000000-MIN(BR4468,999)*1000+BS4468-4455/100000,-1000000000-4455)</f>
        <v/>
      </c>
    </row>
    <row r="4469">
      <c r="BN4469">
        <f>IF(4456&lt;$U$9,INT(4456/($U$7*$U$8))+1,1)</f>
        <v/>
      </c>
      <c r="BO4469">
        <f>IF(4456&lt;$U$9,MOD(INT(4456/$U$8),$U$7)+1,1)</f>
        <v/>
      </c>
      <c r="BP4469">
        <f>IF(4456&lt;$U$9,MOD(4456,$U$8)+1,1)</f>
        <v/>
      </c>
      <c r="BQ4469">
        <f>IF(4456&lt;$U$9,SUMPRODUCT(($D$10:$L$10&lt;&gt;"")*(($D$9:$L$9+INT(($S$12:$AA$12+INDEX($AJ$13:$AR$162,BN4469,0)+INDEX($AT$13:$BB$162,BO4469,0)+INDEX($BD$13:$BL$162,BP4469,0))/100))&gt;=$D$10:$L$10)),0)</f>
        <v/>
      </c>
      <c r="BR4469">
        <f>IF(4456&lt;$U$9,SUMPRODUCT(($D$10:$L$10&lt;&gt;"")*(($D$10:$L$10-($D$9:$L$9+INT(($S$12:$AA$12+INDEX($AJ$13:$AR$162,BN4469,0)+INDEX($AT$13:$BB$162,BO4469,0)+INDEX($BD$13:$BL$162,BP4469,0))/100)))&gt;0)*($D$10:$L$10-($D$9:$L$9+INT(($S$12:$AA$12+INDEX($AJ$13:$AR$162,BN4469,0)+INDEX($AT$13:$BB$162,BO4469,0)+INDEX($BD$13:$BL$162,BP4469,0))/100)))),0)</f>
        <v/>
      </c>
      <c r="BS4469">
        <f>IF(4456&lt;$U$9,SUMPRODUCT(($D$9:$L$9+INT(($S$12:$AA$12+INDEX($AJ$13:$AR$162,BN4469,0)+INDEX($AT$13:$BB$162,BO4469,0)+INDEX($BD$13:$BL$162,BP4469,0))/100))),0)</f>
        <v/>
      </c>
      <c r="BT4469">
        <f>IF(AND(4456&lt;$U$9,$W$5),BQ4469*1000000-MIN(BR4469,999)*1000+BS4469-4456/100000,-1000000000-4456)</f>
        <v/>
      </c>
    </row>
    <row r="4470">
      <c r="BN4470">
        <f>IF(4457&lt;$U$9,INT(4457/($U$7*$U$8))+1,1)</f>
        <v/>
      </c>
      <c r="BO4470">
        <f>IF(4457&lt;$U$9,MOD(INT(4457/$U$8),$U$7)+1,1)</f>
        <v/>
      </c>
      <c r="BP4470">
        <f>IF(4457&lt;$U$9,MOD(4457,$U$8)+1,1)</f>
        <v/>
      </c>
      <c r="BQ4470">
        <f>IF(4457&lt;$U$9,SUMPRODUCT(($D$10:$L$10&lt;&gt;"")*(($D$9:$L$9+INT(($S$12:$AA$12+INDEX($AJ$13:$AR$162,BN4470,0)+INDEX($AT$13:$BB$162,BO4470,0)+INDEX($BD$13:$BL$162,BP4470,0))/100))&gt;=$D$10:$L$10)),0)</f>
        <v/>
      </c>
      <c r="BR4470">
        <f>IF(4457&lt;$U$9,SUMPRODUCT(($D$10:$L$10&lt;&gt;"")*(($D$10:$L$10-($D$9:$L$9+INT(($S$12:$AA$12+INDEX($AJ$13:$AR$162,BN4470,0)+INDEX($AT$13:$BB$162,BO4470,0)+INDEX($BD$13:$BL$162,BP4470,0))/100)))&gt;0)*($D$10:$L$10-($D$9:$L$9+INT(($S$12:$AA$12+INDEX($AJ$13:$AR$162,BN4470,0)+INDEX($AT$13:$BB$162,BO4470,0)+INDEX($BD$13:$BL$162,BP4470,0))/100)))),0)</f>
        <v/>
      </c>
      <c r="BS4470">
        <f>IF(4457&lt;$U$9,SUMPRODUCT(($D$9:$L$9+INT(($S$12:$AA$12+INDEX($AJ$13:$AR$162,BN4470,0)+INDEX($AT$13:$BB$162,BO4470,0)+INDEX($BD$13:$BL$162,BP4470,0))/100))),0)</f>
        <v/>
      </c>
      <c r="BT4470">
        <f>IF(AND(4457&lt;$U$9,$W$5),BQ4470*1000000-MIN(BR4470,999)*1000+BS4470-4457/100000,-1000000000-4457)</f>
        <v/>
      </c>
    </row>
    <row r="4471">
      <c r="BN4471">
        <f>IF(4458&lt;$U$9,INT(4458/($U$7*$U$8))+1,1)</f>
        <v/>
      </c>
      <c r="BO4471">
        <f>IF(4458&lt;$U$9,MOD(INT(4458/$U$8),$U$7)+1,1)</f>
        <v/>
      </c>
      <c r="BP4471">
        <f>IF(4458&lt;$U$9,MOD(4458,$U$8)+1,1)</f>
        <v/>
      </c>
      <c r="BQ4471">
        <f>IF(4458&lt;$U$9,SUMPRODUCT(($D$10:$L$10&lt;&gt;"")*(($D$9:$L$9+INT(($S$12:$AA$12+INDEX($AJ$13:$AR$162,BN4471,0)+INDEX($AT$13:$BB$162,BO4471,0)+INDEX($BD$13:$BL$162,BP4471,0))/100))&gt;=$D$10:$L$10)),0)</f>
        <v/>
      </c>
      <c r="BR4471">
        <f>IF(4458&lt;$U$9,SUMPRODUCT(($D$10:$L$10&lt;&gt;"")*(($D$10:$L$10-($D$9:$L$9+INT(($S$12:$AA$12+INDEX($AJ$13:$AR$162,BN4471,0)+INDEX($AT$13:$BB$162,BO4471,0)+INDEX($BD$13:$BL$162,BP4471,0))/100)))&gt;0)*($D$10:$L$10-($D$9:$L$9+INT(($S$12:$AA$12+INDEX($AJ$13:$AR$162,BN4471,0)+INDEX($AT$13:$BB$162,BO4471,0)+INDEX($BD$13:$BL$162,BP4471,0))/100)))),0)</f>
        <v/>
      </c>
      <c r="BS4471">
        <f>IF(4458&lt;$U$9,SUMPRODUCT(($D$9:$L$9+INT(($S$12:$AA$12+INDEX($AJ$13:$AR$162,BN4471,0)+INDEX($AT$13:$BB$162,BO4471,0)+INDEX($BD$13:$BL$162,BP4471,0))/100))),0)</f>
        <v/>
      </c>
      <c r="BT4471">
        <f>IF(AND(4458&lt;$U$9,$W$5),BQ4471*1000000-MIN(BR4471,999)*1000+BS4471-4458/100000,-1000000000-4458)</f>
        <v/>
      </c>
    </row>
    <row r="4472">
      <c r="BN4472">
        <f>IF(4459&lt;$U$9,INT(4459/($U$7*$U$8))+1,1)</f>
        <v/>
      </c>
      <c r="BO4472">
        <f>IF(4459&lt;$U$9,MOD(INT(4459/$U$8),$U$7)+1,1)</f>
        <v/>
      </c>
      <c r="BP4472">
        <f>IF(4459&lt;$U$9,MOD(4459,$U$8)+1,1)</f>
        <v/>
      </c>
      <c r="BQ4472">
        <f>IF(4459&lt;$U$9,SUMPRODUCT(($D$10:$L$10&lt;&gt;"")*(($D$9:$L$9+INT(($S$12:$AA$12+INDEX($AJ$13:$AR$162,BN4472,0)+INDEX($AT$13:$BB$162,BO4472,0)+INDEX($BD$13:$BL$162,BP4472,0))/100))&gt;=$D$10:$L$10)),0)</f>
        <v/>
      </c>
      <c r="BR4472">
        <f>IF(4459&lt;$U$9,SUMPRODUCT(($D$10:$L$10&lt;&gt;"")*(($D$10:$L$10-($D$9:$L$9+INT(($S$12:$AA$12+INDEX($AJ$13:$AR$162,BN4472,0)+INDEX($AT$13:$BB$162,BO4472,0)+INDEX($BD$13:$BL$162,BP4472,0))/100)))&gt;0)*($D$10:$L$10-($D$9:$L$9+INT(($S$12:$AA$12+INDEX($AJ$13:$AR$162,BN4472,0)+INDEX($AT$13:$BB$162,BO4472,0)+INDEX($BD$13:$BL$162,BP4472,0))/100)))),0)</f>
        <v/>
      </c>
      <c r="BS4472">
        <f>IF(4459&lt;$U$9,SUMPRODUCT(($D$9:$L$9+INT(($S$12:$AA$12+INDEX($AJ$13:$AR$162,BN4472,0)+INDEX($AT$13:$BB$162,BO4472,0)+INDEX($BD$13:$BL$162,BP4472,0))/100))),0)</f>
        <v/>
      </c>
      <c r="BT4472">
        <f>IF(AND(4459&lt;$U$9,$W$5),BQ4472*1000000-MIN(BR4472,999)*1000+BS4472-4459/100000,-1000000000-4459)</f>
        <v/>
      </c>
    </row>
    <row r="4473">
      <c r="BN4473">
        <f>IF(4460&lt;$U$9,INT(4460/($U$7*$U$8))+1,1)</f>
        <v/>
      </c>
      <c r="BO4473">
        <f>IF(4460&lt;$U$9,MOD(INT(4460/$U$8),$U$7)+1,1)</f>
        <v/>
      </c>
      <c r="BP4473">
        <f>IF(4460&lt;$U$9,MOD(4460,$U$8)+1,1)</f>
        <v/>
      </c>
      <c r="BQ4473">
        <f>IF(4460&lt;$U$9,SUMPRODUCT(($D$10:$L$10&lt;&gt;"")*(($D$9:$L$9+INT(($S$12:$AA$12+INDEX($AJ$13:$AR$162,BN4473,0)+INDEX($AT$13:$BB$162,BO4473,0)+INDEX($BD$13:$BL$162,BP4473,0))/100))&gt;=$D$10:$L$10)),0)</f>
        <v/>
      </c>
      <c r="BR4473">
        <f>IF(4460&lt;$U$9,SUMPRODUCT(($D$10:$L$10&lt;&gt;"")*(($D$10:$L$10-($D$9:$L$9+INT(($S$12:$AA$12+INDEX($AJ$13:$AR$162,BN4473,0)+INDEX($AT$13:$BB$162,BO4473,0)+INDEX($BD$13:$BL$162,BP4473,0))/100)))&gt;0)*($D$10:$L$10-($D$9:$L$9+INT(($S$12:$AA$12+INDEX($AJ$13:$AR$162,BN4473,0)+INDEX($AT$13:$BB$162,BO4473,0)+INDEX($BD$13:$BL$162,BP4473,0))/100)))),0)</f>
        <v/>
      </c>
      <c r="BS4473">
        <f>IF(4460&lt;$U$9,SUMPRODUCT(($D$9:$L$9+INT(($S$12:$AA$12+INDEX($AJ$13:$AR$162,BN4473,0)+INDEX($AT$13:$BB$162,BO4473,0)+INDEX($BD$13:$BL$162,BP4473,0))/100))),0)</f>
        <v/>
      </c>
      <c r="BT4473">
        <f>IF(AND(4460&lt;$U$9,$W$5),BQ4473*1000000-MIN(BR4473,999)*1000+BS4473-4460/100000,-1000000000-4460)</f>
        <v/>
      </c>
    </row>
    <row r="4474">
      <c r="BN4474">
        <f>IF(4461&lt;$U$9,INT(4461/($U$7*$U$8))+1,1)</f>
        <v/>
      </c>
      <c r="BO4474">
        <f>IF(4461&lt;$U$9,MOD(INT(4461/$U$8),$U$7)+1,1)</f>
        <v/>
      </c>
      <c r="BP4474">
        <f>IF(4461&lt;$U$9,MOD(4461,$U$8)+1,1)</f>
        <v/>
      </c>
      <c r="BQ4474">
        <f>IF(4461&lt;$U$9,SUMPRODUCT(($D$10:$L$10&lt;&gt;"")*(($D$9:$L$9+INT(($S$12:$AA$12+INDEX($AJ$13:$AR$162,BN4474,0)+INDEX($AT$13:$BB$162,BO4474,0)+INDEX($BD$13:$BL$162,BP4474,0))/100))&gt;=$D$10:$L$10)),0)</f>
        <v/>
      </c>
      <c r="BR4474">
        <f>IF(4461&lt;$U$9,SUMPRODUCT(($D$10:$L$10&lt;&gt;"")*(($D$10:$L$10-($D$9:$L$9+INT(($S$12:$AA$12+INDEX($AJ$13:$AR$162,BN4474,0)+INDEX($AT$13:$BB$162,BO4474,0)+INDEX($BD$13:$BL$162,BP4474,0))/100)))&gt;0)*($D$10:$L$10-($D$9:$L$9+INT(($S$12:$AA$12+INDEX($AJ$13:$AR$162,BN4474,0)+INDEX($AT$13:$BB$162,BO4474,0)+INDEX($BD$13:$BL$162,BP4474,0))/100)))),0)</f>
        <v/>
      </c>
      <c r="BS4474">
        <f>IF(4461&lt;$U$9,SUMPRODUCT(($D$9:$L$9+INT(($S$12:$AA$12+INDEX($AJ$13:$AR$162,BN4474,0)+INDEX($AT$13:$BB$162,BO4474,0)+INDEX($BD$13:$BL$162,BP4474,0))/100))),0)</f>
        <v/>
      </c>
      <c r="BT4474">
        <f>IF(AND(4461&lt;$U$9,$W$5),BQ4474*1000000-MIN(BR4474,999)*1000+BS4474-4461/100000,-1000000000-4461)</f>
        <v/>
      </c>
    </row>
    <row r="4475">
      <c r="BN4475">
        <f>IF(4462&lt;$U$9,INT(4462/($U$7*$U$8))+1,1)</f>
        <v/>
      </c>
      <c r="BO4475">
        <f>IF(4462&lt;$U$9,MOD(INT(4462/$U$8),$U$7)+1,1)</f>
        <v/>
      </c>
      <c r="BP4475">
        <f>IF(4462&lt;$U$9,MOD(4462,$U$8)+1,1)</f>
        <v/>
      </c>
      <c r="BQ4475">
        <f>IF(4462&lt;$U$9,SUMPRODUCT(($D$10:$L$10&lt;&gt;"")*(($D$9:$L$9+INT(($S$12:$AA$12+INDEX($AJ$13:$AR$162,BN4475,0)+INDEX($AT$13:$BB$162,BO4475,0)+INDEX($BD$13:$BL$162,BP4475,0))/100))&gt;=$D$10:$L$10)),0)</f>
        <v/>
      </c>
      <c r="BR4475">
        <f>IF(4462&lt;$U$9,SUMPRODUCT(($D$10:$L$10&lt;&gt;"")*(($D$10:$L$10-($D$9:$L$9+INT(($S$12:$AA$12+INDEX($AJ$13:$AR$162,BN4475,0)+INDEX($AT$13:$BB$162,BO4475,0)+INDEX($BD$13:$BL$162,BP4475,0))/100)))&gt;0)*($D$10:$L$10-($D$9:$L$9+INT(($S$12:$AA$12+INDEX($AJ$13:$AR$162,BN4475,0)+INDEX($AT$13:$BB$162,BO4475,0)+INDEX($BD$13:$BL$162,BP4475,0))/100)))),0)</f>
        <v/>
      </c>
      <c r="BS4475">
        <f>IF(4462&lt;$U$9,SUMPRODUCT(($D$9:$L$9+INT(($S$12:$AA$12+INDEX($AJ$13:$AR$162,BN4475,0)+INDEX($AT$13:$BB$162,BO4475,0)+INDEX($BD$13:$BL$162,BP4475,0))/100))),0)</f>
        <v/>
      </c>
      <c r="BT4475">
        <f>IF(AND(4462&lt;$U$9,$W$5),BQ4475*1000000-MIN(BR4475,999)*1000+BS4475-4462/100000,-1000000000-4462)</f>
        <v/>
      </c>
    </row>
    <row r="4476">
      <c r="BN4476">
        <f>IF(4463&lt;$U$9,INT(4463/($U$7*$U$8))+1,1)</f>
        <v/>
      </c>
      <c r="BO4476">
        <f>IF(4463&lt;$U$9,MOD(INT(4463/$U$8),$U$7)+1,1)</f>
        <v/>
      </c>
      <c r="BP4476">
        <f>IF(4463&lt;$U$9,MOD(4463,$U$8)+1,1)</f>
        <v/>
      </c>
      <c r="BQ4476">
        <f>IF(4463&lt;$U$9,SUMPRODUCT(($D$10:$L$10&lt;&gt;"")*(($D$9:$L$9+INT(($S$12:$AA$12+INDEX($AJ$13:$AR$162,BN4476,0)+INDEX($AT$13:$BB$162,BO4476,0)+INDEX($BD$13:$BL$162,BP4476,0))/100))&gt;=$D$10:$L$10)),0)</f>
        <v/>
      </c>
      <c r="BR4476">
        <f>IF(4463&lt;$U$9,SUMPRODUCT(($D$10:$L$10&lt;&gt;"")*(($D$10:$L$10-($D$9:$L$9+INT(($S$12:$AA$12+INDEX($AJ$13:$AR$162,BN4476,0)+INDEX($AT$13:$BB$162,BO4476,0)+INDEX($BD$13:$BL$162,BP4476,0))/100)))&gt;0)*($D$10:$L$10-($D$9:$L$9+INT(($S$12:$AA$12+INDEX($AJ$13:$AR$162,BN4476,0)+INDEX($AT$13:$BB$162,BO4476,0)+INDEX($BD$13:$BL$162,BP4476,0))/100)))),0)</f>
        <v/>
      </c>
      <c r="BS4476">
        <f>IF(4463&lt;$U$9,SUMPRODUCT(($D$9:$L$9+INT(($S$12:$AA$12+INDEX($AJ$13:$AR$162,BN4476,0)+INDEX($AT$13:$BB$162,BO4476,0)+INDEX($BD$13:$BL$162,BP4476,0))/100))),0)</f>
        <v/>
      </c>
      <c r="BT4476">
        <f>IF(AND(4463&lt;$U$9,$W$5),BQ4476*1000000-MIN(BR4476,999)*1000+BS4476-4463/100000,-1000000000-4463)</f>
        <v/>
      </c>
    </row>
    <row r="4477">
      <c r="BN4477">
        <f>IF(4464&lt;$U$9,INT(4464/($U$7*$U$8))+1,1)</f>
        <v/>
      </c>
      <c r="BO4477">
        <f>IF(4464&lt;$U$9,MOD(INT(4464/$U$8),$U$7)+1,1)</f>
        <v/>
      </c>
      <c r="BP4477">
        <f>IF(4464&lt;$U$9,MOD(4464,$U$8)+1,1)</f>
        <v/>
      </c>
      <c r="BQ4477">
        <f>IF(4464&lt;$U$9,SUMPRODUCT(($D$10:$L$10&lt;&gt;"")*(($D$9:$L$9+INT(($S$12:$AA$12+INDEX($AJ$13:$AR$162,BN4477,0)+INDEX($AT$13:$BB$162,BO4477,0)+INDEX($BD$13:$BL$162,BP4477,0))/100))&gt;=$D$10:$L$10)),0)</f>
        <v/>
      </c>
      <c r="BR4477">
        <f>IF(4464&lt;$U$9,SUMPRODUCT(($D$10:$L$10&lt;&gt;"")*(($D$10:$L$10-($D$9:$L$9+INT(($S$12:$AA$12+INDEX($AJ$13:$AR$162,BN4477,0)+INDEX($AT$13:$BB$162,BO4477,0)+INDEX($BD$13:$BL$162,BP4477,0))/100)))&gt;0)*($D$10:$L$10-($D$9:$L$9+INT(($S$12:$AA$12+INDEX($AJ$13:$AR$162,BN4477,0)+INDEX($AT$13:$BB$162,BO4477,0)+INDEX($BD$13:$BL$162,BP4477,0))/100)))),0)</f>
        <v/>
      </c>
      <c r="BS4477">
        <f>IF(4464&lt;$U$9,SUMPRODUCT(($D$9:$L$9+INT(($S$12:$AA$12+INDEX($AJ$13:$AR$162,BN4477,0)+INDEX($AT$13:$BB$162,BO4477,0)+INDEX($BD$13:$BL$162,BP4477,0))/100))),0)</f>
        <v/>
      </c>
      <c r="BT4477">
        <f>IF(AND(4464&lt;$U$9,$W$5),BQ4477*1000000-MIN(BR4477,999)*1000+BS4477-4464/100000,-1000000000-4464)</f>
        <v/>
      </c>
    </row>
    <row r="4478">
      <c r="BN4478">
        <f>IF(4465&lt;$U$9,INT(4465/($U$7*$U$8))+1,1)</f>
        <v/>
      </c>
      <c r="BO4478">
        <f>IF(4465&lt;$U$9,MOD(INT(4465/$U$8),$U$7)+1,1)</f>
        <v/>
      </c>
      <c r="BP4478">
        <f>IF(4465&lt;$U$9,MOD(4465,$U$8)+1,1)</f>
        <v/>
      </c>
      <c r="BQ4478">
        <f>IF(4465&lt;$U$9,SUMPRODUCT(($D$10:$L$10&lt;&gt;"")*(($D$9:$L$9+INT(($S$12:$AA$12+INDEX($AJ$13:$AR$162,BN4478,0)+INDEX($AT$13:$BB$162,BO4478,0)+INDEX($BD$13:$BL$162,BP4478,0))/100))&gt;=$D$10:$L$10)),0)</f>
        <v/>
      </c>
      <c r="BR4478">
        <f>IF(4465&lt;$U$9,SUMPRODUCT(($D$10:$L$10&lt;&gt;"")*(($D$10:$L$10-($D$9:$L$9+INT(($S$12:$AA$12+INDEX($AJ$13:$AR$162,BN4478,0)+INDEX($AT$13:$BB$162,BO4478,0)+INDEX($BD$13:$BL$162,BP4478,0))/100)))&gt;0)*($D$10:$L$10-($D$9:$L$9+INT(($S$12:$AA$12+INDEX($AJ$13:$AR$162,BN4478,0)+INDEX($AT$13:$BB$162,BO4478,0)+INDEX($BD$13:$BL$162,BP4478,0))/100)))),0)</f>
        <v/>
      </c>
      <c r="BS4478">
        <f>IF(4465&lt;$U$9,SUMPRODUCT(($D$9:$L$9+INT(($S$12:$AA$12+INDEX($AJ$13:$AR$162,BN4478,0)+INDEX($AT$13:$BB$162,BO4478,0)+INDEX($BD$13:$BL$162,BP4478,0))/100))),0)</f>
        <v/>
      </c>
      <c r="BT4478">
        <f>IF(AND(4465&lt;$U$9,$W$5),BQ4478*1000000-MIN(BR4478,999)*1000+BS4478-4465/100000,-1000000000-4465)</f>
        <v/>
      </c>
    </row>
    <row r="4479">
      <c r="BN4479">
        <f>IF(4466&lt;$U$9,INT(4466/($U$7*$U$8))+1,1)</f>
        <v/>
      </c>
      <c r="BO4479">
        <f>IF(4466&lt;$U$9,MOD(INT(4466/$U$8),$U$7)+1,1)</f>
        <v/>
      </c>
      <c r="BP4479">
        <f>IF(4466&lt;$U$9,MOD(4466,$U$8)+1,1)</f>
        <v/>
      </c>
      <c r="BQ4479">
        <f>IF(4466&lt;$U$9,SUMPRODUCT(($D$10:$L$10&lt;&gt;"")*(($D$9:$L$9+INT(($S$12:$AA$12+INDEX($AJ$13:$AR$162,BN4479,0)+INDEX($AT$13:$BB$162,BO4479,0)+INDEX($BD$13:$BL$162,BP4479,0))/100))&gt;=$D$10:$L$10)),0)</f>
        <v/>
      </c>
      <c r="BR4479">
        <f>IF(4466&lt;$U$9,SUMPRODUCT(($D$10:$L$10&lt;&gt;"")*(($D$10:$L$10-($D$9:$L$9+INT(($S$12:$AA$12+INDEX($AJ$13:$AR$162,BN4479,0)+INDEX($AT$13:$BB$162,BO4479,0)+INDEX($BD$13:$BL$162,BP4479,0))/100)))&gt;0)*($D$10:$L$10-($D$9:$L$9+INT(($S$12:$AA$12+INDEX($AJ$13:$AR$162,BN4479,0)+INDEX($AT$13:$BB$162,BO4479,0)+INDEX($BD$13:$BL$162,BP4479,0))/100)))),0)</f>
        <v/>
      </c>
      <c r="BS4479">
        <f>IF(4466&lt;$U$9,SUMPRODUCT(($D$9:$L$9+INT(($S$12:$AA$12+INDEX($AJ$13:$AR$162,BN4479,0)+INDEX($AT$13:$BB$162,BO4479,0)+INDEX($BD$13:$BL$162,BP4479,0))/100))),0)</f>
        <v/>
      </c>
      <c r="BT4479">
        <f>IF(AND(4466&lt;$U$9,$W$5),BQ4479*1000000-MIN(BR4479,999)*1000+BS4479-4466/100000,-1000000000-4466)</f>
        <v/>
      </c>
    </row>
    <row r="4480">
      <c r="BN4480">
        <f>IF(4467&lt;$U$9,INT(4467/($U$7*$U$8))+1,1)</f>
        <v/>
      </c>
      <c r="BO4480">
        <f>IF(4467&lt;$U$9,MOD(INT(4467/$U$8),$U$7)+1,1)</f>
        <v/>
      </c>
      <c r="BP4480">
        <f>IF(4467&lt;$U$9,MOD(4467,$U$8)+1,1)</f>
        <v/>
      </c>
      <c r="BQ4480">
        <f>IF(4467&lt;$U$9,SUMPRODUCT(($D$10:$L$10&lt;&gt;"")*(($D$9:$L$9+INT(($S$12:$AA$12+INDEX($AJ$13:$AR$162,BN4480,0)+INDEX($AT$13:$BB$162,BO4480,0)+INDEX($BD$13:$BL$162,BP4480,0))/100))&gt;=$D$10:$L$10)),0)</f>
        <v/>
      </c>
      <c r="BR4480">
        <f>IF(4467&lt;$U$9,SUMPRODUCT(($D$10:$L$10&lt;&gt;"")*(($D$10:$L$10-($D$9:$L$9+INT(($S$12:$AA$12+INDEX($AJ$13:$AR$162,BN4480,0)+INDEX($AT$13:$BB$162,BO4480,0)+INDEX($BD$13:$BL$162,BP4480,0))/100)))&gt;0)*($D$10:$L$10-($D$9:$L$9+INT(($S$12:$AA$12+INDEX($AJ$13:$AR$162,BN4480,0)+INDEX($AT$13:$BB$162,BO4480,0)+INDEX($BD$13:$BL$162,BP4480,0))/100)))),0)</f>
        <v/>
      </c>
      <c r="BS4480">
        <f>IF(4467&lt;$U$9,SUMPRODUCT(($D$9:$L$9+INT(($S$12:$AA$12+INDEX($AJ$13:$AR$162,BN4480,0)+INDEX($AT$13:$BB$162,BO4480,0)+INDEX($BD$13:$BL$162,BP4480,0))/100))),0)</f>
        <v/>
      </c>
      <c r="BT4480">
        <f>IF(AND(4467&lt;$U$9,$W$5),BQ4480*1000000-MIN(BR4480,999)*1000+BS4480-4467/100000,-1000000000-4467)</f>
        <v/>
      </c>
    </row>
    <row r="4481">
      <c r="BN4481">
        <f>IF(4468&lt;$U$9,INT(4468/($U$7*$U$8))+1,1)</f>
        <v/>
      </c>
      <c r="BO4481">
        <f>IF(4468&lt;$U$9,MOD(INT(4468/$U$8),$U$7)+1,1)</f>
        <v/>
      </c>
      <c r="BP4481">
        <f>IF(4468&lt;$U$9,MOD(4468,$U$8)+1,1)</f>
        <v/>
      </c>
      <c r="BQ4481">
        <f>IF(4468&lt;$U$9,SUMPRODUCT(($D$10:$L$10&lt;&gt;"")*(($D$9:$L$9+INT(($S$12:$AA$12+INDEX($AJ$13:$AR$162,BN4481,0)+INDEX($AT$13:$BB$162,BO4481,0)+INDEX($BD$13:$BL$162,BP4481,0))/100))&gt;=$D$10:$L$10)),0)</f>
        <v/>
      </c>
      <c r="BR4481">
        <f>IF(4468&lt;$U$9,SUMPRODUCT(($D$10:$L$10&lt;&gt;"")*(($D$10:$L$10-($D$9:$L$9+INT(($S$12:$AA$12+INDEX($AJ$13:$AR$162,BN4481,0)+INDEX($AT$13:$BB$162,BO4481,0)+INDEX($BD$13:$BL$162,BP4481,0))/100)))&gt;0)*($D$10:$L$10-($D$9:$L$9+INT(($S$12:$AA$12+INDEX($AJ$13:$AR$162,BN4481,0)+INDEX($AT$13:$BB$162,BO4481,0)+INDEX($BD$13:$BL$162,BP4481,0))/100)))),0)</f>
        <v/>
      </c>
      <c r="BS4481">
        <f>IF(4468&lt;$U$9,SUMPRODUCT(($D$9:$L$9+INT(($S$12:$AA$12+INDEX($AJ$13:$AR$162,BN4481,0)+INDEX($AT$13:$BB$162,BO4481,0)+INDEX($BD$13:$BL$162,BP4481,0))/100))),0)</f>
        <v/>
      </c>
      <c r="BT4481">
        <f>IF(AND(4468&lt;$U$9,$W$5),BQ4481*1000000-MIN(BR4481,999)*1000+BS4481-4468/100000,-1000000000-4468)</f>
        <v/>
      </c>
    </row>
    <row r="4482">
      <c r="BN4482">
        <f>IF(4469&lt;$U$9,INT(4469/($U$7*$U$8))+1,1)</f>
        <v/>
      </c>
      <c r="BO4482">
        <f>IF(4469&lt;$U$9,MOD(INT(4469/$U$8),$U$7)+1,1)</f>
        <v/>
      </c>
      <c r="BP4482">
        <f>IF(4469&lt;$U$9,MOD(4469,$U$8)+1,1)</f>
        <v/>
      </c>
      <c r="BQ4482">
        <f>IF(4469&lt;$U$9,SUMPRODUCT(($D$10:$L$10&lt;&gt;"")*(($D$9:$L$9+INT(($S$12:$AA$12+INDEX($AJ$13:$AR$162,BN4482,0)+INDEX($AT$13:$BB$162,BO4482,0)+INDEX($BD$13:$BL$162,BP4482,0))/100))&gt;=$D$10:$L$10)),0)</f>
        <v/>
      </c>
      <c r="BR4482">
        <f>IF(4469&lt;$U$9,SUMPRODUCT(($D$10:$L$10&lt;&gt;"")*(($D$10:$L$10-($D$9:$L$9+INT(($S$12:$AA$12+INDEX($AJ$13:$AR$162,BN4482,0)+INDEX($AT$13:$BB$162,BO4482,0)+INDEX($BD$13:$BL$162,BP4482,0))/100)))&gt;0)*($D$10:$L$10-($D$9:$L$9+INT(($S$12:$AA$12+INDEX($AJ$13:$AR$162,BN4482,0)+INDEX($AT$13:$BB$162,BO4482,0)+INDEX($BD$13:$BL$162,BP4482,0))/100)))),0)</f>
        <v/>
      </c>
      <c r="BS4482">
        <f>IF(4469&lt;$U$9,SUMPRODUCT(($D$9:$L$9+INT(($S$12:$AA$12+INDEX($AJ$13:$AR$162,BN4482,0)+INDEX($AT$13:$BB$162,BO4482,0)+INDEX($BD$13:$BL$162,BP4482,0))/100))),0)</f>
        <v/>
      </c>
      <c r="BT4482">
        <f>IF(AND(4469&lt;$U$9,$W$5),BQ4482*1000000-MIN(BR4482,999)*1000+BS4482-4469/100000,-1000000000-4469)</f>
        <v/>
      </c>
    </row>
    <row r="4483">
      <c r="BN4483">
        <f>IF(4470&lt;$U$9,INT(4470/($U$7*$U$8))+1,1)</f>
        <v/>
      </c>
      <c r="BO4483">
        <f>IF(4470&lt;$U$9,MOD(INT(4470/$U$8),$U$7)+1,1)</f>
        <v/>
      </c>
      <c r="BP4483">
        <f>IF(4470&lt;$U$9,MOD(4470,$U$8)+1,1)</f>
        <v/>
      </c>
      <c r="BQ4483">
        <f>IF(4470&lt;$U$9,SUMPRODUCT(($D$10:$L$10&lt;&gt;"")*(($D$9:$L$9+INT(($S$12:$AA$12+INDEX($AJ$13:$AR$162,BN4483,0)+INDEX($AT$13:$BB$162,BO4483,0)+INDEX($BD$13:$BL$162,BP4483,0))/100))&gt;=$D$10:$L$10)),0)</f>
        <v/>
      </c>
      <c r="BR4483">
        <f>IF(4470&lt;$U$9,SUMPRODUCT(($D$10:$L$10&lt;&gt;"")*(($D$10:$L$10-($D$9:$L$9+INT(($S$12:$AA$12+INDEX($AJ$13:$AR$162,BN4483,0)+INDEX($AT$13:$BB$162,BO4483,0)+INDEX($BD$13:$BL$162,BP4483,0))/100)))&gt;0)*($D$10:$L$10-($D$9:$L$9+INT(($S$12:$AA$12+INDEX($AJ$13:$AR$162,BN4483,0)+INDEX($AT$13:$BB$162,BO4483,0)+INDEX($BD$13:$BL$162,BP4483,0))/100)))),0)</f>
        <v/>
      </c>
      <c r="BS4483">
        <f>IF(4470&lt;$U$9,SUMPRODUCT(($D$9:$L$9+INT(($S$12:$AA$12+INDEX($AJ$13:$AR$162,BN4483,0)+INDEX($AT$13:$BB$162,BO4483,0)+INDEX($BD$13:$BL$162,BP4483,0))/100))),0)</f>
        <v/>
      </c>
      <c r="BT4483">
        <f>IF(AND(4470&lt;$U$9,$W$5),BQ4483*1000000-MIN(BR4483,999)*1000+BS4483-4470/100000,-1000000000-4470)</f>
        <v/>
      </c>
    </row>
    <row r="4484">
      <c r="BN4484">
        <f>IF(4471&lt;$U$9,INT(4471/($U$7*$U$8))+1,1)</f>
        <v/>
      </c>
      <c r="BO4484">
        <f>IF(4471&lt;$U$9,MOD(INT(4471/$U$8),$U$7)+1,1)</f>
        <v/>
      </c>
      <c r="BP4484">
        <f>IF(4471&lt;$U$9,MOD(4471,$U$8)+1,1)</f>
        <v/>
      </c>
      <c r="BQ4484">
        <f>IF(4471&lt;$U$9,SUMPRODUCT(($D$10:$L$10&lt;&gt;"")*(($D$9:$L$9+INT(($S$12:$AA$12+INDEX($AJ$13:$AR$162,BN4484,0)+INDEX($AT$13:$BB$162,BO4484,0)+INDEX($BD$13:$BL$162,BP4484,0))/100))&gt;=$D$10:$L$10)),0)</f>
        <v/>
      </c>
      <c r="BR4484">
        <f>IF(4471&lt;$U$9,SUMPRODUCT(($D$10:$L$10&lt;&gt;"")*(($D$10:$L$10-($D$9:$L$9+INT(($S$12:$AA$12+INDEX($AJ$13:$AR$162,BN4484,0)+INDEX($AT$13:$BB$162,BO4484,0)+INDEX($BD$13:$BL$162,BP4484,0))/100)))&gt;0)*($D$10:$L$10-($D$9:$L$9+INT(($S$12:$AA$12+INDEX($AJ$13:$AR$162,BN4484,0)+INDEX($AT$13:$BB$162,BO4484,0)+INDEX($BD$13:$BL$162,BP4484,0))/100)))),0)</f>
        <v/>
      </c>
      <c r="BS4484">
        <f>IF(4471&lt;$U$9,SUMPRODUCT(($D$9:$L$9+INT(($S$12:$AA$12+INDEX($AJ$13:$AR$162,BN4484,0)+INDEX($AT$13:$BB$162,BO4484,0)+INDEX($BD$13:$BL$162,BP4484,0))/100))),0)</f>
        <v/>
      </c>
      <c r="BT4484">
        <f>IF(AND(4471&lt;$U$9,$W$5),BQ4484*1000000-MIN(BR4484,999)*1000+BS4484-4471/100000,-1000000000-4471)</f>
        <v/>
      </c>
    </row>
    <row r="4485">
      <c r="BN4485">
        <f>IF(4472&lt;$U$9,INT(4472/($U$7*$U$8))+1,1)</f>
        <v/>
      </c>
      <c r="BO4485">
        <f>IF(4472&lt;$U$9,MOD(INT(4472/$U$8),$U$7)+1,1)</f>
        <v/>
      </c>
      <c r="BP4485">
        <f>IF(4472&lt;$U$9,MOD(4472,$U$8)+1,1)</f>
        <v/>
      </c>
      <c r="BQ4485">
        <f>IF(4472&lt;$U$9,SUMPRODUCT(($D$10:$L$10&lt;&gt;"")*(($D$9:$L$9+INT(($S$12:$AA$12+INDEX($AJ$13:$AR$162,BN4485,0)+INDEX($AT$13:$BB$162,BO4485,0)+INDEX($BD$13:$BL$162,BP4485,0))/100))&gt;=$D$10:$L$10)),0)</f>
        <v/>
      </c>
      <c r="BR4485">
        <f>IF(4472&lt;$U$9,SUMPRODUCT(($D$10:$L$10&lt;&gt;"")*(($D$10:$L$10-($D$9:$L$9+INT(($S$12:$AA$12+INDEX($AJ$13:$AR$162,BN4485,0)+INDEX($AT$13:$BB$162,BO4485,0)+INDEX($BD$13:$BL$162,BP4485,0))/100)))&gt;0)*($D$10:$L$10-($D$9:$L$9+INT(($S$12:$AA$12+INDEX($AJ$13:$AR$162,BN4485,0)+INDEX($AT$13:$BB$162,BO4485,0)+INDEX($BD$13:$BL$162,BP4485,0))/100)))),0)</f>
        <v/>
      </c>
      <c r="BS4485">
        <f>IF(4472&lt;$U$9,SUMPRODUCT(($D$9:$L$9+INT(($S$12:$AA$12+INDEX($AJ$13:$AR$162,BN4485,0)+INDEX($AT$13:$BB$162,BO4485,0)+INDEX($BD$13:$BL$162,BP4485,0))/100))),0)</f>
        <v/>
      </c>
      <c r="BT4485">
        <f>IF(AND(4472&lt;$U$9,$W$5),BQ4485*1000000-MIN(BR4485,999)*1000+BS4485-4472/100000,-1000000000-4472)</f>
        <v/>
      </c>
    </row>
    <row r="4486">
      <c r="BN4486">
        <f>IF(4473&lt;$U$9,INT(4473/($U$7*$U$8))+1,1)</f>
        <v/>
      </c>
      <c r="BO4486">
        <f>IF(4473&lt;$U$9,MOD(INT(4473/$U$8),$U$7)+1,1)</f>
        <v/>
      </c>
      <c r="BP4486">
        <f>IF(4473&lt;$U$9,MOD(4473,$U$8)+1,1)</f>
        <v/>
      </c>
      <c r="BQ4486">
        <f>IF(4473&lt;$U$9,SUMPRODUCT(($D$10:$L$10&lt;&gt;"")*(($D$9:$L$9+INT(($S$12:$AA$12+INDEX($AJ$13:$AR$162,BN4486,0)+INDEX($AT$13:$BB$162,BO4486,0)+INDEX($BD$13:$BL$162,BP4486,0))/100))&gt;=$D$10:$L$10)),0)</f>
        <v/>
      </c>
      <c r="BR4486">
        <f>IF(4473&lt;$U$9,SUMPRODUCT(($D$10:$L$10&lt;&gt;"")*(($D$10:$L$10-($D$9:$L$9+INT(($S$12:$AA$12+INDEX($AJ$13:$AR$162,BN4486,0)+INDEX($AT$13:$BB$162,BO4486,0)+INDEX($BD$13:$BL$162,BP4486,0))/100)))&gt;0)*($D$10:$L$10-($D$9:$L$9+INT(($S$12:$AA$12+INDEX($AJ$13:$AR$162,BN4486,0)+INDEX($AT$13:$BB$162,BO4486,0)+INDEX($BD$13:$BL$162,BP4486,0))/100)))),0)</f>
        <v/>
      </c>
      <c r="BS4486">
        <f>IF(4473&lt;$U$9,SUMPRODUCT(($D$9:$L$9+INT(($S$12:$AA$12+INDEX($AJ$13:$AR$162,BN4486,0)+INDEX($AT$13:$BB$162,BO4486,0)+INDEX($BD$13:$BL$162,BP4486,0))/100))),0)</f>
        <v/>
      </c>
      <c r="BT4486">
        <f>IF(AND(4473&lt;$U$9,$W$5),BQ4486*1000000-MIN(BR4486,999)*1000+BS4486-4473/100000,-1000000000-4473)</f>
        <v/>
      </c>
    </row>
    <row r="4487">
      <c r="BN4487">
        <f>IF(4474&lt;$U$9,INT(4474/($U$7*$U$8))+1,1)</f>
        <v/>
      </c>
      <c r="BO4487">
        <f>IF(4474&lt;$U$9,MOD(INT(4474/$U$8),$U$7)+1,1)</f>
        <v/>
      </c>
      <c r="BP4487">
        <f>IF(4474&lt;$U$9,MOD(4474,$U$8)+1,1)</f>
        <v/>
      </c>
      <c r="BQ4487">
        <f>IF(4474&lt;$U$9,SUMPRODUCT(($D$10:$L$10&lt;&gt;"")*(($D$9:$L$9+INT(($S$12:$AA$12+INDEX($AJ$13:$AR$162,BN4487,0)+INDEX($AT$13:$BB$162,BO4487,0)+INDEX($BD$13:$BL$162,BP4487,0))/100))&gt;=$D$10:$L$10)),0)</f>
        <v/>
      </c>
      <c r="BR4487">
        <f>IF(4474&lt;$U$9,SUMPRODUCT(($D$10:$L$10&lt;&gt;"")*(($D$10:$L$10-($D$9:$L$9+INT(($S$12:$AA$12+INDEX($AJ$13:$AR$162,BN4487,0)+INDEX($AT$13:$BB$162,BO4487,0)+INDEX($BD$13:$BL$162,BP4487,0))/100)))&gt;0)*($D$10:$L$10-($D$9:$L$9+INT(($S$12:$AA$12+INDEX($AJ$13:$AR$162,BN4487,0)+INDEX($AT$13:$BB$162,BO4487,0)+INDEX($BD$13:$BL$162,BP4487,0))/100)))),0)</f>
        <v/>
      </c>
      <c r="BS4487">
        <f>IF(4474&lt;$U$9,SUMPRODUCT(($D$9:$L$9+INT(($S$12:$AA$12+INDEX($AJ$13:$AR$162,BN4487,0)+INDEX($AT$13:$BB$162,BO4487,0)+INDEX($BD$13:$BL$162,BP4487,0))/100))),0)</f>
        <v/>
      </c>
      <c r="BT4487">
        <f>IF(AND(4474&lt;$U$9,$W$5),BQ4487*1000000-MIN(BR4487,999)*1000+BS4487-4474/100000,-1000000000-4474)</f>
        <v/>
      </c>
    </row>
    <row r="4488">
      <c r="BN4488">
        <f>IF(4475&lt;$U$9,INT(4475/($U$7*$U$8))+1,1)</f>
        <v/>
      </c>
      <c r="BO4488">
        <f>IF(4475&lt;$U$9,MOD(INT(4475/$U$8),$U$7)+1,1)</f>
        <v/>
      </c>
      <c r="BP4488">
        <f>IF(4475&lt;$U$9,MOD(4475,$U$8)+1,1)</f>
        <v/>
      </c>
      <c r="BQ4488">
        <f>IF(4475&lt;$U$9,SUMPRODUCT(($D$10:$L$10&lt;&gt;"")*(($D$9:$L$9+INT(($S$12:$AA$12+INDEX($AJ$13:$AR$162,BN4488,0)+INDEX($AT$13:$BB$162,BO4488,0)+INDEX($BD$13:$BL$162,BP4488,0))/100))&gt;=$D$10:$L$10)),0)</f>
        <v/>
      </c>
      <c r="BR4488">
        <f>IF(4475&lt;$U$9,SUMPRODUCT(($D$10:$L$10&lt;&gt;"")*(($D$10:$L$10-($D$9:$L$9+INT(($S$12:$AA$12+INDEX($AJ$13:$AR$162,BN4488,0)+INDEX($AT$13:$BB$162,BO4488,0)+INDEX($BD$13:$BL$162,BP4488,0))/100)))&gt;0)*($D$10:$L$10-($D$9:$L$9+INT(($S$12:$AA$12+INDEX($AJ$13:$AR$162,BN4488,0)+INDEX($AT$13:$BB$162,BO4488,0)+INDEX($BD$13:$BL$162,BP4488,0))/100)))),0)</f>
        <v/>
      </c>
      <c r="BS4488">
        <f>IF(4475&lt;$U$9,SUMPRODUCT(($D$9:$L$9+INT(($S$12:$AA$12+INDEX($AJ$13:$AR$162,BN4488,0)+INDEX($AT$13:$BB$162,BO4488,0)+INDEX($BD$13:$BL$162,BP4488,0))/100))),0)</f>
        <v/>
      </c>
      <c r="BT4488">
        <f>IF(AND(4475&lt;$U$9,$W$5),BQ4488*1000000-MIN(BR4488,999)*1000+BS4488-4475/100000,-1000000000-4475)</f>
        <v/>
      </c>
    </row>
    <row r="4489">
      <c r="BN4489">
        <f>IF(4476&lt;$U$9,INT(4476/($U$7*$U$8))+1,1)</f>
        <v/>
      </c>
      <c r="BO4489">
        <f>IF(4476&lt;$U$9,MOD(INT(4476/$U$8),$U$7)+1,1)</f>
        <v/>
      </c>
      <c r="BP4489">
        <f>IF(4476&lt;$U$9,MOD(4476,$U$8)+1,1)</f>
        <v/>
      </c>
      <c r="BQ4489">
        <f>IF(4476&lt;$U$9,SUMPRODUCT(($D$10:$L$10&lt;&gt;"")*(($D$9:$L$9+INT(($S$12:$AA$12+INDEX($AJ$13:$AR$162,BN4489,0)+INDEX($AT$13:$BB$162,BO4489,0)+INDEX($BD$13:$BL$162,BP4489,0))/100))&gt;=$D$10:$L$10)),0)</f>
        <v/>
      </c>
      <c r="BR4489">
        <f>IF(4476&lt;$U$9,SUMPRODUCT(($D$10:$L$10&lt;&gt;"")*(($D$10:$L$10-($D$9:$L$9+INT(($S$12:$AA$12+INDEX($AJ$13:$AR$162,BN4489,0)+INDEX($AT$13:$BB$162,BO4489,0)+INDEX($BD$13:$BL$162,BP4489,0))/100)))&gt;0)*($D$10:$L$10-($D$9:$L$9+INT(($S$12:$AA$12+INDEX($AJ$13:$AR$162,BN4489,0)+INDEX($AT$13:$BB$162,BO4489,0)+INDEX($BD$13:$BL$162,BP4489,0))/100)))),0)</f>
        <v/>
      </c>
      <c r="BS4489">
        <f>IF(4476&lt;$U$9,SUMPRODUCT(($D$9:$L$9+INT(($S$12:$AA$12+INDEX($AJ$13:$AR$162,BN4489,0)+INDEX($AT$13:$BB$162,BO4489,0)+INDEX($BD$13:$BL$162,BP4489,0))/100))),0)</f>
        <v/>
      </c>
      <c r="BT4489">
        <f>IF(AND(4476&lt;$U$9,$W$5),BQ4489*1000000-MIN(BR4489,999)*1000+BS4489-4476/100000,-1000000000-4476)</f>
        <v/>
      </c>
    </row>
    <row r="4490">
      <c r="BN4490">
        <f>IF(4477&lt;$U$9,INT(4477/($U$7*$U$8))+1,1)</f>
        <v/>
      </c>
      <c r="BO4490">
        <f>IF(4477&lt;$U$9,MOD(INT(4477/$U$8),$U$7)+1,1)</f>
        <v/>
      </c>
      <c r="BP4490">
        <f>IF(4477&lt;$U$9,MOD(4477,$U$8)+1,1)</f>
        <v/>
      </c>
      <c r="BQ4490">
        <f>IF(4477&lt;$U$9,SUMPRODUCT(($D$10:$L$10&lt;&gt;"")*(($D$9:$L$9+INT(($S$12:$AA$12+INDEX($AJ$13:$AR$162,BN4490,0)+INDEX($AT$13:$BB$162,BO4490,0)+INDEX($BD$13:$BL$162,BP4490,0))/100))&gt;=$D$10:$L$10)),0)</f>
        <v/>
      </c>
      <c r="BR4490">
        <f>IF(4477&lt;$U$9,SUMPRODUCT(($D$10:$L$10&lt;&gt;"")*(($D$10:$L$10-($D$9:$L$9+INT(($S$12:$AA$12+INDEX($AJ$13:$AR$162,BN4490,0)+INDEX($AT$13:$BB$162,BO4490,0)+INDEX($BD$13:$BL$162,BP4490,0))/100)))&gt;0)*($D$10:$L$10-($D$9:$L$9+INT(($S$12:$AA$12+INDEX($AJ$13:$AR$162,BN4490,0)+INDEX($AT$13:$BB$162,BO4490,0)+INDEX($BD$13:$BL$162,BP4490,0))/100)))),0)</f>
        <v/>
      </c>
      <c r="BS4490">
        <f>IF(4477&lt;$U$9,SUMPRODUCT(($D$9:$L$9+INT(($S$12:$AA$12+INDEX($AJ$13:$AR$162,BN4490,0)+INDEX($AT$13:$BB$162,BO4490,0)+INDEX($BD$13:$BL$162,BP4490,0))/100))),0)</f>
        <v/>
      </c>
      <c r="BT4490">
        <f>IF(AND(4477&lt;$U$9,$W$5),BQ4490*1000000-MIN(BR4490,999)*1000+BS4490-4477/100000,-1000000000-4477)</f>
        <v/>
      </c>
    </row>
    <row r="4491">
      <c r="BN4491">
        <f>IF(4478&lt;$U$9,INT(4478/($U$7*$U$8))+1,1)</f>
        <v/>
      </c>
      <c r="BO4491">
        <f>IF(4478&lt;$U$9,MOD(INT(4478/$U$8),$U$7)+1,1)</f>
        <v/>
      </c>
      <c r="BP4491">
        <f>IF(4478&lt;$U$9,MOD(4478,$U$8)+1,1)</f>
        <v/>
      </c>
      <c r="BQ4491">
        <f>IF(4478&lt;$U$9,SUMPRODUCT(($D$10:$L$10&lt;&gt;"")*(($D$9:$L$9+INT(($S$12:$AA$12+INDEX($AJ$13:$AR$162,BN4491,0)+INDEX($AT$13:$BB$162,BO4491,0)+INDEX($BD$13:$BL$162,BP4491,0))/100))&gt;=$D$10:$L$10)),0)</f>
        <v/>
      </c>
      <c r="BR4491">
        <f>IF(4478&lt;$U$9,SUMPRODUCT(($D$10:$L$10&lt;&gt;"")*(($D$10:$L$10-($D$9:$L$9+INT(($S$12:$AA$12+INDEX($AJ$13:$AR$162,BN4491,0)+INDEX($AT$13:$BB$162,BO4491,0)+INDEX($BD$13:$BL$162,BP4491,0))/100)))&gt;0)*($D$10:$L$10-($D$9:$L$9+INT(($S$12:$AA$12+INDEX($AJ$13:$AR$162,BN4491,0)+INDEX($AT$13:$BB$162,BO4491,0)+INDEX($BD$13:$BL$162,BP4491,0))/100)))),0)</f>
        <v/>
      </c>
      <c r="BS4491">
        <f>IF(4478&lt;$U$9,SUMPRODUCT(($D$9:$L$9+INT(($S$12:$AA$12+INDEX($AJ$13:$AR$162,BN4491,0)+INDEX($AT$13:$BB$162,BO4491,0)+INDEX($BD$13:$BL$162,BP4491,0))/100))),0)</f>
        <v/>
      </c>
      <c r="BT4491">
        <f>IF(AND(4478&lt;$U$9,$W$5),BQ4491*1000000-MIN(BR4491,999)*1000+BS4491-4478/100000,-1000000000-4478)</f>
        <v/>
      </c>
    </row>
    <row r="4492">
      <c r="BN4492">
        <f>IF(4479&lt;$U$9,INT(4479/($U$7*$U$8))+1,1)</f>
        <v/>
      </c>
      <c r="BO4492">
        <f>IF(4479&lt;$U$9,MOD(INT(4479/$U$8),$U$7)+1,1)</f>
        <v/>
      </c>
      <c r="BP4492">
        <f>IF(4479&lt;$U$9,MOD(4479,$U$8)+1,1)</f>
        <v/>
      </c>
      <c r="BQ4492">
        <f>IF(4479&lt;$U$9,SUMPRODUCT(($D$10:$L$10&lt;&gt;"")*(($D$9:$L$9+INT(($S$12:$AA$12+INDEX($AJ$13:$AR$162,BN4492,0)+INDEX($AT$13:$BB$162,BO4492,0)+INDEX($BD$13:$BL$162,BP4492,0))/100))&gt;=$D$10:$L$10)),0)</f>
        <v/>
      </c>
      <c r="BR4492">
        <f>IF(4479&lt;$U$9,SUMPRODUCT(($D$10:$L$10&lt;&gt;"")*(($D$10:$L$10-($D$9:$L$9+INT(($S$12:$AA$12+INDEX($AJ$13:$AR$162,BN4492,0)+INDEX($AT$13:$BB$162,BO4492,0)+INDEX($BD$13:$BL$162,BP4492,0))/100)))&gt;0)*($D$10:$L$10-($D$9:$L$9+INT(($S$12:$AA$12+INDEX($AJ$13:$AR$162,BN4492,0)+INDEX($AT$13:$BB$162,BO4492,0)+INDEX($BD$13:$BL$162,BP4492,0))/100)))),0)</f>
        <v/>
      </c>
      <c r="BS4492">
        <f>IF(4479&lt;$U$9,SUMPRODUCT(($D$9:$L$9+INT(($S$12:$AA$12+INDEX($AJ$13:$AR$162,BN4492,0)+INDEX($AT$13:$BB$162,BO4492,0)+INDEX($BD$13:$BL$162,BP4492,0))/100))),0)</f>
        <v/>
      </c>
      <c r="BT4492">
        <f>IF(AND(4479&lt;$U$9,$W$5),BQ4492*1000000-MIN(BR4492,999)*1000+BS4492-4479/100000,-1000000000-4479)</f>
        <v/>
      </c>
    </row>
    <row r="4493">
      <c r="BN4493">
        <f>IF(4480&lt;$U$9,INT(4480/($U$7*$U$8))+1,1)</f>
        <v/>
      </c>
      <c r="BO4493">
        <f>IF(4480&lt;$U$9,MOD(INT(4480/$U$8),$U$7)+1,1)</f>
        <v/>
      </c>
      <c r="BP4493">
        <f>IF(4480&lt;$U$9,MOD(4480,$U$8)+1,1)</f>
        <v/>
      </c>
      <c r="BQ4493">
        <f>IF(4480&lt;$U$9,SUMPRODUCT(($D$10:$L$10&lt;&gt;"")*(($D$9:$L$9+INT(($S$12:$AA$12+INDEX($AJ$13:$AR$162,BN4493,0)+INDEX($AT$13:$BB$162,BO4493,0)+INDEX($BD$13:$BL$162,BP4493,0))/100))&gt;=$D$10:$L$10)),0)</f>
        <v/>
      </c>
      <c r="BR4493">
        <f>IF(4480&lt;$U$9,SUMPRODUCT(($D$10:$L$10&lt;&gt;"")*(($D$10:$L$10-($D$9:$L$9+INT(($S$12:$AA$12+INDEX($AJ$13:$AR$162,BN4493,0)+INDEX($AT$13:$BB$162,BO4493,0)+INDEX($BD$13:$BL$162,BP4493,0))/100)))&gt;0)*($D$10:$L$10-($D$9:$L$9+INT(($S$12:$AA$12+INDEX($AJ$13:$AR$162,BN4493,0)+INDEX($AT$13:$BB$162,BO4493,0)+INDEX($BD$13:$BL$162,BP4493,0))/100)))),0)</f>
        <v/>
      </c>
      <c r="BS4493">
        <f>IF(4480&lt;$U$9,SUMPRODUCT(($D$9:$L$9+INT(($S$12:$AA$12+INDEX($AJ$13:$AR$162,BN4493,0)+INDEX($AT$13:$BB$162,BO4493,0)+INDEX($BD$13:$BL$162,BP4493,0))/100))),0)</f>
        <v/>
      </c>
      <c r="BT4493">
        <f>IF(AND(4480&lt;$U$9,$W$5),BQ4493*1000000-MIN(BR4493,999)*1000+BS4493-4480/100000,-1000000000-4480)</f>
        <v/>
      </c>
    </row>
    <row r="4494">
      <c r="BN4494">
        <f>IF(4481&lt;$U$9,INT(4481/($U$7*$U$8))+1,1)</f>
        <v/>
      </c>
      <c r="BO4494">
        <f>IF(4481&lt;$U$9,MOD(INT(4481/$U$8),$U$7)+1,1)</f>
        <v/>
      </c>
      <c r="BP4494">
        <f>IF(4481&lt;$U$9,MOD(4481,$U$8)+1,1)</f>
        <v/>
      </c>
      <c r="BQ4494">
        <f>IF(4481&lt;$U$9,SUMPRODUCT(($D$10:$L$10&lt;&gt;"")*(($D$9:$L$9+INT(($S$12:$AA$12+INDEX($AJ$13:$AR$162,BN4494,0)+INDEX($AT$13:$BB$162,BO4494,0)+INDEX($BD$13:$BL$162,BP4494,0))/100))&gt;=$D$10:$L$10)),0)</f>
        <v/>
      </c>
      <c r="BR4494">
        <f>IF(4481&lt;$U$9,SUMPRODUCT(($D$10:$L$10&lt;&gt;"")*(($D$10:$L$10-($D$9:$L$9+INT(($S$12:$AA$12+INDEX($AJ$13:$AR$162,BN4494,0)+INDEX($AT$13:$BB$162,BO4494,0)+INDEX($BD$13:$BL$162,BP4494,0))/100)))&gt;0)*($D$10:$L$10-($D$9:$L$9+INT(($S$12:$AA$12+INDEX($AJ$13:$AR$162,BN4494,0)+INDEX($AT$13:$BB$162,BO4494,0)+INDEX($BD$13:$BL$162,BP4494,0))/100)))),0)</f>
        <v/>
      </c>
      <c r="BS4494">
        <f>IF(4481&lt;$U$9,SUMPRODUCT(($D$9:$L$9+INT(($S$12:$AA$12+INDEX($AJ$13:$AR$162,BN4494,0)+INDEX($AT$13:$BB$162,BO4494,0)+INDEX($BD$13:$BL$162,BP4494,0))/100))),0)</f>
        <v/>
      </c>
      <c r="BT4494">
        <f>IF(AND(4481&lt;$U$9,$W$5),BQ4494*1000000-MIN(BR4494,999)*1000+BS4494-4481/100000,-1000000000-4481)</f>
        <v/>
      </c>
    </row>
    <row r="4495">
      <c r="BN4495">
        <f>IF(4482&lt;$U$9,INT(4482/($U$7*$U$8))+1,1)</f>
        <v/>
      </c>
      <c r="BO4495">
        <f>IF(4482&lt;$U$9,MOD(INT(4482/$U$8),$U$7)+1,1)</f>
        <v/>
      </c>
      <c r="BP4495">
        <f>IF(4482&lt;$U$9,MOD(4482,$U$8)+1,1)</f>
        <v/>
      </c>
      <c r="BQ4495">
        <f>IF(4482&lt;$U$9,SUMPRODUCT(($D$10:$L$10&lt;&gt;"")*(($D$9:$L$9+INT(($S$12:$AA$12+INDEX($AJ$13:$AR$162,BN4495,0)+INDEX($AT$13:$BB$162,BO4495,0)+INDEX($BD$13:$BL$162,BP4495,0))/100))&gt;=$D$10:$L$10)),0)</f>
        <v/>
      </c>
      <c r="BR4495">
        <f>IF(4482&lt;$U$9,SUMPRODUCT(($D$10:$L$10&lt;&gt;"")*(($D$10:$L$10-($D$9:$L$9+INT(($S$12:$AA$12+INDEX($AJ$13:$AR$162,BN4495,0)+INDEX($AT$13:$BB$162,BO4495,0)+INDEX($BD$13:$BL$162,BP4495,0))/100)))&gt;0)*($D$10:$L$10-($D$9:$L$9+INT(($S$12:$AA$12+INDEX($AJ$13:$AR$162,BN4495,0)+INDEX($AT$13:$BB$162,BO4495,0)+INDEX($BD$13:$BL$162,BP4495,0))/100)))),0)</f>
        <v/>
      </c>
      <c r="BS4495">
        <f>IF(4482&lt;$U$9,SUMPRODUCT(($D$9:$L$9+INT(($S$12:$AA$12+INDEX($AJ$13:$AR$162,BN4495,0)+INDEX($AT$13:$BB$162,BO4495,0)+INDEX($BD$13:$BL$162,BP4495,0))/100))),0)</f>
        <v/>
      </c>
      <c r="BT4495">
        <f>IF(AND(4482&lt;$U$9,$W$5),BQ4495*1000000-MIN(BR4495,999)*1000+BS4495-4482/100000,-1000000000-4482)</f>
        <v/>
      </c>
    </row>
    <row r="4496">
      <c r="BN4496">
        <f>IF(4483&lt;$U$9,INT(4483/($U$7*$U$8))+1,1)</f>
        <v/>
      </c>
      <c r="BO4496">
        <f>IF(4483&lt;$U$9,MOD(INT(4483/$U$8),$U$7)+1,1)</f>
        <v/>
      </c>
      <c r="BP4496">
        <f>IF(4483&lt;$U$9,MOD(4483,$U$8)+1,1)</f>
        <v/>
      </c>
      <c r="BQ4496">
        <f>IF(4483&lt;$U$9,SUMPRODUCT(($D$10:$L$10&lt;&gt;"")*(($D$9:$L$9+INT(($S$12:$AA$12+INDEX($AJ$13:$AR$162,BN4496,0)+INDEX($AT$13:$BB$162,BO4496,0)+INDEX($BD$13:$BL$162,BP4496,0))/100))&gt;=$D$10:$L$10)),0)</f>
        <v/>
      </c>
      <c r="BR4496">
        <f>IF(4483&lt;$U$9,SUMPRODUCT(($D$10:$L$10&lt;&gt;"")*(($D$10:$L$10-($D$9:$L$9+INT(($S$12:$AA$12+INDEX($AJ$13:$AR$162,BN4496,0)+INDEX($AT$13:$BB$162,BO4496,0)+INDEX($BD$13:$BL$162,BP4496,0))/100)))&gt;0)*($D$10:$L$10-($D$9:$L$9+INT(($S$12:$AA$12+INDEX($AJ$13:$AR$162,BN4496,0)+INDEX($AT$13:$BB$162,BO4496,0)+INDEX($BD$13:$BL$162,BP4496,0))/100)))),0)</f>
        <v/>
      </c>
      <c r="BS4496">
        <f>IF(4483&lt;$U$9,SUMPRODUCT(($D$9:$L$9+INT(($S$12:$AA$12+INDEX($AJ$13:$AR$162,BN4496,0)+INDEX($AT$13:$BB$162,BO4496,0)+INDEX($BD$13:$BL$162,BP4496,0))/100))),0)</f>
        <v/>
      </c>
      <c r="BT4496">
        <f>IF(AND(4483&lt;$U$9,$W$5),BQ4496*1000000-MIN(BR4496,999)*1000+BS4496-4483/100000,-1000000000-4483)</f>
        <v/>
      </c>
    </row>
    <row r="4497">
      <c r="BN4497">
        <f>IF(4484&lt;$U$9,INT(4484/($U$7*$U$8))+1,1)</f>
        <v/>
      </c>
      <c r="BO4497">
        <f>IF(4484&lt;$U$9,MOD(INT(4484/$U$8),$U$7)+1,1)</f>
        <v/>
      </c>
      <c r="BP4497">
        <f>IF(4484&lt;$U$9,MOD(4484,$U$8)+1,1)</f>
        <v/>
      </c>
      <c r="BQ4497">
        <f>IF(4484&lt;$U$9,SUMPRODUCT(($D$10:$L$10&lt;&gt;"")*(($D$9:$L$9+INT(($S$12:$AA$12+INDEX($AJ$13:$AR$162,BN4497,0)+INDEX($AT$13:$BB$162,BO4497,0)+INDEX($BD$13:$BL$162,BP4497,0))/100))&gt;=$D$10:$L$10)),0)</f>
        <v/>
      </c>
      <c r="BR4497">
        <f>IF(4484&lt;$U$9,SUMPRODUCT(($D$10:$L$10&lt;&gt;"")*(($D$10:$L$10-($D$9:$L$9+INT(($S$12:$AA$12+INDEX($AJ$13:$AR$162,BN4497,0)+INDEX($AT$13:$BB$162,BO4497,0)+INDEX($BD$13:$BL$162,BP4497,0))/100)))&gt;0)*($D$10:$L$10-($D$9:$L$9+INT(($S$12:$AA$12+INDEX($AJ$13:$AR$162,BN4497,0)+INDEX($AT$13:$BB$162,BO4497,0)+INDEX($BD$13:$BL$162,BP4497,0))/100)))),0)</f>
        <v/>
      </c>
      <c r="BS4497">
        <f>IF(4484&lt;$U$9,SUMPRODUCT(($D$9:$L$9+INT(($S$12:$AA$12+INDEX($AJ$13:$AR$162,BN4497,0)+INDEX($AT$13:$BB$162,BO4497,0)+INDEX($BD$13:$BL$162,BP4497,0))/100))),0)</f>
        <v/>
      </c>
      <c r="BT4497">
        <f>IF(AND(4484&lt;$U$9,$W$5),BQ4497*1000000-MIN(BR4497,999)*1000+BS4497-4484/100000,-1000000000-4484)</f>
        <v/>
      </c>
    </row>
    <row r="4498">
      <c r="BN4498">
        <f>IF(4485&lt;$U$9,INT(4485/($U$7*$U$8))+1,1)</f>
        <v/>
      </c>
      <c r="BO4498">
        <f>IF(4485&lt;$U$9,MOD(INT(4485/$U$8),$U$7)+1,1)</f>
        <v/>
      </c>
      <c r="BP4498">
        <f>IF(4485&lt;$U$9,MOD(4485,$U$8)+1,1)</f>
        <v/>
      </c>
      <c r="BQ4498">
        <f>IF(4485&lt;$U$9,SUMPRODUCT(($D$10:$L$10&lt;&gt;"")*(($D$9:$L$9+INT(($S$12:$AA$12+INDEX($AJ$13:$AR$162,BN4498,0)+INDEX($AT$13:$BB$162,BO4498,0)+INDEX($BD$13:$BL$162,BP4498,0))/100))&gt;=$D$10:$L$10)),0)</f>
        <v/>
      </c>
      <c r="BR4498">
        <f>IF(4485&lt;$U$9,SUMPRODUCT(($D$10:$L$10&lt;&gt;"")*(($D$10:$L$10-($D$9:$L$9+INT(($S$12:$AA$12+INDEX($AJ$13:$AR$162,BN4498,0)+INDEX($AT$13:$BB$162,BO4498,0)+INDEX($BD$13:$BL$162,BP4498,0))/100)))&gt;0)*($D$10:$L$10-($D$9:$L$9+INT(($S$12:$AA$12+INDEX($AJ$13:$AR$162,BN4498,0)+INDEX($AT$13:$BB$162,BO4498,0)+INDEX($BD$13:$BL$162,BP4498,0))/100)))),0)</f>
        <v/>
      </c>
      <c r="BS4498">
        <f>IF(4485&lt;$U$9,SUMPRODUCT(($D$9:$L$9+INT(($S$12:$AA$12+INDEX($AJ$13:$AR$162,BN4498,0)+INDEX($AT$13:$BB$162,BO4498,0)+INDEX($BD$13:$BL$162,BP4498,0))/100))),0)</f>
        <v/>
      </c>
      <c r="BT4498">
        <f>IF(AND(4485&lt;$U$9,$W$5),BQ4498*1000000-MIN(BR4498,999)*1000+BS4498-4485/100000,-1000000000-4485)</f>
        <v/>
      </c>
    </row>
    <row r="4499">
      <c r="BN4499">
        <f>IF(4486&lt;$U$9,INT(4486/($U$7*$U$8))+1,1)</f>
        <v/>
      </c>
      <c r="BO4499">
        <f>IF(4486&lt;$U$9,MOD(INT(4486/$U$8),$U$7)+1,1)</f>
        <v/>
      </c>
      <c r="BP4499">
        <f>IF(4486&lt;$U$9,MOD(4486,$U$8)+1,1)</f>
        <v/>
      </c>
      <c r="BQ4499">
        <f>IF(4486&lt;$U$9,SUMPRODUCT(($D$10:$L$10&lt;&gt;"")*(($D$9:$L$9+INT(($S$12:$AA$12+INDEX($AJ$13:$AR$162,BN4499,0)+INDEX($AT$13:$BB$162,BO4499,0)+INDEX($BD$13:$BL$162,BP4499,0))/100))&gt;=$D$10:$L$10)),0)</f>
        <v/>
      </c>
      <c r="BR4499">
        <f>IF(4486&lt;$U$9,SUMPRODUCT(($D$10:$L$10&lt;&gt;"")*(($D$10:$L$10-($D$9:$L$9+INT(($S$12:$AA$12+INDEX($AJ$13:$AR$162,BN4499,0)+INDEX($AT$13:$BB$162,BO4499,0)+INDEX($BD$13:$BL$162,BP4499,0))/100)))&gt;0)*($D$10:$L$10-($D$9:$L$9+INT(($S$12:$AA$12+INDEX($AJ$13:$AR$162,BN4499,0)+INDEX($AT$13:$BB$162,BO4499,0)+INDEX($BD$13:$BL$162,BP4499,0))/100)))),0)</f>
        <v/>
      </c>
      <c r="BS4499">
        <f>IF(4486&lt;$U$9,SUMPRODUCT(($D$9:$L$9+INT(($S$12:$AA$12+INDEX($AJ$13:$AR$162,BN4499,0)+INDEX($AT$13:$BB$162,BO4499,0)+INDEX($BD$13:$BL$162,BP4499,0))/100))),0)</f>
        <v/>
      </c>
      <c r="BT4499">
        <f>IF(AND(4486&lt;$U$9,$W$5),BQ4499*1000000-MIN(BR4499,999)*1000+BS4499-4486/100000,-1000000000-4486)</f>
        <v/>
      </c>
    </row>
    <row r="4500">
      <c r="BN4500">
        <f>IF(4487&lt;$U$9,INT(4487/($U$7*$U$8))+1,1)</f>
        <v/>
      </c>
      <c r="BO4500">
        <f>IF(4487&lt;$U$9,MOD(INT(4487/$U$8),$U$7)+1,1)</f>
        <v/>
      </c>
      <c r="BP4500">
        <f>IF(4487&lt;$U$9,MOD(4487,$U$8)+1,1)</f>
        <v/>
      </c>
      <c r="BQ4500">
        <f>IF(4487&lt;$U$9,SUMPRODUCT(($D$10:$L$10&lt;&gt;"")*(($D$9:$L$9+INT(($S$12:$AA$12+INDEX($AJ$13:$AR$162,BN4500,0)+INDEX($AT$13:$BB$162,BO4500,0)+INDEX($BD$13:$BL$162,BP4500,0))/100))&gt;=$D$10:$L$10)),0)</f>
        <v/>
      </c>
      <c r="BR4500">
        <f>IF(4487&lt;$U$9,SUMPRODUCT(($D$10:$L$10&lt;&gt;"")*(($D$10:$L$10-($D$9:$L$9+INT(($S$12:$AA$12+INDEX($AJ$13:$AR$162,BN4500,0)+INDEX($AT$13:$BB$162,BO4500,0)+INDEX($BD$13:$BL$162,BP4500,0))/100)))&gt;0)*($D$10:$L$10-($D$9:$L$9+INT(($S$12:$AA$12+INDEX($AJ$13:$AR$162,BN4500,0)+INDEX($AT$13:$BB$162,BO4500,0)+INDEX($BD$13:$BL$162,BP4500,0))/100)))),0)</f>
        <v/>
      </c>
      <c r="BS4500">
        <f>IF(4487&lt;$U$9,SUMPRODUCT(($D$9:$L$9+INT(($S$12:$AA$12+INDEX($AJ$13:$AR$162,BN4500,0)+INDEX($AT$13:$BB$162,BO4500,0)+INDEX($BD$13:$BL$162,BP4500,0))/100))),0)</f>
        <v/>
      </c>
      <c r="BT4500">
        <f>IF(AND(4487&lt;$U$9,$W$5),BQ4500*1000000-MIN(BR4500,999)*1000+BS4500-4487/100000,-1000000000-4487)</f>
        <v/>
      </c>
    </row>
    <row r="4501">
      <c r="BN4501">
        <f>IF(4488&lt;$U$9,INT(4488/($U$7*$U$8))+1,1)</f>
        <v/>
      </c>
      <c r="BO4501">
        <f>IF(4488&lt;$U$9,MOD(INT(4488/$U$8),$U$7)+1,1)</f>
        <v/>
      </c>
      <c r="BP4501">
        <f>IF(4488&lt;$U$9,MOD(4488,$U$8)+1,1)</f>
        <v/>
      </c>
      <c r="BQ4501">
        <f>IF(4488&lt;$U$9,SUMPRODUCT(($D$10:$L$10&lt;&gt;"")*(($D$9:$L$9+INT(($S$12:$AA$12+INDEX($AJ$13:$AR$162,BN4501,0)+INDEX($AT$13:$BB$162,BO4501,0)+INDEX($BD$13:$BL$162,BP4501,0))/100))&gt;=$D$10:$L$10)),0)</f>
        <v/>
      </c>
      <c r="BR4501">
        <f>IF(4488&lt;$U$9,SUMPRODUCT(($D$10:$L$10&lt;&gt;"")*(($D$10:$L$10-($D$9:$L$9+INT(($S$12:$AA$12+INDEX($AJ$13:$AR$162,BN4501,0)+INDEX($AT$13:$BB$162,BO4501,0)+INDEX($BD$13:$BL$162,BP4501,0))/100)))&gt;0)*($D$10:$L$10-($D$9:$L$9+INT(($S$12:$AA$12+INDEX($AJ$13:$AR$162,BN4501,0)+INDEX($AT$13:$BB$162,BO4501,0)+INDEX($BD$13:$BL$162,BP4501,0))/100)))),0)</f>
        <v/>
      </c>
      <c r="BS4501">
        <f>IF(4488&lt;$U$9,SUMPRODUCT(($D$9:$L$9+INT(($S$12:$AA$12+INDEX($AJ$13:$AR$162,BN4501,0)+INDEX($AT$13:$BB$162,BO4501,0)+INDEX($BD$13:$BL$162,BP4501,0))/100))),0)</f>
        <v/>
      </c>
      <c r="BT4501">
        <f>IF(AND(4488&lt;$U$9,$W$5),BQ4501*1000000-MIN(BR4501,999)*1000+BS4501-4488/100000,-1000000000-4488)</f>
        <v/>
      </c>
    </row>
    <row r="4502">
      <c r="BN4502">
        <f>IF(4489&lt;$U$9,INT(4489/($U$7*$U$8))+1,1)</f>
        <v/>
      </c>
      <c r="BO4502">
        <f>IF(4489&lt;$U$9,MOD(INT(4489/$U$8),$U$7)+1,1)</f>
        <v/>
      </c>
      <c r="BP4502">
        <f>IF(4489&lt;$U$9,MOD(4489,$U$8)+1,1)</f>
        <v/>
      </c>
      <c r="BQ4502">
        <f>IF(4489&lt;$U$9,SUMPRODUCT(($D$10:$L$10&lt;&gt;"")*(($D$9:$L$9+INT(($S$12:$AA$12+INDEX($AJ$13:$AR$162,BN4502,0)+INDEX($AT$13:$BB$162,BO4502,0)+INDEX($BD$13:$BL$162,BP4502,0))/100))&gt;=$D$10:$L$10)),0)</f>
        <v/>
      </c>
      <c r="BR4502">
        <f>IF(4489&lt;$U$9,SUMPRODUCT(($D$10:$L$10&lt;&gt;"")*(($D$10:$L$10-($D$9:$L$9+INT(($S$12:$AA$12+INDEX($AJ$13:$AR$162,BN4502,0)+INDEX($AT$13:$BB$162,BO4502,0)+INDEX($BD$13:$BL$162,BP4502,0))/100)))&gt;0)*($D$10:$L$10-($D$9:$L$9+INT(($S$12:$AA$12+INDEX($AJ$13:$AR$162,BN4502,0)+INDEX($AT$13:$BB$162,BO4502,0)+INDEX($BD$13:$BL$162,BP4502,0))/100)))),0)</f>
        <v/>
      </c>
      <c r="BS4502">
        <f>IF(4489&lt;$U$9,SUMPRODUCT(($D$9:$L$9+INT(($S$12:$AA$12+INDEX($AJ$13:$AR$162,BN4502,0)+INDEX($AT$13:$BB$162,BO4502,0)+INDEX($BD$13:$BL$162,BP4502,0))/100))),0)</f>
        <v/>
      </c>
      <c r="BT4502">
        <f>IF(AND(4489&lt;$U$9,$W$5),BQ4502*1000000-MIN(BR4502,999)*1000+BS4502-4489/100000,-1000000000-4489)</f>
        <v/>
      </c>
    </row>
    <row r="4503">
      <c r="BN4503">
        <f>IF(4490&lt;$U$9,INT(4490/($U$7*$U$8))+1,1)</f>
        <v/>
      </c>
      <c r="BO4503">
        <f>IF(4490&lt;$U$9,MOD(INT(4490/$U$8),$U$7)+1,1)</f>
        <v/>
      </c>
      <c r="BP4503">
        <f>IF(4490&lt;$U$9,MOD(4490,$U$8)+1,1)</f>
        <v/>
      </c>
      <c r="BQ4503">
        <f>IF(4490&lt;$U$9,SUMPRODUCT(($D$10:$L$10&lt;&gt;"")*(($D$9:$L$9+INT(($S$12:$AA$12+INDEX($AJ$13:$AR$162,BN4503,0)+INDEX($AT$13:$BB$162,BO4503,0)+INDEX($BD$13:$BL$162,BP4503,0))/100))&gt;=$D$10:$L$10)),0)</f>
        <v/>
      </c>
      <c r="BR4503">
        <f>IF(4490&lt;$U$9,SUMPRODUCT(($D$10:$L$10&lt;&gt;"")*(($D$10:$L$10-($D$9:$L$9+INT(($S$12:$AA$12+INDEX($AJ$13:$AR$162,BN4503,0)+INDEX($AT$13:$BB$162,BO4503,0)+INDEX($BD$13:$BL$162,BP4503,0))/100)))&gt;0)*($D$10:$L$10-($D$9:$L$9+INT(($S$12:$AA$12+INDEX($AJ$13:$AR$162,BN4503,0)+INDEX($AT$13:$BB$162,BO4503,0)+INDEX($BD$13:$BL$162,BP4503,0))/100)))),0)</f>
        <v/>
      </c>
      <c r="BS4503">
        <f>IF(4490&lt;$U$9,SUMPRODUCT(($D$9:$L$9+INT(($S$12:$AA$12+INDEX($AJ$13:$AR$162,BN4503,0)+INDEX($AT$13:$BB$162,BO4503,0)+INDEX($BD$13:$BL$162,BP4503,0))/100))),0)</f>
        <v/>
      </c>
      <c r="BT4503">
        <f>IF(AND(4490&lt;$U$9,$W$5),BQ4503*1000000-MIN(BR4503,999)*1000+BS4503-4490/100000,-1000000000-4490)</f>
        <v/>
      </c>
    </row>
    <row r="4504">
      <c r="BN4504">
        <f>IF(4491&lt;$U$9,INT(4491/($U$7*$U$8))+1,1)</f>
        <v/>
      </c>
      <c r="BO4504">
        <f>IF(4491&lt;$U$9,MOD(INT(4491/$U$8),$U$7)+1,1)</f>
        <v/>
      </c>
      <c r="BP4504">
        <f>IF(4491&lt;$U$9,MOD(4491,$U$8)+1,1)</f>
        <v/>
      </c>
      <c r="BQ4504">
        <f>IF(4491&lt;$U$9,SUMPRODUCT(($D$10:$L$10&lt;&gt;"")*(($D$9:$L$9+INT(($S$12:$AA$12+INDEX($AJ$13:$AR$162,BN4504,0)+INDEX($AT$13:$BB$162,BO4504,0)+INDEX($BD$13:$BL$162,BP4504,0))/100))&gt;=$D$10:$L$10)),0)</f>
        <v/>
      </c>
      <c r="BR4504">
        <f>IF(4491&lt;$U$9,SUMPRODUCT(($D$10:$L$10&lt;&gt;"")*(($D$10:$L$10-($D$9:$L$9+INT(($S$12:$AA$12+INDEX($AJ$13:$AR$162,BN4504,0)+INDEX($AT$13:$BB$162,BO4504,0)+INDEX($BD$13:$BL$162,BP4504,0))/100)))&gt;0)*($D$10:$L$10-($D$9:$L$9+INT(($S$12:$AA$12+INDEX($AJ$13:$AR$162,BN4504,0)+INDEX($AT$13:$BB$162,BO4504,0)+INDEX($BD$13:$BL$162,BP4504,0))/100)))),0)</f>
        <v/>
      </c>
      <c r="BS4504">
        <f>IF(4491&lt;$U$9,SUMPRODUCT(($D$9:$L$9+INT(($S$12:$AA$12+INDEX($AJ$13:$AR$162,BN4504,0)+INDEX($AT$13:$BB$162,BO4504,0)+INDEX($BD$13:$BL$162,BP4504,0))/100))),0)</f>
        <v/>
      </c>
      <c r="BT4504">
        <f>IF(AND(4491&lt;$U$9,$W$5),BQ4504*1000000-MIN(BR4504,999)*1000+BS4504-4491/100000,-1000000000-4491)</f>
        <v/>
      </c>
    </row>
    <row r="4505">
      <c r="BN4505">
        <f>IF(4492&lt;$U$9,INT(4492/($U$7*$U$8))+1,1)</f>
        <v/>
      </c>
      <c r="BO4505">
        <f>IF(4492&lt;$U$9,MOD(INT(4492/$U$8),$U$7)+1,1)</f>
        <v/>
      </c>
      <c r="BP4505">
        <f>IF(4492&lt;$U$9,MOD(4492,$U$8)+1,1)</f>
        <v/>
      </c>
      <c r="BQ4505">
        <f>IF(4492&lt;$U$9,SUMPRODUCT(($D$10:$L$10&lt;&gt;"")*(($D$9:$L$9+INT(($S$12:$AA$12+INDEX($AJ$13:$AR$162,BN4505,0)+INDEX($AT$13:$BB$162,BO4505,0)+INDEX($BD$13:$BL$162,BP4505,0))/100))&gt;=$D$10:$L$10)),0)</f>
        <v/>
      </c>
      <c r="BR4505">
        <f>IF(4492&lt;$U$9,SUMPRODUCT(($D$10:$L$10&lt;&gt;"")*(($D$10:$L$10-($D$9:$L$9+INT(($S$12:$AA$12+INDEX($AJ$13:$AR$162,BN4505,0)+INDEX($AT$13:$BB$162,BO4505,0)+INDEX($BD$13:$BL$162,BP4505,0))/100)))&gt;0)*($D$10:$L$10-($D$9:$L$9+INT(($S$12:$AA$12+INDEX($AJ$13:$AR$162,BN4505,0)+INDEX($AT$13:$BB$162,BO4505,0)+INDEX($BD$13:$BL$162,BP4505,0))/100)))),0)</f>
        <v/>
      </c>
      <c r="BS4505">
        <f>IF(4492&lt;$U$9,SUMPRODUCT(($D$9:$L$9+INT(($S$12:$AA$12+INDEX($AJ$13:$AR$162,BN4505,0)+INDEX($AT$13:$BB$162,BO4505,0)+INDEX($BD$13:$BL$162,BP4505,0))/100))),0)</f>
        <v/>
      </c>
      <c r="BT4505">
        <f>IF(AND(4492&lt;$U$9,$W$5),BQ4505*1000000-MIN(BR4505,999)*1000+BS4505-4492/100000,-1000000000-4492)</f>
        <v/>
      </c>
    </row>
    <row r="4506">
      <c r="BN4506">
        <f>IF(4493&lt;$U$9,INT(4493/($U$7*$U$8))+1,1)</f>
        <v/>
      </c>
      <c r="BO4506">
        <f>IF(4493&lt;$U$9,MOD(INT(4493/$U$8),$U$7)+1,1)</f>
        <v/>
      </c>
      <c r="BP4506">
        <f>IF(4493&lt;$U$9,MOD(4493,$U$8)+1,1)</f>
        <v/>
      </c>
      <c r="BQ4506">
        <f>IF(4493&lt;$U$9,SUMPRODUCT(($D$10:$L$10&lt;&gt;"")*(($D$9:$L$9+INT(($S$12:$AA$12+INDEX($AJ$13:$AR$162,BN4506,0)+INDEX($AT$13:$BB$162,BO4506,0)+INDEX($BD$13:$BL$162,BP4506,0))/100))&gt;=$D$10:$L$10)),0)</f>
        <v/>
      </c>
      <c r="BR4506">
        <f>IF(4493&lt;$U$9,SUMPRODUCT(($D$10:$L$10&lt;&gt;"")*(($D$10:$L$10-($D$9:$L$9+INT(($S$12:$AA$12+INDEX($AJ$13:$AR$162,BN4506,0)+INDEX($AT$13:$BB$162,BO4506,0)+INDEX($BD$13:$BL$162,BP4506,0))/100)))&gt;0)*($D$10:$L$10-($D$9:$L$9+INT(($S$12:$AA$12+INDEX($AJ$13:$AR$162,BN4506,0)+INDEX($AT$13:$BB$162,BO4506,0)+INDEX($BD$13:$BL$162,BP4506,0))/100)))),0)</f>
        <v/>
      </c>
      <c r="BS4506">
        <f>IF(4493&lt;$U$9,SUMPRODUCT(($D$9:$L$9+INT(($S$12:$AA$12+INDEX($AJ$13:$AR$162,BN4506,0)+INDEX($AT$13:$BB$162,BO4506,0)+INDEX($BD$13:$BL$162,BP4506,0))/100))),0)</f>
        <v/>
      </c>
      <c r="BT4506">
        <f>IF(AND(4493&lt;$U$9,$W$5),BQ4506*1000000-MIN(BR4506,999)*1000+BS4506-4493/100000,-1000000000-4493)</f>
        <v/>
      </c>
    </row>
    <row r="4507">
      <c r="BN4507">
        <f>IF(4494&lt;$U$9,INT(4494/($U$7*$U$8))+1,1)</f>
        <v/>
      </c>
      <c r="BO4507">
        <f>IF(4494&lt;$U$9,MOD(INT(4494/$U$8),$U$7)+1,1)</f>
        <v/>
      </c>
      <c r="BP4507">
        <f>IF(4494&lt;$U$9,MOD(4494,$U$8)+1,1)</f>
        <v/>
      </c>
      <c r="BQ4507">
        <f>IF(4494&lt;$U$9,SUMPRODUCT(($D$10:$L$10&lt;&gt;"")*(($D$9:$L$9+INT(($S$12:$AA$12+INDEX($AJ$13:$AR$162,BN4507,0)+INDEX($AT$13:$BB$162,BO4507,0)+INDEX($BD$13:$BL$162,BP4507,0))/100))&gt;=$D$10:$L$10)),0)</f>
        <v/>
      </c>
      <c r="BR4507">
        <f>IF(4494&lt;$U$9,SUMPRODUCT(($D$10:$L$10&lt;&gt;"")*(($D$10:$L$10-($D$9:$L$9+INT(($S$12:$AA$12+INDEX($AJ$13:$AR$162,BN4507,0)+INDEX($AT$13:$BB$162,BO4507,0)+INDEX($BD$13:$BL$162,BP4507,0))/100)))&gt;0)*($D$10:$L$10-($D$9:$L$9+INT(($S$12:$AA$12+INDEX($AJ$13:$AR$162,BN4507,0)+INDEX($AT$13:$BB$162,BO4507,0)+INDEX($BD$13:$BL$162,BP4507,0))/100)))),0)</f>
        <v/>
      </c>
      <c r="BS4507">
        <f>IF(4494&lt;$U$9,SUMPRODUCT(($D$9:$L$9+INT(($S$12:$AA$12+INDEX($AJ$13:$AR$162,BN4507,0)+INDEX($AT$13:$BB$162,BO4507,0)+INDEX($BD$13:$BL$162,BP4507,0))/100))),0)</f>
        <v/>
      </c>
      <c r="BT4507">
        <f>IF(AND(4494&lt;$U$9,$W$5),BQ4507*1000000-MIN(BR4507,999)*1000+BS4507-4494/100000,-1000000000-4494)</f>
        <v/>
      </c>
    </row>
    <row r="4508">
      <c r="BN4508">
        <f>IF(4495&lt;$U$9,INT(4495/($U$7*$U$8))+1,1)</f>
        <v/>
      </c>
      <c r="BO4508">
        <f>IF(4495&lt;$U$9,MOD(INT(4495/$U$8),$U$7)+1,1)</f>
        <v/>
      </c>
      <c r="BP4508">
        <f>IF(4495&lt;$U$9,MOD(4495,$U$8)+1,1)</f>
        <v/>
      </c>
      <c r="BQ4508">
        <f>IF(4495&lt;$U$9,SUMPRODUCT(($D$10:$L$10&lt;&gt;"")*(($D$9:$L$9+INT(($S$12:$AA$12+INDEX($AJ$13:$AR$162,BN4508,0)+INDEX($AT$13:$BB$162,BO4508,0)+INDEX($BD$13:$BL$162,BP4508,0))/100))&gt;=$D$10:$L$10)),0)</f>
        <v/>
      </c>
      <c r="BR4508">
        <f>IF(4495&lt;$U$9,SUMPRODUCT(($D$10:$L$10&lt;&gt;"")*(($D$10:$L$10-($D$9:$L$9+INT(($S$12:$AA$12+INDEX($AJ$13:$AR$162,BN4508,0)+INDEX($AT$13:$BB$162,BO4508,0)+INDEX($BD$13:$BL$162,BP4508,0))/100)))&gt;0)*($D$10:$L$10-($D$9:$L$9+INT(($S$12:$AA$12+INDEX($AJ$13:$AR$162,BN4508,0)+INDEX($AT$13:$BB$162,BO4508,0)+INDEX($BD$13:$BL$162,BP4508,0))/100)))),0)</f>
        <v/>
      </c>
      <c r="BS4508">
        <f>IF(4495&lt;$U$9,SUMPRODUCT(($D$9:$L$9+INT(($S$12:$AA$12+INDEX($AJ$13:$AR$162,BN4508,0)+INDEX($AT$13:$BB$162,BO4508,0)+INDEX($BD$13:$BL$162,BP4508,0))/100))),0)</f>
        <v/>
      </c>
      <c r="BT4508">
        <f>IF(AND(4495&lt;$U$9,$W$5),BQ4508*1000000-MIN(BR4508,999)*1000+BS4508-4495/100000,-1000000000-4495)</f>
        <v/>
      </c>
    </row>
    <row r="4509">
      <c r="BN4509">
        <f>IF(4496&lt;$U$9,INT(4496/($U$7*$U$8))+1,1)</f>
        <v/>
      </c>
      <c r="BO4509">
        <f>IF(4496&lt;$U$9,MOD(INT(4496/$U$8),$U$7)+1,1)</f>
        <v/>
      </c>
      <c r="BP4509">
        <f>IF(4496&lt;$U$9,MOD(4496,$U$8)+1,1)</f>
        <v/>
      </c>
      <c r="BQ4509">
        <f>IF(4496&lt;$U$9,SUMPRODUCT(($D$10:$L$10&lt;&gt;"")*(($D$9:$L$9+INT(($S$12:$AA$12+INDEX($AJ$13:$AR$162,BN4509,0)+INDEX($AT$13:$BB$162,BO4509,0)+INDEX($BD$13:$BL$162,BP4509,0))/100))&gt;=$D$10:$L$10)),0)</f>
        <v/>
      </c>
      <c r="BR4509">
        <f>IF(4496&lt;$U$9,SUMPRODUCT(($D$10:$L$10&lt;&gt;"")*(($D$10:$L$10-($D$9:$L$9+INT(($S$12:$AA$12+INDEX($AJ$13:$AR$162,BN4509,0)+INDEX($AT$13:$BB$162,BO4509,0)+INDEX($BD$13:$BL$162,BP4509,0))/100)))&gt;0)*($D$10:$L$10-($D$9:$L$9+INT(($S$12:$AA$12+INDEX($AJ$13:$AR$162,BN4509,0)+INDEX($AT$13:$BB$162,BO4509,0)+INDEX($BD$13:$BL$162,BP4509,0))/100)))),0)</f>
        <v/>
      </c>
      <c r="BS4509">
        <f>IF(4496&lt;$U$9,SUMPRODUCT(($D$9:$L$9+INT(($S$12:$AA$12+INDEX($AJ$13:$AR$162,BN4509,0)+INDEX($AT$13:$BB$162,BO4509,0)+INDEX($BD$13:$BL$162,BP4509,0))/100))),0)</f>
        <v/>
      </c>
      <c r="BT4509">
        <f>IF(AND(4496&lt;$U$9,$W$5),BQ4509*1000000-MIN(BR4509,999)*1000+BS4509-4496/100000,-1000000000-4496)</f>
        <v/>
      </c>
    </row>
    <row r="4510">
      <c r="BN4510">
        <f>IF(4497&lt;$U$9,INT(4497/($U$7*$U$8))+1,1)</f>
        <v/>
      </c>
      <c r="BO4510">
        <f>IF(4497&lt;$U$9,MOD(INT(4497/$U$8),$U$7)+1,1)</f>
        <v/>
      </c>
      <c r="BP4510">
        <f>IF(4497&lt;$U$9,MOD(4497,$U$8)+1,1)</f>
        <v/>
      </c>
      <c r="BQ4510">
        <f>IF(4497&lt;$U$9,SUMPRODUCT(($D$10:$L$10&lt;&gt;"")*(($D$9:$L$9+INT(($S$12:$AA$12+INDEX($AJ$13:$AR$162,BN4510,0)+INDEX($AT$13:$BB$162,BO4510,0)+INDEX($BD$13:$BL$162,BP4510,0))/100))&gt;=$D$10:$L$10)),0)</f>
        <v/>
      </c>
      <c r="BR4510">
        <f>IF(4497&lt;$U$9,SUMPRODUCT(($D$10:$L$10&lt;&gt;"")*(($D$10:$L$10-($D$9:$L$9+INT(($S$12:$AA$12+INDEX($AJ$13:$AR$162,BN4510,0)+INDEX($AT$13:$BB$162,BO4510,0)+INDEX($BD$13:$BL$162,BP4510,0))/100)))&gt;0)*($D$10:$L$10-($D$9:$L$9+INT(($S$12:$AA$12+INDEX($AJ$13:$AR$162,BN4510,0)+INDEX($AT$13:$BB$162,BO4510,0)+INDEX($BD$13:$BL$162,BP4510,0))/100)))),0)</f>
        <v/>
      </c>
      <c r="BS4510">
        <f>IF(4497&lt;$U$9,SUMPRODUCT(($D$9:$L$9+INT(($S$12:$AA$12+INDEX($AJ$13:$AR$162,BN4510,0)+INDEX($AT$13:$BB$162,BO4510,0)+INDEX($BD$13:$BL$162,BP4510,0))/100))),0)</f>
        <v/>
      </c>
      <c r="BT4510">
        <f>IF(AND(4497&lt;$U$9,$W$5),BQ4510*1000000-MIN(BR4510,999)*1000+BS4510-4497/100000,-1000000000-4497)</f>
        <v/>
      </c>
    </row>
    <row r="4511">
      <c r="BN4511">
        <f>IF(4498&lt;$U$9,INT(4498/($U$7*$U$8))+1,1)</f>
        <v/>
      </c>
      <c r="BO4511">
        <f>IF(4498&lt;$U$9,MOD(INT(4498/$U$8),$U$7)+1,1)</f>
        <v/>
      </c>
      <c r="BP4511">
        <f>IF(4498&lt;$U$9,MOD(4498,$U$8)+1,1)</f>
        <v/>
      </c>
      <c r="BQ4511">
        <f>IF(4498&lt;$U$9,SUMPRODUCT(($D$10:$L$10&lt;&gt;"")*(($D$9:$L$9+INT(($S$12:$AA$12+INDEX($AJ$13:$AR$162,BN4511,0)+INDEX($AT$13:$BB$162,BO4511,0)+INDEX($BD$13:$BL$162,BP4511,0))/100))&gt;=$D$10:$L$10)),0)</f>
        <v/>
      </c>
      <c r="BR4511">
        <f>IF(4498&lt;$U$9,SUMPRODUCT(($D$10:$L$10&lt;&gt;"")*(($D$10:$L$10-($D$9:$L$9+INT(($S$12:$AA$12+INDEX($AJ$13:$AR$162,BN4511,0)+INDEX($AT$13:$BB$162,BO4511,0)+INDEX($BD$13:$BL$162,BP4511,0))/100)))&gt;0)*($D$10:$L$10-($D$9:$L$9+INT(($S$12:$AA$12+INDEX($AJ$13:$AR$162,BN4511,0)+INDEX($AT$13:$BB$162,BO4511,0)+INDEX($BD$13:$BL$162,BP4511,0))/100)))),0)</f>
        <v/>
      </c>
      <c r="BS4511">
        <f>IF(4498&lt;$U$9,SUMPRODUCT(($D$9:$L$9+INT(($S$12:$AA$12+INDEX($AJ$13:$AR$162,BN4511,0)+INDEX($AT$13:$BB$162,BO4511,0)+INDEX($BD$13:$BL$162,BP4511,0))/100))),0)</f>
        <v/>
      </c>
      <c r="BT4511">
        <f>IF(AND(4498&lt;$U$9,$W$5),BQ4511*1000000-MIN(BR4511,999)*1000+BS4511-4498/100000,-1000000000-4498)</f>
        <v/>
      </c>
    </row>
    <row r="4512">
      <c r="BN4512">
        <f>IF(4499&lt;$U$9,INT(4499/($U$7*$U$8))+1,1)</f>
        <v/>
      </c>
      <c r="BO4512">
        <f>IF(4499&lt;$U$9,MOD(INT(4499/$U$8),$U$7)+1,1)</f>
        <v/>
      </c>
      <c r="BP4512">
        <f>IF(4499&lt;$U$9,MOD(4499,$U$8)+1,1)</f>
        <v/>
      </c>
      <c r="BQ4512">
        <f>IF(4499&lt;$U$9,SUMPRODUCT(($D$10:$L$10&lt;&gt;"")*(($D$9:$L$9+INT(($S$12:$AA$12+INDEX($AJ$13:$AR$162,BN4512,0)+INDEX($AT$13:$BB$162,BO4512,0)+INDEX($BD$13:$BL$162,BP4512,0))/100))&gt;=$D$10:$L$10)),0)</f>
        <v/>
      </c>
      <c r="BR4512">
        <f>IF(4499&lt;$U$9,SUMPRODUCT(($D$10:$L$10&lt;&gt;"")*(($D$10:$L$10-($D$9:$L$9+INT(($S$12:$AA$12+INDEX($AJ$13:$AR$162,BN4512,0)+INDEX($AT$13:$BB$162,BO4512,0)+INDEX($BD$13:$BL$162,BP4512,0))/100)))&gt;0)*($D$10:$L$10-($D$9:$L$9+INT(($S$12:$AA$12+INDEX($AJ$13:$AR$162,BN4512,0)+INDEX($AT$13:$BB$162,BO4512,0)+INDEX($BD$13:$BL$162,BP4512,0))/100)))),0)</f>
        <v/>
      </c>
      <c r="BS4512">
        <f>IF(4499&lt;$U$9,SUMPRODUCT(($D$9:$L$9+INT(($S$12:$AA$12+INDEX($AJ$13:$AR$162,BN4512,0)+INDEX($AT$13:$BB$162,BO4512,0)+INDEX($BD$13:$BL$162,BP4512,0))/100))),0)</f>
        <v/>
      </c>
      <c r="BT4512">
        <f>IF(AND(4499&lt;$U$9,$W$5),BQ4512*1000000-MIN(BR4512,999)*1000+BS4512-4499/100000,-1000000000-4499)</f>
        <v/>
      </c>
    </row>
    <row r="4513">
      <c r="BN4513">
        <f>IF(4500&lt;$U$9,INT(4500/($U$7*$U$8))+1,1)</f>
        <v/>
      </c>
      <c r="BO4513">
        <f>IF(4500&lt;$U$9,MOD(INT(4500/$U$8),$U$7)+1,1)</f>
        <v/>
      </c>
      <c r="BP4513">
        <f>IF(4500&lt;$U$9,MOD(4500,$U$8)+1,1)</f>
        <v/>
      </c>
      <c r="BQ4513">
        <f>IF(4500&lt;$U$9,SUMPRODUCT(($D$10:$L$10&lt;&gt;"")*(($D$9:$L$9+INT(($S$12:$AA$12+INDEX($AJ$13:$AR$162,BN4513,0)+INDEX($AT$13:$BB$162,BO4513,0)+INDEX($BD$13:$BL$162,BP4513,0))/100))&gt;=$D$10:$L$10)),0)</f>
        <v/>
      </c>
      <c r="BR4513">
        <f>IF(4500&lt;$U$9,SUMPRODUCT(($D$10:$L$10&lt;&gt;"")*(($D$10:$L$10-($D$9:$L$9+INT(($S$12:$AA$12+INDEX($AJ$13:$AR$162,BN4513,0)+INDEX($AT$13:$BB$162,BO4513,0)+INDEX($BD$13:$BL$162,BP4513,0))/100)))&gt;0)*($D$10:$L$10-($D$9:$L$9+INT(($S$12:$AA$12+INDEX($AJ$13:$AR$162,BN4513,0)+INDEX($AT$13:$BB$162,BO4513,0)+INDEX($BD$13:$BL$162,BP4513,0))/100)))),0)</f>
        <v/>
      </c>
      <c r="BS4513">
        <f>IF(4500&lt;$U$9,SUMPRODUCT(($D$9:$L$9+INT(($S$12:$AA$12+INDEX($AJ$13:$AR$162,BN4513,0)+INDEX($AT$13:$BB$162,BO4513,0)+INDEX($BD$13:$BL$162,BP4513,0))/100))),0)</f>
        <v/>
      </c>
      <c r="BT4513">
        <f>IF(AND(4500&lt;$U$9,$W$5),BQ4513*1000000-MIN(BR4513,999)*1000+BS4513-4500/100000,-1000000000-4500)</f>
        <v/>
      </c>
    </row>
    <row r="4514">
      <c r="BN4514">
        <f>IF(4501&lt;$U$9,INT(4501/($U$7*$U$8))+1,1)</f>
        <v/>
      </c>
      <c r="BO4514">
        <f>IF(4501&lt;$U$9,MOD(INT(4501/$U$8),$U$7)+1,1)</f>
        <v/>
      </c>
      <c r="BP4514">
        <f>IF(4501&lt;$U$9,MOD(4501,$U$8)+1,1)</f>
        <v/>
      </c>
      <c r="BQ4514">
        <f>IF(4501&lt;$U$9,SUMPRODUCT(($D$10:$L$10&lt;&gt;"")*(($D$9:$L$9+INT(($S$12:$AA$12+INDEX($AJ$13:$AR$162,BN4514,0)+INDEX($AT$13:$BB$162,BO4514,0)+INDEX($BD$13:$BL$162,BP4514,0))/100))&gt;=$D$10:$L$10)),0)</f>
        <v/>
      </c>
      <c r="BR4514">
        <f>IF(4501&lt;$U$9,SUMPRODUCT(($D$10:$L$10&lt;&gt;"")*(($D$10:$L$10-($D$9:$L$9+INT(($S$12:$AA$12+INDEX($AJ$13:$AR$162,BN4514,0)+INDEX($AT$13:$BB$162,BO4514,0)+INDEX($BD$13:$BL$162,BP4514,0))/100)))&gt;0)*($D$10:$L$10-($D$9:$L$9+INT(($S$12:$AA$12+INDEX($AJ$13:$AR$162,BN4514,0)+INDEX($AT$13:$BB$162,BO4514,0)+INDEX($BD$13:$BL$162,BP4514,0))/100)))),0)</f>
        <v/>
      </c>
      <c r="BS4514">
        <f>IF(4501&lt;$U$9,SUMPRODUCT(($D$9:$L$9+INT(($S$12:$AA$12+INDEX($AJ$13:$AR$162,BN4514,0)+INDEX($AT$13:$BB$162,BO4514,0)+INDEX($BD$13:$BL$162,BP4514,0))/100))),0)</f>
        <v/>
      </c>
      <c r="BT4514">
        <f>IF(AND(4501&lt;$U$9,$W$5),BQ4514*1000000-MIN(BR4514,999)*1000+BS4514-4501/100000,-1000000000-4501)</f>
        <v/>
      </c>
    </row>
    <row r="4515">
      <c r="BN4515">
        <f>IF(4502&lt;$U$9,INT(4502/($U$7*$U$8))+1,1)</f>
        <v/>
      </c>
      <c r="BO4515">
        <f>IF(4502&lt;$U$9,MOD(INT(4502/$U$8),$U$7)+1,1)</f>
        <v/>
      </c>
      <c r="BP4515">
        <f>IF(4502&lt;$U$9,MOD(4502,$U$8)+1,1)</f>
        <v/>
      </c>
      <c r="BQ4515">
        <f>IF(4502&lt;$U$9,SUMPRODUCT(($D$10:$L$10&lt;&gt;"")*(($D$9:$L$9+INT(($S$12:$AA$12+INDEX($AJ$13:$AR$162,BN4515,0)+INDEX($AT$13:$BB$162,BO4515,0)+INDEX($BD$13:$BL$162,BP4515,0))/100))&gt;=$D$10:$L$10)),0)</f>
        <v/>
      </c>
      <c r="BR4515">
        <f>IF(4502&lt;$U$9,SUMPRODUCT(($D$10:$L$10&lt;&gt;"")*(($D$10:$L$10-($D$9:$L$9+INT(($S$12:$AA$12+INDEX($AJ$13:$AR$162,BN4515,0)+INDEX($AT$13:$BB$162,BO4515,0)+INDEX($BD$13:$BL$162,BP4515,0))/100)))&gt;0)*($D$10:$L$10-($D$9:$L$9+INT(($S$12:$AA$12+INDEX($AJ$13:$AR$162,BN4515,0)+INDEX($AT$13:$BB$162,BO4515,0)+INDEX($BD$13:$BL$162,BP4515,0))/100)))),0)</f>
        <v/>
      </c>
      <c r="BS4515">
        <f>IF(4502&lt;$U$9,SUMPRODUCT(($D$9:$L$9+INT(($S$12:$AA$12+INDEX($AJ$13:$AR$162,BN4515,0)+INDEX($AT$13:$BB$162,BO4515,0)+INDEX($BD$13:$BL$162,BP4515,0))/100))),0)</f>
        <v/>
      </c>
      <c r="BT4515">
        <f>IF(AND(4502&lt;$U$9,$W$5),BQ4515*1000000-MIN(BR4515,999)*1000+BS4515-4502/100000,-1000000000-4502)</f>
        <v/>
      </c>
    </row>
    <row r="4516">
      <c r="BN4516">
        <f>IF(4503&lt;$U$9,INT(4503/($U$7*$U$8))+1,1)</f>
        <v/>
      </c>
      <c r="BO4516">
        <f>IF(4503&lt;$U$9,MOD(INT(4503/$U$8),$U$7)+1,1)</f>
        <v/>
      </c>
      <c r="BP4516">
        <f>IF(4503&lt;$U$9,MOD(4503,$U$8)+1,1)</f>
        <v/>
      </c>
      <c r="BQ4516">
        <f>IF(4503&lt;$U$9,SUMPRODUCT(($D$10:$L$10&lt;&gt;"")*(($D$9:$L$9+INT(($S$12:$AA$12+INDEX($AJ$13:$AR$162,BN4516,0)+INDEX($AT$13:$BB$162,BO4516,0)+INDEX($BD$13:$BL$162,BP4516,0))/100))&gt;=$D$10:$L$10)),0)</f>
        <v/>
      </c>
      <c r="BR4516">
        <f>IF(4503&lt;$U$9,SUMPRODUCT(($D$10:$L$10&lt;&gt;"")*(($D$10:$L$10-($D$9:$L$9+INT(($S$12:$AA$12+INDEX($AJ$13:$AR$162,BN4516,0)+INDEX($AT$13:$BB$162,BO4516,0)+INDEX($BD$13:$BL$162,BP4516,0))/100)))&gt;0)*($D$10:$L$10-($D$9:$L$9+INT(($S$12:$AA$12+INDEX($AJ$13:$AR$162,BN4516,0)+INDEX($AT$13:$BB$162,BO4516,0)+INDEX($BD$13:$BL$162,BP4516,0))/100)))),0)</f>
        <v/>
      </c>
      <c r="BS4516">
        <f>IF(4503&lt;$U$9,SUMPRODUCT(($D$9:$L$9+INT(($S$12:$AA$12+INDEX($AJ$13:$AR$162,BN4516,0)+INDEX($AT$13:$BB$162,BO4516,0)+INDEX($BD$13:$BL$162,BP4516,0))/100))),0)</f>
        <v/>
      </c>
      <c r="BT4516">
        <f>IF(AND(4503&lt;$U$9,$W$5),BQ4516*1000000-MIN(BR4516,999)*1000+BS4516-4503/100000,-1000000000-4503)</f>
        <v/>
      </c>
    </row>
    <row r="4517">
      <c r="BN4517">
        <f>IF(4504&lt;$U$9,INT(4504/($U$7*$U$8))+1,1)</f>
        <v/>
      </c>
      <c r="BO4517">
        <f>IF(4504&lt;$U$9,MOD(INT(4504/$U$8),$U$7)+1,1)</f>
        <v/>
      </c>
      <c r="BP4517">
        <f>IF(4504&lt;$U$9,MOD(4504,$U$8)+1,1)</f>
        <v/>
      </c>
      <c r="BQ4517">
        <f>IF(4504&lt;$U$9,SUMPRODUCT(($D$10:$L$10&lt;&gt;"")*(($D$9:$L$9+INT(($S$12:$AA$12+INDEX($AJ$13:$AR$162,BN4517,0)+INDEX($AT$13:$BB$162,BO4517,0)+INDEX($BD$13:$BL$162,BP4517,0))/100))&gt;=$D$10:$L$10)),0)</f>
        <v/>
      </c>
      <c r="BR4517">
        <f>IF(4504&lt;$U$9,SUMPRODUCT(($D$10:$L$10&lt;&gt;"")*(($D$10:$L$10-($D$9:$L$9+INT(($S$12:$AA$12+INDEX($AJ$13:$AR$162,BN4517,0)+INDEX($AT$13:$BB$162,BO4517,0)+INDEX($BD$13:$BL$162,BP4517,0))/100)))&gt;0)*($D$10:$L$10-($D$9:$L$9+INT(($S$12:$AA$12+INDEX($AJ$13:$AR$162,BN4517,0)+INDEX($AT$13:$BB$162,BO4517,0)+INDEX($BD$13:$BL$162,BP4517,0))/100)))),0)</f>
        <v/>
      </c>
      <c r="BS4517">
        <f>IF(4504&lt;$U$9,SUMPRODUCT(($D$9:$L$9+INT(($S$12:$AA$12+INDEX($AJ$13:$AR$162,BN4517,0)+INDEX($AT$13:$BB$162,BO4517,0)+INDEX($BD$13:$BL$162,BP4517,0))/100))),0)</f>
        <v/>
      </c>
      <c r="BT4517">
        <f>IF(AND(4504&lt;$U$9,$W$5),BQ4517*1000000-MIN(BR4517,999)*1000+BS4517-4504/100000,-1000000000-4504)</f>
        <v/>
      </c>
    </row>
    <row r="4518">
      <c r="BN4518">
        <f>IF(4505&lt;$U$9,INT(4505/($U$7*$U$8))+1,1)</f>
        <v/>
      </c>
      <c r="BO4518">
        <f>IF(4505&lt;$U$9,MOD(INT(4505/$U$8),$U$7)+1,1)</f>
        <v/>
      </c>
      <c r="BP4518">
        <f>IF(4505&lt;$U$9,MOD(4505,$U$8)+1,1)</f>
        <v/>
      </c>
      <c r="BQ4518">
        <f>IF(4505&lt;$U$9,SUMPRODUCT(($D$10:$L$10&lt;&gt;"")*(($D$9:$L$9+INT(($S$12:$AA$12+INDEX($AJ$13:$AR$162,BN4518,0)+INDEX($AT$13:$BB$162,BO4518,0)+INDEX($BD$13:$BL$162,BP4518,0))/100))&gt;=$D$10:$L$10)),0)</f>
        <v/>
      </c>
      <c r="BR4518">
        <f>IF(4505&lt;$U$9,SUMPRODUCT(($D$10:$L$10&lt;&gt;"")*(($D$10:$L$10-($D$9:$L$9+INT(($S$12:$AA$12+INDEX($AJ$13:$AR$162,BN4518,0)+INDEX($AT$13:$BB$162,BO4518,0)+INDEX($BD$13:$BL$162,BP4518,0))/100)))&gt;0)*($D$10:$L$10-($D$9:$L$9+INT(($S$12:$AA$12+INDEX($AJ$13:$AR$162,BN4518,0)+INDEX($AT$13:$BB$162,BO4518,0)+INDEX($BD$13:$BL$162,BP4518,0))/100)))),0)</f>
        <v/>
      </c>
      <c r="BS4518">
        <f>IF(4505&lt;$U$9,SUMPRODUCT(($D$9:$L$9+INT(($S$12:$AA$12+INDEX($AJ$13:$AR$162,BN4518,0)+INDEX($AT$13:$BB$162,BO4518,0)+INDEX($BD$13:$BL$162,BP4518,0))/100))),0)</f>
        <v/>
      </c>
      <c r="BT4518">
        <f>IF(AND(4505&lt;$U$9,$W$5),BQ4518*1000000-MIN(BR4518,999)*1000+BS4518-4505/100000,-1000000000-4505)</f>
        <v/>
      </c>
    </row>
    <row r="4519">
      <c r="BN4519">
        <f>IF(4506&lt;$U$9,INT(4506/($U$7*$U$8))+1,1)</f>
        <v/>
      </c>
      <c r="BO4519">
        <f>IF(4506&lt;$U$9,MOD(INT(4506/$U$8),$U$7)+1,1)</f>
        <v/>
      </c>
      <c r="BP4519">
        <f>IF(4506&lt;$U$9,MOD(4506,$U$8)+1,1)</f>
        <v/>
      </c>
      <c r="BQ4519">
        <f>IF(4506&lt;$U$9,SUMPRODUCT(($D$10:$L$10&lt;&gt;"")*(($D$9:$L$9+INT(($S$12:$AA$12+INDEX($AJ$13:$AR$162,BN4519,0)+INDEX($AT$13:$BB$162,BO4519,0)+INDEX($BD$13:$BL$162,BP4519,0))/100))&gt;=$D$10:$L$10)),0)</f>
        <v/>
      </c>
      <c r="BR4519">
        <f>IF(4506&lt;$U$9,SUMPRODUCT(($D$10:$L$10&lt;&gt;"")*(($D$10:$L$10-($D$9:$L$9+INT(($S$12:$AA$12+INDEX($AJ$13:$AR$162,BN4519,0)+INDEX($AT$13:$BB$162,BO4519,0)+INDEX($BD$13:$BL$162,BP4519,0))/100)))&gt;0)*($D$10:$L$10-($D$9:$L$9+INT(($S$12:$AA$12+INDEX($AJ$13:$AR$162,BN4519,0)+INDEX($AT$13:$BB$162,BO4519,0)+INDEX($BD$13:$BL$162,BP4519,0))/100)))),0)</f>
        <v/>
      </c>
      <c r="BS4519">
        <f>IF(4506&lt;$U$9,SUMPRODUCT(($D$9:$L$9+INT(($S$12:$AA$12+INDEX($AJ$13:$AR$162,BN4519,0)+INDEX($AT$13:$BB$162,BO4519,0)+INDEX($BD$13:$BL$162,BP4519,0))/100))),0)</f>
        <v/>
      </c>
      <c r="BT4519">
        <f>IF(AND(4506&lt;$U$9,$W$5),BQ4519*1000000-MIN(BR4519,999)*1000+BS4519-4506/100000,-1000000000-4506)</f>
        <v/>
      </c>
    </row>
    <row r="4520">
      <c r="BN4520">
        <f>IF(4507&lt;$U$9,INT(4507/($U$7*$U$8))+1,1)</f>
        <v/>
      </c>
      <c r="BO4520">
        <f>IF(4507&lt;$U$9,MOD(INT(4507/$U$8),$U$7)+1,1)</f>
        <v/>
      </c>
      <c r="BP4520">
        <f>IF(4507&lt;$U$9,MOD(4507,$U$8)+1,1)</f>
        <v/>
      </c>
      <c r="BQ4520">
        <f>IF(4507&lt;$U$9,SUMPRODUCT(($D$10:$L$10&lt;&gt;"")*(($D$9:$L$9+INT(($S$12:$AA$12+INDEX($AJ$13:$AR$162,BN4520,0)+INDEX($AT$13:$BB$162,BO4520,0)+INDEX($BD$13:$BL$162,BP4520,0))/100))&gt;=$D$10:$L$10)),0)</f>
        <v/>
      </c>
      <c r="BR4520">
        <f>IF(4507&lt;$U$9,SUMPRODUCT(($D$10:$L$10&lt;&gt;"")*(($D$10:$L$10-($D$9:$L$9+INT(($S$12:$AA$12+INDEX($AJ$13:$AR$162,BN4520,0)+INDEX($AT$13:$BB$162,BO4520,0)+INDEX($BD$13:$BL$162,BP4520,0))/100)))&gt;0)*($D$10:$L$10-($D$9:$L$9+INT(($S$12:$AA$12+INDEX($AJ$13:$AR$162,BN4520,0)+INDEX($AT$13:$BB$162,BO4520,0)+INDEX($BD$13:$BL$162,BP4520,0))/100)))),0)</f>
        <v/>
      </c>
      <c r="BS4520">
        <f>IF(4507&lt;$U$9,SUMPRODUCT(($D$9:$L$9+INT(($S$12:$AA$12+INDEX($AJ$13:$AR$162,BN4520,0)+INDEX($AT$13:$BB$162,BO4520,0)+INDEX($BD$13:$BL$162,BP4520,0))/100))),0)</f>
        <v/>
      </c>
      <c r="BT4520">
        <f>IF(AND(4507&lt;$U$9,$W$5),BQ4520*1000000-MIN(BR4520,999)*1000+BS4520-4507/100000,-1000000000-4507)</f>
        <v/>
      </c>
    </row>
    <row r="4521">
      <c r="BN4521">
        <f>IF(4508&lt;$U$9,INT(4508/($U$7*$U$8))+1,1)</f>
        <v/>
      </c>
      <c r="BO4521">
        <f>IF(4508&lt;$U$9,MOD(INT(4508/$U$8),$U$7)+1,1)</f>
        <v/>
      </c>
      <c r="BP4521">
        <f>IF(4508&lt;$U$9,MOD(4508,$U$8)+1,1)</f>
        <v/>
      </c>
      <c r="BQ4521">
        <f>IF(4508&lt;$U$9,SUMPRODUCT(($D$10:$L$10&lt;&gt;"")*(($D$9:$L$9+INT(($S$12:$AA$12+INDEX($AJ$13:$AR$162,BN4521,0)+INDEX($AT$13:$BB$162,BO4521,0)+INDEX($BD$13:$BL$162,BP4521,0))/100))&gt;=$D$10:$L$10)),0)</f>
        <v/>
      </c>
      <c r="BR4521">
        <f>IF(4508&lt;$U$9,SUMPRODUCT(($D$10:$L$10&lt;&gt;"")*(($D$10:$L$10-($D$9:$L$9+INT(($S$12:$AA$12+INDEX($AJ$13:$AR$162,BN4521,0)+INDEX($AT$13:$BB$162,BO4521,0)+INDEX($BD$13:$BL$162,BP4521,0))/100)))&gt;0)*($D$10:$L$10-($D$9:$L$9+INT(($S$12:$AA$12+INDEX($AJ$13:$AR$162,BN4521,0)+INDEX($AT$13:$BB$162,BO4521,0)+INDEX($BD$13:$BL$162,BP4521,0))/100)))),0)</f>
        <v/>
      </c>
      <c r="BS4521">
        <f>IF(4508&lt;$U$9,SUMPRODUCT(($D$9:$L$9+INT(($S$12:$AA$12+INDEX($AJ$13:$AR$162,BN4521,0)+INDEX($AT$13:$BB$162,BO4521,0)+INDEX($BD$13:$BL$162,BP4521,0))/100))),0)</f>
        <v/>
      </c>
      <c r="BT4521">
        <f>IF(AND(4508&lt;$U$9,$W$5),BQ4521*1000000-MIN(BR4521,999)*1000+BS4521-4508/100000,-1000000000-4508)</f>
        <v/>
      </c>
    </row>
    <row r="4522">
      <c r="BN4522">
        <f>IF(4509&lt;$U$9,INT(4509/($U$7*$U$8))+1,1)</f>
        <v/>
      </c>
      <c r="BO4522">
        <f>IF(4509&lt;$U$9,MOD(INT(4509/$U$8),$U$7)+1,1)</f>
        <v/>
      </c>
      <c r="BP4522">
        <f>IF(4509&lt;$U$9,MOD(4509,$U$8)+1,1)</f>
        <v/>
      </c>
      <c r="BQ4522">
        <f>IF(4509&lt;$U$9,SUMPRODUCT(($D$10:$L$10&lt;&gt;"")*(($D$9:$L$9+INT(($S$12:$AA$12+INDEX($AJ$13:$AR$162,BN4522,0)+INDEX($AT$13:$BB$162,BO4522,0)+INDEX($BD$13:$BL$162,BP4522,0))/100))&gt;=$D$10:$L$10)),0)</f>
        <v/>
      </c>
      <c r="BR4522">
        <f>IF(4509&lt;$U$9,SUMPRODUCT(($D$10:$L$10&lt;&gt;"")*(($D$10:$L$10-($D$9:$L$9+INT(($S$12:$AA$12+INDEX($AJ$13:$AR$162,BN4522,0)+INDEX($AT$13:$BB$162,BO4522,0)+INDEX($BD$13:$BL$162,BP4522,0))/100)))&gt;0)*($D$10:$L$10-($D$9:$L$9+INT(($S$12:$AA$12+INDEX($AJ$13:$AR$162,BN4522,0)+INDEX($AT$13:$BB$162,BO4522,0)+INDEX($BD$13:$BL$162,BP4522,0))/100)))),0)</f>
        <v/>
      </c>
      <c r="BS4522">
        <f>IF(4509&lt;$U$9,SUMPRODUCT(($D$9:$L$9+INT(($S$12:$AA$12+INDEX($AJ$13:$AR$162,BN4522,0)+INDEX($AT$13:$BB$162,BO4522,0)+INDEX($BD$13:$BL$162,BP4522,0))/100))),0)</f>
        <v/>
      </c>
      <c r="BT4522">
        <f>IF(AND(4509&lt;$U$9,$W$5),BQ4522*1000000-MIN(BR4522,999)*1000+BS4522-4509/100000,-1000000000-4509)</f>
        <v/>
      </c>
    </row>
    <row r="4523">
      <c r="BN4523">
        <f>IF(4510&lt;$U$9,INT(4510/($U$7*$U$8))+1,1)</f>
        <v/>
      </c>
      <c r="BO4523">
        <f>IF(4510&lt;$U$9,MOD(INT(4510/$U$8),$U$7)+1,1)</f>
        <v/>
      </c>
      <c r="BP4523">
        <f>IF(4510&lt;$U$9,MOD(4510,$U$8)+1,1)</f>
        <v/>
      </c>
      <c r="BQ4523">
        <f>IF(4510&lt;$U$9,SUMPRODUCT(($D$10:$L$10&lt;&gt;"")*(($D$9:$L$9+INT(($S$12:$AA$12+INDEX($AJ$13:$AR$162,BN4523,0)+INDEX($AT$13:$BB$162,BO4523,0)+INDEX($BD$13:$BL$162,BP4523,0))/100))&gt;=$D$10:$L$10)),0)</f>
        <v/>
      </c>
      <c r="BR4523">
        <f>IF(4510&lt;$U$9,SUMPRODUCT(($D$10:$L$10&lt;&gt;"")*(($D$10:$L$10-($D$9:$L$9+INT(($S$12:$AA$12+INDEX($AJ$13:$AR$162,BN4523,0)+INDEX($AT$13:$BB$162,BO4523,0)+INDEX($BD$13:$BL$162,BP4523,0))/100)))&gt;0)*($D$10:$L$10-($D$9:$L$9+INT(($S$12:$AA$12+INDEX($AJ$13:$AR$162,BN4523,0)+INDEX($AT$13:$BB$162,BO4523,0)+INDEX($BD$13:$BL$162,BP4523,0))/100)))),0)</f>
        <v/>
      </c>
      <c r="BS4523">
        <f>IF(4510&lt;$U$9,SUMPRODUCT(($D$9:$L$9+INT(($S$12:$AA$12+INDEX($AJ$13:$AR$162,BN4523,0)+INDEX($AT$13:$BB$162,BO4523,0)+INDEX($BD$13:$BL$162,BP4523,0))/100))),0)</f>
        <v/>
      </c>
      <c r="BT4523">
        <f>IF(AND(4510&lt;$U$9,$W$5),BQ4523*1000000-MIN(BR4523,999)*1000+BS4523-4510/100000,-1000000000-4510)</f>
        <v/>
      </c>
    </row>
    <row r="4524">
      <c r="BN4524">
        <f>IF(4511&lt;$U$9,INT(4511/($U$7*$U$8))+1,1)</f>
        <v/>
      </c>
      <c r="BO4524">
        <f>IF(4511&lt;$U$9,MOD(INT(4511/$U$8),$U$7)+1,1)</f>
        <v/>
      </c>
      <c r="BP4524">
        <f>IF(4511&lt;$U$9,MOD(4511,$U$8)+1,1)</f>
        <v/>
      </c>
      <c r="BQ4524">
        <f>IF(4511&lt;$U$9,SUMPRODUCT(($D$10:$L$10&lt;&gt;"")*(($D$9:$L$9+INT(($S$12:$AA$12+INDEX($AJ$13:$AR$162,BN4524,0)+INDEX($AT$13:$BB$162,BO4524,0)+INDEX($BD$13:$BL$162,BP4524,0))/100))&gt;=$D$10:$L$10)),0)</f>
        <v/>
      </c>
      <c r="BR4524">
        <f>IF(4511&lt;$U$9,SUMPRODUCT(($D$10:$L$10&lt;&gt;"")*(($D$10:$L$10-($D$9:$L$9+INT(($S$12:$AA$12+INDEX($AJ$13:$AR$162,BN4524,0)+INDEX($AT$13:$BB$162,BO4524,0)+INDEX($BD$13:$BL$162,BP4524,0))/100)))&gt;0)*($D$10:$L$10-($D$9:$L$9+INT(($S$12:$AA$12+INDEX($AJ$13:$AR$162,BN4524,0)+INDEX($AT$13:$BB$162,BO4524,0)+INDEX($BD$13:$BL$162,BP4524,0))/100)))),0)</f>
        <v/>
      </c>
      <c r="BS4524">
        <f>IF(4511&lt;$U$9,SUMPRODUCT(($D$9:$L$9+INT(($S$12:$AA$12+INDEX($AJ$13:$AR$162,BN4524,0)+INDEX($AT$13:$BB$162,BO4524,0)+INDEX($BD$13:$BL$162,BP4524,0))/100))),0)</f>
        <v/>
      </c>
      <c r="BT4524">
        <f>IF(AND(4511&lt;$U$9,$W$5),BQ4524*1000000-MIN(BR4524,999)*1000+BS4524-4511/100000,-1000000000-4511)</f>
        <v/>
      </c>
    </row>
    <row r="4525">
      <c r="BN4525">
        <f>IF(4512&lt;$U$9,INT(4512/($U$7*$U$8))+1,1)</f>
        <v/>
      </c>
      <c r="BO4525">
        <f>IF(4512&lt;$U$9,MOD(INT(4512/$U$8),$U$7)+1,1)</f>
        <v/>
      </c>
      <c r="BP4525">
        <f>IF(4512&lt;$U$9,MOD(4512,$U$8)+1,1)</f>
        <v/>
      </c>
      <c r="BQ4525">
        <f>IF(4512&lt;$U$9,SUMPRODUCT(($D$10:$L$10&lt;&gt;"")*(($D$9:$L$9+INT(($S$12:$AA$12+INDEX($AJ$13:$AR$162,BN4525,0)+INDEX($AT$13:$BB$162,BO4525,0)+INDEX($BD$13:$BL$162,BP4525,0))/100))&gt;=$D$10:$L$10)),0)</f>
        <v/>
      </c>
      <c r="BR4525">
        <f>IF(4512&lt;$U$9,SUMPRODUCT(($D$10:$L$10&lt;&gt;"")*(($D$10:$L$10-($D$9:$L$9+INT(($S$12:$AA$12+INDEX($AJ$13:$AR$162,BN4525,0)+INDEX($AT$13:$BB$162,BO4525,0)+INDEX($BD$13:$BL$162,BP4525,0))/100)))&gt;0)*($D$10:$L$10-($D$9:$L$9+INT(($S$12:$AA$12+INDEX($AJ$13:$AR$162,BN4525,0)+INDEX($AT$13:$BB$162,BO4525,0)+INDEX($BD$13:$BL$162,BP4525,0))/100)))),0)</f>
        <v/>
      </c>
      <c r="BS4525">
        <f>IF(4512&lt;$U$9,SUMPRODUCT(($D$9:$L$9+INT(($S$12:$AA$12+INDEX($AJ$13:$AR$162,BN4525,0)+INDEX($AT$13:$BB$162,BO4525,0)+INDEX($BD$13:$BL$162,BP4525,0))/100))),0)</f>
        <v/>
      </c>
      <c r="BT4525">
        <f>IF(AND(4512&lt;$U$9,$W$5),BQ4525*1000000-MIN(BR4525,999)*1000+BS4525-4512/100000,-1000000000-4512)</f>
        <v/>
      </c>
    </row>
    <row r="4526">
      <c r="BN4526">
        <f>IF(4513&lt;$U$9,INT(4513/($U$7*$U$8))+1,1)</f>
        <v/>
      </c>
      <c r="BO4526">
        <f>IF(4513&lt;$U$9,MOD(INT(4513/$U$8),$U$7)+1,1)</f>
        <v/>
      </c>
      <c r="BP4526">
        <f>IF(4513&lt;$U$9,MOD(4513,$U$8)+1,1)</f>
        <v/>
      </c>
      <c r="BQ4526">
        <f>IF(4513&lt;$U$9,SUMPRODUCT(($D$10:$L$10&lt;&gt;"")*(($D$9:$L$9+INT(($S$12:$AA$12+INDEX($AJ$13:$AR$162,BN4526,0)+INDEX($AT$13:$BB$162,BO4526,0)+INDEX($BD$13:$BL$162,BP4526,0))/100))&gt;=$D$10:$L$10)),0)</f>
        <v/>
      </c>
      <c r="BR4526">
        <f>IF(4513&lt;$U$9,SUMPRODUCT(($D$10:$L$10&lt;&gt;"")*(($D$10:$L$10-($D$9:$L$9+INT(($S$12:$AA$12+INDEX($AJ$13:$AR$162,BN4526,0)+INDEX($AT$13:$BB$162,BO4526,0)+INDEX($BD$13:$BL$162,BP4526,0))/100)))&gt;0)*($D$10:$L$10-($D$9:$L$9+INT(($S$12:$AA$12+INDEX($AJ$13:$AR$162,BN4526,0)+INDEX($AT$13:$BB$162,BO4526,0)+INDEX($BD$13:$BL$162,BP4526,0))/100)))),0)</f>
        <v/>
      </c>
      <c r="BS4526">
        <f>IF(4513&lt;$U$9,SUMPRODUCT(($D$9:$L$9+INT(($S$12:$AA$12+INDEX($AJ$13:$AR$162,BN4526,0)+INDEX($AT$13:$BB$162,BO4526,0)+INDEX($BD$13:$BL$162,BP4526,0))/100))),0)</f>
        <v/>
      </c>
      <c r="BT4526">
        <f>IF(AND(4513&lt;$U$9,$W$5),BQ4526*1000000-MIN(BR4526,999)*1000+BS4526-4513/100000,-1000000000-4513)</f>
        <v/>
      </c>
    </row>
    <row r="4527">
      <c r="BN4527">
        <f>IF(4514&lt;$U$9,INT(4514/($U$7*$U$8))+1,1)</f>
        <v/>
      </c>
      <c r="BO4527">
        <f>IF(4514&lt;$U$9,MOD(INT(4514/$U$8),$U$7)+1,1)</f>
        <v/>
      </c>
      <c r="BP4527">
        <f>IF(4514&lt;$U$9,MOD(4514,$U$8)+1,1)</f>
        <v/>
      </c>
      <c r="BQ4527">
        <f>IF(4514&lt;$U$9,SUMPRODUCT(($D$10:$L$10&lt;&gt;"")*(($D$9:$L$9+INT(($S$12:$AA$12+INDEX($AJ$13:$AR$162,BN4527,0)+INDEX($AT$13:$BB$162,BO4527,0)+INDEX($BD$13:$BL$162,BP4527,0))/100))&gt;=$D$10:$L$10)),0)</f>
        <v/>
      </c>
      <c r="BR4527">
        <f>IF(4514&lt;$U$9,SUMPRODUCT(($D$10:$L$10&lt;&gt;"")*(($D$10:$L$10-($D$9:$L$9+INT(($S$12:$AA$12+INDEX($AJ$13:$AR$162,BN4527,0)+INDEX($AT$13:$BB$162,BO4527,0)+INDEX($BD$13:$BL$162,BP4527,0))/100)))&gt;0)*($D$10:$L$10-($D$9:$L$9+INT(($S$12:$AA$12+INDEX($AJ$13:$AR$162,BN4527,0)+INDEX($AT$13:$BB$162,BO4527,0)+INDEX($BD$13:$BL$162,BP4527,0))/100)))),0)</f>
        <v/>
      </c>
      <c r="BS4527">
        <f>IF(4514&lt;$U$9,SUMPRODUCT(($D$9:$L$9+INT(($S$12:$AA$12+INDEX($AJ$13:$AR$162,BN4527,0)+INDEX($AT$13:$BB$162,BO4527,0)+INDEX($BD$13:$BL$162,BP4527,0))/100))),0)</f>
        <v/>
      </c>
      <c r="BT4527">
        <f>IF(AND(4514&lt;$U$9,$W$5),BQ4527*1000000-MIN(BR4527,999)*1000+BS4527-4514/100000,-1000000000-4514)</f>
        <v/>
      </c>
    </row>
    <row r="4528">
      <c r="BN4528">
        <f>IF(4515&lt;$U$9,INT(4515/($U$7*$U$8))+1,1)</f>
        <v/>
      </c>
      <c r="BO4528">
        <f>IF(4515&lt;$U$9,MOD(INT(4515/$U$8),$U$7)+1,1)</f>
        <v/>
      </c>
      <c r="BP4528">
        <f>IF(4515&lt;$U$9,MOD(4515,$U$8)+1,1)</f>
        <v/>
      </c>
      <c r="BQ4528">
        <f>IF(4515&lt;$U$9,SUMPRODUCT(($D$10:$L$10&lt;&gt;"")*(($D$9:$L$9+INT(($S$12:$AA$12+INDEX($AJ$13:$AR$162,BN4528,0)+INDEX($AT$13:$BB$162,BO4528,0)+INDEX($BD$13:$BL$162,BP4528,0))/100))&gt;=$D$10:$L$10)),0)</f>
        <v/>
      </c>
      <c r="BR4528">
        <f>IF(4515&lt;$U$9,SUMPRODUCT(($D$10:$L$10&lt;&gt;"")*(($D$10:$L$10-($D$9:$L$9+INT(($S$12:$AA$12+INDEX($AJ$13:$AR$162,BN4528,0)+INDEX($AT$13:$BB$162,BO4528,0)+INDEX($BD$13:$BL$162,BP4528,0))/100)))&gt;0)*($D$10:$L$10-($D$9:$L$9+INT(($S$12:$AA$12+INDEX($AJ$13:$AR$162,BN4528,0)+INDEX($AT$13:$BB$162,BO4528,0)+INDEX($BD$13:$BL$162,BP4528,0))/100)))),0)</f>
        <v/>
      </c>
      <c r="BS4528">
        <f>IF(4515&lt;$U$9,SUMPRODUCT(($D$9:$L$9+INT(($S$12:$AA$12+INDEX($AJ$13:$AR$162,BN4528,0)+INDEX($AT$13:$BB$162,BO4528,0)+INDEX($BD$13:$BL$162,BP4528,0))/100))),0)</f>
        <v/>
      </c>
      <c r="BT4528">
        <f>IF(AND(4515&lt;$U$9,$W$5),BQ4528*1000000-MIN(BR4528,999)*1000+BS4528-4515/100000,-1000000000-4515)</f>
        <v/>
      </c>
    </row>
    <row r="4529">
      <c r="BN4529">
        <f>IF(4516&lt;$U$9,INT(4516/($U$7*$U$8))+1,1)</f>
        <v/>
      </c>
      <c r="BO4529">
        <f>IF(4516&lt;$U$9,MOD(INT(4516/$U$8),$U$7)+1,1)</f>
        <v/>
      </c>
      <c r="BP4529">
        <f>IF(4516&lt;$U$9,MOD(4516,$U$8)+1,1)</f>
        <v/>
      </c>
      <c r="BQ4529">
        <f>IF(4516&lt;$U$9,SUMPRODUCT(($D$10:$L$10&lt;&gt;"")*(($D$9:$L$9+INT(($S$12:$AA$12+INDEX($AJ$13:$AR$162,BN4529,0)+INDEX($AT$13:$BB$162,BO4529,0)+INDEX($BD$13:$BL$162,BP4529,0))/100))&gt;=$D$10:$L$10)),0)</f>
        <v/>
      </c>
      <c r="BR4529">
        <f>IF(4516&lt;$U$9,SUMPRODUCT(($D$10:$L$10&lt;&gt;"")*(($D$10:$L$10-($D$9:$L$9+INT(($S$12:$AA$12+INDEX($AJ$13:$AR$162,BN4529,0)+INDEX($AT$13:$BB$162,BO4529,0)+INDEX($BD$13:$BL$162,BP4529,0))/100)))&gt;0)*($D$10:$L$10-($D$9:$L$9+INT(($S$12:$AA$12+INDEX($AJ$13:$AR$162,BN4529,0)+INDEX($AT$13:$BB$162,BO4529,0)+INDEX($BD$13:$BL$162,BP4529,0))/100)))),0)</f>
        <v/>
      </c>
      <c r="BS4529">
        <f>IF(4516&lt;$U$9,SUMPRODUCT(($D$9:$L$9+INT(($S$12:$AA$12+INDEX($AJ$13:$AR$162,BN4529,0)+INDEX($AT$13:$BB$162,BO4529,0)+INDEX($BD$13:$BL$162,BP4529,0))/100))),0)</f>
        <v/>
      </c>
      <c r="BT4529">
        <f>IF(AND(4516&lt;$U$9,$W$5),BQ4529*1000000-MIN(BR4529,999)*1000+BS4529-4516/100000,-1000000000-4516)</f>
        <v/>
      </c>
    </row>
    <row r="4530">
      <c r="BN4530">
        <f>IF(4517&lt;$U$9,INT(4517/($U$7*$U$8))+1,1)</f>
        <v/>
      </c>
      <c r="BO4530">
        <f>IF(4517&lt;$U$9,MOD(INT(4517/$U$8),$U$7)+1,1)</f>
        <v/>
      </c>
      <c r="BP4530">
        <f>IF(4517&lt;$U$9,MOD(4517,$U$8)+1,1)</f>
        <v/>
      </c>
      <c r="BQ4530">
        <f>IF(4517&lt;$U$9,SUMPRODUCT(($D$10:$L$10&lt;&gt;"")*(($D$9:$L$9+INT(($S$12:$AA$12+INDEX($AJ$13:$AR$162,BN4530,0)+INDEX($AT$13:$BB$162,BO4530,0)+INDEX($BD$13:$BL$162,BP4530,0))/100))&gt;=$D$10:$L$10)),0)</f>
        <v/>
      </c>
      <c r="BR4530">
        <f>IF(4517&lt;$U$9,SUMPRODUCT(($D$10:$L$10&lt;&gt;"")*(($D$10:$L$10-($D$9:$L$9+INT(($S$12:$AA$12+INDEX($AJ$13:$AR$162,BN4530,0)+INDEX($AT$13:$BB$162,BO4530,0)+INDEX($BD$13:$BL$162,BP4530,0))/100)))&gt;0)*($D$10:$L$10-($D$9:$L$9+INT(($S$12:$AA$12+INDEX($AJ$13:$AR$162,BN4530,0)+INDEX($AT$13:$BB$162,BO4530,0)+INDEX($BD$13:$BL$162,BP4530,0))/100)))),0)</f>
        <v/>
      </c>
      <c r="BS4530">
        <f>IF(4517&lt;$U$9,SUMPRODUCT(($D$9:$L$9+INT(($S$12:$AA$12+INDEX($AJ$13:$AR$162,BN4530,0)+INDEX($AT$13:$BB$162,BO4530,0)+INDEX($BD$13:$BL$162,BP4530,0))/100))),0)</f>
        <v/>
      </c>
      <c r="BT4530">
        <f>IF(AND(4517&lt;$U$9,$W$5),BQ4530*1000000-MIN(BR4530,999)*1000+BS4530-4517/100000,-1000000000-4517)</f>
        <v/>
      </c>
    </row>
    <row r="4531">
      <c r="BN4531">
        <f>IF(4518&lt;$U$9,INT(4518/($U$7*$U$8))+1,1)</f>
        <v/>
      </c>
      <c r="BO4531">
        <f>IF(4518&lt;$U$9,MOD(INT(4518/$U$8),$U$7)+1,1)</f>
        <v/>
      </c>
      <c r="BP4531">
        <f>IF(4518&lt;$U$9,MOD(4518,$U$8)+1,1)</f>
        <v/>
      </c>
      <c r="BQ4531">
        <f>IF(4518&lt;$U$9,SUMPRODUCT(($D$10:$L$10&lt;&gt;"")*(($D$9:$L$9+INT(($S$12:$AA$12+INDEX($AJ$13:$AR$162,BN4531,0)+INDEX($AT$13:$BB$162,BO4531,0)+INDEX($BD$13:$BL$162,BP4531,0))/100))&gt;=$D$10:$L$10)),0)</f>
        <v/>
      </c>
      <c r="BR4531">
        <f>IF(4518&lt;$U$9,SUMPRODUCT(($D$10:$L$10&lt;&gt;"")*(($D$10:$L$10-($D$9:$L$9+INT(($S$12:$AA$12+INDEX($AJ$13:$AR$162,BN4531,0)+INDEX($AT$13:$BB$162,BO4531,0)+INDEX($BD$13:$BL$162,BP4531,0))/100)))&gt;0)*($D$10:$L$10-($D$9:$L$9+INT(($S$12:$AA$12+INDEX($AJ$13:$AR$162,BN4531,0)+INDEX($AT$13:$BB$162,BO4531,0)+INDEX($BD$13:$BL$162,BP4531,0))/100)))),0)</f>
        <v/>
      </c>
      <c r="BS4531">
        <f>IF(4518&lt;$U$9,SUMPRODUCT(($D$9:$L$9+INT(($S$12:$AA$12+INDEX($AJ$13:$AR$162,BN4531,0)+INDEX($AT$13:$BB$162,BO4531,0)+INDEX($BD$13:$BL$162,BP4531,0))/100))),0)</f>
        <v/>
      </c>
      <c r="BT4531">
        <f>IF(AND(4518&lt;$U$9,$W$5),BQ4531*1000000-MIN(BR4531,999)*1000+BS4531-4518/100000,-1000000000-4518)</f>
        <v/>
      </c>
    </row>
    <row r="4532">
      <c r="BN4532">
        <f>IF(4519&lt;$U$9,INT(4519/($U$7*$U$8))+1,1)</f>
        <v/>
      </c>
      <c r="BO4532">
        <f>IF(4519&lt;$U$9,MOD(INT(4519/$U$8),$U$7)+1,1)</f>
        <v/>
      </c>
      <c r="BP4532">
        <f>IF(4519&lt;$U$9,MOD(4519,$U$8)+1,1)</f>
        <v/>
      </c>
      <c r="BQ4532">
        <f>IF(4519&lt;$U$9,SUMPRODUCT(($D$10:$L$10&lt;&gt;"")*(($D$9:$L$9+INT(($S$12:$AA$12+INDEX($AJ$13:$AR$162,BN4532,0)+INDEX($AT$13:$BB$162,BO4532,0)+INDEX($BD$13:$BL$162,BP4532,0))/100))&gt;=$D$10:$L$10)),0)</f>
        <v/>
      </c>
      <c r="BR4532">
        <f>IF(4519&lt;$U$9,SUMPRODUCT(($D$10:$L$10&lt;&gt;"")*(($D$10:$L$10-($D$9:$L$9+INT(($S$12:$AA$12+INDEX($AJ$13:$AR$162,BN4532,0)+INDEX($AT$13:$BB$162,BO4532,0)+INDEX($BD$13:$BL$162,BP4532,0))/100)))&gt;0)*($D$10:$L$10-($D$9:$L$9+INT(($S$12:$AA$12+INDEX($AJ$13:$AR$162,BN4532,0)+INDEX($AT$13:$BB$162,BO4532,0)+INDEX($BD$13:$BL$162,BP4532,0))/100)))),0)</f>
        <v/>
      </c>
      <c r="BS4532">
        <f>IF(4519&lt;$U$9,SUMPRODUCT(($D$9:$L$9+INT(($S$12:$AA$12+INDEX($AJ$13:$AR$162,BN4532,0)+INDEX($AT$13:$BB$162,BO4532,0)+INDEX($BD$13:$BL$162,BP4532,0))/100))),0)</f>
        <v/>
      </c>
      <c r="BT4532">
        <f>IF(AND(4519&lt;$U$9,$W$5),BQ4532*1000000-MIN(BR4532,999)*1000+BS4532-4519/100000,-1000000000-4519)</f>
        <v/>
      </c>
    </row>
    <row r="4533">
      <c r="BN4533">
        <f>IF(4520&lt;$U$9,INT(4520/($U$7*$U$8))+1,1)</f>
        <v/>
      </c>
      <c r="BO4533">
        <f>IF(4520&lt;$U$9,MOD(INT(4520/$U$8),$U$7)+1,1)</f>
        <v/>
      </c>
      <c r="BP4533">
        <f>IF(4520&lt;$U$9,MOD(4520,$U$8)+1,1)</f>
        <v/>
      </c>
      <c r="BQ4533">
        <f>IF(4520&lt;$U$9,SUMPRODUCT(($D$10:$L$10&lt;&gt;"")*(($D$9:$L$9+INT(($S$12:$AA$12+INDEX($AJ$13:$AR$162,BN4533,0)+INDEX($AT$13:$BB$162,BO4533,0)+INDEX($BD$13:$BL$162,BP4533,0))/100))&gt;=$D$10:$L$10)),0)</f>
        <v/>
      </c>
      <c r="BR4533">
        <f>IF(4520&lt;$U$9,SUMPRODUCT(($D$10:$L$10&lt;&gt;"")*(($D$10:$L$10-($D$9:$L$9+INT(($S$12:$AA$12+INDEX($AJ$13:$AR$162,BN4533,0)+INDEX($AT$13:$BB$162,BO4533,0)+INDEX($BD$13:$BL$162,BP4533,0))/100)))&gt;0)*($D$10:$L$10-($D$9:$L$9+INT(($S$12:$AA$12+INDEX($AJ$13:$AR$162,BN4533,0)+INDEX($AT$13:$BB$162,BO4533,0)+INDEX($BD$13:$BL$162,BP4533,0))/100)))),0)</f>
        <v/>
      </c>
      <c r="BS4533">
        <f>IF(4520&lt;$U$9,SUMPRODUCT(($D$9:$L$9+INT(($S$12:$AA$12+INDEX($AJ$13:$AR$162,BN4533,0)+INDEX($AT$13:$BB$162,BO4533,0)+INDEX($BD$13:$BL$162,BP4533,0))/100))),0)</f>
        <v/>
      </c>
      <c r="BT4533">
        <f>IF(AND(4520&lt;$U$9,$W$5),BQ4533*1000000-MIN(BR4533,999)*1000+BS4533-4520/100000,-1000000000-4520)</f>
        <v/>
      </c>
    </row>
    <row r="4534">
      <c r="BN4534">
        <f>IF(4521&lt;$U$9,INT(4521/($U$7*$U$8))+1,1)</f>
        <v/>
      </c>
      <c r="BO4534">
        <f>IF(4521&lt;$U$9,MOD(INT(4521/$U$8),$U$7)+1,1)</f>
        <v/>
      </c>
      <c r="BP4534">
        <f>IF(4521&lt;$U$9,MOD(4521,$U$8)+1,1)</f>
        <v/>
      </c>
      <c r="BQ4534">
        <f>IF(4521&lt;$U$9,SUMPRODUCT(($D$10:$L$10&lt;&gt;"")*(($D$9:$L$9+INT(($S$12:$AA$12+INDEX($AJ$13:$AR$162,BN4534,0)+INDEX($AT$13:$BB$162,BO4534,0)+INDEX($BD$13:$BL$162,BP4534,0))/100))&gt;=$D$10:$L$10)),0)</f>
        <v/>
      </c>
      <c r="BR4534">
        <f>IF(4521&lt;$U$9,SUMPRODUCT(($D$10:$L$10&lt;&gt;"")*(($D$10:$L$10-($D$9:$L$9+INT(($S$12:$AA$12+INDEX($AJ$13:$AR$162,BN4534,0)+INDEX($AT$13:$BB$162,BO4534,0)+INDEX($BD$13:$BL$162,BP4534,0))/100)))&gt;0)*($D$10:$L$10-($D$9:$L$9+INT(($S$12:$AA$12+INDEX($AJ$13:$AR$162,BN4534,0)+INDEX($AT$13:$BB$162,BO4534,0)+INDEX($BD$13:$BL$162,BP4534,0))/100)))),0)</f>
        <v/>
      </c>
      <c r="BS4534">
        <f>IF(4521&lt;$U$9,SUMPRODUCT(($D$9:$L$9+INT(($S$12:$AA$12+INDEX($AJ$13:$AR$162,BN4534,0)+INDEX($AT$13:$BB$162,BO4534,0)+INDEX($BD$13:$BL$162,BP4534,0))/100))),0)</f>
        <v/>
      </c>
      <c r="BT4534">
        <f>IF(AND(4521&lt;$U$9,$W$5),BQ4534*1000000-MIN(BR4534,999)*1000+BS4534-4521/100000,-1000000000-4521)</f>
        <v/>
      </c>
    </row>
    <row r="4535">
      <c r="BN4535">
        <f>IF(4522&lt;$U$9,INT(4522/($U$7*$U$8))+1,1)</f>
        <v/>
      </c>
      <c r="BO4535">
        <f>IF(4522&lt;$U$9,MOD(INT(4522/$U$8),$U$7)+1,1)</f>
        <v/>
      </c>
      <c r="BP4535">
        <f>IF(4522&lt;$U$9,MOD(4522,$U$8)+1,1)</f>
        <v/>
      </c>
      <c r="BQ4535">
        <f>IF(4522&lt;$U$9,SUMPRODUCT(($D$10:$L$10&lt;&gt;"")*(($D$9:$L$9+INT(($S$12:$AA$12+INDEX($AJ$13:$AR$162,BN4535,0)+INDEX($AT$13:$BB$162,BO4535,0)+INDEX($BD$13:$BL$162,BP4535,0))/100))&gt;=$D$10:$L$10)),0)</f>
        <v/>
      </c>
      <c r="BR4535">
        <f>IF(4522&lt;$U$9,SUMPRODUCT(($D$10:$L$10&lt;&gt;"")*(($D$10:$L$10-($D$9:$L$9+INT(($S$12:$AA$12+INDEX($AJ$13:$AR$162,BN4535,0)+INDEX($AT$13:$BB$162,BO4535,0)+INDEX($BD$13:$BL$162,BP4535,0))/100)))&gt;0)*($D$10:$L$10-($D$9:$L$9+INT(($S$12:$AA$12+INDEX($AJ$13:$AR$162,BN4535,0)+INDEX($AT$13:$BB$162,BO4535,0)+INDEX($BD$13:$BL$162,BP4535,0))/100)))),0)</f>
        <v/>
      </c>
      <c r="BS4535">
        <f>IF(4522&lt;$U$9,SUMPRODUCT(($D$9:$L$9+INT(($S$12:$AA$12+INDEX($AJ$13:$AR$162,BN4535,0)+INDEX($AT$13:$BB$162,BO4535,0)+INDEX($BD$13:$BL$162,BP4535,0))/100))),0)</f>
        <v/>
      </c>
      <c r="BT4535">
        <f>IF(AND(4522&lt;$U$9,$W$5),BQ4535*1000000-MIN(BR4535,999)*1000+BS4535-4522/100000,-1000000000-4522)</f>
        <v/>
      </c>
    </row>
    <row r="4536">
      <c r="BN4536">
        <f>IF(4523&lt;$U$9,INT(4523/($U$7*$U$8))+1,1)</f>
        <v/>
      </c>
      <c r="BO4536">
        <f>IF(4523&lt;$U$9,MOD(INT(4523/$U$8),$U$7)+1,1)</f>
        <v/>
      </c>
      <c r="BP4536">
        <f>IF(4523&lt;$U$9,MOD(4523,$U$8)+1,1)</f>
        <v/>
      </c>
      <c r="BQ4536">
        <f>IF(4523&lt;$U$9,SUMPRODUCT(($D$10:$L$10&lt;&gt;"")*(($D$9:$L$9+INT(($S$12:$AA$12+INDEX($AJ$13:$AR$162,BN4536,0)+INDEX($AT$13:$BB$162,BO4536,0)+INDEX($BD$13:$BL$162,BP4536,0))/100))&gt;=$D$10:$L$10)),0)</f>
        <v/>
      </c>
      <c r="BR4536">
        <f>IF(4523&lt;$U$9,SUMPRODUCT(($D$10:$L$10&lt;&gt;"")*(($D$10:$L$10-($D$9:$L$9+INT(($S$12:$AA$12+INDEX($AJ$13:$AR$162,BN4536,0)+INDEX($AT$13:$BB$162,BO4536,0)+INDEX($BD$13:$BL$162,BP4536,0))/100)))&gt;0)*($D$10:$L$10-($D$9:$L$9+INT(($S$12:$AA$12+INDEX($AJ$13:$AR$162,BN4536,0)+INDEX($AT$13:$BB$162,BO4536,0)+INDEX($BD$13:$BL$162,BP4536,0))/100)))),0)</f>
        <v/>
      </c>
      <c r="BS4536">
        <f>IF(4523&lt;$U$9,SUMPRODUCT(($D$9:$L$9+INT(($S$12:$AA$12+INDEX($AJ$13:$AR$162,BN4536,0)+INDEX($AT$13:$BB$162,BO4536,0)+INDEX($BD$13:$BL$162,BP4536,0))/100))),0)</f>
        <v/>
      </c>
      <c r="BT4536">
        <f>IF(AND(4523&lt;$U$9,$W$5),BQ4536*1000000-MIN(BR4536,999)*1000+BS4536-4523/100000,-1000000000-4523)</f>
        <v/>
      </c>
    </row>
    <row r="4537">
      <c r="BN4537">
        <f>IF(4524&lt;$U$9,INT(4524/($U$7*$U$8))+1,1)</f>
        <v/>
      </c>
      <c r="BO4537">
        <f>IF(4524&lt;$U$9,MOD(INT(4524/$U$8),$U$7)+1,1)</f>
        <v/>
      </c>
      <c r="BP4537">
        <f>IF(4524&lt;$U$9,MOD(4524,$U$8)+1,1)</f>
        <v/>
      </c>
      <c r="BQ4537">
        <f>IF(4524&lt;$U$9,SUMPRODUCT(($D$10:$L$10&lt;&gt;"")*(($D$9:$L$9+INT(($S$12:$AA$12+INDEX($AJ$13:$AR$162,BN4537,0)+INDEX($AT$13:$BB$162,BO4537,0)+INDEX($BD$13:$BL$162,BP4537,0))/100))&gt;=$D$10:$L$10)),0)</f>
        <v/>
      </c>
      <c r="BR4537">
        <f>IF(4524&lt;$U$9,SUMPRODUCT(($D$10:$L$10&lt;&gt;"")*(($D$10:$L$10-($D$9:$L$9+INT(($S$12:$AA$12+INDEX($AJ$13:$AR$162,BN4537,0)+INDEX($AT$13:$BB$162,BO4537,0)+INDEX($BD$13:$BL$162,BP4537,0))/100)))&gt;0)*($D$10:$L$10-($D$9:$L$9+INT(($S$12:$AA$12+INDEX($AJ$13:$AR$162,BN4537,0)+INDEX($AT$13:$BB$162,BO4537,0)+INDEX($BD$13:$BL$162,BP4537,0))/100)))),0)</f>
        <v/>
      </c>
      <c r="BS4537">
        <f>IF(4524&lt;$U$9,SUMPRODUCT(($D$9:$L$9+INT(($S$12:$AA$12+INDEX($AJ$13:$AR$162,BN4537,0)+INDEX($AT$13:$BB$162,BO4537,0)+INDEX($BD$13:$BL$162,BP4537,0))/100))),0)</f>
        <v/>
      </c>
      <c r="BT4537">
        <f>IF(AND(4524&lt;$U$9,$W$5),BQ4537*1000000-MIN(BR4537,999)*1000+BS4537-4524/100000,-1000000000-4524)</f>
        <v/>
      </c>
    </row>
    <row r="4538">
      <c r="BN4538">
        <f>IF(4525&lt;$U$9,INT(4525/($U$7*$U$8))+1,1)</f>
        <v/>
      </c>
      <c r="BO4538">
        <f>IF(4525&lt;$U$9,MOD(INT(4525/$U$8),$U$7)+1,1)</f>
        <v/>
      </c>
      <c r="BP4538">
        <f>IF(4525&lt;$U$9,MOD(4525,$U$8)+1,1)</f>
        <v/>
      </c>
      <c r="BQ4538">
        <f>IF(4525&lt;$U$9,SUMPRODUCT(($D$10:$L$10&lt;&gt;"")*(($D$9:$L$9+INT(($S$12:$AA$12+INDEX($AJ$13:$AR$162,BN4538,0)+INDEX($AT$13:$BB$162,BO4538,0)+INDEX($BD$13:$BL$162,BP4538,0))/100))&gt;=$D$10:$L$10)),0)</f>
        <v/>
      </c>
      <c r="BR4538">
        <f>IF(4525&lt;$U$9,SUMPRODUCT(($D$10:$L$10&lt;&gt;"")*(($D$10:$L$10-($D$9:$L$9+INT(($S$12:$AA$12+INDEX($AJ$13:$AR$162,BN4538,0)+INDEX($AT$13:$BB$162,BO4538,0)+INDEX($BD$13:$BL$162,BP4538,0))/100)))&gt;0)*($D$10:$L$10-($D$9:$L$9+INT(($S$12:$AA$12+INDEX($AJ$13:$AR$162,BN4538,0)+INDEX($AT$13:$BB$162,BO4538,0)+INDEX($BD$13:$BL$162,BP4538,0))/100)))),0)</f>
        <v/>
      </c>
      <c r="BS4538">
        <f>IF(4525&lt;$U$9,SUMPRODUCT(($D$9:$L$9+INT(($S$12:$AA$12+INDEX($AJ$13:$AR$162,BN4538,0)+INDEX($AT$13:$BB$162,BO4538,0)+INDEX($BD$13:$BL$162,BP4538,0))/100))),0)</f>
        <v/>
      </c>
      <c r="BT4538">
        <f>IF(AND(4525&lt;$U$9,$W$5),BQ4538*1000000-MIN(BR4538,999)*1000+BS4538-4525/100000,-1000000000-4525)</f>
        <v/>
      </c>
    </row>
    <row r="4539">
      <c r="BN4539">
        <f>IF(4526&lt;$U$9,INT(4526/($U$7*$U$8))+1,1)</f>
        <v/>
      </c>
      <c r="BO4539">
        <f>IF(4526&lt;$U$9,MOD(INT(4526/$U$8),$U$7)+1,1)</f>
        <v/>
      </c>
      <c r="BP4539">
        <f>IF(4526&lt;$U$9,MOD(4526,$U$8)+1,1)</f>
        <v/>
      </c>
      <c r="BQ4539">
        <f>IF(4526&lt;$U$9,SUMPRODUCT(($D$10:$L$10&lt;&gt;"")*(($D$9:$L$9+INT(($S$12:$AA$12+INDEX($AJ$13:$AR$162,BN4539,0)+INDEX($AT$13:$BB$162,BO4539,0)+INDEX($BD$13:$BL$162,BP4539,0))/100))&gt;=$D$10:$L$10)),0)</f>
        <v/>
      </c>
      <c r="BR4539">
        <f>IF(4526&lt;$U$9,SUMPRODUCT(($D$10:$L$10&lt;&gt;"")*(($D$10:$L$10-($D$9:$L$9+INT(($S$12:$AA$12+INDEX($AJ$13:$AR$162,BN4539,0)+INDEX($AT$13:$BB$162,BO4539,0)+INDEX($BD$13:$BL$162,BP4539,0))/100)))&gt;0)*($D$10:$L$10-($D$9:$L$9+INT(($S$12:$AA$12+INDEX($AJ$13:$AR$162,BN4539,0)+INDEX($AT$13:$BB$162,BO4539,0)+INDEX($BD$13:$BL$162,BP4539,0))/100)))),0)</f>
        <v/>
      </c>
      <c r="BS4539">
        <f>IF(4526&lt;$U$9,SUMPRODUCT(($D$9:$L$9+INT(($S$12:$AA$12+INDEX($AJ$13:$AR$162,BN4539,0)+INDEX($AT$13:$BB$162,BO4539,0)+INDEX($BD$13:$BL$162,BP4539,0))/100))),0)</f>
        <v/>
      </c>
      <c r="BT4539">
        <f>IF(AND(4526&lt;$U$9,$W$5),BQ4539*1000000-MIN(BR4539,999)*1000+BS4539-4526/100000,-1000000000-4526)</f>
        <v/>
      </c>
    </row>
    <row r="4540">
      <c r="BN4540">
        <f>IF(4527&lt;$U$9,INT(4527/($U$7*$U$8))+1,1)</f>
        <v/>
      </c>
      <c r="BO4540">
        <f>IF(4527&lt;$U$9,MOD(INT(4527/$U$8),$U$7)+1,1)</f>
        <v/>
      </c>
      <c r="BP4540">
        <f>IF(4527&lt;$U$9,MOD(4527,$U$8)+1,1)</f>
        <v/>
      </c>
      <c r="BQ4540">
        <f>IF(4527&lt;$U$9,SUMPRODUCT(($D$10:$L$10&lt;&gt;"")*(($D$9:$L$9+INT(($S$12:$AA$12+INDEX($AJ$13:$AR$162,BN4540,0)+INDEX($AT$13:$BB$162,BO4540,0)+INDEX($BD$13:$BL$162,BP4540,0))/100))&gt;=$D$10:$L$10)),0)</f>
        <v/>
      </c>
      <c r="BR4540">
        <f>IF(4527&lt;$U$9,SUMPRODUCT(($D$10:$L$10&lt;&gt;"")*(($D$10:$L$10-($D$9:$L$9+INT(($S$12:$AA$12+INDEX($AJ$13:$AR$162,BN4540,0)+INDEX($AT$13:$BB$162,BO4540,0)+INDEX($BD$13:$BL$162,BP4540,0))/100)))&gt;0)*($D$10:$L$10-($D$9:$L$9+INT(($S$12:$AA$12+INDEX($AJ$13:$AR$162,BN4540,0)+INDEX($AT$13:$BB$162,BO4540,0)+INDEX($BD$13:$BL$162,BP4540,0))/100)))),0)</f>
        <v/>
      </c>
      <c r="BS4540">
        <f>IF(4527&lt;$U$9,SUMPRODUCT(($D$9:$L$9+INT(($S$12:$AA$12+INDEX($AJ$13:$AR$162,BN4540,0)+INDEX($AT$13:$BB$162,BO4540,0)+INDEX($BD$13:$BL$162,BP4540,0))/100))),0)</f>
        <v/>
      </c>
      <c r="BT4540">
        <f>IF(AND(4527&lt;$U$9,$W$5),BQ4540*1000000-MIN(BR4540,999)*1000+BS4540-4527/100000,-1000000000-4527)</f>
        <v/>
      </c>
    </row>
    <row r="4541">
      <c r="BN4541">
        <f>IF(4528&lt;$U$9,INT(4528/($U$7*$U$8))+1,1)</f>
        <v/>
      </c>
      <c r="BO4541">
        <f>IF(4528&lt;$U$9,MOD(INT(4528/$U$8),$U$7)+1,1)</f>
        <v/>
      </c>
      <c r="BP4541">
        <f>IF(4528&lt;$U$9,MOD(4528,$U$8)+1,1)</f>
        <v/>
      </c>
      <c r="BQ4541">
        <f>IF(4528&lt;$U$9,SUMPRODUCT(($D$10:$L$10&lt;&gt;"")*(($D$9:$L$9+INT(($S$12:$AA$12+INDEX($AJ$13:$AR$162,BN4541,0)+INDEX($AT$13:$BB$162,BO4541,0)+INDEX($BD$13:$BL$162,BP4541,0))/100))&gt;=$D$10:$L$10)),0)</f>
        <v/>
      </c>
      <c r="BR4541">
        <f>IF(4528&lt;$U$9,SUMPRODUCT(($D$10:$L$10&lt;&gt;"")*(($D$10:$L$10-($D$9:$L$9+INT(($S$12:$AA$12+INDEX($AJ$13:$AR$162,BN4541,0)+INDEX($AT$13:$BB$162,BO4541,0)+INDEX($BD$13:$BL$162,BP4541,0))/100)))&gt;0)*($D$10:$L$10-($D$9:$L$9+INT(($S$12:$AA$12+INDEX($AJ$13:$AR$162,BN4541,0)+INDEX($AT$13:$BB$162,BO4541,0)+INDEX($BD$13:$BL$162,BP4541,0))/100)))),0)</f>
        <v/>
      </c>
      <c r="BS4541">
        <f>IF(4528&lt;$U$9,SUMPRODUCT(($D$9:$L$9+INT(($S$12:$AA$12+INDEX($AJ$13:$AR$162,BN4541,0)+INDEX($AT$13:$BB$162,BO4541,0)+INDEX($BD$13:$BL$162,BP4541,0))/100))),0)</f>
        <v/>
      </c>
      <c r="BT4541">
        <f>IF(AND(4528&lt;$U$9,$W$5),BQ4541*1000000-MIN(BR4541,999)*1000+BS4541-4528/100000,-1000000000-4528)</f>
        <v/>
      </c>
    </row>
    <row r="4542">
      <c r="BN4542">
        <f>IF(4529&lt;$U$9,INT(4529/($U$7*$U$8))+1,1)</f>
        <v/>
      </c>
      <c r="BO4542">
        <f>IF(4529&lt;$U$9,MOD(INT(4529/$U$8),$U$7)+1,1)</f>
        <v/>
      </c>
      <c r="BP4542">
        <f>IF(4529&lt;$U$9,MOD(4529,$U$8)+1,1)</f>
        <v/>
      </c>
      <c r="BQ4542">
        <f>IF(4529&lt;$U$9,SUMPRODUCT(($D$10:$L$10&lt;&gt;"")*(($D$9:$L$9+INT(($S$12:$AA$12+INDEX($AJ$13:$AR$162,BN4542,0)+INDEX($AT$13:$BB$162,BO4542,0)+INDEX($BD$13:$BL$162,BP4542,0))/100))&gt;=$D$10:$L$10)),0)</f>
        <v/>
      </c>
      <c r="BR4542">
        <f>IF(4529&lt;$U$9,SUMPRODUCT(($D$10:$L$10&lt;&gt;"")*(($D$10:$L$10-($D$9:$L$9+INT(($S$12:$AA$12+INDEX($AJ$13:$AR$162,BN4542,0)+INDEX($AT$13:$BB$162,BO4542,0)+INDEX($BD$13:$BL$162,BP4542,0))/100)))&gt;0)*($D$10:$L$10-($D$9:$L$9+INT(($S$12:$AA$12+INDEX($AJ$13:$AR$162,BN4542,0)+INDEX($AT$13:$BB$162,BO4542,0)+INDEX($BD$13:$BL$162,BP4542,0))/100)))),0)</f>
        <v/>
      </c>
      <c r="BS4542">
        <f>IF(4529&lt;$U$9,SUMPRODUCT(($D$9:$L$9+INT(($S$12:$AA$12+INDEX($AJ$13:$AR$162,BN4542,0)+INDEX($AT$13:$BB$162,BO4542,0)+INDEX($BD$13:$BL$162,BP4542,0))/100))),0)</f>
        <v/>
      </c>
      <c r="BT4542">
        <f>IF(AND(4529&lt;$U$9,$W$5),BQ4542*1000000-MIN(BR4542,999)*1000+BS4542-4529/100000,-1000000000-4529)</f>
        <v/>
      </c>
    </row>
    <row r="4543">
      <c r="BN4543">
        <f>IF(4530&lt;$U$9,INT(4530/($U$7*$U$8))+1,1)</f>
        <v/>
      </c>
      <c r="BO4543">
        <f>IF(4530&lt;$U$9,MOD(INT(4530/$U$8),$U$7)+1,1)</f>
        <v/>
      </c>
      <c r="BP4543">
        <f>IF(4530&lt;$U$9,MOD(4530,$U$8)+1,1)</f>
        <v/>
      </c>
      <c r="BQ4543">
        <f>IF(4530&lt;$U$9,SUMPRODUCT(($D$10:$L$10&lt;&gt;"")*(($D$9:$L$9+INT(($S$12:$AA$12+INDEX($AJ$13:$AR$162,BN4543,0)+INDEX($AT$13:$BB$162,BO4543,0)+INDEX($BD$13:$BL$162,BP4543,0))/100))&gt;=$D$10:$L$10)),0)</f>
        <v/>
      </c>
      <c r="BR4543">
        <f>IF(4530&lt;$U$9,SUMPRODUCT(($D$10:$L$10&lt;&gt;"")*(($D$10:$L$10-($D$9:$L$9+INT(($S$12:$AA$12+INDEX($AJ$13:$AR$162,BN4543,0)+INDEX($AT$13:$BB$162,BO4543,0)+INDEX($BD$13:$BL$162,BP4543,0))/100)))&gt;0)*($D$10:$L$10-($D$9:$L$9+INT(($S$12:$AA$12+INDEX($AJ$13:$AR$162,BN4543,0)+INDEX($AT$13:$BB$162,BO4543,0)+INDEX($BD$13:$BL$162,BP4543,0))/100)))),0)</f>
        <v/>
      </c>
      <c r="BS4543">
        <f>IF(4530&lt;$U$9,SUMPRODUCT(($D$9:$L$9+INT(($S$12:$AA$12+INDEX($AJ$13:$AR$162,BN4543,0)+INDEX($AT$13:$BB$162,BO4543,0)+INDEX($BD$13:$BL$162,BP4543,0))/100))),0)</f>
        <v/>
      </c>
      <c r="BT4543">
        <f>IF(AND(4530&lt;$U$9,$W$5),BQ4543*1000000-MIN(BR4543,999)*1000+BS4543-4530/100000,-1000000000-4530)</f>
        <v/>
      </c>
    </row>
    <row r="4544">
      <c r="BN4544">
        <f>IF(4531&lt;$U$9,INT(4531/($U$7*$U$8))+1,1)</f>
        <v/>
      </c>
      <c r="BO4544">
        <f>IF(4531&lt;$U$9,MOD(INT(4531/$U$8),$U$7)+1,1)</f>
        <v/>
      </c>
      <c r="BP4544">
        <f>IF(4531&lt;$U$9,MOD(4531,$U$8)+1,1)</f>
        <v/>
      </c>
      <c r="BQ4544">
        <f>IF(4531&lt;$U$9,SUMPRODUCT(($D$10:$L$10&lt;&gt;"")*(($D$9:$L$9+INT(($S$12:$AA$12+INDEX($AJ$13:$AR$162,BN4544,0)+INDEX($AT$13:$BB$162,BO4544,0)+INDEX($BD$13:$BL$162,BP4544,0))/100))&gt;=$D$10:$L$10)),0)</f>
        <v/>
      </c>
      <c r="BR4544">
        <f>IF(4531&lt;$U$9,SUMPRODUCT(($D$10:$L$10&lt;&gt;"")*(($D$10:$L$10-($D$9:$L$9+INT(($S$12:$AA$12+INDEX($AJ$13:$AR$162,BN4544,0)+INDEX($AT$13:$BB$162,BO4544,0)+INDEX($BD$13:$BL$162,BP4544,0))/100)))&gt;0)*($D$10:$L$10-($D$9:$L$9+INT(($S$12:$AA$12+INDEX($AJ$13:$AR$162,BN4544,0)+INDEX($AT$13:$BB$162,BO4544,0)+INDEX($BD$13:$BL$162,BP4544,0))/100)))),0)</f>
        <v/>
      </c>
      <c r="BS4544">
        <f>IF(4531&lt;$U$9,SUMPRODUCT(($D$9:$L$9+INT(($S$12:$AA$12+INDEX($AJ$13:$AR$162,BN4544,0)+INDEX($AT$13:$BB$162,BO4544,0)+INDEX($BD$13:$BL$162,BP4544,0))/100))),0)</f>
        <v/>
      </c>
      <c r="BT4544">
        <f>IF(AND(4531&lt;$U$9,$W$5),BQ4544*1000000-MIN(BR4544,999)*1000+BS4544-4531/100000,-1000000000-4531)</f>
        <v/>
      </c>
    </row>
    <row r="4545">
      <c r="BN4545">
        <f>IF(4532&lt;$U$9,INT(4532/($U$7*$U$8))+1,1)</f>
        <v/>
      </c>
      <c r="BO4545">
        <f>IF(4532&lt;$U$9,MOD(INT(4532/$U$8),$U$7)+1,1)</f>
        <v/>
      </c>
      <c r="BP4545">
        <f>IF(4532&lt;$U$9,MOD(4532,$U$8)+1,1)</f>
        <v/>
      </c>
      <c r="BQ4545">
        <f>IF(4532&lt;$U$9,SUMPRODUCT(($D$10:$L$10&lt;&gt;"")*(($D$9:$L$9+INT(($S$12:$AA$12+INDEX($AJ$13:$AR$162,BN4545,0)+INDEX($AT$13:$BB$162,BO4545,0)+INDEX($BD$13:$BL$162,BP4545,0))/100))&gt;=$D$10:$L$10)),0)</f>
        <v/>
      </c>
      <c r="BR4545">
        <f>IF(4532&lt;$U$9,SUMPRODUCT(($D$10:$L$10&lt;&gt;"")*(($D$10:$L$10-($D$9:$L$9+INT(($S$12:$AA$12+INDEX($AJ$13:$AR$162,BN4545,0)+INDEX($AT$13:$BB$162,BO4545,0)+INDEX($BD$13:$BL$162,BP4545,0))/100)))&gt;0)*($D$10:$L$10-($D$9:$L$9+INT(($S$12:$AA$12+INDEX($AJ$13:$AR$162,BN4545,0)+INDEX($AT$13:$BB$162,BO4545,0)+INDEX($BD$13:$BL$162,BP4545,0))/100)))),0)</f>
        <v/>
      </c>
      <c r="BS4545">
        <f>IF(4532&lt;$U$9,SUMPRODUCT(($D$9:$L$9+INT(($S$12:$AA$12+INDEX($AJ$13:$AR$162,BN4545,0)+INDEX($AT$13:$BB$162,BO4545,0)+INDEX($BD$13:$BL$162,BP4545,0))/100))),0)</f>
        <v/>
      </c>
      <c r="BT4545">
        <f>IF(AND(4532&lt;$U$9,$W$5),BQ4545*1000000-MIN(BR4545,999)*1000+BS4545-4532/100000,-1000000000-4532)</f>
        <v/>
      </c>
    </row>
    <row r="4546">
      <c r="BN4546">
        <f>IF(4533&lt;$U$9,INT(4533/($U$7*$U$8))+1,1)</f>
        <v/>
      </c>
      <c r="BO4546">
        <f>IF(4533&lt;$U$9,MOD(INT(4533/$U$8),$U$7)+1,1)</f>
        <v/>
      </c>
      <c r="BP4546">
        <f>IF(4533&lt;$U$9,MOD(4533,$U$8)+1,1)</f>
        <v/>
      </c>
      <c r="BQ4546">
        <f>IF(4533&lt;$U$9,SUMPRODUCT(($D$10:$L$10&lt;&gt;"")*(($D$9:$L$9+INT(($S$12:$AA$12+INDEX($AJ$13:$AR$162,BN4546,0)+INDEX($AT$13:$BB$162,BO4546,0)+INDEX($BD$13:$BL$162,BP4546,0))/100))&gt;=$D$10:$L$10)),0)</f>
        <v/>
      </c>
      <c r="BR4546">
        <f>IF(4533&lt;$U$9,SUMPRODUCT(($D$10:$L$10&lt;&gt;"")*(($D$10:$L$10-($D$9:$L$9+INT(($S$12:$AA$12+INDEX($AJ$13:$AR$162,BN4546,0)+INDEX($AT$13:$BB$162,BO4546,0)+INDEX($BD$13:$BL$162,BP4546,0))/100)))&gt;0)*($D$10:$L$10-($D$9:$L$9+INT(($S$12:$AA$12+INDEX($AJ$13:$AR$162,BN4546,0)+INDEX($AT$13:$BB$162,BO4546,0)+INDEX($BD$13:$BL$162,BP4546,0))/100)))),0)</f>
        <v/>
      </c>
      <c r="BS4546">
        <f>IF(4533&lt;$U$9,SUMPRODUCT(($D$9:$L$9+INT(($S$12:$AA$12+INDEX($AJ$13:$AR$162,BN4546,0)+INDEX($AT$13:$BB$162,BO4546,0)+INDEX($BD$13:$BL$162,BP4546,0))/100))),0)</f>
        <v/>
      </c>
      <c r="BT4546">
        <f>IF(AND(4533&lt;$U$9,$W$5),BQ4546*1000000-MIN(BR4546,999)*1000+BS4546-4533/100000,-1000000000-4533)</f>
        <v/>
      </c>
    </row>
    <row r="4547">
      <c r="BN4547">
        <f>IF(4534&lt;$U$9,INT(4534/($U$7*$U$8))+1,1)</f>
        <v/>
      </c>
      <c r="BO4547">
        <f>IF(4534&lt;$U$9,MOD(INT(4534/$U$8),$U$7)+1,1)</f>
        <v/>
      </c>
      <c r="BP4547">
        <f>IF(4534&lt;$U$9,MOD(4534,$U$8)+1,1)</f>
        <v/>
      </c>
      <c r="BQ4547">
        <f>IF(4534&lt;$U$9,SUMPRODUCT(($D$10:$L$10&lt;&gt;"")*(($D$9:$L$9+INT(($S$12:$AA$12+INDEX($AJ$13:$AR$162,BN4547,0)+INDEX($AT$13:$BB$162,BO4547,0)+INDEX($BD$13:$BL$162,BP4547,0))/100))&gt;=$D$10:$L$10)),0)</f>
        <v/>
      </c>
      <c r="BR4547">
        <f>IF(4534&lt;$U$9,SUMPRODUCT(($D$10:$L$10&lt;&gt;"")*(($D$10:$L$10-($D$9:$L$9+INT(($S$12:$AA$12+INDEX($AJ$13:$AR$162,BN4547,0)+INDEX($AT$13:$BB$162,BO4547,0)+INDEX($BD$13:$BL$162,BP4547,0))/100)))&gt;0)*($D$10:$L$10-($D$9:$L$9+INT(($S$12:$AA$12+INDEX($AJ$13:$AR$162,BN4547,0)+INDEX($AT$13:$BB$162,BO4547,0)+INDEX($BD$13:$BL$162,BP4547,0))/100)))),0)</f>
        <v/>
      </c>
      <c r="BS4547">
        <f>IF(4534&lt;$U$9,SUMPRODUCT(($D$9:$L$9+INT(($S$12:$AA$12+INDEX($AJ$13:$AR$162,BN4547,0)+INDEX($AT$13:$BB$162,BO4547,0)+INDEX($BD$13:$BL$162,BP4547,0))/100))),0)</f>
        <v/>
      </c>
      <c r="BT4547">
        <f>IF(AND(4534&lt;$U$9,$W$5),BQ4547*1000000-MIN(BR4547,999)*1000+BS4547-4534/100000,-1000000000-4534)</f>
        <v/>
      </c>
    </row>
    <row r="4548">
      <c r="BN4548">
        <f>IF(4535&lt;$U$9,INT(4535/($U$7*$U$8))+1,1)</f>
        <v/>
      </c>
      <c r="BO4548">
        <f>IF(4535&lt;$U$9,MOD(INT(4535/$U$8),$U$7)+1,1)</f>
        <v/>
      </c>
      <c r="BP4548">
        <f>IF(4535&lt;$U$9,MOD(4535,$U$8)+1,1)</f>
        <v/>
      </c>
      <c r="BQ4548">
        <f>IF(4535&lt;$U$9,SUMPRODUCT(($D$10:$L$10&lt;&gt;"")*(($D$9:$L$9+INT(($S$12:$AA$12+INDEX($AJ$13:$AR$162,BN4548,0)+INDEX($AT$13:$BB$162,BO4548,0)+INDEX($BD$13:$BL$162,BP4548,0))/100))&gt;=$D$10:$L$10)),0)</f>
        <v/>
      </c>
      <c r="BR4548">
        <f>IF(4535&lt;$U$9,SUMPRODUCT(($D$10:$L$10&lt;&gt;"")*(($D$10:$L$10-($D$9:$L$9+INT(($S$12:$AA$12+INDEX($AJ$13:$AR$162,BN4548,0)+INDEX($AT$13:$BB$162,BO4548,0)+INDEX($BD$13:$BL$162,BP4548,0))/100)))&gt;0)*($D$10:$L$10-($D$9:$L$9+INT(($S$12:$AA$12+INDEX($AJ$13:$AR$162,BN4548,0)+INDEX($AT$13:$BB$162,BO4548,0)+INDEX($BD$13:$BL$162,BP4548,0))/100)))),0)</f>
        <v/>
      </c>
      <c r="BS4548">
        <f>IF(4535&lt;$U$9,SUMPRODUCT(($D$9:$L$9+INT(($S$12:$AA$12+INDEX($AJ$13:$AR$162,BN4548,0)+INDEX($AT$13:$BB$162,BO4548,0)+INDEX($BD$13:$BL$162,BP4548,0))/100))),0)</f>
        <v/>
      </c>
      <c r="BT4548">
        <f>IF(AND(4535&lt;$U$9,$W$5),BQ4548*1000000-MIN(BR4548,999)*1000+BS4548-4535/100000,-1000000000-4535)</f>
        <v/>
      </c>
    </row>
    <row r="4549">
      <c r="BN4549">
        <f>IF(4536&lt;$U$9,INT(4536/($U$7*$U$8))+1,1)</f>
        <v/>
      </c>
      <c r="BO4549">
        <f>IF(4536&lt;$U$9,MOD(INT(4536/$U$8),$U$7)+1,1)</f>
        <v/>
      </c>
      <c r="BP4549">
        <f>IF(4536&lt;$U$9,MOD(4536,$U$8)+1,1)</f>
        <v/>
      </c>
      <c r="BQ4549">
        <f>IF(4536&lt;$U$9,SUMPRODUCT(($D$10:$L$10&lt;&gt;"")*(($D$9:$L$9+INT(($S$12:$AA$12+INDEX($AJ$13:$AR$162,BN4549,0)+INDEX($AT$13:$BB$162,BO4549,0)+INDEX($BD$13:$BL$162,BP4549,0))/100))&gt;=$D$10:$L$10)),0)</f>
        <v/>
      </c>
      <c r="BR4549">
        <f>IF(4536&lt;$U$9,SUMPRODUCT(($D$10:$L$10&lt;&gt;"")*(($D$10:$L$10-($D$9:$L$9+INT(($S$12:$AA$12+INDEX($AJ$13:$AR$162,BN4549,0)+INDEX($AT$13:$BB$162,BO4549,0)+INDEX($BD$13:$BL$162,BP4549,0))/100)))&gt;0)*($D$10:$L$10-($D$9:$L$9+INT(($S$12:$AA$12+INDEX($AJ$13:$AR$162,BN4549,0)+INDEX($AT$13:$BB$162,BO4549,0)+INDEX($BD$13:$BL$162,BP4549,0))/100)))),0)</f>
        <v/>
      </c>
      <c r="BS4549">
        <f>IF(4536&lt;$U$9,SUMPRODUCT(($D$9:$L$9+INT(($S$12:$AA$12+INDEX($AJ$13:$AR$162,BN4549,0)+INDEX($AT$13:$BB$162,BO4549,0)+INDEX($BD$13:$BL$162,BP4549,0))/100))),0)</f>
        <v/>
      </c>
      <c r="BT4549">
        <f>IF(AND(4536&lt;$U$9,$W$5),BQ4549*1000000-MIN(BR4549,999)*1000+BS4549-4536/100000,-1000000000-4536)</f>
        <v/>
      </c>
    </row>
    <row r="4550">
      <c r="BN4550">
        <f>IF(4537&lt;$U$9,INT(4537/($U$7*$U$8))+1,1)</f>
        <v/>
      </c>
      <c r="BO4550">
        <f>IF(4537&lt;$U$9,MOD(INT(4537/$U$8),$U$7)+1,1)</f>
        <v/>
      </c>
      <c r="BP4550">
        <f>IF(4537&lt;$U$9,MOD(4537,$U$8)+1,1)</f>
        <v/>
      </c>
      <c r="BQ4550">
        <f>IF(4537&lt;$U$9,SUMPRODUCT(($D$10:$L$10&lt;&gt;"")*(($D$9:$L$9+INT(($S$12:$AA$12+INDEX($AJ$13:$AR$162,BN4550,0)+INDEX($AT$13:$BB$162,BO4550,0)+INDEX($BD$13:$BL$162,BP4550,0))/100))&gt;=$D$10:$L$10)),0)</f>
        <v/>
      </c>
      <c r="BR4550">
        <f>IF(4537&lt;$U$9,SUMPRODUCT(($D$10:$L$10&lt;&gt;"")*(($D$10:$L$10-($D$9:$L$9+INT(($S$12:$AA$12+INDEX($AJ$13:$AR$162,BN4550,0)+INDEX($AT$13:$BB$162,BO4550,0)+INDEX($BD$13:$BL$162,BP4550,0))/100)))&gt;0)*($D$10:$L$10-($D$9:$L$9+INT(($S$12:$AA$12+INDEX($AJ$13:$AR$162,BN4550,0)+INDEX($AT$13:$BB$162,BO4550,0)+INDEX($BD$13:$BL$162,BP4550,0))/100)))),0)</f>
        <v/>
      </c>
      <c r="BS4550">
        <f>IF(4537&lt;$U$9,SUMPRODUCT(($D$9:$L$9+INT(($S$12:$AA$12+INDEX($AJ$13:$AR$162,BN4550,0)+INDEX($AT$13:$BB$162,BO4550,0)+INDEX($BD$13:$BL$162,BP4550,0))/100))),0)</f>
        <v/>
      </c>
      <c r="BT4550">
        <f>IF(AND(4537&lt;$U$9,$W$5),BQ4550*1000000-MIN(BR4550,999)*1000+BS4550-4537/100000,-1000000000-4537)</f>
        <v/>
      </c>
    </row>
    <row r="4551">
      <c r="BN4551">
        <f>IF(4538&lt;$U$9,INT(4538/($U$7*$U$8))+1,1)</f>
        <v/>
      </c>
      <c r="BO4551">
        <f>IF(4538&lt;$U$9,MOD(INT(4538/$U$8),$U$7)+1,1)</f>
        <v/>
      </c>
      <c r="BP4551">
        <f>IF(4538&lt;$U$9,MOD(4538,$U$8)+1,1)</f>
        <v/>
      </c>
      <c r="BQ4551">
        <f>IF(4538&lt;$U$9,SUMPRODUCT(($D$10:$L$10&lt;&gt;"")*(($D$9:$L$9+INT(($S$12:$AA$12+INDEX($AJ$13:$AR$162,BN4551,0)+INDEX($AT$13:$BB$162,BO4551,0)+INDEX($BD$13:$BL$162,BP4551,0))/100))&gt;=$D$10:$L$10)),0)</f>
        <v/>
      </c>
      <c r="BR4551">
        <f>IF(4538&lt;$U$9,SUMPRODUCT(($D$10:$L$10&lt;&gt;"")*(($D$10:$L$10-($D$9:$L$9+INT(($S$12:$AA$12+INDEX($AJ$13:$AR$162,BN4551,0)+INDEX($AT$13:$BB$162,BO4551,0)+INDEX($BD$13:$BL$162,BP4551,0))/100)))&gt;0)*($D$10:$L$10-($D$9:$L$9+INT(($S$12:$AA$12+INDEX($AJ$13:$AR$162,BN4551,0)+INDEX($AT$13:$BB$162,BO4551,0)+INDEX($BD$13:$BL$162,BP4551,0))/100)))),0)</f>
        <v/>
      </c>
      <c r="BS4551">
        <f>IF(4538&lt;$U$9,SUMPRODUCT(($D$9:$L$9+INT(($S$12:$AA$12+INDEX($AJ$13:$AR$162,BN4551,0)+INDEX($AT$13:$BB$162,BO4551,0)+INDEX($BD$13:$BL$162,BP4551,0))/100))),0)</f>
        <v/>
      </c>
      <c r="BT4551">
        <f>IF(AND(4538&lt;$U$9,$W$5),BQ4551*1000000-MIN(BR4551,999)*1000+BS4551-4538/100000,-1000000000-4538)</f>
        <v/>
      </c>
    </row>
    <row r="4552">
      <c r="BN4552">
        <f>IF(4539&lt;$U$9,INT(4539/($U$7*$U$8))+1,1)</f>
        <v/>
      </c>
      <c r="BO4552">
        <f>IF(4539&lt;$U$9,MOD(INT(4539/$U$8),$U$7)+1,1)</f>
        <v/>
      </c>
      <c r="BP4552">
        <f>IF(4539&lt;$U$9,MOD(4539,$U$8)+1,1)</f>
        <v/>
      </c>
      <c r="BQ4552">
        <f>IF(4539&lt;$U$9,SUMPRODUCT(($D$10:$L$10&lt;&gt;"")*(($D$9:$L$9+INT(($S$12:$AA$12+INDEX($AJ$13:$AR$162,BN4552,0)+INDEX($AT$13:$BB$162,BO4552,0)+INDEX($BD$13:$BL$162,BP4552,0))/100))&gt;=$D$10:$L$10)),0)</f>
        <v/>
      </c>
      <c r="BR4552">
        <f>IF(4539&lt;$U$9,SUMPRODUCT(($D$10:$L$10&lt;&gt;"")*(($D$10:$L$10-($D$9:$L$9+INT(($S$12:$AA$12+INDEX($AJ$13:$AR$162,BN4552,0)+INDEX($AT$13:$BB$162,BO4552,0)+INDEX($BD$13:$BL$162,BP4552,0))/100)))&gt;0)*($D$10:$L$10-($D$9:$L$9+INT(($S$12:$AA$12+INDEX($AJ$13:$AR$162,BN4552,0)+INDEX($AT$13:$BB$162,BO4552,0)+INDEX($BD$13:$BL$162,BP4552,0))/100)))),0)</f>
        <v/>
      </c>
      <c r="BS4552">
        <f>IF(4539&lt;$U$9,SUMPRODUCT(($D$9:$L$9+INT(($S$12:$AA$12+INDEX($AJ$13:$AR$162,BN4552,0)+INDEX($AT$13:$BB$162,BO4552,0)+INDEX($BD$13:$BL$162,BP4552,0))/100))),0)</f>
        <v/>
      </c>
      <c r="BT4552">
        <f>IF(AND(4539&lt;$U$9,$W$5),BQ4552*1000000-MIN(BR4552,999)*1000+BS4552-4539/100000,-1000000000-4539)</f>
        <v/>
      </c>
    </row>
    <row r="4553">
      <c r="BN4553">
        <f>IF(4540&lt;$U$9,INT(4540/($U$7*$U$8))+1,1)</f>
        <v/>
      </c>
      <c r="BO4553">
        <f>IF(4540&lt;$U$9,MOD(INT(4540/$U$8),$U$7)+1,1)</f>
        <v/>
      </c>
      <c r="BP4553">
        <f>IF(4540&lt;$U$9,MOD(4540,$U$8)+1,1)</f>
        <v/>
      </c>
      <c r="BQ4553">
        <f>IF(4540&lt;$U$9,SUMPRODUCT(($D$10:$L$10&lt;&gt;"")*(($D$9:$L$9+INT(($S$12:$AA$12+INDEX($AJ$13:$AR$162,BN4553,0)+INDEX($AT$13:$BB$162,BO4553,0)+INDEX($BD$13:$BL$162,BP4553,0))/100))&gt;=$D$10:$L$10)),0)</f>
        <v/>
      </c>
      <c r="BR4553">
        <f>IF(4540&lt;$U$9,SUMPRODUCT(($D$10:$L$10&lt;&gt;"")*(($D$10:$L$10-($D$9:$L$9+INT(($S$12:$AA$12+INDEX($AJ$13:$AR$162,BN4553,0)+INDEX($AT$13:$BB$162,BO4553,0)+INDEX($BD$13:$BL$162,BP4553,0))/100)))&gt;0)*($D$10:$L$10-($D$9:$L$9+INT(($S$12:$AA$12+INDEX($AJ$13:$AR$162,BN4553,0)+INDEX($AT$13:$BB$162,BO4553,0)+INDEX($BD$13:$BL$162,BP4553,0))/100)))),0)</f>
        <v/>
      </c>
      <c r="BS4553">
        <f>IF(4540&lt;$U$9,SUMPRODUCT(($D$9:$L$9+INT(($S$12:$AA$12+INDEX($AJ$13:$AR$162,BN4553,0)+INDEX($AT$13:$BB$162,BO4553,0)+INDEX($BD$13:$BL$162,BP4553,0))/100))),0)</f>
        <v/>
      </c>
      <c r="BT4553">
        <f>IF(AND(4540&lt;$U$9,$W$5),BQ4553*1000000-MIN(BR4553,999)*1000+BS4553-4540/100000,-1000000000-4540)</f>
        <v/>
      </c>
    </row>
    <row r="4554">
      <c r="BN4554">
        <f>IF(4541&lt;$U$9,INT(4541/($U$7*$U$8))+1,1)</f>
        <v/>
      </c>
      <c r="BO4554">
        <f>IF(4541&lt;$U$9,MOD(INT(4541/$U$8),$U$7)+1,1)</f>
        <v/>
      </c>
      <c r="BP4554">
        <f>IF(4541&lt;$U$9,MOD(4541,$U$8)+1,1)</f>
        <v/>
      </c>
      <c r="BQ4554">
        <f>IF(4541&lt;$U$9,SUMPRODUCT(($D$10:$L$10&lt;&gt;"")*(($D$9:$L$9+INT(($S$12:$AA$12+INDEX($AJ$13:$AR$162,BN4554,0)+INDEX($AT$13:$BB$162,BO4554,0)+INDEX($BD$13:$BL$162,BP4554,0))/100))&gt;=$D$10:$L$10)),0)</f>
        <v/>
      </c>
      <c r="BR4554">
        <f>IF(4541&lt;$U$9,SUMPRODUCT(($D$10:$L$10&lt;&gt;"")*(($D$10:$L$10-($D$9:$L$9+INT(($S$12:$AA$12+INDEX($AJ$13:$AR$162,BN4554,0)+INDEX($AT$13:$BB$162,BO4554,0)+INDEX($BD$13:$BL$162,BP4554,0))/100)))&gt;0)*($D$10:$L$10-($D$9:$L$9+INT(($S$12:$AA$12+INDEX($AJ$13:$AR$162,BN4554,0)+INDEX($AT$13:$BB$162,BO4554,0)+INDEX($BD$13:$BL$162,BP4554,0))/100)))),0)</f>
        <v/>
      </c>
      <c r="BS4554">
        <f>IF(4541&lt;$U$9,SUMPRODUCT(($D$9:$L$9+INT(($S$12:$AA$12+INDEX($AJ$13:$AR$162,BN4554,0)+INDEX($AT$13:$BB$162,BO4554,0)+INDEX($BD$13:$BL$162,BP4554,0))/100))),0)</f>
        <v/>
      </c>
      <c r="BT4554">
        <f>IF(AND(4541&lt;$U$9,$W$5),BQ4554*1000000-MIN(BR4554,999)*1000+BS4554-4541/100000,-1000000000-4541)</f>
        <v/>
      </c>
    </row>
    <row r="4555">
      <c r="BN4555">
        <f>IF(4542&lt;$U$9,INT(4542/($U$7*$U$8))+1,1)</f>
        <v/>
      </c>
      <c r="BO4555">
        <f>IF(4542&lt;$U$9,MOD(INT(4542/$U$8),$U$7)+1,1)</f>
        <v/>
      </c>
      <c r="BP4555">
        <f>IF(4542&lt;$U$9,MOD(4542,$U$8)+1,1)</f>
        <v/>
      </c>
      <c r="BQ4555">
        <f>IF(4542&lt;$U$9,SUMPRODUCT(($D$10:$L$10&lt;&gt;"")*(($D$9:$L$9+INT(($S$12:$AA$12+INDEX($AJ$13:$AR$162,BN4555,0)+INDEX($AT$13:$BB$162,BO4555,0)+INDEX($BD$13:$BL$162,BP4555,0))/100))&gt;=$D$10:$L$10)),0)</f>
        <v/>
      </c>
      <c r="BR4555">
        <f>IF(4542&lt;$U$9,SUMPRODUCT(($D$10:$L$10&lt;&gt;"")*(($D$10:$L$10-($D$9:$L$9+INT(($S$12:$AA$12+INDEX($AJ$13:$AR$162,BN4555,0)+INDEX($AT$13:$BB$162,BO4555,0)+INDEX($BD$13:$BL$162,BP4555,0))/100)))&gt;0)*($D$10:$L$10-($D$9:$L$9+INT(($S$12:$AA$12+INDEX($AJ$13:$AR$162,BN4555,0)+INDEX($AT$13:$BB$162,BO4555,0)+INDEX($BD$13:$BL$162,BP4555,0))/100)))),0)</f>
        <v/>
      </c>
      <c r="BS4555">
        <f>IF(4542&lt;$U$9,SUMPRODUCT(($D$9:$L$9+INT(($S$12:$AA$12+INDEX($AJ$13:$AR$162,BN4555,0)+INDEX($AT$13:$BB$162,BO4555,0)+INDEX($BD$13:$BL$162,BP4555,0))/100))),0)</f>
        <v/>
      </c>
      <c r="BT4555">
        <f>IF(AND(4542&lt;$U$9,$W$5),BQ4555*1000000-MIN(BR4555,999)*1000+BS4555-4542/100000,-1000000000-4542)</f>
        <v/>
      </c>
    </row>
    <row r="4556">
      <c r="BN4556">
        <f>IF(4543&lt;$U$9,INT(4543/($U$7*$U$8))+1,1)</f>
        <v/>
      </c>
      <c r="BO4556">
        <f>IF(4543&lt;$U$9,MOD(INT(4543/$U$8),$U$7)+1,1)</f>
        <v/>
      </c>
      <c r="BP4556">
        <f>IF(4543&lt;$U$9,MOD(4543,$U$8)+1,1)</f>
        <v/>
      </c>
      <c r="BQ4556">
        <f>IF(4543&lt;$U$9,SUMPRODUCT(($D$10:$L$10&lt;&gt;"")*(($D$9:$L$9+INT(($S$12:$AA$12+INDEX($AJ$13:$AR$162,BN4556,0)+INDEX($AT$13:$BB$162,BO4556,0)+INDEX($BD$13:$BL$162,BP4556,0))/100))&gt;=$D$10:$L$10)),0)</f>
        <v/>
      </c>
      <c r="BR4556">
        <f>IF(4543&lt;$U$9,SUMPRODUCT(($D$10:$L$10&lt;&gt;"")*(($D$10:$L$10-($D$9:$L$9+INT(($S$12:$AA$12+INDEX($AJ$13:$AR$162,BN4556,0)+INDEX($AT$13:$BB$162,BO4556,0)+INDEX($BD$13:$BL$162,BP4556,0))/100)))&gt;0)*($D$10:$L$10-($D$9:$L$9+INT(($S$12:$AA$12+INDEX($AJ$13:$AR$162,BN4556,0)+INDEX($AT$13:$BB$162,BO4556,0)+INDEX($BD$13:$BL$162,BP4556,0))/100)))),0)</f>
        <v/>
      </c>
      <c r="BS4556">
        <f>IF(4543&lt;$U$9,SUMPRODUCT(($D$9:$L$9+INT(($S$12:$AA$12+INDEX($AJ$13:$AR$162,BN4556,0)+INDEX($AT$13:$BB$162,BO4556,0)+INDEX($BD$13:$BL$162,BP4556,0))/100))),0)</f>
        <v/>
      </c>
      <c r="BT4556">
        <f>IF(AND(4543&lt;$U$9,$W$5),BQ4556*1000000-MIN(BR4556,999)*1000+BS4556-4543/100000,-1000000000-4543)</f>
        <v/>
      </c>
    </row>
    <row r="4557">
      <c r="BN4557">
        <f>IF(4544&lt;$U$9,INT(4544/($U$7*$U$8))+1,1)</f>
        <v/>
      </c>
      <c r="BO4557">
        <f>IF(4544&lt;$U$9,MOD(INT(4544/$U$8),$U$7)+1,1)</f>
        <v/>
      </c>
      <c r="BP4557">
        <f>IF(4544&lt;$U$9,MOD(4544,$U$8)+1,1)</f>
        <v/>
      </c>
      <c r="BQ4557">
        <f>IF(4544&lt;$U$9,SUMPRODUCT(($D$10:$L$10&lt;&gt;"")*(($D$9:$L$9+INT(($S$12:$AA$12+INDEX($AJ$13:$AR$162,BN4557,0)+INDEX($AT$13:$BB$162,BO4557,0)+INDEX($BD$13:$BL$162,BP4557,0))/100))&gt;=$D$10:$L$10)),0)</f>
        <v/>
      </c>
      <c r="BR4557">
        <f>IF(4544&lt;$U$9,SUMPRODUCT(($D$10:$L$10&lt;&gt;"")*(($D$10:$L$10-($D$9:$L$9+INT(($S$12:$AA$12+INDEX($AJ$13:$AR$162,BN4557,0)+INDEX($AT$13:$BB$162,BO4557,0)+INDEX($BD$13:$BL$162,BP4557,0))/100)))&gt;0)*($D$10:$L$10-($D$9:$L$9+INT(($S$12:$AA$12+INDEX($AJ$13:$AR$162,BN4557,0)+INDEX($AT$13:$BB$162,BO4557,0)+INDEX($BD$13:$BL$162,BP4557,0))/100)))),0)</f>
        <v/>
      </c>
      <c r="BS4557">
        <f>IF(4544&lt;$U$9,SUMPRODUCT(($D$9:$L$9+INT(($S$12:$AA$12+INDEX($AJ$13:$AR$162,BN4557,0)+INDEX($AT$13:$BB$162,BO4557,0)+INDEX($BD$13:$BL$162,BP4557,0))/100))),0)</f>
        <v/>
      </c>
      <c r="BT4557">
        <f>IF(AND(4544&lt;$U$9,$W$5),BQ4557*1000000-MIN(BR4557,999)*1000+BS4557-4544/100000,-1000000000-4544)</f>
        <v/>
      </c>
    </row>
    <row r="4558">
      <c r="BN4558">
        <f>IF(4545&lt;$U$9,INT(4545/($U$7*$U$8))+1,1)</f>
        <v/>
      </c>
      <c r="BO4558">
        <f>IF(4545&lt;$U$9,MOD(INT(4545/$U$8),$U$7)+1,1)</f>
        <v/>
      </c>
      <c r="BP4558">
        <f>IF(4545&lt;$U$9,MOD(4545,$U$8)+1,1)</f>
        <v/>
      </c>
      <c r="BQ4558">
        <f>IF(4545&lt;$U$9,SUMPRODUCT(($D$10:$L$10&lt;&gt;"")*(($D$9:$L$9+INT(($S$12:$AA$12+INDEX($AJ$13:$AR$162,BN4558,0)+INDEX($AT$13:$BB$162,BO4558,0)+INDEX($BD$13:$BL$162,BP4558,0))/100))&gt;=$D$10:$L$10)),0)</f>
        <v/>
      </c>
      <c r="BR4558">
        <f>IF(4545&lt;$U$9,SUMPRODUCT(($D$10:$L$10&lt;&gt;"")*(($D$10:$L$10-($D$9:$L$9+INT(($S$12:$AA$12+INDEX($AJ$13:$AR$162,BN4558,0)+INDEX($AT$13:$BB$162,BO4558,0)+INDEX($BD$13:$BL$162,BP4558,0))/100)))&gt;0)*($D$10:$L$10-($D$9:$L$9+INT(($S$12:$AA$12+INDEX($AJ$13:$AR$162,BN4558,0)+INDEX($AT$13:$BB$162,BO4558,0)+INDEX($BD$13:$BL$162,BP4558,0))/100)))),0)</f>
        <v/>
      </c>
      <c r="BS4558">
        <f>IF(4545&lt;$U$9,SUMPRODUCT(($D$9:$L$9+INT(($S$12:$AA$12+INDEX($AJ$13:$AR$162,BN4558,0)+INDEX($AT$13:$BB$162,BO4558,0)+INDEX($BD$13:$BL$162,BP4558,0))/100))),0)</f>
        <v/>
      </c>
      <c r="BT4558">
        <f>IF(AND(4545&lt;$U$9,$W$5),BQ4558*1000000-MIN(BR4558,999)*1000+BS4558-4545/100000,-1000000000-4545)</f>
        <v/>
      </c>
    </row>
    <row r="4559">
      <c r="BN4559">
        <f>IF(4546&lt;$U$9,INT(4546/($U$7*$U$8))+1,1)</f>
        <v/>
      </c>
      <c r="BO4559">
        <f>IF(4546&lt;$U$9,MOD(INT(4546/$U$8),$U$7)+1,1)</f>
        <v/>
      </c>
      <c r="BP4559">
        <f>IF(4546&lt;$U$9,MOD(4546,$U$8)+1,1)</f>
        <v/>
      </c>
      <c r="BQ4559">
        <f>IF(4546&lt;$U$9,SUMPRODUCT(($D$10:$L$10&lt;&gt;"")*(($D$9:$L$9+INT(($S$12:$AA$12+INDEX($AJ$13:$AR$162,BN4559,0)+INDEX($AT$13:$BB$162,BO4559,0)+INDEX($BD$13:$BL$162,BP4559,0))/100))&gt;=$D$10:$L$10)),0)</f>
        <v/>
      </c>
      <c r="BR4559">
        <f>IF(4546&lt;$U$9,SUMPRODUCT(($D$10:$L$10&lt;&gt;"")*(($D$10:$L$10-($D$9:$L$9+INT(($S$12:$AA$12+INDEX($AJ$13:$AR$162,BN4559,0)+INDEX($AT$13:$BB$162,BO4559,0)+INDEX($BD$13:$BL$162,BP4559,0))/100)))&gt;0)*($D$10:$L$10-($D$9:$L$9+INT(($S$12:$AA$12+INDEX($AJ$13:$AR$162,BN4559,0)+INDEX($AT$13:$BB$162,BO4559,0)+INDEX($BD$13:$BL$162,BP4559,0))/100)))),0)</f>
        <v/>
      </c>
      <c r="BS4559">
        <f>IF(4546&lt;$U$9,SUMPRODUCT(($D$9:$L$9+INT(($S$12:$AA$12+INDEX($AJ$13:$AR$162,BN4559,0)+INDEX($AT$13:$BB$162,BO4559,0)+INDEX($BD$13:$BL$162,BP4559,0))/100))),0)</f>
        <v/>
      </c>
      <c r="BT4559">
        <f>IF(AND(4546&lt;$U$9,$W$5),BQ4559*1000000-MIN(BR4559,999)*1000+BS4559-4546/100000,-1000000000-4546)</f>
        <v/>
      </c>
    </row>
    <row r="4560">
      <c r="BN4560">
        <f>IF(4547&lt;$U$9,INT(4547/($U$7*$U$8))+1,1)</f>
        <v/>
      </c>
      <c r="BO4560">
        <f>IF(4547&lt;$U$9,MOD(INT(4547/$U$8),$U$7)+1,1)</f>
        <v/>
      </c>
      <c r="BP4560">
        <f>IF(4547&lt;$U$9,MOD(4547,$U$8)+1,1)</f>
        <v/>
      </c>
      <c r="BQ4560">
        <f>IF(4547&lt;$U$9,SUMPRODUCT(($D$10:$L$10&lt;&gt;"")*(($D$9:$L$9+INT(($S$12:$AA$12+INDEX($AJ$13:$AR$162,BN4560,0)+INDEX($AT$13:$BB$162,BO4560,0)+INDEX($BD$13:$BL$162,BP4560,0))/100))&gt;=$D$10:$L$10)),0)</f>
        <v/>
      </c>
      <c r="BR4560">
        <f>IF(4547&lt;$U$9,SUMPRODUCT(($D$10:$L$10&lt;&gt;"")*(($D$10:$L$10-($D$9:$L$9+INT(($S$12:$AA$12+INDEX($AJ$13:$AR$162,BN4560,0)+INDEX($AT$13:$BB$162,BO4560,0)+INDEX($BD$13:$BL$162,BP4560,0))/100)))&gt;0)*($D$10:$L$10-($D$9:$L$9+INT(($S$12:$AA$12+INDEX($AJ$13:$AR$162,BN4560,0)+INDEX($AT$13:$BB$162,BO4560,0)+INDEX($BD$13:$BL$162,BP4560,0))/100)))),0)</f>
        <v/>
      </c>
      <c r="BS4560">
        <f>IF(4547&lt;$U$9,SUMPRODUCT(($D$9:$L$9+INT(($S$12:$AA$12+INDEX($AJ$13:$AR$162,BN4560,0)+INDEX($AT$13:$BB$162,BO4560,0)+INDEX($BD$13:$BL$162,BP4560,0))/100))),0)</f>
        <v/>
      </c>
      <c r="BT4560">
        <f>IF(AND(4547&lt;$U$9,$W$5),BQ4560*1000000-MIN(BR4560,999)*1000+BS4560-4547/100000,-1000000000-4547)</f>
        <v/>
      </c>
    </row>
    <row r="4561">
      <c r="BN4561">
        <f>IF(4548&lt;$U$9,INT(4548/($U$7*$U$8))+1,1)</f>
        <v/>
      </c>
      <c r="BO4561">
        <f>IF(4548&lt;$U$9,MOD(INT(4548/$U$8),$U$7)+1,1)</f>
        <v/>
      </c>
      <c r="BP4561">
        <f>IF(4548&lt;$U$9,MOD(4548,$U$8)+1,1)</f>
        <v/>
      </c>
      <c r="BQ4561">
        <f>IF(4548&lt;$U$9,SUMPRODUCT(($D$10:$L$10&lt;&gt;"")*(($D$9:$L$9+INT(($S$12:$AA$12+INDEX($AJ$13:$AR$162,BN4561,0)+INDEX($AT$13:$BB$162,BO4561,0)+INDEX($BD$13:$BL$162,BP4561,0))/100))&gt;=$D$10:$L$10)),0)</f>
        <v/>
      </c>
      <c r="BR4561">
        <f>IF(4548&lt;$U$9,SUMPRODUCT(($D$10:$L$10&lt;&gt;"")*(($D$10:$L$10-($D$9:$L$9+INT(($S$12:$AA$12+INDEX($AJ$13:$AR$162,BN4561,0)+INDEX($AT$13:$BB$162,BO4561,0)+INDEX($BD$13:$BL$162,BP4561,0))/100)))&gt;0)*($D$10:$L$10-($D$9:$L$9+INT(($S$12:$AA$12+INDEX($AJ$13:$AR$162,BN4561,0)+INDEX($AT$13:$BB$162,BO4561,0)+INDEX($BD$13:$BL$162,BP4561,0))/100)))),0)</f>
        <v/>
      </c>
      <c r="BS4561">
        <f>IF(4548&lt;$U$9,SUMPRODUCT(($D$9:$L$9+INT(($S$12:$AA$12+INDEX($AJ$13:$AR$162,BN4561,0)+INDEX($AT$13:$BB$162,BO4561,0)+INDEX($BD$13:$BL$162,BP4561,0))/100))),0)</f>
        <v/>
      </c>
      <c r="BT4561">
        <f>IF(AND(4548&lt;$U$9,$W$5),BQ4561*1000000-MIN(BR4561,999)*1000+BS4561-4548/100000,-1000000000-4548)</f>
        <v/>
      </c>
    </row>
    <row r="4562">
      <c r="BN4562">
        <f>IF(4549&lt;$U$9,INT(4549/($U$7*$U$8))+1,1)</f>
        <v/>
      </c>
      <c r="BO4562">
        <f>IF(4549&lt;$U$9,MOD(INT(4549/$U$8),$U$7)+1,1)</f>
        <v/>
      </c>
      <c r="BP4562">
        <f>IF(4549&lt;$U$9,MOD(4549,$U$8)+1,1)</f>
        <v/>
      </c>
      <c r="BQ4562">
        <f>IF(4549&lt;$U$9,SUMPRODUCT(($D$10:$L$10&lt;&gt;"")*(($D$9:$L$9+INT(($S$12:$AA$12+INDEX($AJ$13:$AR$162,BN4562,0)+INDEX($AT$13:$BB$162,BO4562,0)+INDEX($BD$13:$BL$162,BP4562,0))/100))&gt;=$D$10:$L$10)),0)</f>
        <v/>
      </c>
      <c r="BR4562">
        <f>IF(4549&lt;$U$9,SUMPRODUCT(($D$10:$L$10&lt;&gt;"")*(($D$10:$L$10-($D$9:$L$9+INT(($S$12:$AA$12+INDEX($AJ$13:$AR$162,BN4562,0)+INDEX($AT$13:$BB$162,BO4562,0)+INDEX($BD$13:$BL$162,BP4562,0))/100)))&gt;0)*($D$10:$L$10-($D$9:$L$9+INT(($S$12:$AA$12+INDEX($AJ$13:$AR$162,BN4562,0)+INDEX($AT$13:$BB$162,BO4562,0)+INDEX($BD$13:$BL$162,BP4562,0))/100)))),0)</f>
        <v/>
      </c>
      <c r="BS4562">
        <f>IF(4549&lt;$U$9,SUMPRODUCT(($D$9:$L$9+INT(($S$12:$AA$12+INDEX($AJ$13:$AR$162,BN4562,0)+INDEX($AT$13:$BB$162,BO4562,0)+INDEX($BD$13:$BL$162,BP4562,0))/100))),0)</f>
        <v/>
      </c>
      <c r="BT4562">
        <f>IF(AND(4549&lt;$U$9,$W$5),BQ4562*1000000-MIN(BR4562,999)*1000+BS4562-4549/100000,-1000000000-4549)</f>
        <v/>
      </c>
    </row>
    <row r="4563">
      <c r="BN4563">
        <f>IF(4550&lt;$U$9,INT(4550/($U$7*$U$8))+1,1)</f>
        <v/>
      </c>
      <c r="BO4563">
        <f>IF(4550&lt;$U$9,MOD(INT(4550/$U$8),$U$7)+1,1)</f>
        <v/>
      </c>
      <c r="BP4563">
        <f>IF(4550&lt;$U$9,MOD(4550,$U$8)+1,1)</f>
        <v/>
      </c>
      <c r="BQ4563">
        <f>IF(4550&lt;$U$9,SUMPRODUCT(($D$10:$L$10&lt;&gt;"")*(($D$9:$L$9+INT(($S$12:$AA$12+INDEX($AJ$13:$AR$162,BN4563,0)+INDEX($AT$13:$BB$162,BO4563,0)+INDEX($BD$13:$BL$162,BP4563,0))/100))&gt;=$D$10:$L$10)),0)</f>
        <v/>
      </c>
      <c r="BR4563">
        <f>IF(4550&lt;$U$9,SUMPRODUCT(($D$10:$L$10&lt;&gt;"")*(($D$10:$L$10-($D$9:$L$9+INT(($S$12:$AA$12+INDEX($AJ$13:$AR$162,BN4563,0)+INDEX($AT$13:$BB$162,BO4563,0)+INDEX($BD$13:$BL$162,BP4563,0))/100)))&gt;0)*($D$10:$L$10-($D$9:$L$9+INT(($S$12:$AA$12+INDEX($AJ$13:$AR$162,BN4563,0)+INDEX($AT$13:$BB$162,BO4563,0)+INDEX($BD$13:$BL$162,BP4563,0))/100)))),0)</f>
        <v/>
      </c>
      <c r="BS4563">
        <f>IF(4550&lt;$U$9,SUMPRODUCT(($D$9:$L$9+INT(($S$12:$AA$12+INDEX($AJ$13:$AR$162,BN4563,0)+INDEX($AT$13:$BB$162,BO4563,0)+INDEX($BD$13:$BL$162,BP4563,0))/100))),0)</f>
        <v/>
      </c>
      <c r="BT4563">
        <f>IF(AND(4550&lt;$U$9,$W$5),BQ4563*1000000-MIN(BR4563,999)*1000+BS4563-4550/100000,-1000000000-4550)</f>
        <v/>
      </c>
    </row>
    <row r="4564">
      <c r="BN4564">
        <f>IF(4551&lt;$U$9,INT(4551/($U$7*$U$8))+1,1)</f>
        <v/>
      </c>
      <c r="BO4564">
        <f>IF(4551&lt;$U$9,MOD(INT(4551/$U$8),$U$7)+1,1)</f>
        <v/>
      </c>
      <c r="BP4564">
        <f>IF(4551&lt;$U$9,MOD(4551,$U$8)+1,1)</f>
        <v/>
      </c>
      <c r="BQ4564">
        <f>IF(4551&lt;$U$9,SUMPRODUCT(($D$10:$L$10&lt;&gt;"")*(($D$9:$L$9+INT(($S$12:$AA$12+INDEX($AJ$13:$AR$162,BN4564,0)+INDEX($AT$13:$BB$162,BO4564,0)+INDEX($BD$13:$BL$162,BP4564,0))/100))&gt;=$D$10:$L$10)),0)</f>
        <v/>
      </c>
      <c r="BR4564">
        <f>IF(4551&lt;$U$9,SUMPRODUCT(($D$10:$L$10&lt;&gt;"")*(($D$10:$L$10-($D$9:$L$9+INT(($S$12:$AA$12+INDEX($AJ$13:$AR$162,BN4564,0)+INDEX($AT$13:$BB$162,BO4564,0)+INDEX($BD$13:$BL$162,BP4564,0))/100)))&gt;0)*($D$10:$L$10-($D$9:$L$9+INT(($S$12:$AA$12+INDEX($AJ$13:$AR$162,BN4564,0)+INDEX($AT$13:$BB$162,BO4564,0)+INDEX($BD$13:$BL$162,BP4564,0))/100)))),0)</f>
        <v/>
      </c>
      <c r="BS4564">
        <f>IF(4551&lt;$U$9,SUMPRODUCT(($D$9:$L$9+INT(($S$12:$AA$12+INDEX($AJ$13:$AR$162,BN4564,0)+INDEX($AT$13:$BB$162,BO4564,0)+INDEX($BD$13:$BL$162,BP4564,0))/100))),0)</f>
        <v/>
      </c>
      <c r="BT4564">
        <f>IF(AND(4551&lt;$U$9,$W$5),BQ4564*1000000-MIN(BR4564,999)*1000+BS4564-4551/100000,-1000000000-4551)</f>
        <v/>
      </c>
    </row>
    <row r="4565">
      <c r="BN4565">
        <f>IF(4552&lt;$U$9,INT(4552/($U$7*$U$8))+1,1)</f>
        <v/>
      </c>
      <c r="BO4565">
        <f>IF(4552&lt;$U$9,MOD(INT(4552/$U$8),$U$7)+1,1)</f>
        <v/>
      </c>
      <c r="BP4565">
        <f>IF(4552&lt;$U$9,MOD(4552,$U$8)+1,1)</f>
        <v/>
      </c>
      <c r="BQ4565">
        <f>IF(4552&lt;$U$9,SUMPRODUCT(($D$10:$L$10&lt;&gt;"")*(($D$9:$L$9+INT(($S$12:$AA$12+INDEX($AJ$13:$AR$162,BN4565,0)+INDEX($AT$13:$BB$162,BO4565,0)+INDEX($BD$13:$BL$162,BP4565,0))/100))&gt;=$D$10:$L$10)),0)</f>
        <v/>
      </c>
      <c r="BR4565">
        <f>IF(4552&lt;$U$9,SUMPRODUCT(($D$10:$L$10&lt;&gt;"")*(($D$10:$L$10-($D$9:$L$9+INT(($S$12:$AA$12+INDEX($AJ$13:$AR$162,BN4565,0)+INDEX($AT$13:$BB$162,BO4565,0)+INDEX($BD$13:$BL$162,BP4565,0))/100)))&gt;0)*($D$10:$L$10-($D$9:$L$9+INT(($S$12:$AA$12+INDEX($AJ$13:$AR$162,BN4565,0)+INDEX($AT$13:$BB$162,BO4565,0)+INDEX($BD$13:$BL$162,BP4565,0))/100)))),0)</f>
        <v/>
      </c>
      <c r="BS4565">
        <f>IF(4552&lt;$U$9,SUMPRODUCT(($D$9:$L$9+INT(($S$12:$AA$12+INDEX($AJ$13:$AR$162,BN4565,0)+INDEX($AT$13:$BB$162,BO4565,0)+INDEX($BD$13:$BL$162,BP4565,0))/100))),0)</f>
        <v/>
      </c>
      <c r="BT4565">
        <f>IF(AND(4552&lt;$U$9,$W$5),BQ4565*1000000-MIN(BR4565,999)*1000+BS4565-4552/100000,-1000000000-4552)</f>
        <v/>
      </c>
    </row>
    <row r="4566">
      <c r="BN4566">
        <f>IF(4553&lt;$U$9,INT(4553/($U$7*$U$8))+1,1)</f>
        <v/>
      </c>
      <c r="BO4566">
        <f>IF(4553&lt;$U$9,MOD(INT(4553/$U$8),$U$7)+1,1)</f>
        <v/>
      </c>
      <c r="BP4566">
        <f>IF(4553&lt;$U$9,MOD(4553,$U$8)+1,1)</f>
        <v/>
      </c>
      <c r="BQ4566">
        <f>IF(4553&lt;$U$9,SUMPRODUCT(($D$10:$L$10&lt;&gt;"")*(($D$9:$L$9+INT(($S$12:$AA$12+INDEX($AJ$13:$AR$162,BN4566,0)+INDEX($AT$13:$BB$162,BO4566,0)+INDEX($BD$13:$BL$162,BP4566,0))/100))&gt;=$D$10:$L$10)),0)</f>
        <v/>
      </c>
      <c r="BR4566">
        <f>IF(4553&lt;$U$9,SUMPRODUCT(($D$10:$L$10&lt;&gt;"")*(($D$10:$L$10-($D$9:$L$9+INT(($S$12:$AA$12+INDEX($AJ$13:$AR$162,BN4566,0)+INDEX($AT$13:$BB$162,BO4566,0)+INDEX($BD$13:$BL$162,BP4566,0))/100)))&gt;0)*($D$10:$L$10-($D$9:$L$9+INT(($S$12:$AA$12+INDEX($AJ$13:$AR$162,BN4566,0)+INDEX($AT$13:$BB$162,BO4566,0)+INDEX($BD$13:$BL$162,BP4566,0))/100)))),0)</f>
        <v/>
      </c>
      <c r="BS4566">
        <f>IF(4553&lt;$U$9,SUMPRODUCT(($D$9:$L$9+INT(($S$12:$AA$12+INDEX($AJ$13:$AR$162,BN4566,0)+INDEX($AT$13:$BB$162,BO4566,0)+INDEX($BD$13:$BL$162,BP4566,0))/100))),0)</f>
        <v/>
      </c>
      <c r="BT4566">
        <f>IF(AND(4553&lt;$U$9,$W$5),BQ4566*1000000-MIN(BR4566,999)*1000+BS4566-4553/100000,-1000000000-4553)</f>
        <v/>
      </c>
    </row>
    <row r="4567">
      <c r="BN4567">
        <f>IF(4554&lt;$U$9,INT(4554/($U$7*$U$8))+1,1)</f>
        <v/>
      </c>
      <c r="BO4567">
        <f>IF(4554&lt;$U$9,MOD(INT(4554/$U$8),$U$7)+1,1)</f>
        <v/>
      </c>
      <c r="BP4567">
        <f>IF(4554&lt;$U$9,MOD(4554,$U$8)+1,1)</f>
        <v/>
      </c>
      <c r="BQ4567">
        <f>IF(4554&lt;$U$9,SUMPRODUCT(($D$10:$L$10&lt;&gt;"")*(($D$9:$L$9+INT(($S$12:$AA$12+INDEX($AJ$13:$AR$162,BN4567,0)+INDEX($AT$13:$BB$162,BO4567,0)+INDEX($BD$13:$BL$162,BP4567,0))/100))&gt;=$D$10:$L$10)),0)</f>
        <v/>
      </c>
      <c r="BR4567">
        <f>IF(4554&lt;$U$9,SUMPRODUCT(($D$10:$L$10&lt;&gt;"")*(($D$10:$L$10-($D$9:$L$9+INT(($S$12:$AA$12+INDEX($AJ$13:$AR$162,BN4567,0)+INDEX($AT$13:$BB$162,BO4567,0)+INDEX($BD$13:$BL$162,BP4567,0))/100)))&gt;0)*($D$10:$L$10-($D$9:$L$9+INT(($S$12:$AA$12+INDEX($AJ$13:$AR$162,BN4567,0)+INDEX($AT$13:$BB$162,BO4567,0)+INDEX($BD$13:$BL$162,BP4567,0))/100)))),0)</f>
        <v/>
      </c>
      <c r="BS4567">
        <f>IF(4554&lt;$U$9,SUMPRODUCT(($D$9:$L$9+INT(($S$12:$AA$12+INDEX($AJ$13:$AR$162,BN4567,0)+INDEX($AT$13:$BB$162,BO4567,0)+INDEX($BD$13:$BL$162,BP4567,0))/100))),0)</f>
        <v/>
      </c>
      <c r="BT4567">
        <f>IF(AND(4554&lt;$U$9,$W$5),BQ4567*1000000-MIN(BR4567,999)*1000+BS4567-4554/100000,-1000000000-4554)</f>
        <v/>
      </c>
    </row>
    <row r="4568">
      <c r="BN4568">
        <f>IF(4555&lt;$U$9,INT(4555/($U$7*$U$8))+1,1)</f>
        <v/>
      </c>
      <c r="BO4568">
        <f>IF(4555&lt;$U$9,MOD(INT(4555/$U$8),$U$7)+1,1)</f>
        <v/>
      </c>
      <c r="BP4568">
        <f>IF(4555&lt;$U$9,MOD(4555,$U$8)+1,1)</f>
        <v/>
      </c>
      <c r="BQ4568">
        <f>IF(4555&lt;$U$9,SUMPRODUCT(($D$10:$L$10&lt;&gt;"")*(($D$9:$L$9+INT(($S$12:$AA$12+INDEX($AJ$13:$AR$162,BN4568,0)+INDEX($AT$13:$BB$162,BO4568,0)+INDEX($BD$13:$BL$162,BP4568,0))/100))&gt;=$D$10:$L$10)),0)</f>
        <v/>
      </c>
      <c r="BR4568">
        <f>IF(4555&lt;$U$9,SUMPRODUCT(($D$10:$L$10&lt;&gt;"")*(($D$10:$L$10-($D$9:$L$9+INT(($S$12:$AA$12+INDEX($AJ$13:$AR$162,BN4568,0)+INDEX($AT$13:$BB$162,BO4568,0)+INDEX($BD$13:$BL$162,BP4568,0))/100)))&gt;0)*($D$10:$L$10-($D$9:$L$9+INT(($S$12:$AA$12+INDEX($AJ$13:$AR$162,BN4568,0)+INDEX($AT$13:$BB$162,BO4568,0)+INDEX($BD$13:$BL$162,BP4568,0))/100)))),0)</f>
        <v/>
      </c>
      <c r="BS4568">
        <f>IF(4555&lt;$U$9,SUMPRODUCT(($D$9:$L$9+INT(($S$12:$AA$12+INDEX($AJ$13:$AR$162,BN4568,0)+INDEX($AT$13:$BB$162,BO4568,0)+INDEX($BD$13:$BL$162,BP4568,0))/100))),0)</f>
        <v/>
      </c>
      <c r="BT4568">
        <f>IF(AND(4555&lt;$U$9,$W$5),BQ4568*1000000-MIN(BR4568,999)*1000+BS4568-4555/100000,-1000000000-4555)</f>
        <v/>
      </c>
    </row>
    <row r="4569">
      <c r="BN4569">
        <f>IF(4556&lt;$U$9,INT(4556/($U$7*$U$8))+1,1)</f>
        <v/>
      </c>
      <c r="BO4569">
        <f>IF(4556&lt;$U$9,MOD(INT(4556/$U$8),$U$7)+1,1)</f>
        <v/>
      </c>
      <c r="BP4569">
        <f>IF(4556&lt;$U$9,MOD(4556,$U$8)+1,1)</f>
        <v/>
      </c>
      <c r="BQ4569">
        <f>IF(4556&lt;$U$9,SUMPRODUCT(($D$10:$L$10&lt;&gt;"")*(($D$9:$L$9+INT(($S$12:$AA$12+INDEX($AJ$13:$AR$162,BN4569,0)+INDEX($AT$13:$BB$162,BO4569,0)+INDEX($BD$13:$BL$162,BP4569,0))/100))&gt;=$D$10:$L$10)),0)</f>
        <v/>
      </c>
      <c r="BR4569">
        <f>IF(4556&lt;$U$9,SUMPRODUCT(($D$10:$L$10&lt;&gt;"")*(($D$10:$L$10-($D$9:$L$9+INT(($S$12:$AA$12+INDEX($AJ$13:$AR$162,BN4569,0)+INDEX($AT$13:$BB$162,BO4569,0)+INDEX($BD$13:$BL$162,BP4569,0))/100)))&gt;0)*($D$10:$L$10-($D$9:$L$9+INT(($S$12:$AA$12+INDEX($AJ$13:$AR$162,BN4569,0)+INDEX($AT$13:$BB$162,BO4569,0)+INDEX($BD$13:$BL$162,BP4569,0))/100)))),0)</f>
        <v/>
      </c>
      <c r="BS4569">
        <f>IF(4556&lt;$U$9,SUMPRODUCT(($D$9:$L$9+INT(($S$12:$AA$12+INDEX($AJ$13:$AR$162,BN4569,0)+INDEX($AT$13:$BB$162,BO4569,0)+INDEX($BD$13:$BL$162,BP4569,0))/100))),0)</f>
        <v/>
      </c>
      <c r="BT4569">
        <f>IF(AND(4556&lt;$U$9,$W$5),BQ4569*1000000-MIN(BR4569,999)*1000+BS4569-4556/100000,-1000000000-4556)</f>
        <v/>
      </c>
    </row>
    <row r="4570">
      <c r="BN4570">
        <f>IF(4557&lt;$U$9,INT(4557/($U$7*$U$8))+1,1)</f>
        <v/>
      </c>
      <c r="BO4570">
        <f>IF(4557&lt;$U$9,MOD(INT(4557/$U$8),$U$7)+1,1)</f>
        <v/>
      </c>
      <c r="BP4570">
        <f>IF(4557&lt;$U$9,MOD(4557,$U$8)+1,1)</f>
        <v/>
      </c>
      <c r="BQ4570">
        <f>IF(4557&lt;$U$9,SUMPRODUCT(($D$10:$L$10&lt;&gt;"")*(($D$9:$L$9+INT(($S$12:$AA$12+INDEX($AJ$13:$AR$162,BN4570,0)+INDEX($AT$13:$BB$162,BO4570,0)+INDEX($BD$13:$BL$162,BP4570,0))/100))&gt;=$D$10:$L$10)),0)</f>
        <v/>
      </c>
      <c r="BR4570">
        <f>IF(4557&lt;$U$9,SUMPRODUCT(($D$10:$L$10&lt;&gt;"")*(($D$10:$L$10-($D$9:$L$9+INT(($S$12:$AA$12+INDEX($AJ$13:$AR$162,BN4570,0)+INDEX($AT$13:$BB$162,BO4570,0)+INDEX($BD$13:$BL$162,BP4570,0))/100)))&gt;0)*($D$10:$L$10-($D$9:$L$9+INT(($S$12:$AA$12+INDEX($AJ$13:$AR$162,BN4570,0)+INDEX($AT$13:$BB$162,BO4570,0)+INDEX($BD$13:$BL$162,BP4570,0))/100)))),0)</f>
        <v/>
      </c>
      <c r="BS4570">
        <f>IF(4557&lt;$U$9,SUMPRODUCT(($D$9:$L$9+INT(($S$12:$AA$12+INDEX($AJ$13:$AR$162,BN4570,0)+INDEX($AT$13:$BB$162,BO4570,0)+INDEX($BD$13:$BL$162,BP4570,0))/100))),0)</f>
        <v/>
      </c>
      <c r="BT4570">
        <f>IF(AND(4557&lt;$U$9,$W$5),BQ4570*1000000-MIN(BR4570,999)*1000+BS4570-4557/100000,-1000000000-4557)</f>
        <v/>
      </c>
    </row>
    <row r="4571">
      <c r="BN4571">
        <f>IF(4558&lt;$U$9,INT(4558/($U$7*$U$8))+1,1)</f>
        <v/>
      </c>
      <c r="BO4571">
        <f>IF(4558&lt;$U$9,MOD(INT(4558/$U$8),$U$7)+1,1)</f>
        <v/>
      </c>
      <c r="BP4571">
        <f>IF(4558&lt;$U$9,MOD(4558,$U$8)+1,1)</f>
        <v/>
      </c>
      <c r="BQ4571">
        <f>IF(4558&lt;$U$9,SUMPRODUCT(($D$10:$L$10&lt;&gt;"")*(($D$9:$L$9+INT(($S$12:$AA$12+INDEX($AJ$13:$AR$162,BN4571,0)+INDEX($AT$13:$BB$162,BO4571,0)+INDEX($BD$13:$BL$162,BP4571,0))/100))&gt;=$D$10:$L$10)),0)</f>
        <v/>
      </c>
      <c r="BR4571">
        <f>IF(4558&lt;$U$9,SUMPRODUCT(($D$10:$L$10&lt;&gt;"")*(($D$10:$L$10-($D$9:$L$9+INT(($S$12:$AA$12+INDEX($AJ$13:$AR$162,BN4571,0)+INDEX($AT$13:$BB$162,BO4571,0)+INDEX($BD$13:$BL$162,BP4571,0))/100)))&gt;0)*($D$10:$L$10-($D$9:$L$9+INT(($S$12:$AA$12+INDEX($AJ$13:$AR$162,BN4571,0)+INDEX($AT$13:$BB$162,BO4571,0)+INDEX($BD$13:$BL$162,BP4571,0))/100)))),0)</f>
        <v/>
      </c>
      <c r="BS4571">
        <f>IF(4558&lt;$U$9,SUMPRODUCT(($D$9:$L$9+INT(($S$12:$AA$12+INDEX($AJ$13:$AR$162,BN4571,0)+INDEX($AT$13:$BB$162,BO4571,0)+INDEX($BD$13:$BL$162,BP4571,0))/100))),0)</f>
        <v/>
      </c>
      <c r="BT4571">
        <f>IF(AND(4558&lt;$U$9,$W$5),BQ4571*1000000-MIN(BR4571,999)*1000+BS4571-4558/100000,-1000000000-4558)</f>
        <v/>
      </c>
    </row>
    <row r="4572">
      <c r="BN4572">
        <f>IF(4559&lt;$U$9,INT(4559/($U$7*$U$8))+1,1)</f>
        <v/>
      </c>
      <c r="BO4572">
        <f>IF(4559&lt;$U$9,MOD(INT(4559/$U$8),$U$7)+1,1)</f>
        <v/>
      </c>
      <c r="BP4572">
        <f>IF(4559&lt;$U$9,MOD(4559,$U$8)+1,1)</f>
        <v/>
      </c>
      <c r="BQ4572">
        <f>IF(4559&lt;$U$9,SUMPRODUCT(($D$10:$L$10&lt;&gt;"")*(($D$9:$L$9+INT(($S$12:$AA$12+INDEX($AJ$13:$AR$162,BN4572,0)+INDEX($AT$13:$BB$162,BO4572,0)+INDEX($BD$13:$BL$162,BP4572,0))/100))&gt;=$D$10:$L$10)),0)</f>
        <v/>
      </c>
      <c r="BR4572">
        <f>IF(4559&lt;$U$9,SUMPRODUCT(($D$10:$L$10&lt;&gt;"")*(($D$10:$L$10-($D$9:$L$9+INT(($S$12:$AA$12+INDEX($AJ$13:$AR$162,BN4572,0)+INDEX($AT$13:$BB$162,BO4572,0)+INDEX($BD$13:$BL$162,BP4572,0))/100)))&gt;0)*($D$10:$L$10-($D$9:$L$9+INT(($S$12:$AA$12+INDEX($AJ$13:$AR$162,BN4572,0)+INDEX($AT$13:$BB$162,BO4572,0)+INDEX($BD$13:$BL$162,BP4572,0))/100)))),0)</f>
        <v/>
      </c>
      <c r="BS4572">
        <f>IF(4559&lt;$U$9,SUMPRODUCT(($D$9:$L$9+INT(($S$12:$AA$12+INDEX($AJ$13:$AR$162,BN4572,0)+INDEX($AT$13:$BB$162,BO4572,0)+INDEX($BD$13:$BL$162,BP4572,0))/100))),0)</f>
        <v/>
      </c>
      <c r="BT4572">
        <f>IF(AND(4559&lt;$U$9,$W$5),BQ4572*1000000-MIN(BR4572,999)*1000+BS4572-4559/100000,-1000000000-4559)</f>
        <v/>
      </c>
    </row>
    <row r="4573">
      <c r="BN4573">
        <f>IF(4560&lt;$U$9,INT(4560/($U$7*$U$8))+1,1)</f>
        <v/>
      </c>
      <c r="BO4573">
        <f>IF(4560&lt;$U$9,MOD(INT(4560/$U$8),$U$7)+1,1)</f>
        <v/>
      </c>
      <c r="BP4573">
        <f>IF(4560&lt;$U$9,MOD(4560,$U$8)+1,1)</f>
        <v/>
      </c>
      <c r="BQ4573">
        <f>IF(4560&lt;$U$9,SUMPRODUCT(($D$10:$L$10&lt;&gt;"")*(($D$9:$L$9+INT(($S$12:$AA$12+INDEX($AJ$13:$AR$162,BN4573,0)+INDEX($AT$13:$BB$162,BO4573,0)+INDEX($BD$13:$BL$162,BP4573,0))/100))&gt;=$D$10:$L$10)),0)</f>
        <v/>
      </c>
      <c r="BR4573">
        <f>IF(4560&lt;$U$9,SUMPRODUCT(($D$10:$L$10&lt;&gt;"")*(($D$10:$L$10-($D$9:$L$9+INT(($S$12:$AA$12+INDEX($AJ$13:$AR$162,BN4573,0)+INDEX($AT$13:$BB$162,BO4573,0)+INDEX($BD$13:$BL$162,BP4573,0))/100)))&gt;0)*($D$10:$L$10-($D$9:$L$9+INT(($S$12:$AA$12+INDEX($AJ$13:$AR$162,BN4573,0)+INDEX($AT$13:$BB$162,BO4573,0)+INDEX($BD$13:$BL$162,BP4573,0))/100)))),0)</f>
        <v/>
      </c>
      <c r="BS4573">
        <f>IF(4560&lt;$U$9,SUMPRODUCT(($D$9:$L$9+INT(($S$12:$AA$12+INDEX($AJ$13:$AR$162,BN4573,0)+INDEX($AT$13:$BB$162,BO4573,0)+INDEX($BD$13:$BL$162,BP4573,0))/100))),0)</f>
        <v/>
      </c>
      <c r="BT4573">
        <f>IF(AND(4560&lt;$U$9,$W$5),BQ4573*1000000-MIN(BR4573,999)*1000+BS4573-4560/100000,-1000000000-4560)</f>
        <v/>
      </c>
    </row>
    <row r="4574">
      <c r="BN4574">
        <f>IF(4561&lt;$U$9,INT(4561/($U$7*$U$8))+1,1)</f>
        <v/>
      </c>
      <c r="BO4574">
        <f>IF(4561&lt;$U$9,MOD(INT(4561/$U$8),$U$7)+1,1)</f>
        <v/>
      </c>
      <c r="BP4574">
        <f>IF(4561&lt;$U$9,MOD(4561,$U$8)+1,1)</f>
        <v/>
      </c>
      <c r="BQ4574">
        <f>IF(4561&lt;$U$9,SUMPRODUCT(($D$10:$L$10&lt;&gt;"")*(($D$9:$L$9+INT(($S$12:$AA$12+INDEX($AJ$13:$AR$162,BN4574,0)+INDEX($AT$13:$BB$162,BO4574,0)+INDEX($BD$13:$BL$162,BP4574,0))/100))&gt;=$D$10:$L$10)),0)</f>
        <v/>
      </c>
      <c r="BR4574">
        <f>IF(4561&lt;$U$9,SUMPRODUCT(($D$10:$L$10&lt;&gt;"")*(($D$10:$L$10-($D$9:$L$9+INT(($S$12:$AA$12+INDEX($AJ$13:$AR$162,BN4574,0)+INDEX($AT$13:$BB$162,BO4574,0)+INDEX($BD$13:$BL$162,BP4574,0))/100)))&gt;0)*($D$10:$L$10-($D$9:$L$9+INT(($S$12:$AA$12+INDEX($AJ$13:$AR$162,BN4574,0)+INDEX($AT$13:$BB$162,BO4574,0)+INDEX($BD$13:$BL$162,BP4574,0))/100)))),0)</f>
        <v/>
      </c>
      <c r="BS4574">
        <f>IF(4561&lt;$U$9,SUMPRODUCT(($D$9:$L$9+INT(($S$12:$AA$12+INDEX($AJ$13:$AR$162,BN4574,0)+INDEX($AT$13:$BB$162,BO4574,0)+INDEX($BD$13:$BL$162,BP4574,0))/100))),0)</f>
        <v/>
      </c>
      <c r="BT4574">
        <f>IF(AND(4561&lt;$U$9,$W$5),BQ4574*1000000-MIN(BR4574,999)*1000+BS4574-4561/100000,-1000000000-4561)</f>
        <v/>
      </c>
    </row>
    <row r="4575">
      <c r="BN4575">
        <f>IF(4562&lt;$U$9,INT(4562/($U$7*$U$8))+1,1)</f>
        <v/>
      </c>
      <c r="BO4575">
        <f>IF(4562&lt;$U$9,MOD(INT(4562/$U$8),$U$7)+1,1)</f>
        <v/>
      </c>
      <c r="BP4575">
        <f>IF(4562&lt;$U$9,MOD(4562,$U$8)+1,1)</f>
        <v/>
      </c>
      <c r="BQ4575">
        <f>IF(4562&lt;$U$9,SUMPRODUCT(($D$10:$L$10&lt;&gt;"")*(($D$9:$L$9+INT(($S$12:$AA$12+INDEX($AJ$13:$AR$162,BN4575,0)+INDEX($AT$13:$BB$162,BO4575,0)+INDEX($BD$13:$BL$162,BP4575,0))/100))&gt;=$D$10:$L$10)),0)</f>
        <v/>
      </c>
      <c r="BR4575">
        <f>IF(4562&lt;$U$9,SUMPRODUCT(($D$10:$L$10&lt;&gt;"")*(($D$10:$L$10-($D$9:$L$9+INT(($S$12:$AA$12+INDEX($AJ$13:$AR$162,BN4575,0)+INDEX($AT$13:$BB$162,BO4575,0)+INDEX($BD$13:$BL$162,BP4575,0))/100)))&gt;0)*($D$10:$L$10-($D$9:$L$9+INT(($S$12:$AA$12+INDEX($AJ$13:$AR$162,BN4575,0)+INDEX($AT$13:$BB$162,BO4575,0)+INDEX($BD$13:$BL$162,BP4575,0))/100)))),0)</f>
        <v/>
      </c>
      <c r="BS4575">
        <f>IF(4562&lt;$U$9,SUMPRODUCT(($D$9:$L$9+INT(($S$12:$AA$12+INDEX($AJ$13:$AR$162,BN4575,0)+INDEX($AT$13:$BB$162,BO4575,0)+INDEX($BD$13:$BL$162,BP4575,0))/100))),0)</f>
        <v/>
      </c>
      <c r="BT4575">
        <f>IF(AND(4562&lt;$U$9,$W$5),BQ4575*1000000-MIN(BR4575,999)*1000+BS4575-4562/100000,-1000000000-4562)</f>
        <v/>
      </c>
    </row>
    <row r="4576">
      <c r="BN4576">
        <f>IF(4563&lt;$U$9,INT(4563/($U$7*$U$8))+1,1)</f>
        <v/>
      </c>
      <c r="BO4576">
        <f>IF(4563&lt;$U$9,MOD(INT(4563/$U$8),$U$7)+1,1)</f>
        <v/>
      </c>
      <c r="BP4576">
        <f>IF(4563&lt;$U$9,MOD(4563,$U$8)+1,1)</f>
        <v/>
      </c>
      <c r="BQ4576">
        <f>IF(4563&lt;$U$9,SUMPRODUCT(($D$10:$L$10&lt;&gt;"")*(($D$9:$L$9+INT(($S$12:$AA$12+INDEX($AJ$13:$AR$162,BN4576,0)+INDEX($AT$13:$BB$162,BO4576,0)+INDEX($BD$13:$BL$162,BP4576,0))/100))&gt;=$D$10:$L$10)),0)</f>
        <v/>
      </c>
      <c r="BR4576">
        <f>IF(4563&lt;$U$9,SUMPRODUCT(($D$10:$L$10&lt;&gt;"")*(($D$10:$L$10-($D$9:$L$9+INT(($S$12:$AA$12+INDEX($AJ$13:$AR$162,BN4576,0)+INDEX($AT$13:$BB$162,BO4576,0)+INDEX($BD$13:$BL$162,BP4576,0))/100)))&gt;0)*($D$10:$L$10-($D$9:$L$9+INT(($S$12:$AA$12+INDEX($AJ$13:$AR$162,BN4576,0)+INDEX($AT$13:$BB$162,BO4576,0)+INDEX($BD$13:$BL$162,BP4576,0))/100)))),0)</f>
        <v/>
      </c>
      <c r="BS4576">
        <f>IF(4563&lt;$U$9,SUMPRODUCT(($D$9:$L$9+INT(($S$12:$AA$12+INDEX($AJ$13:$AR$162,BN4576,0)+INDEX($AT$13:$BB$162,BO4576,0)+INDEX($BD$13:$BL$162,BP4576,0))/100))),0)</f>
        <v/>
      </c>
      <c r="BT4576">
        <f>IF(AND(4563&lt;$U$9,$W$5),BQ4576*1000000-MIN(BR4576,999)*1000+BS4576-4563/100000,-1000000000-4563)</f>
        <v/>
      </c>
    </row>
    <row r="4577">
      <c r="BN4577">
        <f>IF(4564&lt;$U$9,INT(4564/($U$7*$U$8))+1,1)</f>
        <v/>
      </c>
      <c r="BO4577">
        <f>IF(4564&lt;$U$9,MOD(INT(4564/$U$8),$U$7)+1,1)</f>
        <v/>
      </c>
      <c r="BP4577">
        <f>IF(4564&lt;$U$9,MOD(4564,$U$8)+1,1)</f>
        <v/>
      </c>
      <c r="BQ4577">
        <f>IF(4564&lt;$U$9,SUMPRODUCT(($D$10:$L$10&lt;&gt;"")*(($D$9:$L$9+INT(($S$12:$AA$12+INDEX($AJ$13:$AR$162,BN4577,0)+INDEX($AT$13:$BB$162,BO4577,0)+INDEX($BD$13:$BL$162,BP4577,0))/100))&gt;=$D$10:$L$10)),0)</f>
        <v/>
      </c>
      <c r="BR4577">
        <f>IF(4564&lt;$U$9,SUMPRODUCT(($D$10:$L$10&lt;&gt;"")*(($D$10:$L$10-($D$9:$L$9+INT(($S$12:$AA$12+INDEX($AJ$13:$AR$162,BN4577,0)+INDEX($AT$13:$BB$162,BO4577,0)+INDEX($BD$13:$BL$162,BP4577,0))/100)))&gt;0)*($D$10:$L$10-($D$9:$L$9+INT(($S$12:$AA$12+INDEX($AJ$13:$AR$162,BN4577,0)+INDEX($AT$13:$BB$162,BO4577,0)+INDEX($BD$13:$BL$162,BP4577,0))/100)))),0)</f>
        <v/>
      </c>
      <c r="BS4577">
        <f>IF(4564&lt;$U$9,SUMPRODUCT(($D$9:$L$9+INT(($S$12:$AA$12+INDEX($AJ$13:$AR$162,BN4577,0)+INDEX($AT$13:$BB$162,BO4577,0)+INDEX($BD$13:$BL$162,BP4577,0))/100))),0)</f>
        <v/>
      </c>
      <c r="BT4577">
        <f>IF(AND(4564&lt;$U$9,$W$5),BQ4577*1000000-MIN(BR4577,999)*1000+BS4577-4564/100000,-1000000000-4564)</f>
        <v/>
      </c>
    </row>
    <row r="4578">
      <c r="BN4578">
        <f>IF(4565&lt;$U$9,INT(4565/($U$7*$U$8))+1,1)</f>
        <v/>
      </c>
      <c r="BO4578">
        <f>IF(4565&lt;$U$9,MOD(INT(4565/$U$8),$U$7)+1,1)</f>
        <v/>
      </c>
      <c r="BP4578">
        <f>IF(4565&lt;$U$9,MOD(4565,$U$8)+1,1)</f>
        <v/>
      </c>
      <c r="BQ4578">
        <f>IF(4565&lt;$U$9,SUMPRODUCT(($D$10:$L$10&lt;&gt;"")*(($D$9:$L$9+INT(($S$12:$AA$12+INDEX($AJ$13:$AR$162,BN4578,0)+INDEX($AT$13:$BB$162,BO4578,0)+INDEX($BD$13:$BL$162,BP4578,0))/100))&gt;=$D$10:$L$10)),0)</f>
        <v/>
      </c>
      <c r="BR4578">
        <f>IF(4565&lt;$U$9,SUMPRODUCT(($D$10:$L$10&lt;&gt;"")*(($D$10:$L$10-($D$9:$L$9+INT(($S$12:$AA$12+INDEX($AJ$13:$AR$162,BN4578,0)+INDEX($AT$13:$BB$162,BO4578,0)+INDEX($BD$13:$BL$162,BP4578,0))/100)))&gt;0)*($D$10:$L$10-($D$9:$L$9+INT(($S$12:$AA$12+INDEX($AJ$13:$AR$162,BN4578,0)+INDEX($AT$13:$BB$162,BO4578,0)+INDEX($BD$13:$BL$162,BP4578,0))/100)))),0)</f>
        <v/>
      </c>
      <c r="BS4578">
        <f>IF(4565&lt;$U$9,SUMPRODUCT(($D$9:$L$9+INT(($S$12:$AA$12+INDEX($AJ$13:$AR$162,BN4578,0)+INDEX($AT$13:$BB$162,BO4578,0)+INDEX($BD$13:$BL$162,BP4578,0))/100))),0)</f>
        <v/>
      </c>
      <c r="BT4578">
        <f>IF(AND(4565&lt;$U$9,$W$5),BQ4578*1000000-MIN(BR4578,999)*1000+BS4578-4565/100000,-1000000000-4565)</f>
        <v/>
      </c>
    </row>
    <row r="4579">
      <c r="BN4579">
        <f>IF(4566&lt;$U$9,INT(4566/($U$7*$U$8))+1,1)</f>
        <v/>
      </c>
      <c r="BO4579">
        <f>IF(4566&lt;$U$9,MOD(INT(4566/$U$8),$U$7)+1,1)</f>
        <v/>
      </c>
      <c r="BP4579">
        <f>IF(4566&lt;$U$9,MOD(4566,$U$8)+1,1)</f>
        <v/>
      </c>
      <c r="BQ4579">
        <f>IF(4566&lt;$U$9,SUMPRODUCT(($D$10:$L$10&lt;&gt;"")*(($D$9:$L$9+INT(($S$12:$AA$12+INDEX($AJ$13:$AR$162,BN4579,0)+INDEX($AT$13:$BB$162,BO4579,0)+INDEX($BD$13:$BL$162,BP4579,0))/100))&gt;=$D$10:$L$10)),0)</f>
        <v/>
      </c>
      <c r="BR4579">
        <f>IF(4566&lt;$U$9,SUMPRODUCT(($D$10:$L$10&lt;&gt;"")*(($D$10:$L$10-($D$9:$L$9+INT(($S$12:$AA$12+INDEX($AJ$13:$AR$162,BN4579,0)+INDEX($AT$13:$BB$162,BO4579,0)+INDEX($BD$13:$BL$162,BP4579,0))/100)))&gt;0)*($D$10:$L$10-($D$9:$L$9+INT(($S$12:$AA$12+INDEX($AJ$13:$AR$162,BN4579,0)+INDEX($AT$13:$BB$162,BO4579,0)+INDEX($BD$13:$BL$162,BP4579,0))/100)))),0)</f>
        <v/>
      </c>
      <c r="BS4579">
        <f>IF(4566&lt;$U$9,SUMPRODUCT(($D$9:$L$9+INT(($S$12:$AA$12+INDEX($AJ$13:$AR$162,BN4579,0)+INDEX($AT$13:$BB$162,BO4579,0)+INDEX($BD$13:$BL$162,BP4579,0))/100))),0)</f>
        <v/>
      </c>
      <c r="BT4579">
        <f>IF(AND(4566&lt;$U$9,$W$5),BQ4579*1000000-MIN(BR4579,999)*1000+BS4579-4566/100000,-1000000000-4566)</f>
        <v/>
      </c>
    </row>
    <row r="4580">
      <c r="BN4580">
        <f>IF(4567&lt;$U$9,INT(4567/($U$7*$U$8))+1,1)</f>
        <v/>
      </c>
      <c r="BO4580">
        <f>IF(4567&lt;$U$9,MOD(INT(4567/$U$8),$U$7)+1,1)</f>
        <v/>
      </c>
      <c r="BP4580">
        <f>IF(4567&lt;$U$9,MOD(4567,$U$8)+1,1)</f>
        <v/>
      </c>
      <c r="BQ4580">
        <f>IF(4567&lt;$U$9,SUMPRODUCT(($D$10:$L$10&lt;&gt;"")*(($D$9:$L$9+INT(($S$12:$AA$12+INDEX($AJ$13:$AR$162,BN4580,0)+INDEX($AT$13:$BB$162,BO4580,0)+INDEX($BD$13:$BL$162,BP4580,0))/100))&gt;=$D$10:$L$10)),0)</f>
        <v/>
      </c>
      <c r="BR4580">
        <f>IF(4567&lt;$U$9,SUMPRODUCT(($D$10:$L$10&lt;&gt;"")*(($D$10:$L$10-($D$9:$L$9+INT(($S$12:$AA$12+INDEX($AJ$13:$AR$162,BN4580,0)+INDEX($AT$13:$BB$162,BO4580,0)+INDEX($BD$13:$BL$162,BP4580,0))/100)))&gt;0)*($D$10:$L$10-($D$9:$L$9+INT(($S$12:$AA$12+INDEX($AJ$13:$AR$162,BN4580,0)+INDEX($AT$13:$BB$162,BO4580,0)+INDEX($BD$13:$BL$162,BP4580,0))/100)))),0)</f>
        <v/>
      </c>
      <c r="BS4580">
        <f>IF(4567&lt;$U$9,SUMPRODUCT(($D$9:$L$9+INT(($S$12:$AA$12+INDEX($AJ$13:$AR$162,BN4580,0)+INDEX($AT$13:$BB$162,BO4580,0)+INDEX($BD$13:$BL$162,BP4580,0))/100))),0)</f>
        <v/>
      </c>
      <c r="BT4580">
        <f>IF(AND(4567&lt;$U$9,$W$5),BQ4580*1000000-MIN(BR4580,999)*1000+BS4580-4567/100000,-1000000000-4567)</f>
        <v/>
      </c>
    </row>
    <row r="4581">
      <c r="BN4581">
        <f>IF(4568&lt;$U$9,INT(4568/($U$7*$U$8))+1,1)</f>
        <v/>
      </c>
      <c r="BO4581">
        <f>IF(4568&lt;$U$9,MOD(INT(4568/$U$8),$U$7)+1,1)</f>
        <v/>
      </c>
      <c r="BP4581">
        <f>IF(4568&lt;$U$9,MOD(4568,$U$8)+1,1)</f>
        <v/>
      </c>
      <c r="BQ4581">
        <f>IF(4568&lt;$U$9,SUMPRODUCT(($D$10:$L$10&lt;&gt;"")*(($D$9:$L$9+INT(($S$12:$AA$12+INDEX($AJ$13:$AR$162,BN4581,0)+INDEX($AT$13:$BB$162,BO4581,0)+INDEX($BD$13:$BL$162,BP4581,0))/100))&gt;=$D$10:$L$10)),0)</f>
        <v/>
      </c>
      <c r="BR4581">
        <f>IF(4568&lt;$U$9,SUMPRODUCT(($D$10:$L$10&lt;&gt;"")*(($D$10:$L$10-($D$9:$L$9+INT(($S$12:$AA$12+INDEX($AJ$13:$AR$162,BN4581,0)+INDEX($AT$13:$BB$162,BO4581,0)+INDEX($BD$13:$BL$162,BP4581,0))/100)))&gt;0)*($D$10:$L$10-($D$9:$L$9+INT(($S$12:$AA$12+INDEX($AJ$13:$AR$162,BN4581,0)+INDEX($AT$13:$BB$162,BO4581,0)+INDEX($BD$13:$BL$162,BP4581,0))/100)))),0)</f>
        <v/>
      </c>
      <c r="BS4581">
        <f>IF(4568&lt;$U$9,SUMPRODUCT(($D$9:$L$9+INT(($S$12:$AA$12+INDEX($AJ$13:$AR$162,BN4581,0)+INDEX($AT$13:$BB$162,BO4581,0)+INDEX($BD$13:$BL$162,BP4581,0))/100))),0)</f>
        <v/>
      </c>
      <c r="BT4581">
        <f>IF(AND(4568&lt;$U$9,$W$5),BQ4581*1000000-MIN(BR4581,999)*1000+BS4581-4568/100000,-1000000000-4568)</f>
        <v/>
      </c>
    </row>
    <row r="4582">
      <c r="BN4582">
        <f>IF(4569&lt;$U$9,INT(4569/($U$7*$U$8))+1,1)</f>
        <v/>
      </c>
      <c r="BO4582">
        <f>IF(4569&lt;$U$9,MOD(INT(4569/$U$8),$U$7)+1,1)</f>
        <v/>
      </c>
      <c r="BP4582">
        <f>IF(4569&lt;$U$9,MOD(4569,$U$8)+1,1)</f>
        <v/>
      </c>
      <c r="BQ4582">
        <f>IF(4569&lt;$U$9,SUMPRODUCT(($D$10:$L$10&lt;&gt;"")*(($D$9:$L$9+INT(($S$12:$AA$12+INDEX($AJ$13:$AR$162,BN4582,0)+INDEX($AT$13:$BB$162,BO4582,0)+INDEX($BD$13:$BL$162,BP4582,0))/100))&gt;=$D$10:$L$10)),0)</f>
        <v/>
      </c>
      <c r="BR4582">
        <f>IF(4569&lt;$U$9,SUMPRODUCT(($D$10:$L$10&lt;&gt;"")*(($D$10:$L$10-($D$9:$L$9+INT(($S$12:$AA$12+INDEX($AJ$13:$AR$162,BN4582,0)+INDEX($AT$13:$BB$162,BO4582,0)+INDEX($BD$13:$BL$162,BP4582,0))/100)))&gt;0)*($D$10:$L$10-($D$9:$L$9+INT(($S$12:$AA$12+INDEX($AJ$13:$AR$162,BN4582,0)+INDEX($AT$13:$BB$162,BO4582,0)+INDEX($BD$13:$BL$162,BP4582,0))/100)))),0)</f>
        <v/>
      </c>
      <c r="BS4582">
        <f>IF(4569&lt;$U$9,SUMPRODUCT(($D$9:$L$9+INT(($S$12:$AA$12+INDEX($AJ$13:$AR$162,BN4582,0)+INDEX($AT$13:$BB$162,BO4582,0)+INDEX($BD$13:$BL$162,BP4582,0))/100))),0)</f>
        <v/>
      </c>
      <c r="BT4582">
        <f>IF(AND(4569&lt;$U$9,$W$5),BQ4582*1000000-MIN(BR4582,999)*1000+BS4582-4569/100000,-1000000000-4569)</f>
        <v/>
      </c>
    </row>
    <row r="4583">
      <c r="BN4583">
        <f>IF(4570&lt;$U$9,INT(4570/($U$7*$U$8))+1,1)</f>
        <v/>
      </c>
      <c r="BO4583">
        <f>IF(4570&lt;$U$9,MOD(INT(4570/$U$8),$U$7)+1,1)</f>
        <v/>
      </c>
      <c r="BP4583">
        <f>IF(4570&lt;$U$9,MOD(4570,$U$8)+1,1)</f>
        <v/>
      </c>
      <c r="BQ4583">
        <f>IF(4570&lt;$U$9,SUMPRODUCT(($D$10:$L$10&lt;&gt;"")*(($D$9:$L$9+INT(($S$12:$AA$12+INDEX($AJ$13:$AR$162,BN4583,0)+INDEX($AT$13:$BB$162,BO4583,0)+INDEX($BD$13:$BL$162,BP4583,0))/100))&gt;=$D$10:$L$10)),0)</f>
        <v/>
      </c>
      <c r="BR4583">
        <f>IF(4570&lt;$U$9,SUMPRODUCT(($D$10:$L$10&lt;&gt;"")*(($D$10:$L$10-($D$9:$L$9+INT(($S$12:$AA$12+INDEX($AJ$13:$AR$162,BN4583,0)+INDEX($AT$13:$BB$162,BO4583,0)+INDEX($BD$13:$BL$162,BP4583,0))/100)))&gt;0)*($D$10:$L$10-($D$9:$L$9+INT(($S$12:$AA$12+INDEX($AJ$13:$AR$162,BN4583,0)+INDEX($AT$13:$BB$162,BO4583,0)+INDEX($BD$13:$BL$162,BP4583,0))/100)))),0)</f>
        <v/>
      </c>
      <c r="BS4583">
        <f>IF(4570&lt;$U$9,SUMPRODUCT(($D$9:$L$9+INT(($S$12:$AA$12+INDEX($AJ$13:$AR$162,BN4583,0)+INDEX($AT$13:$BB$162,BO4583,0)+INDEX($BD$13:$BL$162,BP4583,0))/100))),0)</f>
        <v/>
      </c>
      <c r="BT4583">
        <f>IF(AND(4570&lt;$U$9,$W$5),BQ4583*1000000-MIN(BR4583,999)*1000+BS4583-4570/100000,-1000000000-4570)</f>
        <v/>
      </c>
    </row>
    <row r="4584">
      <c r="BN4584">
        <f>IF(4571&lt;$U$9,INT(4571/($U$7*$U$8))+1,1)</f>
        <v/>
      </c>
      <c r="BO4584">
        <f>IF(4571&lt;$U$9,MOD(INT(4571/$U$8),$U$7)+1,1)</f>
        <v/>
      </c>
      <c r="BP4584">
        <f>IF(4571&lt;$U$9,MOD(4571,$U$8)+1,1)</f>
        <v/>
      </c>
      <c r="BQ4584">
        <f>IF(4571&lt;$U$9,SUMPRODUCT(($D$10:$L$10&lt;&gt;"")*(($D$9:$L$9+INT(($S$12:$AA$12+INDEX($AJ$13:$AR$162,BN4584,0)+INDEX($AT$13:$BB$162,BO4584,0)+INDEX($BD$13:$BL$162,BP4584,0))/100))&gt;=$D$10:$L$10)),0)</f>
        <v/>
      </c>
      <c r="BR4584">
        <f>IF(4571&lt;$U$9,SUMPRODUCT(($D$10:$L$10&lt;&gt;"")*(($D$10:$L$10-($D$9:$L$9+INT(($S$12:$AA$12+INDEX($AJ$13:$AR$162,BN4584,0)+INDEX($AT$13:$BB$162,BO4584,0)+INDEX($BD$13:$BL$162,BP4584,0))/100)))&gt;0)*($D$10:$L$10-($D$9:$L$9+INT(($S$12:$AA$12+INDEX($AJ$13:$AR$162,BN4584,0)+INDEX($AT$13:$BB$162,BO4584,0)+INDEX($BD$13:$BL$162,BP4584,0))/100)))),0)</f>
        <v/>
      </c>
      <c r="BS4584">
        <f>IF(4571&lt;$U$9,SUMPRODUCT(($D$9:$L$9+INT(($S$12:$AA$12+INDEX($AJ$13:$AR$162,BN4584,0)+INDEX($AT$13:$BB$162,BO4584,0)+INDEX($BD$13:$BL$162,BP4584,0))/100))),0)</f>
        <v/>
      </c>
      <c r="BT4584">
        <f>IF(AND(4571&lt;$U$9,$W$5),BQ4584*1000000-MIN(BR4584,999)*1000+BS4584-4571/100000,-1000000000-4571)</f>
        <v/>
      </c>
    </row>
    <row r="4585">
      <c r="BN4585">
        <f>IF(4572&lt;$U$9,INT(4572/($U$7*$U$8))+1,1)</f>
        <v/>
      </c>
      <c r="BO4585">
        <f>IF(4572&lt;$U$9,MOD(INT(4572/$U$8),$U$7)+1,1)</f>
        <v/>
      </c>
      <c r="BP4585">
        <f>IF(4572&lt;$U$9,MOD(4572,$U$8)+1,1)</f>
        <v/>
      </c>
      <c r="BQ4585">
        <f>IF(4572&lt;$U$9,SUMPRODUCT(($D$10:$L$10&lt;&gt;"")*(($D$9:$L$9+INT(($S$12:$AA$12+INDEX($AJ$13:$AR$162,BN4585,0)+INDEX($AT$13:$BB$162,BO4585,0)+INDEX($BD$13:$BL$162,BP4585,0))/100))&gt;=$D$10:$L$10)),0)</f>
        <v/>
      </c>
      <c r="BR4585">
        <f>IF(4572&lt;$U$9,SUMPRODUCT(($D$10:$L$10&lt;&gt;"")*(($D$10:$L$10-($D$9:$L$9+INT(($S$12:$AA$12+INDEX($AJ$13:$AR$162,BN4585,0)+INDEX($AT$13:$BB$162,BO4585,0)+INDEX($BD$13:$BL$162,BP4585,0))/100)))&gt;0)*($D$10:$L$10-($D$9:$L$9+INT(($S$12:$AA$12+INDEX($AJ$13:$AR$162,BN4585,0)+INDEX($AT$13:$BB$162,BO4585,0)+INDEX($BD$13:$BL$162,BP4585,0))/100)))),0)</f>
        <v/>
      </c>
      <c r="BS4585">
        <f>IF(4572&lt;$U$9,SUMPRODUCT(($D$9:$L$9+INT(($S$12:$AA$12+INDEX($AJ$13:$AR$162,BN4585,0)+INDEX($AT$13:$BB$162,BO4585,0)+INDEX($BD$13:$BL$162,BP4585,0))/100))),0)</f>
        <v/>
      </c>
      <c r="BT4585">
        <f>IF(AND(4572&lt;$U$9,$W$5),BQ4585*1000000-MIN(BR4585,999)*1000+BS4585-4572/100000,-1000000000-4572)</f>
        <v/>
      </c>
    </row>
    <row r="4586">
      <c r="BN4586">
        <f>IF(4573&lt;$U$9,INT(4573/($U$7*$U$8))+1,1)</f>
        <v/>
      </c>
      <c r="BO4586">
        <f>IF(4573&lt;$U$9,MOD(INT(4573/$U$8),$U$7)+1,1)</f>
        <v/>
      </c>
      <c r="BP4586">
        <f>IF(4573&lt;$U$9,MOD(4573,$U$8)+1,1)</f>
        <v/>
      </c>
      <c r="BQ4586">
        <f>IF(4573&lt;$U$9,SUMPRODUCT(($D$10:$L$10&lt;&gt;"")*(($D$9:$L$9+INT(($S$12:$AA$12+INDEX($AJ$13:$AR$162,BN4586,0)+INDEX($AT$13:$BB$162,BO4586,0)+INDEX($BD$13:$BL$162,BP4586,0))/100))&gt;=$D$10:$L$10)),0)</f>
        <v/>
      </c>
      <c r="BR4586">
        <f>IF(4573&lt;$U$9,SUMPRODUCT(($D$10:$L$10&lt;&gt;"")*(($D$10:$L$10-($D$9:$L$9+INT(($S$12:$AA$12+INDEX($AJ$13:$AR$162,BN4586,0)+INDEX($AT$13:$BB$162,BO4586,0)+INDEX($BD$13:$BL$162,BP4586,0))/100)))&gt;0)*($D$10:$L$10-($D$9:$L$9+INT(($S$12:$AA$12+INDEX($AJ$13:$AR$162,BN4586,0)+INDEX($AT$13:$BB$162,BO4586,0)+INDEX($BD$13:$BL$162,BP4586,0))/100)))),0)</f>
        <v/>
      </c>
      <c r="BS4586">
        <f>IF(4573&lt;$U$9,SUMPRODUCT(($D$9:$L$9+INT(($S$12:$AA$12+INDEX($AJ$13:$AR$162,BN4586,0)+INDEX($AT$13:$BB$162,BO4586,0)+INDEX($BD$13:$BL$162,BP4586,0))/100))),0)</f>
        <v/>
      </c>
      <c r="BT4586">
        <f>IF(AND(4573&lt;$U$9,$W$5),BQ4586*1000000-MIN(BR4586,999)*1000+BS4586-4573/100000,-1000000000-4573)</f>
        <v/>
      </c>
    </row>
    <row r="4587">
      <c r="BN4587">
        <f>IF(4574&lt;$U$9,INT(4574/($U$7*$U$8))+1,1)</f>
        <v/>
      </c>
      <c r="BO4587">
        <f>IF(4574&lt;$U$9,MOD(INT(4574/$U$8),$U$7)+1,1)</f>
        <v/>
      </c>
      <c r="BP4587">
        <f>IF(4574&lt;$U$9,MOD(4574,$U$8)+1,1)</f>
        <v/>
      </c>
      <c r="BQ4587">
        <f>IF(4574&lt;$U$9,SUMPRODUCT(($D$10:$L$10&lt;&gt;"")*(($D$9:$L$9+INT(($S$12:$AA$12+INDEX($AJ$13:$AR$162,BN4587,0)+INDEX($AT$13:$BB$162,BO4587,0)+INDEX($BD$13:$BL$162,BP4587,0))/100))&gt;=$D$10:$L$10)),0)</f>
        <v/>
      </c>
      <c r="BR4587">
        <f>IF(4574&lt;$U$9,SUMPRODUCT(($D$10:$L$10&lt;&gt;"")*(($D$10:$L$10-($D$9:$L$9+INT(($S$12:$AA$12+INDEX($AJ$13:$AR$162,BN4587,0)+INDEX($AT$13:$BB$162,BO4587,0)+INDEX($BD$13:$BL$162,BP4587,0))/100)))&gt;0)*($D$10:$L$10-($D$9:$L$9+INT(($S$12:$AA$12+INDEX($AJ$13:$AR$162,BN4587,0)+INDEX($AT$13:$BB$162,BO4587,0)+INDEX($BD$13:$BL$162,BP4587,0))/100)))),0)</f>
        <v/>
      </c>
      <c r="BS4587">
        <f>IF(4574&lt;$U$9,SUMPRODUCT(($D$9:$L$9+INT(($S$12:$AA$12+INDEX($AJ$13:$AR$162,BN4587,0)+INDEX($AT$13:$BB$162,BO4587,0)+INDEX($BD$13:$BL$162,BP4587,0))/100))),0)</f>
        <v/>
      </c>
      <c r="BT4587">
        <f>IF(AND(4574&lt;$U$9,$W$5),BQ4587*1000000-MIN(BR4587,999)*1000+BS4587-4574/100000,-1000000000-4574)</f>
        <v/>
      </c>
    </row>
    <row r="4588">
      <c r="BN4588">
        <f>IF(4575&lt;$U$9,INT(4575/($U$7*$U$8))+1,1)</f>
        <v/>
      </c>
      <c r="BO4588">
        <f>IF(4575&lt;$U$9,MOD(INT(4575/$U$8),$U$7)+1,1)</f>
        <v/>
      </c>
      <c r="BP4588">
        <f>IF(4575&lt;$U$9,MOD(4575,$U$8)+1,1)</f>
        <v/>
      </c>
      <c r="BQ4588">
        <f>IF(4575&lt;$U$9,SUMPRODUCT(($D$10:$L$10&lt;&gt;"")*(($D$9:$L$9+INT(($S$12:$AA$12+INDEX($AJ$13:$AR$162,BN4588,0)+INDEX($AT$13:$BB$162,BO4588,0)+INDEX($BD$13:$BL$162,BP4588,0))/100))&gt;=$D$10:$L$10)),0)</f>
        <v/>
      </c>
      <c r="BR4588">
        <f>IF(4575&lt;$U$9,SUMPRODUCT(($D$10:$L$10&lt;&gt;"")*(($D$10:$L$10-($D$9:$L$9+INT(($S$12:$AA$12+INDEX($AJ$13:$AR$162,BN4588,0)+INDEX($AT$13:$BB$162,BO4588,0)+INDEX($BD$13:$BL$162,BP4588,0))/100)))&gt;0)*($D$10:$L$10-($D$9:$L$9+INT(($S$12:$AA$12+INDEX($AJ$13:$AR$162,BN4588,0)+INDEX($AT$13:$BB$162,BO4588,0)+INDEX($BD$13:$BL$162,BP4588,0))/100)))),0)</f>
        <v/>
      </c>
      <c r="BS4588">
        <f>IF(4575&lt;$U$9,SUMPRODUCT(($D$9:$L$9+INT(($S$12:$AA$12+INDEX($AJ$13:$AR$162,BN4588,0)+INDEX($AT$13:$BB$162,BO4588,0)+INDEX($BD$13:$BL$162,BP4588,0))/100))),0)</f>
        <v/>
      </c>
      <c r="BT4588">
        <f>IF(AND(4575&lt;$U$9,$W$5),BQ4588*1000000-MIN(BR4588,999)*1000+BS4588-4575/100000,-1000000000-4575)</f>
        <v/>
      </c>
    </row>
    <row r="4589">
      <c r="BN4589">
        <f>IF(4576&lt;$U$9,INT(4576/($U$7*$U$8))+1,1)</f>
        <v/>
      </c>
      <c r="BO4589">
        <f>IF(4576&lt;$U$9,MOD(INT(4576/$U$8),$U$7)+1,1)</f>
        <v/>
      </c>
      <c r="BP4589">
        <f>IF(4576&lt;$U$9,MOD(4576,$U$8)+1,1)</f>
        <v/>
      </c>
      <c r="BQ4589">
        <f>IF(4576&lt;$U$9,SUMPRODUCT(($D$10:$L$10&lt;&gt;"")*(($D$9:$L$9+INT(($S$12:$AA$12+INDEX($AJ$13:$AR$162,BN4589,0)+INDEX($AT$13:$BB$162,BO4589,0)+INDEX($BD$13:$BL$162,BP4589,0))/100))&gt;=$D$10:$L$10)),0)</f>
        <v/>
      </c>
      <c r="BR4589">
        <f>IF(4576&lt;$U$9,SUMPRODUCT(($D$10:$L$10&lt;&gt;"")*(($D$10:$L$10-($D$9:$L$9+INT(($S$12:$AA$12+INDEX($AJ$13:$AR$162,BN4589,0)+INDEX($AT$13:$BB$162,BO4589,0)+INDEX($BD$13:$BL$162,BP4589,0))/100)))&gt;0)*($D$10:$L$10-($D$9:$L$9+INT(($S$12:$AA$12+INDEX($AJ$13:$AR$162,BN4589,0)+INDEX($AT$13:$BB$162,BO4589,0)+INDEX($BD$13:$BL$162,BP4589,0))/100)))),0)</f>
        <v/>
      </c>
      <c r="BS4589">
        <f>IF(4576&lt;$U$9,SUMPRODUCT(($D$9:$L$9+INT(($S$12:$AA$12+INDEX($AJ$13:$AR$162,BN4589,0)+INDEX($AT$13:$BB$162,BO4589,0)+INDEX($BD$13:$BL$162,BP4589,0))/100))),0)</f>
        <v/>
      </c>
      <c r="BT4589">
        <f>IF(AND(4576&lt;$U$9,$W$5),BQ4589*1000000-MIN(BR4589,999)*1000+BS4589-4576/100000,-1000000000-4576)</f>
        <v/>
      </c>
    </row>
    <row r="4590">
      <c r="BN4590">
        <f>IF(4577&lt;$U$9,INT(4577/($U$7*$U$8))+1,1)</f>
        <v/>
      </c>
      <c r="BO4590">
        <f>IF(4577&lt;$U$9,MOD(INT(4577/$U$8),$U$7)+1,1)</f>
        <v/>
      </c>
      <c r="BP4590">
        <f>IF(4577&lt;$U$9,MOD(4577,$U$8)+1,1)</f>
        <v/>
      </c>
      <c r="BQ4590">
        <f>IF(4577&lt;$U$9,SUMPRODUCT(($D$10:$L$10&lt;&gt;"")*(($D$9:$L$9+INT(($S$12:$AA$12+INDEX($AJ$13:$AR$162,BN4590,0)+INDEX($AT$13:$BB$162,BO4590,0)+INDEX($BD$13:$BL$162,BP4590,0))/100))&gt;=$D$10:$L$10)),0)</f>
        <v/>
      </c>
      <c r="BR4590">
        <f>IF(4577&lt;$U$9,SUMPRODUCT(($D$10:$L$10&lt;&gt;"")*(($D$10:$L$10-($D$9:$L$9+INT(($S$12:$AA$12+INDEX($AJ$13:$AR$162,BN4590,0)+INDEX($AT$13:$BB$162,BO4590,0)+INDEX($BD$13:$BL$162,BP4590,0))/100)))&gt;0)*($D$10:$L$10-($D$9:$L$9+INT(($S$12:$AA$12+INDEX($AJ$13:$AR$162,BN4590,0)+INDEX($AT$13:$BB$162,BO4590,0)+INDEX($BD$13:$BL$162,BP4590,0))/100)))),0)</f>
        <v/>
      </c>
      <c r="BS4590">
        <f>IF(4577&lt;$U$9,SUMPRODUCT(($D$9:$L$9+INT(($S$12:$AA$12+INDEX($AJ$13:$AR$162,BN4590,0)+INDEX($AT$13:$BB$162,BO4590,0)+INDEX($BD$13:$BL$162,BP4590,0))/100))),0)</f>
        <v/>
      </c>
      <c r="BT4590">
        <f>IF(AND(4577&lt;$U$9,$W$5),BQ4590*1000000-MIN(BR4590,999)*1000+BS4590-4577/100000,-1000000000-4577)</f>
        <v/>
      </c>
    </row>
    <row r="4591">
      <c r="BN4591">
        <f>IF(4578&lt;$U$9,INT(4578/($U$7*$U$8))+1,1)</f>
        <v/>
      </c>
      <c r="BO4591">
        <f>IF(4578&lt;$U$9,MOD(INT(4578/$U$8),$U$7)+1,1)</f>
        <v/>
      </c>
      <c r="BP4591">
        <f>IF(4578&lt;$U$9,MOD(4578,$U$8)+1,1)</f>
        <v/>
      </c>
      <c r="BQ4591">
        <f>IF(4578&lt;$U$9,SUMPRODUCT(($D$10:$L$10&lt;&gt;"")*(($D$9:$L$9+INT(($S$12:$AA$12+INDEX($AJ$13:$AR$162,BN4591,0)+INDEX($AT$13:$BB$162,BO4591,0)+INDEX($BD$13:$BL$162,BP4591,0))/100))&gt;=$D$10:$L$10)),0)</f>
        <v/>
      </c>
      <c r="BR4591">
        <f>IF(4578&lt;$U$9,SUMPRODUCT(($D$10:$L$10&lt;&gt;"")*(($D$10:$L$10-($D$9:$L$9+INT(($S$12:$AA$12+INDEX($AJ$13:$AR$162,BN4591,0)+INDEX($AT$13:$BB$162,BO4591,0)+INDEX($BD$13:$BL$162,BP4591,0))/100)))&gt;0)*($D$10:$L$10-($D$9:$L$9+INT(($S$12:$AA$12+INDEX($AJ$13:$AR$162,BN4591,0)+INDEX($AT$13:$BB$162,BO4591,0)+INDEX($BD$13:$BL$162,BP4591,0))/100)))),0)</f>
        <v/>
      </c>
      <c r="BS4591">
        <f>IF(4578&lt;$U$9,SUMPRODUCT(($D$9:$L$9+INT(($S$12:$AA$12+INDEX($AJ$13:$AR$162,BN4591,0)+INDEX($AT$13:$BB$162,BO4591,0)+INDEX($BD$13:$BL$162,BP4591,0))/100))),0)</f>
        <v/>
      </c>
      <c r="BT4591">
        <f>IF(AND(4578&lt;$U$9,$W$5),BQ4591*1000000-MIN(BR4591,999)*1000+BS4591-4578/100000,-1000000000-4578)</f>
        <v/>
      </c>
    </row>
    <row r="4592">
      <c r="BN4592">
        <f>IF(4579&lt;$U$9,INT(4579/($U$7*$U$8))+1,1)</f>
        <v/>
      </c>
      <c r="BO4592">
        <f>IF(4579&lt;$U$9,MOD(INT(4579/$U$8),$U$7)+1,1)</f>
        <v/>
      </c>
      <c r="BP4592">
        <f>IF(4579&lt;$U$9,MOD(4579,$U$8)+1,1)</f>
        <v/>
      </c>
      <c r="BQ4592">
        <f>IF(4579&lt;$U$9,SUMPRODUCT(($D$10:$L$10&lt;&gt;"")*(($D$9:$L$9+INT(($S$12:$AA$12+INDEX($AJ$13:$AR$162,BN4592,0)+INDEX($AT$13:$BB$162,BO4592,0)+INDEX($BD$13:$BL$162,BP4592,0))/100))&gt;=$D$10:$L$10)),0)</f>
        <v/>
      </c>
      <c r="BR4592">
        <f>IF(4579&lt;$U$9,SUMPRODUCT(($D$10:$L$10&lt;&gt;"")*(($D$10:$L$10-($D$9:$L$9+INT(($S$12:$AA$12+INDEX($AJ$13:$AR$162,BN4592,0)+INDEX($AT$13:$BB$162,BO4592,0)+INDEX($BD$13:$BL$162,BP4592,0))/100)))&gt;0)*($D$10:$L$10-($D$9:$L$9+INT(($S$12:$AA$12+INDEX($AJ$13:$AR$162,BN4592,0)+INDEX($AT$13:$BB$162,BO4592,0)+INDEX($BD$13:$BL$162,BP4592,0))/100)))),0)</f>
        <v/>
      </c>
      <c r="BS4592">
        <f>IF(4579&lt;$U$9,SUMPRODUCT(($D$9:$L$9+INT(($S$12:$AA$12+INDEX($AJ$13:$AR$162,BN4592,0)+INDEX($AT$13:$BB$162,BO4592,0)+INDEX($BD$13:$BL$162,BP4592,0))/100))),0)</f>
        <v/>
      </c>
      <c r="BT4592">
        <f>IF(AND(4579&lt;$U$9,$W$5),BQ4592*1000000-MIN(BR4592,999)*1000+BS4592-4579/100000,-1000000000-4579)</f>
        <v/>
      </c>
    </row>
    <row r="4593">
      <c r="BN4593">
        <f>IF(4580&lt;$U$9,INT(4580/($U$7*$U$8))+1,1)</f>
        <v/>
      </c>
      <c r="BO4593">
        <f>IF(4580&lt;$U$9,MOD(INT(4580/$U$8),$U$7)+1,1)</f>
        <v/>
      </c>
      <c r="BP4593">
        <f>IF(4580&lt;$U$9,MOD(4580,$U$8)+1,1)</f>
        <v/>
      </c>
      <c r="BQ4593">
        <f>IF(4580&lt;$U$9,SUMPRODUCT(($D$10:$L$10&lt;&gt;"")*(($D$9:$L$9+INT(($S$12:$AA$12+INDEX($AJ$13:$AR$162,BN4593,0)+INDEX($AT$13:$BB$162,BO4593,0)+INDEX($BD$13:$BL$162,BP4593,0))/100))&gt;=$D$10:$L$10)),0)</f>
        <v/>
      </c>
      <c r="BR4593">
        <f>IF(4580&lt;$U$9,SUMPRODUCT(($D$10:$L$10&lt;&gt;"")*(($D$10:$L$10-($D$9:$L$9+INT(($S$12:$AA$12+INDEX($AJ$13:$AR$162,BN4593,0)+INDEX($AT$13:$BB$162,BO4593,0)+INDEX($BD$13:$BL$162,BP4593,0))/100)))&gt;0)*($D$10:$L$10-($D$9:$L$9+INT(($S$12:$AA$12+INDEX($AJ$13:$AR$162,BN4593,0)+INDEX($AT$13:$BB$162,BO4593,0)+INDEX($BD$13:$BL$162,BP4593,0))/100)))),0)</f>
        <v/>
      </c>
      <c r="BS4593">
        <f>IF(4580&lt;$U$9,SUMPRODUCT(($D$9:$L$9+INT(($S$12:$AA$12+INDEX($AJ$13:$AR$162,BN4593,0)+INDEX($AT$13:$BB$162,BO4593,0)+INDEX($BD$13:$BL$162,BP4593,0))/100))),0)</f>
        <v/>
      </c>
      <c r="BT4593">
        <f>IF(AND(4580&lt;$U$9,$W$5),BQ4593*1000000-MIN(BR4593,999)*1000+BS4593-4580/100000,-1000000000-4580)</f>
        <v/>
      </c>
    </row>
    <row r="4594">
      <c r="BN4594">
        <f>IF(4581&lt;$U$9,INT(4581/($U$7*$U$8))+1,1)</f>
        <v/>
      </c>
      <c r="BO4594">
        <f>IF(4581&lt;$U$9,MOD(INT(4581/$U$8),$U$7)+1,1)</f>
        <v/>
      </c>
      <c r="BP4594">
        <f>IF(4581&lt;$U$9,MOD(4581,$U$8)+1,1)</f>
        <v/>
      </c>
      <c r="BQ4594">
        <f>IF(4581&lt;$U$9,SUMPRODUCT(($D$10:$L$10&lt;&gt;"")*(($D$9:$L$9+INT(($S$12:$AA$12+INDEX($AJ$13:$AR$162,BN4594,0)+INDEX($AT$13:$BB$162,BO4594,0)+INDEX($BD$13:$BL$162,BP4594,0))/100))&gt;=$D$10:$L$10)),0)</f>
        <v/>
      </c>
      <c r="BR4594">
        <f>IF(4581&lt;$U$9,SUMPRODUCT(($D$10:$L$10&lt;&gt;"")*(($D$10:$L$10-($D$9:$L$9+INT(($S$12:$AA$12+INDEX($AJ$13:$AR$162,BN4594,0)+INDEX($AT$13:$BB$162,BO4594,0)+INDEX($BD$13:$BL$162,BP4594,0))/100)))&gt;0)*($D$10:$L$10-($D$9:$L$9+INT(($S$12:$AA$12+INDEX($AJ$13:$AR$162,BN4594,0)+INDEX($AT$13:$BB$162,BO4594,0)+INDEX($BD$13:$BL$162,BP4594,0))/100)))),0)</f>
        <v/>
      </c>
      <c r="BS4594">
        <f>IF(4581&lt;$U$9,SUMPRODUCT(($D$9:$L$9+INT(($S$12:$AA$12+INDEX($AJ$13:$AR$162,BN4594,0)+INDEX($AT$13:$BB$162,BO4594,0)+INDEX($BD$13:$BL$162,BP4594,0))/100))),0)</f>
        <v/>
      </c>
      <c r="BT4594">
        <f>IF(AND(4581&lt;$U$9,$W$5),BQ4594*1000000-MIN(BR4594,999)*1000+BS4594-4581/100000,-1000000000-4581)</f>
        <v/>
      </c>
    </row>
    <row r="4595">
      <c r="BN4595">
        <f>IF(4582&lt;$U$9,INT(4582/($U$7*$U$8))+1,1)</f>
        <v/>
      </c>
      <c r="BO4595">
        <f>IF(4582&lt;$U$9,MOD(INT(4582/$U$8),$U$7)+1,1)</f>
        <v/>
      </c>
      <c r="BP4595">
        <f>IF(4582&lt;$U$9,MOD(4582,$U$8)+1,1)</f>
        <v/>
      </c>
      <c r="BQ4595">
        <f>IF(4582&lt;$U$9,SUMPRODUCT(($D$10:$L$10&lt;&gt;"")*(($D$9:$L$9+INT(($S$12:$AA$12+INDEX($AJ$13:$AR$162,BN4595,0)+INDEX($AT$13:$BB$162,BO4595,0)+INDEX($BD$13:$BL$162,BP4595,0))/100))&gt;=$D$10:$L$10)),0)</f>
        <v/>
      </c>
      <c r="BR4595">
        <f>IF(4582&lt;$U$9,SUMPRODUCT(($D$10:$L$10&lt;&gt;"")*(($D$10:$L$10-($D$9:$L$9+INT(($S$12:$AA$12+INDEX($AJ$13:$AR$162,BN4595,0)+INDEX($AT$13:$BB$162,BO4595,0)+INDEX($BD$13:$BL$162,BP4595,0))/100)))&gt;0)*($D$10:$L$10-($D$9:$L$9+INT(($S$12:$AA$12+INDEX($AJ$13:$AR$162,BN4595,0)+INDEX($AT$13:$BB$162,BO4595,0)+INDEX($BD$13:$BL$162,BP4595,0))/100)))),0)</f>
        <v/>
      </c>
      <c r="BS4595">
        <f>IF(4582&lt;$U$9,SUMPRODUCT(($D$9:$L$9+INT(($S$12:$AA$12+INDEX($AJ$13:$AR$162,BN4595,0)+INDEX($AT$13:$BB$162,BO4595,0)+INDEX($BD$13:$BL$162,BP4595,0))/100))),0)</f>
        <v/>
      </c>
      <c r="BT4595">
        <f>IF(AND(4582&lt;$U$9,$W$5),BQ4595*1000000-MIN(BR4595,999)*1000+BS4595-4582/100000,-1000000000-4582)</f>
        <v/>
      </c>
    </row>
    <row r="4596">
      <c r="BN4596">
        <f>IF(4583&lt;$U$9,INT(4583/($U$7*$U$8))+1,1)</f>
        <v/>
      </c>
      <c r="BO4596">
        <f>IF(4583&lt;$U$9,MOD(INT(4583/$U$8),$U$7)+1,1)</f>
        <v/>
      </c>
      <c r="BP4596">
        <f>IF(4583&lt;$U$9,MOD(4583,$U$8)+1,1)</f>
        <v/>
      </c>
      <c r="BQ4596">
        <f>IF(4583&lt;$U$9,SUMPRODUCT(($D$10:$L$10&lt;&gt;"")*(($D$9:$L$9+INT(($S$12:$AA$12+INDEX($AJ$13:$AR$162,BN4596,0)+INDEX($AT$13:$BB$162,BO4596,0)+INDEX($BD$13:$BL$162,BP4596,0))/100))&gt;=$D$10:$L$10)),0)</f>
        <v/>
      </c>
      <c r="BR4596">
        <f>IF(4583&lt;$U$9,SUMPRODUCT(($D$10:$L$10&lt;&gt;"")*(($D$10:$L$10-($D$9:$L$9+INT(($S$12:$AA$12+INDEX($AJ$13:$AR$162,BN4596,0)+INDEX($AT$13:$BB$162,BO4596,0)+INDEX($BD$13:$BL$162,BP4596,0))/100)))&gt;0)*($D$10:$L$10-($D$9:$L$9+INT(($S$12:$AA$12+INDEX($AJ$13:$AR$162,BN4596,0)+INDEX($AT$13:$BB$162,BO4596,0)+INDEX($BD$13:$BL$162,BP4596,0))/100)))),0)</f>
        <v/>
      </c>
      <c r="BS4596">
        <f>IF(4583&lt;$U$9,SUMPRODUCT(($D$9:$L$9+INT(($S$12:$AA$12+INDEX($AJ$13:$AR$162,BN4596,0)+INDEX($AT$13:$BB$162,BO4596,0)+INDEX($BD$13:$BL$162,BP4596,0))/100))),0)</f>
        <v/>
      </c>
      <c r="BT4596">
        <f>IF(AND(4583&lt;$U$9,$W$5),BQ4596*1000000-MIN(BR4596,999)*1000+BS4596-4583/100000,-1000000000-4583)</f>
        <v/>
      </c>
    </row>
    <row r="4597">
      <c r="BN4597">
        <f>IF(4584&lt;$U$9,INT(4584/($U$7*$U$8))+1,1)</f>
        <v/>
      </c>
      <c r="BO4597">
        <f>IF(4584&lt;$U$9,MOD(INT(4584/$U$8),$U$7)+1,1)</f>
        <v/>
      </c>
      <c r="BP4597">
        <f>IF(4584&lt;$U$9,MOD(4584,$U$8)+1,1)</f>
        <v/>
      </c>
      <c r="BQ4597">
        <f>IF(4584&lt;$U$9,SUMPRODUCT(($D$10:$L$10&lt;&gt;"")*(($D$9:$L$9+INT(($S$12:$AA$12+INDEX($AJ$13:$AR$162,BN4597,0)+INDEX($AT$13:$BB$162,BO4597,0)+INDEX($BD$13:$BL$162,BP4597,0))/100))&gt;=$D$10:$L$10)),0)</f>
        <v/>
      </c>
      <c r="BR4597">
        <f>IF(4584&lt;$U$9,SUMPRODUCT(($D$10:$L$10&lt;&gt;"")*(($D$10:$L$10-($D$9:$L$9+INT(($S$12:$AA$12+INDEX($AJ$13:$AR$162,BN4597,0)+INDEX($AT$13:$BB$162,BO4597,0)+INDEX($BD$13:$BL$162,BP4597,0))/100)))&gt;0)*($D$10:$L$10-($D$9:$L$9+INT(($S$12:$AA$12+INDEX($AJ$13:$AR$162,BN4597,0)+INDEX($AT$13:$BB$162,BO4597,0)+INDEX($BD$13:$BL$162,BP4597,0))/100)))),0)</f>
        <v/>
      </c>
      <c r="BS4597">
        <f>IF(4584&lt;$U$9,SUMPRODUCT(($D$9:$L$9+INT(($S$12:$AA$12+INDEX($AJ$13:$AR$162,BN4597,0)+INDEX($AT$13:$BB$162,BO4597,0)+INDEX($BD$13:$BL$162,BP4597,0))/100))),0)</f>
        <v/>
      </c>
      <c r="BT4597">
        <f>IF(AND(4584&lt;$U$9,$W$5),BQ4597*1000000-MIN(BR4597,999)*1000+BS4597-4584/100000,-1000000000-4584)</f>
        <v/>
      </c>
    </row>
    <row r="4598">
      <c r="BN4598">
        <f>IF(4585&lt;$U$9,INT(4585/($U$7*$U$8))+1,1)</f>
        <v/>
      </c>
      <c r="BO4598">
        <f>IF(4585&lt;$U$9,MOD(INT(4585/$U$8),$U$7)+1,1)</f>
        <v/>
      </c>
      <c r="BP4598">
        <f>IF(4585&lt;$U$9,MOD(4585,$U$8)+1,1)</f>
        <v/>
      </c>
      <c r="BQ4598">
        <f>IF(4585&lt;$U$9,SUMPRODUCT(($D$10:$L$10&lt;&gt;"")*(($D$9:$L$9+INT(($S$12:$AA$12+INDEX($AJ$13:$AR$162,BN4598,0)+INDEX($AT$13:$BB$162,BO4598,0)+INDEX($BD$13:$BL$162,BP4598,0))/100))&gt;=$D$10:$L$10)),0)</f>
        <v/>
      </c>
      <c r="BR4598">
        <f>IF(4585&lt;$U$9,SUMPRODUCT(($D$10:$L$10&lt;&gt;"")*(($D$10:$L$10-($D$9:$L$9+INT(($S$12:$AA$12+INDEX($AJ$13:$AR$162,BN4598,0)+INDEX($AT$13:$BB$162,BO4598,0)+INDEX($BD$13:$BL$162,BP4598,0))/100)))&gt;0)*($D$10:$L$10-($D$9:$L$9+INT(($S$12:$AA$12+INDEX($AJ$13:$AR$162,BN4598,0)+INDEX($AT$13:$BB$162,BO4598,0)+INDEX($BD$13:$BL$162,BP4598,0))/100)))),0)</f>
        <v/>
      </c>
      <c r="BS4598">
        <f>IF(4585&lt;$U$9,SUMPRODUCT(($D$9:$L$9+INT(($S$12:$AA$12+INDEX($AJ$13:$AR$162,BN4598,0)+INDEX($AT$13:$BB$162,BO4598,0)+INDEX($BD$13:$BL$162,BP4598,0))/100))),0)</f>
        <v/>
      </c>
      <c r="BT4598">
        <f>IF(AND(4585&lt;$U$9,$W$5),BQ4598*1000000-MIN(BR4598,999)*1000+BS4598-4585/100000,-1000000000-4585)</f>
        <v/>
      </c>
    </row>
    <row r="4599">
      <c r="BN4599">
        <f>IF(4586&lt;$U$9,INT(4586/($U$7*$U$8))+1,1)</f>
        <v/>
      </c>
      <c r="BO4599">
        <f>IF(4586&lt;$U$9,MOD(INT(4586/$U$8),$U$7)+1,1)</f>
        <v/>
      </c>
      <c r="BP4599">
        <f>IF(4586&lt;$U$9,MOD(4586,$U$8)+1,1)</f>
        <v/>
      </c>
      <c r="BQ4599">
        <f>IF(4586&lt;$U$9,SUMPRODUCT(($D$10:$L$10&lt;&gt;"")*(($D$9:$L$9+INT(($S$12:$AA$12+INDEX($AJ$13:$AR$162,BN4599,0)+INDEX($AT$13:$BB$162,BO4599,0)+INDEX($BD$13:$BL$162,BP4599,0))/100))&gt;=$D$10:$L$10)),0)</f>
        <v/>
      </c>
      <c r="BR4599">
        <f>IF(4586&lt;$U$9,SUMPRODUCT(($D$10:$L$10&lt;&gt;"")*(($D$10:$L$10-($D$9:$L$9+INT(($S$12:$AA$12+INDEX($AJ$13:$AR$162,BN4599,0)+INDEX($AT$13:$BB$162,BO4599,0)+INDEX($BD$13:$BL$162,BP4599,0))/100)))&gt;0)*($D$10:$L$10-($D$9:$L$9+INT(($S$12:$AA$12+INDEX($AJ$13:$AR$162,BN4599,0)+INDEX($AT$13:$BB$162,BO4599,0)+INDEX($BD$13:$BL$162,BP4599,0))/100)))),0)</f>
        <v/>
      </c>
      <c r="BS4599">
        <f>IF(4586&lt;$U$9,SUMPRODUCT(($D$9:$L$9+INT(($S$12:$AA$12+INDEX($AJ$13:$AR$162,BN4599,0)+INDEX($AT$13:$BB$162,BO4599,0)+INDEX($BD$13:$BL$162,BP4599,0))/100))),0)</f>
        <v/>
      </c>
      <c r="BT4599">
        <f>IF(AND(4586&lt;$U$9,$W$5),BQ4599*1000000-MIN(BR4599,999)*1000+BS4599-4586/100000,-1000000000-4586)</f>
        <v/>
      </c>
    </row>
    <row r="4600">
      <c r="BN4600">
        <f>IF(4587&lt;$U$9,INT(4587/($U$7*$U$8))+1,1)</f>
        <v/>
      </c>
      <c r="BO4600">
        <f>IF(4587&lt;$U$9,MOD(INT(4587/$U$8),$U$7)+1,1)</f>
        <v/>
      </c>
      <c r="BP4600">
        <f>IF(4587&lt;$U$9,MOD(4587,$U$8)+1,1)</f>
        <v/>
      </c>
      <c r="BQ4600">
        <f>IF(4587&lt;$U$9,SUMPRODUCT(($D$10:$L$10&lt;&gt;"")*(($D$9:$L$9+INT(($S$12:$AA$12+INDEX($AJ$13:$AR$162,BN4600,0)+INDEX($AT$13:$BB$162,BO4600,0)+INDEX($BD$13:$BL$162,BP4600,0))/100))&gt;=$D$10:$L$10)),0)</f>
        <v/>
      </c>
      <c r="BR4600">
        <f>IF(4587&lt;$U$9,SUMPRODUCT(($D$10:$L$10&lt;&gt;"")*(($D$10:$L$10-($D$9:$L$9+INT(($S$12:$AA$12+INDEX($AJ$13:$AR$162,BN4600,0)+INDEX($AT$13:$BB$162,BO4600,0)+INDEX($BD$13:$BL$162,BP4600,0))/100)))&gt;0)*($D$10:$L$10-($D$9:$L$9+INT(($S$12:$AA$12+INDEX($AJ$13:$AR$162,BN4600,0)+INDEX($AT$13:$BB$162,BO4600,0)+INDEX($BD$13:$BL$162,BP4600,0))/100)))),0)</f>
        <v/>
      </c>
      <c r="BS4600">
        <f>IF(4587&lt;$U$9,SUMPRODUCT(($D$9:$L$9+INT(($S$12:$AA$12+INDEX($AJ$13:$AR$162,BN4600,0)+INDEX($AT$13:$BB$162,BO4600,0)+INDEX($BD$13:$BL$162,BP4600,0))/100))),0)</f>
        <v/>
      </c>
      <c r="BT4600">
        <f>IF(AND(4587&lt;$U$9,$W$5),BQ4600*1000000-MIN(BR4600,999)*1000+BS4600-4587/100000,-1000000000-4587)</f>
        <v/>
      </c>
    </row>
    <row r="4601">
      <c r="BN4601">
        <f>IF(4588&lt;$U$9,INT(4588/($U$7*$U$8))+1,1)</f>
        <v/>
      </c>
      <c r="BO4601">
        <f>IF(4588&lt;$U$9,MOD(INT(4588/$U$8),$U$7)+1,1)</f>
        <v/>
      </c>
      <c r="BP4601">
        <f>IF(4588&lt;$U$9,MOD(4588,$U$8)+1,1)</f>
        <v/>
      </c>
      <c r="BQ4601">
        <f>IF(4588&lt;$U$9,SUMPRODUCT(($D$10:$L$10&lt;&gt;"")*(($D$9:$L$9+INT(($S$12:$AA$12+INDEX($AJ$13:$AR$162,BN4601,0)+INDEX($AT$13:$BB$162,BO4601,0)+INDEX($BD$13:$BL$162,BP4601,0))/100))&gt;=$D$10:$L$10)),0)</f>
        <v/>
      </c>
      <c r="BR4601">
        <f>IF(4588&lt;$U$9,SUMPRODUCT(($D$10:$L$10&lt;&gt;"")*(($D$10:$L$10-($D$9:$L$9+INT(($S$12:$AA$12+INDEX($AJ$13:$AR$162,BN4601,0)+INDEX($AT$13:$BB$162,BO4601,0)+INDEX($BD$13:$BL$162,BP4601,0))/100)))&gt;0)*($D$10:$L$10-($D$9:$L$9+INT(($S$12:$AA$12+INDEX($AJ$13:$AR$162,BN4601,0)+INDEX($AT$13:$BB$162,BO4601,0)+INDEX($BD$13:$BL$162,BP4601,0))/100)))),0)</f>
        <v/>
      </c>
      <c r="BS4601">
        <f>IF(4588&lt;$U$9,SUMPRODUCT(($D$9:$L$9+INT(($S$12:$AA$12+INDEX($AJ$13:$AR$162,BN4601,0)+INDEX($AT$13:$BB$162,BO4601,0)+INDEX($BD$13:$BL$162,BP4601,0))/100))),0)</f>
        <v/>
      </c>
      <c r="BT4601">
        <f>IF(AND(4588&lt;$U$9,$W$5),BQ4601*1000000-MIN(BR4601,999)*1000+BS4601-4588/100000,-1000000000-4588)</f>
        <v/>
      </c>
    </row>
    <row r="4602">
      <c r="BN4602">
        <f>IF(4589&lt;$U$9,INT(4589/($U$7*$U$8))+1,1)</f>
        <v/>
      </c>
      <c r="BO4602">
        <f>IF(4589&lt;$U$9,MOD(INT(4589/$U$8),$U$7)+1,1)</f>
        <v/>
      </c>
      <c r="BP4602">
        <f>IF(4589&lt;$U$9,MOD(4589,$U$8)+1,1)</f>
        <v/>
      </c>
      <c r="BQ4602">
        <f>IF(4589&lt;$U$9,SUMPRODUCT(($D$10:$L$10&lt;&gt;"")*(($D$9:$L$9+INT(($S$12:$AA$12+INDEX($AJ$13:$AR$162,BN4602,0)+INDEX($AT$13:$BB$162,BO4602,0)+INDEX($BD$13:$BL$162,BP4602,0))/100))&gt;=$D$10:$L$10)),0)</f>
        <v/>
      </c>
      <c r="BR4602">
        <f>IF(4589&lt;$U$9,SUMPRODUCT(($D$10:$L$10&lt;&gt;"")*(($D$10:$L$10-($D$9:$L$9+INT(($S$12:$AA$12+INDEX($AJ$13:$AR$162,BN4602,0)+INDEX($AT$13:$BB$162,BO4602,0)+INDEX($BD$13:$BL$162,BP4602,0))/100)))&gt;0)*($D$10:$L$10-($D$9:$L$9+INT(($S$12:$AA$12+INDEX($AJ$13:$AR$162,BN4602,0)+INDEX($AT$13:$BB$162,BO4602,0)+INDEX($BD$13:$BL$162,BP4602,0))/100)))),0)</f>
        <v/>
      </c>
      <c r="BS4602">
        <f>IF(4589&lt;$U$9,SUMPRODUCT(($D$9:$L$9+INT(($S$12:$AA$12+INDEX($AJ$13:$AR$162,BN4602,0)+INDEX($AT$13:$BB$162,BO4602,0)+INDEX($BD$13:$BL$162,BP4602,0))/100))),0)</f>
        <v/>
      </c>
      <c r="BT4602">
        <f>IF(AND(4589&lt;$U$9,$W$5),BQ4602*1000000-MIN(BR4602,999)*1000+BS4602-4589/100000,-1000000000-4589)</f>
        <v/>
      </c>
    </row>
    <row r="4603">
      <c r="BN4603">
        <f>IF(4590&lt;$U$9,INT(4590/($U$7*$U$8))+1,1)</f>
        <v/>
      </c>
      <c r="BO4603">
        <f>IF(4590&lt;$U$9,MOD(INT(4590/$U$8),$U$7)+1,1)</f>
        <v/>
      </c>
      <c r="BP4603">
        <f>IF(4590&lt;$U$9,MOD(4590,$U$8)+1,1)</f>
        <v/>
      </c>
      <c r="BQ4603">
        <f>IF(4590&lt;$U$9,SUMPRODUCT(($D$10:$L$10&lt;&gt;"")*(($D$9:$L$9+INT(($S$12:$AA$12+INDEX($AJ$13:$AR$162,BN4603,0)+INDEX($AT$13:$BB$162,BO4603,0)+INDEX($BD$13:$BL$162,BP4603,0))/100))&gt;=$D$10:$L$10)),0)</f>
        <v/>
      </c>
      <c r="BR4603">
        <f>IF(4590&lt;$U$9,SUMPRODUCT(($D$10:$L$10&lt;&gt;"")*(($D$10:$L$10-($D$9:$L$9+INT(($S$12:$AA$12+INDEX($AJ$13:$AR$162,BN4603,0)+INDEX($AT$13:$BB$162,BO4603,0)+INDEX($BD$13:$BL$162,BP4603,0))/100)))&gt;0)*($D$10:$L$10-($D$9:$L$9+INT(($S$12:$AA$12+INDEX($AJ$13:$AR$162,BN4603,0)+INDEX($AT$13:$BB$162,BO4603,0)+INDEX($BD$13:$BL$162,BP4603,0))/100)))),0)</f>
        <v/>
      </c>
      <c r="BS4603">
        <f>IF(4590&lt;$U$9,SUMPRODUCT(($D$9:$L$9+INT(($S$12:$AA$12+INDEX($AJ$13:$AR$162,BN4603,0)+INDEX($AT$13:$BB$162,BO4603,0)+INDEX($BD$13:$BL$162,BP4603,0))/100))),0)</f>
        <v/>
      </c>
      <c r="BT4603">
        <f>IF(AND(4590&lt;$U$9,$W$5),BQ4603*1000000-MIN(BR4603,999)*1000+BS4603-4590/100000,-1000000000-4590)</f>
        <v/>
      </c>
    </row>
    <row r="4604">
      <c r="BN4604">
        <f>IF(4591&lt;$U$9,INT(4591/($U$7*$U$8))+1,1)</f>
        <v/>
      </c>
      <c r="BO4604">
        <f>IF(4591&lt;$U$9,MOD(INT(4591/$U$8),$U$7)+1,1)</f>
        <v/>
      </c>
      <c r="BP4604">
        <f>IF(4591&lt;$U$9,MOD(4591,$U$8)+1,1)</f>
        <v/>
      </c>
      <c r="BQ4604">
        <f>IF(4591&lt;$U$9,SUMPRODUCT(($D$10:$L$10&lt;&gt;"")*(($D$9:$L$9+INT(($S$12:$AA$12+INDEX($AJ$13:$AR$162,BN4604,0)+INDEX($AT$13:$BB$162,BO4604,0)+INDEX($BD$13:$BL$162,BP4604,0))/100))&gt;=$D$10:$L$10)),0)</f>
        <v/>
      </c>
      <c r="BR4604">
        <f>IF(4591&lt;$U$9,SUMPRODUCT(($D$10:$L$10&lt;&gt;"")*(($D$10:$L$10-($D$9:$L$9+INT(($S$12:$AA$12+INDEX($AJ$13:$AR$162,BN4604,0)+INDEX($AT$13:$BB$162,BO4604,0)+INDEX($BD$13:$BL$162,BP4604,0))/100)))&gt;0)*($D$10:$L$10-($D$9:$L$9+INT(($S$12:$AA$12+INDEX($AJ$13:$AR$162,BN4604,0)+INDEX($AT$13:$BB$162,BO4604,0)+INDEX($BD$13:$BL$162,BP4604,0))/100)))),0)</f>
        <v/>
      </c>
      <c r="BS4604">
        <f>IF(4591&lt;$U$9,SUMPRODUCT(($D$9:$L$9+INT(($S$12:$AA$12+INDEX($AJ$13:$AR$162,BN4604,0)+INDEX($AT$13:$BB$162,BO4604,0)+INDEX($BD$13:$BL$162,BP4604,0))/100))),0)</f>
        <v/>
      </c>
      <c r="BT4604">
        <f>IF(AND(4591&lt;$U$9,$W$5),BQ4604*1000000-MIN(BR4604,999)*1000+BS4604-4591/100000,-1000000000-4591)</f>
        <v/>
      </c>
    </row>
    <row r="4605">
      <c r="BN4605">
        <f>IF(4592&lt;$U$9,INT(4592/($U$7*$U$8))+1,1)</f>
        <v/>
      </c>
      <c r="BO4605">
        <f>IF(4592&lt;$U$9,MOD(INT(4592/$U$8),$U$7)+1,1)</f>
        <v/>
      </c>
      <c r="BP4605">
        <f>IF(4592&lt;$U$9,MOD(4592,$U$8)+1,1)</f>
        <v/>
      </c>
      <c r="BQ4605">
        <f>IF(4592&lt;$U$9,SUMPRODUCT(($D$10:$L$10&lt;&gt;"")*(($D$9:$L$9+INT(($S$12:$AA$12+INDEX($AJ$13:$AR$162,BN4605,0)+INDEX($AT$13:$BB$162,BO4605,0)+INDEX($BD$13:$BL$162,BP4605,0))/100))&gt;=$D$10:$L$10)),0)</f>
        <v/>
      </c>
      <c r="BR4605">
        <f>IF(4592&lt;$U$9,SUMPRODUCT(($D$10:$L$10&lt;&gt;"")*(($D$10:$L$10-($D$9:$L$9+INT(($S$12:$AA$12+INDEX($AJ$13:$AR$162,BN4605,0)+INDEX($AT$13:$BB$162,BO4605,0)+INDEX($BD$13:$BL$162,BP4605,0))/100)))&gt;0)*($D$10:$L$10-($D$9:$L$9+INT(($S$12:$AA$12+INDEX($AJ$13:$AR$162,BN4605,0)+INDEX($AT$13:$BB$162,BO4605,0)+INDEX($BD$13:$BL$162,BP4605,0))/100)))),0)</f>
        <v/>
      </c>
      <c r="BS4605">
        <f>IF(4592&lt;$U$9,SUMPRODUCT(($D$9:$L$9+INT(($S$12:$AA$12+INDEX($AJ$13:$AR$162,BN4605,0)+INDEX($AT$13:$BB$162,BO4605,0)+INDEX($BD$13:$BL$162,BP4605,0))/100))),0)</f>
        <v/>
      </c>
      <c r="BT4605">
        <f>IF(AND(4592&lt;$U$9,$W$5),BQ4605*1000000-MIN(BR4605,999)*1000+BS4605-4592/100000,-1000000000-4592)</f>
        <v/>
      </c>
    </row>
    <row r="4606">
      <c r="BN4606">
        <f>IF(4593&lt;$U$9,INT(4593/($U$7*$U$8))+1,1)</f>
        <v/>
      </c>
      <c r="BO4606">
        <f>IF(4593&lt;$U$9,MOD(INT(4593/$U$8),$U$7)+1,1)</f>
        <v/>
      </c>
      <c r="BP4606">
        <f>IF(4593&lt;$U$9,MOD(4593,$U$8)+1,1)</f>
        <v/>
      </c>
      <c r="BQ4606">
        <f>IF(4593&lt;$U$9,SUMPRODUCT(($D$10:$L$10&lt;&gt;"")*(($D$9:$L$9+INT(($S$12:$AA$12+INDEX($AJ$13:$AR$162,BN4606,0)+INDEX($AT$13:$BB$162,BO4606,0)+INDEX($BD$13:$BL$162,BP4606,0))/100))&gt;=$D$10:$L$10)),0)</f>
        <v/>
      </c>
      <c r="BR4606">
        <f>IF(4593&lt;$U$9,SUMPRODUCT(($D$10:$L$10&lt;&gt;"")*(($D$10:$L$10-($D$9:$L$9+INT(($S$12:$AA$12+INDEX($AJ$13:$AR$162,BN4606,0)+INDEX($AT$13:$BB$162,BO4606,0)+INDEX($BD$13:$BL$162,BP4606,0))/100)))&gt;0)*($D$10:$L$10-($D$9:$L$9+INT(($S$12:$AA$12+INDEX($AJ$13:$AR$162,BN4606,0)+INDEX($AT$13:$BB$162,BO4606,0)+INDEX($BD$13:$BL$162,BP4606,0))/100)))),0)</f>
        <v/>
      </c>
      <c r="BS4606">
        <f>IF(4593&lt;$U$9,SUMPRODUCT(($D$9:$L$9+INT(($S$12:$AA$12+INDEX($AJ$13:$AR$162,BN4606,0)+INDEX($AT$13:$BB$162,BO4606,0)+INDEX($BD$13:$BL$162,BP4606,0))/100))),0)</f>
        <v/>
      </c>
      <c r="BT4606">
        <f>IF(AND(4593&lt;$U$9,$W$5),BQ4606*1000000-MIN(BR4606,999)*1000+BS4606-4593/100000,-1000000000-4593)</f>
        <v/>
      </c>
    </row>
    <row r="4607">
      <c r="BN4607">
        <f>IF(4594&lt;$U$9,INT(4594/($U$7*$U$8))+1,1)</f>
        <v/>
      </c>
      <c r="BO4607">
        <f>IF(4594&lt;$U$9,MOD(INT(4594/$U$8),$U$7)+1,1)</f>
        <v/>
      </c>
      <c r="BP4607">
        <f>IF(4594&lt;$U$9,MOD(4594,$U$8)+1,1)</f>
        <v/>
      </c>
      <c r="BQ4607">
        <f>IF(4594&lt;$U$9,SUMPRODUCT(($D$10:$L$10&lt;&gt;"")*(($D$9:$L$9+INT(($S$12:$AA$12+INDEX($AJ$13:$AR$162,BN4607,0)+INDEX($AT$13:$BB$162,BO4607,0)+INDEX($BD$13:$BL$162,BP4607,0))/100))&gt;=$D$10:$L$10)),0)</f>
        <v/>
      </c>
      <c r="BR4607">
        <f>IF(4594&lt;$U$9,SUMPRODUCT(($D$10:$L$10&lt;&gt;"")*(($D$10:$L$10-($D$9:$L$9+INT(($S$12:$AA$12+INDEX($AJ$13:$AR$162,BN4607,0)+INDEX($AT$13:$BB$162,BO4607,0)+INDEX($BD$13:$BL$162,BP4607,0))/100)))&gt;0)*($D$10:$L$10-($D$9:$L$9+INT(($S$12:$AA$12+INDEX($AJ$13:$AR$162,BN4607,0)+INDEX($AT$13:$BB$162,BO4607,0)+INDEX($BD$13:$BL$162,BP4607,0))/100)))),0)</f>
        <v/>
      </c>
      <c r="BS4607">
        <f>IF(4594&lt;$U$9,SUMPRODUCT(($D$9:$L$9+INT(($S$12:$AA$12+INDEX($AJ$13:$AR$162,BN4607,0)+INDEX($AT$13:$BB$162,BO4607,0)+INDEX($BD$13:$BL$162,BP4607,0))/100))),0)</f>
        <v/>
      </c>
      <c r="BT4607">
        <f>IF(AND(4594&lt;$U$9,$W$5),BQ4607*1000000-MIN(BR4607,999)*1000+BS4607-4594/100000,-1000000000-4594)</f>
        <v/>
      </c>
    </row>
    <row r="4608">
      <c r="BN4608">
        <f>IF(4595&lt;$U$9,INT(4595/($U$7*$U$8))+1,1)</f>
        <v/>
      </c>
      <c r="BO4608">
        <f>IF(4595&lt;$U$9,MOD(INT(4595/$U$8),$U$7)+1,1)</f>
        <v/>
      </c>
      <c r="BP4608">
        <f>IF(4595&lt;$U$9,MOD(4595,$U$8)+1,1)</f>
        <v/>
      </c>
      <c r="BQ4608">
        <f>IF(4595&lt;$U$9,SUMPRODUCT(($D$10:$L$10&lt;&gt;"")*(($D$9:$L$9+INT(($S$12:$AA$12+INDEX($AJ$13:$AR$162,BN4608,0)+INDEX($AT$13:$BB$162,BO4608,0)+INDEX($BD$13:$BL$162,BP4608,0))/100))&gt;=$D$10:$L$10)),0)</f>
        <v/>
      </c>
      <c r="BR4608">
        <f>IF(4595&lt;$U$9,SUMPRODUCT(($D$10:$L$10&lt;&gt;"")*(($D$10:$L$10-($D$9:$L$9+INT(($S$12:$AA$12+INDEX($AJ$13:$AR$162,BN4608,0)+INDEX($AT$13:$BB$162,BO4608,0)+INDEX($BD$13:$BL$162,BP4608,0))/100)))&gt;0)*($D$10:$L$10-($D$9:$L$9+INT(($S$12:$AA$12+INDEX($AJ$13:$AR$162,BN4608,0)+INDEX($AT$13:$BB$162,BO4608,0)+INDEX($BD$13:$BL$162,BP4608,0))/100)))),0)</f>
        <v/>
      </c>
      <c r="BS4608">
        <f>IF(4595&lt;$U$9,SUMPRODUCT(($D$9:$L$9+INT(($S$12:$AA$12+INDEX($AJ$13:$AR$162,BN4608,0)+INDEX($AT$13:$BB$162,BO4608,0)+INDEX($BD$13:$BL$162,BP4608,0))/100))),0)</f>
        <v/>
      </c>
      <c r="BT4608">
        <f>IF(AND(4595&lt;$U$9,$W$5),BQ4608*1000000-MIN(BR4608,999)*1000+BS4608-4595/100000,-1000000000-4595)</f>
        <v/>
      </c>
    </row>
    <row r="4609">
      <c r="BN4609">
        <f>IF(4596&lt;$U$9,INT(4596/($U$7*$U$8))+1,1)</f>
        <v/>
      </c>
      <c r="BO4609">
        <f>IF(4596&lt;$U$9,MOD(INT(4596/$U$8),$U$7)+1,1)</f>
        <v/>
      </c>
      <c r="BP4609">
        <f>IF(4596&lt;$U$9,MOD(4596,$U$8)+1,1)</f>
        <v/>
      </c>
      <c r="BQ4609">
        <f>IF(4596&lt;$U$9,SUMPRODUCT(($D$10:$L$10&lt;&gt;"")*(($D$9:$L$9+INT(($S$12:$AA$12+INDEX($AJ$13:$AR$162,BN4609,0)+INDEX($AT$13:$BB$162,BO4609,0)+INDEX($BD$13:$BL$162,BP4609,0))/100))&gt;=$D$10:$L$10)),0)</f>
        <v/>
      </c>
      <c r="BR4609">
        <f>IF(4596&lt;$U$9,SUMPRODUCT(($D$10:$L$10&lt;&gt;"")*(($D$10:$L$10-($D$9:$L$9+INT(($S$12:$AA$12+INDEX($AJ$13:$AR$162,BN4609,0)+INDEX($AT$13:$BB$162,BO4609,0)+INDEX($BD$13:$BL$162,BP4609,0))/100)))&gt;0)*($D$10:$L$10-($D$9:$L$9+INT(($S$12:$AA$12+INDEX($AJ$13:$AR$162,BN4609,0)+INDEX($AT$13:$BB$162,BO4609,0)+INDEX($BD$13:$BL$162,BP4609,0))/100)))),0)</f>
        <v/>
      </c>
      <c r="BS4609">
        <f>IF(4596&lt;$U$9,SUMPRODUCT(($D$9:$L$9+INT(($S$12:$AA$12+INDEX($AJ$13:$AR$162,BN4609,0)+INDEX($AT$13:$BB$162,BO4609,0)+INDEX($BD$13:$BL$162,BP4609,0))/100))),0)</f>
        <v/>
      </c>
      <c r="BT4609">
        <f>IF(AND(4596&lt;$U$9,$W$5),BQ4609*1000000-MIN(BR4609,999)*1000+BS4609-4596/100000,-1000000000-4596)</f>
        <v/>
      </c>
    </row>
    <row r="4610">
      <c r="BN4610">
        <f>IF(4597&lt;$U$9,INT(4597/($U$7*$U$8))+1,1)</f>
        <v/>
      </c>
      <c r="BO4610">
        <f>IF(4597&lt;$U$9,MOD(INT(4597/$U$8),$U$7)+1,1)</f>
        <v/>
      </c>
      <c r="BP4610">
        <f>IF(4597&lt;$U$9,MOD(4597,$U$8)+1,1)</f>
        <v/>
      </c>
      <c r="BQ4610">
        <f>IF(4597&lt;$U$9,SUMPRODUCT(($D$10:$L$10&lt;&gt;"")*(($D$9:$L$9+INT(($S$12:$AA$12+INDEX($AJ$13:$AR$162,BN4610,0)+INDEX($AT$13:$BB$162,BO4610,0)+INDEX($BD$13:$BL$162,BP4610,0))/100))&gt;=$D$10:$L$10)),0)</f>
        <v/>
      </c>
      <c r="BR4610">
        <f>IF(4597&lt;$U$9,SUMPRODUCT(($D$10:$L$10&lt;&gt;"")*(($D$10:$L$10-($D$9:$L$9+INT(($S$12:$AA$12+INDEX($AJ$13:$AR$162,BN4610,0)+INDEX($AT$13:$BB$162,BO4610,0)+INDEX($BD$13:$BL$162,BP4610,0))/100)))&gt;0)*($D$10:$L$10-($D$9:$L$9+INT(($S$12:$AA$12+INDEX($AJ$13:$AR$162,BN4610,0)+INDEX($AT$13:$BB$162,BO4610,0)+INDEX($BD$13:$BL$162,BP4610,0))/100)))),0)</f>
        <v/>
      </c>
      <c r="BS4610">
        <f>IF(4597&lt;$U$9,SUMPRODUCT(($D$9:$L$9+INT(($S$12:$AA$12+INDEX($AJ$13:$AR$162,BN4610,0)+INDEX($AT$13:$BB$162,BO4610,0)+INDEX($BD$13:$BL$162,BP4610,0))/100))),0)</f>
        <v/>
      </c>
      <c r="BT4610">
        <f>IF(AND(4597&lt;$U$9,$W$5),BQ4610*1000000-MIN(BR4610,999)*1000+BS4610-4597/100000,-1000000000-4597)</f>
        <v/>
      </c>
    </row>
    <row r="4611">
      <c r="BN4611">
        <f>IF(4598&lt;$U$9,INT(4598/($U$7*$U$8))+1,1)</f>
        <v/>
      </c>
      <c r="BO4611">
        <f>IF(4598&lt;$U$9,MOD(INT(4598/$U$8),$U$7)+1,1)</f>
        <v/>
      </c>
      <c r="BP4611">
        <f>IF(4598&lt;$U$9,MOD(4598,$U$8)+1,1)</f>
        <v/>
      </c>
      <c r="BQ4611">
        <f>IF(4598&lt;$U$9,SUMPRODUCT(($D$10:$L$10&lt;&gt;"")*(($D$9:$L$9+INT(($S$12:$AA$12+INDEX($AJ$13:$AR$162,BN4611,0)+INDEX($AT$13:$BB$162,BO4611,0)+INDEX($BD$13:$BL$162,BP4611,0))/100))&gt;=$D$10:$L$10)),0)</f>
        <v/>
      </c>
      <c r="BR4611">
        <f>IF(4598&lt;$U$9,SUMPRODUCT(($D$10:$L$10&lt;&gt;"")*(($D$10:$L$10-($D$9:$L$9+INT(($S$12:$AA$12+INDEX($AJ$13:$AR$162,BN4611,0)+INDEX($AT$13:$BB$162,BO4611,0)+INDEX($BD$13:$BL$162,BP4611,0))/100)))&gt;0)*($D$10:$L$10-($D$9:$L$9+INT(($S$12:$AA$12+INDEX($AJ$13:$AR$162,BN4611,0)+INDEX($AT$13:$BB$162,BO4611,0)+INDEX($BD$13:$BL$162,BP4611,0))/100)))),0)</f>
        <v/>
      </c>
      <c r="BS4611">
        <f>IF(4598&lt;$U$9,SUMPRODUCT(($D$9:$L$9+INT(($S$12:$AA$12+INDEX($AJ$13:$AR$162,BN4611,0)+INDEX($AT$13:$BB$162,BO4611,0)+INDEX($BD$13:$BL$162,BP4611,0))/100))),0)</f>
        <v/>
      </c>
      <c r="BT4611">
        <f>IF(AND(4598&lt;$U$9,$W$5),BQ4611*1000000-MIN(BR4611,999)*1000+BS4611-4598/100000,-1000000000-4598)</f>
        <v/>
      </c>
    </row>
    <row r="4612">
      <c r="BN4612">
        <f>IF(4599&lt;$U$9,INT(4599/($U$7*$U$8))+1,1)</f>
        <v/>
      </c>
      <c r="BO4612">
        <f>IF(4599&lt;$U$9,MOD(INT(4599/$U$8),$U$7)+1,1)</f>
        <v/>
      </c>
      <c r="BP4612">
        <f>IF(4599&lt;$U$9,MOD(4599,$U$8)+1,1)</f>
        <v/>
      </c>
      <c r="BQ4612">
        <f>IF(4599&lt;$U$9,SUMPRODUCT(($D$10:$L$10&lt;&gt;"")*(($D$9:$L$9+INT(($S$12:$AA$12+INDEX($AJ$13:$AR$162,BN4612,0)+INDEX($AT$13:$BB$162,BO4612,0)+INDEX($BD$13:$BL$162,BP4612,0))/100))&gt;=$D$10:$L$10)),0)</f>
        <v/>
      </c>
      <c r="BR4612">
        <f>IF(4599&lt;$U$9,SUMPRODUCT(($D$10:$L$10&lt;&gt;"")*(($D$10:$L$10-($D$9:$L$9+INT(($S$12:$AA$12+INDEX($AJ$13:$AR$162,BN4612,0)+INDEX($AT$13:$BB$162,BO4612,0)+INDEX($BD$13:$BL$162,BP4612,0))/100)))&gt;0)*($D$10:$L$10-($D$9:$L$9+INT(($S$12:$AA$12+INDEX($AJ$13:$AR$162,BN4612,0)+INDEX($AT$13:$BB$162,BO4612,0)+INDEX($BD$13:$BL$162,BP4612,0))/100)))),0)</f>
        <v/>
      </c>
      <c r="BS4612">
        <f>IF(4599&lt;$U$9,SUMPRODUCT(($D$9:$L$9+INT(($S$12:$AA$12+INDEX($AJ$13:$AR$162,BN4612,0)+INDEX($AT$13:$BB$162,BO4612,0)+INDEX($BD$13:$BL$162,BP4612,0))/100))),0)</f>
        <v/>
      </c>
      <c r="BT4612">
        <f>IF(AND(4599&lt;$U$9,$W$5),BQ4612*1000000-MIN(BR4612,999)*1000+BS4612-4599/100000,-1000000000-4599)</f>
        <v/>
      </c>
    </row>
    <row r="4613">
      <c r="BN4613">
        <f>IF(4600&lt;$U$9,INT(4600/($U$7*$U$8))+1,1)</f>
        <v/>
      </c>
      <c r="BO4613">
        <f>IF(4600&lt;$U$9,MOD(INT(4600/$U$8),$U$7)+1,1)</f>
        <v/>
      </c>
      <c r="BP4613">
        <f>IF(4600&lt;$U$9,MOD(4600,$U$8)+1,1)</f>
        <v/>
      </c>
      <c r="BQ4613">
        <f>IF(4600&lt;$U$9,SUMPRODUCT(($D$10:$L$10&lt;&gt;"")*(($D$9:$L$9+INT(($S$12:$AA$12+INDEX($AJ$13:$AR$162,BN4613,0)+INDEX($AT$13:$BB$162,BO4613,0)+INDEX($BD$13:$BL$162,BP4613,0))/100))&gt;=$D$10:$L$10)),0)</f>
        <v/>
      </c>
      <c r="BR4613">
        <f>IF(4600&lt;$U$9,SUMPRODUCT(($D$10:$L$10&lt;&gt;"")*(($D$10:$L$10-($D$9:$L$9+INT(($S$12:$AA$12+INDEX($AJ$13:$AR$162,BN4613,0)+INDEX($AT$13:$BB$162,BO4613,0)+INDEX($BD$13:$BL$162,BP4613,0))/100)))&gt;0)*($D$10:$L$10-($D$9:$L$9+INT(($S$12:$AA$12+INDEX($AJ$13:$AR$162,BN4613,0)+INDEX($AT$13:$BB$162,BO4613,0)+INDEX($BD$13:$BL$162,BP4613,0))/100)))),0)</f>
        <v/>
      </c>
      <c r="BS4613">
        <f>IF(4600&lt;$U$9,SUMPRODUCT(($D$9:$L$9+INT(($S$12:$AA$12+INDEX($AJ$13:$AR$162,BN4613,0)+INDEX($AT$13:$BB$162,BO4613,0)+INDEX($BD$13:$BL$162,BP4613,0))/100))),0)</f>
        <v/>
      </c>
      <c r="BT4613">
        <f>IF(AND(4600&lt;$U$9,$W$5),BQ4613*1000000-MIN(BR4613,999)*1000+BS4613-4600/100000,-1000000000-4600)</f>
        <v/>
      </c>
    </row>
    <row r="4614">
      <c r="BN4614">
        <f>IF(4601&lt;$U$9,INT(4601/($U$7*$U$8))+1,1)</f>
        <v/>
      </c>
      <c r="BO4614">
        <f>IF(4601&lt;$U$9,MOD(INT(4601/$U$8),$U$7)+1,1)</f>
        <v/>
      </c>
      <c r="BP4614">
        <f>IF(4601&lt;$U$9,MOD(4601,$U$8)+1,1)</f>
        <v/>
      </c>
      <c r="BQ4614">
        <f>IF(4601&lt;$U$9,SUMPRODUCT(($D$10:$L$10&lt;&gt;"")*(($D$9:$L$9+INT(($S$12:$AA$12+INDEX($AJ$13:$AR$162,BN4614,0)+INDEX($AT$13:$BB$162,BO4614,0)+INDEX($BD$13:$BL$162,BP4614,0))/100))&gt;=$D$10:$L$10)),0)</f>
        <v/>
      </c>
      <c r="BR4614">
        <f>IF(4601&lt;$U$9,SUMPRODUCT(($D$10:$L$10&lt;&gt;"")*(($D$10:$L$10-($D$9:$L$9+INT(($S$12:$AA$12+INDEX($AJ$13:$AR$162,BN4614,0)+INDEX($AT$13:$BB$162,BO4614,0)+INDEX($BD$13:$BL$162,BP4614,0))/100)))&gt;0)*($D$10:$L$10-($D$9:$L$9+INT(($S$12:$AA$12+INDEX($AJ$13:$AR$162,BN4614,0)+INDEX($AT$13:$BB$162,BO4614,0)+INDEX($BD$13:$BL$162,BP4614,0))/100)))),0)</f>
        <v/>
      </c>
      <c r="BS4614">
        <f>IF(4601&lt;$U$9,SUMPRODUCT(($D$9:$L$9+INT(($S$12:$AA$12+INDEX($AJ$13:$AR$162,BN4614,0)+INDEX($AT$13:$BB$162,BO4614,0)+INDEX($BD$13:$BL$162,BP4614,0))/100))),0)</f>
        <v/>
      </c>
      <c r="BT4614">
        <f>IF(AND(4601&lt;$U$9,$W$5),BQ4614*1000000-MIN(BR4614,999)*1000+BS4614-4601/100000,-1000000000-4601)</f>
        <v/>
      </c>
    </row>
    <row r="4615">
      <c r="BN4615">
        <f>IF(4602&lt;$U$9,INT(4602/($U$7*$U$8))+1,1)</f>
        <v/>
      </c>
      <c r="BO4615">
        <f>IF(4602&lt;$U$9,MOD(INT(4602/$U$8),$U$7)+1,1)</f>
        <v/>
      </c>
      <c r="BP4615">
        <f>IF(4602&lt;$U$9,MOD(4602,$U$8)+1,1)</f>
        <v/>
      </c>
      <c r="BQ4615">
        <f>IF(4602&lt;$U$9,SUMPRODUCT(($D$10:$L$10&lt;&gt;"")*(($D$9:$L$9+INT(($S$12:$AA$12+INDEX($AJ$13:$AR$162,BN4615,0)+INDEX($AT$13:$BB$162,BO4615,0)+INDEX($BD$13:$BL$162,BP4615,0))/100))&gt;=$D$10:$L$10)),0)</f>
        <v/>
      </c>
      <c r="BR4615">
        <f>IF(4602&lt;$U$9,SUMPRODUCT(($D$10:$L$10&lt;&gt;"")*(($D$10:$L$10-($D$9:$L$9+INT(($S$12:$AA$12+INDEX($AJ$13:$AR$162,BN4615,0)+INDEX($AT$13:$BB$162,BO4615,0)+INDEX($BD$13:$BL$162,BP4615,0))/100)))&gt;0)*($D$10:$L$10-($D$9:$L$9+INT(($S$12:$AA$12+INDEX($AJ$13:$AR$162,BN4615,0)+INDEX($AT$13:$BB$162,BO4615,0)+INDEX($BD$13:$BL$162,BP4615,0))/100)))),0)</f>
        <v/>
      </c>
      <c r="BS4615">
        <f>IF(4602&lt;$U$9,SUMPRODUCT(($D$9:$L$9+INT(($S$12:$AA$12+INDEX($AJ$13:$AR$162,BN4615,0)+INDEX($AT$13:$BB$162,BO4615,0)+INDEX($BD$13:$BL$162,BP4615,0))/100))),0)</f>
        <v/>
      </c>
      <c r="BT4615">
        <f>IF(AND(4602&lt;$U$9,$W$5),BQ4615*1000000-MIN(BR4615,999)*1000+BS4615-4602/100000,-1000000000-4602)</f>
        <v/>
      </c>
    </row>
    <row r="4616">
      <c r="BN4616">
        <f>IF(4603&lt;$U$9,INT(4603/($U$7*$U$8))+1,1)</f>
        <v/>
      </c>
      <c r="BO4616">
        <f>IF(4603&lt;$U$9,MOD(INT(4603/$U$8),$U$7)+1,1)</f>
        <v/>
      </c>
      <c r="BP4616">
        <f>IF(4603&lt;$U$9,MOD(4603,$U$8)+1,1)</f>
        <v/>
      </c>
      <c r="BQ4616">
        <f>IF(4603&lt;$U$9,SUMPRODUCT(($D$10:$L$10&lt;&gt;"")*(($D$9:$L$9+INT(($S$12:$AA$12+INDEX($AJ$13:$AR$162,BN4616,0)+INDEX($AT$13:$BB$162,BO4616,0)+INDEX($BD$13:$BL$162,BP4616,0))/100))&gt;=$D$10:$L$10)),0)</f>
        <v/>
      </c>
      <c r="BR4616">
        <f>IF(4603&lt;$U$9,SUMPRODUCT(($D$10:$L$10&lt;&gt;"")*(($D$10:$L$10-($D$9:$L$9+INT(($S$12:$AA$12+INDEX($AJ$13:$AR$162,BN4616,0)+INDEX($AT$13:$BB$162,BO4616,0)+INDEX($BD$13:$BL$162,BP4616,0))/100)))&gt;0)*($D$10:$L$10-($D$9:$L$9+INT(($S$12:$AA$12+INDEX($AJ$13:$AR$162,BN4616,0)+INDEX($AT$13:$BB$162,BO4616,0)+INDEX($BD$13:$BL$162,BP4616,0))/100)))),0)</f>
        <v/>
      </c>
      <c r="BS4616">
        <f>IF(4603&lt;$U$9,SUMPRODUCT(($D$9:$L$9+INT(($S$12:$AA$12+INDEX($AJ$13:$AR$162,BN4616,0)+INDEX($AT$13:$BB$162,BO4616,0)+INDEX($BD$13:$BL$162,BP4616,0))/100))),0)</f>
        <v/>
      </c>
      <c r="BT4616">
        <f>IF(AND(4603&lt;$U$9,$W$5),BQ4616*1000000-MIN(BR4616,999)*1000+BS4616-4603/100000,-1000000000-4603)</f>
        <v/>
      </c>
    </row>
    <row r="4617">
      <c r="BN4617">
        <f>IF(4604&lt;$U$9,INT(4604/($U$7*$U$8))+1,1)</f>
        <v/>
      </c>
      <c r="BO4617">
        <f>IF(4604&lt;$U$9,MOD(INT(4604/$U$8),$U$7)+1,1)</f>
        <v/>
      </c>
      <c r="BP4617">
        <f>IF(4604&lt;$U$9,MOD(4604,$U$8)+1,1)</f>
        <v/>
      </c>
      <c r="BQ4617">
        <f>IF(4604&lt;$U$9,SUMPRODUCT(($D$10:$L$10&lt;&gt;"")*(($D$9:$L$9+INT(($S$12:$AA$12+INDEX($AJ$13:$AR$162,BN4617,0)+INDEX($AT$13:$BB$162,BO4617,0)+INDEX($BD$13:$BL$162,BP4617,0))/100))&gt;=$D$10:$L$10)),0)</f>
        <v/>
      </c>
      <c r="BR4617">
        <f>IF(4604&lt;$U$9,SUMPRODUCT(($D$10:$L$10&lt;&gt;"")*(($D$10:$L$10-($D$9:$L$9+INT(($S$12:$AA$12+INDEX($AJ$13:$AR$162,BN4617,0)+INDEX($AT$13:$BB$162,BO4617,0)+INDEX($BD$13:$BL$162,BP4617,0))/100)))&gt;0)*($D$10:$L$10-($D$9:$L$9+INT(($S$12:$AA$12+INDEX($AJ$13:$AR$162,BN4617,0)+INDEX($AT$13:$BB$162,BO4617,0)+INDEX($BD$13:$BL$162,BP4617,0))/100)))),0)</f>
        <v/>
      </c>
      <c r="BS4617">
        <f>IF(4604&lt;$U$9,SUMPRODUCT(($D$9:$L$9+INT(($S$12:$AA$12+INDEX($AJ$13:$AR$162,BN4617,0)+INDEX($AT$13:$BB$162,BO4617,0)+INDEX($BD$13:$BL$162,BP4617,0))/100))),0)</f>
        <v/>
      </c>
      <c r="BT4617">
        <f>IF(AND(4604&lt;$U$9,$W$5),BQ4617*1000000-MIN(BR4617,999)*1000+BS4617-4604/100000,-1000000000-4604)</f>
        <v/>
      </c>
    </row>
    <row r="4618">
      <c r="BN4618">
        <f>IF(4605&lt;$U$9,INT(4605/($U$7*$U$8))+1,1)</f>
        <v/>
      </c>
      <c r="BO4618">
        <f>IF(4605&lt;$U$9,MOD(INT(4605/$U$8),$U$7)+1,1)</f>
        <v/>
      </c>
      <c r="BP4618">
        <f>IF(4605&lt;$U$9,MOD(4605,$U$8)+1,1)</f>
        <v/>
      </c>
      <c r="BQ4618">
        <f>IF(4605&lt;$U$9,SUMPRODUCT(($D$10:$L$10&lt;&gt;"")*(($D$9:$L$9+INT(($S$12:$AA$12+INDEX($AJ$13:$AR$162,BN4618,0)+INDEX($AT$13:$BB$162,BO4618,0)+INDEX($BD$13:$BL$162,BP4618,0))/100))&gt;=$D$10:$L$10)),0)</f>
        <v/>
      </c>
      <c r="BR4618">
        <f>IF(4605&lt;$U$9,SUMPRODUCT(($D$10:$L$10&lt;&gt;"")*(($D$10:$L$10-($D$9:$L$9+INT(($S$12:$AA$12+INDEX($AJ$13:$AR$162,BN4618,0)+INDEX($AT$13:$BB$162,BO4618,0)+INDEX($BD$13:$BL$162,BP4618,0))/100)))&gt;0)*($D$10:$L$10-($D$9:$L$9+INT(($S$12:$AA$12+INDEX($AJ$13:$AR$162,BN4618,0)+INDEX($AT$13:$BB$162,BO4618,0)+INDEX($BD$13:$BL$162,BP4618,0))/100)))),0)</f>
        <v/>
      </c>
      <c r="BS4618">
        <f>IF(4605&lt;$U$9,SUMPRODUCT(($D$9:$L$9+INT(($S$12:$AA$12+INDEX($AJ$13:$AR$162,BN4618,0)+INDEX($AT$13:$BB$162,BO4618,0)+INDEX($BD$13:$BL$162,BP4618,0))/100))),0)</f>
        <v/>
      </c>
      <c r="BT4618">
        <f>IF(AND(4605&lt;$U$9,$W$5),BQ4618*1000000-MIN(BR4618,999)*1000+BS4618-4605/100000,-1000000000-4605)</f>
        <v/>
      </c>
    </row>
    <row r="4619">
      <c r="BN4619">
        <f>IF(4606&lt;$U$9,INT(4606/($U$7*$U$8))+1,1)</f>
        <v/>
      </c>
      <c r="BO4619">
        <f>IF(4606&lt;$U$9,MOD(INT(4606/$U$8),$U$7)+1,1)</f>
        <v/>
      </c>
      <c r="BP4619">
        <f>IF(4606&lt;$U$9,MOD(4606,$U$8)+1,1)</f>
        <v/>
      </c>
      <c r="BQ4619">
        <f>IF(4606&lt;$U$9,SUMPRODUCT(($D$10:$L$10&lt;&gt;"")*(($D$9:$L$9+INT(($S$12:$AA$12+INDEX($AJ$13:$AR$162,BN4619,0)+INDEX($AT$13:$BB$162,BO4619,0)+INDEX($BD$13:$BL$162,BP4619,0))/100))&gt;=$D$10:$L$10)),0)</f>
        <v/>
      </c>
      <c r="BR4619">
        <f>IF(4606&lt;$U$9,SUMPRODUCT(($D$10:$L$10&lt;&gt;"")*(($D$10:$L$10-($D$9:$L$9+INT(($S$12:$AA$12+INDEX($AJ$13:$AR$162,BN4619,0)+INDEX($AT$13:$BB$162,BO4619,0)+INDEX($BD$13:$BL$162,BP4619,0))/100)))&gt;0)*($D$10:$L$10-($D$9:$L$9+INT(($S$12:$AA$12+INDEX($AJ$13:$AR$162,BN4619,0)+INDEX($AT$13:$BB$162,BO4619,0)+INDEX($BD$13:$BL$162,BP4619,0))/100)))),0)</f>
        <v/>
      </c>
      <c r="BS4619">
        <f>IF(4606&lt;$U$9,SUMPRODUCT(($D$9:$L$9+INT(($S$12:$AA$12+INDEX($AJ$13:$AR$162,BN4619,0)+INDEX($AT$13:$BB$162,BO4619,0)+INDEX($BD$13:$BL$162,BP4619,0))/100))),0)</f>
        <v/>
      </c>
      <c r="BT4619">
        <f>IF(AND(4606&lt;$U$9,$W$5),BQ4619*1000000-MIN(BR4619,999)*1000+BS4619-4606/100000,-1000000000-4606)</f>
        <v/>
      </c>
    </row>
    <row r="4620">
      <c r="BN4620">
        <f>IF(4607&lt;$U$9,INT(4607/($U$7*$U$8))+1,1)</f>
        <v/>
      </c>
      <c r="BO4620">
        <f>IF(4607&lt;$U$9,MOD(INT(4607/$U$8),$U$7)+1,1)</f>
        <v/>
      </c>
      <c r="BP4620">
        <f>IF(4607&lt;$U$9,MOD(4607,$U$8)+1,1)</f>
        <v/>
      </c>
      <c r="BQ4620">
        <f>IF(4607&lt;$U$9,SUMPRODUCT(($D$10:$L$10&lt;&gt;"")*(($D$9:$L$9+INT(($S$12:$AA$12+INDEX($AJ$13:$AR$162,BN4620,0)+INDEX($AT$13:$BB$162,BO4620,0)+INDEX($BD$13:$BL$162,BP4620,0))/100))&gt;=$D$10:$L$10)),0)</f>
        <v/>
      </c>
      <c r="BR4620">
        <f>IF(4607&lt;$U$9,SUMPRODUCT(($D$10:$L$10&lt;&gt;"")*(($D$10:$L$10-($D$9:$L$9+INT(($S$12:$AA$12+INDEX($AJ$13:$AR$162,BN4620,0)+INDEX($AT$13:$BB$162,BO4620,0)+INDEX($BD$13:$BL$162,BP4620,0))/100)))&gt;0)*($D$10:$L$10-($D$9:$L$9+INT(($S$12:$AA$12+INDEX($AJ$13:$AR$162,BN4620,0)+INDEX($AT$13:$BB$162,BO4620,0)+INDEX($BD$13:$BL$162,BP4620,0))/100)))),0)</f>
        <v/>
      </c>
      <c r="BS4620">
        <f>IF(4607&lt;$U$9,SUMPRODUCT(($D$9:$L$9+INT(($S$12:$AA$12+INDEX($AJ$13:$AR$162,BN4620,0)+INDEX($AT$13:$BB$162,BO4620,0)+INDEX($BD$13:$BL$162,BP4620,0))/100))),0)</f>
        <v/>
      </c>
      <c r="BT4620">
        <f>IF(AND(4607&lt;$U$9,$W$5),BQ4620*1000000-MIN(BR4620,999)*1000+BS4620-4607/100000,-1000000000-4607)</f>
        <v/>
      </c>
    </row>
    <row r="4621">
      <c r="BN4621">
        <f>IF(4608&lt;$U$9,INT(4608/($U$7*$U$8))+1,1)</f>
        <v/>
      </c>
      <c r="BO4621">
        <f>IF(4608&lt;$U$9,MOD(INT(4608/$U$8),$U$7)+1,1)</f>
        <v/>
      </c>
      <c r="BP4621">
        <f>IF(4608&lt;$U$9,MOD(4608,$U$8)+1,1)</f>
        <v/>
      </c>
      <c r="BQ4621">
        <f>IF(4608&lt;$U$9,SUMPRODUCT(($D$10:$L$10&lt;&gt;"")*(($D$9:$L$9+INT(($S$12:$AA$12+INDEX($AJ$13:$AR$162,BN4621,0)+INDEX($AT$13:$BB$162,BO4621,0)+INDEX($BD$13:$BL$162,BP4621,0))/100))&gt;=$D$10:$L$10)),0)</f>
        <v/>
      </c>
      <c r="BR4621">
        <f>IF(4608&lt;$U$9,SUMPRODUCT(($D$10:$L$10&lt;&gt;"")*(($D$10:$L$10-($D$9:$L$9+INT(($S$12:$AA$12+INDEX($AJ$13:$AR$162,BN4621,0)+INDEX($AT$13:$BB$162,BO4621,0)+INDEX($BD$13:$BL$162,BP4621,0))/100)))&gt;0)*($D$10:$L$10-($D$9:$L$9+INT(($S$12:$AA$12+INDEX($AJ$13:$AR$162,BN4621,0)+INDEX($AT$13:$BB$162,BO4621,0)+INDEX($BD$13:$BL$162,BP4621,0))/100)))),0)</f>
        <v/>
      </c>
      <c r="BS4621">
        <f>IF(4608&lt;$U$9,SUMPRODUCT(($D$9:$L$9+INT(($S$12:$AA$12+INDEX($AJ$13:$AR$162,BN4621,0)+INDEX($AT$13:$BB$162,BO4621,0)+INDEX($BD$13:$BL$162,BP4621,0))/100))),0)</f>
        <v/>
      </c>
      <c r="BT4621">
        <f>IF(AND(4608&lt;$U$9,$W$5),BQ4621*1000000-MIN(BR4621,999)*1000+BS4621-4608/100000,-1000000000-4608)</f>
        <v/>
      </c>
    </row>
    <row r="4622">
      <c r="BN4622">
        <f>IF(4609&lt;$U$9,INT(4609/($U$7*$U$8))+1,1)</f>
        <v/>
      </c>
      <c r="BO4622">
        <f>IF(4609&lt;$U$9,MOD(INT(4609/$U$8),$U$7)+1,1)</f>
        <v/>
      </c>
      <c r="BP4622">
        <f>IF(4609&lt;$U$9,MOD(4609,$U$8)+1,1)</f>
        <v/>
      </c>
      <c r="BQ4622">
        <f>IF(4609&lt;$U$9,SUMPRODUCT(($D$10:$L$10&lt;&gt;"")*(($D$9:$L$9+INT(($S$12:$AA$12+INDEX($AJ$13:$AR$162,BN4622,0)+INDEX($AT$13:$BB$162,BO4622,0)+INDEX($BD$13:$BL$162,BP4622,0))/100))&gt;=$D$10:$L$10)),0)</f>
        <v/>
      </c>
      <c r="BR4622">
        <f>IF(4609&lt;$U$9,SUMPRODUCT(($D$10:$L$10&lt;&gt;"")*(($D$10:$L$10-($D$9:$L$9+INT(($S$12:$AA$12+INDEX($AJ$13:$AR$162,BN4622,0)+INDEX($AT$13:$BB$162,BO4622,0)+INDEX($BD$13:$BL$162,BP4622,0))/100)))&gt;0)*($D$10:$L$10-($D$9:$L$9+INT(($S$12:$AA$12+INDEX($AJ$13:$AR$162,BN4622,0)+INDEX($AT$13:$BB$162,BO4622,0)+INDEX($BD$13:$BL$162,BP4622,0))/100)))),0)</f>
        <v/>
      </c>
      <c r="BS4622">
        <f>IF(4609&lt;$U$9,SUMPRODUCT(($D$9:$L$9+INT(($S$12:$AA$12+INDEX($AJ$13:$AR$162,BN4622,0)+INDEX($AT$13:$BB$162,BO4622,0)+INDEX($BD$13:$BL$162,BP4622,0))/100))),0)</f>
        <v/>
      </c>
      <c r="BT4622">
        <f>IF(AND(4609&lt;$U$9,$W$5),BQ4622*1000000-MIN(BR4622,999)*1000+BS4622-4609/100000,-1000000000-4609)</f>
        <v/>
      </c>
    </row>
    <row r="4623">
      <c r="BN4623">
        <f>IF(4610&lt;$U$9,INT(4610/($U$7*$U$8))+1,1)</f>
        <v/>
      </c>
      <c r="BO4623">
        <f>IF(4610&lt;$U$9,MOD(INT(4610/$U$8),$U$7)+1,1)</f>
        <v/>
      </c>
      <c r="BP4623">
        <f>IF(4610&lt;$U$9,MOD(4610,$U$8)+1,1)</f>
        <v/>
      </c>
      <c r="BQ4623">
        <f>IF(4610&lt;$U$9,SUMPRODUCT(($D$10:$L$10&lt;&gt;"")*(($D$9:$L$9+INT(($S$12:$AA$12+INDEX($AJ$13:$AR$162,BN4623,0)+INDEX($AT$13:$BB$162,BO4623,0)+INDEX($BD$13:$BL$162,BP4623,0))/100))&gt;=$D$10:$L$10)),0)</f>
        <v/>
      </c>
      <c r="BR4623">
        <f>IF(4610&lt;$U$9,SUMPRODUCT(($D$10:$L$10&lt;&gt;"")*(($D$10:$L$10-($D$9:$L$9+INT(($S$12:$AA$12+INDEX($AJ$13:$AR$162,BN4623,0)+INDEX($AT$13:$BB$162,BO4623,0)+INDEX($BD$13:$BL$162,BP4623,0))/100)))&gt;0)*($D$10:$L$10-($D$9:$L$9+INT(($S$12:$AA$12+INDEX($AJ$13:$AR$162,BN4623,0)+INDEX($AT$13:$BB$162,BO4623,0)+INDEX($BD$13:$BL$162,BP4623,0))/100)))),0)</f>
        <v/>
      </c>
      <c r="BS4623">
        <f>IF(4610&lt;$U$9,SUMPRODUCT(($D$9:$L$9+INT(($S$12:$AA$12+INDEX($AJ$13:$AR$162,BN4623,0)+INDEX($AT$13:$BB$162,BO4623,0)+INDEX($BD$13:$BL$162,BP4623,0))/100))),0)</f>
        <v/>
      </c>
      <c r="BT4623">
        <f>IF(AND(4610&lt;$U$9,$W$5),BQ4623*1000000-MIN(BR4623,999)*1000+BS4623-4610/100000,-1000000000-4610)</f>
        <v/>
      </c>
    </row>
    <row r="4624">
      <c r="BN4624">
        <f>IF(4611&lt;$U$9,INT(4611/($U$7*$U$8))+1,1)</f>
        <v/>
      </c>
      <c r="BO4624">
        <f>IF(4611&lt;$U$9,MOD(INT(4611/$U$8),$U$7)+1,1)</f>
        <v/>
      </c>
      <c r="BP4624">
        <f>IF(4611&lt;$U$9,MOD(4611,$U$8)+1,1)</f>
        <v/>
      </c>
      <c r="BQ4624">
        <f>IF(4611&lt;$U$9,SUMPRODUCT(($D$10:$L$10&lt;&gt;"")*(($D$9:$L$9+INT(($S$12:$AA$12+INDEX($AJ$13:$AR$162,BN4624,0)+INDEX($AT$13:$BB$162,BO4624,0)+INDEX($BD$13:$BL$162,BP4624,0))/100))&gt;=$D$10:$L$10)),0)</f>
        <v/>
      </c>
      <c r="BR4624">
        <f>IF(4611&lt;$U$9,SUMPRODUCT(($D$10:$L$10&lt;&gt;"")*(($D$10:$L$10-($D$9:$L$9+INT(($S$12:$AA$12+INDEX($AJ$13:$AR$162,BN4624,0)+INDEX($AT$13:$BB$162,BO4624,0)+INDEX($BD$13:$BL$162,BP4624,0))/100)))&gt;0)*($D$10:$L$10-($D$9:$L$9+INT(($S$12:$AA$12+INDEX($AJ$13:$AR$162,BN4624,0)+INDEX($AT$13:$BB$162,BO4624,0)+INDEX($BD$13:$BL$162,BP4624,0))/100)))),0)</f>
        <v/>
      </c>
      <c r="BS4624">
        <f>IF(4611&lt;$U$9,SUMPRODUCT(($D$9:$L$9+INT(($S$12:$AA$12+INDEX($AJ$13:$AR$162,BN4624,0)+INDEX($AT$13:$BB$162,BO4624,0)+INDEX($BD$13:$BL$162,BP4624,0))/100))),0)</f>
        <v/>
      </c>
      <c r="BT4624">
        <f>IF(AND(4611&lt;$U$9,$W$5),BQ4624*1000000-MIN(BR4624,999)*1000+BS4624-4611/100000,-1000000000-4611)</f>
        <v/>
      </c>
    </row>
    <row r="4625">
      <c r="BN4625">
        <f>IF(4612&lt;$U$9,INT(4612/($U$7*$U$8))+1,1)</f>
        <v/>
      </c>
      <c r="BO4625">
        <f>IF(4612&lt;$U$9,MOD(INT(4612/$U$8),$U$7)+1,1)</f>
        <v/>
      </c>
      <c r="BP4625">
        <f>IF(4612&lt;$U$9,MOD(4612,$U$8)+1,1)</f>
        <v/>
      </c>
      <c r="BQ4625">
        <f>IF(4612&lt;$U$9,SUMPRODUCT(($D$10:$L$10&lt;&gt;"")*(($D$9:$L$9+INT(($S$12:$AA$12+INDEX($AJ$13:$AR$162,BN4625,0)+INDEX($AT$13:$BB$162,BO4625,0)+INDEX($BD$13:$BL$162,BP4625,0))/100))&gt;=$D$10:$L$10)),0)</f>
        <v/>
      </c>
      <c r="BR4625">
        <f>IF(4612&lt;$U$9,SUMPRODUCT(($D$10:$L$10&lt;&gt;"")*(($D$10:$L$10-($D$9:$L$9+INT(($S$12:$AA$12+INDEX($AJ$13:$AR$162,BN4625,0)+INDEX($AT$13:$BB$162,BO4625,0)+INDEX($BD$13:$BL$162,BP4625,0))/100)))&gt;0)*($D$10:$L$10-($D$9:$L$9+INT(($S$12:$AA$12+INDEX($AJ$13:$AR$162,BN4625,0)+INDEX($AT$13:$BB$162,BO4625,0)+INDEX($BD$13:$BL$162,BP4625,0))/100)))),0)</f>
        <v/>
      </c>
      <c r="BS4625">
        <f>IF(4612&lt;$U$9,SUMPRODUCT(($D$9:$L$9+INT(($S$12:$AA$12+INDEX($AJ$13:$AR$162,BN4625,0)+INDEX($AT$13:$BB$162,BO4625,0)+INDEX($BD$13:$BL$162,BP4625,0))/100))),0)</f>
        <v/>
      </c>
      <c r="BT4625">
        <f>IF(AND(4612&lt;$U$9,$W$5),BQ4625*1000000-MIN(BR4625,999)*1000+BS4625-4612/100000,-1000000000-4612)</f>
        <v/>
      </c>
    </row>
    <row r="4626">
      <c r="BN4626">
        <f>IF(4613&lt;$U$9,INT(4613/($U$7*$U$8))+1,1)</f>
        <v/>
      </c>
      <c r="BO4626">
        <f>IF(4613&lt;$U$9,MOD(INT(4613/$U$8),$U$7)+1,1)</f>
        <v/>
      </c>
      <c r="BP4626">
        <f>IF(4613&lt;$U$9,MOD(4613,$U$8)+1,1)</f>
        <v/>
      </c>
      <c r="BQ4626">
        <f>IF(4613&lt;$U$9,SUMPRODUCT(($D$10:$L$10&lt;&gt;"")*(($D$9:$L$9+INT(($S$12:$AA$12+INDEX($AJ$13:$AR$162,BN4626,0)+INDEX($AT$13:$BB$162,BO4626,0)+INDEX($BD$13:$BL$162,BP4626,0))/100))&gt;=$D$10:$L$10)),0)</f>
        <v/>
      </c>
      <c r="BR4626">
        <f>IF(4613&lt;$U$9,SUMPRODUCT(($D$10:$L$10&lt;&gt;"")*(($D$10:$L$10-($D$9:$L$9+INT(($S$12:$AA$12+INDEX($AJ$13:$AR$162,BN4626,0)+INDEX($AT$13:$BB$162,BO4626,0)+INDEX($BD$13:$BL$162,BP4626,0))/100)))&gt;0)*($D$10:$L$10-($D$9:$L$9+INT(($S$12:$AA$12+INDEX($AJ$13:$AR$162,BN4626,0)+INDEX($AT$13:$BB$162,BO4626,0)+INDEX($BD$13:$BL$162,BP4626,0))/100)))),0)</f>
        <v/>
      </c>
      <c r="BS4626">
        <f>IF(4613&lt;$U$9,SUMPRODUCT(($D$9:$L$9+INT(($S$12:$AA$12+INDEX($AJ$13:$AR$162,BN4626,0)+INDEX($AT$13:$BB$162,BO4626,0)+INDEX($BD$13:$BL$162,BP4626,0))/100))),0)</f>
        <v/>
      </c>
      <c r="BT4626">
        <f>IF(AND(4613&lt;$U$9,$W$5),BQ4626*1000000-MIN(BR4626,999)*1000+BS4626-4613/100000,-1000000000-4613)</f>
        <v/>
      </c>
    </row>
    <row r="4627">
      <c r="BN4627">
        <f>IF(4614&lt;$U$9,INT(4614/($U$7*$U$8))+1,1)</f>
        <v/>
      </c>
      <c r="BO4627">
        <f>IF(4614&lt;$U$9,MOD(INT(4614/$U$8),$U$7)+1,1)</f>
        <v/>
      </c>
      <c r="BP4627">
        <f>IF(4614&lt;$U$9,MOD(4614,$U$8)+1,1)</f>
        <v/>
      </c>
      <c r="BQ4627">
        <f>IF(4614&lt;$U$9,SUMPRODUCT(($D$10:$L$10&lt;&gt;"")*(($D$9:$L$9+INT(($S$12:$AA$12+INDEX($AJ$13:$AR$162,BN4627,0)+INDEX($AT$13:$BB$162,BO4627,0)+INDEX($BD$13:$BL$162,BP4627,0))/100))&gt;=$D$10:$L$10)),0)</f>
        <v/>
      </c>
      <c r="BR4627">
        <f>IF(4614&lt;$U$9,SUMPRODUCT(($D$10:$L$10&lt;&gt;"")*(($D$10:$L$10-($D$9:$L$9+INT(($S$12:$AA$12+INDEX($AJ$13:$AR$162,BN4627,0)+INDEX($AT$13:$BB$162,BO4627,0)+INDEX($BD$13:$BL$162,BP4627,0))/100)))&gt;0)*($D$10:$L$10-($D$9:$L$9+INT(($S$12:$AA$12+INDEX($AJ$13:$AR$162,BN4627,0)+INDEX($AT$13:$BB$162,BO4627,0)+INDEX($BD$13:$BL$162,BP4627,0))/100)))),0)</f>
        <v/>
      </c>
      <c r="BS4627">
        <f>IF(4614&lt;$U$9,SUMPRODUCT(($D$9:$L$9+INT(($S$12:$AA$12+INDEX($AJ$13:$AR$162,BN4627,0)+INDEX($AT$13:$BB$162,BO4627,0)+INDEX($BD$13:$BL$162,BP4627,0))/100))),0)</f>
        <v/>
      </c>
      <c r="BT4627">
        <f>IF(AND(4614&lt;$U$9,$W$5),BQ4627*1000000-MIN(BR4627,999)*1000+BS4627-4614/100000,-1000000000-4614)</f>
        <v/>
      </c>
    </row>
    <row r="4628">
      <c r="BN4628">
        <f>IF(4615&lt;$U$9,INT(4615/($U$7*$U$8))+1,1)</f>
        <v/>
      </c>
      <c r="BO4628">
        <f>IF(4615&lt;$U$9,MOD(INT(4615/$U$8),$U$7)+1,1)</f>
        <v/>
      </c>
      <c r="BP4628">
        <f>IF(4615&lt;$U$9,MOD(4615,$U$8)+1,1)</f>
        <v/>
      </c>
      <c r="BQ4628">
        <f>IF(4615&lt;$U$9,SUMPRODUCT(($D$10:$L$10&lt;&gt;"")*(($D$9:$L$9+INT(($S$12:$AA$12+INDEX($AJ$13:$AR$162,BN4628,0)+INDEX($AT$13:$BB$162,BO4628,0)+INDEX($BD$13:$BL$162,BP4628,0))/100))&gt;=$D$10:$L$10)),0)</f>
        <v/>
      </c>
      <c r="BR4628">
        <f>IF(4615&lt;$U$9,SUMPRODUCT(($D$10:$L$10&lt;&gt;"")*(($D$10:$L$10-($D$9:$L$9+INT(($S$12:$AA$12+INDEX($AJ$13:$AR$162,BN4628,0)+INDEX($AT$13:$BB$162,BO4628,0)+INDEX($BD$13:$BL$162,BP4628,0))/100)))&gt;0)*($D$10:$L$10-($D$9:$L$9+INT(($S$12:$AA$12+INDEX($AJ$13:$AR$162,BN4628,0)+INDEX($AT$13:$BB$162,BO4628,0)+INDEX($BD$13:$BL$162,BP4628,0))/100)))),0)</f>
        <v/>
      </c>
      <c r="BS4628">
        <f>IF(4615&lt;$U$9,SUMPRODUCT(($D$9:$L$9+INT(($S$12:$AA$12+INDEX($AJ$13:$AR$162,BN4628,0)+INDEX($AT$13:$BB$162,BO4628,0)+INDEX($BD$13:$BL$162,BP4628,0))/100))),0)</f>
        <v/>
      </c>
      <c r="BT4628">
        <f>IF(AND(4615&lt;$U$9,$W$5),BQ4628*1000000-MIN(BR4628,999)*1000+BS4628-4615/100000,-1000000000-4615)</f>
        <v/>
      </c>
    </row>
    <row r="4629">
      <c r="BN4629">
        <f>IF(4616&lt;$U$9,INT(4616/($U$7*$U$8))+1,1)</f>
        <v/>
      </c>
      <c r="BO4629">
        <f>IF(4616&lt;$U$9,MOD(INT(4616/$U$8),$U$7)+1,1)</f>
        <v/>
      </c>
      <c r="BP4629">
        <f>IF(4616&lt;$U$9,MOD(4616,$U$8)+1,1)</f>
        <v/>
      </c>
      <c r="BQ4629">
        <f>IF(4616&lt;$U$9,SUMPRODUCT(($D$10:$L$10&lt;&gt;"")*(($D$9:$L$9+INT(($S$12:$AA$12+INDEX($AJ$13:$AR$162,BN4629,0)+INDEX($AT$13:$BB$162,BO4629,0)+INDEX($BD$13:$BL$162,BP4629,0))/100))&gt;=$D$10:$L$10)),0)</f>
        <v/>
      </c>
      <c r="BR4629">
        <f>IF(4616&lt;$U$9,SUMPRODUCT(($D$10:$L$10&lt;&gt;"")*(($D$10:$L$10-($D$9:$L$9+INT(($S$12:$AA$12+INDEX($AJ$13:$AR$162,BN4629,0)+INDEX($AT$13:$BB$162,BO4629,0)+INDEX($BD$13:$BL$162,BP4629,0))/100)))&gt;0)*($D$10:$L$10-($D$9:$L$9+INT(($S$12:$AA$12+INDEX($AJ$13:$AR$162,BN4629,0)+INDEX($AT$13:$BB$162,BO4629,0)+INDEX($BD$13:$BL$162,BP4629,0))/100)))),0)</f>
        <v/>
      </c>
      <c r="BS4629">
        <f>IF(4616&lt;$U$9,SUMPRODUCT(($D$9:$L$9+INT(($S$12:$AA$12+INDEX($AJ$13:$AR$162,BN4629,0)+INDEX($AT$13:$BB$162,BO4629,0)+INDEX($BD$13:$BL$162,BP4629,0))/100))),0)</f>
        <v/>
      </c>
      <c r="BT4629">
        <f>IF(AND(4616&lt;$U$9,$W$5),BQ4629*1000000-MIN(BR4629,999)*1000+BS4629-4616/100000,-1000000000-4616)</f>
        <v/>
      </c>
    </row>
    <row r="4630">
      <c r="BN4630">
        <f>IF(4617&lt;$U$9,INT(4617/($U$7*$U$8))+1,1)</f>
        <v/>
      </c>
      <c r="BO4630">
        <f>IF(4617&lt;$U$9,MOD(INT(4617/$U$8),$U$7)+1,1)</f>
        <v/>
      </c>
      <c r="BP4630">
        <f>IF(4617&lt;$U$9,MOD(4617,$U$8)+1,1)</f>
        <v/>
      </c>
      <c r="BQ4630">
        <f>IF(4617&lt;$U$9,SUMPRODUCT(($D$10:$L$10&lt;&gt;"")*(($D$9:$L$9+INT(($S$12:$AA$12+INDEX($AJ$13:$AR$162,BN4630,0)+INDEX($AT$13:$BB$162,BO4630,0)+INDEX($BD$13:$BL$162,BP4630,0))/100))&gt;=$D$10:$L$10)),0)</f>
        <v/>
      </c>
      <c r="BR4630">
        <f>IF(4617&lt;$U$9,SUMPRODUCT(($D$10:$L$10&lt;&gt;"")*(($D$10:$L$10-($D$9:$L$9+INT(($S$12:$AA$12+INDEX($AJ$13:$AR$162,BN4630,0)+INDEX($AT$13:$BB$162,BO4630,0)+INDEX($BD$13:$BL$162,BP4630,0))/100)))&gt;0)*($D$10:$L$10-($D$9:$L$9+INT(($S$12:$AA$12+INDEX($AJ$13:$AR$162,BN4630,0)+INDEX($AT$13:$BB$162,BO4630,0)+INDEX($BD$13:$BL$162,BP4630,0))/100)))),0)</f>
        <v/>
      </c>
      <c r="BS4630">
        <f>IF(4617&lt;$U$9,SUMPRODUCT(($D$9:$L$9+INT(($S$12:$AA$12+INDEX($AJ$13:$AR$162,BN4630,0)+INDEX($AT$13:$BB$162,BO4630,0)+INDEX($BD$13:$BL$162,BP4630,0))/100))),0)</f>
        <v/>
      </c>
      <c r="BT4630">
        <f>IF(AND(4617&lt;$U$9,$W$5),BQ4630*1000000-MIN(BR4630,999)*1000+BS4630-4617/100000,-1000000000-4617)</f>
        <v/>
      </c>
    </row>
    <row r="4631">
      <c r="BN4631">
        <f>IF(4618&lt;$U$9,INT(4618/($U$7*$U$8))+1,1)</f>
        <v/>
      </c>
      <c r="BO4631">
        <f>IF(4618&lt;$U$9,MOD(INT(4618/$U$8),$U$7)+1,1)</f>
        <v/>
      </c>
      <c r="BP4631">
        <f>IF(4618&lt;$U$9,MOD(4618,$U$8)+1,1)</f>
        <v/>
      </c>
      <c r="BQ4631">
        <f>IF(4618&lt;$U$9,SUMPRODUCT(($D$10:$L$10&lt;&gt;"")*(($D$9:$L$9+INT(($S$12:$AA$12+INDEX($AJ$13:$AR$162,BN4631,0)+INDEX($AT$13:$BB$162,BO4631,0)+INDEX($BD$13:$BL$162,BP4631,0))/100))&gt;=$D$10:$L$10)),0)</f>
        <v/>
      </c>
      <c r="BR4631">
        <f>IF(4618&lt;$U$9,SUMPRODUCT(($D$10:$L$10&lt;&gt;"")*(($D$10:$L$10-($D$9:$L$9+INT(($S$12:$AA$12+INDEX($AJ$13:$AR$162,BN4631,0)+INDEX($AT$13:$BB$162,BO4631,0)+INDEX($BD$13:$BL$162,BP4631,0))/100)))&gt;0)*($D$10:$L$10-($D$9:$L$9+INT(($S$12:$AA$12+INDEX($AJ$13:$AR$162,BN4631,0)+INDEX($AT$13:$BB$162,BO4631,0)+INDEX($BD$13:$BL$162,BP4631,0))/100)))),0)</f>
        <v/>
      </c>
      <c r="BS4631">
        <f>IF(4618&lt;$U$9,SUMPRODUCT(($D$9:$L$9+INT(($S$12:$AA$12+INDEX($AJ$13:$AR$162,BN4631,0)+INDEX($AT$13:$BB$162,BO4631,0)+INDEX($BD$13:$BL$162,BP4631,0))/100))),0)</f>
        <v/>
      </c>
      <c r="BT4631">
        <f>IF(AND(4618&lt;$U$9,$W$5),BQ4631*1000000-MIN(BR4631,999)*1000+BS4631-4618/100000,-1000000000-4618)</f>
        <v/>
      </c>
    </row>
    <row r="4632">
      <c r="BN4632">
        <f>IF(4619&lt;$U$9,INT(4619/($U$7*$U$8))+1,1)</f>
        <v/>
      </c>
      <c r="BO4632">
        <f>IF(4619&lt;$U$9,MOD(INT(4619/$U$8),$U$7)+1,1)</f>
        <v/>
      </c>
      <c r="BP4632">
        <f>IF(4619&lt;$U$9,MOD(4619,$U$8)+1,1)</f>
        <v/>
      </c>
      <c r="BQ4632">
        <f>IF(4619&lt;$U$9,SUMPRODUCT(($D$10:$L$10&lt;&gt;"")*(($D$9:$L$9+INT(($S$12:$AA$12+INDEX($AJ$13:$AR$162,BN4632,0)+INDEX($AT$13:$BB$162,BO4632,0)+INDEX($BD$13:$BL$162,BP4632,0))/100))&gt;=$D$10:$L$10)),0)</f>
        <v/>
      </c>
      <c r="BR4632">
        <f>IF(4619&lt;$U$9,SUMPRODUCT(($D$10:$L$10&lt;&gt;"")*(($D$10:$L$10-($D$9:$L$9+INT(($S$12:$AA$12+INDEX($AJ$13:$AR$162,BN4632,0)+INDEX($AT$13:$BB$162,BO4632,0)+INDEX($BD$13:$BL$162,BP4632,0))/100)))&gt;0)*($D$10:$L$10-($D$9:$L$9+INT(($S$12:$AA$12+INDEX($AJ$13:$AR$162,BN4632,0)+INDEX($AT$13:$BB$162,BO4632,0)+INDEX($BD$13:$BL$162,BP4632,0))/100)))),0)</f>
        <v/>
      </c>
      <c r="BS4632">
        <f>IF(4619&lt;$U$9,SUMPRODUCT(($D$9:$L$9+INT(($S$12:$AA$12+INDEX($AJ$13:$AR$162,BN4632,0)+INDEX($AT$13:$BB$162,BO4632,0)+INDEX($BD$13:$BL$162,BP4632,0))/100))),0)</f>
        <v/>
      </c>
      <c r="BT4632">
        <f>IF(AND(4619&lt;$U$9,$W$5),BQ4632*1000000-MIN(BR4632,999)*1000+BS4632-4619/100000,-1000000000-4619)</f>
        <v/>
      </c>
    </row>
    <row r="4633">
      <c r="BN4633">
        <f>IF(4620&lt;$U$9,INT(4620/($U$7*$U$8))+1,1)</f>
        <v/>
      </c>
      <c r="BO4633">
        <f>IF(4620&lt;$U$9,MOD(INT(4620/$U$8),$U$7)+1,1)</f>
        <v/>
      </c>
      <c r="BP4633">
        <f>IF(4620&lt;$U$9,MOD(4620,$U$8)+1,1)</f>
        <v/>
      </c>
      <c r="BQ4633">
        <f>IF(4620&lt;$U$9,SUMPRODUCT(($D$10:$L$10&lt;&gt;"")*(($D$9:$L$9+INT(($S$12:$AA$12+INDEX($AJ$13:$AR$162,BN4633,0)+INDEX($AT$13:$BB$162,BO4633,0)+INDEX($BD$13:$BL$162,BP4633,0))/100))&gt;=$D$10:$L$10)),0)</f>
        <v/>
      </c>
      <c r="BR4633">
        <f>IF(4620&lt;$U$9,SUMPRODUCT(($D$10:$L$10&lt;&gt;"")*(($D$10:$L$10-($D$9:$L$9+INT(($S$12:$AA$12+INDEX($AJ$13:$AR$162,BN4633,0)+INDEX($AT$13:$BB$162,BO4633,0)+INDEX($BD$13:$BL$162,BP4633,0))/100)))&gt;0)*($D$10:$L$10-($D$9:$L$9+INT(($S$12:$AA$12+INDEX($AJ$13:$AR$162,BN4633,0)+INDEX($AT$13:$BB$162,BO4633,0)+INDEX($BD$13:$BL$162,BP4633,0))/100)))),0)</f>
        <v/>
      </c>
      <c r="BS4633">
        <f>IF(4620&lt;$U$9,SUMPRODUCT(($D$9:$L$9+INT(($S$12:$AA$12+INDEX($AJ$13:$AR$162,BN4633,0)+INDEX($AT$13:$BB$162,BO4633,0)+INDEX($BD$13:$BL$162,BP4633,0))/100))),0)</f>
        <v/>
      </c>
      <c r="BT4633">
        <f>IF(AND(4620&lt;$U$9,$W$5),BQ4633*1000000-MIN(BR4633,999)*1000+BS4633-4620/100000,-1000000000-4620)</f>
        <v/>
      </c>
    </row>
    <row r="4634">
      <c r="BN4634">
        <f>IF(4621&lt;$U$9,INT(4621/($U$7*$U$8))+1,1)</f>
        <v/>
      </c>
      <c r="BO4634">
        <f>IF(4621&lt;$U$9,MOD(INT(4621/$U$8),$U$7)+1,1)</f>
        <v/>
      </c>
      <c r="BP4634">
        <f>IF(4621&lt;$U$9,MOD(4621,$U$8)+1,1)</f>
        <v/>
      </c>
      <c r="BQ4634">
        <f>IF(4621&lt;$U$9,SUMPRODUCT(($D$10:$L$10&lt;&gt;"")*(($D$9:$L$9+INT(($S$12:$AA$12+INDEX($AJ$13:$AR$162,BN4634,0)+INDEX($AT$13:$BB$162,BO4634,0)+INDEX($BD$13:$BL$162,BP4634,0))/100))&gt;=$D$10:$L$10)),0)</f>
        <v/>
      </c>
      <c r="BR4634">
        <f>IF(4621&lt;$U$9,SUMPRODUCT(($D$10:$L$10&lt;&gt;"")*(($D$10:$L$10-($D$9:$L$9+INT(($S$12:$AA$12+INDEX($AJ$13:$AR$162,BN4634,0)+INDEX($AT$13:$BB$162,BO4634,0)+INDEX($BD$13:$BL$162,BP4634,0))/100)))&gt;0)*($D$10:$L$10-($D$9:$L$9+INT(($S$12:$AA$12+INDEX($AJ$13:$AR$162,BN4634,0)+INDEX($AT$13:$BB$162,BO4634,0)+INDEX($BD$13:$BL$162,BP4634,0))/100)))),0)</f>
        <v/>
      </c>
      <c r="BS4634">
        <f>IF(4621&lt;$U$9,SUMPRODUCT(($D$9:$L$9+INT(($S$12:$AA$12+INDEX($AJ$13:$AR$162,BN4634,0)+INDEX($AT$13:$BB$162,BO4634,0)+INDEX($BD$13:$BL$162,BP4634,0))/100))),0)</f>
        <v/>
      </c>
      <c r="BT4634">
        <f>IF(AND(4621&lt;$U$9,$W$5),BQ4634*1000000-MIN(BR4634,999)*1000+BS4634-4621/100000,-1000000000-4621)</f>
        <v/>
      </c>
    </row>
    <row r="4635">
      <c r="BN4635">
        <f>IF(4622&lt;$U$9,INT(4622/($U$7*$U$8))+1,1)</f>
        <v/>
      </c>
      <c r="BO4635">
        <f>IF(4622&lt;$U$9,MOD(INT(4622/$U$8),$U$7)+1,1)</f>
        <v/>
      </c>
      <c r="BP4635">
        <f>IF(4622&lt;$U$9,MOD(4622,$U$8)+1,1)</f>
        <v/>
      </c>
      <c r="BQ4635">
        <f>IF(4622&lt;$U$9,SUMPRODUCT(($D$10:$L$10&lt;&gt;"")*(($D$9:$L$9+INT(($S$12:$AA$12+INDEX($AJ$13:$AR$162,BN4635,0)+INDEX($AT$13:$BB$162,BO4635,0)+INDEX($BD$13:$BL$162,BP4635,0))/100))&gt;=$D$10:$L$10)),0)</f>
        <v/>
      </c>
      <c r="BR4635">
        <f>IF(4622&lt;$U$9,SUMPRODUCT(($D$10:$L$10&lt;&gt;"")*(($D$10:$L$10-($D$9:$L$9+INT(($S$12:$AA$12+INDEX($AJ$13:$AR$162,BN4635,0)+INDEX($AT$13:$BB$162,BO4635,0)+INDEX($BD$13:$BL$162,BP4635,0))/100)))&gt;0)*($D$10:$L$10-($D$9:$L$9+INT(($S$12:$AA$12+INDEX($AJ$13:$AR$162,BN4635,0)+INDEX($AT$13:$BB$162,BO4635,0)+INDEX($BD$13:$BL$162,BP4635,0))/100)))),0)</f>
        <v/>
      </c>
      <c r="BS4635">
        <f>IF(4622&lt;$U$9,SUMPRODUCT(($D$9:$L$9+INT(($S$12:$AA$12+INDEX($AJ$13:$AR$162,BN4635,0)+INDEX($AT$13:$BB$162,BO4635,0)+INDEX($BD$13:$BL$162,BP4635,0))/100))),0)</f>
        <v/>
      </c>
      <c r="BT4635">
        <f>IF(AND(4622&lt;$U$9,$W$5),BQ4635*1000000-MIN(BR4635,999)*1000+BS4635-4622/100000,-1000000000-4622)</f>
        <v/>
      </c>
    </row>
    <row r="4636">
      <c r="BN4636">
        <f>IF(4623&lt;$U$9,INT(4623/($U$7*$U$8))+1,1)</f>
        <v/>
      </c>
      <c r="BO4636">
        <f>IF(4623&lt;$U$9,MOD(INT(4623/$U$8),$U$7)+1,1)</f>
        <v/>
      </c>
      <c r="BP4636">
        <f>IF(4623&lt;$U$9,MOD(4623,$U$8)+1,1)</f>
        <v/>
      </c>
      <c r="BQ4636">
        <f>IF(4623&lt;$U$9,SUMPRODUCT(($D$10:$L$10&lt;&gt;"")*(($D$9:$L$9+INT(($S$12:$AA$12+INDEX($AJ$13:$AR$162,BN4636,0)+INDEX($AT$13:$BB$162,BO4636,0)+INDEX($BD$13:$BL$162,BP4636,0))/100))&gt;=$D$10:$L$10)),0)</f>
        <v/>
      </c>
      <c r="BR4636">
        <f>IF(4623&lt;$U$9,SUMPRODUCT(($D$10:$L$10&lt;&gt;"")*(($D$10:$L$10-($D$9:$L$9+INT(($S$12:$AA$12+INDEX($AJ$13:$AR$162,BN4636,0)+INDEX($AT$13:$BB$162,BO4636,0)+INDEX($BD$13:$BL$162,BP4636,0))/100)))&gt;0)*($D$10:$L$10-($D$9:$L$9+INT(($S$12:$AA$12+INDEX($AJ$13:$AR$162,BN4636,0)+INDEX($AT$13:$BB$162,BO4636,0)+INDEX($BD$13:$BL$162,BP4636,0))/100)))),0)</f>
        <v/>
      </c>
      <c r="BS4636">
        <f>IF(4623&lt;$U$9,SUMPRODUCT(($D$9:$L$9+INT(($S$12:$AA$12+INDEX($AJ$13:$AR$162,BN4636,0)+INDEX($AT$13:$BB$162,BO4636,0)+INDEX($BD$13:$BL$162,BP4636,0))/100))),0)</f>
        <v/>
      </c>
      <c r="BT4636">
        <f>IF(AND(4623&lt;$U$9,$W$5),BQ4636*1000000-MIN(BR4636,999)*1000+BS4636-4623/100000,-1000000000-4623)</f>
        <v/>
      </c>
    </row>
    <row r="4637">
      <c r="BN4637">
        <f>IF(4624&lt;$U$9,INT(4624/($U$7*$U$8))+1,1)</f>
        <v/>
      </c>
      <c r="BO4637">
        <f>IF(4624&lt;$U$9,MOD(INT(4624/$U$8),$U$7)+1,1)</f>
        <v/>
      </c>
      <c r="BP4637">
        <f>IF(4624&lt;$U$9,MOD(4624,$U$8)+1,1)</f>
        <v/>
      </c>
      <c r="BQ4637">
        <f>IF(4624&lt;$U$9,SUMPRODUCT(($D$10:$L$10&lt;&gt;"")*(($D$9:$L$9+INT(($S$12:$AA$12+INDEX($AJ$13:$AR$162,BN4637,0)+INDEX($AT$13:$BB$162,BO4637,0)+INDEX($BD$13:$BL$162,BP4637,0))/100))&gt;=$D$10:$L$10)),0)</f>
        <v/>
      </c>
      <c r="BR4637">
        <f>IF(4624&lt;$U$9,SUMPRODUCT(($D$10:$L$10&lt;&gt;"")*(($D$10:$L$10-($D$9:$L$9+INT(($S$12:$AA$12+INDEX($AJ$13:$AR$162,BN4637,0)+INDEX($AT$13:$BB$162,BO4637,0)+INDEX($BD$13:$BL$162,BP4637,0))/100)))&gt;0)*($D$10:$L$10-($D$9:$L$9+INT(($S$12:$AA$12+INDEX($AJ$13:$AR$162,BN4637,0)+INDEX($AT$13:$BB$162,BO4637,0)+INDEX($BD$13:$BL$162,BP4637,0))/100)))),0)</f>
        <v/>
      </c>
      <c r="BS4637">
        <f>IF(4624&lt;$U$9,SUMPRODUCT(($D$9:$L$9+INT(($S$12:$AA$12+INDEX($AJ$13:$AR$162,BN4637,0)+INDEX($AT$13:$BB$162,BO4637,0)+INDEX($BD$13:$BL$162,BP4637,0))/100))),0)</f>
        <v/>
      </c>
      <c r="BT4637">
        <f>IF(AND(4624&lt;$U$9,$W$5),BQ4637*1000000-MIN(BR4637,999)*1000+BS4637-4624/100000,-1000000000-4624)</f>
        <v/>
      </c>
    </row>
    <row r="4638">
      <c r="BN4638">
        <f>IF(4625&lt;$U$9,INT(4625/($U$7*$U$8))+1,1)</f>
        <v/>
      </c>
      <c r="BO4638">
        <f>IF(4625&lt;$U$9,MOD(INT(4625/$U$8),$U$7)+1,1)</f>
        <v/>
      </c>
      <c r="BP4638">
        <f>IF(4625&lt;$U$9,MOD(4625,$U$8)+1,1)</f>
        <v/>
      </c>
      <c r="BQ4638">
        <f>IF(4625&lt;$U$9,SUMPRODUCT(($D$10:$L$10&lt;&gt;"")*(($D$9:$L$9+INT(($S$12:$AA$12+INDEX($AJ$13:$AR$162,BN4638,0)+INDEX($AT$13:$BB$162,BO4638,0)+INDEX($BD$13:$BL$162,BP4638,0))/100))&gt;=$D$10:$L$10)),0)</f>
        <v/>
      </c>
      <c r="BR4638">
        <f>IF(4625&lt;$U$9,SUMPRODUCT(($D$10:$L$10&lt;&gt;"")*(($D$10:$L$10-($D$9:$L$9+INT(($S$12:$AA$12+INDEX($AJ$13:$AR$162,BN4638,0)+INDEX($AT$13:$BB$162,BO4638,0)+INDEX($BD$13:$BL$162,BP4638,0))/100)))&gt;0)*($D$10:$L$10-($D$9:$L$9+INT(($S$12:$AA$12+INDEX($AJ$13:$AR$162,BN4638,0)+INDEX($AT$13:$BB$162,BO4638,0)+INDEX($BD$13:$BL$162,BP4638,0))/100)))),0)</f>
        <v/>
      </c>
      <c r="BS4638">
        <f>IF(4625&lt;$U$9,SUMPRODUCT(($D$9:$L$9+INT(($S$12:$AA$12+INDEX($AJ$13:$AR$162,BN4638,0)+INDEX($AT$13:$BB$162,BO4638,0)+INDEX($BD$13:$BL$162,BP4638,0))/100))),0)</f>
        <v/>
      </c>
      <c r="BT4638">
        <f>IF(AND(4625&lt;$U$9,$W$5),BQ4638*1000000-MIN(BR4638,999)*1000+BS4638-4625/100000,-1000000000-4625)</f>
        <v/>
      </c>
    </row>
    <row r="4639">
      <c r="BN4639">
        <f>IF(4626&lt;$U$9,INT(4626/($U$7*$U$8))+1,1)</f>
        <v/>
      </c>
      <c r="BO4639">
        <f>IF(4626&lt;$U$9,MOD(INT(4626/$U$8),$U$7)+1,1)</f>
        <v/>
      </c>
      <c r="BP4639">
        <f>IF(4626&lt;$U$9,MOD(4626,$U$8)+1,1)</f>
        <v/>
      </c>
      <c r="BQ4639">
        <f>IF(4626&lt;$U$9,SUMPRODUCT(($D$10:$L$10&lt;&gt;"")*(($D$9:$L$9+INT(($S$12:$AA$12+INDEX($AJ$13:$AR$162,BN4639,0)+INDEX($AT$13:$BB$162,BO4639,0)+INDEX($BD$13:$BL$162,BP4639,0))/100))&gt;=$D$10:$L$10)),0)</f>
        <v/>
      </c>
      <c r="BR4639">
        <f>IF(4626&lt;$U$9,SUMPRODUCT(($D$10:$L$10&lt;&gt;"")*(($D$10:$L$10-($D$9:$L$9+INT(($S$12:$AA$12+INDEX($AJ$13:$AR$162,BN4639,0)+INDEX($AT$13:$BB$162,BO4639,0)+INDEX($BD$13:$BL$162,BP4639,0))/100)))&gt;0)*($D$10:$L$10-($D$9:$L$9+INT(($S$12:$AA$12+INDEX($AJ$13:$AR$162,BN4639,0)+INDEX($AT$13:$BB$162,BO4639,0)+INDEX($BD$13:$BL$162,BP4639,0))/100)))),0)</f>
        <v/>
      </c>
      <c r="BS4639">
        <f>IF(4626&lt;$U$9,SUMPRODUCT(($D$9:$L$9+INT(($S$12:$AA$12+INDEX($AJ$13:$AR$162,BN4639,0)+INDEX($AT$13:$BB$162,BO4639,0)+INDEX($BD$13:$BL$162,BP4639,0))/100))),0)</f>
        <v/>
      </c>
      <c r="BT4639">
        <f>IF(AND(4626&lt;$U$9,$W$5),BQ4639*1000000-MIN(BR4639,999)*1000+BS4639-4626/100000,-1000000000-4626)</f>
        <v/>
      </c>
    </row>
    <row r="4640">
      <c r="BN4640">
        <f>IF(4627&lt;$U$9,INT(4627/($U$7*$U$8))+1,1)</f>
        <v/>
      </c>
      <c r="BO4640">
        <f>IF(4627&lt;$U$9,MOD(INT(4627/$U$8),$U$7)+1,1)</f>
        <v/>
      </c>
      <c r="BP4640">
        <f>IF(4627&lt;$U$9,MOD(4627,$U$8)+1,1)</f>
        <v/>
      </c>
      <c r="BQ4640">
        <f>IF(4627&lt;$U$9,SUMPRODUCT(($D$10:$L$10&lt;&gt;"")*(($D$9:$L$9+INT(($S$12:$AA$12+INDEX($AJ$13:$AR$162,BN4640,0)+INDEX($AT$13:$BB$162,BO4640,0)+INDEX($BD$13:$BL$162,BP4640,0))/100))&gt;=$D$10:$L$10)),0)</f>
        <v/>
      </c>
      <c r="BR4640">
        <f>IF(4627&lt;$U$9,SUMPRODUCT(($D$10:$L$10&lt;&gt;"")*(($D$10:$L$10-($D$9:$L$9+INT(($S$12:$AA$12+INDEX($AJ$13:$AR$162,BN4640,0)+INDEX($AT$13:$BB$162,BO4640,0)+INDEX($BD$13:$BL$162,BP4640,0))/100)))&gt;0)*($D$10:$L$10-($D$9:$L$9+INT(($S$12:$AA$12+INDEX($AJ$13:$AR$162,BN4640,0)+INDEX($AT$13:$BB$162,BO4640,0)+INDEX($BD$13:$BL$162,BP4640,0))/100)))),0)</f>
        <v/>
      </c>
      <c r="BS4640">
        <f>IF(4627&lt;$U$9,SUMPRODUCT(($D$9:$L$9+INT(($S$12:$AA$12+INDEX($AJ$13:$AR$162,BN4640,0)+INDEX($AT$13:$BB$162,BO4640,0)+INDEX($BD$13:$BL$162,BP4640,0))/100))),0)</f>
        <v/>
      </c>
      <c r="BT4640">
        <f>IF(AND(4627&lt;$U$9,$W$5),BQ4640*1000000-MIN(BR4640,999)*1000+BS4640-4627/100000,-1000000000-4627)</f>
        <v/>
      </c>
    </row>
    <row r="4641">
      <c r="BN4641">
        <f>IF(4628&lt;$U$9,INT(4628/($U$7*$U$8))+1,1)</f>
        <v/>
      </c>
      <c r="BO4641">
        <f>IF(4628&lt;$U$9,MOD(INT(4628/$U$8),$U$7)+1,1)</f>
        <v/>
      </c>
      <c r="BP4641">
        <f>IF(4628&lt;$U$9,MOD(4628,$U$8)+1,1)</f>
        <v/>
      </c>
      <c r="BQ4641">
        <f>IF(4628&lt;$U$9,SUMPRODUCT(($D$10:$L$10&lt;&gt;"")*(($D$9:$L$9+INT(($S$12:$AA$12+INDEX($AJ$13:$AR$162,BN4641,0)+INDEX($AT$13:$BB$162,BO4641,0)+INDEX($BD$13:$BL$162,BP4641,0))/100))&gt;=$D$10:$L$10)),0)</f>
        <v/>
      </c>
      <c r="BR4641">
        <f>IF(4628&lt;$U$9,SUMPRODUCT(($D$10:$L$10&lt;&gt;"")*(($D$10:$L$10-($D$9:$L$9+INT(($S$12:$AA$12+INDEX($AJ$13:$AR$162,BN4641,0)+INDEX($AT$13:$BB$162,BO4641,0)+INDEX($BD$13:$BL$162,BP4641,0))/100)))&gt;0)*($D$10:$L$10-($D$9:$L$9+INT(($S$12:$AA$12+INDEX($AJ$13:$AR$162,BN4641,0)+INDEX($AT$13:$BB$162,BO4641,0)+INDEX($BD$13:$BL$162,BP4641,0))/100)))),0)</f>
        <v/>
      </c>
      <c r="BS4641">
        <f>IF(4628&lt;$U$9,SUMPRODUCT(($D$9:$L$9+INT(($S$12:$AA$12+INDEX($AJ$13:$AR$162,BN4641,0)+INDEX($AT$13:$BB$162,BO4641,0)+INDEX($BD$13:$BL$162,BP4641,0))/100))),0)</f>
        <v/>
      </c>
      <c r="BT4641">
        <f>IF(AND(4628&lt;$U$9,$W$5),BQ4641*1000000-MIN(BR4641,999)*1000+BS4641-4628/100000,-1000000000-4628)</f>
        <v/>
      </c>
    </row>
    <row r="4642">
      <c r="BN4642">
        <f>IF(4629&lt;$U$9,INT(4629/($U$7*$U$8))+1,1)</f>
        <v/>
      </c>
      <c r="BO4642">
        <f>IF(4629&lt;$U$9,MOD(INT(4629/$U$8),$U$7)+1,1)</f>
        <v/>
      </c>
      <c r="BP4642">
        <f>IF(4629&lt;$U$9,MOD(4629,$U$8)+1,1)</f>
        <v/>
      </c>
      <c r="BQ4642">
        <f>IF(4629&lt;$U$9,SUMPRODUCT(($D$10:$L$10&lt;&gt;"")*(($D$9:$L$9+INT(($S$12:$AA$12+INDEX($AJ$13:$AR$162,BN4642,0)+INDEX($AT$13:$BB$162,BO4642,0)+INDEX($BD$13:$BL$162,BP4642,0))/100))&gt;=$D$10:$L$10)),0)</f>
        <v/>
      </c>
      <c r="BR4642">
        <f>IF(4629&lt;$U$9,SUMPRODUCT(($D$10:$L$10&lt;&gt;"")*(($D$10:$L$10-($D$9:$L$9+INT(($S$12:$AA$12+INDEX($AJ$13:$AR$162,BN4642,0)+INDEX($AT$13:$BB$162,BO4642,0)+INDEX($BD$13:$BL$162,BP4642,0))/100)))&gt;0)*($D$10:$L$10-($D$9:$L$9+INT(($S$12:$AA$12+INDEX($AJ$13:$AR$162,BN4642,0)+INDEX($AT$13:$BB$162,BO4642,0)+INDEX($BD$13:$BL$162,BP4642,0))/100)))),0)</f>
        <v/>
      </c>
      <c r="BS4642">
        <f>IF(4629&lt;$U$9,SUMPRODUCT(($D$9:$L$9+INT(($S$12:$AA$12+INDEX($AJ$13:$AR$162,BN4642,0)+INDEX($AT$13:$BB$162,BO4642,0)+INDEX($BD$13:$BL$162,BP4642,0))/100))),0)</f>
        <v/>
      </c>
      <c r="BT4642">
        <f>IF(AND(4629&lt;$U$9,$W$5),BQ4642*1000000-MIN(BR4642,999)*1000+BS4642-4629/100000,-1000000000-4629)</f>
        <v/>
      </c>
    </row>
    <row r="4643">
      <c r="BN4643">
        <f>IF(4630&lt;$U$9,INT(4630/($U$7*$U$8))+1,1)</f>
        <v/>
      </c>
      <c r="BO4643">
        <f>IF(4630&lt;$U$9,MOD(INT(4630/$U$8),$U$7)+1,1)</f>
        <v/>
      </c>
      <c r="BP4643">
        <f>IF(4630&lt;$U$9,MOD(4630,$U$8)+1,1)</f>
        <v/>
      </c>
      <c r="BQ4643">
        <f>IF(4630&lt;$U$9,SUMPRODUCT(($D$10:$L$10&lt;&gt;"")*(($D$9:$L$9+INT(($S$12:$AA$12+INDEX($AJ$13:$AR$162,BN4643,0)+INDEX($AT$13:$BB$162,BO4643,0)+INDEX($BD$13:$BL$162,BP4643,0))/100))&gt;=$D$10:$L$10)),0)</f>
        <v/>
      </c>
      <c r="BR4643">
        <f>IF(4630&lt;$U$9,SUMPRODUCT(($D$10:$L$10&lt;&gt;"")*(($D$10:$L$10-($D$9:$L$9+INT(($S$12:$AA$12+INDEX($AJ$13:$AR$162,BN4643,0)+INDEX($AT$13:$BB$162,BO4643,0)+INDEX($BD$13:$BL$162,BP4643,0))/100)))&gt;0)*($D$10:$L$10-($D$9:$L$9+INT(($S$12:$AA$12+INDEX($AJ$13:$AR$162,BN4643,0)+INDEX($AT$13:$BB$162,BO4643,0)+INDEX($BD$13:$BL$162,BP4643,0))/100)))),0)</f>
        <v/>
      </c>
      <c r="BS4643">
        <f>IF(4630&lt;$U$9,SUMPRODUCT(($D$9:$L$9+INT(($S$12:$AA$12+INDEX($AJ$13:$AR$162,BN4643,0)+INDEX($AT$13:$BB$162,BO4643,0)+INDEX($BD$13:$BL$162,BP4643,0))/100))),0)</f>
        <v/>
      </c>
      <c r="BT4643">
        <f>IF(AND(4630&lt;$U$9,$W$5),BQ4643*1000000-MIN(BR4643,999)*1000+BS4643-4630/100000,-1000000000-4630)</f>
        <v/>
      </c>
    </row>
    <row r="4644">
      <c r="BN4644">
        <f>IF(4631&lt;$U$9,INT(4631/($U$7*$U$8))+1,1)</f>
        <v/>
      </c>
      <c r="BO4644">
        <f>IF(4631&lt;$U$9,MOD(INT(4631/$U$8),$U$7)+1,1)</f>
        <v/>
      </c>
      <c r="BP4644">
        <f>IF(4631&lt;$U$9,MOD(4631,$U$8)+1,1)</f>
        <v/>
      </c>
      <c r="BQ4644">
        <f>IF(4631&lt;$U$9,SUMPRODUCT(($D$10:$L$10&lt;&gt;"")*(($D$9:$L$9+INT(($S$12:$AA$12+INDEX($AJ$13:$AR$162,BN4644,0)+INDEX($AT$13:$BB$162,BO4644,0)+INDEX($BD$13:$BL$162,BP4644,0))/100))&gt;=$D$10:$L$10)),0)</f>
        <v/>
      </c>
      <c r="BR4644">
        <f>IF(4631&lt;$U$9,SUMPRODUCT(($D$10:$L$10&lt;&gt;"")*(($D$10:$L$10-($D$9:$L$9+INT(($S$12:$AA$12+INDEX($AJ$13:$AR$162,BN4644,0)+INDEX($AT$13:$BB$162,BO4644,0)+INDEX($BD$13:$BL$162,BP4644,0))/100)))&gt;0)*($D$10:$L$10-($D$9:$L$9+INT(($S$12:$AA$12+INDEX($AJ$13:$AR$162,BN4644,0)+INDEX($AT$13:$BB$162,BO4644,0)+INDEX($BD$13:$BL$162,BP4644,0))/100)))),0)</f>
        <v/>
      </c>
      <c r="BS4644">
        <f>IF(4631&lt;$U$9,SUMPRODUCT(($D$9:$L$9+INT(($S$12:$AA$12+INDEX($AJ$13:$AR$162,BN4644,0)+INDEX($AT$13:$BB$162,BO4644,0)+INDEX($BD$13:$BL$162,BP4644,0))/100))),0)</f>
        <v/>
      </c>
      <c r="BT4644">
        <f>IF(AND(4631&lt;$U$9,$W$5),BQ4644*1000000-MIN(BR4644,999)*1000+BS4644-4631/100000,-1000000000-4631)</f>
        <v/>
      </c>
    </row>
    <row r="4645">
      <c r="BN4645">
        <f>IF(4632&lt;$U$9,INT(4632/($U$7*$U$8))+1,1)</f>
        <v/>
      </c>
      <c r="BO4645">
        <f>IF(4632&lt;$U$9,MOD(INT(4632/$U$8),$U$7)+1,1)</f>
        <v/>
      </c>
      <c r="BP4645">
        <f>IF(4632&lt;$U$9,MOD(4632,$U$8)+1,1)</f>
        <v/>
      </c>
      <c r="BQ4645">
        <f>IF(4632&lt;$U$9,SUMPRODUCT(($D$10:$L$10&lt;&gt;"")*(($D$9:$L$9+INT(($S$12:$AA$12+INDEX($AJ$13:$AR$162,BN4645,0)+INDEX($AT$13:$BB$162,BO4645,0)+INDEX($BD$13:$BL$162,BP4645,0))/100))&gt;=$D$10:$L$10)),0)</f>
        <v/>
      </c>
      <c r="BR4645">
        <f>IF(4632&lt;$U$9,SUMPRODUCT(($D$10:$L$10&lt;&gt;"")*(($D$10:$L$10-($D$9:$L$9+INT(($S$12:$AA$12+INDEX($AJ$13:$AR$162,BN4645,0)+INDEX($AT$13:$BB$162,BO4645,0)+INDEX($BD$13:$BL$162,BP4645,0))/100)))&gt;0)*($D$10:$L$10-($D$9:$L$9+INT(($S$12:$AA$12+INDEX($AJ$13:$AR$162,BN4645,0)+INDEX($AT$13:$BB$162,BO4645,0)+INDEX($BD$13:$BL$162,BP4645,0))/100)))),0)</f>
        <v/>
      </c>
      <c r="BS4645">
        <f>IF(4632&lt;$U$9,SUMPRODUCT(($D$9:$L$9+INT(($S$12:$AA$12+INDEX($AJ$13:$AR$162,BN4645,0)+INDEX($AT$13:$BB$162,BO4645,0)+INDEX($BD$13:$BL$162,BP4645,0))/100))),0)</f>
        <v/>
      </c>
      <c r="BT4645">
        <f>IF(AND(4632&lt;$U$9,$W$5),BQ4645*1000000-MIN(BR4645,999)*1000+BS4645-4632/100000,-1000000000-4632)</f>
        <v/>
      </c>
    </row>
    <row r="4646">
      <c r="BN4646">
        <f>IF(4633&lt;$U$9,INT(4633/($U$7*$U$8))+1,1)</f>
        <v/>
      </c>
      <c r="BO4646">
        <f>IF(4633&lt;$U$9,MOD(INT(4633/$U$8),$U$7)+1,1)</f>
        <v/>
      </c>
      <c r="BP4646">
        <f>IF(4633&lt;$U$9,MOD(4633,$U$8)+1,1)</f>
        <v/>
      </c>
      <c r="BQ4646">
        <f>IF(4633&lt;$U$9,SUMPRODUCT(($D$10:$L$10&lt;&gt;"")*(($D$9:$L$9+INT(($S$12:$AA$12+INDEX($AJ$13:$AR$162,BN4646,0)+INDEX($AT$13:$BB$162,BO4646,0)+INDEX($BD$13:$BL$162,BP4646,0))/100))&gt;=$D$10:$L$10)),0)</f>
        <v/>
      </c>
      <c r="BR4646">
        <f>IF(4633&lt;$U$9,SUMPRODUCT(($D$10:$L$10&lt;&gt;"")*(($D$10:$L$10-($D$9:$L$9+INT(($S$12:$AA$12+INDEX($AJ$13:$AR$162,BN4646,0)+INDEX($AT$13:$BB$162,BO4646,0)+INDEX($BD$13:$BL$162,BP4646,0))/100)))&gt;0)*($D$10:$L$10-($D$9:$L$9+INT(($S$12:$AA$12+INDEX($AJ$13:$AR$162,BN4646,0)+INDEX($AT$13:$BB$162,BO4646,0)+INDEX($BD$13:$BL$162,BP4646,0))/100)))),0)</f>
        <v/>
      </c>
      <c r="BS4646">
        <f>IF(4633&lt;$U$9,SUMPRODUCT(($D$9:$L$9+INT(($S$12:$AA$12+INDEX($AJ$13:$AR$162,BN4646,0)+INDEX($AT$13:$BB$162,BO4646,0)+INDEX($BD$13:$BL$162,BP4646,0))/100))),0)</f>
        <v/>
      </c>
      <c r="BT4646">
        <f>IF(AND(4633&lt;$U$9,$W$5),BQ4646*1000000-MIN(BR4646,999)*1000+BS4646-4633/100000,-1000000000-4633)</f>
        <v/>
      </c>
    </row>
    <row r="4647">
      <c r="BN4647">
        <f>IF(4634&lt;$U$9,INT(4634/($U$7*$U$8))+1,1)</f>
        <v/>
      </c>
      <c r="BO4647">
        <f>IF(4634&lt;$U$9,MOD(INT(4634/$U$8),$U$7)+1,1)</f>
        <v/>
      </c>
      <c r="BP4647">
        <f>IF(4634&lt;$U$9,MOD(4634,$U$8)+1,1)</f>
        <v/>
      </c>
      <c r="BQ4647">
        <f>IF(4634&lt;$U$9,SUMPRODUCT(($D$10:$L$10&lt;&gt;"")*(($D$9:$L$9+INT(($S$12:$AA$12+INDEX($AJ$13:$AR$162,BN4647,0)+INDEX($AT$13:$BB$162,BO4647,0)+INDEX($BD$13:$BL$162,BP4647,0))/100))&gt;=$D$10:$L$10)),0)</f>
        <v/>
      </c>
      <c r="BR4647">
        <f>IF(4634&lt;$U$9,SUMPRODUCT(($D$10:$L$10&lt;&gt;"")*(($D$10:$L$10-($D$9:$L$9+INT(($S$12:$AA$12+INDEX($AJ$13:$AR$162,BN4647,0)+INDEX($AT$13:$BB$162,BO4647,0)+INDEX($BD$13:$BL$162,BP4647,0))/100)))&gt;0)*($D$10:$L$10-($D$9:$L$9+INT(($S$12:$AA$12+INDEX($AJ$13:$AR$162,BN4647,0)+INDEX($AT$13:$BB$162,BO4647,0)+INDEX($BD$13:$BL$162,BP4647,0))/100)))),0)</f>
        <v/>
      </c>
      <c r="BS4647">
        <f>IF(4634&lt;$U$9,SUMPRODUCT(($D$9:$L$9+INT(($S$12:$AA$12+INDEX($AJ$13:$AR$162,BN4647,0)+INDEX($AT$13:$BB$162,BO4647,0)+INDEX($BD$13:$BL$162,BP4647,0))/100))),0)</f>
        <v/>
      </c>
      <c r="BT4647">
        <f>IF(AND(4634&lt;$U$9,$W$5),BQ4647*1000000-MIN(BR4647,999)*1000+BS4647-4634/100000,-1000000000-4634)</f>
        <v/>
      </c>
    </row>
    <row r="4648">
      <c r="BN4648">
        <f>IF(4635&lt;$U$9,INT(4635/($U$7*$U$8))+1,1)</f>
        <v/>
      </c>
      <c r="BO4648">
        <f>IF(4635&lt;$U$9,MOD(INT(4635/$U$8),$U$7)+1,1)</f>
        <v/>
      </c>
      <c r="BP4648">
        <f>IF(4635&lt;$U$9,MOD(4635,$U$8)+1,1)</f>
        <v/>
      </c>
      <c r="BQ4648">
        <f>IF(4635&lt;$U$9,SUMPRODUCT(($D$10:$L$10&lt;&gt;"")*(($D$9:$L$9+INT(($S$12:$AA$12+INDEX($AJ$13:$AR$162,BN4648,0)+INDEX($AT$13:$BB$162,BO4648,0)+INDEX($BD$13:$BL$162,BP4648,0))/100))&gt;=$D$10:$L$10)),0)</f>
        <v/>
      </c>
      <c r="BR4648">
        <f>IF(4635&lt;$U$9,SUMPRODUCT(($D$10:$L$10&lt;&gt;"")*(($D$10:$L$10-($D$9:$L$9+INT(($S$12:$AA$12+INDEX($AJ$13:$AR$162,BN4648,0)+INDEX($AT$13:$BB$162,BO4648,0)+INDEX($BD$13:$BL$162,BP4648,0))/100)))&gt;0)*($D$10:$L$10-($D$9:$L$9+INT(($S$12:$AA$12+INDEX($AJ$13:$AR$162,BN4648,0)+INDEX($AT$13:$BB$162,BO4648,0)+INDEX($BD$13:$BL$162,BP4648,0))/100)))),0)</f>
        <v/>
      </c>
      <c r="BS4648">
        <f>IF(4635&lt;$U$9,SUMPRODUCT(($D$9:$L$9+INT(($S$12:$AA$12+INDEX($AJ$13:$AR$162,BN4648,0)+INDEX($AT$13:$BB$162,BO4648,0)+INDEX($BD$13:$BL$162,BP4648,0))/100))),0)</f>
        <v/>
      </c>
      <c r="BT4648">
        <f>IF(AND(4635&lt;$U$9,$W$5),BQ4648*1000000-MIN(BR4648,999)*1000+BS4648-4635/100000,-1000000000-4635)</f>
        <v/>
      </c>
    </row>
    <row r="4649">
      <c r="BN4649">
        <f>IF(4636&lt;$U$9,INT(4636/($U$7*$U$8))+1,1)</f>
        <v/>
      </c>
      <c r="BO4649">
        <f>IF(4636&lt;$U$9,MOD(INT(4636/$U$8),$U$7)+1,1)</f>
        <v/>
      </c>
      <c r="BP4649">
        <f>IF(4636&lt;$U$9,MOD(4636,$U$8)+1,1)</f>
        <v/>
      </c>
      <c r="BQ4649">
        <f>IF(4636&lt;$U$9,SUMPRODUCT(($D$10:$L$10&lt;&gt;"")*(($D$9:$L$9+INT(($S$12:$AA$12+INDEX($AJ$13:$AR$162,BN4649,0)+INDEX($AT$13:$BB$162,BO4649,0)+INDEX($BD$13:$BL$162,BP4649,0))/100))&gt;=$D$10:$L$10)),0)</f>
        <v/>
      </c>
      <c r="BR4649">
        <f>IF(4636&lt;$U$9,SUMPRODUCT(($D$10:$L$10&lt;&gt;"")*(($D$10:$L$10-($D$9:$L$9+INT(($S$12:$AA$12+INDEX($AJ$13:$AR$162,BN4649,0)+INDEX($AT$13:$BB$162,BO4649,0)+INDEX($BD$13:$BL$162,BP4649,0))/100)))&gt;0)*($D$10:$L$10-($D$9:$L$9+INT(($S$12:$AA$12+INDEX($AJ$13:$AR$162,BN4649,0)+INDEX($AT$13:$BB$162,BO4649,0)+INDEX($BD$13:$BL$162,BP4649,0))/100)))),0)</f>
        <v/>
      </c>
      <c r="BS4649">
        <f>IF(4636&lt;$U$9,SUMPRODUCT(($D$9:$L$9+INT(($S$12:$AA$12+INDEX($AJ$13:$AR$162,BN4649,0)+INDEX($AT$13:$BB$162,BO4649,0)+INDEX($BD$13:$BL$162,BP4649,0))/100))),0)</f>
        <v/>
      </c>
      <c r="BT4649">
        <f>IF(AND(4636&lt;$U$9,$W$5),BQ4649*1000000-MIN(BR4649,999)*1000+BS4649-4636/100000,-1000000000-4636)</f>
        <v/>
      </c>
    </row>
    <row r="4650">
      <c r="BN4650">
        <f>IF(4637&lt;$U$9,INT(4637/($U$7*$U$8))+1,1)</f>
        <v/>
      </c>
      <c r="BO4650">
        <f>IF(4637&lt;$U$9,MOD(INT(4637/$U$8),$U$7)+1,1)</f>
        <v/>
      </c>
      <c r="BP4650">
        <f>IF(4637&lt;$U$9,MOD(4637,$U$8)+1,1)</f>
        <v/>
      </c>
      <c r="BQ4650">
        <f>IF(4637&lt;$U$9,SUMPRODUCT(($D$10:$L$10&lt;&gt;"")*(($D$9:$L$9+INT(($S$12:$AA$12+INDEX($AJ$13:$AR$162,BN4650,0)+INDEX($AT$13:$BB$162,BO4650,0)+INDEX($BD$13:$BL$162,BP4650,0))/100))&gt;=$D$10:$L$10)),0)</f>
        <v/>
      </c>
      <c r="BR4650">
        <f>IF(4637&lt;$U$9,SUMPRODUCT(($D$10:$L$10&lt;&gt;"")*(($D$10:$L$10-($D$9:$L$9+INT(($S$12:$AA$12+INDEX($AJ$13:$AR$162,BN4650,0)+INDEX($AT$13:$BB$162,BO4650,0)+INDEX($BD$13:$BL$162,BP4650,0))/100)))&gt;0)*($D$10:$L$10-($D$9:$L$9+INT(($S$12:$AA$12+INDEX($AJ$13:$AR$162,BN4650,0)+INDEX($AT$13:$BB$162,BO4650,0)+INDEX($BD$13:$BL$162,BP4650,0))/100)))),0)</f>
        <v/>
      </c>
      <c r="BS4650">
        <f>IF(4637&lt;$U$9,SUMPRODUCT(($D$9:$L$9+INT(($S$12:$AA$12+INDEX($AJ$13:$AR$162,BN4650,0)+INDEX($AT$13:$BB$162,BO4650,0)+INDEX($BD$13:$BL$162,BP4650,0))/100))),0)</f>
        <v/>
      </c>
      <c r="BT4650">
        <f>IF(AND(4637&lt;$U$9,$W$5),BQ4650*1000000-MIN(BR4650,999)*1000+BS4650-4637/100000,-1000000000-4637)</f>
        <v/>
      </c>
    </row>
    <row r="4651">
      <c r="BN4651">
        <f>IF(4638&lt;$U$9,INT(4638/($U$7*$U$8))+1,1)</f>
        <v/>
      </c>
      <c r="BO4651">
        <f>IF(4638&lt;$U$9,MOD(INT(4638/$U$8),$U$7)+1,1)</f>
        <v/>
      </c>
      <c r="BP4651">
        <f>IF(4638&lt;$U$9,MOD(4638,$U$8)+1,1)</f>
        <v/>
      </c>
      <c r="BQ4651">
        <f>IF(4638&lt;$U$9,SUMPRODUCT(($D$10:$L$10&lt;&gt;"")*(($D$9:$L$9+INT(($S$12:$AA$12+INDEX($AJ$13:$AR$162,BN4651,0)+INDEX($AT$13:$BB$162,BO4651,0)+INDEX($BD$13:$BL$162,BP4651,0))/100))&gt;=$D$10:$L$10)),0)</f>
        <v/>
      </c>
      <c r="BR4651">
        <f>IF(4638&lt;$U$9,SUMPRODUCT(($D$10:$L$10&lt;&gt;"")*(($D$10:$L$10-($D$9:$L$9+INT(($S$12:$AA$12+INDEX($AJ$13:$AR$162,BN4651,0)+INDEX($AT$13:$BB$162,BO4651,0)+INDEX($BD$13:$BL$162,BP4651,0))/100)))&gt;0)*($D$10:$L$10-($D$9:$L$9+INT(($S$12:$AA$12+INDEX($AJ$13:$AR$162,BN4651,0)+INDEX($AT$13:$BB$162,BO4651,0)+INDEX($BD$13:$BL$162,BP4651,0))/100)))),0)</f>
        <v/>
      </c>
      <c r="BS4651">
        <f>IF(4638&lt;$U$9,SUMPRODUCT(($D$9:$L$9+INT(($S$12:$AA$12+INDEX($AJ$13:$AR$162,BN4651,0)+INDEX($AT$13:$BB$162,BO4651,0)+INDEX($BD$13:$BL$162,BP4651,0))/100))),0)</f>
        <v/>
      </c>
      <c r="BT4651">
        <f>IF(AND(4638&lt;$U$9,$W$5),BQ4651*1000000-MIN(BR4651,999)*1000+BS4651-4638/100000,-1000000000-4638)</f>
        <v/>
      </c>
    </row>
    <row r="4652">
      <c r="BN4652">
        <f>IF(4639&lt;$U$9,INT(4639/($U$7*$U$8))+1,1)</f>
        <v/>
      </c>
      <c r="BO4652">
        <f>IF(4639&lt;$U$9,MOD(INT(4639/$U$8),$U$7)+1,1)</f>
        <v/>
      </c>
      <c r="BP4652">
        <f>IF(4639&lt;$U$9,MOD(4639,$U$8)+1,1)</f>
        <v/>
      </c>
      <c r="BQ4652">
        <f>IF(4639&lt;$U$9,SUMPRODUCT(($D$10:$L$10&lt;&gt;"")*(($D$9:$L$9+INT(($S$12:$AA$12+INDEX($AJ$13:$AR$162,BN4652,0)+INDEX($AT$13:$BB$162,BO4652,0)+INDEX($BD$13:$BL$162,BP4652,0))/100))&gt;=$D$10:$L$10)),0)</f>
        <v/>
      </c>
      <c r="BR4652">
        <f>IF(4639&lt;$U$9,SUMPRODUCT(($D$10:$L$10&lt;&gt;"")*(($D$10:$L$10-($D$9:$L$9+INT(($S$12:$AA$12+INDEX($AJ$13:$AR$162,BN4652,0)+INDEX($AT$13:$BB$162,BO4652,0)+INDEX($BD$13:$BL$162,BP4652,0))/100)))&gt;0)*($D$10:$L$10-($D$9:$L$9+INT(($S$12:$AA$12+INDEX($AJ$13:$AR$162,BN4652,0)+INDEX($AT$13:$BB$162,BO4652,0)+INDEX($BD$13:$BL$162,BP4652,0))/100)))),0)</f>
        <v/>
      </c>
      <c r="BS4652">
        <f>IF(4639&lt;$U$9,SUMPRODUCT(($D$9:$L$9+INT(($S$12:$AA$12+INDEX($AJ$13:$AR$162,BN4652,0)+INDEX($AT$13:$BB$162,BO4652,0)+INDEX($BD$13:$BL$162,BP4652,0))/100))),0)</f>
        <v/>
      </c>
      <c r="BT4652">
        <f>IF(AND(4639&lt;$U$9,$W$5),BQ4652*1000000-MIN(BR4652,999)*1000+BS4652-4639/100000,-1000000000-4639)</f>
        <v/>
      </c>
    </row>
    <row r="4653">
      <c r="BN4653">
        <f>IF(4640&lt;$U$9,INT(4640/($U$7*$U$8))+1,1)</f>
        <v/>
      </c>
      <c r="BO4653">
        <f>IF(4640&lt;$U$9,MOD(INT(4640/$U$8),$U$7)+1,1)</f>
        <v/>
      </c>
      <c r="BP4653">
        <f>IF(4640&lt;$U$9,MOD(4640,$U$8)+1,1)</f>
        <v/>
      </c>
      <c r="BQ4653">
        <f>IF(4640&lt;$U$9,SUMPRODUCT(($D$10:$L$10&lt;&gt;"")*(($D$9:$L$9+INT(($S$12:$AA$12+INDEX($AJ$13:$AR$162,BN4653,0)+INDEX($AT$13:$BB$162,BO4653,0)+INDEX($BD$13:$BL$162,BP4653,0))/100))&gt;=$D$10:$L$10)),0)</f>
        <v/>
      </c>
      <c r="BR4653">
        <f>IF(4640&lt;$U$9,SUMPRODUCT(($D$10:$L$10&lt;&gt;"")*(($D$10:$L$10-($D$9:$L$9+INT(($S$12:$AA$12+INDEX($AJ$13:$AR$162,BN4653,0)+INDEX($AT$13:$BB$162,BO4653,0)+INDEX($BD$13:$BL$162,BP4653,0))/100)))&gt;0)*($D$10:$L$10-($D$9:$L$9+INT(($S$12:$AA$12+INDEX($AJ$13:$AR$162,BN4653,0)+INDEX($AT$13:$BB$162,BO4653,0)+INDEX($BD$13:$BL$162,BP4653,0))/100)))),0)</f>
        <v/>
      </c>
      <c r="BS4653">
        <f>IF(4640&lt;$U$9,SUMPRODUCT(($D$9:$L$9+INT(($S$12:$AA$12+INDEX($AJ$13:$AR$162,BN4653,0)+INDEX($AT$13:$BB$162,BO4653,0)+INDEX($BD$13:$BL$162,BP4653,0))/100))),0)</f>
        <v/>
      </c>
      <c r="BT4653">
        <f>IF(AND(4640&lt;$U$9,$W$5),BQ4653*1000000-MIN(BR4653,999)*1000+BS4653-4640/100000,-1000000000-4640)</f>
        <v/>
      </c>
    </row>
    <row r="4654">
      <c r="BN4654">
        <f>IF(4641&lt;$U$9,INT(4641/($U$7*$U$8))+1,1)</f>
        <v/>
      </c>
      <c r="BO4654">
        <f>IF(4641&lt;$U$9,MOD(INT(4641/$U$8),$U$7)+1,1)</f>
        <v/>
      </c>
      <c r="BP4654">
        <f>IF(4641&lt;$U$9,MOD(4641,$U$8)+1,1)</f>
        <v/>
      </c>
      <c r="BQ4654">
        <f>IF(4641&lt;$U$9,SUMPRODUCT(($D$10:$L$10&lt;&gt;"")*(($D$9:$L$9+INT(($S$12:$AA$12+INDEX($AJ$13:$AR$162,BN4654,0)+INDEX($AT$13:$BB$162,BO4654,0)+INDEX($BD$13:$BL$162,BP4654,0))/100))&gt;=$D$10:$L$10)),0)</f>
        <v/>
      </c>
      <c r="BR4654">
        <f>IF(4641&lt;$U$9,SUMPRODUCT(($D$10:$L$10&lt;&gt;"")*(($D$10:$L$10-($D$9:$L$9+INT(($S$12:$AA$12+INDEX($AJ$13:$AR$162,BN4654,0)+INDEX($AT$13:$BB$162,BO4654,0)+INDEX($BD$13:$BL$162,BP4654,0))/100)))&gt;0)*($D$10:$L$10-($D$9:$L$9+INT(($S$12:$AA$12+INDEX($AJ$13:$AR$162,BN4654,0)+INDEX($AT$13:$BB$162,BO4654,0)+INDEX($BD$13:$BL$162,BP4654,0))/100)))),0)</f>
        <v/>
      </c>
      <c r="BS4654">
        <f>IF(4641&lt;$U$9,SUMPRODUCT(($D$9:$L$9+INT(($S$12:$AA$12+INDEX($AJ$13:$AR$162,BN4654,0)+INDEX($AT$13:$BB$162,BO4654,0)+INDEX($BD$13:$BL$162,BP4654,0))/100))),0)</f>
        <v/>
      </c>
      <c r="BT4654">
        <f>IF(AND(4641&lt;$U$9,$W$5),BQ4654*1000000-MIN(BR4654,999)*1000+BS4654-4641/100000,-1000000000-4641)</f>
        <v/>
      </c>
    </row>
    <row r="4655">
      <c r="BN4655">
        <f>IF(4642&lt;$U$9,INT(4642/($U$7*$U$8))+1,1)</f>
        <v/>
      </c>
      <c r="BO4655">
        <f>IF(4642&lt;$U$9,MOD(INT(4642/$U$8),$U$7)+1,1)</f>
        <v/>
      </c>
      <c r="BP4655">
        <f>IF(4642&lt;$U$9,MOD(4642,$U$8)+1,1)</f>
        <v/>
      </c>
      <c r="BQ4655">
        <f>IF(4642&lt;$U$9,SUMPRODUCT(($D$10:$L$10&lt;&gt;"")*(($D$9:$L$9+INT(($S$12:$AA$12+INDEX($AJ$13:$AR$162,BN4655,0)+INDEX($AT$13:$BB$162,BO4655,0)+INDEX($BD$13:$BL$162,BP4655,0))/100))&gt;=$D$10:$L$10)),0)</f>
        <v/>
      </c>
      <c r="BR4655">
        <f>IF(4642&lt;$U$9,SUMPRODUCT(($D$10:$L$10&lt;&gt;"")*(($D$10:$L$10-($D$9:$L$9+INT(($S$12:$AA$12+INDEX($AJ$13:$AR$162,BN4655,0)+INDEX($AT$13:$BB$162,BO4655,0)+INDEX($BD$13:$BL$162,BP4655,0))/100)))&gt;0)*($D$10:$L$10-($D$9:$L$9+INT(($S$12:$AA$12+INDEX($AJ$13:$AR$162,BN4655,0)+INDEX($AT$13:$BB$162,BO4655,0)+INDEX($BD$13:$BL$162,BP4655,0))/100)))),0)</f>
        <v/>
      </c>
      <c r="BS4655">
        <f>IF(4642&lt;$U$9,SUMPRODUCT(($D$9:$L$9+INT(($S$12:$AA$12+INDEX($AJ$13:$AR$162,BN4655,0)+INDEX($AT$13:$BB$162,BO4655,0)+INDEX($BD$13:$BL$162,BP4655,0))/100))),0)</f>
        <v/>
      </c>
      <c r="BT4655">
        <f>IF(AND(4642&lt;$U$9,$W$5),BQ4655*1000000-MIN(BR4655,999)*1000+BS4655-4642/100000,-1000000000-4642)</f>
        <v/>
      </c>
    </row>
    <row r="4656">
      <c r="BN4656">
        <f>IF(4643&lt;$U$9,INT(4643/($U$7*$U$8))+1,1)</f>
        <v/>
      </c>
      <c r="BO4656">
        <f>IF(4643&lt;$U$9,MOD(INT(4643/$U$8),$U$7)+1,1)</f>
        <v/>
      </c>
      <c r="BP4656">
        <f>IF(4643&lt;$U$9,MOD(4643,$U$8)+1,1)</f>
        <v/>
      </c>
      <c r="BQ4656">
        <f>IF(4643&lt;$U$9,SUMPRODUCT(($D$10:$L$10&lt;&gt;"")*(($D$9:$L$9+INT(($S$12:$AA$12+INDEX($AJ$13:$AR$162,BN4656,0)+INDEX($AT$13:$BB$162,BO4656,0)+INDEX($BD$13:$BL$162,BP4656,0))/100))&gt;=$D$10:$L$10)),0)</f>
        <v/>
      </c>
      <c r="BR4656">
        <f>IF(4643&lt;$U$9,SUMPRODUCT(($D$10:$L$10&lt;&gt;"")*(($D$10:$L$10-($D$9:$L$9+INT(($S$12:$AA$12+INDEX($AJ$13:$AR$162,BN4656,0)+INDEX($AT$13:$BB$162,BO4656,0)+INDEX($BD$13:$BL$162,BP4656,0))/100)))&gt;0)*($D$10:$L$10-($D$9:$L$9+INT(($S$12:$AA$12+INDEX($AJ$13:$AR$162,BN4656,0)+INDEX($AT$13:$BB$162,BO4656,0)+INDEX($BD$13:$BL$162,BP4656,0))/100)))),0)</f>
        <v/>
      </c>
      <c r="BS4656">
        <f>IF(4643&lt;$U$9,SUMPRODUCT(($D$9:$L$9+INT(($S$12:$AA$12+INDEX($AJ$13:$AR$162,BN4656,0)+INDEX($AT$13:$BB$162,BO4656,0)+INDEX($BD$13:$BL$162,BP4656,0))/100))),0)</f>
        <v/>
      </c>
      <c r="BT4656">
        <f>IF(AND(4643&lt;$U$9,$W$5),BQ4656*1000000-MIN(BR4656,999)*1000+BS4656-4643/100000,-1000000000-4643)</f>
        <v/>
      </c>
    </row>
    <row r="4657">
      <c r="BN4657">
        <f>IF(4644&lt;$U$9,INT(4644/($U$7*$U$8))+1,1)</f>
        <v/>
      </c>
      <c r="BO4657">
        <f>IF(4644&lt;$U$9,MOD(INT(4644/$U$8),$U$7)+1,1)</f>
        <v/>
      </c>
      <c r="BP4657">
        <f>IF(4644&lt;$U$9,MOD(4644,$U$8)+1,1)</f>
        <v/>
      </c>
      <c r="BQ4657">
        <f>IF(4644&lt;$U$9,SUMPRODUCT(($D$10:$L$10&lt;&gt;"")*(($D$9:$L$9+INT(($S$12:$AA$12+INDEX($AJ$13:$AR$162,BN4657,0)+INDEX($AT$13:$BB$162,BO4657,0)+INDEX($BD$13:$BL$162,BP4657,0))/100))&gt;=$D$10:$L$10)),0)</f>
        <v/>
      </c>
      <c r="BR4657">
        <f>IF(4644&lt;$U$9,SUMPRODUCT(($D$10:$L$10&lt;&gt;"")*(($D$10:$L$10-($D$9:$L$9+INT(($S$12:$AA$12+INDEX($AJ$13:$AR$162,BN4657,0)+INDEX($AT$13:$BB$162,BO4657,0)+INDEX($BD$13:$BL$162,BP4657,0))/100)))&gt;0)*($D$10:$L$10-($D$9:$L$9+INT(($S$12:$AA$12+INDEX($AJ$13:$AR$162,BN4657,0)+INDEX($AT$13:$BB$162,BO4657,0)+INDEX($BD$13:$BL$162,BP4657,0))/100)))),0)</f>
        <v/>
      </c>
      <c r="BS4657">
        <f>IF(4644&lt;$U$9,SUMPRODUCT(($D$9:$L$9+INT(($S$12:$AA$12+INDEX($AJ$13:$AR$162,BN4657,0)+INDEX($AT$13:$BB$162,BO4657,0)+INDEX($BD$13:$BL$162,BP4657,0))/100))),0)</f>
        <v/>
      </c>
      <c r="BT4657">
        <f>IF(AND(4644&lt;$U$9,$W$5),BQ4657*1000000-MIN(BR4657,999)*1000+BS4657-4644/100000,-1000000000-4644)</f>
        <v/>
      </c>
    </row>
    <row r="4658">
      <c r="BN4658">
        <f>IF(4645&lt;$U$9,INT(4645/($U$7*$U$8))+1,1)</f>
        <v/>
      </c>
      <c r="BO4658">
        <f>IF(4645&lt;$U$9,MOD(INT(4645/$U$8),$U$7)+1,1)</f>
        <v/>
      </c>
      <c r="BP4658">
        <f>IF(4645&lt;$U$9,MOD(4645,$U$8)+1,1)</f>
        <v/>
      </c>
      <c r="BQ4658">
        <f>IF(4645&lt;$U$9,SUMPRODUCT(($D$10:$L$10&lt;&gt;"")*(($D$9:$L$9+INT(($S$12:$AA$12+INDEX($AJ$13:$AR$162,BN4658,0)+INDEX($AT$13:$BB$162,BO4658,0)+INDEX($BD$13:$BL$162,BP4658,0))/100))&gt;=$D$10:$L$10)),0)</f>
        <v/>
      </c>
      <c r="BR4658">
        <f>IF(4645&lt;$U$9,SUMPRODUCT(($D$10:$L$10&lt;&gt;"")*(($D$10:$L$10-($D$9:$L$9+INT(($S$12:$AA$12+INDEX($AJ$13:$AR$162,BN4658,0)+INDEX($AT$13:$BB$162,BO4658,0)+INDEX($BD$13:$BL$162,BP4658,0))/100)))&gt;0)*($D$10:$L$10-($D$9:$L$9+INT(($S$12:$AA$12+INDEX($AJ$13:$AR$162,BN4658,0)+INDEX($AT$13:$BB$162,BO4658,0)+INDEX($BD$13:$BL$162,BP4658,0))/100)))),0)</f>
        <v/>
      </c>
      <c r="BS4658">
        <f>IF(4645&lt;$U$9,SUMPRODUCT(($D$9:$L$9+INT(($S$12:$AA$12+INDEX($AJ$13:$AR$162,BN4658,0)+INDEX($AT$13:$BB$162,BO4658,0)+INDEX($BD$13:$BL$162,BP4658,0))/100))),0)</f>
        <v/>
      </c>
      <c r="BT4658">
        <f>IF(AND(4645&lt;$U$9,$W$5),BQ4658*1000000-MIN(BR4658,999)*1000+BS4658-4645/100000,-1000000000-4645)</f>
        <v/>
      </c>
    </row>
    <row r="4659">
      <c r="BN4659">
        <f>IF(4646&lt;$U$9,INT(4646/($U$7*$U$8))+1,1)</f>
        <v/>
      </c>
      <c r="BO4659">
        <f>IF(4646&lt;$U$9,MOD(INT(4646/$U$8),$U$7)+1,1)</f>
        <v/>
      </c>
      <c r="BP4659">
        <f>IF(4646&lt;$U$9,MOD(4646,$U$8)+1,1)</f>
        <v/>
      </c>
      <c r="BQ4659">
        <f>IF(4646&lt;$U$9,SUMPRODUCT(($D$10:$L$10&lt;&gt;"")*(($D$9:$L$9+INT(($S$12:$AA$12+INDEX($AJ$13:$AR$162,BN4659,0)+INDEX($AT$13:$BB$162,BO4659,0)+INDEX($BD$13:$BL$162,BP4659,0))/100))&gt;=$D$10:$L$10)),0)</f>
        <v/>
      </c>
      <c r="BR4659">
        <f>IF(4646&lt;$U$9,SUMPRODUCT(($D$10:$L$10&lt;&gt;"")*(($D$10:$L$10-($D$9:$L$9+INT(($S$12:$AA$12+INDEX($AJ$13:$AR$162,BN4659,0)+INDEX($AT$13:$BB$162,BO4659,0)+INDEX($BD$13:$BL$162,BP4659,0))/100)))&gt;0)*($D$10:$L$10-($D$9:$L$9+INT(($S$12:$AA$12+INDEX($AJ$13:$AR$162,BN4659,0)+INDEX($AT$13:$BB$162,BO4659,0)+INDEX($BD$13:$BL$162,BP4659,0))/100)))),0)</f>
        <v/>
      </c>
      <c r="BS4659">
        <f>IF(4646&lt;$U$9,SUMPRODUCT(($D$9:$L$9+INT(($S$12:$AA$12+INDEX($AJ$13:$AR$162,BN4659,0)+INDEX($AT$13:$BB$162,BO4659,0)+INDEX($BD$13:$BL$162,BP4659,0))/100))),0)</f>
        <v/>
      </c>
      <c r="BT4659">
        <f>IF(AND(4646&lt;$U$9,$W$5),BQ4659*1000000-MIN(BR4659,999)*1000+BS4659-4646/100000,-1000000000-4646)</f>
        <v/>
      </c>
    </row>
    <row r="4660">
      <c r="BN4660">
        <f>IF(4647&lt;$U$9,INT(4647/($U$7*$U$8))+1,1)</f>
        <v/>
      </c>
      <c r="BO4660">
        <f>IF(4647&lt;$U$9,MOD(INT(4647/$U$8),$U$7)+1,1)</f>
        <v/>
      </c>
      <c r="BP4660">
        <f>IF(4647&lt;$U$9,MOD(4647,$U$8)+1,1)</f>
        <v/>
      </c>
      <c r="BQ4660">
        <f>IF(4647&lt;$U$9,SUMPRODUCT(($D$10:$L$10&lt;&gt;"")*(($D$9:$L$9+INT(($S$12:$AA$12+INDEX($AJ$13:$AR$162,BN4660,0)+INDEX($AT$13:$BB$162,BO4660,0)+INDEX($BD$13:$BL$162,BP4660,0))/100))&gt;=$D$10:$L$10)),0)</f>
        <v/>
      </c>
      <c r="BR4660">
        <f>IF(4647&lt;$U$9,SUMPRODUCT(($D$10:$L$10&lt;&gt;"")*(($D$10:$L$10-($D$9:$L$9+INT(($S$12:$AA$12+INDEX($AJ$13:$AR$162,BN4660,0)+INDEX($AT$13:$BB$162,BO4660,0)+INDEX($BD$13:$BL$162,BP4660,0))/100)))&gt;0)*($D$10:$L$10-($D$9:$L$9+INT(($S$12:$AA$12+INDEX($AJ$13:$AR$162,BN4660,0)+INDEX($AT$13:$BB$162,BO4660,0)+INDEX($BD$13:$BL$162,BP4660,0))/100)))),0)</f>
        <v/>
      </c>
      <c r="BS4660">
        <f>IF(4647&lt;$U$9,SUMPRODUCT(($D$9:$L$9+INT(($S$12:$AA$12+INDEX($AJ$13:$AR$162,BN4660,0)+INDEX($AT$13:$BB$162,BO4660,0)+INDEX($BD$13:$BL$162,BP4660,0))/100))),0)</f>
        <v/>
      </c>
      <c r="BT4660">
        <f>IF(AND(4647&lt;$U$9,$W$5),BQ4660*1000000-MIN(BR4660,999)*1000+BS4660-4647/100000,-1000000000-4647)</f>
        <v/>
      </c>
    </row>
    <row r="4661">
      <c r="BN4661">
        <f>IF(4648&lt;$U$9,INT(4648/($U$7*$U$8))+1,1)</f>
        <v/>
      </c>
      <c r="BO4661">
        <f>IF(4648&lt;$U$9,MOD(INT(4648/$U$8),$U$7)+1,1)</f>
        <v/>
      </c>
      <c r="BP4661">
        <f>IF(4648&lt;$U$9,MOD(4648,$U$8)+1,1)</f>
        <v/>
      </c>
      <c r="BQ4661">
        <f>IF(4648&lt;$U$9,SUMPRODUCT(($D$10:$L$10&lt;&gt;"")*(($D$9:$L$9+INT(($S$12:$AA$12+INDEX($AJ$13:$AR$162,BN4661,0)+INDEX($AT$13:$BB$162,BO4661,0)+INDEX($BD$13:$BL$162,BP4661,0))/100))&gt;=$D$10:$L$10)),0)</f>
        <v/>
      </c>
      <c r="BR4661">
        <f>IF(4648&lt;$U$9,SUMPRODUCT(($D$10:$L$10&lt;&gt;"")*(($D$10:$L$10-($D$9:$L$9+INT(($S$12:$AA$12+INDEX($AJ$13:$AR$162,BN4661,0)+INDEX($AT$13:$BB$162,BO4661,0)+INDEX($BD$13:$BL$162,BP4661,0))/100)))&gt;0)*($D$10:$L$10-($D$9:$L$9+INT(($S$12:$AA$12+INDEX($AJ$13:$AR$162,BN4661,0)+INDEX($AT$13:$BB$162,BO4661,0)+INDEX($BD$13:$BL$162,BP4661,0))/100)))),0)</f>
        <v/>
      </c>
      <c r="BS4661">
        <f>IF(4648&lt;$U$9,SUMPRODUCT(($D$9:$L$9+INT(($S$12:$AA$12+INDEX($AJ$13:$AR$162,BN4661,0)+INDEX($AT$13:$BB$162,BO4661,0)+INDEX($BD$13:$BL$162,BP4661,0))/100))),0)</f>
        <v/>
      </c>
      <c r="BT4661">
        <f>IF(AND(4648&lt;$U$9,$W$5),BQ4661*1000000-MIN(BR4661,999)*1000+BS4661-4648/100000,-1000000000-4648)</f>
        <v/>
      </c>
    </row>
    <row r="4662">
      <c r="BN4662">
        <f>IF(4649&lt;$U$9,INT(4649/($U$7*$U$8))+1,1)</f>
        <v/>
      </c>
      <c r="BO4662">
        <f>IF(4649&lt;$U$9,MOD(INT(4649/$U$8),$U$7)+1,1)</f>
        <v/>
      </c>
      <c r="BP4662">
        <f>IF(4649&lt;$U$9,MOD(4649,$U$8)+1,1)</f>
        <v/>
      </c>
      <c r="BQ4662">
        <f>IF(4649&lt;$U$9,SUMPRODUCT(($D$10:$L$10&lt;&gt;"")*(($D$9:$L$9+INT(($S$12:$AA$12+INDEX($AJ$13:$AR$162,BN4662,0)+INDEX($AT$13:$BB$162,BO4662,0)+INDEX($BD$13:$BL$162,BP4662,0))/100))&gt;=$D$10:$L$10)),0)</f>
        <v/>
      </c>
      <c r="BR4662">
        <f>IF(4649&lt;$U$9,SUMPRODUCT(($D$10:$L$10&lt;&gt;"")*(($D$10:$L$10-($D$9:$L$9+INT(($S$12:$AA$12+INDEX($AJ$13:$AR$162,BN4662,0)+INDEX($AT$13:$BB$162,BO4662,0)+INDEX($BD$13:$BL$162,BP4662,0))/100)))&gt;0)*($D$10:$L$10-($D$9:$L$9+INT(($S$12:$AA$12+INDEX($AJ$13:$AR$162,BN4662,0)+INDEX($AT$13:$BB$162,BO4662,0)+INDEX($BD$13:$BL$162,BP4662,0))/100)))),0)</f>
        <v/>
      </c>
      <c r="BS4662">
        <f>IF(4649&lt;$U$9,SUMPRODUCT(($D$9:$L$9+INT(($S$12:$AA$12+INDEX($AJ$13:$AR$162,BN4662,0)+INDEX($AT$13:$BB$162,BO4662,0)+INDEX($BD$13:$BL$162,BP4662,0))/100))),0)</f>
        <v/>
      </c>
      <c r="BT4662">
        <f>IF(AND(4649&lt;$U$9,$W$5),BQ4662*1000000-MIN(BR4662,999)*1000+BS4662-4649/100000,-1000000000-4649)</f>
        <v/>
      </c>
    </row>
    <row r="4663">
      <c r="BN4663">
        <f>IF(4650&lt;$U$9,INT(4650/($U$7*$U$8))+1,1)</f>
        <v/>
      </c>
      <c r="BO4663">
        <f>IF(4650&lt;$U$9,MOD(INT(4650/$U$8),$U$7)+1,1)</f>
        <v/>
      </c>
      <c r="BP4663">
        <f>IF(4650&lt;$U$9,MOD(4650,$U$8)+1,1)</f>
        <v/>
      </c>
      <c r="BQ4663">
        <f>IF(4650&lt;$U$9,SUMPRODUCT(($D$10:$L$10&lt;&gt;"")*(($D$9:$L$9+INT(($S$12:$AA$12+INDEX($AJ$13:$AR$162,BN4663,0)+INDEX($AT$13:$BB$162,BO4663,0)+INDEX($BD$13:$BL$162,BP4663,0))/100))&gt;=$D$10:$L$10)),0)</f>
        <v/>
      </c>
      <c r="BR4663">
        <f>IF(4650&lt;$U$9,SUMPRODUCT(($D$10:$L$10&lt;&gt;"")*(($D$10:$L$10-($D$9:$L$9+INT(($S$12:$AA$12+INDEX($AJ$13:$AR$162,BN4663,0)+INDEX($AT$13:$BB$162,BO4663,0)+INDEX($BD$13:$BL$162,BP4663,0))/100)))&gt;0)*($D$10:$L$10-($D$9:$L$9+INT(($S$12:$AA$12+INDEX($AJ$13:$AR$162,BN4663,0)+INDEX($AT$13:$BB$162,BO4663,0)+INDEX($BD$13:$BL$162,BP4663,0))/100)))),0)</f>
        <v/>
      </c>
      <c r="BS4663">
        <f>IF(4650&lt;$U$9,SUMPRODUCT(($D$9:$L$9+INT(($S$12:$AA$12+INDEX($AJ$13:$AR$162,BN4663,0)+INDEX($AT$13:$BB$162,BO4663,0)+INDEX($BD$13:$BL$162,BP4663,0))/100))),0)</f>
        <v/>
      </c>
      <c r="BT4663">
        <f>IF(AND(4650&lt;$U$9,$W$5),BQ4663*1000000-MIN(BR4663,999)*1000+BS4663-4650/100000,-1000000000-4650)</f>
        <v/>
      </c>
    </row>
    <row r="4664">
      <c r="BN4664">
        <f>IF(4651&lt;$U$9,INT(4651/($U$7*$U$8))+1,1)</f>
        <v/>
      </c>
      <c r="BO4664">
        <f>IF(4651&lt;$U$9,MOD(INT(4651/$U$8),$U$7)+1,1)</f>
        <v/>
      </c>
      <c r="BP4664">
        <f>IF(4651&lt;$U$9,MOD(4651,$U$8)+1,1)</f>
        <v/>
      </c>
      <c r="BQ4664">
        <f>IF(4651&lt;$U$9,SUMPRODUCT(($D$10:$L$10&lt;&gt;"")*(($D$9:$L$9+INT(($S$12:$AA$12+INDEX($AJ$13:$AR$162,BN4664,0)+INDEX($AT$13:$BB$162,BO4664,0)+INDEX($BD$13:$BL$162,BP4664,0))/100))&gt;=$D$10:$L$10)),0)</f>
        <v/>
      </c>
      <c r="BR4664">
        <f>IF(4651&lt;$U$9,SUMPRODUCT(($D$10:$L$10&lt;&gt;"")*(($D$10:$L$10-($D$9:$L$9+INT(($S$12:$AA$12+INDEX($AJ$13:$AR$162,BN4664,0)+INDEX($AT$13:$BB$162,BO4664,0)+INDEX($BD$13:$BL$162,BP4664,0))/100)))&gt;0)*($D$10:$L$10-($D$9:$L$9+INT(($S$12:$AA$12+INDEX($AJ$13:$AR$162,BN4664,0)+INDEX($AT$13:$BB$162,BO4664,0)+INDEX($BD$13:$BL$162,BP4664,0))/100)))),0)</f>
        <v/>
      </c>
      <c r="BS4664">
        <f>IF(4651&lt;$U$9,SUMPRODUCT(($D$9:$L$9+INT(($S$12:$AA$12+INDEX($AJ$13:$AR$162,BN4664,0)+INDEX($AT$13:$BB$162,BO4664,0)+INDEX($BD$13:$BL$162,BP4664,0))/100))),0)</f>
        <v/>
      </c>
      <c r="BT4664">
        <f>IF(AND(4651&lt;$U$9,$W$5),BQ4664*1000000-MIN(BR4664,999)*1000+BS4664-4651/100000,-1000000000-4651)</f>
        <v/>
      </c>
    </row>
    <row r="4665">
      <c r="BN4665">
        <f>IF(4652&lt;$U$9,INT(4652/($U$7*$U$8))+1,1)</f>
        <v/>
      </c>
      <c r="BO4665">
        <f>IF(4652&lt;$U$9,MOD(INT(4652/$U$8),$U$7)+1,1)</f>
        <v/>
      </c>
      <c r="BP4665">
        <f>IF(4652&lt;$U$9,MOD(4652,$U$8)+1,1)</f>
        <v/>
      </c>
      <c r="BQ4665">
        <f>IF(4652&lt;$U$9,SUMPRODUCT(($D$10:$L$10&lt;&gt;"")*(($D$9:$L$9+INT(($S$12:$AA$12+INDEX($AJ$13:$AR$162,BN4665,0)+INDEX($AT$13:$BB$162,BO4665,0)+INDEX($BD$13:$BL$162,BP4665,0))/100))&gt;=$D$10:$L$10)),0)</f>
        <v/>
      </c>
      <c r="BR4665">
        <f>IF(4652&lt;$U$9,SUMPRODUCT(($D$10:$L$10&lt;&gt;"")*(($D$10:$L$10-($D$9:$L$9+INT(($S$12:$AA$12+INDEX($AJ$13:$AR$162,BN4665,0)+INDEX($AT$13:$BB$162,BO4665,0)+INDEX($BD$13:$BL$162,BP4665,0))/100)))&gt;0)*($D$10:$L$10-($D$9:$L$9+INT(($S$12:$AA$12+INDEX($AJ$13:$AR$162,BN4665,0)+INDEX($AT$13:$BB$162,BO4665,0)+INDEX($BD$13:$BL$162,BP4665,0))/100)))),0)</f>
        <v/>
      </c>
      <c r="BS4665">
        <f>IF(4652&lt;$U$9,SUMPRODUCT(($D$9:$L$9+INT(($S$12:$AA$12+INDEX($AJ$13:$AR$162,BN4665,0)+INDEX($AT$13:$BB$162,BO4665,0)+INDEX($BD$13:$BL$162,BP4665,0))/100))),0)</f>
        <v/>
      </c>
      <c r="BT4665">
        <f>IF(AND(4652&lt;$U$9,$W$5),BQ4665*1000000-MIN(BR4665,999)*1000+BS4665-4652/100000,-1000000000-4652)</f>
        <v/>
      </c>
    </row>
    <row r="4666">
      <c r="BN4666">
        <f>IF(4653&lt;$U$9,INT(4653/($U$7*$U$8))+1,1)</f>
        <v/>
      </c>
      <c r="BO4666">
        <f>IF(4653&lt;$U$9,MOD(INT(4653/$U$8),$U$7)+1,1)</f>
        <v/>
      </c>
      <c r="BP4666">
        <f>IF(4653&lt;$U$9,MOD(4653,$U$8)+1,1)</f>
        <v/>
      </c>
      <c r="BQ4666">
        <f>IF(4653&lt;$U$9,SUMPRODUCT(($D$10:$L$10&lt;&gt;"")*(($D$9:$L$9+INT(($S$12:$AA$12+INDEX($AJ$13:$AR$162,BN4666,0)+INDEX($AT$13:$BB$162,BO4666,0)+INDEX($BD$13:$BL$162,BP4666,0))/100))&gt;=$D$10:$L$10)),0)</f>
        <v/>
      </c>
      <c r="BR4666">
        <f>IF(4653&lt;$U$9,SUMPRODUCT(($D$10:$L$10&lt;&gt;"")*(($D$10:$L$10-($D$9:$L$9+INT(($S$12:$AA$12+INDEX($AJ$13:$AR$162,BN4666,0)+INDEX($AT$13:$BB$162,BO4666,0)+INDEX($BD$13:$BL$162,BP4666,0))/100)))&gt;0)*($D$10:$L$10-($D$9:$L$9+INT(($S$12:$AA$12+INDEX($AJ$13:$AR$162,BN4666,0)+INDEX($AT$13:$BB$162,BO4666,0)+INDEX($BD$13:$BL$162,BP4666,0))/100)))),0)</f>
        <v/>
      </c>
      <c r="BS4666">
        <f>IF(4653&lt;$U$9,SUMPRODUCT(($D$9:$L$9+INT(($S$12:$AA$12+INDEX($AJ$13:$AR$162,BN4666,0)+INDEX($AT$13:$BB$162,BO4666,0)+INDEX($BD$13:$BL$162,BP4666,0))/100))),0)</f>
        <v/>
      </c>
      <c r="BT4666">
        <f>IF(AND(4653&lt;$U$9,$W$5),BQ4666*1000000-MIN(BR4666,999)*1000+BS4666-4653/100000,-1000000000-4653)</f>
        <v/>
      </c>
    </row>
    <row r="4667">
      <c r="BN4667">
        <f>IF(4654&lt;$U$9,INT(4654/($U$7*$U$8))+1,1)</f>
        <v/>
      </c>
      <c r="BO4667">
        <f>IF(4654&lt;$U$9,MOD(INT(4654/$U$8),$U$7)+1,1)</f>
        <v/>
      </c>
      <c r="BP4667">
        <f>IF(4654&lt;$U$9,MOD(4654,$U$8)+1,1)</f>
        <v/>
      </c>
      <c r="BQ4667">
        <f>IF(4654&lt;$U$9,SUMPRODUCT(($D$10:$L$10&lt;&gt;"")*(($D$9:$L$9+INT(($S$12:$AA$12+INDEX($AJ$13:$AR$162,BN4667,0)+INDEX($AT$13:$BB$162,BO4667,0)+INDEX($BD$13:$BL$162,BP4667,0))/100))&gt;=$D$10:$L$10)),0)</f>
        <v/>
      </c>
      <c r="BR4667">
        <f>IF(4654&lt;$U$9,SUMPRODUCT(($D$10:$L$10&lt;&gt;"")*(($D$10:$L$10-($D$9:$L$9+INT(($S$12:$AA$12+INDEX($AJ$13:$AR$162,BN4667,0)+INDEX($AT$13:$BB$162,BO4667,0)+INDEX($BD$13:$BL$162,BP4667,0))/100)))&gt;0)*($D$10:$L$10-($D$9:$L$9+INT(($S$12:$AA$12+INDEX($AJ$13:$AR$162,BN4667,0)+INDEX($AT$13:$BB$162,BO4667,0)+INDEX($BD$13:$BL$162,BP4667,0))/100)))),0)</f>
        <v/>
      </c>
      <c r="BS4667">
        <f>IF(4654&lt;$U$9,SUMPRODUCT(($D$9:$L$9+INT(($S$12:$AA$12+INDEX($AJ$13:$AR$162,BN4667,0)+INDEX($AT$13:$BB$162,BO4667,0)+INDEX($BD$13:$BL$162,BP4667,0))/100))),0)</f>
        <v/>
      </c>
      <c r="BT4667">
        <f>IF(AND(4654&lt;$U$9,$W$5),BQ4667*1000000-MIN(BR4667,999)*1000+BS4667-4654/100000,-1000000000-4654)</f>
        <v/>
      </c>
    </row>
    <row r="4668">
      <c r="BN4668">
        <f>IF(4655&lt;$U$9,INT(4655/($U$7*$U$8))+1,1)</f>
        <v/>
      </c>
      <c r="BO4668">
        <f>IF(4655&lt;$U$9,MOD(INT(4655/$U$8),$U$7)+1,1)</f>
        <v/>
      </c>
      <c r="BP4668">
        <f>IF(4655&lt;$U$9,MOD(4655,$U$8)+1,1)</f>
        <v/>
      </c>
      <c r="BQ4668">
        <f>IF(4655&lt;$U$9,SUMPRODUCT(($D$10:$L$10&lt;&gt;"")*(($D$9:$L$9+INT(($S$12:$AA$12+INDEX($AJ$13:$AR$162,BN4668,0)+INDEX($AT$13:$BB$162,BO4668,0)+INDEX($BD$13:$BL$162,BP4668,0))/100))&gt;=$D$10:$L$10)),0)</f>
        <v/>
      </c>
      <c r="BR4668">
        <f>IF(4655&lt;$U$9,SUMPRODUCT(($D$10:$L$10&lt;&gt;"")*(($D$10:$L$10-($D$9:$L$9+INT(($S$12:$AA$12+INDEX($AJ$13:$AR$162,BN4668,0)+INDEX($AT$13:$BB$162,BO4668,0)+INDEX($BD$13:$BL$162,BP4668,0))/100)))&gt;0)*($D$10:$L$10-($D$9:$L$9+INT(($S$12:$AA$12+INDEX($AJ$13:$AR$162,BN4668,0)+INDEX($AT$13:$BB$162,BO4668,0)+INDEX($BD$13:$BL$162,BP4668,0))/100)))),0)</f>
        <v/>
      </c>
      <c r="BS4668">
        <f>IF(4655&lt;$U$9,SUMPRODUCT(($D$9:$L$9+INT(($S$12:$AA$12+INDEX($AJ$13:$AR$162,BN4668,0)+INDEX($AT$13:$BB$162,BO4668,0)+INDEX($BD$13:$BL$162,BP4668,0))/100))),0)</f>
        <v/>
      </c>
      <c r="BT4668">
        <f>IF(AND(4655&lt;$U$9,$W$5),BQ4668*1000000-MIN(BR4668,999)*1000+BS4668-4655/100000,-1000000000-4655)</f>
        <v/>
      </c>
    </row>
    <row r="4669">
      <c r="BN4669">
        <f>IF(4656&lt;$U$9,INT(4656/($U$7*$U$8))+1,1)</f>
        <v/>
      </c>
      <c r="BO4669">
        <f>IF(4656&lt;$U$9,MOD(INT(4656/$U$8),$U$7)+1,1)</f>
        <v/>
      </c>
      <c r="BP4669">
        <f>IF(4656&lt;$U$9,MOD(4656,$U$8)+1,1)</f>
        <v/>
      </c>
      <c r="BQ4669">
        <f>IF(4656&lt;$U$9,SUMPRODUCT(($D$10:$L$10&lt;&gt;"")*(($D$9:$L$9+INT(($S$12:$AA$12+INDEX($AJ$13:$AR$162,BN4669,0)+INDEX($AT$13:$BB$162,BO4669,0)+INDEX($BD$13:$BL$162,BP4669,0))/100))&gt;=$D$10:$L$10)),0)</f>
        <v/>
      </c>
      <c r="BR4669">
        <f>IF(4656&lt;$U$9,SUMPRODUCT(($D$10:$L$10&lt;&gt;"")*(($D$10:$L$10-($D$9:$L$9+INT(($S$12:$AA$12+INDEX($AJ$13:$AR$162,BN4669,0)+INDEX($AT$13:$BB$162,BO4669,0)+INDEX($BD$13:$BL$162,BP4669,0))/100)))&gt;0)*($D$10:$L$10-($D$9:$L$9+INT(($S$12:$AA$12+INDEX($AJ$13:$AR$162,BN4669,0)+INDEX($AT$13:$BB$162,BO4669,0)+INDEX($BD$13:$BL$162,BP4669,0))/100)))),0)</f>
        <v/>
      </c>
      <c r="BS4669">
        <f>IF(4656&lt;$U$9,SUMPRODUCT(($D$9:$L$9+INT(($S$12:$AA$12+INDEX($AJ$13:$AR$162,BN4669,0)+INDEX($AT$13:$BB$162,BO4669,0)+INDEX($BD$13:$BL$162,BP4669,0))/100))),0)</f>
        <v/>
      </c>
      <c r="BT4669">
        <f>IF(AND(4656&lt;$U$9,$W$5),BQ4669*1000000-MIN(BR4669,999)*1000+BS4669-4656/100000,-1000000000-4656)</f>
        <v/>
      </c>
    </row>
    <row r="4670">
      <c r="BN4670">
        <f>IF(4657&lt;$U$9,INT(4657/($U$7*$U$8))+1,1)</f>
        <v/>
      </c>
      <c r="BO4670">
        <f>IF(4657&lt;$U$9,MOD(INT(4657/$U$8),$U$7)+1,1)</f>
        <v/>
      </c>
      <c r="BP4670">
        <f>IF(4657&lt;$U$9,MOD(4657,$U$8)+1,1)</f>
        <v/>
      </c>
      <c r="BQ4670">
        <f>IF(4657&lt;$U$9,SUMPRODUCT(($D$10:$L$10&lt;&gt;"")*(($D$9:$L$9+INT(($S$12:$AA$12+INDEX($AJ$13:$AR$162,BN4670,0)+INDEX($AT$13:$BB$162,BO4670,0)+INDEX($BD$13:$BL$162,BP4670,0))/100))&gt;=$D$10:$L$10)),0)</f>
        <v/>
      </c>
      <c r="BR4670">
        <f>IF(4657&lt;$U$9,SUMPRODUCT(($D$10:$L$10&lt;&gt;"")*(($D$10:$L$10-($D$9:$L$9+INT(($S$12:$AA$12+INDEX($AJ$13:$AR$162,BN4670,0)+INDEX($AT$13:$BB$162,BO4670,0)+INDEX($BD$13:$BL$162,BP4670,0))/100)))&gt;0)*($D$10:$L$10-($D$9:$L$9+INT(($S$12:$AA$12+INDEX($AJ$13:$AR$162,BN4670,0)+INDEX($AT$13:$BB$162,BO4670,0)+INDEX($BD$13:$BL$162,BP4670,0))/100)))),0)</f>
        <v/>
      </c>
      <c r="BS4670">
        <f>IF(4657&lt;$U$9,SUMPRODUCT(($D$9:$L$9+INT(($S$12:$AA$12+INDEX($AJ$13:$AR$162,BN4670,0)+INDEX($AT$13:$BB$162,BO4670,0)+INDEX($BD$13:$BL$162,BP4670,0))/100))),0)</f>
        <v/>
      </c>
      <c r="BT4670">
        <f>IF(AND(4657&lt;$U$9,$W$5),BQ4670*1000000-MIN(BR4670,999)*1000+BS4670-4657/100000,-1000000000-4657)</f>
        <v/>
      </c>
    </row>
    <row r="4671">
      <c r="BN4671">
        <f>IF(4658&lt;$U$9,INT(4658/($U$7*$U$8))+1,1)</f>
        <v/>
      </c>
      <c r="BO4671">
        <f>IF(4658&lt;$U$9,MOD(INT(4658/$U$8),$U$7)+1,1)</f>
        <v/>
      </c>
      <c r="BP4671">
        <f>IF(4658&lt;$U$9,MOD(4658,$U$8)+1,1)</f>
        <v/>
      </c>
      <c r="BQ4671">
        <f>IF(4658&lt;$U$9,SUMPRODUCT(($D$10:$L$10&lt;&gt;"")*(($D$9:$L$9+INT(($S$12:$AA$12+INDEX($AJ$13:$AR$162,BN4671,0)+INDEX($AT$13:$BB$162,BO4671,0)+INDEX($BD$13:$BL$162,BP4671,0))/100))&gt;=$D$10:$L$10)),0)</f>
        <v/>
      </c>
      <c r="BR4671">
        <f>IF(4658&lt;$U$9,SUMPRODUCT(($D$10:$L$10&lt;&gt;"")*(($D$10:$L$10-($D$9:$L$9+INT(($S$12:$AA$12+INDEX($AJ$13:$AR$162,BN4671,0)+INDEX($AT$13:$BB$162,BO4671,0)+INDEX($BD$13:$BL$162,BP4671,0))/100)))&gt;0)*($D$10:$L$10-($D$9:$L$9+INT(($S$12:$AA$12+INDEX($AJ$13:$AR$162,BN4671,0)+INDEX($AT$13:$BB$162,BO4671,0)+INDEX($BD$13:$BL$162,BP4671,0))/100)))),0)</f>
        <v/>
      </c>
      <c r="BS4671">
        <f>IF(4658&lt;$U$9,SUMPRODUCT(($D$9:$L$9+INT(($S$12:$AA$12+INDEX($AJ$13:$AR$162,BN4671,0)+INDEX($AT$13:$BB$162,BO4671,0)+INDEX($BD$13:$BL$162,BP4671,0))/100))),0)</f>
        <v/>
      </c>
      <c r="BT4671">
        <f>IF(AND(4658&lt;$U$9,$W$5),BQ4671*1000000-MIN(BR4671,999)*1000+BS4671-4658/100000,-1000000000-4658)</f>
        <v/>
      </c>
    </row>
    <row r="4672">
      <c r="BN4672">
        <f>IF(4659&lt;$U$9,INT(4659/($U$7*$U$8))+1,1)</f>
        <v/>
      </c>
      <c r="BO4672">
        <f>IF(4659&lt;$U$9,MOD(INT(4659/$U$8),$U$7)+1,1)</f>
        <v/>
      </c>
      <c r="BP4672">
        <f>IF(4659&lt;$U$9,MOD(4659,$U$8)+1,1)</f>
        <v/>
      </c>
      <c r="BQ4672">
        <f>IF(4659&lt;$U$9,SUMPRODUCT(($D$10:$L$10&lt;&gt;"")*(($D$9:$L$9+INT(($S$12:$AA$12+INDEX($AJ$13:$AR$162,BN4672,0)+INDEX($AT$13:$BB$162,BO4672,0)+INDEX($BD$13:$BL$162,BP4672,0))/100))&gt;=$D$10:$L$10)),0)</f>
        <v/>
      </c>
      <c r="BR4672">
        <f>IF(4659&lt;$U$9,SUMPRODUCT(($D$10:$L$10&lt;&gt;"")*(($D$10:$L$10-($D$9:$L$9+INT(($S$12:$AA$12+INDEX($AJ$13:$AR$162,BN4672,0)+INDEX($AT$13:$BB$162,BO4672,0)+INDEX($BD$13:$BL$162,BP4672,0))/100)))&gt;0)*($D$10:$L$10-($D$9:$L$9+INT(($S$12:$AA$12+INDEX($AJ$13:$AR$162,BN4672,0)+INDEX($AT$13:$BB$162,BO4672,0)+INDEX($BD$13:$BL$162,BP4672,0))/100)))),0)</f>
        <v/>
      </c>
      <c r="BS4672">
        <f>IF(4659&lt;$U$9,SUMPRODUCT(($D$9:$L$9+INT(($S$12:$AA$12+INDEX($AJ$13:$AR$162,BN4672,0)+INDEX($AT$13:$BB$162,BO4672,0)+INDEX($BD$13:$BL$162,BP4672,0))/100))),0)</f>
        <v/>
      </c>
      <c r="BT4672">
        <f>IF(AND(4659&lt;$U$9,$W$5),BQ4672*1000000-MIN(BR4672,999)*1000+BS4672-4659/100000,-1000000000-4659)</f>
        <v/>
      </c>
    </row>
    <row r="4673">
      <c r="BN4673">
        <f>IF(4660&lt;$U$9,INT(4660/($U$7*$U$8))+1,1)</f>
        <v/>
      </c>
      <c r="BO4673">
        <f>IF(4660&lt;$U$9,MOD(INT(4660/$U$8),$U$7)+1,1)</f>
        <v/>
      </c>
      <c r="BP4673">
        <f>IF(4660&lt;$U$9,MOD(4660,$U$8)+1,1)</f>
        <v/>
      </c>
      <c r="BQ4673">
        <f>IF(4660&lt;$U$9,SUMPRODUCT(($D$10:$L$10&lt;&gt;"")*(($D$9:$L$9+INT(($S$12:$AA$12+INDEX($AJ$13:$AR$162,BN4673,0)+INDEX($AT$13:$BB$162,BO4673,0)+INDEX($BD$13:$BL$162,BP4673,0))/100))&gt;=$D$10:$L$10)),0)</f>
        <v/>
      </c>
      <c r="BR4673">
        <f>IF(4660&lt;$U$9,SUMPRODUCT(($D$10:$L$10&lt;&gt;"")*(($D$10:$L$10-($D$9:$L$9+INT(($S$12:$AA$12+INDEX($AJ$13:$AR$162,BN4673,0)+INDEX($AT$13:$BB$162,BO4673,0)+INDEX($BD$13:$BL$162,BP4673,0))/100)))&gt;0)*($D$10:$L$10-($D$9:$L$9+INT(($S$12:$AA$12+INDEX($AJ$13:$AR$162,BN4673,0)+INDEX($AT$13:$BB$162,BO4673,0)+INDEX($BD$13:$BL$162,BP4673,0))/100)))),0)</f>
        <v/>
      </c>
      <c r="BS4673">
        <f>IF(4660&lt;$U$9,SUMPRODUCT(($D$9:$L$9+INT(($S$12:$AA$12+INDEX($AJ$13:$AR$162,BN4673,0)+INDEX($AT$13:$BB$162,BO4673,0)+INDEX($BD$13:$BL$162,BP4673,0))/100))),0)</f>
        <v/>
      </c>
      <c r="BT4673">
        <f>IF(AND(4660&lt;$U$9,$W$5),BQ4673*1000000-MIN(BR4673,999)*1000+BS4673-4660/100000,-1000000000-4660)</f>
        <v/>
      </c>
    </row>
    <row r="4674">
      <c r="BN4674">
        <f>IF(4661&lt;$U$9,INT(4661/($U$7*$U$8))+1,1)</f>
        <v/>
      </c>
      <c r="BO4674">
        <f>IF(4661&lt;$U$9,MOD(INT(4661/$U$8),$U$7)+1,1)</f>
        <v/>
      </c>
      <c r="BP4674">
        <f>IF(4661&lt;$U$9,MOD(4661,$U$8)+1,1)</f>
        <v/>
      </c>
      <c r="BQ4674">
        <f>IF(4661&lt;$U$9,SUMPRODUCT(($D$10:$L$10&lt;&gt;"")*(($D$9:$L$9+INT(($S$12:$AA$12+INDEX($AJ$13:$AR$162,BN4674,0)+INDEX($AT$13:$BB$162,BO4674,0)+INDEX($BD$13:$BL$162,BP4674,0))/100))&gt;=$D$10:$L$10)),0)</f>
        <v/>
      </c>
      <c r="BR4674">
        <f>IF(4661&lt;$U$9,SUMPRODUCT(($D$10:$L$10&lt;&gt;"")*(($D$10:$L$10-($D$9:$L$9+INT(($S$12:$AA$12+INDEX($AJ$13:$AR$162,BN4674,0)+INDEX($AT$13:$BB$162,BO4674,0)+INDEX($BD$13:$BL$162,BP4674,0))/100)))&gt;0)*($D$10:$L$10-($D$9:$L$9+INT(($S$12:$AA$12+INDEX($AJ$13:$AR$162,BN4674,0)+INDEX($AT$13:$BB$162,BO4674,0)+INDEX($BD$13:$BL$162,BP4674,0))/100)))),0)</f>
        <v/>
      </c>
      <c r="BS4674">
        <f>IF(4661&lt;$U$9,SUMPRODUCT(($D$9:$L$9+INT(($S$12:$AA$12+INDEX($AJ$13:$AR$162,BN4674,0)+INDEX($AT$13:$BB$162,BO4674,0)+INDEX($BD$13:$BL$162,BP4674,0))/100))),0)</f>
        <v/>
      </c>
      <c r="BT4674">
        <f>IF(AND(4661&lt;$U$9,$W$5),BQ4674*1000000-MIN(BR4674,999)*1000+BS4674-4661/100000,-1000000000-4661)</f>
        <v/>
      </c>
    </row>
    <row r="4675">
      <c r="BN4675">
        <f>IF(4662&lt;$U$9,INT(4662/($U$7*$U$8))+1,1)</f>
        <v/>
      </c>
      <c r="BO4675">
        <f>IF(4662&lt;$U$9,MOD(INT(4662/$U$8),$U$7)+1,1)</f>
        <v/>
      </c>
      <c r="BP4675">
        <f>IF(4662&lt;$U$9,MOD(4662,$U$8)+1,1)</f>
        <v/>
      </c>
      <c r="BQ4675">
        <f>IF(4662&lt;$U$9,SUMPRODUCT(($D$10:$L$10&lt;&gt;"")*(($D$9:$L$9+INT(($S$12:$AA$12+INDEX($AJ$13:$AR$162,BN4675,0)+INDEX($AT$13:$BB$162,BO4675,0)+INDEX($BD$13:$BL$162,BP4675,0))/100))&gt;=$D$10:$L$10)),0)</f>
        <v/>
      </c>
      <c r="BR4675">
        <f>IF(4662&lt;$U$9,SUMPRODUCT(($D$10:$L$10&lt;&gt;"")*(($D$10:$L$10-($D$9:$L$9+INT(($S$12:$AA$12+INDEX($AJ$13:$AR$162,BN4675,0)+INDEX($AT$13:$BB$162,BO4675,0)+INDEX($BD$13:$BL$162,BP4675,0))/100)))&gt;0)*($D$10:$L$10-($D$9:$L$9+INT(($S$12:$AA$12+INDEX($AJ$13:$AR$162,BN4675,0)+INDEX($AT$13:$BB$162,BO4675,0)+INDEX($BD$13:$BL$162,BP4675,0))/100)))),0)</f>
        <v/>
      </c>
      <c r="BS4675">
        <f>IF(4662&lt;$U$9,SUMPRODUCT(($D$9:$L$9+INT(($S$12:$AA$12+INDEX($AJ$13:$AR$162,BN4675,0)+INDEX($AT$13:$BB$162,BO4675,0)+INDEX($BD$13:$BL$162,BP4675,0))/100))),0)</f>
        <v/>
      </c>
      <c r="BT4675">
        <f>IF(AND(4662&lt;$U$9,$W$5),BQ4675*1000000-MIN(BR4675,999)*1000+BS4675-4662/100000,-1000000000-4662)</f>
        <v/>
      </c>
    </row>
    <row r="4676">
      <c r="BN4676">
        <f>IF(4663&lt;$U$9,INT(4663/($U$7*$U$8))+1,1)</f>
        <v/>
      </c>
      <c r="BO4676">
        <f>IF(4663&lt;$U$9,MOD(INT(4663/$U$8),$U$7)+1,1)</f>
        <v/>
      </c>
      <c r="BP4676">
        <f>IF(4663&lt;$U$9,MOD(4663,$U$8)+1,1)</f>
        <v/>
      </c>
      <c r="BQ4676">
        <f>IF(4663&lt;$U$9,SUMPRODUCT(($D$10:$L$10&lt;&gt;"")*(($D$9:$L$9+INT(($S$12:$AA$12+INDEX($AJ$13:$AR$162,BN4676,0)+INDEX($AT$13:$BB$162,BO4676,0)+INDEX($BD$13:$BL$162,BP4676,0))/100))&gt;=$D$10:$L$10)),0)</f>
        <v/>
      </c>
      <c r="BR4676">
        <f>IF(4663&lt;$U$9,SUMPRODUCT(($D$10:$L$10&lt;&gt;"")*(($D$10:$L$10-($D$9:$L$9+INT(($S$12:$AA$12+INDEX($AJ$13:$AR$162,BN4676,0)+INDEX($AT$13:$BB$162,BO4676,0)+INDEX($BD$13:$BL$162,BP4676,0))/100)))&gt;0)*($D$10:$L$10-($D$9:$L$9+INT(($S$12:$AA$12+INDEX($AJ$13:$AR$162,BN4676,0)+INDEX($AT$13:$BB$162,BO4676,0)+INDEX($BD$13:$BL$162,BP4676,0))/100)))),0)</f>
        <v/>
      </c>
      <c r="BS4676">
        <f>IF(4663&lt;$U$9,SUMPRODUCT(($D$9:$L$9+INT(($S$12:$AA$12+INDEX($AJ$13:$AR$162,BN4676,0)+INDEX($AT$13:$BB$162,BO4676,0)+INDEX($BD$13:$BL$162,BP4676,0))/100))),0)</f>
        <v/>
      </c>
      <c r="BT4676">
        <f>IF(AND(4663&lt;$U$9,$W$5),BQ4676*1000000-MIN(BR4676,999)*1000+BS4676-4663/100000,-1000000000-4663)</f>
        <v/>
      </c>
    </row>
    <row r="4677">
      <c r="BN4677">
        <f>IF(4664&lt;$U$9,INT(4664/($U$7*$U$8))+1,1)</f>
        <v/>
      </c>
      <c r="BO4677">
        <f>IF(4664&lt;$U$9,MOD(INT(4664/$U$8),$U$7)+1,1)</f>
        <v/>
      </c>
      <c r="BP4677">
        <f>IF(4664&lt;$U$9,MOD(4664,$U$8)+1,1)</f>
        <v/>
      </c>
      <c r="BQ4677">
        <f>IF(4664&lt;$U$9,SUMPRODUCT(($D$10:$L$10&lt;&gt;"")*(($D$9:$L$9+INT(($S$12:$AA$12+INDEX($AJ$13:$AR$162,BN4677,0)+INDEX($AT$13:$BB$162,BO4677,0)+INDEX($BD$13:$BL$162,BP4677,0))/100))&gt;=$D$10:$L$10)),0)</f>
        <v/>
      </c>
      <c r="BR4677">
        <f>IF(4664&lt;$U$9,SUMPRODUCT(($D$10:$L$10&lt;&gt;"")*(($D$10:$L$10-($D$9:$L$9+INT(($S$12:$AA$12+INDEX($AJ$13:$AR$162,BN4677,0)+INDEX($AT$13:$BB$162,BO4677,0)+INDEX($BD$13:$BL$162,BP4677,0))/100)))&gt;0)*($D$10:$L$10-($D$9:$L$9+INT(($S$12:$AA$12+INDEX($AJ$13:$AR$162,BN4677,0)+INDEX($AT$13:$BB$162,BO4677,0)+INDEX($BD$13:$BL$162,BP4677,0))/100)))),0)</f>
        <v/>
      </c>
      <c r="BS4677">
        <f>IF(4664&lt;$U$9,SUMPRODUCT(($D$9:$L$9+INT(($S$12:$AA$12+INDEX($AJ$13:$AR$162,BN4677,0)+INDEX($AT$13:$BB$162,BO4677,0)+INDEX($BD$13:$BL$162,BP4677,0))/100))),0)</f>
        <v/>
      </c>
      <c r="BT4677">
        <f>IF(AND(4664&lt;$U$9,$W$5),BQ4677*1000000-MIN(BR4677,999)*1000+BS4677-4664/100000,-1000000000-4664)</f>
        <v/>
      </c>
    </row>
    <row r="4678">
      <c r="BN4678">
        <f>IF(4665&lt;$U$9,INT(4665/($U$7*$U$8))+1,1)</f>
        <v/>
      </c>
      <c r="BO4678">
        <f>IF(4665&lt;$U$9,MOD(INT(4665/$U$8),$U$7)+1,1)</f>
        <v/>
      </c>
      <c r="BP4678">
        <f>IF(4665&lt;$U$9,MOD(4665,$U$8)+1,1)</f>
        <v/>
      </c>
      <c r="BQ4678">
        <f>IF(4665&lt;$U$9,SUMPRODUCT(($D$10:$L$10&lt;&gt;"")*(($D$9:$L$9+INT(($S$12:$AA$12+INDEX($AJ$13:$AR$162,BN4678,0)+INDEX($AT$13:$BB$162,BO4678,0)+INDEX($BD$13:$BL$162,BP4678,0))/100))&gt;=$D$10:$L$10)),0)</f>
        <v/>
      </c>
      <c r="BR4678">
        <f>IF(4665&lt;$U$9,SUMPRODUCT(($D$10:$L$10&lt;&gt;"")*(($D$10:$L$10-($D$9:$L$9+INT(($S$12:$AA$12+INDEX($AJ$13:$AR$162,BN4678,0)+INDEX($AT$13:$BB$162,BO4678,0)+INDEX($BD$13:$BL$162,BP4678,0))/100)))&gt;0)*($D$10:$L$10-($D$9:$L$9+INT(($S$12:$AA$12+INDEX($AJ$13:$AR$162,BN4678,0)+INDEX($AT$13:$BB$162,BO4678,0)+INDEX($BD$13:$BL$162,BP4678,0))/100)))),0)</f>
        <v/>
      </c>
      <c r="BS4678">
        <f>IF(4665&lt;$U$9,SUMPRODUCT(($D$9:$L$9+INT(($S$12:$AA$12+INDEX($AJ$13:$AR$162,BN4678,0)+INDEX($AT$13:$BB$162,BO4678,0)+INDEX($BD$13:$BL$162,BP4678,0))/100))),0)</f>
        <v/>
      </c>
      <c r="BT4678">
        <f>IF(AND(4665&lt;$U$9,$W$5),BQ4678*1000000-MIN(BR4678,999)*1000+BS4678-4665/100000,-1000000000-4665)</f>
        <v/>
      </c>
    </row>
    <row r="4679">
      <c r="BN4679">
        <f>IF(4666&lt;$U$9,INT(4666/($U$7*$U$8))+1,1)</f>
        <v/>
      </c>
      <c r="BO4679">
        <f>IF(4666&lt;$U$9,MOD(INT(4666/$U$8),$U$7)+1,1)</f>
        <v/>
      </c>
      <c r="BP4679">
        <f>IF(4666&lt;$U$9,MOD(4666,$U$8)+1,1)</f>
        <v/>
      </c>
      <c r="BQ4679">
        <f>IF(4666&lt;$U$9,SUMPRODUCT(($D$10:$L$10&lt;&gt;"")*(($D$9:$L$9+INT(($S$12:$AA$12+INDEX($AJ$13:$AR$162,BN4679,0)+INDEX($AT$13:$BB$162,BO4679,0)+INDEX($BD$13:$BL$162,BP4679,0))/100))&gt;=$D$10:$L$10)),0)</f>
        <v/>
      </c>
      <c r="BR4679">
        <f>IF(4666&lt;$U$9,SUMPRODUCT(($D$10:$L$10&lt;&gt;"")*(($D$10:$L$10-($D$9:$L$9+INT(($S$12:$AA$12+INDEX($AJ$13:$AR$162,BN4679,0)+INDEX($AT$13:$BB$162,BO4679,0)+INDEX($BD$13:$BL$162,BP4679,0))/100)))&gt;0)*($D$10:$L$10-($D$9:$L$9+INT(($S$12:$AA$12+INDEX($AJ$13:$AR$162,BN4679,0)+INDEX($AT$13:$BB$162,BO4679,0)+INDEX($BD$13:$BL$162,BP4679,0))/100)))),0)</f>
        <v/>
      </c>
      <c r="BS4679">
        <f>IF(4666&lt;$U$9,SUMPRODUCT(($D$9:$L$9+INT(($S$12:$AA$12+INDEX($AJ$13:$AR$162,BN4679,0)+INDEX($AT$13:$BB$162,BO4679,0)+INDEX($BD$13:$BL$162,BP4679,0))/100))),0)</f>
        <v/>
      </c>
      <c r="BT4679">
        <f>IF(AND(4666&lt;$U$9,$W$5),BQ4679*1000000-MIN(BR4679,999)*1000+BS4679-4666/100000,-1000000000-4666)</f>
        <v/>
      </c>
    </row>
    <row r="4680">
      <c r="BN4680">
        <f>IF(4667&lt;$U$9,INT(4667/($U$7*$U$8))+1,1)</f>
        <v/>
      </c>
      <c r="BO4680">
        <f>IF(4667&lt;$U$9,MOD(INT(4667/$U$8),$U$7)+1,1)</f>
        <v/>
      </c>
      <c r="BP4680">
        <f>IF(4667&lt;$U$9,MOD(4667,$U$8)+1,1)</f>
        <v/>
      </c>
      <c r="BQ4680">
        <f>IF(4667&lt;$U$9,SUMPRODUCT(($D$10:$L$10&lt;&gt;"")*(($D$9:$L$9+INT(($S$12:$AA$12+INDEX($AJ$13:$AR$162,BN4680,0)+INDEX($AT$13:$BB$162,BO4680,0)+INDEX($BD$13:$BL$162,BP4680,0))/100))&gt;=$D$10:$L$10)),0)</f>
        <v/>
      </c>
      <c r="BR4680">
        <f>IF(4667&lt;$U$9,SUMPRODUCT(($D$10:$L$10&lt;&gt;"")*(($D$10:$L$10-($D$9:$L$9+INT(($S$12:$AA$12+INDEX($AJ$13:$AR$162,BN4680,0)+INDEX($AT$13:$BB$162,BO4680,0)+INDEX($BD$13:$BL$162,BP4680,0))/100)))&gt;0)*($D$10:$L$10-($D$9:$L$9+INT(($S$12:$AA$12+INDEX($AJ$13:$AR$162,BN4680,0)+INDEX($AT$13:$BB$162,BO4680,0)+INDEX($BD$13:$BL$162,BP4680,0))/100)))),0)</f>
        <v/>
      </c>
      <c r="BS4680">
        <f>IF(4667&lt;$U$9,SUMPRODUCT(($D$9:$L$9+INT(($S$12:$AA$12+INDEX($AJ$13:$AR$162,BN4680,0)+INDEX($AT$13:$BB$162,BO4680,0)+INDEX($BD$13:$BL$162,BP4680,0))/100))),0)</f>
        <v/>
      </c>
      <c r="BT4680">
        <f>IF(AND(4667&lt;$U$9,$W$5),BQ4680*1000000-MIN(BR4680,999)*1000+BS4680-4667/100000,-1000000000-4667)</f>
        <v/>
      </c>
    </row>
    <row r="4681">
      <c r="BN4681">
        <f>IF(4668&lt;$U$9,INT(4668/($U$7*$U$8))+1,1)</f>
        <v/>
      </c>
      <c r="BO4681">
        <f>IF(4668&lt;$U$9,MOD(INT(4668/$U$8),$U$7)+1,1)</f>
        <v/>
      </c>
      <c r="BP4681">
        <f>IF(4668&lt;$U$9,MOD(4668,$U$8)+1,1)</f>
        <v/>
      </c>
      <c r="BQ4681">
        <f>IF(4668&lt;$U$9,SUMPRODUCT(($D$10:$L$10&lt;&gt;"")*(($D$9:$L$9+INT(($S$12:$AA$12+INDEX($AJ$13:$AR$162,BN4681,0)+INDEX($AT$13:$BB$162,BO4681,0)+INDEX($BD$13:$BL$162,BP4681,0))/100))&gt;=$D$10:$L$10)),0)</f>
        <v/>
      </c>
      <c r="BR4681">
        <f>IF(4668&lt;$U$9,SUMPRODUCT(($D$10:$L$10&lt;&gt;"")*(($D$10:$L$10-($D$9:$L$9+INT(($S$12:$AA$12+INDEX($AJ$13:$AR$162,BN4681,0)+INDEX($AT$13:$BB$162,BO4681,0)+INDEX($BD$13:$BL$162,BP4681,0))/100)))&gt;0)*($D$10:$L$10-($D$9:$L$9+INT(($S$12:$AA$12+INDEX($AJ$13:$AR$162,BN4681,0)+INDEX($AT$13:$BB$162,BO4681,0)+INDEX($BD$13:$BL$162,BP4681,0))/100)))),0)</f>
        <v/>
      </c>
      <c r="BS4681">
        <f>IF(4668&lt;$U$9,SUMPRODUCT(($D$9:$L$9+INT(($S$12:$AA$12+INDEX($AJ$13:$AR$162,BN4681,0)+INDEX($AT$13:$BB$162,BO4681,0)+INDEX($BD$13:$BL$162,BP4681,0))/100))),0)</f>
        <v/>
      </c>
      <c r="BT4681">
        <f>IF(AND(4668&lt;$U$9,$W$5),BQ4681*1000000-MIN(BR4681,999)*1000+BS4681-4668/100000,-1000000000-4668)</f>
        <v/>
      </c>
    </row>
    <row r="4682">
      <c r="BN4682">
        <f>IF(4669&lt;$U$9,INT(4669/($U$7*$U$8))+1,1)</f>
        <v/>
      </c>
      <c r="BO4682">
        <f>IF(4669&lt;$U$9,MOD(INT(4669/$U$8),$U$7)+1,1)</f>
        <v/>
      </c>
      <c r="BP4682">
        <f>IF(4669&lt;$U$9,MOD(4669,$U$8)+1,1)</f>
        <v/>
      </c>
      <c r="BQ4682">
        <f>IF(4669&lt;$U$9,SUMPRODUCT(($D$10:$L$10&lt;&gt;"")*(($D$9:$L$9+INT(($S$12:$AA$12+INDEX($AJ$13:$AR$162,BN4682,0)+INDEX($AT$13:$BB$162,BO4682,0)+INDEX($BD$13:$BL$162,BP4682,0))/100))&gt;=$D$10:$L$10)),0)</f>
        <v/>
      </c>
      <c r="BR4682">
        <f>IF(4669&lt;$U$9,SUMPRODUCT(($D$10:$L$10&lt;&gt;"")*(($D$10:$L$10-($D$9:$L$9+INT(($S$12:$AA$12+INDEX($AJ$13:$AR$162,BN4682,0)+INDEX($AT$13:$BB$162,BO4682,0)+INDEX($BD$13:$BL$162,BP4682,0))/100)))&gt;0)*($D$10:$L$10-($D$9:$L$9+INT(($S$12:$AA$12+INDEX($AJ$13:$AR$162,BN4682,0)+INDEX($AT$13:$BB$162,BO4682,0)+INDEX($BD$13:$BL$162,BP4682,0))/100)))),0)</f>
        <v/>
      </c>
      <c r="BS4682">
        <f>IF(4669&lt;$U$9,SUMPRODUCT(($D$9:$L$9+INT(($S$12:$AA$12+INDEX($AJ$13:$AR$162,BN4682,0)+INDEX($AT$13:$BB$162,BO4682,0)+INDEX($BD$13:$BL$162,BP4682,0))/100))),0)</f>
        <v/>
      </c>
      <c r="BT4682">
        <f>IF(AND(4669&lt;$U$9,$W$5),BQ4682*1000000-MIN(BR4682,999)*1000+BS4682-4669/100000,-1000000000-4669)</f>
        <v/>
      </c>
    </row>
    <row r="4683">
      <c r="BN4683">
        <f>IF(4670&lt;$U$9,INT(4670/($U$7*$U$8))+1,1)</f>
        <v/>
      </c>
      <c r="BO4683">
        <f>IF(4670&lt;$U$9,MOD(INT(4670/$U$8),$U$7)+1,1)</f>
        <v/>
      </c>
      <c r="BP4683">
        <f>IF(4670&lt;$U$9,MOD(4670,$U$8)+1,1)</f>
        <v/>
      </c>
      <c r="BQ4683">
        <f>IF(4670&lt;$U$9,SUMPRODUCT(($D$10:$L$10&lt;&gt;"")*(($D$9:$L$9+INT(($S$12:$AA$12+INDEX($AJ$13:$AR$162,BN4683,0)+INDEX($AT$13:$BB$162,BO4683,0)+INDEX($BD$13:$BL$162,BP4683,0))/100))&gt;=$D$10:$L$10)),0)</f>
        <v/>
      </c>
      <c r="BR4683">
        <f>IF(4670&lt;$U$9,SUMPRODUCT(($D$10:$L$10&lt;&gt;"")*(($D$10:$L$10-($D$9:$L$9+INT(($S$12:$AA$12+INDEX($AJ$13:$AR$162,BN4683,0)+INDEX($AT$13:$BB$162,BO4683,0)+INDEX($BD$13:$BL$162,BP4683,0))/100)))&gt;0)*($D$10:$L$10-($D$9:$L$9+INT(($S$12:$AA$12+INDEX($AJ$13:$AR$162,BN4683,0)+INDEX($AT$13:$BB$162,BO4683,0)+INDEX($BD$13:$BL$162,BP4683,0))/100)))),0)</f>
        <v/>
      </c>
      <c r="BS4683">
        <f>IF(4670&lt;$U$9,SUMPRODUCT(($D$9:$L$9+INT(($S$12:$AA$12+INDEX($AJ$13:$AR$162,BN4683,0)+INDEX($AT$13:$BB$162,BO4683,0)+INDEX($BD$13:$BL$162,BP4683,0))/100))),0)</f>
        <v/>
      </c>
      <c r="BT4683">
        <f>IF(AND(4670&lt;$U$9,$W$5),BQ4683*1000000-MIN(BR4683,999)*1000+BS4683-4670/100000,-1000000000-4670)</f>
        <v/>
      </c>
    </row>
    <row r="4684">
      <c r="BN4684">
        <f>IF(4671&lt;$U$9,INT(4671/($U$7*$U$8))+1,1)</f>
        <v/>
      </c>
      <c r="BO4684">
        <f>IF(4671&lt;$U$9,MOD(INT(4671/$U$8),$U$7)+1,1)</f>
        <v/>
      </c>
      <c r="BP4684">
        <f>IF(4671&lt;$U$9,MOD(4671,$U$8)+1,1)</f>
        <v/>
      </c>
      <c r="BQ4684">
        <f>IF(4671&lt;$U$9,SUMPRODUCT(($D$10:$L$10&lt;&gt;"")*(($D$9:$L$9+INT(($S$12:$AA$12+INDEX($AJ$13:$AR$162,BN4684,0)+INDEX($AT$13:$BB$162,BO4684,0)+INDEX($BD$13:$BL$162,BP4684,0))/100))&gt;=$D$10:$L$10)),0)</f>
        <v/>
      </c>
      <c r="BR4684">
        <f>IF(4671&lt;$U$9,SUMPRODUCT(($D$10:$L$10&lt;&gt;"")*(($D$10:$L$10-($D$9:$L$9+INT(($S$12:$AA$12+INDEX($AJ$13:$AR$162,BN4684,0)+INDEX($AT$13:$BB$162,BO4684,0)+INDEX($BD$13:$BL$162,BP4684,0))/100)))&gt;0)*($D$10:$L$10-($D$9:$L$9+INT(($S$12:$AA$12+INDEX($AJ$13:$AR$162,BN4684,0)+INDEX($AT$13:$BB$162,BO4684,0)+INDEX($BD$13:$BL$162,BP4684,0))/100)))),0)</f>
        <v/>
      </c>
      <c r="BS4684">
        <f>IF(4671&lt;$U$9,SUMPRODUCT(($D$9:$L$9+INT(($S$12:$AA$12+INDEX($AJ$13:$AR$162,BN4684,0)+INDEX($AT$13:$BB$162,BO4684,0)+INDEX($BD$13:$BL$162,BP4684,0))/100))),0)</f>
        <v/>
      </c>
      <c r="BT4684">
        <f>IF(AND(4671&lt;$U$9,$W$5),BQ4684*1000000-MIN(BR4684,999)*1000+BS4684-4671/100000,-1000000000-4671)</f>
        <v/>
      </c>
    </row>
    <row r="4685">
      <c r="BN4685">
        <f>IF(4672&lt;$U$9,INT(4672/($U$7*$U$8))+1,1)</f>
        <v/>
      </c>
      <c r="BO4685">
        <f>IF(4672&lt;$U$9,MOD(INT(4672/$U$8),$U$7)+1,1)</f>
        <v/>
      </c>
      <c r="BP4685">
        <f>IF(4672&lt;$U$9,MOD(4672,$U$8)+1,1)</f>
        <v/>
      </c>
      <c r="BQ4685">
        <f>IF(4672&lt;$U$9,SUMPRODUCT(($D$10:$L$10&lt;&gt;"")*(($D$9:$L$9+INT(($S$12:$AA$12+INDEX($AJ$13:$AR$162,BN4685,0)+INDEX($AT$13:$BB$162,BO4685,0)+INDEX($BD$13:$BL$162,BP4685,0))/100))&gt;=$D$10:$L$10)),0)</f>
        <v/>
      </c>
      <c r="BR4685">
        <f>IF(4672&lt;$U$9,SUMPRODUCT(($D$10:$L$10&lt;&gt;"")*(($D$10:$L$10-($D$9:$L$9+INT(($S$12:$AA$12+INDEX($AJ$13:$AR$162,BN4685,0)+INDEX($AT$13:$BB$162,BO4685,0)+INDEX($BD$13:$BL$162,BP4685,0))/100)))&gt;0)*($D$10:$L$10-($D$9:$L$9+INT(($S$12:$AA$12+INDEX($AJ$13:$AR$162,BN4685,0)+INDEX($AT$13:$BB$162,BO4685,0)+INDEX($BD$13:$BL$162,BP4685,0))/100)))),0)</f>
        <v/>
      </c>
      <c r="BS4685">
        <f>IF(4672&lt;$U$9,SUMPRODUCT(($D$9:$L$9+INT(($S$12:$AA$12+INDEX($AJ$13:$AR$162,BN4685,0)+INDEX($AT$13:$BB$162,BO4685,0)+INDEX($BD$13:$BL$162,BP4685,0))/100))),0)</f>
        <v/>
      </c>
      <c r="BT4685">
        <f>IF(AND(4672&lt;$U$9,$W$5),BQ4685*1000000-MIN(BR4685,999)*1000+BS4685-4672/100000,-1000000000-4672)</f>
        <v/>
      </c>
    </row>
    <row r="4686">
      <c r="BN4686">
        <f>IF(4673&lt;$U$9,INT(4673/($U$7*$U$8))+1,1)</f>
        <v/>
      </c>
      <c r="BO4686">
        <f>IF(4673&lt;$U$9,MOD(INT(4673/$U$8),$U$7)+1,1)</f>
        <v/>
      </c>
      <c r="BP4686">
        <f>IF(4673&lt;$U$9,MOD(4673,$U$8)+1,1)</f>
        <v/>
      </c>
      <c r="BQ4686">
        <f>IF(4673&lt;$U$9,SUMPRODUCT(($D$10:$L$10&lt;&gt;"")*(($D$9:$L$9+INT(($S$12:$AA$12+INDEX($AJ$13:$AR$162,BN4686,0)+INDEX($AT$13:$BB$162,BO4686,0)+INDEX($BD$13:$BL$162,BP4686,0))/100))&gt;=$D$10:$L$10)),0)</f>
        <v/>
      </c>
      <c r="BR4686">
        <f>IF(4673&lt;$U$9,SUMPRODUCT(($D$10:$L$10&lt;&gt;"")*(($D$10:$L$10-($D$9:$L$9+INT(($S$12:$AA$12+INDEX($AJ$13:$AR$162,BN4686,0)+INDEX($AT$13:$BB$162,BO4686,0)+INDEX($BD$13:$BL$162,BP4686,0))/100)))&gt;0)*($D$10:$L$10-($D$9:$L$9+INT(($S$12:$AA$12+INDEX($AJ$13:$AR$162,BN4686,0)+INDEX($AT$13:$BB$162,BO4686,0)+INDEX($BD$13:$BL$162,BP4686,0))/100)))),0)</f>
        <v/>
      </c>
      <c r="BS4686">
        <f>IF(4673&lt;$U$9,SUMPRODUCT(($D$9:$L$9+INT(($S$12:$AA$12+INDEX($AJ$13:$AR$162,BN4686,0)+INDEX($AT$13:$BB$162,BO4686,0)+INDEX($BD$13:$BL$162,BP4686,0))/100))),0)</f>
        <v/>
      </c>
      <c r="BT4686">
        <f>IF(AND(4673&lt;$U$9,$W$5),BQ4686*1000000-MIN(BR4686,999)*1000+BS4686-4673/100000,-1000000000-4673)</f>
        <v/>
      </c>
    </row>
    <row r="4687">
      <c r="BN4687">
        <f>IF(4674&lt;$U$9,INT(4674/($U$7*$U$8))+1,1)</f>
        <v/>
      </c>
      <c r="BO4687">
        <f>IF(4674&lt;$U$9,MOD(INT(4674/$U$8),$U$7)+1,1)</f>
        <v/>
      </c>
      <c r="BP4687">
        <f>IF(4674&lt;$U$9,MOD(4674,$U$8)+1,1)</f>
        <v/>
      </c>
      <c r="BQ4687">
        <f>IF(4674&lt;$U$9,SUMPRODUCT(($D$10:$L$10&lt;&gt;"")*(($D$9:$L$9+INT(($S$12:$AA$12+INDEX($AJ$13:$AR$162,BN4687,0)+INDEX($AT$13:$BB$162,BO4687,0)+INDEX($BD$13:$BL$162,BP4687,0))/100))&gt;=$D$10:$L$10)),0)</f>
        <v/>
      </c>
      <c r="BR4687">
        <f>IF(4674&lt;$U$9,SUMPRODUCT(($D$10:$L$10&lt;&gt;"")*(($D$10:$L$10-($D$9:$L$9+INT(($S$12:$AA$12+INDEX($AJ$13:$AR$162,BN4687,0)+INDEX($AT$13:$BB$162,BO4687,0)+INDEX($BD$13:$BL$162,BP4687,0))/100)))&gt;0)*($D$10:$L$10-($D$9:$L$9+INT(($S$12:$AA$12+INDEX($AJ$13:$AR$162,BN4687,0)+INDEX($AT$13:$BB$162,BO4687,0)+INDEX($BD$13:$BL$162,BP4687,0))/100)))),0)</f>
        <v/>
      </c>
      <c r="BS4687">
        <f>IF(4674&lt;$U$9,SUMPRODUCT(($D$9:$L$9+INT(($S$12:$AA$12+INDEX($AJ$13:$AR$162,BN4687,0)+INDEX($AT$13:$BB$162,BO4687,0)+INDEX($BD$13:$BL$162,BP4687,0))/100))),0)</f>
        <v/>
      </c>
      <c r="BT4687">
        <f>IF(AND(4674&lt;$U$9,$W$5),BQ4687*1000000-MIN(BR4687,999)*1000+BS4687-4674/100000,-1000000000-4674)</f>
        <v/>
      </c>
    </row>
    <row r="4688">
      <c r="BN4688">
        <f>IF(4675&lt;$U$9,INT(4675/($U$7*$U$8))+1,1)</f>
        <v/>
      </c>
      <c r="BO4688">
        <f>IF(4675&lt;$U$9,MOD(INT(4675/$U$8),$U$7)+1,1)</f>
        <v/>
      </c>
      <c r="BP4688">
        <f>IF(4675&lt;$U$9,MOD(4675,$U$8)+1,1)</f>
        <v/>
      </c>
      <c r="BQ4688">
        <f>IF(4675&lt;$U$9,SUMPRODUCT(($D$10:$L$10&lt;&gt;"")*(($D$9:$L$9+INT(($S$12:$AA$12+INDEX($AJ$13:$AR$162,BN4688,0)+INDEX($AT$13:$BB$162,BO4688,0)+INDEX($BD$13:$BL$162,BP4688,0))/100))&gt;=$D$10:$L$10)),0)</f>
        <v/>
      </c>
      <c r="BR4688">
        <f>IF(4675&lt;$U$9,SUMPRODUCT(($D$10:$L$10&lt;&gt;"")*(($D$10:$L$10-($D$9:$L$9+INT(($S$12:$AA$12+INDEX($AJ$13:$AR$162,BN4688,0)+INDEX($AT$13:$BB$162,BO4688,0)+INDEX($BD$13:$BL$162,BP4688,0))/100)))&gt;0)*($D$10:$L$10-($D$9:$L$9+INT(($S$12:$AA$12+INDEX($AJ$13:$AR$162,BN4688,0)+INDEX($AT$13:$BB$162,BO4688,0)+INDEX($BD$13:$BL$162,BP4688,0))/100)))),0)</f>
        <v/>
      </c>
      <c r="BS4688">
        <f>IF(4675&lt;$U$9,SUMPRODUCT(($D$9:$L$9+INT(($S$12:$AA$12+INDEX($AJ$13:$AR$162,BN4688,0)+INDEX($AT$13:$BB$162,BO4688,0)+INDEX($BD$13:$BL$162,BP4688,0))/100))),0)</f>
        <v/>
      </c>
      <c r="BT4688">
        <f>IF(AND(4675&lt;$U$9,$W$5),BQ4688*1000000-MIN(BR4688,999)*1000+BS4688-4675/100000,-1000000000-4675)</f>
        <v/>
      </c>
    </row>
    <row r="4689">
      <c r="BN4689">
        <f>IF(4676&lt;$U$9,INT(4676/($U$7*$U$8))+1,1)</f>
        <v/>
      </c>
      <c r="BO4689">
        <f>IF(4676&lt;$U$9,MOD(INT(4676/$U$8),$U$7)+1,1)</f>
        <v/>
      </c>
      <c r="BP4689">
        <f>IF(4676&lt;$U$9,MOD(4676,$U$8)+1,1)</f>
        <v/>
      </c>
      <c r="BQ4689">
        <f>IF(4676&lt;$U$9,SUMPRODUCT(($D$10:$L$10&lt;&gt;"")*(($D$9:$L$9+INT(($S$12:$AA$12+INDEX($AJ$13:$AR$162,BN4689,0)+INDEX($AT$13:$BB$162,BO4689,0)+INDEX($BD$13:$BL$162,BP4689,0))/100))&gt;=$D$10:$L$10)),0)</f>
        <v/>
      </c>
      <c r="BR4689">
        <f>IF(4676&lt;$U$9,SUMPRODUCT(($D$10:$L$10&lt;&gt;"")*(($D$10:$L$10-($D$9:$L$9+INT(($S$12:$AA$12+INDEX($AJ$13:$AR$162,BN4689,0)+INDEX($AT$13:$BB$162,BO4689,0)+INDEX($BD$13:$BL$162,BP4689,0))/100)))&gt;0)*($D$10:$L$10-($D$9:$L$9+INT(($S$12:$AA$12+INDEX($AJ$13:$AR$162,BN4689,0)+INDEX($AT$13:$BB$162,BO4689,0)+INDEX($BD$13:$BL$162,BP4689,0))/100)))),0)</f>
        <v/>
      </c>
      <c r="BS4689">
        <f>IF(4676&lt;$U$9,SUMPRODUCT(($D$9:$L$9+INT(($S$12:$AA$12+INDEX($AJ$13:$AR$162,BN4689,0)+INDEX($AT$13:$BB$162,BO4689,0)+INDEX($BD$13:$BL$162,BP4689,0))/100))),0)</f>
        <v/>
      </c>
      <c r="BT4689">
        <f>IF(AND(4676&lt;$U$9,$W$5),BQ4689*1000000-MIN(BR4689,999)*1000+BS4689-4676/100000,-1000000000-4676)</f>
        <v/>
      </c>
    </row>
    <row r="4690">
      <c r="BN4690">
        <f>IF(4677&lt;$U$9,INT(4677/($U$7*$U$8))+1,1)</f>
        <v/>
      </c>
      <c r="BO4690">
        <f>IF(4677&lt;$U$9,MOD(INT(4677/$U$8),$U$7)+1,1)</f>
        <v/>
      </c>
      <c r="BP4690">
        <f>IF(4677&lt;$U$9,MOD(4677,$U$8)+1,1)</f>
        <v/>
      </c>
      <c r="BQ4690">
        <f>IF(4677&lt;$U$9,SUMPRODUCT(($D$10:$L$10&lt;&gt;"")*(($D$9:$L$9+INT(($S$12:$AA$12+INDEX($AJ$13:$AR$162,BN4690,0)+INDEX($AT$13:$BB$162,BO4690,0)+INDEX($BD$13:$BL$162,BP4690,0))/100))&gt;=$D$10:$L$10)),0)</f>
        <v/>
      </c>
      <c r="BR4690">
        <f>IF(4677&lt;$U$9,SUMPRODUCT(($D$10:$L$10&lt;&gt;"")*(($D$10:$L$10-($D$9:$L$9+INT(($S$12:$AA$12+INDEX($AJ$13:$AR$162,BN4690,0)+INDEX($AT$13:$BB$162,BO4690,0)+INDEX($BD$13:$BL$162,BP4690,0))/100)))&gt;0)*($D$10:$L$10-($D$9:$L$9+INT(($S$12:$AA$12+INDEX($AJ$13:$AR$162,BN4690,0)+INDEX($AT$13:$BB$162,BO4690,0)+INDEX($BD$13:$BL$162,BP4690,0))/100)))),0)</f>
        <v/>
      </c>
      <c r="BS4690">
        <f>IF(4677&lt;$U$9,SUMPRODUCT(($D$9:$L$9+INT(($S$12:$AA$12+INDEX($AJ$13:$AR$162,BN4690,0)+INDEX($AT$13:$BB$162,BO4690,0)+INDEX($BD$13:$BL$162,BP4690,0))/100))),0)</f>
        <v/>
      </c>
      <c r="BT4690">
        <f>IF(AND(4677&lt;$U$9,$W$5),BQ4690*1000000-MIN(BR4690,999)*1000+BS4690-4677/100000,-1000000000-4677)</f>
        <v/>
      </c>
    </row>
    <row r="4691">
      <c r="BN4691">
        <f>IF(4678&lt;$U$9,INT(4678/($U$7*$U$8))+1,1)</f>
        <v/>
      </c>
      <c r="BO4691">
        <f>IF(4678&lt;$U$9,MOD(INT(4678/$U$8),$U$7)+1,1)</f>
        <v/>
      </c>
      <c r="BP4691">
        <f>IF(4678&lt;$U$9,MOD(4678,$U$8)+1,1)</f>
        <v/>
      </c>
      <c r="BQ4691">
        <f>IF(4678&lt;$U$9,SUMPRODUCT(($D$10:$L$10&lt;&gt;"")*(($D$9:$L$9+INT(($S$12:$AA$12+INDEX($AJ$13:$AR$162,BN4691,0)+INDEX($AT$13:$BB$162,BO4691,0)+INDEX($BD$13:$BL$162,BP4691,0))/100))&gt;=$D$10:$L$10)),0)</f>
        <v/>
      </c>
      <c r="BR4691">
        <f>IF(4678&lt;$U$9,SUMPRODUCT(($D$10:$L$10&lt;&gt;"")*(($D$10:$L$10-($D$9:$L$9+INT(($S$12:$AA$12+INDEX($AJ$13:$AR$162,BN4691,0)+INDEX($AT$13:$BB$162,BO4691,0)+INDEX($BD$13:$BL$162,BP4691,0))/100)))&gt;0)*($D$10:$L$10-($D$9:$L$9+INT(($S$12:$AA$12+INDEX($AJ$13:$AR$162,BN4691,0)+INDEX($AT$13:$BB$162,BO4691,0)+INDEX($BD$13:$BL$162,BP4691,0))/100)))),0)</f>
        <v/>
      </c>
      <c r="BS4691">
        <f>IF(4678&lt;$U$9,SUMPRODUCT(($D$9:$L$9+INT(($S$12:$AA$12+INDEX($AJ$13:$AR$162,BN4691,0)+INDEX($AT$13:$BB$162,BO4691,0)+INDEX($BD$13:$BL$162,BP4691,0))/100))),0)</f>
        <v/>
      </c>
      <c r="BT4691">
        <f>IF(AND(4678&lt;$U$9,$W$5),BQ4691*1000000-MIN(BR4691,999)*1000+BS4691-4678/100000,-1000000000-4678)</f>
        <v/>
      </c>
    </row>
    <row r="4692">
      <c r="BN4692">
        <f>IF(4679&lt;$U$9,INT(4679/($U$7*$U$8))+1,1)</f>
        <v/>
      </c>
      <c r="BO4692">
        <f>IF(4679&lt;$U$9,MOD(INT(4679/$U$8),$U$7)+1,1)</f>
        <v/>
      </c>
      <c r="BP4692">
        <f>IF(4679&lt;$U$9,MOD(4679,$U$8)+1,1)</f>
        <v/>
      </c>
      <c r="BQ4692">
        <f>IF(4679&lt;$U$9,SUMPRODUCT(($D$10:$L$10&lt;&gt;"")*(($D$9:$L$9+INT(($S$12:$AA$12+INDEX($AJ$13:$AR$162,BN4692,0)+INDEX($AT$13:$BB$162,BO4692,0)+INDEX($BD$13:$BL$162,BP4692,0))/100))&gt;=$D$10:$L$10)),0)</f>
        <v/>
      </c>
      <c r="BR4692">
        <f>IF(4679&lt;$U$9,SUMPRODUCT(($D$10:$L$10&lt;&gt;"")*(($D$10:$L$10-($D$9:$L$9+INT(($S$12:$AA$12+INDEX($AJ$13:$AR$162,BN4692,0)+INDEX($AT$13:$BB$162,BO4692,0)+INDEX($BD$13:$BL$162,BP4692,0))/100)))&gt;0)*($D$10:$L$10-($D$9:$L$9+INT(($S$12:$AA$12+INDEX($AJ$13:$AR$162,BN4692,0)+INDEX($AT$13:$BB$162,BO4692,0)+INDEX($BD$13:$BL$162,BP4692,0))/100)))),0)</f>
        <v/>
      </c>
      <c r="BS4692">
        <f>IF(4679&lt;$U$9,SUMPRODUCT(($D$9:$L$9+INT(($S$12:$AA$12+INDEX($AJ$13:$AR$162,BN4692,0)+INDEX($AT$13:$BB$162,BO4692,0)+INDEX($BD$13:$BL$162,BP4692,0))/100))),0)</f>
        <v/>
      </c>
      <c r="BT4692">
        <f>IF(AND(4679&lt;$U$9,$W$5),BQ4692*1000000-MIN(BR4692,999)*1000+BS4692-4679/100000,-1000000000-4679)</f>
        <v/>
      </c>
    </row>
    <row r="4693">
      <c r="BN4693">
        <f>IF(4680&lt;$U$9,INT(4680/($U$7*$U$8))+1,1)</f>
        <v/>
      </c>
      <c r="BO4693">
        <f>IF(4680&lt;$U$9,MOD(INT(4680/$U$8),$U$7)+1,1)</f>
        <v/>
      </c>
      <c r="BP4693">
        <f>IF(4680&lt;$U$9,MOD(4680,$U$8)+1,1)</f>
        <v/>
      </c>
      <c r="BQ4693">
        <f>IF(4680&lt;$U$9,SUMPRODUCT(($D$10:$L$10&lt;&gt;"")*(($D$9:$L$9+INT(($S$12:$AA$12+INDEX($AJ$13:$AR$162,BN4693,0)+INDEX($AT$13:$BB$162,BO4693,0)+INDEX($BD$13:$BL$162,BP4693,0))/100))&gt;=$D$10:$L$10)),0)</f>
        <v/>
      </c>
      <c r="BR4693">
        <f>IF(4680&lt;$U$9,SUMPRODUCT(($D$10:$L$10&lt;&gt;"")*(($D$10:$L$10-($D$9:$L$9+INT(($S$12:$AA$12+INDEX($AJ$13:$AR$162,BN4693,0)+INDEX($AT$13:$BB$162,BO4693,0)+INDEX($BD$13:$BL$162,BP4693,0))/100)))&gt;0)*($D$10:$L$10-($D$9:$L$9+INT(($S$12:$AA$12+INDEX($AJ$13:$AR$162,BN4693,0)+INDEX($AT$13:$BB$162,BO4693,0)+INDEX($BD$13:$BL$162,BP4693,0))/100)))),0)</f>
        <v/>
      </c>
      <c r="BS4693">
        <f>IF(4680&lt;$U$9,SUMPRODUCT(($D$9:$L$9+INT(($S$12:$AA$12+INDEX($AJ$13:$AR$162,BN4693,0)+INDEX($AT$13:$BB$162,BO4693,0)+INDEX($BD$13:$BL$162,BP4693,0))/100))),0)</f>
        <v/>
      </c>
      <c r="BT4693">
        <f>IF(AND(4680&lt;$U$9,$W$5),BQ4693*1000000-MIN(BR4693,999)*1000+BS4693-4680/100000,-1000000000-4680)</f>
        <v/>
      </c>
    </row>
    <row r="4694">
      <c r="BN4694">
        <f>IF(4681&lt;$U$9,INT(4681/($U$7*$U$8))+1,1)</f>
        <v/>
      </c>
      <c r="BO4694">
        <f>IF(4681&lt;$U$9,MOD(INT(4681/$U$8),$U$7)+1,1)</f>
        <v/>
      </c>
      <c r="BP4694">
        <f>IF(4681&lt;$U$9,MOD(4681,$U$8)+1,1)</f>
        <v/>
      </c>
      <c r="BQ4694">
        <f>IF(4681&lt;$U$9,SUMPRODUCT(($D$10:$L$10&lt;&gt;"")*(($D$9:$L$9+INT(($S$12:$AA$12+INDEX($AJ$13:$AR$162,BN4694,0)+INDEX($AT$13:$BB$162,BO4694,0)+INDEX($BD$13:$BL$162,BP4694,0))/100))&gt;=$D$10:$L$10)),0)</f>
        <v/>
      </c>
      <c r="BR4694">
        <f>IF(4681&lt;$U$9,SUMPRODUCT(($D$10:$L$10&lt;&gt;"")*(($D$10:$L$10-($D$9:$L$9+INT(($S$12:$AA$12+INDEX($AJ$13:$AR$162,BN4694,0)+INDEX($AT$13:$BB$162,BO4694,0)+INDEX($BD$13:$BL$162,BP4694,0))/100)))&gt;0)*($D$10:$L$10-($D$9:$L$9+INT(($S$12:$AA$12+INDEX($AJ$13:$AR$162,BN4694,0)+INDEX($AT$13:$BB$162,BO4694,0)+INDEX($BD$13:$BL$162,BP4694,0))/100)))),0)</f>
        <v/>
      </c>
      <c r="BS4694">
        <f>IF(4681&lt;$U$9,SUMPRODUCT(($D$9:$L$9+INT(($S$12:$AA$12+INDEX($AJ$13:$AR$162,BN4694,0)+INDEX($AT$13:$BB$162,BO4694,0)+INDEX($BD$13:$BL$162,BP4694,0))/100))),0)</f>
        <v/>
      </c>
      <c r="BT4694">
        <f>IF(AND(4681&lt;$U$9,$W$5),BQ4694*1000000-MIN(BR4694,999)*1000+BS4694-4681/100000,-1000000000-4681)</f>
        <v/>
      </c>
    </row>
    <row r="4695">
      <c r="BN4695">
        <f>IF(4682&lt;$U$9,INT(4682/($U$7*$U$8))+1,1)</f>
        <v/>
      </c>
      <c r="BO4695">
        <f>IF(4682&lt;$U$9,MOD(INT(4682/$U$8),$U$7)+1,1)</f>
        <v/>
      </c>
      <c r="BP4695">
        <f>IF(4682&lt;$U$9,MOD(4682,$U$8)+1,1)</f>
        <v/>
      </c>
      <c r="BQ4695">
        <f>IF(4682&lt;$U$9,SUMPRODUCT(($D$10:$L$10&lt;&gt;"")*(($D$9:$L$9+INT(($S$12:$AA$12+INDEX($AJ$13:$AR$162,BN4695,0)+INDEX($AT$13:$BB$162,BO4695,0)+INDEX($BD$13:$BL$162,BP4695,0))/100))&gt;=$D$10:$L$10)),0)</f>
        <v/>
      </c>
      <c r="BR4695">
        <f>IF(4682&lt;$U$9,SUMPRODUCT(($D$10:$L$10&lt;&gt;"")*(($D$10:$L$10-($D$9:$L$9+INT(($S$12:$AA$12+INDEX($AJ$13:$AR$162,BN4695,0)+INDEX($AT$13:$BB$162,BO4695,0)+INDEX($BD$13:$BL$162,BP4695,0))/100)))&gt;0)*($D$10:$L$10-($D$9:$L$9+INT(($S$12:$AA$12+INDEX($AJ$13:$AR$162,BN4695,0)+INDEX($AT$13:$BB$162,BO4695,0)+INDEX($BD$13:$BL$162,BP4695,0))/100)))),0)</f>
        <v/>
      </c>
      <c r="BS4695">
        <f>IF(4682&lt;$U$9,SUMPRODUCT(($D$9:$L$9+INT(($S$12:$AA$12+INDEX($AJ$13:$AR$162,BN4695,0)+INDEX($AT$13:$BB$162,BO4695,0)+INDEX($BD$13:$BL$162,BP4695,0))/100))),0)</f>
        <v/>
      </c>
      <c r="BT4695">
        <f>IF(AND(4682&lt;$U$9,$W$5),BQ4695*1000000-MIN(BR4695,999)*1000+BS4695-4682/100000,-1000000000-4682)</f>
        <v/>
      </c>
    </row>
    <row r="4696">
      <c r="BN4696">
        <f>IF(4683&lt;$U$9,INT(4683/($U$7*$U$8))+1,1)</f>
        <v/>
      </c>
      <c r="BO4696">
        <f>IF(4683&lt;$U$9,MOD(INT(4683/$U$8),$U$7)+1,1)</f>
        <v/>
      </c>
      <c r="BP4696">
        <f>IF(4683&lt;$U$9,MOD(4683,$U$8)+1,1)</f>
        <v/>
      </c>
      <c r="BQ4696">
        <f>IF(4683&lt;$U$9,SUMPRODUCT(($D$10:$L$10&lt;&gt;"")*(($D$9:$L$9+INT(($S$12:$AA$12+INDEX($AJ$13:$AR$162,BN4696,0)+INDEX($AT$13:$BB$162,BO4696,0)+INDEX($BD$13:$BL$162,BP4696,0))/100))&gt;=$D$10:$L$10)),0)</f>
        <v/>
      </c>
      <c r="BR4696">
        <f>IF(4683&lt;$U$9,SUMPRODUCT(($D$10:$L$10&lt;&gt;"")*(($D$10:$L$10-($D$9:$L$9+INT(($S$12:$AA$12+INDEX($AJ$13:$AR$162,BN4696,0)+INDEX($AT$13:$BB$162,BO4696,0)+INDEX($BD$13:$BL$162,BP4696,0))/100)))&gt;0)*($D$10:$L$10-($D$9:$L$9+INT(($S$12:$AA$12+INDEX($AJ$13:$AR$162,BN4696,0)+INDEX($AT$13:$BB$162,BO4696,0)+INDEX($BD$13:$BL$162,BP4696,0))/100)))),0)</f>
        <v/>
      </c>
      <c r="BS4696">
        <f>IF(4683&lt;$U$9,SUMPRODUCT(($D$9:$L$9+INT(($S$12:$AA$12+INDEX($AJ$13:$AR$162,BN4696,0)+INDEX($AT$13:$BB$162,BO4696,0)+INDEX($BD$13:$BL$162,BP4696,0))/100))),0)</f>
        <v/>
      </c>
      <c r="BT4696">
        <f>IF(AND(4683&lt;$U$9,$W$5),BQ4696*1000000-MIN(BR4696,999)*1000+BS4696-4683/100000,-1000000000-4683)</f>
        <v/>
      </c>
    </row>
    <row r="4697">
      <c r="BN4697">
        <f>IF(4684&lt;$U$9,INT(4684/($U$7*$U$8))+1,1)</f>
        <v/>
      </c>
      <c r="BO4697">
        <f>IF(4684&lt;$U$9,MOD(INT(4684/$U$8),$U$7)+1,1)</f>
        <v/>
      </c>
      <c r="BP4697">
        <f>IF(4684&lt;$U$9,MOD(4684,$U$8)+1,1)</f>
        <v/>
      </c>
      <c r="BQ4697">
        <f>IF(4684&lt;$U$9,SUMPRODUCT(($D$10:$L$10&lt;&gt;"")*(($D$9:$L$9+INT(($S$12:$AA$12+INDEX($AJ$13:$AR$162,BN4697,0)+INDEX($AT$13:$BB$162,BO4697,0)+INDEX($BD$13:$BL$162,BP4697,0))/100))&gt;=$D$10:$L$10)),0)</f>
        <v/>
      </c>
      <c r="BR4697">
        <f>IF(4684&lt;$U$9,SUMPRODUCT(($D$10:$L$10&lt;&gt;"")*(($D$10:$L$10-($D$9:$L$9+INT(($S$12:$AA$12+INDEX($AJ$13:$AR$162,BN4697,0)+INDEX($AT$13:$BB$162,BO4697,0)+INDEX($BD$13:$BL$162,BP4697,0))/100)))&gt;0)*($D$10:$L$10-($D$9:$L$9+INT(($S$12:$AA$12+INDEX($AJ$13:$AR$162,BN4697,0)+INDEX($AT$13:$BB$162,BO4697,0)+INDEX($BD$13:$BL$162,BP4697,0))/100)))),0)</f>
        <v/>
      </c>
      <c r="BS4697">
        <f>IF(4684&lt;$U$9,SUMPRODUCT(($D$9:$L$9+INT(($S$12:$AA$12+INDEX($AJ$13:$AR$162,BN4697,0)+INDEX($AT$13:$BB$162,BO4697,0)+INDEX($BD$13:$BL$162,BP4697,0))/100))),0)</f>
        <v/>
      </c>
      <c r="BT4697">
        <f>IF(AND(4684&lt;$U$9,$W$5),BQ4697*1000000-MIN(BR4697,999)*1000+BS4697-4684/100000,-1000000000-4684)</f>
        <v/>
      </c>
    </row>
    <row r="4698">
      <c r="BN4698">
        <f>IF(4685&lt;$U$9,INT(4685/($U$7*$U$8))+1,1)</f>
        <v/>
      </c>
      <c r="BO4698">
        <f>IF(4685&lt;$U$9,MOD(INT(4685/$U$8),$U$7)+1,1)</f>
        <v/>
      </c>
      <c r="BP4698">
        <f>IF(4685&lt;$U$9,MOD(4685,$U$8)+1,1)</f>
        <v/>
      </c>
      <c r="BQ4698">
        <f>IF(4685&lt;$U$9,SUMPRODUCT(($D$10:$L$10&lt;&gt;"")*(($D$9:$L$9+INT(($S$12:$AA$12+INDEX($AJ$13:$AR$162,BN4698,0)+INDEX($AT$13:$BB$162,BO4698,0)+INDEX($BD$13:$BL$162,BP4698,0))/100))&gt;=$D$10:$L$10)),0)</f>
        <v/>
      </c>
      <c r="BR4698">
        <f>IF(4685&lt;$U$9,SUMPRODUCT(($D$10:$L$10&lt;&gt;"")*(($D$10:$L$10-($D$9:$L$9+INT(($S$12:$AA$12+INDEX($AJ$13:$AR$162,BN4698,0)+INDEX($AT$13:$BB$162,BO4698,0)+INDEX($BD$13:$BL$162,BP4698,0))/100)))&gt;0)*($D$10:$L$10-($D$9:$L$9+INT(($S$12:$AA$12+INDEX($AJ$13:$AR$162,BN4698,0)+INDEX($AT$13:$BB$162,BO4698,0)+INDEX($BD$13:$BL$162,BP4698,0))/100)))),0)</f>
        <v/>
      </c>
      <c r="BS4698">
        <f>IF(4685&lt;$U$9,SUMPRODUCT(($D$9:$L$9+INT(($S$12:$AA$12+INDEX($AJ$13:$AR$162,BN4698,0)+INDEX($AT$13:$BB$162,BO4698,0)+INDEX($BD$13:$BL$162,BP4698,0))/100))),0)</f>
        <v/>
      </c>
      <c r="BT4698">
        <f>IF(AND(4685&lt;$U$9,$W$5),BQ4698*1000000-MIN(BR4698,999)*1000+BS4698-4685/100000,-1000000000-4685)</f>
        <v/>
      </c>
    </row>
    <row r="4699">
      <c r="BN4699">
        <f>IF(4686&lt;$U$9,INT(4686/($U$7*$U$8))+1,1)</f>
        <v/>
      </c>
      <c r="BO4699">
        <f>IF(4686&lt;$U$9,MOD(INT(4686/$U$8),$U$7)+1,1)</f>
        <v/>
      </c>
      <c r="BP4699">
        <f>IF(4686&lt;$U$9,MOD(4686,$U$8)+1,1)</f>
        <v/>
      </c>
      <c r="BQ4699">
        <f>IF(4686&lt;$U$9,SUMPRODUCT(($D$10:$L$10&lt;&gt;"")*(($D$9:$L$9+INT(($S$12:$AA$12+INDEX($AJ$13:$AR$162,BN4699,0)+INDEX($AT$13:$BB$162,BO4699,0)+INDEX($BD$13:$BL$162,BP4699,0))/100))&gt;=$D$10:$L$10)),0)</f>
        <v/>
      </c>
      <c r="BR4699">
        <f>IF(4686&lt;$U$9,SUMPRODUCT(($D$10:$L$10&lt;&gt;"")*(($D$10:$L$10-($D$9:$L$9+INT(($S$12:$AA$12+INDEX($AJ$13:$AR$162,BN4699,0)+INDEX($AT$13:$BB$162,BO4699,0)+INDEX($BD$13:$BL$162,BP4699,0))/100)))&gt;0)*($D$10:$L$10-($D$9:$L$9+INT(($S$12:$AA$12+INDEX($AJ$13:$AR$162,BN4699,0)+INDEX($AT$13:$BB$162,BO4699,0)+INDEX($BD$13:$BL$162,BP4699,0))/100)))),0)</f>
        <v/>
      </c>
      <c r="BS4699">
        <f>IF(4686&lt;$U$9,SUMPRODUCT(($D$9:$L$9+INT(($S$12:$AA$12+INDEX($AJ$13:$AR$162,BN4699,0)+INDEX($AT$13:$BB$162,BO4699,0)+INDEX($BD$13:$BL$162,BP4699,0))/100))),0)</f>
        <v/>
      </c>
      <c r="BT4699">
        <f>IF(AND(4686&lt;$U$9,$W$5),BQ4699*1000000-MIN(BR4699,999)*1000+BS4699-4686/100000,-1000000000-4686)</f>
        <v/>
      </c>
    </row>
    <row r="4700">
      <c r="BN4700">
        <f>IF(4687&lt;$U$9,INT(4687/($U$7*$U$8))+1,1)</f>
        <v/>
      </c>
      <c r="BO4700">
        <f>IF(4687&lt;$U$9,MOD(INT(4687/$U$8),$U$7)+1,1)</f>
        <v/>
      </c>
      <c r="BP4700">
        <f>IF(4687&lt;$U$9,MOD(4687,$U$8)+1,1)</f>
        <v/>
      </c>
      <c r="BQ4700">
        <f>IF(4687&lt;$U$9,SUMPRODUCT(($D$10:$L$10&lt;&gt;"")*(($D$9:$L$9+INT(($S$12:$AA$12+INDEX($AJ$13:$AR$162,BN4700,0)+INDEX($AT$13:$BB$162,BO4700,0)+INDEX($BD$13:$BL$162,BP4700,0))/100))&gt;=$D$10:$L$10)),0)</f>
        <v/>
      </c>
      <c r="BR4700">
        <f>IF(4687&lt;$U$9,SUMPRODUCT(($D$10:$L$10&lt;&gt;"")*(($D$10:$L$10-($D$9:$L$9+INT(($S$12:$AA$12+INDEX($AJ$13:$AR$162,BN4700,0)+INDEX($AT$13:$BB$162,BO4700,0)+INDEX($BD$13:$BL$162,BP4700,0))/100)))&gt;0)*($D$10:$L$10-($D$9:$L$9+INT(($S$12:$AA$12+INDEX($AJ$13:$AR$162,BN4700,0)+INDEX($AT$13:$BB$162,BO4700,0)+INDEX($BD$13:$BL$162,BP4700,0))/100)))),0)</f>
        <v/>
      </c>
      <c r="BS4700">
        <f>IF(4687&lt;$U$9,SUMPRODUCT(($D$9:$L$9+INT(($S$12:$AA$12+INDEX($AJ$13:$AR$162,BN4700,0)+INDEX($AT$13:$BB$162,BO4700,0)+INDEX($BD$13:$BL$162,BP4700,0))/100))),0)</f>
        <v/>
      </c>
      <c r="BT4700">
        <f>IF(AND(4687&lt;$U$9,$W$5),BQ4700*1000000-MIN(BR4700,999)*1000+BS4700-4687/100000,-1000000000-4687)</f>
        <v/>
      </c>
    </row>
    <row r="4701">
      <c r="BN4701">
        <f>IF(4688&lt;$U$9,INT(4688/($U$7*$U$8))+1,1)</f>
        <v/>
      </c>
      <c r="BO4701">
        <f>IF(4688&lt;$U$9,MOD(INT(4688/$U$8),$U$7)+1,1)</f>
        <v/>
      </c>
      <c r="BP4701">
        <f>IF(4688&lt;$U$9,MOD(4688,$U$8)+1,1)</f>
        <v/>
      </c>
      <c r="BQ4701">
        <f>IF(4688&lt;$U$9,SUMPRODUCT(($D$10:$L$10&lt;&gt;"")*(($D$9:$L$9+INT(($S$12:$AA$12+INDEX($AJ$13:$AR$162,BN4701,0)+INDEX($AT$13:$BB$162,BO4701,0)+INDEX($BD$13:$BL$162,BP4701,0))/100))&gt;=$D$10:$L$10)),0)</f>
        <v/>
      </c>
      <c r="BR4701">
        <f>IF(4688&lt;$U$9,SUMPRODUCT(($D$10:$L$10&lt;&gt;"")*(($D$10:$L$10-($D$9:$L$9+INT(($S$12:$AA$12+INDEX($AJ$13:$AR$162,BN4701,0)+INDEX($AT$13:$BB$162,BO4701,0)+INDEX($BD$13:$BL$162,BP4701,0))/100)))&gt;0)*($D$10:$L$10-($D$9:$L$9+INT(($S$12:$AA$12+INDEX($AJ$13:$AR$162,BN4701,0)+INDEX($AT$13:$BB$162,BO4701,0)+INDEX($BD$13:$BL$162,BP4701,0))/100)))),0)</f>
        <v/>
      </c>
      <c r="BS4701">
        <f>IF(4688&lt;$U$9,SUMPRODUCT(($D$9:$L$9+INT(($S$12:$AA$12+INDEX($AJ$13:$AR$162,BN4701,0)+INDEX($AT$13:$BB$162,BO4701,0)+INDEX($BD$13:$BL$162,BP4701,0))/100))),0)</f>
        <v/>
      </c>
      <c r="BT4701">
        <f>IF(AND(4688&lt;$U$9,$W$5),BQ4701*1000000-MIN(BR4701,999)*1000+BS4701-4688/100000,-1000000000-4688)</f>
        <v/>
      </c>
    </row>
    <row r="4702">
      <c r="BN4702">
        <f>IF(4689&lt;$U$9,INT(4689/($U$7*$U$8))+1,1)</f>
        <v/>
      </c>
      <c r="BO4702">
        <f>IF(4689&lt;$U$9,MOD(INT(4689/$U$8),$U$7)+1,1)</f>
        <v/>
      </c>
      <c r="BP4702">
        <f>IF(4689&lt;$U$9,MOD(4689,$U$8)+1,1)</f>
        <v/>
      </c>
      <c r="BQ4702">
        <f>IF(4689&lt;$U$9,SUMPRODUCT(($D$10:$L$10&lt;&gt;"")*(($D$9:$L$9+INT(($S$12:$AA$12+INDEX($AJ$13:$AR$162,BN4702,0)+INDEX($AT$13:$BB$162,BO4702,0)+INDEX($BD$13:$BL$162,BP4702,0))/100))&gt;=$D$10:$L$10)),0)</f>
        <v/>
      </c>
      <c r="BR4702">
        <f>IF(4689&lt;$U$9,SUMPRODUCT(($D$10:$L$10&lt;&gt;"")*(($D$10:$L$10-($D$9:$L$9+INT(($S$12:$AA$12+INDEX($AJ$13:$AR$162,BN4702,0)+INDEX($AT$13:$BB$162,BO4702,0)+INDEX($BD$13:$BL$162,BP4702,0))/100)))&gt;0)*($D$10:$L$10-($D$9:$L$9+INT(($S$12:$AA$12+INDEX($AJ$13:$AR$162,BN4702,0)+INDEX($AT$13:$BB$162,BO4702,0)+INDEX($BD$13:$BL$162,BP4702,0))/100)))),0)</f>
        <v/>
      </c>
      <c r="BS4702">
        <f>IF(4689&lt;$U$9,SUMPRODUCT(($D$9:$L$9+INT(($S$12:$AA$12+INDEX($AJ$13:$AR$162,BN4702,0)+INDEX($AT$13:$BB$162,BO4702,0)+INDEX($BD$13:$BL$162,BP4702,0))/100))),0)</f>
        <v/>
      </c>
      <c r="BT4702">
        <f>IF(AND(4689&lt;$U$9,$W$5),BQ4702*1000000-MIN(BR4702,999)*1000+BS4702-4689/100000,-1000000000-4689)</f>
        <v/>
      </c>
    </row>
    <row r="4703">
      <c r="BN4703">
        <f>IF(4690&lt;$U$9,INT(4690/($U$7*$U$8))+1,1)</f>
        <v/>
      </c>
      <c r="BO4703">
        <f>IF(4690&lt;$U$9,MOD(INT(4690/$U$8),$U$7)+1,1)</f>
        <v/>
      </c>
      <c r="BP4703">
        <f>IF(4690&lt;$U$9,MOD(4690,$U$8)+1,1)</f>
        <v/>
      </c>
      <c r="BQ4703">
        <f>IF(4690&lt;$U$9,SUMPRODUCT(($D$10:$L$10&lt;&gt;"")*(($D$9:$L$9+INT(($S$12:$AA$12+INDEX($AJ$13:$AR$162,BN4703,0)+INDEX($AT$13:$BB$162,BO4703,0)+INDEX($BD$13:$BL$162,BP4703,0))/100))&gt;=$D$10:$L$10)),0)</f>
        <v/>
      </c>
      <c r="BR4703">
        <f>IF(4690&lt;$U$9,SUMPRODUCT(($D$10:$L$10&lt;&gt;"")*(($D$10:$L$10-($D$9:$L$9+INT(($S$12:$AA$12+INDEX($AJ$13:$AR$162,BN4703,0)+INDEX($AT$13:$BB$162,BO4703,0)+INDEX($BD$13:$BL$162,BP4703,0))/100)))&gt;0)*($D$10:$L$10-($D$9:$L$9+INT(($S$12:$AA$12+INDEX($AJ$13:$AR$162,BN4703,0)+INDEX($AT$13:$BB$162,BO4703,0)+INDEX($BD$13:$BL$162,BP4703,0))/100)))),0)</f>
        <v/>
      </c>
      <c r="BS4703">
        <f>IF(4690&lt;$U$9,SUMPRODUCT(($D$9:$L$9+INT(($S$12:$AA$12+INDEX($AJ$13:$AR$162,BN4703,0)+INDEX($AT$13:$BB$162,BO4703,0)+INDEX($BD$13:$BL$162,BP4703,0))/100))),0)</f>
        <v/>
      </c>
      <c r="BT4703">
        <f>IF(AND(4690&lt;$U$9,$W$5),BQ4703*1000000-MIN(BR4703,999)*1000+BS4703-4690/100000,-1000000000-4690)</f>
        <v/>
      </c>
    </row>
    <row r="4704">
      <c r="BN4704">
        <f>IF(4691&lt;$U$9,INT(4691/($U$7*$U$8))+1,1)</f>
        <v/>
      </c>
      <c r="BO4704">
        <f>IF(4691&lt;$U$9,MOD(INT(4691/$U$8),$U$7)+1,1)</f>
        <v/>
      </c>
      <c r="BP4704">
        <f>IF(4691&lt;$U$9,MOD(4691,$U$8)+1,1)</f>
        <v/>
      </c>
      <c r="BQ4704">
        <f>IF(4691&lt;$U$9,SUMPRODUCT(($D$10:$L$10&lt;&gt;"")*(($D$9:$L$9+INT(($S$12:$AA$12+INDEX($AJ$13:$AR$162,BN4704,0)+INDEX($AT$13:$BB$162,BO4704,0)+INDEX($BD$13:$BL$162,BP4704,0))/100))&gt;=$D$10:$L$10)),0)</f>
        <v/>
      </c>
      <c r="BR4704">
        <f>IF(4691&lt;$U$9,SUMPRODUCT(($D$10:$L$10&lt;&gt;"")*(($D$10:$L$10-($D$9:$L$9+INT(($S$12:$AA$12+INDEX($AJ$13:$AR$162,BN4704,0)+INDEX($AT$13:$BB$162,BO4704,0)+INDEX($BD$13:$BL$162,BP4704,0))/100)))&gt;0)*($D$10:$L$10-($D$9:$L$9+INT(($S$12:$AA$12+INDEX($AJ$13:$AR$162,BN4704,0)+INDEX($AT$13:$BB$162,BO4704,0)+INDEX($BD$13:$BL$162,BP4704,0))/100)))),0)</f>
        <v/>
      </c>
      <c r="BS4704">
        <f>IF(4691&lt;$U$9,SUMPRODUCT(($D$9:$L$9+INT(($S$12:$AA$12+INDEX($AJ$13:$AR$162,BN4704,0)+INDEX($AT$13:$BB$162,BO4704,0)+INDEX($BD$13:$BL$162,BP4704,0))/100))),0)</f>
        <v/>
      </c>
      <c r="BT4704">
        <f>IF(AND(4691&lt;$U$9,$W$5),BQ4704*1000000-MIN(BR4704,999)*1000+BS4704-4691/100000,-1000000000-4691)</f>
        <v/>
      </c>
    </row>
    <row r="4705">
      <c r="BN4705">
        <f>IF(4692&lt;$U$9,INT(4692/($U$7*$U$8))+1,1)</f>
        <v/>
      </c>
      <c r="BO4705">
        <f>IF(4692&lt;$U$9,MOD(INT(4692/$U$8),$U$7)+1,1)</f>
        <v/>
      </c>
      <c r="BP4705">
        <f>IF(4692&lt;$U$9,MOD(4692,$U$8)+1,1)</f>
        <v/>
      </c>
      <c r="BQ4705">
        <f>IF(4692&lt;$U$9,SUMPRODUCT(($D$10:$L$10&lt;&gt;"")*(($D$9:$L$9+INT(($S$12:$AA$12+INDEX($AJ$13:$AR$162,BN4705,0)+INDEX($AT$13:$BB$162,BO4705,0)+INDEX($BD$13:$BL$162,BP4705,0))/100))&gt;=$D$10:$L$10)),0)</f>
        <v/>
      </c>
      <c r="BR4705">
        <f>IF(4692&lt;$U$9,SUMPRODUCT(($D$10:$L$10&lt;&gt;"")*(($D$10:$L$10-($D$9:$L$9+INT(($S$12:$AA$12+INDEX($AJ$13:$AR$162,BN4705,0)+INDEX($AT$13:$BB$162,BO4705,0)+INDEX($BD$13:$BL$162,BP4705,0))/100)))&gt;0)*($D$10:$L$10-($D$9:$L$9+INT(($S$12:$AA$12+INDEX($AJ$13:$AR$162,BN4705,0)+INDEX($AT$13:$BB$162,BO4705,0)+INDEX($BD$13:$BL$162,BP4705,0))/100)))),0)</f>
        <v/>
      </c>
      <c r="BS4705">
        <f>IF(4692&lt;$U$9,SUMPRODUCT(($D$9:$L$9+INT(($S$12:$AA$12+INDEX($AJ$13:$AR$162,BN4705,0)+INDEX($AT$13:$BB$162,BO4705,0)+INDEX($BD$13:$BL$162,BP4705,0))/100))),0)</f>
        <v/>
      </c>
      <c r="BT4705">
        <f>IF(AND(4692&lt;$U$9,$W$5),BQ4705*1000000-MIN(BR4705,999)*1000+BS4705-4692/100000,-1000000000-4692)</f>
        <v/>
      </c>
    </row>
    <row r="4706">
      <c r="BN4706">
        <f>IF(4693&lt;$U$9,INT(4693/($U$7*$U$8))+1,1)</f>
        <v/>
      </c>
      <c r="BO4706">
        <f>IF(4693&lt;$U$9,MOD(INT(4693/$U$8),$U$7)+1,1)</f>
        <v/>
      </c>
      <c r="BP4706">
        <f>IF(4693&lt;$U$9,MOD(4693,$U$8)+1,1)</f>
        <v/>
      </c>
      <c r="BQ4706">
        <f>IF(4693&lt;$U$9,SUMPRODUCT(($D$10:$L$10&lt;&gt;"")*(($D$9:$L$9+INT(($S$12:$AA$12+INDEX($AJ$13:$AR$162,BN4706,0)+INDEX($AT$13:$BB$162,BO4706,0)+INDEX($BD$13:$BL$162,BP4706,0))/100))&gt;=$D$10:$L$10)),0)</f>
        <v/>
      </c>
      <c r="BR4706">
        <f>IF(4693&lt;$U$9,SUMPRODUCT(($D$10:$L$10&lt;&gt;"")*(($D$10:$L$10-($D$9:$L$9+INT(($S$12:$AA$12+INDEX($AJ$13:$AR$162,BN4706,0)+INDEX($AT$13:$BB$162,BO4706,0)+INDEX($BD$13:$BL$162,BP4706,0))/100)))&gt;0)*($D$10:$L$10-($D$9:$L$9+INT(($S$12:$AA$12+INDEX($AJ$13:$AR$162,BN4706,0)+INDEX($AT$13:$BB$162,BO4706,0)+INDEX($BD$13:$BL$162,BP4706,0))/100)))),0)</f>
        <v/>
      </c>
      <c r="BS4706">
        <f>IF(4693&lt;$U$9,SUMPRODUCT(($D$9:$L$9+INT(($S$12:$AA$12+INDEX($AJ$13:$AR$162,BN4706,0)+INDEX($AT$13:$BB$162,BO4706,0)+INDEX($BD$13:$BL$162,BP4706,0))/100))),0)</f>
        <v/>
      </c>
      <c r="BT4706">
        <f>IF(AND(4693&lt;$U$9,$W$5),BQ4706*1000000-MIN(BR4706,999)*1000+BS4706-4693/100000,-1000000000-4693)</f>
        <v/>
      </c>
    </row>
    <row r="4707">
      <c r="BN4707">
        <f>IF(4694&lt;$U$9,INT(4694/($U$7*$U$8))+1,1)</f>
        <v/>
      </c>
      <c r="BO4707">
        <f>IF(4694&lt;$U$9,MOD(INT(4694/$U$8),$U$7)+1,1)</f>
        <v/>
      </c>
      <c r="BP4707">
        <f>IF(4694&lt;$U$9,MOD(4694,$U$8)+1,1)</f>
        <v/>
      </c>
      <c r="BQ4707">
        <f>IF(4694&lt;$U$9,SUMPRODUCT(($D$10:$L$10&lt;&gt;"")*(($D$9:$L$9+INT(($S$12:$AA$12+INDEX($AJ$13:$AR$162,BN4707,0)+INDEX($AT$13:$BB$162,BO4707,0)+INDEX($BD$13:$BL$162,BP4707,0))/100))&gt;=$D$10:$L$10)),0)</f>
        <v/>
      </c>
      <c r="BR4707">
        <f>IF(4694&lt;$U$9,SUMPRODUCT(($D$10:$L$10&lt;&gt;"")*(($D$10:$L$10-($D$9:$L$9+INT(($S$12:$AA$12+INDEX($AJ$13:$AR$162,BN4707,0)+INDEX($AT$13:$BB$162,BO4707,0)+INDEX($BD$13:$BL$162,BP4707,0))/100)))&gt;0)*($D$10:$L$10-($D$9:$L$9+INT(($S$12:$AA$12+INDEX($AJ$13:$AR$162,BN4707,0)+INDEX($AT$13:$BB$162,BO4707,0)+INDEX($BD$13:$BL$162,BP4707,0))/100)))),0)</f>
        <v/>
      </c>
      <c r="BS4707">
        <f>IF(4694&lt;$U$9,SUMPRODUCT(($D$9:$L$9+INT(($S$12:$AA$12+INDEX($AJ$13:$AR$162,BN4707,0)+INDEX($AT$13:$BB$162,BO4707,0)+INDEX($BD$13:$BL$162,BP4707,0))/100))),0)</f>
        <v/>
      </c>
      <c r="BT4707">
        <f>IF(AND(4694&lt;$U$9,$W$5),BQ4707*1000000-MIN(BR4707,999)*1000+BS4707-4694/100000,-1000000000-4694)</f>
        <v/>
      </c>
    </row>
    <row r="4708">
      <c r="BN4708">
        <f>IF(4695&lt;$U$9,INT(4695/($U$7*$U$8))+1,1)</f>
        <v/>
      </c>
      <c r="BO4708">
        <f>IF(4695&lt;$U$9,MOD(INT(4695/$U$8),$U$7)+1,1)</f>
        <v/>
      </c>
      <c r="BP4708">
        <f>IF(4695&lt;$U$9,MOD(4695,$U$8)+1,1)</f>
        <v/>
      </c>
      <c r="BQ4708">
        <f>IF(4695&lt;$U$9,SUMPRODUCT(($D$10:$L$10&lt;&gt;"")*(($D$9:$L$9+INT(($S$12:$AA$12+INDEX($AJ$13:$AR$162,BN4708,0)+INDEX($AT$13:$BB$162,BO4708,0)+INDEX($BD$13:$BL$162,BP4708,0))/100))&gt;=$D$10:$L$10)),0)</f>
        <v/>
      </c>
      <c r="BR4708">
        <f>IF(4695&lt;$U$9,SUMPRODUCT(($D$10:$L$10&lt;&gt;"")*(($D$10:$L$10-($D$9:$L$9+INT(($S$12:$AA$12+INDEX($AJ$13:$AR$162,BN4708,0)+INDEX($AT$13:$BB$162,BO4708,0)+INDEX($BD$13:$BL$162,BP4708,0))/100)))&gt;0)*($D$10:$L$10-($D$9:$L$9+INT(($S$12:$AA$12+INDEX($AJ$13:$AR$162,BN4708,0)+INDEX($AT$13:$BB$162,BO4708,0)+INDEX($BD$13:$BL$162,BP4708,0))/100)))),0)</f>
        <v/>
      </c>
      <c r="BS4708">
        <f>IF(4695&lt;$U$9,SUMPRODUCT(($D$9:$L$9+INT(($S$12:$AA$12+INDEX($AJ$13:$AR$162,BN4708,0)+INDEX($AT$13:$BB$162,BO4708,0)+INDEX($BD$13:$BL$162,BP4708,0))/100))),0)</f>
        <v/>
      </c>
      <c r="BT4708">
        <f>IF(AND(4695&lt;$U$9,$W$5),BQ4708*1000000-MIN(BR4708,999)*1000+BS4708-4695/100000,-1000000000-4695)</f>
        <v/>
      </c>
    </row>
    <row r="4709">
      <c r="BN4709">
        <f>IF(4696&lt;$U$9,INT(4696/($U$7*$U$8))+1,1)</f>
        <v/>
      </c>
      <c r="BO4709">
        <f>IF(4696&lt;$U$9,MOD(INT(4696/$U$8),$U$7)+1,1)</f>
        <v/>
      </c>
      <c r="BP4709">
        <f>IF(4696&lt;$U$9,MOD(4696,$U$8)+1,1)</f>
        <v/>
      </c>
      <c r="BQ4709">
        <f>IF(4696&lt;$U$9,SUMPRODUCT(($D$10:$L$10&lt;&gt;"")*(($D$9:$L$9+INT(($S$12:$AA$12+INDEX($AJ$13:$AR$162,BN4709,0)+INDEX($AT$13:$BB$162,BO4709,0)+INDEX($BD$13:$BL$162,BP4709,0))/100))&gt;=$D$10:$L$10)),0)</f>
        <v/>
      </c>
      <c r="BR4709">
        <f>IF(4696&lt;$U$9,SUMPRODUCT(($D$10:$L$10&lt;&gt;"")*(($D$10:$L$10-($D$9:$L$9+INT(($S$12:$AA$12+INDEX($AJ$13:$AR$162,BN4709,0)+INDEX($AT$13:$BB$162,BO4709,0)+INDEX($BD$13:$BL$162,BP4709,0))/100)))&gt;0)*($D$10:$L$10-($D$9:$L$9+INT(($S$12:$AA$12+INDEX($AJ$13:$AR$162,BN4709,0)+INDEX($AT$13:$BB$162,BO4709,0)+INDEX($BD$13:$BL$162,BP4709,0))/100)))),0)</f>
        <v/>
      </c>
      <c r="BS4709">
        <f>IF(4696&lt;$U$9,SUMPRODUCT(($D$9:$L$9+INT(($S$12:$AA$12+INDEX($AJ$13:$AR$162,BN4709,0)+INDEX($AT$13:$BB$162,BO4709,0)+INDEX($BD$13:$BL$162,BP4709,0))/100))),0)</f>
        <v/>
      </c>
      <c r="BT4709">
        <f>IF(AND(4696&lt;$U$9,$W$5),BQ4709*1000000-MIN(BR4709,999)*1000+BS4709-4696/100000,-1000000000-4696)</f>
        <v/>
      </c>
    </row>
    <row r="4710">
      <c r="BN4710">
        <f>IF(4697&lt;$U$9,INT(4697/($U$7*$U$8))+1,1)</f>
        <v/>
      </c>
      <c r="BO4710">
        <f>IF(4697&lt;$U$9,MOD(INT(4697/$U$8),$U$7)+1,1)</f>
        <v/>
      </c>
      <c r="BP4710">
        <f>IF(4697&lt;$U$9,MOD(4697,$U$8)+1,1)</f>
        <v/>
      </c>
      <c r="BQ4710">
        <f>IF(4697&lt;$U$9,SUMPRODUCT(($D$10:$L$10&lt;&gt;"")*(($D$9:$L$9+INT(($S$12:$AA$12+INDEX($AJ$13:$AR$162,BN4710,0)+INDEX($AT$13:$BB$162,BO4710,0)+INDEX($BD$13:$BL$162,BP4710,0))/100))&gt;=$D$10:$L$10)),0)</f>
        <v/>
      </c>
      <c r="BR4710">
        <f>IF(4697&lt;$U$9,SUMPRODUCT(($D$10:$L$10&lt;&gt;"")*(($D$10:$L$10-($D$9:$L$9+INT(($S$12:$AA$12+INDEX($AJ$13:$AR$162,BN4710,0)+INDEX($AT$13:$BB$162,BO4710,0)+INDEX($BD$13:$BL$162,BP4710,0))/100)))&gt;0)*($D$10:$L$10-($D$9:$L$9+INT(($S$12:$AA$12+INDEX($AJ$13:$AR$162,BN4710,0)+INDEX($AT$13:$BB$162,BO4710,0)+INDEX($BD$13:$BL$162,BP4710,0))/100)))),0)</f>
        <v/>
      </c>
      <c r="BS4710">
        <f>IF(4697&lt;$U$9,SUMPRODUCT(($D$9:$L$9+INT(($S$12:$AA$12+INDEX($AJ$13:$AR$162,BN4710,0)+INDEX($AT$13:$BB$162,BO4710,0)+INDEX($BD$13:$BL$162,BP4710,0))/100))),0)</f>
        <v/>
      </c>
      <c r="BT4710">
        <f>IF(AND(4697&lt;$U$9,$W$5),BQ4710*1000000-MIN(BR4710,999)*1000+BS4710-4697/100000,-1000000000-4697)</f>
        <v/>
      </c>
    </row>
    <row r="4711">
      <c r="BN4711">
        <f>IF(4698&lt;$U$9,INT(4698/($U$7*$U$8))+1,1)</f>
        <v/>
      </c>
      <c r="BO4711">
        <f>IF(4698&lt;$U$9,MOD(INT(4698/$U$8),$U$7)+1,1)</f>
        <v/>
      </c>
      <c r="BP4711">
        <f>IF(4698&lt;$U$9,MOD(4698,$U$8)+1,1)</f>
        <v/>
      </c>
      <c r="BQ4711">
        <f>IF(4698&lt;$U$9,SUMPRODUCT(($D$10:$L$10&lt;&gt;"")*(($D$9:$L$9+INT(($S$12:$AA$12+INDEX($AJ$13:$AR$162,BN4711,0)+INDEX($AT$13:$BB$162,BO4711,0)+INDEX($BD$13:$BL$162,BP4711,0))/100))&gt;=$D$10:$L$10)),0)</f>
        <v/>
      </c>
      <c r="BR4711">
        <f>IF(4698&lt;$U$9,SUMPRODUCT(($D$10:$L$10&lt;&gt;"")*(($D$10:$L$10-($D$9:$L$9+INT(($S$12:$AA$12+INDEX($AJ$13:$AR$162,BN4711,0)+INDEX($AT$13:$BB$162,BO4711,0)+INDEX($BD$13:$BL$162,BP4711,0))/100)))&gt;0)*($D$10:$L$10-($D$9:$L$9+INT(($S$12:$AA$12+INDEX($AJ$13:$AR$162,BN4711,0)+INDEX($AT$13:$BB$162,BO4711,0)+INDEX($BD$13:$BL$162,BP4711,0))/100)))),0)</f>
        <v/>
      </c>
      <c r="BS4711">
        <f>IF(4698&lt;$U$9,SUMPRODUCT(($D$9:$L$9+INT(($S$12:$AA$12+INDEX($AJ$13:$AR$162,BN4711,0)+INDEX($AT$13:$BB$162,BO4711,0)+INDEX($BD$13:$BL$162,BP4711,0))/100))),0)</f>
        <v/>
      </c>
      <c r="BT4711">
        <f>IF(AND(4698&lt;$U$9,$W$5),BQ4711*1000000-MIN(BR4711,999)*1000+BS4711-4698/100000,-1000000000-4698)</f>
        <v/>
      </c>
    </row>
    <row r="4712">
      <c r="BN4712">
        <f>IF(4699&lt;$U$9,INT(4699/($U$7*$U$8))+1,1)</f>
        <v/>
      </c>
      <c r="BO4712">
        <f>IF(4699&lt;$U$9,MOD(INT(4699/$U$8),$U$7)+1,1)</f>
        <v/>
      </c>
      <c r="BP4712">
        <f>IF(4699&lt;$U$9,MOD(4699,$U$8)+1,1)</f>
        <v/>
      </c>
      <c r="BQ4712">
        <f>IF(4699&lt;$U$9,SUMPRODUCT(($D$10:$L$10&lt;&gt;"")*(($D$9:$L$9+INT(($S$12:$AA$12+INDEX($AJ$13:$AR$162,BN4712,0)+INDEX($AT$13:$BB$162,BO4712,0)+INDEX($BD$13:$BL$162,BP4712,0))/100))&gt;=$D$10:$L$10)),0)</f>
        <v/>
      </c>
      <c r="BR4712">
        <f>IF(4699&lt;$U$9,SUMPRODUCT(($D$10:$L$10&lt;&gt;"")*(($D$10:$L$10-($D$9:$L$9+INT(($S$12:$AA$12+INDEX($AJ$13:$AR$162,BN4712,0)+INDEX($AT$13:$BB$162,BO4712,0)+INDEX($BD$13:$BL$162,BP4712,0))/100)))&gt;0)*($D$10:$L$10-($D$9:$L$9+INT(($S$12:$AA$12+INDEX($AJ$13:$AR$162,BN4712,0)+INDEX($AT$13:$BB$162,BO4712,0)+INDEX($BD$13:$BL$162,BP4712,0))/100)))),0)</f>
        <v/>
      </c>
      <c r="BS4712">
        <f>IF(4699&lt;$U$9,SUMPRODUCT(($D$9:$L$9+INT(($S$12:$AA$12+INDEX($AJ$13:$AR$162,BN4712,0)+INDEX($AT$13:$BB$162,BO4712,0)+INDEX($BD$13:$BL$162,BP4712,0))/100))),0)</f>
        <v/>
      </c>
      <c r="BT4712">
        <f>IF(AND(4699&lt;$U$9,$W$5),BQ4712*1000000-MIN(BR4712,999)*1000+BS4712-4699/100000,-1000000000-4699)</f>
        <v/>
      </c>
    </row>
    <row r="4713">
      <c r="BN4713">
        <f>IF(4700&lt;$U$9,INT(4700/($U$7*$U$8))+1,1)</f>
        <v/>
      </c>
      <c r="BO4713">
        <f>IF(4700&lt;$U$9,MOD(INT(4700/$U$8),$U$7)+1,1)</f>
        <v/>
      </c>
      <c r="BP4713">
        <f>IF(4700&lt;$U$9,MOD(4700,$U$8)+1,1)</f>
        <v/>
      </c>
      <c r="BQ4713">
        <f>IF(4700&lt;$U$9,SUMPRODUCT(($D$10:$L$10&lt;&gt;"")*(($D$9:$L$9+INT(($S$12:$AA$12+INDEX($AJ$13:$AR$162,BN4713,0)+INDEX($AT$13:$BB$162,BO4713,0)+INDEX($BD$13:$BL$162,BP4713,0))/100))&gt;=$D$10:$L$10)),0)</f>
        <v/>
      </c>
      <c r="BR4713">
        <f>IF(4700&lt;$U$9,SUMPRODUCT(($D$10:$L$10&lt;&gt;"")*(($D$10:$L$10-($D$9:$L$9+INT(($S$12:$AA$12+INDEX($AJ$13:$AR$162,BN4713,0)+INDEX($AT$13:$BB$162,BO4713,0)+INDEX($BD$13:$BL$162,BP4713,0))/100)))&gt;0)*($D$10:$L$10-($D$9:$L$9+INT(($S$12:$AA$12+INDEX($AJ$13:$AR$162,BN4713,0)+INDEX($AT$13:$BB$162,BO4713,0)+INDEX($BD$13:$BL$162,BP4713,0))/100)))),0)</f>
        <v/>
      </c>
      <c r="BS4713">
        <f>IF(4700&lt;$U$9,SUMPRODUCT(($D$9:$L$9+INT(($S$12:$AA$12+INDEX($AJ$13:$AR$162,BN4713,0)+INDEX($AT$13:$BB$162,BO4713,0)+INDEX($BD$13:$BL$162,BP4713,0))/100))),0)</f>
        <v/>
      </c>
      <c r="BT4713">
        <f>IF(AND(4700&lt;$U$9,$W$5),BQ4713*1000000-MIN(BR4713,999)*1000+BS4713-4700/100000,-1000000000-4700)</f>
        <v/>
      </c>
    </row>
    <row r="4714">
      <c r="BN4714">
        <f>IF(4701&lt;$U$9,INT(4701/($U$7*$U$8))+1,1)</f>
        <v/>
      </c>
      <c r="BO4714">
        <f>IF(4701&lt;$U$9,MOD(INT(4701/$U$8),$U$7)+1,1)</f>
        <v/>
      </c>
      <c r="BP4714">
        <f>IF(4701&lt;$U$9,MOD(4701,$U$8)+1,1)</f>
        <v/>
      </c>
      <c r="BQ4714">
        <f>IF(4701&lt;$U$9,SUMPRODUCT(($D$10:$L$10&lt;&gt;"")*(($D$9:$L$9+INT(($S$12:$AA$12+INDEX($AJ$13:$AR$162,BN4714,0)+INDEX($AT$13:$BB$162,BO4714,0)+INDEX($BD$13:$BL$162,BP4714,0))/100))&gt;=$D$10:$L$10)),0)</f>
        <v/>
      </c>
      <c r="BR4714">
        <f>IF(4701&lt;$U$9,SUMPRODUCT(($D$10:$L$10&lt;&gt;"")*(($D$10:$L$10-($D$9:$L$9+INT(($S$12:$AA$12+INDEX($AJ$13:$AR$162,BN4714,0)+INDEX($AT$13:$BB$162,BO4714,0)+INDEX($BD$13:$BL$162,BP4714,0))/100)))&gt;0)*($D$10:$L$10-($D$9:$L$9+INT(($S$12:$AA$12+INDEX($AJ$13:$AR$162,BN4714,0)+INDEX($AT$13:$BB$162,BO4714,0)+INDEX($BD$13:$BL$162,BP4714,0))/100)))),0)</f>
        <v/>
      </c>
      <c r="BS4714">
        <f>IF(4701&lt;$U$9,SUMPRODUCT(($D$9:$L$9+INT(($S$12:$AA$12+INDEX($AJ$13:$AR$162,BN4714,0)+INDEX($AT$13:$BB$162,BO4714,0)+INDEX($BD$13:$BL$162,BP4714,0))/100))),0)</f>
        <v/>
      </c>
      <c r="BT4714">
        <f>IF(AND(4701&lt;$U$9,$W$5),BQ4714*1000000-MIN(BR4714,999)*1000+BS4714-4701/100000,-1000000000-4701)</f>
        <v/>
      </c>
    </row>
    <row r="4715">
      <c r="BN4715">
        <f>IF(4702&lt;$U$9,INT(4702/($U$7*$U$8))+1,1)</f>
        <v/>
      </c>
      <c r="BO4715">
        <f>IF(4702&lt;$U$9,MOD(INT(4702/$U$8),$U$7)+1,1)</f>
        <v/>
      </c>
      <c r="BP4715">
        <f>IF(4702&lt;$U$9,MOD(4702,$U$8)+1,1)</f>
        <v/>
      </c>
      <c r="BQ4715">
        <f>IF(4702&lt;$U$9,SUMPRODUCT(($D$10:$L$10&lt;&gt;"")*(($D$9:$L$9+INT(($S$12:$AA$12+INDEX($AJ$13:$AR$162,BN4715,0)+INDEX($AT$13:$BB$162,BO4715,0)+INDEX($BD$13:$BL$162,BP4715,0))/100))&gt;=$D$10:$L$10)),0)</f>
        <v/>
      </c>
      <c r="BR4715">
        <f>IF(4702&lt;$U$9,SUMPRODUCT(($D$10:$L$10&lt;&gt;"")*(($D$10:$L$10-($D$9:$L$9+INT(($S$12:$AA$12+INDEX($AJ$13:$AR$162,BN4715,0)+INDEX($AT$13:$BB$162,BO4715,0)+INDEX($BD$13:$BL$162,BP4715,0))/100)))&gt;0)*($D$10:$L$10-($D$9:$L$9+INT(($S$12:$AA$12+INDEX($AJ$13:$AR$162,BN4715,0)+INDEX($AT$13:$BB$162,BO4715,0)+INDEX($BD$13:$BL$162,BP4715,0))/100)))),0)</f>
        <v/>
      </c>
      <c r="BS4715">
        <f>IF(4702&lt;$U$9,SUMPRODUCT(($D$9:$L$9+INT(($S$12:$AA$12+INDEX($AJ$13:$AR$162,BN4715,0)+INDEX($AT$13:$BB$162,BO4715,0)+INDEX($BD$13:$BL$162,BP4715,0))/100))),0)</f>
        <v/>
      </c>
      <c r="BT4715">
        <f>IF(AND(4702&lt;$U$9,$W$5),BQ4715*1000000-MIN(BR4715,999)*1000+BS4715-4702/100000,-1000000000-4702)</f>
        <v/>
      </c>
    </row>
    <row r="4716">
      <c r="BN4716">
        <f>IF(4703&lt;$U$9,INT(4703/($U$7*$U$8))+1,1)</f>
        <v/>
      </c>
      <c r="BO4716">
        <f>IF(4703&lt;$U$9,MOD(INT(4703/$U$8),$U$7)+1,1)</f>
        <v/>
      </c>
      <c r="BP4716">
        <f>IF(4703&lt;$U$9,MOD(4703,$U$8)+1,1)</f>
        <v/>
      </c>
      <c r="BQ4716">
        <f>IF(4703&lt;$U$9,SUMPRODUCT(($D$10:$L$10&lt;&gt;"")*(($D$9:$L$9+INT(($S$12:$AA$12+INDEX($AJ$13:$AR$162,BN4716,0)+INDEX($AT$13:$BB$162,BO4716,0)+INDEX($BD$13:$BL$162,BP4716,0))/100))&gt;=$D$10:$L$10)),0)</f>
        <v/>
      </c>
      <c r="BR4716">
        <f>IF(4703&lt;$U$9,SUMPRODUCT(($D$10:$L$10&lt;&gt;"")*(($D$10:$L$10-($D$9:$L$9+INT(($S$12:$AA$12+INDEX($AJ$13:$AR$162,BN4716,0)+INDEX($AT$13:$BB$162,BO4716,0)+INDEX($BD$13:$BL$162,BP4716,0))/100)))&gt;0)*($D$10:$L$10-($D$9:$L$9+INT(($S$12:$AA$12+INDEX($AJ$13:$AR$162,BN4716,0)+INDEX($AT$13:$BB$162,BO4716,0)+INDEX($BD$13:$BL$162,BP4716,0))/100)))),0)</f>
        <v/>
      </c>
      <c r="BS4716">
        <f>IF(4703&lt;$U$9,SUMPRODUCT(($D$9:$L$9+INT(($S$12:$AA$12+INDEX($AJ$13:$AR$162,BN4716,0)+INDEX($AT$13:$BB$162,BO4716,0)+INDEX($BD$13:$BL$162,BP4716,0))/100))),0)</f>
        <v/>
      </c>
      <c r="BT4716">
        <f>IF(AND(4703&lt;$U$9,$W$5),BQ4716*1000000-MIN(BR4716,999)*1000+BS4716-4703/100000,-1000000000-4703)</f>
        <v/>
      </c>
    </row>
    <row r="4717">
      <c r="BN4717">
        <f>IF(4704&lt;$U$9,INT(4704/($U$7*$U$8))+1,1)</f>
        <v/>
      </c>
      <c r="BO4717">
        <f>IF(4704&lt;$U$9,MOD(INT(4704/$U$8),$U$7)+1,1)</f>
        <v/>
      </c>
      <c r="BP4717">
        <f>IF(4704&lt;$U$9,MOD(4704,$U$8)+1,1)</f>
        <v/>
      </c>
      <c r="BQ4717">
        <f>IF(4704&lt;$U$9,SUMPRODUCT(($D$10:$L$10&lt;&gt;"")*(($D$9:$L$9+INT(($S$12:$AA$12+INDEX($AJ$13:$AR$162,BN4717,0)+INDEX($AT$13:$BB$162,BO4717,0)+INDEX($BD$13:$BL$162,BP4717,0))/100))&gt;=$D$10:$L$10)),0)</f>
        <v/>
      </c>
      <c r="BR4717">
        <f>IF(4704&lt;$U$9,SUMPRODUCT(($D$10:$L$10&lt;&gt;"")*(($D$10:$L$10-($D$9:$L$9+INT(($S$12:$AA$12+INDEX($AJ$13:$AR$162,BN4717,0)+INDEX($AT$13:$BB$162,BO4717,0)+INDEX($BD$13:$BL$162,BP4717,0))/100)))&gt;0)*($D$10:$L$10-($D$9:$L$9+INT(($S$12:$AA$12+INDEX($AJ$13:$AR$162,BN4717,0)+INDEX($AT$13:$BB$162,BO4717,0)+INDEX($BD$13:$BL$162,BP4717,0))/100)))),0)</f>
        <v/>
      </c>
      <c r="BS4717">
        <f>IF(4704&lt;$U$9,SUMPRODUCT(($D$9:$L$9+INT(($S$12:$AA$12+INDEX($AJ$13:$AR$162,BN4717,0)+INDEX($AT$13:$BB$162,BO4717,0)+INDEX($BD$13:$BL$162,BP4717,0))/100))),0)</f>
        <v/>
      </c>
      <c r="BT4717">
        <f>IF(AND(4704&lt;$U$9,$W$5),BQ4717*1000000-MIN(BR4717,999)*1000+BS4717-4704/100000,-1000000000-4704)</f>
        <v/>
      </c>
    </row>
    <row r="4718">
      <c r="BN4718">
        <f>IF(4705&lt;$U$9,INT(4705/($U$7*$U$8))+1,1)</f>
        <v/>
      </c>
      <c r="BO4718">
        <f>IF(4705&lt;$U$9,MOD(INT(4705/$U$8),$U$7)+1,1)</f>
        <v/>
      </c>
      <c r="BP4718">
        <f>IF(4705&lt;$U$9,MOD(4705,$U$8)+1,1)</f>
        <v/>
      </c>
      <c r="BQ4718">
        <f>IF(4705&lt;$U$9,SUMPRODUCT(($D$10:$L$10&lt;&gt;"")*(($D$9:$L$9+INT(($S$12:$AA$12+INDEX($AJ$13:$AR$162,BN4718,0)+INDEX($AT$13:$BB$162,BO4718,0)+INDEX($BD$13:$BL$162,BP4718,0))/100))&gt;=$D$10:$L$10)),0)</f>
        <v/>
      </c>
      <c r="BR4718">
        <f>IF(4705&lt;$U$9,SUMPRODUCT(($D$10:$L$10&lt;&gt;"")*(($D$10:$L$10-($D$9:$L$9+INT(($S$12:$AA$12+INDEX($AJ$13:$AR$162,BN4718,0)+INDEX($AT$13:$BB$162,BO4718,0)+INDEX($BD$13:$BL$162,BP4718,0))/100)))&gt;0)*($D$10:$L$10-($D$9:$L$9+INT(($S$12:$AA$12+INDEX($AJ$13:$AR$162,BN4718,0)+INDEX($AT$13:$BB$162,BO4718,0)+INDEX($BD$13:$BL$162,BP4718,0))/100)))),0)</f>
        <v/>
      </c>
      <c r="BS4718">
        <f>IF(4705&lt;$U$9,SUMPRODUCT(($D$9:$L$9+INT(($S$12:$AA$12+INDEX($AJ$13:$AR$162,BN4718,0)+INDEX($AT$13:$BB$162,BO4718,0)+INDEX($BD$13:$BL$162,BP4718,0))/100))),0)</f>
        <v/>
      </c>
      <c r="BT4718">
        <f>IF(AND(4705&lt;$U$9,$W$5),BQ4718*1000000-MIN(BR4718,999)*1000+BS4718-4705/100000,-1000000000-4705)</f>
        <v/>
      </c>
    </row>
    <row r="4719">
      <c r="BN4719">
        <f>IF(4706&lt;$U$9,INT(4706/($U$7*$U$8))+1,1)</f>
        <v/>
      </c>
      <c r="BO4719">
        <f>IF(4706&lt;$U$9,MOD(INT(4706/$U$8),$U$7)+1,1)</f>
        <v/>
      </c>
      <c r="BP4719">
        <f>IF(4706&lt;$U$9,MOD(4706,$U$8)+1,1)</f>
        <v/>
      </c>
      <c r="BQ4719">
        <f>IF(4706&lt;$U$9,SUMPRODUCT(($D$10:$L$10&lt;&gt;"")*(($D$9:$L$9+INT(($S$12:$AA$12+INDEX($AJ$13:$AR$162,BN4719,0)+INDEX($AT$13:$BB$162,BO4719,0)+INDEX($BD$13:$BL$162,BP4719,0))/100))&gt;=$D$10:$L$10)),0)</f>
        <v/>
      </c>
      <c r="BR4719">
        <f>IF(4706&lt;$U$9,SUMPRODUCT(($D$10:$L$10&lt;&gt;"")*(($D$10:$L$10-($D$9:$L$9+INT(($S$12:$AA$12+INDEX($AJ$13:$AR$162,BN4719,0)+INDEX($AT$13:$BB$162,BO4719,0)+INDEX($BD$13:$BL$162,BP4719,0))/100)))&gt;0)*($D$10:$L$10-($D$9:$L$9+INT(($S$12:$AA$12+INDEX($AJ$13:$AR$162,BN4719,0)+INDEX($AT$13:$BB$162,BO4719,0)+INDEX($BD$13:$BL$162,BP4719,0))/100)))),0)</f>
        <v/>
      </c>
      <c r="BS4719">
        <f>IF(4706&lt;$U$9,SUMPRODUCT(($D$9:$L$9+INT(($S$12:$AA$12+INDEX($AJ$13:$AR$162,BN4719,0)+INDEX($AT$13:$BB$162,BO4719,0)+INDEX($BD$13:$BL$162,BP4719,0))/100))),0)</f>
        <v/>
      </c>
      <c r="BT4719">
        <f>IF(AND(4706&lt;$U$9,$W$5),BQ4719*1000000-MIN(BR4719,999)*1000+BS4719-4706/100000,-1000000000-4706)</f>
        <v/>
      </c>
    </row>
    <row r="4720">
      <c r="BN4720">
        <f>IF(4707&lt;$U$9,INT(4707/($U$7*$U$8))+1,1)</f>
        <v/>
      </c>
      <c r="BO4720">
        <f>IF(4707&lt;$U$9,MOD(INT(4707/$U$8),$U$7)+1,1)</f>
        <v/>
      </c>
      <c r="BP4720">
        <f>IF(4707&lt;$U$9,MOD(4707,$U$8)+1,1)</f>
        <v/>
      </c>
      <c r="BQ4720">
        <f>IF(4707&lt;$U$9,SUMPRODUCT(($D$10:$L$10&lt;&gt;"")*(($D$9:$L$9+INT(($S$12:$AA$12+INDEX($AJ$13:$AR$162,BN4720,0)+INDEX($AT$13:$BB$162,BO4720,0)+INDEX($BD$13:$BL$162,BP4720,0))/100))&gt;=$D$10:$L$10)),0)</f>
        <v/>
      </c>
      <c r="BR4720">
        <f>IF(4707&lt;$U$9,SUMPRODUCT(($D$10:$L$10&lt;&gt;"")*(($D$10:$L$10-($D$9:$L$9+INT(($S$12:$AA$12+INDEX($AJ$13:$AR$162,BN4720,0)+INDEX($AT$13:$BB$162,BO4720,0)+INDEX($BD$13:$BL$162,BP4720,0))/100)))&gt;0)*($D$10:$L$10-($D$9:$L$9+INT(($S$12:$AA$12+INDEX($AJ$13:$AR$162,BN4720,0)+INDEX($AT$13:$BB$162,BO4720,0)+INDEX($BD$13:$BL$162,BP4720,0))/100)))),0)</f>
        <v/>
      </c>
      <c r="BS4720">
        <f>IF(4707&lt;$U$9,SUMPRODUCT(($D$9:$L$9+INT(($S$12:$AA$12+INDEX($AJ$13:$AR$162,BN4720,0)+INDEX($AT$13:$BB$162,BO4720,0)+INDEX($BD$13:$BL$162,BP4720,0))/100))),0)</f>
        <v/>
      </c>
      <c r="BT4720">
        <f>IF(AND(4707&lt;$U$9,$W$5),BQ4720*1000000-MIN(BR4720,999)*1000+BS4720-4707/100000,-1000000000-4707)</f>
        <v/>
      </c>
    </row>
    <row r="4721">
      <c r="BN4721">
        <f>IF(4708&lt;$U$9,INT(4708/($U$7*$U$8))+1,1)</f>
        <v/>
      </c>
      <c r="BO4721">
        <f>IF(4708&lt;$U$9,MOD(INT(4708/$U$8),$U$7)+1,1)</f>
        <v/>
      </c>
      <c r="BP4721">
        <f>IF(4708&lt;$U$9,MOD(4708,$U$8)+1,1)</f>
        <v/>
      </c>
      <c r="BQ4721">
        <f>IF(4708&lt;$U$9,SUMPRODUCT(($D$10:$L$10&lt;&gt;"")*(($D$9:$L$9+INT(($S$12:$AA$12+INDEX($AJ$13:$AR$162,BN4721,0)+INDEX($AT$13:$BB$162,BO4721,0)+INDEX($BD$13:$BL$162,BP4721,0))/100))&gt;=$D$10:$L$10)),0)</f>
        <v/>
      </c>
      <c r="BR4721">
        <f>IF(4708&lt;$U$9,SUMPRODUCT(($D$10:$L$10&lt;&gt;"")*(($D$10:$L$10-($D$9:$L$9+INT(($S$12:$AA$12+INDEX($AJ$13:$AR$162,BN4721,0)+INDEX($AT$13:$BB$162,BO4721,0)+INDEX($BD$13:$BL$162,BP4721,0))/100)))&gt;0)*($D$10:$L$10-($D$9:$L$9+INT(($S$12:$AA$12+INDEX($AJ$13:$AR$162,BN4721,0)+INDEX($AT$13:$BB$162,BO4721,0)+INDEX($BD$13:$BL$162,BP4721,0))/100)))),0)</f>
        <v/>
      </c>
      <c r="BS4721">
        <f>IF(4708&lt;$U$9,SUMPRODUCT(($D$9:$L$9+INT(($S$12:$AA$12+INDEX($AJ$13:$AR$162,BN4721,0)+INDEX($AT$13:$BB$162,BO4721,0)+INDEX($BD$13:$BL$162,BP4721,0))/100))),0)</f>
        <v/>
      </c>
      <c r="BT4721">
        <f>IF(AND(4708&lt;$U$9,$W$5),BQ4721*1000000-MIN(BR4721,999)*1000+BS4721-4708/100000,-1000000000-4708)</f>
        <v/>
      </c>
    </row>
    <row r="4722">
      <c r="BN4722">
        <f>IF(4709&lt;$U$9,INT(4709/($U$7*$U$8))+1,1)</f>
        <v/>
      </c>
      <c r="BO4722">
        <f>IF(4709&lt;$U$9,MOD(INT(4709/$U$8),$U$7)+1,1)</f>
        <v/>
      </c>
      <c r="BP4722">
        <f>IF(4709&lt;$U$9,MOD(4709,$U$8)+1,1)</f>
        <v/>
      </c>
      <c r="BQ4722">
        <f>IF(4709&lt;$U$9,SUMPRODUCT(($D$10:$L$10&lt;&gt;"")*(($D$9:$L$9+INT(($S$12:$AA$12+INDEX($AJ$13:$AR$162,BN4722,0)+INDEX($AT$13:$BB$162,BO4722,0)+INDEX($BD$13:$BL$162,BP4722,0))/100))&gt;=$D$10:$L$10)),0)</f>
        <v/>
      </c>
      <c r="BR4722">
        <f>IF(4709&lt;$U$9,SUMPRODUCT(($D$10:$L$10&lt;&gt;"")*(($D$10:$L$10-($D$9:$L$9+INT(($S$12:$AA$12+INDEX($AJ$13:$AR$162,BN4722,0)+INDEX($AT$13:$BB$162,BO4722,0)+INDEX($BD$13:$BL$162,BP4722,0))/100)))&gt;0)*($D$10:$L$10-($D$9:$L$9+INT(($S$12:$AA$12+INDEX($AJ$13:$AR$162,BN4722,0)+INDEX($AT$13:$BB$162,BO4722,0)+INDEX($BD$13:$BL$162,BP4722,0))/100)))),0)</f>
        <v/>
      </c>
      <c r="BS4722">
        <f>IF(4709&lt;$U$9,SUMPRODUCT(($D$9:$L$9+INT(($S$12:$AA$12+INDEX($AJ$13:$AR$162,BN4722,0)+INDEX($AT$13:$BB$162,BO4722,0)+INDEX($BD$13:$BL$162,BP4722,0))/100))),0)</f>
        <v/>
      </c>
      <c r="BT4722">
        <f>IF(AND(4709&lt;$U$9,$W$5),BQ4722*1000000-MIN(BR4722,999)*1000+BS4722-4709/100000,-1000000000-4709)</f>
        <v/>
      </c>
    </row>
    <row r="4723">
      <c r="BN4723">
        <f>IF(4710&lt;$U$9,INT(4710/($U$7*$U$8))+1,1)</f>
        <v/>
      </c>
      <c r="BO4723">
        <f>IF(4710&lt;$U$9,MOD(INT(4710/$U$8),$U$7)+1,1)</f>
        <v/>
      </c>
      <c r="BP4723">
        <f>IF(4710&lt;$U$9,MOD(4710,$U$8)+1,1)</f>
        <v/>
      </c>
      <c r="BQ4723">
        <f>IF(4710&lt;$U$9,SUMPRODUCT(($D$10:$L$10&lt;&gt;"")*(($D$9:$L$9+INT(($S$12:$AA$12+INDEX($AJ$13:$AR$162,BN4723,0)+INDEX($AT$13:$BB$162,BO4723,0)+INDEX($BD$13:$BL$162,BP4723,0))/100))&gt;=$D$10:$L$10)),0)</f>
        <v/>
      </c>
      <c r="BR4723">
        <f>IF(4710&lt;$U$9,SUMPRODUCT(($D$10:$L$10&lt;&gt;"")*(($D$10:$L$10-($D$9:$L$9+INT(($S$12:$AA$12+INDEX($AJ$13:$AR$162,BN4723,0)+INDEX($AT$13:$BB$162,BO4723,0)+INDEX($BD$13:$BL$162,BP4723,0))/100)))&gt;0)*($D$10:$L$10-($D$9:$L$9+INT(($S$12:$AA$12+INDEX($AJ$13:$AR$162,BN4723,0)+INDEX($AT$13:$BB$162,BO4723,0)+INDEX($BD$13:$BL$162,BP4723,0))/100)))),0)</f>
        <v/>
      </c>
      <c r="BS4723">
        <f>IF(4710&lt;$U$9,SUMPRODUCT(($D$9:$L$9+INT(($S$12:$AA$12+INDEX($AJ$13:$AR$162,BN4723,0)+INDEX($AT$13:$BB$162,BO4723,0)+INDEX($BD$13:$BL$162,BP4723,0))/100))),0)</f>
        <v/>
      </c>
      <c r="BT4723">
        <f>IF(AND(4710&lt;$U$9,$W$5),BQ4723*1000000-MIN(BR4723,999)*1000+BS4723-4710/100000,-1000000000-4710)</f>
        <v/>
      </c>
    </row>
    <row r="4724">
      <c r="BN4724">
        <f>IF(4711&lt;$U$9,INT(4711/($U$7*$U$8))+1,1)</f>
        <v/>
      </c>
      <c r="BO4724">
        <f>IF(4711&lt;$U$9,MOD(INT(4711/$U$8),$U$7)+1,1)</f>
        <v/>
      </c>
      <c r="BP4724">
        <f>IF(4711&lt;$U$9,MOD(4711,$U$8)+1,1)</f>
        <v/>
      </c>
      <c r="BQ4724">
        <f>IF(4711&lt;$U$9,SUMPRODUCT(($D$10:$L$10&lt;&gt;"")*(($D$9:$L$9+INT(($S$12:$AA$12+INDEX($AJ$13:$AR$162,BN4724,0)+INDEX($AT$13:$BB$162,BO4724,0)+INDEX($BD$13:$BL$162,BP4724,0))/100))&gt;=$D$10:$L$10)),0)</f>
        <v/>
      </c>
      <c r="BR4724">
        <f>IF(4711&lt;$U$9,SUMPRODUCT(($D$10:$L$10&lt;&gt;"")*(($D$10:$L$10-($D$9:$L$9+INT(($S$12:$AA$12+INDEX($AJ$13:$AR$162,BN4724,0)+INDEX($AT$13:$BB$162,BO4724,0)+INDEX($BD$13:$BL$162,BP4724,0))/100)))&gt;0)*($D$10:$L$10-($D$9:$L$9+INT(($S$12:$AA$12+INDEX($AJ$13:$AR$162,BN4724,0)+INDEX($AT$13:$BB$162,BO4724,0)+INDEX($BD$13:$BL$162,BP4724,0))/100)))),0)</f>
        <v/>
      </c>
      <c r="BS4724">
        <f>IF(4711&lt;$U$9,SUMPRODUCT(($D$9:$L$9+INT(($S$12:$AA$12+INDEX($AJ$13:$AR$162,BN4724,0)+INDEX($AT$13:$BB$162,BO4724,0)+INDEX($BD$13:$BL$162,BP4724,0))/100))),0)</f>
        <v/>
      </c>
      <c r="BT4724">
        <f>IF(AND(4711&lt;$U$9,$W$5),BQ4724*1000000-MIN(BR4724,999)*1000+BS4724-4711/100000,-1000000000-4711)</f>
        <v/>
      </c>
    </row>
    <row r="4725">
      <c r="BN4725">
        <f>IF(4712&lt;$U$9,INT(4712/($U$7*$U$8))+1,1)</f>
        <v/>
      </c>
      <c r="BO4725">
        <f>IF(4712&lt;$U$9,MOD(INT(4712/$U$8),$U$7)+1,1)</f>
        <v/>
      </c>
      <c r="BP4725">
        <f>IF(4712&lt;$U$9,MOD(4712,$U$8)+1,1)</f>
        <v/>
      </c>
      <c r="BQ4725">
        <f>IF(4712&lt;$U$9,SUMPRODUCT(($D$10:$L$10&lt;&gt;"")*(($D$9:$L$9+INT(($S$12:$AA$12+INDEX($AJ$13:$AR$162,BN4725,0)+INDEX($AT$13:$BB$162,BO4725,0)+INDEX($BD$13:$BL$162,BP4725,0))/100))&gt;=$D$10:$L$10)),0)</f>
        <v/>
      </c>
      <c r="BR4725">
        <f>IF(4712&lt;$U$9,SUMPRODUCT(($D$10:$L$10&lt;&gt;"")*(($D$10:$L$10-($D$9:$L$9+INT(($S$12:$AA$12+INDEX($AJ$13:$AR$162,BN4725,0)+INDEX($AT$13:$BB$162,BO4725,0)+INDEX($BD$13:$BL$162,BP4725,0))/100)))&gt;0)*($D$10:$L$10-($D$9:$L$9+INT(($S$12:$AA$12+INDEX($AJ$13:$AR$162,BN4725,0)+INDEX($AT$13:$BB$162,BO4725,0)+INDEX($BD$13:$BL$162,BP4725,0))/100)))),0)</f>
        <v/>
      </c>
      <c r="BS4725">
        <f>IF(4712&lt;$U$9,SUMPRODUCT(($D$9:$L$9+INT(($S$12:$AA$12+INDEX($AJ$13:$AR$162,BN4725,0)+INDEX($AT$13:$BB$162,BO4725,0)+INDEX($BD$13:$BL$162,BP4725,0))/100))),0)</f>
        <v/>
      </c>
      <c r="BT4725">
        <f>IF(AND(4712&lt;$U$9,$W$5),BQ4725*1000000-MIN(BR4725,999)*1000+BS4725-4712/100000,-1000000000-4712)</f>
        <v/>
      </c>
    </row>
    <row r="4726">
      <c r="BN4726">
        <f>IF(4713&lt;$U$9,INT(4713/($U$7*$U$8))+1,1)</f>
        <v/>
      </c>
      <c r="BO4726">
        <f>IF(4713&lt;$U$9,MOD(INT(4713/$U$8),$U$7)+1,1)</f>
        <v/>
      </c>
      <c r="BP4726">
        <f>IF(4713&lt;$U$9,MOD(4713,$U$8)+1,1)</f>
        <v/>
      </c>
      <c r="BQ4726">
        <f>IF(4713&lt;$U$9,SUMPRODUCT(($D$10:$L$10&lt;&gt;"")*(($D$9:$L$9+INT(($S$12:$AA$12+INDEX($AJ$13:$AR$162,BN4726,0)+INDEX($AT$13:$BB$162,BO4726,0)+INDEX($BD$13:$BL$162,BP4726,0))/100))&gt;=$D$10:$L$10)),0)</f>
        <v/>
      </c>
      <c r="BR4726">
        <f>IF(4713&lt;$U$9,SUMPRODUCT(($D$10:$L$10&lt;&gt;"")*(($D$10:$L$10-($D$9:$L$9+INT(($S$12:$AA$12+INDEX($AJ$13:$AR$162,BN4726,0)+INDEX($AT$13:$BB$162,BO4726,0)+INDEX($BD$13:$BL$162,BP4726,0))/100)))&gt;0)*($D$10:$L$10-($D$9:$L$9+INT(($S$12:$AA$12+INDEX($AJ$13:$AR$162,BN4726,0)+INDEX($AT$13:$BB$162,BO4726,0)+INDEX($BD$13:$BL$162,BP4726,0))/100)))),0)</f>
        <v/>
      </c>
      <c r="BS4726">
        <f>IF(4713&lt;$U$9,SUMPRODUCT(($D$9:$L$9+INT(($S$12:$AA$12+INDEX($AJ$13:$AR$162,BN4726,0)+INDEX($AT$13:$BB$162,BO4726,0)+INDEX($BD$13:$BL$162,BP4726,0))/100))),0)</f>
        <v/>
      </c>
      <c r="BT4726">
        <f>IF(AND(4713&lt;$U$9,$W$5),BQ4726*1000000-MIN(BR4726,999)*1000+BS4726-4713/100000,-1000000000-4713)</f>
        <v/>
      </c>
    </row>
    <row r="4727">
      <c r="BN4727">
        <f>IF(4714&lt;$U$9,INT(4714/($U$7*$U$8))+1,1)</f>
        <v/>
      </c>
      <c r="BO4727">
        <f>IF(4714&lt;$U$9,MOD(INT(4714/$U$8),$U$7)+1,1)</f>
        <v/>
      </c>
      <c r="BP4727">
        <f>IF(4714&lt;$U$9,MOD(4714,$U$8)+1,1)</f>
        <v/>
      </c>
      <c r="BQ4727">
        <f>IF(4714&lt;$U$9,SUMPRODUCT(($D$10:$L$10&lt;&gt;"")*(($D$9:$L$9+INT(($S$12:$AA$12+INDEX($AJ$13:$AR$162,BN4727,0)+INDEX($AT$13:$BB$162,BO4727,0)+INDEX($BD$13:$BL$162,BP4727,0))/100))&gt;=$D$10:$L$10)),0)</f>
        <v/>
      </c>
      <c r="BR4727">
        <f>IF(4714&lt;$U$9,SUMPRODUCT(($D$10:$L$10&lt;&gt;"")*(($D$10:$L$10-($D$9:$L$9+INT(($S$12:$AA$12+INDEX($AJ$13:$AR$162,BN4727,0)+INDEX($AT$13:$BB$162,BO4727,0)+INDEX($BD$13:$BL$162,BP4727,0))/100)))&gt;0)*($D$10:$L$10-($D$9:$L$9+INT(($S$12:$AA$12+INDEX($AJ$13:$AR$162,BN4727,0)+INDEX($AT$13:$BB$162,BO4727,0)+INDEX($BD$13:$BL$162,BP4727,0))/100)))),0)</f>
        <v/>
      </c>
      <c r="BS4727">
        <f>IF(4714&lt;$U$9,SUMPRODUCT(($D$9:$L$9+INT(($S$12:$AA$12+INDEX($AJ$13:$AR$162,BN4727,0)+INDEX($AT$13:$BB$162,BO4727,0)+INDEX($BD$13:$BL$162,BP4727,0))/100))),0)</f>
        <v/>
      </c>
      <c r="BT4727">
        <f>IF(AND(4714&lt;$U$9,$W$5),BQ4727*1000000-MIN(BR4727,999)*1000+BS4727-4714/100000,-1000000000-4714)</f>
        <v/>
      </c>
    </row>
    <row r="4728">
      <c r="BN4728">
        <f>IF(4715&lt;$U$9,INT(4715/($U$7*$U$8))+1,1)</f>
        <v/>
      </c>
      <c r="BO4728">
        <f>IF(4715&lt;$U$9,MOD(INT(4715/$U$8),$U$7)+1,1)</f>
        <v/>
      </c>
      <c r="BP4728">
        <f>IF(4715&lt;$U$9,MOD(4715,$U$8)+1,1)</f>
        <v/>
      </c>
      <c r="BQ4728">
        <f>IF(4715&lt;$U$9,SUMPRODUCT(($D$10:$L$10&lt;&gt;"")*(($D$9:$L$9+INT(($S$12:$AA$12+INDEX($AJ$13:$AR$162,BN4728,0)+INDEX($AT$13:$BB$162,BO4728,0)+INDEX($BD$13:$BL$162,BP4728,0))/100))&gt;=$D$10:$L$10)),0)</f>
        <v/>
      </c>
      <c r="BR4728">
        <f>IF(4715&lt;$U$9,SUMPRODUCT(($D$10:$L$10&lt;&gt;"")*(($D$10:$L$10-($D$9:$L$9+INT(($S$12:$AA$12+INDEX($AJ$13:$AR$162,BN4728,0)+INDEX($AT$13:$BB$162,BO4728,0)+INDEX($BD$13:$BL$162,BP4728,0))/100)))&gt;0)*($D$10:$L$10-($D$9:$L$9+INT(($S$12:$AA$12+INDEX($AJ$13:$AR$162,BN4728,0)+INDEX($AT$13:$BB$162,BO4728,0)+INDEX($BD$13:$BL$162,BP4728,0))/100)))),0)</f>
        <v/>
      </c>
      <c r="BS4728">
        <f>IF(4715&lt;$U$9,SUMPRODUCT(($D$9:$L$9+INT(($S$12:$AA$12+INDEX($AJ$13:$AR$162,BN4728,0)+INDEX($AT$13:$BB$162,BO4728,0)+INDEX($BD$13:$BL$162,BP4728,0))/100))),0)</f>
        <v/>
      </c>
      <c r="BT4728">
        <f>IF(AND(4715&lt;$U$9,$W$5),BQ4728*1000000-MIN(BR4728,999)*1000+BS4728-4715/100000,-1000000000-4715)</f>
        <v/>
      </c>
    </row>
    <row r="4729">
      <c r="BN4729">
        <f>IF(4716&lt;$U$9,INT(4716/($U$7*$U$8))+1,1)</f>
        <v/>
      </c>
      <c r="BO4729">
        <f>IF(4716&lt;$U$9,MOD(INT(4716/$U$8),$U$7)+1,1)</f>
        <v/>
      </c>
      <c r="BP4729">
        <f>IF(4716&lt;$U$9,MOD(4716,$U$8)+1,1)</f>
        <v/>
      </c>
      <c r="BQ4729">
        <f>IF(4716&lt;$U$9,SUMPRODUCT(($D$10:$L$10&lt;&gt;"")*(($D$9:$L$9+INT(($S$12:$AA$12+INDEX($AJ$13:$AR$162,BN4729,0)+INDEX($AT$13:$BB$162,BO4729,0)+INDEX($BD$13:$BL$162,BP4729,0))/100))&gt;=$D$10:$L$10)),0)</f>
        <v/>
      </c>
      <c r="BR4729">
        <f>IF(4716&lt;$U$9,SUMPRODUCT(($D$10:$L$10&lt;&gt;"")*(($D$10:$L$10-($D$9:$L$9+INT(($S$12:$AA$12+INDEX($AJ$13:$AR$162,BN4729,0)+INDEX($AT$13:$BB$162,BO4729,0)+INDEX($BD$13:$BL$162,BP4729,0))/100)))&gt;0)*($D$10:$L$10-($D$9:$L$9+INT(($S$12:$AA$12+INDEX($AJ$13:$AR$162,BN4729,0)+INDEX($AT$13:$BB$162,BO4729,0)+INDEX($BD$13:$BL$162,BP4729,0))/100)))),0)</f>
        <v/>
      </c>
      <c r="BS4729">
        <f>IF(4716&lt;$U$9,SUMPRODUCT(($D$9:$L$9+INT(($S$12:$AA$12+INDEX($AJ$13:$AR$162,BN4729,0)+INDEX($AT$13:$BB$162,BO4729,0)+INDEX($BD$13:$BL$162,BP4729,0))/100))),0)</f>
        <v/>
      </c>
      <c r="BT4729">
        <f>IF(AND(4716&lt;$U$9,$W$5),BQ4729*1000000-MIN(BR4729,999)*1000+BS4729-4716/100000,-1000000000-4716)</f>
        <v/>
      </c>
    </row>
    <row r="4730">
      <c r="BN4730">
        <f>IF(4717&lt;$U$9,INT(4717/($U$7*$U$8))+1,1)</f>
        <v/>
      </c>
      <c r="BO4730">
        <f>IF(4717&lt;$U$9,MOD(INT(4717/$U$8),$U$7)+1,1)</f>
        <v/>
      </c>
      <c r="BP4730">
        <f>IF(4717&lt;$U$9,MOD(4717,$U$8)+1,1)</f>
        <v/>
      </c>
      <c r="BQ4730">
        <f>IF(4717&lt;$U$9,SUMPRODUCT(($D$10:$L$10&lt;&gt;"")*(($D$9:$L$9+INT(($S$12:$AA$12+INDEX($AJ$13:$AR$162,BN4730,0)+INDEX($AT$13:$BB$162,BO4730,0)+INDEX($BD$13:$BL$162,BP4730,0))/100))&gt;=$D$10:$L$10)),0)</f>
        <v/>
      </c>
      <c r="BR4730">
        <f>IF(4717&lt;$U$9,SUMPRODUCT(($D$10:$L$10&lt;&gt;"")*(($D$10:$L$10-($D$9:$L$9+INT(($S$12:$AA$12+INDEX($AJ$13:$AR$162,BN4730,0)+INDEX($AT$13:$BB$162,BO4730,0)+INDEX($BD$13:$BL$162,BP4730,0))/100)))&gt;0)*($D$10:$L$10-($D$9:$L$9+INT(($S$12:$AA$12+INDEX($AJ$13:$AR$162,BN4730,0)+INDEX($AT$13:$BB$162,BO4730,0)+INDEX($BD$13:$BL$162,BP4730,0))/100)))),0)</f>
        <v/>
      </c>
      <c r="BS4730">
        <f>IF(4717&lt;$U$9,SUMPRODUCT(($D$9:$L$9+INT(($S$12:$AA$12+INDEX($AJ$13:$AR$162,BN4730,0)+INDEX($AT$13:$BB$162,BO4730,0)+INDEX($BD$13:$BL$162,BP4730,0))/100))),0)</f>
        <v/>
      </c>
      <c r="BT4730">
        <f>IF(AND(4717&lt;$U$9,$W$5),BQ4730*1000000-MIN(BR4730,999)*1000+BS4730-4717/100000,-1000000000-4717)</f>
        <v/>
      </c>
    </row>
    <row r="4731">
      <c r="BN4731">
        <f>IF(4718&lt;$U$9,INT(4718/($U$7*$U$8))+1,1)</f>
        <v/>
      </c>
      <c r="BO4731">
        <f>IF(4718&lt;$U$9,MOD(INT(4718/$U$8),$U$7)+1,1)</f>
        <v/>
      </c>
      <c r="BP4731">
        <f>IF(4718&lt;$U$9,MOD(4718,$U$8)+1,1)</f>
        <v/>
      </c>
      <c r="BQ4731">
        <f>IF(4718&lt;$U$9,SUMPRODUCT(($D$10:$L$10&lt;&gt;"")*(($D$9:$L$9+INT(($S$12:$AA$12+INDEX($AJ$13:$AR$162,BN4731,0)+INDEX($AT$13:$BB$162,BO4731,0)+INDEX($BD$13:$BL$162,BP4731,0))/100))&gt;=$D$10:$L$10)),0)</f>
        <v/>
      </c>
      <c r="BR4731">
        <f>IF(4718&lt;$U$9,SUMPRODUCT(($D$10:$L$10&lt;&gt;"")*(($D$10:$L$10-($D$9:$L$9+INT(($S$12:$AA$12+INDEX($AJ$13:$AR$162,BN4731,0)+INDEX($AT$13:$BB$162,BO4731,0)+INDEX($BD$13:$BL$162,BP4731,0))/100)))&gt;0)*($D$10:$L$10-($D$9:$L$9+INT(($S$12:$AA$12+INDEX($AJ$13:$AR$162,BN4731,0)+INDEX($AT$13:$BB$162,BO4731,0)+INDEX($BD$13:$BL$162,BP4731,0))/100)))),0)</f>
        <v/>
      </c>
      <c r="BS4731">
        <f>IF(4718&lt;$U$9,SUMPRODUCT(($D$9:$L$9+INT(($S$12:$AA$12+INDEX($AJ$13:$AR$162,BN4731,0)+INDEX($AT$13:$BB$162,BO4731,0)+INDEX($BD$13:$BL$162,BP4731,0))/100))),0)</f>
        <v/>
      </c>
      <c r="BT4731">
        <f>IF(AND(4718&lt;$U$9,$W$5),BQ4731*1000000-MIN(BR4731,999)*1000+BS4731-4718/100000,-1000000000-4718)</f>
        <v/>
      </c>
    </row>
    <row r="4732">
      <c r="BN4732">
        <f>IF(4719&lt;$U$9,INT(4719/($U$7*$U$8))+1,1)</f>
        <v/>
      </c>
      <c r="BO4732">
        <f>IF(4719&lt;$U$9,MOD(INT(4719/$U$8),$U$7)+1,1)</f>
        <v/>
      </c>
      <c r="BP4732">
        <f>IF(4719&lt;$U$9,MOD(4719,$U$8)+1,1)</f>
        <v/>
      </c>
      <c r="BQ4732">
        <f>IF(4719&lt;$U$9,SUMPRODUCT(($D$10:$L$10&lt;&gt;"")*(($D$9:$L$9+INT(($S$12:$AA$12+INDEX($AJ$13:$AR$162,BN4732,0)+INDEX($AT$13:$BB$162,BO4732,0)+INDEX($BD$13:$BL$162,BP4732,0))/100))&gt;=$D$10:$L$10)),0)</f>
        <v/>
      </c>
      <c r="BR4732">
        <f>IF(4719&lt;$U$9,SUMPRODUCT(($D$10:$L$10&lt;&gt;"")*(($D$10:$L$10-($D$9:$L$9+INT(($S$12:$AA$12+INDEX($AJ$13:$AR$162,BN4732,0)+INDEX($AT$13:$BB$162,BO4732,0)+INDEX($BD$13:$BL$162,BP4732,0))/100)))&gt;0)*($D$10:$L$10-($D$9:$L$9+INT(($S$12:$AA$12+INDEX($AJ$13:$AR$162,BN4732,0)+INDEX($AT$13:$BB$162,BO4732,0)+INDEX($BD$13:$BL$162,BP4732,0))/100)))),0)</f>
        <v/>
      </c>
      <c r="BS4732">
        <f>IF(4719&lt;$U$9,SUMPRODUCT(($D$9:$L$9+INT(($S$12:$AA$12+INDEX($AJ$13:$AR$162,BN4732,0)+INDEX($AT$13:$BB$162,BO4732,0)+INDEX($BD$13:$BL$162,BP4732,0))/100))),0)</f>
        <v/>
      </c>
      <c r="BT4732">
        <f>IF(AND(4719&lt;$U$9,$W$5),BQ4732*1000000-MIN(BR4732,999)*1000+BS4732-4719/100000,-1000000000-4719)</f>
        <v/>
      </c>
    </row>
    <row r="4733">
      <c r="BN4733">
        <f>IF(4720&lt;$U$9,INT(4720/($U$7*$U$8))+1,1)</f>
        <v/>
      </c>
      <c r="BO4733">
        <f>IF(4720&lt;$U$9,MOD(INT(4720/$U$8),$U$7)+1,1)</f>
        <v/>
      </c>
      <c r="BP4733">
        <f>IF(4720&lt;$U$9,MOD(4720,$U$8)+1,1)</f>
        <v/>
      </c>
      <c r="BQ4733">
        <f>IF(4720&lt;$U$9,SUMPRODUCT(($D$10:$L$10&lt;&gt;"")*(($D$9:$L$9+INT(($S$12:$AA$12+INDEX($AJ$13:$AR$162,BN4733,0)+INDEX($AT$13:$BB$162,BO4733,0)+INDEX($BD$13:$BL$162,BP4733,0))/100))&gt;=$D$10:$L$10)),0)</f>
        <v/>
      </c>
      <c r="BR4733">
        <f>IF(4720&lt;$U$9,SUMPRODUCT(($D$10:$L$10&lt;&gt;"")*(($D$10:$L$10-($D$9:$L$9+INT(($S$12:$AA$12+INDEX($AJ$13:$AR$162,BN4733,0)+INDEX($AT$13:$BB$162,BO4733,0)+INDEX($BD$13:$BL$162,BP4733,0))/100)))&gt;0)*($D$10:$L$10-($D$9:$L$9+INT(($S$12:$AA$12+INDEX($AJ$13:$AR$162,BN4733,0)+INDEX($AT$13:$BB$162,BO4733,0)+INDEX($BD$13:$BL$162,BP4733,0))/100)))),0)</f>
        <v/>
      </c>
      <c r="BS4733">
        <f>IF(4720&lt;$U$9,SUMPRODUCT(($D$9:$L$9+INT(($S$12:$AA$12+INDEX($AJ$13:$AR$162,BN4733,0)+INDEX($AT$13:$BB$162,BO4733,0)+INDEX($BD$13:$BL$162,BP4733,0))/100))),0)</f>
        <v/>
      </c>
      <c r="BT4733">
        <f>IF(AND(4720&lt;$U$9,$W$5),BQ4733*1000000-MIN(BR4733,999)*1000+BS4733-4720/100000,-1000000000-4720)</f>
        <v/>
      </c>
    </row>
    <row r="4734">
      <c r="BN4734">
        <f>IF(4721&lt;$U$9,INT(4721/($U$7*$U$8))+1,1)</f>
        <v/>
      </c>
      <c r="BO4734">
        <f>IF(4721&lt;$U$9,MOD(INT(4721/$U$8),$U$7)+1,1)</f>
        <v/>
      </c>
      <c r="BP4734">
        <f>IF(4721&lt;$U$9,MOD(4721,$U$8)+1,1)</f>
        <v/>
      </c>
      <c r="BQ4734">
        <f>IF(4721&lt;$U$9,SUMPRODUCT(($D$10:$L$10&lt;&gt;"")*(($D$9:$L$9+INT(($S$12:$AA$12+INDEX($AJ$13:$AR$162,BN4734,0)+INDEX($AT$13:$BB$162,BO4734,0)+INDEX($BD$13:$BL$162,BP4734,0))/100))&gt;=$D$10:$L$10)),0)</f>
        <v/>
      </c>
      <c r="BR4734">
        <f>IF(4721&lt;$U$9,SUMPRODUCT(($D$10:$L$10&lt;&gt;"")*(($D$10:$L$10-($D$9:$L$9+INT(($S$12:$AA$12+INDEX($AJ$13:$AR$162,BN4734,0)+INDEX($AT$13:$BB$162,BO4734,0)+INDEX($BD$13:$BL$162,BP4734,0))/100)))&gt;0)*($D$10:$L$10-($D$9:$L$9+INT(($S$12:$AA$12+INDEX($AJ$13:$AR$162,BN4734,0)+INDEX($AT$13:$BB$162,BO4734,0)+INDEX($BD$13:$BL$162,BP4734,0))/100)))),0)</f>
        <v/>
      </c>
      <c r="BS4734">
        <f>IF(4721&lt;$U$9,SUMPRODUCT(($D$9:$L$9+INT(($S$12:$AA$12+INDEX($AJ$13:$AR$162,BN4734,0)+INDEX($AT$13:$BB$162,BO4734,0)+INDEX($BD$13:$BL$162,BP4734,0))/100))),0)</f>
        <v/>
      </c>
      <c r="BT4734">
        <f>IF(AND(4721&lt;$U$9,$W$5),BQ4734*1000000-MIN(BR4734,999)*1000+BS4734-4721/100000,-1000000000-4721)</f>
        <v/>
      </c>
    </row>
    <row r="4735">
      <c r="BN4735">
        <f>IF(4722&lt;$U$9,INT(4722/($U$7*$U$8))+1,1)</f>
        <v/>
      </c>
      <c r="BO4735">
        <f>IF(4722&lt;$U$9,MOD(INT(4722/$U$8),$U$7)+1,1)</f>
        <v/>
      </c>
      <c r="BP4735">
        <f>IF(4722&lt;$U$9,MOD(4722,$U$8)+1,1)</f>
        <v/>
      </c>
      <c r="BQ4735">
        <f>IF(4722&lt;$U$9,SUMPRODUCT(($D$10:$L$10&lt;&gt;"")*(($D$9:$L$9+INT(($S$12:$AA$12+INDEX($AJ$13:$AR$162,BN4735,0)+INDEX($AT$13:$BB$162,BO4735,0)+INDEX($BD$13:$BL$162,BP4735,0))/100))&gt;=$D$10:$L$10)),0)</f>
        <v/>
      </c>
      <c r="BR4735">
        <f>IF(4722&lt;$U$9,SUMPRODUCT(($D$10:$L$10&lt;&gt;"")*(($D$10:$L$10-($D$9:$L$9+INT(($S$12:$AA$12+INDEX($AJ$13:$AR$162,BN4735,0)+INDEX($AT$13:$BB$162,BO4735,0)+INDEX($BD$13:$BL$162,BP4735,0))/100)))&gt;0)*($D$10:$L$10-($D$9:$L$9+INT(($S$12:$AA$12+INDEX($AJ$13:$AR$162,BN4735,0)+INDEX($AT$13:$BB$162,BO4735,0)+INDEX($BD$13:$BL$162,BP4735,0))/100)))),0)</f>
        <v/>
      </c>
      <c r="BS4735">
        <f>IF(4722&lt;$U$9,SUMPRODUCT(($D$9:$L$9+INT(($S$12:$AA$12+INDEX($AJ$13:$AR$162,BN4735,0)+INDEX($AT$13:$BB$162,BO4735,0)+INDEX($BD$13:$BL$162,BP4735,0))/100))),0)</f>
        <v/>
      </c>
      <c r="BT4735">
        <f>IF(AND(4722&lt;$U$9,$W$5),BQ4735*1000000-MIN(BR4735,999)*1000+BS4735-4722/100000,-1000000000-4722)</f>
        <v/>
      </c>
    </row>
    <row r="4736">
      <c r="BN4736">
        <f>IF(4723&lt;$U$9,INT(4723/($U$7*$U$8))+1,1)</f>
        <v/>
      </c>
      <c r="BO4736">
        <f>IF(4723&lt;$U$9,MOD(INT(4723/$U$8),$U$7)+1,1)</f>
        <v/>
      </c>
      <c r="BP4736">
        <f>IF(4723&lt;$U$9,MOD(4723,$U$8)+1,1)</f>
        <v/>
      </c>
      <c r="BQ4736">
        <f>IF(4723&lt;$U$9,SUMPRODUCT(($D$10:$L$10&lt;&gt;"")*(($D$9:$L$9+INT(($S$12:$AA$12+INDEX($AJ$13:$AR$162,BN4736,0)+INDEX($AT$13:$BB$162,BO4736,0)+INDEX($BD$13:$BL$162,BP4736,0))/100))&gt;=$D$10:$L$10)),0)</f>
        <v/>
      </c>
      <c r="BR4736">
        <f>IF(4723&lt;$U$9,SUMPRODUCT(($D$10:$L$10&lt;&gt;"")*(($D$10:$L$10-($D$9:$L$9+INT(($S$12:$AA$12+INDEX($AJ$13:$AR$162,BN4736,0)+INDEX($AT$13:$BB$162,BO4736,0)+INDEX($BD$13:$BL$162,BP4736,0))/100)))&gt;0)*($D$10:$L$10-($D$9:$L$9+INT(($S$12:$AA$12+INDEX($AJ$13:$AR$162,BN4736,0)+INDEX($AT$13:$BB$162,BO4736,0)+INDEX($BD$13:$BL$162,BP4736,0))/100)))),0)</f>
        <v/>
      </c>
      <c r="BS4736">
        <f>IF(4723&lt;$U$9,SUMPRODUCT(($D$9:$L$9+INT(($S$12:$AA$12+INDEX($AJ$13:$AR$162,BN4736,0)+INDEX($AT$13:$BB$162,BO4736,0)+INDEX($BD$13:$BL$162,BP4736,0))/100))),0)</f>
        <v/>
      </c>
      <c r="BT4736">
        <f>IF(AND(4723&lt;$U$9,$W$5),BQ4736*1000000-MIN(BR4736,999)*1000+BS4736-4723/100000,-1000000000-4723)</f>
        <v/>
      </c>
    </row>
    <row r="4737">
      <c r="BN4737">
        <f>IF(4724&lt;$U$9,INT(4724/($U$7*$U$8))+1,1)</f>
        <v/>
      </c>
      <c r="BO4737">
        <f>IF(4724&lt;$U$9,MOD(INT(4724/$U$8),$U$7)+1,1)</f>
        <v/>
      </c>
      <c r="BP4737">
        <f>IF(4724&lt;$U$9,MOD(4724,$U$8)+1,1)</f>
        <v/>
      </c>
      <c r="BQ4737">
        <f>IF(4724&lt;$U$9,SUMPRODUCT(($D$10:$L$10&lt;&gt;"")*(($D$9:$L$9+INT(($S$12:$AA$12+INDEX($AJ$13:$AR$162,BN4737,0)+INDEX($AT$13:$BB$162,BO4737,0)+INDEX($BD$13:$BL$162,BP4737,0))/100))&gt;=$D$10:$L$10)),0)</f>
        <v/>
      </c>
      <c r="BR4737">
        <f>IF(4724&lt;$U$9,SUMPRODUCT(($D$10:$L$10&lt;&gt;"")*(($D$10:$L$10-($D$9:$L$9+INT(($S$12:$AA$12+INDEX($AJ$13:$AR$162,BN4737,0)+INDEX($AT$13:$BB$162,BO4737,0)+INDEX($BD$13:$BL$162,BP4737,0))/100)))&gt;0)*($D$10:$L$10-($D$9:$L$9+INT(($S$12:$AA$12+INDEX($AJ$13:$AR$162,BN4737,0)+INDEX($AT$13:$BB$162,BO4737,0)+INDEX($BD$13:$BL$162,BP4737,0))/100)))),0)</f>
        <v/>
      </c>
      <c r="BS4737">
        <f>IF(4724&lt;$U$9,SUMPRODUCT(($D$9:$L$9+INT(($S$12:$AA$12+INDEX($AJ$13:$AR$162,BN4737,0)+INDEX($AT$13:$BB$162,BO4737,0)+INDEX($BD$13:$BL$162,BP4737,0))/100))),0)</f>
        <v/>
      </c>
      <c r="BT4737">
        <f>IF(AND(4724&lt;$U$9,$W$5),BQ4737*1000000-MIN(BR4737,999)*1000+BS4737-4724/100000,-1000000000-4724)</f>
        <v/>
      </c>
    </row>
    <row r="4738">
      <c r="BN4738">
        <f>IF(4725&lt;$U$9,INT(4725/($U$7*$U$8))+1,1)</f>
        <v/>
      </c>
      <c r="BO4738">
        <f>IF(4725&lt;$U$9,MOD(INT(4725/$U$8),$U$7)+1,1)</f>
        <v/>
      </c>
      <c r="BP4738">
        <f>IF(4725&lt;$U$9,MOD(4725,$U$8)+1,1)</f>
        <v/>
      </c>
      <c r="BQ4738">
        <f>IF(4725&lt;$U$9,SUMPRODUCT(($D$10:$L$10&lt;&gt;"")*(($D$9:$L$9+INT(($S$12:$AA$12+INDEX($AJ$13:$AR$162,BN4738,0)+INDEX($AT$13:$BB$162,BO4738,0)+INDEX($BD$13:$BL$162,BP4738,0))/100))&gt;=$D$10:$L$10)),0)</f>
        <v/>
      </c>
      <c r="BR4738">
        <f>IF(4725&lt;$U$9,SUMPRODUCT(($D$10:$L$10&lt;&gt;"")*(($D$10:$L$10-($D$9:$L$9+INT(($S$12:$AA$12+INDEX($AJ$13:$AR$162,BN4738,0)+INDEX($AT$13:$BB$162,BO4738,0)+INDEX($BD$13:$BL$162,BP4738,0))/100)))&gt;0)*($D$10:$L$10-($D$9:$L$9+INT(($S$12:$AA$12+INDEX($AJ$13:$AR$162,BN4738,0)+INDEX($AT$13:$BB$162,BO4738,0)+INDEX($BD$13:$BL$162,BP4738,0))/100)))),0)</f>
        <v/>
      </c>
      <c r="BS4738">
        <f>IF(4725&lt;$U$9,SUMPRODUCT(($D$9:$L$9+INT(($S$12:$AA$12+INDEX($AJ$13:$AR$162,BN4738,0)+INDEX($AT$13:$BB$162,BO4738,0)+INDEX($BD$13:$BL$162,BP4738,0))/100))),0)</f>
        <v/>
      </c>
      <c r="BT4738">
        <f>IF(AND(4725&lt;$U$9,$W$5),BQ4738*1000000-MIN(BR4738,999)*1000+BS4738-4725/100000,-1000000000-4725)</f>
        <v/>
      </c>
    </row>
    <row r="4739">
      <c r="BN4739">
        <f>IF(4726&lt;$U$9,INT(4726/($U$7*$U$8))+1,1)</f>
        <v/>
      </c>
      <c r="BO4739">
        <f>IF(4726&lt;$U$9,MOD(INT(4726/$U$8),$U$7)+1,1)</f>
        <v/>
      </c>
      <c r="BP4739">
        <f>IF(4726&lt;$U$9,MOD(4726,$U$8)+1,1)</f>
        <v/>
      </c>
      <c r="BQ4739">
        <f>IF(4726&lt;$U$9,SUMPRODUCT(($D$10:$L$10&lt;&gt;"")*(($D$9:$L$9+INT(($S$12:$AA$12+INDEX($AJ$13:$AR$162,BN4739,0)+INDEX($AT$13:$BB$162,BO4739,0)+INDEX($BD$13:$BL$162,BP4739,0))/100))&gt;=$D$10:$L$10)),0)</f>
        <v/>
      </c>
      <c r="BR4739">
        <f>IF(4726&lt;$U$9,SUMPRODUCT(($D$10:$L$10&lt;&gt;"")*(($D$10:$L$10-($D$9:$L$9+INT(($S$12:$AA$12+INDEX($AJ$13:$AR$162,BN4739,0)+INDEX($AT$13:$BB$162,BO4739,0)+INDEX($BD$13:$BL$162,BP4739,0))/100)))&gt;0)*($D$10:$L$10-($D$9:$L$9+INT(($S$12:$AA$12+INDEX($AJ$13:$AR$162,BN4739,0)+INDEX($AT$13:$BB$162,BO4739,0)+INDEX($BD$13:$BL$162,BP4739,0))/100)))),0)</f>
        <v/>
      </c>
      <c r="BS4739">
        <f>IF(4726&lt;$U$9,SUMPRODUCT(($D$9:$L$9+INT(($S$12:$AA$12+INDEX($AJ$13:$AR$162,BN4739,0)+INDEX($AT$13:$BB$162,BO4739,0)+INDEX($BD$13:$BL$162,BP4739,0))/100))),0)</f>
        <v/>
      </c>
      <c r="BT4739">
        <f>IF(AND(4726&lt;$U$9,$W$5),BQ4739*1000000-MIN(BR4739,999)*1000+BS4739-4726/100000,-1000000000-4726)</f>
        <v/>
      </c>
    </row>
    <row r="4740">
      <c r="BN4740">
        <f>IF(4727&lt;$U$9,INT(4727/($U$7*$U$8))+1,1)</f>
        <v/>
      </c>
      <c r="BO4740">
        <f>IF(4727&lt;$U$9,MOD(INT(4727/$U$8),$U$7)+1,1)</f>
        <v/>
      </c>
      <c r="BP4740">
        <f>IF(4727&lt;$U$9,MOD(4727,$U$8)+1,1)</f>
        <v/>
      </c>
      <c r="BQ4740">
        <f>IF(4727&lt;$U$9,SUMPRODUCT(($D$10:$L$10&lt;&gt;"")*(($D$9:$L$9+INT(($S$12:$AA$12+INDEX($AJ$13:$AR$162,BN4740,0)+INDEX($AT$13:$BB$162,BO4740,0)+INDEX($BD$13:$BL$162,BP4740,0))/100))&gt;=$D$10:$L$10)),0)</f>
        <v/>
      </c>
      <c r="BR4740">
        <f>IF(4727&lt;$U$9,SUMPRODUCT(($D$10:$L$10&lt;&gt;"")*(($D$10:$L$10-($D$9:$L$9+INT(($S$12:$AA$12+INDEX($AJ$13:$AR$162,BN4740,0)+INDEX($AT$13:$BB$162,BO4740,0)+INDEX($BD$13:$BL$162,BP4740,0))/100)))&gt;0)*($D$10:$L$10-($D$9:$L$9+INT(($S$12:$AA$12+INDEX($AJ$13:$AR$162,BN4740,0)+INDEX($AT$13:$BB$162,BO4740,0)+INDEX($BD$13:$BL$162,BP4740,0))/100)))),0)</f>
        <v/>
      </c>
      <c r="BS4740">
        <f>IF(4727&lt;$U$9,SUMPRODUCT(($D$9:$L$9+INT(($S$12:$AA$12+INDEX($AJ$13:$AR$162,BN4740,0)+INDEX($AT$13:$BB$162,BO4740,0)+INDEX($BD$13:$BL$162,BP4740,0))/100))),0)</f>
        <v/>
      </c>
      <c r="BT4740">
        <f>IF(AND(4727&lt;$U$9,$W$5),BQ4740*1000000-MIN(BR4740,999)*1000+BS4740-4727/100000,-1000000000-4727)</f>
        <v/>
      </c>
    </row>
    <row r="4741">
      <c r="BN4741">
        <f>IF(4728&lt;$U$9,INT(4728/($U$7*$U$8))+1,1)</f>
        <v/>
      </c>
      <c r="BO4741">
        <f>IF(4728&lt;$U$9,MOD(INT(4728/$U$8),$U$7)+1,1)</f>
        <v/>
      </c>
      <c r="BP4741">
        <f>IF(4728&lt;$U$9,MOD(4728,$U$8)+1,1)</f>
        <v/>
      </c>
      <c r="BQ4741">
        <f>IF(4728&lt;$U$9,SUMPRODUCT(($D$10:$L$10&lt;&gt;"")*(($D$9:$L$9+INT(($S$12:$AA$12+INDEX($AJ$13:$AR$162,BN4741,0)+INDEX($AT$13:$BB$162,BO4741,0)+INDEX($BD$13:$BL$162,BP4741,0))/100))&gt;=$D$10:$L$10)),0)</f>
        <v/>
      </c>
      <c r="BR4741">
        <f>IF(4728&lt;$U$9,SUMPRODUCT(($D$10:$L$10&lt;&gt;"")*(($D$10:$L$10-($D$9:$L$9+INT(($S$12:$AA$12+INDEX($AJ$13:$AR$162,BN4741,0)+INDEX($AT$13:$BB$162,BO4741,0)+INDEX($BD$13:$BL$162,BP4741,0))/100)))&gt;0)*($D$10:$L$10-($D$9:$L$9+INT(($S$12:$AA$12+INDEX($AJ$13:$AR$162,BN4741,0)+INDEX($AT$13:$BB$162,BO4741,0)+INDEX($BD$13:$BL$162,BP4741,0))/100)))),0)</f>
        <v/>
      </c>
      <c r="BS4741">
        <f>IF(4728&lt;$U$9,SUMPRODUCT(($D$9:$L$9+INT(($S$12:$AA$12+INDEX($AJ$13:$AR$162,BN4741,0)+INDEX($AT$13:$BB$162,BO4741,0)+INDEX($BD$13:$BL$162,BP4741,0))/100))),0)</f>
        <v/>
      </c>
      <c r="BT4741">
        <f>IF(AND(4728&lt;$U$9,$W$5),BQ4741*1000000-MIN(BR4741,999)*1000+BS4741-4728/100000,-1000000000-4728)</f>
        <v/>
      </c>
    </row>
    <row r="4742">
      <c r="BN4742">
        <f>IF(4729&lt;$U$9,INT(4729/($U$7*$U$8))+1,1)</f>
        <v/>
      </c>
      <c r="BO4742">
        <f>IF(4729&lt;$U$9,MOD(INT(4729/$U$8),$U$7)+1,1)</f>
        <v/>
      </c>
      <c r="BP4742">
        <f>IF(4729&lt;$U$9,MOD(4729,$U$8)+1,1)</f>
        <v/>
      </c>
      <c r="BQ4742">
        <f>IF(4729&lt;$U$9,SUMPRODUCT(($D$10:$L$10&lt;&gt;"")*(($D$9:$L$9+INT(($S$12:$AA$12+INDEX($AJ$13:$AR$162,BN4742,0)+INDEX($AT$13:$BB$162,BO4742,0)+INDEX($BD$13:$BL$162,BP4742,0))/100))&gt;=$D$10:$L$10)),0)</f>
        <v/>
      </c>
      <c r="BR4742">
        <f>IF(4729&lt;$U$9,SUMPRODUCT(($D$10:$L$10&lt;&gt;"")*(($D$10:$L$10-($D$9:$L$9+INT(($S$12:$AA$12+INDEX($AJ$13:$AR$162,BN4742,0)+INDEX($AT$13:$BB$162,BO4742,0)+INDEX($BD$13:$BL$162,BP4742,0))/100)))&gt;0)*($D$10:$L$10-($D$9:$L$9+INT(($S$12:$AA$12+INDEX($AJ$13:$AR$162,BN4742,0)+INDEX($AT$13:$BB$162,BO4742,0)+INDEX($BD$13:$BL$162,BP4742,0))/100)))),0)</f>
        <v/>
      </c>
      <c r="BS4742">
        <f>IF(4729&lt;$U$9,SUMPRODUCT(($D$9:$L$9+INT(($S$12:$AA$12+INDEX($AJ$13:$AR$162,BN4742,0)+INDEX($AT$13:$BB$162,BO4742,0)+INDEX($BD$13:$BL$162,BP4742,0))/100))),0)</f>
        <v/>
      </c>
      <c r="BT4742">
        <f>IF(AND(4729&lt;$U$9,$W$5),BQ4742*1000000-MIN(BR4742,999)*1000+BS4742-4729/100000,-1000000000-4729)</f>
        <v/>
      </c>
    </row>
    <row r="4743">
      <c r="BN4743">
        <f>IF(4730&lt;$U$9,INT(4730/($U$7*$U$8))+1,1)</f>
        <v/>
      </c>
      <c r="BO4743">
        <f>IF(4730&lt;$U$9,MOD(INT(4730/$U$8),$U$7)+1,1)</f>
        <v/>
      </c>
      <c r="BP4743">
        <f>IF(4730&lt;$U$9,MOD(4730,$U$8)+1,1)</f>
        <v/>
      </c>
      <c r="BQ4743">
        <f>IF(4730&lt;$U$9,SUMPRODUCT(($D$10:$L$10&lt;&gt;"")*(($D$9:$L$9+INT(($S$12:$AA$12+INDEX($AJ$13:$AR$162,BN4743,0)+INDEX($AT$13:$BB$162,BO4743,0)+INDEX($BD$13:$BL$162,BP4743,0))/100))&gt;=$D$10:$L$10)),0)</f>
        <v/>
      </c>
      <c r="BR4743">
        <f>IF(4730&lt;$U$9,SUMPRODUCT(($D$10:$L$10&lt;&gt;"")*(($D$10:$L$10-($D$9:$L$9+INT(($S$12:$AA$12+INDEX($AJ$13:$AR$162,BN4743,0)+INDEX($AT$13:$BB$162,BO4743,0)+INDEX($BD$13:$BL$162,BP4743,0))/100)))&gt;0)*($D$10:$L$10-($D$9:$L$9+INT(($S$12:$AA$12+INDEX($AJ$13:$AR$162,BN4743,0)+INDEX($AT$13:$BB$162,BO4743,0)+INDEX($BD$13:$BL$162,BP4743,0))/100)))),0)</f>
        <v/>
      </c>
      <c r="BS4743">
        <f>IF(4730&lt;$U$9,SUMPRODUCT(($D$9:$L$9+INT(($S$12:$AA$12+INDEX($AJ$13:$AR$162,BN4743,0)+INDEX($AT$13:$BB$162,BO4743,0)+INDEX($BD$13:$BL$162,BP4743,0))/100))),0)</f>
        <v/>
      </c>
      <c r="BT4743">
        <f>IF(AND(4730&lt;$U$9,$W$5),BQ4743*1000000-MIN(BR4743,999)*1000+BS4743-4730/100000,-1000000000-4730)</f>
        <v/>
      </c>
    </row>
    <row r="4744">
      <c r="BN4744">
        <f>IF(4731&lt;$U$9,INT(4731/($U$7*$U$8))+1,1)</f>
        <v/>
      </c>
      <c r="BO4744">
        <f>IF(4731&lt;$U$9,MOD(INT(4731/$U$8),$U$7)+1,1)</f>
        <v/>
      </c>
      <c r="BP4744">
        <f>IF(4731&lt;$U$9,MOD(4731,$U$8)+1,1)</f>
        <v/>
      </c>
      <c r="BQ4744">
        <f>IF(4731&lt;$U$9,SUMPRODUCT(($D$10:$L$10&lt;&gt;"")*(($D$9:$L$9+INT(($S$12:$AA$12+INDEX($AJ$13:$AR$162,BN4744,0)+INDEX($AT$13:$BB$162,BO4744,0)+INDEX($BD$13:$BL$162,BP4744,0))/100))&gt;=$D$10:$L$10)),0)</f>
        <v/>
      </c>
      <c r="BR4744">
        <f>IF(4731&lt;$U$9,SUMPRODUCT(($D$10:$L$10&lt;&gt;"")*(($D$10:$L$10-($D$9:$L$9+INT(($S$12:$AA$12+INDEX($AJ$13:$AR$162,BN4744,0)+INDEX($AT$13:$BB$162,BO4744,0)+INDEX($BD$13:$BL$162,BP4744,0))/100)))&gt;0)*($D$10:$L$10-($D$9:$L$9+INT(($S$12:$AA$12+INDEX($AJ$13:$AR$162,BN4744,0)+INDEX($AT$13:$BB$162,BO4744,0)+INDEX($BD$13:$BL$162,BP4744,0))/100)))),0)</f>
        <v/>
      </c>
      <c r="BS4744">
        <f>IF(4731&lt;$U$9,SUMPRODUCT(($D$9:$L$9+INT(($S$12:$AA$12+INDEX($AJ$13:$AR$162,BN4744,0)+INDEX($AT$13:$BB$162,BO4744,0)+INDEX($BD$13:$BL$162,BP4744,0))/100))),0)</f>
        <v/>
      </c>
      <c r="BT4744">
        <f>IF(AND(4731&lt;$U$9,$W$5),BQ4744*1000000-MIN(BR4744,999)*1000+BS4744-4731/100000,-1000000000-4731)</f>
        <v/>
      </c>
    </row>
    <row r="4745">
      <c r="BN4745">
        <f>IF(4732&lt;$U$9,INT(4732/($U$7*$U$8))+1,1)</f>
        <v/>
      </c>
      <c r="BO4745">
        <f>IF(4732&lt;$U$9,MOD(INT(4732/$U$8),$U$7)+1,1)</f>
        <v/>
      </c>
      <c r="BP4745">
        <f>IF(4732&lt;$U$9,MOD(4732,$U$8)+1,1)</f>
        <v/>
      </c>
      <c r="BQ4745">
        <f>IF(4732&lt;$U$9,SUMPRODUCT(($D$10:$L$10&lt;&gt;"")*(($D$9:$L$9+INT(($S$12:$AA$12+INDEX($AJ$13:$AR$162,BN4745,0)+INDEX($AT$13:$BB$162,BO4745,0)+INDEX($BD$13:$BL$162,BP4745,0))/100))&gt;=$D$10:$L$10)),0)</f>
        <v/>
      </c>
      <c r="BR4745">
        <f>IF(4732&lt;$U$9,SUMPRODUCT(($D$10:$L$10&lt;&gt;"")*(($D$10:$L$10-($D$9:$L$9+INT(($S$12:$AA$12+INDEX($AJ$13:$AR$162,BN4745,0)+INDEX($AT$13:$BB$162,BO4745,0)+INDEX($BD$13:$BL$162,BP4745,0))/100)))&gt;0)*($D$10:$L$10-($D$9:$L$9+INT(($S$12:$AA$12+INDEX($AJ$13:$AR$162,BN4745,0)+INDEX($AT$13:$BB$162,BO4745,0)+INDEX($BD$13:$BL$162,BP4745,0))/100)))),0)</f>
        <v/>
      </c>
      <c r="BS4745">
        <f>IF(4732&lt;$U$9,SUMPRODUCT(($D$9:$L$9+INT(($S$12:$AA$12+INDEX($AJ$13:$AR$162,BN4745,0)+INDEX($AT$13:$BB$162,BO4745,0)+INDEX($BD$13:$BL$162,BP4745,0))/100))),0)</f>
        <v/>
      </c>
      <c r="BT4745">
        <f>IF(AND(4732&lt;$U$9,$W$5),BQ4745*1000000-MIN(BR4745,999)*1000+BS4745-4732/100000,-1000000000-4732)</f>
        <v/>
      </c>
    </row>
    <row r="4746">
      <c r="BN4746">
        <f>IF(4733&lt;$U$9,INT(4733/($U$7*$U$8))+1,1)</f>
        <v/>
      </c>
      <c r="BO4746">
        <f>IF(4733&lt;$U$9,MOD(INT(4733/$U$8),$U$7)+1,1)</f>
        <v/>
      </c>
      <c r="BP4746">
        <f>IF(4733&lt;$U$9,MOD(4733,$U$8)+1,1)</f>
        <v/>
      </c>
      <c r="BQ4746">
        <f>IF(4733&lt;$U$9,SUMPRODUCT(($D$10:$L$10&lt;&gt;"")*(($D$9:$L$9+INT(($S$12:$AA$12+INDEX($AJ$13:$AR$162,BN4746,0)+INDEX($AT$13:$BB$162,BO4746,0)+INDEX($BD$13:$BL$162,BP4746,0))/100))&gt;=$D$10:$L$10)),0)</f>
        <v/>
      </c>
      <c r="BR4746">
        <f>IF(4733&lt;$U$9,SUMPRODUCT(($D$10:$L$10&lt;&gt;"")*(($D$10:$L$10-($D$9:$L$9+INT(($S$12:$AA$12+INDEX($AJ$13:$AR$162,BN4746,0)+INDEX($AT$13:$BB$162,BO4746,0)+INDEX($BD$13:$BL$162,BP4746,0))/100)))&gt;0)*($D$10:$L$10-($D$9:$L$9+INT(($S$12:$AA$12+INDEX($AJ$13:$AR$162,BN4746,0)+INDEX($AT$13:$BB$162,BO4746,0)+INDEX($BD$13:$BL$162,BP4746,0))/100)))),0)</f>
        <v/>
      </c>
      <c r="BS4746">
        <f>IF(4733&lt;$U$9,SUMPRODUCT(($D$9:$L$9+INT(($S$12:$AA$12+INDEX($AJ$13:$AR$162,BN4746,0)+INDEX($AT$13:$BB$162,BO4746,0)+INDEX($BD$13:$BL$162,BP4746,0))/100))),0)</f>
        <v/>
      </c>
      <c r="BT4746">
        <f>IF(AND(4733&lt;$U$9,$W$5),BQ4746*1000000-MIN(BR4746,999)*1000+BS4746-4733/100000,-1000000000-4733)</f>
        <v/>
      </c>
    </row>
    <row r="4747">
      <c r="BN4747">
        <f>IF(4734&lt;$U$9,INT(4734/($U$7*$U$8))+1,1)</f>
        <v/>
      </c>
      <c r="BO4747">
        <f>IF(4734&lt;$U$9,MOD(INT(4734/$U$8),$U$7)+1,1)</f>
        <v/>
      </c>
      <c r="BP4747">
        <f>IF(4734&lt;$U$9,MOD(4734,$U$8)+1,1)</f>
        <v/>
      </c>
      <c r="BQ4747">
        <f>IF(4734&lt;$U$9,SUMPRODUCT(($D$10:$L$10&lt;&gt;"")*(($D$9:$L$9+INT(($S$12:$AA$12+INDEX($AJ$13:$AR$162,BN4747,0)+INDEX($AT$13:$BB$162,BO4747,0)+INDEX($BD$13:$BL$162,BP4747,0))/100))&gt;=$D$10:$L$10)),0)</f>
        <v/>
      </c>
      <c r="BR4747">
        <f>IF(4734&lt;$U$9,SUMPRODUCT(($D$10:$L$10&lt;&gt;"")*(($D$10:$L$10-($D$9:$L$9+INT(($S$12:$AA$12+INDEX($AJ$13:$AR$162,BN4747,0)+INDEX($AT$13:$BB$162,BO4747,0)+INDEX($BD$13:$BL$162,BP4747,0))/100)))&gt;0)*($D$10:$L$10-($D$9:$L$9+INT(($S$12:$AA$12+INDEX($AJ$13:$AR$162,BN4747,0)+INDEX($AT$13:$BB$162,BO4747,0)+INDEX($BD$13:$BL$162,BP4747,0))/100)))),0)</f>
        <v/>
      </c>
      <c r="BS4747">
        <f>IF(4734&lt;$U$9,SUMPRODUCT(($D$9:$L$9+INT(($S$12:$AA$12+INDEX($AJ$13:$AR$162,BN4747,0)+INDEX($AT$13:$BB$162,BO4747,0)+INDEX($BD$13:$BL$162,BP4747,0))/100))),0)</f>
        <v/>
      </c>
      <c r="BT4747">
        <f>IF(AND(4734&lt;$U$9,$W$5),BQ4747*1000000-MIN(BR4747,999)*1000+BS4747-4734/100000,-1000000000-4734)</f>
        <v/>
      </c>
    </row>
    <row r="4748">
      <c r="BN4748">
        <f>IF(4735&lt;$U$9,INT(4735/($U$7*$U$8))+1,1)</f>
        <v/>
      </c>
      <c r="BO4748">
        <f>IF(4735&lt;$U$9,MOD(INT(4735/$U$8),$U$7)+1,1)</f>
        <v/>
      </c>
      <c r="BP4748">
        <f>IF(4735&lt;$U$9,MOD(4735,$U$8)+1,1)</f>
        <v/>
      </c>
      <c r="BQ4748">
        <f>IF(4735&lt;$U$9,SUMPRODUCT(($D$10:$L$10&lt;&gt;"")*(($D$9:$L$9+INT(($S$12:$AA$12+INDEX($AJ$13:$AR$162,BN4748,0)+INDEX($AT$13:$BB$162,BO4748,0)+INDEX($BD$13:$BL$162,BP4748,0))/100))&gt;=$D$10:$L$10)),0)</f>
        <v/>
      </c>
      <c r="BR4748">
        <f>IF(4735&lt;$U$9,SUMPRODUCT(($D$10:$L$10&lt;&gt;"")*(($D$10:$L$10-($D$9:$L$9+INT(($S$12:$AA$12+INDEX($AJ$13:$AR$162,BN4748,0)+INDEX($AT$13:$BB$162,BO4748,0)+INDEX($BD$13:$BL$162,BP4748,0))/100)))&gt;0)*($D$10:$L$10-($D$9:$L$9+INT(($S$12:$AA$12+INDEX($AJ$13:$AR$162,BN4748,0)+INDEX($AT$13:$BB$162,BO4748,0)+INDEX($BD$13:$BL$162,BP4748,0))/100)))),0)</f>
        <v/>
      </c>
      <c r="BS4748">
        <f>IF(4735&lt;$U$9,SUMPRODUCT(($D$9:$L$9+INT(($S$12:$AA$12+INDEX($AJ$13:$AR$162,BN4748,0)+INDEX($AT$13:$BB$162,BO4748,0)+INDEX($BD$13:$BL$162,BP4748,0))/100))),0)</f>
        <v/>
      </c>
      <c r="BT4748">
        <f>IF(AND(4735&lt;$U$9,$W$5),BQ4748*1000000-MIN(BR4748,999)*1000+BS4748-4735/100000,-1000000000-4735)</f>
        <v/>
      </c>
    </row>
    <row r="4749">
      <c r="BN4749">
        <f>IF(4736&lt;$U$9,INT(4736/($U$7*$U$8))+1,1)</f>
        <v/>
      </c>
      <c r="BO4749">
        <f>IF(4736&lt;$U$9,MOD(INT(4736/$U$8),$U$7)+1,1)</f>
        <v/>
      </c>
      <c r="BP4749">
        <f>IF(4736&lt;$U$9,MOD(4736,$U$8)+1,1)</f>
        <v/>
      </c>
      <c r="BQ4749">
        <f>IF(4736&lt;$U$9,SUMPRODUCT(($D$10:$L$10&lt;&gt;"")*(($D$9:$L$9+INT(($S$12:$AA$12+INDEX($AJ$13:$AR$162,BN4749,0)+INDEX($AT$13:$BB$162,BO4749,0)+INDEX($BD$13:$BL$162,BP4749,0))/100))&gt;=$D$10:$L$10)),0)</f>
        <v/>
      </c>
      <c r="BR4749">
        <f>IF(4736&lt;$U$9,SUMPRODUCT(($D$10:$L$10&lt;&gt;"")*(($D$10:$L$10-($D$9:$L$9+INT(($S$12:$AA$12+INDEX($AJ$13:$AR$162,BN4749,0)+INDEX($AT$13:$BB$162,BO4749,0)+INDEX($BD$13:$BL$162,BP4749,0))/100)))&gt;0)*($D$10:$L$10-($D$9:$L$9+INT(($S$12:$AA$12+INDEX($AJ$13:$AR$162,BN4749,0)+INDEX($AT$13:$BB$162,BO4749,0)+INDEX($BD$13:$BL$162,BP4749,0))/100)))),0)</f>
        <v/>
      </c>
      <c r="BS4749">
        <f>IF(4736&lt;$U$9,SUMPRODUCT(($D$9:$L$9+INT(($S$12:$AA$12+INDEX($AJ$13:$AR$162,BN4749,0)+INDEX($AT$13:$BB$162,BO4749,0)+INDEX($BD$13:$BL$162,BP4749,0))/100))),0)</f>
        <v/>
      </c>
      <c r="BT4749">
        <f>IF(AND(4736&lt;$U$9,$W$5),BQ4749*1000000-MIN(BR4749,999)*1000+BS4749-4736/100000,-1000000000-4736)</f>
        <v/>
      </c>
    </row>
    <row r="4750">
      <c r="BN4750">
        <f>IF(4737&lt;$U$9,INT(4737/($U$7*$U$8))+1,1)</f>
        <v/>
      </c>
      <c r="BO4750">
        <f>IF(4737&lt;$U$9,MOD(INT(4737/$U$8),$U$7)+1,1)</f>
        <v/>
      </c>
      <c r="BP4750">
        <f>IF(4737&lt;$U$9,MOD(4737,$U$8)+1,1)</f>
        <v/>
      </c>
      <c r="BQ4750">
        <f>IF(4737&lt;$U$9,SUMPRODUCT(($D$10:$L$10&lt;&gt;"")*(($D$9:$L$9+INT(($S$12:$AA$12+INDEX($AJ$13:$AR$162,BN4750,0)+INDEX($AT$13:$BB$162,BO4750,0)+INDEX($BD$13:$BL$162,BP4750,0))/100))&gt;=$D$10:$L$10)),0)</f>
        <v/>
      </c>
      <c r="BR4750">
        <f>IF(4737&lt;$U$9,SUMPRODUCT(($D$10:$L$10&lt;&gt;"")*(($D$10:$L$10-($D$9:$L$9+INT(($S$12:$AA$12+INDEX($AJ$13:$AR$162,BN4750,0)+INDEX($AT$13:$BB$162,BO4750,0)+INDEX($BD$13:$BL$162,BP4750,0))/100)))&gt;0)*($D$10:$L$10-($D$9:$L$9+INT(($S$12:$AA$12+INDEX($AJ$13:$AR$162,BN4750,0)+INDEX($AT$13:$BB$162,BO4750,0)+INDEX($BD$13:$BL$162,BP4750,0))/100)))),0)</f>
        <v/>
      </c>
      <c r="BS4750">
        <f>IF(4737&lt;$U$9,SUMPRODUCT(($D$9:$L$9+INT(($S$12:$AA$12+INDEX($AJ$13:$AR$162,BN4750,0)+INDEX($AT$13:$BB$162,BO4750,0)+INDEX($BD$13:$BL$162,BP4750,0))/100))),0)</f>
        <v/>
      </c>
      <c r="BT4750">
        <f>IF(AND(4737&lt;$U$9,$W$5),BQ4750*1000000-MIN(BR4750,999)*1000+BS4750-4737/100000,-1000000000-4737)</f>
        <v/>
      </c>
    </row>
    <row r="4751">
      <c r="BN4751">
        <f>IF(4738&lt;$U$9,INT(4738/($U$7*$U$8))+1,1)</f>
        <v/>
      </c>
      <c r="BO4751">
        <f>IF(4738&lt;$U$9,MOD(INT(4738/$U$8),$U$7)+1,1)</f>
        <v/>
      </c>
      <c r="BP4751">
        <f>IF(4738&lt;$U$9,MOD(4738,$U$8)+1,1)</f>
        <v/>
      </c>
      <c r="BQ4751">
        <f>IF(4738&lt;$U$9,SUMPRODUCT(($D$10:$L$10&lt;&gt;"")*(($D$9:$L$9+INT(($S$12:$AA$12+INDEX($AJ$13:$AR$162,BN4751,0)+INDEX($AT$13:$BB$162,BO4751,0)+INDEX($BD$13:$BL$162,BP4751,0))/100))&gt;=$D$10:$L$10)),0)</f>
        <v/>
      </c>
      <c r="BR4751">
        <f>IF(4738&lt;$U$9,SUMPRODUCT(($D$10:$L$10&lt;&gt;"")*(($D$10:$L$10-($D$9:$L$9+INT(($S$12:$AA$12+INDEX($AJ$13:$AR$162,BN4751,0)+INDEX($AT$13:$BB$162,BO4751,0)+INDEX($BD$13:$BL$162,BP4751,0))/100)))&gt;0)*($D$10:$L$10-($D$9:$L$9+INT(($S$12:$AA$12+INDEX($AJ$13:$AR$162,BN4751,0)+INDEX($AT$13:$BB$162,BO4751,0)+INDEX($BD$13:$BL$162,BP4751,0))/100)))),0)</f>
        <v/>
      </c>
      <c r="BS4751">
        <f>IF(4738&lt;$U$9,SUMPRODUCT(($D$9:$L$9+INT(($S$12:$AA$12+INDEX($AJ$13:$AR$162,BN4751,0)+INDEX($AT$13:$BB$162,BO4751,0)+INDEX($BD$13:$BL$162,BP4751,0))/100))),0)</f>
        <v/>
      </c>
      <c r="BT4751">
        <f>IF(AND(4738&lt;$U$9,$W$5),BQ4751*1000000-MIN(BR4751,999)*1000+BS4751-4738/100000,-1000000000-4738)</f>
        <v/>
      </c>
    </row>
    <row r="4752">
      <c r="BN4752">
        <f>IF(4739&lt;$U$9,INT(4739/($U$7*$U$8))+1,1)</f>
        <v/>
      </c>
      <c r="BO4752">
        <f>IF(4739&lt;$U$9,MOD(INT(4739/$U$8),$U$7)+1,1)</f>
        <v/>
      </c>
      <c r="BP4752">
        <f>IF(4739&lt;$U$9,MOD(4739,$U$8)+1,1)</f>
        <v/>
      </c>
      <c r="BQ4752">
        <f>IF(4739&lt;$U$9,SUMPRODUCT(($D$10:$L$10&lt;&gt;"")*(($D$9:$L$9+INT(($S$12:$AA$12+INDEX($AJ$13:$AR$162,BN4752,0)+INDEX($AT$13:$BB$162,BO4752,0)+INDEX($BD$13:$BL$162,BP4752,0))/100))&gt;=$D$10:$L$10)),0)</f>
        <v/>
      </c>
      <c r="BR4752">
        <f>IF(4739&lt;$U$9,SUMPRODUCT(($D$10:$L$10&lt;&gt;"")*(($D$10:$L$10-($D$9:$L$9+INT(($S$12:$AA$12+INDEX($AJ$13:$AR$162,BN4752,0)+INDEX($AT$13:$BB$162,BO4752,0)+INDEX($BD$13:$BL$162,BP4752,0))/100)))&gt;0)*($D$10:$L$10-($D$9:$L$9+INT(($S$12:$AA$12+INDEX($AJ$13:$AR$162,BN4752,0)+INDEX($AT$13:$BB$162,BO4752,0)+INDEX($BD$13:$BL$162,BP4752,0))/100)))),0)</f>
        <v/>
      </c>
      <c r="BS4752">
        <f>IF(4739&lt;$U$9,SUMPRODUCT(($D$9:$L$9+INT(($S$12:$AA$12+INDEX($AJ$13:$AR$162,BN4752,0)+INDEX($AT$13:$BB$162,BO4752,0)+INDEX($BD$13:$BL$162,BP4752,0))/100))),0)</f>
        <v/>
      </c>
      <c r="BT4752">
        <f>IF(AND(4739&lt;$U$9,$W$5),BQ4752*1000000-MIN(BR4752,999)*1000+BS4752-4739/100000,-1000000000-4739)</f>
        <v/>
      </c>
    </row>
    <row r="4753">
      <c r="BN4753">
        <f>IF(4740&lt;$U$9,INT(4740/($U$7*$U$8))+1,1)</f>
        <v/>
      </c>
      <c r="BO4753">
        <f>IF(4740&lt;$U$9,MOD(INT(4740/$U$8),$U$7)+1,1)</f>
        <v/>
      </c>
      <c r="BP4753">
        <f>IF(4740&lt;$U$9,MOD(4740,$U$8)+1,1)</f>
        <v/>
      </c>
      <c r="BQ4753">
        <f>IF(4740&lt;$U$9,SUMPRODUCT(($D$10:$L$10&lt;&gt;"")*(($D$9:$L$9+INT(($S$12:$AA$12+INDEX($AJ$13:$AR$162,BN4753,0)+INDEX($AT$13:$BB$162,BO4753,0)+INDEX($BD$13:$BL$162,BP4753,0))/100))&gt;=$D$10:$L$10)),0)</f>
        <v/>
      </c>
      <c r="BR4753">
        <f>IF(4740&lt;$U$9,SUMPRODUCT(($D$10:$L$10&lt;&gt;"")*(($D$10:$L$10-($D$9:$L$9+INT(($S$12:$AA$12+INDEX($AJ$13:$AR$162,BN4753,0)+INDEX($AT$13:$BB$162,BO4753,0)+INDEX($BD$13:$BL$162,BP4753,0))/100)))&gt;0)*($D$10:$L$10-($D$9:$L$9+INT(($S$12:$AA$12+INDEX($AJ$13:$AR$162,BN4753,0)+INDEX($AT$13:$BB$162,BO4753,0)+INDEX($BD$13:$BL$162,BP4753,0))/100)))),0)</f>
        <v/>
      </c>
      <c r="BS4753">
        <f>IF(4740&lt;$U$9,SUMPRODUCT(($D$9:$L$9+INT(($S$12:$AA$12+INDEX($AJ$13:$AR$162,BN4753,0)+INDEX($AT$13:$BB$162,BO4753,0)+INDEX($BD$13:$BL$162,BP4753,0))/100))),0)</f>
        <v/>
      </c>
      <c r="BT4753">
        <f>IF(AND(4740&lt;$U$9,$W$5),BQ4753*1000000-MIN(BR4753,999)*1000+BS4753-4740/100000,-1000000000-4740)</f>
        <v/>
      </c>
    </row>
    <row r="4754">
      <c r="BN4754">
        <f>IF(4741&lt;$U$9,INT(4741/($U$7*$U$8))+1,1)</f>
        <v/>
      </c>
      <c r="BO4754">
        <f>IF(4741&lt;$U$9,MOD(INT(4741/$U$8),$U$7)+1,1)</f>
        <v/>
      </c>
      <c r="BP4754">
        <f>IF(4741&lt;$U$9,MOD(4741,$U$8)+1,1)</f>
        <v/>
      </c>
      <c r="BQ4754">
        <f>IF(4741&lt;$U$9,SUMPRODUCT(($D$10:$L$10&lt;&gt;"")*(($D$9:$L$9+INT(($S$12:$AA$12+INDEX($AJ$13:$AR$162,BN4754,0)+INDEX($AT$13:$BB$162,BO4754,0)+INDEX($BD$13:$BL$162,BP4754,0))/100))&gt;=$D$10:$L$10)),0)</f>
        <v/>
      </c>
      <c r="BR4754">
        <f>IF(4741&lt;$U$9,SUMPRODUCT(($D$10:$L$10&lt;&gt;"")*(($D$10:$L$10-($D$9:$L$9+INT(($S$12:$AA$12+INDEX($AJ$13:$AR$162,BN4754,0)+INDEX($AT$13:$BB$162,BO4754,0)+INDEX($BD$13:$BL$162,BP4754,0))/100)))&gt;0)*($D$10:$L$10-($D$9:$L$9+INT(($S$12:$AA$12+INDEX($AJ$13:$AR$162,BN4754,0)+INDEX($AT$13:$BB$162,BO4754,0)+INDEX($BD$13:$BL$162,BP4754,0))/100)))),0)</f>
        <v/>
      </c>
      <c r="BS4754">
        <f>IF(4741&lt;$U$9,SUMPRODUCT(($D$9:$L$9+INT(($S$12:$AA$12+INDEX($AJ$13:$AR$162,BN4754,0)+INDEX($AT$13:$BB$162,BO4754,0)+INDEX($BD$13:$BL$162,BP4754,0))/100))),0)</f>
        <v/>
      </c>
      <c r="BT4754">
        <f>IF(AND(4741&lt;$U$9,$W$5),BQ4754*1000000-MIN(BR4754,999)*1000+BS4754-4741/100000,-1000000000-4741)</f>
        <v/>
      </c>
    </row>
    <row r="4755">
      <c r="BN4755">
        <f>IF(4742&lt;$U$9,INT(4742/($U$7*$U$8))+1,1)</f>
        <v/>
      </c>
      <c r="BO4755">
        <f>IF(4742&lt;$U$9,MOD(INT(4742/$U$8),$U$7)+1,1)</f>
        <v/>
      </c>
      <c r="BP4755">
        <f>IF(4742&lt;$U$9,MOD(4742,$U$8)+1,1)</f>
        <v/>
      </c>
      <c r="BQ4755">
        <f>IF(4742&lt;$U$9,SUMPRODUCT(($D$10:$L$10&lt;&gt;"")*(($D$9:$L$9+INT(($S$12:$AA$12+INDEX($AJ$13:$AR$162,BN4755,0)+INDEX($AT$13:$BB$162,BO4755,0)+INDEX($BD$13:$BL$162,BP4755,0))/100))&gt;=$D$10:$L$10)),0)</f>
        <v/>
      </c>
      <c r="BR4755">
        <f>IF(4742&lt;$U$9,SUMPRODUCT(($D$10:$L$10&lt;&gt;"")*(($D$10:$L$10-($D$9:$L$9+INT(($S$12:$AA$12+INDEX($AJ$13:$AR$162,BN4755,0)+INDEX($AT$13:$BB$162,BO4755,0)+INDEX($BD$13:$BL$162,BP4755,0))/100)))&gt;0)*($D$10:$L$10-($D$9:$L$9+INT(($S$12:$AA$12+INDEX($AJ$13:$AR$162,BN4755,0)+INDEX($AT$13:$BB$162,BO4755,0)+INDEX($BD$13:$BL$162,BP4755,0))/100)))),0)</f>
        <v/>
      </c>
      <c r="BS4755">
        <f>IF(4742&lt;$U$9,SUMPRODUCT(($D$9:$L$9+INT(($S$12:$AA$12+INDEX($AJ$13:$AR$162,BN4755,0)+INDEX($AT$13:$BB$162,BO4755,0)+INDEX($BD$13:$BL$162,BP4755,0))/100))),0)</f>
        <v/>
      </c>
      <c r="BT4755">
        <f>IF(AND(4742&lt;$U$9,$W$5),BQ4755*1000000-MIN(BR4755,999)*1000+BS4755-4742/100000,-1000000000-4742)</f>
        <v/>
      </c>
    </row>
    <row r="4756">
      <c r="BN4756">
        <f>IF(4743&lt;$U$9,INT(4743/($U$7*$U$8))+1,1)</f>
        <v/>
      </c>
      <c r="BO4756">
        <f>IF(4743&lt;$U$9,MOD(INT(4743/$U$8),$U$7)+1,1)</f>
        <v/>
      </c>
      <c r="BP4756">
        <f>IF(4743&lt;$U$9,MOD(4743,$U$8)+1,1)</f>
        <v/>
      </c>
      <c r="BQ4756">
        <f>IF(4743&lt;$U$9,SUMPRODUCT(($D$10:$L$10&lt;&gt;"")*(($D$9:$L$9+INT(($S$12:$AA$12+INDEX($AJ$13:$AR$162,BN4756,0)+INDEX($AT$13:$BB$162,BO4756,0)+INDEX($BD$13:$BL$162,BP4756,0))/100))&gt;=$D$10:$L$10)),0)</f>
        <v/>
      </c>
      <c r="BR4756">
        <f>IF(4743&lt;$U$9,SUMPRODUCT(($D$10:$L$10&lt;&gt;"")*(($D$10:$L$10-($D$9:$L$9+INT(($S$12:$AA$12+INDEX($AJ$13:$AR$162,BN4756,0)+INDEX($AT$13:$BB$162,BO4756,0)+INDEX($BD$13:$BL$162,BP4756,0))/100)))&gt;0)*($D$10:$L$10-($D$9:$L$9+INT(($S$12:$AA$12+INDEX($AJ$13:$AR$162,BN4756,0)+INDEX($AT$13:$BB$162,BO4756,0)+INDEX($BD$13:$BL$162,BP4756,0))/100)))),0)</f>
        <v/>
      </c>
      <c r="BS4756">
        <f>IF(4743&lt;$U$9,SUMPRODUCT(($D$9:$L$9+INT(($S$12:$AA$12+INDEX($AJ$13:$AR$162,BN4756,0)+INDEX($AT$13:$BB$162,BO4756,0)+INDEX($BD$13:$BL$162,BP4756,0))/100))),0)</f>
        <v/>
      </c>
      <c r="BT4756">
        <f>IF(AND(4743&lt;$U$9,$W$5),BQ4756*1000000-MIN(BR4756,999)*1000+BS4756-4743/100000,-1000000000-4743)</f>
        <v/>
      </c>
    </row>
    <row r="4757">
      <c r="BN4757">
        <f>IF(4744&lt;$U$9,INT(4744/($U$7*$U$8))+1,1)</f>
        <v/>
      </c>
      <c r="BO4757">
        <f>IF(4744&lt;$U$9,MOD(INT(4744/$U$8),$U$7)+1,1)</f>
        <v/>
      </c>
      <c r="BP4757">
        <f>IF(4744&lt;$U$9,MOD(4744,$U$8)+1,1)</f>
        <v/>
      </c>
      <c r="BQ4757">
        <f>IF(4744&lt;$U$9,SUMPRODUCT(($D$10:$L$10&lt;&gt;"")*(($D$9:$L$9+INT(($S$12:$AA$12+INDEX($AJ$13:$AR$162,BN4757,0)+INDEX($AT$13:$BB$162,BO4757,0)+INDEX($BD$13:$BL$162,BP4757,0))/100))&gt;=$D$10:$L$10)),0)</f>
        <v/>
      </c>
      <c r="BR4757">
        <f>IF(4744&lt;$U$9,SUMPRODUCT(($D$10:$L$10&lt;&gt;"")*(($D$10:$L$10-($D$9:$L$9+INT(($S$12:$AA$12+INDEX($AJ$13:$AR$162,BN4757,0)+INDEX($AT$13:$BB$162,BO4757,0)+INDEX($BD$13:$BL$162,BP4757,0))/100)))&gt;0)*($D$10:$L$10-($D$9:$L$9+INT(($S$12:$AA$12+INDEX($AJ$13:$AR$162,BN4757,0)+INDEX($AT$13:$BB$162,BO4757,0)+INDEX($BD$13:$BL$162,BP4757,0))/100)))),0)</f>
        <v/>
      </c>
      <c r="BS4757">
        <f>IF(4744&lt;$U$9,SUMPRODUCT(($D$9:$L$9+INT(($S$12:$AA$12+INDEX($AJ$13:$AR$162,BN4757,0)+INDEX($AT$13:$BB$162,BO4757,0)+INDEX($BD$13:$BL$162,BP4757,0))/100))),0)</f>
        <v/>
      </c>
      <c r="BT4757">
        <f>IF(AND(4744&lt;$U$9,$W$5),BQ4757*1000000-MIN(BR4757,999)*1000+BS4757-4744/100000,-1000000000-4744)</f>
        <v/>
      </c>
    </row>
    <row r="4758">
      <c r="BN4758">
        <f>IF(4745&lt;$U$9,INT(4745/($U$7*$U$8))+1,1)</f>
        <v/>
      </c>
      <c r="BO4758">
        <f>IF(4745&lt;$U$9,MOD(INT(4745/$U$8),$U$7)+1,1)</f>
        <v/>
      </c>
      <c r="BP4758">
        <f>IF(4745&lt;$U$9,MOD(4745,$U$8)+1,1)</f>
        <v/>
      </c>
      <c r="BQ4758">
        <f>IF(4745&lt;$U$9,SUMPRODUCT(($D$10:$L$10&lt;&gt;"")*(($D$9:$L$9+INT(($S$12:$AA$12+INDEX($AJ$13:$AR$162,BN4758,0)+INDEX($AT$13:$BB$162,BO4758,0)+INDEX($BD$13:$BL$162,BP4758,0))/100))&gt;=$D$10:$L$10)),0)</f>
        <v/>
      </c>
      <c r="BR4758">
        <f>IF(4745&lt;$U$9,SUMPRODUCT(($D$10:$L$10&lt;&gt;"")*(($D$10:$L$10-($D$9:$L$9+INT(($S$12:$AA$12+INDEX($AJ$13:$AR$162,BN4758,0)+INDEX($AT$13:$BB$162,BO4758,0)+INDEX($BD$13:$BL$162,BP4758,0))/100)))&gt;0)*($D$10:$L$10-($D$9:$L$9+INT(($S$12:$AA$12+INDEX($AJ$13:$AR$162,BN4758,0)+INDEX($AT$13:$BB$162,BO4758,0)+INDEX($BD$13:$BL$162,BP4758,0))/100)))),0)</f>
        <v/>
      </c>
      <c r="BS4758">
        <f>IF(4745&lt;$U$9,SUMPRODUCT(($D$9:$L$9+INT(($S$12:$AA$12+INDEX($AJ$13:$AR$162,BN4758,0)+INDEX($AT$13:$BB$162,BO4758,0)+INDEX($BD$13:$BL$162,BP4758,0))/100))),0)</f>
        <v/>
      </c>
      <c r="BT4758">
        <f>IF(AND(4745&lt;$U$9,$W$5),BQ4758*1000000-MIN(BR4758,999)*1000+BS4758-4745/100000,-1000000000-4745)</f>
        <v/>
      </c>
    </row>
    <row r="4759">
      <c r="BN4759">
        <f>IF(4746&lt;$U$9,INT(4746/($U$7*$U$8))+1,1)</f>
        <v/>
      </c>
      <c r="BO4759">
        <f>IF(4746&lt;$U$9,MOD(INT(4746/$U$8),$U$7)+1,1)</f>
        <v/>
      </c>
      <c r="BP4759">
        <f>IF(4746&lt;$U$9,MOD(4746,$U$8)+1,1)</f>
        <v/>
      </c>
      <c r="BQ4759">
        <f>IF(4746&lt;$U$9,SUMPRODUCT(($D$10:$L$10&lt;&gt;"")*(($D$9:$L$9+INT(($S$12:$AA$12+INDEX($AJ$13:$AR$162,BN4759,0)+INDEX($AT$13:$BB$162,BO4759,0)+INDEX($BD$13:$BL$162,BP4759,0))/100))&gt;=$D$10:$L$10)),0)</f>
        <v/>
      </c>
      <c r="BR4759">
        <f>IF(4746&lt;$U$9,SUMPRODUCT(($D$10:$L$10&lt;&gt;"")*(($D$10:$L$10-($D$9:$L$9+INT(($S$12:$AA$12+INDEX($AJ$13:$AR$162,BN4759,0)+INDEX($AT$13:$BB$162,BO4759,0)+INDEX($BD$13:$BL$162,BP4759,0))/100)))&gt;0)*($D$10:$L$10-($D$9:$L$9+INT(($S$12:$AA$12+INDEX($AJ$13:$AR$162,BN4759,0)+INDEX($AT$13:$BB$162,BO4759,0)+INDEX($BD$13:$BL$162,BP4759,0))/100)))),0)</f>
        <v/>
      </c>
      <c r="BS4759">
        <f>IF(4746&lt;$U$9,SUMPRODUCT(($D$9:$L$9+INT(($S$12:$AA$12+INDEX($AJ$13:$AR$162,BN4759,0)+INDEX($AT$13:$BB$162,BO4759,0)+INDEX($BD$13:$BL$162,BP4759,0))/100))),0)</f>
        <v/>
      </c>
      <c r="BT4759">
        <f>IF(AND(4746&lt;$U$9,$W$5),BQ4759*1000000-MIN(BR4759,999)*1000+BS4759-4746/100000,-1000000000-4746)</f>
        <v/>
      </c>
    </row>
    <row r="4760">
      <c r="BN4760">
        <f>IF(4747&lt;$U$9,INT(4747/($U$7*$U$8))+1,1)</f>
        <v/>
      </c>
      <c r="BO4760">
        <f>IF(4747&lt;$U$9,MOD(INT(4747/$U$8),$U$7)+1,1)</f>
        <v/>
      </c>
      <c r="BP4760">
        <f>IF(4747&lt;$U$9,MOD(4747,$U$8)+1,1)</f>
        <v/>
      </c>
      <c r="BQ4760">
        <f>IF(4747&lt;$U$9,SUMPRODUCT(($D$10:$L$10&lt;&gt;"")*(($D$9:$L$9+INT(($S$12:$AA$12+INDEX($AJ$13:$AR$162,BN4760,0)+INDEX($AT$13:$BB$162,BO4760,0)+INDEX($BD$13:$BL$162,BP4760,0))/100))&gt;=$D$10:$L$10)),0)</f>
        <v/>
      </c>
      <c r="BR4760">
        <f>IF(4747&lt;$U$9,SUMPRODUCT(($D$10:$L$10&lt;&gt;"")*(($D$10:$L$10-($D$9:$L$9+INT(($S$12:$AA$12+INDEX($AJ$13:$AR$162,BN4760,0)+INDEX($AT$13:$BB$162,BO4760,0)+INDEX($BD$13:$BL$162,BP4760,0))/100)))&gt;0)*($D$10:$L$10-($D$9:$L$9+INT(($S$12:$AA$12+INDEX($AJ$13:$AR$162,BN4760,0)+INDEX($AT$13:$BB$162,BO4760,0)+INDEX($BD$13:$BL$162,BP4760,0))/100)))),0)</f>
        <v/>
      </c>
      <c r="BS4760">
        <f>IF(4747&lt;$U$9,SUMPRODUCT(($D$9:$L$9+INT(($S$12:$AA$12+INDEX($AJ$13:$AR$162,BN4760,0)+INDEX($AT$13:$BB$162,BO4760,0)+INDEX($BD$13:$BL$162,BP4760,0))/100))),0)</f>
        <v/>
      </c>
      <c r="BT4760">
        <f>IF(AND(4747&lt;$U$9,$W$5),BQ4760*1000000-MIN(BR4760,999)*1000+BS4760-4747/100000,-1000000000-4747)</f>
        <v/>
      </c>
    </row>
    <row r="4761">
      <c r="BN4761">
        <f>IF(4748&lt;$U$9,INT(4748/($U$7*$U$8))+1,1)</f>
        <v/>
      </c>
      <c r="BO4761">
        <f>IF(4748&lt;$U$9,MOD(INT(4748/$U$8),$U$7)+1,1)</f>
        <v/>
      </c>
      <c r="BP4761">
        <f>IF(4748&lt;$U$9,MOD(4748,$U$8)+1,1)</f>
        <v/>
      </c>
      <c r="BQ4761">
        <f>IF(4748&lt;$U$9,SUMPRODUCT(($D$10:$L$10&lt;&gt;"")*(($D$9:$L$9+INT(($S$12:$AA$12+INDEX($AJ$13:$AR$162,BN4761,0)+INDEX($AT$13:$BB$162,BO4761,0)+INDEX($BD$13:$BL$162,BP4761,0))/100))&gt;=$D$10:$L$10)),0)</f>
        <v/>
      </c>
      <c r="BR4761">
        <f>IF(4748&lt;$U$9,SUMPRODUCT(($D$10:$L$10&lt;&gt;"")*(($D$10:$L$10-($D$9:$L$9+INT(($S$12:$AA$12+INDEX($AJ$13:$AR$162,BN4761,0)+INDEX($AT$13:$BB$162,BO4761,0)+INDEX($BD$13:$BL$162,BP4761,0))/100)))&gt;0)*($D$10:$L$10-($D$9:$L$9+INT(($S$12:$AA$12+INDEX($AJ$13:$AR$162,BN4761,0)+INDEX($AT$13:$BB$162,BO4761,0)+INDEX($BD$13:$BL$162,BP4761,0))/100)))),0)</f>
        <v/>
      </c>
      <c r="BS4761">
        <f>IF(4748&lt;$U$9,SUMPRODUCT(($D$9:$L$9+INT(($S$12:$AA$12+INDEX($AJ$13:$AR$162,BN4761,0)+INDEX($AT$13:$BB$162,BO4761,0)+INDEX($BD$13:$BL$162,BP4761,0))/100))),0)</f>
        <v/>
      </c>
      <c r="BT4761">
        <f>IF(AND(4748&lt;$U$9,$W$5),BQ4761*1000000-MIN(BR4761,999)*1000+BS4761-4748/100000,-1000000000-4748)</f>
        <v/>
      </c>
    </row>
    <row r="4762">
      <c r="BN4762">
        <f>IF(4749&lt;$U$9,INT(4749/($U$7*$U$8))+1,1)</f>
        <v/>
      </c>
      <c r="BO4762">
        <f>IF(4749&lt;$U$9,MOD(INT(4749/$U$8),$U$7)+1,1)</f>
        <v/>
      </c>
      <c r="BP4762">
        <f>IF(4749&lt;$U$9,MOD(4749,$U$8)+1,1)</f>
        <v/>
      </c>
      <c r="BQ4762">
        <f>IF(4749&lt;$U$9,SUMPRODUCT(($D$10:$L$10&lt;&gt;"")*(($D$9:$L$9+INT(($S$12:$AA$12+INDEX($AJ$13:$AR$162,BN4762,0)+INDEX($AT$13:$BB$162,BO4762,0)+INDEX($BD$13:$BL$162,BP4762,0))/100))&gt;=$D$10:$L$10)),0)</f>
        <v/>
      </c>
      <c r="BR4762">
        <f>IF(4749&lt;$U$9,SUMPRODUCT(($D$10:$L$10&lt;&gt;"")*(($D$10:$L$10-($D$9:$L$9+INT(($S$12:$AA$12+INDEX($AJ$13:$AR$162,BN4762,0)+INDEX($AT$13:$BB$162,BO4762,0)+INDEX($BD$13:$BL$162,BP4762,0))/100)))&gt;0)*($D$10:$L$10-($D$9:$L$9+INT(($S$12:$AA$12+INDEX($AJ$13:$AR$162,BN4762,0)+INDEX($AT$13:$BB$162,BO4762,0)+INDEX($BD$13:$BL$162,BP4762,0))/100)))),0)</f>
        <v/>
      </c>
      <c r="BS4762">
        <f>IF(4749&lt;$U$9,SUMPRODUCT(($D$9:$L$9+INT(($S$12:$AA$12+INDEX($AJ$13:$AR$162,BN4762,0)+INDEX($AT$13:$BB$162,BO4762,0)+INDEX($BD$13:$BL$162,BP4762,0))/100))),0)</f>
        <v/>
      </c>
      <c r="BT4762">
        <f>IF(AND(4749&lt;$U$9,$W$5),BQ4762*1000000-MIN(BR4762,999)*1000+BS4762-4749/100000,-1000000000-4749)</f>
        <v/>
      </c>
    </row>
    <row r="4763">
      <c r="BN4763">
        <f>IF(4750&lt;$U$9,INT(4750/($U$7*$U$8))+1,1)</f>
        <v/>
      </c>
      <c r="BO4763">
        <f>IF(4750&lt;$U$9,MOD(INT(4750/$U$8),$U$7)+1,1)</f>
        <v/>
      </c>
      <c r="BP4763">
        <f>IF(4750&lt;$U$9,MOD(4750,$U$8)+1,1)</f>
        <v/>
      </c>
      <c r="BQ4763">
        <f>IF(4750&lt;$U$9,SUMPRODUCT(($D$10:$L$10&lt;&gt;"")*(($D$9:$L$9+INT(($S$12:$AA$12+INDEX($AJ$13:$AR$162,BN4763,0)+INDEX($AT$13:$BB$162,BO4763,0)+INDEX($BD$13:$BL$162,BP4763,0))/100))&gt;=$D$10:$L$10)),0)</f>
        <v/>
      </c>
      <c r="BR4763">
        <f>IF(4750&lt;$U$9,SUMPRODUCT(($D$10:$L$10&lt;&gt;"")*(($D$10:$L$10-($D$9:$L$9+INT(($S$12:$AA$12+INDEX($AJ$13:$AR$162,BN4763,0)+INDEX($AT$13:$BB$162,BO4763,0)+INDEX($BD$13:$BL$162,BP4763,0))/100)))&gt;0)*($D$10:$L$10-($D$9:$L$9+INT(($S$12:$AA$12+INDEX($AJ$13:$AR$162,BN4763,0)+INDEX($AT$13:$BB$162,BO4763,0)+INDEX($BD$13:$BL$162,BP4763,0))/100)))),0)</f>
        <v/>
      </c>
      <c r="BS4763">
        <f>IF(4750&lt;$U$9,SUMPRODUCT(($D$9:$L$9+INT(($S$12:$AA$12+INDEX($AJ$13:$AR$162,BN4763,0)+INDEX($AT$13:$BB$162,BO4763,0)+INDEX($BD$13:$BL$162,BP4763,0))/100))),0)</f>
        <v/>
      </c>
      <c r="BT4763">
        <f>IF(AND(4750&lt;$U$9,$W$5),BQ4763*1000000-MIN(BR4763,999)*1000+BS4763-4750/100000,-1000000000-4750)</f>
        <v/>
      </c>
    </row>
    <row r="4764">
      <c r="BN4764">
        <f>IF(4751&lt;$U$9,INT(4751/($U$7*$U$8))+1,1)</f>
        <v/>
      </c>
      <c r="BO4764">
        <f>IF(4751&lt;$U$9,MOD(INT(4751/$U$8),$U$7)+1,1)</f>
        <v/>
      </c>
      <c r="BP4764">
        <f>IF(4751&lt;$U$9,MOD(4751,$U$8)+1,1)</f>
        <v/>
      </c>
      <c r="BQ4764">
        <f>IF(4751&lt;$U$9,SUMPRODUCT(($D$10:$L$10&lt;&gt;"")*(($D$9:$L$9+INT(($S$12:$AA$12+INDEX($AJ$13:$AR$162,BN4764,0)+INDEX($AT$13:$BB$162,BO4764,0)+INDEX($BD$13:$BL$162,BP4764,0))/100))&gt;=$D$10:$L$10)),0)</f>
        <v/>
      </c>
      <c r="BR4764">
        <f>IF(4751&lt;$U$9,SUMPRODUCT(($D$10:$L$10&lt;&gt;"")*(($D$10:$L$10-($D$9:$L$9+INT(($S$12:$AA$12+INDEX($AJ$13:$AR$162,BN4764,0)+INDEX($AT$13:$BB$162,BO4764,0)+INDEX($BD$13:$BL$162,BP4764,0))/100)))&gt;0)*($D$10:$L$10-($D$9:$L$9+INT(($S$12:$AA$12+INDEX($AJ$13:$AR$162,BN4764,0)+INDEX($AT$13:$BB$162,BO4764,0)+INDEX($BD$13:$BL$162,BP4764,0))/100)))),0)</f>
        <v/>
      </c>
      <c r="BS4764">
        <f>IF(4751&lt;$U$9,SUMPRODUCT(($D$9:$L$9+INT(($S$12:$AA$12+INDEX($AJ$13:$AR$162,BN4764,0)+INDEX($AT$13:$BB$162,BO4764,0)+INDEX($BD$13:$BL$162,BP4764,0))/100))),0)</f>
        <v/>
      </c>
      <c r="BT4764">
        <f>IF(AND(4751&lt;$U$9,$W$5),BQ4764*1000000-MIN(BR4764,999)*1000+BS4764-4751/100000,-1000000000-4751)</f>
        <v/>
      </c>
    </row>
    <row r="4765">
      <c r="BN4765">
        <f>IF(4752&lt;$U$9,INT(4752/($U$7*$U$8))+1,1)</f>
        <v/>
      </c>
      <c r="BO4765">
        <f>IF(4752&lt;$U$9,MOD(INT(4752/$U$8),$U$7)+1,1)</f>
        <v/>
      </c>
      <c r="BP4765">
        <f>IF(4752&lt;$U$9,MOD(4752,$U$8)+1,1)</f>
        <v/>
      </c>
      <c r="BQ4765">
        <f>IF(4752&lt;$U$9,SUMPRODUCT(($D$10:$L$10&lt;&gt;"")*(($D$9:$L$9+INT(($S$12:$AA$12+INDEX($AJ$13:$AR$162,BN4765,0)+INDEX($AT$13:$BB$162,BO4765,0)+INDEX($BD$13:$BL$162,BP4765,0))/100))&gt;=$D$10:$L$10)),0)</f>
        <v/>
      </c>
      <c r="BR4765">
        <f>IF(4752&lt;$U$9,SUMPRODUCT(($D$10:$L$10&lt;&gt;"")*(($D$10:$L$10-($D$9:$L$9+INT(($S$12:$AA$12+INDEX($AJ$13:$AR$162,BN4765,0)+INDEX($AT$13:$BB$162,BO4765,0)+INDEX($BD$13:$BL$162,BP4765,0))/100)))&gt;0)*($D$10:$L$10-($D$9:$L$9+INT(($S$12:$AA$12+INDEX($AJ$13:$AR$162,BN4765,0)+INDEX($AT$13:$BB$162,BO4765,0)+INDEX($BD$13:$BL$162,BP4765,0))/100)))),0)</f>
        <v/>
      </c>
      <c r="BS4765">
        <f>IF(4752&lt;$U$9,SUMPRODUCT(($D$9:$L$9+INT(($S$12:$AA$12+INDEX($AJ$13:$AR$162,BN4765,0)+INDEX($AT$13:$BB$162,BO4765,0)+INDEX($BD$13:$BL$162,BP4765,0))/100))),0)</f>
        <v/>
      </c>
      <c r="BT4765">
        <f>IF(AND(4752&lt;$U$9,$W$5),BQ4765*1000000-MIN(BR4765,999)*1000+BS4765-4752/100000,-1000000000-4752)</f>
        <v/>
      </c>
    </row>
    <row r="4766">
      <c r="BN4766">
        <f>IF(4753&lt;$U$9,INT(4753/($U$7*$U$8))+1,1)</f>
        <v/>
      </c>
      <c r="BO4766">
        <f>IF(4753&lt;$U$9,MOD(INT(4753/$U$8),$U$7)+1,1)</f>
        <v/>
      </c>
      <c r="BP4766">
        <f>IF(4753&lt;$U$9,MOD(4753,$U$8)+1,1)</f>
        <v/>
      </c>
      <c r="BQ4766">
        <f>IF(4753&lt;$U$9,SUMPRODUCT(($D$10:$L$10&lt;&gt;"")*(($D$9:$L$9+INT(($S$12:$AA$12+INDEX($AJ$13:$AR$162,BN4766,0)+INDEX($AT$13:$BB$162,BO4766,0)+INDEX($BD$13:$BL$162,BP4766,0))/100))&gt;=$D$10:$L$10)),0)</f>
        <v/>
      </c>
      <c r="BR4766">
        <f>IF(4753&lt;$U$9,SUMPRODUCT(($D$10:$L$10&lt;&gt;"")*(($D$10:$L$10-($D$9:$L$9+INT(($S$12:$AA$12+INDEX($AJ$13:$AR$162,BN4766,0)+INDEX($AT$13:$BB$162,BO4766,0)+INDEX($BD$13:$BL$162,BP4766,0))/100)))&gt;0)*($D$10:$L$10-($D$9:$L$9+INT(($S$12:$AA$12+INDEX($AJ$13:$AR$162,BN4766,0)+INDEX($AT$13:$BB$162,BO4766,0)+INDEX($BD$13:$BL$162,BP4766,0))/100)))),0)</f>
        <v/>
      </c>
      <c r="BS4766">
        <f>IF(4753&lt;$U$9,SUMPRODUCT(($D$9:$L$9+INT(($S$12:$AA$12+INDEX($AJ$13:$AR$162,BN4766,0)+INDEX($AT$13:$BB$162,BO4766,0)+INDEX($BD$13:$BL$162,BP4766,0))/100))),0)</f>
        <v/>
      </c>
      <c r="BT4766">
        <f>IF(AND(4753&lt;$U$9,$W$5),BQ4766*1000000-MIN(BR4766,999)*1000+BS4766-4753/100000,-1000000000-4753)</f>
        <v/>
      </c>
    </row>
    <row r="4767">
      <c r="BN4767">
        <f>IF(4754&lt;$U$9,INT(4754/($U$7*$U$8))+1,1)</f>
        <v/>
      </c>
      <c r="BO4767">
        <f>IF(4754&lt;$U$9,MOD(INT(4754/$U$8),$U$7)+1,1)</f>
        <v/>
      </c>
      <c r="BP4767">
        <f>IF(4754&lt;$U$9,MOD(4754,$U$8)+1,1)</f>
        <v/>
      </c>
      <c r="BQ4767">
        <f>IF(4754&lt;$U$9,SUMPRODUCT(($D$10:$L$10&lt;&gt;"")*(($D$9:$L$9+INT(($S$12:$AA$12+INDEX($AJ$13:$AR$162,BN4767,0)+INDEX($AT$13:$BB$162,BO4767,0)+INDEX($BD$13:$BL$162,BP4767,0))/100))&gt;=$D$10:$L$10)),0)</f>
        <v/>
      </c>
      <c r="BR4767">
        <f>IF(4754&lt;$U$9,SUMPRODUCT(($D$10:$L$10&lt;&gt;"")*(($D$10:$L$10-($D$9:$L$9+INT(($S$12:$AA$12+INDEX($AJ$13:$AR$162,BN4767,0)+INDEX($AT$13:$BB$162,BO4767,0)+INDEX($BD$13:$BL$162,BP4767,0))/100)))&gt;0)*($D$10:$L$10-($D$9:$L$9+INT(($S$12:$AA$12+INDEX($AJ$13:$AR$162,BN4767,0)+INDEX($AT$13:$BB$162,BO4767,0)+INDEX($BD$13:$BL$162,BP4767,0))/100)))),0)</f>
        <v/>
      </c>
      <c r="BS4767">
        <f>IF(4754&lt;$U$9,SUMPRODUCT(($D$9:$L$9+INT(($S$12:$AA$12+INDEX($AJ$13:$AR$162,BN4767,0)+INDEX($AT$13:$BB$162,BO4767,0)+INDEX($BD$13:$BL$162,BP4767,0))/100))),0)</f>
        <v/>
      </c>
      <c r="BT4767">
        <f>IF(AND(4754&lt;$U$9,$W$5),BQ4767*1000000-MIN(BR4767,999)*1000+BS4767-4754/100000,-1000000000-4754)</f>
        <v/>
      </c>
    </row>
    <row r="4768">
      <c r="BN4768">
        <f>IF(4755&lt;$U$9,INT(4755/($U$7*$U$8))+1,1)</f>
        <v/>
      </c>
      <c r="BO4768">
        <f>IF(4755&lt;$U$9,MOD(INT(4755/$U$8),$U$7)+1,1)</f>
        <v/>
      </c>
      <c r="BP4768">
        <f>IF(4755&lt;$U$9,MOD(4755,$U$8)+1,1)</f>
        <v/>
      </c>
      <c r="BQ4768">
        <f>IF(4755&lt;$U$9,SUMPRODUCT(($D$10:$L$10&lt;&gt;"")*(($D$9:$L$9+INT(($S$12:$AA$12+INDEX($AJ$13:$AR$162,BN4768,0)+INDEX($AT$13:$BB$162,BO4768,0)+INDEX($BD$13:$BL$162,BP4768,0))/100))&gt;=$D$10:$L$10)),0)</f>
        <v/>
      </c>
      <c r="BR4768">
        <f>IF(4755&lt;$U$9,SUMPRODUCT(($D$10:$L$10&lt;&gt;"")*(($D$10:$L$10-($D$9:$L$9+INT(($S$12:$AA$12+INDEX($AJ$13:$AR$162,BN4768,0)+INDEX($AT$13:$BB$162,BO4768,0)+INDEX($BD$13:$BL$162,BP4768,0))/100)))&gt;0)*($D$10:$L$10-($D$9:$L$9+INT(($S$12:$AA$12+INDEX($AJ$13:$AR$162,BN4768,0)+INDEX($AT$13:$BB$162,BO4768,0)+INDEX($BD$13:$BL$162,BP4768,0))/100)))),0)</f>
        <v/>
      </c>
      <c r="BS4768">
        <f>IF(4755&lt;$U$9,SUMPRODUCT(($D$9:$L$9+INT(($S$12:$AA$12+INDEX($AJ$13:$AR$162,BN4768,0)+INDEX($AT$13:$BB$162,BO4768,0)+INDEX($BD$13:$BL$162,BP4768,0))/100))),0)</f>
        <v/>
      </c>
      <c r="BT4768">
        <f>IF(AND(4755&lt;$U$9,$W$5),BQ4768*1000000-MIN(BR4768,999)*1000+BS4768-4755/100000,-1000000000-4755)</f>
        <v/>
      </c>
    </row>
    <row r="4769">
      <c r="BN4769">
        <f>IF(4756&lt;$U$9,INT(4756/($U$7*$U$8))+1,1)</f>
        <v/>
      </c>
      <c r="BO4769">
        <f>IF(4756&lt;$U$9,MOD(INT(4756/$U$8),$U$7)+1,1)</f>
        <v/>
      </c>
      <c r="BP4769">
        <f>IF(4756&lt;$U$9,MOD(4756,$U$8)+1,1)</f>
        <v/>
      </c>
      <c r="BQ4769">
        <f>IF(4756&lt;$U$9,SUMPRODUCT(($D$10:$L$10&lt;&gt;"")*(($D$9:$L$9+INT(($S$12:$AA$12+INDEX($AJ$13:$AR$162,BN4769,0)+INDEX($AT$13:$BB$162,BO4769,0)+INDEX($BD$13:$BL$162,BP4769,0))/100))&gt;=$D$10:$L$10)),0)</f>
        <v/>
      </c>
      <c r="BR4769">
        <f>IF(4756&lt;$U$9,SUMPRODUCT(($D$10:$L$10&lt;&gt;"")*(($D$10:$L$10-($D$9:$L$9+INT(($S$12:$AA$12+INDEX($AJ$13:$AR$162,BN4769,0)+INDEX($AT$13:$BB$162,BO4769,0)+INDEX($BD$13:$BL$162,BP4769,0))/100)))&gt;0)*($D$10:$L$10-($D$9:$L$9+INT(($S$12:$AA$12+INDEX($AJ$13:$AR$162,BN4769,0)+INDEX($AT$13:$BB$162,BO4769,0)+INDEX($BD$13:$BL$162,BP4769,0))/100)))),0)</f>
        <v/>
      </c>
      <c r="BS4769">
        <f>IF(4756&lt;$U$9,SUMPRODUCT(($D$9:$L$9+INT(($S$12:$AA$12+INDEX($AJ$13:$AR$162,BN4769,0)+INDEX($AT$13:$BB$162,BO4769,0)+INDEX($BD$13:$BL$162,BP4769,0))/100))),0)</f>
        <v/>
      </c>
      <c r="BT4769">
        <f>IF(AND(4756&lt;$U$9,$W$5),BQ4769*1000000-MIN(BR4769,999)*1000+BS4769-4756/100000,-1000000000-4756)</f>
        <v/>
      </c>
    </row>
    <row r="4770">
      <c r="BN4770">
        <f>IF(4757&lt;$U$9,INT(4757/($U$7*$U$8))+1,1)</f>
        <v/>
      </c>
      <c r="BO4770">
        <f>IF(4757&lt;$U$9,MOD(INT(4757/$U$8),$U$7)+1,1)</f>
        <v/>
      </c>
      <c r="BP4770">
        <f>IF(4757&lt;$U$9,MOD(4757,$U$8)+1,1)</f>
        <v/>
      </c>
      <c r="BQ4770">
        <f>IF(4757&lt;$U$9,SUMPRODUCT(($D$10:$L$10&lt;&gt;"")*(($D$9:$L$9+INT(($S$12:$AA$12+INDEX($AJ$13:$AR$162,BN4770,0)+INDEX($AT$13:$BB$162,BO4770,0)+INDEX($BD$13:$BL$162,BP4770,0))/100))&gt;=$D$10:$L$10)),0)</f>
        <v/>
      </c>
      <c r="BR4770">
        <f>IF(4757&lt;$U$9,SUMPRODUCT(($D$10:$L$10&lt;&gt;"")*(($D$10:$L$10-($D$9:$L$9+INT(($S$12:$AA$12+INDEX($AJ$13:$AR$162,BN4770,0)+INDEX($AT$13:$BB$162,BO4770,0)+INDEX($BD$13:$BL$162,BP4770,0))/100)))&gt;0)*($D$10:$L$10-($D$9:$L$9+INT(($S$12:$AA$12+INDEX($AJ$13:$AR$162,BN4770,0)+INDEX($AT$13:$BB$162,BO4770,0)+INDEX($BD$13:$BL$162,BP4770,0))/100)))),0)</f>
        <v/>
      </c>
      <c r="BS4770">
        <f>IF(4757&lt;$U$9,SUMPRODUCT(($D$9:$L$9+INT(($S$12:$AA$12+INDEX($AJ$13:$AR$162,BN4770,0)+INDEX($AT$13:$BB$162,BO4770,0)+INDEX($BD$13:$BL$162,BP4770,0))/100))),0)</f>
        <v/>
      </c>
      <c r="BT4770">
        <f>IF(AND(4757&lt;$U$9,$W$5),BQ4770*1000000-MIN(BR4770,999)*1000+BS4770-4757/100000,-1000000000-4757)</f>
        <v/>
      </c>
    </row>
    <row r="4771">
      <c r="BN4771">
        <f>IF(4758&lt;$U$9,INT(4758/($U$7*$U$8))+1,1)</f>
        <v/>
      </c>
      <c r="BO4771">
        <f>IF(4758&lt;$U$9,MOD(INT(4758/$U$8),$U$7)+1,1)</f>
        <v/>
      </c>
      <c r="BP4771">
        <f>IF(4758&lt;$U$9,MOD(4758,$U$8)+1,1)</f>
        <v/>
      </c>
      <c r="BQ4771">
        <f>IF(4758&lt;$U$9,SUMPRODUCT(($D$10:$L$10&lt;&gt;"")*(($D$9:$L$9+INT(($S$12:$AA$12+INDEX($AJ$13:$AR$162,BN4771,0)+INDEX($AT$13:$BB$162,BO4771,0)+INDEX($BD$13:$BL$162,BP4771,0))/100))&gt;=$D$10:$L$10)),0)</f>
        <v/>
      </c>
      <c r="BR4771">
        <f>IF(4758&lt;$U$9,SUMPRODUCT(($D$10:$L$10&lt;&gt;"")*(($D$10:$L$10-($D$9:$L$9+INT(($S$12:$AA$12+INDEX($AJ$13:$AR$162,BN4771,0)+INDEX($AT$13:$BB$162,BO4771,0)+INDEX($BD$13:$BL$162,BP4771,0))/100)))&gt;0)*($D$10:$L$10-($D$9:$L$9+INT(($S$12:$AA$12+INDEX($AJ$13:$AR$162,BN4771,0)+INDEX($AT$13:$BB$162,BO4771,0)+INDEX($BD$13:$BL$162,BP4771,0))/100)))),0)</f>
        <v/>
      </c>
      <c r="BS4771">
        <f>IF(4758&lt;$U$9,SUMPRODUCT(($D$9:$L$9+INT(($S$12:$AA$12+INDEX($AJ$13:$AR$162,BN4771,0)+INDEX($AT$13:$BB$162,BO4771,0)+INDEX($BD$13:$BL$162,BP4771,0))/100))),0)</f>
        <v/>
      </c>
      <c r="BT4771">
        <f>IF(AND(4758&lt;$U$9,$W$5),BQ4771*1000000-MIN(BR4771,999)*1000+BS4771-4758/100000,-1000000000-4758)</f>
        <v/>
      </c>
    </row>
    <row r="4772">
      <c r="BN4772">
        <f>IF(4759&lt;$U$9,INT(4759/($U$7*$U$8))+1,1)</f>
        <v/>
      </c>
      <c r="BO4772">
        <f>IF(4759&lt;$U$9,MOD(INT(4759/$U$8),$U$7)+1,1)</f>
        <v/>
      </c>
      <c r="BP4772">
        <f>IF(4759&lt;$U$9,MOD(4759,$U$8)+1,1)</f>
        <v/>
      </c>
      <c r="BQ4772">
        <f>IF(4759&lt;$U$9,SUMPRODUCT(($D$10:$L$10&lt;&gt;"")*(($D$9:$L$9+INT(($S$12:$AA$12+INDEX($AJ$13:$AR$162,BN4772,0)+INDEX($AT$13:$BB$162,BO4772,0)+INDEX($BD$13:$BL$162,BP4772,0))/100))&gt;=$D$10:$L$10)),0)</f>
        <v/>
      </c>
      <c r="BR4772">
        <f>IF(4759&lt;$U$9,SUMPRODUCT(($D$10:$L$10&lt;&gt;"")*(($D$10:$L$10-($D$9:$L$9+INT(($S$12:$AA$12+INDEX($AJ$13:$AR$162,BN4772,0)+INDEX($AT$13:$BB$162,BO4772,0)+INDEX($BD$13:$BL$162,BP4772,0))/100)))&gt;0)*($D$10:$L$10-($D$9:$L$9+INT(($S$12:$AA$12+INDEX($AJ$13:$AR$162,BN4772,0)+INDEX($AT$13:$BB$162,BO4772,0)+INDEX($BD$13:$BL$162,BP4772,0))/100)))),0)</f>
        <v/>
      </c>
      <c r="BS4772">
        <f>IF(4759&lt;$U$9,SUMPRODUCT(($D$9:$L$9+INT(($S$12:$AA$12+INDEX($AJ$13:$AR$162,BN4772,0)+INDEX($AT$13:$BB$162,BO4772,0)+INDEX($BD$13:$BL$162,BP4772,0))/100))),0)</f>
        <v/>
      </c>
      <c r="BT4772">
        <f>IF(AND(4759&lt;$U$9,$W$5),BQ4772*1000000-MIN(BR4772,999)*1000+BS4772-4759/100000,-1000000000-4759)</f>
        <v/>
      </c>
    </row>
    <row r="4773">
      <c r="BN4773">
        <f>IF(4760&lt;$U$9,INT(4760/($U$7*$U$8))+1,1)</f>
        <v/>
      </c>
      <c r="BO4773">
        <f>IF(4760&lt;$U$9,MOD(INT(4760/$U$8),$U$7)+1,1)</f>
        <v/>
      </c>
      <c r="BP4773">
        <f>IF(4760&lt;$U$9,MOD(4760,$U$8)+1,1)</f>
        <v/>
      </c>
      <c r="BQ4773">
        <f>IF(4760&lt;$U$9,SUMPRODUCT(($D$10:$L$10&lt;&gt;"")*(($D$9:$L$9+INT(($S$12:$AA$12+INDEX($AJ$13:$AR$162,BN4773,0)+INDEX($AT$13:$BB$162,BO4773,0)+INDEX($BD$13:$BL$162,BP4773,0))/100))&gt;=$D$10:$L$10)),0)</f>
        <v/>
      </c>
      <c r="BR4773">
        <f>IF(4760&lt;$U$9,SUMPRODUCT(($D$10:$L$10&lt;&gt;"")*(($D$10:$L$10-($D$9:$L$9+INT(($S$12:$AA$12+INDEX($AJ$13:$AR$162,BN4773,0)+INDEX($AT$13:$BB$162,BO4773,0)+INDEX($BD$13:$BL$162,BP4773,0))/100)))&gt;0)*($D$10:$L$10-($D$9:$L$9+INT(($S$12:$AA$12+INDEX($AJ$13:$AR$162,BN4773,0)+INDEX($AT$13:$BB$162,BO4773,0)+INDEX($BD$13:$BL$162,BP4773,0))/100)))),0)</f>
        <v/>
      </c>
      <c r="BS4773">
        <f>IF(4760&lt;$U$9,SUMPRODUCT(($D$9:$L$9+INT(($S$12:$AA$12+INDEX($AJ$13:$AR$162,BN4773,0)+INDEX($AT$13:$BB$162,BO4773,0)+INDEX($BD$13:$BL$162,BP4773,0))/100))),0)</f>
        <v/>
      </c>
      <c r="BT4773">
        <f>IF(AND(4760&lt;$U$9,$W$5),BQ4773*1000000-MIN(BR4773,999)*1000+BS4773-4760/100000,-1000000000-4760)</f>
        <v/>
      </c>
    </row>
    <row r="4774">
      <c r="BN4774">
        <f>IF(4761&lt;$U$9,INT(4761/($U$7*$U$8))+1,1)</f>
        <v/>
      </c>
      <c r="BO4774">
        <f>IF(4761&lt;$U$9,MOD(INT(4761/$U$8),$U$7)+1,1)</f>
        <v/>
      </c>
      <c r="BP4774">
        <f>IF(4761&lt;$U$9,MOD(4761,$U$8)+1,1)</f>
        <v/>
      </c>
      <c r="BQ4774">
        <f>IF(4761&lt;$U$9,SUMPRODUCT(($D$10:$L$10&lt;&gt;"")*(($D$9:$L$9+INT(($S$12:$AA$12+INDEX($AJ$13:$AR$162,BN4774,0)+INDEX($AT$13:$BB$162,BO4774,0)+INDEX($BD$13:$BL$162,BP4774,0))/100))&gt;=$D$10:$L$10)),0)</f>
        <v/>
      </c>
      <c r="BR4774">
        <f>IF(4761&lt;$U$9,SUMPRODUCT(($D$10:$L$10&lt;&gt;"")*(($D$10:$L$10-($D$9:$L$9+INT(($S$12:$AA$12+INDEX($AJ$13:$AR$162,BN4774,0)+INDEX($AT$13:$BB$162,BO4774,0)+INDEX($BD$13:$BL$162,BP4774,0))/100)))&gt;0)*($D$10:$L$10-($D$9:$L$9+INT(($S$12:$AA$12+INDEX($AJ$13:$AR$162,BN4774,0)+INDEX($AT$13:$BB$162,BO4774,0)+INDEX($BD$13:$BL$162,BP4774,0))/100)))),0)</f>
        <v/>
      </c>
      <c r="BS4774">
        <f>IF(4761&lt;$U$9,SUMPRODUCT(($D$9:$L$9+INT(($S$12:$AA$12+INDEX($AJ$13:$AR$162,BN4774,0)+INDEX($AT$13:$BB$162,BO4774,0)+INDEX($BD$13:$BL$162,BP4774,0))/100))),0)</f>
        <v/>
      </c>
      <c r="BT4774">
        <f>IF(AND(4761&lt;$U$9,$W$5),BQ4774*1000000-MIN(BR4774,999)*1000+BS4774-4761/100000,-1000000000-4761)</f>
        <v/>
      </c>
    </row>
    <row r="4775">
      <c r="BN4775">
        <f>IF(4762&lt;$U$9,INT(4762/($U$7*$U$8))+1,1)</f>
        <v/>
      </c>
      <c r="BO4775">
        <f>IF(4762&lt;$U$9,MOD(INT(4762/$U$8),$U$7)+1,1)</f>
        <v/>
      </c>
      <c r="BP4775">
        <f>IF(4762&lt;$U$9,MOD(4762,$U$8)+1,1)</f>
        <v/>
      </c>
      <c r="BQ4775">
        <f>IF(4762&lt;$U$9,SUMPRODUCT(($D$10:$L$10&lt;&gt;"")*(($D$9:$L$9+INT(($S$12:$AA$12+INDEX($AJ$13:$AR$162,BN4775,0)+INDEX($AT$13:$BB$162,BO4775,0)+INDEX($BD$13:$BL$162,BP4775,0))/100))&gt;=$D$10:$L$10)),0)</f>
        <v/>
      </c>
      <c r="BR4775">
        <f>IF(4762&lt;$U$9,SUMPRODUCT(($D$10:$L$10&lt;&gt;"")*(($D$10:$L$10-($D$9:$L$9+INT(($S$12:$AA$12+INDEX($AJ$13:$AR$162,BN4775,0)+INDEX($AT$13:$BB$162,BO4775,0)+INDEX($BD$13:$BL$162,BP4775,0))/100)))&gt;0)*($D$10:$L$10-($D$9:$L$9+INT(($S$12:$AA$12+INDEX($AJ$13:$AR$162,BN4775,0)+INDEX($AT$13:$BB$162,BO4775,0)+INDEX($BD$13:$BL$162,BP4775,0))/100)))),0)</f>
        <v/>
      </c>
      <c r="BS4775">
        <f>IF(4762&lt;$U$9,SUMPRODUCT(($D$9:$L$9+INT(($S$12:$AA$12+INDEX($AJ$13:$AR$162,BN4775,0)+INDEX($AT$13:$BB$162,BO4775,0)+INDEX($BD$13:$BL$162,BP4775,0))/100))),0)</f>
        <v/>
      </c>
      <c r="BT4775">
        <f>IF(AND(4762&lt;$U$9,$W$5),BQ4775*1000000-MIN(BR4775,999)*1000+BS4775-4762/100000,-1000000000-4762)</f>
        <v/>
      </c>
    </row>
    <row r="4776">
      <c r="BN4776">
        <f>IF(4763&lt;$U$9,INT(4763/($U$7*$U$8))+1,1)</f>
        <v/>
      </c>
      <c r="BO4776">
        <f>IF(4763&lt;$U$9,MOD(INT(4763/$U$8),$U$7)+1,1)</f>
        <v/>
      </c>
      <c r="BP4776">
        <f>IF(4763&lt;$U$9,MOD(4763,$U$8)+1,1)</f>
        <v/>
      </c>
      <c r="BQ4776">
        <f>IF(4763&lt;$U$9,SUMPRODUCT(($D$10:$L$10&lt;&gt;"")*(($D$9:$L$9+INT(($S$12:$AA$12+INDEX($AJ$13:$AR$162,BN4776,0)+INDEX($AT$13:$BB$162,BO4776,0)+INDEX($BD$13:$BL$162,BP4776,0))/100))&gt;=$D$10:$L$10)),0)</f>
        <v/>
      </c>
      <c r="BR4776">
        <f>IF(4763&lt;$U$9,SUMPRODUCT(($D$10:$L$10&lt;&gt;"")*(($D$10:$L$10-($D$9:$L$9+INT(($S$12:$AA$12+INDEX($AJ$13:$AR$162,BN4776,0)+INDEX($AT$13:$BB$162,BO4776,0)+INDEX($BD$13:$BL$162,BP4776,0))/100)))&gt;0)*($D$10:$L$10-($D$9:$L$9+INT(($S$12:$AA$12+INDEX($AJ$13:$AR$162,BN4776,0)+INDEX($AT$13:$BB$162,BO4776,0)+INDEX($BD$13:$BL$162,BP4776,0))/100)))),0)</f>
        <v/>
      </c>
      <c r="BS4776">
        <f>IF(4763&lt;$U$9,SUMPRODUCT(($D$9:$L$9+INT(($S$12:$AA$12+INDEX($AJ$13:$AR$162,BN4776,0)+INDEX($AT$13:$BB$162,BO4776,0)+INDEX($BD$13:$BL$162,BP4776,0))/100))),0)</f>
        <v/>
      </c>
      <c r="BT4776">
        <f>IF(AND(4763&lt;$U$9,$W$5),BQ4776*1000000-MIN(BR4776,999)*1000+BS4776-4763/100000,-1000000000-4763)</f>
        <v/>
      </c>
    </row>
    <row r="4777">
      <c r="BN4777">
        <f>IF(4764&lt;$U$9,INT(4764/($U$7*$U$8))+1,1)</f>
        <v/>
      </c>
      <c r="BO4777">
        <f>IF(4764&lt;$U$9,MOD(INT(4764/$U$8),$U$7)+1,1)</f>
        <v/>
      </c>
      <c r="BP4777">
        <f>IF(4764&lt;$U$9,MOD(4764,$U$8)+1,1)</f>
        <v/>
      </c>
      <c r="BQ4777">
        <f>IF(4764&lt;$U$9,SUMPRODUCT(($D$10:$L$10&lt;&gt;"")*(($D$9:$L$9+INT(($S$12:$AA$12+INDEX($AJ$13:$AR$162,BN4777,0)+INDEX($AT$13:$BB$162,BO4777,0)+INDEX($BD$13:$BL$162,BP4777,0))/100))&gt;=$D$10:$L$10)),0)</f>
        <v/>
      </c>
      <c r="BR4777">
        <f>IF(4764&lt;$U$9,SUMPRODUCT(($D$10:$L$10&lt;&gt;"")*(($D$10:$L$10-($D$9:$L$9+INT(($S$12:$AA$12+INDEX($AJ$13:$AR$162,BN4777,0)+INDEX($AT$13:$BB$162,BO4777,0)+INDEX($BD$13:$BL$162,BP4777,0))/100)))&gt;0)*($D$10:$L$10-($D$9:$L$9+INT(($S$12:$AA$12+INDEX($AJ$13:$AR$162,BN4777,0)+INDEX($AT$13:$BB$162,BO4777,0)+INDEX($BD$13:$BL$162,BP4777,0))/100)))),0)</f>
        <v/>
      </c>
      <c r="BS4777">
        <f>IF(4764&lt;$U$9,SUMPRODUCT(($D$9:$L$9+INT(($S$12:$AA$12+INDEX($AJ$13:$AR$162,BN4777,0)+INDEX($AT$13:$BB$162,BO4777,0)+INDEX($BD$13:$BL$162,BP4777,0))/100))),0)</f>
        <v/>
      </c>
      <c r="BT4777">
        <f>IF(AND(4764&lt;$U$9,$W$5),BQ4777*1000000-MIN(BR4777,999)*1000+BS4777-4764/100000,-1000000000-4764)</f>
        <v/>
      </c>
    </row>
    <row r="4778">
      <c r="BN4778">
        <f>IF(4765&lt;$U$9,INT(4765/($U$7*$U$8))+1,1)</f>
        <v/>
      </c>
      <c r="BO4778">
        <f>IF(4765&lt;$U$9,MOD(INT(4765/$U$8),$U$7)+1,1)</f>
        <v/>
      </c>
      <c r="BP4778">
        <f>IF(4765&lt;$U$9,MOD(4765,$U$8)+1,1)</f>
        <v/>
      </c>
      <c r="BQ4778">
        <f>IF(4765&lt;$U$9,SUMPRODUCT(($D$10:$L$10&lt;&gt;"")*(($D$9:$L$9+INT(($S$12:$AA$12+INDEX($AJ$13:$AR$162,BN4778,0)+INDEX($AT$13:$BB$162,BO4778,0)+INDEX($BD$13:$BL$162,BP4778,0))/100))&gt;=$D$10:$L$10)),0)</f>
        <v/>
      </c>
      <c r="BR4778">
        <f>IF(4765&lt;$U$9,SUMPRODUCT(($D$10:$L$10&lt;&gt;"")*(($D$10:$L$10-($D$9:$L$9+INT(($S$12:$AA$12+INDEX($AJ$13:$AR$162,BN4778,0)+INDEX($AT$13:$BB$162,BO4778,0)+INDEX($BD$13:$BL$162,BP4778,0))/100)))&gt;0)*($D$10:$L$10-($D$9:$L$9+INT(($S$12:$AA$12+INDEX($AJ$13:$AR$162,BN4778,0)+INDEX($AT$13:$BB$162,BO4778,0)+INDEX($BD$13:$BL$162,BP4778,0))/100)))),0)</f>
        <v/>
      </c>
      <c r="BS4778">
        <f>IF(4765&lt;$U$9,SUMPRODUCT(($D$9:$L$9+INT(($S$12:$AA$12+INDEX($AJ$13:$AR$162,BN4778,0)+INDEX($AT$13:$BB$162,BO4778,0)+INDEX($BD$13:$BL$162,BP4778,0))/100))),0)</f>
        <v/>
      </c>
      <c r="BT4778">
        <f>IF(AND(4765&lt;$U$9,$W$5),BQ4778*1000000-MIN(BR4778,999)*1000+BS4778-4765/100000,-1000000000-4765)</f>
        <v/>
      </c>
    </row>
    <row r="4779">
      <c r="BN4779">
        <f>IF(4766&lt;$U$9,INT(4766/($U$7*$U$8))+1,1)</f>
        <v/>
      </c>
      <c r="BO4779">
        <f>IF(4766&lt;$U$9,MOD(INT(4766/$U$8),$U$7)+1,1)</f>
        <v/>
      </c>
      <c r="BP4779">
        <f>IF(4766&lt;$U$9,MOD(4766,$U$8)+1,1)</f>
        <v/>
      </c>
      <c r="BQ4779">
        <f>IF(4766&lt;$U$9,SUMPRODUCT(($D$10:$L$10&lt;&gt;"")*(($D$9:$L$9+INT(($S$12:$AA$12+INDEX($AJ$13:$AR$162,BN4779,0)+INDEX($AT$13:$BB$162,BO4779,0)+INDEX($BD$13:$BL$162,BP4779,0))/100))&gt;=$D$10:$L$10)),0)</f>
        <v/>
      </c>
      <c r="BR4779">
        <f>IF(4766&lt;$U$9,SUMPRODUCT(($D$10:$L$10&lt;&gt;"")*(($D$10:$L$10-($D$9:$L$9+INT(($S$12:$AA$12+INDEX($AJ$13:$AR$162,BN4779,0)+INDEX($AT$13:$BB$162,BO4779,0)+INDEX($BD$13:$BL$162,BP4779,0))/100)))&gt;0)*($D$10:$L$10-($D$9:$L$9+INT(($S$12:$AA$12+INDEX($AJ$13:$AR$162,BN4779,0)+INDEX($AT$13:$BB$162,BO4779,0)+INDEX($BD$13:$BL$162,BP4779,0))/100)))),0)</f>
        <v/>
      </c>
      <c r="BS4779">
        <f>IF(4766&lt;$U$9,SUMPRODUCT(($D$9:$L$9+INT(($S$12:$AA$12+INDEX($AJ$13:$AR$162,BN4779,0)+INDEX($AT$13:$BB$162,BO4779,0)+INDEX($BD$13:$BL$162,BP4779,0))/100))),0)</f>
        <v/>
      </c>
      <c r="BT4779">
        <f>IF(AND(4766&lt;$U$9,$W$5),BQ4779*1000000-MIN(BR4779,999)*1000+BS4779-4766/100000,-1000000000-4766)</f>
        <v/>
      </c>
    </row>
    <row r="4780">
      <c r="BN4780">
        <f>IF(4767&lt;$U$9,INT(4767/($U$7*$U$8))+1,1)</f>
        <v/>
      </c>
      <c r="BO4780">
        <f>IF(4767&lt;$U$9,MOD(INT(4767/$U$8),$U$7)+1,1)</f>
        <v/>
      </c>
      <c r="BP4780">
        <f>IF(4767&lt;$U$9,MOD(4767,$U$8)+1,1)</f>
        <v/>
      </c>
      <c r="BQ4780">
        <f>IF(4767&lt;$U$9,SUMPRODUCT(($D$10:$L$10&lt;&gt;"")*(($D$9:$L$9+INT(($S$12:$AA$12+INDEX($AJ$13:$AR$162,BN4780,0)+INDEX($AT$13:$BB$162,BO4780,0)+INDEX($BD$13:$BL$162,BP4780,0))/100))&gt;=$D$10:$L$10)),0)</f>
        <v/>
      </c>
      <c r="BR4780">
        <f>IF(4767&lt;$U$9,SUMPRODUCT(($D$10:$L$10&lt;&gt;"")*(($D$10:$L$10-($D$9:$L$9+INT(($S$12:$AA$12+INDEX($AJ$13:$AR$162,BN4780,0)+INDEX($AT$13:$BB$162,BO4780,0)+INDEX($BD$13:$BL$162,BP4780,0))/100)))&gt;0)*($D$10:$L$10-($D$9:$L$9+INT(($S$12:$AA$12+INDEX($AJ$13:$AR$162,BN4780,0)+INDEX($AT$13:$BB$162,BO4780,0)+INDEX($BD$13:$BL$162,BP4780,0))/100)))),0)</f>
        <v/>
      </c>
      <c r="BS4780">
        <f>IF(4767&lt;$U$9,SUMPRODUCT(($D$9:$L$9+INT(($S$12:$AA$12+INDEX($AJ$13:$AR$162,BN4780,0)+INDEX($AT$13:$BB$162,BO4780,0)+INDEX($BD$13:$BL$162,BP4780,0))/100))),0)</f>
        <v/>
      </c>
      <c r="BT4780">
        <f>IF(AND(4767&lt;$U$9,$W$5),BQ4780*1000000-MIN(BR4780,999)*1000+BS4780-4767/100000,-1000000000-4767)</f>
        <v/>
      </c>
    </row>
    <row r="4781">
      <c r="BN4781">
        <f>IF(4768&lt;$U$9,INT(4768/($U$7*$U$8))+1,1)</f>
        <v/>
      </c>
      <c r="BO4781">
        <f>IF(4768&lt;$U$9,MOD(INT(4768/$U$8),$U$7)+1,1)</f>
        <v/>
      </c>
      <c r="BP4781">
        <f>IF(4768&lt;$U$9,MOD(4768,$U$8)+1,1)</f>
        <v/>
      </c>
      <c r="BQ4781">
        <f>IF(4768&lt;$U$9,SUMPRODUCT(($D$10:$L$10&lt;&gt;"")*(($D$9:$L$9+INT(($S$12:$AA$12+INDEX($AJ$13:$AR$162,BN4781,0)+INDEX($AT$13:$BB$162,BO4781,0)+INDEX($BD$13:$BL$162,BP4781,0))/100))&gt;=$D$10:$L$10)),0)</f>
        <v/>
      </c>
      <c r="BR4781">
        <f>IF(4768&lt;$U$9,SUMPRODUCT(($D$10:$L$10&lt;&gt;"")*(($D$10:$L$10-($D$9:$L$9+INT(($S$12:$AA$12+INDEX($AJ$13:$AR$162,BN4781,0)+INDEX($AT$13:$BB$162,BO4781,0)+INDEX($BD$13:$BL$162,BP4781,0))/100)))&gt;0)*($D$10:$L$10-($D$9:$L$9+INT(($S$12:$AA$12+INDEX($AJ$13:$AR$162,BN4781,0)+INDEX($AT$13:$BB$162,BO4781,0)+INDEX($BD$13:$BL$162,BP4781,0))/100)))),0)</f>
        <v/>
      </c>
      <c r="BS4781">
        <f>IF(4768&lt;$U$9,SUMPRODUCT(($D$9:$L$9+INT(($S$12:$AA$12+INDEX($AJ$13:$AR$162,BN4781,0)+INDEX($AT$13:$BB$162,BO4781,0)+INDEX($BD$13:$BL$162,BP4781,0))/100))),0)</f>
        <v/>
      </c>
      <c r="BT4781">
        <f>IF(AND(4768&lt;$U$9,$W$5),BQ4781*1000000-MIN(BR4781,999)*1000+BS4781-4768/100000,-1000000000-4768)</f>
        <v/>
      </c>
    </row>
    <row r="4782">
      <c r="BN4782">
        <f>IF(4769&lt;$U$9,INT(4769/($U$7*$U$8))+1,1)</f>
        <v/>
      </c>
      <c r="BO4782">
        <f>IF(4769&lt;$U$9,MOD(INT(4769/$U$8),$U$7)+1,1)</f>
        <v/>
      </c>
      <c r="BP4782">
        <f>IF(4769&lt;$U$9,MOD(4769,$U$8)+1,1)</f>
        <v/>
      </c>
      <c r="BQ4782">
        <f>IF(4769&lt;$U$9,SUMPRODUCT(($D$10:$L$10&lt;&gt;"")*(($D$9:$L$9+INT(($S$12:$AA$12+INDEX($AJ$13:$AR$162,BN4782,0)+INDEX($AT$13:$BB$162,BO4782,0)+INDEX($BD$13:$BL$162,BP4782,0))/100))&gt;=$D$10:$L$10)),0)</f>
        <v/>
      </c>
      <c r="BR4782">
        <f>IF(4769&lt;$U$9,SUMPRODUCT(($D$10:$L$10&lt;&gt;"")*(($D$10:$L$10-($D$9:$L$9+INT(($S$12:$AA$12+INDEX($AJ$13:$AR$162,BN4782,0)+INDEX($AT$13:$BB$162,BO4782,0)+INDEX($BD$13:$BL$162,BP4782,0))/100)))&gt;0)*($D$10:$L$10-($D$9:$L$9+INT(($S$12:$AA$12+INDEX($AJ$13:$AR$162,BN4782,0)+INDEX($AT$13:$BB$162,BO4782,0)+INDEX($BD$13:$BL$162,BP4782,0))/100)))),0)</f>
        <v/>
      </c>
      <c r="BS4782">
        <f>IF(4769&lt;$U$9,SUMPRODUCT(($D$9:$L$9+INT(($S$12:$AA$12+INDEX($AJ$13:$AR$162,BN4782,0)+INDEX($AT$13:$BB$162,BO4782,0)+INDEX($BD$13:$BL$162,BP4782,0))/100))),0)</f>
        <v/>
      </c>
      <c r="BT4782">
        <f>IF(AND(4769&lt;$U$9,$W$5),BQ4782*1000000-MIN(BR4782,999)*1000+BS4782-4769/100000,-1000000000-4769)</f>
        <v/>
      </c>
    </row>
    <row r="4783">
      <c r="BN4783">
        <f>IF(4770&lt;$U$9,INT(4770/($U$7*$U$8))+1,1)</f>
        <v/>
      </c>
      <c r="BO4783">
        <f>IF(4770&lt;$U$9,MOD(INT(4770/$U$8),$U$7)+1,1)</f>
        <v/>
      </c>
      <c r="BP4783">
        <f>IF(4770&lt;$U$9,MOD(4770,$U$8)+1,1)</f>
        <v/>
      </c>
      <c r="BQ4783">
        <f>IF(4770&lt;$U$9,SUMPRODUCT(($D$10:$L$10&lt;&gt;"")*(($D$9:$L$9+INT(($S$12:$AA$12+INDEX($AJ$13:$AR$162,BN4783,0)+INDEX($AT$13:$BB$162,BO4783,0)+INDEX($BD$13:$BL$162,BP4783,0))/100))&gt;=$D$10:$L$10)),0)</f>
        <v/>
      </c>
      <c r="BR4783">
        <f>IF(4770&lt;$U$9,SUMPRODUCT(($D$10:$L$10&lt;&gt;"")*(($D$10:$L$10-($D$9:$L$9+INT(($S$12:$AA$12+INDEX($AJ$13:$AR$162,BN4783,0)+INDEX($AT$13:$BB$162,BO4783,0)+INDEX($BD$13:$BL$162,BP4783,0))/100)))&gt;0)*($D$10:$L$10-($D$9:$L$9+INT(($S$12:$AA$12+INDEX($AJ$13:$AR$162,BN4783,0)+INDEX($AT$13:$BB$162,BO4783,0)+INDEX($BD$13:$BL$162,BP4783,0))/100)))),0)</f>
        <v/>
      </c>
      <c r="BS4783">
        <f>IF(4770&lt;$U$9,SUMPRODUCT(($D$9:$L$9+INT(($S$12:$AA$12+INDEX($AJ$13:$AR$162,BN4783,0)+INDEX($AT$13:$BB$162,BO4783,0)+INDEX($BD$13:$BL$162,BP4783,0))/100))),0)</f>
        <v/>
      </c>
      <c r="BT4783">
        <f>IF(AND(4770&lt;$U$9,$W$5),BQ4783*1000000-MIN(BR4783,999)*1000+BS4783-4770/100000,-1000000000-4770)</f>
        <v/>
      </c>
    </row>
    <row r="4784">
      <c r="BN4784">
        <f>IF(4771&lt;$U$9,INT(4771/($U$7*$U$8))+1,1)</f>
        <v/>
      </c>
      <c r="BO4784">
        <f>IF(4771&lt;$U$9,MOD(INT(4771/$U$8),$U$7)+1,1)</f>
        <v/>
      </c>
      <c r="BP4784">
        <f>IF(4771&lt;$U$9,MOD(4771,$U$8)+1,1)</f>
        <v/>
      </c>
      <c r="BQ4784">
        <f>IF(4771&lt;$U$9,SUMPRODUCT(($D$10:$L$10&lt;&gt;"")*(($D$9:$L$9+INT(($S$12:$AA$12+INDEX($AJ$13:$AR$162,BN4784,0)+INDEX($AT$13:$BB$162,BO4784,0)+INDEX($BD$13:$BL$162,BP4784,0))/100))&gt;=$D$10:$L$10)),0)</f>
        <v/>
      </c>
      <c r="BR4784">
        <f>IF(4771&lt;$U$9,SUMPRODUCT(($D$10:$L$10&lt;&gt;"")*(($D$10:$L$10-($D$9:$L$9+INT(($S$12:$AA$12+INDEX($AJ$13:$AR$162,BN4784,0)+INDEX($AT$13:$BB$162,BO4784,0)+INDEX($BD$13:$BL$162,BP4784,0))/100)))&gt;0)*($D$10:$L$10-($D$9:$L$9+INT(($S$12:$AA$12+INDEX($AJ$13:$AR$162,BN4784,0)+INDEX($AT$13:$BB$162,BO4784,0)+INDEX($BD$13:$BL$162,BP4784,0))/100)))),0)</f>
        <v/>
      </c>
      <c r="BS4784">
        <f>IF(4771&lt;$U$9,SUMPRODUCT(($D$9:$L$9+INT(($S$12:$AA$12+INDEX($AJ$13:$AR$162,BN4784,0)+INDEX($AT$13:$BB$162,BO4784,0)+INDEX($BD$13:$BL$162,BP4784,0))/100))),0)</f>
        <v/>
      </c>
      <c r="BT4784">
        <f>IF(AND(4771&lt;$U$9,$W$5),BQ4784*1000000-MIN(BR4784,999)*1000+BS4784-4771/100000,-1000000000-4771)</f>
        <v/>
      </c>
    </row>
    <row r="4785">
      <c r="BN4785">
        <f>IF(4772&lt;$U$9,INT(4772/($U$7*$U$8))+1,1)</f>
        <v/>
      </c>
      <c r="BO4785">
        <f>IF(4772&lt;$U$9,MOD(INT(4772/$U$8),$U$7)+1,1)</f>
        <v/>
      </c>
      <c r="BP4785">
        <f>IF(4772&lt;$U$9,MOD(4772,$U$8)+1,1)</f>
        <v/>
      </c>
      <c r="BQ4785">
        <f>IF(4772&lt;$U$9,SUMPRODUCT(($D$10:$L$10&lt;&gt;"")*(($D$9:$L$9+INT(($S$12:$AA$12+INDEX($AJ$13:$AR$162,BN4785,0)+INDEX($AT$13:$BB$162,BO4785,0)+INDEX($BD$13:$BL$162,BP4785,0))/100))&gt;=$D$10:$L$10)),0)</f>
        <v/>
      </c>
      <c r="BR4785">
        <f>IF(4772&lt;$U$9,SUMPRODUCT(($D$10:$L$10&lt;&gt;"")*(($D$10:$L$10-($D$9:$L$9+INT(($S$12:$AA$12+INDEX($AJ$13:$AR$162,BN4785,0)+INDEX($AT$13:$BB$162,BO4785,0)+INDEX($BD$13:$BL$162,BP4785,0))/100)))&gt;0)*($D$10:$L$10-($D$9:$L$9+INT(($S$12:$AA$12+INDEX($AJ$13:$AR$162,BN4785,0)+INDEX($AT$13:$BB$162,BO4785,0)+INDEX($BD$13:$BL$162,BP4785,0))/100)))),0)</f>
        <v/>
      </c>
      <c r="BS4785">
        <f>IF(4772&lt;$U$9,SUMPRODUCT(($D$9:$L$9+INT(($S$12:$AA$12+INDEX($AJ$13:$AR$162,BN4785,0)+INDEX($AT$13:$BB$162,BO4785,0)+INDEX($BD$13:$BL$162,BP4785,0))/100))),0)</f>
        <v/>
      </c>
      <c r="BT4785">
        <f>IF(AND(4772&lt;$U$9,$W$5),BQ4785*1000000-MIN(BR4785,999)*1000+BS4785-4772/100000,-1000000000-4772)</f>
        <v/>
      </c>
    </row>
    <row r="4786">
      <c r="BN4786">
        <f>IF(4773&lt;$U$9,INT(4773/($U$7*$U$8))+1,1)</f>
        <v/>
      </c>
      <c r="BO4786">
        <f>IF(4773&lt;$U$9,MOD(INT(4773/$U$8),$U$7)+1,1)</f>
        <v/>
      </c>
      <c r="BP4786">
        <f>IF(4773&lt;$U$9,MOD(4773,$U$8)+1,1)</f>
        <v/>
      </c>
      <c r="BQ4786">
        <f>IF(4773&lt;$U$9,SUMPRODUCT(($D$10:$L$10&lt;&gt;"")*(($D$9:$L$9+INT(($S$12:$AA$12+INDEX($AJ$13:$AR$162,BN4786,0)+INDEX($AT$13:$BB$162,BO4786,0)+INDEX($BD$13:$BL$162,BP4786,0))/100))&gt;=$D$10:$L$10)),0)</f>
        <v/>
      </c>
      <c r="BR4786">
        <f>IF(4773&lt;$U$9,SUMPRODUCT(($D$10:$L$10&lt;&gt;"")*(($D$10:$L$10-($D$9:$L$9+INT(($S$12:$AA$12+INDEX($AJ$13:$AR$162,BN4786,0)+INDEX($AT$13:$BB$162,BO4786,0)+INDEX($BD$13:$BL$162,BP4786,0))/100)))&gt;0)*($D$10:$L$10-($D$9:$L$9+INT(($S$12:$AA$12+INDEX($AJ$13:$AR$162,BN4786,0)+INDEX($AT$13:$BB$162,BO4786,0)+INDEX($BD$13:$BL$162,BP4786,0))/100)))),0)</f>
        <v/>
      </c>
      <c r="BS4786">
        <f>IF(4773&lt;$U$9,SUMPRODUCT(($D$9:$L$9+INT(($S$12:$AA$12+INDEX($AJ$13:$AR$162,BN4786,0)+INDEX($AT$13:$BB$162,BO4786,0)+INDEX($BD$13:$BL$162,BP4786,0))/100))),0)</f>
        <v/>
      </c>
      <c r="BT4786">
        <f>IF(AND(4773&lt;$U$9,$W$5),BQ4786*1000000-MIN(BR4786,999)*1000+BS4786-4773/100000,-1000000000-4773)</f>
        <v/>
      </c>
    </row>
    <row r="4787">
      <c r="BN4787">
        <f>IF(4774&lt;$U$9,INT(4774/($U$7*$U$8))+1,1)</f>
        <v/>
      </c>
      <c r="BO4787">
        <f>IF(4774&lt;$U$9,MOD(INT(4774/$U$8),$U$7)+1,1)</f>
        <v/>
      </c>
      <c r="BP4787">
        <f>IF(4774&lt;$U$9,MOD(4774,$U$8)+1,1)</f>
        <v/>
      </c>
      <c r="BQ4787">
        <f>IF(4774&lt;$U$9,SUMPRODUCT(($D$10:$L$10&lt;&gt;"")*(($D$9:$L$9+INT(($S$12:$AA$12+INDEX($AJ$13:$AR$162,BN4787,0)+INDEX($AT$13:$BB$162,BO4787,0)+INDEX($BD$13:$BL$162,BP4787,0))/100))&gt;=$D$10:$L$10)),0)</f>
        <v/>
      </c>
      <c r="BR4787">
        <f>IF(4774&lt;$U$9,SUMPRODUCT(($D$10:$L$10&lt;&gt;"")*(($D$10:$L$10-($D$9:$L$9+INT(($S$12:$AA$12+INDEX($AJ$13:$AR$162,BN4787,0)+INDEX($AT$13:$BB$162,BO4787,0)+INDEX($BD$13:$BL$162,BP4787,0))/100)))&gt;0)*($D$10:$L$10-($D$9:$L$9+INT(($S$12:$AA$12+INDEX($AJ$13:$AR$162,BN4787,0)+INDEX($AT$13:$BB$162,BO4787,0)+INDEX($BD$13:$BL$162,BP4787,0))/100)))),0)</f>
        <v/>
      </c>
      <c r="BS4787">
        <f>IF(4774&lt;$U$9,SUMPRODUCT(($D$9:$L$9+INT(($S$12:$AA$12+INDEX($AJ$13:$AR$162,BN4787,0)+INDEX($AT$13:$BB$162,BO4787,0)+INDEX($BD$13:$BL$162,BP4787,0))/100))),0)</f>
        <v/>
      </c>
      <c r="BT4787">
        <f>IF(AND(4774&lt;$U$9,$W$5),BQ4787*1000000-MIN(BR4787,999)*1000+BS4787-4774/100000,-1000000000-4774)</f>
        <v/>
      </c>
    </row>
    <row r="4788">
      <c r="BN4788">
        <f>IF(4775&lt;$U$9,INT(4775/($U$7*$U$8))+1,1)</f>
        <v/>
      </c>
      <c r="BO4788">
        <f>IF(4775&lt;$U$9,MOD(INT(4775/$U$8),$U$7)+1,1)</f>
        <v/>
      </c>
      <c r="BP4788">
        <f>IF(4775&lt;$U$9,MOD(4775,$U$8)+1,1)</f>
        <v/>
      </c>
      <c r="BQ4788">
        <f>IF(4775&lt;$U$9,SUMPRODUCT(($D$10:$L$10&lt;&gt;"")*(($D$9:$L$9+INT(($S$12:$AA$12+INDEX($AJ$13:$AR$162,BN4788,0)+INDEX($AT$13:$BB$162,BO4788,0)+INDEX($BD$13:$BL$162,BP4788,0))/100))&gt;=$D$10:$L$10)),0)</f>
        <v/>
      </c>
      <c r="BR4788">
        <f>IF(4775&lt;$U$9,SUMPRODUCT(($D$10:$L$10&lt;&gt;"")*(($D$10:$L$10-($D$9:$L$9+INT(($S$12:$AA$12+INDEX($AJ$13:$AR$162,BN4788,0)+INDEX($AT$13:$BB$162,BO4788,0)+INDEX($BD$13:$BL$162,BP4788,0))/100)))&gt;0)*($D$10:$L$10-($D$9:$L$9+INT(($S$12:$AA$12+INDEX($AJ$13:$AR$162,BN4788,0)+INDEX($AT$13:$BB$162,BO4788,0)+INDEX($BD$13:$BL$162,BP4788,0))/100)))),0)</f>
        <v/>
      </c>
      <c r="BS4788">
        <f>IF(4775&lt;$U$9,SUMPRODUCT(($D$9:$L$9+INT(($S$12:$AA$12+INDEX($AJ$13:$AR$162,BN4788,0)+INDEX($AT$13:$BB$162,BO4788,0)+INDEX($BD$13:$BL$162,BP4788,0))/100))),0)</f>
        <v/>
      </c>
      <c r="BT4788">
        <f>IF(AND(4775&lt;$U$9,$W$5),BQ4788*1000000-MIN(BR4788,999)*1000+BS4788-4775/100000,-1000000000-4775)</f>
        <v/>
      </c>
    </row>
    <row r="4789">
      <c r="BN4789">
        <f>IF(4776&lt;$U$9,INT(4776/($U$7*$U$8))+1,1)</f>
        <v/>
      </c>
      <c r="BO4789">
        <f>IF(4776&lt;$U$9,MOD(INT(4776/$U$8),$U$7)+1,1)</f>
        <v/>
      </c>
      <c r="BP4789">
        <f>IF(4776&lt;$U$9,MOD(4776,$U$8)+1,1)</f>
        <v/>
      </c>
      <c r="BQ4789">
        <f>IF(4776&lt;$U$9,SUMPRODUCT(($D$10:$L$10&lt;&gt;"")*(($D$9:$L$9+INT(($S$12:$AA$12+INDEX($AJ$13:$AR$162,BN4789,0)+INDEX($AT$13:$BB$162,BO4789,0)+INDEX($BD$13:$BL$162,BP4789,0))/100))&gt;=$D$10:$L$10)),0)</f>
        <v/>
      </c>
      <c r="BR4789">
        <f>IF(4776&lt;$U$9,SUMPRODUCT(($D$10:$L$10&lt;&gt;"")*(($D$10:$L$10-($D$9:$L$9+INT(($S$12:$AA$12+INDEX($AJ$13:$AR$162,BN4789,0)+INDEX($AT$13:$BB$162,BO4789,0)+INDEX($BD$13:$BL$162,BP4789,0))/100)))&gt;0)*($D$10:$L$10-($D$9:$L$9+INT(($S$12:$AA$12+INDEX($AJ$13:$AR$162,BN4789,0)+INDEX($AT$13:$BB$162,BO4789,0)+INDEX($BD$13:$BL$162,BP4789,0))/100)))),0)</f>
        <v/>
      </c>
      <c r="BS4789">
        <f>IF(4776&lt;$U$9,SUMPRODUCT(($D$9:$L$9+INT(($S$12:$AA$12+INDEX($AJ$13:$AR$162,BN4789,0)+INDEX($AT$13:$BB$162,BO4789,0)+INDEX($BD$13:$BL$162,BP4789,0))/100))),0)</f>
        <v/>
      </c>
      <c r="BT4789">
        <f>IF(AND(4776&lt;$U$9,$W$5),BQ4789*1000000-MIN(BR4789,999)*1000+BS4789-4776/100000,-1000000000-4776)</f>
        <v/>
      </c>
    </row>
    <row r="4790">
      <c r="BN4790">
        <f>IF(4777&lt;$U$9,INT(4777/($U$7*$U$8))+1,1)</f>
        <v/>
      </c>
      <c r="BO4790">
        <f>IF(4777&lt;$U$9,MOD(INT(4777/$U$8),$U$7)+1,1)</f>
        <v/>
      </c>
      <c r="BP4790">
        <f>IF(4777&lt;$U$9,MOD(4777,$U$8)+1,1)</f>
        <v/>
      </c>
      <c r="BQ4790">
        <f>IF(4777&lt;$U$9,SUMPRODUCT(($D$10:$L$10&lt;&gt;"")*(($D$9:$L$9+INT(($S$12:$AA$12+INDEX($AJ$13:$AR$162,BN4790,0)+INDEX($AT$13:$BB$162,BO4790,0)+INDEX($BD$13:$BL$162,BP4790,0))/100))&gt;=$D$10:$L$10)),0)</f>
        <v/>
      </c>
      <c r="BR4790">
        <f>IF(4777&lt;$U$9,SUMPRODUCT(($D$10:$L$10&lt;&gt;"")*(($D$10:$L$10-($D$9:$L$9+INT(($S$12:$AA$12+INDEX($AJ$13:$AR$162,BN4790,0)+INDEX($AT$13:$BB$162,BO4790,0)+INDEX($BD$13:$BL$162,BP4790,0))/100)))&gt;0)*($D$10:$L$10-($D$9:$L$9+INT(($S$12:$AA$12+INDEX($AJ$13:$AR$162,BN4790,0)+INDEX($AT$13:$BB$162,BO4790,0)+INDEX($BD$13:$BL$162,BP4790,0))/100)))),0)</f>
        <v/>
      </c>
      <c r="BS4790">
        <f>IF(4777&lt;$U$9,SUMPRODUCT(($D$9:$L$9+INT(($S$12:$AA$12+INDEX($AJ$13:$AR$162,BN4790,0)+INDEX($AT$13:$BB$162,BO4790,0)+INDEX($BD$13:$BL$162,BP4790,0))/100))),0)</f>
        <v/>
      </c>
      <c r="BT4790">
        <f>IF(AND(4777&lt;$U$9,$W$5),BQ4790*1000000-MIN(BR4790,999)*1000+BS4790-4777/100000,-1000000000-4777)</f>
        <v/>
      </c>
    </row>
    <row r="4791">
      <c r="BN4791">
        <f>IF(4778&lt;$U$9,INT(4778/($U$7*$U$8))+1,1)</f>
        <v/>
      </c>
      <c r="BO4791">
        <f>IF(4778&lt;$U$9,MOD(INT(4778/$U$8),$U$7)+1,1)</f>
        <v/>
      </c>
      <c r="BP4791">
        <f>IF(4778&lt;$U$9,MOD(4778,$U$8)+1,1)</f>
        <v/>
      </c>
      <c r="BQ4791">
        <f>IF(4778&lt;$U$9,SUMPRODUCT(($D$10:$L$10&lt;&gt;"")*(($D$9:$L$9+INT(($S$12:$AA$12+INDEX($AJ$13:$AR$162,BN4791,0)+INDEX($AT$13:$BB$162,BO4791,0)+INDEX($BD$13:$BL$162,BP4791,0))/100))&gt;=$D$10:$L$10)),0)</f>
        <v/>
      </c>
      <c r="BR4791">
        <f>IF(4778&lt;$U$9,SUMPRODUCT(($D$10:$L$10&lt;&gt;"")*(($D$10:$L$10-($D$9:$L$9+INT(($S$12:$AA$12+INDEX($AJ$13:$AR$162,BN4791,0)+INDEX($AT$13:$BB$162,BO4791,0)+INDEX($BD$13:$BL$162,BP4791,0))/100)))&gt;0)*($D$10:$L$10-($D$9:$L$9+INT(($S$12:$AA$12+INDEX($AJ$13:$AR$162,BN4791,0)+INDEX($AT$13:$BB$162,BO4791,0)+INDEX($BD$13:$BL$162,BP4791,0))/100)))),0)</f>
        <v/>
      </c>
      <c r="BS4791">
        <f>IF(4778&lt;$U$9,SUMPRODUCT(($D$9:$L$9+INT(($S$12:$AA$12+INDEX($AJ$13:$AR$162,BN4791,0)+INDEX($AT$13:$BB$162,BO4791,0)+INDEX($BD$13:$BL$162,BP4791,0))/100))),0)</f>
        <v/>
      </c>
      <c r="BT4791">
        <f>IF(AND(4778&lt;$U$9,$W$5),BQ4791*1000000-MIN(BR4791,999)*1000+BS4791-4778/100000,-1000000000-4778)</f>
        <v/>
      </c>
    </row>
    <row r="4792">
      <c r="BN4792">
        <f>IF(4779&lt;$U$9,INT(4779/($U$7*$U$8))+1,1)</f>
        <v/>
      </c>
      <c r="BO4792">
        <f>IF(4779&lt;$U$9,MOD(INT(4779/$U$8),$U$7)+1,1)</f>
        <v/>
      </c>
      <c r="BP4792">
        <f>IF(4779&lt;$U$9,MOD(4779,$U$8)+1,1)</f>
        <v/>
      </c>
      <c r="BQ4792">
        <f>IF(4779&lt;$U$9,SUMPRODUCT(($D$10:$L$10&lt;&gt;"")*(($D$9:$L$9+INT(($S$12:$AA$12+INDEX($AJ$13:$AR$162,BN4792,0)+INDEX($AT$13:$BB$162,BO4792,0)+INDEX($BD$13:$BL$162,BP4792,0))/100))&gt;=$D$10:$L$10)),0)</f>
        <v/>
      </c>
      <c r="BR4792">
        <f>IF(4779&lt;$U$9,SUMPRODUCT(($D$10:$L$10&lt;&gt;"")*(($D$10:$L$10-($D$9:$L$9+INT(($S$12:$AA$12+INDEX($AJ$13:$AR$162,BN4792,0)+INDEX($AT$13:$BB$162,BO4792,0)+INDEX($BD$13:$BL$162,BP4792,0))/100)))&gt;0)*($D$10:$L$10-($D$9:$L$9+INT(($S$12:$AA$12+INDEX($AJ$13:$AR$162,BN4792,0)+INDEX($AT$13:$BB$162,BO4792,0)+INDEX($BD$13:$BL$162,BP4792,0))/100)))),0)</f>
        <v/>
      </c>
      <c r="BS4792">
        <f>IF(4779&lt;$U$9,SUMPRODUCT(($D$9:$L$9+INT(($S$12:$AA$12+INDEX($AJ$13:$AR$162,BN4792,0)+INDEX($AT$13:$BB$162,BO4792,0)+INDEX($BD$13:$BL$162,BP4792,0))/100))),0)</f>
        <v/>
      </c>
      <c r="BT4792">
        <f>IF(AND(4779&lt;$U$9,$W$5),BQ4792*1000000-MIN(BR4792,999)*1000+BS4792-4779/100000,-1000000000-4779)</f>
        <v/>
      </c>
    </row>
    <row r="4793">
      <c r="BN4793">
        <f>IF(4780&lt;$U$9,INT(4780/($U$7*$U$8))+1,1)</f>
        <v/>
      </c>
      <c r="BO4793">
        <f>IF(4780&lt;$U$9,MOD(INT(4780/$U$8),$U$7)+1,1)</f>
        <v/>
      </c>
      <c r="BP4793">
        <f>IF(4780&lt;$U$9,MOD(4780,$U$8)+1,1)</f>
        <v/>
      </c>
      <c r="BQ4793">
        <f>IF(4780&lt;$U$9,SUMPRODUCT(($D$10:$L$10&lt;&gt;"")*(($D$9:$L$9+INT(($S$12:$AA$12+INDEX($AJ$13:$AR$162,BN4793,0)+INDEX($AT$13:$BB$162,BO4793,0)+INDEX($BD$13:$BL$162,BP4793,0))/100))&gt;=$D$10:$L$10)),0)</f>
        <v/>
      </c>
      <c r="BR4793">
        <f>IF(4780&lt;$U$9,SUMPRODUCT(($D$10:$L$10&lt;&gt;"")*(($D$10:$L$10-($D$9:$L$9+INT(($S$12:$AA$12+INDEX($AJ$13:$AR$162,BN4793,0)+INDEX($AT$13:$BB$162,BO4793,0)+INDEX($BD$13:$BL$162,BP4793,0))/100)))&gt;0)*($D$10:$L$10-($D$9:$L$9+INT(($S$12:$AA$12+INDEX($AJ$13:$AR$162,BN4793,0)+INDEX($AT$13:$BB$162,BO4793,0)+INDEX($BD$13:$BL$162,BP4793,0))/100)))),0)</f>
        <v/>
      </c>
      <c r="BS4793">
        <f>IF(4780&lt;$U$9,SUMPRODUCT(($D$9:$L$9+INT(($S$12:$AA$12+INDEX($AJ$13:$AR$162,BN4793,0)+INDEX($AT$13:$BB$162,BO4793,0)+INDEX($BD$13:$BL$162,BP4793,0))/100))),0)</f>
        <v/>
      </c>
      <c r="BT4793">
        <f>IF(AND(4780&lt;$U$9,$W$5),BQ4793*1000000-MIN(BR4793,999)*1000+BS4793-4780/100000,-1000000000-4780)</f>
        <v/>
      </c>
    </row>
    <row r="4794">
      <c r="BN4794">
        <f>IF(4781&lt;$U$9,INT(4781/($U$7*$U$8))+1,1)</f>
        <v/>
      </c>
      <c r="BO4794">
        <f>IF(4781&lt;$U$9,MOD(INT(4781/$U$8),$U$7)+1,1)</f>
        <v/>
      </c>
      <c r="BP4794">
        <f>IF(4781&lt;$U$9,MOD(4781,$U$8)+1,1)</f>
        <v/>
      </c>
      <c r="BQ4794">
        <f>IF(4781&lt;$U$9,SUMPRODUCT(($D$10:$L$10&lt;&gt;"")*(($D$9:$L$9+INT(($S$12:$AA$12+INDEX($AJ$13:$AR$162,BN4794,0)+INDEX($AT$13:$BB$162,BO4794,0)+INDEX($BD$13:$BL$162,BP4794,0))/100))&gt;=$D$10:$L$10)),0)</f>
        <v/>
      </c>
      <c r="BR4794">
        <f>IF(4781&lt;$U$9,SUMPRODUCT(($D$10:$L$10&lt;&gt;"")*(($D$10:$L$10-($D$9:$L$9+INT(($S$12:$AA$12+INDEX($AJ$13:$AR$162,BN4794,0)+INDEX($AT$13:$BB$162,BO4794,0)+INDEX($BD$13:$BL$162,BP4794,0))/100)))&gt;0)*($D$10:$L$10-($D$9:$L$9+INT(($S$12:$AA$12+INDEX($AJ$13:$AR$162,BN4794,0)+INDEX($AT$13:$BB$162,BO4794,0)+INDEX($BD$13:$BL$162,BP4794,0))/100)))),0)</f>
        <v/>
      </c>
      <c r="BS4794">
        <f>IF(4781&lt;$U$9,SUMPRODUCT(($D$9:$L$9+INT(($S$12:$AA$12+INDEX($AJ$13:$AR$162,BN4794,0)+INDEX($AT$13:$BB$162,BO4794,0)+INDEX($BD$13:$BL$162,BP4794,0))/100))),0)</f>
        <v/>
      </c>
      <c r="BT4794">
        <f>IF(AND(4781&lt;$U$9,$W$5),BQ4794*1000000-MIN(BR4794,999)*1000+BS4794-4781/100000,-1000000000-4781)</f>
        <v/>
      </c>
    </row>
    <row r="4795">
      <c r="BN4795">
        <f>IF(4782&lt;$U$9,INT(4782/($U$7*$U$8))+1,1)</f>
        <v/>
      </c>
      <c r="BO4795">
        <f>IF(4782&lt;$U$9,MOD(INT(4782/$U$8),$U$7)+1,1)</f>
        <v/>
      </c>
      <c r="BP4795">
        <f>IF(4782&lt;$U$9,MOD(4782,$U$8)+1,1)</f>
        <v/>
      </c>
      <c r="BQ4795">
        <f>IF(4782&lt;$U$9,SUMPRODUCT(($D$10:$L$10&lt;&gt;"")*(($D$9:$L$9+INT(($S$12:$AA$12+INDEX($AJ$13:$AR$162,BN4795,0)+INDEX($AT$13:$BB$162,BO4795,0)+INDEX($BD$13:$BL$162,BP4795,0))/100))&gt;=$D$10:$L$10)),0)</f>
        <v/>
      </c>
      <c r="BR4795">
        <f>IF(4782&lt;$U$9,SUMPRODUCT(($D$10:$L$10&lt;&gt;"")*(($D$10:$L$10-($D$9:$L$9+INT(($S$12:$AA$12+INDEX($AJ$13:$AR$162,BN4795,0)+INDEX($AT$13:$BB$162,BO4795,0)+INDEX($BD$13:$BL$162,BP4795,0))/100)))&gt;0)*($D$10:$L$10-($D$9:$L$9+INT(($S$12:$AA$12+INDEX($AJ$13:$AR$162,BN4795,0)+INDEX($AT$13:$BB$162,BO4795,0)+INDEX($BD$13:$BL$162,BP4795,0))/100)))),0)</f>
        <v/>
      </c>
      <c r="BS4795">
        <f>IF(4782&lt;$U$9,SUMPRODUCT(($D$9:$L$9+INT(($S$12:$AA$12+INDEX($AJ$13:$AR$162,BN4795,0)+INDEX($AT$13:$BB$162,BO4795,0)+INDEX($BD$13:$BL$162,BP4795,0))/100))),0)</f>
        <v/>
      </c>
      <c r="BT4795">
        <f>IF(AND(4782&lt;$U$9,$W$5),BQ4795*1000000-MIN(BR4795,999)*1000+BS4795-4782/100000,-1000000000-4782)</f>
        <v/>
      </c>
    </row>
    <row r="4796">
      <c r="BN4796">
        <f>IF(4783&lt;$U$9,INT(4783/($U$7*$U$8))+1,1)</f>
        <v/>
      </c>
      <c r="BO4796">
        <f>IF(4783&lt;$U$9,MOD(INT(4783/$U$8),$U$7)+1,1)</f>
        <v/>
      </c>
      <c r="BP4796">
        <f>IF(4783&lt;$U$9,MOD(4783,$U$8)+1,1)</f>
        <v/>
      </c>
      <c r="BQ4796">
        <f>IF(4783&lt;$U$9,SUMPRODUCT(($D$10:$L$10&lt;&gt;"")*(($D$9:$L$9+INT(($S$12:$AA$12+INDEX($AJ$13:$AR$162,BN4796,0)+INDEX($AT$13:$BB$162,BO4796,0)+INDEX($BD$13:$BL$162,BP4796,0))/100))&gt;=$D$10:$L$10)),0)</f>
        <v/>
      </c>
      <c r="BR4796">
        <f>IF(4783&lt;$U$9,SUMPRODUCT(($D$10:$L$10&lt;&gt;"")*(($D$10:$L$10-($D$9:$L$9+INT(($S$12:$AA$12+INDEX($AJ$13:$AR$162,BN4796,0)+INDEX($AT$13:$BB$162,BO4796,0)+INDEX($BD$13:$BL$162,BP4796,0))/100)))&gt;0)*($D$10:$L$10-($D$9:$L$9+INT(($S$12:$AA$12+INDEX($AJ$13:$AR$162,BN4796,0)+INDEX($AT$13:$BB$162,BO4796,0)+INDEX($BD$13:$BL$162,BP4796,0))/100)))),0)</f>
        <v/>
      </c>
      <c r="BS4796">
        <f>IF(4783&lt;$U$9,SUMPRODUCT(($D$9:$L$9+INT(($S$12:$AA$12+INDEX($AJ$13:$AR$162,BN4796,0)+INDEX($AT$13:$BB$162,BO4796,0)+INDEX($BD$13:$BL$162,BP4796,0))/100))),0)</f>
        <v/>
      </c>
      <c r="BT4796">
        <f>IF(AND(4783&lt;$U$9,$W$5),BQ4796*1000000-MIN(BR4796,999)*1000+BS4796-4783/100000,-1000000000-4783)</f>
        <v/>
      </c>
    </row>
    <row r="4797">
      <c r="BN4797">
        <f>IF(4784&lt;$U$9,INT(4784/($U$7*$U$8))+1,1)</f>
        <v/>
      </c>
      <c r="BO4797">
        <f>IF(4784&lt;$U$9,MOD(INT(4784/$U$8),$U$7)+1,1)</f>
        <v/>
      </c>
      <c r="BP4797">
        <f>IF(4784&lt;$U$9,MOD(4784,$U$8)+1,1)</f>
        <v/>
      </c>
      <c r="BQ4797">
        <f>IF(4784&lt;$U$9,SUMPRODUCT(($D$10:$L$10&lt;&gt;"")*(($D$9:$L$9+INT(($S$12:$AA$12+INDEX($AJ$13:$AR$162,BN4797,0)+INDEX($AT$13:$BB$162,BO4797,0)+INDEX($BD$13:$BL$162,BP4797,0))/100))&gt;=$D$10:$L$10)),0)</f>
        <v/>
      </c>
      <c r="BR4797">
        <f>IF(4784&lt;$U$9,SUMPRODUCT(($D$10:$L$10&lt;&gt;"")*(($D$10:$L$10-($D$9:$L$9+INT(($S$12:$AA$12+INDEX($AJ$13:$AR$162,BN4797,0)+INDEX($AT$13:$BB$162,BO4797,0)+INDEX($BD$13:$BL$162,BP4797,0))/100)))&gt;0)*($D$10:$L$10-($D$9:$L$9+INT(($S$12:$AA$12+INDEX($AJ$13:$AR$162,BN4797,0)+INDEX($AT$13:$BB$162,BO4797,0)+INDEX($BD$13:$BL$162,BP4797,0))/100)))),0)</f>
        <v/>
      </c>
      <c r="BS4797">
        <f>IF(4784&lt;$U$9,SUMPRODUCT(($D$9:$L$9+INT(($S$12:$AA$12+INDEX($AJ$13:$AR$162,BN4797,0)+INDEX($AT$13:$BB$162,BO4797,0)+INDEX($BD$13:$BL$162,BP4797,0))/100))),0)</f>
        <v/>
      </c>
      <c r="BT4797">
        <f>IF(AND(4784&lt;$U$9,$W$5),BQ4797*1000000-MIN(BR4797,999)*1000+BS4797-4784/100000,-1000000000-4784)</f>
        <v/>
      </c>
    </row>
    <row r="4798">
      <c r="BN4798">
        <f>IF(4785&lt;$U$9,INT(4785/($U$7*$U$8))+1,1)</f>
        <v/>
      </c>
      <c r="BO4798">
        <f>IF(4785&lt;$U$9,MOD(INT(4785/$U$8),$U$7)+1,1)</f>
        <v/>
      </c>
      <c r="BP4798">
        <f>IF(4785&lt;$U$9,MOD(4785,$U$8)+1,1)</f>
        <v/>
      </c>
      <c r="BQ4798">
        <f>IF(4785&lt;$U$9,SUMPRODUCT(($D$10:$L$10&lt;&gt;"")*(($D$9:$L$9+INT(($S$12:$AA$12+INDEX($AJ$13:$AR$162,BN4798,0)+INDEX($AT$13:$BB$162,BO4798,0)+INDEX($BD$13:$BL$162,BP4798,0))/100))&gt;=$D$10:$L$10)),0)</f>
        <v/>
      </c>
      <c r="BR4798">
        <f>IF(4785&lt;$U$9,SUMPRODUCT(($D$10:$L$10&lt;&gt;"")*(($D$10:$L$10-($D$9:$L$9+INT(($S$12:$AA$12+INDEX($AJ$13:$AR$162,BN4798,0)+INDEX($AT$13:$BB$162,BO4798,0)+INDEX($BD$13:$BL$162,BP4798,0))/100)))&gt;0)*($D$10:$L$10-($D$9:$L$9+INT(($S$12:$AA$12+INDEX($AJ$13:$AR$162,BN4798,0)+INDEX($AT$13:$BB$162,BO4798,0)+INDEX($BD$13:$BL$162,BP4798,0))/100)))),0)</f>
        <v/>
      </c>
      <c r="BS4798">
        <f>IF(4785&lt;$U$9,SUMPRODUCT(($D$9:$L$9+INT(($S$12:$AA$12+INDEX($AJ$13:$AR$162,BN4798,0)+INDEX($AT$13:$BB$162,BO4798,0)+INDEX($BD$13:$BL$162,BP4798,0))/100))),0)</f>
        <v/>
      </c>
      <c r="BT4798">
        <f>IF(AND(4785&lt;$U$9,$W$5),BQ4798*1000000-MIN(BR4798,999)*1000+BS4798-4785/100000,-1000000000-4785)</f>
        <v/>
      </c>
    </row>
    <row r="4799">
      <c r="BN4799">
        <f>IF(4786&lt;$U$9,INT(4786/($U$7*$U$8))+1,1)</f>
        <v/>
      </c>
      <c r="BO4799">
        <f>IF(4786&lt;$U$9,MOD(INT(4786/$U$8),$U$7)+1,1)</f>
        <v/>
      </c>
      <c r="BP4799">
        <f>IF(4786&lt;$U$9,MOD(4786,$U$8)+1,1)</f>
        <v/>
      </c>
      <c r="BQ4799">
        <f>IF(4786&lt;$U$9,SUMPRODUCT(($D$10:$L$10&lt;&gt;"")*(($D$9:$L$9+INT(($S$12:$AA$12+INDEX($AJ$13:$AR$162,BN4799,0)+INDEX($AT$13:$BB$162,BO4799,0)+INDEX($BD$13:$BL$162,BP4799,0))/100))&gt;=$D$10:$L$10)),0)</f>
        <v/>
      </c>
      <c r="BR4799">
        <f>IF(4786&lt;$U$9,SUMPRODUCT(($D$10:$L$10&lt;&gt;"")*(($D$10:$L$10-($D$9:$L$9+INT(($S$12:$AA$12+INDEX($AJ$13:$AR$162,BN4799,0)+INDEX($AT$13:$BB$162,BO4799,0)+INDEX($BD$13:$BL$162,BP4799,0))/100)))&gt;0)*($D$10:$L$10-($D$9:$L$9+INT(($S$12:$AA$12+INDEX($AJ$13:$AR$162,BN4799,0)+INDEX($AT$13:$BB$162,BO4799,0)+INDEX($BD$13:$BL$162,BP4799,0))/100)))),0)</f>
        <v/>
      </c>
      <c r="BS4799">
        <f>IF(4786&lt;$U$9,SUMPRODUCT(($D$9:$L$9+INT(($S$12:$AA$12+INDEX($AJ$13:$AR$162,BN4799,0)+INDEX($AT$13:$BB$162,BO4799,0)+INDEX($BD$13:$BL$162,BP4799,0))/100))),0)</f>
        <v/>
      </c>
      <c r="BT4799">
        <f>IF(AND(4786&lt;$U$9,$W$5),BQ4799*1000000-MIN(BR4799,999)*1000+BS4799-4786/100000,-1000000000-4786)</f>
        <v/>
      </c>
    </row>
    <row r="4800">
      <c r="BN4800">
        <f>IF(4787&lt;$U$9,INT(4787/($U$7*$U$8))+1,1)</f>
        <v/>
      </c>
      <c r="BO4800">
        <f>IF(4787&lt;$U$9,MOD(INT(4787/$U$8),$U$7)+1,1)</f>
        <v/>
      </c>
      <c r="BP4800">
        <f>IF(4787&lt;$U$9,MOD(4787,$U$8)+1,1)</f>
        <v/>
      </c>
      <c r="BQ4800">
        <f>IF(4787&lt;$U$9,SUMPRODUCT(($D$10:$L$10&lt;&gt;"")*(($D$9:$L$9+INT(($S$12:$AA$12+INDEX($AJ$13:$AR$162,BN4800,0)+INDEX($AT$13:$BB$162,BO4800,0)+INDEX($BD$13:$BL$162,BP4800,0))/100))&gt;=$D$10:$L$10)),0)</f>
        <v/>
      </c>
      <c r="BR4800">
        <f>IF(4787&lt;$U$9,SUMPRODUCT(($D$10:$L$10&lt;&gt;"")*(($D$10:$L$10-($D$9:$L$9+INT(($S$12:$AA$12+INDEX($AJ$13:$AR$162,BN4800,0)+INDEX($AT$13:$BB$162,BO4800,0)+INDEX($BD$13:$BL$162,BP4800,0))/100)))&gt;0)*($D$10:$L$10-($D$9:$L$9+INT(($S$12:$AA$12+INDEX($AJ$13:$AR$162,BN4800,0)+INDEX($AT$13:$BB$162,BO4800,0)+INDEX($BD$13:$BL$162,BP4800,0))/100)))),0)</f>
        <v/>
      </c>
      <c r="BS4800">
        <f>IF(4787&lt;$U$9,SUMPRODUCT(($D$9:$L$9+INT(($S$12:$AA$12+INDEX($AJ$13:$AR$162,BN4800,0)+INDEX($AT$13:$BB$162,BO4800,0)+INDEX($BD$13:$BL$162,BP4800,0))/100))),0)</f>
        <v/>
      </c>
      <c r="BT4800">
        <f>IF(AND(4787&lt;$U$9,$W$5),BQ4800*1000000-MIN(BR4800,999)*1000+BS4800-4787/100000,-1000000000-4787)</f>
        <v/>
      </c>
    </row>
    <row r="4801">
      <c r="BN4801">
        <f>IF(4788&lt;$U$9,INT(4788/($U$7*$U$8))+1,1)</f>
        <v/>
      </c>
      <c r="BO4801">
        <f>IF(4788&lt;$U$9,MOD(INT(4788/$U$8),$U$7)+1,1)</f>
        <v/>
      </c>
      <c r="BP4801">
        <f>IF(4788&lt;$U$9,MOD(4788,$U$8)+1,1)</f>
        <v/>
      </c>
      <c r="BQ4801">
        <f>IF(4788&lt;$U$9,SUMPRODUCT(($D$10:$L$10&lt;&gt;"")*(($D$9:$L$9+INT(($S$12:$AA$12+INDEX($AJ$13:$AR$162,BN4801,0)+INDEX($AT$13:$BB$162,BO4801,0)+INDEX($BD$13:$BL$162,BP4801,0))/100))&gt;=$D$10:$L$10)),0)</f>
        <v/>
      </c>
      <c r="BR4801">
        <f>IF(4788&lt;$U$9,SUMPRODUCT(($D$10:$L$10&lt;&gt;"")*(($D$10:$L$10-($D$9:$L$9+INT(($S$12:$AA$12+INDEX($AJ$13:$AR$162,BN4801,0)+INDEX($AT$13:$BB$162,BO4801,0)+INDEX($BD$13:$BL$162,BP4801,0))/100)))&gt;0)*($D$10:$L$10-($D$9:$L$9+INT(($S$12:$AA$12+INDEX($AJ$13:$AR$162,BN4801,0)+INDEX($AT$13:$BB$162,BO4801,0)+INDEX($BD$13:$BL$162,BP4801,0))/100)))),0)</f>
        <v/>
      </c>
      <c r="BS4801">
        <f>IF(4788&lt;$U$9,SUMPRODUCT(($D$9:$L$9+INT(($S$12:$AA$12+INDEX($AJ$13:$AR$162,BN4801,0)+INDEX($AT$13:$BB$162,BO4801,0)+INDEX($BD$13:$BL$162,BP4801,0))/100))),0)</f>
        <v/>
      </c>
      <c r="BT4801">
        <f>IF(AND(4788&lt;$U$9,$W$5),BQ4801*1000000-MIN(BR4801,999)*1000+BS4801-4788/100000,-1000000000-4788)</f>
        <v/>
      </c>
    </row>
    <row r="4802">
      <c r="BN4802">
        <f>IF(4789&lt;$U$9,INT(4789/($U$7*$U$8))+1,1)</f>
        <v/>
      </c>
      <c r="BO4802">
        <f>IF(4789&lt;$U$9,MOD(INT(4789/$U$8),$U$7)+1,1)</f>
        <v/>
      </c>
      <c r="BP4802">
        <f>IF(4789&lt;$U$9,MOD(4789,$U$8)+1,1)</f>
        <v/>
      </c>
      <c r="BQ4802">
        <f>IF(4789&lt;$U$9,SUMPRODUCT(($D$10:$L$10&lt;&gt;"")*(($D$9:$L$9+INT(($S$12:$AA$12+INDEX($AJ$13:$AR$162,BN4802,0)+INDEX($AT$13:$BB$162,BO4802,0)+INDEX($BD$13:$BL$162,BP4802,0))/100))&gt;=$D$10:$L$10)),0)</f>
        <v/>
      </c>
      <c r="BR4802">
        <f>IF(4789&lt;$U$9,SUMPRODUCT(($D$10:$L$10&lt;&gt;"")*(($D$10:$L$10-($D$9:$L$9+INT(($S$12:$AA$12+INDEX($AJ$13:$AR$162,BN4802,0)+INDEX($AT$13:$BB$162,BO4802,0)+INDEX($BD$13:$BL$162,BP4802,0))/100)))&gt;0)*($D$10:$L$10-($D$9:$L$9+INT(($S$12:$AA$12+INDEX($AJ$13:$AR$162,BN4802,0)+INDEX($AT$13:$BB$162,BO4802,0)+INDEX($BD$13:$BL$162,BP4802,0))/100)))),0)</f>
        <v/>
      </c>
      <c r="BS4802">
        <f>IF(4789&lt;$U$9,SUMPRODUCT(($D$9:$L$9+INT(($S$12:$AA$12+INDEX($AJ$13:$AR$162,BN4802,0)+INDEX($AT$13:$BB$162,BO4802,0)+INDEX($BD$13:$BL$162,BP4802,0))/100))),0)</f>
        <v/>
      </c>
      <c r="BT4802">
        <f>IF(AND(4789&lt;$U$9,$W$5),BQ4802*1000000-MIN(BR4802,999)*1000+BS4802-4789/100000,-1000000000-4789)</f>
        <v/>
      </c>
    </row>
    <row r="4803">
      <c r="BN4803">
        <f>IF(4790&lt;$U$9,INT(4790/($U$7*$U$8))+1,1)</f>
        <v/>
      </c>
      <c r="BO4803">
        <f>IF(4790&lt;$U$9,MOD(INT(4790/$U$8),$U$7)+1,1)</f>
        <v/>
      </c>
      <c r="BP4803">
        <f>IF(4790&lt;$U$9,MOD(4790,$U$8)+1,1)</f>
        <v/>
      </c>
      <c r="BQ4803">
        <f>IF(4790&lt;$U$9,SUMPRODUCT(($D$10:$L$10&lt;&gt;"")*(($D$9:$L$9+INT(($S$12:$AA$12+INDEX($AJ$13:$AR$162,BN4803,0)+INDEX($AT$13:$BB$162,BO4803,0)+INDEX($BD$13:$BL$162,BP4803,0))/100))&gt;=$D$10:$L$10)),0)</f>
        <v/>
      </c>
      <c r="BR4803">
        <f>IF(4790&lt;$U$9,SUMPRODUCT(($D$10:$L$10&lt;&gt;"")*(($D$10:$L$10-($D$9:$L$9+INT(($S$12:$AA$12+INDEX($AJ$13:$AR$162,BN4803,0)+INDEX($AT$13:$BB$162,BO4803,0)+INDEX($BD$13:$BL$162,BP4803,0))/100)))&gt;0)*($D$10:$L$10-($D$9:$L$9+INT(($S$12:$AA$12+INDEX($AJ$13:$AR$162,BN4803,0)+INDEX($AT$13:$BB$162,BO4803,0)+INDEX($BD$13:$BL$162,BP4803,0))/100)))),0)</f>
        <v/>
      </c>
      <c r="BS4803">
        <f>IF(4790&lt;$U$9,SUMPRODUCT(($D$9:$L$9+INT(($S$12:$AA$12+INDEX($AJ$13:$AR$162,BN4803,0)+INDEX($AT$13:$BB$162,BO4803,0)+INDEX($BD$13:$BL$162,BP4803,0))/100))),0)</f>
        <v/>
      </c>
      <c r="BT4803">
        <f>IF(AND(4790&lt;$U$9,$W$5),BQ4803*1000000-MIN(BR4803,999)*1000+BS4803-4790/100000,-1000000000-4790)</f>
        <v/>
      </c>
    </row>
    <row r="4804">
      <c r="BN4804">
        <f>IF(4791&lt;$U$9,INT(4791/($U$7*$U$8))+1,1)</f>
        <v/>
      </c>
      <c r="BO4804">
        <f>IF(4791&lt;$U$9,MOD(INT(4791/$U$8),$U$7)+1,1)</f>
        <v/>
      </c>
      <c r="BP4804">
        <f>IF(4791&lt;$U$9,MOD(4791,$U$8)+1,1)</f>
        <v/>
      </c>
      <c r="BQ4804">
        <f>IF(4791&lt;$U$9,SUMPRODUCT(($D$10:$L$10&lt;&gt;"")*(($D$9:$L$9+INT(($S$12:$AA$12+INDEX($AJ$13:$AR$162,BN4804,0)+INDEX($AT$13:$BB$162,BO4804,0)+INDEX($BD$13:$BL$162,BP4804,0))/100))&gt;=$D$10:$L$10)),0)</f>
        <v/>
      </c>
      <c r="BR4804">
        <f>IF(4791&lt;$U$9,SUMPRODUCT(($D$10:$L$10&lt;&gt;"")*(($D$10:$L$10-($D$9:$L$9+INT(($S$12:$AA$12+INDEX($AJ$13:$AR$162,BN4804,0)+INDEX($AT$13:$BB$162,BO4804,0)+INDEX($BD$13:$BL$162,BP4804,0))/100)))&gt;0)*($D$10:$L$10-($D$9:$L$9+INT(($S$12:$AA$12+INDEX($AJ$13:$AR$162,BN4804,0)+INDEX($AT$13:$BB$162,BO4804,0)+INDEX($BD$13:$BL$162,BP4804,0))/100)))),0)</f>
        <v/>
      </c>
      <c r="BS4804">
        <f>IF(4791&lt;$U$9,SUMPRODUCT(($D$9:$L$9+INT(($S$12:$AA$12+INDEX($AJ$13:$AR$162,BN4804,0)+INDEX($AT$13:$BB$162,BO4804,0)+INDEX($BD$13:$BL$162,BP4804,0))/100))),0)</f>
        <v/>
      </c>
      <c r="BT4804">
        <f>IF(AND(4791&lt;$U$9,$W$5),BQ4804*1000000-MIN(BR4804,999)*1000+BS4804-4791/100000,-1000000000-4791)</f>
        <v/>
      </c>
    </row>
    <row r="4805">
      <c r="BN4805">
        <f>IF(4792&lt;$U$9,INT(4792/($U$7*$U$8))+1,1)</f>
        <v/>
      </c>
      <c r="BO4805">
        <f>IF(4792&lt;$U$9,MOD(INT(4792/$U$8),$U$7)+1,1)</f>
        <v/>
      </c>
      <c r="BP4805">
        <f>IF(4792&lt;$U$9,MOD(4792,$U$8)+1,1)</f>
        <v/>
      </c>
      <c r="BQ4805">
        <f>IF(4792&lt;$U$9,SUMPRODUCT(($D$10:$L$10&lt;&gt;"")*(($D$9:$L$9+INT(($S$12:$AA$12+INDEX($AJ$13:$AR$162,BN4805,0)+INDEX($AT$13:$BB$162,BO4805,0)+INDEX($BD$13:$BL$162,BP4805,0))/100))&gt;=$D$10:$L$10)),0)</f>
        <v/>
      </c>
      <c r="BR4805">
        <f>IF(4792&lt;$U$9,SUMPRODUCT(($D$10:$L$10&lt;&gt;"")*(($D$10:$L$10-($D$9:$L$9+INT(($S$12:$AA$12+INDEX($AJ$13:$AR$162,BN4805,0)+INDEX($AT$13:$BB$162,BO4805,0)+INDEX($BD$13:$BL$162,BP4805,0))/100)))&gt;0)*($D$10:$L$10-($D$9:$L$9+INT(($S$12:$AA$12+INDEX($AJ$13:$AR$162,BN4805,0)+INDEX($AT$13:$BB$162,BO4805,0)+INDEX($BD$13:$BL$162,BP4805,0))/100)))),0)</f>
        <v/>
      </c>
      <c r="BS4805">
        <f>IF(4792&lt;$U$9,SUMPRODUCT(($D$9:$L$9+INT(($S$12:$AA$12+INDEX($AJ$13:$AR$162,BN4805,0)+INDEX($AT$13:$BB$162,BO4805,0)+INDEX($BD$13:$BL$162,BP4805,0))/100))),0)</f>
        <v/>
      </c>
      <c r="BT4805">
        <f>IF(AND(4792&lt;$U$9,$W$5),BQ4805*1000000-MIN(BR4805,999)*1000+BS4805-4792/100000,-1000000000-4792)</f>
        <v/>
      </c>
    </row>
    <row r="4806">
      <c r="BN4806">
        <f>IF(4793&lt;$U$9,INT(4793/($U$7*$U$8))+1,1)</f>
        <v/>
      </c>
      <c r="BO4806">
        <f>IF(4793&lt;$U$9,MOD(INT(4793/$U$8),$U$7)+1,1)</f>
        <v/>
      </c>
      <c r="BP4806">
        <f>IF(4793&lt;$U$9,MOD(4793,$U$8)+1,1)</f>
        <v/>
      </c>
      <c r="BQ4806">
        <f>IF(4793&lt;$U$9,SUMPRODUCT(($D$10:$L$10&lt;&gt;"")*(($D$9:$L$9+INT(($S$12:$AA$12+INDEX($AJ$13:$AR$162,BN4806,0)+INDEX($AT$13:$BB$162,BO4806,0)+INDEX($BD$13:$BL$162,BP4806,0))/100))&gt;=$D$10:$L$10)),0)</f>
        <v/>
      </c>
      <c r="BR4806">
        <f>IF(4793&lt;$U$9,SUMPRODUCT(($D$10:$L$10&lt;&gt;"")*(($D$10:$L$10-($D$9:$L$9+INT(($S$12:$AA$12+INDEX($AJ$13:$AR$162,BN4806,0)+INDEX($AT$13:$BB$162,BO4806,0)+INDEX($BD$13:$BL$162,BP4806,0))/100)))&gt;0)*($D$10:$L$10-($D$9:$L$9+INT(($S$12:$AA$12+INDEX($AJ$13:$AR$162,BN4806,0)+INDEX($AT$13:$BB$162,BO4806,0)+INDEX($BD$13:$BL$162,BP4806,0))/100)))),0)</f>
        <v/>
      </c>
      <c r="BS4806">
        <f>IF(4793&lt;$U$9,SUMPRODUCT(($D$9:$L$9+INT(($S$12:$AA$12+INDEX($AJ$13:$AR$162,BN4806,0)+INDEX($AT$13:$BB$162,BO4806,0)+INDEX($BD$13:$BL$162,BP4806,0))/100))),0)</f>
        <v/>
      </c>
      <c r="BT4806">
        <f>IF(AND(4793&lt;$U$9,$W$5),BQ4806*1000000-MIN(BR4806,999)*1000+BS4806-4793/100000,-1000000000-4793)</f>
        <v/>
      </c>
    </row>
    <row r="4807">
      <c r="BN4807">
        <f>IF(4794&lt;$U$9,INT(4794/($U$7*$U$8))+1,1)</f>
        <v/>
      </c>
      <c r="BO4807">
        <f>IF(4794&lt;$U$9,MOD(INT(4794/$U$8),$U$7)+1,1)</f>
        <v/>
      </c>
      <c r="BP4807">
        <f>IF(4794&lt;$U$9,MOD(4794,$U$8)+1,1)</f>
        <v/>
      </c>
      <c r="BQ4807">
        <f>IF(4794&lt;$U$9,SUMPRODUCT(($D$10:$L$10&lt;&gt;"")*(($D$9:$L$9+INT(($S$12:$AA$12+INDEX($AJ$13:$AR$162,BN4807,0)+INDEX($AT$13:$BB$162,BO4807,0)+INDEX($BD$13:$BL$162,BP4807,0))/100))&gt;=$D$10:$L$10)),0)</f>
        <v/>
      </c>
      <c r="BR4807">
        <f>IF(4794&lt;$U$9,SUMPRODUCT(($D$10:$L$10&lt;&gt;"")*(($D$10:$L$10-($D$9:$L$9+INT(($S$12:$AA$12+INDEX($AJ$13:$AR$162,BN4807,0)+INDEX($AT$13:$BB$162,BO4807,0)+INDEX($BD$13:$BL$162,BP4807,0))/100)))&gt;0)*($D$10:$L$10-($D$9:$L$9+INT(($S$12:$AA$12+INDEX($AJ$13:$AR$162,BN4807,0)+INDEX($AT$13:$BB$162,BO4807,0)+INDEX($BD$13:$BL$162,BP4807,0))/100)))),0)</f>
        <v/>
      </c>
      <c r="BS4807">
        <f>IF(4794&lt;$U$9,SUMPRODUCT(($D$9:$L$9+INT(($S$12:$AA$12+INDEX($AJ$13:$AR$162,BN4807,0)+INDEX($AT$13:$BB$162,BO4807,0)+INDEX($BD$13:$BL$162,BP4807,0))/100))),0)</f>
        <v/>
      </c>
      <c r="BT4807">
        <f>IF(AND(4794&lt;$U$9,$W$5),BQ4807*1000000-MIN(BR4807,999)*1000+BS4807-4794/100000,-1000000000-4794)</f>
        <v/>
      </c>
    </row>
    <row r="4808">
      <c r="BN4808">
        <f>IF(4795&lt;$U$9,INT(4795/($U$7*$U$8))+1,1)</f>
        <v/>
      </c>
      <c r="BO4808">
        <f>IF(4795&lt;$U$9,MOD(INT(4795/$U$8),$U$7)+1,1)</f>
        <v/>
      </c>
      <c r="BP4808">
        <f>IF(4795&lt;$U$9,MOD(4795,$U$8)+1,1)</f>
        <v/>
      </c>
      <c r="BQ4808">
        <f>IF(4795&lt;$U$9,SUMPRODUCT(($D$10:$L$10&lt;&gt;"")*(($D$9:$L$9+INT(($S$12:$AA$12+INDEX($AJ$13:$AR$162,BN4808,0)+INDEX($AT$13:$BB$162,BO4808,0)+INDEX($BD$13:$BL$162,BP4808,0))/100))&gt;=$D$10:$L$10)),0)</f>
        <v/>
      </c>
      <c r="BR4808">
        <f>IF(4795&lt;$U$9,SUMPRODUCT(($D$10:$L$10&lt;&gt;"")*(($D$10:$L$10-($D$9:$L$9+INT(($S$12:$AA$12+INDEX($AJ$13:$AR$162,BN4808,0)+INDEX($AT$13:$BB$162,BO4808,0)+INDEX($BD$13:$BL$162,BP4808,0))/100)))&gt;0)*($D$10:$L$10-($D$9:$L$9+INT(($S$12:$AA$12+INDEX($AJ$13:$AR$162,BN4808,0)+INDEX($AT$13:$BB$162,BO4808,0)+INDEX($BD$13:$BL$162,BP4808,0))/100)))),0)</f>
        <v/>
      </c>
      <c r="BS4808">
        <f>IF(4795&lt;$U$9,SUMPRODUCT(($D$9:$L$9+INT(($S$12:$AA$12+INDEX($AJ$13:$AR$162,BN4808,0)+INDEX($AT$13:$BB$162,BO4808,0)+INDEX($BD$13:$BL$162,BP4808,0))/100))),0)</f>
        <v/>
      </c>
      <c r="BT4808">
        <f>IF(AND(4795&lt;$U$9,$W$5),BQ4808*1000000-MIN(BR4808,999)*1000+BS4808-4795/100000,-1000000000-4795)</f>
        <v/>
      </c>
    </row>
    <row r="4809">
      <c r="BN4809">
        <f>IF(4796&lt;$U$9,INT(4796/($U$7*$U$8))+1,1)</f>
        <v/>
      </c>
      <c r="BO4809">
        <f>IF(4796&lt;$U$9,MOD(INT(4796/$U$8),$U$7)+1,1)</f>
        <v/>
      </c>
      <c r="BP4809">
        <f>IF(4796&lt;$U$9,MOD(4796,$U$8)+1,1)</f>
        <v/>
      </c>
      <c r="BQ4809">
        <f>IF(4796&lt;$U$9,SUMPRODUCT(($D$10:$L$10&lt;&gt;"")*(($D$9:$L$9+INT(($S$12:$AA$12+INDEX($AJ$13:$AR$162,BN4809,0)+INDEX($AT$13:$BB$162,BO4809,0)+INDEX($BD$13:$BL$162,BP4809,0))/100))&gt;=$D$10:$L$10)),0)</f>
        <v/>
      </c>
      <c r="BR4809">
        <f>IF(4796&lt;$U$9,SUMPRODUCT(($D$10:$L$10&lt;&gt;"")*(($D$10:$L$10-($D$9:$L$9+INT(($S$12:$AA$12+INDEX($AJ$13:$AR$162,BN4809,0)+INDEX($AT$13:$BB$162,BO4809,0)+INDEX($BD$13:$BL$162,BP4809,0))/100)))&gt;0)*($D$10:$L$10-($D$9:$L$9+INT(($S$12:$AA$12+INDEX($AJ$13:$AR$162,BN4809,0)+INDEX($AT$13:$BB$162,BO4809,0)+INDEX($BD$13:$BL$162,BP4809,0))/100)))),0)</f>
        <v/>
      </c>
      <c r="BS4809">
        <f>IF(4796&lt;$U$9,SUMPRODUCT(($D$9:$L$9+INT(($S$12:$AA$12+INDEX($AJ$13:$AR$162,BN4809,0)+INDEX($AT$13:$BB$162,BO4809,0)+INDEX($BD$13:$BL$162,BP4809,0))/100))),0)</f>
        <v/>
      </c>
      <c r="BT4809">
        <f>IF(AND(4796&lt;$U$9,$W$5),BQ4809*1000000-MIN(BR4809,999)*1000+BS4809-4796/100000,-1000000000-4796)</f>
        <v/>
      </c>
    </row>
    <row r="4810">
      <c r="BN4810">
        <f>IF(4797&lt;$U$9,INT(4797/($U$7*$U$8))+1,1)</f>
        <v/>
      </c>
      <c r="BO4810">
        <f>IF(4797&lt;$U$9,MOD(INT(4797/$U$8),$U$7)+1,1)</f>
        <v/>
      </c>
      <c r="BP4810">
        <f>IF(4797&lt;$U$9,MOD(4797,$U$8)+1,1)</f>
        <v/>
      </c>
      <c r="BQ4810">
        <f>IF(4797&lt;$U$9,SUMPRODUCT(($D$10:$L$10&lt;&gt;"")*(($D$9:$L$9+INT(($S$12:$AA$12+INDEX($AJ$13:$AR$162,BN4810,0)+INDEX($AT$13:$BB$162,BO4810,0)+INDEX($BD$13:$BL$162,BP4810,0))/100))&gt;=$D$10:$L$10)),0)</f>
        <v/>
      </c>
      <c r="BR4810">
        <f>IF(4797&lt;$U$9,SUMPRODUCT(($D$10:$L$10&lt;&gt;"")*(($D$10:$L$10-($D$9:$L$9+INT(($S$12:$AA$12+INDEX($AJ$13:$AR$162,BN4810,0)+INDEX($AT$13:$BB$162,BO4810,0)+INDEX($BD$13:$BL$162,BP4810,0))/100)))&gt;0)*($D$10:$L$10-($D$9:$L$9+INT(($S$12:$AA$12+INDEX($AJ$13:$AR$162,BN4810,0)+INDEX($AT$13:$BB$162,BO4810,0)+INDEX($BD$13:$BL$162,BP4810,0))/100)))),0)</f>
        <v/>
      </c>
      <c r="BS4810">
        <f>IF(4797&lt;$U$9,SUMPRODUCT(($D$9:$L$9+INT(($S$12:$AA$12+INDEX($AJ$13:$AR$162,BN4810,0)+INDEX($AT$13:$BB$162,BO4810,0)+INDEX($BD$13:$BL$162,BP4810,0))/100))),0)</f>
        <v/>
      </c>
      <c r="BT4810">
        <f>IF(AND(4797&lt;$U$9,$W$5),BQ4810*1000000-MIN(BR4810,999)*1000+BS4810-4797/100000,-1000000000-4797)</f>
        <v/>
      </c>
    </row>
    <row r="4811">
      <c r="BN4811">
        <f>IF(4798&lt;$U$9,INT(4798/($U$7*$U$8))+1,1)</f>
        <v/>
      </c>
      <c r="BO4811">
        <f>IF(4798&lt;$U$9,MOD(INT(4798/$U$8),$U$7)+1,1)</f>
        <v/>
      </c>
      <c r="BP4811">
        <f>IF(4798&lt;$U$9,MOD(4798,$U$8)+1,1)</f>
        <v/>
      </c>
      <c r="BQ4811">
        <f>IF(4798&lt;$U$9,SUMPRODUCT(($D$10:$L$10&lt;&gt;"")*(($D$9:$L$9+INT(($S$12:$AA$12+INDEX($AJ$13:$AR$162,BN4811,0)+INDEX($AT$13:$BB$162,BO4811,0)+INDEX($BD$13:$BL$162,BP4811,0))/100))&gt;=$D$10:$L$10)),0)</f>
        <v/>
      </c>
      <c r="BR4811">
        <f>IF(4798&lt;$U$9,SUMPRODUCT(($D$10:$L$10&lt;&gt;"")*(($D$10:$L$10-($D$9:$L$9+INT(($S$12:$AA$12+INDEX($AJ$13:$AR$162,BN4811,0)+INDEX($AT$13:$BB$162,BO4811,0)+INDEX($BD$13:$BL$162,BP4811,0))/100)))&gt;0)*($D$10:$L$10-($D$9:$L$9+INT(($S$12:$AA$12+INDEX($AJ$13:$AR$162,BN4811,0)+INDEX($AT$13:$BB$162,BO4811,0)+INDEX($BD$13:$BL$162,BP4811,0))/100)))),0)</f>
        <v/>
      </c>
      <c r="BS4811">
        <f>IF(4798&lt;$U$9,SUMPRODUCT(($D$9:$L$9+INT(($S$12:$AA$12+INDEX($AJ$13:$AR$162,BN4811,0)+INDEX($AT$13:$BB$162,BO4811,0)+INDEX($BD$13:$BL$162,BP4811,0))/100))),0)</f>
        <v/>
      </c>
      <c r="BT4811">
        <f>IF(AND(4798&lt;$U$9,$W$5),BQ4811*1000000-MIN(BR4811,999)*1000+BS4811-4798/100000,-1000000000-4798)</f>
        <v/>
      </c>
    </row>
    <row r="4812">
      <c r="BN4812">
        <f>IF(4799&lt;$U$9,INT(4799/($U$7*$U$8))+1,1)</f>
        <v/>
      </c>
      <c r="BO4812">
        <f>IF(4799&lt;$U$9,MOD(INT(4799/$U$8),$U$7)+1,1)</f>
        <v/>
      </c>
      <c r="BP4812">
        <f>IF(4799&lt;$U$9,MOD(4799,$U$8)+1,1)</f>
        <v/>
      </c>
      <c r="BQ4812">
        <f>IF(4799&lt;$U$9,SUMPRODUCT(($D$10:$L$10&lt;&gt;"")*(($D$9:$L$9+INT(($S$12:$AA$12+INDEX($AJ$13:$AR$162,BN4812,0)+INDEX($AT$13:$BB$162,BO4812,0)+INDEX($BD$13:$BL$162,BP4812,0))/100))&gt;=$D$10:$L$10)),0)</f>
        <v/>
      </c>
      <c r="BR4812">
        <f>IF(4799&lt;$U$9,SUMPRODUCT(($D$10:$L$10&lt;&gt;"")*(($D$10:$L$10-($D$9:$L$9+INT(($S$12:$AA$12+INDEX($AJ$13:$AR$162,BN4812,0)+INDEX($AT$13:$BB$162,BO4812,0)+INDEX($BD$13:$BL$162,BP4812,0))/100)))&gt;0)*($D$10:$L$10-($D$9:$L$9+INT(($S$12:$AA$12+INDEX($AJ$13:$AR$162,BN4812,0)+INDEX($AT$13:$BB$162,BO4812,0)+INDEX($BD$13:$BL$162,BP4812,0))/100)))),0)</f>
        <v/>
      </c>
      <c r="BS4812">
        <f>IF(4799&lt;$U$9,SUMPRODUCT(($D$9:$L$9+INT(($S$12:$AA$12+INDEX($AJ$13:$AR$162,BN4812,0)+INDEX($AT$13:$BB$162,BO4812,0)+INDEX($BD$13:$BL$162,BP4812,0))/100))),0)</f>
        <v/>
      </c>
      <c r="BT4812">
        <f>IF(AND(4799&lt;$U$9,$W$5),BQ4812*1000000-MIN(BR4812,999)*1000+BS4812-4799/100000,-1000000000-4799)</f>
        <v/>
      </c>
    </row>
    <row r="4813">
      <c r="BN4813">
        <f>IF(4800&lt;$U$9,INT(4800/($U$7*$U$8))+1,1)</f>
        <v/>
      </c>
      <c r="BO4813">
        <f>IF(4800&lt;$U$9,MOD(INT(4800/$U$8),$U$7)+1,1)</f>
        <v/>
      </c>
      <c r="BP4813">
        <f>IF(4800&lt;$U$9,MOD(4800,$U$8)+1,1)</f>
        <v/>
      </c>
      <c r="BQ4813">
        <f>IF(4800&lt;$U$9,SUMPRODUCT(($D$10:$L$10&lt;&gt;"")*(($D$9:$L$9+INT(($S$12:$AA$12+INDEX($AJ$13:$AR$162,BN4813,0)+INDEX($AT$13:$BB$162,BO4813,0)+INDEX($BD$13:$BL$162,BP4813,0))/100))&gt;=$D$10:$L$10)),0)</f>
        <v/>
      </c>
      <c r="BR4813">
        <f>IF(4800&lt;$U$9,SUMPRODUCT(($D$10:$L$10&lt;&gt;"")*(($D$10:$L$10-($D$9:$L$9+INT(($S$12:$AA$12+INDEX($AJ$13:$AR$162,BN4813,0)+INDEX($AT$13:$BB$162,BO4813,0)+INDEX($BD$13:$BL$162,BP4813,0))/100)))&gt;0)*($D$10:$L$10-($D$9:$L$9+INT(($S$12:$AA$12+INDEX($AJ$13:$AR$162,BN4813,0)+INDEX($AT$13:$BB$162,BO4813,0)+INDEX($BD$13:$BL$162,BP4813,0))/100)))),0)</f>
        <v/>
      </c>
      <c r="BS4813">
        <f>IF(4800&lt;$U$9,SUMPRODUCT(($D$9:$L$9+INT(($S$12:$AA$12+INDEX($AJ$13:$AR$162,BN4813,0)+INDEX($AT$13:$BB$162,BO4813,0)+INDEX($BD$13:$BL$162,BP4813,0))/100))),0)</f>
        <v/>
      </c>
      <c r="BT4813">
        <f>IF(AND(4800&lt;$U$9,$W$5),BQ4813*1000000-MIN(BR4813,999)*1000+BS4813-4800/100000,-1000000000-4800)</f>
        <v/>
      </c>
    </row>
    <row r="4814">
      <c r="BN4814">
        <f>IF(4801&lt;$U$9,INT(4801/($U$7*$U$8))+1,1)</f>
        <v/>
      </c>
      <c r="BO4814">
        <f>IF(4801&lt;$U$9,MOD(INT(4801/$U$8),$U$7)+1,1)</f>
        <v/>
      </c>
      <c r="BP4814">
        <f>IF(4801&lt;$U$9,MOD(4801,$U$8)+1,1)</f>
        <v/>
      </c>
      <c r="BQ4814">
        <f>IF(4801&lt;$U$9,SUMPRODUCT(($D$10:$L$10&lt;&gt;"")*(($D$9:$L$9+INT(($S$12:$AA$12+INDEX($AJ$13:$AR$162,BN4814,0)+INDEX($AT$13:$BB$162,BO4814,0)+INDEX($BD$13:$BL$162,BP4814,0))/100))&gt;=$D$10:$L$10)),0)</f>
        <v/>
      </c>
      <c r="BR4814">
        <f>IF(4801&lt;$U$9,SUMPRODUCT(($D$10:$L$10&lt;&gt;"")*(($D$10:$L$10-($D$9:$L$9+INT(($S$12:$AA$12+INDEX($AJ$13:$AR$162,BN4814,0)+INDEX($AT$13:$BB$162,BO4814,0)+INDEX($BD$13:$BL$162,BP4814,0))/100)))&gt;0)*($D$10:$L$10-($D$9:$L$9+INT(($S$12:$AA$12+INDEX($AJ$13:$AR$162,BN4814,0)+INDEX($AT$13:$BB$162,BO4814,0)+INDEX($BD$13:$BL$162,BP4814,0))/100)))),0)</f>
        <v/>
      </c>
      <c r="BS4814">
        <f>IF(4801&lt;$U$9,SUMPRODUCT(($D$9:$L$9+INT(($S$12:$AA$12+INDEX($AJ$13:$AR$162,BN4814,0)+INDEX($AT$13:$BB$162,BO4814,0)+INDEX($BD$13:$BL$162,BP4814,0))/100))),0)</f>
        <v/>
      </c>
      <c r="BT4814">
        <f>IF(AND(4801&lt;$U$9,$W$5),BQ4814*1000000-MIN(BR4814,999)*1000+BS4814-4801/100000,-1000000000-4801)</f>
        <v/>
      </c>
    </row>
    <row r="4815">
      <c r="BN4815">
        <f>IF(4802&lt;$U$9,INT(4802/($U$7*$U$8))+1,1)</f>
        <v/>
      </c>
      <c r="BO4815">
        <f>IF(4802&lt;$U$9,MOD(INT(4802/$U$8),$U$7)+1,1)</f>
        <v/>
      </c>
      <c r="BP4815">
        <f>IF(4802&lt;$U$9,MOD(4802,$U$8)+1,1)</f>
        <v/>
      </c>
      <c r="BQ4815">
        <f>IF(4802&lt;$U$9,SUMPRODUCT(($D$10:$L$10&lt;&gt;"")*(($D$9:$L$9+INT(($S$12:$AA$12+INDEX($AJ$13:$AR$162,BN4815,0)+INDEX($AT$13:$BB$162,BO4815,0)+INDEX($BD$13:$BL$162,BP4815,0))/100))&gt;=$D$10:$L$10)),0)</f>
        <v/>
      </c>
      <c r="BR4815">
        <f>IF(4802&lt;$U$9,SUMPRODUCT(($D$10:$L$10&lt;&gt;"")*(($D$10:$L$10-($D$9:$L$9+INT(($S$12:$AA$12+INDEX($AJ$13:$AR$162,BN4815,0)+INDEX($AT$13:$BB$162,BO4815,0)+INDEX($BD$13:$BL$162,BP4815,0))/100)))&gt;0)*($D$10:$L$10-($D$9:$L$9+INT(($S$12:$AA$12+INDEX($AJ$13:$AR$162,BN4815,0)+INDEX($AT$13:$BB$162,BO4815,0)+INDEX($BD$13:$BL$162,BP4815,0))/100)))),0)</f>
        <v/>
      </c>
      <c r="BS4815">
        <f>IF(4802&lt;$U$9,SUMPRODUCT(($D$9:$L$9+INT(($S$12:$AA$12+INDEX($AJ$13:$AR$162,BN4815,0)+INDEX($AT$13:$BB$162,BO4815,0)+INDEX($BD$13:$BL$162,BP4815,0))/100))),0)</f>
        <v/>
      </c>
      <c r="BT4815">
        <f>IF(AND(4802&lt;$U$9,$W$5),BQ4815*1000000-MIN(BR4815,999)*1000+BS4815-4802/100000,-1000000000-4802)</f>
        <v/>
      </c>
    </row>
    <row r="4816">
      <c r="BN4816">
        <f>IF(4803&lt;$U$9,INT(4803/($U$7*$U$8))+1,1)</f>
        <v/>
      </c>
      <c r="BO4816">
        <f>IF(4803&lt;$U$9,MOD(INT(4803/$U$8),$U$7)+1,1)</f>
        <v/>
      </c>
      <c r="BP4816">
        <f>IF(4803&lt;$U$9,MOD(4803,$U$8)+1,1)</f>
        <v/>
      </c>
      <c r="BQ4816">
        <f>IF(4803&lt;$U$9,SUMPRODUCT(($D$10:$L$10&lt;&gt;"")*(($D$9:$L$9+INT(($S$12:$AA$12+INDEX($AJ$13:$AR$162,BN4816,0)+INDEX($AT$13:$BB$162,BO4816,0)+INDEX($BD$13:$BL$162,BP4816,0))/100))&gt;=$D$10:$L$10)),0)</f>
        <v/>
      </c>
      <c r="BR4816">
        <f>IF(4803&lt;$U$9,SUMPRODUCT(($D$10:$L$10&lt;&gt;"")*(($D$10:$L$10-($D$9:$L$9+INT(($S$12:$AA$12+INDEX($AJ$13:$AR$162,BN4816,0)+INDEX($AT$13:$BB$162,BO4816,0)+INDEX($BD$13:$BL$162,BP4816,0))/100)))&gt;0)*($D$10:$L$10-($D$9:$L$9+INT(($S$12:$AA$12+INDEX($AJ$13:$AR$162,BN4816,0)+INDEX($AT$13:$BB$162,BO4816,0)+INDEX($BD$13:$BL$162,BP4816,0))/100)))),0)</f>
        <v/>
      </c>
      <c r="BS4816">
        <f>IF(4803&lt;$U$9,SUMPRODUCT(($D$9:$L$9+INT(($S$12:$AA$12+INDEX($AJ$13:$AR$162,BN4816,0)+INDEX($AT$13:$BB$162,BO4816,0)+INDEX($BD$13:$BL$162,BP4816,0))/100))),0)</f>
        <v/>
      </c>
      <c r="BT4816">
        <f>IF(AND(4803&lt;$U$9,$W$5),BQ4816*1000000-MIN(BR4816,999)*1000+BS4816-4803/100000,-1000000000-4803)</f>
        <v/>
      </c>
    </row>
    <row r="4817">
      <c r="BN4817">
        <f>IF(4804&lt;$U$9,INT(4804/($U$7*$U$8))+1,1)</f>
        <v/>
      </c>
      <c r="BO4817">
        <f>IF(4804&lt;$U$9,MOD(INT(4804/$U$8),$U$7)+1,1)</f>
        <v/>
      </c>
      <c r="BP4817">
        <f>IF(4804&lt;$U$9,MOD(4804,$U$8)+1,1)</f>
        <v/>
      </c>
      <c r="BQ4817">
        <f>IF(4804&lt;$U$9,SUMPRODUCT(($D$10:$L$10&lt;&gt;"")*(($D$9:$L$9+INT(($S$12:$AA$12+INDEX($AJ$13:$AR$162,BN4817,0)+INDEX($AT$13:$BB$162,BO4817,0)+INDEX($BD$13:$BL$162,BP4817,0))/100))&gt;=$D$10:$L$10)),0)</f>
        <v/>
      </c>
      <c r="BR4817">
        <f>IF(4804&lt;$U$9,SUMPRODUCT(($D$10:$L$10&lt;&gt;"")*(($D$10:$L$10-($D$9:$L$9+INT(($S$12:$AA$12+INDEX($AJ$13:$AR$162,BN4817,0)+INDEX($AT$13:$BB$162,BO4817,0)+INDEX($BD$13:$BL$162,BP4817,0))/100)))&gt;0)*($D$10:$L$10-($D$9:$L$9+INT(($S$12:$AA$12+INDEX($AJ$13:$AR$162,BN4817,0)+INDEX($AT$13:$BB$162,BO4817,0)+INDEX($BD$13:$BL$162,BP4817,0))/100)))),0)</f>
        <v/>
      </c>
      <c r="BS4817">
        <f>IF(4804&lt;$U$9,SUMPRODUCT(($D$9:$L$9+INT(($S$12:$AA$12+INDEX($AJ$13:$AR$162,BN4817,0)+INDEX($AT$13:$BB$162,BO4817,0)+INDEX($BD$13:$BL$162,BP4817,0))/100))),0)</f>
        <v/>
      </c>
      <c r="BT4817">
        <f>IF(AND(4804&lt;$U$9,$W$5),BQ4817*1000000-MIN(BR4817,999)*1000+BS4817-4804/100000,-1000000000-4804)</f>
        <v/>
      </c>
    </row>
    <row r="4818">
      <c r="BN4818">
        <f>IF(4805&lt;$U$9,INT(4805/($U$7*$U$8))+1,1)</f>
        <v/>
      </c>
      <c r="BO4818">
        <f>IF(4805&lt;$U$9,MOD(INT(4805/$U$8),$U$7)+1,1)</f>
        <v/>
      </c>
      <c r="BP4818">
        <f>IF(4805&lt;$U$9,MOD(4805,$U$8)+1,1)</f>
        <v/>
      </c>
      <c r="BQ4818">
        <f>IF(4805&lt;$U$9,SUMPRODUCT(($D$10:$L$10&lt;&gt;"")*(($D$9:$L$9+INT(($S$12:$AA$12+INDEX($AJ$13:$AR$162,BN4818,0)+INDEX($AT$13:$BB$162,BO4818,0)+INDEX($BD$13:$BL$162,BP4818,0))/100))&gt;=$D$10:$L$10)),0)</f>
        <v/>
      </c>
      <c r="BR4818">
        <f>IF(4805&lt;$U$9,SUMPRODUCT(($D$10:$L$10&lt;&gt;"")*(($D$10:$L$10-($D$9:$L$9+INT(($S$12:$AA$12+INDEX($AJ$13:$AR$162,BN4818,0)+INDEX($AT$13:$BB$162,BO4818,0)+INDEX($BD$13:$BL$162,BP4818,0))/100)))&gt;0)*($D$10:$L$10-($D$9:$L$9+INT(($S$12:$AA$12+INDEX($AJ$13:$AR$162,BN4818,0)+INDEX($AT$13:$BB$162,BO4818,0)+INDEX($BD$13:$BL$162,BP4818,0))/100)))),0)</f>
        <v/>
      </c>
      <c r="BS4818">
        <f>IF(4805&lt;$U$9,SUMPRODUCT(($D$9:$L$9+INT(($S$12:$AA$12+INDEX($AJ$13:$AR$162,BN4818,0)+INDEX($AT$13:$BB$162,BO4818,0)+INDEX($BD$13:$BL$162,BP4818,0))/100))),0)</f>
        <v/>
      </c>
      <c r="BT4818">
        <f>IF(AND(4805&lt;$U$9,$W$5),BQ4818*1000000-MIN(BR4818,999)*1000+BS4818-4805/100000,-1000000000-4805)</f>
        <v/>
      </c>
    </row>
    <row r="4819">
      <c r="BN4819">
        <f>IF(4806&lt;$U$9,INT(4806/($U$7*$U$8))+1,1)</f>
        <v/>
      </c>
      <c r="BO4819">
        <f>IF(4806&lt;$U$9,MOD(INT(4806/$U$8),$U$7)+1,1)</f>
        <v/>
      </c>
      <c r="BP4819">
        <f>IF(4806&lt;$U$9,MOD(4806,$U$8)+1,1)</f>
        <v/>
      </c>
      <c r="BQ4819">
        <f>IF(4806&lt;$U$9,SUMPRODUCT(($D$10:$L$10&lt;&gt;"")*(($D$9:$L$9+INT(($S$12:$AA$12+INDEX($AJ$13:$AR$162,BN4819,0)+INDEX($AT$13:$BB$162,BO4819,0)+INDEX($BD$13:$BL$162,BP4819,0))/100))&gt;=$D$10:$L$10)),0)</f>
        <v/>
      </c>
      <c r="BR4819">
        <f>IF(4806&lt;$U$9,SUMPRODUCT(($D$10:$L$10&lt;&gt;"")*(($D$10:$L$10-($D$9:$L$9+INT(($S$12:$AA$12+INDEX($AJ$13:$AR$162,BN4819,0)+INDEX($AT$13:$BB$162,BO4819,0)+INDEX($BD$13:$BL$162,BP4819,0))/100)))&gt;0)*($D$10:$L$10-($D$9:$L$9+INT(($S$12:$AA$12+INDEX($AJ$13:$AR$162,BN4819,0)+INDEX($AT$13:$BB$162,BO4819,0)+INDEX($BD$13:$BL$162,BP4819,0))/100)))),0)</f>
        <v/>
      </c>
      <c r="BS4819">
        <f>IF(4806&lt;$U$9,SUMPRODUCT(($D$9:$L$9+INT(($S$12:$AA$12+INDEX($AJ$13:$AR$162,BN4819,0)+INDEX($AT$13:$BB$162,BO4819,0)+INDEX($BD$13:$BL$162,BP4819,0))/100))),0)</f>
        <v/>
      </c>
      <c r="BT4819">
        <f>IF(AND(4806&lt;$U$9,$W$5),BQ4819*1000000-MIN(BR4819,999)*1000+BS4819-4806/100000,-1000000000-4806)</f>
        <v/>
      </c>
    </row>
    <row r="4820">
      <c r="BN4820">
        <f>IF(4807&lt;$U$9,INT(4807/($U$7*$U$8))+1,1)</f>
        <v/>
      </c>
      <c r="BO4820">
        <f>IF(4807&lt;$U$9,MOD(INT(4807/$U$8),$U$7)+1,1)</f>
        <v/>
      </c>
      <c r="BP4820">
        <f>IF(4807&lt;$U$9,MOD(4807,$U$8)+1,1)</f>
        <v/>
      </c>
      <c r="BQ4820">
        <f>IF(4807&lt;$U$9,SUMPRODUCT(($D$10:$L$10&lt;&gt;"")*(($D$9:$L$9+INT(($S$12:$AA$12+INDEX($AJ$13:$AR$162,BN4820,0)+INDEX($AT$13:$BB$162,BO4820,0)+INDEX($BD$13:$BL$162,BP4820,0))/100))&gt;=$D$10:$L$10)),0)</f>
        <v/>
      </c>
      <c r="BR4820">
        <f>IF(4807&lt;$U$9,SUMPRODUCT(($D$10:$L$10&lt;&gt;"")*(($D$10:$L$10-($D$9:$L$9+INT(($S$12:$AA$12+INDEX($AJ$13:$AR$162,BN4820,0)+INDEX($AT$13:$BB$162,BO4820,0)+INDEX($BD$13:$BL$162,BP4820,0))/100)))&gt;0)*($D$10:$L$10-($D$9:$L$9+INT(($S$12:$AA$12+INDEX($AJ$13:$AR$162,BN4820,0)+INDEX($AT$13:$BB$162,BO4820,0)+INDEX($BD$13:$BL$162,BP4820,0))/100)))),0)</f>
        <v/>
      </c>
      <c r="BS4820">
        <f>IF(4807&lt;$U$9,SUMPRODUCT(($D$9:$L$9+INT(($S$12:$AA$12+INDEX($AJ$13:$AR$162,BN4820,0)+INDEX($AT$13:$BB$162,BO4820,0)+INDEX($BD$13:$BL$162,BP4820,0))/100))),0)</f>
        <v/>
      </c>
      <c r="BT4820">
        <f>IF(AND(4807&lt;$U$9,$W$5),BQ4820*1000000-MIN(BR4820,999)*1000+BS4820-4807/100000,-1000000000-4807)</f>
        <v/>
      </c>
    </row>
    <row r="4821">
      <c r="BN4821">
        <f>IF(4808&lt;$U$9,INT(4808/($U$7*$U$8))+1,1)</f>
        <v/>
      </c>
      <c r="BO4821">
        <f>IF(4808&lt;$U$9,MOD(INT(4808/$U$8),$U$7)+1,1)</f>
        <v/>
      </c>
      <c r="BP4821">
        <f>IF(4808&lt;$U$9,MOD(4808,$U$8)+1,1)</f>
        <v/>
      </c>
      <c r="BQ4821">
        <f>IF(4808&lt;$U$9,SUMPRODUCT(($D$10:$L$10&lt;&gt;"")*(($D$9:$L$9+INT(($S$12:$AA$12+INDEX($AJ$13:$AR$162,BN4821,0)+INDEX($AT$13:$BB$162,BO4821,0)+INDEX($BD$13:$BL$162,BP4821,0))/100))&gt;=$D$10:$L$10)),0)</f>
        <v/>
      </c>
      <c r="BR4821">
        <f>IF(4808&lt;$U$9,SUMPRODUCT(($D$10:$L$10&lt;&gt;"")*(($D$10:$L$10-($D$9:$L$9+INT(($S$12:$AA$12+INDEX($AJ$13:$AR$162,BN4821,0)+INDEX($AT$13:$BB$162,BO4821,0)+INDEX($BD$13:$BL$162,BP4821,0))/100)))&gt;0)*($D$10:$L$10-($D$9:$L$9+INT(($S$12:$AA$12+INDEX($AJ$13:$AR$162,BN4821,0)+INDEX($AT$13:$BB$162,BO4821,0)+INDEX($BD$13:$BL$162,BP4821,0))/100)))),0)</f>
        <v/>
      </c>
      <c r="BS4821">
        <f>IF(4808&lt;$U$9,SUMPRODUCT(($D$9:$L$9+INT(($S$12:$AA$12+INDEX($AJ$13:$AR$162,BN4821,0)+INDEX($AT$13:$BB$162,BO4821,0)+INDEX($BD$13:$BL$162,BP4821,0))/100))),0)</f>
        <v/>
      </c>
      <c r="BT4821">
        <f>IF(AND(4808&lt;$U$9,$W$5),BQ4821*1000000-MIN(BR4821,999)*1000+BS4821-4808/100000,-1000000000-4808)</f>
        <v/>
      </c>
    </row>
    <row r="4822">
      <c r="BN4822">
        <f>IF(4809&lt;$U$9,INT(4809/($U$7*$U$8))+1,1)</f>
        <v/>
      </c>
      <c r="BO4822">
        <f>IF(4809&lt;$U$9,MOD(INT(4809/$U$8),$U$7)+1,1)</f>
        <v/>
      </c>
      <c r="BP4822">
        <f>IF(4809&lt;$U$9,MOD(4809,$U$8)+1,1)</f>
        <v/>
      </c>
      <c r="BQ4822">
        <f>IF(4809&lt;$U$9,SUMPRODUCT(($D$10:$L$10&lt;&gt;"")*(($D$9:$L$9+INT(($S$12:$AA$12+INDEX($AJ$13:$AR$162,BN4822,0)+INDEX($AT$13:$BB$162,BO4822,0)+INDEX($BD$13:$BL$162,BP4822,0))/100))&gt;=$D$10:$L$10)),0)</f>
        <v/>
      </c>
      <c r="BR4822">
        <f>IF(4809&lt;$U$9,SUMPRODUCT(($D$10:$L$10&lt;&gt;"")*(($D$10:$L$10-($D$9:$L$9+INT(($S$12:$AA$12+INDEX($AJ$13:$AR$162,BN4822,0)+INDEX($AT$13:$BB$162,BO4822,0)+INDEX($BD$13:$BL$162,BP4822,0))/100)))&gt;0)*($D$10:$L$10-($D$9:$L$9+INT(($S$12:$AA$12+INDEX($AJ$13:$AR$162,BN4822,0)+INDEX($AT$13:$BB$162,BO4822,0)+INDEX($BD$13:$BL$162,BP4822,0))/100)))),0)</f>
        <v/>
      </c>
      <c r="BS4822">
        <f>IF(4809&lt;$U$9,SUMPRODUCT(($D$9:$L$9+INT(($S$12:$AA$12+INDEX($AJ$13:$AR$162,BN4822,0)+INDEX($AT$13:$BB$162,BO4822,0)+INDEX($BD$13:$BL$162,BP4822,0))/100))),0)</f>
        <v/>
      </c>
      <c r="BT4822">
        <f>IF(AND(4809&lt;$U$9,$W$5),BQ4822*1000000-MIN(BR4822,999)*1000+BS4822-4809/100000,-1000000000-4809)</f>
        <v/>
      </c>
    </row>
    <row r="4823">
      <c r="BN4823">
        <f>IF(4810&lt;$U$9,INT(4810/($U$7*$U$8))+1,1)</f>
        <v/>
      </c>
      <c r="BO4823">
        <f>IF(4810&lt;$U$9,MOD(INT(4810/$U$8),$U$7)+1,1)</f>
        <v/>
      </c>
      <c r="BP4823">
        <f>IF(4810&lt;$U$9,MOD(4810,$U$8)+1,1)</f>
        <v/>
      </c>
      <c r="BQ4823">
        <f>IF(4810&lt;$U$9,SUMPRODUCT(($D$10:$L$10&lt;&gt;"")*(($D$9:$L$9+INT(($S$12:$AA$12+INDEX($AJ$13:$AR$162,BN4823,0)+INDEX($AT$13:$BB$162,BO4823,0)+INDEX($BD$13:$BL$162,BP4823,0))/100))&gt;=$D$10:$L$10)),0)</f>
        <v/>
      </c>
      <c r="BR4823">
        <f>IF(4810&lt;$U$9,SUMPRODUCT(($D$10:$L$10&lt;&gt;"")*(($D$10:$L$10-($D$9:$L$9+INT(($S$12:$AA$12+INDEX($AJ$13:$AR$162,BN4823,0)+INDEX($AT$13:$BB$162,BO4823,0)+INDEX($BD$13:$BL$162,BP4823,0))/100)))&gt;0)*($D$10:$L$10-($D$9:$L$9+INT(($S$12:$AA$12+INDEX($AJ$13:$AR$162,BN4823,0)+INDEX($AT$13:$BB$162,BO4823,0)+INDEX($BD$13:$BL$162,BP4823,0))/100)))),0)</f>
        <v/>
      </c>
      <c r="BS4823">
        <f>IF(4810&lt;$U$9,SUMPRODUCT(($D$9:$L$9+INT(($S$12:$AA$12+INDEX($AJ$13:$AR$162,BN4823,0)+INDEX($AT$13:$BB$162,BO4823,0)+INDEX($BD$13:$BL$162,BP4823,0))/100))),0)</f>
        <v/>
      </c>
      <c r="BT4823">
        <f>IF(AND(4810&lt;$U$9,$W$5),BQ4823*1000000-MIN(BR4823,999)*1000+BS4823-4810/100000,-1000000000-4810)</f>
        <v/>
      </c>
    </row>
    <row r="4824">
      <c r="BN4824">
        <f>IF(4811&lt;$U$9,INT(4811/($U$7*$U$8))+1,1)</f>
        <v/>
      </c>
      <c r="BO4824">
        <f>IF(4811&lt;$U$9,MOD(INT(4811/$U$8),$U$7)+1,1)</f>
        <v/>
      </c>
      <c r="BP4824">
        <f>IF(4811&lt;$U$9,MOD(4811,$U$8)+1,1)</f>
        <v/>
      </c>
      <c r="BQ4824">
        <f>IF(4811&lt;$U$9,SUMPRODUCT(($D$10:$L$10&lt;&gt;"")*(($D$9:$L$9+INT(($S$12:$AA$12+INDEX($AJ$13:$AR$162,BN4824,0)+INDEX($AT$13:$BB$162,BO4824,0)+INDEX($BD$13:$BL$162,BP4824,0))/100))&gt;=$D$10:$L$10)),0)</f>
        <v/>
      </c>
      <c r="BR4824">
        <f>IF(4811&lt;$U$9,SUMPRODUCT(($D$10:$L$10&lt;&gt;"")*(($D$10:$L$10-($D$9:$L$9+INT(($S$12:$AA$12+INDEX($AJ$13:$AR$162,BN4824,0)+INDEX($AT$13:$BB$162,BO4824,0)+INDEX($BD$13:$BL$162,BP4824,0))/100)))&gt;0)*($D$10:$L$10-($D$9:$L$9+INT(($S$12:$AA$12+INDEX($AJ$13:$AR$162,BN4824,0)+INDEX($AT$13:$BB$162,BO4824,0)+INDEX($BD$13:$BL$162,BP4824,0))/100)))),0)</f>
        <v/>
      </c>
      <c r="BS4824">
        <f>IF(4811&lt;$U$9,SUMPRODUCT(($D$9:$L$9+INT(($S$12:$AA$12+INDEX($AJ$13:$AR$162,BN4824,0)+INDEX($AT$13:$BB$162,BO4824,0)+INDEX($BD$13:$BL$162,BP4824,0))/100))),0)</f>
        <v/>
      </c>
      <c r="BT4824">
        <f>IF(AND(4811&lt;$U$9,$W$5),BQ4824*1000000-MIN(BR4824,999)*1000+BS4824-4811/100000,-1000000000-4811)</f>
        <v/>
      </c>
    </row>
    <row r="4825">
      <c r="BN4825">
        <f>IF(4812&lt;$U$9,INT(4812/($U$7*$U$8))+1,1)</f>
        <v/>
      </c>
      <c r="BO4825">
        <f>IF(4812&lt;$U$9,MOD(INT(4812/$U$8),$U$7)+1,1)</f>
        <v/>
      </c>
      <c r="BP4825">
        <f>IF(4812&lt;$U$9,MOD(4812,$U$8)+1,1)</f>
        <v/>
      </c>
      <c r="BQ4825">
        <f>IF(4812&lt;$U$9,SUMPRODUCT(($D$10:$L$10&lt;&gt;"")*(($D$9:$L$9+INT(($S$12:$AA$12+INDEX($AJ$13:$AR$162,BN4825,0)+INDEX($AT$13:$BB$162,BO4825,0)+INDEX($BD$13:$BL$162,BP4825,0))/100))&gt;=$D$10:$L$10)),0)</f>
        <v/>
      </c>
      <c r="BR4825">
        <f>IF(4812&lt;$U$9,SUMPRODUCT(($D$10:$L$10&lt;&gt;"")*(($D$10:$L$10-($D$9:$L$9+INT(($S$12:$AA$12+INDEX($AJ$13:$AR$162,BN4825,0)+INDEX($AT$13:$BB$162,BO4825,0)+INDEX($BD$13:$BL$162,BP4825,0))/100)))&gt;0)*($D$10:$L$10-($D$9:$L$9+INT(($S$12:$AA$12+INDEX($AJ$13:$AR$162,BN4825,0)+INDEX($AT$13:$BB$162,BO4825,0)+INDEX($BD$13:$BL$162,BP4825,0))/100)))),0)</f>
        <v/>
      </c>
      <c r="BS4825">
        <f>IF(4812&lt;$U$9,SUMPRODUCT(($D$9:$L$9+INT(($S$12:$AA$12+INDEX($AJ$13:$AR$162,BN4825,0)+INDEX($AT$13:$BB$162,BO4825,0)+INDEX($BD$13:$BL$162,BP4825,0))/100))),0)</f>
        <v/>
      </c>
      <c r="BT4825">
        <f>IF(AND(4812&lt;$U$9,$W$5),BQ4825*1000000-MIN(BR4825,999)*1000+BS4825-4812/100000,-1000000000-4812)</f>
        <v/>
      </c>
    </row>
    <row r="4826">
      <c r="BN4826">
        <f>IF(4813&lt;$U$9,INT(4813/($U$7*$U$8))+1,1)</f>
        <v/>
      </c>
      <c r="BO4826">
        <f>IF(4813&lt;$U$9,MOD(INT(4813/$U$8),$U$7)+1,1)</f>
        <v/>
      </c>
      <c r="BP4826">
        <f>IF(4813&lt;$U$9,MOD(4813,$U$8)+1,1)</f>
        <v/>
      </c>
      <c r="BQ4826">
        <f>IF(4813&lt;$U$9,SUMPRODUCT(($D$10:$L$10&lt;&gt;"")*(($D$9:$L$9+INT(($S$12:$AA$12+INDEX($AJ$13:$AR$162,BN4826,0)+INDEX($AT$13:$BB$162,BO4826,0)+INDEX($BD$13:$BL$162,BP4826,0))/100))&gt;=$D$10:$L$10)),0)</f>
        <v/>
      </c>
      <c r="BR4826">
        <f>IF(4813&lt;$U$9,SUMPRODUCT(($D$10:$L$10&lt;&gt;"")*(($D$10:$L$10-($D$9:$L$9+INT(($S$12:$AA$12+INDEX($AJ$13:$AR$162,BN4826,0)+INDEX($AT$13:$BB$162,BO4826,0)+INDEX($BD$13:$BL$162,BP4826,0))/100)))&gt;0)*($D$10:$L$10-($D$9:$L$9+INT(($S$12:$AA$12+INDEX($AJ$13:$AR$162,BN4826,0)+INDEX($AT$13:$BB$162,BO4826,0)+INDEX($BD$13:$BL$162,BP4826,0))/100)))),0)</f>
        <v/>
      </c>
      <c r="BS4826">
        <f>IF(4813&lt;$U$9,SUMPRODUCT(($D$9:$L$9+INT(($S$12:$AA$12+INDEX($AJ$13:$AR$162,BN4826,0)+INDEX($AT$13:$BB$162,BO4826,0)+INDEX($BD$13:$BL$162,BP4826,0))/100))),0)</f>
        <v/>
      </c>
      <c r="BT4826">
        <f>IF(AND(4813&lt;$U$9,$W$5),BQ4826*1000000-MIN(BR4826,999)*1000+BS4826-4813/100000,-1000000000-4813)</f>
        <v/>
      </c>
    </row>
    <row r="4827">
      <c r="BN4827">
        <f>IF(4814&lt;$U$9,INT(4814/($U$7*$U$8))+1,1)</f>
        <v/>
      </c>
      <c r="BO4827">
        <f>IF(4814&lt;$U$9,MOD(INT(4814/$U$8),$U$7)+1,1)</f>
        <v/>
      </c>
      <c r="BP4827">
        <f>IF(4814&lt;$U$9,MOD(4814,$U$8)+1,1)</f>
        <v/>
      </c>
      <c r="BQ4827">
        <f>IF(4814&lt;$U$9,SUMPRODUCT(($D$10:$L$10&lt;&gt;"")*(($D$9:$L$9+INT(($S$12:$AA$12+INDEX($AJ$13:$AR$162,BN4827,0)+INDEX($AT$13:$BB$162,BO4827,0)+INDEX($BD$13:$BL$162,BP4827,0))/100))&gt;=$D$10:$L$10)),0)</f>
        <v/>
      </c>
      <c r="BR4827">
        <f>IF(4814&lt;$U$9,SUMPRODUCT(($D$10:$L$10&lt;&gt;"")*(($D$10:$L$10-($D$9:$L$9+INT(($S$12:$AA$12+INDEX($AJ$13:$AR$162,BN4827,0)+INDEX($AT$13:$BB$162,BO4827,0)+INDEX($BD$13:$BL$162,BP4827,0))/100)))&gt;0)*($D$10:$L$10-($D$9:$L$9+INT(($S$12:$AA$12+INDEX($AJ$13:$AR$162,BN4827,0)+INDEX($AT$13:$BB$162,BO4827,0)+INDEX($BD$13:$BL$162,BP4827,0))/100)))),0)</f>
        <v/>
      </c>
      <c r="BS4827">
        <f>IF(4814&lt;$U$9,SUMPRODUCT(($D$9:$L$9+INT(($S$12:$AA$12+INDEX($AJ$13:$AR$162,BN4827,0)+INDEX($AT$13:$BB$162,BO4827,0)+INDEX($BD$13:$BL$162,BP4827,0))/100))),0)</f>
        <v/>
      </c>
      <c r="BT4827">
        <f>IF(AND(4814&lt;$U$9,$W$5),BQ4827*1000000-MIN(BR4827,999)*1000+BS4827-4814/100000,-1000000000-4814)</f>
        <v/>
      </c>
    </row>
    <row r="4828">
      <c r="BN4828">
        <f>IF(4815&lt;$U$9,INT(4815/($U$7*$U$8))+1,1)</f>
        <v/>
      </c>
      <c r="BO4828">
        <f>IF(4815&lt;$U$9,MOD(INT(4815/$U$8),$U$7)+1,1)</f>
        <v/>
      </c>
      <c r="BP4828">
        <f>IF(4815&lt;$U$9,MOD(4815,$U$8)+1,1)</f>
        <v/>
      </c>
      <c r="BQ4828">
        <f>IF(4815&lt;$U$9,SUMPRODUCT(($D$10:$L$10&lt;&gt;"")*(($D$9:$L$9+INT(($S$12:$AA$12+INDEX($AJ$13:$AR$162,BN4828,0)+INDEX($AT$13:$BB$162,BO4828,0)+INDEX($BD$13:$BL$162,BP4828,0))/100))&gt;=$D$10:$L$10)),0)</f>
        <v/>
      </c>
      <c r="BR4828">
        <f>IF(4815&lt;$U$9,SUMPRODUCT(($D$10:$L$10&lt;&gt;"")*(($D$10:$L$10-($D$9:$L$9+INT(($S$12:$AA$12+INDEX($AJ$13:$AR$162,BN4828,0)+INDEX($AT$13:$BB$162,BO4828,0)+INDEX($BD$13:$BL$162,BP4828,0))/100)))&gt;0)*($D$10:$L$10-($D$9:$L$9+INT(($S$12:$AA$12+INDEX($AJ$13:$AR$162,BN4828,0)+INDEX($AT$13:$BB$162,BO4828,0)+INDEX($BD$13:$BL$162,BP4828,0))/100)))),0)</f>
        <v/>
      </c>
      <c r="BS4828">
        <f>IF(4815&lt;$U$9,SUMPRODUCT(($D$9:$L$9+INT(($S$12:$AA$12+INDEX($AJ$13:$AR$162,BN4828,0)+INDEX($AT$13:$BB$162,BO4828,0)+INDEX($BD$13:$BL$162,BP4828,0))/100))),0)</f>
        <v/>
      </c>
      <c r="BT4828">
        <f>IF(AND(4815&lt;$U$9,$W$5),BQ4828*1000000-MIN(BR4828,999)*1000+BS4828-4815/100000,-1000000000-4815)</f>
        <v/>
      </c>
    </row>
    <row r="4829">
      <c r="BN4829">
        <f>IF(4816&lt;$U$9,INT(4816/($U$7*$U$8))+1,1)</f>
        <v/>
      </c>
      <c r="BO4829">
        <f>IF(4816&lt;$U$9,MOD(INT(4816/$U$8),$U$7)+1,1)</f>
        <v/>
      </c>
      <c r="BP4829">
        <f>IF(4816&lt;$U$9,MOD(4816,$U$8)+1,1)</f>
        <v/>
      </c>
      <c r="BQ4829">
        <f>IF(4816&lt;$U$9,SUMPRODUCT(($D$10:$L$10&lt;&gt;"")*(($D$9:$L$9+INT(($S$12:$AA$12+INDEX($AJ$13:$AR$162,BN4829,0)+INDEX($AT$13:$BB$162,BO4829,0)+INDEX($BD$13:$BL$162,BP4829,0))/100))&gt;=$D$10:$L$10)),0)</f>
        <v/>
      </c>
      <c r="BR4829">
        <f>IF(4816&lt;$U$9,SUMPRODUCT(($D$10:$L$10&lt;&gt;"")*(($D$10:$L$10-($D$9:$L$9+INT(($S$12:$AA$12+INDEX($AJ$13:$AR$162,BN4829,0)+INDEX($AT$13:$BB$162,BO4829,0)+INDEX($BD$13:$BL$162,BP4829,0))/100)))&gt;0)*($D$10:$L$10-($D$9:$L$9+INT(($S$12:$AA$12+INDEX($AJ$13:$AR$162,BN4829,0)+INDEX($AT$13:$BB$162,BO4829,0)+INDEX($BD$13:$BL$162,BP4829,0))/100)))),0)</f>
        <v/>
      </c>
      <c r="BS4829">
        <f>IF(4816&lt;$U$9,SUMPRODUCT(($D$9:$L$9+INT(($S$12:$AA$12+INDEX($AJ$13:$AR$162,BN4829,0)+INDEX($AT$13:$BB$162,BO4829,0)+INDEX($BD$13:$BL$162,BP4829,0))/100))),0)</f>
        <v/>
      </c>
      <c r="BT4829">
        <f>IF(AND(4816&lt;$U$9,$W$5),BQ4829*1000000-MIN(BR4829,999)*1000+BS4829-4816/100000,-1000000000-4816)</f>
        <v/>
      </c>
    </row>
    <row r="4830">
      <c r="BN4830">
        <f>IF(4817&lt;$U$9,INT(4817/($U$7*$U$8))+1,1)</f>
        <v/>
      </c>
      <c r="BO4830">
        <f>IF(4817&lt;$U$9,MOD(INT(4817/$U$8),$U$7)+1,1)</f>
        <v/>
      </c>
      <c r="BP4830">
        <f>IF(4817&lt;$U$9,MOD(4817,$U$8)+1,1)</f>
        <v/>
      </c>
      <c r="BQ4830">
        <f>IF(4817&lt;$U$9,SUMPRODUCT(($D$10:$L$10&lt;&gt;"")*(($D$9:$L$9+INT(($S$12:$AA$12+INDEX($AJ$13:$AR$162,BN4830,0)+INDEX($AT$13:$BB$162,BO4830,0)+INDEX($BD$13:$BL$162,BP4830,0))/100))&gt;=$D$10:$L$10)),0)</f>
        <v/>
      </c>
      <c r="BR4830">
        <f>IF(4817&lt;$U$9,SUMPRODUCT(($D$10:$L$10&lt;&gt;"")*(($D$10:$L$10-($D$9:$L$9+INT(($S$12:$AA$12+INDEX($AJ$13:$AR$162,BN4830,0)+INDEX($AT$13:$BB$162,BO4830,0)+INDEX($BD$13:$BL$162,BP4830,0))/100)))&gt;0)*($D$10:$L$10-($D$9:$L$9+INT(($S$12:$AA$12+INDEX($AJ$13:$AR$162,BN4830,0)+INDEX($AT$13:$BB$162,BO4830,0)+INDEX($BD$13:$BL$162,BP4830,0))/100)))),0)</f>
        <v/>
      </c>
      <c r="BS4830">
        <f>IF(4817&lt;$U$9,SUMPRODUCT(($D$9:$L$9+INT(($S$12:$AA$12+INDEX($AJ$13:$AR$162,BN4830,0)+INDEX($AT$13:$BB$162,BO4830,0)+INDEX($BD$13:$BL$162,BP4830,0))/100))),0)</f>
        <v/>
      </c>
      <c r="BT4830">
        <f>IF(AND(4817&lt;$U$9,$W$5),BQ4830*1000000-MIN(BR4830,999)*1000+BS4830-4817/100000,-1000000000-4817)</f>
        <v/>
      </c>
    </row>
    <row r="4831">
      <c r="BN4831">
        <f>IF(4818&lt;$U$9,INT(4818/($U$7*$U$8))+1,1)</f>
        <v/>
      </c>
      <c r="BO4831">
        <f>IF(4818&lt;$U$9,MOD(INT(4818/$U$8),$U$7)+1,1)</f>
        <v/>
      </c>
      <c r="BP4831">
        <f>IF(4818&lt;$U$9,MOD(4818,$U$8)+1,1)</f>
        <v/>
      </c>
      <c r="BQ4831">
        <f>IF(4818&lt;$U$9,SUMPRODUCT(($D$10:$L$10&lt;&gt;"")*(($D$9:$L$9+INT(($S$12:$AA$12+INDEX($AJ$13:$AR$162,BN4831,0)+INDEX($AT$13:$BB$162,BO4831,0)+INDEX($BD$13:$BL$162,BP4831,0))/100))&gt;=$D$10:$L$10)),0)</f>
        <v/>
      </c>
      <c r="BR4831">
        <f>IF(4818&lt;$U$9,SUMPRODUCT(($D$10:$L$10&lt;&gt;"")*(($D$10:$L$10-($D$9:$L$9+INT(($S$12:$AA$12+INDEX($AJ$13:$AR$162,BN4831,0)+INDEX($AT$13:$BB$162,BO4831,0)+INDEX($BD$13:$BL$162,BP4831,0))/100)))&gt;0)*($D$10:$L$10-($D$9:$L$9+INT(($S$12:$AA$12+INDEX($AJ$13:$AR$162,BN4831,0)+INDEX($AT$13:$BB$162,BO4831,0)+INDEX($BD$13:$BL$162,BP4831,0))/100)))),0)</f>
        <v/>
      </c>
      <c r="BS4831">
        <f>IF(4818&lt;$U$9,SUMPRODUCT(($D$9:$L$9+INT(($S$12:$AA$12+INDEX($AJ$13:$AR$162,BN4831,0)+INDEX($AT$13:$BB$162,BO4831,0)+INDEX($BD$13:$BL$162,BP4831,0))/100))),0)</f>
        <v/>
      </c>
      <c r="BT4831">
        <f>IF(AND(4818&lt;$U$9,$W$5),BQ4831*1000000-MIN(BR4831,999)*1000+BS4831-4818/100000,-1000000000-4818)</f>
        <v/>
      </c>
    </row>
    <row r="4832">
      <c r="BN4832">
        <f>IF(4819&lt;$U$9,INT(4819/($U$7*$U$8))+1,1)</f>
        <v/>
      </c>
      <c r="BO4832">
        <f>IF(4819&lt;$U$9,MOD(INT(4819/$U$8),$U$7)+1,1)</f>
        <v/>
      </c>
      <c r="BP4832">
        <f>IF(4819&lt;$U$9,MOD(4819,$U$8)+1,1)</f>
        <v/>
      </c>
      <c r="BQ4832">
        <f>IF(4819&lt;$U$9,SUMPRODUCT(($D$10:$L$10&lt;&gt;"")*(($D$9:$L$9+INT(($S$12:$AA$12+INDEX($AJ$13:$AR$162,BN4832,0)+INDEX($AT$13:$BB$162,BO4832,0)+INDEX($BD$13:$BL$162,BP4832,0))/100))&gt;=$D$10:$L$10)),0)</f>
        <v/>
      </c>
      <c r="BR4832">
        <f>IF(4819&lt;$U$9,SUMPRODUCT(($D$10:$L$10&lt;&gt;"")*(($D$10:$L$10-($D$9:$L$9+INT(($S$12:$AA$12+INDEX($AJ$13:$AR$162,BN4832,0)+INDEX($AT$13:$BB$162,BO4832,0)+INDEX($BD$13:$BL$162,BP4832,0))/100)))&gt;0)*($D$10:$L$10-($D$9:$L$9+INT(($S$12:$AA$12+INDEX($AJ$13:$AR$162,BN4832,0)+INDEX($AT$13:$BB$162,BO4832,0)+INDEX($BD$13:$BL$162,BP4832,0))/100)))),0)</f>
        <v/>
      </c>
      <c r="BS4832">
        <f>IF(4819&lt;$U$9,SUMPRODUCT(($D$9:$L$9+INT(($S$12:$AA$12+INDEX($AJ$13:$AR$162,BN4832,0)+INDEX($AT$13:$BB$162,BO4832,0)+INDEX($BD$13:$BL$162,BP4832,0))/100))),0)</f>
        <v/>
      </c>
      <c r="BT4832">
        <f>IF(AND(4819&lt;$U$9,$W$5),BQ4832*1000000-MIN(BR4832,999)*1000+BS4832-4819/100000,-1000000000-4819)</f>
        <v/>
      </c>
    </row>
    <row r="4833">
      <c r="BN4833">
        <f>IF(4820&lt;$U$9,INT(4820/($U$7*$U$8))+1,1)</f>
        <v/>
      </c>
      <c r="BO4833">
        <f>IF(4820&lt;$U$9,MOD(INT(4820/$U$8),$U$7)+1,1)</f>
        <v/>
      </c>
      <c r="BP4833">
        <f>IF(4820&lt;$U$9,MOD(4820,$U$8)+1,1)</f>
        <v/>
      </c>
      <c r="BQ4833">
        <f>IF(4820&lt;$U$9,SUMPRODUCT(($D$10:$L$10&lt;&gt;"")*(($D$9:$L$9+INT(($S$12:$AA$12+INDEX($AJ$13:$AR$162,BN4833,0)+INDEX($AT$13:$BB$162,BO4833,0)+INDEX($BD$13:$BL$162,BP4833,0))/100))&gt;=$D$10:$L$10)),0)</f>
        <v/>
      </c>
      <c r="BR4833">
        <f>IF(4820&lt;$U$9,SUMPRODUCT(($D$10:$L$10&lt;&gt;"")*(($D$10:$L$10-($D$9:$L$9+INT(($S$12:$AA$12+INDEX($AJ$13:$AR$162,BN4833,0)+INDEX($AT$13:$BB$162,BO4833,0)+INDEX($BD$13:$BL$162,BP4833,0))/100)))&gt;0)*($D$10:$L$10-($D$9:$L$9+INT(($S$12:$AA$12+INDEX($AJ$13:$AR$162,BN4833,0)+INDEX($AT$13:$BB$162,BO4833,0)+INDEX($BD$13:$BL$162,BP4833,0))/100)))),0)</f>
        <v/>
      </c>
      <c r="BS4833">
        <f>IF(4820&lt;$U$9,SUMPRODUCT(($D$9:$L$9+INT(($S$12:$AA$12+INDEX($AJ$13:$AR$162,BN4833,0)+INDEX($AT$13:$BB$162,BO4833,0)+INDEX($BD$13:$BL$162,BP4833,0))/100))),0)</f>
        <v/>
      </c>
      <c r="BT4833">
        <f>IF(AND(4820&lt;$U$9,$W$5),BQ4833*1000000-MIN(BR4833,999)*1000+BS4833-4820/100000,-1000000000-4820)</f>
        <v/>
      </c>
    </row>
    <row r="4834">
      <c r="BN4834">
        <f>IF(4821&lt;$U$9,INT(4821/($U$7*$U$8))+1,1)</f>
        <v/>
      </c>
      <c r="BO4834">
        <f>IF(4821&lt;$U$9,MOD(INT(4821/$U$8),$U$7)+1,1)</f>
        <v/>
      </c>
      <c r="BP4834">
        <f>IF(4821&lt;$U$9,MOD(4821,$U$8)+1,1)</f>
        <v/>
      </c>
      <c r="BQ4834">
        <f>IF(4821&lt;$U$9,SUMPRODUCT(($D$10:$L$10&lt;&gt;"")*(($D$9:$L$9+INT(($S$12:$AA$12+INDEX($AJ$13:$AR$162,BN4834,0)+INDEX($AT$13:$BB$162,BO4834,0)+INDEX($BD$13:$BL$162,BP4834,0))/100))&gt;=$D$10:$L$10)),0)</f>
        <v/>
      </c>
      <c r="BR4834">
        <f>IF(4821&lt;$U$9,SUMPRODUCT(($D$10:$L$10&lt;&gt;"")*(($D$10:$L$10-($D$9:$L$9+INT(($S$12:$AA$12+INDEX($AJ$13:$AR$162,BN4834,0)+INDEX($AT$13:$BB$162,BO4834,0)+INDEX($BD$13:$BL$162,BP4834,0))/100)))&gt;0)*($D$10:$L$10-($D$9:$L$9+INT(($S$12:$AA$12+INDEX($AJ$13:$AR$162,BN4834,0)+INDEX($AT$13:$BB$162,BO4834,0)+INDEX($BD$13:$BL$162,BP4834,0))/100)))),0)</f>
        <v/>
      </c>
      <c r="BS4834">
        <f>IF(4821&lt;$U$9,SUMPRODUCT(($D$9:$L$9+INT(($S$12:$AA$12+INDEX($AJ$13:$AR$162,BN4834,0)+INDEX($AT$13:$BB$162,BO4834,0)+INDEX($BD$13:$BL$162,BP4834,0))/100))),0)</f>
        <v/>
      </c>
      <c r="BT4834">
        <f>IF(AND(4821&lt;$U$9,$W$5),BQ4834*1000000-MIN(BR4834,999)*1000+BS4834-4821/100000,-1000000000-4821)</f>
        <v/>
      </c>
    </row>
    <row r="4835">
      <c r="BN4835">
        <f>IF(4822&lt;$U$9,INT(4822/($U$7*$U$8))+1,1)</f>
        <v/>
      </c>
      <c r="BO4835">
        <f>IF(4822&lt;$U$9,MOD(INT(4822/$U$8),$U$7)+1,1)</f>
        <v/>
      </c>
      <c r="BP4835">
        <f>IF(4822&lt;$U$9,MOD(4822,$U$8)+1,1)</f>
        <v/>
      </c>
      <c r="BQ4835">
        <f>IF(4822&lt;$U$9,SUMPRODUCT(($D$10:$L$10&lt;&gt;"")*(($D$9:$L$9+INT(($S$12:$AA$12+INDEX($AJ$13:$AR$162,BN4835,0)+INDEX($AT$13:$BB$162,BO4835,0)+INDEX($BD$13:$BL$162,BP4835,0))/100))&gt;=$D$10:$L$10)),0)</f>
        <v/>
      </c>
      <c r="BR4835">
        <f>IF(4822&lt;$U$9,SUMPRODUCT(($D$10:$L$10&lt;&gt;"")*(($D$10:$L$10-($D$9:$L$9+INT(($S$12:$AA$12+INDEX($AJ$13:$AR$162,BN4835,0)+INDEX($AT$13:$BB$162,BO4835,0)+INDEX($BD$13:$BL$162,BP4835,0))/100)))&gt;0)*($D$10:$L$10-($D$9:$L$9+INT(($S$12:$AA$12+INDEX($AJ$13:$AR$162,BN4835,0)+INDEX($AT$13:$BB$162,BO4835,0)+INDEX($BD$13:$BL$162,BP4835,0))/100)))),0)</f>
        <v/>
      </c>
      <c r="BS4835">
        <f>IF(4822&lt;$U$9,SUMPRODUCT(($D$9:$L$9+INT(($S$12:$AA$12+INDEX($AJ$13:$AR$162,BN4835,0)+INDEX($AT$13:$BB$162,BO4835,0)+INDEX($BD$13:$BL$162,BP4835,0))/100))),0)</f>
        <v/>
      </c>
      <c r="BT4835">
        <f>IF(AND(4822&lt;$U$9,$W$5),BQ4835*1000000-MIN(BR4835,999)*1000+BS4835-4822/100000,-1000000000-4822)</f>
        <v/>
      </c>
    </row>
    <row r="4836">
      <c r="BN4836">
        <f>IF(4823&lt;$U$9,INT(4823/($U$7*$U$8))+1,1)</f>
        <v/>
      </c>
      <c r="BO4836">
        <f>IF(4823&lt;$U$9,MOD(INT(4823/$U$8),$U$7)+1,1)</f>
        <v/>
      </c>
      <c r="BP4836">
        <f>IF(4823&lt;$U$9,MOD(4823,$U$8)+1,1)</f>
        <v/>
      </c>
      <c r="BQ4836">
        <f>IF(4823&lt;$U$9,SUMPRODUCT(($D$10:$L$10&lt;&gt;"")*(($D$9:$L$9+INT(($S$12:$AA$12+INDEX($AJ$13:$AR$162,BN4836,0)+INDEX($AT$13:$BB$162,BO4836,0)+INDEX($BD$13:$BL$162,BP4836,0))/100))&gt;=$D$10:$L$10)),0)</f>
        <v/>
      </c>
      <c r="BR4836">
        <f>IF(4823&lt;$U$9,SUMPRODUCT(($D$10:$L$10&lt;&gt;"")*(($D$10:$L$10-($D$9:$L$9+INT(($S$12:$AA$12+INDEX($AJ$13:$AR$162,BN4836,0)+INDEX($AT$13:$BB$162,BO4836,0)+INDEX($BD$13:$BL$162,BP4836,0))/100)))&gt;0)*($D$10:$L$10-($D$9:$L$9+INT(($S$12:$AA$12+INDEX($AJ$13:$AR$162,BN4836,0)+INDEX($AT$13:$BB$162,BO4836,0)+INDEX($BD$13:$BL$162,BP4836,0))/100)))),0)</f>
        <v/>
      </c>
      <c r="BS4836">
        <f>IF(4823&lt;$U$9,SUMPRODUCT(($D$9:$L$9+INT(($S$12:$AA$12+INDEX($AJ$13:$AR$162,BN4836,0)+INDEX($AT$13:$BB$162,BO4836,0)+INDEX($BD$13:$BL$162,BP4836,0))/100))),0)</f>
        <v/>
      </c>
      <c r="BT4836">
        <f>IF(AND(4823&lt;$U$9,$W$5),BQ4836*1000000-MIN(BR4836,999)*1000+BS4836-4823/100000,-1000000000-4823)</f>
        <v/>
      </c>
    </row>
    <row r="4837">
      <c r="BN4837">
        <f>IF(4824&lt;$U$9,INT(4824/($U$7*$U$8))+1,1)</f>
        <v/>
      </c>
      <c r="BO4837">
        <f>IF(4824&lt;$U$9,MOD(INT(4824/$U$8),$U$7)+1,1)</f>
        <v/>
      </c>
      <c r="BP4837">
        <f>IF(4824&lt;$U$9,MOD(4824,$U$8)+1,1)</f>
        <v/>
      </c>
      <c r="BQ4837">
        <f>IF(4824&lt;$U$9,SUMPRODUCT(($D$10:$L$10&lt;&gt;"")*(($D$9:$L$9+INT(($S$12:$AA$12+INDEX($AJ$13:$AR$162,BN4837,0)+INDEX($AT$13:$BB$162,BO4837,0)+INDEX($BD$13:$BL$162,BP4837,0))/100))&gt;=$D$10:$L$10)),0)</f>
        <v/>
      </c>
      <c r="BR4837">
        <f>IF(4824&lt;$U$9,SUMPRODUCT(($D$10:$L$10&lt;&gt;"")*(($D$10:$L$10-($D$9:$L$9+INT(($S$12:$AA$12+INDEX($AJ$13:$AR$162,BN4837,0)+INDEX($AT$13:$BB$162,BO4837,0)+INDEX($BD$13:$BL$162,BP4837,0))/100)))&gt;0)*($D$10:$L$10-($D$9:$L$9+INT(($S$12:$AA$12+INDEX($AJ$13:$AR$162,BN4837,0)+INDEX($AT$13:$BB$162,BO4837,0)+INDEX($BD$13:$BL$162,BP4837,0))/100)))),0)</f>
        <v/>
      </c>
      <c r="BS4837">
        <f>IF(4824&lt;$U$9,SUMPRODUCT(($D$9:$L$9+INT(($S$12:$AA$12+INDEX($AJ$13:$AR$162,BN4837,0)+INDEX($AT$13:$BB$162,BO4837,0)+INDEX($BD$13:$BL$162,BP4837,0))/100))),0)</f>
        <v/>
      </c>
      <c r="BT4837">
        <f>IF(AND(4824&lt;$U$9,$W$5),BQ4837*1000000-MIN(BR4837,999)*1000+BS4837-4824/100000,-1000000000-4824)</f>
        <v/>
      </c>
    </row>
    <row r="4838">
      <c r="BN4838">
        <f>IF(4825&lt;$U$9,INT(4825/($U$7*$U$8))+1,1)</f>
        <v/>
      </c>
      <c r="BO4838">
        <f>IF(4825&lt;$U$9,MOD(INT(4825/$U$8),$U$7)+1,1)</f>
        <v/>
      </c>
      <c r="BP4838">
        <f>IF(4825&lt;$U$9,MOD(4825,$U$8)+1,1)</f>
        <v/>
      </c>
      <c r="BQ4838">
        <f>IF(4825&lt;$U$9,SUMPRODUCT(($D$10:$L$10&lt;&gt;"")*(($D$9:$L$9+INT(($S$12:$AA$12+INDEX($AJ$13:$AR$162,BN4838,0)+INDEX($AT$13:$BB$162,BO4838,0)+INDEX($BD$13:$BL$162,BP4838,0))/100))&gt;=$D$10:$L$10)),0)</f>
        <v/>
      </c>
      <c r="BR4838">
        <f>IF(4825&lt;$U$9,SUMPRODUCT(($D$10:$L$10&lt;&gt;"")*(($D$10:$L$10-($D$9:$L$9+INT(($S$12:$AA$12+INDEX($AJ$13:$AR$162,BN4838,0)+INDEX($AT$13:$BB$162,BO4838,0)+INDEX($BD$13:$BL$162,BP4838,0))/100)))&gt;0)*($D$10:$L$10-($D$9:$L$9+INT(($S$12:$AA$12+INDEX($AJ$13:$AR$162,BN4838,0)+INDEX($AT$13:$BB$162,BO4838,0)+INDEX($BD$13:$BL$162,BP4838,0))/100)))),0)</f>
        <v/>
      </c>
      <c r="BS4838">
        <f>IF(4825&lt;$U$9,SUMPRODUCT(($D$9:$L$9+INT(($S$12:$AA$12+INDEX($AJ$13:$AR$162,BN4838,0)+INDEX($AT$13:$BB$162,BO4838,0)+INDEX($BD$13:$BL$162,BP4838,0))/100))),0)</f>
        <v/>
      </c>
      <c r="BT4838">
        <f>IF(AND(4825&lt;$U$9,$W$5),BQ4838*1000000-MIN(BR4838,999)*1000+BS4838-4825/100000,-1000000000-4825)</f>
        <v/>
      </c>
    </row>
    <row r="4839">
      <c r="BN4839">
        <f>IF(4826&lt;$U$9,INT(4826/($U$7*$U$8))+1,1)</f>
        <v/>
      </c>
      <c r="BO4839">
        <f>IF(4826&lt;$U$9,MOD(INT(4826/$U$8),$U$7)+1,1)</f>
        <v/>
      </c>
      <c r="BP4839">
        <f>IF(4826&lt;$U$9,MOD(4826,$U$8)+1,1)</f>
        <v/>
      </c>
      <c r="BQ4839">
        <f>IF(4826&lt;$U$9,SUMPRODUCT(($D$10:$L$10&lt;&gt;"")*(($D$9:$L$9+INT(($S$12:$AA$12+INDEX($AJ$13:$AR$162,BN4839,0)+INDEX($AT$13:$BB$162,BO4839,0)+INDEX($BD$13:$BL$162,BP4839,0))/100))&gt;=$D$10:$L$10)),0)</f>
        <v/>
      </c>
      <c r="BR4839">
        <f>IF(4826&lt;$U$9,SUMPRODUCT(($D$10:$L$10&lt;&gt;"")*(($D$10:$L$10-($D$9:$L$9+INT(($S$12:$AA$12+INDEX($AJ$13:$AR$162,BN4839,0)+INDEX($AT$13:$BB$162,BO4839,0)+INDEX($BD$13:$BL$162,BP4839,0))/100)))&gt;0)*($D$10:$L$10-($D$9:$L$9+INT(($S$12:$AA$12+INDEX($AJ$13:$AR$162,BN4839,0)+INDEX($AT$13:$BB$162,BO4839,0)+INDEX($BD$13:$BL$162,BP4839,0))/100)))),0)</f>
        <v/>
      </c>
      <c r="BS4839">
        <f>IF(4826&lt;$U$9,SUMPRODUCT(($D$9:$L$9+INT(($S$12:$AA$12+INDEX($AJ$13:$AR$162,BN4839,0)+INDEX($AT$13:$BB$162,BO4839,0)+INDEX($BD$13:$BL$162,BP4839,0))/100))),0)</f>
        <v/>
      </c>
      <c r="BT4839">
        <f>IF(AND(4826&lt;$U$9,$W$5),BQ4839*1000000-MIN(BR4839,999)*1000+BS4839-4826/100000,-1000000000-4826)</f>
        <v/>
      </c>
    </row>
    <row r="4840">
      <c r="BN4840">
        <f>IF(4827&lt;$U$9,INT(4827/($U$7*$U$8))+1,1)</f>
        <v/>
      </c>
      <c r="BO4840">
        <f>IF(4827&lt;$U$9,MOD(INT(4827/$U$8),$U$7)+1,1)</f>
        <v/>
      </c>
      <c r="BP4840">
        <f>IF(4827&lt;$U$9,MOD(4827,$U$8)+1,1)</f>
        <v/>
      </c>
      <c r="BQ4840">
        <f>IF(4827&lt;$U$9,SUMPRODUCT(($D$10:$L$10&lt;&gt;"")*(($D$9:$L$9+INT(($S$12:$AA$12+INDEX($AJ$13:$AR$162,BN4840,0)+INDEX($AT$13:$BB$162,BO4840,0)+INDEX($BD$13:$BL$162,BP4840,0))/100))&gt;=$D$10:$L$10)),0)</f>
        <v/>
      </c>
      <c r="BR4840">
        <f>IF(4827&lt;$U$9,SUMPRODUCT(($D$10:$L$10&lt;&gt;"")*(($D$10:$L$10-($D$9:$L$9+INT(($S$12:$AA$12+INDEX($AJ$13:$AR$162,BN4840,0)+INDEX($AT$13:$BB$162,BO4840,0)+INDEX($BD$13:$BL$162,BP4840,0))/100)))&gt;0)*($D$10:$L$10-($D$9:$L$9+INT(($S$12:$AA$12+INDEX($AJ$13:$AR$162,BN4840,0)+INDEX($AT$13:$BB$162,BO4840,0)+INDEX($BD$13:$BL$162,BP4840,0))/100)))),0)</f>
        <v/>
      </c>
      <c r="BS4840">
        <f>IF(4827&lt;$U$9,SUMPRODUCT(($D$9:$L$9+INT(($S$12:$AA$12+INDEX($AJ$13:$AR$162,BN4840,0)+INDEX($AT$13:$BB$162,BO4840,0)+INDEX($BD$13:$BL$162,BP4840,0))/100))),0)</f>
        <v/>
      </c>
      <c r="BT4840">
        <f>IF(AND(4827&lt;$U$9,$W$5),BQ4840*1000000-MIN(BR4840,999)*1000+BS4840-4827/100000,-1000000000-4827)</f>
        <v/>
      </c>
    </row>
    <row r="4841">
      <c r="BN4841">
        <f>IF(4828&lt;$U$9,INT(4828/($U$7*$U$8))+1,1)</f>
        <v/>
      </c>
      <c r="BO4841">
        <f>IF(4828&lt;$U$9,MOD(INT(4828/$U$8),$U$7)+1,1)</f>
        <v/>
      </c>
      <c r="BP4841">
        <f>IF(4828&lt;$U$9,MOD(4828,$U$8)+1,1)</f>
        <v/>
      </c>
      <c r="BQ4841">
        <f>IF(4828&lt;$U$9,SUMPRODUCT(($D$10:$L$10&lt;&gt;"")*(($D$9:$L$9+INT(($S$12:$AA$12+INDEX($AJ$13:$AR$162,BN4841,0)+INDEX($AT$13:$BB$162,BO4841,0)+INDEX($BD$13:$BL$162,BP4841,0))/100))&gt;=$D$10:$L$10)),0)</f>
        <v/>
      </c>
      <c r="BR4841">
        <f>IF(4828&lt;$U$9,SUMPRODUCT(($D$10:$L$10&lt;&gt;"")*(($D$10:$L$10-($D$9:$L$9+INT(($S$12:$AA$12+INDEX($AJ$13:$AR$162,BN4841,0)+INDEX($AT$13:$BB$162,BO4841,0)+INDEX($BD$13:$BL$162,BP4841,0))/100)))&gt;0)*($D$10:$L$10-($D$9:$L$9+INT(($S$12:$AA$12+INDEX($AJ$13:$AR$162,BN4841,0)+INDEX($AT$13:$BB$162,BO4841,0)+INDEX($BD$13:$BL$162,BP4841,0))/100)))),0)</f>
        <v/>
      </c>
      <c r="BS4841">
        <f>IF(4828&lt;$U$9,SUMPRODUCT(($D$9:$L$9+INT(($S$12:$AA$12+INDEX($AJ$13:$AR$162,BN4841,0)+INDEX($AT$13:$BB$162,BO4841,0)+INDEX($BD$13:$BL$162,BP4841,0))/100))),0)</f>
        <v/>
      </c>
      <c r="BT4841">
        <f>IF(AND(4828&lt;$U$9,$W$5),BQ4841*1000000-MIN(BR4841,999)*1000+BS4841-4828/100000,-1000000000-4828)</f>
        <v/>
      </c>
    </row>
    <row r="4842">
      <c r="BN4842">
        <f>IF(4829&lt;$U$9,INT(4829/($U$7*$U$8))+1,1)</f>
        <v/>
      </c>
      <c r="BO4842">
        <f>IF(4829&lt;$U$9,MOD(INT(4829/$U$8),$U$7)+1,1)</f>
        <v/>
      </c>
      <c r="BP4842">
        <f>IF(4829&lt;$U$9,MOD(4829,$U$8)+1,1)</f>
        <v/>
      </c>
      <c r="BQ4842">
        <f>IF(4829&lt;$U$9,SUMPRODUCT(($D$10:$L$10&lt;&gt;"")*(($D$9:$L$9+INT(($S$12:$AA$12+INDEX($AJ$13:$AR$162,BN4842,0)+INDEX($AT$13:$BB$162,BO4842,0)+INDEX($BD$13:$BL$162,BP4842,0))/100))&gt;=$D$10:$L$10)),0)</f>
        <v/>
      </c>
      <c r="BR4842">
        <f>IF(4829&lt;$U$9,SUMPRODUCT(($D$10:$L$10&lt;&gt;"")*(($D$10:$L$10-($D$9:$L$9+INT(($S$12:$AA$12+INDEX($AJ$13:$AR$162,BN4842,0)+INDEX($AT$13:$BB$162,BO4842,0)+INDEX($BD$13:$BL$162,BP4842,0))/100)))&gt;0)*($D$10:$L$10-($D$9:$L$9+INT(($S$12:$AA$12+INDEX($AJ$13:$AR$162,BN4842,0)+INDEX($AT$13:$BB$162,BO4842,0)+INDEX($BD$13:$BL$162,BP4842,0))/100)))),0)</f>
        <v/>
      </c>
      <c r="BS4842">
        <f>IF(4829&lt;$U$9,SUMPRODUCT(($D$9:$L$9+INT(($S$12:$AA$12+INDEX($AJ$13:$AR$162,BN4842,0)+INDEX($AT$13:$BB$162,BO4842,0)+INDEX($BD$13:$BL$162,BP4842,0))/100))),0)</f>
        <v/>
      </c>
      <c r="BT4842">
        <f>IF(AND(4829&lt;$U$9,$W$5),BQ4842*1000000-MIN(BR4842,999)*1000+BS4842-4829/100000,-1000000000-4829)</f>
        <v/>
      </c>
    </row>
    <row r="4843">
      <c r="BN4843">
        <f>IF(4830&lt;$U$9,INT(4830/($U$7*$U$8))+1,1)</f>
        <v/>
      </c>
      <c r="BO4843">
        <f>IF(4830&lt;$U$9,MOD(INT(4830/$U$8),$U$7)+1,1)</f>
        <v/>
      </c>
      <c r="BP4843">
        <f>IF(4830&lt;$U$9,MOD(4830,$U$8)+1,1)</f>
        <v/>
      </c>
      <c r="BQ4843">
        <f>IF(4830&lt;$U$9,SUMPRODUCT(($D$10:$L$10&lt;&gt;"")*(($D$9:$L$9+INT(($S$12:$AA$12+INDEX($AJ$13:$AR$162,BN4843,0)+INDEX($AT$13:$BB$162,BO4843,0)+INDEX($BD$13:$BL$162,BP4843,0))/100))&gt;=$D$10:$L$10)),0)</f>
        <v/>
      </c>
      <c r="BR4843">
        <f>IF(4830&lt;$U$9,SUMPRODUCT(($D$10:$L$10&lt;&gt;"")*(($D$10:$L$10-($D$9:$L$9+INT(($S$12:$AA$12+INDEX($AJ$13:$AR$162,BN4843,0)+INDEX($AT$13:$BB$162,BO4843,0)+INDEX($BD$13:$BL$162,BP4843,0))/100)))&gt;0)*($D$10:$L$10-($D$9:$L$9+INT(($S$12:$AA$12+INDEX($AJ$13:$AR$162,BN4843,0)+INDEX($AT$13:$BB$162,BO4843,0)+INDEX($BD$13:$BL$162,BP4843,0))/100)))),0)</f>
        <v/>
      </c>
      <c r="BS4843">
        <f>IF(4830&lt;$U$9,SUMPRODUCT(($D$9:$L$9+INT(($S$12:$AA$12+INDEX($AJ$13:$AR$162,BN4843,0)+INDEX($AT$13:$BB$162,BO4843,0)+INDEX($BD$13:$BL$162,BP4843,0))/100))),0)</f>
        <v/>
      </c>
      <c r="BT4843">
        <f>IF(AND(4830&lt;$U$9,$W$5),BQ4843*1000000-MIN(BR4843,999)*1000+BS4843-4830/100000,-1000000000-4830)</f>
        <v/>
      </c>
    </row>
    <row r="4844">
      <c r="BN4844">
        <f>IF(4831&lt;$U$9,INT(4831/($U$7*$U$8))+1,1)</f>
        <v/>
      </c>
      <c r="BO4844">
        <f>IF(4831&lt;$U$9,MOD(INT(4831/$U$8),$U$7)+1,1)</f>
        <v/>
      </c>
      <c r="BP4844">
        <f>IF(4831&lt;$U$9,MOD(4831,$U$8)+1,1)</f>
        <v/>
      </c>
      <c r="BQ4844">
        <f>IF(4831&lt;$U$9,SUMPRODUCT(($D$10:$L$10&lt;&gt;"")*(($D$9:$L$9+INT(($S$12:$AA$12+INDEX($AJ$13:$AR$162,BN4844,0)+INDEX($AT$13:$BB$162,BO4844,0)+INDEX($BD$13:$BL$162,BP4844,0))/100))&gt;=$D$10:$L$10)),0)</f>
        <v/>
      </c>
      <c r="BR4844">
        <f>IF(4831&lt;$U$9,SUMPRODUCT(($D$10:$L$10&lt;&gt;"")*(($D$10:$L$10-($D$9:$L$9+INT(($S$12:$AA$12+INDEX($AJ$13:$AR$162,BN4844,0)+INDEX($AT$13:$BB$162,BO4844,0)+INDEX($BD$13:$BL$162,BP4844,0))/100)))&gt;0)*($D$10:$L$10-($D$9:$L$9+INT(($S$12:$AA$12+INDEX($AJ$13:$AR$162,BN4844,0)+INDEX($AT$13:$BB$162,BO4844,0)+INDEX($BD$13:$BL$162,BP4844,0))/100)))),0)</f>
        <v/>
      </c>
      <c r="BS4844">
        <f>IF(4831&lt;$U$9,SUMPRODUCT(($D$9:$L$9+INT(($S$12:$AA$12+INDEX($AJ$13:$AR$162,BN4844,0)+INDEX($AT$13:$BB$162,BO4844,0)+INDEX($BD$13:$BL$162,BP4844,0))/100))),0)</f>
        <v/>
      </c>
      <c r="BT4844">
        <f>IF(AND(4831&lt;$U$9,$W$5),BQ4844*1000000-MIN(BR4844,999)*1000+BS4844-4831/100000,-1000000000-4831)</f>
        <v/>
      </c>
    </row>
    <row r="4845">
      <c r="BN4845">
        <f>IF(4832&lt;$U$9,INT(4832/($U$7*$U$8))+1,1)</f>
        <v/>
      </c>
      <c r="BO4845">
        <f>IF(4832&lt;$U$9,MOD(INT(4832/$U$8),$U$7)+1,1)</f>
        <v/>
      </c>
      <c r="BP4845">
        <f>IF(4832&lt;$U$9,MOD(4832,$U$8)+1,1)</f>
        <v/>
      </c>
      <c r="BQ4845">
        <f>IF(4832&lt;$U$9,SUMPRODUCT(($D$10:$L$10&lt;&gt;"")*(($D$9:$L$9+INT(($S$12:$AA$12+INDEX($AJ$13:$AR$162,BN4845,0)+INDEX($AT$13:$BB$162,BO4845,0)+INDEX($BD$13:$BL$162,BP4845,0))/100))&gt;=$D$10:$L$10)),0)</f>
        <v/>
      </c>
      <c r="BR4845">
        <f>IF(4832&lt;$U$9,SUMPRODUCT(($D$10:$L$10&lt;&gt;"")*(($D$10:$L$10-($D$9:$L$9+INT(($S$12:$AA$12+INDEX($AJ$13:$AR$162,BN4845,0)+INDEX($AT$13:$BB$162,BO4845,0)+INDEX($BD$13:$BL$162,BP4845,0))/100)))&gt;0)*($D$10:$L$10-($D$9:$L$9+INT(($S$12:$AA$12+INDEX($AJ$13:$AR$162,BN4845,0)+INDEX($AT$13:$BB$162,BO4845,0)+INDEX($BD$13:$BL$162,BP4845,0))/100)))),0)</f>
        <v/>
      </c>
      <c r="BS4845">
        <f>IF(4832&lt;$U$9,SUMPRODUCT(($D$9:$L$9+INT(($S$12:$AA$12+INDEX($AJ$13:$AR$162,BN4845,0)+INDEX($AT$13:$BB$162,BO4845,0)+INDEX($BD$13:$BL$162,BP4845,0))/100))),0)</f>
        <v/>
      </c>
      <c r="BT4845">
        <f>IF(AND(4832&lt;$U$9,$W$5),BQ4845*1000000-MIN(BR4845,999)*1000+BS4845-4832/100000,-1000000000-4832)</f>
        <v/>
      </c>
    </row>
    <row r="4846">
      <c r="BN4846">
        <f>IF(4833&lt;$U$9,INT(4833/($U$7*$U$8))+1,1)</f>
        <v/>
      </c>
      <c r="BO4846">
        <f>IF(4833&lt;$U$9,MOD(INT(4833/$U$8),$U$7)+1,1)</f>
        <v/>
      </c>
      <c r="BP4846">
        <f>IF(4833&lt;$U$9,MOD(4833,$U$8)+1,1)</f>
        <v/>
      </c>
      <c r="BQ4846">
        <f>IF(4833&lt;$U$9,SUMPRODUCT(($D$10:$L$10&lt;&gt;"")*(($D$9:$L$9+INT(($S$12:$AA$12+INDEX($AJ$13:$AR$162,BN4846,0)+INDEX($AT$13:$BB$162,BO4846,0)+INDEX($BD$13:$BL$162,BP4846,0))/100))&gt;=$D$10:$L$10)),0)</f>
        <v/>
      </c>
      <c r="BR4846">
        <f>IF(4833&lt;$U$9,SUMPRODUCT(($D$10:$L$10&lt;&gt;"")*(($D$10:$L$10-($D$9:$L$9+INT(($S$12:$AA$12+INDEX($AJ$13:$AR$162,BN4846,0)+INDEX($AT$13:$BB$162,BO4846,0)+INDEX($BD$13:$BL$162,BP4846,0))/100)))&gt;0)*($D$10:$L$10-($D$9:$L$9+INT(($S$12:$AA$12+INDEX($AJ$13:$AR$162,BN4846,0)+INDEX($AT$13:$BB$162,BO4846,0)+INDEX($BD$13:$BL$162,BP4846,0))/100)))),0)</f>
        <v/>
      </c>
      <c r="BS4846">
        <f>IF(4833&lt;$U$9,SUMPRODUCT(($D$9:$L$9+INT(($S$12:$AA$12+INDEX($AJ$13:$AR$162,BN4846,0)+INDEX($AT$13:$BB$162,BO4846,0)+INDEX($BD$13:$BL$162,BP4846,0))/100))),0)</f>
        <v/>
      </c>
      <c r="BT4846">
        <f>IF(AND(4833&lt;$U$9,$W$5),BQ4846*1000000-MIN(BR4846,999)*1000+BS4846-4833/100000,-1000000000-4833)</f>
        <v/>
      </c>
    </row>
    <row r="4847">
      <c r="BN4847">
        <f>IF(4834&lt;$U$9,INT(4834/($U$7*$U$8))+1,1)</f>
        <v/>
      </c>
      <c r="BO4847">
        <f>IF(4834&lt;$U$9,MOD(INT(4834/$U$8),$U$7)+1,1)</f>
        <v/>
      </c>
      <c r="BP4847">
        <f>IF(4834&lt;$U$9,MOD(4834,$U$8)+1,1)</f>
        <v/>
      </c>
      <c r="BQ4847">
        <f>IF(4834&lt;$U$9,SUMPRODUCT(($D$10:$L$10&lt;&gt;"")*(($D$9:$L$9+INT(($S$12:$AA$12+INDEX($AJ$13:$AR$162,BN4847,0)+INDEX($AT$13:$BB$162,BO4847,0)+INDEX($BD$13:$BL$162,BP4847,0))/100))&gt;=$D$10:$L$10)),0)</f>
        <v/>
      </c>
      <c r="BR4847">
        <f>IF(4834&lt;$U$9,SUMPRODUCT(($D$10:$L$10&lt;&gt;"")*(($D$10:$L$10-($D$9:$L$9+INT(($S$12:$AA$12+INDEX($AJ$13:$AR$162,BN4847,0)+INDEX($AT$13:$BB$162,BO4847,0)+INDEX($BD$13:$BL$162,BP4847,0))/100)))&gt;0)*($D$10:$L$10-($D$9:$L$9+INT(($S$12:$AA$12+INDEX($AJ$13:$AR$162,BN4847,0)+INDEX($AT$13:$BB$162,BO4847,0)+INDEX($BD$13:$BL$162,BP4847,0))/100)))),0)</f>
        <v/>
      </c>
      <c r="BS4847">
        <f>IF(4834&lt;$U$9,SUMPRODUCT(($D$9:$L$9+INT(($S$12:$AA$12+INDEX($AJ$13:$AR$162,BN4847,0)+INDEX($AT$13:$BB$162,BO4847,0)+INDEX($BD$13:$BL$162,BP4847,0))/100))),0)</f>
        <v/>
      </c>
      <c r="BT4847">
        <f>IF(AND(4834&lt;$U$9,$W$5),BQ4847*1000000-MIN(BR4847,999)*1000+BS4847-4834/100000,-1000000000-4834)</f>
        <v/>
      </c>
    </row>
    <row r="4848">
      <c r="BN4848">
        <f>IF(4835&lt;$U$9,INT(4835/($U$7*$U$8))+1,1)</f>
        <v/>
      </c>
      <c r="BO4848">
        <f>IF(4835&lt;$U$9,MOD(INT(4835/$U$8),$U$7)+1,1)</f>
        <v/>
      </c>
      <c r="BP4848">
        <f>IF(4835&lt;$U$9,MOD(4835,$U$8)+1,1)</f>
        <v/>
      </c>
      <c r="BQ4848">
        <f>IF(4835&lt;$U$9,SUMPRODUCT(($D$10:$L$10&lt;&gt;"")*(($D$9:$L$9+INT(($S$12:$AA$12+INDEX($AJ$13:$AR$162,BN4848,0)+INDEX($AT$13:$BB$162,BO4848,0)+INDEX($BD$13:$BL$162,BP4848,0))/100))&gt;=$D$10:$L$10)),0)</f>
        <v/>
      </c>
      <c r="BR4848">
        <f>IF(4835&lt;$U$9,SUMPRODUCT(($D$10:$L$10&lt;&gt;"")*(($D$10:$L$10-($D$9:$L$9+INT(($S$12:$AA$12+INDEX($AJ$13:$AR$162,BN4848,0)+INDEX($AT$13:$BB$162,BO4848,0)+INDEX($BD$13:$BL$162,BP4848,0))/100)))&gt;0)*($D$10:$L$10-($D$9:$L$9+INT(($S$12:$AA$12+INDEX($AJ$13:$AR$162,BN4848,0)+INDEX($AT$13:$BB$162,BO4848,0)+INDEX($BD$13:$BL$162,BP4848,0))/100)))),0)</f>
        <v/>
      </c>
      <c r="BS4848">
        <f>IF(4835&lt;$U$9,SUMPRODUCT(($D$9:$L$9+INT(($S$12:$AA$12+INDEX($AJ$13:$AR$162,BN4848,0)+INDEX($AT$13:$BB$162,BO4848,0)+INDEX($BD$13:$BL$162,BP4848,0))/100))),0)</f>
        <v/>
      </c>
      <c r="BT4848">
        <f>IF(AND(4835&lt;$U$9,$W$5),BQ4848*1000000-MIN(BR4848,999)*1000+BS4848-4835/100000,-1000000000-4835)</f>
        <v/>
      </c>
    </row>
    <row r="4849">
      <c r="BN4849">
        <f>IF(4836&lt;$U$9,INT(4836/($U$7*$U$8))+1,1)</f>
        <v/>
      </c>
      <c r="BO4849">
        <f>IF(4836&lt;$U$9,MOD(INT(4836/$U$8),$U$7)+1,1)</f>
        <v/>
      </c>
      <c r="BP4849">
        <f>IF(4836&lt;$U$9,MOD(4836,$U$8)+1,1)</f>
        <v/>
      </c>
      <c r="BQ4849">
        <f>IF(4836&lt;$U$9,SUMPRODUCT(($D$10:$L$10&lt;&gt;"")*(($D$9:$L$9+INT(($S$12:$AA$12+INDEX($AJ$13:$AR$162,BN4849,0)+INDEX($AT$13:$BB$162,BO4849,0)+INDEX($BD$13:$BL$162,BP4849,0))/100))&gt;=$D$10:$L$10)),0)</f>
        <v/>
      </c>
      <c r="BR4849">
        <f>IF(4836&lt;$U$9,SUMPRODUCT(($D$10:$L$10&lt;&gt;"")*(($D$10:$L$10-($D$9:$L$9+INT(($S$12:$AA$12+INDEX($AJ$13:$AR$162,BN4849,0)+INDEX($AT$13:$BB$162,BO4849,0)+INDEX($BD$13:$BL$162,BP4849,0))/100)))&gt;0)*($D$10:$L$10-($D$9:$L$9+INT(($S$12:$AA$12+INDEX($AJ$13:$AR$162,BN4849,0)+INDEX($AT$13:$BB$162,BO4849,0)+INDEX($BD$13:$BL$162,BP4849,0))/100)))),0)</f>
        <v/>
      </c>
      <c r="BS4849">
        <f>IF(4836&lt;$U$9,SUMPRODUCT(($D$9:$L$9+INT(($S$12:$AA$12+INDEX($AJ$13:$AR$162,BN4849,0)+INDEX($AT$13:$BB$162,BO4849,0)+INDEX($BD$13:$BL$162,BP4849,0))/100))),0)</f>
        <v/>
      </c>
      <c r="BT4849">
        <f>IF(AND(4836&lt;$U$9,$W$5),BQ4849*1000000-MIN(BR4849,999)*1000+BS4849-4836/100000,-1000000000-4836)</f>
        <v/>
      </c>
    </row>
    <row r="4850">
      <c r="BN4850">
        <f>IF(4837&lt;$U$9,INT(4837/($U$7*$U$8))+1,1)</f>
        <v/>
      </c>
      <c r="BO4850">
        <f>IF(4837&lt;$U$9,MOD(INT(4837/$U$8),$U$7)+1,1)</f>
        <v/>
      </c>
      <c r="BP4850">
        <f>IF(4837&lt;$U$9,MOD(4837,$U$8)+1,1)</f>
        <v/>
      </c>
      <c r="BQ4850">
        <f>IF(4837&lt;$U$9,SUMPRODUCT(($D$10:$L$10&lt;&gt;"")*(($D$9:$L$9+INT(($S$12:$AA$12+INDEX($AJ$13:$AR$162,BN4850,0)+INDEX($AT$13:$BB$162,BO4850,0)+INDEX($BD$13:$BL$162,BP4850,0))/100))&gt;=$D$10:$L$10)),0)</f>
        <v/>
      </c>
      <c r="BR4850">
        <f>IF(4837&lt;$U$9,SUMPRODUCT(($D$10:$L$10&lt;&gt;"")*(($D$10:$L$10-($D$9:$L$9+INT(($S$12:$AA$12+INDEX($AJ$13:$AR$162,BN4850,0)+INDEX($AT$13:$BB$162,BO4850,0)+INDEX($BD$13:$BL$162,BP4850,0))/100)))&gt;0)*($D$10:$L$10-($D$9:$L$9+INT(($S$12:$AA$12+INDEX($AJ$13:$AR$162,BN4850,0)+INDEX($AT$13:$BB$162,BO4850,0)+INDEX($BD$13:$BL$162,BP4850,0))/100)))),0)</f>
        <v/>
      </c>
      <c r="BS4850">
        <f>IF(4837&lt;$U$9,SUMPRODUCT(($D$9:$L$9+INT(($S$12:$AA$12+INDEX($AJ$13:$AR$162,BN4850,0)+INDEX($AT$13:$BB$162,BO4850,0)+INDEX($BD$13:$BL$162,BP4850,0))/100))),0)</f>
        <v/>
      </c>
      <c r="BT4850">
        <f>IF(AND(4837&lt;$U$9,$W$5),BQ4850*1000000-MIN(BR4850,999)*1000+BS4850-4837/100000,-1000000000-4837)</f>
        <v/>
      </c>
    </row>
    <row r="4851">
      <c r="BN4851">
        <f>IF(4838&lt;$U$9,INT(4838/($U$7*$U$8))+1,1)</f>
        <v/>
      </c>
      <c r="BO4851">
        <f>IF(4838&lt;$U$9,MOD(INT(4838/$U$8),$U$7)+1,1)</f>
        <v/>
      </c>
      <c r="BP4851">
        <f>IF(4838&lt;$U$9,MOD(4838,$U$8)+1,1)</f>
        <v/>
      </c>
      <c r="BQ4851">
        <f>IF(4838&lt;$U$9,SUMPRODUCT(($D$10:$L$10&lt;&gt;"")*(($D$9:$L$9+INT(($S$12:$AA$12+INDEX($AJ$13:$AR$162,BN4851,0)+INDEX($AT$13:$BB$162,BO4851,0)+INDEX($BD$13:$BL$162,BP4851,0))/100))&gt;=$D$10:$L$10)),0)</f>
        <v/>
      </c>
      <c r="BR4851">
        <f>IF(4838&lt;$U$9,SUMPRODUCT(($D$10:$L$10&lt;&gt;"")*(($D$10:$L$10-($D$9:$L$9+INT(($S$12:$AA$12+INDEX($AJ$13:$AR$162,BN4851,0)+INDEX($AT$13:$BB$162,BO4851,0)+INDEX($BD$13:$BL$162,BP4851,0))/100)))&gt;0)*($D$10:$L$10-($D$9:$L$9+INT(($S$12:$AA$12+INDEX($AJ$13:$AR$162,BN4851,0)+INDEX($AT$13:$BB$162,BO4851,0)+INDEX($BD$13:$BL$162,BP4851,0))/100)))),0)</f>
        <v/>
      </c>
      <c r="BS4851">
        <f>IF(4838&lt;$U$9,SUMPRODUCT(($D$9:$L$9+INT(($S$12:$AA$12+INDEX($AJ$13:$AR$162,BN4851,0)+INDEX($AT$13:$BB$162,BO4851,0)+INDEX($BD$13:$BL$162,BP4851,0))/100))),0)</f>
        <v/>
      </c>
      <c r="BT4851">
        <f>IF(AND(4838&lt;$U$9,$W$5),BQ4851*1000000-MIN(BR4851,999)*1000+BS4851-4838/100000,-1000000000-4838)</f>
        <v/>
      </c>
    </row>
    <row r="4852">
      <c r="BN4852">
        <f>IF(4839&lt;$U$9,INT(4839/($U$7*$U$8))+1,1)</f>
        <v/>
      </c>
      <c r="BO4852">
        <f>IF(4839&lt;$U$9,MOD(INT(4839/$U$8),$U$7)+1,1)</f>
        <v/>
      </c>
      <c r="BP4852">
        <f>IF(4839&lt;$U$9,MOD(4839,$U$8)+1,1)</f>
        <v/>
      </c>
      <c r="BQ4852">
        <f>IF(4839&lt;$U$9,SUMPRODUCT(($D$10:$L$10&lt;&gt;"")*(($D$9:$L$9+INT(($S$12:$AA$12+INDEX($AJ$13:$AR$162,BN4852,0)+INDEX($AT$13:$BB$162,BO4852,0)+INDEX($BD$13:$BL$162,BP4852,0))/100))&gt;=$D$10:$L$10)),0)</f>
        <v/>
      </c>
      <c r="BR4852">
        <f>IF(4839&lt;$U$9,SUMPRODUCT(($D$10:$L$10&lt;&gt;"")*(($D$10:$L$10-($D$9:$L$9+INT(($S$12:$AA$12+INDEX($AJ$13:$AR$162,BN4852,0)+INDEX($AT$13:$BB$162,BO4852,0)+INDEX($BD$13:$BL$162,BP4852,0))/100)))&gt;0)*($D$10:$L$10-($D$9:$L$9+INT(($S$12:$AA$12+INDEX($AJ$13:$AR$162,BN4852,0)+INDEX($AT$13:$BB$162,BO4852,0)+INDEX($BD$13:$BL$162,BP4852,0))/100)))),0)</f>
        <v/>
      </c>
      <c r="BS4852">
        <f>IF(4839&lt;$U$9,SUMPRODUCT(($D$9:$L$9+INT(($S$12:$AA$12+INDEX($AJ$13:$AR$162,BN4852,0)+INDEX($AT$13:$BB$162,BO4852,0)+INDEX($BD$13:$BL$162,BP4852,0))/100))),0)</f>
        <v/>
      </c>
      <c r="BT4852">
        <f>IF(AND(4839&lt;$U$9,$W$5),BQ4852*1000000-MIN(BR4852,999)*1000+BS4852-4839/100000,-1000000000-4839)</f>
        <v/>
      </c>
    </row>
    <row r="4853">
      <c r="BN4853">
        <f>IF(4840&lt;$U$9,INT(4840/($U$7*$U$8))+1,1)</f>
        <v/>
      </c>
      <c r="BO4853">
        <f>IF(4840&lt;$U$9,MOD(INT(4840/$U$8),$U$7)+1,1)</f>
        <v/>
      </c>
      <c r="BP4853">
        <f>IF(4840&lt;$U$9,MOD(4840,$U$8)+1,1)</f>
        <v/>
      </c>
      <c r="BQ4853">
        <f>IF(4840&lt;$U$9,SUMPRODUCT(($D$10:$L$10&lt;&gt;"")*(($D$9:$L$9+INT(($S$12:$AA$12+INDEX($AJ$13:$AR$162,BN4853,0)+INDEX($AT$13:$BB$162,BO4853,0)+INDEX($BD$13:$BL$162,BP4853,0))/100))&gt;=$D$10:$L$10)),0)</f>
        <v/>
      </c>
      <c r="BR4853">
        <f>IF(4840&lt;$U$9,SUMPRODUCT(($D$10:$L$10&lt;&gt;"")*(($D$10:$L$10-($D$9:$L$9+INT(($S$12:$AA$12+INDEX($AJ$13:$AR$162,BN4853,0)+INDEX($AT$13:$BB$162,BO4853,0)+INDEX($BD$13:$BL$162,BP4853,0))/100)))&gt;0)*($D$10:$L$10-($D$9:$L$9+INT(($S$12:$AA$12+INDEX($AJ$13:$AR$162,BN4853,0)+INDEX($AT$13:$BB$162,BO4853,0)+INDEX($BD$13:$BL$162,BP4853,0))/100)))),0)</f>
        <v/>
      </c>
      <c r="BS4853">
        <f>IF(4840&lt;$U$9,SUMPRODUCT(($D$9:$L$9+INT(($S$12:$AA$12+INDEX($AJ$13:$AR$162,BN4853,0)+INDEX($AT$13:$BB$162,BO4853,0)+INDEX($BD$13:$BL$162,BP4853,0))/100))),0)</f>
        <v/>
      </c>
      <c r="BT4853">
        <f>IF(AND(4840&lt;$U$9,$W$5),BQ4853*1000000-MIN(BR4853,999)*1000+BS4853-4840/100000,-1000000000-4840)</f>
        <v/>
      </c>
    </row>
    <row r="4854">
      <c r="BN4854">
        <f>IF(4841&lt;$U$9,INT(4841/($U$7*$U$8))+1,1)</f>
        <v/>
      </c>
      <c r="BO4854">
        <f>IF(4841&lt;$U$9,MOD(INT(4841/$U$8),$U$7)+1,1)</f>
        <v/>
      </c>
      <c r="BP4854">
        <f>IF(4841&lt;$U$9,MOD(4841,$U$8)+1,1)</f>
        <v/>
      </c>
      <c r="BQ4854">
        <f>IF(4841&lt;$U$9,SUMPRODUCT(($D$10:$L$10&lt;&gt;"")*(($D$9:$L$9+INT(($S$12:$AA$12+INDEX($AJ$13:$AR$162,BN4854,0)+INDEX($AT$13:$BB$162,BO4854,0)+INDEX($BD$13:$BL$162,BP4854,0))/100))&gt;=$D$10:$L$10)),0)</f>
        <v/>
      </c>
      <c r="BR4854">
        <f>IF(4841&lt;$U$9,SUMPRODUCT(($D$10:$L$10&lt;&gt;"")*(($D$10:$L$10-($D$9:$L$9+INT(($S$12:$AA$12+INDEX($AJ$13:$AR$162,BN4854,0)+INDEX($AT$13:$BB$162,BO4854,0)+INDEX($BD$13:$BL$162,BP4854,0))/100)))&gt;0)*($D$10:$L$10-($D$9:$L$9+INT(($S$12:$AA$12+INDEX($AJ$13:$AR$162,BN4854,0)+INDEX($AT$13:$BB$162,BO4854,0)+INDEX($BD$13:$BL$162,BP4854,0))/100)))),0)</f>
        <v/>
      </c>
      <c r="BS4854">
        <f>IF(4841&lt;$U$9,SUMPRODUCT(($D$9:$L$9+INT(($S$12:$AA$12+INDEX($AJ$13:$AR$162,BN4854,0)+INDEX($AT$13:$BB$162,BO4854,0)+INDEX($BD$13:$BL$162,BP4854,0))/100))),0)</f>
        <v/>
      </c>
      <c r="BT4854">
        <f>IF(AND(4841&lt;$U$9,$W$5),BQ4854*1000000-MIN(BR4854,999)*1000+BS4854-4841/100000,-1000000000-4841)</f>
        <v/>
      </c>
    </row>
    <row r="4855">
      <c r="BN4855">
        <f>IF(4842&lt;$U$9,INT(4842/($U$7*$U$8))+1,1)</f>
        <v/>
      </c>
      <c r="BO4855">
        <f>IF(4842&lt;$U$9,MOD(INT(4842/$U$8),$U$7)+1,1)</f>
        <v/>
      </c>
      <c r="BP4855">
        <f>IF(4842&lt;$U$9,MOD(4842,$U$8)+1,1)</f>
        <v/>
      </c>
      <c r="BQ4855">
        <f>IF(4842&lt;$U$9,SUMPRODUCT(($D$10:$L$10&lt;&gt;"")*(($D$9:$L$9+INT(($S$12:$AA$12+INDEX($AJ$13:$AR$162,BN4855,0)+INDEX($AT$13:$BB$162,BO4855,0)+INDEX($BD$13:$BL$162,BP4855,0))/100))&gt;=$D$10:$L$10)),0)</f>
        <v/>
      </c>
      <c r="BR4855">
        <f>IF(4842&lt;$U$9,SUMPRODUCT(($D$10:$L$10&lt;&gt;"")*(($D$10:$L$10-($D$9:$L$9+INT(($S$12:$AA$12+INDEX($AJ$13:$AR$162,BN4855,0)+INDEX($AT$13:$BB$162,BO4855,0)+INDEX($BD$13:$BL$162,BP4855,0))/100)))&gt;0)*($D$10:$L$10-($D$9:$L$9+INT(($S$12:$AA$12+INDEX($AJ$13:$AR$162,BN4855,0)+INDEX($AT$13:$BB$162,BO4855,0)+INDEX($BD$13:$BL$162,BP4855,0))/100)))),0)</f>
        <v/>
      </c>
      <c r="BS4855">
        <f>IF(4842&lt;$U$9,SUMPRODUCT(($D$9:$L$9+INT(($S$12:$AA$12+INDEX($AJ$13:$AR$162,BN4855,0)+INDEX($AT$13:$BB$162,BO4855,0)+INDEX($BD$13:$BL$162,BP4855,0))/100))),0)</f>
        <v/>
      </c>
      <c r="BT4855">
        <f>IF(AND(4842&lt;$U$9,$W$5),BQ4855*1000000-MIN(BR4855,999)*1000+BS4855-4842/100000,-1000000000-4842)</f>
        <v/>
      </c>
    </row>
    <row r="4856">
      <c r="BN4856">
        <f>IF(4843&lt;$U$9,INT(4843/($U$7*$U$8))+1,1)</f>
        <v/>
      </c>
      <c r="BO4856">
        <f>IF(4843&lt;$U$9,MOD(INT(4843/$U$8),$U$7)+1,1)</f>
        <v/>
      </c>
      <c r="BP4856">
        <f>IF(4843&lt;$U$9,MOD(4843,$U$8)+1,1)</f>
        <v/>
      </c>
      <c r="BQ4856">
        <f>IF(4843&lt;$U$9,SUMPRODUCT(($D$10:$L$10&lt;&gt;"")*(($D$9:$L$9+INT(($S$12:$AA$12+INDEX($AJ$13:$AR$162,BN4856,0)+INDEX($AT$13:$BB$162,BO4856,0)+INDEX($BD$13:$BL$162,BP4856,0))/100))&gt;=$D$10:$L$10)),0)</f>
        <v/>
      </c>
      <c r="BR4856">
        <f>IF(4843&lt;$U$9,SUMPRODUCT(($D$10:$L$10&lt;&gt;"")*(($D$10:$L$10-($D$9:$L$9+INT(($S$12:$AA$12+INDEX($AJ$13:$AR$162,BN4856,0)+INDEX($AT$13:$BB$162,BO4856,0)+INDEX($BD$13:$BL$162,BP4856,0))/100)))&gt;0)*($D$10:$L$10-($D$9:$L$9+INT(($S$12:$AA$12+INDEX($AJ$13:$AR$162,BN4856,0)+INDEX($AT$13:$BB$162,BO4856,0)+INDEX($BD$13:$BL$162,BP4856,0))/100)))),0)</f>
        <v/>
      </c>
      <c r="BS4856">
        <f>IF(4843&lt;$U$9,SUMPRODUCT(($D$9:$L$9+INT(($S$12:$AA$12+INDEX($AJ$13:$AR$162,BN4856,0)+INDEX($AT$13:$BB$162,BO4856,0)+INDEX($BD$13:$BL$162,BP4856,0))/100))),0)</f>
        <v/>
      </c>
      <c r="BT4856">
        <f>IF(AND(4843&lt;$U$9,$W$5),BQ4856*1000000-MIN(BR4856,999)*1000+BS4856-4843/100000,-1000000000-4843)</f>
        <v/>
      </c>
    </row>
    <row r="4857">
      <c r="BN4857">
        <f>IF(4844&lt;$U$9,INT(4844/($U$7*$U$8))+1,1)</f>
        <v/>
      </c>
      <c r="BO4857">
        <f>IF(4844&lt;$U$9,MOD(INT(4844/$U$8),$U$7)+1,1)</f>
        <v/>
      </c>
      <c r="BP4857">
        <f>IF(4844&lt;$U$9,MOD(4844,$U$8)+1,1)</f>
        <v/>
      </c>
      <c r="BQ4857">
        <f>IF(4844&lt;$U$9,SUMPRODUCT(($D$10:$L$10&lt;&gt;"")*(($D$9:$L$9+INT(($S$12:$AA$12+INDEX($AJ$13:$AR$162,BN4857,0)+INDEX($AT$13:$BB$162,BO4857,0)+INDEX($BD$13:$BL$162,BP4857,0))/100))&gt;=$D$10:$L$10)),0)</f>
        <v/>
      </c>
      <c r="BR4857">
        <f>IF(4844&lt;$U$9,SUMPRODUCT(($D$10:$L$10&lt;&gt;"")*(($D$10:$L$10-($D$9:$L$9+INT(($S$12:$AA$12+INDEX($AJ$13:$AR$162,BN4857,0)+INDEX($AT$13:$BB$162,BO4857,0)+INDEX($BD$13:$BL$162,BP4857,0))/100)))&gt;0)*($D$10:$L$10-($D$9:$L$9+INT(($S$12:$AA$12+INDEX($AJ$13:$AR$162,BN4857,0)+INDEX($AT$13:$BB$162,BO4857,0)+INDEX($BD$13:$BL$162,BP4857,0))/100)))),0)</f>
        <v/>
      </c>
      <c r="BS4857">
        <f>IF(4844&lt;$U$9,SUMPRODUCT(($D$9:$L$9+INT(($S$12:$AA$12+INDEX($AJ$13:$AR$162,BN4857,0)+INDEX($AT$13:$BB$162,BO4857,0)+INDEX($BD$13:$BL$162,BP4857,0))/100))),0)</f>
        <v/>
      </c>
      <c r="BT4857">
        <f>IF(AND(4844&lt;$U$9,$W$5),BQ4857*1000000-MIN(BR4857,999)*1000+BS4857-4844/100000,-1000000000-4844)</f>
        <v/>
      </c>
    </row>
    <row r="4858">
      <c r="BN4858">
        <f>IF(4845&lt;$U$9,INT(4845/($U$7*$U$8))+1,1)</f>
        <v/>
      </c>
      <c r="BO4858">
        <f>IF(4845&lt;$U$9,MOD(INT(4845/$U$8),$U$7)+1,1)</f>
        <v/>
      </c>
      <c r="BP4858">
        <f>IF(4845&lt;$U$9,MOD(4845,$U$8)+1,1)</f>
        <v/>
      </c>
      <c r="BQ4858">
        <f>IF(4845&lt;$U$9,SUMPRODUCT(($D$10:$L$10&lt;&gt;"")*(($D$9:$L$9+INT(($S$12:$AA$12+INDEX($AJ$13:$AR$162,BN4858,0)+INDEX($AT$13:$BB$162,BO4858,0)+INDEX($BD$13:$BL$162,BP4858,0))/100))&gt;=$D$10:$L$10)),0)</f>
        <v/>
      </c>
      <c r="BR4858">
        <f>IF(4845&lt;$U$9,SUMPRODUCT(($D$10:$L$10&lt;&gt;"")*(($D$10:$L$10-($D$9:$L$9+INT(($S$12:$AA$12+INDEX($AJ$13:$AR$162,BN4858,0)+INDEX($AT$13:$BB$162,BO4858,0)+INDEX($BD$13:$BL$162,BP4858,0))/100)))&gt;0)*($D$10:$L$10-($D$9:$L$9+INT(($S$12:$AA$12+INDEX($AJ$13:$AR$162,BN4858,0)+INDEX($AT$13:$BB$162,BO4858,0)+INDEX($BD$13:$BL$162,BP4858,0))/100)))),0)</f>
        <v/>
      </c>
      <c r="BS4858">
        <f>IF(4845&lt;$U$9,SUMPRODUCT(($D$9:$L$9+INT(($S$12:$AA$12+INDEX($AJ$13:$AR$162,BN4858,0)+INDEX($AT$13:$BB$162,BO4858,0)+INDEX($BD$13:$BL$162,BP4858,0))/100))),0)</f>
        <v/>
      </c>
      <c r="BT4858">
        <f>IF(AND(4845&lt;$U$9,$W$5),BQ4858*1000000-MIN(BR4858,999)*1000+BS4858-4845/100000,-1000000000-4845)</f>
        <v/>
      </c>
    </row>
    <row r="4859">
      <c r="BN4859">
        <f>IF(4846&lt;$U$9,INT(4846/($U$7*$U$8))+1,1)</f>
        <v/>
      </c>
      <c r="BO4859">
        <f>IF(4846&lt;$U$9,MOD(INT(4846/$U$8),$U$7)+1,1)</f>
        <v/>
      </c>
      <c r="BP4859">
        <f>IF(4846&lt;$U$9,MOD(4846,$U$8)+1,1)</f>
        <v/>
      </c>
      <c r="BQ4859">
        <f>IF(4846&lt;$U$9,SUMPRODUCT(($D$10:$L$10&lt;&gt;"")*(($D$9:$L$9+INT(($S$12:$AA$12+INDEX($AJ$13:$AR$162,BN4859,0)+INDEX($AT$13:$BB$162,BO4859,0)+INDEX($BD$13:$BL$162,BP4859,0))/100))&gt;=$D$10:$L$10)),0)</f>
        <v/>
      </c>
      <c r="BR4859">
        <f>IF(4846&lt;$U$9,SUMPRODUCT(($D$10:$L$10&lt;&gt;"")*(($D$10:$L$10-($D$9:$L$9+INT(($S$12:$AA$12+INDEX($AJ$13:$AR$162,BN4859,0)+INDEX($AT$13:$BB$162,BO4859,0)+INDEX($BD$13:$BL$162,BP4859,0))/100)))&gt;0)*($D$10:$L$10-($D$9:$L$9+INT(($S$12:$AA$12+INDEX($AJ$13:$AR$162,BN4859,0)+INDEX($AT$13:$BB$162,BO4859,0)+INDEX($BD$13:$BL$162,BP4859,0))/100)))),0)</f>
        <v/>
      </c>
      <c r="BS4859">
        <f>IF(4846&lt;$U$9,SUMPRODUCT(($D$9:$L$9+INT(($S$12:$AA$12+INDEX($AJ$13:$AR$162,BN4859,0)+INDEX($AT$13:$BB$162,BO4859,0)+INDEX($BD$13:$BL$162,BP4859,0))/100))),0)</f>
        <v/>
      </c>
      <c r="BT4859">
        <f>IF(AND(4846&lt;$U$9,$W$5),BQ4859*1000000-MIN(BR4859,999)*1000+BS4859-4846/100000,-1000000000-4846)</f>
        <v/>
      </c>
    </row>
    <row r="4860">
      <c r="BN4860">
        <f>IF(4847&lt;$U$9,INT(4847/($U$7*$U$8))+1,1)</f>
        <v/>
      </c>
      <c r="BO4860">
        <f>IF(4847&lt;$U$9,MOD(INT(4847/$U$8),$U$7)+1,1)</f>
        <v/>
      </c>
      <c r="BP4860">
        <f>IF(4847&lt;$U$9,MOD(4847,$U$8)+1,1)</f>
        <v/>
      </c>
      <c r="BQ4860">
        <f>IF(4847&lt;$U$9,SUMPRODUCT(($D$10:$L$10&lt;&gt;"")*(($D$9:$L$9+INT(($S$12:$AA$12+INDEX($AJ$13:$AR$162,BN4860,0)+INDEX($AT$13:$BB$162,BO4860,0)+INDEX($BD$13:$BL$162,BP4860,0))/100))&gt;=$D$10:$L$10)),0)</f>
        <v/>
      </c>
      <c r="BR4860">
        <f>IF(4847&lt;$U$9,SUMPRODUCT(($D$10:$L$10&lt;&gt;"")*(($D$10:$L$10-($D$9:$L$9+INT(($S$12:$AA$12+INDEX($AJ$13:$AR$162,BN4860,0)+INDEX($AT$13:$BB$162,BO4860,0)+INDEX($BD$13:$BL$162,BP4860,0))/100)))&gt;0)*($D$10:$L$10-($D$9:$L$9+INT(($S$12:$AA$12+INDEX($AJ$13:$AR$162,BN4860,0)+INDEX($AT$13:$BB$162,BO4860,0)+INDEX($BD$13:$BL$162,BP4860,0))/100)))),0)</f>
        <v/>
      </c>
      <c r="BS4860">
        <f>IF(4847&lt;$U$9,SUMPRODUCT(($D$9:$L$9+INT(($S$12:$AA$12+INDEX($AJ$13:$AR$162,BN4860,0)+INDEX($AT$13:$BB$162,BO4860,0)+INDEX($BD$13:$BL$162,BP4860,0))/100))),0)</f>
        <v/>
      </c>
      <c r="BT4860">
        <f>IF(AND(4847&lt;$U$9,$W$5),BQ4860*1000000-MIN(BR4860,999)*1000+BS4860-4847/100000,-1000000000-4847)</f>
        <v/>
      </c>
    </row>
    <row r="4861">
      <c r="BN4861">
        <f>IF(4848&lt;$U$9,INT(4848/($U$7*$U$8))+1,1)</f>
        <v/>
      </c>
      <c r="BO4861">
        <f>IF(4848&lt;$U$9,MOD(INT(4848/$U$8),$U$7)+1,1)</f>
        <v/>
      </c>
      <c r="BP4861">
        <f>IF(4848&lt;$U$9,MOD(4848,$U$8)+1,1)</f>
        <v/>
      </c>
      <c r="BQ4861">
        <f>IF(4848&lt;$U$9,SUMPRODUCT(($D$10:$L$10&lt;&gt;"")*(($D$9:$L$9+INT(($S$12:$AA$12+INDEX($AJ$13:$AR$162,BN4861,0)+INDEX($AT$13:$BB$162,BO4861,0)+INDEX($BD$13:$BL$162,BP4861,0))/100))&gt;=$D$10:$L$10)),0)</f>
        <v/>
      </c>
      <c r="BR4861">
        <f>IF(4848&lt;$U$9,SUMPRODUCT(($D$10:$L$10&lt;&gt;"")*(($D$10:$L$10-($D$9:$L$9+INT(($S$12:$AA$12+INDEX($AJ$13:$AR$162,BN4861,0)+INDEX($AT$13:$BB$162,BO4861,0)+INDEX($BD$13:$BL$162,BP4861,0))/100)))&gt;0)*($D$10:$L$10-($D$9:$L$9+INT(($S$12:$AA$12+INDEX($AJ$13:$AR$162,BN4861,0)+INDEX($AT$13:$BB$162,BO4861,0)+INDEX($BD$13:$BL$162,BP4861,0))/100)))),0)</f>
        <v/>
      </c>
      <c r="BS4861">
        <f>IF(4848&lt;$U$9,SUMPRODUCT(($D$9:$L$9+INT(($S$12:$AA$12+INDEX($AJ$13:$AR$162,BN4861,0)+INDEX($AT$13:$BB$162,BO4861,0)+INDEX($BD$13:$BL$162,BP4861,0))/100))),0)</f>
        <v/>
      </c>
      <c r="BT4861">
        <f>IF(AND(4848&lt;$U$9,$W$5),BQ4861*1000000-MIN(BR4861,999)*1000+BS4861-4848/100000,-1000000000-4848)</f>
        <v/>
      </c>
    </row>
    <row r="4862">
      <c r="BN4862">
        <f>IF(4849&lt;$U$9,INT(4849/($U$7*$U$8))+1,1)</f>
        <v/>
      </c>
      <c r="BO4862">
        <f>IF(4849&lt;$U$9,MOD(INT(4849/$U$8),$U$7)+1,1)</f>
        <v/>
      </c>
      <c r="BP4862">
        <f>IF(4849&lt;$U$9,MOD(4849,$U$8)+1,1)</f>
        <v/>
      </c>
      <c r="BQ4862">
        <f>IF(4849&lt;$U$9,SUMPRODUCT(($D$10:$L$10&lt;&gt;"")*(($D$9:$L$9+INT(($S$12:$AA$12+INDEX($AJ$13:$AR$162,BN4862,0)+INDEX($AT$13:$BB$162,BO4862,0)+INDEX($BD$13:$BL$162,BP4862,0))/100))&gt;=$D$10:$L$10)),0)</f>
        <v/>
      </c>
      <c r="BR4862">
        <f>IF(4849&lt;$U$9,SUMPRODUCT(($D$10:$L$10&lt;&gt;"")*(($D$10:$L$10-($D$9:$L$9+INT(($S$12:$AA$12+INDEX($AJ$13:$AR$162,BN4862,0)+INDEX($AT$13:$BB$162,BO4862,0)+INDEX($BD$13:$BL$162,BP4862,0))/100)))&gt;0)*($D$10:$L$10-($D$9:$L$9+INT(($S$12:$AA$12+INDEX($AJ$13:$AR$162,BN4862,0)+INDEX($AT$13:$BB$162,BO4862,0)+INDEX($BD$13:$BL$162,BP4862,0))/100)))),0)</f>
        <v/>
      </c>
      <c r="BS4862">
        <f>IF(4849&lt;$U$9,SUMPRODUCT(($D$9:$L$9+INT(($S$12:$AA$12+INDEX($AJ$13:$AR$162,BN4862,0)+INDEX($AT$13:$BB$162,BO4862,0)+INDEX($BD$13:$BL$162,BP4862,0))/100))),0)</f>
        <v/>
      </c>
      <c r="BT4862">
        <f>IF(AND(4849&lt;$U$9,$W$5),BQ4862*1000000-MIN(BR4862,999)*1000+BS4862-4849/100000,-1000000000-4849)</f>
        <v/>
      </c>
    </row>
    <row r="4863">
      <c r="BN4863">
        <f>IF(4850&lt;$U$9,INT(4850/($U$7*$U$8))+1,1)</f>
        <v/>
      </c>
      <c r="BO4863">
        <f>IF(4850&lt;$U$9,MOD(INT(4850/$U$8),$U$7)+1,1)</f>
        <v/>
      </c>
      <c r="BP4863">
        <f>IF(4850&lt;$U$9,MOD(4850,$U$8)+1,1)</f>
        <v/>
      </c>
      <c r="BQ4863">
        <f>IF(4850&lt;$U$9,SUMPRODUCT(($D$10:$L$10&lt;&gt;"")*(($D$9:$L$9+INT(($S$12:$AA$12+INDEX($AJ$13:$AR$162,BN4863,0)+INDEX($AT$13:$BB$162,BO4863,0)+INDEX($BD$13:$BL$162,BP4863,0))/100))&gt;=$D$10:$L$10)),0)</f>
        <v/>
      </c>
      <c r="BR4863">
        <f>IF(4850&lt;$U$9,SUMPRODUCT(($D$10:$L$10&lt;&gt;"")*(($D$10:$L$10-($D$9:$L$9+INT(($S$12:$AA$12+INDEX($AJ$13:$AR$162,BN4863,0)+INDEX($AT$13:$BB$162,BO4863,0)+INDEX($BD$13:$BL$162,BP4863,0))/100)))&gt;0)*($D$10:$L$10-($D$9:$L$9+INT(($S$12:$AA$12+INDEX($AJ$13:$AR$162,BN4863,0)+INDEX($AT$13:$BB$162,BO4863,0)+INDEX($BD$13:$BL$162,BP4863,0))/100)))),0)</f>
        <v/>
      </c>
      <c r="BS4863">
        <f>IF(4850&lt;$U$9,SUMPRODUCT(($D$9:$L$9+INT(($S$12:$AA$12+INDEX($AJ$13:$AR$162,BN4863,0)+INDEX($AT$13:$BB$162,BO4863,0)+INDEX($BD$13:$BL$162,BP4863,0))/100))),0)</f>
        <v/>
      </c>
      <c r="BT4863">
        <f>IF(AND(4850&lt;$U$9,$W$5),BQ4863*1000000-MIN(BR4863,999)*1000+BS4863-4850/100000,-1000000000-4850)</f>
        <v/>
      </c>
    </row>
    <row r="4864">
      <c r="BN4864">
        <f>IF(4851&lt;$U$9,INT(4851/($U$7*$U$8))+1,1)</f>
        <v/>
      </c>
      <c r="BO4864">
        <f>IF(4851&lt;$U$9,MOD(INT(4851/$U$8),$U$7)+1,1)</f>
        <v/>
      </c>
      <c r="BP4864">
        <f>IF(4851&lt;$U$9,MOD(4851,$U$8)+1,1)</f>
        <v/>
      </c>
      <c r="BQ4864">
        <f>IF(4851&lt;$U$9,SUMPRODUCT(($D$10:$L$10&lt;&gt;"")*(($D$9:$L$9+INT(($S$12:$AA$12+INDEX($AJ$13:$AR$162,BN4864,0)+INDEX($AT$13:$BB$162,BO4864,0)+INDEX($BD$13:$BL$162,BP4864,0))/100))&gt;=$D$10:$L$10)),0)</f>
        <v/>
      </c>
      <c r="BR4864">
        <f>IF(4851&lt;$U$9,SUMPRODUCT(($D$10:$L$10&lt;&gt;"")*(($D$10:$L$10-($D$9:$L$9+INT(($S$12:$AA$12+INDEX($AJ$13:$AR$162,BN4864,0)+INDEX($AT$13:$BB$162,BO4864,0)+INDEX($BD$13:$BL$162,BP4864,0))/100)))&gt;0)*($D$10:$L$10-($D$9:$L$9+INT(($S$12:$AA$12+INDEX($AJ$13:$AR$162,BN4864,0)+INDEX($AT$13:$BB$162,BO4864,0)+INDEX($BD$13:$BL$162,BP4864,0))/100)))),0)</f>
        <v/>
      </c>
      <c r="BS4864">
        <f>IF(4851&lt;$U$9,SUMPRODUCT(($D$9:$L$9+INT(($S$12:$AA$12+INDEX($AJ$13:$AR$162,BN4864,0)+INDEX($AT$13:$BB$162,BO4864,0)+INDEX($BD$13:$BL$162,BP4864,0))/100))),0)</f>
        <v/>
      </c>
      <c r="BT4864">
        <f>IF(AND(4851&lt;$U$9,$W$5),BQ4864*1000000-MIN(BR4864,999)*1000+BS4864-4851/100000,-1000000000-4851)</f>
        <v/>
      </c>
    </row>
    <row r="4865">
      <c r="BN4865">
        <f>IF(4852&lt;$U$9,INT(4852/($U$7*$U$8))+1,1)</f>
        <v/>
      </c>
      <c r="BO4865">
        <f>IF(4852&lt;$U$9,MOD(INT(4852/$U$8),$U$7)+1,1)</f>
        <v/>
      </c>
      <c r="BP4865">
        <f>IF(4852&lt;$U$9,MOD(4852,$U$8)+1,1)</f>
        <v/>
      </c>
      <c r="BQ4865">
        <f>IF(4852&lt;$U$9,SUMPRODUCT(($D$10:$L$10&lt;&gt;"")*(($D$9:$L$9+INT(($S$12:$AA$12+INDEX($AJ$13:$AR$162,BN4865,0)+INDEX($AT$13:$BB$162,BO4865,0)+INDEX($BD$13:$BL$162,BP4865,0))/100))&gt;=$D$10:$L$10)),0)</f>
        <v/>
      </c>
      <c r="BR4865">
        <f>IF(4852&lt;$U$9,SUMPRODUCT(($D$10:$L$10&lt;&gt;"")*(($D$10:$L$10-($D$9:$L$9+INT(($S$12:$AA$12+INDEX($AJ$13:$AR$162,BN4865,0)+INDEX($AT$13:$BB$162,BO4865,0)+INDEX($BD$13:$BL$162,BP4865,0))/100)))&gt;0)*($D$10:$L$10-($D$9:$L$9+INT(($S$12:$AA$12+INDEX($AJ$13:$AR$162,BN4865,0)+INDEX($AT$13:$BB$162,BO4865,0)+INDEX($BD$13:$BL$162,BP4865,0))/100)))),0)</f>
        <v/>
      </c>
      <c r="BS4865">
        <f>IF(4852&lt;$U$9,SUMPRODUCT(($D$9:$L$9+INT(($S$12:$AA$12+INDEX($AJ$13:$AR$162,BN4865,0)+INDEX($AT$13:$BB$162,BO4865,0)+INDEX($BD$13:$BL$162,BP4865,0))/100))),0)</f>
        <v/>
      </c>
      <c r="BT4865">
        <f>IF(AND(4852&lt;$U$9,$W$5),BQ4865*1000000-MIN(BR4865,999)*1000+BS4865-4852/100000,-1000000000-4852)</f>
        <v/>
      </c>
    </row>
    <row r="4866">
      <c r="BN4866">
        <f>IF(4853&lt;$U$9,INT(4853/($U$7*$U$8))+1,1)</f>
        <v/>
      </c>
      <c r="BO4866">
        <f>IF(4853&lt;$U$9,MOD(INT(4853/$U$8),$U$7)+1,1)</f>
        <v/>
      </c>
      <c r="BP4866">
        <f>IF(4853&lt;$U$9,MOD(4853,$U$8)+1,1)</f>
        <v/>
      </c>
      <c r="BQ4866">
        <f>IF(4853&lt;$U$9,SUMPRODUCT(($D$10:$L$10&lt;&gt;"")*(($D$9:$L$9+INT(($S$12:$AA$12+INDEX($AJ$13:$AR$162,BN4866,0)+INDEX($AT$13:$BB$162,BO4866,0)+INDEX($BD$13:$BL$162,BP4866,0))/100))&gt;=$D$10:$L$10)),0)</f>
        <v/>
      </c>
      <c r="BR4866">
        <f>IF(4853&lt;$U$9,SUMPRODUCT(($D$10:$L$10&lt;&gt;"")*(($D$10:$L$10-($D$9:$L$9+INT(($S$12:$AA$12+INDEX($AJ$13:$AR$162,BN4866,0)+INDEX($AT$13:$BB$162,BO4866,0)+INDEX($BD$13:$BL$162,BP4866,0))/100)))&gt;0)*($D$10:$L$10-($D$9:$L$9+INT(($S$12:$AA$12+INDEX($AJ$13:$AR$162,BN4866,0)+INDEX($AT$13:$BB$162,BO4866,0)+INDEX($BD$13:$BL$162,BP4866,0))/100)))),0)</f>
        <v/>
      </c>
      <c r="BS4866">
        <f>IF(4853&lt;$U$9,SUMPRODUCT(($D$9:$L$9+INT(($S$12:$AA$12+INDEX($AJ$13:$AR$162,BN4866,0)+INDEX($AT$13:$BB$162,BO4866,0)+INDEX($BD$13:$BL$162,BP4866,0))/100))),0)</f>
        <v/>
      </c>
      <c r="BT4866">
        <f>IF(AND(4853&lt;$U$9,$W$5),BQ4866*1000000-MIN(BR4866,999)*1000+BS4866-4853/100000,-1000000000-4853)</f>
        <v/>
      </c>
    </row>
    <row r="4867">
      <c r="BN4867">
        <f>IF(4854&lt;$U$9,INT(4854/($U$7*$U$8))+1,1)</f>
        <v/>
      </c>
      <c r="BO4867">
        <f>IF(4854&lt;$U$9,MOD(INT(4854/$U$8),$U$7)+1,1)</f>
        <v/>
      </c>
      <c r="BP4867">
        <f>IF(4854&lt;$U$9,MOD(4854,$U$8)+1,1)</f>
        <v/>
      </c>
      <c r="BQ4867">
        <f>IF(4854&lt;$U$9,SUMPRODUCT(($D$10:$L$10&lt;&gt;"")*(($D$9:$L$9+INT(($S$12:$AA$12+INDEX($AJ$13:$AR$162,BN4867,0)+INDEX($AT$13:$BB$162,BO4867,0)+INDEX($BD$13:$BL$162,BP4867,0))/100))&gt;=$D$10:$L$10)),0)</f>
        <v/>
      </c>
      <c r="BR4867">
        <f>IF(4854&lt;$U$9,SUMPRODUCT(($D$10:$L$10&lt;&gt;"")*(($D$10:$L$10-($D$9:$L$9+INT(($S$12:$AA$12+INDEX($AJ$13:$AR$162,BN4867,0)+INDEX($AT$13:$BB$162,BO4867,0)+INDEX($BD$13:$BL$162,BP4867,0))/100)))&gt;0)*($D$10:$L$10-($D$9:$L$9+INT(($S$12:$AA$12+INDEX($AJ$13:$AR$162,BN4867,0)+INDEX($AT$13:$BB$162,BO4867,0)+INDEX($BD$13:$BL$162,BP4867,0))/100)))),0)</f>
        <v/>
      </c>
      <c r="BS4867">
        <f>IF(4854&lt;$U$9,SUMPRODUCT(($D$9:$L$9+INT(($S$12:$AA$12+INDEX($AJ$13:$AR$162,BN4867,0)+INDEX($AT$13:$BB$162,BO4867,0)+INDEX($BD$13:$BL$162,BP4867,0))/100))),0)</f>
        <v/>
      </c>
      <c r="BT4867">
        <f>IF(AND(4854&lt;$U$9,$W$5),BQ4867*1000000-MIN(BR4867,999)*1000+BS4867-4854/100000,-1000000000-4854)</f>
        <v/>
      </c>
    </row>
    <row r="4868">
      <c r="BN4868">
        <f>IF(4855&lt;$U$9,INT(4855/($U$7*$U$8))+1,1)</f>
        <v/>
      </c>
      <c r="BO4868">
        <f>IF(4855&lt;$U$9,MOD(INT(4855/$U$8),$U$7)+1,1)</f>
        <v/>
      </c>
      <c r="BP4868">
        <f>IF(4855&lt;$U$9,MOD(4855,$U$8)+1,1)</f>
        <v/>
      </c>
      <c r="BQ4868">
        <f>IF(4855&lt;$U$9,SUMPRODUCT(($D$10:$L$10&lt;&gt;"")*(($D$9:$L$9+INT(($S$12:$AA$12+INDEX($AJ$13:$AR$162,BN4868,0)+INDEX($AT$13:$BB$162,BO4868,0)+INDEX($BD$13:$BL$162,BP4868,0))/100))&gt;=$D$10:$L$10)),0)</f>
        <v/>
      </c>
      <c r="BR4868">
        <f>IF(4855&lt;$U$9,SUMPRODUCT(($D$10:$L$10&lt;&gt;"")*(($D$10:$L$10-($D$9:$L$9+INT(($S$12:$AA$12+INDEX($AJ$13:$AR$162,BN4868,0)+INDEX($AT$13:$BB$162,BO4868,0)+INDEX($BD$13:$BL$162,BP4868,0))/100)))&gt;0)*($D$10:$L$10-($D$9:$L$9+INT(($S$12:$AA$12+INDEX($AJ$13:$AR$162,BN4868,0)+INDEX($AT$13:$BB$162,BO4868,0)+INDEX($BD$13:$BL$162,BP4868,0))/100)))),0)</f>
        <v/>
      </c>
      <c r="BS4868">
        <f>IF(4855&lt;$U$9,SUMPRODUCT(($D$9:$L$9+INT(($S$12:$AA$12+INDEX($AJ$13:$AR$162,BN4868,0)+INDEX($AT$13:$BB$162,BO4868,0)+INDEX($BD$13:$BL$162,BP4868,0))/100))),0)</f>
        <v/>
      </c>
      <c r="BT4868">
        <f>IF(AND(4855&lt;$U$9,$W$5),BQ4868*1000000-MIN(BR4868,999)*1000+BS4868-4855/100000,-1000000000-4855)</f>
        <v/>
      </c>
    </row>
    <row r="4869">
      <c r="BN4869">
        <f>IF(4856&lt;$U$9,INT(4856/($U$7*$U$8))+1,1)</f>
        <v/>
      </c>
      <c r="BO4869">
        <f>IF(4856&lt;$U$9,MOD(INT(4856/$U$8),$U$7)+1,1)</f>
        <v/>
      </c>
      <c r="BP4869">
        <f>IF(4856&lt;$U$9,MOD(4856,$U$8)+1,1)</f>
        <v/>
      </c>
      <c r="BQ4869">
        <f>IF(4856&lt;$U$9,SUMPRODUCT(($D$10:$L$10&lt;&gt;"")*(($D$9:$L$9+INT(($S$12:$AA$12+INDEX($AJ$13:$AR$162,BN4869,0)+INDEX($AT$13:$BB$162,BO4869,0)+INDEX($BD$13:$BL$162,BP4869,0))/100))&gt;=$D$10:$L$10)),0)</f>
        <v/>
      </c>
      <c r="BR4869">
        <f>IF(4856&lt;$U$9,SUMPRODUCT(($D$10:$L$10&lt;&gt;"")*(($D$10:$L$10-($D$9:$L$9+INT(($S$12:$AA$12+INDEX($AJ$13:$AR$162,BN4869,0)+INDEX($AT$13:$BB$162,BO4869,0)+INDEX($BD$13:$BL$162,BP4869,0))/100)))&gt;0)*($D$10:$L$10-($D$9:$L$9+INT(($S$12:$AA$12+INDEX($AJ$13:$AR$162,BN4869,0)+INDEX($AT$13:$BB$162,BO4869,0)+INDEX($BD$13:$BL$162,BP4869,0))/100)))),0)</f>
        <v/>
      </c>
      <c r="BS4869">
        <f>IF(4856&lt;$U$9,SUMPRODUCT(($D$9:$L$9+INT(($S$12:$AA$12+INDEX($AJ$13:$AR$162,BN4869,0)+INDEX($AT$13:$BB$162,BO4869,0)+INDEX($BD$13:$BL$162,BP4869,0))/100))),0)</f>
        <v/>
      </c>
      <c r="BT4869">
        <f>IF(AND(4856&lt;$U$9,$W$5),BQ4869*1000000-MIN(BR4869,999)*1000+BS4869-4856/100000,-1000000000-4856)</f>
        <v/>
      </c>
    </row>
    <row r="4870">
      <c r="BN4870">
        <f>IF(4857&lt;$U$9,INT(4857/($U$7*$U$8))+1,1)</f>
        <v/>
      </c>
      <c r="BO4870">
        <f>IF(4857&lt;$U$9,MOD(INT(4857/$U$8),$U$7)+1,1)</f>
        <v/>
      </c>
      <c r="BP4870">
        <f>IF(4857&lt;$U$9,MOD(4857,$U$8)+1,1)</f>
        <v/>
      </c>
      <c r="BQ4870">
        <f>IF(4857&lt;$U$9,SUMPRODUCT(($D$10:$L$10&lt;&gt;"")*(($D$9:$L$9+INT(($S$12:$AA$12+INDEX($AJ$13:$AR$162,BN4870,0)+INDEX($AT$13:$BB$162,BO4870,0)+INDEX($BD$13:$BL$162,BP4870,0))/100))&gt;=$D$10:$L$10)),0)</f>
        <v/>
      </c>
      <c r="BR4870">
        <f>IF(4857&lt;$U$9,SUMPRODUCT(($D$10:$L$10&lt;&gt;"")*(($D$10:$L$10-($D$9:$L$9+INT(($S$12:$AA$12+INDEX($AJ$13:$AR$162,BN4870,0)+INDEX($AT$13:$BB$162,BO4870,0)+INDEX($BD$13:$BL$162,BP4870,0))/100)))&gt;0)*($D$10:$L$10-($D$9:$L$9+INT(($S$12:$AA$12+INDEX($AJ$13:$AR$162,BN4870,0)+INDEX($AT$13:$BB$162,BO4870,0)+INDEX($BD$13:$BL$162,BP4870,0))/100)))),0)</f>
        <v/>
      </c>
      <c r="BS4870">
        <f>IF(4857&lt;$U$9,SUMPRODUCT(($D$9:$L$9+INT(($S$12:$AA$12+INDEX($AJ$13:$AR$162,BN4870,0)+INDEX($AT$13:$BB$162,BO4870,0)+INDEX($BD$13:$BL$162,BP4870,0))/100))),0)</f>
        <v/>
      </c>
      <c r="BT4870">
        <f>IF(AND(4857&lt;$U$9,$W$5),BQ4870*1000000-MIN(BR4870,999)*1000+BS4870-4857/100000,-1000000000-4857)</f>
        <v/>
      </c>
    </row>
    <row r="4871">
      <c r="BN4871">
        <f>IF(4858&lt;$U$9,INT(4858/($U$7*$U$8))+1,1)</f>
        <v/>
      </c>
      <c r="BO4871">
        <f>IF(4858&lt;$U$9,MOD(INT(4858/$U$8),$U$7)+1,1)</f>
        <v/>
      </c>
      <c r="BP4871">
        <f>IF(4858&lt;$U$9,MOD(4858,$U$8)+1,1)</f>
        <v/>
      </c>
      <c r="BQ4871">
        <f>IF(4858&lt;$U$9,SUMPRODUCT(($D$10:$L$10&lt;&gt;"")*(($D$9:$L$9+INT(($S$12:$AA$12+INDEX($AJ$13:$AR$162,BN4871,0)+INDEX($AT$13:$BB$162,BO4871,0)+INDEX($BD$13:$BL$162,BP4871,0))/100))&gt;=$D$10:$L$10)),0)</f>
        <v/>
      </c>
      <c r="BR4871">
        <f>IF(4858&lt;$U$9,SUMPRODUCT(($D$10:$L$10&lt;&gt;"")*(($D$10:$L$10-($D$9:$L$9+INT(($S$12:$AA$12+INDEX($AJ$13:$AR$162,BN4871,0)+INDEX($AT$13:$BB$162,BO4871,0)+INDEX($BD$13:$BL$162,BP4871,0))/100)))&gt;0)*($D$10:$L$10-($D$9:$L$9+INT(($S$12:$AA$12+INDEX($AJ$13:$AR$162,BN4871,0)+INDEX($AT$13:$BB$162,BO4871,0)+INDEX($BD$13:$BL$162,BP4871,0))/100)))),0)</f>
        <v/>
      </c>
      <c r="BS4871">
        <f>IF(4858&lt;$U$9,SUMPRODUCT(($D$9:$L$9+INT(($S$12:$AA$12+INDEX($AJ$13:$AR$162,BN4871,0)+INDEX($AT$13:$BB$162,BO4871,0)+INDEX($BD$13:$BL$162,BP4871,0))/100))),0)</f>
        <v/>
      </c>
      <c r="BT4871">
        <f>IF(AND(4858&lt;$U$9,$W$5),BQ4871*1000000-MIN(BR4871,999)*1000+BS4871-4858/100000,-1000000000-4858)</f>
        <v/>
      </c>
    </row>
    <row r="4872">
      <c r="BN4872">
        <f>IF(4859&lt;$U$9,INT(4859/($U$7*$U$8))+1,1)</f>
        <v/>
      </c>
      <c r="BO4872">
        <f>IF(4859&lt;$U$9,MOD(INT(4859/$U$8),$U$7)+1,1)</f>
        <v/>
      </c>
      <c r="BP4872">
        <f>IF(4859&lt;$U$9,MOD(4859,$U$8)+1,1)</f>
        <v/>
      </c>
      <c r="BQ4872">
        <f>IF(4859&lt;$U$9,SUMPRODUCT(($D$10:$L$10&lt;&gt;"")*(($D$9:$L$9+INT(($S$12:$AA$12+INDEX($AJ$13:$AR$162,BN4872,0)+INDEX($AT$13:$BB$162,BO4872,0)+INDEX($BD$13:$BL$162,BP4872,0))/100))&gt;=$D$10:$L$10)),0)</f>
        <v/>
      </c>
      <c r="BR4872">
        <f>IF(4859&lt;$U$9,SUMPRODUCT(($D$10:$L$10&lt;&gt;"")*(($D$10:$L$10-($D$9:$L$9+INT(($S$12:$AA$12+INDEX($AJ$13:$AR$162,BN4872,0)+INDEX($AT$13:$BB$162,BO4872,0)+INDEX($BD$13:$BL$162,BP4872,0))/100)))&gt;0)*($D$10:$L$10-($D$9:$L$9+INT(($S$12:$AA$12+INDEX($AJ$13:$AR$162,BN4872,0)+INDEX($AT$13:$BB$162,BO4872,0)+INDEX($BD$13:$BL$162,BP4872,0))/100)))),0)</f>
        <v/>
      </c>
      <c r="BS4872">
        <f>IF(4859&lt;$U$9,SUMPRODUCT(($D$9:$L$9+INT(($S$12:$AA$12+INDEX($AJ$13:$AR$162,BN4872,0)+INDEX($AT$13:$BB$162,BO4872,0)+INDEX($BD$13:$BL$162,BP4872,0))/100))),0)</f>
        <v/>
      </c>
      <c r="BT4872">
        <f>IF(AND(4859&lt;$U$9,$W$5),BQ4872*1000000-MIN(BR4872,999)*1000+BS4872-4859/100000,-1000000000-4859)</f>
        <v/>
      </c>
    </row>
    <row r="4873">
      <c r="BN4873">
        <f>IF(4860&lt;$U$9,INT(4860/($U$7*$U$8))+1,1)</f>
        <v/>
      </c>
      <c r="BO4873">
        <f>IF(4860&lt;$U$9,MOD(INT(4860/$U$8),$U$7)+1,1)</f>
        <v/>
      </c>
      <c r="BP4873">
        <f>IF(4860&lt;$U$9,MOD(4860,$U$8)+1,1)</f>
        <v/>
      </c>
      <c r="BQ4873">
        <f>IF(4860&lt;$U$9,SUMPRODUCT(($D$10:$L$10&lt;&gt;"")*(($D$9:$L$9+INT(($S$12:$AA$12+INDEX($AJ$13:$AR$162,BN4873,0)+INDEX($AT$13:$BB$162,BO4873,0)+INDEX($BD$13:$BL$162,BP4873,0))/100))&gt;=$D$10:$L$10)),0)</f>
        <v/>
      </c>
      <c r="BR4873">
        <f>IF(4860&lt;$U$9,SUMPRODUCT(($D$10:$L$10&lt;&gt;"")*(($D$10:$L$10-($D$9:$L$9+INT(($S$12:$AA$12+INDEX($AJ$13:$AR$162,BN4873,0)+INDEX($AT$13:$BB$162,BO4873,0)+INDEX($BD$13:$BL$162,BP4873,0))/100)))&gt;0)*($D$10:$L$10-($D$9:$L$9+INT(($S$12:$AA$12+INDEX($AJ$13:$AR$162,BN4873,0)+INDEX($AT$13:$BB$162,BO4873,0)+INDEX($BD$13:$BL$162,BP4873,0))/100)))),0)</f>
        <v/>
      </c>
      <c r="BS4873">
        <f>IF(4860&lt;$U$9,SUMPRODUCT(($D$9:$L$9+INT(($S$12:$AA$12+INDEX($AJ$13:$AR$162,BN4873,0)+INDEX($AT$13:$BB$162,BO4873,0)+INDEX($BD$13:$BL$162,BP4873,0))/100))),0)</f>
        <v/>
      </c>
      <c r="BT4873">
        <f>IF(AND(4860&lt;$U$9,$W$5),BQ4873*1000000-MIN(BR4873,999)*1000+BS4873-4860/100000,-1000000000-4860)</f>
        <v/>
      </c>
    </row>
    <row r="4874">
      <c r="BN4874">
        <f>IF(4861&lt;$U$9,INT(4861/($U$7*$U$8))+1,1)</f>
        <v/>
      </c>
      <c r="BO4874">
        <f>IF(4861&lt;$U$9,MOD(INT(4861/$U$8),$U$7)+1,1)</f>
        <v/>
      </c>
      <c r="BP4874">
        <f>IF(4861&lt;$U$9,MOD(4861,$U$8)+1,1)</f>
        <v/>
      </c>
      <c r="BQ4874">
        <f>IF(4861&lt;$U$9,SUMPRODUCT(($D$10:$L$10&lt;&gt;"")*(($D$9:$L$9+INT(($S$12:$AA$12+INDEX($AJ$13:$AR$162,BN4874,0)+INDEX($AT$13:$BB$162,BO4874,0)+INDEX($BD$13:$BL$162,BP4874,0))/100))&gt;=$D$10:$L$10)),0)</f>
        <v/>
      </c>
      <c r="BR4874">
        <f>IF(4861&lt;$U$9,SUMPRODUCT(($D$10:$L$10&lt;&gt;"")*(($D$10:$L$10-($D$9:$L$9+INT(($S$12:$AA$12+INDEX($AJ$13:$AR$162,BN4874,0)+INDEX($AT$13:$BB$162,BO4874,0)+INDEX($BD$13:$BL$162,BP4874,0))/100)))&gt;0)*($D$10:$L$10-($D$9:$L$9+INT(($S$12:$AA$12+INDEX($AJ$13:$AR$162,BN4874,0)+INDEX($AT$13:$BB$162,BO4874,0)+INDEX($BD$13:$BL$162,BP4874,0))/100)))),0)</f>
        <v/>
      </c>
      <c r="BS4874">
        <f>IF(4861&lt;$U$9,SUMPRODUCT(($D$9:$L$9+INT(($S$12:$AA$12+INDEX($AJ$13:$AR$162,BN4874,0)+INDEX($AT$13:$BB$162,BO4874,0)+INDEX($BD$13:$BL$162,BP4874,0))/100))),0)</f>
        <v/>
      </c>
      <c r="BT4874">
        <f>IF(AND(4861&lt;$U$9,$W$5),BQ4874*1000000-MIN(BR4874,999)*1000+BS4874-4861/100000,-1000000000-4861)</f>
        <v/>
      </c>
    </row>
    <row r="4875">
      <c r="BN4875">
        <f>IF(4862&lt;$U$9,INT(4862/($U$7*$U$8))+1,1)</f>
        <v/>
      </c>
      <c r="BO4875">
        <f>IF(4862&lt;$U$9,MOD(INT(4862/$U$8),$U$7)+1,1)</f>
        <v/>
      </c>
      <c r="BP4875">
        <f>IF(4862&lt;$U$9,MOD(4862,$U$8)+1,1)</f>
        <v/>
      </c>
      <c r="BQ4875">
        <f>IF(4862&lt;$U$9,SUMPRODUCT(($D$10:$L$10&lt;&gt;"")*(($D$9:$L$9+INT(($S$12:$AA$12+INDEX($AJ$13:$AR$162,BN4875,0)+INDEX($AT$13:$BB$162,BO4875,0)+INDEX($BD$13:$BL$162,BP4875,0))/100))&gt;=$D$10:$L$10)),0)</f>
        <v/>
      </c>
      <c r="BR4875">
        <f>IF(4862&lt;$U$9,SUMPRODUCT(($D$10:$L$10&lt;&gt;"")*(($D$10:$L$10-($D$9:$L$9+INT(($S$12:$AA$12+INDEX($AJ$13:$AR$162,BN4875,0)+INDEX($AT$13:$BB$162,BO4875,0)+INDEX($BD$13:$BL$162,BP4875,0))/100)))&gt;0)*($D$10:$L$10-($D$9:$L$9+INT(($S$12:$AA$12+INDEX($AJ$13:$AR$162,BN4875,0)+INDEX($AT$13:$BB$162,BO4875,0)+INDEX($BD$13:$BL$162,BP4875,0))/100)))),0)</f>
        <v/>
      </c>
      <c r="BS4875">
        <f>IF(4862&lt;$U$9,SUMPRODUCT(($D$9:$L$9+INT(($S$12:$AA$12+INDEX($AJ$13:$AR$162,BN4875,0)+INDEX($AT$13:$BB$162,BO4875,0)+INDEX($BD$13:$BL$162,BP4875,0))/100))),0)</f>
        <v/>
      </c>
      <c r="BT4875">
        <f>IF(AND(4862&lt;$U$9,$W$5),BQ4875*1000000-MIN(BR4875,999)*1000+BS4875-4862/100000,-1000000000-4862)</f>
        <v/>
      </c>
    </row>
    <row r="4876">
      <c r="BN4876">
        <f>IF(4863&lt;$U$9,INT(4863/($U$7*$U$8))+1,1)</f>
        <v/>
      </c>
      <c r="BO4876">
        <f>IF(4863&lt;$U$9,MOD(INT(4863/$U$8),$U$7)+1,1)</f>
        <v/>
      </c>
      <c r="BP4876">
        <f>IF(4863&lt;$U$9,MOD(4863,$U$8)+1,1)</f>
        <v/>
      </c>
      <c r="BQ4876">
        <f>IF(4863&lt;$U$9,SUMPRODUCT(($D$10:$L$10&lt;&gt;"")*(($D$9:$L$9+INT(($S$12:$AA$12+INDEX($AJ$13:$AR$162,BN4876,0)+INDEX($AT$13:$BB$162,BO4876,0)+INDEX($BD$13:$BL$162,BP4876,0))/100))&gt;=$D$10:$L$10)),0)</f>
        <v/>
      </c>
      <c r="BR4876">
        <f>IF(4863&lt;$U$9,SUMPRODUCT(($D$10:$L$10&lt;&gt;"")*(($D$10:$L$10-($D$9:$L$9+INT(($S$12:$AA$12+INDEX($AJ$13:$AR$162,BN4876,0)+INDEX($AT$13:$BB$162,BO4876,0)+INDEX($BD$13:$BL$162,BP4876,0))/100)))&gt;0)*($D$10:$L$10-($D$9:$L$9+INT(($S$12:$AA$12+INDEX($AJ$13:$AR$162,BN4876,0)+INDEX($AT$13:$BB$162,BO4876,0)+INDEX($BD$13:$BL$162,BP4876,0))/100)))),0)</f>
        <v/>
      </c>
      <c r="BS4876">
        <f>IF(4863&lt;$U$9,SUMPRODUCT(($D$9:$L$9+INT(($S$12:$AA$12+INDEX($AJ$13:$AR$162,BN4876,0)+INDEX($AT$13:$BB$162,BO4876,0)+INDEX($BD$13:$BL$162,BP4876,0))/100))),0)</f>
        <v/>
      </c>
      <c r="BT4876">
        <f>IF(AND(4863&lt;$U$9,$W$5),BQ4876*1000000-MIN(BR4876,999)*1000+BS4876-4863/100000,-1000000000-4863)</f>
        <v/>
      </c>
    </row>
    <row r="4877">
      <c r="BN4877">
        <f>IF(4864&lt;$U$9,INT(4864/($U$7*$U$8))+1,1)</f>
        <v/>
      </c>
      <c r="BO4877">
        <f>IF(4864&lt;$U$9,MOD(INT(4864/$U$8),$U$7)+1,1)</f>
        <v/>
      </c>
      <c r="BP4877">
        <f>IF(4864&lt;$U$9,MOD(4864,$U$8)+1,1)</f>
        <v/>
      </c>
      <c r="BQ4877">
        <f>IF(4864&lt;$U$9,SUMPRODUCT(($D$10:$L$10&lt;&gt;"")*(($D$9:$L$9+INT(($S$12:$AA$12+INDEX($AJ$13:$AR$162,BN4877,0)+INDEX($AT$13:$BB$162,BO4877,0)+INDEX($BD$13:$BL$162,BP4877,0))/100))&gt;=$D$10:$L$10)),0)</f>
        <v/>
      </c>
      <c r="BR4877">
        <f>IF(4864&lt;$U$9,SUMPRODUCT(($D$10:$L$10&lt;&gt;"")*(($D$10:$L$10-($D$9:$L$9+INT(($S$12:$AA$12+INDEX($AJ$13:$AR$162,BN4877,0)+INDEX($AT$13:$BB$162,BO4877,0)+INDEX($BD$13:$BL$162,BP4877,0))/100)))&gt;0)*($D$10:$L$10-($D$9:$L$9+INT(($S$12:$AA$12+INDEX($AJ$13:$AR$162,BN4877,0)+INDEX($AT$13:$BB$162,BO4877,0)+INDEX($BD$13:$BL$162,BP4877,0))/100)))),0)</f>
        <v/>
      </c>
      <c r="BS4877">
        <f>IF(4864&lt;$U$9,SUMPRODUCT(($D$9:$L$9+INT(($S$12:$AA$12+INDEX($AJ$13:$AR$162,BN4877,0)+INDEX($AT$13:$BB$162,BO4877,0)+INDEX($BD$13:$BL$162,BP4877,0))/100))),0)</f>
        <v/>
      </c>
      <c r="BT4877">
        <f>IF(AND(4864&lt;$U$9,$W$5),BQ4877*1000000-MIN(BR4877,999)*1000+BS4877-4864/100000,-1000000000-4864)</f>
        <v/>
      </c>
    </row>
    <row r="4878">
      <c r="BN4878">
        <f>IF(4865&lt;$U$9,INT(4865/($U$7*$U$8))+1,1)</f>
        <v/>
      </c>
      <c r="BO4878">
        <f>IF(4865&lt;$U$9,MOD(INT(4865/$U$8),$U$7)+1,1)</f>
        <v/>
      </c>
      <c r="BP4878">
        <f>IF(4865&lt;$U$9,MOD(4865,$U$8)+1,1)</f>
        <v/>
      </c>
      <c r="BQ4878">
        <f>IF(4865&lt;$U$9,SUMPRODUCT(($D$10:$L$10&lt;&gt;"")*(($D$9:$L$9+INT(($S$12:$AA$12+INDEX($AJ$13:$AR$162,BN4878,0)+INDEX($AT$13:$BB$162,BO4878,0)+INDEX($BD$13:$BL$162,BP4878,0))/100))&gt;=$D$10:$L$10)),0)</f>
        <v/>
      </c>
      <c r="BR4878">
        <f>IF(4865&lt;$U$9,SUMPRODUCT(($D$10:$L$10&lt;&gt;"")*(($D$10:$L$10-($D$9:$L$9+INT(($S$12:$AA$12+INDEX($AJ$13:$AR$162,BN4878,0)+INDEX($AT$13:$BB$162,BO4878,0)+INDEX($BD$13:$BL$162,BP4878,0))/100)))&gt;0)*($D$10:$L$10-($D$9:$L$9+INT(($S$12:$AA$12+INDEX($AJ$13:$AR$162,BN4878,0)+INDEX($AT$13:$BB$162,BO4878,0)+INDEX($BD$13:$BL$162,BP4878,0))/100)))),0)</f>
        <v/>
      </c>
      <c r="BS4878">
        <f>IF(4865&lt;$U$9,SUMPRODUCT(($D$9:$L$9+INT(($S$12:$AA$12+INDEX($AJ$13:$AR$162,BN4878,0)+INDEX($AT$13:$BB$162,BO4878,0)+INDEX($BD$13:$BL$162,BP4878,0))/100))),0)</f>
        <v/>
      </c>
      <c r="BT4878">
        <f>IF(AND(4865&lt;$U$9,$W$5),BQ4878*1000000-MIN(BR4878,999)*1000+BS4878-4865/100000,-1000000000-4865)</f>
        <v/>
      </c>
    </row>
    <row r="4879">
      <c r="BN4879">
        <f>IF(4866&lt;$U$9,INT(4866/($U$7*$U$8))+1,1)</f>
        <v/>
      </c>
      <c r="BO4879">
        <f>IF(4866&lt;$U$9,MOD(INT(4866/$U$8),$U$7)+1,1)</f>
        <v/>
      </c>
      <c r="BP4879">
        <f>IF(4866&lt;$U$9,MOD(4866,$U$8)+1,1)</f>
        <v/>
      </c>
      <c r="BQ4879">
        <f>IF(4866&lt;$U$9,SUMPRODUCT(($D$10:$L$10&lt;&gt;"")*(($D$9:$L$9+INT(($S$12:$AA$12+INDEX($AJ$13:$AR$162,BN4879,0)+INDEX($AT$13:$BB$162,BO4879,0)+INDEX($BD$13:$BL$162,BP4879,0))/100))&gt;=$D$10:$L$10)),0)</f>
        <v/>
      </c>
      <c r="BR4879">
        <f>IF(4866&lt;$U$9,SUMPRODUCT(($D$10:$L$10&lt;&gt;"")*(($D$10:$L$10-($D$9:$L$9+INT(($S$12:$AA$12+INDEX($AJ$13:$AR$162,BN4879,0)+INDEX($AT$13:$BB$162,BO4879,0)+INDEX($BD$13:$BL$162,BP4879,0))/100)))&gt;0)*($D$10:$L$10-($D$9:$L$9+INT(($S$12:$AA$12+INDEX($AJ$13:$AR$162,BN4879,0)+INDEX($AT$13:$BB$162,BO4879,0)+INDEX($BD$13:$BL$162,BP4879,0))/100)))),0)</f>
        <v/>
      </c>
      <c r="BS4879">
        <f>IF(4866&lt;$U$9,SUMPRODUCT(($D$9:$L$9+INT(($S$12:$AA$12+INDEX($AJ$13:$AR$162,BN4879,0)+INDEX($AT$13:$BB$162,BO4879,0)+INDEX($BD$13:$BL$162,BP4879,0))/100))),0)</f>
        <v/>
      </c>
      <c r="BT4879">
        <f>IF(AND(4866&lt;$U$9,$W$5),BQ4879*1000000-MIN(BR4879,999)*1000+BS4879-4866/100000,-1000000000-4866)</f>
        <v/>
      </c>
    </row>
    <row r="4880">
      <c r="BN4880">
        <f>IF(4867&lt;$U$9,INT(4867/($U$7*$U$8))+1,1)</f>
        <v/>
      </c>
      <c r="BO4880">
        <f>IF(4867&lt;$U$9,MOD(INT(4867/$U$8),$U$7)+1,1)</f>
        <v/>
      </c>
      <c r="BP4880">
        <f>IF(4867&lt;$U$9,MOD(4867,$U$8)+1,1)</f>
        <v/>
      </c>
      <c r="BQ4880">
        <f>IF(4867&lt;$U$9,SUMPRODUCT(($D$10:$L$10&lt;&gt;"")*(($D$9:$L$9+INT(($S$12:$AA$12+INDEX($AJ$13:$AR$162,BN4880,0)+INDEX($AT$13:$BB$162,BO4880,0)+INDEX($BD$13:$BL$162,BP4880,0))/100))&gt;=$D$10:$L$10)),0)</f>
        <v/>
      </c>
      <c r="BR4880">
        <f>IF(4867&lt;$U$9,SUMPRODUCT(($D$10:$L$10&lt;&gt;"")*(($D$10:$L$10-($D$9:$L$9+INT(($S$12:$AA$12+INDEX($AJ$13:$AR$162,BN4880,0)+INDEX($AT$13:$BB$162,BO4880,0)+INDEX($BD$13:$BL$162,BP4880,0))/100)))&gt;0)*($D$10:$L$10-($D$9:$L$9+INT(($S$12:$AA$12+INDEX($AJ$13:$AR$162,BN4880,0)+INDEX($AT$13:$BB$162,BO4880,0)+INDEX($BD$13:$BL$162,BP4880,0))/100)))),0)</f>
        <v/>
      </c>
      <c r="BS4880">
        <f>IF(4867&lt;$U$9,SUMPRODUCT(($D$9:$L$9+INT(($S$12:$AA$12+INDEX($AJ$13:$AR$162,BN4880,0)+INDEX($AT$13:$BB$162,BO4880,0)+INDEX($BD$13:$BL$162,BP4880,0))/100))),0)</f>
        <v/>
      </c>
      <c r="BT4880">
        <f>IF(AND(4867&lt;$U$9,$W$5),BQ4880*1000000-MIN(BR4880,999)*1000+BS4880-4867/100000,-1000000000-4867)</f>
        <v/>
      </c>
    </row>
    <row r="4881">
      <c r="BN4881">
        <f>IF(4868&lt;$U$9,INT(4868/($U$7*$U$8))+1,1)</f>
        <v/>
      </c>
      <c r="BO4881">
        <f>IF(4868&lt;$U$9,MOD(INT(4868/$U$8),$U$7)+1,1)</f>
        <v/>
      </c>
      <c r="BP4881">
        <f>IF(4868&lt;$U$9,MOD(4868,$U$8)+1,1)</f>
        <v/>
      </c>
      <c r="BQ4881">
        <f>IF(4868&lt;$U$9,SUMPRODUCT(($D$10:$L$10&lt;&gt;"")*(($D$9:$L$9+INT(($S$12:$AA$12+INDEX($AJ$13:$AR$162,BN4881,0)+INDEX($AT$13:$BB$162,BO4881,0)+INDEX($BD$13:$BL$162,BP4881,0))/100))&gt;=$D$10:$L$10)),0)</f>
        <v/>
      </c>
      <c r="BR4881">
        <f>IF(4868&lt;$U$9,SUMPRODUCT(($D$10:$L$10&lt;&gt;"")*(($D$10:$L$10-($D$9:$L$9+INT(($S$12:$AA$12+INDEX($AJ$13:$AR$162,BN4881,0)+INDEX($AT$13:$BB$162,BO4881,0)+INDEX($BD$13:$BL$162,BP4881,0))/100)))&gt;0)*($D$10:$L$10-($D$9:$L$9+INT(($S$12:$AA$12+INDEX($AJ$13:$AR$162,BN4881,0)+INDEX($AT$13:$BB$162,BO4881,0)+INDEX($BD$13:$BL$162,BP4881,0))/100)))),0)</f>
        <v/>
      </c>
      <c r="BS4881">
        <f>IF(4868&lt;$U$9,SUMPRODUCT(($D$9:$L$9+INT(($S$12:$AA$12+INDEX($AJ$13:$AR$162,BN4881,0)+INDEX($AT$13:$BB$162,BO4881,0)+INDEX($BD$13:$BL$162,BP4881,0))/100))),0)</f>
        <v/>
      </c>
      <c r="BT4881">
        <f>IF(AND(4868&lt;$U$9,$W$5),BQ4881*1000000-MIN(BR4881,999)*1000+BS4881-4868/100000,-1000000000-4868)</f>
        <v/>
      </c>
    </row>
    <row r="4882">
      <c r="BN4882">
        <f>IF(4869&lt;$U$9,INT(4869/($U$7*$U$8))+1,1)</f>
        <v/>
      </c>
      <c r="BO4882">
        <f>IF(4869&lt;$U$9,MOD(INT(4869/$U$8),$U$7)+1,1)</f>
        <v/>
      </c>
      <c r="BP4882">
        <f>IF(4869&lt;$U$9,MOD(4869,$U$8)+1,1)</f>
        <v/>
      </c>
      <c r="BQ4882">
        <f>IF(4869&lt;$U$9,SUMPRODUCT(($D$10:$L$10&lt;&gt;"")*(($D$9:$L$9+INT(($S$12:$AA$12+INDEX($AJ$13:$AR$162,BN4882,0)+INDEX($AT$13:$BB$162,BO4882,0)+INDEX($BD$13:$BL$162,BP4882,0))/100))&gt;=$D$10:$L$10)),0)</f>
        <v/>
      </c>
      <c r="BR4882">
        <f>IF(4869&lt;$U$9,SUMPRODUCT(($D$10:$L$10&lt;&gt;"")*(($D$10:$L$10-($D$9:$L$9+INT(($S$12:$AA$12+INDEX($AJ$13:$AR$162,BN4882,0)+INDEX($AT$13:$BB$162,BO4882,0)+INDEX($BD$13:$BL$162,BP4882,0))/100)))&gt;0)*($D$10:$L$10-($D$9:$L$9+INT(($S$12:$AA$12+INDEX($AJ$13:$AR$162,BN4882,0)+INDEX($AT$13:$BB$162,BO4882,0)+INDEX($BD$13:$BL$162,BP4882,0))/100)))),0)</f>
        <v/>
      </c>
      <c r="BS4882">
        <f>IF(4869&lt;$U$9,SUMPRODUCT(($D$9:$L$9+INT(($S$12:$AA$12+INDEX($AJ$13:$AR$162,BN4882,0)+INDEX($AT$13:$BB$162,BO4882,0)+INDEX($BD$13:$BL$162,BP4882,0))/100))),0)</f>
        <v/>
      </c>
      <c r="BT4882">
        <f>IF(AND(4869&lt;$U$9,$W$5),BQ4882*1000000-MIN(BR4882,999)*1000+BS4882-4869/100000,-1000000000-4869)</f>
        <v/>
      </c>
    </row>
    <row r="4883">
      <c r="BN4883">
        <f>IF(4870&lt;$U$9,INT(4870/($U$7*$U$8))+1,1)</f>
        <v/>
      </c>
      <c r="BO4883">
        <f>IF(4870&lt;$U$9,MOD(INT(4870/$U$8),$U$7)+1,1)</f>
        <v/>
      </c>
      <c r="BP4883">
        <f>IF(4870&lt;$U$9,MOD(4870,$U$8)+1,1)</f>
        <v/>
      </c>
      <c r="BQ4883">
        <f>IF(4870&lt;$U$9,SUMPRODUCT(($D$10:$L$10&lt;&gt;"")*(($D$9:$L$9+INT(($S$12:$AA$12+INDEX($AJ$13:$AR$162,BN4883,0)+INDEX($AT$13:$BB$162,BO4883,0)+INDEX($BD$13:$BL$162,BP4883,0))/100))&gt;=$D$10:$L$10)),0)</f>
        <v/>
      </c>
      <c r="BR4883">
        <f>IF(4870&lt;$U$9,SUMPRODUCT(($D$10:$L$10&lt;&gt;"")*(($D$10:$L$10-($D$9:$L$9+INT(($S$12:$AA$12+INDEX($AJ$13:$AR$162,BN4883,0)+INDEX($AT$13:$BB$162,BO4883,0)+INDEX($BD$13:$BL$162,BP4883,0))/100)))&gt;0)*($D$10:$L$10-($D$9:$L$9+INT(($S$12:$AA$12+INDEX($AJ$13:$AR$162,BN4883,0)+INDEX($AT$13:$BB$162,BO4883,0)+INDEX($BD$13:$BL$162,BP4883,0))/100)))),0)</f>
        <v/>
      </c>
      <c r="BS4883">
        <f>IF(4870&lt;$U$9,SUMPRODUCT(($D$9:$L$9+INT(($S$12:$AA$12+INDEX($AJ$13:$AR$162,BN4883,0)+INDEX($AT$13:$BB$162,BO4883,0)+INDEX($BD$13:$BL$162,BP4883,0))/100))),0)</f>
        <v/>
      </c>
      <c r="BT4883">
        <f>IF(AND(4870&lt;$U$9,$W$5),BQ4883*1000000-MIN(BR4883,999)*1000+BS4883-4870/100000,-1000000000-4870)</f>
        <v/>
      </c>
    </row>
    <row r="4884">
      <c r="BN4884">
        <f>IF(4871&lt;$U$9,INT(4871/($U$7*$U$8))+1,1)</f>
        <v/>
      </c>
      <c r="BO4884">
        <f>IF(4871&lt;$U$9,MOD(INT(4871/$U$8),$U$7)+1,1)</f>
        <v/>
      </c>
      <c r="BP4884">
        <f>IF(4871&lt;$U$9,MOD(4871,$U$8)+1,1)</f>
        <v/>
      </c>
      <c r="BQ4884">
        <f>IF(4871&lt;$U$9,SUMPRODUCT(($D$10:$L$10&lt;&gt;"")*(($D$9:$L$9+INT(($S$12:$AA$12+INDEX($AJ$13:$AR$162,BN4884,0)+INDEX($AT$13:$BB$162,BO4884,0)+INDEX($BD$13:$BL$162,BP4884,0))/100))&gt;=$D$10:$L$10)),0)</f>
        <v/>
      </c>
      <c r="BR4884">
        <f>IF(4871&lt;$U$9,SUMPRODUCT(($D$10:$L$10&lt;&gt;"")*(($D$10:$L$10-($D$9:$L$9+INT(($S$12:$AA$12+INDEX($AJ$13:$AR$162,BN4884,0)+INDEX($AT$13:$BB$162,BO4884,0)+INDEX($BD$13:$BL$162,BP4884,0))/100)))&gt;0)*($D$10:$L$10-($D$9:$L$9+INT(($S$12:$AA$12+INDEX($AJ$13:$AR$162,BN4884,0)+INDEX($AT$13:$BB$162,BO4884,0)+INDEX($BD$13:$BL$162,BP4884,0))/100)))),0)</f>
        <v/>
      </c>
      <c r="BS4884">
        <f>IF(4871&lt;$U$9,SUMPRODUCT(($D$9:$L$9+INT(($S$12:$AA$12+INDEX($AJ$13:$AR$162,BN4884,0)+INDEX($AT$13:$BB$162,BO4884,0)+INDEX($BD$13:$BL$162,BP4884,0))/100))),0)</f>
        <v/>
      </c>
      <c r="BT4884">
        <f>IF(AND(4871&lt;$U$9,$W$5),BQ4884*1000000-MIN(BR4884,999)*1000+BS4884-4871/100000,-1000000000-4871)</f>
        <v/>
      </c>
    </row>
    <row r="4885">
      <c r="BN4885">
        <f>IF(4872&lt;$U$9,INT(4872/($U$7*$U$8))+1,1)</f>
        <v/>
      </c>
      <c r="BO4885">
        <f>IF(4872&lt;$U$9,MOD(INT(4872/$U$8),$U$7)+1,1)</f>
        <v/>
      </c>
      <c r="BP4885">
        <f>IF(4872&lt;$U$9,MOD(4872,$U$8)+1,1)</f>
        <v/>
      </c>
      <c r="BQ4885">
        <f>IF(4872&lt;$U$9,SUMPRODUCT(($D$10:$L$10&lt;&gt;"")*(($D$9:$L$9+INT(($S$12:$AA$12+INDEX($AJ$13:$AR$162,BN4885,0)+INDEX($AT$13:$BB$162,BO4885,0)+INDEX($BD$13:$BL$162,BP4885,0))/100))&gt;=$D$10:$L$10)),0)</f>
        <v/>
      </c>
      <c r="BR4885">
        <f>IF(4872&lt;$U$9,SUMPRODUCT(($D$10:$L$10&lt;&gt;"")*(($D$10:$L$10-($D$9:$L$9+INT(($S$12:$AA$12+INDEX($AJ$13:$AR$162,BN4885,0)+INDEX($AT$13:$BB$162,BO4885,0)+INDEX($BD$13:$BL$162,BP4885,0))/100)))&gt;0)*($D$10:$L$10-($D$9:$L$9+INT(($S$12:$AA$12+INDEX($AJ$13:$AR$162,BN4885,0)+INDEX($AT$13:$BB$162,BO4885,0)+INDEX($BD$13:$BL$162,BP4885,0))/100)))),0)</f>
        <v/>
      </c>
      <c r="BS4885">
        <f>IF(4872&lt;$U$9,SUMPRODUCT(($D$9:$L$9+INT(($S$12:$AA$12+INDEX($AJ$13:$AR$162,BN4885,0)+INDEX($AT$13:$BB$162,BO4885,0)+INDEX($BD$13:$BL$162,BP4885,0))/100))),0)</f>
        <v/>
      </c>
      <c r="BT4885">
        <f>IF(AND(4872&lt;$U$9,$W$5),BQ4885*1000000-MIN(BR4885,999)*1000+BS4885-4872/100000,-1000000000-4872)</f>
        <v/>
      </c>
    </row>
    <row r="4886">
      <c r="BN4886">
        <f>IF(4873&lt;$U$9,INT(4873/($U$7*$U$8))+1,1)</f>
        <v/>
      </c>
      <c r="BO4886">
        <f>IF(4873&lt;$U$9,MOD(INT(4873/$U$8),$U$7)+1,1)</f>
        <v/>
      </c>
      <c r="BP4886">
        <f>IF(4873&lt;$U$9,MOD(4873,$U$8)+1,1)</f>
        <v/>
      </c>
      <c r="BQ4886">
        <f>IF(4873&lt;$U$9,SUMPRODUCT(($D$10:$L$10&lt;&gt;"")*(($D$9:$L$9+INT(($S$12:$AA$12+INDEX($AJ$13:$AR$162,BN4886,0)+INDEX($AT$13:$BB$162,BO4886,0)+INDEX($BD$13:$BL$162,BP4886,0))/100))&gt;=$D$10:$L$10)),0)</f>
        <v/>
      </c>
      <c r="BR4886">
        <f>IF(4873&lt;$U$9,SUMPRODUCT(($D$10:$L$10&lt;&gt;"")*(($D$10:$L$10-($D$9:$L$9+INT(($S$12:$AA$12+INDEX($AJ$13:$AR$162,BN4886,0)+INDEX($AT$13:$BB$162,BO4886,0)+INDEX($BD$13:$BL$162,BP4886,0))/100)))&gt;0)*($D$10:$L$10-($D$9:$L$9+INT(($S$12:$AA$12+INDEX($AJ$13:$AR$162,BN4886,0)+INDEX($AT$13:$BB$162,BO4886,0)+INDEX($BD$13:$BL$162,BP4886,0))/100)))),0)</f>
        <v/>
      </c>
      <c r="BS4886">
        <f>IF(4873&lt;$U$9,SUMPRODUCT(($D$9:$L$9+INT(($S$12:$AA$12+INDEX($AJ$13:$AR$162,BN4886,0)+INDEX($AT$13:$BB$162,BO4886,0)+INDEX($BD$13:$BL$162,BP4886,0))/100))),0)</f>
        <v/>
      </c>
      <c r="BT4886">
        <f>IF(AND(4873&lt;$U$9,$W$5),BQ4886*1000000-MIN(BR4886,999)*1000+BS4886-4873/100000,-1000000000-4873)</f>
        <v/>
      </c>
    </row>
    <row r="4887">
      <c r="BN4887">
        <f>IF(4874&lt;$U$9,INT(4874/($U$7*$U$8))+1,1)</f>
        <v/>
      </c>
      <c r="BO4887">
        <f>IF(4874&lt;$U$9,MOD(INT(4874/$U$8),$U$7)+1,1)</f>
        <v/>
      </c>
      <c r="BP4887">
        <f>IF(4874&lt;$U$9,MOD(4874,$U$8)+1,1)</f>
        <v/>
      </c>
      <c r="BQ4887">
        <f>IF(4874&lt;$U$9,SUMPRODUCT(($D$10:$L$10&lt;&gt;"")*(($D$9:$L$9+INT(($S$12:$AA$12+INDEX($AJ$13:$AR$162,BN4887,0)+INDEX($AT$13:$BB$162,BO4887,0)+INDEX($BD$13:$BL$162,BP4887,0))/100))&gt;=$D$10:$L$10)),0)</f>
        <v/>
      </c>
      <c r="BR4887">
        <f>IF(4874&lt;$U$9,SUMPRODUCT(($D$10:$L$10&lt;&gt;"")*(($D$10:$L$10-($D$9:$L$9+INT(($S$12:$AA$12+INDEX($AJ$13:$AR$162,BN4887,0)+INDEX($AT$13:$BB$162,BO4887,0)+INDEX($BD$13:$BL$162,BP4887,0))/100)))&gt;0)*($D$10:$L$10-($D$9:$L$9+INT(($S$12:$AA$12+INDEX($AJ$13:$AR$162,BN4887,0)+INDEX($AT$13:$BB$162,BO4887,0)+INDEX($BD$13:$BL$162,BP4887,0))/100)))),0)</f>
        <v/>
      </c>
      <c r="BS4887">
        <f>IF(4874&lt;$U$9,SUMPRODUCT(($D$9:$L$9+INT(($S$12:$AA$12+INDEX($AJ$13:$AR$162,BN4887,0)+INDEX($AT$13:$BB$162,BO4887,0)+INDEX($BD$13:$BL$162,BP4887,0))/100))),0)</f>
        <v/>
      </c>
      <c r="BT4887">
        <f>IF(AND(4874&lt;$U$9,$W$5),BQ4887*1000000-MIN(BR4887,999)*1000+BS4887-4874/100000,-1000000000-4874)</f>
        <v/>
      </c>
    </row>
    <row r="4888">
      <c r="BN4888">
        <f>IF(4875&lt;$U$9,INT(4875/($U$7*$U$8))+1,1)</f>
        <v/>
      </c>
      <c r="BO4888">
        <f>IF(4875&lt;$U$9,MOD(INT(4875/$U$8),$U$7)+1,1)</f>
        <v/>
      </c>
      <c r="BP4888">
        <f>IF(4875&lt;$U$9,MOD(4875,$U$8)+1,1)</f>
        <v/>
      </c>
      <c r="BQ4888">
        <f>IF(4875&lt;$U$9,SUMPRODUCT(($D$10:$L$10&lt;&gt;"")*(($D$9:$L$9+INT(($S$12:$AA$12+INDEX($AJ$13:$AR$162,BN4888,0)+INDEX($AT$13:$BB$162,BO4888,0)+INDEX($BD$13:$BL$162,BP4888,0))/100))&gt;=$D$10:$L$10)),0)</f>
        <v/>
      </c>
      <c r="BR4888">
        <f>IF(4875&lt;$U$9,SUMPRODUCT(($D$10:$L$10&lt;&gt;"")*(($D$10:$L$10-($D$9:$L$9+INT(($S$12:$AA$12+INDEX($AJ$13:$AR$162,BN4888,0)+INDEX($AT$13:$BB$162,BO4888,0)+INDEX($BD$13:$BL$162,BP4888,0))/100)))&gt;0)*($D$10:$L$10-($D$9:$L$9+INT(($S$12:$AA$12+INDEX($AJ$13:$AR$162,BN4888,0)+INDEX($AT$13:$BB$162,BO4888,0)+INDEX($BD$13:$BL$162,BP4888,0))/100)))),0)</f>
        <v/>
      </c>
      <c r="BS4888">
        <f>IF(4875&lt;$U$9,SUMPRODUCT(($D$9:$L$9+INT(($S$12:$AA$12+INDEX($AJ$13:$AR$162,BN4888,0)+INDEX($AT$13:$BB$162,BO4888,0)+INDEX($BD$13:$BL$162,BP4888,0))/100))),0)</f>
        <v/>
      </c>
      <c r="BT4888">
        <f>IF(AND(4875&lt;$U$9,$W$5),BQ4888*1000000-MIN(BR4888,999)*1000+BS4888-4875/100000,-1000000000-4875)</f>
        <v/>
      </c>
    </row>
    <row r="4889">
      <c r="BN4889">
        <f>IF(4876&lt;$U$9,INT(4876/($U$7*$U$8))+1,1)</f>
        <v/>
      </c>
      <c r="BO4889">
        <f>IF(4876&lt;$U$9,MOD(INT(4876/$U$8),$U$7)+1,1)</f>
        <v/>
      </c>
      <c r="BP4889">
        <f>IF(4876&lt;$U$9,MOD(4876,$U$8)+1,1)</f>
        <v/>
      </c>
      <c r="BQ4889">
        <f>IF(4876&lt;$U$9,SUMPRODUCT(($D$10:$L$10&lt;&gt;"")*(($D$9:$L$9+INT(($S$12:$AA$12+INDEX($AJ$13:$AR$162,BN4889,0)+INDEX($AT$13:$BB$162,BO4889,0)+INDEX($BD$13:$BL$162,BP4889,0))/100))&gt;=$D$10:$L$10)),0)</f>
        <v/>
      </c>
      <c r="BR4889">
        <f>IF(4876&lt;$U$9,SUMPRODUCT(($D$10:$L$10&lt;&gt;"")*(($D$10:$L$10-($D$9:$L$9+INT(($S$12:$AA$12+INDEX($AJ$13:$AR$162,BN4889,0)+INDEX($AT$13:$BB$162,BO4889,0)+INDEX($BD$13:$BL$162,BP4889,0))/100)))&gt;0)*($D$10:$L$10-($D$9:$L$9+INT(($S$12:$AA$12+INDEX($AJ$13:$AR$162,BN4889,0)+INDEX($AT$13:$BB$162,BO4889,0)+INDEX($BD$13:$BL$162,BP4889,0))/100)))),0)</f>
        <v/>
      </c>
      <c r="BS4889">
        <f>IF(4876&lt;$U$9,SUMPRODUCT(($D$9:$L$9+INT(($S$12:$AA$12+INDEX($AJ$13:$AR$162,BN4889,0)+INDEX($AT$13:$BB$162,BO4889,0)+INDEX($BD$13:$BL$162,BP4889,0))/100))),0)</f>
        <v/>
      </c>
      <c r="BT4889">
        <f>IF(AND(4876&lt;$U$9,$W$5),BQ4889*1000000-MIN(BR4889,999)*1000+BS4889-4876/100000,-1000000000-4876)</f>
        <v/>
      </c>
    </row>
    <row r="4890">
      <c r="BN4890">
        <f>IF(4877&lt;$U$9,INT(4877/($U$7*$U$8))+1,1)</f>
        <v/>
      </c>
      <c r="BO4890">
        <f>IF(4877&lt;$U$9,MOD(INT(4877/$U$8),$U$7)+1,1)</f>
        <v/>
      </c>
      <c r="BP4890">
        <f>IF(4877&lt;$U$9,MOD(4877,$U$8)+1,1)</f>
        <v/>
      </c>
      <c r="BQ4890">
        <f>IF(4877&lt;$U$9,SUMPRODUCT(($D$10:$L$10&lt;&gt;"")*(($D$9:$L$9+INT(($S$12:$AA$12+INDEX($AJ$13:$AR$162,BN4890,0)+INDEX($AT$13:$BB$162,BO4890,0)+INDEX($BD$13:$BL$162,BP4890,0))/100))&gt;=$D$10:$L$10)),0)</f>
        <v/>
      </c>
      <c r="BR4890">
        <f>IF(4877&lt;$U$9,SUMPRODUCT(($D$10:$L$10&lt;&gt;"")*(($D$10:$L$10-($D$9:$L$9+INT(($S$12:$AA$12+INDEX($AJ$13:$AR$162,BN4890,0)+INDEX($AT$13:$BB$162,BO4890,0)+INDEX($BD$13:$BL$162,BP4890,0))/100)))&gt;0)*($D$10:$L$10-($D$9:$L$9+INT(($S$12:$AA$12+INDEX($AJ$13:$AR$162,BN4890,0)+INDEX($AT$13:$BB$162,BO4890,0)+INDEX($BD$13:$BL$162,BP4890,0))/100)))),0)</f>
        <v/>
      </c>
      <c r="BS4890">
        <f>IF(4877&lt;$U$9,SUMPRODUCT(($D$9:$L$9+INT(($S$12:$AA$12+INDEX($AJ$13:$AR$162,BN4890,0)+INDEX($AT$13:$BB$162,BO4890,0)+INDEX($BD$13:$BL$162,BP4890,0))/100))),0)</f>
        <v/>
      </c>
      <c r="BT4890">
        <f>IF(AND(4877&lt;$U$9,$W$5),BQ4890*1000000-MIN(BR4890,999)*1000+BS4890-4877/100000,-1000000000-4877)</f>
        <v/>
      </c>
    </row>
    <row r="4891">
      <c r="BN4891">
        <f>IF(4878&lt;$U$9,INT(4878/($U$7*$U$8))+1,1)</f>
        <v/>
      </c>
      <c r="BO4891">
        <f>IF(4878&lt;$U$9,MOD(INT(4878/$U$8),$U$7)+1,1)</f>
        <v/>
      </c>
      <c r="BP4891">
        <f>IF(4878&lt;$U$9,MOD(4878,$U$8)+1,1)</f>
        <v/>
      </c>
      <c r="BQ4891">
        <f>IF(4878&lt;$U$9,SUMPRODUCT(($D$10:$L$10&lt;&gt;"")*(($D$9:$L$9+INT(($S$12:$AA$12+INDEX($AJ$13:$AR$162,BN4891,0)+INDEX($AT$13:$BB$162,BO4891,0)+INDEX($BD$13:$BL$162,BP4891,0))/100))&gt;=$D$10:$L$10)),0)</f>
        <v/>
      </c>
      <c r="BR4891">
        <f>IF(4878&lt;$U$9,SUMPRODUCT(($D$10:$L$10&lt;&gt;"")*(($D$10:$L$10-($D$9:$L$9+INT(($S$12:$AA$12+INDEX($AJ$13:$AR$162,BN4891,0)+INDEX($AT$13:$BB$162,BO4891,0)+INDEX($BD$13:$BL$162,BP4891,0))/100)))&gt;0)*($D$10:$L$10-($D$9:$L$9+INT(($S$12:$AA$12+INDEX($AJ$13:$AR$162,BN4891,0)+INDEX($AT$13:$BB$162,BO4891,0)+INDEX($BD$13:$BL$162,BP4891,0))/100)))),0)</f>
        <v/>
      </c>
      <c r="BS4891">
        <f>IF(4878&lt;$U$9,SUMPRODUCT(($D$9:$L$9+INT(($S$12:$AA$12+INDEX($AJ$13:$AR$162,BN4891,0)+INDEX($AT$13:$BB$162,BO4891,0)+INDEX($BD$13:$BL$162,BP4891,0))/100))),0)</f>
        <v/>
      </c>
      <c r="BT4891">
        <f>IF(AND(4878&lt;$U$9,$W$5),BQ4891*1000000-MIN(BR4891,999)*1000+BS4891-4878/100000,-1000000000-4878)</f>
        <v/>
      </c>
    </row>
    <row r="4892">
      <c r="BN4892">
        <f>IF(4879&lt;$U$9,INT(4879/($U$7*$U$8))+1,1)</f>
        <v/>
      </c>
      <c r="BO4892">
        <f>IF(4879&lt;$U$9,MOD(INT(4879/$U$8),$U$7)+1,1)</f>
        <v/>
      </c>
      <c r="BP4892">
        <f>IF(4879&lt;$U$9,MOD(4879,$U$8)+1,1)</f>
        <v/>
      </c>
      <c r="BQ4892">
        <f>IF(4879&lt;$U$9,SUMPRODUCT(($D$10:$L$10&lt;&gt;"")*(($D$9:$L$9+INT(($S$12:$AA$12+INDEX($AJ$13:$AR$162,BN4892,0)+INDEX($AT$13:$BB$162,BO4892,0)+INDEX($BD$13:$BL$162,BP4892,0))/100))&gt;=$D$10:$L$10)),0)</f>
        <v/>
      </c>
      <c r="BR4892">
        <f>IF(4879&lt;$U$9,SUMPRODUCT(($D$10:$L$10&lt;&gt;"")*(($D$10:$L$10-($D$9:$L$9+INT(($S$12:$AA$12+INDEX($AJ$13:$AR$162,BN4892,0)+INDEX($AT$13:$BB$162,BO4892,0)+INDEX($BD$13:$BL$162,BP4892,0))/100)))&gt;0)*($D$10:$L$10-($D$9:$L$9+INT(($S$12:$AA$12+INDEX($AJ$13:$AR$162,BN4892,0)+INDEX($AT$13:$BB$162,BO4892,0)+INDEX($BD$13:$BL$162,BP4892,0))/100)))),0)</f>
        <v/>
      </c>
      <c r="BS4892">
        <f>IF(4879&lt;$U$9,SUMPRODUCT(($D$9:$L$9+INT(($S$12:$AA$12+INDEX($AJ$13:$AR$162,BN4892,0)+INDEX($AT$13:$BB$162,BO4892,0)+INDEX($BD$13:$BL$162,BP4892,0))/100))),0)</f>
        <v/>
      </c>
      <c r="BT4892">
        <f>IF(AND(4879&lt;$U$9,$W$5),BQ4892*1000000-MIN(BR4892,999)*1000+BS4892-4879/100000,-1000000000-4879)</f>
        <v/>
      </c>
    </row>
    <row r="4893">
      <c r="BN4893">
        <f>IF(4880&lt;$U$9,INT(4880/($U$7*$U$8))+1,1)</f>
        <v/>
      </c>
      <c r="BO4893">
        <f>IF(4880&lt;$U$9,MOD(INT(4880/$U$8),$U$7)+1,1)</f>
        <v/>
      </c>
      <c r="BP4893">
        <f>IF(4880&lt;$U$9,MOD(4880,$U$8)+1,1)</f>
        <v/>
      </c>
      <c r="BQ4893">
        <f>IF(4880&lt;$U$9,SUMPRODUCT(($D$10:$L$10&lt;&gt;"")*(($D$9:$L$9+INT(($S$12:$AA$12+INDEX($AJ$13:$AR$162,BN4893,0)+INDEX($AT$13:$BB$162,BO4893,0)+INDEX($BD$13:$BL$162,BP4893,0))/100))&gt;=$D$10:$L$10)),0)</f>
        <v/>
      </c>
      <c r="BR4893">
        <f>IF(4880&lt;$U$9,SUMPRODUCT(($D$10:$L$10&lt;&gt;"")*(($D$10:$L$10-($D$9:$L$9+INT(($S$12:$AA$12+INDEX($AJ$13:$AR$162,BN4893,0)+INDEX($AT$13:$BB$162,BO4893,0)+INDEX($BD$13:$BL$162,BP4893,0))/100)))&gt;0)*($D$10:$L$10-($D$9:$L$9+INT(($S$12:$AA$12+INDEX($AJ$13:$AR$162,BN4893,0)+INDEX($AT$13:$BB$162,BO4893,0)+INDEX($BD$13:$BL$162,BP4893,0))/100)))),0)</f>
        <v/>
      </c>
      <c r="BS4893">
        <f>IF(4880&lt;$U$9,SUMPRODUCT(($D$9:$L$9+INT(($S$12:$AA$12+INDEX($AJ$13:$AR$162,BN4893,0)+INDEX($AT$13:$BB$162,BO4893,0)+INDEX($BD$13:$BL$162,BP4893,0))/100))),0)</f>
        <v/>
      </c>
      <c r="BT4893">
        <f>IF(AND(4880&lt;$U$9,$W$5),BQ4893*1000000-MIN(BR4893,999)*1000+BS4893-4880/100000,-1000000000-4880)</f>
        <v/>
      </c>
    </row>
    <row r="4894">
      <c r="BN4894">
        <f>IF(4881&lt;$U$9,INT(4881/($U$7*$U$8))+1,1)</f>
        <v/>
      </c>
      <c r="BO4894">
        <f>IF(4881&lt;$U$9,MOD(INT(4881/$U$8),$U$7)+1,1)</f>
        <v/>
      </c>
      <c r="BP4894">
        <f>IF(4881&lt;$U$9,MOD(4881,$U$8)+1,1)</f>
        <v/>
      </c>
      <c r="BQ4894">
        <f>IF(4881&lt;$U$9,SUMPRODUCT(($D$10:$L$10&lt;&gt;"")*(($D$9:$L$9+INT(($S$12:$AA$12+INDEX($AJ$13:$AR$162,BN4894,0)+INDEX($AT$13:$BB$162,BO4894,0)+INDEX($BD$13:$BL$162,BP4894,0))/100))&gt;=$D$10:$L$10)),0)</f>
        <v/>
      </c>
      <c r="BR4894">
        <f>IF(4881&lt;$U$9,SUMPRODUCT(($D$10:$L$10&lt;&gt;"")*(($D$10:$L$10-($D$9:$L$9+INT(($S$12:$AA$12+INDEX($AJ$13:$AR$162,BN4894,0)+INDEX($AT$13:$BB$162,BO4894,0)+INDEX($BD$13:$BL$162,BP4894,0))/100)))&gt;0)*($D$10:$L$10-($D$9:$L$9+INT(($S$12:$AA$12+INDEX($AJ$13:$AR$162,BN4894,0)+INDEX($AT$13:$BB$162,BO4894,0)+INDEX($BD$13:$BL$162,BP4894,0))/100)))),0)</f>
        <v/>
      </c>
      <c r="BS4894">
        <f>IF(4881&lt;$U$9,SUMPRODUCT(($D$9:$L$9+INT(($S$12:$AA$12+INDEX($AJ$13:$AR$162,BN4894,0)+INDEX($AT$13:$BB$162,BO4894,0)+INDEX($BD$13:$BL$162,BP4894,0))/100))),0)</f>
        <v/>
      </c>
      <c r="BT4894">
        <f>IF(AND(4881&lt;$U$9,$W$5),BQ4894*1000000-MIN(BR4894,999)*1000+BS4894-4881/100000,-1000000000-4881)</f>
        <v/>
      </c>
    </row>
    <row r="4895">
      <c r="BN4895">
        <f>IF(4882&lt;$U$9,INT(4882/($U$7*$U$8))+1,1)</f>
        <v/>
      </c>
      <c r="BO4895">
        <f>IF(4882&lt;$U$9,MOD(INT(4882/$U$8),$U$7)+1,1)</f>
        <v/>
      </c>
      <c r="BP4895">
        <f>IF(4882&lt;$U$9,MOD(4882,$U$8)+1,1)</f>
        <v/>
      </c>
      <c r="BQ4895">
        <f>IF(4882&lt;$U$9,SUMPRODUCT(($D$10:$L$10&lt;&gt;"")*(($D$9:$L$9+INT(($S$12:$AA$12+INDEX($AJ$13:$AR$162,BN4895,0)+INDEX($AT$13:$BB$162,BO4895,0)+INDEX($BD$13:$BL$162,BP4895,0))/100))&gt;=$D$10:$L$10)),0)</f>
        <v/>
      </c>
      <c r="BR4895">
        <f>IF(4882&lt;$U$9,SUMPRODUCT(($D$10:$L$10&lt;&gt;"")*(($D$10:$L$10-($D$9:$L$9+INT(($S$12:$AA$12+INDEX($AJ$13:$AR$162,BN4895,0)+INDEX($AT$13:$BB$162,BO4895,0)+INDEX($BD$13:$BL$162,BP4895,0))/100)))&gt;0)*($D$10:$L$10-($D$9:$L$9+INT(($S$12:$AA$12+INDEX($AJ$13:$AR$162,BN4895,0)+INDEX($AT$13:$BB$162,BO4895,0)+INDEX($BD$13:$BL$162,BP4895,0))/100)))),0)</f>
        <v/>
      </c>
      <c r="BS4895">
        <f>IF(4882&lt;$U$9,SUMPRODUCT(($D$9:$L$9+INT(($S$12:$AA$12+INDEX($AJ$13:$AR$162,BN4895,0)+INDEX($AT$13:$BB$162,BO4895,0)+INDEX($BD$13:$BL$162,BP4895,0))/100))),0)</f>
        <v/>
      </c>
      <c r="BT4895">
        <f>IF(AND(4882&lt;$U$9,$W$5),BQ4895*1000000-MIN(BR4895,999)*1000+BS4895-4882/100000,-1000000000-4882)</f>
        <v/>
      </c>
    </row>
    <row r="4896">
      <c r="BN4896">
        <f>IF(4883&lt;$U$9,INT(4883/($U$7*$U$8))+1,1)</f>
        <v/>
      </c>
      <c r="BO4896">
        <f>IF(4883&lt;$U$9,MOD(INT(4883/$U$8),$U$7)+1,1)</f>
        <v/>
      </c>
      <c r="BP4896">
        <f>IF(4883&lt;$U$9,MOD(4883,$U$8)+1,1)</f>
        <v/>
      </c>
      <c r="BQ4896">
        <f>IF(4883&lt;$U$9,SUMPRODUCT(($D$10:$L$10&lt;&gt;"")*(($D$9:$L$9+INT(($S$12:$AA$12+INDEX($AJ$13:$AR$162,BN4896,0)+INDEX($AT$13:$BB$162,BO4896,0)+INDEX($BD$13:$BL$162,BP4896,0))/100))&gt;=$D$10:$L$10)),0)</f>
        <v/>
      </c>
      <c r="BR4896">
        <f>IF(4883&lt;$U$9,SUMPRODUCT(($D$10:$L$10&lt;&gt;"")*(($D$10:$L$10-($D$9:$L$9+INT(($S$12:$AA$12+INDEX($AJ$13:$AR$162,BN4896,0)+INDEX($AT$13:$BB$162,BO4896,0)+INDEX($BD$13:$BL$162,BP4896,0))/100)))&gt;0)*($D$10:$L$10-($D$9:$L$9+INT(($S$12:$AA$12+INDEX($AJ$13:$AR$162,BN4896,0)+INDEX($AT$13:$BB$162,BO4896,0)+INDEX($BD$13:$BL$162,BP4896,0))/100)))),0)</f>
        <v/>
      </c>
      <c r="BS4896">
        <f>IF(4883&lt;$U$9,SUMPRODUCT(($D$9:$L$9+INT(($S$12:$AA$12+INDEX($AJ$13:$AR$162,BN4896,0)+INDEX($AT$13:$BB$162,BO4896,0)+INDEX($BD$13:$BL$162,BP4896,0))/100))),0)</f>
        <v/>
      </c>
      <c r="BT4896">
        <f>IF(AND(4883&lt;$U$9,$W$5),BQ4896*1000000-MIN(BR4896,999)*1000+BS4896-4883/100000,-1000000000-4883)</f>
        <v/>
      </c>
    </row>
    <row r="4897">
      <c r="BN4897">
        <f>IF(4884&lt;$U$9,INT(4884/($U$7*$U$8))+1,1)</f>
        <v/>
      </c>
      <c r="BO4897">
        <f>IF(4884&lt;$U$9,MOD(INT(4884/$U$8),$U$7)+1,1)</f>
        <v/>
      </c>
      <c r="BP4897">
        <f>IF(4884&lt;$U$9,MOD(4884,$U$8)+1,1)</f>
        <v/>
      </c>
      <c r="BQ4897">
        <f>IF(4884&lt;$U$9,SUMPRODUCT(($D$10:$L$10&lt;&gt;"")*(($D$9:$L$9+INT(($S$12:$AA$12+INDEX($AJ$13:$AR$162,BN4897,0)+INDEX($AT$13:$BB$162,BO4897,0)+INDEX($BD$13:$BL$162,BP4897,0))/100))&gt;=$D$10:$L$10)),0)</f>
        <v/>
      </c>
      <c r="BR4897">
        <f>IF(4884&lt;$U$9,SUMPRODUCT(($D$10:$L$10&lt;&gt;"")*(($D$10:$L$10-($D$9:$L$9+INT(($S$12:$AA$12+INDEX($AJ$13:$AR$162,BN4897,0)+INDEX($AT$13:$BB$162,BO4897,0)+INDEX($BD$13:$BL$162,BP4897,0))/100)))&gt;0)*($D$10:$L$10-($D$9:$L$9+INT(($S$12:$AA$12+INDEX($AJ$13:$AR$162,BN4897,0)+INDEX($AT$13:$BB$162,BO4897,0)+INDEX($BD$13:$BL$162,BP4897,0))/100)))),0)</f>
        <v/>
      </c>
      <c r="BS4897">
        <f>IF(4884&lt;$U$9,SUMPRODUCT(($D$9:$L$9+INT(($S$12:$AA$12+INDEX($AJ$13:$AR$162,BN4897,0)+INDEX($AT$13:$BB$162,BO4897,0)+INDEX($BD$13:$BL$162,BP4897,0))/100))),0)</f>
        <v/>
      </c>
      <c r="BT4897">
        <f>IF(AND(4884&lt;$U$9,$W$5),BQ4897*1000000-MIN(BR4897,999)*1000+BS4897-4884/100000,-1000000000-4884)</f>
        <v/>
      </c>
    </row>
    <row r="4898">
      <c r="BN4898">
        <f>IF(4885&lt;$U$9,INT(4885/($U$7*$U$8))+1,1)</f>
        <v/>
      </c>
      <c r="BO4898">
        <f>IF(4885&lt;$U$9,MOD(INT(4885/$U$8),$U$7)+1,1)</f>
        <v/>
      </c>
      <c r="BP4898">
        <f>IF(4885&lt;$U$9,MOD(4885,$U$8)+1,1)</f>
        <v/>
      </c>
      <c r="BQ4898">
        <f>IF(4885&lt;$U$9,SUMPRODUCT(($D$10:$L$10&lt;&gt;"")*(($D$9:$L$9+INT(($S$12:$AA$12+INDEX($AJ$13:$AR$162,BN4898,0)+INDEX($AT$13:$BB$162,BO4898,0)+INDEX($BD$13:$BL$162,BP4898,0))/100))&gt;=$D$10:$L$10)),0)</f>
        <v/>
      </c>
      <c r="BR4898">
        <f>IF(4885&lt;$U$9,SUMPRODUCT(($D$10:$L$10&lt;&gt;"")*(($D$10:$L$10-($D$9:$L$9+INT(($S$12:$AA$12+INDEX($AJ$13:$AR$162,BN4898,0)+INDEX($AT$13:$BB$162,BO4898,0)+INDEX($BD$13:$BL$162,BP4898,0))/100)))&gt;0)*($D$10:$L$10-($D$9:$L$9+INT(($S$12:$AA$12+INDEX($AJ$13:$AR$162,BN4898,0)+INDEX($AT$13:$BB$162,BO4898,0)+INDEX($BD$13:$BL$162,BP4898,0))/100)))),0)</f>
        <v/>
      </c>
      <c r="BS4898">
        <f>IF(4885&lt;$U$9,SUMPRODUCT(($D$9:$L$9+INT(($S$12:$AA$12+INDEX($AJ$13:$AR$162,BN4898,0)+INDEX($AT$13:$BB$162,BO4898,0)+INDEX($BD$13:$BL$162,BP4898,0))/100))),0)</f>
        <v/>
      </c>
      <c r="BT4898">
        <f>IF(AND(4885&lt;$U$9,$W$5),BQ4898*1000000-MIN(BR4898,999)*1000+BS4898-4885/100000,-1000000000-4885)</f>
        <v/>
      </c>
    </row>
    <row r="4899">
      <c r="BN4899">
        <f>IF(4886&lt;$U$9,INT(4886/($U$7*$U$8))+1,1)</f>
        <v/>
      </c>
      <c r="BO4899">
        <f>IF(4886&lt;$U$9,MOD(INT(4886/$U$8),$U$7)+1,1)</f>
        <v/>
      </c>
      <c r="BP4899">
        <f>IF(4886&lt;$U$9,MOD(4886,$U$8)+1,1)</f>
        <v/>
      </c>
      <c r="BQ4899">
        <f>IF(4886&lt;$U$9,SUMPRODUCT(($D$10:$L$10&lt;&gt;"")*(($D$9:$L$9+INT(($S$12:$AA$12+INDEX($AJ$13:$AR$162,BN4899,0)+INDEX($AT$13:$BB$162,BO4899,0)+INDEX($BD$13:$BL$162,BP4899,0))/100))&gt;=$D$10:$L$10)),0)</f>
        <v/>
      </c>
      <c r="BR4899">
        <f>IF(4886&lt;$U$9,SUMPRODUCT(($D$10:$L$10&lt;&gt;"")*(($D$10:$L$10-($D$9:$L$9+INT(($S$12:$AA$12+INDEX($AJ$13:$AR$162,BN4899,0)+INDEX($AT$13:$BB$162,BO4899,0)+INDEX($BD$13:$BL$162,BP4899,0))/100)))&gt;0)*($D$10:$L$10-($D$9:$L$9+INT(($S$12:$AA$12+INDEX($AJ$13:$AR$162,BN4899,0)+INDEX($AT$13:$BB$162,BO4899,0)+INDEX($BD$13:$BL$162,BP4899,0))/100)))),0)</f>
        <v/>
      </c>
      <c r="BS4899">
        <f>IF(4886&lt;$U$9,SUMPRODUCT(($D$9:$L$9+INT(($S$12:$AA$12+INDEX($AJ$13:$AR$162,BN4899,0)+INDEX($AT$13:$BB$162,BO4899,0)+INDEX($BD$13:$BL$162,BP4899,0))/100))),0)</f>
        <v/>
      </c>
      <c r="BT4899">
        <f>IF(AND(4886&lt;$U$9,$W$5),BQ4899*1000000-MIN(BR4899,999)*1000+BS4899-4886/100000,-1000000000-4886)</f>
        <v/>
      </c>
    </row>
    <row r="4900">
      <c r="BN4900">
        <f>IF(4887&lt;$U$9,INT(4887/($U$7*$U$8))+1,1)</f>
        <v/>
      </c>
      <c r="BO4900">
        <f>IF(4887&lt;$U$9,MOD(INT(4887/$U$8),$U$7)+1,1)</f>
        <v/>
      </c>
      <c r="BP4900">
        <f>IF(4887&lt;$U$9,MOD(4887,$U$8)+1,1)</f>
        <v/>
      </c>
      <c r="BQ4900">
        <f>IF(4887&lt;$U$9,SUMPRODUCT(($D$10:$L$10&lt;&gt;"")*(($D$9:$L$9+INT(($S$12:$AA$12+INDEX($AJ$13:$AR$162,BN4900,0)+INDEX($AT$13:$BB$162,BO4900,0)+INDEX($BD$13:$BL$162,BP4900,0))/100))&gt;=$D$10:$L$10)),0)</f>
        <v/>
      </c>
      <c r="BR4900">
        <f>IF(4887&lt;$U$9,SUMPRODUCT(($D$10:$L$10&lt;&gt;"")*(($D$10:$L$10-($D$9:$L$9+INT(($S$12:$AA$12+INDEX($AJ$13:$AR$162,BN4900,0)+INDEX($AT$13:$BB$162,BO4900,0)+INDEX($BD$13:$BL$162,BP4900,0))/100)))&gt;0)*($D$10:$L$10-($D$9:$L$9+INT(($S$12:$AA$12+INDEX($AJ$13:$AR$162,BN4900,0)+INDEX($AT$13:$BB$162,BO4900,0)+INDEX($BD$13:$BL$162,BP4900,0))/100)))),0)</f>
        <v/>
      </c>
      <c r="BS4900">
        <f>IF(4887&lt;$U$9,SUMPRODUCT(($D$9:$L$9+INT(($S$12:$AA$12+INDEX($AJ$13:$AR$162,BN4900,0)+INDEX($AT$13:$BB$162,BO4900,0)+INDEX($BD$13:$BL$162,BP4900,0))/100))),0)</f>
        <v/>
      </c>
      <c r="BT4900">
        <f>IF(AND(4887&lt;$U$9,$W$5),BQ4900*1000000-MIN(BR4900,999)*1000+BS4900-4887/100000,-1000000000-4887)</f>
        <v/>
      </c>
    </row>
    <row r="4901">
      <c r="BN4901">
        <f>IF(4888&lt;$U$9,INT(4888/($U$7*$U$8))+1,1)</f>
        <v/>
      </c>
      <c r="BO4901">
        <f>IF(4888&lt;$U$9,MOD(INT(4888/$U$8),$U$7)+1,1)</f>
        <v/>
      </c>
      <c r="BP4901">
        <f>IF(4888&lt;$U$9,MOD(4888,$U$8)+1,1)</f>
        <v/>
      </c>
      <c r="BQ4901">
        <f>IF(4888&lt;$U$9,SUMPRODUCT(($D$10:$L$10&lt;&gt;"")*(($D$9:$L$9+INT(($S$12:$AA$12+INDEX($AJ$13:$AR$162,BN4901,0)+INDEX($AT$13:$BB$162,BO4901,0)+INDEX($BD$13:$BL$162,BP4901,0))/100))&gt;=$D$10:$L$10)),0)</f>
        <v/>
      </c>
      <c r="BR4901">
        <f>IF(4888&lt;$U$9,SUMPRODUCT(($D$10:$L$10&lt;&gt;"")*(($D$10:$L$10-($D$9:$L$9+INT(($S$12:$AA$12+INDEX($AJ$13:$AR$162,BN4901,0)+INDEX($AT$13:$BB$162,BO4901,0)+INDEX($BD$13:$BL$162,BP4901,0))/100)))&gt;0)*($D$10:$L$10-($D$9:$L$9+INT(($S$12:$AA$12+INDEX($AJ$13:$AR$162,BN4901,0)+INDEX($AT$13:$BB$162,BO4901,0)+INDEX($BD$13:$BL$162,BP4901,0))/100)))),0)</f>
        <v/>
      </c>
      <c r="BS4901">
        <f>IF(4888&lt;$U$9,SUMPRODUCT(($D$9:$L$9+INT(($S$12:$AA$12+INDEX($AJ$13:$AR$162,BN4901,0)+INDEX($AT$13:$BB$162,BO4901,0)+INDEX($BD$13:$BL$162,BP4901,0))/100))),0)</f>
        <v/>
      </c>
      <c r="BT4901">
        <f>IF(AND(4888&lt;$U$9,$W$5),BQ4901*1000000-MIN(BR4901,999)*1000+BS4901-4888/100000,-1000000000-4888)</f>
        <v/>
      </c>
    </row>
    <row r="4902">
      <c r="BN4902">
        <f>IF(4889&lt;$U$9,INT(4889/($U$7*$U$8))+1,1)</f>
        <v/>
      </c>
      <c r="BO4902">
        <f>IF(4889&lt;$U$9,MOD(INT(4889/$U$8),$U$7)+1,1)</f>
        <v/>
      </c>
      <c r="BP4902">
        <f>IF(4889&lt;$U$9,MOD(4889,$U$8)+1,1)</f>
        <v/>
      </c>
      <c r="BQ4902">
        <f>IF(4889&lt;$U$9,SUMPRODUCT(($D$10:$L$10&lt;&gt;"")*(($D$9:$L$9+INT(($S$12:$AA$12+INDEX($AJ$13:$AR$162,BN4902,0)+INDEX($AT$13:$BB$162,BO4902,0)+INDEX($BD$13:$BL$162,BP4902,0))/100))&gt;=$D$10:$L$10)),0)</f>
        <v/>
      </c>
      <c r="BR4902">
        <f>IF(4889&lt;$U$9,SUMPRODUCT(($D$10:$L$10&lt;&gt;"")*(($D$10:$L$10-($D$9:$L$9+INT(($S$12:$AA$12+INDEX($AJ$13:$AR$162,BN4902,0)+INDEX($AT$13:$BB$162,BO4902,0)+INDEX($BD$13:$BL$162,BP4902,0))/100)))&gt;0)*($D$10:$L$10-($D$9:$L$9+INT(($S$12:$AA$12+INDEX($AJ$13:$AR$162,BN4902,0)+INDEX($AT$13:$BB$162,BO4902,0)+INDEX($BD$13:$BL$162,BP4902,0))/100)))),0)</f>
        <v/>
      </c>
      <c r="BS4902">
        <f>IF(4889&lt;$U$9,SUMPRODUCT(($D$9:$L$9+INT(($S$12:$AA$12+INDEX($AJ$13:$AR$162,BN4902,0)+INDEX($AT$13:$BB$162,BO4902,0)+INDEX($BD$13:$BL$162,BP4902,0))/100))),0)</f>
        <v/>
      </c>
      <c r="BT4902">
        <f>IF(AND(4889&lt;$U$9,$W$5),BQ4902*1000000-MIN(BR4902,999)*1000+BS4902-4889/100000,-1000000000-4889)</f>
        <v/>
      </c>
    </row>
    <row r="4903">
      <c r="BN4903">
        <f>IF(4890&lt;$U$9,INT(4890/($U$7*$U$8))+1,1)</f>
        <v/>
      </c>
      <c r="BO4903">
        <f>IF(4890&lt;$U$9,MOD(INT(4890/$U$8),$U$7)+1,1)</f>
        <v/>
      </c>
      <c r="BP4903">
        <f>IF(4890&lt;$U$9,MOD(4890,$U$8)+1,1)</f>
        <v/>
      </c>
      <c r="BQ4903">
        <f>IF(4890&lt;$U$9,SUMPRODUCT(($D$10:$L$10&lt;&gt;"")*(($D$9:$L$9+INT(($S$12:$AA$12+INDEX($AJ$13:$AR$162,BN4903,0)+INDEX($AT$13:$BB$162,BO4903,0)+INDEX($BD$13:$BL$162,BP4903,0))/100))&gt;=$D$10:$L$10)),0)</f>
        <v/>
      </c>
      <c r="BR4903">
        <f>IF(4890&lt;$U$9,SUMPRODUCT(($D$10:$L$10&lt;&gt;"")*(($D$10:$L$10-($D$9:$L$9+INT(($S$12:$AA$12+INDEX($AJ$13:$AR$162,BN4903,0)+INDEX($AT$13:$BB$162,BO4903,0)+INDEX($BD$13:$BL$162,BP4903,0))/100)))&gt;0)*($D$10:$L$10-($D$9:$L$9+INT(($S$12:$AA$12+INDEX($AJ$13:$AR$162,BN4903,0)+INDEX($AT$13:$BB$162,BO4903,0)+INDEX($BD$13:$BL$162,BP4903,0))/100)))),0)</f>
        <v/>
      </c>
      <c r="BS4903">
        <f>IF(4890&lt;$U$9,SUMPRODUCT(($D$9:$L$9+INT(($S$12:$AA$12+INDEX($AJ$13:$AR$162,BN4903,0)+INDEX($AT$13:$BB$162,BO4903,0)+INDEX($BD$13:$BL$162,BP4903,0))/100))),0)</f>
        <v/>
      </c>
      <c r="BT4903">
        <f>IF(AND(4890&lt;$U$9,$W$5),BQ4903*1000000-MIN(BR4903,999)*1000+BS4903-4890/100000,-1000000000-4890)</f>
        <v/>
      </c>
    </row>
    <row r="4904">
      <c r="BN4904">
        <f>IF(4891&lt;$U$9,INT(4891/($U$7*$U$8))+1,1)</f>
        <v/>
      </c>
      <c r="BO4904">
        <f>IF(4891&lt;$U$9,MOD(INT(4891/$U$8),$U$7)+1,1)</f>
        <v/>
      </c>
      <c r="BP4904">
        <f>IF(4891&lt;$U$9,MOD(4891,$U$8)+1,1)</f>
        <v/>
      </c>
      <c r="BQ4904">
        <f>IF(4891&lt;$U$9,SUMPRODUCT(($D$10:$L$10&lt;&gt;"")*(($D$9:$L$9+INT(($S$12:$AA$12+INDEX($AJ$13:$AR$162,BN4904,0)+INDEX($AT$13:$BB$162,BO4904,0)+INDEX($BD$13:$BL$162,BP4904,0))/100))&gt;=$D$10:$L$10)),0)</f>
        <v/>
      </c>
      <c r="BR4904">
        <f>IF(4891&lt;$U$9,SUMPRODUCT(($D$10:$L$10&lt;&gt;"")*(($D$10:$L$10-($D$9:$L$9+INT(($S$12:$AA$12+INDEX($AJ$13:$AR$162,BN4904,0)+INDEX($AT$13:$BB$162,BO4904,0)+INDEX($BD$13:$BL$162,BP4904,0))/100)))&gt;0)*($D$10:$L$10-($D$9:$L$9+INT(($S$12:$AA$12+INDEX($AJ$13:$AR$162,BN4904,0)+INDEX($AT$13:$BB$162,BO4904,0)+INDEX($BD$13:$BL$162,BP4904,0))/100)))),0)</f>
        <v/>
      </c>
      <c r="BS4904">
        <f>IF(4891&lt;$U$9,SUMPRODUCT(($D$9:$L$9+INT(($S$12:$AA$12+INDEX($AJ$13:$AR$162,BN4904,0)+INDEX($AT$13:$BB$162,BO4904,0)+INDEX($BD$13:$BL$162,BP4904,0))/100))),0)</f>
        <v/>
      </c>
      <c r="BT4904">
        <f>IF(AND(4891&lt;$U$9,$W$5),BQ4904*1000000-MIN(BR4904,999)*1000+BS4904-4891/100000,-1000000000-4891)</f>
        <v/>
      </c>
    </row>
    <row r="4905">
      <c r="BN4905">
        <f>IF(4892&lt;$U$9,INT(4892/($U$7*$U$8))+1,1)</f>
        <v/>
      </c>
      <c r="BO4905">
        <f>IF(4892&lt;$U$9,MOD(INT(4892/$U$8),$U$7)+1,1)</f>
        <v/>
      </c>
      <c r="BP4905">
        <f>IF(4892&lt;$U$9,MOD(4892,$U$8)+1,1)</f>
        <v/>
      </c>
      <c r="BQ4905">
        <f>IF(4892&lt;$U$9,SUMPRODUCT(($D$10:$L$10&lt;&gt;"")*(($D$9:$L$9+INT(($S$12:$AA$12+INDEX($AJ$13:$AR$162,BN4905,0)+INDEX($AT$13:$BB$162,BO4905,0)+INDEX($BD$13:$BL$162,BP4905,0))/100))&gt;=$D$10:$L$10)),0)</f>
        <v/>
      </c>
      <c r="BR4905">
        <f>IF(4892&lt;$U$9,SUMPRODUCT(($D$10:$L$10&lt;&gt;"")*(($D$10:$L$10-($D$9:$L$9+INT(($S$12:$AA$12+INDEX($AJ$13:$AR$162,BN4905,0)+INDEX($AT$13:$BB$162,BO4905,0)+INDEX($BD$13:$BL$162,BP4905,0))/100)))&gt;0)*($D$10:$L$10-($D$9:$L$9+INT(($S$12:$AA$12+INDEX($AJ$13:$AR$162,BN4905,0)+INDEX($AT$13:$BB$162,BO4905,0)+INDEX($BD$13:$BL$162,BP4905,0))/100)))),0)</f>
        <v/>
      </c>
      <c r="BS4905">
        <f>IF(4892&lt;$U$9,SUMPRODUCT(($D$9:$L$9+INT(($S$12:$AA$12+INDEX($AJ$13:$AR$162,BN4905,0)+INDEX($AT$13:$BB$162,BO4905,0)+INDEX($BD$13:$BL$162,BP4905,0))/100))),0)</f>
        <v/>
      </c>
      <c r="BT4905">
        <f>IF(AND(4892&lt;$U$9,$W$5),BQ4905*1000000-MIN(BR4905,999)*1000+BS4905-4892/100000,-1000000000-4892)</f>
        <v/>
      </c>
    </row>
    <row r="4906">
      <c r="BN4906">
        <f>IF(4893&lt;$U$9,INT(4893/($U$7*$U$8))+1,1)</f>
        <v/>
      </c>
      <c r="BO4906">
        <f>IF(4893&lt;$U$9,MOD(INT(4893/$U$8),$U$7)+1,1)</f>
        <v/>
      </c>
      <c r="BP4906">
        <f>IF(4893&lt;$U$9,MOD(4893,$U$8)+1,1)</f>
        <v/>
      </c>
      <c r="BQ4906">
        <f>IF(4893&lt;$U$9,SUMPRODUCT(($D$10:$L$10&lt;&gt;"")*(($D$9:$L$9+INT(($S$12:$AA$12+INDEX($AJ$13:$AR$162,BN4906,0)+INDEX($AT$13:$BB$162,BO4906,0)+INDEX($BD$13:$BL$162,BP4906,0))/100))&gt;=$D$10:$L$10)),0)</f>
        <v/>
      </c>
      <c r="BR4906">
        <f>IF(4893&lt;$U$9,SUMPRODUCT(($D$10:$L$10&lt;&gt;"")*(($D$10:$L$10-($D$9:$L$9+INT(($S$12:$AA$12+INDEX($AJ$13:$AR$162,BN4906,0)+INDEX($AT$13:$BB$162,BO4906,0)+INDEX($BD$13:$BL$162,BP4906,0))/100)))&gt;0)*($D$10:$L$10-($D$9:$L$9+INT(($S$12:$AA$12+INDEX($AJ$13:$AR$162,BN4906,0)+INDEX($AT$13:$BB$162,BO4906,0)+INDEX($BD$13:$BL$162,BP4906,0))/100)))),0)</f>
        <v/>
      </c>
      <c r="BS4906">
        <f>IF(4893&lt;$U$9,SUMPRODUCT(($D$9:$L$9+INT(($S$12:$AA$12+INDEX($AJ$13:$AR$162,BN4906,0)+INDEX($AT$13:$BB$162,BO4906,0)+INDEX($BD$13:$BL$162,BP4906,0))/100))),0)</f>
        <v/>
      </c>
      <c r="BT4906">
        <f>IF(AND(4893&lt;$U$9,$W$5),BQ4906*1000000-MIN(BR4906,999)*1000+BS4906-4893/100000,-1000000000-4893)</f>
        <v/>
      </c>
    </row>
    <row r="4907">
      <c r="BN4907">
        <f>IF(4894&lt;$U$9,INT(4894/($U$7*$U$8))+1,1)</f>
        <v/>
      </c>
      <c r="BO4907">
        <f>IF(4894&lt;$U$9,MOD(INT(4894/$U$8),$U$7)+1,1)</f>
        <v/>
      </c>
      <c r="BP4907">
        <f>IF(4894&lt;$U$9,MOD(4894,$U$8)+1,1)</f>
        <v/>
      </c>
      <c r="BQ4907">
        <f>IF(4894&lt;$U$9,SUMPRODUCT(($D$10:$L$10&lt;&gt;"")*(($D$9:$L$9+INT(($S$12:$AA$12+INDEX($AJ$13:$AR$162,BN4907,0)+INDEX($AT$13:$BB$162,BO4907,0)+INDEX($BD$13:$BL$162,BP4907,0))/100))&gt;=$D$10:$L$10)),0)</f>
        <v/>
      </c>
      <c r="BR4907">
        <f>IF(4894&lt;$U$9,SUMPRODUCT(($D$10:$L$10&lt;&gt;"")*(($D$10:$L$10-($D$9:$L$9+INT(($S$12:$AA$12+INDEX($AJ$13:$AR$162,BN4907,0)+INDEX($AT$13:$BB$162,BO4907,0)+INDEX($BD$13:$BL$162,BP4907,0))/100)))&gt;0)*($D$10:$L$10-($D$9:$L$9+INT(($S$12:$AA$12+INDEX($AJ$13:$AR$162,BN4907,0)+INDEX($AT$13:$BB$162,BO4907,0)+INDEX($BD$13:$BL$162,BP4907,0))/100)))),0)</f>
        <v/>
      </c>
      <c r="BS4907">
        <f>IF(4894&lt;$U$9,SUMPRODUCT(($D$9:$L$9+INT(($S$12:$AA$12+INDEX($AJ$13:$AR$162,BN4907,0)+INDEX($AT$13:$BB$162,BO4907,0)+INDEX($BD$13:$BL$162,BP4907,0))/100))),0)</f>
        <v/>
      </c>
      <c r="BT4907">
        <f>IF(AND(4894&lt;$U$9,$W$5),BQ4907*1000000-MIN(BR4907,999)*1000+BS4907-4894/100000,-1000000000-4894)</f>
        <v/>
      </c>
    </row>
    <row r="4908">
      <c r="BN4908">
        <f>IF(4895&lt;$U$9,INT(4895/($U$7*$U$8))+1,1)</f>
        <v/>
      </c>
      <c r="BO4908">
        <f>IF(4895&lt;$U$9,MOD(INT(4895/$U$8),$U$7)+1,1)</f>
        <v/>
      </c>
      <c r="BP4908">
        <f>IF(4895&lt;$U$9,MOD(4895,$U$8)+1,1)</f>
        <v/>
      </c>
      <c r="BQ4908">
        <f>IF(4895&lt;$U$9,SUMPRODUCT(($D$10:$L$10&lt;&gt;"")*(($D$9:$L$9+INT(($S$12:$AA$12+INDEX($AJ$13:$AR$162,BN4908,0)+INDEX($AT$13:$BB$162,BO4908,0)+INDEX($BD$13:$BL$162,BP4908,0))/100))&gt;=$D$10:$L$10)),0)</f>
        <v/>
      </c>
      <c r="BR4908">
        <f>IF(4895&lt;$U$9,SUMPRODUCT(($D$10:$L$10&lt;&gt;"")*(($D$10:$L$10-($D$9:$L$9+INT(($S$12:$AA$12+INDEX($AJ$13:$AR$162,BN4908,0)+INDEX($AT$13:$BB$162,BO4908,0)+INDEX($BD$13:$BL$162,BP4908,0))/100)))&gt;0)*($D$10:$L$10-($D$9:$L$9+INT(($S$12:$AA$12+INDEX($AJ$13:$AR$162,BN4908,0)+INDEX($AT$13:$BB$162,BO4908,0)+INDEX($BD$13:$BL$162,BP4908,0))/100)))),0)</f>
        <v/>
      </c>
      <c r="BS4908">
        <f>IF(4895&lt;$U$9,SUMPRODUCT(($D$9:$L$9+INT(($S$12:$AA$12+INDEX($AJ$13:$AR$162,BN4908,0)+INDEX($AT$13:$BB$162,BO4908,0)+INDEX($BD$13:$BL$162,BP4908,0))/100))),0)</f>
        <v/>
      </c>
      <c r="BT4908">
        <f>IF(AND(4895&lt;$U$9,$W$5),BQ4908*1000000-MIN(BR4908,999)*1000+BS4908-4895/100000,-1000000000-4895)</f>
        <v/>
      </c>
    </row>
    <row r="4909">
      <c r="BN4909">
        <f>IF(4896&lt;$U$9,INT(4896/($U$7*$U$8))+1,1)</f>
        <v/>
      </c>
      <c r="BO4909">
        <f>IF(4896&lt;$U$9,MOD(INT(4896/$U$8),$U$7)+1,1)</f>
        <v/>
      </c>
      <c r="BP4909">
        <f>IF(4896&lt;$U$9,MOD(4896,$U$8)+1,1)</f>
        <v/>
      </c>
      <c r="BQ4909">
        <f>IF(4896&lt;$U$9,SUMPRODUCT(($D$10:$L$10&lt;&gt;"")*(($D$9:$L$9+INT(($S$12:$AA$12+INDEX($AJ$13:$AR$162,BN4909,0)+INDEX($AT$13:$BB$162,BO4909,0)+INDEX($BD$13:$BL$162,BP4909,0))/100))&gt;=$D$10:$L$10)),0)</f>
        <v/>
      </c>
      <c r="BR4909">
        <f>IF(4896&lt;$U$9,SUMPRODUCT(($D$10:$L$10&lt;&gt;"")*(($D$10:$L$10-($D$9:$L$9+INT(($S$12:$AA$12+INDEX($AJ$13:$AR$162,BN4909,0)+INDEX($AT$13:$BB$162,BO4909,0)+INDEX($BD$13:$BL$162,BP4909,0))/100)))&gt;0)*($D$10:$L$10-($D$9:$L$9+INT(($S$12:$AA$12+INDEX($AJ$13:$AR$162,BN4909,0)+INDEX($AT$13:$BB$162,BO4909,0)+INDEX($BD$13:$BL$162,BP4909,0))/100)))),0)</f>
        <v/>
      </c>
      <c r="BS4909">
        <f>IF(4896&lt;$U$9,SUMPRODUCT(($D$9:$L$9+INT(($S$12:$AA$12+INDEX($AJ$13:$AR$162,BN4909,0)+INDEX($AT$13:$BB$162,BO4909,0)+INDEX($BD$13:$BL$162,BP4909,0))/100))),0)</f>
        <v/>
      </c>
      <c r="BT4909">
        <f>IF(AND(4896&lt;$U$9,$W$5),BQ4909*1000000-MIN(BR4909,999)*1000+BS4909-4896/100000,-1000000000-4896)</f>
        <v/>
      </c>
    </row>
    <row r="4910">
      <c r="BN4910">
        <f>IF(4897&lt;$U$9,INT(4897/($U$7*$U$8))+1,1)</f>
        <v/>
      </c>
      <c r="BO4910">
        <f>IF(4897&lt;$U$9,MOD(INT(4897/$U$8),$U$7)+1,1)</f>
        <v/>
      </c>
      <c r="BP4910">
        <f>IF(4897&lt;$U$9,MOD(4897,$U$8)+1,1)</f>
        <v/>
      </c>
      <c r="BQ4910">
        <f>IF(4897&lt;$U$9,SUMPRODUCT(($D$10:$L$10&lt;&gt;"")*(($D$9:$L$9+INT(($S$12:$AA$12+INDEX($AJ$13:$AR$162,BN4910,0)+INDEX($AT$13:$BB$162,BO4910,0)+INDEX($BD$13:$BL$162,BP4910,0))/100))&gt;=$D$10:$L$10)),0)</f>
        <v/>
      </c>
      <c r="BR4910">
        <f>IF(4897&lt;$U$9,SUMPRODUCT(($D$10:$L$10&lt;&gt;"")*(($D$10:$L$10-($D$9:$L$9+INT(($S$12:$AA$12+INDEX($AJ$13:$AR$162,BN4910,0)+INDEX($AT$13:$BB$162,BO4910,0)+INDEX($BD$13:$BL$162,BP4910,0))/100)))&gt;0)*($D$10:$L$10-($D$9:$L$9+INT(($S$12:$AA$12+INDEX($AJ$13:$AR$162,BN4910,0)+INDEX($AT$13:$BB$162,BO4910,0)+INDEX($BD$13:$BL$162,BP4910,0))/100)))),0)</f>
        <v/>
      </c>
      <c r="BS4910">
        <f>IF(4897&lt;$U$9,SUMPRODUCT(($D$9:$L$9+INT(($S$12:$AA$12+INDEX($AJ$13:$AR$162,BN4910,0)+INDEX($AT$13:$BB$162,BO4910,0)+INDEX($BD$13:$BL$162,BP4910,0))/100))),0)</f>
        <v/>
      </c>
      <c r="BT4910">
        <f>IF(AND(4897&lt;$U$9,$W$5),BQ4910*1000000-MIN(BR4910,999)*1000+BS4910-4897/100000,-1000000000-4897)</f>
        <v/>
      </c>
    </row>
    <row r="4911">
      <c r="BN4911">
        <f>IF(4898&lt;$U$9,INT(4898/($U$7*$U$8))+1,1)</f>
        <v/>
      </c>
      <c r="BO4911">
        <f>IF(4898&lt;$U$9,MOD(INT(4898/$U$8),$U$7)+1,1)</f>
        <v/>
      </c>
      <c r="BP4911">
        <f>IF(4898&lt;$U$9,MOD(4898,$U$8)+1,1)</f>
        <v/>
      </c>
      <c r="BQ4911">
        <f>IF(4898&lt;$U$9,SUMPRODUCT(($D$10:$L$10&lt;&gt;"")*(($D$9:$L$9+INT(($S$12:$AA$12+INDEX($AJ$13:$AR$162,BN4911,0)+INDEX($AT$13:$BB$162,BO4911,0)+INDEX($BD$13:$BL$162,BP4911,0))/100))&gt;=$D$10:$L$10)),0)</f>
        <v/>
      </c>
      <c r="BR4911">
        <f>IF(4898&lt;$U$9,SUMPRODUCT(($D$10:$L$10&lt;&gt;"")*(($D$10:$L$10-($D$9:$L$9+INT(($S$12:$AA$12+INDEX($AJ$13:$AR$162,BN4911,0)+INDEX($AT$13:$BB$162,BO4911,0)+INDEX($BD$13:$BL$162,BP4911,0))/100)))&gt;0)*($D$10:$L$10-($D$9:$L$9+INT(($S$12:$AA$12+INDEX($AJ$13:$AR$162,BN4911,0)+INDEX($AT$13:$BB$162,BO4911,0)+INDEX($BD$13:$BL$162,BP4911,0))/100)))),0)</f>
        <v/>
      </c>
      <c r="BS4911">
        <f>IF(4898&lt;$U$9,SUMPRODUCT(($D$9:$L$9+INT(($S$12:$AA$12+INDEX($AJ$13:$AR$162,BN4911,0)+INDEX($AT$13:$BB$162,BO4911,0)+INDEX($BD$13:$BL$162,BP4911,0))/100))),0)</f>
        <v/>
      </c>
      <c r="BT4911">
        <f>IF(AND(4898&lt;$U$9,$W$5),BQ4911*1000000-MIN(BR4911,999)*1000+BS4911-4898/100000,-1000000000-4898)</f>
        <v/>
      </c>
    </row>
    <row r="4912">
      <c r="BN4912">
        <f>IF(4899&lt;$U$9,INT(4899/($U$7*$U$8))+1,1)</f>
        <v/>
      </c>
      <c r="BO4912">
        <f>IF(4899&lt;$U$9,MOD(INT(4899/$U$8),$U$7)+1,1)</f>
        <v/>
      </c>
      <c r="BP4912">
        <f>IF(4899&lt;$U$9,MOD(4899,$U$8)+1,1)</f>
        <v/>
      </c>
      <c r="BQ4912">
        <f>IF(4899&lt;$U$9,SUMPRODUCT(($D$10:$L$10&lt;&gt;"")*(($D$9:$L$9+INT(($S$12:$AA$12+INDEX($AJ$13:$AR$162,BN4912,0)+INDEX($AT$13:$BB$162,BO4912,0)+INDEX($BD$13:$BL$162,BP4912,0))/100))&gt;=$D$10:$L$10)),0)</f>
        <v/>
      </c>
      <c r="BR4912">
        <f>IF(4899&lt;$U$9,SUMPRODUCT(($D$10:$L$10&lt;&gt;"")*(($D$10:$L$10-($D$9:$L$9+INT(($S$12:$AA$12+INDEX($AJ$13:$AR$162,BN4912,0)+INDEX($AT$13:$BB$162,BO4912,0)+INDEX($BD$13:$BL$162,BP4912,0))/100)))&gt;0)*($D$10:$L$10-($D$9:$L$9+INT(($S$12:$AA$12+INDEX($AJ$13:$AR$162,BN4912,0)+INDEX($AT$13:$BB$162,BO4912,0)+INDEX($BD$13:$BL$162,BP4912,0))/100)))),0)</f>
        <v/>
      </c>
      <c r="BS4912">
        <f>IF(4899&lt;$U$9,SUMPRODUCT(($D$9:$L$9+INT(($S$12:$AA$12+INDEX($AJ$13:$AR$162,BN4912,0)+INDEX($AT$13:$BB$162,BO4912,0)+INDEX($BD$13:$BL$162,BP4912,0))/100))),0)</f>
        <v/>
      </c>
      <c r="BT4912">
        <f>IF(AND(4899&lt;$U$9,$W$5),BQ4912*1000000-MIN(BR4912,999)*1000+BS4912-4899/100000,-1000000000-4899)</f>
        <v/>
      </c>
    </row>
    <row r="4913">
      <c r="BN4913">
        <f>IF(4900&lt;$U$9,INT(4900/($U$7*$U$8))+1,1)</f>
        <v/>
      </c>
      <c r="BO4913">
        <f>IF(4900&lt;$U$9,MOD(INT(4900/$U$8),$U$7)+1,1)</f>
        <v/>
      </c>
      <c r="BP4913">
        <f>IF(4900&lt;$U$9,MOD(4900,$U$8)+1,1)</f>
        <v/>
      </c>
      <c r="BQ4913">
        <f>IF(4900&lt;$U$9,SUMPRODUCT(($D$10:$L$10&lt;&gt;"")*(($D$9:$L$9+INT(($S$12:$AA$12+INDEX($AJ$13:$AR$162,BN4913,0)+INDEX($AT$13:$BB$162,BO4913,0)+INDEX($BD$13:$BL$162,BP4913,0))/100))&gt;=$D$10:$L$10)),0)</f>
        <v/>
      </c>
      <c r="BR4913">
        <f>IF(4900&lt;$U$9,SUMPRODUCT(($D$10:$L$10&lt;&gt;"")*(($D$10:$L$10-($D$9:$L$9+INT(($S$12:$AA$12+INDEX($AJ$13:$AR$162,BN4913,0)+INDEX($AT$13:$BB$162,BO4913,0)+INDEX($BD$13:$BL$162,BP4913,0))/100)))&gt;0)*($D$10:$L$10-($D$9:$L$9+INT(($S$12:$AA$12+INDEX($AJ$13:$AR$162,BN4913,0)+INDEX($AT$13:$BB$162,BO4913,0)+INDEX($BD$13:$BL$162,BP4913,0))/100)))),0)</f>
        <v/>
      </c>
      <c r="BS4913">
        <f>IF(4900&lt;$U$9,SUMPRODUCT(($D$9:$L$9+INT(($S$12:$AA$12+INDEX($AJ$13:$AR$162,BN4913,0)+INDEX($AT$13:$BB$162,BO4913,0)+INDEX($BD$13:$BL$162,BP4913,0))/100))),0)</f>
        <v/>
      </c>
      <c r="BT4913">
        <f>IF(AND(4900&lt;$U$9,$W$5),BQ4913*1000000-MIN(BR4913,999)*1000+BS4913-4900/100000,-1000000000-4900)</f>
        <v/>
      </c>
    </row>
    <row r="4914">
      <c r="BN4914">
        <f>IF(4901&lt;$U$9,INT(4901/($U$7*$U$8))+1,1)</f>
        <v/>
      </c>
      <c r="BO4914">
        <f>IF(4901&lt;$U$9,MOD(INT(4901/$U$8),$U$7)+1,1)</f>
        <v/>
      </c>
      <c r="BP4914">
        <f>IF(4901&lt;$U$9,MOD(4901,$U$8)+1,1)</f>
        <v/>
      </c>
      <c r="BQ4914">
        <f>IF(4901&lt;$U$9,SUMPRODUCT(($D$10:$L$10&lt;&gt;"")*(($D$9:$L$9+INT(($S$12:$AA$12+INDEX($AJ$13:$AR$162,BN4914,0)+INDEX($AT$13:$BB$162,BO4914,0)+INDEX($BD$13:$BL$162,BP4914,0))/100))&gt;=$D$10:$L$10)),0)</f>
        <v/>
      </c>
      <c r="BR4914">
        <f>IF(4901&lt;$U$9,SUMPRODUCT(($D$10:$L$10&lt;&gt;"")*(($D$10:$L$10-($D$9:$L$9+INT(($S$12:$AA$12+INDEX($AJ$13:$AR$162,BN4914,0)+INDEX($AT$13:$BB$162,BO4914,0)+INDEX($BD$13:$BL$162,BP4914,0))/100)))&gt;0)*($D$10:$L$10-($D$9:$L$9+INT(($S$12:$AA$12+INDEX($AJ$13:$AR$162,BN4914,0)+INDEX($AT$13:$BB$162,BO4914,0)+INDEX($BD$13:$BL$162,BP4914,0))/100)))),0)</f>
        <v/>
      </c>
      <c r="BS4914">
        <f>IF(4901&lt;$U$9,SUMPRODUCT(($D$9:$L$9+INT(($S$12:$AA$12+INDEX($AJ$13:$AR$162,BN4914,0)+INDEX($AT$13:$BB$162,BO4914,0)+INDEX($BD$13:$BL$162,BP4914,0))/100))),0)</f>
        <v/>
      </c>
      <c r="BT4914">
        <f>IF(AND(4901&lt;$U$9,$W$5),BQ4914*1000000-MIN(BR4914,999)*1000+BS4914-4901/100000,-1000000000-4901)</f>
        <v/>
      </c>
    </row>
    <row r="4915">
      <c r="BN4915">
        <f>IF(4902&lt;$U$9,INT(4902/($U$7*$U$8))+1,1)</f>
        <v/>
      </c>
      <c r="BO4915">
        <f>IF(4902&lt;$U$9,MOD(INT(4902/$U$8),$U$7)+1,1)</f>
        <v/>
      </c>
      <c r="BP4915">
        <f>IF(4902&lt;$U$9,MOD(4902,$U$8)+1,1)</f>
        <v/>
      </c>
      <c r="BQ4915">
        <f>IF(4902&lt;$U$9,SUMPRODUCT(($D$10:$L$10&lt;&gt;"")*(($D$9:$L$9+INT(($S$12:$AA$12+INDEX($AJ$13:$AR$162,BN4915,0)+INDEX($AT$13:$BB$162,BO4915,0)+INDEX($BD$13:$BL$162,BP4915,0))/100))&gt;=$D$10:$L$10)),0)</f>
        <v/>
      </c>
      <c r="BR4915">
        <f>IF(4902&lt;$U$9,SUMPRODUCT(($D$10:$L$10&lt;&gt;"")*(($D$10:$L$10-($D$9:$L$9+INT(($S$12:$AA$12+INDEX($AJ$13:$AR$162,BN4915,0)+INDEX($AT$13:$BB$162,BO4915,0)+INDEX($BD$13:$BL$162,BP4915,0))/100)))&gt;0)*($D$10:$L$10-($D$9:$L$9+INT(($S$12:$AA$12+INDEX($AJ$13:$AR$162,BN4915,0)+INDEX($AT$13:$BB$162,BO4915,0)+INDEX($BD$13:$BL$162,BP4915,0))/100)))),0)</f>
        <v/>
      </c>
      <c r="BS4915">
        <f>IF(4902&lt;$U$9,SUMPRODUCT(($D$9:$L$9+INT(($S$12:$AA$12+INDEX($AJ$13:$AR$162,BN4915,0)+INDEX($AT$13:$BB$162,BO4915,0)+INDEX($BD$13:$BL$162,BP4915,0))/100))),0)</f>
        <v/>
      </c>
      <c r="BT4915">
        <f>IF(AND(4902&lt;$U$9,$W$5),BQ4915*1000000-MIN(BR4915,999)*1000+BS4915-4902/100000,-1000000000-4902)</f>
        <v/>
      </c>
    </row>
    <row r="4916">
      <c r="BN4916">
        <f>IF(4903&lt;$U$9,INT(4903/($U$7*$U$8))+1,1)</f>
        <v/>
      </c>
      <c r="BO4916">
        <f>IF(4903&lt;$U$9,MOD(INT(4903/$U$8),$U$7)+1,1)</f>
        <v/>
      </c>
      <c r="BP4916">
        <f>IF(4903&lt;$U$9,MOD(4903,$U$8)+1,1)</f>
        <v/>
      </c>
      <c r="BQ4916">
        <f>IF(4903&lt;$U$9,SUMPRODUCT(($D$10:$L$10&lt;&gt;"")*(($D$9:$L$9+INT(($S$12:$AA$12+INDEX($AJ$13:$AR$162,BN4916,0)+INDEX($AT$13:$BB$162,BO4916,0)+INDEX($BD$13:$BL$162,BP4916,0))/100))&gt;=$D$10:$L$10)),0)</f>
        <v/>
      </c>
      <c r="BR4916">
        <f>IF(4903&lt;$U$9,SUMPRODUCT(($D$10:$L$10&lt;&gt;"")*(($D$10:$L$10-($D$9:$L$9+INT(($S$12:$AA$12+INDEX($AJ$13:$AR$162,BN4916,0)+INDEX($AT$13:$BB$162,BO4916,0)+INDEX($BD$13:$BL$162,BP4916,0))/100)))&gt;0)*($D$10:$L$10-($D$9:$L$9+INT(($S$12:$AA$12+INDEX($AJ$13:$AR$162,BN4916,0)+INDEX($AT$13:$BB$162,BO4916,0)+INDEX($BD$13:$BL$162,BP4916,0))/100)))),0)</f>
        <v/>
      </c>
      <c r="BS4916">
        <f>IF(4903&lt;$U$9,SUMPRODUCT(($D$9:$L$9+INT(($S$12:$AA$12+INDEX($AJ$13:$AR$162,BN4916,0)+INDEX($AT$13:$BB$162,BO4916,0)+INDEX($BD$13:$BL$162,BP4916,0))/100))),0)</f>
        <v/>
      </c>
      <c r="BT4916">
        <f>IF(AND(4903&lt;$U$9,$W$5),BQ4916*1000000-MIN(BR4916,999)*1000+BS4916-4903/100000,-1000000000-4903)</f>
        <v/>
      </c>
    </row>
    <row r="4917">
      <c r="BN4917">
        <f>IF(4904&lt;$U$9,INT(4904/($U$7*$U$8))+1,1)</f>
        <v/>
      </c>
      <c r="BO4917">
        <f>IF(4904&lt;$U$9,MOD(INT(4904/$U$8),$U$7)+1,1)</f>
        <v/>
      </c>
      <c r="BP4917">
        <f>IF(4904&lt;$U$9,MOD(4904,$U$8)+1,1)</f>
        <v/>
      </c>
      <c r="BQ4917">
        <f>IF(4904&lt;$U$9,SUMPRODUCT(($D$10:$L$10&lt;&gt;"")*(($D$9:$L$9+INT(($S$12:$AA$12+INDEX($AJ$13:$AR$162,BN4917,0)+INDEX($AT$13:$BB$162,BO4917,0)+INDEX($BD$13:$BL$162,BP4917,0))/100))&gt;=$D$10:$L$10)),0)</f>
        <v/>
      </c>
      <c r="BR4917">
        <f>IF(4904&lt;$U$9,SUMPRODUCT(($D$10:$L$10&lt;&gt;"")*(($D$10:$L$10-($D$9:$L$9+INT(($S$12:$AA$12+INDEX($AJ$13:$AR$162,BN4917,0)+INDEX($AT$13:$BB$162,BO4917,0)+INDEX($BD$13:$BL$162,BP4917,0))/100)))&gt;0)*($D$10:$L$10-($D$9:$L$9+INT(($S$12:$AA$12+INDEX($AJ$13:$AR$162,BN4917,0)+INDEX($AT$13:$BB$162,BO4917,0)+INDEX($BD$13:$BL$162,BP4917,0))/100)))),0)</f>
        <v/>
      </c>
      <c r="BS4917">
        <f>IF(4904&lt;$U$9,SUMPRODUCT(($D$9:$L$9+INT(($S$12:$AA$12+INDEX($AJ$13:$AR$162,BN4917,0)+INDEX($AT$13:$BB$162,BO4917,0)+INDEX($BD$13:$BL$162,BP4917,0))/100))),0)</f>
        <v/>
      </c>
      <c r="BT4917">
        <f>IF(AND(4904&lt;$U$9,$W$5),BQ4917*1000000-MIN(BR4917,999)*1000+BS4917-4904/100000,-1000000000-4904)</f>
        <v/>
      </c>
    </row>
    <row r="4918">
      <c r="BN4918">
        <f>IF(4905&lt;$U$9,INT(4905/($U$7*$U$8))+1,1)</f>
        <v/>
      </c>
      <c r="BO4918">
        <f>IF(4905&lt;$U$9,MOD(INT(4905/$U$8),$U$7)+1,1)</f>
        <v/>
      </c>
      <c r="BP4918">
        <f>IF(4905&lt;$U$9,MOD(4905,$U$8)+1,1)</f>
        <v/>
      </c>
      <c r="BQ4918">
        <f>IF(4905&lt;$U$9,SUMPRODUCT(($D$10:$L$10&lt;&gt;"")*(($D$9:$L$9+INT(($S$12:$AA$12+INDEX($AJ$13:$AR$162,BN4918,0)+INDEX($AT$13:$BB$162,BO4918,0)+INDEX($BD$13:$BL$162,BP4918,0))/100))&gt;=$D$10:$L$10)),0)</f>
        <v/>
      </c>
      <c r="BR4918">
        <f>IF(4905&lt;$U$9,SUMPRODUCT(($D$10:$L$10&lt;&gt;"")*(($D$10:$L$10-($D$9:$L$9+INT(($S$12:$AA$12+INDEX($AJ$13:$AR$162,BN4918,0)+INDEX($AT$13:$BB$162,BO4918,0)+INDEX($BD$13:$BL$162,BP4918,0))/100)))&gt;0)*($D$10:$L$10-($D$9:$L$9+INT(($S$12:$AA$12+INDEX($AJ$13:$AR$162,BN4918,0)+INDEX($AT$13:$BB$162,BO4918,0)+INDEX($BD$13:$BL$162,BP4918,0))/100)))),0)</f>
        <v/>
      </c>
      <c r="BS4918">
        <f>IF(4905&lt;$U$9,SUMPRODUCT(($D$9:$L$9+INT(($S$12:$AA$12+INDEX($AJ$13:$AR$162,BN4918,0)+INDEX($AT$13:$BB$162,BO4918,0)+INDEX($BD$13:$BL$162,BP4918,0))/100))),0)</f>
        <v/>
      </c>
      <c r="BT4918">
        <f>IF(AND(4905&lt;$U$9,$W$5),BQ4918*1000000-MIN(BR4918,999)*1000+BS4918-4905/100000,-1000000000-4905)</f>
        <v/>
      </c>
    </row>
    <row r="4919">
      <c r="BN4919">
        <f>IF(4906&lt;$U$9,INT(4906/($U$7*$U$8))+1,1)</f>
        <v/>
      </c>
      <c r="BO4919">
        <f>IF(4906&lt;$U$9,MOD(INT(4906/$U$8),$U$7)+1,1)</f>
        <v/>
      </c>
      <c r="BP4919">
        <f>IF(4906&lt;$U$9,MOD(4906,$U$8)+1,1)</f>
        <v/>
      </c>
      <c r="BQ4919">
        <f>IF(4906&lt;$U$9,SUMPRODUCT(($D$10:$L$10&lt;&gt;"")*(($D$9:$L$9+INT(($S$12:$AA$12+INDEX($AJ$13:$AR$162,BN4919,0)+INDEX($AT$13:$BB$162,BO4919,0)+INDEX($BD$13:$BL$162,BP4919,0))/100))&gt;=$D$10:$L$10)),0)</f>
        <v/>
      </c>
      <c r="BR4919">
        <f>IF(4906&lt;$U$9,SUMPRODUCT(($D$10:$L$10&lt;&gt;"")*(($D$10:$L$10-($D$9:$L$9+INT(($S$12:$AA$12+INDEX($AJ$13:$AR$162,BN4919,0)+INDEX($AT$13:$BB$162,BO4919,0)+INDEX($BD$13:$BL$162,BP4919,0))/100)))&gt;0)*($D$10:$L$10-($D$9:$L$9+INT(($S$12:$AA$12+INDEX($AJ$13:$AR$162,BN4919,0)+INDEX($AT$13:$BB$162,BO4919,0)+INDEX($BD$13:$BL$162,BP4919,0))/100)))),0)</f>
        <v/>
      </c>
      <c r="BS4919">
        <f>IF(4906&lt;$U$9,SUMPRODUCT(($D$9:$L$9+INT(($S$12:$AA$12+INDEX($AJ$13:$AR$162,BN4919,0)+INDEX($AT$13:$BB$162,BO4919,0)+INDEX($BD$13:$BL$162,BP4919,0))/100))),0)</f>
        <v/>
      </c>
      <c r="BT4919">
        <f>IF(AND(4906&lt;$U$9,$W$5),BQ4919*1000000-MIN(BR4919,999)*1000+BS4919-4906/100000,-1000000000-4906)</f>
        <v/>
      </c>
    </row>
    <row r="4920">
      <c r="BN4920">
        <f>IF(4907&lt;$U$9,INT(4907/($U$7*$U$8))+1,1)</f>
        <v/>
      </c>
      <c r="BO4920">
        <f>IF(4907&lt;$U$9,MOD(INT(4907/$U$8),$U$7)+1,1)</f>
        <v/>
      </c>
      <c r="BP4920">
        <f>IF(4907&lt;$U$9,MOD(4907,$U$8)+1,1)</f>
        <v/>
      </c>
      <c r="BQ4920">
        <f>IF(4907&lt;$U$9,SUMPRODUCT(($D$10:$L$10&lt;&gt;"")*(($D$9:$L$9+INT(($S$12:$AA$12+INDEX($AJ$13:$AR$162,BN4920,0)+INDEX($AT$13:$BB$162,BO4920,0)+INDEX($BD$13:$BL$162,BP4920,0))/100))&gt;=$D$10:$L$10)),0)</f>
        <v/>
      </c>
      <c r="BR4920">
        <f>IF(4907&lt;$U$9,SUMPRODUCT(($D$10:$L$10&lt;&gt;"")*(($D$10:$L$10-($D$9:$L$9+INT(($S$12:$AA$12+INDEX($AJ$13:$AR$162,BN4920,0)+INDEX($AT$13:$BB$162,BO4920,0)+INDEX($BD$13:$BL$162,BP4920,0))/100)))&gt;0)*($D$10:$L$10-($D$9:$L$9+INT(($S$12:$AA$12+INDEX($AJ$13:$AR$162,BN4920,0)+INDEX($AT$13:$BB$162,BO4920,0)+INDEX($BD$13:$BL$162,BP4920,0))/100)))),0)</f>
        <v/>
      </c>
      <c r="BS4920">
        <f>IF(4907&lt;$U$9,SUMPRODUCT(($D$9:$L$9+INT(($S$12:$AA$12+INDEX($AJ$13:$AR$162,BN4920,0)+INDEX($AT$13:$BB$162,BO4920,0)+INDEX($BD$13:$BL$162,BP4920,0))/100))),0)</f>
        <v/>
      </c>
      <c r="BT4920">
        <f>IF(AND(4907&lt;$U$9,$W$5),BQ4920*1000000-MIN(BR4920,999)*1000+BS4920-4907/100000,-1000000000-4907)</f>
        <v/>
      </c>
    </row>
    <row r="4921">
      <c r="BN4921">
        <f>IF(4908&lt;$U$9,INT(4908/($U$7*$U$8))+1,1)</f>
        <v/>
      </c>
      <c r="BO4921">
        <f>IF(4908&lt;$U$9,MOD(INT(4908/$U$8),$U$7)+1,1)</f>
        <v/>
      </c>
      <c r="BP4921">
        <f>IF(4908&lt;$U$9,MOD(4908,$U$8)+1,1)</f>
        <v/>
      </c>
      <c r="BQ4921">
        <f>IF(4908&lt;$U$9,SUMPRODUCT(($D$10:$L$10&lt;&gt;"")*(($D$9:$L$9+INT(($S$12:$AA$12+INDEX($AJ$13:$AR$162,BN4921,0)+INDEX($AT$13:$BB$162,BO4921,0)+INDEX($BD$13:$BL$162,BP4921,0))/100))&gt;=$D$10:$L$10)),0)</f>
        <v/>
      </c>
      <c r="BR4921">
        <f>IF(4908&lt;$U$9,SUMPRODUCT(($D$10:$L$10&lt;&gt;"")*(($D$10:$L$10-($D$9:$L$9+INT(($S$12:$AA$12+INDEX($AJ$13:$AR$162,BN4921,0)+INDEX($AT$13:$BB$162,BO4921,0)+INDEX($BD$13:$BL$162,BP4921,0))/100)))&gt;0)*($D$10:$L$10-($D$9:$L$9+INT(($S$12:$AA$12+INDEX($AJ$13:$AR$162,BN4921,0)+INDEX($AT$13:$BB$162,BO4921,0)+INDEX($BD$13:$BL$162,BP4921,0))/100)))),0)</f>
        <v/>
      </c>
      <c r="BS4921">
        <f>IF(4908&lt;$U$9,SUMPRODUCT(($D$9:$L$9+INT(($S$12:$AA$12+INDEX($AJ$13:$AR$162,BN4921,0)+INDEX($AT$13:$BB$162,BO4921,0)+INDEX($BD$13:$BL$162,BP4921,0))/100))),0)</f>
        <v/>
      </c>
      <c r="BT4921">
        <f>IF(AND(4908&lt;$U$9,$W$5),BQ4921*1000000-MIN(BR4921,999)*1000+BS4921-4908/100000,-1000000000-4908)</f>
        <v/>
      </c>
    </row>
    <row r="4922">
      <c r="BN4922">
        <f>IF(4909&lt;$U$9,INT(4909/($U$7*$U$8))+1,1)</f>
        <v/>
      </c>
      <c r="BO4922">
        <f>IF(4909&lt;$U$9,MOD(INT(4909/$U$8),$U$7)+1,1)</f>
        <v/>
      </c>
      <c r="BP4922">
        <f>IF(4909&lt;$U$9,MOD(4909,$U$8)+1,1)</f>
        <v/>
      </c>
      <c r="BQ4922">
        <f>IF(4909&lt;$U$9,SUMPRODUCT(($D$10:$L$10&lt;&gt;"")*(($D$9:$L$9+INT(($S$12:$AA$12+INDEX($AJ$13:$AR$162,BN4922,0)+INDEX($AT$13:$BB$162,BO4922,0)+INDEX($BD$13:$BL$162,BP4922,0))/100))&gt;=$D$10:$L$10)),0)</f>
        <v/>
      </c>
      <c r="BR4922">
        <f>IF(4909&lt;$U$9,SUMPRODUCT(($D$10:$L$10&lt;&gt;"")*(($D$10:$L$10-($D$9:$L$9+INT(($S$12:$AA$12+INDEX($AJ$13:$AR$162,BN4922,0)+INDEX($AT$13:$BB$162,BO4922,0)+INDEX($BD$13:$BL$162,BP4922,0))/100)))&gt;0)*($D$10:$L$10-($D$9:$L$9+INT(($S$12:$AA$12+INDEX($AJ$13:$AR$162,BN4922,0)+INDEX($AT$13:$BB$162,BO4922,0)+INDEX($BD$13:$BL$162,BP4922,0))/100)))),0)</f>
        <v/>
      </c>
      <c r="BS4922">
        <f>IF(4909&lt;$U$9,SUMPRODUCT(($D$9:$L$9+INT(($S$12:$AA$12+INDEX($AJ$13:$AR$162,BN4922,0)+INDEX($AT$13:$BB$162,BO4922,0)+INDEX($BD$13:$BL$162,BP4922,0))/100))),0)</f>
        <v/>
      </c>
      <c r="BT4922">
        <f>IF(AND(4909&lt;$U$9,$W$5),BQ4922*1000000-MIN(BR4922,999)*1000+BS4922-4909/100000,-1000000000-4909)</f>
        <v/>
      </c>
    </row>
    <row r="4923">
      <c r="BN4923">
        <f>IF(4910&lt;$U$9,INT(4910/($U$7*$U$8))+1,1)</f>
        <v/>
      </c>
      <c r="BO4923">
        <f>IF(4910&lt;$U$9,MOD(INT(4910/$U$8),$U$7)+1,1)</f>
        <v/>
      </c>
      <c r="BP4923">
        <f>IF(4910&lt;$U$9,MOD(4910,$U$8)+1,1)</f>
        <v/>
      </c>
      <c r="BQ4923">
        <f>IF(4910&lt;$U$9,SUMPRODUCT(($D$10:$L$10&lt;&gt;"")*(($D$9:$L$9+INT(($S$12:$AA$12+INDEX($AJ$13:$AR$162,BN4923,0)+INDEX($AT$13:$BB$162,BO4923,0)+INDEX($BD$13:$BL$162,BP4923,0))/100))&gt;=$D$10:$L$10)),0)</f>
        <v/>
      </c>
      <c r="BR4923">
        <f>IF(4910&lt;$U$9,SUMPRODUCT(($D$10:$L$10&lt;&gt;"")*(($D$10:$L$10-($D$9:$L$9+INT(($S$12:$AA$12+INDEX($AJ$13:$AR$162,BN4923,0)+INDEX($AT$13:$BB$162,BO4923,0)+INDEX($BD$13:$BL$162,BP4923,0))/100)))&gt;0)*($D$10:$L$10-($D$9:$L$9+INT(($S$12:$AA$12+INDEX($AJ$13:$AR$162,BN4923,0)+INDEX($AT$13:$BB$162,BO4923,0)+INDEX($BD$13:$BL$162,BP4923,0))/100)))),0)</f>
        <v/>
      </c>
      <c r="BS4923">
        <f>IF(4910&lt;$U$9,SUMPRODUCT(($D$9:$L$9+INT(($S$12:$AA$12+INDEX($AJ$13:$AR$162,BN4923,0)+INDEX($AT$13:$BB$162,BO4923,0)+INDEX($BD$13:$BL$162,BP4923,0))/100))),0)</f>
        <v/>
      </c>
      <c r="BT4923">
        <f>IF(AND(4910&lt;$U$9,$W$5),BQ4923*1000000-MIN(BR4923,999)*1000+BS4923-4910/100000,-1000000000-4910)</f>
        <v/>
      </c>
    </row>
    <row r="4924">
      <c r="BN4924">
        <f>IF(4911&lt;$U$9,INT(4911/($U$7*$U$8))+1,1)</f>
        <v/>
      </c>
      <c r="BO4924">
        <f>IF(4911&lt;$U$9,MOD(INT(4911/$U$8),$U$7)+1,1)</f>
        <v/>
      </c>
      <c r="BP4924">
        <f>IF(4911&lt;$U$9,MOD(4911,$U$8)+1,1)</f>
        <v/>
      </c>
      <c r="BQ4924">
        <f>IF(4911&lt;$U$9,SUMPRODUCT(($D$10:$L$10&lt;&gt;"")*(($D$9:$L$9+INT(($S$12:$AA$12+INDEX($AJ$13:$AR$162,BN4924,0)+INDEX($AT$13:$BB$162,BO4924,0)+INDEX($BD$13:$BL$162,BP4924,0))/100))&gt;=$D$10:$L$10)),0)</f>
        <v/>
      </c>
      <c r="BR4924">
        <f>IF(4911&lt;$U$9,SUMPRODUCT(($D$10:$L$10&lt;&gt;"")*(($D$10:$L$10-($D$9:$L$9+INT(($S$12:$AA$12+INDEX($AJ$13:$AR$162,BN4924,0)+INDEX($AT$13:$BB$162,BO4924,0)+INDEX($BD$13:$BL$162,BP4924,0))/100)))&gt;0)*($D$10:$L$10-($D$9:$L$9+INT(($S$12:$AA$12+INDEX($AJ$13:$AR$162,BN4924,0)+INDEX($AT$13:$BB$162,BO4924,0)+INDEX($BD$13:$BL$162,BP4924,0))/100)))),0)</f>
        <v/>
      </c>
      <c r="BS4924">
        <f>IF(4911&lt;$U$9,SUMPRODUCT(($D$9:$L$9+INT(($S$12:$AA$12+INDEX($AJ$13:$AR$162,BN4924,0)+INDEX($AT$13:$BB$162,BO4924,0)+INDEX($BD$13:$BL$162,BP4924,0))/100))),0)</f>
        <v/>
      </c>
      <c r="BT4924">
        <f>IF(AND(4911&lt;$U$9,$W$5),BQ4924*1000000-MIN(BR4924,999)*1000+BS4924-4911/100000,-1000000000-4911)</f>
        <v/>
      </c>
    </row>
    <row r="4925">
      <c r="BN4925">
        <f>IF(4912&lt;$U$9,INT(4912/($U$7*$U$8))+1,1)</f>
        <v/>
      </c>
      <c r="BO4925">
        <f>IF(4912&lt;$U$9,MOD(INT(4912/$U$8),$U$7)+1,1)</f>
        <v/>
      </c>
      <c r="BP4925">
        <f>IF(4912&lt;$U$9,MOD(4912,$U$8)+1,1)</f>
        <v/>
      </c>
      <c r="BQ4925">
        <f>IF(4912&lt;$U$9,SUMPRODUCT(($D$10:$L$10&lt;&gt;"")*(($D$9:$L$9+INT(($S$12:$AA$12+INDEX($AJ$13:$AR$162,BN4925,0)+INDEX($AT$13:$BB$162,BO4925,0)+INDEX($BD$13:$BL$162,BP4925,0))/100))&gt;=$D$10:$L$10)),0)</f>
        <v/>
      </c>
      <c r="BR4925">
        <f>IF(4912&lt;$U$9,SUMPRODUCT(($D$10:$L$10&lt;&gt;"")*(($D$10:$L$10-($D$9:$L$9+INT(($S$12:$AA$12+INDEX($AJ$13:$AR$162,BN4925,0)+INDEX($AT$13:$BB$162,BO4925,0)+INDEX($BD$13:$BL$162,BP4925,0))/100)))&gt;0)*($D$10:$L$10-($D$9:$L$9+INT(($S$12:$AA$12+INDEX($AJ$13:$AR$162,BN4925,0)+INDEX($AT$13:$BB$162,BO4925,0)+INDEX($BD$13:$BL$162,BP4925,0))/100)))),0)</f>
        <v/>
      </c>
      <c r="BS4925">
        <f>IF(4912&lt;$U$9,SUMPRODUCT(($D$9:$L$9+INT(($S$12:$AA$12+INDEX($AJ$13:$AR$162,BN4925,0)+INDEX($AT$13:$BB$162,BO4925,0)+INDEX($BD$13:$BL$162,BP4925,0))/100))),0)</f>
        <v/>
      </c>
      <c r="BT4925">
        <f>IF(AND(4912&lt;$U$9,$W$5),BQ4925*1000000-MIN(BR4925,999)*1000+BS4925-4912/100000,-1000000000-4912)</f>
        <v/>
      </c>
    </row>
    <row r="4926">
      <c r="BN4926">
        <f>IF(4913&lt;$U$9,INT(4913/($U$7*$U$8))+1,1)</f>
        <v/>
      </c>
      <c r="BO4926">
        <f>IF(4913&lt;$U$9,MOD(INT(4913/$U$8),$U$7)+1,1)</f>
        <v/>
      </c>
      <c r="BP4926">
        <f>IF(4913&lt;$U$9,MOD(4913,$U$8)+1,1)</f>
        <v/>
      </c>
      <c r="BQ4926">
        <f>IF(4913&lt;$U$9,SUMPRODUCT(($D$10:$L$10&lt;&gt;"")*(($D$9:$L$9+INT(($S$12:$AA$12+INDEX($AJ$13:$AR$162,BN4926,0)+INDEX($AT$13:$BB$162,BO4926,0)+INDEX($BD$13:$BL$162,BP4926,0))/100))&gt;=$D$10:$L$10)),0)</f>
        <v/>
      </c>
      <c r="BR4926">
        <f>IF(4913&lt;$U$9,SUMPRODUCT(($D$10:$L$10&lt;&gt;"")*(($D$10:$L$10-($D$9:$L$9+INT(($S$12:$AA$12+INDEX($AJ$13:$AR$162,BN4926,0)+INDEX($AT$13:$BB$162,BO4926,0)+INDEX($BD$13:$BL$162,BP4926,0))/100)))&gt;0)*($D$10:$L$10-($D$9:$L$9+INT(($S$12:$AA$12+INDEX($AJ$13:$AR$162,BN4926,0)+INDEX($AT$13:$BB$162,BO4926,0)+INDEX($BD$13:$BL$162,BP4926,0))/100)))),0)</f>
        <v/>
      </c>
      <c r="BS4926">
        <f>IF(4913&lt;$U$9,SUMPRODUCT(($D$9:$L$9+INT(($S$12:$AA$12+INDEX($AJ$13:$AR$162,BN4926,0)+INDEX($AT$13:$BB$162,BO4926,0)+INDEX($BD$13:$BL$162,BP4926,0))/100))),0)</f>
        <v/>
      </c>
      <c r="BT4926">
        <f>IF(AND(4913&lt;$U$9,$W$5),BQ4926*1000000-MIN(BR4926,999)*1000+BS4926-4913/100000,-1000000000-4913)</f>
        <v/>
      </c>
    </row>
    <row r="4927">
      <c r="BN4927">
        <f>IF(4914&lt;$U$9,INT(4914/($U$7*$U$8))+1,1)</f>
        <v/>
      </c>
      <c r="BO4927">
        <f>IF(4914&lt;$U$9,MOD(INT(4914/$U$8),$U$7)+1,1)</f>
        <v/>
      </c>
      <c r="BP4927">
        <f>IF(4914&lt;$U$9,MOD(4914,$U$8)+1,1)</f>
        <v/>
      </c>
      <c r="BQ4927">
        <f>IF(4914&lt;$U$9,SUMPRODUCT(($D$10:$L$10&lt;&gt;"")*(($D$9:$L$9+INT(($S$12:$AA$12+INDEX($AJ$13:$AR$162,BN4927,0)+INDEX($AT$13:$BB$162,BO4927,0)+INDEX($BD$13:$BL$162,BP4927,0))/100))&gt;=$D$10:$L$10)),0)</f>
        <v/>
      </c>
      <c r="BR4927">
        <f>IF(4914&lt;$U$9,SUMPRODUCT(($D$10:$L$10&lt;&gt;"")*(($D$10:$L$10-($D$9:$L$9+INT(($S$12:$AA$12+INDEX($AJ$13:$AR$162,BN4927,0)+INDEX($AT$13:$BB$162,BO4927,0)+INDEX($BD$13:$BL$162,BP4927,0))/100)))&gt;0)*($D$10:$L$10-($D$9:$L$9+INT(($S$12:$AA$12+INDEX($AJ$13:$AR$162,BN4927,0)+INDEX($AT$13:$BB$162,BO4927,0)+INDEX($BD$13:$BL$162,BP4927,0))/100)))),0)</f>
        <v/>
      </c>
      <c r="BS4927">
        <f>IF(4914&lt;$U$9,SUMPRODUCT(($D$9:$L$9+INT(($S$12:$AA$12+INDEX($AJ$13:$AR$162,BN4927,0)+INDEX($AT$13:$BB$162,BO4927,0)+INDEX($BD$13:$BL$162,BP4927,0))/100))),0)</f>
        <v/>
      </c>
      <c r="BT4927">
        <f>IF(AND(4914&lt;$U$9,$W$5),BQ4927*1000000-MIN(BR4927,999)*1000+BS4927-4914/100000,-1000000000-4914)</f>
        <v/>
      </c>
    </row>
    <row r="4928">
      <c r="BN4928">
        <f>IF(4915&lt;$U$9,INT(4915/($U$7*$U$8))+1,1)</f>
        <v/>
      </c>
      <c r="BO4928">
        <f>IF(4915&lt;$U$9,MOD(INT(4915/$U$8),$U$7)+1,1)</f>
        <v/>
      </c>
      <c r="BP4928">
        <f>IF(4915&lt;$U$9,MOD(4915,$U$8)+1,1)</f>
        <v/>
      </c>
      <c r="BQ4928">
        <f>IF(4915&lt;$U$9,SUMPRODUCT(($D$10:$L$10&lt;&gt;"")*(($D$9:$L$9+INT(($S$12:$AA$12+INDEX($AJ$13:$AR$162,BN4928,0)+INDEX($AT$13:$BB$162,BO4928,0)+INDEX($BD$13:$BL$162,BP4928,0))/100))&gt;=$D$10:$L$10)),0)</f>
        <v/>
      </c>
      <c r="BR4928">
        <f>IF(4915&lt;$U$9,SUMPRODUCT(($D$10:$L$10&lt;&gt;"")*(($D$10:$L$10-($D$9:$L$9+INT(($S$12:$AA$12+INDEX($AJ$13:$AR$162,BN4928,0)+INDEX($AT$13:$BB$162,BO4928,0)+INDEX($BD$13:$BL$162,BP4928,0))/100)))&gt;0)*($D$10:$L$10-($D$9:$L$9+INT(($S$12:$AA$12+INDEX($AJ$13:$AR$162,BN4928,0)+INDEX($AT$13:$BB$162,BO4928,0)+INDEX($BD$13:$BL$162,BP4928,0))/100)))),0)</f>
        <v/>
      </c>
      <c r="BS4928">
        <f>IF(4915&lt;$U$9,SUMPRODUCT(($D$9:$L$9+INT(($S$12:$AA$12+INDEX($AJ$13:$AR$162,BN4928,0)+INDEX($AT$13:$BB$162,BO4928,0)+INDEX($BD$13:$BL$162,BP4928,0))/100))),0)</f>
        <v/>
      </c>
      <c r="BT4928">
        <f>IF(AND(4915&lt;$U$9,$W$5),BQ4928*1000000-MIN(BR4928,999)*1000+BS4928-4915/100000,-1000000000-4915)</f>
        <v/>
      </c>
    </row>
    <row r="4929">
      <c r="BN4929">
        <f>IF(4916&lt;$U$9,INT(4916/($U$7*$U$8))+1,1)</f>
        <v/>
      </c>
      <c r="BO4929">
        <f>IF(4916&lt;$U$9,MOD(INT(4916/$U$8),$U$7)+1,1)</f>
        <v/>
      </c>
      <c r="BP4929">
        <f>IF(4916&lt;$U$9,MOD(4916,$U$8)+1,1)</f>
        <v/>
      </c>
      <c r="BQ4929">
        <f>IF(4916&lt;$U$9,SUMPRODUCT(($D$10:$L$10&lt;&gt;"")*(($D$9:$L$9+INT(($S$12:$AA$12+INDEX($AJ$13:$AR$162,BN4929,0)+INDEX($AT$13:$BB$162,BO4929,0)+INDEX($BD$13:$BL$162,BP4929,0))/100))&gt;=$D$10:$L$10)),0)</f>
        <v/>
      </c>
      <c r="BR4929">
        <f>IF(4916&lt;$U$9,SUMPRODUCT(($D$10:$L$10&lt;&gt;"")*(($D$10:$L$10-($D$9:$L$9+INT(($S$12:$AA$12+INDEX($AJ$13:$AR$162,BN4929,0)+INDEX($AT$13:$BB$162,BO4929,0)+INDEX($BD$13:$BL$162,BP4929,0))/100)))&gt;0)*($D$10:$L$10-($D$9:$L$9+INT(($S$12:$AA$12+INDEX($AJ$13:$AR$162,BN4929,0)+INDEX($AT$13:$BB$162,BO4929,0)+INDEX($BD$13:$BL$162,BP4929,0))/100)))),0)</f>
        <v/>
      </c>
      <c r="BS4929">
        <f>IF(4916&lt;$U$9,SUMPRODUCT(($D$9:$L$9+INT(($S$12:$AA$12+INDEX($AJ$13:$AR$162,BN4929,0)+INDEX($AT$13:$BB$162,BO4929,0)+INDEX($BD$13:$BL$162,BP4929,0))/100))),0)</f>
        <v/>
      </c>
      <c r="BT4929">
        <f>IF(AND(4916&lt;$U$9,$W$5),BQ4929*1000000-MIN(BR4929,999)*1000+BS4929-4916/100000,-1000000000-4916)</f>
        <v/>
      </c>
    </row>
    <row r="4930">
      <c r="BN4930">
        <f>IF(4917&lt;$U$9,INT(4917/($U$7*$U$8))+1,1)</f>
        <v/>
      </c>
      <c r="BO4930">
        <f>IF(4917&lt;$U$9,MOD(INT(4917/$U$8),$U$7)+1,1)</f>
        <v/>
      </c>
      <c r="BP4930">
        <f>IF(4917&lt;$U$9,MOD(4917,$U$8)+1,1)</f>
        <v/>
      </c>
      <c r="BQ4930">
        <f>IF(4917&lt;$U$9,SUMPRODUCT(($D$10:$L$10&lt;&gt;"")*(($D$9:$L$9+INT(($S$12:$AA$12+INDEX($AJ$13:$AR$162,BN4930,0)+INDEX($AT$13:$BB$162,BO4930,0)+INDEX($BD$13:$BL$162,BP4930,0))/100))&gt;=$D$10:$L$10)),0)</f>
        <v/>
      </c>
      <c r="BR4930">
        <f>IF(4917&lt;$U$9,SUMPRODUCT(($D$10:$L$10&lt;&gt;"")*(($D$10:$L$10-($D$9:$L$9+INT(($S$12:$AA$12+INDEX($AJ$13:$AR$162,BN4930,0)+INDEX($AT$13:$BB$162,BO4930,0)+INDEX($BD$13:$BL$162,BP4930,0))/100)))&gt;0)*($D$10:$L$10-($D$9:$L$9+INT(($S$12:$AA$12+INDEX($AJ$13:$AR$162,BN4930,0)+INDEX($AT$13:$BB$162,BO4930,0)+INDEX($BD$13:$BL$162,BP4930,0))/100)))),0)</f>
        <v/>
      </c>
      <c r="BS4930">
        <f>IF(4917&lt;$U$9,SUMPRODUCT(($D$9:$L$9+INT(($S$12:$AA$12+INDEX($AJ$13:$AR$162,BN4930,0)+INDEX($AT$13:$BB$162,BO4930,0)+INDEX($BD$13:$BL$162,BP4930,0))/100))),0)</f>
        <v/>
      </c>
      <c r="BT4930">
        <f>IF(AND(4917&lt;$U$9,$W$5),BQ4930*1000000-MIN(BR4930,999)*1000+BS4930-4917/100000,-1000000000-4917)</f>
        <v/>
      </c>
    </row>
    <row r="4931">
      <c r="BN4931">
        <f>IF(4918&lt;$U$9,INT(4918/($U$7*$U$8))+1,1)</f>
        <v/>
      </c>
      <c r="BO4931">
        <f>IF(4918&lt;$U$9,MOD(INT(4918/$U$8),$U$7)+1,1)</f>
        <v/>
      </c>
      <c r="BP4931">
        <f>IF(4918&lt;$U$9,MOD(4918,$U$8)+1,1)</f>
        <v/>
      </c>
      <c r="BQ4931">
        <f>IF(4918&lt;$U$9,SUMPRODUCT(($D$10:$L$10&lt;&gt;"")*(($D$9:$L$9+INT(($S$12:$AA$12+INDEX($AJ$13:$AR$162,BN4931,0)+INDEX($AT$13:$BB$162,BO4931,0)+INDEX($BD$13:$BL$162,BP4931,0))/100))&gt;=$D$10:$L$10)),0)</f>
        <v/>
      </c>
      <c r="BR4931">
        <f>IF(4918&lt;$U$9,SUMPRODUCT(($D$10:$L$10&lt;&gt;"")*(($D$10:$L$10-($D$9:$L$9+INT(($S$12:$AA$12+INDEX($AJ$13:$AR$162,BN4931,0)+INDEX($AT$13:$BB$162,BO4931,0)+INDEX($BD$13:$BL$162,BP4931,0))/100)))&gt;0)*($D$10:$L$10-($D$9:$L$9+INT(($S$12:$AA$12+INDEX($AJ$13:$AR$162,BN4931,0)+INDEX($AT$13:$BB$162,BO4931,0)+INDEX($BD$13:$BL$162,BP4931,0))/100)))),0)</f>
        <v/>
      </c>
      <c r="BS4931">
        <f>IF(4918&lt;$U$9,SUMPRODUCT(($D$9:$L$9+INT(($S$12:$AA$12+INDEX($AJ$13:$AR$162,BN4931,0)+INDEX($AT$13:$BB$162,BO4931,0)+INDEX($BD$13:$BL$162,BP4931,0))/100))),0)</f>
        <v/>
      </c>
      <c r="BT4931">
        <f>IF(AND(4918&lt;$U$9,$W$5),BQ4931*1000000-MIN(BR4931,999)*1000+BS4931-4918/100000,-1000000000-4918)</f>
        <v/>
      </c>
    </row>
    <row r="4932">
      <c r="BN4932">
        <f>IF(4919&lt;$U$9,INT(4919/($U$7*$U$8))+1,1)</f>
        <v/>
      </c>
      <c r="BO4932">
        <f>IF(4919&lt;$U$9,MOD(INT(4919/$U$8),$U$7)+1,1)</f>
        <v/>
      </c>
      <c r="BP4932">
        <f>IF(4919&lt;$U$9,MOD(4919,$U$8)+1,1)</f>
        <v/>
      </c>
      <c r="BQ4932">
        <f>IF(4919&lt;$U$9,SUMPRODUCT(($D$10:$L$10&lt;&gt;"")*(($D$9:$L$9+INT(($S$12:$AA$12+INDEX($AJ$13:$AR$162,BN4932,0)+INDEX($AT$13:$BB$162,BO4932,0)+INDEX($BD$13:$BL$162,BP4932,0))/100))&gt;=$D$10:$L$10)),0)</f>
        <v/>
      </c>
      <c r="BR4932">
        <f>IF(4919&lt;$U$9,SUMPRODUCT(($D$10:$L$10&lt;&gt;"")*(($D$10:$L$10-($D$9:$L$9+INT(($S$12:$AA$12+INDEX($AJ$13:$AR$162,BN4932,0)+INDEX($AT$13:$BB$162,BO4932,0)+INDEX($BD$13:$BL$162,BP4932,0))/100)))&gt;0)*($D$10:$L$10-($D$9:$L$9+INT(($S$12:$AA$12+INDEX($AJ$13:$AR$162,BN4932,0)+INDEX($AT$13:$BB$162,BO4932,0)+INDEX($BD$13:$BL$162,BP4932,0))/100)))),0)</f>
        <v/>
      </c>
      <c r="BS4932">
        <f>IF(4919&lt;$U$9,SUMPRODUCT(($D$9:$L$9+INT(($S$12:$AA$12+INDEX($AJ$13:$AR$162,BN4932,0)+INDEX($AT$13:$BB$162,BO4932,0)+INDEX($BD$13:$BL$162,BP4932,0))/100))),0)</f>
        <v/>
      </c>
      <c r="BT4932">
        <f>IF(AND(4919&lt;$U$9,$W$5),BQ4932*1000000-MIN(BR4932,999)*1000+BS4932-4919/100000,-1000000000-4919)</f>
        <v/>
      </c>
    </row>
    <row r="4933">
      <c r="BN4933">
        <f>IF(4920&lt;$U$9,INT(4920/($U$7*$U$8))+1,1)</f>
        <v/>
      </c>
      <c r="BO4933">
        <f>IF(4920&lt;$U$9,MOD(INT(4920/$U$8),$U$7)+1,1)</f>
        <v/>
      </c>
      <c r="BP4933">
        <f>IF(4920&lt;$U$9,MOD(4920,$U$8)+1,1)</f>
        <v/>
      </c>
      <c r="BQ4933">
        <f>IF(4920&lt;$U$9,SUMPRODUCT(($D$10:$L$10&lt;&gt;"")*(($D$9:$L$9+INT(($S$12:$AA$12+INDEX($AJ$13:$AR$162,BN4933,0)+INDEX($AT$13:$BB$162,BO4933,0)+INDEX($BD$13:$BL$162,BP4933,0))/100))&gt;=$D$10:$L$10)),0)</f>
        <v/>
      </c>
      <c r="BR4933">
        <f>IF(4920&lt;$U$9,SUMPRODUCT(($D$10:$L$10&lt;&gt;"")*(($D$10:$L$10-($D$9:$L$9+INT(($S$12:$AA$12+INDEX($AJ$13:$AR$162,BN4933,0)+INDEX($AT$13:$BB$162,BO4933,0)+INDEX($BD$13:$BL$162,BP4933,0))/100)))&gt;0)*($D$10:$L$10-($D$9:$L$9+INT(($S$12:$AA$12+INDEX($AJ$13:$AR$162,BN4933,0)+INDEX($AT$13:$BB$162,BO4933,0)+INDEX($BD$13:$BL$162,BP4933,0))/100)))),0)</f>
        <v/>
      </c>
      <c r="BS4933">
        <f>IF(4920&lt;$U$9,SUMPRODUCT(($D$9:$L$9+INT(($S$12:$AA$12+INDEX($AJ$13:$AR$162,BN4933,0)+INDEX($AT$13:$BB$162,BO4933,0)+INDEX($BD$13:$BL$162,BP4933,0))/100))),0)</f>
        <v/>
      </c>
      <c r="BT4933">
        <f>IF(AND(4920&lt;$U$9,$W$5),BQ4933*1000000-MIN(BR4933,999)*1000+BS4933-4920/100000,-1000000000-4920)</f>
        <v/>
      </c>
    </row>
    <row r="4934">
      <c r="BN4934">
        <f>IF(4921&lt;$U$9,INT(4921/($U$7*$U$8))+1,1)</f>
        <v/>
      </c>
      <c r="BO4934">
        <f>IF(4921&lt;$U$9,MOD(INT(4921/$U$8),$U$7)+1,1)</f>
        <v/>
      </c>
      <c r="BP4934">
        <f>IF(4921&lt;$U$9,MOD(4921,$U$8)+1,1)</f>
        <v/>
      </c>
      <c r="BQ4934">
        <f>IF(4921&lt;$U$9,SUMPRODUCT(($D$10:$L$10&lt;&gt;"")*(($D$9:$L$9+INT(($S$12:$AA$12+INDEX($AJ$13:$AR$162,BN4934,0)+INDEX($AT$13:$BB$162,BO4934,0)+INDEX($BD$13:$BL$162,BP4934,0))/100))&gt;=$D$10:$L$10)),0)</f>
        <v/>
      </c>
      <c r="BR4934">
        <f>IF(4921&lt;$U$9,SUMPRODUCT(($D$10:$L$10&lt;&gt;"")*(($D$10:$L$10-($D$9:$L$9+INT(($S$12:$AA$12+INDEX($AJ$13:$AR$162,BN4934,0)+INDEX($AT$13:$BB$162,BO4934,0)+INDEX($BD$13:$BL$162,BP4934,0))/100)))&gt;0)*($D$10:$L$10-($D$9:$L$9+INT(($S$12:$AA$12+INDEX($AJ$13:$AR$162,BN4934,0)+INDEX($AT$13:$BB$162,BO4934,0)+INDEX($BD$13:$BL$162,BP4934,0))/100)))),0)</f>
        <v/>
      </c>
      <c r="BS4934">
        <f>IF(4921&lt;$U$9,SUMPRODUCT(($D$9:$L$9+INT(($S$12:$AA$12+INDEX($AJ$13:$AR$162,BN4934,0)+INDEX($AT$13:$BB$162,BO4934,0)+INDEX($BD$13:$BL$162,BP4934,0))/100))),0)</f>
        <v/>
      </c>
      <c r="BT4934">
        <f>IF(AND(4921&lt;$U$9,$W$5),BQ4934*1000000-MIN(BR4934,999)*1000+BS4934-4921/100000,-1000000000-4921)</f>
        <v/>
      </c>
    </row>
    <row r="4935">
      <c r="BN4935">
        <f>IF(4922&lt;$U$9,INT(4922/($U$7*$U$8))+1,1)</f>
        <v/>
      </c>
      <c r="BO4935">
        <f>IF(4922&lt;$U$9,MOD(INT(4922/$U$8),$U$7)+1,1)</f>
        <v/>
      </c>
      <c r="BP4935">
        <f>IF(4922&lt;$U$9,MOD(4922,$U$8)+1,1)</f>
        <v/>
      </c>
      <c r="BQ4935">
        <f>IF(4922&lt;$U$9,SUMPRODUCT(($D$10:$L$10&lt;&gt;"")*(($D$9:$L$9+INT(($S$12:$AA$12+INDEX($AJ$13:$AR$162,BN4935,0)+INDEX($AT$13:$BB$162,BO4935,0)+INDEX($BD$13:$BL$162,BP4935,0))/100))&gt;=$D$10:$L$10)),0)</f>
        <v/>
      </c>
      <c r="BR4935">
        <f>IF(4922&lt;$U$9,SUMPRODUCT(($D$10:$L$10&lt;&gt;"")*(($D$10:$L$10-($D$9:$L$9+INT(($S$12:$AA$12+INDEX($AJ$13:$AR$162,BN4935,0)+INDEX($AT$13:$BB$162,BO4935,0)+INDEX($BD$13:$BL$162,BP4935,0))/100)))&gt;0)*($D$10:$L$10-($D$9:$L$9+INT(($S$12:$AA$12+INDEX($AJ$13:$AR$162,BN4935,0)+INDEX($AT$13:$BB$162,BO4935,0)+INDEX($BD$13:$BL$162,BP4935,0))/100)))),0)</f>
        <v/>
      </c>
      <c r="BS4935">
        <f>IF(4922&lt;$U$9,SUMPRODUCT(($D$9:$L$9+INT(($S$12:$AA$12+INDEX($AJ$13:$AR$162,BN4935,0)+INDEX($AT$13:$BB$162,BO4935,0)+INDEX($BD$13:$BL$162,BP4935,0))/100))),0)</f>
        <v/>
      </c>
      <c r="BT4935">
        <f>IF(AND(4922&lt;$U$9,$W$5),BQ4935*1000000-MIN(BR4935,999)*1000+BS4935-4922/100000,-1000000000-4922)</f>
        <v/>
      </c>
    </row>
    <row r="4936">
      <c r="BN4936">
        <f>IF(4923&lt;$U$9,INT(4923/($U$7*$U$8))+1,1)</f>
        <v/>
      </c>
      <c r="BO4936">
        <f>IF(4923&lt;$U$9,MOD(INT(4923/$U$8),$U$7)+1,1)</f>
        <v/>
      </c>
      <c r="BP4936">
        <f>IF(4923&lt;$U$9,MOD(4923,$U$8)+1,1)</f>
        <v/>
      </c>
      <c r="BQ4936">
        <f>IF(4923&lt;$U$9,SUMPRODUCT(($D$10:$L$10&lt;&gt;"")*(($D$9:$L$9+INT(($S$12:$AA$12+INDEX($AJ$13:$AR$162,BN4936,0)+INDEX($AT$13:$BB$162,BO4936,0)+INDEX($BD$13:$BL$162,BP4936,0))/100))&gt;=$D$10:$L$10)),0)</f>
        <v/>
      </c>
      <c r="BR4936">
        <f>IF(4923&lt;$U$9,SUMPRODUCT(($D$10:$L$10&lt;&gt;"")*(($D$10:$L$10-($D$9:$L$9+INT(($S$12:$AA$12+INDEX($AJ$13:$AR$162,BN4936,0)+INDEX($AT$13:$BB$162,BO4936,0)+INDEX($BD$13:$BL$162,BP4936,0))/100)))&gt;0)*($D$10:$L$10-($D$9:$L$9+INT(($S$12:$AA$12+INDEX($AJ$13:$AR$162,BN4936,0)+INDEX($AT$13:$BB$162,BO4936,0)+INDEX($BD$13:$BL$162,BP4936,0))/100)))),0)</f>
        <v/>
      </c>
      <c r="BS4936">
        <f>IF(4923&lt;$U$9,SUMPRODUCT(($D$9:$L$9+INT(($S$12:$AA$12+INDEX($AJ$13:$AR$162,BN4936,0)+INDEX($AT$13:$BB$162,BO4936,0)+INDEX($BD$13:$BL$162,BP4936,0))/100))),0)</f>
        <v/>
      </c>
      <c r="BT4936">
        <f>IF(AND(4923&lt;$U$9,$W$5),BQ4936*1000000-MIN(BR4936,999)*1000+BS4936-4923/100000,-1000000000-4923)</f>
        <v/>
      </c>
    </row>
    <row r="4937">
      <c r="BN4937">
        <f>IF(4924&lt;$U$9,INT(4924/($U$7*$U$8))+1,1)</f>
        <v/>
      </c>
      <c r="BO4937">
        <f>IF(4924&lt;$U$9,MOD(INT(4924/$U$8),$U$7)+1,1)</f>
        <v/>
      </c>
      <c r="BP4937">
        <f>IF(4924&lt;$U$9,MOD(4924,$U$8)+1,1)</f>
        <v/>
      </c>
      <c r="BQ4937">
        <f>IF(4924&lt;$U$9,SUMPRODUCT(($D$10:$L$10&lt;&gt;"")*(($D$9:$L$9+INT(($S$12:$AA$12+INDEX($AJ$13:$AR$162,BN4937,0)+INDEX($AT$13:$BB$162,BO4937,0)+INDEX($BD$13:$BL$162,BP4937,0))/100))&gt;=$D$10:$L$10)),0)</f>
        <v/>
      </c>
      <c r="BR4937">
        <f>IF(4924&lt;$U$9,SUMPRODUCT(($D$10:$L$10&lt;&gt;"")*(($D$10:$L$10-($D$9:$L$9+INT(($S$12:$AA$12+INDEX($AJ$13:$AR$162,BN4937,0)+INDEX($AT$13:$BB$162,BO4937,0)+INDEX($BD$13:$BL$162,BP4937,0))/100)))&gt;0)*($D$10:$L$10-($D$9:$L$9+INT(($S$12:$AA$12+INDEX($AJ$13:$AR$162,BN4937,0)+INDEX($AT$13:$BB$162,BO4937,0)+INDEX($BD$13:$BL$162,BP4937,0))/100)))),0)</f>
        <v/>
      </c>
      <c r="BS4937">
        <f>IF(4924&lt;$U$9,SUMPRODUCT(($D$9:$L$9+INT(($S$12:$AA$12+INDEX($AJ$13:$AR$162,BN4937,0)+INDEX($AT$13:$BB$162,BO4937,0)+INDEX($BD$13:$BL$162,BP4937,0))/100))),0)</f>
        <v/>
      </c>
      <c r="BT4937">
        <f>IF(AND(4924&lt;$U$9,$W$5),BQ4937*1000000-MIN(BR4937,999)*1000+BS4937-4924/100000,-1000000000-4924)</f>
        <v/>
      </c>
    </row>
    <row r="4938">
      <c r="BN4938">
        <f>IF(4925&lt;$U$9,INT(4925/($U$7*$U$8))+1,1)</f>
        <v/>
      </c>
      <c r="BO4938">
        <f>IF(4925&lt;$U$9,MOD(INT(4925/$U$8),$U$7)+1,1)</f>
        <v/>
      </c>
      <c r="BP4938">
        <f>IF(4925&lt;$U$9,MOD(4925,$U$8)+1,1)</f>
        <v/>
      </c>
      <c r="BQ4938">
        <f>IF(4925&lt;$U$9,SUMPRODUCT(($D$10:$L$10&lt;&gt;"")*(($D$9:$L$9+INT(($S$12:$AA$12+INDEX($AJ$13:$AR$162,BN4938,0)+INDEX($AT$13:$BB$162,BO4938,0)+INDEX($BD$13:$BL$162,BP4938,0))/100))&gt;=$D$10:$L$10)),0)</f>
        <v/>
      </c>
      <c r="BR4938">
        <f>IF(4925&lt;$U$9,SUMPRODUCT(($D$10:$L$10&lt;&gt;"")*(($D$10:$L$10-($D$9:$L$9+INT(($S$12:$AA$12+INDEX($AJ$13:$AR$162,BN4938,0)+INDEX($AT$13:$BB$162,BO4938,0)+INDEX($BD$13:$BL$162,BP4938,0))/100)))&gt;0)*($D$10:$L$10-($D$9:$L$9+INT(($S$12:$AA$12+INDEX($AJ$13:$AR$162,BN4938,0)+INDEX($AT$13:$BB$162,BO4938,0)+INDEX($BD$13:$BL$162,BP4938,0))/100)))),0)</f>
        <v/>
      </c>
      <c r="BS4938">
        <f>IF(4925&lt;$U$9,SUMPRODUCT(($D$9:$L$9+INT(($S$12:$AA$12+INDEX($AJ$13:$AR$162,BN4938,0)+INDEX($AT$13:$BB$162,BO4938,0)+INDEX($BD$13:$BL$162,BP4938,0))/100))),0)</f>
        <v/>
      </c>
      <c r="BT4938">
        <f>IF(AND(4925&lt;$U$9,$W$5),BQ4938*1000000-MIN(BR4938,999)*1000+BS4938-4925/100000,-1000000000-4925)</f>
        <v/>
      </c>
    </row>
    <row r="4939">
      <c r="BN4939">
        <f>IF(4926&lt;$U$9,INT(4926/($U$7*$U$8))+1,1)</f>
        <v/>
      </c>
      <c r="BO4939">
        <f>IF(4926&lt;$U$9,MOD(INT(4926/$U$8),$U$7)+1,1)</f>
        <v/>
      </c>
      <c r="BP4939">
        <f>IF(4926&lt;$U$9,MOD(4926,$U$8)+1,1)</f>
        <v/>
      </c>
      <c r="BQ4939">
        <f>IF(4926&lt;$U$9,SUMPRODUCT(($D$10:$L$10&lt;&gt;"")*(($D$9:$L$9+INT(($S$12:$AA$12+INDEX($AJ$13:$AR$162,BN4939,0)+INDEX($AT$13:$BB$162,BO4939,0)+INDEX($BD$13:$BL$162,BP4939,0))/100))&gt;=$D$10:$L$10)),0)</f>
        <v/>
      </c>
      <c r="BR4939">
        <f>IF(4926&lt;$U$9,SUMPRODUCT(($D$10:$L$10&lt;&gt;"")*(($D$10:$L$10-($D$9:$L$9+INT(($S$12:$AA$12+INDEX($AJ$13:$AR$162,BN4939,0)+INDEX($AT$13:$BB$162,BO4939,0)+INDEX($BD$13:$BL$162,BP4939,0))/100)))&gt;0)*($D$10:$L$10-($D$9:$L$9+INT(($S$12:$AA$12+INDEX($AJ$13:$AR$162,BN4939,0)+INDEX($AT$13:$BB$162,BO4939,0)+INDEX($BD$13:$BL$162,BP4939,0))/100)))),0)</f>
        <v/>
      </c>
      <c r="BS4939">
        <f>IF(4926&lt;$U$9,SUMPRODUCT(($D$9:$L$9+INT(($S$12:$AA$12+INDEX($AJ$13:$AR$162,BN4939,0)+INDEX($AT$13:$BB$162,BO4939,0)+INDEX($BD$13:$BL$162,BP4939,0))/100))),0)</f>
        <v/>
      </c>
      <c r="BT4939">
        <f>IF(AND(4926&lt;$U$9,$W$5),BQ4939*1000000-MIN(BR4939,999)*1000+BS4939-4926/100000,-1000000000-4926)</f>
        <v/>
      </c>
    </row>
    <row r="4940">
      <c r="BN4940">
        <f>IF(4927&lt;$U$9,INT(4927/($U$7*$U$8))+1,1)</f>
        <v/>
      </c>
      <c r="BO4940">
        <f>IF(4927&lt;$U$9,MOD(INT(4927/$U$8),$U$7)+1,1)</f>
        <v/>
      </c>
      <c r="BP4940">
        <f>IF(4927&lt;$U$9,MOD(4927,$U$8)+1,1)</f>
        <v/>
      </c>
      <c r="BQ4940">
        <f>IF(4927&lt;$U$9,SUMPRODUCT(($D$10:$L$10&lt;&gt;"")*(($D$9:$L$9+INT(($S$12:$AA$12+INDEX($AJ$13:$AR$162,BN4940,0)+INDEX($AT$13:$BB$162,BO4940,0)+INDEX($BD$13:$BL$162,BP4940,0))/100))&gt;=$D$10:$L$10)),0)</f>
        <v/>
      </c>
      <c r="BR4940">
        <f>IF(4927&lt;$U$9,SUMPRODUCT(($D$10:$L$10&lt;&gt;"")*(($D$10:$L$10-($D$9:$L$9+INT(($S$12:$AA$12+INDEX($AJ$13:$AR$162,BN4940,0)+INDEX($AT$13:$BB$162,BO4940,0)+INDEX($BD$13:$BL$162,BP4940,0))/100)))&gt;0)*($D$10:$L$10-($D$9:$L$9+INT(($S$12:$AA$12+INDEX($AJ$13:$AR$162,BN4940,0)+INDEX($AT$13:$BB$162,BO4940,0)+INDEX($BD$13:$BL$162,BP4940,0))/100)))),0)</f>
        <v/>
      </c>
      <c r="BS4940">
        <f>IF(4927&lt;$U$9,SUMPRODUCT(($D$9:$L$9+INT(($S$12:$AA$12+INDEX($AJ$13:$AR$162,BN4940,0)+INDEX($AT$13:$BB$162,BO4940,0)+INDEX($BD$13:$BL$162,BP4940,0))/100))),0)</f>
        <v/>
      </c>
      <c r="BT4940">
        <f>IF(AND(4927&lt;$U$9,$W$5),BQ4940*1000000-MIN(BR4940,999)*1000+BS4940-4927/100000,-1000000000-4927)</f>
        <v/>
      </c>
    </row>
    <row r="4941">
      <c r="BN4941">
        <f>IF(4928&lt;$U$9,INT(4928/($U$7*$U$8))+1,1)</f>
        <v/>
      </c>
      <c r="BO4941">
        <f>IF(4928&lt;$U$9,MOD(INT(4928/$U$8),$U$7)+1,1)</f>
        <v/>
      </c>
      <c r="BP4941">
        <f>IF(4928&lt;$U$9,MOD(4928,$U$8)+1,1)</f>
        <v/>
      </c>
      <c r="BQ4941">
        <f>IF(4928&lt;$U$9,SUMPRODUCT(($D$10:$L$10&lt;&gt;"")*(($D$9:$L$9+INT(($S$12:$AA$12+INDEX($AJ$13:$AR$162,BN4941,0)+INDEX($AT$13:$BB$162,BO4941,0)+INDEX($BD$13:$BL$162,BP4941,0))/100))&gt;=$D$10:$L$10)),0)</f>
        <v/>
      </c>
      <c r="BR4941">
        <f>IF(4928&lt;$U$9,SUMPRODUCT(($D$10:$L$10&lt;&gt;"")*(($D$10:$L$10-($D$9:$L$9+INT(($S$12:$AA$12+INDEX($AJ$13:$AR$162,BN4941,0)+INDEX($AT$13:$BB$162,BO4941,0)+INDEX($BD$13:$BL$162,BP4941,0))/100)))&gt;0)*($D$10:$L$10-($D$9:$L$9+INT(($S$12:$AA$12+INDEX($AJ$13:$AR$162,BN4941,0)+INDEX($AT$13:$BB$162,BO4941,0)+INDEX($BD$13:$BL$162,BP4941,0))/100)))),0)</f>
        <v/>
      </c>
      <c r="BS4941">
        <f>IF(4928&lt;$U$9,SUMPRODUCT(($D$9:$L$9+INT(($S$12:$AA$12+INDEX($AJ$13:$AR$162,BN4941,0)+INDEX($AT$13:$BB$162,BO4941,0)+INDEX($BD$13:$BL$162,BP4941,0))/100))),0)</f>
        <v/>
      </c>
      <c r="BT4941">
        <f>IF(AND(4928&lt;$U$9,$W$5),BQ4941*1000000-MIN(BR4941,999)*1000+BS4941-4928/100000,-1000000000-4928)</f>
        <v/>
      </c>
    </row>
    <row r="4942">
      <c r="BN4942">
        <f>IF(4929&lt;$U$9,INT(4929/($U$7*$U$8))+1,1)</f>
        <v/>
      </c>
      <c r="BO4942">
        <f>IF(4929&lt;$U$9,MOD(INT(4929/$U$8),$U$7)+1,1)</f>
        <v/>
      </c>
      <c r="BP4942">
        <f>IF(4929&lt;$U$9,MOD(4929,$U$8)+1,1)</f>
        <v/>
      </c>
      <c r="BQ4942">
        <f>IF(4929&lt;$U$9,SUMPRODUCT(($D$10:$L$10&lt;&gt;"")*(($D$9:$L$9+INT(($S$12:$AA$12+INDEX($AJ$13:$AR$162,BN4942,0)+INDEX($AT$13:$BB$162,BO4942,0)+INDEX($BD$13:$BL$162,BP4942,0))/100))&gt;=$D$10:$L$10)),0)</f>
        <v/>
      </c>
      <c r="BR4942">
        <f>IF(4929&lt;$U$9,SUMPRODUCT(($D$10:$L$10&lt;&gt;"")*(($D$10:$L$10-($D$9:$L$9+INT(($S$12:$AA$12+INDEX($AJ$13:$AR$162,BN4942,0)+INDEX($AT$13:$BB$162,BO4942,0)+INDEX($BD$13:$BL$162,BP4942,0))/100)))&gt;0)*($D$10:$L$10-($D$9:$L$9+INT(($S$12:$AA$12+INDEX($AJ$13:$AR$162,BN4942,0)+INDEX($AT$13:$BB$162,BO4942,0)+INDEX($BD$13:$BL$162,BP4942,0))/100)))),0)</f>
        <v/>
      </c>
      <c r="BS4942">
        <f>IF(4929&lt;$U$9,SUMPRODUCT(($D$9:$L$9+INT(($S$12:$AA$12+INDEX($AJ$13:$AR$162,BN4942,0)+INDEX($AT$13:$BB$162,BO4942,0)+INDEX($BD$13:$BL$162,BP4942,0))/100))),0)</f>
        <v/>
      </c>
      <c r="BT4942">
        <f>IF(AND(4929&lt;$U$9,$W$5),BQ4942*1000000-MIN(BR4942,999)*1000+BS4942-4929/100000,-1000000000-4929)</f>
        <v/>
      </c>
    </row>
    <row r="4943">
      <c r="BN4943">
        <f>IF(4930&lt;$U$9,INT(4930/($U$7*$U$8))+1,1)</f>
        <v/>
      </c>
      <c r="BO4943">
        <f>IF(4930&lt;$U$9,MOD(INT(4930/$U$8),$U$7)+1,1)</f>
        <v/>
      </c>
      <c r="BP4943">
        <f>IF(4930&lt;$U$9,MOD(4930,$U$8)+1,1)</f>
        <v/>
      </c>
      <c r="BQ4943">
        <f>IF(4930&lt;$U$9,SUMPRODUCT(($D$10:$L$10&lt;&gt;"")*(($D$9:$L$9+INT(($S$12:$AA$12+INDEX($AJ$13:$AR$162,BN4943,0)+INDEX($AT$13:$BB$162,BO4943,0)+INDEX($BD$13:$BL$162,BP4943,0))/100))&gt;=$D$10:$L$10)),0)</f>
        <v/>
      </c>
      <c r="BR4943">
        <f>IF(4930&lt;$U$9,SUMPRODUCT(($D$10:$L$10&lt;&gt;"")*(($D$10:$L$10-($D$9:$L$9+INT(($S$12:$AA$12+INDEX($AJ$13:$AR$162,BN4943,0)+INDEX($AT$13:$BB$162,BO4943,0)+INDEX($BD$13:$BL$162,BP4943,0))/100)))&gt;0)*($D$10:$L$10-($D$9:$L$9+INT(($S$12:$AA$12+INDEX($AJ$13:$AR$162,BN4943,0)+INDEX($AT$13:$BB$162,BO4943,0)+INDEX($BD$13:$BL$162,BP4943,0))/100)))),0)</f>
        <v/>
      </c>
      <c r="BS4943">
        <f>IF(4930&lt;$U$9,SUMPRODUCT(($D$9:$L$9+INT(($S$12:$AA$12+INDEX($AJ$13:$AR$162,BN4943,0)+INDEX($AT$13:$BB$162,BO4943,0)+INDEX($BD$13:$BL$162,BP4943,0))/100))),0)</f>
        <v/>
      </c>
      <c r="BT4943">
        <f>IF(AND(4930&lt;$U$9,$W$5),BQ4943*1000000-MIN(BR4943,999)*1000+BS4943-4930/100000,-1000000000-4930)</f>
        <v/>
      </c>
    </row>
    <row r="4944">
      <c r="BN4944">
        <f>IF(4931&lt;$U$9,INT(4931/($U$7*$U$8))+1,1)</f>
        <v/>
      </c>
      <c r="BO4944">
        <f>IF(4931&lt;$U$9,MOD(INT(4931/$U$8),$U$7)+1,1)</f>
        <v/>
      </c>
      <c r="BP4944">
        <f>IF(4931&lt;$U$9,MOD(4931,$U$8)+1,1)</f>
        <v/>
      </c>
      <c r="BQ4944">
        <f>IF(4931&lt;$U$9,SUMPRODUCT(($D$10:$L$10&lt;&gt;"")*(($D$9:$L$9+INT(($S$12:$AA$12+INDEX($AJ$13:$AR$162,BN4944,0)+INDEX($AT$13:$BB$162,BO4944,0)+INDEX($BD$13:$BL$162,BP4944,0))/100))&gt;=$D$10:$L$10)),0)</f>
        <v/>
      </c>
      <c r="BR4944">
        <f>IF(4931&lt;$U$9,SUMPRODUCT(($D$10:$L$10&lt;&gt;"")*(($D$10:$L$10-($D$9:$L$9+INT(($S$12:$AA$12+INDEX($AJ$13:$AR$162,BN4944,0)+INDEX($AT$13:$BB$162,BO4944,0)+INDEX($BD$13:$BL$162,BP4944,0))/100)))&gt;0)*($D$10:$L$10-($D$9:$L$9+INT(($S$12:$AA$12+INDEX($AJ$13:$AR$162,BN4944,0)+INDEX($AT$13:$BB$162,BO4944,0)+INDEX($BD$13:$BL$162,BP4944,0))/100)))),0)</f>
        <v/>
      </c>
      <c r="BS4944">
        <f>IF(4931&lt;$U$9,SUMPRODUCT(($D$9:$L$9+INT(($S$12:$AA$12+INDEX($AJ$13:$AR$162,BN4944,0)+INDEX($AT$13:$BB$162,BO4944,0)+INDEX($BD$13:$BL$162,BP4944,0))/100))),0)</f>
        <v/>
      </c>
      <c r="BT4944">
        <f>IF(AND(4931&lt;$U$9,$W$5),BQ4944*1000000-MIN(BR4944,999)*1000+BS4944-4931/100000,-1000000000-4931)</f>
        <v/>
      </c>
    </row>
    <row r="4945">
      <c r="BN4945">
        <f>IF(4932&lt;$U$9,INT(4932/($U$7*$U$8))+1,1)</f>
        <v/>
      </c>
      <c r="BO4945">
        <f>IF(4932&lt;$U$9,MOD(INT(4932/$U$8),$U$7)+1,1)</f>
        <v/>
      </c>
      <c r="BP4945">
        <f>IF(4932&lt;$U$9,MOD(4932,$U$8)+1,1)</f>
        <v/>
      </c>
      <c r="BQ4945">
        <f>IF(4932&lt;$U$9,SUMPRODUCT(($D$10:$L$10&lt;&gt;"")*(($D$9:$L$9+INT(($S$12:$AA$12+INDEX($AJ$13:$AR$162,BN4945,0)+INDEX($AT$13:$BB$162,BO4945,0)+INDEX($BD$13:$BL$162,BP4945,0))/100))&gt;=$D$10:$L$10)),0)</f>
        <v/>
      </c>
      <c r="BR4945">
        <f>IF(4932&lt;$U$9,SUMPRODUCT(($D$10:$L$10&lt;&gt;"")*(($D$10:$L$10-($D$9:$L$9+INT(($S$12:$AA$12+INDEX($AJ$13:$AR$162,BN4945,0)+INDEX($AT$13:$BB$162,BO4945,0)+INDEX($BD$13:$BL$162,BP4945,0))/100)))&gt;0)*($D$10:$L$10-($D$9:$L$9+INT(($S$12:$AA$12+INDEX($AJ$13:$AR$162,BN4945,0)+INDEX($AT$13:$BB$162,BO4945,0)+INDEX($BD$13:$BL$162,BP4945,0))/100)))),0)</f>
        <v/>
      </c>
      <c r="BS4945">
        <f>IF(4932&lt;$U$9,SUMPRODUCT(($D$9:$L$9+INT(($S$12:$AA$12+INDEX($AJ$13:$AR$162,BN4945,0)+INDEX($AT$13:$BB$162,BO4945,0)+INDEX($BD$13:$BL$162,BP4945,0))/100))),0)</f>
        <v/>
      </c>
      <c r="BT4945">
        <f>IF(AND(4932&lt;$U$9,$W$5),BQ4945*1000000-MIN(BR4945,999)*1000+BS4945-4932/100000,-1000000000-4932)</f>
        <v/>
      </c>
    </row>
    <row r="4946">
      <c r="BN4946">
        <f>IF(4933&lt;$U$9,INT(4933/($U$7*$U$8))+1,1)</f>
        <v/>
      </c>
      <c r="BO4946">
        <f>IF(4933&lt;$U$9,MOD(INT(4933/$U$8),$U$7)+1,1)</f>
        <v/>
      </c>
      <c r="BP4946">
        <f>IF(4933&lt;$U$9,MOD(4933,$U$8)+1,1)</f>
        <v/>
      </c>
      <c r="BQ4946">
        <f>IF(4933&lt;$U$9,SUMPRODUCT(($D$10:$L$10&lt;&gt;"")*(($D$9:$L$9+INT(($S$12:$AA$12+INDEX($AJ$13:$AR$162,BN4946,0)+INDEX($AT$13:$BB$162,BO4946,0)+INDEX($BD$13:$BL$162,BP4946,0))/100))&gt;=$D$10:$L$10)),0)</f>
        <v/>
      </c>
      <c r="BR4946">
        <f>IF(4933&lt;$U$9,SUMPRODUCT(($D$10:$L$10&lt;&gt;"")*(($D$10:$L$10-($D$9:$L$9+INT(($S$12:$AA$12+INDEX($AJ$13:$AR$162,BN4946,0)+INDEX($AT$13:$BB$162,BO4946,0)+INDEX($BD$13:$BL$162,BP4946,0))/100)))&gt;0)*($D$10:$L$10-($D$9:$L$9+INT(($S$12:$AA$12+INDEX($AJ$13:$AR$162,BN4946,0)+INDEX($AT$13:$BB$162,BO4946,0)+INDEX($BD$13:$BL$162,BP4946,0))/100)))),0)</f>
        <v/>
      </c>
      <c r="BS4946">
        <f>IF(4933&lt;$U$9,SUMPRODUCT(($D$9:$L$9+INT(($S$12:$AA$12+INDEX($AJ$13:$AR$162,BN4946,0)+INDEX($AT$13:$BB$162,BO4946,0)+INDEX($BD$13:$BL$162,BP4946,0))/100))),0)</f>
        <v/>
      </c>
      <c r="BT4946">
        <f>IF(AND(4933&lt;$U$9,$W$5),BQ4946*1000000-MIN(BR4946,999)*1000+BS4946-4933/100000,-1000000000-4933)</f>
        <v/>
      </c>
    </row>
    <row r="4947">
      <c r="BN4947">
        <f>IF(4934&lt;$U$9,INT(4934/($U$7*$U$8))+1,1)</f>
        <v/>
      </c>
      <c r="BO4947">
        <f>IF(4934&lt;$U$9,MOD(INT(4934/$U$8),$U$7)+1,1)</f>
        <v/>
      </c>
      <c r="BP4947">
        <f>IF(4934&lt;$U$9,MOD(4934,$U$8)+1,1)</f>
        <v/>
      </c>
      <c r="BQ4947">
        <f>IF(4934&lt;$U$9,SUMPRODUCT(($D$10:$L$10&lt;&gt;"")*(($D$9:$L$9+INT(($S$12:$AA$12+INDEX($AJ$13:$AR$162,BN4947,0)+INDEX($AT$13:$BB$162,BO4947,0)+INDEX($BD$13:$BL$162,BP4947,0))/100))&gt;=$D$10:$L$10)),0)</f>
        <v/>
      </c>
      <c r="BR4947">
        <f>IF(4934&lt;$U$9,SUMPRODUCT(($D$10:$L$10&lt;&gt;"")*(($D$10:$L$10-($D$9:$L$9+INT(($S$12:$AA$12+INDEX($AJ$13:$AR$162,BN4947,0)+INDEX($AT$13:$BB$162,BO4947,0)+INDEX($BD$13:$BL$162,BP4947,0))/100)))&gt;0)*($D$10:$L$10-($D$9:$L$9+INT(($S$12:$AA$12+INDEX($AJ$13:$AR$162,BN4947,0)+INDEX($AT$13:$BB$162,BO4947,0)+INDEX($BD$13:$BL$162,BP4947,0))/100)))),0)</f>
        <v/>
      </c>
      <c r="BS4947">
        <f>IF(4934&lt;$U$9,SUMPRODUCT(($D$9:$L$9+INT(($S$12:$AA$12+INDEX($AJ$13:$AR$162,BN4947,0)+INDEX($AT$13:$BB$162,BO4947,0)+INDEX($BD$13:$BL$162,BP4947,0))/100))),0)</f>
        <v/>
      </c>
      <c r="BT4947">
        <f>IF(AND(4934&lt;$U$9,$W$5),BQ4947*1000000-MIN(BR4947,999)*1000+BS4947-4934/100000,-1000000000-4934)</f>
        <v/>
      </c>
    </row>
    <row r="4948">
      <c r="BN4948">
        <f>IF(4935&lt;$U$9,INT(4935/($U$7*$U$8))+1,1)</f>
        <v/>
      </c>
      <c r="BO4948">
        <f>IF(4935&lt;$U$9,MOD(INT(4935/$U$8),$U$7)+1,1)</f>
        <v/>
      </c>
      <c r="BP4948">
        <f>IF(4935&lt;$U$9,MOD(4935,$U$8)+1,1)</f>
        <v/>
      </c>
      <c r="BQ4948">
        <f>IF(4935&lt;$U$9,SUMPRODUCT(($D$10:$L$10&lt;&gt;"")*(($D$9:$L$9+INT(($S$12:$AA$12+INDEX($AJ$13:$AR$162,BN4948,0)+INDEX($AT$13:$BB$162,BO4948,0)+INDEX($BD$13:$BL$162,BP4948,0))/100))&gt;=$D$10:$L$10)),0)</f>
        <v/>
      </c>
      <c r="BR4948">
        <f>IF(4935&lt;$U$9,SUMPRODUCT(($D$10:$L$10&lt;&gt;"")*(($D$10:$L$10-($D$9:$L$9+INT(($S$12:$AA$12+INDEX($AJ$13:$AR$162,BN4948,0)+INDEX($AT$13:$BB$162,BO4948,0)+INDEX($BD$13:$BL$162,BP4948,0))/100)))&gt;0)*($D$10:$L$10-($D$9:$L$9+INT(($S$12:$AA$12+INDEX($AJ$13:$AR$162,BN4948,0)+INDEX($AT$13:$BB$162,BO4948,0)+INDEX($BD$13:$BL$162,BP4948,0))/100)))),0)</f>
        <v/>
      </c>
      <c r="BS4948">
        <f>IF(4935&lt;$U$9,SUMPRODUCT(($D$9:$L$9+INT(($S$12:$AA$12+INDEX($AJ$13:$AR$162,BN4948,0)+INDEX($AT$13:$BB$162,BO4948,0)+INDEX($BD$13:$BL$162,BP4948,0))/100))),0)</f>
        <v/>
      </c>
      <c r="BT4948">
        <f>IF(AND(4935&lt;$U$9,$W$5),BQ4948*1000000-MIN(BR4948,999)*1000+BS4948-4935/100000,-1000000000-4935)</f>
        <v/>
      </c>
    </row>
    <row r="4949">
      <c r="BN4949">
        <f>IF(4936&lt;$U$9,INT(4936/($U$7*$U$8))+1,1)</f>
        <v/>
      </c>
      <c r="BO4949">
        <f>IF(4936&lt;$U$9,MOD(INT(4936/$U$8),$U$7)+1,1)</f>
        <v/>
      </c>
      <c r="BP4949">
        <f>IF(4936&lt;$U$9,MOD(4936,$U$8)+1,1)</f>
        <v/>
      </c>
      <c r="BQ4949">
        <f>IF(4936&lt;$U$9,SUMPRODUCT(($D$10:$L$10&lt;&gt;"")*(($D$9:$L$9+INT(($S$12:$AA$12+INDEX($AJ$13:$AR$162,BN4949,0)+INDEX($AT$13:$BB$162,BO4949,0)+INDEX($BD$13:$BL$162,BP4949,0))/100))&gt;=$D$10:$L$10)),0)</f>
        <v/>
      </c>
      <c r="BR4949">
        <f>IF(4936&lt;$U$9,SUMPRODUCT(($D$10:$L$10&lt;&gt;"")*(($D$10:$L$10-($D$9:$L$9+INT(($S$12:$AA$12+INDEX($AJ$13:$AR$162,BN4949,0)+INDEX($AT$13:$BB$162,BO4949,0)+INDEX($BD$13:$BL$162,BP4949,0))/100)))&gt;0)*($D$10:$L$10-($D$9:$L$9+INT(($S$12:$AA$12+INDEX($AJ$13:$AR$162,BN4949,0)+INDEX($AT$13:$BB$162,BO4949,0)+INDEX($BD$13:$BL$162,BP4949,0))/100)))),0)</f>
        <v/>
      </c>
      <c r="BS4949">
        <f>IF(4936&lt;$U$9,SUMPRODUCT(($D$9:$L$9+INT(($S$12:$AA$12+INDEX($AJ$13:$AR$162,BN4949,0)+INDEX($AT$13:$BB$162,BO4949,0)+INDEX($BD$13:$BL$162,BP4949,0))/100))),0)</f>
        <v/>
      </c>
      <c r="BT4949">
        <f>IF(AND(4936&lt;$U$9,$W$5),BQ4949*1000000-MIN(BR4949,999)*1000+BS4949-4936/100000,-1000000000-4936)</f>
        <v/>
      </c>
    </row>
    <row r="4950">
      <c r="BN4950">
        <f>IF(4937&lt;$U$9,INT(4937/($U$7*$U$8))+1,1)</f>
        <v/>
      </c>
      <c r="BO4950">
        <f>IF(4937&lt;$U$9,MOD(INT(4937/$U$8),$U$7)+1,1)</f>
        <v/>
      </c>
      <c r="BP4950">
        <f>IF(4937&lt;$U$9,MOD(4937,$U$8)+1,1)</f>
        <v/>
      </c>
      <c r="BQ4950">
        <f>IF(4937&lt;$U$9,SUMPRODUCT(($D$10:$L$10&lt;&gt;"")*(($D$9:$L$9+INT(($S$12:$AA$12+INDEX($AJ$13:$AR$162,BN4950,0)+INDEX($AT$13:$BB$162,BO4950,0)+INDEX($BD$13:$BL$162,BP4950,0))/100))&gt;=$D$10:$L$10)),0)</f>
        <v/>
      </c>
      <c r="BR4950">
        <f>IF(4937&lt;$U$9,SUMPRODUCT(($D$10:$L$10&lt;&gt;"")*(($D$10:$L$10-($D$9:$L$9+INT(($S$12:$AA$12+INDEX($AJ$13:$AR$162,BN4950,0)+INDEX($AT$13:$BB$162,BO4950,0)+INDEX($BD$13:$BL$162,BP4950,0))/100)))&gt;0)*($D$10:$L$10-($D$9:$L$9+INT(($S$12:$AA$12+INDEX($AJ$13:$AR$162,BN4950,0)+INDEX($AT$13:$BB$162,BO4950,0)+INDEX($BD$13:$BL$162,BP4950,0))/100)))),0)</f>
        <v/>
      </c>
      <c r="BS4950">
        <f>IF(4937&lt;$U$9,SUMPRODUCT(($D$9:$L$9+INT(($S$12:$AA$12+INDEX($AJ$13:$AR$162,BN4950,0)+INDEX($AT$13:$BB$162,BO4950,0)+INDEX($BD$13:$BL$162,BP4950,0))/100))),0)</f>
        <v/>
      </c>
      <c r="BT4950">
        <f>IF(AND(4937&lt;$U$9,$W$5),BQ4950*1000000-MIN(BR4950,999)*1000+BS4950-4937/100000,-1000000000-4937)</f>
        <v/>
      </c>
    </row>
    <row r="4951">
      <c r="BN4951">
        <f>IF(4938&lt;$U$9,INT(4938/($U$7*$U$8))+1,1)</f>
        <v/>
      </c>
      <c r="BO4951">
        <f>IF(4938&lt;$U$9,MOD(INT(4938/$U$8),$U$7)+1,1)</f>
        <v/>
      </c>
      <c r="BP4951">
        <f>IF(4938&lt;$U$9,MOD(4938,$U$8)+1,1)</f>
        <v/>
      </c>
      <c r="BQ4951">
        <f>IF(4938&lt;$U$9,SUMPRODUCT(($D$10:$L$10&lt;&gt;"")*(($D$9:$L$9+INT(($S$12:$AA$12+INDEX($AJ$13:$AR$162,BN4951,0)+INDEX($AT$13:$BB$162,BO4951,0)+INDEX($BD$13:$BL$162,BP4951,0))/100))&gt;=$D$10:$L$10)),0)</f>
        <v/>
      </c>
      <c r="BR4951">
        <f>IF(4938&lt;$U$9,SUMPRODUCT(($D$10:$L$10&lt;&gt;"")*(($D$10:$L$10-($D$9:$L$9+INT(($S$12:$AA$12+INDEX($AJ$13:$AR$162,BN4951,0)+INDEX($AT$13:$BB$162,BO4951,0)+INDEX($BD$13:$BL$162,BP4951,0))/100)))&gt;0)*($D$10:$L$10-($D$9:$L$9+INT(($S$12:$AA$12+INDEX($AJ$13:$AR$162,BN4951,0)+INDEX($AT$13:$BB$162,BO4951,0)+INDEX($BD$13:$BL$162,BP4951,0))/100)))),0)</f>
        <v/>
      </c>
      <c r="BS4951">
        <f>IF(4938&lt;$U$9,SUMPRODUCT(($D$9:$L$9+INT(($S$12:$AA$12+INDEX($AJ$13:$AR$162,BN4951,0)+INDEX($AT$13:$BB$162,BO4951,0)+INDEX($BD$13:$BL$162,BP4951,0))/100))),0)</f>
        <v/>
      </c>
      <c r="BT4951">
        <f>IF(AND(4938&lt;$U$9,$W$5),BQ4951*1000000-MIN(BR4951,999)*1000+BS4951-4938/100000,-1000000000-4938)</f>
        <v/>
      </c>
    </row>
    <row r="4952">
      <c r="BN4952">
        <f>IF(4939&lt;$U$9,INT(4939/($U$7*$U$8))+1,1)</f>
        <v/>
      </c>
      <c r="BO4952">
        <f>IF(4939&lt;$U$9,MOD(INT(4939/$U$8),$U$7)+1,1)</f>
        <v/>
      </c>
      <c r="BP4952">
        <f>IF(4939&lt;$U$9,MOD(4939,$U$8)+1,1)</f>
        <v/>
      </c>
      <c r="BQ4952">
        <f>IF(4939&lt;$U$9,SUMPRODUCT(($D$10:$L$10&lt;&gt;"")*(($D$9:$L$9+INT(($S$12:$AA$12+INDEX($AJ$13:$AR$162,BN4952,0)+INDEX($AT$13:$BB$162,BO4952,0)+INDEX($BD$13:$BL$162,BP4952,0))/100))&gt;=$D$10:$L$10)),0)</f>
        <v/>
      </c>
      <c r="BR4952">
        <f>IF(4939&lt;$U$9,SUMPRODUCT(($D$10:$L$10&lt;&gt;"")*(($D$10:$L$10-($D$9:$L$9+INT(($S$12:$AA$12+INDEX($AJ$13:$AR$162,BN4952,0)+INDEX($AT$13:$BB$162,BO4952,0)+INDEX($BD$13:$BL$162,BP4952,0))/100)))&gt;0)*($D$10:$L$10-($D$9:$L$9+INT(($S$12:$AA$12+INDEX($AJ$13:$AR$162,BN4952,0)+INDEX($AT$13:$BB$162,BO4952,0)+INDEX($BD$13:$BL$162,BP4952,0))/100)))),0)</f>
        <v/>
      </c>
      <c r="BS4952">
        <f>IF(4939&lt;$U$9,SUMPRODUCT(($D$9:$L$9+INT(($S$12:$AA$12+INDEX($AJ$13:$AR$162,BN4952,0)+INDEX($AT$13:$BB$162,BO4952,0)+INDEX($BD$13:$BL$162,BP4952,0))/100))),0)</f>
        <v/>
      </c>
      <c r="BT4952">
        <f>IF(AND(4939&lt;$U$9,$W$5),BQ4952*1000000-MIN(BR4952,999)*1000+BS4952-4939/100000,-1000000000-4939)</f>
        <v/>
      </c>
    </row>
    <row r="4953">
      <c r="BN4953">
        <f>IF(4940&lt;$U$9,INT(4940/($U$7*$U$8))+1,1)</f>
        <v/>
      </c>
      <c r="BO4953">
        <f>IF(4940&lt;$U$9,MOD(INT(4940/$U$8),$U$7)+1,1)</f>
        <v/>
      </c>
      <c r="BP4953">
        <f>IF(4940&lt;$U$9,MOD(4940,$U$8)+1,1)</f>
        <v/>
      </c>
      <c r="BQ4953">
        <f>IF(4940&lt;$U$9,SUMPRODUCT(($D$10:$L$10&lt;&gt;"")*(($D$9:$L$9+INT(($S$12:$AA$12+INDEX($AJ$13:$AR$162,BN4953,0)+INDEX($AT$13:$BB$162,BO4953,0)+INDEX($BD$13:$BL$162,BP4953,0))/100))&gt;=$D$10:$L$10)),0)</f>
        <v/>
      </c>
      <c r="BR4953">
        <f>IF(4940&lt;$U$9,SUMPRODUCT(($D$10:$L$10&lt;&gt;"")*(($D$10:$L$10-($D$9:$L$9+INT(($S$12:$AA$12+INDEX($AJ$13:$AR$162,BN4953,0)+INDEX($AT$13:$BB$162,BO4953,0)+INDEX($BD$13:$BL$162,BP4953,0))/100)))&gt;0)*($D$10:$L$10-($D$9:$L$9+INT(($S$12:$AA$12+INDEX($AJ$13:$AR$162,BN4953,0)+INDEX($AT$13:$BB$162,BO4953,0)+INDEX($BD$13:$BL$162,BP4953,0))/100)))),0)</f>
        <v/>
      </c>
      <c r="BS4953">
        <f>IF(4940&lt;$U$9,SUMPRODUCT(($D$9:$L$9+INT(($S$12:$AA$12+INDEX($AJ$13:$AR$162,BN4953,0)+INDEX($AT$13:$BB$162,BO4953,0)+INDEX($BD$13:$BL$162,BP4953,0))/100))),0)</f>
        <v/>
      </c>
      <c r="BT4953">
        <f>IF(AND(4940&lt;$U$9,$W$5),BQ4953*1000000-MIN(BR4953,999)*1000+BS4953-4940/100000,-1000000000-4940)</f>
        <v/>
      </c>
    </row>
    <row r="4954">
      <c r="BN4954">
        <f>IF(4941&lt;$U$9,INT(4941/($U$7*$U$8))+1,1)</f>
        <v/>
      </c>
      <c r="BO4954">
        <f>IF(4941&lt;$U$9,MOD(INT(4941/$U$8),$U$7)+1,1)</f>
        <v/>
      </c>
      <c r="BP4954">
        <f>IF(4941&lt;$U$9,MOD(4941,$U$8)+1,1)</f>
        <v/>
      </c>
      <c r="BQ4954">
        <f>IF(4941&lt;$U$9,SUMPRODUCT(($D$10:$L$10&lt;&gt;"")*(($D$9:$L$9+INT(($S$12:$AA$12+INDEX($AJ$13:$AR$162,BN4954,0)+INDEX($AT$13:$BB$162,BO4954,0)+INDEX($BD$13:$BL$162,BP4954,0))/100))&gt;=$D$10:$L$10)),0)</f>
        <v/>
      </c>
      <c r="BR4954">
        <f>IF(4941&lt;$U$9,SUMPRODUCT(($D$10:$L$10&lt;&gt;"")*(($D$10:$L$10-($D$9:$L$9+INT(($S$12:$AA$12+INDEX($AJ$13:$AR$162,BN4954,0)+INDEX($AT$13:$BB$162,BO4954,0)+INDEX($BD$13:$BL$162,BP4954,0))/100)))&gt;0)*($D$10:$L$10-($D$9:$L$9+INT(($S$12:$AA$12+INDEX($AJ$13:$AR$162,BN4954,0)+INDEX($AT$13:$BB$162,BO4954,0)+INDEX($BD$13:$BL$162,BP4954,0))/100)))),0)</f>
        <v/>
      </c>
      <c r="BS4954">
        <f>IF(4941&lt;$U$9,SUMPRODUCT(($D$9:$L$9+INT(($S$12:$AA$12+INDEX($AJ$13:$AR$162,BN4954,0)+INDEX($AT$13:$BB$162,BO4954,0)+INDEX($BD$13:$BL$162,BP4954,0))/100))),0)</f>
        <v/>
      </c>
      <c r="BT4954">
        <f>IF(AND(4941&lt;$U$9,$W$5),BQ4954*1000000-MIN(BR4954,999)*1000+BS4954-4941/100000,-1000000000-4941)</f>
        <v/>
      </c>
    </row>
    <row r="4955">
      <c r="BN4955">
        <f>IF(4942&lt;$U$9,INT(4942/($U$7*$U$8))+1,1)</f>
        <v/>
      </c>
      <c r="BO4955">
        <f>IF(4942&lt;$U$9,MOD(INT(4942/$U$8),$U$7)+1,1)</f>
        <v/>
      </c>
      <c r="BP4955">
        <f>IF(4942&lt;$U$9,MOD(4942,$U$8)+1,1)</f>
        <v/>
      </c>
      <c r="BQ4955">
        <f>IF(4942&lt;$U$9,SUMPRODUCT(($D$10:$L$10&lt;&gt;"")*(($D$9:$L$9+INT(($S$12:$AA$12+INDEX($AJ$13:$AR$162,BN4955,0)+INDEX($AT$13:$BB$162,BO4955,0)+INDEX($BD$13:$BL$162,BP4955,0))/100))&gt;=$D$10:$L$10)),0)</f>
        <v/>
      </c>
      <c r="BR4955">
        <f>IF(4942&lt;$U$9,SUMPRODUCT(($D$10:$L$10&lt;&gt;"")*(($D$10:$L$10-($D$9:$L$9+INT(($S$12:$AA$12+INDEX($AJ$13:$AR$162,BN4955,0)+INDEX($AT$13:$BB$162,BO4955,0)+INDEX($BD$13:$BL$162,BP4955,0))/100)))&gt;0)*($D$10:$L$10-($D$9:$L$9+INT(($S$12:$AA$12+INDEX($AJ$13:$AR$162,BN4955,0)+INDEX($AT$13:$BB$162,BO4955,0)+INDEX($BD$13:$BL$162,BP4955,0))/100)))),0)</f>
        <v/>
      </c>
      <c r="BS4955">
        <f>IF(4942&lt;$U$9,SUMPRODUCT(($D$9:$L$9+INT(($S$12:$AA$12+INDEX($AJ$13:$AR$162,BN4955,0)+INDEX($AT$13:$BB$162,BO4955,0)+INDEX($BD$13:$BL$162,BP4955,0))/100))),0)</f>
        <v/>
      </c>
      <c r="BT4955">
        <f>IF(AND(4942&lt;$U$9,$W$5),BQ4955*1000000-MIN(BR4955,999)*1000+BS4955-4942/100000,-1000000000-4942)</f>
        <v/>
      </c>
    </row>
    <row r="4956">
      <c r="BN4956">
        <f>IF(4943&lt;$U$9,INT(4943/($U$7*$U$8))+1,1)</f>
        <v/>
      </c>
      <c r="BO4956">
        <f>IF(4943&lt;$U$9,MOD(INT(4943/$U$8),$U$7)+1,1)</f>
        <v/>
      </c>
      <c r="BP4956">
        <f>IF(4943&lt;$U$9,MOD(4943,$U$8)+1,1)</f>
        <v/>
      </c>
      <c r="BQ4956">
        <f>IF(4943&lt;$U$9,SUMPRODUCT(($D$10:$L$10&lt;&gt;"")*(($D$9:$L$9+INT(($S$12:$AA$12+INDEX($AJ$13:$AR$162,BN4956,0)+INDEX($AT$13:$BB$162,BO4956,0)+INDEX($BD$13:$BL$162,BP4956,0))/100))&gt;=$D$10:$L$10)),0)</f>
        <v/>
      </c>
      <c r="BR4956">
        <f>IF(4943&lt;$U$9,SUMPRODUCT(($D$10:$L$10&lt;&gt;"")*(($D$10:$L$10-($D$9:$L$9+INT(($S$12:$AA$12+INDEX($AJ$13:$AR$162,BN4956,0)+INDEX($AT$13:$BB$162,BO4956,0)+INDEX($BD$13:$BL$162,BP4956,0))/100)))&gt;0)*($D$10:$L$10-($D$9:$L$9+INT(($S$12:$AA$12+INDEX($AJ$13:$AR$162,BN4956,0)+INDEX($AT$13:$BB$162,BO4956,0)+INDEX($BD$13:$BL$162,BP4956,0))/100)))),0)</f>
        <v/>
      </c>
      <c r="BS4956">
        <f>IF(4943&lt;$U$9,SUMPRODUCT(($D$9:$L$9+INT(($S$12:$AA$12+INDEX($AJ$13:$AR$162,BN4956,0)+INDEX($AT$13:$BB$162,BO4956,0)+INDEX($BD$13:$BL$162,BP4956,0))/100))),0)</f>
        <v/>
      </c>
      <c r="BT4956">
        <f>IF(AND(4943&lt;$U$9,$W$5),BQ4956*1000000-MIN(BR4956,999)*1000+BS4956-4943/100000,-1000000000-4943)</f>
        <v/>
      </c>
    </row>
    <row r="4957">
      <c r="BN4957">
        <f>IF(4944&lt;$U$9,INT(4944/($U$7*$U$8))+1,1)</f>
        <v/>
      </c>
      <c r="BO4957">
        <f>IF(4944&lt;$U$9,MOD(INT(4944/$U$8),$U$7)+1,1)</f>
        <v/>
      </c>
      <c r="BP4957">
        <f>IF(4944&lt;$U$9,MOD(4944,$U$8)+1,1)</f>
        <v/>
      </c>
      <c r="BQ4957">
        <f>IF(4944&lt;$U$9,SUMPRODUCT(($D$10:$L$10&lt;&gt;"")*(($D$9:$L$9+INT(($S$12:$AA$12+INDEX($AJ$13:$AR$162,BN4957,0)+INDEX($AT$13:$BB$162,BO4957,0)+INDEX($BD$13:$BL$162,BP4957,0))/100))&gt;=$D$10:$L$10)),0)</f>
        <v/>
      </c>
      <c r="BR4957">
        <f>IF(4944&lt;$U$9,SUMPRODUCT(($D$10:$L$10&lt;&gt;"")*(($D$10:$L$10-($D$9:$L$9+INT(($S$12:$AA$12+INDEX($AJ$13:$AR$162,BN4957,0)+INDEX($AT$13:$BB$162,BO4957,0)+INDEX($BD$13:$BL$162,BP4957,0))/100)))&gt;0)*($D$10:$L$10-($D$9:$L$9+INT(($S$12:$AA$12+INDEX($AJ$13:$AR$162,BN4957,0)+INDEX($AT$13:$BB$162,BO4957,0)+INDEX($BD$13:$BL$162,BP4957,0))/100)))),0)</f>
        <v/>
      </c>
      <c r="BS4957">
        <f>IF(4944&lt;$U$9,SUMPRODUCT(($D$9:$L$9+INT(($S$12:$AA$12+INDEX($AJ$13:$AR$162,BN4957,0)+INDEX($AT$13:$BB$162,BO4957,0)+INDEX($BD$13:$BL$162,BP4957,0))/100))),0)</f>
        <v/>
      </c>
      <c r="BT4957">
        <f>IF(AND(4944&lt;$U$9,$W$5),BQ4957*1000000-MIN(BR4957,999)*1000+BS4957-4944/100000,-1000000000-4944)</f>
        <v/>
      </c>
    </row>
    <row r="4958">
      <c r="BN4958">
        <f>IF(4945&lt;$U$9,INT(4945/($U$7*$U$8))+1,1)</f>
        <v/>
      </c>
      <c r="BO4958">
        <f>IF(4945&lt;$U$9,MOD(INT(4945/$U$8),$U$7)+1,1)</f>
        <v/>
      </c>
      <c r="BP4958">
        <f>IF(4945&lt;$U$9,MOD(4945,$U$8)+1,1)</f>
        <v/>
      </c>
      <c r="BQ4958">
        <f>IF(4945&lt;$U$9,SUMPRODUCT(($D$10:$L$10&lt;&gt;"")*(($D$9:$L$9+INT(($S$12:$AA$12+INDEX($AJ$13:$AR$162,BN4958,0)+INDEX($AT$13:$BB$162,BO4958,0)+INDEX($BD$13:$BL$162,BP4958,0))/100))&gt;=$D$10:$L$10)),0)</f>
        <v/>
      </c>
      <c r="BR4958">
        <f>IF(4945&lt;$U$9,SUMPRODUCT(($D$10:$L$10&lt;&gt;"")*(($D$10:$L$10-($D$9:$L$9+INT(($S$12:$AA$12+INDEX($AJ$13:$AR$162,BN4958,0)+INDEX($AT$13:$BB$162,BO4958,0)+INDEX($BD$13:$BL$162,BP4958,0))/100)))&gt;0)*($D$10:$L$10-($D$9:$L$9+INT(($S$12:$AA$12+INDEX($AJ$13:$AR$162,BN4958,0)+INDEX($AT$13:$BB$162,BO4958,0)+INDEX($BD$13:$BL$162,BP4958,0))/100)))),0)</f>
        <v/>
      </c>
      <c r="BS4958">
        <f>IF(4945&lt;$U$9,SUMPRODUCT(($D$9:$L$9+INT(($S$12:$AA$12+INDEX($AJ$13:$AR$162,BN4958,0)+INDEX($AT$13:$BB$162,BO4958,0)+INDEX($BD$13:$BL$162,BP4958,0))/100))),0)</f>
        <v/>
      </c>
      <c r="BT4958">
        <f>IF(AND(4945&lt;$U$9,$W$5),BQ4958*1000000-MIN(BR4958,999)*1000+BS4958-4945/100000,-1000000000-4945)</f>
        <v/>
      </c>
    </row>
    <row r="4959">
      <c r="BN4959">
        <f>IF(4946&lt;$U$9,INT(4946/($U$7*$U$8))+1,1)</f>
        <v/>
      </c>
      <c r="BO4959">
        <f>IF(4946&lt;$U$9,MOD(INT(4946/$U$8),$U$7)+1,1)</f>
        <v/>
      </c>
      <c r="BP4959">
        <f>IF(4946&lt;$U$9,MOD(4946,$U$8)+1,1)</f>
        <v/>
      </c>
      <c r="BQ4959">
        <f>IF(4946&lt;$U$9,SUMPRODUCT(($D$10:$L$10&lt;&gt;"")*(($D$9:$L$9+INT(($S$12:$AA$12+INDEX($AJ$13:$AR$162,BN4959,0)+INDEX($AT$13:$BB$162,BO4959,0)+INDEX($BD$13:$BL$162,BP4959,0))/100))&gt;=$D$10:$L$10)),0)</f>
        <v/>
      </c>
      <c r="BR4959">
        <f>IF(4946&lt;$U$9,SUMPRODUCT(($D$10:$L$10&lt;&gt;"")*(($D$10:$L$10-($D$9:$L$9+INT(($S$12:$AA$12+INDEX($AJ$13:$AR$162,BN4959,0)+INDEX($AT$13:$BB$162,BO4959,0)+INDEX($BD$13:$BL$162,BP4959,0))/100)))&gt;0)*($D$10:$L$10-($D$9:$L$9+INT(($S$12:$AA$12+INDEX($AJ$13:$AR$162,BN4959,0)+INDEX($AT$13:$BB$162,BO4959,0)+INDEX($BD$13:$BL$162,BP4959,0))/100)))),0)</f>
        <v/>
      </c>
      <c r="BS4959">
        <f>IF(4946&lt;$U$9,SUMPRODUCT(($D$9:$L$9+INT(($S$12:$AA$12+INDEX($AJ$13:$AR$162,BN4959,0)+INDEX($AT$13:$BB$162,BO4959,0)+INDEX($BD$13:$BL$162,BP4959,0))/100))),0)</f>
        <v/>
      </c>
      <c r="BT4959">
        <f>IF(AND(4946&lt;$U$9,$W$5),BQ4959*1000000-MIN(BR4959,999)*1000+BS4959-4946/100000,-1000000000-4946)</f>
        <v/>
      </c>
    </row>
    <row r="4960">
      <c r="BN4960">
        <f>IF(4947&lt;$U$9,INT(4947/($U$7*$U$8))+1,1)</f>
        <v/>
      </c>
      <c r="BO4960">
        <f>IF(4947&lt;$U$9,MOD(INT(4947/$U$8),$U$7)+1,1)</f>
        <v/>
      </c>
      <c r="BP4960">
        <f>IF(4947&lt;$U$9,MOD(4947,$U$8)+1,1)</f>
        <v/>
      </c>
      <c r="BQ4960">
        <f>IF(4947&lt;$U$9,SUMPRODUCT(($D$10:$L$10&lt;&gt;"")*(($D$9:$L$9+INT(($S$12:$AA$12+INDEX($AJ$13:$AR$162,BN4960,0)+INDEX($AT$13:$BB$162,BO4960,0)+INDEX($BD$13:$BL$162,BP4960,0))/100))&gt;=$D$10:$L$10)),0)</f>
        <v/>
      </c>
      <c r="BR4960">
        <f>IF(4947&lt;$U$9,SUMPRODUCT(($D$10:$L$10&lt;&gt;"")*(($D$10:$L$10-($D$9:$L$9+INT(($S$12:$AA$12+INDEX($AJ$13:$AR$162,BN4960,0)+INDEX($AT$13:$BB$162,BO4960,0)+INDEX($BD$13:$BL$162,BP4960,0))/100)))&gt;0)*($D$10:$L$10-($D$9:$L$9+INT(($S$12:$AA$12+INDEX($AJ$13:$AR$162,BN4960,0)+INDEX($AT$13:$BB$162,BO4960,0)+INDEX($BD$13:$BL$162,BP4960,0))/100)))),0)</f>
        <v/>
      </c>
      <c r="BS4960">
        <f>IF(4947&lt;$U$9,SUMPRODUCT(($D$9:$L$9+INT(($S$12:$AA$12+INDEX($AJ$13:$AR$162,BN4960,0)+INDEX($AT$13:$BB$162,BO4960,0)+INDEX($BD$13:$BL$162,BP4960,0))/100))),0)</f>
        <v/>
      </c>
      <c r="BT4960">
        <f>IF(AND(4947&lt;$U$9,$W$5),BQ4960*1000000-MIN(BR4960,999)*1000+BS4960-4947/100000,-1000000000-4947)</f>
        <v/>
      </c>
    </row>
    <row r="4961">
      <c r="BN4961">
        <f>IF(4948&lt;$U$9,INT(4948/($U$7*$U$8))+1,1)</f>
        <v/>
      </c>
      <c r="BO4961">
        <f>IF(4948&lt;$U$9,MOD(INT(4948/$U$8),$U$7)+1,1)</f>
        <v/>
      </c>
      <c r="BP4961">
        <f>IF(4948&lt;$U$9,MOD(4948,$U$8)+1,1)</f>
        <v/>
      </c>
      <c r="BQ4961">
        <f>IF(4948&lt;$U$9,SUMPRODUCT(($D$10:$L$10&lt;&gt;"")*(($D$9:$L$9+INT(($S$12:$AA$12+INDEX($AJ$13:$AR$162,BN4961,0)+INDEX($AT$13:$BB$162,BO4961,0)+INDEX($BD$13:$BL$162,BP4961,0))/100))&gt;=$D$10:$L$10)),0)</f>
        <v/>
      </c>
      <c r="BR4961">
        <f>IF(4948&lt;$U$9,SUMPRODUCT(($D$10:$L$10&lt;&gt;"")*(($D$10:$L$10-($D$9:$L$9+INT(($S$12:$AA$12+INDEX($AJ$13:$AR$162,BN4961,0)+INDEX($AT$13:$BB$162,BO4961,0)+INDEX($BD$13:$BL$162,BP4961,0))/100)))&gt;0)*($D$10:$L$10-($D$9:$L$9+INT(($S$12:$AA$12+INDEX($AJ$13:$AR$162,BN4961,0)+INDEX($AT$13:$BB$162,BO4961,0)+INDEX($BD$13:$BL$162,BP4961,0))/100)))),0)</f>
        <v/>
      </c>
      <c r="BS4961">
        <f>IF(4948&lt;$U$9,SUMPRODUCT(($D$9:$L$9+INT(($S$12:$AA$12+INDEX($AJ$13:$AR$162,BN4961,0)+INDEX($AT$13:$BB$162,BO4961,0)+INDEX($BD$13:$BL$162,BP4961,0))/100))),0)</f>
        <v/>
      </c>
      <c r="BT4961">
        <f>IF(AND(4948&lt;$U$9,$W$5),BQ4961*1000000-MIN(BR4961,999)*1000+BS4961-4948/100000,-1000000000-4948)</f>
        <v/>
      </c>
    </row>
    <row r="4962">
      <c r="BN4962">
        <f>IF(4949&lt;$U$9,INT(4949/($U$7*$U$8))+1,1)</f>
        <v/>
      </c>
      <c r="BO4962">
        <f>IF(4949&lt;$U$9,MOD(INT(4949/$U$8),$U$7)+1,1)</f>
        <v/>
      </c>
      <c r="BP4962">
        <f>IF(4949&lt;$U$9,MOD(4949,$U$8)+1,1)</f>
        <v/>
      </c>
      <c r="BQ4962">
        <f>IF(4949&lt;$U$9,SUMPRODUCT(($D$10:$L$10&lt;&gt;"")*(($D$9:$L$9+INT(($S$12:$AA$12+INDEX($AJ$13:$AR$162,BN4962,0)+INDEX($AT$13:$BB$162,BO4962,0)+INDEX($BD$13:$BL$162,BP4962,0))/100))&gt;=$D$10:$L$10)),0)</f>
        <v/>
      </c>
      <c r="BR4962">
        <f>IF(4949&lt;$U$9,SUMPRODUCT(($D$10:$L$10&lt;&gt;"")*(($D$10:$L$10-($D$9:$L$9+INT(($S$12:$AA$12+INDEX($AJ$13:$AR$162,BN4962,0)+INDEX($AT$13:$BB$162,BO4962,0)+INDEX($BD$13:$BL$162,BP4962,0))/100)))&gt;0)*($D$10:$L$10-($D$9:$L$9+INT(($S$12:$AA$12+INDEX($AJ$13:$AR$162,BN4962,0)+INDEX($AT$13:$BB$162,BO4962,0)+INDEX($BD$13:$BL$162,BP4962,0))/100)))),0)</f>
        <v/>
      </c>
      <c r="BS4962">
        <f>IF(4949&lt;$U$9,SUMPRODUCT(($D$9:$L$9+INT(($S$12:$AA$12+INDEX($AJ$13:$AR$162,BN4962,0)+INDEX($AT$13:$BB$162,BO4962,0)+INDEX($BD$13:$BL$162,BP4962,0))/100))),0)</f>
        <v/>
      </c>
      <c r="BT4962">
        <f>IF(AND(4949&lt;$U$9,$W$5),BQ4962*1000000-MIN(BR4962,999)*1000+BS4962-4949/100000,-1000000000-4949)</f>
        <v/>
      </c>
    </row>
    <row r="4963">
      <c r="BN4963">
        <f>IF(4950&lt;$U$9,INT(4950/($U$7*$U$8))+1,1)</f>
        <v/>
      </c>
      <c r="BO4963">
        <f>IF(4950&lt;$U$9,MOD(INT(4950/$U$8),$U$7)+1,1)</f>
        <v/>
      </c>
      <c r="BP4963">
        <f>IF(4950&lt;$U$9,MOD(4950,$U$8)+1,1)</f>
        <v/>
      </c>
      <c r="BQ4963">
        <f>IF(4950&lt;$U$9,SUMPRODUCT(($D$10:$L$10&lt;&gt;"")*(($D$9:$L$9+INT(($S$12:$AA$12+INDEX($AJ$13:$AR$162,BN4963,0)+INDEX($AT$13:$BB$162,BO4963,0)+INDEX($BD$13:$BL$162,BP4963,0))/100))&gt;=$D$10:$L$10)),0)</f>
        <v/>
      </c>
      <c r="BR4963">
        <f>IF(4950&lt;$U$9,SUMPRODUCT(($D$10:$L$10&lt;&gt;"")*(($D$10:$L$10-($D$9:$L$9+INT(($S$12:$AA$12+INDEX($AJ$13:$AR$162,BN4963,0)+INDEX($AT$13:$BB$162,BO4963,0)+INDEX($BD$13:$BL$162,BP4963,0))/100)))&gt;0)*($D$10:$L$10-($D$9:$L$9+INT(($S$12:$AA$12+INDEX($AJ$13:$AR$162,BN4963,0)+INDEX($AT$13:$BB$162,BO4963,0)+INDEX($BD$13:$BL$162,BP4963,0))/100)))),0)</f>
        <v/>
      </c>
      <c r="BS4963">
        <f>IF(4950&lt;$U$9,SUMPRODUCT(($D$9:$L$9+INT(($S$12:$AA$12+INDEX($AJ$13:$AR$162,BN4963,0)+INDEX($AT$13:$BB$162,BO4963,0)+INDEX($BD$13:$BL$162,BP4963,0))/100))),0)</f>
        <v/>
      </c>
      <c r="BT4963">
        <f>IF(AND(4950&lt;$U$9,$W$5),BQ4963*1000000-MIN(BR4963,999)*1000+BS4963-4950/100000,-1000000000-4950)</f>
        <v/>
      </c>
    </row>
    <row r="4964">
      <c r="BN4964">
        <f>IF(4951&lt;$U$9,INT(4951/($U$7*$U$8))+1,1)</f>
        <v/>
      </c>
      <c r="BO4964">
        <f>IF(4951&lt;$U$9,MOD(INT(4951/$U$8),$U$7)+1,1)</f>
        <v/>
      </c>
      <c r="BP4964">
        <f>IF(4951&lt;$U$9,MOD(4951,$U$8)+1,1)</f>
        <v/>
      </c>
      <c r="BQ4964">
        <f>IF(4951&lt;$U$9,SUMPRODUCT(($D$10:$L$10&lt;&gt;"")*(($D$9:$L$9+INT(($S$12:$AA$12+INDEX($AJ$13:$AR$162,BN4964,0)+INDEX($AT$13:$BB$162,BO4964,0)+INDEX($BD$13:$BL$162,BP4964,0))/100))&gt;=$D$10:$L$10)),0)</f>
        <v/>
      </c>
      <c r="BR4964">
        <f>IF(4951&lt;$U$9,SUMPRODUCT(($D$10:$L$10&lt;&gt;"")*(($D$10:$L$10-($D$9:$L$9+INT(($S$12:$AA$12+INDEX($AJ$13:$AR$162,BN4964,0)+INDEX($AT$13:$BB$162,BO4964,0)+INDEX($BD$13:$BL$162,BP4964,0))/100)))&gt;0)*($D$10:$L$10-($D$9:$L$9+INT(($S$12:$AA$12+INDEX($AJ$13:$AR$162,BN4964,0)+INDEX($AT$13:$BB$162,BO4964,0)+INDEX($BD$13:$BL$162,BP4964,0))/100)))),0)</f>
        <v/>
      </c>
      <c r="BS4964">
        <f>IF(4951&lt;$U$9,SUMPRODUCT(($D$9:$L$9+INT(($S$12:$AA$12+INDEX($AJ$13:$AR$162,BN4964,0)+INDEX($AT$13:$BB$162,BO4964,0)+INDEX($BD$13:$BL$162,BP4964,0))/100))),0)</f>
        <v/>
      </c>
      <c r="BT4964">
        <f>IF(AND(4951&lt;$U$9,$W$5),BQ4964*1000000-MIN(BR4964,999)*1000+BS4964-4951/100000,-1000000000-4951)</f>
        <v/>
      </c>
    </row>
    <row r="4965">
      <c r="BN4965">
        <f>IF(4952&lt;$U$9,INT(4952/($U$7*$U$8))+1,1)</f>
        <v/>
      </c>
      <c r="BO4965">
        <f>IF(4952&lt;$U$9,MOD(INT(4952/$U$8),$U$7)+1,1)</f>
        <v/>
      </c>
      <c r="BP4965">
        <f>IF(4952&lt;$U$9,MOD(4952,$U$8)+1,1)</f>
        <v/>
      </c>
      <c r="BQ4965">
        <f>IF(4952&lt;$U$9,SUMPRODUCT(($D$10:$L$10&lt;&gt;"")*(($D$9:$L$9+INT(($S$12:$AA$12+INDEX($AJ$13:$AR$162,BN4965,0)+INDEX($AT$13:$BB$162,BO4965,0)+INDEX($BD$13:$BL$162,BP4965,0))/100))&gt;=$D$10:$L$10)),0)</f>
        <v/>
      </c>
      <c r="BR4965">
        <f>IF(4952&lt;$U$9,SUMPRODUCT(($D$10:$L$10&lt;&gt;"")*(($D$10:$L$10-($D$9:$L$9+INT(($S$12:$AA$12+INDEX($AJ$13:$AR$162,BN4965,0)+INDEX($AT$13:$BB$162,BO4965,0)+INDEX($BD$13:$BL$162,BP4965,0))/100)))&gt;0)*($D$10:$L$10-($D$9:$L$9+INT(($S$12:$AA$12+INDEX($AJ$13:$AR$162,BN4965,0)+INDEX($AT$13:$BB$162,BO4965,0)+INDEX($BD$13:$BL$162,BP4965,0))/100)))),0)</f>
        <v/>
      </c>
      <c r="BS4965">
        <f>IF(4952&lt;$U$9,SUMPRODUCT(($D$9:$L$9+INT(($S$12:$AA$12+INDEX($AJ$13:$AR$162,BN4965,0)+INDEX($AT$13:$BB$162,BO4965,0)+INDEX($BD$13:$BL$162,BP4965,0))/100))),0)</f>
        <v/>
      </c>
      <c r="BT4965">
        <f>IF(AND(4952&lt;$U$9,$W$5),BQ4965*1000000-MIN(BR4965,999)*1000+BS4965-4952/100000,-1000000000-4952)</f>
        <v/>
      </c>
    </row>
    <row r="4966">
      <c r="BN4966">
        <f>IF(4953&lt;$U$9,INT(4953/($U$7*$U$8))+1,1)</f>
        <v/>
      </c>
      <c r="BO4966">
        <f>IF(4953&lt;$U$9,MOD(INT(4953/$U$8),$U$7)+1,1)</f>
        <v/>
      </c>
      <c r="BP4966">
        <f>IF(4953&lt;$U$9,MOD(4953,$U$8)+1,1)</f>
        <v/>
      </c>
      <c r="BQ4966">
        <f>IF(4953&lt;$U$9,SUMPRODUCT(($D$10:$L$10&lt;&gt;"")*(($D$9:$L$9+INT(($S$12:$AA$12+INDEX($AJ$13:$AR$162,BN4966,0)+INDEX($AT$13:$BB$162,BO4966,0)+INDEX($BD$13:$BL$162,BP4966,0))/100))&gt;=$D$10:$L$10)),0)</f>
        <v/>
      </c>
      <c r="BR4966">
        <f>IF(4953&lt;$U$9,SUMPRODUCT(($D$10:$L$10&lt;&gt;"")*(($D$10:$L$10-($D$9:$L$9+INT(($S$12:$AA$12+INDEX($AJ$13:$AR$162,BN4966,0)+INDEX($AT$13:$BB$162,BO4966,0)+INDEX($BD$13:$BL$162,BP4966,0))/100)))&gt;0)*($D$10:$L$10-($D$9:$L$9+INT(($S$12:$AA$12+INDEX($AJ$13:$AR$162,BN4966,0)+INDEX($AT$13:$BB$162,BO4966,0)+INDEX($BD$13:$BL$162,BP4966,0))/100)))),0)</f>
        <v/>
      </c>
      <c r="BS4966">
        <f>IF(4953&lt;$U$9,SUMPRODUCT(($D$9:$L$9+INT(($S$12:$AA$12+INDEX($AJ$13:$AR$162,BN4966,0)+INDEX($AT$13:$BB$162,BO4966,0)+INDEX($BD$13:$BL$162,BP4966,0))/100))),0)</f>
        <v/>
      </c>
      <c r="BT4966">
        <f>IF(AND(4953&lt;$U$9,$W$5),BQ4966*1000000-MIN(BR4966,999)*1000+BS4966-4953/100000,-1000000000-4953)</f>
        <v/>
      </c>
    </row>
    <row r="4967">
      <c r="BN4967">
        <f>IF(4954&lt;$U$9,INT(4954/($U$7*$U$8))+1,1)</f>
        <v/>
      </c>
      <c r="BO4967">
        <f>IF(4954&lt;$U$9,MOD(INT(4954/$U$8),$U$7)+1,1)</f>
        <v/>
      </c>
      <c r="BP4967">
        <f>IF(4954&lt;$U$9,MOD(4954,$U$8)+1,1)</f>
        <v/>
      </c>
      <c r="BQ4967">
        <f>IF(4954&lt;$U$9,SUMPRODUCT(($D$10:$L$10&lt;&gt;"")*(($D$9:$L$9+INT(($S$12:$AA$12+INDEX($AJ$13:$AR$162,BN4967,0)+INDEX($AT$13:$BB$162,BO4967,0)+INDEX($BD$13:$BL$162,BP4967,0))/100))&gt;=$D$10:$L$10)),0)</f>
        <v/>
      </c>
      <c r="BR4967">
        <f>IF(4954&lt;$U$9,SUMPRODUCT(($D$10:$L$10&lt;&gt;"")*(($D$10:$L$10-($D$9:$L$9+INT(($S$12:$AA$12+INDEX($AJ$13:$AR$162,BN4967,0)+INDEX($AT$13:$BB$162,BO4967,0)+INDEX($BD$13:$BL$162,BP4967,0))/100)))&gt;0)*($D$10:$L$10-($D$9:$L$9+INT(($S$12:$AA$12+INDEX($AJ$13:$AR$162,BN4967,0)+INDEX($AT$13:$BB$162,BO4967,0)+INDEX($BD$13:$BL$162,BP4967,0))/100)))),0)</f>
        <v/>
      </c>
      <c r="BS4967">
        <f>IF(4954&lt;$U$9,SUMPRODUCT(($D$9:$L$9+INT(($S$12:$AA$12+INDEX($AJ$13:$AR$162,BN4967,0)+INDEX($AT$13:$BB$162,BO4967,0)+INDEX($BD$13:$BL$162,BP4967,0))/100))),0)</f>
        <v/>
      </c>
      <c r="BT4967">
        <f>IF(AND(4954&lt;$U$9,$W$5),BQ4967*1000000-MIN(BR4967,999)*1000+BS4967-4954/100000,-1000000000-4954)</f>
        <v/>
      </c>
    </row>
    <row r="4968">
      <c r="BN4968">
        <f>IF(4955&lt;$U$9,INT(4955/($U$7*$U$8))+1,1)</f>
        <v/>
      </c>
      <c r="BO4968">
        <f>IF(4955&lt;$U$9,MOD(INT(4955/$U$8),$U$7)+1,1)</f>
        <v/>
      </c>
      <c r="BP4968">
        <f>IF(4955&lt;$U$9,MOD(4955,$U$8)+1,1)</f>
        <v/>
      </c>
      <c r="BQ4968">
        <f>IF(4955&lt;$U$9,SUMPRODUCT(($D$10:$L$10&lt;&gt;"")*(($D$9:$L$9+INT(($S$12:$AA$12+INDEX($AJ$13:$AR$162,BN4968,0)+INDEX($AT$13:$BB$162,BO4968,0)+INDEX($BD$13:$BL$162,BP4968,0))/100))&gt;=$D$10:$L$10)),0)</f>
        <v/>
      </c>
      <c r="BR4968">
        <f>IF(4955&lt;$U$9,SUMPRODUCT(($D$10:$L$10&lt;&gt;"")*(($D$10:$L$10-($D$9:$L$9+INT(($S$12:$AA$12+INDEX($AJ$13:$AR$162,BN4968,0)+INDEX($AT$13:$BB$162,BO4968,0)+INDEX($BD$13:$BL$162,BP4968,0))/100)))&gt;0)*($D$10:$L$10-($D$9:$L$9+INT(($S$12:$AA$12+INDEX($AJ$13:$AR$162,BN4968,0)+INDEX($AT$13:$BB$162,BO4968,0)+INDEX($BD$13:$BL$162,BP4968,0))/100)))),0)</f>
        <v/>
      </c>
      <c r="BS4968">
        <f>IF(4955&lt;$U$9,SUMPRODUCT(($D$9:$L$9+INT(($S$12:$AA$12+INDEX($AJ$13:$AR$162,BN4968,0)+INDEX($AT$13:$BB$162,BO4968,0)+INDEX($BD$13:$BL$162,BP4968,0))/100))),0)</f>
        <v/>
      </c>
      <c r="BT4968">
        <f>IF(AND(4955&lt;$U$9,$W$5),BQ4968*1000000-MIN(BR4968,999)*1000+BS4968-4955/100000,-1000000000-4955)</f>
        <v/>
      </c>
    </row>
    <row r="4969">
      <c r="BN4969">
        <f>IF(4956&lt;$U$9,INT(4956/($U$7*$U$8))+1,1)</f>
        <v/>
      </c>
      <c r="BO4969">
        <f>IF(4956&lt;$U$9,MOD(INT(4956/$U$8),$U$7)+1,1)</f>
        <v/>
      </c>
      <c r="BP4969">
        <f>IF(4956&lt;$U$9,MOD(4956,$U$8)+1,1)</f>
        <v/>
      </c>
      <c r="BQ4969">
        <f>IF(4956&lt;$U$9,SUMPRODUCT(($D$10:$L$10&lt;&gt;"")*(($D$9:$L$9+INT(($S$12:$AA$12+INDEX($AJ$13:$AR$162,BN4969,0)+INDEX($AT$13:$BB$162,BO4969,0)+INDEX($BD$13:$BL$162,BP4969,0))/100))&gt;=$D$10:$L$10)),0)</f>
        <v/>
      </c>
      <c r="BR4969">
        <f>IF(4956&lt;$U$9,SUMPRODUCT(($D$10:$L$10&lt;&gt;"")*(($D$10:$L$10-($D$9:$L$9+INT(($S$12:$AA$12+INDEX($AJ$13:$AR$162,BN4969,0)+INDEX($AT$13:$BB$162,BO4969,0)+INDEX($BD$13:$BL$162,BP4969,0))/100)))&gt;0)*($D$10:$L$10-($D$9:$L$9+INT(($S$12:$AA$12+INDEX($AJ$13:$AR$162,BN4969,0)+INDEX($AT$13:$BB$162,BO4969,0)+INDEX($BD$13:$BL$162,BP4969,0))/100)))),0)</f>
        <v/>
      </c>
      <c r="BS4969">
        <f>IF(4956&lt;$U$9,SUMPRODUCT(($D$9:$L$9+INT(($S$12:$AA$12+INDEX($AJ$13:$AR$162,BN4969,0)+INDEX($AT$13:$BB$162,BO4969,0)+INDEX($BD$13:$BL$162,BP4969,0))/100))),0)</f>
        <v/>
      </c>
      <c r="BT4969">
        <f>IF(AND(4956&lt;$U$9,$W$5),BQ4969*1000000-MIN(BR4969,999)*1000+BS4969-4956/100000,-1000000000-4956)</f>
        <v/>
      </c>
    </row>
    <row r="4970">
      <c r="BN4970">
        <f>IF(4957&lt;$U$9,INT(4957/($U$7*$U$8))+1,1)</f>
        <v/>
      </c>
      <c r="BO4970">
        <f>IF(4957&lt;$U$9,MOD(INT(4957/$U$8),$U$7)+1,1)</f>
        <v/>
      </c>
      <c r="BP4970">
        <f>IF(4957&lt;$U$9,MOD(4957,$U$8)+1,1)</f>
        <v/>
      </c>
      <c r="BQ4970">
        <f>IF(4957&lt;$U$9,SUMPRODUCT(($D$10:$L$10&lt;&gt;"")*(($D$9:$L$9+INT(($S$12:$AA$12+INDEX($AJ$13:$AR$162,BN4970,0)+INDEX($AT$13:$BB$162,BO4970,0)+INDEX($BD$13:$BL$162,BP4970,0))/100))&gt;=$D$10:$L$10)),0)</f>
        <v/>
      </c>
      <c r="BR4970">
        <f>IF(4957&lt;$U$9,SUMPRODUCT(($D$10:$L$10&lt;&gt;"")*(($D$10:$L$10-($D$9:$L$9+INT(($S$12:$AA$12+INDEX($AJ$13:$AR$162,BN4970,0)+INDEX($AT$13:$BB$162,BO4970,0)+INDEX($BD$13:$BL$162,BP4970,0))/100)))&gt;0)*($D$10:$L$10-($D$9:$L$9+INT(($S$12:$AA$12+INDEX($AJ$13:$AR$162,BN4970,0)+INDEX($AT$13:$BB$162,BO4970,0)+INDEX($BD$13:$BL$162,BP4970,0))/100)))),0)</f>
        <v/>
      </c>
      <c r="BS4970">
        <f>IF(4957&lt;$U$9,SUMPRODUCT(($D$9:$L$9+INT(($S$12:$AA$12+INDEX($AJ$13:$AR$162,BN4970,0)+INDEX($AT$13:$BB$162,BO4970,0)+INDEX($BD$13:$BL$162,BP4970,0))/100))),0)</f>
        <v/>
      </c>
      <c r="BT4970">
        <f>IF(AND(4957&lt;$U$9,$W$5),BQ4970*1000000-MIN(BR4970,999)*1000+BS4970-4957/100000,-1000000000-4957)</f>
        <v/>
      </c>
    </row>
    <row r="4971">
      <c r="BN4971">
        <f>IF(4958&lt;$U$9,INT(4958/($U$7*$U$8))+1,1)</f>
        <v/>
      </c>
      <c r="BO4971">
        <f>IF(4958&lt;$U$9,MOD(INT(4958/$U$8),$U$7)+1,1)</f>
        <v/>
      </c>
      <c r="BP4971">
        <f>IF(4958&lt;$U$9,MOD(4958,$U$8)+1,1)</f>
        <v/>
      </c>
      <c r="BQ4971">
        <f>IF(4958&lt;$U$9,SUMPRODUCT(($D$10:$L$10&lt;&gt;"")*(($D$9:$L$9+INT(($S$12:$AA$12+INDEX($AJ$13:$AR$162,BN4971,0)+INDEX($AT$13:$BB$162,BO4971,0)+INDEX($BD$13:$BL$162,BP4971,0))/100))&gt;=$D$10:$L$10)),0)</f>
        <v/>
      </c>
      <c r="BR4971">
        <f>IF(4958&lt;$U$9,SUMPRODUCT(($D$10:$L$10&lt;&gt;"")*(($D$10:$L$10-($D$9:$L$9+INT(($S$12:$AA$12+INDEX($AJ$13:$AR$162,BN4971,0)+INDEX($AT$13:$BB$162,BO4971,0)+INDEX($BD$13:$BL$162,BP4971,0))/100)))&gt;0)*($D$10:$L$10-($D$9:$L$9+INT(($S$12:$AA$12+INDEX($AJ$13:$AR$162,BN4971,0)+INDEX($AT$13:$BB$162,BO4971,0)+INDEX($BD$13:$BL$162,BP4971,0))/100)))),0)</f>
        <v/>
      </c>
      <c r="BS4971">
        <f>IF(4958&lt;$U$9,SUMPRODUCT(($D$9:$L$9+INT(($S$12:$AA$12+INDEX($AJ$13:$AR$162,BN4971,0)+INDEX($AT$13:$BB$162,BO4971,0)+INDEX($BD$13:$BL$162,BP4971,0))/100))),0)</f>
        <v/>
      </c>
      <c r="BT4971">
        <f>IF(AND(4958&lt;$U$9,$W$5),BQ4971*1000000-MIN(BR4971,999)*1000+BS4971-4958/100000,-1000000000-4958)</f>
        <v/>
      </c>
    </row>
    <row r="4972">
      <c r="BN4972">
        <f>IF(4959&lt;$U$9,INT(4959/($U$7*$U$8))+1,1)</f>
        <v/>
      </c>
      <c r="BO4972">
        <f>IF(4959&lt;$U$9,MOD(INT(4959/$U$8),$U$7)+1,1)</f>
        <v/>
      </c>
      <c r="BP4972">
        <f>IF(4959&lt;$U$9,MOD(4959,$U$8)+1,1)</f>
        <v/>
      </c>
      <c r="BQ4972">
        <f>IF(4959&lt;$U$9,SUMPRODUCT(($D$10:$L$10&lt;&gt;"")*(($D$9:$L$9+INT(($S$12:$AA$12+INDEX($AJ$13:$AR$162,BN4972,0)+INDEX($AT$13:$BB$162,BO4972,0)+INDEX($BD$13:$BL$162,BP4972,0))/100))&gt;=$D$10:$L$10)),0)</f>
        <v/>
      </c>
      <c r="BR4972">
        <f>IF(4959&lt;$U$9,SUMPRODUCT(($D$10:$L$10&lt;&gt;"")*(($D$10:$L$10-($D$9:$L$9+INT(($S$12:$AA$12+INDEX($AJ$13:$AR$162,BN4972,0)+INDEX($AT$13:$BB$162,BO4972,0)+INDEX($BD$13:$BL$162,BP4972,0))/100)))&gt;0)*($D$10:$L$10-($D$9:$L$9+INT(($S$12:$AA$12+INDEX($AJ$13:$AR$162,BN4972,0)+INDEX($AT$13:$BB$162,BO4972,0)+INDEX($BD$13:$BL$162,BP4972,0))/100)))),0)</f>
        <v/>
      </c>
      <c r="BS4972">
        <f>IF(4959&lt;$U$9,SUMPRODUCT(($D$9:$L$9+INT(($S$12:$AA$12+INDEX($AJ$13:$AR$162,BN4972,0)+INDEX($AT$13:$BB$162,BO4972,0)+INDEX($BD$13:$BL$162,BP4972,0))/100))),0)</f>
        <v/>
      </c>
      <c r="BT4972">
        <f>IF(AND(4959&lt;$U$9,$W$5),BQ4972*1000000-MIN(BR4972,999)*1000+BS4972-4959/100000,-1000000000-4959)</f>
        <v/>
      </c>
    </row>
    <row r="4973">
      <c r="BN4973">
        <f>IF(4960&lt;$U$9,INT(4960/($U$7*$U$8))+1,1)</f>
        <v/>
      </c>
      <c r="BO4973">
        <f>IF(4960&lt;$U$9,MOD(INT(4960/$U$8),$U$7)+1,1)</f>
        <v/>
      </c>
      <c r="BP4973">
        <f>IF(4960&lt;$U$9,MOD(4960,$U$8)+1,1)</f>
        <v/>
      </c>
      <c r="BQ4973">
        <f>IF(4960&lt;$U$9,SUMPRODUCT(($D$10:$L$10&lt;&gt;"")*(($D$9:$L$9+INT(($S$12:$AA$12+INDEX($AJ$13:$AR$162,BN4973,0)+INDEX($AT$13:$BB$162,BO4973,0)+INDEX($BD$13:$BL$162,BP4973,0))/100))&gt;=$D$10:$L$10)),0)</f>
        <v/>
      </c>
      <c r="BR4973">
        <f>IF(4960&lt;$U$9,SUMPRODUCT(($D$10:$L$10&lt;&gt;"")*(($D$10:$L$10-($D$9:$L$9+INT(($S$12:$AA$12+INDEX($AJ$13:$AR$162,BN4973,0)+INDEX($AT$13:$BB$162,BO4973,0)+INDEX($BD$13:$BL$162,BP4973,0))/100)))&gt;0)*($D$10:$L$10-($D$9:$L$9+INT(($S$12:$AA$12+INDEX($AJ$13:$AR$162,BN4973,0)+INDEX($AT$13:$BB$162,BO4973,0)+INDEX($BD$13:$BL$162,BP4973,0))/100)))),0)</f>
        <v/>
      </c>
      <c r="BS4973">
        <f>IF(4960&lt;$U$9,SUMPRODUCT(($D$9:$L$9+INT(($S$12:$AA$12+INDEX($AJ$13:$AR$162,BN4973,0)+INDEX($AT$13:$BB$162,BO4973,0)+INDEX($BD$13:$BL$162,BP4973,0))/100))),0)</f>
        <v/>
      </c>
      <c r="BT4973">
        <f>IF(AND(4960&lt;$U$9,$W$5),BQ4973*1000000-MIN(BR4973,999)*1000+BS4973-4960/100000,-1000000000-4960)</f>
        <v/>
      </c>
    </row>
    <row r="4974">
      <c r="BN4974">
        <f>IF(4961&lt;$U$9,INT(4961/($U$7*$U$8))+1,1)</f>
        <v/>
      </c>
      <c r="BO4974">
        <f>IF(4961&lt;$U$9,MOD(INT(4961/$U$8),$U$7)+1,1)</f>
        <v/>
      </c>
      <c r="BP4974">
        <f>IF(4961&lt;$U$9,MOD(4961,$U$8)+1,1)</f>
        <v/>
      </c>
      <c r="BQ4974">
        <f>IF(4961&lt;$U$9,SUMPRODUCT(($D$10:$L$10&lt;&gt;"")*(($D$9:$L$9+INT(($S$12:$AA$12+INDEX($AJ$13:$AR$162,BN4974,0)+INDEX($AT$13:$BB$162,BO4974,0)+INDEX($BD$13:$BL$162,BP4974,0))/100))&gt;=$D$10:$L$10)),0)</f>
        <v/>
      </c>
      <c r="BR4974">
        <f>IF(4961&lt;$U$9,SUMPRODUCT(($D$10:$L$10&lt;&gt;"")*(($D$10:$L$10-($D$9:$L$9+INT(($S$12:$AA$12+INDEX($AJ$13:$AR$162,BN4974,0)+INDEX($AT$13:$BB$162,BO4974,0)+INDEX($BD$13:$BL$162,BP4974,0))/100)))&gt;0)*($D$10:$L$10-($D$9:$L$9+INT(($S$12:$AA$12+INDEX($AJ$13:$AR$162,BN4974,0)+INDEX($AT$13:$BB$162,BO4974,0)+INDEX($BD$13:$BL$162,BP4974,0))/100)))),0)</f>
        <v/>
      </c>
      <c r="BS4974">
        <f>IF(4961&lt;$U$9,SUMPRODUCT(($D$9:$L$9+INT(($S$12:$AA$12+INDEX($AJ$13:$AR$162,BN4974,0)+INDEX($AT$13:$BB$162,BO4974,0)+INDEX($BD$13:$BL$162,BP4974,0))/100))),0)</f>
        <v/>
      </c>
      <c r="BT4974">
        <f>IF(AND(4961&lt;$U$9,$W$5),BQ4974*1000000-MIN(BR4974,999)*1000+BS4974-4961/100000,-1000000000-4961)</f>
        <v/>
      </c>
    </row>
    <row r="4975">
      <c r="BN4975">
        <f>IF(4962&lt;$U$9,INT(4962/($U$7*$U$8))+1,1)</f>
        <v/>
      </c>
      <c r="BO4975">
        <f>IF(4962&lt;$U$9,MOD(INT(4962/$U$8),$U$7)+1,1)</f>
        <v/>
      </c>
      <c r="BP4975">
        <f>IF(4962&lt;$U$9,MOD(4962,$U$8)+1,1)</f>
        <v/>
      </c>
      <c r="BQ4975">
        <f>IF(4962&lt;$U$9,SUMPRODUCT(($D$10:$L$10&lt;&gt;"")*(($D$9:$L$9+INT(($S$12:$AA$12+INDEX($AJ$13:$AR$162,BN4975,0)+INDEX($AT$13:$BB$162,BO4975,0)+INDEX($BD$13:$BL$162,BP4975,0))/100))&gt;=$D$10:$L$10)),0)</f>
        <v/>
      </c>
      <c r="BR4975">
        <f>IF(4962&lt;$U$9,SUMPRODUCT(($D$10:$L$10&lt;&gt;"")*(($D$10:$L$10-($D$9:$L$9+INT(($S$12:$AA$12+INDEX($AJ$13:$AR$162,BN4975,0)+INDEX($AT$13:$BB$162,BO4975,0)+INDEX($BD$13:$BL$162,BP4975,0))/100)))&gt;0)*($D$10:$L$10-($D$9:$L$9+INT(($S$12:$AA$12+INDEX($AJ$13:$AR$162,BN4975,0)+INDEX($AT$13:$BB$162,BO4975,0)+INDEX($BD$13:$BL$162,BP4975,0))/100)))),0)</f>
        <v/>
      </c>
      <c r="BS4975">
        <f>IF(4962&lt;$U$9,SUMPRODUCT(($D$9:$L$9+INT(($S$12:$AA$12+INDEX($AJ$13:$AR$162,BN4975,0)+INDEX($AT$13:$BB$162,BO4975,0)+INDEX($BD$13:$BL$162,BP4975,0))/100))),0)</f>
        <v/>
      </c>
      <c r="BT4975">
        <f>IF(AND(4962&lt;$U$9,$W$5),BQ4975*1000000-MIN(BR4975,999)*1000+BS4975-4962/100000,-1000000000-4962)</f>
        <v/>
      </c>
    </row>
    <row r="4976">
      <c r="BN4976">
        <f>IF(4963&lt;$U$9,INT(4963/($U$7*$U$8))+1,1)</f>
        <v/>
      </c>
      <c r="BO4976">
        <f>IF(4963&lt;$U$9,MOD(INT(4963/$U$8),$U$7)+1,1)</f>
        <v/>
      </c>
      <c r="BP4976">
        <f>IF(4963&lt;$U$9,MOD(4963,$U$8)+1,1)</f>
        <v/>
      </c>
      <c r="BQ4976">
        <f>IF(4963&lt;$U$9,SUMPRODUCT(($D$10:$L$10&lt;&gt;"")*(($D$9:$L$9+INT(($S$12:$AA$12+INDEX($AJ$13:$AR$162,BN4976,0)+INDEX($AT$13:$BB$162,BO4976,0)+INDEX($BD$13:$BL$162,BP4976,0))/100))&gt;=$D$10:$L$10)),0)</f>
        <v/>
      </c>
      <c r="BR4976">
        <f>IF(4963&lt;$U$9,SUMPRODUCT(($D$10:$L$10&lt;&gt;"")*(($D$10:$L$10-($D$9:$L$9+INT(($S$12:$AA$12+INDEX($AJ$13:$AR$162,BN4976,0)+INDEX($AT$13:$BB$162,BO4976,0)+INDEX($BD$13:$BL$162,BP4976,0))/100)))&gt;0)*($D$10:$L$10-($D$9:$L$9+INT(($S$12:$AA$12+INDEX($AJ$13:$AR$162,BN4976,0)+INDEX($AT$13:$BB$162,BO4976,0)+INDEX($BD$13:$BL$162,BP4976,0))/100)))),0)</f>
        <v/>
      </c>
      <c r="BS4976">
        <f>IF(4963&lt;$U$9,SUMPRODUCT(($D$9:$L$9+INT(($S$12:$AA$12+INDEX($AJ$13:$AR$162,BN4976,0)+INDEX($AT$13:$BB$162,BO4976,0)+INDEX($BD$13:$BL$162,BP4976,0))/100))),0)</f>
        <v/>
      </c>
      <c r="BT4976">
        <f>IF(AND(4963&lt;$U$9,$W$5),BQ4976*1000000-MIN(BR4976,999)*1000+BS4976-4963/100000,-1000000000-4963)</f>
        <v/>
      </c>
    </row>
    <row r="4977">
      <c r="BN4977">
        <f>IF(4964&lt;$U$9,INT(4964/($U$7*$U$8))+1,1)</f>
        <v/>
      </c>
      <c r="BO4977">
        <f>IF(4964&lt;$U$9,MOD(INT(4964/$U$8),$U$7)+1,1)</f>
        <v/>
      </c>
      <c r="BP4977">
        <f>IF(4964&lt;$U$9,MOD(4964,$U$8)+1,1)</f>
        <v/>
      </c>
      <c r="BQ4977">
        <f>IF(4964&lt;$U$9,SUMPRODUCT(($D$10:$L$10&lt;&gt;"")*(($D$9:$L$9+INT(($S$12:$AA$12+INDEX($AJ$13:$AR$162,BN4977,0)+INDEX($AT$13:$BB$162,BO4977,0)+INDEX($BD$13:$BL$162,BP4977,0))/100))&gt;=$D$10:$L$10)),0)</f>
        <v/>
      </c>
      <c r="BR4977">
        <f>IF(4964&lt;$U$9,SUMPRODUCT(($D$10:$L$10&lt;&gt;"")*(($D$10:$L$10-($D$9:$L$9+INT(($S$12:$AA$12+INDEX($AJ$13:$AR$162,BN4977,0)+INDEX($AT$13:$BB$162,BO4977,0)+INDEX($BD$13:$BL$162,BP4977,0))/100)))&gt;0)*($D$10:$L$10-($D$9:$L$9+INT(($S$12:$AA$12+INDEX($AJ$13:$AR$162,BN4977,0)+INDEX($AT$13:$BB$162,BO4977,0)+INDEX($BD$13:$BL$162,BP4977,0))/100)))),0)</f>
        <v/>
      </c>
      <c r="BS4977">
        <f>IF(4964&lt;$U$9,SUMPRODUCT(($D$9:$L$9+INT(($S$12:$AA$12+INDEX($AJ$13:$AR$162,BN4977,0)+INDEX($AT$13:$BB$162,BO4977,0)+INDEX($BD$13:$BL$162,BP4977,0))/100))),0)</f>
        <v/>
      </c>
      <c r="BT4977">
        <f>IF(AND(4964&lt;$U$9,$W$5),BQ4977*1000000-MIN(BR4977,999)*1000+BS4977-4964/100000,-1000000000-4964)</f>
        <v/>
      </c>
    </row>
    <row r="4978">
      <c r="BN4978">
        <f>IF(4965&lt;$U$9,INT(4965/($U$7*$U$8))+1,1)</f>
        <v/>
      </c>
      <c r="BO4978">
        <f>IF(4965&lt;$U$9,MOD(INT(4965/$U$8),$U$7)+1,1)</f>
        <v/>
      </c>
      <c r="BP4978">
        <f>IF(4965&lt;$U$9,MOD(4965,$U$8)+1,1)</f>
        <v/>
      </c>
      <c r="BQ4978">
        <f>IF(4965&lt;$U$9,SUMPRODUCT(($D$10:$L$10&lt;&gt;"")*(($D$9:$L$9+INT(($S$12:$AA$12+INDEX($AJ$13:$AR$162,BN4978,0)+INDEX($AT$13:$BB$162,BO4978,0)+INDEX($BD$13:$BL$162,BP4978,0))/100))&gt;=$D$10:$L$10)),0)</f>
        <v/>
      </c>
      <c r="BR4978">
        <f>IF(4965&lt;$U$9,SUMPRODUCT(($D$10:$L$10&lt;&gt;"")*(($D$10:$L$10-($D$9:$L$9+INT(($S$12:$AA$12+INDEX($AJ$13:$AR$162,BN4978,0)+INDEX($AT$13:$BB$162,BO4978,0)+INDEX($BD$13:$BL$162,BP4978,0))/100)))&gt;0)*($D$10:$L$10-($D$9:$L$9+INT(($S$12:$AA$12+INDEX($AJ$13:$AR$162,BN4978,0)+INDEX($AT$13:$BB$162,BO4978,0)+INDEX($BD$13:$BL$162,BP4978,0))/100)))),0)</f>
        <v/>
      </c>
      <c r="BS4978">
        <f>IF(4965&lt;$U$9,SUMPRODUCT(($D$9:$L$9+INT(($S$12:$AA$12+INDEX($AJ$13:$AR$162,BN4978,0)+INDEX($AT$13:$BB$162,BO4978,0)+INDEX($BD$13:$BL$162,BP4978,0))/100))),0)</f>
        <v/>
      </c>
      <c r="BT4978">
        <f>IF(AND(4965&lt;$U$9,$W$5),BQ4978*1000000-MIN(BR4978,999)*1000+BS4978-4965/100000,-1000000000-4965)</f>
        <v/>
      </c>
    </row>
    <row r="4979">
      <c r="BN4979">
        <f>IF(4966&lt;$U$9,INT(4966/($U$7*$U$8))+1,1)</f>
        <v/>
      </c>
      <c r="BO4979">
        <f>IF(4966&lt;$U$9,MOD(INT(4966/$U$8),$U$7)+1,1)</f>
        <v/>
      </c>
      <c r="BP4979">
        <f>IF(4966&lt;$U$9,MOD(4966,$U$8)+1,1)</f>
        <v/>
      </c>
      <c r="BQ4979">
        <f>IF(4966&lt;$U$9,SUMPRODUCT(($D$10:$L$10&lt;&gt;"")*(($D$9:$L$9+INT(($S$12:$AA$12+INDEX($AJ$13:$AR$162,BN4979,0)+INDEX($AT$13:$BB$162,BO4979,0)+INDEX($BD$13:$BL$162,BP4979,0))/100))&gt;=$D$10:$L$10)),0)</f>
        <v/>
      </c>
      <c r="BR4979">
        <f>IF(4966&lt;$U$9,SUMPRODUCT(($D$10:$L$10&lt;&gt;"")*(($D$10:$L$10-($D$9:$L$9+INT(($S$12:$AA$12+INDEX($AJ$13:$AR$162,BN4979,0)+INDEX($AT$13:$BB$162,BO4979,0)+INDEX($BD$13:$BL$162,BP4979,0))/100)))&gt;0)*($D$10:$L$10-($D$9:$L$9+INT(($S$12:$AA$12+INDEX($AJ$13:$AR$162,BN4979,0)+INDEX($AT$13:$BB$162,BO4979,0)+INDEX($BD$13:$BL$162,BP4979,0))/100)))),0)</f>
        <v/>
      </c>
      <c r="BS4979">
        <f>IF(4966&lt;$U$9,SUMPRODUCT(($D$9:$L$9+INT(($S$12:$AA$12+INDEX($AJ$13:$AR$162,BN4979,0)+INDEX($AT$13:$BB$162,BO4979,0)+INDEX($BD$13:$BL$162,BP4979,0))/100))),0)</f>
        <v/>
      </c>
      <c r="BT4979">
        <f>IF(AND(4966&lt;$U$9,$W$5),BQ4979*1000000-MIN(BR4979,999)*1000+BS4979-4966/100000,-1000000000-4966)</f>
        <v/>
      </c>
    </row>
    <row r="4980">
      <c r="BN4980">
        <f>IF(4967&lt;$U$9,INT(4967/($U$7*$U$8))+1,1)</f>
        <v/>
      </c>
      <c r="BO4980">
        <f>IF(4967&lt;$U$9,MOD(INT(4967/$U$8),$U$7)+1,1)</f>
        <v/>
      </c>
      <c r="BP4980">
        <f>IF(4967&lt;$U$9,MOD(4967,$U$8)+1,1)</f>
        <v/>
      </c>
      <c r="BQ4980">
        <f>IF(4967&lt;$U$9,SUMPRODUCT(($D$10:$L$10&lt;&gt;"")*(($D$9:$L$9+INT(($S$12:$AA$12+INDEX($AJ$13:$AR$162,BN4980,0)+INDEX($AT$13:$BB$162,BO4980,0)+INDEX($BD$13:$BL$162,BP4980,0))/100))&gt;=$D$10:$L$10)),0)</f>
        <v/>
      </c>
      <c r="BR4980">
        <f>IF(4967&lt;$U$9,SUMPRODUCT(($D$10:$L$10&lt;&gt;"")*(($D$10:$L$10-($D$9:$L$9+INT(($S$12:$AA$12+INDEX($AJ$13:$AR$162,BN4980,0)+INDEX($AT$13:$BB$162,BO4980,0)+INDEX($BD$13:$BL$162,BP4980,0))/100)))&gt;0)*($D$10:$L$10-($D$9:$L$9+INT(($S$12:$AA$12+INDEX($AJ$13:$AR$162,BN4980,0)+INDEX($AT$13:$BB$162,BO4980,0)+INDEX($BD$13:$BL$162,BP4980,0))/100)))),0)</f>
        <v/>
      </c>
      <c r="BS4980">
        <f>IF(4967&lt;$U$9,SUMPRODUCT(($D$9:$L$9+INT(($S$12:$AA$12+INDEX($AJ$13:$AR$162,BN4980,0)+INDEX($AT$13:$BB$162,BO4980,0)+INDEX($BD$13:$BL$162,BP4980,0))/100))),0)</f>
        <v/>
      </c>
      <c r="BT4980">
        <f>IF(AND(4967&lt;$U$9,$W$5),BQ4980*1000000-MIN(BR4980,999)*1000+BS4980-4967/100000,-1000000000-4967)</f>
        <v/>
      </c>
    </row>
    <row r="4981">
      <c r="BN4981">
        <f>IF(4968&lt;$U$9,INT(4968/($U$7*$U$8))+1,1)</f>
        <v/>
      </c>
      <c r="BO4981">
        <f>IF(4968&lt;$U$9,MOD(INT(4968/$U$8),$U$7)+1,1)</f>
        <v/>
      </c>
      <c r="BP4981">
        <f>IF(4968&lt;$U$9,MOD(4968,$U$8)+1,1)</f>
        <v/>
      </c>
      <c r="BQ4981">
        <f>IF(4968&lt;$U$9,SUMPRODUCT(($D$10:$L$10&lt;&gt;"")*(($D$9:$L$9+INT(($S$12:$AA$12+INDEX($AJ$13:$AR$162,BN4981,0)+INDEX($AT$13:$BB$162,BO4981,0)+INDEX($BD$13:$BL$162,BP4981,0))/100))&gt;=$D$10:$L$10)),0)</f>
        <v/>
      </c>
      <c r="BR4981">
        <f>IF(4968&lt;$U$9,SUMPRODUCT(($D$10:$L$10&lt;&gt;"")*(($D$10:$L$10-($D$9:$L$9+INT(($S$12:$AA$12+INDEX($AJ$13:$AR$162,BN4981,0)+INDEX($AT$13:$BB$162,BO4981,0)+INDEX($BD$13:$BL$162,BP4981,0))/100)))&gt;0)*($D$10:$L$10-($D$9:$L$9+INT(($S$12:$AA$12+INDEX($AJ$13:$AR$162,BN4981,0)+INDEX($AT$13:$BB$162,BO4981,0)+INDEX($BD$13:$BL$162,BP4981,0))/100)))),0)</f>
        <v/>
      </c>
      <c r="BS4981">
        <f>IF(4968&lt;$U$9,SUMPRODUCT(($D$9:$L$9+INT(($S$12:$AA$12+INDEX($AJ$13:$AR$162,BN4981,0)+INDEX($AT$13:$BB$162,BO4981,0)+INDEX($BD$13:$BL$162,BP4981,0))/100))),0)</f>
        <v/>
      </c>
      <c r="BT4981">
        <f>IF(AND(4968&lt;$U$9,$W$5),BQ4981*1000000-MIN(BR4981,999)*1000+BS4981-4968/100000,-1000000000-4968)</f>
        <v/>
      </c>
    </row>
    <row r="4982">
      <c r="BN4982">
        <f>IF(4969&lt;$U$9,INT(4969/($U$7*$U$8))+1,1)</f>
        <v/>
      </c>
      <c r="BO4982">
        <f>IF(4969&lt;$U$9,MOD(INT(4969/$U$8),$U$7)+1,1)</f>
        <v/>
      </c>
      <c r="BP4982">
        <f>IF(4969&lt;$U$9,MOD(4969,$U$8)+1,1)</f>
        <v/>
      </c>
      <c r="BQ4982">
        <f>IF(4969&lt;$U$9,SUMPRODUCT(($D$10:$L$10&lt;&gt;"")*(($D$9:$L$9+INT(($S$12:$AA$12+INDEX($AJ$13:$AR$162,BN4982,0)+INDEX($AT$13:$BB$162,BO4982,0)+INDEX($BD$13:$BL$162,BP4982,0))/100))&gt;=$D$10:$L$10)),0)</f>
        <v/>
      </c>
      <c r="BR4982">
        <f>IF(4969&lt;$U$9,SUMPRODUCT(($D$10:$L$10&lt;&gt;"")*(($D$10:$L$10-($D$9:$L$9+INT(($S$12:$AA$12+INDEX($AJ$13:$AR$162,BN4982,0)+INDEX($AT$13:$BB$162,BO4982,0)+INDEX($BD$13:$BL$162,BP4982,0))/100)))&gt;0)*($D$10:$L$10-($D$9:$L$9+INT(($S$12:$AA$12+INDEX($AJ$13:$AR$162,BN4982,0)+INDEX($AT$13:$BB$162,BO4982,0)+INDEX($BD$13:$BL$162,BP4982,0))/100)))),0)</f>
        <v/>
      </c>
      <c r="BS4982">
        <f>IF(4969&lt;$U$9,SUMPRODUCT(($D$9:$L$9+INT(($S$12:$AA$12+INDEX($AJ$13:$AR$162,BN4982,0)+INDEX($AT$13:$BB$162,BO4982,0)+INDEX($BD$13:$BL$162,BP4982,0))/100))),0)</f>
        <v/>
      </c>
      <c r="BT4982">
        <f>IF(AND(4969&lt;$U$9,$W$5),BQ4982*1000000-MIN(BR4982,999)*1000+BS4982-4969/100000,-1000000000-4969)</f>
        <v/>
      </c>
    </row>
    <row r="4983">
      <c r="BN4983">
        <f>IF(4970&lt;$U$9,INT(4970/($U$7*$U$8))+1,1)</f>
        <v/>
      </c>
      <c r="BO4983">
        <f>IF(4970&lt;$U$9,MOD(INT(4970/$U$8),$U$7)+1,1)</f>
        <v/>
      </c>
      <c r="BP4983">
        <f>IF(4970&lt;$U$9,MOD(4970,$U$8)+1,1)</f>
        <v/>
      </c>
      <c r="BQ4983">
        <f>IF(4970&lt;$U$9,SUMPRODUCT(($D$10:$L$10&lt;&gt;"")*(($D$9:$L$9+INT(($S$12:$AA$12+INDEX($AJ$13:$AR$162,BN4983,0)+INDEX($AT$13:$BB$162,BO4983,0)+INDEX($BD$13:$BL$162,BP4983,0))/100))&gt;=$D$10:$L$10)),0)</f>
        <v/>
      </c>
      <c r="BR4983">
        <f>IF(4970&lt;$U$9,SUMPRODUCT(($D$10:$L$10&lt;&gt;"")*(($D$10:$L$10-($D$9:$L$9+INT(($S$12:$AA$12+INDEX($AJ$13:$AR$162,BN4983,0)+INDEX($AT$13:$BB$162,BO4983,0)+INDEX($BD$13:$BL$162,BP4983,0))/100)))&gt;0)*($D$10:$L$10-($D$9:$L$9+INT(($S$12:$AA$12+INDEX($AJ$13:$AR$162,BN4983,0)+INDEX($AT$13:$BB$162,BO4983,0)+INDEX($BD$13:$BL$162,BP4983,0))/100)))),0)</f>
        <v/>
      </c>
      <c r="BS4983">
        <f>IF(4970&lt;$U$9,SUMPRODUCT(($D$9:$L$9+INT(($S$12:$AA$12+INDEX($AJ$13:$AR$162,BN4983,0)+INDEX($AT$13:$BB$162,BO4983,0)+INDEX($BD$13:$BL$162,BP4983,0))/100))),0)</f>
        <v/>
      </c>
      <c r="BT4983">
        <f>IF(AND(4970&lt;$U$9,$W$5),BQ4983*1000000-MIN(BR4983,999)*1000+BS4983-4970/100000,-1000000000-4970)</f>
        <v/>
      </c>
    </row>
    <row r="4984">
      <c r="BN4984">
        <f>IF(4971&lt;$U$9,INT(4971/($U$7*$U$8))+1,1)</f>
        <v/>
      </c>
      <c r="BO4984">
        <f>IF(4971&lt;$U$9,MOD(INT(4971/$U$8),$U$7)+1,1)</f>
        <v/>
      </c>
      <c r="BP4984">
        <f>IF(4971&lt;$U$9,MOD(4971,$U$8)+1,1)</f>
        <v/>
      </c>
      <c r="BQ4984">
        <f>IF(4971&lt;$U$9,SUMPRODUCT(($D$10:$L$10&lt;&gt;"")*(($D$9:$L$9+INT(($S$12:$AA$12+INDEX($AJ$13:$AR$162,BN4984,0)+INDEX($AT$13:$BB$162,BO4984,0)+INDEX($BD$13:$BL$162,BP4984,0))/100))&gt;=$D$10:$L$10)),0)</f>
        <v/>
      </c>
      <c r="BR4984">
        <f>IF(4971&lt;$U$9,SUMPRODUCT(($D$10:$L$10&lt;&gt;"")*(($D$10:$L$10-($D$9:$L$9+INT(($S$12:$AA$12+INDEX($AJ$13:$AR$162,BN4984,0)+INDEX($AT$13:$BB$162,BO4984,0)+INDEX($BD$13:$BL$162,BP4984,0))/100)))&gt;0)*($D$10:$L$10-($D$9:$L$9+INT(($S$12:$AA$12+INDEX($AJ$13:$AR$162,BN4984,0)+INDEX($AT$13:$BB$162,BO4984,0)+INDEX($BD$13:$BL$162,BP4984,0))/100)))),0)</f>
        <v/>
      </c>
      <c r="BS4984">
        <f>IF(4971&lt;$U$9,SUMPRODUCT(($D$9:$L$9+INT(($S$12:$AA$12+INDEX($AJ$13:$AR$162,BN4984,0)+INDEX($AT$13:$BB$162,BO4984,0)+INDEX($BD$13:$BL$162,BP4984,0))/100))),0)</f>
        <v/>
      </c>
      <c r="BT4984">
        <f>IF(AND(4971&lt;$U$9,$W$5),BQ4984*1000000-MIN(BR4984,999)*1000+BS4984-4971/100000,-1000000000-4971)</f>
        <v/>
      </c>
    </row>
    <row r="4985">
      <c r="BN4985">
        <f>IF(4972&lt;$U$9,INT(4972/($U$7*$U$8))+1,1)</f>
        <v/>
      </c>
      <c r="BO4985">
        <f>IF(4972&lt;$U$9,MOD(INT(4972/$U$8),$U$7)+1,1)</f>
        <v/>
      </c>
      <c r="BP4985">
        <f>IF(4972&lt;$U$9,MOD(4972,$U$8)+1,1)</f>
        <v/>
      </c>
      <c r="BQ4985">
        <f>IF(4972&lt;$U$9,SUMPRODUCT(($D$10:$L$10&lt;&gt;"")*(($D$9:$L$9+INT(($S$12:$AA$12+INDEX($AJ$13:$AR$162,BN4985,0)+INDEX($AT$13:$BB$162,BO4985,0)+INDEX($BD$13:$BL$162,BP4985,0))/100))&gt;=$D$10:$L$10)),0)</f>
        <v/>
      </c>
      <c r="BR4985">
        <f>IF(4972&lt;$U$9,SUMPRODUCT(($D$10:$L$10&lt;&gt;"")*(($D$10:$L$10-($D$9:$L$9+INT(($S$12:$AA$12+INDEX($AJ$13:$AR$162,BN4985,0)+INDEX($AT$13:$BB$162,BO4985,0)+INDEX($BD$13:$BL$162,BP4985,0))/100)))&gt;0)*($D$10:$L$10-($D$9:$L$9+INT(($S$12:$AA$12+INDEX($AJ$13:$AR$162,BN4985,0)+INDEX($AT$13:$BB$162,BO4985,0)+INDEX($BD$13:$BL$162,BP4985,0))/100)))),0)</f>
        <v/>
      </c>
      <c r="BS4985">
        <f>IF(4972&lt;$U$9,SUMPRODUCT(($D$9:$L$9+INT(($S$12:$AA$12+INDEX($AJ$13:$AR$162,BN4985,0)+INDEX($AT$13:$BB$162,BO4985,0)+INDEX($BD$13:$BL$162,BP4985,0))/100))),0)</f>
        <v/>
      </c>
      <c r="BT4985">
        <f>IF(AND(4972&lt;$U$9,$W$5),BQ4985*1000000-MIN(BR4985,999)*1000+BS4985-4972/100000,-1000000000-4972)</f>
        <v/>
      </c>
    </row>
    <row r="4986">
      <c r="BN4986">
        <f>IF(4973&lt;$U$9,INT(4973/($U$7*$U$8))+1,1)</f>
        <v/>
      </c>
      <c r="BO4986">
        <f>IF(4973&lt;$U$9,MOD(INT(4973/$U$8),$U$7)+1,1)</f>
        <v/>
      </c>
      <c r="BP4986">
        <f>IF(4973&lt;$U$9,MOD(4973,$U$8)+1,1)</f>
        <v/>
      </c>
      <c r="BQ4986">
        <f>IF(4973&lt;$U$9,SUMPRODUCT(($D$10:$L$10&lt;&gt;"")*(($D$9:$L$9+INT(($S$12:$AA$12+INDEX($AJ$13:$AR$162,BN4986,0)+INDEX($AT$13:$BB$162,BO4986,0)+INDEX($BD$13:$BL$162,BP4986,0))/100))&gt;=$D$10:$L$10)),0)</f>
        <v/>
      </c>
      <c r="BR4986">
        <f>IF(4973&lt;$U$9,SUMPRODUCT(($D$10:$L$10&lt;&gt;"")*(($D$10:$L$10-($D$9:$L$9+INT(($S$12:$AA$12+INDEX($AJ$13:$AR$162,BN4986,0)+INDEX($AT$13:$BB$162,BO4986,0)+INDEX($BD$13:$BL$162,BP4986,0))/100)))&gt;0)*($D$10:$L$10-($D$9:$L$9+INT(($S$12:$AA$12+INDEX($AJ$13:$AR$162,BN4986,0)+INDEX($AT$13:$BB$162,BO4986,0)+INDEX($BD$13:$BL$162,BP4986,0))/100)))),0)</f>
        <v/>
      </c>
      <c r="BS4986">
        <f>IF(4973&lt;$U$9,SUMPRODUCT(($D$9:$L$9+INT(($S$12:$AA$12+INDEX($AJ$13:$AR$162,BN4986,0)+INDEX($AT$13:$BB$162,BO4986,0)+INDEX($BD$13:$BL$162,BP4986,0))/100))),0)</f>
        <v/>
      </c>
      <c r="BT4986">
        <f>IF(AND(4973&lt;$U$9,$W$5),BQ4986*1000000-MIN(BR4986,999)*1000+BS4986-4973/100000,-1000000000-4973)</f>
        <v/>
      </c>
    </row>
    <row r="4987">
      <c r="BN4987">
        <f>IF(4974&lt;$U$9,INT(4974/($U$7*$U$8))+1,1)</f>
        <v/>
      </c>
      <c r="BO4987">
        <f>IF(4974&lt;$U$9,MOD(INT(4974/$U$8),$U$7)+1,1)</f>
        <v/>
      </c>
      <c r="BP4987">
        <f>IF(4974&lt;$U$9,MOD(4974,$U$8)+1,1)</f>
        <v/>
      </c>
      <c r="BQ4987">
        <f>IF(4974&lt;$U$9,SUMPRODUCT(($D$10:$L$10&lt;&gt;"")*(($D$9:$L$9+INT(($S$12:$AA$12+INDEX($AJ$13:$AR$162,BN4987,0)+INDEX($AT$13:$BB$162,BO4987,0)+INDEX($BD$13:$BL$162,BP4987,0))/100))&gt;=$D$10:$L$10)),0)</f>
        <v/>
      </c>
      <c r="BR4987">
        <f>IF(4974&lt;$U$9,SUMPRODUCT(($D$10:$L$10&lt;&gt;"")*(($D$10:$L$10-($D$9:$L$9+INT(($S$12:$AA$12+INDEX($AJ$13:$AR$162,BN4987,0)+INDEX($AT$13:$BB$162,BO4987,0)+INDEX($BD$13:$BL$162,BP4987,0))/100)))&gt;0)*($D$10:$L$10-($D$9:$L$9+INT(($S$12:$AA$12+INDEX($AJ$13:$AR$162,BN4987,0)+INDEX($AT$13:$BB$162,BO4987,0)+INDEX($BD$13:$BL$162,BP4987,0))/100)))),0)</f>
        <v/>
      </c>
      <c r="BS4987">
        <f>IF(4974&lt;$U$9,SUMPRODUCT(($D$9:$L$9+INT(($S$12:$AA$12+INDEX($AJ$13:$AR$162,BN4987,0)+INDEX($AT$13:$BB$162,BO4987,0)+INDEX($BD$13:$BL$162,BP4987,0))/100))),0)</f>
        <v/>
      </c>
      <c r="BT4987">
        <f>IF(AND(4974&lt;$U$9,$W$5),BQ4987*1000000-MIN(BR4987,999)*1000+BS4987-4974/100000,-1000000000-4974)</f>
        <v/>
      </c>
    </row>
    <row r="4988">
      <c r="BN4988">
        <f>IF(4975&lt;$U$9,INT(4975/($U$7*$U$8))+1,1)</f>
        <v/>
      </c>
      <c r="BO4988">
        <f>IF(4975&lt;$U$9,MOD(INT(4975/$U$8),$U$7)+1,1)</f>
        <v/>
      </c>
      <c r="BP4988">
        <f>IF(4975&lt;$U$9,MOD(4975,$U$8)+1,1)</f>
        <v/>
      </c>
      <c r="BQ4988">
        <f>IF(4975&lt;$U$9,SUMPRODUCT(($D$10:$L$10&lt;&gt;"")*(($D$9:$L$9+INT(($S$12:$AA$12+INDEX($AJ$13:$AR$162,BN4988,0)+INDEX($AT$13:$BB$162,BO4988,0)+INDEX($BD$13:$BL$162,BP4988,0))/100))&gt;=$D$10:$L$10)),0)</f>
        <v/>
      </c>
      <c r="BR4988">
        <f>IF(4975&lt;$U$9,SUMPRODUCT(($D$10:$L$10&lt;&gt;"")*(($D$10:$L$10-($D$9:$L$9+INT(($S$12:$AA$12+INDEX($AJ$13:$AR$162,BN4988,0)+INDEX($AT$13:$BB$162,BO4988,0)+INDEX($BD$13:$BL$162,BP4988,0))/100)))&gt;0)*($D$10:$L$10-($D$9:$L$9+INT(($S$12:$AA$12+INDEX($AJ$13:$AR$162,BN4988,0)+INDEX($AT$13:$BB$162,BO4988,0)+INDEX($BD$13:$BL$162,BP4988,0))/100)))),0)</f>
        <v/>
      </c>
      <c r="BS4988">
        <f>IF(4975&lt;$U$9,SUMPRODUCT(($D$9:$L$9+INT(($S$12:$AA$12+INDEX($AJ$13:$AR$162,BN4988,0)+INDEX($AT$13:$BB$162,BO4988,0)+INDEX($BD$13:$BL$162,BP4988,0))/100))),0)</f>
        <v/>
      </c>
      <c r="BT4988">
        <f>IF(AND(4975&lt;$U$9,$W$5),BQ4988*1000000-MIN(BR4988,999)*1000+BS4988-4975/100000,-1000000000-4975)</f>
        <v/>
      </c>
    </row>
    <row r="4989">
      <c r="BN4989">
        <f>IF(4976&lt;$U$9,INT(4976/($U$7*$U$8))+1,1)</f>
        <v/>
      </c>
      <c r="BO4989">
        <f>IF(4976&lt;$U$9,MOD(INT(4976/$U$8),$U$7)+1,1)</f>
        <v/>
      </c>
      <c r="BP4989">
        <f>IF(4976&lt;$U$9,MOD(4976,$U$8)+1,1)</f>
        <v/>
      </c>
      <c r="BQ4989">
        <f>IF(4976&lt;$U$9,SUMPRODUCT(($D$10:$L$10&lt;&gt;"")*(($D$9:$L$9+INT(($S$12:$AA$12+INDEX($AJ$13:$AR$162,BN4989,0)+INDEX($AT$13:$BB$162,BO4989,0)+INDEX($BD$13:$BL$162,BP4989,0))/100))&gt;=$D$10:$L$10)),0)</f>
        <v/>
      </c>
      <c r="BR4989">
        <f>IF(4976&lt;$U$9,SUMPRODUCT(($D$10:$L$10&lt;&gt;"")*(($D$10:$L$10-($D$9:$L$9+INT(($S$12:$AA$12+INDEX($AJ$13:$AR$162,BN4989,0)+INDEX($AT$13:$BB$162,BO4989,0)+INDEX($BD$13:$BL$162,BP4989,0))/100)))&gt;0)*($D$10:$L$10-($D$9:$L$9+INT(($S$12:$AA$12+INDEX($AJ$13:$AR$162,BN4989,0)+INDEX($AT$13:$BB$162,BO4989,0)+INDEX($BD$13:$BL$162,BP4989,0))/100)))),0)</f>
        <v/>
      </c>
      <c r="BS4989">
        <f>IF(4976&lt;$U$9,SUMPRODUCT(($D$9:$L$9+INT(($S$12:$AA$12+INDEX($AJ$13:$AR$162,BN4989,0)+INDEX($AT$13:$BB$162,BO4989,0)+INDEX($BD$13:$BL$162,BP4989,0))/100))),0)</f>
        <v/>
      </c>
      <c r="BT4989">
        <f>IF(AND(4976&lt;$U$9,$W$5),BQ4989*1000000-MIN(BR4989,999)*1000+BS4989-4976/100000,-1000000000-4976)</f>
        <v/>
      </c>
    </row>
    <row r="4990">
      <c r="BN4990">
        <f>IF(4977&lt;$U$9,INT(4977/($U$7*$U$8))+1,1)</f>
        <v/>
      </c>
      <c r="BO4990">
        <f>IF(4977&lt;$U$9,MOD(INT(4977/$U$8),$U$7)+1,1)</f>
        <v/>
      </c>
      <c r="BP4990">
        <f>IF(4977&lt;$U$9,MOD(4977,$U$8)+1,1)</f>
        <v/>
      </c>
      <c r="BQ4990">
        <f>IF(4977&lt;$U$9,SUMPRODUCT(($D$10:$L$10&lt;&gt;"")*(($D$9:$L$9+INT(($S$12:$AA$12+INDEX($AJ$13:$AR$162,BN4990,0)+INDEX($AT$13:$BB$162,BO4990,0)+INDEX($BD$13:$BL$162,BP4990,0))/100))&gt;=$D$10:$L$10)),0)</f>
        <v/>
      </c>
      <c r="BR4990">
        <f>IF(4977&lt;$U$9,SUMPRODUCT(($D$10:$L$10&lt;&gt;"")*(($D$10:$L$10-($D$9:$L$9+INT(($S$12:$AA$12+INDEX($AJ$13:$AR$162,BN4990,0)+INDEX($AT$13:$BB$162,BO4990,0)+INDEX($BD$13:$BL$162,BP4990,0))/100)))&gt;0)*($D$10:$L$10-($D$9:$L$9+INT(($S$12:$AA$12+INDEX($AJ$13:$AR$162,BN4990,0)+INDEX($AT$13:$BB$162,BO4990,0)+INDEX($BD$13:$BL$162,BP4990,0))/100)))),0)</f>
        <v/>
      </c>
      <c r="BS4990">
        <f>IF(4977&lt;$U$9,SUMPRODUCT(($D$9:$L$9+INT(($S$12:$AA$12+INDEX($AJ$13:$AR$162,BN4990,0)+INDEX($AT$13:$BB$162,BO4990,0)+INDEX($BD$13:$BL$162,BP4990,0))/100))),0)</f>
        <v/>
      </c>
      <c r="BT4990">
        <f>IF(AND(4977&lt;$U$9,$W$5),BQ4990*1000000-MIN(BR4990,999)*1000+BS4990-4977/100000,-1000000000-4977)</f>
        <v/>
      </c>
    </row>
    <row r="4991">
      <c r="BN4991">
        <f>IF(4978&lt;$U$9,INT(4978/($U$7*$U$8))+1,1)</f>
        <v/>
      </c>
      <c r="BO4991">
        <f>IF(4978&lt;$U$9,MOD(INT(4978/$U$8),$U$7)+1,1)</f>
        <v/>
      </c>
      <c r="BP4991">
        <f>IF(4978&lt;$U$9,MOD(4978,$U$8)+1,1)</f>
        <v/>
      </c>
      <c r="BQ4991">
        <f>IF(4978&lt;$U$9,SUMPRODUCT(($D$10:$L$10&lt;&gt;"")*(($D$9:$L$9+INT(($S$12:$AA$12+INDEX($AJ$13:$AR$162,BN4991,0)+INDEX($AT$13:$BB$162,BO4991,0)+INDEX($BD$13:$BL$162,BP4991,0))/100))&gt;=$D$10:$L$10)),0)</f>
        <v/>
      </c>
      <c r="BR4991">
        <f>IF(4978&lt;$U$9,SUMPRODUCT(($D$10:$L$10&lt;&gt;"")*(($D$10:$L$10-($D$9:$L$9+INT(($S$12:$AA$12+INDEX($AJ$13:$AR$162,BN4991,0)+INDEX($AT$13:$BB$162,BO4991,0)+INDEX($BD$13:$BL$162,BP4991,0))/100)))&gt;0)*($D$10:$L$10-($D$9:$L$9+INT(($S$12:$AA$12+INDEX($AJ$13:$AR$162,BN4991,0)+INDEX($AT$13:$BB$162,BO4991,0)+INDEX($BD$13:$BL$162,BP4991,0))/100)))),0)</f>
        <v/>
      </c>
      <c r="BS4991">
        <f>IF(4978&lt;$U$9,SUMPRODUCT(($D$9:$L$9+INT(($S$12:$AA$12+INDEX($AJ$13:$AR$162,BN4991,0)+INDEX($AT$13:$BB$162,BO4991,0)+INDEX($BD$13:$BL$162,BP4991,0))/100))),0)</f>
        <v/>
      </c>
      <c r="BT4991">
        <f>IF(AND(4978&lt;$U$9,$W$5),BQ4991*1000000-MIN(BR4991,999)*1000+BS4991-4978/100000,-1000000000-4978)</f>
        <v/>
      </c>
    </row>
    <row r="4992">
      <c r="BN4992">
        <f>IF(4979&lt;$U$9,INT(4979/($U$7*$U$8))+1,1)</f>
        <v/>
      </c>
      <c r="BO4992">
        <f>IF(4979&lt;$U$9,MOD(INT(4979/$U$8),$U$7)+1,1)</f>
        <v/>
      </c>
      <c r="BP4992">
        <f>IF(4979&lt;$U$9,MOD(4979,$U$8)+1,1)</f>
        <v/>
      </c>
      <c r="BQ4992">
        <f>IF(4979&lt;$U$9,SUMPRODUCT(($D$10:$L$10&lt;&gt;"")*(($D$9:$L$9+INT(($S$12:$AA$12+INDEX($AJ$13:$AR$162,BN4992,0)+INDEX($AT$13:$BB$162,BO4992,0)+INDEX($BD$13:$BL$162,BP4992,0))/100))&gt;=$D$10:$L$10)),0)</f>
        <v/>
      </c>
      <c r="BR4992">
        <f>IF(4979&lt;$U$9,SUMPRODUCT(($D$10:$L$10&lt;&gt;"")*(($D$10:$L$10-($D$9:$L$9+INT(($S$12:$AA$12+INDEX($AJ$13:$AR$162,BN4992,0)+INDEX($AT$13:$BB$162,BO4992,0)+INDEX($BD$13:$BL$162,BP4992,0))/100)))&gt;0)*($D$10:$L$10-($D$9:$L$9+INT(($S$12:$AA$12+INDEX($AJ$13:$AR$162,BN4992,0)+INDEX($AT$13:$BB$162,BO4992,0)+INDEX($BD$13:$BL$162,BP4992,0))/100)))),0)</f>
        <v/>
      </c>
      <c r="BS4992">
        <f>IF(4979&lt;$U$9,SUMPRODUCT(($D$9:$L$9+INT(($S$12:$AA$12+INDEX($AJ$13:$AR$162,BN4992,0)+INDEX($AT$13:$BB$162,BO4992,0)+INDEX($BD$13:$BL$162,BP4992,0))/100))),0)</f>
        <v/>
      </c>
      <c r="BT4992">
        <f>IF(AND(4979&lt;$U$9,$W$5),BQ4992*1000000-MIN(BR4992,999)*1000+BS4992-4979/100000,-1000000000-4979)</f>
        <v/>
      </c>
    </row>
    <row r="4993">
      <c r="BN4993">
        <f>IF(4980&lt;$U$9,INT(4980/($U$7*$U$8))+1,1)</f>
        <v/>
      </c>
      <c r="BO4993">
        <f>IF(4980&lt;$U$9,MOD(INT(4980/$U$8),$U$7)+1,1)</f>
        <v/>
      </c>
      <c r="BP4993">
        <f>IF(4980&lt;$U$9,MOD(4980,$U$8)+1,1)</f>
        <v/>
      </c>
      <c r="BQ4993">
        <f>IF(4980&lt;$U$9,SUMPRODUCT(($D$10:$L$10&lt;&gt;"")*(($D$9:$L$9+INT(($S$12:$AA$12+INDEX($AJ$13:$AR$162,BN4993,0)+INDEX($AT$13:$BB$162,BO4993,0)+INDEX($BD$13:$BL$162,BP4993,0))/100))&gt;=$D$10:$L$10)),0)</f>
        <v/>
      </c>
      <c r="BR4993">
        <f>IF(4980&lt;$U$9,SUMPRODUCT(($D$10:$L$10&lt;&gt;"")*(($D$10:$L$10-($D$9:$L$9+INT(($S$12:$AA$12+INDEX($AJ$13:$AR$162,BN4993,0)+INDEX($AT$13:$BB$162,BO4993,0)+INDEX($BD$13:$BL$162,BP4993,0))/100)))&gt;0)*($D$10:$L$10-($D$9:$L$9+INT(($S$12:$AA$12+INDEX($AJ$13:$AR$162,BN4993,0)+INDEX($AT$13:$BB$162,BO4993,0)+INDEX($BD$13:$BL$162,BP4993,0))/100)))),0)</f>
        <v/>
      </c>
      <c r="BS4993">
        <f>IF(4980&lt;$U$9,SUMPRODUCT(($D$9:$L$9+INT(($S$12:$AA$12+INDEX($AJ$13:$AR$162,BN4993,0)+INDEX($AT$13:$BB$162,BO4993,0)+INDEX($BD$13:$BL$162,BP4993,0))/100))),0)</f>
        <v/>
      </c>
      <c r="BT4993">
        <f>IF(AND(4980&lt;$U$9,$W$5),BQ4993*1000000-MIN(BR4993,999)*1000+BS4993-4980/100000,-1000000000-4980)</f>
        <v/>
      </c>
    </row>
    <row r="4994">
      <c r="BN4994">
        <f>IF(4981&lt;$U$9,INT(4981/($U$7*$U$8))+1,1)</f>
        <v/>
      </c>
      <c r="BO4994">
        <f>IF(4981&lt;$U$9,MOD(INT(4981/$U$8),$U$7)+1,1)</f>
        <v/>
      </c>
      <c r="BP4994">
        <f>IF(4981&lt;$U$9,MOD(4981,$U$8)+1,1)</f>
        <v/>
      </c>
      <c r="BQ4994">
        <f>IF(4981&lt;$U$9,SUMPRODUCT(($D$10:$L$10&lt;&gt;"")*(($D$9:$L$9+INT(($S$12:$AA$12+INDEX($AJ$13:$AR$162,BN4994,0)+INDEX($AT$13:$BB$162,BO4994,0)+INDEX($BD$13:$BL$162,BP4994,0))/100))&gt;=$D$10:$L$10)),0)</f>
        <v/>
      </c>
      <c r="BR4994">
        <f>IF(4981&lt;$U$9,SUMPRODUCT(($D$10:$L$10&lt;&gt;"")*(($D$10:$L$10-($D$9:$L$9+INT(($S$12:$AA$12+INDEX($AJ$13:$AR$162,BN4994,0)+INDEX($AT$13:$BB$162,BO4994,0)+INDEX($BD$13:$BL$162,BP4994,0))/100)))&gt;0)*($D$10:$L$10-($D$9:$L$9+INT(($S$12:$AA$12+INDEX($AJ$13:$AR$162,BN4994,0)+INDEX($AT$13:$BB$162,BO4994,0)+INDEX($BD$13:$BL$162,BP4994,0))/100)))),0)</f>
        <v/>
      </c>
      <c r="BS4994">
        <f>IF(4981&lt;$U$9,SUMPRODUCT(($D$9:$L$9+INT(($S$12:$AA$12+INDEX($AJ$13:$AR$162,BN4994,0)+INDEX($AT$13:$BB$162,BO4994,0)+INDEX($BD$13:$BL$162,BP4994,0))/100))),0)</f>
        <v/>
      </c>
      <c r="BT4994">
        <f>IF(AND(4981&lt;$U$9,$W$5),BQ4994*1000000-MIN(BR4994,999)*1000+BS4994-4981/100000,-1000000000-4981)</f>
        <v/>
      </c>
    </row>
    <row r="4995">
      <c r="BN4995">
        <f>IF(4982&lt;$U$9,INT(4982/($U$7*$U$8))+1,1)</f>
        <v/>
      </c>
      <c r="BO4995">
        <f>IF(4982&lt;$U$9,MOD(INT(4982/$U$8),$U$7)+1,1)</f>
        <v/>
      </c>
      <c r="BP4995">
        <f>IF(4982&lt;$U$9,MOD(4982,$U$8)+1,1)</f>
        <v/>
      </c>
      <c r="BQ4995">
        <f>IF(4982&lt;$U$9,SUMPRODUCT(($D$10:$L$10&lt;&gt;"")*(($D$9:$L$9+INT(($S$12:$AA$12+INDEX($AJ$13:$AR$162,BN4995,0)+INDEX($AT$13:$BB$162,BO4995,0)+INDEX($BD$13:$BL$162,BP4995,0))/100))&gt;=$D$10:$L$10)),0)</f>
        <v/>
      </c>
      <c r="BR4995">
        <f>IF(4982&lt;$U$9,SUMPRODUCT(($D$10:$L$10&lt;&gt;"")*(($D$10:$L$10-($D$9:$L$9+INT(($S$12:$AA$12+INDEX($AJ$13:$AR$162,BN4995,0)+INDEX($AT$13:$BB$162,BO4995,0)+INDEX($BD$13:$BL$162,BP4995,0))/100)))&gt;0)*($D$10:$L$10-($D$9:$L$9+INT(($S$12:$AA$12+INDEX($AJ$13:$AR$162,BN4995,0)+INDEX($AT$13:$BB$162,BO4995,0)+INDEX($BD$13:$BL$162,BP4995,0))/100)))),0)</f>
        <v/>
      </c>
      <c r="BS4995">
        <f>IF(4982&lt;$U$9,SUMPRODUCT(($D$9:$L$9+INT(($S$12:$AA$12+INDEX($AJ$13:$AR$162,BN4995,0)+INDEX($AT$13:$BB$162,BO4995,0)+INDEX($BD$13:$BL$162,BP4995,0))/100))),0)</f>
        <v/>
      </c>
      <c r="BT4995">
        <f>IF(AND(4982&lt;$U$9,$W$5),BQ4995*1000000-MIN(BR4995,999)*1000+BS4995-4982/100000,-1000000000-4982)</f>
        <v/>
      </c>
    </row>
    <row r="4996">
      <c r="BN4996">
        <f>IF(4983&lt;$U$9,INT(4983/($U$7*$U$8))+1,1)</f>
        <v/>
      </c>
      <c r="BO4996">
        <f>IF(4983&lt;$U$9,MOD(INT(4983/$U$8),$U$7)+1,1)</f>
        <v/>
      </c>
      <c r="BP4996">
        <f>IF(4983&lt;$U$9,MOD(4983,$U$8)+1,1)</f>
        <v/>
      </c>
      <c r="BQ4996">
        <f>IF(4983&lt;$U$9,SUMPRODUCT(($D$10:$L$10&lt;&gt;"")*(($D$9:$L$9+INT(($S$12:$AA$12+INDEX($AJ$13:$AR$162,BN4996,0)+INDEX($AT$13:$BB$162,BO4996,0)+INDEX($BD$13:$BL$162,BP4996,0))/100))&gt;=$D$10:$L$10)),0)</f>
        <v/>
      </c>
      <c r="BR4996">
        <f>IF(4983&lt;$U$9,SUMPRODUCT(($D$10:$L$10&lt;&gt;"")*(($D$10:$L$10-($D$9:$L$9+INT(($S$12:$AA$12+INDEX($AJ$13:$AR$162,BN4996,0)+INDEX($AT$13:$BB$162,BO4996,0)+INDEX($BD$13:$BL$162,BP4996,0))/100)))&gt;0)*($D$10:$L$10-($D$9:$L$9+INT(($S$12:$AA$12+INDEX($AJ$13:$AR$162,BN4996,0)+INDEX($AT$13:$BB$162,BO4996,0)+INDEX($BD$13:$BL$162,BP4996,0))/100)))),0)</f>
        <v/>
      </c>
      <c r="BS4996">
        <f>IF(4983&lt;$U$9,SUMPRODUCT(($D$9:$L$9+INT(($S$12:$AA$12+INDEX($AJ$13:$AR$162,BN4996,0)+INDEX($AT$13:$BB$162,BO4996,0)+INDEX($BD$13:$BL$162,BP4996,0))/100))),0)</f>
        <v/>
      </c>
      <c r="BT4996">
        <f>IF(AND(4983&lt;$U$9,$W$5),BQ4996*1000000-MIN(BR4996,999)*1000+BS4996-4983/100000,-1000000000-4983)</f>
        <v/>
      </c>
    </row>
    <row r="4997">
      <c r="BN4997">
        <f>IF(4984&lt;$U$9,INT(4984/($U$7*$U$8))+1,1)</f>
        <v/>
      </c>
      <c r="BO4997">
        <f>IF(4984&lt;$U$9,MOD(INT(4984/$U$8),$U$7)+1,1)</f>
        <v/>
      </c>
      <c r="BP4997">
        <f>IF(4984&lt;$U$9,MOD(4984,$U$8)+1,1)</f>
        <v/>
      </c>
      <c r="BQ4997">
        <f>IF(4984&lt;$U$9,SUMPRODUCT(($D$10:$L$10&lt;&gt;"")*(($D$9:$L$9+INT(($S$12:$AA$12+INDEX($AJ$13:$AR$162,BN4997,0)+INDEX($AT$13:$BB$162,BO4997,0)+INDEX($BD$13:$BL$162,BP4997,0))/100))&gt;=$D$10:$L$10)),0)</f>
        <v/>
      </c>
      <c r="BR4997">
        <f>IF(4984&lt;$U$9,SUMPRODUCT(($D$10:$L$10&lt;&gt;"")*(($D$10:$L$10-($D$9:$L$9+INT(($S$12:$AA$12+INDEX($AJ$13:$AR$162,BN4997,0)+INDEX($AT$13:$BB$162,BO4997,0)+INDEX($BD$13:$BL$162,BP4997,0))/100)))&gt;0)*($D$10:$L$10-($D$9:$L$9+INT(($S$12:$AA$12+INDEX($AJ$13:$AR$162,BN4997,0)+INDEX($AT$13:$BB$162,BO4997,0)+INDEX($BD$13:$BL$162,BP4997,0))/100)))),0)</f>
        <v/>
      </c>
      <c r="BS4997">
        <f>IF(4984&lt;$U$9,SUMPRODUCT(($D$9:$L$9+INT(($S$12:$AA$12+INDEX($AJ$13:$AR$162,BN4997,0)+INDEX($AT$13:$BB$162,BO4997,0)+INDEX($BD$13:$BL$162,BP4997,0))/100))),0)</f>
        <v/>
      </c>
      <c r="BT4997">
        <f>IF(AND(4984&lt;$U$9,$W$5),BQ4997*1000000-MIN(BR4997,999)*1000+BS4997-4984/100000,-1000000000-4984)</f>
        <v/>
      </c>
    </row>
    <row r="4998">
      <c r="BN4998">
        <f>IF(4985&lt;$U$9,INT(4985/($U$7*$U$8))+1,1)</f>
        <v/>
      </c>
      <c r="BO4998">
        <f>IF(4985&lt;$U$9,MOD(INT(4985/$U$8),$U$7)+1,1)</f>
        <v/>
      </c>
      <c r="BP4998">
        <f>IF(4985&lt;$U$9,MOD(4985,$U$8)+1,1)</f>
        <v/>
      </c>
      <c r="BQ4998">
        <f>IF(4985&lt;$U$9,SUMPRODUCT(($D$10:$L$10&lt;&gt;"")*(($D$9:$L$9+INT(($S$12:$AA$12+INDEX($AJ$13:$AR$162,BN4998,0)+INDEX($AT$13:$BB$162,BO4998,0)+INDEX($BD$13:$BL$162,BP4998,0))/100))&gt;=$D$10:$L$10)),0)</f>
        <v/>
      </c>
      <c r="BR4998">
        <f>IF(4985&lt;$U$9,SUMPRODUCT(($D$10:$L$10&lt;&gt;"")*(($D$10:$L$10-($D$9:$L$9+INT(($S$12:$AA$12+INDEX($AJ$13:$AR$162,BN4998,0)+INDEX($AT$13:$BB$162,BO4998,0)+INDEX($BD$13:$BL$162,BP4998,0))/100)))&gt;0)*($D$10:$L$10-($D$9:$L$9+INT(($S$12:$AA$12+INDEX($AJ$13:$AR$162,BN4998,0)+INDEX($AT$13:$BB$162,BO4998,0)+INDEX($BD$13:$BL$162,BP4998,0))/100)))),0)</f>
        <v/>
      </c>
      <c r="BS4998">
        <f>IF(4985&lt;$U$9,SUMPRODUCT(($D$9:$L$9+INT(($S$12:$AA$12+INDEX($AJ$13:$AR$162,BN4998,0)+INDEX($AT$13:$BB$162,BO4998,0)+INDEX($BD$13:$BL$162,BP4998,0))/100))),0)</f>
        <v/>
      </c>
      <c r="BT4998">
        <f>IF(AND(4985&lt;$U$9,$W$5),BQ4998*1000000-MIN(BR4998,999)*1000+BS4998-4985/100000,-1000000000-4985)</f>
        <v/>
      </c>
    </row>
    <row r="4999">
      <c r="BN4999">
        <f>IF(4986&lt;$U$9,INT(4986/($U$7*$U$8))+1,1)</f>
        <v/>
      </c>
      <c r="BO4999">
        <f>IF(4986&lt;$U$9,MOD(INT(4986/$U$8),$U$7)+1,1)</f>
        <v/>
      </c>
      <c r="BP4999">
        <f>IF(4986&lt;$U$9,MOD(4986,$U$8)+1,1)</f>
        <v/>
      </c>
      <c r="BQ4999">
        <f>IF(4986&lt;$U$9,SUMPRODUCT(($D$10:$L$10&lt;&gt;"")*(($D$9:$L$9+INT(($S$12:$AA$12+INDEX($AJ$13:$AR$162,BN4999,0)+INDEX($AT$13:$BB$162,BO4999,0)+INDEX($BD$13:$BL$162,BP4999,0))/100))&gt;=$D$10:$L$10)),0)</f>
        <v/>
      </c>
      <c r="BR4999">
        <f>IF(4986&lt;$U$9,SUMPRODUCT(($D$10:$L$10&lt;&gt;"")*(($D$10:$L$10-($D$9:$L$9+INT(($S$12:$AA$12+INDEX($AJ$13:$AR$162,BN4999,0)+INDEX($AT$13:$BB$162,BO4999,0)+INDEX($BD$13:$BL$162,BP4999,0))/100)))&gt;0)*($D$10:$L$10-($D$9:$L$9+INT(($S$12:$AA$12+INDEX($AJ$13:$AR$162,BN4999,0)+INDEX($AT$13:$BB$162,BO4999,0)+INDEX($BD$13:$BL$162,BP4999,0))/100)))),0)</f>
        <v/>
      </c>
      <c r="BS4999">
        <f>IF(4986&lt;$U$9,SUMPRODUCT(($D$9:$L$9+INT(($S$12:$AA$12+INDEX($AJ$13:$AR$162,BN4999,0)+INDEX($AT$13:$BB$162,BO4999,0)+INDEX($BD$13:$BL$162,BP4999,0))/100))),0)</f>
        <v/>
      </c>
      <c r="BT4999">
        <f>IF(AND(4986&lt;$U$9,$W$5),BQ4999*1000000-MIN(BR4999,999)*1000+BS4999-4986/100000,-1000000000-4986)</f>
        <v/>
      </c>
    </row>
    <row r="5000">
      <c r="BN5000">
        <f>IF(4987&lt;$U$9,INT(4987/($U$7*$U$8))+1,1)</f>
        <v/>
      </c>
      <c r="BO5000">
        <f>IF(4987&lt;$U$9,MOD(INT(4987/$U$8),$U$7)+1,1)</f>
        <v/>
      </c>
      <c r="BP5000">
        <f>IF(4987&lt;$U$9,MOD(4987,$U$8)+1,1)</f>
        <v/>
      </c>
      <c r="BQ5000">
        <f>IF(4987&lt;$U$9,SUMPRODUCT(($D$10:$L$10&lt;&gt;"")*(($D$9:$L$9+INT(($S$12:$AA$12+INDEX($AJ$13:$AR$162,BN5000,0)+INDEX($AT$13:$BB$162,BO5000,0)+INDEX($BD$13:$BL$162,BP5000,0))/100))&gt;=$D$10:$L$10)),0)</f>
        <v/>
      </c>
      <c r="BR5000">
        <f>IF(4987&lt;$U$9,SUMPRODUCT(($D$10:$L$10&lt;&gt;"")*(($D$10:$L$10-($D$9:$L$9+INT(($S$12:$AA$12+INDEX($AJ$13:$AR$162,BN5000,0)+INDEX($AT$13:$BB$162,BO5000,0)+INDEX($BD$13:$BL$162,BP5000,0))/100)))&gt;0)*($D$10:$L$10-($D$9:$L$9+INT(($S$12:$AA$12+INDEX($AJ$13:$AR$162,BN5000,0)+INDEX($AT$13:$BB$162,BO5000,0)+INDEX($BD$13:$BL$162,BP5000,0))/100)))),0)</f>
        <v/>
      </c>
      <c r="BS5000">
        <f>IF(4987&lt;$U$9,SUMPRODUCT(($D$9:$L$9+INT(($S$12:$AA$12+INDEX($AJ$13:$AR$162,BN5000,0)+INDEX($AT$13:$BB$162,BO5000,0)+INDEX($BD$13:$BL$162,BP5000,0))/100))),0)</f>
        <v/>
      </c>
      <c r="BT5000">
        <f>IF(AND(4987&lt;$U$9,$W$5),BQ5000*1000000-MIN(BR5000,999)*1000+BS5000-4987/100000,-1000000000-4987)</f>
        <v/>
      </c>
    </row>
    <row r="5001">
      <c r="BN5001">
        <f>IF(4988&lt;$U$9,INT(4988/($U$7*$U$8))+1,1)</f>
        <v/>
      </c>
      <c r="BO5001">
        <f>IF(4988&lt;$U$9,MOD(INT(4988/$U$8),$U$7)+1,1)</f>
        <v/>
      </c>
      <c r="BP5001">
        <f>IF(4988&lt;$U$9,MOD(4988,$U$8)+1,1)</f>
        <v/>
      </c>
      <c r="BQ5001">
        <f>IF(4988&lt;$U$9,SUMPRODUCT(($D$10:$L$10&lt;&gt;"")*(($D$9:$L$9+INT(($S$12:$AA$12+INDEX($AJ$13:$AR$162,BN5001,0)+INDEX($AT$13:$BB$162,BO5001,0)+INDEX($BD$13:$BL$162,BP5001,0))/100))&gt;=$D$10:$L$10)),0)</f>
        <v/>
      </c>
      <c r="BR5001">
        <f>IF(4988&lt;$U$9,SUMPRODUCT(($D$10:$L$10&lt;&gt;"")*(($D$10:$L$10-($D$9:$L$9+INT(($S$12:$AA$12+INDEX($AJ$13:$AR$162,BN5001,0)+INDEX($AT$13:$BB$162,BO5001,0)+INDEX($BD$13:$BL$162,BP5001,0))/100)))&gt;0)*($D$10:$L$10-($D$9:$L$9+INT(($S$12:$AA$12+INDEX($AJ$13:$AR$162,BN5001,0)+INDEX($AT$13:$BB$162,BO5001,0)+INDEX($BD$13:$BL$162,BP5001,0))/100)))),0)</f>
        <v/>
      </c>
      <c r="BS5001">
        <f>IF(4988&lt;$U$9,SUMPRODUCT(($D$9:$L$9+INT(($S$12:$AA$12+INDEX($AJ$13:$AR$162,BN5001,0)+INDEX($AT$13:$BB$162,BO5001,0)+INDEX($BD$13:$BL$162,BP5001,0))/100))),0)</f>
        <v/>
      </c>
      <c r="BT5001">
        <f>IF(AND(4988&lt;$U$9,$W$5),BQ5001*1000000-MIN(BR5001,999)*1000+BS5001-4988/100000,-1000000000-4988)</f>
        <v/>
      </c>
    </row>
    <row r="5002">
      <c r="BN5002">
        <f>IF(4989&lt;$U$9,INT(4989/($U$7*$U$8))+1,1)</f>
        <v/>
      </c>
      <c r="BO5002">
        <f>IF(4989&lt;$U$9,MOD(INT(4989/$U$8),$U$7)+1,1)</f>
        <v/>
      </c>
      <c r="BP5002">
        <f>IF(4989&lt;$U$9,MOD(4989,$U$8)+1,1)</f>
        <v/>
      </c>
      <c r="BQ5002">
        <f>IF(4989&lt;$U$9,SUMPRODUCT(($D$10:$L$10&lt;&gt;"")*(($D$9:$L$9+INT(($S$12:$AA$12+INDEX($AJ$13:$AR$162,BN5002,0)+INDEX($AT$13:$BB$162,BO5002,0)+INDEX($BD$13:$BL$162,BP5002,0))/100))&gt;=$D$10:$L$10)),0)</f>
        <v/>
      </c>
      <c r="BR5002">
        <f>IF(4989&lt;$U$9,SUMPRODUCT(($D$10:$L$10&lt;&gt;"")*(($D$10:$L$10-($D$9:$L$9+INT(($S$12:$AA$12+INDEX($AJ$13:$AR$162,BN5002,0)+INDEX($AT$13:$BB$162,BO5002,0)+INDEX($BD$13:$BL$162,BP5002,0))/100)))&gt;0)*($D$10:$L$10-($D$9:$L$9+INT(($S$12:$AA$12+INDEX($AJ$13:$AR$162,BN5002,0)+INDEX($AT$13:$BB$162,BO5002,0)+INDEX($BD$13:$BL$162,BP5002,0))/100)))),0)</f>
        <v/>
      </c>
      <c r="BS5002">
        <f>IF(4989&lt;$U$9,SUMPRODUCT(($D$9:$L$9+INT(($S$12:$AA$12+INDEX($AJ$13:$AR$162,BN5002,0)+INDEX($AT$13:$BB$162,BO5002,0)+INDEX($BD$13:$BL$162,BP5002,0))/100))),0)</f>
        <v/>
      </c>
      <c r="BT5002">
        <f>IF(AND(4989&lt;$U$9,$W$5),BQ5002*1000000-MIN(BR5002,999)*1000+BS5002-4989/100000,-1000000000-4989)</f>
        <v/>
      </c>
    </row>
    <row r="5003">
      <c r="BN5003">
        <f>IF(4990&lt;$U$9,INT(4990/($U$7*$U$8))+1,1)</f>
        <v/>
      </c>
      <c r="BO5003">
        <f>IF(4990&lt;$U$9,MOD(INT(4990/$U$8),$U$7)+1,1)</f>
        <v/>
      </c>
      <c r="BP5003">
        <f>IF(4990&lt;$U$9,MOD(4990,$U$8)+1,1)</f>
        <v/>
      </c>
      <c r="BQ5003">
        <f>IF(4990&lt;$U$9,SUMPRODUCT(($D$10:$L$10&lt;&gt;"")*(($D$9:$L$9+INT(($S$12:$AA$12+INDEX($AJ$13:$AR$162,BN5003,0)+INDEX($AT$13:$BB$162,BO5003,0)+INDEX($BD$13:$BL$162,BP5003,0))/100))&gt;=$D$10:$L$10)),0)</f>
        <v/>
      </c>
      <c r="BR5003">
        <f>IF(4990&lt;$U$9,SUMPRODUCT(($D$10:$L$10&lt;&gt;"")*(($D$10:$L$10-($D$9:$L$9+INT(($S$12:$AA$12+INDEX($AJ$13:$AR$162,BN5003,0)+INDEX($AT$13:$BB$162,BO5003,0)+INDEX($BD$13:$BL$162,BP5003,0))/100)))&gt;0)*($D$10:$L$10-($D$9:$L$9+INT(($S$12:$AA$12+INDEX($AJ$13:$AR$162,BN5003,0)+INDEX($AT$13:$BB$162,BO5003,0)+INDEX($BD$13:$BL$162,BP5003,0))/100)))),0)</f>
        <v/>
      </c>
      <c r="BS5003">
        <f>IF(4990&lt;$U$9,SUMPRODUCT(($D$9:$L$9+INT(($S$12:$AA$12+INDEX($AJ$13:$AR$162,BN5003,0)+INDEX($AT$13:$BB$162,BO5003,0)+INDEX($BD$13:$BL$162,BP5003,0))/100))),0)</f>
        <v/>
      </c>
      <c r="BT5003">
        <f>IF(AND(4990&lt;$U$9,$W$5),BQ5003*1000000-MIN(BR5003,999)*1000+BS5003-4990/100000,-1000000000-4990)</f>
        <v/>
      </c>
    </row>
    <row r="5004">
      <c r="BN5004">
        <f>IF(4991&lt;$U$9,INT(4991/($U$7*$U$8))+1,1)</f>
        <v/>
      </c>
      <c r="BO5004">
        <f>IF(4991&lt;$U$9,MOD(INT(4991/$U$8),$U$7)+1,1)</f>
        <v/>
      </c>
      <c r="BP5004">
        <f>IF(4991&lt;$U$9,MOD(4991,$U$8)+1,1)</f>
        <v/>
      </c>
      <c r="BQ5004">
        <f>IF(4991&lt;$U$9,SUMPRODUCT(($D$10:$L$10&lt;&gt;"")*(($D$9:$L$9+INT(($S$12:$AA$12+INDEX($AJ$13:$AR$162,BN5004,0)+INDEX($AT$13:$BB$162,BO5004,0)+INDEX($BD$13:$BL$162,BP5004,0))/100))&gt;=$D$10:$L$10)),0)</f>
        <v/>
      </c>
      <c r="BR5004">
        <f>IF(4991&lt;$U$9,SUMPRODUCT(($D$10:$L$10&lt;&gt;"")*(($D$10:$L$10-($D$9:$L$9+INT(($S$12:$AA$12+INDEX($AJ$13:$AR$162,BN5004,0)+INDEX($AT$13:$BB$162,BO5004,0)+INDEX($BD$13:$BL$162,BP5004,0))/100)))&gt;0)*($D$10:$L$10-($D$9:$L$9+INT(($S$12:$AA$12+INDEX($AJ$13:$AR$162,BN5004,0)+INDEX($AT$13:$BB$162,BO5004,0)+INDEX($BD$13:$BL$162,BP5004,0))/100)))),0)</f>
        <v/>
      </c>
      <c r="BS5004">
        <f>IF(4991&lt;$U$9,SUMPRODUCT(($D$9:$L$9+INT(($S$12:$AA$12+INDEX($AJ$13:$AR$162,BN5004,0)+INDEX($AT$13:$BB$162,BO5004,0)+INDEX($BD$13:$BL$162,BP5004,0))/100))),0)</f>
        <v/>
      </c>
      <c r="BT5004">
        <f>IF(AND(4991&lt;$U$9,$W$5),BQ5004*1000000-MIN(BR5004,999)*1000+BS5004-4991/100000,-1000000000-4991)</f>
        <v/>
      </c>
    </row>
    <row r="5005">
      <c r="BN5005">
        <f>IF(4992&lt;$U$9,INT(4992/($U$7*$U$8))+1,1)</f>
        <v/>
      </c>
      <c r="BO5005">
        <f>IF(4992&lt;$U$9,MOD(INT(4992/$U$8),$U$7)+1,1)</f>
        <v/>
      </c>
      <c r="BP5005">
        <f>IF(4992&lt;$U$9,MOD(4992,$U$8)+1,1)</f>
        <v/>
      </c>
      <c r="BQ5005">
        <f>IF(4992&lt;$U$9,SUMPRODUCT(($D$10:$L$10&lt;&gt;"")*(($D$9:$L$9+INT(($S$12:$AA$12+INDEX($AJ$13:$AR$162,BN5005,0)+INDEX($AT$13:$BB$162,BO5005,0)+INDEX($BD$13:$BL$162,BP5005,0))/100))&gt;=$D$10:$L$10)),0)</f>
        <v/>
      </c>
      <c r="BR5005">
        <f>IF(4992&lt;$U$9,SUMPRODUCT(($D$10:$L$10&lt;&gt;"")*(($D$10:$L$10-($D$9:$L$9+INT(($S$12:$AA$12+INDEX($AJ$13:$AR$162,BN5005,0)+INDEX($AT$13:$BB$162,BO5005,0)+INDEX($BD$13:$BL$162,BP5005,0))/100)))&gt;0)*($D$10:$L$10-($D$9:$L$9+INT(($S$12:$AA$12+INDEX($AJ$13:$AR$162,BN5005,0)+INDEX($AT$13:$BB$162,BO5005,0)+INDEX($BD$13:$BL$162,BP5005,0))/100)))),0)</f>
        <v/>
      </c>
      <c r="BS5005">
        <f>IF(4992&lt;$U$9,SUMPRODUCT(($D$9:$L$9+INT(($S$12:$AA$12+INDEX($AJ$13:$AR$162,BN5005,0)+INDEX($AT$13:$BB$162,BO5005,0)+INDEX($BD$13:$BL$162,BP5005,0))/100))),0)</f>
        <v/>
      </c>
      <c r="BT5005">
        <f>IF(AND(4992&lt;$U$9,$W$5),BQ5005*1000000-MIN(BR5005,999)*1000+BS5005-4992/100000,-1000000000-4992)</f>
        <v/>
      </c>
    </row>
    <row r="5006">
      <c r="BN5006">
        <f>IF(4993&lt;$U$9,INT(4993/($U$7*$U$8))+1,1)</f>
        <v/>
      </c>
      <c r="BO5006">
        <f>IF(4993&lt;$U$9,MOD(INT(4993/$U$8),$U$7)+1,1)</f>
        <v/>
      </c>
      <c r="BP5006">
        <f>IF(4993&lt;$U$9,MOD(4993,$U$8)+1,1)</f>
        <v/>
      </c>
      <c r="BQ5006">
        <f>IF(4993&lt;$U$9,SUMPRODUCT(($D$10:$L$10&lt;&gt;"")*(($D$9:$L$9+INT(($S$12:$AA$12+INDEX($AJ$13:$AR$162,BN5006,0)+INDEX($AT$13:$BB$162,BO5006,0)+INDEX($BD$13:$BL$162,BP5006,0))/100))&gt;=$D$10:$L$10)),0)</f>
        <v/>
      </c>
      <c r="BR5006">
        <f>IF(4993&lt;$U$9,SUMPRODUCT(($D$10:$L$10&lt;&gt;"")*(($D$10:$L$10-($D$9:$L$9+INT(($S$12:$AA$12+INDEX($AJ$13:$AR$162,BN5006,0)+INDEX($AT$13:$BB$162,BO5006,0)+INDEX($BD$13:$BL$162,BP5006,0))/100)))&gt;0)*($D$10:$L$10-($D$9:$L$9+INT(($S$12:$AA$12+INDEX($AJ$13:$AR$162,BN5006,0)+INDEX($AT$13:$BB$162,BO5006,0)+INDEX($BD$13:$BL$162,BP5006,0))/100)))),0)</f>
        <v/>
      </c>
      <c r="BS5006">
        <f>IF(4993&lt;$U$9,SUMPRODUCT(($D$9:$L$9+INT(($S$12:$AA$12+INDEX($AJ$13:$AR$162,BN5006,0)+INDEX($AT$13:$BB$162,BO5006,0)+INDEX($BD$13:$BL$162,BP5006,0))/100))),0)</f>
        <v/>
      </c>
      <c r="BT5006">
        <f>IF(AND(4993&lt;$U$9,$W$5),BQ5006*1000000-MIN(BR5006,999)*1000+BS5006-4993/100000,-1000000000-4993)</f>
        <v/>
      </c>
    </row>
    <row r="5007">
      <c r="BN5007">
        <f>IF(4994&lt;$U$9,INT(4994/($U$7*$U$8))+1,1)</f>
        <v/>
      </c>
      <c r="BO5007">
        <f>IF(4994&lt;$U$9,MOD(INT(4994/$U$8),$U$7)+1,1)</f>
        <v/>
      </c>
      <c r="BP5007">
        <f>IF(4994&lt;$U$9,MOD(4994,$U$8)+1,1)</f>
        <v/>
      </c>
      <c r="BQ5007">
        <f>IF(4994&lt;$U$9,SUMPRODUCT(($D$10:$L$10&lt;&gt;"")*(($D$9:$L$9+INT(($S$12:$AA$12+INDEX($AJ$13:$AR$162,BN5007,0)+INDEX($AT$13:$BB$162,BO5007,0)+INDEX($BD$13:$BL$162,BP5007,0))/100))&gt;=$D$10:$L$10)),0)</f>
        <v/>
      </c>
      <c r="BR5007">
        <f>IF(4994&lt;$U$9,SUMPRODUCT(($D$10:$L$10&lt;&gt;"")*(($D$10:$L$10-($D$9:$L$9+INT(($S$12:$AA$12+INDEX($AJ$13:$AR$162,BN5007,0)+INDEX($AT$13:$BB$162,BO5007,0)+INDEX($BD$13:$BL$162,BP5007,0))/100)))&gt;0)*($D$10:$L$10-($D$9:$L$9+INT(($S$12:$AA$12+INDEX($AJ$13:$AR$162,BN5007,0)+INDEX($AT$13:$BB$162,BO5007,0)+INDEX($BD$13:$BL$162,BP5007,0))/100)))),0)</f>
        <v/>
      </c>
      <c r="BS5007">
        <f>IF(4994&lt;$U$9,SUMPRODUCT(($D$9:$L$9+INT(($S$12:$AA$12+INDEX($AJ$13:$AR$162,BN5007,0)+INDEX($AT$13:$BB$162,BO5007,0)+INDEX($BD$13:$BL$162,BP5007,0))/100))),0)</f>
        <v/>
      </c>
      <c r="BT5007">
        <f>IF(AND(4994&lt;$U$9,$W$5),BQ5007*1000000-MIN(BR5007,999)*1000+BS5007-4994/100000,-1000000000-4994)</f>
        <v/>
      </c>
    </row>
    <row r="5008">
      <c r="BN5008">
        <f>IF(4995&lt;$U$9,INT(4995/($U$7*$U$8))+1,1)</f>
        <v/>
      </c>
      <c r="BO5008">
        <f>IF(4995&lt;$U$9,MOD(INT(4995/$U$8),$U$7)+1,1)</f>
        <v/>
      </c>
      <c r="BP5008">
        <f>IF(4995&lt;$U$9,MOD(4995,$U$8)+1,1)</f>
        <v/>
      </c>
      <c r="BQ5008">
        <f>IF(4995&lt;$U$9,SUMPRODUCT(($D$10:$L$10&lt;&gt;"")*(($D$9:$L$9+INT(($S$12:$AA$12+INDEX($AJ$13:$AR$162,BN5008,0)+INDEX($AT$13:$BB$162,BO5008,0)+INDEX($BD$13:$BL$162,BP5008,0))/100))&gt;=$D$10:$L$10)),0)</f>
        <v/>
      </c>
      <c r="BR5008">
        <f>IF(4995&lt;$U$9,SUMPRODUCT(($D$10:$L$10&lt;&gt;"")*(($D$10:$L$10-($D$9:$L$9+INT(($S$12:$AA$12+INDEX($AJ$13:$AR$162,BN5008,0)+INDEX($AT$13:$BB$162,BO5008,0)+INDEX($BD$13:$BL$162,BP5008,0))/100)))&gt;0)*($D$10:$L$10-($D$9:$L$9+INT(($S$12:$AA$12+INDEX($AJ$13:$AR$162,BN5008,0)+INDEX($AT$13:$BB$162,BO5008,0)+INDEX($BD$13:$BL$162,BP5008,0))/100)))),0)</f>
        <v/>
      </c>
      <c r="BS5008">
        <f>IF(4995&lt;$U$9,SUMPRODUCT(($D$9:$L$9+INT(($S$12:$AA$12+INDEX($AJ$13:$AR$162,BN5008,0)+INDEX($AT$13:$BB$162,BO5008,0)+INDEX($BD$13:$BL$162,BP5008,0))/100))),0)</f>
        <v/>
      </c>
      <c r="BT5008">
        <f>IF(AND(4995&lt;$U$9,$W$5),BQ5008*1000000-MIN(BR5008,999)*1000+BS5008-4995/100000,-1000000000-4995)</f>
        <v/>
      </c>
    </row>
    <row r="5009">
      <c r="BN5009">
        <f>IF(4996&lt;$U$9,INT(4996/($U$7*$U$8))+1,1)</f>
        <v/>
      </c>
      <c r="BO5009">
        <f>IF(4996&lt;$U$9,MOD(INT(4996/$U$8),$U$7)+1,1)</f>
        <v/>
      </c>
      <c r="BP5009">
        <f>IF(4996&lt;$U$9,MOD(4996,$U$8)+1,1)</f>
        <v/>
      </c>
      <c r="BQ5009">
        <f>IF(4996&lt;$U$9,SUMPRODUCT(($D$10:$L$10&lt;&gt;"")*(($D$9:$L$9+INT(($S$12:$AA$12+INDEX($AJ$13:$AR$162,BN5009,0)+INDEX($AT$13:$BB$162,BO5009,0)+INDEX($BD$13:$BL$162,BP5009,0))/100))&gt;=$D$10:$L$10)),0)</f>
        <v/>
      </c>
      <c r="BR5009">
        <f>IF(4996&lt;$U$9,SUMPRODUCT(($D$10:$L$10&lt;&gt;"")*(($D$10:$L$10-($D$9:$L$9+INT(($S$12:$AA$12+INDEX($AJ$13:$AR$162,BN5009,0)+INDEX($AT$13:$BB$162,BO5009,0)+INDEX($BD$13:$BL$162,BP5009,0))/100)))&gt;0)*($D$10:$L$10-($D$9:$L$9+INT(($S$12:$AA$12+INDEX($AJ$13:$AR$162,BN5009,0)+INDEX($AT$13:$BB$162,BO5009,0)+INDEX($BD$13:$BL$162,BP5009,0))/100)))),0)</f>
        <v/>
      </c>
      <c r="BS5009">
        <f>IF(4996&lt;$U$9,SUMPRODUCT(($D$9:$L$9+INT(($S$12:$AA$12+INDEX($AJ$13:$AR$162,BN5009,0)+INDEX($AT$13:$BB$162,BO5009,0)+INDEX($BD$13:$BL$162,BP5009,0))/100))),0)</f>
        <v/>
      </c>
      <c r="BT5009">
        <f>IF(AND(4996&lt;$U$9,$W$5),BQ5009*1000000-MIN(BR5009,999)*1000+BS5009-4996/100000,-1000000000-4996)</f>
        <v/>
      </c>
    </row>
    <row r="5010">
      <c r="BN5010">
        <f>IF(4997&lt;$U$9,INT(4997/($U$7*$U$8))+1,1)</f>
        <v/>
      </c>
      <c r="BO5010">
        <f>IF(4997&lt;$U$9,MOD(INT(4997/$U$8),$U$7)+1,1)</f>
        <v/>
      </c>
      <c r="BP5010">
        <f>IF(4997&lt;$U$9,MOD(4997,$U$8)+1,1)</f>
        <v/>
      </c>
      <c r="BQ5010">
        <f>IF(4997&lt;$U$9,SUMPRODUCT(($D$10:$L$10&lt;&gt;"")*(($D$9:$L$9+INT(($S$12:$AA$12+INDEX($AJ$13:$AR$162,BN5010,0)+INDEX($AT$13:$BB$162,BO5010,0)+INDEX($BD$13:$BL$162,BP5010,0))/100))&gt;=$D$10:$L$10)),0)</f>
        <v/>
      </c>
      <c r="BR5010">
        <f>IF(4997&lt;$U$9,SUMPRODUCT(($D$10:$L$10&lt;&gt;"")*(($D$10:$L$10-($D$9:$L$9+INT(($S$12:$AA$12+INDEX($AJ$13:$AR$162,BN5010,0)+INDEX($AT$13:$BB$162,BO5010,0)+INDEX($BD$13:$BL$162,BP5010,0))/100)))&gt;0)*($D$10:$L$10-($D$9:$L$9+INT(($S$12:$AA$12+INDEX($AJ$13:$AR$162,BN5010,0)+INDEX($AT$13:$BB$162,BO5010,0)+INDEX($BD$13:$BL$162,BP5010,0))/100)))),0)</f>
        <v/>
      </c>
      <c r="BS5010">
        <f>IF(4997&lt;$U$9,SUMPRODUCT(($D$9:$L$9+INT(($S$12:$AA$12+INDEX($AJ$13:$AR$162,BN5010,0)+INDEX($AT$13:$BB$162,BO5010,0)+INDEX($BD$13:$BL$162,BP5010,0))/100))),0)</f>
        <v/>
      </c>
      <c r="BT5010">
        <f>IF(AND(4997&lt;$U$9,$W$5),BQ5010*1000000-MIN(BR5010,999)*1000+BS5010-4997/100000,-1000000000-4997)</f>
        <v/>
      </c>
    </row>
    <row r="5011">
      <c r="BN5011">
        <f>IF(4998&lt;$U$9,INT(4998/($U$7*$U$8))+1,1)</f>
        <v/>
      </c>
      <c r="BO5011">
        <f>IF(4998&lt;$U$9,MOD(INT(4998/$U$8),$U$7)+1,1)</f>
        <v/>
      </c>
      <c r="BP5011">
        <f>IF(4998&lt;$U$9,MOD(4998,$U$8)+1,1)</f>
        <v/>
      </c>
      <c r="BQ5011">
        <f>IF(4998&lt;$U$9,SUMPRODUCT(($D$10:$L$10&lt;&gt;"")*(($D$9:$L$9+INT(($S$12:$AA$12+INDEX($AJ$13:$AR$162,BN5011,0)+INDEX($AT$13:$BB$162,BO5011,0)+INDEX($BD$13:$BL$162,BP5011,0))/100))&gt;=$D$10:$L$10)),0)</f>
        <v/>
      </c>
      <c r="BR5011">
        <f>IF(4998&lt;$U$9,SUMPRODUCT(($D$10:$L$10&lt;&gt;"")*(($D$10:$L$10-($D$9:$L$9+INT(($S$12:$AA$12+INDEX($AJ$13:$AR$162,BN5011,0)+INDEX($AT$13:$BB$162,BO5011,0)+INDEX($BD$13:$BL$162,BP5011,0))/100)))&gt;0)*($D$10:$L$10-($D$9:$L$9+INT(($S$12:$AA$12+INDEX($AJ$13:$AR$162,BN5011,0)+INDEX($AT$13:$BB$162,BO5011,0)+INDEX($BD$13:$BL$162,BP5011,0))/100)))),0)</f>
        <v/>
      </c>
      <c r="BS5011">
        <f>IF(4998&lt;$U$9,SUMPRODUCT(($D$9:$L$9+INT(($S$12:$AA$12+INDEX($AJ$13:$AR$162,BN5011,0)+INDEX($AT$13:$BB$162,BO5011,0)+INDEX($BD$13:$BL$162,BP5011,0))/100))),0)</f>
        <v/>
      </c>
      <c r="BT5011">
        <f>IF(AND(4998&lt;$U$9,$W$5),BQ5011*1000000-MIN(BR5011,999)*1000+BS5011-4998/100000,-1000000000-4998)</f>
        <v/>
      </c>
    </row>
    <row r="5012">
      <c r="BN5012">
        <f>IF(4999&lt;$U$9,INT(4999/($U$7*$U$8))+1,1)</f>
        <v/>
      </c>
      <c r="BO5012">
        <f>IF(4999&lt;$U$9,MOD(INT(4999/$U$8),$U$7)+1,1)</f>
        <v/>
      </c>
      <c r="BP5012">
        <f>IF(4999&lt;$U$9,MOD(4999,$U$8)+1,1)</f>
        <v/>
      </c>
      <c r="BQ5012">
        <f>IF(4999&lt;$U$9,SUMPRODUCT(($D$10:$L$10&lt;&gt;"")*(($D$9:$L$9+INT(($S$12:$AA$12+INDEX($AJ$13:$AR$162,BN5012,0)+INDEX($AT$13:$BB$162,BO5012,0)+INDEX($BD$13:$BL$162,BP5012,0))/100))&gt;=$D$10:$L$10)),0)</f>
        <v/>
      </c>
      <c r="BR5012">
        <f>IF(4999&lt;$U$9,SUMPRODUCT(($D$10:$L$10&lt;&gt;"")*(($D$10:$L$10-($D$9:$L$9+INT(($S$12:$AA$12+INDEX($AJ$13:$AR$162,BN5012,0)+INDEX($AT$13:$BB$162,BO5012,0)+INDEX($BD$13:$BL$162,BP5012,0))/100)))&gt;0)*($D$10:$L$10-($D$9:$L$9+INT(($S$12:$AA$12+INDEX($AJ$13:$AR$162,BN5012,0)+INDEX($AT$13:$BB$162,BO5012,0)+INDEX($BD$13:$BL$162,BP5012,0))/100)))),0)</f>
        <v/>
      </c>
      <c r="BS5012">
        <f>IF(4999&lt;$U$9,SUMPRODUCT(($D$9:$L$9+INT(($S$12:$AA$12+INDEX($AJ$13:$AR$162,BN5012,0)+INDEX($AT$13:$BB$162,BO5012,0)+INDEX($BD$13:$BL$162,BP5012,0))/100))),0)</f>
        <v/>
      </c>
      <c r="BT5012">
        <f>IF(AND(4999&lt;$U$9,$W$5),BQ5012*1000000-MIN(BR5012,999)*1000+BS5012-4999/100000,-1000000000-4999)</f>
        <v/>
      </c>
    </row>
    <row r="5013">
      <c r="BN5013">
        <f>IF(5000&lt;$U$9,INT(5000/($U$7*$U$8))+1,1)</f>
        <v/>
      </c>
      <c r="BO5013">
        <f>IF(5000&lt;$U$9,MOD(INT(5000/$U$8),$U$7)+1,1)</f>
        <v/>
      </c>
      <c r="BP5013">
        <f>IF(5000&lt;$U$9,MOD(5000,$U$8)+1,1)</f>
        <v/>
      </c>
      <c r="BQ5013">
        <f>IF(5000&lt;$U$9,SUMPRODUCT(($D$10:$L$10&lt;&gt;"")*(($D$9:$L$9+INT(($S$12:$AA$12+INDEX($AJ$13:$AR$162,BN5013,0)+INDEX($AT$13:$BB$162,BO5013,0)+INDEX($BD$13:$BL$162,BP5013,0))/100))&gt;=$D$10:$L$10)),0)</f>
        <v/>
      </c>
      <c r="BR5013">
        <f>IF(5000&lt;$U$9,SUMPRODUCT(($D$10:$L$10&lt;&gt;"")*(($D$10:$L$10-($D$9:$L$9+INT(($S$12:$AA$12+INDEX($AJ$13:$AR$162,BN5013,0)+INDEX($AT$13:$BB$162,BO5013,0)+INDEX($BD$13:$BL$162,BP5013,0))/100)))&gt;0)*($D$10:$L$10-($D$9:$L$9+INT(($S$12:$AA$12+INDEX($AJ$13:$AR$162,BN5013,0)+INDEX($AT$13:$BB$162,BO5013,0)+INDEX($BD$13:$BL$162,BP5013,0))/100)))),0)</f>
        <v/>
      </c>
      <c r="BS5013">
        <f>IF(5000&lt;$U$9,SUMPRODUCT(($D$9:$L$9+INT(($S$12:$AA$12+INDEX($AJ$13:$AR$162,BN5013,0)+INDEX($AT$13:$BB$162,BO5013,0)+INDEX($BD$13:$BL$162,BP5013,0))/100))),0)</f>
        <v/>
      </c>
      <c r="BT5013">
        <f>IF(AND(5000&lt;$U$9,$W$5),BQ5013*1000000-MIN(BR5013,999)*1000+BS5013-5000/100000,-1000000000-5000)</f>
        <v/>
      </c>
    </row>
    <row r="5014">
      <c r="BN5014">
        <f>IF(5001&lt;$U$9,INT(5001/($U$7*$U$8))+1,1)</f>
        <v/>
      </c>
      <c r="BO5014">
        <f>IF(5001&lt;$U$9,MOD(INT(5001/$U$8),$U$7)+1,1)</f>
        <v/>
      </c>
      <c r="BP5014">
        <f>IF(5001&lt;$U$9,MOD(5001,$U$8)+1,1)</f>
        <v/>
      </c>
      <c r="BQ5014">
        <f>IF(5001&lt;$U$9,SUMPRODUCT(($D$10:$L$10&lt;&gt;"")*(($D$9:$L$9+INT(($S$12:$AA$12+INDEX($AJ$13:$AR$162,BN5014,0)+INDEX($AT$13:$BB$162,BO5014,0)+INDEX($BD$13:$BL$162,BP5014,0))/100))&gt;=$D$10:$L$10)),0)</f>
        <v/>
      </c>
      <c r="BR5014">
        <f>IF(5001&lt;$U$9,SUMPRODUCT(($D$10:$L$10&lt;&gt;"")*(($D$10:$L$10-($D$9:$L$9+INT(($S$12:$AA$12+INDEX($AJ$13:$AR$162,BN5014,0)+INDEX($AT$13:$BB$162,BO5014,0)+INDEX($BD$13:$BL$162,BP5014,0))/100)))&gt;0)*($D$10:$L$10-($D$9:$L$9+INT(($S$12:$AA$12+INDEX($AJ$13:$AR$162,BN5014,0)+INDEX($AT$13:$BB$162,BO5014,0)+INDEX($BD$13:$BL$162,BP5014,0))/100)))),0)</f>
        <v/>
      </c>
      <c r="BS5014">
        <f>IF(5001&lt;$U$9,SUMPRODUCT(($D$9:$L$9+INT(($S$12:$AA$12+INDEX($AJ$13:$AR$162,BN5014,0)+INDEX($AT$13:$BB$162,BO5014,0)+INDEX($BD$13:$BL$162,BP5014,0))/100))),0)</f>
        <v/>
      </c>
      <c r="BT5014">
        <f>IF(AND(5001&lt;$U$9,$W$5),BQ5014*1000000-MIN(BR5014,999)*1000+BS5014-5001/100000,-1000000000-5001)</f>
        <v/>
      </c>
    </row>
    <row r="5015">
      <c r="BN5015">
        <f>IF(5002&lt;$U$9,INT(5002/($U$7*$U$8))+1,1)</f>
        <v/>
      </c>
      <c r="BO5015">
        <f>IF(5002&lt;$U$9,MOD(INT(5002/$U$8),$U$7)+1,1)</f>
        <v/>
      </c>
      <c r="BP5015">
        <f>IF(5002&lt;$U$9,MOD(5002,$U$8)+1,1)</f>
        <v/>
      </c>
      <c r="BQ5015">
        <f>IF(5002&lt;$U$9,SUMPRODUCT(($D$10:$L$10&lt;&gt;"")*(($D$9:$L$9+INT(($S$12:$AA$12+INDEX($AJ$13:$AR$162,BN5015,0)+INDEX($AT$13:$BB$162,BO5015,0)+INDEX($BD$13:$BL$162,BP5015,0))/100))&gt;=$D$10:$L$10)),0)</f>
        <v/>
      </c>
      <c r="BR5015">
        <f>IF(5002&lt;$U$9,SUMPRODUCT(($D$10:$L$10&lt;&gt;"")*(($D$10:$L$10-($D$9:$L$9+INT(($S$12:$AA$12+INDEX($AJ$13:$AR$162,BN5015,0)+INDEX($AT$13:$BB$162,BO5015,0)+INDEX($BD$13:$BL$162,BP5015,0))/100)))&gt;0)*($D$10:$L$10-($D$9:$L$9+INT(($S$12:$AA$12+INDEX($AJ$13:$AR$162,BN5015,0)+INDEX($AT$13:$BB$162,BO5015,0)+INDEX($BD$13:$BL$162,BP5015,0))/100)))),0)</f>
        <v/>
      </c>
      <c r="BS5015">
        <f>IF(5002&lt;$U$9,SUMPRODUCT(($D$9:$L$9+INT(($S$12:$AA$12+INDEX($AJ$13:$AR$162,BN5015,0)+INDEX($AT$13:$BB$162,BO5015,0)+INDEX($BD$13:$BL$162,BP5015,0))/100))),0)</f>
        <v/>
      </c>
      <c r="BT5015">
        <f>IF(AND(5002&lt;$U$9,$W$5),BQ5015*1000000-MIN(BR5015,999)*1000+BS5015-5002/100000,-1000000000-5002)</f>
        <v/>
      </c>
    </row>
    <row r="5016">
      <c r="BN5016">
        <f>IF(5003&lt;$U$9,INT(5003/($U$7*$U$8))+1,1)</f>
        <v/>
      </c>
      <c r="BO5016">
        <f>IF(5003&lt;$U$9,MOD(INT(5003/$U$8),$U$7)+1,1)</f>
        <v/>
      </c>
      <c r="BP5016">
        <f>IF(5003&lt;$U$9,MOD(5003,$U$8)+1,1)</f>
        <v/>
      </c>
      <c r="BQ5016">
        <f>IF(5003&lt;$U$9,SUMPRODUCT(($D$10:$L$10&lt;&gt;"")*(($D$9:$L$9+INT(($S$12:$AA$12+INDEX($AJ$13:$AR$162,BN5016,0)+INDEX($AT$13:$BB$162,BO5016,0)+INDEX($BD$13:$BL$162,BP5016,0))/100))&gt;=$D$10:$L$10)),0)</f>
        <v/>
      </c>
      <c r="BR5016">
        <f>IF(5003&lt;$U$9,SUMPRODUCT(($D$10:$L$10&lt;&gt;"")*(($D$10:$L$10-($D$9:$L$9+INT(($S$12:$AA$12+INDEX($AJ$13:$AR$162,BN5016,0)+INDEX($AT$13:$BB$162,BO5016,0)+INDEX($BD$13:$BL$162,BP5016,0))/100)))&gt;0)*($D$10:$L$10-($D$9:$L$9+INT(($S$12:$AA$12+INDEX($AJ$13:$AR$162,BN5016,0)+INDEX($AT$13:$BB$162,BO5016,0)+INDEX($BD$13:$BL$162,BP5016,0))/100)))),0)</f>
        <v/>
      </c>
      <c r="BS5016">
        <f>IF(5003&lt;$U$9,SUMPRODUCT(($D$9:$L$9+INT(($S$12:$AA$12+INDEX($AJ$13:$AR$162,BN5016,0)+INDEX($AT$13:$BB$162,BO5016,0)+INDEX($BD$13:$BL$162,BP5016,0))/100))),0)</f>
        <v/>
      </c>
      <c r="BT5016">
        <f>IF(AND(5003&lt;$U$9,$W$5),BQ5016*1000000-MIN(BR5016,999)*1000+BS5016-5003/100000,-1000000000-5003)</f>
        <v/>
      </c>
    </row>
    <row r="5017">
      <c r="BN5017">
        <f>IF(5004&lt;$U$9,INT(5004/($U$7*$U$8))+1,1)</f>
        <v/>
      </c>
      <c r="BO5017">
        <f>IF(5004&lt;$U$9,MOD(INT(5004/$U$8),$U$7)+1,1)</f>
        <v/>
      </c>
      <c r="BP5017">
        <f>IF(5004&lt;$U$9,MOD(5004,$U$8)+1,1)</f>
        <v/>
      </c>
      <c r="BQ5017">
        <f>IF(5004&lt;$U$9,SUMPRODUCT(($D$10:$L$10&lt;&gt;"")*(($D$9:$L$9+INT(($S$12:$AA$12+INDEX($AJ$13:$AR$162,BN5017,0)+INDEX($AT$13:$BB$162,BO5017,0)+INDEX($BD$13:$BL$162,BP5017,0))/100))&gt;=$D$10:$L$10)),0)</f>
        <v/>
      </c>
      <c r="BR5017">
        <f>IF(5004&lt;$U$9,SUMPRODUCT(($D$10:$L$10&lt;&gt;"")*(($D$10:$L$10-($D$9:$L$9+INT(($S$12:$AA$12+INDEX($AJ$13:$AR$162,BN5017,0)+INDEX($AT$13:$BB$162,BO5017,0)+INDEX($BD$13:$BL$162,BP5017,0))/100)))&gt;0)*($D$10:$L$10-($D$9:$L$9+INT(($S$12:$AA$12+INDEX($AJ$13:$AR$162,BN5017,0)+INDEX($AT$13:$BB$162,BO5017,0)+INDEX($BD$13:$BL$162,BP5017,0))/100)))),0)</f>
        <v/>
      </c>
      <c r="BS5017">
        <f>IF(5004&lt;$U$9,SUMPRODUCT(($D$9:$L$9+INT(($S$12:$AA$12+INDEX($AJ$13:$AR$162,BN5017,0)+INDEX($AT$13:$BB$162,BO5017,0)+INDEX($BD$13:$BL$162,BP5017,0))/100))),0)</f>
        <v/>
      </c>
      <c r="BT5017">
        <f>IF(AND(5004&lt;$U$9,$W$5),BQ5017*1000000-MIN(BR5017,999)*1000+BS5017-5004/100000,-1000000000-5004)</f>
        <v/>
      </c>
    </row>
    <row r="5018">
      <c r="BN5018">
        <f>IF(5005&lt;$U$9,INT(5005/($U$7*$U$8))+1,1)</f>
        <v/>
      </c>
      <c r="BO5018">
        <f>IF(5005&lt;$U$9,MOD(INT(5005/$U$8),$U$7)+1,1)</f>
        <v/>
      </c>
      <c r="BP5018">
        <f>IF(5005&lt;$U$9,MOD(5005,$U$8)+1,1)</f>
        <v/>
      </c>
      <c r="BQ5018">
        <f>IF(5005&lt;$U$9,SUMPRODUCT(($D$10:$L$10&lt;&gt;"")*(($D$9:$L$9+INT(($S$12:$AA$12+INDEX($AJ$13:$AR$162,BN5018,0)+INDEX($AT$13:$BB$162,BO5018,0)+INDEX($BD$13:$BL$162,BP5018,0))/100))&gt;=$D$10:$L$10)),0)</f>
        <v/>
      </c>
      <c r="BR5018">
        <f>IF(5005&lt;$U$9,SUMPRODUCT(($D$10:$L$10&lt;&gt;"")*(($D$10:$L$10-($D$9:$L$9+INT(($S$12:$AA$12+INDEX($AJ$13:$AR$162,BN5018,0)+INDEX($AT$13:$BB$162,BO5018,0)+INDEX($BD$13:$BL$162,BP5018,0))/100)))&gt;0)*($D$10:$L$10-($D$9:$L$9+INT(($S$12:$AA$12+INDEX($AJ$13:$AR$162,BN5018,0)+INDEX($AT$13:$BB$162,BO5018,0)+INDEX($BD$13:$BL$162,BP5018,0))/100)))),0)</f>
        <v/>
      </c>
      <c r="BS5018">
        <f>IF(5005&lt;$U$9,SUMPRODUCT(($D$9:$L$9+INT(($S$12:$AA$12+INDEX($AJ$13:$AR$162,BN5018,0)+INDEX($AT$13:$BB$162,BO5018,0)+INDEX($BD$13:$BL$162,BP5018,0))/100))),0)</f>
        <v/>
      </c>
      <c r="BT5018">
        <f>IF(AND(5005&lt;$U$9,$W$5),BQ5018*1000000-MIN(BR5018,999)*1000+BS5018-5005/100000,-1000000000-5005)</f>
        <v/>
      </c>
    </row>
    <row r="5019">
      <c r="BN5019">
        <f>IF(5006&lt;$U$9,INT(5006/($U$7*$U$8))+1,1)</f>
        <v/>
      </c>
      <c r="BO5019">
        <f>IF(5006&lt;$U$9,MOD(INT(5006/$U$8),$U$7)+1,1)</f>
        <v/>
      </c>
      <c r="BP5019">
        <f>IF(5006&lt;$U$9,MOD(5006,$U$8)+1,1)</f>
        <v/>
      </c>
      <c r="BQ5019">
        <f>IF(5006&lt;$U$9,SUMPRODUCT(($D$10:$L$10&lt;&gt;"")*(($D$9:$L$9+INT(($S$12:$AA$12+INDEX($AJ$13:$AR$162,BN5019,0)+INDEX($AT$13:$BB$162,BO5019,0)+INDEX($BD$13:$BL$162,BP5019,0))/100))&gt;=$D$10:$L$10)),0)</f>
        <v/>
      </c>
      <c r="BR5019">
        <f>IF(5006&lt;$U$9,SUMPRODUCT(($D$10:$L$10&lt;&gt;"")*(($D$10:$L$10-($D$9:$L$9+INT(($S$12:$AA$12+INDEX($AJ$13:$AR$162,BN5019,0)+INDEX($AT$13:$BB$162,BO5019,0)+INDEX($BD$13:$BL$162,BP5019,0))/100)))&gt;0)*($D$10:$L$10-($D$9:$L$9+INT(($S$12:$AA$12+INDEX($AJ$13:$AR$162,BN5019,0)+INDEX($AT$13:$BB$162,BO5019,0)+INDEX($BD$13:$BL$162,BP5019,0))/100)))),0)</f>
        <v/>
      </c>
      <c r="BS5019">
        <f>IF(5006&lt;$U$9,SUMPRODUCT(($D$9:$L$9+INT(($S$12:$AA$12+INDEX($AJ$13:$AR$162,BN5019,0)+INDEX($AT$13:$BB$162,BO5019,0)+INDEX($BD$13:$BL$162,BP5019,0))/100))),0)</f>
        <v/>
      </c>
      <c r="BT5019">
        <f>IF(AND(5006&lt;$U$9,$W$5),BQ5019*1000000-MIN(BR5019,999)*1000+BS5019-5006/100000,-1000000000-5006)</f>
        <v/>
      </c>
    </row>
    <row r="5020">
      <c r="BN5020">
        <f>IF(5007&lt;$U$9,INT(5007/($U$7*$U$8))+1,1)</f>
        <v/>
      </c>
      <c r="BO5020">
        <f>IF(5007&lt;$U$9,MOD(INT(5007/$U$8),$U$7)+1,1)</f>
        <v/>
      </c>
      <c r="BP5020">
        <f>IF(5007&lt;$U$9,MOD(5007,$U$8)+1,1)</f>
        <v/>
      </c>
      <c r="BQ5020">
        <f>IF(5007&lt;$U$9,SUMPRODUCT(($D$10:$L$10&lt;&gt;"")*(($D$9:$L$9+INT(($S$12:$AA$12+INDEX($AJ$13:$AR$162,BN5020,0)+INDEX($AT$13:$BB$162,BO5020,0)+INDEX($BD$13:$BL$162,BP5020,0))/100))&gt;=$D$10:$L$10)),0)</f>
        <v/>
      </c>
      <c r="BR5020">
        <f>IF(5007&lt;$U$9,SUMPRODUCT(($D$10:$L$10&lt;&gt;"")*(($D$10:$L$10-($D$9:$L$9+INT(($S$12:$AA$12+INDEX($AJ$13:$AR$162,BN5020,0)+INDEX($AT$13:$BB$162,BO5020,0)+INDEX($BD$13:$BL$162,BP5020,0))/100)))&gt;0)*($D$10:$L$10-($D$9:$L$9+INT(($S$12:$AA$12+INDEX($AJ$13:$AR$162,BN5020,0)+INDEX($AT$13:$BB$162,BO5020,0)+INDEX($BD$13:$BL$162,BP5020,0))/100)))),0)</f>
        <v/>
      </c>
      <c r="BS5020">
        <f>IF(5007&lt;$U$9,SUMPRODUCT(($D$9:$L$9+INT(($S$12:$AA$12+INDEX($AJ$13:$AR$162,BN5020,0)+INDEX($AT$13:$BB$162,BO5020,0)+INDEX($BD$13:$BL$162,BP5020,0))/100))),0)</f>
        <v/>
      </c>
      <c r="BT5020">
        <f>IF(AND(5007&lt;$U$9,$W$5),BQ5020*1000000-MIN(BR5020,999)*1000+BS5020-5007/100000,-1000000000-5007)</f>
        <v/>
      </c>
    </row>
    <row r="5021">
      <c r="BN5021">
        <f>IF(5008&lt;$U$9,INT(5008/($U$7*$U$8))+1,1)</f>
        <v/>
      </c>
      <c r="BO5021">
        <f>IF(5008&lt;$U$9,MOD(INT(5008/$U$8),$U$7)+1,1)</f>
        <v/>
      </c>
      <c r="BP5021">
        <f>IF(5008&lt;$U$9,MOD(5008,$U$8)+1,1)</f>
        <v/>
      </c>
      <c r="BQ5021">
        <f>IF(5008&lt;$U$9,SUMPRODUCT(($D$10:$L$10&lt;&gt;"")*(($D$9:$L$9+INT(($S$12:$AA$12+INDEX($AJ$13:$AR$162,BN5021,0)+INDEX($AT$13:$BB$162,BO5021,0)+INDEX($BD$13:$BL$162,BP5021,0))/100))&gt;=$D$10:$L$10)),0)</f>
        <v/>
      </c>
      <c r="BR5021">
        <f>IF(5008&lt;$U$9,SUMPRODUCT(($D$10:$L$10&lt;&gt;"")*(($D$10:$L$10-($D$9:$L$9+INT(($S$12:$AA$12+INDEX($AJ$13:$AR$162,BN5021,0)+INDEX($AT$13:$BB$162,BO5021,0)+INDEX($BD$13:$BL$162,BP5021,0))/100)))&gt;0)*($D$10:$L$10-($D$9:$L$9+INT(($S$12:$AA$12+INDEX($AJ$13:$AR$162,BN5021,0)+INDEX($AT$13:$BB$162,BO5021,0)+INDEX($BD$13:$BL$162,BP5021,0))/100)))),0)</f>
        <v/>
      </c>
      <c r="BS5021">
        <f>IF(5008&lt;$U$9,SUMPRODUCT(($D$9:$L$9+INT(($S$12:$AA$12+INDEX($AJ$13:$AR$162,BN5021,0)+INDEX($AT$13:$BB$162,BO5021,0)+INDEX($BD$13:$BL$162,BP5021,0))/100))),0)</f>
        <v/>
      </c>
      <c r="BT5021">
        <f>IF(AND(5008&lt;$U$9,$W$5),BQ5021*1000000-MIN(BR5021,999)*1000+BS5021-5008/100000,-1000000000-5008)</f>
        <v/>
      </c>
    </row>
    <row r="5022">
      <c r="BN5022">
        <f>IF(5009&lt;$U$9,INT(5009/($U$7*$U$8))+1,1)</f>
        <v/>
      </c>
      <c r="BO5022">
        <f>IF(5009&lt;$U$9,MOD(INT(5009/$U$8),$U$7)+1,1)</f>
        <v/>
      </c>
      <c r="BP5022">
        <f>IF(5009&lt;$U$9,MOD(5009,$U$8)+1,1)</f>
        <v/>
      </c>
      <c r="BQ5022">
        <f>IF(5009&lt;$U$9,SUMPRODUCT(($D$10:$L$10&lt;&gt;"")*(($D$9:$L$9+INT(($S$12:$AA$12+INDEX($AJ$13:$AR$162,BN5022,0)+INDEX($AT$13:$BB$162,BO5022,0)+INDEX($BD$13:$BL$162,BP5022,0))/100))&gt;=$D$10:$L$10)),0)</f>
        <v/>
      </c>
      <c r="BR5022">
        <f>IF(5009&lt;$U$9,SUMPRODUCT(($D$10:$L$10&lt;&gt;"")*(($D$10:$L$10-($D$9:$L$9+INT(($S$12:$AA$12+INDEX($AJ$13:$AR$162,BN5022,0)+INDEX($AT$13:$BB$162,BO5022,0)+INDEX($BD$13:$BL$162,BP5022,0))/100)))&gt;0)*($D$10:$L$10-($D$9:$L$9+INT(($S$12:$AA$12+INDEX($AJ$13:$AR$162,BN5022,0)+INDEX($AT$13:$BB$162,BO5022,0)+INDEX($BD$13:$BL$162,BP5022,0))/100)))),0)</f>
        <v/>
      </c>
      <c r="BS5022">
        <f>IF(5009&lt;$U$9,SUMPRODUCT(($D$9:$L$9+INT(($S$12:$AA$12+INDEX($AJ$13:$AR$162,BN5022,0)+INDEX($AT$13:$BB$162,BO5022,0)+INDEX($BD$13:$BL$162,BP5022,0))/100))),0)</f>
        <v/>
      </c>
      <c r="BT5022">
        <f>IF(AND(5009&lt;$U$9,$W$5),BQ5022*1000000-MIN(BR5022,999)*1000+BS5022-5009/100000,-1000000000-5009)</f>
        <v/>
      </c>
    </row>
    <row r="5023">
      <c r="BN5023">
        <f>IF(5010&lt;$U$9,INT(5010/($U$7*$U$8))+1,1)</f>
        <v/>
      </c>
      <c r="BO5023">
        <f>IF(5010&lt;$U$9,MOD(INT(5010/$U$8),$U$7)+1,1)</f>
        <v/>
      </c>
      <c r="BP5023">
        <f>IF(5010&lt;$U$9,MOD(5010,$U$8)+1,1)</f>
        <v/>
      </c>
      <c r="BQ5023">
        <f>IF(5010&lt;$U$9,SUMPRODUCT(($D$10:$L$10&lt;&gt;"")*(($D$9:$L$9+INT(($S$12:$AA$12+INDEX($AJ$13:$AR$162,BN5023,0)+INDEX($AT$13:$BB$162,BO5023,0)+INDEX($BD$13:$BL$162,BP5023,0))/100))&gt;=$D$10:$L$10)),0)</f>
        <v/>
      </c>
      <c r="BR5023">
        <f>IF(5010&lt;$U$9,SUMPRODUCT(($D$10:$L$10&lt;&gt;"")*(($D$10:$L$10-($D$9:$L$9+INT(($S$12:$AA$12+INDEX($AJ$13:$AR$162,BN5023,0)+INDEX($AT$13:$BB$162,BO5023,0)+INDEX($BD$13:$BL$162,BP5023,0))/100)))&gt;0)*($D$10:$L$10-($D$9:$L$9+INT(($S$12:$AA$12+INDEX($AJ$13:$AR$162,BN5023,0)+INDEX($AT$13:$BB$162,BO5023,0)+INDEX($BD$13:$BL$162,BP5023,0))/100)))),0)</f>
        <v/>
      </c>
      <c r="BS5023">
        <f>IF(5010&lt;$U$9,SUMPRODUCT(($D$9:$L$9+INT(($S$12:$AA$12+INDEX($AJ$13:$AR$162,BN5023,0)+INDEX($AT$13:$BB$162,BO5023,0)+INDEX($BD$13:$BL$162,BP5023,0))/100))),0)</f>
        <v/>
      </c>
      <c r="BT5023">
        <f>IF(AND(5010&lt;$U$9,$W$5),BQ5023*1000000-MIN(BR5023,999)*1000+BS5023-5010/100000,-1000000000-5010)</f>
        <v/>
      </c>
    </row>
    <row r="5024">
      <c r="BN5024">
        <f>IF(5011&lt;$U$9,INT(5011/($U$7*$U$8))+1,1)</f>
        <v/>
      </c>
      <c r="BO5024">
        <f>IF(5011&lt;$U$9,MOD(INT(5011/$U$8),$U$7)+1,1)</f>
        <v/>
      </c>
      <c r="BP5024">
        <f>IF(5011&lt;$U$9,MOD(5011,$U$8)+1,1)</f>
        <v/>
      </c>
      <c r="BQ5024">
        <f>IF(5011&lt;$U$9,SUMPRODUCT(($D$10:$L$10&lt;&gt;"")*(($D$9:$L$9+INT(($S$12:$AA$12+INDEX($AJ$13:$AR$162,BN5024,0)+INDEX($AT$13:$BB$162,BO5024,0)+INDEX($BD$13:$BL$162,BP5024,0))/100))&gt;=$D$10:$L$10)),0)</f>
        <v/>
      </c>
      <c r="BR5024">
        <f>IF(5011&lt;$U$9,SUMPRODUCT(($D$10:$L$10&lt;&gt;"")*(($D$10:$L$10-($D$9:$L$9+INT(($S$12:$AA$12+INDEX($AJ$13:$AR$162,BN5024,0)+INDEX($AT$13:$BB$162,BO5024,0)+INDEX($BD$13:$BL$162,BP5024,0))/100)))&gt;0)*($D$10:$L$10-($D$9:$L$9+INT(($S$12:$AA$12+INDEX($AJ$13:$AR$162,BN5024,0)+INDEX($AT$13:$BB$162,BO5024,0)+INDEX($BD$13:$BL$162,BP5024,0))/100)))),0)</f>
        <v/>
      </c>
      <c r="BS5024">
        <f>IF(5011&lt;$U$9,SUMPRODUCT(($D$9:$L$9+INT(($S$12:$AA$12+INDEX($AJ$13:$AR$162,BN5024,0)+INDEX($AT$13:$BB$162,BO5024,0)+INDEX($BD$13:$BL$162,BP5024,0))/100))),0)</f>
        <v/>
      </c>
      <c r="BT5024">
        <f>IF(AND(5011&lt;$U$9,$W$5),BQ5024*1000000-MIN(BR5024,999)*1000+BS5024-5011/100000,-1000000000-5011)</f>
        <v/>
      </c>
    </row>
    <row r="5025">
      <c r="BN5025">
        <f>IF(5012&lt;$U$9,INT(5012/($U$7*$U$8))+1,1)</f>
        <v/>
      </c>
      <c r="BO5025">
        <f>IF(5012&lt;$U$9,MOD(INT(5012/$U$8),$U$7)+1,1)</f>
        <v/>
      </c>
      <c r="BP5025">
        <f>IF(5012&lt;$U$9,MOD(5012,$U$8)+1,1)</f>
        <v/>
      </c>
      <c r="BQ5025">
        <f>IF(5012&lt;$U$9,SUMPRODUCT(($D$10:$L$10&lt;&gt;"")*(($D$9:$L$9+INT(($S$12:$AA$12+INDEX($AJ$13:$AR$162,BN5025,0)+INDEX($AT$13:$BB$162,BO5025,0)+INDEX($BD$13:$BL$162,BP5025,0))/100))&gt;=$D$10:$L$10)),0)</f>
        <v/>
      </c>
      <c r="BR5025">
        <f>IF(5012&lt;$U$9,SUMPRODUCT(($D$10:$L$10&lt;&gt;"")*(($D$10:$L$10-($D$9:$L$9+INT(($S$12:$AA$12+INDEX($AJ$13:$AR$162,BN5025,0)+INDEX($AT$13:$BB$162,BO5025,0)+INDEX($BD$13:$BL$162,BP5025,0))/100)))&gt;0)*($D$10:$L$10-($D$9:$L$9+INT(($S$12:$AA$12+INDEX($AJ$13:$AR$162,BN5025,0)+INDEX($AT$13:$BB$162,BO5025,0)+INDEX($BD$13:$BL$162,BP5025,0))/100)))),0)</f>
        <v/>
      </c>
      <c r="BS5025">
        <f>IF(5012&lt;$U$9,SUMPRODUCT(($D$9:$L$9+INT(($S$12:$AA$12+INDEX($AJ$13:$AR$162,BN5025,0)+INDEX($AT$13:$BB$162,BO5025,0)+INDEX($BD$13:$BL$162,BP5025,0))/100))),0)</f>
        <v/>
      </c>
      <c r="BT5025">
        <f>IF(AND(5012&lt;$U$9,$W$5),BQ5025*1000000-MIN(BR5025,999)*1000+BS5025-5012/100000,-1000000000-5012)</f>
        <v/>
      </c>
    </row>
    <row r="5026">
      <c r="BN5026">
        <f>IF(5013&lt;$U$9,INT(5013/($U$7*$U$8))+1,1)</f>
        <v/>
      </c>
      <c r="BO5026">
        <f>IF(5013&lt;$U$9,MOD(INT(5013/$U$8),$U$7)+1,1)</f>
        <v/>
      </c>
      <c r="BP5026">
        <f>IF(5013&lt;$U$9,MOD(5013,$U$8)+1,1)</f>
        <v/>
      </c>
      <c r="BQ5026">
        <f>IF(5013&lt;$U$9,SUMPRODUCT(($D$10:$L$10&lt;&gt;"")*(($D$9:$L$9+INT(($S$12:$AA$12+INDEX($AJ$13:$AR$162,BN5026,0)+INDEX($AT$13:$BB$162,BO5026,0)+INDEX($BD$13:$BL$162,BP5026,0))/100))&gt;=$D$10:$L$10)),0)</f>
        <v/>
      </c>
      <c r="BR5026">
        <f>IF(5013&lt;$U$9,SUMPRODUCT(($D$10:$L$10&lt;&gt;"")*(($D$10:$L$10-($D$9:$L$9+INT(($S$12:$AA$12+INDEX($AJ$13:$AR$162,BN5026,0)+INDEX($AT$13:$BB$162,BO5026,0)+INDEX($BD$13:$BL$162,BP5026,0))/100)))&gt;0)*($D$10:$L$10-($D$9:$L$9+INT(($S$12:$AA$12+INDEX($AJ$13:$AR$162,BN5026,0)+INDEX($AT$13:$BB$162,BO5026,0)+INDEX($BD$13:$BL$162,BP5026,0))/100)))),0)</f>
        <v/>
      </c>
      <c r="BS5026">
        <f>IF(5013&lt;$U$9,SUMPRODUCT(($D$9:$L$9+INT(($S$12:$AA$12+INDEX($AJ$13:$AR$162,BN5026,0)+INDEX($AT$13:$BB$162,BO5026,0)+INDEX($BD$13:$BL$162,BP5026,0))/100))),0)</f>
        <v/>
      </c>
      <c r="BT5026">
        <f>IF(AND(5013&lt;$U$9,$W$5),BQ5026*1000000-MIN(BR5026,999)*1000+BS5026-5013/100000,-1000000000-5013)</f>
        <v/>
      </c>
    </row>
    <row r="5027">
      <c r="BN5027">
        <f>IF(5014&lt;$U$9,INT(5014/($U$7*$U$8))+1,1)</f>
        <v/>
      </c>
      <c r="BO5027">
        <f>IF(5014&lt;$U$9,MOD(INT(5014/$U$8),$U$7)+1,1)</f>
        <v/>
      </c>
      <c r="BP5027">
        <f>IF(5014&lt;$U$9,MOD(5014,$U$8)+1,1)</f>
        <v/>
      </c>
      <c r="BQ5027">
        <f>IF(5014&lt;$U$9,SUMPRODUCT(($D$10:$L$10&lt;&gt;"")*(($D$9:$L$9+INT(($S$12:$AA$12+INDEX($AJ$13:$AR$162,BN5027,0)+INDEX($AT$13:$BB$162,BO5027,0)+INDEX($BD$13:$BL$162,BP5027,0))/100))&gt;=$D$10:$L$10)),0)</f>
        <v/>
      </c>
      <c r="BR5027">
        <f>IF(5014&lt;$U$9,SUMPRODUCT(($D$10:$L$10&lt;&gt;"")*(($D$10:$L$10-($D$9:$L$9+INT(($S$12:$AA$12+INDEX($AJ$13:$AR$162,BN5027,0)+INDEX($AT$13:$BB$162,BO5027,0)+INDEX($BD$13:$BL$162,BP5027,0))/100)))&gt;0)*($D$10:$L$10-($D$9:$L$9+INT(($S$12:$AA$12+INDEX($AJ$13:$AR$162,BN5027,0)+INDEX($AT$13:$BB$162,BO5027,0)+INDEX($BD$13:$BL$162,BP5027,0))/100)))),0)</f>
        <v/>
      </c>
      <c r="BS5027">
        <f>IF(5014&lt;$U$9,SUMPRODUCT(($D$9:$L$9+INT(($S$12:$AA$12+INDEX($AJ$13:$AR$162,BN5027,0)+INDEX($AT$13:$BB$162,BO5027,0)+INDEX($BD$13:$BL$162,BP5027,0))/100))),0)</f>
        <v/>
      </c>
      <c r="BT5027">
        <f>IF(AND(5014&lt;$U$9,$W$5),BQ5027*1000000-MIN(BR5027,999)*1000+BS5027-5014/100000,-1000000000-5014)</f>
        <v/>
      </c>
    </row>
    <row r="5028">
      <c r="BN5028">
        <f>IF(5015&lt;$U$9,INT(5015/($U$7*$U$8))+1,1)</f>
        <v/>
      </c>
      <c r="BO5028">
        <f>IF(5015&lt;$U$9,MOD(INT(5015/$U$8),$U$7)+1,1)</f>
        <v/>
      </c>
      <c r="BP5028">
        <f>IF(5015&lt;$U$9,MOD(5015,$U$8)+1,1)</f>
        <v/>
      </c>
      <c r="BQ5028">
        <f>IF(5015&lt;$U$9,SUMPRODUCT(($D$10:$L$10&lt;&gt;"")*(($D$9:$L$9+INT(($S$12:$AA$12+INDEX($AJ$13:$AR$162,BN5028,0)+INDEX($AT$13:$BB$162,BO5028,0)+INDEX($BD$13:$BL$162,BP5028,0))/100))&gt;=$D$10:$L$10)),0)</f>
        <v/>
      </c>
      <c r="BR5028">
        <f>IF(5015&lt;$U$9,SUMPRODUCT(($D$10:$L$10&lt;&gt;"")*(($D$10:$L$10-($D$9:$L$9+INT(($S$12:$AA$12+INDEX($AJ$13:$AR$162,BN5028,0)+INDEX($AT$13:$BB$162,BO5028,0)+INDEX($BD$13:$BL$162,BP5028,0))/100)))&gt;0)*($D$10:$L$10-($D$9:$L$9+INT(($S$12:$AA$12+INDEX($AJ$13:$AR$162,BN5028,0)+INDEX($AT$13:$BB$162,BO5028,0)+INDEX($BD$13:$BL$162,BP5028,0))/100)))),0)</f>
        <v/>
      </c>
      <c r="BS5028">
        <f>IF(5015&lt;$U$9,SUMPRODUCT(($D$9:$L$9+INT(($S$12:$AA$12+INDEX($AJ$13:$AR$162,BN5028,0)+INDEX($AT$13:$BB$162,BO5028,0)+INDEX($BD$13:$BL$162,BP5028,0))/100))),0)</f>
        <v/>
      </c>
      <c r="BT5028">
        <f>IF(AND(5015&lt;$U$9,$W$5),BQ5028*1000000-MIN(BR5028,999)*1000+BS5028-5015/100000,-1000000000-5015)</f>
        <v/>
      </c>
    </row>
    <row r="5029">
      <c r="BN5029">
        <f>IF(5016&lt;$U$9,INT(5016/($U$7*$U$8))+1,1)</f>
        <v/>
      </c>
      <c r="BO5029">
        <f>IF(5016&lt;$U$9,MOD(INT(5016/$U$8),$U$7)+1,1)</f>
        <v/>
      </c>
      <c r="BP5029">
        <f>IF(5016&lt;$U$9,MOD(5016,$U$8)+1,1)</f>
        <v/>
      </c>
      <c r="BQ5029">
        <f>IF(5016&lt;$U$9,SUMPRODUCT(($D$10:$L$10&lt;&gt;"")*(($D$9:$L$9+INT(($S$12:$AA$12+INDEX($AJ$13:$AR$162,BN5029,0)+INDEX($AT$13:$BB$162,BO5029,0)+INDEX($BD$13:$BL$162,BP5029,0))/100))&gt;=$D$10:$L$10)),0)</f>
        <v/>
      </c>
      <c r="BR5029">
        <f>IF(5016&lt;$U$9,SUMPRODUCT(($D$10:$L$10&lt;&gt;"")*(($D$10:$L$10-($D$9:$L$9+INT(($S$12:$AA$12+INDEX($AJ$13:$AR$162,BN5029,0)+INDEX($AT$13:$BB$162,BO5029,0)+INDEX($BD$13:$BL$162,BP5029,0))/100)))&gt;0)*($D$10:$L$10-($D$9:$L$9+INT(($S$12:$AA$12+INDEX($AJ$13:$AR$162,BN5029,0)+INDEX($AT$13:$BB$162,BO5029,0)+INDEX($BD$13:$BL$162,BP5029,0))/100)))),0)</f>
        <v/>
      </c>
      <c r="BS5029">
        <f>IF(5016&lt;$U$9,SUMPRODUCT(($D$9:$L$9+INT(($S$12:$AA$12+INDEX($AJ$13:$AR$162,BN5029,0)+INDEX($AT$13:$BB$162,BO5029,0)+INDEX($BD$13:$BL$162,BP5029,0))/100))),0)</f>
        <v/>
      </c>
      <c r="BT5029">
        <f>IF(AND(5016&lt;$U$9,$W$5),BQ5029*1000000-MIN(BR5029,999)*1000+BS5029-5016/100000,-1000000000-5016)</f>
        <v/>
      </c>
    </row>
    <row r="5030">
      <c r="BN5030">
        <f>IF(5017&lt;$U$9,INT(5017/($U$7*$U$8))+1,1)</f>
        <v/>
      </c>
      <c r="BO5030">
        <f>IF(5017&lt;$U$9,MOD(INT(5017/$U$8),$U$7)+1,1)</f>
        <v/>
      </c>
      <c r="BP5030">
        <f>IF(5017&lt;$U$9,MOD(5017,$U$8)+1,1)</f>
        <v/>
      </c>
      <c r="BQ5030">
        <f>IF(5017&lt;$U$9,SUMPRODUCT(($D$10:$L$10&lt;&gt;"")*(($D$9:$L$9+INT(($S$12:$AA$12+INDEX($AJ$13:$AR$162,BN5030,0)+INDEX($AT$13:$BB$162,BO5030,0)+INDEX($BD$13:$BL$162,BP5030,0))/100))&gt;=$D$10:$L$10)),0)</f>
        <v/>
      </c>
      <c r="BR5030">
        <f>IF(5017&lt;$U$9,SUMPRODUCT(($D$10:$L$10&lt;&gt;"")*(($D$10:$L$10-($D$9:$L$9+INT(($S$12:$AA$12+INDEX($AJ$13:$AR$162,BN5030,0)+INDEX($AT$13:$BB$162,BO5030,0)+INDEX($BD$13:$BL$162,BP5030,0))/100)))&gt;0)*($D$10:$L$10-($D$9:$L$9+INT(($S$12:$AA$12+INDEX($AJ$13:$AR$162,BN5030,0)+INDEX($AT$13:$BB$162,BO5030,0)+INDEX($BD$13:$BL$162,BP5030,0))/100)))),0)</f>
        <v/>
      </c>
      <c r="BS5030">
        <f>IF(5017&lt;$U$9,SUMPRODUCT(($D$9:$L$9+INT(($S$12:$AA$12+INDEX($AJ$13:$AR$162,BN5030,0)+INDEX($AT$13:$BB$162,BO5030,0)+INDEX($BD$13:$BL$162,BP5030,0))/100))),0)</f>
        <v/>
      </c>
      <c r="BT5030">
        <f>IF(AND(5017&lt;$U$9,$W$5),BQ5030*1000000-MIN(BR5030,999)*1000+BS5030-5017/100000,-1000000000-5017)</f>
        <v/>
      </c>
    </row>
    <row r="5031">
      <c r="BN5031">
        <f>IF(5018&lt;$U$9,INT(5018/($U$7*$U$8))+1,1)</f>
        <v/>
      </c>
      <c r="BO5031">
        <f>IF(5018&lt;$U$9,MOD(INT(5018/$U$8),$U$7)+1,1)</f>
        <v/>
      </c>
      <c r="BP5031">
        <f>IF(5018&lt;$U$9,MOD(5018,$U$8)+1,1)</f>
        <v/>
      </c>
      <c r="BQ5031">
        <f>IF(5018&lt;$U$9,SUMPRODUCT(($D$10:$L$10&lt;&gt;"")*(($D$9:$L$9+INT(($S$12:$AA$12+INDEX($AJ$13:$AR$162,BN5031,0)+INDEX($AT$13:$BB$162,BO5031,0)+INDEX($BD$13:$BL$162,BP5031,0))/100))&gt;=$D$10:$L$10)),0)</f>
        <v/>
      </c>
      <c r="BR5031">
        <f>IF(5018&lt;$U$9,SUMPRODUCT(($D$10:$L$10&lt;&gt;"")*(($D$10:$L$10-($D$9:$L$9+INT(($S$12:$AA$12+INDEX($AJ$13:$AR$162,BN5031,0)+INDEX($AT$13:$BB$162,BO5031,0)+INDEX($BD$13:$BL$162,BP5031,0))/100)))&gt;0)*($D$10:$L$10-($D$9:$L$9+INT(($S$12:$AA$12+INDEX($AJ$13:$AR$162,BN5031,0)+INDEX($AT$13:$BB$162,BO5031,0)+INDEX($BD$13:$BL$162,BP5031,0))/100)))),0)</f>
        <v/>
      </c>
      <c r="BS5031">
        <f>IF(5018&lt;$U$9,SUMPRODUCT(($D$9:$L$9+INT(($S$12:$AA$12+INDEX($AJ$13:$AR$162,BN5031,0)+INDEX($AT$13:$BB$162,BO5031,0)+INDEX($BD$13:$BL$162,BP5031,0))/100))),0)</f>
        <v/>
      </c>
      <c r="BT5031">
        <f>IF(AND(5018&lt;$U$9,$W$5),BQ5031*1000000-MIN(BR5031,999)*1000+BS5031-5018/100000,-1000000000-5018)</f>
        <v/>
      </c>
    </row>
    <row r="5032">
      <c r="BN5032">
        <f>IF(5019&lt;$U$9,INT(5019/($U$7*$U$8))+1,1)</f>
        <v/>
      </c>
      <c r="BO5032">
        <f>IF(5019&lt;$U$9,MOD(INT(5019/$U$8),$U$7)+1,1)</f>
        <v/>
      </c>
      <c r="BP5032">
        <f>IF(5019&lt;$U$9,MOD(5019,$U$8)+1,1)</f>
        <v/>
      </c>
      <c r="BQ5032">
        <f>IF(5019&lt;$U$9,SUMPRODUCT(($D$10:$L$10&lt;&gt;"")*(($D$9:$L$9+INT(($S$12:$AA$12+INDEX($AJ$13:$AR$162,BN5032,0)+INDEX($AT$13:$BB$162,BO5032,0)+INDEX($BD$13:$BL$162,BP5032,0))/100))&gt;=$D$10:$L$10)),0)</f>
        <v/>
      </c>
      <c r="BR5032">
        <f>IF(5019&lt;$U$9,SUMPRODUCT(($D$10:$L$10&lt;&gt;"")*(($D$10:$L$10-($D$9:$L$9+INT(($S$12:$AA$12+INDEX($AJ$13:$AR$162,BN5032,0)+INDEX($AT$13:$BB$162,BO5032,0)+INDEX($BD$13:$BL$162,BP5032,0))/100)))&gt;0)*($D$10:$L$10-($D$9:$L$9+INT(($S$12:$AA$12+INDEX($AJ$13:$AR$162,BN5032,0)+INDEX($AT$13:$BB$162,BO5032,0)+INDEX($BD$13:$BL$162,BP5032,0))/100)))),0)</f>
        <v/>
      </c>
      <c r="BS5032">
        <f>IF(5019&lt;$U$9,SUMPRODUCT(($D$9:$L$9+INT(($S$12:$AA$12+INDEX($AJ$13:$AR$162,BN5032,0)+INDEX($AT$13:$BB$162,BO5032,0)+INDEX($BD$13:$BL$162,BP5032,0))/100))),0)</f>
        <v/>
      </c>
      <c r="BT5032">
        <f>IF(AND(5019&lt;$U$9,$W$5),BQ5032*1000000-MIN(BR5032,999)*1000+BS5032-5019/100000,-1000000000-5019)</f>
        <v/>
      </c>
    </row>
    <row r="5033">
      <c r="BN5033">
        <f>IF(5020&lt;$U$9,INT(5020/($U$7*$U$8))+1,1)</f>
        <v/>
      </c>
      <c r="BO5033">
        <f>IF(5020&lt;$U$9,MOD(INT(5020/$U$8),$U$7)+1,1)</f>
        <v/>
      </c>
      <c r="BP5033">
        <f>IF(5020&lt;$U$9,MOD(5020,$U$8)+1,1)</f>
        <v/>
      </c>
      <c r="BQ5033">
        <f>IF(5020&lt;$U$9,SUMPRODUCT(($D$10:$L$10&lt;&gt;"")*(($D$9:$L$9+INT(($S$12:$AA$12+INDEX($AJ$13:$AR$162,BN5033,0)+INDEX($AT$13:$BB$162,BO5033,0)+INDEX($BD$13:$BL$162,BP5033,0))/100))&gt;=$D$10:$L$10)),0)</f>
        <v/>
      </c>
      <c r="BR5033">
        <f>IF(5020&lt;$U$9,SUMPRODUCT(($D$10:$L$10&lt;&gt;"")*(($D$10:$L$10-($D$9:$L$9+INT(($S$12:$AA$12+INDEX($AJ$13:$AR$162,BN5033,0)+INDEX($AT$13:$BB$162,BO5033,0)+INDEX($BD$13:$BL$162,BP5033,0))/100)))&gt;0)*($D$10:$L$10-($D$9:$L$9+INT(($S$12:$AA$12+INDEX($AJ$13:$AR$162,BN5033,0)+INDEX($AT$13:$BB$162,BO5033,0)+INDEX($BD$13:$BL$162,BP5033,0))/100)))),0)</f>
        <v/>
      </c>
      <c r="BS5033">
        <f>IF(5020&lt;$U$9,SUMPRODUCT(($D$9:$L$9+INT(($S$12:$AA$12+INDEX($AJ$13:$AR$162,BN5033,0)+INDEX($AT$13:$BB$162,BO5033,0)+INDEX($BD$13:$BL$162,BP5033,0))/100))),0)</f>
        <v/>
      </c>
      <c r="BT5033">
        <f>IF(AND(5020&lt;$U$9,$W$5),BQ5033*1000000-MIN(BR5033,999)*1000+BS5033-5020/100000,-1000000000-5020)</f>
        <v/>
      </c>
    </row>
    <row r="5034">
      <c r="BN5034">
        <f>IF(5021&lt;$U$9,INT(5021/($U$7*$U$8))+1,1)</f>
        <v/>
      </c>
      <c r="BO5034">
        <f>IF(5021&lt;$U$9,MOD(INT(5021/$U$8),$U$7)+1,1)</f>
        <v/>
      </c>
      <c r="BP5034">
        <f>IF(5021&lt;$U$9,MOD(5021,$U$8)+1,1)</f>
        <v/>
      </c>
      <c r="BQ5034">
        <f>IF(5021&lt;$U$9,SUMPRODUCT(($D$10:$L$10&lt;&gt;"")*(($D$9:$L$9+INT(($S$12:$AA$12+INDEX($AJ$13:$AR$162,BN5034,0)+INDEX($AT$13:$BB$162,BO5034,0)+INDEX($BD$13:$BL$162,BP5034,0))/100))&gt;=$D$10:$L$10)),0)</f>
        <v/>
      </c>
      <c r="BR5034">
        <f>IF(5021&lt;$U$9,SUMPRODUCT(($D$10:$L$10&lt;&gt;"")*(($D$10:$L$10-($D$9:$L$9+INT(($S$12:$AA$12+INDEX($AJ$13:$AR$162,BN5034,0)+INDEX($AT$13:$BB$162,BO5034,0)+INDEX($BD$13:$BL$162,BP5034,0))/100)))&gt;0)*($D$10:$L$10-($D$9:$L$9+INT(($S$12:$AA$12+INDEX($AJ$13:$AR$162,BN5034,0)+INDEX($AT$13:$BB$162,BO5034,0)+INDEX($BD$13:$BL$162,BP5034,0))/100)))),0)</f>
        <v/>
      </c>
      <c r="BS5034">
        <f>IF(5021&lt;$U$9,SUMPRODUCT(($D$9:$L$9+INT(($S$12:$AA$12+INDEX($AJ$13:$AR$162,BN5034,0)+INDEX($AT$13:$BB$162,BO5034,0)+INDEX($BD$13:$BL$162,BP5034,0))/100))),0)</f>
        <v/>
      </c>
      <c r="BT5034">
        <f>IF(AND(5021&lt;$U$9,$W$5),BQ5034*1000000-MIN(BR5034,999)*1000+BS5034-5021/100000,-1000000000-5021)</f>
        <v/>
      </c>
    </row>
    <row r="5035">
      <c r="BN5035">
        <f>IF(5022&lt;$U$9,INT(5022/($U$7*$U$8))+1,1)</f>
        <v/>
      </c>
      <c r="BO5035">
        <f>IF(5022&lt;$U$9,MOD(INT(5022/$U$8),$U$7)+1,1)</f>
        <v/>
      </c>
      <c r="BP5035">
        <f>IF(5022&lt;$U$9,MOD(5022,$U$8)+1,1)</f>
        <v/>
      </c>
      <c r="BQ5035">
        <f>IF(5022&lt;$U$9,SUMPRODUCT(($D$10:$L$10&lt;&gt;"")*(($D$9:$L$9+INT(($S$12:$AA$12+INDEX($AJ$13:$AR$162,BN5035,0)+INDEX($AT$13:$BB$162,BO5035,0)+INDEX($BD$13:$BL$162,BP5035,0))/100))&gt;=$D$10:$L$10)),0)</f>
        <v/>
      </c>
      <c r="BR5035">
        <f>IF(5022&lt;$U$9,SUMPRODUCT(($D$10:$L$10&lt;&gt;"")*(($D$10:$L$10-($D$9:$L$9+INT(($S$12:$AA$12+INDEX($AJ$13:$AR$162,BN5035,0)+INDEX($AT$13:$BB$162,BO5035,0)+INDEX($BD$13:$BL$162,BP5035,0))/100)))&gt;0)*($D$10:$L$10-($D$9:$L$9+INT(($S$12:$AA$12+INDEX($AJ$13:$AR$162,BN5035,0)+INDEX($AT$13:$BB$162,BO5035,0)+INDEX($BD$13:$BL$162,BP5035,0))/100)))),0)</f>
        <v/>
      </c>
      <c r="BS5035">
        <f>IF(5022&lt;$U$9,SUMPRODUCT(($D$9:$L$9+INT(($S$12:$AA$12+INDEX($AJ$13:$AR$162,BN5035,0)+INDEX($AT$13:$BB$162,BO5035,0)+INDEX($BD$13:$BL$162,BP5035,0))/100))),0)</f>
        <v/>
      </c>
      <c r="BT5035">
        <f>IF(AND(5022&lt;$U$9,$W$5),BQ5035*1000000-MIN(BR5035,999)*1000+BS5035-5022/100000,-1000000000-5022)</f>
        <v/>
      </c>
    </row>
    <row r="5036">
      <c r="BN5036">
        <f>IF(5023&lt;$U$9,INT(5023/($U$7*$U$8))+1,1)</f>
        <v/>
      </c>
      <c r="BO5036">
        <f>IF(5023&lt;$U$9,MOD(INT(5023/$U$8),$U$7)+1,1)</f>
        <v/>
      </c>
      <c r="BP5036">
        <f>IF(5023&lt;$U$9,MOD(5023,$U$8)+1,1)</f>
        <v/>
      </c>
      <c r="BQ5036">
        <f>IF(5023&lt;$U$9,SUMPRODUCT(($D$10:$L$10&lt;&gt;"")*(($D$9:$L$9+INT(($S$12:$AA$12+INDEX($AJ$13:$AR$162,BN5036,0)+INDEX($AT$13:$BB$162,BO5036,0)+INDEX($BD$13:$BL$162,BP5036,0))/100))&gt;=$D$10:$L$10)),0)</f>
        <v/>
      </c>
      <c r="BR5036">
        <f>IF(5023&lt;$U$9,SUMPRODUCT(($D$10:$L$10&lt;&gt;"")*(($D$10:$L$10-($D$9:$L$9+INT(($S$12:$AA$12+INDEX($AJ$13:$AR$162,BN5036,0)+INDEX($AT$13:$BB$162,BO5036,0)+INDEX($BD$13:$BL$162,BP5036,0))/100)))&gt;0)*($D$10:$L$10-($D$9:$L$9+INT(($S$12:$AA$12+INDEX($AJ$13:$AR$162,BN5036,0)+INDEX($AT$13:$BB$162,BO5036,0)+INDEX($BD$13:$BL$162,BP5036,0))/100)))),0)</f>
        <v/>
      </c>
      <c r="BS5036">
        <f>IF(5023&lt;$U$9,SUMPRODUCT(($D$9:$L$9+INT(($S$12:$AA$12+INDEX($AJ$13:$AR$162,BN5036,0)+INDEX($AT$13:$BB$162,BO5036,0)+INDEX($BD$13:$BL$162,BP5036,0))/100))),0)</f>
        <v/>
      </c>
      <c r="BT5036">
        <f>IF(AND(5023&lt;$U$9,$W$5),BQ5036*1000000-MIN(BR5036,999)*1000+BS5036-5023/100000,-1000000000-5023)</f>
        <v/>
      </c>
    </row>
    <row r="5037">
      <c r="BN5037">
        <f>IF(5024&lt;$U$9,INT(5024/($U$7*$U$8))+1,1)</f>
        <v/>
      </c>
      <c r="BO5037">
        <f>IF(5024&lt;$U$9,MOD(INT(5024/$U$8),$U$7)+1,1)</f>
        <v/>
      </c>
      <c r="BP5037">
        <f>IF(5024&lt;$U$9,MOD(5024,$U$8)+1,1)</f>
        <v/>
      </c>
      <c r="BQ5037">
        <f>IF(5024&lt;$U$9,SUMPRODUCT(($D$10:$L$10&lt;&gt;"")*(($D$9:$L$9+INT(($S$12:$AA$12+INDEX($AJ$13:$AR$162,BN5037,0)+INDEX($AT$13:$BB$162,BO5037,0)+INDEX($BD$13:$BL$162,BP5037,0))/100))&gt;=$D$10:$L$10)),0)</f>
        <v/>
      </c>
      <c r="BR5037">
        <f>IF(5024&lt;$U$9,SUMPRODUCT(($D$10:$L$10&lt;&gt;"")*(($D$10:$L$10-($D$9:$L$9+INT(($S$12:$AA$12+INDEX($AJ$13:$AR$162,BN5037,0)+INDEX($AT$13:$BB$162,BO5037,0)+INDEX($BD$13:$BL$162,BP5037,0))/100)))&gt;0)*($D$10:$L$10-($D$9:$L$9+INT(($S$12:$AA$12+INDEX($AJ$13:$AR$162,BN5037,0)+INDEX($AT$13:$BB$162,BO5037,0)+INDEX($BD$13:$BL$162,BP5037,0))/100)))),0)</f>
        <v/>
      </c>
      <c r="BS5037">
        <f>IF(5024&lt;$U$9,SUMPRODUCT(($D$9:$L$9+INT(($S$12:$AA$12+INDEX($AJ$13:$AR$162,BN5037,0)+INDEX($AT$13:$BB$162,BO5037,0)+INDEX($BD$13:$BL$162,BP5037,0))/100))),0)</f>
        <v/>
      </c>
      <c r="BT5037">
        <f>IF(AND(5024&lt;$U$9,$W$5),BQ5037*1000000-MIN(BR5037,999)*1000+BS5037-5024/100000,-1000000000-5024)</f>
        <v/>
      </c>
    </row>
    <row r="5038">
      <c r="BN5038">
        <f>IF(5025&lt;$U$9,INT(5025/($U$7*$U$8))+1,1)</f>
        <v/>
      </c>
      <c r="BO5038">
        <f>IF(5025&lt;$U$9,MOD(INT(5025/$U$8),$U$7)+1,1)</f>
        <v/>
      </c>
      <c r="BP5038">
        <f>IF(5025&lt;$U$9,MOD(5025,$U$8)+1,1)</f>
        <v/>
      </c>
      <c r="BQ5038">
        <f>IF(5025&lt;$U$9,SUMPRODUCT(($D$10:$L$10&lt;&gt;"")*(($D$9:$L$9+INT(($S$12:$AA$12+INDEX($AJ$13:$AR$162,BN5038,0)+INDEX($AT$13:$BB$162,BO5038,0)+INDEX($BD$13:$BL$162,BP5038,0))/100))&gt;=$D$10:$L$10)),0)</f>
        <v/>
      </c>
      <c r="BR5038">
        <f>IF(5025&lt;$U$9,SUMPRODUCT(($D$10:$L$10&lt;&gt;"")*(($D$10:$L$10-($D$9:$L$9+INT(($S$12:$AA$12+INDEX($AJ$13:$AR$162,BN5038,0)+INDEX($AT$13:$BB$162,BO5038,0)+INDEX($BD$13:$BL$162,BP5038,0))/100)))&gt;0)*($D$10:$L$10-($D$9:$L$9+INT(($S$12:$AA$12+INDEX($AJ$13:$AR$162,BN5038,0)+INDEX($AT$13:$BB$162,BO5038,0)+INDEX($BD$13:$BL$162,BP5038,0))/100)))),0)</f>
        <v/>
      </c>
      <c r="BS5038">
        <f>IF(5025&lt;$U$9,SUMPRODUCT(($D$9:$L$9+INT(($S$12:$AA$12+INDEX($AJ$13:$AR$162,BN5038,0)+INDEX($AT$13:$BB$162,BO5038,0)+INDEX($BD$13:$BL$162,BP5038,0))/100))),0)</f>
        <v/>
      </c>
      <c r="BT5038">
        <f>IF(AND(5025&lt;$U$9,$W$5),BQ5038*1000000-MIN(BR5038,999)*1000+BS5038-5025/100000,-1000000000-5025)</f>
        <v/>
      </c>
    </row>
    <row r="5039">
      <c r="BN5039">
        <f>IF(5026&lt;$U$9,INT(5026/($U$7*$U$8))+1,1)</f>
        <v/>
      </c>
      <c r="BO5039">
        <f>IF(5026&lt;$U$9,MOD(INT(5026/$U$8),$U$7)+1,1)</f>
        <v/>
      </c>
      <c r="BP5039">
        <f>IF(5026&lt;$U$9,MOD(5026,$U$8)+1,1)</f>
        <v/>
      </c>
      <c r="BQ5039">
        <f>IF(5026&lt;$U$9,SUMPRODUCT(($D$10:$L$10&lt;&gt;"")*(($D$9:$L$9+INT(($S$12:$AA$12+INDEX($AJ$13:$AR$162,BN5039,0)+INDEX($AT$13:$BB$162,BO5039,0)+INDEX($BD$13:$BL$162,BP5039,0))/100))&gt;=$D$10:$L$10)),0)</f>
        <v/>
      </c>
      <c r="BR5039">
        <f>IF(5026&lt;$U$9,SUMPRODUCT(($D$10:$L$10&lt;&gt;"")*(($D$10:$L$10-($D$9:$L$9+INT(($S$12:$AA$12+INDEX($AJ$13:$AR$162,BN5039,0)+INDEX($AT$13:$BB$162,BO5039,0)+INDEX($BD$13:$BL$162,BP5039,0))/100)))&gt;0)*($D$10:$L$10-($D$9:$L$9+INT(($S$12:$AA$12+INDEX($AJ$13:$AR$162,BN5039,0)+INDEX($AT$13:$BB$162,BO5039,0)+INDEX($BD$13:$BL$162,BP5039,0))/100)))),0)</f>
        <v/>
      </c>
      <c r="BS5039">
        <f>IF(5026&lt;$U$9,SUMPRODUCT(($D$9:$L$9+INT(($S$12:$AA$12+INDEX($AJ$13:$AR$162,BN5039,0)+INDEX($AT$13:$BB$162,BO5039,0)+INDEX($BD$13:$BL$162,BP5039,0))/100))),0)</f>
        <v/>
      </c>
      <c r="BT5039">
        <f>IF(AND(5026&lt;$U$9,$W$5),BQ5039*1000000-MIN(BR5039,999)*1000+BS5039-5026/100000,-1000000000-5026)</f>
        <v/>
      </c>
    </row>
    <row r="5040">
      <c r="BN5040">
        <f>IF(5027&lt;$U$9,INT(5027/($U$7*$U$8))+1,1)</f>
        <v/>
      </c>
      <c r="BO5040">
        <f>IF(5027&lt;$U$9,MOD(INT(5027/$U$8),$U$7)+1,1)</f>
        <v/>
      </c>
      <c r="BP5040">
        <f>IF(5027&lt;$U$9,MOD(5027,$U$8)+1,1)</f>
        <v/>
      </c>
      <c r="BQ5040">
        <f>IF(5027&lt;$U$9,SUMPRODUCT(($D$10:$L$10&lt;&gt;"")*(($D$9:$L$9+INT(($S$12:$AA$12+INDEX($AJ$13:$AR$162,BN5040,0)+INDEX($AT$13:$BB$162,BO5040,0)+INDEX($BD$13:$BL$162,BP5040,0))/100))&gt;=$D$10:$L$10)),0)</f>
        <v/>
      </c>
      <c r="BR5040">
        <f>IF(5027&lt;$U$9,SUMPRODUCT(($D$10:$L$10&lt;&gt;"")*(($D$10:$L$10-($D$9:$L$9+INT(($S$12:$AA$12+INDEX($AJ$13:$AR$162,BN5040,0)+INDEX($AT$13:$BB$162,BO5040,0)+INDEX($BD$13:$BL$162,BP5040,0))/100)))&gt;0)*($D$10:$L$10-($D$9:$L$9+INT(($S$12:$AA$12+INDEX($AJ$13:$AR$162,BN5040,0)+INDEX($AT$13:$BB$162,BO5040,0)+INDEX($BD$13:$BL$162,BP5040,0))/100)))),0)</f>
        <v/>
      </c>
      <c r="BS5040">
        <f>IF(5027&lt;$U$9,SUMPRODUCT(($D$9:$L$9+INT(($S$12:$AA$12+INDEX($AJ$13:$AR$162,BN5040,0)+INDEX($AT$13:$BB$162,BO5040,0)+INDEX($BD$13:$BL$162,BP5040,0))/100))),0)</f>
        <v/>
      </c>
      <c r="BT5040">
        <f>IF(AND(5027&lt;$U$9,$W$5),BQ5040*1000000-MIN(BR5040,999)*1000+BS5040-5027/100000,-1000000000-5027)</f>
        <v/>
      </c>
    </row>
    <row r="5041">
      <c r="BN5041">
        <f>IF(5028&lt;$U$9,INT(5028/($U$7*$U$8))+1,1)</f>
        <v/>
      </c>
      <c r="BO5041">
        <f>IF(5028&lt;$U$9,MOD(INT(5028/$U$8),$U$7)+1,1)</f>
        <v/>
      </c>
      <c r="BP5041">
        <f>IF(5028&lt;$U$9,MOD(5028,$U$8)+1,1)</f>
        <v/>
      </c>
      <c r="BQ5041">
        <f>IF(5028&lt;$U$9,SUMPRODUCT(($D$10:$L$10&lt;&gt;"")*(($D$9:$L$9+INT(($S$12:$AA$12+INDEX($AJ$13:$AR$162,BN5041,0)+INDEX($AT$13:$BB$162,BO5041,0)+INDEX($BD$13:$BL$162,BP5041,0))/100))&gt;=$D$10:$L$10)),0)</f>
        <v/>
      </c>
      <c r="BR5041">
        <f>IF(5028&lt;$U$9,SUMPRODUCT(($D$10:$L$10&lt;&gt;"")*(($D$10:$L$10-($D$9:$L$9+INT(($S$12:$AA$12+INDEX($AJ$13:$AR$162,BN5041,0)+INDEX($AT$13:$BB$162,BO5041,0)+INDEX($BD$13:$BL$162,BP5041,0))/100)))&gt;0)*($D$10:$L$10-($D$9:$L$9+INT(($S$12:$AA$12+INDEX($AJ$13:$AR$162,BN5041,0)+INDEX($AT$13:$BB$162,BO5041,0)+INDEX($BD$13:$BL$162,BP5041,0))/100)))),0)</f>
        <v/>
      </c>
      <c r="BS5041">
        <f>IF(5028&lt;$U$9,SUMPRODUCT(($D$9:$L$9+INT(($S$12:$AA$12+INDEX($AJ$13:$AR$162,BN5041,0)+INDEX($AT$13:$BB$162,BO5041,0)+INDEX($BD$13:$BL$162,BP5041,0))/100))),0)</f>
        <v/>
      </c>
      <c r="BT5041">
        <f>IF(AND(5028&lt;$U$9,$W$5),BQ5041*1000000-MIN(BR5041,999)*1000+BS5041-5028/100000,-1000000000-5028)</f>
        <v/>
      </c>
    </row>
    <row r="5042">
      <c r="BN5042">
        <f>IF(5029&lt;$U$9,INT(5029/($U$7*$U$8))+1,1)</f>
        <v/>
      </c>
      <c r="BO5042">
        <f>IF(5029&lt;$U$9,MOD(INT(5029/$U$8),$U$7)+1,1)</f>
        <v/>
      </c>
      <c r="BP5042">
        <f>IF(5029&lt;$U$9,MOD(5029,$U$8)+1,1)</f>
        <v/>
      </c>
      <c r="BQ5042">
        <f>IF(5029&lt;$U$9,SUMPRODUCT(($D$10:$L$10&lt;&gt;"")*(($D$9:$L$9+INT(($S$12:$AA$12+INDEX($AJ$13:$AR$162,BN5042,0)+INDEX($AT$13:$BB$162,BO5042,0)+INDEX($BD$13:$BL$162,BP5042,0))/100))&gt;=$D$10:$L$10)),0)</f>
        <v/>
      </c>
      <c r="BR5042">
        <f>IF(5029&lt;$U$9,SUMPRODUCT(($D$10:$L$10&lt;&gt;"")*(($D$10:$L$10-($D$9:$L$9+INT(($S$12:$AA$12+INDEX($AJ$13:$AR$162,BN5042,0)+INDEX($AT$13:$BB$162,BO5042,0)+INDEX($BD$13:$BL$162,BP5042,0))/100)))&gt;0)*($D$10:$L$10-($D$9:$L$9+INT(($S$12:$AA$12+INDEX($AJ$13:$AR$162,BN5042,0)+INDEX($AT$13:$BB$162,BO5042,0)+INDEX($BD$13:$BL$162,BP5042,0))/100)))),0)</f>
        <v/>
      </c>
      <c r="BS5042">
        <f>IF(5029&lt;$U$9,SUMPRODUCT(($D$9:$L$9+INT(($S$12:$AA$12+INDEX($AJ$13:$AR$162,BN5042,0)+INDEX($AT$13:$BB$162,BO5042,0)+INDEX($BD$13:$BL$162,BP5042,0))/100))),0)</f>
        <v/>
      </c>
      <c r="BT5042">
        <f>IF(AND(5029&lt;$U$9,$W$5),BQ5042*1000000-MIN(BR5042,999)*1000+BS5042-5029/100000,-1000000000-5029)</f>
        <v/>
      </c>
    </row>
    <row r="5043">
      <c r="BN5043">
        <f>IF(5030&lt;$U$9,INT(5030/($U$7*$U$8))+1,1)</f>
        <v/>
      </c>
      <c r="BO5043">
        <f>IF(5030&lt;$U$9,MOD(INT(5030/$U$8),$U$7)+1,1)</f>
        <v/>
      </c>
      <c r="BP5043">
        <f>IF(5030&lt;$U$9,MOD(5030,$U$8)+1,1)</f>
        <v/>
      </c>
      <c r="BQ5043">
        <f>IF(5030&lt;$U$9,SUMPRODUCT(($D$10:$L$10&lt;&gt;"")*(($D$9:$L$9+INT(($S$12:$AA$12+INDEX($AJ$13:$AR$162,BN5043,0)+INDEX($AT$13:$BB$162,BO5043,0)+INDEX($BD$13:$BL$162,BP5043,0))/100))&gt;=$D$10:$L$10)),0)</f>
        <v/>
      </c>
      <c r="BR5043">
        <f>IF(5030&lt;$U$9,SUMPRODUCT(($D$10:$L$10&lt;&gt;"")*(($D$10:$L$10-($D$9:$L$9+INT(($S$12:$AA$12+INDEX($AJ$13:$AR$162,BN5043,0)+INDEX($AT$13:$BB$162,BO5043,0)+INDEX($BD$13:$BL$162,BP5043,0))/100)))&gt;0)*($D$10:$L$10-($D$9:$L$9+INT(($S$12:$AA$12+INDEX($AJ$13:$AR$162,BN5043,0)+INDEX($AT$13:$BB$162,BO5043,0)+INDEX($BD$13:$BL$162,BP5043,0))/100)))),0)</f>
        <v/>
      </c>
      <c r="BS5043">
        <f>IF(5030&lt;$U$9,SUMPRODUCT(($D$9:$L$9+INT(($S$12:$AA$12+INDEX($AJ$13:$AR$162,BN5043,0)+INDEX($AT$13:$BB$162,BO5043,0)+INDEX($BD$13:$BL$162,BP5043,0))/100))),0)</f>
        <v/>
      </c>
      <c r="BT5043">
        <f>IF(AND(5030&lt;$U$9,$W$5),BQ5043*1000000-MIN(BR5043,999)*1000+BS5043-5030/100000,-1000000000-5030)</f>
        <v/>
      </c>
    </row>
    <row r="5044">
      <c r="BN5044">
        <f>IF(5031&lt;$U$9,INT(5031/($U$7*$U$8))+1,1)</f>
        <v/>
      </c>
      <c r="BO5044">
        <f>IF(5031&lt;$U$9,MOD(INT(5031/$U$8),$U$7)+1,1)</f>
        <v/>
      </c>
      <c r="BP5044">
        <f>IF(5031&lt;$U$9,MOD(5031,$U$8)+1,1)</f>
        <v/>
      </c>
      <c r="BQ5044">
        <f>IF(5031&lt;$U$9,SUMPRODUCT(($D$10:$L$10&lt;&gt;"")*(($D$9:$L$9+INT(($S$12:$AA$12+INDEX($AJ$13:$AR$162,BN5044,0)+INDEX($AT$13:$BB$162,BO5044,0)+INDEX($BD$13:$BL$162,BP5044,0))/100))&gt;=$D$10:$L$10)),0)</f>
        <v/>
      </c>
      <c r="BR5044">
        <f>IF(5031&lt;$U$9,SUMPRODUCT(($D$10:$L$10&lt;&gt;"")*(($D$10:$L$10-($D$9:$L$9+INT(($S$12:$AA$12+INDEX($AJ$13:$AR$162,BN5044,0)+INDEX($AT$13:$BB$162,BO5044,0)+INDEX($BD$13:$BL$162,BP5044,0))/100)))&gt;0)*($D$10:$L$10-($D$9:$L$9+INT(($S$12:$AA$12+INDEX($AJ$13:$AR$162,BN5044,0)+INDEX($AT$13:$BB$162,BO5044,0)+INDEX($BD$13:$BL$162,BP5044,0))/100)))),0)</f>
        <v/>
      </c>
      <c r="BS5044">
        <f>IF(5031&lt;$U$9,SUMPRODUCT(($D$9:$L$9+INT(($S$12:$AA$12+INDEX($AJ$13:$AR$162,BN5044,0)+INDEX($AT$13:$BB$162,BO5044,0)+INDEX($BD$13:$BL$162,BP5044,0))/100))),0)</f>
        <v/>
      </c>
      <c r="BT5044">
        <f>IF(AND(5031&lt;$U$9,$W$5),BQ5044*1000000-MIN(BR5044,999)*1000+BS5044-5031/100000,-1000000000-5031)</f>
        <v/>
      </c>
    </row>
    <row r="5045">
      <c r="BN5045">
        <f>IF(5032&lt;$U$9,INT(5032/($U$7*$U$8))+1,1)</f>
        <v/>
      </c>
      <c r="BO5045">
        <f>IF(5032&lt;$U$9,MOD(INT(5032/$U$8),$U$7)+1,1)</f>
        <v/>
      </c>
      <c r="BP5045">
        <f>IF(5032&lt;$U$9,MOD(5032,$U$8)+1,1)</f>
        <v/>
      </c>
      <c r="BQ5045">
        <f>IF(5032&lt;$U$9,SUMPRODUCT(($D$10:$L$10&lt;&gt;"")*(($D$9:$L$9+INT(($S$12:$AA$12+INDEX($AJ$13:$AR$162,BN5045,0)+INDEX($AT$13:$BB$162,BO5045,0)+INDEX($BD$13:$BL$162,BP5045,0))/100))&gt;=$D$10:$L$10)),0)</f>
        <v/>
      </c>
      <c r="BR5045">
        <f>IF(5032&lt;$U$9,SUMPRODUCT(($D$10:$L$10&lt;&gt;"")*(($D$10:$L$10-($D$9:$L$9+INT(($S$12:$AA$12+INDEX($AJ$13:$AR$162,BN5045,0)+INDEX($AT$13:$BB$162,BO5045,0)+INDEX($BD$13:$BL$162,BP5045,0))/100)))&gt;0)*($D$10:$L$10-($D$9:$L$9+INT(($S$12:$AA$12+INDEX($AJ$13:$AR$162,BN5045,0)+INDEX($AT$13:$BB$162,BO5045,0)+INDEX($BD$13:$BL$162,BP5045,0))/100)))),0)</f>
        <v/>
      </c>
      <c r="BS5045">
        <f>IF(5032&lt;$U$9,SUMPRODUCT(($D$9:$L$9+INT(($S$12:$AA$12+INDEX($AJ$13:$AR$162,BN5045,0)+INDEX($AT$13:$BB$162,BO5045,0)+INDEX($BD$13:$BL$162,BP5045,0))/100))),0)</f>
        <v/>
      </c>
      <c r="BT5045">
        <f>IF(AND(5032&lt;$U$9,$W$5),BQ5045*1000000-MIN(BR5045,999)*1000+BS5045-5032/100000,-1000000000-5032)</f>
        <v/>
      </c>
    </row>
    <row r="5046">
      <c r="BN5046">
        <f>IF(5033&lt;$U$9,INT(5033/($U$7*$U$8))+1,1)</f>
        <v/>
      </c>
      <c r="BO5046">
        <f>IF(5033&lt;$U$9,MOD(INT(5033/$U$8),$U$7)+1,1)</f>
        <v/>
      </c>
      <c r="BP5046">
        <f>IF(5033&lt;$U$9,MOD(5033,$U$8)+1,1)</f>
        <v/>
      </c>
      <c r="BQ5046">
        <f>IF(5033&lt;$U$9,SUMPRODUCT(($D$10:$L$10&lt;&gt;"")*(($D$9:$L$9+INT(($S$12:$AA$12+INDEX($AJ$13:$AR$162,BN5046,0)+INDEX($AT$13:$BB$162,BO5046,0)+INDEX($BD$13:$BL$162,BP5046,0))/100))&gt;=$D$10:$L$10)),0)</f>
        <v/>
      </c>
      <c r="BR5046">
        <f>IF(5033&lt;$U$9,SUMPRODUCT(($D$10:$L$10&lt;&gt;"")*(($D$10:$L$10-($D$9:$L$9+INT(($S$12:$AA$12+INDEX($AJ$13:$AR$162,BN5046,0)+INDEX($AT$13:$BB$162,BO5046,0)+INDEX($BD$13:$BL$162,BP5046,0))/100)))&gt;0)*($D$10:$L$10-($D$9:$L$9+INT(($S$12:$AA$12+INDEX($AJ$13:$AR$162,BN5046,0)+INDEX($AT$13:$BB$162,BO5046,0)+INDEX($BD$13:$BL$162,BP5046,0))/100)))),0)</f>
        <v/>
      </c>
      <c r="BS5046">
        <f>IF(5033&lt;$U$9,SUMPRODUCT(($D$9:$L$9+INT(($S$12:$AA$12+INDEX($AJ$13:$AR$162,BN5046,0)+INDEX($AT$13:$BB$162,BO5046,0)+INDEX($BD$13:$BL$162,BP5046,0))/100))),0)</f>
        <v/>
      </c>
      <c r="BT5046">
        <f>IF(AND(5033&lt;$U$9,$W$5),BQ5046*1000000-MIN(BR5046,999)*1000+BS5046-5033/100000,-1000000000-5033)</f>
        <v/>
      </c>
    </row>
    <row r="5047">
      <c r="BN5047">
        <f>IF(5034&lt;$U$9,INT(5034/($U$7*$U$8))+1,1)</f>
        <v/>
      </c>
      <c r="BO5047">
        <f>IF(5034&lt;$U$9,MOD(INT(5034/$U$8),$U$7)+1,1)</f>
        <v/>
      </c>
      <c r="BP5047">
        <f>IF(5034&lt;$U$9,MOD(5034,$U$8)+1,1)</f>
        <v/>
      </c>
      <c r="BQ5047">
        <f>IF(5034&lt;$U$9,SUMPRODUCT(($D$10:$L$10&lt;&gt;"")*(($D$9:$L$9+INT(($S$12:$AA$12+INDEX($AJ$13:$AR$162,BN5047,0)+INDEX($AT$13:$BB$162,BO5047,0)+INDEX($BD$13:$BL$162,BP5047,0))/100))&gt;=$D$10:$L$10)),0)</f>
        <v/>
      </c>
      <c r="BR5047">
        <f>IF(5034&lt;$U$9,SUMPRODUCT(($D$10:$L$10&lt;&gt;"")*(($D$10:$L$10-($D$9:$L$9+INT(($S$12:$AA$12+INDEX($AJ$13:$AR$162,BN5047,0)+INDEX($AT$13:$BB$162,BO5047,0)+INDEX($BD$13:$BL$162,BP5047,0))/100)))&gt;0)*($D$10:$L$10-($D$9:$L$9+INT(($S$12:$AA$12+INDEX($AJ$13:$AR$162,BN5047,0)+INDEX($AT$13:$BB$162,BO5047,0)+INDEX($BD$13:$BL$162,BP5047,0))/100)))),0)</f>
        <v/>
      </c>
      <c r="BS5047">
        <f>IF(5034&lt;$U$9,SUMPRODUCT(($D$9:$L$9+INT(($S$12:$AA$12+INDEX($AJ$13:$AR$162,BN5047,0)+INDEX($AT$13:$BB$162,BO5047,0)+INDEX($BD$13:$BL$162,BP5047,0))/100))),0)</f>
        <v/>
      </c>
      <c r="BT5047">
        <f>IF(AND(5034&lt;$U$9,$W$5),BQ5047*1000000-MIN(BR5047,999)*1000+BS5047-5034/100000,-1000000000-5034)</f>
        <v/>
      </c>
    </row>
    <row r="5048">
      <c r="BN5048">
        <f>IF(5035&lt;$U$9,INT(5035/($U$7*$U$8))+1,1)</f>
        <v/>
      </c>
      <c r="BO5048">
        <f>IF(5035&lt;$U$9,MOD(INT(5035/$U$8),$U$7)+1,1)</f>
        <v/>
      </c>
      <c r="BP5048">
        <f>IF(5035&lt;$U$9,MOD(5035,$U$8)+1,1)</f>
        <v/>
      </c>
      <c r="BQ5048">
        <f>IF(5035&lt;$U$9,SUMPRODUCT(($D$10:$L$10&lt;&gt;"")*(($D$9:$L$9+INT(($S$12:$AA$12+INDEX($AJ$13:$AR$162,BN5048,0)+INDEX($AT$13:$BB$162,BO5048,0)+INDEX($BD$13:$BL$162,BP5048,0))/100))&gt;=$D$10:$L$10)),0)</f>
        <v/>
      </c>
      <c r="BR5048">
        <f>IF(5035&lt;$U$9,SUMPRODUCT(($D$10:$L$10&lt;&gt;"")*(($D$10:$L$10-($D$9:$L$9+INT(($S$12:$AA$12+INDEX($AJ$13:$AR$162,BN5048,0)+INDEX($AT$13:$BB$162,BO5048,0)+INDEX($BD$13:$BL$162,BP5048,0))/100)))&gt;0)*($D$10:$L$10-($D$9:$L$9+INT(($S$12:$AA$12+INDEX($AJ$13:$AR$162,BN5048,0)+INDEX($AT$13:$BB$162,BO5048,0)+INDEX($BD$13:$BL$162,BP5048,0))/100)))),0)</f>
        <v/>
      </c>
      <c r="BS5048">
        <f>IF(5035&lt;$U$9,SUMPRODUCT(($D$9:$L$9+INT(($S$12:$AA$12+INDEX($AJ$13:$AR$162,BN5048,0)+INDEX($AT$13:$BB$162,BO5048,0)+INDEX($BD$13:$BL$162,BP5048,0))/100))),0)</f>
        <v/>
      </c>
      <c r="BT5048">
        <f>IF(AND(5035&lt;$U$9,$W$5),BQ5048*1000000-MIN(BR5048,999)*1000+BS5048-5035/100000,-1000000000-5035)</f>
        <v/>
      </c>
    </row>
    <row r="5049">
      <c r="BN5049">
        <f>IF(5036&lt;$U$9,INT(5036/($U$7*$U$8))+1,1)</f>
        <v/>
      </c>
      <c r="BO5049">
        <f>IF(5036&lt;$U$9,MOD(INT(5036/$U$8),$U$7)+1,1)</f>
        <v/>
      </c>
      <c r="BP5049">
        <f>IF(5036&lt;$U$9,MOD(5036,$U$8)+1,1)</f>
        <v/>
      </c>
      <c r="BQ5049">
        <f>IF(5036&lt;$U$9,SUMPRODUCT(($D$10:$L$10&lt;&gt;"")*(($D$9:$L$9+INT(($S$12:$AA$12+INDEX($AJ$13:$AR$162,BN5049,0)+INDEX($AT$13:$BB$162,BO5049,0)+INDEX($BD$13:$BL$162,BP5049,0))/100))&gt;=$D$10:$L$10)),0)</f>
        <v/>
      </c>
      <c r="BR5049">
        <f>IF(5036&lt;$U$9,SUMPRODUCT(($D$10:$L$10&lt;&gt;"")*(($D$10:$L$10-($D$9:$L$9+INT(($S$12:$AA$12+INDEX($AJ$13:$AR$162,BN5049,0)+INDEX($AT$13:$BB$162,BO5049,0)+INDEX($BD$13:$BL$162,BP5049,0))/100)))&gt;0)*($D$10:$L$10-($D$9:$L$9+INT(($S$12:$AA$12+INDEX($AJ$13:$AR$162,BN5049,0)+INDEX($AT$13:$BB$162,BO5049,0)+INDEX($BD$13:$BL$162,BP5049,0))/100)))),0)</f>
        <v/>
      </c>
      <c r="BS5049">
        <f>IF(5036&lt;$U$9,SUMPRODUCT(($D$9:$L$9+INT(($S$12:$AA$12+INDEX($AJ$13:$AR$162,BN5049,0)+INDEX($AT$13:$BB$162,BO5049,0)+INDEX($BD$13:$BL$162,BP5049,0))/100))),0)</f>
        <v/>
      </c>
      <c r="BT5049">
        <f>IF(AND(5036&lt;$U$9,$W$5),BQ5049*1000000-MIN(BR5049,999)*1000+BS5049-5036/100000,-1000000000-5036)</f>
        <v/>
      </c>
    </row>
    <row r="5050">
      <c r="BN5050">
        <f>IF(5037&lt;$U$9,INT(5037/($U$7*$U$8))+1,1)</f>
        <v/>
      </c>
      <c r="BO5050">
        <f>IF(5037&lt;$U$9,MOD(INT(5037/$U$8),$U$7)+1,1)</f>
        <v/>
      </c>
      <c r="BP5050">
        <f>IF(5037&lt;$U$9,MOD(5037,$U$8)+1,1)</f>
        <v/>
      </c>
      <c r="BQ5050">
        <f>IF(5037&lt;$U$9,SUMPRODUCT(($D$10:$L$10&lt;&gt;"")*(($D$9:$L$9+INT(($S$12:$AA$12+INDEX($AJ$13:$AR$162,BN5050,0)+INDEX($AT$13:$BB$162,BO5050,0)+INDEX($BD$13:$BL$162,BP5050,0))/100))&gt;=$D$10:$L$10)),0)</f>
        <v/>
      </c>
      <c r="BR5050">
        <f>IF(5037&lt;$U$9,SUMPRODUCT(($D$10:$L$10&lt;&gt;"")*(($D$10:$L$10-($D$9:$L$9+INT(($S$12:$AA$12+INDEX($AJ$13:$AR$162,BN5050,0)+INDEX($AT$13:$BB$162,BO5050,0)+INDEX($BD$13:$BL$162,BP5050,0))/100)))&gt;0)*($D$10:$L$10-($D$9:$L$9+INT(($S$12:$AA$12+INDEX($AJ$13:$AR$162,BN5050,0)+INDEX($AT$13:$BB$162,BO5050,0)+INDEX($BD$13:$BL$162,BP5050,0))/100)))),0)</f>
        <v/>
      </c>
      <c r="BS5050">
        <f>IF(5037&lt;$U$9,SUMPRODUCT(($D$9:$L$9+INT(($S$12:$AA$12+INDEX($AJ$13:$AR$162,BN5050,0)+INDEX($AT$13:$BB$162,BO5050,0)+INDEX($BD$13:$BL$162,BP5050,0))/100))),0)</f>
        <v/>
      </c>
      <c r="BT5050">
        <f>IF(AND(5037&lt;$U$9,$W$5),BQ5050*1000000-MIN(BR5050,999)*1000+BS5050-5037/100000,-1000000000-5037)</f>
        <v/>
      </c>
    </row>
    <row r="5051">
      <c r="BN5051">
        <f>IF(5038&lt;$U$9,INT(5038/($U$7*$U$8))+1,1)</f>
        <v/>
      </c>
      <c r="BO5051">
        <f>IF(5038&lt;$U$9,MOD(INT(5038/$U$8),$U$7)+1,1)</f>
        <v/>
      </c>
      <c r="BP5051">
        <f>IF(5038&lt;$U$9,MOD(5038,$U$8)+1,1)</f>
        <v/>
      </c>
      <c r="BQ5051">
        <f>IF(5038&lt;$U$9,SUMPRODUCT(($D$10:$L$10&lt;&gt;"")*(($D$9:$L$9+INT(($S$12:$AA$12+INDEX($AJ$13:$AR$162,BN5051,0)+INDEX($AT$13:$BB$162,BO5051,0)+INDEX($BD$13:$BL$162,BP5051,0))/100))&gt;=$D$10:$L$10)),0)</f>
        <v/>
      </c>
      <c r="BR5051">
        <f>IF(5038&lt;$U$9,SUMPRODUCT(($D$10:$L$10&lt;&gt;"")*(($D$10:$L$10-($D$9:$L$9+INT(($S$12:$AA$12+INDEX($AJ$13:$AR$162,BN5051,0)+INDEX($AT$13:$BB$162,BO5051,0)+INDEX($BD$13:$BL$162,BP5051,0))/100)))&gt;0)*($D$10:$L$10-($D$9:$L$9+INT(($S$12:$AA$12+INDEX($AJ$13:$AR$162,BN5051,0)+INDEX($AT$13:$BB$162,BO5051,0)+INDEX($BD$13:$BL$162,BP5051,0))/100)))),0)</f>
        <v/>
      </c>
      <c r="BS5051">
        <f>IF(5038&lt;$U$9,SUMPRODUCT(($D$9:$L$9+INT(($S$12:$AA$12+INDEX($AJ$13:$AR$162,BN5051,0)+INDEX($AT$13:$BB$162,BO5051,0)+INDEX($BD$13:$BL$162,BP5051,0))/100))),0)</f>
        <v/>
      </c>
      <c r="BT5051">
        <f>IF(AND(5038&lt;$U$9,$W$5),BQ5051*1000000-MIN(BR5051,999)*1000+BS5051-5038/100000,-1000000000-5038)</f>
        <v/>
      </c>
    </row>
    <row r="5052">
      <c r="BN5052">
        <f>IF(5039&lt;$U$9,INT(5039/($U$7*$U$8))+1,1)</f>
        <v/>
      </c>
      <c r="BO5052">
        <f>IF(5039&lt;$U$9,MOD(INT(5039/$U$8),$U$7)+1,1)</f>
        <v/>
      </c>
      <c r="BP5052">
        <f>IF(5039&lt;$U$9,MOD(5039,$U$8)+1,1)</f>
        <v/>
      </c>
      <c r="BQ5052">
        <f>IF(5039&lt;$U$9,SUMPRODUCT(($D$10:$L$10&lt;&gt;"")*(($D$9:$L$9+INT(($S$12:$AA$12+INDEX($AJ$13:$AR$162,BN5052,0)+INDEX($AT$13:$BB$162,BO5052,0)+INDEX($BD$13:$BL$162,BP5052,0))/100))&gt;=$D$10:$L$10)),0)</f>
        <v/>
      </c>
      <c r="BR5052">
        <f>IF(5039&lt;$U$9,SUMPRODUCT(($D$10:$L$10&lt;&gt;"")*(($D$10:$L$10-($D$9:$L$9+INT(($S$12:$AA$12+INDEX($AJ$13:$AR$162,BN5052,0)+INDEX($AT$13:$BB$162,BO5052,0)+INDEX($BD$13:$BL$162,BP5052,0))/100)))&gt;0)*($D$10:$L$10-($D$9:$L$9+INT(($S$12:$AA$12+INDEX($AJ$13:$AR$162,BN5052,0)+INDEX($AT$13:$BB$162,BO5052,0)+INDEX($BD$13:$BL$162,BP5052,0))/100)))),0)</f>
        <v/>
      </c>
      <c r="BS5052">
        <f>IF(5039&lt;$U$9,SUMPRODUCT(($D$9:$L$9+INT(($S$12:$AA$12+INDEX($AJ$13:$AR$162,BN5052,0)+INDEX($AT$13:$BB$162,BO5052,0)+INDEX($BD$13:$BL$162,BP5052,0))/100))),0)</f>
        <v/>
      </c>
      <c r="BT5052">
        <f>IF(AND(5039&lt;$U$9,$W$5),BQ5052*1000000-MIN(BR5052,999)*1000+BS5052-5039/100000,-1000000000-5039)</f>
        <v/>
      </c>
    </row>
    <row r="5053">
      <c r="BN5053">
        <f>IF(5040&lt;$U$9,INT(5040/($U$7*$U$8))+1,1)</f>
        <v/>
      </c>
      <c r="BO5053">
        <f>IF(5040&lt;$U$9,MOD(INT(5040/$U$8),$U$7)+1,1)</f>
        <v/>
      </c>
      <c r="BP5053">
        <f>IF(5040&lt;$U$9,MOD(5040,$U$8)+1,1)</f>
        <v/>
      </c>
      <c r="BQ5053">
        <f>IF(5040&lt;$U$9,SUMPRODUCT(($D$10:$L$10&lt;&gt;"")*(($D$9:$L$9+INT(($S$12:$AA$12+INDEX($AJ$13:$AR$162,BN5053,0)+INDEX($AT$13:$BB$162,BO5053,0)+INDEX($BD$13:$BL$162,BP5053,0))/100))&gt;=$D$10:$L$10)),0)</f>
        <v/>
      </c>
      <c r="BR5053">
        <f>IF(5040&lt;$U$9,SUMPRODUCT(($D$10:$L$10&lt;&gt;"")*(($D$10:$L$10-($D$9:$L$9+INT(($S$12:$AA$12+INDEX($AJ$13:$AR$162,BN5053,0)+INDEX($AT$13:$BB$162,BO5053,0)+INDEX($BD$13:$BL$162,BP5053,0))/100)))&gt;0)*($D$10:$L$10-($D$9:$L$9+INT(($S$12:$AA$12+INDEX($AJ$13:$AR$162,BN5053,0)+INDEX($AT$13:$BB$162,BO5053,0)+INDEX($BD$13:$BL$162,BP5053,0))/100)))),0)</f>
        <v/>
      </c>
      <c r="BS5053">
        <f>IF(5040&lt;$U$9,SUMPRODUCT(($D$9:$L$9+INT(($S$12:$AA$12+INDEX($AJ$13:$AR$162,BN5053,0)+INDEX($AT$13:$BB$162,BO5053,0)+INDEX($BD$13:$BL$162,BP5053,0))/100))),0)</f>
        <v/>
      </c>
      <c r="BT5053">
        <f>IF(AND(5040&lt;$U$9,$W$5),BQ5053*1000000-MIN(BR5053,999)*1000+BS5053-5040/100000,-1000000000-5040)</f>
        <v/>
      </c>
    </row>
    <row r="5054">
      <c r="BN5054">
        <f>IF(5041&lt;$U$9,INT(5041/($U$7*$U$8))+1,1)</f>
        <v/>
      </c>
      <c r="BO5054">
        <f>IF(5041&lt;$U$9,MOD(INT(5041/$U$8),$U$7)+1,1)</f>
        <v/>
      </c>
      <c r="BP5054">
        <f>IF(5041&lt;$U$9,MOD(5041,$U$8)+1,1)</f>
        <v/>
      </c>
      <c r="BQ5054">
        <f>IF(5041&lt;$U$9,SUMPRODUCT(($D$10:$L$10&lt;&gt;"")*(($D$9:$L$9+INT(($S$12:$AA$12+INDEX($AJ$13:$AR$162,BN5054,0)+INDEX($AT$13:$BB$162,BO5054,0)+INDEX($BD$13:$BL$162,BP5054,0))/100))&gt;=$D$10:$L$10)),0)</f>
        <v/>
      </c>
      <c r="BR5054">
        <f>IF(5041&lt;$U$9,SUMPRODUCT(($D$10:$L$10&lt;&gt;"")*(($D$10:$L$10-($D$9:$L$9+INT(($S$12:$AA$12+INDEX($AJ$13:$AR$162,BN5054,0)+INDEX($AT$13:$BB$162,BO5054,0)+INDEX($BD$13:$BL$162,BP5054,0))/100)))&gt;0)*($D$10:$L$10-($D$9:$L$9+INT(($S$12:$AA$12+INDEX($AJ$13:$AR$162,BN5054,0)+INDEX($AT$13:$BB$162,BO5054,0)+INDEX($BD$13:$BL$162,BP5054,0))/100)))),0)</f>
        <v/>
      </c>
      <c r="BS5054">
        <f>IF(5041&lt;$U$9,SUMPRODUCT(($D$9:$L$9+INT(($S$12:$AA$12+INDEX($AJ$13:$AR$162,BN5054,0)+INDEX($AT$13:$BB$162,BO5054,0)+INDEX($BD$13:$BL$162,BP5054,0))/100))),0)</f>
        <v/>
      </c>
      <c r="BT5054">
        <f>IF(AND(5041&lt;$U$9,$W$5),BQ5054*1000000-MIN(BR5054,999)*1000+BS5054-5041/100000,-1000000000-5041)</f>
        <v/>
      </c>
    </row>
    <row r="5055">
      <c r="BN5055">
        <f>IF(5042&lt;$U$9,INT(5042/($U$7*$U$8))+1,1)</f>
        <v/>
      </c>
      <c r="BO5055">
        <f>IF(5042&lt;$U$9,MOD(INT(5042/$U$8),$U$7)+1,1)</f>
        <v/>
      </c>
      <c r="BP5055">
        <f>IF(5042&lt;$U$9,MOD(5042,$U$8)+1,1)</f>
        <v/>
      </c>
      <c r="BQ5055">
        <f>IF(5042&lt;$U$9,SUMPRODUCT(($D$10:$L$10&lt;&gt;"")*(($D$9:$L$9+INT(($S$12:$AA$12+INDEX($AJ$13:$AR$162,BN5055,0)+INDEX($AT$13:$BB$162,BO5055,0)+INDEX($BD$13:$BL$162,BP5055,0))/100))&gt;=$D$10:$L$10)),0)</f>
        <v/>
      </c>
      <c r="BR5055">
        <f>IF(5042&lt;$U$9,SUMPRODUCT(($D$10:$L$10&lt;&gt;"")*(($D$10:$L$10-($D$9:$L$9+INT(($S$12:$AA$12+INDEX($AJ$13:$AR$162,BN5055,0)+INDEX($AT$13:$BB$162,BO5055,0)+INDEX($BD$13:$BL$162,BP5055,0))/100)))&gt;0)*($D$10:$L$10-($D$9:$L$9+INT(($S$12:$AA$12+INDEX($AJ$13:$AR$162,BN5055,0)+INDEX($AT$13:$BB$162,BO5055,0)+INDEX($BD$13:$BL$162,BP5055,0))/100)))),0)</f>
        <v/>
      </c>
      <c r="BS5055">
        <f>IF(5042&lt;$U$9,SUMPRODUCT(($D$9:$L$9+INT(($S$12:$AA$12+INDEX($AJ$13:$AR$162,BN5055,0)+INDEX($AT$13:$BB$162,BO5055,0)+INDEX($BD$13:$BL$162,BP5055,0))/100))),0)</f>
        <v/>
      </c>
      <c r="BT5055">
        <f>IF(AND(5042&lt;$U$9,$W$5),BQ5055*1000000-MIN(BR5055,999)*1000+BS5055-5042/100000,-1000000000-5042)</f>
        <v/>
      </c>
    </row>
    <row r="5056">
      <c r="BN5056">
        <f>IF(5043&lt;$U$9,INT(5043/($U$7*$U$8))+1,1)</f>
        <v/>
      </c>
      <c r="BO5056">
        <f>IF(5043&lt;$U$9,MOD(INT(5043/$U$8),$U$7)+1,1)</f>
        <v/>
      </c>
      <c r="BP5056">
        <f>IF(5043&lt;$U$9,MOD(5043,$U$8)+1,1)</f>
        <v/>
      </c>
      <c r="BQ5056">
        <f>IF(5043&lt;$U$9,SUMPRODUCT(($D$10:$L$10&lt;&gt;"")*(($D$9:$L$9+INT(($S$12:$AA$12+INDEX($AJ$13:$AR$162,BN5056,0)+INDEX($AT$13:$BB$162,BO5056,0)+INDEX($BD$13:$BL$162,BP5056,0))/100))&gt;=$D$10:$L$10)),0)</f>
        <v/>
      </c>
      <c r="BR5056">
        <f>IF(5043&lt;$U$9,SUMPRODUCT(($D$10:$L$10&lt;&gt;"")*(($D$10:$L$10-($D$9:$L$9+INT(($S$12:$AA$12+INDEX($AJ$13:$AR$162,BN5056,0)+INDEX($AT$13:$BB$162,BO5056,0)+INDEX($BD$13:$BL$162,BP5056,0))/100)))&gt;0)*($D$10:$L$10-($D$9:$L$9+INT(($S$12:$AA$12+INDEX($AJ$13:$AR$162,BN5056,0)+INDEX($AT$13:$BB$162,BO5056,0)+INDEX($BD$13:$BL$162,BP5056,0))/100)))),0)</f>
        <v/>
      </c>
      <c r="BS5056">
        <f>IF(5043&lt;$U$9,SUMPRODUCT(($D$9:$L$9+INT(($S$12:$AA$12+INDEX($AJ$13:$AR$162,BN5056,0)+INDEX($AT$13:$BB$162,BO5056,0)+INDEX($BD$13:$BL$162,BP5056,0))/100))),0)</f>
        <v/>
      </c>
      <c r="BT5056">
        <f>IF(AND(5043&lt;$U$9,$W$5),BQ5056*1000000-MIN(BR5056,999)*1000+BS5056-5043/100000,-1000000000-5043)</f>
        <v/>
      </c>
    </row>
    <row r="5057">
      <c r="BN5057">
        <f>IF(5044&lt;$U$9,INT(5044/($U$7*$U$8))+1,1)</f>
        <v/>
      </c>
      <c r="BO5057">
        <f>IF(5044&lt;$U$9,MOD(INT(5044/$U$8),$U$7)+1,1)</f>
        <v/>
      </c>
      <c r="BP5057">
        <f>IF(5044&lt;$U$9,MOD(5044,$U$8)+1,1)</f>
        <v/>
      </c>
      <c r="BQ5057">
        <f>IF(5044&lt;$U$9,SUMPRODUCT(($D$10:$L$10&lt;&gt;"")*(($D$9:$L$9+INT(($S$12:$AA$12+INDEX($AJ$13:$AR$162,BN5057,0)+INDEX($AT$13:$BB$162,BO5057,0)+INDEX($BD$13:$BL$162,BP5057,0))/100))&gt;=$D$10:$L$10)),0)</f>
        <v/>
      </c>
      <c r="BR5057">
        <f>IF(5044&lt;$U$9,SUMPRODUCT(($D$10:$L$10&lt;&gt;"")*(($D$10:$L$10-($D$9:$L$9+INT(($S$12:$AA$12+INDEX($AJ$13:$AR$162,BN5057,0)+INDEX($AT$13:$BB$162,BO5057,0)+INDEX($BD$13:$BL$162,BP5057,0))/100)))&gt;0)*($D$10:$L$10-($D$9:$L$9+INT(($S$12:$AA$12+INDEX($AJ$13:$AR$162,BN5057,0)+INDEX($AT$13:$BB$162,BO5057,0)+INDEX($BD$13:$BL$162,BP5057,0))/100)))),0)</f>
        <v/>
      </c>
      <c r="BS5057">
        <f>IF(5044&lt;$U$9,SUMPRODUCT(($D$9:$L$9+INT(($S$12:$AA$12+INDEX($AJ$13:$AR$162,BN5057,0)+INDEX($AT$13:$BB$162,BO5057,0)+INDEX($BD$13:$BL$162,BP5057,0))/100))),0)</f>
        <v/>
      </c>
      <c r="BT5057">
        <f>IF(AND(5044&lt;$U$9,$W$5),BQ5057*1000000-MIN(BR5057,999)*1000+BS5057-5044/100000,-1000000000-5044)</f>
        <v/>
      </c>
    </row>
    <row r="5058">
      <c r="BN5058">
        <f>IF(5045&lt;$U$9,INT(5045/($U$7*$U$8))+1,1)</f>
        <v/>
      </c>
      <c r="BO5058">
        <f>IF(5045&lt;$U$9,MOD(INT(5045/$U$8),$U$7)+1,1)</f>
        <v/>
      </c>
      <c r="BP5058">
        <f>IF(5045&lt;$U$9,MOD(5045,$U$8)+1,1)</f>
        <v/>
      </c>
      <c r="BQ5058">
        <f>IF(5045&lt;$U$9,SUMPRODUCT(($D$10:$L$10&lt;&gt;"")*(($D$9:$L$9+INT(($S$12:$AA$12+INDEX($AJ$13:$AR$162,BN5058,0)+INDEX($AT$13:$BB$162,BO5058,0)+INDEX($BD$13:$BL$162,BP5058,0))/100))&gt;=$D$10:$L$10)),0)</f>
        <v/>
      </c>
      <c r="BR5058">
        <f>IF(5045&lt;$U$9,SUMPRODUCT(($D$10:$L$10&lt;&gt;"")*(($D$10:$L$10-($D$9:$L$9+INT(($S$12:$AA$12+INDEX($AJ$13:$AR$162,BN5058,0)+INDEX($AT$13:$BB$162,BO5058,0)+INDEX($BD$13:$BL$162,BP5058,0))/100)))&gt;0)*($D$10:$L$10-($D$9:$L$9+INT(($S$12:$AA$12+INDEX($AJ$13:$AR$162,BN5058,0)+INDEX($AT$13:$BB$162,BO5058,0)+INDEX($BD$13:$BL$162,BP5058,0))/100)))),0)</f>
        <v/>
      </c>
      <c r="BS5058">
        <f>IF(5045&lt;$U$9,SUMPRODUCT(($D$9:$L$9+INT(($S$12:$AA$12+INDEX($AJ$13:$AR$162,BN5058,0)+INDEX($AT$13:$BB$162,BO5058,0)+INDEX($BD$13:$BL$162,BP5058,0))/100))),0)</f>
        <v/>
      </c>
      <c r="BT5058">
        <f>IF(AND(5045&lt;$U$9,$W$5),BQ5058*1000000-MIN(BR5058,999)*1000+BS5058-5045/100000,-1000000000-5045)</f>
        <v/>
      </c>
    </row>
    <row r="5059">
      <c r="BN5059">
        <f>IF(5046&lt;$U$9,INT(5046/($U$7*$U$8))+1,1)</f>
        <v/>
      </c>
      <c r="BO5059">
        <f>IF(5046&lt;$U$9,MOD(INT(5046/$U$8),$U$7)+1,1)</f>
        <v/>
      </c>
      <c r="BP5059">
        <f>IF(5046&lt;$U$9,MOD(5046,$U$8)+1,1)</f>
        <v/>
      </c>
      <c r="BQ5059">
        <f>IF(5046&lt;$U$9,SUMPRODUCT(($D$10:$L$10&lt;&gt;"")*(($D$9:$L$9+INT(($S$12:$AA$12+INDEX($AJ$13:$AR$162,BN5059,0)+INDEX($AT$13:$BB$162,BO5059,0)+INDEX($BD$13:$BL$162,BP5059,0))/100))&gt;=$D$10:$L$10)),0)</f>
        <v/>
      </c>
      <c r="BR5059">
        <f>IF(5046&lt;$U$9,SUMPRODUCT(($D$10:$L$10&lt;&gt;"")*(($D$10:$L$10-($D$9:$L$9+INT(($S$12:$AA$12+INDEX($AJ$13:$AR$162,BN5059,0)+INDEX($AT$13:$BB$162,BO5059,0)+INDEX($BD$13:$BL$162,BP5059,0))/100)))&gt;0)*($D$10:$L$10-($D$9:$L$9+INT(($S$12:$AA$12+INDEX($AJ$13:$AR$162,BN5059,0)+INDEX($AT$13:$BB$162,BO5059,0)+INDEX($BD$13:$BL$162,BP5059,0))/100)))),0)</f>
        <v/>
      </c>
      <c r="BS5059">
        <f>IF(5046&lt;$U$9,SUMPRODUCT(($D$9:$L$9+INT(($S$12:$AA$12+INDEX($AJ$13:$AR$162,BN5059,0)+INDEX($AT$13:$BB$162,BO5059,0)+INDEX($BD$13:$BL$162,BP5059,0))/100))),0)</f>
        <v/>
      </c>
      <c r="BT5059">
        <f>IF(AND(5046&lt;$U$9,$W$5),BQ5059*1000000-MIN(BR5059,999)*1000+BS5059-5046/100000,-1000000000-5046)</f>
        <v/>
      </c>
    </row>
    <row r="5060">
      <c r="BN5060">
        <f>IF(5047&lt;$U$9,INT(5047/($U$7*$U$8))+1,1)</f>
        <v/>
      </c>
      <c r="BO5060">
        <f>IF(5047&lt;$U$9,MOD(INT(5047/$U$8),$U$7)+1,1)</f>
        <v/>
      </c>
      <c r="BP5060">
        <f>IF(5047&lt;$U$9,MOD(5047,$U$8)+1,1)</f>
        <v/>
      </c>
      <c r="BQ5060">
        <f>IF(5047&lt;$U$9,SUMPRODUCT(($D$10:$L$10&lt;&gt;"")*(($D$9:$L$9+INT(($S$12:$AA$12+INDEX($AJ$13:$AR$162,BN5060,0)+INDEX($AT$13:$BB$162,BO5060,0)+INDEX($BD$13:$BL$162,BP5060,0))/100))&gt;=$D$10:$L$10)),0)</f>
        <v/>
      </c>
      <c r="BR5060">
        <f>IF(5047&lt;$U$9,SUMPRODUCT(($D$10:$L$10&lt;&gt;"")*(($D$10:$L$10-($D$9:$L$9+INT(($S$12:$AA$12+INDEX($AJ$13:$AR$162,BN5060,0)+INDEX($AT$13:$BB$162,BO5060,0)+INDEX($BD$13:$BL$162,BP5060,0))/100)))&gt;0)*($D$10:$L$10-($D$9:$L$9+INT(($S$12:$AA$12+INDEX($AJ$13:$AR$162,BN5060,0)+INDEX($AT$13:$BB$162,BO5060,0)+INDEX($BD$13:$BL$162,BP5060,0))/100)))),0)</f>
        <v/>
      </c>
      <c r="BS5060">
        <f>IF(5047&lt;$U$9,SUMPRODUCT(($D$9:$L$9+INT(($S$12:$AA$12+INDEX($AJ$13:$AR$162,BN5060,0)+INDEX($AT$13:$BB$162,BO5060,0)+INDEX($BD$13:$BL$162,BP5060,0))/100))),0)</f>
        <v/>
      </c>
      <c r="BT5060">
        <f>IF(AND(5047&lt;$U$9,$W$5),BQ5060*1000000-MIN(BR5060,999)*1000+BS5060-5047/100000,-1000000000-5047)</f>
        <v/>
      </c>
    </row>
    <row r="5061">
      <c r="BN5061">
        <f>IF(5048&lt;$U$9,INT(5048/($U$7*$U$8))+1,1)</f>
        <v/>
      </c>
      <c r="BO5061">
        <f>IF(5048&lt;$U$9,MOD(INT(5048/$U$8),$U$7)+1,1)</f>
        <v/>
      </c>
      <c r="BP5061">
        <f>IF(5048&lt;$U$9,MOD(5048,$U$8)+1,1)</f>
        <v/>
      </c>
      <c r="BQ5061">
        <f>IF(5048&lt;$U$9,SUMPRODUCT(($D$10:$L$10&lt;&gt;"")*(($D$9:$L$9+INT(($S$12:$AA$12+INDEX($AJ$13:$AR$162,BN5061,0)+INDEX($AT$13:$BB$162,BO5061,0)+INDEX($BD$13:$BL$162,BP5061,0))/100))&gt;=$D$10:$L$10)),0)</f>
        <v/>
      </c>
      <c r="BR5061">
        <f>IF(5048&lt;$U$9,SUMPRODUCT(($D$10:$L$10&lt;&gt;"")*(($D$10:$L$10-($D$9:$L$9+INT(($S$12:$AA$12+INDEX($AJ$13:$AR$162,BN5061,0)+INDEX($AT$13:$BB$162,BO5061,0)+INDEX($BD$13:$BL$162,BP5061,0))/100)))&gt;0)*($D$10:$L$10-($D$9:$L$9+INT(($S$12:$AA$12+INDEX($AJ$13:$AR$162,BN5061,0)+INDEX($AT$13:$BB$162,BO5061,0)+INDEX($BD$13:$BL$162,BP5061,0))/100)))),0)</f>
        <v/>
      </c>
      <c r="BS5061">
        <f>IF(5048&lt;$U$9,SUMPRODUCT(($D$9:$L$9+INT(($S$12:$AA$12+INDEX($AJ$13:$AR$162,BN5061,0)+INDEX($AT$13:$BB$162,BO5061,0)+INDEX($BD$13:$BL$162,BP5061,0))/100))),0)</f>
        <v/>
      </c>
      <c r="BT5061">
        <f>IF(AND(5048&lt;$U$9,$W$5),BQ5061*1000000-MIN(BR5061,999)*1000+BS5061-5048/100000,-1000000000-5048)</f>
        <v/>
      </c>
    </row>
    <row r="5062">
      <c r="BN5062">
        <f>IF(5049&lt;$U$9,INT(5049/($U$7*$U$8))+1,1)</f>
        <v/>
      </c>
      <c r="BO5062">
        <f>IF(5049&lt;$U$9,MOD(INT(5049/$U$8),$U$7)+1,1)</f>
        <v/>
      </c>
      <c r="BP5062">
        <f>IF(5049&lt;$U$9,MOD(5049,$U$8)+1,1)</f>
        <v/>
      </c>
      <c r="BQ5062">
        <f>IF(5049&lt;$U$9,SUMPRODUCT(($D$10:$L$10&lt;&gt;"")*(($D$9:$L$9+INT(($S$12:$AA$12+INDEX($AJ$13:$AR$162,BN5062,0)+INDEX($AT$13:$BB$162,BO5062,0)+INDEX($BD$13:$BL$162,BP5062,0))/100))&gt;=$D$10:$L$10)),0)</f>
        <v/>
      </c>
      <c r="BR5062">
        <f>IF(5049&lt;$U$9,SUMPRODUCT(($D$10:$L$10&lt;&gt;"")*(($D$10:$L$10-($D$9:$L$9+INT(($S$12:$AA$12+INDEX($AJ$13:$AR$162,BN5062,0)+INDEX($AT$13:$BB$162,BO5062,0)+INDEX($BD$13:$BL$162,BP5062,0))/100)))&gt;0)*($D$10:$L$10-($D$9:$L$9+INT(($S$12:$AA$12+INDEX($AJ$13:$AR$162,BN5062,0)+INDEX($AT$13:$BB$162,BO5062,0)+INDEX($BD$13:$BL$162,BP5062,0))/100)))),0)</f>
        <v/>
      </c>
      <c r="BS5062">
        <f>IF(5049&lt;$U$9,SUMPRODUCT(($D$9:$L$9+INT(($S$12:$AA$12+INDEX($AJ$13:$AR$162,BN5062,0)+INDEX($AT$13:$BB$162,BO5062,0)+INDEX($BD$13:$BL$162,BP5062,0))/100))),0)</f>
        <v/>
      </c>
      <c r="BT5062">
        <f>IF(AND(5049&lt;$U$9,$W$5),BQ5062*1000000-MIN(BR5062,999)*1000+BS5062-5049/100000,-1000000000-5049)</f>
        <v/>
      </c>
    </row>
    <row r="5063">
      <c r="BN5063">
        <f>IF(5050&lt;$U$9,INT(5050/($U$7*$U$8))+1,1)</f>
        <v/>
      </c>
      <c r="BO5063">
        <f>IF(5050&lt;$U$9,MOD(INT(5050/$U$8),$U$7)+1,1)</f>
        <v/>
      </c>
      <c r="BP5063">
        <f>IF(5050&lt;$U$9,MOD(5050,$U$8)+1,1)</f>
        <v/>
      </c>
      <c r="BQ5063">
        <f>IF(5050&lt;$U$9,SUMPRODUCT(($D$10:$L$10&lt;&gt;"")*(($D$9:$L$9+INT(($S$12:$AA$12+INDEX($AJ$13:$AR$162,BN5063,0)+INDEX($AT$13:$BB$162,BO5063,0)+INDEX($BD$13:$BL$162,BP5063,0))/100))&gt;=$D$10:$L$10)),0)</f>
        <v/>
      </c>
      <c r="BR5063">
        <f>IF(5050&lt;$U$9,SUMPRODUCT(($D$10:$L$10&lt;&gt;"")*(($D$10:$L$10-($D$9:$L$9+INT(($S$12:$AA$12+INDEX($AJ$13:$AR$162,BN5063,0)+INDEX($AT$13:$BB$162,BO5063,0)+INDEX($BD$13:$BL$162,BP5063,0))/100)))&gt;0)*($D$10:$L$10-($D$9:$L$9+INT(($S$12:$AA$12+INDEX($AJ$13:$AR$162,BN5063,0)+INDEX($AT$13:$BB$162,BO5063,0)+INDEX($BD$13:$BL$162,BP5063,0))/100)))),0)</f>
        <v/>
      </c>
      <c r="BS5063">
        <f>IF(5050&lt;$U$9,SUMPRODUCT(($D$9:$L$9+INT(($S$12:$AA$12+INDEX($AJ$13:$AR$162,BN5063,0)+INDEX($AT$13:$BB$162,BO5063,0)+INDEX($BD$13:$BL$162,BP5063,0))/100))),0)</f>
        <v/>
      </c>
      <c r="BT5063">
        <f>IF(AND(5050&lt;$U$9,$W$5),BQ5063*1000000-MIN(BR5063,999)*1000+BS5063-5050/100000,-1000000000-5050)</f>
        <v/>
      </c>
    </row>
    <row r="5064">
      <c r="BN5064">
        <f>IF(5051&lt;$U$9,INT(5051/($U$7*$U$8))+1,1)</f>
        <v/>
      </c>
      <c r="BO5064">
        <f>IF(5051&lt;$U$9,MOD(INT(5051/$U$8),$U$7)+1,1)</f>
        <v/>
      </c>
      <c r="BP5064">
        <f>IF(5051&lt;$U$9,MOD(5051,$U$8)+1,1)</f>
        <v/>
      </c>
      <c r="BQ5064">
        <f>IF(5051&lt;$U$9,SUMPRODUCT(($D$10:$L$10&lt;&gt;"")*(($D$9:$L$9+INT(($S$12:$AA$12+INDEX($AJ$13:$AR$162,BN5064,0)+INDEX($AT$13:$BB$162,BO5064,0)+INDEX($BD$13:$BL$162,BP5064,0))/100))&gt;=$D$10:$L$10)),0)</f>
        <v/>
      </c>
      <c r="BR5064">
        <f>IF(5051&lt;$U$9,SUMPRODUCT(($D$10:$L$10&lt;&gt;"")*(($D$10:$L$10-($D$9:$L$9+INT(($S$12:$AA$12+INDEX($AJ$13:$AR$162,BN5064,0)+INDEX($AT$13:$BB$162,BO5064,0)+INDEX($BD$13:$BL$162,BP5064,0))/100)))&gt;0)*($D$10:$L$10-($D$9:$L$9+INT(($S$12:$AA$12+INDEX($AJ$13:$AR$162,BN5064,0)+INDEX($AT$13:$BB$162,BO5064,0)+INDEX($BD$13:$BL$162,BP5064,0))/100)))),0)</f>
        <v/>
      </c>
      <c r="BS5064">
        <f>IF(5051&lt;$U$9,SUMPRODUCT(($D$9:$L$9+INT(($S$12:$AA$12+INDEX($AJ$13:$AR$162,BN5064,0)+INDEX($AT$13:$BB$162,BO5064,0)+INDEX($BD$13:$BL$162,BP5064,0))/100))),0)</f>
        <v/>
      </c>
      <c r="BT5064">
        <f>IF(AND(5051&lt;$U$9,$W$5),BQ5064*1000000-MIN(BR5064,999)*1000+BS5064-5051/100000,-1000000000-5051)</f>
        <v/>
      </c>
    </row>
    <row r="5065">
      <c r="BN5065">
        <f>IF(5052&lt;$U$9,INT(5052/($U$7*$U$8))+1,1)</f>
        <v/>
      </c>
      <c r="BO5065">
        <f>IF(5052&lt;$U$9,MOD(INT(5052/$U$8),$U$7)+1,1)</f>
        <v/>
      </c>
      <c r="BP5065">
        <f>IF(5052&lt;$U$9,MOD(5052,$U$8)+1,1)</f>
        <v/>
      </c>
      <c r="BQ5065">
        <f>IF(5052&lt;$U$9,SUMPRODUCT(($D$10:$L$10&lt;&gt;"")*(($D$9:$L$9+INT(($S$12:$AA$12+INDEX($AJ$13:$AR$162,BN5065,0)+INDEX($AT$13:$BB$162,BO5065,0)+INDEX($BD$13:$BL$162,BP5065,0))/100))&gt;=$D$10:$L$10)),0)</f>
        <v/>
      </c>
      <c r="BR5065">
        <f>IF(5052&lt;$U$9,SUMPRODUCT(($D$10:$L$10&lt;&gt;"")*(($D$10:$L$10-($D$9:$L$9+INT(($S$12:$AA$12+INDEX($AJ$13:$AR$162,BN5065,0)+INDEX($AT$13:$BB$162,BO5065,0)+INDEX($BD$13:$BL$162,BP5065,0))/100)))&gt;0)*($D$10:$L$10-($D$9:$L$9+INT(($S$12:$AA$12+INDEX($AJ$13:$AR$162,BN5065,0)+INDEX($AT$13:$BB$162,BO5065,0)+INDEX($BD$13:$BL$162,BP5065,0))/100)))),0)</f>
        <v/>
      </c>
      <c r="BS5065">
        <f>IF(5052&lt;$U$9,SUMPRODUCT(($D$9:$L$9+INT(($S$12:$AA$12+INDEX($AJ$13:$AR$162,BN5065,0)+INDEX($AT$13:$BB$162,BO5065,0)+INDEX($BD$13:$BL$162,BP5065,0))/100))),0)</f>
        <v/>
      </c>
      <c r="BT5065">
        <f>IF(AND(5052&lt;$U$9,$W$5),BQ5065*1000000-MIN(BR5065,999)*1000+BS5065-5052/100000,-1000000000-5052)</f>
        <v/>
      </c>
    </row>
    <row r="5066">
      <c r="BN5066">
        <f>IF(5053&lt;$U$9,INT(5053/($U$7*$U$8))+1,1)</f>
        <v/>
      </c>
      <c r="BO5066">
        <f>IF(5053&lt;$U$9,MOD(INT(5053/$U$8),$U$7)+1,1)</f>
        <v/>
      </c>
      <c r="BP5066">
        <f>IF(5053&lt;$U$9,MOD(5053,$U$8)+1,1)</f>
        <v/>
      </c>
      <c r="BQ5066">
        <f>IF(5053&lt;$U$9,SUMPRODUCT(($D$10:$L$10&lt;&gt;"")*(($D$9:$L$9+INT(($S$12:$AA$12+INDEX($AJ$13:$AR$162,BN5066,0)+INDEX($AT$13:$BB$162,BO5066,0)+INDEX($BD$13:$BL$162,BP5066,0))/100))&gt;=$D$10:$L$10)),0)</f>
        <v/>
      </c>
      <c r="BR5066">
        <f>IF(5053&lt;$U$9,SUMPRODUCT(($D$10:$L$10&lt;&gt;"")*(($D$10:$L$10-($D$9:$L$9+INT(($S$12:$AA$12+INDEX($AJ$13:$AR$162,BN5066,0)+INDEX($AT$13:$BB$162,BO5066,0)+INDEX($BD$13:$BL$162,BP5066,0))/100)))&gt;0)*($D$10:$L$10-($D$9:$L$9+INT(($S$12:$AA$12+INDEX($AJ$13:$AR$162,BN5066,0)+INDEX($AT$13:$BB$162,BO5066,0)+INDEX($BD$13:$BL$162,BP5066,0))/100)))),0)</f>
        <v/>
      </c>
      <c r="BS5066">
        <f>IF(5053&lt;$U$9,SUMPRODUCT(($D$9:$L$9+INT(($S$12:$AA$12+INDEX($AJ$13:$AR$162,BN5066,0)+INDEX($AT$13:$BB$162,BO5066,0)+INDEX($BD$13:$BL$162,BP5066,0))/100))),0)</f>
        <v/>
      </c>
      <c r="BT5066">
        <f>IF(AND(5053&lt;$U$9,$W$5),BQ5066*1000000-MIN(BR5066,999)*1000+BS5066-5053/100000,-1000000000-5053)</f>
        <v/>
      </c>
    </row>
    <row r="5067">
      <c r="BN5067">
        <f>IF(5054&lt;$U$9,INT(5054/($U$7*$U$8))+1,1)</f>
        <v/>
      </c>
      <c r="BO5067">
        <f>IF(5054&lt;$U$9,MOD(INT(5054/$U$8),$U$7)+1,1)</f>
        <v/>
      </c>
      <c r="BP5067">
        <f>IF(5054&lt;$U$9,MOD(5054,$U$8)+1,1)</f>
        <v/>
      </c>
      <c r="BQ5067">
        <f>IF(5054&lt;$U$9,SUMPRODUCT(($D$10:$L$10&lt;&gt;"")*(($D$9:$L$9+INT(($S$12:$AA$12+INDEX($AJ$13:$AR$162,BN5067,0)+INDEX($AT$13:$BB$162,BO5067,0)+INDEX($BD$13:$BL$162,BP5067,0))/100))&gt;=$D$10:$L$10)),0)</f>
        <v/>
      </c>
      <c r="BR5067">
        <f>IF(5054&lt;$U$9,SUMPRODUCT(($D$10:$L$10&lt;&gt;"")*(($D$10:$L$10-($D$9:$L$9+INT(($S$12:$AA$12+INDEX($AJ$13:$AR$162,BN5067,0)+INDEX($AT$13:$BB$162,BO5067,0)+INDEX($BD$13:$BL$162,BP5067,0))/100)))&gt;0)*($D$10:$L$10-($D$9:$L$9+INT(($S$12:$AA$12+INDEX($AJ$13:$AR$162,BN5067,0)+INDEX($AT$13:$BB$162,BO5067,0)+INDEX($BD$13:$BL$162,BP5067,0))/100)))),0)</f>
        <v/>
      </c>
      <c r="BS5067">
        <f>IF(5054&lt;$U$9,SUMPRODUCT(($D$9:$L$9+INT(($S$12:$AA$12+INDEX($AJ$13:$AR$162,BN5067,0)+INDEX($AT$13:$BB$162,BO5067,0)+INDEX($BD$13:$BL$162,BP5067,0))/100))),0)</f>
        <v/>
      </c>
      <c r="BT5067">
        <f>IF(AND(5054&lt;$U$9,$W$5),BQ5067*1000000-MIN(BR5067,999)*1000+BS5067-5054/100000,-1000000000-5054)</f>
        <v/>
      </c>
    </row>
    <row r="5068">
      <c r="BN5068">
        <f>IF(5055&lt;$U$9,INT(5055/($U$7*$U$8))+1,1)</f>
        <v/>
      </c>
      <c r="BO5068">
        <f>IF(5055&lt;$U$9,MOD(INT(5055/$U$8),$U$7)+1,1)</f>
        <v/>
      </c>
      <c r="BP5068">
        <f>IF(5055&lt;$U$9,MOD(5055,$U$8)+1,1)</f>
        <v/>
      </c>
      <c r="BQ5068">
        <f>IF(5055&lt;$U$9,SUMPRODUCT(($D$10:$L$10&lt;&gt;"")*(($D$9:$L$9+INT(($S$12:$AA$12+INDEX($AJ$13:$AR$162,BN5068,0)+INDEX($AT$13:$BB$162,BO5068,0)+INDEX($BD$13:$BL$162,BP5068,0))/100))&gt;=$D$10:$L$10)),0)</f>
        <v/>
      </c>
      <c r="BR5068">
        <f>IF(5055&lt;$U$9,SUMPRODUCT(($D$10:$L$10&lt;&gt;"")*(($D$10:$L$10-($D$9:$L$9+INT(($S$12:$AA$12+INDEX($AJ$13:$AR$162,BN5068,0)+INDEX($AT$13:$BB$162,BO5068,0)+INDEX($BD$13:$BL$162,BP5068,0))/100)))&gt;0)*($D$10:$L$10-($D$9:$L$9+INT(($S$12:$AA$12+INDEX($AJ$13:$AR$162,BN5068,0)+INDEX($AT$13:$BB$162,BO5068,0)+INDEX($BD$13:$BL$162,BP5068,0))/100)))),0)</f>
        <v/>
      </c>
      <c r="BS5068">
        <f>IF(5055&lt;$U$9,SUMPRODUCT(($D$9:$L$9+INT(($S$12:$AA$12+INDEX($AJ$13:$AR$162,BN5068,0)+INDEX($AT$13:$BB$162,BO5068,0)+INDEX($BD$13:$BL$162,BP5068,0))/100))),0)</f>
        <v/>
      </c>
      <c r="BT5068">
        <f>IF(AND(5055&lt;$U$9,$W$5),BQ5068*1000000-MIN(BR5068,999)*1000+BS5068-5055/100000,-1000000000-5055)</f>
        <v/>
      </c>
    </row>
    <row r="5069">
      <c r="BN5069">
        <f>IF(5056&lt;$U$9,INT(5056/($U$7*$U$8))+1,1)</f>
        <v/>
      </c>
      <c r="BO5069">
        <f>IF(5056&lt;$U$9,MOD(INT(5056/$U$8),$U$7)+1,1)</f>
        <v/>
      </c>
      <c r="BP5069">
        <f>IF(5056&lt;$U$9,MOD(5056,$U$8)+1,1)</f>
        <v/>
      </c>
      <c r="BQ5069">
        <f>IF(5056&lt;$U$9,SUMPRODUCT(($D$10:$L$10&lt;&gt;"")*(($D$9:$L$9+INT(($S$12:$AA$12+INDEX($AJ$13:$AR$162,BN5069,0)+INDEX($AT$13:$BB$162,BO5069,0)+INDEX($BD$13:$BL$162,BP5069,0))/100))&gt;=$D$10:$L$10)),0)</f>
        <v/>
      </c>
      <c r="BR5069">
        <f>IF(5056&lt;$U$9,SUMPRODUCT(($D$10:$L$10&lt;&gt;"")*(($D$10:$L$10-($D$9:$L$9+INT(($S$12:$AA$12+INDEX($AJ$13:$AR$162,BN5069,0)+INDEX($AT$13:$BB$162,BO5069,0)+INDEX($BD$13:$BL$162,BP5069,0))/100)))&gt;0)*($D$10:$L$10-($D$9:$L$9+INT(($S$12:$AA$12+INDEX($AJ$13:$AR$162,BN5069,0)+INDEX($AT$13:$BB$162,BO5069,0)+INDEX($BD$13:$BL$162,BP5069,0))/100)))),0)</f>
        <v/>
      </c>
      <c r="BS5069">
        <f>IF(5056&lt;$U$9,SUMPRODUCT(($D$9:$L$9+INT(($S$12:$AA$12+INDEX($AJ$13:$AR$162,BN5069,0)+INDEX($AT$13:$BB$162,BO5069,0)+INDEX($BD$13:$BL$162,BP5069,0))/100))),0)</f>
        <v/>
      </c>
      <c r="BT5069">
        <f>IF(AND(5056&lt;$U$9,$W$5),BQ5069*1000000-MIN(BR5069,999)*1000+BS5069-5056/100000,-1000000000-5056)</f>
        <v/>
      </c>
    </row>
    <row r="5070">
      <c r="BN5070">
        <f>IF(5057&lt;$U$9,INT(5057/($U$7*$U$8))+1,1)</f>
        <v/>
      </c>
      <c r="BO5070">
        <f>IF(5057&lt;$U$9,MOD(INT(5057/$U$8),$U$7)+1,1)</f>
        <v/>
      </c>
      <c r="BP5070">
        <f>IF(5057&lt;$U$9,MOD(5057,$U$8)+1,1)</f>
        <v/>
      </c>
      <c r="BQ5070">
        <f>IF(5057&lt;$U$9,SUMPRODUCT(($D$10:$L$10&lt;&gt;"")*(($D$9:$L$9+INT(($S$12:$AA$12+INDEX($AJ$13:$AR$162,BN5070,0)+INDEX($AT$13:$BB$162,BO5070,0)+INDEX($BD$13:$BL$162,BP5070,0))/100))&gt;=$D$10:$L$10)),0)</f>
        <v/>
      </c>
      <c r="BR5070">
        <f>IF(5057&lt;$U$9,SUMPRODUCT(($D$10:$L$10&lt;&gt;"")*(($D$10:$L$10-($D$9:$L$9+INT(($S$12:$AA$12+INDEX($AJ$13:$AR$162,BN5070,0)+INDEX($AT$13:$BB$162,BO5070,0)+INDEX($BD$13:$BL$162,BP5070,0))/100)))&gt;0)*($D$10:$L$10-($D$9:$L$9+INT(($S$12:$AA$12+INDEX($AJ$13:$AR$162,BN5070,0)+INDEX($AT$13:$BB$162,BO5070,0)+INDEX($BD$13:$BL$162,BP5070,0))/100)))),0)</f>
        <v/>
      </c>
      <c r="BS5070">
        <f>IF(5057&lt;$U$9,SUMPRODUCT(($D$9:$L$9+INT(($S$12:$AA$12+INDEX($AJ$13:$AR$162,BN5070,0)+INDEX($AT$13:$BB$162,BO5070,0)+INDEX($BD$13:$BL$162,BP5070,0))/100))),0)</f>
        <v/>
      </c>
      <c r="BT5070">
        <f>IF(AND(5057&lt;$U$9,$W$5),BQ5070*1000000-MIN(BR5070,999)*1000+BS5070-5057/100000,-1000000000-5057)</f>
        <v/>
      </c>
    </row>
    <row r="5071">
      <c r="BN5071">
        <f>IF(5058&lt;$U$9,INT(5058/($U$7*$U$8))+1,1)</f>
        <v/>
      </c>
      <c r="BO5071">
        <f>IF(5058&lt;$U$9,MOD(INT(5058/$U$8),$U$7)+1,1)</f>
        <v/>
      </c>
      <c r="BP5071">
        <f>IF(5058&lt;$U$9,MOD(5058,$U$8)+1,1)</f>
        <v/>
      </c>
      <c r="BQ5071">
        <f>IF(5058&lt;$U$9,SUMPRODUCT(($D$10:$L$10&lt;&gt;"")*(($D$9:$L$9+INT(($S$12:$AA$12+INDEX($AJ$13:$AR$162,BN5071,0)+INDEX($AT$13:$BB$162,BO5071,0)+INDEX($BD$13:$BL$162,BP5071,0))/100))&gt;=$D$10:$L$10)),0)</f>
        <v/>
      </c>
      <c r="BR5071">
        <f>IF(5058&lt;$U$9,SUMPRODUCT(($D$10:$L$10&lt;&gt;"")*(($D$10:$L$10-($D$9:$L$9+INT(($S$12:$AA$12+INDEX($AJ$13:$AR$162,BN5071,0)+INDEX($AT$13:$BB$162,BO5071,0)+INDEX($BD$13:$BL$162,BP5071,0))/100)))&gt;0)*($D$10:$L$10-($D$9:$L$9+INT(($S$12:$AA$12+INDEX($AJ$13:$AR$162,BN5071,0)+INDEX($AT$13:$BB$162,BO5071,0)+INDEX($BD$13:$BL$162,BP5071,0))/100)))),0)</f>
        <v/>
      </c>
      <c r="BS5071">
        <f>IF(5058&lt;$U$9,SUMPRODUCT(($D$9:$L$9+INT(($S$12:$AA$12+INDEX($AJ$13:$AR$162,BN5071,0)+INDEX($AT$13:$BB$162,BO5071,0)+INDEX($BD$13:$BL$162,BP5071,0))/100))),0)</f>
        <v/>
      </c>
      <c r="BT5071">
        <f>IF(AND(5058&lt;$U$9,$W$5),BQ5071*1000000-MIN(BR5071,999)*1000+BS5071-5058/100000,-1000000000-5058)</f>
        <v/>
      </c>
    </row>
    <row r="5072">
      <c r="BN5072">
        <f>IF(5059&lt;$U$9,INT(5059/($U$7*$U$8))+1,1)</f>
        <v/>
      </c>
      <c r="BO5072">
        <f>IF(5059&lt;$U$9,MOD(INT(5059/$U$8),$U$7)+1,1)</f>
        <v/>
      </c>
      <c r="BP5072">
        <f>IF(5059&lt;$U$9,MOD(5059,$U$8)+1,1)</f>
        <v/>
      </c>
      <c r="BQ5072">
        <f>IF(5059&lt;$U$9,SUMPRODUCT(($D$10:$L$10&lt;&gt;"")*(($D$9:$L$9+INT(($S$12:$AA$12+INDEX($AJ$13:$AR$162,BN5072,0)+INDEX($AT$13:$BB$162,BO5072,0)+INDEX($BD$13:$BL$162,BP5072,0))/100))&gt;=$D$10:$L$10)),0)</f>
        <v/>
      </c>
      <c r="BR5072">
        <f>IF(5059&lt;$U$9,SUMPRODUCT(($D$10:$L$10&lt;&gt;"")*(($D$10:$L$10-($D$9:$L$9+INT(($S$12:$AA$12+INDEX($AJ$13:$AR$162,BN5072,0)+INDEX($AT$13:$BB$162,BO5072,0)+INDEX($BD$13:$BL$162,BP5072,0))/100)))&gt;0)*($D$10:$L$10-($D$9:$L$9+INT(($S$12:$AA$12+INDEX($AJ$13:$AR$162,BN5072,0)+INDEX($AT$13:$BB$162,BO5072,0)+INDEX($BD$13:$BL$162,BP5072,0))/100)))),0)</f>
        <v/>
      </c>
      <c r="BS5072">
        <f>IF(5059&lt;$U$9,SUMPRODUCT(($D$9:$L$9+INT(($S$12:$AA$12+INDEX($AJ$13:$AR$162,BN5072,0)+INDEX($AT$13:$BB$162,BO5072,0)+INDEX($BD$13:$BL$162,BP5072,0))/100))),0)</f>
        <v/>
      </c>
      <c r="BT5072">
        <f>IF(AND(5059&lt;$U$9,$W$5),BQ5072*1000000-MIN(BR5072,999)*1000+BS5072-5059/100000,-1000000000-5059)</f>
        <v/>
      </c>
    </row>
    <row r="5073">
      <c r="BN5073">
        <f>IF(5060&lt;$U$9,INT(5060/($U$7*$U$8))+1,1)</f>
        <v/>
      </c>
      <c r="BO5073">
        <f>IF(5060&lt;$U$9,MOD(INT(5060/$U$8),$U$7)+1,1)</f>
        <v/>
      </c>
      <c r="BP5073">
        <f>IF(5060&lt;$U$9,MOD(5060,$U$8)+1,1)</f>
        <v/>
      </c>
      <c r="BQ5073">
        <f>IF(5060&lt;$U$9,SUMPRODUCT(($D$10:$L$10&lt;&gt;"")*(($D$9:$L$9+INT(($S$12:$AA$12+INDEX($AJ$13:$AR$162,BN5073,0)+INDEX($AT$13:$BB$162,BO5073,0)+INDEX($BD$13:$BL$162,BP5073,0))/100))&gt;=$D$10:$L$10)),0)</f>
        <v/>
      </c>
      <c r="BR5073">
        <f>IF(5060&lt;$U$9,SUMPRODUCT(($D$10:$L$10&lt;&gt;"")*(($D$10:$L$10-($D$9:$L$9+INT(($S$12:$AA$12+INDEX($AJ$13:$AR$162,BN5073,0)+INDEX($AT$13:$BB$162,BO5073,0)+INDEX($BD$13:$BL$162,BP5073,0))/100)))&gt;0)*($D$10:$L$10-($D$9:$L$9+INT(($S$12:$AA$12+INDEX($AJ$13:$AR$162,BN5073,0)+INDEX($AT$13:$BB$162,BO5073,0)+INDEX($BD$13:$BL$162,BP5073,0))/100)))),0)</f>
        <v/>
      </c>
      <c r="BS5073">
        <f>IF(5060&lt;$U$9,SUMPRODUCT(($D$9:$L$9+INT(($S$12:$AA$12+INDEX($AJ$13:$AR$162,BN5073,0)+INDEX($AT$13:$BB$162,BO5073,0)+INDEX($BD$13:$BL$162,BP5073,0))/100))),0)</f>
        <v/>
      </c>
      <c r="BT5073">
        <f>IF(AND(5060&lt;$U$9,$W$5),BQ5073*1000000-MIN(BR5073,999)*1000+BS5073-5060/100000,-1000000000-5060)</f>
        <v/>
      </c>
    </row>
    <row r="5074">
      <c r="BN5074">
        <f>IF(5061&lt;$U$9,INT(5061/($U$7*$U$8))+1,1)</f>
        <v/>
      </c>
      <c r="BO5074">
        <f>IF(5061&lt;$U$9,MOD(INT(5061/$U$8),$U$7)+1,1)</f>
        <v/>
      </c>
      <c r="BP5074">
        <f>IF(5061&lt;$U$9,MOD(5061,$U$8)+1,1)</f>
        <v/>
      </c>
      <c r="BQ5074">
        <f>IF(5061&lt;$U$9,SUMPRODUCT(($D$10:$L$10&lt;&gt;"")*(($D$9:$L$9+INT(($S$12:$AA$12+INDEX($AJ$13:$AR$162,BN5074,0)+INDEX($AT$13:$BB$162,BO5074,0)+INDEX($BD$13:$BL$162,BP5074,0))/100))&gt;=$D$10:$L$10)),0)</f>
        <v/>
      </c>
      <c r="BR5074">
        <f>IF(5061&lt;$U$9,SUMPRODUCT(($D$10:$L$10&lt;&gt;"")*(($D$10:$L$10-($D$9:$L$9+INT(($S$12:$AA$12+INDEX($AJ$13:$AR$162,BN5074,0)+INDEX($AT$13:$BB$162,BO5074,0)+INDEX($BD$13:$BL$162,BP5074,0))/100)))&gt;0)*($D$10:$L$10-($D$9:$L$9+INT(($S$12:$AA$12+INDEX($AJ$13:$AR$162,BN5074,0)+INDEX($AT$13:$BB$162,BO5074,0)+INDEX($BD$13:$BL$162,BP5074,0))/100)))),0)</f>
        <v/>
      </c>
      <c r="BS5074">
        <f>IF(5061&lt;$U$9,SUMPRODUCT(($D$9:$L$9+INT(($S$12:$AA$12+INDEX($AJ$13:$AR$162,BN5074,0)+INDEX($AT$13:$BB$162,BO5074,0)+INDEX($BD$13:$BL$162,BP5074,0))/100))),0)</f>
        <v/>
      </c>
      <c r="BT5074">
        <f>IF(AND(5061&lt;$U$9,$W$5),BQ5074*1000000-MIN(BR5074,999)*1000+BS5074-5061/100000,-1000000000-5061)</f>
        <v/>
      </c>
    </row>
    <row r="5075">
      <c r="BN5075">
        <f>IF(5062&lt;$U$9,INT(5062/($U$7*$U$8))+1,1)</f>
        <v/>
      </c>
      <c r="BO5075">
        <f>IF(5062&lt;$U$9,MOD(INT(5062/$U$8),$U$7)+1,1)</f>
        <v/>
      </c>
      <c r="BP5075">
        <f>IF(5062&lt;$U$9,MOD(5062,$U$8)+1,1)</f>
        <v/>
      </c>
      <c r="BQ5075">
        <f>IF(5062&lt;$U$9,SUMPRODUCT(($D$10:$L$10&lt;&gt;"")*(($D$9:$L$9+INT(($S$12:$AA$12+INDEX($AJ$13:$AR$162,BN5075,0)+INDEX($AT$13:$BB$162,BO5075,0)+INDEX($BD$13:$BL$162,BP5075,0))/100))&gt;=$D$10:$L$10)),0)</f>
        <v/>
      </c>
      <c r="BR5075">
        <f>IF(5062&lt;$U$9,SUMPRODUCT(($D$10:$L$10&lt;&gt;"")*(($D$10:$L$10-($D$9:$L$9+INT(($S$12:$AA$12+INDEX($AJ$13:$AR$162,BN5075,0)+INDEX($AT$13:$BB$162,BO5075,0)+INDEX($BD$13:$BL$162,BP5075,0))/100)))&gt;0)*($D$10:$L$10-($D$9:$L$9+INT(($S$12:$AA$12+INDEX($AJ$13:$AR$162,BN5075,0)+INDEX($AT$13:$BB$162,BO5075,0)+INDEX($BD$13:$BL$162,BP5075,0))/100)))),0)</f>
        <v/>
      </c>
      <c r="BS5075">
        <f>IF(5062&lt;$U$9,SUMPRODUCT(($D$9:$L$9+INT(($S$12:$AA$12+INDEX($AJ$13:$AR$162,BN5075,0)+INDEX($AT$13:$BB$162,BO5075,0)+INDEX($BD$13:$BL$162,BP5075,0))/100))),0)</f>
        <v/>
      </c>
      <c r="BT5075">
        <f>IF(AND(5062&lt;$U$9,$W$5),BQ5075*1000000-MIN(BR5075,999)*1000+BS5075-5062/100000,-1000000000-5062)</f>
        <v/>
      </c>
    </row>
    <row r="5076">
      <c r="BN5076">
        <f>IF(5063&lt;$U$9,INT(5063/($U$7*$U$8))+1,1)</f>
        <v/>
      </c>
      <c r="BO5076">
        <f>IF(5063&lt;$U$9,MOD(INT(5063/$U$8),$U$7)+1,1)</f>
        <v/>
      </c>
      <c r="BP5076">
        <f>IF(5063&lt;$U$9,MOD(5063,$U$8)+1,1)</f>
        <v/>
      </c>
      <c r="BQ5076">
        <f>IF(5063&lt;$U$9,SUMPRODUCT(($D$10:$L$10&lt;&gt;"")*(($D$9:$L$9+INT(($S$12:$AA$12+INDEX($AJ$13:$AR$162,BN5076,0)+INDEX($AT$13:$BB$162,BO5076,0)+INDEX($BD$13:$BL$162,BP5076,0))/100))&gt;=$D$10:$L$10)),0)</f>
        <v/>
      </c>
      <c r="BR5076">
        <f>IF(5063&lt;$U$9,SUMPRODUCT(($D$10:$L$10&lt;&gt;"")*(($D$10:$L$10-($D$9:$L$9+INT(($S$12:$AA$12+INDEX($AJ$13:$AR$162,BN5076,0)+INDEX($AT$13:$BB$162,BO5076,0)+INDEX($BD$13:$BL$162,BP5076,0))/100)))&gt;0)*($D$10:$L$10-($D$9:$L$9+INT(($S$12:$AA$12+INDEX($AJ$13:$AR$162,BN5076,0)+INDEX($AT$13:$BB$162,BO5076,0)+INDEX($BD$13:$BL$162,BP5076,0))/100)))),0)</f>
        <v/>
      </c>
      <c r="BS5076">
        <f>IF(5063&lt;$U$9,SUMPRODUCT(($D$9:$L$9+INT(($S$12:$AA$12+INDEX($AJ$13:$AR$162,BN5076,0)+INDEX($AT$13:$BB$162,BO5076,0)+INDEX($BD$13:$BL$162,BP5076,0))/100))),0)</f>
        <v/>
      </c>
      <c r="BT5076">
        <f>IF(AND(5063&lt;$U$9,$W$5),BQ5076*1000000-MIN(BR5076,999)*1000+BS5076-5063/100000,-1000000000-5063)</f>
        <v/>
      </c>
    </row>
    <row r="5077">
      <c r="BN5077">
        <f>IF(5064&lt;$U$9,INT(5064/($U$7*$U$8))+1,1)</f>
        <v/>
      </c>
      <c r="BO5077">
        <f>IF(5064&lt;$U$9,MOD(INT(5064/$U$8),$U$7)+1,1)</f>
        <v/>
      </c>
      <c r="BP5077">
        <f>IF(5064&lt;$U$9,MOD(5064,$U$8)+1,1)</f>
        <v/>
      </c>
      <c r="BQ5077">
        <f>IF(5064&lt;$U$9,SUMPRODUCT(($D$10:$L$10&lt;&gt;"")*(($D$9:$L$9+INT(($S$12:$AA$12+INDEX($AJ$13:$AR$162,BN5077,0)+INDEX($AT$13:$BB$162,BO5077,0)+INDEX($BD$13:$BL$162,BP5077,0))/100))&gt;=$D$10:$L$10)),0)</f>
        <v/>
      </c>
      <c r="BR5077">
        <f>IF(5064&lt;$U$9,SUMPRODUCT(($D$10:$L$10&lt;&gt;"")*(($D$10:$L$10-($D$9:$L$9+INT(($S$12:$AA$12+INDEX($AJ$13:$AR$162,BN5077,0)+INDEX($AT$13:$BB$162,BO5077,0)+INDEX($BD$13:$BL$162,BP5077,0))/100)))&gt;0)*($D$10:$L$10-($D$9:$L$9+INT(($S$12:$AA$12+INDEX($AJ$13:$AR$162,BN5077,0)+INDEX($AT$13:$BB$162,BO5077,0)+INDEX($BD$13:$BL$162,BP5077,0))/100)))),0)</f>
        <v/>
      </c>
      <c r="BS5077">
        <f>IF(5064&lt;$U$9,SUMPRODUCT(($D$9:$L$9+INT(($S$12:$AA$12+INDEX($AJ$13:$AR$162,BN5077,0)+INDEX($AT$13:$BB$162,BO5077,0)+INDEX($BD$13:$BL$162,BP5077,0))/100))),0)</f>
        <v/>
      </c>
      <c r="BT5077">
        <f>IF(AND(5064&lt;$U$9,$W$5),BQ5077*1000000-MIN(BR5077,999)*1000+BS5077-5064/100000,-1000000000-5064)</f>
        <v/>
      </c>
    </row>
    <row r="5078">
      <c r="BN5078">
        <f>IF(5065&lt;$U$9,INT(5065/($U$7*$U$8))+1,1)</f>
        <v/>
      </c>
      <c r="BO5078">
        <f>IF(5065&lt;$U$9,MOD(INT(5065/$U$8),$U$7)+1,1)</f>
        <v/>
      </c>
      <c r="BP5078">
        <f>IF(5065&lt;$U$9,MOD(5065,$U$8)+1,1)</f>
        <v/>
      </c>
      <c r="BQ5078">
        <f>IF(5065&lt;$U$9,SUMPRODUCT(($D$10:$L$10&lt;&gt;"")*(($D$9:$L$9+INT(($S$12:$AA$12+INDEX($AJ$13:$AR$162,BN5078,0)+INDEX($AT$13:$BB$162,BO5078,0)+INDEX($BD$13:$BL$162,BP5078,0))/100))&gt;=$D$10:$L$10)),0)</f>
        <v/>
      </c>
      <c r="BR5078">
        <f>IF(5065&lt;$U$9,SUMPRODUCT(($D$10:$L$10&lt;&gt;"")*(($D$10:$L$10-($D$9:$L$9+INT(($S$12:$AA$12+INDEX($AJ$13:$AR$162,BN5078,0)+INDEX($AT$13:$BB$162,BO5078,0)+INDEX($BD$13:$BL$162,BP5078,0))/100)))&gt;0)*($D$10:$L$10-($D$9:$L$9+INT(($S$12:$AA$12+INDEX($AJ$13:$AR$162,BN5078,0)+INDEX($AT$13:$BB$162,BO5078,0)+INDEX($BD$13:$BL$162,BP5078,0))/100)))),0)</f>
        <v/>
      </c>
      <c r="BS5078">
        <f>IF(5065&lt;$U$9,SUMPRODUCT(($D$9:$L$9+INT(($S$12:$AA$12+INDEX($AJ$13:$AR$162,BN5078,0)+INDEX($AT$13:$BB$162,BO5078,0)+INDEX($BD$13:$BL$162,BP5078,0))/100))),0)</f>
        <v/>
      </c>
      <c r="BT5078">
        <f>IF(AND(5065&lt;$U$9,$W$5),BQ5078*1000000-MIN(BR5078,999)*1000+BS5078-5065/100000,-1000000000-5065)</f>
        <v/>
      </c>
    </row>
    <row r="5079">
      <c r="BN5079">
        <f>IF(5066&lt;$U$9,INT(5066/($U$7*$U$8))+1,1)</f>
        <v/>
      </c>
      <c r="BO5079">
        <f>IF(5066&lt;$U$9,MOD(INT(5066/$U$8),$U$7)+1,1)</f>
        <v/>
      </c>
      <c r="BP5079">
        <f>IF(5066&lt;$U$9,MOD(5066,$U$8)+1,1)</f>
        <v/>
      </c>
      <c r="BQ5079">
        <f>IF(5066&lt;$U$9,SUMPRODUCT(($D$10:$L$10&lt;&gt;"")*(($D$9:$L$9+INT(($S$12:$AA$12+INDEX($AJ$13:$AR$162,BN5079,0)+INDEX($AT$13:$BB$162,BO5079,0)+INDEX($BD$13:$BL$162,BP5079,0))/100))&gt;=$D$10:$L$10)),0)</f>
        <v/>
      </c>
      <c r="BR5079">
        <f>IF(5066&lt;$U$9,SUMPRODUCT(($D$10:$L$10&lt;&gt;"")*(($D$10:$L$10-($D$9:$L$9+INT(($S$12:$AA$12+INDEX($AJ$13:$AR$162,BN5079,0)+INDEX($AT$13:$BB$162,BO5079,0)+INDEX($BD$13:$BL$162,BP5079,0))/100)))&gt;0)*($D$10:$L$10-($D$9:$L$9+INT(($S$12:$AA$12+INDEX($AJ$13:$AR$162,BN5079,0)+INDEX($AT$13:$BB$162,BO5079,0)+INDEX($BD$13:$BL$162,BP5079,0))/100)))),0)</f>
        <v/>
      </c>
      <c r="BS5079">
        <f>IF(5066&lt;$U$9,SUMPRODUCT(($D$9:$L$9+INT(($S$12:$AA$12+INDEX($AJ$13:$AR$162,BN5079,0)+INDEX($AT$13:$BB$162,BO5079,0)+INDEX($BD$13:$BL$162,BP5079,0))/100))),0)</f>
        <v/>
      </c>
      <c r="BT5079">
        <f>IF(AND(5066&lt;$U$9,$W$5),BQ5079*1000000-MIN(BR5079,999)*1000+BS5079-5066/100000,-1000000000-5066)</f>
        <v/>
      </c>
    </row>
    <row r="5080">
      <c r="BN5080">
        <f>IF(5067&lt;$U$9,INT(5067/($U$7*$U$8))+1,1)</f>
        <v/>
      </c>
      <c r="BO5080">
        <f>IF(5067&lt;$U$9,MOD(INT(5067/$U$8),$U$7)+1,1)</f>
        <v/>
      </c>
      <c r="BP5080">
        <f>IF(5067&lt;$U$9,MOD(5067,$U$8)+1,1)</f>
        <v/>
      </c>
      <c r="BQ5080">
        <f>IF(5067&lt;$U$9,SUMPRODUCT(($D$10:$L$10&lt;&gt;"")*(($D$9:$L$9+INT(($S$12:$AA$12+INDEX($AJ$13:$AR$162,BN5080,0)+INDEX($AT$13:$BB$162,BO5080,0)+INDEX($BD$13:$BL$162,BP5080,0))/100))&gt;=$D$10:$L$10)),0)</f>
        <v/>
      </c>
      <c r="BR5080">
        <f>IF(5067&lt;$U$9,SUMPRODUCT(($D$10:$L$10&lt;&gt;"")*(($D$10:$L$10-($D$9:$L$9+INT(($S$12:$AA$12+INDEX($AJ$13:$AR$162,BN5080,0)+INDEX($AT$13:$BB$162,BO5080,0)+INDEX($BD$13:$BL$162,BP5080,0))/100)))&gt;0)*($D$10:$L$10-($D$9:$L$9+INT(($S$12:$AA$12+INDEX($AJ$13:$AR$162,BN5080,0)+INDEX($AT$13:$BB$162,BO5080,0)+INDEX($BD$13:$BL$162,BP5080,0))/100)))),0)</f>
        <v/>
      </c>
      <c r="BS5080">
        <f>IF(5067&lt;$U$9,SUMPRODUCT(($D$9:$L$9+INT(($S$12:$AA$12+INDEX($AJ$13:$AR$162,BN5080,0)+INDEX($AT$13:$BB$162,BO5080,0)+INDEX($BD$13:$BL$162,BP5080,0))/100))),0)</f>
        <v/>
      </c>
      <c r="BT5080">
        <f>IF(AND(5067&lt;$U$9,$W$5),BQ5080*1000000-MIN(BR5080,999)*1000+BS5080-5067/100000,-1000000000-5067)</f>
        <v/>
      </c>
    </row>
    <row r="5081">
      <c r="BN5081">
        <f>IF(5068&lt;$U$9,INT(5068/($U$7*$U$8))+1,1)</f>
        <v/>
      </c>
      <c r="BO5081">
        <f>IF(5068&lt;$U$9,MOD(INT(5068/$U$8),$U$7)+1,1)</f>
        <v/>
      </c>
      <c r="BP5081">
        <f>IF(5068&lt;$U$9,MOD(5068,$U$8)+1,1)</f>
        <v/>
      </c>
      <c r="BQ5081">
        <f>IF(5068&lt;$U$9,SUMPRODUCT(($D$10:$L$10&lt;&gt;"")*(($D$9:$L$9+INT(($S$12:$AA$12+INDEX($AJ$13:$AR$162,BN5081,0)+INDEX($AT$13:$BB$162,BO5081,0)+INDEX($BD$13:$BL$162,BP5081,0))/100))&gt;=$D$10:$L$10)),0)</f>
        <v/>
      </c>
      <c r="BR5081">
        <f>IF(5068&lt;$U$9,SUMPRODUCT(($D$10:$L$10&lt;&gt;"")*(($D$10:$L$10-($D$9:$L$9+INT(($S$12:$AA$12+INDEX($AJ$13:$AR$162,BN5081,0)+INDEX($AT$13:$BB$162,BO5081,0)+INDEX($BD$13:$BL$162,BP5081,0))/100)))&gt;0)*($D$10:$L$10-($D$9:$L$9+INT(($S$12:$AA$12+INDEX($AJ$13:$AR$162,BN5081,0)+INDEX($AT$13:$BB$162,BO5081,0)+INDEX($BD$13:$BL$162,BP5081,0))/100)))),0)</f>
        <v/>
      </c>
      <c r="BS5081">
        <f>IF(5068&lt;$U$9,SUMPRODUCT(($D$9:$L$9+INT(($S$12:$AA$12+INDEX($AJ$13:$AR$162,BN5081,0)+INDEX($AT$13:$BB$162,BO5081,0)+INDEX($BD$13:$BL$162,BP5081,0))/100))),0)</f>
        <v/>
      </c>
      <c r="BT5081">
        <f>IF(AND(5068&lt;$U$9,$W$5),BQ5081*1000000-MIN(BR5081,999)*1000+BS5081-5068/100000,-1000000000-5068)</f>
        <v/>
      </c>
    </row>
    <row r="5082">
      <c r="BN5082">
        <f>IF(5069&lt;$U$9,INT(5069/($U$7*$U$8))+1,1)</f>
        <v/>
      </c>
      <c r="BO5082">
        <f>IF(5069&lt;$U$9,MOD(INT(5069/$U$8),$U$7)+1,1)</f>
        <v/>
      </c>
      <c r="BP5082">
        <f>IF(5069&lt;$U$9,MOD(5069,$U$8)+1,1)</f>
        <v/>
      </c>
      <c r="BQ5082">
        <f>IF(5069&lt;$U$9,SUMPRODUCT(($D$10:$L$10&lt;&gt;"")*(($D$9:$L$9+INT(($S$12:$AA$12+INDEX($AJ$13:$AR$162,BN5082,0)+INDEX($AT$13:$BB$162,BO5082,0)+INDEX($BD$13:$BL$162,BP5082,0))/100))&gt;=$D$10:$L$10)),0)</f>
        <v/>
      </c>
      <c r="BR5082">
        <f>IF(5069&lt;$U$9,SUMPRODUCT(($D$10:$L$10&lt;&gt;"")*(($D$10:$L$10-($D$9:$L$9+INT(($S$12:$AA$12+INDEX($AJ$13:$AR$162,BN5082,0)+INDEX($AT$13:$BB$162,BO5082,0)+INDEX($BD$13:$BL$162,BP5082,0))/100)))&gt;0)*($D$10:$L$10-($D$9:$L$9+INT(($S$12:$AA$12+INDEX($AJ$13:$AR$162,BN5082,0)+INDEX($AT$13:$BB$162,BO5082,0)+INDEX($BD$13:$BL$162,BP5082,0))/100)))),0)</f>
        <v/>
      </c>
      <c r="BS5082">
        <f>IF(5069&lt;$U$9,SUMPRODUCT(($D$9:$L$9+INT(($S$12:$AA$12+INDEX($AJ$13:$AR$162,BN5082,0)+INDEX($AT$13:$BB$162,BO5082,0)+INDEX($BD$13:$BL$162,BP5082,0))/100))),0)</f>
        <v/>
      </c>
      <c r="BT5082">
        <f>IF(AND(5069&lt;$U$9,$W$5),BQ5082*1000000-MIN(BR5082,999)*1000+BS5082-5069/100000,-1000000000-5069)</f>
        <v/>
      </c>
    </row>
    <row r="5083">
      <c r="BN5083">
        <f>IF(5070&lt;$U$9,INT(5070/($U$7*$U$8))+1,1)</f>
        <v/>
      </c>
      <c r="BO5083">
        <f>IF(5070&lt;$U$9,MOD(INT(5070/$U$8),$U$7)+1,1)</f>
        <v/>
      </c>
      <c r="BP5083">
        <f>IF(5070&lt;$U$9,MOD(5070,$U$8)+1,1)</f>
        <v/>
      </c>
      <c r="BQ5083">
        <f>IF(5070&lt;$U$9,SUMPRODUCT(($D$10:$L$10&lt;&gt;"")*(($D$9:$L$9+INT(($S$12:$AA$12+INDEX($AJ$13:$AR$162,BN5083,0)+INDEX($AT$13:$BB$162,BO5083,0)+INDEX($BD$13:$BL$162,BP5083,0))/100))&gt;=$D$10:$L$10)),0)</f>
        <v/>
      </c>
      <c r="BR5083">
        <f>IF(5070&lt;$U$9,SUMPRODUCT(($D$10:$L$10&lt;&gt;"")*(($D$10:$L$10-($D$9:$L$9+INT(($S$12:$AA$12+INDEX($AJ$13:$AR$162,BN5083,0)+INDEX($AT$13:$BB$162,BO5083,0)+INDEX($BD$13:$BL$162,BP5083,0))/100)))&gt;0)*($D$10:$L$10-($D$9:$L$9+INT(($S$12:$AA$12+INDEX($AJ$13:$AR$162,BN5083,0)+INDEX($AT$13:$BB$162,BO5083,0)+INDEX($BD$13:$BL$162,BP5083,0))/100)))),0)</f>
        <v/>
      </c>
      <c r="BS5083">
        <f>IF(5070&lt;$U$9,SUMPRODUCT(($D$9:$L$9+INT(($S$12:$AA$12+INDEX($AJ$13:$AR$162,BN5083,0)+INDEX($AT$13:$BB$162,BO5083,0)+INDEX($BD$13:$BL$162,BP5083,0))/100))),0)</f>
        <v/>
      </c>
      <c r="BT5083">
        <f>IF(AND(5070&lt;$U$9,$W$5),BQ5083*1000000-MIN(BR5083,999)*1000+BS5083-5070/100000,-1000000000-5070)</f>
        <v/>
      </c>
    </row>
    <row r="5084">
      <c r="BN5084">
        <f>IF(5071&lt;$U$9,INT(5071/($U$7*$U$8))+1,1)</f>
        <v/>
      </c>
      <c r="BO5084">
        <f>IF(5071&lt;$U$9,MOD(INT(5071/$U$8),$U$7)+1,1)</f>
        <v/>
      </c>
      <c r="BP5084">
        <f>IF(5071&lt;$U$9,MOD(5071,$U$8)+1,1)</f>
        <v/>
      </c>
      <c r="BQ5084">
        <f>IF(5071&lt;$U$9,SUMPRODUCT(($D$10:$L$10&lt;&gt;"")*(($D$9:$L$9+INT(($S$12:$AA$12+INDEX($AJ$13:$AR$162,BN5084,0)+INDEX($AT$13:$BB$162,BO5084,0)+INDEX($BD$13:$BL$162,BP5084,0))/100))&gt;=$D$10:$L$10)),0)</f>
        <v/>
      </c>
      <c r="BR5084">
        <f>IF(5071&lt;$U$9,SUMPRODUCT(($D$10:$L$10&lt;&gt;"")*(($D$10:$L$10-($D$9:$L$9+INT(($S$12:$AA$12+INDEX($AJ$13:$AR$162,BN5084,0)+INDEX($AT$13:$BB$162,BO5084,0)+INDEX($BD$13:$BL$162,BP5084,0))/100)))&gt;0)*($D$10:$L$10-($D$9:$L$9+INT(($S$12:$AA$12+INDEX($AJ$13:$AR$162,BN5084,0)+INDEX($AT$13:$BB$162,BO5084,0)+INDEX($BD$13:$BL$162,BP5084,0))/100)))),0)</f>
        <v/>
      </c>
      <c r="BS5084">
        <f>IF(5071&lt;$U$9,SUMPRODUCT(($D$9:$L$9+INT(($S$12:$AA$12+INDEX($AJ$13:$AR$162,BN5084,0)+INDEX($AT$13:$BB$162,BO5084,0)+INDEX($BD$13:$BL$162,BP5084,0))/100))),0)</f>
        <v/>
      </c>
      <c r="BT5084">
        <f>IF(AND(5071&lt;$U$9,$W$5),BQ5084*1000000-MIN(BR5084,999)*1000+BS5084-5071/100000,-1000000000-5071)</f>
        <v/>
      </c>
    </row>
    <row r="5085">
      <c r="BN5085">
        <f>IF(5072&lt;$U$9,INT(5072/($U$7*$U$8))+1,1)</f>
        <v/>
      </c>
      <c r="BO5085">
        <f>IF(5072&lt;$U$9,MOD(INT(5072/$U$8),$U$7)+1,1)</f>
        <v/>
      </c>
      <c r="BP5085">
        <f>IF(5072&lt;$U$9,MOD(5072,$U$8)+1,1)</f>
        <v/>
      </c>
      <c r="BQ5085">
        <f>IF(5072&lt;$U$9,SUMPRODUCT(($D$10:$L$10&lt;&gt;"")*(($D$9:$L$9+INT(($S$12:$AA$12+INDEX($AJ$13:$AR$162,BN5085,0)+INDEX($AT$13:$BB$162,BO5085,0)+INDEX($BD$13:$BL$162,BP5085,0))/100))&gt;=$D$10:$L$10)),0)</f>
        <v/>
      </c>
      <c r="BR5085">
        <f>IF(5072&lt;$U$9,SUMPRODUCT(($D$10:$L$10&lt;&gt;"")*(($D$10:$L$10-($D$9:$L$9+INT(($S$12:$AA$12+INDEX($AJ$13:$AR$162,BN5085,0)+INDEX($AT$13:$BB$162,BO5085,0)+INDEX($BD$13:$BL$162,BP5085,0))/100)))&gt;0)*($D$10:$L$10-($D$9:$L$9+INT(($S$12:$AA$12+INDEX($AJ$13:$AR$162,BN5085,0)+INDEX($AT$13:$BB$162,BO5085,0)+INDEX($BD$13:$BL$162,BP5085,0))/100)))),0)</f>
        <v/>
      </c>
      <c r="BS5085">
        <f>IF(5072&lt;$U$9,SUMPRODUCT(($D$9:$L$9+INT(($S$12:$AA$12+INDEX($AJ$13:$AR$162,BN5085,0)+INDEX($AT$13:$BB$162,BO5085,0)+INDEX($BD$13:$BL$162,BP5085,0))/100))),0)</f>
        <v/>
      </c>
      <c r="BT5085">
        <f>IF(AND(5072&lt;$U$9,$W$5),BQ5085*1000000-MIN(BR5085,999)*1000+BS5085-5072/100000,-1000000000-5072)</f>
        <v/>
      </c>
    </row>
    <row r="5086">
      <c r="BN5086">
        <f>IF(5073&lt;$U$9,INT(5073/($U$7*$U$8))+1,1)</f>
        <v/>
      </c>
      <c r="BO5086">
        <f>IF(5073&lt;$U$9,MOD(INT(5073/$U$8),$U$7)+1,1)</f>
        <v/>
      </c>
      <c r="BP5086">
        <f>IF(5073&lt;$U$9,MOD(5073,$U$8)+1,1)</f>
        <v/>
      </c>
      <c r="BQ5086">
        <f>IF(5073&lt;$U$9,SUMPRODUCT(($D$10:$L$10&lt;&gt;"")*(($D$9:$L$9+INT(($S$12:$AA$12+INDEX($AJ$13:$AR$162,BN5086,0)+INDEX($AT$13:$BB$162,BO5086,0)+INDEX($BD$13:$BL$162,BP5086,0))/100))&gt;=$D$10:$L$10)),0)</f>
        <v/>
      </c>
      <c r="BR5086">
        <f>IF(5073&lt;$U$9,SUMPRODUCT(($D$10:$L$10&lt;&gt;"")*(($D$10:$L$10-($D$9:$L$9+INT(($S$12:$AA$12+INDEX($AJ$13:$AR$162,BN5086,0)+INDEX($AT$13:$BB$162,BO5086,0)+INDEX($BD$13:$BL$162,BP5086,0))/100)))&gt;0)*($D$10:$L$10-($D$9:$L$9+INT(($S$12:$AA$12+INDEX($AJ$13:$AR$162,BN5086,0)+INDEX($AT$13:$BB$162,BO5086,0)+INDEX($BD$13:$BL$162,BP5086,0))/100)))),0)</f>
        <v/>
      </c>
      <c r="BS5086">
        <f>IF(5073&lt;$U$9,SUMPRODUCT(($D$9:$L$9+INT(($S$12:$AA$12+INDEX($AJ$13:$AR$162,BN5086,0)+INDEX($AT$13:$BB$162,BO5086,0)+INDEX($BD$13:$BL$162,BP5086,0))/100))),0)</f>
        <v/>
      </c>
      <c r="BT5086">
        <f>IF(AND(5073&lt;$U$9,$W$5),BQ5086*1000000-MIN(BR5086,999)*1000+BS5086-5073/100000,-1000000000-5073)</f>
        <v/>
      </c>
    </row>
    <row r="5087">
      <c r="BN5087">
        <f>IF(5074&lt;$U$9,INT(5074/($U$7*$U$8))+1,1)</f>
        <v/>
      </c>
      <c r="BO5087">
        <f>IF(5074&lt;$U$9,MOD(INT(5074/$U$8),$U$7)+1,1)</f>
        <v/>
      </c>
      <c r="BP5087">
        <f>IF(5074&lt;$U$9,MOD(5074,$U$8)+1,1)</f>
        <v/>
      </c>
      <c r="BQ5087">
        <f>IF(5074&lt;$U$9,SUMPRODUCT(($D$10:$L$10&lt;&gt;"")*(($D$9:$L$9+INT(($S$12:$AA$12+INDEX($AJ$13:$AR$162,BN5087,0)+INDEX($AT$13:$BB$162,BO5087,0)+INDEX($BD$13:$BL$162,BP5087,0))/100))&gt;=$D$10:$L$10)),0)</f>
        <v/>
      </c>
      <c r="BR5087">
        <f>IF(5074&lt;$U$9,SUMPRODUCT(($D$10:$L$10&lt;&gt;"")*(($D$10:$L$10-($D$9:$L$9+INT(($S$12:$AA$12+INDEX($AJ$13:$AR$162,BN5087,0)+INDEX($AT$13:$BB$162,BO5087,0)+INDEX($BD$13:$BL$162,BP5087,0))/100)))&gt;0)*($D$10:$L$10-($D$9:$L$9+INT(($S$12:$AA$12+INDEX($AJ$13:$AR$162,BN5087,0)+INDEX($AT$13:$BB$162,BO5087,0)+INDEX($BD$13:$BL$162,BP5087,0))/100)))),0)</f>
        <v/>
      </c>
      <c r="BS5087">
        <f>IF(5074&lt;$U$9,SUMPRODUCT(($D$9:$L$9+INT(($S$12:$AA$12+INDEX($AJ$13:$AR$162,BN5087,0)+INDEX($AT$13:$BB$162,BO5087,0)+INDEX($BD$13:$BL$162,BP5087,0))/100))),0)</f>
        <v/>
      </c>
      <c r="BT5087">
        <f>IF(AND(5074&lt;$U$9,$W$5),BQ5087*1000000-MIN(BR5087,999)*1000+BS5087-5074/100000,-1000000000-5074)</f>
        <v/>
      </c>
    </row>
    <row r="5088">
      <c r="BN5088">
        <f>IF(5075&lt;$U$9,INT(5075/($U$7*$U$8))+1,1)</f>
        <v/>
      </c>
      <c r="BO5088">
        <f>IF(5075&lt;$U$9,MOD(INT(5075/$U$8),$U$7)+1,1)</f>
        <v/>
      </c>
      <c r="BP5088">
        <f>IF(5075&lt;$U$9,MOD(5075,$U$8)+1,1)</f>
        <v/>
      </c>
      <c r="BQ5088">
        <f>IF(5075&lt;$U$9,SUMPRODUCT(($D$10:$L$10&lt;&gt;"")*(($D$9:$L$9+INT(($S$12:$AA$12+INDEX($AJ$13:$AR$162,BN5088,0)+INDEX($AT$13:$BB$162,BO5088,0)+INDEX($BD$13:$BL$162,BP5088,0))/100))&gt;=$D$10:$L$10)),0)</f>
        <v/>
      </c>
      <c r="BR5088">
        <f>IF(5075&lt;$U$9,SUMPRODUCT(($D$10:$L$10&lt;&gt;"")*(($D$10:$L$10-($D$9:$L$9+INT(($S$12:$AA$12+INDEX($AJ$13:$AR$162,BN5088,0)+INDEX($AT$13:$BB$162,BO5088,0)+INDEX($BD$13:$BL$162,BP5088,0))/100)))&gt;0)*($D$10:$L$10-($D$9:$L$9+INT(($S$12:$AA$12+INDEX($AJ$13:$AR$162,BN5088,0)+INDEX($AT$13:$BB$162,BO5088,0)+INDEX($BD$13:$BL$162,BP5088,0))/100)))),0)</f>
        <v/>
      </c>
      <c r="BS5088">
        <f>IF(5075&lt;$U$9,SUMPRODUCT(($D$9:$L$9+INT(($S$12:$AA$12+INDEX($AJ$13:$AR$162,BN5088,0)+INDEX($AT$13:$BB$162,BO5088,0)+INDEX($BD$13:$BL$162,BP5088,0))/100))),0)</f>
        <v/>
      </c>
      <c r="BT5088">
        <f>IF(AND(5075&lt;$U$9,$W$5),BQ5088*1000000-MIN(BR5088,999)*1000+BS5088-5075/100000,-1000000000-5075)</f>
        <v/>
      </c>
    </row>
    <row r="5089">
      <c r="BN5089">
        <f>IF(5076&lt;$U$9,INT(5076/($U$7*$U$8))+1,1)</f>
        <v/>
      </c>
      <c r="BO5089">
        <f>IF(5076&lt;$U$9,MOD(INT(5076/$U$8),$U$7)+1,1)</f>
        <v/>
      </c>
      <c r="BP5089">
        <f>IF(5076&lt;$U$9,MOD(5076,$U$8)+1,1)</f>
        <v/>
      </c>
      <c r="BQ5089">
        <f>IF(5076&lt;$U$9,SUMPRODUCT(($D$10:$L$10&lt;&gt;"")*(($D$9:$L$9+INT(($S$12:$AA$12+INDEX($AJ$13:$AR$162,BN5089,0)+INDEX($AT$13:$BB$162,BO5089,0)+INDEX($BD$13:$BL$162,BP5089,0))/100))&gt;=$D$10:$L$10)),0)</f>
        <v/>
      </c>
      <c r="BR5089">
        <f>IF(5076&lt;$U$9,SUMPRODUCT(($D$10:$L$10&lt;&gt;"")*(($D$10:$L$10-($D$9:$L$9+INT(($S$12:$AA$12+INDEX($AJ$13:$AR$162,BN5089,0)+INDEX($AT$13:$BB$162,BO5089,0)+INDEX($BD$13:$BL$162,BP5089,0))/100)))&gt;0)*($D$10:$L$10-($D$9:$L$9+INT(($S$12:$AA$12+INDEX($AJ$13:$AR$162,BN5089,0)+INDEX($AT$13:$BB$162,BO5089,0)+INDEX($BD$13:$BL$162,BP5089,0))/100)))),0)</f>
        <v/>
      </c>
      <c r="BS5089">
        <f>IF(5076&lt;$U$9,SUMPRODUCT(($D$9:$L$9+INT(($S$12:$AA$12+INDEX($AJ$13:$AR$162,BN5089,0)+INDEX($AT$13:$BB$162,BO5089,0)+INDEX($BD$13:$BL$162,BP5089,0))/100))),0)</f>
        <v/>
      </c>
      <c r="BT5089">
        <f>IF(AND(5076&lt;$U$9,$W$5),BQ5089*1000000-MIN(BR5089,999)*1000+BS5089-5076/100000,-1000000000-5076)</f>
        <v/>
      </c>
    </row>
    <row r="5090">
      <c r="BN5090">
        <f>IF(5077&lt;$U$9,INT(5077/($U$7*$U$8))+1,1)</f>
        <v/>
      </c>
      <c r="BO5090">
        <f>IF(5077&lt;$U$9,MOD(INT(5077/$U$8),$U$7)+1,1)</f>
        <v/>
      </c>
      <c r="BP5090">
        <f>IF(5077&lt;$U$9,MOD(5077,$U$8)+1,1)</f>
        <v/>
      </c>
      <c r="BQ5090">
        <f>IF(5077&lt;$U$9,SUMPRODUCT(($D$10:$L$10&lt;&gt;"")*(($D$9:$L$9+INT(($S$12:$AA$12+INDEX($AJ$13:$AR$162,BN5090,0)+INDEX($AT$13:$BB$162,BO5090,0)+INDEX($BD$13:$BL$162,BP5090,0))/100))&gt;=$D$10:$L$10)),0)</f>
        <v/>
      </c>
      <c r="BR5090">
        <f>IF(5077&lt;$U$9,SUMPRODUCT(($D$10:$L$10&lt;&gt;"")*(($D$10:$L$10-($D$9:$L$9+INT(($S$12:$AA$12+INDEX($AJ$13:$AR$162,BN5090,0)+INDEX($AT$13:$BB$162,BO5090,0)+INDEX($BD$13:$BL$162,BP5090,0))/100)))&gt;0)*($D$10:$L$10-($D$9:$L$9+INT(($S$12:$AA$12+INDEX($AJ$13:$AR$162,BN5090,0)+INDEX($AT$13:$BB$162,BO5090,0)+INDEX($BD$13:$BL$162,BP5090,0))/100)))),0)</f>
        <v/>
      </c>
      <c r="BS5090">
        <f>IF(5077&lt;$U$9,SUMPRODUCT(($D$9:$L$9+INT(($S$12:$AA$12+INDEX($AJ$13:$AR$162,BN5090,0)+INDEX($AT$13:$BB$162,BO5090,0)+INDEX($BD$13:$BL$162,BP5090,0))/100))),0)</f>
        <v/>
      </c>
      <c r="BT5090">
        <f>IF(AND(5077&lt;$U$9,$W$5),BQ5090*1000000-MIN(BR5090,999)*1000+BS5090-5077/100000,-1000000000-5077)</f>
        <v/>
      </c>
    </row>
    <row r="5091">
      <c r="BN5091">
        <f>IF(5078&lt;$U$9,INT(5078/($U$7*$U$8))+1,1)</f>
        <v/>
      </c>
      <c r="BO5091">
        <f>IF(5078&lt;$U$9,MOD(INT(5078/$U$8),$U$7)+1,1)</f>
        <v/>
      </c>
      <c r="BP5091">
        <f>IF(5078&lt;$U$9,MOD(5078,$U$8)+1,1)</f>
        <v/>
      </c>
      <c r="BQ5091">
        <f>IF(5078&lt;$U$9,SUMPRODUCT(($D$10:$L$10&lt;&gt;"")*(($D$9:$L$9+INT(($S$12:$AA$12+INDEX($AJ$13:$AR$162,BN5091,0)+INDEX($AT$13:$BB$162,BO5091,0)+INDEX($BD$13:$BL$162,BP5091,0))/100))&gt;=$D$10:$L$10)),0)</f>
        <v/>
      </c>
      <c r="BR5091">
        <f>IF(5078&lt;$U$9,SUMPRODUCT(($D$10:$L$10&lt;&gt;"")*(($D$10:$L$10-($D$9:$L$9+INT(($S$12:$AA$12+INDEX($AJ$13:$AR$162,BN5091,0)+INDEX($AT$13:$BB$162,BO5091,0)+INDEX($BD$13:$BL$162,BP5091,0))/100)))&gt;0)*($D$10:$L$10-($D$9:$L$9+INT(($S$12:$AA$12+INDEX($AJ$13:$AR$162,BN5091,0)+INDEX($AT$13:$BB$162,BO5091,0)+INDEX($BD$13:$BL$162,BP5091,0))/100)))),0)</f>
        <v/>
      </c>
      <c r="BS5091">
        <f>IF(5078&lt;$U$9,SUMPRODUCT(($D$9:$L$9+INT(($S$12:$AA$12+INDEX($AJ$13:$AR$162,BN5091,0)+INDEX($AT$13:$BB$162,BO5091,0)+INDEX($BD$13:$BL$162,BP5091,0))/100))),0)</f>
        <v/>
      </c>
      <c r="BT5091">
        <f>IF(AND(5078&lt;$U$9,$W$5),BQ5091*1000000-MIN(BR5091,999)*1000+BS5091-5078/100000,-1000000000-5078)</f>
        <v/>
      </c>
    </row>
    <row r="5092">
      <c r="BN5092">
        <f>IF(5079&lt;$U$9,INT(5079/($U$7*$U$8))+1,1)</f>
        <v/>
      </c>
      <c r="BO5092">
        <f>IF(5079&lt;$U$9,MOD(INT(5079/$U$8),$U$7)+1,1)</f>
        <v/>
      </c>
      <c r="BP5092">
        <f>IF(5079&lt;$U$9,MOD(5079,$U$8)+1,1)</f>
        <v/>
      </c>
      <c r="BQ5092">
        <f>IF(5079&lt;$U$9,SUMPRODUCT(($D$10:$L$10&lt;&gt;"")*(($D$9:$L$9+INT(($S$12:$AA$12+INDEX($AJ$13:$AR$162,BN5092,0)+INDEX($AT$13:$BB$162,BO5092,0)+INDEX($BD$13:$BL$162,BP5092,0))/100))&gt;=$D$10:$L$10)),0)</f>
        <v/>
      </c>
      <c r="BR5092">
        <f>IF(5079&lt;$U$9,SUMPRODUCT(($D$10:$L$10&lt;&gt;"")*(($D$10:$L$10-($D$9:$L$9+INT(($S$12:$AA$12+INDEX($AJ$13:$AR$162,BN5092,0)+INDEX($AT$13:$BB$162,BO5092,0)+INDEX($BD$13:$BL$162,BP5092,0))/100)))&gt;0)*($D$10:$L$10-($D$9:$L$9+INT(($S$12:$AA$12+INDEX($AJ$13:$AR$162,BN5092,0)+INDEX($AT$13:$BB$162,BO5092,0)+INDEX($BD$13:$BL$162,BP5092,0))/100)))),0)</f>
        <v/>
      </c>
      <c r="BS5092">
        <f>IF(5079&lt;$U$9,SUMPRODUCT(($D$9:$L$9+INT(($S$12:$AA$12+INDEX($AJ$13:$AR$162,BN5092,0)+INDEX($AT$13:$BB$162,BO5092,0)+INDEX($BD$13:$BL$162,BP5092,0))/100))),0)</f>
        <v/>
      </c>
      <c r="BT5092">
        <f>IF(AND(5079&lt;$U$9,$W$5),BQ5092*1000000-MIN(BR5092,999)*1000+BS5092-5079/100000,-1000000000-5079)</f>
        <v/>
      </c>
    </row>
    <row r="5093">
      <c r="BN5093">
        <f>IF(5080&lt;$U$9,INT(5080/($U$7*$U$8))+1,1)</f>
        <v/>
      </c>
      <c r="BO5093">
        <f>IF(5080&lt;$U$9,MOD(INT(5080/$U$8),$U$7)+1,1)</f>
        <v/>
      </c>
      <c r="BP5093">
        <f>IF(5080&lt;$U$9,MOD(5080,$U$8)+1,1)</f>
        <v/>
      </c>
      <c r="BQ5093">
        <f>IF(5080&lt;$U$9,SUMPRODUCT(($D$10:$L$10&lt;&gt;"")*(($D$9:$L$9+INT(($S$12:$AA$12+INDEX($AJ$13:$AR$162,BN5093,0)+INDEX($AT$13:$BB$162,BO5093,0)+INDEX($BD$13:$BL$162,BP5093,0))/100))&gt;=$D$10:$L$10)),0)</f>
        <v/>
      </c>
      <c r="BR5093">
        <f>IF(5080&lt;$U$9,SUMPRODUCT(($D$10:$L$10&lt;&gt;"")*(($D$10:$L$10-($D$9:$L$9+INT(($S$12:$AA$12+INDEX($AJ$13:$AR$162,BN5093,0)+INDEX($AT$13:$BB$162,BO5093,0)+INDEX($BD$13:$BL$162,BP5093,0))/100)))&gt;0)*($D$10:$L$10-($D$9:$L$9+INT(($S$12:$AA$12+INDEX($AJ$13:$AR$162,BN5093,0)+INDEX($AT$13:$BB$162,BO5093,0)+INDEX($BD$13:$BL$162,BP5093,0))/100)))),0)</f>
        <v/>
      </c>
      <c r="BS5093">
        <f>IF(5080&lt;$U$9,SUMPRODUCT(($D$9:$L$9+INT(($S$12:$AA$12+INDEX($AJ$13:$AR$162,BN5093,0)+INDEX($AT$13:$BB$162,BO5093,0)+INDEX($BD$13:$BL$162,BP5093,0))/100))),0)</f>
        <v/>
      </c>
      <c r="BT5093">
        <f>IF(AND(5080&lt;$U$9,$W$5),BQ5093*1000000-MIN(BR5093,999)*1000+BS5093-5080/100000,-1000000000-5080)</f>
        <v/>
      </c>
    </row>
    <row r="5094">
      <c r="BN5094">
        <f>IF(5081&lt;$U$9,INT(5081/($U$7*$U$8))+1,1)</f>
        <v/>
      </c>
      <c r="BO5094">
        <f>IF(5081&lt;$U$9,MOD(INT(5081/$U$8),$U$7)+1,1)</f>
        <v/>
      </c>
      <c r="BP5094">
        <f>IF(5081&lt;$U$9,MOD(5081,$U$8)+1,1)</f>
        <v/>
      </c>
      <c r="BQ5094">
        <f>IF(5081&lt;$U$9,SUMPRODUCT(($D$10:$L$10&lt;&gt;"")*(($D$9:$L$9+INT(($S$12:$AA$12+INDEX($AJ$13:$AR$162,BN5094,0)+INDEX($AT$13:$BB$162,BO5094,0)+INDEX($BD$13:$BL$162,BP5094,0))/100))&gt;=$D$10:$L$10)),0)</f>
        <v/>
      </c>
      <c r="BR5094">
        <f>IF(5081&lt;$U$9,SUMPRODUCT(($D$10:$L$10&lt;&gt;"")*(($D$10:$L$10-($D$9:$L$9+INT(($S$12:$AA$12+INDEX($AJ$13:$AR$162,BN5094,0)+INDEX($AT$13:$BB$162,BO5094,0)+INDEX($BD$13:$BL$162,BP5094,0))/100)))&gt;0)*($D$10:$L$10-($D$9:$L$9+INT(($S$12:$AA$12+INDEX($AJ$13:$AR$162,BN5094,0)+INDEX($AT$13:$BB$162,BO5094,0)+INDEX($BD$13:$BL$162,BP5094,0))/100)))),0)</f>
        <v/>
      </c>
      <c r="BS5094">
        <f>IF(5081&lt;$U$9,SUMPRODUCT(($D$9:$L$9+INT(($S$12:$AA$12+INDEX($AJ$13:$AR$162,BN5094,0)+INDEX($AT$13:$BB$162,BO5094,0)+INDEX($BD$13:$BL$162,BP5094,0))/100))),0)</f>
        <v/>
      </c>
      <c r="BT5094">
        <f>IF(AND(5081&lt;$U$9,$W$5),BQ5094*1000000-MIN(BR5094,999)*1000+BS5094-5081/100000,-1000000000-5081)</f>
        <v/>
      </c>
    </row>
    <row r="5095">
      <c r="BN5095">
        <f>IF(5082&lt;$U$9,INT(5082/($U$7*$U$8))+1,1)</f>
        <v/>
      </c>
      <c r="BO5095">
        <f>IF(5082&lt;$U$9,MOD(INT(5082/$U$8),$U$7)+1,1)</f>
        <v/>
      </c>
      <c r="BP5095">
        <f>IF(5082&lt;$U$9,MOD(5082,$U$8)+1,1)</f>
        <v/>
      </c>
      <c r="BQ5095">
        <f>IF(5082&lt;$U$9,SUMPRODUCT(($D$10:$L$10&lt;&gt;"")*(($D$9:$L$9+INT(($S$12:$AA$12+INDEX($AJ$13:$AR$162,BN5095,0)+INDEX($AT$13:$BB$162,BO5095,0)+INDEX($BD$13:$BL$162,BP5095,0))/100))&gt;=$D$10:$L$10)),0)</f>
        <v/>
      </c>
      <c r="BR5095">
        <f>IF(5082&lt;$U$9,SUMPRODUCT(($D$10:$L$10&lt;&gt;"")*(($D$10:$L$10-($D$9:$L$9+INT(($S$12:$AA$12+INDEX($AJ$13:$AR$162,BN5095,0)+INDEX($AT$13:$BB$162,BO5095,0)+INDEX($BD$13:$BL$162,BP5095,0))/100)))&gt;0)*($D$10:$L$10-($D$9:$L$9+INT(($S$12:$AA$12+INDEX($AJ$13:$AR$162,BN5095,0)+INDEX($AT$13:$BB$162,BO5095,0)+INDEX($BD$13:$BL$162,BP5095,0))/100)))),0)</f>
        <v/>
      </c>
      <c r="BS5095">
        <f>IF(5082&lt;$U$9,SUMPRODUCT(($D$9:$L$9+INT(($S$12:$AA$12+INDEX($AJ$13:$AR$162,BN5095,0)+INDEX($AT$13:$BB$162,BO5095,0)+INDEX($BD$13:$BL$162,BP5095,0))/100))),0)</f>
        <v/>
      </c>
      <c r="BT5095">
        <f>IF(AND(5082&lt;$U$9,$W$5),BQ5095*1000000-MIN(BR5095,999)*1000+BS5095-5082/100000,-1000000000-5082)</f>
        <v/>
      </c>
    </row>
    <row r="5096">
      <c r="BN5096">
        <f>IF(5083&lt;$U$9,INT(5083/($U$7*$U$8))+1,1)</f>
        <v/>
      </c>
      <c r="BO5096">
        <f>IF(5083&lt;$U$9,MOD(INT(5083/$U$8),$U$7)+1,1)</f>
        <v/>
      </c>
      <c r="BP5096">
        <f>IF(5083&lt;$U$9,MOD(5083,$U$8)+1,1)</f>
        <v/>
      </c>
      <c r="BQ5096">
        <f>IF(5083&lt;$U$9,SUMPRODUCT(($D$10:$L$10&lt;&gt;"")*(($D$9:$L$9+INT(($S$12:$AA$12+INDEX($AJ$13:$AR$162,BN5096,0)+INDEX($AT$13:$BB$162,BO5096,0)+INDEX($BD$13:$BL$162,BP5096,0))/100))&gt;=$D$10:$L$10)),0)</f>
        <v/>
      </c>
      <c r="BR5096">
        <f>IF(5083&lt;$U$9,SUMPRODUCT(($D$10:$L$10&lt;&gt;"")*(($D$10:$L$10-($D$9:$L$9+INT(($S$12:$AA$12+INDEX($AJ$13:$AR$162,BN5096,0)+INDEX($AT$13:$BB$162,BO5096,0)+INDEX($BD$13:$BL$162,BP5096,0))/100)))&gt;0)*($D$10:$L$10-($D$9:$L$9+INT(($S$12:$AA$12+INDEX($AJ$13:$AR$162,BN5096,0)+INDEX($AT$13:$BB$162,BO5096,0)+INDEX($BD$13:$BL$162,BP5096,0))/100)))),0)</f>
        <v/>
      </c>
      <c r="BS5096">
        <f>IF(5083&lt;$U$9,SUMPRODUCT(($D$9:$L$9+INT(($S$12:$AA$12+INDEX($AJ$13:$AR$162,BN5096,0)+INDEX($AT$13:$BB$162,BO5096,0)+INDEX($BD$13:$BL$162,BP5096,0))/100))),0)</f>
        <v/>
      </c>
      <c r="BT5096">
        <f>IF(AND(5083&lt;$U$9,$W$5),BQ5096*1000000-MIN(BR5096,999)*1000+BS5096-5083/100000,-1000000000-5083)</f>
        <v/>
      </c>
    </row>
    <row r="5097">
      <c r="BN5097">
        <f>IF(5084&lt;$U$9,INT(5084/($U$7*$U$8))+1,1)</f>
        <v/>
      </c>
      <c r="BO5097">
        <f>IF(5084&lt;$U$9,MOD(INT(5084/$U$8),$U$7)+1,1)</f>
        <v/>
      </c>
      <c r="BP5097">
        <f>IF(5084&lt;$U$9,MOD(5084,$U$8)+1,1)</f>
        <v/>
      </c>
      <c r="BQ5097">
        <f>IF(5084&lt;$U$9,SUMPRODUCT(($D$10:$L$10&lt;&gt;"")*(($D$9:$L$9+INT(($S$12:$AA$12+INDEX($AJ$13:$AR$162,BN5097,0)+INDEX($AT$13:$BB$162,BO5097,0)+INDEX($BD$13:$BL$162,BP5097,0))/100))&gt;=$D$10:$L$10)),0)</f>
        <v/>
      </c>
      <c r="BR5097">
        <f>IF(5084&lt;$U$9,SUMPRODUCT(($D$10:$L$10&lt;&gt;"")*(($D$10:$L$10-($D$9:$L$9+INT(($S$12:$AA$12+INDEX($AJ$13:$AR$162,BN5097,0)+INDEX($AT$13:$BB$162,BO5097,0)+INDEX($BD$13:$BL$162,BP5097,0))/100)))&gt;0)*($D$10:$L$10-($D$9:$L$9+INT(($S$12:$AA$12+INDEX($AJ$13:$AR$162,BN5097,0)+INDEX($AT$13:$BB$162,BO5097,0)+INDEX($BD$13:$BL$162,BP5097,0))/100)))),0)</f>
        <v/>
      </c>
      <c r="BS5097">
        <f>IF(5084&lt;$U$9,SUMPRODUCT(($D$9:$L$9+INT(($S$12:$AA$12+INDEX($AJ$13:$AR$162,BN5097,0)+INDEX($AT$13:$BB$162,BO5097,0)+INDEX($BD$13:$BL$162,BP5097,0))/100))),0)</f>
        <v/>
      </c>
      <c r="BT5097">
        <f>IF(AND(5084&lt;$U$9,$W$5),BQ5097*1000000-MIN(BR5097,999)*1000+BS5097-5084/100000,-1000000000-5084)</f>
        <v/>
      </c>
    </row>
    <row r="5098">
      <c r="BN5098">
        <f>IF(5085&lt;$U$9,INT(5085/($U$7*$U$8))+1,1)</f>
        <v/>
      </c>
      <c r="BO5098">
        <f>IF(5085&lt;$U$9,MOD(INT(5085/$U$8),$U$7)+1,1)</f>
        <v/>
      </c>
      <c r="BP5098">
        <f>IF(5085&lt;$U$9,MOD(5085,$U$8)+1,1)</f>
        <v/>
      </c>
      <c r="BQ5098">
        <f>IF(5085&lt;$U$9,SUMPRODUCT(($D$10:$L$10&lt;&gt;"")*(($D$9:$L$9+INT(($S$12:$AA$12+INDEX($AJ$13:$AR$162,BN5098,0)+INDEX($AT$13:$BB$162,BO5098,0)+INDEX($BD$13:$BL$162,BP5098,0))/100))&gt;=$D$10:$L$10)),0)</f>
        <v/>
      </c>
      <c r="BR5098">
        <f>IF(5085&lt;$U$9,SUMPRODUCT(($D$10:$L$10&lt;&gt;"")*(($D$10:$L$10-($D$9:$L$9+INT(($S$12:$AA$12+INDEX($AJ$13:$AR$162,BN5098,0)+INDEX($AT$13:$BB$162,BO5098,0)+INDEX($BD$13:$BL$162,BP5098,0))/100)))&gt;0)*($D$10:$L$10-($D$9:$L$9+INT(($S$12:$AA$12+INDEX($AJ$13:$AR$162,BN5098,0)+INDEX($AT$13:$BB$162,BO5098,0)+INDEX($BD$13:$BL$162,BP5098,0))/100)))),0)</f>
        <v/>
      </c>
      <c r="BS5098">
        <f>IF(5085&lt;$U$9,SUMPRODUCT(($D$9:$L$9+INT(($S$12:$AA$12+INDEX($AJ$13:$AR$162,BN5098,0)+INDEX($AT$13:$BB$162,BO5098,0)+INDEX($BD$13:$BL$162,BP5098,0))/100))),0)</f>
        <v/>
      </c>
      <c r="BT5098">
        <f>IF(AND(5085&lt;$U$9,$W$5),BQ5098*1000000-MIN(BR5098,999)*1000+BS5098-5085/100000,-1000000000-5085)</f>
        <v/>
      </c>
    </row>
    <row r="5099">
      <c r="BN5099">
        <f>IF(5086&lt;$U$9,INT(5086/($U$7*$U$8))+1,1)</f>
        <v/>
      </c>
      <c r="BO5099">
        <f>IF(5086&lt;$U$9,MOD(INT(5086/$U$8),$U$7)+1,1)</f>
        <v/>
      </c>
      <c r="BP5099">
        <f>IF(5086&lt;$U$9,MOD(5086,$U$8)+1,1)</f>
        <v/>
      </c>
      <c r="BQ5099">
        <f>IF(5086&lt;$U$9,SUMPRODUCT(($D$10:$L$10&lt;&gt;"")*(($D$9:$L$9+INT(($S$12:$AA$12+INDEX($AJ$13:$AR$162,BN5099,0)+INDEX($AT$13:$BB$162,BO5099,0)+INDEX($BD$13:$BL$162,BP5099,0))/100))&gt;=$D$10:$L$10)),0)</f>
        <v/>
      </c>
      <c r="BR5099">
        <f>IF(5086&lt;$U$9,SUMPRODUCT(($D$10:$L$10&lt;&gt;"")*(($D$10:$L$10-($D$9:$L$9+INT(($S$12:$AA$12+INDEX($AJ$13:$AR$162,BN5099,0)+INDEX($AT$13:$BB$162,BO5099,0)+INDEX($BD$13:$BL$162,BP5099,0))/100)))&gt;0)*($D$10:$L$10-($D$9:$L$9+INT(($S$12:$AA$12+INDEX($AJ$13:$AR$162,BN5099,0)+INDEX($AT$13:$BB$162,BO5099,0)+INDEX($BD$13:$BL$162,BP5099,0))/100)))),0)</f>
        <v/>
      </c>
      <c r="BS5099">
        <f>IF(5086&lt;$U$9,SUMPRODUCT(($D$9:$L$9+INT(($S$12:$AA$12+INDEX($AJ$13:$AR$162,BN5099,0)+INDEX($AT$13:$BB$162,BO5099,0)+INDEX($BD$13:$BL$162,BP5099,0))/100))),0)</f>
        <v/>
      </c>
      <c r="BT5099">
        <f>IF(AND(5086&lt;$U$9,$W$5),BQ5099*1000000-MIN(BR5099,999)*1000+BS5099-5086/100000,-1000000000-5086)</f>
        <v/>
      </c>
    </row>
    <row r="5100">
      <c r="BN5100">
        <f>IF(5087&lt;$U$9,INT(5087/($U$7*$U$8))+1,1)</f>
        <v/>
      </c>
      <c r="BO5100">
        <f>IF(5087&lt;$U$9,MOD(INT(5087/$U$8),$U$7)+1,1)</f>
        <v/>
      </c>
      <c r="BP5100">
        <f>IF(5087&lt;$U$9,MOD(5087,$U$8)+1,1)</f>
        <v/>
      </c>
      <c r="BQ5100">
        <f>IF(5087&lt;$U$9,SUMPRODUCT(($D$10:$L$10&lt;&gt;"")*(($D$9:$L$9+INT(($S$12:$AA$12+INDEX($AJ$13:$AR$162,BN5100,0)+INDEX($AT$13:$BB$162,BO5100,0)+INDEX($BD$13:$BL$162,BP5100,0))/100))&gt;=$D$10:$L$10)),0)</f>
        <v/>
      </c>
      <c r="BR5100">
        <f>IF(5087&lt;$U$9,SUMPRODUCT(($D$10:$L$10&lt;&gt;"")*(($D$10:$L$10-($D$9:$L$9+INT(($S$12:$AA$12+INDEX($AJ$13:$AR$162,BN5100,0)+INDEX($AT$13:$BB$162,BO5100,0)+INDEX($BD$13:$BL$162,BP5100,0))/100)))&gt;0)*($D$10:$L$10-($D$9:$L$9+INT(($S$12:$AA$12+INDEX($AJ$13:$AR$162,BN5100,0)+INDEX($AT$13:$BB$162,BO5100,0)+INDEX($BD$13:$BL$162,BP5100,0))/100)))),0)</f>
        <v/>
      </c>
      <c r="BS5100">
        <f>IF(5087&lt;$U$9,SUMPRODUCT(($D$9:$L$9+INT(($S$12:$AA$12+INDEX($AJ$13:$AR$162,BN5100,0)+INDEX($AT$13:$BB$162,BO5100,0)+INDEX($BD$13:$BL$162,BP5100,0))/100))),0)</f>
        <v/>
      </c>
      <c r="BT5100">
        <f>IF(AND(5087&lt;$U$9,$W$5),BQ5100*1000000-MIN(BR5100,999)*1000+BS5100-5087/100000,-1000000000-5087)</f>
        <v/>
      </c>
    </row>
    <row r="5101">
      <c r="BN5101">
        <f>IF(5088&lt;$U$9,INT(5088/($U$7*$U$8))+1,1)</f>
        <v/>
      </c>
      <c r="BO5101">
        <f>IF(5088&lt;$U$9,MOD(INT(5088/$U$8),$U$7)+1,1)</f>
        <v/>
      </c>
      <c r="BP5101">
        <f>IF(5088&lt;$U$9,MOD(5088,$U$8)+1,1)</f>
        <v/>
      </c>
      <c r="BQ5101">
        <f>IF(5088&lt;$U$9,SUMPRODUCT(($D$10:$L$10&lt;&gt;"")*(($D$9:$L$9+INT(($S$12:$AA$12+INDEX($AJ$13:$AR$162,BN5101,0)+INDEX($AT$13:$BB$162,BO5101,0)+INDEX($BD$13:$BL$162,BP5101,0))/100))&gt;=$D$10:$L$10)),0)</f>
        <v/>
      </c>
      <c r="BR5101">
        <f>IF(5088&lt;$U$9,SUMPRODUCT(($D$10:$L$10&lt;&gt;"")*(($D$10:$L$10-($D$9:$L$9+INT(($S$12:$AA$12+INDEX($AJ$13:$AR$162,BN5101,0)+INDEX($AT$13:$BB$162,BO5101,0)+INDEX($BD$13:$BL$162,BP5101,0))/100)))&gt;0)*($D$10:$L$10-($D$9:$L$9+INT(($S$12:$AA$12+INDEX($AJ$13:$AR$162,BN5101,0)+INDEX($AT$13:$BB$162,BO5101,0)+INDEX($BD$13:$BL$162,BP5101,0))/100)))),0)</f>
        <v/>
      </c>
      <c r="BS5101">
        <f>IF(5088&lt;$U$9,SUMPRODUCT(($D$9:$L$9+INT(($S$12:$AA$12+INDEX($AJ$13:$AR$162,BN5101,0)+INDEX($AT$13:$BB$162,BO5101,0)+INDEX($BD$13:$BL$162,BP5101,0))/100))),0)</f>
        <v/>
      </c>
      <c r="BT5101">
        <f>IF(AND(5088&lt;$U$9,$W$5),BQ5101*1000000-MIN(BR5101,999)*1000+BS5101-5088/100000,-1000000000-5088)</f>
        <v/>
      </c>
    </row>
    <row r="5102">
      <c r="BN5102">
        <f>IF(5089&lt;$U$9,INT(5089/($U$7*$U$8))+1,1)</f>
        <v/>
      </c>
      <c r="BO5102">
        <f>IF(5089&lt;$U$9,MOD(INT(5089/$U$8),$U$7)+1,1)</f>
        <v/>
      </c>
      <c r="BP5102">
        <f>IF(5089&lt;$U$9,MOD(5089,$U$8)+1,1)</f>
        <v/>
      </c>
      <c r="BQ5102">
        <f>IF(5089&lt;$U$9,SUMPRODUCT(($D$10:$L$10&lt;&gt;"")*(($D$9:$L$9+INT(($S$12:$AA$12+INDEX($AJ$13:$AR$162,BN5102,0)+INDEX($AT$13:$BB$162,BO5102,0)+INDEX($BD$13:$BL$162,BP5102,0))/100))&gt;=$D$10:$L$10)),0)</f>
        <v/>
      </c>
      <c r="BR5102">
        <f>IF(5089&lt;$U$9,SUMPRODUCT(($D$10:$L$10&lt;&gt;"")*(($D$10:$L$10-($D$9:$L$9+INT(($S$12:$AA$12+INDEX($AJ$13:$AR$162,BN5102,0)+INDEX($AT$13:$BB$162,BO5102,0)+INDEX($BD$13:$BL$162,BP5102,0))/100)))&gt;0)*($D$10:$L$10-($D$9:$L$9+INT(($S$12:$AA$12+INDEX($AJ$13:$AR$162,BN5102,0)+INDEX($AT$13:$BB$162,BO5102,0)+INDEX($BD$13:$BL$162,BP5102,0))/100)))),0)</f>
        <v/>
      </c>
      <c r="BS5102">
        <f>IF(5089&lt;$U$9,SUMPRODUCT(($D$9:$L$9+INT(($S$12:$AA$12+INDEX($AJ$13:$AR$162,BN5102,0)+INDEX($AT$13:$BB$162,BO5102,0)+INDEX($BD$13:$BL$162,BP5102,0))/100))),0)</f>
        <v/>
      </c>
      <c r="BT5102">
        <f>IF(AND(5089&lt;$U$9,$W$5),BQ5102*1000000-MIN(BR5102,999)*1000+BS5102-5089/100000,-1000000000-5089)</f>
        <v/>
      </c>
    </row>
    <row r="5103">
      <c r="BN5103">
        <f>IF(5090&lt;$U$9,INT(5090/($U$7*$U$8))+1,1)</f>
        <v/>
      </c>
      <c r="BO5103">
        <f>IF(5090&lt;$U$9,MOD(INT(5090/$U$8),$U$7)+1,1)</f>
        <v/>
      </c>
      <c r="BP5103">
        <f>IF(5090&lt;$U$9,MOD(5090,$U$8)+1,1)</f>
        <v/>
      </c>
      <c r="BQ5103">
        <f>IF(5090&lt;$U$9,SUMPRODUCT(($D$10:$L$10&lt;&gt;"")*(($D$9:$L$9+INT(($S$12:$AA$12+INDEX($AJ$13:$AR$162,BN5103,0)+INDEX($AT$13:$BB$162,BO5103,0)+INDEX($BD$13:$BL$162,BP5103,0))/100))&gt;=$D$10:$L$10)),0)</f>
        <v/>
      </c>
      <c r="BR5103">
        <f>IF(5090&lt;$U$9,SUMPRODUCT(($D$10:$L$10&lt;&gt;"")*(($D$10:$L$10-($D$9:$L$9+INT(($S$12:$AA$12+INDEX($AJ$13:$AR$162,BN5103,0)+INDEX($AT$13:$BB$162,BO5103,0)+INDEX($BD$13:$BL$162,BP5103,0))/100)))&gt;0)*($D$10:$L$10-($D$9:$L$9+INT(($S$12:$AA$12+INDEX($AJ$13:$AR$162,BN5103,0)+INDEX($AT$13:$BB$162,BO5103,0)+INDEX($BD$13:$BL$162,BP5103,0))/100)))),0)</f>
        <v/>
      </c>
      <c r="BS5103">
        <f>IF(5090&lt;$U$9,SUMPRODUCT(($D$9:$L$9+INT(($S$12:$AA$12+INDEX($AJ$13:$AR$162,BN5103,0)+INDEX($AT$13:$BB$162,BO5103,0)+INDEX($BD$13:$BL$162,BP5103,0))/100))),0)</f>
        <v/>
      </c>
      <c r="BT5103">
        <f>IF(AND(5090&lt;$U$9,$W$5),BQ5103*1000000-MIN(BR5103,999)*1000+BS5103-5090/100000,-1000000000-5090)</f>
        <v/>
      </c>
    </row>
    <row r="5104">
      <c r="BN5104">
        <f>IF(5091&lt;$U$9,INT(5091/($U$7*$U$8))+1,1)</f>
        <v/>
      </c>
      <c r="BO5104">
        <f>IF(5091&lt;$U$9,MOD(INT(5091/$U$8),$U$7)+1,1)</f>
        <v/>
      </c>
      <c r="BP5104">
        <f>IF(5091&lt;$U$9,MOD(5091,$U$8)+1,1)</f>
        <v/>
      </c>
      <c r="BQ5104">
        <f>IF(5091&lt;$U$9,SUMPRODUCT(($D$10:$L$10&lt;&gt;"")*(($D$9:$L$9+INT(($S$12:$AA$12+INDEX($AJ$13:$AR$162,BN5104,0)+INDEX($AT$13:$BB$162,BO5104,0)+INDEX($BD$13:$BL$162,BP5104,0))/100))&gt;=$D$10:$L$10)),0)</f>
        <v/>
      </c>
      <c r="BR5104">
        <f>IF(5091&lt;$U$9,SUMPRODUCT(($D$10:$L$10&lt;&gt;"")*(($D$10:$L$10-($D$9:$L$9+INT(($S$12:$AA$12+INDEX($AJ$13:$AR$162,BN5104,0)+INDEX($AT$13:$BB$162,BO5104,0)+INDEX($BD$13:$BL$162,BP5104,0))/100)))&gt;0)*($D$10:$L$10-($D$9:$L$9+INT(($S$12:$AA$12+INDEX($AJ$13:$AR$162,BN5104,0)+INDEX($AT$13:$BB$162,BO5104,0)+INDEX($BD$13:$BL$162,BP5104,0))/100)))),0)</f>
        <v/>
      </c>
      <c r="BS5104">
        <f>IF(5091&lt;$U$9,SUMPRODUCT(($D$9:$L$9+INT(($S$12:$AA$12+INDEX($AJ$13:$AR$162,BN5104,0)+INDEX($AT$13:$BB$162,BO5104,0)+INDEX($BD$13:$BL$162,BP5104,0))/100))),0)</f>
        <v/>
      </c>
      <c r="BT5104">
        <f>IF(AND(5091&lt;$U$9,$W$5),BQ5104*1000000-MIN(BR5104,999)*1000+BS5104-5091/100000,-1000000000-5091)</f>
        <v/>
      </c>
    </row>
    <row r="5105">
      <c r="BN5105">
        <f>IF(5092&lt;$U$9,INT(5092/($U$7*$U$8))+1,1)</f>
        <v/>
      </c>
      <c r="BO5105">
        <f>IF(5092&lt;$U$9,MOD(INT(5092/$U$8),$U$7)+1,1)</f>
        <v/>
      </c>
      <c r="BP5105">
        <f>IF(5092&lt;$U$9,MOD(5092,$U$8)+1,1)</f>
        <v/>
      </c>
      <c r="BQ5105">
        <f>IF(5092&lt;$U$9,SUMPRODUCT(($D$10:$L$10&lt;&gt;"")*(($D$9:$L$9+INT(($S$12:$AA$12+INDEX($AJ$13:$AR$162,BN5105,0)+INDEX($AT$13:$BB$162,BO5105,0)+INDEX($BD$13:$BL$162,BP5105,0))/100))&gt;=$D$10:$L$10)),0)</f>
        <v/>
      </c>
      <c r="BR5105">
        <f>IF(5092&lt;$U$9,SUMPRODUCT(($D$10:$L$10&lt;&gt;"")*(($D$10:$L$10-($D$9:$L$9+INT(($S$12:$AA$12+INDEX($AJ$13:$AR$162,BN5105,0)+INDEX($AT$13:$BB$162,BO5105,0)+INDEX($BD$13:$BL$162,BP5105,0))/100)))&gt;0)*($D$10:$L$10-($D$9:$L$9+INT(($S$12:$AA$12+INDEX($AJ$13:$AR$162,BN5105,0)+INDEX($AT$13:$BB$162,BO5105,0)+INDEX($BD$13:$BL$162,BP5105,0))/100)))),0)</f>
        <v/>
      </c>
      <c r="BS5105">
        <f>IF(5092&lt;$U$9,SUMPRODUCT(($D$9:$L$9+INT(($S$12:$AA$12+INDEX($AJ$13:$AR$162,BN5105,0)+INDEX($AT$13:$BB$162,BO5105,0)+INDEX($BD$13:$BL$162,BP5105,0))/100))),0)</f>
        <v/>
      </c>
      <c r="BT5105">
        <f>IF(AND(5092&lt;$U$9,$W$5),BQ5105*1000000-MIN(BR5105,999)*1000+BS5105-5092/100000,-1000000000-5092)</f>
        <v/>
      </c>
    </row>
    <row r="5106">
      <c r="BN5106">
        <f>IF(5093&lt;$U$9,INT(5093/($U$7*$U$8))+1,1)</f>
        <v/>
      </c>
      <c r="BO5106">
        <f>IF(5093&lt;$U$9,MOD(INT(5093/$U$8),$U$7)+1,1)</f>
        <v/>
      </c>
      <c r="BP5106">
        <f>IF(5093&lt;$U$9,MOD(5093,$U$8)+1,1)</f>
        <v/>
      </c>
      <c r="BQ5106">
        <f>IF(5093&lt;$U$9,SUMPRODUCT(($D$10:$L$10&lt;&gt;"")*(($D$9:$L$9+INT(($S$12:$AA$12+INDEX($AJ$13:$AR$162,BN5106,0)+INDEX($AT$13:$BB$162,BO5106,0)+INDEX($BD$13:$BL$162,BP5106,0))/100))&gt;=$D$10:$L$10)),0)</f>
        <v/>
      </c>
      <c r="BR5106">
        <f>IF(5093&lt;$U$9,SUMPRODUCT(($D$10:$L$10&lt;&gt;"")*(($D$10:$L$10-($D$9:$L$9+INT(($S$12:$AA$12+INDEX($AJ$13:$AR$162,BN5106,0)+INDEX($AT$13:$BB$162,BO5106,0)+INDEX($BD$13:$BL$162,BP5106,0))/100)))&gt;0)*($D$10:$L$10-($D$9:$L$9+INT(($S$12:$AA$12+INDEX($AJ$13:$AR$162,BN5106,0)+INDEX($AT$13:$BB$162,BO5106,0)+INDEX($BD$13:$BL$162,BP5106,0))/100)))),0)</f>
        <v/>
      </c>
      <c r="BS5106">
        <f>IF(5093&lt;$U$9,SUMPRODUCT(($D$9:$L$9+INT(($S$12:$AA$12+INDEX($AJ$13:$AR$162,BN5106,0)+INDEX($AT$13:$BB$162,BO5106,0)+INDEX($BD$13:$BL$162,BP5106,0))/100))),0)</f>
        <v/>
      </c>
      <c r="BT5106">
        <f>IF(AND(5093&lt;$U$9,$W$5),BQ5106*1000000-MIN(BR5106,999)*1000+BS5106-5093/100000,-1000000000-5093)</f>
        <v/>
      </c>
    </row>
    <row r="5107">
      <c r="BN5107">
        <f>IF(5094&lt;$U$9,INT(5094/($U$7*$U$8))+1,1)</f>
        <v/>
      </c>
      <c r="BO5107">
        <f>IF(5094&lt;$U$9,MOD(INT(5094/$U$8),$U$7)+1,1)</f>
        <v/>
      </c>
      <c r="BP5107">
        <f>IF(5094&lt;$U$9,MOD(5094,$U$8)+1,1)</f>
        <v/>
      </c>
      <c r="BQ5107">
        <f>IF(5094&lt;$U$9,SUMPRODUCT(($D$10:$L$10&lt;&gt;"")*(($D$9:$L$9+INT(($S$12:$AA$12+INDEX($AJ$13:$AR$162,BN5107,0)+INDEX($AT$13:$BB$162,BO5107,0)+INDEX($BD$13:$BL$162,BP5107,0))/100))&gt;=$D$10:$L$10)),0)</f>
        <v/>
      </c>
      <c r="BR5107">
        <f>IF(5094&lt;$U$9,SUMPRODUCT(($D$10:$L$10&lt;&gt;"")*(($D$10:$L$10-($D$9:$L$9+INT(($S$12:$AA$12+INDEX($AJ$13:$AR$162,BN5107,0)+INDEX($AT$13:$BB$162,BO5107,0)+INDEX($BD$13:$BL$162,BP5107,0))/100)))&gt;0)*($D$10:$L$10-($D$9:$L$9+INT(($S$12:$AA$12+INDEX($AJ$13:$AR$162,BN5107,0)+INDEX($AT$13:$BB$162,BO5107,0)+INDEX($BD$13:$BL$162,BP5107,0))/100)))),0)</f>
        <v/>
      </c>
      <c r="BS5107">
        <f>IF(5094&lt;$U$9,SUMPRODUCT(($D$9:$L$9+INT(($S$12:$AA$12+INDEX($AJ$13:$AR$162,BN5107,0)+INDEX($AT$13:$BB$162,BO5107,0)+INDEX($BD$13:$BL$162,BP5107,0))/100))),0)</f>
        <v/>
      </c>
      <c r="BT5107">
        <f>IF(AND(5094&lt;$U$9,$W$5),BQ5107*1000000-MIN(BR5107,999)*1000+BS5107-5094/100000,-1000000000-5094)</f>
        <v/>
      </c>
    </row>
    <row r="5108">
      <c r="BN5108">
        <f>IF(5095&lt;$U$9,INT(5095/($U$7*$U$8))+1,1)</f>
        <v/>
      </c>
      <c r="BO5108">
        <f>IF(5095&lt;$U$9,MOD(INT(5095/$U$8),$U$7)+1,1)</f>
        <v/>
      </c>
      <c r="BP5108">
        <f>IF(5095&lt;$U$9,MOD(5095,$U$8)+1,1)</f>
        <v/>
      </c>
      <c r="BQ5108">
        <f>IF(5095&lt;$U$9,SUMPRODUCT(($D$10:$L$10&lt;&gt;"")*(($D$9:$L$9+INT(($S$12:$AA$12+INDEX($AJ$13:$AR$162,BN5108,0)+INDEX($AT$13:$BB$162,BO5108,0)+INDEX($BD$13:$BL$162,BP5108,0))/100))&gt;=$D$10:$L$10)),0)</f>
        <v/>
      </c>
      <c r="BR5108">
        <f>IF(5095&lt;$U$9,SUMPRODUCT(($D$10:$L$10&lt;&gt;"")*(($D$10:$L$10-($D$9:$L$9+INT(($S$12:$AA$12+INDEX($AJ$13:$AR$162,BN5108,0)+INDEX($AT$13:$BB$162,BO5108,0)+INDEX($BD$13:$BL$162,BP5108,0))/100)))&gt;0)*($D$10:$L$10-($D$9:$L$9+INT(($S$12:$AA$12+INDEX($AJ$13:$AR$162,BN5108,0)+INDEX($AT$13:$BB$162,BO5108,0)+INDEX($BD$13:$BL$162,BP5108,0))/100)))),0)</f>
        <v/>
      </c>
      <c r="BS5108">
        <f>IF(5095&lt;$U$9,SUMPRODUCT(($D$9:$L$9+INT(($S$12:$AA$12+INDEX($AJ$13:$AR$162,BN5108,0)+INDEX($AT$13:$BB$162,BO5108,0)+INDEX($BD$13:$BL$162,BP5108,0))/100))),0)</f>
        <v/>
      </c>
      <c r="BT5108">
        <f>IF(AND(5095&lt;$U$9,$W$5),BQ5108*1000000-MIN(BR5108,999)*1000+BS5108-5095/100000,-1000000000-5095)</f>
        <v/>
      </c>
    </row>
    <row r="5109">
      <c r="BN5109">
        <f>IF(5096&lt;$U$9,INT(5096/($U$7*$U$8))+1,1)</f>
        <v/>
      </c>
      <c r="BO5109">
        <f>IF(5096&lt;$U$9,MOD(INT(5096/$U$8),$U$7)+1,1)</f>
        <v/>
      </c>
      <c r="BP5109">
        <f>IF(5096&lt;$U$9,MOD(5096,$U$8)+1,1)</f>
        <v/>
      </c>
      <c r="BQ5109">
        <f>IF(5096&lt;$U$9,SUMPRODUCT(($D$10:$L$10&lt;&gt;"")*(($D$9:$L$9+INT(($S$12:$AA$12+INDEX($AJ$13:$AR$162,BN5109,0)+INDEX($AT$13:$BB$162,BO5109,0)+INDEX($BD$13:$BL$162,BP5109,0))/100))&gt;=$D$10:$L$10)),0)</f>
        <v/>
      </c>
      <c r="BR5109">
        <f>IF(5096&lt;$U$9,SUMPRODUCT(($D$10:$L$10&lt;&gt;"")*(($D$10:$L$10-($D$9:$L$9+INT(($S$12:$AA$12+INDEX($AJ$13:$AR$162,BN5109,0)+INDEX($AT$13:$BB$162,BO5109,0)+INDEX($BD$13:$BL$162,BP5109,0))/100)))&gt;0)*($D$10:$L$10-($D$9:$L$9+INT(($S$12:$AA$12+INDEX($AJ$13:$AR$162,BN5109,0)+INDEX($AT$13:$BB$162,BO5109,0)+INDEX($BD$13:$BL$162,BP5109,0))/100)))),0)</f>
        <v/>
      </c>
      <c r="BS5109">
        <f>IF(5096&lt;$U$9,SUMPRODUCT(($D$9:$L$9+INT(($S$12:$AA$12+INDEX($AJ$13:$AR$162,BN5109,0)+INDEX($AT$13:$BB$162,BO5109,0)+INDEX($BD$13:$BL$162,BP5109,0))/100))),0)</f>
        <v/>
      </c>
      <c r="BT5109">
        <f>IF(AND(5096&lt;$U$9,$W$5),BQ5109*1000000-MIN(BR5109,999)*1000+BS5109-5096/100000,-1000000000-5096)</f>
        <v/>
      </c>
    </row>
    <row r="5110">
      <c r="BN5110">
        <f>IF(5097&lt;$U$9,INT(5097/($U$7*$U$8))+1,1)</f>
        <v/>
      </c>
      <c r="BO5110">
        <f>IF(5097&lt;$U$9,MOD(INT(5097/$U$8),$U$7)+1,1)</f>
        <v/>
      </c>
      <c r="BP5110">
        <f>IF(5097&lt;$U$9,MOD(5097,$U$8)+1,1)</f>
        <v/>
      </c>
      <c r="BQ5110">
        <f>IF(5097&lt;$U$9,SUMPRODUCT(($D$10:$L$10&lt;&gt;"")*(($D$9:$L$9+INT(($S$12:$AA$12+INDEX($AJ$13:$AR$162,BN5110,0)+INDEX($AT$13:$BB$162,BO5110,0)+INDEX($BD$13:$BL$162,BP5110,0))/100))&gt;=$D$10:$L$10)),0)</f>
        <v/>
      </c>
      <c r="BR5110">
        <f>IF(5097&lt;$U$9,SUMPRODUCT(($D$10:$L$10&lt;&gt;"")*(($D$10:$L$10-($D$9:$L$9+INT(($S$12:$AA$12+INDEX($AJ$13:$AR$162,BN5110,0)+INDEX($AT$13:$BB$162,BO5110,0)+INDEX($BD$13:$BL$162,BP5110,0))/100)))&gt;0)*($D$10:$L$10-($D$9:$L$9+INT(($S$12:$AA$12+INDEX($AJ$13:$AR$162,BN5110,0)+INDEX($AT$13:$BB$162,BO5110,0)+INDEX($BD$13:$BL$162,BP5110,0))/100)))),0)</f>
        <v/>
      </c>
      <c r="BS5110">
        <f>IF(5097&lt;$U$9,SUMPRODUCT(($D$9:$L$9+INT(($S$12:$AA$12+INDEX($AJ$13:$AR$162,BN5110,0)+INDEX($AT$13:$BB$162,BO5110,0)+INDEX($BD$13:$BL$162,BP5110,0))/100))),0)</f>
        <v/>
      </c>
      <c r="BT5110">
        <f>IF(AND(5097&lt;$U$9,$W$5),BQ5110*1000000-MIN(BR5110,999)*1000+BS5110-5097/100000,-1000000000-5097)</f>
        <v/>
      </c>
    </row>
    <row r="5111">
      <c r="BN5111">
        <f>IF(5098&lt;$U$9,INT(5098/($U$7*$U$8))+1,1)</f>
        <v/>
      </c>
      <c r="BO5111">
        <f>IF(5098&lt;$U$9,MOD(INT(5098/$U$8),$U$7)+1,1)</f>
        <v/>
      </c>
      <c r="BP5111">
        <f>IF(5098&lt;$U$9,MOD(5098,$U$8)+1,1)</f>
        <v/>
      </c>
      <c r="BQ5111">
        <f>IF(5098&lt;$U$9,SUMPRODUCT(($D$10:$L$10&lt;&gt;"")*(($D$9:$L$9+INT(($S$12:$AA$12+INDEX($AJ$13:$AR$162,BN5111,0)+INDEX($AT$13:$BB$162,BO5111,0)+INDEX($BD$13:$BL$162,BP5111,0))/100))&gt;=$D$10:$L$10)),0)</f>
        <v/>
      </c>
      <c r="BR5111">
        <f>IF(5098&lt;$U$9,SUMPRODUCT(($D$10:$L$10&lt;&gt;"")*(($D$10:$L$10-($D$9:$L$9+INT(($S$12:$AA$12+INDEX($AJ$13:$AR$162,BN5111,0)+INDEX($AT$13:$BB$162,BO5111,0)+INDEX($BD$13:$BL$162,BP5111,0))/100)))&gt;0)*($D$10:$L$10-($D$9:$L$9+INT(($S$12:$AA$12+INDEX($AJ$13:$AR$162,BN5111,0)+INDEX($AT$13:$BB$162,BO5111,0)+INDEX($BD$13:$BL$162,BP5111,0))/100)))),0)</f>
        <v/>
      </c>
      <c r="BS5111">
        <f>IF(5098&lt;$U$9,SUMPRODUCT(($D$9:$L$9+INT(($S$12:$AA$12+INDEX($AJ$13:$AR$162,BN5111,0)+INDEX($AT$13:$BB$162,BO5111,0)+INDEX($BD$13:$BL$162,BP5111,0))/100))),0)</f>
        <v/>
      </c>
      <c r="BT5111">
        <f>IF(AND(5098&lt;$U$9,$W$5),BQ5111*1000000-MIN(BR5111,999)*1000+BS5111-5098/100000,-1000000000-5098)</f>
        <v/>
      </c>
    </row>
    <row r="5112">
      <c r="BN5112">
        <f>IF(5099&lt;$U$9,INT(5099/($U$7*$U$8))+1,1)</f>
        <v/>
      </c>
      <c r="BO5112">
        <f>IF(5099&lt;$U$9,MOD(INT(5099/$U$8),$U$7)+1,1)</f>
        <v/>
      </c>
      <c r="BP5112">
        <f>IF(5099&lt;$U$9,MOD(5099,$U$8)+1,1)</f>
        <v/>
      </c>
      <c r="BQ5112">
        <f>IF(5099&lt;$U$9,SUMPRODUCT(($D$10:$L$10&lt;&gt;"")*(($D$9:$L$9+INT(($S$12:$AA$12+INDEX($AJ$13:$AR$162,BN5112,0)+INDEX($AT$13:$BB$162,BO5112,0)+INDEX($BD$13:$BL$162,BP5112,0))/100))&gt;=$D$10:$L$10)),0)</f>
        <v/>
      </c>
      <c r="BR5112">
        <f>IF(5099&lt;$U$9,SUMPRODUCT(($D$10:$L$10&lt;&gt;"")*(($D$10:$L$10-($D$9:$L$9+INT(($S$12:$AA$12+INDEX($AJ$13:$AR$162,BN5112,0)+INDEX($AT$13:$BB$162,BO5112,0)+INDEX($BD$13:$BL$162,BP5112,0))/100)))&gt;0)*($D$10:$L$10-($D$9:$L$9+INT(($S$12:$AA$12+INDEX($AJ$13:$AR$162,BN5112,0)+INDEX($AT$13:$BB$162,BO5112,0)+INDEX($BD$13:$BL$162,BP5112,0))/100)))),0)</f>
        <v/>
      </c>
      <c r="BS5112">
        <f>IF(5099&lt;$U$9,SUMPRODUCT(($D$9:$L$9+INT(($S$12:$AA$12+INDEX($AJ$13:$AR$162,BN5112,0)+INDEX($AT$13:$BB$162,BO5112,0)+INDEX($BD$13:$BL$162,BP5112,0))/100))),0)</f>
        <v/>
      </c>
      <c r="BT5112">
        <f>IF(AND(5099&lt;$U$9,$W$5),BQ5112*1000000-MIN(BR5112,999)*1000+BS5112-5099/100000,-1000000000-5099)</f>
        <v/>
      </c>
    </row>
    <row r="5113">
      <c r="BN5113">
        <f>IF(5100&lt;$U$9,INT(5100/($U$7*$U$8))+1,1)</f>
        <v/>
      </c>
      <c r="BO5113">
        <f>IF(5100&lt;$U$9,MOD(INT(5100/$U$8),$U$7)+1,1)</f>
        <v/>
      </c>
      <c r="BP5113">
        <f>IF(5100&lt;$U$9,MOD(5100,$U$8)+1,1)</f>
        <v/>
      </c>
      <c r="BQ5113">
        <f>IF(5100&lt;$U$9,SUMPRODUCT(($D$10:$L$10&lt;&gt;"")*(($D$9:$L$9+INT(($S$12:$AA$12+INDEX($AJ$13:$AR$162,BN5113,0)+INDEX($AT$13:$BB$162,BO5113,0)+INDEX($BD$13:$BL$162,BP5113,0))/100))&gt;=$D$10:$L$10)),0)</f>
        <v/>
      </c>
      <c r="BR5113">
        <f>IF(5100&lt;$U$9,SUMPRODUCT(($D$10:$L$10&lt;&gt;"")*(($D$10:$L$10-($D$9:$L$9+INT(($S$12:$AA$12+INDEX($AJ$13:$AR$162,BN5113,0)+INDEX($AT$13:$BB$162,BO5113,0)+INDEX($BD$13:$BL$162,BP5113,0))/100)))&gt;0)*($D$10:$L$10-($D$9:$L$9+INT(($S$12:$AA$12+INDEX($AJ$13:$AR$162,BN5113,0)+INDEX($AT$13:$BB$162,BO5113,0)+INDEX($BD$13:$BL$162,BP5113,0))/100)))),0)</f>
        <v/>
      </c>
      <c r="BS5113">
        <f>IF(5100&lt;$U$9,SUMPRODUCT(($D$9:$L$9+INT(($S$12:$AA$12+INDEX($AJ$13:$AR$162,BN5113,0)+INDEX($AT$13:$BB$162,BO5113,0)+INDEX($BD$13:$BL$162,BP5113,0))/100))),0)</f>
        <v/>
      </c>
      <c r="BT5113">
        <f>IF(AND(5100&lt;$U$9,$W$5),BQ5113*1000000-MIN(BR5113,999)*1000+BS5113-5100/100000,-1000000000-5100)</f>
        <v/>
      </c>
    </row>
    <row r="5114">
      <c r="BN5114">
        <f>IF(5101&lt;$U$9,INT(5101/($U$7*$U$8))+1,1)</f>
        <v/>
      </c>
      <c r="BO5114">
        <f>IF(5101&lt;$U$9,MOD(INT(5101/$U$8),$U$7)+1,1)</f>
        <v/>
      </c>
      <c r="BP5114">
        <f>IF(5101&lt;$U$9,MOD(5101,$U$8)+1,1)</f>
        <v/>
      </c>
      <c r="BQ5114">
        <f>IF(5101&lt;$U$9,SUMPRODUCT(($D$10:$L$10&lt;&gt;"")*(($D$9:$L$9+INT(($S$12:$AA$12+INDEX($AJ$13:$AR$162,BN5114,0)+INDEX($AT$13:$BB$162,BO5114,0)+INDEX($BD$13:$BL$162,BP5114,0))/100))&gt;=$D$10:$L$10)),0)</f>
        <v/>
      </c>
      <c r="BR5114">
        <f>IF(5101&lt;$U$9,SUMPRODUCT(($D$10:$L$10&lt;&gt;"")*(($D$10:$L$10-($D$9:$L$9+INT(($S$12:$AA$12+INDEX($AJ$13:$AR$162,BN5114,0)+INDEX($AT$13:$BB$162,BO5114,0)+INDEX($BD$13:$BL$162,BP5114,0))/100)))&gt;0)*($D$10:$L$10-($D$9:$L$9+INT(($S$12:$AA$12+INDEX($AJ$13:$AR$162,BN5114,0)+INDEX($AT$13:$BB$162,BO5114,0)+INDEX($BD$13:$BL$162,BP5114,0))/100)))),0)</f>
        <v/>
      </c>
      <c r="BS5114">
        <f>IF(5101&lt;$U$9,SUMPRODUCT(($D$9:$L$9+INT(($S$12:$AA$12+INDEX($AJ$13:$AR$162,BN5114,0)+INDEX($AT$13:$BB$162,BO5114,0)+INDEX($BD$13:$BL$162,BP5114,0))/100))),0)</f>
        <v/>
      </c>
      <c r="BT5114">
        <f>IF(AND(5101&lt;$U$9,$W$5),BQ5114*1000000-MIN(BR5114,999)*1000+BS5114-5101/100000,-1000000000-5101)</f>
        <v/>
      </c>
    </row>
    <row r="5115">
      <c r="BN5115">
        <f>IF(5102&lt;$U$9,INT(5102/($U$7*$U$8))+1,1)</f>
        <v/>
      </c>
      <c r="BO5115">
        <f>IF(5102&lt;$U$9,MOD(INT(5102/$U$8),$U$7)+1,1)</f>
        <v/>
      </c>
      <c r="BP5115">
        <f>IF(5102&lt;$U$9,MOD(5102,$U$8)+1,1)</f>
        <v/>
      </c>
      <c r="BQ5115">
        <f>IF(5102&lt;$U$9,SUMPRODUCT(($D$10:$L$10&lt;&gt;"")*(($D$9:$L$9+INT(($S$12:$AA$12+INDEX($AJ$13:$AR$162,BN5115,0)+INDEX($AT$13:$BB$162,BO5115,0)+INDEX($BD$13:$BL$162,BP5115,0))/100))&gt;=$D$10:$L$10)),0)</f>
        <v/>
      </c>
      <c r="BR5115">
        <f>IF(5102&lt;$U$9,SUMPRODUCT(($D$10:$L$10&lt;&gt;"")*(($D$10:$L$10-($D$9:$L$9+INT(($S$12:$AA$12+INDEX($AJ$13:$AR$162,BN5115,0)+INDEX($AT$13:$BB$162,BO5115,0)+INDEX($BD$13:$BL$162,BP5115,0))/100)))&gt;0)*($D$10:$L$10-($D$9:$L$9+INT(($S$12:$AA$12+INDEX($AJ$13:$AR$162,BN5115,0)+INDEX($AT$13:$BB$162,BO5115,0)+INDEX($BD$13:$BL$162,BP5115,0))/100)))),0)</f>
        <v/>
      </c>
      <c r="BS5115">
        <f>IF(5102&lt;$U$9,SUMPRODUCT(($D$9:$L$9+INT(($S$12:$AA$12+INDEX($AJ$13:$AR$162,BN5115,0)+INDEX($AT$13:$BB$162,BO5115,0)+INDEX($BD$13:$BL$162,BP5115,0))/100))),0)</f>
        <v/>
      </c>
      <c r="BT5115">
        <f>IF(AND(5102&lt;$U$9,$W$5),BQ5115*1000000-MIN(BR5115,999)*1000+BS5115-5102/100000,-1000000000-5102)</f>
        <v/>
      </c>
    </row>
    <row r="5116">
      <c r="BN5116">
        <f>IF(5103&lt;$U$9,INT(5103/($U$7*$U$8))+1,1)</f>
        <v/>
      </c>
      <c r="BO5116">
        <f>IF(5103&lt;$U$9,MOD(INT(5103/$U$8),$U$7)+1,1)</f>
        <v/>
      </c>
      <c r="BP5116">
        <f>IF(5103&lt;$U$9,MOD(5103,$U$8)+1,1)</f>
        <v/>
      </c>
      <c r="BQ5116">
        <f>IF(5103&lt;$U$9,SUMPRODUCT(($D$10:$L$10&lt;&gt;"")*(($D$9:$L$9+INT(($S$12:$AA$12+INDEX($AJ$13:$AR$162,BN5116,0)+INDEX($AT$13:$BB$162,BO5116,0)+INDEX($BD$13:$BL$162,BP5116,0))/100))&gt;=$D$10:$L$10)),0)</f>
        <v/>
      </c>
      <c r="BR5116">
        <f>IF(5103&lt;$U$9,SUMPRODUCT(($D$10:$L$10&lt;&gt;"")*(($D$10:$L$10-($D$9:$L$9+INT(($S$12:$AA$12+INDEX($AJ$13:$AR$162,BN5116,0)+INDEX($AT$13:$BB$162,BO5116,0)+INDEX($BD$13:$BL$162,BP5116,0))/100)))&gt;0)*($D$10:$L$10-($D$9:$L$9+INT(($S$12:$AA$12+INDEX($AJ$13:$AR$162,BN5116,0)+INDEX($AT$13:$BB$162,BO5116,0)+INDEX($BD$13:$BL$162,BP5116,0))/100)))),0)</f>
        <v/>
      </c>
      <c r="BS5116">
        <f>IF(5103&lt;$U$9,SUMPRODUCT(($D$9:$L$9+INT(($S$12:$AA$12+INDEX($AJ$13:$AR$162,BN5116,0)+INDEX($AT$13:$BB$162,BO5116,0)+INDEX($BD$13:$BL$162,BP5116,0))/100))),0)</f>
        <v/>
      </c>
      <c r="BT5116">
        <f>IF(AND(5103&lt;$U$9,$W$5),BQ5116*1000000-MIN(BR5116,999)*1000+BS5116-5103/100000,-1000000000-5103)</f>
        <v/>
      </c>
    </row>
    <row r="5117">
      <c r="BN5117">
        <f>IF(5104&lt;$U$9,INT(5104/($U$7*$U$8))+1,1)</f>
        <v/>
      </c>
      <c r="BO5117">
        <f>IF(5104&lt;$U$9,MOD(INT(5104/$U$8),$U$7)+1,1)</f>
        <v/>
      </c>
      <c r="BP5117">
        <f>IF(5104&lt;$U$9,MOD(5104,$U$8)+1,1)</f>
        <v/>
      </c>
      <c r="BQ5117">
        <f>IF(5104&lt;$U$9,SUMPRODUCT(($D$10:$L$10&lt;&gt;"")*(($D$9:$L$9+INT(($S$12:$AA$12+INDEX($AJ$13:$AR$162,BN5117,0)+INDEX($AT$13:$BB$162,BO5117,0)+INDEX($BD$13:$BL$162,BP5117,0))/100))&gt;=$D$10:$L$10)),0)</f>
        <v/>
      </c>
      <c r="BR5117">
        <f>IF(5104&lt;$U$9,SUMPRODUCT(($D$10:$L$10&lt;&gt;"")*(($D$10:$L$10-($D$9:$L$9+INT(($S$12:$AA$12+INDEX($AJ$13:$AR$162,BN5117,0)+INDEX($AT$13:$BB$162,BO5117,0)+INDEX($BD$13:$BL$162,BP5117,0))/100)))&gt;0)*($D$10:$L$10-($D$9:$L$9+INT(($S$12:$AA$12+INDEX($AJ$13:$AR$162,BN5117,0)+INDEX($AT$13:$BB$162,BO5117,0)+INDEX($BD$13:$BL$162,BP5117,0))/100)))),0)</f>
        <v/>
      </c>
      <c r="BS5117">
        <f>IF(5104&lt;$U$9,SUMPRODUCT(($D$9:$L$9+INT(($S$12:$AA$12+INDEX($AJ$13:$AR$162,BN5117,0)+INDEX($AT$13:$BB$162,BO5117,0)+INDEX($BD$13:$BL$162,BP5117,0))/100))),0)</f>
        <v/>
      </c>
      <c r="BT5117">
        <f>IF(AND(5104&lt;$U$9,$W$5),BQ5117*1000000-MIN(BR5117,999)*1000+BS5117-5104/100000,-1000000000-5104)</f>
        <v/>
      </c>
    </row>
    <row r="5118">
      <c r="BN5118">
        <f>IF(5105&lt;$U$9,INT(5105/($U$7*$U$8))+1,1)</f>
        <v/>
      </c>
      <c r="BO5118">
        <f>IF(5105&lt;$U$9,MOD(INT(5105/$U$8),$U$7)+1,1)</f>
        <v/>
      </c>
      <c r="BP5118">
        <f>IF(5105&lt;$U$9,MOD(5105,$U$8)+1,1)</f>
        <v/>
      </c>
      <c r="BQ5118">
        <f>IF(5105&lt;$U$9,SUMPRODUCT(($D$10:$L$10&lt;&gt;"")*(($D$9:$L$9+INT(($S$12:$AA$12+INDEX($AJ$13:$AR$162,BN5118,0)+INDEX($AT$13:$BB$162,BO5118,0)+INDEX($BD$13:$BL$162,BP5118,0))/100))&gt;=$D$10:$L$10)),0)</f>
        <v/>
      </c>
      <c r="BR5118">
        <f>IF(5105&lt;$U$9,SUMPRODUCT(($D$10:$L$10&lt;&gt;"")*(($D$10:$L$10-($D$9:$L$9+INT(($S$12:$AA$12+INDEX($AJ$13:$AR$162,BN5118,0)+INDEX($AT$13:$BB$162,BO5118,0)+INDEX($BD$13:$BL$162,BP5118,0))/100)))&gt;0)*($D$10:$L$10-($D$9:$L$9+INT(($S$12:$AA$12+INDEX($AJ$13:$AR$162,BN5118,0)+INDEX($AT$13:$BB$162,BO5118,0)+INDEX($BD$13:$BL$162,BP5118,0))/100)))),0)</f>
        <v/>
      </c>
      <c r="BS5118">
        <f>IF(5105&lt;$U$9,SUMPRODUCT(($D$9:$L$9+INT(($S$12:$AA$12+INDEX($AJ$13:$AR$162,BN5118,0)+INDEX($AT$13:$BB$162,BO5118,0)+INDEX($BD$13:$BL$162,BP5118,0))/100))),0)</f>
        <v/>
      </c>
      <c r="BT5118">
        <f>IF(AND(5105&lt;$U$9,$W$5),BQ5118*1000000-MIN(BR5118,999)*1000+BS5118-5105/100000,-1000000000-5105)</f>
        <v/>
      </c>
    </row>
    <row r="5119">
      <c r="BN5119">
        <f>IF(5106&lt;$U$9,INT(5106/($U$7*$U$8))+1,1)</f>
        <v/>
      </c>
      <c r="BO5119">
        <f>IF(5106&lt;$U$9,MOD(INT(5106/$U$8),$U$7)+1,1)</f>
        <v/>
      </c>
      <c r="BP5119">
        <f>IF(5106&lt;$U$9,MOD(5106,$U$8)+1,1)</f>
        <v/>
      </c>
      <c r="BQ5119">
        <f>IF(5106&lt;$U$9,SUMPRODUCT(($D$10:$L$10&lt;&gt;"")*(($D$9:$L$9+INT(($S$12:$AA$12+INDEX($AJ$13:$AR$162,BN5119,0)+INDEX($AT$13:$BB$162,BO5119,0)+INDEX($BD$13:$BL$162,BP5119,0))/100))&gt;=$D$10:$L$10)),0)</f>
        <v/>
      </c>
      <c r="BR5119">
        <f>IF(5106&lt;$U$9,SUMPRODUCT(($D$10:$L$10&lt;&gt;"")*(($D$10:$L$10-($D$9:$L$9+INT(($S$12:$AA$12+INDEX($AJ$13:$AR$162,BN5119,0)+INDEX($AT$13:$BB$162,BO5119,0)+INDEX($BD$13:$BL$162,BP5119,0))/100)))&gt;0)*($D$10:$L$10-($D$9:$L$9+INT(($S$12:$AA$12+INDEX($AJ$13:$AR$162,BN5119,0)+INDEX($AT$13:$BB$162,BO5119,0)+INDEX($BD$13:$BL$162,BP5119,0))/100)))),0)</f>
        <v/>
      </c>
      <c r="BS5119">
        <f>IF(5106&lt;$U$9,SUMPRODUCT(($D$9:$L$9+INT(($S$12:$AA$12+INDEX($AJ$13:$AR$162,BN5119,0)+INDEX($AT$13:$BB$162,BO5119,0)+INDEX($BD$13:$BL$162,BP5119,0))/100))),0)</f>
        <v/>
      </c>
      <c r="BT5119">
        <f>IF(AND(5106&lt;$U$9,$W$5),BQ5119*1000000-MIN(BR5119,999)*1000+BS5119-5106/100000,-1000000000-5106)</f>
        <v/>
      </c>
    </row>
    <row r="5120">
      <c r="BN5120">
        <f>IF(5107&lt;$U$9,INT(5107/($U$7*$U$8))+1,1)</f>
        <v/>
      </c>
      <c r="BO5120">
        <f>IF(5107&lt;$U$9,MOD(INT(5107/$U$8),$U$7)+1,1)</f>
        <v/>
      </c>
      <c r="BP5120">
        <f>IF(5107&lt;$U$9,MOD(5107,$U$8)+1,1)</f>
        <v/>
      </c>
      <c r="BQ5120">
        <f>IF(5107&lt;$U$9,SUMPRODUCT(($D$10:$L$10&lt;&gt;"")*(($D$9:$L$9+INT(($S$12:$AA$12+INDEX($AJ$13:$AR$162,BN5120,0)+INDEX($AT$13:$BB$162,BO5120,0)+INDEX($BD$13:$BL$162,BP5120,0))/100))&gt;=$D$10:$L$10)),0)</f>
        <v/>
      </c>
      <c r="BR5120">
        <f>IF(5107&lt;$U$9,SUMPRODUCT(($D$10:$L$10&lt;&gt;"")*(($D$10:$L$10-($D$9:$L$9+INT(($S$12:$AA$12+INDEX($AJ$13:$AR$162,BN5120,0)+INDEX($AT$13:$BB$162,BO5120,0)+INDEX($BD$13:$BL$162,BP5120,0))/100)))&gt;0)*($D$10:$L$10-($D$9:$L$9+INT(($S$12:$AA$12+INDEX($AJ$13:$AR$162,BN5120,0)+INDEX($AT$13:$BB$162,BO5120,0)+INDEX($BD$13:$BL$162,BP5120,0))/100)))),0)</f>
        <v/>
      </c>
      <c r="BS5120">
        <f>IF(5107&lt;$U$9,SUMPRODUCT(($D$9:$L$9+INT(($S$12:$AA$12+INDEX($AJ$13:$AR$162,BN5120,0)+INDEX($AT$13:$BB$162,BO5120,0)+INDEX($BD$13:$BL$162,BP5120,0))/100))),0)</f>
        <v/>
      </c>
      <c r="BT5120">
        <f>IF(AND(5107&lt;$U$9,$W$5),BQ5120*1000000-MIN(BR5120,999)*1000+BS5120-5107/100000,-1000000000-5107)</f>
        <v/>
      </c>
    </row>
    <row r="5121">
      <c r="BN5121">
        <f>IF(5108&lt;$U$9,INT(5108/($U$7*$U$8))+1,1)</f>
        <v/>
      </c>
      <c r="BO5121">
        <f>IF(5108&lt;$U$9,MOD(INT(5108/$U$8),$U$7)+1,1)</f>
        <v/>
      </c>
      <c r="BP5121">
        <f>IF(5108&lt;$U$9,MOD(5108,$U$8)+1,1)</f>
        <v/>
      </c>
      <c r="BQ5121">
        <f>IF(5108&lt;$U$9,SUMPRODUCT(($D$10:$L$10&lt;&gt;"")*(($D$9:$L$9+INT(($S$12:$AA$12+INDEX($AJ$13:$AR$162,BN5121,0)+INDEX($AT$13:$BB$162,BO5121,0)+INDEX($BD$13:$BL$162,BP5121,0))/100))&gt;=$D$10:$L$10)),0)</f>
        <v/>
      </c>
      <c r="BR5121">
        <f>IF(5108&lt;$U$9,SUMPRODUCT(($D$10:$L$10&lt;&gt;"")*(($D$10:$L$10-($D$9:$L$9+INT(($S$12:$AA$12+INDEX($AJ$13:$AR$162,BN5121,0)+INDEX($AT$13:$BB$162,BO5121,0)+INDEX($BD$13:$BL$162,BP5121,0))/100)))&gt;0)*($D$10:$L$10-($D$9:$L$9+INT(($S$12:$AA$12+INDEX($AJ$13:$AR$162,BN5121,0)+INDEX($AT$13:$BB$162,BO5121,0)+INDEX($BD$13:$BL$162,BP5121,0))/100)))),0)</f>
        <v/>
      </c>
      <c r="BS5121">
        <f>IF(5108&lt;$U$9,SUMPRODUCT(($D$9:$L$9+INT(($S$12:$AA$12+INDEX($AJ$13:$AR$162,BN5121,0)+INDEX($AT$13:$BB$162,BO5121,0)+INDEX($BD$13:$BL$162,BP5121,0))/100))),0)</f>
        <v/>
      </c>
      <c r="BT5121">
        <f>IF(AND(5108&lt;$U$9,$W$5),BQ5121*1000000-MIN(BR5121,999)*1000+BS5121-5108/100000,-1000000000-5108)</f>
        <v/>
      </c>
    </row>
    <row r="5122">
      <c r="BN5122">
        <f>IF(5109&lt;$U$9,INT(5109/($U$7*$U$8))+1,1)</f>
        <v/>
      </c>
      <c r="BO5122">
        <f>IF(5109&lt;$U$9,MOD(INT(5109/$U$8),$U$7)+1,1)</f>
        <v/>
      </c>
      <c r="BP5122">
        <f>IF(5109&lt;$U$9,MOD(5109,$U$8)+1,1)</f>
        <v/>
      </c>
      <c r="BQ5122">
        <f>IF(5109&lt;$U$9,SUMPRODUCT(($D$10:$L$10&lt;&gt;"")*(($D$9:$L$9+INT(($S$12:$AA$12+INDEX($AJ$13:$AR$162,BN5122,0)+INDEX($AT$13:$BB$162,BO5122,0)+INDEX($BD$13:$BL$162,BP5122,0))/100))&gt;=$D$10:$L$10)),0)</f>
        <v/>
      </c>
      <c r="BR5122">
        <f>IF(5109&lt;$U$9,SUMPRODUCT(($D$10:$L$10&lt;&gt;"")*(($D$10:$L$10-($D$9:$L$9+INT(($S$12:$AA$12+INDEX($AJ$13:$AR$162,BN5122,0)+INDEX($AT$13:$BB$162,BO5122,0)+INDEX($BD$13:$BL$162,BP5122,0))/100)))&gt;0)*($D$10:$L$10-($D$9:$L$9+INT(($S$12:$AA$12+INDEX($AJ$13:$AR$162,BN5122,0)+INDEX($AT$13:$BB$162,BO5122,0)+INDEX($BD$13:$BL$162,BP5122,0))/100)))),0)</f>
        <v/>
      </c>
      <c r="BS5122">
        <f>IF(5109&lt;$U$9,SUMPRODUCT(($D$9:$L$9+INT(($S$12:$AA$12+INDEX($AJ$13:$AR$162,BN5122,0)+INDEX($AT$13:$BB$162,BO5122,0)+INDEX($BD$13:$BL$162,BP5122,0))/100))),0)</f>
        <v/>
      </c>
      <c r="BT5122">
        <f>IF(AND(5109&lt;$U$9,$W$5),BQ5122*1000000-MIN(BR5122,999)*1000+BS5122-5109/100000,-1000000000-5109)</f>
        <v/>
      </c>
    </row>
    <row r="5123">
      <c r="BN5123">
        <f>IF(5110&lt;$U$9,INT(5110/($U$7*$U$8))+1,1)</f>
        <v/>
      </c>
      <c r="BO5123">
        <f>IF(5110&lt;$U$9,MOD(INT(5110/$U$8),$U$7)+1,1)</f>
        <v/>
      </c>
      <c r="BP5123">
        <f>IF(5110&lt;$U$9,MOD(5110,$U$8)+1,1)</f>
        <v/>
      </c>
      <c r="BQ5123">
        <f>IF(5110&lt;$U$9,SUMPRODUCT(($D$10:$L$10&lt;&gt;"")*(($D$9:$L$9+INT(($S$12:$AA$12+INDEX($AJ$13:$AR$162,BN5123,0)+INDEX($AT$13:$BB$162,BO5123,0)+INDEX($BD$13:$BL$162,BP5123,0))/100))&gt;=$D$10:$L$10)),0)</f>
        <v/>
      </c>
      <c r="BR5123">
        <f>IF(5110&lt;$U$9,SUMPRODUCT(($D$10:$L$10&lt;&gt;"")*(($D$10:$L$10-($D$9:$L$9+INT(($S$12:$AA$12+INDEX($AJ$13:$AR$162,BN5123,0)+INDEX($AT$13:$BB$162,BO5123,0)+INDEX($BD$13:$BL$162,BP5123,0))/100)))&gt;0)*($D$10:$L$10-($D$9:$L$9+INT(($S$12:$AA$12+INDEX($AJ$13:$AR$162,BN5123,0)+INDEX($AT$13:$BB$162,BO5123,0)+INDEX($BD$13:$BL$162,BP5123,0))/100)))),0)</f>
        <v/>
      </c>
      <c r="BS5123">
        <f>IF(5110&lt;$U$9,SUMPRODUCT(($D$9:$L$9+INT(($S$12:$AA$12+INDEX($AJ$13:$AR$162,BN5123,0)+INDEX($AT$13:$BB$162,BO5123,0)+INDEX($BD$13:$BL$162,BP5123,0))/100))),0)</f>
        <v/>
      </c>
      <c r="BT5123">
        <f>IF(AND(5110&lt;$U$9,$W$5),BQ5123*1000000-MIN(BR5123,999)*1000+BS5123-5110/100000,-1000000000-5110)</f>
        <v/>
      </c>
    </row>
    <row r="5124">
      <c r="BN5124">
        <f>IF(5111&lt;$U$9,INT(5111/($U$7*$U$8))+1,1)</f>
        <v/>
      </c>
      <c r="BO5124">
        <f>IF(5111&lt;$U$9,MOD(INT(5111/$U$8),$U$7)+1,1)</f>
        <v/>
      </c>
      <c r="BP5124">
        <f>IF(5111&lt;$U$9,MOD(5111,$U$8)+1,1)</f>
        <v/>
      </c>
      <c r="BQ5124">
        <f>IF(5111&lt;$U$9,SUMPRODUCT(($D$10:$L$10&lt;&gt;"")*(($D$9:$L$9+INT(($S$12:$AA$12+INDEX($AJ$13:$AR$162,BN5124,0)+INDEX($AT$13:$BB$162,BO5124,0)+INDEX($BD$13:$BL$162,BP5124,0))/100))&gt;=$D$10:$L$10)),0)</f>
        <v/>
      </c>
      <c r="BR5124">
        <f>IF(5111&lt;$U$9,SUMPRODUCT(($D$10:$L$10&lt;&gt;"")*(($D$10:$L$10-($D$9:$L$9+INT(($S$12:$AA$12+INDEX($AJ$13:$AR$162,BN5124,0)+INDEX($AT$13:$BB$162,BO5124,0)+INDEX($BD$13:$BL$162,BP5124,0))/100)))&gt;0)*($D$10:$L$10-($D$9:$L$9+INT(($S$12:$AA$12+INDEX($AJ$13:$AR$162,BN5124,0)+INDEX($AT$13:$BB$162,BO5124,0)+INDEX($BD$13:$BL$162,BP5124,0))/100)))),0)</f>
        <v/>
      </c>
      <c r="BS5124">
        <f>IF(5111&lt;$U$9,SUMPRODUCT(($D$9:$L$9+INT(($S$12:$AA$12+INDEX($AJ$13:$AR$162,BN5124,0)+INDEX($AT$13:$BB$162,BO5124,0)+INDEX($BD$13:$BL$162,BP5124,0))/100))),0)</f>
        <v/>
      </c>
      <c r="BT5124">
        <f>IF(AND(5111&lt;$U$9,$W$5),BQ5124*1000000-MIN(BR5124,999)*1000+BS5124-5111/100000,-1000000000-5111)</f>
        <v/>
      </c>
    </row>
    <row r="5125">
      <c r="BN5125">
        <f>IF(5112&lt;$U$9,INT(5112/($U$7*$U$8))+1,1)</f>
        <v/>
      </c>
      <c r="BO5125">
        <f>IF(5112&lt;$U$9,MOD(INT(5112/$U$8),$U$7)+1,1)</f>
        <v/>
      </c>
      <c r="BP5125">
        <f>IF(5112&lt;$U$9,MOD(5112,$U$8)+1,1)</f>
        <v/>
      </c>
      <c r="BQ5125">
        <f>IF(5112&lt;$U$9,SUMPRODUCT(($D$10:$L$10&lt;&gt;"")*(($D$9:$L$9+INT(($S$12:$AA$12+INDEX($AJ$13:$AR$162,BN5125,0)+INDEX($AT$13:$BB$162,BO5125,0)+INDEX($BD$13:$BL$162,BP5125,0))/100))&gt;=$D$10:$L$10)),0)</f>
        <v/>
      </c>
      <c r="BR5125">
        <f>IF(5112&lt;$U$9,SUMPRODUCT(($D$10:$L$10&lt;&gt;"")*(($D$10:$L$10-($D$9:$L$9+INT(($S$12:$AA$12+INDEX($AJ$13:$AR$162,BN5125,0)+INDEX($AT$13:$BB$162,BO5125,0)+INDEX($BD$13:$BL$162,BP5125,0))/100)))&gt;0)*($D$10:$L$10-($D$9:$L$9+INT(($S$12:$AA$12+INDEX($AJ$13:$AR$162,BN5125,0)+INDEX($AT$13:$BB$162,BO5125,0)+INDEX($BD$13:$BL$162,BP5125,0))/100)))),0)</f>
        <v/>
      </c>
      <c r="BS5125">
        <f>IF(5112&lt;$U$9,SUMPRODUCT(($D$9:$L$9+INT(($S$12:$AA$12+INDEX($AJ$13:$AR$162,BN5125,0)+INDEX($AT$13:$BB$162,BO5125,0)+INDEX($BD$13:$BL$162,BP5125,0))/100))),0)</f>
        <v/>
      </c>
      <c r="BT5125">
        <f>IF(AND(5112&lt;$U$9,$W$5),BQ5125*1000000-MIN(BR5125,999)*1000+BS5125-5112/100000,-1000000000-5112)</f>
        <v/>
      </c>
    </row>
    <row r="5126">
      <c r="BN5126">
        <f>IF(5113&lt;$U$9,INT(5113/($U$7*$U$8))+1,1)</f>
        <v/>
      </c>
      <c r="BO5126">
        <f>IF(5113&lt;$U$9,MOD(INT(5113/$U$8),$U$7)+1,1)</f>
        <v/>
      </c>
      <c r="BP5126">
        <f>IF(5113&lt;$U$9,MOD(5113,$U$8)+1,1)</f>
        <v/>
      </c>
      <c r="BQ5126">
        <f>IF(5113&lt;$U$9,SUMPRODUCT(($D$10:$L$10&lt;&gt;"")*(($D$9:$L$9+INT(($S$12:$AA$12+INDEX($AJ$13:$AR$162,BN5126,0)+INDEX($AT$13:$BB$162,BO5126,0)+INDEX($BD$13:$BL$162,BP5126,0))/100))&gt;=$D$10:$L$10)),0)</f>
        <v/>
      </c>
      <c r="BR5126">
        <f>IF(5113&lt;$U$9,SUMPRODUCT(($D$10:$L$10&lt;&gt;"")*(($D$10:$L$10-($D$9:$L$9+INT(($S$12:$AA$12+INDEX($AJ$13:$AR$162,BN5126,0)+INDEX($AT$13:$BB$162,BO5126,0)+INDEX($BD$13:$BL$162,BP5126,0))/100)))&gt;0)*($D$10:$L$10-($D$9:$L$9+INT(($S$12:$AA$12+INDEX($AJ$13:$AR$162,BN5126,0)+INDEX($AT$13:$BB$162,BO5126,0)+INDEX($BD$13:$BL$162,BP5126,0))/100)))),0)</f>
        <v/>
      </c>
      <c r="BS5126">
        <f>IF(5113&lt;$U$9,SUMPRODUCT(($D$9:$L$9+INT(($S$12:$AA$12+INDEX($AJ$13:$AR$162,BN5126,0)+INDEX($AT$13:$BB$162,BO5126,0)+INDEX($BD$13:$BL$162,BP5126,0))/100))),0)</f>
        <v/>
      </c>
      <c r="BT5126">
        <f>IF(AND(5113&lt;$U$9,$W$5),BQ5126*1000000-MIN(BR5126,999)*1000+BS5126-5113/100000,-1000000000-5113)</f>
        <v/>
      </c>
    </row>
    <row r="5127">
      <c r="BN5127">
        <f>IF(5114&lt;$U$9,INT(5114/($U$7*$U$8))+1,1)</f>
        <v/>
      </c>
      <c r="BO5127">
        <f>IF(5114&lt;$U$9,MOD(INT(5114/$U$8),$U$7)+1,1)</f>
        <v/>
      </c>
      <c r="BP5127">
        <f>IF(5114&lt;$U$9,MOD(5114,$U$8)+1,1)</f>
        <v/>
      </c>
      <c r="BQ5127">
        <f>IF(5114&lt;$U$9,SUMPRODUCT(($D$10:$L$10&lt;&gt;"")*(($D$9:$L$9+INT(($S$12:$AA$12+INDEX($AJ$13:$AR$162,BN5127,0)+INDEX($AT$13:$BB$162,BO5127,0)+INDEX($BD$13:$BL$162,BP5127,0))/100))&gt;=$D$10:$L$10)),0)</f>
        <v/>
      </c>
      <c r="BR5127">
        <f>IF(5114&lt;$U$9,SUMPRODUCT(($D$10:$L$10&lt;&gt;"")*(($D$10:$L$10-($D$9:$L$9+INT(($S$12:$AA$12+INDEX($AJ$13:$AR$162,BN5127,0)+INDEX($AT$13:$BB$162,BO5127,0)+INDEX($BD$13:$BL$162,BP5127,0))/100)))&gt;0)*($D$10:$L$10-($D$9:$L$9+INT(($S$12:$AA$12+INDEX($AJ$13:$AR$162,BN5127,0)+INDEX($AT$13:$BB$162,BO5127,0)+INDEX($BD$13:$BL$162,BP5127,0))/100)))),0)</f>
        <v/>
      </c>
      <c r="BS5127">
        <f>IF(5114&lt;$U$9,SUMPRODUCT(($D$9:$L$9+INT(($S$12:$AA$12+INDEX($AJ$13:$AR$162,BN5127,0)+INDEX($AT$13:$BB$162,BO5127,0)+INDEX($BD$13:$BL$162,BP5127,0))/100))),0)</f>
        <v/>
      </c>
      <c r="BT5127">
        <f>IF(AND(5114&lt;$U$9,$W$5),BQ5127*1000000-MIN(BR5127,999)*1000+BS5127-5114/100000,-1000000000-5114)</f>
        <v/>
      </c>
    </row>
    <row r="5128">
      <c r="BN5128">
        <f>IF(5115&lt;$U$9,INT(5115/($U$7*$U$8))+1,1)</f>
        <v/>
      </c>
      <c r="BO5128">
        <f>IF(5115&lt;$U$9,MOD(INT(5115/$U$8),$U$7)+1,1)</f>
        <v/>
      </c>
      <c r="BP5128">
        <f>IF(5115&lt;$U$9,MOD(5115,$U$8)+1,1)</f>
        <v/>
      </c>
      <c r="BQ5128">
        <f>IF(5115&lt;$U$9,SUMPRODUCT(($D$10:$L$10&lt;&gt;"")*(($D$9:$L$9+INT(($S$12:$AA$12+INDEX($AJ$13:$AR$162,BN5128,0)+INDEX($AT$13:$BB$162,BO5128,0)+INDEX($BD$13:$BL$162,BP5128,0))/100))&gt;=$D$10:$L$10)),0)</f>
        <v/>
      </c>
      <c r="BR5128">
        <f>IF(5115&lt;$U$9,SUMPRODUCT(($D$10:$L$10&lt;&gt;"")*(($D$10:$L$10-($D$9:$L$9+INT(($S$12:$AA$12+INDEX($AJ$13:$AR$162,BN5128,0)+INDEX($AT$13:$BB$162,BO5128,0)+INDEX($BD$13:$BL$162,BP5128,0))/100)))&gt;0)*($D$10:$L$10-($D$9:$L$9+INT(($S$12:$AA$12+INDEX($AJ$13:$AR$162,BN5128,0)+INDEX($AT$13:$BB$162,BO5128,0)+INDEX($BD$13:$BL$162,BP5128,0))/100)))),0)</f>
        <v/>
      </c>
      <c r="BS5128">
        <f>IF(5115&lt;$U$9,SUMPRODUCT(($D$9:$L$9+INT(($S$12:$AA$12+INDEX($AJ$13:$AR$162,BN5128,0)+INDEX($AT$13:$BB$162,BO5128,0)+INDEX($BD$13:$BL$162,BP5128,0))/100))),0)</f>
        <v/>
      </c>
      <c r="BT5128">
        <f>IF(AND(5115&lt;$U$9,$W$5),BQ5128*1000000-MIN(BR5128,999)*1000+BS5128-5115/100000,-1000000000-5115)</f>
        <v/>
      </c>
    </row>
    <row r="5129">
      <c r="BN5129">
        <f>IF(5116&lt;$U$9,INT(5116/($U$7*$U$8))+1,1)</f>
        <v/>
      </c>
      <c r="BO5129">
        <f>IF(5116&lt;$U$9,MOD(INT(5116/$U$8),$U$7)+1,1)</f>
        <v/>
      </c>
      <c r="BP5129">
        <f>IF(5116&lt;$U$9,MOD(5116,$U$8)+1,1)</f>
        <v/>
      </c>
      <c r="BQ5129">
        <f>IF(5116&lt;$U$9,SUMPRODUCT(($D$10:$L$10&lt;&gt;"")*(($D$9:$L$9+INT(($S$12:$AA$12+INDEX($AJ$13:$AR$162,BN5129,0)+INDEX($AT$13:$BB$162,BO5129,0)+INDEX($BD$13:$BL$162,BP5129,0))/100))&gt;=$D$10:$L$10)),0)</f>
        <v/>
      </c>
      <c r="BR5129">
        <f>IF(5116&lt;$U$9,SUMPRODUCT(($D$10:$L$10&lt;&gt;"")*(($D$10:$L$10-($D$9:$L$9+INT(($S$12:$AA$12+INDEX($AJ$13:$AR$162,BN5129,0)+INDEX($AT$13:$BB$162,BO5129,0)+INDEX($BD$13:$BL$162,BP5129,0))/100)))&gt;0)*($D$10:$L$10-($D$9:$L$9+INT(($S$12:$AA$12+INDEX($AJ$13:$AR$162,BN5129,0)+INDEX($AT$13:$BB$162,BO5129,0)+INDEX($BD$13:$BL$162,BP5129,0))/100)))),0)</f>
        <v/>
      </c>
      <c r="BS5129">
        <f>IF(5116&lt;$U$9,SUMPRODUCT(($D$9:$L$9+INT(($S$12:$AA$12+INDEX($AJ$13:$AR$162,BN5129,0)+INDEX($AT$13:$BB$162,BO5129,0)+INDEX($BD$13:$BL$162,BP5129,0))/100))),0)</f>
        <v/>
      </c>
      <c r="BT5129">
        <f>IF(AND(5116&lt;$U$9,$W$5),BQ5129*1000000-MIN(BR5129,999)*1000+BS5129-5116/100000,-1000000000-5116)</f>
        <v/>
      </c>
    </row>
    <row r="5130">
      <c r="BN5130">
        <f>IF(5117&lt;$U$9,INT(5117/($U$7*$U$8))+1,1)</f>
        <v/>
      </c>
      <c r="BO5130">
        <f>IF(5117&lt;$U$9,MOD(INT(5117/$U$8),$U$7)+1,1)</f>
        <v/>
      </c>
      <c r="BP5130">
        <f>IF(5117&lt;$U$9,MOD(5117,$U$8)+1,1)</f>
        <v/>
      </c>
      <c r="BQ5130">
        <f>IF(5117&lt;$U$9,SUMPRODUCT(($D$10:$L$10&lt;&gt;"")*(($D$9:$L$9+INT(($S$12:$AA$12+INDEX($AJ$13:$AR$162,BN5130,0)+INDEX($AT$13:$BB$162,BO5130,0)+INDEX($BD$13:$BL$162,BP5130,0))/100))&gt;=$D$10:$L$10)),0)</f>
        <v/>
      </c>
      <c r="BR5130">
        <f>IF(5117&lt;$U$9,SUMPRODUCT(($D$10:$L$10&lt;&gt;"")*(($D$10:$L$10-($D$9:$L$9+INT(($S$12:$AA$12+INDEX($AJ$13:$AR$162,BN5130,0)+INDEX($AT$13:$BB$162,BO5130,0)+INDEX($BD$13:$BL$162,BP5130,0))/100)))&gt;0)*($D$10:$L$10-($D$9:$L$9+INT(($S$12:$AA$12+INDEX($AJ$13:$AR$162,BN5130,0)+INDEX($AT$13:$BB$162,BO5130,0)+INDEX($BD$13:$BL$162,BP5130,0))/100)))),0)</f>
        <v/>
      </c>
      <c r="BS5130">
        <f>IF(5117&lt;$U$9,SUMPRODUCT(($D$9:$L$9+INT(($S$12:$AA$12+INDEX($AJ$13:$AR$162,BN5130,0)+INDEX($AT$13:$BB$162,BO5130,0)+INDEX($BD$13:$BL$162,BP5130,0))/100))),0)</f>
        <v/>
      </c>
      <c r="BT5130">
        <f>IF(AND(5117&lt;$U$9,$W$5),BQ5130*1000000-MIN(BR5130,999)*1000+BS5130-5117/100000,-1000000000-5117)</f>
        <v/>
      </c>
    </row>
    <row r="5131">
      <c r="BN5131">
        <f>IF(5118&lt;$U$9,INT(5118/($U$7*$U$8))+1,1)</f>
        <v/>
      </c>
      <c r="BO5131">
        <f>IF(5118&lt;$U$9,MOD(INT(5118/$U$8),$U$7)+1,1)</f>
        <v/>
      </c>
      <c r="BP5131">
        <f>IF(5118&lt;$U$9,MOD(5118,$U$8)+1,1)</f>
        <v/>
      </c>
      <c r="BQ5131">
        <f>IF(5118&lt;$U$9,SUMPRODUCT(($D$10:$L$10&lt;&gt;"")*(($D$9:$L$9+INT(($S$12:$AA$12+INDEX($AJ$13:$AR$162,BN5131,0)+INDEX($AT$13:$BB$162,BO5131,0)+INDEX($BD$13:$BL$162,BP5131,0))/100))&gt;=$D$10:$L$10)),0)</f>
        <v/>
      </c>
      <c r="BR5131">
        <f>IF(5118&lt;$U$9,SUMPRODUCT(($D$10:$L$10&lt;&gt;"")*(($D$10:$L$10-($D$9:$L$9+INT(($S$12:$AA$12+INDEX($AJ$13:$AR$162,BN5131,0)+INDEX($AT$13:$BB$162,BO5131,0)+INDEX($BD$13:$BL$162,BP5131,0))/100)))&gt;0)*($D$10:$L$10-($D$9:$L$9+INT(($S$12:$AA$12+INDEX($AJ$13:$AR$162,BN5131,0)+INDEX($AT$13:$BB$162,BO5131,0)+INDEX($BD$13:$BL$162,BP5131,0))/100)))),0)</f>
        <v/>
      </c>
      <c r="BS5131">
        <f>IF(5118&lt;$U$9,SUMPRODUCT(($D$9:$L$9+INT(($S$12:$AA$12+INDEX($AJ$13:$AR$162,BN5131,0)+INDEX($AT$13:$BB$162,BO5131,0)+INDEX($BD$13:$BL$162,BP5131,0))/100))),0)</f>
        <v/>
      </c>
      <c r="BT5131">
        <f>IF(AND(5118&lt;$U$9,$W$5),BQ5131*1000000-MIN(BR5131,999)*1000+BS5131-5118/100000,-1000000000-5118)</f>
        <v/>
      </c>
    </row>
    <row r="5132">
      <c r="BN5132">
        <f>IF(5119&lt;$U$9,INT(5119/($U$7*$U$8))+1,1)</f>
        <v/>
      </c>
      <c r="BO5132">
        <f>IF(5119&lt;$U$9,MOD(INT(5119/$U$8),$U$7)+1,1)</f>
        <v/>
      </c>
      <c r="BP5132">
        <f>IF(5119&lt;$U$9,MOD(5119,$U$8)+1,1)</f>
        <v/>
      </c>
      <c r="BQ5132">
        <f>IF(5119&lt;$U$9,SUMPRODUCT(($D$10:$L$10&lt;&gt;"")*(($D$9:$L$9+INT(($S$12:$AA$12+INDEX($AJ$13:$AR$162,BN5132,0)+INDEX($AT$13:$BB$162,BO5132,0)+INDEX($BD$13:$BL$162,BP5132,0))/100))&gt;=$D$10:$L$10)),0)</f>
        <v/>
      </c>
      <c r="BR5132">
        <f>IF(5119&lt;$U$9,SUMPRODUCT(($D$10:$L$10&lt;&gt;"")*(($D$10:$L$10-($D$9:$L$9+INT(($S$12:$AA$12+INDEX($AJ$13:$AR$162,BN5132,0)+INDEX($AT$13:$BB$162,BO5132,0)+INDEX($BD$13:$BL$162,BP5132,0))/100)))&gt;0)*($D$10:$L$10-($D$9:$L$9+INT(($S$12:$AA$12+INDEX($AJ$13:$AR$162,BN5132,0)+INDEX($AT$13:$BB$162,BO5132,0)+INDEX($BD$13:$BL$162,BP5132,0))/100)))),0)</f>
        <v/>
      </c>
      <c r="BS5132">
        <f>IF(5119&lt;$U$9,SUMPRODUCT(($D$9:$L$9+INT(($S$12:$AA$12+INDEX($AJ$13:$AR$162,BN5132,0)+INDEX($AT$13:$BB$162,BO5132,0)+INDEX($BD$13:$BL$162,BP5132,0))/100))),0)</f>
        <v/>
      </c>
      <c r="BT5132">
        <f>IF(AND(5119&lt;$U$9,$W$5),BQ5132*1000000-MIN(BR5132,999)*1000+BS5132-5119/100000,-1000000000-5119)</f>
        <v/>
      </c>
    </row>
    <row r="5133">
      <c r="BN5133">
        <f>IF(5120&lt;$U$9,INT(5120/($U$7*$U$8))+1,1)</f>
        <v/>
      </c>
      <c r="BO5133">
        <f>IF(5120&lt;$U$9,MOD(INT(5120/$U$8),$U$7)+1,1)</f>
        <v/>
      </c>
      <c r="BP5133">
        <f>IF(5120&lt;$U$9,MOD(5120,$U$8)+1,1)</f>
        <v/>
      </c>
      <c r="BQ5133">
        <f>IF(5120&lt;$U$9,SUMPRODUCT(($D$10:$L$10&lt;&gt;"")*(($D$9:$L$9+INT(($S$12:$AA$12+INDEX($AJ$13:$AR$162,BN5133,0)+INDEX($AT$13:$BB$162,BO5133,0)+INDEX($BD$13:$BL$162,BP5133,0))/100))&gt;=$D$10:$L$10)),0)</f>
        <v/>
      </c>
      <c r="BR5133">
        <f>IF(5120&lt;$U$9,SUMPRODUCT(($D$10:$L$10&lt;&gt;"")*(($D$10:$L$10-($D$9:$L$9+INT(($S$12:$AA$12+INDEX($AJ$13:$AR$162,BN5133,0)+INDEX($AT$13:$BB$162,BO5133,0)+INDEX($BD$13:$BL$162,BP5133,0))/100)))&gt;0)*($D$10:$L$10-($D$9:$L$9+INT(($S$12:$AA$12+INDEX($AJ$13:$AR$162,BN5133,0)+INDEX($AT$13:$BB$162,BO5133,0)+INDEX($BD$13:$BL$162,BP5133,0))/100)))),0)</f>
        <v/>
      </c>
      <c r="BS5133">
        <f>IF(5120&lt;$U$9,SUMPRODUCT(($D$9:$L$9+INT(($S$12:$AA$12+INDEX($AJ$13:$AR$162,BN5133,0)+INDEX($AT$13:$BB$162,BO5133,0)+INDEX($BD$13:$BL$162,BP5133,0))/100))),0)</f>
        <v/>
      </c>
      <c r="BT5133">
        <f>IF(AND(5120&lt;$U$9,$W$5),BQ5133*1000000-MIN(BR5133,999)*1000+BS5133-5120/100000,-1000000000-5120)</f>
        <v/>
      </c>
    </row>
    <row r="5134">
      <c r="BN5134">
        <f>IF(5121&lt;$U$9,INT(5121/($U$7*$U$8))+1,1)</f>
        <v/>
      </c>
      <c r="BO5134">
        <f>IF(5121&lt;$U$9,MOD(INT(5121/$U$8),$U$7)+1,1)</f>
        <v/>
      </c>
      <c r="BP5134">
        <f>IF(5121&lt;$U$9,MOD(5121,$U$8)+1,1)</f>
        <v/>
      </c>
      <c r="BQ5134">
        <f>IF(5121&lt;$U$9,SUMPRODUCT(($D$10:$L$10&lt;&gt;"")*(($D$9:$L$9+INT(($S$12:$AA$12+INDEX($AJ$13:$AR$162,BN5134,0)+INDEX($AT$13:$BB$162,BO5134,0)+INDEX($BD$13:$BL$162,BP5134,0))/100))&gt;=$D$10:$L$10)),0)</f>
        <v/>
      </c>
      <c r="BR5134">
        <f>IF(5121&lt;$U$9,SUMPRODUCT(($D$10:$L$10&lt;&gt;"")*(($D$10:$L$10-($D$9:$L$9+INT(($S$12:$AA$12+INDEX($AJ$13:$AR$162,BN5134,0)+INDEX($AT$13:$BB$162,BO5134,0)+INDEX($BD$13:$BL$162,BP5134,0))/100)))&gt;0)*($D$10:$L$10-($D$9:$L$9+INT(($S$12:$AA$12+INDEX($AJ$13:$AR$162,BN5134,0)+INDEX($AT$13:$BB$162,BO5134,0)+INDEX($BD$13:$BL$162,BP5134,0))/100)))),0)</f>
        <v/>
      </c>
      <c r="BS5134">
        <f>IF(5121&lt;$U$9,SUMPRODUCT(($D$9:$L$9+INT(($S$12:$AA$12+INDEX($AJ$13:$AR$162,BN5134,0)+INDEX($AT$13:$BB$162,BO5134,0)+INDEX($BD$13:$BL$162,BP5134,0))/100))),0)</f>
        <v/>
      </c>
      <c r="BT5134">
        <f>IF(AND(5121&lt;$U$9,$W$5),BQ5134*1000000-MIN(BR5134,999)*1000+BS5134-5121/100000,-1000000000-5121)</f>
        <v/>
      </c>
    </row>
    <row r="5135">
      <c r="BN5135">
        <f>IF(5122&lt;$U$9,INT(5122/($U$7*$U$8))+1,1)</f>
        <v/>
      </c>
      <c r="BO5135">
        <f>IF(5122&lt;$U$9,MOD(INT(5122/$U$8),$U$7)+1,1)</f>
        <v/>
      </c>
      <c r="BP5135">
        <f>IF(5122&lt;$U$9,MOD(5122,$U$8)+1,1)</f>
        <v/>
      </c>
      <c r="BQ5135">
        <f>IF(5122&lt;$U$9,SUMPRODUCT(($D$10:$L$10&lt;&gt;"")*(($D$9:$L$9+INT(($S$12:$AA$12+INDEX($AJ$13:$AR$162,BN5135,0)+INDEX($AT$13:$BB$162,BO5135,0)+INDEX($BD$13:$BL$162,BP5135,0))/100))&gt;=$D$10:$L$10)),0)</f>
        <v/>
      </c>
      <c r="BR5135">
        <f>IF(5122&lt;$U$9,SUMPRODUCT(($D$10:$L$10&lt;&gt;"")*(($D$10:$L$10-($D$9:$L$9+INT(($S$12:$AA$12+INDEX($AJ$13:$AR$162,BN5135,0)+INDEX($AT$13:$BB$162,BO5135,0)+INDEX($BD$13:$BL$162,BP5135,0))/100)))&gt;0)*($D$10:$L$10-($D$9:$L$9+INT(($S$12:$AA$12+INDEX($AJ$13:$AR$162,BN5135,0)+INDEX($AT$13:$BB$162,BO5135,0)+INDEX($BD$13:$BL$162,BP5135,0))/100)))),0)</f>
        <v/>
      </c>
      <c r="BS5135">
        <f>IF(5122&lt;$U$9,SUMPRODUCT(($D$9:$L$9+INT(($S$12:$AA$12+INDEX($AJ$13:$AR$162,BN5135,0)+INDEX($AT$13:$BB$162,BO5135,0)+INDEX($BD$13:$BL$162,BP5135,0))/100))),0)</f>
        <v/>
      </c>
      <c r="BT5135">
        <f>IF(AND(5122&lt;$U$9,$W$5),BQ5135*1000000-MIN(BR5135,999)*1000+BS5135-5122/100000,-1000000000-5122)</f>
        <v/>
      </c>
    </row>
    <row r="5136">
      <c r="BN5136">
        <f>IF(5123&lt;$U$9,INT(5123/($U$7*$U$8))+1,1)</f>
        <v/>
      </c>
      <c r="BO5136">
        <f>IF(5123&lt;$U$9,MOD(INT(5123/$U$8),$U$7)+1,1)</f>
        <v/>
      </c>
      <c r="BP5136">
        <f>IF(5123&lt;$U$9,MOD(5123,$U$8)+1,1)</f>
        <v/>
      </c>
      <c r="BQ5136">
        <f>IF(5123&lt;$U$9,SUMPRODUCT(($D$10:$L$10&lt;&gt;"")*(($D$9:$L$9+INT(($S$12:$AA$12+INDEX($AJ$13:$AR$162,BN5136,0)+INDEX($AT$13:$BB$162,BO5136,0)+INDEX($BD$13:$BL$162,BP5136,0))/100))&gt;=$D$10:$L$10)),0)</f>
        <v/>
      </c>
      <c r="BR5136">
        <f>IF(5123&lt;$U$9,SUMPRODUCT(($D$10:$L$10&lt;&gt;"")*(($D$10:$L$10-($D$9:$L$9+INT(($S$12:$AA$12+INDEX($AJ$13:$AR$162,BN5136,0)+INDEX($AT$13:$BB$162,BO5136,0)+INDEX($BD$13:$BL$162,BP5136,0))/100)))&gt;0)*($D$10:$L$10-($D$9:$L$9+INT(($S$12:$AA$12+INDEX($AJ$13:$AR$162,BN5136,0)+INDEX($AT$13:$BB$162,BO5136,0)+INDEX($BD$13:$BL$162,BP5136,0))/100)))),0)</f>
        <v/>
      </c>
      <c r="BS5136">
        <f>IF(5123&lt;$U$9,SUMPRODUCT(($D$9:$L$9+INT(($S$12:$AA$12+INDEX($AJ$13:$AR$162,BN5136,0)+INDEX($AT$13:$BB$162,BO5136,0)+INDEX($BD$13:$BL$162,BP5136,0))/100))),0)</f>
        <v/>
      </c>
      <c r="BT5136">
        <f>IF(AND(5123&lt;$U$9,$W$5),BQ5136*1000000-MIN(BR5136,999)*1000+BS5136-5123/100000,-1000000000-5123)</f>
        <v/>
      </c>
    </row>
    <row r="5137">
      <c r="BN5137">
        <f>IF(5124&lt;$U$9,INT(5124/($U$7*$U$8))+1,1)</f>
        <v/>
      </c>
      <c r="BO5137">
        <f>IF(5124&lt;$U$9,MOD(INT(5124/$U$8),$U$7)+1,1)</f>
        <v/>
      </c>
      <c r="BP5137">
        <f>IF(5124&lt;$U$9,MOD(5124,$U$8)+1,1)</f>
        <v/>
      </c>
      <c r="BQ5137">
        <f>IF(5124&lt;$U$9,SUMPRODUCT(($D$10:$L$10&lt;&gt;"")*(($D$9:$L$9+INT(($S$12:$AA$12+INDEX($AJ$13:$AR$162,BN5137,0)+INDEX($AT$13:$BB$162,BO5137,0)+INDEX($BD$13:$BL$162,BP5137,0))/100))&gt;=$D$10:$L$10)),0)</f>
        <v/>
      </c>
      <c r="BR5137">
        <f>IF(5124&lt;$U$9,SUMPRODUCT(($D$10:$L$10&lt;&gt;"")*(($D$10:$L$10-($D$9:$L$9+INT(($S$12:$AA$12+INDEX($AJ$13:$AR$162,BN5137,0)+INDEX($AT$13:$BB$162,BO5137,0)+INDEX($BD$13:$BL$162,BP5137,0))/100)))&gt;0)*($D$10:$L$10-($D$9:$L$9+INT(($S$12:$AA$12+INDEX($AJ$13:$AR$162,BN5137,0)+INDEX($AT$13:$BB$162,BO5137,0)+INDEX($BD$13:$BL$162,BP5137,0))/100)))),0)</f>
        <v/>
      </c>
      <c r="BS5137">
        <f>IF(5124&lt;$U$9,SUMPRODUCT(($D$9:$L$9+INT(($S$12:$AA$12+INDEX($AJ$13:$AR$162,BN5137,0)+INDEX($AT$13:$BB$162,BO5137,0)+INDEX($BD$13:$BL$162,BP5137,0))/100))),0)</f>
        <v/>
      </c>
      <c r="BT5137">
        <f>IF(AND(5124&lt;$U$9,$W$5),BQ5137*1000000-MIN(BR5137,999)*1000+BS5137-5124/100000,-1000000000-5124)</f>
        <v/>
      </c>
    </row>
    <row r="5138">
      <c r="BN5138">
        <f>IF(5125&lt;$U$9,INT(5125/($U$7*$U$8))+1,1)</f>
        <v/>
      </c>
      <c r="BO5138">
        <f>IF(5125&lt;$U$9,MOD(INT(5125/$U$8),$U$7)+1,1)</f>
        <v/>
      </c>
      <c r="BP5138">
        <f>IF(5125&lt;$U$9,MOD(5125,$U$8)+1,1)</f>
        <v/>
      </c>
      <c r="BQ5138">
        <f>IF(5125&lt;$U$9,SUMPRODUCT(($D$10:$L$10&lt;&gt;"")*(($D$9:$L$9+INT(($S$12:$AA$12+INDEX($AJ$13:$AR$162,BN5138,0)+INDEX($AT$13:$BB$162,BO5138,0)+INDEX($BD$13:$BL$162,BP5138,0))/100))&gt;=$D$10:$L$10)),0)</f>
        <v/>
      </c>
      <c r="BR5138">
        <f>IF(5125&lt;$U$9,SUMPRODUCT(($D$10:$L$10&lt;&gt;"")*(($D$10:$L$10-($D$9:$L$9+INT(($S$12:$AA$12+INDEX($AJ$13:$AR$162,BN5138,0)+INDEX($AT$13:$BB$162,BO5138,0)+INDEX($BD$13:$BL$162,BP5138,0))/100)))&gt;0)*($D$10:$L$10-($D$9:$L$9+INT(($S$12:$AA$12+INDEX($AJ$13:$AR$162,BN5138,0)+INDEX($AT$13:$BB$162,BO5138,0)+INDEX($BD$13:$BL$162,BP5138,0))/100)))),0)</f>
        <v/>
      </c>
      <c r="BS5138">
        <f>IF(5125&lt;$U$9,SUMPRODUCT(($D$9:$L$9+INT(($S$12:$AA$12+INDEX($AJ$13:$AR$162,BN5138,0)+INDEX($AT$13:$BB$162,BO5138,0)+INDEX($BD$13:$BL$162,BP5138,0))/100))),0)</f>
        <v/>
      </c>
      <c r="BT5138">
        <f>IF(AND(5125&lt;$U$9,$W$5),BQ5138*1000000-MIN(BR5138,999)*1000+BS5138-5125/100000,-1000000000-5125)</f>
        <v/>
      </c>
    </row>
    <row r="5139">
      <c r="BN5139">
        <f>IF(5126&lt;$U$9,INT(5126/($U$7*$U$8))+1,1)</f>
        <v/>
      </c>
      <c r="BO5139">
        <f>IF(5126&lt;$U$9,MOD(INT(5126/$U$8),$U$7)+1,1)</f>
        <v/>
      </c>
      <c r="BP5139">
        <f>IF(5126&lt;$U$9,MOD(5126,$U$8)+1,1)</f>
        <v/>
      </c>
      <c r="BQ5139">
        <f>IF(5126&lt;$U$9,SUMPRODUCT(($D$10:$L$10&lt;&gt;"")*(($D$9:$L$9+INT(($S$12:$AA$12+INDEX($AJ$13:$AR$162,BN5139,0)+INDEX($AT$13:$BB$162,BO5139,0)+INDEX($BD$13:$BL$162,BP5139,0))/100))&gt;=$D$10:$L$10)),0)</f>
        <v/>
      </c>
      <c r="BR5139">
        <f>IF(5126&lt;$U$9,SUMPRODUCT(($D$10:$L$10&lt;&gt;"")*(($D$10:$L$10-($D$9:$L$9+INT(($S$12:$AA$12+INDEX($AJ$13:$AR$162,BN5139,0)+INDEX($AT$13:$BB$162,BO5139,0)+INDEX($BD$13:$BL$162,BP5139,0))/100)))&gt;0)*($D$10:$L$10-($D$9:$L$9+INT(($S$12:$AA$12+INDEX($AJ$13:$AR$162,BN5139,0)+INDEX($AT$13:$BB$162,BO5139,0)+INDEX($BD$13:$BL$162,BP5139,0))/100)))),0)</f>
        <v/>
      </c>
      <c r="BS5139">
        <f>IF(5126&lt;$U$9,SUMPRODUCT(($D$9:$L$9+INT(($S$12:$AA$12+INDEX($AJ$13:$AR$162,BN5139,0)+INDEX($AT$13:$BB$162,BO5139,0)+INDEX($BD$13:$BL$162,BP5139,0))/100))),0)</f>
        <v/>
      </c>
      <c r="BT5139">
        <f>IF(AND(5126&lt;$U$9,$W$5),BQ5139*1000000-MIN(BR5139,999)*1000+BS5139-5126/100000,-1000000000-5126)</f>
        <v/>
      </c>
    </row>
    <row r="5140">
      <c r="BN5140">
        <f>IF(5127&lt;$U$9,INT(5127/($U$7*$U$8))+1,1)</f>
        <v/>
      </c>
      <c r="BO5140">
        <f>IF(5127&lt;$U$9,MOD(INT(5127/$U$8),$U$7)+1,1)</f>
        <v/>
      </c>
      <c r="BP5140">
        <f>IF(5127&lt;$U$9,MOD(5127,$U$8)+1,1)</f>
        <v/>
      </c>
      <c r="BQ5140">
        <f>IF(5127&lt;$U$9,SUMPRODUCT(($D$10:$L$10&lt;&gt;"")*(($D$9:$L$9+INT(($S$12:$AA$12+INDEX($AJ$13:$AR$162,BN5140,0)+INDEX($AT$13:$BB$162,BO5140,0)+INDEX($BD$13:$BL$162,BP5140,0))/100))&gt;=$D$10:$L$10)),0)</f>
        <v/>
      </c>
      <c r="BR5140">
        <f>IF(5127&lt;$U$9,SUMPRODUCT(($D$10:$L$10&lt;&gt;"")*(($D$10:$L$10-($D$9:$L$9+INT(($S$12:$AA$12+INDEX($AJ$13:$AR$162,BN5140,0)+INDEX($AT$13:$BB$162,BO5140,0)+INDEX($BD$13:$BL$162,BP5140,0))/100)))&gt;0)*($D$10:$L$10-($D$9:$L$9+INT(($S$12:$AA$12+INDEX($AJ$13:$AR$162,BN5140,0)+INDEX($AT$13:$BB$162,BO5140,0)+INDEX($BD$13:$BL$162,BP5140,0))/100)))),0)</f>
        <v/>
      </c>
      <c r="BS5140">
        <f>IF(5127&lt;$U$9,SUMPRODUCT(($D$9:$L$9+INT(($S$12:$AA$12+INDEX($AJ$13:$AR$162,BN5140,0)+INDEX($AT$13:$BB$162,BO5140,0)+INDEX($BD$13:$BL$162,BP5140,0))/100))),0)</f>
        <v/>
      </c>
      <c r="BT5140">
        <f>IF(AND(5127&lt;$U$9,$W$5),BQ5140*1000000-MIN(BR5140,999)*1000+BS5140-5127/100000,-1000000000-5127)</f>
        <v/>
      </c>
    </row>
    <row r="5141">
      <c r="BN5141">
        <f>IF(5128&lt;$U$9,INT(5128/($U$7*$U$8))+1,1)</f>
        <v/>
      </c>
      <c r="BO5141">
        <f>IF(5128&lt;$U$9,MOD(INT(5128/$U$8),$U$7)+1,1)</f>
        <v/>
      </c>
      <c r="BP5141">
        <f>IF(5128&lt;$U$9,MOD(5128,$U$8)+1,1)</f>
        <v/>
      </c>
      <c r="BQ5141">
        <f>IF(5128&lt;$U$9,SUMPRODUCT(($D$10:$L$10&lt;&gt;"")*(($D$9:$L$9+INT(($S$12:$AA$12+INDEX($AJ$13:$AR$162,BN5141,0)+INDEX($AT$13:$BB$162,BO5141,0)+INDEX($BD$13:$BL$162,BP5141,0))/100))&gt;=$D$10:$L$10)),0)</f>
        <v/>
      </c>
      <c r="BR5141">
        <f>IF(5128&lt;$U$9,SUMPRODUCT(($D$10:$L$10&lt;&gt;"")*(($D$10:$L$10-($D$9:$L$9+INT(($S$12:$AA$12+INDEX($AJ$13:$AR$162,BN5141,0)+INDEX($AT$13:$BB$162,BO5141,0)+INDEX($BD$13:$BL$162,BP5141,0))/100)))&gt;0)*($D$10:$L$10-($D$9:$L$9+INT(($S$12:$AA$12+INDEX($AJ$13:$AR$162,BN5141,0)+INDEX($AT$13:$BB$162,BO5141,0)+INDEX($BD$13:$BL$162,BP5141,0))/100)))),0)</f>
        <v/>
      </c>
      <c r="BS5141">
        <f>IF(5128&lt;$U$9,SUMPRODUCT(($D$9:$L$9+INT(($S$12:$AA$12+INDEX($AJ$13:$AR$162,BN5141,0)+INDEX($AT$13:$BB$162,BO5141,0)+INDEX($BD$13:$BL$162,BP5141,0))/100))),0)</f>
        <v/>
      </c>
      <c r="BT5141">
        <f>IF(AND(5128&lt;$U$9,$W$5),BQ5141*1000000-MIN(BR5141,999)*1000+BS5141-5128/100000,-1000000000-5128)</f>
        <v/>
      </c>
    </row>
    <row r="5142">
      <c r="BN5142">
        <f>IF(5129&lt;$U$9,INT(5129/($U$7*$U$8))+1,1)</f>
        <v/>
      </c>
      <c r="BO5142">
        <f>IF(5129&lt;$U$9,MOD(INT(5129/$U$8),$U$7)+1,1)</f>
        <v/>
      </c>
      <c r="BP5142">
        <f>IF(5129&lt;$U$9,MOD(5129,$U$8)+1,1)</f>
        <v/>
      </c>
      <c r="BQ5142">
        <f>IF(5129&lt;$U$9,SUMPRODUCT(($D$10:$L$10&lt;&gt;"")*(($D$9:$L$9+INT(($S$12:$AA$12+INDEX($AJ$13:$AR$162,BN5142,0)+INDEX($AT$13:$BB$162,BO5142,0)+INDEX($BD$13:$BL$162,BP5142,0))/100))&gt;=$D$10:$L$10)),0)</f>
        <v/>
      </c>
      <c r="BR5142">
        <f>IF(5129&lt;$U$9,SUMPRODUCT(($D$10:$L$10&lt;&gt;"")*(($D$10:$L$10-($D$9:$L$9+INT(($S$12:$AA$12+INDEX($AJ$13:$AR$162,BN5142,0)+INDEX($AT$13:$BB$162,BO5142,0)+INDEX($BD$13:$BL$162,BP5142,0))/100)))&gt;0)*($D$10:$L$10-($D$9:$L$9+INT(($S$12:$AA$12+INDEX($AJ$13:$AR$162,BN5142,0)+INDEX($AT$13:$BB$162,BO5142,0)+INDEX($BD$13:$BL$162,BP5142,0))/100)))),0)</f>
        <v/>
      </c>
      <c r="BS5142">
        <f>IF(5129&lt;$U$9,SUMPRODUCT(($D$9:$L$9+INT(($S$12:$AA$12+INDEX($AJ$13:$AR$162,BN5142,0)+INDEX($AT$13:$BB$162,BO5142,0)+INDEX($BD$13:$BL$162,BP5142,0))/100))),0)</f>
        <v/>
      </c>
      <c r="BT5142">
        <f>IF(AND(5129&lt;$U$9,$W$5),BQ5142*1000000-MIN(BR5142,999)*1000+BS5142-5129/100000,-1000000000-5129)</f>
        <v/>
      </c>
    </row>
    <row r="5143">
      <c r="BN5143">
        <f>IF(5130&lt;$U$9,INT(5130/($U$7*$U$8))+1,1)</f>
        <v/>
      </c>
      <c r="BO5143">
        <f>IF(5130&lt;$U$9,MOD(INT(5130/$U$8),$U$7)+1,1)</f>
        <v/>
      </c>
      <c r="BP5143">
        <f>IF(5130&lt;$U$9,MOD(5130,$U$8)+1,1)</f>
        <v/>
      </c>
      <c r="BQ5143">
        <f>IF(5130&lt;$U$9,SUMPRODUCT(($D$10:$L$10&lt;&gt;"")*(($D$9:$L$9+INT(($S$12:$AA$12+INDEX($AJ$13:$AR$162,BN5143,0)+INDEX($AT$13:$BB$162,BO5143,0)+INDEX($BD$13:$BL$162,BP5143,0))/100))&gt;=$D$10:$L$10)),0)</f>
        <v/>
      </c>
      <c r="BR5143">
        <f>IF(5130&lt;$U$9,SUMPRODUCT(($D$10:$L$10&lt;&gt;"")*(($D$10:$L$10-($D$9:$L$9+INT(($S$12:$AA$12+INDEX($AJ$13:$AR$162,BN5143,0)+INDEX($AT$13:$BB$162,BO5143,0)+INDEX($BD$13:$BL$162,BP5143,0))/100)))&gt;0)*($D$10:$L$10-($D$9:$L$9+INT(($S$12:$AA$12+INDEX($AJ$13:$AR$162,BN5143,0)+INDEX($AT$13:$BB$162,BO5143,0)+INDEX($BD$13:$BL$162,BP5143,0))/100)))),0)</f>
        <v/>
      </c>
      <c r="BS5143">
        <f>IF(5130&lt;$U$9,SUMPRODUCT(($D$9:$L$9+INT(($S$12:$AA$12+INDEX($AJ$13:$AR$162,BN5143,0)+INDEX($AT$13:$BB$162,BO5143,0)+INDEX($BD$13:$BL$162,BP5143,0))/100))),0)</f>
        <v/>
      </c>
      <c r="BT5143">
        <f>IF(AND(5130&lt;$U$9,$W$5),BQ5143*1000000-MIN(BR5143,999)*1000+BS5143-5130/100000,-1000000000-5130)</f>
        <v/>
      </c>
    </row>
    <row r="5144">
      <c r="BN5144">
        <f>IF(5131&lt;$U$9,INT(5131/($U$7*$U$8))+1,1)</f>
        <v/>
      </c>
      <c r="BO5144">
        <f>IF(5131&lt;$U$9,MOD(INT(5131/$U$8),$U$7)+1,1)</f>
        <v/>
      </c>
      <c r="BP5144">
        <f>IF(5131&lt;$U$9,MOD(5131,$U$8)+1,1)</f>
        <v/>
      </c>
      <c r="BQ5144">
        <f>IF(5131&lt;$U$9,SUMPRODUCT(($D$10:$L$10&lt;&gt;"")*(($D$9:$L$9+INT(($S$12:$AA$12+INDEX($AJ$13:$AR$162,BN5144,0)+INDEX($AT$13:$BB$162,BO5144,0)+INDEX($BD$13:$BL$162,BP5144,0))/100))&gt;=$D$10:$L$10)),0)</f>
        <v/>
      </c>
      <c r="BR5144">
        <f>IF(5131&lt;$U$9,SUMPRODUCT(($D$10:$L$10&lt;&gt;"")*(($D$10:$L$10-($D$9:$L$9+INT(($S$12:$AA$12+INDEX($AJ$13:$AR$162,BN5144,0)+INDEX($AT$13:$BB$162,BO5144,0)+INDEX($BD$13:$BL$162,BP5144,0))/100)))&gt;0)*($D$10:$L$10-($D$9:$L$9+INT(($S$12:$AA$12+INDEX($AJ$13:$AR$162,BN5144,0)+INDEX($AT$13:$BB$162,BO5144,0)+INDEX($BD$13:$BL$162,BP5144,0))/100)))),0)</f>
        <v/>
      </c>
      <c r="BS5144">
        <f>IF(5131&lt;$U$9,SUMPRODUCT(($D$9:$L$9+INT(($S$12:$AA$12+INDEX($AJ$13:$AR$162,BN5144,0)+INDEX($AT$13:$BB$162,BO5144,0)+INDEX($BD$13:$BL$162,BP5144,0))/100))),0)</f>
        <v/>
      </c>
      <c r="BT5144">
        <f>IF(AND(5131&lt;$U$9,$W$5),BQ5144*1000000-MIN(BR5144,999)*1000+BS5144-5131/100000,-1000000000-5131)</f>
        <v/>
      </c>
    </row>
    <row r="5145">
      <c r="BN5145">
        <f>IF(5132&lt;$U$9,INT(5132/($U$7*$U$8))+1,1)</f>
        <v/>
      </c>
      <c r="BO5145">
        <f>IF(5132&lt;$U$9,MOD(INT(5132/$U$8),$U$7)+1,1)</f>
        <v/>
      </c>
      <c r="BP5145">
        <f>IF(5132&lt;$U$9,MOD(5132,$U$8)+1,1)</f>
        <v/>
      </c>
      <c r="BQ5145">
        <f>IF(5132&lt;$U$9,SUMPRODUCT(($D$10:$L$10&lt;&gt;"")*(($D$9:$L$9+INT(($S$12:$AA$12+INDEX($AJ$13:$AR$162,BN5145,0)+INDEX($AT$13:$BB$162,BO5145,0)+INDEX($BD$13:$BL$162,BP5145,0))/100))&gt;=$D$10:$L$10)),0)</f>
        <v/>
      </c>
      <c r="BR5145">
        <f>IF(5132&lt;$U$9,SUMPRODUCT(($D$10:$L$10&lt;&gt;"")*(($D$10:$L$10-($D$9:$L$9+INT(($S$12:$AA$12+INDEX($AJ$13:$AR$162,BN5145,0)+INDEX($AT$13:$BB$162,BO5145,0)+INDEX($BD$13:$BL$162,BP5145,0))/100)))&gt;0)*($D$10:$L$10-($D$9:$L$9+INT(($S$12:$AA$12+INDEX($AJ$13:$AR$162,BN5145,0)+INDEX($AT$13:$BB$162,BO5145,0)+INDEX($BD$13:$BL$162,BP5145,0))/100)))),0)</f>
        <v/>
      </c>
      <c r="BS5145">
        <f>IF(5132&lt;$U$9,SUMPRODUCT(($D$9:$L$9+INT(($S$12:$AA$12+INDEX($AJ$13:$AR$162,BN5145,0)+INDEX($AT$13:$BB$162,BO5145,0)+INDEX($BD$13:$BL$162,BP5145,0))/100))),0)</f>
        <v/>
      </c>
      <c r="BT5145">
        <f>IF(AND(5132&lt;$U$9,$W$5),BQ5145*1000000-MIN(BR5145,999)*1000+BS5145-5132/100000,-1000000000-5132)</f>
        <v/>
      </c>
    </row>
    <row r="5146">
      <c r="BN5146">
        <f>IF(5133&lt;$U$9,INT(5133/($U$7*$U$8))+1,1)</f>
        <v/>
      </c>
      <c r="BO5146">
        <f>IF(5133&lt;$U$9,MOD(INT(5133/$U$8),$U$7)+1,1)</f>
        <v/>
      </c>
      <c r="BP5146">
        <f>IF(5133&lt;$U$9,MOD(5133,$U$8)+1,1)</f>
        <v/>
      </c>
      <c r="BQ5146">
        <f>IF(5133&lt;$U$9,SUMPRODUCT(($D$10:$L$10&lt;&gt;"")*(($D$9:$L$9+INT(($S$12:$AA$12+INDEX($AJ$13:$AR$162,BN5146,0)+INDEX($AT$13:$BB$162,BO5146,0)+INDEX($BD$13:$BL$162,BP5146,0))/100))&gt;=$D$10:$L$10)),0)</f>
        <v/>
      </c>
      <c r="BR5146">
        <f>IF(5133&lt;$U$9,SUMPRODUCT(($D$10:$L$10&lt;&gt;"")*(($D$10:$L$10-($D$9:$L$9+INT(($S$12:$AA$12+INDEX($AJ$13:$AR$162,BN5146,0)+INDEX($AT$13:$BB$162,BO5146,0)+INDEX($BD$13:$BL$162,BP5146,0))/100)))&gt;0)*($D$10:$L$10-($D$9:$L$9+INT(($S$12:$AA$12+INDEX($AJ$13:$AR$162,BN5146,0)+INDEX($AT$13:$BB$162,BO5146,0)+INDEX($BD$13:$BL$162,BP5146,0))/100)))),0)</f>
        <v/>
      </c>
      <c r="BS5146">
        <f>IF(5133&lt;$U$9,SUMPRODUCT(($D$9:$L$9+INT(($S$12:$AA$12+INDEX($AJ$13:$AR$162,BN5146,0)+INDEX($AT$13:$BB$162,BO5146,0)+INDEX($BD$13:$BL$162,BP5146,0))/100))),0)</f>
        <v/>
      </c>
      <c r="BT5146">
        <f>IF(AND(5133&lt;$U$9,$W$5),BQ5146*1000000-MIN(BR5146,999)*1000+BS5146-5133/100000,-1000000000-5133)</f>
        <v/>
      </c>
    </row>
    <row r="5147">
      <c r="BN5147">
        <f>IF(5134&lt;$U$9,INT(5134/($U$7*$U$8))+1,1)</f>
        <v/>
      </c>
      <c r="BO5147">
        <f>IF(5134&lt;$U$9,MOD(INT(5134/$U$8),$U$7)+1,1)</f>
        <v/>
      </c>
      <c r="BP5147">
        <f>IF(5134&lt;$U$9,MOD(5134,$U$8)+1,1)</f>
        <v/>
      </c>
      <c r="BQ5147">
        <f>IF(5134&lt;$U$9,SUMPRODUCT(($D$10:$L$10&lt;&gt;"")*(($D$9:$L$9+INT(($S$12:$AA$12+INDEX($AJ$13:$AR$162,BN5147,0)+INDEX($AT$13:$BB$162,BO5147,0)+INDEX($BD$13:$BL$162,BP5147,0))/100))&gt;=$D$10:$L$10)),0)</f>
        <v/>
      </c>
      <c r="BR5147">
        <f>IF(5134&lt;$U$9,SUMPRODUCT(($D$10:$L$10&lt;&gt;"")*(($D$10:$L$10-($D$9:$L$9+INT(($S$12:$AA$12+INDEX($AJ$13:$AR$162,BN5147,0)+INDEX($AT$13:$BB$162,BO5147,0)+INDEX($BD$13:$BL$162,BP5147,0))/100)))&gt;0)*($D$10:$L$10-($D$9:$L$9+INT(($S$12:$AA$12+INDEX($AJ$13:$AR$162,BN5147,0)+INDEX($AT$13:$BB$162,BO5147,0)+INDEX($BD$13:$BL$162,BP5147,0))/100)))),0)</f>
        <v/>
      </c>
      <c r="BS5147">
        <f>IF(5134&lt;$U$9,SUMPRODUCT(($D$9:$L$9+INT(($S$12:$AA$12+INDEX($AJ$13:$AR$162,BN5147,0)+INDEX($AT$13:$BB$162,BO5147,0)+INDEX($BD$13:$BL$162,BP5147,0))/100))),0)</f>
        <v/>
      </c>
      <c r="BT5147">
        <f>IF(AND(5134&lt;$U$9,$W$5),BQ5147*1000000-MIN(BR5147,999)*1000+BS5147-5134/100000,-1000000000-5134)</f>
        <v/>
      </c>
    </row>
    <row r="5148">
      <c r="BN5148">
        <f>IF(5135&lt;$U$9,INT(5135/($U$7*$U$8))+1,1)</f>
        <v/>
      </c>
      <c r="BO5148">
        <f>IF(5135&lt;$U$9,MOD(INT(5135/$U$8),$U$7)+1,1)</f>
        <v/>
      </c>
      <c r="BP5148">
        <f>IF(5135&lt;$U$9,MOD(5135,$U$8)+1,1)</f>
        <v/>
      </c>
      <c r="BQ5148">
        <f>IF(5135&lt;$U$9,SUMPRODUCT(($D$10:$L$10&lt;&gt;"")*(($D$9:$L$9+INT(($S$12:$AA$12+INDEX($AJ$13:$AR$162,BN5148,0)+INDEX($AT$13:$BB$162,BO5148,0)+INDEX($BD$13:$BL$162,BP5148,0))/100))&gt;=$D$10:$L$10)),0)</f>
        <v/>
      </c>
      <c r="BR5148">
        <f>IF(5135&lt;$U$9,SUMPRODUCT(($D$10:$L$10&lt;&gt;"")*(($D$10:$L$10-($D$9:$L$9+INT(($S$12:$AA$12+INDEX($AJ$13:$AR$162,BN5148,0)+INDEX($AT$13:$BB$162,BO5148,0)+INDEX($BD$13:$BL$162,BP5148,0))/100)))&gt;0)*($D$10:$L$10-($D$9:$L$9+INT(($S$12:$AA$12+INDEX($AJ$13:$AR$162,BN5148,0)+INDEX($AT$13:$BB$162,BO5148,0)+INDEX($BD$13:$BL$162,BP5148,0))/100)))),0)</f>
        <v/>
      </c>
      <c r="BS5148">
        <f>IF(5135&lt;$U$9,SUMPRODUCT(($D$9:$L$9+INT(($S$12:$AA$12+INDEX($AJ$13:$AR$162,BN5148,0)+INDEX($AT$13:$BB$162,BO5148,0)+INDEX($BD$13:$BL$162,BP5148,0))/100))),0)</f>
        <v/>
      </c>
      <c r="BT5148">
        <f>IF(AND(5135&lt;$U$9,$W$5),BQ5148*1000000-MIN(BR5148,999)*1000+BS5148-5135/100000,-1000000000-5135)</f>
        <v/>
      </c>
    </row>
    <row r="5149">
      <c r="BN5149">
        <f>IF(5136&lt;$U$9,INT(5136/($U$7*$U$8))+1,1)</f>
        <v/>
      </c>
      <c r="BO5149">
        <f>IF(5136&lt;$U$9,MOD(INT(5136/$U$8),$U$7)+1,1)</f>
        <v/>
      </c>
      <c r="BP5149">
        <f>IF(5136&lt;$U$9,MOD(5136,$U$8)+1,1)</f>
        <v/>
      </c>
      <c r="BQ5149">
        <f>IF(5136&lt;$U$9,SUMPRODUCT(($D$10:$L$10&lt;&gt;"")*(($D$9:$L$9+INT(($S$12:$AA$12+INDEX($AJ$13:$AR$162,BN5149,0)+INDEX($AT$13:$BB$162,BO5149,0)+INDEX($BD$13:$BL$162,BP5149,0))/100))&gt;=$D$10:$L$10)),0)</f>
        <v/>
      </c>
      <c r="BR5149">
        <f>IF(5136&lt;$U$9,SUMPRODUCT(($D$10:$L$10&lt;&gt;"")*(($D$10:$L$10-($D$9:$L$9+INT(($S$12:$AA$12+INDEX($AJ$13:$AR$162,BN5149,0)+INDEX($AT$13:$BB$162,BO5149,0)+INDEX($BD$13:$BL$162,BP5149,0))/100)))&gt;0)*($D$10:$L$10-($D$9:$L$9+INT(($S$12:$AA$12+INDEX($AJ$13:$AR$162,BN5149,0)+INDEX($AT$13:$BB$162,BO5149,0)+INDEX($BD$13:$BL$162,BP5149,0))/100)))),0)</f>
        <v/>
      </c>
      <c r="BS5149">
        <f>IF(5136&lt;$U$9,SUMPRODUCT(($D$9:$L$9+INT(($S$12:$AA$12+INDEX($AJ$13:$AR$162,BN5149,0)+INDEX($AT$13:$BB$162,BO5149,0)+INDEX($BD$13:$BL$162,BP5149,0))/100))),0)</f>
        <v/>
      </c>
      <c r="BT5149">
        <f>IF(AND(5136&lt;$U$9,$W$5),BQ5149*1000000-MIN(BR5149,999)*1000+BS5149-5136/100000,-1000000000-5136)</f>
        <v/>
      </c>
    </row>
    <row r="5150">
      <c r="BN5150">
        <f>IF(5137&lt;$U$9,INT(5137/($U$7*$U$8))+1,1)</f>
        <v/>
      </c>
      <c r="BO5150">
        <f>IF(5137&lt;$U$9,MOD(INT(5137/$U$8),$U$7)+1,1)</f>
        <v/>
      </c>
      <c r="BP5150">
        <f>IF(5137&lt;$U$9,MOD(5137,$U$8)+1,1)</f>
        <v/>
      </c>
      <c r="BQ5150">
        <f>IF(5137&lt;$U$9,SUMPRODUCT(($D$10:$L$10&lt;&gt;"")*(($D$9:$L$9+INT(($S$12:$AA$12+INDEX($AJ$13:$AR$162,BN5150,0)+INDEX($AT$13:$BB$162,BO5150,0)+INDEX($BD$13:$BL$162,BP5150,0))/100))&gt;=$D$10:$L$10)),0)</f>
        <v/>
      </c>
      <c r="BR5150">
        <f>IF(5137&lt;$U$9,SUMPRODUCT(($D$10:$L$10&lt;&gt;"")*(($D$10:$L$10-($D$9:$L$9+INT(($S$12:$AA$12+INDEX($AJ$13:$AR$162,BN5150,0)+INDEX($AT$13:$BB$162,BO5150,0)+INDEX($BD$13:$BL$162,BP5150,0))/100)))&gt;0)*($D$10:$L$10-($D$9:$L$9+INT(($S$12:$AA$12+INDEX($AJ$13:$AR$162,BN5150,0)+INDEX($AT$13:$BB$162,BO5150,0)+INDEX($BD$13:$BL$162,BP5150,0))/100)))),0)</f>
        <v/>
      </c>
      <c r="BS5150">
        <f>IF(5137&lt;$U$9,SUMPRODUCT(($D$9:$L$9+INT(($S$12:$AA$12+INDEX($AJ$13:$AR$162,BN5150,0)+INDEX($AT$13:$BB$162,BO5150,0)+INDEX($BD$13:$BL$162,BP5150,0))/100))),0)</f>
        <v/>
      </c>
      <c r="BT5150">
        <f>IF(AND(5137&lt;$U$9,$W$5),BQ5150*1000000-MIN(BR5150,999)*1000+BS5150-5137/100000,-1000000000-5137)</f>
        <v/>
      </c>
    </row>
    <row r="5151">
      <c r="BN5151">
        <f>IF(5138&lt;$U$9,INT(5138/($U$7*$U$8))+1,1)</f>
        <v/>
      </c>
      <c r="BO5151">
        <f>IF(5138&lt;$U$9,MOD(INT(5138/$U$8),$U$7)+1,1)</f>
        <v/>
      </c>
      <c r="BP5151">
        <f>IF(5138&lt;$U$9,MOD(5138,$U$8)+1,1)</f>
        <v/>
      </c>
      <c r="BQ5151">
        <f>IF(5138&lt;$U$9,SUMPRODUCT(($D$10:$L$10&lt;&gt;"")*(($D$9:$L$9+INT(($S$12:$AA$12+INDEX($AJ$13:$AR$162,BN5151,0)+INDEX($AT$13:$BB$162,BO5151,0)+INDEX($BD$13:$BL$162,BP5151,0))/100))&gt;=$D$10:$L$10)),0)</f>
        <v/>
      </c>
      <c r="BR5151">
        <f>IF(5138&lt;$U$9,SUMPRODUCT(($D$10:$L$10&lt;&gt;"")*(($D$10:$L$10-($D$9:$L$9+INT(($S$12:$AA$12+INDEX($AJ$13:$AR$162,BN5151,0)+INDEX($AT$13:$BB$162,BO5151,0)+INDEX($BD$13:$BL$162,BP5151,0))/100)))&gt;0)*($D$10:$L$10-($D$9:$L$9+INT(($S$12:$AA$12+INDEX($AJ$13:$AR$162,BN5151,0)+INDEX($AT$13:$BB$162,BO5151,0)+INDEX($BD$13:$BL$162,BP5151,0))/100)))),0)</f>
        <v/>
      </c>
      <c r="BS5151">
        <f>IF(5138&lt;$U$9,SUMPRODUCT(($D$9:$L$9+INT(($S$12:$AA$12+INDEX($AJ$13:$AR$162,BN5151,0)+INDEX($AT$13:$BB$162,BO5151,0)+INDEX($BD$13:$BL$162,BP5151,0))/100))),0)</f>
        <v/>
      </c>
      <c r="BT5151">
        <f>IF(AND(5138&lt;$U$9,$W$5),BQ5151*1000000-MIN(BR5151,999)*1000+BS5151-5138/100000,-1000000000-5138)</f>
        <v/>
      </c>
    </row>
    <row r="5152">
      <c r="BN5152">
        <f>IF(5139&lt;$U$9,INT(5139/($U$7*$U$8))+1,1)</f>
        <v/>
      </c>
      <c r="BO5152">
        <f>IF(5139&lt;$U$9,MOD(INT(5139/$U$8),$U$7)+1,1)</f>
        <v/>
      </c>
      <c r="BP5152">
        <f>IF(5139&lt;$U$9,MOD(5139,$U$8)+1,1)</f>
        <v/>
      </c>
      <c r="BQ5152">
        <f>IF(5139&lt;$U$9,SUMPRODUCT(($D$10:$L$10&lt;&gt;"")*(($D$9:$L$9+INT(($S$12:$AA$12+INDEX($AJ$13:$AR$162,BN5152,0)+INDEX($AT$13:$BB$162,BO5152,0)+INDEX($BD$13:$BL$162,BP5152,0))/100))&gt;=$D$10:$L$10)),0)</f>
        <v/>
      </c>
      <c r="BR5152">
        <f>IF(5139&lt;$U$9,SUMPRODUCT(($D$10:$L$10&lt;&gt;"")*(($D$10:$L$10-($D$9:$L$9+INT(($S$12:$AA$12+INDEX($AJ$13:$AR$162,BN5152,0)+INDEX($AT$13:$BB$162,BO5152,0)+INDEX($BD$13:$BL$162,BP5152,0))/100)))&gt;0)*($D$10:$L$10-($D$9:$L$9+INT(($S$12:$AA$12+INDEX($AJ$13:$AR$162,BN5152,0)+INDEX($AT$13:$BB$162,BO5152,0)+INDEX($BD$13:$BL$162,BP5152,0))/100)))),0)</f>
        <v/>
      </c>
      <c r="BS5152">
        <f>IF(5139&lt;$U$9,SUMPRODUCT(($D$9:$L$9+INT(($S$12:$AA$12+INDEX($AJ$13:$AR$162,BN5152,0)+INDEX($AT$13:$BB$162,BO5152,0)+INDEX($BD$13:$BL$162,BP5152,0))/100))),0)</f>
        <v/>
      </c>
      <c r="BT5152">
        <f>IF(AND(5139&lt;$U$9,$W$5),BQ5152*1000000-MIN(BR5152,999)*1000+BS5152-5139/100000,-1000000000-5139)</f>
        <v/>
      </c>
    </row>
    <row r="5153">
      <c r="BN5153">
        <f>IF(5140&lt;$U$9,INT(5140/($U$7*$U$8))+1,1)</f>
        <v/>
      </c>
      <c r="BO5153">
        <f>IF(5140&lt;$U$9,MOD(INT(5140/$U$8),$U$7)+1,1)</f>
        <v/>
      </c>
      <c r="BP5153">
        <f>IF(5140&lt;$U$9,MOD(5140,$U$8)+1,1)</f>
        <v/>
      </c>
      <c r="BQ5153">
        <f>IF(5140&lt;$U$9,SUMPRODUCT(($D$10:$L$10&lt;&gt;"")*(($D$9:$L$9+INT(($S$12:$AA$12+INDEX($AJ$13:$AR$162,BN5153,0)+INDEX($AT$13:$BB$162,BO5153,0)+INDEX($BD$13:$BL$162,BP5153,0))/100))&gt;=$D$10:$L$10)),0)</f>
        <v/>
      </c>
      <c r="BR5153">
        <f>IF(5140&lt;$U$9,SUMPRODUCT(($D$10:$L$10&lt;&gt;"")*(($D$10:$L$10-($D$9:$L$9+INT(($S$12:$AA$12+INDEX($AJ$13:$AR$162,BN5153,0)+INDEX($AT$13:$BB$162,BO5153,0)+INDEX($BD$13:$BL$162,BP5153,0))/100)))&gt;0)*($D$10:$L$10-($D$9:$L$9+INT(($S$12:$AA$12+INDEX($AJ$13:$AR$162,BN5153,0)+INDEX($AT$13:$BB$162,BO5153,0)+INDEX($BD$13:$BL$162,BP5153,0))/100)))),0)</f>
        <v/>
      </c>
      <c r="BS5153">
        <f>IF(5140&lt;$U$9,SUMPRODUCT(($D$9:$L$9+INT(($S$12:$AA$12+INDEX($AJ$13:$AR$162,BN5153,0)+INDEX($AT$13:$BB$162,BO5153,0)+INDEX($BD$13:$BL$162,BP5153,0))/100))),0)</f>
        <v/>
      </c>
      <c r="BT5153">
        <f>IF(AND(5140&lt;$U$9,$W$5),BQ5153*1000000-MIN(BR5153,999)*1000+BS5153-5140/100000,-1000000000-5140)</f>
        <v/>
      </c>
    </row>
    <row r="5154">
      <c r="BN5154">
        <f>IF(5141&lt;$U$9,INT(5141/($U$7*$U$8))+1,1)</f>
        <v/>
      </c>
      <c r="BO5154">
        <f>IF(5141&lt;$U$9,MOD(INT(5141/$U$8),$U$7)+1,1)</f>
        <v/>
      </c>
      <c r="BP5154">
        <f>IF(5141&lt;$U$9,MOD(5141,$U$8)+1,1)</f>
        <v/>
      </c>
      <c r="BQ5154">
        <f>IF(5141&lt;$U$9,SUMPRODUCT(($D$10:$L$10&lt;&gt;"")*(($D$9:$L$9+INT(($S$12:$AA$12+INDEX($AJ$13:$AR$162,BN5154,0)+INDEX($AT$13:$BB$162,BO5154,0)+INDEX($BD$13:$BL$162,BP5154,0))/100))&gt;=$D$10:$L$10)),0)</f>
        <v/>
      </c>
      <c r="BR5154">
        <f>IF(5141&lt;$U$9,SUMPRODUCT(($D$10:$L$10&lt;&gt;"")*(($D$10:$L$10-($D$9:$L$9+INT(($S$12:$AA$12+INDEX($AJ$13:$AR$162,BN5154,0)+INDEX($AT$13:$BB$162,BO5154,0)+INDEX($BD$13:$BL$162,BP5154,0))/100)))&gt;0)*($D$10:$L$10-($D$9:$L$9+INT(($S$12:$AA$12+INDEX($AJ$13:$AR$162,BN5154,0)+INDEX($AT$13:$BB$162,BO5154,0)+INDEX($BD$13:$BL$162,BP5154,0))/100)))),0)</f>
        <v/>
      </c>
      <c r="BS5154">
        <f>IF(5141&lt;$U$9,SUMPRODUCT(($D$9:$L$9+INT(($S$12:$AA$12+INDEX($AJ$13:$AR$162,BN5154,0)+INDEX($AT$13:$BB$162,BO5154,0)+INDEX($BD$13:$BL$162,BP5154,0))/100))),0)</f>
        <v/>
      </c>
      <c r="BT5154">
        <f>IF(AND(5141&lt;$U$9,$W$5),BQ5154*1000000-MIN(BR5154,999)*1000+BS5154-5141/100000,-1000000000-5141)</f>
        <v/>
      </c>
    </row>
    <row r="5155">
      <c r="BN5155">
        <f>IF(5142&lt;$U$9,INT(5142/($U$7*$U$8))+1,1)</f>
        <v/>
      </c>
      <c r="BO5155">
        <f>IF(5142&lt;$U$9,MOD(INT(5142/$U$8),$U$7)+1,1)</f>
        <v/>
      </c>
      <c r="BP5155">
        <f>IF(5142&lt;$U$9,MOD(5142,$U$8)+1,1)</f>
        <v/>
      </c>
      <c r="BQ5155">
        <f>IF(5142&lt;$U$9,SUMPRODUCT(($D$10:$L$10&lt;&gt;"")*(($D$9:$L$9+INT(($S$12:$AA$12+INDEX($AJ$13:$AR$162,BN5155,0)+INDEX($AT$13:$BB$162,BO5155,0)+INDEX($BD$13:$BL$162,BP5155,0))/100))&gt;=$D$10:$L$10)),0)</f>
        <v/>
      </c>
      <c r="BR5155">
        <f>IF(5142&lt;$U$9,SUMPRODUCT(($D$10:$L$10&lt;&gt;"")*(($D$10:$L$10-($D$9:$L$9+INT(($S$12:$AA$12+INDEX($AJ$13:$AR$162,BN5155,0)+INDEX($AT$13:$BB$162,BO5155,0)+INDEX($BD$13:$BL$162,BP5155,0))/100)))&gt;0)*($D$10:$L$10-($D$9:$L$9+INT(($S$12:$AA$12+INDEX($AJ$13:$AR$162,BN5155,0)+INDEX($AT$13:$BB$162,BO5155,0)+INDEX($BD$13:$BL$162,BP5155,0))/100)))),0)</f>
        <v/>
      </c>
      <c r="BS5155">
        <f>IF(5142&lt;$U$9,SUMPRODUCT(($D$9:$L$9+INT(($S$12:$AA$12+INDEX($AJ$13:$AR$162,BN5155,0)+INDEX($AT$13:$BB$162,BO5155,0)+INDEX($BD$13:$BL$162,BP5155,0))/100))),0)</f>
        <v/>
      </c>
      <c r="BT5155">
        <f>IF(AND(5142&lt;$U$9,$W$5),BQ5155*1000000-MIN(BR5155,999)*1000+BS5155-5142/100000,-1000000000-5142)</f>
        <v/>
      </c>
    </row>
    <row r="5156">
      <c r="BN5156">
        <f>IF(5143&lt;$U$9,INT(5143/($U$7*$U$8))+1,1)</f>
        <v/>
      </c>
      <c r="BO5156">
        <f>IF(5143&lt;$U$9,MOD(INT(5143/$U$8),$U$7)+1,1)</f>
        <v/>
      </c>
      <c r="BP5156">
        <f>IF(5143&lt;$U$9,MOD(5143,$U$8)+1,1)</f>
        <v/>
      </c>
      <c r="BQ5156">
        <f>IF(5143&lt;$U$9,SUMPRODUCT(($D$10:$L$10&lt;&gt;"")*(($D$9:$L$9+INT(($S$12:$AA$12+INDEX($AJ$13:$AR$162,BN5156,0)+INDEX($AT$13:$BB$162,BO5156,0)+INDEX($BD$13:$BL$162,BP5156,0))/100))&gt;=$D$10:$L$10)),0)</f>
        <v/>
      </c>
      <c r="BR5156">
        <f>IF(5143&lt;$U$9,SUMPRODUCT(($D$10:$L$10&lt;&gt;"")*(($D$10:$L$10-($D$9:$L$9+INT(($S$12:$AA$12+INDEX($AJ$13:$AR$162,BN5156,0)+INDEX($AT$13:$BB$162,BO5156,0)+INDEX($BD$13:$BL$162,BP5156,0))/100)))&gt;0)*($D$10:$L$10-($D$9:$L$9+INT(($S$12:$AA$12+INDEX($AJ$13:$AR$162,BN5156,0)+INDEX($AT$13:$BB$162,BO5156,0)+INDEX($BD$13:$BL$162,BP5156,0))/100)))),0)</f>
        <v/>
      </c>
      <c r="BS5156">
        <f>IF(5143&lt;$U$9,SUMPRODUCT(($D$9:$L$9+INT(($S$12:$AA$12+INDEX($AJ$13:$AR$162,BN5156,0)+INDEX($AT$13:$BB$162,BO5156,0)+INDEX($BD$13:$BL$162,BP5156,0))/100))),0)</f>
        <v/>
      </c>
      <c r="BT5156">
        <f>IF(AND(5143&lt;$U$9,$W$5),BQ5156*1000000-MIN(BR5156,999)*1000+BS5156-5143/100000,-1000000000-5143)</f>
        <v/>
      </c>
    </row>
    <row r="5157">
      <c r="BN5157">
        <f>IF(5144&lt;$U$9,INT(5144/($U$7*$U$8))+1,1)</f>
        <v/>
      </c>
      <c r="BO5157">
        <f>IF(5144&lt;$U$9,MOD(INT(5144/$U$8),$U$7)+1,1)</f>
        <v/>
      </c>
      <c r="BP5157">
        <f>IF(5144&lt;$U$9,MOD(5144,$U$8)+1,1)</f>
        <v/>
      </c>
      <c r="BQ5157">
        <f>IF(5144&lt;$U$9,SUMPRODUCT(($D$10:$L$10&lt;&gt;"")*(($D$9:$L$9+INT(($S$12:$AA$12+INDEX($AJ$13:$AR$162,BN5157,0)+INDEX($AT$13:$BB$162,BO5157,0)+INDEX($BD$13:$BL$162,BP5157,0))/100))&gt;=$D$10:$L$10)),0)</f>
        <v/>
      </c>
      <c r="BR5157">
        <f>IF(5144&lt;$U$9,SUMPRODUCT(($D$10:$L$10&lt;&gt;"")*(($D$10:$L$10-($D$9:$L$9+INT(($S$12:$AA$12+INDEX($AJ$13:$AR$162,BN5157,0)+INDEX($AT$13:$BB$162,BO5157,0)+INDEX($BD$13:$BL$162,BP5157,0))/100)))&gt;0)*($D$10:$L$10-($D$9:$L$9+INT(($S$12:$AA$12+INDEX($AJ$13:$AR$162,BN5157,0)+INDEX($AT$13:$BB$162,BO5157,0)+INDEX($BD$13:$BL$162,BP5157,0))/100)))),0)</f>
        <v/>
      </c>
      <c r="BS5157">
        <f>IF(5144&lt;$U$9,SUMPRODUCT(($D$9:$L$9+INT(($S$12:$AA$12+INDEX($AJ$13:$AR$162,BN5157,0)+INDEX($AT$13:$BB$162,BO5157,0)+INDEX($BD$13:$BL$162,BP5157,0))/100))),0)</f>
        <v/>
      </c>
      <c r="BT5157">
        <f>IF(AND(5144&lt;$U$9,$W$5),BQ5157*1000000-MIN(BR5157,999)*1000+BS5157-5144/100000,-1000000000-5144)</f>
        <v/>
      </c>
    </row>
    <row r="5158">
      <c r="BN5158">
        <f>IF(5145&lt;$U$9,INT(5145/($U$7*$U$8))+1,1)</f>
        <v/>
      </c>
      <c r="BO5158">
        <f>IF(5145&lt;$U$9,MOD(INT(5145/$U$8),$U$7)+1,1)</f>
        <v/>
      </c>
      <c r="BP5158">
        <f>IF(5145&lt;$U$9,MOD(5145,$U$8)+1,1)</f>
        <v/>
      </c>
      <c r="BQ5158">
        <f>IF(5145&lt;$U$9,SUMPRODUCT(($D$10:$L$10&lt;&gt;"")*(($D$9:$L$9+INT(($S$12:$AA$12+INDEX($AJ$13:$AR$162,BN5158,0)+INDEX($AT$13:$BB$162,BO5158,0)+INDEX($BD$13:$BL$162,BP5158,0))/100))&gt;=$D$10:$L$10)),0)</f>
        <v/>
      </c>
      <c r="BR5158">
        <f>IF(5145&lt;$U$9,SUMPRODUCT(($D$10:$L$10&lt;&gt;"")*(($D$10:$L$10-($D$9:$L$9+INT(($S$12:$AA$12+INDEX($AJ$13:$AR$162,BN5158,0)+INDEX($AT$13:$BB$162,BO5158,0)+INDEX($BD$13:$BL$162,BP5158,0))/100)))&gt;0)*($D$10:$L$10-($D$9:$L$9+INT(($S$12:$AA$12+INDEX($AJ$13:$AR$162,BN5158,0)+INDEX($AT$13:$BB$162,BO5158,0)+INDEX($BD$13:$BL$162,BP5158,0))/100)))),0)</f>
        <v/>
      </c>
      <c r="BS5158">
        <f>IF(5145&lt;$U$9,SUMPRODUCT(($D$9:$L$9+INT(($S$12:$AA$12+INDEX($AJ$13:$AR$162,BN5158,0)+INDEX($AT$13:$BB$162,BO5158,0)+INDEX($BD$13:$BL$162,BP5158,0))/100))),0)</f>
        <v/>
      </c>
      <c r="BT5158">
        <f>IF(AND(5145&lt;$U$9,$W$5),BQ5158*1000000-MIN(BR5158,999)*1000+BS5158-5145/100000,-1000000000-5145)</f>
        <v/>
      </c>
    </row>
    <row r="5159">
      <c r="BN5159">
        <f>IF(5146&lt;$U$9,INT(5146/($U$7*$U$8))+1,1)</f>
        <v/>
      </c>
      <c r="BO5159">
        <f>IF(5146&lt;$U$9,MOD(INT(5146/$U$8),$U$7)+1,1)</f>
        <v/>
      </c>
      <c r="BP5159">
        <f>IF(5146&lt;$U$9,MOD(5146,$U$8)+1,1)</f>
        <v/>
      </c>
      <c r="BQ5159">
        <f>IF(5146&lt;$U$9,SUMPRODUCT(($D$10:$L$10&lt;&gt;"")*(($D$9:$L$9+INT(($S$12:$AA$12+INDEX($AJ$13:$AR$162,BN5159,0)+INDEX($AT$13:$BB$162,BO5159,0)+INDEX($BD$13:$BL$162,BP5159,0))/100))&gt;=$D$10:$L$10)),0)</f>
        <v/>
      </c>
      <c r="BR5159">
        <f>IF(5146&lt;$U$9,SUMPRODUCT(($D$10:$L$10&lt;&gt;"")*(($D$10:$L$10-($D$9:$L$9+INT(($S$12:$AA$12+INDEX($AJ$13:$AR$162,BN5159,0)+INDEX($AT$13:$BB$162,BO5159,0)+INDEX($BD$13:$BL$162,BP5159,0))/100)))&gt;0)*($D$10:$L$10-($D$9:$L$9+INT(($S$12:$AA$12+INDEX($AJ$13:$AR$162,BN5159,0)+INDEX($AT$13:$BB$162,BO5159,0)+INDEX($BD$13:$BL$162,BP5159,0))/100)))),0)</f>
        <v/>
      </c>
      <c r="BS5159">
        <f>IF(5146&lt;$U$9,SUMPRODUCT(($D$9:$L$9+INT(($S$12:$AA$12+INDEX($AJ$13:$AR$162,BN5159,0)+INDEX($AT$13:$BB$162,BO5159,0)+INDEX($BD$13:$BL$162,BP5159,0))/100))),0)</f>
        <v/>
      </c>
      <c r="BT5159">
        <f>IF(AND(5146&lt;$U$9,$W$5),BQ5159*1000000-MIN(BR5159,999)*1000+BS5159-5146/100000,-1000000000-5146)</f>
        <v/>
      </c>
    </row>
    <row r="5160">
      <c r="BN5160">
        <f>IF(5147&lt;$U$9,INT(5147/($U$7*$U$8))+1,1)</f>
        <v/>
      </c>
      <c r="BO5160">
        <f>IF(5147&lt;$U$9,MOD(INT(5147/$U$8),$U$7)+1,1)</f>
        <v/>
      </c>
      <c r="BP5160">
        <f>IF(5147&lt;$U$9,MOD(5147,$U$8)+1,1)</f>
        <v/>
      </c>
      <c r="BQ5160">
        <f>IF(5147&lt;$U$9,SUMPRODUCT(($D$10:$L$10&lt;&gt;"")*(($D$9:$L$9+INT(($S$12:$AA$12+INDEX($AJ$13:$AR$162,BN5160,0)+INDEX($AT$13:$BB$162,BO5160,0)+INDEX($BD$13:$BL$162,BP5160,0))/100))&gt;=$D$10:$L$10)),0)</f>
        <v/>
      </c>
      <c r="BR5160">
        <f>IF(5147&lt;$U$9,SUMPRODUCT(($D$10:$L$10&lt;&gt;"")*(($D$10:$L$10-($D$9:$L$9+INT(($S$12:$AA$12+INDEX($AJ$13:$AR$162,BN5160,0)+INDEX($AT$13:$BB$162,BO5160,0)+INDEX($BD$13:$BL$162,BP5160,0))/100)))&gt;0)*($D$10:$L$10-($D$9:$L$9+INT(($S$12:$AA$12+INDEX($AJ$13:$AR$162,BN5160,0)+INDEX($AT$13:$BB$162,BO5160,0)+INDEX($BD$13:$BL$162,BP5160,0))/100)))),0)</f>
        <v/>
      </c>
      <c r="BS5160">
        <f>IF(5147&lt;$U$9,SUMPRODUCT(($D$9:$L$9+INT(($S$12:$AA$12+INDEX($AJ$13:$AR$162,BN5160,0)+INDEX($AT$13:$BB$162,BO5160,0)+INDEX($BD$13:$BL$162,BP5160,0))/100))),0)</f>
        <v/>
      </c>
      <c r="BT5160">
        <f>IF(AND(5147&lt;$U$9,$W$5),BQ5160*1000000-MIN(BR5160,999)*1000+BS5160-5147/100000,-1000000000-5147)</f>
        <v/>
      </c>
    </row>
    <row r="5161">
      <c r="BN5161">
        <f>IF(5148&lt;$U$9,INT(5148/($U$7*$U$8))+1,1)</f>
        <v/>
      </c>
      <c r="BO5161">
        <f>IF(5148&lt;$U$9,MOD(INT(5148/$U$8),$U$7)+1,1)</f>
        <v/>
      </c>
      <c r="BP5161">
        <f>IF(5148&lt;$U$9,MOD(5148,$U$8)+1,1)</f>
        <v/>
      </c>
      <c r="BQ5161">
        <f>IF(5148&lt;$U$9,SUMPRODUCT(($D$10:$L$10&lt;&gt;"")*(($D$9:$L$9+INT(($S$12:$AA$12+INDEX($AJ$13:$AR$162,BN5161,0)+INDEX($AT$13:$BB$162,BO5161,0)+INDEX($BD$13:$BL$162,BP5161,0))/100))&gt;=$D$10:$L$10)),0)</f>
        <v/>
      </c>
      <c r="BR5161">
        <f>IF(5148&lt;$U$9,SUMPRODUCT(($D$10:$L$10&lt;&gt;"")*(($D$10:$L$10-($D$9:$L$9+INT(($S$12:$AA$12+INDEX($AJ$13:$AR$162,BN5161,0)+INDEX($AT$13:$BB$162,BO5161,0)+INDEX($BD$13:$BL$162,BP5161,0))/100)))&gt;0)*($D$10:$L$10-($D$9:$L$9+INT(($S$12:$AA$12+INDEX($AJ$13:$AR$162,BN5161,0)+INDEX($AT$13:$BB$162,BO5161,0)+INDEX($BD$13:$BL$162,BP5161,0))/100)))),0)</f>
        <v/>
      </c>
      <c r="BS5161">
        <f>IF(5148&lt;$U$9,SUMPRODUCT(($D$9:$L$9+INT(($S$12:$AA$12+INDEX($AJ$13:$AR$162,BN5161,0)+INDEX($AT$13:$BB$162,BO5161,0)+INDEX($BD$13:$BL$162,BP5161,0))/100))),0)</f>
        <v/>
      </c>
      <c r="BT5161">
        <f>IF(AND(5148&lt;$U$9,$W$5),BQ5161*1000000-MIN(BR5161,999)*1000+BS5161-5148/100000,-1000000000-5148)</f>
        <v/>
      </c>
    </row>
    <row r="5162">
      <c r="BN5162">
        <f>IF(5149&lt;$U$9,INT(5149/($U$7*$U$8))+1,1)</f>
        <v/>
      </c>
      <c r="BO5162">
        <f>IF(5149&lt;$U$9,MOD(INT(5149/$U$8),$U$7)+1,1)</f>
        <v/>
      </c>
      <c r="BP5162">
        <f>IF(5149&lt;$U$9,MOD(5149,$U$8)+1,1)</f>
        <v/>
      </c>
      <c r="BQ5162">
        <f>IF(5149&lt;$U$9,SUMPRODUCT(($D$10:$L$10&lt;&gt;"")*(($D$9:$L$9+INT(($S$12:$AA$12+INDEX($AJ$13:$AR$162,BN5162,0)+INDEX($AT$13:$BB$162,BO5162,0)+INDEX($BD$13:$BL$162,BP5162,0))/100))&gt;=$D$10:$L$10)),0)</f>
        <v/>
      </c>
      <c r="BR5162">
        <f>IF(5149&lt;$U$9,SUMPRODUCT(($D$10:$L$10&lt;&gt;"")*(($D$10:$L$10-($D$9:$L$9+INT(($S$12:$AA$12+INDEX($AJ$13:$AR$162,BN5162,0)+INDEX($AT$13:$BB$162,BO5162,0)+INDEX($BD$13:$BL$162,BP5162,0))/100)))&gt;0)*($D$10:$L$10-($D$9:$L$9+INT(($S$12:$AA$12+INDEX($AJ$13:$AR$162,BN5162,0)+INDEX($AT$13:$BB$162,BO5162,0)+INDEX($BD$13:$BL$162,BP5162,0))/100)))),0)</f>
        <v/>
      </c>
      <c r="BS5162">
        <f>IF(5149&lt;$U$9,SUMPRODUCT(($D$9:$L$9+INT(($S$12:$AA$12+INDEX($AJ$13:$AR$162,BN5162,0)+INDEX($AT$13:$BB$162,BO5162,0)+INDEX($BD$13:$BL$162,BP5162,0))/100))),0)</f>
        <v/>
      </c>
      <c r="BT5162">
        <f>IF(AND(5149&lt;$U$9,$W$5),BQ5162*1000000-MIN(BR5162,999)*1000+BS5162-5149/100000,-1000000000-5149)</f>
        <v/>
      </c>
    </row>
    <row r="5163">
      <c r="BN5163">
        <f>IF(5150&lt;$U$9,INT(5150/($U$7*$U$8))+1,1)</f>
        <v/>
      </c>
      <c r="BO5163">
        <f>IF(5150&lt;$U$9,MOD(INT(5150/$U$8),$U$7)+1,1)</f>
        <v/>
      </c>
      <c r="BP5163">
        <f>IF(5150&lt;$U$9,MOD(5150,$U$8)+1,1)</f>
        <v/>
      </c>
      <c r="BQ5163">
        <f>IF(5150&lt;$U$9,SUMPRODUCT(($D$10:$L$10&lt;&gt;"")*(($D$9:$L$9+INT(($S$12:$AA$12+INDEX($AJ$13:$AR$162,BN5163,0)+INDEX($AT$13:$BB$162,BO5163,0)+INDEX($BD$13:$BL$162,BP5163,0))/100))&gt;=$D$10:$L$10)),0)</f>
        <v/>
      </c>
      <c r="BR5163">
        <f>IF(5150&lt;$U$9,SUMPRODUCT(($D$10:$L$10&lt;&gt;"")*(($D$10:$L$10-($D$9:$L$9+INT(($S$12:$AA$12+INDEX($AJ$13:$AR$162,BN5163,0)+INDEX($AT$13:$BB$162,BO5163,0)+INDEX($BD$13:$BL$162,BP5163,0))/100)))&gt;0)*($D$10:$L$10-($D$9:$L$9+INT(($S$12:$AA$12+INDEX($AJ$13:$AR$162,BN5163,0)+INDEX($AT$13:$BB$162,BO5163,0)+INDEX($BD$13:$BL$162,BP5163,0))/100)))),0)</f>
        <v/>
      </c>
      <c r="BS5163">
        <f>IF(5150&lt;$U$9,SUMPRODUCT(($D$9:$L$9+INT(($S$12:$AA$12+INDEX($AJ$13:$AR$162,BN5163,0)+INDEX($AT$13:$BB$162,BO5163,0)+INDEX($BD$13:$BL$162,BP5163,0))/100))),0)</f>
        <v/>
      </c>
      <c r="BT5163">
        <f>IF(AND(5150&lt;$U$9,$W$5),BQ5163*1000000-MIN(BR5163,999)*1000+BS5163-5150/100000,-1000000000-5150)</f>
        <v/>
      </c>
    </row>
    <row r="5164">
      <c r="BN5164">
        <f>IF(5151&lt;$U$9,INT(5151/($U$7*$U$8))+1,1)</f>
        <v/>
      </c>
      <c r="BO5164">
        <f>IF(5151&lt;$U$9,MOD(INT(5151/$U$8),$U$7)+1,1)</f>
        <v/>
      </c>
      <c r="BP5164">
        <f>IF(5151&lt;$U$9,MOD(5151,$U$8)+1,1)</f>
        <v/>
      </c>
      <c r="BQ5164">
        <f>IF(5151&lt;$U$9,SUMPRODUCT(($D$10:$L$10&lt;&gt;"")*(($D$9:$L$9+INT(($S$12:$AA$12+INDEX($AJ$13:$AR$162,BN5164,0)+INDEX($AT$13:$BB$162,BO5164,0)+INDEX($BD$13:$BL$162,BP5164,0))/100))&gt;=$D$10:$L$10)),0)</f>
        <v/>
      </c>
      <c r="BR5164">
        <f>IF(5151&lt;$U$9,SUMPRODUCT(($D$10:$L$10&lt;&gt;"")*(($D$10:$L$10-($D$9:$L$9+INT(($S$12:$AA$12+INDEX($AJ$13:$AR$162,BN5164,0)+INDEX($AT$13:$BB$162,BO5164,0)+INDEX($BD$13:$BL$162,BP5164,0))/100)))&gt;0)*($D$10:$L$10-($D$9:$L$9+INT(($S$12:$AA$12+INDEX($AJ$13:$AR$162,BN5164,0)+INDEX($AT$13:$BB$162,BO5164,0)+INDEX($BD$13:$BL$162,BP5164,0))/100)))),0)</f>
        <v/>
      </c>
      <c r="BS5164">
        <f>IF(5151&lt;$U$9,SUMPRODUCT(($D$9:$L$9+INT(($S$12:$AA$12+INDEX($AJ$13:$AR$162,BN5164,0)+INDEX($AT$13:$BB$162,BO5164,0)+INDEX($BD$13:$BL$162,BP5164,0))/100))),0)</f>
        <v/>
      </c>
      <c r="BT5164">
        <f>IF(AND(5151&lt;$U$9,$W$5),BQ5164*1000000-MIN(BR5164,999)*1000+BS5164-5151/100000,-1000000000-5151)</f>
        <v/>
      </c>
    </row>
    <row r="5165">
      <c r="BN5165">
        <f>IF(5152&lt;$U$9,INT(5152/($U$7*$U$8))+1,1)</f>
        <v/>
      </c>
      <c r="BO5165">
        <f>IF(5152&lt;$U$9,MOD(INT(5152/$U$8),$U$7)+1,1)</f>
        <v/>
      </c>
      <c r="BP5165">
        <f>IF(5152&lt;$U$9,MOD(5152,$U$8)+1,1)</f>
        <v/>
      </c>
      <c r="BQ5165">
        <f>IF(5152&lt;$U$9,SUMPRODUCT(($D$10:$L$10&lt;&gt;"")*(($D$9:$L$9+INT(($S$12:$AA$12+INDEX($AJ$13:$AR$162,BN5165,0)+INDEX($AT$13:$BB$162,BO5165,0)+INDEX($BD$13:$BL$162,BP5165,0))/100))&gt;=$D$10:$L$10)),0)</f>
        <v/>
      </c>
      <c r="BR5165">
        <f>IF(5152&lt;$U$9,SUMPRODUCT(($D$10:$L$10&lt;&gt;"")*(($D$10:$L$10-($D$9:$L$9+INT(($S$12:$AA$12+INDEX($AJ$13:$AR$162,BN5165,0)+INDEX($AT$13:$BB$162,BO5165,0)+INDEX($BD$13:$BL$162,BP5165,0))/100)))&gt;0)*($D$10:$L$10-($D$9:$L$9+INT(($S$12:$AA$12+INDEX($AJ$13:$AR$162,BN5165,0)+INDEX($AT$13:$BB$162,BO5165,0)+INDEX($BD$13:$BL$162,BP5165,0))/100)))),0)</f>
        <v/>
      </c>
      <c r="BS5165">
        <f>IF(5152&lt;$U$9,SUMPRODUCT(($D$9:$L$9+INT(($S$12:$AA$12+INDEX($AJ$13:$AR$162,BN5165,0)+INDEX($AT$13:$BB$162,BO5165,0)+INDEX($BD$13:$BL$162,BP5165,0))/100))),0)</f>
        <v/>
      </c>
      <c r="BT5165">
        <f>IF(AND(5152&lt;$U$9,$W$5),BQ5165*1000000-MIN(BR5165,999)*1000+BS5165-5152/100000,-1000000000-5152)</f>
        <v/>
      </c>
    </row>
    <row r="5166">
      <c r="BN5166">
        <f>IF(5153&lt;$U$9,INT(5153/($U$7*$U$8))+1,1)</f>
        <v/>
      </c>
      <c r="BO5166">
        <f>IF(5153&lt;$U$9,MOD(INT(5153/$U$8),$U$7)+1,1)</f>
        <v/>
      </c>
      <c r="BP5166">
        <f>IF(5153&lt;$U$9,MOD(5153,$U$8)+1,1)</f>
        <v/>
      </c>
      <c r="BQ5166">
        <f>IF(5153&lt;$U$9,SUMPRODUCT(($D$10:$L$10&lt;&gt;"")*(($D$9:$L$9+INT(($S$12:$AA$12+INDEX($AJ$13:$AR$162,BN5166,0)+INDEX($AT$13:$BB$162,BO5166,0)+INDEX($BD$13:$BL$162,BP5166,0))/100))&gt;=$D$10:$L$10)),0)</f>
        <v/>
      </c>
      <c r="BR5166">
        <f>IF(5153&lt;$U$9,SUMPRODUCT(($D$10:$L$10&lt;&gt;"")*(($D$10:$L$10-($D$9:$L$9+INT(($S$12:$AA$12+INDEX($AJ$13:$AR$162,BN5166,0)+INDEX($AT$13:$BB$162,BO5166,0)+INDEX($BD$13:$BL$162,BP5166,0))/100)))&gt;0)*($D$10:$L$10-($D$9:$L$9+INT(($S$12:$AA$12+INDEX($AJ$13:$AR$162,BN5166,0)+INDEX($AT$13:$BB$162,BO5166,0)+INDEX($BD$13:$BL$162,BP5166,0))/100)))),0)</f>
        <v/>
      </c>
      <c r="BS5166">
        <f>IF(5153&lt;$U$9,SUMPRODUCT(($D$9:$L$9+INT(($S$12:$AA$12+INDEX($AJ$13:$AR$162,BN5166,0)+INDEX($AT$13:$BB$162,BO5166,0)+INDEX($BD$13:$BL$162,BP5166,0))/100))),0)</f>
        <v/>
      </c>
      <c r="BT5166">
        <f>IF(AND(5153&lt;$U$9,$W$5),BQ5166*1000000-MIN(BR5166,999)*1000+BS5166-5153/100000,-1000000000-5153)</f>
        <v/>
      </c>
    </row>
    <row r="5167">
      <c r="BN5167">
        <f>IF(5154&lt;$U$9,INT(5154/($U$7*$U$8))+1,1)</f>
        <v/>
      </c>
      <c r="BO5167">
        <f>IF(5154&lt;$U$9,MOD(INT(5154/$U$8),$U$7)+1,1)</f>
        <v/>
      </c>
      <c r="BP5167">
        <f>IF(5154&lt;$U$9,MOD(5154,$U$8)+1,1)</f>
        <v/>
      </c>
      <c r="BQ5167">
        <f>IF(5154&lt;$U$9,SUMPRODUCT(($D$10:$L$10&lt;&gt;"")*(($D$9:$L$9+INT(($S$12:$AA$12+INDEX($AJ$13:$AR$162,BN5167,0)+INDEX($AT$13:$BB$162,BO5167,0)+INDEX($BD$13:$BL$162,BP5167,0))/100))&gt;=$D$10:$L$10)),0)</f>
        <v/>
      </c>
      <c r="BR5167">
        <f>IF(5154&lt;$U$9,SUMPRODUCT(($D$10:$L$10&lt;&gt;"")*(($D$10:$L$10-($D$9:$L$9+INT(($S$12:$AA$12+INDEX($AJ$13:$AR$162,BN5167,0)+INDEX($AT$13:$BB$162,BO5167,0)+INDEX($BD$13:$BL$162,BP5167,0))/100)))&gt;0)*($D$10:$L$10-($D$9:$L$9+INT(($S$12:$AA$12+INDEX($AJ$13:$AR$162,BN5167,0)+INDEX($AT$13:$BB$162,BO5167,0)+INDEX($BD$13:$BL$162,BP5167,0))/100)))),0)</f>
        <v/>
      </c>
      <c r="BS5167">
        <f>IF(5154&lt;$U$9,SUMPRODUCT(($D$9:$L$9+INT(($S$12:$AA$12+INDEX($AJ$13:$AR$162,BN5167,0)+INDEX($AT$13:$BB$162,BO5167,0)+INDEX($BD$13:$BL$162,BP5167,0))/100))),0)</f>
        <v/>
      </c>
      <c r="BT5167">
        <f>IF(AND(5154&lt;$U$9,$W$5),BQ5167*1000000-MIN(BR5167,999)*1000+BS5167-5154/100000,-1000000000-5154)</f>
        <v/>
      </c>
    </row>
    <row r="5168">
      <c r="BN5168">
        <f>IF(5155&lt;$U$9,INT(5155/($U$7*$U$8))+1,1)</f>
        <v/>
      </c>
      <c r="BO5168">
        <f>IF(5155&lt;$U$9,MOD(INT(5155/$U$8),$U$7)+1,1)</f>
        <v/>
      </c>
      <c r="BP5168">
        <f>IF(5155&lt;$U$9,MOD(5155,$U$8)+1,1)</f>
        <v/>
      </c>
      <c r="BQ5168">
        <f>IF(5155&lt;$U$9,SUMPRODUCT(($D$10:$L$10&lt;&gt;"")*(($D$9:$L$9+INT(($S$12:$AA$12+INDEX($AJ$13:$AR$162,BN5168,0)+INDEX($AT$13:$BB$162,BO5168,0)+INDEX($BD$13:$BL$162,BP5168,0))/100))&gt;=$D$10:$L$10)),0)</f>
        <v/>
      </c>
      <c r="BR5168">
        <f>IF(5155&lt;$U$9,SUMPRODUCT(($D$10:$L$10&lt;&gt;"")*(($D$10:$L$10-($D$9:$L$9+INT(($S$12:$AA$12+INDEX($AJ$13:$AR$162,BN5168,0)+INDEX($AT$13:$BB$162,BO5168,0)+INDEX($BD$13:$BL$162,BP5168,0))/100)))&gt;0)*($D$10:$L$10-($D$9:$L$9+INT(($S$12:$AA$12+INDEX($AJ$13:$AR$162,BN5168,0)+INDEX($AT$13:$BB$162,BO5168,0)+INDEX($BD$13:$BL$162,BP5168,0))/100)))),0)</f>
        <v/>
      </c>
      <c r="BS5168">
        <f>IF(5155&lt;$U$9,SUMPRODUCT(($D$9:$L$9+INT(($S$12:$AA$12+INDEX($AJ$13:$AR$162,BN5168,0)+INDEX($AT$13:$BB$162,BO5168,0)+INDEX($BD$13:$BL$162,BP5168,0))/100))),0)</f>
        <v/>
      </c>
      <c r="BT5168">
        <f>IF(AND(5155&lt;$U$9,$W$5),BQ5168*1000000-MIN(BR5168,999)*1000+BS5168-5155/100000,-1000000000-5155)</f>
        <v/>
      </c>
    </row>
    <row r="5169">
      <c r="BN5169">
        <f>IF(5156&lt;$U$9,INT(5156/($U$7*$U$8))+1,1)</f>
        <v/>
      </c>
      <c r="BO5169">
        <f>IF(5156&lt;$U$9,MOD(INT(5156/$U$8),$U$7)+1,1)</f>
        <v/>
      </c>
      <c r="BP5169">
        <f>IF(5156&lt;$U$9,MOD(5156,$U$8)+1,1)</f>
        <v/>
      </c>
      <c r="BQ5169">
        <f>IF(5156&lt;$U$9,SUMPRODUCT(($D$10:$L$10&lt;&gt;"")*(($D$9:$L$9+INT(($S$12:$AA$12+INDEX($AJ$13:$AR$162,BN5169,0)+INDEX($AT$13:$BB$162,BO5169,0)+INDEX($BD$13:$BL$162,BP5169,0))/100))&gt;=$D$10:$L$10)),0)</f>
        <v/>
      </c>
      <c r="BR5169">
        <f>IF(5156&lt;$U$9,SUMPRODUCT(($D$10:$L$10&lt;&gt;"")*(($D$10:$L$10-($D$9:$L$9+INT(($S$12:$AA$12+INDEX($AJ$13:$AR$162,BN5169,0)+INDEX($AT$13:$BB$162,BO5169,0)+INDEX($BD$13:$BL$162,BP5169,0))/100)))&gt;0)*($D$10:$L$10-($D$9:$L$9+INT(($S$12:$AA$12+INDEX($AJ$13:$AR$162,BN5169,0)+INDEX($AT$13:$BB$162,BO5169,0)+INDEX($BD$13:$BL$162,BP5169,0))/100)))),0)</f>
        <v/>
      </c>
      <c r="BS5169">
        <f>IF(5156&lt;$U$9,SUMPRODUCT(($D$9:$L$9+INT(($S$12:$AA$12+INDEX($AJ$13:$AR$162,BN5169,0)+INDEX($AT$13:$BB$162,BO5169,0)+INDEX($BD$13:$BL$162,BP5169,0))/100))),0)</f>
        <v/>
      </c>
      <c r="BT5169">
        <f>IF(AND(5156&lt;$U$9,$W$5),BQ5169*1000000-MIN(BR5169,999)*1000+BS5169-5156/100000,-1000000000-5156)</f>
        <v/>
      </c>
    </row>
    <row r="5170">
      <c r="BN5170">
        <f>IF(5157&lt;$U$9,INT(5157/($U$7*$U$8))+1,1)</f>
        <v/>
      </c>
      <c r="BO5170">
        <f>IF(5157&lt;$U$9,MOD(INT(5157/$U$8),$U$7)+1,1)</f>
        <v/>
      </c>
      <c r="BP5170">
        <f>IF(5157&lt;$U$9,MOD(5157,$U$8)+1,1)</f>
        <v/>
      </c>
      <c r="BQ5170">
        <f>IF(5157&lt;$U$9,SUMPRODUCT(($D$10:$L$10&lt;&gt;"")*(($D$9:$L$9+INT(($S$12:$AA$12+INDEX($AJ$13:$AR$162,BN5170,0)+INDEX($AT$13:$BB$162,BO5170,0)+INDEX($BD$13:$BL$162,BP5170,0))/100))&gt;=$D$10:$L$10)),0)</f>
        <v/>
      </c>
      <c r="BR5170">
        <f>IF(5157&lt;$U$9,SUMPRODUCT(($D$10:$L$10&lt;&gt;"")*(($D$10:$L$10-($D$9:$L$9+INT(($S$12:$AA$12+INDEX($AJ$13:$AR$162,BN5170,0)+INDEX($AT$13:$BB$162,BO5170,0)+INDEX($BD$13:$BL$162,BP5170,0))/100)))&gt;0)*($D$10:$L$10-($D$9:$L$9+INT(($S$12:$AA$12+INDEX($AJ$13:$AR$162,BN5170,0)+INDEX($AT$13:$BB$162,BO5170,0)+INDEX($BD$13:$BL$162,BP5170,0))/100)))),0)</f>
        <v/>
      </c>
      <c r="BS5170">
        <f>IF(5157&lt;$U$9,SUMPRODUCT(($D$9:$L$9+INT(($S$12:$AA$12+INDEX($AJ$13:$AR$162,BN5170,0)+INDEX($AT$13:$BB$162,BO5170,0)+INDEX($BD$13:$BL$162,BP5170,0))/100))),0)</f>
        <v/>
      </c>
      <c r="BT5170">
        <f>IF(AND(5157&lt;$U$9,$W$5),BQ5170*1000000-MIN(BR5170,999)*1000+BS5170-5157/100000,-1000000000-5157)</f>
        <v/>
      </c>
    </row>
    <row r="5171">
      <c r="BN5171">
        <f>IF(5158&lt;$U$9,INT(5158/($U$7*$U$8))+1,1)</f>
        <v/>
      </c>
      <c r="BO5171">
        <f>IF(5158&lt;$U$9,MOD(INT(5158/$U$8),$U$7)+1,1)</f>
        <v/>
      </c>
      <c r="BP5171">
        <f>IF(5158&lt;$U$9,MOD(5158,$U$8)+1,1)</f>
        <v/>
      </c>
      <c r="BQ5171">
        <f>IF(5158&lt;$U$9,SUMPRODUCT(($D$10:$L$10&lt;&gt;"")*(($D$9:$L$9+INT(($S$12:$AA$12+INDEX($AJ$13:$AR$162,BN5171,0)+INDEX($AT$13:$BB$162,BO5171,0)+INDEX($BD$13:$BL$162,BP5171,0))/100))&gt;=$D$10:$L$10)),0)</f>
        <v/>
      </c>
      <c r="BR5171">
        <f>IF(5158&lt;$U$9,SUMPRODUCT(($D$10:$L$10&lt;&gt;"")*(($D$10:$L$10-($D$9:$L$9+INT(($S$12:$AA$12+INDEX($AJ$13:$AR$162,BN5171,0)+INDEX($AT$13:$BB$162,BO5171,0)+INDEX($BD$13:$BL$162,BP5171,0))/100)))&gt;0)*($D$10:$L$10-($D$9:$L$9+INT(($S$12:$AA$12+INDEX($AJ$13:$AR$162,BN5171,0)+INDEX($AT$13:$BB$162,BO5171,0)+INDEX($BD$13:$BL$162,BP5171,0))/100)))),0)</f>
        <v/>
      </c>
      <c r="BS5171">
        <f>IF(5158&lt;$U$9,SUMPRODUCT(($D$9:$L$9+INT(($S$12:$AA$12+INDEX($AJ$13:$AR$162,BN5171,0)+INDEX($AT$13:$BB$162,BO5171,0)+INDEX($BD$13:$BL$162,BP5171,0))/100))),0)</f>
        <v/>
      </c>
      <c r="BT5171">
        <f>IF(AND(5158&lt;$U$9,$W$5),BQ5171*1000000-MIN(BR5171,999)*1000+BS5171-5158/100000,-1000000000-5158)</f>
        <v/>
      </c>
    </row>
    <row r="5172">
      <c r="BN5172">
        <f>IF(5159&lt;$U$9,INT(5159/($U$7*$U$8))+1,1)</f>
        <v/>
      </c>
      <c r="BO5172">
        <f>IF(5159&lt;$U$9,MOD(INT(5159/$U$8),$U$7)+1,1)</f>
        <v/>
      </c>
      <c r="BP5172">
        <f>IF(5159&lt;$U$9,MOD(5159,$U$8)+1,1)</f>
        <v/>
      </c>
      <c r="BQ5172">
        <f>IF(5159&lt;$U$9,SUMPRODUCT(($D$10:$L$10&lt;&gt;"")*(($D$9:$L$9+INT(($S$12:$AA$12+INDEX($AJ$13:$AR$162,BN5172,0)+INDEX($AT$13:$BB$162,BO5172,0)+INDEX($BD$13:$BL$162,BP5172,0))/100))&gt;=$D$10:$L$10)),0)</f>
        <v/>
      </c>
      <c r="BR5172">
        <f>IF(5159&lt;$U$9,SUMPRODUCT(($D$10:$L$10&lt;&gt;"")*(($D$10:$L$10-($D$9:$L$9+INT(($S$12:$AA$12+INDEX($AJ$13:$AR$162,BN5172,0)+INDEX($AT$13:$BB$162,BO5172,0)+INDEX($BD$13:$BL$162,BP5172,0))/100)))&gt;0)*($D$10:$L$10-($D$9:$L$9+INT(($S$12:$AA$12+INDEX($AJ$13:$AR$162,BN5172,0)+INDEX($AT$13:$BB$162,BO5172,0)+INDEX($BD$13:$BL$162,BP5172,0))/100)))),0)</f>
        <v/>
      </c>
      <c r="BS5172">
        <f>IF(5159&lt;$U$9,SUMPRODUCT(($D$9:$L$9+INT(($S$12:$AA$12+INDEX($AJ$13:$AR$162,BN5172,0)+INDEX($AT$13:$BB$162,BO5172,0)+INDEX($BD$13:$BL$162,BP5172,0))/100))),0)</f>
        <v/>
      </c>
      <c r="BT5172">
        <f>IF(AND(5159&lt;$U$9,$W$5),BQ5172*1000000-MIN(BR5172,999)*1000+BS5172-5159/100000,-1000000000-5159)</f>
        <v/>
      </c>
    </row>
    <row r="5173">
      <c r="BN5173">
        <f>IF(5160&lt;$U$9,INT(5160/($U$7*$U$8))+1,1)</f>
        <v/>
      </c>
      <c r="BO5173">
        <f>IF(5160&lt;$U$9,MOD(INT(5160/$U$8),$U$7)+1,1)</f>
        <v/>
      </c>
      <c r="BP5173">
        <f>IF(5160&lt;$U$9,MOD(5160,$U$8)+1,1)</f>
        <v/>
      </c>
      <c r="BQ5173">
        <f>IF(5160&lt;$U$9,SUMPRODUCT(($D$10:$L$10&lt;&gt;"")*(($D$9:$L$9+INT(($S$12:$AA$12+INDEX($AJ$13:$AR$162,BN5173,0)+INDEX($AT$13:$BB$162,BO5173,0)+INDEX($BD$13:$BL$162,BP5173,0))/100))&gt;=$D$10:$L$10)),0)</f>
        <v/>
      </c>
      <c r="BR5173">
        <f>IF(5160&lt;$U$9,SUMPRODUCT(($D$10:$L$10&lt;&gt;"")*(($D$10:$L$10-($D$9:$L$9+INT(($S$12:$AA$12+INDEX($AJ$13:$AR$162,BN5173,0)+INDEX($AT$13:$BB$162,BO5173,0)+INDEX($BD$13:$BL$162,BP5173,0))/100)))&gt;0)*($D$10:$L$10-($D$9:$L$9+INT(($S$12:$AA$12+INDEX($AJ$13:$AR$162,BN5173,0)+INDEX($AT$13:$BB$162,BO5173,0)+INDEX($BD$13:$BL$162,BP5173,0))/100)))),0)</f>
        <v/>
      </c>
      <c r="BS5173">
        <f>IF(5160&lt;$U$9,SUMPRODUCT(($D$9:$L$9+INT(($S$12:$AA$12+INDEX($AJ$13:$AR$162,BN5173,0)+INDEX($AT$13:$BB$162,BO5173,0)+INDEX($BD$13:$BL$162,BP5173,0))/100))),0)</f>
        <v/>
      </c>
      <c r="BT5173">
        <f>IF(AND(5160&lt;$U$9,$W$5),BQ5173*1000000-MIN(BR5173,999)*1000+BS5173-5160/100000,-1000000000-5160)</f>
        <v/>
      </c>
    </row>
    <row r="5174">
      <c r="BN5174">
        <f>IF(5161&lt;$U$9,INT(5161/($U$7*$U$8))+1,1)</f>
        <v/>
      </c>
      <c r="BO5174">
        <f>IF(5161&lt;$U$9,MOD(INT(5161/$U$8),$U$7)+1,1)</f>
        <v/>
      </c>
      <c r="BP5174">
        <f>IF(5161&lt;$U$9,MOD(5161,$U$8)+1,1)</f>
        <v/>
      </c>
      <c r="BQ5174">
        <f>IF(5161&lt;$U$9,SUMPRODUCT(($D$10:$L$10&lt;&gt;"")*(($D$9:$L$9+INT(($S$12:$AA$12+INDEX($AJ$13:$AR$162,BN5174,0)+INDEX($AT$13:$BB$162,BO5174,0)+INDEX($BD$13:$BL$162,BP5174,0))/100))&gt;=$D$10:$L$10)),0)</f>
        <v/>
      </c>
      <c r="BR5174">
        <f>IF(5161&lt;$U$9,SUMPRODUCT(($D$10:$L$10&lt;&gt;"")*(($D$10:$L$10-($D$9:$L$9+INT(($S$12:$AA$12+INDEX($AJ$13:$AR$162,BN5174,0)+INDEX($AT$13:$BB$162,BO5174,0)+INDEX($BD$13:$BL$162,BP5174,0))/100)))&gt;0)*($D$10:$L$10-($D$9:$L$9+INT(($S$12:$AA$12+INDEX($AJ$13:$AR$162,BN5174,0)+INDEX($AT$13:$BB$162,BO5174,0)+INDEX($BD$13:$BL$162,BP5174,0))/100)))),0)</f>
        <v/>
      </c>
      <c r="BS5174">
        <f>IF(5161&lt;$U$9,SUMPRODUCT(($D$9:$L$9+INT(($S$12:$AA$12+INDEX($AJ$13:$AR$162,BN5174,0)+INDEX($AT$13:$BB$162,BO5174,0)+INDEX($BD$13:$BL$162,BP5174,0))/100))),0)</f>
        <v/>
      </c>
      <c r="BT5174">
        <f>IF(AND(5161&lt;$U$9,$W$5),BQ5174*1000000-MIN(BR5174,999)*1000+BS5174-5161/100000,-1000000000-5161)</f>
        <v/>
      </c>
    </row>
    <row r="5175">
      <c r="BN5175">
        <f>IF(5162&lt;$U$9,INT(5162/($U$7*$U$8))+1,1)</f>
        <v/>
      </c>
      <c r="BO5175">
        <f>IF(5162&lt;$U$9,MOD(INT(5162/$U$8),$U$7)+1,1)</f>
        <v/>
      </c>
      <c r="BP5175">
        <f>IF(5162&lt;$U$9,MOD(5162,$U$8)+1,1)</f>
        <v/>
      </c>
      <c r="BQ5175">
        <f>IF(5162&lt;$U$9,SUMPRODUCT(($D$10:$L$10&lt;&gt;"")*(($D$9:$L$9+INT(($S$12:$AA$12+INDEX($AJ$13:$AR$162,BN5175,0)+INDEX($AT$13:$BB$162,BO5175,0)+INDEX($BD$13:$BL$162,BP5175,0))/100))&gt;=$D$10:$L$10)),0)</f>
        <v/>
      </c>
      <c r="BR5175">
        <f>IF(5162&lt;$U$9,SUMPRODUCT(($D$10:$L$10&lt;&gt;"")*(($D$10:$L$10-($D$9:$L$9+INT(($S$12:$AA$12+INDEX($AJ$13:$AR$162,BN5175,0)+INDEX($AT$13:$BB$162,BO5175,0)+INDEX($BD$13:$BL$162,BP5175,0))/100)))&gt;0)*($D$10:$L$10-($D$9:$L$9+INT(($S$12:$AA$12+INDEX($AJ$13:$AR$162,BN5175,0)+INDEX($AT$13:$BB$162,BO5175,0)+INDEX($BD$13:$BL$162,BP5175,0))/100)))),0)</f>
        <v/>
      </c>
      <c r="BS5175">
        <f>IF(5162&lt;$U$9,SUMPRODUCT(($D$9:$L$9+INT(($S$12:$AA$12+INDEX($AJ$13:$AR$162,BN5175,0)+INDEX($AT$13:$BB$162,BO5175,0)+INDEX($BD$13:$BL$162,BP5175,0))/100))),0)</f>
        <v/>
      </c>
      <c r="BT5175">
        <f>IF(AND(5162&lt;$U$9,$W$5),BQ5175*1000000-MIN(BR5175,999)*1000+BS5175-5162/100000,-1000000000-5162)</f>
        <v/>
      </c>
    </row>
    <row r="5176">
      <c r="BN5176">
        <f>IF(5163&lt;$U$9,INT(5163/($U$7*$U$8))+1,1)</f>
        <v/>
      </c>
      <c r="BO5176">
        <f>IF(5163&lt;$U$9,MOD(INT(5163/$U$8),$U$7)+1,1)</f>
        <v/>
      </c>
      <c r="BP5176">
        <f>IF(5163&lt;$U$9,MOD(5163,$U$8)+1,1)</f>
        <v/>
      </c>
      <c r="BQ5176">
        <f>IF(5163&lt;$U$9,SUMPRODUCT(($D$10:$L$10&lt;&gt;"")*(($D$9:$L$9+INT(($S$12:$AA$12+INDEX($AJ$13:$AR$162,BN5176,0)+INDEX($AT$13:$BB$162,BO5176,0)+INDEX($BD$13:$BL$162,BP5176,0))/100))&gt;=$D$10:$L$10)),0)</f>
        <v/>
      </c>
      <c r="BR5176">
        <f>IF(5163&lt;$U$9,SUMPRODUCT(($D$10:$L$10&lt;&gt;"")*(($D$10:$L$10-($D$9:$L$9+INT(($S$12:$AA$12+INDEX($AJ$13:$AR$162,BN5176,0)+INDEX($AT$13:$BB$162,BO5176,0)+INDEX($BD$13:$BL$162,BP5176,0))/100)))&gt;0)*($D$10:$L$10-($D$9:$L$9+INT(($S$12:$AA$12+INDEX($AJ$13:$AR$162,BN5176,0)+INDEX($AT$13:$BB$162,BO5176,0)+INDEX($BD$13:$BL$162,BP5176,0))/100)))),0)</f>
        <v/>
      </c>
      <c r="BS5176">
        <f>IF(5163&lt;$U$9,SUMPRODUCT(($D$9:$L$9+INT(($S$12:$AA$12+INDEX($AJ$13:$AR$162,BN5176,0)+INDEX($AT$13:$BB$162,BO5176,0)+INDEX($BD$13:$BL$162,BP5176,0))/100))),0)</f>
        <v/>
      </c>
      <c r="BT5176">
        <f>IF(AND(5163&lt;$U$9,$W$5),BQ5176*1000000-MIN(BR5176,999)*1000+BS5176-5163/100000,-1000000000-5163)</f>
        <v/>
      </c>
    </row>
    <row r="5177">
      <c r="BN5177">
        <f>IF(5164&lt;$U$9,INT(5164/($U$7*$U$8))+1,1)</f>
        <v/>
      </c>
      <c r="BO5177">
        <f>IF(5164&lt;$U$9,MOD(INT(5164/$U$8),$U$7)+1,1)</f>
        <v/>
      </c>
      <c r="BP5177">
        <f>IF(5164&lt;$U$9,MOD(5164,$U$8)+1,1)</f>
        <v/>
      </c>
      <c r="BQ5177">
        <f>IF(5164&lt;$U$9,SUMPRODUCT(($D$10:$L$10&lt;&gt;"")*(($D$9:$L$9+INT(($S$12:$AA$12+INDEX($AJ$13:$AR$162,BN5177,0)+INDEX($AT$13:$BB$162,BO5177,0)+INDEX($BD$13:$BL$162,BP5177,0))/100))&gt;=$D$10:$L$10)),0)</f>
        <v/>
      </c>
      <c r="BR5177">
        <f>IF(5164&lt;$U$9,SUMPRODUCT(($D$10:$L$10&lt;&gt;"")*(($D$10:$L$10-($D$9:$L$9+INT(($S$12:$AA$12+INDEX($AJ$13:$AR$162,BN5177,0)+INDEX($AT$13:$BB$162,BO5177,0)+INDEX($BD$13:$BL$162,BP5177,0))/100)))&gt;0)*($D$10:$L$10-($D$9:$L$9+INT(($S$12:$AA$12+INDEX($AJ$13:$AR$162,BN5177,0)+INDEX($AT$13:$BB$162,BO5177,0)+INDEX($BD$13:$BL$162,BP5177,0))/100)))),0)</f>
        <v/>
      </c>
      <c r="BS5177">
        <f>IF(5164&lt;$U$9,SUMPRODUCT(($D$9:$L$9+INT(($S$12:$AA$12+INDEX($AJ$13:$AR$162,BN5177,0)+INDEX($AT$13:$BB$162,BO5177,0)+INDEX($BD$13:$BL$162,BP5177,0))/100))),0)</f>
        <v/>
      </c>
      <c r="BT5177">
        <f>IF(AND(5164&lt;$U$9,$W$5),BQ5177*1000000-MIN(BR5177,999)*1000+BS5177-5164/100000,-1000000000-5164)</f>
        <v/>
      </c>
    </row>
    <row r="5178">
      <c r="BN5178">
        <f>IF(5165&lt;$U$9,INT(5165/($U$7*$U$8))+1,1)</f>
        <v/>
      </c>
      <c r="BO5178">
        <f>IF(5165&lt;$U$9,MOD(INT(5165/$U$8),$U$7)+1,1)</f>
        <v/>
      </c>
      <c r="BP5178">
        <f>IF(5165&lt;$U$9,MOD(5165,$U$8)+1,1)</f>
        <v/>
      </c>
      <c r="BQ5178">
        <f>IF(5165&lt;$U$9,SUMPRODUCT(($D$10:$L$10&lt;&gt;"")*(($D$9:$L$9+INT(($S$12:$AA$12+INDEX($AJ$13:$AR$162,BN5178,0)+INDEX($AT$13:$BB$162,BO5178,0)+INDEX($BD$13:$BL$162,BP5178,0))/100))&gt;=$D$10:$L$10)),0)</f>
        <v/>
      </c>
      <c r="BR5178">
        <f>IF(5165&lt;$U$9,SUMPRODUCT(($D$10:$L$10&lt;&gt;"")*(($D$10:$L$10-($D$9:$L$9+INT(($S$12:$AA$12+INDEX($AJ$13:$AR$162,BN5178,0)+INDEX($AT$13:$BB$162,BO5178,0)+INDEX($BD$13:$BL$162,BP5178,0))/100)))&gt;0)*($D$10:$L$10-($D$9:$L$9+INT(($S$12:$AA$12+INDEX($AJ$13:$AR$162,BN5178,0)+INDEX($AT$13:$BB$162,BO5178,0)+INDEX($BD$13:$BL$162,BP5178,0))/100)))),0)</f>
        <v/>
      </c>
      <c r="BS5178">
        <f>IF(5165&lt;$U$9,SUMPRODUCT(($D$9:$L$9+INT(($S$12:$AA$12+INDEX($AJ$13:$AR$162,BN5178,0)+INDEX($AT$13:$BB$162,BO5178,0)+INDEX($BD$13:$BL$162,BP5178,0))/100))),0)</f>
        <v/>
      </c>
      <c r="BT5178">
        <f>IF(AND(5165&lt;$U$9,$W$5),BQ5178*1000000-MIN(BR5178,999)*1000+BS5178-5165/100000,-1000000000-5165)</f>
        <v/>
      </c>
    </row>
    <row r="5179">
      <c r="BN5179">
        <f>IF(5166&lt;$U$9,INT(5166/($U$7*$U$8))+1,1)</f>
        <v/>
      </c>
      <c r="BO5179">
        <f>IF(5166&lt;$U$9,MOD(INT(5166/$U$8),$U$7)+1,1)</f>
        <v/>
      </c>
      <c r="BP5179">
        <f>IF(5166&lt;$U$9,MOD(5166,$U$8)+1,1)</f>
        <v/>
      </c>
      <c r="BQ5179">
        <f>IF(5166&lt;$U$9,SUMPRODUCT(($D$10:$L$10&lt;&gt;"")*(($D$9:$L$9+INT(($S$12:$AA$12+INDEX($AJ$13:$AR$162,BN5179,0)+INDEX($AT$13:$BB$162,BO5179,0)+INDEX($BD$13:$BL$162,BP5179,0))/100))&gt;=$D$10:$L$10)),0)</f>
        <v/>
      </c>
      <c r="BR5179">
        <f>IF(5166&lt;$U$9,SUMPRODUCT(($D$10:$L$10&lt;&gt;"")*(($D$10:$L$10-($D$9:$L$9+INT(($S$12:$AA$12+INDEX($AJ$13:$AR$162,BN5179,0)+INDEX($AT$13:$BB$162,BO5179,0)+INDEX($BD$13:$BL$162,BP5179,0))/100)))&gt;0)*($D$10:$L$10-($D$9:$L$9+INT(($S$12:$AA$12+INDEX($AJ$13:$AR$162,BN5179,0)+INDEX($AT$13:$BB$162,BO5179,0)+INDEX($BD$13:$BL$162,BP5179,0))/100)))),0)</f>
        <v/>
      </c>
      <c r="BS5179">
        <f>IF(5166&lt;$U$9,SUMPRODUCT(($D$9:$L$9+INT(($S$12:$AA$12+INDEX($AJ$13:$AR$162,BN5179,0)+INDEX($AT$13:$BB$162,BO5179,0)+INDEX($BD$13:$BL$162,BP5179,0))/100))),0)</f>
        <v/>
      </c>
      <c r="BT5179">
        <f>IF(AND(5166&lt;$U$9,$W$5),BQ5179*1000000-MIN(BR5179,999)*1000+BS5179-5166/100000,-1000000000-5166)</f>
        <v/>
      </c>
    </row>
    <row r="5180">
      <c r="BN5180">
        <f>IF(5167&lt;$U$9,INT(5167/($U$7*$U$8))+1,1)</f>
        <v/>
      </c>
      <c r="BO5180">
        <f>IF(5167&lt;$U$9,MOD(INT(5167/$U$8),$U$7)+1,1)</f>
        <v/>
      </c>
      <c r="BP5180">
        <f>IF(5167&lt;$U$9,MOD(5167,$U$8)+1,1)</f>
        <v/>
      </c>
      <c r="BQ5180">
        <f>IF(5167&lt;$U$9,SUMPRODUCT(($D$10:$L$10&lt;&gt;"")*(($D$9:$L$9+INT(($S$12:$AA$12+INDEX($AJ$13:$AR$162,BN5180,0)+INDEX($AT$13:$BB$162,BO5180,0)+INDEX($BD$13:$BL$162,BP5180,0))/100))&gt;=$D$10:$L$10)),0)</f>
        <v/>
      </c>
      <c r="BR5180">
        <f>IF(5167&lt;$U$9,SUMPRODUCT(($D$10:$L$10&lt;&gt;"")*(($D$10:$L$10-($D$9:$L$9+INT(($S$12:$AA$12+INDEX($AJ$13:$AR$162,BN5180,0)+INDEX($AT$13:$BB$162,BO5180,0)+INDEX($BD$13:$BL$162,BP5180,0))/100)))&gt;0)*($D$10:$L$10-($D$9:$L$9+INT(($S$12:$AA$12+INDEX($AJ$13:$AR$162,BN5180,0)+INDEX($AT$13:$BB$162,BO5180,0)+INDEX($BD$13:$BL$162,BP5180,0))/100)))),0)</f>
        <v/>
      </c>
      <c r="BS5180">
        <f>IF(5167&lt;$U$9,SUMPRODUCT(($D$9:$L$9+INT(($S$12:$AA$12+INDEX($AJ$13:$AR$162,BN5180,0)+INDEX($AT$13:$BB$162,BO5180,0)+INDEX($BD$13:$BL$162,BP5180,0))/100))),0)</f>
        <v/>
      </c>
      <c r="BT5180">
        <f>IF(AND(5167&lt;$U$9,$W$5),BQ5180*1000000-MIN(BR5180,999)*1000+BS5180-5167/100000,-1000000000-5167)</f>
        <v/>
      </c>
    </row>
    <row r="5181">
      <c r="BN5181">
        <f>IF(5168&lt;$U$9,INT(5168/($U$7*$U$8))+1,1)</f>
        <v/>
      </c>
      <c r="BO5181">
        <f>IF(5168&lt;$U$9,MOD(INT(5168/$U$8),$U$7)+1,1)</f>
        <v/>
      </c>
      <c r="BP5181">
        <f>IF(5168&lt;$U$9,MOD(5168,$U$8)+1,1)</f>
        <v/>
      </c>
      <c r="BQ5181">
        <f>IF(5168&lt;$U$9,SUMPRODUCT(($D$10:$L$10&lt;&gt;"")*(($D$9:$L$9+INT(($S$12:$AA$12+INDEX($AJ$13:$AR$162,BN5181,0)+INDEX($AT$13:$BB$162,BO5181,0)+INDEX($BD$13:$BL$162,BP5181,0))/100))&gt;=$D$10:$L$10)),0)</f>
        <v/>
      </c>
      <c r="BR5181">
        <f>IF(5168&lt;$U$9,SUMPRODUCT(($D$10:$L$10&lt;&gt;"")*(($D$10:$L$10-($D$9:$L$9+INT(($S$12:$AA$12+INDEX($AJ$13:$AR$162,BN5181,0)+INDEX($AT$13:$BB$162,BO5181,0)+INDEX($BD$13:$BL$162,BP5181,0))/100)))&gt;0)*($D$10:$L$10-($D$9:$L$9+INT(($S$12:$AA$12+INDEX($AJ$13:$AR$162,BN5181,0)+INDEX($AT$13:$BB$162,BO5181,0)+INDEX($BD$13:$BL$162,BP5181,0))/100)))),0)</f>
        <v/>
      </c>
      <c r="BS5181">
        <f>IF(5168&lt;$U$9,SUMPRODUCT(($D$9:$L$9+INT(($S$12:$AA$12+INDEX($AJ$13:$AR$162,BN5181,0)+INDEX($AT$13:$BB$162,BO5181,0)+INDEX($BD$13:$BL$162,BP5181,0))/100))),0)</f>
        <v/>
      </c>
      <c r="BT5181">
        <f>IF(AND(5168&lt;$U$9,$W$5),BQ5181*1000000-MIN(BR5181,999)*1000+BS5181-5168/100000,-1000000000-5168)</f>
        <v/>
      </c>
    </row>
    <row r="5182">
      <c r="BN5182">
        <f>IF(5169&lt;$U$9,INT(5169/($U$7*$U$8))+1,1)</f>
        <v/>
      </c>
      <c r="BO5182">
        <f>IF(5169&lt;$U$9,MOD(INT(5169/$U$8),$U$7)+1,1)</f>
        <v/>
      </c>
      <c r="BP5182">
        <f>IF(5169&lt;$U$9,MOD(5169,$U$8)+1,1)</f>
        <v/>
      </c>
      <c r="BQ5182">
        <f>IF(5169&lt;$U$9,SUMPRODUCT(($D$10:$L$10&lt;&gt;"")*(($D$9:$L$9+INT(($S$12:$AA$12+INDEX($AJ$13:$AR$162,BN5182,0)+INDEX($AT$13:$BB$162,BO5182,0)+INDEX($BD$13:$BL$162,BP5182,0))/100))&gt;=$D$10:$L$10)),0)</f>
        <v/>
      </c>
      <c r="BR5182">
        <f>IF(5169&lt;$U$9,SUMPRODUCT(($D$10:$L$10&lt;&gt;"")*(($D$10:$L$10-($D$9:$L$9+INT(($S$12:$AA$12+INDEX($AJ$13:$AR$162,BN5182,0)+INDEX($AT$13:$BB$162,BO5182,0)+INDEX($BD$13:$BL$162,BP5182,0))/100)))&gt;0)*($D$10:$L$10-($D$9:$L$9+INT(($S$12:$AA$12+INDEX($AJ$13:$AR$162,BN5182,0)+INDEX($AT$13:$BB$162,BO5182,0)+INDEX($BD$13:$BL$162,BP5182,0))/100)))),0)</f>
        <v/>
      </c>
      <c r="BS5182">
        <f>IF(5169&lt;$U$9,SUMPRODUCT(($D$9:$L$9+INT(($S$12:$AA$12+INDEX($AJ$13:$AR$162,BN5182,0)+INDEX($AT$13:$BB$162,BO5182,0)+INDEX($BD$13:$BL$162,BP5182,0))/100))),0)</f>
        <v/>
      </c>
      <c r="BT5182">
        <f>IF(AND(5169&lt;$U$9,$W$5),BQ5182*1000000-MIN(BR5182,999)*1000+BS5182-5169/100000,-1000000000-5169)</f>
        <v/>
      </c>
    </row>
    <row r="5183">
      <c r="BN5183">
        <f>IF(5170&lt;$U$9,INT(5170/($U$7*$U$8))+1,1)</f>
        <v/>
      </c>
      <c r="BO5183">
        <f>IF(5170&lt;$U$9,MOD(INT(5170/$U$8),$U$7)+1,1)</f>
        <v/>
      </c>
      <c r="BP5183">
        <f>IF(5170&lt;$U$9,MOD(5170,$U$8)+1,1)</f>
        <v/>
      </c>
      <c r="BQ5183">
        <f>IF(5170&lt;$U$9,SUMPRODUCT(($D$10:$L$10&lt;&gt;"")*(($D$9:$L$9+INT(($S$12:$AA$12+INDEX($AJ$13:$AR$162,BN5183,0)+INDEX($AT$13:$BB$162,BO5183,0)+INDEX($BD$13:$BL$162,BP5183,0))/100))&gt;=$D$10:$L$10)),0)</f>
        <v/>
      </c>
      <c r="BR5183">
        <f>IF(5170&lt;$U$9,SUMPRODUCT(($D$10:$L$10&lt;&gt;"")*(($D$10:$L$10-($D$9:$L$9+INT(($S$12:$AA$12+INDEX($AJ$13:$AR$162,BN5183,0)+INDEX($AT$13:$BB$162,BO5183,0)+INDEX($BD$13:$BL$162,BP5183,0))/100)))&gt;0)*($D$10:$L$10-($D$9:$L$9+INT(($S$12:$AA$12+INDEX($AJ$13:$AR$162,BN5183,0)+INDEX($AT$13:$BB$162,BO5183,0)+INDEX($BD$13:$BL$162,BP5183,0))/100)))),0)</f>
        <v/>
      </c>
      <c r="BS5183">
        <f>IF(5170&lt;$U$9,SUMPRODUCT(($D$9:$L$9+INT(($S$12:$AA$12+INDEX($AJ$13:$AR$162,BN5183,0)+INDEX($AT$13:$BB$162,BO5183,0)+INDEX($BD$13:$BL$162,BP5183,0))/100))),0)</f>
        <v/>
      </c>
      <c r="BT5183">
        <f>IF(AND(5170&lt;$U$9,$W$5),BQ5183*1000000-MIN(BR5183,999)*1000+BS5183-5170/100000,-1000000000-5170)</f>
        <v/>
      </c>
    </row>
    <row r="5184">
      <c r="BN5184">
        <f>IF(5171&lt;$U$9,INT(5171/($U$7*$U$8))+1,1)</f>
        <v/>
      </c>
      <c r="BO5184">
        <f>IF(5171&lt;$U$9,MOD(INT(5171/$U$8),$U$7)+1,1)</f>
        <v/>
      </c>
      <c r="BP5184">
        <f>IF(5171&lt;$U$9,MOD(5171,$U$8)+1,1)</f>
        <v/>
      </c>
      <c r="BQ5184">
        <f>IF(5171&lt;$U$9,SUMPRODUCT(($D$10:$L$10&lt;&gt;"")*(($D$9:$L$9+INT(($S$12:$AA$12+INDEX($AJ$13:$AR$162,BN5184,0)+INDEX($AT$13:$BB$162,BO5184,0)+INDEX($BD$13:$BL$162,BP5184,0))/100))&gt;=$D$10:$L$10)),0)</f>
        <v/>
      </c>
      <c r="BR5184">
        <f>IF(5171&lt;$U$9,SUMPRODUCT(($D$10:$L$10&lt;&gt;"")*(($D$10:$L$10-($D$9:$L$9+INT(($S$12:$AA$12+INDEX($AJ$13:$AR$162,BN5184,0)+INDEX($AT$13:$BB$162,BO5184,0)+INDEX($BD$13:$BL$162,BP5184,0))/100)))&gt;0)*($D$10:$L$10-($D$9:$L$9+INT(($S$12:$AA$12+INDEX($AJ$13:$AR$162,BN5184,0)+INDEX($AT$13:$BB$162,BO5184,0)+INDEX($BD$13:$BL$162,BP5184,0))/100)))),0)</f>
        <v/>
      </c>
      <c r="BS5184">
        <f>IF(5171&lt;$U$9,SUMPRODUCT(($D$9:$L$9+INT(($S$12:$AA$12+INDEX($AJ$13:$AR$162,BN5184,0)+INDEX($AT$13:$BB$162,BO5184,0)+INDEX($BD$13:$BL$162,BP5184,0))/100))),0)</f>
        <v/>
      </c>
      <c r="BT5184">
        <f>IF(AND(5171&lt;$U$9,$W$5),BQ5184*1000000-MIN(BR5184,999)*1000+BS5184-5171/100000,-1000000000-5171)</f>
        <v/>
      </c>
    </row>
    <row r="5185">
      <c r="BN5185">
        <f>IF(5172&lt;$U$9,INT(5172/($U$7*$U$8))+1,1)</f>
        <v/>
      </c>
      <c r="BO5185">
        <f>IF(5172&lt;$U$9,MOD(INT(5172/$U$8),$U$7)+1,1)</f>
        <v/>
      </c>
      <c r="BP5185">
        <f>IF(5172&lt;$U$9,MOD(5172,$U$8)+1,1)</f>
        <v/>
      </c>
      <c r="BQ5185">
        <f>IF(5172&lt;$U$9,SUMPRODUCT(($D$10:$L$10&lt;&gt;"")*(($D$9:$L$9+INT(($S$12:$AA$12+INDEX($AJ$13:$AR$162,BN5185,0)+INDEX($AT$13:$BB$162,BO5185,0)+INDEX($BD$13:$BL$162,BP5185,0))/100))&gt;=$D$10:$L$10)),0)</f>
        <v/>
      </c>
      <c r="BR5185">
        <f>IF(5172&lt;$U$9,SUMPRODUCT(($D$10:$L$10&lt;&gt;"")*(($D$10:$L$10-($D$9:$L$9+INT(($S$12:$AA$12+INDEX($AJ$13:$AR$162,BN5185,0)+INDEX($AT$13:$BB$162,BO5185,0)+INDEX($BD$13:$BL$162,BP5185,0))/100)))&gt;0)*($D$10:$L$10-($D$9:$L$9+INT(($S$12:$AA$12+INDEX($AJ$13:$AR$162,BN5185,0)+INDEX($AT$13:$BB$162,BO5185,0)+INDEX($BD$13:$BL$162,BP5185,0))/100)))),0)</f>
        <v/>
      </c>
      <c r="BS5185">
        <f>IF(5172&lt;$U$9,SUMPRODUCT(($D$9:$L$9+INT(($S$12:$AA$12+INDEX($AJ$13:$AR$162,BN5185,0)+INDEX($AT$13:$BB$162,BO5185,0)+INDEX($BD$13:$BL$162,BP5185,0))/100))),0)</f>
        <v/>
      </c>
      <c r="BT5185">
        <f>IF(AND(5172&lt;$U$9,$W$5),BQ5185*1000000-MIN(BR5185,999)*1000+BS5185-5172/100000,-1000000000-5172)</f>
        <v/>
      </c>
    </row>
    <row r="5186">
      <c r="BN5186">
        <f>IF(5173&lt;$U$9,INT(5173/($U$7*$U$8))+1,1)</f>
        <v/>
      </c>
      <c r="BO5186">
        <f>IF(5173&lt;$U$9,MOD(INT(5173/$U$8),$U$7)+1,1)</f>
        <v/>
      </c>
      <c r="BP5186">
        <f>IF(5173&lt;$U$9,MOD(5173,$U$8)+1,1)</f>
        <v/>
      </c>
      <c r="BQ5186">
        <f>IF(5173&lt;$U$9,SUMPRODUCT(($D$10:$L$10&lt;&gt;"")*(($D$9:$L$9+INT(($S$12:$AA$12+INDEX($AJ$13:$AR$162,BN5186,0)+INDEX($AT$13:$BB$162,BO5186,0)+INDEX($BD$13:$BL$162,BP5186,0))/100))&gt;=$D$10:$L$10)),0)</f>
        <v/>
      </c>
      <c r="BR5186">
        <f>IF(5173&lt;$U$9,SUMPRODUCT(($D$10:$L$10&lt;&gt;"")*(($D$10:$L$10-($D$9:$L$9+INT(($S$12:$AA$12+INDEX($AJ$13:$AR$162,BN5186,0)+INDEX($AT$13:$BB$162,BO5186,0)+INDEX($BD$13:$BL$162,BP5186,0))/100)))&gt;0)*($D$10:$L$10-($D$9:$L$9+INT(($S$12:$AA$12+INDEX($AJ$13:$AR$162,BN5186,0)+INDEX($AT$13:$BB$162,BO5186,0)+INDEX($BD$13:$BL$162,BP5186,0))/100)))),0)</f>
        <v/>
      </c>
      <c r="BS5186">
        <f>IF(5173&lt;$U$9,SUMPRODUCT(($D$9:$L$9+INT(($S$12:$AA$12+INDEX($AJ$13:$AR$162,BN5186,0)+INDEX($AT$13:$BB$162,BO5186,0)+INDEX($BD$13:$BL$162,BP5186,0))/100))),0)</f>
        <v/>
      </c>
      <c r="BT5186">
        <f>IF(AND(5173&lt;$U$9,$W$5),BQ5186*1000000-MIN(BR5186,999)*1000+BS5186-5173/100000,-1000000000-5173)</f>
        <v/>
      </c>
    </row>
    <row r="5187">
      <c r="BN5187">
        <f>IF(5174&lt;$U$9,INT(5174/($U$7*$U$8))+1,1)</f>
        <v/>
      </c>
      <c r="BO5187">
        <f>IF(5174&lt;$U$9,MOD(INT(5174/$U$8),$U$7)+1,1)</f>
        <v/>
      </c>
      <c r="BP5187">
        <f>IF(5174&lt;$U$9,MOD(5174,$U$8)+1,1)</f>
        <v/>
      </c>
      <c r="BQ5187">
        <f>IF(5174&lt;$U$9,SUMPRODUCT(($D$10:$L$10&lt;&gt;"")*(($D$9:$L$9+INT(($S$12:$AA$12+INDEX($AJ$13:$AR$162,BN5187,0)+INDEX($AT$13:$BB$162,BO5187,0)+INDEX($BD$13:$BL$162,BP5187,0))/100))&gt;=$D$10:$L$10)),0)</f>
        <v/>
      </c>
      <c r="BR5187">
        <f>IF(5174&lt;$U$9,SUMPRODUCT(($D$10:$L$10&lt;&gt;"")*(($D$10:$L$10-($D$9:$L$9+INT(($S$12:$AA$12+INDEX($AJ$13:$AR$162,BN5187,0)+INDEX($AT$13:$BB$162,BO5187,0)+INDEX($BD$13:$BL$162,BP5187,0))/100)))&gt;0)*($D$10:$L$10-($D$9:$L$9+INT(($S$12:$AA$12+INDEX($AJ$13:$AR$162,BN5187,0)+INDEX($AT$13:$BB$162,BO5187,0)+INDEX($BD$13:$BL$162,BP5187,0))/100)))),0)</f>
        <v/>
      </c>
      <c r="BS5187">
        <f>IF(5174&lt;$U$9,SUMPRODUCT(($D$9:$L$9+INT(($S$12:$AA$12+INDEX($AJ$13:$AR$162,BN5187,0)+INDEX($AT$13:$BB$162,BO5187,0)+INDEX($BD$13:$BL$162,BP5187,0))/100))),0)</f>
        <v/>
      </c>
      <c r="BT5187">
        <f>IF(AND(5174&lt;$U$9,$W$5),BQ5187*1000000-MIN(BR5187,999)*1000+BS5187-5174/100000,-1000000000-5174)</f>
        <v/>
      </c>
    </row>
    <row r="5188">
      <c r="BN5188">
        <f>IF(5175&lt;$U$9,INT(5175/($U$7*$U$8))+1,1)</f>
        <v/>
      </c>
      <c r="BO5188">
        <f>IF(5175&lt;$U$9,MOD(INT(5175/$U$8),$U$7)+1,1)</f>
        <v/>
      </c>
      <c r="BP5188">
        <f>IF(5175&lt;$U$9,MOD(5175,$U$8)+1,1)</f>
        <v/>
      </c>
      <c r="BQ5188">
        <f>IF(5175&lt;$U$9,SUMPRODUCT(($D$10:$L$10&lt;&gt;"")*(($D$9:$L$9+INT(($S$12:$AA$12+INDEX($AJ$13:$AR$162,BN5188,0)+INDEX($AT$13:$BB$162,BO5188,0)+INDEX($BD$13:$BL$162,BP5188,0))/100))&gt;=$D$10:$L$10)),0)</f>
        <v/>
      </c>
      <c r="BR5188">
        <f>IF(5175&lt;$U$9,SUMPRODUCT(($D$10:$L$10&lt;&gt;"")*(($D$10:$L$10-($D$9:$L$9+INT(($S$12:$AA$12+INDEX($AJ$13:$AR$162,BN5188,0)+INDEX($AT$13:$BB$162,BO5188,0)+INDEX($BD$13:$BL$162,BP5188,0))/100)))&gt;0)*($D$10:$L$10-($D$9:$L$9+INT(($S$12:$AA$12+INDEX($AJ$13:$AR$162,BN5188,0)+INDEX($AT$13:$BB$162,BO5188,0)+INDEX($BD$13:$BL$162,BP5188,0))/100)))),0)</f>
        <v/>
      </c>
      <c r="BS5188">
        <f>IF(5175&lt;$U$9,SUMPRODUCT(($D$9:$L$9+INT(($S$12:$AA$12+INDEX($AJ$13:$AR$162,BN5188,0)+INDEX($AT$13:$BB$162,BO5188,0)+INDEX($BD$13:$BL$162,BP5188,0))/100))),0)</f>
        <v/>
      </c>
      <c r="BT5188">
        <f>IF(AND(5175&lt;$U$9,$W$5),BQ5188*1000000-MIN(BR5188,999)*1000+BS5188-5175/100000,-1000000000-5175)</f>
        <v/>
      </c>
    </row>
    <row r="5189">
      <c r="BN5189">
        <f>IF(5176&lt;$U$9,INT(5176/($U$7*$U$8))+1,1)</f>
        <v/>
      </c>
      <c r="BO5189">
        <f>IF(5176&lt;$U$9,MOD(INT(5176/$U$8),$U$7)+1,1)</f>
        <v/>
      </c>
      <c r="BP5189">
        <f>IF(5176&lt;$U$9,MOD(5176,$U$8)+1,1)</f>
        <v/>
      </c>
      <c r="BQ5189">
        <f>IF(5176&lt;$U$9,SUMPRODUCT(($D$10:$L$10&lt;&gt;"")*(($D$9:$L$9+INT(($S$12:$AA$12+INDEX($AJ$13:$AR$162,BN5189,0)+INDEX($AT$13:$BB$162,BO5189,0)+INDEX($BD$13:$BL$162,BP5189,0))/100))&gt;=$D$10:$L$10)),0)</f>
        <v/>
      </c>
      <c r="BR5189">
        <f>IF(5176&lt;$U$9,SUMPRODUCT(($D$10:$L$10&lt;&gt;"")*(($D$10:$L$10-($D$9:$L$9+INT(($S$12:$AA$12+INDEX($AJ$13:$AR$162,BN5189,0)+INDEX($AT$13:$BB$162,BO5189,0)+INDEX($BD$13:$BL$162,BP5189,0))/100)))&gt;0)*($D$10:$L$10-($D$9:$L$9+INT(($S$12:$AA$12+INDEX($AJ$13:$AR$162,BN5189,0)+INDEX($AT$13:$BB$162,BO5189,0)+INDEX($BD$13:$BL$162,BP5189,0))/100)))),0)</f>
        <v/>
      </c>
      <c r="BS5189">
        <f>IF(5176&lt;$U$9,SUMPRODUCT(($D$9:$L$9+INT(($S$12:$AA$12+INDEX($AJ$13:$AR$162,BN5189,0)+INDEX($AT$13:$BB$162,BO5189,0)+INDEX($BD$13:$BL$162,BP5189,0))/100))),0)</f>
        <v/>
      </c>
      <c r="BT5189">
        <f>IF(AND(5176&lt;$U$9,$W$5),BQ5189*1000000-MIN(BR5189,999)*1000+BS5189-5176/100000,-1000000000-5176)</f>
        <v/>
      </c>
    </row>
    <row r="5190">
      <c r="BN5190">
        <f>IF(5177&lt;$U$9,INT(5177/($U$7*$U$8))+1,1)</f>
        <v/>
      </c>
      <c r="BO5190">
        <f>IF(5177&lt;$U$9,MOD(INT(5177/$U$8),$U$7)+1,1)</f>
        <v/>
      </c>
      <c r="BP5190">
        <f>IF(5177&lt;$U$9,MOD(5177,$U$8)+1,1)</f>
        <v/>
      </c>
      <c r="BQ5190">
        <f>IF(5177&lt;$U$9,SUMPRODUCT(($D$10:$L$10&lt;&gt;"")*(($D$9:$L$9+INT(($S$12:$AA$12+INDEX($AJ$13:$AR$162,BN5190,0)+INDEX($AT$13:$BB$162,BO5190,0)+INDEX($BD$13:$BL$162,BP5190,0))/100))&gt;=$D$10:$L$10)),0)</f>
        <v/>
      </c>
      <c r="BR5190">
        <f>IF(5177&lt;$U$9,SUMPRODUCT(($D$10:$L$10&lt;&gt;"")*(($D$10:$L$10-($D$9:$L$9+INT(($S$12:$AA$12+INDEX($AJ$13:$AR$162,BN5190,0)+INDEX($AT$13:$BB$162,BO5190,0)+INDEX($BD$13:$BL$162,BP5190,0))/100)))&gt;0)*($D$10:$L$10-($D$9:$L$9+INT(($S$12:$AA$12+INDEX($AJ$13:$AR$162,BN5190,0)+INDEX($AT$13:$BB$162,BO5190,0)+INDEX($BD$13:$BL$162,BP5190,0))/100)))),0)</f>
        <v/>
      </c>
      <c r="BS5190">
        <f>IF(5177&lt;$U$9,SUMPRODUCT(($D$9:$L$9+INT(($S$12:$AA$12+INDEX($AJ$13:$AR$162,BN5190,0)+INDEX($AT$13:$BB$162,BO5190,0)+INDEX($BD$13:$BL$162,BP5190,0))/100))),0)</f>
        <v/>
      </c>
      <c r="BT5190">
        <f>IF(AND(5177&lt;$U$9,$W$5),BQ5190*1000000-MIN(BR5190,999)*1000+BS5190-5177/100000,-1000000000-5177)</f>
        <v/>
      </c>
    </row>
    <row r="5191">
      <c r="BN5191">
        <f>IF(5178&lt;$U$9,INT(5178/($U$7*$U$8))+1,1)</f>
        <v/>
      </c>
      <c r="BO5191">
        <f>IF(5178&lt;$U$9,MOD(INT(5178/$U$8),$U$7)+1,1)</f>
        <v/>
      </c>
      <c r="BP5191">
        <f>IF(5178&lt;$U$9,MOD(5178,$U$8)+1,1)</f>
        <v/>
      </c>
      <c r="BQ5191">
        <f>IF(5178&lt;$U$9,SUMPRODUCT(($D$10:$L$10&lt;&gt;"")*(($D$9:$L$9+INT(($S$12:$AA$12+INDEX($AJ$13:$AR$162,BN5191,0)+INDEX($AT$13:$BB$162,BO5191,0)+INDEX($BD$13:$BL$162,BP5191,0))/100))&gt;=$D$10:$L$10)),0)</f>
        <v/>
      </c>
      <c r="BR5191">
        <f>IF(5178&lt;$U$9,SUMPRODUCT(($D$10:$L$10&lt;&gt;"")*(($D$10:$L$10-($D$9:$L$9+INT(($S$12:$AA$12+INDEX($AJ$13:$AR$162,BN5191,0)+INDEX($AT$13:$BB$162,BO5191,0)+INDEX($BD$13:$BL$162,BP5191,0))/100)))&gt;0)*($D$10:$L$10-($D$9:$L$9+INT(($S$12:$AA$12+INDEX($AJ$13:$AR$162,BN5191,0)+INDEX($AT$13:$BB$162,BO5191,0)+INDEX($BD$13:$BL$162,BP5191,0))/100)))),0)</f>
        <v/>
      </c>
      <c r="BS5191">
        <f>IF(5178&lt;$U$9,SUMPRODUCT(($D$9:$L$9+INT(($S$12:$AA$12+INDEX($AJ$13:$AR$162,BN5191,0)+INDEX($AT$13:$BB$162,BO5191,0)+INDEX($BD$13:$BL$162,BP5191,0))/100))),0)</f>
        <v/>
      </c>
      <c r="BT5191">
        <f>IF(AND(5178&lt;$U$9,$W$5),BQ5191*1000000-MIN(BR5191,999)*1000+BS5191-5178/100000,-1000000000-5178)</f>
        <v/>
      </c>
    </row>
    <row r="5192">
      <c r="BN5192">
        <f>IF(5179&lt;$U$9,INT(5179/($U$7*$U$8))+1,1)</f>
        <v/>
      </c>
      <c r="BO5192">
        <f>IF(5179&lt;$U$9,MOD(INT(5179/$U$8),$U$7)+1,1)</f>
        <v/>
      </c>
      <c r="BP5192">
        <f>IF(5179&lt;$U$9,MOD(5179,$U$8)+1,1)</f>
        <v/>
      </c>
      <c r="BQ5192">
        <f>IF(5179&lt;$U$9,SUMPRODUCT(($D$10:$L$10&lt;&gt;"")*(($D$9:$L$9+INT(($S$12:$AA$12+INDEX($AJ$13:$AR$162,BN5192,0)+INDEX($AT$13:$BB$162,BO5192,0)+INDEX($BD$13:$BL$162,BP5192,0))/100))&gt;=$D$10:$L$10)),0)</f>
        <v/>
      </c>
      <c r="BR5192">
        <f>IF(5179&lt;$U$9,SUMPRODUCT(($D$10:$L$10&lt;&gt;"")*(($D$10:$L$10-($D$9:$L$9+INT(($S$12:$AA$12+INDEX($AJ$13:$AR$162,BN5192,0)+INDEX($AT$13:$BB$162,BO5192,0)+INDEX($BD$13:$BL$162,BP5192,0))/100)))&gt;0)*($D$10:$L$10-($D$9:$L$9+INT(($S$12:$AA$12+INDEX($AJ$13:$AR$162,BN5192,0)+INDEX($AT$13:$BB$162,BO5192,0)+INDEX($BD$13:$BL$162,BP5192,0))/100)))),0)</f>
        <v/>
      </c>
      <c r="BS5192">
        <f>IF(5179&lt;$U$9,SUMPRODUCT(($D$9:$L$9+INT(($S$12:$AA$12+INDEX($AJ$13:$AR$162,BN5192,0)+INDEX($AT$13:$BB$162,BO5192,0)+INDEX($BD$13:$BL$162,BP5192,0))/100))),0)</f>
        <v/>
      </c>
      <c r="BT5192">
        <f>IF(AND(5179&lt;$U$9,$W$5),BQ5192*1000000-MIN(BR5192,999)*1000+BS5192-5179/100000,-1000000000-5179)</f>
        <v/>
      </c>
    </row>
    <row r="5193">
      <c r="BN5193">
        <f>IF(5180&lt;$U$9,INT(5180/($U$7*$U$8))+1,1)</f>
        <v/>
      </c>
      <c r="BO5193">
        <f>IF(5180&lt;$U$9,MOD(INT(5180/$U$8),$U$7)+1,1)</f>
        <v/>
      </c>
      <c r="BP5193">
        <f>IF(5180&lt;$U$9,MOD(5180,$U$8)+1,1)</f>
        <v/>
      </c>
      <c r="BQ5193">
        <f>IF(5180&lt;$U$9,SUMPRODUCT(($D$10:$L$10&lt;&gt;"")*(($D$9:$L$9+INT(($S$12:$AA$12+INDEX($AJ$13:$AR$162,BN5193,0)+INDEX($AT$13:$BB$162,BO5193,0)+INDEX($BD$13:$BL$162,BP5193,0))/100))&gt;=$D$10:$L$10)),0)</f>
        <v/>
      </c>
      <c r="BR5193">
        <f>IF(5180&lt;$U$9,SUMPRODUCT(($D$10:$L$10&lt;&gt;"")*(($D$10:$L$10-($D$9:$L$9+INT(($S$12:$AA$12+INDEX($AJ$13:$AR$162,BN5193,0)+INDEX($AT$13:$BB$162,BO5193,0)+INDEX($BD$13:$BL$162,BP5193,0))/100)))&gt;0)*($D$10:$L$10-($D$9:$L$9+INT(($S$12:$AA$12+INDEX($AJ$13:$AR$162,BN5193,0)+INDEX($AT$13:$BB$162,BO5193,0)+INDEX($BD$13:$BL$162,BP5193,0))/100)))),0)</f>
        <v/>
      </c>
      <c r="BS5193">
        <f>IF(5180&lt;$U$9,SUMPRODUCT(($D$9:$L$9+INT(($S$12:$AA$12+INDEX($AJ$13:$AR$162,BN5193,0)+INDEX($AT$13:$BB$162,BO5193,0)+INDEX($BD$13:$BL$162,BP5193,0))/100))),0)</f>
        <v/>
      </c>
      <c r="BT5193">
        <f>IF(AND(5180&lt;$U$9,$W$5),BQ5193*1000000-MIN(BR5193,999)*1000+BS5193-5180/100000,-1000000000-5180)</f>
        <v/>
      </c>
    </row>
    <row r="5194">
      <c r="BN5194">
        <f>IF(5181&lt;$U$9,INT(5181/($U$7*$U$8))+1,1)</f>
        <v/>
      </c>
      <c r="BO5194">
        <f>IF(5181&lt;$U$9,MOD(INT(5181/$U$8),$U$7)+1,1)</f>
        <v/>
      </c>
      <c r="BP5194">
        <f>IF(5181&lt;$U$9,MOD(5181,$U$8)+1,1)</f>
        <v/>
      </c>
      <c r="BQ5194">
        <f>IF(5181&lt;$U$9,SUMPRODUCT(($D$10:$L$10&lt;&gt;"")*(($D$9:$L$9+INT(($S$12:$AA$12+INDEX($AJ$13:$AR$162,BN5194,0)+INDEX($AT$13:$BB$162,BO5194,0)+INDEX($BD$13:$BL$162,BP5194,0))/100))&gt;=$D$10:$L$10)),0)</f>
        <v/>
      </c>
      <c r="BR5194">
        <f>IF(5181&lt;$U$9,SUMPRODUCT(($D$10:$L$10&lt;&gt;"")*(($D$10:$L$10-($D$9:$L$9+INT(($S$12:$AA$12+INDEX($AJ$13:$AR$162,BN5194,0)+INDEX($AT$13:$BB$162,BO5194,0)+INDEX($BD$13:$BL$162,BP5194,0))/100)))&gt;0)*($D$10:$L$10-($D$9:$L$9+INT(($S$12:$AA$12+INDEX($AJ$13:$AR$162,BN5194,0)+INDEX($AT$13:$BB$162,BO5194,0)+INDEX($BD$13:$BL$162,BP5194,0))/100)))),0)</f>
        <v/>
      </c>
      <c r="BS5194">
        <f>IF(5181&lt;$U$9,SUMPRODUCT(($D$9:$L$9+INT(($S$12:$AA$12+INDEX($AJ$13:$AR$162,BN5194,0)+INDEX($AT$13:$BB$162,BO5194,0)+INDEX($BD$13:$BL$162,BP5194,0))/100))),0)</f>
        <v/>
      </c>
      <c r="BT5194">
        <f>IF(AND(5181&lt;$U$9,$W$5),BQ5194*1000000-MIN(BR5194,999)*1000+BS5194-5181/100000,-1000000000-5181)</f>
        <v/>
      </c>
    </row>
    <row r="5195">
      <c r="BN5195">
        <f>IF(5182&lt;$U$9,INT(5182/($U$7*$U$8))+1,1)</f>
        <v/>
      </c>
      <c r="BO5195">
        <f>IF(5182&lt;$U$9,MOD(INT(5182/$U$8),$U$7)+1,1)</f>
        <v/>
      </c>
      <c r="BP5195">
        <f>IF(5182&lt;$U$9,MOD(5182,$U$8)+1,1)</f>
        <v/>
      </c>
      <c r="BQ5195">
        <f>IF(5182&lt;$U$9,SUMPRODUCT(($D$10:$L$10&lt;&gt;"")*(($D$9:$L$9+INT(($S$12:$AA$12+INDEX($AJ$13:$AR$162,BN5195,0)+INDEX($AT$13:$BB$162,BO5195,0)+INDEX($BD$13:$BL$162,BP5195,0))/100))&gt;=$D$10:$L$10)),0)</f>
        <v/>
      </c>
      <c r="BR5195">
        <f>IF(5182&lt;$U$9,SUMPRODUCT(($D$10:$L$10&lt;&gt;"")*(($D$10:$L$10-($D$9:$L$9+INT(($S$12:$AA$12+INDEX($AJ$13:$AR$162,BN5195,0)+INDEX($AT$13:$BB$162,BO5195,0)+INDEX($BD$13:$BL$162,BP5195,0))/100)))&gt;0)*($D$10:$L$10-($D$9:$L$9+INT(($S$12:$AA$12+INDEX($AJ$13:$AR$162,BN5195,0)+INDEX($AT$13:$BB$162,BO5195,0)+INDEX($BD$13:$BL$162,BP5195,0))/100)))),0)</f>
        <v/>
      </c>
      <c r="BS5195">
        <f>IF(5182&lt;$U$9,SUMPRODUCT(($D$9:$L$9+INT(($S$12:$AA$12+INDEX($AJ$13:$AR$162,BN5195,0)+INDEX($AT$13:$BB$162,BO5195,0)+INDEX($BD$13:$BL$162,BP5195,0))/100))),0)</f>
        <v/>
      </c>
      <c r="BT5195">
        <f>IF(AND(5182&lt;$U$9,$W$5),BQ5195*1000000-MIN(BR5195,999)*1000+BS5195-5182/100000,-1000000000-5182)</f>
        <v/>
      </c>
    </row>
    <row r="5196">
      <c r="BN5196">
        <f>IF(5183&lt;$U$9,INT(5183/($U$7*$U$8))+1,1)</f>
        <v/>
      </c>
      <c r="BO5196">
        <f>IF(5183&lt;$U$9,MOD(INT(5183/$U$8),$U$7)+1,1)</f>
        <v/>
      </c>
      <c r="BP5196">
        <f>IF(5183&lt;$U$9,MOD(5183,$U$8)+1,1)</f>
        <v/>
      </c>
      <c r="BQ5196">
        <f>IF(5183&lt;$U$9,SUMPRODUCT(($D$10:$L$10&lt;&gt;"")*(($D$9:$L$9+INT(($S$12:$AA$12+INDEX($AJ$13:$AR$162,BN5196,0)+INDEX($AT$13:$BB$162,BO5196,0)+INDEX($BD$13:$BL$162,BP5196,0))/100))&gt;=$D$10:$L$10)),0)</f>
        <v/>
      </c>
      <c r="BR5196">
        <f>IF(5183&lt;$U$9,SUMPRODUCT(($D$10:$L$10&lt;&gt;"")*(($D$10:$L$10-($D$9:$L$9+INT(($S$12:$AA$12+INDEX($AJ$13:$AR$162,BN5196,0)+INDEX($AT$13:$BB$162,BO5196,0)+INDEX($BD$13:$BL$162,BP5196,0))/100)))&gt;0)*($D$10:$L$10-($D$9:$L$9+INT(($S$12:$AA$12+INDEX($AJ$13:$AR$162,BN5196,0)+INDEX($AT$13:$BB$162,BO5196,0)+INDEX($BD$13:$BL$162,BP5196,0))/100)))),0)</f>
        <v/>
      </c>
      <c r="BS5196">
        <f>IF(5183&lt;$U$9,SUMPRODUCT(($D$9:$L$9+INT(($S$12:$AA$12+INDEX($AJ$13:$AR$162,BN5196,0)+INDEX($AT$13:$BB$162,BO5196,0)+INDEX($BD$13:$BL$162,BP5196,0))/100))),0)</f>
        <v/>
      </c>
      <c r="BT5196">
        <f>IF(AND(5183&lt;$U$9,$W$5),BQ5196*1000000-MIN(BR5196,999)*1000+BS5196-5183/100000,-1000000000-5183)</f>
        <v/>
      </c>
    </row>
    <row r="5197">
      <c r="BN5197">
        <f>IF(5184&lt;$U$9,INT(5184/($U$7*$U$8))+1,1)</f>
        <v/>
      </c>
      <c r="BO5197">
        <f>IF(5184&lt;$U$9,MOD(INT(5184/$U$8),$U$7)+1,1)</f>
        <v/>
      </c>
      <c r="BP5197">
        <f>IF(5184&lt;$U$9,MOD(5184,$U$8)+1,1)</f>
        <v/>
      </c>
      <c r="BQ5197">
        <f>IF(5184&lt;$U$9,SUMPRODUCT(($D$10:$L$10&lt;&gt;"")*(($D$9:$L$9+INT(($S$12:$AA$12+INDEX($AJ$13:$AR$162,BN5197,0)+INDEX($AT$13:$BB$162,BO5197,0)+INDEX($BD$13:$BL$162,BP5197,0))/100))&gt;=$D$10:$L$10)),0)</f>
        <v/>
      </c>
      <c r="BR5197">
        <f>IF(5184&lt;$U$9,SUMPRODUCT(($D$10:$L$10&lt;&gt;"")*(($D$10:$L$10-($D$9:$L$9+INT(($S$12:$AA$12+INDEX($AJ$13:$AR$162,BN5197,0)+INDEX($AT$13:$BB$162,BO5197,0)+INDEX($BD$13:$BL$162,BP5197,0))/100)))&gt;0)*($D$10:$L$10-($D$9:$L$9+INT(($S$12:$AA$12+INDEX($AJ$13:$AR$162,BN5197,0)+INDEX($AT$13:$BB$162,BO5197,0)+INDEX($BD$13:$BL$162,BP5197,0))/100)))),0)</f>
        <v/>
      </c>
      <c r="BS5197">
        <f>IF(5184&lt;$U$9,SUMPRODUCT(($D$9:$L$9+INT(($S$12:$AA$12+INDEX($AJ$13:$AR$162,BN5197,0)+INDEX($AT$13:$BB$162,BO5197,0)+INDEX($BD$13:$BL$162,BP5197,0))/100))),0)</f>
        <v/>
      </c>
      <c r="BT5197">
        <f>IF(AND(5184&lt;$U$9,$W$5),BQ5197*1000000-MIN(BR5197,999)*1000+BS5197-5184/100000,-1000000000-5184)</f>
        <v/>
      </c>
    </row>
    <row r="5198">
      <c r="BN5198">
        <f>IF(5185&lt;$U$9,INT(5185/($U$7*$U$8))+1,1)</f>
        <v/>
      </c>
      <c r="BO5198">
        <f>IF(5185&lt;$U$9,MOD(INT(5185/$U$8),$U$7)+1,1)</f>
        <v/>
      </c>
      <c r="BP5198">
        <f>IF(5185&lt;$U$9,MOD(5185,$U$8)+1,1)</f>
        <v/>
      </c>
      <c r="BQ5198">
        <f>IF(5185&lt;$U$9,SUMPRODUCT(($D$10:$L$10&lt;&gt;"")*(($D$9:$L$9+INT(($S$12:$AA$12+INDEX($AJ$13:$AR$162,BN5198,0)+INDEX($AT$13:$BB$162,BO5198,0)+INDEX($BD$13:$BL$162,BP5198,0))/100))&gt;=$D$10:$L$10)),0)</f>
        <v/>
      </c>
      <c r="BR5198">
        <f>IF(5185&lt;$U$9,SUMPRODUCT(($D$10:$L$10&lt;&gt;"")*(($D$10:$L$10-($D$9:$L$9+INT(($S$12:$AA$12+INDEX($AJ$13:$AR$162,BN5198,0)+INDEX($AT$13:$BB$162,BO5198,0)+INDEX($BD$13:$BL$162,BP5198,0))/100)))&gt;0)*($D$10:$L$10-($D$9:$L$9+INT(($S$12:$AA$12+INDEX($AJ$13:$AR$162,BN5198,0)+INDEX($AT$13:$BB$162,BO5198,0)+INDEX($BD$13:$BL$162,BP5198,0))/100)))),0)</f>
        <v/>
      </c>
      <c r="BS5198">
        <f>IF(5185&lt;$U$9,SUMPRODUCT(($D$9:$L$9+INT(($S$12:$AA$12+INDEX($AJ$13:$AR$162,BN5198,0)+INDEX($AT$13:$BB$162,BO5198,0)+INDEX($BD$13:$BL$162,BP5198,0))/100))),0)</f>
        <v/>
      </c>
      <c r="BT5198">
        <f>IF(AND(5185&lt;$U$9,$W$5),BQ5198*1000000-MIN(BR5198,999)*1000+BS5198-5185/100000,-1000000000-5185)</f>
        <v/>
      </c>
    </row>
    <row r="5199">
      <c r="BN5199">
        <f>IF(5186&lt;$U$9,INT(5186/($U$7*$U$8))+1,1)</f>
        <v/>
      </c>
      <c r="BO5199">
        <f>IF(5186&lt;$U$9,MOD(INT(5186/$U$8),$U$7)+1,1)</f>
        <v/>
      </c>
      <c r="BP5199">
        <f>IF(5186&lt;$U$9,MOD(5186,$U$8)+1,1)</f>
        <v/>
      </c>
      <c r="BQ5199">
        <f>IF(5186&lt;$U$9,SUMPRODUCT(($D$10:$L$10&lt;&gt;"")*(($D$9:$L$9+INT(($S$12:$AA$12+INDEX($AJ$13:$AR$162,BN5199,0)+INDEX($AT$13:$BB$162,BO5199,0)+INDEX($BD$13:$BL$162,BP5199,0))/100))&gt;=$D$10:$L$10)),0)</f>
        <v/>
      </c>
      <c r="BR5199">
        <f>IF(5186&lt;$U$9,SUMPRODUCT(($D$10:$L$10&lt;&gt;"")*(($D$10:$L$10-($D$9:$L$9+INT(($S$12:$AA$12+INDEX($AJ$13:$AR$162,BN5199,0)+INDEX($AT$13:$BB$162,BO5199,0)+INDEX($BD$13:$BL$162,BP5199,0))/100)))&gt;0)*($D$10:$L$10-($D$9:$L$9+INT(($S$12:$AA$12+INDEX($AJ$13:$AR$162,BN5199,0)+INDEX($AT$13:$BB$162,BO5199,0)+INDEX($BD$13:$BL$162,BP5199,0))/100)))),0)</f>
        <v/>
      </c>
      <c r="BS5199">
        <f>IF(5186&lt;$U$9,SUMPRODUCT(($D$9:$L$9+INT(($S$12:$AA$12+INDEX($AJ$13:$AR$162,BN5199,0)+INDEX($AT$13:$BB$162,BO5199,0)+INDEX($BD$13:$BL$162,BP5199,0))/100))),0)</f>
        <v/>
      </c>
      <c r="BT5199">
        <f>IF(AND(5186&lt;$U$9,$W$5),BQ5199*1000000-MIN(BR5199,999)*1000+BS5199-5186/100000,-1000000000-5186)</f>
        <v/>
      </c>
    </row>
    <row r="5200">
      <c r="BN5200">
        <f>IF(5187&lt;$U$9,INT(5187/($U$7*$U$8))+1,1)</f>
        <v/>
      </c>
      <c r="BO5200">
        <f>IF(5187&lt;$U$9,MOD(INT(5187/$U$8),$U$7)+1,1)</f>
        <v/>
      </c>
      <c r="BP5200">
        <f>IF(5187&lt;$U$9,MOD(5187,$U$8)+1,1)</f>
        <v/>
      </c>
      <c r="BQ5200">
        <f>IF(5187&lt;$U$9,SUMPRODUCT(($D$10:$L$10&lt;&gt;"")*(($D$9:$L$9+INT(($S$12:$AA$12+INDEX($AJ$13:$AR$162,BN5200,0)+INDEX($AT$13:$BB$162,BO5200,0)+INDEX($BD$13:$BL$162,BP5200,0))/100))&gt;=$D$10:$L$10)),0)</f>
        <v/>
      </c>
      <c r="BR5200">
        <f>IF(5187&lt;$U$9,SUMPRODUCT(($D$10:$L$10&lt;&gt;"")*(($D$10:$L$10-($D$9:$L$9+INT(($S$12:$AA$12+INDEX($AJ$13:$AR$162,BN5200,0)+INDEX($AT$13:$BB$162,BO5200,0)+INDEX($BD$13:$BL$162,BP5200,0))/100)))&gt;0)*($D$10:$L$10-($D$9:$L$9+INT(($S$12:$AA$12+INDEX($AJ$13:$AR$162,BN5200,0)+INDEX($AT$13:$BB$162,BO5200,0)+INDEX($BD$13:$BL$162,BP5200,0))/100)))),0)</f>
        <v/>
      </c>
      <c r="BS5200">
        <f>IF(5187&lt;$U$9,SUMPRODUCT(($D$9:$L$9+INT(($S$12:$AA$12+INDEX($AJ$13:$AR$162,BN5200,0)+INDEX($AT$13:$BB$162,BO5200,0)+INDEX($BD$13:$BL$162,BP5200,0))/100))),0)</f>
        <v/>
      </c>
      <c r="BT5200">
        <f>IF(AND(5187&lt;$U$9,$W$5),BQ5200*1000000-MIN(BR5200,999)*1000+BS5200-5187/100000,-1000000000-5187)</f>
        <v/>
      </c>
    </row>
    <row r="5201">
      <c r="BN5201">
        <f>IF(5188&lt;$U$9,INT(5188/($U$7*$U$8))+1,1)</f>
        <v/>
      </c>
      <c r="BO5201">
        <f>IF(5188&lt;$U$9,MOD(INT(5188/$U$8),$U$7)+1,1)</f>
        <v/>
      </c>
      <c r="BP5201">
        <f>IF(5188&lt;$U$9,MOD(5188,$U$8)+1,1)</f>
        <v/>
      </c>
      <c r="BQ5201">
        <f>IF(5188&lt;$U$9,SUMPRODUCT(($D$10:$L$10&lt;&gt;"")*(($D$9:$L$9+INT(($S$12:$AA$12+INDEX($AJ$13:$AR$162,BN5201,0)+INDEX($AT$13:$BB$162,BO5201,0)+INDEX($BD$13:$BL$162,BP5201,0))/100))&gt;=$D$10:$L$10)),0)</f>
        <v/>
      </c>
      <c r="BR5201">
        <f>IF(5188&lt;$U$9,SUMPRODUCT(($D$10:$L$10&lt;&gt;"")*(($D$10:$L$10-($D$9:$L$9+INT(($S$12:$AA$12+INDEX($AJ$13:$AR$162,BN5201,0)+INDEX($AT$13:$BB$162,BO5201,0)+INDEX($BD$13:$BL$162,BP5201,0))/100)))&gt;0)*($D$10:$L$10-($D$9:$L$9+INT(($S$12:$AA$12+INDEX($AJ$13:$AR$162,BN5201,0)+INDEX($AT$13:$BB$162,BO5201,0)+INDEX($BD$13:$BL$162,BP5201,0))/100)))),0)</f>
        <v/>
      </c>
      <c r="BS5201">
        <f>IF(5188&lt;$U$9,SUMPRODUCT(($D$9:$L$9+INT(($S$12:$AA$12+INDEX($AJ$13:$AR$162,BN5201,0)+INDEX($AT$13:$BB$162,BO5201,0)+INDEX($BD$13:$BL$162,BP5201,0))/100))),0)</f>
        <v/>
      </c>
      <c r="BT5201">
        <f>IF(AND(5188&lt;$U$9,$W$5),BQ5201*1000000-MIN(BR5201,999)*1000+BS5201-5188/100000,-1000000000-5188)</f>
        <v/>
      </c>
    </row>
    <row r="5202">
      <c r="BN5202">
        <f>IF(5189&lt;$U$9,INT(5189/($U$7*$U$8))+1,1)</f>
        <v/>
      </c>
      <c r="BO5202">
        <f>IF(5189&lt;$U$9,MOD(INT(5189/$U$8),$U$7)+1,1)</f>
        <v/>
      </c>
      <c r="BP5202">
        <f>IF(5189&lt;$U$9,MOD(5189,$U$8)+1,1)</f>
        <v/>
      </c>
      <c r="BQ5202">
        <f>IF(5189&lt;$U$9,SUMPRODUCT(($D$10:$L$10&lt;&gt;"")*(($D$9:$L$9+INT(($S$12:$AA$12+INDEX($AJ$13:$AR$162,BN5202,0)+INDEX($AT$13:$BB$162,BO5202,0)+INDEX($BD$13:$BL$162,BP5202,0))/100))&gt;=$D$10:$L$10)),0)</f>
        <v/>
      </c>
      <c r="BR5202">
        <f>IF(5189&lt;$U$9,SUMPRODUCT(($D$10:$L$10&lt;&gt;"")*(($D$10:$L$10-($D$9:$L$9+INT(($S$12:$AA$12+INDEX($AJ$13:$AR$162,BN5202,0)+INDEX($AT$13:$BB$162,BO5202,0)+INDEX($BD$13:$BL$162,BP5202,0))/100)))&gt;0)*($D$10:$L$10-($D$9:$L$9+INT(($S$12:$AA$12+INDEX($AJ$13:$AR$162,BN5202,0)+INDEX($AT$13:$BB$162,BO5202,0)+INDEX($BD$13:$BL$162,BP5202,0))/100)))),0)</f>
        <v/>
      </c>
      <c r="BS5202">
        <f>IF(5189&lt;$U$9,SUMPRODUCT(($D$9:$L$9+INT(($S$12:$AA$12+INDEX($AJ$13:$AR$162,BN5202,0)+INDEX($AT$13:$BB$162,BO5202,0)+INDEX($BD$13:$BL$162,BP5202,0))/100))),0)</f>
        <v/>
      </c>
      <c r="BT5202">
        <f>IF(AND(5189&lt;$U$9,$W$5),BQ5202*1000000-MIN(BR5202,999)*1000+BS5202-5189/100000,-1000000000-5189)</f>
        <v/>
      </c>
    </row>
    <row r="5203">
      <c r="BN5203">
        <f>IF(5190&lt;$U$9,INT(5190/($U$7*$U$8))+1,1)</f>
        <v/>
      </c>
      <c r="BO5203">
        <f>IF(5190&lt;$U$9,MOD(INT(5190/$U$8),$U$7)+1,1)</f>
        <v/>
      </c>
      <c r="BP5203">
        <f>IF(5190&lt;$U$9,MOD(5190,$U$8)+1,1)</f>
        <v/>
      </c>
      <c r="BQ5203">
        <f>IF(5190&lt;$U$9,SUMPRODUCT(($D$10:$L$10&lt;&gt;"")*(($D$9:$L$9+INT(($S$12:$AA$12+INDEX($AJ$13:$AR$162,BN5203,0)+INDEX($AT$13:$BB$162,BO5203,0)+INDEX($BD$13:$BL$162,BP5203,0))/100))&gt;=$D$10:$L$10)),0)</f>
        <v/>
      </c>
      <c r="BR5203">
        <f>IF(5190&lt;$U$9,SUMPRODUCT(($D$10:$L$10&lt;&gt;"")*(($D$10:$L$10-($D$9:$L$9+INT(($S$12:$AA$12+INDEX($AJ$13:$AR$162,BN5203,0)+INDEX($AT$13:$BB$162,BO5203,0)+INDEX($BD$13:$BL$162,BP5203,0))/100)))&gt;0)*($D$10:$L$10-($D$9:$L$9+INT(($S$12:$AA$12+INDEX($AJ$13:$AR$162,BN5203,0)+INDEX($AT$13:$BB$162,BO5203,0)+INDEX($BD$13:$BL$162,BP5203,0))/100)))),0)</f>
        <v/>
      </c>
      <c r="BS5203">
        <f>IF(5190&lt;$U$9,SUMPRODUCT(($D$9:$L$9+INT(($S$12:$AA$12+INDEX($AJ$13:$AR$162,BN5203,0)+INDEX($AT$13:$BB$162,BO5203,0)+INDEX($BD$13:$BL$162,BP5203,0))/100))),0)</f>
        <v/>
      </c>
      <c r="BT5203">
        <f>IF(AND(5190&lt;$U$9,$W$5),BQ5203*1000000-MIN(BR5203,999)*1000+BS5203-5190/100000,-1000000000-5190)</f>
        <v/>
      </c>
    </row>
    <row r="5204">
      <c r="BN5204">
        <f>IF(5191&lt;$U$9,INT(5191/($U$7*$U$8))+1,1)</f>
        <v/>
      </c>
      <c r="BO5204">
        <f>IF(5191&lt;$U$9,MOD(INT(5191/$U$8),$U$7)+1,1)</f>
        <v/>
      </c>
      <c r="BP5204">
        <f>IF(5191&lt;$U$9,MOD(5191,$U$8)+1,1)</f>
        <v/>
      </c>
      <c r="BQ5204">
        <f>IF(5191&lt;$U$9,SUMPRODUCT(($D$10:$L$10&lt;&gt;"")*(($D$9:$L$9+INT(($S$12:$AA$12+INDEX($AJ$13:$AR$162,BN5204,0)+INDEX($AT$13:$BB$162,BO5204,0)+INDEX($BD$13:$BL$162,BP5204,0))/100))&gt;=$D$10:$L$10)),0)</f>
        <v/>
      </c>
      <c r="BR5204">
        <f>IF(5191&lt;$U$9,SUMPRODUCT(($D$10:$L$10&lt;&gt;"")*(($D$10:$L$10-($D$9:$L$9+INT(($S$12:$AA$12+INDEX($AJ$13:$AR$162,BN5204,0)+INDEX($AT$13:$BB$162,BO5204,0)+INDEX($BD$13:$BL$162,BP5204,0))/100)))&gt;0)*($D$10:$L$10-($D$9:$L$9+INT(($S$12:$AA$12+INDEX($AJ$13:$AR$162,BN5204,0)+INDEX($AT$13:$BB$162,BO5204,0)+INDEX($BD$13:$BL$162,BP5204,0))/100)))),0)</f>
        <v/>
      </c>
      <c r="BS5204">
        <f>IF(5191&lt;$U$9,SUMPRODUCT(($D$9:$L$9+INT(($S$12:$AA$12+INDEX($AJ$13:$AR$162,BN5204,0)+INDEX($AT$13:$BB$162,BO5204,0)+INDEX($BD$13:$BL$162,BP5204,0))/100))),0)</f>
        <v/>
      </c>
      <c r="BT5204">
        <f>IF(AND(5191&lt;$U$9,$W$5),BQ5204*1000000-MIN(BR5204,999)*1000+BS5204-5191/100000,-1000000000-5191)</f>
        <v/>
      </c>
    </row>
    <row r="5205">
      <c r="BN5205">
        <f>IF(5192&lt;$U$9,INT(5192/($U$7*$U$8))+1,1)</f>
        <v/>
      </c>
      <c r="BO5205">
        <f>IF(5192&lt;$U$9,MOD(INT(5192/$U$8),$U$7)+1,1)</f>
        <v/>
      </c>
      <c r="BP5205">
        <f>IF(5192&lt;$U$9,MOD(5192,$U$8)+1,1)</f>
        <v/>
      </c>
      <c r="BQ5205">
        <f>IF(5192&lt;$U$9,SUMPRODUCT(($D$10:$L$10&lt;&gt;"")*(($D$9:$L$9+INT(($S$12:$AA$12+INDEX($AJ$13:$AR$162,BN5205,0)+INDEX($AT$13:$BB$162,BO5205,0)+INDEX($BD$13:$BL$162,BP5205,0))/100))&gt;=$D$10:$L$10)),0)</f>
        <v/>
      </c>
      <c r="BR5205">
        <f>IF(5192&lt;$U$9,SUMPRODUCT(($D$10:$L$10&lt;&gt;"")*(($D$10:$L$10-($D$9:$L$9+INT(($S$12:$AA$12+INDEX($AJ$13:$AR$162,BN5205,0)+INDEX($AT$13:$BB$162,BO5205,0)+INDEX($BD$13:$BL$162,BP5205,0))/100)))&gt;0)*($D$10:$L$10-($D$9:$L$9+INT(($S$12:$AA$12+INDEX($AJ$13:$AR$162,BN5205,0)+INDEX($AT$13:$BB$162,BO5205,0)+INDEX($BD$13:$BL$162,BP5205,0))/100)))),0)</f>
        <v/>
      </c>
      <c r="BS5205">
        <f>IF(5192&lt;$U$9,SUMPRODUCT(($D$9:$L$9+INT(($S$12:$AA$12+INDEX($AJ$13:$AR$162,BN5205,0)+INDEX($AT$13:$BB$162,BO5205,0)+INDEX($BD$13:$BL$162,BP5205,0))/100))),0)</f>
        <v/>
      </c>
      <c r="BT5205">
        <f>IF(AND(5192&lt;$U$9,$W$5),BQ5205*1000000-MIN(BR5205,999)*1000+BS5205-5192/100000,-1000000000-5192)</f>
        <v/>
      </c>
    </row>
    <row r="5206">
      <c r="BN5206">
        <f>IF(5193&lt;$U$9,INT(5193/($U$7*$U$8))+1,1)</f>
        <v/>
      </c>
      <c r="BO5206">
        <f>IF(5193&lt;$U$9,MOD(INT(5193/$U$8),$U$7)+1,1)</f>
        <v/>
      </c>
      <c r="BP5206">
        <f>IF(5193&lt;$U$9,MOD(5193,$U$8)+1,1)</f>
        <v/>
      </c>
      <c r="BQ5206">
        <f>IF(5193&lt;$U$9,SUMPRODUCT(($D$10:$L$10&lt;&gt;"")*(($D$9:$L$9+INT(($S$12:$AA$12+INDEX($AJ$13:$AR$162,BN5206,0)+INDEX($AT$13:$BB$162,BO5206,0)+INDEX($BD$13:$BL$162,BP5206,0))/100))&gt;=$D$10:$L$10)),0)</f>
        <v/>
      </c>
      <c r="BR5206">
        <f>IF(5193&lt;$U$9,SUMPRODUCT(($D$10:$L$10&lt;&gt;"")*(($D$10:$L$10-($D$9:$L$9+INT(($S$12:$AA$12+INDEX($AJ$13:$AR$162,BN5206,0)+INDEX($AT$13:$BB$162,BO5206,0)+INDEX($BD$13:$BL$162,BP5206,0))/100)))&gt;0)*($D$10:$L$10-($D$9:$L$9+INT(($S$12:$AA$12+INDEX($AJ$13:$AR$162,BN5206,0)+INDEX($AT$13:$BB$162,BO5206,0)+INDEX($BD$13:$BL$162,BP5206,0))/100)))),0)</f>
        <v/>
      </c>
      <c r="BS5206">
        <f>IF(5193&lt;$U$9,SUMPRODUCT(($D$9:$L$9+INT(($S$12:$AA$12+INDEX($AJ$13:$AR$162,BN5206,0)+INDEX($AT$13:$BB$162,BO5206,0)+INDEX($BD$13:$BL$162,BP5206,0))/100))),0)</f>
        <v/>
      </c>
      <c r="BT5206">
        <f>IF(AND(5193&lt;$U$9,$W$5),BQ5206*1000000-MIN(BR5206,999)*1000+BS5206-5193/100000,-1000000000-5193)</f>
        <v/>
      </c>
    </row>
    <row r="5207">
      <c r="BN5207">
        <f>IF(5194&lt;$U$9,INT(5194/($U$7*$U$8))+1,1)</f>
        <v/>
      </c>
      <c r="BO5207">
        <f>IF(5194&lt;$U$9,MOD(INT(5194/$U$8),$U$7)+1,1)</f>
        <v/>
      </c>
      <c r="BP5207">
        <f>IF(5194&lt;$U$9,MOD(5194,$U$8)+1,1)</f>
        <v/>
      </c>
      <c r="BQ5207">
        <f>IF(5194&lt;$U$9,SUMPRODUCT(($D$10:$L$10&lt;&gt;"")*(($D$9:$L$9+INT(($S$12:$AA$12+INDEX($AJ$13:$AR$162,BN5207,0)+INDEX($AT$13:$BB$162,BO5207,0)+INDEX($BD$13:$BL$162,BP5207,0))/100))&gt;=$D$10:$L$10)),0)</f>
        <v/>
      </c>
      <c r="BR5207">
        <f>IF(5194&lt;$U$9,SUMPRODUCT(($D$10:$L$10&lt;&gt;"")*(($D$10:$L$10-($D$9:$L$9+INT(($S$12:$AA$12+INDEX($AJ$13:$AR$162,BN5207,0)+INDEX($AT$13:$BB$162,BO5207,0)+INDEX($BD$13:$BL$162,BP5207,0))/100)))&gt;0)*($D$10:$L$10-($D$9:$L$9+INT(($S$12:$AA$12+INDEX($AJ$13:$AR$162,BN5207,0)+INDEX($AT$13:$BB$162,BO5207,0)+INDEX($BD$13:$BL$162,BP5207,0))/100)))),0)</f>
        <v/>
      </c>
      <c r="BS5207">
        <f>IF(5194&lt;$U$9,SUMPRODUCT(($D$9:$L$9+INT(($S$12:$AA$12+INDEX($AJ$13:$AR$162,BN5207,0)+INDEX($AT$13:$BB$162,BO5207,0)+INDEX($BD$13:$BL$162,BP5207,0))/100))),0)</f>
        <v/>
      </c>
      <c r="BT5207">
        <f>IF(AND(5194&lt;$U$9,$W$5),BQ5207*1000000-MIN(BR5207,999)*1000+BS5207-5194/100000,-1000000000-5194)</f>
        <v/>
      </c>
    </row>
    <row r="5208">
      <c r="BN5208">
        <f>IF(5195&lt;$U$9,INT(5195/($U$7*$U$8))+1,1)</f>
        <v/>
      </c>
      <c r="BO5208">
        <f>IF(5195&lt;$U$9,MOD(INT(5195/$U$8),$U$7)+1,1)</f>
        <v/>
      </c>
      <c r="BP5208">
        <f>IF(5195&lt;$U$9,MOD(5195,$U$8)+1,1)</f>
        <v/>
      </c>
      <c r="BQ5208">
        <f>IF(5195&lt;$U$9,SUMPRODUCT(($D$10:$L$10&lt;&gt;"")*(($D$9:$L$9+INT(($S$12:$AA$12+INDEX($AJ$13:$AR$162,BN5208,0)+INDEX($AT$13:$BB$162,BO5208,0)+INDEX($BD$13:$BL$162,BP5208,0))/100))&gt;=$D$10:$L$10)),0)</f>
        <v/>
      </c>
      <c r="BR5208">
        <f>IF(5195&lt;$U$9,SUMPRODUCT(($D$10:$L$10&lt;&gt;"")*(($D$10:$L$10-($D$9:$L$9+INT(($S$12:$AA$12+INDEX($AJ$13:$AR$162,BN5208,0)+INDEX($AT$13:$BB$162,BO5208,0)+INDEX($BD$13:$BL$162,BP5208,0))/100)))&gt;0)*($D$10:$L$10-($D$9:$L$9+INT(($S$12:$AA$12+INDEX($AJ$13:$AR$162,BN5208,0)+INDEX($AT$13:$BB$162,BO5208,0)+INDEX($BD$13:$BL$162,BP5208,0))/100)))),0)</f>
        <v/>
      </c>
      <c r="BS5208">
        <f>IF(5195&lt;$U$9,SUMPRODUCT(($D$9:$L$9+INT(($S$12:$AA$12+INDEX($AJ$13:$AR$162,BN5208,0)+INDEX($AT$13:$BB$162,BO5208,0)+INDEX($BD$13:$BL$162,BP5208,0))/100))),0)</f>
        <v/>
      </c>
      <c r="BT5208">
        <f>IF(AND(5195&lt;$U$9,$W$5),BQ5208*1000000-MIN(BR5208,999)*1000+BS5208-5195/100000,-1000000000-5195)</f>
        <v/>
      </c>
    </row>
    <row r="5209">
      <c r="BN5209">
        <f>IF(5196&lt;$U$9,INT(5196/($U$7*$U$8))+1,1)</f>
        <v/>
      </c>
      <c r="BO5209">
        <f>IF(5196&lt;$U$9,MOD(INT(5196/$U$8),$U$7)+1,1)</f>
        <v/>
      </c>
      <c r="BP5209">
        <f>IF(5196&lt;$U$9,MOD(5196,$U$8)+1,1)</f>
        <v/>
      </c>
      <c r="BQ5209">
        <f>IF(5196&lt;$U$9,SUMPRODUCT(($D$10:$L$10&lt;&gt;"")*(($D$9:$L$9+INT(($S$12:$AA$12+INDEX($AJ$13:$AR$162,BN5209,0)+INDEX($AT$13:$BB$162,BO5209,0)+INDEX($BD$13:$BL$162,BP5209,0))/100))&gt;=$D$10:$L$10)),0)</f>
        <v/>
      </c>
      <c r="BR5209">
        <f>IF(5196&lt;$U$9,SUMPRODUCT(($D$10:$L$10&lt;&gt;"")*(($D$10:$L$10-($D$9:$L$9+INT(($S$12:$AA$12+INDEX($AJ$13:$AR$162,BN5209,0)+INDEX($AT$13:$BB$162,BO5209,0)+INDEX($BD$13:$BL$162,BP5209,0))/100)))&gt;0)*($D$10:$L$10-($D$9:$L$9+INT(($S$12:$AA$12+INDEX($AJ$13:$AR$162,BN5209,0)+INDEX($AT$13:$BB$162,BO5209,0)+INDEX($BD$13:$BL$162,BP5209,0))/100)))),0)</f>
        <v/>
      </c>
      <c r="BS5209">
        <f>IF(5196&lt;$U$9,SUMPRODUCT(($D$9:$L$9+INT(($S$12:$AA$12+INDEX($AJ$13:$AR$162,BN5209,0)+INDEX($AT$13:$BB$162,BO5209,0)+INDEX($BD$13:$BL$162,BP5209,0))/100))),0)</f>
        <v/>
      </c>
      <c r="BT5209">
        <f>IF(AND(5196&lt;$U$9,$W$5),BQ5209*1000000-MIN(BR5209,999)*1000+BS5209-5196/100000,-1000000000-5196)</f>
        <v/>
      </c>
    </row>
    <row r="5210">
      <c r="BN5210">
        <f>IF(5197&lt;$U$9,INT(5197/($U$7*$U$8))+1,1)</f>
        <v/>
      </c>
      <c r="BO5210">
        <f>IF(5197&lt;$U$9,MOD(INT(5197/$U$8),$U$7)+1,1)</f>
        <v/>
      </c>
      <c r="BP5210">
        <f>IF(5197&lt;$U$9,MOD(5197,$U$8)+1,1)</f>
        <v/>
      </c>
      <c r="BQ5210">
        <f>IF(5197&lt;$U$9,SUMPRODUCT(($D$10:$L$10&lt;&gt;"")*(($D$9:$L$9+INT(($S$12:$AA$12+INDEX($AJ$13:$AR$162,BN5210,0)+INDEX($AT$13:$BB$162,BO5210,0)+INDEX($BD$13:$BL$162,BP5210,0))/100))&gt;=$D$10:$L$10)),0)</f>
        <v/>
      </c>
      <c r="BR5210">
        <f>IF(5197&lt;$U$9,SUMPRODUCT(($D$10:$L$10&lt;&gt;"")*(($D$10:$L$10-($D$9:$L$9+INT(($S$12:$AA$12+INDEX($AJ$13:$AR$162,BN5210,0)+INDEX($AT$13:$BB$162,BO5210,0)+INDEX($BD$13:$BL$162,BP5210,0))/100)))&gt;0)*($D$10:$L$10-($D$9:$L$9+INT(($S$12:$AA$12+INDEX($AJ$13:$AR$162,BN5210,0)+INDEX($AT$13:$BB$162,BO5210,0)+INDEX($BD$13:$BL$162,BP5210,0))/100)))),0)</f>
        <v/>
      </c>
      <c r="BS5210">
        <f>IF(5197&lt;$U$9,SUMPRODUCT(($D$9:$L$9+INT(($S$12:$AA$12+INDEX($AJ$13:$AR$162,BN5210,0)+INDEX($AT$13:$BB$162,BO5210,0)+INDEX($BD$13:$BL$162,BP5210,0))/100))),0)</f>
        <v/>
      </c>
      <c r="BT5210">
        <f>IF(AND(5197&lt;$U$9,$W$5),BQ5210*1000000-MIN(BR5210,999)*1000+BS5210-5197/100000,-1000000000-5197)</f>
        <v/>
      </c>
    </row>
    <row r="5211">
      <c r="BN5211">
        <f>IF(5198&lt;$U$9,INT(5198/($U$7*$U$8))+1,1)</f>
        <v/>
      </c>
      <c r="BO5211">
        <f>IF(5198&lt;$U$9,MOD(INT(5198/$U$8),$U$7)+1,1)</f>
        <v/>
      </c>
      <c r="BP5211">
        <f>IF(5198&lt;$U$9,MOD(5198,$U$8)+1,1)</f>
        <v/>
      </c>
      <c r="BQ5211">
        <f>IF(5198&lt;$U$9,SUMPRODUCT(($D$10:$L$10&lt;&gt;"")*(($D$9:$L$9+INT(($S$12:$AA$12+INDEX($AJ$13:$AR$162,BN5211,0)+INDEX($AT$13:$BB$162,BO5211,0)+INDEX($BD$13:$BL$162,BP5211,0))/100))&gt;=$D$10:$L$10)),0)</f>
        <v/>
      </c>
      <c r="BR5211">
        <f>IF(5198&lt;$U$9,SUMPRODUCT(($D$10:$L$10&lt;&gt;"")*(($D$10:$L$10-($D$9:$L$9+INT(($S$12:$AA$12+INDEX($AJ$13:$AR$162,BN5211,0)+INDEX($AT$13:$BB$162,BO5211,0)+INDEX($BD$13:$BL$162,BP5211,0))/100)))&gt;0)*($D$10:$L$10-($D$9:$L$9+INT(($S$12:$AA$12+INDEX($AJ$13:$AR$162,BN5211,0)+INDEX($AT$13:$BB$162,BO5211,0)+INDEX($BD$13:$BL$162,BP5211,0))/100)))),0)</f>
        <v/>
      </c>
      <c r="BS5211">
        <f>IF(5198&lt;$U$9,SUMPRODUCT(($D$9:$L$9+INT(($S$12:$AA$12+INDEX($AJ$13:$AR$162,BN5211,0)+INDEX($AT$13:$BB$162,BO5211,0)+INDEX($BD$13:$BL$162,BP5211,0))/100))),0)</f>
        <v/>
      </c>
      <c r="BT5211">
        <f>IF(AND(5198&lt;$U$9,$W$5),BQ5211*1000000-MIN(BR5211,999)*1000+BS5211-5198/100000,-1000000000-5198)</f>
        <v/>
      </c>
    </row>
    <row r="5212">
      <c r="BN5212">
        <f>IF(5199&lt;$U$9,INT(5199/($U$7*$U$8))+1,1)</f>
        <v/>
      </c>
      <c r="BO5212">
        <f>IF(5199&lt;$U$9,MOD(INT(5199/$U$8),$U$7)+1,1)</f>
        <v/>
      </c>
      <c r="BP5212">
        <f>IF(5199&lt;$U$9,MOD(5199,$U$8)+1,1)</f>
        <v/>
      </c>
      <c r="BQ5212">
        <f>IF(5199&lt;$U$9,SUMPRODUCT(($D$10:$L$10&lt;&gt;"")*(($D$9:$L$9+INT(($S$12:$AA$12+INDEX($AJ$13:$AR$162,BN5212,0)+INDEX($AT$13:$BB$162,BO5212,0)+INDEX($BD$13:$BL$162,BP5212,0))/100))&gt;=$D$10:$L$10)),0)</f>
        <v/>
      </c>
      <c r="BR5212">
        <f>IF(5199&lt;$U$9,SUMPRODUCT(($D$10:$L$10&lt;&gt;"")*(($D$10:$L$10-($D$9:$L$9+INT(($S$12:$AA$12+INDEX($AJ$13:$AR$162,BN5212,0)+INDEX($AT$13:$BB$162,BO5212,0)+INDEX($BD$13:$BL$162,BP5212,0))/100)))&gt;0)*($D$10:$L$10-($D$9:$L$9+INT(($S$12:$AA$12+INDEX($AJ$13:$AR$162,BN5212,0)+INDEX($AT$13:$BB$162,BO5212,0)+INDEX($BD$13:$BL$162,BP5212,0))/100)))),0)</f>
        <v/>
      </c>
      <c r="BS5212">
        <f>IF(5199&lt;$U$9,SUMPRODUCT(($D$9:$L$9+INT(($S$12:$AA$12+INDEX($AJ$13:$AR$162,BN5212,0)+INDEX($AT$13:$BB$162,BO5212,0)+INDEX($BD$13:$BL$162,BP5212,0))/100))),0)</f>
        <v/>
      </c>
      <c r="BT5212">
        <f>IF(AND(5199&lt;$U$9,$W$5),BQ5212*1000000-MIN(BR5212,999)*1000+BS5212-5199/100000,-1000000000-5199)</f>
        <v/>
      </c>
    </row>
    <row r="5213">
      <c r="BN5213">
        <f>IF(5200&lt;$U$9,INT(5200/($U$7*$U$8))+1,1)</f>
        <v/>
      </c>
      <c r="BO5213">
        <f>IF(5200&lt;$U$9,MOD(INT(5200/$U$8),$U$7)+1,1)</f>
        <v/>
      </c>
      <c r="BP5213">
        <f>IF(5200&lt;$U$9,MOD(5200,$U$8)+1,1)</f>
        <v/>
      </c>
      <c r="BQ5213">
        <f>IF(5200&lt;$U$9,SUMPRODUCT(($D$10:$L$10&lt;&gt;"")*(($D$9:$L$9+INT(($S$12:$AA$12+INDEX($AJ$13:$AR$162,BN5213,0)+INDEX($AT$13:$BB$162,BO5213,0)+INDEX($BD$13:$BL$162,BP5213,0))/100))&gt;=$D$10:$L$10)),0)</f>
        <v/>
      </c>
      <c r="BR5213">
        <f>IF(5200&lt;$U$9,SUMPRODUCT(($D$10:$L$10&lt;&gt;"")*(($D$10:$L$10-($D$9:$L$9+INT(($S$12:$AA$12+INDEX($AJ$13:$AR$162,BN5213,0)+INDEX($AT$13:$BB$162,BO5213,0)+INDEX($BD$13:$BL$162,BP5213,0))/100)))&gt;0)*($D$10:$L$10-($D$9:$L$9+INT(($S$12:$AA$12+INDEX($AJ$13:$AR$162,BN5213,0)+INDEX($AT$13:$BB$162,BO5213,0)+INDEX($BD$13:$BL$162,BP5213,0))/100)))),0)</f>
        <v/>
      </c>
      <c r="BS5213">
        <f>IF(5200&lt;$U$9,SUMPRODUCT(($D$9:$L$9+INT(($S$12:$AA$12+INDEX($AJ$13:$AR$162,BN5213,0)+INDEX($AT$13:$BB$162,BO5213,0)+INDEX($BD$13:$BL$162,BP5213,0))/100))),0)</f>
        <v/>
      </c>
      <c r="BT5213">
        <f>IF(AND(5200&lt;$U$9,$W$5),BQ5213*1000000-MIN(BR5213,999)*1000+BS5213-5200/100000,-1000000000-5200)</f>
        <v/>
      </c>
    </row>
    <row r="5214">
      <c r="BN5214">
        <f>IF(5201&lt;$U$9,INT(5201/($U$7*$U$8))+1,1)</f>
        <v/>
      </c>
      <c r="BO5214">
        <f>IF(5201&lt;$U$9,MOD(INT(5201/$U$8),$U$7)+1,1)</f>
        <v/>
      </c>
      <c r="BP5214">
        <f>IF(5201&lt;$U$9,MOD(5201,$U$8)+1,1)</f>
        <v/>
      </c>
      <c r="BQ5214">
        <f>IF(5201&lt;$U$9,SUMPRODUCT(($D$10:$L$10&lt;&gt;"")*(($D$9:$L$9+INT(($S$12:$AA$12+INDEX($AJ$13:$AR$162,BN5214,0)+INDEX($AT$13:$BB$162,BO5214,0)+INDEX($BD$13:$BL$162,BP5214,0))/100))&gt;=$D$10:$L$10)),0)</f>
        <v/>
      </c>
      <c r="BR5214">
        <f>IF(5201&lt;$U$9,SUMPRODUCT(($D$10:$L$10&lt;&gt;"")*(($D$10:$L$10-($D$9:$L$9+INT(($S$12:$AA$12+INDEX($AJ$13:$AR$162,BN5214,0)+INDEX($AT$13:$BB$162,BO5214,0)+INDEX($BD$13:$BL$162,BP5214,0))/100)))&gt;0)*($D$10:$L$10-($D$9:$L$9+INT(($S$12:$AA$12+INDEX($AJ$13:$AR$162,BN5214,0)+INDEX($AT$13:$BB$162,BO5214,0)+INDEX($BD$13:$BL$162,BP5214,0))/100)))),0)</f>
        <v/>
      </c>
      <c r="BS5214">
        <f>IF(5201&lt;$U$9,SUMPRODUCT(($D$9:$L$9+INT(($S$12:$AA$12+INDEX($AJ$13:$AR$162,BN5214,0)+INDEX($AT$13:$BB$162,BO5214,0)+INDEX($BD$13:$BL$162,BP5214,0))/100))),0)</f>
        <v/>
      </c>
      <c r="BT5214">
        <f>IF(AND(5201&lt;$U$9,$W$5),BQ5214*1000000-MIN(BR5214,999)*1000+BS5214-5201/100000,-1000000000-5201)</f>
        <v/>
      </c>
    </row>
    <row r="5215">
      <c r="BN5215">
        <f>IF(5202&lt;$U$9,INT(5202/($U$7*$U$8))+1,1)</f>
        <v/>
      </c>
      <c r="BO5215">
        <f>IF(5202&lt;$U$9,MOD(INT(5202/$U$8),$U$7)+1,1)</f>
        <v/>
      </c>
      <c r="BP5215">
        <f>IF(5202&lt;$U$9,MOD(5202,$U$8)+1,1)</f>
        <v/>
      </c>
      <c r="BQ5215">
        <f>IF(5202&lt;$U$9,SUMPRODUCT(($D$10:$L$10&lt;&gt;"")*(($D$9:$L$9+INT(($S$12:$AA$12+INDEX($AJ$13:$AR$162,BN5215,0)+INDEX($AT$13:$BB$162,BO5215,0)+INDEX($BD$13:$BL$162,BP5215,0))/100))&gt;=$D$10:$L$10)),0)</f>
        <v/>
      </c>
      <c r="BR5215">
        <f>IF(5202&lt;$U$9,SUMPRODUCT(($D$10:$L$10&lt;&gt;"")*(($D$10:$L$10-($D$9:$L$9+INT(($S$12:$AA$12+INDEX($AJ$13:$AR$162,BN5215,0)+INDEX($AT$13:$BB$162,BO5215,0)+INDEX($BD$13:$BL$162,BP5215,0))/100)))&gt;0)*($D$10:$L$10-($D$9:$L$9+INT(($S$12:$AA$12+INDEX($AJ$13:$AR$162,BN5215,0)+INDEX($AT$13:$BB$162,BO5215,0)+INDEX($BD$13:$BL$162,BP5215,0))/100)))),0)</f>
        <v/>
      </c>
      <c r="BS5215">
        <f>IF(5202&lt;$U$9,SUMPRODUCT(($D$9:$L$9+INT(($S$12:$AA$12+INDEX($AJ$13:$AR$162,BN5215,0)+INDEX($AT$13:$BB$162,BO5215,0)+INDEX($BD$13:$BL$162,BP5215,0))/100))),0)</f>
        <v/>
      </c>
      <c r="BT5215">
        <f>IF(AND(5202&lt;$U$9,$W$5),BQ5215*1000000-MIN(BR5215,999)*1000+BS5215-5202/100000,-1000000000-5202)</f>
        <v/>
      </c>
    </row>
    <row r="5216">
      <c r="BN5216">
        <f>IF(5203&lt;$U$9,INT(5203/($U$7*$U$8))+1,1)</f>
        <v/>
      </c>
      <c r="BO5216">
        <f>IF(5203&lt;$U$9,MOD(INT(5203/$U$8),$U$7)+1,1)</f>
        <v/>
      </c>
      <c r="BP5216">
        <f>IF(5203&lt;$U$9,MOD(5203,$U$8)+1,1)</f>
        <v/>
      </c>
      <c r="BQ5216">
        <f>IF(5203&lt;$U$9,SUMPRODUCT(($D$10:$L$10&lt;&gt;"")*(($D$9:$L$9+INT(($S$12:$AA$12+INDEX($AJ$13:$AR$162,BN5216,0)+INDEX($AT$13:$BB$162,BO5216,0)+INDEX($BD$13:$BL$162,BP5216,0))/100))&gt;=$D$10:$L$10)),0)</f>
        <v/>
      </c>
      <c r="BR5216">
        <f>IF(5203&lt;$U$9,SUMPRODUCT(($D$10:$L$10&lt;&gt;"")*(($D$10:$L$10-($D$9:$L$9+INT(($S$12:$AA$12+INDEX($AJ$13:$AR$162,BN5216,0)+INDEX($AT$13:$BB$162,BO5216,0)+INDEX($BD$13:$BL$162,BP5216,0))/100)))&gt;0)*($D$10:$L$10-($D$9:$L$9+INT(($S$12:$AA$12+INDEX($AJ$13:$AR$162,BN5216,0)+INDEX($AT$13:$BB$162,BO5216,0)+INDEX($BD$13:$BL$162,BP5216,0))/100)))),0)</f>
        <v/>
      </c>
      <c r="BS5216">
        <f>IF(5203&lt;$U$9,SUMPRODUCT(($D$9:$L$9+INT(($S$12:$AA$12+INDEX($AJ$13:$AR$162,BN5216,0)+INDEX($AT$13:$BB$162,BO5216,0)+INDEX($BD$13:$BL$162,BP5216,0))/100))),0)</f>
        <v/>
      </c>
      <c r="BT5216">
        <f>IF(AND(5203&lt;$U$9,$W$5),BQ5216*1000000-MIN(BR5216,999)*1000+BS5216-5203/100000,-1000000000-5203)</f>
        <v/>
      </c>
    </row>
    <row r="5217">
      <c r="BN5217">
        <f>IF(5204&lt;$U$9,INT(5204/($U$7*$U$8))+1,1)</f>
        <v/>
      </c>
      <c r="BO5217">
        <f>IF(5204&lt;$U$9,MOD(INT(5204/$U$8),$U$7)+1,1)</f>
        <v/>
      </c>
      <c r="BP5217">
        <f>IF(5204&lt;$U$9,MOD(5204,$U$8)+1,1)</f>
        <v/>
      </c>
      <c r="BQ5217">
        <f>IF(5204&lt;$U$9,SUMPRODUCT(($D$10:$L$10&lt;&gt;"")*(($D$9:$L$9+INT(($S$12:$AA$12+INDEX($AJ$13:$AR$162,BN5217,0)+INDEX($AT$13:$BB$162,BO5217,0)+INDEX($BD$13:$BL$162,BP5217,0))/100))&gt;=$D$10:$L$10)),0)</f>
        <v/>
      </c>
      <c r="BR5217">
        <f>IF(5204&lt;$U$9,SUMPRODUCT(($D$10:$L$10&lt;&gt;"")*(($D$10:$L$10-($D$9:$L$9+INT(($S$12:$AA$12+INDEX($AJ$13:$AR$162,BN5217,0)+INDEX($AT$13:$BB$162,BO5217,0)+INDEX($BD$13:$BL$162,BP5217,0))/100)))&gt;0)*($D$10:$L$10-($D$9:$L$9+INT(($S$12:$AA$12+INDEX($AJ$13:$AR$162,BN5217,0)+INDEX($AT$13:$BB$162,BO5217,0)+INDEX($BD$13:$BL$162,BP5217,0))/100)))),0)</f>
        <v/>
      </c>
      <c r="BS5217">
        <f>IF(5204&lt;$U$9,SUMPRODUCT(($D$9:$L$9+INT(($S$12:$AA$12+INDEX($AJ$13:$AR$162,BN5217,0)+INDEX($AT$13:$BB$162,BO5217,0)+INDEX($BD$13:$BL$162,BP5217,0))/100))),0)</f>
        <v/>
      </c>
      <c r="BT5217">
        <f>IF(AND(5204&lt;$U$9,$W$5),BQ5217*1000000-MIN(BR5217,999)*1000+BS5217-5204/100000,-1000000000-5204)</f>
        <v/>
      </c>
    </row>
    <row r="5218">
      <c r="BN5218">
        <f>IF(5205&lt;$U$9,INT(5205/($U$7*$U$8))+1,1)</f>
        <v/>
      </c>
      <c r="BO5218">
        <f>IF(5205&lt;$U$9,MOD(INT(5205/$U$8),$U$7)+1,1)</f>
        <v/>
      </c>
      <c r="BP5218">
        <f>IF(5205&lt;$U$9,MOD(5205,$U$8)+1,1)</f>
        <v/>
      </c>
      <c r="BQ5218">
        <f>IF(5205&lt;$U$9,SUMPRODUCT(($D$10:$L$10&lt;&gt;"")*(($D$9:$L$9+INT(($S$12:$AA$12+INDEX($AJ$13:$AR$162,BN5218,0)+INDEX($AT$13:$BB$162,BO5218,0)+INDEX($BD$13:$BL$162,BP5218,0))/100))&gt;=$D$10:$L$10)),0)</f>
        <v/>
      </c>
      <c r="BR5218">
        <f>IF(5205&lt;$U$9,SUMPRODUCT(($D$10:$L$10&lt;&gt;"")*(($D$10:$L$10-($D$9:$L$9+INT(($S$12:$AA$12+INDEX($AJ$13:$AR$162,BN5218,0)+INDEX($AT$13:$BB$162,BO5218,0)+INDEX($BD$13:$BL$162,BP5218,0))/100)))&gt;0)*($D$10:$L$10-($D$9:$L$9+INT(($S$12:$AA$12+INDEX($AJ$13:$AR$162,BN5218,0)+INDEX($AT$13:$BB$162,BO5218,0)+INDEX($BD$13:$BL$162,BP5218,0))/100)))),0)</f>
        <v/>
      </c>
      <c r="BS5218">
        <f>IF(5205&lt;$U$9,SUMPRODUCT(($D$9:$L$9+INT(($S$12:$AA$12+INDEX($AJ$13:$AR$162,BN5218,0)+INDEX($AT$13:$BB$162,BO5218,0)+INDEX($BD$13:$BL$162,BP5218,0))/100))),0)</f>
        <v/>
      </c>
      <c r="BT5218">
        <f>IF(AND(5205&lt;$U$9,$W$5),BQ5218*1000000-MIN(BR5218,999)*1000+BS5218-5205/100000,-1000000000-5205)</f>
        <v/>
      </c>
    </row>
    <row r="5219">
      <c r="BN5219">
        <f>IF(5206&lt;$U$9,INT(5206/($U$7*$U$8))+1,1)</f>
        <v/>
      </c>
      <c r="BO5219">
        <f>IF(5206&lt;$U$9,MOD(INT(5206/$U$8),$U$7)+1,1)</f>
        <v/>
      </c>
      <c r="BP5219">
        <f>IF(5206&lt;$U$9,MOD(5206,$U$8)+1,1)</f>
        <v/>
      </c>
      <c r="BQ5219">
        <f>IF(5206&lt;$U$9,SUMPRODUCT(($D$10:$L$10&lt;&gt;"")*(($D$9:$L$9+INT(($S$12:$AA$12+INDEX($AJ$13:$AR$162,BN5219,0)+INDEX($AT$13:$BB$162,BO5219,0)+INDEX($BD$13:$BL$162,BP5219,0))/100))&gt;=$D$10:$L$10)),0)</f>
        <v/>
      </c>
      <c r="BR5219">
        <f>IF(5206&lt;$U$9,SUMPRODUCT(($D$10:$L$10&lt;&gt;"")*(($D$10:$L$10-($D$9:$L$9+INT(($S$12:$AA$12+INDEX($AJ$13:$AR$162,BN5219,0)+INDEX($AT$13:$BB$162,BO5219,0)+INDEX($BD$13:$BL$162,BP5219,0))/100)))&gt;0)*($D$10:$L$10-($D$9:$L$9+INT(($S$12:$AA$12+INDEX($AJ$13:$AR$162,BN5219,0)+INDEX($AT$13:$BB$162,BO5219,0)+INDEX($BD$13:$BL$162,BP5219,0))/100)))),0)</f>
        <v/>
      </c>
      <c r="BS5219">
        <f>IF(5206&lt;$U$9,SUMPRODUCT(($D$9:$L$9+INT(($S$12:$AA$12+INDEX($AJ$13:$AR$162,BN5219,0)+INDEX($AT$13:$BB$162,BO5219,0)+INDEX($BD$13:$BL$162,BP5219,0))/100))),0)</f>
        <v/>
      </c>
      <c r="BT5219">
        <f>IF(AND(5206&lt;$U$9,$W$5),BQ5219*1000000-MIN(BR5219,999)*1000+BS5219-5206/100000,-1000000000-5206)</f>
        <v/>
      </c>
    </row>
    <row r="5220">
      <c r="BN5220">
        <f>IF(5207&lt;$U$9,INT(5207/($U$7*$U$8))+1,1)</f>
        <v/>
      </c>
      <c r="BO5220">
        <f>IF(5207&lt;$U$9,MOD(INT(5207/$U$8),$U$7)+1,1)</f>
        <v/>
      </c>
      <c r="BP5220">
        <f>IF(5207&lt;$U$9,MOD(5207,$U$8)+1,1)</f>
        <v/>
      </c>
      <c r="BQ5220">
        <f>IF(5207&lt;$U$9,SUMPRODUCT(($D$10:$L$10&lt;&gt;"")*(($D$9:$L$9+INT(($S$12:$AA$12+INDEX($AJ$13:$AR$162,BN5220,0)+INDEX($AT$13:$BB$162,BO5220,0)+INDEX($BD$13:$BL$162,BP5220,0))/100))&gt;=$D$10:$L$10)),0)</f>
        <v/>
      </c>
      <c r="BR5220">
        <f>IF(5207&lt;$U$9,SUMPRODUCT(($D$10:$L$10&lt;&gt;"")*(($D$10:$L$10-($D$9:$L$9+INT(($S$12:$AA$12+INDEX($AJ$13:$AR$162,BN5220,0)+INDEX($AT$13:$BB$162,BO5220,0)+INDEX($BD$13:$BL$162,BP5220,0))/100)))&gt;0)*($D$10:$L$10-($D$9:$L$9+INT(($S$12:$AA$12+INDEX($AJ$13:$AR$162,BN5220,0)+INDEX($AT$13:$BB$162,BO5220,0)+INDEX($BD$13:$BL$162,BP5220,0))/100)))),0)</f>
        <v/>
      </c>
      <c r="BS5220">
        <f>IF(5207&lt;$U$9,SUMPRODUCT(($D$9:$L$9+INT(($S$12:$AA$12+INDEX($AJ$13:$AR$162,BN5220,0)+INDEX($AT$13:$BB$162,BO5220,0)+INDEX($BD$13:$BL$162,BP5220,0))/100))),0)</f>
        <v/>
      </c>
      <c r="BT5220">
        <f>IF(AND(5207&lt;$U$9,$W$5),BQ5220*1000000-MIN(BR5220,999)*1000+BS5220-5207/100000,-1000000000-5207)</f>
        <v/>
      </c>
    </row>
    <row r="5221">
      <c r="BN5221">
        <f>IF(5208&lt;$U$9,INT(5208/($U$7*$U$8))+1,1)</f>
        <v/>
      </c>
      <c r="BO5221">
        <f>IF(5208&lt;$U$9,MOD(INT(5208/$U$8),$U$7)+1,1)</f>
        <v/>
      </c>
      <c r="BP5221">
        <f>IF(5208&lt;$U$9,MOD(5208,$U$8)+1,1)</f>
        <v/>
      </c>
      <c r="BQ5221">
        <f>IF(5208&lt;$U$9,SUMPRODUCT(($D$10:$L$10&lt;&gt;"")*(($D$9:$L$9+INT(($S$12:$AA$12+INDEX($AJ$13:$AR$162,BN5221,0)+INDEX($AT$13:$BB$162,BO5221,0)+INDEX($BD$13:$BL$162,BP5221,0))/100))&gt;=$D$10:$L$10)),0)</f>
        <v/>
      </c>
      <c r="BR5221">
        <f>IF(5208&lt;$U$9,SUMPRODUCT(($D$10:$L$10&lt;&gt;"")*(($D$10:$L$10-($D$9:$L$9+INT(($S$12:$AA$12+INDEX($AJ$13:$AR$162,BN5221,0)+INDEX($AT$13:$BB$162,BO5221,0)+INDEX($BD$13:$BL$162,BP5221,0))/100)))&gt;0)*($D$10:$L$10-($D$9:$L$9+INT(($S$12:$AA$12+INDEX($AJ$13:$AR$162,BN5221,0)+INDEX($AT$13:$BB$162,BO5221,0)+INDEX($BD$13:$BL$162,BP5221,0))/100)))),0)</f>
        <v/>
      </c>
      <c r="BS5221">
        <f>IF(5208&lt;$U$9,SUMPRODUCT(($D$9:$L$9+INT(($S$12:$AA$12+INDEX($AJ$13:$AR$162,BN5221,0)+INDEX($AT$13:$BB$162,BO5221,0)+INDEX($BD$13:$BL$162,BP5221,0))/100))),0)</f>
        <v/>
      </c>
      <c r="BT5221">
        <f>IF(AND(5208&lt;$U$9,$W$5),BQ5221*1000000-MIN(BR5221,999)*1000+BS5221-5208/100000,-1000000000-5208)</f>
        <v/>
      </c>
    </row>
    <row r="5222">
      <c r="BN5222">
        <f>IF(5209&lt;$U$9,INT(5209/($U$7*$U$8))+1,1)</f>
        <v/>
      </c>
      <c r="BO5222">
        <f>IF(5209&lt;$U$9,MOD(INT(5209/$U$8),$U$7)+1,1)</f>
        <v/>
      </c>
      <c r="BP5222">
        <f>IF(5209&lt;$U$9,MOD(5209,$U$8)+1,1)</f>
        <v/>
      </c>
      <c r="BQ5222">
        <f>IF(5209&lt;$U$9,SUMPRODUCT(($D$10:$L$10&lt;&gt;"")*(($D$9:$L$9+INT(($S$12:$AA$12+INDEX($AJ$13:$AR$162,BN5222,0)+INDEX($AT$13:$BB$162,BO5222,0)+INDEX($BD$13:$BL$162,BP5222,0))/100))&gt;=$D$10:$L$10)),0)</f>
        <v/>
      </c>
      <c r="BR5222">
        <f>IF(5209&lt;$U$9,SUMPRODUCT(($D$10:$L$10&lt;&gt;"")*(($D$10:$L$10-($D$9:$L$9+INT(($S$12:$AA$12+INDEX($AJ$13:$AR$162,BN5222,0)+INDEX($AT$13:$BB$162,BO5222,0)+INDEX($BD$13:$BL$162,BP5222,0))/100)))&gt;0)*($D$10:$L$10-($D$9:$L$9+INT(($S$12:$AA$12+INDEX($AJ$13:$AR$162,BN5222,0)+INDEX($AT$13:$BB$162,BO5222,0)+INDEX($BD$13:$BL$162,BP5222,0))/100)))),0)</f>
        <v/>
      </c>
      <c r="BS5222">
        <f>IF(5209&lt;$U$9,SUMPRODUCT(($D$9:$L$9+INT(($S$12:$AA$12+INDEX($AJ$13:$AR$162,BN5222,0)+INDEX($AT$13:$BB$162,BO5222,0)+INDEX($BD$13:$BL$162,BP5222,0))/100))),0)</f>
        <v/>
      </c>
      <c r="BT5222">
        <f>IF(AND(5209&lt;$U$9,$W$5),BQ5222*1000000-MIN(BR5222,999)*1000+BS5222-5209/100000,-1000000000-5209)</f>
        <v/>
      </c>
    </row>
    <row r="5223">
      <c r="BN5223">
        <f>IF(5210&lt;$U$9,INT(5210/($U$7*$U$8))+1,1)</f>
        <v/>
      </c>
      <c r="BO5223">
        <f>IF(5210&lt;$U$9,MOD(INT(5210/$U$8),$U$7)+1,1)</f>
        <v/>
      </c>
      <c r="BP5223">
        <f>IF(5210&lt;$U$9,MOD(5210,$U$8)+1,1)</f>
        <v/>
      </c>
      <c r="BQ5223">
        <f>IF(5210&lt;$U$9,SUMPRODUCT(($D$10:$L$10&lt;&gt;"")*(($D$9:$L$9+INT(($S$12:$AA$12+INDEX($AJ$13:$AR$162,BN5223,0)+INDEX($AT$13:$BB$162,BO5223,0)+INDEX($BD$13:$BL$162,BP5223,0))/100))&gt;=$D$10:$L$10)),0)</f>
        <v/>
      </c>
      <c r="BR5223">
        <f>IF(5210&lt;$U$9,SUMPRODUCT(($D$10:$L$10&lt;&gt;"")*(($D$10:$L$10-($D$9:$L$9+INT(($S$12:$AA$12+INDEX($AJ$13:$AR$162,BN5223,0)+INDEX($AT$13:$BB$162,BO5223,0)+INDEX($BD$13:$BL$162,BP5223,0))/100)))&gt;0)*($D$10:$L$10-($D$9:$L$9+INT(($S$12:$AA$12+INDEX($AJ$13:$AR$162,BN5223,0)+INDEX($AT$13:$BB$162,BO5223,0)+INDEX($BD$13:$BL$162,BP5223,0))/100)))),0)</f>
        <v/>
      </c>
      <c r="BS5223">
        <f>IF(5210&lt;$U$9,SUMPRODUCT(($D$9:$L$9+INT(($S$12:$AA$12+INDEX($AJ$13:$AR$162,BN5223,0)+INDEX($AT$13:$BB$162,BO5223,0)+INDEX($BD$13:$BL$162,BP5223,0))/100))),0)</f>
        <v/>
      </c>
      <c r="BT5223">
        <f>IF(AND(5210&lt;$U$9,$W$5),BQ5223*1000000-MIN(BR5223,999)*1000+BS5223-5210/100000,-1000000000-5210)</f>
        <v/>
      </c>
    </row>
    <row r="5224">
      <c r="BN5224">
        <f>IF(5211&lt;$U$9,INT(5211/($U$7*$U$8))+1,1)</f>
        <v/>
      </c>
      <c r="BO5224">
        <f>IF(5211&lt;$U$9,MOD(INT(5211/$U$8),$U$7)+1,1)</f>
        <v/>
      </c>
      <c r="BP5224">
        <f>IF(5211&lt;$U$9,MOD(5211,$U$8)+1,1)</f>
        <v/>
      </c>
      <c r="BQ5224">
        <f>IF(5211&lt;$U$9,SUMPRODUCT(($D$10:$L$10&lt;&gt;"")*(($D$9:$L$9+INT(($S$12:$AA$12+INDEX($AJ$13:$AR$162,BN5224,0)+INDEX($AT$13:$BB$162,BO5224,0)+INDEX($BD$13:$BL$162,BP5224,0))/100))&gt;=$D$10:$L$10)),0)</f>
        <v/>
      </c>
      <c r="BR5224">
        <f>IF(5211&lt;$U$9,SUMPRODUCT(($D$10:$L$10&lt;&gt;"")*(($D$10:$L$10-($D$9:$L$9+INT(($S$12:$AA$12+INDEX($AJ$13:$AR$162,BN5224,0)+INDEX($AT$13:$BB$162,BO5224,0)+INDEX($BD$13:$BL$162,BP5224,0))/100)))&gt;0)*($D$10:$L$10-($D$9:$L$9+INT(($S$12:$AA$12+INDEX($AJ$13:$AR$162,BN5224,0)+INDEX($AT$13:$BB$162,BO5224,0)+INDEX($BD$13:$BL$162,BP5224,0))/100)))),0)</f>
        <v/>
      </c>
      <c r="BS5224">
        <f>IF(5211&lt;$U$9,SUMPRODUCT(($D$9:$L$9+INT(($S$12:$AA$12+INDEX($AJ$13:$AR$162,BN5224,0)+INDEX($AT$13:$BB$162,BO5224,0)+INDEX($BD$13:$BL$162,BP5224,0))/100))),0)</f>
        <v/>
      </c>
      <c r="BT5224">
        <f>IF(AND(5211&lt;$U$9,$W$5),BQ5224*1000000-MIN(BR5224,999)*1000+BS5224-5211/100000,-1000000000-5211)</f>
        <v/>
      </c>
    </row>
    <row r="5225">
      <c r="BN5225">
        <f>IF(5212&lt;$U$9,INT(5212/($U$7*$U$8))+1,1)</f>
        <v/>
      </c>
      <c r="BO5225">
        <f>IF(5212&lt;$U$9,MOD(INT(5212/$U$8),$U$7)+1,1)</f>
        <v/>
      </c>
      <c r="BP5225">
        <f>IF(5212&lt;$U$9,MOD(5212,$U$8)+1,1)</f>
        <v/>
      </c>
      <c r="BQ5225">
        <f>IF(5212&lt;$U$9,SUMPRODUCT(($D$10:$L$10&lt;&gt;"")*(($D$9:$L$9+INT(($S$12:$AA$12+INDEX($AJ$13:$AR$162,BN5225,0)+INDEX($AT$13:$BB$162,BO5225,0)+INDEX($BD$13:$BL$162,BP5225,0))/100))&gt;=$D$10:$L$10)),0)</f>
        <v/>
      </c>
      <c r="BR5225">
        <f>IF(5212&lt;$U$9,SUMPRODUCT(($D$10:$L$10&lt;&gt;"")*(($D$10:$L$10-($D$9:$L$9+INT(($S$12:$AA$12+INDEX($AJ$13:$AR$162,BN5225,0)+INDEX($AT$13:$BB$162,BO5225,0)+INDEX($BD$13:$BL$162,BP5225,0))/100)))&gt;0)*($D$10:$L$10-($D$9:$L$9+INT(($S$12:$AA$12+INDEX($AJ$13:$AR$162,BN5225,0)+INDEX($AT$13:$BB$162,BO5225,0)+INDEX($BD$13:$BL$162,BP5225,0))/100)))),0)</f>
        <v/>
      </c>
      <c r="BS5225">
        <f>IF(5212&lt;$U$9,SUMPRODUCT(($D$9:$L$9+INT(($S$12:$AA$12+INDEX($AJ$13:$AR$162,BN5225,0)+INDEX($AT$13:$BB$162,BO5225,0)+INDEX($BD$13:$BL$162,BP5225,0))/100))),0)</f>
        <v/>
      </c>
      <c r="BT5225">
        <f>IF(AND(5212&lt;$U$9,$W$5),BQ5225*1000000-MIN(BR5225,999)*1000+BS5225-5212/100000,-1000000000-5212)</f>
        <v/>
      </c>
    </row>
    <row r="5226">
      <c r="BN5226">
        <f>IF(5213&lt;$U$9,INT(5213/($U$7*$U$8))+1,1)</f>
        <v/>
      </c>
      <c r="BO5226">
        <f>IF(5213&lt;$U$9,MOD(INT(5213/$U$8),$U$7)+1,1)</f>
        <v/>
      </c>
      <c r="BP5226">
        <f>IF(5213&lt;$U$9,MOD(5213,$U$8)+1,1)</f>
        <v/>
      </c>
      <c r="BQ5226">
        <f>IF(5213&lt;$U$9,SUMPRODUCT(($D$10:$L$10&lt;&gt;"")*(($D$9:$L$9+INT(($S$12:$AA$12+INDEX($AJ$13:$AR$162,BN5226,0)+INDEX($AT$13:$BB$162,BO5226,0)+INDEX($BD$13:$BL$162,BP5226,0))/100))&gt;=$D$10:$L$10)),0)</f>
        <v/>
      </c>
      <c r="BR5226">
        <f>IF(5213&lt;$U$9,SUMPRODUCT(($D$10:$L$10&lt;&gt;"")*(($D$10:$L$10-($D$9:$L$9+INT(($S$12:$AA$12+INDEX($AJ$13:$AR$162,BN5226,0)+INDEX($AT$13:$BB$162,BO5226,0)+INDEX($BD$13:$BL$162,BP5226,0))/100)))&gt;0)*($D$10:$L$10-($D$9:$L$9+INT(($S$12:$AA$12+INDEX($AJ$13:$AR$162,BN5226,0)+INDEX($AT$13:$BB$162,BO5226,0)+INDEX($BD$13:$BL$162,BP5226,0))/100)))),0)</f>
        <v/>
      </c>
      <c r="BS5226">
        <f>IF(5213&lt;$U$9,SUMPRODUCT(($D$9:$L$9+INT(($S$12:$AA$12+INDEX($AJ$13:$AR$162,BN5226,0)+INDEX($AT$13:$BB$162,BO5226,0)+INDEX($BD$13:$BL$162,BP5226,0))/100))),0)</f>
        <v/>
      </c>
      <c r="BT5226">
        <f>IF(AND(5213&lt;$U$9,$W$5),BQ5226*1000000-MIN(BR5226,999)*1000+BS5226-5213/100000,-1000000000-5213)</f>
        <v/>
      </c>
    </row>
    <row r="5227">
      <c r="BN5227">
        <f>IF(5214&lt;$U$9,INT(5214/($U$7*$U$8))+1,1)</f>
        <v/>
      </c>
      <c r="BO5227">
        <f>IF(5214&lt;$U$9,MOD(INT(5214/$U$8),$U$7)+1,1)</f>
        <v/>
      </c>
      <c r="BP5227">
        <f>IF(5214&lt;$U$9,MOD(5214,$U$8)+1,1)</f>
        <v/>
      </c>
      <c r="BQ5227">
        <f>IF(5214&lt;$U$9,SUMPRODUCT(($D$10:$L$10&lt;&gt;"")*(($D$9:$L$9+INT(($S$12:$AA$12+INDEX($AJ$13:$AR$162,BN5227,0)+INDEX($AT$13:$BB$162,BO5227,0)+INDEX($BD$13:$BL$162,BP5227,0))/100))&gt;=$D$10:$L$10)),0)</f>
        <v/>
      </c>
      <c r="BR5227">
        <f>IF(5214&lt;$U$9,SUMPRODUCT(($D$10:$L$10&lt;&gt;"")*(($D$10:$L$10-($D$9:$L$9+INT(($S$12:$AA$12+INDEX($AJ$13:$AR$162,BN5227,0)+INDEX($AT$13:$BB$162,BO5227,0)+INDEX($BD$13:$BL$162,BP5227,0))/100)))&gt;0)*($D$10:$L$10-($D$9:$L$9+INT(($S$12:$AA$12+INDEX($AJ$13:$AR$162,BN5227,0)+INDEX($AT$13:$BB$162,BO5227,0)+INDEX($BD$13:$BL$162,BP5227,0))/100)))),0)</f>
        <v/>
      </c>
      <c r="BS5227">
        <f>IF(5214&lt;$U$9,SUMPRODUCT(($D$9:$L$9+INT(($S$12:$AA$12+INDEX($AJ$13:$AR$162,BN5227,0)+INDEX($AT$13:$BB$162,BO5227,0)+INDEX($BD$13:$BL$162,BP5227,0))/100))),0)</f>
        <v/>
      </c>
      <c r="BT5227">
        <f>IF(AND(5214&lt;$U$9,$W$5),BQ5227*1000000-MIN(BR5227,999)*1000+BS5227-5214/100000,-1000000000-5214)</f>
        <v/>
      </c>
    </row>
    <row r="5228">
      <c r="BN5228">
        <f>IF(5215&lt;$U$9,INT(5215/($U$7*$U$8))+1,1)</f>
        <v/>
      </c>
      <c r="BO5228">
        <f>IF(5215&lt;$U$9,MOD(INT(5215/$U$8),$U$7)+1,1)</f>
        <v/>
      </c>
      <c r="BP5228">
        <f>IF(5215&lt;$U$9,MOD(5215,$U$8)+1,1)</f>
        <v/>
      </c>
      <c r="BQ5228">
        <f>IF(5215&lt;$U$9,SUMPRODUCT(($D$10:$L$10&lt;&gt;"")*(($D$9:$L$9+INT(($S$12:$AA$12+INDEX($AJ$13:$AR$162,BN5228,0)+INDEX($AT$13:$BB$162,BO5228,0)+INDEX($BD$13:$BL$162,BP5228,0))/100))&gt;=$D$10:$L$10)),0)</f>
        <v/>
      </c>
      <c r="BR5228">
        <f>IF(5215&lt;$U$9,SUMPRODUCT(($D$10:$L$10&lt;&gt;"")*(($D$10:$L$10-($D$9:$L$9+INT(($S$12:$AA$12+INDEX($AJ$13:$AR$162,BN5228,0)+INDEX($AT$13:$BB$162,BO5228,0)+INDEX($BD$13:$BL$162,BP5228,0))/100)))&gt;0)*($D$10:$L$10-($D$9:$L$9+INT(($S$12:$AA$12+INDEX($AJ$13:$AR$162,BN5228,0)+INDEX($AT$13:$BB$162,BO5228,0)+INDEX($BD$13:$BL$162,BP5228,0))/100)))),0)</f>
        <v/>
      </c>
      <c r="BS5228">
        <f>IF(5215&lt;$U$9,SUMPRODUCT(($D$9:$L$9+INT(($S$12:$AA$12+INDEX($AJ$13:$AR$162,BN5228,0)+INDEX($AT$13:$BB$162,BO5228,0)+INDEX($BD$13:$BL$162,BP5228,0))/100))),0)</f>
        <v/>
      </c>
      <c r="BT5228">
        <f>IF(AND(5215&lt;$U$9,$W$5),BQ5228*1000000-MIN(BR5228,999)*1000+BS5228-5215/100000,-1000000000-5215)</f>
        <v/>
      </c>
    </row>
    <row r="5229">
      <c r="BN5229">
        <f>IF(5216&lt;$U$9,INT(5216/($U$7*$U$8))+1,1)</f>
        <v/>
      </c>
      <c r="BO5229">
        <f>IF(5216&lt;$U$9,MOD(INT(5216/$U$8),$U$7)+1,1)</f>
        <v/>
      </c>
      <c r="BP5229">
        <f>IF(5216&lt;$U$9,MOD(5216,$U$8)+1,1)</f>
        <v/>
      </c>
      <c r="BQ5229">
        <f>IF(5216&lt;$U$9,SUMPRODUCT(($D$10:$L$10&lt;&gt;"")*(($D$9:$L$9+INT(($S$12:$AA$12+INDEX($AJ$13:$AR$162,BN5229,0)+INDEX($AT$13:$BB$162,BO5229,0)+INDEX($BD$13:$BL$162,BP5229,0))/100))&gt;=$D$10:$L$10)),0)</f>
        <v/>
      </c>
      <c r="BR5229">
        <f>IF(5216&lt;$U$9,SUMPRODUCT(($D$10:$L$10&lt;&gt;"")*(($D$10:$L$10-($D$9:$L$9+INT(($S$12:$AA$12+INDEX($AJ$13:$AR$162,BN5229,0)+INDEX($AT$13:$BB$162,BO5229,0)+INDEX($BD$13:$BL$162,BP5229,0))/100)))&gt;0)*($D$10:$L$10-($D$9:$L$9+INT(($S$12:$AA$12+INDEX($AJ$13:$AR$162,BN5229,0)+INDEX($AT$13:$BB$162,BO5229,0)+INDEX($BD$13:$BL$162,BP5229,0))/100)))),0)</f>
        <v/>
      </c>
      <c r="BS5229">
        <f>IF(5216&lt;$U$9,SUMPRODUCT(($D$9:$L$9+INT(($S$12:$AA$12+INDEX($AJ$13:$AR$162,BN5229,0)+INDEX($AT$13:$BB$162,BO5229,0)+INDEX($BD$13:$BL$162,BP5229,0))/100))),0)</f>
        <v/>
      </c>
      <c r="BT5229">
        <f>IF(AND(5216&lt;$U$9,$W$5),BQ5229*1000000-MIN(BR5229,999)*1000+BS5229-5216/100000,-1000000000-5216)</f>
        <v/>
      </c>
    </row>
    <row r="5230">
      <c r="BN5230">
        <f>IF(5217&lt;$U$9,INT(5217/($U$7*$U$8))+1,1)</f>
        <v/>
      </c>
      <c r="BO5230">
        <f>IF(5217&lt;$U$9,MOD(INT(5217/$U$8),$U$7)+1,1)</f>
        <v/>
      </c>
      <c r="BP5230">
        <f>IF(5217&lt;$U$9,MOD(5217,$U$8)+1,1)</f>
        <v/>
      </c>
      <c r="BQ5230">
        <f>IF(5217&lt;$U$9,SUMPRODUCT(($D$10:$L$10&lt;&gt;"")*(($D$9:$L$9+INT(($S$12:$AA$12+INDEX($AJ$13:$AR$162,BN5230,0)+INDEX($AT$13:$BB$162,BO5230,0)+INDEX($BD$13:$BL$162,BP5230,0))/100))&gt;=$D$10:$L$10)),0)</f>
        <v/>
      </c>
      <c r="BR5230">
        <f>IF(5217&lt;$U$9,SUMPRODUCT(($D$10:$L$10&lt;&gt;"")*(($D$10:$L$10-($D$9:$L$9+INT(($S$12:$AA$12+INDEX($AJ$13:$AR$162,BN5230,0)+INDEX($AT$13:$BB$162,BO5230,0)+INDEX($BD$13:$BL$162,BP5230,0))/100)))&gt;0)*($D$10:$L$10-($D$9:$L$9+INT(($S$12:$AA$12+INDEX($AJ$13:$AR$162,BN5230,0)+INDEX($AT$13:$BB$162,BO5230,0)+INDEX($BD$13:$BL$162,BP5230,0))/100)))),0)</f>
        <v/>
      </c>
      <c r="BS5230">
        <f>IF(5217&lt;$U$9,SUMPRODUCT(($D$9:$L$9+INT(($S$12:$AA$12+INDEX($AJ$13:$AR$162,BN5230,0)+INDEX($AT$13:$BB$162,BO5230,0)+INDEX($BD$13:$BL$162,BP5230,0))/100))),0)</f>
        <v/>
      </c>
      <c r="BT5230">
        <f>IF(AND(5217&lt;$U$9,$W$5),BQ5230*1000000-MIN(BR5230,999)*1000+BS5230-5217/100000,-1000000000-5217)</f>
        <v/>
      </c>
    </row>
    <row r="5231">
      <c r="BN5231">
        <f>IF(5218&lt;$U$9,INT(5218/($U$7*$U$8))+1,1)</f>
        <v/>
      </c>
      <c r="BO5231">
        <f>IF(5218&lt;$U$9,MOD(INT(5218/$U$8),$U$7)+1,1)</f>
        <v/>
      </c>
      <c r="BP5231">
        <f>IF(5218&lt;$U$9,MOD(5218,$U$8)+1,1)</f>
        <v/>
      </c>
      <c r="BQ5231">
        <f>IF(5218&lt;$U$9,SUMPRODUCT(($D$10:$L$10&lt;&gt;"")*(($D$9:$L$9+INT(($S$12:$AA$12+INDEX($AJ$13:$AR$162,BN5231,0)+INDEX($AT$13:$BB$162,BO5231,0)+INDEX($BD$13:$BL$162,BP5231,0))/100))&gt;=$D$10:$L$10)),0)</f>
        <v/>
      </c>
      <c r="BR5231">
        <f>IF(5218&lt;$U$9,SUMPRODUCT(($D$10:$L$10&lt;&gt;"")*(($D$10:$L$10-($D$9:$L$9+INT(($S$12:$AA$12+INDEX($AJ$13:$AR$162,BN5231,0)+INDEX($AT$13:$BB$162,BO5231,0)+INDEX($BD$13:$BL$162,BP5231,0))/100)))&gt;0)*($D$10:$L$10-($D$9:$L$9+INT(($S$12:$AA$12+INDEX($AJ$13:$AR$162,BN5231,0)+INDEX($AT$13:$BB$162,BO5231,0)+INDEX($BD$13:$BL$162,BP5231,0))/100)))),0)</f>
        <v/>
      </c>
      <c r="BS5231">
        <f>IF(5218&lt;$U$9,SUMPRODUCT(($D$9:$L$9+INT(($S$12:$AA$12+INDEX($AJ$13:$AR$162,BN5231,0)+INDEX($AT$13:$BB$162,BO5231,0)+INDEX($BD$13:$BL$162,BP5231,0))/100))),0)</f>
        <v/>
      </c>
      <c r="BT5231">
        <f>IF(AND(5218&lt;$U$9,$W$5),BQ5231*1000000-MIN(BR5231,999)*1000+BS5231-5218/100000,-1000000000-5218)</f>
        <v/>
      </c>
    </row>
    <row r="5232">
      <c r="BN5232">
        <f>IF(5219&lt;$U$9,INT(5219/($U$7*$U$8))+1,1)</f>
        <v/>
      </c>
      <c r="BO5232">
        <f>IF(5219&lt;$U$9,MOD(INT(5219/$U$8),$U$7)+1,1)</f>
        <v/>
      </c>
      <c r="BP5232">
        <f>IF(5219&lt;$U$9,MOD(5219,$U$8)+1,1)</f>
        <v/>
      </c>
      <c r="BQ5232">
        <f>IF(5219&lt;$U$9,SUMPRODUCT(($D$10:$L$10&lt;&gt;"")*(($D$9:$L$9+INT(($S$12:$AA$12+INDEX($AJ$13:$AR$162,BN5232,0)+INDEX($AT$13:$BB$162,BO5232,0)+INDEX($BD$13:$BL$162,BP5232,0))/100))&gt;=$D$10:$L$10)),0)</f>
        <v/>
      </c>
      <c r="BR5232">
        <f>IF(5219&lt;$U$9,SUMPRODUCT(($D$10:$L$10&lt;&gt;"")*(($D$10:$L$10-($D$9:$L$9+INT(($S$12:$AA$12+INDEX($AJ$13:$AR$162,BN5232,0)+INDEX($AT$13:$BB$162,BO5232,0)+INDEX($BD$13:$BL$162,BP5232,0))/100)))&gt;0)*($D$10:$L$10-($D$9:$L$9+INT(($S$12:$AA$12+INDEX($AJ$13:$AR$162,BN5232,0)+INDEX($AT$13:$BB$162,BO5232,0)+INDEX($BD$13:$BL$162,BP5232,0))/100)))),0)</f>
        <v/>
      </c>
      <c r="BS5232">
        <f>IF(5219&lt;$U$9,SUMPRODUCT(($D$9:$L$9+INT(($S$12:$AA$12+INDEX($AJ$13:$AR$162,BN5232,0)+INDEX($AT$13:$BB$162,BO5232,0)+INDEX($BD$13:$BL$162,BP5232,0))/100))),0)</f>
        <v/>
      </c>
      <c r="BT5232">
        <f>IF(AND(5219&lt;$U$9,$W$5),BQ5232*1000000-MIN(BR5232,999)*1000+BS5232-5219/100000,-1000000000-5219)</f>
        <v/>
      </c>
    </row>
    <row r="5233">
      <c r="BN5233">
        <f>IF(5220&lt;$U$9,INT(5220/($U$7*$U$8))+1,1)</f>
        <v/>
      </c>
      <c r="BO5233">
        <f>IF(5220&lt;$U$9,MOD(INT(5220/$U$8),$U$7)+1,1)</f>
        <v/>
      </c>
      <c r="BP5233">
        <f>IF(5220&lt;$U$9,MOD(5220,$U$8)+1,1)</f>
        <v/>
      </c>
      <c r="BQ5233">
        <f>IF(5220&lt;$U$9,SUMPRODUCT(($D$10:$L$10&lt;&gt;"")*(($D$9:$L$9+INT(($S$12:$AA$12+INDEX($AJ$13:$AR$162,BN5233,0)+INDEX($AT$13:$BB$162,BO5233,0)+INDEX($BD$13:$BL$162,BP5233,0))/100))&gt;=$D$10:$L$10)),0)</f>
        <v/>
      </c>
      <c r="BR5233">
        <f>IF(5220&lt;$U$9,SUMPRODUCT(($D$10:$L$10&lt;&gt;"")*(($D$10:$L$10-($D$9:$L$9+INT(($S$12:$AA$12+INDEX($AJ$13:$AR$162,BN5233,0)+INDEX($AT$13:$BB$162,BO5233,0)+INDEX($BD$13:$BL$162,BP5233,0))/100)))&gt;0)*($D$10:$L$10-($D$9:$L$9+INT(($S$12:$AA$12+INDEX($AJ$13:$AR$162,BN5233,0)+INDEX($AT$13:$BB$162,BO5233,0)+INDEX($BD$13:$BL$162,BP5233,0))/100)))),0)</f>
        <v/>
      </c>
      <c r="BS5233">
        <f>IF(5220&lt;$U$9,SUMPRODUCT(($D$9:$L$9+INT(($S$12:$AA$12+INDEX($AJ$13:$AR$162,BN5233,0)+INDEX($AT$13:$BB$162,BO5233,0)+INDEX($BD$13:$BL$162,BP5233,0))/100))),0)</f>
        <v/>
      </c>
      <c r="BT5233">
        <f>IF(AND(5220&lt;$U$9,$W$5),BQ5233*1000000-MIN(BR5233,999)*1000+BS5233-5220/100000,-1000000000-5220)</f>
        <v/>
      </c>
    </row>
    <row r="5234">
      <c r="BN5234">
        <f>IF(5221&lt;$U$9,INT(5221/($U$7*$U$8))+1,1)</f>
        <v/>
      </c>
      <c r="BO5234">
        <f>IF(5221&lt;$U$9,MOD(INT(5221/$U$8),$U$7)+1,1)</f>
        <v/>
      </c>
      <c r="BP5234">
        <f>IF(5221&lt;$U$9,MOD(5221,$U$8)+1,1)</f>
        <v/>
      </c>
      <c r="BQ5234">
        <f>IF(5221&lt;$U$9,SUMPRODUCT(($D$10:$L$10&lt;&gt;"")*(($D$9:$L$9+INT(($S$12:$AA$12+INDEX($AJ$13:$AR$162,BN5234,0)+INDEX($AT$13:$BB$162,BO5234,0)+INDEX($BD$13:$BL$162,BP5234,0))/100))&gt;=$D$10:$L$10)),0)</f>
        <v/>
      </c>
      <c r="BR5234">
        <f>IF(5221&lt;$U$9,SUMPRODUCT(($D$10:$L$10&lt;&gt;"")*(($D$10:$L$10-($D$9:$L$9+INT(($S$12:$AA$12+INDEX($AJ$13:$AR$162,BN5234,0)+INDEX($AT$13:$BB$162,BO5234,0)+INDEX($BD$13:$BL$162,BP5234,0))/100)))&gt;0)*($D$10:$L$10-($D$9:$L$9+INT(($S$12:$AA$12+INDEX($AJ$13:$AR$162,BN5234,0)+INDEX($AT$13:$BB$162,BO5234,0)+INDEX($BD$13:$BL$162,BP5234,0))/100)))),0)</f>
        <v/>
      </c>
      <c r="BS5234">
        <f>IF(5221&lt;$U$9,SUMPRODUCT(($D$9:$L$9+INT(($S$12:$AA$12+INDEX($AJ$13:$AR$162,BN5234,0)+INDEX($AT$13:$BB$162,BO5234,0)+INDEX($BD$13:$BL$162,BP5234,0))/100))),0)</f>
        <v/>
      </c>
      <c r="BT5234">
        <f>IF(AND(5221&lt;$U$9,$W$5),BQ5234*1000000-MIN(BR5234,999)*1000+BS5234-5221/100000,-1000000000-5221)</f>
        <v/>
      </c>
    </row>
    <row r="5235">
      <c r="BN5235">
        <f>IF(5222&lt;$U$9,INT(5222/($U$7*$U$8))+1,1)</f>
        <v/>
      </c>
      <c r="BO5235">
        <f>IF(5222&lt;$U$9,MOD(INT(5222/$U$8),$U$7)+1,1)</f>
        <v/>
      </c>
      <c r="BP5235">
        <f>IF(5222&lt;$U$9,MOD(5222,$U$8)+1,1)</f>
        <v/>
      </c>
      <c r="BQ5235">
        <f>IF(5222&lt;$U$9,SUMPRODUCT(($D$10:$L$10&lt;&gt;"")*(($D$9:$L$9+INT(($S$12:$AA$12+INDEX($AJ$13:$AR$162,BN5235,0)+INDEX($AT$13:$BB$162,BO5235,0)+INDEX($BD$13:$BL$162,BP5235,0))/100))&gt;=$D$10:$L$10)),0)</f>
        <v/>
      </c>
      <c r="BR5235">
        <f>IF(5222&lt;$U$9,SUMPRODUCT(($D$10:$L$10&lt;&gt;"")*(($D$10:$L$10-($D$9:$L$9+INT(($S$12:$AA$12+INDEX($AJ$13:$AR$162,BN5235,0)+INDEX($AT$13:$BB$162,BO5235,0)+INDEX($BD$13:$BL$162,BP5235,0))/100)))&gt;0)*($D$10:$L$10-($D$9:$L$9+INT(($S$12:$AA$12+INDEX($AJ$13:$AR$162,BN5235,0)+INDEX($AT$13:$BB$162,BO5235,0)+INDEX($BD$13:$BL$162,BP5235,0))/100)))),0)</f>
        <v/>
      </c>
      <c r="BS5235">
        <f>IF(5222&lt;$U$9,SUMPRODUCT(($D$9:$L$9+INT(($S$12:$AA$12+INDEX($AJ$13:$AR$162,BN5235,0)+INDEX($AT$13:$BB$162,BO5235,0)+INDEX($BD$13:$BL$162,BP5235,0))/100))),0)</f>
        <v/>
      </c>
      <c r="BT5235">
        <f>IF(AND(5222&lt;$U$9,$W$5),BQ5235*1000000-MIN(BR5235,999)*1000+BS5235-5222/100000,-1000000000-5222)</f>
        <v/>
      </c>
    </row>
    <row r="5236">
      <c r="BN5236">
        <f>IF(5223&lt;$U$9,INT(5223/($U$7*$U$8))+1,1)</f>
        <v/>
      </c>
      <c r="BO5236">
        <f>IF(5223&lt;$U$9,MOD(INT(5223/$U$8),$U$7)+1,1)</f>
        <v/>
      </c>
      <c r="BP5236">
        <f>IF(5223&lt;$U$9,MOD(5223,$U$8)+1,1)</f>
        <v/>
      </c>
      <c r="BQ5236">
        <f>IF(5223&lt;$U$9,SUMPRODUCT(($D$10:$L$10&lt;&gt;"")*(($D$9:$L$9+INT(($S$12:$AA$12+INDEX($AJ$13:$AR$162,BN5236,0)+INDEX($AT$13:$BB$162,BO5236,0)+INDEX($BD$13:$BL$162,BP5236,0))/100))&gt;=$D$10:$L$10)),0)</f>
        <v/>
      </c>
      <c r="BR5236">
        <f>IF(5223&lt;$U$9,SUMPRODUCT(($D$10:$L$10&lt;&gt;"")*(($D$10:$L$10-($D$9:$L$9+INT(($S$12:$AA$12+INDEX($AJ$13:$AR$162,BN5236,0)+INDEX($AT$13:$BB$162,BO5236,0)+INDEX($BD$13:$BL$162,BP5236,0))/100)))&gt;0)*($D$10:$L$10-($D$9:$L$9+INT(($S$12:$AA$12+INDEX($AJ$13:$AR$162,BN5236,0)+INDEX($AT$13:$BB$162,BO5236,0)+INDEX($BD$13:$BL$162,BP5236,0))/100)))),0)</f>
        <v/>
      </c>
      <c r="BS5236">
        <f>IF(5223&lt;$U$9,SUMPRODUCT(($D$9:$L$9+INT(($S$12:$AA$12+INDEX($AJ$13:$AR$162,BN5236,0)+INDEX($AT$13:$BB$162,BO5236,0)+INDEX($BD$13:$BL$162,BP5236,0))/100))),0)</f>
        <v/>
      </c>
      <c r="BT5236">
        <f>IF(AND(5223&lt;$U$9,$W$5),BQ5236*1000000-MIN(BR5236,999)*1000+BS5236-5223/100000,-1000000000-5223)</f>
        <v/>
      </c>
    </row>
    <row r="5237">
      <c r="BN5237">
        <f>IF(5224&lt;$U$9,INT(5224/($U$7*$U$8))+1,1)</f>
        <v/>
      </c>
      <c r="BO5237">
        <f>IF(5224&lt;$U$9,MOD(INT(5224/$U$8),$U$7)+1,1)</f>
        <v/>
      </c>
      <c r="BP5237">
        <f>IF(5224&lt;$U$9,MOD(5224,$U$8)+1,1)</f>
        <v/>
      </c>
      <c r="BQ5237">
        <f>IF(5224&lt;$U$9,SUMPRODUCT(($D$10:$L$10&lt;&gt;"")*(($D$9:$L$9+INT(($S$12:$AA$12+INDEX($AJ$13:$AR$162,BN5237,0)+INDEX($AT$13:$BB$162,BO5237,0)+INDEX($BD$13:$BL$162,BP5237,0))/100))&gt;=$D$10:$L$10)),0)</f>
        <v/>
      </c>
      <c r="BR5237">
        <f>IF(5224&lt;$U$9,SUMPRODUCT(($D$10:$L$10&lt;&gt;"")*(($D$10:$L$10-($D$9:$L$9+INT(($S$12:$AA$12+INDEX($AJ$13:$AR$162,BN5237,0)+INDEX($AT$13:$BB$162,BO5237,0)+INDEX($BD$13:$BL$162,BP5237,0))/100)))&gt;0)*($D$10:$L$10-($D$9:$L$9+INT(($S$12:$AA$12+INDEX($AJ$13:$AR$162,BN5237,0)+INDEX($AT$13:$BB$162,BO5237,0)+INDEX($BD$13:$BL$162,BP5237,0))/100)))),0)</f>
        <v/>
      </c>
      <c r="BS5237">
        <f>IF(5224&lt;$U$9,SUMPRODUCT(($D$9:$L$9+INT(($S$12:$AA$12+INDEX($AJ$13:$AR$162,BN5237,0)+INDEX($AT$13:$BB$162,BO5237,0)+INDEX($BD$13:$BL$162,BP5237,0))/100))),0)</f>
        <v/>
      </c>
      <c r="BT5237">
        <f>IF(AND(5224&lt;$U$9,$W$5),BQ5237*1000000-MIN(BR5237,999)*1000+BS5237-5224/100000,-1000000000-5224)</f>
        <v/>
      </c>
    </row>
    <row r="5238">
      <c r="BN5238">
        <f>IF(5225&lt;$U$9,INT(5225/($U$7*$U$8))+1,1)</f>
        <v/>
      </c>
      <c r="BO5238">
        <f>IF(5225&lt;$U$9,MOD(INT(5225/$U$8),$U$7)+1,1)</f>
        <v/>
      </c>
      <c r="BP5238">
        <f>IF(5225&lt;$U$9,MOD(5225,$U$8)+1,1)</f>
        <v/>
      </c>
      <c r="BQ5238">
        <f>IF(5225&lt;$U$9,SUMPRODUCT(($D$10:$L$10&lt;&gt;"")*(($D$9:$L$9+INT(($S$12:$AA$12+INDEX($AJ$13:$AR$162,BN5238,0)+INDEX($AT$13:$BB$162,BO5238,0)+INDEX($BD$13:$BL$162,BP5238,0))/100))&gt;=$D$10:$L$10)),0)</f>
        <v/>
      </c>
      <c r="BR5238">
        <f>IF(5225&lt;$U$9,SUMPRODUCT(($D$10:$L$10&lt;&gt;"")*(($D$10:$L$10-($D$9:$L$9+INT(($S$12:$AA$12+INDEX($AJ$13:$AR$162,BN5238,0)+INDEX($AT$13:$BB$162,BO5238,0)+INDEX($BD$13:$BL$162,BP5238,0))/100)))&gt;0)*($D$10:$L$10-($D$9:$L$9+INT(($S$12:$AA$12+INDEX($AJ$13:$AR$162,BN5238,0)+INDEX($AT$13:$BB$162,BO5238,0)+INDEX($BD$13:$BL$162,BP5238,0))/100)))),0)</f>
        <v/>
      </c>
      <c r="BS5238">
        <f>IF(5225&lt;$U$9,SUMPRODUCT(($D$9:$L$9+INT(($S$12:$AA$12+INDEX($AJ$13:$AR$162,BN5238,0)+INDEX($AT$13:$BB$162,BO5238,0)+INDEX($BD$13:$BL$162,BP5238,0))/100))),0)</f>
        <v/>
      </c>
      <c r="BT5238">
        <f>IF(AND(5225&lt;$U$9,$W$5),BQ5238*1000000-MIN(BR5238,999)*1000+BS5238-5225/100000,-1000000000-5225)</f>
        <v/>
      </c>
    </row>
    <row r="5239">
      <c r="BN5239">
        <f>IF(5226&lt;$U$9,INT(5226/($U$7*$U$8))+1,1)</f>
        <v/>
      </c>
      <c r="BO5239">
        <f>IF(5226&lt;$U$9,MOD(INT(5226/$U$8),$U$7)+1,1)</f>
        <v/>
      </c>
      <c r="BP5239">
        <f>IF(5226&lt;$U$9,MOD(5226,$U$8)+1,1)</f>
        <v/>
      </c>
      <c r="BQ5239">
        <f>IF(5226&lt;$U$9,SUMPRODUCT(($D$10:$L$10&lt;&gt;"")*(($D$9:$L$9+INT(($S$12:$AA$12+INDEX($AJ$13:$AR$162,BN5239,0)+INDEX($AT$13:$BB$162,BO5239,0)+INDEX($BD$13:$BL$162,BP5239,0))/100))&gt;=$D$10:$L$10)),0)</f>
        <v/>
      </c>
      <c r="BR5239">
        <f>IF(5226&lt;$U$9,SUMPRODUCT(($D$10:$L$10&lt;&gt;"")*(($D$10:$L$10-($D$9:$L$9+INT(($S$12:$AA$12+INDEX($AJ$13:$AR$162,BN5239,0)+INDEX($AT$13:$BB$162,BO5239,0)+INDEX($BD$13:$BL$162,BP5239,0))/100)))&gt;0)*($D$10:$L$10-($D$9:$L$9+INT(($S$12:$AA$12+INDEX($AJ$13:$AR$162,BN5239,0)+INDEX($AT$13:$BB$162,BO5239,0)+INDEX($BD$13:$BL$162,BP5239,0))/100)))),0)</f>
        <v/>
      </c>
      <c r="BS5239">
        <f>IF(5226&lt;$U$9,SUMPRODUCT(($D$9:$L$9+INT(($S$12:$AA$12+INDEX($AJ$13:$AR$162,BN5239,0)+INDEX($AT$13:$BB$162,BO5239,0)+INDEX($BD$13:$BL$162,BP5239,0))/100))),0)</f>
        <v/>
      </c>
      <c r="BT5239">
        <f>IF(AND(5226&lt;$U$9,$W$5),BQ5239*1000000-MIN(BR5239,999)*1000+BS5239-5226/100000,-1000000000-5226)</f>
        <v/>
      </c>
    </row>
    <row r="5240">
      <c r="BN5240">
        <f>IF(5227&lt;$U$9,INT(5227/($U$7*$U$8))+1,1)</f>
        <v/>
      </c>
      <c r="BO5240">
        <f>IF(5227&lt;$U$9,MOD(INT(5227/$U$8),$U$7)+1,1)</f>
        <v/>
      </c>
      <c r="BP5240">
        <f>IF(5227&lt;$U$9,MOD(5227,$U$8)+1,1)</f>
        <v/>
      </c>
      <c r="BQ5240">
        <f>IF(5227&lt;$U$9,SUMPRODUCT(($D$10:$L$10&lt;&gt;"")*(($D$9:$L$9+INT(($S$12:$AA$12+INDEX($AJ$13:$AR$162,BN5240,0)+INDEX($AT$13:$BB$162,BO5240,0)+INDEX($BD$13:$BL$162,BP5240,0))/100))&gt;=$D$10:$L$10)),0)</f>
        <v/>
      </c>
      <c r="BR5240">
        <f>IF(5227&lt;$U$9,SUMPRODUCT(($D$10:$L$10&lt;&gt;"")*(($D$10:$L$10-($D$9:$L$9+INT(($S$12:$AA$12+INDEX($AJ$13:$AR$162,BN5240,0)+INDEX($AT$13:$BB$162,BO5240,0)+INDEX($BD$13:$BL$162,BP5240,0))/100)))&gt;0)*($D$10:$L$10-($D$9:$L$9+INT(($S$12:$AA$12+INDEX($AJ$13:$AR$162,BN5240,0)+INDEX($AT$13:$BB$162,BO5240,0)+INDEX($BD$13:$BL$162,BP5240,0))/100)))),0)</f>
        <v/>
      </c>
      <c r="BS5240">
        <f>IF(5227&lt;$U$9,SUMPRODUCT(($D$9:$L$9+INT(($S$12:$AA$12+INDEX($AJ$13:$AR$162,BN5240,0)+INDEX($AT$13:$BB$162,BO5240,0)+INDEX($BD$13:$BL$162,BP5240,0))/100))),0)</f>
        <v/>
      </c>
      <c r="BT5240">
        <f>IF(AND(5227&lt;$U$9,$W$5),BQ5240*1000000-MIN(BR5240,999)*1000+BS5240-5227/100000,-1000000000-5227)</f>
        <v/>
      </c>
    </row>
    <row r="5241">
      <c r="BN5241">
        <f>IF(5228&lt;$U$9,INT(5228/($U$7*$U$8))+1,1)</f>
        <v/>
      </c>
      <c r="BO5241">
        <f>IF(5228&lt;$U$9,MOD(INT(5228/$U$8),$U$7)+1,1)</f>
        <v/>
      </c>
      <c r="BP5241">
        <f>IF(5228&lt;$U$9,MOD(5228,$U$8)+1,1)</f>
        <v/>
      </c>
      <c r="BQ5241">
        <f>IF(5228&lt;$U$9,SUMPRODUCT(($D$10:$L$10&lt;&gt;"")*(($D$9:$L$9+INT(($S$12:$AA$12+INDEX($AJ$13:$AR$162,BN5241,0)+INDEX($AT$13:$BB$162,BO5241,0)+INDEX($BD$13:$BL$162,BP5241,0))/100))&gt;=$D$10:$L$10)),0)</f>
        <v/>
      </c>
      <c r="BR5241">
        <f>IF(5228&lt;$U$9,SUMPRODUCT(($D$10:$L$10&lt;&gt;"")*(($D$10:$L$10-($D$9:$L$9+INT(($S$12:$AA$12+INDEX($AJ$13:$AR$162,BN5241,0)+INDEX($AT$13:$BB$162,BO5241,0)+INDEX($BD$13:$BL$162,BP5241,0))/100)))&gt;0)*($D$10:$L$10-($D$9:$L$9+INT(($S$12:$AA$12+INDEX($AJ$13:$AR$162,BN5241,0)+INDEX($AT$13:$BB$162,BO5241,0)+INDEX($BD$13:$BL$162,BP5241,0))/100)))),0)</f>
        <v/>
      </c>
      <c r="BS5241">
        <f>IF(5228&lt;$U$9,SUMPRODUCT(($D$9:$L$9+INT(($S$12:$AA$12+INDEX($AJ$13:$AR$162,BN5241,0)+INDEX($AT$13:$BB$162,BO5241,0)+INDEX($BD$13:$BL$162,BP5241,0))/100))),0)</f>
        <v/>
      </c>
      <c r="BT5241">
        <f>IF(AND(5228&lt;$U$9,$W$5),BQ5241*1000000-MIN(BR5241,999)*1000+BS5241-5228/100000,-1000000000-5228)</f>
        <v/>
      </c>
    </row>
    <row r="5242">
      <c r="BN5242">
        <f>IF(5229&lt;$U$9,INT(5229/($U$7*$U$8))+1,1)</f>
        <v/>
      </c>
      <c r="BO5242">
        <f>IF(5229&lt;$U$9,MOD(INT(5229/$U$8),$U$7)+1,1)</f>
        <v/>
      </c>
      <c r="BP5242">
        <f>IF(5229&lt;$U$9,MOD(5229,$U$8)+1,1)</f>
        <v/>
      </c>
      <c r="BQ5242">
        <f>IF(5229&lt;$U$9,SUMPRODUCT(($D$10:$L$10&lt;&gt;"")*(($D$9:$L$9+INT(($S$12:$AA$12+INDEX($AJ$13:$AR$162,BN5242,0)+INDEX($AT$13:$BB$162,BO5242,0)+INDEX($BD$13:$BL$162,BP5242,0))/100))&gt;=$D$10:$L$10)),0)</f>
        <v/>
      </c>
      <c r="BR5242">
        <f>IF(5229&lt;$U$9,SUMPRODUCT(($D$10:$L$10&lt;&gt;"")*(($D$10:$L$10-($D$9:$L$9+INT(($S$12:$AA$12+INDEX($AJ$13:$AR$162,BN5242,0)+INDEX($AT$13:$BB$162,BO5242,0)+INDEX($BD$13:$BL$162,BP5242,0))/100)))&gt;0)*($D$10:$L$10-($D$9:$L$9+INT(($S$12:$AA$12+INDEX($AJ$13:$AR$162,BN5242,0)+INDEX($AT$13:$BB$162,BO5242,0)+INDEX($BD$13:$BL$162,BP5242,0))/100)))),0)</f>
        <v/>
      </c>
      <c r="BS5242">
        <f>IF(5229&lt;$U$9,SUMPRODUCT(($D$9:$L$9+INT(($S$12:$AA$12+INDEX($AJ$13:$AR$162,BN5242,0)+INDEX($AT$13:$BB$162,BO5242,0)+INDEX($BD$13:$BL$162,BP5242,0))/100))),0)</f>
        <v/>
      </c>
      <c r="BT5242">
        <f>IF(AND(5229&lt;$U$9,$W$5),BQ5242*1000000-MIN(BR5242,999)*1000+BS5242-5229/100000,-1000000000-5229)</f>
        <v/>
      </c>
    </row>
    <row r="5243">
      <c r="BN5243">
        <f>IF(5230&lt;$U$9,INT(5230/($U$7*$U$8))+1,1)</f>
        <v/>
      </c>
      <c r="BO5243">
        <f>IF(5230&lt;$U$9,MOD(INT(5230/$U$8),$U$7)+1,1)</f>
        <v/>
      </c>
      <c r="BP5243">
        <f>IF(5230&lt;$U$9,MOD(5230,$U$8)+1,1)</f>
        <v/>
      </c>
      <c r="BQ5243">
        <f>IF(5230&lt;$U$9,SUMPRODUCT(($D$10:$L$10&lt;&gt;"")*(($D$9:$L$9+INT(($S$12:$AA$12+INDEX($AJ$13:$AR$162,BN5243,0)+INDEX($AT$13:$BB$162,BO5243,0)+INDEX($BD$13:$BL$162,BP5243,0))/100))&gt;=$D$10:$L$10)),0)</f>
        <v/>
      </c>
      <c r="BR5243">
        <f>IF(5230&lt;$U$9,SUMPRODUCT(($D$10:$L$10&lt;&gt;"")*(($D$10:$L$10-($D$9:$L$9+INT(($S$12:$AA$12+INDEX($AJ$13:$AR$162,BN5243,0)+INDEX($AT$13:$BB$162,BO5243,0)+INDEX($BD$13:$BL$162,BP5243,0))/100)))&gt;0)*($D$10:$L$10-($D$9:$L$9+INT(($S$12:$AA$12+INDEX($AJ$13:$AR$162,BN5243,0)+INDEX($AT$13:$BB$162,BO5243,0)+INDEX($BD$13:$BL$162,BP5243,0))/100)))),0)</f>
        <v/>
      </c>
      <c r="BS5243">
        <f>IF(5230&lt;$U$9,SUMPRODUCT(($D$9:$L$9+INT(($S$12:$AA$12+INDEX($AJ$13:$AR$162,BN5243,0)+INDEX($AT$13:$BB$162,BO5243,0)+INDEX($BD$13:$BL$162,BP5243,0))/100))),0)</f>
        <v/>
      </c>
      <c r="BT5243">
        <f>IF(AND(5230&lt;$U$9,$W$5),BQ5243*1000000-MIN(BR5243,999)*1000+BS5243-5230/100000,-1000000000-5230)</f>
        <v/>
      </c>
    </row>
    <row r="5244">
      <c r="BN5244">
        <f>IF(5231&lt;$U$9,INT(5231/($U$7*$U$8))+1,1)</f>
        <v/>
      </c>
      <c r="BO5244">
        <f>IF(5231&lt;$U$9,MOD(INT(5231/$U$8),$U$7)+1,1)</f>
        <v/>
      </c>
      <c r="BP5244">
        <f>IF(5231&lt;$U$9,MOD(5231,$U$8)+1,1)</f>
        <v/>
      </c>
      <c r="BQ5244">
        <f>IF(5231&lt;$U$9,SUMPRODUCT(($D$10:$L$10&lt;&gt;"")*(($D$9:$L$9+INT(($S$12:$AA$12+INDEX($AJ$13:$AR$162,BN5244,0)+INDEX($AT$13:$BB$162,BO5244,0)+INDEX($BD$13:$BL$162,BP5244,0))/100))&gt;=$D$10:$L$10)),0)</f>
        <v/>
      </c>
      <c r="BR5244">
        <f>IF(5231&lt;$U$9,SUMPRODUCT(($D$10:$L$10&lt;&gt;"")*(($D$10:$L$10-($D$9:$L$9+INT(($S$12:$AA$12+INDEX($AJ$13:$AR$162,BN5244,0)+INDEX($AT$13:$BB$162,BO5244,0)+INDEX($BD$13:$BL$162,BP5244,0))/100)))&gt;0)*($D$10:$L$10-($D$9:$L$9+INT(($S$12:$AA$12+INDEX($AJ$13:$AR$162,BN5244,0)+INDEX($AT$13:$BB$162,BO5244,0)+INDEX($BD$13:$BL$162,BP5244,0))/100)))),0)</f>
        <v/>
      </c>
      <c r="BS5244">
        <f>IF(5231&lt;$U$9,SUMPRODUCT(($D$9:$L$9+INT(($S$12:$AA$12+INDEX($AJ$13:$AR$162,BN5244,0)+INDEX($AT$13:$BB$162,BO5244,0)+INDEX($BD$13:$BL$162,BP5244,0))/100))),0)</f>
        <v/>
      </c>
      <c r="BT5244">
        <f>IF(AND(5231&lt;$U$9,$W$5),BQ5244*1000000-MIN(BR5244,999)*1000+BS5244-5231/100000,-1000000000-5231)</f>
        <v/>
      </c>
    </row>
    <row r="5245">
      <c r="BN5245">
        <f>IF(5232&lt;$U$9,INT(5232/($U$7*$U$8))+1,1)</f>
        <v/>
      </c>
      <c r="BO5245">
        <f>IF(5232&lt;$U$9,MOD(INT(5232/$U$8),$U$7)+1,1)</f>
        <v/>
      </c>
      <c r="BP5245">
        <f>IF(5232&lt;$U$9,MOD(5232,$U$8)+1,1)</f>
        <v/>
      </c>
      <c r="BQ5245">
        <f>IF(5232&lt;$U$9,SUMPRODUCT(($D$10:$L$10&lt;&gt;"")*(($D$9:$L$9+INT(($S$12:$AA$12+INDEX($AJ$13:$AR$162,BN5245,0)+INDEX($AT$13:$BB$162,BO5245,0)+INDEX($BD$13:$BL$162,BP5245,0))/100))&gt;=$D$10:$L$10)),0)</f>
        <v/>
      </c>
      <c r="BR5245">
        <f>IF(5232&lt;$U$9,SUMPRODUCT(($D$10:$L$10&lt;&gt;"")*(($D$10:$L$10-($D$9:$L$9+INT(($S$12:$AA$12+INDEX($AJ$13:$AR$162,BN5245,0)+INDEX($AT$13:$BB$162,BO5245,0)+INDEX($BD$13:$BL$162,BP5245,0))/100)))&gt;0)*($D$10:$L$10-($D$9:$L$9+INT(($S$12:$AA$12+INDEX($AJ$13:$AR$162,BN5245,0)+INDEX($AT$13:$BB$162,BO5245,0)+INDEX($BD$13:$BL$162,BP5245,0))/100)))),0)</f>
        <v/>
      </c>
      <c r="BS5245">
        <f>IF(5232&lt;$U$9,SUMPRODUCT(($D$9:$L$9+INT(($S$12:$AA$12+INDEX($AJ$13:$AR$162,BN5245,0)+INDEX($AT$13:$BB$162,BO5245,0)+INDEX($BD$13:$BL$162,BP5245,0))/100))),0)</f>
        <v/>
      </c>
      <c r="BT5245">
        <f>IF(AND(5232&lt;$U$9,$W$5),BQ5245*1000000-MIN(BR5245,999)*1000+BS5245-5232/100000,-1000000000-5232)</f>
        <v/>
      </c>
    </row>
    <row r="5246">
      <c r="BN5246">
        <f>IF(5233&lt;$U$9,INT(5233/($U$7*$U$8))+1,1)</f>
        <v/>
      </c>
      <c r="BO5246">
        <f>IF(5233&lt;$U$9,MOD(INT(5233/$U$8),$U$7)+1,1)</f>
        <v/>
      </c>
      <c r="BP5246">
        <f>IF(5233&lt;$U$9,MOD(5233,$U$8)+1,1)</f>
        <v/>
      </c>
      <c r="BQ5246">
        <f>IF(5233&lt;$U$9,SUMPRODUCT(($D$10:$L$10&lt;&gt;"")*(($D$9:$L$9+INT(($S$12:$AA$12+INDEX($AJ$13:$AR$162,BN5246,0)+INDEX($AT$13:$BB$162,BO5246,0)+INDEX($BD$13:$BL$162,BP5246,0))/100))&gt;=$D$10:$L$10)),0)</f>
        <v/>
      </c>
      <c r="BR5246">
        <f>IF(5233&lt;$U$9,SUMPRODUCT(($D$10:$L$10&lt;&gt;"")*(($D$10:$L$10-($D$9:$L$9+INT(($S$12:$AA$12+INDEX($AJ$13:$AR$162,BN5246,0)+INDEX($AT$13:$BB$162,BO5246,0)+INDEX($BD$13:$BL$162,BP5246,0))/100)))&gt;0)*($D$10:$L$10-($D$9:$L$9+INT(($S$12:$AA$12+INDEX($AJ$13:$AR$162,BN5246,0)+INDEX($AT$13:$BB$162,BO5246,0)+INDEX($BD$13:$BL$162,BP5246,0))/100)))),0)</f>
        <v/>
      </c>
      <c r="BS5246">
        <f>IF(5233&lt;$U$9,SUMPRODUCT(($D$9:$L$9+INT(($S$12:$AA$12+INDEX($AJ$13:$AR$162,BN5246,0)+INDEX($AT$13:$BB$162,BO5246,0)+INDEX($BD$13:$BL$162,BP5246,0))/100))),0)</f>
        <v/>
      </c>
      <c r="BT5246">
        <f>IF(AND(5233&lt;$U$9,$W$5),BQ5246*1000000-MIN(BR5246,999)*1000+BS5246-5233/100000,-1000000000-5233)</f>
        <v/>
      </c>
    </row>
    <row r="5247">
      <c r="BN5247">
        <f>IF(5234&lt;$U$9,INT(5234/($U$7*$U$8))+1,1)</f>
        <v/>
      </c>
      <c r="BO5247">
        <f>IF(5234&lt;$U$9,MOD(INT(5234/$U$8),$U$7)+1,1)</f>
        <v/>
      </c>
      <c r="BP5247">
        <f>IF(5234&lt;$U$9,MOD(5234,$U$8)+1,1)</f>
        <v/>
      </c>
      <c r="BQ5247">
        <f>IF(5234&lt;$U$9,SUMPRODUCT(($D$10:$L$10&lt;&gt;"")*(($D$9:$L$9+INT(($S$12:$AA$12+INDEX($AJ$13:$AR$162,BN5247,0)+INDEX($AT$13:$BB$162,BO5247,0)+INDEX($BD$13:$BL$162,BP5247,0))/100))&gt;=$D$10:$L$10)),0)</f>
        <v/>
      </c>
      <c r="BR5247">
        <f>IF(5234&lt;$U$9,SUMPRODUCT(($D$10:$L$10&lt;&gt;"")*(($D$10:$L$10-($D$9:$L$9+INT(($S$12:$AA$12+INDEX($AJ$13:$AR$162,BN5247,0)+INDEX($AT$13:$BB$162,BO5247,0)+INDEX($BD$13:$BL$162,BP5247,0))/100)))&gt;0)*($D$10:$L$10-($D$9:$L$9+INT(($S$12:$AA$12+INDEX($AJ$13:$AR$162,BN5247,0)+INDEX($AT$13:$BB$162,BO5247,0)+INDEX($BD$13:$BL$162,BP5247,0))/100)))),0)</f>
        <v/>
      </c>
      <c r="BS5247">
        <f>IF(5234&lt;$U$9,SUMPRODUCT(($D$9:$L$9+INT(($S$12:$AA$12+INDEX($AJ$13:$AR$162,BN5247,0)+INDEX($AT$13:$BB$162,BO5247,0)+INDEX($BD$13:$BL$162,BP5247,0))/100))),0)</f>
        <v/>
      </c>
      <c r="BT5247">
        <f>IF(AND(5234&lt;$U$9,$W$5),BQ5247*1000000-MIN(BR5247,999)*1000+BS5247-5234/100000,-1000000000-5234)</f>
        <v/>
      </c>
    </row>
    <row r="5248">
      <c r="BN5248">
        <f>IF(5235&lt;$U$9,INT(5235/($U$7*$U$8))+1,1)</f>
        <v/>
      </c>
      <c r="BO5248">
        <f>IF(5235&lt;$U$9,MOD(INT(5235/$U$8),$U$7)+1,1)</f>
        <v/>
      </c>
      <c r="BP5248">
        <f>IF(5235&lt;$U$9,MOD(5235,$U$8)+1,1)</f>
        <v/>
      </c>
      <c r="BQ5248">
        <f>IF(5235&lt;$U$9,SUMPRODUCT(($D$10:$L$10&lt;&gt;"")*(($D$9:$L$9+INT(($S$12:$AA$12+INDEX($AJ$13:$AR$162,BN5248,0)+INDEX($AT$13:$BB$162,BO5248,0)+INDEX($BD$13:$BL$162,BP5248,0))/100))&gt;=$D$10:$L$10)),0)</f>
        <v/>
      </c>
      <c r="BR5248">
        <f>IF(5235&lt;$U$9,SUMPRODUCT(($D$10:$L$10&lt;&gt;"")*(($D$10:$L$10-($D$9:$L$9+INT(($S$12:$AA$12+INDEX($AJ$13:$AR$162,BN5248,0)+INDEX($AT$13:$BB$162,BO5248,0)+INDEX($BD$13:$BL$162,BP5248,0))/100)))&gt;0)*($D$10:$L$10-($D$9:$L$9+INT(($S$12:$AA$12+INDEX($AJ$13:$AR$162,BN5248,0)+INDEX($AT$13:$BB$162,BO5248,0)+INDEX($BD$13:$BL$162,BP5248,0))/100)))),0)</f>
        <v/>
      </c>
      <c r="BS5248">
        <f>IF(5235&lt;$U$9,SUMPRODUCT(($D$9:$L$9+INT(($S$12:$AA$12+INDEX($AJ$13:$AR$162,BN5248,0)+INDEX($AT$13:$BB$162,BO5248,0)+INDEX($BD$13:$BL$162,BP5248,0))/100))),0)</f>
        <v/>
      </c>
      <c r="BT5248">
        <f>IF(AND(5235&lt;$U$9,$W$5),BQ5248*1000000-MIN(BR5248,999)*1000+BS5248-5235/100000,-1000000000-5235)</f>
        <v/>
      </c>
    </row>
    <row r="5249">
      <c r="BN5249">
        <f>IF(5236&lt;$U$9,INT(5236/($U$7*$U$8))+1,1)</f>
        <v/>
      </c>
      <c r="BO5249">
        <f>IF(5236&lt;$U$9,MOD(INT(5236/$U$8),$U$7)+1,1)</f>
        <v/>
      </c>
      <c r="BP5249">
        <f>IF(5236&lt;$U$9,MOD(5236,$U$8)+1,1)</f>
        <v/>
      </c>
      <c r="BQ5249">
        <f>IF(5236&lt;$U$9,SUMPRODUCT(($D$10:$L$10&lt;&gt;"")*(($D$9:$L$9+INT(($S$12:$AA$12+INDEX($AJ$13:$AR$162,BN5249,0)+INDEX($AT$13:$BB$162,BO5249,0)+INDEX($BD$13:$BL$162,BP5249,0))/100))&gt;=$D$10:$L$10)),0)</f>
        <v/>
      </c>
      <c r="BR5249">
        <f>IF(5236&lt;$U$9,SUMPRODUCT(($D$10:$L$10&lt;&gt;"")*(($D$10:$L$10-($D$9:$L$9+INT(($S$12:$AA$12+INDEX($AJ$13:$AR$162,BN5249,0)+INDEX($AT$13:$BB$162,BO5249,0)+INDEX($BD$13:$BL$162,BP5249,0))/100)))&gt;0)*($D$10:$L$10-($D$9:$L$9+INT(($S$12:$AA$12+INDEX($AJ$13:$AR$162,BN5249,0)+INDEX($AT$13:$BB$162,BO5249,0)+INDEX($BD$13:$BL$162,BP5249,0))/100)))),0)</f>
        <v/>
      </c>
      <c r="BS5249">
        <f>IF(5236&lt;$U$9,SUMPRODUCT(($D$9:$L$9+INT(($S$12:$AA$12+INDEX($AJ$13:$AR$162,BN5249,0)+INDEX($AT$13:$BB$162,BO5249,0)+INDEX($BD$13:$BL$162,BP5249,0))/100))),0)</f>
        <v/>
      </c>
      <c r="BT5249">
        <f>IF(AND(5236&lt;$U$9,$W$5),BQ5249*1000000-MIN(BR5249,999)*1000+BS5249-5236/100000,-1000000000-5236)</f>
        <v/>
      </c>
    </row>
    <row r="5250">
      <c r="BN5250">
        <f>IF(5237&lt;$U$9,INT(5237/($U$7*$U$8))+1,1)</f>
        <v/>
      </c>
      <c r="BO5250">
        <f>IF(5237&lt;$U$9,MOD(INT(5237/$U$8),$U$7)+1,1)</f>
        <v/>
      </c>
      <c r="BP5250">
        <f>IF(5237&lt;$U$9,MOD(5237,$U$8)+1,1)</f>
        <v/>
      </c>
      <c r="BQ5250">
        <f>IF(5237&lt;$U$9,SUMPRODUCT(($D$10:$L$10&lt;&gt;"")*(($D$9:$L$9+INT(($S$12:$AA$12+INDEX($AJ$13:$AR$162,BN5250,0)+INDEX($AT$13:$BB$162,BO5250,0)+INDEX($BD$13:$BL$162,BP5250,0))/100))&gt;=$D$10:$L$10)),0)</f>
        <v/>
      </c>
      <c r="BR5250">
        <f>IF(5237&lt;$U$9,SUMPRODUCT(($D$10:$L$10&lt;&gt;"")*(($D$10:$L$10-($D$9:$L$9+INT(($S$12:$AA$12+INDEX($AJ$13:$AR$162,BN5250,0)+INDEX($AT$13:$BB$162,BO5250,0)+INDEX($BD$13:$BL$162,BP5250,0))/100)))&gt;0)*($D$10:$L$10-($D$9:$L$9+INT(($S$12:$AA$12+INDEX($AJ$13:$AR$162,BN5250,0)+INDEX($AT$13:$BB$162,BO5250,0)+INDEX($BD$13:$BL$162,BP5250,0))/100)))),0)</f>
        <v/>
      </c>
      <c r="BS5250">
        <f>IF(5237&lt;$U$9,SUMPRODUCT(($D$9:$L$9+INT(($S$12:$AA$12+INDEX($AJ$13:$AR$162,BN5250,0)+INDEX($AT$13:$BB$162,BO5250,0)+INDEX($BD$13:$BL$162,BP5250,0))/100))),0)</f>
        <v/>
      </c>
      <c r="BT5250">
        <f>IF(AND(5237&lt;$U$9,$W$5),BQ5250*1000000-MIN(BR5250,999)*1000+BS5250-5237/100000,-1000000000-5237)</f>
        <v/>
      </c>
    </row>
    <row r="5251">
      <c r="BN5251">
        <f>IF(5238&lt;$U$9,INT(5238/($U$7*$U$8))+1,1)</f>
        <v/>
      </c>
      <c r="BO5251">
        <f>IF(5238&lt;$U$9,MOD(INT(5238/$U$8),$U$7)+1,1)</f>
        <v/>
      </c>
      <c r="BP5251">
        <f>IF(5238&lt;$U$9,MOD(5238,$U$8)+1,1)</f>
        <v/>
      </c>
      <c r="BQ5251">
        <f>IF(5238&lt;$U$9,SUMPRODUCT(($D$10:$L$10&lt;&gt;"")*(($D$9:$L$9+INT(($S$12:$AA$12+INDEX($AJ$13:$AR$162,BN5251,0)+INDEX($AT$13:$BB$162,BO5251,0)+INDEX($BD$13:$BL$162,BP5251,0))/100))&gt;=$D$10:$L$10)),0)</f>
        <v/>
      </c>
      <c r="BR5251">
        <f>IF(5238&lt;$U$9,SUMPRODUCT(($D$10:$L$10&lt;&gt;"")*(($D$10:$L$10-($D$9:$L$9+INT(($S$12:$AA$12+INDEX($AJ$13:$AR$162,BN5251,0)+INDEX($AT$13:$BB$162,BO5251,0)+INDEX($BD$13:$BL$162,BP5251,0))/100)))&gt;0)*($D$10:$L$10-($D$9:$L$9+INT(($S$12:$AA$12+INDEX($AJ$13:$AR$162,BN5251,0)+INDEX($AT$13:$BB$162,BO5251,0)+INDEX($BD$13:$BL$162,BP5251,0))/100)))),0)</f>
        <v/>
      </c>
      <c r="BS5251">
        <f>IF(5238&lt;$U$9,SUMPRODUCT(($D$9:$L$9+INT(($S$12:$AA$12+INDEX($AJ$13:$AR$162,BN5251,0)+INDEX($AT$13:$BB$162,BO5251,0)+INDEX($BD$13:$BL$162,BP5251,0))/100))),0)</f>
        <v/>
      </c>
      <c r="BT5251">
        <f>IF(AND(5238&lt;$U$9,$W$5),BQ5251*1000000-MIN(BR5251,999)*1000+BS5251-5238/100000,-1000000000-5238)</f>
        <v/>
      </c>
    </row>
    <row r="5252">
      <c r="BN5252">
        <f>IF(5239&lt;$U$9,INT(5239/($U$7*$U$8))+1,1)</f>
        <v/>
      </c>
      <c r="BO5252">
        <f>IF(5239&lt;$U$9,MOD(INT(5239/$U$8),$U$7)+1,1)</f>
        <v/>
      </c>
      <c r="BP5252">
        <f>IF(5239&lt;$U$9,MOD(5239,$U$8)+1,1)</f>
        <v/>
      </c>
      <c r="BQ5252">
        <f>IF(5239&lt;$U$9,SUMPRODUCT(($D$10:$L$10&lt;&gt;"")*(($D$9:$L$9+INT(($S$12:$AA$12+INDEX($AJ$13:$AR$162,BN5252,0)+INDEX($AT$13:$BB$162,BO5252,0)+INDEX($BD$13:$BL$162,BP5252,0))/100))&gt;=$D$10:$L$10)),0)</f>
        <v/>
      </c>
      <c r="BR5252">
        <f>IF(5239&lt;$U$9,SUMPRODUCT(($D$10:$L$10&lt;&gt;"")*(($D$10:$L$10-($D$9:$L$9+INT(($S$12:$AA$12+INDEX($AJ$13:$AR$162,BN5252,0)+INDEX($AT$13:$BB$162,BO5252,0)+INDEX($BD$13:$BL$162,BP5252,0))/100)))&gt;0)*($D$10:$L$10-($D$9:$L$9+INT(($S$12:$AA$12+INDEX($AJ$13:$AR$162,BN5252,0)+INDEX($AT$13:$BB$162,BO5252,0)+INDEX($BD$13:$BL$162,BP5252,0))/100)))),0)</f>
        <v/>
      </c>
      <c r="BS5252">
        <f>IF(5239&lt;$U$9,SUMPRODUCT(($D$9:$L$9+INT(($S$12:$AA$12+INDEX($AJ$13:$AR$162,BN5252,0)+INDEX($AT$13:$BB$162,BO5252,0)+INDEX($BD$13:$BL$162,BP5252,0))/100))),0)</f>
        <v/>
      </c>
      <c r="BT5252">
        <f>IF(AND(5239&lt;$U$9,$W$5),BQ5252*1000000-MIN(BR5252,999)*1000+BS5252-5239/100000,-1000000000-5239)</f>
        <v/>
      </c>
    </row>
    <row r="5253">
      <c r="BN5253">
        <f>IF(5240&lt;$U$9,INT(5240/($U$7*$U$8))+1,1)</f>
        <v/>
      </c>
      <c r="BO5253">
        <f>IF(5240&lt;$U$9,MOD(INT(5240/$U$8),$U$7)+1,1)</f>
        <v/>
      </c>
      <c r="BP5253">
        <f>IF(5240&lt;$U$9,MOD(5240,$U$8)+1,1)</f>
        <v/>
      </c>
      <c r="BQ5253">
        <f>IF(5240&lt;$U$9,SUMPRODUCT(($D$10:$L$10&lt;&gt;"")*(($D$9:$L$9+INT(($S$12:$AA$12+INDEX($AJ$13:$AR$162,BN5253,0)+INDEX($AT$13:$BB$162,BO5253,0)+INDEX($BD$13:$BL$162,BP5253,0))/100))&gt;=$D$10:$L$10)),0)</f>
        <v/>
      </c>
      <c r="BR5253">
        <f>IF(5240&lt;$U$9,SUMPRODUCT(($D$10:$L$10&lt;&gt;"")*(($D$10:$L$10-($D$9:$L$9+INT(($S$12:$AA$12+INDEX($AJ$13:$AR$162,BN5253,0)+INDEX($AT$13:$BB$162,BO5253,0)+INDEX($BD$13:$BL$162,BP5253,0))/100)))&gt;0)*($D$10:$L$10-($D$9:$L$9+INT(($S$12:$AA$12+INDEX($AJ$13:$AR$162,BN5253,0)+INDEX($AT$13:$BB$162,BO5253,0)+INDEX($BD$13:$BL$162,BP5253,0))/100)))),0)</f>
        <v/>
      </c>
      <c r="BS5253">
        <f>IF(5240&lt;$U$9,SUMPRODUCT(($D$9:$L$9+INT(($S$12:$AA$12+INDEX($AJ$13:$AR$162,BN5253,0)+INDEX($AT$13:$BB$162,BO5253,0)+INDEX($BD$13:$BL$162,BP5253,0))/100))),0)</f>
        <v/>
      </c>
      <c r="BT5253">
        <f>IF(AND(5240&lt;$U$9,$W$5),BQ5253*1000000-MIN(BR5253,999)*1000+BS5253-5240/100000,-1000000000-5240)</f>
        <v/>
      </c>
    </row>
    <row r="5254">
      <c r="BN5254">
        <f>IF(5241&lt;$U$9,INT(5241/($U$7*$U$8))+1,1)</f>
        <v/>
      </c>
      <c r="BO5254">
        <f>IF(5241&lt;$U$9,MOD(INT(5241/$U$8),$U$7)+1,1)</f>
        <v/>
      </c>
      <c r="BP5254">
        <f>IF(5241&lt;$U$9,MOD(5241,$U$8)+1,1)</f>
        <v/>
      </c>
      <c r="BQ5254">
        <f>IF(5241&lt;$U$9,SUMPRODUCT(($D$10:$L$10&lt;&gt;"")*(($D$9:$L$9+INT(($S$12:$AA$12+INDEX($AJ$13:$AR$162,BN5254,0)+INDEX($AT$13:$BB$162,BO5254,0)+INDEX($BD$13:$BL$162,BP5254,0))/100))&gt;=$D$10:$L$10)),0)</f>
        <v/>
      </c>
      <c r="BR5254">
        <f>IF(5241&lt;$U$9,SUMPRODUCT(($D$10:$L$10&lt;&gt;"")*(($D$10:$L$10-($D$9:$L$9+INT(($S$12:$AA$12+INDEX($AJ$13:$AR$162,BN5254,0)+INDEX($AT$13:$BB$162,BO5254,0)+INDEX($BD$13:$BL$162,BP5254,0))/100)))&gt;0)*($D$10:$L$10-($D$9:$L$9+INT(($S$12:$AA$12+INDEX($AJ$13:$AR$162,BN5254,0)+INDEX($AT$13:$BB$162,BO5254,0)+INDEX($BD$13:$BL$162,BP5254,0))/100)))),0)</f>
        <v/>
      </c>
      <c r="BS5254">
        <f>IF(5241&lt;$U$9,SUMPRODUCT(($D$9:$L$9+INT(($S$12:$AA$12+INDEX($AJ$13:$AR$162,BN5254,0)+INDEX($AT$13:$BB$162,BO5254,0)+INDEX($BD$13:$BL$162,BP5254,0))/100))),0)</f>
        <v/>
      </c>
      <c r="BT5254">
        <f>IF(AND(5241&lt;$U$9,$W$5),BQ5254*1000000-MIN(BR5254,999)*1000+BS5254-5241/100000,-1000000000-5241)</f>
        <v/>
      </c>
    </row>
    <row r="5255">
      <c r="BN5255">
        <f>IF(5242&lt;$U$9,INT(5242/($U$7*$U$8))+1,1)</f>
        <v/>
      </c>
      <c r="BO5255">
        <f>IF(5242&lt;$U$9,MOD(INT(5242/$U$8),$U$7)+1,1)</f>
        <v/>
      </c>
      <c r="BP5255">
        <f>IF(5242&lt;$U$9,MOD(5242,$U$8)+1,1)</f>
        <v/>
      </c>
      <c r="BQ5255">
        <f>IF(5242&lt;$U$9,SUMPRODUCT(($D$10:$L$10&lt;&gt;"")*(($D$9:$L$9+INT(($S$12:$AA$12+INDEX($AJ$13:$AR$162,BN5255,0)+INDEX($AT$13:$BB$162,BO5255,0)+INDEX($BD$13:$BL$162,BP5255,0))/100))&gt;=$D$10:$L$10)),0)</f>
        <v/>
      </c>
      <c r="BR5255">
        <f>IF(5242&lt;$U$9,SUMPRODUCT(($D$10:$L$10&lt;&gt;"")*(($D$10:$L$10-($D$9:$L$9+INT(($S$12:$AA$12+INDEX($AJ$13:$AR$162,BN5255,0)+INDEX($AT$13:$BB$162,BO5255,0)+INDEX($BD$13:$BL$162,BP5255,0))/100)))&gt;0)*($D$10:$L$10-($D$9:$L$9+INT(($S$12:$AA$12+INDEX($AJ$13:$AR$162,BN5255,0)+INDEX($AT$13:$BB$162,BO5255,0)+INDEX($BD$13:$BL$162,BP5255,0))/100)))),0)</f>
        <v/>
      </c>
      <c r="BS5255">
        <f>IF(5242&lt;$U$9,SUMPRODUCT(($D$9:$L$9+INT(($S$12:$AA$12+INDEX($AJ$13:$AR$162,BN5255,0)+INDEX($AT$13:$BB$162,BO5255,0)+INDEX($BD$13:$BL$162,BP5255,0))/100))),0)</f>
        <v/>
      </c>
      <c r="BT5255">
        <f>IF(AND(5242&lt;$U$9,$W$5),BQ5255*1000000-MIN(BR5255,999)*1000+BS5255-5242/100000,-1000000000-5242)</f>
        <v/>
      </c>
    </row>
    <row r="5256">
      <c r="BN5256">
        <f>IF(5243&lt;$U$9,INT(5243/($U$7*$U$8))+1,1)</f>
        <v/>
      </c>
      <c r="BO5256">
        <f>IF(5243&lt;$U$9,MOD(INT(5243/$U$8),$U$7)+1,1)</f>
        <v/>
      </c>
      <c r="BP5256">
        <f>IF(5243&lt;$U$9,MOD(5243,$U$8)+1,1)</f>
        <v/>
      </c>
      <c r="BQ5256">
        <f>IF(5243&lt;$U$9,SUMPRODUCT(($D$10:$L$10&lt;&gt;"")*(($D$9:$L$9+INT(($S$12:$AA$12+INDEX($AJ$13:$AR$162,BN5256,0)+INDEX($AT$13:$BB$162,BO5256,0)+INDEX($BD$13:$BL$162,BP5256,0))/100))&gt;=$D$10:$L$10)),0)</f>
        <v/>
      </c>
      <c r="BR5256">
        <f>IF(5243&lt;$U$9,SUMPRODUCT(($D$10:$L$10&lt;&gt;"")*(($D$10:$L$10-($D$9:$L$9+INT(($S$12:$AA$12+INDEX($AJ$13:$AR$162,BN5256,0)+INDEX($AT$13:$BB$162,BO5256,0)+INDEX($BD$13:$BL$162,BP5256,0))/100)))&gt;0)*($D$10:$L$10-($D$9:$L$9+INT(($S$12:$AA$12+INDEX($AJ$13:$AR$162,BN5256,0)+INDEX($AT$13:$BB$162,BO5256,0)+INDEX($BD$13:$BL$162,BP5256,0))/100)))),0)</f>
        <v/>
      </c>
      <c r="BS5256">
        <f>IF(5243&lt;$U$9,SUMPRODUCT(($D$9:$L$9+INT(($S$12:$AA$12+INDEX($AJ$13:$AR$162,BN5256,0)+INDEX($AT$13:$BB$162,BO5256,0)+INDEX($BD$13:$BL$162,BP5256,0))/100))),0)</f>
        <v/>
      </c>
      <c r="BT5256">
        <f>IF(AND(5243&lt;$U$9,$W$5),BQ5256*1000000-MIN(BR5256,999)*1000+BS5256-5243/100000,-1000000000-5243)</f>
        <v/>
      </c>
    </row>
    <row r="5257">
      <c r="BN5257">
        <f>IF(5244&lt;$U$9,INT(5244/($U$7*$U$8))+1,1)</f>
        <v/>
      </c>
      <c r="BO5257">
        <f>IF(5244&lt;$U$9,MOD(INT(5244/$U$8),$U$7)+1,1)</f>
        <v/>
      </c>
      <c r="BP5257">
        <f>IF(5244&lt;$U$9,MOD(5244,$U$8)+1,1)</f>
        <v/>
      </c>
      <c r="BQ5257">
        <f>IF(5244&lt;$U$9,SUMPRODUCT(($D$10:$L$10&lt;&gt;"")*(($D$9:$L$9+INT(($S$12:$AA$12+INDEX($AJ$13:$AR$162,BN5257,0)+INDEX($AT$13:$BB$162,BO5257,0)+INDEX($BD$13:$BL$162,BP5257,0))/100))&gt;=$D$10:$L$10)),0)</f>
        <v/>
      </c>
      <c r="BR5257">
        <f>IF(5244&lt;$U$9,SUMPRODUCT(($D$10:$L$10&lt;&gt;"")*(($D$10:$L$10-($D$9:$L$9+INT(($S$12:$AA$12+INDEX($AJ$13:$AR$162,BN5257,0)+INDEX($AT$13:$BB$162,BO5257,0)+INDEX($BD$13:$BL$162,BP5257,0))/100)))&gt;0)*($D$10:$L$10-($D$9:$L$9+INT(($S$12:$AA$12+INDEX($AJ$13:$AR$162,BN5257,0)+INDEX($AT$13:$BB$162,BO5257,0)+INDEX($BD$13:$BL$162,BP5257,0))/100)))),0)</f>
        <v/>
      </c>
      <c r="BS5257">
        <f>IF(5244&lt;$U$9,SUMPRODUCT(($D$9:$L$9+INT(($S$12:$AA$12+INDEX($AJ$13:$AR$162,BN5257,0)+INDEX($AT$13:$BB$162,BO5257,0)+INDEX($BD$13:$BL$162,BP5257,0))/100))),0)</f>
        <v/>
      </c>
      <c r="BT5257">
        <f>IF(AND(5244&lt;$U$9,$W$5),BQ5257*1000000-MIN(BR5257,999)*1000+BS5257-5244/100000,-1000000000-5244)</f>
        <v/>
      </c>
    </row>
    <row r="5258">
      <c r="BN5258">
        <f>IF(5245&lt;$U$9,INT(5245/($U$7*$U$8))+1,1)</f>
        <v/>
      </c>
      <c r="BO5258">
        <f>IF(5245&lt;$U$9,MOD(INT(5245/$U$8),$U$7)+1,1)</f>
        <v/>
      </c>
      <c r="BP5258">
        <f>IF(5245&lt;$U$9,MOD(5245,$U$8)+1,1)</f>
        <v/>
      </c>
      <c r="BQ5258">
        <f>IF(5245&lt;$U$9,SUMPRODUCT(($D$10:$L$10&lt;&gt;"")*(($D$9:$L$9+INT(($S$12:$AA$12+INDEX($AJ$13:$AR$162,BN5258,0)+INDEX($AT$13:$BB$162,BO5258,0)+INDEX($BD$13:$BL$162,BP5258,0))/100))&gt;=$D$10:$L$10)),0)</f>
        <v/>
      </c>
      <c r="BR5258">
        <f>IF(5245&lt;$U$9,SUMPRODUCT(($D$10:$L$10&lt;&gt;"")*(($D$10:$L$10-($D$9:$L$9+INT(($S$12:$AA$12+INDEX($AJ$13:$AR$162,BN5258,0)+INDEX($AT$13:$BB$162,BO5258,0)+INDEX($BD$13:$BL$162,BP5258,0))/100)))&gt;0)*($D$10:$L$10-($D$9:$L$9+INT(($S$12:$AA$12+INDEX($AJ$13:$AR$162,BN5258,0)+INDEX($AT$13:$BB$162,BO5258,0)+INDEX($BD$13:$BL$162,BP5258,0))/100)))),0)</f>
        <v/>
      </c>
      <c r="BS5258">
        <f>IF(5245&lt;$U$9,SUMPRODUCT(($D$9:$L$9+INT(($S$12:$AA$12+INDEX($AJ$13:$AR$162,BN5258,0)+INDEX($AT$13:$BB$162,BO5258,0)+INDEX($BD$13:$BL$162,BP5258,0))/100))),0)</f>
        <v/>
      </c>
      <c r="BT5258">
        <f>IF(AND(5245&lt;$U$9,$W$5),BQ5258*1000000-MIN(BR5258,999)*1000+BS5258-5245/100000,-1000000000-5245)</f>
        <v/>
      </c>
    </row>
    <row r="5259">
      <c r="BN5259">
        <f>IF(5246&lt;$U$9,INT(5246/($U$7*$U$8))+1,1)</f>
        <v/>
      </c>
      <c r="BO5259">
        <f>IF(5246&lt;$U$9,MOD(INT(5246/$U$8),$U$7)+1,1)</f>
        <v/>
      </c>
      <c r="BP5259">
        <f>IF(5246&lt;$U$9,MOD(5246,$U$8)+1,1)</f>
        <v/>
      </c>
      <c r="BQ5259">
        <f>IF(5246&lt;$U$9,SUMPRODUCT(($D$10:$L$10&lt;&gt;"")*(($D$9:$L$9+INT(($S$12:$AA$12+INDEX($AJ$13:$AR$162,BN5259,0)+INDEX($AT$13:$BB$162,BO5259,0)+INDEX($BD$13:$BL$162,BP5259,0))/100))&gt;=$D$10:$L$10)),0)</f>
        <v/>
      </c>
      <c r="BR5259">
        <f>IF(5246&lt;$U$9,SUMPRODUCT(($D$10:$L$10&lt;&gt;"")*(($D$10:$L$10-($D$9:$L$9+INT(($S$12:$AA$12+INDEX($AJ$13:$AR$162,BN5259,0)+INDEX($AT$13:$BB$162,BO5259,0)+INDEX($BD$13:$BL$162,BP5259,0))/100)))&gt;0)*($D$10:$L$10-($D$9:$L$9+INT(($S$12:$AA$12+INDEX($AJ$13:$AR$162,BN5259,0)+INDEX($AT$13:$BB$162,BO5259,0)+INDEX($BD$13:$BL$162,BP5259,0))/100)))),0)</f>
        <v/>
      </c>
      <c r="BS5259">
        <f>IF(5246&lt;$U$9,SUMPRODUCT(($D$9:$L$9+INT(($S$12:$AA$12+INDEX($AJ$13:$AR$162,BN5259,0)+INDEX($AT$13:$BB$162,BO5259,0)+INDEX($BD$13:$BL$162,BP5259,0))/100))),0)</f>
        <v/>
      </c>
      <c r="BT5259">
        <f>IF(AND(5246&lt;$U$9,$W$5),BQ5259*1000000-MIN(BR5259,999)*1000+BS5259-5246/100000,-1000000000-5246)</f>
        <v/>
      </c>
    </row>
    <row r="5260">
      <c r="BN5260">
        <f>IF(5247&lt;$U$9,INT(5247/($U$7*$U$8))+1,1)</f>
        <v/>
      </c>
      <c r="BO5260">
        <f>IF(5247&lt;$U$9,MOD(INT(5247/$U$8),$U$7)+1,1)</f>
        <v/>
      </c>
      <c r="BP5260">
        <f>IF(5247&lt;$U$9,MOD(5247,$U$8)+1,1)</f>
        <v/>
      </c>
      <c r="BQ5260">
        <f>IF(5247&lt;$U$9,SUMPRODUCT(($D$10:$L$10&lt;&gt;"")*(($D$9:$L$9+INT(($S$12:$AA$12+INDEX($AJ$13:$AR$162,BN5260,0)+INDEX($AT$13:$BB$162,BO5260,0)+INDEX($BD$13:$BL$162,BP5260,0))/100))&gt;=$D$10:$L$10)),0)</f>
        <v/>
      </c>
      <c r="BR5260">
        <f>IF(5247&lt;$U$9,SUMPRODUCT(($D$10:$L$10&lt;&gt;"")*(($D$10:$L$10-($D$9:$L$9+INT(($S$12:$AA$12+INDEX($AJ$13:$AR$162,BN5260,0)+INDEX($AT$13:$BB$162,BO5260,0)+INDEX($BD$13:$BL$162,BP5260,0))/100)))&gt;0)*($D$10:$L$10-($D$9:$L$9+INT(($S$12:$AA$12+INDEX($AJ$13:$AR$162,BN5260,0)+INDEX($AT$13:$BB$162,BO5260,0)+INDEX($BD$13:$BL$162,BP5260,0))/100)))),0)</f>
        <v/>
      </c>
      <c r="BS5260">
        <f>IF(5247&lt;$U$9,SUMPRODUCT(($D$9:$L$9+INT(($S$12:$AA$12+INDEX($AJ$13:$AR$162,BN5260,0)+INDEX($AT$13:$BB$162,BO5260,0)+INDEX($BD$13:$BL$162,BP5260,0))/100))),0)</f>
        <v/>
      </c>
      <c r="BT5260">
        <f>IF(AND(5247&lt;$U$9,$W$5),BQ5260*1000000-MIN(BR5260,999)*1000+BS5260-5247/100000,-1000000000-5247)</f>
        <v/>
      </c>
    </row>
    <row r="5261">
      <c r="BN5261">
        <f>IF(5248&lt;$U$9,INT(5248/($U$7*$U$8))+1,1)</f>
        <v/>
      </c>
      <c r="BO5261">
        <f>IF(5248&lt;$U$9,MOD(INT(5248/$U$8),$U$7)+1,1)</f>
        <v/>
      </c>
      <c r="BP5261">
        <f>IF(5248&lt;$U$9,MOD(5248,$U$8)+1,1)</f>
        <v/>
      </c>
      <c r="BQ5261">
        <f>IF(5248&lt;$U$9,SUMPRODUCT(($D$10:$L$10&lt;&gt;"")*(($D$9:$L$9+INT(($S$12:$AA$12+INDEX($AJ$13:$AR$162,BN5261,0)+INDEX($AT$13:$BB$162,BO5261,0)+INDEX($BD$13:$BL$162,BP5261,0))/100))&gt;=$D$10:$L$10)),0)</f>
        <v/>
      </c>
      <c r="BR5261">
        <f>IF(5248&lt;$U$9,SUMPRODUCT(($D$10:$L$10&lt;&gt;"")*(($D$10:$L$10-($D$9:$L$9+INT(($S$12:$AA$12+INDEX($AJ$13:$AR$162,BN5261,0)+INDEX($AT$13:$BB$162,BO5261,0)+INDEX($BD$13:$BL$162,BP5261,0))/100)))&gt;0)*($D$10:$L$10-($D$9:$L$9+INT(($S$12:$AA$12+INDEX($AJ$13:$AR$162,BN5261,0)+INDEX($AT$13:$BB$162,BO5261,0)+INDEX($BD$13:$BL$162,BP5261,0))/100)))),0)</f>
        <v/>
      </c>
      <c r="BS5261">
        <f>IF(5248&lt;$U$9,SUMPRODUCT(($D$9:$L$9+INT(($S$12:$AA$12+INDEX($AJ$13:$AR$162,BN5261,0)+INDEX($AT$13:$BB$162,BO5261,0)+INDEX($BD$13:$BL$162,BP5261,0))/100))),0)</f>
        <v/>
      </c>
      <c r="BT5261">
        <f>IF(AND(5248&lt;$U$9,$W$5),BQ5261*1000000-MIN(BR5261,999)*1000+BS5261-5248/100000,-1000000000-5248)</f>
        <v/>
      </c>
    </row>
    <row r="5262">
      <c r="BN5262">
        <f>IF(5249&lt;$U$9,INT(5249/($U$7*$U$8))+1,1)</f>
        <v/>
      </c>
      <c r="BO5262">
        <f>IF(5249&lt;$U$9,MOD(INT(5249/$U$8),$U$7)+1,1)</f>
        <v/>
      </c>
      <c r="BP5262">
        <f>IF(5249&lt;$U$9,MOD(5249,$U$8)+1,1)</f>
        <v/>
      </c>
      <c r="BQ5262">
        <f>IF(5249&lt;$U$9,SUMPRODUCT(($D$10:$L$10&lt;&gt;"")*(($D$9:$L$9+INT(($S$12:$AA$12+INDEX($AJ$13:$AR$162,BN5262,0)+INDEX($AT$13:$BB$162,BO5262,0)+INDEX($BD$13:$BL$162,BP5262,0))/100))&gt;=$D$10:$L$10)),0)</f>
        <v/>
      </c>
      <c r="BR5262">
        <f>IF(5249&lt;$U$9,SUMPRODUCT(($D$10:$L$10&lt;&gt;"")*(($D$10:$L$10-($D$9:$L$9+INT(($S$12:$AA$12+INDEX($AJ$13:$AR$162,BN5262,0)+INDEX($AT$13:$BB$162,BO5262,0)+INDEX($BD$13:$BL$162,BP5262,0))/100)))&gt;0)*($D$10:$L$10-($D$9:$L$9+INT(($S$12:$AA$12+INDEX($AJ$13:$AR$162,BN5262,0)+INDEX($AT$13:$BB$162,BO5262,0)+INDEX($BD$13:$BL$162,BP5262,0))/100)))),0)</f>
        <v/>
      </c>
      <c r="BS5262">
        <f>IF(5249&lt;$U$9,SUMPRODUCT(($D$9:$L$9+INT(($S$12:$AA$12+INDEX($AJ$13:$AR$162,BN5262,0)+INDEX($AT$13:$BB$162,BO5262,0)+INDEX($BD$13:$BL$162,BP5262,0))/100))),0)</f>
        <v/>
      </c>
      <c r="BT5262">
        <f>IF(AND(5249&lt;$U$9,$W$5),BQ5262*1000000-MIN(BR5262,999)*1000+BS5262-5249/100000,-1000000000-5249)</f>
        <v/>
      </c>
    </row>
    <row r="5263">
      <c r="BN5263">
        <f>IF(5250&lt;$U$9,INT(5250/($U$7*$U$8))+1,1)</f>
        <v/>
      </c>
      <c r="BO5263">
        <f>IF(5250&lt;$U$9,MOD(INT(5250/$U$8),$U$7)+1,1)</f>
        <v/>
      </c>
      <c r="BP5263">
        <f>IF(5250&lt;$U$9,MOD(5250,$U$8)+1,1)</f>
        <v/>
      </c>
      <c r="BQ5263">
        <f>IF(5250&lt;$U$9,SUMPRODUCT(($D$10:$L$10&lt;&gt;"")*(($D$9:$L$9+INT(($S$12:$AA$12+INDEX($AJ$13:$AR$162,BN5263,0)+INDEX($AT$13:$BB$162,BO5263,0)+INDEX($BD$13:$BL$162,BP5263,0))/100))&gt;=$D$10:$L$10)),0)</f>
        <v/>
      </c>
      <c r="BR5263">
        <f>IF(5250&lt;$U$9,SUMPRODUCT(($D$10:$L$10&lt;&gt;"")*(($D$10:$L$10-($D$9:$L$9+INT(($S$12:$AA$12+INDEX($AJ$13:$AR$162,BN5263,0)+INDEX($AT$13:$BB$162,BO5263,0)+INDEX($BD$13:$BL$162,BP5263,0))/100)))&gt;0)*($D$10:$L$10-($D$9:$L$9+INT(($S$12:$AA$12+INDEX($AJ$13:$AR$162,BN5263,0)+INDEX($AT$13:$BB$162,BO5263,0)+INDEX($BD$13:$BL$162,BP5263,0))/100)))),0)</f>
        <v/>
      </c>
      <c r="BS5263">
        <f>IF(5250&lt;$U$9,SUMPRODUCT(($D$9:$L$9+INT(($S$12:$AA$12+INDEX($AJ$13:$AR$162,BN5263,0)+INDEX($AT$13:$BB$162,BO5263,0)+INDEX($BD$13:$BL$162,BP5263,0))/100))),0)</f>
        <v/>
      </c>
      <c r="BT5263">
        <f>IF(AND(5250&lt;$U$9,$W$5),BQ5263*1000000-MIN(BR5263,999)*1000+BS5263-5250/100000,-1000000000-5250)</f>
        <v/>
      </c>
    </row>
    <row r="5264">
      <c r="BN5264">
        <f>IF(5251&lt;$U$9,INT(5251/($U$7*$U$8))+1,1)</f>
        <v/>
      </c>
      <c r="BO5264">
        <f>IF(5251&lt;$U$9,MOD(INT(5251/$U$8),$U$7)+1,1)</f>
        <v/>
      </c>
      <c r="BP5264">
        <f>IF(5251&lt;$U$9,MOD(5251,$U$8)+1,1)</f>
        <v/>
      </c>
      <c r="BQ5264">
        <f>IF(5251&lt;$U$9,SUMPRODUCT(($D$10:$L$10&lt;&gt;"")*(($D$9:$L$9+INT(($S$12:$AA$12+INDEX($AJ$13:$AR$162,BN5264,0)+INDEX($AT$13:$BB$162,BO5264,0)+INDEX($BD$13:$BL$162,BP5264,0))/100))&gt;=$D$10:$L$10)),0)</f>
        <v/>
      </c>
      <c r="BR5264">
        <f>IF(5251&lt;$U$9,SUMPRODUCT(($D$10:$L$10&lt;&gt;"")*(($D$10:$L$10-($D$9:$L$9+INT(($S$12:$AA$12+INDEX($AJ$13:$AR$162,BN5264,0)+INDEX($AT$13:$BB$162,BO5264,0)+INDEX($BD$13:$BL$162,BP5264,0))/100)))&gt;0)*($D$10:$L$10-($D$9:$L$9+INT(($S$12:$AA$12+INDEX($AJ$13:$AR$162,BN5264,0)+INDEX($AT$13:$BB$162,BO5264,0)+INDEX($BD$13:$BL$162,BP5264,0))/100)))),0)</f>
        <v/>
      </c>
      <c r="BS5264">
        <f>IF(5251&lt;$U$9,SUMPRODUCT(($D$9:$L$9+INT(($S$12:$AA$12+INDEX($AJ$13:$AR$162,BN5264,0)+INDEX($AT$13:$BB$162,BO5264,0)+INDEX($BD$13:$BL$162,BP5264,0))/100))),0)</f>
        <v/>
      </c>
      <c r="BT5264">
        <f>IF(AND(5251&lt;$U$9,$W$5),BQ5264*1000000-MIN(BR5264,999)*1000+BS5264-5251/100000,-1000000000-5251)</f>
        <v/>
      </c>
    </row>
    <row r="5265">
      <c r="BN5265">
        <f>IF(5252&lt;$U$9,INT(5252/($U$7*$U$8))+1,1)</f>
        <v/>
      </c>
      <c r="BO5265">
        <f>IF(5252&lt;$U$9,MOD(INT(5252/$U$8),$U$7)+1,1)</f>
        <v/>
      </c>
      <c r="BP5265">
        <f>IF(5252&lt;$U$9,MOD(5252,$U$8)+1,1)</f>
        <v/>
      </c>
      <c r="BQ5265">
        <f>IF(5252&lt;$U$9,SUMPRODUCT(($D$10:$L$10&lt;&gt;"")*(($D$9:$L$9+INT(($S$12:$AA$12+INDEX($AJ$13:$AR$162,BN5265,0)+INDEX($AT$13:$BB$162,BO5265,0)+INDEX($BD$13:$BL$162,BP5265,0))/100))&gt;=$D$10:$L$10)),0)</f>
        <v/>
      </c>
      <c r="BR5265">
        <f>IF(5252&lt;$U$9,SUMPRODUCT(($D$10:$L$10&lt;&gt;"")*(($D$10:$L$10-($D$9:$L$9+INT(($S$12:$AA$12+INDEX($AJ$13:$AR$162,BN5265,0)+INDEX($AT$13:$BB$162,BO5265,0)+INDEX($BD$13:$BL$162,BP5265,0))/100)))&gt;0)*($D$10:$L$10-($D$9:$L$9+INT(($S$12:$AA$12+INDEX($AJ$13:$AR$162,BN5265,0)+INDEX($AT$13:$BB$162,BO5265,0)+INDEX($BD$13:$BL$162,BP5265,0))/100)))),0)</f>
        <v/>
      </c>
      <c r="BS5265">
        <f>IF(5252&lt;$U$9,SUMPRODUCT(($D$9:$L$9+INT(($S$12:$AA$12+INDEX($AJ$13:$AR$162,BN5265,0)+INDEX($AT$13:$BB$162,BO5265,0)+INDEX($BD$13:$BL$162,BP5265,0))/100))),0)</f>
        <v/>
      </c>
      <c r="BT5265">
        <f>IF(AND(5252&lt;$U$9,$W$5),BQ5265*1000000-MIN(BR5265,999)*1000+BS5265-5252/100000,-1000000000-5252)</f>
        <v/>
      </c>
    </row>
    <row r="5266">
      <c r="BN5266">
        <f>IF(5253&lt;$U$9,INT(5253/($U$7*$U$8))+1,1)</f>
        <v/>
      </c>
      <c r="BO5266">
        <f>IF(5253&lt;$U$9,MOD(INT(5253/$U$8),$U$7)+1,1)</f>
        <v/>
      </c>
      <c r="BP5266">
        <f>IF(5253&lt;$U$9,MOD(5253,$U$8)+1,1)</f>
        <v/>
      </c>
      <c r="BQ5266">
        <f>IF(5253&lt;$U$9,SUMPRODUCT(($D$10:$L$10&lt;&gt;"")*(($D$9:$L$9+INT(($S$12:$AA$12+INDEX($AJ$13:$AR$162,BN5266,0)+INDEX($AT$13:$BB$162,BO5266,0)+INDEX($BD$13:$BL$162,BP5266,0))/100))&gt;=$D$10:$L$10)),0)</f>
        <v/>
      </c>
      <c r="BR5266">
        <f>IF(5253&lt;$U$9,SUMPRODUCT(($D$10:$L$10&lt;&gt;"")*(($D$10:$L$10-($D$9:$L$9+INT(($S$12:$AA$12+INDEX($AJ$13:$AR$162,BN5266,0)+INDEX($AT$13:$BB$162,BO5266,0)+INDEX($BD$13:$BL$162,BP5266,0))/100)))&gt;0)*($D$10:$L$10-($D$9:$L$9+INT(($S$12:$AA$12+INDEX($AJ$13:$AR$162,BN5266,0)+INDEX($AT$13:$BB$162,BO5266,0)+INDEX($BD$13:$BL$162,BP5266,0))/100)))),0)</f>
        <v/>
      </c>
      <c r="BS5266">
        <f>IF(5253&lt;$U$9,SUMPRODUCT(($D$9:$L$9+INT(($S$12:$AA$12+INDEX($AJ$13:$AR$162,BN5266,0)+INDEX($AT$13:$BB$162,BO5266,0)+INDEX($BD$13:$BL$162,BP5266,0))/100))),0)</f>
        <v/>
      </c>
      <c r="BT5266">
        <f>IF(AND(5253&lt;$U$9,$W$5),BQ5266*1000000-MIN(BR5266,999)*1000+BS5266-5253/100000,-1000000000-5253)</f>
        <v/>
      </c>
    </row>
    <row r="5267">
      <c r="BN5267">
        <f>IF(5254&lt;$U$9,INT(5254/($U$7*$U$8))+1,1)</f>
        <v/>
      </c>
      <c r="BO5267">
        <f>IF(5254&lt;$U$9,MOD(INT(5254/$U$8),$U$7)+1,1)</f>
        <v/>
      </c>
      <c r="BP5267">
        <f>IF(5254&lt;$U$9,MOD(5254,$U$8)+1,1)</f>
        <v/>
      </c>
      <c r="BQ5267">
        <f>IF(5254&lt;$U$9,SUMPRODUCT(($D$10:$L$10&lt;&gt;"")*(($D$9:$L$9+INT(($S$12:$AA$12+INDEX($AJ$13:$AR$162,BN5267,0)+INDEX($AT$13:$BB$162,BO5267,0)+INDEX($BD$13:$BL$162,BP5267,0))/100))&gt;=$D$10:$L$10)),0)</f>
        <v/>
      </c>
      <c r="BR5267">
        <f>IF(5254&lt;$U$9,SUMPRODUCT(($D$10:$L$10&lt;&gt;"")*(($D$10:$L$10-($D$9:$L$9+INT(($S$12:$AA$12+INDEX($AJ$13:$AR$162,BN5267,0)+INDEX($AT$13:$BB$162,BO5267,0)+INDEX($BD$13:$BL$162,BP5267,0))/100)))&gt;0)*($D$10:$L$10-($D$9:$L$9+INT(($S$12:$AA$12+INDEX($AJ$13:$AR$162,BN5267,0)+INDEX($AT$13:$BB$162,BO5267,0)+INDEX($BD$13:$BL$162,BP5267,0))/100)))),0)</f>
        <v/>
      </c>
      <c r="BS5267">
        <f>IF(5254&lt;$U$9,SUMPRODUCT(($D$9:$L$9+INT(($S$12:$AA$12+INDEX($AJ$13:$AR$162,BN5267,0)+INDEX($AT$13:$BB$162,BO5267,0)+INDEX($BD$13:$BL$162,BP5267,0))/100))),0)</f>
        <v/>
      </c>
      <c r="BT5267">
        <f>IF(AND(5254&lt;$U$9,$W$5),BQ5267*1000000-MIN(BR5267,999)*1000+BS5267-5254/100000,-1000000000-5254)</f>
        <v/>
      </c>
    </row>
    <row r="5268">
      <c r="BN5268">
        <f>IF(5255&lt;$U$9,INT(5255/($U$7*$U$8))+1,1)</f>
        <v/>
      </c>
      <c r="BO5268">
        <f>IF(5255&lt;$U$9,MOD(INT(5255/$U$8),$U$7)+1,1)</f>
        <v/>
      </c>
      <c r="BP5268">
        <f>IF(5255&lt;$U$9,MOD(5255,$U$8)+1,1)</f>
        <v/>
      </c>
      <c r="BQ5268">
        <f>IF(5255&lt;$U$9,SUMPRODUCT(($D$10:$L$10&lt;&gt;"")*(($D$9:$L$9+INT(($S$12:$AA$12+INDEX($AJ$13:$AR$162,BN5268,0)+INDEX($AT$13:$BB$162,BO5268,0)+INDEX($BD$13:$BL$162,BP5268,0))/100))&gt;=$D$10:$L$10)),0)</f>
        <v/>
      </c>
      <c r="BR5268">
        <f>IF(5255&lt;$U$9,SUMPRODUCT(($D$10:$L$10&lt;&gt;"")*(($D$10:$L$10-($D$9:$L$9+INT(($S$12:$AA$12+INDEX($AJ$13:$AR$162,BN5268,0)+INDEX($AT$13:$BB$162,BO5268,0)+INDEX($BD$13:$BL$162,BP5268,0))/100)))&gt;0)*($D$10:$L$10-($D$9:$L$9+INT(($S$12:$AA$12+INDEX($AJ$13:$AR$162,BN5268,0)+INDEX($AT$13:$BB$162,BO5268,0)+INDEX($BD$13:$BL$162,BP5268,0))/100)))),0)</f>
        <v/>
      </c>
      <c r="BS5268">
        <f>IF(5255&lt;$U$9,SUMPRODUCT(($D$9:$L$9+INT(($S$12:$AA$12+INDEX($AJ$13:$AR$162,BN5268,0)+INDEX($AT$13:$BB$162,BO5268,0)+INDEX($BD$13:$BL$162,BP5268,0))/100))),0)</f>
        <v/>
      </c>
      <c r="BT5268">
        <f>IF(AND(5255&lt;$U$9,$W$5),BQ5268*1000000-MIN(BR5268,999)*1000+BS5268-5255/100000,-1000000000-5255)</f>
        <v/>
      </c>
    </row>
    <row r="5269">
      <c r="BN5269">
        <f>IF(5256&lt;$U$9,INT(5256/($U$7*$U$8))+1,1)</f>
        <v/>
      </c>
      <c r="BO5269">
        <f>IF(5256&lt;$U$9,MOD(INT(5256/$U$8),$U$7)+1,1)</f>
        <v/>
      </c>
      <c r="BP5269">
        <f>IF(5256&lt;$U$9,MOD(5256,$U$8)+1,1)</f>
        <v/>
      </c>
      <c r="BQ5269">
        <f>IF(5256&lt;$U$9,SUMPRODUCT(($D$10:$L$10&lt;&gt;"")*(($D$9:$L$9+INT(($S$12:$AA$12+INDEX($AJ$13:$AR$162,BN5269,0)+INDEX($AT$13:$BB$162,BO5269,0)+INDEX($BD$13:$BL$162,BP5269,0))/100))&gt;=$D$10:$L$10)),0)</f>
        <v/>
      </c>
      <c r="BR5269">
        <f>IF(5256&lt;$U$9,SUMPRODUCT(($D$10:$L$10&lt;&gt;"")*(($D$10:$L$10-($D$9:$L$9+INT(($S$12:$AA$12+INDEX($AJ$13:$AR$162,BN5269,0)+INDEX($AT$13:$BB$162,BO5269,0)+INDEX($BD$13:$BL$162,BP5269,0))/100)))&gt;0)*($D$10:$L$10-($D$9:$L$9+INT(($S$12:$AA$12+INDEX($AJ$13:$AR$162,BN5269,0)+INDEX($AT$13:$BB$162,BO5269,0)+INDEX($BD$13:$BL$162,BP5269,0))/100)))),0)</f>
        <v/>
      </c>
      <c r="BS5269">
        <f>IF(5256&lt;$U$9,SUMPRODUCT(($D$9:$L$9+INT(($S$12:$AA$12+INDEX($AJ$13:$AR$162,BN5269,0)+INDEX($AT$13:$BB$162,BO5269,0)+INDEX($BD$13:$BL$162,BP5269,0))/100))),0)</f>
        <v/>
      </c>
      <c r="BT5269">
        <f>IF(AND(5256&lt;$U$9,$W$5),BQ5269*1000000-MIN(BR5269,999)*1000+BS5269-5256/100000,-1000000000-5256)</f>
        <v/>
      </c>
    </row>
    <row r="5270">
      <c r="BN5270">
        <f>IF(5257&lt;$U$9,INT(5257/($U$7*$U$8))+1,1)</f>
        <v/>
      </c>
      <c r="BO5270">
        <f>IF(5257&lt;$U$9,MOD(INT(5257/$U$8),$U$7)+1,1)</f>
        <v/>
      </c>
      <c r="BP5270">
        <f>IF(5257&lt;$U$9,MOD(5257,$U$8)+1,1)</f>
        <v/>
      </c>
      <c r="BQ5270">
        <f>IF(5257&lt;$U$9,SUMPRODUCT(($D$10:$L$10&lt;&gt;"")*(($D$9:$L$9+INT(($S$12:$AA$12+INDEX($AJ$13:$AR$162,BN5270,0)+INDEX($AT$13:$BB$162,BO5270,0)+INDEX($BD$13:$BL$162,BP5270,0))/100))&gt;=$D$10:$L$10)),0)</f>
        <v/>
      </c>
      <c r="BR5270">
        <f>IF(5257&lt;$U$9,SUMPRODUCT(($D$10:$L$10&lt;&gt;"")*(($D$10:$L$10-($D$9:$L$9+INT(($S$12:$AA$12+INDEX($AJ$13:$AR$162,BN5270,0)+INDEX($AT$13:$BB$162,BO5270,0)+INDEX($BD$13:$BL$162,BP5270,0))/100)))&gt;0)*($D$10:$L$10-($D$9:$L$9+INT(($S$12:$AA$12+INDEX($AJ$13:$AR$162,BN5270,0)+INDEX($AT$13:$BB$162,BO5270,0)+INDEX($BD$13:$BL$162,BP5270,0))/100)))),0)</f>
        <v/>
      </c>
      <c r="BS5270">
        <f>IF(5257&lt;$U$9,SUMPRODUCT(($D$9:$L$9+INT(($S$12:$AA$12+INDEX($AJ$13:$AR$162,BN5270,0)+INDEX($AT$13:$BB$162,BO5270,0)+INDEX($BD$13:$BL$162,BP5270,0))/100))),0)</f>
        <v/>
      </c>
      <c r="BT5270">
        <f>IF(AND(5257&lt;$U$9,$W$5),BQ5270*1000000-MIN(BR5270,999)*1000+BS5270-5257/100000,-1000000000-5257)</f>
        <v/>
      </c>
    </row>
    <row r="5271">
      <c r="BN5271">
        <f>IF(5258&lt;$U$9,INT(5258/($U$7*$U$8))+1,1)</f>
        <v/>
      </c>
      <c r="BO5271">
        <f>IF(5258&lt;$U$9,MOD(INT(5258/$U$8),$U$7)+1,1)</f>
        <v/>
      </c>
      <c r="BP5271">
        <f>IF(5258&lt;$U$9,MOD(5258,$U$8)+1,1)</f>
        <v/>
      </c>
      <c r="BQ5271">
        <f>IF(5258&lt;$U$9,SUMPRODUCT(($D$10:$L$10&lt;&gt;"")*(($D$9:$L$9+INT(($S$12:$AA$12+INDEX($AJ$13:$AR$162,BN5271,0)+INDEX($AT$13:$BB$162,BO5271,0)+INDEX($BD$13:$BL$162,BP5271,0))/100))&gt;=$D$10:$L$10)),0)</f>
        <v/>
      </c>
      <c r="BR5271">
        <f>IF(5258&lt;$U$9,SUMPRODUCT(($D$10:$L$10&lt;&gt;"")*(($D$10:$L$10-($D$9:$L$9+INT(($S$12:$AA$12+INDEX($AJ$13:$AR$162,BN5271,0)+INDEX($AT$13:$BB$162,BO5271,0)+INDEX($BD$13:$BL$162,BP5271,0))/100)))&gt;0)*($D$10:$L$10-($D$9:$L$9+INT(($S$12:$AA$12+INDEX($AJ$13:$AR$162,BN5271,0)+INDEX($AT$13:$BB$162,BO5271,0)+INDEX($BD$13:$BL$162,BP5271,0))/100)))),0)</f>
        <v/>
      </c>
      <c r="BS5271">
        <f>IF(5258&lt;$U$9,SUMPRODUCT(($D$9:$L$9+INT(($S$12:$AA$12+INDEX($AJ$13:$AR$162,BN5271,0)+INDEX($AT$13:$BB$162,BO5271,0)+INDEX($BD$13:$BL$162,BP5271,0))/100))),0)</f>
        <v/>
      </c>
      <c r="BT5271">
        <f>IF(AND(5258&lt;$U$9,$W$5),BQ5271*1000000-MIN(BR5271,999)*1000+BS5271-5258/100000,-1000000000-5258)</f>
        <v/>
      </c>
    </row>
    <row r="5272">
      <c r="BN5272">
        <f>IF(5259&lt;$U$9,INT(5259/($U$7*$U$8))+1,1)</f>
        <v/>
      </c>
      <c r="BO5272">
        <f>IF(5259&lt;$U$9,MOD(INT(5259/$U$8),$U$7)+1,1)</f>
        <v/>
      </c>
      <c r="BP5272">
        <f>IF(5259&lt;$U$9,MOD(5259,$U$8)+1,1)</f>
        <v/>
      </c>
      <c r="BQ5272">
        <f>IF(5259&lt;$U$9,SUMPRODUCT(($D$10:$L$10&lt;&gt;"")*(($D$9:$L$9+INT(($S$12:$AA$12+INDEX($AJ$13:$AR$162,BN5272,0)+INDEX($AT$13:$BB$162,BO5272,0)+INDEX($BD$13:$BL$162,BP5272,0))/100))&gt;=$D$10:$L$10)),0)</f>
        <v/>
      </c>
      <c r="BR5272">
        <f>IF(5259&lt;$U$9,SUMPRODUCT(($D$10:$L$10&lt;&gt;"")*(($D$10:$L$10-($D$9:$L$9+INT(($S$12:$AA$12+INDEX($AJ$13:$AR$162,BN5272,0)+INDEX($AT$13:$BB$162,BO5272,0)+INDEX($BD$13:$BL$162,BP5272,0))/100)))&gt;0)*($D$10:$L$10-($D$9:$L$9+INT(($S$12:$AA$12+INDEX($AJ$13:$AR$162,BN5272,0)+INDEX($AT$13:$BB$162,BO5272,0)+INDEX($BD$13:$BL$162,BP5272,0))/100)))),0)</f>
        <v/>
      </c>
      <c r="BS5272">
        <f>IF(5259&lt;$U$9,SUMPRODUCT(($D$9:$L$9+INT(($S$12:$AA$12+INDEX($AJ$13:$AR$162,BN5272,0)+INDEX($AT$13:$BB$162,BO5272,0)+INDEX($BD$13:$BL$162,BP5272,0))/100))),0)</f>
        <v/>
      </c>
      <c r="BT5272">
        <f>IF(AND(5259&lt;$U$9,$W$5),BQ5272*1000000-MIN(BR5272,999)*1000+BS5272-5259/100000,-1000000000-5259)</f>
        <v/>
      </c>
    </row>
    <row r="5273">
      <c r="BN5273">
        <f>IF(5260&lt;$U$9,INT(5260/($U$7*$U$8))+1,1)</f>
        <v/>
      </c>
      <c r="BO5273">
        <f>IF(5260&lt;$U$9,MOD(INT(5260/$U$8),$U$7)+1,1)</f>
        <v/>
      </c>
      <c r="BP5273">
        <f>IF(5260&lt;$U$9,MOD(5260,$U$8)+1,1)</f>
        <v/>
      </c>
      <c r="BQ5273">
        <f>IF(5260&lt;$U$9,SUMPRODUCT(($D$10:$L$10&lt;&gt;"")*(($D$9:$L$9+INT(($S$12:$AA$12+INDEX($AJ$13:$AR$162,BN5273,0)+INDEX($AT$13:$BB$162,BO5273,0)+INDEX($BD$13:$BL$162,BP5273,0))/100))&gt;=$D$10:$L$10)),0)</f>
        <v/>
      </c>
      <c r="BR5273">
        <f>IF(5260&lt;$U$9,SUMPRODUCT(($D$10:$L$10&lt;&gt;"")*(($D$10:$L$10-($D$9:$L$9+INT(($S$12:$AA$12+INDEX($AJ$13:$AR$162,BN5273,0)+INDEX($AT$13:$BB$162,BO5273,0)+INDEX($BD$13:$BL$162,BP5273,0))/100)))&gt;0)*($D$10:$L$10-($D$9:$L$9+INT(($S$12:$AA$12+INDEX($AJ$13:$AR$162,BN5273,0)+INDEX($AT$13:$BB$162,BO5273,0)+INDEX($BD$13:$BL$162,BP5273,0))/100)))),0)</f>
        <v/>
      </c>
      <c r="BS5273">
        <f>IF(5260&lt;$U$9,SUMPRODUCT(($D$9:$L$9+INT(($S$12:$AA$12+INDEX($AJ$13:$AR$162,BN5273,0)+INDEX($AT$13:$BB$162,BO5273,0)+INDEX($BD$13:$BL$162,BP5273,0))/100))),0)</f>
        <v/>
      </c>
      <c r="BT5273">
        <f>IF(AND(5260&lt;$U$9,$W$5),BQ5273*1000000-MIN(BR5273,999)*1000+BS5273-5260/100000,-1000000000-5260)</f>
        <v/>
      </c>
    </row>
    <row r="5274">
      <c r="BN5274">
        <f>IF(5261&lt;$U$9,INT(5261/($U$7*$U$8))+1,1)</f>
        <v/>
      </c>
      <c r="BO5274">
        <f>IF(5261&lt;$U$9,MOD(INT(5261/$U$8),$U$7)+1,1)</f>
        <v/>
      </c>
      <c r="BP5274">
        <f>IF(5261&lt;$U$9,MOD(5261,$U$8)+1,1)</f>
        <v/>
      </c>
      <c r="BQ5274">
        <f>IF(5261&lt;$U$9,SUMPRODUCT(($D$10:$L$10&lt;&gt;"")*(($D$9:$L$9+INT(($S$12:$AA$12+INDEX($AJ$13:$AR$162,BN5274,0)+INDEX($AT$13:$BB$162,BO5274,0)+INDEX($BD$13:$BL$162,BP5274,0))/100))&gt;=$D$10:$L$10)),0)</f>
        <v/>
      </c>
      <c r="BR5274">
        <f>IF(5261&lt;$U$9,SUMPRODUCT(($D$10:$L$10&lt;&gt;"")*(($D$10:$L$10-($D$9:$L$9+INT(($S$12:$AA$12+INDEX($AJ$13:$AR$162,BN5274,0)+INDEX($AT$13:$BB$162,BO5274,0)+INDEX($BD$13:$BL$162,BP5274,0))/100)))&gt;0)*($D$10:$L$10-($D$9:$L$9+INT(($S$12:$AA$12+INDEX($AJ$13:$AR$162,BN5274,0)+INDEX($AT$13:$BB$162,BO5274,0)+INDEX($BD$13:$BL$162,BP5274,0))/100)))),0)</f>
        <v/>
      </c>
      <c r="BS5274">
        <f>IF(5261&lt;$U$9,SUMPRODUCT(($D$9:$L$9+INT(($S$12:$AA$12+INDEX($AJ$13:$AR$162,BN5274,0)+INDEX($AT$13:$BB$162,BO5274,0)+INDEX($BD$13:$BL$162,BP5274,0))/100))),0)</f>
        <v/>
      </c>
      <c r="BT5274">
        <f>IF(AND(5261&lt;$U$9,$W$5),BQ5274*1000000-MIN(BR5274,999)*1000+BS5274-5261/100000,-1000000000-5261)</f>
        <v/>
      </c>
    </row>
    <row r="5275">
      <c r="BN5275">
        <f>IF(5262&lt;$U$9,INT(5262/($U$7*$U$8))+1,1)</f>
        <v/>
      </c>
      <c r="BO5275">
        <f>IF(5262&lt;$U$9,MOD(INT(5262/$U$8),$U$7)+1,1)</f>
        <v/>
      </c>
      <c r="BP5275">
        <f>IF(5262&lt;$U$9,MOD(5262,$U$8)+1,1)</f>
        <v/>
      </c>
      <c r="BQ5275">
        <f>IF(5262&lt;$U$9,SUMPRODUCT(($D$10:$L$10&lt;&gt;"")*(($D$9:$L$9+INT(($S$12:$AA$12+INDEX($AJ$13:$AR$162,BN5275,0)+INDEX($AT$13:$BB$162,BO5275,0)+INDEX($BD$13:$BL$162,BP5275,0))/100))&gt;=$D$10:$L$10)),0)</f>
        <v/>
      </c>
      <c r="BR5275">
        <f>IF(5262&lt;$U$9,SUMPRODUCT(($D$10:$L$10&lt;&gt;"")*(($D$10:$L$10-($D$9:$L$9+INT(($S$12:$AA$12+INDEX($AJ$13:$AR$162,BN5275,0)+INDEX($AT$13:$BB$162,BO5275,0)+INDEX($BD$13:$BL$162,BP5275,0))/100)))&gt;0)*($D$10:$L$10-($D$9:$L$9+INT(($S$12:$AA$12+INDEX($AJ$13:$AR$162,BN5275,0)+INDEX($AT$13:$BB$162,BO5275,0)+INDEX($BD$13:$BL$162,BP5275,0))/100)))),0)</f>
        <v/>
      </c>
      <c r="BS5275">
        <f>IF(5262&lt;$U$9,SUMPRODUCT(($D$9:$L$9+INT(($S$12:$AA$12+INDEX($AJ$13:$AR$162,BN5275,0)+INDEX($AT$13:$BB$162,BO5275,0)+INDEX($BD$13:$BL$162,BP5275,0))/100))),0)</f>
        <v/>
      </c>
      <c r="BT5275">
        <f>IF(AND(5262&lt;$U$9,$W$5),BQ5275*1000000-MIN(BR5275,999)*1000+BS5275-5262/100000,-1000000000-5262)</f>
        <v/>
      </c>
    </row>
    <row r="5276">
      <c r="BN5276">
        <f>IF(5263&lt;$U$9,INT(5263/($U$7*$U$8))+1,1)</f>
        <v/>
      </c>
      <c r="BO5276">
        <f>IF(5263&lt;$U$9,MOD(INT(5263/$U$8),$U$7)+1,1)</f>
        <v/>
      </c>
      <c r="BP5276">
        <f>IF(5263&lt;$U$9,MOD(5263,$U$8)+1,1)</f>
        <v/>
      </c>
      <c r="BQ5276">
        <f>IF(5263&lt;$U$9,SUMPRODUCT(($D$10:$L$10&lt;&gt;"")*(($D$9:$L$9+INT(($S$12:$AA$12+INDEX($AJ$13:$AR$162,BN5276,0)+INDEX($AT$13:$BB$162,BO5276,0)+INDEX($BD$13:$BL$162,BP5276,0))/100))&gt;=$D$10:$L$10)),0)</f>
        <v/>
      </c>
      <c r="BR5276">
        <f>IF(5263&lt;$U$9,SUMPRODUCT(($D$10:$L$10&lt;&gt;"")*(($D$10:$L$10-($D$9:$L$9+INT(($S$12:$AA$12+INDEX($AJ$13:$AR$162,BN5276,0)+INDEX($AT$13:$BB$162,BO5276,0)+INDEX($BD$13:$BL$162,BP5276,0))/100)))&gt;0)*($D$10:$L$10-($D$9:$L$9+INT(($S$12:$AA$12+INDEX($AJ$13:$AR$162,BN5276,0)+INDEX($AT$13:$BB$162,BO5276,0)+INDEX($BD$13:$BL$162,BP5276,0))/100)))),0)</f>
        <v/>
      </c>
      <c r="BS5276">
        <f>IF(5263&lt;$U$9,SUMPRODUCT(($D$9:$L$9+INT(($S$12:$AA$12+INDEX($AJ$13:$AR$162,BN5276,0)+INDEX($AT$13:$BB$162,BO5276,0)+INDEX($BD$13:$BL$162,BP5276,0))/100))),0)</f>
        <v/>
      </c>
      <c r="BT5276">
        <f>IF(AND(5263&lt;$U$9,$W$5),BQ5276*1000000-MIN(BR5276,999)*1000+BS5276-5263/100000,-1000000000-5263)</f>
        <v/>
      </c>
    </row>
    <row r="5277">
      <c r="BN5277">
        <f>IF(5264&lt;$U$9,INT(5264/($U$7*$U$8))+1,1)</f>
        <v/>
      </c>
      <c r="BO5277">
        <f>IF(5264&lt;$U$9,MOD(INT(5264/$U$8),$U$7)+1,1)</f>
        <v/>
      </c>
      <c r="BP5277">
        <f>IF(5264&lt;$U$9,MOD(5264,$U$8)+1,1)</f>
        <v/>
      </c>
      <c r="BQ5277">
        <f>IF(5264&lt;$U$9,SUMPRODUCT(($D$10:$L$10&lt;&gt;"")*(($D$9:$L$9+INT(($S$12:$AA$12+INDEX($AJ$13:$AR$162,BN5277,0)+INDEX($AT$13:$BB$162,BO5277,0)+INDEX($BD$13:$BL$162,BP5277,0))/100))&gt;=$D$10:$L$10)),0)</f>
        <v/>
      </c>
      <c r="BR5277">
        <f>IF(5264&lt;$U$9,SUMPRODUCT(($D$10:$L$10&lt;&gt;"")*(($D$10:$L$10-($D$9:$L$9+INT(($S$12:$AA$12+INDEX($AJ$13:$AR$162,BN5277,0)+INDEX($AT$13:$BB$162,BO5277,0)+INDEX($BD$13:$BL$162,BP5277,0))/100)))&gt;0)*($D$10:$L$10-($D$9:$L$9+INT(($S$12:$AA$12+INDEX($AJ$13:$AR$162,BN5277,0)+INDEX($AT$13:$BB$162,BO5277,0)+INDEX($BD$13:$BL$162,BP5277,0))/100)))),0)</f>
        <v/>
      </c>
      <c r="BS5277">
        <f>IF(5264&lt;$U$9,SUMPRODUCT(($D$9:$L$9+INT(($S$12:$AA$12+INDEX($AJ$13:$AR$162,BN5277,0)+INDEX($AT$13:$BB$162,BO5277,0)+INDEX($BD$13:$BL$162,BP5277,0))/100))),0)</f>
        <v/>
      </c>
      <c r="BT5277">
        <f>IF(AND(5264&lt;$U$9,$W$5),BQ5277*1000000-MIN(BR5277,999)*1000+BS5277-5264/100000,-1000000000-5264)</f>
        <v/>
      </c>
    </row>
    <row r="5278">
      <c r="BN5278">
        <f>IF(5265&lt;$U$9,INT(5265/($U$7*$U$8))+1,1)</f>
        <v/>
      </c>
      <c r="BO5278">
        <f>IF(5265&lt;$U$9,MOD(INT(5265/$U$8),$U$7)+1,1)</f>
        <v/>
      </c>
      <c r="BP5278">
        <f>IF(5265&lt;$U$9,MOD(5265,$U$8)+1,1)</f>
        <v/>
      </c>
      <c r="BQ5278">
        <f>IF(5265&lt;$U$9,SUMPRODUCT(($D$10:$L$10&lt;&gt;"")*(($D$9:$L$9+INT(($S$12:$AA$12+INDEX($AJ$13:$AR$162,BN5278,0)+INDEX($AT$13:$BB$162,BO5278,0)+INDEX($BD$13:$BL$162,BP5278,0))/100))&gt;=$D$10:$L$10)),0)</f>
        <v/>
      </c>
      <c r="BR5278">
        <f>IF(5265&lt;$U$9,SUMPRODUCT(($D$10:$L$10&lt;&gt;"")*(($D$10:$L$10-($D$9:$L$9+INT(($S$12:$AA$12+INDEX($AJ$13:$AR$162,BN5278,0)+INDEX($AT$13:$BB$162,BO5278,0)+INDEX($BD$13:$BL$162,BP5278,0))/100)))&gt;0)*($D$10:$L$10-($D$9:$L$9+INT(($S$12:$AA$12+INDEX($AJ$13:$AR$162,BN5278,0)+INDEX($AT$13:$BB$162,BO5278,0)+INDEX($BD$13:$BL$162,BP5278,0))/100)))),0)</f>
        <v/>
      </c>
      <c r="BS5278">
        <f>IF(5265&lt;$U$9,SUMPRODUCT(($D$9:$L$9+INT(($S$12:$AA$12+INDEX($AJ$13:$AR$162,BN5278,0)+INDEX($AT$13:$BB$162,BO5278,0)+INDEX($BD$13:$BL$162,BP5278,0))/100))),0)</f>
        <v/>
      </c>
      <c r="BT5278">
        <f>IF(AND(5265&lt;$U$9,$W$5),BQ5278*1000000-MIN(BR5278,999)*1000+BS5278-5265/100000,-1000000000-5265)</f>
        <v/>
      </c>
    </row>
    <row r="5279">
      <c r="BN5279">
        <f>IF(5266&lt;$U$9,INT(5266/($U$7*$U$8))+1,1)</f>
        <v/>
      </c>
      <c r="BO5279">
        <f>IF(5266&lt;$U$9,MOD(INT(5266/$U$8),$U$7)+1,1)</f>
        <v/>
      </c>
      <c r="BP5279">
        <f>IF(5266&lt;$U$9,MOD(5266,$U$8)+1,1)</f>
        <v/>
      </c>
      <c r="BQ5279">
        <f>IF(5266&lt;$U$9,SUMPRODUCT(($D$10:$L$10&lt;&gt;"")*(($D$9:$L$9+INT(($S$12:$AA$12+INDEX($AJ$13:$AR$162,BN5279,0)+INDEX($AT$13:$BB$162,BO5279,0)+INDEX($BD$13:$BL$162,BP5279,0))/100))&gt;=$D$10:$L$10)),0)</f>
        <v/>
      </c>
      <c r="BR5279">
        <f>IF(5266&lt;$U$9,SUMPRODUCT(($D$10:$L$10&lt;&gt;"")*(($D$10:$L$10-($D$9:$L$9+INT(($S$12:$AA$12+INDEX($AJ$13:$AR$162,BN5279,0)+INDEX($AT$13:$BB$162,BO5279,0)+INDEX($BD$13:$BL$162,BP5279,0))/100)))&gt;0)*($D$10:$L$10-($D$9:$L$9+INT(($S$12:$AA$12+INDEX($AJ$13:$AR$162,BN5279,0)+INDEX($AT$13:$BB$162,BO5279,0)+INDEX($BD$13:$BL$162,BP5279,0))/100)))),0)</f>
        <v/>
      </c>
      <c r="BS5279">
        <f>IF(5266&lt;$U$9,SUMPRODUCT(($D$9:$L$9+INT(($S$12:$AA$12+INDEX($AJ$13:$AR$162,BN5279,0)+INDEX($AT$13:$BB$162,BO5279,0)+INDEX($BD$13:$BL$162,BP5279,0))/100))),0)</f>
        <v/>
      </c>
      <c r="BT5279">
        <f>IF(AND(5266&lt;$U$9,$W$5),BQ5279*1000000-MIN(BR5279,999)*1000+BS5279-5266/100000,-1000000000-5266)</f>
        <v/>
      </c>
    </row>
    <row r="5280">
      <c r="BN5280">
        <f>IF(5267&lt;$U$9,INT(5267/($U$7*$U$8))+1,1)</f>
        <v/>
      </c>
      <c r="BO5280">
        <f>IF(5267&lt;$U$9,MOD(INT(5267/$U$8),$U$7)+1,1)</f>
        <v/>
      </c>
      <c r="BP5280">
        <f>IF(5267&lt;$U$9,MOD(5267,$U$8)+1,1)</f>
        <v/>
      </c>
      <c r="BQ5280">
        <f>IF(5267&lt;$U$9,SUMPRODUCT(($D$10:$L$10&lt;&gt;"")*(($D$9:$L$9+INT(($S$12:$AA$12+INDEX($AJ$13:$AR$162,BN5280,0)+INDEX($AT$13:$BB$162,BO5280,0)+INDEX($BD$13:$BL$162,BP5280,0))/100))&gt;=$D$10:$L$10)),0)</f>
        <v/>
      </c>
      <c r="BR5280">
        <f>IF(5267&lt;$U$9,SUMPRODUCT(($D$10:$L$10&lt;&gt;"")*(($D$10:$L$10-($D$9:$L$9+INT(($S$12:$AA$12+INDEX($AJ$13:$AR$162,BN5280,0)+INDEX($AT$13:$BB$162,BO5280,0)+INDEX($BD$13:$BL$162,BP5280,0))/100)))&gt;0)*($D$10:$L$10-($D$9:$L$9+INT(($S$12:$AA$12+INDEX($AJ$13:$AR$162,BN5280,0)+INDEX($AT$13:$BB$162,BO5280,0)+INDEX($BD$13:$BL$162,BP5280,0))/100)))),0)</f>
        <v/>
      </c>
      <c r="BS5280">
        <f>IF(5267&lt;$U$9,SUMPRODUCT(($D$9:$L$9+INT(($S$12:$AA$12+INDEX($AJ$13:$AR$162,BN5280,0)+INDEX($AT$13:$BB$162,BO5280,0)+INDEX($BD$13:$BL$162,BP5280,0))/100))),0)</f>
        <v/>
      </c>
      <c r="BT5280">
        <f>IF(AND(5267&lt;$U$9,$W$5),BQ5280*1000000-MIN(BR5280,999)*1000+BS5280-5267/100000,-1000000000-5267)</f>
        <v/>
      </c>
    </row>
    <row r="5281">
      <c r="BN5281">
        <f>IF(5268&lt;$U$9,INT(5268/($U$7*$U$8))+1,1)</f>
        <v/>
      </c>
      <c r="BO5281">
        <f>IF(5268&lt;$U$9,MOD(INT(5268/$U$8),$U$7)+1,1)</f>
        <v/>
      </c>
      <c r="BP5281">
        <f>IF(5268&lt;$U$9,MOD(5268,$U$8)+1,1)</f>
        <v/>
      </c>
      <c r="BQ5281">
        <f>IF(5268&lt;$U$9,SUMPRODUCT(($D$10:$L$10&lt;&gt;"")*(($D$9:$L$9+INT(($S$12:$AA$12+INDEX($AJ$13:$AR$162,BN5281,0)+INDEX($AT$13:$BB$162,BO5281,0)+INDEX($BD$13:$BL$162,BP5281,0))/100))&gt;=$D$10:$L$10)),0)</f>
        <v/>
      </c>
      <c r="BR5281">
        <f>IF(5268&lt;$U$9,SUMPRODUCT(($D$10:$L$10&lt;&gt;"")*(($D$10:$L$10-($D$9:$L$9+INT(($S$12:$AA$12+INDEX($AJ$13:$AR$162,BN5281,0)+INDEX($AT$13:$BB$162,BO5281,0)+INDEX($BD$13:$BL$162,BP5281,0))/100)))&gt;0)*($D$10:$L$10-($D$9:$L$9+INT(($S$12:$AA$12+INDEX($AJ$13:$AR$162,BN5281,0)+INDEX($AT$13:$BB$162,BO5281,0)+INDEX($BD$13:$BL$162,BP5281,0))/100)))),0)</f>
        <v/>
      </c>
      <c r="BS5281">
        <f>IF(5268&lt;$U$9,SUMPRODUCT(($D$9:$L$9+INT(($S$12:$AA$12+INDEX($AJ$13:$AR$162,BN5281,0)+INDEX($AT$13:$BB$162,BO5281,0)+INDEX($BD$13:$BL$162,BP5281,0))/100))),0)</f>
        <v/>
      </c>
      <c r="BT5281">
        <f>IF(AND(5268&lt;$U$9,$W$5),BQ5281*1000000-MIN(BR5281,999)*1000+BS5281-5268/100000,-1000000000-5268)</f>
        <v/>
      </c>
    </row>
    <row r="5282">
      <c r="BN5282">
        <f>IF(5269&lt;$U$9,INT(5269/($U$7*$U$8))+1,1)</f>
        <v/>
      </c>
      <c r="BO5282">
        <f>IF(5269&lt;$U$9,MOD(INT(5269/$U$8),$U$7)+1,1)</f>
        <v/>
      </c>
      <c r="BP5282">
        <f>IF(5269&lt;$U$9,MOD(5269,$U$8)+1,1)</f>
        <v/>
      </c>
      <c r="BQ5282">
        <f>IF(5269&lt;$U$9,SUMPRODUCT(($D$10:$L$10&lt;&gt;"")*(($D$9:$L$9+INT(($S$12:$AA$12+INDEX($AJ$13:$AR$162,BN5282,0)+INDEX($AT$13:$BB$162,BO5282,0)+INDEX($BD$13:$BL$162,BP5282,0))/100))&gt;=$D$10:$L$10)),0)</f>
        <v/>
      </c>
      <c r="BR5282">
        <f>IF(5269&lt;$U$9,SUMPRODUCT(($D$10:$L$10&lt;&gt;"")*(($D$10:$L$10-($D$9:$L$9+INT(($S$12:$AA$12+INDEX($AJ$13:$AR$162,BN5282,0)+INDEX($AT$13:$BB$162,BO5282,0)+INDEX($BD$13:$BL$162,BP5282,0))/100)))&gt;0)*($D$10:$L$10-($D$9:$L$9+INT(($S$12:$AA$12+INDEX($AJ$13:$AR$162,BN5282,0)+INDEX($AT$13:$BB$162,BO5282,0)+INDEX($BD$13:$BL$162,BP5282,0))/100)))),0)</f>
        <v/>
      </c>
      <c r="BS5282">
        <f>IF(5269&lt;$U$9,SUMPRODUCT(($D$9:$L$9+INT(($S$12:$AA$12+INDEX($AJ$13:$AR$162,BN5282,0)+INDEX($AT$13:$BB$162,BO5282,0)+INDEX($BD$13:$BL$162,BP5282,0))/100))),0)</f>
        <v/>
      </c>
      <c r="BT5282">
        <f>IF(AND(5269&lt;$U$9,$W$5),BQ5282*1000000-MIN(BR5282,999)*1000+BS5282-5269/100000,-1000000000-5269)</f>
        <v/>
      </c>
    </row>
    <row r="5283">
      <c r="BN5283">
        <f>IF(5270&lt;$U$9,INT(5270/($U$7*$U$8))+1,1)</f>
        <v/>
      </c>
      <c r="BO5283">
        <f>IF(5270&lt;$U$9,MOD(INT(5270/$U$8),$U$7)+1,1)</f>
        <v/>
      </c>
      <c r="BP5283">
        <f>IF(5270&lt;$U$9,MOD(5270,$U$8)+1,1)</f>
        <v/>
      </c>
      <c r="BQ5283">
        <f>IF(5270&lt;$U$9,SUMPRODUCT(($D$10:$L$10&lt;&gt;"")*(($D$9:$L$9+INT(($S$12:$AA$12+INDEX($AJ$13:$AR$162,BN5283,0)+INDEX($AT$13:$BB$162,BO5283,0)+INDEX($BD$13:$BL$162,BP5283,0))/100))&gt;=$D$10:$L$10)),0)</f>
        <v/>
      </c>
      <c r="BR5283">
        <f>IF(5270&lt;$U$9,SUMPRODUCT(($D$10:$L$10&lt;&gt;"")*(($D$10:$L$10-($D$9:$L$9+INT(($S$12:$AA$12+INDEX($AJ$13:$AR$162,BN5283,0)+INDEX($AT$13:$BB$162,BO5283,0)+INDEX($BD$13:$BL$162,BP5283,0))/100)))&gt;0)*($D$10:$L$10-($D$9:$L$9+INT(($S$12:$AA$12+INDEX($AJ$13:$AR$162,BN5283,0)+INDEX($AT$13:$BB$162,BO5283,0)+INDEX($BD$13:$BL$162,BP5283,0))/100)))),0)</f>
        <v/>
      </c>
      <c r="BS5283">
        <f>IF(5270&lt;$U$9,SUMPRODUCT(($D$9:$L$9+INT(($S$12:$AA$12+INDEX($AJ$13:$AR$162,BN5283,0)+INDEX($AT$13:$BB$162,BO5283,0)+INDEX($BD$13:$BL$162,BP5283,0))/100))),0)</f>
        <v/>
      </c>
      <c r="BT5283">
        <f>IF(AND(5270&lt;$U$9,$W$5),BQ5283*1000000-MIN(BR5283,999)*1000+BS5283-5270/100000,-1000000000-5270)</f>
        <v/>
      </c>
    </row>
    <row r="5284">
      <c r="BN5284">
        <f>IF(5271&lt;$U$9,INT(5271/($U$7*$U$8))+1,1)</f>
        <v/>
      </c>
      <c r="BO5284">
        <f>IF(5271&lt;$U$9,MOD(INT(5271/$U$8),$U$7)+1,1)</f>
        <v/>
      </c>
      <c r="BP5284">
        <f>IF(5271&lt;$U$9,MOD(5271,$U$8)+1,1)</f>
        <v/>
      </c>
      <c r="BQ5284">
        <f>IF(5271&lt;$U$9,SUMPRODUCT(($D$10:$L$10&lt;&gt;"")*(($D$9:$L$9+INT(($S$12:$AA$12+INDEX($AJ$13:$AR$162,BN5284,0)+INDEX($AT$13:$BB$162,BO5284,0)+INDEX($BD$13:$BL$162,BP5284,0))/100))&gt;=$D$10:$L$10)),0)</f>
        <v/>
      </c>
      <c r="BR5284">
        <f>IF(5271&lt;$U$9,SUMPRODUCT(($D$10:$L$10&lt;&gt;"")*(($D$10:$L$10-($D$9:$L$9+INT(($S$12:$AA$12+INDEX($AJ$13:$AR$162,BN5284,0)+INDEX($AT$13:$BB$162,BO5284,0)+INDEX($BD$13:$BL$162,BP5284,0))/100)))&gt;0)*($D$10:$L$10-($D$9:$L$9+INT(($S$12:$AA$12+INDEX($AJ$13:$AR$162,BN5284,0)+INDEX($AT$13:$BB$162,BO5284,0)+INDEX($BD$13:$BL$162,BP5284,0))/100)))),0)</f>
        <v/>
      </c>
      <c r="BS5284">
        <f>IF(5271&lt;$U$9,SUMPRODUCT(($D$9:$L$9+INT(($S$12:$AA$12+INDEX($AJ$13:$AR$162,BN5284,0)+INDEX($AT$13:$BB$162,BO5284,0)+INDEX($BD$13:$BL$162,BP5284,0))/100))),0)</f>
        <v/>
      </c>
      <c r="BT5284">
        <f>IF(AND(5271&lt;$U$9,$W$5),BQ5284*1000000-MIN(BR5284,999)*1000+BS5284-5271/100000,-1000000000-5271)</f>
        <v/>
      </c>
    </row>
    <row r="5285">
      <c r="BN5285">
        <f>IF(5272&lt;$U$9,INT(5272/($U$7*$U$8))+1,1)</f>
        <v/>
      </c>
      <c r="BO5285">
        <f>IF(5272&lt;$U$9,MOD(INT(5272/$U$8),$U$7)+1,1)</f>
        <v/>
      </c>
      <c r="BP5285">
        <f>IF(5272&lt;$U$9,MOD(5272,$U$8)+1,1)</f>
        <v/>
      </c>
      <c r="BQ5285">
        <f>IF(5272&lt;$U$9,SUMPRODUCT(($D$10:$L$10&lt;&gt;"")*(($D$9:$L$9+INT(($S$12:$AA$12+INDEX($AJ$13:$AR$162,BN5285,0)+INDEX($AT$13:$BB$162,BO5285,0)+INDEX($BD$13:$BL$162,BP5285,0))/100))&gt;=$D$10:$L$10)),0)</f>
        <v/>
      </c>
      <c r="BR5285">
        <f>IF(5272&lt;$U$9,SUMPRODUCT(($D$10:$L$10&lt;&gt;"")*(($D$10:$L$10-($D$9:$L$9+INT(($S$12:$AA$12+INDEX($AJ$13:$AR$162,BN5285,0)+INDEX($AT$13:$BB$162,BO5285,0)+INDEX($BD$13:$BL$162,BP5285,0))/100)))&gt;0)*($D$10:$L$10-($D$9:$L$9+INT(($S$12:$AA$12+INDEX($AJ$13:$AR$162,BN5285,0)+INDEX($AT$13:$BB$162,BO5285,0)+INDEX($BD$13:$BL$162,BP5285,0))/100)))),0)</f>
        <v/>
      </c>
      <c r="BS5285">
        <f>IF(5272&lt;$U$9,SUMPRODUCT(($D$9:$L$9+INT(($S$12:$AA$12+INDEX($AJ$13:$AR$162,BN5285,0)+INDEX($AT$13:$BB$162,BO5285,0)+INDEX($BD$13:$BL$162,BP5285,0))/100))),0)</f>
        <v/>
      </c>
      <c r="BT5285">
        <f>IF(AND(5272&lt;$U$9,$W$5),BQ5285*1000000-MIN(BR5285,999)*1000+BS5285-5272/100000,-1000000000-5272)</f>
        <v/>
      </c>
    </row>
    <row r="5286">
      <c r="BN5286">
        <f>IF(5273&lt;$U$9,INT(5273/($U$7*$U$8))+1,1)</f>
        <v/>
      </c>
      <c r="BO5286">
        <f>IF(5273&lt;$U$9,MOD(INT(5273/$U$8),$U$7)+1,1)</f>
        <v/>
      </c>
      <c r="BP5286">
        <f>IF(5273&lt;$U$9,MOD(5273,$U$8)+1,1)</f>
        <v/>
      </c>
      <c r="BQ5286">
        <f>IF(5273&lt;$U$9,SUMPRODUCT(($D$10:$L$10&lt;&gt;"")*(($D$9:$L$9+INT(($S$12:$AA$12+INDEX($AJ$13:$AR$162,BN5286,0)+INDEX($AT$13:$BB$162,BO5286,0)+INDEX($BD$13:$BL$162,BP5286,0))/100))&gt;=$D$10:$L$10)),0)</f>
        <v/>
      </c>
      <c r="BR5286">
        <f>IF(5273&lt;$U$9,SUMPRODUCT(($D$10:$L$10&lt;&gt;"")*(($D$10:$L$10-($D$9:$L$9+INT(($S$12:$AA$12+INDEX($AJ$13:$AR$162,BN5286,0)+INDEX($AT$13:$BB$162,BO5286,0)+INDEX($BD$13:$BL$162,BP5286,0))/100)))&gt;0)*($D$10:$L$10-($D$9:$L$9+INT(($S$12:$AA$12+INDEX($AJ$13:$AR$162,BN5286,0)+INDEX($AT$13:$BB$162,BO5286,0)+INDEX($BD$13:$BL$162,BP5286,0))/100)))),0)</f>
        <v/>
      </c>
      <c r="BS5286">
        <f>IF(5273&lt;$U$9,SUMPRODUCT(($D$9:$L$9+INT(($S$12:$AA$12+INDEX($AJ$13:$AR$162,BN5286,0)+INDEX($AT$13:$BB$162,BO5286,0)+INDEX($BD$13:$BL$162,BP5286,0))/100))),0)</f>
        <v/>
      </c>
      <c r="BT5286">
        <f>IF(AND(5273&lt;$U$9,$W$5),BQ5286*1000000-MIN(BR5286,999)*1000+BS5286-5273/100000,-1000000000-5273)</f>
        <v/>
      </c>
    </row>
    <row r="5287">
      <c r="BN5287">
        <f>IF(5274&lt;$U$9,INT(5274/($U$7*$U$8))+1,1)</f>
        <v/>
      </c>
      <c r="BO5287">
        <f>IF(5274&lt;$U$9,MOD(INT(5274/$U$8),$U$7)+1,1)</f>
        <v/>
      </c>
      <c r="BP5287">
        <f>IF(5274&lt;$U$9,MOD(5274,$U$8)+1,1)</f>
        <v/>
      </c>
      <c r="BQ5287">
        <f>IF(5274&lt;$U$9,SUMPRODUCT(($D$10:$L$10&lt;&gt;"")*(($D$9:$L$9+INT(($S$12:$AA$12+INDEX($AJ$13:$AR$162,BN5287,0)+INDEX($AT$13:$BB$162,BO5287,0)+INDEX($BD$13:$BL$162,BP5287,0))/100))&gt;=$D$10:$L$10)),0)</f>
        <v/>
      </c>
      <c r="BR5287">
        <f>IF(5274&lt;$U$9,SUMPRODUCT(($D$10:$L$10&lt;&gt;"")*(($D$10:$L$10-($D$9:$L$9+INT(($S$12:$AA$12+INDEX($AJ$13:$AR$162,BN5287,0)+INDEX($AT$13:$BB$162,BO5287,0)+INDEX($BD$13:$BL$162,BP5287,0))/100)))&gt;0)*($D$10:$L$10-($D$9:$L$9+INT(($S$12:$AA$12+INDEX($AJ$13:$AR$162,BN5287,0)+INDEX($AT$13:$BB$162,BO5287,0)+INDEX($BD$13:$BL$162,BP5287,0))/100)))),0)</f>
        <v/>
      </c>
      <c r="BS5287">
        <f>IF(5274&lt;$U$9,SUMPRODUCT(($D$9:$L$9+INT(($S$12:$AA$12+INDEX($AJ$13:$AR$162,BN5287,0)+INDEX($AT$13:$BB$162,BO5287,0)+INDEX($BD$13:$BL$162,BP5287,0))/100))),0)</f>
        <v/>
      </c>
      <c r="BT5287">
        <f>IF(AND(5274&lt;$U$9,$W$5),BQ5287*1000000-MIN(BR5287,999)*1000+BS5287-5274/100000,-1000000000-5274)</f>
        <v/>
      </c>
    </row>
    <row r="5288">
      <c r="BN5288">
        <f>IF(5275&lt;$U$9,INT(5275/($U$7*$U$8))+1,1)</f>
        <v/>
      </c>
      <c r="BO5288">
        <f>IF(5275&lt;$U$9,MOD(INT(5275/$U$8),$U$7)+1,1)</f>
        <v/>
      </c>
      <c r="BP5288">
        <f>IF(5275&lt;$U$9,MOD(5275,$U$8)+1,1)</f>
        <v/>
      </c>
      <c r="BQ5288">
        <f>IF(5275&lt;$U$9,SUMPRODUCT(($D$10:$L$10&lt;&gt;"")*(($D$9:$L$9+INT(($S$12:$AA$12+INDEX($AJ$13:$AR$162,BN5288,0)+INDEX($AT$13:$BB$162,BO5288,0)+INDEX($BD$13:$BL$162,BP5288,0))/100))&gt;=$D$10:$L$10)),0)</f>
        <v/>
      </c>
      <c r="BR5288">
        <f>IF(5275&lt;$U$9,SUMPRODUCT(($D$10:$L$10&lt;&gt;"")*(($D$10:$L$10-($D$9:$L$9+INT(($S$12:$AA$12+INDEX($AJ$13:$AR$162,BN5288,0)+INDEX($AT$13:$BB$162,BO5288,0)+INDEX($BD$13:$BL$162,BP5288,0))/100)))&gt;0)*($D$10:$L$10-($D$9:$L$9+INT(($S$12:$AA$12+INDEX($AJ$13:$AR$162,BN5288,0)+INDEX($AT$13:$BB$162,BO5288,0)+INDEX($BD$13:$BL$162,BP5288,0))/100)))),0)</f>
        <v/>
      </c>
      <c r="BS5288">
        <f>IF(5275&lt;$U$9,SUMPRODUCT(($D$9:$L$9+INT(($S$12:$AA$12+INDEX($AJ$13:$AR$162,BN5288,0)+INDEX($AT$13:$BB$162,BO5288,0)+INDEX($BD$13:$BL$162,BP5288,0))/100))),0)</f>
        <v/>
      </c>
      <c r="BT5288">
        <f>IF(AND(5275&lt;$U$9,$W$5),BQ5288*1000000-MIN(BR5288,999)*1000+BS5288-5275/100000,-1000000000-5275)</f>
        <v/>
      </c>
    </row>
    <row r="5289">
      <c r="BN5289">
        <f>IF(5276&lt;$U$9,INT(5276/($U$7*$U$8))+1,1)</f>
        <v/>
      </c>
      <c r="BO5289">
        <f>IF(5276&lt;$U$9,MOD(INT(5276/$U$8),$U$7)+1,1)</f>
        <v/>
      </c>
      <c r="BP5289">
        <f>IF(5276&lt;$U$9,MOD(5276,$U$8)+1,1)</f>
        <v/>
      </c>
      <c r="BQ5289">
        <f>IF(5276&lt;$U$9,SUMPRODUCT(($D$10:$L$10&lt;&gt;"")*(($D$9:$L$9+INT(($S$12:$AA$12+INDEX($AJ$13:$AR$162,BN5289,0)+INDEX($AT$13:$BB$162,BO5289,0)+INDEX($BD$13:$BL$162,BP5289,0))/100))&gt;=$D$10:$L$10)),0)</f>
        <v/>
      </c>
      <c r="BR5289">
        <f>IF(5276&lt;$U$9,SUMPRODUCT(($D$10:$L$10&lt;&gt;"")*(($D$10:$L$10-($D$9:$L$9+INT(($S$12:$AA$12+INDEX($AJ$13:$AR$162,BN5289,0)+INDEX($AT$13:$BB$162,BO5289,0)+INDEX($BD$13:$BL$162,BP5289,0))/100)))&gt;0)*($D$10:$L$10-($D$9:$L$9+INT(($S$12:$AA$12+INDEX($AJ$13:$AR$162,BN5289,0)+INDEX($AT$13:$BB$162,BO5289,0)+INDEX($BD$13:$BL$162,BP5289,0))/100)))),0)</f>
        <v/>
      </c>
      <c r="BS5289">
        <f>IF(5276&lt;$U$9,SUMPRODUCT(($D$9:$L$9+INT(($S$12:$AA$12+INDEX($AJ$13:$AR$162,BN5289,0)+INDEX($AT$13:$BB$162,BO5289,0)+INDEX($BD$13:$BL$162,BP5289,0))/100))),0)</f>
        <v/>
      </c>
      <c r="BT5289">
        <f>IF(AND(5276&lt;$U$9,$W$5),BQ5289*1000000-MIN(BR5289,999)*1000+BS5289-5276/100000,-1000000000-5276)</f>
        <v/>
      </c>
    </row>
    <row r="5290">
      <c r="BN5290">
        <f>IF(5277&lt;$U$9,INT(5277/($U$7*$U$8))+1,1)</f>
        <v/>
      </c>
      <c r="BO5290">
        <f>IF(5277&lt;$U$9,MOD(INT(5277/$U$8),$U$7)+1,1)</f>
        <v/>
      </c>
      <c r="BP5290">
        <f>IF(5277&lt;$U$9,MOD(5277,$U$8)+1,1)</f>
        <v/>
      </c>
      <c r="BQ5290">
        <f>IF(5277&lt;$U$9,SUMPRODUCT(($D$10:$L$10&lt;&gt;"")*(($D$9:$L$9+INT(($S$12:$AA$12+INDEX($AJ$13:$AR$162,BN5290,0)+INDEX($AT$13:$BB$162,BO5290,0)+INDEX($BD$13:$BL$162,BP5290,0))/100))&gt;=$D$10:$L$10)),0)</f>
        <v/>
      </c>
      <c r="BR5290">
        <f>IF(5277&lt;$U$9,SUMPRODUCT(($D$10:$L$10&lt;&gt;"")*(($D$10:$L$10-($D$9:$L$9+INT(($S$12:$AA$12+INDEX($AJ$13:$AR$162,BN5290,0)+INDEX($AT$13:$BB$162,BO5290,0)+INDEX($BD$13:$BL$162,BP5290,0))/100)))&gt;0)*($D$10:$L$10-($D$9:$L$9+INT(($S$12:$AA$12+INDEX($AJ$13:$AR$162,BN5290,0)+INDEX($AT$13:$BB$162,BO5290,0)+INDEX($BD$13:$BL$162,BP5290,0))/100)))),0)</f>
        <v/>
      </c>
      <c r="BS5290">
        <f>IF(5277&lt;$U$9,SUMPRODUCT(($D$9:$L$9+INT(($S$12:$AA$12+INDEX($AJ$13:$AR$162,BN5290,0)+INDEX($AT$13:$BB$162,BO5290,0)+INDEX($BD$13:$BL$162,BP5290,0))/100))),0)</f>
        <v/>
      </c>
      <c r="BT5290">
        <f>IF(AND(5277&lt;$U$9,$W$5),BQ5290*1000000-MIN(BR5290,999)*1000+BS5290-5277/100000,-1000000000-5277)</f>
        <v/>
      </c>
    </row>
    <row r="5291">
      <c r="BN5291">
        <f>IF(5278&lt;$U$9,INT(5278/($U$7*$U$8))+1,1)</f>
        <v/>
      </c>
      <c r="BO5291">
        <f>IF(5278&lt;$U$9,MOD(INT(5278/$U$8),$U$7)+1,1)</f>
        <v/>
      </c>
      <c r="BP5291">
        <f>IF(5278&lt;$U$9,MOD(5278,$U$8)+1,1)</f>
        <v/>
      </c>
      <c r="BQ5291">
        <f>IF(5278&lt;$U$9,SUMPRODUCT(($D$10:$L$10&lt;&gt;"")*(($D$9:$L$9+INT(($S$12:$AA$12+INDEX($AJ$13:$AR$162,BN5291,0)+INDEX($AT$13:$BB$162,BO5291,0)+INDEX($BD$13:$BL$162,BP5291,0))/100))&gt;=$D$10:$L$10)),0)</f>
        <v/>
      </c>
      <c r="BR5291">
        <f>IF(5278&lt;$U$9,SUMPRODUCT(($D$10:$L$10&lt;&gt;"")*(($D$10:$L$10-($D$9:$L$9+INT(($S$12:$AA$12+INDEX($AJ$13:$AR$162,BN5291,0)+INDEX($AT$13:$BB$162,BO5291,0)+INDEX($BD$13:$BL$162,BP5291,0))/100)))&gt;0)*($D$10:$L$10-($D$9:$L$9+INT(($S$12:$AA$12+INDEX($AJ$13:$AR$162,BN5291,0)+INDEX($AT$13:$BB$162,BO5291,0)+INDEX($BD$13:$BL$162,BP5291,0))/100)))),0)</f>
        <v/>
      </c>
      <c r="BS5291">
        <f>IF(5278&lt;$U$9,SUMPRODUCT(($D$9:$L$9+INT(($S$12:$AA$12+INDEX($AJ$13:$AR$162,BN5291,0)+INDEX($AT$13:$BB$162,BO5291,0)+INDEX($BD$13:$BL$162,BP5291,0))/100))),0)</f>
        <v/>
      </c>
      <c r="BT5291">
        <f>IF(AND(5278&lt;$U$9,$W$5),BQ5291*1000000-MIN(BR5291,999)*1000+BS5291-5278/100000,-1000000000-5278)</f>
        <v/>
      </c>
    </row>
    <row r="5292">
      <c r="BN5292">
        <f>IF(5279&lt;$U$9,INT(5279/($U$7*$U$8))+1,1)</f>
        <v/>
      </c>
      <c r="BO5292">
        <f>IF(5279&lt;$U$9,MOD(INT(5279/$U$8),$U$7)+1,1)</f>
        <v/>
      </c>
      <c r="BP5292">
        <f>IF(5279&lt;$U$9,MOD(5279,$U$8)+1,1)</f>
        <v/>
      </c>
      <c r="BQ5292">
        <f>IF(5279&lt;$U$9,SUMPRODUCT(($D$10:$L$10&lt;&gt;"")*(($D$9:$L$9+INT(($S$12:$AA$12+INDEX($AJ$13:$AR$162,BN5292,0)+INDEX($AT$13:$BB$162,BO5292,0)+INDEX($BD$13:$BL$162,BP5292,0))/100))&gt;=$D$10:$L$10)),0)</f>
        <v/>
      </c>
      <c r="BR5292">
        <f>IF(5279&lt;$U$9,SUMPRODUCT(($D$10:$L$10&lt;&gt;"")*(($D$10:$L$10-($D$9:$L$9+INT(($S$12:$AA$12+INDEX($AJ$13:$AR$162,BN5292,0)+INDEX($AT$13:$BB$162,BO5292,0)+INDEX($BD$13:$BL$162,BP5292,0))/100)))&gt;0)*($D$10:$L$10-($D$9:$L$9+INT(($S$12:$AA$12+INDEX($AJ$13:$AR$162,BN5292,0)+INDEX($AT$13:$BB$162,BO5292,0)+INDEX($BD$13:$BL$162,BP5292,0))/100)))),0)</f>
        <v/>
      </c>
      <c r="BS5292">
        <f>IF(5279&lt;$U$9,SUMPRODUCT(($D$9:$L$9+INT(($S$12:$AA$12+INDEX($AJ$13:$AR$162,BN5292,0)+INDEX($AT$13:$BB$162,BO5292,0)+INDEX($BD$13:$BL$162,BP5292,0))/100))),0)</f>
        <v/>
      </c>
      <c r="BT5292">
        <f>IF(AND(5279&lt;$U$9,$W$5),BQ5292*1000000-MIN(BR5292,999)*1000+BS5292-5279/100000,-1000000000-5279)</f>
        <v/>
      </c>
    </row>
    <row r="5293">
      <c r="BN5293">
        <f>IF(5280&lt;$U$9,INT(5280/($U$7*$U$8))+1,1)</f>
        <v/>
      </c>
      <c r="BO5293">
        <f>IF(5280&lt;$U$9,MOD(INT(5280/$U$8),$U$7)+1,1)</f>
        <v/>
      </c>
      <c r="BP5293">
        <f>IF(5280&lt;$U$9,MOD(5280,$U$8)+1,1)</f>
        <v/>
      </c>
      <c r="BQ5293">
        <f>IF(5280&lt;$U$9,SUMPRODUCT(($D$10:$L$10&lt;&gt;"")*(($D$9:$L$9+INT(($S$12:$AA$12+INDEX($AJ$13:$AR$162,BN5293,0)+INDEX($AT$13:$BB$162,BO5293,0)+INDEX($BD$13:$BL$162,BP5293,0))/100))&gt;=$D$10:$L$10)),0)</f>
        <v/>
      </c>
      <c r="BR5293">
        <f>IF(5280&lt;$U$9,SUMPRODUCT(($D$10:$L$10&lt;&gt;"")*(($D$10:$L$10-($D$9:$L$9+INT(($S$12:$AA$12+INDEX($AJ$13:$AR$162,BN5293,0)+INDEX($AT$13:$BB$162,BO5293,0)+INDEX($BD$13:$BL$162,BP5293,0))/100)))&gt;0)*($D$10:$L$10-($D$9:$L$9+INT(($S$12:$AA$12+INDEX($AJ$13:$AR$162,BN5293,0)+INDEX($AT$13:$BB$162,BO5293,0)+INDEX($BD$13:$BL$162,BP5293,0))/100)))),0)</f>
        <v/>
      </c>
      <c r="BS5293">
        <f>IF(5280&lt;$U$9,SUMPRODUCT(($D$9:$L$9+INT(($S$12:$AA$12+INDEX($AJ$13:$AR$162,BN5293,0)+INDEX($AT$13:$BB$162,BO5293,0)+INDEX($BD$13:$BL$162,BP5293,0))/100))),0)</f>
        <v/>
      </c>
      <c r="BT5293">
        <f>IF(AND(5280&lt;$U$9,$W$5),BQ5293*1000000-MIN(BR5293,999)*1000+BS5293-5280/100000,-1000000000-5280)</f>
        <v/>
      </c>
    </row>
    <row r="5294">
      <c r="BN5294">
        <f>IF(5281&lt;$U$9,INT(5281/($U$7*$U$8))+1,1)</f>
        <v/>
      </c>
      <c r="BO5294">
        <f>IF(5281&lt;$U$9,MOD(INT(5281/$U$8),$U$7)+1,1)</f>
        <v/>
      </c>
      <c r="BP5294">
        <f>IF(5281&lt;$U$9,MOD(5281,$U$8)+1,1)</f>
        <v/>
      </c>
      <c r="BQ5294">
        <f>IF(5281&lt;$U$9,SUMPRODUCT(($D$10:$L$10&lt;&gt;"")*(($D$9:$L$9+INT(($S$12:$AA$12+INDEX($AJ$13:$AR$162,BN5294,0)+INDEX($AT$13:$BB$162,BO5294,0)+INDEX($BD$13:$BL$162,BP5294,0))/100))&gt;=$D$10:$L$10)),0)</f>
        <v/>
      </c>
      <c r="BR5294">
        <f>IF(5281&lt;$U$9,SUMPRODUCT(($D$10:$L$10&lt;&gt;"")*(($D$10:$L$10-($D$9:$L$9+INT(($S$12:$AA$12+INDEX($AJ$13:$AR$162,BN5294,0)+INDEX($AT$13:$BB$162,BO5294,0)+INDEX($BD$13:$BL$162,BP5294,0))/100)))&gt;0)*($D$10:$L$10-($D$9:$L$9+INT(($S$12:$AA$12+INDEX($AJ$13:$AR$162,BN5294,0)+INDEX($AT$13:$BB$162,BO5294,0)+INDEX($BD$13:$BL$162,BP5294,0))/100)))),0)</f>
        <v/>
      </c>
      <c r="BS5294">
        <f>IF(5281&lt;$U$9,SUMPRODUCT(($D$9:$L$9+INT(($S$12:$AA$12+INDEX($AJ$13:$AR$162,BN5294,0)+INDEX($AT$13:$BB$162,BO5294,0)+INDEX($BD$13:$BL$162,BP5294,0))/100))),0)</f>
        <v/>
      </c>
      <c r="BT5294">
        <f>IF(AND(5281&lt;$U$9,$W$5),BQ5294*1000000-MIN(BR5294,999)*1000+BS5294-5281/100000,-1000000000-5281)</f>
        <v/>
      </c>
    </row>
    <row r="5295">
      <c r="BN5295">
        <f>IF(5282&lt;$U$9,INT(5282/($U$7*$U$8))+1,1)</f>
        <v/>
      </c>
      <c r="BO5295">
        <f>IF(5282&lt;$U$9,MOD(INT(5282/$U$8),$U$7)+1,1)</f>
        <v/>
      </c>
      <c r="BP5295">
        <f>IF(5282&lt;$U$9,MOD(5282,$U$8)+1,1)</f>
        <v/>
      </c>
      <c r="BQ5295">
        <f>IF(5282&lt;$U$9,SUMPRODUCT(($D$10:$L$10&lt;&gt;"")*(($D$9:$L$9+INT(($S$12:$AA$12+INDEX($AJ$13:$AR$162,BN5295,0)+INDEX($AT$13:$BB$162,BO5295,0)+INDEX($BD$13:$BL$162,BP5295,0))/100))&gt;=$D$10:$L$10)),0)</f>
        <v/>
      </c>
      <c r="BR5295">
        <f>IF(5282&lt;$U$9,SUMPRODUCT(($D$10:$L$10&lt;&gt;"")*(($D$10:$L$10-($D$9:$L$9+INT(($S$12:$AA$12+INDEX($AJ$13:$AR$162,BN5295,0)+INDEX($AT$13:$BB$162,BO5295,0)+INDEX($BD$13:$BL$162,BP5295,0))/100)))&gt;0)*($D$10:$L$10-($D$9:$L$9+INT(($S$12:$AA$12+INDEX($AJ$13:$AR$162,BN5295,0)+INDEX($AT$13:$BB$162,BO5295,0)+INDEX($BD$13:$BL$162,BP5295,0))/100)))),0)</f>
        <v/>
      </c>
      <c r="BS5295">
        <f>IF(5282&lt;$U$9,SUMPRODUCT(($D$9:$L$9+INT(($S$12:$AA$12+INDEX($AJ$13:$AR$162,BN5295,0)+INDEX($AT$13:$BB$162,BO5295,0)+INDEX($BD$13:$BL$162,BP5295,0))/100))),0)</f>
        <v/>
      </c>
      <c r="BT5295">
        <f>IF(AND(5282&lt;$U$9,$W$5),BQ5295*1000000-MIN(BR5295,999)*1000+BS5295-5282/100000,-1000000000-5282)</f>
        <v/>
      </c>
    </row>
    <row r="5296">
      <c r="BN5296">
        <f>IF(5283&lt;$U$9,INT(5283/($U$7*$U$8))+1,1)</f>
        <v/>
      </c>
      <c r="BO5296">
        <f>IF(5283&lt;$U$9,MOD(INT(5283/$U$8),$U$7)+1,1)</f>
        <v/>
      </c>
      <c r="BP5296">
        <f>IF(5283&lt;$U$9,MOD(5283,$U$8)+1,1)</f>
        <v/>
      </c>
      <c r="BQ5296">
        <f>IF(5283&lt;$U$9,SUMPRODUCT(($D$10:$L$10&lt;&gt;"")*(($D$9:$L$9+INT(($S$12:$AA$12+INDEX($AJ$13:$AR$162,BN5296,0)+INDEX($AT$13:$BB$162,BO5296,0)+INDEX($BD$13:$BL$162,BP5296,0))/100))&gt;=$D$10:$L$10)),0)</f>
        <v/>
      </c>
      <c r="BR5296">
        <f>IF(5283&lt;$U$9,SUMPRODUCT(($D$10:$L$10&lt;&gt;"")*(($D$10:$L$10-($D$9:$L$9+INT(($S$12:$AA$12+INDEX($AJ$13:$AR$162,BN5296,0)+INDEX($AT$13:$BB$162,BO5296,0)+INDEX($BD$13:$BL$162,BP5296,0))/100)))&gt;0)*($D$10:$L$10-($D$9:$L$9+INT(($S$12:$AA$12+INDEX($AJ$13:$AR$162,BN5296,0)+INDEX($AT$13:$BB$162,BO5296,0)+INDEX($BD$13:$BL$162,BP5296,0))/100)))),0)</f>
        <v/>
      </c>
      <c r="BS5296">
        <f>IF(5283&lt;$U$9,SUMPRODUCT(($D$9:$L$9+INT(($S$12:$AA$12+INDEX($AJ$13:$AR$162,BN5296,0)+INDEX($AT$13:$BB$162,BO5296,0)+INDEX($BD$13:$BL$162,BP5296,0))/100))),0)</f>
        <v/>
      </c>
      <c r="BT5296">
        <f>IF(AND(5283&lt;$U$9,$W$5),BQ5296*1000000-MIN(BR5296,999)*1000+BS5296-5283/100000,-1000000000-5283)</f>
        <v/>
      </c>
    </row>
    <row r="5297">
      <c r="BN5297">
        <f>IF(5284&lt;$U$9,INT(5284/($U$7*$U$8))+1,1)</f>
        <v/>
      </c>
      <c r="BO5297">
        <f>IF(5284&lt;$U$9,MOD(INT(5284/$U$8),$U$7)+1,1)</f>
        <v/>
      </c>
      <c r="BP5297">
        <f>IF(5284&lt;$U$9,MOD(5284,$U$8)+1,1)</f>
        <v/>
      </c>
      <c r="BQ5297">
        <f>IF(5284&lt;$U$9,SUMPRODUCT(($D$10:$L$10&lt;&gt;"")*(($D$9:$L$9+INT(($S$12:$AA$12+INDEX($AJ$13:$AR$162,BN5297,0)+INDEX($AT$13:$BB$162,BO5297,0)+INDEX($BD$13:$BL$162,BP5297,0))/100))&gt;=$D$10:$L$10)),0)</f>
        <v/>
      </c>
      <c r="BR5297">
        <f>IF(5284&lt;$U$9,SUMPRODUCT(($D$10:$L$10&lt;&gt;"")*(($D$10:$L$10-($D$9:$L$9+INT(($S$12:$AA$12+INDEX($AJ$13:$AR$162,BN5297,0)+INDEX($AT$13:$BB$162,BO5297,0)+INDEX($BD$13:$BL$162,BP5297,0))/100)))&gt;0)*($D$10:$L$10-($D$9:$L$9+INT(($S$12:$AA$12+INDEX($AJ$13:$AR$162,BN5297,0)+INDEX($AT$13:$BB$162,BO5297,0)+INDEX($BD$13:$BL$162,BP5297,0))/100)))),0)</f>
        <v/>
      </c>
      <c r="BS5297">
        <f>IF(5284&lt;$U$9,SUMPRODUCT(($D$9:$L$9+INT(($S$12:$AA$12+INDEX($AJ$13:$AR$162,BN5297,0)+INDEX($AT$13:$BB$162,BO5297,0)+INDEX($BD$13:$BL$162,BP5297,0))/100))),0)</f>
        <v/>
      </c>
      <c r="BT5297">
        <f>IF(AND(5284&lt;$U$9,$W$5),BQ5297*1000000-MIN(BR5297,999)*1000+BS5297-5284/100000,-1000000000-5284)</f>
        <v/>
      </c>
    </row>
    <row r="5298">
      <c r="BN5298">
        <f>IF(5285&lt;$U$9,INT(5285/($U$7*$U$8))+1,1)</f>
        <v/>
      </c>
      <c r="BO5298">
        <f>IF(5285&lt;$U$9,MOD(INT(5285/$U$8),$U$7)+1,1)</f>
        <v/>
      </c>
      <c r="BP5298">
        <f>IF(5285&lt;$U$9,MOD(5285,$U$8)+1,1)</f>
        <v/>
      </c>
      <c r="BQ5298">
        <f>IF(5285&lt;$U$9,SUMPRODUCT(($D$10:$L$10&lt;&gt;"")*(($D$9:$L$9+INT(($S$12:$AA$12+INDEX($AJ$13:$AR$162,BN5298,0)+INDEX($AT$13:$BB$162,BO5298,0)+INDEX($BD$13:$BL$162,BP5298,0))/100))&gt;=$D$10:$L$10)),0)</f>
        <v/>
      </c>
      <c r="BR5298">
        <f>IF(5285&lt;$U$9,SUMPRODUCT(($D$10:$L$10&lt;&gt;"")*(($D$10:$L$10-($D$9:$L$9+INT(($S$12:$AA$12+INDEX($AJ$13:$AR$162,BN5298,0)+INDEX($AT$13:$BB$162,BO5298,0)+INDEX($BD$13:$BL$162,BP5298,0))/100)))&gt;0)*($D$10:$L$10-($D$9:$L$9+INT(($S$12:$AA$12+INDEX($AJ$13:$AR$162,BN5298,0)+INDEX($AT$13:$BB$162,BO5298,0)+INDEX($BD$13:$BL$162,BP5298,0))/100)))),0)</f>
        <v/>
      </c>
      <c r="BS5298">
        <f>IF(5285&lt;$U$9,SUMPRODUCT(($D$9:$L$9+INT(($S$12:$AA$12+INDEX($AJ$13:$AR$162,BN5298,0)+INDEX($AT$13:$BB$162,BO5298,0)+INDEX($BD$13:$BL$162,BP5298,0))/100))),0)</f>
        <v/>
      </c>
      <c r="BT5298">
        <f>IF(AND(5285&lt;$U$9,$W$5),BQ5298*1000000-MIN(BR5298,999)*1000+BS5298-5285/100000,-1000000000-5285)</f>
        <v/>
      </c>
    </row>
    <row r="5299">
      <c r="BN5299">
        <f>IF(5286&lt;$U$9,INT(5286/($U$7*$U$8))+1,1)</f>
        <v/>
      </c>
      <c r="BO5299">
        <f>IF(5286&lt;$U$9,MOD(INT(5286/$U$8),$U$7)+1,1)</f>
        <v/>
      </c>
      <c r="BP5299">
        <f>IF(5286&lt;$U$9,MOD(5286,$U$8)+1,1)</f>
        <v/>
      </c>
      <c r="BQ5299">
        <f>IF(5286&lt;$U$9,SUMPRODUCT(($D$10:$L$10&lt;&gt;"")*(($D$9:$L$9+INT(($S$12:$AA$12+INDEX($AJ$13:$AR$162,BN5299,0)+INDEX($AT$13:$BB$162,BO5299,0)+INDEX($BD$13:$BL$162,BP5299,0))/100))&gt;=$D$10:$L$10)),0)</f>
        <v/>
      </c>
      <c r="BR5299">
        <f>IF(5286&lt;$U$9,SUMPRODUCT(($D$10:$L$10&lt;&gt;"")*(($D$10:$L$10-($D$9:$L$9+INT(($S$12:$AA$12+INDEX($AJ$13:$AR$162,BN5299,0)+INDEX($AT$13:$BB$162,BO5299,0)+INDEX($BD$13:$BL$162,BP5299,0))/100)))&gt;0)*($D$10:$L$10-($D$9:$L$9+INT(($S$12:$AA$12+INDEX($AJ$13:$AR$162,BN5299,0)+INDEX($AT$13:$BB$162,BO5299,0)+INDEX($BD$13:$BL$162,BP5299,0))/100)))),0)</f>
        <v/>
      </c>
      <c r="BS5299">
        <f>IF(5286&lt;$U$9,SUMPRODUCT(($D$9:$L$9+INT(($S$12:$AA$12+INDEX($AJ$13:$AR$162,BN5299,0)+INDEX($AT$13:$BB$162,BO5299,0)+INDEX($BD$13:$BL$162,BP5299,0))/100))),0)</f>
        <v/>
      </c>
      <c r="BT5299">
        <f>IF(AND(5286&lt;$U$9,$W$5),BQ5299*1000000-MIN(BR5299,999)*1000+BS5299-5286/100000,-1000000000-5286)</f>
        <v/>
      </c>
    </row>
    <row r="5300">
      <c r="BN5300">
        <f>IF(5287&lt;$U$9,INT(5287/($U$7*$U$8))+1,1)</f>
        <v/>
      </c>
      <c r="BO5300">
        <f>IF(5287&lt;$U$9,MOD(INT(5287/$U$8),$U$7)+1,1)</f>
        <v/>
      </c>
      <c r="BP5300">
        <f>IF(5287&lt;$U$9,MOD(5287,$U$8)+1,1)</f>
        <v/>
      </c>
      <c r="BQ5300">
        <f>IF(5287&lt;$U$9,SUMPRODUCT(($D$10:$L$10&lt;&gt;"")*(($D$9:$L$9+INT(($S$12:$AA$12+INDEX($AJ$13:$AR$162,BN5300,0)+INDEX($AT$13:$BB$162,BO5300,0)+INDEX($BD$13:$BL$162,BP5300,0))/100))&gt;=$D$10:$L$10)),0)</f>
        <v/>
      </c>
      <c r="BR5300">
        <f>IF(5287&lt;$U$9,SUMPRODUCT(($D$10:$L$10&lt;&gt;"")*(($D$10:$L$10-($D$9:$L$9+INT(($S$12:$AA$12+INDEX($AJ$13:$AR$162,BN5300,0)+INDEX($AT$13:$BB$162,BO5300,0)+INDEX($BD$13:$BL$162,BP5300,0))/100)))&gt;0)*($D$10:$L$10-($D$9:$L$9+INT(($S$12:$AA$12+INDEX($AJ$13:$AR$162,BN5300,0)+INDEX($AT$13:$BB$162,BO5300,0)+INDEX($BD$13:$BL$162,BP5300,0))/100)))),0)</f>
        <v/>
      </c>
      <c r="BS5300">
        <f>IF(5287&lt;$U$9,SUMPRODUCT(($D$9:$L$9+INT(($S$12:$AA$12+INDEX($AJ$13:$AR$162,BN5300,0)+INDEX($AT$13:$BB$162,BO5300,0)+INDEX($BD$13:$BL$162,BP5300,0))/100))),0)</f>
        <v/>
      </c>
      <c r="BT5300">
        <f>IF(AND(5287&lt;$U$9,$W$5),BQ5300*1000000-MIN(BR5300,999)*1000+BS5300-5287/100000,-1000000000-5287)</f>
        <v/>
      </c>
    </row>
    <row r="5301">
      <c r="BN5301">
        <f>IF(5288&lt;$U$9,INT(5288/($U$7*$U$8))+1,1)</f>
        <v/>
      </c>
      <c r="BO5301">
        <f>IF(5288&lt;$U$9,MOD(INT(5288/$U$8),$U$7)+1,1)</f>
        <v/>
      </c>
      <c r="BP5301">
        <f>IF(5288&lt;$U$9,MOD(5288,$U$8)+1,1)</f>
        <v/>
      </c>
      <c r="BQ5301">
        <f>IF(5288&lt;$U$9,SUMPRODUCT(($D$10:$L$10&lt;&gt;"")*(($D$9:$L$9+INT(($S$12:$AA$12+INDEX($AJ$13:$AR$162,BN5301,0)+INDEX($AT$13:$BB$162,BO5301,0)+INDEX($BD$13:$BL$162,BP5301,0))/100))&gt;=$D$10:$L$10)),0)</f>
        <v/>
      </c>
      <c r="BR5301">
        <f>IF(5288&lt;$U$9,SUMPRODUCT(($D$10:$L$10&lt;&gt;"")*(($D$10:$L$10-($D$9:$L$9+INT(($S$12:$AA$12+INDEX($AJ$13:$AR$162,BN5301,0)+INDEX($AT$13:$BB$162,BO5301,0)+INDEX($BD$13:$BL$162,BP5301,0))/100)))&gt;0)*($D$10:$L$10-($D$9:$L$9+INT(($S$12:$AA$12+INDEX($AJ$13:$AR$162,BN5301,0)+INDEX($AT$13:$BB$162,BO5301,0)+INDEX($BD$13:$BL$162,BP5301,0))/100)))),0)</f>
        <v/>
      </c>
      <c r="BS5301">
        <f>IF(5288&lt;$U$9,SUMPRODUCT(($D$9:$L$9+INT(($S$12:$AA$12+INDEX($AJ$13:$AR$162,BN5301,0)+INDEX($AT$13:$BB$162,BO5301,0)+INDEX($BD$13:$BL$162,BP5301,0))/100))),0)</f>
        <v/>
      </c>
      <c r="BT5301">
        <f>IF(AND(5288&lt;$U$9,$W$5),BQ5301*1000000-MIN(BR5301,999)*1000+BS5301-5288/100000,-1000000000-5288)</f>
        <v/>
      </c>
    </row>
    <row r="5302">
      <c r="BN5302">
        <f>IF(5289&lt;$U$9,INT(5289/($U$7*$U$8))+1,1)</f>
        <v/>
      </c>
      <c r="BO5302">
        <f>IF(5289&lt;$U$9,MOD(INT(5289/$U$8),$U$7)+1,1)</f>
        <v/>
      </c>
      <c r="BP5302">
        <f>IF(5289&lt;$U$9,MOD(5289,$U$8)+1,1)</f>
        <v/>
      </c>
      <c r="BQ5302">
        <f>IF(5289&lt;$U$9,SUMPRODUCT(($D$10:$L$10&lt;&gt;"")*(($D$9:$L$9+INT(($S$12:$AA$12+INDEX($AJ$13:$AR$162,BN5302,0)+INDEX($AT$13:$BB$162,BO5302,0)+INDEX($BD$13:$BL$162,BP5302,0))/100))&gt;=$D$10:$L$10)),0)</f>
        <v/>
      </c>
      <c r="BR5302">
        <f>IF(5289&lt;$U$9,SUMPRODUCT(($D$10:$L$10&lt;&gt;"")*(($D$10:$L$10-($D$9:$L$9+INT(($S$12:$AA$12+INDEX($AJ$13:$AR$162,BN5302,0)+INDEX($AT$13:$BB$162,BO5302,0)+INDEX($BD$13:$BL$162,BP5302,0))/100)))&gt;0)*($D$10:$L$10-($D$9:$L$9+INT(($S$12:$AA$12+INDEX($AJ$13:$AR$162,BN5302,0)+INDEX($AT$13:$BB$162,BO5302,0)+INDEX($BD$13:$BL$162,BP5302,0))/100)))),0)</f>
        <v/>
      </c>
      <c r="BS5302">
        <f>IF(5289&lt;$U$9,SUMPRODUCT(($D$9:$L$9+INT(($S$12:$AA$12+INDEX($AJ$13:$AR$162,BN5302,0)+INDEX($AT$13:$BB$162,BO5302,0)+INDEX($BD$13:$BL$162,BP5302,0))/100))),0)</f>
        <v/>
      </c>
      <c r="BT5302">
        <f>IF(AND(5289&lt;$U$9,$W$5),BQ5302*1000000-MIN(BR5302,999)*1000+BS5302-5289/100000,-1000000000-5289)</f>
        <v/>
      </c>
    </row>
    <row r="5303">
      <c r="BN5303">
        <f>IF(5290&lt;$U$9,INT(5290/($U$7*$U$8))+1,1)</f>
        <v/>
      </c>
      <c r="BO5303">
        <f>IF(5290&lt;$U$9,MOD(INT(5290/$U$8),$U$7)+1,1)</f>
        <v/>
      </c>
      <c r="BP5303">
        <f>IF(5290&lt;$U$9,MOD(5290,$U$8)+1,1)</f>
        <v/>
      </c>
      <c r="BQ5303">
        <f>IF(5290&lt;$U$9,SUMPRODUCT(($D$10:$L$10&lt;&gt;"")*(($D$9:$L$9+INT(($S$12:$AA$12+INDEX($AJ$13:$AR$162,BN5303,0)+INDEX($AT$13:$BB$162,BO5303,0)+INDEX($BD$13:$BL$162,BP5303,0))/100))&gt;=$D$10:$L$10)),0)</f>
        <v/>
      </c>
      <c r="BR5303">
        <f>IF(5290&lt;$U$9,SUMPRODUCT(($D$10:$L$10&lt;&gt;"")*(($D$10:$L$10-($D$9:$L$9+INT(($S$12:$AA$12+INDEX($AJ$13:$AR$162,BN5303,0)+INDEX($AT$13:$BB$162,BO5303,0)+INDEX($BD$13:$BL$162,BP5303,0))/100)))&gt;0)*($D$10:$L$10-($D$9:$L$9+INT(($S$12:$AA$12+INDEX($AJ$13:$AR$162,BN5303,0)+INDEX($AT$13:$BB$162,BO5303,0)+INDEX($BD$13:$BL$162,BP5303,0))/100)))),0)</f>
        <v/>
      </c>
      <c r="BS5303">
        <f>IF(5290&lt;$U$9,SUMPRODUCT(($D$9:$L$9+INT(($S$12:$AA$12+INDEX($AJ$13:$AR$162,BN5303,0)+INDEX($AT$13:$BB$162,BO5303,0)+INDEX($BD$13:$BL$162,BP5303,0))/100))),0)</f>
        <v/>
      </c>
      <c r="BT5303">
        <f>IF(AND(5290&lt;$U$9,$W$5),BQ5303*1000000-MIN(BR5303,999)*1000+BS5303-5290/100000,-1000000000-5290)</f>
        <v/>
      </c>
    </row>
    <row r="5304">
      <c r="BN5304">
        <f>IF(5291&lt;$U$9,INT(5291/($U$7*$U$8))+1,1)</f>
        <v/>
      </c>
      <c r="BO5304">
        <f>IF(5291&lt;$U$9,MOD(INT(5291/$U$8),$U$7)+1,1)</f>
        <v/>
      </c>
      <c r="BP5304">
        <f>IF(5291&lt;$U$9,MOD(5291,$U$8)+1,1)</f>
        <v/>
      </c>
      <c r="BQ5304">
        <f>IF(5291&lt;$U$9,SUMPRODUCT(($D$10:$L$10&lt;&gt;"")*(($D$9:$L$9+INT(($S$12:$AA$12+INDEX($AJ$13:$AR$162,BN5304,0)+INDEX($AT$13:$BB$162,BO5304,0)+INDEX($BD$13:$BL$162,BP5304,0))/100))&gt;=$D$10:$L$10)),0)</f>
        <v/>
      </c>
      <c r="BR5304">
        <f>IF(5291&lt;$U$9,SUMPRODUCT(($D$10:$L$10&lt;&gt;"")*(($D$10:$L$10-($D$9:$L$9+INT(($S$12:$AA$12+INDEX($AJ$13:$AR$162,BN5304,0)+INDEX($AT$13:$BB$162,BO5304,0)+INDEX($BD$13:$BL$162,BP5304,0))/100)))&gt;0)*($D$10:$L$10-($D$9:$L$9+INT(($S$12:$AA$12+INDEX($AJ$13:$AR$162,BN5304,0)+INDEX($AT$13:$BB$162,BO5304,0)+INDEX($BD$13:$BL$162,BP5304,0))/100)))),0)</f>
        <v/>
      </c>
      <c r="BS5304">
        <f>IF(5291&lt;$U$9,SUMPRODUCT(($D$9:$L$9+INT(($S$12:$AA$12+INDEX($AJ$13:$AR$162,BN5304,0)+INDEX($AT$13:$BB$162,BO5304,0)+INDEX($BD$13:$BL$162,BP5304,0))/100))),0)</f>
        <v/>
      </c>
      <c r="BT5304">
        <f>IF(AND(5291&lt;$U$9,$W$5),BQ5304*1000000-MIN(BR5304,999)*1000+BS5304-5291/100000,-1000000000-5291)</f>
        <v/>
      </c>
    </row>
    <row r="5305">
      <c r="BN5305">
        <f>IF(5292&lt;$U$9,INT(5292/($U$7*$U$8))+1,1)</f>
        <v/>
      </c>
      <c r="BO5305">
        <f>IF(5292&lt;$U$9,MOD(INT(5292/$U$8),$U$7)+1,1)</f>
        <v/>
      </c>
      <c r="BP5305">
        <f>IF(5292&lt;$U$9,MOD(5292,$U$8)+1,1)</f>
        <v/>
      </c>
      <c r="BQ5305">
        <f>IF(5292&lt;$U$9,SUMPRODUCT(($D$10:$L$10&lt;&gt;"")*(($D$9:$L$9+INT(($S$12:$AA$12+INDEX($AJ$13:$AR$162,BN5305,0)+INDEX($AT$13:$BB$162,BO5305,0)+INDEX($BD$13:$BL$162,BP5305,0))/100))&gt;=$D$10:$L$10)),0)</f>
        <v/>
      </c>
      <c r="BR5305">
        <f>IF(5292&lt;$U$9,SUMPRODUCT(($D$10:$L$10&lt;&gt;"")*(($D$10:$L$10-($D$9:$L$9+INT(($S$12:$AA$12+INDEX($AJ$13:$AR$162,BN5305,0)+INDEX($AT$13:$BB$162,BO5305,0)+INDEX($BD$13:$BL$162,BP5305,0))/100)))&gt;0)*($D$10:$L$10-($D$9:$L$9+INT(($S$12:$AA$12+INDEX($AJ$13:$AR$162,BN5305,0)+INDEX($AT$13:$BB$162,BO5305,0)+INDEX($BD$13:$BL$162,BP5305,0))/100)))),0)</f>
        <v/>
      </c>
      <c r="BS5305">
        <f>IF(5292&lt;$U$9,SUMPRODUCT(($D$9:$L$9+INT(($S$12:$AA$12+INDEX($AJ$13:$AR$162,BN5305,0)+INDEX($AT$13:$BB$162,BO5305,0)+INDEX($BD$13:$BL$162,BP5305,0))/100))),0)</f>
        <v/>
      </c>
      <c r="BT5305">
        <f>IF(AND(5292&lt;$U$9,$W$5),BQ5305*1000000-MIN(BR5305,999)*1000+BS5305-5292/100000,-1000000000-5292)</f>
        <v/>
      </c>
    </row>
    <row r="5306">
      <c r="BN5306">
        <f>IF(5293&lt;$U$9,INT(5293/($U$7*$U$8))+1,1)</f>
        <v/>
      </c>
      <c r="BO5306">
        <f>IF(5293&lt;$U$9,MOD(INT(5293/$U$8),$U$7)+1,1)</f>
        <v/>
      </c>
      <c r="BP5306">
        <f>IF(5293&lt;$U$9,MOD(5293,$U$8)+1,1)</f>
        <v/>
      </c>
      <c r="BQ5306">
        <f>IF(5293&lt;$U$9,SUMPRODUCT(($D$10:$L$10&lt;&gt;"")*(($D$9:$L$9+INT(($S$12:$AA$12+INDEX($AJ$13:$AR$162,BN5306,0)+INDEX($AT$13:$BB$162,BO5306,0)+INDEX($BD$13:$BL$162,BP5306,0))/100))&gt;=$D$10:$L$10)),0)</f>
        <v/>
      </c>
      <c r="BR5306">
        <f>IF(5293&lt;$U$9,SUMPRODUCT(($D$10:$L$10&lt;&gt;"")*(($D$10:$L$10-($D$9:$L$9+INT(($S$12:$AA$12+INDEX($AJ$13:$AR$162,BN5306,0)+INDEX($AT$13:$BB$162,BO5306,0)+INDEX($BD$13:$BL$162,BP5306,0))/100)))&gt;0)*($D$10:$L$10-($D$9:$L$9+INT(($S$12:$AA$12+INDEX($AJ$13:$AR$162,BN5306,0)+INDEX($AT$13:$BB$162,BO5306,0)+INDEX($BD$13:$BL$162,BP5306,0))/100)))),0)</f>
        <v/>
      </c>
      <c r="BS5306">
        <f>IF(5293&lt;$U$9,SUMPRODUCT(($D$9:$L$9+INT(($S$12:$AA$12+INDEX($AJ$13:$AR$162,BN5306,0)+INDEX($AT$13:$BB$162,BO5306,0)+INDEX($BD$13:$BL$162,BP5306,0))/100))),0)</f>
        <v/>
      </c>
      <c r="BT5306">
        <f>IF(AND(5293&lt;$U$9,$W$5),BQ5306*1000000-MIN(BR5306,999)*1000+BS5306-5293/100000,-1000000000-5293)</f>
        <v/>
      </c>
    </row>
    <row r="5307">
      <c r="BN5307">
        <f>IF(5294&lt;$U$9,INT(5294/($U$7*$U$8))+1,1)</f>
        <v/>
      </c>
      <c r="BO5307">
        <f>IF(5294&lt;$U$9,MOD(INT(5294/$U$8),$U$7)+1,1)</f>
        <v/>
      </c>
      <c r="BP5307">
        <f>IF(5294&lt;$U$9,MOD(5294,$U$8)+1,1)</f>
        <v/>
      </c>
      <c r="BQ5307">
        <f>IF(5294&lt;$U$9,SUMPRODUCT(($D$10:$L$10&lt;&gt;"")*(($D$9:$L$9+INT(($S$12:$AA$12+INDEX($AJ$13:$AR$162,BN5307,0)+INDEX($AT$13:$BB$162,BO5307,0)+INDEX($BD$13:$BL$162,BP5307,0))/100))&gt;=$D$10:$L$10)),0)</f>
        <v/>
      </c>
      <c r="BR5307">
        <f>IF(5294&lt;$U$9,SUMPRODUCT(($D$10:$L$10&lt;&gt;"")*(($D$10:$L$10-($D$9:$L$9+INT(($S$12:$AA$12+INDEX($AJ$13:$AR$162,BN5307,0)+INDEX($AT$13:$BB$162,BO5307,0)+INDEX($BD$13:$BL$162,BP5307,0))/100)))&gt;0)*($D$10:$L$10-($D$9:$L$9+INT(($S$12:$AA$12+INDEX($AJ$13:$AR$162,BN5307,0)+INDEX($AT$13:$BB$162,BO5307,0)+INDEX($BD$13:$BL$162,BP5307,0))/100)))),0)</f>
        <v/>
      </c>
      <c r="BS5307">
        <f>IF(5294&lt;$U$9,SUMPRODUCT(($D$9:$L$9+INT(($S$12:$AA$12+INDEX($AJ$13:$AR$162,BN5307,0)+INDEX($AT$13:$BB$162,BO5307,0)+INDEX($BD$13:$BL$162,BP5307,0))/100))),0)</f>
        <v/>
      </c>
      <c r="BT5307">
        <f>IF(AND(5294&lt;$U$9,$W$5),BQ5307*1000000-MIN(BR5307,999)*1000+BS5307-5294/100000,-1000000000-5294)</f>
        <v/>
      </c>
    </row>
    <row r="5308">
      <c r="BN5308">
        <f>IF(5295&lt;$U$9,INT(5295/($U$7*$U$8))+1,1)</f>
        <v/>
      </c>
      <c r="BO5308">
        <f>IF(5295&lt;$U$9,MOD(INT(5295/$U$8),$U$7)+1,1)</f>
        <v/>
      </c>
      <c r="BP5308">
        <f>IF(5295&lt;$U$9,MOD(5295,$U$8)+1,1)</f>
        <v/>
      </c>
      <c r="BQ5308">
        <f>IF(5295&lt;$U$9,SUMPRODUCT(($D$10:$L$10&lt;&gt;"")*(($D$9:$L$9+INT(($S$12:$AA$12+INDEX($AJ$13:$AR$162,BN5308,0)+INDEX($AT$13:$BB$162,BO5308,0)+INDEX($BD$13:$BL$162,BP5308,0))/100))&gt;=$D$10:$L$10)),0)</f>
        <v/>
      </c>
      <c r="BR5308">
        <f>IF(5295&lt;$U$9,SUMPRODUCT(($D$10:$L$10&lt;&gt;"")*(($D$10:$L$10-($D$9:$L$9+INT(($S$12:$AA$12+INDEX($AJ$13:$AR$162,BN5308,0)+INDEX($AT$13:$BB$162,BO5308,0)+INDEX($BD$13:$BL$162,BP5308,0))/100)))&gt;0)*($D$10:$L$10-($D$9:$L$9+INT(($S$12:$AA$12+INDEX($AJ$13:$AR$162,BN5308,0)+INDEX($AT$13:$BB$162,BO5308,0)+INDEX($BD$13:$BL$162,BP5308,0))/100)))),0)</f>
        <v/>
      </c>
      <c r="BS5308">
        <f>IF(5295&lt;$U$9,SUMPRODUCT(($D$9:$L$9+INT(($S$12:$AA$12+INDEX($AJ$13:$AR$162,BN5308,0)+INDEX($AT$13:$BB$162,BO5308,0)+INDEX($BD$13:$BL$162,BP5308,0))/100))),0)</f>
        <v/>
      </c>
      <c r="BT5308">
        <f>IF(AND(5295&lt;$U$9,$W$5),BQ5308*1000000-MIN(BR5308,999)*1000+BS5308-5295/100000,-1000000000-5295)</f>
        <v/>
      </c>
    </row>
    <row r="5309">
      <c r="BN5309">
        <f>IF(5296&lt;$U$9,INT(5296/($U$7*$U$8))+1,1)</f>
        <v/>
      </c>
      <c r="BO5309">
        <f>IF(5296&lt;$U$9,MOD(INT(5296/$U$8),$U$7)+1,1)</f>
        <v/>
      </c>
      <c r="BP5309">
        <f>IF(5296&lt;$U$9,MOD(5296,$U$8)+1,1)</f>
        <v/>
      </c>
      <c r="BQ5309">
        <f>IF(5296&lt;$U$9,SUMPRODUCT(($D$10:$L$10&lt;&gt;"")*(($D$9:$L$9+INT(($S$12:$AA$12+INDEX($AJ$13:$AR$162,BN5309,0)+INDEX($AT$13:$BB$162,BO5309,0)+INDEX($BD$13:$BL$162,BP5309,0))/100))&gt;=$D$10:$L$10)),0)</f>
        <v/>
      </c>
      <c r="BR5309">
        <f>IF(5296&lt;$U$9,SUMPRODUCT(($D$10:$L$10&lt;&gt;"")*(($D$10:$L$10-($D$9:$L$9+INT(($S$12:$AA$12+INDEX($AJ$13:$AR$162,BN5309,0)+INDEX($AT$13:$BB$162,BO5309,0)+INDEX($BD$13:$BL$162,BP5309,0))/100)))&gt;0)*($D$10:$L$10-($D$9:$L$9+INT(($S$12:$AA$12+INDEX($AJ$13:$AR$162,BN5309,0)+INDEX($AT$13:$BB$162,BO5309,0)+INDEX($BD$13:$BL$162,BP5309,0))/100)))),0)</f>
        <v/>
      </c>
      <c r="BS5309">
        <f>IF(5296&lt;$U$9,SUMPRODUCT(($D$9:$L$9+INT(($S$12:$AA$12+INDEX($AJ$13:$AR$162,BN5309,0)+INDEX($AT$13:$BB$162,BO5309,0)+INDEX($BD$13:$BL$162,BP5309,0))/100))),0)</f>
        <v/>
      </c>
      <c r="BT5309">
        <f>IF(AND(5296&lt;$U$9,$W$5),BQ5309*1000000-MIN(BR5309,999)*1000+BS5309-5296/100000,-1000000000-5296)</f>
        <v/>
      </c>
    </row>
    <row r="5310">
      <c r="BN5310">
        <f>IF(5297&lt;$U$9,INT(5297/($U$7*$U$8))+1,1)</f>
        <v/>
      </c>
      <c r="BO5310">
        <f>IF(5297&lt;$U$9,MOD(INT(5297/$U$8),$U$7)+1,1)</f>
        <v/>
      </c>
      <c r="BP5310">
        <f>IF(5297&lt;$U$9,MOD(5297,$U$8)+1,1)</f>
        <v/>
      </c>
      <c r="BQ5310">
        <f>IF(5297&lt;$U$9,SUMPRODUCT(($D$10:$L$10&lt;&gt;"")*(($D$9:$L$9+INT(($S$12:$AA$12+INDEX($AJ$13:$AR$162,BN5310,0)+INDEX($AT$13:$BB$162,BO5310,0)+INDEX($BD$13:$BL$162,BP5310,0))/100))&gt;=$D$10:$L$10)),0)</f>
        <v/>
      </c>
      <c r="BR5310">
        <f>IF(5297&lt;$U$9,SUMPRODUCT(($D$10:$L$10&lt;&gt;"")*(($D$10:$L$10-($D$9:$L$9+INT(($S$12:$AA$12+INDEX($AJ$13:$AR$162,BN5310,0)+INDEX($AT$13:$BB$162,BO5310,0)+INDEX($BD$13:$BL$162,BP5310,0))/100)))&gt;0)*($D$10:$L$10-($D$9:$L$9+INT(($S$12:$AA$12+INDEX($AJ$13:$AR$162,BN5310,0)+INDEX($AT$13:$BB$162,BO5310,0)+INDEX($BD$13:$BL$162,BP5310,0))/100)))),0)</f>
        <v/>
      </c>
      <c r="BS5310">
        <f>IF(5297&lt;$U$9,SUMPRODUCT(($D$9:$L$9+INT(($S$12:$AA$12+INDEX($AJ$13:$AR$162,BN5310,0)+INDEX($AT$13:$BB$162,BO5310,0)+INDEX($BD$13:$BL$162,BP5310,0))/100))),0)</f>
        <v/>
      </c>
      <c r="BT5310">
        <f>IF(AND(5297&lt;$U$9,$W$5),BQ5310*1000000-MIN(BR5310,999)*1000+BS5310-5297/100000,-1000000000-5297)</f>
        <v/>
      </c>
    </row>
    <row r="5311">
      <c r="BN5311">
        <f>IF(5298&lt;$U$9,INT(5298/($U$7*$U$8))+1,1)</f>
        <v/>
      </c>
      <c r="BO5311">
        <f>IF(5298&lt;$U$9,MOD(INT(5298/$U$8),$U$7)+1,1)</f>
        <v/>
      </c>
      <c r="BP5311">
        <f>IF(5298&lt;$U$9,MOD(5298,$U$8)+1,1)</f>
        <v/>
      </c>
      <c r="BQ5311">
        <f>IF(5298&lt;$U$9,SUMPRODUCT(($D$10:$L$10&lt;&gt;"")*(($D$9:$L$9+INT(($S$12:$AA$12+INDEX($AJ$13:$AR$162,BN5311,0)+INDEX($AT$13:$BB$162,BO5311,0)+INDEX($BD$13:$BL$162,BP5311,0))/100))&gt;=$D$10:$L$10)),0)</f>
        <v/>
      </c>
      <c r="BR5311">
        <f>IF(5298&lt;$U$9,SUMPRODUCT(($D$10:$L$10&lt;&gt;"")*(($D$10:$L$10-($D$9:$L$9+INT(($S$12:$AA$12+INDEX($AJ$13:$AR$162,BN5311,0)+INDEX($AT$13:$BB$162,BO5311,0)+INDEX($BD$13:$BL$162,BP5311,0))/100)))&gt;0)*($D$10:$L$10-($D$9:$L$9+INT(($S$12:$AA$12+INDEX($AJ$13:$AR$162,BN5311,0)+INDEX($AT$13:$BB$162,BO5311,0)+INDEX($BD$13:$BL$162,BP5311,0))/100)))),0)</f>
        <v/>
      </c>
      <c r="BS5311">
        <f>IF(5298&lt;$U$9,SUMPRODUCT(($D$9:$L$9+INT(($S$12:$AA$12+INDEX($AJ$13:$AR$162,BN5311,0)+INDEX($AT$13:$BB$162,BO5311,0)+INDEX($BD$13:$BL$162,BP5311,0))/100))),0)</f>
        <v/>
      </c>
      <c r="BT5311">
        <f>IF(AND(5298&lt;$U$9,$W$5),BQ5311*1000000-MIN(BR5311,999)*1000+BS5311-5298/100000,-1000000000-5298)</f>
        <v/>
      </c>
    </row>
    <row r="5312">
      <c r="BN5312">
        <f>IF(5299&lt;$U$9,INT(5299/($U$7*$U$8))+1,1)</f>
        <v/>
      </c>
      <c r="BO5312">
        <f>IF(5299&lt;$U$9,MOD(INT(5299/$U$8),$U$7)+1,1)</f>
        <v/>
      </c>
      <c r="BP5312">
        <f>IF(5299&lt;$U$9,MOD(5299,$U$8)+1,1)</f>
        <v/>
      </c>
      <c r="BQ5312">
        <f>IF(5299&lt;$U$9,SUMPRODUCT(($D$10:$L$10&lt;&gt;"")*(($D$9:$L$9+INT(($S$12:$AA$12+INDEX($AJ$13:$AR$162,BN5312,0)+INDEX($AT$13:$BB$162,BO5312,0)+INDEX($BD$13:$BL$162,BP5312,0))/100))&gt;=$D$10:$L$10)),0)</f>
        <v/>
      </c>
      <c r="BR5312">
        <f>IF(5299&lt;$U$9,SUMPRODUCT(($D$10:$L$10&lt;&gt;"")*(($D$10:$L$10-($D$9:$L$9+INT(($S$12:$AA$12+INDEX($AJ$13:$AR$162,BN5312,0)+INDEX($AT$13:$BB$162,BO5312,0)+INDEX($BD$13:$BL$162,BP5312,0))/100)))&gt;0)*($D$10:$L$10-($D$9:$L$9+INT(($S$12:$AA$12+INDEX($AJ$13:$AR$162,BN5312,0)+INDEX($AT$13:$BB$162,BO5312,0)+INDEX($BD$13:$BL$162,BP5312,0))/100)))),0)</f>
        <v/>
      </c>
      <c r="BS5312">
        <f>IF(5299&lt;$U$9,SUMPRODUCT(($D$9:$L$9+INT(($S$12:$AA$12+INDEX($AJ$13:$AR$162,BN5312,0)+INDEX($AT$13:$BB$162,BO5312,0)+INDEX($BD$13:$BL$162,BP5312,0))/100))),0)</f>
        <v/>
      </c>
      <c r="BT5312">
        <f>IF(AND(5299&lt;$U$9,$W$5),BQ5312*1000000-MIN(BR5312,999)*1000+BS5312-5299/100000,-1000000000-5299)</f>
        <v/>
      </c>
    </row>
    <row r="5313">
      <c r="BN5313">
        <f>IF(5300&lt;$U$9,INT(5300/($U$7*$U$8))+1,1)</f>
        <v/>
      </c>
      <c r="BO5313">
        <f>IF(5300&lt;$U$9,MOD(INT(5300/$U$8),$U$7)+1,1)</f>
        <v/>
      </c>
      <c r="BP5313">
        <f>IF(5300&lt;$U$9,MOD(5300,$U$8)+1,1)</f>
        <v/>
      </c>
      <c r="BQ5313">
        <f>IF(5300&lt;$U$9,SUMPRODUCT(($D$10:$L$10&lt;&gt;"")*(($D$9:$L$9+INT(($S$12:$AA$12+INDEX($AJ$13:$AR$162,BN5313,0)+INDEX($AT$13:$BB$162,BO5313,0)+INDEX($BD$13:$BL$162,BP5313,0))/100))&gt;=$D$10:$L$10)),0)</f>
        <v/>
      </c>
      <c r="BR5313">
        <f>IF(5300&lt;$U$9,SUMPRODUCT(($D$10:$L$10&lt;&gt;"")*(($D$10:$L$10-($D$9:$L$9+INT(($S$12:$AA$12+INDEX($AJ$13:$AR$162,BN5313,0)+INDEX($AT$13:$BB$162,BO5313,0)+INDEX($BD$13:$BL$162,BP5313,0))/100)))&gt;0)*($D$10:$L$10-($D$9:$L$9+INT(($S$12:$AA$12+INDEX($AJ$13:$AR$162,BN5313,0)+INDEX($AT$13:$BB$162,BO5313,0)+INDEX($BD$13:$BL$162,BP5313,0))/100)))),0)</f>
        <v/>
      </c>
      <c r="BS5313">
        <f>IF(5300&lt;$U$9,SUMPRODUCT(($D$9:$L$9+INT(($S$12:$AA$12+INDEX($AJ$13:$AR$162,BN5313,0)+INDEX($AT$13:$BB$162,BO5313,0)+INDEX($BD$13:$BL$162,BP5313,0))/100))),0)</f>
        <v/>
      </c>
      <c r="BT5313">
        <f>IF(AND(5300&lt;$U$9,$W$5),BQ5313*1000000-MIN(BR5313,999)*1000+BS5313-5300/100000,-1000000000-5300)</f>
        <v/>
      </c>
    </row>
    <row r="5314">
      <c r="BN5314">
        <f>IF(5301&lt;$U$9,INT(5301/($U$7*$U$8))+1,1)</f>
        <v/>
      </c>
      <c r="BO5314">
        <f>IF(5301&lt;$U$9,MOD(INT(5301/$U$8),$U$7)+1,1)</f>
        <v/>
      </c>
      <c r="BP5314">
        <f>IF(5301&lt;$U$9,MOD(5301,$U$8)+1,1)</f>
        <v/>
      </c>
      <c r="BQ5314">
        <f>IF(5301&lt;$U$9,SUMPRODUCT(($D$10:$L$10&lt;&gt;"")*(($D$9:$L$9+INT(($S$12:$AA$12+INDEX($AJ$13:$AR$162,BN5314,0)+INDEX($AT$13:$BB$162,BO5314,0)+INDEX($BD$13:$BL$162,BP5314,0))/100))&gt;=$D$10:$L$10)),0)</f>
        <v/>
      </c>
      <c r="BR5314">
        <f>IF(5301&lt;$U$9,SUMPRODUCT(($D$10:$L$10&lt;&gt;"")*(($D$10:$L$10-($D$9:$L$9+INT(($S$12:$AA$12+INDEX($AJ$13:$AR$162,BN5314,0)+INDEX($AT$13:$BB$162,BO5314,0)+INDEX($BD$13:$BL$162,BP5314,0))/100)))&gt;0)*($D$10:$L$10-($D$9:$L$9+INT(($S$12:$AA$12+INDEX($AJ$13:$AR$162,BN5314,0)+INDEX($AT$13:$BB$162,BO5314,0)+INDEX($BD$13:$BL$162,BP5314,0))/100)))),0)</f>
        <v/>
      </c>
      <c r="BS5314">
        <f>IF(5301&lt;$U$9,SUMPRODUCT(($D$9:$L$9+INT(($S$12:$AA$12+INDEX($AJ$13:$AR$162,BN5314,0)+INDEX($AT$13:$BB$162,BO5314,0)+INDEX($BD$13:$BL$162,BP5314,0))/100))),0)</f>
        <v/>
      </c>
      <c r="BT5314">
        <f>IF(AND(5301&lt;$U$9,$W$5),BQ5314*1000000-MIN(BR5314,999)*1000+BS5314-5301/100000,-1000000000-5301)</f>
        <v/>
      </c>
    </row>
    <row r="5315">
      <c r="BN5315">
        <f>IF(5302&lt;$U$9,INT(5302/($U$7*$U$8))+1,1)</f>
        <v/>
      </c>
      <c r="BO5315">
        <f>IF(5302&lt;$U$9,MOD(INT(5302/$U$8),$U$7)+1,1)</f>
        <v/>
      </c>
      <c r="BP5315">
        <f>IF(5302&lt;$U$9,MOD(5302,$U$8)+1,1)</f>
        <v/>
      </c>
      <c r="BQ5315">
        <f>IF(5302&lt;$U$9,SUMPRODUCT(($D$10:$L$10&lt;&gt;"")*(($D$9:$L$9+INT(($S$12:$AA$12+INDEX($AJ$13:$AR$162,BN5315,0)+INDEX($AT$13:$BB$162,BO5315,0)+INDEX($BD$13:$BL$162,BP5315,0))/100))&gt;=$D$10:$L$10)),0)</f>
        <v/>
      </c>
      <c r="BR5315">
        <f>IF(5302&lt;$U$9,SUMPRODUCT(($D$10:$L$10&lt;&gt;"")*(($D$10:$L$10-($D$9:$L$9+INT(($S$12:$AA$12+INDEX($AJ$13:$AR$162,BN5315,0)+INDEX($AT$13:$BB$162,BO5315,0)+INDEX($BD$13:$BL$162,BP5315,0))/100)))&gt;0)*($D$10:$L$10-($D$9:$L$9+INT(($S$12:$AA$12+INDEX($AJ$13:$AR$162,BN5315,0)+INDEX($AT$13:$BB$162,BO5315,0)+INDEX($BD$13:$BL$162,BP5315,0))/100)))),0)</f>
        <v/>
      </c>
      <c r="BS5315">
        <f>IF(5302&lt;$U$9,SUMPRODUCT(($D$9:$L$9+INT(($S$12:$AA$12+INDEX($AJ$13:$AR$162,BN5315,0)+INDEX($AT$13:$BB$162,BO5315,0)+INDEX($BD$13:$BL$162,BP5315,0))/100))),0)</f>
        <v/>
      </c>
      <c r="BT5315">
        <f>IF(AND(5302&lt;$U$9,$W$5),BQ5315*1000000-MIN(BR5315,999)*1000+BS5315-5302/100000,-1000000000-5302)</f>
        <v/>
      </c>
    </row>
    <row r="5316">
      <c r="BN5316">
        <f>IF(5303&lt;$U$9,INT(5303/($U$7*$U$8))+1,1)</f>
        <v/>
      </c>
      <c r="BO5316">
        <f>IF(5303&lt;$U$9,MOD(INT(5303/$U$8),$U$7)+1,1)</f>
        <v/>
      </c>
      <c r="BP5316">
        <f>IF(5303&lt;$U$9,MOD(5303,$U$8)+1,1)</f>
        <v/>
      </c>
      <c r="BQ5316">
        <f>IF(5303&lt;$U$9,SUMPRODUCT(($D$10:$L$10&lt;&gt;"")*(($D$9:$L$9+INT(($S$12:$AA$12+INDEX($AJ$13:$AR$162,BN5316,0)+INDEX($AT$13:$BB$162,BO5316,0)+INDEX($BD$13:$BL$162,BP5316,0))/100))&gt;=$D$10:$L$10)),0)</f>
        <v/>
      </c>
      <c r="BR5316">
        <f>IF(5303&lt;$U$9,SUMPRODUCT(($D$10:$L$10&lt;&gt;"")*(($D$10:$L$10-($D$9:$L$9+INT(($S$12:$AA$12+INDEX($AJ$13:$AR$162,BN5316,0)+INDEX($AT$13:$BB$162,BO5316,0)+INDEX($BD$13:$BL$162,BP5316,0))/100)))&gt;0)*($D$10:$L$10-($D$9:$L$9+INT(($S$12:$AA$12+INDEX($AJ$13:$AR$162,BN5316,0)+INDEX($AT$13:$BB$162,BO5316,0)+INDEX($BD$13:$BL$162,BP5316,0))/100)))),0)</f>
        <v/>
      </c>
      <c r="BS5316">
        <f>IF(5303&lt;$U$9,SUMPRODUCT(($D$9:$L$9+INT(($S$12:$AA$12+INDEX($AJ$13:$AR$162,BN5316,0)+INDEX($AT$13:$BB$162,BO5316,0)+INDEX($BD$13:$BL$162,BP5316,0))/100))),0)</f>
        <v/>
      </c>
      <c r="BT5316">
        <f>IF(AND(5303&lt;$U$9,$W$5),BQ5316*1000000-MIN(BR5316,999)*1000+BS5316-5303/100000,-1000000000-5303)</f>
        <v/>
      </c>
    </row>
    <row r="5317">
      <c r="BN5317">
        <f>IF(5304&lt;$U$9,INT(5304/($U$7*$U$8))+1,1)</f>
        <v/>
      </c>
      <c r="BO5317">
        <f>IF(5304&lt;$U$9,MOD(INT(5304/$U$8),$U$7)+1,1)</f>
        <v/>
      </c>
      <c r="BP5317">
        <f>IF(5304&lt;$U$9,MOD(5304,$U$8)+1,1)</f>
        <v/>
      </c>
      <c r="BQ5317">
        <f>IF(5304&lt;$U$9,SUMPRODUCT(($D$10:$L$10&lt;&gt;"")*(($D$9:$L$9+INT(($S$12:$AA$12+INDEX($AJ$13:$AR$162,BN5317,0)+INDEX($AT$13:$BB$162,BO5317,0)+INDEX($BD$13:$BL$162,BP5317,0))/100))&gt;=$D$10:$L$10)),0)</f>
        <v/>
      </c>
      <c r="BR5317">
        <f>IF(5304&lt;$U$9,SUMPRODUCT(($D$10:$L$10&lt;&gt;"")*(($D$10:$L$10-($D$9:$L$9+INT(($S$12:$AA$12+INDEX($AJ$13:$AR$162,BN5317,0)+INDEX($AT$13:$BB$162,BO5317,0)+INDEX($BD$13:$BL$162,BP5317,0))/100)))&gt;0)*($D$10:$L$10-($D$9:$L$9+INT(($S$12:$AA$12+INDEX($AJ$13:$AR$162,BN5317,0)+INDEX($AT$13:$BB$162,BO5317,0)+INDEX($BD$13:$BL$162,BP5317,0))/100)))),0)</f>
        <v/>
      </c>
      <c r="BS5317">
        <f>IF(5304&lt;$U$9,SUMPRODUCT(($D$9:$L$9+INT(($S$12:$AA$12+INDEX($AJ$13:$AR$162,BN5317,0)+INDEX($AT$13:$BB$162,BO5317,0)+INDEX($BD$13:$BL$162,BP5317,0))/100))),0)</f>
        <v/>
      </c>
      <c r="BT5317">
        <f>IF(AND(5304&lt;$U$9,$W$5),BQ5317*1000000-MIN(BR5317,999)*1000+BS5317-5304/100000,-1000000000-5304)</f>
        <v/>
      </c>
    </row>
    <row r="5318">
      <c r="BN5318">
        <f>IF(5305&lt;$U$9,INT(5305/($U$7*$U$8))+1,1)</f>
        <v/>
      </c>
      <c r="BO5318">
        <f>IF(5305&lt;$U$9,MOD(INT(5305/$U$8),$U$7)+1,1)</f>
        <v/>
      </c>
      <c r="BP5318">
        <f>IF(5305&lt;$U$9,MOD(5305,$U$8)+1,1)</f>
        <v/>
      </c>
      <c r="BQ5318">
        <f>IF(5305&lt;$U$9,SUMPRODUCT(($D$10:$L$10&lt;&gt;"")*(($D$9:$L$9+INT(($S$12:$AA$12+INDEX($AJ$13:$AR$162,BN5318,0)+INDEX($AT$13:$BB$162,BO5318,0)+INDEX($BD$13:$BL$162,BP5318,0))/100))&gt;=$D$10:$L$10)),0)</f>
        <v/>
      </c>
      <c r="BR5318">
        <f>IF(5305&lt;$U$9,SUMPRODUCT(($D$10:$L$10&lt;&gt;"")*(($D$10:$L$10-($D$9:$L$9+INT(($S$12:$AA$12+INDEX($AJ$13:$AR$162,BN5318,0)+INDEX($AT$13:$BB$162,BO5318,0)+INDEX($BD$13:$BL$162,BP5318,0))/100)))&gt;0)*($D$10:$L$10-($D$9:$L$9+INT(($S$12:$AA$12+INDEX($AJ$13:$AR$162,BN5318,0)+INDEX($AT$13:$BB$162,BO5318,0)+INDEX($BD$13:$BL$162,BP5318,0))/100)))),0)</f>
        <v/>
      </c>
      <c r="BS5318">
        <f>IF(5305&lt;$U$9,SUMPRODUCT(($D$9:$L$9+INT(($S$12:$AA$12+INDEX($AJ$13:$AR$162,BN5318,0)+INDEX($AT$13:$BB$162,BO5318,0)+INDEX($BD$13:$BL$162,BP5318,0))/100))),0)</f>
        <v/>
      </c>
      <c r="BT5318">
        <f>IF(AND(5305&lt;$U$9,$W$5),BQ5318*1000000-MIN(BR5318,999)*1000+BS5318-5305/100000,-1000000000-5305)</f>
        <v/>
      </c>
    </row>
    <row r="5319">
      <c r="BN5319">
        <f>IF(5306&lt;$U$9,INT(5306/($U$7*$U$8))+1,1)</f>
        <v/>
      </c>
      <c r="BO5319">
        <f>IF(5306&lt;$U$9,MOD(INT(5306/$U$8),$U$7)+1,1)</f>
        <v/>
      </c>
      <c r="BP5319">
        <f>IF(5306&lt;$U$9,MOD(5306,$U$8)+1,1)</f>
        <v/>
      </c>
      <c r="BQ5319">
        <f>IF(5306&lt;$U$9,SUMPRODUCT(($D$10:$L$10&lt;&gt;"")*(($D$9:$L$9+INT(($S$12:$AA$12+INDEX($AJ$13:$AR$162,BN5319,0)+INDEX($AT$13:$BB$162,BO5319,0)+INDEX($BD$13:$BL$162,BP5319,0))/100))&gt;=$D$10:$L$10)),0)</f>
        <v/>
      </c>
      <c r="BR5319">
        <f>IF(5306&lt;$U$9,SUMPRODUCT(($D$10:$L$10&lt;&gt;"")*(($D$10:$L$10-($D$9:$L$9+INT(($S$12:$AA$12+INDEX($AJ$13:$AR$162,BN5319,0)+INDEX($AT$13:$BB$162,BO5319,0)+INDEX($BD$13:$BL$162,BP5319,0))/100)))&gt;0)*($D$10:$L$10-($D$9:$L$9+INT(($S$12:$AA$12+INDEX($AJ$13:$AR$162,BN5319,0)+INDEX($AT$13:$BB$162,BO5319,0)+INDEX($BD$13:$BL$162,BP5319,0))/100)))),0)</f>
        <v/>
      </c>
      <c r="BS5319">
        <f>IF(5306&lt;$U$9,SUMPRODUCT(($D$9:$L$9+INT(($S$12:$AA$12+INDEX($AJ$13:$AR$162,BN5319,0)+INDEX($AT$13:$BB$162,BO5319,0)+INDEX($BD$13:$BL$162,BP5319,0))/100))),0)</f>
        <v/>
      </c>
      <c r="BT5319">
        <f>IF(AND(5306&lt;$U$9,$W$5),BQ5319*1000000-MIN(BR5319,999)*1000+BS5319-5306/100000,-1000000000-5306)</f>
        <v/>
      </c>
    </row>
    <row r="5320">
      <c r="BN5320">
        <f>IF(5307&lt;$U$9,INT(5307/($U$7*$U$8))+1,1)</f>
        <v/>
      </c>
      <c r="BO5320">
        <f>IF(5307&lt;$U$9,MOD(INT(5307/$U$8),$U$7)+1,1)</f>
        <v/>
      </c>
      <c r="BP5320">
        <f>IF(5307&lt;$U$9,MOD(5307,$U$8)+1,1)</f>
        <v/>
      </c>
      <c r="BQ5320">
        <f>IF(5307&lt;$U$9,SUMPRODUCT(($D$10:$L$10&lt;&gt;"")*(($D$9:$L$9+INT(($S$12:$AA$12+INDEX($AJ$13:$AR$162,BN5320,0)+INDEX($AT$13:$BB$162,BO5320,0)+INDEX($BD$13:$BL$162,BP5320,0))/100))&gt;=$D$10:$L$10)),0)</f>
        <v/>
      </c>
      <c r="BR5320">
        <f>IF(5307&lt;$U$9,SUMPRODUCT(($D$10:$L$10&lt;&gt;"")*(($D$10:$L$10-($D$9:$L$9+INT(($S$12:$AA$12+INDEX($AJ$13:$AR$162,BN5320,0)+INDEX($AT$13:$BB$162,BO5320,0)+INDEX($BD$13:$BL$162,BP5320,0))/100)))&gt;0)*($D$10:$L$10-($D$9:$L$9+INT(($S$12:$AA$12+INDEX($AJ$13:$AR$162,BN5320,0)+INDEX($AT$13:$BB$162,BO5320,0)+INDEX($BD$13:$BL$162,BP5320,0))/100)))),0)</f>
        <v/>
      </c>
      <c r="BS5320">
        <f>IF(5307&lt;$U$9,SUMPRODUCT(($D$9:$L$9+INT(($S$12:$AA$12+INDEX($AJ$13:$AR$162,BN5320,0)+INDEX($AT$13:$BB$162,BO5320,0)+INDEX($BD$13:$BL$162,BP5320,0))/100))),0)</f>
        <v/>
      </c>
      <c r="BT5320">
        <f>IF(AND(5307&lt;$U$9,$W$5),BQ5320*1000000-MIN(BR5320,999)*1000+BS5320-5307/100000,-1000000000-5307)</f>
        <v/>
      </c>
    </row>
    <row r="5321">
      <c r="BN5321">
        <f>IF(5308&lt;$U$9,INT(5308/($U$7*$U$8))+1,1)</f>
        <v/>
      </c>
      <c r="BO5321">
        <f>IF(5308&lt;$U$9,MOD(INT(5308/$U$8),$U$7)+1,1)</f>
        <v/>
      </c>
      <c r="BP5321">
        <f>IF(5308&lt;$U$9,MOD(5308,$U$8)+1,1)</f>
        <v/>
      </c>
      <c r="BQ5321">
        <f>IF(5308&lt;$U$9,SUMPRODUCT(($D$10:$L$10&lt;&gt;"")*(($D$9:$L$9+INT(($S$12:$AA$12+INDEX($AJ$13:$AR$162,BN5321,0)+INDEX($AT$13:$BB$162,BO5321,0)+INDEX($BD$13:$BL$162,BP5321,0))/100))&gt;=$D$10:$L$10)),0)</f>
        <v/>
      </c>
      <c r="BR5321">
        <f>IF(5308&lt;$U$9,SUMPRODUCT(($D$10:$L$10&lt;&gt;"")*(($D$10:$L$10-($D$9:$L$9+INT(($S$12:$AA$12+INDEX($AJ$13:$AR$162,BN5321,0)+INDEX($AT$13:$BB$162,BO5321,0)+INDEX($BD$13:$BL$162,BP5321,0))/100)))&gt;0)*($D$10:$L$10-($D$9:$L$9+INT(($S$12:$AA$12+INDEX($AJ$13:$AR$162,BN5321,0)+INDEX($AT$13:$BB$162,BO5321,0)+INDEX($BD$13:$BL$162,BP5321,0))/100)))),0)</f>
        <v/>
      </c>
      <c r="BS5321">
        <f>IF(5308&lt;$U$9,SUMPRODUCT(($D$9:$L$9+INT(($S$12:$AA$12+INDEX($AJ$13:$AR$162,BN5321,0)+INDEX($AT$13:$BB$162,BO5321,0)+INDEX($BD$13:$BL$162,BP5321,0))/100))),0)</f>
        <v/>
      </c>
      <c r="BT5321">
        <f>IF(AND(5308&lt;$U$9,$W$5),BQ5321*1000000-MIN(BR5321,999)*1000+BS5321-5308/100000,-1000000000-5308)</f>
        <v/>
      </c>
    </row>
    <row r="5322">
      <c r="BN5322">
        <f>IF(5309&lt;$U$9,INT(5309/($U$7*$U$8))+1,1)</f>
        <v/>
      </c>
      <c r="BO5322">
        <f>IF(5309&lt;$U$9,MOD(INT(5309/$U$8),$U$7)+1,1)</f>
        <v/>
      </c>
      <c r="BP5322">
        <f>IF(5309&lt;$U$9,MOD(5309,$U$8)+1,1)</f>
        <v/>
      </c>
      <c r="BQ5322">
        <f>IF(5309&lt;$U$9,SUMPRODUCT(($D$10:$L$10&lt;&gt;"")*(($D$9:$L$9+INT(($S$12:$AA$12+INDEX($AJ$13:$AR$162,BN5322,0)+INDEX($AT$13:$BB$162,BO5322,0)+INDEX($BD$13:$BL$162,BP5322,0))/100))&gt;=$D$10:$L$10)),0)</f>
        <v/>
      </c>
      <c r="BR5322">
        <f>IF(5309&lt;$U$9,SUMPRODUCT(($D$10:$L$10&lt;&gt;"")*(($D$10:$L$10-($D$9:$L$9+INT(($S$12:$AA$12+INDEX($AJ$13:$AR$162,BN5322,0)+INDEX($AT$13:$BB$162,BO5322,0)+INDEX($BD$13:$BL$162,BP5322,0))/100)))&gt;0)*($D$10:$L$10-($D$9:$L$9+INT(($S$12:$AA$12+INDEX($AJ$13:$AR$162,BN5322,0)+INDEX($AT$13:$BB$162,BO5322,0)+INDEX($BD$13:$BL$162,BP5322,0))/100)))),0)</f>
        <v/>
      </c>
      <c r="BS5322">
        <f>IF(5309&lt;$U$9,SUMPRODUCT(($D$9:$L$9+INT(($S$12:$AA$12+INDEX($AJ$13:$AR$162,BN5322,0)+INDEX($AT$13:$BB$162,BO5322,0)+INDEX($BD$13:$BL$162,BP5322,0))/100))),0)</f>
        <v/>
      </c>
      <c r="BT5322">
        <f>IF(AND(5309&lt;$U$9,$W$5),BQ5322*1000000-MIN(BR5322,999)*1000+BS5322-5309/100000,-1000000000-5309)</f>
        <v/>
      </c>
    </row>
    <row r="5323">
      <c r="BN5323">
        <f>IF(5310&lt;$U$9,INT(5310/($U$7*$U$8))+1,1)</f>
        <v/>
      </c>
      <c r="BO5323">
        <f>IF(5310&lt;$U$9,MOD(INT(5310/$U$8),$U$7)+1,1)</f>
        <v/>
      </c>
      <c r="BP5323">
        <f>IF(5310&lt;$U$9,MOD(5310,$U$8)+1,1)</f>
        <v/>
      </c>
      <c r="BQ5323">
        <f>IF(5310&lt;$U$9,SUMPRODUCT(($D$10:$L$10&lt;&gt;"")*(($D$9:$L$9+INT(($S$12:$AA$12+INDEX($AJ$13:$AR$162,BN5323,0)+INDEX($AT$13:$BB$162,BO5323,0)+INDEX($BD$13:$BL$162,BP5323,0))/100))&gt;=$D$10:$L$10)),0)</f>
        <v/>
      </c>
      <c r="BR5323">
        <f>IF(5310&lt;$U$9,SUMPRODUCT(($D$10:$L$10&lt;&gt;"")*(($D$10:$L$10-($D$9:$L$9+INT(($S$12:$AA$12+INDEX($AJ$13:$AR$162,BN5323,0)+INDEX($AT$13:$BB$162,BO5323,0)+INDEX($BD$13:$BL$162,BP5323,0))/100)))&gt;0)*($D$10:$L$10-($D$9:$L$9+INT(($S$12:$AA$12+INDEX($AJ$13:$AR$162,BN5323,0)+INDEX($AT$13:$BB$162,BO5323,0)+INDEX($BD$13:$BL$162,BP5323,0))/100)))),0)</f>
        <v/>
      </c>
      <c r="BS5323">
        <f>IF(5310&lt;$U$9,SUMPRODUCT(($D$9:$L$9+INT(($S$12:$AA$12+INDEX($AJ$13:$AR$162,BN5323,0)+INDEX($AT$13:$BB$162,BO5323,0)+INDEX($BD$13:$BL$162,BP5323,0))/100))),0)</f>
        <v/>
      </c>
      <c r="BT5323">
        <f>IF(AND(5310&lt;$U$9,$W$5),BQ5323*1000000-MIN(BR5323,999)*1000+BS5323-5310/100000,-1000000000-5310)</f>
        <v/>
      </c>
    </row>
    <row r="5324">
      <c r="BN5324">
        <f>IF(5311&lt;$U$9,INT(5311/($U$7*$U$8))+1,1)</f>
        <v/>
      </c>
      <c r="BO5324">
        <f>IF(5311&lt;$U$9,MOD(INT(5311/$U$8),$U$7)+1,1)</f>
        <v/>
      </c>
      <c r="BP5324">
        <f>IF(5311&lt;$U$9,MOD(5311,$U$8)+1,1)</f>
        <v/>
      </c>
      <c r="BQ5324">
        <f>IF(5311&lt;$U$9,SUMPRODUCT(($D$10:$L$10&lt;&gt;"")*(($D$9:$L$9+INT(($S$12:$AA$12+INDEX($AJ$13:$AR$162,BN5324,0)+INDEX($AT$13:$BB$162,BO5324,0)+INDEX($BD$13:$BL$162,BP5324,0))/100))&gt;=$D$10:$L$10)),0)</f>
        <v/>
      </c>
      <c r="BR5324">
        <f>IF(5311&lt;$U$9,SUMPRODUCT(($D$10:$L$10&lt;&gt;"")*(($D$10:$L$10-($D$9:$L$9+INT(($S$12:$AA$12+INDEX($AJ$13:$AR$162,BN5324,0)+INDEX($AT$13:$BB$162,BO5324,0)+INDEX($BD$13:$BL$162,BP5324,0))/100)))&gt;0)*($D$10:$L$10-($D$9:$L$9+INT(($S$12:$AA$12+INDEX($AJ$13:$AR$162,BN5324,0)+INDEX($AT$13:$BB$162,BO5324,0)+INDEX($BD$13:$BL$162,BP5324,0))/100)))),0)</f>
        <v/>
      </c>
      <c r="BS5324">
        <f>IF(5311&lt;$U$9,SUMPRODUCT(($D$9:$L$9+INT(($S$12:$AA$12+INDEX($AJ$13:$AR$162,BN5324,0)+INDEX($AT$13:$BB$162,BO5324,0)+INDEX($BD$13:$BL$162,BP5324,0))/100))),0)</f>
        <v/>
      </c>
      <c r="BT5324">
        <f>IF(AND(5311&lt;$U$9,$W$5),BQ5324*1000000-MIN(BR5324,999)*1000+BS5324-5311/100000,-1000000000-5311)</f>
        <v/>
      </c>
    </row>
    <row r="5325">
      <c r="BN5325">
        <f>IF(5312&lt;$U$9,INT(5312/($U$7*$U$8))+1,1)</f>
        <v/>
      </c>
      <c r="BO5325">
        <f>IF(5312&lt;$U$9,MOD(INT(5312/$U$8),$U$7)+1,1)</f>
        <v/>
      </c>
      <c r="BP5325">
        <f>IF(5312&lt;$U$9,MOD(5312,$U$8)+1,1)</f>
        <v/>
      </c>
      <c r="BQ5325">
        <f>IF(5312&lt;$U$9,SUMPRODUCT(($D$10:$L$10&lt;&gt;"")*(($D$9:$L$9+INT(($S$12:$AA$12+INDEX($AJ$13:$AR$162,BN5325,0)+INDEX($AT$13:$BB$162,BO5325,0)+INDEX($BD$13:$BL$162,BP5325,0))/100))&gt;=$D$10:$L$10)),0)</f>
        <v/>
      </c>
      <c r="BR5325">
        <f>IF(5312&lt;$U$9,SUMPRODUCT(($D$10:$L$10&lt;&gt;"")*(($D$10:$L$10-($D$9:$L$9+INT(($S$12:$AA$12+INDEX($AJ$13:$AR$162,BN5325,0)+INDEX($AT$13:$BB$162,BO5325,0)+INDEX($BD$13:$BL$162,BP5325,0))/100)))&gt;0)*($D$10:$L$10-($D$9:$L$9+INT(($S$12:$AA$12+INDEX($AJ$13:$AR$162,BN5325,0)+INDEX($AT$13:$BB$162,BO5325,0)+INDEX($BD$13:$BL$162,BP5325,0))/100)))),0)</f>
        <v/>
      </c>
      <c r="BS5325">
        <f>IF(5312&lt;$U$9,SUMPRODUCT(($D$9:$L$9+INT(($S$12:$AA$12+INDEX($AJ$13:$AR$162,BN5325,0)+INDEX($AT$13:$BB$162,BO5325,0)+INDEX($BD$13:$BL$162,BP5325,0))/100))),0)</f>
        <v/>
      </c>
      <c r="BT5325">
        <f>IF(AND(5312&lt;$U$9,$W$5),BQ5325*1000000-MIN(BR5325,999)*1000+BS5325-5312/100000,-1000000000-5312)</f>
        <v/>
      </c>
    </row>
    <row r="5326">
      <c r="BN5326">
        <f>IF(5313&lt;$U$9,INT(5313/($U$7*$U$8))+1,1)</f>
        <v/>
      </c>
      <c r="BO5326">
        <f>IF(5313&lt;$U$9,MOD(INT(5313/$U$8),$U$7)+1,1)</f>
        <v/>
      </c>
      <c r="BP5326">
        <f>IF(5313&lt;$U$9,MOD(5313,$U$8)+1,1)</f>
        <v/>
      </c>
      <c r="BQ5326">
        <f>IF(5313&lt;$U$9,SUMPRODUCT(($D$10:$L$10&lt;&gt;"")*(($D$9:$L$9+INT(($S$12:$AA$12+INDEX($AJ$13:$AR$162,BN5326,0)+INDEX($AT$13:$BB$162,BO5326,0)+INDEX($BD$13:$BL$162,BP5326,0))/100))&gt;=$D$10:$L$10)),0)</f>
        <v/>
      </c>
      <c r="BR5326">
        <f>IF(5313&lt;$U$9,SUMPRODUCT(($D$10:$L$10&lt;&gt;"")*(($D$10:$L$10-($D$9:$L$9+INT(($S$12:$AA$12+INDEX($AJ$13:$AR$162,BN5326,0)+INDEX($AT$13:$BB$162,BO5326,0)+INDEX($BD$13:$BL$162,BP5326,0))/100)))&gt;0)*($D$10:$L$10-($D$9:$L$9+INT(($S$12:$AA$12+INDEX($AJ$13:$AR$162,BN5326,0)+INDEX($AT$13:$BB$162,BO5326,0)+INDEX($BD$13:$BL$162,BP5326,0))/100)))),0)</f>
        <v/>
      </c>
      <c r="BS5326">
        <f>IF(5313&lt;$U$9,SUMPRODUCT(($D$9:$L$9+INT(($S$12:$AA$12+INDEX($AJ$13:$AR$162,BN5326,0)+INDEX($AT$13:$BB$162,BO5326,0)+INDEX($BD$13:$BL$162,BP5326,0))/100))),0)</f>
        <v/>
      </c>
      <c r="BT5326">
        <f>IF(AND(5313&lt;$U$9,$W$5),BQ5326*1000000-MIN(BR5326,999)*1000+BS5326-5313/100000,-1000000000-5313)</f>
        <v/>
      </c>
    </row>
    <row r="5327">
      <c r="BN5327">
        <f>IF(5314&lt;$U$9,INT(5314/($U$7*$U$8))+1,1)</f>
        <v/>
      </c>
      <c r="BO5327">
        <f>IF(5314&lt;$U$9,MOD(INT(5314/$U$8),$U$7)+1,1)</f>
        <v/>
      </c>
      <c r="BP5327">
        <f>IF(5314&lt;$U$9,MOD(5314,$U$8)+1,1)</f>
        <v/>
      </c>
      <c r="BQ5327">
        <f>IF(5314&lt;$U$9,SUMPRODUCT(($D$10:$L$10&lt;&gt;"")*(($D$9:$L$9+INT(($S$12:$AA$12+INDEX($AJ$13:$AR$162,BN5327,0)+INDEX($AT$13:$BB$162,BO5327,0)+INDEX($BD$13:$BL$162,BP5327,0))/100))&gt;=$D$10:$L$10)),0)</f>
        <v/>
      </c>
      <c r="BR5327">
        <f>IF(5314&lt;$U$9,SUMPRODUCT(($D$10:$L$10&lt;&gt;"")*(($D$10:$L$10-($D$9:$L$9+INT(($S$12:$AA$12+INDEX($AJ$13:$AR$162,BN5327,0)+INDEX($AT$13:$BB$162,BO5327,0)+INDEX($BD$13:$BL$162,BP5327,0))/100)))&gt;0)*($D$10:$L$10-($D$9:$L$9+INT(($S$12:$AA$12+INDEX($AJ$13:$AR$162,BN5327,0)+INDEX($AT$13:$BB$162,BO5327,0)+INDEX($BD$13:$BL$162,BP5327,0))/100)))),0)</f>
        <v/>
      </c>
      <c r="BS5327">
        <f>IF(5314&lt;$U$9,SUMPRODUCT(($D$9:$L$9+INT(($S$12:$AA$12+INDEX($AJ$13:$AR$162,BN5327,0)+INDEX($AT$13:$BB$162,BO5327,0)+INDEX($BD$13:$BL$162,BP5327,0))/100))),0)</f>
        <v/>
      </c>
      <c r="BT5327">
        <f>IF(AND(5314&lt;$U$9,$W$5),BQ5327*1000000-MIN(BR5327,999)*1000+BS5327-5314/100000,-1000000000-5314)</f>
        <v/>
      </c>
    </row>
    <row r="5328">
      <c r="BN5328">
        <f>IF(5315&lt;$U$9,INT(5315/($U$7*$U$8))+1,1)</f>
        <v/>
      </c>
      <c r="BO5328">
        <f>IF(5315&lt;$U$9,MOD(INT(5315/$U$8),$U$7)+1,1)</f>
        <v/>
      </c>
      <c r="BP5328">
        <f>IF(5315&lt;$U$9,MOD(5315,$U$8)+1,1)</f>
        <v/>
      </c>
      <c r="BQ5328">
        <f>IF(5315&lt;$U$9,SUMPRODUCT(($D$10:$L$10&lt;&gt;"")*(($D$9:$L$9+INT(($S$12:$AA$12+INDEX($AJ$13:$AR$162,BN5328,0)+INDEX($AT$13:$BB$162,BO5328,0)+INDEX($BD$13:$BL$162,BP5328,0))/100))&gt;=$D$10:$L$10)),0)</f>
        <v/>
      </c>
      <c r="BR5328">
        <f>IF(5315&lt;$U$9,SUMPRODUCT(($D$10:$L$10&lt;&gt;"")*(($D$10:$L$10-($D$9:$L$9+INT(($S$12:$AA$12+INDEX($AJ$13:$AR$162,BN5328,0)+INDEX($AT$13:$BB$162,BO5328,0)+INDEX($BD$13:$BL$162,BP5328,0))/100)))&gt;0)*($D$10:$L$10-($D$9:$L$9+INT(($S$12:$AA$12+INDEX($AJ$13:$AR$162,BN5328,0)+INDEX($AT$13:$BB$162,BO5328,0)+INDEX($BD$13:$BL$162,BP5328,0))/100)))),0)</f>
        <v/>
      </c>
      <c r="BS5328">
        <f>IF(5315&lt;$U$9,SUMPRODUCT(($D$9:$L$9+INT(($S$12:$AA$12+INDEX($AJ$13:$AR$162,BN5328,0)+INDEX($AT$13:$BB$162,BO5328,0)+INDEX($BD$13:$BL$162,BP5328,0))/100))),0)</f>
        <v/>
      </c>
      <c r="BT5328">
        <f>IF(AND(5315&lt;$U$9,$W$5),BQ5328*1000000-MIN(BR5328,999)*1000+BS5328-5315/100000,-1000000000-5315)</f>
        <v/>
      </c>
    </row>
    <row r="5329">
      <c r="BN5329">
        <f>IF(5316&lt;$U$9,INT(5316/($U$7*$U$8))+1,1)</f>
        <v/>
      </c>
      <c r="BO5329">
        <f>IF(5316&lt;$U$9,MOD(INT(5316/$U$8),$U$7)+1,1)</f>
        <v/>
      </c>
      <c r="BP5329">
        <f>IF(5316&lt;$U$9,MOD(5316,$U$8)+1,1)</f>
        <v/>
      </c>
      <c r="BQ5329">
        <f>IF(5316&lt;$U$9,SUMPRODUCT(($D$10:$L$10&lt;&gt;"")*(($D$9:$L$9+INT(($S$12:$AA$12+INDEX($AJ$13:$AR$162,BN5329,0)+INDEX($AT$13:$BB$162,BO5329,0)+INDEX($BD$13:$BL$162,BP5329,0))/100))&gt;=$D$10:$L$10)),0)</f>
        <v/>
      </c>
      <c r="BR5329">
        <f>IF(5316&lt;$U$9,SUMPRODUCT(($D$10:$L$10&lt;&gt;"")*(($D$10:$L$10-($D$9:$L$9+INT(($S$12:$AA$12+INDEX($AJ$13:$AR$162,BN5329,0)+INDEX($AT$13:$BB$162,BO5329,0)+INDEX($BD$13:$BL$162,BP5329,0))/100)))&gt;0)*($D$10:$L$10-($D$9:$L$9+INT(($S$12:$AA$12+INDEX($AJ$13:$AR$162,BN5329,0)+INDEX($AT$13:$BB$162,BO5329,0)+INDEX($BD$13:$BL$162,BP5329,0))/100)))),0)</f>
        <v/>
      </c>
      <c r="BS5329">
        <f>IF(5316&lt;$U$9,SUMPRODUCT(($D$9:$L$9+INT(($S$12:$AA$12+INDEX($AJ$13:$AR$162,BN5329,0)+INDEX($AT$13:$BB$162,BO5329,0)+INDEX($BD$13:$BL$162,BP5329,0))/100))),0)</f>
        <v/>
      </c>
      <c r="BT5329">
        <f>IF(AND(5316&lt;$U$9,$W$5),BQ5329*1000000-MIN(BR5329,999)*1000+BS5329-5316/100000,-1000000000-5316)</f>
        <v/>
      </c>
    </row>
    <row r="5330">
      <c r="BN5330">
        <f>IF(5317&lt;$U$9,INT(5317/($U$7*$U$8))+1,1)</f>
        <v/>
      </c>
      <c r="BO5330">
        <f>IF(5317&lt;$U$9,MOD(INT(5317/$U$8),$U$7)+1,1)</f>
        <v/>
      </c>
      <c r="BP5330">
        <f>IF(5317&lt;$U$9,MOD(5317,$U$8)+1,1)</f>
        <v/>
      </c>
      <c r="BQ5330">
        <f>IF(5317&lt;$U$9,SUMPRODUCT(($D$10:$L$10&lt;&gt;"")*(($D$9:$L$9+INT(($S$12:$AA$12+INDEX($AJ$13:$AR$162,BN5330,0)+INDEX($AT$13:$BB$162,BO5330,0)+INDEX($BD$13:$BL$162,BP5330,0))/100))&gt;=$D$10:$L$10)),0)</f>
        <v/>
      </c>
      <c r="BR5330">
        <f>IF(5317&lt;$U$9,SUMPRODUCT(($D$10:$L$10&lt;&gt;"")*(($D$10:$L$10-($D$9:$L$9+INT(($S$12:$AA$12+INDEX($AJ$13:$AR$162,BN5330,0)+INDEX($AT$13:$BB$162,BO5330,0)+INDEX($BD$13:$BL$162,BP5330,0))/100)))&gt;0)*($D$10:$L$10-($D$9:$L$9+INT(($S$12:$AA$12+INDEX($AJ$13:$AR$162,BN5330,0)+INDEX($AT$13:$BB$162,BO5330,0)+INDEX($BD$13:$BL$162,BP5330,0))/100)))),0)</f>
        <v/>
      </c>
      <c r="BS5330">
        <f>IF(5317&lt;$U$9,SUMPRODUCT(($D$9:$L$9+INT(($S$12:$AA$12+INDEX($AJ$13:$AR$162,BN5330,0)+INDEX($AT$13:$BB$162,BO5330,0)+INDEX($BD$13:$BL$162,BP5330,0))/100))),0)</f>
        <v/>
      </c>
      <c r="BT5330">
        <f>IF(AND(5317&lt;$U$9,$W$5),BQ5330*1000000-MIN(BR5330,999)*1000+BS5330-5317/100000,-1000000000-5317)</f>
        <v/>
      </c>
    </row>
    <row r="5331">
      <c r="BN5331">
        <f>IF(5318&lt;$U$9,INT(5318/($U$7*$U$8))+1,1)</f>
        <v/>
      </c>
      <c r="BO5331">
        <f>IF(5318&lt;$U$9,MOD(INT(5318/$U$8),$U$7)+1,1)</f>
        <v/>
      </c>
      <c r="BP5331">
        <f>IF(5318&lt;$U$9,MOD(5318,$U$8)+1,1)</f>
        <v/>
      </c>
      <c r="BQ5331">
        <f>IF(5318&lt;$U$9,SUMPRODUCT(($D$10:$L$10&lt;&gt;"")*(($D$9:$L$9+INT(($S$12:$AA$12+INDEX($AJ$13:$AR$162,BN5331,0)+INDEX($AT$13:$BB$162,BO5331,0)+INDEX($BD$13:$BL$162,BP5331,0))/100))&gt;=$D$10:$L$10)),0)</f>
        <v/>
      </c>
      <c r="BR5331">
        <f>IF(5318&lt;$U$9,SUMPRODUCT(($D$10:$L$10&lt;&gt;"")*(($D$10:$L$10-($D$9:$L$9+INT(($S$12:$AA$12+INDEX($AJ$13:$AR$162,BN5331,0)+INDEX($AT$13:$BB$162,BO5331,0)+INDEX($BD$13:$BL$162,BP5331,0))/100)))&gt;0)*($D$10:$L$10-($D$9:$L$9+INT(($S$12:$AA$12+INDEX($AJ$13:$AR$162,BN5331,0)+INDEX($AT$13:$BB$162,BO5331,0)+INDEX($BD$13:$BL$162,BP5331,0))/100)))),0)</f>
        <v/>
      </c>
      <c r="BS5331">
        <f>IF(5318&lt;$U$9,SUMPRODUCT(($D$9:$L$9+INT(($S$12:$AA$12+INDEX($AJ$13:$AR$162,BN5331,0)+INDEX($AT$13:$BB$162,BO5331,0)+INDEX($BD$13:$BL$162,BP5331,0))/100))),0)</f>
        <v/>
      </c>
      <c r="BT5331">
        <f>IF(AND(5318&lt;$U$9,$W$5),BQ5331*1000000-MIN(BR5331,999)*1000+BS5331-5318/100000,-1000000000-5318)</f>
        <v/>
      </c>
    </row>
    <row r="5332">
      <c r="BN5332">
        <f>IF(5319&lt;$U$9,INT(5319/($U$7*$U$8))+1,1)</f>
        <v/>
      </c>
      <c r="BO5332">
        <f>IF(5319&lt;$U$9,MOD(INT(5319/$U$8),$U$7)+1,1)</f>
        <v/>
      </c>
      <c r="BP5332">
        <f>IF(5319&lt;$U$9,MOD(5319,$U$8)+1,1)</f>
        <v/>
      </c>
      <c r="BQ5332">
        <f>IF(5319&lt;$U$9,SUMPRODUCT(($D$10:$L$10&lt;&gt;"")*(($D$9:$L$9+INT(($S$12:$AA$12+INDEX($AJ$13:$AR$162,BN5332,0)+INDEX($AT$13:$BB$162,BO5332,0)+INDEX($BD$13:$BL$162,BP5332,0))/100))&gt;=$D$10:$L$10)),0)</f>
        <v/>
      </c>
      <c r="BR5332">
        <f>IF(5319&lt;$U$9,SUMPRODUCT(($D$10:$L$10&lt;&gt;"")*(($D$10:$L$10-($D$9:$L$9+INT(($S$12:$AA$12+INDEX($AJ$13:$AR$162,BN5332,0)+INDEX($AT$13:$BB$162,BO5332,0)+INDEX($BD$13:$BL$162,BP5332,0))/100)))&gt;0)*($D$10:$L$10-($D$9:$L$9+INT(($S$12:$AA$12+INDEX($AJ$13:$AR$162,BN5332,0)+INDEX($AT$13:$BB$162,BO5332,0)+INDEX($BD$13:$BL$162,BP5332,0))/100)))),0)</f>
        <v/>
      </c>
      <c r="BS5332">
        <f>IF(5319&lt;$U$9,SUMPRODUCT(($D$9:$L$9+INT(($S$12:$AA$12+INDEX($AJ$13:$AR$162,BN5332,0)+INDEX($AT$13:$BB$162,BO5332,0)+INDEX($BD$13:$BL$162,BP5332,0))/100))),0)</f>
        <v/>
      </c>
      <c r="BT5332">
        <f>IF(AND(5319&lt;$U$9,$W$5),BQ5332*1000000-MIN(BR5332,999)*1000+BS5332-5319/100000,-1000000000-5319)</f>
        <v/>
      </c>
    </row>
    <row r="5333">
      <c r="BN5333">
        <f>IF(5320&lt;$U$9,INT(5320/($U$7*$U$8))+1,1)</f>
        <v/>
      </c>
      <c r="BO5333">
        <f>IF(5320&lt;$U$9,MOD(INT(5320/$U$8),$U$7)+1,1)</f>
        <v/>
      </c>
      <c r="BP5333">
        <f>IF(5320&lt;$U$9,MOD(5320,$U$8)+1,1)</f>
        <v/>
      </c>
      <c r="BQ5333">
        <f>IF(5320&lt;$U$9,SUMPRODUCT(($D$10:$L$10&lt;&gt;"")*(($D$9:$L$9+INT(($S$12:$AA$12+INDEX($AJ$13:$AR$162,BN5333,0)+INDEX($AT$13:$BB$162,BO5333,0)+INDEX($BD$13:$BL$162,BP5333,0))/100))&gt;=$D$10:$L$10)),0)</f>
        <v/>
      </c>
      <c r="BR5333">
        <f>IF(5320&lt;$U$9,SUMPRODUCT(($D$10:$L$10&lt;&gt;"")*(($D$10:$L$10-($D$9:$L$9+INT(($S$12:$AA$12+INDEX($AJ$13:$AR$162,BN5333,0)+INDEX($AT$13:$BB$162,BO5333,0)+INDEX($BD$13:$BL$162,BP5333,0))/100)))&gt;0)*($D$10:$L$10-($D$9:$L$9+INT(($S$12:$AA$12+INDEX($AJ$13:$AR$162,BN5333,0)+INDEX($AT$13:$BB$162,BO5333,0)+INDEX($BD$13:$BL$162,BP5333,0))/100)))),0)</f>
        <v/>
      </c>
      <c r="BS5333">
        <f>IF(5320&lt;$U$9,SUMPRODUCT(($D$9:$L$9+INT(($S$12:$AA$12+INDEX($AJ$13:$AR$162,BN5333,0)+INDEX($AT$13:$BB$162,BO5333,0)+INDEX($BD$13:$BL$162,BP5333,0))/100))),0)</f>
        <v/>
      </c>
      <c r="BT5333">
        <f>IF(AND(5320&lt;$U$9,$W$5),BQ5333*1000000-MIN(BR5333,999)*1000+BS5333-5320/100000,-1000000000-5320)</f>
        <v/>
      </c>
    </row>
    <row r="5334">
      <c r="BN5334">
        <f>IF(5321&lt;$U$9,INT(5321/($U$7*$U$8))+1,1)</f>
        <v/>
      </c>
      <c r="BO5334">
        <f>IF(5321&lt;$U$9,MOD(INT(5321/$U$8),$U$7)+1,1)</f>
        <v/>
      </c>
      <c r="BP5334">
        <f>IF(5321&lt;$U$9,MOD(5321,$U$8)+1,1)</f>
        <v/>
      </c>
      <c r="BQ5334">
        <f>IF(5321&lt;$U$9,SUMPRODUCT(($D$10:$L$10&lt;&gt;"")*(($D$9:$L$9+INT(($S$12:$AA$12+INDEX($AJ$13:$AR$162,BN5334,0)+INDEX($AT$13:$BB$162,BO5334,0)+INDEX($BD$13:$BL$162,BP5334,0))/100))&gt;=$D$10:$L$10)),0)</f>
        <v/>
      </c>
      <c r="BR5334">
        <f>IF(5321&lt;$U$9,SUMPRODUCT(($D$10:$L$10&lt;&gt;"")*(($D$10:$L$10-($D$9:$L$9+INT(($S$12:$AA$12+INDEX($AJ$13:$AR$162,BN5334,0)+INDEX($AT$13:$BB$162,BO5334,0)+INDEX($BD$13:$BL$162,BP5334,0))/100)))&gt;0)*($D$10:$L$10-($D$9:$L$9+INT(($S$12:$AA$12+INDEX($AJ$13:$AR$162,BN5334,0)+INDEX($AT$13:$BB$162,BO5334,0)+INDEX($BD$13:$BL$162,BP5334,0))/100)))),0)</f>
        <v/>
      </c>
      <c r="BS5334">
        <f>IF(5321&lt;$U$9,SUMPRODUCT(($D$9:$L$9+INT(($S$12:$AA$12+INDEX($AJ$13:$AR$162,BN5334,0)+INDEX($AT$13:$BB$162,BO5334,0)+INDEX($BD$13:$BL$162,BP5334,0))/100))),0)</f>
        <v/>
      </c>
      <c r="BT5334">
        <f>IF(AND(5321&lt;$U$9,$W$5),BQ5334*1000000-MIN(BR5334,999)*1000+BS5334-5321/100000,-1000000000-5321)</f>
        <v/>
      </c>
    </row>
    <row r="5335">
      <c r="BN5335">
        <f>IF(5322&lt;$U$9,INT(5322/($U$7*$U$8))+1,1)</f>
        <v/>
      </c>
      <c r="BO5335">
        <f>IF(5322&lt;$U$9,MOD(INT(5322/$U$8),$U$7)+1,1)</f>
        <v/>
      </c>
      <c r="BP5335">
        <f>IF(5322&lt;$U$9,MOD(5322,$U$8)+1,1)</f>
        <v/>
      </c>
      <c r="BQ5335">
        <f>IF(5322&lt;$U$9,SUMPRODUCT(($D$10:$L$10&lt;&gt;"")*(($D$9:$L$9+INT(($S$12:$AA$12+INDEX($AJ$13:$AR$162,BN5335,0)+INDEX($AT$13:$BB$162,BO5335,0)+INDEX($BD$13:$BL$162,BP5335,0))/100))&gt;=$D$10:$L$10)),0)</f>
        <v/>
      </c>
      <c r="BR5335">
        <f>IF(5322&lt;$U$9,SUMPRODUCT(($D$10:$L$10&lt;&gt;"")*(($D$10:$L$10-($D$9:$L$9+INT(($S$12:$AA$12+INDEX($AJ$13:$AR$162,BN5335,0)+INDEX($AT$13:$BB$162,BO5335,0)+INDEX($BD$13:$BL$162,BP5335,0))/100)))&gt;0)*($D$10:$L$10-($D$9:$L$9+INT(($S$12:$AA$12+INDEX($AJ$13:$AR$162,BN5335,0)+INDEX($AT$13:$BB$162,BO5335,0)+INDEX($BD$13:$BL$162,BP5335,0))/100)))),0)</f>
        <v/>
      </c>
      <c r="BS5335">
        <f>IF(5322&lt;$U$9,SUMPRODUCT(($D$9:$L$9+INT(($S$12:$AA$12+INDEX($AJ$13:$AR$162,BN5335,0)+INDEX($AT$13:$BB$162,BO5335,0)+INDEX($BD$13:$BL$162,BP5335,0))/100))),0)</f>
        <v/>
      </c>
      <c r="BT5335">
        <f>IF(AND(5322&lt;$U$9,$W$5),BQ5335*1000000-MIN(BR5335,999)*1000+BS5335-5322/100000,-1000000000-5322)</f>
        <v/>
      </c>
    </row>
    <row r="5336">
      <c r="BN5336">
        <f>IF(5323&lt;$U$9,INT(5323/($U$7*$U$8))+1,1)</f>
        <v/>
      </c>
      <c r="BO5336">
        <f>IF(5323&lt;$U$9,MOD(INT(5323/$U$8),$U$7)+1,1)</f>
        <v/>
      </c>
      <c r="BP5336">
        <f>IF(5323&lt;$U$9,MOD(5323,$U$8)+1,1)</f>
        <v/>
      </c>
      <c r="BQ5336">
        <f>IF(5323&lt;$U$9,SUMPRODUCT(($D$10:$L$10&lt;&gt;"")*(($D$9:$L$9+INT(($S$12:$AA$12+INDEX($AJ$13:$AR$162,BN5336,0)+INDEX($AT$13:$BB$162,BO5336,0)+INDEX($BD$13:$BL$162,BP5336,0))/100))&gt;=$D$10:$L$10)),0)</f>
        <v/>
      </c>
      <c r="BR5336">
        <f>IF(5323&lt;$U$9,SUMPRODUCT(($D$10:$L$10&lt;&gt;"")*(($D$10:$L$10-($D$9:$L$9+INT(($S$12:$AA$12+INDEX($AJ$13:$AR$162,BN5336,0)+INDEX($AT$13:$BB$162,BO5336,0)+INDEX($BD$13:$BL$162,BP5336,0))/100)))&gt;0)*($D$10:$L$10-($D$9:$L$9+INT(($S$12:$AA$12+INDEX($AJ$13:$AR$162,BN5336,0)+INDEX($AT$13:$BB$162,BO5336,0)+INDEX($BD$13:$BL$162,BP5336,0))/100)))),0)</f>
        <v/>
      </c>
      <c r="BS5336">
        <f>IF(5323&lt;$U$9,SUMPRODUCT(($D$9:$L$9+INT(($S$12:$AA$12+INDEX($AJ$13:$AR$162,BN5336,0)+INDEX($AT$13:$BB$162,BO5336,0)+INDEX($BD$13:$BL$162,BP5336,0))/100))),0)</f>
        <v/>
      </c>
      <c r="BT5336">
        <f>IF(AND(5323&lt;$U$9,$W$5),BQ5336*1000000-MIN(BR5336,999)*1000+BS5336-5323/100000,-1000000000-5323)</f>
        <v/>
      </c>
    </row>
    <row r="5337">
      <c r="BN5337">
        <f>IF(5324&lt;$U$9,INT(5324/($U$7*$U$8))+1,1)</f>
        <v/>
      </c>
      <c r="BO5337">
        <f>IF(5324&lt;$U$9,MOD(INT(5324/$U$8),$U$7)+1,1)</f>
        <v/>
      </c>
      <c r="BP5337">
        <f>IF(5324&lt;$U$9,MOD(5324,$U$8)+1,1)</f>
        <v/>
      </c>
      <c r="BQ5337">
        <f>IF(5324&lt;$U$9,SUMPRODUCT(($D$10:$L$10&lt;&gt;"")*(($D$9:$L$9+INT(($S$12:$AA$12+INDEX($AJ$13:$AR$162,BN5337,0)+INDEX($AT$13:$BB$162,BO5337,0)+INDEX($BD$13:$BL$162,BP5337,0))/100))&gt;=$D$10:$L$10)),0)</f>
        <v/>
      </c>
      <c r="BR5337">
        <f>IF(5324&lt;$U$9,SUMPRODUCT(($D$10:$L$10&lt;&gt;"")*(($D$10:$L$10-($D$9:$L$9+INT(($S$12:$AA$12+INDEX($AJ$13:$AR$162,BN5337,0)+INDEX($AT$13:$BB$162,BO5337,0)+INDEX($BD$13:$BL$162,BP5337,0))/100)))&gt;0)*($D$10:$L$10-($D$9:$L$9+INT(($S$12:$AA$12+INDEX($AJ$13:$AR$162,BN5337,0)+INDEX($AT$13:$BB$162,BO5337,0)+INDEX($BD$13:$BL$162,BP5337,0))/100)))),0)</f>
        <v/>
      </c>
      <c r="BS5337">
        <f>IF(5324&lt;$U$9,SUMPRODUCT(($D$9:$L$9+INT(($S$12:$AA$12+INDEX($AJ$13:$AR$162,BN5337,0)+INDEX($AT$13:$BB$162,BO5337,0)+INDEX($BD$13:$BL$162,BP5337,0))/100))),0)</f>
        <v/>
      </c>
      <c r="BT5337">
        <f>IF(AND(5324&lt;$U$9,$W$5),BQ5337*1000000-MIN(BR5337,999)*1000+BS5337-5324/100000,-1000000000-5324)</f>
        <v/>
      </c>
    </row>
    <row r="5338">
      <c r="BN5338">
        <f>IF(5325&lt;$U$9,INT(5325/($U$7*$U$8))+1,1)</f>
        <v/>
      </c>
      <c r="BO5338">
        <f>IF(5325&lt;$U$9,MOD(INT(5325/$U$8),$U$7)+1,1)</f>
        <v/>
      </c>
      <c r="BP5338">
        <f>IF(5325&lt;$U$9,MOD(5325,$U$8)+1,1)</f>
        <v/>
      </c>
      <c r="BQ5338">
        <f>IF(5325&lt;$U$9,SUMPRODUCT(($D$10:$L$10&lt;&gt;"")*(($D$9:$L$9+INT(($S$12:$AA$12+INDEX($AJ$13:$AR$162,BN5338,0)+INDEX($AT$13:$BB$162,BO5338,0)+INDEX($BD$13:$BL$162,BP5338,0))/100))&gt;=$D$10:$L$10)),0)</f>
        <v/>
      </c>
      <c r="BR5338">
        <f>IF(5325&lt;$U$9,SUMPRODUCT(($D$10:$L$10&lt;&gt;"")*(($D$10:$L$10-($D$9:$L$9+INT(($S$12:$AA$12+INDEX($AJ$13:$AR$162,BN5338,0)+INDEX($AT$13:$BB$162,BO5338,0)+INDEX($BD$13:$BL$162,BP5338,0))/100)))&gt;0)*($D$10:$L$10-($D$9:$L$9+INT(($S$12:$AA$12+INDEX($AJ$13:$AR$162,BN5338,0)+INDEX($AT$13:$BB$162,BO5338,0)+INDEX($BD$13:$BL$162,BP5338,0))/100)))),0)</f>
        <v/>
      </c>
      <c r="BS5338">
        <f>IF(5325&lt;$U$9,SUMPRODUCT(($D$9:$L$9+INT(($S$12:$AA$12+INDEX($AJ$13:$AR$162,BN5338,0)+INDEX($AT$13:$BB$162,BO5338,0)+INDEX($BD$13:$BL$162,BP5338,0))/100))),0)</f>
        <v/>
      </c>
      <c r="BT5338">
        <f>IF(AND(5325&lt;$U$9,$W$5),BQ5338*1000000-MIN(BR5338,999)*1000+BS5338-5325/100000,-1000000000-5325)</f>
        <v/>
      </c>
    </row>
    <row r="5339">
      <c r="BN5339">
        <f>IF(5326&lt;$U$9,INT(5326/($U$7*$U$8))+1,1)</f>
        <v/>
      </c>
      <c r="BO5339">
        <f>IF(5326&lt;$U$9,MOD(INT(5326/$U$8),$U$7)+1,1)</f>
        <v/>
      </c>
      <c r="BP5339">
        <f>IF(5326&lt;$U$9,MOD(5326,$U$8)+1,1)</f>
        <v/>
      </c>
      <c r="BQ5339">
        <f>IF(5326&lt;$U$9,SUMPRODUCT(($D$10:$L$10&lt;&gt;"")*(($D$9:$L$9+INT(($S$12:$AA$12+INDEX($AJ$13:$AR$162,BN5339,0)+INDEX($AT$13:$BB$162,BO5339,0)+INDEX($BD$13:$BL$162,BP5339,0))/100))&gt;=$D$10:$L$10)),0)</f>
        <v/>
      </c>
      <c r="BR5339">
        <f>IF(5326&lt;$U$9,SUMPRODUCT(($D$10:$L$10&lt;&gt;"")*(($D$10:$L$10-($D$9:$L$9+INT(($S$12:$AA$12+INDEX($AJ$13:$AR$162,BN5339,0)+INDEX($AT$13:$BB$162,BO5339,0)+INDEX($BD$13:$BL$162,BP5339,0))/100)))&gt;0)*($D$10:$L$10-($D$9:$L$9+INT(($S$12:$AA$12+INDEX($AJ$13:$AR$162,BN5339,0)+INDEX($AT$13:$BB$162,BO5339,0)+INDEX($BD$13:$BL$162,BP5339,0))/100)))),0)</f>
        <v/>
      </c>
      <c r="BS5339">
        <f>IF(5326&lt;$U$9,SUMPRODUCT(($D$9:$L$9+INT(($S$12:$AA$12+INDEX($AJ$13:$AR$162,BN5339,0)+INDEX($AT$13:$BB$162,BO5339,0)+INDEX($BD$13:$BL$162,BP5339,0))/100))),0)</f>
        <v/>
      </c>
      <c r="BT5339">
        <f>IF(AND(5326&lt;$U$9,$W$5),BQ5339*1000000-MIN(BR5339,999)*1000+BS5339-5326/100000,-1000000000-5326)</f>
        <v/>
      </c>
    </row>
    <row r="5340">
      <c r="BN5340">
        <f>IF(5327&lt;$U$9,INT(5327/($U$7*$U$8))+1,1)</f>
        <v/>
      </c>
      <c r="BO5340">
        <f>IF(5327&lt;$U$9,MOD(INT(5327/$U$8),$U$7)+1,1)</f>
        <v/>
      </c>
      <c r="BP5340">
        <f>IF(5327&lt;$U$9,MOD(5327,$U$8)+1,1)</f>
        <v/>
      </c>
      <c r="BQ5340">
        <f>IF(5327&lt;$U$9,SUMPRODUCT(($D$10:$L$10&lt;&gt;"")*(($D$9:$L$9+INT(($S$12:$AA$12+INDEX($AJ$13:$AR$162,BN5340,0)+INDEX($AT$13:$BB$162,BO5340,0)+INDEX($BD$13:$BL$162,BP5340,0))/100))&gt;=$D$10:$L$10)),0)</f>
        <v/>
      </c>
      <c r="BR5340">
        <f>IF(5327&lt;$U$9,SUMPRODUCT(($D$10:$L$10&lt;&gt;"")*(($D$10:$L$10-($D$9:$L$9+INT(($S$12:$AA$12+INDEX($AJ$13:$AR$162,BN5340,0)+INDEX($AT$13:$BB$162,BO5340,0)+INDEX($BD$13:$BL$162,BP5340,0))/100)))&gt;0)*($D$10:$L$10-($D$9:$L$9+INT(($S$12:$AA$12+INDEX($AJ$13:$AR$162,BN5340,0)+INDEX($AT$13:$BB$162,BO5340,0)+INDEX($BD$13:$BL$162,BP5340,0))/100)))),0)</f>
        <v/>
      </c>
      <c r="BS5340">
        <f>IF(5327&lt;$U$9,SUMPRODUCT(($D$9:$L$9+INT(($S$12:$AA$12+INDEX($AJ$13:$AR$162,BN5340,0)+INDEX($AT$13:$BB$162,BO5340,0)+INDEX($BD$13:$BL$162,BP5340,0))/100))),0)</f>
        <v/>
      </c>
      <c r="BT5340">
        <f>IF(AND(5327&lt;$U$9,$W$5),BQ5340*1000000-MIN(BR5340,999)*1000+BS5340-5327/100000,-1000000000-5327)</f>
        <v/>
      </c>
    </row>
    <row r="5341">
      <c r="BN5341">
        <f>IF(5328&lt;$U$9,INT(5328/($U$7*$U$8))+1,1)</f>
        <v/>
      </c>
      <c r="BO5341">
        <f>IF(5328&lt;$U$9,MOD(INT(5328/$U$8),$U$7)+1,1)</f>
        <v/>
      </c>
      <c r="BP5341">
        <f>IF(5328&lt;$U$9,MOD(5328,$U$8)+1,1)</f>
        <v/>
      </c>
      <c r="BQ5341">
        <f>IF(5328&lt;$U$9,SUMPRODUCT(($D$10:$L$10&lt;&gt;"")*(($D$9:$L$9+INT(($S$12:$AA$12+INDEX($AJ$13:$AR$162,BN5341,0)+INDEX($AT$13:$BB$162,BO5341,0)+INDEX($BD$13:$BL$162,BP5341,0))/100))&gt;=$D$10:$L$10)),0)</f>
        <v/>
      </c>
      <c r="BR5341">
        <f>IF(5328&lt;$U$9,SUMPRODUCT(($D$10:$L$10&lt;&gt;"")*(($D$10:$L$10-($D$9:$L$9+INT(($S$12:$AA$12+INDEX($AJ$13:$AR$162,BN5341,0)+INDEX($AT$13:$BB$162,BO5341,0)+INDEX($BD$13:$BL$162,BP5341,0))/100)))&gt;0)*($D$10:$L$10-($D$9:$L$9+INT(($S$12:$AA$12+INDEX($AJ$13:$AR$162,BN5341,0)+INDEX($AT$13:$BB$162,BO5341,0)+INDEX($BD$13:$BL$162,BP5341,0))/100)))),0)</f>
        <v/>
      </c>
      <c r="BS5341">
        <f>IF(5328&lt;$U$9,SUMPRODUCT(($D$9:$L$9+INT(($S$12:$AA$12+INDEX($AJ$13:$AR$162,BN5341,0)+INDEX($AT$13:$BB$162,BO5341,0)+INDEX($BD$13:$BL$162,BP5341,0))/100))),0)</f>
        <v/>
      </c>
      <c r="BT5341">
        <f>IF(AND(5328&lt;$U$9,$W$5),BQ5341*1000000-MIN(BR5341,999)*1000+BS5341-5328/100000,-1000000000-5328)</f>
        <v/>
      </c>
    </row>
    <row r="5342">
      <c r="BN5342">
        <f>IF(5329&lt;$U$9,INT(5329/($U$7*$U$8))+1,1)</f>
        <v/>
      </c>
      <c r="BO5342">
        <f>IF(5329&lt;$U$9,MOD(INT(5329/$U$8),$U$7)+1,1)</f>
        <v/>
      </c>
      <c r="BP5342">
        <f>IF(5329&lt;$U$9,MOD(5329,$U$8)+1,1)</f>
        <v/>
      </c>
      <c r="BQ5342">
        <f>IF(5329&lt;$U$9,SUMPRODUCT(($D$10:$L$10&lt;&gt;"")*(($D$9:$L$9+INT(($S$12:$AA$12+INDEX($AJ$13:$AR$162,BN5342,0)+INDEX($AT$13:$BB$162,BO5342,0)+INDEX($BD$13:$BL$162,BP5342,0))/100))&gt;=$D$10:$L$10)),0)</f>
        <v/>
      </c>
      <c r="BR5342">
        <f>IF(5329&lt;$U$9,SUMPRODUCT(($D$10:$L$10&lt;&gt;"")*(($D$10:$L$10-($D$9:$L$9+INT(($S$12:$AA$12+INDEX($AJ$13:$AR$162,BN5342,0)+INDEX($AT$13:$BB$162,BO5342,0)+INDEX($BD$13:$BL$162,BP5342,0))/100)))&gt;0)*($D$10:$L$10-($D$9:$L$9+INT(($S$12:$AA$12+INDEX($AJ$13:$AR$162,BN5342,0)+INDEX($AT$13:$BB$162,BO5342,0)+INDEX($BD$13:$BL$162,BP5342,0))/100)))),0)</f>
        <v/>
      </c>
      <c r="BS5342">
        <f>IF(5329&lt;$U$9,SUMPRODUCT(($D$9:$L$9+INT(($S$12:$AA$12+INDEX($AJ$13:$AR$162,BN5342,0)+INDEX($AT$13:$BB$162,BO5342,0)+INDEX($BD$13:$BL$162,BP5342,0))/100))),0)</f>
        <v/>
      </c>
      <c r="BT5342">
        <f>IF(AND(5329&lt;$U$9,$W$5),BQ5342*1000000-MIN(BR5342,999)*1000+BS5342-5329/100000,-1000000000-5329)</f>
        <v/>
      </c>
    </row>
    <row r="5343">
      <c r="BN5343">
        <f>IF(5330&lt;$U$9,INT(5330/($U$7*$U$8))+1,1)</f>
        <v/>
      </c>
      <c r="BO5343">
        <f>IF(5330&lt;$U$9,MOD(INT(5330/$U$8),$U$7)+1,1)</f>
        <v/>
      </c>
      <c r="BP5343">
        <f>IF(5330&lt;$U$9,MOD(5330,$U$8)+1,1)</f>
        <v/>
      </c>
      <c r="BQ5343">
        <f>IF(5330&lt;$U$9,SUMPRODUCT(($D$10:$L$10&lt;&gt;"")*(($D$9:$L$9+INT(($S$12:$AA$12+INDEX($AJ$13:$AR$162,BN5343,0)+INDEX($AT$13:$BB$162,BO5343,0)+INDEX($BD$13:$BL$162,BP5343,0))/100))&gt;=$D$10:$L$10)),0)</f>
        <v/>
      </c>
      <c r="BR5343">
        <f>IF(5330&lt;$U$9,SUMPRODUCT(($D$10:$L$10&lt;&gt;"")*(($D$10:$L$10-($D$9:$L$9+INT(($S$12:$AA$12+INDEX($AJ$13:$AR$162,BN5343,0)+INDEX($AT$13:$BB$162,BO5343,0)+INDEX($BD$13:$BL$162,BP5343,0))/100)))&gt;0)*($D$10:$L$10-($D$9:$L$9+INT(($S$12:$AA$12+INDEX($AJ$13:$AR$162,BN5343,0)+INDEX($AT$13:$BB$162,BO5343,0)+INDEX($BD$13:$BL$162,BP5343,0))/100)))),0)</f>
        <v/>
      </c>
      <c r="BS5343">
        <f>IF(5330&lt;$U$9,SUMPRODUCT(($D$9:$L$9+INT(($S$12:$AA$12+INDEX($AJ$13:$AR$162,BN5343,0)+INDEX($AT$13:$BB$162,BO5343,0)+INDEX($BD$13:$BL$162,BP5343,0))/100))),0)</f>
        <v/>
      </c>
      <c r="BT5343">
        <f>IF(AND(5330&lt;$U$9,$W$5),BQ5343*1000000-MIN(BR5343,999)*1000+BS5343-5330/100000,-1000000000-5330)</f>
        <v/>
      </c>
    </row>
    <row r="5344">
      <c r="BN5344">
        <f>IF(5331&lt;$U$9,INT(5331/($U$7*$U$8))+1,1)</f>
        <v/>
      </c>
      <c r="BO5344">
        <f>IF(5331&lt;$U$9,MOD(INT(5331/$U$8),$U$7)+1,1)</f>
        <v/>
      </c>
      <c r="BP5344">
        <f>IF(5331&lt;$U$9,MOD(5331,$U$8)+1,1)</f>
        <v/>
      </c>
      <c r="BQ5344">
        <f>IF(5331&lt;$U$9,SUMPRODUCT(($D$10:$L$10&lt;&gt;"")*(($D$9:$L$9+INT(($S$12:$AA$12+INDEX($AJ$13:$AR$162,BN5344,0)+INDEX($AT$13:$BB$162,BO5344,0)+INDEX($BD$13:$BL$162,BP5344,0))/100))&gt;=$D$10:$L$10)),0)</f>
        <v/>
      </c>
      <c r="BR5344">
        <f>IF(5331&lt;$U$9,SUMPRODUCT(($D$10:$L$10&lt;&gt;"")*(($D$10:$L$10-($D$9:$L$9+INT(($S$12:$AA$12+INDEX($AJ$13:$AR$162,BN5344,0)+INDEX($AT$13:$BB$162,BO5344,0)+INDEX($BD$13:$BL$162,BP5344,0))/100)))&gt;0)*($D$10:$L$10-($D$9:$L$9+INT(($S$12:$AA$12+INDEX($AJ$13:$AR$162,BN5344,0)+INDEX($AT$13:$BB$162,BO5344,0)+INDEX($BD$13:$BL$162,BP5344,0))/100)))),0)</f>
        <v/>
      </c>
      <c r="BS5344">
        <f>IF(5331&lt;$U$9,SUMPRODUCT(($D$9:$L$9+INT(($S$12:$AA$12+INDEX($AJ$13:$AR$162,BN5344,0)+INDEX($AT$13:$BB$162,BO5344,0)+INDEX($BD$13:$BL$162,BP5344,0))/100))),0)</f>
        <v/>
      </c>
      <c r="BT5344">
        <f>IF(AND(5331&lt;$U$9,$W$5),BQ5344*1000000-MIN(BR5344,999)*1000+BS5344-5331/100000,-1000000000-5331)</f>
        <v/>
      </c>
    </row>
    <row r="5345">
      <c r="BN5345">
        <f>IF(5332&lt;$U$9,INT(5332/($U$7*$U$8))+1,1)</f>
        <v/>
      </c>
      <c r="BO5345">
        <f>IF(5332&lt;$U$9,MOD(INT(5332/$U$8),$U$7)+1,1)</f>
        <v/>
      </c>
      <c r="BP5345">
        <f>IF(5332&lt;$U$9,MOD(5332,$U$8)+1,1)</f>
        <v/>
      </c>
      <c r="BQ5345">
        <f>IF(5332&lt;$U$9,SUMPRODUCT(($D$10:$L$10&lt;&gt;"")*(($D$9:$L$9+INT(($S$12:$AA$12+INDEX($AJ$13:$AR$162,BN5345,0)+INDEX($AT$13:$BB$162,BO5345,0)+INDEX($BD$13:$BL$162,BP5345,0))/100))&gt;=$D$10:$L$10)),0)</f>
        <v/>
      </c>
      <c r="BR5345">
        <f>IF(5332&lt;$U$9,SUMPRODUCT(($D$10:$L$10&lt;&gt;"")*(($D$10:$L$10-($D$9:$L$9+INT(($S$12:$AA$12+INDEX($AJ$13:$AR$162,BN5345,0)+INDEX($AT$13:$BB$162,BO5345,0)+INDEX($BD$13:$BL$162,BP5345,0))/100)))&gt;0)*($D$10:$L$10-($D$9:$L$9+INT(($S$12:$AA$12+INDEX($AJ$13:$AR$162,BN5345,0)+INDEX($AT$13:$BB$162,BO5345,0)+INDEX($BD$13:$BL$162,BP5345,0))/100)))),0)</f>
        <v/>
      </c>
      <c r="BS5345">
        <f>IF(5332&lt;$U$9,SUMPRODUCT(($D$9:$L$9+INT(($S$12:$AA$12+INDEX($AJ$13:$AR$162,BN5345,0)+INDEX($AT$13:$BB$162,BO5345,0)+INDEX($BD$13:$BL$162,BP5345,0))/100))),0)</f>
        <v/>
      </c>
      <c r="BT5345">
        <f>IF(AND(5332&lt;$U$9,$W$5),BQ5345*1000000-MIN(BR5345,999)*1000+BS5345-5332/100000,-1000000000-5332)</f>
        <v/>
      </c>
    </row>
    <row r="5346">
      <c r="BN5346">
        <f>IF(5333&lt;$U$9,INT(5333/($U$7*$U$8))+1,1)</f>
        <v/>
      </c>
      <c r="BO5346">
        <f>IF(5333&lt;$U$9,MOD(INT(5333/$U$8),$U$7)+1,1)</f>
        <v/>
      </c>
      <c r="BP5346">
        <f>IF(5333&lt;$U$9,MOD(5333,$U$8)+1,1)</f>
        <v/>
      </c>
      <c r="BQ5346">
        <f>IF(5333&lt;$U$9,SUMPRODUCT(($D$10:$L$10&lt;&gt;"")*(($D$9:$L$9+INT(($S$12:$AA$12+INDEX($AJ$13:$AR$162,BN5346,0)+INDEX($AT$13:$BB$162,BO5346,0)+INDEX($BD$13:$BL$162,BP5346,0))/100))&gt;=$D$10:$L$10)),0)</f>
        <v/>
      </c>
      <c r="BR5346">
        <f>IF(5333&lt;$U$9,SUMPRODUCT(($D$10:$L$10&lt;&gt;"")*(($D$10:$L$10-($D$9:$L$9+INT(($S$12:$AA$12+INDEX($AJ$13:$AR$162,BN5346,0)+INDEX($AT$13:$BB$162,BO5346,0)+INDEX($BD$13:$BL$162,BP5346,0))/100)))&gt;0)*($D$10:$L$10-($D$9:$L$9+INT(($S$12:$AA$12+INDEX($AJ$13:$AR$162,BN5346,0)+INDEX($AT$13:$BB$162,BO5346,0)+INDEX($BD$13:$BL$162,BP5346,0))/100)))),0)</f>
        <v/>
      </c>
      <c r="BS5346">
        <f>IF(5333&lt;$U$9,SUMPRODUCT(($D$9:$L$9+INT(($S$12:$AA$12+INDEX($AJ$13:$AR$162,BN5346,0)+INDEX($AT$13:$BB$162,BO5346,0)+INDEX($BD$13:$BL$162,BP5346,0))/100))),0)</f>
        <v/>
      </c>
      <c r="BT5346">
        <f>IF(AND(5333&lt;$U$9,$W$5),BQ5346*1000000-MIN(BR5346,999)*1000+BS5346-5333/100000,-1000000000-5333)</f>
        <v/>
      </c>
    </row>
    <row r="5347">
      <c r="BN5347">
        <f>IF(5334&lt;$U$9,INT(5334/($U$7*$U$8))+1,1)</f>
        <v/>
      </c>
      <c r="BO5347">
        <f>IF(5334&lt;$U$9,MOD(INT(5334/$U$8),$U$7)+1,1)</f>
        <v/>
      </c>
      <c r="BP5347">
        <f>IF(5334&lt;$U$9,MOD(5334,$U$8)+1,1)</f>
        <v/>
      </c>
      <c r="BQ5347">
        <f>IF(5334&lt;$U$9,SUMPRODUCT(($D$10:$L$10&lt;&gt;"")*(($D$9:$L$9+INT(($S$12:$AA$12+INDEX($AJ$13:$AR$162,BN5347,0)+INDEX($AT$13:$BB$162,BO5347,0)+INDEX($BD$13:$BL$162,BP5347,0))/100))&gt;=$D$10:$L$10)),0)</f>
        <v/>
      </c>
      <c r="BR5347">
        <f>IF(5334&lt;$U$9,SUMPRODUCT(($D$10:$L$10&lt;&gt;"")*(($D$10:$L$10-($D$9:$L$9+INT(($S$12:$AA$12+INDEX($AJ$13:$AR$162,BN5347,0)+INDEX($AT$13:$BB$162,BO5347,0)+INDEX($BD$13:$BL$162,BP5347,0))/100)))&gt;0)*($D$10:$L$10-($D$9:$L$9+INT(($S$12:$AA$12+INDEX($AJ$13:$AR$162,BN5347,0)+INDEX($AT$13:$BB$162,BO5347,0)+INDEX($BD$13:$BL$162,BP5347,0))/100)))),0)</f>
        <v/>
      </c>
      <c r="BS5347">
        <f>IF(5334&lt;$U$9,SUMPRODUCT(($D$9:$L$9+INT(($S$12:$AA$12+INDEX($AJ$13:$AR$162,BN5347,0)+INDEX($AT$13:$BB$162,BO5347,0)+INDEX($BD$13:$BL$162,BP5347,0))/100))),0)</f>
        <v/>
      </c>
      <c r="BT5347">
        <f>IF(AND(5334&lt;$U$9,$W$5),BQ5347*1000000-MIN(BR5347,999)*1000+BS5347-5334/100000,-1000000000-5334)</f>
        <v/>
      </c>
    </row>
    <row r="5348">
      <c r="BN5348">
        <f>IF(5335&lt;$U$9,INT(5335/($U$7*$U$8))+1,1)</f>
        <v/>
      </c>
      <c r="BO5348">
        <f>IF(5335&lt;$U$9,MOD(INT(5335/$U$8),$U$7)+1,1)</f>
        <v/>
      </c>
      <c r="BP5348">
        <f>IF(5335&lt;$U$9,MOD(5335,$U$8)+1,1)</f>
        <v/>
      </c>
      <c r="BQ5348">
        <f>IF(5335&lt;$U$9,SUMPRODUCT(($D$10:$L$10&lt;&gt;"")*(($D$9:$L$9+INT(($S$12:$AA$12+INDEX($AJ$13:$AR$162,BN5348,0)+INDEX($AT$13:$BB$162,BO5348,0)+INDEX($BD$13:$BL$162,BP5348,0))/100))&gt;=$D$10:$L$10)),0)</f>
        <v/>
      </c>
      <c r="BR5348">
        <f>IF(5335&lt;$U$9,SUMPRODUCT(($D$10:$L$10&lt;&gt;"")*(($D$10:$L$10-($D$9:$L$9+INT(($S$12:$AA$12+INDEX($AJ$13:$AR$162,BN5348,0)+INDEX($AT$13:$BB$162,BO5348,0)+INDEX($BD$13:$BL$162,BP5348,0))/100)))&gt;0)*($D$10:$L$10-($D$9:$L$9+INT(($S$12:$AA$12+INDEX($AJ$13:$AR$162,BN5348,0)+INDEX($AT$13:$BB$162,BO5348,0)+INDEX($BD$13:$BL$162,BP5348,0))/100)))),0)</f>
        <v/>
      </c>
      <c r="BS5348">
        <f>IF(5335&lt;$U$9,SUMPRODUCT(($D$9:$L$9+INT(($S$12:$AA$12+INDEX($AJ$13:$AR$162,BN5348,0)+INDEX($AT$13:$BB$162,BO5348,0)+INDEX($BD$13:$BL$162,BP5348,0))/100))),0)</f>
        <v/>
      </c>
      <c r="BT5348">
        <f>IF(AND(5335&lt;$U$9,$W$5),BQ5348*1000000-MIN(BR5348,999)*1000+BS5348-5335/100000,-1000000000-5335)</f>
        <v/>
      </c>
    </row>
    <row r="5349">
      <c r="BN5349">
        <f>IF(5336&lt;$U$9,INT(5336/($U$7*$U$8))+1,1)</f>
        <v/>
      </c>
      <c r="BO5349">
        <f>IF(5336&lt;$U$9,MOD(INT(5336/$U$8),$U$7)+1,1)</f>
        <v/>
      </c>
      <c r="BP5349">
        <f>IF(5336&lt;$U$9,MOD(5336,$U$8)+1,1)</f>
        <v/>
      </c>
      <c r="BQ5349">
        <f>IF(5336&lt;$U$9,SUMPRODUCT(($D$10:$L$10&lt;&gt;"")*(($D$9:$L$9+INT(($S$12:$AA$12+INDEX($AJ$13:$AR$162,BN5349,0)+INDEX($AT$13:$BB$162,BO5349,0)+INDEX($BD$13:$BL$162,BP5349,0))/100))&gt;=$D$10:$L$10)),0)</f>
        <v/>
      </c>
      <c r="BR5349">
        <f>IF(5336&lt;$U$9,SUMPRODUCT(($D$10:$L$10&lt;&gt;"")*(($D$10:$L$10-($D$9:$L$9+INT(($S$12:$AA$12+INDEX($AJ$13:$AR$162,BN5349,0)+INDEX($AT$13:$BB$162,BO5349,0)+INDEX($BD$13:$BL$162,BP5349,0))/100)))&gt;0)*($D$10:$L$10-($D$9:$L$9+INT(($S$12:$AA$12+INDEX($AJ$13:$AR$162,BN5349,0)+INDEX($AT$13:$BB$162,BO5349,0)+INDEX($BD$13:$BL$162,BP5349,0))/100)))),0)</f>
        <v/>
      </c>
      <c r="BS5349">
        <f>IF(5336&lt;$U$9,SUMPRODUCT(($D$9:$L$9+INT(($S$12:$AA$12+INDEX($AJ$13:$AR$162,BN5349,0)+INDEX($AT$13:$BB$162,BO5349,0)+INDEX($BD$13:$BL$162,BP5349,0))/100))),0)</f>
        <v/>
      </c>
      <c r="BT5349">
        <f>IF(AND(5336&lt;$U$9,$W$5),BQ5349*1000000-MIN(BR5349,999)*1000+BS5349-5336/100000,-1000000000-5336)</f>
        <v/>
      </c>
    </row>
    <row r="5350">
      <c r="BN5350">
        <f>IF(5337&lt;$U$9,INT(5337/($U$7*$U$8))+1,1)</f>
        <v/>
      </c>
      <c r="BO5350">
        <f>IF(5337&lt;$U$9,MOD(INT(5337/$U$8),$U$7)+1,1)</f>
        <v/>
      </c>
      <c r="BP5350">
        <f>IF(5337&lt;$U$9,MOD(5337,$U$8)+1,1)</f>
        <v/>
      </c>
      <c r="BQ5350">
        <f>IF(5337&lt;$U$9,SUMPRODUCT(($D$10:$L$10&lt;&gt;"")*(($D$9:$L$9+INT(($S$12:$AA$12+INDEX($AJ$13:$AR$162,BN5350,0)+INDEX($AT$13:$BB$162,BO5350,0)+INDEX($BD$13:$BL$162,BP5350,0))/100))&gt;=$D$10:$L$10)),0)</f>
        <v/>
      </c>
      <c r="BR5350">
        <f>IF(5337&lt;$U$9,SUMPRODUCT(($D$10:$L$10&lt;&gt;"")*(($D$10:$L$10-($D$9:$L$9+INT(($S$12:$AA$12+INDEX($AJ$13:$AR$162,BN5350,0)+INDEX($AT$13:$BB$162,BO5350,0)+INDEX($BD$13:$BL$162,BP5350,0))/100)))&gt;0)*($D$10:$L$10-($D$9:$L$9+INT(($S$12:$AA$12+INDEX($AJ$13:$AR$162,BN5350,0)+INDEX($AT$13:$BB$162,BO5350,0)+INDEX($BD$13:$BL$162,BP5350,0))/100)))),0)</f>
        <v/>
      </c>
      <c r="BS5350">
        <f>IF(5337&lt;$U$9,SUMPRODUCT(($D$9:$L$9+INT(($S$12:$AA$12+INDEX($AJ$13:$AR$162,BN5350,0)+INDEX($AT$13:$BB$162,BO5350,0)+INDEX($BD$13:$BL$162,BP5350,0))/100))),0)</f>
        <v/>
      </c>
      <c r="BT5350">
        <f>IF(AND(5337&lt;$U$9,$W$5),BQ5350*1000000-MIN(BR5350,999)*1000+BS5350-5337/100000,-1000000000-5337)</f>
        <v/>
      </c>
    </row>
    <row r="5351">
      <c r="BN5351">
        <f>IF(5338&lt;$U$9,INT(5338/($U$7*$U$8))+1,1)</f>
        <v/>
      </c>
      <c r="BO5351">
        <f>IF(5338&lt;$U$9,MOD(INT(5338/$U$8),$U$7)+1,1)</f>
        <v/>
      </c>
      <c r="BP5351">
        <f>IF(5338&lt;$U$9,MOD(5338,$U$8)+1,1)</f>
        <v/>
      </c>
      <c r="BQ5351">
        <f>IF(5338&lt;$U$9,SUMPRODUCT(($D$10:$L$10&lt;&gt;"")*(($D$9:$L$9+INT(($S$12:$AA$12+INDEX($AJ$13:$AR$162,BN5351,0)+INDEX($AT$13:$BB$162,BO5351,0)+INDEX($BD$13:$BL$162,BP5351,0))/100))&gt;=$D$10:$L$10)),0)</f>
        <v/>
      </c>
      <c r="BR5351">
        <f>IF(5338&lt;$U$9,SUMPRODUCT(($D$10:$L$10&lt;&gt;"")*(($D$10:$L$10-($D$9:$L$9+INT(($S$12:$AA$12+INDEX($AJ$13:$AR$162,BN5351,0)+INDEX($AT$13:$BB$162,BO5351,0)+INDEX($BD$13:$BL$162,BP5351,0))/100)))&gt;0)*($D$10:$L$10-($D$9:$L$9+INT(($S$12:$AA$12+INDEX($AJ$13:$AR$162,BN5351,0)+INDEX($AT$13:$BB$162,BO5351,0)+INDEX($BD$13:$BL$162,BP5351,0))/100)))),0)</f>
        <v/>
      </c>
      <c r="BS5351">
        <f>IF(5338&lt;$U$9,SUMPRODUCT(($D$9:$L$9+INT(($S$12:$AA$12+INDEX($AJ$13:$AR$162,BN5351,0)+INDEX($AT$13:$BB$162,BO5351,0)+INDEX($BD$13:$BL$162,BP5351,0))/100))),0)</f>
        <v/>
      </c>
      <c r="BT5351">
        <f>IF(AND(5338&lt;$U$9,$W$5),BQ5351*1000000-MIN(BR5351,999)*1000+BS5351-5338/100000,-1000000000-5338)</f>
        <v/>
      </c>
    </row>
    <row r="5352">
      <c r="BN5352">
        <f>IF(5339&lt;$U$9,INT(5339/($U$7*$U$8))+1,1)</f>
        <v/>
      </c>
      <c r="BO5352">
        <f>IF(5339&lt;$U$9,MOD(INT(5339/$U$8),$U$7)+1,1)</f>
        <v/>
      </c>
      <c r="BP5352">
        <f>IF(5339&lt;$U$9,MOD(5339,$U$8)+1,1)</f>
        <v/>
      </c>
      <c r="BQ5352">
        <f>IF(5339&lt;$U$9,SUMPRODUCT(($D$10:$L$10&lt;&gt;"")*(($D$9:$L$9+INT(($S$12:$AA$12+INDEX($AJ$13:$AR$162,BN5352,0)+INDEX($AT$13:$BB$162,BO5352,0)+INDEX($BD$13:$BL$162,BP5352,0))/100))&gt;=$D$10:$L$10)),0)</f>
        <v/>
      </c>
      <c r="BR5352">
        <f>IF(5339&lt;$U$9,SUMPRODUCT(($D$10:$L$10&lt;&gt;"")*(($D$10:$L$10-($D$9:$L$9+INT(($S$12:$AA$12+INDEX($AJ$13:$AR$162,BN5352,0)+INDEX($AT$13:$BB$162,BO5352,0)+INDEX($BD$13:$BL$162,BP5352,0))/100)))&gt;0)*($D$10:$L$10-($D$9:$L$9+INT(($S$12:$AA$12+INDEX($AJ$13:$AR$162,BN5352,0)+INDEX($AT$13:$BB$162,BO5352,0)+INDEX($BD$13:$BL$162,BP5352,0))/100)))),0)</f>
        <v/>
      </c>
      <c r="BS5352">
        <f>IF(5339&lt;$U$9,SUMPRODUCT(($D$9:$L$9+INT(($S$12:$AA$12+INDEX($AJ$13:$AR$162,BN5352,0)+INDEX($AT$13:$BB$162,BO5352,0)+INDEX($BD$13:$BL$162,BP5352,0))/100))),0)</f>
        <v/>
      </c>
      <c r="BT5352">
        <f>IF(AND(5339&lt;$U$9,$W$5),BQ5352*1000000-MIN(BR5352,999)*1000+BS5352-5339/100000,-1000000000-5339)</f>
        <v/>
      </c>
    </row>
    <row r="5353">
      <c r="BN5353">
        <f>IF(5340&lt;$U$9,INT(5340/($U$7*$U$8))+1,1)</f>
        <v/>
      </c>
      <c r="BO5353">
        <f>IF(5340&lt;$U$9,MOD(INT(5340/$U$8),$U$7)+1,1)</f>
        <v/>
      </c>
      <c r="BP5353">
        <f>IF(5340&lt;$U$9,MOD(5340,$U$8)+1,1)</f>
        <v/>
      </c>
      <c r="BQ5353">
        <f>IF(5340&lt;$U$9,SUMPRODUCT(($D$10:$L$10&lt;&gt;"")*(($D$9:$L$9+INT(($S$12:$AA$12+INDEX($AJ$13:$AR$162,BN5353,0)+INDEX($AT$13:$BB$162,BO5353,0)+INDEX($BD$13:$BL$162,BP5353,0))/100))&gt;=$D$10:$L$10)),0)</f>
        <v/>
      </c>
      <c r="BR5353">
        <f>IF(5340&lt;$U$9,SUMPRODUCT(($D$10:$L$10&lt;&gt;"")*(($D$10:$L$10-($D$9:$L$9+INT(($S$12:$AA$12+INDEX($AJ$13:$AR$162,BN5353,0)+INDEX($AT$13:$BB$162,BO5353,0)+INDEX($BD$13:$BL$162,BP5353,0))/100)))&gt;0)*($D$10:$L$10-($D$9:$L$9+INT(($S$12:$AA$12+INDEX($AJ$13:$AR$162,BN5353,0)+INDEX($AT$13:$BB$162,BO5353,0)+INDEX($BD$13:$BL$162,BP5353,0))/100)))),0)</f>
        <v/>
      </c>
      <c r="BS5353">
        <f>IF(5340&lt;$U$9,SUMPRODUCT(($D$9:$L$9+INT(($S$12:$AA$12+INDEX($AJ$13:$AR$162,BN5353,0)+INDEX($AT$13:$BB$162,BO5353,0)+INDEX($BD$13:$BL$162,BP5353,0))/100))),0)</f>
        <v/>
      </c>
      <c r="BT5353">
        <f>IF(AND(5340&lt;$U$9,$W$5),BQ5353*1000000-MIN(BR5353,999)*1000+BS5353-5340/100000,-1000000000-5340)</f>
        <v/>
      </c>
    </row>
    <row r="5354">
      <c r="BN5354">
        <f>IF(5341&lt;$U$9,INT(5341/($U$7*$U$8))+1,1)</f>
        <v/>
      </c>
      <c r="BO5354">
        <f>IF(5341&lt;$U$9,MOD(INT(5341/$U$8),$U$7)+1,1)</f>
        <v/>
      </c>
      <c r="BP5354">
        <f>IF(5341&lt;$U$9,MOD(5341,$U$8)+1,1)</f>
        <v/>
      </c>
      <c r="BQ5354">
        <f>IF(5341&lt;$U$9,SUMPRODUCT(($D$10:$L$10&lt;&gt;"")*(($D$9:$L$9+INT(($S$12:$AA$12+INDEX($AJ$13:$AR$162,BN5354,0)+INDEX($AT$13:$BB$162,BO5354,0)+INDEX($BD$13:$BL$162,BP5354,0))/100))&gt;=$D$10:$L$10)),0)</f>
        <v/>
      </c>
      <c r="BR5354">
        <f>IF(5341&lt;$U$9,SUMPRODUCT(($D$10:$L$10&lt;&gt;"")*(($D$10:$L$10-($D$9:$L$9+INT(($S$12:$AA$12+INDEX($AJ$13:$AR$162,BN5354,0)+INDEX($AT$13:$BB$162,BO5354,0)+INDEX($BD$13:$BL$162,BP5354,0))/100)))&gt;0)*($D$10:$L$10-($D$9:$L$9+INT(($S$12:$AA$12+INDEX($AJ$13:$AR$162,BN5354,0)+INDEX($AT$13:$BB$162,BO5354,0)+INDEX($BD$13:$BL$162,BP5354,0))/100)))),0)</f>
        <v/>
      </c>
      <c r="BS5354">
        <f>IF(5341&lt;$U$9,SUMPRODUCT(($D$9:$L$9+INT(($S$12:$AA$12+INDEX($AJ$13:$AR$162,BN5354,0)+INDEX($AT$13:$BB$162,BO5354,0)+INDEX($BD$13:$BL$162,BP5354,0))/100))),0)</f>
        <v/>
      </c>
      <c r="BT5354">
        <f>IF(AND(5341&lt;$U$9,$W$5),BQ5354*1000000-MIN(BR5354,999)*1000+BS5354-5341/100000,-1000000000-5341)</f>
        <v/>
      </c>
    </row>
    <row r="5355">
      <c r="BN5355">
        <f>IF(5342&lt;$U$9,INT(5342/($U$7*$U$8))+1,1)</f>
        <v/>
      </c>
      <c r="BO5355">
        <f>IF(5342&lt;$U$9,MOD(INT(5342/$U$8),$U$7)+1,1)</f>
        <v/>
      </c>
      <c r="BP5355">
        <f>IF(5342&lt;$U$9,MOD(5342,$U$8)+1,1)</f>
        <v/>
      </c>
      <c r="BQ5355">
        <f>IF(5342&lt;$U$9,SUMPRODUCT(($D$10:$L$10&lt;&gt;"")*(($D$9:$L$9+INT(($S$12:$AA$12+INDEX($AJ$13:$AR$162,BN5355,0)+INDEX($AT$13:$BB$162,BO5355,0)+INDEX($BD$13:$BL$162,BP5355,0))/100))&gt;=$D$10:$L$10)),0)</f>
        <v/>
      </c>
      <c r="BR5355">
        <f>IF(5342&lt;$U$9,SUMPRODUCT(($D$10:$L$10&lt;&gt;"")*(($D$10:$L$10-($D$9:$L$9+INT(($S$12:$AA$12+INDEX($AJ$13:$AR$162,BN5355,0)+INDEX($AT$13:$BB$162,BO5355,0)+INDEX($BD$13:$BL$162,BP5355,0))/100)))&gt;0)*($D$10:$L$10-($D$9:$L$9+INT(($S$12:$AA$12+INDEX($AJ$13:$AR$162,BN5355,0)+INDEX($AT$13:$BB$162,BO5355,0)+INDEX($BD$13:$BL$162,BP5355,0))/100)))),0)</f>
        <v/>
      </c>
      <c r="BS5355">
        <f>IF(5342&lt;$U$9,SUMPRODUCT(($D$9:$L$9+INT(($S$12:$AA$12+INDEX($AJ$13:$AR$162,BN5355,0)+INDEX($AT$13:$BB$162,BO5355,0)+INDEX($BD$13:$BL$162,BP5355,0))/100))),0)</f>
        <v/>
      </c>
      <c r="BT5355">
        <f>IF(AND(5342&lt;$U$9,$W$5),BQ5355*1000000-MIN(BR5355,999)*1000+BS5355-5342/100000,-1000000000-5342)</f>
        <v/>
      </c>
    </row>
    <row r="5356">
      <c r="BN5356">
        <f>IF(5343&lt;$U$9,INT(5343/($U$7*$U$8))+1,1)</f>
        <v/>
      </c>
      <c r="BO5356">
        <f>IF(5343&lt;$U$9,MOD(INT(5343/$U$8),$U$7)+1,1)</f>
        <v/>
      </c>
      <c r="BP5356">
        <f>IF(5343&lt;$U$9,MOD(5343,$U$8)+1,1)</f>
        <v/>
      </c>
      <c r="BQ5356">
        <f>IF(5343&lt;$U$9,SUMPRODUCT(($D$10:$L$10&lt;&gt;"")*(($D$9:$L$9+INT(($S$12:$AA$12+INDEX($AJ$13:$AR$162,BN5356,0)+INDEX($AT$13:$BB$162,BO5356,0)+INDEX($BD$13:$BL$162,BP5356,0))/100))&gt;=$D$10:$L$10)),0)</f>
        <v/>
      </c>
      <c r="BR5356">
        <f>IF(5343&lt;$U$9,SUMPRODUCT(($D$10:$L$10&lt;&gt;"")*(($D$10:$L$10-($D$9:$L$9+INT(($S$12:$AA$12+INDEX($AJ$13:$AR$162,BN5356,0)+INDEX($AT$13:$BB$162,BO5356,0)+INDEX($BD$13:$BL$162,BP5356,0))/100)))&gt;0)*($D$10:$L$10-($D$9:$L$9+INT(($S$12:$AA$12+INDEX($AJ$13:$AR$162,BN5356,0)+INDEX($AT$13:$BB$162,BO5356,0)+INDEX($BD$13:$BL$162,BP5356,0))/100)))),0)</f>
        <v/>
      </c>
      <c r="BS5356">
        <f>IF(5343&lt;$U$9,SUMPRODUCT(($D$9:$L$9+INT(($S$12:$AA$12+INDEX($AJ$13:$AR$162,BN5356,0)+INDEX($AT$13:$BB$162,BO5356,0)+INDEX($BD$13:$BL$162,BP5356,0))/100))),0)</f>
        <v/>
      </c>
      <c r="BT5356">
        <f>IF(AND(5343&lt;$U$9,$W$5),BQ5356*1000000-MIN(BR5356,999)*1000+BS5356-5343/100000,-1000000000-5343)</f>
        <v/>
      </c>
    </row>
    <row r="5357">
      <c r="BN5357">
        <f>IF(5344&lt;$U$9,INT(5344/($U$7*$U$8))+1,1)</f>
        <v/>
      </c>
      <c r="BO5357">
        <f>IF(5344&lt;$U$9,MOD(INT(5344/$U$8),$U$7)+1,1)</f>
        <v/>
      </c>
      <c r="BP5357">
        <f>IF(5344&lt;$U$9,MOD(5344,$U$8)+1,1)</f>
        <v/>
      </c>
      <c r="BQ5357">
        <f>IF(5344&lt;$U$9,SUMPRODUCT(($D$10:$L$10&lt;&gt;"")*(($D$9:$L$9+INT(($S$12:$AA$12+INDEX($AJ$13:$AR$162,BN5357,0)+INDEX($AT$13:$BB$162,BO5357,0)+INDEX($BD$13:$BL$162,BP5357,0))/100))&gt;=$D$10:$L$10)),0)</f>
        <v/>
      </c>
      <c r="BR5357">
        <f>IF(5344&lt;$U$9,SUMPRODUCT(($D$10:$L$10&lt;&gt;"")*(($D$10:$L$10-($D$9:$L$9+INT(($S$12:$AA$12+INDEX($AJ$13:$AR$162,BN5357,0)+INDEX($AT$13:$BB$162,BO5357,0)+INDEX($BD$13:$BL$162,BP5357,0))/100)))&gt;0)*($D$10:$L$10-($D$9:$L$9+INT(($S$12:$AA$12+INDEX($AJ$13:$AR$162,BN5357,0)+INDEX($AT$13:$BB$162,BO5357,0)+INDEX($BD$13:$BL$162,BP5357,0))/100)))),0)</f>
        <v/>
      </c>
      <c r="BS5357">
        <f>IF(5344&lt;$U$9,SUMPRODUCT(($D$9:$L$9+INT(($S$12:$AA$12+INDEX($AJ$13:$AR$162,BN5357,0)+INDEX($AT$13:$BB$162,BO5357,0)+INDEX($BD$13:$BL$162,BP5357,0))/100))),0)</f>
        <v/>
      </c>
      <c r="BT5357">
        <f>IF(AND(5344&lt;$U$9,$W$5),BQ5357*1000000-MIN(BR5357,999)*1000+BS5357-5344/100000,-1000000000-5344)</f>
        <v/>
      </c>
    </row>
    <row r="5358">
      <c r="BN5358">
        <f>IF(5345&lt;$U$9,INT(5345/($U$7*$U$8))+1,1)</f>
        <v/>
      </c>
      <c r="BO5358">
        <f>IF(5345&lt;$U$9,MOD(INT(5345/$U$8),$U$7)+1,1)</f>
        <v/>
      </c>
      <c r="BP5358">
        <f>IF(5345&lt;$U$9,MOD(5345,$U$8)+1,1)</f>
        <v/>
      </c>
      <c r="BQ5358">
        <f>IF(5345&lt;$U$9,SUMPRODUCT(($D$10:$L$10&lt;&gt;"")*(($D$9:$L$9+INT(($S$12:$AA$12+INDEX($AJ$13:$AR$162,BN5358,0)+INDEX($AT$13:$BB$162,BO5358,0)+INDEX($BD$13:$BL$162,BP5358,0))/100))&gt;=$D$10:$L$10)),0)</f>
        <v/>
      </c>
      <c r="BR5358">
        <f>IF(5345&lt;$U$9,SUMPRODUCT(($D$10:$L$10&lt;&gt;"")*(($D$10:$L$10-($D$9:$L$9+INT(($S$12:$AA$12+INDEX($AJ$13:$AR$162,BN5358,0)+INDEX($AT$13:$BB$162,BO5358,0)+INDEX($BD$13:$BL$162,BP5358,0))/100)))&gt;0)*($D$10:$L$10-($D$9:$L$9+INT(($S$12:$AA$12+INDEX($AJ$13:$AR$162,BN5358,0)+INDEX($AT$13:$BB$162,BO5358,0)+INDEX($BD$13:$BL$162,BP5358,0))/100)))),0)</f>
        <v/>
      </c>
      <c r="BS5358">
        <f>IF(5345&lt;$U$9,SUMPRODUCT(($D$9:$L$9+INT(($S$12:$AA$12+INDEX($AJ$13:$AR$162,BN5358,0)+INDEX($AT$13:$BB$162,BO5358,0)+INDEX($BD$13:$BL$162,BP5358,0))/100))),0)</f>
        <v/>
      </c>
      <c r="BT5358">
        <f>IF(AND(5345&lt;$U$9,$W$5),BQ5358*1000000-MIN(BR5358,999)*1000+BS5358-5345/100000,-1000000000-5345)</f>
        <v/>
      </c>
    </row>
    <row r="5359">
      <c r="BN5359">
        <f>IF(5346&lt;$U$9,INT(5346/($U$7*$U$8))+1,1)</f>
        <v/>
      </c>
      <c r="BO5359">
        <f>IF(5346&lt;$U$9,MOD(INT(5346/$U$8),$U$7)+1,1)</f>
        <v/>
      </c>
      <c r="BP5359">
        <f>IF(5346&lt;$U$9,MOD(5346,$U$8)+1,1)</f>
        <v/>
      </c>
      <c r="BQ5359">
        <f>IF(5346&lt;$U$9,SUMPRODUCT(($D$10:$L$10&lt;&gt;"")*(($D$9:$L$9+INT(($S$12:$AA$12+INDEX($AJ$13:$AR$162,BN5359,0)+INDEX($AT$13:$BB$162,BO5359,0)+INDEX($BD$13:$BL$162,BP5359,0))/100))&gt;=$D$10:$L$10)),0)</f>
        <v/>
      </c>
      <c r="BR5359">
        <f>IF(5346&lt;$U$9,SUMPRODUCT(($D$10:$L$10&lt;&gt;"")*(($D$10:$L$10-($D$9:$L$9+INT(($S$12:$AA$12+INDEX($AJ$13:$AR$162,BN5359,0)+INDEX($AT$13:$BB$162,BO5359,0)+INDEX($BD$13:$BL$162,BP5359,0))/100)))&gt;0)*($D$10:$L$10-($D$9:$L$9+INT(($S$12:$AA$12+INDEX($AJ$13:$AR$162,BN5359,0)+INDEX($AT$13:$BB$162,BO5359,0)+INDEX($BD$13:$BL$162,BP5359,0))/100)))),0)</f>
        <v/>
      </c>
      <c r="BS5359">
        <f>IF(5346&lt;$U$9,SUMPRODUCT(($D$9:$L$9+INT(($S$12:$AA$12+INDEX($AJ$13:$AR$162,BN5359,0)+INDEX($AT$13:$BB$162,BO5359,0)+INDEX($BD$13:$BL$162,BP5359,0))/100))),0)</f>
        <v/>
      </c>
      <c r="BT5359">
        <f>IF(AND(5346&lt;$U$9,$W$5),BQ5359*1000000-MIN(BR5359,999)*1000+BS5359-5346/100000,-1000000000-5346)</f>
        <v/>
      </c>
    </row>
    <row r="5360">
      <c r="BN5360">
        <f>IF(5347&lt;$U$9,INT(5347/($U$7*$U$8))+1,1)</f>
        <v/>
      </c>
      <c r="BO5360">
        <f>IF(5347&lt;$U$9,MOD(INT(5347/$U$8),$U$7)+1,1)</f>
        <v/>
      </c>
      <c r="BP5360">
        <f>IF(5347&lt;$U$9,MOD(5347,$U$8)+1,1)</f>
        <v/>
      </c>
      <c r="BQ5360">
        <f>IF(5347&lt;$U$9,SUMPRODUCT(($D$10:$L$10&lt;&gt;"")*(($D$9:$L$9+INT(($S$12:$AA$12+INDEX($AJ$13:$AR$162,BN5360,0)+INDEX($AT$13:$BB$162,BO5360,0)+INDEX($BD$13:$BL$162,BP5360,0))/100))&gt;=$D$10:$L$10)),0)</f>
        <v/>
      </c>
      <c r="BR5360">
        <f>IF(5347&lt;$U$9,SUMPRODUCT(($D$10:$L$10&lt;&gt;"")*(($D$10:$L$10-($D$9:$L$9+INT(($S$12:$AA$12+INDEX($AJ$13:$AR$162,BN5360,0)+INDEX($AT$13:$BB$162,BO5360,0)+INDEX($BD$13:$BL$162,BP5360,0))/100)))&gt;0)*($D$10:$L$10-($D$9:$L$9+INT(($S$12:$AA$12+INDEX($AJ$13:$AR$162,BN5360,0)+INDEX($AT$13:$BB$162,BO5360,0)+INDEX($BD$13:$BL$162,BP5360,0))/100)))),0)</f>
        <v/>
      </c>
      <c r="BS5360">
        <f>IF(5347&lt;$U$9,SUMPRODUCT(($D$9:$L$9+INT(($S$12:$AA$12+INDEX($AJ$13:$AR$162,BN5360,0)+INDEX($AT$13:$BB$162,BO5360,0)+INDEX($BD$13:$BL$162,BP5360,0))/100))),0)</f>
        <v/>
      </c>
      <c r="BT5360">
        <f>IF(AND(5347&lt;$U$9,$W$5),BQ5360*1000000-MIN(BR5360,999)*1000+BS5360-5347/100000,-1000000000-5347)</f>
        <v/>
      </c>
    </row>
    <row r="5361">
      <c r="BN5361">
        <f>IF(5348&lt;$U$9,INT(5348/($U$7*$U$8))+1,1)</f>
        <v/>
      </c>
      <c r="BO5361">
        <f>IF(5348&lt;$U$9,MOD(INT(5348/$U$8),$U$7)+1,1)</f>
        <v/>
      </c>
      <c r="BP5361">
        <f>IF(5348&lt;$U$9,MOD(5348,$U$8)+1,1)</f>
        <v/>
      </c>
      <c r="BQ5361">
        <f>IF(5348&lt;$U$9,SUMPRODUCT(($D$10:$L$10&lt;&gt;"")*(($D$9:$L$9+INT(($S$12:$AA$12+INDEX($AJ$13:$AR$162,BN5361,0)+INDEX($AT$13:$BB$162,BO5361,0)+INDEX($BD$13:$BL$162,BP5361,0))/100))&gt;=$D$10:$L$10)),0)</f>
        <v/>
      </c>
      <c r="BR5361">
        <f>IF(5348&lt;$U$9,SUMPRODUCT(($D$10:$L$10&lt;&gt;"")*(($D$10:$L$10-($D$9:$L$9+INT(($S$12:$AA$12+INDEX($AJ$13:$AR$162,BN5361,0)+INDEX($AT$13:$BB$162,BO5361,0)+INDEX($BD$13:$BL$162,BP5361,0))/100)))&gt;0)*($D$10:$L$10-($D$9:$L$9+INT(($S$12:$AA$12+INDEX($AJ$13:$AR$162,BN5361,0)+INDEX($AT$13:$BB$162,BO5361,0)+INDEX($BD$13:$BL$162,BP5361,0))/100)))),0)</f>
        <v/>
      </c>
      <c r="BS5361">
        <f>IF(5348&lt;$U$9,SUMPRODUCT(($D$9:$L$9+INT(($S$12:$AA$12+INDEX($AJ$13:$AR$162,BN5361,0)+INDEX($AT$13:$BB$162,BO5361,0)+INDEX($BD$13:$BL$162,BP5361,0))/100))),0)</f>
        <v/>
      </c>
      <c r="BT5361">
        <f>IF(AND(5348&lt;$U$9,$W$5),BQ5361*1000000-MIN(BR5361,999)*1000+BS5361-5348/100000,-1000000000-5348)</f>
        <v/>
      </c>
    </row>
    <row r="5362">
      <c r="BN5362">
        <f>IF(5349&lt;$U$9,INT(5349/($U$7*$U$8))+1,1)</f>
        <v/>
      </c>
      <c r="BO5362">
        <f>IF(5349&lt;$U$9,MOD(INT(5349/$U$8),$U$7)+1,1)</f>
        <v/>
      </c>
      <c r="BP5362">
        <f>IF(5349&lt;$U$9,MOD(5349,$U$8)+1,1)</f>
        <v/>
      </c>
      <c r="BQ5362">
        <f>IF(5349&lt;$U$9,SUMPRODUCT(($D$10:$L$10&lt;&gt;"")*(($D$9:$L$9+INT(($S$12:$AA$12+INDEX($AJ$13:$AR$162,BN5362,0)+INDEX($AT$13:$BB$162,BO5362,0)+INDEX($BD$13:$BL$162,BP5362,0))/100))&gt;=$D$10:$L$10)),0)</f>
        <v/>
      </c>
      <c r="BR5362">
        <f>IF(5349&lt;$U$9,SUMPRODUCT(($D$10:$L$10&lt;&gt;"")*(($D$10:$L$10-($D$9:$L$9+INT(($S$12:$AA$12+INDEX($AJ$13:$AR$162,BN5362,0)+INDEX($AT$13:$BB$162,BO5362,0)+INDEX($BD$13:$BL$162,BP5362,0))/100)))&gt;0)*($D$10:$L$10-($D$9:$L$9+INT(($S$12:$AA$12+INDEX($AJ$13:$AR$162,BN5362,0)+INDEX($AT$13:$BB$162,BO5362,0)+INDEX($BD$13:$BL$162,BP5362,0))/100)))),0)</f>
        <v/>
      </c>
      <c r="BS5362">
        <f>IF(5349&lt;$U$9,SUMPRODUCT(($D$9:$L$9+INT(($S$12:$AA$12+INDEX($AJ$13:$AR$162,BN5362,0)+INDEX($AT$13:$BB$162,BO5362,0)+INDEX($BD$13:$BL$162,BP5362,0))/100))),0)</f>
        <v/>
      </c>
      <c r="BT5362">
        <f>IF(AND(5349&lt;$U$9,$W$5),BQ5362*1000000-MIN(BR5362,999)*1000+BS5362-5349/100000,-1000000000-5349)</f>
        <v/>
      </c>
    </row>
    <row r="5363">
      <c r="BN5363">
        <f>IF(5350&lt;$U$9,INT(5350/($U$7*$U$8))+1,1)</f>
        <v/>
      </c>
      <c r="BO5363">
        <f>IF(5350&lt;$U$9,MOD(INT(5350/$U$8),$U$7)+1,1)</f>
        <v/>
      </c>
      <c r="BP5363">
        <f>IF(5350&lt;$U$9,MOD(5350,$U$8)+1,1)</f>
        <v/>
      </c>
      <c r="BQ5363">
        <f>IF(5350&lt;$U$9,SUMPRODUCT(($D$10:$L$10&lt;&gt;"")*(($D$9:$L$9+INT(($S$12:$AA$12+INDEX($AJ$13:$AR$162,BN5363,0)+INDEX($AT$13:$BB$162,BO5363,0)+INDEX($BD$13:$BL$162,BP5363,0))/100))&gt;=$D$10:$L$10)),0)</f>
        <v/>
      </c>
      <c r="BR5363">
        <f>IF(5350&lt;$U$9,SUMPRODUCT(($D$10:$L$10&lt;&gt;"")*(($D$10:$L$10-($D$9:$L$9+INT(($S$12:$AA$12+INDEX($AJ$13:$AR$162,BN5363,0)+INDEX($AT$13:$BB$162,BO5363,0)+INDEX($BD$13:$BL$162,BP5363,0))/100)))&gt;0)*($D$10:$L$10-($D$9:$L$9+INT(($S$12:$AA$12+INDEX($AJ$13:$AR$162,BN5363,0)+INDEX($AT$13:$BB$162,BO5363,0)+INDEX($BD$13:$BL$162,BP5363,0))/100)))),0)</f>
        <v/>
      </c>
      <c r="BS5363">
        <f>IF(5350&lt;$U$9,SUMPRODUCT(($D$9:$L$9+INT(($S$12:$AA$12+INDEX($AJ$13:$AR$162,BN5363,0)+INDEX($AT$13:$BB$162,BO5363,0)+INDEX($BD$13:$BL$162,BP5363,0))/100))),0)</f>
        <v/>
      </c>
      <c r="BT5363">
        <f>IF(AND(5350&lt;$U$9,$W$5),BQ5363*1000000-MIN(BR5363,999)*1000+BS5363-5350/100000,-1000000000-5350)</f>
        <v/>
      </c>
    </row>
    <row r="5364">
      <c r="BN5364">
        <f>IF(5351&lt;$U$9,INT(5351/($U$7*$U$8))+1,1)</f>
        <v/>
      </c>
      <c r="BO5364">
        <f>IF(5351&lt;$U$9,MOD(INT(5351/$U$8),$U$7)+1,1)</f>
        <v/>
      </c>
      <c r="BP5364">
        <f>IF(5351&lt;$U$9,MOD(5351,$U$8)+1,1)</f>
        <v/>
      </c>
      <c r="BQ5364">
        <f>IF(5351&lt;$U$9,SUMPRODUCT(($D$10:$L$10&lt;&gt;"")*(($D$9:$L$9+INT(($S$12:$AA$12+INDEX($AJ$13:$AR$162,BN5364,0)+INDEX($AT$13:$BB$162,BO5364,0)+INDEX($BD$13:$BL$162,BP5364,0))/100))&gt;=$D$10:$L$10)),0)</f>
        <v/>
      </c>
      <c r="BR5364">
        <f>IF(5351&lt;$U$9,SUMPRODUCT(($D$10:$L$10&lt;&gt;"")*(($D$10:$L$10-($D$9:$L$9+INT(($S$12:$AA$12+INDEX($AJ$13:$AR$162,BN5364,0)+INDEX($AT$13:$BB$162,BO5364,0)+INDEX($BD$13:$BL$162,BP5364,0))/100)))&gt;0)*($D$10:$L$10-($D$9:$L$9+INT(($S$12:$AA$12+INDEX($AJ$13:$AR$162,BN5364,0)+INDEX($AT$13:$BB$162,BO5364,0)+INDEX($BD$13:$BL$162,BP5364,0))/100)))),0)</f>
        <v/>
      </c>
      <c r="BS5364">
        <f>IF(5351&lt;$U$9,SUMPRODUCT(($D$9:$L$9+INT(($S$12:$AA$12+INDEX($AJ$13:$AR$162,BN5364,0)+INDEX($AT$13:$BB$162,BO5364,0)+INDEX($BD$13:$BL$162,BP5364,0))/100))),0)</f>
        <v/>
      </c>
      <c r="BT5364">
        <f>IF(AND(5351&lt;$U$9,$W$5),BQ5364*1000000-MIN(BR5364,999)*1000+BS5364-5351/100000,-1000000000-5351)</f>
        <v/>
      </c>
    </row>
    <row r="5365">
      <c r="BN5365">
        <f>IF(5352&lt;$U$9,INT(5352/($U$7*$U$8))+1,1)</f>
        <v/>
      </c>
      <c r="BO5365">
        <f>IF(5352&lt;$U$9,MOD(INT(5352/$U$8),$U$7)+1,1)</f>
        <v/>
      </c>
      <c r="BP5365">
        <f>IF(5352&lt;$U$9,MOD(5352,$U$8)+1,1)</f>
        <v/>
      </c>
      <c r="BQ5365">
        <f>IF(5352&lt;$U$9,SUMPRODUCT(($D$10:$L$10&lt;&gt;"")*(($D$9:$L$9+INT(($S$12:$AA$12+INDEX($AJ$13:$AR$162,BN5365,0)+INDEX($AT$13:$BB$162,BO5365,0)+INDEX($BD$13:$BL$162,BP5365,0))/100))&gt;=$D$10:$L$10)),0)</f>
        <v/>
      </c>
      <c r="BR5365">
        <f>IF(5352&lt;$U$9,SUMPRODUCT(($D$10:$L$10&lt;&gt;"")*(($D$10:$L$10-($D$9:$L$9+INT(($S$12:$AA$12+INDEX($AJ$13:$AR$162,BN5365,0)+INDEX($AT$13:$BB$162,BO5365,0)+INDEX($BD$13:$BL$162,BP5365,0))/100)))&gt;0)*($D$10:$L$10-($D$9:$L$9+INT(($S$12:$AA$12+INDEX($AJ$13:$AR$162,BN5365,0)+INDEX($AT$13:$BB$162,BO5365,0)+INDEX($BD$13:$BL$162,BP5365,0))/100)))),0)</f>
        <v/>
      </c>
      <c r="BS5365">
        <f>IF(5352&lt;$U$9,SUMPRODUCT(($D$9:$L$9+INT(($S$12:$AA$12+INDEX($AJ$13:$AR$162,BN5365,0)+INDEX($AT$13:$BB$162,BO5365,0)+INDEX($BD$13:$BL$162,BP5365,0))/100))),0)</f>
        <v/>
      </c>
      <c r="BT5365">
        <f>IF(AND(5352&lt;$U$9,$W$5),BQ5365*1000000-MIN(BR5365,999)*1000+BS5365-5352/100000,-1000000000-5352)</f>
        <v/>
      </c>
    </row>
    <row r="5366">
      <c r="BN5366">
        <f>IF(5353&lt;$U$9,INT(5353/($U$7*$U$8))+1,1)</f>
        <v/>
      </c>
      <c r="BO5366">
        <f>IF(5353&lt;$U$9,MOD(INT(5353/$U$8),$U$7)+1,1)</f>
        <v/>
      </c>
      <c r="BP5366">
        <f>IF(5353&lt;$U$9,MOD(5353,$U$8)+1,1)</f>
        <v/>
      </c>
      <c r="BQ5366">
        <f>IF(5353&lt;$U$9,SUMPRODUCT(($D$10:$L$10&lt;&gt;"")*(($D$9:$L$9+INT(($S$12:$AA$12+INDEX($AJ$13:$AR$162,BN5366,0)+INDEX($AT$13:$BB$162,BO5366,0)+INDEX($BD$13:$BL$162,BP5366,0))/100))&gt;=$D$10:$L$10)),0)</f>
        <v/>
      </c>
      <c r="BR5366">
        <f>IF(5353&lt;$U$9,SUMPRODUCT(($D$10:$L$10&lt;&gt;"")*(($D$10:$L$10-($D$9:$L$9+INT(($S$12:$AA$12+INDEX($AJ$13:$AR$162,BN5366,0)+INDEX($AT$13:$BB$162,BO5366,0)+INDEX($BD$13:$BL$162,BP5366,0))/100)))&gt;0)*($D$10:$L$10-($D$9:$L$9+INT(($S$12:$AA$12+INDEX($AJ$13:$AR$162,BN5366,0)+INDEX($AT$13:$BB$162,BO5366,0)+INDEX($BD$13:$BL$162,BP5366,0))/100)))),0)</f>
        <v/>
      </c>
      <c r="BS5366">
        <f>IF(5353&lt;$U$9,SUMPRODUCT(($D$9:$L$9+INT(($S$12:$AA$12+INDEX($AJ$13:$AR$162,BN5366,0)+INDEX($AT$13:$BB$162,BO5366,0)+INDEX($BD$13:$BL$162,BP5366,0))/100))),0)</f>
        <v/>
      </c>
      <c r="BT5366">
        <f>IF(AND(5353&lt;$U$9,$W$5),BQ5366*1000000-MIN(BR5366,999)*1000+BS5366-5353/100000,-1000000000-5353)</f>
        <v/>
      </c>
    </row>
    <row r="5367">
      <c r="BN5367">
        <f>IF(5354&lt;$U$9,INT(5354/($U$7*$U$8))+1,1)</f>
        <v/>
      </c>
      <c r="BO5367">
        <f>IF(5354&lt;$U$9,MOD(INT(5354/$U$8),$U$7)+1,1)</f>
        <v/>
      </c>
      <c r="BP5367">
        <f>IF(5354&lt;$U$9,MOD(5354,$U$8)+1,1)</f>
        <v/>
      </c>
      <c r="BQ5367">
        <f>IF(5354&lt;$U$9,SUMPRODUCT(($D$10:$L$10&lt;&gt;"")*(($D$9:$L$9+INT(($S$12:$AA$12+INDEX($AJ$13:$AR$162,BN5367,0)+INDEX($AT$13:$BB$162,BO5367,0)+INDEX($BD$13:$BL$162,BP5367,0))/100))&gt;=$D$10:$L$10)),0)</f>
        <v/>
      </c>
      <c r="BR5367">
        <f>IF(5354&lt;$U$9,SUMPRODUCT(($D$10:$L$10&lt;&gt;"")*(($D$10:$L$10-($D$9:$L$9+INT(($S$12:$AA$12+INDEX($AJ$13:$AR$162,BN5367,0)+INDEX($AT$13:$BB$162,BO5367,0)+INDEX($BD$13:$BL$162,BP5367,0))/100)))&gt;0)*($D$10:$L$10-($D$9:$L$9+INT(($S$12:$AA$12+INDEX($AJ$13:$AR$162,BN5367,0)+INDEX($AT$13:$BB$162,BO5367,0)+INDEX($BD$13:$BL$162,BP5367,0))/100)))),0)</f>
        <v/>
      </c>
      <c r="BS5367">
        <f>IF(5354&lt;$U$9,SUMPRODUCT(($D$9:$L$9+INT(($S$12:$AA$12+INDEX($AJ$13:$AR$162,BN5367,0)+INDEX($AT$13:$BB$162,BO5367,0)+INDEX($BD$13:$BL$162,BP5367,0))/100))),0)</f>
        <v/>
      </c>
      <c r="BT5367">
        <f>IF(AND(5354&lt;$U$9,$W$5),BQ5367*1000000-MIN(BR5367,999)*1000+BS5367-5354/100000,-1000000000-5354)</f>
        <v/>
      </c>
    </row>
    <row r="5368">
      <c r="BN5368">
        <f>IF(5355&lt;$U$9,INT(5355/($U$7*$U$8))+1,1)</f>
        <v/>
      </c>
      <c r="BO5368">
        <f>IF(5355&lt;$U$9,MOD(INT(5355/$U$8),$U$7)+1,1)</f>
        <v/>
      </c>
      <c r="BP5368">
        <f>IF(5355&lt;$U$9,MOD(5355,$U$8)+1,1)</f>
        <v/>
      </c>
      <c r="BQ5368">
        <f>IF(5355&lt;$U$9,SUMPRODUCT(($D$10:$L$10&lt;&gt;"")*(($D$9:$L$9+INT(($S$12:$AA$12+INDEX($AJ$13:$AR$162,BN5368,0)+INDEX($AT$13:$BB$162,BO5368,0)+INDEX($BD$13:$BL$162,BP5368,0))/100))&gt;=$D$10:$L$10)),0)</f>
        <v/>
      </c>
      <c r="BR5368">
        <f>IF(5355&lt;$U$9,SUMPRODUCT(($D$10:$L$10&lt;&gt;"")*(($D$10:$L$10-($D$9:$L$9+INT(($S$12:$AA$12+INDEX($AJ$13:$AR$162,BN5368,0)+INDEX($AT$13:$BB$162,BO5368,0)+INDEX($BD$13:$BL$162,BP5368,0))/100)))&gt;0)*($D$10:$L$10-($D$9:$L$9+INT(($S$12:$AA$12+INDEX($AJ$13:$AR$162,BN5368,0)+INDEX($AT$13:$BB$162,BO5368,0)+INDEX($BD$13:$BL$162,BP5368,0))/100)))),0)</f>
        <v/>
      </c>
      <c r="BS5368">
        <f>IF(5355&lt;$U$9,SUMPRODUCT(($D$9:$L$9+INT(($S$12:$AA$12+INDEX($AJ$13:$AR$162,BN5368,0)+INDEX($AT$13:$BB$162,BO5368,0)+INDEX($BD$13:$BL$162,BP5368,0))/100))),0)</f>
        <v/>
      </c>
      <c r="BT5368">
        <f>IF(AND(5355&lt;$U$9,$W$5),BQ5368*1000000-MIN(BR5368,999)*1000+BS5368-5355/100000,-1000000000-5355)</f>
        <v/>
      </c>
    </row>
    <row r="5369">
      <c r="BN5369">
        <f>IF(5356&lt;$U$9,INT(5356/($U$7*$U$8))+1,1)</f>
        <v/>
      </c>
      <c r="BO5369">
        <f>IF(5356&lt;$U$9,MOD(INT(5356/$U$8),$U$7)+1,1)</f>
        <v/>
      </c>
      <c r="BP5369">
        <f>IF(5356&lt;$U$9,MOD(5356,$U$8)+1,1)</f>
        <v/>
      </c>
      <c r="BQ5369">
        <f>IF(5356&lt;$U$9,SUMPRODUCT(($D$10:$L$10&lt;&gt;"")*(($D$9:$L$9+INT(($S$12:$AA$12+INDEX($AJ$13:$AR$162,BN5369,0)+INDEX($AT$13:$BB$162,BO5369,0)+INDEX($BD$13:$BL$162,BP5369,0))/100))&gt;=$D$10:$L$10)),0)</f>
        <v/>
      </c>
      <c r="BR5369">
        <f>IF(5356&lt;$U$9,SUMPRODUCT(($D$10:$L$10&lt;&gt;"")*(($D$10:$L$10-($D$9:$L$9+INT(($S$12:$AA$12+INDEX($AJ$13:$AR$162,BN5369,0)+INDEX($AT$13:$BB$162,BO5369,0)+INDEX($BD$13:$BL$162,BP5369,0))/100)))&gt;0)*($D$10:$L$10-($D$9:$L$9+INT(($S$12:$AA$12+INDEX($AJ$13:$AR$162,BN5369,0)+INDEX($AT$13:$BB$162,BO5369,0)+INDEX($BD$13:$BL$162,BP5369,0))/100)))),0)</f>
        <v/>
      </c>
      <c r="BS5369">
        <f>IF(5356&lt;$U$9,SUMPRODUCT(($D$9:$L$9+INT(($S$12:$AA$12+INDEX($AJ$13:$AR$162,BN5369,0)+INDEX($AT$13:$BB$162,BO5369,0)+INDEX($BD$13:$BL$162,BP5369,0))/100))),0)</f>
        <v/>
      </c>
      <c r="BT5369">
        <f>IF(AND(5356&lt;$U$9,$W$5),BQ5369*1000000-MIN(BR5369,999)*1000+BS5369-5356/100000,-1000000000-5356)</f>
        <v/>
      </c>
    </row>
    <row r="5370">
      <c r="BN5370">
        <f>IF(5357&lt;$U$9,INT(5357/($U$7*$U$8))+1,1)</f>
        <v/>
      </c>
      <c r="BO5370">
        <f>IF(5357&lt;$U$9,MOD(INT(5357/$U$8),$U$7)+1,1)</f>
        <v/>
      </c>
      <c r="BP5370">
        <f>IF(5357&lt;$U$9,MOD(5357,$U$8)+1,1)</f>
        <v/>
      </c>
      <c r="BQ5370">
        <f>IF(5357&lt;$U$9,SUMPRODUCT(($D$10:$L$10&lt;&gt;"")*(($D$9:$L$9+INT(($S$12:$AA$12+INDEX($AJ$13:$AR$162,BN5370,0)+INDEX($AT$13:$BB$162,BO5370,0)+INDEX($BD$13:$BL$162,BP5370,0))/100))&gt;=$D$10:$L$10)),0)</f>
        <v/>
      </c>
      <c r="BR5370">
        <f>IF(5357&lt;$U$9,SUMPRODUCT(($D$10:$L$10&lt;&gt;"")*(($D$10:$L$10-($D$9:$L$9+INT(($S$12:$AA$12+INDEX($AJ$13:$AR$162,BN5370,0)+INDEX($AT$13:$BB$162,BO5370,0)+INDEX($BD$13:$BL$162,BP5370,0))/100)))&gt;0)*($D$10:$L$10-($D$9:$L$9+INT(($S$12:$AA$12+INDEX($AJ$13:$AR$162,BN5370,0)+INDEX($AT$13:$BB$162,BO5370,0)+INDEX($BD$13:$BL$162,BP5370,0))/100)))),0)</f>
        <v/>
      </c>
      <c r="BS5370">
        <f>IF(5357&lt;$U$9,SUMPRODUCT(($D$9:$L$9+INT(($S$12:$AA$12+INDEX($AJ$13:$AR$162,BN5370,0)+INDEX($AT$13:$BB$162,BO5370,0)+INDEX($BD$13:$BL$162,BP5370,0))/100))),0)</f>
        <v/>
      </c>
      <c r="BT5370">
        <f>IF(AND(5357&lt;$U$9,$W$5),BQ5370*1000000-MIN(BR5370,999)*1000+BS5370-5357/100000,-1000000000-5357)</f>
        <v/>
      </c>
    </row>
    <row r="5371">
      <c r="BN5371">
        <f>IF(5358&lt;$U$9,INT(5358/($U$7*$U$8))+1,1)</f>
        <v/>
      </c>
      <c r="BO5371">
        <f>IF(5358&lt;$U$9,MOD(INT(5358/$U$8),$U$7)+1,1)</f>
        <v/>
      </c>
      <c r="BP5371">
        <f>IF(5358&lt;$U$9,MOD(5358,$U$8)+1,1)</f>
        <v/>
      </c>
      <c r="BQ5371">
        <f>IF(5358&lt;$U$9,SUMPRODUCT(($D$10:$L$10&lt;&gt;"")*(($D$9:$L$9+INT(($S$12:$AA$12+INDEX($AJ$13:$AR$162,BN5371,0)+INDEX($AT$13:$BB$162,BO5371,0)+INDEX($BD$13:$BL$162,BP5371,0))/100))&gt;=$D$10:$L$10)),0)</f>
        <v/>
      </c>
      <c r="BR5371">
        <f>IF(5358&lt;$U$9,SUMPRODUCT(($D$10:$L$10&lt;&gt;"")*(($D$10:$L$10-($D$9:$L$9+INT(($S$12:$AA$12+INDEX($AJ$13:$AR$162,BN5371,0)+INDEX($AT$13:$BB$162,BO5371,0)+INDEX($BD$13:$BL$162,BP5371,0))/100)))&gt;0)*($D$10:$L$10-($D$9:$L$9+INT(($S$12:$AA$12+INDEX($AJ$13:$AR$162,BN5371,0)+INDEX($AT$13:$BB$162,BO5371,0)+INDEX($BD$13:$BL$162,BP5371,0))/100)))),0)</f>
        <v/>
      </c>
      <c r="BS5371">
        <f>IF(5358&lt;$U$9,SUMPRODUCT(($D$9:$L$9+INT(($S$12:$AA$12+INDEX($AJ$13:$AR$162,BN5371,0)+INDEX($AT$13:$BB$162,BO5371,0)+INDEX($BD$13:$BL$162,BP5371,0))/100))),0)</f>
        <v/>
      </c>
      <c r="BT5371">
        <f>IF(AND(5358&lt;$U$9,$W$5),BQ5371*1000000-MIN(BR5371,999)*1000+BS5371-5358/100000,-1000000000-5358)</f>
        <v/>
      </c>
    </row>
    <row r="5372">
      <c r="BN5372">
        <f>IF(5359&lt;$U$9,INT(5359/($U$7*$U$8))+1,1)</f>
        <v/>
      </c>
      <c r="BO5372">
        <f>IF(5359&lt;$U$9,MOD(INT(5359/$U$8),$U$7)+1,1)</f>
        <v/>
      </c>
      <c r="BP5372">
        <f>IF(5359&lt;$U$9,MOD(5359,$U$8)+1,1)</f>
        <v/>
      </c>
      <c r="BQ5372">
        <f>IF(5359&lt;$U$9,SUMPRODUCT(($D$10:$L$10&lt;&gt;"")*(($D$9:$L$9+INT(($S$12:$AA$12+INDEX($AJ$13:$AR$162,BN5372,0)+INDEX($AT$13:$BB$162,BO5372,0)+INDEX($BD$13:$BL$162,BP5372,0))/100))&gt;=$D$10:$L$10)),0)</f>
        <v/>
      </c>
      <c r="BR5372">
        <f>IF(5359&lt;$U$9,SUMPRODUCT(($D$10:$L$10&lt;&gt;"")*(($D$10:$L$10-($D$9:$L$9+INT(($S$12:$AA$12+INDEX($AJ$13:$AR$162,BN5372,0)+INDEX($AT$13:$BB$162,BO5372,0)+INDEX($BD$13:$BL$162,BP5372,0))/100)))&gt;0)*($D$10:$L$10-($D$9:$L$9+INT(($S$12:$AA$12+INDEX($AJ$13:$AR$162,BN5372,0)+INDEX($AT$13:$BB$162,BO5372,0)+INDEX($BD$13:$BL$162,BP5372,0))/100)))),0)</f>
        <v/>
      </c>
      <c r="BS5372">
        <f>IF(5359&lt;$U$9,SUMPRODUCT(($D$9:$L$9+INT(($S$12:$AA$12+INDEX($AJ$13:$AR$162,BN5372,0)+INDEX($AT$13:$BB$162,BO5372,0)+INDEX($BD$13:$BL$162,BP5372,0))/100))),0)</f>
        <v/>
      </c>
      <c r="BT5372">
        <f>IF(AND(5359&lt;$U$9,$W$5),BQ5372*1000000-MIN(BR5372,999)*1000+BS5372-5359/100000,-1000000000-5359)</f>
        <v/>
      </c>
    </row>
    <row r="5373">
      <c r="BN5373">
        <f>IF(5360&lt;$U$9,INT(5360/($U$7*$U$8))+1,1)</f>
        <v/>
      </c>
      <c r="BO5373">
        <f>IF(5360&lt;$U$9,MOD(INT(5360/$U$8),$U$7)+1,1)</f>
        <v/>
      </c>
      <c r="BP5373">
        <f>IF(5360&lt;$U$9,MOD(5360,$U$8)+1,1)</f>
        <v/>
      </c>
      <c r="BQ5373">
        <f>IF(5360&lt;$U$9,SUMPRODUCT(($D$10:$L$10&lt;&gt;"")*(($D$9:$L$9+INT(($S$12:$AA$12+INDEX($AJ$13:$AR$162,BN5373,0)+INDEX($AT$13:$BB$162,BO5373,0)+INDEX($BD$13:$BL$162,BP5373,0))/100))&gt;=$D$10:$L$10)),0)</f>
        <v/>
      </c>
      <c r="BR5373">
        <f>IF(5360&lt;$U$9,SUMPRODUCT(($D$10:$L$10&lt;&gt;"")*(($D$10:$L$10-($D$9:$L$9+INT(($S$12:$AA$12+INDEX($AJ$13:$AR$162,BN5373,0)+INDEX($AT$13:$BB$162,BO5373,0)+INDEX($BD$13:$BL$162,BP5373,0))/100)))&gt;0)*($D$10:$L$10-($D$9:$L$9+INT(($S$12:$AA$12+INDEX($AJ$13:$AR$162,BN5373,0)+INDEX($AT$13:$BB$162,BO5373,0)+INDEX($BD$13:$BL$162,BP5373,0))/100)))),0)</f>
        <v/>
      </c>
      <c r="BS5373">
        <f>IF(5360&lt;$U$9,SUMPRODUCT(($D$9:$L$9+INT(($S$12:$AA$12+INDEX($AJ$13:$AR$162,BN5373,0)+INDEX($AT$13:$BB$162,BO5373,0)+INDEX($BD$13:$BL$162,BP5373,0))/100))),0)</f>
        <v/>
      </c>
      <c r="BT5373">
        <f>IF(AND(5360&lt;$U$9,$W$5),BQ5373*1000000-MIN(BR5373,999)*1000+BS5373-5360/100000,-1000000000-5360)</f>
        <v/>
      </c>
    </row>
    <row r="5374">
      <c r="BN5374">
        <f>IF(5361&lt;$U$9,INT(5361/($U$7*$U$8))+1,1)</f>
        <v/>
      </c>
      <c r="BO5374">
        <f>IF(5361&lt;$U$9,MOD(INT(5361/$U$8),$U$7)+1,1)</f>
        <v/>
      </c>
      <c r="BP5374">
        <f>IF(5361&lt;$U$9,MOD(5361,$U$8)+1,1)</f>
        <v/>
      </c>
      <c r="BQ5374">
        <f>IF(5361&lt;$U$9,SUMPRODUCT(($D$10:$L$10&lt;&gt;"")*(($D$9:$L$9+INT(($S$12:$AA$12+INDEX($AJ$13:$AR$162,BN5374,0)+INDEX($AT$13:$BB$162,BO5374,0)+INDEX($BD$13:$BL$162,BP5374,0))/100))&gt;=$D$10:$L$10)),0)</f>
        <v/>
      </c>
      <c r="BR5374">
        <f>IF(5361&lt;$U$9,SUMPRODUCT(($D$10:$L$10&lt;&gt;"")*(($D$10:$L$10-($D$9:$L$9+INT(($S$12:$AA$12+INDEX($AJ$13:$AR$162,BN5374,0)+INDEX($AT$13:$BB$162,BO5374,0)+INDEX($BD$13:$BL$162,BP5374,0))/100)))&gt;0)*($D$10:$L$10-($D$9:$L$9+INT(($S$12:$AA$12+INDEX($AJ$13:$AR$162,BN5374,0)+INDEX($AT$13:$BB$162,BO5374,0)+INDEX($BD$13:$BL$162,BP5374,0))/100)))),0)</f>
        <v/>
      </c>
      <c r="BS5374">
        <f>IF(5361&lt;$U$9,SUMPRODUCT(($D$9:$L$9+INT(($S$12:$AA$12+INDEX($AJ$13:$AR$162,BN5374,0)+INDEX($AT$13:$BB$162,BO5374,0)+INDEX($BD$13:$BL$162,BP5374,0))/100))),0)</f>
        <v/>
      </c>
      <c r="BT5374">
        <f>IF(AND(5361&lt;$U$9,$W$5),BQ5374*1000000-MIN(BR5374,999)*1000+BS5374-5361/100000,-1000000000-5361)</f>
        <v/>
      </c>
    </row>
    <row r="5375">
      <c r="BN5375">
        <f>IF(5362&lt;$U$9,INT(5362/($U$7*$U$8))+1,1)</f>
        <v/>
      </c>
      <c r="BO5375">
        <f>IF(5362&lt;$U$9,MOD(INT(5362/$U$8),$U$7)+1,1)</f>
        <v/>
      </c>
      <c r="BP5375">
        <f>IF(5362&lt;$U$9,MOD(5362,$U$8)+1,1)</f>
        <v/>
      </c>
      <c r="BQ5375">
        <f>IF(5362&lt;$U$9,SUMPRODUCT(($D$10:$L$10&lt;&gt;"")*(($D$9:$L$9+INT(($S$12:$AA$12+INDEX($AJ$13:$AR$162,BN5375,0)+INDEX($AT$13:$BB$162,BO5375,0)+INDEX($BD$13:$BL$162,BP5375,0))/100))&gt;=$D$10:$L$10)),0)</f>
        <v/>
      </c>
      <c r="BR5375">
        <f>IF(5362&lt;$U$9,SUMPRODUCT(($D$10:$L$10&lt;&gt;"")*(($D$10:$L$10-($D$9:$L$9+INT(($S$12:$AA$12+INDEX($AJ$13:$AR$162,BN5375,0)+INDEX($AT$13:$BB$162,BO5375,0)+INDEX($BD$13:$BL$162,BP5375,0))/100)))&gt;0)*($D$10:$L$10-($D$9:$L$9+INT(($S$12:$AA$12+INDEX($AJ$13:$AR$162,BN5375,0)+INDEX($AT$13:$BB$162,BO5375,0)+INDEX($BD$13:$BL$162,BP5375,0))/100)))),0)</f>
        <v/>
      </c>
      <c r="BS5375">
        <f>IF(5362&lt;$U$9,SUMPRODUCT(($D$9:$L$9+INT(($S$12:$AA$12+INDEX($AJ$13:$AR$162,BN5375,0)+INDEX($AT$13:$BB$162,BO5375,0)+INDEX($BD$13:$BL$162,BP5375,0))/100))),0)</f>
        <v/>
      </c>
      <c r="BT5375">
        <f>IF(AND(5362&lt;$U$9,$W$5),BQ5375*1000000-MIN(BR5375,999)*1000+BS5375-5362/100000,-1000000000-5362)</f>
        <v/>
      </c>
    </row>
    <row r="5376">
      <c r="BN5376">
        <f>IF(5363&lt;$U$9,INT(5363/($U$7*$U$8))+1,1)</f>
        <v/>
      </c>
      <c r="BO5376">
        <f>IF(5363&lt;$U$9,MOD(INT(5363/$U$8),$U$7)+1,1)</f>
        <v/>
      </c>
      <c r="BP5376">
        <f>IF(5363&lt;$U$9,MOD(5363,$U$8)+1,1)</f>
        <v/>
      </c>
      <c r="BQ5376">
        <f>IF(5363&lt;$U$9,SUMPRODUCT(($D$10:$L$10&lt;&gt;"")*(($D$9:$L$9+INT(($S$12:$AA$12+INDEX($AJ$13:$AR$162,BN5376,0)+INDEX($AT$13:$BB$162,BO5376,0)+INDEX($BD$13:$BL$162,BP5376,0))/100))&gt;=$D$10:$L$10)),0)</f>
        <v/>
      </c>
      <c r="BR5376">
        <f>IF(5363&lt;$U$9,SUMPRODUCT(($D$10:$L$10&lt;&gt;"")*(($D$10:$L$10-($D$9:$L$9+INT(($S$12:$AA$12+INDEX($AJ$13:$AR$162,BN5376,0)+INDEX($AT$13:$BB$162,BO5376,0)+INDEX($BD$13:$BL$162,BP5376,0))/100)))&gt;0)*($D$10:$L$10-($D$9:$L$9+INT(($S$12:$AA$12+INDEX($AJ$13:$AR$162,BN5376,0)+INDEX($AT$13:$BB$162,BO5376,0)+INDEX($BD$13:$BL$162,BP5376,0))/100)))),0)</f>
        <v/>
      </c>
      <c r="BS5376">
        <f>IF(5363&lt;$U$9,SUMPRODUCT(($D$9:$L$9+INT(($S$12:$AA$12+INDEX($AJ$13:$AR$162,BN5376,0)+INDEX($AT$13:$BB$162,BO5376,0)+INDEX($BD$13:$BL$162,BP5376,0))/100))),0)</f>
        <v/>
      </c>
      <c r="BT5376">
        <f>IF(AND(5363&lt;$U$9,$W$5),BQ5376*1000000-MIN(BR5376,999)*1000+BS5376-5363/100000,-1000000000-5363)</f>
        <v/>
      </c>
    </row>
    <row r="5377">
      <c r="BN5377">
        <f>IF(5364&lt;$U$9,INT(5364/($U$7*$U$8))+1,1)</f>
        <v/>
      </c>
      <c r="BO5377">
        <f>IF(5364&lt;$U$9,MOD(INT(5364/$U$8),$U$7)+1,1)</f>
        <v/>
      </c>
      <c r="BP5377">
        <f>IF(5364&lt;$U$9,MOD(5364,$U$8)+1,1)</f>
        <v/>
      </c>
      <c r="BQ5377">
        <f>IF(5364&lt;$U$9,SUMPRODUCT(($D$10:$L$10&lt;&gt;"")*(($D$9:$L$9+INT(($S$12:$AA$12+INDEX($AJ$13:$AR$162,BN5377,0)+INDEX($AT$13:$BB$162,BO5377,0)+INDEX($BD$13:$BL$162,BP5377,0))/100))&gt;=$D$10:$L$10)),0)</f>
        <v/>
      </c>
      <c r="BR5377">
        <f>IF(5364&lt;$U$9,SUMPRODUCT(($D$10:$L$10&lt;&gt;"")*(($D$10:$L$10-($D$9:$L$9+INT(($S$12:$AA$12+INDEX($AJ$13:$AR$162,BN5377,0)+INDEX($AT$13:$BB$162,BO5377,0)+INDEX($BD$13:$BL$162,BP5377,0))/100)))&gt;0)*($D$10:$L$10-($D$9:$L$9+INT(($S$12:$AA$12+INDEX($AJ$13:$AR$162,BN5377,0)+INDEX($AT$13:$BB$162,BO5377,0)+INDEX($BD$13:$BL$162,BP5377,0))/100)))),0)</f>
        <v/>
      </c>
      <c r="BS5377">
        <f>IF(5364&lt;$U$9,SUMPRODUCT(($D$9:$L$9+INT(($S$12:$AA$12+INDEX($AJ$13:$AR$162,BN5377,0)+INDEX($AT$13:$BB$162,BO5377,0)+INDEX($BD$13:$BL$162,BP5377,0))/100))),0)</f>
        <v/>
      </c>
      <c r="BT5377">
        <f>IF(AND(5364&lt;$U$9,$W$5),BQ5377*1000000-MIN(BR5377,999)*1000+BS5377-5364/100000,-1000000000-5364)</f>
        <v/>
      </c>
    </row>
    <row r="5378">
      <c r="BN5378">
        <f>IF(5365&lt;$U$9,INT(5365/($U$7*$U$8))+1,1)</f>
        <v/>
      </c>
      <c r="BO5378">
        <f>IF(5365&lt;$U$9,MOD(INT(5365/$U$8),$U$7)+1,1)</f>
        <v/>
      </c>
      <c r="BP5378">
        <f>IF(5365&lt;$U$9,MOD(5365,$U$8)+1,1)</f>
        <v/>
      </c>
      <c r="BQ5378">
        <f>IF(5365&lt;$U$9,SUMPRODUCT(($D$10:$L$10&lt;&gt;"")*(($D$9:$L$9+INT(($S$12:$AA$12+INDEX($AJ$13:$AR$162,BN5378,0)+INDEX($AT$13:$BB$162,BO5378,0)+INDEX($BD$13:$BL$162,BP5378,0))/100))&gt;=$D$10:$L$10)),0)</f>
        <v/>
      </c>
      <c r="BR5378">
        <f>IF(5365&lt;$U$9,SUMPRODUCT(($D$10:$L$10&lt;&gt;"")*(($D$10:$L$10-($D$9:$L$9+INT(($S$12:$AA$12+INDEX($AJ$13:$AR$162,BN5378,0)+INDEX($AT$13:$BB$162,BO5378,0)+INDEX($BD$13:$BL$162,BP5378,0))/100)))&gt;0)*($D$10:$L$10-($D$9:$L$9+INT(($S$12:$AA$12+INDEX($AJ$13:$AR$162,BN5378,0)+INDEX($AT$13:$BB$162,BO5378,0)+INDEX($BD$13:$BL$162,BP5378,0))/100)))),0)</f>
        <v/>
      </c>
      <c r="BS5378">
        <f>IF(5365&lt;$U$9,SUMPRODUCT(($D$9:$L$9+INT(($S$12:$AA$12+INDEX($AJ$13:$AR$162,BN5378,0)+INDEX($AT$13:$BB$162,BO5378,0)+INDEX($BD$13:$BL$162,BP5378,0))/100))),0)</f>
        <v/>
      </c>
      <c r="BT5378">
        <f>IF(AND(5365&lt;$U$9,$W$5),BQ5378*1000000-MIN(BR5378,999)*1000+BS5378-5365/100000,-1000000000-5365)</f>
        <v/>
      </c>
    </row>
    <row r="5379">
      <c r="BN5379">
        <f>IF(5366&lt;$U$9,INT(5366/($U$7*$U$8))+1,1)</f>
        <v/>
      </c>
      <c r="BO5379">
        <f>IF(5366&lt;$U$9,MOD(INT(5366/$U$8),$U$7)+1,1)</f>
        <v/>
      </c>
      <c r="BP5379">
        <f>IF(5366&lt;$U$9,MOD(5366,$U$8)+1,1)</f>
        <v/>
      </c>
      <c r="BQ5379">
        <f>IF(5366&lt;$U$9,SUMPRODUCT(($D$10:$L$10&lt;&gt;"")*(($D$9:$L$9+INT(($S$12:$AA$12+INDEX($AJ$13:$AR$162,BN5379,0)+INDEX($AT$13:$BB$162,BO5379,0)+INDEX($BD$13:$BL$162,BP5379,0))/100))&gt;=$D$10:$L$10)),0)</f>
        <v/>
      </c>
      <c r="BR5379">
        <f>IF(5366&lt;$U$9,SUMPRODUCT(($D$10:$L$10&lt;&gt;"")*(($D$10:$L$10-($D$9:$L$9+INT(($S$12:$AA$12+INDEX($AJ$13:$AR$162,BN5379,0)+INDEX($AT$13:$BB$162,BO5379,0)+INDEX($BD$13:$BL$162,BP5379,0))/100)))&gt;0)*($D$10:$L$10-($D$9:$L$9+INT(($S$12:$AA$12+INDEX($AJ$13:$AR$162,BN5379,0)+INDEX($AT$13:$BB$162,BO5379,0)+INDEX($BD$13:$BL$162,BP5379,0))/100)))),0)</f>
        <v/>
      </c>
      <c r="BS5379">
        <f>IF(5366&lt;$U$9,SUMPRODUCT(($D$9:$L$9+INT(($S$12:$AA$12+INDEX($AJ$13:$AR$162,BN5379,0)+INDEX($AT$13:$BB$162,BO5379,0)+INDEX($BD$13:$BL$162,BP5379,0))/100))),0)</f>
        <v/>
      </c>
      <c r="BT5379">
        <f>IF(AND(5366&lt;$U$9,$W$5),BQ5379*1000000-MIN(BR5379,999)*1000+BS5379-5366/100000,-1000000000-5366)</f>
        <v/>
      </c>
    </row>
    <row r="5380">
      <c r="BN5380">
        <f>IF(5367&lt;$U$9,INT(5367/($U$7*$U$8))+1,1)</f>
        <v/>
      </c>
      <c r="BO5380">
        <f>IF(5367&lt;$U$9,MOD(INT(5367/$U$8),$U$7)+1,1)</f>
        <v/>
      </c>
      <c r="BP5380">
        <f>IF(5367&lt;$U$9,MOD(5367,$U$8)+1,1)</f>
        <v/>
      </c>
      <c r="BQ5380">
        <f>IF(5367&lt;$U$9,SUMPRODUCT(($D$10:$L$10&lt;&gt;"")*(($D$9:$L$9+INT(($S$12:$AA$12+INDEX($AJ$13:$AR$162,BN5380,0)+INDEX($AT$13:$BB$162,BO5380,0)+INDEX($BD$13:$BL$162,BP5380,0))/100))&gt;=$D$10:$L$10)),0)</f>
        <v/>
      </c>
      <c r="BR5380">
        <f>IF(5367&lt;$U$9,SUMPRODUCT(($D$10:$L$10&lt;&gt;"")*(($D$10:$L$10-($D$9:$L$9+INT(($S$12:$AA$12+INDEX($AJ$13:$AR$162,BN5380,0)+INDEX($AT$13:$BB$162,BO5380,0)+INDEX($BD$13:$BL$162,BP5380,0))/100)))&gt;0)*($D$10:$L$10-($D$9:$L$9+INT(($S$12:$AA$12+INDEX($AJ$13:$AR$162,BN5380,0)+INDEX($AT$13:$BB$162,BO5380,0)+INDEX($BD$13:$BL$162,BP5380,0))/100)))),0)</f>
        <v/>
      </c>
      <c r="BS5380">
        <f>IF(5367&lt;$U$9,SUMPRODUCT(($D$9:$L$9+INT(($S$12:$AA$12+INDEX($AJ$13:$AR$162,BN5380,0)+INDEX($AT$13:$BB$162,BO5380,0)+INDEX($BD$13:$BL$162,BP5380,0))/100))),0)</f>
        <v/>
      </c>
      <c r="BT5380">
        <f>IF(AND(5367&lt;$U$9,$W$5),BQ5380*1000000-MIN(BR5380,999)*1000+BS5380-5367/100000,-1000000000-5367)</f>
        <v/>
      </c>
    </row>
    <row r="5381">
      <c r="BN5381">
        <f>IF(5368&lt;$U$9,INT(5368/($U$7*$U$8))+1,1)</f>
        <v/>
      </c>
      <c r="BO5381">
        <f>IF(5368&lt;$U$9,MOD(INT(5368/$U$8),$U$7)+1,1)</f>
        <v/>
      </c>
      <c r="BP5381">
        <f>IF(5368&lt;$U$9,MOD(5368,$U$8)+1,1)</f>
        <v/>
      </c>
      <c r="BQ5381">
        <f>IF(5368&lt;$U$9,SUMPRODUCT(($D$10:$L$10&lt;&gt;"")*(($D$9:$L$9+INT(($S$12:$AA$12+INDEX($AJ$13:$AR$162,BN5381,0)+INDEX($AT$13:$BB$162,BO5381,0)+INDEX($BD$13:$BL$162,BP5381,0))/100))&gt;=$D$10:$L$10)),0)</f>
        <v/>
      </c>
      <c r="BR5381">
        <f>IF(5368&lt;$U$9,SUMPRODUCT(($D$10:$L$10&lt;&gt;"")*(($D$10:$L$10-($D$9:$L$9+INT(($S$12:$AA$12+INDEX($AJ$13:$AR$162,BN5381,0)+INDEX($AT$13:$BB$162,BO5381,0)+INDEX($BD$13:$BL$162,BP5381,0))/100)))&gt;0)*($D$10:$L$10-($D$9:$L$9+INT(($S$12:$AA$12+INDEX($AJ$13:$AR$162,BN5381,0)+INDEX($AT$13:$BB$162,BO5381,0)+INDEX($BD$13:$BL$162,BP5381,0))/100)))),0)</f>
        <v/>
      </c>
      <c r="BS5381">
        <f>IF(5368&lt;$U$9,SUMPRODUCT(($D$9:$L$9+INT(($S$12:$AA$12+INDEX($AJ$13:$AR$162,BN5381,0)+INDEX($AT$13:$BB$162,BO5381,0)+INDEX($BD$13:$BL$162,BP5381,0))/100))),0)</f>
        <v/>
      </c>
      <c r="BT5381">
        <f>IF(AND(5368&lt;$U$9,$W$5),BQ5381*1000000-MIN(BR5381,999)*1000+BS5381-5368/100000,-1000000000-5368)</f>
        <v/>
      </c>
    </row>
    <row r="5382">
      <c r="BN5382">
        <f>IF(5369&lt;$U$9,INT(5369/($U$7*$U$8))+1,1)</f>
        <v/>
      </c>
      <c r="BO5382">
        <f>IF(5369&lt;$U$9,MOD(INT(5369/$U$8),$U$7)+1,1)</f>
        <v/>
      </c>
      <c r="BP5382">
        <f>IF(5369&lt;$U$9,MOD(5369,$U$8)+1,1)</f>
        <v/>
      </c>
      <c r="BQ5382">
        <f>IF(5369&lt;$U$9,SUMPRODUCT(($D$10:$L$10&lt;&gt;"")*(($D$9:$L$9+INT(($S$12:$AA$12+INDEX($AJ$13:$AR$162,BN5382,0)+INDEX($AT$13:$BB$162,BO5382,0)+INDEX($BD$13:$BL$162,BP5382,0))/100))&gt;=$D$10:$L$10)),0)</f>
        <v/>
      </c>
      <c r="BR5382">
        <f>IF(5369&lt;$U$9,SUMPRODUCT(($D$10:$L$10&lt;&gt;"")*(($D$10:$L$10-($D$9:$L$9+INT(($S$12:$AA$12+INDEX($AJ$13:$AR$162,BN5382,0)+INDEX($AT$13:$BB$162,BO5382,0)+INDEX($BD$13:$BL$162,BP5382,0))/100)))&gt;0)*($D$10:$L$10-($D$9:$L$9+INT(($S$12:$AA$12+INDEX($AJ$13:$AR$162,BN5382,0)+INDEX($AT$13:$BB$162,BO5382,0)+INDEX($BD$13:$BL$162,BP5382,0))/100)))),0)</f>
        <v/>
      </c>
      <c r="BS5382">
        <f>IF(5369&lt;$U$9,SUMPRODUCT(($D$9:$L$9+INT(($S$12:$AA$12+INDEX($AJ$13:$AR$162,BN5382,0)+INDEX($AT$13:$BB$162,BO5382,0)+INDEX($BD$13:$BL$162,BP5382,0))/100))),0)</f>
        <v/>
      </c>
      <c r="BT5382">
        <f>IF(AND(5369&lt;$U$9,$W$5),BQ5382*1000000-MIN(BR5382,999)*1000+BS5382-5369/100000,-1000000000-5369)</f>
        <v/>
      </c>
    </row>
    <row r="5383">
      <c r="BN5383">
        <f>IF(5370&lt;$U$9,INT(5370/($U$7*$U$8))+1,1)</f>
        <v/>
      </c>
      <c r="BO5383">
        <f>IF(5370&lt;$U$9,MOD(INT(5370/$U$8),$U$7)+1,1)</f>
        <v/>
      </c>
      <c r="BP5383">
        <f>IF(5370&lt;$U$9,MOD(5370,$U$8)+1,1)</f>
        <v/>
      </c>
      <c r="BQ5383">
        <f>IF(5370&lt;$U$9,SUMPRODUCT(($D$10:$L$10&lt;&gt;"")*(($D$9:$L$9+INT(($S$12:$AA$12+INDEX($AJ$13:$AR$162,BN5383,0)+INDEX($AT$13:$BB$162,BO5383,0)+INDEX($BD$13:$BL$162,BP5383,0))/100))&gt;=$D$10:$L$10)),0)</f>
        <v/>
      </c>
      <c r="BR5383">
        <f>IF(5370&lt;$U$9,SUMPRODUCT(($D$10:$L$10&lt;&gt;"")*(($D$10:$L$10-($D$9:$L$9+INT(($S$12:$AA$12+INDEX($AJ$13:$AR$162,BN5383,0)+INDEX($AT$13:$BB$162,BO5383,0)+INDEX($BD$13:$BL$162,BP5383,0))/100)))&gt;0)*($D$10:$L$10-($D$9:$L$9+INT(($S$12:$AA$12+INDEX($AJ$13:$AR$162,BN5383,0)+INDEX($AT$13:$BB$162,BO5383,0)+INDEX($BD$13:$BL$162,BP5383,0))/100)))),0)</f>
        <v/>
      </c>
      <c r="BS5383">
        <f>IF(5370&lt;$U$9,SUMPRODUCT(($D$9:$L$9+INT(($S$12:$AA$12+INDEX($AJ$13:$AR$162,BN5383,0)+INDEX($AT$13:$BB$162,BO5383,0)+INDEX($BD$13:$BL$162,BP5383,0))/100))),0)</f>
        <v/>
      </c>
      <c r="BT5383">
        <f>IF(AND(5370&lt;$U$9,$W$5),BQ5383*1000000-MIN(BR5383,999)*1000+BS5383-5370/100000,-1000000000-5370)</f>
        <v/>
      </c>
    </row>
    <row r="5384">
      <c r="BN5384">
        <f>IF(5371&lt;$U$9,INT(5371/($U$7*$U$8))+1,1)</f>
        <v/>
      </c>
      <c r="BO5384">
        <f>IF(5371&lt;$U$9,MOD(INT(5371/$U$8),$U$7)+1,1)</f>
        <v/>
      </c>
      <c r="BP5384">
        <f>IF(5371&lt;$U$9,MOD(5371,$U$8)+1,1)</f>
        <v/>
      </c>
      <c r="BQ5384">
        <f>IF(5371&lt;$U$9,SUMPRODUCT(($D$10:$L$10&lt;&gt;"")*(($D$9:$L$9+INT(($S$12:$AA$12+INDEX($AJ$13:$AR$162,BN5384,0)+INDEX($AT$13:$BB$162,BO5384,0)+INDEX($BD$13:$BL$162,BP5384,0))/100))&gt;=$D$10:$L$10)),0)</f>
        <v/>
      </c>
      <c r="BR5384">
        <f>IF(5371&lt;$U$9,SUMPRODUCT(($D$10:$L$10&lt;&gt;"")*(($D$10:$L$10-($D$9:$L$9+INT(($S$12:$AA$12+INDEX($AJ$13:$AR$162,BN5384,0)+INDEX($AT$13:$BB$162,BO5384,0)+INDEX($BD$13:$BL$162,BP5384,0))/100)))&gt;0)*($D$10:$L$10-($D$9:$L$9+INT(($S$12:$AA$12+INDEX($AJ$13:$AR$162,BN5384,0)+INDEX($AT$13:$BB$162,BO5384,0)+INDEX($BD$13:$BL$162,BP5384,0))/100)))),0)</f>
        <v/>
      </c>
      <c r="BS5384">
        <f>IF(5371&lt;$U$9,SUMPRODUCT(($D$9:$L$9+INT(($S$12:$AA$12+INDEX($AJ$13:$AR$162,BN5384,0)+INDEX($AT$13:$BB$162,BO5384,0)+INDEX($BD$13:$BL$162,BP5384,0))/100))),0)</f>
        <v/>
      </c>
      <c r="BT5384">
        <f>IF(AND(5371&lt;$U$9,$W$5),BQ5384*1000000-MIN(BR5384,999)*1000+BS5384-5371/100000,-1000000000-5371)</f>
        <v/>
      </c>
    </row>
    <row r="5385">
      <c r="BN5385">
        <f>IF(5372&lt;$U$9,INT(5372/($U$7*$U$8))+1,1)</f>
        <v/>
      </c>
      <c r="BO5385">
        <f>IF(5372&lt;$U$9,MOD(INT(5372/$U$8),$U$7)+1,1)</f>
        <v/>
      </c>
      <c r="BP5385">
        <f>IF(5372&lt;$U$9,MOD(5372,$U$8)+1,1)</f>
        <v/>
      </c>
      <c r="BQ5385">
        <f>IF(5372&lt;$U$9,SUMPRODUCT(($D$10:$L$10&lt;&gt;"")*(($D$9:$L$9+INT(($S$12:$AA$12+INDEX($AJ$13:$AR$162,BN5385,0)+INDEX($AT$13:$BB$162,BO5385,0)+INDEX($BD$13:$BL$162,BP5385,0))/100))&gt;=$D$10:$L$10)),0)</f>
        <v/>
      </c>
      <c r="BR5385">
        <f>IF(5372&lt;$U$9,SUMPRODUCT(($D$10:$L$10&lt;&gt;"")*(($D$10:$L$10-($D$9:$L$9+INT(($S$12:$AA$12+INDEX($AJ$13:$AR$162,BN5385,0)+INDEX($AT$13:$BB$162,BO5385,0)+INDEX($BD$13:$BL$162,BP5385,0))/100)))&gt;0)*($D$10:$L$10-($D$9:$L$9+INT(($S$12:$AA$12+INDEX($AJ$13:$AR$162,BN5385,0)+INDEX($AT$13:$BB$162,BO5385,0)+INDEX($BD$13:$BL$162,BP5385,0))/100)))),0)</f>
        <v/>
      </c>
      <c r="BS5385">
        <f>IF(5372&lt;$U$9,SUMPRODUCT(($D$9:$L$9+INT(($S$12:$AA$12+INDEX($AJ$13:$AR$162,BN5385,0)+INDEX($AT$13:$BB$162,BO5385,0)+INDEX($BD$13:$BL$162,BP5385,0))/100))),0)</f>
        <v/>
      </c>
      <c r="BT5385">
        <f>IF(AND(5372&lt;$U$9,$W$5),BQ5385*1000000-MIN(BR5385,999)*1000+BS5385-5372/100000,-1000000000-5372)</f>
        <v/>
      </c>
    </row>
    <row r="5386">
      <c r="BN5386">
        <f>IF(5373&lt;$U$9,INT(5373/($U$7*$U$8))+1,1)</f>
        <v/>
      </c>
      <c r="BO5386">
        <f>IF(5373&lt;$U$9,MOD(INT(5373/$U$8),$U$7)+1,1)</f>
        <v/>
      </c>
      <c r="BP5386">
        <f>IF(5373&lt;$U$9,MOD(5373,$U$8)+1,1)</f>
        <v/>
      </c>
      <c r="BQ5386">
        <f>IF(5373&lt;$U$9,SUMPRODUCT(($D$10:$L$10&lt;&gt;"")*(($D$9:$L$9+INT(($S$12:$AA$12+INDEX($AJ$13:$AR$162,BN5386,0)+INDEX($AT$13:$BB$162,BO5386,0)+INDEX($BD$13:$BL$162,BP5386,0))/100))&gt;=$D$10:$L$10)),0)</f>
        <v/>
      </c>
      <c r="BR5386">
        <f>IF(5373&lt;$U$9,SUMPRODUCT(($D$10:$L$10&lt;&gt;"")*(($D$10:$L$10-($D$9:$L$9+INT(($S$12:$AA$12+INDEX($AJ$13:$AR$162,BN5386,0)+INDEX($AT$13:$BB$162,BO5386,0)+INDEX($BD$13:$BL$162,BP5386,0))/100)))&gt;0)*($D$10:$L$10-($D$9:$L$9+INT(($S$12:$AA$12+INDEX($AJ$13:$AR$162,BN5386,0)+INDEX($AT$13:$BB$162,BO5386,0)+INDEX($BD$13:$BL$162,BP5386,0))/100)))),0)</f>
        <v/>
      </c>
      <c r="BS5386">
        <f>IF(5373&lt;$U$9,SUMPRODUCT(($D$9:$L$9+INT(($S$12:$AA$12+INDEX($AJ$13:$AR$162,BN5386,0)+INDEX($AT$13:$BB$162,BO5386,0)+INDEX($BD$13:$BL$162,BP5386,0))/100))),0)</f>
        <v/>
      </c>
      <c r="BT5386">
        <f>IF(AND(5373&lt;$U$9,$W$5),BQ5386*1000000-MIN(BR5386,999)*1000+BS5386-5373/100000,-1000000000-5373)</f>
        <v/>
      </c>
    </row>
    <row r="5387">
      <c r="BN5387">
        <f>IF(5374&lt;$U$9,INT(5374/($U$7*$U$8))+1,1)</f>
        <v/>
      </c>
      <c r="BO5387">
        <f>IF(5374&lt;$U$9,MOD(INT(5374/$U$8),$U$7)+1,1)</f>
        <v/>
      </c>
      <c r="BP5387">
        <f>IF(5374&lt;$U$9,MOD(5374,$U$8)+1,1)</f>
        <v/>
      </c>
      <c r="BQ5387">
        <f>IF(5374&lt;$U$9,SUMPRODUCT(($D$10:$L$10&lt;&gt;"")*(($D$9:$L$9+INT(($S$12:$AA$12+INDEX($AJ$13:$AR$162,BN5387,0)+INDEX($AT$13:$BB$162,BO5387,0)+INDEX($BD$13:$BL$162,BP5387,0))/100))&gt;=$D$10:$L$10)),0)</f>
        <v/>
      </c>
      <c r="BR5387">
        <f>IF(5374&lt;$U$9,SUMPRODUCT(($D$10:$L$10&lt;&gt;"")*(($D$10:$L$10-($D$9:$L$9+INT(($S$12:$AA$12+INDEX($AJ$13:$AR$162,BN5387,0)+INDEX($AT$13:$BB$162,BO5387,0)+INDEX($BD$13:$BL$162,BP5387,0))/100)))&gt;0)*($D$10:$L$10-($D$9:$L$9+INT(($S$12:$AA$12+INDEX($AJ$13:$AR$162,BN5387,0)+INDEX($AT$13:$BB$162,BO5387,0)+INDEX($BD$13:$BL$162,BP5387,0))/100)))),0)</f>
        <v/>
      </c>
      <c r="BS5387">
        <f>IF(5374&lt;$U$9,SUMPRODUCT(($D$9:$L$9+INT(($S$12:$AA$12+INDEX($AJ$13:$AR$162,BN5387,0)+INDEX($AT$13:$BB$162,BO5387,0)+INDEX($BD$13:$BL$162,BP5387,0))/100))),0)</f>
        <v/>
      </c>
      <c r="BT5387">
        <f>IF(AND(5374&lt;$U$9,$W$5),BQ5387*1000000-MIN(BR5387,999)*1000+BS5387-5374/100000,-1000000000-5374)</f>
        <v/>
      </c>
    </row>
    <row r="5388">
      <c r="BN5388">
        <f>IF(5375&lt;$U$9,INT(5375/($U$7*$U$8))+1,1)</f>
        <v/>
      </c>
      <c r="BO5388">
        <f>IF(5375&lt;$U$9,MOD(INT(5375/$U$8),$U$7)+1,1)</f>
        <v/>
      </c>
      <c r="BP5388">
        <f>IF(5375&lt;$U$9,MOD(5375,$U$8)+1,1)</f>
        <v/>
      </c>
      <c r="BQ5388">
        <f>IF(5375&lt;$U$9,SUMPRODUCT(($D$10:$L$10&lt;&gt;"")*(($D$9:$L$9+INT(($S$12:$AA$12+INDEX($AJ$13:$AR$162,BN5388,0)+INDEX($AT$13:$BB$162,BO5388,0)+INDEX($BD$13:$BL$162,BP5388,0))/100))&gt;=$D$10:$L$10)),0)</f>
        <v/>
      </c>
      <c r="BR5388">
        <f>IF(5375&lt;$U$9,SUMPRODUCT(($D$10:$L$10&lt;&gt;"")*(($D$10:$L$10-($D$9:$L$9+INT(($S$12:$AA$12+INDEX($AJ$13:$AR$162,BN5388,0)+INDEX($AT$13:$BB$162,BO5388,0)+INDEX($BD$13:$BL$162,BP5388,0))/100)))&gt;0)*($D$10:$L$10-($D$9:$L$9+INT(($S$12:$AA$12+INDEX($AJ$13:$AR$162,BN5388,0)+INDEX($AT$13:$BB$162,BO5388,0)+INDEX($BD$13:$BL$162,BP5388,0))/100)))),0)</f>
        <v/>
      </c>
      <c r="BS5388">
        <f>IF(5375&lt;$U$9,SUMPRODUCT(($D$9:$L$9+INT(($S$12:$AA$12+INDEX($AJ$13:$AR$162,BN5388,0)+INDEX($AT$13:$BB$162,BO5388,0)+INDEX($BD$13:$BL$162,BP5388,0))/100))),0)</f>
        <v/>
      </c>
      <c r="BT5388">
        <f>IF(AND(5375&lt;$U$9,$W$5),BQ5388*1000000-MIN(BR5388,999)*1000+BS5388-5375/100000,-1000000000-5375)</f>
        <v/>
      </c>
    </row>
    <row r="5389">
      <c r="BN5389">
        <f>IF(5376&lt;$U$9,INT(5376/($U$7*$U$8))+1,1)</f>
        <v/>
      </c>
      <c r="BO5389">
        <f>IF(5376&lt;$U$9,MOD(INT(5376/$U$8),$U$7)+1,1)</f>
        <v/>
      </c>
      <c r="BP5389">
        <f>IF(5376&lt;$U$9,MOD(5376,$U$8)+1,1)</f>
        <v/>
      </c>
      <c r="BQ5389">
        <f>IF(5376&lt;$U$9,SUMPRODUCT(($D$10:$L$10&lt;&gt;"")*(($D$9:$L$9+INT(($S$12:$AA$12+INDEX($AJ$13:$AR$162,BN5389,0)+INDEX($AT$13:$BB$162,BO5389,0)+INDEX($BD$13:$BL$162,BP5389,0))/100))&gt;=$D$10:$L$10)),0)</f>
        <v/>
      </c>
      <c r="BR5389">
        <f>IF(5376&lt;$U$9,SUMPRODUCT(($D$10:$L$10&lt;&gt;"")*(($D$10:$L$10-($D$9:$L$9+INT(($S$12:$AA$12+INDEX($AJ$13:$AR$162,BN5389,0)+INDEX($AT$13:$BB$162,BO5389,0)+INDEX($BD$13:$BL$162,BP5389,0))/100)))&gt;0)*($D$10:$L$10-($D$9:$L$9+INT(($S$12:$AA$12+INDEX($AJ$13:$AR$162,BN5389,0)+INDEX($AT$13:$BB$162,BO5389,0)+INDEX($BD$13:$BL$162,BP5389,0))/100)))),0)</f>
        <v/>
      </c>
      <c r="BS5389">
        <f>IF(5376&lt;$U$9,SUMPRODUCT(($D$9:$L$9+INT(($S$12:$AA$12+INDEX($AJ$13:$AR$162,BN5389,0)+INDEX($AT$13:$BB$162,BO5389,0)+INDEX($BD$13:$BL$162,BP5389,0))/100))),0)</f>
        <v/>
      </c>
      <c r="BT5389">
        <f>IF(AND(5376&lt;$U$9,$W$5),BQ5389*1000000-MIN(BR5389,999)*1000+BS5389-5376/100000,-1000000000-5376)</f>
        <v/>
      </c>
    </row>
    <row r="5390">
      <c r="BN5390">
        <f>IF(5377&lt;$U$9,INT(5377/($U$7*$U$8))+1,1)</f>
        <v/>
      </c>
      <c r="BO5390">
        <f>IF(5377&lt;$U$9,MOD(INT(5377/$U$8),$U$7)+1,1)</f>
        <v/>
      </c>
      <c r="BP5390">
        <f>IF(5377&lt;$U$9,MOD(5377,$U$8)+1,1)</f>
        <v/>
      </c>
      <c r="BQ5390">
        <f>IF(5377&lt;$U$9,SUMPRODUCT(($D$10:$L$10&lt;&gt;"")*(($D$9:$L$9+INT(($S$12:$AA$12+INDEX($AJ$13:$AR$162,BN5390,0)+INDEX($AT$13:$BB$162,BO5390,0)+INDEX($BD$13:$BL$162,BP5390,0))/100))&gt;=$D$10:$L$10)),0)</f>
        <v/>
      </c>
      <c r="BR5390">
        <f>IF(5377&lt;$U$9,SUMPRODUCT(($D$10:$L$10&lt;&gt;"")*(($D$10:$L$10-($D$9:$L$9+INT(($S$12:$AA$12+INDEX($AJ$13:$AR$162,BN5390,0)+INDEX($AT$13:$BB$162,BO5390,0)+INDEX($BD$13:$BL$162,BP5390,0))/100)))&gt;0)*($D$10:$L$10-($D$9:$L$9+INT(($S$12:$AA$12+INDEX($AJ$13:$AR$162,BN5390,0)+INDEX($AT$13:$BB$162,BO5390,0)+INDEX($BD$13:$BL$162,BP5390,0))/100)))),0)</f>
        <v/>
      </c>
      <c r="BS5390">
        <f>IF(5377&lt;$U$9,SUMPRODUCT(($D$9:$L$9+INT(($S$12:$AA$12+INDEX($AJ$13:$AR$162,BN5390,0)+INDEX($AT$13:$BB$162,BO5390,0)+INDEX($BD$13:$BL$162,BP5390,0))/100))),0)</f>
        <v/>
      </c>
      <c r="BT5390">
        <f>IF(AND(5377&lt;$U$9,$W$5),BQ5390*1000000-MIN(BR5390,999)*1000+BS5390-5377/100000,-1000000000-5377)</f>
        <v/>
      </c>
    </row>
    <row r="5391">
      <c r="BN5391">
        <f>IF(5378&lt;$U$9,INT(5378/($U$7*$U$8))+1,1)</f>
        <v/>
      </c>
      <c r="BO5391">
        <f>IF(5378&lt;$U$9,MOD(INT(5378/$U$8),$U$7)+1,1)</f>
        <v/>
      </c>
      <c r="BP5391">
        <f>IF(5378&lt;$U$9,MOD(5378,$U$8)+1,1)</f>
        <v/>
      </c>
      <c r="BQ5391">
        <f>IF(5378&lt;$U$9,SUMPRODUCT(($D$10:$L$10&lt;&gt;"")*(($D$9:$L$9+INT(($S$12:$AA$12+INDEX($AJ$13:$AR$162,BN5391,0)+INDEX($AT$13:$BB$162,BO5391,0)+INDEX($BD$13:$BL$162,BP5391,0))/100))&gt;=$D$10:$L$10)),0)</f>
        <v/>
      </c>
      <c r="BR5391">
        <f>IF(5378&lt;$U$9,SUMPRODUCT(($D$10:$L$10&lt;&gt;"")*(($D$10:$L$10-($D$9:$L$9+INT(($S$12:$AA$12+INDEX($AJ$13:$AR$162,BN5391,0)+INDEX($AT$13:$BB$162,BO5391,0)+INDEX($BD$13:$BL$162,BP5391,0))/100)))&gt;0)*($D$10:$L$10-($D$9:$L$9+INT(($S$12:$AA$12+INDEX($AJ$13:$AR$162,BN5391,0)+INDEX($AT$13:$BB$162,BO5391,0)+INDEX($BD$13:$BL$162,BP5391,0))/100)))),0)</f>
        <v/>
      </c>
      <c r="BS5391">
        <f>IF(5378&lt;$U$9,SUMPRODUCT(($D$9:$L$9+INT(($S$12:$AA$12+INDEX($AJ$13:$AR$162,BN5391,0)+INDEX($AT$13:$BB$162,BO5391,0)+INDEX($BD$13:$BL$162,BP5391,0))/100))),0)</f>
        <v/>
      </c>
      <c r="BT5391">
        <f>IF(AND(5378&lt;$U$9,$W$5),BQ5391*1000000-MIN(BR5391,999)*1000+BS5391-5378/100000,-1000000000-5378)</f>
        <v/>
      </c>
    </row>
    <row r="5392">
      <c r="BN5392">
        <f>IF(5379&lt;$U$9,INT(5379/($U$7*$U$8))+1,1)</f>
        <v/>
      </c>
      <c r="BO5392">
        <f>IF(5379&lt;$U$9,MOD(INT(5379/$U$8),$U$7)+1,1)</f>
        <v/>
      </c>
      <c r="BP5392">
        <f>IF(5379&lt;$U$9,MOD(5379,$U$8)+1,1)</f>
        <v/>
      </c>
      <c r="BQ5392">
        <f>IF(5379&lt;$U$9,SUMPRODUCT(($D$10:$L$10&lt;&gt;"")*(($D$9:$L$9+INT(($S$12:$AA$12+INDEX($AJ$13:$AR$162,BN5392,0)+INDEX($AT$13:$BB$162,BO5392,0)+INDEX($BD$13:$BL$162,BP5392,0))/100))&gt;=$D$10:$L$10)),0)</f>
        <v/>
      </c>
      <c r="BR5392">
        <f>IF(5379&lt;$U$9,SUMPRODUCT(($D$10:$L$10&lt;&gt;"")*(($D$10:$L$10-($D$9:$L$9+INT(($S$12:$AA$12+INDEX($AJ$13:$AR$162,BN5392,0)+INDEX($AT$13:$BB$162,BO5392,0)+INDEX($BD$13:$BL$162,BP5392,0))/100)))&gt;0)*($D$10:$L$10-($D$9:$L$9+INT(($S$12:$AA$12+INDEX($AJ$13:$AR$162,BN5392,0)+INDEX($AT$13:$BB$162,BO5392,0)+INDEX($BD$13:$BL$162,BP5392,0))/100)))),0)</f>
        <v/>
      </c>
      <c r="BS5392">
        <f>IF(5379&lt;$U$9,SUMPRODUCT(($D$9:$L$9+INT(($S$12:$AA$12+INDEX($AJ$13:$AR$162,BN5392,0)+INDEX($AT$13:$BB$162,BO5392,0)+INDEX($BD$13:$BL$162,BP5392,0))/100))),0)</f>
        <v/>
      </c>
      <c r="BT5392">
        <f>IF(AND(5379&lt;$U$9,$W$5),BQ5392*1000000-MIN(BR5392,999)*1000+BS5392-5379/100000,-1000000000-5379)</f>
        <v/>
      </c>
    </row>
    <row r="5393">
      <c r="BN5393">
        <f>IF(5380&lt;$U$9,INT(5380/($U$7*$U$8))+1,1)</f>
        <v/>
      </c>
      <c r="BO5393">
        <f>IF(5380&lt;$U$9,MOD(INT(5380/$U$8),$U$7)+1,1)</f>
        <v/>
      </c>
      <c r="BP5393">
        <f>IF(5380&lt;$U$9,MOD(5380,$U$8)+1,1)</f>
        <v/>
      </c>
      <c r="BQ5393">
        <f>IF(5380&lt;$U$9,SUMPRODUCT(($D$10:$L$10&lt;&gt;"")*(($D$9:$L$9+INT(($S$12:$AA$12+INDEX($AJ$13:$AR$162,BN5393,0)+INDEX($AT$13:$BB$162,BO5393,0)+INDEX($BD$13:$BL$162,BP5393,0))/100))&gt;=$D$10:$L$10)),0)</f>
        <v/>
      </c>
      <c r="BR5393">
        <f>IF(5380&lt;$U$9,SUMPRODUCT(($D$10:$L$10&lt;&gt;"")*(($D$10:$L$10-($D$9:$L$9+INT(($S$12:$AA$12+INDEX($AJ$13:$AR$162,BN5393,0)+INDEX($AT$13:$BB$162,BO5393,0)+INDEX($BD$13:$BL$162,BP5393,0))/100)))&gt;0)*($D$10:$L$10-($D$9:$L$9+INT(($S$12:$AA$12+INDEX($AJ$13:$AR$162,BN5393,0)+INDEX($AT$13:$BB$162,BO5393,0)+INDEX($BD$13:$BL$162,BP5393,0))/100)))),0)</f>
        <v/>
      </c>
      <c r="BS5393">
        <f>IF(5380&lt;$U$9,SUMPRODUCT(($D$9:$L$9+INT(($S$12:$AA$12+INDEX($AJ$13:$AR$162,BN5393,0)+INDEX($AT$13:$BB$162,BO5393,0)+INDEX($BD$13:$BL$162,BP5393,0))/100))),0)</f>
        <v/>
      </c>
      <c r="BT5393">
        <f>IF(AND(5380&lt;$U$9,$W$5),BQ5393*1000000-MIN(BR5393,999)*1000+BS5393-5380/100000,-1000000000-5380)</f>
        <v/>
      </c>
    </row>
    <row r="5394">
      <c r="BN5394">
        <f>IF(5381&lt;$U$9,INT(5381/($U$7*$U$8))+1,1)</f>
        <v/>
      </c>
      <c r="BO5394">
        <f>IF(5381&lt;$U$9,MOD(INT(5381/$U$8),$U$7)+1,1)</f>
        <v/>
      </c>
      <c r="BP5394">
        <f>IF(5381&lt;$U$9,MOD(5381,$U$8)+1,1)</f>
        <v/>
      </c>
      <c r="BQ5394">
        <f>IF(5381&lt;$U$9,SUMPRODUCT(($D$10:$L$10&lt;&gt;"")*(($D$9:$L$9+INT(($S$12:$AA$12+INDEX($AJ$13:$AR$162,BN5394,0)+INDEX($AT$13:$BB$162,BO5394,0)+INDEX($BD$13:$BL$162,BP5394,0))/100))&gt;=$D$10:$L$10)),0)</f>
        <v/>
      </c>
      <c r="BR5394">
        <f>IF(5381&lt;$U$9,SUMPRODUCT(($D$10:$L$10&lt;&gt;"")*(($D$10:$L$10-($D$9:$L$9+INT(($S$12:$AA$12+INDEX($AJ$13:$AR$162,BN5394,0)+INDEX($AT$13:$BB$162,BO5394,0)+INDEX($BD$13:$BL$162,BP5394,0))/100)))&gt;0)*($D$10:$L$10-($D$9:$L$9+INT(($S$12:$AA$12+INDEX($AJ$13:$AR$162,BN5394,0)+INDEX($AT$13:$BB$162,BO5394,0)+INDEX($BD$13:$BL$162,BP5394,0))/100)))),0)</f>
        <v/>
      </c>
      <c r="BS5394">
        <f>IF(5381&lt;$U$9,SUMPRODUCT(($D$9:$L$9+INT(($S$12:$AA$12+INDEX($AJ$13:$AR$162,BN5394,0)+INDEX($AT$13:$BB$162,BO5394,0)+INDEX($BD$13:$BL$162,BP5394,0))/100))),0)</f>
        <v/>
      </c>
      <c r="BT5394">
        <f>IF(AND(5381&lt;$U$9,$W$5),BQ5394*1000000-MIN(BR5394,999)*1000+BS5394-5381/100000,-1000000000-5381)</f>
        <v/>
      </c>
    </row>
    <row r="5395">
      <c r="BN5395">
        <f>IF(5382&lt;$U$9,INT(5382/($U$7*$U$8))+1,1)</f>
        <v/>
      </c>
      <c r="BO5395">
        <f>IF(5382&lt;$U$9,MOD(INT(5382/$U$8),$U$7)+1,1)</f>
        <v/>
      </c>
      <c r="BP5395">
        <f>IF(5382&lt;$U$9,MOD(5382,$U$8)+1,1)</f>
        <v/>
      </c>
      <c r="BQ5395">
        <f>IF(5382&lt;$U$9,SUMPRODUCT(($D$10:$L$10&lt;&gt;"")*(($D$9:$L$9+INT(($S$12:$AA$12+INDEX($AJ$13:$AR$162,BN5395,0)+INDEX($AT$13:$BB$162,BO5395,0)+INDEX($BD$13:$BL$162,BP5395,0))/100))&gt;=$D$10:$L$10)),0)</f>
        <v/>
      </c>
      <c r="BR5395">
        <f>IF(5382&lt;$U$9,SUMPRODUCT(($D$10:$L$10&lt;&gt;"")*(($D$10:$L$10-($D$9:$L$9+INT(($S$12:$AA$12+INDEX($AJ$13:$AR$162,BN5395,0)+INDEX($AT$13:$BB$162,BO5395,0)+INDEX($BD$13:$BL$162,BP5395,0))/100)))&gt;0)*($D$10:$L$10-($D$9:$L$9+INT(($S$12:$AA$12+INDEX($AJ$13:$AR$162,BN5395,0)+INDEX($AT$13:$BB$162,BO5395,0)+INDEX($BD$13:$BL$162,BP5395,0))/100)))),0)</f>
        <v/>
      </c>
      <c r="BS5395">
        <f>IF(5382&lt;$U$9,SUMPRODUCT(($D$9:$L$9+INT(($S$12:$AA$12+INDEX($AJ$13:$AR$162,BN5395,0)+INDEX($AT$13:$BB$162,BO5395,0)+INDEX($BD$13:$BL$162,BP5395,0))/100))),0)</f>
        <v/>
      </c>
      <c r="BT5395">
        <f>IF(AND(5382&lt;$U$9,$W$5),BQ5395*1000000-MIN(BR5395,999)*1000+BS5395-5382/100000,-1000000000-5382)</f>
        <v/>
      </c>
    </row>
    <row r="5396">
      <c r="BN5396">
        <f>IF(5383&lt;$U$9,INT(5383/($U$7*$U$8))+1,1)</f>
        <v/>
      </c>
      <c r="BO5396">
        <f>IF(5383&lt;$U$9,MOD(INT(5383/$U$8),$U$7)+1,1)</f>
        <v/>
      </c>
      <c r="BP5396">
        <f>IF(5383&lt;$U$9,MOD(5383,$U$8)+1,1)</f>
        <v/>
      </c>
      <c r="BQ5396">
        <f>IF(5383&lt;$U$9,SUMPRODUCT(($D$10:$L$10&lt;&gt;"")*(($D$9:$L$9+INT(($S$12:$AA$12+INDEX($AJ$13:$AR$162,BN5396,0)+INDEX($AT$13:$BB$162,BO5396,0)+INDEX($BD$13:$BL$162,BP5396,0))/100))&gt;=$D$10:$L$10)),0)</f>
        <v/>
      </c>
      <c r="BR5396">
        <f>IF(5383&lt;$U$9,SUMPRODUCT(($D$10:$L$10&lt;&gt;"")*(($D$10:$L$10-($D$9:$L$9+INT(($S$12:$AA$12+INDEX($AJ$13:$AR$162,BN5396,0)+INDEX($AT$13:$BB$162,BO5396,0)+INDEX($BD$13:$BL$162,BP5396,0))/100)))&gt;0)*($D$10:$L$10-($D$9:$L$9+INT(($S$12:$AA$12+INDEX($AJ$13:$AR$162,BN5396,0)+INDEX($AT$13:$BB$162,BO5396,0)+INDEX($BD$13:$BL$162,BP5396,0))/100)))),0)</f>
        <v/>
      </c>
      <c r="BS5396">
        <f>IF(5383&lt;$U$9,SUMPRODUCT(($D$9:$L$9+INT(($S$12:$AA$12+INDEX($AJ$13:$AR$162,BN5396,0)+INDEX($AT$13:$BB$162,BO5396,0)+INDEX($BD$13:$BL$162,BP5396,0))/100))),0)</f>
        <v/>
      </c>
      <c r="BT5396">
        <f>IF(AND(5383&lt;$U$9,$W$5),BQ5396*1000000-MIN(BR5396,999)*1000+BS5396-5383/100000,-1000000000-5383)</f>
        <v/>
      </c>
    </row>
    <row r="5397">
      <c r="BN5397">
        <f>IF(5384&lt;$U$9,INT(5384/($U$7*$U$8))+1,1)</f>
        <v/>
      </c>
      <c r="BO5397">
        <f>IF(5384&lt;$U$9,MOD(INT(5384/$U$8),$U$7)+1,1)</f>
        <v/>
      </c>
      <c r="BP5397">
        <f>IF(5384&lt;$U$9,MOD(5384,$U$8)+1,1)</f>
        <v/>
      </c>
      <c r="BQ5397">
        <f>IF(5384&lt;$U$9,SUMPRODUCT(($D$10:$L$10&lt;&gt;"")*(($D$9:$L$9+INT(($S$12:$AA$12+INDEX($AJ$13:$AR$162,BN5397,0)+INDEX($AT$13:$BB$162,BO5397,0)+INDEX($BD$13:$BL$162,BP5397,0))/100))&gt;=$D$10:$L$10)),0)</f>
        <v/>
      </c>
      <c r="BR5397">
        <f>IF(5384&lt;$U$9,SUMPRODUCT(($D$10:$L$10&lt;&gt;"")*(($D$10:$L$10-($D$9:$L$9+INT(($S$12:$AA$12+INDEX($AJ$13:$AR$162,BN5397,0)+INDEX($AT$13:$BB$162,BO5397,0)+INDEX($BD$13:$BL$162,BP5397,0))/100)))&gt;0)*($D$10:$L$10-($D$9:$L$9+INT(($S$12:$AA$12+INDEX($AJ$13:$AR$162,BN5397,0)+INDEX($AT$13:$BB$162,BO5397,0)+INDEX($BD$13:$BL$162,BP5397,0))/100)))),0)</f>
        <v/>
      </c>
      <c r="BS5397">
        <f>IF(5384&lt;$U$9,SUMPRODUCT(($D$9:$L$9+INT(($S$12:$AA$12+INDEX($AJ$13:$AR$162,BN5397,0)+INDEX($AT$13:$BB$162,BO5397,0)+INDEX($BD$13:$BL$162,BP5397,0))/100))),0)</f>
        <v/>
      </c>
      <c r="BT5397">
        <f>IF(AND(5384&lt;$U$9,$W$5),BQ5397*1000000-MIN(BR5397,999)*1000+BS5397-5384/100000,-1000000000-5384)</f>
        <v/>
      </c>
    </row>
    <row r="5398">
      <c r="BN5398">
        <f>IF(5385&lt;$U$9,INT(5385/($U$7*$U$8))+1,1)</f>
        <v/>
      </c>
      <c r="BO5398">
        <f>IF(5385&lt;$U$9,MOD(INT(5385/$U$8),$U$7)+1,1)</f>
        <v/>
      </c>
      <c r="BP5398">
        <f>IF(5385&lt;$U$9,MOD(5385,$U$8)+1,1)</f>
        <v/>
      </c>
      <c r="BQ5398">
        <f>IF(5385&lt;$U$9,SUMPRODUCT(($D$10:$L$10&lt;&gt;"")*(($D$9:$L$9+INT(($S$12:$AA$12+INDEX($AJ$13:$AR$162,BN5398,0)+INDEX($AT$13:$BB$162,BO5398,0)+INDEX($BD$13:$BL$162,BP5398,0))/100))&gt;=$D$10:$L$10)),0)</f>
        <v/>
      </c>
      <c r="BR5398">
        <f>IF(5385&lt;$U$9,SUMPRODUCT(($D$10:$L$10&lt;&gt;"")*(($D$10:$L$10-($D$9:$L$9+INT(($S$12:$AA$12+INDEX($AJ$13:$AR$162,BN5398,0)+INDEX($AT$13:$BB$162,BO5398,0)+INDEX($BD$13:$BL$162,BP5398,0))/100)))&gt;0)*($D$10:$L$10-($D$9:$L$9+INT(($S$12:$AA$12+INDEX($AJ$13:$AR$162,BN5398,0)+INDEX($AT$13:$BB$162,BO5398,0)+INDEX($BD$13:$BL$162,BP5398,0))/100)))),0)</f>
        <v/>
      </c>
      <c r="BS5398">
        <f>IF(5385&lt;$U$9,SUMPRODUCT(($D$9:$L$9+INT(($S$12:$AA$12+INDEX($AJ$13:$AR$162,BN5398,0)+INDEX($AT$13:$BB$162,BO5398,0)+INDEX($BD$13:$BL$162,BP5398,0))/100))),0)</f>
        <v/>
      </c>
      <c r="BT5398">
        <f>IF(AND(5385&lt;$U$9,$W$5),BQ5398*1000000-MIN(BR5398,999)*1000+BS5398-5385/100000,-1000000000-5385)</f>
        <v/>
      </c>
    </row>
    <row r="5399">
      <c r="BN5399">
        <f>IF(5386&lt;$U$9,INT(5386/($U$7*$U$8))+1,1)</f>
        <v/>
      </c>
      <c r="BO5399">
        <f>IF(5386&lt;$U$9,MOD(INT(5386/$U$8),$U$7)+1,1)</f>
        <v/>
      </c>
      <c r="BP5399">
        <f>IF(5386&lt;$U$9,MOD(5386,$U$8)+1,1)</f>
        <v/>
      </c>
      <c r="BQ5399">
        <f>IF(5386&lt;$U$9,SUMPRODUCT(($D$10:$L$10&lt;&gt;"")*(($D$9:$L$9+INT(($S$12:$AA$12+INDEX($AJ$13:$AR$162,BN5399,0)+INDEX($AT$13:$BB$162,BO5399,0)+INDEX($BD$13:$BL$162,BP5399,0))/100))&gt;=$D$10:$L$10)),0)</f>
        <v/>
      </c>
      <c r="BR5399">
        <f>IF(5386&lt;$U$9,SUMPRODUCT(($D$10:$L$10&lt;&gt;"")*(($D$10:$L$10-($D$9:$L$9+INT(($S$12:$AA$12+INDEX($AJ$13:$AR$162,BN5399,0)+INDEX($AT$13:$BB$162,BO5399,0)+INDEX($BD$13:$BL$162,BP5399,0))/100)))&gt;0)*($D$10:$L$10-($D$9:$L$9+INT(($S$12:$AA$12+INDEX($AJ$13:$AR$162,BN5399,0)+INDEX($AT$13:$BB$162,BO5399,0)+INDEX($BD$13:$BL$162,BP5399,0))/100)))),0)</f>
        <v/>
      </c>
      <c r="BS5399">
        <f>IF(5386&lt;$U$9,SUMPRODUCT(($D$9:$L$9+INT(($S$12:$AA$12+INDEX($AJ$13:$AR$162,BN5399,0)+INDEX($AT$13:$BB$162,BO5399,0)+INDEX($BD$13:$BL$162,BP5399,0))/100))),0)</f>
        <v/>
      </c>
      <c r="BT5399">
        <f>IF(AND(5386&lt;$U$9,$W$5),BQ5399*1000000-MIN(BR5399,999)*1000+BS5399-5386/100000,-1000000000-5386)</f>
        <v/>
      </c>
    </row>
    <row r="5400">
      <c r="BN5400">
        <f>IF(5387&lt;$U$9,INT(5387/($U$7*$U$8))+1,1)</f>
        <v/>
      </c>
      <c r="BO5400">
        <f>IF(5387&lt;$U$9,MOD(INT(5387/$U$8),$U$7)+1,1)</f>
        <v/>
      </c>
      <c r="BP5400">
        <f>IF(5387&lt;$U$9,MOD(5387,$U$8)+1,1)</f>
        <v/>
      </c>
      <c r="BQ5400">
        <f>IF(5387&lt;$U$9,SUMPRODUCT(($D$10:$L$10&lt;&gt;"")*(($D$9:$L$9+INT(($S$12:$AA$12+INDEX($AJ$13:$AR$162,BN5400,0)+INDEX($AT$13:$BB$162,BO5400,0)+INDEX($BD$13:$BL$162,BP5400,0))/100))&gt;=$D$10:$L$10)),0)</f>
        <v/>
      </c>
      <c r="BR5400">
        <f>IF(5387&lt;$U$9,SUMPRODUCT(($D$10:$L$10&lt;&gt;"")*(($D$10:$L$10-($D$9:$L$9+INT(($S$12:$AA$12+INDEX($AJ$13:$AR$162,BN5400,0)+INDEX($AT$13:$BB$162,BO5400,0)+INDEX($BD$13:$BL$162,BP5400,0))/100)))&gt;0)*($D$10:$L$10-($D$9:$L$9+INT(($S$12:$AA$12+INDEX($AJ$13:$AR$162,BN5400,0)+INDEX($AT$13:$BB$162,BO5400,0)+INDEX($BD$13:$BL$162,BP5400,0))/100)))),0)</f>
        <v/>
      </c>
      <c r="BS5400">
        <f>IF(5387&lt;$U$9,SUMPRODUCT(($D$9:$L$9+INT(($S$12:$AA$12+INDEX($AJ$13:$AR$162,BN5400,0)+INDEX($AT$13:$BB$162,BO5400,0)+INDEX($BD$13:$BL$162,BP5400,0))/100))),0)</f>
        <v/>
      </c>
      <c r="BT5400">
        <f>IF(AND(5387&lt;$U$9,$W$5),BQ5400*1000000-MIN(BR5400,999)*1000+BS5400-5387/100000,-1000000000-5387)</f>
        <v/>
      </c>
    </row>
    <row r="5401">
      <c r="BN5401">
        <f>IF(5388&lt;$U$9,INT(5388/($U$7*$U$8))+1,1)</f>
        <v/>
      </c>
      <c r="BO5401">
        <f>IF(5388&lt;$U$9,MOD(INT(5388/$U$8),$U$7)+1,1)</f>
        <v/>
      </c>
      <c r="BP5401">
        <f>IF(5388&lt;$U$9,MOD(5388,$U$8)+1,1)</f>
        <v/>
      </c>
      <c r="BQ5401">
        <f>IF(5388&lt;$U$9,SUMPRODUCT(($D$10:$L$10&lt;&gt;"")*(($D$9:$L$9+INT(($S$12:$AA$12+INDEX($AJ$13:$AR$162,BN5401,0)+INDEX($AT$13:$BB$162,BO5401,0)+INDEX($BD$13:$BL$162,BP5401,0))/100))&gt;=$D$10:$L$10)),0)</f>
        <v/>
      </c>
      <c r="BR5401">
        <f>IF(5388&lt;$U$9,SUMPRODUCT(($D$10:$L$10&lt;&gt;"")*(($D$10:$L$10-($D$9:$L$9+INT(($S$12:$AA$12+INDEX($AJ$13:$AR$162,BN5401,0)+INDEX($AT$13:$BB$162,BO5401,0)+INDEX($BD$13:$BL$162,BP5401,0))/100)))&gt;0)*($D$10:$L$10-($D$9:$L$9+INT(($S$12:$AA$12+INDEX($AJ$13:$AR$162,BN5401,0)+INDEX($AT$13:$BB$162,BO5401,0)+INDEX($BD$13:$BL$162,BP5401,0))/100)))),0)</f>
        <v/>
      </c>
      <c r="BS5401">
        <f>IF(5388&lt;$U$9,SUMPRODUCT(($D$9:$L$9+INT(($S$12:$AA$12+INDEX($AJ$13:$AR$162,BN5401,0)+INDEX($AT$13:$BB$162,BO5401,0)+INDEX($BD$13:$BL$162,BP5401,0))/100))),0)</f>
        <v/>
      </c>
      <c r="BT5401">
        <f>IF(AND(5388&lt;$U$9,$W$5),BQ5401*1000000-MIN(BR5401,999)*1000+BS5401-5388/100000,-1000000000-5388)</f>
        <v/>
      </c>
    </row>
    <row r="5402">
      <c r="BN5402">
        <f>IF(5389&lt;$U$9,INT(5389/($U$7*$U$8))+1,1)</f>
        <v/>
      </c>
      <c r="BO5402">
        <f>IF(5389&lt;$U$9,MOD(INT(5389/$U$8),$U$7)+1,1)</f>
        <v/>
      </c>
      <c r="BP5402">
        <f>IF(5389&lt;$U$9,MOD(5389,$U$8)+1,1)</f>
        <v/>
      </c>
      <c r="BQ5402">
        <f>IF(5389&lt;$U$9,SUMPRODUCT(($D$10:$L$10&lt;&gt;"")*(($D$9:$L$9+INT(($S$12:$AA$12+INDEX($AJ$13:$AR$162,BN5402,0)+INDEX($AT$13:$BB$162,BO5402,0)+INDEX($BD$13:$BL$162,BP5402,0))/100))&gt;=$D$10:$L$10)),0)</f>
        <v/>
      </c>
      <c r="BR5402">
        <f>IF(5389&lt;$U$9,SUMPRODUCT(($D$10:$L$10&lt;&gt;"")*(($D$10:$L$10-($D$9:$L$9+INT(($S$12:$AA$12+INDEX($AJ$13:$AR$162,BN5402,0)+INDEX($AT$13:$BB$162,BO5402,0)+INDEX($BD$13:$BL$162,BP5402,0))/100)))&gt;0)*($D$10:$L$10-($D$9:$L$9+INT(($S$12:$AA$12+INDEX($AJ$13:$AR$162,BN5402,0)+INDEX($AT$13:$BB$162,BO5402,0)+INDEX($BD$13:$BL$162,BP5402,0))/100)))),0)</f>
        <v/>
      </c>
      <c r="BS5402">
        <f>IF(5389&lt;$U$9,SUMPRODUCT(($D$9:$L$9+INT(($S$12:$AA$12+INDEX($AJ$13:$AR$162,BN5402,0)+INDEX($AT$13:$BB$162,BO5402,0)+INDEX($BD$13:$BL$162,BP5402,0))/100))),0)</f>
        <v/>
      </c>
      <c r="BT5402">
        <f>IF(AND(5389&lt;$U$9,$W$5),BQ5402*1000000-MIN(BR5402,999)*1000+BS5402-5389/100000,-1000000000-5389)</f>
        <v/>
      </c>
    </row>
    <row r="5403">
      <c r="BN5403">
        <f>IF(5390&lt;$U$9,INT(5390/($U$7*$U$8))+1,1)</f>
        <v/>
      </c>
      <c r="BO5403">
        <f>IF(5390&lt;$U$9,MOD(INT(5390/$U$8),$U$7)+1,1)</f>
        <v/>
      </c>
      <c r="BP5403">
        <f>IF(5390&lt;$U$9,MOD(5390,$U$8)+1,1)</f>
        <v/>
      </c>
      <c r="BQ5403">
        <f>IF(5390&lt;$U$9,SUMPRODUCT(($D$10:$L$10&lt;&gt;"")*(($D$9:$L$9+INT(($S$12:$AA$12+INDEX($AJ$13:$AR$162,BN5403,0)+INDEX($AT$13:$BB$162,BO5403,0)+INDEX($BD$13:$BL$162,BP5403,0))/100))&gt;=$D$10:$L$10)),0)</f>
        <v/>
      </c>
      <c r="BR5403">
        <f>IF(5390&lt;$U$9,SUMPRODUCT(($D$10:$L$10&lt;&gt;"")*(($D$10:$L$10-($D$9:$L$9+INT(($S$12:$AA$12+INDEX($AJ$13:$AR$162,BN5403,0)+INDEX($AT$13:$BB$162,BO5403,0)+INDEX($BD$13:$BL$162,BP5403,0))/100)))&gt;0)*($D$10:$L$10-($D$9:$L$9+INT(($S$12:$AA$12+INDEX($AJ$13:$AR$162,BN5403,0)+INDEX($AT$13:$BB$162,BO5403,0)+INDEX($BD$13:$BL$162,BP5403,0))/100)))),0)</f>
        <v/>
      </c>
      <c r="BS5403">
        <f>IF(5390&lt;$U$9,SUMPRODUCT(($D$9:$L$9+INT(($S$12:$AA$12+INDEX($AJ$13:$AR$162,BN5403,0)+INDEX($AT$13:$BB$162,BO5403,0)+INDEX($BD$13:$BL$162,BP5403,0))/100))),0)</f>
        <v/>
      </c>
      <c r="BT5403">
        <f>IF(AND(5390&lt;$U$9,$W$5),BQ5403*1000000-MIN(BR5403,999)*1000+BS5403-5390/100000,-1000000000-5390)</f>
        <v/>
      </c>
    </row>
    <row r="5404">
      <c r="BN5404">
        <f>IF(5391&lt;$U$9,INT(5391/($U$7*$U$8))+1,1)</f>
        <v/>
      </c>
      <c r="BO5404">
        <f>IF(5391&lt;$U$9,MOD(INT(5391/$U$8),$U$7)+1,1)</f>
        <v/>
      </c>
      <c r="BP5404">
        <f>IF(5391&lt;$U$9,MOD(5391,$U$8)+1,1)</f>
        <v/>
      </c>
      <c r="BQ5404">
        <f>IF(5391&lt;$U$9,SUMPRODUCT(($D$10:$L$10&lt;&gt;"")*(($D$9:$L$9+INT(($S$12:$AA$12+INDEX($AJ$13:$AR$162,BN5404,0)+INDEX($AT$13:$BB$162,BO5404,0)+INDEX($BD$13:$BL$162,BP5404,0))/100))&gt;=$D$10:$L$10)),0)</f>
        <v/>
      </c>
      <c r="BR5404">
        <f>IF(5391&lt;$U$9,SUMPRODUCT(($D$10:$L$10&lt;&gt;"")*(($D$10:$L$10-($D$9:$L$9+INT(($S$12:$AA$12+INDEX($AJ$13:$AR$162,BN5404,0)+INDEX($AT$13:$BB$162,BO5404,0)+INDEX($BD$13:$BL$162,BP5404,0))/100)))&gt;0)*($D$10:$L$10-($D$9:$L$9+INT(($S$12:$AA$12+INDEX($AJ$13:$AR$162,BN5404,0)+INDEX($AT$13:$BB$162,BO5404,0)+INDEX($BD$13:$BL$162,BP5404,0))/100)))),0)</f>
        <v/>
      </c>
      <c r="BS5404">
        <f>IF(5391&lt;$U$9,SUMPRODUCT(($D$9:$L$9+INT(($S$12:$AA$12+INDEX($AJ$13:$AR$162,BN5404,0)+INDEX($AT$13:$BB$162,BO5404,0)+INDEX($BD$13:$BL$162,BP5404,0))/100))),0)</f>
        <v/>
      </c>
      <c r="BT5404">
        <f>IF(AND(5391&lt;$U$9,$W$5),BQ5404*1000000-MIN(BR5404,999)*1000+BS5404-5391/100000,-1000000000-5391)</f>
        <v/>
      </c>
    </row>
    <row r="5405">
      <c r="BN5405">
        <f>IF(5392&lt;$U$9,INT(5392/($U$7*$U$8))+1,1)</f>
        <v/>
      </c>
      <c r="BO5405">
        <f>IF(5392&lt;$U$9,MOD(INT(5392/$U$8),$U$7)+1,1)</f>
        <v/>
      </c>
      <c r="BP5405">
        <f>IF(5392&lt;$U$9,MOD(5392,$U$8)+1,1)</f>
        <v/>
      </c>
      <c r="BQ5405">
        <f>IF(5392&lt;$U$9,SUMPRODUCT(($D$10:$L$10&lt;&gt;"")*(($D$9:$L$9+INT(($S$12:$AA$12+INDEX($AJ$13:$AR$162,BN5405,0)+INDEX($AT$13:$BB$162,BO5405,0)+INDEX($BD$13:$BL$162,BP5405,0))/100))&gt;=$D$10:$L$10)),0)</f>
        <v/>
      </c>
      <c r="BR5405">
        <f>IF(5392&lt;$U$9,SUMPRODUCT(($D$10:$L$10&lt;&gt;"")*(($D$10:$L$10-($D$9:$L$9+INT(($S$12:$AA$12+INDEX($AJ$13:$AR$162,BN5405,0)+INDEX($AT$13:$BB$162,BO5405,0)+INDEX($BD$13:$BL$162,BP5405,0))/100)))&gt;0)*($D$10:$L$10-($D$9:$L$9+INT(($S$12:$AA$12+INDEX($AJ$13:$AR$162,BN5405,0)+INDEX($AT$13:$BB$162,BO5405,0)+INDEX($BD$13:$BL$162,BP5405,0))/100)))),0)</f>
        <v/>
      </c>
      <c r="BS5405">
        <f>IF(5392&lt;$U$9,SUMPRODUCT(($D$9:$L$9+INT(($S$12:$AA$12+INDEX($AJ$13:$AR$162,BN5405,0)+INDEX($AT$13:$BB$162,BO5405,0)+INDEX($BD$13:$BL$162,BP5405,0))/100))),0)</f>
        <v/>
      </c>
      <c r="BT5405">
        <f>IF(AND(5392&lt;$U$9,$W$5),BQ5405*1000000-MIN(BR5405,999)*1000+BS5405-5392/100000,-1000000000-5392)</f>
        <v/>
      </c>
    </row>
    <row r="5406">
      <c r="BN5406">
        <f>IF(5393&lt;$U$9,INT(5393/($U$7*$U$8))+1,1)</f>
        <v/>
      </c>
      <c r="BO5406">
        <f>IF(5393&lt;$U$9,MOD(INT(5393/$U$8),$U$7)+1,1)</f>
        <v/>
      </c>
      <c r="BP5406">
        <f>IF(5393&lt;$U$9,MOD(5393,$U$8)+1,1)</f>
        <v/>
      </c>
      <c r="BQ5406">
        <f>IF(5393&lt;$U$9,SUMPRODUCT(($D$10:$L$10&lt;&gt;"")*(($D$9:$L$9+INT(($S$12:$AA$12+INDEX($AJ$13:$AR$162,BN5406,0)+INDEX($AT$13:$BB$162,BO5406,0)+INDEX($BD$13:$BL$162,BP5406,0))/100))&gt;=$D$10:$L$10)),0)</f>
        <v/>
      </c>
      <c r="BR5406">
        <f>IF(5393&lt;$U$9,SUMPRODUCT(($D$10:$L$10&lt;&gt;"")*(($D$10:$L$10-($D$9:$L$9+INT(($S$12:$AA$12+INDEX($AJ$13:$AR$162,BN5406,0)+INDEX($AT$13:$BB$162,BO5406,0)+INDEX($BD$13:$BL$162,BP5406,0))/100)))&gt;0)*($D$10:$L$10-($D$9:$L$9+INT(($S$12:$AA$12+INDEX($AJ$13:$AR$162,BN5406,0)+INDEX($AT$13:$BB$162,BO5406,0)+INDEX($BD$13:$BL$162,BP5406,0))/100)))),0)</f>
        <v/>
      </c>
      <c r="BS5406">
        <f>IF(5393&lt;$U$9,SUMPRODUCT(($D$9:$L$9+INT(($S$12:$AA$12+INDEX($AJ$13:$AR$162,BN5406,0)+INDEX($AT$13:$BB$162,BO5406,0)+INDEX($BD$13:$BL$162,BP5406,0))/100))),0)</f>
        <v/>
      </c>
      <c r="BT5406">
        <f>IF(AND(5393&lt;$U$9,$W$5),BQ5406*1000000-MIN(BR5406,999)*1000+BS5406-5393/100000,-1000000000-5393)</f>
        <v/>
      </c>
    </row>
    <row r="5407">
      <c r="BN5407">
        <f>IF(5394&lt;$U$9,INT(5394/($U$7*$U$8))+1,1)</f>
        <v/>
      </c>
      <c r="BO5407">
        <f>IF(5394&lt;$U$9,MOD(INT(5394/$U$8),$U$7)+1,1)</f>
        <v/>
      </c>
      <c r="BP5407">
        <f>IF(5394&lt;$U$9,MOD(5394,$U$8)+1,1)</f>
        <v/>
      </c>
      <c r="BQ5407">
        <f>IF(5394&lt;$U$9,SUMPRODUCT(($D$10:$L$10&lt;&gt;"")*(($D$9:$L$9+INT(($S$12:$AA$12+INDEX($AJ$13:$AR$162,BN5407,0)+INDEX($AT$13:$BB$162,BO5407,0)+INDEX($BD$13:$BL$162,BP5407,0))/100))&gt;=$D$10:$L$10)),0)</f>
        <v/>
      </c>
      <c r="BR5407">
        <f>IF(5394&lt;$U$9,SUMPRODUCT(($D$10:$L$10&lt;&gt;"")*(($D$10:$L$10-($D$9:$L$9+INT(($S$12:$AA$12+INDEX($AJ$13:$AR$162,BN5407,0)+INDEX($AT$13:$BB$162,BO5407,0)+INDEX($BD$13:$BL$162,BP5407,0))/100)))&gt;0)*($D$10:$L$10-($D$9:$L$9+INT(($S$12:$AA$12+INDEX($AJ$13:$AR$162,BN5407,0)+INDEX($AT$13:$BB$162,BO5407,0)+INDEX($BD$13:$BL$162,BP5407,0))/100)))),0)</f>
        <v/>
      </c>
      <c r="BS5407">
        <f>IF(5394&lt;$U$9,SUMPRODUCT(($D$9:$L$9+INT(($S$12:$AA$12+INDEX($AJ$13:$AR$162,BN5407,0)+INDEX($AT$13:$BB$162,BO5407,0)+INDEX($BD$13:$BL$162,BP5407,0))/100))),0)</f>
        <v/>
      </c>
      <c r="BT5407">
        <f>IF(AND(5394&lt;$U$9,$W$5),BQ5407*1000000-MIN(BR5407,999)*1000+BS5407-5394/100000,-1000000000-5394)</f>
        <v/>
      </c>
    </row>
    <row r="5408">
      <c r="BN5408">
        <f>IF(5395&lt;$U$9,INT(5395/($U$7*$U$8))+1,1)</f>
        <v/>
      </c>
      <c r="BO5408">
        <f>IF(5395&lt;$U$9,MOD(INT(5395/$U$8),$U$7)+1,1)</f>
        <v/>
      </c>
      <c r="BP5408">
        <f>IF(5395&lt;$U$9,MOD(5395,$U$8)+1,1)</f>
        <v/>
      </c>
      <c r="BQ5408">
        <f>IF(5395&lt;$U$9,SUMPRODUCT(($D$10:$L$10&lt;&gt;"")*(($D$9:$L$9+INT(($S$12:$AA$12+INDEX($AJ$13:$AR$162,BN5408,0)+INDEX($AT$13:$BB$162,BO5408,0)+INDEX($BD$13:$BL$162,BP5408,0))/100))&gt;=$D$10:$L$10)),0)</f>
        <v/>
      </c>
      <c r="BR5408">
        <f>IF(5395&lt;$U$9,SUMPRODUCT(($D$10:$L$10&lt;&gt;"")*(($D$10:$L$10-($D$9:$L$9+INT(($S$12:$AA$12+INDEX($AJ$13:$AR$162,BN5408,0)+INDEX($AT$13:$BB$162,BO5408,0)+INDEX($BD$13:$BL$162,BP5408,0))/100)))&gt;0)*($D$10:$L$10-($D$9:$L$9+INT(($S$12:$AA$12+INDEX($AJ$13:$AR$162,BN5408,0)+INDEX($AT$13:$BB$162,BO5408,0)+INDEX($BD$13:$BL$162,BP5408,0))/100)))),0)</f>
        <v/>
      </c>
      <c r="BS5408">
        <f>IF(5395&lt;$U$9,SUMPRODUCT(($D$9:$L$9+INT(($S$12:$AA$12+INDEX($AJ$13:$AR$162,BN5408,0)+INDEX($AT$13:$BB$162,BO5408,0)+INDEX($BD$13:$BL$162,BP5408,0))/100))),0)</f>
        <v/>
      </c>
      <c r="BT5408">
        <f>IF(AND(5395&lt;$U$9,$W$5),BQ5408*1000000-MIN(BR5408,999)*1000+BS5408-5395/100000,-1000000000-5395)</f>
        <v/>
      </c>
    </row>
    <row r="5409">
      <c r="BN5409">
        <f>IF(5396&lt;$U$9,INT(5396/($U$7*$U$8))+1,1)</f>
        <v/>
      </c>
      <c r="BO5409">
        <f>IF(5396&lt;$U$9,MOD(INT(5396/$U$8),$U$7)+1,1)</f>
        <v/>
      </c>
      <c r="BP5409">
        <f>IF(5396&lt;$U$9,MOD(5396,$U$8)+1,1)</f>
        <v/>
      </c>
      <c r="BQ5409">
        <f>IF(5396&lt;$U$9,SUMPRODUCT(($D$10:$L$10&lt;&gt;"")*(($D$9:$L$9+INT(($S$12:$AA$12+INDEX($AJ$13:$AR$162,BN5409,0)+INDEX($AT$13:$BB$162,BO5409,0)+INDEX($BD$13:$BL$162,BP5409,0))/100))&gt;=$D$10:$L$10)),0)</f>
        <v/>
      </c>
      <c r="BR5409">
        <f>IF(5396&lt;$U$9,SUMPRODUCT(($D$10:$L$10&lt;&gt;"")*(($D$10:$L$10-($D$9:$L$9+INT(($S$12:$AA$12+INDEX($AJ$13:$AR$162,BN5409,0)+INDEX($AT$13:$BB$162,BO5409,0)+INDEX($BD$13:$BL$162,BP5409,0))/100)))&gt;0)*($D$10:$L$10-($D$9:$L$9+INT(($S$12:$AA$12+INDEX($AJ$13:$AR$162,BN5409,0)+INDEX($AT$13:$BB$162,BO5409,0)+INDEX($BD$13:$BL$162,BP5409,0))/100)))),0)</f>
        <v/>
      </c>
      <c r="BS5409">
        <f>IF(5396&lt;$U$9,SUMPRODUCT(($D$9:$L$9+INT(($S$12:$AA$12+INDEX($AJ$13:$AR$162,BN5409,0)+INDEX($AT$13:$BB$162,BO5409,0)+INDEX($BD$13:$BL$162,BP5409,0))/100))),0)</f>
        <v/>
      </c>
      <c r="BT5409">
        <f>IF(AND(5396&lt;$U$9,$W$5),BQ5409*1000000-MIN(BR5409,999)*1000+BS5409-5396/100000,-1000000000-5396)</f>
        <v/>
      </c>
    </row>
    <row r="5410">
      <c r="BN5410">
        <f>IF(5397&lt;$U$9,INT(5397/($U$7*$U$8))+1,1)</f>
        <v/>
      </c>
      <c r="BO5410">
        <f>IF(5397&lt;$U$9,MOD(INT(5397/$U$8),$U$7)+1,1)</f>
        <v/>
      </c>
      <c r="BP5410">
        <f>IF(5397&lt;$U$9,MOD(5397,$U$8)+1,1)</f>
        <v/>
      </c>
      <c r="BQ5410">
        <f>IF(5397&lt;$U$9,SUMPRODUCT(($D$10:$L$10&lt;&gt;"")*(($D$9:$L$9+INT(($S$12:$AA$12+INDEX($AJ$13:$AR$162,BN5410,0)+INDEX($AT$13:$BB$162,BO5410,0)+INDEX($BD$13:$BL$162,BP5410,0))/100))&gt;=$D$10:$L$10)),0)</f>
        <v/>
      </c>
      <c r="BR5410">
        <f>IF(5397&lt;$U$9,SUMPRODUCT(($D$10:$L$10&lt;&gt;"")*(($D$10:$L$10-($D$9:$L$9+INT(($S$12:$AA$12+INDEX($AJ$13:$AR$162,BN5410,0)+INDEX($AT$13:$BB$162,BO5410,0)+INDEX($BD$13:$BL$162,BP5410,0))/100)))&gt;0)*($D$10:$L$10-($D$9:$L$9+INT(($S$12:$AA$12+INDEX($AJ$13:$AR$162,BN5410,0)+INDEX($AT$13:$BB$162,BO5410,0)+INDEX($BD$13:$BL$162,BP5410,0))/100)))),0)</f>
        <v/>
      </c>
      <c r="BS5410">
        <f>IF(5397&lt;$U$9,SUMPRODUCT(($D$9:$L$9+INT(($S$12:$AA$12+INDEX($AJ$13:$AR$162,BN5410,0)+INDEX($AT$13:$BB$162,BO5410,0)+INDEX($BD$13:$BL$162,BP5410,0))/100))),0)</f>
        <v/>
      </c>
      <c r="BT5410">
        <f>IF(AND(5397&lt;$U$9,$W$5),BQ5410*1000000-MIN(BR5410,999)*1000+BS5410-5397/100000,-1000000000-5397)</f>
        <v/>
      </c>
    </row>
    <row r="5411">
      <c r="BN5411">
        <f>IF(5398&lt;$U$9,INT(5398/($U$7*$U$8))+1,1)</f>
        <v/>
      </c>
      <c r="BO5411">
        <f>IF(5398&lt;$U$9,MOD(INT(5398/$U$8),$U$7)+1,1)</f>
        <v/>
      </c>
      <c r="BP5411">
        <f>IF(5398&lt;$U$9,MOD(5398,$U$8)+1,1)</f>
        <v/>
      </c>
      <c r="BQ5411">
        <f>IF(5398&lt;$U$9,SUMPRODUCT(($D$10:$L$10&lt;&gt;"")*(($D$9:$L$9+INT(($S$12:$AA$12+INDEX($AJ$13:$AR$162,BN5411,0)+INDEX($AT$13:$BB$162,BO5411,0)+INDEX($BD$13:$BL$162,BP5411,0))/100))&gt;=$D$10:$L$10)),0)</f>
        <v/>
      </c>
      <c r="BR5411">
        <f>IF(5398&lt;$U$9,SUMPRODUCT(($D$10:$L$10&lt;&gt;"")*(($D$10:$L$10-($D$9:$L$9+INT(($S$12:$AA$12+INDEX($AJ$13:$AR$162,BN5411,0)+INDEX($AT$13:$BB$162,BO5411,0)+INDEX($BD$13:$BL$162,BP5411,0))/100)))&gt;0)*($D$10:$L$10-($D$9:$L$9+INT(($S$12:$AA$12+INDEX($AJ$13:$AR$162,BN5411,0)+INDEX($AT$13:$BB$162,BO5411,0)+INDEX($BD$13:$BL$162,BP5411,0))/100)))),0)</f>
        <v/>
      </c>
      <c r="BS5411">
        <f>IF(5398&lt;$U$9,SUMPRODUCT(($D$9:$L$9+INT(($S$12:$AA$12+INDEX($AJ$13:$AR$162,BN5411,0)+INDEX($AT$13:$BB$162,BO5411,0)+INDEX($BD$13:$BL$162,BP5411,0))/100))),0)</f>
        <v/>
      </c>
      <c r="BT5411">
        <f>IF(AND(5398&lt;$U$9,$W$5),BQ5411*1000000-MIN(BR5411,999)*1000+BS5411-5398/100000,-1000000000-5398)</f>
        <v/>
      </c>
    </row>
    <row r="5412">
      <c r="BN5412">
        <f>IF(5399&lt;$U$9,INT(5399/($U$7*$U$8))+1,1)</f>
        <v/>
      </c>
      <c r="BO5412">
        <f>IF(5399&lt;$U$9,MOD(INT(5399/$U$8),$U$7)+1,1)</f>
        <v/>
      </c>
      <c r="BP5412">
        <f>IF(5399&lt;$U$9,MOD(5399,$U$8)+1,1)</f>
        <v/>
      </c>
      <c r="BQ5412">
        <f>IF(5399&lt;$U$9,SUMPRODUCT(($D$10:$L$10&lt;&gt;"")*(($D$9:$L$9+INT(($S$12:$AA$12+INDEX($AJ$13:$AR$162,BN5412,0)+INDEX($AT$13:$BB$162,BO5412,0)+INDEX($BD$13:$BL$162,BP5412,0))/100))&gt;=$D$10:$L$10)),0)</f>
        <v/>
      </c>
      <c r="BR5412">
        <f>IF(5399&lt;$U$9,SUMPRODUCT(($D$10:$L$10&lt;&gt;"")*(($D$10:$L$10-($D$9:$L$9+INT(($S$12:$AA$12+INDEX($AJ$13:$AR$162,BN5412,0)+INDEX($AT$13:$BB$162,BO5412,0)+INDEX($BD$13:$BL$162,BP5412,0))/100)))&gt;0)*($D$10:$L$10-($D$9:$L$9+INT(($S$12:$AA$12+INDEX($AJ$13:$AR$162,BN5412,0)+INDEX($AT$13:$BB$162,BO5412,0)+INDEX($BD$13:$BL$162,BP5412,0))/100)))),0)</f>
        <v/>
      </c>
      <c r="BS5412">
        <f>IF(5399&lt;$U$9,SUMPRODUCT(($D$9:$L$9+INT(($S$12:$AA$12+INDEX($AJ$13:$AR$162,BN5412,0)+INDEX($AT$13:$BB$162,BO5412,0)+INDEX($BD$13:$BL$162,BP5412,0))/100))),0)</f>
        <v/>
      </c>
      <c r="BT5412">
        <f>IF(AND(5399&lt;$U$9,$W$5),BQ5412*1000000-MIN(BR5412,999)*1000+BS5412-5399/100000,-1000000000-5399)</f>
        <v/>
      </c>
    </row>
    <row r="5413">
      <c r="BN5413">
        <f>IF(5400&lt;$U$9,INT(5400/($U$7*$U$8))+1,1)</f>
        <v/>
      </c>
      <c r="BO5413">
        <f>IF(5400&lt;$U$9,MOD(INT(5400/$U$8),$U$7)+1,1)</f>
        <v/>
      </c>
      <c r="BP5413">
        <f>IF(5400&lt;$U$9,MOD(5400,$U$8)+1,1)</f>
        <v/>
      </c>
      <c r="BQ5413">
        <f>IF(5400&lt;$U$9,SUMPRODUCT(($D$10:$L$10&lt;&gt;"")*(($D$9:$L$9+INT(($S$12:$AA$12+INDEX($AJ$13:$AR$162,BN5413,0)+INDEX($AT$13:$BB$162,BO5413,0)+INDEX($BD$13:$BL$162,BP5413,0))/100))&gt;=$D$10:$L$10)),0)</f>
        <v/>
      </c>
      <c r="BR5413">
        <f>IF(5400&lt;$U$9,SUMPRODUCT(($D$10:$L$10&lt;&gt;"")*(($D$10:$L$10-($D$9:$L$9+INT(($S$12:$AA$12+INDEX($AJ$13:$AR$162,BN5413,0)+INDEX($AT$13:$BB$162,BO5413,0)+INDEX($BD$13:$BL$162,BP5413,0))/100)))&gt;0)*($D$10:$L$10-($D$9:$L$9+INT(($S$12:$AA$12+INDEX($AJ$13:$AR$162,BN5413,0)+INDEX($AT$13:$BB$162,BO5413,0)+INDEX($BD$13:$BL$162,BP5413,0))/100)))),0)</f>
        <v/>
      </c>
      <c r="BS5413">
        <f>IF(5400&lt;$U$9,SUMPRODUCT(($D$9:$L$9+INT(($S$12:$AA$12+INDEX($AJ$13:$AR$162,BN5413,0)+INDEX($AT$13:$BB$162,BO5413,0)+INDEX($BD$13:$BL$162,BP5413,0))/100))),0)</f>
        <v/>
      </c>
      <c r="BT5413">
        <f>IF(AND(5400&lt;$U$9,$W$5),BQ5413*1000000-MIN(BR5413,999)*1000+BS5413-5400/100000,-1000000000-5400)</f>
        <v/>
      </c>
    </row>
    <row r="5414">
      <c r="BN5414">
        <f>IF(5401&lt;$U$9,INT(5401/($U$7*$U$8))+1,1)</f>
        <v/>
      </c>
      <c r="BO5414">
        <f>IF(5401&lt;$U$9,MOD(INT(5401/$U$8),$U$7)+1,1)</f>
        <v/>
      </c>
      <c r="BP5414">
        <f>IF(5401&lt;$U$9,MOD(5401,$U$8)+1,1)</f>
        <v/>
      </c>
      <c r="BQ5414">
        <f>IF(5401&lt;$U$9,SUMPRODUCT(($D$10:$L$10&lt;&gt;"")*(($D$9:$L$9+INT(($S$12:$AA$12+INDEX($AJ$13:$AR$162,BN5414,0)+INDEX($AT$13:$BB$162,BO5414,0)+INDEX($BD$13:$BL$162,BP5414,0))/100))&gt;=$D$10:$L$10)),0)</f>
        <v/>
      </c>
      <c r="BR5414">
        <f>IF(5401&lt;$U$9,SUMPRODUCT(($D$10:$L$10&lt;&gt;"")*(($D$10:$L$10-($D$9:$L$9+INT(($S$12:$AA$12+INDEX($AJ$13:$AR$162,BN5414,0)+INDEX($AT$13:$BB$162,BO5414,0)+INDEX($BD$13:$BL$162,BP5414,0))/100)))&gt;0)*($D$10:$L$10-($D$9:$L$9+INT(($S$12:$AA$12+INDEX($AJ$13:$AR$162,BN5414,0)+INDEX($AT$13:$BB$162,BO5414,0)+INDEX($BD$13:$BL$162,BP5414,0))/100)))),0)</f>
        <v/>
      </c>
      <c r="BS5414">
        <f>IF(5401&lt;$U$9,SUMPRODUCT(($D$9:$L$9+INT(($S$12:$AA$12+INDEX($AJ$13:$AR$162,BN5414,0)+INDEX($AT$13:$BB$162,BO5414,0)+INDEX($BD$13:$BL$162,BP5414,0))/100))),0)</f>
        <v/>
      </c>
      <c r="BT5414">
        <f>IF(AND(5401&lt;$U$9,$W$5),BQ5414*1000000-MIN(BR5414,999)*1000+BS5414-5401/100000,-1000000000-5401)</f>
        <v/>
      </c>
    </row>
    <row r="5415">
      <c r="BN5415">
        <f>IF(5402&lt;$U$9,INT(5402/($U$7*$U$8))+1,1)</f>
        <v/>
      </c>
      <c r="BO5415">
        <f>IF(5402&lt;$U$9,MOD(INT(5402/$U$8),$U$7)+1,1)</f>
        <v/>
      </c>
      <c r="BP5415">
        <f>IF(5402&lt;$U$9,MOD(5402,$U$8)+1,1)</f>
        <v/>
      </c>
      <c r="BQ5415">
        <f>IF(5402&lt;$U$9,SUMPRODUCT(($D$10:$L$10&lt;&gt;"")*(($D$9:$L$9+INT(($S$12:$AA$12+INDEX($AJ$13:$AR$162,BN5415,0)+INDEX($AT$13:$BB$162,BO5415,0)+INDEX($BD$13:$BL$162,BP5415,0))/100))&gt;=$D$10:$L$10)),0)</f>
        <v/>
      </c>
      <c r="BR5415">
        <f>IF(5402&lt;$U$9,SUMPRODUCT(($D$10:$L$10&lt;&gt;"")*(($D$10:$L$10-($D$9:$L$9+INT(($S$12:$AA$12+INDEX($AJ$13:$AR$162,BN5415,0)+INDEX($AT$13:$BB$162,BO5415,0)+INDEX($BD$13:$BL$162,BP5415,0))/100)))&gt;0)*($D$10:$L$10-($D$9:$L$9+INT(($S$12:$AA$12+INDEX($AJ$13:$AR$162,BN5415,0)+INDEX($AT$13:$BB$162,BO5415,0)+INDEX($BD$13:$BL$162,BP5415,0))/100)))),0)</f>
        <v/>
      </c>
      <c r="BS5415">
        <f>IF(5402&lt;$U$9,SUMPRODUCT(($D$9:$L$9+INT(($S$12:$AA$12+INDEX($AJ$13:$AR$162,BN5415,0)+INDEX($AT$13:$BB$162,BO5415,0)+INDEX($BD$13:$BL$162,BP5415,0))/100))),0)</f>
        <v/>
      </c>
      <c r="BT5415">
        <f>IF(AND(5402&lt;$U$9,$W$5),BQ5415*1000000-MIN(BR5415,999)*1000+BS5415-5402/100000,-1000000000-5402)</f>
        <v/>
      </c>
    </row>
    <row r="5416">
      <c r="BN5416">
        <f>IF(5403&lt;$U$9,INT(5403/($U$7*$U$8))+1,1)</f>
        <v/>
      </c>
      <c r="BO5416">
        <f>IF(5403&lt;$U$9,MOD(INT(5403/$U$8),$U$7)+1,1)</f>
        <v/>
      </c>
      <c r="BP5416">
        <f>IF(5403&lt;$U$9,MOD(5403,$U$8)+1,1)</f>
        <v/>
      </c>
      <c r="BQ5416">
        <f>IF(5403&lt;$U$9,SUMPRODUCT(($D$10:$L$10&lt;&gt;"")*(($D$9:$L$9+INT(($S$12:$AA$12+INDEX($AJ$13:$AR$162,BN5416,0)+INDEX($AT$13:$BB$162,BO5416,0)+INDEX($BD$13:$BL$162,BP5416,0))/100))&gt;=$D$10:$L$10)),0)</f>
        <v/>
      </c>
      <c r="BR5416">
        <f>IF(5403&lt;$U$9,SUMPRODUCT(($D$10:$L$10&lt;&gt;"")*(($D$10:$L$10-($D$9:$L$9+INT(($S$12:$AA$12+INDEX($AJ$13:$AR$162,BN5416,0)+INDEX($AT$13:$BB$162,BO5416,0)+INDEX($BD$13:$BL$162,BP5416,0))/100)))&gt;0)*($D$10:$L$10-($D$9:$L$9+INT(($S$12:$AA$12+INDEX($AJ$13:$AR$162,BN5416,0)+INDEX($AT$13:$BB$162,BO5416,0)+INDEX($BD$13:$BL$162,BP5416,0))/100)))),0)</f>
        <v/>
      </c>
      <c r="BS5416">
        <f>IF(5403&lt;$U$9,SUMPRODUCT(($D$9:$L$9+INT(($S$12:$AA$12+INDEX($AJ$13:$AR$162,BN5416,0)+INDEX($AT$13:$BB$162,BO5416,0)+INDEX($BD$13:$BL$162,BP5416,0))/100))),0)</f>
        <v/>
      </c>
      <c r="BT5416">
        <f>IF(AND(5403&lt;$U$9,$W$5),BQ5416*1000000-MIN(BR5416,999)*1000+BS5416-5403/100000,-1000000000-5403)</f>
        <v/>
      </c>
    </row>
    <row r="5417">
      <c r="BN5417">
        <f>IF(5404&lt;$U$9,INT(5404/($U$7*$U$8))+1,1)</f>
        <v/>
      </c>
      <c r="BO5417">
        <f>IF(5404&lt;$U$9,MOD(INT(5404/$U$8),$U$7)+1,1)</f>
        <v/>
      </c>
      <c r="BP5417">
        <f>IF(5404&lt;$U$9,MOD(5404,$U$8)+1,1)</f>
        <v/>
      </c>
      <c r="BQ5417">
        <f>IF(5404&lt;$U$9,SUMPRODUCT(($D$10:$L$10&lt;&gt;"")*(($D$9:$L$9+INT(($S$12:$AA$12+INDEX($AJ$13:$AR$162,BN5417,0)+INDEX($AT$13:$BB$162,BO5417,0)+INDEX($BD$13:$BL$162,BP5417,0))/100))&gt;=$D$10:$L$10)),0)</f>
        <v/>
      </c>
      <c r="BR5417">
        <f>IF(5404&lt;$U$9,SUMPRODUCT(($D$10:$L$10&lt;&gt;"")*(($D$10:$L$10-($D$9:$L$9+INT(($S$12:$AA$12+INDEX($AJ$13:$AR$162,BN5417,0)+INDEX($AT$13:$BB$162,BO5417,0)+INDEX($BD$13:$BL$162,BP5417,0))/100)))&gt;0)*($D$10:$L$10-($D$9:$L$9+INT(($S$12:$AA$12+INDEX($AJ$13:$AR$162,BN5417,0)+INDEX($AT$13:$BB$162,BO5417,0)+INDEX($BD$13:$BL$162,BP5417,0))/100)))),0)</f>
        <v/>
      </c>
      <c r="BS5417">
        <f>IF(5404&lt;$U$9,SUMPRODUCT(($D$9:$L$9+INT(($S$12:$AA$12+INDEX($AJ$13:$AR$162,BN5417,0)+INDEX($AT$13:$BB$162,BO5417,0)+INDEX($BD$13:$BL$162,BP5417,0))/100))),0)</f>
        <v/>
      </c>
      <c r="BT5417">
        <f>IF(AND(5404&lt;$U$9,$W$5),BQ5417*1000000-MIN(BR5417,999)*1000+BS5417-5404/100000,-1000000000-5404)</f>
        <v/>
      </c>
    </row>
    <row r="5418">
      <c r="BN5418">
        <f>IF(5405&lt;$U$9,INT(5405/($U$7*$U$8))+1,1)</f>
        <v/>
      </c>
      <c r="BO5418">
        <f>IF(5405&lt;$U$9,MOD(INT(5405/$U$8),$U$7)+1,1)</f>
        <v/>
      </c>
      <c r="BP5418">
        <f>IF(5405&lt;$U$9,MOD(5405,$U$8)+1,1)</f>
        <v/>
      </c>
      <c r="BQ5418">
        <f>IF(5405&lt;$U$9,SUMPRODUCT(($D$10:$L$10&lt;&gt;"")*(($D$9:$L$9+INT(($S$12:$AA$12+INDEX($AJ$13:$AR$162,BN5418,0)+INDEX($AT$13:$BB$162,BO5418,0)+INDEX($BD$13:$BL$162,BP5418,0))/100))&gt;=$D$10:$L$10)),0)</f>
        <v/>
      </c>
      <c r="BR5418">
        <f>IF(5405&lt;$U$9,SUMPRODUCT(($D$10:$L$10&lt;&gt;"")*(($D$10:$L$10-($D$9:$L$9+INT(($S$12:$AA$12+INDEX($AJ$13:$AR$162,BN5418,0)+INDEX($AT$13:$BB$162,BO5418,0)+INDEX($BD$13:$BL$162,BP5418,0))/100)))&gt;0)*($D$10:$L$10-($D$9:$L$9+INT(($S$12:$AA$12+INDEX($AJ$13:$AR$162,BN5418,0)+INDEX($AT$13:$BB$162,BO5418,0)+INDEX($BD$13:$BL$162,BP5418,0))/100)))),0)</f>
        <v/>
      </c>
      <c r="BS5418">
        <f>IF(5405&lt;$U$9,SUMPRODUCT(($D$9:$L$9+INT(($S$12:$AA$12+INDEX($AJ$13:$AR$162,BN5418,0)+INDEX($AT$13:$BB$162,BO5418,0)+INDEX($BD$13:$BL$162,BP5418,0))/100))),0)</f>
        <v/>
      </c>
      <c r="BT5418">
        <f>IF(AND(5405&lt;$U$9,$W$5),BQ5418*1000000-MIN(BR5418,999)*1000+BS5418-5405/100000,-1000000000-5405)</f>
        <v/>
      </c>
    </row>
    <row r="5419">
      <c r="BN5419">
        <f>IF(5406&lt;$U$9,INT(5406/($U$7*$U$8))+1,1)</f>
        <v/>
      </c>
      <c r="BO5419">
        <f>IF(5406&lt;$U$9,MOD(INT(5406/$U$8),$U$7)+1,1)</f>
        <v/>
      </c>
      <c r="BP5419">
        <f>IF(5406&lt;$U$9,MOD(5406,$U$8)+1,1)</f>
        <v/>
      </c>
      <c r="BQ5419">
        <f>IF(5406&lt;$U$9,SUMPRODUCT(($D$10:$L$10&lt;&gt;"")*(($D$9:$L$9+INT(($S$12:$AA$12+INDEX($AJ$13:$AR$162,BN5419,0)+INDEX($AT$13:$BB$162,BO5419,0)+INDEX($BD$13:$BL$162,BP5419,0))/100))&gt;=$D$10:$L$10)),0)</f>
        <v/>
      </c>
      <c r="BR5419">
        <f>IF(5406&lt;$U$9,SUMPRODUCT(($D$10:$L$10&lt;&gt;"")*(($D$10:$L$10-($D$9:$L$9+INT(($S$12:$AA$12+INDEX($AJ$13:$AR$162,BN5419,0)+INDEX($AT$13:$BB$162,BO5419,0)+INDEX($BD$13:$BL$162,BP5419,0))/100)))&gt;0)*($D$10:$L$10-($D$9:$L$9+INT(($S$12:$AA$12+INDEX($AJ$13:$AR$162,BN5419,0)+INDEX($AT$13:$BB$162,BO5419,0)+INDEX($BD$13:$BL$162,BP5419,0))/100)))),0)</f>
        <v/>
      </c>
      <c r="BS5419">
        <f>IF(5406&lt;$U$9,SUMPRODUCT(($D$9:$L$9+INT(($S$12:$AA$12+INDEX($AJ$13:$AR$162,BN5419,0)+INDEX($AT$13:$BB$162,BO5419,0)+INDEX($BD$13:$BL$162,BP5419,0))/100))),0)</f>
        <v/>
      </c>
      <c r="BT5419">
        <f>IF(AND(5406&lt;$U$9,$W$5),BQ5419*1000000-MIN(BR5419,999)*1000+BS5419-5406/100000,-1000000000-5406)</f>
        <v/>
      </c>
    </row>
    <row r="5420">
      <c r="BN5420">
        <f>IF(5407&lt;$U$9,INT(5407/($U$7*$U$8))+1,1)</f>
        <v/>
      </c>
      <c r="BO5420">
        <f>IF(5407&lt;$U$9,MOD(INT(5407/$U$8),$U$7)+1,1)</f>
        <v/>
      </c>
      <c r="BP5420">
        <f>IF(5407&lt;$U$9,MOD(5407,$U$8)+1,1)</f>
        <v/>
      </c>
      <c r="BQ5420">
        <f>IF(5407&lt;$U$9,SUMPRODUCT(($D$10:$L$10&lt;&gt;"")*(($D$9:$L$9+INT(($S$12:$AA$12+INDEX($AJ$13:$AR$162,BN5420,0)+INDEX($AT$13:$BB$162,BO5420,0)+INDEX($BD$13:$BL$162,BP5420,0))/100))&gt;=$D$10:$L$10)),0)</f>
        <v/>
      </c>
      <c r="BR5420">
        <f>IF(5407&lt;$U$9,SUMPRODUCT(($D$10:$L$10&lt;&gt;"")*(($D$10:$L$10-($D$9:$L$9+INT(($S$12:$AA$12+INDEX($AJ$13:$AR$162,BN5420,0)+INDEX($AT$13:$BB$162,BO5420,0)+INDEX($BD$13:$BL$162,BP5420,0))/100)))&gt;0)*($D$10:$L$10-($D$9:$L$9+INT(($S$12:$AA$12+INDEX($AJ$13:$AR$162,BN5420,0)+INDEX($AT$13:$BB$162,BO5420,0)+INDEX($BD$13:$BL$162,BP5420,0))/100)))),0)</f>
        <v/>
      </c>
      <c r="BS5420">
        <f>IF(5407&lt;$U$9,SUMPRODUCT(($D$9:$L$9+INT(($S$12:$AA$12+INDEX($AJ$13:$AR$162,BN5420,0)+INDEX($AT$13:$BB$162,BO5420,0)+INDEX($BD$13:$BL$162,BP5420,0))/100))),0)</f>
        <v/>
      </c>
      <c r="BT5420">
        <f>IF(AND(5407&lt;$U$9,$W$5),BQ5420*1000000-MIN(BR5420,999)*1000+BS5420-5407/100000,-1000000000-5407)</f>
        <v/>
      </c>
    </row>
    <row r="5421">
      <c r="BN5421">
        <f>IF(5408&lt;$U$9,INT(5408/($U$7*$U$8))+1,1)</f>
        <v/>
      </c>
      <c r="BO5421">
        <f>IF(5408&lt;$U$9,MOD(INT(5408/$U$8),$U$7)+1,1)</f>
        <v/>
      </c>
      <c r="BP5421">
        <f>IF(5408&lt;$U$9,MOD(5408,$U$8)+1,1)</f>
        <v/>
      </c>
      <c r="BQ5421">
        <f>IF(5408&lt;$U$9,SUMPRODUCT(($D$10:$L$10&lt;&gt;"")*(($D$9:$L$9+INT(($S$12:$AA$12+INDEX($AJ$13:$AR$162,BN5421,0)+INDEX($AT$13:$BB$162,BO5421,0)+INDEX($BD$13:$BL$162,BP5421,0))/100))&gt;=$D$10:$L$10)),0)</f>
        <v/>
      </c>
      <c r="BR5421">
        <f>IF(5408&lt;$U$9,SUMPRODUCT(($D$10:$L$10&lt;&gt;"")*(($D$10:$L$10-($D$9:$L$9+INT(($S$12:$AA$12+INDEX($AJ$13:$AR$162,BN5421,0)+INDEX($AT$13:$BB$162,BO5421,0)+INDEX($BD$13:$BL$162,BP5421,0))/100)))&gt;0)*($D$10:$L$10-($D$9:$L$9+INT(($S$12:$AA$12+INDEX($AJ$13:$AR$162,BN5421,0)+INDEX($AT$13:$BB$162,BO5421,0)+INDEX($BD$13:$BL$162,BP5421,0))/100)))),0)</f>
        <v/>
      </c>
      <c r="BS5421">
        <f>IF(5408&lt;$U$9,SUMPRODUCT(($D$9:$L$9+INT(($S$12:$AA$12+INDEX($AJ$13:$AR$162,BN5421,0)+INDEX($AT$13:$BB$162,BO5421,0)+INDEX($BD$13:$BL$162,BP5421,0))/100))),0)</f>
        <v/>
      </c>
      <c r="BT5421">
        <f>IF(AND(5408&lt;$U$9,$W$5),BQ5421*1000000-MIN(BR5421,999)*1000+BS5421-5408/100000,-1000000000-5408)</f>
        <v/>
      </c>
    </row>
    <row r="5422">
      <c r="BN5422">
        <f>IF(5409&lt;$U$9,INT(5409/($U$7*$U$8))+1,1)</f>
        <v/>
      </c>
      <c r="BO5422">
        <f>IF(5409&lt;$U$9,MOD(INT(5409/$U$8),$U$7)+1,1)</f>
        <v/>
      </c>
      <c r="BP5422">
        <f>IF(5409&lt;$U$9,MOD(5409,$U$8)+1,1)</f>
        <v/>
      </c>
      <c r="BQ5422">
        <f>IF(5409&lt;$U$9,SUMPRODUCT(($D$10:$L$10&lt;&gt;"")*(($D$9:$L$9+INT(($S$12:$AA$12+INDEX($AJ$13:$AR$162,BN5422,0)+INDEX($AT$13:$BB$162,BO5422,0)+INDEX($BD$13:$BL$162,BP5422,0))/100))&gt;=$D$10:$L$10)),0)</f>
        <v/>
      </c>
      <c r="BR5422">
        <f>IF(5409&lt;$U$9,SUMPRODUCT(($D$10:$L$10&lt;&gt;"")*(($D$10:$L$10-($D$9:$L$9+INT(($S$12:$AA$12+INDEX($AJ$13:$AR$162,BN5422,0)+INDEX($AT$13:$BB$162,BO5422,0)+INDEX($BD$13:$BL$162,BP5422,0))/100)))&gt;0)*($D$10:$L$10-($D$9:$L$9+INT(($S$12:$AA$12+INDEX($AJ$13:$AR$162,BN5422,0)+INDEX($AT$13:$BB$162,BO5422,0)+INDEX($BD$13:$BL$162,BP5422,0))/100)))),0)</f>
        <v/>
      </c>
      <c r="BS5422">
        <f>IF(5409&lt;$U$9,SUMPRODUCT(($D$9:$L$9+INT(($S$12:$AA$12+INDEX($AJ$13:$AR$162,BN5422,0)+INDEX($AT$13:$BB$162,BO5422,0)+INDEX($BD$13:$BL$162,BP5422,0))/100))),0)</f>
        <v/>
      </c>
      <c r="BT5422">
        <f>IF(AND(5409&lt;$U$9,$W$5),BQ5422*1000000-MIN(BR5422,999)*1000+BS5422-5409/100000,-1000000000-5409)</f>
        <v/>
      </c>
    </row>
    <row r="5423">
      <c r="BN5423">
        <f>IF(5410&lt;$U$9,INT(5410/($U$7*$U$8))+1,1)</f>
        <v/>
      </c>
      <c r="BO5423">
        <f>IF(5410&lt;$U$9,MOD(INT(5410/$U$8),$U$7)+1,1)</f>
        <v/>
      </c>
      <c r="BP5423">
        <f>IF(5410&lt;$U$9,MOD(5410,$U$8)+1,1)</f>
        <v/>
      </c>
      <c r="BQ5423">
        <f>IF(5410&lt;$U$9,SUMPRODUCT(($D$10:$L$10&lt;&gt;"")*(($D$9:$L$9+INT(($S$12:$AA$12+INDEX($AJ$13:$AR$162,BN5423,0)+INDEX($AT$13:$BB$162,BO5423,0)+INDEX($BD$13:$BL$162,BP5423,0))/100))&gt;=$D$10:$L$10)),0)</f>
        <v/>
      </c>
      <c r="BR5423">
        <f>IF(5410&lt;$U$9,SUMPRODUCT(($D$10:$L$10&lt;&gt;"")*(($D$10:$L$10-($D$9:$L$9+INT(($S$12:$AA$12+INDEX($AJ$13:$AR$162,BN5423,0)+INDEX($AT$13:$BB$162,BO5423,0)+INDEX($BD$13:$BL$162,BP5423,0))/100)))&gt;0)*($D$10:$L$10-($D$9:$L$9+INT(($S$12:$AA$12+INDEX($AJ$13:$AR$162,BN5423,0)+INDEX($AT$13:$BB$162,BO5423,0)+INDEX($BD$13:$BL$162,BP5423,0))/100)))),0)</f>
        <v/>
      </c>
      <c r="BS5423">
        <f>IF(5410&lt;$U$9,SUMPRODUCT(($D$9:$L$9+INT(($S$12:$AA$12+INDEX($AJ$13:$AR$162,BN5423,0)+INDEX($AT$13:$BB$162,BO5423,0)+INDEX($BD$13:$BL$162,BP5423,0))/100))),0)</f>
        <v/>
      </c>
      <c r="BT5423">
        <f>IF(AND(5410&lt;$U$9,$W$5),BQ5423*1000000-MIN(BR5423,999)*1000+BS5423-5410/100000,-1000000000-5410)</f>
        <v/>
      </c>
    </row>
    <row r="5424">
      <c r="BN5424">
        <f>IF(5411&lt;$U$9,INT(5411/($U$7*$U$8))+1,1)</f>
        <v/>
      </c>
      <c r="BO5424">
        <f>IF(5411&lt;$U$9,MOD(INT(5411/$U$8),$U$7)+1,1)</f>
        <v/>
      </c>
      <c r="BP5424">
        <f>IF(5411&lt;$U$9,MOD(5411,$U$8)+1,1)</f>
        <v/>
      </c>
      <c r="BQ5424">
        <f>IF(5411&lt;$U$9,SUMPRODUCT(($D$10:$L$10&lt;&gt;"")*(($D$9:$L$9+INT(($S$12:$AA$12+INDEX($AJ$13:$AR$162,BN5424,0)+INDEX($AT$13:$BB$162,BO5424,0)+INDEX($BD$13:$BL$162,BP5424,0))/100))&gt;=$D$10:$L$10)),0)</f>
        <v/>
      </c>
      <c r="BR5424">
        <f>IF(5411&lt;$U$9,SUMPRODUCT(($D$10:$L$10&lt;&gt;"")*(($D$10:$L$10-($D$9:$L$9+INT(($S$12:$AA$12+INDEX($AJ$13:$AR$162,BN5424,0)+INDEX($AT$13:$BB$162,BO5424,0)+INDEX($BD$13:$BL$162,BP5424,0))/100)))&gt;0)*($D$10:$L$10-($D$9:$L$9+INT(($S$12:$AA$12+INDEX($AJ$13:$AR$162,BN5424,0)+INDEX($AT$13:$BB$162,BO5424,0)+INDEX($BD$13:$BL$162,BP5424,0))/100)))),0)</f>
        <v/>
      </c>
      <c r="BS5424">
        <f>IF(5411&lt;$U$9,SUMPRODUCT(($D$9:$L$9+INT(($S$12:$AA$12+INDEX($AJ$13:$AR$162,BN5424,0)+INDEX($AT$13:$BB$162,BO5424,0)+INDEX($BD$13:$BL$162,BP5424,0))/100))),0)</f>
        <v/>
      </c>
      <c r="BT5424">
        <f>IF(AND(5411&lt;$U$9,$W$5),BQ5424*1000000-MIN(BR5424,999)*1000+BS5424-5411/100000,-1000000000-5411)</f>
        <v/>
      </c>
    </row>
    <row r="5425">
      <c r="BN5425">
        <f>IF(5412&lt;$U$9,INT(5412/($U$7*$U$8))+1,1)</f>
        <v/>
      </c>
      <c r="BO5425">
        <f>IF(5412&lt;$U$9,MOD(INT(5412/$U$8),$U$7)+1,1)</f>
        <v/>
      </c>
      <c r="BP5425">
        <f>IF(5412&lt;$U$9,MOD(5412,$U$8)+1,1)</f>
        <v/>
      </c>
      <c r="BQ5425">
        <f>IF(5412&lt;$U$9,SUMPRODUCT(($D$10:$L$10&lt;&gt;"")*(($D$9:$L$9+INT(($S$12:$AA$12+INDEX($AJ$13:$AR$162,BN5425,0)+INDEX($AT$13:$BB$162,BO5425,0)+INDEX($BD$13:$BL$162,BP5425,0))/100))&gt;=$D$10:$L$10)),0)</f>
        <v/>
      </c>
      <c r="BR5425">
        <f>IF(5412&lt;$U$9,SUMPRODUCT(($D$10:$L$10&lt;&gt;"")*(($D$10:$L$10-($D$9:$L$9+INT(($S$12:$AA$12+INDEX($AJ$13:$AR$162,BN5425,0)+INDEX($AT$13:$BB$162,BO5425,0)+INDEX($BD$13:$BL$162,BP5425,0))/100)))&gt;0)*($D$10:$L$10-($D$9:$L$9+INT(($S$12:$AA$12+INDEX($AJ$13:$AR$162,BN5425,0)+INDEX($AT$13:$BB$162,BO5425,0)+INDEX($BD$13:$BL$162,BP5425,0))/100)))),0)</f>
        <v/>
      </c>
      <c r="BS5425">
        <f>IF(5412&lt;$U$9,SUMPRODUCT(($D$9:$L$9+INT(($S$12:$AA$12+INDEX($AJ$13:$AR$162,BN5425,0)+INDEX($AT$13:$BB$162,BO5425,0)+INDEX($BD$13:$BL$162,BP5425,0))/100))),0)</f>
        <v/>
      </c>
      <c r="BT5425">
        <f>IF(AND(5412&lt;$U$9,$W$5),BQ5425*1000000-MIN(BR5425,999)*1000+BS5425-5412/100000,-1000000000-5412)</f>
        <v/>
      </c>
    </row>
    <row r="5426">
      <c r="BN5426">
        <f>IF(5413&lt;$U$9,INT(5413/($U$7*$U$8))+1,1)</f>
        <v/>
      </c>
      <c r="BO5426">
        <f>IF(5413&lt;$U$9,MOD(INT(5413/$U$8),$U$7)+1,1)</f>
        <v/>
      </c>
      <c r="BP5426">
        <f>IF(5413&lt;$U$9,MOD(5413,$U$8)+1,1)</f>
        <v/>
      </c>
      <c r="BQ5426">
        <f>IF(5413&lt;$U$9,SUMPRODUCT(($D$10:$L$10&lt;&gt;"")*(($D$9:$L$9+INT(($S$12:$AA$12+INDEX($AJ$13:$AR$162,BN5426,0)+INDEX($AT$13:$BB$162,BO5426,0)+INDEX($BD$13:$BL$162,BP5426,0))/100))&gt;=$D$10:$L$10)),0)</f>
        <v/>
      </c>
      <c r="BR5426">
        <f>IF(5413&lt;$U$9,SUMPRODUCT(($D$10:$L$10&lt;&gt;"")*(($D$10:$L$10-($D$9:$L$9+INT(($S$12:$AA$12+INDEX($AJ$13:$AR$162,BN5426,0)+INDEX($AT$13:$BB$162,BO5426,0)+INDEX($BD$13:$BL$162,BP5426,0))/100)))&gt;0)*($D$10:$L$10-($D$9:$L$9+INT(($S$12:$AA$12+INDEX($AJ$13:$AR$162,BN5426,0)+INDEX($AT$13:$BB$162,BO5426,0)+INDEX($BD$13:$BL$162,BP5426,0))/100)))),0)</f>
        <v/>
      </c>
      <c r="BS5426">
        <f>IF(5413&lt;$U$9,SUMPRODUCT(($D$9:$L$9+INT(($S$12:$AA$12+INDEX($AJ$13:$AR$162,BN5426,0)+INDEX($AT$13:$BB$162,BO5426,0)+INDEX($BD$13:$BL$162,BP5426,0))/100))),0)</f>
        <v/>
      </c>
      <c r="BT5426">
        <f>IF(AND(5413&lt;$U$9,$W$5),BQ5426*1000000-MIN(BR5426,999)*1000+BS5426-5413/100000,-1000000000-5413)</f>
        <v/>
      </c>
    </row>
    <row r="5427">
      <c r="BN5427">
        <f>IF(5414&lt;$U$9,INT(5414/($U$7*$U$8))+1,1)</f>
        <v/>
      </c>
      <c r="BO5427">
        <f>IF(5414&lt;$U$9,MOD(INT(5414/$U$8),$U$7)+1,1)</f>
        <v/>
      </c>
      <c r="BP5427">
        <f>IF(5414&lt;$U$9,MOD(5414,$U$8)+1,1)</f>
        <v/>
      </c>
      <c r="BQ5427">
        <f>IF(5414&lt;$U$9,SUMPRODUCT(($D$10:$L$10&lt;&gt;"")*(($D$9:$L$9+INT(($S$12:$AA$12+INDEX($AJ$13:$AR$162,BN5427,0)+INDEX($AT$13:$BB$162,BO5427,0)+INDEX($BD$13:$BL$162,BP5427,0))/100))&gt;=$D$10:$L$10)),0)</f>
        <v/>
      </c>
      <c r="BR5427">
        <f>IF(5414&lt;$U$9,SUMPRODUCT(($D$10:$L$10&lt;&gt;"")*(($D$10:$L$10-($D$9:$L$9+INT(($S$12:$AA$12+INDEX($AJ$13:$AR$162,BN5427,0)+INDEX($AT$13:$BB$162,BO5427,0)+INDEX($BD$13:$BL$162,BP5427,0))/100)))&gt;0)*($D$10:$L$10-($D$9:$L$9+INT(($S$12:$AA$12+INDEX($AJ$13:$AR$162,BN5427,0)+INDEX($AT$13:$BB$162,BO5427,0)+INDEX($BD$13:$BL$162,BP5427,0))/100)))),0)</f>
        <v/>
      </c>
      <c r="BS5427">
        <f>IF(5414&lt;$U$9,SUMPRODUCT(($D$9:$L$9+INT(($S$12:$AA$12+INDEX($AJ$13:$AR$162,BN5427,0)+INDEX($AT$13:$BB$162,BO5427,0)+INDEX($BD$13:$BL$162,BP5427,0))/100))),0)</f>
        <v/>
      </c>
      <c r="BT5427">
        <f>IF(AND(5414&lt;$U$9,$W$5),BQ5427*1000000-MIN(BR5427,999)*1000+BS5427-5414/100000,-1000000000-5414)</f>
        <v/>
      </c>
    </row>
    <row r="5428">
      <c r="BN5428">
        <f>IF(5415&lt;$U$9,INT(5415/($U$7*$U$8))+1,1)</f>
        <v/>
      </c>
      <c r="BO5428">
        <f>IF(5415&lt;$U$9,MOD(INT(5415/$U$8),$U$7)+1,1)</f>
        <v/>
      </c>
      <c r="BP5428">
        <f>IF(5415&lt;$U$9,MOD(5415,$U$8)+1,1)</f>
        <v/>
      </c>
      <c r="BQ5428">
        <f>IF(5415&lt;$U$9,SUMPRODUCT(($D$10:$L$10&lt;&gt;"")*(($D$9:$L$9+INT(($S$12:$AA$12+INDEX($AJ$13:$AR$162,BN5428,0)+INDEX($AT$13:$BB$162,BO5428,0)+INDEX($BD$13:$BL$162,BP5428,0))/100))&gt;=$D$10:$L$10)),0)</f>
        <v/>
      </c>
      <c r="BR5428">
        <f>IF(5415&lt;$U$9,SUMPRODUCT(($D$10:$L$10&lt;&gt;"")*(($D$10:$L$10-($D$9:$L$9+INT(($S$12:$AA$12+INDEX($AJ$13:$AR$162,BN5428,0)+INDEX($AT$13:$BB$162,BO5428,0)+INDEX($BD$13:$BL$162,BP5428,0))/100)))&gt;0)*($D$10:$L$10-($D$9:$L$9+INT(($S$12:$AA$12+INDEX($AJ$13:$AR$162,BN5428,0)+INDEX($AT$13:$BB$162,BO5428,0)+INDEX($BD$13:$BL$162,BP5428,0))/100)))),0)</f>
        <v/>
      </c>
      <c r="BS5428">
        <f>IF(5415&lt;$U$9,SUMPRODUCT(($D$9:$L$9+INT(($S$12:$AA$12+INDEX($AJ$13:$AR$162,BN5428,0)+INDEX($AT$13:$BB$162,BO5428,0)+INDEX($BD$13:$BL$162,BP5428,0))/100))),0)</f>
        <v/>
      </c>
      <c r="BT5428">
        <f>IF(AND(5415&lt;$U$9,$W$5),BQ5428*1000000-MIN(BR5428,999)*1000+BS5428-5415/100000,-1000000000-5415)</f>
        <v/>
      </c>
    </row>
    <row r="5429">
      <c r="BN5429">
        <f>IF(5416&lt;$U$9,INT(5416/($U$7*$U$8))+1,1)</f>
        <v/>
      </c>
      <c r="BO5429">
        <f>IF(5416&lt;$U$9,MOD(INT(5416/$U$8),$U$7)+1,1)</f>
        <v/>
      </c>
      <c r="BP5429">
        <f>IF(5416&lt;$U$9,MOD(5416,$U$8)+1,1)</f>
        <v/>
      </c>
      <c r="BQ5429">
        <f>IF(5416&lt;$U$9,SUMPRODUCT(($D$10:$L$10&lt;&gt;"")*(($D$9:$L$9+INT(($S$12:$AA$12+INDEX($AJ$13:$AR$162,BN5429,0)+INDEX($AT$13:$BB$162,BO5429,0)+INDEX($BD$13:$BL$162,BP5429,0))/100))&gt;=$D$10:$L$10)),0)</f>
        <v/>
      </c>
      <c r="BR5429">
        <f>IF(5416&lt;$U$9,SUMPRODUCT(($D$10:$L$10&lt;&gt;"")*(($D$10:$L$10-($D$9:$L$9+INT(($S$12:$AA$12+INDEX($AJ$13:$AR$162,BN5429,0)+INDEX($AT$13:$BB$162,BO5429,0)+INDEX($BD$13:$BL$162,BP5429,0))/100)))&gt;0)*($D$10:$L$10-($D$9:$L$9+INT(($S$12:$AA$12+INDEX($AJ$13:$AR$162,BN5429,0)+INDEX($AT$13:$BB$162,BO5429,0)+INDEX($BD$13:$BL$162,BP5429,0))/100)))),0)</f>
        <v/>
      </c>
      <c r="BS5429">
        <f>IF(5416&lt;$U$9,SUMPRODUCT(($D$9:$L$9+INT(($S$12:$AA$12+INDEX($AJ$13:$AR$162,BN5429,0)+INDEX($AT$13:$BB$162,BO5429,0)+INDEX($BD$13:$BL$162,BP5429,0))/100))),0)</f>
        <v/>
      </c>
      <c r="BT5429">
        <f>IF(AND(5416&lt;$U$9,$W$5),BQ5429*1000000-MIN(BR5429,999)*1000+BS5429-5416/100000,-1000000000-5416)</f>
        <v/>
      </c>
    </row>
    <row r="5430">
      <c r="BN5430">
        <f>IF(5417&lt;$U$9,INT(5417/($U$7*$U$8))+1,1)</f>
        <v/>
      </c>
      <c r="BO5430">
        <f>IF(5417&lt;$U$9,MOD(INT(5417/$U$8),$U$7)+1,1)</f>
        <v/>
      </c>
      <c r="BP5430">
        <f>IF(5417&lt;$U$9,MOD(5417,$U$8)+1,1)</f>
        <v/>
      </c>
      <c r="BQ5430">
        <f>IF(5417&lt;$U$9,SUMPRODUCT(($D$10:$L$10&lt;&gt;"")*(($D$9:$L$9+INT(($S$12:$AA$12+INDEX($AJ$13:$AR$162,BN5430,0)+INDEX($AT$13:$BB$162,BO5430,0)+INDEX($BD$13:$BL$162,BP5430,0))/100))&gt;=$D$10:$L$10)),0)</f>
        <v/>
      </c>
      <c r="BR5430">
        <f>IF(5417&lt;$U$9,SUMPRODUCT(($D$10:$L$10&lt;&gt;"")*(($D$10:$L$10-($D$9:$L$9+INT(($S$12:$AA$12+INDEX($AJ$13:$AR$162,BN5430,0)+INDEX($AT$13:$BB$162,BO5430,0)+INDEX($BD$13:$BL$162,BP5430,0))/100)))&gt;0)*($D$10:$L$10-($D$9:$L$9+INT(($S$12:$AA$12+INDEX($AJ$13:$AR$162,BN5430,0)+INDEX($AT$13:$BB$162,BO5430,0)+INDEX($BD$13:$BL$162,BP5430,0))/100)))),0)</f>
        <v/>
      </c>
      <c r="BS5430">
        <f>IF(5417&lt;$U$9,SUMPRODUCT(($D$9:$L$9+INT(($S$12:$AA$12+INDEX($AJ$13:$AR$162,BN5430,0)+INDEX($AT$13:$BB$162,BO5430,0)+INDEX($BD$13:$BL$162,BP5430,0))/100))),0)</f>
        <v/>
      </c>
      <c r="BT5430">
        <f>IF(AND(5417&lt;$U$9,$W$5),BQ5430*1000000-MIN(BR5430,999)*1000+BS5430-5417/100000,-1000000000-5417)</f>
        <v/>
      </c>
    </row>
    <row r="5431">
      <c r="BN5431">
        <f>IF(5418&lt;$U$9,INT(5418/($U$7*$U$8))+1,1)</f>
        <v/>
      </c>
      <c r="BO5431">
        <f>IF(5418&lt;$U$9,MOD(INT(5418/$U$8),$U$7)+1,1)</f>
        <v/>
      </c>
      <c r="BP5431">
        <f>IF(5418&lt;$U$9,MOD(5418,$U$8)+1,1)</f>
        <v/>
      </c>
      <c r="BQ5431">
        <f>IF(5418&lt;$U$9,SUMPRODUCT(($D$10:$L$10&lt;&gt;"")*(($D$9:$L$9+INT(($S$12:$AA$12+INDEX($AJ$13:$AR$162,BN5431,0)+INDEX($AT$13:$BB$162,BO5431,0)+INDEX($BD$13:$BL$162,BP5431,0))/100))&gt;=$D$10:$L$10)),0)</f>
        <v/>
      </c>
      <c r="BR5431">
        <f>IF(5418&lt;$U$9,SUMPRODUCT(($D$10:$L$10&lt;&gt;"")*(($D$10:$L$10-($D$9:$L$9+INT(($S$12:$AA$12+INDEX($AJ$13:$AR$162,BN5431,0)+INDEX($AT$13:$BB$162,BO5431,0)+INDEX($BD$13:$BL$162,BP5431,0))/100)))&gt;0)*($D$10:$L$10-($D$9:$L$9+INT(($S$12:$AA$12+INDEX($AJ$13:$AR$162,BN5431,0)+INDEX($AT$13:$BB$162,BO5431,0)+INDEX($BD$13:$BL$162,BP5431,0))/100)))),0)</f>
        <v/>
      </c>
      <c r="BS5431">
        <f>IF(5418&lt;$U$9,SUMPRODUCT(($D$9:$L$9+INT(($S$12:$AA$12+INDEX($AJ$13:$AR$162,BN5431,0)+INDEX($AT$13:$BB$162,BO5431,0)+INDEX($BD$13:$BL$162,BP5431,0))/100))),0)</f>
        <v/>
      </c>
      <c r="BT5431">
        <f>IF(AND(5418&lt;$U$9,$W$5),BQ5431*1000000-MIN(BR5431,999)*1000+BS5431-5418/100000,-1000000000-5418)</f>
        <v/>
      </c>
    </row>
    <row r="5432">
      <c r="BN5432">
        <f>IF(5419&lt;$U$9,INT(5419/($U$7*$U$8))+1,1)</f>
        <v/>
      </c>
      <c r="BO5432">
        <f>IF(5419&lt;$U$9,MOD(INT(5419/$U$8),$U$7)+1,1)</f>
        <v/>
      </c>
      <c r="BP5432">
        <f>IF(5419&lt;$U$9,MOD(5419,$U$8)+1,1)</f>
        <v/>
      </c>
      <c r="BQ5432">
        <f>IF(5419&lt;$U$9,SUMPRODUCT(($D$10:$L$10&lt;&gt;"")*(($D$9:$L$9+INT(($S$12:$AA$12+INDEX($AJ$13:$AR$162,BN5432,0)+INDEX($AT$13:$BB$162,BO5432,0)+INDEX($BD$13:$BL$162,BP5432,0))/100))&gt;=$D$10:$L$10)),0)</f>
        <v/>
      </c>
      <c r="BR5432">
        <f>IF(5419&lt;$U$9,SUMPRODUCT(($D$10:$L$10&lt;&gt;"")*(($D$10:$L$10-($D$9:$L$9+INT(($S$12:$AA$12+INDEX($AJ$13:$AR$162,BN5432,0)+INDEX($AT$13:$BB$162,BO5432,0)+INDEX($BD$13:$BL$162,BP5432,0))/100)))&gt;0)*($D$10:$L$10-($D$9:$L$9+INT(($S$12:$AA$12+INDEX($AJ$13:$AR$162,BN5432,0)+INDEX($AT$13:$BB$162,BO5432,0)+INDEX($BD$13:$BL$162,BP5432,0))/100)))),0)</f>
        <v/>
      </c>
      <c r="BS5432">
        <f>IF(5419&lt;$U$9,SUMPRODUCT(($D$9:$L$9+INT(($S$12:$AA$12+INDEX($AJ$13:$AR$162,BN5432,0)+INDEX($AT$13:$BB$162,BO5432,0)+INDEX($BD$13:$BL$162,BP5432,0))/100))),0)</f>
        <v/>
      </c>
      <c r="BT5432">
        <f>IF(AND(5419&lt;$U$9,$W$5),BQ5432*1000000-MIN(BR5432,999)*1000+BS5432-5419/100000,-1000000000-5419)</f>
        <v/>
      </c>
    </row>
    <row r="5433">
      <c r="BN5433">
        <f>IF(5420&lt;$U$9,INT(5420/($U$7*$U$8))+1,1)</f>
        <v/>
      </c>
      <c r="BO5433">
        <f>IF(5420&lt;$U$9,MOD(INT(5420/$U$8),$U$7)+1,1)</f>
        <v/>
      </c>
      <c r="BP5433">
        <f>IF(5420&lt;$U$9,MOD(5420,$U$8)+1,1)</f>
        <v/>
      </c>
      <c r="BQ5433">
        <f>IF(5420&lt;$U$9,SUMPRODUCT(($D$10:$L$10&lt;&gt;"")*(($D$9:$L$9+INT(($S$12:$AA$12+INDEX($AJ$13:$AR$162,BN5433,0)+INDEX($AT$13:$BB$162,BO5433,0)+INDEX($BD$13:$BL$162,BP5433,0))/100))&gt;=$D$10:$L$10)),0)</f>
        <v/>
      </c>
      <c r="BR5433">
        <f>IF(5420&lt;$U$9,SUMPRODUCT(($D$10:$L$10&lt;&gt;"")*(($D$10:$L$10-($D$9:$L$9+INT(($S$12:$AA$12+INDEX($AJ$13:$AR$162,BN5433,0)+INDEX($AT$13:$BB$162,BO5433,0)+INDEX($BD$13:$BL$162,BP5433,0))/100)))&gt;0)*($D$10:$L$10-($D$9:$L$9+INT(($S$12:$AA$12+INDEX($AJ$13:$AR$162,BN5433,0)+INDEX($AT$13:$BB$162,BO5433,0)+INDEX($BD$13:$BL$162,BP5433,0))/100)))),0)</f>
        <v/>
      </c>
      <c r="BS5433">
        <f>IF(5420&lt;$U$9,SUMPRODUCT(($D$9:$L$9+INT(($S$12:$AA$12+INDEX($AJ$13:$AR$162,BN5433,0)+INDEX($AT$13:$BB$162,BO5433,0)+INDEX($BD$13:$BL$162,BP5433,0))/100))),0)</f>
        <v/>
      </c>
      <c r="BT5433">
        <f>IF(AND(5420&lt;$U$9,$W$5),BQ5433*1000000-MIN(BR5433,999)*1000+BS5433-5420/100000,-1000000000-5420)</f>
        <v/>
      </c>
    </row>
    <row r="5434">
      <c r="BN5434">
        <f>IF(5421&lt;$U$9,INT(5421/($U$7*$U$8))+1,1)</f>
        <v/>
      </c>
      <c r="BO5434">
        <f>IF(5421&lt;$U$9,MOD(INT(5421/$U$8),$U$7)+1,1)</f>
        <v/>
      </c>
      <c r="BP5434">
        <f>IF(5421&lt;$U$9,MOD(5421,$U$8)+1,1)</f>
        <v/>
      </c>
      <c r="BQ5434">
        <f>IF(5421&lt;$U$9,SUMPRODUCT(($D$10:$L$10&lt;&gt;"")*(($D$9:$L$9+INT(($S$12:$AA$12+INDEX($AJ$13:$AR$162,BN5434,0)+INDEX($AT$13:$BB$162,BO5434,0)+INDEX($BD$13:$BL$162,BP5434,0))/100))&gt;=$D$10:$L$10)),0)</f>
        <v/>
      </c>
      <c r="BR5434">
        <f>IF(5421&lt;$U$9,SUMPRODUCT(($D$10:$L$10&lt;&gt;"")*(($D$10:$L$10-($D$9:$L$9+INT(($S$12:$AA$12+INDEX($AJ$13:$AR$162,BN5434,0)+INDEX($AT$13:$BB$162,BO5434,0)+INDEX($BD$13:$BL$162,BP5434,0))/100)))&gt;0)*($D$10:$L$10-($D$9:$L$9+INT(($S$12:$AA$12+INDEX($AJ$13:$AR$162,BN5434,0)+INDEX($AT$13:$BB$162,BO5434,0)+INDEX($BD$13:$BL$162,BP5434,0))/100)))),0)</f>
        <v/>
      </c>
      <c r="BS5434">
        <f>IF(5421&lt;$U$9,SUMPRODUCT(($D$9:$L$9+INT(($S$12:$AA$12+INDEX($AJ$13:$AR$162,BN5434,0)+INDEX($AT$13:$BB$162,BO5434,0)+INDEX($BD$13:$BL$162,BP5434,0))/100))),0)</f>
        <v/>
      </c>
      <c r="BT5434">
        <f>IF(AND(5421&lt;$U$9,$W$5),BQ5434*1000000-MIN(BR5434,999)*1000+BS5434-5421/100000,-1000000000-5421)</f>
        <v/>
      </c>
    </row>
    <row r="5435">
      <c r="BN5435">
        <f>IF(5422&lt;$U$9,INT(5422/($U$7*$U$8))+1,1)</f>
        <v/>
      </c>
      <c r="BO5435">
        <f>IF(5422&lt;$U$9,MOD(INT(5422/$U$8),$U$7)+1,1)</f>
        <v/>
      </c>
      <c r="BP5435">
        <f>IF(5422&lt;$U$9,MOD(5422,$U$8)+1,1)</f>
        <v/>
      </c>
      <c r="BQ5435">
        <f>IF(5422&lt;$U$9,SUMPRODUCT(($D$10:$L$10&lt;&gt;"")*(($D$9:$L$9+INT(($S$12:$AA$12+INDEX($AJ$13:$AR$162,BN5435,0)+INDEX($AT$13:$BB$162,BO5435,0)+INDEX($BD$13:$BL$162,BP5435,0))/100))&gt;=$D$10:$L$10)),0)</f>
        <v/>
      </c>
      <c r="BR5435">
        <f>IF(5422&lt;$U$9,SUMPRODUCT(($D$10:$L$10&lt;&gt;"")*(($D$10:$L$10-($D$9:$L$9+INT(($S$12:$AA$12+INDEX($AJ$13:$AR$162,BN5435,0)+INDEX($AT$13:$BB$162,BO5435,0)+INDEX($BD$13:$BL$162,BP5435,0))/100)))&gt;0)*($D$10:$L$10-($D$9:$L$9+INT(($S$12:$AA$12+INDEX($AJ$13:$AR$162,BN5435,0)+INDEX($AT$13:$BB$162,BO5435,0)+INDEX($BD$13:$BL$162,BP5435,0))/100)))),0)</f>
        <v/>
      </c>
      <c r="BS5435">
        <f>IF(5422&lt;$U$9,SUMPRODUCT(($D$9:$L$9+INT(($S$12:$AA$12+INDEX($AJ$13:$AR$162,BN5435,0)+INDEX($AT$13:$BB$162,BO5435,0)+INDEX($BD$13:$BL$162,BP5435,0))/100))),0)</f>
        <v/>
      </c>
      <c r="BT5435">
        <f>IF(AND(5422&lt;$U$9,$W$5),BQ5435*1000000-MIN(BR5435,999)*1000+BS5435-5422/100000,-1000000000-5422)</f>
        <v/>
      </c>
    </row>
    <row r="5436">
      <c r="BN5436">
        <f>IF(5423&lt;$U$9,INT(5423/($U$7*$U$8))+1,1)</f>
        <v/>
      </c>
      <c r="BO5436">
        <f>IF(5423&lt;$U$9,MOD(INT(5423/$U$8),$U$7)+1,1)</f>
        <v/>
      </c>
      <c r="BP5436">
        <f>IF(5423&lt;$U$9,MOD(5423,$U$8)+1,1)</f>
        <v/>
      </c>
      <c r="BQ5436">
        <f>IF(5423&lt;$U$9,SUMPRODUCT(($D$10:$L$10&lt;&gt;"")*(($D$9:$L$9+INT(($S$12:$AA$12+INDEX($AJ$13:$AR$162,BN5436,0)+INDEX($AT$13:$BB$162,BO5436,0)+INDEX($BD$13:$BL$162,BP5436,0))/100))&gt;=$D$10:$L$10)),0)</f>
        <v/>
      </c>
      <c r="BR5436">
        <f>IF(5423&lt;$U$9,SUMPRODUCT(($D$10:$L$10&lt;&gt;"")*(($D$10:$L$10-($D$9:$L$9+INT(($S$12:$AA$12+INDEX($AJ$13:$AR$162,BN5436,0)+INDEX($AT$13:$BB$162,BO5436,0)+INDEX($BD$13:$BL$162,BP5436,0))/100)))&gt;0)*($D$10:$L$10-($D$9:$L$9+INT(($S$12:$AA$12+INDEX($AJ$13:$AR$162,BN5436,0)+INDEX($AT$13:$BB$162,BO5436,0)+INDEX($BD$13:$BL$162,BP5436,0))/100)))),0)</f>
        <v/>
      </c>
      <c r="BS5436">
        <f>IF(5423&lt;$U$9,SUMPRODUCT(($D$9:$L$9+INT(($S$12:$AA$12+INDEX($AJ$13:$AR$162,BN5436,0)+INDEX($AT$13:$BB$162,BO5436,0)+INDEX($BD$13:$BL$162,BP5436,0))/100))),0)</f>
        <v/>
      </c>
      <c r="BT5436">
        <f>IF(AND(5423&lt;$U$9,$W$5),BQ5436*1000000-MIN(BR5436,999)*1000+BS5436-5423/100000,-1000000000-5423)</f>
        <v/>
      </c>
    </row>
    <row r="5437">
      <c r="BN5437">
        <f>IF(5424&lt;$U$9,INT(5424/($U$7*$U$8))+1,1)</f>
        <v/>
      </c>
      <c r="BO5437">
        <f>IF(5424&lt;$U$9,MOD(INT(5424/$U$8),$U$7)+1,1)</f>
        <v/>
      </c>
      <c r="BP5437">
        <f>IF(5424&lt;$U$9,MOD(5424,$U$8)+1,1)</f>
        <v/>
      </c>
      <c r="BQ5437">
        <f>IF(5424&lt;$U$9,SUMPRODUCT(($D$10:$L$10&lt;&gt;"")*(($D$9:$L$9+INT(($S$12:$AA$12+INDEX($AJ$13:$AR$162,BN5437,0)+INDEX($AT$13:$BB$162,BO5437,0)+INDEX($BD$13:$BL$162,BP5437,0))/100))&gt;=$D$10:$L$10)),0)</f>
        <v/>
      </c>
      <c r="BR5437">
        <f>IF(5424&lt;$U$9,SUMPRODUCT(($D$10:$L$10&lt;&gt;"")*(($D$10:$L$10-($D$9:$L$9+INT(($S$12:$AA$12+INDEX($AJ$13:$AR$162,BN5437,0)+INDEX($AT$13:$BB$162,BO5437,0)+INDEX($BD$13:$BL$162,BP5437,0))/100)))&gt;0)*($D$10:$L$10-($D$9:$L$9+INT(($S$12:$AA$12+INDEX($AJ$13:$AR$162,BN5437,0)+INDEX($AT$13:$BB$162,BO5437,0)+INDEX($BD$13:$BL$162,BP5437,0))/100)))),0)</f>
        <v/>
      </c>
      <c r="BS5437">
        <f>IF(5424&lt;$U$9,SUMPRODUCT(($D$9:$L$9+INT(($S$12:$AA$12+INDEX($AJ$13:$AR$162,BN5437,0)+INDEX($AT$13:$BB$162,BO5437,0)+INDEX($BD$13:$BL$162,BP5437,0))/100))),0)</f>
        <v/>
      </c>
      <c r="BT5437">
        <f>IF(AND(5424&lt;$U$9,$W$5),BQ5437*1000000-MIN(BR5437,999)*1000+BS5437-5424/100000,-1000000000-5424)</f>
        <v/>
      </c>
    </row>
    <row r="5438">
      <c r="BN5438">
        <f>IF(5425&lt;$U$9,INT(5425/($U$7*$U$8))+1,1)</f>
        <v/>
      </c>
      <c r="BO5438">
        <f>IF(5425&lt;$U$9,MOD(INT(5425/$U$8),$U$7)+1,1)</f>
        <v/>
      </c>
      <c r="BP5438">
        <f>IF(5425&lt;$U$9,MOD(5425,$U$8)+1,1)</f>
        <v/>
      </c>
      <c r="BQ5438">
        <f>IF(5425&lt;$U$9,SUMPRODUCT(($D$10:$L$10&lt;&gt;"")*(($D$9:$L$9+INT(($S$12:$AA$12+INDEX($AJ$13:$AR$162,BN5438,0)+INDEX($AT$13:$BB$162,BO5438,0)+INDEX($BD$13:$BL$162,BP5438,0))/100))&gt;=$D$10:$L$10)),0)</f>
        <v/>
      </c>
      <c r="BR5438">
        <f>IF(5425&lt;$U$9,SUMPRODUCT(($D$10:$L$10&lt;&gt;"")*(($D$10:$L$10-($D$9:$L$9+INT(($S$12:$AA$12+INDEX($AJ$13:$AR$162,BN5438,0)+INDEX($AT$13:$BB$162,BO5438,0)+INDEX($BD$13:$BL$162,BP5438,0))/100)))&gt;0)*($D$10:$L$10-($D$9:$L$9+INT(($S$12:$AA$12+INDEX($AJ$13:$AR$162,BN5438,0)+INDEX($AT$13:$BB$162,BO5438,0)+INDEX($BD$13:$BL$162,BP5438,0))/100)))),0)</f>
        <v/>
      </c>
      <c r="BS5438">
        <f>IF(5425&lt;$U$9,SUMPRODUCT(($D$9:$L$9+INT(($S$12:$AA$12+INDEX($AJ$13:$AR$162,BN5438,0)+INDEX($AT$13:$BB$162,BO5438,0)+INDEX($BD$13:$BL$162,BP5438,0))/100))),0)</f>
        <v/>
      </c>
      <c r="BT5438">
        <f>IF(AND(5425&lt;$U$9,$W$5),BQ5438*1000000-MIN(BR5438,999)*1000+BS5438-5425/100000,-1000000000-5425)</f>
        <v/>
      </c>
    </row>
    <row r="5439">
      <c r="BN5439">
        <f>IF(5426&lt;$U$9,INT(5426/($U$7*$U$8))+1,1)</f>
        <v/>
      </c>
      <c r="BO5439">
        <f>IF(5426&lt;$U$9,MOD(INT(5426/$U$8),$U$7)+1,1)</f>
        <v/>
      </c>
      <c r="BP5439">
        <f>IF(5426&lt;$U$9,MOD(5426,$U$8)+1,1)</f>
        <v/>
      </c>
      <c r="BQ5439">
        <f>IF(5426&lt;$U$9,SUMPRODUCT(($D$10:$L$10&lt;&gt;"")*(($D$9:$L$9+INT(($S$12:$AA$12+INDEX($AJ$13:$AR$162,BN5439,0)+INDEX($AT$13:$BB$162,BO5439,0)+INDEX($BD$13:$BL$162,BP5439,0))/100))&gt;=$D$10:$L$10)),0)</f>
        <v/>
      </c>
      <c r="BR5439">
        <f>IF(5426&lt;$U$9,SUMPRODUCT(($D$10:$L$10&lt;&gt;"")*(($D$10:$L$10-($D$9:$L$9+INT(($S$12:$AA$12+INDEX($AJ$13:$AR$162,BN5439,0)+INDEX($AT$13:$BB$162,BO5439,0)+INDEX($BD$13:$BL$162,BP5439,0))/100)))&gt;0)*($D$10:$L$10-($D$9:$L$9+INT(($S$12:$AA$12+INDEX($AJ$13:$AR$162,BN5439,0)+INDEX($AT$13:$BB$162,BO5439,0)+INDEX($BD$13:$BL$162,BP5439,0))/100)))),0)</f>
        <v/>
      </c>
      <c r="BS5439">
        <f>IF(5426&lt;$U$9,SUMPRODUCT(($D$9:$L$9+INT(($S$12:$AA$12+INDEX($AJ$13:$AR$162,BN5439,0)+INDEX($AT$13:$BB$162,BO5439,0)+INDEX($BD$13:$BL$162,BP5439,0))/100))),0)</f>
        <v/>
      </c>
      <c r="BT5439">
        <f>IF(AND(5426&lt;$U$9,$W$5),BQ5439*1000000-MIN(BR5439,999)*1000+BS5439-5426/100000,-1000000000-5426)</f>
        <v/>
      </c>
    </row>
    <row r="5440">
      <c r="BN5440">
        <f>IF(5427&lt;$U$9,INT(5427/($U$7*$U$8))+1,1)</f>
        <v/>
      </c>
      <c r="BO5440">
        <f>IF(5427&lt;$U$9,MOD(INT(5427/$U$8),$U$7)+1,1)</f>
        <v/>
      </c>
      <c r="BP5440">
        <f>IF(5427&lt;$U$9,MOD(5427,$U$8)+1,1)</f>
        <v/>
      </c>
      <c r="BQ5440">
        <f>IF(5427&lt;$U$9,SUMPRODUCT(($D$10:$L$10&lt;&gt;"")*(($D$9:$L$9+INT(($S$12:$AA$12+INDEX($AJ$13:$AR$162,BN5440,0)+INDEX($AT$13:$BB$162,BO5440,0)+INDEX($BD$13:$BL$162,BP5440,0))/100))&gt;=$D$10:$L$10)),0)</f>
        <v/>
      </c>
      <c r="BR5440">
        <f>IF(5427&lt;$U$9,SUMPRODUCT(($D$10:$L$10&lt;&gt;"")*(($D$10:$L$10-($D$9:$L$9+INT(($S$12:$AA$12+INDEX($AJ$13:$AR$162,BN5440,0)+INDEX($AT$13:$BB$162,BO5440,0)+INDEX($BD$13:$BL$162,BP5440,0))/100)))&gt;0)*($D$10:$L$10-($D$9:$L$9+INT(($S$12:$AA$12+INDEX($AJ$13:$AR$162,BN5440,0)+INDEX($AT$13:$BB$162,BO5440,0)+INDEX($BD$13:$BL$162,BP5440,0))/100)))),0)</f>
        <v/>
      </c>
      <c r="BS5440">
        <f>IF(5427&lt;$U$9,SUMPRODUCT(($D$9:$L$9+INT(($S$12:$AA$12+INDEX($AJ$13:$AR$162,BN5440,0)+INDEX($AT$13:$BB$162,BO5440,0)+INDEX($BD$13:$BL$162,BP5440,0))/100))),0)</f>
        <v/>
      </c>
      <c r="BT5440">
        <f>IF(AND(5427&lt;$U$9,$W$5),BQ5440*1000000-MIN(BR5440,999)*1000+BS5440-5427/100000,-1000000000-5427)</f>
        <v/>
      </c>
    </row>
    <row r="5441">
      <c r="BN5441">
        <f>IF(5428&lt;$U$9,INT(5428/($U$7*$U$8))+1,1)</f>
        <v/>
      </c>
      <c r="BO5441">
        <f>IF(5428&lt;$U$9,MOD(INT(5428/$U$8),$U$7)+1,1)</f>
        <v/>
      </c>
      <c r="BP5441">
        <f>IF(5428&lt;$U$9,MOD(5428,$U$8)+1,1)</f>
        <v/>
      </c>
      <c r="BQ5441">
        <f>IF(5428&lt;$U$9,SUMPRODUCT(($D$10:$L$10&lt;&gt;"")*(($D$9:$L$9+INT(($S$12:$AA$12+INDEX($AJ$13:$AR$162,BN5441,0)+INDEX($AT$13:$BB$162,BO5441,0)+INDEX($BD$13:$BL$162,BP5441,0))/100))&gt;=$D$10:$L$10)),0)</f>
        <v/>
      </c>
      <c r="BR5441">
        <f>IF(5428&lt;$U$9,SUMPRODUCT(($D$10:$L$10&lt;&gt;"")*(($D$10:$L$10-($D$9:$L$9+INT(($S$12:$AA$12+INDEX($AJ$13:$AR$162,BN5441,0)+INDEX($AT$13:$BB$162,BO5441,0)+INDEX($BD$13:$BL$162,BP5441,0))/100)))&gt;0)*($D$10:$L$10-($D$9:$L$9+INT(($S$12:$AA$12+INDEX($AJ$13:$AR$162,BN5441,0)+INDEX($AT$13:$BB$162,BO5441,0)+INDEX($BD$13:$BL$162,BP5441,0))/100)))),0)</f>
        <v/>
      </c>
      <c r="BS5441">
        <f>IF(5428&lt;$U$9,SUMPRODUCT(($D$9:$L$9+INT(($S$12:$AA$12+INDEX($AJ$13:$AR$162,BN5441,0)+INDEX($AT$13:$BB$162,BO5441,0)+INDEX($BD$13:$BL$162,BP5441,0))/100))),0)</f>
        <v/>
      </c>
      <c r="BT5441">
        <f>IF(AND(5428&lt;$U$9,$W$5),BQ5441*1000000-MIN(BR5441,999)*1000+BS5441-5428/100000,-1000000000-5428)</f>
        <v/>
      </c>
    </row>
    <row r="5442">
      <c r="BN5442">
        <f>IF(5429&lt;$U$9,INT(5429/($U$7*$U$8))+1,1)</f>
        <v/>
      </c>
      <c r="BO5442">
        <f>IF(5429&lt;$U$9,MOD(INT(5429/$U$8),$U$7)+1,1)</f>
        <v/>
      </c>
      <c r="BP5442">
        <f>IF(5429&lt;$U$9,MOD(5429,$U$8)+1,1)</f>
        <v/>
      </c>
      <c r="BQ5442">
        <f>IF(5429&lt;$U$9,SUMPRODUCT(($D$10:$L$10&lt;&gt;"")*(($D$9:$L$9+INT(($S$12:$AA$12+INDEX($AJ$13:$AR$162,BN5442,0)+INDEX($AT$13:$BB$162,BO5442,0)+INDEX($BD$13:$BL$162,BP5442,0))/100))&gt;=$D$10:$L$10)),0)</f>
        <v/>
      </c>
      <c r="BR5442">
        <f>IF(5429&lt;$U$9,SUMPRODUCT(($D$10:$L$10&lt;&gt;"")*(($D$10:$L$10-($D$9:$L$9+INT(($S$12:$AA$12+INDEX($AJ$13:$AR$162,BN5442,0)+INDEX($AT$13:$BB$162,BO5442,0)+INDEX($BD$13:$BL$162,BP5442,0))/100)))&gt;0)*($D$10:$L$10-($D$9:$L$9+INT(($S$12:$AA$12+INDEX($AJ$13:$AR$162,BN5442,0)+INDEX($AT$13:$BB$162,BO5442,0)+INDEX($BD$13:$BL$162,BP5442,0))/100)))),0)</f>
        <v/>
      </c>
      <c r="BS5442">
        <f>IF(5429&lt;$U$9,SUMPRODUCT(($D$9:$L$9+INT(($S$12:$AA$12+INDEX($AJ$13:$AR$162,BN5442,0)+INDEX($AT$13:$BB$162,BO5442,0)+INDEX($BD$13:$BL$162,BP5442,0))/100))),0)</f>
        <v/>
      </c>
      <c r="BT5442">
        <f>IF(AND(5429&lt;$U$9,$W$5),BQ5442*1000000-MIN(BR5442,999)*1000+BS5442-5429/100000,-1000000000-5429)</f>
        <v/>
      </c>
    </row>
    <row r="5443">
      <c r="BN5443">
        <f>IF(5430&lt;$U$9,INT(5430/($U$7*$U$8))+1,1)</f>
        <v/>
      </c>
      <c r="BO5443">
        <f>IF(5430&lt;$U$9,MOD(INT(5430/$U$8),$U$7)+1,1)</f>
        <v/>
      </c>
      <c r="BP5443">
        <f>IF(5430&lt;$U$9,MOD(5430,$U$8)+1,1)</f>
        <v/>
      </c>
      <c r="BQ5443">
        <f>IF(5430&lt;$U$9,SUMPRODUCT(($D$10:$L$10&lt;&gt;"")*(($D$9:$L$9+INT(($S$12:$AA$12+INDEX($AJ$13:$AR$162,BN5443,0)+INDEX($AT$13:$BB$162,BO5443,0)+INDEX($BD$13:$BL$162,BP5443,0))/100))&gt;=$D$10:$L$10)),0)</f>
        <v/>
      </c>
      <c r="BR5443">
        <f>IF(5430&lt;$U$9,SUMPRODUCT(($D$10:$L$10&lt;&gt;"")*(($D$10:$L$10-($D$9:$L$9+INT(($S$12:$AA$12+INDEX($AJ$13:$AR$162,BN5443,0)+INDEX($AT$13:$BB$162,BO5443,0)+INDEX($BD$13:$BL$162,BP5443,0))/100)))&gt;0)*($D$10:$L$10-($D$9:$L$9+INT(($S$12:$AA$12+INDEX($AJ$13:$AR$162,BN5443,0)+INDEX($AT$13:$BB$162,BO5443,0)+INDEX($BD$13:$BL$162,BP5443,0))/100)))),0)</f>
        <v/>
      </c>
      <c r="BS5443">
        <f>IF(5430&lt;$U$9,SUMPRODUCT(($D$9:$L$9+INT(($S$12:$AA$12+INDEX($AJ$13:$AR$162,BN5443,0)+INDEX($AT$13:$BB$162,BO5443,0)+INDEX($BD$13:$BL$162,BP5443,0))/100))),0)</f>
        <v/>
      </c>
      <c r="BT5443">
        <f>IF(AND(5430&lt;$U$9,$W$5),BQ5443*1000000-MIN(BR5443,999)*1000+BS5443-5430/100000,-1000000000-5430)</f>
        <v/>
      </c>
    </row>
    <row r="5444">
      <c r="BN5444">
        <f>IF(5431&lt;$U$9,INT(5431/($U$7*$U$8))+1,1)</f>
        <v/>
      </c>
      <c r="BO5444">
        <f>IF(5431&lt;$U$9,MOD(INT(5431/$U$8),$U$7)+1,1)</f>
        <v/>
      </c>
      <c r="BP5444">
        <f>IF(5431&lt;$U$9,MOD(5431,$U$8)+1,1)</f>
        <v/>
      </c>
      <c r="BQ5444">
        <f>IF(5431&lt;$U$9,SUMPRODUCT(($D$10:$L$10&lt;&gt;"")*(($D$9:$L$9+INT(($S$12:$AA$12+INDEX($AJ$13:$AR$162,BN5444,0)+INDEX($AT$13:$BB$162,BO5444,0)+INDEX($BD$13:$BL$162,BP5444,0))/100))&gt;=$D$10:$L$10)),0)</f>
        <v/>
      </c>
      <c r="BR5444">
        <f>IF(5431&lt;$U$9,SUMPRODUCT(($D$10:$L$10&lt;&gt;"")*(($D$10:$L$10-($D$9:$L$9+INT(($S$12:$AA$12+INDEX($AJ$13:$AR$162,BN5444,0)+INDEX($AT$13:$BB$162,BO5444,0)+INDEX($BD$13:$BL$162,BP5444,0))/100)))&gt;0)*($D$10:$L$10-($D$9:$L$9+INT(($S$12:$AA$12+INDEX($AJ$13:$AR$162,BN5444,0)+INDEX($AT$13:$BB$162,BO5444,0)+INDEX($BD$13:$BL$162,BP5444,0))/100)))),0)</f>
        <v/>
      </c>
      <c r="BS5444">
        <f>IF(5431&lt;$U$9,SUMPRODUCT(($D$9:$L$9+INT(($S$12:$AA$12+INDEX($AJ$13:$AR$162,BN5444,0)+INDEX($AT$13:$BB$162,BO5444,0)+INDEX($BD$13:$BL$162,BP5444,0))/100))),0)</f>
        <v/>
      </c>
      <c r="BT5444">
        <f>IF(AND(5431&lt;$U$9,$W$5),BQ5444*1000000-MIN(BR5444,999)*1000+BS5444-5431/100000,-1000000000-5431)</f>
        <v/>
      </c>
    </row>
    <row r="5445">
      <c r="BN5445">
        <f>IF(5432&lt;$U$9,INT(5432/($U$7*$U$8))+1,1)</f>
        <v/>
      </c>
      <c r="BO5445">
        <f>IF(5432&lt;$U$9,MOD(INT(5432/$U$8),$U$7)+1,1)</f>
        <v/>
      </c>
      <c r="BP5445">
        <f>IF(5432&lt;$U$9,MOD(5432,$U$8)+1,1)</f>
        <v/>
      </c>
      <c r="BQ5445">
        <f>IF(5432&lt;$U$9,SUMPRODUCT(($D$10:$L$10&lt;&gt;"")*(($D$9:$L$9+INT(($S$12:$AA$12+INDEX($AJ$13:$AR$162,BN5445,0)+INDEX($AT$13:$BB$162,BO5445,0)+INDEX($BD$13:$BL$162,BP5445,0))/100))&gt;=$D$10:$L$10)),0)</f>
        <v/>
      </c>
      <c r="BR5445">
        <f>IF(5432&lt;$U$9,SUMPRODUCT(($D$10:$L$10&lt;&gt;"")*(($D$10:$L$10-($D$9:$L$9+INT(($S$12:$AA$12+INDEX($AJ$13:$AR$162,BN5445,0)+INDEX($AT$13:$BB$162,BO5445,0)+INDEX($BD$13:$BL$162,BP5445,0))/100)))&gt;0)*($D$10:$L$10-($D$9:$L$9+INT(($S$12:$AA$12+INDEX($AJ$13:$AR$162,BN5445,0)+INDEX($AT$13:$BB$162,BO5445,0)+INDEX($BD$13:$BL$162,BP5445,0))/100)))),0)</f>
        <v/>
      </c>
      <c r="BS5445">
        <f>IF(5432&lt;$U$9,SUMPRODUCT(($D$9:$L$9+INT(($S$12:$AA$12+INDEX($AJ$13:$AR$162,BN5445,0)+INDEX($AT$13:$BB$162,BO5445,0)+INDEX($BD$13:$BL$162,BP5445,0))/100))),0)</f>
        <v/>
      </c>
      <c r="BT5445">
        <f>IF(AND(5432&lt;$U$9,$W$5),BQ5445*1000000-MIN(BR5445,999)*1000+BS5445-5432/100000,-1000000000-5432)</f>
        <v/>
      </c>
    </row>
    <row r="5446">
      <c r="BN5446">
        <f>IF(5433&lt;$U$9,INT(5433/($U$7*$U$8))+1,1)</f>
        <v/>
      </c>
      <c r="BO5446">
        <f>IF(5433&lt;$U$9,MOD(INT(5433/$U$8),$U$7)+1,1)</f>
        <v/>
      </c>
      <c r="BP5446">
        <f>IF(5433&lt;$U$9,MOD(5433,$U$8)+1,1)</f>
        <v/>
      </c>
      <c r="BQ5446">
        <f>IF(5433&lt;$U$9,SUMPRODUCT(($D$10:$L$10&lt;&gt;"")*(($D$9:$L$9+INT(($S$12:$AA$12+INDEX($AJ$13:$AR$162,BN5446,0)+INDEX($AT$13:$BB$162,BO5446,0)+INDEX($BD$13:$BL$162,BP5446,0))/100))&gt;=$D$10:$L$10)),0)</f>
        <v/>
      </c>
      <c r="BR5446">
        <f>IF(5433&lt;$U$9,SUMPRODUCT(($D$10:$L$10&lt;&gt;"")*(($D$10:$L$10-($D$9:$L$9+INT(($S$12:$AA$12+INDEX($AJ$13:$AR$162,BN5446,0)+INDEX($AT$13:$BB$162,BO5446,0)+INDEX($BD$13:$BL$162,BP5446,0))/100)))&gt;0)*($D$10:$L$10-($D$9:$L$9+INT(($S$12:$AA$12+INDEX($AJ$13:$AR$162,BN5446,0)+INDEX($AT$13:$BB$162,BO5446,0)+INDEX($BD$13:$BL$162,BP5446,0))/100)))),0)</f>
        <v/>
      </c>
      <c r="BS5446">
        <f>IF(5433&lt;$U$9,SUMPRODUCT(($D$9:$L$9+INT(($S$12:$AA$12+INDEX($AJ$13:$AR$162,BN5446,0)+INDEX($AT$13:$BB$162,BO5446,0)+INDEX($BD$13:$BL$162,BP5446,0))/100))),0)</f>
        <v/>
      </c>
      <c r="BT5446">
        <f>IF(AND(5433&lt;$U$9,$W$5),BQ5446*1000000-MIN(BR5446,999)*1000+BS5446-5433/100000,-1000000000-5433)</f>
        <v/>
      </c>
    </row>
    <row r="5447">
      <c r="BN5447">
        <f>IF(5434&lt;$U$9,INT(5434/($U$7*$U$8))+1,1)</f>
        <v/>
      </c>
      <c r="BO5447">
        <f>IF(5434&lt;$U$9,MOD(INT(5434/$U$8),$U$7)+1,1)</f>
        <v/>
      </c>
      <c r="BP5447">
        <f>IF(5434&lt;$U$9,MOD(5434,$U$8)+1,1)</f>
        <v/>
      </c>
      <c r="BQ5447">
        <f>IF(5434&lt;$U$9,SUMPRODUCT(($D$10:$L$10&lt;&gt;"")*(($D$9:$L$9+INT(($S$12:$AA$12+INDEX($AJ$13:$AR$162,BN5447,0)+INDEX($AT$13:$BB$162,BO5447,0)+INDEX($BD$13:$BL$162,BP5447,0))/100))&gt;=$D$10:$L$10)),0)</f>
        <v/>
      </c>
      <c r="BR5447">
        <f>IF(5434&lt;$U$9,SUMPRODUCT(($D$10:$L$10&lt;&gt;"")*(($D$10:$L$10-($D$9:$L$9+INT(($S$12:$AA$12+INDEX($AJ$13:$AR$162,BN5447,0)+INDEX($AT$13:$BB$162,BO5447,0)+INDEX($BD$13:$BL$162,BP5447,0))/100)))&gt;0)*($D$10:$L$10-($D$9:$L$9+INT(($S$12:$AA$12+INDEX($AJ$13:$AR$162,BN5447,0)+INDEX($AT$13:$BB$162,BO5447,0)+INDEX($BD$13:$BL$162,BP5447,0))/100)))),0)</f>
        <v/>
      </c>
      <c r="BS5447">
        <f>IF(5434&lt;$U$9,SUMPRODUCT(($D$9:$L$9+INT(($S$12:$AA$12+INDEX($AJ$13:$AR$162,BN5447,0)+INDEX($AT$13:$BB$162,BO5447,0)+INDEX($BD$13:$BL$162,BP5447,0))/100))),0)</f>
        <v/>
      </c>
      <c r="BT5447">
        <f>IF(AND(5434&lt;$U$9,$W$5),BQ5447*1000000-MIN(BR5447,999)*1000+BS5447-5434/100000,-1000000000-5434)</f>
        <v/>
      </c>
    </row>
    <row r="5448">
      <c r="BN5448">
        <f>IF(5435&lt;$U$9,INT(5435/($U$7*$U$8))+1,1)</f>
        <v/>
      </c>
      <c r="BO5448">
        <f>IF(5435&lt;$U$9,MOD(INT(5435/$U$8),$U$7)+1,1)</f>
        <v/>
      </c>
      <c r="BP5448">
        <f>IF(5435&lt;$U$9,MOD(5435,$U$8)+1,1)</f>
        <v/>
      </c>
      <c r="BQ5448">
        <f>IF(5435&lt;$U$9,SUMPRODUCT(($D$10:$L$10&lt;&gt;"")*(($D$9:$L$9+INT(($S$12:$AA$12+INDEX($AJ$13:$AR$162,BN5448,0)+INDEX($AT$13:$BB$162,BO5448,0)+INDEX($BD$13:$BL$162,BP5448,0))/100))&gt;=$D$10:$L$10)),0)</f>
        <v/>
      </c>
      <c r="BR5448">
        <f>IF(5435&lt;$U$9,SUMPRODUCT(($D$10:$L$10&lt;&gt;"")*(($D$10:$L$10-($D$9:$L$9+INT(($S$12:$AA$12+INDEX($AJ$13:$AR$162,BN5448,0)+INDEX($AT$13:$BB$162,BO5448,0)+INDEX($BD$13:$BL$162,BP5448,0))/100)))&gt;0)*($D$10:$L$10-($D$9:$L$9+INT(($S$12:$AA$12+INDEX($AJ$13:$AR$162,BN5448,0)+INDEX($AT$13:$BB$162,BO5448,0)+INDEX($BD$13:$BL$162,BP5448,0))/100)))),0)</f>
        <v/>
      </c>
      <c r="BS5448">
        <f>IF(5435&lt;$U$9,SUMPRODUCT(($D$9:$L$9+INT(($S$12:$AA$12+INDEX($AJ$13:$AR$162,BN5448,0)+INDEX($AT$13:$BB$162,BO5448,0)+INDEX($BD$13:$BL$162,BP5448,0))/100))),0)</f>
        <v/>
      </c>
      <c r="BT5448">
        <f>IF(AND(5435&lt;$U$9,$W$5),BQ5448*1000000-MIN(BR5448,999)*1000+BS5448-5435/100000,-1000000000-5435)</f>
        <v/>
      </c>
    </row>
    <row r="5449">
      <c r="BN5449">
        <f>IF(5436&lt;$U$9,INT(5436/($U$7*$U$8))+1,1)</f>
        <v/>
      </c>
      <c r="BO5449">
        <f>IF(5436&lt;$U$9,MOD(INT(5436/$U$8),$U$7)+1,1)</f>
        <v/>
      </c>
      <c r="BP5449">
        <f>IF(5436&lt;$U$9,MOD(5436,$U$8)+1,1)</f>
        <v/>
      </c>
      <c r="BQ5449">
        <f>IF(5436&lt;$U$9,SUMPRODUCT(($D$10:$L$10&lt;&gt;"")*(($D$9:$L$9+INT(($S$12:$AA$12+INDEX($AJ$13:$AR$162,BN5449,0)+INDEX($AT$13:$BB$162,BO5449,0)+INDEX($BD$13:$BL$162,BP5449,0))/100))&gt;=$D$10:$L$10)),0)</f>
        <v/>
      </c>
      <c r="BR5449">
        <f>IF(5436&lt;$U$9,SUMPRODUCT(($D$10:$L$10&lt;&gt;"")*(($D$10:$L$10-($D$9:$L$9+INT(($S$12:$AA$12+INDEX($AJ$13:$AR$162,BN5449,0)+INDEX($AT$13:$BB$162,BO5449,0)+INDEX($BD$13:$BL$162,BP5449,0))/100)))&gt;0)*($D$10:$L$10-($D$9:$L$9+INT(($S$12:$AA$12+INDEX($AJ$13:$AR$162,BN5449,0)+INDEX($AT$13:$BB$162,BO5449,0)+INDEX($BD$13:$BL$162,BP5449,0))/100)))),0)</f>
        <v/>
      </c>
      <c r="BS5449">
        <f>IF(5436&lt;$U$9,SUMPRODUCT(($D$9:$L$9+INT(($S$12:$AA$12+INDEX($AJ$13:$AR$162,BN5449,0)+INDEX($AT$13:$BB$162,BO5449,0)+INDEX($BD$13:$BL$162,BP5449,0))/100))),0)</f>
        <v/>
      </c>
      <c r="BT5449">
        <f>IF(AND(5436&lt;$U$9,$W$5),BQ5449*1000000-MIN(BR5449,999)*1000+BS5449-5436/100000,-1000000000-5436)</f>
        <v/>
      </c>
    </row>
    <row r="5450">
      <c r="BN5450">
        <f>IF(5437&lt;$U$9,INT(5437/($U$7*$U$8))+1,1)</f>
        <v/>
      </c>
      <c r="BO5450">
        <f>IF(5437&lt;$U$9,MOD(INT(5437/$U$8),$U$7)+1,1)</f>
        <v/>
      </c>
      <c r="BP5450">
        <f>IF(5437&lt;$U$9,MOD(5437,$U$8)+1,1)</f>
        <v/>
      </c>
      <c r="BQ5450">
        <f>IF(5437&lt;$U$9,SUMPRODUCT(($D$10:$L$10&lt;&gt;"")*(($D$9:$L$9+INT(($S$12:$AA$12+INDEX($AJ$13:$AR$162,BN5450,0)+INDEX($AT$13:$BB$162,BO5450,0)+INDEX($BD$13:$BL$162,BP5450,0))/100))&gt;=$D$10:$L$10)),0)</f>
        <v/>
      </c>
      <c r="BR5450">
        <f>IF(5437&lt;$U$9,SUMPRODUCT(($D$10:$L$10&lt;&gt;"")*(($D$10:$L$10-($D$9:$L$9+INT(($S$12:$AA$12+INDEX($AJ$13:$AR$162,BN5450,0)+INDEX($AT$13:$BB$162,BO5450,0)+INDEX($BD$13:$BL$162,BP5450,0))/100)))&gt;0)*($D$10:$L$10-($D$9:$L$9+INT(($S$12:$AA$12+INDEX($AJ$13:$AR$162,BN5450,0)+INDEX($AT$13:$BB$162,BO5450,0)+INDEX($BD$13:$BL$162,BP5450,0))/100)))),0)</f>
        <v/>
      </c>
      <c r="BS5450">
        <f>IF(5437&lt;$U$9,SUMPRODUCT(($D$9:$L$9+INT(($S$12:$AA$12+INDEX($AJ$13:$AR$162,BN5450,0)+INDEX($AT$13:$BB$162,BO5450,0)+INDEX($BD$13:$BL$162,BP5450,0))/100))),0)</f>
        <v/>
      </c>
      <c r="BT5450">
        <f>IF(AND(5437&lt;$U$9,$W$5),BQ5450*1000000-MIN(BR5450,999)*1000+BS5450-5437/100000,-1000000000-5437)</f>
        <v/>
      </c>
    </row>
    <row r="5451">
      <c r="BN5451">
        <f>IF(5438&lt;$U$9,INT(5438/($U$7*$U$8))+1,1)</f>
        <v/>
      </c>
      <c r="BO5451">
        <f>IF(5438&lt;$U$9,MOD(INT(5438/$U$8),$U$7)+1,1)</f>
        <v/>
      </c>
      <c r="BP5451">
        <f>IF(5438&lt;$U$9,MOD(5438,$U$8)+1,1)</f>
        <v/>
      </c>
      <c r="BQ5451">
        <f>IF(5438&lt;$U$9,SUMPRODUCT(($D$10:$L$10&lt;&gt;"")*(($D$9:$L$9+INT(($S$12:$AA$12+INDEX($AJ$13:$AR$162,BN5451,0)+INDEX($AT$13:$BB$162,BO5451,0)+INDEX($BD$13:$BL$162,BP5451,0))/100))&gt;=$D$10:$L$10)),0)</f>
        <v/>
      </c>
      <c r="BR5451">
        <f>IF(5438&lt;$U$9,SUMPRODUCT(($D$10:$L$10&lt;&gt;"")*(($D$10:$L$10-($D$9:$L$9+INT(($S$12:$AA$12+INDEX($AJ$13:$AR$162,BN5451,0)+INDEX($AT$13:$BB$162,BO5451,0)+INDEX($BD$13:$BL$162,BP5451,0))/100)))&gt;0)*($D$10:$L$10-($D$9:$L$9+INT(($S$12:$AA$12+INDEX($AJ$13:$AR$162,BN5451,0)+INDEX($AT$13:$BB$162,BO5451,0)+INDEX($BD$13:$BL$162,BP5451,0))/100)))),0)</f>
        <v/>
      </c>
      <c r="BS5451">
        <f>IF(5438&lt;$U$9,SUMPRODUCT(($D$9:$L$9+INT(($S$12:$AA$12+INDEX($AJ$13:$AR$162,BN5451,0)+INDEX($AT$13:$BB$162,BO5451,0)+INDEX($BD$13:$BL$162,BP5451,0))/100))),0)</f>
        <v/>
      </c>
      <c r="BT5451">
        <f>IF(AND(5438&lt;$U$9,$W$5),BQ5451*1000000-MIN(BR5451,999)*1000+BS5451-5438/100000,-1000000000-5438)</f>
        <v/>
      </c>
    </row>
    <row r="5452">
      <c r="BN5452">
        <f>IF(5439&lt;$U$9,INT(5439/($U$7*$U$8))+1,1)</f>
        <v/>
      </c>
      <c r="BO5452">
        <f>IF(5439&lt;$U$9,MOD(INT(5439/$U$8),$U$7)+1,1)</f>
        <v/>
      </c>
      <c r="BP5452">
        <f>IF(5439&lt;$U$9,MOD(5439,$U$8)+1,1)</f>
        <v/>
      </c>
      <c r="BQ5452">
        <f>IF(5439&lt;$U$9,SUMPRODUCT(($D$10:$L$10&lt;&gt;"")*(($D$9:$L$9+INT(($S$12:$AA$12+INDEX($AJ$13:$AR$162,BN5452,0)+INDEX($AT$13:$BB$162,BO5452,0)+INDEX($BD$13:$BL$162,BP5452,0))/100))&gt;=$D$10:$L$10)),0)</f>
        <v/>
      </c>
      <c r="BR5452">
        <f>IF(5439&lt;$U$9,SUMPRODUCT(($D$10:$L$10&lt;&gt;"")*(($D$10:$L$10-($D$9:$L$9+INT(($S$12:$AA$12+INDEX($AJ$13:$AR$162,BN5452,0)+INDEX($AT$13:$BB$162,BO5452,0)+INDEX($BD$13:$BL$162,BP5452,0))/100)))&gt;0)*($D$10:$L$10-($D$9:$L$9+INT(($S$12:$AA$12+INDEX($AJ$13:$AR$162,BN5452,0)+INDEX($AT$13:$BB$162,BO5452,0)+INDEX($BD$13:$BL$162,BP5452,0))/100)))),0)</f>
        <v/>
      </c>
      <c r="BS5452">
        <f>IF(5439&lt;$U$9,SUMPRODUCT(($D$9:$L$9+INT(($S$12:$AA$12+INDEX($AJ$13:$AR$162,BN5452,0)+INDEX($AT$13:$BB$162,BO5452,0)+INDEX($BD$13:$BL$162,BP5452,0))/100))),0)</f>
        <v/>
      </c>
      <c r="BT5452">
        <f>IF(AND(5439&lt;$U$9,$W$5),BQ5452*1000000-MIN(BR5452,999)*1000+BS5452-5439/100000,-1000000000-5439)</f>
        <v/>
      </c>
    </row>
    <row r="5453">
      <c r="BN5453">
        <f>IF(5440&lt;$U$9,INT(5440/($U$7*$U$8))+1,1)</f>
        <v/>
      </c>
      <c r="BO5453">
        <f>IF(5440&lt;$U$9,MOD(INT(5440/$U$8),$U$7)+1,1)</f>
        <v/>
      </c>
      <c r="BP5453">
        <f>IF(5440&lt;$U$9,MOD(5440,$U$8)+1,1)</f>
        <v/>
      </c>
      <c r="BQ5453">
        <f>IF(5440&lt;$U$9,SUMPRODUCT(($D$10:$L$10&lt;&gt;"")*(($D$9:$L$9+INT(($S$12:$AA$12+INDEX($AJ$13:$AR$162,BN5453,0)+INDEX($AT$13:$BB$162,BO5453,0)+INDEX($BD$13:$BL$162,BP5453,0))/100))&gt;=$D$10:$L$10)),0)</f>
        <v/>
      </c>
      <c r="BR5453">
        <f>IF(5440&lt;$U$9,SUMPRODUCT(($D$10:$L$10&lt;&gt;"")*(($D$10:$L$10-($D$9:$L$9+INT(($S$12:$AA$12+INDEX($AJ$13:$AR$162,BN5453,0)+INDEX($AT$13:$BB$162,BO5453,0)+INDEX($BD$13:$BL$162,BP5453,0))/100)))&gt;0)*($D$10:$L$10-($D$9:$L$9+INT(($S$12:$AA$12+INDEX($AJ$13:$AR$162,BN5453,0)+INDEX($AT$13:$BB$162,BO5453,0)+INDEX($BD$13:$BL$162,BP5453,0))/100)))),0)</f>
        <v/>
      </c>
      <c r="BS5453">
        <f>IF(5440&lt;$U$9,SUMPRODUCT(($D$9:$L$9+INT(($S$12:$AA$12+INDEX($AJ$13:$AR$162,BN5453,0)+INDEX($AT$13:$BB$162,BO5453,0)+INDEX($BD$13:$BL$162,BP5453,0))/100))),0)</f>
        <v/>
      </c>
      <c r="BT5453">
        <f>IF(AND(5440&lt;$U$9,$W$5),BQ5453*1000000-MIN(BR5453,999)*1000+BS5453-5440/100000,-1000000000-5440)</f>
        <v/>
      </c>
    </row>
    <row r="5454">
      <c r="BN5454">
        <f>IF(5441&lt;$U$9,INT(5441/($U$7*$U$8))+1,1)</f>
        <v/>
      </c>
      <c r="BO5454">
        <f>IF(5441&lt;$U$9,MOD(INT(5441/$U$8),$U$7)+1,1)</f>
        <v/>
      </c>
      <c r="BP5454">
        <f>IF(5441&lt;$U$9,MOD(5441,$U$8)+1,1)</f>
        <v/>
      </c>
      <c r="BQ5454">
        <f>IF(5441&lt;$U$9,SUMPRODUCT(($D$10:$L$10&lt;&gt;"")*(($D$9:$L$9+INT(($S$12:$AA$12+INDEX($AJ$13:$AR$162,BN5454,0)+INDEX($AT$13:$BB$162,BO5454,0)+INDEX($BD$13:$BL$162,BP5454,0))/100))&gt;=$D$10:$L$10)),0)</f>
        <v/>
      </c>
      <c r="BR5454">
        <f>IF(5441&lt;$U$9,SUMPRODUCT(($D$10:$L$10&lt;&gt;"")*(($D$10:$L$10-($D$9:$L$9+INT(($S$12:$AA$12+INDEX($AJ$13:$AR$162,BN5454,0)+INDEX($AT$13:$BB$162,BO5454,0)+INDEX($BD$13:$BL$162,BP5454,0))/100)))&gt;0)*($D$10:$L$10-($D$9:$L$9+INT(($S$12:$AA$12+INDEX($AJ$13:$AR$162,BN5454,0)+INDEX($AT$13:$BB$162,BO5454,0)+INDEX($BD$13:$BL$162,BP5454,0))/100)))),0)</f>
        <v/>
      </c>
      <c r="BS5454">
        <f>IF(5441&lt;$U$9,SUMPRODUCT(($D$9:$L$9+INT(($S$12:$AA$12+INDEX($AJ$13:$AR$162,BN5454,0)+INDEX($AT$13:$BB$162,BO5454,0)+INDEX($BD$13:$BL$162,BP5454,0))/100))),0)</f>
        <v/>
      </c>
      <c r="BT5454">
        <f>IF(AND(5441&lt;$U$9,$W$5),BQ5454*1000000-MIN(BR5454,999)*1000+BS5454-5441/100000,-1000000000-5441)</f>
        <v/>
      </c>
    </row>
    <row r="5455">
      <c r="BN5455">
        <f>IF(5442&lt;$U$9,INT(5442/($U$7*$U$8))+1,1)</f>
        <v/>
      </c>
      <c r="BO5455">
        <f>IF(5442&lt;$U$9,MOD(INT(5442/$U$8),$U$7)+1,1)</f>
        <v/>
      </c>
      <c r="BP5455">
        <f>IF(5442&lt;$U$9,MOD(5442,$U$8)+1,1)</f>
        <v/>
      </c>
      <c r="BQ5455">
        <f>IF(5442&lt;$U$9,SUMPRODUCT(($D$10:$L$10&lt;&gt;"")*(($D$9:$L$9+INT(($S$12:$AA$12+INDEX($AJ$13:$AR$162,BN5455,0)+INDEX($AT$13:$BB$162,BO5455,0)+INDEX($BD$13:$BL$162,BP5455,0))/100))&gt;=$D$10:$L$10)),0)</f>
        <v/>
      </c>
      <c r="BR5455">
        <f>IF(5442&lt;$U$9,SUMPRODUCT(($D$10:$L$10&lt;&gt;"")*(($D$10:$L$10-($D$9:$L$9+INT(($S$12:$AA$12+INDEX($AJ$13:$AR$162,BN5455,0)+INDEX($AT$13:$BB$162,BO5455,0)+INDEX($BD$13:$BL$162,BP5455,0))/100)))&gt;0)*($D$10:$L$10-($D$9:$L$9+INT(($S$12:$AA$12+INDEX($AJ$13:$AR$162,BN5455,0)+INDEX($AT$13:$BB$162,BO5455,0)+INDEX($BD$13:$BL$162,BP5455,0))/100)))),0)</f>
        <v/>
      </c>
      <c r="BS5455">
        <f>IF(5442&lt;$U$9,SUMPRODUCT(($D$9:$L$9+INT(($S$12:$AA$12+INDEX($AJ$13:$AR$162,BN5455,0)+INDEX($AT$13:$BB$162,BO5455,0)+INDEX($BD$13:$BL$162,BP5455,0))/100))),0)</f>
        <v/>
      </c>
      <c r="BT5455">
        <f>IF(AND(5442&lt;$U$9,$W$5),BQ5455*1000000-MIN(BR5455,999)*1000+BS5455-5442/100000,-1000000000-5442)</f>
        <v/>
      </c>
    </row>
    <row r="5456">
      <c r="BN5456">
        <f>IF(5443&lt;$U$9,INT(5443/($U$7*$U$8))+1,1)</f>
        <v/>
      </c>
      <c r="BO5456">
        <f>IF(5443&lt;$U$9,MOD(INT(5443/$U$8),$U$7)+1,1)</f>
        <v/>
      </c>
      <c r="BP5456">
        <f>IF(5443&lt;$U$9,MOD(5443,$U$8)+1,1)</f>
        <v/>
      </c>
      <c r="BQ5456">
        <f>IF(5443&lt;$U$9,SUMPRODUCT(($D$10:$L$10&lt;&gt;"")*(($D$9:$L$9+INT(($S$12:$AA$12+INDEX($AJ$13:$AR$162,BN5456,0)+INDEX($AT$13:$BB$162,BO5456,0)+INDEX($BD$13:$BL$162,BP5456,0))/100))&gt;=$D$10:$L$10)),0)</f>
        <v/>
      </c>
      <c r="BR5456">
        <f>IF(5443&lt;$U$9,SUMPRODUCT(($D$10:$L$10&lt;&gt;"")*(($D$10:$L$10-($D$9:$L$9+INT(($S$12:$AA$12+INDEX($AJ$13:$AR$162,BN5456,0)+INDEX($AT$13:$BB$162,BO5456,0)+INDEX($BD$13:$BL$162,BP5456,0))/100)))&gt;0)*($D$10:$L$10-($D$9:$L$9+INT(($S$12:$AA$12+INDEX($AJ$13:$AR$162,BN5456,0)+INDEX($AT$13:$BB$162,BO5456,0)+INDEX($BD$13:$BL$162,BP5456,0))/100)))),0)</f>
        <v/>
      </c>
      <c r="BS5456">
        <f>IF(5443&lt;$U$9,SUMPRODUCT(($D$9:$L$9+INT(($S$12:$AA$12+INDEX($AJ$13:$AR$162,BN5456,0)+INDEX($AT$13:$BB$162,BO5456,0)+INDEX($BD$13:$BL$162,BP5456,0))/100))),0)</f>
        <v/>
      </c>
      <c r="BT5456">
        <f>IF(AND(5443&lt;$U$9,$W$5),BQ5456*1000000-MIN(BR5456,999)*1000+BS5456-5443/100000,-1000000000-5443)</f>
        <v/>
      </c>
    </row>
    <row r="5457">
      <c r="BN5457">
        <f>IF(5444&lt;$U$9,INT(5444/($U$7*$U$8))+1,1)</f>
        <v/>
      </c>
      <c r="BO5457">
        <f>IF(5444&lt;$U$9,MOD(INT(5444/$U$8),$U$7)+1,1)</f>
        <v/>
      </c>
      <c r="BP5457">
        <f>IF(5444&lt;$U$9,MOD(5444,$U$8)+1,1)</f>
        <v/>
      </c>
      <c r="BQ5457">
        <f>IF(5444&lt;$U$9,SUMPRODUCT(($D$10:$L$10&lt;&gt;"")*(($D$9:$L$9+INT(($S$12:$AA$12+INDEX($AJ$13:$AR$162,BN5457,0)+INDEX($AT$13:$BB$162,BO5457,0)+INDEX($BD$13:$BL$162,BP5457,0))/100))&gt;=$D$10:$L$10)),0)</f>
        <v/>
      </c>
      <c r="BR5457">
        <f>IF(5444&lt;$U$9,SUMPRODUCT(($D$10:$L$10&lt;&gt;"")*(($D$10:$L$10-($D$9:$L$9+INT(($S$12:$AA$12+INDEX($AJ$13:$AR$162,BN5457,0)+INDEX($AT$13:$BB$162,BO5457,0)+INDEX($BD$13:$BL$162,BP5457,0))/100)))&gt;0)*($D$10:$L$10-($D$9:$L$9+INT(($S$12:$AA$12+INDEX($AJ$13:$AR$162,BN5457,0)+INDEX($AT$13:$BB$162,BO5457,0)+INDEX($BD$13:$BL$162,BP5457,0))/100)))),0)</f>
        <v/>
      </c>
      <c r="BS5457">
        <f>IF(5444&lt;$U$9,SUMPRODUCT(($D$9:$L$9+INT(($S$12:$AA$12+INDEX($AJ$13:$AR$162,BN5457,0)+INDEX($AT$13:$BB$162,BO5457,0)+INDEX($BD$13:$BL$162,BP5457,0))/100))),0)</f>
        <v/>
      </c>
      <c r="BT5457">
        <f>IF(AND(5444&lt;$U$9,$W$5),BQ5457*1000000-MIN(BR5457,999)*1000+BS5457-5444/100000,-1000000000-5444)</f>
        <v/>
      </c>
    </row>
    <row r="5458">
      <c r="BN5458">
        <f>IF(5445&lt;$U$9,INT(5445/($U$7*$U$8))+1,1)</f>
        <v/>
      </c>
      <c r="BO5458">
        <f>IF(5445&lt;$U$9,MOD(INT(5445/$U$8),$U$7)+1,1)</f>
        <v/>
      </c>
      <c r="BP5458">
        <f>IF(5445&lt;$U$9,MOD(5445,$U$8)+1,1)</f>
        <v/>
      </c>
      <c r="BQ5458">
        <f>IF(5445&lt;$U$9,SUMPRODUCT(($D$10:$L$10&lt;&gt;"")*(($D$9:$L$9+INT(($S$12:$AA$12+INDEX($AJ$13:$AR$162,BN5458,0)+INDEX($AT$13:$BB$162,BO5458,0)+INDEX($BD$13:$BL$162,BP5458,0))/100))&gt;=$D$10:$L$10)),0)</f>
        <v/>
      </c>
      <c r="BR5458">
        <f>IF(5445&lt;$U$9,SUMPRODUCT(($D$10:$L$10&lt;&gt;"")*(($D$10:$L$10-($D$9:$L$9+INT(($S$12:$AA$12+INDEX($AJ$13:$AR$162,BN5458,0)+INDEX($AT$13:$BB$162,BO5458,0)+INDEX($BD$13:$BL$162,BP5458,0))/100)))&gt;0)*($D$10:$L$10-($D$9:$L$9+INT(($S$12:$AA$12+INDEX($AJ$13:$AR$162,BN5458,0)+INDEX($AT$13:$BB$162,BO5458,0)+INDEX($BD$13:$BL$162,BP5458,0))/100)))),0)</f>
        <v/>
      </c>
      <c r="BS5458">
        <f>IF(5445&lt;$U$9,SUMPRODUCT(($D$9:$L$9+INT(($S$12:$AA$12+INDEX($AJ$13:$AR$162,BN5458,0)+INDEX($AT$13:$BB$162,BO5458,0)+INDEX($BD$13:$BL$162,BP5458,0))/100))),0)</f>
        <v/>
      </c>
      <c r="BT5458">
        <f>IF(AND(5445&lt;$U$9,$W$5),BQ5458*1000000-MIN(BR5458,999)*1000+BS5458-5445/100000,-1000000000-5445)</f>
        <v/>
      </c>
    </row>
    <row r="5459">
      <c r="BN5459">
        <f>IF(5446&lt;$U$9,INT(5446/($U$7*$U$8))+1,1)</f>
        <v/>
      </c>
      <c r="BO5459">
        <f>IF(5446&lt;$U$9,MOD(INT(5446/$U$8),$U$7)+1,1)</f>
        <v/>
      </c>
      <c r="BP5459">
        <f>IF(5446&lt;$U$9,MOD(5446,$U$8)+1,1)</f>
        <v/>
      </c>
      <c r="BQ5459">
        <f>IF(5446&lt;$U$9,SUMPRODUCT(($D$10:$L$10&lt;&gt;"")*(($D$9:$L$9+INT(($S$12:$AA$12+INDEX($AJ$13:$AR$162,BN5459,0)+INDEX($AT$13:$BB$162,BO5459,0)+INDEX($BD$13:$BL$162,BP5459,0))/100))&gt;=$D$10:$L$10)),0)</f>
        <v/>
      </c>
      <c r="BR5459">
        <f>IF(5446&lt;$U$9,SUMPRODUCT(($D$10:$L$10&lt;&gt;"")*(($D$10:$L$10-($D$9:$L$9+INT(($S$12:$AA$12+INDEX($AJ$13:$AR$162,BN5459,0)+INDEX($AT$13:$BB$162,BO5459,0)+INDEX($BD$13:$BL$162,BP5459,0))/100)))&gt;0)*($D$10:$L$10-($D$9:$L$9+INT(($S$12:$AA$12+INDEX($AJ$13:$AR$162,BN5459,0)+INDEX($AT$13:$BB$162,BO5459,0)+INDEX($BD$13:$BL$162,BP5459,0))/100)))),0)</f>
        <v/>
      </c>
      <c r="BS5459">
        <f>IF(5446&lt;$U$9,SUMPRODUCT(($D$9:$L$9+INT(($S$12:$AA$12+INDEX($AJ$13:$AR$162,BN5459,0)+INDEX($AT$13:$BB$162,BO5459,0)+INDEX($BD$13:$BL$162,BP5459,0))/100))),0)</f>
        <v/>
      </c>
      <c r="BT5459">
        <f>IF(AND(5446&lt;$U$9,$W$5),BQ5459*1000000-MIN(BR5459,999)*1000+BS5459-5446/100000,-1000000000-5446)</f>
        <v/>
      </c>
    </row>
    <row r="5460">
      <c r="BN5460">
        <f>IF(5447&lt;$U$9,INT(5447/($U$7*$U$8))+1,1)</f>
        <v/>
      </c>
      <c r="BO5460">
        <f>IF(5447&lt;$U$9,MOD(INT(5447/$U$8),$U$7)+1,1)</f>
        <v/>
      </c>
      <c r="BP5460">
        <f>IF(5447&lt;$U$9,MOD(5447,$U$8)+1,1)</f>
        <v/>
      </c>
      <c r="BQ5460">
        <f>IF(5447&lt;$U$9,SUMPRODUCT(($D$10:$L$10&lt;&gt;"")*(($D$9:$L$9+INT(($S$12:$AA$12+INDEX($AJ$13:$AR$162,BN5460,0)+INDEX($AT$13:$BB$162,BO5460,0)+INDEX($BD$13:$BL$162,BP5460,0))/100))&gt;=$D$10:$L$10)),0)</f>
        <v/>
      </c>
      <c r="BR5460">
        <f>IF(5447&lt;$U$9,SUMPRODUCT(($D$10:$L$10&lt;&gt;"")*(($D$10:$L$10-($D$9:$L$9+INT(($S$12:$AA$12+INDEX($AJ$13:$AR$162,BN5460,0)+INDEX($AT$13:$BB$162,BO5460,0)+INDEX($BD$13:$BL$162,BP5460,0))/100)))&gt;0)*($D$10:$L$10-($D$9:$L$9+INT(($S$12:$AA$12+INDEX($AJ$13:$AR$162,BN5460,0)+INDEX($AT$13:$BB$162,BO5460,0)+INDEX($BD$13:$BL$162,BP5460,0))/100)))),0)</f>
        <v/>
      </c>
      <c r="BS5460">
        <f>IF(5447&lt;$U$9,SUMPRODUCT(($D$9:$L$9+INT(($S$12:$AA$12+INDEX($AJ$13:$AR$162,BN5460,0)+INDEX($AT$13:$BB$162,BO5460,0)+INDEX($BD$13:$BL$162,BP5460,0))/100))),0)</f>
        <v/>
      </c>
      <c r="BT5460">
        <f>IF(AND(5447&lt;$U$9,$W$5),BQ5460*1000000-MIN(BR5460,999)*1000+BS5460-5447/100000,-1000000000-5447)</f>
        <v/>
      </c>
    </row>
    <row r="5461">
      <c r="BN5461">
        <f>IF(5448&lt;$U$9,INT(5448/($U$7*$U$8))+1,1)</f>
        <v/>
      </c>
      <c r="BO5461">
        <f>IF(5448&lt;$U$9,MOD(INT(5448/$U$8),$U$7)+1,1)</f>
        <v/>
      </c>
      <c r="BP5461">
        <f>IF(5448&lt;$U$9,MOD(5448,$U$8)+1,1)</f>
        <v/>
      </c>
      <c r="BQ5461">
        <f>IF(5448&lt;$U$9,SUMPRODUCT(($D$10:$L$10&lt;&gt;"")*(($D$9:$L$9+INT(($S$12:$AA$12+INDEX($AJ$13:$AR$162,BN5461,0)+INDEX($AT$13:$BB$162,BO5461,0)+INDEX($BD$13:$BL$162,BP5461,0))/100))&gt;=$D$10:$L$10)),0)</f>
        <v/>
      </c>
      <c r="BR5461">
        <f>IF(5448&lt;$U$9,SUMPRODUCT(($D$10:$L$10&lt;&gt;"")*(($D$10:$L$10-($D$9:$L$9+INT(($S$12:$AA$12+INDEX($AJ$13:$AR$162,BN5461,0)+INDEX($AT$13:$BB$162,BO5461,0)+INDEX($BD$13:$BL$162,BP5461,0))/100)))&gt;0)*($D$10:$L$10-($D$9:$L$9+INT(($S$12:$AA$12+INDEX($AJ$13:$AR$162,BN5461,0)+INDEX($AT$13:$BB$162,BO5461,0)+INDEX($BD$13:$BL$162,BP5461,0))/100)))),0)</f>
        <v/>
      </c>
      <c r="BS5461">
        <f>IF(5448&lt;$U$9,SUMPRODUCT(($D$9:$L$9+INT(($S$12:$AA$12+INDEX($AJ$13:$AR$162,BN5461,0)+INDEX($AT$13:$BB$162,BO5461,0)+INDEX($BD$13:$BL$162,BP5461,0))/100))),0)</f>
        <v/>
      </c>
      <c r="BT5461">
        <f>IF(AND(5448&lt;$U$9,$W$5),BQ5461*1000000-MIN(BR5461,999)*1000+BS5461-5448/100000,-1000000000-5448)</f>
        <v/>
      </c>
    </row>
    <row r="5462">
      <c r="BN5462">
        <f>IF(5449&lt;$U$9,INT(5449/($U$7*$U$8))+1,1)</f>
        <v/>
      </c>
      <c r="BO5462">
        <f>IF(5449&lt;$U$9,MOD(INT(5449/$U$8),$U$7)+1,1)</f>
        <v/>
      </c>
      <c r="BP5462">
        <f>IF(5449&lt;$U$9,MOD(5449,$U$8)+1,1)</f>
        <v/>
      </c>
      <c r="BQ5462">
        <f>IF(5449&lt;$U$9,SUMPRODUCT(($D$10:$L$10&lt;&gt;"")*(($D$9:$L$9+INT(($S$12:$AA$12+INDEX($AJ$13:$AR$162,BN5462,0)+INDEX($AT$13:$BB$162,BO5462,0)+INDEX($BD$13:$BL$162,BP5462,0))/100))&gt;=$D$10:$L$10)),0)</f>
        <v/>
      </c>
      <c r="BR5462">
        <f>IF(5449&lt;$U$9,SUMPRODUCT(($D$10:$L$10&lt;&gt;"")*(($D$10:$L$10-($D$9:$L$9+INT(($S$12:$AA$12+INDEX($AJ$13:$AR$162,BN5462,0)+INDEX($AT$13:$BB$162,BO5462,0)+INDEX($BD$13:$BL$162,BP5462,0))/100)))&gt;0)*($D$10:$L$10-($D$9:$L$9+INT(($S$12:$AA$12+INDEX($AJ$13:$AR$162,BN5462,0)+INDEX($AT$13:$BB$162,BO5462,0)+INDEX($BD$13:$BL$162,BP5462,0))/100)))),0)</f>
        <v/>
      </c>
      <c r="BS5462">
        <f>IF(5449&lt;$U$9,SUMPRODUCT(($D$9:$L$9+INT(($S$12:$AA$12+INDEX($AJ$13:$AR$162,BN5462,0)+INDEX($AT$13:$BB$162,BO5462,0)+INDEX($BD$13:$BL$162,BP5462,0))/100))),0)</f>
        <v/>
      </c>
      <c r="BT5462">
        <f>IF(AND(5449&lt;$U$9,$W$5),BQ5462*1000000-MIN(BR5462,999)*1000+BS5462-5449/100000,-1000000000-5449)</f>
        <v/>
      </c>
    </row>
    <row r="5463">
      <c r="BN5463">
        <f>IF(5450&lt;$U$9,INT(5450/($U$7*$U$8))+1,1)</f>
        <v/>
      </c>
      <c r="BO5463">
        <f>IF(5450&lt;$U$9,MOD(INT(5450/$U$8),$U$7)+1,1)</f>
        <v/>
      </c>
      <c r="BP5463">
        <f>IF(5450&lt;$U$9,MOD(5450,$U$8)+1,1)</f>
        <v/>
      </c>
      <c r="BQ5463">
        <f>IF(5450&lt;$U$9,SUMPRODUCT(($D$10:$L$10&lt;&gt;"")*(($D$9:$L$9+INT(($S$12:$AA$12+INDEX($AJ$13:$AR$162,BN5463,0)+INDEX($AT$13:$BB$162,BO5463,0)+INDEX($BD$13:$BL$162,BP5463,0))/100))&gt;=$D$10:$L$10)),0)</f>
        <v/>
      </c>
      <c r="BR5463">
        <f>IF(5450&lt;$U$9,SUMPRODUCT(($D$10:$L$10&lt;&gt;"")*(($D$10:$L$10-($D$9:$L$9+INT(($S$12:$AA$12+INDEX($AJ$13:$AR$162,BN5463,0)+INDEX($AT$13:$BB$162,BO5463,0)+INDEX($BD$13:$BL$162,BP5463,0))/100)))&gt;0)*($D$10:$L$10-($D$9:$L$9+INT(($S$12:$AA$12+INDEX($AJ$13:$AR$162,BN5463,0)+INDEX($AT$13:$BB$162,BO5463,0)+INDEX($BD$13:$BL$162,BP5463,0))/100)))),0)</f>
        <v/>
      </c>
      <c r="BS5463">
        <f>IF(5450&lt;$U$9,SUMPRODUCT(($D$9:$L$9+INT(($S$12:$AA$12+INDEX($AJ$13:$AR$162,BN5463,0)+INDEX($AT$13:$BB$162,BO5463,0)+INDEX($BD$13:$BL$162,BP5463,0))/100))),0)</f>
        <v/>
      </c>
      <c r="BT5463">
        <f>IF(AND(5450&lt;$U$9,$W$5),BQ5463*1000000-MIN(BR5463,999)*1000+BS5463-5450/100000,-1000000000-5450)</f>
        <v/>
      </c>
    </row>
    <row r="5464">
      <c r="BN5464">
        <f>IF(5451&lt;$U$9,INT(5451/($U$7*$U$8))+1,1)</f>
        <v/>
      </c>
      <c r="BO5464">
        <f>IF(5451&lt;$U$9,MOD(INT(5451/$U$8),$U$7)+1,1)</f>
        <v/>
      </c>
      <c r="BP5464">
        <f>IF(5451&lt;$U$9,MOD(5451,$U$8)+1,1)</f>
        <v/>
      </c>
      <c r="BQ5464">
        <f>IF(5451&lt;$U$9,SUMPRODUCT(($D$10:$L$10&lt;&gt;"")*(($D$9:$L$9+INT(($S$12:$AA$12+INDEX($AJ$13:$AR$162,BN5464,0)+INDEX($AT$13:$BB$162,BO5464,0)+INDEX($BD$13:$BL$162,BP5464,0))/100))&gt;=$D$10:$L$10)),0)</f>
        <v/>
      </c>
      <c r="BR5464">
        <f>IF(5451&lt;$U$9,SUMPRODUCT(($D$10:$L$10&lt;&gt;"")*(($D$10:$L$10-($D$9:$L$9+INT(($S$12:$AA$12+INDEX($AJ$13:$AR$162,BN5464,0)+INDEX($AT$13:$BB$162,BO5464,0)+INDEX($BD$13:$BL$162,BP5464,0))/100)))&gt;0)*($D$10:$L$10-($D$9:$L$9+INT(($S$12:$AA$12+INDEX($AJ$13:$AR$162,BN5464,0)+INDEX($AT$13:$BB$162,BO5464,0)+INDEX($BD$13:$BL$162,BP5464,0))/100)))),0)</f>
        <v/>
      </c>
      <c r="BS5464">
        <f>IF(5451&lt;$U$9,SUMPRODUCT(($D$9:$L$9+INT(($S$12:$AA$12+INDEX($AJ$13:$AR$162,BN5464,0)+INDEX($AT$13:$BB$162,BO5464,0)+INDEX($BD$13:$BL$162,BP5464,0))/100))),0)</f>
        <v/>
      </c>
      <c r="BT5464">
        <f>IF(AND(5451&lt;$U$9,$W$5),BQ5464*1000000-MIN(BR5464,999)*1000+BS5464-5451/100000,-1000000000-5451)</f>
        <v/>
      </c>
    </row>
    <row r="5465">
      <c r="BN5465">
        <f>IF(5452&lt;$U$9,INT(5452/($U$7*$U$8))+1,1)</f>
        <v/>
      </c>
      <c r="BO5465">
        <f>IF(5452&lt;$U$9,MOD(INT(5452/$U$8),$U$7)+1,1)</f>
        <v/>
      </c>
      <c r="BP5465">
        <f>IF(5452&lt;$U$9,MOD(5452,$U$8)+1,1)</f>
        <v/>
      </c>
      <c r="BQ5465">
        <f>IF(5452&lt;$U$9,SUMPRODUCT(($D$10:$L$10&lt;&gt;"")*(($D$9:$L$9+INT(($S$12:$AA$12+INDEX($AJ$13:$AR$162,BN5465,0)+INDEX($AT$13:$BB$162,BO5465,0)+INDEX($BD$13:$BL$162,BP5465,0))/100))&gt;=$D$10:$L$10)),0)</f>
        <v/>
      </c>
      <c r="BR5465">
        <f>IF(5452&lt;$U$9,SUMPRODUCT(($D$10:$L$10&lt;&gt;"")*(($D$10:$L$10-($D$9:$L$9+INT(($S$12:$AA$12+INDEX($AJ$13:$AR$162,BN5465,0)+INDEX($AT$13:$BB$162,BO5465,0)+INDEX($BD$13:$BL$162,BP5465,0))/100)))&gt;0)*($D$10:$L$10-($D$9:$L$9+INT(($S$12:$AA$12+INDEX($AJ$13:$AR$162,BN5465,0)+INDEX($AT$13:$BB$162,BO5465,0)+INDEX($BD$13:$BL$162,BP5465,0))/100)))),0)</f>
        <v/>
      </c>
      <c r="BS5465">
        <f>IF(5452&lt;$U$9,SUMPRODUCT(($D$9:$L$9+INT(($S$12:$AA$12+INDEX($AJ$13:$AR$162,BN5465,0)+INDEX($AT$13:$BB$162,BO5465,0)+INDEX($BD$13:$BL$162,BP5465,0))/100))),0)</f>
        <v/>
      </c>
      <c r="BT5465">
        <f>IF(AND(5452&lt;$U$9,$W$5),BQ5465*1000000-MIN(BR5465,999)*1000+BS5465-5452/100000,-1000000000-5452)</f>
        <v/>
      </c>
    </row>
    <row r="5466">
      <c r="BN5466">
        <f>IF(5453&lt;$U$9,INT(5453/($U$7*$U$8))+1,1)</f>
        <v/>
      </c>
      <c r="BO5466">
        <f>IF(5453&lt;$U$9,MOD(INT(5453/$U$8),$U$7)+1,1)</f>
        <v/>
      </c>
      <c r="BP5466">
        <f>IF(5453&lt;$U$9,MOD(5453,$U$8)+1,1)</f>
        <v/>
      </c>
      <c r="BQ5466">
        <f>IF(5453&lt;$U$9,SUMPRODUCT(($D$10:$L$10&lt;&gt;"")*(($D$9:$L$9+INT(($S$12:$AA$12+INDEX($AJ$13:$AR$162,BN5466,0)+INDEX($AT$13:$BB$162,BO5466,0)+INDEX($BD$13:$BL$162,BP5466,0))/100))&gt;=$D$10:$L$10)),0)</f>
        <v/>
      </c>
      <c r="BR5466">
        <f>IF(5453&lt;$U$9,SUMPRODUCT(($D$10:$L$10&lt;&gt;"")*(($D$10:$L$10-($D$9:$L$9+INT(($S$12:$AA$12+INDEX($AJ$13:$AR$162,BN5466,0)+INDEX($AT$13:$BB$162,BO5466,0)+INDEX($BD$13:$BL$162,BP5466,0))/100)))&gt;0)*($D$10:$L$10-($D$9:$L$9+INT(($S$12:$AA$12+INDEX($AJ$13:$AR$162,BN5466,0)+INDEX($AT$13:$BB$162,BO5466,0)+INDEX($BD$13:$BL$162,BP5466,0))/100)))),0)</f>
        <v/>
      </c>
      <c r="BS5466">
        <f>IF(5453&lt;$U$9,SUMPRODUCT(($D$9:$L$9+INT(($S$12:$AA$12+INDEX($AJ$13:$AR$162,BN5466,0)+INDEX($AT$13:$BB$162,BO5466,0)+INDEX($BD$13:$BL$162,BP5466,0))/100))),0)</f>
        <v/>
      </c>
      <c r="BT5466">
        <f>IF(AND(5453&lt;$U$9,$W$5),BQ5466*1000000-MIN(BR5466,999)*1000+BS5466-5453/100000,-1000000000-5453)</f>
        <v/>
      </c>
    </row>
    <row r="5467">
      <c r="BN5467">
        <f>IF(5454&lt;$U$9,INT(5454/($U$7*$U$8))+1,1)</f>
        <v/>
      </c>
      <c r="BO5467">
        <f>IF(5454&lt;$U$9,MOD(INT(5454/$U$8),$U$7)+1,1)</f>
        <v/>
      </c>
      <c r="BP5467">
        <f>IF(5454&lt;$U$9,MOD(5454,$U$8)+1,1)</f>
        <v/>
      </c>
      <c r="BQ5467">
        <f>IF(5454&lt;$U$9,SUMPRODUCT(($D$10:$L$10&lt;&gt;"")*(($D$9:$L$9+INT(($S$12:$AA$12+INDEX($AJ$13:$AR$162,BN5467,0)+INDEX($AT$13:$BB$162,BO5467,0)+INDEX($BD$13:$BL$162,BP5467,0))/100))&gt;=$D$10:$L$10)),0)</f>
        <v/>
      </c>
      <c r="BR5467">
        <f>IF(5454&lt;$U$9,SUMPRODUCT(($D$10:$L$10&lt;&gt;"")*(($D$10:$L$10-($D$9:$L$9+INT(($S$12:$AA$12+INDEX($AJ$13:$AR$162,BN5467,0)+INDEX($AT$13:$BB$162,BO5467,0)+INDEX($BD$13:$BL$162,BP5467,0))/100)))&gt;0)*($D$10:$L$10-($D$9:$L$9+INT(($S$12:$AA$12+INDEX($AJ$13:$AR$162,BN5467,0)+INDEX($AT$13:$BB$162,BO5467,0)+INDEX($BD$13:$BL$162,BP5467,0))/100)))),0)</f>
        <v/>
      </c>
      <c r="BS5467">
        <f>IF(5454&lt;$U$9,SUMPRODUCT(($D$9:$L$9+INT(($S$12:$AA$12+INDEX($AJ$13:$AR$162,BN5467,0)+INDEX($AT$13:$BB$162,BO5467,0)+INDEX($BD$13:$BL$162,BP5467,0))/100))),0)</f>
        <v/>
      </c>
      <c r="BT5467">
        <f>IF(AND(5454&lt;$U$9,$W$5),BQ5467*1000000-MIN(BR5467,999)*1000+BS5467-5454/100000,-1000000000-5454)</f>
        <v/>
      </c>
    </row>
    <row r="5468">
      <c r="BN5468">
        <f>IF(5455&lt;$U$9,INT(5455/($U$7*$U$8))+1,1)</f>
        <v/>
      </c>
      <c r="BO5468">
        <f>IF(5455&lt;$U$9,MOD(INT(5455/$U$8),$U$7)+1,1)</f>
        <v/>
      </c>
      <c r="BP5468">
        <f>IF(5455&lt;$U$9,MOD(5455,$U$8)+1,1)</f>
        <v/>
      </c>
      <c r="BQ5468">
        <f>IF(5455&lt;$U$9,SUMPRODUCT(($D$10:$L$10&lt;&gt;"")*(($D$9:$L$9+INT(($S$12:$AA$12+INDEX($AJ$13:$AR$162,BN5468,0)+INDEX($AT$13:$BB$162,BO5468,0)+INDEX($BD$13:$BL$162,BP5468,0))/100))&gt;=$D$10:$L$10)),0)</f>
        <v/>
      </c>
      <c r="BR5468">
        <f>IF(5455&lt;$U$9,SUMPRODUCT(($D$10:$L$10&lt;&gt;"")*(($D$10:$L$10-($D$9:$L$9+INT(($S$12:$AA$12+INDEX($AJ$13:$AR$162,BN5468,0)+INDEX($AT$13:$BB$162,BO5468,0)+INDEX($BD$13:$BL$162,BP5468,0))/100)))&gt;0)*($D$10:$L$10-($D$9:$L$9+INT(($S$12:$AA$12+INDEX($AJ$13:$AR$162,BN5468,0)+INDEX($AT$13:$BB$162,BO5468,0)+INDEX($BD$13:$BL$162,BP5468,0))/100)))),0)</f>
        <v/>
      </c>
      <c r="BS5468">
        <f>IF(5455&lt;$U$9,SUMPRODUCT(($D$9:$L$9+INT(($S$12:$AA$12+INDEX($AJ$13:$AR$162,BN5468,0)+INDEX($AT$13:$BB$162,BO5468,0)+INDEX($BD$13:$BL$162,BP5468,0))/100))),0)</f>
        <v/>
      </c>
      <c r="BT5468">
        <f>IF(AND(5455&lt;$U$9,$W$5),BQ5468*1000000-MIN(BR5468,999)*1000+BS5468-5455/100000,-1000000000-5455)</f>
        <v/>
      </c>
    </row>
    <row r="5469">
      <c r="BN5469">
        <f>IF(5456&lt;$U$9,INT(5456/($U$7*$U$8))+1,1)</f>
        <v/>
      </c>
      <c r="BO5469">
        <f>IF(5456&lt;$U$9,MOD(INT(5456/$U$8),$U$7)+1,1)</f>
        <v/>
      </c>
      <c r="BP5469">
        <f>IF(5456&lt;$U$9,MOD(5456,$U$8)+1,1)</f>
        <v/>
      </c>
      <c r="BQ5469">
        <f>IF(5456&lt;$U$9,SUMPRODUCT(($D$10:$L$10&lt;&gt;"")*(($D$9:$L$9+INT(($S$12:$AA$12+INDEX($AJ$13:$AR$162,BN5469,0)+INDEX($AT$13:$BB$162,BO5469,0)+INDEX($BD$13:$BL$162,BP5469,0))/100))&gt;=$D$10:$L$10)),0)</f>
        <v/>
      </c>
      <c r="BR5469">
        <f>IF(5456&lt;$U$9,SUMPRODUCT(($D$10:$L$10&lt;&gt;"")*(($D$10:$L$10-($D$9:$L$9+INT(($S$12:$AA$12+INDEX($AJ$13:$AR$162,BN5469,0)+INDEX($AT$13:$BB$162,BO5469,0)+INDEX($BD$13:$BL$162,BP5469,0))/100)))&gt;0)*($D$10:$L$10-($D$9:$L$9+INT(($S$12:$AA$12+INDEX($AJ$13:$AR$162,BN5469,0)+INDEX($AT$13:$BB$162,BO5469,0)+INDEX($BD$13:$BL$162,BP5469,0))/100)))),0)</f>
        <v/>
      </c>
      <c r="BS5469">
        <f>IF(5456&lt;$U$9,SUMPRODUCT(($D$9:$L$9+INT(($S$12:$AA$12+INDEX($AJ$13:$AR$162,BN5469,0)+INDEX($AT$13:$BB$162,BO5469,0)+INDEX($BD$13:$BL$162,BP5469,0))/100))),0)</f>
        <v/>
      </c>
      <c r="BT5469">
        <f>IF(AND(5456&lt;$U$9,$W$5),BQ5469*1000000-MIN(BR5469,999)*1000+BS5469-5456/100000,-1000000000-5456)</f>
        <v/>
      </c>
    </row>
    <row r="5470">
      <c r="BN5470">
        <f>IF(5457&lt;$U$9,INT(5457/($U$7*$U$8))+1,1)</f>
        <v/>
      </c>
      <c r="BO5470">
        <f>IF(5457&lt;$U$9,MOD(INT(5457/$U$8),$U$7)+1,1)</f>
        <v/>
      </c>
      <c r="BP5470">
        <f>IF(5457&lt;$U$9,MOD(5457,$U$8)+1,1)</f>
        <v/>
      </c>
      <c r="BQ5470">
        <f>IF(5457&lt;$U$9,SUMPRODUCT(($D$10:$L$10&lt;&gt;"")*(($D$9:$L$9+INT(($S$12:$AA$12+INDEX($AJ$13:$AR$162,BN5470,0)+INDEX($AT$13:$BB$162,BO5470,0)+INDEX($BD$13:$BL$162,BP5470,0))/100))&gt;=$D$10:$L$10)),0)</f>
        <v/>
      </c>
      <c r="BR5470">
        <f>IF(5457&lt;$U$9,SUMPRODUCT(($D$10:$L$10&lt;&gt;"")*(($D$10:$L$10-($D$9:$L$9+INT(($S$12:$AA$12+INDEX($AJ$13:$AR$162,BN5470,0)+INDEX($AT$13:$BB$162,BO5470,0)+INDEX($BD$13:$BL$162,BP5470,0))/100)))&gt;0)*($D$10:$L$10-($D$9:$L$9+INT(($S$12:$AA$12+INDEX($AJ$13:$AR$162,BN5470,0)+INDEX($AT$13:$BB$162,BO5470,0)+INDEX($BD$13:$BL$162,BP5470,0))/100)))),0)</f>
        <v/>
      </c>
      <c r="BS5470">
        <f>IF(5457&lt;$U$9,SUMPRODUCT(($D$9:$L$9+INT(($S$12:$AA$12+INDEX($AJ$13:$AR$162,BN5470,0)+INDEX($AT$13:$BB$162,BO5470,0)+INDEX($BD$13:$BL$162,BP5470,0))/100))),0)</f>
        <v/>
      </c>
      <c r="BT5470">
        <f>IF(AND(5457&lt;$U$9,$W$5),BQ5470*1000000-MIN(BR5470,999)*1000+BS5470-5457/100000,-1000000000-5457)</f>
        <v/>
      </c>
    </row>
    <row r="5471">
      <c r="BN5471">
        <f>IF(5458&lt;$U$9,INT(5458/($U$7*$U$8))+1,1)</f>
        <v/>
      </c>
      <c r="BO5471">
        <f>IF(5458&lt;$U$9,MOD(INT(5458/$U$8),$U$7)+1,1)</f>
        <v/>
      </c>
      <c r="BP5471">
        <f>IF(5458&lt;$U$9,MOD(5458,$U$8)+1,1)</f>
        <v/>
      </c>
      <c r="BQ5471">
        <f>IF(5458&lt;$U$9,SUMPRODUCT(($D$10:$L$10&lt;&gt;"")*(($D$9:$L$9+INT(($S$12:$AA$12+INDEX($AJ$13:$AR$162,BN5471,0)+INDEX($AT$13:$BB$162,BO5471,0)+INDEX($BD$13:$BL$162,BP5471,0))/100))&gt;=$D$10:$L$10)),0)</f>
        <v/>
      </c>
      <c r="BR5471">
        <f>IF(5458&lt;$U$9,SUMPRODUCT(($D$10:$L$10&lt;&gt;"")*(($D$10:$L$10-($D$9:$L$9+INT(($S$12:$AA$12+INDEX($AJ$13:$AR$162,BN5471,0)+INDEX($AT$13:$BB$162,BO5471,0)+INDEX($BD$13:$BL$162,BP5471,0))/100)))&gt;0)*($D$10:$L$10-($D$9:$L$9+INT(($S$12:$AA$12+INDEX($AJ$13:$AR$162,BN5471,0)+INDEX($AT$13:$BB$162,BO5471,0)+INDEX($BD$13:$BL$162,BP5471,0))/100)))),0)</f>
        <v/>
      </c>
      <c r="BS5471">
        <f>IF(5458&lt;$U$9,SUMPRODUCT(($D$9:$L$9+INT(($S$12:$AA$12+INDEX($AJ$13:$AR$162,BN5471,0)+INDEX($AT$13:$BB$162,BO5471,0)+INDEX($BD$13:$BL$162,BP5471,0))/100))),0)</f>
        <v/>
      </c>
      <c r="BT5471">
        <f>IF(AND(5458&lt;$U$9,$W$5),BQ5471*1000000-MIN(BR5471,999)*1000+BS5471-5458/100000,-1000000000-5458)</f>
        <v/>
      </c>
    </row>
    <row r="5472">
      <c r="BN5472">
        <f>IF(5459&lt;$U$9,INT(5459/($U$7*$U$8))+1,1)</f>
        <v/>
      </c>
      <c r="BO5472">
        <f>IF(5459&lt;$U$9,MOD(INT(5459/$U$8),$U$7)+1,1)</f>
        <v/>
      </c>
      <c r="BP5472">
        <f>IF(5459&lt;$U$9,MOD(5459,$U$8)+1,1)</f>
        <v/>
      </c>
      <c r="BQ5472">
        <f>IF(5459&lt;$U$9,SUMPRODUCT(($D$10:$L$10&lt;&gt;"")*(($D$9:$L$9+INT(($S$12:$AA$12+INDEX($AJ$13:$AR$162,BN5472,0)+INDEX($AT$13:$BB$162,BO5472,0)+INDEX($BD$13:$BL$162,BP5472,0))/100))&gt;=$D$10:$L$10)),0)</f>
        <v/>
      </c>
      <c r="BR5472">
        <f>IF(5459&lt;$U$9,SUMPRODUCT(($D$10:$L$10&lt;&gt;"")*(($D$10:$L$10-($D$9:$L$9+INT(($S$12:$AA$12+INDEX($AJ$13:$AR$162,BN5472,0)+INDEX($AT$13:$BB$162,BO5472,0)+INDEX($BD$13:$BL$162,BP5472,0))/100)))&gt;0)*($D$10:$L$10-($D$9:$L$9+INT(($S$12:$AA$12+INDEX($AJ$13:$AR$162,BN5472,0)+INDEX($AT$13:$BB$162,BO5472,0)+INDEX($BD$13:$BL$162,BP5472,0))/100)))),0)</f>
        <v/>
      </c>
      <c r="BS5472">
        <f>IF(5459&lt;$U$9,SUMPRODUCT(($D$9:$L$9+INT(($S$12:$AA$12+INDEX($AJ$13:$AR$162,BN5472,0)+INDEX($AT$13:$BB$162,BO5472,0)+INDEX($BD$13:$BL$162,BP5472,0))/100))),0)</f>
        <v/>
      </c>
      <c r="BT5472">
        <f>IF(AND(5459&lt;$U$9,$W$5),BQ5472*1000000-MIN(BR5472,999)*1000+BS5472-5459/100000,-1000000000-5459)</f>
        <v/>
      </c>
    </row>
    <row r="5473">
      <c r="BN5473">
        <f>IF(5460&lt;$U$9,INT(5460/($U$7*$U$8))+1,1)</f>
        <v/>
      </c>
      <c r="BO5473">
        <f>IF(5460&lt;$U$9,MOD(INT(5460/$U$8),$U$7)+1,1)</f>
        <v/>
      </c>
      <c r="BP5473">
        <f>IF(5460&lt;$U$9,MOD(5460,$U$8)+1,1)</f>
        <v/>
      </c>
      <c r="BQ5473">
        <f>IF(5460&lt;$U$9,SUMPRODUCT(($D$10:$L$10&lt;&gt;"")*(($D$9:$L$9+INT(($S$12:$AA$12+INDEX($AJ$13:$AR$162,BN5473,0)+INDEX($AT$13:$BB$162,BO5473,0)+INDEX($BD$13:$BL$162,BP5473,0))/100))&gt;=$D$10:$L$10)),0)</f>
        <v/>
      </c>
      <c r="BR5473">
        <f>IF(5460&lt;$U$9,SUMPRODUCT(($D$10:$L$10&lt;&gt;"")*(($D$10:$L$10-($D$9:$L$9+INT(($S$12:$AA$12+INDEX($AJ$13:$AR$162,BN5473,0)+INDEX($AT$13:$BB$162,BO5473,0)+INDEX($BD$13:$BL$162,BP5473,0))/100)))&gt;0)*($D$10:$L$10-($D$9:$L$9+INT(($S$12:$AA$12+INDEX($AJ$13:$AR$162,BN5473,0)+INDEX($AT$13:$BB$162,BO5473,0)+INDEX($BD$13:$BL$162,BP5473,0))/100)))),0)</f>
        <v/>
      </c>
      <c r="BS5473">
        <f>IF(5460&lt;$U$9,SUMPRODUCT(($D$9:$L$9+INT(($S$12:$AA$12+INDEX($AJ$13:$AR$162,BN5473,0)+INDEX($AT$13:$BB$162,BO5473,0)+INDEX($BD$13:$BL$162,BP5473,0))/100))),0)</f>
        <v/>
      </c>
      <c r="BT5473">
        <f>IF(AND(5460&lt;$U$9,$W$5),BQ5473*1000000-MIN(BR5473,999)*1000+BS5473-5460/100000,-1000000000-5460)</f>
        <v/>
      </c>
    </row>
    <row r="5474">
      <c r="BN5474">
        <f>IF(5461&lt;$U$9,INT(5461/($U$7*$U$8))+1,1)</f>
        <v/>
      </c>
      <c r="BO5474">
        <f>IF(5461&lt;$U$9,MOD(INT(5461/$U$8),$U$7)+1,1)</f>
        <v/>
      </c>
      <c r="BP5474">
        <f>IF(5461&lt;$U$9,MOD(5461,$U$8)+1,1)</f>
        <v/>
      </c>
      <c r="BQ5474">
        <f>IF(5461&lt;$U$9,SUMPRODUCT(($D$10:$L$10&lt;&gt;"")*(($D$9:$L$9+INT(($S$12:$AA$12+INDEX($AJ$13:$AR$162,BN5474,0)+INDEX($AT$13:$BB$162,BO5474,0)+INDEX($BD$13:$BL$162,BP5474,0))/100))&gt;=$D$10:$L$10)),0)</f>
        <v/>
      </c>
      <c r="BR5474">
        <f>IF(5461&lt;$U$9,SUMPRODUCT(($D$10:$L$10&lt;&gt;"")*(($D$10:$L$10-($D$9:$L$9+INT(($S$12:$AA$12+INDEX($AJ$13:$AR$162,BN5474,0)+INDEX($AT$13:$BB$162,BO5474,0)+INDEX($BD$13:$BL$162,BP5474,0))/100)))&gt;0)*($D$10:$L$10-($D$9:$L$9+INT(($S$12:$AA$12+INDEX($AJ$13:$AR$162,BN5474,0)+INDEX($AT$13:$BB$162,BO5474,0)+INDEX($BD$13:$BL$162,BP5474,0))/100)))),0)</f>
        <v/>
      </c>
      <c r="BS5474">
        <f>IF(5461&lt;$U$9,SUMPRODUCT(($D$9:$L$9+INT(($S$12:$AA$12+INDEX($AJ$13:$AR$162,BN5474,0)+INDEX($AT$13:$BB$162,BO5474,0)+INDEX($BD$13:$BL$162,BP5474,0))/100))),0)</f>
        <v/>
      </c>
      <c r="BT5474">
        <f>IF(AND(5461&lt;$U$9,$W$5),BQ5474*1000000-MIN(BR5474,999)*1000+BS5474-5461/100000,-1000000000-5461)</f>
        <v/>
      </c>
    </row>
    <row r="5475">
      <c r="BN5475">
        <f>IF(5462&lt;$U$9,INT(5462/($U$7*$U$8))+1,1)</f>
        <v/>
      </c>
      <c r="BO5475">
        <f>IF(5462&lt;$U$9,MOD(INT(5462/$U$8),$U$7)+1,1)</f>
        <v/>
      </c>
      <c r="BP5475">
        <f>IF(5462&lt;$U$9,MOD(5462,$U$8)+1,1)</f>
        <v/>
      </c>
      <c r="BQ5475">
        <f>IF(5462&lt;$U$9,SUMPRODUCT(($D$10:$L$10&lt;&gt;"")*(($D$9:$L$9+INT(($S$12:$AA$12+INDEX($AJ$13:$AR$162,BN5475,0)+INDEX($AT$13:$BB$162,BO5475,0)+INDEX($BD$13:$BL$162,BP5475,0))/100))&gt;=$D$10:$L$10)),0)</f>
        <v/>
      </c>
      <c r="BR5475">
        <f>IF(5462&lt;$U$9,SUMPRODUCT(($D$10:$L$10&lt;&gt;"")*(($D$10:$L$10-($D$9:$L$9+INT(($S$12:$AA$12+INDEX($AJ$13:$AR$162,BN5475,0)+INDEX($AT$13:$BB$162,BO5475,0)+INDEX($BD$13:$BL$162,BP5475,0))/100)))&gt;0)*($D$10:$L$10-($D$9:$L$9+INT(($S$12:$AA$12+INDEX($AJ$13:$AR$162,BN5475,0)+INDEX($AT$13:$BB$162,BO5475,0)+INDEX($BD$13:$BL$162,BP5475,0))/100)))),0)</f>
        <v/>
      </c>
      <c r="BS5475">
        <f>IF(5462&lt;$U$9,SUMPRODUCT(($D$9:$L$9+INT(($S$12:$AA$12+INDEX($AJ$13:$AR$162,BN5475,0)+INDEX($AT$13:$BB$162,BO5475,0)+INDEX($BD$13:$BL$162,BP5475,0))/100))),0)</f>
        <v/>
      </c>
      <c r="BT5475">
        <f>IF(AND(5462&lt;$U$9,$W$5),BQ5475*1000000-MIN(BR5475,999)*1000+BS5475-5462/100000,-1000000000-5462)</f>
        <v/>
      </c>
    </row>
    <row r="5476">
      <c r="BN5476">
        <f>IF(5463&lt;$U$9,INT(5463/($U$7*$U$8))+1,1)</f>
        <v/>
      </c>
      <c r="BO5476">
        <f>IF(5463&lt;$U$9,MOD(INT(5463/$U$8),$U$7)+1,1)</f>
        <v/>
      </c>
      <c r="BP5476">
        <f>IF(5463&lt;$U$9,MOD(5463,$U$8)+1,1)</f>
        <v/>
      </c>
      <c r="BQ5476">
        <f>IF(5463&lt;$U$9,SUMPRODUCT(($D$10:$L$10&lt;&gt;"")*(($D$9:$L$9+INT(($S$12:$AA$12+INDEX($AJ$13:$AR$162,BN5476,0)+INDEX($AT$13:$BB$162,BO5476,0)+INDEX($BD$13:$BL$162,BP5476,0))/100))&gt;=$D$10:$L$10)),0)</f>
        <v/>
      </c>
      <c r="BR5476">
        <f>IF(5463&lt;$U$9,SUMPRODUCT(($D$10:$L$10&lt;&gt;"")*(($D$10:$L$10-($D$9:$L$9+INT(($S$12:$AA$12+INDEX($AJ$13:$AR$162,BN5476,0)+INDEX($AT$13:$BB$162,BO5476,0)+INDEX($BD$13:$BL$162,BP5476,0))/100)))&gt;0)*($D$10:$L$10-($D$9:$L$9+INT(($S$12:$AA$12+INDEX($AJ$13:$AR$162,BN5476,0)+INDEX($AT$13:$BB$162,BO5476,0)+INDEX($BD$13:$BL$162,BP5476,0))/100)))),0)</f>
        <v/>
      </c>
      <c r="BS5476">
        <f>IF(5463&lt;$U$9,SUMPRODUCT(($D$9:$L$9+INT(($S$12:$AA$12+INDEX($AJ$13:$AR$162,BN5476,0)+INDEX($AT$13:$BB$162,BO5476,0)+INDEX($BD$13:$BL$162,BP5476,0))/100))),0)</f>
        <v/>
      </c>
      <c r="BT5476">
        <f>IF(AND(5463&lt;$U$9,$W$5),BQ5476*1000000-MIN(BR5476,999)*1000+BS5476-5463/100000,-1000000000-5463)</f>
        <v/>
      </c>
    </row>
    <row r="5477">
      <c r="BN5477">
        <f>IF(5464&lt;$U$9,INT(5464/($U$7*$U$8))+1,1)</f>
        <v/>
      </c>
      <c r="BO5477">
        <f>IF(5464&lt;$U$9,MOD(INT(5464/$U$8),$U$7)+1,1)</f>
        <v/>
      </c>
      <c r="BP5477">
        <f>IF(5464&lt;$U$9,MOD(5464,$U$8)+1,1)</f>
        <v/>
      </c>
      <c r="BQ5477">
        <f>IF(5464&lt;$U$9,SUMPRODUCT(($D$10:$L$10&lt;&gt;"")*(($D$9:$L$9+INT(($S$12:$AA$12+INDEX($AJ$13:$AR$162,BN5477,0)+INDEX($AT$13:$BB$162,BO5477,0)+INDEX($BD$13:$BL$162,BP5477,0))/100))&gt;=$D$10:$L$10)),0)</f>
        <v/>
      </c>
      <c r="BR5477">
        <f>IF(5464&lt;$U$9,SUMPRODUCT(($D$10:$L$10&lt;&gt;"")*(($D$10:$L$10-($D$9:$L$9+INT(($S$12:$AA$12+INDEX($AJ$13:$AR$162,BN5477,0)+INDEX($AT$13:$BB$162,BO5477,0)+INDEX($BD$13:$BL$162,BP5477,0))/100)))&gt;0)*($D$10:$L$10-($D$9:$L$9+INT(($S$12:$AA$12+INDEX($AJ$13:$AR$162,BN5477,0)+INDEX($AT$13:$BB$162,BO5477,0)+INDEX($BD$13:$BL$162,BP5477,0))/100)))),0)</f>
        <v/>
      </c>
      <c r="BS5477">
        <f>IF(5464&lt;$U$9,SUMPRODUCT(($D$9:$L$9+INT(($S$12:$AA$12+INDEX($AJ$13:$AR$162,BN5477,0)+INDEX($AT$13:$BB$162,BO5477,0)+INDEX($BD$13:$BL$162,BP5477,0))/100))),0)</f>
        <v/>
      </c>
      <c r="BT5477">
        <f>IF(AND(5464&lt;$U$9,$W$5),BQ5477*1000000-MIN(BR5477,999)*1000+BS5477-5464/100000,-1000000000-5464)</f>
        <v/>
      </c>
    </row>
    <row r="5478">
      <c r="BN5478">
        <f>IF(5465&lt;$U$9,INT(5465/($U$7*$U$8))+1,1)</f>
        <v/>
      </c>
      <c r="BO5478">
        <f>IF(5465&lt;$U$9,MOD(INT(5465/$U$8),$U$7)+1,1)</f>
        <v/>
      </c>
      <c r="BP5478">
        <f>IF(5465&lt;$U$9,MOD(5465,$U$8)+1,1)</f>
        <v/>
      </c>
      <c r="BQ5478">
        <f>IF(5465&lt;$U$9,SUMPRODUCT(($D$10:$L$10&lt;&gt;"")*(($D$9:$L$9+INT(($S$12:$AA$12+INDEX($AJ$13:$AR$162,BN5478,0)+INDEX($AT$13:$BB$162,BO5478,0)+INDEX($BD$13:$BL$162,BP5478,0))/100))&gt;=$D$10:$L$10)),0)</f>
        <v/>
      </c>
      <c r="BR5478">
        <f>IF(5465&lt;$U$9,SUMPRODUCT(($D$10:$L$10&lt;&gt;"")*(($D$10:$L$10-($D$9:$L$9+INT(($S$12:$AA$12+INDEX($AJ$13:$AR$162,BN5478,0)+INDEX($AT$13:$BB$162,BO5478,0)+INDEX($BD$13:$BL$162,BP5478,0))/100)))&gt;0)*($D$10:$L$10-($D$9:$L$9+INT(($S$12:$AA$12+INDEX($AJ$13:$AR$162,BN5478,0)+INDEX($AT$13:$BB$162,BO5478,0)+INDEX($BD$13:$BL$162,BP5478,0))/100)))),0)</f>
        <v/>
      </c>
      <c r="BS5478">
        <f>IF(5465&lt;$U$9,SUMPRODUCT(($D$9:$L$9+INT(($S$12:$AA$12+INDEX($AJ$13:$AR$162,BN5478,0)+INDEX($AT$13:$BB$162,BO5478,0)+INDEX($BD$13:$BL$162,BP5478,0))/100))),0)</f>
        <v/>
      </c>
      <c r="BT5478">
        <f>IF(AND(5465&lt;$U$9,$W$5),BQ5478*1000000-MIN(BR5478,999)*1000+BS5478-5465/100000,-1000000000-5465)</f>
        <v/>
      </c>
    </row>
    <row r="5479">
      <c r="BN5479">
        <f>IF(5466&lt;$U$9,INT(5466/($U$7*$U$8))+1,1)</f>
        <v/>
      </c>
      <c r="BO5479">
        <f>IF(5466&lt;$U$9,MOD(INT(5466/$U$8),$U$7)+1,1)</f>
        <v/>
      </c>
      <c r="BP5479">
        <f>IF(5466&lt;$U$9,MOD(5466,$U$8)+1,1)</f>
        <v/>
      </c>
      <c r="BQ5479">
        <f>IF(5466&lt;$U$9,SUMPRODUCT(($D$10:$L$10&lt;&gt;"")*(($D$9:$L$9+INT(($S$12:$AA$12+INDEX($AJ$13:$AR$162,BN5479,0)+INDEX($AT$13:$BB$162,BO5479,0)+INDEX($BD$13:$BL$162,BP5479,0))/100))&gt;=$D$10:$L$10)),0)</f>
        <v/>
      </c>
      <c r="BR5479">
        <f>IF(5466&lt;$U$9,SUMPRODUCT(($D$10:$L$10&lt;&gt;"")*(($D$10:$L$10-($D$9:$L$9+INT(($S$12:$AA$12+INDEX($AJ$13:$AR$162,BN5479,0)+INDEX($AT$13:$BB$162,BO5479,0)+INDEX($BD$13:$BL$162,BP5479,0))/100)))&gt;0)*($D$10:$L$10-($D$9:$L$9+INT(($S$12:$AA$12+INDEX($AJ$13:$AR$162,BN5479,0)+INDEX($AT$13:$BB$162,BO5479,0)+INDEX($BD$13:$BL$162,BP5479,0))/100)))),0)</f>
        <v/>
      </c>
      <c r="BS5479">
        <f>IF(5466&lt;$U$9,SUMPRODUCT(($D$9:$L$9+INT(($S$12:$AA$12+INDEX($AJ$13:$AR$162,BN5479,0)+INDEX($AT$13:$BB$162,BO5479,0)+INDEX($BD$13:$BL$162,BP5479,0))/100))),0)</f>
        <v/>
      </c>
      <c r="BT5479">
        <f>IF(AND(5466&lt;$U$9,$W$5),BQ5479*1000000-MIN(BR5479,999)*1000+BS5479-5466/100000,-1000000000-5466)</f>
        <v/>
      </c>
    </row>
    <row r="5480">
      <c r="BN5480">
        <f>IF(5467&lt;$U$9,INT(5467/($U$7*$U$8))+1,1)</f>
        <v/>
      </c>
      <c r="BO5480">
        <f>IF(5467&lt;$U$9,MOD(INT(5467/$U$8),$U$7)+1,1)</f>
        <v/>
      </c>
      <c r="BP5480">
        <f>IF(5467&lt;$U$9,MOD(5467,$U$8)+1,1)</f>
        <v/>
      </c>
      <c r="BQ5480">
        <f>IF(5467&lt;$U$9,SUMPRODUCT(($D$10:$L$10&lt;&gt;"")*(($D$9:$L$9+INT(($S$12:$AA$12+INDEX($AJ$13:$AR$162,BN5480,0)+INDEX($AT$13:$BB$162,BO5480,0)+INDEX($BD$13:$BL$162,BP5480,0))/100))&gt;=$D$10:$L$10)),0)</f>
        <v/>
      </c>
      <c r="BR5480">
        <f>IF(5467&lt;$U$9,SUMPRODUCT(($D$10:$L$10&lt;&gt;"")*(($D$10:$L$10-($D$9:$L$9+INT(($S$12:$AA$12+INDEX($AJ$13:$AR$162,BN5480,0)+INDEX($AT$13:$BB$162,BO5480,0)+INDEX($BD$13:$BL$162,BP5480,0))/100)))&gt;0)*($D$10:$L$10-($D$9:$L$9+INT(($S$12:$AA$12+INDEX($AJ$13:$AR$162,BN5480,0)+INDEX($AT$13:$BB$162,BO5480,0)+INDEX($BD$13:$BL$162,BP5480,0))/100)))),0)</f>
        <v/>
      </c>
      <c r="BS5480">
        <f>IF(5467&lt;$U$9,SUMPRODUCT(($D$9:$L$9+INT(($S$12:$AA$12+INDEX($AJ$13:$AR$162,BN5480,0)+INDEX($AT$13:$BB$162,BO5480,0)+INDEX($BD$13:$BL$162,BP5480,0))/100))),0)</f>
        <v/>
      </c>
      <c r="BT5480">
        <f>IF(AND(5467&lt;$U$9,$W$5),BQ5480*1000000-MIN(BR5480,999)*1000+BS5480-5467/100000,-1000000000-5467)</f>
        <v/>
      </c>
    </row>
    <row r="5481">
      <c r="BN5481">
        <f>IF(5468&lt;$U$9,INT(5468/($U$7*$U$8))+1,1)</f>
        <v/>
      </c>
      <c r="BO5481">
        <f>IF(5468&lt;$U$9,MOD(INT(5468/$U$8),$U$7)+1,1)</f>
        <v/>
      </c>
      <c r="BP5481">
        <f>IF(5468&lt;$U$9,MOD(5468,$U$8)+1,1)</f>
        <v/>
      </c>
      <c r="BQ5481">
        <f>IF(5468&lt;$U$9,SUMPRODUCT(($D$10:$L$10&lt;&gt;"")*(($D$9:$L$9+INT(($S$12:$AA$12+INDEX($AJ$13:$AR$162,BN5481,0)+INDEX($AT$13:$BB$162,BO5481,0)+INDEX($BD$13:$BL$162,BP5481,0))/100))&gt;=$D$10:$L$10)),0)</f>
        <v/>
      </c>
      <c r="BR5481">
        <f>IF(5468&lt;$U$9,SUMPRODUCT(($D$10:$L$10&lt;&gt;"")*(($D$10:$L$10-($D$9:$L$9+INT(($S$12:$AA$12+INDEX($AJ$13:$AR$162,BN5481,0)+INDEX($AT$13:$BB$162,BO5481,0)+INDEX($BD$13:$BL$162,BP5481,0))/100)))&gt;0)*($D$10:$L$10-($D$9:$L$9+INT(($S$12:$AA$12+INDEX($AJ$13:$AR$162,BN5481,0)+INDEX($AT$13:$BB$162,BO5481,0)+INDEX($BD$13:$BL$162,BP5481,0))/100)))),0)</f>
        <v/>
      </c>
      <c r="BS5481">
        <f>IF(5468&lt;$U$9,SUMPRODUCT(($D$9:$L$9+INT(($S$12:$AA$12+INDEX($AJ$13:$AR$162,BN5481,0)+INDEX($AT$13:$BB$162,BO5481,0)+INDEX($BD$13:$BL$162,BP5481,0))/100))),0)</f>
        <v/>
      </c>
      <c r="BT5481">
        <f>IF(AND(5468&lt;$U$9,$W$5),BQ5481*1000000-MIN(BR5481,999)*1000+BS5481-5468/100000,-1000000000-5468)</f>
        <v/>
      </c>
    </row>
    <row r="5482">
      <c r="BN5482">
        <f>IF(5469&lt;$U$9,INT(5469/($U$7*$U$8))+1,1)</f>
        <v/>
      </c>
      <c r="BO5482">
        <f>IF(5469&lt;$U$9,MOD(INT(5469/$U$8),$U$7)+1,1)</f>
        <v/>
      </c>
      <c r="BP5482">
        <f>IF(5469&lt;$U$9,MOD(5469,$U$8)+1,1)</f>
        <v/>
      </c>
      <c r="BQ5482">
        <f>IF(5469&lt;$U$9,SUMPRODUCT(($D$10:$L$10&lt;&gt;"")*(($D$9:$L$9+INT(($S$12:$AA$12+INDEX($AJ$13:$AR$162,BN5482,0)+INDEX($AT$13:$BB$162,BO5482,0)+INDEX($BD$13:$BL$162,BP5482,0))/100))&gt;=$D$10:$L$10)),0)</f>
        <v/>
      </c>
      <c r="BR5482">
        <f>IF(5469&lt;$U$9,SUMPRODUCT(($D$10:$L$10&lt;&gt;"")*(($D$10:$L$10-($D$9:$L$9+INT(($S$12:$AA$12+INDEX($AJ$13:$AR$162,BN5482,0)+INDEX($AT$13:$BB$162,BO5482,0)+INDEX($BD$13:$BL$162,BP5482,0))/100)))&gt;0)*($D$10:$L$10-($D$9:$L$9+INT(($S$12:$AA$12+INDEX($AJ$13:$AR$162,BN5482,0)+INDEX($AT$13:$BB$162,BO5482,0)+INDEX($BD$13:$BL$162,BP5482,0))/100)))),0)</f>
        <v/>
      </c>
      <c r="BS5482">
        <f>IF(5469&lt;$U$9,SUMPRODUCT(($D$9:$L$9+INT(($S$12:$AA$12+INDEX($AJ$13:$AR$162,BN5482,0)+INDEX($AT$13:$BB$162,BO5482,0)+INDEX($BD$13:$BL$162,BP5482,0))/100))),0)</f>
        <v/>
      </c>
      <c r="BT5482">
        <f>IF(AND(5469&lt;$U$9,$W$5),BQ5482*1000000-MIN(BR5482,999)*1000+BS5482-5469/100000,-1000000000-5469)</f>
        <v/>
      </c>
    </row>
    <row r="5483">
      <c r="BN5483">
        <f>IF(5470&lt;$U$9,INT(5470/($U$7*$U$8))+1,1)</f>
        <v/>
      </c>
      <c r="BO5483">
        <f>IF(5470&lt;$U$9,MOD(INT(5470/$U$8),$U$7)+1,1)</f>
        <v/>
      </c>
      <c r="BP5483">
        <f>IF(5470&lt;$U$9,MOD(5470,$U$8)+1,1)</f>
        <v/>
      </c>
      <c r="BQ5483">
        <f>IF(5470&lt;$U$9,SUMPRODUCT(($D$10:$L$10&lt;&gt;"")*(($D$9:$L$9+INT(($S$12:$AA$12+INDEX($AJ$13:$AR$162,BN5483,0)+INDEX($AT$13:$BB$162,BO5483,0)+INDEX($BD$13:$BL$162,BP5483,0))/100))&gt;=$D$10:$L$10)),0)</f>
        <v/>
      </c>
      <c r="BR5483">
        <f>IF(5470&lt;$U$9,SUMPRODUCT(($D$10:$L$10&lt;&gt;"")*(($D$10:$L$10-($D$9:$L$9+INT(($S$12:$AA$12+INDEX($AJ$13:$AR$162,BN5483,0)+INDEX($AT$13:$BB$162,BO5483,0)+INDEX($BD$13:$BL$162,BP5483,0))/100)))&gt;0)*($D$10:$L$10-($D$9:$L$9+INT(($S$12:$AA$12+INDEX($AJ$13:$AR$162,BN5483,0)+INDEX($AT$13:$BB$162,BO5483,0)+INDEX($BD$13:$BL$162,BP5483,0))/100)))),0)</f>
        <v/>
      </c>
      <c r="BS5483">
        <f>IF(5470&lt;$U$9,SUMPRODUCT(($D$9:$L$9+INT(($S$12:$AA$12+INDEX($AJ$13:$AR$162,BN5483,0)+INDEX($AT$13:$BB$162,BO5483,0)+INDEX($BD$13:$BL$162,BP5483,0))/100))),0)</f>
        <v/>
      </c>
      <c r="BT5483">
        <f>IF(AND(5470&lt;$U$9,$W$5),BQ5483*1000000-MIN(BR5483,999)*1000+BS5483-5470/100000,-1000000000-5470)</f>
        <v/>
      </c>
    </row>
    <row r="5484">
      <c r="BN5484">
        <f>IF(5471&lt;$U$9,INT(5471/($U$7*$U$8))+1,1)</f>
        <v/>
      </c>
      <c r="BO5484">
        <f>IF(5471&lt;$U$9,MOD(INT(5471/$U$8),$U$7)+1,1)</f>
        <v/>
      </c>
      <c r="BP5484">
        <f>IF(5471&lt;$U$9,MOD(5471,$U$8)+1,1)</f>
        <v/>
      </c>
      <c r="BQ5484">
        <f>IF(5471&lt;$U$9,SUMPRODUCT(($D$10:$L$10&lt;&gt;"")*(($D$9:$L$9+INT(($S$12:$AA$12+INDEX($AJ$13:$AR$162,BN5484,0)+INDEX($AT$13:$BB$162,BO5484,0)+INDEX($BD$13:$BL$162,BP5484,0))/100))&gt;=$D$10:$L$10)),0)</f>
        <v/>
      </c>
      <c r="BR5484">
        <f>IF(5471&lt;$U$9,SUMPRODUCT(($D$10:$L$10&lt;&gt;"")*(($D$10:$L$10-($D$9:$L$9+INT(($S$12:$AA$12+INDEX($AJ$13:$AR$162,BN5484,0)+INDEX($AT$13:$BB$162,BO5484,0)+INDEX($BD$13:$BL$162,BP5484,0))/100)))&gt;0)*($D$10:$L$10-($D$9:$L$9+INT(($S$12:$AA$12+INDEX($AJ$13:$AR$162,BN5484,0)+INDEX($AT$13:$BB$162,BO5484,0)+INDEX($BD$13:$BL$162,BP5484,0))/100)))),0)</f>
        <v/>
      </c>
      <c r="BS5484">
        <f>IF(5471&lt;$U$9,SUMPRODUCT(($D$9:$L$9+INT(($S$12:$AA$12+INDEX($AJ$13:$AR$162,BN5484,0)+INDEX($AT$13:$BB$162,BO5484,0)+INDEX($BD$13:$BL$162,BP5484,0))/100))),0)</f>
        <v/>
      </c>
      <c r="BT5484">
        <f>IF(AND(5471&lt;$U$9,$W$5),BQ5484*1000000-MIN(BR5484,999)*1000+BS5484-5471/100000,-1000000000-5471)</f>
        <v/>
      </c>
    </row>
    <row r="5485">
      <c r="BN5485">
        <f>IF(5472&lt;$U$9,INT(5472/($U$7*$U$8))+1,1)</f>
        <v/>
      </c>
      <c r="BO5485">
        <f>IF(5472&lt;$U$9,MOD(INT(5472/$U$8),$U$7)+1,1)</f>
        <v/>
      </c>
      <c r="BP5485">
        <f>IF(5472&lt;$U$9,MOD(5472,$U$8)+1,1)</f>
        <v/>
      </c>
      <c r="BQ5485">
        <f>IF(5472&lt;$U$9,SUMPRODUCT(($D$10:$L$10&lt;&gt;"")*(($D$9:$L$9+INT(($S$12:$AA$12+INDEX($AJ$13:$AR$162,BN5485,0)+INDEX($AT$13:$BB$162,BO5485,0)+INDEX($BD$13:$BL$162,BP5485,0))/100))&gt;=$D$10:$L$10)),0)</f>
        <v/>
      </c>
      <c r="BR5485">
        <f>IF(5472&lt;$U$9,SUMPRODUCT(($D$10:$L$10&lt;&gt;"")*(($D$10:$L$10-($D$9:$L$9+INT(($S$12:$AA$12+INDEX($AJ$13:$AR$162,BN5485,0)+INDEX($AT$13:$BB$162,BO5485,0)+INDEX($BD$13:$BL$162,BP5485,0))/100)))&gt;0)*($D$10:$L$10-($D$9:$L$9+INT(($S$12:$AA$12+INDEX($AJ$13:$AR$162,BN5485,0)+INDEX($AT$13:$BB$162,BO5485,0)+INDEX($BD$13:$BL$162,BP5485,0))/100)))),0)</f>
        <v/>
      </c>
      <c r="BS5485">
        <f>IF(5472&lt;$U$9,SUMPRODUCT(($D$9:$L$9+INT(($S$12:$AA$12+INDEX($AJ$13:$AR$162,BN5485,0)+INDEX($AT$13:$BB$162,BO5485,0)+INDEX($BD$13:$BL$162,BP5485,0))/100))),0)</f>
        <v/>
      </c>
      <c r="BT5485">
        <f>IF(AND(5472&lt;$U$9,$W$5),BQ5485*1000000-MIN(BR5485,999)*1000+BS5485-5472/100000,-1000000000-5472)</f>
        <v/>
      </c>
    </row>
    <row r="5486">
      <c r="BN5486">
        <f>IF(5473&lt;$U$9,INT(5473/($U$7*$U$8))+1,1)</f>
        <v/>
      </c>
      <c r="BO5486">
        <f>IF(5473&lt;$U$9,MOD(INT(5473/$U$8),$U$7)+1,1)</f>
        <v/>
      </c>
      <c r="BP5486">
        <f>IF(5473&lt;$U$9,MOD(5473,$U$8)+1,1)</f>
        <v/>
      </c>
      <c r="BQ5486">
        <f>IF(5473&lt;$U$9,SUMPRODUCT(($D$10:$L$10&lt;&gt;"")*(($D$9:$L$9+INT(($S$12:$AA$12+INDEX($AJ$13:$AR$162,BN5486,0)+INDEX($AT$13:$BB$162,BO5486,0)+INDEX($BD$13:$BL$162,BP5486,0))/100))&gt;=$D$10:$L$10)),0)</f>
        <v/>
      </c>
      <c r="BR5486">
        <f>IF(5473&lt;$U$9,SUMPRODUCT(($D$10:$L$10&lt;&gt;"")*(($D$10:$L$10-($D$9:$L$9+INT(($S$12:$AA$12+INDEX($AJ$13:$AR$162,BN5486,0)+INDEX($AT$13:$BB$162,BO5486,0)+INDEX($BD$13:$BL$162,BP5486,0))/100)))&gt;0)*($D$10:$L$10-($D$9:$L$9+INT(($S$12:$AA$12+INDEX($AJ$13:$AR$162,BN5486,0)+INDEX($AT$13:$BB$162,BO5486,0)+INDEX($BD$13:$BL$162,BP5486,0))/100)))),0)</f>
        <v/>
      </c>
      <c r="BS5486">
        <f>IF(5473&lt;$U$9,SUMPRODUCT(($D$9:$L$9+INT(($S$12:$AA$12+INDEX($AJ$13:$AR$162,BN5486,0)+INDEX($AT$13:$BB$162,BO5486,0)+INDEX($BD$13:$BL$162,BP5486,0))/100))),0)</f>
        <v/>
      </c>
      <c r="BT5486">
        <f>IF(AND(5473&lt;$U$9,$W$5),BQ5486*1000000-MIN(BR5486,999)*1000+BS5486-5473/100000,-1000000000-5473)</f>
        <v/>
      </c>
    </row>
    <row r="5487">
      <c r="BN5487">
        <f>IF(5474&lt;$U$9,INT(5474/($U$7*$U$8))+1,1)</f>
        <v/>
      </c>
      <c r="BO5487">
        <f>IF(5474&lt;$U$9,MOD(INT(5474/$U$8),$U$7)+1,1)</f>
        <v/>
      </c>
      <c r="BP5487">
        <f>IF(5474&lt;$U$9,MOD(5474,$U$8)+1,1)</f>
        <v/>
      </c>
      <c r="BQ5487">
        <f>IF(5474&lt;$U$9,SUMPRODUCT(($D$10:$L$10&lt;&gt;"")*(($D$9:$L$9+INT(($S$12:$AA$12+INDEX($AJ$13:$AR$162,BN5487,0)+INDEX($AT$13:$BB$162,BO5487,0)+INDEX($BD$13:$BL$162,BP5487,0))/100))&gt;=$D$10:$L$10)),0)</f>
        <v/>
      </c>
      <c r="BR5487">
        <f>IF(5474&lt;$U$9,SUMPRODUCT(($D$10:$L$10&lt;&gt;"")*(($D$10:$L$10-($D$9:$L$9+INT(($S$12:$AA$12+INDEX($AJ$13:$AR$162,BN5487,0)+INDEX($AT$13:$BB$162,BO5487,0)+INDEX($BD$13:$BL$162,BP5487,0))/100)))&gt;0)*($D$10:$L$10-($D$9:$L$9+INT(($S$12:$AA$12+INDEX($AJ$13:$AR$162,BN5487,0)+INDEX($AT$13:$BB$162,BO5487,0)+INDEX($BD$13:$BL$162,BP5487,0))/100)))),0)</f>
        <v/>
      </c>
      <c r="BS5487">
        <f>IF(5474&lt;$U$9,SUMPRODUCT(($D$9:$L$9+INT(($S$12:$AA$12+INDEX($AJ$13:$AR$162,BN5487,0)+INDEX($AT$13:$BB$162,BO5487,0)+INDEX($BD$13:$BL$162,BP5487,0))/100))),0)</f>
        <v/>
      </c>
      <c r="BT5487">
        <f>IF(AND(5474&lt;$U$9,$W$5),BQ5487*1000000-MIN(BR5487,999)*1000+BS5487-5474/100000,-1000000000-5474)</f>
        <v/>
      </c>
    </row>
    <row r="5488">
      <c r="BN5488">
        <f>IF(5475&lt;$U$9,INT(5475/($U$7*$U$8))+1,1)</f>
        <v/>
      </c>
      <c r="BO5488">
        <f>IF(5475&lt;$U$9,MOD(INT(5475/$U$8),$U$7)+1,1)</f>
        <v/>
      </c>
      <c r="BP5488">
        <f>IF(5475&lt;$U$9,MOD(5475,$U$8)+1,1)</f>
        <v/>
      </c>
      <c r="BQ5488">
        <f>IF(5475&lt;$U$9,SUMPRODUCT(($D$10:$L$10&lt;&gt;"")*(($D$9:$L$9+INT(($S$12:$AA$12+INDEX($AJ$13:$AR$162,BN5488,0)+INDEX($AT$13:$BB$162,BO5488,0)+INDEX($BD$13:$BL$162,BP5488,0))/100))&gt;=$D$10:$L$10)),0)</f>
        <v/>
      </c>
      <c r="BR5488">
        <f>IF(5475&lt;$U$9,SUMPRODUCT(($D$10:$L$10&lt;&gt;"")*(($D$10:$L$10-($D$9:$L$9+INT(($S$12:$AA$12+INDEX($AJ$13:$AR$162,BN5488,0)+INDEX($AT$13:$BB$162,BO5488,0)+INDEX($BD$13:$BL$162,BP5488,0))/100)))&gt;0)*($D$10:$L$10-($D$9:$L$9+INT(($S$12:$AA$12+INDEX($AJ$13:$AR$162,BN5488,0)+INDEX($AT$13:$BB$162,BO5488,0)+INDEX($BD$13:$BL$162,BP5488,0))/100)))),0)</f>
        <v/>
      </c>
      <c r="BS5488">
        <f>IF(5475&lt;$U$9,SUMPRODUCT(($D$9:$L$9+INT(($S$12:$AA$12+INDEX($AJ$13:$AR$162,BN5488,0)+INDEX($AT$13:$BB$162,BO5488,0)+INDEX($BD$13:$BL$162,BP5488,0))/100))),0)</f>
        <v/>
      </c>
      <c r="BT5488">
        <f>IF(AND(5475&lt;$U$9,$W$5),BQ5488*1000000-MIN(BR5488,999)*1000+BS5488-5475/100000,-1000000000-5475)</f>
        <v/>
      </c>
    </row>
    <row r="5489">
      <c r="BN5489">
        <f>IF(5476&lt;$U$9,INT(5476/($U$7*$U$8))+1,1)</f>
        <v/>
      </c>
      <c r="BO5489">
        <f>IF(5476&lt;$U$9,MOD(INT(5476/$U$8),$U$7)+1,1)</f>
        <v/>
      </c>
      <c r="BP5489">
        <f>IF(5476&lt;$U$9,MOD(5476,$U$8)+1,1)</f>
        <v/>
      </c>
      <c r="BQ5489">
        <f>IF(5476&lt;$U$9,SUMPRODUCT(($D$10:$L$10&lt;&gt;"")*(($D$9:$L$9+INT(($S$12:$AA$12+INDEX($AJ$13:$AR$162,BN5489,0)+INDEX($AT$13:$BB$162,BO5489,0)+INDEX($BD$13:$BL$162,BP5489,0))/100))&gt;=$D$10:$L$10)),0)</f>
        <v/>
      </c>
      <c r="BR5489">
        <f>IF(5476&lt;$U$9,SUMPRODUCT(($D$10:$L$10&lt;&gt;"")*(($D$10:$L$10-($D$9:$L$9+INT(($S$12:$AA$12+INDEX($AJ$13:$AR$162,BN5489,0)+INDEX($AT$13:$BB$162,BO5489,0)+INDEX($BD$13:$BL$162,BP5489,0))/100)))&gt;0)*($D$10:$L$10-($D$9:$L$9+INT(($S$12:$AA$12+INDEX($AJ$13:$AR$162,BN5489,0)+INDEX($AT$13:$BB$162,BO5489,0)+INDEX($BD$13:$BL$162,BP5489,0))/100)))),0)</f>
        <v/>
      </c>
      <c r="BS5489">
        <f>IF(5476&lt;$U$9,SUMPRODUCT(($D$9:$L$9+INT(($S$12:$AA$12+INDEX($AJ$13:$AR$162,BN5489,0)+INDEX($AT$13:$BB$162,BO5489,0)+INDEX($BD$13:$BL$162,BP5489,0))/100))),0)</f>
        <v/>
      </c>
      <c r="BT5489">
        <f>IF(AND(5476&lt;$U$9,$W$5),BQ5489*1000000-MIN(BR5489,999)*1000+BS5489-5476/100000,-1000000000-5476)</f>
        <v/>
      </c>
    </row>
    <row r="5490">
      <c r="BN5490">
        <f>IF(5477&lt;$U$9,INT(5477/($U$7*$U$8))+1,1)</f>
        <v/>
      </c>
      <c r="BO5490">
        <f>IF(5477&lt;$U$9,MOD(INT(5477/$U$8),$U$7)+1,1)</f>
        <v/>
      </c>
      <c r="BP5490">
        <f>IF(5477&lt;$U$9,MOD(5477,$U$8)+1,1)</f>
        <v/>
      </c>
      <c r="BQ5490">
        <f>IF(5477&lt;$U$9,SUMPRODUCT(($D$10:$L$10&lt;&gt;"")*(($D$9:$L$9+INT(($S$12:$AA$12+INDEX($AJ$13:$AR$162,BN5490,0)+INDEX($AT$13:$BB$162,BO5490,0)+INDEX($BD$13:$BL$162,BP5490,0))/100))&gt;=$D$10:$L$10)),0)</f>
        <v/>
      </c>
      <c r="BR5490">
        <f>IF(5477&lt;$U$9,SUMPRODUCT(($D$10:$L$10&lt;&gt;"")*(($D$10:$L$10-($D$9:$L$9+INT(($S$12:$AA$12+INDEX($AJ$13:$AR$162,BN5490,0)+INDEX($AT$13:$BB$162,BO5490,0)+INDEX($BD$13:$BL$162,BP5490,0))/100)))&gt;0)*($D$10:$L$10-($D$9:$L$9+INT(($S$12:$AA$12+INDEX($AJ$13:$AR$162,BN5490,0)+INDEX($AT$13:$BB$162,BO5490,0)+INDEX($BD$13:$BL$162,BP5490,0))/100)))),0)</f>
        <v/>
      </c>
      <c r="BS5490">
        <f>IF(5477&lt;$U$9,SUMPRODUCT(($D$9:$L$9+INT(($S$12:$AA$12+INDEX($AJ$13:$AR$162,BN5490,0)+INDEX($AT$13:$BB$162,BO5490,0)+INDEX($BD$13:$BL$162,BP5490,0))/100))),0)</f>
        <v/>
      </c>
      <c r="BT5490">
        <f>IF(AND(5477&lt;$U$9,$W$5),BQ5490*1000000-MIN(BR5490,999)*1000+BS5490-5477/100000,-1000000000-5477)</f>
        <v/>
      </c>
    </row>
    <row r="5491">
      <c r="BN5491">
        <f>IF(5478&lt;$U$9,INT(5478/($U$7*$U$8))+1,1)</f>
        <v/>
      </c>
      <c r="BO5491">
        <f>IF(5478&lt;$U$9,MOD(INT(5478/$U$8),$U$7)+1,1)</f>
        <v/>
      </c>
      <c r="BP5491">
        <f>IF(5478&lt;$U$9,MOD(5478,$U$8)+1,1)</f>
        <v/>
      </c>
      <c r="BQ5491">
        <f>IF(5478&lt;$U$9,SUMPRODUCT(($D$10:$L$10&lt;&gt;"")*(($D$9:$L$9+INT(($S$12:$AA$12+INDEX($AJ$13:$AR$162,BN5491,0)+INDEX($AT$13:$BB$162,BO5491,0)+INDEX($BD$13:$BL$162,BP5491,0))/100))&gt;=$D$10:$L$10)),0)</f>
        <v/>
      </c>
      <c r="BR5491">
        <f>IF(5478&lt;$U$9,SUMPRODUCT(($D$10:$L$10&lt;&gt;"")*(($D$10:$L$10-($D$9:$L$9+INT(($S$12:$AA$12+INDEX($AJ$13:$AR$162,BN5491,0)+INDEX($AT$13:$BB$162,BO5491,0)+INDEX($BD$13:$BL$162,BP5491,0))/100)))&gt;0)*($D$10:$L$10-($D$9:$L$9+INT(($S$12:$AA$12+INDEX($AJ$13:$AR$162,BN5491,0)+INDEX($AT$13:$BB$162,BO5491,0)+INDEX($BD$13:$BL$162,BP5491,0))/100)))),0)</f>
        <v/>
      </c>
      <c r="BS5491">
        <f>IF(5478&lt;$U$9,SUMPRODUCT(($D$9:$L$9+INT(($S$12:$AA$12+INDEX($AJ$13:$AR$162,BN5491,0)+INDEX($AT$13:$BB$162,BO5491,0)+INDEX($BD$13:$BL$162,BP5491,0))/100))),0)</f>
        <v/>
      </c>
      <c r="BT5491">
        <f>IF(AND(5478&lt;$U$9,$W$5),BQ5491*1000000-MIN(BR5491,999)*1000+BS5491-5478/100000,-1000000000-5478)</f>
        <v/>
      </c>
    </row>
    <row r="5492">
      <c r="BN5492">
        <f>IF(5479&lt;$U$9,INT(5479/($U$7*$U$8))+1,1)</f>
        <v/>
      </c>
      <c r="BO5492">
        <f>IF(5479&lt;$U$9,MOD(INT(5479/$U$8),$U$7)+1,1)</f>
        <v/>
      </c>
      <c r="BP5492">
        <f>IF(5479&lt;$U$9,MOD(5479,$U$8)+1,1)</f>
        <v/>
      </c>
      <c r="BQ5492">
        <f>IF(5479&lt;$U$9,SUMPRODUCT(($D$10:$L$10&lt;&gt;"")*(($D$9:$L$9+INT(($S$12:$AA$12+INDEX($AJ$13:$AR$162,BN5492,0)+INDEX($AT$13:$BB$162,BO5492,0)+INDEX($BD$13:$BL$162,BP5492,0))/100))&gt;=$D$10:$L$10)),0)</f>
        <v/>
      </c>
      <c r="BR5492">
        <f>IF(5479&lt;$U$9,SUMPRODUCT(($D$10:$L$10&lt;&gt;"")*(($D$10:$L$10-($D$9:$L$9+INT(($S$12:$AA$12+INDEX($AJ$13:$AR$162,BN5492,0)+INDEX($AT$13:$BB$162,BO5492,0)+INDEX($BD$13:$BL$162,BP5492,0))/100)))&gt;0)*($D$10:$L$10-($D$9:$L$9+INT(($S$12:$AA$12+INDEX($AJ$13:$AR$162,BN5492,0)+INDEX($AT$13:$BB$162,BO5492,0)+INDEX($BD$13:$BL$162,BP5492,0))/100)))),0)</f>
        <v/>
      </c>
      <c r="BS5492">
        <f>IF(5479&lt;$U$9,SUMPRODUCT(($D$9:$L$9+INT(($S$12:$AA$12+INDEX($AJ$13:$AR$162,BN5492,0)+INDEX($AT$13:$BB$162,BO5492,0)+INDEX($BD$13:$BL$162,BP5492,0))/100))),0)</f>
        <v/>
      </c>
      <c r="BT5492">
        <f>IF(AND(5479&lt;$U$9,$W$5),BQ5492*1000000-MIN(BR5492,999)*1000+BS5492-5479/100000,-1000000000-5479)</f>
        <v/>
      </c>
    </row>
    <row r="5493">
      <c r="BN5493">
        <f>IF(5480&lt;$U$9,INT(5480/($U$7*$U$8))+1,1)</f>
        <v/>
      </c>
      <c r="BO5493">
        <f>IF(5480&lt;$U$9,MOD(INT(5480/$U$8),$U$7)+1,1)</f>
        <v/>
      </c>
      <c r="BP5493">
        <f>IF(5480&lt;$U$9,MOD(5480,$U$8)+1,1)</f>
        <v/>
      </c>
      <c r="BQ5493">
        <f>IF(5480&lt;$U$9,SUMPRODUCT(($D$10:$L$10&lt;&gt;"")*(($D$9:$L$9+INT(($S$12:$AA$12+INDEX($AJ$13:$AR$162,BN5493,0)+INDEX($AT$13:$BB$162,BO5493,0)+INDEX($BD$13:$BL$162,BP5493,0))/100))&gt;=$D$10:$L$10)),0)</f>
        <v/>
      </c>
      <c r="BR5493">
        <f>IF(5480&lt;$U$9,SUMPRODUCT(($D$10:$L$10&lt;&gt;"")*(($D$10:$L$10-($D$9:$L$9+INT(($S$12:$AA$12+INDEX($AJ$13:$AR$162,BN5493,0)+INDEX($AT$13:$BB$162,BO5493,0)+INDEX($BD$13:$BL$162,BP5493,0))/100)))&gt;0)*($D$10:$L$10-($D$9:$L$9+INT(($S$12:$AA$12+INDEX($AJ$13:$AR$162,BN5493,0)+INDEX($AT$13:$BB$162,BO5493,0)+INDEX($BD$13:$BL$162,BP5493,0))/100)))),0)</f>
        <v/>
      </c>
      <c r="BS5493">
        <f>IF(5480&lt;$U$9,SUMPRODUCT(($D$9:$L$9+INT(($S$12:$AA$12+INDEX($AJ$13:$AR$162,BN5493,0)+INDEX($AT$13:$BB$162,BO5493,0)+INDEX($BD$13:$BL$162,BP5493,0))/100))),0)</f>
        <v/>
      </c>
      <c r="BT5493">
        <f>IF(AND(5480&lt;$U$9,$W$5),BQ5493*1000000-MIN(BR5493,999)*1000+BS5493-5480/100000,-1000000000-5480)</f>
        <v/>
      </c>
    </row>
    <row r="5494">
      <c r="BN5494">
        <f>IF(5481&lt;$U$9,INT(5481/($U$7*$U$8))+1,1)</f>
        <v/>
      </c>
      <c r="BO5494">
        <f>IF(5481&lt;$U$9,MOD(INT(5481/$U$8),$U$7)+1,1)</f>
        <v/>
      </c>
      <c r="BP5494">
        <f>IF(5481&lt;$U$9,MOD(5481,$U$8)+1,1)</f>
        <v/>
      </c>
      <c r="BQ5494">
        <f>IF(5481&lt;$U$9,SUMPRODUCT(($D$10:$L$10&lt;&gt;"")*(($D$9:$L$9+INT(($S$12:$AA$12+INDEX($AJ$13:$AR$162,BN5494,0)+INDEX($AT$13:$BB$162,BO5494,0)+INDEX($BD$13:$BL$162,BP5494,0))/100))&gt;=$D$10:$L$10)),0)</f>
        <v/>
      </c>
      <c r="BR5494">
        <f>IF(5481&lt;$U$9,SUMPRODUCT(($D$10:$L$10&lt;&gt;"")*(($D$10:$L$10-($D$9:$L$9+INT(($S$12:$AA$12+INDEX($AJ$13:$AR$162,BN5494,0)+INDEX($AT$13:$BB$162,BO5494,0)+INDEX($BD$13:$BL$162,BP5494,0))/100)))&gt;0)*($D$10:$L$10-($D$9:$L$9+INT(($S$12:$AA$12+INDEX($AJ$13:$AR$162,BN5494,0)+INDEX($AT$13:$BB$162,BO5494,0)+INDEX($BD$13:$BL$162,BP5494,0))/100)))),0)</f>
        <v/>
      </c>
      <c r="BS5494">
        <f>IF(5481&lt;$U$9,SUMPRODUCT(($D$9:$L$9+INT(($S$12:$AA$12+INDEX($AJ$13:$AR$162,BN5494,0)+INDEX($AT$13:$BB$162,BO5494,0)+INDEX($BD$13:$BL$162,BP5494,0))/100))),0)</f>
        <v/>
      </c>
      <c r="BT5494">
        <f>IF(AND(5481&lt;$U$9,$W$5),BQ5494*1000000-MIN(BR5494,999)*1000+BS5494-5481/100000,-1000000000-5481)</f>
        <v/>
      </c>
    </row>
    <row r="5495">
      <c r="BN5495">
        <f>IF(5482&lt;$U$9,INT(5482/($U$7*$U$8))+1,1)</f>
        <v/>
      </c>
      <c r="BO5495">
        <f>IF(5482&lt;$U$9,MOD(INT(5482/$U$8),$U$7)+1,1)</f>
        <v/>
      </c>
      <c r="BP5495">
        <f>IF(5482&lt;$U$9,MOD(5482,$U$8)+1,1)</f>
        <v/>
      </c>
      <c r="BQ5495">
        <f>IF(5482&lt;$U$9,SUMPRODUCT(($D$10:$L$10&lt;&gt;"")*(($D$9:$L$9+INT(($S$12:$AA$12+INDEX($AJ$13:$AR$162,BN5495,0)+INDEX($AT$13:$BB$162,BO5495,0)+INDEX($BD$13:$BL$162,BP5495,0))/100))&gt;=$D$10:$L$10)),0)</f>
        <v/>
      </c>
      <c r="BR5495">
        <f>IF(5482&lt;$U$9,SUMPRODUCT(($D$10:$L$10&lt;&gt;"")*(($D$10:$L$10-($D$9:$L$9+INT(($S$12:$AA$12+INDEX($AJ$13:$AR$162,BN5495,0)+INDEX($AT$13:$BB$162,BO5495,0)+INDEX($BD$13:$BL$162,BP5495,0))/100)))&gt;0)*($D$10:$L$10-($D$9:$L$9+INT(($S$12:$AA$12+INDEX($AJ$13:$AR$162,BN5495,0)+INDEX($AT$13:$BB$162,BO5495,0)+INDEX($BD$13:$BL$162,BP5495,0))/100)))),0)</f>
        <v/>
      </c>
      <c r="BS5495">
        <f>IF(5482&lt;$U$9,SUMPRODUCT(($D$9:$L$9+INT(($S$12:$AA$12+INDEX($AJ$13:$AR$162,BN5495,0)+INDEX($AT$13:$BB$162,BO5495,0)+INDEX($BD$13:$BL$162,BP5495,0))/100))),0)</f>
        <v/>
      </c>
      <c r="BT5495">
        <f>IF(AND(5482&lt;$U$9,$W$5),BQ5495*1000000-MIN(BR5495,999)*1000+BS5495-5482/100000,-1000000000-5482)</f>
        <v/>
      </c>
    </row>
    <row r="5496">
      <c r="BN5496">
        <f>IF(5483&lt;$U$9,INT(5483/($U$7*$U$8))+1,1)</f>
        <v/>
      </c>
      <c r="BO5496">
        <f>IF(5483&lt;$U$9,MOD(INT(5483/$U$8),$U$7)+1,1)</f>
        <v/>
      </c>
      <c r="BP5496">
        <f>IF(5483&lt;$U$9,MOD(5483,$U$8)+1,1)</f>
        <v/>
      </c>
      <c r="BQ5496">
        <f>IF(5483&lt;$U$9,SUMPRODUCT(($D$10:$L$10&lt;&gt;"")*(($D$9:$L$9+INT(($S$12:$AA$12+INDEX($AJ$13:$AR$162,BN5496,0)+INDEX($AT$13:$BB$162,BO5496,0)+INDEX($BD$13:$BL$162,BP5496,0))/100))&gt;=$D$10:$L$10)),0)</f>
        <v/>
      </c>
      <c r="BR5496">
        <f>IF(5483&lt;$U$9,SUMPRODUCT(($D$10:$L$10&lt;&gt;"")*(($D$10:$L$10-($D$9:$L$9+INT(($S$12:$AA$12+INDEX($AJ$13:$AR$162,BN5496,0)+INDEX($AT$13:$BB$162,BO5496,0)+INDEX($BD$13:$BL$162,BP5496,0))/100)))&gt;0)*($D$10:$L$10-($D$9:$L$9+INT(($S$12:$AA$12+INDEX($AJ$13:$AR$162,BN5496,0)+INDEX($AT$13:$BB$162,BO5496,0)+INDEX($BD$13:$BL$162,BP5496,0))/100)))),0)</f>
        <v/>
      </c>
      <c r="BS5496">
        <f>IF(5483&lt;$U$9,SUMPRODUCT(($D$9:$L$9+INT(($S$12:$AA$12+INDEX($AJ$13:$AR$162,BN5496,0)+INDEX($AT$13:$BB$162,BO5496,0)+INDEX($BD$13:$BL$162,BP5496,0))/100))),0)</f>
        <v/>
      </c>
      <c r="BT5496">
        <f>IF(AND(5483&lt;$U$9,$W$5),BQ5496*1000000-MIN(BR5496,999)*1000+BS5496-5483/100000,-1000000000-5483)</f>
        <v/>
      </c>
    </row>
    <row r="5497">
      <c r="BN5497">
        <f>IF(5484&lt;$U$9,INT(5484/($U$7*$U$8))+1,1)</f>
        <v/>
      </c>
      <c r="BO5497">
        <f>IF(5484&lt;$U$9,MOD(INT(5484/$U$8),$U$7)+1,1)</f>
        <v/>
      </c>
      <c r="BP5497">
        <f>IF(5484&lt;$U$9,MOD(5484,$U$8)+1,1)</f>
        <v/>
      </c>
      <c r="BQ5497">
        <f>IF(5484&lt;$U$9,SUMPRODUCT(($D$10:$L$10&lt;&gt;"")*(($D$9:$L$9+INT(($S$12:$AA$12+INDEX($AJ$13:$AR$162,BN5497,0)+INDEX($AT$13:$BB$162,BO5497,0)+INDEX($BD$13:$BL$162,BP5497,0))/100))&gt;=$D$10:$L$10)),0)</f>
        <v/>
      </c>
      <c r="BR5497">
        <f>IF(5484&lt;$U$9,SUMPRODUCT(($D$10:$L$10&lt;&gt;"")*(($D$10:$L$10-($D$9:$L$9+INT(($S$12:$AA$12+INDEX($AJ$13:$AR$162,BN5497,0)+INDEX($AT$13:$BB$162,BO5497,0)+INDEX($BD$13:$BL$162,BP5497,0))/100)))&gt;0)*($D$10:$L$10-($D$9:$L$9+INT(($S$12:$AA$12+INDEX($AJ$13:$AR$162,BN5497,0)+INDEX($AT$13:$BB$162,BO5497,0)+INDEX($BD$13:$BL$162,BP5497,0))/100)))),0)</f>
        <v/>
      </c>
      <c r="BS5497">
        <f>IF(5484&lt;$U$9,SUMPRODUCT(($D$9:$L$9+INT(($S$12:$AA$12+INDEX($AJ$13:$AR$162,BN5497,0)+INDEX($AT$13:$BB$162,BO5497,0)+INDEX($BD$13:$BL$162,BP5497,0))/100))),0)</f>
        <v/>
      </c>
      <c r="BT5497">
        <f>IF(AND(5484&lt;$U$9,$W$5),BQ5497*1000000-MIN(BR5497,999)*1000+BS5497-5484/100000,-1000000000-5484)</f>
        <v/>
      </c>
    </row>
    <row r="5498">
      <c r="BN5498">
        <f>IF(5485&lt;$U$9,INT(5485/($U$7*$U$8))+1,1)</f>
        <v/>
      </c>
      <c r="BO5498">
        <f>IF(5485&lt;$U$9,MOD(INT(5485/$U$8),$U$7)+1,1)</f>
        <v/>
      </c>
      <c r="BP5498">
        <f>IF(5485&lt;$U$9,MOD(5485,$U$8)+1,1)</f>
        <v/>
      </c>
      <c r="BQ5498">
        <f>IF(5485&lt;$U$9,SUMPRODUCT(($D$10:$L$10&lt;&gt;"")*(($D$9:$L$9+INT(($S$12:$AA$12+INDEX($AJ$13:$AR$162,BN5498,0)+INDEX($AT$13:$BB$162,BO5498,0)+INDEX($BD$13:$BL$162,BP5498,0))/100))&gt;=$D$10:$L$10)),0)</f>
        <v/>
      </c>
      <c r="BR5498">
        <f>IF(5485&lt;$U$9,SUMPRODUCT(($D$10:$L$10&lt;&gt;"")*(($D$10:$L$10-($D$9:$L$9+INT(($S$12:$AA$12+INDEX($AJ$13:$AR$162,BN5498,0)+INDEX($AT$13:$BB$162,BO5498,0)+INDEX($BD$13:$BL$162,BP5498,0))/100)))&gt;0)*($D$10:$L$10-($D$9:$L$9+INT(($S$12:$AA$12+INDEX($AJ$13:$AR$162,BN5498,0)+INDEX($AT$13:$BB$162,BO5498,0)+INDEX($BD$13:$BL$162,BP5498,0))/100)))),0)</f>
        <v/>
      </c>
      <c r="BS5498">
        <f>IF(5485&lt;$U$9,SUMPRODUCT(($D$9:$L$9+INT(($S$12:$AA$12+INDEX($AJ$13:$AR$162,BN5498,0)+INDEX($AT$13:$BB$162,BO5498,0)+INDEX($BD$13:$BL$162,BP5498,0))/100))),0)</f>
        <v/>
      </c>
      <c r="BT5498">
        <f>IF(AND(5485&lt;$U$9,$W$5),BQ5498*1000000-MIN(BR5498,999)*1000+BS5498-5485/100000,-1000000000-5485)</f>
        <v/>
      </c>
    </row>
    <row r="5499">
      <c r="BN5499">
        <f>IF(5486&lt;$U$9,INT(5486/($U$7*$U$8))+1,1)</f>
        <v/>
      </c>
      <c r="BO5499">
        <f>IF(5486&lt;$U$9,MOD(INT(5486/$U$8),$U$7)+1,1)</f>
        <v/>
      </c>
      <c r="BP5499">
        <f>IF(5486&lt;$U$9,MOD(5486,$U$8)+1,1)</f>
        <v/>
      </c>
      <c r="BQ5499">
        <f>IF(5486&lt;$U$9,SUMPRODUCT(($D$10:$L$10&lt;&gt;"")*(($D$9:$L$9+INT(($S$12:$AA$12+INDEX($AJ$13:$AR$162,BN5499,0)+INDEX($AT$13:$BB$162,BO5499,0)+INDEX($BD$13:$BL$162,BP5499,0))/100))&gt;=$D$10:$L$10)),0)</f>
        <v/>
      </c>
      <c r="BR5499">
        <f>IF(5486&lt;$U$9,SUMPRODUCT(($D$10:$L$10&lt;&gt;"")*(($D$10:$L$10-($D$9:$L$9+INT(($S$12:$AA$12+INDEX($AJ$13:$AR$162,BN5499,0)+INDEX($AT$13:$BB$162,BO5499,0)+INDEX($BD$13:$BL$162,BP5499,0))/100)))&gt;0)*($D$10:$L$10-($D$9:$L$9+INT(($S$12:$AA$12+INDEX($AJ$13:$AR$162,BN5499,0)+INDEX($AT$13:$BB$162,BO5499,0)+INDEX($BD$13:$BL$162,BP5499,0))/100)))),0)</f>
        <v/>
      </c>
      <c r="BS5499">
        <f>IF(5486&lt;$U$9,SUMPRODUCT(($D$9:$L$9+INT(($S$12:$AA$12+INDEX($AJ$13:$AR$162,BN5499,0)+INDEX($AT$13:$BB$162,BO5499,0)+INDEX($BD$13:$BL$162,BP5499,0))/100))),0)</f>
        <v/>
      </c>
      <c r="BT5499">
        <f>IF(AND(5486&lt;$U$9,$W$5),BQ5499*1000000-MIN(BR5499,999)*1000+BS5499-5486/100000,-1000000000-5486)</f>
        <v/>
      </c>
    </row>
    <row r="5500">
      <c r="BN5500">
        <f>IF(5487&lt;$U$9,INT(5487/($U$7*$U$8))+1,1)</f>
        <v/>
      </c>
      <c r="BO5500">
        <f>IF(5487&lt;$U$9,MOD(INT(5487/$U$8),$U$7)+1,1)</f>
        <v/>
      </c>
      <c r="BP5500">
        <f>IF(5487&lt;$U$9,MOD(5487,$U$8)+1,1)</f>
        <v/>
      </c>
      <c r="BQ5500">
        <f>IF(5487&lt;$U$9,SUMPRODUCT(($D$10:$L$10&lt;&gt;"")*(($D$9:$L$9+INT(($S$12:$AA$12+INDEX($AJ$13:$AR$162,BN5500,0)+INDEX($AT$13:$BB$162,BO5500,0)+INDEX($BD$13:$BL$162,BP5500,0))/100))&gt;=$D$10:$L$10)),0)</f>
        <v/>
      </c>
      <c r="BR5500">
        <f>IF(5487&lt;$U$9,SUMPRODUCT(($D$10:$L$10&lt;&gt;"")*(($D$10:$L$10-($D$9:$L$9+INT(($S$12:$AA$12+INDEX($AJ$13:$AR$162,BN5500,0)+INDEX($AT$13:$BB$162,BO5500,0)+INDEX($BD$13:$BL$162,BP5500,0))/100)))&gt;0)*($D$10:$L$10-($D$9:$L$9+INT(($S$12:$AA$12+INDEX($AJ$13:$AR$162,BN5500,0)+INDEX($AT$13:$BB$162,BO5500,0)+INDEX($BD$13:$BL$162,BP5500,0))/100)))),0)</f>
        <v/>
      </c>
      <c r="BS5500">
        <f>IF(5487&lt;$U$9,SUMPRODUCT(($D$9:$L$9+INT(($S$12:$AA$12+INDEX($AJ$13:$AR$162,BN5500,0)+INDEX($AT$13:$BB$162,BO5500,0)+INDEX($BD$13:$BL$162,BP5500,0))/100))),0)</f>
        <v/>
      </c>
      <c r="BT5500">
        <f>IF(AND(5487&lt;$U$9,$W$5),BQ5500*1000000-MIN(BR5500,999)*1000+BS5500-5487/100000,-1000000000-5487)</f>
        <v/>
      </c>
    </row>
    <row r="5501">
      <c r="BN5501">
        <f>IF(5488&lt;$U$9,INT(5488/($U$7*$U$8))+1,1)</f>
        <v/>
      </c>
      <c r="BO5501">
        <f>IF(5488&lt;$U$9,MOD(INT(5488/$U$8),$U$7)+1,1)</f>
        <v/>
      </c>
      <c r="BP5501">
        <f>IF(5488&lt;$U$9,MOD(5488,$U$8)+1,1)</f>
        <v/>
      </c>
      <c r="BQ5501">
        <f>IF(5488&lt;$U$9,SUMPRODUCT(($D$10:$L$10&lt;&gt;"")*(($D$9:$L$9+INT(($S$12:$AA$12+INDEX($AJ$13:$AR$162,BN5501,0)+INDEX($AT$13:$BB$162,BO5501,0)+INDEX($BD$13:$BL$162,BP5501,0))/100))&gt;=$D$10:$L$10)),0)</f>
        <v/>
      </c>
      <c r="BR5501">
        <f>IF(5488&lt;$U$9,SUMPRODUCT(($D$10:$L$10&lt;&gt;"")*(($D$10:$L$10-($D$9:$L$9+INT(($S$12:$AA$12+INDEX($AJ$13:$AR$162,BN5501,0)+INDEX($AT$13:$BB$162,BO5501,0)+INDEX($BD$13:$BL$162,BP5501,0))/100)))&gt;0)*($D$10:$L$10-($D$9:$L$9+INT(($S$12:$AA$12+INDEX($AJ$13:$AR$162,BN5501,0)+INDEX($AT$13:$BB$162,BO5501,0)+INDEX($BD$13:$BL$162,BP5501,0))/100)))),0)</f>
        <v/>
      </c>
      <c r="BS5501">
        <f>IF(5488&lt;$U$9,SUMPRODUCT(($D$9:$L$9+INT(($S$12:$AA$12+INDEX($AJ$13:$AR$162,BN5501,0)+INDEX($AT$13:$BB$162,BO5501,0)+INDEX($BD$13:$BL$162,BP5501,0))/100))),0)</f>
        <v/>
      </c>
      <c r="BT5501">
        <f>IF(AND(5488&lt;$U$9,$W$5),BQ5501*1000000-MIN(BR5501,999)*1000+BS5501-5488/100000,-1000000000-5488)</f>
        <v/>
      </c>
    </row>
    <row r="5502">
      <c r="BN5502">
        <f>IF(5489&lt;$U$9,INT(5489/($U$7*$U$8))+1,1)</f>
        <v/>
      </c>
      <c r="BO5502">
        <f>IF(5489&lt;$U$9,MOD(INT(5489/$U$8),$U$7)+1,1)</f>
        <v/>
      </c>
      <c r="BP5502">
        <f>IF(5489&lt;$U$9,MOD(5489,$U$8)+1,1)</f>
        <v/>
      </c>
      <c r="BQ5502">
        <f>IF(5489&lt;$U$9,SUMPRODUCT(($D$10:$L$10&lt;&gt;"")*(($D$9:$L$9+INT(($S$12:$AA$12+INDEX($AJ$13:$AR$162,BN5502,0)+INDEX($AT$13:$BB$162,BO5502,0)+INDEX($BD$13:$BL$162,BP5502,0))/100))&gt;=$D$10:$L$10)),0)</f>
        <v/>
      </c>
      <c r="BR5502">
        <f>IF(5489&lt;$U$9,SUMPRODUCT(($D$10:$L$10&lt;&gt;"")*(($D$10:$L$10-($D$9:$L$9+INT(($S$12:$AA$12+INDEX($AJ$13:$AR$162,BN5502,0)+INDEX($AT$13:$BB$162,BO5502,0)+INDEX($BD$13:$BL$162,BP5502,0))/100)))&gt;0)*($D$10:$L$10-($D$9:$L$9+INT(($S$12:$AA$12+INDEX($AJ$13:$AR$162,BN5502,0)+INDEX($AT$13:$BB$162,BO5502,0)+INDEX($BD$13:$BL$162,BP5502,0))/100)))),0)</f>
        <v/>
      </c>
      <c r="BS5502">
        <f>IF(5489&lt;$U$9,SUMPRODUCT(($D$9:$L$9+INT(($S$12:$AA$12+INDEX($AJ$13:$AR$162,BN5502,0)+INDEX($AT$13:$BB$162,BO5502,0)+INDEX($BD$13:$BL$162,BP5502,0))/100))),0)</f>
        <v/>
      </c>
      <c r="BT5502">
        <f>IF(AND(5489&lt;$U$9,$W$5),BQ5502*1000000-MIN(BR5502,999)*1000+BS5502-5489/100000,-1000000000-5489)</f>
        <v/>
      </c>
    </row>
    <row r="5503">
      <c r="BN5503">
        <f>IF(5490&lt;$U$9,INT(5490/($U$7*$U$8))+1,1)</f>
        <v/>
      </c>
      <c r="BO5503">
        <f>IF(5490&lt;$U$9,MOD(INT(5490/$U$8),$U$7)+1,1)</f>
        <v/>
      </c>
      <c r="BP5503">
        <f>IF(5490&lt;$U$9,MOD(5490,$U$8)+1,1)</f>
        <v/>
      </c>
      <c r="BQ5503">
        <f>IF(5490&lt;$U$9,SUMPRODUCT(($D$10:$L$10&lt;&gt;"")*(($D$9:$L$9+INT(($S$12:$AA$12+INDEX($AJ$13:$AR$162,BN5503,0)+INDEX($AT$13:$BB$162,BO5503,0)+INDEX($BD$13:$BL$162,BP5503,0))/100))&gt;=$D$10:$L$10)),0)</f>
        <v/>
      </c>
      <c r="BR5503">
        <f>IF(5490&lt;$U$9,SUMPRODUCT(($D$10:$L$10&lt;&gt;"")*(($D$10:$L$10-($D$9:$L$9+INT(($S$12:$AA$12+INDEX($AJ$13:$AR$162,BN5503,0)+INDEX($AT$13:$BB$162,BO5503,0)+INDEX($BD$13:$BL$162,BP5503,0))/100)))&gt;0)*($D$10:$L$10-($D$9:$L$9+INT(($S$12:$AA$12+INDEX($AJ$13:$AR$162,BN5503,0)+INDEX($AT$13:$BB$162,BO5503,0)+INDEX($BD$13:$BL$162,BP5503,0))/100)))),0)</f>
        <v/>
      </c>
      <c r="BS5503">
        <f>IF(5490&lt;$U$9,SUMPRODUCT(($D$9:$L$9+INT(($S$12:$AA$12+INDEX($AJ$13:$AR$162,BN5503,0)+INDEX($AT$13:$BB$162,BO5503,0)+INDEX($BD$13:$BL$162,BP5503,0))/100))),0)</f>
        <v/>
      </c>
      <c r="BT5503">
        <f>IF(AND(5490&lt;$U$9,$W$5),BQ5503*1000000-MIN(BR5503,999)*1000+BS5503-5490/100000,-1000000000-5490)</f>
        <v/>
      </c>
    </row>
    <row r="5504">
      <c r="BN5504">
        <f>IF(5491&lt;$U$9,INT(5491/($U$7*$U$8))+1,1)</f>
        <v/>
      </c>
      <c r="BO5504">
        <f>IF(5491&lt;$U$9,MOD(INT(5491/$U$8),$U$7)+1,1)</f>
        <v/>
      </c>
      <c r="BP5504">
        <f>IF(5491&lt;$U$9,MOD(5491,$U$8)+1,1)</f>
        <v/>
      </c>
      <c r="BQ5504">
        <f>IF(5491&lt;$U$9,SUMPRODUCT(($D$10:$L$10&lt;&gt;"")*(($D$9:$L$9+INT(($S$12:$AA$12+INDEX($AJ$13:$AR$162,BN5504,0)+INDEX($AT$13:$BB$162,BO5504,0)+INDEX($BD$13:$BL$162,BP5504,0))/100))&gt;=$D$10:$L$10)),0)</f>
        <v/>
      </c>
      <c r="BR5504">
        <f>IF(5491&lt;$U$9,SUMPRODUCT(($D$10:$L$10&lt;&gt;"")*(($D$10:$L$10-($D$9:$L$9+INT(($S$12:$AA$12+INDEX($AJ$13:$AR$162,BN5504,0)+INDEX($AT$13:$BB$162,BO5504,0)+INDEX($BD$13:$BL$162,BP5504,0))/100)))&gt;0)*($D$10:$L$10-($D$9:$L$9+INT(($S$12:$AA$12+INDEX($AJ$13:$AR$162,BN5504,0)+INDEX($AT$13:$BB$162,BO5504,0)+INDEX($BD$13:$BL$162,BP5504,0))/100)))),0)</f>
        <v/>
      </c>
      <c r="BS5504">
        <f>IF(5491&lt;$U$9,SUMPRODUCT(($D$9:$L$9+INT(($S$12:$AA$12+INDEX($AJ$13:$AR$162,BN5504,0)+INDEX($AT$13:$BB$162,BO5504,0)+INDEX($BD$13:$BL$162,BP5504,0))/100))),0)</f>
        <v/>
      </c>
      <c r="BT5504">
        <f>IF(AND(5491&lt;$U$9,$W$5),BQ5504*1000000-MIN(BR5504,999)*1000+BS5504-5491/100000,-1000000000-5491)</f>
        <v/>
      </c>
    </row>
    <row r="5505">
      <c r="BN5505">
        <f>IF(5492&lt;$U$9,INT(5492/($U$7*$U$8))+1,1)</f>
        <v/>
      </c>
      <c r="BO5505">
        <f>IF(5492&lt;$U$9,MOD(INT(5492/$U$8),$U$7)+1,1)</f>
        <v/>
      </c>
      <c r="BP5505">
        <f>IF(5492&lt;$U$9,MOD(5492,$U$8)+1,1)</f>
        <v/>
      </c>
      <c r="BQ5505">
        <f>IF(5492&lt;$U$9,SUMPRODUCT(($D$10:$L$10&lt;&gt;"")*(($D$9:$L$9+INT(($S$12:$AA$12+INDEX($AJ$13:$AR$162,BN5505,0)+INDEX($AT$13:$BB$162,BO5505,0)+INDEX($BD$13:$BL$162,BP5505,0))/100))&gt;=$D$10:$L$10)),0)</f>
        <v/>
      </c>
      <c r="BR5505">
        <f>IF(5492&lt;$U$9,SUMPRODUCT(($D$10:$L$10&lt;&gt;"")*(($D$10:$L$10-($D$9:$L$9+INT(($S$12:$AA$12+INDEX($AJ$13:$AR$162,BN5505,0)+INDEX($AT$13:$BB$162,BO5505,0)+INDEX($BD$13:$BL$162,BP5505,0))/100)))&gt;0)*($D$10:$L$10-($D$9:$L$9+INT(($S$12:$AA$12+INDEX($AJ$13:$AR$162,BN5505,0)+INDEX($AT$13:$BB$162,BO5505,0)+INDEX($BD$13:$BL$162,BP5505,0))/100)))),0)</f>
        <v/>
      </c>
      <c r="BS5505">
        <f>IF(5492&lt;$U$9,SUMPRODUCT(($D$9:$L$9+INT(($S$12:$AA$12+INDEX($AJ$13:$AR$162,BN5505,0)+INDEX($AT$13:$BB$162,BO5505,0)+INDEX($BD$13:$BL$162,BP5505,0))/100))),0)</f>
        <v/>
      </c>
      <c r="BT5505">
        <f>IF(AND(5492&lt;$U$9,$W$5),BQ5505*1000000-MIN(BR5505,999)*1000+BS5505-5492/100000,-1000000000-5492)</f>
        <v/>
      </c>
    </row>
    <row r="5506">
      <c r="BN5506">
        <f>IF(5493&lt;$U$9,INT(5493/($U$7*$U$8))+1,1)</f>
        <v/>
      </c>
      <c r="BO5506">
        <f>IF(5493&lt;$U$9,MOD(INT(5493/$U$8),$U$7)+1,1)</f>
        <v/>
      </c>
      <c r="BP5506">
        <f>IF(5493&lt;$U$9,MOD(5493,$U$8)+1,1)</f>
        <v/>
      </c>
      <c r="BQ5506">
        <f>IF(5493&lt;$U$9,SUMPRODUCT(($D$10:$L$10&lt;&gt;"")*(($D$9:$L$9+INT(($S$12:$AA$12+INDEX($AJ$13:$AR$162,BN5506,0)+INDEX($AT$13:$BB$162,BO5506,0)+INDEX($BD$13:$BL$162,BP5506,0))/100))&gt;=$D$10:$L$10)),0)</f>
        <v/>
      </c>
      <c r="BR5506">
        <f>IF(5493&lt;$U$9,SUMPRODUCT(($D$10:$L$10&lt;&gt;"")*(($D$10:$L$10-($D$9:$L$9+INT(($S$12:$AA$12+INDEX($AJ$13:$AR$162,BN5506,0)+INDEX($AT$13:$BB$162,BO5506,0)+INDEX($BD$13:$BL$162,BP5506,0))/100)))&gt;0)*($D$10:$L$10-($D$9:$L$9+INT(($S$12:$AA$12+INDEX($AJ$13:$AR$162,BN5506,0)+INDEX($AT$13:$BB$162,BO5506,0)+INDEX($BD$13:$BL$162,BP5506,0))/100)))),0)</f>
        <v/>
      </c>
      <c r="BS5506">
        <f>IF(5493&lt;$U$9,SUMPRODUCT(($D$9:$L$9+INT(($S$12:$AA$12+INDEX($AJ$13:$AR$162,BN5506,0)+INDEX($AT$13:$BB$162,BO5506,0)+INDEX($BD$13:$BL$162,BP5506,0))/100))),0)</f>
        <v/>
      </c>
      <c r="BT5506">
        <f>IF(AND(5493&lt;$U$9,$W$5),BQ5506*1000000-MIN(BR5506,999)*1000+BS5506-5493/100000,-1000000000-5493)</f>
        <v/>
      </c>
    </row>
    <row r="5507">
      <c r="BN5507">
        <f>IF(5494&lt;$U$9,INT(5494/($U$7*$U$8))+1,1)</f>
        <v/>
      </c>
      <c r="BO5507">
        <f>IF(5494&lt;$U$9,MOD(INT(5494/$U$8),$U$7)+1,1)</f>
        <v/>
      </c>
      <c r="BP5507">
        <f>IF(5494&lt;$U$9,MOD(5494,$U$8)+1,1)</f>
        <v/>
      </c>
      <c r="BQ5507">
        <f>IF(5494&lt;$U$9,SUMPRODUCT(($D$10:$L$10&lt;&gt;"")*(($D$9:$L$9+INT(($S$12:$AA$12+INDEX($AJ$13:$AR$162,BN5507,0)+INDEX($AT$13:$BB$162,BO5507,0)+INDEX($BD$13:$BL$162,BP5507,0))/100))&gt;=$D$10:$L$10)),0)</f>
        <v/>
      </c>
      <c r="BR5507">
        <f>IF(5494&lt;$U$9,SUMPRODUCT(($D$10:$L$10&lt;&gt;"")*(($D$10:$L$10-($D$9:$L$9+INT(($S$12:$AA$12+INDEX($AJ$13:$AR$162,BN5507,0)+INDEX($AT$13:$BB$162,BO5507,0)+INDEX($BD$13:$BL$162,BP5507,0))/100)))&gt;0)*($D$10:$L$10-($D$9:$L$9+INT(($S$12:$AA$12+INDEX($AJ$13:$AR$162,BN5507,0)+INDEX($AT$13:$BB$162,BO5507,0)+INDEX($BD$13:$BL$162,BP5507,0))/100)))),0)</f>
        <v/>
      </c>
      <c r="BS5507">
        <f>IF(5494&lt;$U$9,SUMPRODUCT(($D$9:$L$9+INT(($S$12:$AA$12+INDEX($AJ$13:$AR$162,BN5507,0)+INDEX($AT$13:$BB$162,BO5507,0)+INDEX($BD$13:$BL$162,BP5507,0))/100))),0)</f>
        <v/>
      </c>
      <c r="BT5507">
        <f>IF(AND(5494&lt;$U$9,$W$5),BQ5507*1000000-MIN(BR5507,999)*1000+BS5507-5494/100000,-1000000000-5494)</f>
        <v/>
      </c>
    </row>
    <row r="5508">
      <c r="BN5508">
        <f>IF(5495&lt;$U$9,INT(5495/($U$7*$U$8))+1,1)</f>
        <v/>
      </c>
      <c r="BO5508">
        <f>IF(5495&lt;$U$9,MOD(INT(5495/$U$8),$U$7)+1,1)</f>
        <v/>
      </c>
      <c r="BP5508">
        <f>IF(5495&lt;$U$9,MOD(5495,$U$8)+1,1)</f>
        <v/>
      </c>
      <c r="BQ5508">
        <f>IF(5495&lt;$U$9,SUMPRODUCT(($D$10:$L$10&lt;&gt;"")*(($D$9:$L$9+INT(($S$12:$AA$12+INDEX($AJ$13:$AR$162,BN5508,0)+INDEX($AT$13:$BB$162,BO5508,0)+INDEX($BD$13:$BL$162,BP5508,0))/100))&gt;=$D$10:$L$10)),0)</f>
        <v/>
      </c>
      <c r="BR5508">
        <f>IF(5495&lt;$U$9,SUMPRODUCT(($D$10:$L$10&lt;&gt;"")*(($D$10:$L$10-($D$9:$L$9+INT(($S$12:$AA$12+INDEX($AJ$13:$AR$162,BN5508,0)+INDEX($AT$13:$BB$162,BO5508,0)+INDEX($BD$13:$BL$162,BP5508,0))/100)))&gt;0)*($D$10:$L$10-($D$9:$L$9+INT(($S$12:$AA$12+INDEX($AJ$13:$AR$162,BN5508,0)+INDEX($AT$13:$BB$162,BO5508,0)+INDEX($BD$13:$BL$162,BP5508,0))/100)))),0)</f>
        <v/>
      </c>
      <c r="BS5508">
        <f>IF(5495&lt;$U$9,SUMPRODUCT(($D$9:$L$9+INT(($S$12:$AA$12+INDEX($AJ$13:$AR$162,BN5508,0)+INDEX($AT$13:$BB$162,BO5508,0)+INDEX($BD$13:$BL$162,BP5508,0))/100))),0)</f>
        <v/>
      </c>
      <c r="BT5508">
        <f>IF(AND(5495&lt;$U$9,$W$5),BQ5508*1000000-MIN(BR5508,999)*1000+BS5508-5495/100000,-1000000000-5495)</f>
        <v/>
      </c>
    </row>
    <row r="5509">
      <c r="BN5509">
        <f>IF(5496&lt;$U$9,INT(5496/($U$7*$U$8))+1,1)</f>
        <v/>
      </c>
      <c r="BO5509">
        <f>IF(5496&lt;$U$9,MOD(INT(5496/$U$8),$U$7)+1,1)</f>
        <v/>
      </c>
      <c r="BP5509">
        <f>IF(5496&lt;$U$9,MOD(5496,$U$8)+1,1)</f>
        <v/>
      </c>
      <c r="BQ5509">
        <f>IF(5496&lt;$U$9,SUMPRODUCT(($D$10:$L$10&lt;&gt;"")*(($D$9:$L$9+INT(($S$12:$AA$12+INDEX($AJ$13:$AR$162,BN5509,0)+INDEX($AT$13:$BB$162,BO5509,0)+INDEX($BD$13:$BL$162,BP5509,0))/100))&gt;=$D$10:$L$10)),0)</f>
        <v/>
      </c>
      <c r="BR5509">
        <f>IF(5496&lt;$U$9,SUMPRODUCT(($D$10:$L$10&lt;&gt;"")*(($D$10:$L$10-($D$9:$L$9+INT(($S$12:$AA$12+INDEX($AJ$13:$AR$162,BN5509,0)+INDEX($AT$13:$BB$162,BO5509,0)+INDEX($BD$13:$BL$162,BP5509,0))/100)))&gt;0)*($D$10:$L$10-($D$9:$L$9+INT(($S$12:$AA$12+INDEX($AJ$13:$AR$162,BN5509,0)+INDEX($AT$13:$BB$162,BO5509,0)+INDEX($BD$13:$BL$162,BP5509,0))/100)))),0)</f>
        <v/>
      </c>
      <c r="BS5509">
        <f>IF(5496&lt;$U$9,SUMPRODUCT(($D$9:$L$9+INT(($S$12:$AA$12+INDEX($AJ$13:$AR$162,BN5509,0)+INDEX($AT$13:$BB$162,BO5509,0)+INDEX($BD$13:$BL$162,BP5509,0))/100))),0)</f>
        <v/>
      </c>
      <c r="BT5509">
        <f>IF(AND(5496&lt;$U$9,$W$5),BQ5509*1000000-MIN(BR5509,999)*1000+BS5509-5496/100000,-1000000000-5496)</f>
        <v/>
      </c>
    </row>
    <row r="5510">
      <c r="BN5510">
        <f>IF(5497&lt;$U$9,INT(5497/($U$7*$U$8))+1,1)</f>
        <v/>
      </c>
      <c r="BO5510">
        <f>IF(5497&lt;$U$9,MOD(INT(5497/$U$8),$U$7)+1,1)</f>
        <v/>
      </c>
      <c r="BP5510">
        <f>IF(5497&lt;$U$9,MOD(5497,$U$8)+1,1)</f>
        <v/>
      </c>
      <c r="BQ5510">
        <f>IF(5497&lt;$U$9,SUMPRODUCT(($D$10:$L$10&lt;&gt;"")*(($D$9:$L$9+INT(($S$12:$AA$12+INDEX($AJ$13:$AR$162,BN5510,0)+INDEX($AT$13:$BB$162,BO5510,0)+INDEX($BD$13:$BL$162,BP5510,0))/100))&gt;=$D$10:$L$10)),0)</f>
        <v/>
      </c>
      <c r="BR5510">
        <f>IF(5497&lt;$U$9,SUMPRODUCT(($D$10:$L$10&lt;&gt;"")*(($D$10:$L$10-($D$9:$L$9+INT(($S$12:$AA$12+INDEX($AJ$13:$AR$162,BN5510,0)+INDEX($AT$13:$BB$162,BO5510,0)+INDEX($BD$13:$BL$162,BP5510,0))/100)))&gt;0)*($D$10:$L$10-($D$9:$L$9+INT(($S$12:$AA$12+INDEX($AJ$13:$AR$162,BN5510,0)+INDEX($AT$13:$BB$162,BO5510,0)+INDEX($BD$13:$BL$162,BP5510,0))/100)))),0)</f>
        <v/>
      </c>
      <c r="BS5510">
        <f>IF(5497&lt;$U$9,SUMPRODUCT(($D$9:$L$9+INT(($S$12:$AA$12+INDEX($AJ$13:$AR$162,BN5510,0)+INDEX($AT$13:$BB$162,BO5510,0)+INDEX($BD$13:$BL$162,BP5510,0))/100))),0)</f>
        <v/>
      </c>
      <c r="BT5510">
        <f>IF(AND(5497&lt;$U$9,$W$5),BQ5510*1000000-MIN(BR5510,999)*1000+BS5510-5497/100000,-1000000000-5497)</f>
        <v/>
      </c>
    </row>
    <row r="5511">
      <c r="BN5511">
        <f>IF(5498&lt;$U$9,INT(5498/($U$7*$U$8))+1,1)</f>
        <v/>
      </c>
      <c r="BO5511">
        <f>IF(5498&lt;$U$9,MOD(INT(5498/$U$8),$U$7)+1,1)</f>
        <v/>
      </c>
      <c r="BP5511">
        <f>IF(5498&lt;$U$9,MOD(5498,$U$8)+1,1)</f>
        <v/>
      </c>
      <c r="BQ5511">
        <f>IF(5498&lt;$U$9,SUMPRODUCT(($D$10:$L$10&lt;&gt;"")*(($D$9:$L$9+INT(($S$12:$AA$12+INDEX($AJ$13:$AR$162,BN5511,0)+INDEX($AT$13:$BB$162,BO5511,0)+INDEX($BD$13:$BL$162,BP5511,0))/100))&gt;=$D$10:$L$10)),0)</f>
        <v/>
      </c>
      <c r="BR5511">
        <f>IF(5498&lt;$U$9,SUMPRODUCT(($D$10:$L$10&lt;&gt;"")*(($D$10:$L$10-($D$9:$L$9+INT(($S$12:$AA$12+INDEX($AJ$13:$AR$162,BN5511,0)+INDEX($AT$13:$BB$162,BO5511,0)+INDEX($BD$13:$BL$162,BP5511,0))/100)))&gt;0)*($D$10:$L$10-($D$9:$L$9+INT(($S$12:$AA$12+INDEX($AJ$13:$AR$162,BN5511,0)+INDEX($AT$13:$BB$162,BO5511,0)+INDEX($BD$13:$BL$162,BP5511,0))/100)))),0)</f>
        <v/>
      </c>
      <c r="BS5511">
        <f>IF(5498&lt;$U$9,SUMPRODUCT(($D$9:$L$9+INT(($S$12:$AA$12+INDEX($AJ$13:$AR$162,BN5511,0)+INDEX($AT$13:$BB$162,BO5511,0)+INDEX($BD$13:$BL$162,BP5511,0))/100))),0)</f>
        <v/>
      </c>
      <c r="BT5511">
        <f>IF(AND(5498&lt;$U$9,$W$5),BQ5511*1000000-MIN(BR5511,999)*1000+BS5511-5498/100000,-1000000000-5498)</f>
        <v/>
      </c>
    </row>
    <row r="5512">
      <c r="BN5512">
        <f>IF(5499&lt;$U$9,INT(5499/($U$7*$U$8))+1,1)</f>
        <v/>
      </c>
      <c r="BO5512">
        <f>IF(5499&lt;$U$9,MOD(INT(5499/$U$8),$U$7)+1,1)</f>
        <v/>
      </c>
      <c r="BP5512">
        <f>IF(5499&lt;$U$9,MOD(5499,$U$8)+1,1)</f>
        <v/>
      </c>
      <c r="BQ5512">
        <f>IF(5499&lt;$U$9,SUMPRODUCT(($D$10:$L$10&lt;&gt;"")*(($D$9:$L$9+INT(($S$12:$AA$12+INDEX($AJ$13:$AR$162,BN5512,0)+INDEX($AT$13:$BB$162,BO5512,0)+INDEX($BD$13:$BL$162,BP5512,0))/100))&gt;=$D$10:$L$10)),0)</f>
        <v/>
      </c>
      <c r="BR5512">
        <f>IF(5499&lt;$U$9,SUMPRODUCT(($D$10:$L$10&lt;&gt;"")*(($D$10:$L$10-($D$9:$L$9+INT(($S$12:$AA$12+INDEX($AJ$13:$AR$162,BN5512,0)+INDEX($AT$13:$BB$162,BO5512,0)+INDEX($BD$13:$BL$162,BP5512,0))/100)))&gt;0)*($D$10:$L$10-($D$9:$L$9+INT(($S$12:$AA$12+INDEX($AJ$13:$AR$162,BN5512,0)+INDEX($AT$13:$BB$162,BO5512,0)+INDEX($BD$13:$BL$162,BP5512,0))/100)))),0)</f>
        <v/>
      </c>
      <c r="BS5512">
        <f>IF(5499&lt;$U$9,SUMPRODUCT(($D$9:$L$9+INT(($S$12:$AA$12+INDEX($AJ$13:$AR$162,BN5512,0)+INDEX($AT$13:$BB$162,BO5512,0)+INDEX($BD$13:$BL$162,BP5512,0))/100))),0)</f>
        <v/>
      </c>
      <c r="BT5512">
        <f>IF(AND(5499&lt;$U$9,$W$5),BQ5512*1000000-MIN(BR5512,999)*1000+BS5512-5499/100000,-1000000000-5499)</f>
        <v/>
      </c>
    </row>
    <row r="5513">
      <c r="BN5513">
        <f>IF(5500&lt;$U$9,INT(5500/($U$7*$U$8))+1,1)</f>
        <v/>
      </c>
      <c r="BO5513">
        <f>IF(5500&lt;$U$9,MOD(INT(5500/$U$8),$U$7)+1,1)</f>
        <v/>
      </c>
      <c r="BP5513">
        <f>IF(5500&lt;$U$9,MOD(5500,$U$8)+1,1)</f>
        <v/>
      </c>
      <c r="BQ5513">
        <f>IF(5500&lt;$U$9,SUMPRODUCT(($D$10:$L$10&lt;&gt;"")*(($D$9:$L$9+INT(($S$12:$AA$12+INDEX($AJ$13:$AR$162,BN5513,0)+INDEX($AT$13:$BB$162,BO5513,0)+INDEX($BD$13:$BL$162,BP5513,0))/100))&gt;=$D$10:$L$10)),0)</f>
        <v/>
      </c>
      <c r="BR5513">
        <f>IF(5500&lt;$U$9,SUMPRODUCT(($D$10:$L$10&lt;&gt;"")*(($D$10:$L$10-($D$9:$L$9+INT(($S$12:$AA$12+INDEX($AJ$13:$AR$162,BN5513,0)+INDEX($AT$13:$BB$162,BO5513,0)+INDEX($BD$13:$BL$162,BP5513,0))/100)))&gt;0)*($D$10:$L$10-($D$9:$L$9+INT(($S$12:$AA$12+INDEX($AJ$13:$AR$162,BN5513,0)+INDEX($AT$13:$BB$162,BO5513,0)+INDEX($BD$13:$BL$162,BP5513,0))/100)))),0)</f>
        <v/>
      </c>
      <c r="BS5513">
        <f>IF(5500&lt;$U$9,SUMPRODUCT(($D$9:$L$9+INT(($S$12:$AA$12+INDEX($AJ$13:$AR$162,BN5513,0)+INDEX($AT$13:$BB$162,BO5513,0)+INDEX($BD$13:$BL$162,BP5513,0))/100))),0)</f>
        <v/>
      </c>
      <c r="BT5513">
        <f>IF(AND(5500&lt;$U$9,$W$5),BQ5513*1000000-MIN(BR5513,999)*1000+BS5513-5500/100000,-1000000000-5500)</f>
        <v/>
      </c>
    </row>
    <row r="5514">
      <c r="BN5514">
        <f>IF(5501&lt;$U$9,INT(5501/($U$7*$U$8))+1,1)</f>
        <v/>
      </c>
      <c r="BO5514">
        <f>IF(5501&lt;$U$9,MOD(INT(5501/$U$8),$U$7)+1,1)</f>
        <v/>
      </c>
      <c r="BP5514">
        <f>IF(5501&lt;$U$9,MOD(5501,$U$8)+1,1)</f>
        <v/>
      </c>
      <c r="BQ5514">
        <f>IF(5501&lt;$U$9,SUMPRODUCT(($D$10:$L$10&lt;&gt;"")*(($D$9:$L$9+INT(($S$12:$AA$12+INDEX($AJ$13:$AR$162,BN5514,0)+INDEX($AT$13:$BB$162,BO5514,0)+INDEX($BD$13:$BL$162,BP5514,0))/100))&gt;=$D$10:$L$10)),0)</f>
        <v/>
      </c>
      <c r="BR5514">
        <f>IF(5501&lt;$U$9,SUMPRODUCT(($D$10:$L$10&lt;&gt;"")*(($D$10:$L$10-($D$9:$L$9+INT(($S$12:$AA$12+INDEX($AJ$13:$AR$162,BN5514,0)+INDEX($AT$13:$BB$162,BO5514,0)+INDEX($BD$13:$BL$162,BP5514,0))/100)))&gt;0)*($D$10:$L$10-($D$9:$L$9+INT(($S$12:$AA$12+INDEX($AJ$13:$AR$162,BN5514,0)+INDEX($AT$13:$BB$162,BO5514,0)+INDEX($BD$13:$BL$162,BP5514,0))/100)))),0)</f>
        <v/>
      </c>
      <c r="BS5514">
        <f>IF(5501&lt;$U$9,SUMPRODUCT(($D$9:$L$9+INT(($S$12:$AA$12+INDEX($AJ$13:$AR$162,BN5514,0)+INDEX($AT$13:$BB$162,BO5514,0)+INDEX($BD$13:$BL$162,BP5514,0))/100))),0)</f>
        <v/>
      </c>
      <c r="BT5514">
        <f>IF(AND(5501&lt;$U$9,$W$5),BQ5514*1000000-MIN(BR5514,999)*1000+BS5514-5501/100000,-1000000000-5501)</f>
        <v/>
      </c>
    </row>
    <row r="5515">
      <c r="BN5515">
        <f>IF(5502&lt;$U$9,INT(5502/($U$7*$U$8))+1,1)</f>
        <v/>
      </c>
      <c r="BO5515">
        <f>IF(5502&lt;$U$9,MOD(INT(5502/$U$8),$U$7)+1,1)</f>
        <v/>
      </c>
      <c r="BP5515">
        <f>IF(5502&lt;$U$9,MOD(5502,$U$8)+1,1)</f>
        <v/>
      </c>
      <c r="BQ5515">
        <f>IF(5502&lt;$U$9,SUMPRODUCT(($D$10:$L$10&lt;&gt;"")*(($D$9:$L$9+INT(($S$12:$AA$12+INDEX($AJ$13:$AR$162,BN5515,0)+INDEX($AT$13:$BB$162,BO5515,0)+INDEX($BD$13:$BL$162,BP5515,0))/100))&gt;=$D$10:$L$10)),0)</f>
        <v/>
      </c>
      <c r="BR5515">
        <f>IF(5502&lt;$U$9,SUMPRODUCT(($D$10:$L$10&lt;&gt;"")*(($D$10:$L$10-($D$9:$L$9+INT(($S$12:$AA$12+INDEX($AJ$13:$AR$162,BN5515,0)+INDEX($AT$13:$BB$162,BO5515,0)+INDEX($BD$13:$BL$162,BP5515,0))/100)))&gt;0)*($D$10:$L$10-($D$9:$L$9+INT(($S$12:$AA$12+INDEX($AJ$13:$AR$162,BN5515,0)+INDEX($AT$13:$BB$162,BO5515,0)+INDEX($BD$13:$BL$162,BP5515,0))/100)))),0)</f>
        <v/>
      </c>
      <c r="BS5515">
        <f>IF(5502&lt;$U$9,SUMPRODUCT(($D$9:$L$9+INT(($S$12:$AA$12+INDEX($AJ$13:$AR$162,BN5515,0)+INDEX($AT$13:$BB$162,BO5515,0)+INDEX($BD$13:$BL$162,BP5515,0))/100))),0)</f>
        <v/>
      </c>
      <c r="BT5515">
        <f>IF(AND(5502&lt;$U$9,$W$5),BQ5515*1000000-MIN(BR5515,999)*1000+BS5515-5502/100000,-1000000000-5502)</f>
        <v/>
      </c>
    </row>
    <row r="5516">
      <c r="BN5516">
        <f>IF(5503&lt;$U$9,INT(5503/($U$7*$U$8))+1,1)</f>
        <v/>
      </c>
      <c r="BO5516">
        <f>IF(5503&lt;$U$9,MOD(INT(5503/$U$8),$U$7)+1,1)</f>
        <v/>
      </c>
      <c r="BP5516">
        <f>IF(5503&lt;$U$9,MOD(5503,$U$8)+1,1)</f>
        <v/>
      </c>
      <c r="BQ5516">
        <f>IF(5503&lt;$U$9,SUMPRODUCT(($D$10:$L$10&lt;&gt;"")*(($D$9:$L$9+INT(($S$12:$AA$12+INDEX($AJ$13:$AR$162,BN5516,0)+INDEX($AT$13:$BB$162,BO5516,0)+INDEX($BD$13:$BL$162,BP5516,0))/100))&gt;=$D$10:$L$10)),0)</f>
        <v/>
      </c>
      <c r="BR5516">
        <f>IF(5503&lt;$U$9,SUMPRODUCT(($D$10:$L$10&lt;&gt;"")*(($D$10:$L$10-($D$9:$L$9+INT(($S$12:$AA$12+INDEX($AJ$13:$AR$162,BN5516,0)+INDEX($AT$13:$BB$162,BO5516,0)+INDEX($BD$13:$BL$162,BP5516,0))/100)))&gt;0)*($D$10:$L$10-($D$9:$L$9+INT(($S$12:$AA$12+INDEX($AJ$13:$AR$162,BN5516,0)+INDEX($AT$13:$BB$162,BO5516,0)+INDEX($BD$13:$BL$162,BP5516,0))/100)))),0)</f>
        <v/>
      </c>
      <c r="BS5516">
        <f>IF(5503&lt;$U$9,SUMPRODUCT(($D$9:$L$9+INT(($S$12:$AA$12+INDEX($AJ$13:$AR$162,BN5516,0)+INDEX($AT$13:$BB$162,BO5516,0)+INDEX($BD$13:$BL$162,BP5516,0))/100))),0)</f>
        <v/>
      </c>
      <c r="BT5516">
        <f>IF(AND(5503&lt;$U$9,$W$5),BQ5516*1000000-MIN(BR5516,999)*1000+BS5516-5503/100000,-1000000000-5503)</f>
        <v/>
      </c>
    </row>
    <row r="5517">
      <c r="BN5517">
        <f>IF(5504&lt;$U$9,INT(5504/($U$7*$U$8))+1,1)</f>
        <v/>
      </c>
      <c r="BO5517">
        <f>IF(5504&lt;$U$9,MOD(INT(5504/$U$8),$U$7)+1,1)</f>
        <v/>
      </c>
      <c r="BP5517">
        <f>IF(5504&lt;$U$9,MOD(5504,$U$8)+1,1)</f>
        <v/>
      </c>
      <c r="BQ5517">
        <f>IF(5504&lt;$U$9,SUMPRODUCT(($D$10:$L$10&lt;&gt;"")*(($D$9:$L$9+INT(($S$12:$AA$12+INDEX($AJ$13:$AR$162,BN5517,0)+INDEX($AT$13:$BB$162,BO5517,0)+INDEX($BD$13:$BL$162,BP5517,0))/100))&gt;=$D$10:$L$10)),0)</f>
        <v/>
      </c>
      <c r="BR5517">
        <f>IF(5504&lt;$U$9,SUMPRODUCT(($D$10:$L$10&lt;&gt;"")*(($D$10:$L$10-($D$9:$L$9+INT(($S$12:$AA$12+INDEX($AJ$13:$AR$162,BN5517,0)+INDEX($AT$13:$BB$162,BO5517,0)+INDEX($BD$13:$BL$162,BP5517,0))/100)))&gt;0)*($D$10:$L$10-($D$9:$L$9+INT(($S$12:$AA$12+INDEX($AJ$13:$AR$162,BN5517,0)+INDEX($AT$13:$BB$162,BO5517,0)+INDEX($BD$13:$BL$162,BP5517,0))/100)))),0)</f>
        <v/>
      </c>
      <c r="BS5517">
        <f>IF(5504&lt;$U$9,SUMPRODUCT(($D$9:$L$9+INT(($S$12:$AA$12+INDEX($AJ$13:$AR$162,BN5517,0)+INDEX($AT$13:$BB$162,BO5517,0)+INDEX($BD$13:$BL$162,BP5517,0))/100))),0)</f>
        <v/>
      </c>
      <c r="BT5517">
        <f>IF(AND(5504&lt;$U$9,$W$5),BQ5517*1000000-MIN(BR5517,999)*1000+BS5517-5504/100000,-1000000000-5504)</f>
        <v/>
      </c>
    </row>
    <row r="5518">
      <c r="BN5518">
        <f>IF(5505&lt;$U$9,INT(5505/($U$7*$U$8))+1,1)</f>
        <v/>
      </c>
      <c r="BO5518">
        <f>IF(5505&lt;$U$9,MOD(INT(5505/$U$8),$U$7)+1,1)</f>
        <v/>
      </c>
      <c r="BP5518">
        <f>IF(5505&lt;$U$9,MOD(5505,$U$8)+1,1)</f>
        <v/>
      </c>
      <c r="BQ5518">
        <f>IF(5505&lt;$U$9,SUMPRODUCT(($D$10:$L$10&lt;&gt;"")*(($D$9:$L$9+INT(($S$12:$AA$12+INDEX($AJ$13:$AR$162,BN5518,0)+INDEX($AT$13:$BB$162,BO5518,0)+INDEX($BD$13:$BL$162,BP5518,0))/100))&gt;=$D$10:$L$10)),0)</f>
        <v/>
      </c>
      <c r="BR5518">
        <f>IF(5505&lt;$U$9,SUMPRODUCT(($D$10:$L$10&lt;&gt;"")*(($D$10:$L$10-($D$9:$L$9+INT(($S$12:$AA$12+INDEX($AJ$13:$AR$162,BN5518,0)+INDEX($AT$13:$BB$162,BO5518,0)+INDEX($BD$13:$BL$162,BP5518,0))/100)))&gt;0)*($D$10:$L$10-($D$9:$L$9+INT(($S$12:$AA$12+INDEX($AJ$13:$AR$162,BN5518,0)+INDEX($AT$13:$BB$162,BO5518,0)+INDEX($BD$13:$BL$162,BP5518,0))/100)))),0)</f>
        <v/>
      </c>
      <c r="BS5518">
        <f>IF(5505&lt;$U$9,SUMPRODUCT(($D$9:$L$9+INT(($S$12:$AA$12+INDEX($AJ$13:$AR$162,BN5518,0)+INDEX($AT$13:$BB$162,BO5518,0)+INDEX($BD$13:$BL$162,BP5518,0))/100))),0)</f>
        <v/>
      </c>
      <c r="BT5518">
        <f>IF(AND(5505&lt;$U$9,$W$5),BQ5518*1000000-MIN(BR5518,999)*1000+BS5518-5505/100000,-1000000000-5505)</f>
        <v/>
      </c>
    </row>
    <row r="5519">
      <c r="BN5519">
        <f>IF(5506&lt;$U$9,INT(5506/($U$7*$U$8))+1,1)</f>
        <v/>
      </c>
      <c r="BO5519">
        <f>IF(5506&lt;$U$9,MOD(INT(5506/$U$8),$U$7)+1,1)</f>
        <v/>
      </c>
      <c r="BP5519">
        <f>IF(5506&lt;$U$9,MOD(5506,$U$8)+1,1)</f>
        <v/>
      </c>
      <c r="BQ5519">
        <f>IF(5506&lt;$U$9,SUMPRODUCT(($D$10:$L$10&lt;&gt;"")*(($D$9:$L$9+INT(($S$12:$AA$12+INDEX($AJ$13:$AR$162,BN5519,0)+INDEX($AT$13:$BB$162,BO5519,0)+INDEX($BD$13:$BL$162,BP5519,0))/100))&gt;=$D$10:$L$10)),0)</f>
        <v/>
      </c>
      <c r="BR5519">
        <f>IF(5506&lt;$U$9,SUMPRODUCT(($D$10:$L$10&lt;&gt;"")*(($D$10:$L$10-($D$9:$L$9+INT(($S$12:$AA$12+INDEX($AJ$13:$AR$162,BN5519,0)+INDEX($AT$13:$BB$162,BO5519,0)+INDEX($BD$13:$BL$162,BP5519,0))/100)))&gt;0)*($D$10:$L$10-($D$9:$L$9+INT(($S$12:$AA$12+INDEX($AJ$13:$AR$162,BN5519,0)+INDEX($AT$13:$BB$162,BO5519,0)+INDEX($BD$13:$BL$162,BP5519,0))/100)))),0)</f>
        <v/>
      </c>
      <c r="BS5519">
        <f>IF(5506&lt;$U$9,SUMPRODUCT(($D$9:$L$9+INT(($S$12:$AA$12+INDEX($AJ$13:$AR$162,BN5519,0)+INDEX($AT$13:$BB$162,BO5519,0)+INDEX($BD$13:$BL$162,BP5519,0))/100))),0)</f>
        <v/>
      </c>
      <c r="BT5519">
        <f>IF(AND(5506&lt;$U$9,$W$5),BQ5519*1000000-MIN(BR5519,999)*1000+BS5519-5506/100000,-1000000000-5506)</f>
        <v/>
      </c>
    </row>
    <row r="5520">
      <c r="BN5520">
        <f>IF(5507&lt;$U$9,INT(5507/($U$7*$U$8))+1,1)</f>
        <v/>
      </c>
      <c r="BO5520">
        <f>IF(5507&lt;$U$9,MOD(INT(5507/$U$8),$U$7)+1,1)</f>
        <v/>
      </c>
      <c r="BP5520">
        <f>IF(5507&lt;$U$9,MOD(5507,$U$8)+1,1)</f>
        <v/>
      </c>
      <c r="BQ5520">
        <f>IF(5507&lt;$U$9,SUMPRODUCT(($D$10:$L$10&lt;&gt;"")*(($D$9:$L$9+INT(($S$12:$AA$12+INDEX($AJ$13:$AR$162,BN5520,0)+INDEX($AT$13:$BB$162,BO5520,0)+INDEX($BD$13:$BL$162,BP5520,0))/100))&gt;=$D$10:$L$10)),0)</f>
        <v/>
      </c>
      <c r="BR5520">
        <f>IF(5507&lt;$U$9,SUMPRODUCT(($D$10:$L$10&lt;&gt;"")*(($D$10:$L$10-($D$9:$L$9+INT(($S$12:$AA$12+INDEX($AJ$13:$AR$162,BN5520,0)+INDEX($AT$13:$BB$162,BO5520,0)+INDEX($BD$13:$BL$162,BP5520,0))/100)))&gt;0)*($D$10:$L$10-($D$9:$L$9+INT(($S$12:$AA$12+INDEX($AJ$13:$AR$162,BN5520,0)+INDEX($AT$13:$BB$162,BO5520,0)+INDEX($BD$13:$BL$162,BP5520,0))/100)))),0)</f>
        <v/>
      </c>
      <c r="BS5520">
        <f>IF(5507&lt;$U$9,SUMPRODUCT(($D$9:$L$9+INT(($S$12:$AA$12+INDEX($AJ$13:$AR$162,BN5520,0)+INDEX($AT$13:$BB$162,BO5520,0)+INDEX($BD$13:$BL$162,BP5520,0))/100))),0)</f>
        <v/>
      </c>
      <c r="BT5520">
        <f>IF(AND(5507&lt;$U$9,$W$5),BQ5520*1000000-MIN(BR5520,999)*1000+BS5520-5507/100000,-1000000000-5507)</f>
        <v/>
      </c>
    </row>
    <row r="5521">
      <c r="BN5521">
        <f>IF(5508&lt;$U$9,INT(5508/($U$7*$U$8))+1,1)</f>
        <v/>
      </c>
      <c r="BO5521">
        <f>IF(5508&lt;$U$9,MOD(INT(5508/$U$8),$U$7)+1,1)</f>
        <v/>
      </c>
      <c r="BP5521">
        <f>IF(5508&lt;$U$9,MOD(5508,$U$8)+1,1)</f>
        <v/>
      </c>
      <c r="BQ5521">
        <f>IF(5508&lt;$U$9,SUMPRODUCT(($D$10:$L$10&lt;&gt;"")*(($D$9:$L$9+INT(($S$12:$AA$12+INDEX($AJ$13:$AR$162,BN5521,0)+INDEX($AT$13:$BB$162,BO5521,0)+INDEX($BD$13:$BL$162,BP5521,0))/100))&gt;=$D$10:$L$10)),0)</f>
        <v/>
      </c>
      <c r="BR5521">
        <f>IF(5508&lt;$U$9,SUMPRODUCT(($D$10:$L$10&lt;&gt;"")*(($D$10:$L$10-($D$9:$L$9+INT(($S$12:$AA$12+INDEX($AJ$13:$AR$162,BN5521,0)+INDEX($AT$13:$BB$162,BO5521,0)+INDEX($BD$13:$BL$162,BP5521,0))/100)))&gt;0)*($D$10:$L$10-($D$9:$L$9+INT(($S$12:$AA$12+INDEX($AJ$13:$AR$162,BN5521,0)+INDEX($AT$13:$BB$162,BO5521,0)+INDEX($BD$13:$BL$162,BP5521,0))/100)))),0)</f>
        <v/>
      </c>
      <c r="BS5521">
        <f>IF(5508&lt;$U$9,SUMPRODUCT(($D$9:$L$9+INT(($S$12:$AA$12+INDEX($AJ$13:$AR$162,BN5521,0)+INDEX($AT$13:$BB$162,BO5521,0)+INDEX($BD$13:$BL$162,BP5521,0))/100))),0)</f>
        <v/>
      </c>
      <c r="BT5521">
        <f>IF(AND(5508&lt;$U$9,$W$5),BQ5521*1000000-MIN(BR5521,999)*1000+BS5521-5508/100000,-1000000000-5508)</f>
        <v/>
      </c>
    </row>
    <row r="5522">
      <c r="BN5522">
        <f>IF(5509&lt;$U$9,INT(5509/($U$7*$U$8))+1,1)</f>
        <v/>
      </c>
      <c r="BO5522">
        <f>IF(5509&lt;$U$9,MOD(INT(5509/$U$8),$U$7)+1,1)</f>
        <v/>
      </c>
      <c r="BP5522">
        <f>IF(5509&lt;$U$9,MOD(5509,$U$8)+1,1)</f>
        <v/>
      </c>
      <c r="BQ5522">
        <f>IF(5509&lt;$U$9,SUMPRODUCT(($D$10:$L$10&lt;&gt;"")*(($D$9:$L$9+INT(($S$12:$AA$12+INDEX($AJ$13:$AR$162,BN5522,0)+INDEX($AT$13:$BB$162,BO5522,0)+INDEX($BD$13:$BL$162,BP5522,0))/100))&gt;=$D$10:$L$10)),0)</f>
        <v/>
      </c>
      <c r="BR5522">
        <f>IF(5509&lt;$U$9,SUMPRODUCT(($D$10:$L$10&lt;&gt;"")*(($D$10:$L$10-($D$9:$L$9+INT(($S$12:$AA$12+INDEX($AJ$13:$AR$162,BN5522,0)+INDEX($AT$13:$BB$162,BO5522,0)+INDEX($BD$13:$BL$162,BP5522,0))/100)))&gt;0)*($D$10:$L$10-($D$9:$L$9+INT(($S$12:$AA$12+INDEX($AJ$13:$AR$162,BN5522,0)+INDEX($AT$13:$BB$162,BO5522,0)+INDEX($BD$13:$BL$162,BP5522,0))/100)))),0)</f>
        <v/>
      </c>
      <c r="BS5522">
        <f>IF(5509&lt;$U$9,SUMPRODUCT(($D$9:$L$9+INT(($S$12:$AA$12+INDEX($AJ$13:$AR$162,BN5522,0)+INDEX($AT$13:$BB$162,BO5522,0)+INDEX($BD$13:$BL$162,BP5522,0))/100))),0)</f>
        <v/>
      </c>
      <c r="BT5522">
        <f>IF(AND(5509&lt;$U$9,$W$5),BQ5522*1000000-MIN(BR5522,999)*1000+BS5522-5509/100000,-1000000000-5509)</f>
        <v/>
      </c>
    </row>
    <row r="5523">
      <c r="BN5523">
        <f>IF(5510&lt;$U$9,INT(5510/($U$7*$U$8))+1,1)</f>
        <v/>
      </c>
      <c r="BO5523">
        <f>IF(5510&lt;$U$9,MOD(INT(5510/$U$8),$U$7)+1,1)</f>
        <v/>
      </c>
      <c r="BP5523">
        <f>IF(5510&lt;$U$9,MOD(5510,$U$8)+1,1)</f>
        <v/>
      </c>
      <c r="BQ5523">
        <f>IF(5510&lt;$U$9,SUMPRODUCT(($D$10:$L$10&lt;&gt;"")*(($D$9:$L$9+INT(($S$12:$AA$12+INDEX($AJ$13:$AR$162,BN5523,0)+INDEX($AT$13:$BB$162,BO5523,0)+INDEX($BD$13:$BL$162,BP5523,0))/100))&gt;=$D$10:$L$10)),0)</f>
        <v/>
      </c>
      <c r="BR5523">
        <f>IF(5510&lt;$U$9,SUMPRODUCT(($D$10:$L$10&lt;&gt;"")*(($D$10:$L$10-($D$9:$L$9+INT(($S$12:$AA$12+INDEX($AJ$13:$AR$162,BN5523,0)+INDEX($AT$13:$BB$162,BO5523,0)+INDEX($BD$13:$BL$162,BP5523,0))/100)))&gt;0)*($D$10:$L$10-($D$9:$L$9+INT(($S$12:$AA$12+INDEX($AJ$13:$AR$162,BN5523,0)+INDEX($AT$13:$BB$162,BO5523,0)+INDEX($BD$13:$BL$162,BP5523,0))/100)))),0)</f>
        <v/>
      </c>
      <c r="BS5523">
        <f>IF(5510&lt;$U$9,SUMPRODUCT(($D$9:$L$9+INT(($S$12:$AA$12+INDEX($AJ$13:$AR$162,BN5523,0)+INDEX($AT$13:$BB$162,BO5523,0)+INDEX($BD$13:$BL$162,BP5523,0))/100))),0)</f>
        <v/>
      </c>
      <c r="BT5523">
        <f>IF(AND(5510&lt;$U$9,$W$5),BQ5523*1000000-MIN(BR5523,999)*1000+BS5523-5510/100000,-1000000000-5510)</f>
        <v/>
      </c>
    </row>
    <row r="5524">
      <c r="BN5524">
        <f>IF(5511&lt;$U$9,INT(5511/($U$7*$U$8))+1,1)</f>
        <v/>
      </c>
      <c r="BO5524">
        <f>IF(5511&lt;$U$9,MOD(INT(5511/$U$8),$U$7)+1,1)</f>
        <v/>
      </c>
      <c r="BP5524">
        <f>IF(5511&lt;$U$9,MOD(5511,$U$8)+1,1)</f>
        <v/>
      </c>
      <c r="BQ5524">
        <f>IF(5511&lt;$U$9,SUMPRODUCT(($D$10:$L$10&lt;&gt;"")*(($D$9:$L$9+INT(($S$12:$AA$12+INDEX($AJ$13:$AR$162,BN5524,0)+INDEX($AT$13:$BB$162,BO5524,0)+INDEX($BD$13:$BL$162,BP5524,0))/100))&gt;=$D$10:$L$10)),0)</f>
        <v/>
      </c>
      <c r="BR5524">
        <f>IF(5511&lt;$U$9,SUMPRODUCT(($D$10:$L$10&lt;&gt;"")*(($D$10:$L$10-($D$9:$L$9+INT(($S$12:$AA$12+INDEX($AJ$13:$AR$162,BN5524,0)+INDEX($AT$13:$BB$162,BO5524,0)+INDEX($BD$13:$BL$162,BP5524,0))/100)))&gt;0)*($D$10:$L$10-($D$9:$L$9+INT(($S$12:$AA$12+INDEX($AJ$13:$AR$162,BN5524,0)+INDEX($AT$13:$BB$162,BO5524,0)+INDEX($BD$13:$BL$162,BP5524,0))/100)))),0)</f>
        <v/>
      </c>
      <c r="BS5524">
        <f>IF(5511&lt;$U$9,SUMPRODUCT(($D$9:$L$9+INT(($S$12:$AA$12+INDEX($AJ$13:$AR$162,BN5524,0)+INDEX($AT$13:$BB$162,BO5524,0)+INDEX($BD$13:$BL$162,BP5524,0))/100))),0)</f>
        <v/>
      </c>
      <c r="BT5524">
        <f>IF(AND(5511&lt;$U$9,$W$5),BQ5524*1000000-MIN(BR5524,999)*1000+BS5524-5511/100000,-1000000000-5511)</f>
        <v/>
      </c>
    </row>
    <row r="5525">
      <c r="BN5525">
        <f>IF(5512&lt;$U$9,INT(5512/($U$7*$U$8))+1,1)</f>
        <v/>
      </c>
      <c r="BO5525">
        <f>IF(5512&lt;$U$9,MOD(INT(5512/$U$8),$U$7)+1,1)</f>
        <v/>
      </c>
      <c r="BP5525">
        <f>IF(5512&lt;$U$9,MOD(5512,$U$8)+1,1)</f>
        <v/>
      </c>
      <c r="BQ5525">
        <f>IF(5512&lt;$U$9,SUMPRODUCT(($D$10:$L$10&lt;&gt;"")*(($D$9:$L$9+INT(($S$12:$AA$12+INDEX($AJ$13:$AR$162,BN5525,0)+INDEX($AT$13:$BB$162,BO5525,0)+INDEX($BD$13:$BL$162,BP5525,0))/100))&gt;=$D$10:$L$10)),0)</f>
        <v/>
      </c>
      <c r="BR5525">
        <f>IF(5512&lt;$U$9,SUMPRODUCT(($D$10:$L$10&lt;&gt;"")*(($D$10:$L$10-($D$9:$L$9+INT(($S$12:$AA$12+INDEX($AJ$13:$AR$162,BN5525,0)+INDEX($AT$13:$BB$162,BO5525,0)+INDEX($BD$13:$BL$162,BP5525,0))/100)))&gt;0)*($D$10:$L$10-($D$9:$L$9+INT(($S$12:$AA$12+INDEX($AJ$13:$AR$162,BN5525,0)+INDEX($AT$13:$BB$162,BO5525,0)+INDEX($BD$13:$BL$162,BP5525,0))/100)))),0)</f>
        <v/>
      </c>
      <c r="BS5525">
        <f>IF(5512&lt;$U$9,SUMPRODUCT(($D$9:$L$9+INT(($S$12:$AA$12+INDEX($AJ$13:$AR$162,BN5525,0)+INDEX($AT$13:$BB$162,BO5525,0)+INDEX($BD$13:$BL$162,BP5525,0))/100))),0)</f>
        <v/>
      </c>
      <c r="BT5525">
        <f>IF(AND(5512&lt;$U$9,$W$5),BQ5525*1000000-MIN(BR5525,999)*1000+BS5525-5512/100000,-1000000000-5512)</f>
        <v/>
      </c>
    </row>
    <row r="5526">
      <c r="BN5526">
        <f>IF(5513&lt;$U$9,INT(5513/($U$7*$U$8))+1,1)</f>
        <v/>
      </c>
      <c r="BO5526">
        <f>IF(5513&lt;$U$9,MOD(INT(5513/$U$8),$U$7)+1,1)</f>
        <v/>
      </c>
      <c r="BP5526">
        <f>IF(5513&lt;$U$9,MOD(5513,$U$8)+1,1)</f>
        <v/>
      </c>
      <c r="BQ5526">
        <f>IF(5513&lt;$U$9,SUMPRODUCT(($D$10:$L$10&lt;&gt;"")*(($D$9:$L$9+INT(($S$12:$AA$12+INDEX($AJ$13:$AR$162,BN5526,0)+INDEX($AT$13:$BB$162,BO5526,0)+INDEX($BD$13:$BL$162,BP5526,0))/100))&gt;=$D$10:$L$10)),0)</f>
        <v/>
      </c>
      <c r="BR5526">
        <f>IF(5513&lt;$U$9,SUMPRODUCT(($D$10:$L$10&lt;&gt;"")*(($D$10:$L$10-($D$9:$L$9+INT(($S$12:$AA$12+INDEX($AJ$13:$AR$162,BN5526,0)+INDEX($AT$13:$BB$162,BO5526,0)+INDEX($BD$13:$BL$162,BP5526,0))/100)))&gt;0)*($D$10:$L$10-($D$9:$L$9+INT(($S$12:$AA$12+INDEX($AJ$13:$AR$162,BN5526,0)+INDEX($AT$13:$BB$162,BO5526,0)+INDEX($BD$13:$BL$162,BP5526,0))/100)))),0)</f>
        <v/>
      </c>
      <c r="BS5526">
        <f>IF(5513&lt;$U$9,SUMPRODUCT(($D$9:$L$9+INT(($S$12:$AA$12+INDEX($AJ$13:$AR$162,BN5526,0)+INDEX($AT$13:$BB$162,BO5526,0)+INDEX($BD$13:$BL$162,BP5526,0))/100))),0)</f>
        <v/>
      </c>
      <c r="BT5526">
        <f>IF(AND(5513&lt;$U$9,$W$5),BQ5526*1000000-MIN(BR5526,999)*1000+BS5526-5513/100000,-1000000000-5513)</f>
        <v/>
      </c>
    </row>
    <row r="5527">
      <c r="BN5527">
        <f>IF(5514&lt;$U$9,INT(5514/($U$7*$U$8))+1,1)</f>
        <v/>
      </c>
      <c r="BO5527">
        <f>IF(5514&lt;$U$9,MOD(INT(5514/$U$8),$U$7)+1,1)</f>
        <v/>
      </c>
      <c r="BP5527">
        <f>IF(5514&lt;$U$9,MOD(5514,$U$8)+1,1)</f>
        <v/>
      </c>
      <c r="BQ5527">
        <f>IF(5514&lt;$U$9,SUMPRODUCT(($D$10:$L$10&lt;&gt;"")*(($D$9:$L$9+INT(($S$12:$AA$12+INDEX($AJ$13:$AR$162,BN5527,0)+INDEX($AT$13:$BB$162,BO5527,0)+INDEX($BD$13:$BL$162,BP5527,0))/100))&gt;=$D$10:$L$10)),0)</f>
        <v/>
      </c>
      <c r="BR5527">
        <f>IF(5514&lt;$U$9,SUMPRODUCT(($D$10:$L$10&lt;&gt;"")*(($D$10:$L$10-($D$9:$L$9+INT(($S$12:$AA$12+INDEX($AJ$13:$AR$162,BN5527,0)+INDEX($AT$13:$BB$162,BO5527,0)+INDEX($BD$13:$BL$162,BP5527,0))/100)))&gt;0)*($D$10:$L$10-($D$9:$L$9+INT(($S$12:$AA$12+INDEX($AJ$13:$AR$162,BN5527,0)+INDEX($AT$13:$BB$162,BO5527,0)+INDEX($BD$13:$BL$162,BP5527,0))/100)))),0)</f>
        <v/>
      </c>
      <c r="BS5527">
        <f>IF(5514&lt;$U$9,SUMPRODUCT(($D$9:$L$9+INT(($S$12:$AA$12+INDEX($AJ$13:$AR$162,BN5527,0)+INDEX($AT$13:$BB$162,BO5527,0)+INDEX($BD$13:$BL$162,BP5527,0))/100))),0)</f>
        <v/>
      </c>
      <c r="BT5527">
        <f>IF(AND(5514&lt;$U$9,$W$5),BQ5527*1000000-MIN(BR5527,999)*1000+BS5527-5514/100000,-1000000000-5514)</f>
        <v/>
      </c>
    </row>
    <row r="5528">
      <c r="BN5528">
        <f>IF(5515&lt;$U$9,INT(5515/($U$7*$U$8))+1,1)</f>
        <v/>
      </c>
      <c r="BO5528">
        <f>IF(5515&lt;$U$9,MOD(INT(5515/$U$8),$U$7)+1,1)</f>
        <v/>
      </c>
      <c r="BP5528">
        <f>IF(5515&lt;$U$9,MOD(5515,$U$8)+1,1)</f>
        <v/>
      </c>
      <c r="BQ5528">
        <f>IF(5515&lt;$U$9,SUMPRODUCT(($D$10:$L$10&lt;&gt;"")*(($D$9:$L$9+INT(($S$12:$AA$12+INDEX($AJ$13:$AR$162,BN5528,0)+INDEX($AT$13:$BB$162,BO5528,0)+INDEX($BD$13:$BL$162,BP5528,0))/100))&gt;=$D$10:$L$10)),0)</f>
        <v/>
      </c>
      <c r="BR5528">
        <f>IF(5515&lt;$U$9,SUMPRODUCT(($D$10:$L$10&lt;&gt;"")*(($D$10:$L$10-($D$9:$L$9+INT(($S$12:$AA$12+INDEX($AJ$13:$AR$162,BN5528,0)+INDEX($AT$13:$BB$162,BO5528,0)+INDEX($BD$13:$BL$162,BP5528,0))/100)))&gt;0)*($D$10:$L$10-($D$9:$L$9+INT(($S$12:$AA$12+INDEX($AJ$13:$AR$162,BN5528,0)+INDEX($AT$13:$BB$162,BO5528,0)+INDEX($BD$13:$BL$162,BP5528,0))/100)))),0)</f>
        <v/>
      </c>
      <c r="BS5528">
        <f>IF(5515&lt;$U$9,SUMPRODUCT(($D$9:$L$9+INT(($S$12:$AA$12+INDEX($AJ$13:$AR$162,BN5528,0)+INDEX($AT$13:$BB$162,BO5528,0)+INDEX($BD$13:$BL$162,BP5528,0))/100))),0)</f>
        <v/>
      </c>
      <c r="BT5528">
        <f>IF(AND(5515&lt;$U$9,$W$5),BQ5528*1000000-MIN(BR5528,999)*1000+BS5528-5515/100000,-1000000000-5515)</f>
        <v/>
      </c>
    </row>
    <row r="5529">
      <c r="BN5529">
        <f>IF(5516&lt;$U$9,INT(5516/($U$7*$U$8))+1,1)</f>
        <v/>
      </c>
      <c r="BO5529">
        <f>IF(5516&lt;$U$9,MOD(INT(5516/$U$8),$U$7)+1,1)</f>
        <v/>
      </c>
      <c r="BP5529">
        <f>IF(5516&lt;$U$9,MOD(5516,$U$8)+1,1)</f>
        <v/>
      </c>
      <c r="BQ5529">
        <f>IF(5516&lt;$U$9,SUMPRODUCT(($D$10:$L$10&lt;&gt;"")*(($D$9:$L$9+INT(($S$12:$AA$12+INDEX($AJ$13:$AR$162,BN5529,0)+INDEX($AT$13:$BB$162,BO5529,0)+INDEX($BD$13:$BL$162,BP5529,0))/100))&gt;=$D$10:$L$10)),0)</f>
        <v/>
      </c>
      <c r="BR5529">
        <f>IF(5516&lt;$U$9,SUMPRODUCT(($D$10:$L$10&lt;&gt;"")*(($D$10:$L$10-($D$9:$L$9+INT(($S$12:$AA$12+INDEX($AJ$13:$AR$162,BN5529,0)+INDEX($AT$13:$BB$162,BO5529,0)+INDEX($BD$13:$BL$162,BP5529,0))/100)))&gt;0)*($D$10:$L$10-($D$9:$L$9+INT(($S$12:$AA$12+INDEX($AJ$13:$AR$162,BN5529,0)+INDEX($AT$13:$BB$162,BO5529,0)+INDEX($BD$13:$BL$162,BP5529,0))/100)))),0)</f>
        <v/>
      </c>
      <c r="BS5529">
        <f>IF(5516&lt;$U$9,SUMPRODUCT(($D$9:$L$9+INT(($S$12:$AA$12+INDEX($AJ$13:$AR$162,BN5529,0)+INDEX($AT$13:$BB$162,BO5529,0)+INDEX($BD$13:$BL$162,BP5529,0))/100))),0)</f>
        <v/>
      </c>
      <c r="BT5529">
        <f>IF(AND(5516&lt;$U$9,$W$5),BQ5529*1000000-MIN(BR5529,999)*1000+BS5529-5516/100000,-1000000000-5516)</f>
        <v/>
      </c>
    </row>
    <row r="5530">
      <c r="BN5530">
        <f>IF(5517&lt;$U$9,INT(5517/($U$7*$U$8))+1,1)</f>
        <v/>
      </c>
      <c r="BO5530">
        <f>IF(5517&lt;$U$9,MOD(INT(5517/$U$8),$U$7)+1,1)</f>
        <v/>
      </c>
      <c r="BP5530">
        <f>IF(5517&lt;$U$9,MOD(5517,$U$8)+1,1)</f>
        <v/>
      </c>
      <c r="BQ5530">
        <f>IF(5517&lt;$U$9,SUMPRODUCT(($D$10:$L$10&lt;&gt;"")*(($D$9:$L$9+INT(($S$12:$AA$12+INDEX($AJ$13:$AR$162,BN5530,0)+INDEX($AT$13:$BB$162,BO5530,0)+INDEX($BD$13:$BL$162,BP5530,0))/100))&gt;=$D$10:$L$10)),0)</f>
        <v/>
      </c>
      <c r="BR5530">
        <f>IF(5517&lt;$U$9,SUMPRODUCT(($D$10:$L$10&lt;&gt;"")*(($D$10:$L$10-($D$9:$L$9+INT(($S$12:$AA$12+INDEX($AJ$13:$AR$162,BN5530,0)+INDEX($AT$13:$BB$162,BO5530,0)+INDEX($BD$13:$BL$162,BP5530,0))/100)))&gt;0)*($D$10:$L$10-($D$9:$L$9+INT(($S$12:$AA$12+INDEX($AJ$13:$AR$162,BN5530,0)+INDEX($AT$13:$BB$162,BO5530,0)+INDEX($BD$13:$BL$162,BP5530,0))/100)))),0)</f>
        <v/>
      </c>
      <c r="BS5530">
        <f>IF(5517&lt;$U$9,SUMPRODUCT(($D$9:$L$9+INT(($S$12:$AA$12+INDEX($AJ$13:$AR$162,BN5530,0)+INDEX($AT$13:$BB$162,BO5530,0)+INDEX($BD$13:$BL$162,BP5530,0))/100))),0)</f>
        <v/>
      </c>
      <c r="BT5530">
        <f>IF(AND(5517&lt;$U$9,$W$5),BQ5530*1000000-MIN(BR5530,999)*1000+BS5530-5517/100000,-1000000000-5517)</f>
        <v/>
      </c>
    </row>
    <row r="5531">
      <c r="BN5531">
        <f>IF(5518&lt;$U$9,INT(5518/($U$7*$U$8))+1,1)</f>
        <v/>
      </c>
      <c r="BO5531">
        <f>IF(5518&lt;$U$9,MOD(INT(5518/$U$8),$U$7)+1,1)</f>
        <v/>
      </c>
      <c r="BP5531">
        <f>IF(5518&lt;$U$9,MOD(5518,$U$8)+1,1)</f>
        <v/>
      </c>
      <c r="BQ5531">
        <f>IF(5518&lt;$U$9,SUMPRODUCT(($D$10:$L$10&lt;&gt;"")*(($D$9:$L$9+INT(($S$12:$AA$12+INDEX($AJ$13:$AR$162,BN5531,0)+INDEX($AT$13:$BB$162,BO5531,0)+INDEX($BD$13:$BL$162,BP5531,0))/100))&gt;=$D$10:$L$10)),0)</f>
        <v/>
      </c>
      <c r="BR5531">
        <f>IF(5518&lt;$U$9,SUMPRODUCT(($D$10:$L$10&lt;&gt;"")*(($D$10:$L$10-($D$9:$L$9+INT(($S$12:$AA$12+INDEX($AJ$13:$AR$162,BN5531,0)+INDEX($AT$13:$BB$162,BO5531,0)+INDEX($BD$13:$BL$162,BP5531,0))/100)))&gt;0)*($D$10:$L$10-($D$9:$L$9+INT(($S$12:$AA$12+INDEX($AJ$13:$AR$162,BN5531,0)+INDEX($AT$13:$BB$162,BO5531,0)+INDEX($BD$13:$BL$162,BP5531,0))/100)))),0)</f>
        <v/>
      </c>
      <c r="BS5531">
        <f>IF(5518&lt;$U$9,SUMPRODUCT(($D$9:$L$9+INT(($S$12:$AA$12+INDEX($AJ$13:$AR$162,BN5531,0)+INDEX($AT$13:$BB$162,BO5531,0)+INDEX($BD$13:$BL$162,BP5531,0))/100))),0)</f>
        <v/>
      </c>
      <c r="BT5531">
        <f>IF(AND(5518&lt;$U$9,$W$5),BQ5531*1000000-MIN(BR5531,999)*1000+BS5531-5518/100000,-1000000000-5518)</f>
        <v/>
      </c>
    </row>
    <row r="5532">
      <c r="BN5532">
        <f>IF(5519&lt;$U$9,INT(5519/($U$7*$U$8))+1,1)</f>
        <v/>
      </c>
      <c r="BO5532">
        <f>IF(5519&lt;$U$9,MOD(INT(5519/$U$8),$U$7)+1,1)</f>
        <v/>
      </c>
      <c r="BP5532">
        <f>IF(5519&lt;$U$9,MOD(5519,$U$8)+1,1)</f>
        <v/>
      </c>
      <c r="BQ5532">
        <f>IF(5519&lt;$U$9,SUMPRODUCT(($D$10:$L$10&lt;&gt;"")*(($D$9:$L$9+INT(($S$12:$AA$12+INDEX($AJ$13:$AR$162,BN5532,0)+INDEX($AT$13:$BB$162,BO5532,0)+INDEX($BD$13:$BL$162,BP5532,0))/100))&gt;=$D$10:$L$10)),0)</f>
        <v/>
      </c>
      <c r="BR5532">
        <f>IF(5519&lt;$U$9,SUMPRODUCT(($D$10:$L$10&lt;&gt;"")*(($D$10:$L$10-($D$9:$L$9+INT(($S$12:$AA$12+INDEX($AJ$13:$AR$162,BN5532,0)+INDEX($AT$13:$BB$162,BO5532,0)+INDEX($BD$13:$BL$162,BP5532,0))/100)))&gt;0)*($D$10:$L$10-($D$9:$L$9+INT(($S$12:$AA$12+INDEX($AJ$13:$AR$162,BN5532,0)+INDEX($AT$13:$BB$162,BO5532,0)+INDEX($BD$13:$BL$162,BP5532,0))/100)))),0)</f>
        <v/>
      </c>
      <c r="BS5532">
        <f>IF(5519&lt;$U$9,SUMPRODUCT(($D$9:$L$9+INT(($S$12:$AA$12+INDEX($AJ$13:$AR$162,BN5532,0)+INDEX($AT$13:$BB$162,BO5532,0)+INDEX($BD$13:$BL$162,BP5532,0))/100))),0)</f>
        <v/>
      </c>
      <c r="BT5532">
        <f>IF(AND(5519&lt;$U$9,$W$5),BQ5532*1000000-MIN(BR5532,999)*1000+BS5532-5519/100000,-1000000000-5519)</f>
        <v/>
      </c>
    </row>
    <row r="5533">
      <c r="BN5533">
        <f>IF(5520&lt;$U$9,INT(5520/($U$7*$U$8))+1,1)</f>
        <v/>
      </c>
      <c r="BO5533">
        <f>IF(5520&lt;$U$9,MOD(INT(5520/$U$8),$U$7)+1,1)</f>
        <v/>
      </c>
      <c r="BP5533">
        <f>IF(5520&lt;$U$9,MOD(5520,$U$8)+1,1)</f>
        <v/>
      </c>
      <c r="BQ5533">
        <f>IF(5520&lt;$U$9,SUMPRODUCT(($D$10:$L$10&lt;&gt;"")*(($D$9:$L$9+INT(($S$12:$AA$12+INDEX($AJ$13:$AR$162,BN5533,0)+INDEX($AT$13:$BB$162,BO5533,0)+INDEX($BD$13:$BL$162,BP5533,0))/100))&gt;=$D$10:$L$10)),0)</f>
        <v/>
      </c>
      <c r="BR5533">
        <f>IF(5520&lt;$U$9,SUMPRODUCT(($D$10:$L$10&lt;&gt;"")*(($D$10:$L$10-($D$9:$L$9+INT(($S$12:$AA$12+INDEX($AJ$13:$AR$162,BN5533,0)+INDEX($AT$13:$BB$162,BO5533,0)+INDEX($BD$13:$BL$162,BP5533,0))/100)))&gt;0)*($D$10:$L$10-($D$9:$L$9+INT(($S$12:$AA$12+INDEX($AJ$13:$AR$162,BN5533,0)+INDEX($AT$13:$BB$162,BO5533,0)+INDEX($BD$13:$BL$162,BP5533,0))/100)))),0)</f>
        <v/>
      </c>
      <c r="BS5533">
        <f>IF(5520&lt;$U$9,SUMPRODUCT(($D$9:$L$9+INT(($S$12:$AA$12+INDEX($AJ$13:$AR$162,BN5533,0)+INDEX($AT$13:$BB$162,BO5533,0)+INDEX($BD$13:$BL$162,BP5533,0))/100))),0)</f>
        <v/>
      </c>
      <c r="BT5533">
        <f>IF(AND(5520&lt;$U$9,$W$5),BQ5533*1000000-MIN(BR5533,999)*1000+BS5533-5520/100000,-1000000000-5520)</f>
        <v/>
      </c>
    </row>
    <row r="5534">
      <c r="BN5534">
        <f>IF(5521&lt;$U$9,INT(5521/($U$7*$U$8))+1,1)</f>
        <v/>
      </c>
      <c r="BO5534">
        <f>IF(5521&lt;$U$9,MOD(INT(5521/$U$8),$U$7)+1,1)</f>
        <v/>
      </c>
      <c r="BP5534">
        <f>IF(5521&lt;$U$9,MOD(5521,$U$8)+1,1)</f>
        <v/>
      </c>
      <c r="BQ5534">
        <f>IF(5521&lt;$U$9,SUMPRODUCT(($D$10:$L$10&lt;&gt;"")*(($D$9:$L$9+INT(($S$12:$AA$12+INDEX($AJ$13:$AR$162,BN5534,0)+INDEX($AT$13:$BB$162,BO5534,0)+INDEX($BD$13:$BL$162,BP5534,0))/100))&gt;=$D$10:$L$10)),0)</f>
        <v/>
      </c>
      <c r="BR5534">
        <f>IF(5521&lt;$U$9,SUMPRODUCT(($D$10:$L$10&lt;&gt;"")*(($D$10:$L$10-($D$9:$L$9+INT(($S$12:$AA$12+INDEX($AJ$13:$AR$162,BN5534,0)+INDEX($AT$13:$BB$162,BO5534,0)+INDEX($BD$13:$BL$162,BP5534,0))/100)))&gt;0)*($D$10:$L$10-($D$9:$L$9+INT(($S$12:$AA$12+INDEX($AJ$13:$AR$162,BN5534,0)+INDEX($AT$13:$BB$162,BO5534,0)+INDEX($BD$13:$BL$162,BP5534,0))/100)))),0)</f>
        <v/>
      </c>
      <c r="BS5534">
        <f>IF(5521&lt;$U$9,SUMPRODUCT(($D$9:$L$9+INT(($S$12:$AA$12+INDEX($AJ$13:$AR$162,BN5534,0)+INDEX($AT$13:$BB$162,BO5534,0)+INDEX($BD$13:$BL$162,BP5534,0))/100))),0)</f>
        <v/>
      </c>
      <c r="BT5534">
        <f>IF(AND(5521&lt;$U$9,$W$5),BQ5534*1000000-MIN(BR5534,999)*1000+BS5534-5521/100000,-1000000000-5521)</f>
        <v/>
      </c>
    </row>
    <row r="5535">
      <c r="BN5535">
        <f>IF(5522&lt;$U$9,INT(5522/($U$7*$U$8))+1,1)</f>
        <v/>
      </c>
      <c r="BO5535">
        <f>IF(5522&lt;$U$9,MOD(INT(5522/$U$8),$U$7)+1,1)</f>
        <v/>
      </c>
      <c r="BP5535">
        <f>IF(5522&lt;$U$9,MOD(5522,$U$8)+1,1)</f>
        <v/>
      </c>
      <c r="BQ5535">
        <f>IF(5522&lt;$U$9,SUMPRODUCT(($D$10:$L$10&lt;&gt;"")*(($D$9:$L$9+INT(($S$12:$AA$12+INDEX($AJ$13:$AR$162,BN5535,0)+INDEX($AT$13:$BB$162,BO5535,0)+INDEX($BD$13:$BL$162,BP5535,0))/100))&gt;=$D$10:$L$10)),0)</f>
        <v/>
      </c>
      <c r="BR5535">
        <f>IF(5522&lt;$U$9,SUMPRODUCT(($D$10:$L$10&lt;&gt;"")*(($D$10:$L$10-($D$9:$L$9+INT(($S$12:$AA$12+INDEX($AJ$13:$AR$162,BN5535,0)+INDEX($AT$13:$BB$162,BO5535,0)+INDEX($BD$13:$BL$162,BP5535,0))/100)))&gt;0)*($D$10:$L$10-($D$9:$L$9+INT(($S$12:$AA$12+INDEX($AJ$13:$AR$162,BN5535,0)+INDEX($AT$13:$BB$162,BO5535,0)+INDEX($BD$13:$BL$162,BP5535,0))/100)))),0)</f>
        <v/>
      </c>
      <c r="BS5535">
        <f>IF(5522&lt;$U$9,SUMPRODUCT(($D$9:$L$9+INT(($S$12:$AA$12+INDEX($AJ$13:$AR$162,BN5535,0)+INDEX($AT$13:$BB$162,BO5535,0)+INDEX($BD$13:$BL$162,BP5535,0))/100))),0)</f>
        <v/>
      </c>
      <c r="BT5535">
        <f>IF(AND(5522&lt;$U$9,$W$5),BQ5535*1000000-MIN(BR5535,999)*1000+BS5535-5522/100000,-1000000000-5522)</f>
        <v/>
      </c>
    </row>
    <row r="5536">
      <c r="BN5536">
        <f>IF(5523&lt;$U$9,INT(5523/($U$7*$U$8))+1,1)</f>
        <v/>
      </c>
      <c r="BO5536">
        <f>IF(5523&lt;$U$9,MOD(INT(5523/$U$8),$U$7)+1,1)</f>
        <v/>
      </c>
      <c r="BP5536">
        <f>IF(5523&lt;$U$9,MOD(5523,$U$8)+1,1)</f>
        <v/>
      </c>
      <c r="BQ5536">
        <f>IF(5523&lt;$U$9,SUMPRODUCT(($D$10:$L$10&lt;&gt;"")*(($D$9:$L$9+INT(($S$12:$AA$12+INDEX($AJ$13:$AR$162,BN5536,0)+INDEX($AT$13:$BB$162,BO5536,0)+INDEX($BD$13:$BL$162,BP5536,0))/100))&gt;=$D$10:$L$10)),0)</f>
        <v/>
      </c>
      <c r="BR5536">
        <f>IF(5523&lt;$U$9,SUMPRODUCT(($D$10:$L$10&lt;&gt;"")*(($D$10:$L$10-($D$9:$L$9+INT(($S$12:$AA$12+INDEX($AJ$13:$AR$162,BN5536,0)+INDEX($AT$13:$BB$162,BO5536,0)+INDEX($BD$13:$BL$162,BP5536,0))/100)))&gt;0)*($D$10:$L$10-($D$9:$L$9+INT(($S$12:$AA$12+INDEX($AJ$13:$AR$162,BN5536,0)+INDEX($AT$13:$BB$162,BO5536,0)+INDEX($BD$13:$BL$162,BP5536,0))/100)))),0)</f>
        <v/>
      </c>
      <c r="BS5536">
        <f>IF(5523&lt;$U$9,SUMPRODUCT(($D$9:$L$9+INT(($S$12:$AA$12+INDEX($AJ$13:$AR$162,BN5536,0)+INDEX($AT$13:$BB$162,BO5536,0)+INDEX($BD$13:$BL$162,BP5536,0))/100))),0)</f>
        <v/>
      </c>
      <c r="BT5536">
        <f>IF(AND(5523&lt;$U$9,$W$5),BQ5536*1000000-MIN(BR5536,999)*1000+BS5536-5523/100000,-1000000000-5523)</f>
        <v/>
      </c>
    </row>
    <row r="5537">
      <c r="BN5537">
        <f>IF(5524&lt;$U$9,INT(5524/($U$7*$U$8))+1,1)</f>
        <v/>
      </c>
      <c r="BO5537">
        <f>IF(5524&lt;$U$9,MOD(INT(5524/$U$8),$U$7)+1,1)</f>
        <v/>
      </c>
      <c r="BP5537">
        <f>IF(5524&lt;$U$9,MOD(5524,$U$8)+1,1)</f>
        <v/>
      </c>
      <c r="BQ5537">
        <f>IF(5524&lt;$U$9,SUMPRODUCT(($D$10:$L$10&lt;&gt;"")*(($D$9:$L$9+INT(($S$12:$AA$12+INDEX($AJ$13:$AR$162,BN5537,0)+INDEX($AT$13:$BB$162,BO5537,0)+INDEX($BD$13:$BL$162,BP5537,0))/100))&gt;=$D$10:$L$10)),0)</f>
        <v/>
      </c>
      <c r="BR5537">
        <f>IF(5524&lt;$U$9,SUMPRODUCT(($D$10:$L$10&lt;&gt;"")*(($D$10:$L$10-($D$9:$L$9+INT(($S$12:$AA$12+INDEX($AJ$13:$AR$162,BN5537,0)+INDEX($AT$13:$BB$162,BO5537,0)+INDEX($BD$13:$BL$162,BP5537,0))/100)))&gt;0)*($D$10:$L$10-($D$9:$L$9+INT(($S$12:$AA$12+INDEX($AJ$13:$AR$162,BN5537,0)+INDEX($AT$13:$BB$162,BO5537,0)+INDEX($BD$13:$BL$162,BP5537,0))/100)))),0)</f>
        <v/>
      </c>
      <c r="BS5537">
        <f>IF(5524&lt;$U$9,SUMPRODUCT(($D$9:$L$9+INT(($S$12:$AA$12+INDEX($AJ$13:$AR$162,BN5537,0)+INDEX($AT$13:$BB$162,BO5537,0)+INDEX($BD$13:$BL$162,BP5537,0))/100))),0)</f>
        <v/>
      </c>
      <c r="BT5537">
        <f>IF(AND(5524&lt;$U$9,$W$5),BQ5537*1000000-MIN(BR5537,999)*1000+BS5537-5524/100000,-1000000000-5524)</f>
        <v/>
      </c>
    </row>
    <row r="5538">
      <c r="BN5538">
        <f>IF(5525&lt;$U$9,INT(5525/($U$7*$U$8))+1,1)</f>
        <v/>
      </c>
      <c r="BO5538">
        <f>IF(5525&lt;$U$9,MOD(INT(5525/$U$8),$U$7)+1,1)</f>
        <v/>
      </c>
      <c r="BP5538">
        <f>IF(5525&lt;$U$9,MOD(5525,$U$8)+1,1)</f>
        <v/>
      </c>
      <c r="BQ5538">
        <f>IF(5525&lt;$U$9,SUMPRODUCT(($D$10:$L$10&lt;&gt;"")*(($D$9:$L$9+INT(($S$12:$AA$12+INDEX($AJ$13:$AR$162,BN5538,0)+INDEX($AT$13:$BB$162,BO5538,0)+INDEX($BD$13:$BL$162,BP5538,0))/100))&gt;=$D$10:$L$10)),0)</f>
        <v/>
      </c>
      <c r="BR5538">
        <f>IF(5525&lt;$U$9,SUMPRODUCT(($D$10:$L$10&lt;&gt;"")*(($D$10:$L$10-($D$9:$L$9+INT(($S$12:$AA$12+INDEX($AJ$13:$AR$162,BN5538,0)+INDEX($AT$13:$BB$162,BO5538,0)+INDEX($BD$13:$BL$162,BP5538,0))/100)))&gt;0)*($D$10:$L$10-($D$9:$L$9+INT(($S$12:$AA$12+INDEX($AJ$13:$AR$162,BN5538,0)+INDEX($AT$13:$BB$162,BO5538,0)+INDEX($BD$13:$BL$162,BP5538,0))/100)))),0)</f>
        <v/>
      </c>
      <c r="BS5538">
        <f>IF(5525&lt;$U$9,SUMPRODUCT(($D$9:$L$9+INT(($S$12:$AA$12+INDEX($AJ$13:$AR$162,BN5538,0)+INDEX($AT$13:$BB$162,BO5538,0)+INDEX($BD$13:$BL$162,BP5538,0))/100))),0)</f>
        <v/>
      </c>
      <c r="BT5538">
        <f>IF(AND(5525&lt;$U$9,$W$5),BQ5538*1000000-MIN(BR5538,999)*1000+BS5538-5525/100000,-1000000000-5525)</f>
        <v/>
      </c>
    </row>
    <row r="5539">
      <c r="BN5539">
        <f>IF(5526&lt;$U$9,INT(5526/($U$7*$U$8))+1,1)</f>
        <v/>
      </c>
      <c r="BO5539">
        <f>IF(5526&lt;$U$9,MOD(INT(5526/$U$8),$U$7)+1,1)</f>
        <v/>
      </c>
      <c r="BP5539">
        <f>IF(5526&lt;$U$9,MOD(5526,$U$8)+1,1)</f>
        <v/>
      </c>
      <c r="BQ5539">
        <f>IF(5526&lt;$U$9,SUMPRODUCT(($D$10:$L$10&lt;&gt;"")*(($D$9:$L$9+INT(($S$12:$AA$12+INDEX($AJ$13:$AR$162,BN5539,0)+INDEX($AT$13:$BB$162,BO5539,0)+INDEX($BD$13:$BL$162,BP5539,0))/100))&gt;=$D$10:$L$10)),0)</f>
        <v/>
      </c>
      <c r="BR5539">
        <f>IF(5526&lt;$U$9,SUMPRODUCT(($D$10:$L$10&lt;&gt;"")*(($D$10:$L$10-($D$9:$L$9+INT(($S$12:$AA$12+INDEX($AJ$13:$AR$162,BN5539,0)+INDEX($AT$13:$BB$162,BO5539,0)+INDEX($BD$13:$BL$162,BP5539,0))/100)))&gt;0)*($D$10:$L$10-($D$9:$L$9+INT(($S$12:$AA$12+INDEX($AJ$13:$AR$162,BN5539,0)+INDEX($AT$13:$BB$162,BO5539,0)+INDEX($BD$13:$BL$162,BP5539,0))/100)))),0)</f>
        <v/>
      </c>
      <c r="BS5539">
        <f>IF(5526&lt;$U$9,SUMPRODUCT(($D$9:$L$9+INT(($S$12:$AA$12+INDEX($AJ$13:$AR$162,BN5539,0)+INDEX($AT$13:$BB$162,BO5539,0)+INDEX($BD$13:$BL$162,BP5539,0))/100))),0)</f>
        <v/>
      </c>
      <c r="BT5539">
        <f>IF(AND(5526&lt;$U$9,$W$5),BQ5539*1000000-MIN(BR5539,999)*1000+BS5539-5526/100000,-1000000000-5526)</f>
        <v/>
      </c>
    </row>
    <row r="5540">
      <c r="BN5540">
        <f>IF(5527&lt;$U$9,INT(5527/($U$7*$U$8))+1,1)</f>
        <v/>
      </c>
      <c r="BO5540">
        <f>IF(5527&lt;$U$9,MOD(INT(5527/$U$8),$U$7)+1,1)</f>
        <v/>
      </c>
      <c r="BP5540">
        <f>IF(5527&lt;$U$9,MOD(5527,$U$8)+1,1)</f>
        <v/>
      </c>
      <c r="BQ5540">
        <f>IF(5527&lt;$U$9,SUMPRODUCT(($D$10:$L$10&lt;&gt;"")*(($D$9:$L$9+INT(($S$12:$AA$12+INDEX($AJ$13:$AR$162,BN5540,0)+INDEX($AT$13:$BB$162,BO5540,0)+INDEX($BD$13:$BL$162,BP5540,0))/100))&gt;=$D$10:$L$10)),0)</f>
        <v/>
      </c>
      <c r="BR5540">
        <f>IF(5527&lt;$U$9,SUMPRODUCT(($D$10:$L$10&lt;&gt;"")*(($D$10:$L$10-($D$9:$L$9+INT(($S$12:$AA$12+INDEX($AJ$13:$AR$162,BN5540,0)+INDEX($AT$13:$BB$162,BO5540,0)+INDEX($BD$13:$BL$162,BP5540,0))/100)))&gt;0)*($D$10:$L$10-($D$9:$L$9+INT(($S$12:$AA$12+INDEX($AJ$13:$AR$162,BN5540,0)+INDEX($AT$13:$BB$162,BO5540,0)+INDEX($BD$13:$BL$162,BP5540,0))/100)))),0)</f>
        <v/>
      </c>
      <c r="BS5540">
        <f>IF(5527&lt;$U$9,SUMPRODUCT(($D$9:$L$9+INT(($S$12:$AA$12+INDEX($AJ$13:$AR$162,BN5540,0)+INDEX($AT$13:$BB$162,BO5540,0)+INDEX($BD$13:$BL$162,BP5540,0))/100))),0)</f>
        <v/>
      </c>
      <c r="BT5540">
        <f>IF(AND(5527&lt;$U$9,$W$5),BQ5540*1000000-MIN(BR5540,999)*1000+BS5540-5527/100000,-1000000000-5527)</f>
        <v/>
      </c>
    </row>
    <row r="5541">
      <c r="BN5541">
        <f>IF(5528&lt;$U$9,INT(5528/($U$7*$U$8))+1,1)</f>
        <v/>
      </c>
      <c r="BO5541">
        <f>IF(5528&lt;$U$9,MOD(INT(5528/$U$8),$U$7)+1,1)</f>
        <v/>
      </c>
      <c r="BP5541">
        <f>IF(5528&lt;$U$9,MOD(5528,$U$8)+1,1)</f>
        <v/>
      </c>
      <c r="BQ5541">
        <f>IF(5528&lt;$U$9,SUMPRODUCT(($D$10:$L$10&lt;&gt;"")*(($D$9:$L$9+INT(($S$12:$AA$12+INDEX($AJ$13:$AR$162,BN5541,0)+INDEX($AT$13:$BB$162,BO5541,0)+INDEX($BD$13:$BL$162,BP5541,0))/100))&gt;=$D$10:$L$10)),0)</f>
        <v/>
      </c>
      <c r="BR5541">
        <f>IF(5528&lt;$U$9,SUMPRODUCT(($D$10:$L$10&lt;&gt;"")*(($D$10:$L$10-($D$9:$L$9+INT(($S$12:$AA$12+INDEX($AJ$13:$AR$162,BN5541,0)+INDEX($AT$13:$BB$162,BO5541,0)+INDEX($BD$13:$BL$162,BP5541,0))/100)))&gt;0)*($D$10:$L$10-($D$9:$L$9+INT(($S$12:$AA$12+INDEX($AJ$13:$AR$162,BN5541,0)+INDEX($AT$13:$BB$162,BO5541,0)+INDEX($BD$13:$BL$162,BP5541,0))/100)))),0)</f>
        <v/>
      </c>
      <c r="BS5541">
        <f>IF(5528&lt;$U$9,SUMPRODUCT(($D$9:$L$9+INT(($S$12:$AA$12+INDEX($AJ$13:$AR$162,BN5541,0)+INDEX($AT$13:$BB$162,BO5541,0)+INDEX($BD$13:$BL$162,BP5541,0))/100))),0)</f>
        <v/>
      </c>
      <c r="BT5541">
        <f>IF(AND(5528&lt;$U$9,$W$5),BQ5541*1000000-MIN(BR5541,999)*1000+BS5541-5528/100000,-1000000000-5528)</f>
        <v/>
      </c>
    </row>
    <row r="5542">
      <c r="BN5542">
        <f>IF(5529&lt;$U$9,INT(5529/($U$7*$U$8))+1,1)</f>
        <v/>
      </c>
      <c r="BO5542">
        <f>IF(5529&lt;$U$9,MOD(INT(5529/$U$8),$U$7)+1,1)</f>
        <v/>
      </c>
      <c r="BP5542">
        <f>IF(5529&lt;$U$9,MOD(5529,$U$8)+1,1)</f>
        <v/>
      </c>
      <c r="BQ5542">
        <f>IF(5529&lt;$U$9,SUMPRODUCT(($D$10:$L$10&lt;&gt;"")*(($D$9:$L$9+INT(($S$12:$AA$12+INDEX($AJ$13:$AR$162,BN5542,0)+INDEX($AT$13:$BB$162,BO5542,0)+INDEX($BD$13:$BL$162,BP5542,0))/100))&gt;=$D$10:$L$10)),0)</f>
        <v/>
      </c>
      <c r="BR5542">
        <f>IF(5529&lt;$U$9,SUMPRODUCT(($D$10:$L$10&lt;&gt;"")*(($D$10:$L$10-($D$9:$L$9+INT(($S$12:$AA$12+INDEX($AJ$13:$AR$162,BN5542,0)+INDEX($AT$13:$BB$162,BO5542,0)+INDEX($BD$13:$BL$162,BP5542,0))/100)))&gt;0)*($D$10:$L$10-($D$9:$L$9+INT(($S$12:$AA$12+INDEX($AJ$13:$AR$162,BN5542,0)+INDEX($AT$13:$BB$162,BO5542,0)+INDEX($BD$13:$BL$162,BP5542,0))/100)))),0)</f>
        <v/>
      </c>
      <c r="BS5542">
        <f>IF(5529&lt;$U$9,SUMPRODUCT(($D$9:$L$9+INT(($S$12:$AA$12+INDEX($AJ$13:$AR$162,BN5542,0)+INDEX($AT$13:$BB$162,BO5542,0)+INDEX($BD$13:$BL$162,BP5542,0))/100))),0)</f>
        <v/>
      </c>
      <c r="BT5542">
        <f>IF(AND(5529&lt;$U$9,$W$5),BQ5542*1000000-MIN(BR5542,999)*1000+BS5542-5529/100000,-1000000000-5529)</f>
        <v/>
      </c>
    </row>
    <row r="5543">
      <c r="BN5543">
        <f>IF(5530&lt;$U$9,INT(5530/($U$7*$U$8))+1,1)</f>
        <v/>
      </c>
      <c r="BO5543">
        <f>IF(5530&lt;$U$9,MOD(INT(5530/$U$8),$U$7)+1,1)</f>
        <v/>
      </c>
      <c r="BP5543">
        <f>IF(5530&lt;$U$9,MOD(5530,$U$8)+1,1)</f>
        <v/>
      </c>
      <c r="BQ5543">
        <f>IF(5530&lt;$U$9,SUMPRODUCT(($D$10:$L$10&lt;&gt;"")*(($D$9:$L$9+INT(($S$12:$AA$12+INDEX($AJ$13:$AR$162,BN5543,0)+INDEX($AT$13:$BB$162,BO5543,0)+INDEX($BD$13:$BL$162,BP5543,0))/100))&gt;=$D$10:$L$10)),0)</f>
        <v/>
      </c>
      <c r="BR5543">
        <f>IF(5530&lt;$U$9,SUMPRODUCT(($D$10:$L$10&lt;&gt;"")*(($D$10:$L$10-($D$9:$L$9+INT(($S$12:$AA$12+INDEX($AJ$13:$AR$162,BN5543,0)+INDEX($AT$13:$BB$162,BO5543,0)+INDEX($BD$13:$BL$162,BP5543,0))/100)))&gt;0)*($D$10:$L$10-($D$9:$L$9+INT(($S$12:$AA$12+INDEX($AJ$13:$AR$162,BN5543,0)+INDEX($AT$13:$BB$162,BO5543,0)+INDEX($BD$13:$BL$162,BP5543,0))/100)))),0)</f>
        <v/>
      </c>
      <c r="BS5543">
        <f>IF(5530&lt;$U$9,SUMPRODUCT(($D$9:$L$9+INT(($S$12:$AA$12+INDEX($AJ$13:$AR$162,BN5543,0)+INDEX($AT$13:$BB$162,BO5543,0)+INDEX($BD$13:$BL$162,BP5543,0))/100))),0)</f>
        <v/>
      </c>
      <c r="BT5543">
        <f>IF(AND(5530&lt;$U$9,$W$5),BQ5543*1000000-MIN(BR5543,999)*1000+BS5543-5530/100000,-1000000000-5530)</f>
        <v/>
      </c>
    </row>
    <row r="5544">
      <c r="BN5544">
        <f>IF(5531&lt;$U$9,INT(5531/($U$7*$U$8))+1,1)</f>
        <v/>
      </c>
      <c r="BO5544">
        <f>IF(5531&lt;$U$9,MOD(INT(5531/$U$8),$U$7)+1,1)</f>
        <v/>
      </c>
      <c r="BP5544">
        <f>IF(5531&lt;$U$9,MOD(5531,$U$8)+1,1)</f>
        <v/>
      </c>
      <c r="BQ5544">
        <f>IF(5531&lt;$U$9,SUMPRODUCT(($D$10:$L$10&lt;&gt;"")*(($D$9:$L$9+INT(($S$12:$AA$12+INDEX($AJ$13:$AR$162,BN5544,0)+INDEX($AT$13:$BB$162,BO5544,0)+INDEX($BD$13:$BL$162,BP5544,0))/100))&gt;=$D$10:$L$10)),0)</f>
        <v/>
      </c>
      <c r="BR5544">
        <f>IF(5531&lt;$U$9,SUMPRODUCT(($D$10:$L$10&lt;&gt;"")*(($D$10:$L$10-($D$9:$L$9+INT(($S$12:$AA$12+INDEX($AJ$13:$AR$162,BN5544,0)+INDEX($AT$13:$BB$162,BO5544,0)+INDEX($BD$13:$BL$162,BP5544,0))/100)))&gt;0)*($D$10:$L$10-($D$9:$L$9+INT(($S$12:$AA$12+INDEX($AJ$13:$AR$162,BN5544,0)+INDEX($AT$13:$BB$162,BO5544,0)+INDEX($BD$13:$BL$162,BP5544,0))/100)))),0)</f>
        <v/>
      </c>
      <c r="BS5544">
        <f>IF(5531&lt;$U$9,SUMPRODUCT(($D$9:$L$9+INT(($S$12:$AA$12+INDEX($AJ$13:$AR$162,BN5544,0)+INDEX($AT$13:$BB$162,BO5544,0)+INDEX($BD$13:$BL$162,BP5544,0))/100))),0)</f>
        <v/>
      </c>
      <c r="BT5544">
        <f>IF(AND(5531&lt;$U$9,$W$5),BQ5544*1000000-MIN(BR5544,999)*1000+BS5544-5531/100000,-1000000000-5531)</f>
        <v/>
      </c>
    </row>
    <row r="5545">
      <c r="BN5545">
        <f>IF(5532&lt;$U$9,INT(5532/($U$7*$U$8))+1,1)</f>
        <v/>
      </c>
      <c r="BO5545">
        <f>IF(5532&lt;$U$9,MOD(INT(5532/$U$8),$U$7)+1,1)</f>
        <v/>
      </c>
      <c r="BP5545">
        <f>IF(5532&lt;$U$9,MOD(5532,$U$8)+1,1)</f>
        <v/>
      </c>
      <c r="BQ5545">
        <f>IF(5532&lt;$U$9,SUMPRODUCT(($D$10:$L$10&lt;&gt;"")*(($D$9:$L$9+INT(($S$12:$AA$12+INDEX($AJ$13:$AR$162,BN5545,0)+INDEX($AT$13:$BB$162,BO5545,0)+INDEX($BD$13:$BL$162,BP5545,0))/100))&gt;=$D$10:$L$10)),0)</f>
        <v/>
      </c>
      <c r="BR5545">
        <f>IF(5532&lt;$U$9,SUMPRODUCT(($D$10:$L$10&lt;&gt;"")*(($D$10:$L$10-($D$9:$L$9+INT(($S$12:$AA$12+INDEX($AJ$13:$AR$162,BN5545,0)+INDEX($AT$13:$BB$162,BO5545,0)+INDEX($BD$13:$BL$162,BP5545,0))/100)))&gt;0)*($D$10:$L$10-($D$9:$L$9+INT(($S$12:$AA$12+INDEX($AJ$13:$AR$162,BN5545,0)+INDEX($AT$13:$BB$162,BO5545,0)+INDEX($BD$13:$BL$162,BP5545,0))/100)))),0)</f>
        <v/>
      </c>
      <c r="BS5545">
        <f>IF(5532&lt;$U$9,SUMPRODUCT(($D$9:$L$9+INT(($S$12:$AA$12+INDEX($AJ$13:$AR$162,BN5545,0)+INDEX($AT$13:$BB$162,BO5545,0)+INDEX($BD$13:$BL$162,BP5545,0))/100))),0)</f>
        <v/>
      </c>
      <c r="BT5545">
        <f>IF(AND(5532&lt;$U$9,$W$5),BQ5545*1000000-MIN(BR5545,999)*1000+BS5545-5532/100000,-1000000000-5532)</f>
        <v/>
      </c>
    </row>
    <row r="5546">
      <c r="BN5546">
        <f>IF(5533&lt;$U$9,INT(5533/($U$7*$U$8))+1,1)</f>
        <v/>
      </c>
      <c r="BO5546">
        <f>IF(5533&lt;$U$9,MOD(INT(5533/$U$8),$U$7)+1,1)</f>
        <v/>
      </c>
      <c r="BP5546">
        <f>IF(5533&lt;$U$9,MOD(5533,$U$8)+1,1)</f>
        <v/>
      </c>
      <c r="BQ5546">
        <f>IF(5533&lt;$U$9,SUMPRODUCT(($D$10:$L$10&lt;&gt;"")*(($D$9:$L$9+INT(($S$12:$AA$12+INDEX($AJ$13:$AR$162,BN5546,0)+INDEX($AT$13:$BB$162,BO5546,0)+INDEX($BD$13:$BL$162,BP5546,0))/100))&gt;=$D$10:$L$10)),0)</f>
        <v/>
      </c>
      <c r="BR5546">
        <f>IF(5533&lt;$U$9,SUMPRODUCT(($D$10:$L$10&lt;&gt;"")*(($D$10:$L$10-($D$9:$L$9+INT(($S$12:$AA$12+INDEX($AJ$13:$AR$162,BN5546,0)+INDEX($AT$13:$BB$162,BO5546,0)+INDEX($BD$13:$BL$162,BP5546,0))/100)))&gt;0)*($D$10:$L$10-($D$9:$L$9+INT(($S$12:$AA$12+INDEX($AJ$13:$AR$162,BN5546,0)+INDEX($AT$13:$BB$162,BO5546,0)+INDEX($BD$13:$BL$162,BP5546,0))/100)))),0)</f>
        <v/>
      </c>
      <c r="BS5546">
        <f>IF(5533&lt;$U$9,SUMPRODUCT(($D$9:$L$9+INT(($S$12:$AA$12+INDEX($AJ$13:$AR$162,BN5546,0)+INDEX($AT$13:$BB$162,BO5546,0)+INDEX($BD$13:$BL$162,BP5546,0))/100))),0)</f>
        <v/>
      </c>
      <c r="BT5546">
        <f>IF(AND(5533&lt;$U$9,$W$5),BQ5546*1000000-MIN(BR5546,999)*1000+BS5546-5533/100000,-1000000000-5533)</f>
        <v/>
      </c>
    </row>
    <row r="5547">
      <c r="BN5547">
        <f>IF(5534&lt;$U$9,INT(5534/($U$7*$U$8))+1,1)</f>
        <v/>
      </c>
      <c r="BO5547">
        <f>IF(5534&lt;$U$9,MOD(INT(5534/$U$8),$U$7)+1,1)</f>
        <v/>
      </c>
      <c r="BP5547">
        <f>IF(5534&lt;$U$9,MOD(5534,$U$8)+1,1)</f>
        <v/>
      </c>
      <c r="BQ5547">
        <f>IF(5534&lt;$U$9,SUMPRODUCT(($D$10:$L$10&lt;&gt;"")*(($D$9:$L$9+INT(($S$12:$AA$12+INDEX($AJ$13:$AR$162,BN5547,0)+INDEX($AT$13:$BB$162,BO5547,0)+INDEX($BD$13:$BL$162,BP5547,0))/100))&gt;=$D$10:$L$10)),0)</f>
        <v/>
      </c>
      <c r="BR5547">
        <f>IF(5534&lt;$U$9,SUMPRODUCT(($D$10:$L$10&lt;&gt;"")*(($D$10:$L$10-($D$9:$L$9+INT(($S$12:$AA$12+INDEX($AJ$13:$AR$162,BN5547,0)+INDEX($AT$13:$BB$162,BO5547,0)+INDEX($BD$13:$BL$162,BP5547,0))/100)))&gt;0)*($D$10:$L$10-($D$9:$L$9+INT(($S$12:$AA$12+INDEX($AJ$13:$AR$162,BN5547,0)+INDEX($AT$13:$BB$162,BO5547,0)+INDEX($BD$13:$BL$162,BP5547,0))/100)))),0)</f>
        <v/>
      </c>
      <c r="BS5547">
        <f>IF(5534&lt;$U$9,SUMPRODUCT(($D$9:$L$9+INT(($S$12:$AA$12+INDEX($AJ$13:$AR$162,BN5547,0)+INDEX($AT$13:$BB$162,BO5547,0)+INDEX($BD$13:$BL$162,BP5547,0))/100))),0)</f>
        <v/>
      </c>
      <c r="BT5547">
        <f>IF(AND(5534&lt;$U$9,$W$5),BQ5547*1000000-MIN(BR5547,999)*1000+BS5547-5534/100000,-1000000000-5534)</f>
        <v/>
      </c>
    </row>
    <row r="5548">
      <c r="BN5548">
        <f>IF(5535&lt;$U$9,INT(5535/($U$7*$U$8))+1,1)</f>
        <v/>
      </c>
      <c r="BO5548">
        <f>IF(5535&lt;$U$9,MOD(INT(5535/$U$8),$U$7)+1,1)</f>
        <v/>
      </c>
      <c r="BP5548">
        <f>IF(5535&lt;$U$9,MOD(5535,$U$8)+1,1)</f>
        <v/>
      </c>
      <c r="BQ5548">
        <f>IF(5535&lt;$U$9,SUMPRODUCT(($D$10:$L$10&lt;&gt;"")*(($D$9:$L$9+INT(($S$12:$AA$12+INDEX($AJ$13:$AR$162,BN5548,0)+INDEX($AT$13:$BB$162,BO5548,0)+INDEX($BD$13:$BL$162,BP5548,0))/100))&gt;=$D$10:$L$10)),0)</f>
        <v/>
      </c>
      <c r="BR5548">
        <f>IF(5535&lt;$U$9,SUMPRODUCT(($D$10:$L$10&lt;&gt;"")*(($D$10:$L$10-($D$9:$L$9+INT(($S$12:$AA$12+INDEX($AJ$13:$AR$162,BN5548,0)+INDEX($AT$13:$BB$162,BO5548,0)+INDEX($BD$13:$BL$162,BP5548,0))/100)))&gt;0)*($D$10:$L$10-($D$9:$L$9+INT(($S$12:$AA$12+INDEX($AJ$13:$AR$162,BN5548,0)+INDEX($AT$13:$BB$162,BO5548,0)+INDEX($BD$13:$BL$162,BP5548,0))/100)))),0)</f>
        <v/>
      </c>
      <c r="BS5548">
        <f>IF(5535&lt;$U$9,SUMPRODUCT(($D$9:$L$9+INT(($S$12:$AA$12+INDEX($AJ$13:$AR$162,BN5548,0)+INDEX($AT$13:$BB$162,BO5548,0)+INDEX($BD$13:$BL$162,BP5548,0))/100))),0)</f>
        <v/>
      </c>
      <c r="BT5548">
        <f>IF(AND(5535&lt;$U$9,$W$5),BQ5548*1000000-MIN(BR5548,999)*1000+BS5548-5535/100000,-1000000000-5535)</f>
        <v/>
      </c>
    </row>
    <row r="5549">
      <c r="BN5549">
        <f>IF(5536&lt;$U$9,INT(5536/($U$7*$U$8))+1,1)</f>
        <v/>
      </c>
      <c r="BO5549">
        <f>IF(5536&lt;$U$9,MOD(INT(5536/$U$8),$U$7)+1,1)</f>
        <v/>
      </c>
      <c r="BP5549">
        <f>IF(5536&lt;$U$9,MOD(5536,$U$8)+1,1)</f>
        <v/>
      </c>
      <c r="BQ5549">
        <f>IF(5536&lt;$U$9,SUMPRODUCT(($D$10:$L$10&lt;&gt;"")*(($D$9:$L$9+INT(($S$12:$AA$12+INDEX($AJ$13:$AR$162,BN5549,0)+INDEX($AT$13:$BB$162,BO5549,0)+INDEX($BD$13:$BL$162,BP5549,0))/100))&gt;=$D$10:$L$10)),0)</f>
        <v/>
      </c>
      <c r="BR5549">
        <f>IF(5536&lt;$U$9,SUMPRODUCT(($D$10:$L$10&lt;&gt;"")*(($D$10:$L$10-($D$9:$L$9+INT(($S$12:$AA$12+INDEX($AJ$13:$AR$162,BN5549,0)+INDEX($AT$13:$BB$162,BO5549,0)+INDEX($BD$13:$BL$162,BP5549,0))/100)))&gt;0)*($D$10:$L$10-($D$9:$L$9+INT(($S$12:$AA$12+INDEX($AJ$13:$AR$162,BN5549,0)+INDEX($AT$13:$BB$162,BO5549,0)+INDEX($BD$13:$BL$162,BP5549,0))/100)))),0)</f>
        <v/>
      </c>
      <c r="BS5549">
        <f>IF(5536&lt;$U$9,SUMPRODUCT(($D$9:$L$9+INT(($S$12:$AA$12+INDEX($AJ$13:$AR$162,BN5549,0)+INDEX($AT$13:$BB$162,BO5549,0)+INDEX($BD$13:$BL$162,BP5549,0))/100))),0)</f>
        <v/>
      </c>
      <c r="BT5549">
        <f>IF(AND(5536&lt;$U$9,$W$5),BQ5549*1000000-MIN(BR5549,999)*1000+BS5549-5536/100000,-1000000000-5536)</f>
        <v/>
      </c>
    </row>
    <row r="5550">
      <c r="BN5550">
        <f>IF(5537&lt;$U$9,INT(5537/($U$7*$U$8))+1,1)</f>
        <v/>
      </c>
      <c r="BO5550">
        <f>IF(5537&lt;$U$9,MOD(INT(5537/$U$8),$U$7)+1,1)</f>
        <v/>
      </c>
      <c r="BP5550">
        <f>IF(5537&lt;$U$9,MOD(5537,$U$8)+1,1)</f>
        <v/>
      </c>
      <c r="BQ5550">
        <f>IF(5537&lt;$U$9,SUMPRODUCT(($D$10:$L$10&lt;&gt;"")*(($D$9:$L$9+INT(($S$12:$AA$12+INDEX($AJ$13:$AR$162,BN5550,0)+INDEX($AT$13:$BB$162,BO5550,0)+INDEX($BD$13:$BL$162,BP5550,0))/100))&gt;=$D$10:$L$10)),0)</f>
        <v/>
      </c>
      <c r="BR5550">
        <f>IF(5537&lt;$U$9,SUMPRODUCT(($D$10:$L$10&lt;&gt;"")*(($D$10:$L$10-($D$9:$L$9+INT(($S$12:$AA$12+INDEX($AJ$13:$AR$162,BN5550,0)+INDEX($AT$13:$BB$162,BO5550,0)+INDEX($BD$13:$BL$162,BP5550,0))/100)))&gt;0)*($D$10:$L$10-($D$9:$L$9+INT(($S$12:$AA$12+INDEX($AJ$13:$AR$162,BN5550,0)+INDEX($AT$13:$BB$162,BO5550,0)+INDEX($BD$13:$BL$162,BP5550,0))/100)))),0)</f>
        <v/>
      </c>
      <c r="BS5550">
        <f>IF(5537&lt;$U$9,SUMPRODUCT(($D$9:$L$9+INT(($S$12:$AA$12+INDEX($AJ$13:$AR$162,BN5550,0)+INDEX($AT$13:$BB$162,BO5550,0)+INDEX($BD$13:$BL$162,BP5550,0))/100))),0)</f>
        <v/>
      </c>
      <c r="BT5550">
        <f>IF(AND(5537&lt;$U$9,$W$5),BQ5550*1000000-MIN(BR5550,999)*1000+BS5550-5537/100000,-1000000000-5537)</f>
        <v/>
      </c>
    </row>
    <row r="5551">
      <c r="BN5551">
        <f>IF(5538&lt;$U$9,INT(5538/($U$7*$U$8))+1,1)</f>
        <v/>
      </c>
      <c r="BO5551">
        <f>IF(5538&lt;$U$9,MOD(INT(5538/$U$8),$U$7)+1,1)</f>
        <v/>
      </c>
      <c r="BP5551">
        <f>IF(5538&lt;$U$9,MOD(5538,$U$8)+1,1)</f>
        <v/>
      </c>
      <c r="BQ5551">
        <f>IF(5538&lt;$U$9,SUMPRODUCT(($D$10:$L$10&lt;&gt;"")*(($D$9:$L$9+INT(($S$12:$AA$12+INDEX($AJ$13:$AR$162,BN5551,0)+INDEX($AT$13:$BB$162,BO5551,0)+INDEX($BD$13:$BL$162,BP5551,0))/100))&gt;=$D$10:$L$10)),0)</f>
        <v/>
      </c>
      <c r="BR5551">
        <f>IF(5538&lt;$U$9,SUMPRODUCT(($D$10:$L$10&lt;&gt;"")*(($D$10:$L$10-($D$9:$L$9+INT(($S$12:$AA$12+INDEX($AJ$13:$AR$162,BN5551,0)+INDEX($AT$13:$BB$162,BO5551,0)+INDEX($BD$13:$BL$162,BP5551,0))/100)))&gt;0)*($D$10:$L$10-($D$9:$L$9+INT(($S$12:$AA$12+INDEX($AJ$13:$AR$162,BN5551,0)+INDEX($AT$13:$BB$162,BO5551,0)+INDEX($BD$13:$BL$162,BP5551,0))/100)))),0)</f>
        <v/>
      </c>
      <c r="BS5551">
        <f>IF(5538&lt;$U$9,SUMPRODUCT(($D$9:$L$9+INT(($S$12:$AA$12+INDEX($AJ$13:$AR$162,BN5551,0)+INDEX($AT$13:$BB$162,BO5551,0)+INDEX($BD$13:$BL$162,BP5551,0))/100))),0)</f>
        <v/>
      </c>
      <c r="BT5551">
        <f>IF(AND(5538&lt;$U$9,$W$5),BQ5551*1000000-MIN(BR5551,999)*1000+BS5551-5538/100000,-1000000000-5538)</f>
        <v/>
      </c>
    </row>
    <row r="5552">
      <c r="BN5552">
        <f>IF(5539&lt;$U$9,INT(5539/($U$7*$U$8))+1,1)</f>
        <v/>
      </c>
      <c r="BO5552">
        <f>IF(5539&lt;$U$9,MOD(INT(5539/$U$8),$U$7)+1,1)</f>
        <v/>
      </c>
      <c r="BP5552">
        <f>IF(5539&lt;$U$9,MOD(5539,$U$8)+1,1)</f>
        <v/>
      </c>
      <c r="BQ5552">
        <f>IF(5539&lt;$U$9,SUMPRODUCT(($D$10:$L$10&lt;&gt;"")*(($D$9:$L$9+INT(($S$12:$AA$12+INDEX($AJ$13:$AR$162,BN5552,0)+INDEX($AT$13:$BB$162,BO5552,0)+INDEX($BD$13:$BL$162,BP5552,0))/100))&gt;=$D$10:$L$10)),0)</f>
        <v/>
      </c>
      <c r="BR5552">
        <f>IF(5539&lt;$U$9,SUMPRODUCT(($D$10:$L$10&lt;&gt;"")*(($D$10:$L$10-($D$9:$L$9+INT(($S$12:$AA$12+INDEX($AJ$13:$AR$162,BN5552,0)+INDEX($AT$13:$BB$162,BO5552,0)+INDEX($BD$13:$BL$162,BP5552,0))/100)))&gt;0)*($D$10:$L$10-($D$9:$L$9+INT(($S$12:$AA$12+INDEX($AJ$13:$AR$162,BN5552,0)+INDEX($AT$13:$BB$162,BO5552,0)+INDEX($BD$13:$BL$162,BP5552,0))/100)))),0)</f>
        <v/>
      </c>
      <c r="BS5552">
        <f>IF(5539&lt;$U$9,SUMPRODUCT(($D$9:$L$9+INT(($S$12:$AA$12+INDEX($AJ$13:$AR$162,BN5552,0)+INDEX($AT$13:$BB$162,BO5552,0)+INDEX($BD$13:$BL$162,BP5552,0))/100))),0)</f>
        <v/>
      </c>
      <c r="BT5552">
        <f>IF(AND(5539&lt;$U$9,$W$5),BQ5552*1000000-MIN(BR5552,999)*1000+BS5552-5539/100000,-1000000000-5539)</f>
        <v/>
      </c>
    </row>
    <row r="5553">
      <c r="BN5553">
        <f>IF(5540&lt;$U$9,INT(5540/($U$7*$U$8))+1,1)</f>
        <v/>
      </c>
      <c r="BO5553">
        <f>IF(5540&lt;$U$9,MOD(INT(5540/$U$8),$U$7)+1,1)</f>
        <v/>
      </c>
      <c r="BP5553">
        <f>IF(5540&lt;$U$9,MOD(5540,$U$8)+1,1)</f>
        <v/>
      </c>
      <c r="BQ5553">
        <f>IF(5540&lt;$U$9,SUMPRODUCT(($D$10:$L$10&lt;&gt;"")*(($D$9:$L$9+INT(($S$12:$AA$12+INDEX($AJ$13:$AR$162,BN5553,0)+INDEX($AT$13:$BB$162,BO5553,0)+INDEX($BD$13:$BL$162,BP5553,0))/100))&gt;=$D$10:$L$10)),0)</f>
        <v/>
      </c>
      <c r="BR5553">
        <f>IF(5540&lt;$U$9,SUMPRODUCT(($D$10:$L$10&lt;&gt;"")*(($D$10:$L$10-($D$9:$L$9+INT(($S$12:$AA$12+INDEX($AJ$13:$AR$162,BN5553,0)+INDEX($AT$13:$BB$162,BO5553,0)+INDEX($BD$13:$BL$162,BP5553,0))/100)))&gt;0)*($D$10:$L$10-($D$9:$L$9+INT(($S$12:$AA$12+INDEX($AJ$13:$AR$162,BN5553,0)+INDEX($AT$13:$BB$162,BO5553,0)+INDEX($BD$13:$BL$162,BP5553,0))/100)))),0)</f>
        <v/>
      </c>
      <c r="BS5553">
        <f>IF(5540&lt;$U$9,SUMPRODUCT(($D$9:$L$9+INT(($S$12:$AA$12+INDEX($AJ$13:$AR$162,BN5553,0)+INDEX($AT$13:$BB$162,BO5553,0)+INDEX($BD$13:$BL$162,BP5553,0))/100))),0)</f>
        <v/>
      </c>
      <c r="BT5553">
        <f>IF(AND(5540&lt;$U$9,$W$5),BQ5553*1000000-MIN(BR5553,999)*1000+BS5553-5540/100000,-1000000000-5540)</f>
        <v/>
      </c>
    </row>
    <row r="5554">
      <c r="BN5554">
        <f>IF(5541&lt;$U$9,INT(5541/($U$7*$U$8))+1,1)</f>
        <v/>
      </c>
      <c r="BO5554">
        <f>IF(5541&lt;$U$9,MOD(INT(5541/$U$8),$U$7)+1,1)</f>
        <v/>
      </c>
      <c r="BP5554">
        <f>IF(5541&lt;$U$9,MOD(5541,$U$8)+1,1)</f>
        <v/>
      </c>
      <c r="BQ5554">
        <f>IF(5541&lt;$U$9,SUMPRODUCT(($D$10:$L$10&lt;&gt;"")*(($D$9:$L$9+INT(($S$12:$AA$12+INDEX($AJ$13:$AR$162,BN5554,0)+INDEX($AT$13:$BB$162,BO5554,0)+INDEX($BD$13:$BL$162,BP5554,0))/100))&gt;=$D$10:$L$10)),0)</f>
        <v/>
      </c>
      <c r="BR5554">
        <f>IF(5541&lt;$U$9,SUMPRODUCT(($D$10:$L$10&lt;&gt;"")*(($D$10:$L$10-($D$9:$L$9+INT(($S$12:$AA$12+INDEX($AJ$13:$AR$162,BN5554,0)+INDEX($AT$13:$BB$162,BO5554,0)+INDEX($BD$13:$BL$162,BP5554,0))/100)))&gt;0)*($D$10:$L$10-($D$9:$L$9+INT(($S$12:$AA$12+INDEX($AJ$13:$AR$162,BN5554,0)+INDEX($AT$13:$BB$162,BO5554,0)+INDEX($BD$13:$BL$162,BP5554,0))/100)))),0)</f>
        <v/>
      </c>
      <c r="BS5554">
        <f>IF(5541&lt;$U$9,SUMPRODUCT(($D$9:$L$9+INT(($S$12:$AA$12+INDEX($AJ$13:$AR$162,BN5554,0)+INDEX($AT$13:$BB$162,BO5554,0)+INDEX($BD$13:$BL$162,BP5554,0))/100))),0)</f>
        <v/>
      </c>
      <c r="BT5554">
        <f>IF(AND(5541&lt;$U$9,$W$5),BQ5554*1000000-MIN(BR5554,999)*1000+BS5554-5541/100000,-1000000000-5541)</f>
        <v/>
      </c>
    </row>
    <row r="5555">
      <c r="BN5555">
        <f>IF(5542&lt;$U$9,INT(5542/($U$7*$U$8))+1,1)</f>
        <v/>
      </c>
      <c r="BO5555">
        <f>IF(5542&lt;$U$9,MOD(INT(5542/$U$8),$U$7)+1,1)</f>
        <v/>
      </c>
      <c r="BP5555">
        <f>IF(5542&lt;$U$9,MOD(5542,$U$8)+1,1)</f>
        <v/>
      </c>
      <c r="BQ5555">
        <f>IF(5542&lt;$U$9,SUMPRODUCT(($D$10:$L$10&lt;&gt;"")*(($D$9:$L$9+INT(($S$12:$AA$12+INDEX($AJ$13:$AR$162,BN5555,0)+INDEX($AT$13:$BB$162,BO5555,0)+INDEX($BD$13:$BL$162,BP5555,0))/100))&gt;=$D$10:$L$10)),0)</f>
        <v/>
      </c>
      <c r="BR5555">
        <f>IF(5542&lt;$U$9,SUMPRODUCT(($D$10:$L$10&lt;&gt;"")*(($D$10:$L$10-($D$9:$L$9+INT(($S$12:$AA$12+INDEX($AJ$13:$AR$162,BN5555,0)+INDEX($AT$13:$BB$162,BO5555,0)+INDEX($BD$13:$BL$162,BP5555,0))/100)))&gt;0)*($D$10:$L$10-($D$9:$L$9+INT(($S$12:$AA$12+INDEX($AJ$13:$AR$162,BN5555,0)+INDEX($AT$13:$BB$162,BO5555,0)+INDEX($BD$13:$BL$162,BP5555,0))/100)))),0)</f>
        <v/>
      </c>
      <c r="BS5555">
        <f>IF(5542&lt;$U$9,SUMPRODUCT(($D$9:$L$9+INT(($S$12:$AA$12+INDEX($AJ$13:$AR$162,BN5555,0)+INDEX($AT$13:$BB$162,BO5555,0)+INDEX($BD$13:$BL$162,BP5555,0))/100))),0)</f>
        <v/>
      </c>
      <c r="BT5555">
        <f>IF(AND(5542&lt;$U$9,$W$5),BQ5555*1000000-MIN(BR5555,999)*1000+BS5555-5542/100000,-1000000000-5542)</f>
        <v/>
      </c>
    </row>
    <row r="5556">
      <c r="BN5556">
        <f>IF(5543&lt;$U$9,INT(5543/($U$7*$U$8))+1,1)</f>
        <v/>
      </c>
      <c r="BO5556">
        <f>IF(5543&lt;$U$9,MOD(INT(5543/$U$8),$U$7)+1,1)</f>
        <v/>
      </c>
      <c r="BP5556">
        <f>IF(5543&lt;$U$9,MOD(5543,$U$8)+1,1)</f>
        <v/>
      </c>
      <c r="BQ5556">
        <f>IF(5543&lt;$U$9,SUMPRODUCT(($D$10:$L$10&lt;&gt;"")*(($D$9:$L$9+INT(($S$12:$AA$12+INDEX($AJ$13:$AR$162,BN5556,0)+INDEX($AT$13:$BB$162,BO5556,0)+INDEX($BD$13:$BL$162,BP5556,0))/100))&gt;=$D$10:$L$10)),0)</f>
        <v/>
      </c>
      <c r="BR5556">
        <f>IF(5543&lt;$U$9,SUMPRODUCT(($D$10:$L$10&lt;&gt;"")*(($D$10:$L$10-($D$9:$L$9+INT(($S$12:$AA$12+INDEX($AJ$13:$AR$162,BN5556,0)+INDEX($AT$13:$BB$162,BO5556,0)+INDEX($BD$13:$BL$162,BP5556,0))/100)))&gt;0)*($D$10:$L$10-($D$9:$L$9+INT(($S$12:$AA$12+INDEX($AJ$13:$AR$162,BN5556,0)+INDEX($AT$13:$BB$162,BO5556,0)+INDEX($BD$13:$BL$162,BP5556,0))/100)))),0)</f>
        <v/>
      </c>
      <c r="BS5556">
        <f>IF(5543&lt;$U$9,SUMPRODUCT(($D$9:$L$9+INT(($S$12:$AA$12+INDEX($AJ$13:$AR$162,BN5556,0)+INDEX($AT$13:$BB$162,BO5556,0)+INDEX($BD$13:$BL$162,BP5556,0))/100))),0)</f>
        <v/>
      </c>
      <c r="BT5556">
        <f>IF(AND(5543&lt;$U$9,$W$5),BQ5556*1000000-MIN(BR5556,999)*1000+BS5556-5543/100000,-1000000000-5543)</f>
        <v/>
      </c>
    </row>
    <row r="5557">
      <c r="BN5557">
        <f>IF(5544&lt;$U$9,INT(5544/($U$7*$U$8))+1,1)</f>
        <v/>
      </c>
      <c r="BO5557">
        <f>IF(5544&lt;$U$9,MOD(INT(5544/$U$8),$U$7)+1,1)</f>
        <v/>
      </c>
      <c r="BP5557">
        <f>IF(5544&lt;$U$9,MOD(5544,$U$8)+1,1)</f>
        <v/>
      </c>
      <c r="BQ5557">
        <f>IF(5544&lt;$U$9,SUMPRODUCT(($D$10:$L$10&lt;&gt;"")*(($D$9:$L$9+INT(($S$12:$AA$12+INDEX($AJ$13:$AR$162,BN5557,0)+INDEX($AT$13:$BB$162,BO5557,0)+INDEX($BD$13:$BL$162,BP5557,0))/100))&gt;=$D$10:$L$10)),0)</f>
        <v/>
      </c>
      <c r="BR5557">
        <f>IF(5544&lt;$U$9,SUMPRODUCT(($D$10:$L$10&lt;&gt;"")*(($D$10:$L$10-($D$9:$L$9+INT(($S$12:$AA$12+INDEX($AJ$13:$AR$162,BN5557,0)+INDEX($AT$13:$BB$162,BO5557,0)+INDEX($BD$13:$BL$162,BP5557,0))/100)))&gt;0)*($D$10:$L$10-($D$9:$L$9+INT(($S$12:$AA$12+INDEX($AJ$13:$AR$162,BN5557,0)+INDEX($AT$13:$BB$162,BO5557,0)+INDEX($BD$13:$BL$162,BP5557,0))/100)))),0)</f>
        <v/>
      </c>
      <c r="BS5557">
        <f>IF(5544&lt;$U$9,SUMPRODUCT(($D$9:$L$9+INT(($S$12:$AA$12+INDEX($AJ$13:$AR$162,BN5557,0)+INDEX($AT$13:$BB$162,BO5557,0)+INDEX($BD$13:$BL$162,BP5557,0))/100))),0)</f>
        <v/>
      </c>
      <c r="BT5557">
        <f>IF(AND(5544&lt;$U$9,$W$5),BQ5557*1000000-MIN(BR5557,999)*1000+BS5557-5544/100000,-1000000000-5544)</f>
        <v/>
      </c>
    </row>
    <row r="5558">
      <c r="BN5558">
        <f>IF(5545&lt;$U$9,INT(5545/($U$7*$U$8))+1,1)</f>
        <v/>
      </c>
      <c r="BO5558">
        <f>IF(5545&lt;$U$9,MOD(INT(5545/$U$8),$U$7)+1,1)</f>
        <v/>
      </c>
      <c r="BP5558">
        <f>IF(5545&lt;$U$9,MOD(5545,$U$8)+1,1)</f>
        <v/>
      </c>
      <c r="BQ5558">
        <f>IF(5545&lt;$U$9,SUMPRODUCT(($D$10:$L$10&lt;&gt;"")*(($D$9:$L$9+INT(($S$12:$AA$12+INDEX($AJ$13:$AR$162,BN5558,0)+INDEX($AT$13:$BB$162,BO5558,0)+INDEX($BD$13:$BL$162,BP5558,0))/100))&gt;=$D$10:$L$10)),0)</f>
        <v/>
      </c>
      <c r="BR5558">
        <f>IF(5545&lt;$U$9,SUMPRODUCT(($D$10:$L$10&lt;&gt;"")*(($D$10:$L$10-($D$9:$L$9+INT(($S$12:$AA$12+INDEX($AJ$13:$AR$162,BN5558,0)+INDEX($AT$13:$BB$162,BO5558,0)+INDEX($BD$13:$BL$162,BP5558,0))/100)))&gt;0)*($D$10:$L$10-($D$9:$L$9+INT(($S$12:$AA$12+INDEX($AJ$13:$AR$162,BN5558,0)+INDEX($AT$13:$BB$162,BO5558,0)+INDEX($BD$13:$BL$162,BP5558,0))/100)))),0)</f>
        <v/>
      </c>
      <c r="BS5558">
        <f>IF(5545&lt;$U$9,SUMPRODUCT(($D$9:$L$9+INT(($S$12:$AA$12+INDEX($AJ$13:$AR$162,BN5558,0)+INDEX($AT$13:$BB$162,BO5558,0)+INDEX($BD$13:$BL$162,BP5558,0))/100))),0)</f>
        <v/>
      </c>
      <c r="BT5558">
        <f>IF(AND(5545&lt;$U$9,$W$5),BQ5558*1000000-MIN(BR5558,999)*1000+BS5558-5545/100000,-1000000000-5545)</f>
        <v/>
      </c>
    </row>
    <row r="5559">
      <c r="BN5559">
        <f>IF(5546&lt;$U$9,INT(5546/($U$7*$U$8))+1,1)</f>
        <v/>
      </c>
      <c r="BO5559">
        <f>IF(5546&lt;$U$9,MOD(INT(5546/$U$8),$U$7)+1,1)</f>
        <v/>
      </c>
      <c r="BP5559">
        <f>IF(5546&lt;$U$9,MOD(5546,$U$8)+1,1)</f>
        <v/>
      </c>
      <c r="BQ5559">
        <f>IF(5546&lt;$U$9,SUMPRODUCT(($D$10:$L$10&lt;&gt;"")*(($D$9:$L$9+INT(($S$12:$AA$12+INDEX($AJ$13:$AR$162,BN5559,0)+INDEX($AT$13:$BB$162,BO5559,0)+INDEX($BD$13:$BL$162,BP5559,0))/100))&gt;=$D$10:$L$10)),0)</f>
        <v/>
      </c>
      <c r="BR5559">
        <f>IF(5546&lt;$U$9,SUMPRODUCT(($D$10:$L$10&lt;&gt;"")*(($D$10:$L$10-($D$9:$L$9+INT(($S$12:$AA$12+INDEX($AJ$13:$AR$162,BN5559,0)+INDEX($AT$13:$BB$162,BO5559,0)+INDEX($BD$13:$BL$162,BP5559,0))/100)))&gt;0)*($D$10:$L$10-($D$9:$L$9+INT(($S$12:$AA$12+INDEX($AJ$13:$AR$162,BN5559,0)+INDEX($AT$13:$BB$162,BO5559,0)+INDEX($BD$13:$BL$162,BP5559,0))/100)))),0)</f>
        <v/>
      </c>
      <c r="BS5559">
        <f>IF(5546&lt;$U$9,SUMPRODUCT(($D$9:$L$9+INT(($S$12:$AA$12+INDEX($AJ$13:$AR$162,BN5559,0)+INDEX($AT$13:$BB$162,BO5559,0)+INDEX($BD$13:$BL$162,BP5559,0))/100))),0)</f>
        <v/>
      </c>
      <c r="BT5559">
        <f>IF(AND(5546&lt;$U$9,$W$5),BQ5559*1000000-MIN(BR5559,999)*1000+BS5559-5546/100000,-1000000000-5546)</f>
        <v/>
      </c>
    </row>
    <row r="5560">
      <c r="BN5560">
        <f>IF(5547&lt;$U$9,INT(5547/($U$7*$U$8))+1,1)</f>
        <v/>
      </c>
      <c r="BO5560">
        <f>IF(5547&lt;$U$9,MOD(INT(5547/$U$8),$U$7)+1,1)</f>
        <v/>
      </c>
      <c r="BP5560">
        <f>IF(5547&lt;$U$9,MOD(5547,$U$8)+1,1)</f>
        <v/>
      </c>
      <c r="BQ5560">
        <f>IF(5547&lt;$U$9,SUMPRODUCT(($D$10:$L$10&lt;&gt;"")*(($D$9:$L$9+INT(($S$12:$AA$12+INDEX($AJ$13:$AR$162,BN5560,0)+INDEX($AT$13:$BB$162,BO5560,0)+INDEX($BD$13:$BL$162,BP5560,0))/100))&gt;=$D$10:$L$10)),0)</f>
        <v/>
      </c>
      <c r="BR5560">
        <f>IF(5547&lt;$U$9,SUMPRODUCT(($D$10:$L$10&lt;&gt;"")*(($D$10:$L$10-($D$9:$L$9+INT(($S$12:$AA$12+INDEX($AJ$13:$AR$162,BN5560,0)+INDEX($AT$13:$BB$162,BO5560,0)+INDEX($BD$13:$BL$162,BP5560,0))/100)))&gt;0)*($D$10:$L$10-($D$9:$L$9+INT(($S$12:$AA$12+INDEX($AJ$13:$AR$162,BN5560,0)+INDEX($AT$13:$BB$162,BO5560,0)+INDEX($BD$13:$BL$162,BP5560,0))/100)))),0)</f>
        <v/>
      </c>
      <c r="BS5560">
        <f>IF(5547&lt;$U$9,SUMPRODUCT(($D$9:$L$9+INT(($S$12:$AA$12+INDEX($AJ$13:$AR$162,BN5560,0)+INDEX($AT$13:$BB$162,BO5560,0)+INDEX($BD$13:$BL$162,BP5560,0))/100))),0)</f>
        <v/>
      </c>
      <c r="BT5560">
        <f>IF(AND(5547&lt;$U$9,$W$5),BQ5560*1000000-MIN(BR5560,999)*1000+BS5560-5547/100000,-1000000000-5547)</f>
        <v/>
      </c>
    </row>
    <row r="5561">
      <c r="BN5561">
        <f>IF(5548&lt;$U$9,INT(5548/($U$7*$U$8))+1,1)</f>
        <v/>
      </c>
      <c r="BO5561">
        <f>IF(5548&lt;$U$9,MOD(INT(5548/$U$8),$U$7)+1,1)</f>
        <v/>
      </c>
      <c r="BP5561">
        <f>IF(5548&lt;$U$9,MOD(5548,$U$8)+1,1)</f>
        <v/>
      </c>
      <c r="BQ5561">
        <f>IF(5548&lt;$U$9,SUMPRODUCT(($D$10:$L$10&lt;&gt;"")*(($D$9:$L$9+INT(($S$12:$AA$12+INDEX($AJ$13:$AR$162,BN5561,0)+INDEX($AT$13:$BB$162,BO5561,0)+INDEX($BD$13:$BL$162,BP5561,0))/100))&gt;=$D$10:$L$10)),0)</f>
        <v/>
      </c>
      <c r="BR5561">
        <f>IF(5548&lt;$U$9,SUMPRODUCT(($D$10:$L$10&lt;&gt;"")*(($D$10:$L$10-($D$9:$L$9+INT(($S$12:$AA$12+INDEX($AJ$13:$AR$162,BN5561,0)+INDEX($AT$13:$BB$162,BO5561,0)+INDEX($BD$13:$BL$162,BP5561,0))/100)))&gt;0)*($D$10:$L$10-($D$9:$L$9+INT(($S$12:$AA$12+INDEX($AJ$13:$AR$162,BN5561,0)+INDEX($AT$13:$BB$162,BO5561,0)+INDEX($BD$13:$BL$162,BP5561,0))/100)))),0)</f>
        <v/>
      </c>
      <c r="BS5561">
        <f>IF(5548&lt;$U$9,SUMPRODUCT(($D$9:$L$9+INT(($S$12:$AA$12+INDEX($AJ$13:$AR$162,BN5561,0)+INDEX($AT$13:$BB$162,BO5561,0)+INDEX($BD$13:$BL$162,BP5561,0))/100))),0)</f>
        <v/>
      </c>
      <c r="BT5561">
        <f>IF(AND(5548&lt;$U$9,$W$5),BQ5561*1000000-MIN(BR5561,999)*1000+BS5561-5548/100000,-1000000000-5548)</f>
        <v/>
      </c>
    </row>
    <row r="5562">
      <c r="BN5562">
        <f>IF(5549&lt;$U$9,INT(5549/($U$7*$U$8))+1,1)</f>
        <v/>
      </c>
      <c r="BO5562">
        <f>IF(5549&lt;$U$9,MOD(INT(5549/$U$8),$U$7)+1,1)</f>
        <v/>
      </c>
      <c r="BP5562">
        <f>IF(5549&lt;$U$9,MOD(5549,$U$8)+1,1)</f>
        <v/>
      </c>
      <c r="BQ5562">
        <f>IF(5549&lt;$U$9,SUMPRODUCT(($D$10:$L$10&lt;&gt;"")*(($D$9:$L$9+INT(($S$12:$AA$12+INDEX($AJ$13:$AR$162,BN5562,0)+INDEX($AT$13:$BB$162,BO5562,0)+INDEX($BD$13:$BL$162,BP5562,0))/100))&gt;=$D$10:$L$10)),0)</f>
        <v/>
      </c>
      <c r="BR5562">
        <f>IF(5549&lt;$U$9,SUMPRODUCT(($D$10:$L$10&lt;&gt;"")*(($D$10:$L$10-($D$9:$L$9+INT(($S$12:$AA$12+INDEX($AJ$13:$AR$162,BN5562,0)+INDEX($AT$13:$BB$162,BO5562,0)+INDEX($BD$13:$BL$162,BP5562,0))/100)))&gt;0)*($D$10:$L$10-($D$9:$L$9+INT(($S$12:$AA$12+INDEX($AJ$13:$AR$162,BN5562,0)+INDEX($AT$13:$BB$162,BO5562,0)+INDEX($BD$13:$BL$162,BP5562,0))/100)))),0)</f>
        <v/>
      </c>
      <c r="BS5562">
        <f>IF(5549&lt;$U$9,SUMPRODUCT(($D$9:$L$9+INT(($S$12:$AA$12+INDEX($AJ$13:$AR$162,BN5562,0)+INDEX($AT$13:$BB$162,BO5562,0)+INDEX($BD$13:$BL$162,BP5562,0))/100))),0)</f>
        <v/>
      </c>
      <c r="BT5562">
        <f>IF(AND(5549&lt;$U$9,$W$5),BQ5562*1000000-MIN(BR5562,999)*1000+BS5562-5549/100000,-1000000000-5549)</f>
        <v/>
      </c>
    </row>
    <row r="5563">
      <c r="BN5563">
        <f>IF(5550&lt;$U$9,INT(5550/($U$7*$U$8))+1,1)</f>
        <v/>
      </c>
      <c r="BO5563">
        <f>IF(5550&lt;$U$9,MOD(INT(5550/$U$8),$U$7)+1,1)</f>
        <v/>
      </c>
      <c r="BP5563">
        <f>IF(5550&lt;$U$9,MOD(5550,$U$8)+1,1)</f>
        <v/>
      </c>
      <c r="BQ5563">
        <f>IF(5550&lt;$U$9,SUMPRODUCT(($D$10:$L$10&lt;&gt;"")*(($D$9:$L$9+INT(($S$12:$AA$12+INDEX($AJ$13:$AR$162,BN5563,0)+INDEX($AT$13:$BB$162,BO5563,0)+INDEX($BD$13:$BL$162,BP5563,0))/100))&gt;=$D$10:$L$10)),0)</f>
        <v/>
      </c>
      <c r="BR5563">
        <f>IF(5550&lt;$U$9,SUMPRODUCT(($D$10:$L$10&lt;&gt;"")*(($D$10:$L$10-($D$9:$L$9+INT(($S$12:$AA$12+INDEX($AJ$13:$AR$162,BN5563,0)+INDEX($AT$13:$BB$162,BO5563,0)+INDEX($BD$13:$BL$162,BP5563,0))/100)))&gt;0)*($D$10:$L$10-($D$9:$L$9+INT(($S$12:$AA$12+INDEX($AJ$13:$AR$162,BN5563,0)+INDEX($AT$13:$BB$162,BO5563,0)+INDEX($BD$13:$BL$162,BP5563,0))/100)))),0)</f>
        <v/>
      </c>
      <c r="BS5563">
        <f>IF(5550&lt;$U$9,SUMPRODUCT(($D$9:$L$9+INT(($S$12:$AA$12+INDEX($AJ$13:$AR$162,BN5563,0)+INDEX($AT$13:$BB$162,BO5563,0)+INDEX($BD$13:$BL$162,BP5563,0))/100))),0)</f>
        <v/>
      </c>
      <c r="BT5563">
        <f>IF(AND(5550&lt;$U$9,$W$5),BQ5563*1000000-MIN(BR5563,999)*1000+BS5563-5550/100000,-1000000000-5550)</f>
        <v/>
      </c>
    </row>
    <row r="5564">
      <c r="BN5564">
        <f>IF(5551&lt;$U$9,INT(5551/($U$7*$U$8))+1,1)</f>
        <v/>
      </c>
      <c r="BO5564">
        <f>IF(5551&lt;$U$9,MOD(INT(5551/$U$8),$U$7)+1,1)</f>
        <v/>
      </c>
      <c r="BP5564">
        <f>IF(5551&lt;$U$9,MOD(5551,$U$8)+1,1)</f>
        <v/>
      </c>
      <c r="BQ5564">
        <f>IF(5551&lt;$U$9,SUMPRODUCT(($D$10:$L$10&lt;&gt;"")*(($D$9:$L$9+INT(($S$12:$AA$12+INDEX($AJ$13:$AR$162,BN5564,0)+INDEX($AT$13:$BB$162,BO5564,0)+INDEX($BD$13:$BL$162,BP5564,0))/100))&gt;=$D$10:$L$10)),0)</f>
        <v/>
      </c>
      <c r="BR5564">
        <f>IF(5551&lt;$U$9,SUMPRODUCT(($D$10:$L$10&lt;&gt;"")*(($D$10:$L$10-($D$9:$L$9+INT(($S$12:$AA$12+INDEX($AJ$13:$AR$162,BN5564,0)+INDEX($AT$13:$BB$162,BO5564,0)+INDEX($BD$13:$BL$162,BP5564,0))/100)))&gt;0)*($D$10:$L$10-($D$9:$L$9+INT(($S$12:$AA$12+INDEX($AJ$13:$AR$162,BN5564,0)+INDEX($AT$13:$BB$162,BO5564,0)+INDEX($BD$13:$BL$162,BP5564,0))/100)))),0)</f>
        <v/>
      </c>
      <c r="BS5564">
        <f>IF(5551&lt;$U$9,SUMPRODUCT(($D$9:$L$9+INT(($S$12:$AA$12+INDEX($AJ$13:$AR$162,BN5564,0)+INDEX($AT$13:$BB$162,BO5564,0)+INDEX($BD$13:$BL$162,BP5564,0))/100))),0)</f>
        <v/>
      </c>
      <c r="BT5564">
        <f>IF(AND(5551&lt;$U$9,$W$5),BQ5564*1000000-MIN(BR5564,999)*1000+BS5564-5551/100000,-1000000000-5551)</f>
        <v/>
      </c>
    </row>
    <row r="5565">
      <c r="BN5565">
        <f>IF(5552&lt;$U$9,INT(5552/($U$7*$U$8))+1,1)</f>
        <v/>
      </c>
      <c r="BO5565">
        <f>IF(5552&lt;$U$9,MOD(INT(5552/$U$8),$U$7)+1,1)</f>
        <v/>
      </c>
      <c r="BP5565">
        <f>IF(5552&lt;$U$9,MOD(5552,$U$8)+1,1)</f>
        <v/>
      </c>
      <c r="BQ5565">
        <f>IF(5552&lt;$U$9,SUMPRODUCT(($D$10:$L$10&lt;&gt;"")*(($D$9:$L$9+INT(($S$12:$AA$12+INDEX($AJ$13:$AR$162,BN5565,0)+INDEX($AT$13:$BB$162,BO5565,0)+INDEX($BD$13:$BL$162,BP5565,0))/100))&gt;=$D$10:$L$10)),0)</f>
        <v/>
      </c>
      <c r="BR5565">
        <f>IF(5552&lt;$U$9,SUMPRODUCT(($D$10:$L$10&lt;&gt;"")*(($D$10:$L$10-($D$9:$L$9+INT(($S$12:$AA$12+INDEX($AJ$13:$AR$162,BN5565,0)+INDEX($AT$13:$BB$162,BO5565,0)+INDEX($BD$13:$BL$162,BP5565,0))/100)))&gt;0)*($D$10:$L$10-($D$9:$L$9+INT(($S$12:$AA$12+INDEX($AJ$13:$AR$162,BN5565,0)+INDEX($AT$13:$BB$162,BO5565,0)+INDEX($BD$13:$BL$162,BP5565,0))/100)))),0)</f>
        <v/>
      </c>
      <c r="BS5565">
        <f>IF(5552&lt;$U$9,SUMPRODUCT(($D$9:$L$9+INT(($S$12:$AA$12+INDEX($AJ$13:$AR$162,BN5565,0)+INDEX($AT$13:$BB$162,BO5565,0)+INDEX($BD$13:$BL$162,BP5565,0))/100))),0)</f>
        <v/>
      </c>
      <c r="BT5565">
        <f>IF(AND(5552&lt;$U$9,$W$5),BQ5565*1000000-MIN(BR5565,999)*1000+BS5565-5552/100000,-1000000000-5552)</f>
        <v/>
      </c>
    </row>
    <row r="5566">
      <c r="BN5566">
        <f>IF(5553&lt;$U$9,INT(5553/($U$7*$U$8))+1,1)</f>
        <v/>
      </c>
      <c r="BO5566">
        <f>IF(5553&lt;$U$9,MOD(INT(5553/$U$8),$U$7)+1,1)</f>
        <v/>
      </c>
      <c r="BP5566">
        <f>IF(5553&lt;$U$9,MOD(5553,$U$8)+1,1)</f>
        <v/>
      </c>
      <c r="BQ5566">
        <f>IF(5553&lt;$U$9,SUMPRODUCT(($D$10:$L$10&lt;&gt;"")*(($D$9:$L$9+INT(($S$12:$AA$12+INDEX($AJ$13:$AR$162,BN5566,0)+INDEX($AT$13:$BB$162,BO5566,0)+INDEX($BD$13:$BL$162,BP5566,0))/100))&gt;=$D$10:$L$10)),0)</f>
        <v/>
      </c>
      <c r="BR5566">
        <f>IF(5553&lt;$U$9,SUMPRODUCT(($D$10:$L$10&lt;&gt;"")*(($D$10:$L$10-($D$9:$L$9+INT(($S$12:$AA$12+INDEX($AJ$13:$AR$162,BN5566,0)+INDEX($AT$13:$BB$162,BO5566,0)+INDEX($BD$13:$BL$162,BP5566,0))/100)))&gt;0)*($D$10:$L$10-($D$9:$L$9+INT(($S$12:$AA$12+INDEX($AJ$13:$AR$162,BN5566,0)+INDEX($AT$13:$BB$162,BO5566,0)+INDEX($BD$13:$BL$162,BP5566,0))/100)))),0)</f>
        <v/>
      </c>
      <c r="BS5566">
        <f>IF(5553&lt;$U$9,SUMPRODUCT(($D$9:$L$9+INT(($S$12:$AA$12+INDEX($AJ$13:$AR$162,BN5566,0)+INDEX($AT$13:$BB$162,BO5566,0)+INDEX($BD$13:$BL$162,BP5566,0))/100))),0)</f>
        <v/>
      </c>
      <c r="BT5566">
        <f>IF(AND(5553&lt;$U$9,$W$5),BQ5566*1000000-MIN(BR5566,999)*1000+BS5566-5553/100000,-1000000000-5553)</f>
        <v/>
      </c>
    </row>
    <row r="5567">
      <c r="BN5567">
        <f>IF(5554&lt;$U$9,INT(5554/($U$7*$U$8))+1,1)</f>
        <v/>
      </c>
      <c r="BO5567">
        <f>IF(5554&lt;$U$9,MOD(INT(5554/$U$8),$U$7)+1,1)</f>
        <v/>
      </c>
      <c r="BP5567">
        <f>IF(5554&lt;$U$9,MOD(5554,$U$8)+1,1)</f>
        <v/>
      </c>
      <c r="BQ5567">
        <f>IF(5554&lt;$U$9,SUMPRODUCT(($D$10:$L$10&lt;&gt;"")*(($D$9:$L$9+INT(($S$12:$AA$12+INDEX($AJ$13:$AR$162,BN5567,0)+INDEX($AT$13:$BB$162,BO5567,0)+INDEX($BD$13:$BL$162,BP5567,0))/100))&gt;=$D$10:$L$10)),0)</f>
        <v/>
      </c>
      <c r="BR5567">
        <f>IF(5554&lt;$U$9,SUMPRODUCT(($D$10:$L$10&lt;&gt;"")*(($D$10:$L$10-($D$9:$L$9+INT(($S$12:$AA$12+INDEX($AJ$13:$AR$162,BN5567,0)+INDEX($AT$13:$BB$162,BO5567,0)+INDEX($BD$13:$BL$162,BP5567,0))/100)))&gt;0)*($D$10:$L$10-($D$9:$L$9+INT(($S$12:$AA$12+INDEX($AJ$13:$AR$162,BN5567,0)+INDEX($AT$13:$BB$162,BO5567,0)+INDEX($BD$13:$BL$162,BP5567,0))/100)))),0)</f>
        <v/>
      </c>
      <c r="BS5567">
        <f>IF(5554&lt;$U$9,SUMPRODUCT(($D$9:$L$9+INT(($S$12:$AA$12+INDEX($AJ$13:$AR$162,BN5567,0)+INDEX($AT$13:$BB$162,BO5567,0)+INDEX($BD$13:$BL$162,BP5567,0))/100))),0)</f>
        <v/>
      </c>
      <c r="BT5567">
        <f>IF(AND(5554&lt;$U$9,$W$5),BQ5567*1000000-MIN(BR5567,999)*1000+BS5567-5554/100000,-1000000000-5554)</f>
        <v/>
      </c>
    </row>
    <row r="5568">
      <c r="BN5568">
        <f>IF(5555&lt;$U$9,INT(5555/($U$7*$U$8))+1,1)</f>
        <v/>
      </c>
      <c r="BO5568">
        <f>IF(5555&lt;$U$9,MOD(INT(5555/$U$8),$U$7)+1,1)</f>
        <v/>
      </c>
      <c r="BP5568">
        <f>IF(5555&lt;$U$9,MOD(5555,$U$8)+1,1)</f>
        <v/>
      </c>
      <c r="BQ5568">
        <f>IF(5555&lt;$U$9,SUMPRODUCT(($D$10:$L$10&lt;&gt;"")*(($D$9:$L$9+INT(($S$12:$AA$12+INDEX($AJ$13:$AR$162,BN5568,0)+INDEX($AT$13:$BB$162,BO5568,0)+INDEX($BD$13:$BL$162,BP5568,0))/100))&gt;=$D$10:$L$10)),0)</f>
        <v/>
      </c>
      <c r="BR5568">
        <f>IF(5555&lt;$U$9,SUMPRODUCT(($D$10:$L$10&lt;&gt;"")*(($D$10:$L$10-($D$9:$L$9+INT(($S$12:$AA$12+INDEX($AJ$13:$AR$162,BN5568,0)+INDEX($AT$13:$BB$162,BO5568,0)+INDEX($BD$13:$BL$162,BP5568,0))/100)))&gt;0)*($D$10:$L$10-($D$9:$L$9+INT(($S$12:$AA$12+INDEX($AJ$13:$AR$162,BN5568,0)+INDEX($AT$13:$BB$162,BO5568,0)+INDEX($BD$13:$BL$162,BP5568,0))/100)))),0)</f>
        <v/>
      </c>
      <c r="BS5568">
        <f>IF(5555&lt;$U$9,SUMPRODUCT(($D$9:$L$9+INT(($S$12:$AA$12+INDEX($AJ$13:$AR$162,BN5568,0)+INDEX($AT$13:$BB$162,BO5568,0)+INDEX($BD$13:$BL$162,BP5568,0))/100))),0)</f>
        <v/>
      </c>
      <c r="BT5568">
        <f>IF(AND(5555&lt;$U$9,$W$5),BQ5568*1000000-MIN(BR5568,999)*1000+BS5568-5555/100000,-1000000000-5555)</f>
        <v/>
      </c>
    </row>
    <row r="5569">
      <c r="BN5569">
        <f>IF(5556&lt;$U$9,INT(5556/($U$7*$U$8))+1,1)</f>
        <v/>
      </c>
      <c r="BO5569">
        <f>IF(5556&lt;$U$9,MOD(INT(5556/$U$8),$U$7)+1,1)</f>
        <v/>
      </c>
      <c r="BP5569">
        <f>IF(5556&lt;$U$9,MOD(5556,$U$8)+1,1)</f>
        <v/>
      </c>
      <c r="BQ5569">
        <f>IF(5556&lt;$U$9,SUMPRODUCT(($D$10:$L$10&lt;&gt;"")*(($D$9:$L$9+INT(($S$12:$AA$12+INDEX($AJ$13:$AR$162,BN5569,0)+INDEX($AT$13:$BB$162,BO5569,0)+INDEX($BD$13:$BL$162,BP5569,0))/100))&gt;=$D$10:$L$10)),0)</f>
        <v/>
      </c>
      <c r="BR5569">
        <f>IF(5556&lt;$U$9,SUMPRODUCT(($D$10:$L$10&lt;&gt;"")*(($D$10:$L$10-($D$9:$L$9+INT(($S$12:$AA$12+INDEX($AJ$13:$AR$162,BN5569,0)+INDEX($AT$13:$BB$162,BO5569,0)+INDEX($BD$13:$BL$162,BP5569,0))/100)))&gt;0)*($D$10:$L$10-($D$9:$L$9+INT(($S$12:$AA$12+INDEX($AJ$13:$AR$162,BN5569,0)+INDEX($AT$13:$BB$162,BO5569,0)+INDEX($BD$13:$BL$162,BP5569,0))/100)))),0)</f>
        <v/>
      </c>
      <c r="BS5569">
        <f>IF(5556&lt;$U$9,SUMPRODUCT(($D$9:$L$9+INT(($S$12:$AA$12+INDEX($AJ$13:$AR$162,BN5569,0)+INDEX($AT$13:$BB$162,BO5569,0)+INDEX($BD$13:$BL$162,BP5569,0))/100))),0)</f>
        <v/>
      </c>
      <c r="BT5569">
        <f>IF(AND(5556&lt;$U$9,$W$5),BQ5569*1000000-MIN(BR5569,999)*1000+BS5569-5556/100000,-1000000000-5556)</f>
        <v/>
      </c>
    </row>
    <row r="5570">
      <c r="BN5570">
        <f>IF(5557&lt;$U$9,INT(5557/($U$7*$U$8))+1,1)</f>
        <v/>
      </c>
      <c r="BO5570">
        <f>IF(5557&lt;$U$9,MOD(INT(5557/$U$8),$U$7)+1,1)</f>
        <v/>
      </c>
      <c r="BP5570">
        <f>IF(5557&lt;$U$9,MOD(5557,$U$8)+1,1)</f>
        <v/>
      </c>
      <c r="BQ5570">
        <f>IF(5557&lt;$U$9,SUMPRODUCT(($D$10:$L$10&lt;&gt;"")*(($D$9:$L$9+INT(($S$12:$AA$12+INDEX($AJ$13:$AR$162,BN5570,0)+INDEX($AT$13:$BB$162,BO5570,0)+INDEX($BD$13:$BL$162,BP5570,0))/100))&gt;=$D$10:$L$10)),0)</f>
        <v/>
      </c>
      <c r="BR5570">
        <f>IF(5557&lt;$U$9,SUMPRODUCT(($D$10:$L$10&lt;&gt;"")*(($D$10:$L$10-($D$9:$L$9+INT(($S$12:$AA$12+INDEX($AJ$13:$AR$162,BN5570,0)+INDEX($AT$13:$BB$162,BO5570,0)+INDEX($BD$13:$BL$162,BP5570,0))/100)))&gt;0)*($D$10:$L$10-($D$9:$L$9+INT(($S$12:$AA$12+INDEX($AJ$13:$AR$162,BN5570,0)+INDEX($AT$13:$BB$162,BO5570,0)+INDEX($BD$13:$BL$162,BP5570,0))/100)))),0)</f>
        <v/>
      </c>
      <c r="BS5570">
        <f>IF(5557&lt;$U$9,SUMPRODUCT(($D$9:$L$9+INT(($S$12:$AA$12+INDEX($AJ$13:$AR$162,BN5570,0)+INDEX($AT$13:$BB$162,BO5570,0)+INDEX($BD$13:$BL$162,BP5570,0))/100))),0)</f>
        <v/>
      </c>
      <c r="BT5570">
        <f>IF(AND(5557&lt;$U$9,$W$5),BQ5570*1000000-MIN(BR5570,999)*1000+BS5570-5557/100000,-1000000000-5557)</f>
        <v/>
      </c>
    </row>
    <row r="5571">
      <c r="BN5571">
        <f>IF(5558&lt;$U$9,INT(5558/($U$7*$U$8))+1,1)</f>
        <v/>
      </c>
      <c r="BO5571">
        <f>IF(5558&lt;$U$9,MOD(INT(5558/$U$8),$U$7)+1,1)</f>
        <v/>
      </c>
      <c r="BP5571">
        <f>IF(5558&lt;$U$9,MOD(5558,$U$8)+1,1)</f>
        <v/>
      </c>
      <c r="BQ5571">
        <f>IF(5558&lt;$U$9,SUMPRODUCT(($D$10:$L$10&lt;&gt;"")*(($D$9:$L$9+INT(($S$12:$AA$12+INDEX($AJ$13:$AR$162,BN5571,0)+INDEX($AT$13:$BB$162,BO5571,0)+INDEX($BD$13:$BL$162,BP5571,0))/100))&gt;=$D$10:$L$10)),0)</f>
        <v/>
      </c>
      <c r="BR5571">
        <f>IF(5558&lt;$U$9,SUMPRODUCT(($D$10:$L$10&lt;&gt;"")*(($D$10:$L$10-($D$9:$L$9+INT(($S$12:$AA$12+INDEX($AJ$13:$AR$162,BN5571,0)+INDEX($AT$13:$BB$162,BO5571,0)+INDEX($BD$13:$BL$162,BP5571,0))/100)))&gt;0)*($D$10:$L$10-($D$9:$L$9+INT(($S$12:$AA$12+INDEX($AJ$13:$AR$162,BN5571,0)+INDEX($AT$13:$BB$162,BO5571,0)+INDEX($BD$13:$BL$162,BP5571,0))/100)))),0)</f>
        <v/>
      </c>
      <c r="BS5571">
        <f>IF(5558&lt;$U$9,SUMPRODUCT(($D$9:$L$9+INT(($S$12:$AA$12+INDEX($AJ$13:$AR$162,BN5571,0)+INDEX($AT$13:$BB$162,BO5571,0)+INDEX($BD$13:$BL$162,BP5571,0))/100))),0)</f>
        <v/>
      </c>
      <c r="BT5571">
        <f>IF(AND(5558&lt;$U$9,$W$5),BQ5571*1000000-MIN(BR5571,999)*1000+BS5571-5558/100000,-1000000000-5558)</f>
        <v/>
      </c>
    </row>
    <row r="5572">
      <c r="BN5572">
        <f>IF(5559&lt;$U$9,INT(5559/($U$7*$U$8))+1,1)</f>
        <v/>
      </c>
      <c r="BO5572">
        <f>IF(5559&lt;$U$9,MOD(INT(5559/$U$8),$U$7)+1,1)</f>
        <v/>
      </c>
      <c r="BP5572">
        <f>IF(5559&lt;$U$9,MOD(5559,$U$8)+1,1)</f>
        <v/>
      </c>
      <c r="BQ5572">
        <f>IF(5559&lt;$U$9,SUMPRODUCT(($D$10:$L$10&lt;&gt;"")*(($D$9:$L$9+INT(($S$12:$AA$12+INDEX($AJ$13:$AR$162,BN5572,0)+INDEX($AT$13:$BB$162,BO5572,0)+INDEX($BD$13:$BL$162,BP5572,0))/100))&gt;=$D$10:$L$10)),0)</f>
        <v/>
      </c>
      <c r="BR5572">
        <f>IF(5559&lt;$U$9,SUMPRODUCT(($D$10:$L$10&lt;&gt;"")*(($D$10:$L$10-($D$9:$L$9+INT(($S$12:$AA$12+INDEX($AJ$13:$AR$162,BN5572,0)+INDEX($AT$13:$BB$162,BO5572,0)+INDEX($BD$13:$BL$162,BP5572,0))/100)))&gt;0)*($D$10:$L$10-($D$9:$L$9+INT(($S$12:$AA$12+INDEX($AJ$13:$AR$162,BN5572,0)+INDEX($AT$13:$BB$162,BO5572,0)+INDEX($BD$13:$BL$162,BP5572,0))/100)))),0)</f>
        <v/>
      </c>
      <c r="BS5572">
        <f>IF(5559&lt;$U$9,SUMPRODUCT(($D$9:$L$9+INT(($S$12:$AA$12+INDEX($AJ$13:$AR$162,BN5572,0)+INDEX($AT$13:$BB$162,BO5572,0)+INDEX($BD$13:$BL$162,BP5572,0))/100))),0)</f>
        <v/>
      </c>
      <c r="BT5572">
        <f>IF(AND(5559&lt;$U$9,$W$5),BQ5572*1000000-MIN(BR5572,999)*1000+BS5572-5559/100000,-1000000000-5559)</f>
        <v/>
      </c>
    </row>
    <row r="5573">
      <c r="BN5573">
        <f>IF(5560&lt;$U$9,INT(5560/($U$7*$U$8))+1,1)</f>
        <v/>
      </c>
      <c r="BO5573">
        <f>IF(5560&lt;$U$9,MOD(INT(5560/$U$8),$U$7)+1,1)</f>
        <v/>
      </c>
      <c r="BP5573">
        <f>IF(5560&lt;$U$9,MOD(5560,$U$8)+1,1)</f>
        <v/>
      </c>
      <c r="BQ5573">
        <f>IF(5560&lt;$U$9,SUMPRODUCT(($D$10:$L$10&lt;&gt;"")*(($D$9:$L$9+INT(($S$12:$AA$12+INDEX($AJ$13:$AR$162,BN5573,0)+INDEX($AT$13:$BB$162,BO5573,0)+INDEX($BD$13:$BL$162,BP5573,0))/100))&gt;=$D$10:$L$10)),0)</f>
        <v/>
      </c>
      <c r="BR5573">
        <f>IF(5560&lt;$U$9,SUMPRODUCT(($D$10:$L$10&lt;&gt;"")*(($D$10:$L$10-($D$9:$L$9+INT(($S$12:$AA$12+INDEX($AJ$13:$AR$162,BN5573,0)+INDEX($AT$13:$BB$162,BO5573,0)+INDEX($BD$13:$BL$162,BP5573,0))/100)))&gt;0)*($D$10:$L$10-($D$9:$L$9+INT(($S$12:$AA$12+INDEX($AJ$13:$AR$162,BN5573,0)+INDEX($AT$13:$BB$162,BO5573,0)+INDEX($BD$13:$BL$162,BP5573,0))/100)))),0)</f>
        <v/>
      </c>
      <c r="BS5573">
        <f>IF(5560&lt;$U$9,SUMPRODUCT(($D$9:$L$9+INT(($S$12:$AA$12+INDEX($AJ$13:$AR$162,BN5573,0)+INDEX($AT$13:$BB$162,BO5573,0)+INDEX($BD$13:$BL$162,BP5573,0))/100))),0)</f>
        <v/>
      </c>
      <c r="BT5573">
        <f>IF(AND(5560&lt;$U$9,$W$5),BQ5573*1000000-MIN(BR5573,999)*1000+BS5573-5560/100000,-1000000000-5560)</f>
        <v/>
      </c>
    </row>
    <row r="5574">
      <c r="BN5574">
        <f>IF(5561&lt;$U$9,INT(5561/($U$7*$U$8))+1,1)</f>
        <v/>
      </c>
      <c r="BO5574">
        <f>IF(5561&lt;$U$9,MOD(INT(5561/$U$8),$U$7)+1,1)</f>
        <v/>
      </c>
      <c r="BP5574">
        <f>IF(5561&lt;$U$9,MOD(5561,$U$8)+1,1)</f>
        <v/>
      </c>
      <c r="BQ5574">
        <f>IF(5561&lt;$U$9,SUMPRODUCT(($D$10:$L$10&lt;&gt;"")*(($D$9:$L$9+INT(($S$12:$AA$12+INDEX($AJ$13:$AR$162,BN5574,0)+INDEX($AT$13:$BB$162,BO5574,0)+INDEX($BD$13:$BL$162,BP5574,0))/100))&gt;=$D$10:$L$10)),0)</f>
        <v/>
      </c>
      <c r="BR5574">
        <f>IF(5561&lt;$U$9,SUMPRODUCT(($D$10:$L$10&lt;&gt;"")*(($D$10:$L$10-($D$9:$L$9+INT(($S$12:$AA$12+INDEX($AJ$13:$AR$162,BN5574,0)+INDEX($AT$13:$BB$162,BO5574,0)+INDEX($BD$13:$BL$162,BP5574,0))/100)))&gt;0)*($D$10:$L$10-($D$9:$L$9+INT(($S$12:$AA$12+INDEX($AJ$13:$AR$162,BN5574,0)+INDEX($AT$13:$BB$162,BO5574,0)+INDEX($BD$13:$BL$162,BP5574,0))/100)))),0)</f>
        <v/>
      </c>
      <c r="BS5574">
        <f>IF(5561&lt;$U$9,SUMPRODUCT(($D$9:$L$9+INT(($S$12:$AA$12+INDEX($AJ$13:$AR$162,BN5574,0)+INDEX($AT$13:$BB$162,BO5574,0)+INDEX($BD$13:$BL$162,BP5574,0))/100))),0)</f>
        <v/>
      </c>
      <c r="BT5574">
        <f>IF(AND(5561&lt;$U$9,$W$5),BQ5574*1000000-MIN(BR5574,999)*1000+BS5574-5561/100000,-1000000000-5561)</f>
        <v/>
      </c>
    </row>
    <row r="5575">
      <c r="BN5575">
        <f>IF(5562&lt;$U$9,INT(5562/($U$7*$U$8))+1,1)</f>
        <v/>
      </c>
      <c r="BO5575">
        <f>IF(5562&lt;$U$9,MOD(INT(5562/$U$8),$U$7)+1,1)</f>
        <v/>
      </c>
      <c r="BP5575">
        <f>IF(5562&lt;$U$9,MOD(5562,$U$8)+1,1)</f>
        <v/>
      </c>
      <c r="BQ5575">
        <f>IF(5562&lt;$U$9,SUMPRODUCT(($D$10:$L$10&lt;&gt;"")*(($D$9:$L$9+INT(($S$12:$AA$12+INDEX($AJ$13:$AR$162,BN5575,0)+INDEX($AT$13:$BB$162,BO5575,0)+INDEX($BD$13:$BL$162,BP5575,0))/100))&gt;=$D$10:$L$10)),0)</f>
        <v/>
      </c>
      <c r="BR5575">
        <f>IF(5562&lt;$U$9,SUMPRODUCT(($D$10:$L$10&lt;&gt;"")*(($D$10:$L$10-($D$9:$L$9+INT(($S$12:$AA$12+INDEX($AJ$13:$AR$162,BN5575,0)+INDEX($AT$13:$BB$162,BO5575,0)+INDEX($BD$13:$BL$162,BP5575,0))/100)))&gt;0)*($D$10:$L$10-($D$9:$L$9+INT(($S$12:$AA$12+INDEX($AJ$13:$AR$162,BN5575,0)+INDEX($AT$13:$BB$162,BO5575,0)+INDEX($BD$13:$BL$162,BP5575,0))/100)))),0)</f>
        <v/>
      </c>
      <c r="BS5575">
        <f>IF(5562&lt;$U$9,SUMPRODUCT(($D$9:$L$9+INT(($S$12:$AA$12+INDEX($AJ$13:$AR$162,BN5575,0)+INDEX($AT$13:$BB$162,BO5575,0)+INDEX($BD$13:$BL$162,BP5575,0))/100))),0)</f>
        <v/>
      </c>
      <c r="BT5575">
        <f>IF(AND(5562&lt;$U$9,$W$5),BQ5575*1000000-MIN(BR5575,999)*1000+BS5575-5562/100000,-1000000000-5562)</f>
        <v/>
      </c>
    </row>
    <row r="5576">
      <c r="BN5576">
        <f>IF(5563&lt;$U$9,INT(5563/($U$7*$U$8))+1,1)</f>
        <v/>
      </c>
      <c r="BO5576">
        <f>IF(5563&lt;$U$9,MOD(INT(5563/$U$8),$U$7)+1,1)</f>
        <v/>
      </c>
      <c r="BP5576">
        <f>IF(5563&lt;$U$9,MOD(5563,$U$8)+1,1)</f>
        <v/>
      </c>
      <c r="BQ5576">
        <f>IF(5563&lt;$U$9,SUMPRODUCT(($D$10:$L$10&lt;&gt;"")*(($D$9:$L$9+INT(($S$12:$AA$12+INDEX($AJ$13:$AR$162,BN5576,0)+INDEX($AT$13:$BB$162,BO5576,0)+INDEX($BD$13:$BL$162,BP5576,0))/100))&gt;=$D$10:$L$10)),0)</f>
        <v/>
      </c>
      <c r="BR5576">
        <f>IF(5563&lt;$U$9,SUMPRODUCT(($D$10:$L$10&lt;&gt;"")*(($D$10:$L$10-($D$9:$L$9+INT(($S$12:$AA$12+INDEX($AJ$13:$AR$162,BN5576,0)+INDEX($AT$13:$BB$162,BO5576,0)+INDEX($BD$13:$BL$162,BP5576,0))/100)))&gt;0)*($D$10:$L$10-($D$9:$L$9+INT(($S$12:$AA$12+INDEX($AJ$13:$AR$162,BN5576,0)+INDEX($AT$13:$BB$162,BO5576,0)+INDEX($BD$13:$BL$162,BP5576,0))/100)))),0)</f>
        <v/>
      </c>
      <c r="BS5576">
        <f>IF(5563&lt;$U$9,SUMPRODUCT(($D$9:$L$9+INT(($S$12:$AA$12+INDEX($AJ$13:$AR$162,BN5576,0)+INDEX($AT$13:$BB$162,BO5576,0)+INDEX($BD$13:$BL$162,BP5576,0))/100))),0)</f>
        <v/>
      </c>
      <c r="BT5576">
        <f>IF(AND(5563&lt;$U$9,$W$5),BQ5576*1000000-MIN(BR5576,999)*1000+BS5576-5563/100000,-1000000000-5563)</f>
        <v/>
      </c>
    </row>
    <row r="5577">
      <c r="BN5577">
        <f>IF(5564&lt;$U$9,INT(5564/($U$7*$U$8))+1,1)</f>
        <v/>
      </c>
      <c r="BO5577">
        <f>IF(5564&lt;$U$9,MOD(INT(5564/$U$8),$U$7)+1,1)</f>
        <v/>
      </c>
      <c r="BP5577">
        <f>IF(5564&lt;$U$9,MOD(5564,$U$8)+1,1)</f>
        <v/>
      </c>
      <c r="BQ5577">
        <f>IF(5564&lt;$U$9,SUMPRODUCT(($D$10:$L$10&lt;&gt;"")*(($D$9:$L$9+INT(($S$12:$AA$12+INDEX($AJ$13:$AR$162,BN5577,0)+INDEX($AT$13:$BB$162,BO5577,0)+INDEX($BD$13:$BL$162,BP5577,0))/100))&gt;=$D$10:$L$10)),0)</f>
        <v/>
      </c>
      <c r="BR5577">
        <f>IF(5564&lt;$U$9,SUMPRODUCT(($D$10:$L$10&lt;&gt;"")*(($D$10:$L$10-($D$9:$L$9+INT(($S$12:$AA$12+INDEX($AJ$13:$AR$162,BN5577,0)+INDEX($AT$13:$BB$162,BO5577,0)+INDEX($BD$13:$BL$162,BP5577,0))/100)))&gt;0)*($D$10:$L$10-($D$9:$L$9+INT(($S$12:$AA$12+INDEX($AJ$13:$AR$162,BN5577,0)+INDEX($AT$13:$BB$162,BO5577,0)+INDEX($BD$13:$BL$162,BP5577,0))/100)))),0)</f>
        <v/>
      </c>
      <c r="BS5577">
        <f>IF(5564&lt;$U$9,SUMPRODUCT(($D$9:$L$9+INT(($S$12:$AA$12+INDEX($AJ$13:$AR$162,BN5577,0)+INDEX($AT$13:$BB$162,BO5577,0)+INDEX($BD$13:$BL$162,BP5577,0))/100))),0)</f>
        <v/>
      </c>
      <c r="BT5577">
        <f>IF(AND(5564&lt;$U$9,$W$5),BQ5577*1000000-MIN(BR5577,999)*1000+BS5577-5564/100000,-1000000000-5564)</f>
        <v/>
      </c>
    </row>
    <row r="5578">
      <c r="BN5578">
        <f>IF(5565&lt;$U$9,INT(5565/($U$7*$U$8))+1,1)</f>
        <v/>
      </c>
      <c r="BO5578">
        <f>IF(5565&lt;$U$9,MOD(INT(5565/$U$8),$U$7)+1,1)</f>
        <v/>
      </c>
      <c r="BP5578">
        <f>IF(5565&lt;$U$9,MOD(5565,$U$8)+1,1)</f>
        <v/>
      </c>
      <c r="BQ5578">
        <f>IF(5565&lt;$U$9,SUMPRODUCT(($D$10:$L$10&lt;&gt;"")*(($D$9:$L$9+INT(($S$12:$AA$12+INDEX($AJ$13:$AR$162,BN5578,0)+INDEX($AT$13:$BB$162,BO5578,0)+INDEX($BD$13:$BL$162,BP5578,0))/100))&gt;=$D$10:$L$10)),0)</f>
        <v/>
      </c>
      <c r="BR5578">
        <f>IF(5565&lt;$U$9,SUMPRODUCT(($D$10:$L$10&lt;&gt;"")*(($D$10:$L$10-($D$9:$L$9+INT(($S$12:$AA$12+INDEX($AJ$13:$AR$162,BN5578,0)+INDEX($AT$13:$BB$162,BO5578,0)+INDEX($BD$13:$BL$162,BP5578,0))/100)))&gt;0)*($D$10:$L$10-($D$9:$L$9+INT(($S$12:$AA$12+INDEX($AJ$13:$AR$162,BN5578,0)+INDEX($AT$13:$BB$162,BO5578,0)+INDEX($BD$13:$BL$162,BP5578,0))/100)))),0)</f>
        <v/>
      </c>
      <c r="BS5578">
        <f>IF(5565&lt;$U$9,SUMPRODUCT(($D$9:$L$9+INT(($S$12:$AA$12+INDEX($AJ$13:$AR$162,BN5578,0)+INDEX($AT$13:$BB$162,BO5578,0)+INDEX($BD$13:$BL$162,BP5578,0))/100))),0)</f>
        <v/>
      </c>
      <c r="BT5578">
        <f>IF(AND(5565&lt;$U$9,$W$5),BQ5578*1000000-MIN(BR5578,999)*1000+BS5578-5565/100000,-1000000000-5565)</f>
        <v/>
      </c>
    </row>
    <row r="5579">
      <c r="BN5579">
        <f>IF(5566&lt;$U$9,INT(5566/($U$7*$U$8))+1,1)</f>
        <v/>
      </c>
      <c r="BO5579">
        <f>IF(5566&lt;$U$9,MOD(INT(5566/$U$8),$U$7)+1,1)</f>
        <v/>
      </c>
      <c r="BP5579">
        <f>IF(5566&lt;$U$9,MOD(5566,$U$8)+1,1)</f>
        <v/>
      </c>
      <c r="BQ5579">
        <f>IF(5566&lt;$U$9,SUMPRODUCT(($D$10:$L$10&lt;&gt;"")*(($D$9:$L$9+INT(($S$12:$AA$12+INDEX($AJ$13:$AR$162,BN5579,0)+INDEX($AT$13:$BB$162,BO5579,0)+INDEX($BD$13:$BL$162,BP5579,0))/100))&gt;=$D$10:$L$10)),0)</f>
        <v/>
      </c>
      <c r="BR5579">
        <f>IF(5566&lt;$U$9,SUMPRODUCT(($D$10:$L$10&lt;&gt;"")*(($D$10:$L$10-($D$9:$L$9+INT(($S$12:$AA$12+INDEX($AJ$13:$AR$162,BN5579,0)+INDEX($AT$13:$BB$162,BO5579,0)+INDEX($BD$13:$BL$162,BP5579,0))/100)))&gt;0)*($D$10:$L$10-($D$9:$L$9+INT(($S$12:$AA$12+INDEX($AJ$13:$AR$162,BN5579,0)+INDEX($AT$13:$BB$162,BO5579,0)+INDEX($BD$13:$BL$162,BP5579,0))/100)))),0)</f>
        <v/>
      </c>
      <c r="BS5579">
        <f>IF(5566&lt;$U$9,SUMPRODUCT(($D$9:$L$9+INT(($S$12:$AA$12+INDEX($AJ$13:$AR$162,BN5579,0)+INDEX($AT$13:$BB$162,BO5579,0)+INDEX($BD$13:$BL$162,BP5579,0))/100))),0)</f>
        <v/>
      </c>
      <c r="BT5579">
        <f>IF(AND(5566&lt;$U$9,$W$5),BQ5579*1000000-MIN(BR5579,999)*1000+BS5579-5566/100000,-1000000000-5566)</f>
        <v/>
      </c>
    </row>
    <row r="5580">
      <c r="BN5580">
        <f>IF(5567&lt;$U$9,INT(5567/($U$7*$U$8))+1,1)</f>
        <v/>
      </c>
      <c r="BO5580">
        <f>IF(5567&lt;$U$9,MOD(INT(5567/$U$8),$U$7)+1,1)</f>
        <v/>
      </c>
      <c r="BP5580">
        <f>IF(5567&lt;$U$9,MOD(5567,$U$8)+1,1)</f>
        <v/>
      </c>
      <c r="BQ5580">
        <f>IF(5567&lt;$U$9,SUMPRODUCT(($D$10:$L$10&lt;&gt;"")*(($D$9:$L$9+INT(($S$12:$AA$12+INDEX($AJ$13:$AR$162,BN5580,0)+INDEX($AT$13:$BB$162,BO5580,0)+INDEX($BD$13:$BL$162,BP5580,0))/100))&gt;=$D$10:$L$10)),0)</f>
        <v/>
      </c>
      <c r="BR5580">
        <f>IF(5567&lt;$U$9,SUMPRODUCT(($D$10:$L$10&lt;&gt;"")*(($D$10:$L$10-($D$9:$L$9+INT(($S$12:$AA$12+INDEX($AJ$13:$AR$162,BN5580,0)+INDEX($AT$13:$BB$162,BO5580,0)+INDEX($BD$13:$BL$162,BP5580,0))/100)))&gt;0)*($D$10:$L$10-($D$9:$L$9+INT(($S$12:$AA$12+INDEX($AJ$13:$AR$162,BN5580,0)+INDEX($AT$13:$BB$162,BO5580,0)+INDEX($BD$13:$BL$162,BP5580,0))/100)))),0)</f>
        <v/>
      </c>
      <c r="BS5580">
        <f>IF(5567&lt;$U$9,SUMPRODUCT(($D$9:$L$9+INT(($S$12:$AA$12+INDEX($AJ$13:$AR$162,BN5580,0)+INDEX($AT$13:$BB$162,BO5580,0)+INDEX($BD$13:$BL$162,BP5580,0))/100))),0)</f>
        <v/>
      </c>
      <c r="BT5580">
        <f>IF(AND(5567&lt;$U$9,$W$5),BQ5580*1000000-MIN(BR5580,999)*1000+BS5580-5567/100000,-1000000000-5567)</f>
        <v/>
      </c>
    </row>
    <row r="5581">
      <c r="BN5581">
        <f>IF(5568&lt;$U$9,INT(5568/($U$7*$U$8))+1,1)</f>
        <v/>
      </c>
      <c r="BO5581">
        <f>IF(5568&lt;$U$9,MOD(INT(5568/$U$8),$U$7)+1,1)</f>
        <v/>
      </c>
      <c r="BP5581">
        <f>IF(5568&lt;$U$9,MOD(5568,$U$8)+1,1)</f>
        <v/>
      </c>
      <c r="BQ5581">
        <f>IF(5568&lt;$U$9,SUMPRODUCT(($D$10:$L$10&lt;&gt;"")*(($D$9:$L$9+INT(($S$12:$AA$12+INDEX($AJ$13:$AR$162,BN5581,0)+INDEX($AT$13:$BB$162,BO5581,0)+INDEX($BD$13:$BL$162,BP5581,0))/100))&gt;=$D$10:$L$10)),0)</f>
        <v/>
      </c>
      <c r="BR5581">
        <f>IF(5568&lt;$U$9,SUMPRODUCT(($D$10:$L$10&lt;&gt;"")*(($D$10:$L$10-($D$9:$L$9+INT(($S$12:$AA$12+INDEX($AJ$13:$AR$162,BN5581,0)+INDEX($AT$13:$BB$162,BO5581,0)+INDEX($BD$13:$BL$162,BP5581,0))/100)))&gt;0)*($D$10:$L$10-($D$9:$L$9+INT(($S$12:$AA$12+INDEX($AJ$13:$AR$162,BN5581,0)+INDEX($AT$13:$BB$162,BO5581,0)+INDEX($BD$13:$BL$162,BP5581,0))/100)))),0)</f>
        <v/>
      </c>
      <c r="BS5581">
        <f>IF(5568&lt;$U$9,SUMPRODUCT(($D$9:$L$9+INT(($S$12:$AA$12+INDEX($AJ$13:$AR$162,BN5581,0)+INDEX($AT$13:$BB$162,BO5581,0)+INDEX($BD$13:$BL$162,BP5581,0))/100))),0)</f>
        <v/>
      </c>
      <c r="BT5581">
        <f>IF(AND(5568&lt;$U$9,$W$5),BQ5581*1000000-MIN(BR5581,999)*1000+BS5581-5568/100000,-1000000000-5568)</f>
        <v/>
      </c>
    </row>
    <row r="5582">
      <c r="BN5582">
        <f>IF(5569&lt;$U$9,INT(5569/($U$7*$U$8))+1,1)</f>
        <v/>
      </c>
      <c r="BO5582">
        <f>IF(5569&lt;$U$9,MOD(INT(5569/$U$8),$U$7)+1,1)</f>
        <v/>
      </c>
      <c r="BP5582">
        <f>IF(5569&lt;$U$9,MOD(5569,$U$8)+1,1)</f>
        <v/>
      </c>
      <c r="BQ5582">
        <f>IF(5569&lt;$U$9,SUMPRODUCT(($D$10:$L$10&lt;&gt;"")*(($D$9:$L$9+INT(($S$12:$AA$12+INDEX($AJ$13:$AR$162,BN5582,0)+INDEX($AT$13:$BB$162,BO5582,0)+INDEX($BD$13:$BL$162,BP5582,0))/100))&gt;=$D$10:$L$10)),0)</f>
        <v/>
      </c>
      <c r="BR5582">
        <f>IF(5569&lt;$U$9,SUMPRODUCT(($D$10:$L$10&lt;&gt;"")*(($D$10:$L$10-($D$9:$L$9+INT(($S$12:$AA$12+INDEX($AJ$13:$AR$162,BN5582,0)+INDEX($AT$13:$BB$162,BO5582,0)+INDEX($BD$13:$BL$162,BP5582,0))/100)))&gt;0)*($D$10:$L$10-($D$9:$L$9+INT(($S$12:$AA$12+INDEX($AJ$13:$AR$162,BN5582,0)+INDEX($AT$13:$BB$162,BO5582,0)+INDEX($BD$13:$BL$162,BP5582,0))/100)))),0)</f>
        <v/>
      </c>
      <c r="BS5582">
        <f>IF(5569&lt;$U$9,SUMPRODUCT(($D$9:$L$9+INT(($S$12:$AA$12+INDEX($AJ$13:$AR$162,BN5582,0)+INDEX($AT$13:$BB$162,BO5582,0)+INDEX($BD$13:$BL$162,BP5582,0))/100))),0)</f>
        <v/>
      </c>
      <c r="BT5582">
        <f>IF(AND(5569&lt;$U$9,$W$5),BQ5582*1000000-MIN(BR5582,999)*1000+BS5582-5569/100000,-1000000000-5569)</f>
        <v/>
      </c>
    </row>
    <row r="5583">
      <c r="BN5583">
        <f>IF(5570&lt;$U$9,INT(5570/($U$7*$U$8))+1,1)</f>
        <v/>
      </c>
      <c r="BO5583">
        <f>IF(5570&lt;$U$9,MOD(INT(5570/$U$8),$U$7)+1,1)</f>
        <v/>
      </c>
      <c r="BP5583">
        <f>IF(5570&lt;$U$9,MOD(5570,$U$8)+1,1)</f>
        <v/>
      </c>
      <c r="BQ5583">
        <f>IF(5570&lt;$U$9,SUMPRODUCT(($D$10:$L$10&lt;&gt;"")*(($D$9:$L$9+INT(($S$12:$AA$12+INDEX($AJ$13:$AR$162,BN5583,0)+INDEX($AT$13:$BB$162,BO5583,0)+INDEX($BD$13:$BL$162,BP5583,0))/100))&gt;=$D$10:$L$10)),0)</f>
        <v/>
      </c>
      <c r="BR5583">
        <f>IF(5570&lt;$U$9,SUMPRODUCT(($D$10:$L$10&lt;&gt;"")*(($D$10:$L$10-($D$9:$L$9+INT(($S$12:$AA$12+INDEX($AJ$13:$AR$162,BN5583,0)+INDEX($AT$13:$BB$162,BO5583,0)+INDEX($BD$13:$BL$162,BP5583,0))/100)))&gt;0)*($D$10:$L$10-($D$9:$L$9+INT(($S$12:$AA$12+INDEX($AJ$13:$AR$162,BN5583,0)+INDEX($AT$13:$BB$162,BO5583,0)+INDEX($BD$13:$BL$162,BP5583,0))/100)))),0)</f>
        <v/>
      </c>
      <c r="BS5583">
        <f>IF(5570&lt;$U$9,SUMPRODUCT(($D$9:$L$9+INT(($S$12:$AA$12+INDEX($AJ$13:$AR$162,BN5583,0)+INDEX($AT$13:$BB$162,BO5583,0)+INDEX($BD$13:$BL$162,BP5583,0))/100))),0)</f>
        <v/>
      </c>
      <c r="BT5583">
        <f>IF(AND(5570&lt;$U$9,$W$5),BQ5583*1000000-MIN(BR5583,999)*1000+BS5583-5570/100000,-1000000000-5570)</f>
        <v/>
      </c>
    </row>
    <row r="5584">
      <c r="BN5584">
        <f>IF(5571&lt;$U$9,INT(5571/($U$7*$U$8))+1,1)</f>
        <v/>
      </c>
      <c r="BO5584">
        <f>IF(5571&lt;$U$9,MOD(INT(5571/$U$8),$U$7)+1,1)</f>
        <v/>
      </c>
      <c r="BP5584">
        <f>IF(5571&lt;$U$9,MOD(5571,$U$8)+1,1)</f>
        <v/>
      </c>
      <c r="BQ5584">
        <f>IF(5571&lt;$U$9,SUMPRODUCT(($D$10:$L$10&lt;&gt;"")*(($D$9:$L$9+INT(($S$12:$AA$12+INDEX($AJ$13:$AR$162,BN5584,0)+INDEX($AT$13:$BB$162,BO5584,0)+INDEX($BD$13:$BL$162,BP5584,0))/100))&gt;=$D$10:$L$10)),0)</f>
        <v/>
      </c>
      <c r="BR5584">
        <f>IF(5571&lt;$U$9,SUMPRODUCT(($D$10:$L$10&lt;&gt;"")*(($D$10:$L$10-($D$9:$L$9+INT(($S$12:$AA$12+INDEX($AJ$13:$AR$162,BN5584,0)+INDEX($AT$13:$BB$162,BO5584,0)+INDEX($BD$13:$BL$162,BP5584,0))/100)))&gt;0)*($D$10:$L$10-($D$9:$L$9+INT(($S$12:$AA$12+INDEX($AJ$13:$AR$162,BN5584,0)+INDEX($AT$13:$BB$162,BO5584,0)+INDEX($BD$13:$BL$162,BP5584,0))/100)))),0)</f>
        <v/>
      </c>
      <c r="BS5584">
        <f>IF(5571&lt;$U$9,SUMPRODUCT(($D$9:$L$9+INT(($S$12:$AA$12+INDEX($AJ$13:$AR$162,BN5584,0)+INDEX($AT$13:$BB$162,BO5584,0)+INDEX($BD$13:$BL$162,BP5584,0))/100))),0)</f>
        <v/>
      </c>
      <c r="BT5584">
        <f>IF(AND(5571&lt;$U$9,$W$5),BQ5584*1000000-MIN(BR5584,999)*1000+BS5584-5571/100000,-1000000000-5571)</f>
        <v/>
      </c>
    </row>
    <row r="5585">
      <c r="BN5585">
        <f>IF(5572&lt;$U$9,INT(5572/($U$7*$U$8))+1,1)</f>
        <v/>
      </c>
      <c r="BO5585">
        <f>IF(5572&lt;$U$9,MOD(INT(5572/$U$8),$U$7)+1,1)</f>
        <v/>
      </c>
      <c r="BP5585">
        <f>IF(5572&lt;$U$9,MOD(5572,$U$8)+1,1)</f>
        <v/>
      </c>
      <c r="BQ5585">
        <f>IF(5572&lt;$U$9,SUMPRODUCT(($D$10:$L$10&lt;&gt;"")*(($D$9:$L$9+INT(($S$12:$AA$12+INDEX($AJ$13:$AR$162,BN5585,0)+INDEX($AT$13:$BB$162,BO5585,0)+INDEX($BD$13:$BL$162,BP5585,0))/100))&gt;=$D$10:$L$10)),0)</f>
        <v/>
      </c>
      <c r="BR5585">
        <f>IF(5572&lt;$U$9,SUMPRODUCT(($D$10:$L$10&lt;&gt;"")*(($D$10:$L$10-($D$9:$L$9+INT(($S$12:$AA$12+INDEX($AJ$13:$AR$162,BN5585,0)+INDEX($AT$13:$BB$162,BO5585,0)+INDEX($BD$13:$BL$162,BP5585,0))/100)))&gt;0)*($D$10:$L$10-($D$9:$L$9+INT(($S$12:$AA$12+INDEX($AJ$13:$AR$162,BN5585,0)+INDEX($AT$13:$BB$162,BO5585,0)+INDEX($BD$13:$BL$162,BP5585,0))/100)))),0)</f>
        <v/>
      </c>
      <c r="BS5585">
        <f>IF(5572&lt;$U$9,SUMPRODUCT(($D$9:$L$9+INT(($S$12:$AA$12+INDEX($AJ$13:$AR$162,BN5585,0)+INDEX($AT$13:$BB$162,BO5585,0)+INDEX($BD$13:$BL$162,BP5585,0))/100))),0)</f>
        <v/>
      </c>
      <c r="BT5585">
        <f>IF(AND(5572&lt;$U$9,$W$5),BQ5585*1000000-MIN(BR5585,999)*1000+BS5585-5572/100000,-1000000000-5572)</f>
        <v/>
      </c>
    </row>
    <row r="5586">
      <c r="BN5586">
        <f>IF(5573&lt;$U$9,INT(5573/($U$7*$U$8))+1,1)</f>
        <v/>
      </c>
      <c r="BO5586">
        <f>IF(5573&lt;$U$9,MOD(INT(5573/$U$8),$U$7)+1,1)</f>
        <v/>
      </c>
      <c r="BP5586">
        <f>IF(5573&lt;$U$9,MOD(5573,$U$8)+1,1)</f>
        <v/>
      </c>
      <c r="BQ5586">
        <f>IF(5573&lt;$U$9,SUMPRODUCT(($D$10:$L$10&lt;&gt;"")*(($D$9:$L$9+INT(($S$12:$AA$12+INDEX($AJ$13:$AR$162,BN5586,0)+INDEX($AT$13:$BB$162,BO5586,0)+INDEX($BD$13:$BL$162,BP5586,0))/100))&gt;=$D$10:$L$10)),0)</f>
        <v/>
      </c>
      <c r="BR5586">
        <f>IF(5573&lt;$U$9,SUMPRODUCT(($D$10:$L$10&lt;&gt;"")*(($D$10:$L$10-($D$9:$L$9+INT(($S$12:$AA$12+INDEX($AJ$13:$AR$162,BN5586,0)+INDEX($AT$13:$BB$162,BO5586,0)+INDEX($BD$13:$BL$162,BP5586,0))/100)))&gt;0)*($D$10:$L$10-($D$9:$L$9+INT(($S$12:$AA$12+INDEX($AJ$13:$AR$162,BN5586,0)+INDEX($AT$13:$BB$162,BO5586,0)+INDEX($BD$13:$BL$162,BP5586,0))/100)))),0)</f>
        <v/>
      </c>
      <c r="BS5586">
        <f>IF(5573&lt;$U$9,SUMPRODUCT(($D$9:$L$9+INT(($S$12:$AA$12+INDEX($AJ$13:$AR$162,BN5586,0)+INDEX($AT$13:$BB$162,BO5586,0)+INDEX($BD$13:$BL$162,BP5586,0))/100))),0)</f>
        <v/>
      </c>
      <c r="BT5586">
        <f>IF(AND(5573&lt;$U$9,$W$5),BQ5586*1000000-MIN(BR5586,999)*1000+BS5586-5573/100000,-1000000000-5573)</f>
        <v/>
      </c>
    </row>
    <row r="5587">
      <c r="BN5587">
        <f>IF(5574&lt;$U$9,INT(5574/($U$7*$U$8))+1,1)</f>
        <v/>
      </c>
      <c r="BO5587">
        <f>IF(5574&lt;$U$9,MOD(INT(5574/$U$8),$U$7)+1,1)</f>
        <v/>
      </c>
      <c r="BP5587">
        <f>IF(5574&lt;$U$9,MOD(5574,$U$8)+1,1)</f>
        <v/>
      </c>
      <c r="BQ5587">
        <f>IF(5574&lt;$U$9,SUMPRODUCT(($D$10:$L$10&lt;&gt;"")*(($D$9:$L$9+INT(($S$12:$AA$12+INDEX($AJ$13:$AR$162,BN5587,0)+INDEX($AT$13:$BB$162,BO5587,0)+INDEX($BD$13:$BL$162,BP5587,0))/100))&gt;=$D$10:$L$10)),0)</f>
        <v/>
      </c>
      <c r="BR5587">
        <f>IF(5574&lt;$U$9,SUMPRODUCT(($D$10:$L$10&lt;&gt;"")*(($D$10:$L$10-($D$9:$L$9+INT(($S$12:$AA$12+INDEX($AJ$13:$AR$162,BN5587,0)+INDEX($AT$13:$BB$162,BO5587,0)+INDEX($BD$13:$BL$162,BP5587,0))/100)))&gt;0)*($D$10:$L$10-($D$9:$L$9+INT(($S$12:$AA$12+INDEX($AJ$13:$AR$162,BN5587,0)+INDEX($AT$13:$BB$162,BO5587,0)+INDEX($BD$13:$BL$162,BP5587,0))/100)))),0)</f>
        <v/>
      </c>
      <c r="BS5587">
        <f>IF(5574&lt;$U$9,SUMPRODUCT(($D$9:$L$9+INT(($S$12:$AA$12+INDEX($AJ$13:$AR$162,BN5587,0)+INDEX($AT$13:$BB$162,BO5587,0)+INDEX($BD$13:$BL$162,BP5587,0))/100))),0)</f>
        <v/>
      </c>
      <c r="BT5587">
        <f>IF(AND(5574&lt;$U$9,$W$5),BQ5587*1000000-MIN(BR5587,999)*1000+BS5587-5574/100000,-1000000000-5574)</f>
        <v/>
      </c>
    </row>
    <row r="5588">
      <c r="BN5588">
        <f>IF(5575&lt;$U$9,INT(5575/($U$7*$U$8))+1,1)</f>
        <v/>
      </c>
      <c r="BO5588">
        <f>IF(5575&lt;$U$9,MOD(INT(5575/$U$8),$U$7)+1,1)</f>
        <v/>
      </c>
      <c r="BP5588">
        <f>IF(5575&lt;$U$9,MOD(5575,$U$8)+1,1)</f>
        <v/>
      </c>
      <c r="BQ5588">
        <f>IF(5575&lt;$U$9,SUMPRODUCT(($D$10:$L$10&lt;&gt;"")*(($D$9:$L$9+INT(($S$12:$AA$12+INDEX($AJ$13:$AR$162,BN5588,0)+INDEX($AT$13:$BB$162,BO5588,0)+INDEX($BD$13:$BL$162,BP5588,0))/100))&gt;=$D$10:$L$10)),0)</f>
        <v/>
      </c>
      <c r="BR5588">
        <f>IF(5575&lt;$U$9,SUMPRODUCT(($D$10:$L$10&lt;&gt;"")*(($D$10:$L$10-($D$9:$L$9+INT(($S$12:$AA$12+INDEX($AJ$13:$AR$162,BN5588,0)+INDEX($AT$13:$BB$162,BO5588,0)+INDEX($BD$13:$BL$162,BP5588,0))/100)))&gt;0)*($D$10:$L$10-($D$9:$L$9+INT(($S$12:$AA$12+INDEX($AJ$13:$AR$162,BN5588,0)+INDEX($AT$13:$BB$162,BO5588,0)+INDEX($BD$13:$BL$162,BP5588,0))/100)))),0)</f>
        <v/>
      </c>
      <c r="BS5588">
        <f>IF(5575&lt;$U$9,SUMPRODUCT(($D$9:$L$9+INT(($S$12:$AA$12+INDEX($AJ$13:$AR$162,BN5588,0)+INDEX($AT$13:$BB$162,BO5588,0)+INDEX($BD$13:$BL$162,BP5588,0))/100))),0)</f>
        <v/>
      </c>
      <c r="BT5588">
        <f>IF(AND(5575&lt;$U$9,$W$5),BQ5588*1000000-MIN(BR5588,999)*1000+BS5588-5575/100000,-1000000000-5575)</f>
        <v/>
      </c>
    </row>
    <row r="5589">
      <c r="BN5589">
        <f>IF(5576&lt;$U$9,INT(5576/($U$7*$U$8))+1,1)</f>
        <v/>
      </c>
      <c r="BO5589">
        <f>IF(5576&lt;$U$9,MOD(INT(5576/$U$8),$U$7)+1,1)</f>
        <v/>
      </c>
      <c r="BP5589">
        <f>IF(5576&lt;$U$9,MOD(5576,$U$8)+1,1)</f>
        <v/>
      </c>
      <c r="BQ5589">
        <f>IF(5576&lt;$U$9,SUMPRODUCT(($D$10:$L$10&lt;&gt;"")*(($D$9:$L$9+INT(($S$12:$AA$12+INDEX($AJ$13:$AR$162,BN5589,0)+INDEX($AT$13:$BB$162,BO5589,0)+INDEX($BD$13:$BL$162,BP5589,0))/100))&gt;=$D$10:$L$10)),0)</f>
        <v/>
      </c>
      <c r="BR5589">
        <f>IF(5576&lt;$U$9,SUMPRODUCT(($D$10:$L$10&lt;&gt;"")*(($D$10:$L$10-($D$9:$L$9+INT(($S$12:$AA$12+INDEX($AJ$13:$AR$162,BN5589,0)+INDEX($AT$13:$BB$162,BO5589,0)+INDEX($BD$13:$BL$162,BP5589,0))/100)))&gt;0)*($D$10:$L$10-($D$9:$L$9+INT(($S$12:$AA$12+INDEX($AJ$13:$AR$162,BN5589,0)+INDEX($AT$13:$BB$162,BO5589,0)+INDEX($BD$13:$BL$162,BP5589,0))/100)))),0)</f>
        <v/>
      </c>
      <c r="BS5589">
        <f>IF(5576&lt;$U$9,SUMPRODUCT(($D$9:$L$9+INT(($S$12:$AA$12+INDEX($AJ$13:$AR$162,BN5589,0)+INDEX($AT$13:$BB$162,BO5589,0)+INDEX($BD$13:$BL$162,BP5589,0))/100))),0)</f>
        <v/>
      </c>
      <c r="BT5589">
        <f>IF(AND(5576&lt;$U$9,$W$5),BQ5589*1000000-MIN(BR5589,999)*1000+BS5589-5576/100000,-1000000000-5576)</f>
        <v/>
      </c>
    </row>
    <row r="5590">
      <c r="BN5590">
        <f>IF(5577&lt;$U$9,INT(5577/($U$7*$U$8))+1,1)</f>
        <v/>
      </c>
      <c r="BO5590">
        <f>IF(5577&lt;$U$9,MOD(INT(5577/$U$8),$U$7)+1,1)</f>
        <v/>
      </c>
      <c r="BP5590">
        <f>IF(5577&lt;$U$9,MOD(5577,$U$8)+1,1)</f>
        <v/>
      </c>
      <c r="BQ5590">
        <f>IF(5577&lt;$U$9,SUMPRODUCT(($D$10:$L$10&lt;&gt;"")*(($D$9:$L$9+INT(($S$12:$AA$12+INDEX($AJ$13:$AR$162,BN5590,0)+INDEX($AT$13:$BB$162,BO5590,0)+INDEX($BD$13:$BL$162,BP5590,0))/100))&gt;=$D$10:$L$10)),0)</f>
        <v/>
      </c>
      <c r="BR5590">
        <f>IF(5577&lt;$U$9,SUMPRODUCT(($D$10:$L$10&lt;&gt;"")*(($D$10:$L$10-($D$9:$L$9+INT(($S$12:$AA$12+INDEX($AJ$13:$AR$162,BN5590,0)+INDEX($AT$13:$BB$162,BO5590,0)+INDEX($BD$13:$BL$162,BP5590,0))/100)))&gt;0)*($D$10:$L$10-($D$9:$L$9+INT(($S$12:$AA$12+INDEX($AJ$13:$AR$162,BN5590,0)+INDEX($AT$13:$BB$162,BO5590,0)+INDEX($BD$13:$BL$162,BP5590,0))/100)))),0)</f>
        <v/>
      </c>
      <c r="BS5590">
        <f>IF(5577&lt;$U$9,SUMPRODUCT(($D$9:$L$9+INT(($S$12:$AA$12+INDEX($AJ$13:$AR$162,BN5590,0)+INDEX($AT$13:$BB$162,BO5590,0)+INDEX($BD$13:$BL$162,BP5590,0))/100))),0)</f>
        <v/>
      </c>
      <c r="BT5590">
        <f>IF(AND(5577&lt;$U$9,$W$5),BQ5590*1000000-MIN(BR5590,999)*1000+BS5590-5577/100000,-1000000000-5577)</f>
        <v/>
      </c>
    </row>
    <row r="5591">
      <c r="BN5591">
        <f>IF(5578&lt;$U$9,INT(5578/($U$7*$U$8))+1,1)</f>
        <v/>
      </c>
      <c r="BO5591">
        <f>IF(5578&lt;$U$9,MOD(INT(5578/$U$8),$U$7)+1,1)</f>
        <v/>
      </c>
      <c r="BP5591">
        <f>IF(5578&lt;$U$9,MOD(5578,$U$8)+1,1)</f>
        <v/>
      </c>
      <c r="BQ5591">
        <f>IF(5578&lt;$U$9,SUMPRODUCT(($D$10:$L$10&lt;&gt;"")*(($D$9:$L$9+INT(($S$12:$AA$12+INDEX($AJ$13:$AR$162,BN5591,0)+INDEX($AT$13:$BB$162,BO5591,0)+INDEX($BD$13:$BL$162,BP5591,0))/100))&gt;=$D$10:$L$10)),0)</f>
        <v/>
      </c>
      <c r="BR5591">
        <f>IF(5578&lt;$U$9,SUMPRODUCT(($D$10:$L$10&lt;&gt;"")*(($D$10:$L$10-($D$9:$L$9+INT(($S$12:$AA$12+INDEX($AJ$13:$AR$162,BN5591,0)+INDEX($AT$13:$BB$162,BO5591,0)+INDEX($BD$13:$BL$162,BP5591,0))/100)))&gt;0)*($D$10:$L$10-($D$9:$L$9+INT(($S$12:$AA$12+INDEX($AJ$13:$AR$162,BN5591,0)+INDEX($AT$13:$BB$162,BO5591,0)+INDEX($BD$13:$BL$162,BP5591,0))/100)))),0)</f>
        <v/>
      </c>
      <c r="BS5591">
        <f>IF(5578&lt;$U$9,SUMPRODUCT(($D$9:$L$9+INT(($S$12:$AA$12+INDEX($AJ$13:$AR$162,BN5591,0)+INDEX($AT$13:$BB$162,BO5591,0)+INDEX($BD$13:$BL$162,BP5591,0))/100))),0)</f>
        <v/>
      </c>
      <c r="BT5591">
        <f>IF(AND(5578&lt;$U$9,$W$5),BQ5591*1000000-MIN(BR5591,999)*1000+BS5591-5578/100000,-1000000000-5578)</f>
        <v/>
      </c>
    </row>
    <row r="5592">
      <c r="BN5592">
        <f>IF(5579&lt;$U$9,INT(5579/($U$7*$U$8))+1,1)</f>
        <v/>
      </c>
      <c r="BO5592">
        <f>IF(5579&lt;$U$9,MOD(INT(5579/$U$8),$U$7)+1,1)</f>
        <v/>
      </c>
      <c r="BP5592">
        <f>IF(5579&lt;$U$9,MOD(5579,$U$8)+1,1)</f>
        <v/>
      </c>
      <c r="BQ5592">
        <f>IF(5579&lt;$U$9,SUMPRODUCT(($D$10:$L$10&lt;&gt;"")*(($D$9:$L$9+INT(($S$12:$AA$12+INDEX($AJ$13:$AR$162,BN5592,0)+INDEX($AT$13:$BB$162,BO5592,0)+INDEX($BD$13:$BL$162,BP5592,0))/100))&gt;=$D$10:$L$10)),0)</f>
        <v/>
      </c>
      <c r="BR5592">
        <f>IF(5579&lt;$U$9,SUMPRODUCT(($D$10:$L$10&lt;&gt;"")*(($D$10:$L$10-($D$9:$L$9+INT(($S$12:$AA$12+INDEX($AJ$13:$AR$162,BN5592,0)+INDEX($AT$13:$BB$162,BO5592,0)+INDEX($BD$13:$BL$162,BP5592,0))/100)))&gt;0)*($D$10:$L$10-($D$9:$L$9+INT(($S$12:$AA$12+INDEX($AJ$13:$AR$162,BN5592,0)+INDEX($AT$13:$BB$162,BO5592,0)+INDEX($BD$13:$BL$162,BP5592,0))/100)))),0)</f>
        <v/>
      </c>
      <c r="BS5592">
        <f>IF(5579&lt;$U$9,SUMPRODUCT(($D$9:$L$9+INT(($S$12:$AA$12+INDEX($AJ$13:$AR$162,BN5592,0)+INDEX($AT$13:$BB$162,BO5592,0)+INDEX($BD$13:$BL$162,BP5592,0))/100))),0)</f>
        <v/>
      </c>
      <c r="BT5592">
        <f>IF(AND(5579&lt;$U$9,$W$5),BQ5592*1000000-MIN(BR5592,999)*1000+BS5592-5579/100000,-1000000000-5579)</f>
        <v/>
      </c>
    </row>
    <row r="5593">
      <c r="BN5593">
        <f>IF(5580&lt;$U$9,INT(5580/($U$7*$U$8))+1,1)</f>
        <v/>
      </c>
      <c r="BO5593">
        <f>IF(5580&lt;$U$9,MOD(INT(5580/$U$8),$U$7)+1,1)</f>
        <v/>
      </c>
      <c r="BP5593">
        <f>IF(5580&lt;$U$9,MOD(5580,$U$8)+1,1)</f>
        <v/>
      </c>
      <c r="BQ5593">
        <f>IF(5580&lt;$U$9,SUMPRODUCT(($D$10:$L$10&lt;&gt;"")*(($D$9:$L$9+INT(($S$12:$AA$12+INDEX($AJ$13:$AR$162,BN5593,0)+INDEX($AT$13:$BB$162,BO5593,0)+INDEX($BD$13:$BL$162,BP5593,0))/100))&gt;=$D$10:$L$10)),0)</f>
        <v/>
      </c>
      <c r="BR5593">
        <f>IF(5580&lt;$U$9,SUMPRODUCT(($D$10:$L$10&lt;&gt;"")*(($D$10:$L$10-($D$9:$L$9+INT(($S$12:$AA$12+INDEX($AJ$13:$AR$162,BN5593,0)+INDEX($AT$13:$BB$162,BO5593,0)+INDEX($BD$13:$BL$162,BP5593,0))/100)))&gt;0)*($D$10:$L$10-($D$9:$L$9+INT(($S$12:$AA$12+INDEX($AJ$13:$AR$162,BN5593,0)+INDEX($AT$13:$BB$162,BO5593,0)+INDEX($BD$13:$BL$162,BP5593,0))/100)))),0)</f>
        <v/>
      </c>
      <c r="BS5593">
        <f>IF(5580&lt;$U$9,SUMPRODUCT(($D$9:$L$9+INT(($S$12:$AA$12+INDEX($AJ$13:$AR$162,BN5593,0)+INDEX($AT$13:$BB$162,BO5593,0)+INDEX($BD$13:$BL$162,BP5593,0))/100))),0)</f>
        <v/>
      </c>
      <c r="BT5593">
        <f>IF(AND(5580&lt;$U$9,$W$5),BQ5593*1000000-MIN(BR5593,999)*1000+BS5593-5580/100000,-1000000000-5580)</f>
        <v/>
      </c>
    </row>
    <row r="5594">
      <c r="BN5594">
        <f>IF(5581&lt;$U$9,INT(5581/($U$7*$U$8))+1,1)</f>
        <v/>
      </c>
      <c r="BO5594">
        <f>IF(5581&lt;$U$9,MOD(INT(5581/$U$8),$U$7)+1,1)</f>
        <v/>
      </c>
      <c r="BP5594">
        <f>IF(5581&lt;$U$9,MOD(5581,$U$8)+1,1)</f>
        <v/>
      </c>
      <c r="BQ5594">
        <f>IF(5581&lt;$U$9,SUMPRODUCT(($D$10:$L$10&lt;&gt;"")*(($D$9:$L$9+INT(($S$12:$AA$12+INDEX($AJ$13:$AR$162,BN5594,0)+INDEX($AT$13:$BB$162,BO5594,0)+INDEX($BD$13:$BL$162,BP5594,0))/100))&gt;=$D$10:$L$10)),0)</f>
        <v/>
      </c>
      <c r="BR5594">
        <f>IF(5581&lt;$U$9,SUMPRODUCT(($D$10:$L$10&lt;&gt;"")*(($D$10:$L$10-($D$9:$L$9+INT(($S$12:$AA$12+INDEX($AJ$13:$AR$162,BN5594,0)+INDEX($AT$13:$BB$162,BO5594,0)+INDEX($BD$13:$BL$162,BP5594,0))/100)))&gt;0)*($D$10:$L$10-($D$9:$L$9+INT(($S$12:$AA$12+INDEX($AJ$13:$AR$162,BN5594,0)+INDEX($AT$13:$BB$162,BO5594,0)+INDEX($BD$13:$BL$162,BP5594,0))/100)))),0)</f>
        <v/>
      </c>
      <c r="BS5594">
        <f>IF(5581&lt;$U$9,SUMPRODUCT(($D$9:$L$9+INT(($S$12:$AA$12+INDEX($AJ$13:$AR$162,BN5594,0)+INDEX($AT$13:$BB$162,BO5594,0)+INDEX($BD$13:$BL$162,BP5594,0))/100))),0)</f>
        <v/>
      </c>
      <c r="BT5594">
        <f>IF(AND(5581&lt;$U$9,$W$5),BQ5594*1000000-MIN(BR5594,999)*1000+BS5594-5581/100000,-1000000000-5581)</f>
        <v/>
      </c>
    </row>
    <row r="5595">
      <c r="BN5595">
        <f>IF(5582&lt;$U$9,INT(5582/($U$7*$U$8))+1,1)</f>
        <v/>
      </c>
      <c r="BO5595">
        <f>IF(5582&lt;$U$9,MOD(INT(5582/$U$8),$U$7)+1,1)</f>
        <v/>
      </c>
      <c r="BP5595">
        <f>IF(5582&lt;$U$9,MOD(5582,$U$8)+1,1)</f>
        <v/>
      </c>
      <c r="BQ5595">
        <f>IF(5582&lt;$U$9,SUMPRODUCT(($D$10:$L$10&lt;&gt;"")*(($D$9:$L$9+INT(($S$12:$AA$12+INDEX($AJ$13:$AR$162,BN5595,0)+INDEX($AT$13:$BB$162,BO5595,0)+INDEX($BD$13:$BL$162,BP5595,0))/100))&gt;=$D$10:$L$10)),0)</f>
        <v/>
      </c>
      <c r="BR5595">
        <f>IF(5582&lt;$U$9,SUMPRODUCT(($D$10:$L$10&lt;&gt;"")*(($D$10:$L$10-($D$9:$L$9+INT(($S$12:$AA$12+INDEX($AJ$13:$AR$162,BN5595,0)+INDEX($AT$13:$BB$162,BO5595,0)+INDEX($BD$13:$BL$162,BP5595,0))/100)))&gt;0)*($D$10:$L$10-($D$9:$L$9+INT(($S$12:$AA$12+INDEX($AJ$13:$AR$162,BN5595,0)+INDEX($AT$13:$BB$162,BO5595,0)+INDEX($BD$13:$BL$162,BP5595,0))/100)))),0)</f>
        <v/>
      </c>
      <c r="BS5595">
        <f>IF(5582&lt;$U$9,SUMPRODUCT(($D$9:$L$9+INT(($S$12:$AA$12+INDEX($AJ$13:$AR$162,BN5595,0)+INDEX($AT$13:$BB$162,BO5595,0)+INDEX($BD$13:$BL$162,BP5595,0))/100))),0)</f>
        <v/>
      </c>
      <c r="BT5595">
        <f>IF(AND(5582&lt;$U$9,$W$5),BQ5595*1000000-MIN(BR5595,999)*1000+BS5595-5582/100000,-1000000000-5582)</f>
        <v/>
      </c>
    </row>
    <row r="5596">
      <c r="BN5596">
        <f>IF(5583&lt;$U$9,INT(5583/($U$7*$U$8))+1,1)</f>
        <v/>
      </c>
      <c r="BO5596">
        <f>IF(5583&lt;$U$9,MOD(INT(5583/$U$8),$U$7)+1,1)</f>
        <v/>
      </c>
      <c r="BP5596">
        <f>IF(5583&lt;$U$9,MOD(5583,$U$8)+1,1)</f>
        <v/>
      </c>
      <c r="BQ5596">
        <f>IF(5583&lt;$U$9,SUMPRODUCT(($D$10:$L$10&lt;&gt;"")*(($D$9:$L$9+INT(($S$12:$AA$12+INDEX($AJ$13:$AR$162,BN5596,0)+INDEX($AT$13:$BB$162,BO5596,0)+INDEX($BD$13:$BL$162,BP5596,0))/100))&gt;=$D$10:$L$10)),0)</f>
        <v/>
      </c>
      <c r="BR5596">
        <f>IF(5583&lt;$U$9,SUMPRODUCT(($D$10:$L$10&lt;&gt;"")*(($D$10:$L$10-($D$9:$L$9+INT(($S$12:$AA$12+INDEX($AJ$13:$AR$162,BN5596,0)+INDEX($AT$13:$BB$162,BO5596,0)+INDEX($BD$13:$BL$162,BP5596,0))/100)))&gt;0)*($D$10:$L$10-($D$9:$L$9+INT(($S$12:$AA$12+INDEX($AJ$13:$AR$162,BN5596,0)+INDEX($AT$13:$BB$162,BO5596,0)+INDEX($BD$13:$BL$162,BP5596,0))/100)))),0)</f>
        <v/>
      </c>
      <c r="BS5596">
        <f>IF(5583&lt;$U$9,SUMPRODUCT(($D$9:$L$9+INT(($S$12:$AA$12+INDEX($AJ$13:$AR$162,BN5596,0)+INDEX($AT$13:$BB$162,BO5596,0)+INDEX($BD$13:$BL$162,BP5596,0))/100))),0)</f>
        <v/>
      </c>
      <c r="BT5596">
        <f>IF(AND(5583&lt;$U$9,$W$5),BQ5596*1000000-MIN(BR5596,999)*1000+BS5596-5583/100000,-1000000000-5583)</f>
        <v/>
      </c>
    </row>
    <row r="5597">
      <c r="BN5597">
        <f>IF(5584&lt;$U$9,INT(5584/($U$7*$U$8))+1,1)</f>
        <v/>
      </c>
      <c r="BO5597">
        <f>IF(5584&lt;$U$9,MOD(INT(5584/$U$8),$U$7)+1,1)</f>
        <v/>
      </c>
      <c r="BP5597">
        <f>IF(5584&lt;$U$9,MOD(5584,$U$8)+1,1)</f>
        <v/>
      </c>
      <c r="BQ5597">
        <f>IF(5584&lt;$U$9,SUMPRODUCT(($D$10:$L$10&lt;&gt;"")*(($D$9:$L$9+INT(($S$12:$AA$12+INDEX($AJ$13:$AR$162,BN5597,0)+INDEX($AT$13:$BB$162,BO5597,0)+INDEX($BD$13:$BL$162,BP5597,0))/100))&gt;=$D$10:$L$10)),0)</f>
        <v/>
      </c>
      <c r="BR5597">
        <f>IF(5584&lt;$U$9,SUMPRODUCT(($D$10:$L$10&lt;&gt;"")*(($D$10:$L$10-($D$9:$L$9+INT(($S$12:$AA$12+INDEX($AJ$13:$AR$162,BN5597,0)+INDEX($AT$13:$BB$162,BO5597,0)+INDEX($BD$13:$BL$162,BP5597,0))/100)))&gt;0)*($D$10:$L$10-($D$9:$L$9+INT(($S$12:$AA$12+INDEX($AJ$13:$AR$162,BN5597,0)+INDEX($AT$13:$BB$162,BO5597,0)+INDEX($BD$13:$BL$162,BP5597,0))/100)))),0)</f>
        <v/>
      </c>
      <c r="BS5597">
        <f>IF(5584&lt;$U$9,SUMPRODUCT(($D$9:$L$9+INT(($S$12:$AA$12+INDEX($AJ$13:$AR$162,BN5597,0)+INDEX($AT$13:$BB$162,BO5597,0)+INDEX($BD$13:$BL$162,BP5597,0))/100))),0)</f>
        <v/>
      </c>
      <c r="BT5597">
        <f>IF(AND(5584&lt;$U$9,$W$5),BQ5597*1000000-MIN(BR5597,999)*1000+BS5597-5584/100000,-1000000000-5584)</f>
        <v/>
      </c>
    </row>
    <row r="5598">
      <c r="BN5598">
        <f>IF(5585&lt;$U$9,INT(5585/($U$7*$U$8))+1,1)</f>
        <v/>
      </c>
      <c r="BO5598">
        <f>IF(5585&lt;$U$9,MOD(INT(5585/$U$8),$U$7)+1,1)</f>
        <v/>
      </c>
      <c r="BP5598">
        <f>IF(5585&lt;$U$9,MOD(5585,$U$8)+1,1)</f>
        <v/>
      </c>
      <c r="BQ5598">
        <f>IF(5585&lt;$U$9,SUMPRODUCT(($D$10:$L$10&lt;&gt;"")*(($D$9:$L$9+INT(($S$12:$AA$12+INDEX($AJ$13:$AR$162,BN5598,0)+INDEX($AT$13:$BB$162,BO5598,0)+INDEX($BD$13:$BL$162,BP5598,0))/100))&gt;=$D$10:$L$10)),0)</f>
        <v/>
      </c>
      <c r="BR5598">
        <f>IF(5585&lt;$U$9,SUMPRODUCT(($D$10:$L$10&lt;&gt;"")*(($D$10:$L$10-($D$9:$L$9+INT(($S$12:$AA$12+INDEX($AJ$13:$AR$162,BN5598,0)+INDEX($AT$13:$BB$162,BO5598,0)+INDEX($BD$13:$BL$162,BP5598,0))/100)))&gt;0)*($D$10:$L$10-($D$9:$L$9+INT(($S$12:$AA$12+INDEX($AJ$13:$AR$162,BN5598,0)+INDEX($AT$13:$BB$162,BO5598,0)+INDEX($BD$13:$BL$162,BP5598,0))/100)))),0)</f>
        <v/>
      </c>
      <c r="BS5598">
        <f>IF(5585&lt;$U$9,SUMPRODUCT(($D$9:$L$9+INT(($S$12:$AA$12+INDEX($AJ$13:$AR$162,BN5598,0)+INDEX($AT$13:$BB$162,BO5598,0)+INDEX($BD$13:$BL$162,BP5598,0))/100))),0)</f>
        <v/>
      </c>
      <c r="BT5598">
        <f>IF(AND(5585&lt;$U$9,$W$5),BQ5598*1000000-MIN(BR5598,999)*1000+BS5598-5585/100000,-1000000000-5585)</f>
        <v/>
      </c>
    </row>
    <row r="5599">
      <c r="BN5599">
        <f>IF(5586&lt;$U$9,INT(5586/($U$7*$U$8))+1,1)</f>
        <v/>
      </c>
      <c r="BO5599">
        <f>IF(5586&lt;$U$9,MOD(INT(5586/$U$8),$U$7)+1,1)</f>
        <v/>
      </c>
      <c r="BP5599">
        <f>IF(5586&lt;$U$9,MOD(5586,$U$8)+1,1)</f>
        <v/>
      </c>
      <c r="BQ5599">
        <f>IF(5586&lt;$U$9,SUMPRODUCT(($D$10:$L$10&lt;&gt;"")*(($D$9:$L$9+INT(($S$12:$AA$12+INDEX($AJ$13:$AR$162,BN5599,0)+INDEX($AT$13:$BB$162,BO5599,0)+INDEX($BD$13:$BL$162,BP5599,0))/100))&gt;=$D$10:$L$10)),0)</f>
        <v/>
      </c>
      <c r="BR5599">
        <f>IF(5586&lt;$U$9,SUMPRODUCT(($D$10:$L$10&lt;&gt;"")*(($D$10:$L$10-($D$9:$L$9+INT(($S$12:$AA$12+INDEX($AJ$13:$AR$162,BN5599,0)+INDEX($AT$13:$BB$162,BO5599,0)+INDEX($BD$13:$BL$162,BP5599,0))/100)))&gt;0)*($D$10:$L$10-($D$9:$L$9+INT(($S$12:$AA$12+INDEX($AJ$13:$AR$162,BN5599,0)+INDEX($AT$13:$BB$162,BO5599,0)+INDEX($BD$13:$BL$162,BP5599,0))/100)))),0)</f>
        <v/>
      </c>
      <c r="BS5599">
        <f>IF(5586&lt;$U$9,SUMPRODUCT(($D$9:$L$9+INT(($S$12:$AA$12+INDEX($AJ$13:$AR$162,BN5599,0)+INDEX($AT$13:$BB$162,BO5599,0)+INDEX($BD$13:$BL$162,BP5599,0))/100))),0)</f>
        <v/>
      </c>
      <c r="BT5599">
        <f>IF(AND(5586&lt;$U$9,$W$5),BQ5599*1000000-MIN(BR5599,999)*1000+BS5599-5586/100000,-1000000000-5586)</f>
        <v/>
      </c>
    </row>
    <row r="5600">
      <c r="BN5600">
        <f>IF(5587&lt;$U$9,INT(5587/($U$7*$U$8))+1,1)</f>
        <v/>
      </c>
      <c r="BO5600">
        <f>IF(5587&lt;$U$9,MOD(INT(5587/$U$8),$U$7)+1,1)</f>
        <v/>
      </c>
      <c r="BP5600">
        <f>IF(5587&lt;$U$9,MOD(5587,$U$8)+1,1)</f>
        <v/>
      </c>
      <c r="BQ5600">
        <f>IF(5587&lt;$U$9,SUMPRODUCT(($D$10:$L$10&lt;&gt;"")*(($D$9:$L$9+INT(($S$12:$AA$12+INDEX($AJ$13:$AR$162,BN5600,0)+INDEX($AT$13:$BB$162,BO5600,0)+INDEX($BD$13:$BL$162,BP5600,0))/100))&gt;=$D$10:$L$10)),0)</f>
        <v/>
      </c>
      <c r="BR5600">
        <f>IF(5587&lt;$U$9,SUMPRODUCT(($D$10:$L$10&lt;&gt;"")*(($D$10:$L$10-($D$9:$L$9+INT(($S$12:$AA$12+INDEX($AJ$13:$AR$162,BN5600,0)+INDEX($AT$13:$BB$162,BO5600,0)+INDEX($BD$13:$BL$162,BP5600,0))/100)))&gt;0)*($D$10:$L$10-($D$9:$L$9+INT(($S$12:$AA$12+INDEX($AJ$13:$AR$162,BN5600,0)+INDEX($AT$13:$BB$162,BO5600,0)+INDEX($BD$13:$BL$162,BP5600,0))/100)))),0)</f>
        <v/>
      </c>
      <c r="BS5600">
        <f>IF(5587&lt;$U$9,SUMPRODUCT(($D$9:$L$9+INT(($S$12:$AA$12+INDEX($AJ$13:$AR$162,BN5600,0)+INDEX($AT$13:$BB$162,BO5600,0)+INDEX($BD$13:$BL$162,BP5600,0))/100))),0)</f>
        <v/>
      </c>
      <c r="BT5600">
        <f>IF(AND(5587&lt;$U$9,$W$5),BQ5600*1000000-MIN(BR5600,999)*1000+BS5600-5587/100000,-1000000000-5587)</f>
        <v/>
      </c>
    </row>
    <row r="5601">
      <c r="BN5601">
        <f>IF(5588&lt;$U$9,INT(5588/($U$7*$U$8))+1,1)</f>
        <v/>
      </c>
      <c r="BO5601">
        <f>IF(5588&lt;$U$9,MOD(INT(5588/$U$8),$U$7)+1,1)</f>
        <v/>
      </c>
      <c r="BP5601">
        <f>IF(5588&lt;$U$9,MOD(5588,$U$8)+1,1)</f>
        <v/>
      </c>
      <c r="BQ5601">
        <f>IF(5588&lt;$U$9,SUMPRODUCT(($D$10:$L$10&lt;&gt;"")*(($D$9:$L$9+INT(($S$12:$AA$12+INDEX($AJ$13:$AR$162,BN5601,0)+INDEX($AT$13:$BB$162,BO5601,0)+INDEX($BD$13:$BL$162,BP5601,0))/100))&gt;=$D$10:$L$10)),0)</f>
        <v/>
      </c>
      <c r="BR5601">
        <f>IF(5588&lt;$U$9,SUMPRODUCT(($D$10:$L$10&lt;&gt;"")*(($D$10:$L$10-($D$9:$L$9+INT(($S$12:$AA$12+INDEX($AJ$13:$AR$162,BN5601,0)+INDEX($AT$13:$BB$162,BO5601,0)+INDEX($BD$13:$BL$162,BP5601,0))/100)))&gt;0)*($D$10:$L$10-($D$9:$L$9+INT(($S$12:$AA$12+INDEX($AJ$13:$AR$162,BN5601,0)+INDEX($AT$13:$BB$162,BO5601,0)+INDEX($BD$13:$BL$162,BP5601,0))/100)))),0)</f>
        <v/>
      </c>
      <c r="BS5601">
        <f>IF(5588&lt;$U$9,SUMPRODUCT(($D$9:$L$9+INT(($S$12:$AA$12+INDEX($AJ$13:$AR$162,BN5601,0)+INDEX($AT$13:$BB$162,BO5601,0)+INDEX($BD$13:$BL$162,BP5601,0))/100))),0)</f>
        <v/>
      </c>
      <c r="BT5601">
        <f>IF(AND(5588&lt;$U$9,$W$5),BQ5601*1000000-MIN(BR5601,999)*1000+BS5601-5588/100000,-1000000000-5588)</f>
        <v/>
      </c>
    </row>
    <row r="5602">
      <c r="BN5602">
        <f>IF(5589&lt;$U$9,INT(5589/($U$7*$U$8))+1,1)</f>
        <v/>
      </c>
      <c r="BO5602">
        <f>IF(5589&lt;$U$9,MOD(INT(5589/$U$8),$U$7)+1,1)</f>
        <v/>
      </c>
      <c r="BP5602">
        <f>IF(5589&lt;$U$9,MOD(5589,$U$8)+1,1)</f>
        <v/>
      </c>
      <c r="BQ5602">
        <f>IF(5589&lt;$U$9,SUMPRODUCT(($D$10:$L$10&lt;&gt;"")*(($D$9:$L$9+INT(($S$12:$AA$12+INDEX($AJ$13:$AR$162,BN5602,0)+INDEX($AT$13:$BB$162,BO5602,0)+INDEX($BD$13:$BL$162,BP5602,0))/100))&gt;=$D$10:$L$10)),0)</f>
        <v/>
      </c>
      <c r="BR5602">
        <f>IF(5589&lt;$U$9,SUMPRODUCT(($D$10:$L$10&lt;&gt;"")*(($D$10:$L$10-($D$9:$L$9+INT(($S$12:$AA$12+INDEX($AJ$13:$AR$162,BN5602,0)+INDEX($AT$13:$BB$162,BO5602,0)+INDEX($BD$13:$BL$162,BP5602,0))/100)))&gt;0)*($D$10:$L$10-($D$9:$L$9+INT(($S$12:$AA$12+INDEX($AJ$13:$AR$162,BN5602,0)+INDEX($AT$13:$BB$162,BO5602,0)+INDEX($BD$13:$BL$162,BP5602,0))/100)))),0)</f>
        <v/>
      </c>
      <c r="BS5602">
        <f>IF(5589&lt;$U$9,SUMPRODUCT(($D$9:$L$9+INT(($S$12:$AA$12+INDEX($AJ$13:$AR$162,BN5602,0)+INDEX($AT$13:$BB$162,BO5602,0)+INDEX($BD$13:$BL$162,BP5602,0))/100))),0)</f>
        <v/>
      </c>
      <c r="BT5602">
        <f>IF(AND(5589&lt;$U$9,$W$5),BQ5602*1000000-MIN(BR5602,999)*1000+BS5602-5589/100000,-1000000000-5589)</f>
        <v/>
      </c>
    </row>
    <row r="5603">
      <c r="BN5603">
        <f>IF(5590&lt;$U$9,INT(5590/($U$7*$U$8))+1,1)</f>
        <v/>
      </c>
      <c r="BO5603">
        <f>IF(5590&lt;$U$9,MOD(INT(5590/$U$8),$U$7)+1,1)</f>
        <v/>
      </c>
      <c r="BP5603">
        <f>IF(5590&lt;$U$9,MOD(5590,$U$8)+1,1)</f>
        <v/>
      </c>
      <c r="BQ5603">
        <f>IF(5590&lt;$U$9,SUMPRODUCT(($D$10:$L$10&lt;&gt;"")*(($D$9:$L$9+INT(($S$12:$AA$12+INDEX($AJ$13:$AR$162,BN5603,0)+INDEX($AT$13:$BB$162,BO5603,0)+INDEX($BD$13:$BL$162,BP5603,0))/100))&gt;=$D$10:$L$10)),0)</f>
        <v/>
      </c>
      <c r="BR5603">
        <f>IF(5590&lt;$U$9,SUMPRODUCT(($D$10:$L$10&lt;&gt;"")*(($D$10:$L$10-($D$9:$L$9+INT(($S$12:$AA$12+INDEX($AJ$13:$AR$162,BN5603,0)+INDEX($AT$13:$BB$162,BO5603,0)+INDEX($BD$13:$BL$162,BP5603,0))/100)))&gt;0)*($D$10:$L$10-($D$9:$L$9+INT(($S$12:$AA$12+INDEX($AJ$13:$AR$162,BN5603,0)+INDEX($AT$13:$BB$162,BO5603,0)+INDEX($BD$13:$BL$162,BP5603,0))/100)))),0)</f>
        <v/>
      </c>
      <c r="BS5603">
        <f>IF(5590&lt;$U$9,SUMPRODUCT(($D$9:$L$9+INT(($S$12:$AA$12+INDEX($AJ$13:$AR$162,BN5603,0)+INDEX($AT$13:$BB$162,BO5603,0)+INDEX($BD$13:$BL$162,BP5603,0))/100))),0)</f>
        <v/>
      </c>
      <c r="BT5603">
        <f>IF(AND(5590&lt;$U$9,$W$5),BQ5603*1000000-MIN(BR5603,999)*1000+BS5603-5590/100000,-1000000000-5590)</f>
        <v/>
      </c>
    </row>
    <row r="5604">
      <c r="BN5604">
        <f>IF(5591&lt;$U$9,INT(5591/($U$7*$U$8))+1,1)</f>
        <v/>
      </c>
      <c r="BO5604">
        <f>IF(5591&lt;$U$9,MOD(INT(5591/$U$8),$U$7)+1,1)</f>
        <v/>
      </c>
      <c r="BP5604">
        <f>IF(5591&lt;$U$9,MOD(5591,$U$8)+1,1)</f>
        <v/>
      </c>
      <c r="BQ5604">
        <f>IF(5591&lt;$U$9,SUMPRODUCT(($D$10:$L$10&lt;&gt;"")*(($D$9:$L$9+INT(($S$12:$AA$12+INDEX($AJ$13:$AR$162,BN5604,0)+INDEX($AT$13:$BB$162,BO5604,0)+INDEX($BD$13:$BL$162,BP5604,0))/100))&gt;=$D$10:$L$10)),0)</f>
        <v/>
      </c>
      <c r="BR5604">
        <f>IF(5591&lt;$U$9,SUMPRODUCT(($D$10:$L$10&lt;&gt;"")*(($D$10:$L$10-($D$9:$L$9+INT(($S$12:$AA$12+INDEX($AJ$13:$AR$162,BN5604,0)+INDEX($AT$13:$BB$162,BO5604,0)+INDEX($BD$13:$BL$162,BP5604,0))/100)))&gt;0)*($D$10:$L$10-($D$9:$L$9+INT(($S$12:$AA$12+INDEX($AJ$13:$AR$162,BN5604,0)+INDEX($AT$13:$BB$162,BO5604,0)+INDEX($BD$13:$BL$162,BP5604,0))/100)))),0)</f>
        <v/>
      </c>
      <c r="BS5604">
        <f>IF(5591&lt;$U$9,SUMPRODUCT(($D$9:$L$9+INT(($S$12:$AA$12+INDEX($AJ$13:$AR$162,BN5604,0)+INDEX($AT$13:$BB$162,BO5604,0)+INDEX($BD$13:$BL$162,BP5604,0))/100))),0)</f>
        <v/>
      </c>
      <c r="BT5604">
        <f>IF(AND(5591&lt;$U$9,$W$5),BQ5604*1000000-MIN(BR5604,999)*1000+BS5604-5591/100000,-1000000000-5591)</f>
        <v/>
      </c>
    </row>
    <row r="5605">
      <c r="BN5605">
        <f>IF(5592&lt;$U$9,INT(5592/($U$7*$U$8))+1,1)</f>
        <v/>
      </c>
      <c r="BO5605">
        <f>IF(5592&lt;$U$9,MOD(INT(5592/$U$8),$U$7)+1,1)</f>
        <v/>
      </c>
      <c r="BP5605">
        <f>IF(5592&lt;$U$9,MOD(5592,$U$8)+1,1)</f>
        <v/>
      </c>
      <c r="BQ5605">
        <f>IF(5592&lt;$U$9,SUMPRODUCT(($D$10:$L$10&lt;&gt;"")*(($D$9:$L$9+INT(($S$12:$AA$12+INDEX($AJ$13:$AR$162,BN5605,0)+INDEX($AT$13:$BB$162,BO5605,0)+INDEX($BD$13:$BL$162,BP5605,0))/100))&gt;=$D$10:$L$10)),0)</f>
        <v/>
      </c>
      <c r="BR5605">
        <f>IF(5592&lt;$U$9,SUMPRODUCT(($D$10:$L$10&lt;&gt;"")*(($D$10:$L$10-($D$9:$L$9+INT(($S$12:$AA$12+INDEX($AJ$13:$AR$162,BN5605,0)+INDEX($AT$13:$BB$162,BO5605,0)+INDEX($BD$13:$BL$162,BP5605,0))/100)))&gt;0)*($D$10:$L$10-($D$9:$L$9+INT(($S$12:$AA$12+INDEX($AJ$13:$AR$162,BN5605,0)+INDEX($AT$13:$BB$162,BO5605,0)+INDEX($BD$13:$BL$162,BP5605,0))/100)))),0)</f>
        <v/>
      </c>
      <c r="BS5605">
        <f>IF(5592&lt;$U$9,SUMPRODUCT(($D$9:$L$9+INT(($S$12:$AA$12+INDEX($AJ$13:$AR$162,BN5605,0)+INDEX($AT$13:$BB$162,BO5605,0)+INDEX($BD$13:$BL$162,BP5605,0))/100))),0)</f>
        <v/>
      </c>
      <c r="BT5605">
        <f>IF(AND(5592&lt;$U$9,$W$5),BQ5605*1000000-MIN(BR5605,999)*1000+BS5605-5592/100000,-1000000000-5592)</f>
        <v/>
      </c>
    </row>
    <row r="5606">
      <c r="BN5606">
        <f>IF(5593&lt;$U$9,INT(5593/($U$7*$U$8))+1,1)</f>
        <v/>
      </c>
      <c r="BO5606">
        <f>IF(5593&lt;$U$9,MOD(INT(5593/$U$8),$U$7)+1,1)</f>
        <v/>
      </c>
      <c r="BP5606">
        <f>IF(5593&lt;$U$9,MOD(5593,$U$8)+1,1)</f>
        <v/>
      </c>
      <c r="BQ5606">
        <f>IF(5593&lt;$U$9,SUMPRODUCT(($D$10:$L$10&lt;&gt;"")*(($D$9:$L$9+INT(($S$12:$AA$12+INDEX($AJ$13:$AR$162,BN5606,0)+INDEX($AT$13:$BB$162,BO5606,0)+INDEX($BD$13:$BL$162,BP5606,0))/100))&gt;=$D$10:$L$10)),0)</f>
        <v/>
      </c>
      <c r="BR5606">
        <f>IF(5593&lt;$U$9,SUMPRODUCT(($D$10:$L$10&lt;&gt;"")*(($D$10:$L$10-($D$9:$L$9+INT(($S$12:$AA$12+INDEX($AJ$13:$AR$162,BN5606,0)+INDEX($AT$13:$BB$162,BO5606,0)+INDEX($BD$13:$BL$162,BP5606,0))/100)))&gt;0)*($D$10:$L$10-($D$9:$L$9+INT(($S$12:$AA$12+INDEX($AJ$13:$AR$162,BN5606,0)+INDEX($AT$13:$BB$162,BO5606,0)+INDEX($BD$13:$BL$162,BP5606,0))/100)))),0)</f>
        <v/>
      </c>
      <c r="BS5606">
        <f>IF(5593&lt;$U$9,SUMPRODUCT(($D$9:$L$9+INT(($S$12:$AA$12+INDEX($AJ$13:$AR$162,BN5606,0)+INDEX($AT$13:$BB$162,BO5606,0)+INDEX($BD$13:$BL$162,BP5606,0))/100))),0)</f>
        <v/>
      </c>
      <c r="BT5606">
        <f>IF(AND(5593&lt;$U$9,$W$5),BQ5606*1000000-MIN(BR5606,999)*1000+BS5606-5593/100000,-1000000000-5593)</f>
        <v/>
      </c>
    </row>
    <row r="5607">
      <c r="BN5607">
        <f>IF(5594&lt;$U$9,INT(5594/($U$7*$U$8))+1,1)</f>
        <v/>
      </c>
      <c r="BO5607">
        <f>IF(5594&lt;$U$9,MOD(INT(5594/$U$8),$U$7)+1,1)</f>
        <v/>
      </c>
      <c r="BP5607">
        <f>IF(5594&lt;$U$9,MOD(5594,$U$8)+1,1)</f>
        <v/>
      </c>
      <c r="BQ5607">
        <f>IF(5594&lt;$U$9,SUMPRODUCT(($D$10:$L$10&lt;&gt;"")*(($D$9:$L$9+INT(($S$12:$AA$12+INDEX($AJ$13:$AR$162,BN5607,0)+INDEX($AT$13:$BB$162,BO5607,0)+INDEX($BD$13:$BL$162,BP5607,0))/100))&gt;=$D$10:$L$10)),0)</f>
        <v/>
      </c>
      <c r="BR5607">
        <f>IF(5594&lt;$U$9,SUMPRODUCT(($D$10:$L$10&lt;&gt;"")*(($D$10:$L$10-($D$9:$L$9+INT(($S$12:$AA$12+INDEX($AJ$13:$AR$162,BN5607,0)+INDEX($AT$13:$BB$162,BO5607,0)+INDEX($BD$13:$BL$162,BP5607,0))/100)))&gt;0)*($D$10:$L$10-($D$9:$L$9+INT(($S$12:$AA$12+INDEX($AJ$13:$AR$162,BN5607,0)+INDEX($AT$13:$BB$162,BO5607,0)+INDEX($BD$13:$BL$162,BP5607,0))/100)))),0)</f>
        <v/>
      </c>
      <c r="BS5607">
        <f>IF(5594&lt;$U$9,SUMPRODUCT(($D$9:$L$9+INT(($S$12:$AA$12+INDEX($AJ$13:$AR$162,BN5607,0)+INDEX($AT$13:$BB$162,BO5607,0)+INDEX($BD$13:$BL$162,BP5607,0))/100))),0)</f>
        <v/>
      </c>
      <c r="BT5607">
        <f>IF(AND(5594&lt;$U$9,$W$5),BQ5607*1000000-MIN(BR5607,999)*1000+BS5607-5594/100000,-1000000000-5594)</f>
        <v/>
      </c>
    </row>
    <row r="5608">
      <c r="BN5608">
        <f>IF(5595&lt;$U$9,INT(5595/($U$7*$U$8))+1,1)</f>
        <v/>
      </c>
      <c r="BO5608">
        <f>IF(5595&lt;$U$9,MOD(INT(5595/$U$8),$U$7)+1,1)</f>
        <v/>
      </c>
      <c r="BP5608">
        <f>IF(5595&lt;$U$9,MOD(5595,$U$8)+1,1)</f>
        <v/>
      </c>
      <c r="BQ5608">
        <f>IF(5595&lt;$U$9,SUMPRODUCT(($D$10:$L$10&lt;&gt;"")*(($D$9:$L$9+INT(($S$12:$AA$12+INDEX($AJ$13:$AR$162,BN5608,0)+INDEX($AT$13:$BB$162,BO5608,0)+INDEX($BD$13:$BL$162,BP5608,0))/100))&gt;=$D$10:$L$10)),0)</f>
        <v/>
      </c>
      <c r="BR5608">
        <f>IF(5595&lt;$U$9,SUMPRODUCT(($D$10:$L$10&lt;&gt;"")*(($D$10:$L$10-($D$9:$L$9+INT(($S$12:$AA$12+INDEX($AJ$13:$AR$162,BN5608,0)+INDEX($AT$13:$BB$162,BO5608,0)+INDEX($BD$13:$BL$162,BP5608,0))/100)))&gt;0)*($D$10:$L$10-($D$9:$L$9+INT(($S$12:$AA$12+INDEX($AJ$13:$AR$162,BN5608,0)+INDEX($AT$13:$BB$162,BO5608,0)+INDEX($BD$13:$BL$162,BP5608,0))/100)))),0)</f>
        <v/>
      </c>
      <c r="BS5608">
        <f>IF(5595&lt;$U$9,SUMPRODUCT(($D$9:$L$9+INT(($S$12:$AA$12+INDEX($AJ$13:$AR$162,BN5608,0)+INDEX($AT$13:$BB$162,BO5608,0)+INDEX($BD$13:$BL$162,BP5608,0))/100))),0)</f>
        <v/>
      </c>
      <c r="BT5608">
        <f>IF(AND(5595&lt;$U$9,$W$5),BQ5608*1000000-MIN(BR5608,999)*1000+BS5608-5595/100000,-1000000000-5595)</f>
        <v/>
      </c>
    </row>
    <row r="5609">
      <c r="BN5609">
        <f>IF(5596&lt;$U$9,INT(5596/($U$7*$U$8))+1,1)</f>
        <v/>
      </c>
      <c r="BO5609">
        <f>IF(5596&lt;$U$9,MOD(INT(5596/$U$8),$U$7)+1,1)</f>
        <v/>
      </c>
      <c r="BP5609">
        <f>IF(5596&lt;$U$9,MOD(5596,$U$8)+1,1)</f>
        <v/>
      </c>
      <c r="BQ5609">
        <f>IF(5596&lt;$U$9,SUMPRODUCT(($D$10:$L$10&lt;&gt;"")*(($D$9:$L$9+INT(($S$12:$AA$12+INDEX($AJ$13:$AR$162,BN5609,0)+INDEX($AT$13:$BB$162,BO5609,0)+INDEX($BD$13:$BL$162,BP5609,0))/100))&gt;=$D$10:$L$10)),0)</f>
        <v/>
      </c>
      <c r="BR5609">
        <f>IF(5596&lt;$U$9,SUMPRODUCT(($D$10:$L$10&lt;&gt;"")*(($D$10:$L$10-($D$9:$L$9+INT(($S$12:$AA$12+INDEX($AJ$13:$AR$162,BN5609,0)+INDEX($AT$13:$BB$162,BO5609,0)+INDEX($BD$13:$BL$162,BP5609,0))/100)))&gt;0)*($D$10:$L$10-($D$9:$L$9+INT(($S$12:$AA$12+INDEX($AJ$13:$AR$162,BN5609,0)+INDEX($AT$13:$BB$162,BO5609,0)+INDEX($BD$13:$BL$162,BP5609,0))/100)))),0)</f>
        <v/>
      </c>
      <c r="BS5609">
        <f>IF(5596&lt;$U$9,SUMPRODUCT(($D$9:$L$9+INT(($S$12:$AA$12+INDEX($AJ$13:$AR$162,BN5609,0)+INDEX($AT$13:$BB$162,BO5609,0)+INDEX($BD$13:$BL$162,BP5609,0))/100))),0)</f>
        <v/>
      </c>
      <c r="BT5609">
        <f>IF(AND(5596&lt;$U$9,$W$5),BQ5609*1000000-MIN(BR5609,999)*1000+BS5609-5596/100000,-1000000000-5596)</f>
        <v/>
      </c>
    </row>
    <row r="5610">
      <c r="BN5610">
        <f>IF(5597&lt;$U$9,INT(5597/($U$7*$U$8))+1,1)</f>
        <v/>
      </c>
      <c r="BO5610">
        <f>IF(5597&lt;$U$9,MOD(INT(5597/$U$8),$U$7)+1,1)</f>
        <v/>
      </c>
      <c r="BP5610">
        <f>IF(5597&lt;$U$9,MOD(5597,$U$8)+1,1)</f>
        <v/>
      </c>
      <c r="BQ5610">
        <f>IF(5597&lt;$U$9,SUMPRODUCT(($D$10:$L$10&lt;&gt;"")*(($D$9:$L$9+INT(($S$12:$AA$12+INDEX($AJ$13:$AR$162,BN5610,0)+INDEX($AT$13:$BB$162,BO5610,0)+INDEX($BD$13:$BL$162,BP5610,0))/100))&gt;=$D$10:$L$10)),0)</f>
        <v/>
      </c>
      <c r="BR5610">
        <f>IF(5597&lt;$U$9,SUMPRODUCT(($D$10:$L$10&lt;&gt;"")*(($D$10:$L$10-($D$9:$L$9+INT(($S$12:$AA$12+INDEX($AJ$13:$AR$162,BN5610,0)+INDEX($AT$13:$BB$162,BO5610,0)+INDEX($BD$13:$BL$162,BP5610,0))/100)))&gt;0)*($D$10:$L$10-($D$9:$L$9+INT(($S$12:$AA$12+INDEX($AJ$13:$AR$162,BN5610,0)+INDEX($AT$13:$BB$162,BO5610,0)+INDEX($BD$13:$BL$162,BP5610,0))/100)))),0)</f>
        <v/>
      </c>
      <c r="BS5610">
        <f>IF(5597&lt;$U$9,SUMPRODUCT(($D$9:$L$9+INT(($S$12:$AA$12+INDEX($AJ$13:$AR$162,BN5610,0)+INDEX($AT$13:$BB$162,BO5610,0)+INDEX($BD$13:$BL$162,BP5610,0))/100))),0)</f>
        <v/>
      </c>
      <c r="BT5610">
        <f>IF(AND(5597&lt;$U$9,$W$5),BQ5610*1000000-MIN(BR5610,999)*1000+BS5610-5597/100000,-1000000000-5597)</f>
        <v/>
      </c>
    </row>
    <row r="5611">
      <c r="BN5611">
        <f>IF(5598&lt;$U$9,INT(5598/($U$7*$U$8))+1,1)</f>
        <v/>
      </c>
      <c r="BO5611">
        <f>IF(5598&lt;$U$9,MOD(INT(5598/$U$8),$U$7)+1,1)</f>
        <v/>
      </c>
      <c r="BP5611">
        <f>IF(5598&lt;$U$9,MOD(5598,$U$8)+1,1)</f>
        <v/>
      </c>
      <c r="BQ5611">
        <f>IF(5598&lt;$U$9,SUMPRODUCT(($D$10:$L$10&lt;&gt;"")*(($D$9:$L$9+INT(($S$12:$AA$12+INDEX($AJ$13:$AR$162,BN5611,0)+INDEX($AT$13:$BB$162,BO5611,0)+INDEX($BD$13:$BL$162,BP5611,0))/100))&gt;=$D$10:$L$10)),0)</f>
        <v/>
      </c>
      <c r="BR5611">
        <f>IF(5598&lt;$U$9,SUMPRODUCT(($D$10:$L$10&lt;&gt;"")*(($D$10:$L$10-($D$9:$L$9+INT(($S$12:$AA$12+INDEX($AJ$13:$AR$162,BN5611,0)+INDEX($AT$13:$BB$162,BO5611,0)+INDEX($BD$13:$BL$162,BP5611,0))/100)))&gt;0)*($D$10:$L$10-($D$9:$L$9+INT(($S$12:$AA$12+INDEX($AJ$13:$AR$162,BN5611,0)+INDEX($AT$13:$BB$162,BO5611,0)+INDEX($BD$13:$BL$162,BP5611,0))/100)))),0)</f>
        <v/>
      </c>
      <c r="BS5611">
        <f>IF(5598&lt;$U$9,SUMPRODUCT(($D$9:$L$9+INT(($S$12:$AA$12+INDEX($AJ$13:$AR$162,BN5611,0)+INDEX($AT$13:$BB$162,BO5611,0)+INDEX($BD$13:$BL$162,BP5611,0))/100))),0)</f>
        <v/>
      </c>
      <c r="BT5611">
        <f>IF(AND(5598&lt;$U$9,$W$5),BQ5611*1000000-MIN(BR5611,999)*1000+BS5611-5598/100000,-1000000000-5598)</f>
        <v/>
      </c>
    </row>
    <row r="5612">
      <c r="BN5612">
        <f>IF(5599&lt;$U$9,INT(5599/($U$7*$U$8))+1,1)</f>
        <v/>
      </c>
      <c r="BO5612">
        <f>IF(5599&lt;$U$9,MOD(INT(5599/$U$8),$U$7)+1,1)</f>
        <v/>
      </c>
      <c r="BP5612">
        <f>IF(5599&lt;$U$9,MOD(5599,$U$8)+1,1)</f>
        <v/>
      </c>
      <c r="BQ5612">
        <f>IF(5599&lt;$U$9,SUMPRODUCT(($D$10:$L$10&lt;&gt;"")*(($D$9:$L$9+INT(($S$12:$AA$12+INDEX($AJ$13:$AR$162,BN5612,0)+INDEX($AT$13:$BB$162,BO5612,0)+INDEX($BD$13:$BL$162,BP5612,0))/100))&gt;=$D$10:$L$10)),0)</f>
        <v/>
      </c>
      <c r="BR5612">
        <f>IF(5599&lt;$U$9,SUMPRODUCT(($D$10:$L$10&lt;&gt;"")*(($D$10:$L$10-($D$9:$L$9+INT(($S$12:$AA$12+INDEX($AJ$13:$AR$162,BN5612,0)+INDEX($AT$13:$BB$162,BO5612,0)+INDEX($BD$13:$BL$162,BP5612,0))/100)))&gt;0)*($D$10:$L$10-($D$9:$L$9+INT(($S$12:$AA$12+INDEX($AJ$13:$AR$162,BN5612,0)+INDEX($AT$13:$BB$162,BO5612,0)+INDEX($BD$13:$BL$162,BP5612,0))/100)))),0)</f>
        <v/>
      </c>
      <c r="BS5612">
        <f>IF(5599&lt;$U$9,SUMPRODUCT(($D$9:$L$9+INT(($S$12:$AA$12+INDEX($AJ$13:$AR$162,BN5612,0)+INDEX($AT$13:$BB$162,BO5612,0)+INDEX($BD$13:$BL$162,BP5612,0))/100))),0)</f>
        <v/>
      </c>
      <c r="BT5612">
        <f>IF(AND(5599&lt;$U$9,$W$5),BQ5612*1000000-MIN(BR5612,999)*1000+BS5612-5599/100000,-1000000000-5599)</f>
        <v/>
      </c>
    </row>
    <row r="5613">
      <c r="BN5613">
        <f>IF(5600&lt;$U$9,INT(5600/($U$7*$U$8))+1,1)</f>
        <v/>
      </c>
      <c r="BO5613">
        <f>IF(5600&lt;$U$9,MOD(INT(5600/$U$8),$U$7)+1,1)</f>
        <v/>
      </c>
      <c r="BP5613">
        <f>IF(5600&lt;$U$9,MOD(5600,$U$8)+1,1)</f>
        <v/>
      </c>
      <c r="BQ5613">
        <f>IF(5600&lt;$U$9,SUMPRODUCT(($D$10:$L$10&lt;&gt;"")*(($D$9:$L$9+INT(($S$12:$AA$12+INDEX($AJ$13:$AR$162,BN5613,0)+INDEX($AT$13:$BB$162,BO5613,0)+INDEX($BD$13:$BL$162,BP5613,0))/100))&gt;=$D$10:$L$10)),0)</f>
        <v/>
      </c>
      <c r="BR5613">
        <f>IF(5600&lt;$U$9,SUMPRODUCT(($D$10:$L$10&lt;&gt;"")*(($D$10:$L$10-($D$9:$L$9+INT(($S$12:$AA$12+INDEX($AJ$13:$AR$162,BN5613,0)+INDEX($AT$13:$BB$162,BO5613,0)+INDEX($BD$13:$BL$162,BP5613,0))/100)))&gt;0)*($D$10:$L$10-($D$9:$L$9+INT(($S$12:$AA$12+INDEX($AJ$13:$AR$162,BN5613,0)+INDEX($AT$13:$BB$162,BO5613,0)+INDEX($BD$13:$BL$162,BP5613,0))/100)))),0)</f>
        <v/>
      </c>
      <c r="BS5613">
        <f>IF(5600&lt;$U$9,SUMPRODUCT(($D$9:$L$9+INT(($S$12:$AA$12+INDEX($AJ$13:$AR$162,BN5613,0)+INDEX($AT$13:$BB$162,BO5613,0)+INDEX($BD$13:$BL$162,BP5613,0))/100))),0)</f>
        <v/>
      </c>
      <c r="BT5613">
        <f>IF(AND(5600&lt;$U$9,$W$5),BQ5613*1000000-MIN(BR5613,999)*1000+BS5613-5600/100000,-1000000000-5600)</f>
        <v/>
      </c>
    </row>
    <row r="5614">
      <c r="BN5614">
        <f>IF(5601&lt;$U$9,INT(5601/($U$7*$U$8))+1,1)</f>
        <v/>
      </c>
      <c r="BO5614">
        <f>IF(5601&lt;$U$9,MOD(INT(5601/$U$8),$U$7)+1,1)</f>
        <v/>
      </c>
      <c r="BP5614">
        <f>IF(5601&lt;$U$9,MOD(5601,$U$8)+1,1)</f>
        <v/>
      </c>
      <c r="BQ5614">
        <f>IF(5601&lt;$U$9,SUMPRODUCT(($D$10:$L$10&lt;&gt;"")*(($D$9:$L$9+INT(($S$12:$AA$12+INDEX($AJ$13:$AR$162,BN5614,0)+INDEX($AT$13:$BB$162,BO5614,0)+INDEX($BD$13:$BL$162,BP5614,0))/100))&gt;=$D$10:$L$10)),0)</f>
        <v/>
      </c>
      <c r="BR5614">
        <f>IF(5601&lt;$U$9,SUMPRODUCT(($D$10:$L$10&lt;&gt;"")*(($D$10:$L$10-($D$9:$L$9+INT(($S$12:$AA$12+INDEX($AJ$13:$AR$162,BN5614,0)+INDEX($AT$13:$BB$162,BO5614,0)+INDEX($BD$13:$BL$162,BP5614,0))/100)))&gt;0)*($D$10:$L$10-($D$9:$L$9+INT(($S$12:$AA$12+INDEX($AJ$13:$AR$162,BN5614,0)+INDEX($AT$13:$BB$162,BO5614,0)+INDEX($BD$13:$BL$162,BP5614,0))/100)))),0)</f>
        <v/>
      </c>
      <c r="BS5614">
        <f>IF(5601&lt;$U$9,SUMPRODUCT(($D$9:$L$9+INT(($S$12:$AA$12+INDEX($AJ$13:$AR$162,BN5614,0)+INDEX($AT$13:$BB$162,BO5614,0)+INDEX($BD$13:$BL$162,BP5614,0))/100))),0)</f>
        <v/>
      </c>
      <c r="BT5614">
        <f>IF(AND(5601&lt;$U$9,$W$5),BQ5614*1000000-MIN(BR5614,999)*1000+BS5614-5601/100000,-1000000000-5601)</f>
        <v/>
      </c>
    </row>
    <row r="5615">
      <c r="BN5615">
        <f>IF(5602&lt;$U$9,INT(5602/($U$7*$U$8))+1,1)</f>
        <v/>
      </c>
      <c r="BO5615">
        <f>IF(5602&lt;$U$9,MOD(INT(5602/$U$8),$U$7)+1,1)</f>
        <v/>
      </c>
      <c r="BP5615">
        <f>IF(5602&lt;$U$9,MOD(5602,$U$8)+1,1)</f>
        <v/>
      </c>
      <c r="BQ5615">
        <f>IF(5602&lt;$U$9,SUMPRODUCT(($D$10:$L$10&lt;&gt;"")*(($D$9:$L$9+INT(($S$12:$AA$12+INDEX($AJ$13:$AR$162,BN5615,0)+INDEX($AT$13:$BB$162,BO5615,0)+INDEX($BD$13:$BL$162,BP5615,0))/100))&gt;=$D$10:$L$10)),0)</f>
        <v/>
      </c>
      <c r="BR5615">
        <f>IF(5602&lt;$U$9,SUMPRODUCT(($D$10:$L$10&lt;&gt;"")*(($D$10:$L$10-($D$9:$L$9+INT(($S$12:$AA$12+INDEX($AJ$13:$AR$162,BN5615,0)+INDEX($AT$13:$BB$162,BO5615,0)+INDEX($BD$13:$BL$162,BP5615,0))/100)))&gt;0)*($D$10:$L$10-($D$9:$L$9+INT(($S$12:$AA$12+INDEX($AJ$13:$AR$162,BN5615,0)+INDEX($AT$13:$BB$162,BO5615,0)+INDEX($BD$13:$BL$162,BP5615,0))/100)))),0)</f>
        <v/>
      </c>
      <c r="BS5615">
        <f>IF(5602&lt;$U$9,SUMPRODUCT(($D$9:$L$9+INT(($S$12:$AA$12+INDEX($AJ$13:$AR$162,BN5615,0)+INDEX($AT$13:$BB$162,BO5615,0)+INDEX($BD$13:$BL$162,BP5615,0))/100))),0)</f>
        <v/>
      </c>
      <c r="BT5615">
        <f>IF(AND(5602&lt;$U$9,$W$5),BQ5615*1000000-MIN(BR5615,999)*1000+BS5615-5602/100000,-1000000000-5602)</f>
        <v/>
      </c>
    </row>
    <row r="5616">
      <c r="BN5616">
        <f>IF(5603&lt;$U$9,INT(5603/($U$7*$U$8))+1,1)</f>
        <v/>
      </c>
      <c r="BO5616">
        <f>IF(5603&lt;$U$9,MOD(INT(5603/$U$8),$U$7)+1,1)</f>
        <v/>
      </c>
      <c r="BP5616">
        <f>IF(5603&lt;$U$9,MOD(5603,$U$8)+1,1)</f>
        <v/>
      </c>
      <c r="BQ5616">
        <f>IF(5603&lt;$U$9,SUMPRODUCT(($D$10:$L$10&lt;&gt;"")*(($D$9:$L$9+INT(($S$12:$AA$12+INDEX($AJ$13:$AR$162,BN5616,0)+INDEX($AT$13:$BB$162,BO5616,0)+INDEX($BD$13:$BL$162,BP5616,0))/100))&gt;=$D$10:$L$10)),0)</f>
        <v/>
      </c>
      <c r="BR5616">
        <f>IF(5603&lt;$U$9,SUMPRODUCT(($D$10:$L$10&lt;&gt;"")*(($D$10:$L$10-($D$9:$L$9+INT(($S$12:$AA$12+INDEX($AJ$13:$AR$162,BN5616,0)+INDEX($AT$13:$BB$162,BO5616,0)+INDEX($BD$13:$BL$162,BP5616,0))/100)))&gt;0)*($D$10:$L$10-($D$9:$L$9+INT(($S$12:$AA$12+INDEX($AJ$13:$AR$162,BN5616,0)+INDEX($AT$13:$BB$162,BO5616,0)+INDEX($BD$13:$BL$162,BP5616,0))/100)))),0)</f>
        <v/>
      </c>
      <c r="BS5616">
        <f>IF(5603&lt;$U$9,SUMPRODUCT(($D$9:$L$9+INT(($S$12:$AA$12+INDEX($AJ$13:$AR$162,BN5616,0)+INDEX($AT$13:$BB$162,BO5616,0)+INDEX($BD$13:$BL$162,BP5616,0))/100))),0)</f>
        <v/>
      </c>
      <c r="BT5616">
        <f>IF(AND(5603&lt;$U$9,$W$5),BQ5616*1000000-MIN(BR5616,999)*1000+BS5616-5603/100000,-1000000000-5603)</f>
        <v/>
      </c>
    </row>
    <row r="5617">
      <c r="BN5617">
        <f>IF(5604&lt;$U$9,INT(5604/($U$7*$U$8))+1,1)</f>
        <v/>
      </c>
      <c r="BO5617">
        <f>IF(5604&lt;$U$9,MOD(INT(5604/$U$8),$U$7)+1,1)</f>
        <v/>
      </c>
      <c r="BP5617">
        <f>IF(5604&lt;$U$9,MOD(5604,$U$8)+1,1)</f>
        <v/>
      </c>
      <c r="BQ5617">
        <f>IF(5604&lt;$U$9,SUMPRODUCT(($D$10:$L$10&lt;&gt;"")*(($D$9:$L$9+INT(($S$12:$AA$12+INDEX($AJ$13:$AR$162,BN5617,0)+INDEX($AT$13:$BB$162,BO5617,0)+INDEX($BD$13:$BL$162,BP5617,0))/100))&gt;=$D$10:$L$10)),0)</f>
        <v/>
      </c>
      <c r="BR5617">
        <f>IF(5604&lt;$U$9,SUMPRODUCT(($D$10:$L$10&lt;&gt;"")*(($D$10:$L$10-($D$9:$L$9+INT(($S$12:$AA$12+INDEX($AJ$13:$AR$162,BN5617,0)+INDEX($AT$13:$BB$162,BO5617,0)+INDEX($BD$13:$BL$162,BP5617,0))/100)))&gt;0)*($D$10:$L$10-($D$9:$L$9+INT(($S$12:$AA$12+INDEX($AJ$13:$AR$162,BN5617,0)+INDEX($AT$13:$BB$162,BO5617,0)+INDEX($BD$13:$BL$162,BP5617,0))/100)))),0)</f>
        <v/>
      </c>
      <c r="BS5617">
        <f>IF(5604&lt;$U$9,SUMPRODUCT(($D$9:$L$9+INT(($S$12:$AA$12+INDEX($AJ$13:$AR$162,BN5617,0)+INDEX($AT$13:$BB$162,BO5617,0)+INDEX($BD$13:$BL$162,BP5617,0))/100))),0)</f>
        <v/>
      </c>
      <c r="BT5617">
        <f>IF(AND(5604&lt;$U$9,$W$5),BQ5617*1000000-MIN(BR5617,999)*1000+BS5617-5604/100000,-1000000000-5604)</f>
        <v/>
      </c>
    </row>
    <row r="5618">
      <c r="BN5618">
        <f>IF(5605&lt;$U$9,INT(5605/($U$7*$U$8))+1,1)</f>
        <v/>
      </c>
      <c r="BO5618">
        <f>IF(5605&lt;$U$9,MOD(INT(5605/$U$8),$U$7)+1,1)</f>
        <v/>
      </c>
      <c r="BP5618">
        <f>IF(5605&lt;$U$9,MOD(5605,$U$8)+1,1)</f>
        <v/>
      </c>
      <c r="BQ5618">
        <f>IF(5605&lt;$U$9,SUMPRODUCT(($D$10:$L$10&lt;&gt;"")*(($D$9:$L$9+INT(($S$12:$AA$12+INDEX($AJ$13:$AR$162,BN5618,0)+INDEX($AT$13:$BB$162,BO5618,0)+INDEX($BD$13:$BL$162,BP5618,0))/100))&gt;=$D$10:$L$10)),0)</f>
        <v/>
      </c>
      <c r="BR5618">
        <f>IF(5605&lt;$U$9,SUMPRODUCT(($D$10:$L$10&lt;&gt;"")*(($D$10:$L$10-($D$9:$L$9+INT(($S$12:$AA$12+INDEX($AJ$13:$AR$162,BN5618,0)+INDEX($AT$13:$BB$162,BO5618,0)+INDEX($BD$13:$BL$162,BP5618,0))/100)))&gt;0)*($D$10:$L$10-($D$9:$L$9+INT(($S$12:$AA$12+INDEX($AJ$13:$AR$162,BN5618,0)+INDEX($AT$13:$BB$162,BO5618,0)+INDEX($BD$13:$BL$162,BP5618,0))/100)))),0)</f>
        <v/>
      </c>
      <c r="BS5618">
        <f>IF(5605&lt;$U$9,SUMPRODUCT(($D$9:$L$9+INT(($S$12:$AA$12+INDEX($AJ$13:$AR$162,BN5618,0)+INDEX($AT$13:$BB$162,BO5618,0)+INDEX($BD$13:$BL$162,BP5618,0))/100))),0)</f>
        <v/>
      </c>
      <c r="BT5618">
        <f>IF(AND(5605&lt;$U$9,$W$5),BQ5618*1000000-MIN(BR5618,999)*1000+BS5618-5605/100000,-1000000000-5605)</f>
        <v/>
      </c>
    </row>
    <row r="5619">
      <c r="BN5619">
        <f>IF(5606&lt;$U$9,INT(5606/($U$7*$U$8))+1,1)</f>
        <v/>
      </c>
      <c r="BO5619">
        <f>IF(5606&lt;$U$9,MOD(INT(5606/$U$8),$U$7)+1,1)</f>
        <v/>
      </c>
      <c r="BP5619">
        <f>IF(5606&lt;$U$9,MOD(5606,$U$8)+1,1)</f>
        <v/>
      </c>
      <c r="BQ5619">
        <f>IF(5606&lt;$U$9,SUMPRODUCT(($D$10:$L$10&lt;&gt;"")*(($D$9:$L$9+INT(($S$12:$AA$12+INDEX($AJ$13:$AR$162,BN5619,0)+INDEX($AT$13:$BB$162,BO5619,0)+INDEX($BD$13:$BL$162,BP5619,0))/100))&gt;=$D$10:$L$10)),0)</f>
        <v/>
      </c>
      <c r="BR5619">
        <f>IF(5606&lt;$U$9,SUMPRODUCT(($D$10:$L$10&lt;&gt;"")*(($D$10:$L$10-($D$9:$L$9+INT(($S$12:$AA$12+INDEX($AJ$13:$AR$162,BN5619,0)+INDEX($AT$13:$BB$162,BO5619,0)+INDEX($BD$13:$BL$162,BP5619,0))/100)))&gt;0)*($D$10:$L$10-($D$9:$L$9+INT(($S$12:$AA$12+INDEX($AJ$13:$AR$162,BN5619,0)+INDEX($AT$13:$BB$162,BO5619,0)+INDEX($BD$13:$BL$162,BP5619,0))/100)))),0)</f>
        <v/>
      </c>
      <c r="BS5619">
        <f>IF(5606&lt;$U$9,SUMPRODUCT(($D$9:$L$9+INT(($S$12:$AA$12+INDEX($AJ$13:$AR$162,BN5619,0)+INDEX($AT$13:$BB$162,BO5619,0)+INDEX($BD$13:$BL$162,BP5619,0))/100))),0)</f>
        <v/>
      </c>
      <c r="BT5619">
        <f>IF(AND(5606&lt;$U$9,$W$5),BQ5619*1000000-MIN(BR5619,999)*1000+BS5619-5606/100000,-1000000000-5606)</f>
        <v/>
      </c>
    </row>
    <row r="5620">
      <c r="BN5620">
        <f>IF(5607&lt;$U$9,INT(5607/($U$7*$U$8))+1,1)</f>
        <v/>
      </c>
      <c r="BO5620">
        <f>IF(5607&lt;$U$9,MOD(INT(5607/$U$8),$U$7)+1,1)</f>
        <v/>
      </c>
      <c r="BP5620">
        <f>IF(5607&lt;$U$9,MOD(5607,$U$8)+1,1)</f>
        <v/>
      </c>
      <c r="BQ5620">
        <f>IF(5607&lt;$U$9,SUMPRODUCT(($D$10:$L$10&lt;&gt;"")*(($D$9:$L$9+INT(($S$12:$AA$12+INDEX($AJ$13:$AR$162,BN5620,0)+INDEX($AT$13:$BB$162,BO5620,0)+INDEX($BD$13:$BL$162,BP5620,0))/100))&gt;=$D$10:$L$10)),0)</f>
        <v/>
      </c>
      <c r="BR5620">
        <f>IF(5607&lt;$U$9,SUMPRODUCT(($D$10:$L$10&lt;&gt;"")*(($D$10:$L$10-($D$9:$L$9+INT(($S$12:$AA$12+INDEX($AJ$13:$AR$162,BN5620,0)+INDEX($AT$13:$BB$162,BO5620,0)+INDEX($BD$13:$BL$162,BP5620,0))/100)))&gt;0)*($D$10:$L$10-($D$9:$L$9+INT(($S$12:$AA$12+INDEX($AJ$13:$AR$162,BN5620,0)+INDEX($AT$13:$BB$162,BO5620,0)+INDEX($BD$13:$BL$162,BP5620,0))/100)))),0)</f>
        <v/>
      </c>
      <c r="BS5620">
        <f>IF(5607&lt;$U$9,SUMPRODUCT(($D$9:$L$9+INT(($S$12:$AA$12+INDEX($AJ$13:$AR$162,BN5620,0)+INDEX($AT$13:$BB$162,BO5620,0)+INDEX($BD$13:$BL$162,BP5620,0))/100))),0)</f>
        <v/>
      </c>
      <c r="BT5620">
        <f>IF(AND(5607&lt;$U$9,$W$5),BQ5620*1000000-MIN(BR5620,999)*1000+BS5620-5607/100000,-1000000000-5607)</f>
        <v/>
      </c>
    </row>
    <row r="5621">
      <c r="BN5621">
        <f>IF(5608&lt;$U$9,INT(5608/($U$7*$U$8))+1,1)</f>
        <v/>
      </c>
      <c r="BO5621">
        <f>IF(5608&lt;$U$9,MOD(INT(5608/$U$8),$U$7)+1,1)</f>
        <v/>
      </c>
      <c r="BP5621">
        <f>IF(5608&lt;$U$9,MOD(5608,$U$8)+1,1)</f>
        <v/>
      </c>
      <c r="BQ5621">
        <f>IF(5608&lt;$U$9,SUMPRODUCT(($D$10:$L$10&lt;&gt;"")*(($D$9:$L$9+INT(($S$12:$AA$12+INDEX($AJ$13:$AR$162,BN5621,0)+INDEX($AT$13:$BB$162,BO5621,0)+INDEX($BD$13:$BL$162,BP5621,0))/100))&gt;=$D$10:$L$10)),0)</f>
        <v/>
      </c>
      <c r="BR5621">
        <f>IF(5608&lt;$U$9,SUMPRODUCT(($D$10:$L$10&lt;&gt;"")*(($D$10:$L$10-($D$9:$L$9+INT(($S$12:$AA$12+INDEX($AJ$13:$AR$162,BN5621,0)+INDEX($AT$13:$BB$162,BO5621,0)+INDEX($BD$13:$BL$162,BP5621,0))/100)))&gt;0)*($D$10:$L$10-($D$9:$L$9+INT(($S$12:$AA$12+INDEX($AJ$13:$AR$162,BN5621,0)+INDEX($AT$13:$BB$162,BO5621,0)+INDEX($BD$13:$BL$162,BP5621,0))/100)))),0)</f>
        <v/>
      </c>
      <c r="BS5621">
        <f>IF(5608&lt;$U$9,SUMPRODUCT(($D$9:$L$9+INT(($S$12:$AA$12+INDEX($AJ$13:$AR$162,BN5621,0)+INDEX($AT$13:$BB$162,BO5621,0)+INDEX($BD$13:$BL$162,BP5621,0))/100))),0)</f>
        <v/>
      </c>
      <c r="BT5621">
        <f>IF(AND(5608&lt;$U$9,$W$5),BQ5621*1000000-MIN(BR5621,999)*1000+BS5621-5608/100000,-1000000000-5608)</f>
        <v/>
      </c>
    </row>
    <row r="5622">
      <c r="BN5622">
        <f>IF(5609&lt;$U$9,INT(5609/($U$7*$U$8))+1,1)</f>
        <v/>
      </c>
      <c r="BO5622">
        <f>IF(5609&lt;$U$9,MOD(INT(5609/$U$8),$U$7)+1,1)</f>
        <v/>
      </c>
      <c r="BP5622">
        <f>IF(5609&lt;$U$9,MOD(5609,$U$8)+1,1)</f>
        <v/>
      </c>
      <c r="BQ5622">
        <f>IF(5609&lt;$U$9,SUMPRODUCT(($D$10:$L$10&lt;&gt;"")*(($D$9:$L$9+INT(($S$12:$AA$12+INDEX($AJ$13:$AR$162,BN5622,0)+INDEX($AT$13:$BB$162,BO5622,0)+INDEX($BD$13:$BL$162,BP5622,0))/100))&gt;=$D$10:$L$10)),0)</f>
        <v/>
      </c>
      <c r="BR5622">
        <f>IF(5609&lt;$U$9,SUMPRODUCT(($D$10:$L$10&lt;&gt;"")*(($D$10:$L$10-($D$9:$L$9+INT(($S$12:$AA$12+INDEX($AJ$13:$AR$162,BN5622,0)+INDEX($AT$13:$BB$162,BO5622,0)+INDEX($BD$13:$BL$162,BP5622,0))/100)))&gt;0)*($D$10:$L$10-($D$9:$L$9+INT(($S$12:$AA$12+INDEX($AJ$13:$AR$162,BN5622,0)+INDEX($AT$13:$BB$162,BO5622,0)+INDEX($BD$13:$BL$162,BP5622,0))/100)))),0)</f>
        <v/>
      </c>
      <c r="BS5622">
        <f>IF(5609&lt;$U$9,SUMPRODUCT(($D$9:$L$9+INT(($S$12:$AA$12+INDEX($AJ$13:$AR$162,BN5622,0)+INDEX($AT$13:$BB$162,BO5622,0)+INDEX($BD$13:$BL$162,BP5622,0))/100))),0)</f>
        <v/>
      </c>
      <c r="BT5622">
        <f>IF(AND(5609&lt;$U$9,$W$5),BQ5622*1000000-MIN(BR5622,999)*1000+BS5622-5609/100000,-1000000000-5609)</f>
        <v/>
      </c>
    </row>
    <row r="5623">
      <c r="BN5623">
        <f>IF(5610&lt;$U$9,INT(5610/($U$7*$U$8))+1,1)</f>
        <v/>
      </c>
      <c r="BO5623">
        <f>IF(5610&lt;$U$9,MOD(INT(5610/$U$8),$U$7)+1,1)</f>
        <v/>
      </c>
      <c r="BP5623">
        <f>IF(5610&lt;$U$9,MOD(5610,$U$8)+1,1)</f>
        <v/>
      </c>
      <c r="BQ5623">
        <f>IF(5610&lt;$U$9,SUMPRODUCT(($D$10:$L$10&lt;&gt;"")*(($D$9:$L$9+INT(($S$12:$AA$12+INDEX($AJ$13:$AR$162,BN5623,0)+INDEX($AT$13:$BB$162,BO5623,0)+INDEX($BD$13:$BL$162,BP5623,0))/100))&gt;=$D$10:$L$10)),0)</f>
        <v/>
      </c>
      <c r="BR5623">
        <f>IF(5610&lt;$U$9,SUMPRODUCT(($D$10:$L$10&lt;&gt;"")*(($D$10:$L$10-($D$9:$L$9+INT(($S$12:$AA$12+INDEX($AJ$13:$AR$162,BN5623,0)+INDEX($AT$13:$BB$162,BO5623,0)+INDEX($BD$13:$BL$162,BP5623,0))/100)))&gt;0)*($D$10:$L$10-($D$9:$L$9+INT(($S$12:$AA$12+INDEX($AJ$13:$AR$162,BN5623,0)+INDEX($AT$13:$BB$162,BO5623,0)+INDEX($BD$13:$BL$162,BP5623,0))/100)))),0)</f>
        <v/>
      </c>
      <c r="BS5623">
        <f>IF(5610&lt;$U$9,SUMPRODUCT(($D$9:$L$9+INT(($S$12:$AA$12+INDEX($AJ$13:$AR$162,BN5623,0)+INDEX($AT$13:$BB$162,BO5623,0)+INDEX($BD$13:$BL$162,BP5623,0))/100))),0)</f>
        <v/>
      </c>
      <c r="BT5623">
        <f>IF(AND(5610&lt;$U$9,$W$5),BQ5623*1000000-MIN(BR5623,999)*1000+BS5623-5610/100000,-1000000000-5610)</f>
        <v/>
      </c>
    </row>
    <row r="5624">
      <c r="BN5624">
        <f>IF(5611&lt;$U$9,INT(5611/($U$7*$U$8))+1,1)</f>
        <v/>
      </c>
      <c r="BO5624">
        <f>IF(5611&lt;$U$9,MOD(INT(5611/$U$8),$U$7)+1,1)</f>
        <v/>
      </c>
      <c r="BP5624">
        <f>IF(5611&lt;$U$9,MOD(5611,$U$8)+1,1)</f>
        <v/>
      </c>
      <c r="BQ5624">
        <f>IF(5611&lt;$U$9,SUMPRODUCT(($D$10:$L$10&lt;&gt;"")*(($D$9:$L$9+INT(($S$12:$AA$12+INDEX($AJ$13:$AR$162,BN5624,0)+INDEX($AT$13:$BB$162,BO5624,0)+INDEX($BD$13:$BL$162,BP5624,0))/100))&gt;=$D$10:$L$10)),0)</f>
        <v/>
      </c>
      <c r="BR5624">
        <f>IF(5611&lt;$U$9,SUMPRODUCT(($D$10:$L$10&lt;&gt;"")*(($D$10:$L$10-($D$9:$L$9+INT(($S$12:$AA$12+INDEX($AJ$13:$AR$162,BN5624,0)+INDEX($AT$13:$BB$162,BO5624,0)+INDEX($BD$13:$BL$162,BP5624,0))/100)))&gt;0)*($D$10:$L$10-($D$9:$L$9+INT(($S$12:$AA$12+INDEX($AJ$13:$AR$162,BN5624,0)+INDEX($AT$13:$BB$162,BO5624,0)+INDEX($BD$13:$BL$162,BP5624,0))/100)))),0)</f>
        <v/>
      </c>
      <c r="BS5624">
        <f>IF(5611&lt;$U$9,SUMPRODUCT(($D$9:$L$9+INT(($S$12:$AA$12+INDEX($AJ$13:$AR$162,BN5624,0)+INDEX($AT$13:$BB$162,BO5624,0)+INDEX($BD$13:$BL$162,BP5624,0))/100))),0)</f>
        <v/>
      </c>
      <c r="BT5624">
        <f>IF(AND(5611&lt;$U$9,$W$5),BQ5624*1000000-MIN(BR5624,999)*1000+BS5624-5611/100000,-1000000000-5611)</f>
        <v/>
      </c>
    </row>
    <row r="5625">
      <c r="BN5625">
        <f>IF(5612&lt;$U$9,INT(5612/($U$7*$U$8))+1,1)</f>
        <v/>
      </c>
      <c r="BO5625">
        <f>IF(5612&lt;$U$9,MOD(INT(5612/$U$8),$U$7)+1,1)</f>
        <v/>
      </c>
      <c r="BP5625">
        <f>IF(5612&lt;$U$9,MOD(5612,$U$8)+1,1)</f>
        <v/>
      </c>
      <c r="BQ5625">
        <f>IF(5612&lt;$U$9,SUMPRODUCT(($D$10:$L$10&lt;&gt;"")*(($D$9:$L$9+INT(($S$12:$AA$12+INDEX($AJ$13:$AR$162,BN5625,0)+INDEX($AT$13:$BB$162,BO5625,0)+INDEX($BD$13:$BL$162,BP5625,0))/100))&gt;=$D$10:$L$10)),0)</f>
        <v/>
      </c>
      <c r="BR5625">
        <f>IF(5612&lt;$U$9,SUMPRODUCT(($D$10:$L$10&lt;&gt;"")*(($D$10:$L$10-($D$9:$L$9+INT(($S$12:$AA$12+INDEX($AJ$13:$AR$162,BN5625,0)+INDEX($AT$13:$BB$162,BO5625,0)+INDEX($BD$13:$BL$162,BP5625,0))/100)))&gt;0)*($D$10:$L$10-($D$9:$L$9+INT(($S$12:$AA$12+INDEX($AJ$13:$AR$162,BN5625,0)+INDEX($AT$13:$BB$162,BO5625,0)+INDEX($BD$13:$BL$162,BP5625,0))/100)))),0)</f>
        <v/>
      </c>
      <c r="BS5625">
        <f>IF(5612&lt;$U$9,SUMPRODUCT(($D$9:$L$9+INT(($S$12:$AA$12+INDEX($AJ$13:$AR$162,BN5625,0)+INDEX($AT$13:$BB$162,BO5625,0)+INDEX($BD$13:$BL$162,BP5625,0))/100))),0)</f>
        <v/>
      </c>
      <c r="BT5625">
        <f>IF(AND(5612&lt;$U$9,$W$5),BQ5625*1000000-MIN(BR5625,999)*1000+BS5625-5612/100000,-1000000000-5612)</f>
        <v/>
      </c>
    </row>
    <row r="5626">
      <c r="BN5626">
        <f>IF(5613&lt;$U$9,INT(5613/($U$7*$U$8))+1,1)</f>
        <v/>
      </c>
      <c r="BO5626">
        <f>IF(5613&lt;$U$9,MOD(INT(5613/$U$8),$U$7)+1,1)</f>
        <v/>
      </c>
      <c r="BP5626">
        <f>IF(5613&lt;$U$9,MOD(5613,$U$8)+1,1)</f>
        <v/>
      </c>
      <c r="BQ5626">
        <f>IF(5613&lt;$U$9,SUMPRODUCT(($D$10:$L$10&lt;&gt;"")*(($D$9:$L$9+INT(($S$12:$AA$12+INDEX($AJ$13:$AR$162,BN5626,0)+INDEX($AT$13:$BB$162,BO5626,0)+INDEX($BD$13:$BL$162,BP5626,0))/100))&gt;=$D$10:$L$10)),0)</f>
        <v/>
      </c>
      <c r="BR5626">
        <f>IF(5613&lt;$U$9,SUMPRODUCT(($D$10:$L$10&lt;&gt;"")*(($D$10:$L$10-($D$9:$L$9+INT(($S$12:$AA$12+INDEX($AJ$13:$AR$162,BN5626,0)+INDEX($AT$13:$BB$162,BO5626,0)+INDEX($BD$13:$BL$162,BP5626,0))/100)))&gt;0)*($D$10:$L$10-($D$9:$L$9+INT(($S$12:$AA$12+INDEX($AJ$13:$AR$162,BN5626,0)+INDEX($AT$13:$BB$162,BO5626,0)+INDEX($BD$13:$BL$162,BP5626,0))/100)))),0)</f>
        <v/>
      </c>
      <c r="BS5626">
        <f>IF(5613&lt;$U$9,SUMPRODUCT(($D$9:$L$9+INT(($S$12:$AA$12+INDEX($AJ$13:$AR$162,BN5626,0)+INDEX($AT$13:$BB$162,BO5626,0)+INDEX($BD$13:$BL$162,BP5626,0))/100))),0)</f>
        <v/>
      </c>
      <c r="BT5626">
        <f>IF(AND(5613&lt;$U$9,$W$5),BQ5626*1000000-MIN(BR5626,999)*1000+BS5626-5613/100000,-1000000000-5613)</f>
        <v/>
      </c>
    </row>
    <row r="5627">
      <c r="BN5627">
        <f>IF(5614&lt;$U$9,INT(5614/($U$7*$U$8))+1,1)</f>
        <v/>
      </c>
      <c r="BO5627">
        <f>IF(5614&lt;$U$9,MOD(INT(5614/$U$8),$U$7)+1,1)</f>
        <v/>
      </c>
      <c r="BP5627">
        <f>IF(5614&lt;$U$9,MOD(5614,$U$8)+1,1)</f>
        <v/>
      </c>
      <c r="BQ5627">
        <f>IF(5614&lt;$U$9,SUMPRODUCT(($D$10:$L$10&lt;&gt;"")*(($D$9:$L$9+INT(($S$12:$AA$12+INDEX($AJ$13:$AR$162,BN5627,0)+INDEX($AT$13:$BB$162,BO5627,0)+INDEX($BD$13:$BL$162,BP5627,0))/100))&gt;=$D$10:$L$10)),0)</f>
        <v/>
      </c>
      <c r="BR5627">
        <f>IF(5614&lt;$U$9,SUMPRODUCT(($D$10:$L$10&lt;&gt;"")*(($D$10:$L$10-($D$9:$L$9+INT(($S$12:$AA$12+INDEX($AJ$13:$AR$162,BN5627,0)+INDEX($AT$13:$BB$162,BO5627,0)+INDEX($BD$13:$BL$162,BP5627,0))/100)))&gt;0)*($D$10:$L$10-($D$9:$L$9+INT(($S$12:$AA$12+INDEX($AJ$13:$AR$162,BN5627,0)+INDEX($AT$13:$BB$162,BO5627,0)+INDEX($BD$13:$BL$162,BP5627,0))/100)))),0)</f>
        <v/>
      </c>
      <c r="BS5627">
        <f>IF(5614&lt;$U$9,SUMPRODUCT(($D$9:$L$9+INT(($S$12:$AA$12+INDEX($AJ$13:$AR$162,BN5627,0)+INDEX($AT$13:$BB$162,BO5627,0)+INDEX($BD$13:$BL$162,BP5627,0))/100))),0)</f>
        <v/>
      </c>
      <c r="BT5627">
        <f>IF(AND(5614&lt;$U$9,$W$5),BQ5627*1000000-MIN(BR5627,999)*1000+BS5627-5614/100000,-1000000000-5614)</f>
        <v/>
      </c>
    </row>
    <row r="5628">
      <c r="BN5628">
        <f>IF(5615&lt;$U$9,INT(5615/($U$7*$U$8))+1,1)</f>
        <v/>
      </c>
      <c r="BO5628">
        <f>IF(5615&lt;$U$9,MOD(INT(5615/$U$8),$U$7)+1,1)</f>
        <v/>
      </c>
      <c r="BP5628">
        <f>IF(5615&lt;$U$9,MOD(5615,$U$8)+1,1)</f>
        <v/>
      </c>
      <c r="BQ5628">
        <f>IF(5615&lt;$U$9,SUMPRODUCT(($D$10:$L$10&lt;&gt;"")*(($D$9:$L$9+INT(($S$12:$AA$12+INDEX($AJ$13:$AR$162,BN5628,0)+INDEX($AT$13:$BB$162,BO5628,0)+INDEX($BD$13:$BL$162,BP5628,0))/100))&gt;=$D$10:$L$10)),0)</f>
        <v/>
      </c>
      <c r="BR5628">
        <f>IF(5615&lt;$U$9,SUMPRODUCT(($D$10:$L$10&lt;&gt;"")*(($D$10:$L$10-($D$9:$L$9+INT(($S$12:$AA$12+INDEX($AJ$13:$AR$162,BN5628,0)+INDEX($AT$13:$BB$162,BO5628,0)+INDEX($BD$13:$BL$162,BP5628,0))/100)))&gt;0)*($D$10:$L$10-($D$9:$L$9+INT(($S$12:$AA$12+INDEX($AJ$13:$AR$162,BN5628,0)+INDEX($AT$13:$BB$162,BO5628,0)+INDEX($BD$13:$BL$162,BP5628,0))/100)))),0)</f>
        <v/>
      </c>
      <c r="BS5628">
        <f>IF(5615&lt;$U$9,SUMPRODUCT(($D$9:$L$9+INT(($S$12:$AA$12+INDEX($AJ$13:$AR$162,BN5628,0)+INDEX($AT$13:$BB$162,BO5628,0)+INDEX($BD$13:$BL$162,BP5628,0))/100))),0)</f>
        <v/>
      </c>
      <c r="BT5628">
        <f>IF(AND(5615&lt;$U$9,$W$5),BQ5628*1000000-MIN(BR5628,999)*1000+BS5628-5615/100000,-1000000000-5615)</f>
        <v/>
      </c>
    </row>
    <row r="5629">
      <c r="BN5629">
        <f>IF(5616&lt;$U$9,INT(5616/($U$7*$U$8))+1,1)</f>
        <v/>
      </c>
      <c r="BO5629">
        <f>IF(5616&lt;$U$9,MOD(INT(5616/$U$8),$U$7)+1,1)</f>
        <v/>
      </c>
      <c r="BP5629">
        <f>IF(5616&lt;$U$9,MOD(5616,$U$8)+1,1)</f>
        <v/>
      </c>
      <c r="BQ5629">
        <f>IF(5616&lt;$U$9,SUMPRODUCT(($D$10:$L$10&lt;&gt;"")*(($D$9:$L$9+INT(($S$12:$AA$12+INDEX($AJ$13:$AR$162,BN5629,0)+INDEX($AT$13:$BB$162,BO5629,0)+INDEX($BD$13:$BL$162,BP5629,0))/100))&gt;=$D$10:$L$10)),0)</f>
        <v/>
      </c>
      <c r="BR5629">
        <f>IF(5616&lt;$U$9,SUMPRODUCT(($D$10:$L$10&lt;&gt;"")*(($D$10:$L$10-($D$9:$L$9+INT(($S$12:$AA$12+INDEX($AJ$13:$AR$162,BN5629,0)+INDEX($AT$13:$BB$162,BO5629,0)+INDEX($BD$13:$BL$162,BP5629,0))/100)))&gt;0)*($D$10:$L$10-($D$9:$L$9+INT(($S$12:$AA$12+INDEX($AJ$13:$AR$162,BN5629,0)+INDEX($AT$13:$BB$162,BO5629,0)+INDEX($BD$13:$BL$162,BP5629,0))/100)))),0)</f>
        <v/>
      </c>
      <c r="BS5629">
        <f>IF(5616&lt;$U$9,SUMPRODUCT(($D$9:$L$9+INT(($S$12:$AA$12+INDEX($AJ$13:$AR$162,BN5629,0)+INDEX($AT$13:$BB$162,BO5629,0)+INDEX($BD$13:$BL$162,BP5629,0))/100))),0)</f>
        <v/>
      </c>
      <c r="BT5629">
        <f>IF(AND(5616&lt;$U$9,$W$5),BQ5629*1000000-MIN(BR5629,999)*1000+BS5629-5616/100000,-1000000000-5616)</f>
        <v/>
      </c>
    </row>
    <row r="5630">
      <c r="BN5630">
        <f>IF(5617&lt;$U$9,INT(5617/($U$7*$U$8))+1,1)</f>
        <v/>
      </c>
      <c r="BO5630">
        <f>IF(5617&lt;$U$9,MOD(INT(5617/$U$8),$U$7)+1,1)</f>
        <v/>
      </c>
      <c r="BP5630">
        <f>IF(5617&lt;$U$9,MOD(5617,$U$8)+1,1)</f>
        <v/>
      </c>
      <c r="BQ5630">
        <f>IF(5617&lt;$U$9,SUMPRODUCT(($D$10:$L$10&lt;&gt;"")*(($D$9:$L$9+INT(($S$12:$AA$12+INDEX($AJ$13:$AR$162,BN5630,0)+INDEX($AT$13:$BB$162,BO5630,0)+INDEX($BD$13:$BL$162,BP5630,0))/100))&gt;=$D$10:$L$10)),0)</f>
        <v/>
      </c>
      <c r="BR5630">
        <f>IF(5617&lt;$U$9,SUMPRODUCT(($D$10:$L$10&lt;&gt;"")*(($D$10:$L$10-($D$9:$L$9+INT(($S$12:$AA$12+INDEX($AJ$13:$AR$162,BN5630,0)+INDEX($AT$13:$BB$162,BO5630,0)+INDEX($BD$13:$BL$162,BP5630,0))/100)))&gt;0)*($D$10:$L$10-($D$9:$L$9+INT(($S$12:$AA$12+INDEX($AJ$13:$AR$162,BN5630,0)+INDEX($AT$13:$BB$162,BO5630,0)+INDEX($BD$13:$BL$162,BP5630,0))/100)))),0)</f>
        <v/>
      </c>
      <c r="BS5630">
        <f>IF(5617&lt;$U$9,SUMPRODUCT(($D$9:$L$9+INT(($S$12:$AA$12+INDEX($AJ$13:$AR$162,BN5630,0)+INDEX($AT$13:$BB$162,BO5630,0)+INDEX($BD$13:$BL$162,BP5630,0))/100))),0)</f>
        <v/>
      </c>
      <c r="BT5630">
        <f>IF(AND(5617&lt;$U$9,$W$5),BQ5630*1000000-MIN(BR5630,999)*1000+BS5630-5617/100000,-1000000000-5617)</f>
        <v/>
      </c>
    </row>
    <row r="5631">
      <c r="BN5631">
        <f>IF(5618&lt;$U$9,INT(5618/($U$7*$U$8))+1,1)</f>
        <v/>
      </c>
      <c r="BO5631">
        <f>IF(5618&lt;$U$9,MOD(INT(5618/$U$8),$U$7)+1,1)</f>
        <v/>
      </c>
      <c r="BP5631">
        <f>IF(5618&lt;$U$9,MOD(5618,$U$8)+1,1)</f>
        <v/>
      </c>
      <c r="BQ5631">
        <f>IF(5618&lt;$U$9,SUMPRODUCT(($D$10:$L$10&lt;&gt;"")*(($D$9:$L$9+INT(($S$12:$AA$12+INDEX($AJ$13:$AR$162,BN5631,0)+INDEX($AT$13:$BB$162,BO5631,0)+INDEX($BD$13:$BL$162,BP5631,0))/100))&gt;=$D$10:$L$10)),0)</f>
        <v/>
      </c>
      <c r="BR5631">
        <f>IF(5618&lt;$U$9,SUMPRODUCT(($D$10:$L$10&lt;&gt;"")*(($D$10:$L$10-($D$9:$L$9+INT(($S$12:$AA$12+INDEX($AJ$13:$AR$162,BN5631,0)+INDEX($AT$13:$BB$162,BO5631,0)+INDEX($BD$13:$BL$162,BP5631,0))/100)))&gt;0)*($D$10:$L$10-($D$9:$L$9+INT(($S$12:$AA$12+INDEX($AJ$13:$AR$162,BN5631,0)+INDEX($AT$13:$BB$162,BO5631,0)+INDEX($BD$13:$BL$162,BP5631,0))/100)))),0)</f>
        <v/>
      </c>
      <c r="BS5631">
        <f>IF(5618&lt;$U$9,SUMPRODUCT(($D$9:$L$9+INT(($S$12:$AA$12+INDEX($AJ$13:$AR$162,BN5631,0)+INDEX($AT$13:$BB$162,BO5631,0)+INDEX($BD$13:$BL$162,BP5631,0))/100))),0)</f>
        <v/>
      </c>
      <c r="BT5631">
        <f>IF(AND(5618&lt;$U$9,$W$5),BQ5631*1000000-MIN(BR5631,999)*1000+BS5631-5618/100000,-1000000000-5618)</f>
        <v/>
      </c>
    </row>
    <row r="5632">
      <c r="BN5632">
        <f>IF(5619&lt;$U$9,INT(5619/($U$7*$U$8))+1,1)</f>
        <v/>
      </c>
      <c r="BO5632">
        <f>IF(5619&lt;$U$9,MOD(INT(5619/$U$8),$U$7)+1,1)</f>
        <v/>
      </c>
      <c r="BP5632">
        <f>IF(5619&lt;$U$9,MOD(5619,$U$8)+1,1)</f>
        <v/>
      </c>
      <c r="BQ5632">
        <f>IF(5619&lt;$U$9,SUMPRODUCT(($D$10:$L$10&lt;&gt;"")*(($D$9:$L$9+INT(($S$12:$AA$12+INDEX($AJ$13:$AR$162,BN5632,0)+INDEX($AT$13:$BB$162,BO5632,0)+INDEX($BD$13:$BL$162,BP5632,0))/100))&gt;=$D$10:$L$10)),0)</f>
        <v/>
      </c>
      <c r="BR5632">
        <f>IF(5619&lt;$U$9,SUMPRODUCT(($D$10:$L$10&lt;&gt;"")*(($D$10:$L$10-($D$9:$L$9+INT(($S$12:$AA$12+INDEX($AJ$13:$AR$162,BN5632,0)+INDEX($AT$13:$BB$162,BO5632,0)+INDEX($BD$13:$BL$162,BP5632,0))/100)))&gt;0)*($D$10:$L$10-($D$9:$L$9+INT(($S$12:$AA$12+INDEX($AJ$13:$AR$162,BN5632,0)+INDEX($AT$13:$BB$162,BO5632,0)+INDEX($BD$13:$BL$162,BP5632,0))/100)))),0)</f>
        <v/>
      </c>
      <c r="BS5632">
        <f>IF(5619&lt;$U$9,SUMPRODUCT(($D$9:$L$9+INT(($S$12:$AA$12+INDEX($AJ$13:$AR$162,BN5632,0)+INDEX($AT$13:$BB$162,BO5632,0)+INDEX($BD$13:$BL$162,BP5632,0))/100))),0)</f>
        <v/>
      </c>
      <c r="BT5632">
        <f>IF(AND(5619&lt;$U$9,$W$5),BQ5632*1000000-MIN(BR5632,999)*1000+BS5632-5619/100000,-1000000000-5619)</f>
        <v/>
      </c>
    </row>
    <row r="5633">
      <c r="BN5633">
        <f>IF(5620&lt;$U$9,INT(5620/($U$7*$U$8))+1,1)</f>
        <v/>
      </c>
      <c r="BO5633">
        <f>IF(5620&lt;$U$9,MOD(INT(5620/$U$8),$U$7)+1,1)</f>
        <v/>
      </c>
      <c r="BP5633">
        <f>IF(5620&lt;$U$9,MOD(5620,$U$8)+1,1)</f>
        <v/>
      </c>
      <c r="BQ5633">
        <f>IF(5620&lt;$U$9,SUMPRODUCT(($D$10:$L$10&lt;&gt;"")*(($D$9:$L$9+INT(($S$12:$AA$12+INDEX($AJ$13:$AR$162,BN5633,0)+INDEX($AT$13:$BB$162,BO5633,0)+INDEX($BD$13:$BL$162,BP5633,0))/100))&gt;=$D$10:$L$10)),0)</f>
        <v/>
      </c>
      <c r="BR5633">
        <f>IF(5620&lt;$U$9,SUMPRODUCT(($D$10:$L$10&lt;&gt;"")*(($D$10:$L$10-($D$9:$L$9+INT(($S$12:$AA$12+INDEX($AJ$13:$AR$162,BN5633,0)+INDEX($AT$13:$BB$162,BO5633,0)+INDEX($BD$13:$BL$162,BP5633,0))/100)))&gt;0)*($D$10:$L$10-($D$9:$L$9+INT(($S$12:$AA$12+INDEX($AJ$13:$AR$162,BN5633,0)+INDEX($AT$13:$BB$162,BO5633,0)+INDEX($BD$13:$BL$162,BP5633,0))/100)))),0)</f>
        <v/>
      </c>
      <c r="BS5633">
        <f>IF(5620&lt;$U$9,SUMPRODUCT(($D$9:$L$9+INT(($S$12:$AA$12+INDEX($AJ$13:$AR$162,BN5633,0)+INDEX($AT$13:$BB$162,BO5633,0)+INDEX($BD$13:$BL$162,BP5633,0))/100))),0)</f>
        <v/>
      </c>
      <c r="BT5633">
        <f>IF(AND(5620&lt;$U$9,$W$5),BQ5633*1000000-MIN(BR5633,999)*1000+BS5633-5620/100000,-1000000000-5620)</f>
        <v/>
      </c>
    </row>
    <row r="5634">
      <c r="BN5634">
        <f>IF(5621&lt;$U$9,INT(5621/($U$7*$U$8))+1,1)</f>
        <v/>
      </c>
      <c r="BO5634">
        <f>IF(5621&lt;$U$9,MOD(INT(5621/$U$8),$U$7)+1,1)</f>
        <v/>
      </c>
      <c r="BP5634">
        <f>IF(5621&lt;$U$9,MOD(5621,$U$8)+1,1)</f>
        <v/>
      </c>
      <c r="BQ5634">
        <f>IF(5621&lt;$U$9,SUMPRODUCT(($D$10:$L$10&lt;&gt;"")*(($D$9:$L$9+INT(($S$12:$AA$12+INDEX($AJ$13:$AR$162,BN5634,0)+INDEX($AT$13:$BB$162,BO5634,0)+INDEX($BD$13:$BL$162,BP5634,0))/100))&gt;=$D$10:$L$10)),0)</f>
        <v/>
      </c>
      <c r="BR5634">
        <f>IF(5621&lt;$U$9,SUMPRODUCT(($D$10:$L$10&lt;&gt;"")*(($D$10:$L$10-($D$9:$L$9+INT(($S$12:$AA$12+INDEX($AJ$13:$AR$162,BN5634,0)+INDEX($AT$13:$BB$162,BO5634,0)+INDEX($BD$13:$BL$162,BP5634,0))/100)))&gt;0)*($D$10:$L$10-($D$9:$L$9+INT(($S$12:$AA$12+INDEX($AJ$13:$AR$162,BN5634,0)+INDEX($AT$13:$BB$162,BO5634,0)+INDEX($BD$13:$BL$162,BP5634,0))/100)))),0)</f>
        <v/>
      </c>
      <c r="BS5634">
        <f>IF(5621&lt;$U$9,SUMPRODUCT(($D$9:$L$9+INT(($S$12:$AA$12+INDEX($AJ$13:$AR$162,BN5634,0)+INDEX($AT$13:$BB$162,BO5634,0)+INDEX($BD$13:$BL$162,BP5634,0))/100))),0)</f>
        <v/>
      </c>
      <c r="BT5634">
        <f>IF(AND(5621&lt;$U$9,$W$5),BQ5634*1000000-MIN(BR5634,999)*1000+BS5634-5621/100000,-1000000000-5621)</f>
        <v/>
      </c>
    </row>
    <row r="5635">
      <c r="BN5635">
        <f>IF(5622&lt;$U$9,INT(5622/($U$7*$U$8))+1,1)</f>
        <v/>
      </c>
      <c r="BO5635">
        <f>IF(5622&lt;$U$9,MOD(INT(5622/$U$8),$U$7)+1,1)</f>
        <v/>
      </c>
      <c r="BP5635">
        <f>IF(5622&lt;$U$9,MOD(5622,$U$8)+1,1)</f>
        <v/>
      </c>
      <c r="BQ5635">
        <f>IF(5622&lt;$U$9,SUMPRODUCT(($D$10:$L$10&lt;&gt;"")*(($D$9:$L$9+INT(($S$12:$AA$12+INDEX($AJ$13:$AR$162,BN5635,0)+INDEX($AT$13:$BB$162,BO5635,0)+INDEX($BD$13:$BL$162,BP5635,0))/100))&gt;=$D$10:$L$10)),0)</f>
        <v/>
      </c>
      <c r="BR5635">
        <f>IF(5622&lt;$U$9,SUMPRODUCT(($D$10:$L$10&lt;&gt;"")*(($D$10:$L$10-($D$9:$L$9+INT(($S$12:$AA$12+INDEX($AJ$13:$AR$162,BN5635,0)+INDEX($AT$13:$BB$162,BO5635,0)+INDEX($BD$13:$BL$162,BP5635,0))/100)))&gt;0)*($D$10:$L$10-($D$9:$L$9+INT(($S$12:$AA$12+INDEX($AJ$13:$AR$162,BN5635,0)+INDEX($AT$13:$BB$162,BO5635,0)+INDEX($BD$13:$BL$162,BP5635,0))/100)))),0)</f>
        <v/>
      </c>
      <c r="BS5635">
        <f>IF(5622&lt;$U$9,SUMPRODUCT(($D$9:$L$9+INT(($S$12:$AA$12+INDEX($AJ$13:$AR$162,BN5635,0)+INDEX($AT$13:$BB$162,BO5635,0)+INDEX($BD$13:$BL$162,BP5635,0))/100))),0)</f>
        <v/>
      </c>
      <c r="BT5635">
        <f>IF(AND(5622&lt;$U$9,$W$5),BQ5635*1000000-MIN(BR5635,999)*1000+BS5635-5622/100000,-1000000000-5622)</f>
        <v/>
      </c>
    </row>
    <row r="5636">
      <c r="BN5636">
        <f>IF(5623&lt;$U$9,INT(5623/($U$7*$U$8))+1,1)</f>
        <v/>
      </c>
      <c r="BO5636">
        <f>IF(5623&lt;$U$9,MOD(INT(5623/$U$8),$U$7)+1,1)</f>
        <v/>
      </c>
      <c r="BP5636">
        <f>IF(5623&lt;$U$9,MOD(5623,$U$8)+1,1)</f>
        <v/>
      </c>
      <c r="BQ5636">
        <f>IF(5623&lt;$U$9,SUMPRODUCT(($D$10:$L$10&lt;&gt;"")*(($D$9:$L$9+INT(($S$12:$AA$12+INDEX($AJ$13:$AR$162,BN5636,0)+INDEX($AT$13:$BB$162,BO5636,0)+INDEX($BD$13:$BL$162,BP5636,0))/100))&gt;=$D$10:$L$10)),0)</f>
        <v/>
      </c>
      <c r="BR5636">
        <f>IF(5623&lt;$U$9,SUMPRODUCT(($D$10:$L$10&lt;&gt;"")*(($D$10:$L$10-($D$9:$L$9+INT(($S$12:$AA$12+INDEX($AJ$13:$AR$162,BN5636,0)+INDEX($AT$13:$BB$162,BO5636,0)+INDEX($BD$13:$BL$162,BP5636,0))/100)))&gt;0)*($D$10:$L$10-($D$9:$L$9+INT(($S$12:$AA$12+INDEX($AJ$13:$AR$162,BN5636,0)+INDEX($AT$13:$BB$162,BO5636,0)+INDEX($BD$13:$BL$162,BP5636,0))/100)))),0)</f>
        <v/>
      </c>
      <c r="BS5636">
        <f>IF(5623&lt;$U$9,SUMPRODUCT(($D$9:$L$9+INT(($S$12:$AA$12+INDEX($AJ$13:$AR$162,BN5636,0)+INDEX($AT$13:$BB$162,BO5636,0)+INDEX($BD$13:$BL$162,BP5636,0))/100))),0)</f>
        <v/>
      </c>
      <c r="BT5636">
        <f>IF(AND(5623&lt;$U$9,$W$5),BQ5636*1000000-MIN(BR5636,999)*1000+BS5636-5623/100000,-1000000000-5623)</f>
        <v/>
      </c>
    </row>
    <row r="5637">
      <c r="BN5637">
        <f>IF(5624&lt;$U$9,INT(5624/($U$7*$U$8))+1,1)</f>
        <v/>
      </c>
      <c r="BO5637">
        <f>IF(5624&lt;$U$9,MOD(INT(5624/$U$8),$U$7)+1,1)</f>
        <v/>
      </c>
      <c r="BP5637">
        <f>IF(5624&lt;$U$9,MOD(5624,$U$8)+1,1)</f>
        <v/>
      </c>
      <c r="BQ5637">
        <f>IF(5624&lt;$U$9,SUMPRODUCT(($D$10:$L$10&lt;&gt;"")*(($D$9:$L$9+INT(($S$12:$AA$12+INDEX($AJ$13:$AR$162,BN5637,0)+INDEX($AT$13:$BB$162,BO5637,0)+INDEX($BD$13:$BL$162,BP5637,0))/100))&gt;=$D$10:$L$10)),0)</f>
        <v/>
      </c>
      <c r="BR5637">
        <f>IF(5624&lt;$U$9,SUMPRODUCT(($D$10:$L$10&lt;&gt;"")*(($D$10:$L$10-($D$9:$L$9+INT(($S$12:$AA$12+INDEX($AJ$13:$AR$162,BN5637,0)+INDEX($AT$13:$BB$162,BO5637,0)+INDEX($BD$13:$BL$162,BP5637,0))/100)))&gt;0)*($D$10:$L$10-($D$9:$L$9+INT(($S$12:$AA$12+INDEX($AJ$13:$AR$162,BN5637,0)+INDEX($AT$13:$BB$162,BO5637,0)+INDEX($BD$13:$BL$162,BP5637,0))/100)))),0)</f>
        <v/>
      </c>
      <c r="BS5637">
        <f>IF(5624&lt;$U$9,SUMPRODUCT(($D$9:$L$9+INT(($S$12:$AA$12+INDEX($AJ$13:$AR$162,BN5637,0)+INDEX($AT$13:$BB$162,BO5637,0)+INDEX($BD$13:$BL$162,BP5637,0))/100))),0)</f>
        <v/>
      </c>
      <c r="BT5637">
        <f>IF(AND(5624&lt;$U$9,$W$5),BQ5637*1000000-MIN(BR5637,999)*1000+BS5637-5624/100000,-1000000000-5624)</f>
        <v/>
      </c>
    </row>
    <row r="5638">
      <c r="BN5638">
        <f>IF(5625&lt;$U$9,INT(5625/($U$7*$U$8))+1,1)</f>
        <v/>
      </c>
      <c r="BO5638">
        <f>IF(5625&lt;$U$9,MOD(INT(5625/$U$8),$U$7)+1,1)</f>
        <v/>
      </c>
      <c r="BP5638">
        <f>IF(5625&lt;$U$9,MOD(5625,$U$8)+1,1)</f>
        <v/>
      </c>
      <c r="BQ5638">
        <f>IF(5625&lt;$U$9,SUMPRODUCT(($D$10:$L$10&lt;&gt;"")*(($D$9:$L$9+INT(($S$12:$AA$12+INDEX($AJ$13:$AR$162,BN5638,0)+INDEX($AT$13:$BB$162,BO5638,0)+INDEX($BD$13:$BL$162,BP5638,0))/100))&gt;=$D$10:$L$10)),0)</f>
        <v/>
      </c>
      <c r="BR5638">
        <f>IF(5625&lt;$U$9,SUMPRODUCT(($D$10:$L$10&lt;&gt;"")*(($D$10:$L$10-($D$9:$L$9+INT(($S$12:$AA$12+INDEX($AJ$13:$AR$162,BN5638,0)+INDEX($AT$13:$BB$162,BO5638,0)+INDEX($BD$13:$BL$162,BP5638,0))/100)))&gt;0)*($D$10:$L$10-($D$9:$L$9+INT(($S$12:$AA$12+INDEX($AJ$13:$AR$162,BN5638,0)+INDEX($AT$13:$BB$162,BO5638,0)+INDEX($BD$13:$BL$162,BP5638,0))/100)))),0)</f>
        <v/>
      </c>
      <c r="BS5638">
        <f>IF(5625&lt;$U$9,SUMPRODUCT(($D$9:$L$9+INT(($S$12:$AA$12+INDEX($AJ$13:$AR$162,BN5638,0)+INDEX($AT$13:$BB$162,BO5638,0)+INDEX($BD$13:$BL$162,BP5638,0))/100))),0)</f>
        <v/>
      </c>
      <c r="BT5638">
        <f>IF(AND(5625&lt;$U$9,$W$5),BQ5638*1000000-MIN(BR5638,999)*1000+BS5638-5625/100000,-1000000000-5625)</f>
        <v/>
      </c>
    </row>
    <row r="5639">
      <c r="BN5639">
        <f>IF(5626&lt;$U$9,INT(5626/($U$7*$U$8))+1,1)</f>
        <v/>
      </c>
      <c r="BO5639">
        <f>IF(5626&lt;$U$9,MOD(INT(5626/$U$8),$U$7)+1,1)</f>
        <v/>
      </c>
      <c r="BP5639">
        <f>IF(5626&lt;$U$9,MOD(5626,$U$8)+1,1)</f>
        <v/>
      </c>
      <c r="BQ5639">
        <f>IF(5626&lt;$U$9,SUMPRODUCT(($D$10:$L$10&lt;&gt;"")*(($D$9:$L$9+INT(($S$12:$AA$12+INDEX($AJ$13:$AR$162,BN5639,0)+INDEX($AT$13:$BB$162,BO5639,0)+INDEX($BD$13:$BL$162,BP5639,0))/100))&gt;=$D$10:$L$10)),0)</f>
        <v/>
      </c>
      <c r="BR5639">
        <f>IF(5626&lt;$U$9,SUMPRODUCT(($D$10:$L$10&lt;&gt;"")*(($D$10:$L$10-($D$9:$L$9+INT(($S$12:$AA$12+INDEX($AJ$13:$AR$162,BN5639,0)+INDEX($AT$13:$BB$162,BO5639,0)+INDEX($BD$13:$BL$162,BP5639,0))/100)))&gt;0)*($D$10:$L$10-($D$9:$L$9+INT(($S$12:$AA$12+INDEX($AJ$13:$AR$162,BN5639,0)+INDEX($AT$13:$BB$162,BO5639,0)+INDEX($BD$13:$BL$162,BP5639,0))/100)))),0)</f>
        <v/>
      </c>
      <c r="BS5639">
        <f>IF(5626&lt;$U$9,SUMPRODUCT(($D$9:$L$9+INT(($S$12:$AA$12+INDEX($AJ$13:$AR$162,BN5639,0)+INDEX($AT$13:$BB$162,BO5639,0)+INDEX($BD$13:$BL$162,BP5639,0))/100))),0)</f>
        <v/>
      </c>
      <c r="BT5639">
        <f>IF(AND(5626&lt;$U$9,$W$5),BQ5639*1000000-MIN(BR5639,999)*1000+BS5639-5626/100000,-1000000000-5626)</f>
        <v/>
      </c>
    </row>
    <row r="5640">
      <c r="BN5640">
        <f>IF(5627&lt;$U$9,INT(5627/($U$7*$U$8))+1,1)</f>
        <v/>
      </c>
      <c r="BO5640">
        <f>IF(5627&lt;$U$9,MOD(INT(5627/$U$8),$U$7)+1,1)</f>
        <v/>
      </c>
      <c r="BP5640">
        <f>IF(5627&lt;$U$9,MOD(5627,$U$8)+1,1)</f>
        <v/>
      </c>
      <c r="BQ5640">
        <f>IF(5627&lt;$U$9,SUMPRODUCT(($D$10:$L$10&lt;&gt;"")*(($D$9:$L$9+INT(($S$12:$AA$12+INDEX($AJ$13:$AR$162,BN5640,0)+INDEX($AT$13:$BB$162,BO5640,0)+INDEX($BD$13:$BL$162,BP5640,0))/100))&gt;=$D$10:$L$10)),0)</f>
        <v/>
      </c>
      <c r="BR5640">
        <f>IF(5627&lt;$U$9,SUMPRODUCT(($D$10:$L$10&lt;&gt;"")*(($D$10:$L$10-($D$9:$L$9+INT(($S$12:$AA$12+INDEX($AJ$13:$AR$162,BN5640,0)+INDEX($AT$13:$BB$162,BO5640,0)+INDEX($BD$13:$BL$162,BP5640,0))/100)))&gt;0)*($D$10:$L$10-($D$9:$L$9+INT(($S$12:$AA$12+INDEX($AJ$13:$AR$162,BN5640,0)+INDEX($AT$13:$BB$162,BO5640,0)+INDEX($BD$13:$BL$162,BP5640,0))/100)))),0)</f>
        <v/>
      </c>
      <c r="BS5640">
        <f>IF(5627&lt;$U$9,SUMPRODUCT(($D$9:$L$9+INT(($S$12:$AA$12+INDEX($AJ$13:$AR$162,BN5640,0)+INDEX($AT$13:$BB$162,BO5640,0)+INDEX($BD$13:$BL$162,BP5640,0))/100))),0)</f>
        <v/>
      </c>
      <c r="BT5640">
        <f>IF(AND(5627&lt;$U$9,$W$5),BQ5640*1000000-MIN(BR5640,999)*1000+BS5640-5627/100000,-1000000000-5627)</f>
        <v/>
      </c>
    </row>
    <row r="5641">
      <c r="BN5641">
        <f>IF(5628&lt;$U$9,INT(5628/($U$7*$U$8))+1,1)</f>
        <v/>
      </c>
      <c r="BO5641">
        <f>IF(5628&lt;$U$9,MOD(INT(5628/$U$8),$U$7)+1,1)</f>
        <v/>
      </c>
      <c r="BP5641">
        <f>IF(5628&lt;$U$9,MOD(5628,$U$8)+1,1)</f>
        <v/>
      </c>
      <c r="BQ5641">
        <f>IF(5628&lt;$U$9,SUMPRODUCT(($D$10:$L$10&lt;&gt;"")*(($D$9:$L$9+INT(($S$12:$AA$12+INDEX($AJ$13:$AR$162,BN5641,0)+INDEX($AT$13:$BB$162,BO5641,0)+INDEX($BD$13:$BL$162,BP5641,0))/100))&gt;=$D$10:$L$10)),0)</f>
        <v/>
      </c>
      <c r="BR5641">
        <f>IF(5628&lt;$U$9,SUMPRODUCT(($D$10:$L$10&lt;&gt;"")*(($D$10:$L$10-($D$9:$L$9+INT(($S$12:$AA$12+INDEX($AJ$13:$AR$162,BN5641,0)+INDEX($AT$13:$BB$162,BO5641,0)+INDEX($BD$13:$BL$162,BP5641,0))/100)))&gt;0)*($D$10:$L$10-($D$9:$L$9+INT(($S$12:$AA$12+INDEX($AJ$13:$AR$162,BN5641,0)+INDEX($AT$13:$BB$162,BO5641,0)+INDEX($BD$13:$BL$162,BP5641,0))/100)))),0)</f>
        <v/>
      </c>
      <c r="BS5641">
        <f>IF(5628&lt;$U$9,SUMPRODUCT(($D$9:$L$9+INT(($S$12:$AA$12+INDEX($AJ$13:$AR$162,BN5641,0)+INDEX($AT$13:$BB$162,BO5641,0)+INDEX($BD$13:$BL$162,BP5641,0))/100))),0)</f>
        <v/>
      </c>
      <c r="BT5641">
        <f>IF(AND(5628&lt;$U$9,$W$5),BQ5641*1000000-MIN(BR5641,999)*1000+BS5641-5628/100000,-1000000000-5628)</f>
        <v/>
      </c>
    </row>
    <row r="5642">
      <c r="BN5642">
        <f>IF(5629&lt;$U$9,INT(5629/($U$7*$U$8))+1,1)</f>
        <v/>
      </c>
      <c r="BO5642">
        <f>IF(5629&lt;$U$9,MOD(INT(5629/$U$8),$U$7)+1,1)</f>
        <v/>
      </c>
      <c r="BP5642">
        <f>IF(5629&lt;$U$9,MOD(5629,$U$8)+1,1)</f>
        <v/>
      </c>
      <c r="BQ5642">
        <f>IF(5629&lt;$U$9,SUMPRODUCT(($D$10:$L$10&lt;&gt;"")*(($D$9:$L$9+INT(($S$12:$AA$12+INDEX($AJ$13:$AR$162,BN5642,0)+INDEX($AT$13:$BB$162,BO5642,0)+INDEX($BD$13:$BL$162,BP5642,0))/100))&gt;=$D$10:$L$10)),0)</f>
        <v/>
      </c>
      <c r="BR5642">
        <f>IF(5629&lt;$U$9,SUMPRODUCT(($D$10:$L$10&lt;&gt;"")*(($D$10:$L$10-($D$9:$L$9+INT(($S$12:$AA$12+INDEX($AJ$13:$AR$162,BN5642,0)+INDEX($AT$13:$BB$162,BO5642,0)+INDEX($BD$13:$BL$162,BP5642,0))/100)))&gt;0)*($D$10:$L$10-($D$9:$L$9+INT(($S$12:$AA$12+INDEX($AJ$13:$AR$162,BN5642,0)+INDEX($AT$13:$BB$162,BO5642,0)+INDEX($BD$13:$BL$162,BP5642,0))/100)))),0)</f>
        <v/>
      </c>
      <c r="BS5642">
        <f>IF(5629&lt;$U$9,SUMPRODUCT(($D$9:$L$9+INT(($S$12:$AA$12+INDEX($AJ$13:$AR$162,BN5642,0)+INDEX($AT$13:$BB$162,BO5642,0)+INDEX($BD$13:$BL$162,BP5642,0))/100))),0)</f>
        <v/>
      </c>
      <c r="BT5642">
        <f>IF(AND(5629&lt;$U$9,$W$5),BQ5642*1000000-MIN(BR5642,999)*1000+BS5642-5629/100000,-1000000000-5629)</f>
        <v/>
      </c>
    </row>
    <row r="5643">
      <c r="BN5643">
        <f>IF(5630&lt;$U$9,INT(5630/($U$7*$U$8))+1,1)</f>
        <v/>
      </c>
      <c r="BO5643">
        <f>IF(5630&lt;$U$9,MOD(INT(5630/$U$8),$U$7)+1,1)</f>
        <v/>
      </c>
      <c r="BP5643">
        <f>IF(5630&lt;$U$9,MOD(5630,$U$8)+1,1)</f>
        <v/>
      </c>
      <c r="BQ5643">
        <f>IF(5630&lt;$U$9,SUMPRODUCT(($D$10:$L$10&lt;&gt;"")*(($D$9:$L$9+INT(($S$12:$AA$12+INDEX($AJ$13:$AR$162,BN5643,0)+INDEX($AT$13:$BB$162,BO5643,0)+INDEX($BD$13:$BL$162,BP5643,0))/100))&gt;=$D$10:$L$10)),0)</f>
        <v/>
      </c>
      <c r="BR5643">
        <f>IF(5630&lt;$U$9,SUMPRODUCT(($D$10:$L$10&lt;&gt;"")*(($D$10:$L$10-($D$9:$L$9+INT(($S$12:$AA$12+INDEX($AJ$13:$AR$162,BN5643,0)+INDEX($AT$13:$BB$162,BO5643,0)+INDEX($BD$13:$BL$162,BP5643,0))/100)))&gt;0)*($D$10:$L$10-($D$9:$L$9+INT(($S$12:$AA$12+INDEX($AJ$13:$AR$162,BN5643,0)+INDEX($AT$13:$BB$162,BO5643,0)+INDEX($BD$13:$BL$162,BP5643,0))/100)))),0)</f>
        <v/>
      </c>
      <c r="BS5643">
        <f>IF(5630&lt;$U$9,SUMPRODUCT(($D$9:$L$9+INT(($S$12:$AA$12+INDEX($AJ$13:$AR$162,BN5643,0)+INDEX($AT$13:$BB$162,BO5643,0)+INDEX($BD$13:$BL$162,BP5643,0))/100))),0)</f>
        <v/>
      </c>
      <c r="BT5643">
        <f>IF(AND(5630&lt;$U$9,$W$5),BQ5643*1000000-MIN(BR5643,999)*1000+BS5643-5630/100000,-1000000000-5630)</f>
        <v/>
      </c>
    </row>
    <row r="5644">
      <c r="BN5644">
        <f>IF(5631&lt;$U$9,INT(5631/($U$7*$U$8))+1,1)</f>
        <v/>
      </c>
      <c r="BO5644">
        <f>IF(5631&lt;$U$9,MOD(INT(5631/$U$8),$U$7)+1,1)</f>
        <v/>
      </c>
      <c r="BP5644">
        <f>IF(5631&lt;$U$9,MOD(5631,$U$8)+1,1)</f>
        <v/>
      </c>
      <c r="BQ5644">
        <f>IF(5631&lt;$U$9,SUMPRODUCT(($D$10:$L$10&lt;&gt;"")*(($D$9:$L$9+INT(($S$12:$AA$12+INDEX($AJ$13:$AR$162,BN5644,0)+INDEX($AT$13:$BB$162,BO5644,0)+INDEX($BD$13:$BL$162,BP5644,0))/100))&gt;=$D$10:$L$10)),0)</f>
        <v/>
      </c>
      <c r="BR5644">
        <f>IF(5631&lt;$U$9,SUMPRODUCT(($D$10:$L$10&lt;&gt;"")*(($D$10:$L$10-($D$9:$L$9+INT(($S$12:$AA$12+INDEX($AJ$13:$AR$162,BN5644,0)+INDEX($AT$13:$BB$162,BO5644,0)+INDEX($BD$13:$BL$162,BP5644,0))/100)))&gt;0)*($D$10:$L$10-($D$9:$L$9+INT(($S$12:$AA$12+INDEX($AJ$13:$AR$162,BN5644,0)+INDEX($AT$13:$BB$162,BO5644,0)+INDEX($BD$13:$BL$162,BP5644,0))/100)))),0)</f>
        <v/>
      </c>
      <c r="BS5644">
        <f>IF(5631&lt;$U$9,SUMPRODUCT(($D$9:$L$9+INT(($S$12:$AA$12+INDEX($AJ$13:$AR$162,BN5644,0)+INDEX($AT$13:$BB$162,BO5644,0)+INDEX($BD$13:$BL$162,BP5644,0))/100))),0)</f>
        <v/>
      </c>
      <c r="BT5644">
        <f>IF(AND(5631&lt;$U$9,$W$5),BQ5644*1000000-MIN(BR5644,999)*1000+BS5644-5631/100000,-1000000000-5631)</f>
        <v/>
      </c>
    </row>
    <row r="5645">
      <c r="BN5645">
        <f>IF(5632&lt;$U$9,INT(5632/($U$7*$U$8))+1,1)</f>
        <v/>
      </c>
      <c r="BO5645">
        <f>IF(5632&lt;$U$9,MOD(INT(5632/$U$8),$U$7)+1,1)</f>
        <v/>
      </c>
      <c r="BP5645">
        <f>IF(5632&lt;$U$9,MOD(5632,$U$8)+1,1)</f>
        <v/>
      </c>
      <c r="BQ5645">
        <f>IF(5632&lt;$U$9,SUMPRODUCT(($D$10:$L$10&lt;&gt;"")*(($D$9:$L$9+INT(($S$12:$AA$12+INDEX($AJ$13:$AR$162,BN5645,0)+INDEX($AT$13:$BB$162,BO5645,0)+INDEX($BD$13:$BL$162,BP5645,0))/100))&gt;=$D$10:$L$10)),0)</f>
        <v/>
      </c>
      <c r="BR5645">
        <f>IF(5632&lt;$U$9,SUMPRODUCT(($D$10:$L$10&lt;&gt;"")*(($D$10:$L$10-($D$9:$L$9+INT(($S$12:$AA$12+INDEX($AJ$13:$AR$162,BN5645,0)+INDEX($AT$13:$BB$162,BO5645,0)+INDEX($BD$13:$BL$162,BP5645,0))/100)))&gt;0)*($D$10:$L$10-($D$9:$L$9+INT(($S$12:$AA$12+INDEX($AJ$13:$AR$162,BN5645,0)+INDEX($AT$13:$BB$162,BO5645,0)+INDEX($BD$13:$BL$162,BP5645,0))/100)))),0)</f>
        <v/>
      </c>
      <c r="BS5645">
        <f>IF(5632&lt;$U$9,SUMPRODUCT(($D$9:$L$9+INT(($S$12:$AA$12+INDEX($AJ$13:$AR$162,BN5645,0)+INDEX($AT$13:$BB$162,BO5645,0)+INDEX($BD$13:$BL$162,BP5645,0))/100))),0)</f>
        <v/>
      </c>
      <c r="BT5645">
        <f>IF(AND(5632&lt;$U$9,$W$5),BQ5645*1000000-MIN(BR5645,999)*1000+BS5645-5632/100000,-1000000000-5632)</f>
        <v/>
      </c>
    </row>
    <row r="5646">
      <c r="BN5646">
        <f>IF(5633&lt;$U$9,INT(5633/($U$7*$U$8))+1,1)</f>
        <v/>
      </c>
      <c r="BO5646">
        <f>IF(5633&lt;$U$9,MOD(INT(5633/$U$8),$U$7)+1,1)</f>
        <v/>
      </c>
      <c r="BP5646">
        <f>IF(5633&lt;$U$9,MOD(5633,$U$8)+1,1)</f>
        <v/>
      </c>
      <c r="BQ5646">
        <f>IF(5633&lt;$U$9,SUMPRODUCT(($D$10:$L$10&lt;&gt;"")*(($D$9:$L$9+INT(($S$12:$AA$12+INDEX($AJ$13:$AR$162,BN5646,0)+INDEX($AT$13:$BB$162,BO5646,0)+INDEX($BD$13:$BL$162,BP5646,0))/100))&gt;=$D$10:$L$10)),0)</f>
        <v/>
      </c>
      <c r="BR5646">
        <f>IF(5633&lt;$U$9,SUMPRODUCT(($D$10:$L$10&lt;&gt;"")*(($D$10:$L$10-($D$9:$L$9+INT(($S$12:$AA$12+INDEX($AJ$13:$AR$162,BN5646,0)+INDEX($AT$13:$BB$162,BO5646,0)+INDEX($BD$13:$BL$162,BP5646,0))/100)))&gt;0)*($D$10:$L$10-($D$9:$L$9+INT(($S$12:$AA$12+INDEX($AJ$13:$AR$162,BN5646,0)+INDEX($AT$13:$BB$162,BO5646,0)+INDEX($BD$13:$BL$162,BP5646,0))/100)))),0)</f>
        <v/>
      </c>
      <c r="BS5646">
        <f>IF(5633&lt;$U$9,SUMPRODUCT(($D$9:$L$9+INT(($S$12:$AA$12+INDEX($AJ$13:$AR$162,BN5646,0)+INDEX($AT$13:$BB$162,BO5646,0)+INDEX($BD$13:$BL$162,BP5646,0))/100))),0)</f>
        <v/>
      </c>
      <c r="BT5646">
        <f>IF(AND(5633&lt;$U$9,$W$5),BQ5646*1000000-MIN(BR5646,999)*1000+BS5646-5633/100000,-1000000000-5633)</f>
        <v/>
      </c>
    </row>
    <row r="5647">
      <c r="BN5647">
        <f>IF(5634&lt;$U$9,INT(5634/($U$7*$U$8))+1,1)</f>
        <v/>
      </c>
      <c r="BO5647">
        <f>IF(5634&lt;$U$9,MOD(INT(5634/$U$8),$U$7)+1,1)</f>
        <v/>
      </c>
      <c r="BP5647">
        <f>IF(5634&lt;$U$9,MOD(5634,$U$8)+1,1)</f>
        <v/>
      </c>
      <c r="BQ5647">
        <f>IF(5634&lt;$U$9,SUMPRODUCT(($D$10:$L$10&lt;&gt;"")*(($D$9:$L$9+INT(($S$12:$AA$12+INDEX($AJ$13:$AR$162,BN5647,0)+INDEX($AT$13:$BB$162,BO5647,0)+INDEX($BD$13:$BL$162,BP5647,0))/100))&gt;=$D$10:$L$10)),0)</f>
        <v/>
      </c>
      <c r="BR5647">
        <f>IF(5634&lt;$U$9,SUMPRODUCT(($D$10:$L$10&lt;&gt;"")*(($D$10:$L$10-($D$9:$L$9+INT(($S$12:$AA$12+INDEX($AJ$13:$AR$162,BN5647,0)+INDEX($AT$13:$BB$162,BO5647,0)+INDEX($BD$13:$BL$162,BP5647,0))/100)))&gt;0)*($D$10:$L$10-($D$9:$L$9+INT(($S$12:$AA$12+INDEX($AJ$13:$AR$162,BN5647,0)+INDEX($AT$13:$BB$162,BO5647,0)+INDEX($BD$13:$BL$162,BP5647,0))/100)))),0)</f>
        <v/>
      </c>
      <c r="BS5647">
        <f>IF(5634&lt;$U$9,SUMPRODUCT(($D$9:$L$9+INT(($S$12:$AA$12+INDEX($AJ$13:$AR$162,BN5647,0)+INDEX($AT$13:$BB$162,BO5647,0)+INDEX($BD$13:$BL$162,BP5647,0))/100))),0)</f>
        <v/>
      </c>
      <c r="BT5647">
        <f>IF(AND(5634&lt;$U$9,$W$5),BQ5647*1000000-MIN(BR5647,999)*1000+BS5647-5634/100000,-1000000000-5634)</f>
        <v/>
      </c>
    </row>
    <row r="5648">
      <c r="BN5648">
        <f>IF(5635&lt;$U$9,INT(5635/($U$7*$U$8))+1,1)</f>
        <v/>
      </c>
      <c r="BO5648">
        <f>IF(5635&lt;$U$9,MOD(INT(5635/$U$8),$U$7)+1,1)</f>
        <v/>
      </c>
      <c r="BP5648">
        <f>IF(5635&lt;$U$9,MOD(5635,$U$8)+1,1)</f>
        <v/>
      </c>
      <c r="BQ5648">
        <f>IF(5635&lt;$U$9,SUMPRODUCT(($D$10:$L$10&lt;&gt;"")*(($D$9:$L$9+INT(($S$12:$AA$12+INDEX($AJ$13:$AR$162,BN5648,0)+INDEX($AT$13:$BB$162,BO5648,0)+INDEX($BD$13:$BL$162,BP5648,0))/100))&gt;=$D$10:$L$10)),0)</f>
        <v/>
      </c>
      <c r="BR5648">
        <f>IF(5635&lt;$U$9,SUMPRODUCT(($D$10:$L$10&lt;&gt;"")*(($D$10:$L$10-($D$9:$L$9+INT(($S$12:$AA$12+INDEX($AJ$13:$AR$162,BN5648,0)+INDEX($AT$13:$BB$162,BO5648,0)+INDEX($BD$13:$BL$162,BP5648,0))/100)))&gt;0)*($D$10:$L$10-($D$9:$L$9+INT(($S$12:$AA$12+INDEX($AJ$13:$AR$162,BN5648,0)+INDEX($AT$13:$BB$162,BO5648,0)+INDEX($BD$13:$BL$162,BP5648,0))/100)))),0)</f>
        <v/>
      </c>
      <c r="BS5648">
        <f>IF(5635&lt;$U$9,SUMPRODUCT(($D$9:$L$9+INT(($S$12:$AA$12+INDEX($AJ$13:$AR$162,BN5648,0)+INDEX($AT$13:$BB$162,BO5648,0)+INDEX($BD$13:$BL$162,BP5648,0))/100))),0)</f>
        <v/>
      </c>
      <c r="BT5648">
        <f>IF(AND(5635&lt;$U$9,$W$5),BQ5648*1000000-MIN(BR5648,999)*1000+BS5648-5635/100000,-1000000000-5635)</f>
        <v/>
      </c>
    </row>
    <row r="5649">
      <c r="BN5649">
        <f>IF(5636&lt;$U$9,INT(5636/($U$7*$U$8))+1,1)</f>
        <v/>
      </c>
      <c r="BO5649">
        <f>IF(5636&lt;$U$9,MOD(INT(5636/$U$8),$U$7)+1,1)</f>
        <v/>
      </c>
      <c r="BP5649">
        <f>IF(5636&lt;$U$9,MOD(5636,$U$8)+1,1)</f>
        <v/>
      </c>
      <c r="BQ5649">
        <f>IF(5636&lt;$U$9,SUMPRODUCT(($D$10:$L$10&lt;&gt;"")*(($D$9:$L$9+INT(($S$12:$AA$12+INDEX($AJ$13:$AR$162,BN5649,0)+INDEX($AT$13:$BB$162,BO5649,0)+INDEX($BD$13:$BL$162,BP5649,0))/100))&gt;=$D$10:$L$10)),0)</f>
        <v/>
      </c>
      <c r="BR5649">
        <f>IF(5636&lt;$U$9,SUMPRODUCT(($D$10:$L$10&lt;&gt;"")*(($D$10:$L$10-($D$9:$L$9+INT(($S$12:$AA$12+INDEX($AJ$13:$AR$162,BN5649,0)+INDEX($AT$13:$BB$162,BO5649,0)+INDEX($BD$13:$BL$162,BP5649,0))/100)))&gt;0)*($D$10:$L$10-($D$9:$L$9+INT(($S$12:$AA$12+INDEX($AJ$13:$AR$162,BN5649,0)+INDEX($AT$13:$BB$162,BO5649,0)+INDEX($BD$13:$BL$162,BP5649,0))/100)))),0)</f>
        <v/>
      </c>
      <c r="BS5649">
        <f>IF(5636&lt;$U$9,SUMPRODUCT(($D$9:$L$9+INT(($S$12:$AA$12+INDEX($AJ$13:$AR$162,BN5649,0)+INDEX($AT$13:$BB$162,BO5649,0)+INDEX($BD$13:$BL$162,BP5649,0))/100))),0)</f>
        <v/>
      </c>
      <c r="BT5649">
        <f>IF(AND(5636&lt;$U$9,$W$5),BQ5649*1000000-MIN(BR5649,999)*1000+BS5649-5636/100000,-1000000000-5636)</f>
        <v/>
      </c>
    </row>
    <row r="5650">
      <c r="BN5650">
        <f>IF(5637&lt;$U$9,INT(5637/($U$7*$U$8))+1,1)</f>
        <v/>
      </c>
      <c r="BO5650">
        <f>IF(5637&lt;$U$9,MOD(INT(5637/$U$8),$U$7)+1,1)</f>
        <v/>
      </c>
      <c r="BP5650">
        <f>IF(5637&lt;$U$9,MOD(5637,$U$8)+1,1)</f>
        <v/>
      </c>
      <c r="BQ5650">
        <f>IF(5637&lt;$U$9,SUMPRODUCT(($D$10:$L$10&lt;&gt;"")*(($D$9:$L$9+INT(($S$12:$AA$12+INDEX($AJ$13:$AR$162,BN5650,0)+INDEX($AT$13:$BB$162,BO5650,0)+INDEX($BD$13:$BL$162,BP5650,0))/100))&gt;=$D$10:$L$10)),0)</f>
        <v/>
      </c>
      <c r="BR5650">
        <f>IF(5637&lt;$U$9,SUMPRODUCT(($D$10:$L$10&lt;&gt;"")*(($D$10:$L$10-($D$9:$L$9+INT(($S$12:$AA$12+INDEX($AJ$13:$AR$162,BN5650,0)+INDEX($AT$13:$BB$162,BO5650,0)+INDEX($BD$13:$BL$162,BP5650,0))/100)))&gt;0)*($D$10:$L$10-($D$9:$L$9+INT(($S$12:$AA$12+INDEX($AJ$13:$AR$162,BN5650,0)+INDEX($AT$13:$BB$162,BO5650,0)+INDEX($BD$13:$BL$162,BP5650,0))/100)))),0)</f>
        <v/>
      </c>
      <c r="BS5650">
        <f>IF(5637&lt;$U$9,SUMPRODUCT(($D$9:$L$9+INT(($S$12:$AA$12+INDEX($AJ$13:$AR$162,BN5650,0)+INDEX($AT$13:$BB$162,BO5650,0)+INDEX($BD$13:$BL$162,BP5650,0))/100))),0)</f>
        <v/>
      </c>
      <c r="BT5650">
        <f>IF(AND(5637&lt;$U$9,$W$5),BQ5650*1000000-MIN(BR5650,999)*1000+BS5650-5637/100000,-1000000000-5637)</f>
        <v/>
      </c>
    </row>
    <row r="5651">
      <c r="BN5651">
        <f>IF(5638&lt;$U$9,INT(5638/($U$7*$U$8))+1,1)</f>
        <v/>
      </c>
      <c r="BO5651">
        <f>IF(5638&lt;$U$9,MOD(INT(5638/$U$8),$U$7)+1,1)</f>
        <v/>
      </c>
      <c r="BP5651">
        <f>IF(5638&lt;$U$9,MOD(5638,$U$8)+1,1)</f>
        <v/>
      </c>
      <c r="BQ5651">
        <f>IF(5638&lt;$U$9,SUMPRODUCT(($D$10:$L$10&lt;&gt;"")*(($D$9:$L$9+INT(($S$12:$AA$12+INDEX($AJ$13:$AR$162,BN5651,0)+INDEX($AT$13:$BB$162,BO5651,0)+INDEX($BD$13:$BL$162,BP5651,0))/100))&gt;=$D$10:$L$10)),0)</f>
        <v/>
      </c>
      <c r="BR5651">
        <f>IF(5638&lt;$U$9,SUMPRODUCT(($D$10:$L$10&lt;&gt;"")*(($D$10:$L$10-($D$9:$L$9+INT(($S$12:$AA$12+INDEX($AJ$13:$AR$162,BN5651,0)+INDEX($AT$13:$BB$162,BO5651,0)+INDEX($BD$13:$BL$162,BP5651,0))/100)))&gt;0)*($D$10:$L$10-($D$9:$L$9+INT(($S$12:$AA$12+INDEX($AJ$13:$AR$162,BN5651,0)+INDEX($AT$13:$BB$162,BO5651,0)+INDEX($BD$13:$BL$162,BP5651,0))/100)))),0)</f>
        <v/>
      </c>
      <c r="BS5651">
        <f>IF(5638&lt;$U$9,SUMPRODUCT(($D$9:$L$9+INT(($S$12:$AA$12+INDEX($AJ$13:$AR$162,BN5651,0)+INDEX($AT$13:$BB$162,BO5651,0)+INDEX($BD$13:$BL$162,BP5651,0))/100))),0)</f>
        <v/>
      </c>
      <c r="BT5651">
        <f>IF(AND(5638&lt;$U$9,$W$5),BQ5651*1000000-MIN(BR5651,999)*1000+BS5651-5638/100000,-1000000000-5638)</f>
        <v/>
      </c>
    </row>
    <row r="5652">
      <c r="BN5652">
        <f>IF(5639&lt;$U$9,INT(5639/($U$7*$U$8))+1,1)</f>
        <v/>
      </c>
      <c r="BO5652">
        <f>IF(5639&lt;$U$9,MOD(INT(5639/$U$8),$U$7)+1,1)</f>
        <v/>
      </c>
      <c r="BP5652">
        <f>IF(5639&lt;$U$9,MOD(5639,$U$8)+1,1)</f>
        <v/>
      </c>
      <c r="BQ5652">
        <f>IF(5639&lt;$U$9,SUMPRODUCT(($D$10:$L$10&lt;&gt;"")*(($D$9:$L$9+INT(($S$12:$AA$12+INDEX($AJ$13:$AR$162,BN5652,0)+INDEX($AT$13:$BB$162,BO5652,0)+INDEX($BD$13:$BL$162,BP5652,0))/100))&gt;=$D$10:$L$10)),0)</f>
        <v/>
      </c>
      <c r="BR5652">
        <f>IF(5639&lt;$U$9,SUMPRODUCT(($D$10:$L$10&lt;&gt;"")*(($D$10:$L$10-($D$9:$L$9+INT(($S$12:$AA$12+INDEX($AJ$13:$AR$162,BN5652,0)+INDEX($AT$13:$BB$162,BO5652,0)+INDEX($BD$13:$BL$162,BP5652,0))/100)))&gt;0)*($D$10:$L$10-($D$9:$L$9+INT(($S$12:$AA$12+INDEX($AJ$13:$AR$162,BN5652,0)+INDEX($AT$13:$BB$162,BO5652,0)+INDEX($BD$13:$BL$162,BP5652,0))/100)))),0)</f>
        <v/>
      </c>
      <c r="BS5652">
        <f>IF(5639&lt;$U$9,SUMPRODUCT(($D$9:$L$9+INT(($S$12:$AA$12+INDEX($AJ$13:$AR$162,BN5652,0)+INDEX($AT$13:$BB$162,BO5652,0)+INDEX($BD$13:$BL$162,BP5652,0))/100))),0)</f>
        <v/>
      </c>
      <c r="BT5652">
        <f>IF(AND(5639&lt;$U$9,$W$5),BQ5652*1000000-MIN(BR5652,999)*1000+BS5652-5639/100000,-1000000000-5639)</f>
        <v/>
      </c>
    </row>
    <row r="5653">
      <c r="BN5653">
        <f>IF(5640&lt;$U$9,INT(5640/($U$7*$U$8))+1,1)</f>
        <v/>
      </c>
      <c r="BO5653">
        <f>IF(5640&lt;$U$9,MOD(INT(5640/$U$8),$U$7)+1,1)</f>
        <v/>
      </c>
      <c r="BP5653">
        <f>IF(5640&lt;$U$9,MOD(5640,$U$8)+1,1)</f>
        <v/>
      </c>
      <c r="BQ5653">
        <f>IF(5640&lt;$U$9,SUMPRODUCT(($D$10:$L$10&lt;&gt;"")*(($D$9:$L$9+INT(($S$12:$AA$12+INDEX($AJ$13:$AR$162,BN5653,0)+INDEX($AT$13:$BB$162,BO5653,0)+INDEX($BD$13:$BL$162,BP5653,0))/100))&gt;=$D$10:$L$10)),0)</f>
        <v/>
      </c>
      <c r="BR5653">
        <f>IF(5640&lt;$U$9,SUMPRODUCT(($D$10:$L$10&lt;&gt;"")*(($D$10:$L$10-($D$9:$L$9+INT(($S$12:$AA$12+INDEX($AJ$13:$AR$162,BN5653,0)+INDEX($AT$13:$BB$162,BO5653,0)+INDEX($BD$13:$BL$162,BP5653,0))/100)))&gt;0)*($D$10:$L$10-($D$9:$L$9+INT(($S$12:$AA$12+INDEX($AJ$13:$AR$162,BN5653,0)+INDEX($AT$13:$BB$162,BO5653,0)+INDEX($BD$13:$BL$162,BP5653,0))/100)))),0)</f>
        <v/>
      </c>
      <c r="BS5653">
        <f>IF(5640&lt;$U$9,SUMPRODUCT(($D$9:$L$9+INT(($S$12:$AA$12+INDEX($AJ$13:$AR$162,BN5653,0)+INDEX($AT$13:$BB$162,BO5653,0)+INDEX($BD$13:$BL$162,BP5653,0))/100))),0)</f>
        <v/>
      </c>
      <c r="BT5653">
        <f>IF(AND(5640&lt;$U$9,$W$5),BQ5653*1000000-MIN(BR5653,999)*1000+BS5653-5640/100000,-1000000000-5640)</f>
        <v/>
      </c>
    </row>
    <row r="5654">
      <c r="BN5654">
        <f>IF(5641&lt;$U$9,INT(5641/($U$7*$U$8))+1,1)</f>
        <v/>
      </c>
      <c r="BO5654">
        <f>IF(5641&lt;$U$9,MOD(INT(5641/$U$8),$U$7)+1,1)</f>
        <v/>
      </c>
      <c r="BP5654">
        <f>IF(5641&lt;$U$9,MOD(5641,$U$8)+1,1)</f>
        <v/>
      </c>
      <c r="BQ5654">
        <f>IF(5641&lt;$U$9,SUMPRODUCT(($D$10:$L$10&lt;&gt;"")*(($D$9:$L$9+INT(($S$12:$AA$12+INDEX($AJ$13:$AR$162,BN5654,0)+INDEX($AT$13:$BB$162,BO5654,0)+INDEX($BD$13:$BL$162,BP5654,0))/100))&gt;=$D$10:$L$10)),0)</f>
        <v/>
      </c>
      <c r="BR5654">
        <f>IF(5641&lt;$U$9,SUMPRODUCT(($D$10:$L$10&lt;&gt;"")*(($D$10:$L$10-($D$9:$L$9+INT(($S$12:$AA$12+INDEX($AJ$13:$AR$162,BN5654,0)+INDEX($AT$13:$BB$162,BO5654,0)+INDEX($BD$13:$BL$162,BP5654,0))/100)))&gt;0)*($D$10:$L$10-($D$9:$L$9+INT(($S$12:$AA$12+INDEX($AJ$13:$AR$162,BN5654,0)+INDEX($AT$13:$BB$162,BO5654,0)+INDEX($BD$13:$BL$162,BP5654,0))/100)))),0)</f>
        <v/>
      </c>
      <c r="BS5654">
        <f>IF(5641&lt;$U$9,SUMPRODUCT(($D$9:$L$9+INT(($S$12:$AA$12+INDEX($AJ$13:$AR$162,BN5654,0)+INDEX($AT$13:$BB$162,BO5654,0)+INDEX($BD$13:$BL$162,BP5654,0))/100))),0)</f>
        <v/>
      </c>
      <c r="BT5654">
        <f>IF(AND(5641&lt;$U$9,$W$5),BQ5654*1000000-MIN(BR5654,999)*1000+BS5654-5641/100000,-1000000000-5641)</f>
        <v/>
      </c>
    </row>
    <row r="5655">
      <c r="BN5655">
        <f>IF(5642&lt;$U$9,INT(5642/($U$7*$U$8))+1,1)</f>
        <v/>
      </c>
      <c r="BO5655">
        <f>IF(5642&lt;$U$9,MOD(INT(5642/$U$8),$U$7)+1,1)</f>
        <v/>
      </c>
      <c r="BP5655">
        <f>IF(5642&lt;$U$9,MOD(5642,$U$8)+1,1)</f>
        <v/>
      </c>
      <c r="BQ5655">
        <f>IF(5642&lt;$U$9,SUMPRODUCT(($D$10:$L$10&lt;&gt;"")*(($D$9:$L$9+INT(($S$12:$AA$12+INDEX($AJ$13:$AR$162,BN5655,0)+INDEX($AT$13:$BB$162,BO5655,0)+INDEX($BD$13:$BL$162,BP5655,0))/100))&gt;=$D$10:$L$10)),0)</f>
        <v/>
      </c>
      <c r="BR5655">
        <f>IF(5642&lt;$U$9,SUMPRODUCT(($D$10:$L$10&lt;&gt;"")*(($D$10:$L$10-($D$9:$L$9+INT(($S$12:$AA$12+INDEX($AJ$13:$AR$162,BN5655,0)+INDEX($AT$13:$BB$162,BO5655,0)+INDEX($BD$13:$BL$162,BP5655,0))/100)))&gt;0)*($D$10:$L$10-($D$9:$L$9+INT(($S$12:$AA$12+INDEX($AJ$13:$AR$162,BN5655,0)+INDEX($AT$13:$BB$162,BO5655,0)+INDEX($BD$13:$BL$162,BP5655,0))/100)))),0)</f>
        <v/>
      </c>
      <c r="BS5655">
        <f>IF(5642&lt;$U$9,SUMPRODUCT(($D$9:$L$9+INT(($S$12:$AA$12+INDEX($AJ$13:$AR$162,BN5655,0)+INDEX($AT$13:$BB$162,BO5655,0)+INDEX($BD$13:$BL$162,BP5655,0))/100))),0)</f>
        <v/>
      </c>
      <c r="BT5655">
        <f>IF(AND(5642&lt;$U$9,$W$5),BQ5655*1000000-MIN(BR5655,999)*1000+BS5655-5642/100000,-1000000000-5642)</f>
        <v/>
      </c>
    </row>
    <row r="5656">
      <c r="BN5656">
        <f>IF(5643&lt;$U$9,INT(5643/($U$7*$U$8))+1,1)</f>
        <v/>
      </c>
      <c r="BO5656">
        <f>IF(5643&lt;$U$9,MOD(INT(5643/$U$8),$U$7)+1,1)</f>
        <v/>
      </c>
      <c r="BP5656">
        <f>IF(5643&lt;$U$9,MOD(5643,$U$8)+1,1)</f>
        <v/>
      </c>
      <c r="BQ5656">
        <f>IF(5643&lt;$U$9,SUMPRODUCT(($D$10:$L$10&lt;&gt;"")*(($D$9:$L$9+INT(($S$12:$AA$12+INDEX($AJ$13:$AR$162,BN5656,0)+INDEX($AT$13:$BB$162,BO5656,0)+INDEX($BD$13:$BL$162,BP5656,0))/100))&gt;=$D$10:$L$10)),0)</f>
        <v/>
      </c>
      <c r="BR5656">
        <f>IF(5643&lt;$U$9,SUMPRODUCT(($D$10:$L$10&lt;&gt;"")*(($D$10:$L$10-($D$9:$L$9+INT(($S$12:$AA$12+INDEX($AJ$13:$AR$162,BN5656,0)+INDEX($AT$13:$BB$162,BO5656,0)+INDEX($BD$13:$BL$162,BP5656,0))/100)))&gt;0)*($D$10:$L$10-($D$9:$L$9+INT(($S$12:$AA$12+INDEX($AJ$13:$AR$162,BN5656,0)+INDEX($AT$13:$BB$162,BO5656,0)+INDEX($BD$13:$BL$162,BP5656,0))/100)))),0)</f>
        <v/>
      </c>
      <c r="BS5656">
        <f>IF(5643&lt;$U$9,SUMPRODUCT(($D$9:$L$9+INT(($S$12:$AA$12+INDEX($AJ$13:$AR$162,BN5656,0)+INDEX($AT$13:$BB$162,BO5656,0)+INDEX($BD$13:$BL$162,BP5656,0))/100))),0)</f>
        <v/>
      </c>
      <c r="BT5656">
        <f>IF(AND(5643&lt;$U$9,$W$5),BQ5656*1000000-MIN(BR5656,999)*1000+BS5656-5643/100000,-1000000000-5643)</f>
        <v/>
      </c>
    </row>
    <row r="5657">
      <c r="BN5657">
        <f>IF(5644&lt;$U$9,INT(5644/($U$7*$U$8))+1,1)</f>
        <v/>
      </c>
      <c r="BO5657">
        <f>IF(5644&lt;$U$9,MOD(INT(5644/$U$8),$U$7)+1,1)</f>
        <v/>
      </c>
      <c r="BP5657">
        <f>IF(5644&lt;$U$9,MOD(5644,$U$8)+1,1)</f>
        <v/>
      </c>
      <c r="BQ5657">
        <f>IF(5644&lt;$U$9,SUMPRODUCT(($D$10:$L$10&lt;&gt;"")*(($D$9:$L$9+INT(($S$12:$AA$12+INDEX($AJ$13:$AR$162,BN5657,0)+INDEX($AT$13:$BB$162,BO5657,0)+INDEX($BD$13:$BL$162,BP5657,0))/100))&gt;=$D$10:$L$10)),0)</f>
        <v/>
      </c>
      <c r="BR5657">
        <f>IF(5644&lt;$U$9,SUMPRODUCT(($D$10:$L$10&lt;&gt;"")*(($D$10:$L$10-($D$9:$L$9+INT(($S$12:$AA$12+INDEX($AJ$13:$AR$162,BN5657,0)+INDEX($AT$13:$BB$162,BO5657,0)+INDEX($BD$13:$BL$162,BP5657,0))/100)))&gt;0)*($D$10:$L$10-($D$9:$L$9+INT(($S$12:$AA$12+INDEX($AJ$13:$AR$162,BN5657,0)+INDEX($AT$13:$BB$162,BO5657,0)+INDEX($BD$13:$BL$162,BP5657,0))/100)))),0)</f>
        <v/>
      </c>
      <c r="BS5657">
        <f>IF(5644&lt;$U$9,SUMPRODUCT(($D$9:$L$9+INT(($S$12:$AA$12+INDEX($AJ$13:$AR$162,BN5657,0)+INDEX($AT$13:$BB$162,BO5657,0)+INDEX($BD$13:$BL$162,BP5657,0))/100))),0)</f>
        <v/>
      </c>
      <c r="BT5657">
        <f>IF(AND(5644&lt;$U$9,$W$5),BQ5657*1000000-MIN(BR5657,999)*1000+BS5657-5644/100000,-1000000000-5644)</f>
        <v/>
      </c>
    </row>
    <row r="5658">
      <c r="BN5658">
        <f>IF(5645&lt;$U$9,INT(5645/($U$7*$U$8))+1,1)</f>
        <v/>
      </c>
      <c r="BO5658">
        <f>IF(5645&lt;$U$9,MOD(INT(5645/$U$8),$U$7)+1,1)</f>
        <v/>
      </c>
      <c r="BP5658">
        <f>IF(5645&lt;$U$9,MOD(5645,$U$8)+1,1)</f>
        <v/>
      </c>
      <c r="BQ5658">
        <f>IF(5645&lt;$U$9,SUMPRODUCT(($D$10:$L$10&lt;&gt;"")*(($D$9:$L$9+INT(($S$12:$AA$12+INDEX($AJ$13:$AR$162,BN5658,0)+INDEX($AT$13:$BB$162,BO5658,0)+INDEX($BD$13:$BL$162,BP5658,0))/100))&gt;=$D$10:$L$10)),0)</f>
        <v/>
      </c>
      <c r="BR5658">
        <f>IF(5645&lt;$U$9,SUMPRODUCT(($D$10:$L$10&lt;&gt;"")*(($D$10:$L$10-($D$9:$L$9+INT(($S$12:$AA$12+INDEX($AJ$13:$AR$162,BN5658,0)+INDEX($AT$13:$BB$162,BO5658,0)+INDEX($BD$13:$BL$162,BP5658,0))/100)))&gt;0)*($D$10:$L$10-($D$9:$L$9+INT(($S$12:$AA$12+INDEX($AJ$13:$AR$162,BN5658,0)+INDEX($AT$13:$BB$162,BO5658,0)+INDEX($BD$13:$BL$162,BP5658,0))/100)))),0)</f>
        <v/>
      </c>
      <c r="BS5658">
        <f>IF(5645&lt;$U$9,SUMPRODUCT(($D$9:$L$9+INT(($S$12:$AA$12+INDEX($AJ$13:$AR$162,BN5658,0)+INDEX($AT$13:$BB$162,BO5658,0)+INDEX($BD$13:$BL$162,BP5658,0))/100))),0)</f>
        <v/>
      </c>
      <c r="BT5658">
        <f>IF(AND(5645&lt;$U$9,$W$5),BQ5658*1000000-MIN(BR5658,999)*1000+BS5658-5645/100000,-1000000000-5645)</f>
        <v/>
      </c>
    </row>
    <row r="5659">
      <c r="BN5659">
        <f>IF(5646&lt;$U$9,INT(5646/($U$7*$U$8))+1,1)</f>
        <v/>
      </c>
      <c r="BO5659">
        <f>IF(5646&lt;$U$9,MOD(INT(5646/$U$8),$U$7)+1,1)</f>
        <v/>
      </c>
      <c r="BP5659">
        <f>IF(5646&lt;$U$9,MOD(5646,$U$8)+1,1)</f>
        <v/>
      </c>
      <c r="BQ5659">
        <f>IF(5646&lt;$U$9,SUMPRODUCT(($D$10:$L$10&lt;&gt;"")*(($D$9:$L$9+INT(($S$12:$AA$12+INDEX($AJ$13:$AR$162,BN5659,0)+INDEX($AT$13:$BB$162,BO5659,0)+INDEX($BD$13:$BL$162,BP5659,0))/100))&gt;=$D$10:$L$10)),0)</f>
        <v/>
      </c>
      <c r="BR5659">
        <f>IF(5646&lt;$U$9,SUMPRODUCT(($D$10:$L$10&lt;&gt;"")*(($D$10:$L$10-($D$9:$L$9+INT(($S$12:$AA$12+INDEX($AJ$13:$AR$162,BN5659,0)+INDEX($AT$13:$BB$162,BO5659,0)+INDEX($BD$13:$BL$162,BP5659,0))/100)))&gt;0)*($D$10:$L$10-($D$9:$L$9+INT(($S$12:$AA$12+INDEX($AJ$13:$AR$162,BN5659,0)+INDEX($AT$13:$BB$162,BO5659,0)+INDEX($BD$13:$BL$162,BP5659,0))/100)))),0)</f>
        <v/>
      </c>
      <c r="BS5659">
        <f>IF(5646&lt;$U$9,SUMPRODUCT(($D$9:$L$9+INT(($S$12:$AA$12+INDEX($AJ$13:$AR$162,BN5659,0)+INDEX($AT$13:$BB$162,BO5659,0)+INDEX($BD$13:$BL$162,BP5659,0))/100))),0)</f>
        <v/>
      </c>
      <c r="BT5659">
        <f>IF(AND(5646&lt;$U$9,$W$5),BQ5659*1000000-MIN(BR5659,999)*1000+BS5659-5646/100000,-1000000000-5646)</f>
        <v/>
      </c>
    </row>
    <row r="5660">
      <c r="BN5660">
        <f>IF(5647&lt;$U$9,INT(5647/($U$7*$U$8))+1,1)</f>
        <v/>
      </c>
      <c r="BO5660">
        <f>IF(5647&lt;$U$9,MOD(INT(5647/$U$8),$U$7)+1,1)</f>
        <v/>
      </c>
      <c r="BP5660">
        <f>IF(5647&lt;$U$9,MOD(5647,$U$8)+1,1)</f>
        <v/>
      </c>
      <c r="BQ5660">
        <f>IF(5647&lt;$U$9,SUMPRODUCT(($D$10:$L$10&lt;&gt;"")*(($D$9:$L$9+INT(($S$12:$AA$12+INDEX($AJ$13:$AR$162,BN5660,0)+INDEX($AT$13:$BB$162,BO5660,0)+INDEX($BD$13:$BL$162,BP5660,0))/100))&gt;=$D$10:$L$10)),0)</f>
        <v/>
      </c>
      <c r="BR5660">
        <f>IF(5647&lt;$U$9,SUMPRODUCT(($D$10:$L$10&lt;&gt;"")*(($D$10:$L$10-($D$9:$L$9+INT(($S$12:$AA$12+INDEX($AJ$13:$AR$162,BN5660,0)+INDEX($AT$13:$BB$162,BO5660,0)+INDEX($BD$13:$BL$162,BP5660,0))/100)))&gt;0)*($D$10:$L$10-($D$9:$L$9+INT(($S$12:$AA$12+INDEX($AJ$13:$AR$162,BN5660,0)+INDEX($AT$13:$BB$162,BO5660,0)+INDEX($BD$13:$BL$162,BP5660,0))/100)))),0)</f>
        <v/>
      </c>
      <c r="BS5660">
        <f>IF(5647&lt;$U$9,SUMPRODUCT(($D$9:$L$9+INT(($S$12:$AA$12+INDEX($AJ$13:$AR$162,BN5660,0)+INDEX($AT$13:$BB$162,BO5660,0)+INDEX($BD$13:$BL$162,BP5660,0))/100))),0)</f>
        <v/>
      </c>
      <c r="BT5660">
        <f>IF(AND(5647&lt;$U$9,$W$5),BQ5660*1000000-MIN(BR5660,999)*1000+BS5660-5647/100000,-1000000000-5647)</f>
        <v/>
      </c>
    </row>
    <row r="5661">
      <c r="BN5661">
        <f>IF(5648&lt;$U$9,INT(5648/($U$7*$U$8))+1,1)</f>
        <v/>
      </c>
      <c r="BO5661">
        <f>IF(5648&lt;$U$9,MOD(INT(5648/$U$8),$U$7)+1,1)</f>
        <v/>
      </c>
      <c r="BP5661">
        <f>IF(5648&lt;$U$9,MOD(5648,$U$8)+1,1)</f>
        <v/>
      </c>
      <c r="BQ5661">
        <f>IF(5648&lt;$U$9,SUMPRODUCT(($D$10:$L$10&lt;&gt;"")*(($D$9:$L$9+INT(($S$12:$AA$12+INDEX($AJ$13:$AR$162,BN5661,0)+INDEX($AT$13:$BB$162,BO5661,0)+INDEX($BD$13:$BL$162,BP5661,0))/100))&gt;=$D$10:$L$10)),0)</f>
        <v/>
      </c>
      <c r="BR5661">
        <f>IF(5648&lt;$U$9,SUMPRODUCT(($D$10:$L$10&lt;&gt;"")*(($D$10:$L$10-($D$9:$L$9+INT(($S$12:$AA$12+INDEX($AJ$13:$AR$162,BN5661,0)+INDEX($AT$13:$BB$162,BO5661,0)+INDEX($BD$13:$BL$162,BP5661,0))/100)))&gt;0)*($D$10:$L$10-($D$9:$L$9+INT(($S$12:$AA$12+INDEX($AJ$13:$AR$162,BN5661,0)+INDEX($AT$13:$BB$162,BO5661,0)+INDEX($BD$13:$BL$162,BP5661,0))/100)))),0)</f>
        <v/>
      </c>
      <c r="BS5661">
        <f>IF(5648&lt;$U$9,SUMPRODUCT(($D$9:$L$9+INT(($S$12:$AA$12+INDEX($AJ$13:$AR$162,BN5661,0)+INDEX($AT$13:$BB$162,BO5661,0)+INDEX($BD$13:$BL$162,BP5661,0))/100))),0)</f>
        <v/>
      </c>
      <c r="BT5661">
        <f>IF(AND(5648&lt;$U$9,$W$5),BQ5661*1000000-MIN(BR5661,999)*1000+BS5661-5648/100000,-1000000000-5648)</f>
        <v/>
      </c>
    </row>
    <row r="5662">
      <c r="BN5662">
        <f>IF(5649&lt;$U$9,INT(5649/($U$7*$U$8))+1,1)</f>
        <v/>
      </c>
      <c r="BO5662">
        <f>IF(5649&lt;$U$9,MOD(INT(5649/$U$8),$U$7)+1,1)</f>
        <v/>
      </c>
      <c r="BP5662">
        <f>IF(5649&lt;$U$9,MOD(5649,$U$8)+1,1)</f>
        <v/>
      </c>
      <c r="BQ5662">
        <f>IF(5649&lt;$U$9,SUMPRODUCT(($D$10:$L$10&lt;&gt;"")*(($D$9:$L$9+INT(($S$12:$AA$12+INDEX($AJ$13:$AR$162,BN5662,0)+INDEX($AT$13:$BB$162,BO5662,0)+INDEX($BD$13:$BL$162,BP5662,0))/100))&gt;=$D$10:$L$10)),0)</f>
        <v/>
      </c>
      <c r="BR5662">
        <f>IF(5649&lt;$U$9,SUMPRODUCT(($D$10:$L$10&lt;&gt;"")*(($D$10:$L$10-($D$9:$L$9+INT(($S$12:$AA$12+INDEX($AJ$13:$AR$162,BN5662,0)+INDEX($AT$13:$BB$162,BO5662,0)+INDEX($BD$13:$BL$162,BP5662,0))/100)))&gt;0)*($D$10:$L$10-($D$9:$L$9+INT(($S$12:$AA$12+INDEX($AJ$13:$AR$162,BN5662,0)+INDEX($AT$13:$BB$162,BO5662,0)+INDEX($BD$13:$BL$162,BP5662,0))/100)))),0)</f>
        <v/>
      </c>
      <c r="BS5662">
        <f>IF(5649&lt;$U$9,SUMPRODUCT(($D$9:$L$9+INT(($S$12:$AA$12+INDEX($AJ$13:$AR$162,BN5662,0)+INDEX($AT$13:$BB$162,BO5662,0)+INDEX($BD$13:$BL$162,BP5662,0))/100))),0)</f>
        <v/>
      </c>
      <c r="BT5662">
        <f>IF(AND(5649&lt;$U$9,$W$5),BQ5662*1000000-MIN(BR5662,999)*1000+BS5662-5649/100000,-1000000000-5649)</f>
        <v/>
      </c>
    </row>
    <row r="5663">
      <c r="BN5663">
        <f>IF(5650&lt;$U$9,INT(5650/($U$7*$U$8))+1,1)</f>
        <v/>
      </c>
      <c r="BO5663">
        <f>IF(5650&lt;$U$9,MOD(INT(5650/$U$8),$U$7)+1,1)</f>
        <v/>
      </c>
      <c r="BP5663">
        <f>IF(5650&lt;$U$9,MOD(5650,$U$8)+1,1)</f>
        <v/>
      </c>
      <c r="BQ5663">
        <f>IF(5650&lt;$U$9,SUMPRODUCT(($D$10:$L$10&lt;&gt;"")*(($D$9:$L$9+INT(($S$12:$AA$12+INDEX($AJ$13:$AR$162,BN5663,0)+INDEX($AT$13:$BB$162,BO5663,0)+INDEX($BD$13:$BL$162,BP5663,0))/100))&gt;=$D$10:$L$10)),0)</f>
        <v/>
      </c>
      <c r="BR5663">
        <f>IF(5650&lt;$U$9,SUMPRODUCT(($D$10:$L$10&lt;&gt;"")*(($D$10:$L$10-($D$9:$L$9+INT(($S$12:$AA$12+INDEX($AJ$13:$AR$162,BN5663,0)+INDEX($AT$13:$BB$162,BO5663,0)+INDEX($BD$13:$BL$162,BP5663,0))/100)))&gt;0)*($D$10:$L$10-($D$9:$L$9+INT(($S$12:$AA$12+INDEX($AJ$13:$AR$162,BN5663,0)+INDEX($AT$13:$BB$162,BO5663,0)+INDEX($BD$13:$BL$162,BP5663,0))/100)))),0)</f>
        <v/>
      </c>
      <c r="BS5663">
        <f>IF(5650&lt;$U$9,SUMPRODUCT(($D$9:$L$9+INT(($S$12:$AA$12+INDEX($AJ$13:$AR$162,BN5663,0)+INDEX($AT$13:$BB$162,BO5663,0)+INDEX($BD$13:$BL$162,BP5663,0))/100))),0)</f>
        <v/>
      </c>
      <c r="BT5663">
        <f>IF(AND(5650&lt;$U$9,$W$5),BQ5663*1000000-MIN(BR5663,999)*1000+BS5663-5650/100000,-1000000000-5650)</f>
        <v/>
      </c>
    </row>
    <row r="5664">
      <c r="BN5664">
        <f>IF(5651&lt;$U$9,INT(5651/($U$7*$U$8))+1,1)</f>
        <v/>
      </c>
      <c r="BO5664">
        <f>IF(5651&lt;$U$9,MOD(INT(5651/$U$8),$U$7)+1,1)</f>
        <v/>
      </c>
      <c r="BP5664">
        <f>IF(5651&lt;$U$9,MOD(5651,$U$8)+1,1)</f>
        <v/>
      </c>
      <c r="BQ5664">
        <f>IF(5651&lt;$U$9,SUMPRODUCT(($D$10:$L$10&lt;&gt;"")*(($D$9:$L$9+INT(($S$12:$AA$12+INDEX($AJ$13:$AR$162,BN5664,0)+INDEX($AT$13:$BB$162,BO5664,0)+INDEX($BD$13:$BL$162,BP5664,0))/100))&gt;=$D$10:$L$10)),0)</f>
        <v/>
      </c>
      <c r="BR5664">
        <f>IF(5651&lt;$U$9,SUMPRODUCT(($D$10:$L$10&lt;&gt;"")*(($D$10:$L$10-($D$9:$L$9+INT(($S$12:$AA$12+INDEX($AJ$13:$AR$162,BN5664,0)+INDEX($AT$13:$BB$162,BO5664,0)+INDEX($BD$13:$BL$162,BP5664,0))/100)))&gt;0)*($D$10:$L$10-($D$9:$L$9+INT(($S$12:$AA$12+INDEX($AJ$13:$AR$162,BN5664,0)+INDEX($AT$13:$BB$162,BO5664,0)+INDEX($BD$13:$BL$162,BP5664,0))/100)))),0)</f>
        <v/>
      </c>
      <c r="BS5664">
        <f>IF(5651&lt;$U$9,SUMPRODUCT(($D$9:$L$9+INT(($S$12:$AA$12+INDEX($AJ$13:$AR$162,BN5664,0)+INDEX($AT$13:$BB$162,BO5664,0)+INDEX($BD$13:$BL$162,BP5664,0))/100))),0)</f>
        <v/>
      </c>
      <c r="BT5664">
        <f>IF(AND(5651&lt;$U$9,$W$5),BQ5664*1000000-MIN(BR5664,999)*1000+BS5664-5651/100000,-1000000000-5651)</f>
        <v/>
      </c>
    </row>
    <row r="5665">
      <c r="BN5665">
        <f>IF(5652&lt;$U$9,INT(5652/($U$7*$U$8))+1,1)</f>
        <v/>
      </c>
      <c r="BO5665">
        <f>IF(5652&lt;$U$9,MOD(INT(5652/$U$8),$U$7)+1,1)</f>
        <v/>
      </c>
      <c r="BP5665">
        <f>IF(5652&lt;$U$9,MOD(5652,$U$8)+1,1)</f>
        <v/>
      </c>
      <c r="BQ5665">
        <f>IF(5652&lt;$U$9,SUMPRODUCT(($D$10:$L$10&lt;&gt;"")*(($D$9:$L$9+INT(($S$12:$AA$12+INDEX($AJ$13:$AR$162,BN5665,0)+INDEX($AT$13:$BB$162,BO5665,0)+INDEX($BD$13:$BL$162,BP5665,0))/100))&gt;=$D$10:$L$10)),0)</f>
        <v/>
      </c>
      <c r="BR5665">
        <f>IF(5652&lt;$U$9,SUMPRODUCT(($D$10:$L$10&lt;&gt;"")*(($D$10:$L$10-($D$9:$L$9+INT(($S$12:$AA$12+INDEX($AJ$13:$AR$162,BN5665,0)+INDEX($AT$13:$BB$162,BO5665,0)+INDEX($BD$13:$BL$162,BP5665,0))/100)))&gt;0)*($D$10:$L$10-($D$9:$L$9+INT(($S$12:$AA$12+INDEX($AJ$13:$AR$162,BN5665,0)+INDEX($AT$13:$BB$162,BO5665,0)+INDEX($BD$13:$BL$162,BP5665,0))/100)))),0)</f>
        <v/>
      </c>
      <c r="BS5665">
        <f>IF(5652&lt;$U$9,SUMPRODUCT(($D$9:$L$9+INT(($S$12:$AA$12+INDEX($AJ$13:$AR$162,BN5665,0)+INDEX($AT$13:$BB$162,BO5665,0)+INDEX($BD$13:$BL$162,BP5665,0))/100))),0)</f>
        <v/>
      </c>
      <c r="BT5665">
        <f>IF(AND(5652&lt;$U$9,$W$5),BQ5665*1000000-MIN(BR5665,999)*1000+BS5665-5652/100000,-1000000000-5652)</f>
        <v/>
      </c>
    </row>
    <row r="5666">
      <c r="BN5666">
        <f>IF(5653&lt;$U$9,INT(5653/($U$7*$U$8))+1,1)</f>
        <v/>
      </c>
      <c r="BO5666">
        <f>IF(5653&lt;$U$9,MOD(INT(5653/$U$8),$U$7)+1,1)</f>
        <v/>
      </c>
      <c r="BP5666">
        <f>IF(5653&lt;$U$9,MOD(5653,$U$8)+1,1)</f>
        <v/>
      </c>
      <c r="BQ5666">
        <f>IF(5653&lt;$U$9,SUMPRODUCT(($D$10:$L$10&lt;&gt;"")*(($D$9:$L$9+INT(($S$12:$AA$12+INDEX($AJ$13:$AR$162,BN5666,0)+INDEX($AT$13:$BB$162,BO5666,0)+INDEX($BD$13:$BL$162,BP5666,0))/100))&gt;=$D$10:$L$10)),0)</f>
        <v/>
      </c>
      <c r="BR5666">
        <f>IF(5653&lt;$U$9,SUMPRODUCT(($D$10:$L$10&lt;&gt;"")*(($D$10:$L$10-($D$9:$L$9+INT(($S$12:$AA$12+INDEX($AJ$13:$AR$162,BN5666,0)+INDEX($AT$13:$BB$162,BO5666,0)+INDEX($BD$13:$BL$162,BP5666,0))/100)))&gt;0)*($D$10:$L$10-($D$9:$L$9+INT(($S$12:$AA$12+INDEX($AJ$13:$AR$162,BN5666,0)+INDEX($AT$13:$BB$162,BO5666,0)+INDEX($BD$13:$BL$162,BP5666,0))/100)))),0)</f>
        <v/>
      </c>
      <c r="BS5666">
        <f>IF(5653&lt;$U$9,SUMPRODUCT(($D$9:$L$9+INT(($S$12:$AA$12+INDEX($AJ$13:$AR$162,BN5666,0)+INDEX($AT$13:$BB$162,BO5666,0)+INDEX($BD$13:$BL$162,BP5666,0))/100))),0)</f>
        <v/>
      </c>
      <c r="BT5666">
        <f>IF(AND(5653&lt;$U$9,$W$5),BQ5666*1000000-MIN(BR5666,999)*1000+BS5666-5653/100000,-1000000000-5653)</f>
        <v/>
      </c>
    </row>
    <row r="5667">
      <c r="BN5667">
        <f>IF(5654&lt;$U$9,INT(5654/($U$7*$U$8))+1,1)</f>
        <v/>
      </c>
      <c r="BO5667">
        <f>IF(5654&lt;$U$9,MOD(INT(5654/$U$8),$U$7)+1,1)</f>
        <v/>
      </c>
      <c r="BP5667">
        <f>IF(5654&lt;$U$9,MOD(5654,$U$8)+1,1)</f>
        <v/>
      </c>
      <c r="BQ5667">
        <f>IF(5654&lt;$U$9,SUMPRODUCT(($D$10:$L$10&lt;&gt;"")*(($D$9:$L$9+INT(($S$12:$AA$12+INDEX($AJ$13:$AR$162,BN5667,0)+INDEX($AT$13:$BB$162,BO5667,0)+INDEX($BD$13:$BL$162,BP5667,0))/100))&gt;=$D$10:$L$10)),0)</f>
        <v/>
      </c>
      <c r="BR5667">
        <f>IF(5654&lt;$U$9,SUMPRODUCT(($D$10:$L$10&lt;&gt;"")*(($D$10:$L$10-($D$9:$L$9+INT(($S$12:$AA$12+INDEX($AJ$13:$AR$162,BN5667,0)+INDEX($AT$13:$BB$162,BO5667,0)+INDEX($BD$13:$BL$162,BP5667,0))/100)))&gt;0)*($D$10:$L$10-($D$9:$L$9+INT(($S$12:$AA$12+INDEX($AJ$13:$AR$162,BN5667,0)+INDEX($AT$13:$BB$162,BO5667,0)+INDEX($BD$13:$BL$162,BP5667,0))/100)))),0)</f>
        <v/>
      </c>
      <c r="BS5667">
        <f>IF(5654&lt;$U$9,SUMPRODUCT(($D$9:$L$9+INT(($S$12:$AA$12+INDEX($AJ$13:$AR$162,BN5667,0)+INDEX($AT$13:$BB$162,BO5667,0)+INDEX($BD$13:$BL$162,BP5667,0))/100))),0)</f>
        <v/>
      </c>
      <c r="BT5667">
        <f>IF(AND(5654&lt;$U$9,$W$5),BQ5667*1000000-MIN(BR5667,999)*1000+BS5667-5654/100000,-1000000000-5654)</f>
        <v/>
      </c>
    </row>
    <row r="5668">
      <c r="BN5668">
        <f>IF(5655&lt;$U$9,INT(5655/($U$7*$U$8))+1,1)</f>
        <v/>
      </c>
      <c r="BO5668">
        <f>IF(5655&lt;$U$9,MOD(INT(5655/$U$8),$U$7)+1,1)</f>
        <v/>
      </c>
      <c r="BP5668">
        <f>IF(5655&lt;$U$9,MOD(5655,$U$8)+1,1)</f>
        <v/>
      </c>
      <c r="BQ5668">
        <f>IF(5655&lt;$U$9,SUMPRODUCT(($D$10:$L$10&lt;&gt;"")*(($D$9:$L$9+INT(($S$12:$AA$12+INDEX($AJ$13:$AR$162,BN5668,0)+INDEX($AT$13:$BB$162,BO5668,0)+INDEX($BD$13:$BL$162,BP5668,0))/100))&gt;=$D$10:$L$10)),0)</f>
        <v/>
      </c>
      <c r="BR5668">
        <f>IF(5655&lt;$U$9,SUMPRODUCT(($D$10:$L$10&lt;&gt;"")*(($D$10:$L$10-($D$9:$L$9+INT(($S$12:$AA$12+INDEX($AJ$13:$AR$162,BN5668,0)+INDEX($AT$13:$BB$162,BO5668,0)+INDEX($BD$13:$BL$162,BP5668,0))/100)))&gt;0)*($D$10:$L$10-($D$9:$L$9+INT(($S$12:$AA$12+INDEX($AJ$13:$AR$162,BN5668,0)+INDEX($AT$13:$BB$162,BO5668,0)+INDEX($BD$13:$BL$162,BP5668,0))/100)))),0)</f>
        <v/>
      </c>
      <c r="BS5668">
        <f>IF(5655&lt;$U$9,SUMPRODUCT(($D$9:$L$9+INT(($S$12:$AA$12+INDEX($AJ$13:$AR$162,BN5668,0)+INDEX($AT$13:$BB$162,BO5668,0)+INDEX($BD$13:$BL$162,BP5668,0))/100))),0)</f>
        <v/>
      </c>
      <c r="BT5668">
        <f>IF(AND(5655&lt;$U$9,$W$5),BQ5668*1000000-MIN(BR5668,999)*1000+BS5668-5655/100000,-1000000000-5655)</f>
        <v/>
      </c>
    </row>
    <row r="5669">
      <c r="BN5669">
        <f>IF(5656&lt;$U$9,INT(5656/($U$7*$U$8))+1,1)</f>
        <v/>
      </c>
      <c r="BO5669">
        <f>IF(5656&lt;$U$9,MOD(INT(5656/$U$8),$U$7)+1,1)</f>
        <v/>
      </c>
      <c r="BP5669">
        <f>IF(5656&lt;$U$9,MOD(5656,$U$8)+1,1)</f>
        <v/>
      </c>
      <c r="BQ5669">
        <f>IF(5656&lt;$U$9,SUMPRODUCT(($D$10:$L$10&lt;&gt;"")*(($D$9:$L$9+INT(($S$12:$AA$12+INDEX($AJ$13:$AR$162,BN5669,0)+INDEX($AT$13:$BB$162,BO5669,0)+INDEX($BD$13:$BL$162,BP5669,0))/100))&gt;=$D$10:$L$10)),0)</f>
        <v/>
      </c>
      <c r="BR5669">
        <f>IF(5656&lt;$U$9,SUMPRODUCT(($D$10:$L$10&lt;&gt;"")*(($D$10:$L$10-($D$9:$L$9+INT(($S$12:$AA$12+INDEX($AJ$13:$AR$162,BN5669,0)+INDEX($AT$13:$BB$162,BO5669,0)+INDEX($BD$13:$BL$162,BP5669,0))/100)))&gt;0)*($D$10:$L$10-($D$9:$L$9+INT(($S$12:$AA$12+INDEX($AJ$13:$AR$162,BN5669,0)+INDEX($AT$13:$BB$162,BO5669,0)+INDEX($BD$13:$BL$162,BP5669,0))/100)))),0)</f>
        <v/>
      </c>
      <c r="BS5669">
        <f>IF(5656&lt;$U$9,SUMPRODUCT(($D$9:$L$9+INT(($S$12:$AA$12+INDEX($AJ$13:$AR$162,BN5669,0)+INDEX($AT$13:$BB$162,BO5669,0)+INDEX($BD$13:$BL$162,BP5669,0))/100))),0)</f>
        <v/>
      </c>
      <c r="BT5669">
        <f>IF(AND(5656&lt;$U$9,$W$5),BQ5669*1000000-MIN(BR5669,999)*1000+BS5669-5656/100000,-1000000000-5656)</f>
        <v/>
      </c>
    </row>
    <row r="5670">
      <c r="BN5670">
        <f>IF(5657&lt;$U$9,INT(5657/($U$7*$U$8))+1,1)</f>
        <v/>
      </c>
      <c r="BO5670">
        <f>IF(5657&lt;$U$9,MOD(INT(5657/$U$8),$U$7)+1,1)</f>
        <v/>
      </c>
      <c r="BP5670">
        <f>IF(5657&lt;$U$9,MOD(5657,$U$8)+1,1)</f>
        <v/>
      </c>
      <c r="BQ5670">
        <f>IF(5657&lt;$U$9,SUMPRODUCT(($D$10:$L$10&lt;&gt;"")*(($D$9:$L$9+INT(($S$12:$AA$12+INDEX($AJ$13:$AR$162,BN5670,0)+INDEX($AT$13:$BB$162,BO5670,0)+INDEX($BD$13:$BL$162,BP5670,0))/100))&gt;=$D$10:$L$10)),0)</f>
        <v/>
      </c>
      <c r="BR5670">
        <f>IF(5657&lt;$U$9,SUMPRODUCT(($D$10:$L$10&lt;&gt;"")*(($D$10:$L$10-($D$9:$L$9+INT(($S$12:$AA$12+INDEX($AJ$13:$AR$162,BN5670,0)+INDEX($AT$13:$BB$162,BO5670,0)+INDEX($BD$13:$BL$162,BP5670,0))/100)))&gt;0)*($D$10:$L$10-($D$9:$L$9+INT(($S$12:$AA$12+INDEX($AJ$13:$AR$162,BN5670,0)+INDEX($AT$13:$BB$162,BO5670,0)+INDEX($BD$13:$BL$162,BP5670,0))/100)))),0)</f>
        <v/>
      </c>
      <c r="BS5670">
        <f>IF(5657&lt;$U$9,SUMPRODUCT(($D$9:$L$9+INT(($S$12:$AA$12+INDEX($AJ$13:$AR$162,BN5670,0)+INDEX($AT$13:$BB$162,BO5670,0)+INDEX($BD$13:$BL$162,BP5670,0))/100))),0)</f>
        <v/>
      </c>
      <c r="BT5670">
        <f>IF(AND(5657&lt;$U$9,$W$5),BQ5670*1000000-MIN(BR5670,999)*1000+BS5670-5657/100000,-1000000000-5657)</f>
        <v/>
      </c>
    </row>
    <row r="5671">
      <c r="BN5671">
        <f>IF(5658&lt;$U$9,INT(5658/($U$7*$U$8))+1,1)</f>
        <v/>
      </c>
      <c r="BO5671">
        <f>IF(5658&lt;$U$9,MOD(INT(5658/$U$8),$U$7)+1,1)</f>
        <v/>
      </c>
      <c r="BP5671">
        <f>IF(5658&lt;$U$9,MOD(5658,$U$8)+1,1)</f>
        <v/>
      </c>
      <c r="BQ5671">
        <f>IF(5658&lt;$U$9,SUMPRODUCT(($D$10:$L$10&lt;&gt;"")*(($D$9:$L$9+INT(($S$12:$AA$12+INDEX($AJ$13:$AR$162,BN5671,0)+INDEX($AT$13:$BB$162,BO5671,0)+INDEX($BD$13:$BL$162,BP5671,0))/100))&gt;=$D$10:$L$10)),0)</f>
        <v/>
      </c>
      <c r="BR5671">
        <f>IF(5658&lt;$U$9,SUMPRODUCT(($D$10:$L$10&lt;&gt;"")*(($D$10:$L$10-($D$9:$L$9+INT(($S$12:$AA$12+INDEX($AJ$13:$AR$162,BN5671,0)+INDEX($AT$13:$BB$162,BO5671,0)+INDEX($BD$13:$BL$162,BP5671,0))/100)))&gt;0)*($D$10:$L$10-($D$9:$L$9+INT(($S$12:$AA$12+INDEX($AJ$13:$AR$162,BN5671,0)+INDEX($AT$13:$BB$162,BO5671,0)+INDEX($BD$13:$BL$162,BP5671,0))/100)))),0)</f>
        <v/>
      </c>
      <c r="BS5671">
        <f>IF(5658&lt;$U$9,SUMPRODUCT(($D$9:$L$9+INT(($S$12:$AA$12+INDEX($AJ$13:$AR$162,BN5671,0)+INDEX($AT$13:$BB$162,BO5671,0)+INDEX($BD$13:$BL$162,BP5671,0))/100))),0)</f>
        <v/>
      </c>
      <c r="BT5671">
        <f>IF(AND(5658&lt;$U$9,$W$5),BQ5671*1000000-MIN(BR5671,999)*1000+BS5671-5658/100000,-1000000000-5658)</f>
        <v/>
      </c>
    </row>
    <row r="5672">
      <c r="BN5672">
        <f>IF(5659&lt;$U$9,INT(5659/($U$7*$U$8))+1,1)</f>
        <v/>
      </c>
      <c r="BO5672">
        <f>IF(5659&lt;$U$9,MOD(INT(5659/$U$8),$U$7)+1,1)</f>
        <v/>
      </c>
      <c r="BP5672">
        <f>IF(5659&lt;$U$9,MOD(5659,$U$8)+1,1)</f>
        <v/>
      </c>
      <c r="BQ5672">
        <f>IF(5659&lt;$U$9,SUMPRODUCT(($D$10:$L$10&lt;&gt;"")*(($D$9:$L$9+INT(($S$12:$AA$12+INDEX($AJ$13:$AR$162,BN5672,0)+INDEX($AT$13:$BB$162,BO5672,0)+INDEX($BD$13:$BL$162,BP5672,0))/100))&gt;=$D$10:$L$10)),0)</f>
        <v/>
      </c>
      <c r="BR5672">
        <f>IF(5659&lt;$U$9,SUMPRODUCT(($D$10:$L$10&lt;&gt;"")*(($D$10:$L$10-($D$9:$L$9+INT(($S$12:$AA$12+INDEX($AJ$13:$AR$162,BN5672,0)+INDEX($AT$13:$BB$162,BO5672,0)+INDEX($BD$13:$BL$162,BP5672,0))/100)))&gt;0)*($D$10:$L$10-($D$9:$L$9+INT(($S$12:$AA$12+INDEX($AJ$13:$AR$162,BN5672,0)+INDEX($AT$13:$BB$162,BO5672,0)+INDEX($BD$13:$BL$162,BP5672,0))/100)))),0)</f>
        <v/>
      </c>
      <c r="BS5672">
        <f>IF(5659&lt;$U$9,SUMPRODUCT(($D$9:$L$9+INT(($S$12:$AA$12+INDEX($AJ$13:$AR$162,BN5672,0)+INDEX($AT$13:$BB$162,BO5672,0)+INDEX($BD$13:$BL$162,BP5672,0))/100))),0)</f>
        <v/>
      </c>
      <c r="BT5672">
        <f>IF(AND(5659&lt;$U$9,$W$5),BQ5672*1000000-MIN(BR5672,999)*1000+BS5672-5659/100000,-1000000000-5659)</f>
        <v/>
      </c>
    </row>
    <row r="5673">
      <c r="BN5673">
        <f>IF(5660&lt;$U$9,INT(5660/($U$7*$U$8))+1,1)</f>
        <v/>
      </c>
      <c r="BO5673">
        <f>IF(5660&lt;$U$9,MOD(INT(5660/$U$8),$U$7)+1,1)</f>
        <v/>
      </c>
      <c r="BP5673">
        <f>IF(5660&lt;$U$9,MOD(5660,$U$8)+1,1)</f>
        <v/>
      </c>
      <c r="BQ5673">
        <f>IF(5660&lt;$U$9,SUMPRODUCT(($D$10:$L$10&lt;&gt;"")*(($D$9:$L$9+INT(($S$12:$AA$12+INDEX($AJ$13:$AR$162,BN5673,0)+INDEX($AT$13:$BB$162,BO5673,0)+INDEX($BD$13:$BL$162,BP5673,0))/100))&gt;=$D$10:$L$10)),0)</f>
        <v/>
      </c>
      <c r="BR5673">
        <f>IF(5660&lt;$U$9,SUMPRODUCT(($D$10:$L$10&lt;&gt;"")*(($D$10:$L$10-($D$9:$L$9+INT(($S$12:$AA$12+INDEX($AJ$13:$AR$162,BN5673,0)+INDEX($AT$13:$BB$162,BO5673,0)+INDEX($BD$13:$BL$162,BP5673,0))/100)))&gt;0)*($D$10:$L$10-($D$9:$L$9+INT(($S$12:$AA$12+INDEX($AJ$13:$AR$162,BN5673,0)+INDEX($AT$13:$BB$162,BO5673,0)+INDEX($BD$13:$BL$162,BP5673,0))/100)))),0)</f>
        <v/>
      </c>
      <c r="BS5673">
        <f>IF(5660&lt;$U$9,SUMPRODUCT(($D$9:$L$9+INT(($S$12:$AA$12+INDEX($AJ$13:$AR$162,BN5673,0)+INDEX($AT$13:$BB$162,BO5673,0)+INDEX($BD$13:$BL$162,BP5673,0))/100))),0)</f>
        <v/>
      </c>
      <c r="BT5673">
        <f>IF(AND(5660&lt;$U$9,$W$5),BQ5673*1000000-MIN(BR5673,999)*1000+BS5673-5660/100000,-1000000000-5660)</f>
        <v/>
      </c>
    </row>
    <row r="5674">
      <c r="BN5674">
        <f>IF(5661&lt;$U$9,INT(5661/($U$7*$U$8))+1,1)</f>
        <v/>
      </c>
      <c r="BO5674">
        <f>IF(5661&lt;$U$9,MOD(INT(5661/$U$8),$U$7)+1,1)</f>
        <v/>
      </c>
      <c r="BP5674">
        <f>IF(5661&lt;$U$9,MOD(5661,$U$8)+1,1)</f>
        <v/>
      </c>
      <c r="BQ5674">
        <f>IF(5661&lt;$U$9,SUMPRODUCT(($D$10:$L$10&lt;&gt;"")*(($D$9:$L$9+INT(($S$12:$AA$12+INDEX($AJ$13:$AR$162,BN5674,0)+INDEX($AT$13:$BB$162,BO5674,0)+INDEX($BD$13:$BL$162,BP5674,0))/100))&gt;=$D$10:$L$10)),0)</f>
        <v/>
      </c>
      <c r="BR5674">
        <f>IF(5661&lt;$U$9,SUMPRODUCT(($D$10:$L$10&lt;&gt;"")*(($D$10:$L$10-($D$9:$L$9+INT(($S$12:$AA$12+INDEX($AJ$13:$AR$162,BN5674,0)+INDEX($AT$13:$BB$162,BO5674,0)+INDEX($BD$13:$BL$162,BP5674,0))/100)))&gt;0)*($D$10:$L$10-($D$9:$L$9+INT(($S$12:$AA$12+INDEX($AJ$13:$AR$162,BN5674,0)+INDEX($AT$13:$BB$162,BO5674,0)+INDEX($BD$13:$BL$162,BP5674,0))/100)))),0)</f>
        <v/>
      </c>
      <c r="BS5674">
        <f>IF(5661&lt;$U$9,SUMPRODUCT(($D$9:$L$9+INT(($S$12:$AA$12+INDEX($AJ$13:$AR$162,BN5674,0)+INDEX($AT$13:$BB$162,BO5674,0)+INDEX($BD$13:$BL$162,BP5674,0))/100))),0)</f>
        <v/>
      </c>
      <c r="BT5674">
        <f>IF(AND(5661&lt;$U$9,$W$5),BQ5674*1000000-MIN(BR5674,999)*1000+BS5674-5661/100000,-1000000000-5661)</f>
        <v/>
      </c>
    </row>
    <row r="5675">
      <c r="BN5675">
        <f>IF(5662&lt;$U$9,INT(5662/($U$7*$U$8))+1,1)</f>
        <v/>
      </c>
      <c r="BO5675">
        <f>IF(5662&lt;$U$9,MOD(INT(5662/$U$8),$U$7)+1,1)</f>
        <v/>
      </c>
      <c r="BP5675">
        <f>IF(5662&lt;$U$9,MOD(5662,$U$8)+1,1)</f>
        <v/>
      </c>
      <c r="BQ5675">
        <f>IF(5662&lt;$U$9,SUMPRODUCT(($D$10:$L$10&lt;&gt;"")*(($D$9:$L$9+INT(($S$12:$AA$12+INDEX($AJ$13:$AR$162,BN5675,0)+INDEX($AT$13:$BB$162,BO5675,0)+INDEX($BD$13:$BL$162,BP5675,0))/100))&gt;=$D$10:$L$10)),0)</f>
        <v/>
      </c>
      <c r="BR5675">
        <f>IF(5662&lt;$U$9,SUMPRODUCT(($D$10:$L$10&lt;&gt;"")*(($D$10:$L$10-($D$9:$L$9+INT(($S$12:$AA$12+INDEX($AJ$13:$AR$162,BN5675,0)+INDEX($AT$13:$BB$162,BO5675,0)+INDEX($BD$13:$BL$162,BP5675,0))/100)))&gt;0)*($D$10:$L$10-($D$9:$L$9+INT(($S$12:$AA$12+INDEX($AJ$13:$AR$162,BN5675,0)+INDEX($AT$13:$BB$162,BO5675,0)+INDEX($BD$13:$BL$162,BP5675,0))/100)))),0)</f>
        <v/>
      </c>
      <c r="BS5675">
        <f>IF(5662&lt;$U$9,SUMPRODUCT(($D$9:$L$9+INT(($S$12:$AA$12+INDEX($AJ$13:$AR$162,BN5675,0)+INDEX($AT$13:$BB$162,BO5675,0)+INDEX($BD$13:$BL$162,BP5675,0))/100))),0)</f>
        <v/>
      </c>
      <c r="BT5675">
        <f>IF(AND(5662&lt;$U$9,$W$5),BQ5675*1000000-MIN(BR5675,999)*1000+BS5675-5662/100000,-1000000000-5662)</f>
        <v/>
      </c>
    </row>
    <row r="5676">
      <c r="BN5676">
        <f>IF(5663&lt;$U$9,INT(5663/($U$7*$U$8))+1,1)</f>
        <v/>
      </c>
      <c r="BO5676">
        <f>IF(5663&lt;$U$9,MOD(INT(5663/$U$8),$U$7)+1,1)</f>
        <v/>
      </c>
      <c r="BP5676">
        <f>IF(5663&lt;$U$9,MOD(5663,$U$8)+1,1)</f>
        <v/>
      </c>
      <c r="BQ5676">
        <f>IF(5663&lt;$U$9,SUMPRODUCT(($D$10:$L$10&lt;&gt;"")*(($D$9:$L$9+INT(($S$12:$AA$12+INDEX($AJ$13:$AR$162,BN5676,0)+INDEX($AT$13:$BB$162,BO5676,0)+INDEX($BD$13:$BL$162,BP5676,0))/100))&gt;=$D$10:$L$10)),0)</f>
        <v/>
      </c>
      <c r="BR5676">
        <f>IF(5663&lt;$U$9,SUMPRODUCT(($D$10:$L$10&lt;&gt;"")*(($D$10:$L$10-($D$9:$L$9+INT(($S$12:$AA$12+INDEX($AJ$13:$AR$162,BN5676,0)+INDEX($AT$13:$BB$162,BO5676,0)+INDEX($BD$13:$BL$162,BP5676,0))/100)))&gt;0)*($D$10:$L$10-($D$9:$L$9+INT(($S$12:$AA$12+INDEX($AJ$13:$AR$162,BN5676,0)+INDEX($AT$13:$BB$162,BO5676,0)+INDEX($BD$13:$BL$162,BP5676,0))/100)))),0)</f>
        <v/>
      </c>
      <c r="BS5676">
        <f>IF(5663&lt;$U$9,SUMPRODUCT(($D$9:$L$9+INT(($S$12:$AA$12+INDEX($AJ$13:$AR$162,BN5676,0)+INDEX($AT$13:$BB$162,BO5676,0)+INDEX($BD$13:$BL$162,BP5676,0))/100))),0)</f>
        <v/>
      </c>
      <c r="BT5676">
        <f>IF(AND(5663&lt;$U$9,$W$5),BQ5676*1000000-MIN(BR5676,999)*1000+BS5676-5663/100000,-1000000000-5663)</f>
        <v/>
      </c>
    </row>
    <row r="5677">
      <c r="BN5677">
        <f>IF(5664&lt;$U$9,INT(5664/($U$7*$U$8))+1,1)</f>
        <v/>
      </c>
      <c r="BO5677">
        <f>IF(5664&lt;$U$9,MOD(INT(5664/$U$8),$U$7)+1,1)</f>
        <v/>
      </c>
      <c r="BP5677">
        <f>IF(5664&lt;$U$9,MOD(5664,$U$8)+1,1)</f>
        <v/>
      </c>
      <c r="BQ5677">
        <f>IF(5664&lt;$U$9,SUMPRODUCT(($D$10:$L$10&lt;&gt;"")*(($D$9:$L$9+INT(($S$12:$AA$12+INDEX($AJ$13:$AR$162,BN5677,0)+INDEX($AT$13:$BB$162,BO5677,0)+INDEX($BD$13:$BL$162,BP5677,0))/100))&gt;=$D$10:$L$10)),0)</f>
        <v/>
      </c>
      <c r="BR5677">
        <f>IF(5664&lt;$U$9,SUMPRODUCT(($D$10:$L$10&lt;&gt;"")*(($D$10:$L$10-($D$9:$L$9+INT(($S$12:$AA$12+INDEX($AJ$13:$AR$162,BN5677,0)+INDEX($AT$13:$BB$162,BO5677,0)+INDEX($BD$13:$BL$162,BP5677,0))/100)))&gt;0)*($D$10:$L$10-($D$9:$L$9+INT(($S$12:$AA$12+INDEX($AJ$13:$AR$162,BN5677,0)+INDEX($AT$13:$BB$162,BO5677,0)+INDEX($BD$13:$BL$162,BP5677,0))/100)))),0)</f>
        <v/>
      </c>
      <c r="BS5677">
        <f>IF(5664&lt;$U$9,SUMPRODUCT(($D$9:$L$9+INT(($S$12:$AA$12+INDEX($AJ$13:$AR$162,BN5677,0)+INDEX($AT$13:$BB$162,BO5677,0)+INDEX($BD$13:$BL$162,BP5677,0))/100))),0)</f>
        <v/>
      </c>
      <c r="BT5677">
        <f>IF(AND(5664&lt;$U$9,$W$5),BQ5677*1000000-MIN(BR5677,999)*1000+BS5677-5664/100000,-1000000000-5664)</f>
        <v/>
      </c>
    </row>
    <row r="5678">
      <c r="BN5678">
        <f>IF(5665&lt;$U$9,INT(5665/($U$7*$U$8))+1,1)</f>
        <v/>
      </c>
      <c r="BO5678">
        <f>IF(5665&lt;$U$9,MOD(INT(5665/$U$8),$U$7)+1,1)</f>
        <v/>
      </c>
      <c r="BP5678">
        <f>IF(5665&lt;$U$9,MOD(5665,$U$8)+1,1)</f>
        <v/>
      </c>
      <c r="BQ5678">
        <f>IF(5665&lt;$U$9,SUMPRODUCT(($D$10:$L$10&lt;&gt;"")*(($D$9:$L$9+INT(($S$12:$AA$12+INDEX($AJ$13:$AR$162,BN5678,0)+INDEX($AT$13:$BB$162,BO5678,0)+INDEX($BD$13:$BL$162,BP5678,0))/100))&gt;=$D$10:$L$10)),0)</f>
        <v/>
      </c>
      <c r="BR5678">
        <f>IF(5665&lt;$U$9,SUMPRODUCT(($D$10:$L$10&lt;&gt;"")*(($D$10:$L$10-($D$9:$L$9+INT(($S$12:$AA$12+INDEX($AJ$13:$AR$162,BN5678,0)+INDEX($AT$13:$BB$162,BO5678,0)+INDEX($BD$13:$BL$162,BP5678,0))/100)))&gt;0)*($D$10:$L$10-($D$9:$L$9+INT(($S$12:$AA$12+INDEX($AJ$13:$AR$162,BN5678,0)+INDEX($AT$13:$BB$162,BO5678,0)+INDEX($BD$13:$BL$162,BP5678,0))/100)))),0)</f>
        <v/>
      </c>
      <c r="BS5678">
        <f>IF(5665&lt;$U$9,SUMPRODUCT(($D$9:$L$9+INT(($S$12:$AA$12+INDEX($AJ$13:$AR$162,BN5678,0)+INDEX($AT$13:$BB$162,BO5678,0)+INDEX($BD$13:$BL$162,BP5678,0))/100))),0)</f>
        <v/>
      </c>
      <c r="BT5678">
        <f>IF(AND(5665&lt;$U$9,$W$5),BQ5678*1000000-MIN(BR5678,999)*1000+BS5678-5665/100000,-1000000000-5665)</f>
        <v/>
      </c>
    </row>
    <row r="5679">
      <c r="BN5679">
        <f>IF(5666&lt;$U$9,INT(5666/($U$7*$U$8))+1,1)</f>
        <v/>
      </c>
      <c r="BO5679">
        <f>IF(5666&lt;$U$9,MOD(INT(5666/$U$8),$U$7)+1,1)</f>
        <v/>
      </c>
      <c r="BP5679">
        <f>IF(5666&lt;$U$9,MOD(5666,$U$8)+1,1)</f>
        <v/>
      </c>
      <c r="BQ5679">
        <f>IF(5666&lt;$U$9,SUMPRODUCT(($D$10:$L$10&lt;&gt;"")*(($D$9:$L$9+INT(($S$12:$AA$12+INDEX($AJ$13:$AR$162,BN5679,0)+INDEX($AT$13:$BB$162,BO5679,0)+INDEX($BD$13:$BL$162,BP5679,0))/100))&gt;=$D$10:$L$10)),0)</f>
        <v/>
      </c>
      <c r="BR5679">
        <f>IF(5666&lt;$U$9,SUMPRODUCT(($D$10:$L$10&lt;&gt;"")*(($D$10:$L$10-($D$9:$L$9+INT(($S$12:$AA$12+INDEX($AJ$13:$AR$162,BN5679,0)+INDEX($AT$13:$BB$162,BO5679,0)+INDEX($BD$13:$BL$162,BP5679,0))/100)))&gt;0)*($D$10:$L$10-($D$9:$L$9+INT(($S$12:$AA$12+INDEX($AJ$13:$AR$162,BN5679,0)+INDEX($AT$13:$BB$162,BO5679,0)+INDEX($BD$13:$BL$162,BP5679,0))/100)))),0)</f>
        <v/>
      </c>
      <c r="BS5679">
        <f>IF(5666&lt;$U$9,SUMPRODUCT(($D$9:$L$9+INT(($S$12:$AA$12+INDEX($AJ$13:$AR$162,BN5679,0)+INDEX($AT$13:$BB$162,BO5679,0)+INDEX($BD$13:$BL$162,BP5679,0))/100))),0)</f>
        <v/>
      </c>
      <c r="BT5679">
        <f>IF(AND(5666&lt;$U$9,$W$5),BQ5679*1000000-MIN(BR5679,999)*1000+BS5679-5666/100000,-1000000000-5666)</f>
        <v/>
      </c>
    </row>
    <row r="5680">
      <c r="BN5680">
        <f>IF(5667&lt;$U$9,INT(5667/($U$7*$U$8))+1,1)</f>
        <v/>
      </c>
      <c r="BO5680">
        <f>IF(5667&lt;$U$9,MOD(INT(5667/$U$8),$U$7)+1,1)</f>
        <v/>
      </c>
      <c r="BP5680">
        <f>IF(5667&lt;$U$9,MOD(5667,$U$8)+1,1)</f>
        <v/>
      </c>
      <c r="BQ5680">
        <f>IF(5667&lt;$U$9,SUMPRODUCT(($D$10:$L$10&lt;&gt;"")*(($D$9:$L$9+INT(($S$12:$AA$12+INDEX($AJ$13:$AR$162,BN5680,0)+INDEX($AT$13:$BB$162,BO5680,0)+INDEX($BD$13:$BL$162,BP5680,0))/100))&gt;=$D$10:$L$10)),0)</f>
        <v/>
      </c>
      <c r="BR5680">
        <f>IF(5667&lt;$U$9,SUMPRODUCT(($D$10:$L$10&lt;&gt;"")*(($D$10:$L$10-($D$9:$L$9+INT(($S$12:$AA$12+INDEX($AJ$13:$AR$162,BN5680,0)+INDEX($AT$13:$BB$162,BO5680,0)+INDEX($BD$13:$BL$162,BP5680,0))/100)))&gt;0)*($D$10:$L$10-($D$9:$L$9+INT(($S$12:$AA$12+INDEX($AJ$13:$AR$162,BN5680,0)+INDEX($AT$13:$BB$162,BO5680,0)+INDEX($BD$13:$BL$162,BP5680,0))/100)))),0)</f>
        <v/>
      </c>
      <c r="BS5680">
        <f>IF(5667&lt;$U$9,SUMPRODUCT(($D$9:$L$9+INT(($S$12:$AA$12+INDEX($AJ$13:$AR$162,BN5680,0)+INDEX($AT$13:$BB$162,BO5680,0)+INDEX($BD$13:$BL$162,BP5680,0))/100))),0)</f>
        <v/>
      </c>
      <c r="BT5680">
        <f>IF(AND(5667&lt;$U$9,$W$5),BQ5680*1000000-MIN(BR5680,999)*1000+BS5680-5667/100000,-1000000000-5667)</f>
        <v/>
      </c>
    </row>
    <row r="5681">
      <c r="BN5681">
        <f>IF(5668&lt;$U$9,INT(5668/($U$7*$U$8))+1,1)</f>
        <v/>
      </c>
      <c r="BO5681">
        <f>IF(5668&lt;$U$9,MOD(INT(5668/$U$8),$U$7)+1,1)</f>
        <v/>
      </c>
      <c r="BP5681">
        <f>IF(5668&lt;$U$9,MOD(5668,$U$8)+1,1)</f>
        <v/>
      </c>
      <c r="BQ5681">
        <f>IF(5668&lt;$U$9,SUMPRODUCT(($D$10:$L$10&lt;&gt;"")*(($D$9:$L$9+INT(($S$12:$AA$12+INDEX($AJ$13:$AR$162,BN5681,0)+INDEX($AT$13:$BB$162,BO5681,0)+INDEX($BD$13:$BL$162,BP5681,0))/100))&gt;=$D$10:$L$10)),0)</f>
        <v/>
      </c>
      <c r="BR5681">
        <f>IF(5668&lt;$U$9,SUMPRODUCT(($D$10:$L$10&lt;&gt;"")*(($D$10:$L$10-($D$9:$L$9+INT(($S$12:$AA$12+INDEX($AJ$13:$AR$162,BN5681,0)+INDEX($AT$13:$BB$162,BO5681,0)+INDEX($BD$13:$BL$162,BP5681,0))/100)))&gt;0)*($D$10:$L$10-($D$9:$L$9+INT(($S$12:$AA$12+INDEX($AJ$13:$AR$162,BN5681,0)+INDEX($AT$13:$BB$162,BO5681,0)+INDEX($BD$13:$BL$162,BP5681,0))/100)))),0)</f>
        <v/>
      </c>
      <c r="BS5681">
        <f>IF(5668&lt;$U$9,SUMPRODUCT(($D$9:$L$9+INT(($S$12:$AA$12+INDEX($AJ$13:$AR$162,BN5681,0)+INDEX($AT$13:$BB$162,BO5681,0)+INDEX($BD$13:$BL$162,BP5681,0))/100))),0)</f>
        <v/>
      </c>
      <c r="BT5681">
        <f>IF(AND(5668&lt;$U$9,$W$5),BQ5681*1000000-MIN(BR5681,999)*1000+BS5681-5668/100000,-1000000000-5668)</f>
        <v/>
      </c>
    </row>
    <row r="5682">
      <c r="BN5682">
        <f>IF(5669&lt;$U$9,INT(5669/($U$7*$U$8))+1,1)</f>
        <v/>
      </c>
      <c r="BO5682">
        <f>IF(5669&lt;$U$9,MOD(INT(5669/$U$8),$U$7)+1,1)</f>
        <v/>
      </c>
      <c r="BP5682">
        <f>IF(5669&lt;$U$9,MOD(5669,$U$8)+1,1)</f>
        <v/>
      </c>
      <c r="BQ5682">
        <f>IF(5669&lt;$U$9,SUMPRODUCT(($D$10:$L$10&lt;&gt;"")*(($D$9:$L$9+INT(($S$12:$AA$12+INDEX($AJ$13:$AR$162,BN5682,0)+INDEX($AT$13:$BB$162,BO5682,0)+INDEX($BD$13:$BL$162,BP5682,0))/100))&gt;=$D$10:$L$10)),0)</f>
        <v/>
      </c>
      <c r="BR5682">
        <f>IF(5669&lt;$U$9,SUMPRODUCT(($D$10:$L$10&lt;&gt;"")*(($D$10:$L$10-($D$9:$L$9+INT(($S$12:$AA$12+INDEX($AJ$13:$AR$162,BN5682,0)+INDEX($AT$13:$BB$162,BO5682,0)+INDEX($BD$13:$BL$162,BP5682,0))/100)))&gt;0)*($D$10:$L$10-($D$9:$L$9+INT(($S$12:$AA$12+INDEX($AJ$13:$AR$162,BN5682,0)+INDEX($AT$13:$BB$162,BO5682,0)+INDEX($BD$13:$BL$162,BP5682,0))/100)))),0)</f>
        <v/>
      </c>
      <c r="BS5682">
        <f>IF(5669&lt;$U$9,SUMPRODUCT(($D$9:$L$9+INT(($S$12:$AA$12+INDEX($AJ$13:$AR$162,BN5682,0)+INDEX($AT$13:$BB$162,BO5682,0)+INDEX($BD$13:$BL$162,BP5682,0))/100))),0)</f>
        <v/>
      </c>
      <c r="BT5682">
        <f>IF(AND(5669&lt;$U$9,$W$5),BQ5682*1000000-MIN(BR5682,999)*1000+BS5682-5669/100000,-1000000000-5669)</f>
        <v/>
      </c>
    </row>
    <row r="5683">
      <c r="BN5683">
        <f>IF(5670&lt;$U$9,INT(5670/($U$7*$U$8))+1,1)</f>
        <v/>
      </c>
      <c r="BO5683">
        <f>IF(5670&lt;$U$9,MOD(INT(5670/$U$8),$U$7)+1,1)</f>
        <v/>
      </c>
      <c r="BP5683">
        <f>IF(5670&lt;$U$9,MOD(5670,$U$8)+1,1)</f>
        <v/>
      </c>
      <c r="BQ5683">
        <f>IF(5670&lt;$U$9,SUMPRODUCT(($D$10:$L$10&lt;&gt;"")*(($D$9:$L$9+INT(($S$12:$AA$12+INDEX($AJ$13:$AR$162,BN5683,0)+INDEX($AT$13:$BB$162,BO5683,0)+INDEX($BD$13:$BL$162,BP5683,0))/100))&gt;=$D$10:$L$10)),0)</f>
        <v/>
      </c>
      <c r="BR5683">
        <f>IF(5670&lt;$U$9,SUMPRODUCT(($D$10:$L$10&lt;&gt;"")*(($D$10:$L$10-($D$9:$L$9+INT(($S$12:$AA$12+INDEX($AJ$13:$AR$162,BN5683,0)+INDEX($AT$13:$BB$162,BO5683,0)+INDEX($BD$13:$BL$162,BP5683,0))/100)))&gt;0)*($D$10:$L$10-($D$9:$L$9+INT(($S$12:$AA$12+INDEX($AJ$13:$AR$162,BN5683,0)+INDEX($AT$13:$BB$162,BO5683,0)+INDEX($BD$13:$BL$162,BP5683,0))/100)))),0)</f>
        <v/>
      </c>
      <c r="BS5683">
        <f>IF(5670&lt;$U$9,SUMPRODUCT(($D$9:$L$9+INT(($S$12:$AA$12+INDEX($AJ$13:$AR$162,BN5683,0)+INDEX($AT$13:$BB$162,BO5683,0)+INDEX($BD$13:$BL$162,BP5683,0))/100))),0)</f>
        <v/>
      </c>
      <c r="BT5683">
        <f>IF(AND(5670&lt;$U$9,$W$5),BQ5683*1000000-MIN(BR5683,999)*1000+BS5683-5670/100000,-1000000000-5670)</f>
        <v/>
      </c>
    </row>
    <row r="5684">
      <c r="BN5684">
        <f>IF(5671&lt;$U$9,INT(5671/($U$7*$U$8))+1,1)</f>
        <v/>
      </c>
      <c r="BO5684">
        <f>IF(5671&lt;$U$9,MOD(INT(5671/$U$8),$U$7)+1,1)</f>
        <v/>
      </c>
      <c r="BP5684">
        <f>IF(5671&lt;$U$9,MOD(5671,$U$8)+1,1)</f>
        <v/>
      </c>
      <c r="BQ5684">
        <f>IF(5671&lt;$U$9,SUMPRODUCT(($D$10:$L$10&lt;&gt;"")*(($D$9:$L$9+INT(($S$12:$AA$12+INDEX($AJ$13:$AR$162,BN5684,0)+INDEX($AT$13:$BB$162,BO5684,0)+INDEX($BD$13:$BL$162,BP5684,0))/100))&gt;=$D$10:$L$10)),0)</f>
        <v/>
      </c>
      <c r="BR5684">
        <f>IF(5671&lt;$U$9,SUMPRODUCT(($D$10:$L$10&lt;&gt;"")*(($D$10:$L$10-($D$9:$L$9+INT(($S$12:$AA$12+INDEX($AJ$13:$AR$162,BN5684,0)+INDEX($AT$13:$BB$162,BO5684,0)+INDEX($BD$13:$BL$162,BP5684,0))/100)))&gt;0)*($D$10:$L$10-($D$9:$L$9+INT(($S$12:$AA$12+INDEX($AJ$13:$AR$162,BN5684,0)+INDEX($AT$13:$BB$162,BO5684,0)+INDEX($BD$13:$BL$162,BP5684,0))/100)))),0)</f>
        <v/>
      </c>
      <c r="BS5684">
        <f>IF(5671&lt;$U$9,SUMPRODUCT(($D$9:$L$9+INT(($S$12:$AA$12+INDEX($AJ$13:$AR$162,BN5684,0)+INDEX($AT$13:$BB$162,BO5684,0)+INDEX($BD$13:$BL$162,BP5684,0))/100))),0)</f>
        <v/>
      </c>
      <c r="BT5684">
        <f>IF(AND(5671&lt;$U$9,$W$5),BQ5684*1000000-MIN(BR5684,999)*1000+BS5684-5671/100000,-1000000000-5671)</f>
        <v/>
      </c>
    </row>
    <row r="5685">
      <c r="BN5685">
        <f>IF(5672&lt;$U$9,INT(5672/($U$7*$U$8))+1,1)</f>
        <v/>
      </c>
      <c r="BO5685">
        <f>IF(5672&lt;$U$9,MOD(INT(5672/$U$8),$U$7)+1,1)</f>
        <v/>
      </c>
      <c r="BP5685">
        <f>IF(5672&lt;$U$9,MOD(5672,$U$8)+1,1)</f>
        <v/>
      </c>
      <c r="BQ5685">
        <f>IF(5672&lt;$U$9,SUMPRODUCT(($D$10:$L$10&lt;&gt;"")*(($D$9:$L$9+INT(($S$12:$AA$12+INDEX($AJ$13:$AR$162,BN5685,0)+INDEX($AT$13:$BB$162,BO5685,0)+INDEX($BD$13:$BL$162,BP5685,0))/100))&gt;=$D$10:$L$10)),0)</f>
        <v/>
      </c>
      <c r="BR5685">
        <f>IF(5672&lt;$U$9,SUMPRODUCT(($D$10:$L$10&lt;&gt;"")*(($D$10:$L$10-($D$9:$L$9+INT(($S$12:$AA$12+INDEX($AJ$13:$AR$162,BN5685,0)+INDEX($AT$13:$BB$162,BO5685,0)+INDEX($BD$13:$BL$162,BP5685,0))/100)))&gt;0)*($D$10:$L$10-($D$9:$L$9+INT(($S$12:$AA$12+INDEX($AJ$13:$AR$162,BN5685,0)+INDEX($AT$13:$BB$162,BO5685,0)+INDEX($BD$13:$BL$162,BP5685,0))/100)))),0)</f>
        <v/>
      </c>
      <c r="BS5685">
        <f>IF(5672&lt;$U$9,SUMPRODUCT(($D$9:$L$9+INT(($S$12:$AA$12+INDEX($AJ$13:$AR$162,BN5685,0)+INDEX($AT$13:$BB$162,BO5685,0)+INDEX($BD$13:$BL$162,BP5685,0))/100))),0)</f>
        <v/>
      </c>
      <c r="BT5685">
        <f>IF(AND(5672&lt;$U$9,$W$5),BQ5685*1000000-MIN(BR5685,999)*1000+BS5685-5672/100000,-1000000000-5672)</f>
        <v/>
      </c>
    </row>
    <row r="5686">
      <c r="BN5686">
        <f>IF(5673&lt;$U$9,INT(5673/($U$7*$U$8))+1,1)</f>
        <v/>
      </c>
      <c r="BO5686">
        <f>IF(5673&lt;$U$9,MOD(INT(5673/$U$8),$U$7)+1,1)</f>
        <v/>
      </c>
      <c r="BP5686">
        <f>IF(5673&lt;$U$9,MOD(5673,$U$8)+1,1)</f>
        <v/>
      </c>
      <c r="BQ5686">
        <f>IF(5673&lt;$U$9,SUMPRODUCT(($D$10:$L$10&lt;&gt;"")*(($D$9:$L$9+INT(($S$12:$AA$12+INDEX($AJ$13:$AR$162,BN5686,0)+INDEX($AT$13:$BB$162,BO5686,0)+INDEX($BD$13:$BL$162,BP5686,0))/100))&gt;=$D$10:$L$10)),0)</f>
        <v/>
      </c>
      <c r="BR5686">
        <f>IF(5673&lt;$U$9,SUMPRODUCT(($D$10:$L$10&lt;&gt;"")*(($D$10:$L$10-($D$9:$L$9+INT(($S$12:$AA$12+INDEX($AJ$13:$AR$162,BN5686,0)+INDEX($AT$13:$BB$162,BO5686,0)+INDEX($BD$13:$BL$162,BP5686,0))/100)))&gt;0)*($D$10:$L$10-($D$9:$L$9+INT(($S$12:$AA$12+INDEX($AJ$13:$AR$162,BN5686,0)+INDEX($AT$13:$BB$162,BO5686,0)+INDEX($BD$13:$BL$162,BP5686,0))/100)))),0)</f>
        <v/>
      </c>
      <c r="BS5686">
        <f>IF(5673&lt;$U$9,SUMPRODUCT(($D$9:$L$9+INT(($S$12:$AA$12+INDEX($AJ$13:$AR$162,BN5686,0)+INDEX($AT$13:$BB$162,BO5686,0)+INDEX($BD$13:$BL$162,BP5686,0))/100))),0)</f>
        <v/>
      </c>
      <c r="BT5686">
        <f>IF(AND(5673&lt;$U$9,$W$5),BQ5686*1000000-MIN(BR5686,999)*1000+BS5686-5673/100000,-1000000000-5673)</f>
        <v/>
      </c>
    </row>
    <row r="5687">
      <c r="BN5687">
        <f>IF(5674&lt;$U$9,INT(5674/($U$7*$U$8))+1,1)</f>
        <v/>
      </c>
      <c r="BO5687">
        <f>IF(5674&lt;$U$9,MOD(INT(5674/$U$8),$U$7)+1,1)</f>
        <v/>
      </c>
      <c r="BP5687">
        <f>IF(5674&lt;$U$9,MOD(5674,$U$8)+1,1)</f>
        <v/>
      </c>
      <c r="BQ5687">
        <f>IF(5674&lt;$U$9,SUMPRODUCT(($D$10:$L$10&lt;&gt;"")*(($D$9:$L$9+INT(($S$12:$AA$12+INDEX($AJ$13:$AR$162,BN5687,0)+INDEX($AT$13:$BB$162,BO5687,0)+INDEX($BD$13:$BL$162,BP5687,0))/100))&gt;=$D$10:$L$10)),0)</f>
        <v/>
      </c>
      <c r="BR5687">
        <f>IF(5674&lt;$U$9,SUMPRODUCT(($D$10:$L$10&lt;&gt;"")*(($D$10:$L$10-($D$9:$L$9+INT(($S$12:$AA$12+INDEX($AJ$13:$AR$162,BN5687,0)+INDEX($AT$13:$BB$162,BO5687,0)+INDEX($BD$13:$BL$162,BP5687,0))/100)))&gt;0)*($D$10:$L$10-($D$9:$L$9+INT(($S$12:$AA$12+INDEX($AJ$13:$AR$162,BN5687,0)+INDEX($AT$13:$BB$162,BO5687,0)+INDEX($BD$13:$BL$162,BP5687,0))/100)))),0)</f>
        <v/>
      </c>
      <c r="BS5687">
        <f>IF(5674&lt;$U$9,SUMPRODUCT(($D$9:$L$9+INT(($S$12:$AA$12+INDEX($AJ$13:$AR$162,BN5687,0)+INDEX($AT$13:$BB$162,BO5687,0)+INDEX($BD$13:$BL$162,BP5687,0))/100))),0)</f>
        <v/>
      </c>
      <c r="BT5687">
        <f>IF(AND(5674&lt;$U$9,$W$5),BQ5687*1000000-MIN(BR5687,999)*1000+BS5687-5674/100000,-1000000000-5674)</f>
        <v/>
      </c>
    </row>
    <row r="5688">
      <c r="BN5688">
        <f>IF(5675&lt;$U$9,INT(5675/($U$7*$U$8))+1,1)</f>
        <v/>
      </c>
      <c r="BO5688">
        <f>IF(5675&lt;$U$9,MOD(INT(5675/$U$8),$U$7)+1,1)</f>
        <v/>
      </c>
      <c r="BP5688">
        <f>IF(5675&lt;$U$9,MOD(5675,$U$8)+1,1)</f>
        <v/>
      </c>
      <c r="BQ5688">
        <f>IF(5675&lt;$U$9,SUMPRODUCT(($D$10:$L$10&lt;&gt;"")*(($D$9:$L$9+INT(($S$12:$AA$12+INDEX($AJ$13:$AR$162,BN5688,0)+INDEX($AT$13:$BB$162,BO5688,0)+INDEX($BD$13:$BL$162,BP5688,0))/100))&gt;=$D$10:$L$10)),0)</f>
        <v/>
      </c>
      <c r="BR5688">
        <f>IF(5675&lt;$U$9,SUMPRODUCT(($D$10:$L$10&lt;&gt;"")*(($D$10:$L$10-($D$9:$L$9+INT(($S$12:$AA$12+INDEX($AJ$13:$AR$162,BN5688,0)+INDEX($AT$13:$BB$162,BO5688,0)+INDEX($BD$13:$BL$162,BP5688,0))/100)))&gt;0)*($D$10:$L$10-($D$9:$L$9+INT(($S$12:$AA$12+INDEX($AJ$13:$AR$162,BN5688,0)+INDEX($AT$13:$BB$162,BO5688,0)+INDEX($BD$13:$BL$162,BP5688,0))/100)))),0)</f>
        <v/>
      </c>
      <c r="BS5688">
        <f>IF(5675&lt;$U$9,SUMPRODUCT(($D$9:$L$9+INT(($S$12:$AA$12+INDEX($AJ$13:$AR$162,BN5688,0)+INDEX($AT$13:$BB$162,BO5688,0)+INDEX($BD$13:$BL$162,BP5688,0))/100))),0)</f>
        <v/>
      </c>
      <c r="BT5688">
        <f>IF(AND(5675&lt;$U$9,$W$5),BQ5688*1000000-MIN(BR5688,999)*1000+BS5688-5675/100000,-1000000000-5675)</f>
        <v/>
      </c>
    </row>
    <row r="5689">
      <c r="BN5689">
        <f>IF(5676&lt;$U$9,INT(5676/($U$7*$U$8))+1,1)</f>
        <v/>
      </c>
      <c r="BO5689">
        <f>IF(5676&lt;$U$9,MOD(INT(5676/$U$8),$U$7)+1,1)</f>
        <v/>
      </c>
      <c r="BP5689">
        <f>IF(5676&lt;$U$9,MOD(5676,$U$8)+1,1)</f>
        <v/>
      </c>
      <c r="BQ5689">
        <f>IF(5676&lt;$U$9,SUMPRODUCT(($D$10:$L$10&lt;&gt;"")*(($D$9:$L$9+INT(($S$12:$AA$12+INDEX($AJ$13:$AR$162,BN5689,0)+INDEX($AT$13:$BB$162,BO5689,0)+INDEX($BD$13:$BL$162,BP5689,0))/100))&gt;=$D$10:$L$10)),0)</f>
        <v/>
      </c>
      <c r="BR5689">
        <f>IF(5676&lt;$U$9,SUMPRODUCT(($D$10:$L$10&lt;&gt;"")*(($D$10:$L$10-($D$9:$L$9+INT(($S$12:$AA$12+INDEX($AJ$13:$AR$162,BN5689,0)+INDEX($AT$13:$BB$162,BO5689,0)+INDEX($BD$13:$BL$162,BP5689,0))/100)))&gt;0)*($D$10:$L$10-($D$9:$L$9+INT(($S$12:$AA$12+INDEX($AJ$13:$AR$162,BN5689,0)+INDEX($AT$13:$BB$162,BO5689,0)+INDEX($BD$13:$BL$162,BP5689,0))/100)))),0)</f>
        <v/>
      </c>
      <c r="BS5689">
        <f>IF(5676&lt;$U$9,SUMPRODUCT(($D$9:$L$9+INT(($S$12:$AA$12+INDEX($AJ$13:$AR$162,BN5689,0)+INDEX($AT$13:$BB$162,BO5689,0)+INDEX($BD$13:$BL$162,BP5689,0))/100))),0)</f>
        <v/>
      </c>
      <c r="BT5689">
        <f>IF(AND(5676&lt;$U$9,$W$5),BQ5689*1000000-MIN(BR5689,999)*1000+BS5689-5676/100000,-1000000000-5676)</f>
        <v/>
      </c>
    </row>
    <row r="5690">
      <c r="BN5690">
        <f>IF(5677&lt;$U$9,INT(5677/($U$7*$U$8))+1,1)</f>
        <v/>
      </c>
      <c r="BO5690">
        <f>IF(5677&lt;$U$9,MOD(INT(5677/$U$8),$U$7)+1,1)</f>
        <v/>
      </c>
      <c r="BP5690">
        <f>IF(5677&lt;$U$9,MOD(5677,$U$8)+1,1)</f>
        <v/>
      </c>
      <c r="BQ5690">
        <f>IF(5677&lt;$U$9,SUMPRODUCT(($D$10:$L$10&lt;&gt;"")*(($D$9:$L$9+INT(($S$12:$AA$12+INDEX($AJ$13:$AR$162,BN5690,0)+INDEX($AT$13:$BB$162,BO5690,0)+INDEX($BD$13:$BL$162,BP5690,0))/100))&gt;=$D$10:$L$10)),0)</f>
        <v/>
      </c>
      <c r="BR5690">
        <f>IF(5677&lt;$U$9,SUMPRODUCT(($D$10:$L$10&lt;&gt;"")*(($D$10:$L$10-($D$9:$L$9+INT(($S$12:$AA$12+INDEX($AJ$13:$AR$162,BN5690,0)+INDEX($AT$13:$BB$162,BO5690,0)+INDEX($BD$13:$BL$162,BP5690,0))/100)))&gt;0)*($D$10:$L$10-($D$9:$L$9+INT(($S$12:$AA$12+INDEX($AJ$13:$AR$162,BN5690,0)+INDEX($AT$13:$BB$162,BO5690,0)+INDEX($BD$13:$BL$162,BP5690,0))/100)))),0)</f>
        <v/>
      </c>
      <c r="BS5690">
        <f>IF(5677&lt;$U$9,SUMPRODUCT(($D$9:$L$9+INT(($S$12:$AA$12+INDEX($AJ$13:$AR$162,BN5690,0)+INDEX($AT$13:$BB$162,BO5690,0)+INDEX($BD$13:$BL$162,BP5690,0))/100))),0)</f>
        <v/>
      </c>
      <c r="BT5690">
        <f>IF(AND(5677&lt;$U$9,$W$5),BQ5690*1000000-MIN(BR5690,999)*1000+BS5690-5677/100000,-1000000000-5677)</f>
        <v/>
      </c>
    </row>
    <row r="5691">
      <c r="BN5691">
        <f>IF(5678&lt;$U$9,INT(5678/($U$7*$U$8))+1,1)</f>
        <v/>
      </c>
      <c r="BO5691">
        <f>IF(5678&lt;$U$9,MOD(INT(5678/$U$8),$U$7)+1,1)</f>
        <v/>
      </c>
      <c r="BP5691">
        <f>IF(5678&lt;$U$9,MOD(5678,$U$8)+1,1)</f>
        <v/>
      </c>
      <c r="BQ5691">
        <f>IF(5678&lt;$U$9,SUMPRODUCT(($D$10:$L$10&lt;&gt;"")*(($D$9:$L$9+INT(($S$12:$AA$12+INDEX($AJ$13:$AR$162,BN5691,0)+INDEX($AT$13:$BB$162,BO5691,0)+INDEX($BD$13:$BL$162,BP5691,0))/100))&gt;=$D$10:$L$10)),0)</f>
        <v/>
      </c>
      <c r="BR5691">
        <f>IF(5678&lt;$U$9,SUMPRODUCT(($D$10:$L$10&lt;&gt;"")*(($D$10:$L$10-($D$9:$L$9+INT(($S$12:$AA$12+INDEX($AJ$13:$AR$162,BN5691,0)+INDEX($AT$13:$BB$162,BO5691,0)+INDEX($BD$13:$BL$162,BP5691,0))/100)))&gt;0)*($D$10:$L$10-($D$9:$L$9+INT(($S$12:$AA$12+INDEX($AJ$13:$AR$162,BN5691,0)+INDEX($AT$13:$BB$162,BO5691,0)+INDEX($BD$13:$BL$162,BP5691,0))/100)))),0)</f>
        <v/>
      </c>
      <c r="BS5691">
        <f>IF(5678&lt;$U$9,SUMPRODUCT(($D$9:$L$9+INT(($S$12:$AA$12+INDEX($AJ$13:$AR$162,BN5691,0)+INDEX($AT$13:$BB$162,BO5691,0)+INDEX($BD$13:$BL$162,BP5691,0))/100))),0)</f>
        <v/>
      </c>
      <c r="BT5691">
        <f>IF(AND(5678&lt;$U$9,$W$5),BQ5691*1000000-MIN(BR5691,999)*1000+BS5691-5678/100000,-1000000000-5678)</f>
        <v/>
      </c>
    </row>
    <row r="5692">
      <c r="BN5692">
        <f>IF(5679&lt;$U$9,INT(5679/($U$7*$U$8))+1,1)</f>
        <v/>
      </c>
      <c r="BO5692">
        <f>IF(5679&lt;$U$9,MOD(INT(5679/$U$8),$U$7)+1,1)</f>
        <v/>
      </c>
      <c r="BP5692">
        <f>IF(5679&lt;$U$9,MOD(5679,$U$8)+1,1)</f>
        <v/>
      </c>
      <c r="BQ5692">
        <f>IF(5679&lt;$U$9,SUMPRODUCT(($D$10:$L$10&lt;&gt;"")*(($D$9:$L$9+INT(($S$12:$AA$12+INDEX($AJ$13:$AR$162,BN5692,0)+INDEX($AT$13:$BB$162,BO5692,0)+INDEX($BD$13:$BL$162,BP5692,0))/100))&gt;=$D$10:$L$10)),0)</f>
        <v/>
      </c>
      <c r="BR5692">
        <f>IF(5679&lt;$U$9,SUMPRODUCT(($D$10:$L$10&lt;&gt;"")*(($D$10:$L$10-($D$9:$L$9+INT(($S$12:$AA$12+INDEX($AJ$13:$AR$162,BN5692,0)+INDEX($AT$13:$BB$162,BO5692,0)+INDEX($BD$13:$BL$162,BP5692,0))/100)))&gt;0)*($D$10:$L$10-($D$9:$L$9+INT(($S$12:$AA$12+INDEX($AJ$13:$AR$162,BN5692,0)+INDEX($AT$13:$BB$162,BO5692,0)+INDEX($BD$13:$BL$162,BP5692,0))/100)))),0)</f>
        <v/>
      </c>
      <c r="BS5692">
        <f>IF(5679&lt;$U$9,SUMPRODUCT(($D$9:$L$9+INT(($S$12:$AA$12+INDEX($AJ$13:$AR$162,BN5692,0)+INDEX($AT$13:$BB$162,BO5692,0)+INDEX($BD$13:$BL$162,BP5692,0))/100))),0)</f>
        <v/>
      </c>
      <c r="BT5692">
        <f>IF(AND(5679&lt;$U$9,$W$5),BQ5692*1000000-MIN(BR5692,999)*1000+BS5692-5679/100000,-1000000000-5679)</f>
        <v/>
      </c>
    </row>
    <row r="5693">
      <c r="BN5693">
        <f>IF(5680&lt;$U$9,INT(5680/($U$7*$U$8))+1,1)</f>
        <v/>
      </c>
      <c r="BO5693">
        <f>IF(5680&lt;$U$9,MOD(INT(5680/$U$8),$U$7)+1,1)</f>
        <v/>
      </c>
      <c r="BP5693">
        <f>IF(5680&lt;$U$9,MOD(5680,$U$8)+1,1)</f>
        <v/>
      </c>
      <c r="BQ5693">
        <f>IF(5680&lt;$U$9,SUMPRODUCT(($D$10:$L$10&lt;&gt;"")*(($D$9:$L$9+INT(($S$12:$AA$12+INDEX($AJ$13:$AR$162,BN5693,0)+INDEX($AT$13:$BB$162,BO5693,0)+INDEX($BD$13:$BL$162,BP5693,0))/100))&gt;=$D$10:$L$10)),0)</f>
        <v/>
      </c>
      <c r="BR5693">
        <f>IF(5680&lt;$U$9,SUMPRODUCT(($D$10:$L$10&lt;&gt;"")*(($D$10:$L$10-($D$9:$L$9+INT(($S$12:$AA$12+INDEX($AJ$13:$AR$162,BN5693,0)+INDEX($AT$13:$BB$162,BO5693,0)+INDEX($BD$13:$BL$162,BP5693,0))/100)))&gt;0)*($D$10:$L$10-($D$9:$L$9+INT(($S$12:$AA$12+INDEX($AJ$13:$AR$162,BN5693,0)+INDEX($AT$13:$BB$162,BO5693,0)+INDEX($BD$13:$BL$162,BP5693,0))/100)))),0)</f>
        <v/>
      </c>
      <c r="BS5693">
        <f>IF(5680&lt;$U$9,SUMPRODUCT(($D$9:$L$9+INT(($S$12:$AA$12+INDEX($AJ$13:$AR$162,BN5693,0)+INDEX($AT$13:$BB$162,BO5693,0)+INDEX($BD$13:$BL$162,BP5693,0))/100))),0)</f>
        <v/>
      </c>
      <c r="BT5693">
        <f>IF(AND(5680&lt;$U$9,$W$5),BQ5693*1000000-MIN(BR5693,999)*1000+BS5693-5680/100000,-1000000000-5680)</f>
        <v/>
      </c>
    </row>
    <row r="5694">
      <c r="BN5694">
        <f>IF(5681&lt;$U$9,INT(5681/($U$7*$U$8))+1,1)</f>
        <v/>
      </c>
      <c r="BO5694">
        <f>IF(5681&lt;$U$9,MOD(INT(5681/$U$8),$U$7)+1,1)</f>
        <v/>
      </c>
      <c r="BP5694">
        <f>IF(5681&lt;$U$9,MOD(5681,$U$8)+1,1)</f>
        <v/>
      </c>
      <c r="BQ5694">
        <f>IF(5681&lt;$U$9,SUMPRODUCT(($D$10:$L$10&lt;&gt;"")*(($D$9:$L$9+INT(($S$12:$AA$12+INDEX($AJ$13:$AR$162,BN5694,0)+INDEX($AT$13:$BB$162,BO5694,0)+INDEX($BD$13:$BL$162,BP5694,0))/100))&gt;=$D$10:$L$10)),0)</f>
        <v/>
      </c>
      <c r="BR5694">
        <f>IF(5681&lt;$U$9,SUMPRODUCT(($D$10:$L$10&lt;&gt;"")*(($D$10:$L$10-($D$9:$L$9+INT(($S$12:$AA$12+INDEX($AJ$13:$AR$162,BN5694,0)+INDEX($AT$13:$BB$162,BO5694,0)+INDEX($BD$13:$BL$162,BP5694,0))/100)))&gt;0)*($D$10:$L$10-($D$9:$L$9+INT(($S$12:$AA$12+INDEX($AJ$13:$AR$162,BN5694,0)+INDEX($AT$13:$BB$162,BO5694,0)+INDEX($BD$13:$BL$162,BP5694,0))/100)))),0)</f>
        <v/>
      </c>
      <c r="BS5694">
        <f>IF(5681&lt;$U$9,SUMPRODUCT(($D$9:$L$9+INT(($S$12:$AA$12+INDEX($AJ$13:$AR$162,BN5694,0)+INDEX($AT$13:$BB$162,BO5694,0)+INDEX($BD$13:$BL$162,BP5694,0))/100))),0)</f>
        <v/>
      </c>
      <c r="BT5694">
        <f>IF(AND(5681&lt;$U$9,$W$5),BQ5694*1000000-MIN(BR5694,999)*1000+BS5694-5681/100000,-1000000000-5681)</f>
        <v/>
      </c>
    </row>
    <row r="5695">
      <c r="BN5695">
        <f>IF(5682&lt;$U$9,INT(5682/($U$7*$U$8))+1,1)</f>
        <v/>
      </c>
      <c r="BO5695">
        <f>IF(5682&lt;$U$9,MOD(INT(5682/$U$8),$U$7)+1,1)</f>
        <v/>
      </c>
      <c r="BP5695">
        <f>IF(5682&lt;$U$9,MOD(5682,$U$8)+1,1)</f>
        <v/>
      </c>
      <c r="BQ5695">
        <f>IF(5682&lt;$U$9,SUMPRODUCT(($D$10:$L$10&lt;&gt;"")*(($D$9:$L$9+INT(($S$12:$AA$12+INDEX($AJ$13:$AR$162,BN5695,0)+INDEX($AT$13:$BB$162,BO5695,0)+INDEX($BD$13:$BL$162,BP5695,0))/100))&gt;=$D$10:$L$10)),0)</f>
        <v/>
      </c>
      <c r="BR5695">
        <f>IF(5682&lt;$U$9,SUMPRODUCT(($D$10:$L$10&lt;&gt;"")*(($D$10:$L$10-($D$9:$L$9+INT(($S$12:$AA$12+INDEX($AJ$13:$AR$162,BN5695,0)+INDEX($AT$13:$BB$162,BO5695,0)+INDEX($BD$13:$BL$162,BP5695,0))/100)))&gt;0)*($D$10:$L$10-($D$9:$L$9+INT(($S$12:$AA$12+INDEX($AJ$13:$AR$162,BN5695,0)+INDEX($AT$13:$BB$162,BO5695,0)+INDEX($BD$13:$BL$162,BP5695,0))/100)))),0)</f>
        <v/>
      </c>
      <c r="BS5695">
        <f>IF(5682&lt;$U$9,SUMPRODUCT(($D$9:$L$9+INT(($S$12:$AA$12+INDEX($AJ$13:$AR$162,BN5695,0)+INDEX($AT$13:$BB$162,BO5695,0)+INDEX($BD$13:$BL$162,BP5695,0))/100))),0)</f>
        <v/>
      </c>
      <c r="BT5695">
        <f>IF(AND(5682&lt;$U$9,$W$5),BQ5695*1000000-MIN(BR5695,999)*1000+BS5695-5682/100000,-1000000000-5682)</f>
        <v/>
      </c>
    </row>
    <row r="5696">
      <c r="BN5696">
        <f>IF(5683&lt;$U$9,INT(5683/($U$7*$U$8))+1,1)</f>
        <v/>
      </c>
      <c r="BO5696">
        <f>IF(5683&lt;$U$9,MOD(INT(5683/$U$8),$U$7)+1,1)</f>
        <v/>
      </c>
      <c r="BP5696">
        <f>IF(5683&lt;$U$9,MOD(5683,$U$8)+1,1)</f>
        <v/>
      </c>
      <c r="BQ5696">
        <f>IF(5683&lt;$U$9,SUMPRODUCT(($D$10:$L$10&lt;&gt;"")*(($D$9:$L$9+INT(($S$12:$AA$12+INDEX($AJ$13:$AR$162,BN5696,0)+INDEX($AT$13:$BB$162,BO5696,0)+INDEX($BD$13:$BL$162,BP5696,0))/100))&gt;=$D$10:$L$10)),0)</f>
        <v/>
      </c>
      <c r="BR5696">
        <f>IF(5683&lt;$U$9,SUMPRODUCT(($D$10:$L$10&lt;&gt;"")*(($D$10:$L$10-($D$9:$L$9+INT(($S$12:$AA$12+INDEX($AJ$13:$AR$162,BN5696,0)+INDEX($AT$13:$BB$162,BO5696,0)+INDEX($BD$13:$BL$162,BP5696,0))/100)))&gt;0)*($D$10:$L$10-($D$9:$L$9+INT(($S$12:$AA$12+INDEX($AJ$13:$AR$162,BN5696,0)+INDEX($AT$13:$BB$162,BO5696,0)+INDEX($BD$13:$BL$162,BP5696,0))/100)))),0)</f>
        <v/>
      </c>
      <c r="BS5696">
        <f>IF(5683&lt;$U$9,SUMPRODUCT(($D$9:$L$9+INT(($S$12:$AA$12+INDEX($AJ$13:$AR$162,BN5696,0)+INDEX($AT$13:$BB$162,BO5696,0)+INDEX($BD$13:$BL$162,BP5696,0))/100))),0)</f>
        <v/>
      </c>
      <c r="BT5696">
        <f>IF(AND(5683&lt;$U$9,$W$5),BQ5696*1000000-MIN(BR5696,999)*1000+BS5696-5683/100000,-1000000000-5683)</f>
        <v/>
      </c>
    </row>
    <row r="5697">
      <c r="BN5697">
        <f>IF(5684&lt;$U$9,INT(5684/($U$7*$U$8))+1,1)</f>
        <v/>
      </c>
      <c r="BO5697">
        <f>IF(5684&lt;$U$9,MOD(INT(5684/$U$8),$U$7)+1,1)</f>
        <v/>
      </c>
      <c r="BP5697">
        <f>IF(5684&lt;$U$9,MOD(5684,$U$8)+1,1)</f>
        <v/>
      </c>
      <c r="BQ5697">
        <f>IF(5684&lt;$U$9,SUMPRODUCT(($D$10:$L$10&lt;&gt;"")*(($D$9:$L$9+INT(($S$12:$AA$12+INDEX($AJ$13:$AR$162,BN5697,0)+INDEX($AT$13:$BB$162,BO5697,0)+INDEX($BD$13:$BL$162,BP5697,0))/100))&gt;=$D$10:$L$10)),0)</f>
        <v/>
      </c>
      <c r="BR5697">
        <f>IF(5684&lt;$U$9,SUMPRODUCT(($D$10:$L$10&lt;&gt;"")*(($D$10:$L$10-($D$9:$L$9+INT(($S$12:$AA$12+INDEX($AJ$13:$AR$162,BN5697,0)+INDEX($AT$13:$BB$162,BO5697,0)+INDEX($BD$13:$BL$162,BP5697,0))/100)))&gt;0)*($D$10:$L$10-($D$9:$L$9+INT(($S$12:$AA$12+INDEX($AJ$13:$AR$162,BN5697,0)+INDEX($AT$13:$BB$162,BO5697,0)+INDEX($BD$13:$BL$162,BP5697,0))/100)))),0)</f>
        <v/>
      </c>
      <c r="BS5697">
        <f>IF(5684&lt;$U$9,SUMPRODUCT(($D$9:$L$9+INT(($S$12:$AA$12+INDEX($AJ$13:$AR$162,BN5697,0)+INDEX($AT$13:$BB$162,BO5697,0)+INDEX($BD$13:$BL$162,BP5697,0))/100))),0)</f>
        <v/>
      </c>
      <c r="BT5697">
        <f>IF(AND(5684&lt;$U$9,$W$5),BQ5697*1000000-MIN(BR5697,999)*1000+BS5697-5684/100000,-1000000000-5684)</f>
        <v/>
      </c>
    </row>
    <row r="5698">
      <c r="BN5698">
        <f>IF(5685&lt;$U$9,INT(5685/($U$7*$U$8))+1,1)</f>
        <v/>
      </c>
      <c r="BO5698">
        <f>IF(5685&lt;$U$9,MOD(INT(5685/$U$8),$U$7)+1,1)</f>
        <v/>
      </c>
      <c r="BP5698">
        <f>IF(5685&lt;$U$9,MOD(5685,$U$8)+1,1)</f>
        <v/>
      </c>
      <c r="BQ5698">
        <f>IF(5685&lt;$U$9,SUMPRODUCT(($D$10:$L$10&lt;&gt;"")*(($D$9:$L$9+INT(($S$12:$AA$12+INDEX($AJ$13:$AR$162,BN5698,0)+INDEX($AT$13:$BB$162,BO5698,0)+INDEX($BD$13:$BL$162,BP5698,0))/100))&gt;=$D$10:$L$10)),0)</f>
        <v/>
      </c>
      <c r="BR5698">
        <f>IF(5685&lt;$U$9,SUMPRODUCT(($D$10:$L$10&lt;&gt;"")*(($D$10:$L$10-($D$9:$L$9+INT(($S$12:$AA$12+INDEX($AJ$13:$AR$162,BN5698,0)+INDEX($AT$13:$BB$162,BO5698,0)+INDEX($BD$13:$BL$162,BP5698,0))/100)))&gt;0)*($D$10:$L$10-($D$9:$L$9+INT(($S$12:$AA$12+INDEX($AJ$13:$AR$162,BN5698,0)+INDEX($AT$13:$BB$162,BO5698,0)+INDEX($BD$13:$BL$162,BP5698,0))/100)))),0)</f>
        <v/>
      </c>
      <c r="BS5698">
        <f>IF(5685&lt;$U$9,SUMPRODUCT(($D$9:$L$9+INT(($S$12:$AA$12+INDEX($AJ$13:$AR$162,BN5698,0)+INDEX($AT$13:$BB$162,BO5698,0)+INDEX($BD$13:$BL$162,BP5698,0))/100))),0)</f>
        <v/>
      </c>
      <c r="BT5698">
        <f>IF(AND(5685&lt;$U$9,$W$5),BQ5698*1000000-MIN(BR5698,999)*1000+BS5698-5685/100000,-1000000000-5685)</f>
        <v/>
      </c>
    </row>
    <row r="5699">
      <c r="BN5699">
        <f>IF(5686&lt;$U$9,INT(5686/($U$7*$U$8))+1,1)</f>
        <v/>
      </c>
      <c r="BO5699">
        <f>IF(5686&lt;$U$9,MOD(INT(5686/$U$8),$U$7)+1,1)</f>
        <v/>
      </c>
      <c r="BP5699">
        <f>IF(5686&lt;$U$9,MOD(5686,$U$8)+1,1)</f>
        <v/>
      </c>
      <c r="BQ5699">
        <f>IF(5686&lt;$U$9,SUMPRODUCT(($D$10:$L$10&lt;&gt;"")*(($D$9:$L$9+INT(($S$12:$AA$12+INDEX($AJ$13:$AR$162,BN5699,0)+INDEX($AT$13:$BB$162,BO5699,0)+INDEX($BD$13:$BL$162,BP5699,0))/100))&gt;=$D$10:$L$10)),0)</f>
        <v/>
      </c>
      <c r="BR5699">
        <f>IF(5686&lt;$U$9,SUMPRODUCT(($D$10:$L$10&lt;&gt;"")*(($D$10:$L$10-($D$9:$L$9+INT(($S$12:$AA$12+INDEX($AJ$13:$AR$162,BN5699,0)+INDEX($AT$13:$BB$162,BO5699,0)+INDEX($BD$13:$BL$162,BP5699,0))/100)))&gt;0)*($D$10:$L$10-($D$9:$L$9+INT(($S$12:$AA$12+INDEX($AJ$13:$AR$162,BN5699,0)+INDEX($AT$13:$BB$162,BO5699,0)+INDEX($BD$13:$BL$162,BP5699,0))/100)))),0)</f>
        <v/>
      </c>
      <c r="BS5699">
        <f>IF(5686&lt;$U$9,SUMPRODUCT(($D$9:$L$9+INT(($S$12:$AA$12+INDEX($AJ$13:$AR$162,BN5699,0)+INDEX($AT$13:$BB$162,BO5699,0)+INDEX($BD$13:$BL$162,BP5699,0))/100))),0)</f>
        <v/>
      </c>
      <c r="BT5699">
        <f>IF(AND(5686&lt;$U$9,$W$5),BQ5699*1000000-MIN(BR5699,999)*1000+BS5699-5686/100000,-1000000000-5686)</f>
        <v/>
      </c>
    </row>
    <row r="5700">
      <c r="BN5700">
        <f>IF(5687&lt;$U$9,INT(5687/($U$7*$U$8))+1,1)</f>
        <v/>
      </c>
      <c r="BO5700">
        <f>IF(5687&lt;$U$9,MOD(INT(5687/$U$8),$U$7)+1,1)</f>
        <v/>
      </c>
      <c r="BP5700">
        <f>IF(5687&lt;$U$9,MOD(5687,$U$8)+1,1)</f>
        <v/>
      </c>
      <c r="BQ5700">
        <f>IF(5687&lt;$U$9,SUMPRODUCT(($D$10:$L$10&lt;&gt;"")*(($D$9:$L$9+INT(($S$12:$AA$12+INDEX($AJ$13:$AR$162,BN5700,0)+INDEX($AT$13:$BB$162,BO5700,0)+INDEX($BD$13:$BL$162,BP5700,0))/100))&gt;=$D$10:$L$10)),0)</f>
        <v/>
      </c>
      <c r="BR5700">
        <f>IF(5687&lt;$U$9,SUMPRODUCT(($D$10:$L$10&lt;&gt;"")*(($D$10:$L$10-($D$9:$L$9+INT(($S$12:$AA$12+INDEX($AJ$13:$AR$162,BN5700,0)+INDEX($AT$13:$BB$162,BO5700,0)+INDEX($BD$13:$BL$162,BP5700,0))/100)))&gt;0)*($D$10:$L$10-($D$9:$L$9+INT(($S$12:$AA$12+INDEX($AJ$13:$AR$162,BN5700,0)+INDEX($AT$13:$BB$162,BO5700,0)+INDEX($BD$13:$BL$162,BP5700,0))/100)))),0)</f>
        <v/>
      </c>
      <c r="BS5700">
        <f>IF(5687&lt;$U$9,SUMPRODUCT(($D$9:$L$9+INT(($S$12:$AA$12+INDEX($AJ$13:$AR$162,BN5700,0)+INDEX($AT$13:$BB$162,BO5700,0)+INDEX($BD$13:$BL$162,BP5700,0))/100))),0)</f>
        <v/>
      </c>
      <c r="BT5700">
        <f>IF(AND(5687&lt;$U$9,$W$5),BQ5700*1000000-MIN(BR5700,999)*1000+BS5700-5687/100000,-1000000000-5687)</f>
        <v/>
      </c>
    </row>
    <row r="5701">
      <c r="BN5701">
        <f>IF(5688&lt;$U$9,INT(5688/($U$7*$U$8))+1,1)</f>
        <v/>
      </c>
      <c r="BO5701">
        <f>IF(5688&lt;$U$9,MOD(INT(5688/$U$8),$U$7)+1,1)</f>
        <v/>
      </c>
      <c r="BP5701">
        <f>IF(5688&lt;$U$9,MOD(5688,$U$8)+1,1)</f>
        <v/>
      </c>
      <c r="BQ5701">
        <f>IF(5688&lt;$U$9,SUMPRODUCT(($D$10:$L$10&lt;&gt;"")*(($D$9:$L$9+INT(($S$12:$AA$12+INDEX($AJ$13:$AR$162,BN5701,0)+INDEX($AT$13:$BB$162,BO5701,0)+INDEX($BD$13:$BL$162,BP5701,0))/100))&gt;=$D$10:$L$10)),0)</f>
        <v/>
      </c>
      <c r="BR5701">
        <f>IF(5688&lt;$U$9,SUMPRODUCT(($D$10:$L$10&lt;&gt;"")*(($D$10:$L$10-($D$9:$L$9+INT(($S$12:$AA$12+INDEX($AJ$13:$AR$162,BN5701,0)+INDEX($AT$13:$BB$162,BO5701,0)+INDEX($BD$13:$BL$162,BP5701,0))/100)))&gt;0)*($D$10:$L$10-($D$9:$L$9+INT(($S$12:$AA$12+INDEX($AJ$13:$AR$162,BN5701,0)+INDEX($AT$13:$BB$162,BO5701,0)+INDEX($BD$13:$BL$162,BP5701,0))/100)))),0)</f>
        <v/>
      </c>
      <c r="BS5701">
        <f>IF(5688&lt;$U$9,SUMPRODUCT(($D$9:$L$9+INT(($S$12:$AA$12+INDEX($AJ$13:$AR$162,BN5701,0)+INDEX($AT$13:$BB$162,BO5701,0)+INDEX($BD$13:$BL$162,BP5701,0))/100))),0)</f>
        <v/>
      </c>
      <c r="BT5701">
        <f>IF(AND(5688&lt;$U$9,$W$5),BQ5701*1000000-MIN(BR5701,999)*1000+BS5701-5688/100000,-1000000000-5688)</f>
        <v/>
      </c>
    </row>
    <row r="5702">
      <c r="BN5702">
        <f>IF(5689&lt;$U$9,INT(5689/($U$7*$U$8))+1,1)</f>
        <v/>
      </c>
      <c r="BO5702">
        <f>IF(5689&lt;$U$9,MOD(INT(5689/$U$8),$U$7)+1,1)</f>
        <v/>
      </c>
      <c r="BP5702">
        <f>IF(5689&lt;$U$9,MOD(5689,$U$8)+1,1)</f>
        <v/>
      </c>
      <c r="BQ5702">
        <f>IF(5689&lt;$U$9,SUMPRODUCT(($D$10:$L$10&lt;&gt;"")*(($D$9:$L$9+INT(($S$12:$AA$12+INDEX($AJ$13:$AR$162,BN5702,0)+INDEX($AT$13:$BB$162,BO5702,0)+INDEX($BD$13:$BL$162,BP5702,0))/100))&gt;=$D$10:$L$10)),0)</f>
        <v/>
      </c>
      <c r="BR5702">
        <f>IF(5689&lt;$U$9,SUMPRODUCT(($D$10:$L$10&lt;&gt;"")*(($D$10:$L$10-($D$9:$L$9+INT(($S$12:$AA$12+INDEX($AJ$13:$AR$162,BN5702,0)+INDEX($AT$13:$BB$162,BO5702,0)+INDEX($BD$13:$BL$162,BP5702,0))/100)))&gt;0)*($D$10:$L$10-($D$9:$L$9+INT(($S$12:$AA$12+INDEX($AJ$13:$AR$162,BN5702,0)+INDEX($AT$13:$BB$162,BO5702,0)+INDEX($BD$13:$BL$162,BP5702,0))/100)))),0)</f>
        <v/>
      </c>
      <c r="BS5702">
        <f>IF(5689&lt;$U$9,SUMPRODUCT(($D$9:$L$9+INT(($S$12:$AA$12+INDEX($AJ$13:$AR$162,BN5702,0)+INDEX($AT$13:$BB$162,BO5702,0)+INDEX($BD$13:$BL$162,BP5702,0))/100))),0)</f>
        <v/>
      </c>
      <c r="BT5702">
        <f>IF(AND(5689&lt;$U$9,$W$5),BQ5702*1000000-MIN(BR5702,999)*1000+BS5702-5689/100000,-1000000000-5689)</f>
        <v/>
      </c>
    </row>
    <row r="5703">
      <c r="BN5703">
        <f>IF(5690&lt;$U$9,INT(5690/($U$7*$U$8))+1,1)</f>
        <v/>
      </c>
      <c r="BO5703">
        <f>IF(5690&lt;$U$9,MOD(INT(5690/$U$8),$U$7)+1,1)</f>
        <v/>
      </c>
      <c r="BP5703">
        <f>IF(5690&lt;$U$9,MOD(5690,$U$8)+1,1)</f>
        <v/>
      </c>
      <c r="BQ5703">
        <f>IF(5690&lt;$U$9,SUMPRODUCT(($D$10:$L$10&lt;&gt;"")*(($D$9:$L$9+INT(($S$12:$AA$12+INDEX($AJ$13:$AR$162,BN5703,0)+INDEX($AT$13:$BB$162,BO5703,0)+INDEX($BD$13:$BL$162,BP5703,0))/100))&gt;=$D$10:$L$10)),0)</f>
        <v/>
      </c>
      <c r="BR5703">
        <f>IF(5690&lt;$U$9,SUMPRODUCT(($D$10:$L$10&lt;&gt;"")*(($D$10:$L$10-($D$9:$L$9+INT(($S$12:$AA$12+INDEX($AJ$13:$AR$162,BN5703,0)+INDEX($AT$13:$BB$162,BO5703,0)+INDEX($BD$13:$BL$162,BP5703,0))/100)))&gt;0)*($D$10:$L$10-($D$9:$L$9+INT(($S$12:$AA$12+INDEX($AJ$13:$AR$162,BN5703,0)+INDEX($AT$13:$BB$162,BO5703,0)+INDEX($BD$13:$BL$162,BP5703,0))/100)))),0)</f>
        <v/>
      </c>
      <c r="BS5703">
        <f>IF(5690&lt;$U$9,SUMPRODUCT(($D$9:$L$9+INT(($S$12:$AA$12+INDEX($AJ$13:$AR$162,BN5703,0)+INDEX($AT$13:$BB$162,BO5703,0)+INDEX($BD$13:$BL$162,BP5703,0))/100))),0)</f>
        <v/>
      </c>
      <c r="BT5703">
        <f>IF(AND(5690&lt;$U$9,$W$5),BQ5703*1000000-MIN(BR5703,999)*1000+BS5703-5690/100000,-1000000000-5690)</f>
        <v/>
      </c>
    </row>
    <row r="5704">
      <c r="BN5704">
        <f>IF(5691&lt;$U$9,INT(5691/($U$7*$U$8))+1,1)</f>
        <v/>
      </c>
      <c r="BO5704">
        <f>IF(5691&lt;$U$9,MOD(INT(5691/$U$8),$U$7)+1,1)</f>
        <v/>
      </c>
      <c r="BP5704">
        <f>IF(5691&lt;$U$9,MOD(5691,$U$8)+1,1)</f>
        <v/>
      </c>
      <c r="BQ5704">
        <f>IF(5691&lt;$U$9,SUMPRODUCT(($D$10:$L$10&lt;&gt;"")*(($D$9:$L$9+INT(($S$12:$AA$12+INDEX($AJ$13:$AR$162,BN5704,0)+INDEX($AT$13:$BB$162,BO5704,0)+INDEX($BD$13:$BL$162,BP5704,0))/100))&gt;=$D$10:$L$10)),0)</f>
        <v/>
      </c>
      <c r="BR5704">
        <f>IF(5691&lt;$U$9,SUMPRODUCT(($D$10:$L$10&lt;&gt;"")*(($D$10:$L$10-($D$9:$L$9+INT(($S$12:$AA$12+INDEX($AJ$13:$AR$162,BN5704,0)+INDEX($AT$13:$BB$162,BO5704,0)+INDEX($BD$13:$BL$162,BP5704,0))/100)))&gt;0)*($D$10:$L$10-($D$9:$L$9+INT(($S$12:$AA$12+INDEX($AJ$13:$AR$162,BN5704,0)+INDEX($AT$13:$BB$162,BO5704,0)+INDEX($BD$13:$BL$162,BP5704,0))/100)))),0)</f>
        <v/>
      </c>
      <c r="BS5704">
        <f>IF(5691&lt;$U$9,SUMPRODUCT(($D$9:$L$9+INT(($S$12:$AA$12+INDEX($AJ$13:$AR$162,BN5704,0)+INDEX($AT$13:$BB$162,BO5704,0)+INDEX($BD$13:$BL$162,BP5704,0))/100))),0)</f>
        <v/>
      </c>
      <c r="BT5704">
        <f>IF(AND(5691&lt;$U$9,$W$5),BQ5704*1000000-MIN(BR5704,999)*1000+BS5704-5691/100000,-1000000000-5691)</f>
        <v/>
      </c>
    </row>
    <row r="5705">
      <c r="BN5705">
        <f>IF(5692&lt;$U$9,INT(5692/($U$7*$U$8))+1,1)</f>
        <v/>
      </c>
      <c r="BO5705">
        <f>IF(5692&lt;$U$9,MOD(INT(5692/$U$8),$U$7)+1,1)</f>
        <v/>
      </c>
      <c r="BP5705">
        <f>IF(5692&lt;$U$9,MOD(5692,$U$8)+1,1)</f>
        <v/>
      </c>
      <c r="BQ5705">
        <f>IF(5692&lt;$U$9,SUMPRODUCT(($D$10:$L$10&lt;&gt;"")*(($D$9:$L$9+INT(($S$12:$AA$12+INDEX($AJ$13:$AR$162,BN5705,0)+INDEX($AT$13:$BB$162,BO5705,0)+INDEX($BD$13:$BL$162,BP5705,0))/100))&gt;=$D$10:$L$10)),0)</f>
        <v/>
      </c>
      <c r="BR5705">
        <f>IF(5692&lt;$U$9,SUMPRODUCT(($D$10:$L$10&lt;&gt;"")*(($D$10:$L$10-($D$9:$L$9+INT(($S$12:$AA$12+INDEX($AJ$13:$AR$162,BN5705,0)+INDEX($AT$13:$BB$162,BO5705,0)+INDEX($BD$13:$BL$162,BP5705,0))/100)))&gt;0)*($D$10:$L$10-($D$9:$L$9+INT(($S$12:$AA$12+INDEX($AJ$13:$AR$162,BN5705,0)+INDEX($AT$13:$BB$162,BO5705,0)+INDEX($BD$13:$BL$162,BP5705,0))/100)))),0)</f>
        <v/>
      </c>
      <c r="BS5705">
        <f>IF(5692&lt;$U$9,SUMPRODUCT(($D$9:$L$9+INT(($S$12:$AA$12+INDEX($AJ$13:$AR$162,BN5705,0)+INDEX($AT$13:$BB$162,BO5705,0)+INDEX($BD$13:$BL$162,BP5705,0))/100))),0)</f>
        <v/>
      </c>
      <c r="BT5705">
        <f>IF(AND(5692&lt;$U$9,$W$5),BQ5705*1000000-MIN(BR5705,999)*1000+BS5705-5692/100000,-1000000000-5692)</f>
        <v/>
      </c>
    </row>
    <row r="5706">
      <c r="BN5706">
        <f>IF(5693&lt;$U$9,INT(5693/($U$7*$U$8))+1,1)</f>
        <v/>
      </c>
      <c r="BO5706">
        <f>IF(5693&lt;$U$9,MOD(INT(5693/$U$8),$U$7)+1,1)</f>
        <v/>
      </c>
      <c r="BP5706">
        <f>IF(5693&lt;$U$9,MOD(5693,$U$8)+1,1)</f>
        <v/>
      </c>
      <c r="BQ5706">
        <f>IF(5693&lt;$U$9,SUMPRODUCT(($D$10:$L$10&lt;&gt;"")*(($D$9:$L$9+INT(($S$12:$AA$12+INDEX($AJ$13:$AR$162,BN5706,0)+INDEX($AT$13:$BB$162,BO5706,0)+INDEX($BD$13:$BL$162,BP5706,0))/100))&gt;=$D$10:$L$10)),0)</f>
        <v/>
      </c>
      <c r="BR5706">
        <f>IF(5693&lt;$U$9,SUMPRODUCT(($D$10:$L$10&lt;&gt;"")*(($D$10:$L$10-($D$9:$L$9+INT(($S$12:$AA$12+INDEX($AJ$13:$AR$162,BN5706,0)+INDEX($AT$13:$BB$162,BO5706,0)+INDEX($BD$13:$BL$162,BP5706,0))/100)))&gt;0)*($D$10:$L$10-($D$9:$L$9+INT(($S$12:$AA$12+INDEX($AJ$13:$AR$162,BN5706,0)+INDEX($AT$13:$BB$162,BO5706,0)+INDEX($BD$13:$BL$162,BP5706,0))/100)))),0)</f>
        <v/>
      </c>
      <c r="BS5706">
        <f>IF(5693&lt;$U$9,SUMPRODUCT(($D$9:$L$9+INT(($S$12:$AA$12+INDEX($AJ$13:$AR$162,BN5706,0)+INDEX($AT$13:$BB$162,BO5706,0)+INDEX($BD$13:$BL$162,BP5706,0))/100))),0)</f>
        <v/>
      </c>
      <c r="BT5706">
        <f>IF(AND(5693&lt;$U$9,$W$5),BQ5706*1000000-MIN(BR5706,999)*1000+BS5706-5693/100000,-1000000000-5693)</f>
        <v/>
      </c>
    </row>
    <row r="5707">
      <c r="BN5707">
        <f>IF(5694&lt;$U$9,INT(5694/($U$7*$U$8))+1,1)</f>
        <v/>
      </c>
      <c r="BO5707">
        <f>IF(5694&lt;$U$9,MOD(INT(5694/$U$8),$U$7)+1,1)</f>
        <v/>
      </c>
      <c r="BP5707">
        <f>IF(5694&lt;$U$9,MOD(5694,$U$8)+1,1)</f>
        <v/>
      </c>
      <c r="BQ5707">
        <f>IF(5694&lt;$U$9,SUMPRODUCT(($D$10:$L$10&lt;&gt;"")*(($D$9:$L$9+INT(($S$12:$AA$12+INDEX($AJ$13:$AR$162,BN5707,0)+INDEX($AT$13:$BB$162,BO5707,0)+INDEX($BD$13:$BL$162,BP5707,0))/100))&gt;=$D$10:$L$10)),0)</f>
        <v/>
      </c>
      <c r="BR5707">
        <f>IF(5694&lt;$U$9,SUMPRODUCT(($D$10:$L$10&lt;&gt;"")*(($D$10:$L$10-($D$9:$L$9+INT(($S$12:$AA$12+INDEX($AJ$13:$AR$162,BN5707,0)+INDEX($AT$13:$BB$162,BO5707,0)+INDEX($BD$13:$BL$162,BP5707,0))/100)))&gt;0)*($D$10:$L$10-($D$9:$L$9+INT(($S$12:$AA$12+INDEX($AJ$13:$AR$162,BN5707,0)+INDEX($AT$13:$BB$162,BO5707,0)+INDEX($BD$13:$BL$162,BP5707,0))/100)))),0)</f>
        <v/>
      </c>
      <c r="BS5707">
        <f>IF(5694&lt;$U$9,SUMPRODUCT(($D$9:$L$9+INT(($S$12:$AA$12+INDEX($AJ$13:$AR$162,BN5707,0)+INDEX($AT$13:$BB$162,BO5707,0)+INDEX($BD$13:$BL$162,BP5707,0))/100))),0)</f>
        <v/>
      </c>
      <c r="BT5707">
        <f>IF(AND(5694&lt;$U$9,$W$5),BQ5707*1000000-MIN(BR5707,999)*1000+BS5707-5694/100000,-1000000000-5694)</f>
        <v/>
      </c>
    </row>
    <row r="5708">
      <c r="BN5708">
        <f>IF(5695&lt;$U$9,INT(5695/($U$7*$U$8))+1,1)</f>
        <v/>
      </c>
      <c r="BO5708">
        <f>IF(5695&lt;$U$9,MOD(INT(5695/$U$8),$U$7)+1,1)</f>
        <v/>
      </c>
      <c r="BP5708">
        <f>IF(5695&lt;$U$9,MOD(5695,$U$8)+1,1)</f>
        <v/>
      </c>
      <c r="BQ5708">
        <f>IF(5695&lt;$U$9,SUMPRODUCT(($D$10:$L$10&lt;&gt;"")*(($D$9:$L$9+INT(($S$12:$AA$12+INDEX($AJ$13:$AR$162,BN5708,0)+INDEX($AT$13:$BB$162,BO5708,0)+INDEX($BD$13:$BL$162,BP5708,0))/100))&gt;=$D$10:$L$10)),0)</f>
        <v/>
      </c>
      <c r="BR5708">
        <f>IF(5695&lt;$U$9,SUMPRODUCT(($D$10:$L$10&lt;&gt;"")*(($D$10:$L$10-($D$9:$L$9+INT(($S$12:$AA$12+INDEX($AJ$13:$AR$162,BN5708,0)+INDEX($AT$13:$BB$162,BO5708,0)+INDEX($BD$13:$BL$162,BP5708,0))/100)))&gt;0)*($D$10:$L$10-($D$9:$L$9+INT(($S$12:$AA$12+INDEX($AJ$13:$AR$162,BN5708,0)+INDEX($AT$13:$BB$162,BO5708,0)+INDEX($BD$13:$BL$162,BP5708,0))/100)))),0)</f>
        <v/>
      </c>
      <c r="BS5708">
        <f>IF(5695&lt;$U$9,SUMPRODUCT(($D$9:$L$9+INT(($S$12:$AA$12+INDEX($AJ$13:$AR$162,BN5708,0)+INDEX($AT$13:$BB$162,BO5708,0)+INDEX($BD$13:$BL$162,BP5708,0))/100))),0)</f>
        <v/>
      </c>
      <c r="BT5708">
        <f>IF(AND(5695&lt;$U$9,$W$5),BQ5708*1000000-MIN(BR5708,999)*1000+BS5708-5695/100000,-1000000000-5695)</f>
        <v/>
      </c>
    </row>
    <row r="5709">
      <c r="BN5709">
        <f>IF(5696&lt;$U$9,INT(5696/($U$7*$U$8))+1,1)</f>
        <v/>
      </c>
      <c r="BO5709">
        <f>IF(5696&lt;$U$9,MOD(INT(5696/$U$8),$U$7)+1,1)</f>
        <v/>
      </c>
      <c r="BP5709">
        <f>IF(5696&lt;$U$9,MOD(5696,$U$8)+1,1)</f>
        <v/>
      </c>
      <c r="BQ5709">
        <f>IF(5696&lt;$U$9,SUMPRODUCT(($D$10:$L$10&lt;&gt;"")*(($D$9:$L$9+INT(($S$12:$AA$12+INDEX($AJ$13:$AR$162,BN5709,0)+INDEX($AT$13:$BB$162,BO5709,0)+INDEX($BD$13:$BL$162,BP5709,0))/100))&gt;=$D$10:$L$10)),0)</f>
        <v/>
      </c>
      <c r="BR5709">
        <f>IF(5696&lt;$U$9,SUMPRODUCT(($D$10:$L$10&lt;&gt;"")*(($D$10:$L$10-($D$9:$L$9+INT(($S$12:$AA$12+INDEX($AJ$13:$AR$162,BN5709,0)+INDEX($AT$13:$BB$162,BO5709,0)+INDEX($BD$13:$BL$162,BP5709,0))/100)))&gt;0)*($D$10:$L$10-($D$9:$L$9+INT(($S$12:$AA$12+INDEX($AJ$13:$AR$162,BN5709,0)+INDEX($AT$13:$BB$162,BO5709,0)+INDEX($BD$13:$BL$162,BP5709,0))/100)))),0)</f>
        <v/>
      </c>
      <c r="BS5709">
        <f>IF(5696&lt;$U$9,SUMPRODUCT(($D$9:$L$9+INT(($S$12:$AA$12+INDEX($AJ$13:$AR$162,BN5709,0)+INDEX($AT$13:$BB$162,BO5709,0)+INDEX($BD$13:$BL$162,BP5709,0))/100))),0)</f>
        <v/>
      </c>
      <c r="BT5709">
        <f>IF(AND(5696&lt;$U$9,$W$5),BQ5709*1000000-MIN(BR5709,999)*1000+BS5709-5696/100000,-1000000000-5696)</f>
        <v/>
      </c>
    </row>
    <row r="5710">
      <c r="BN5710">
        <f>IF(5697&lt;$U$9,INT(5697/($U$7*$U$8))+1,1)</f>
        <v/>
      </c>
      <c r="BO5710">
        <f>IF(5697&lt;$U$9,MOD(INT(5697/$U$8),$U$7)+1,1)</f>
        <v/>
      </c>
      <c r="BP5710">
        <f>IF(5697&lt;$U$9,MOD(5697,$U$8)+1,1)</f>
        <v/>
      </c>
      <c r="BQ5710">
        <f>IF(5697&lt;$U$9,SUMPRODUCT(($D$10:$L$10&lt;&gt;"")*(($D$9:$L$9+INT(($S$12:$AA$12+INDEX($AJ$13:$AR$162,BN5710,0)+INDEX($AT$13:$BB$162,BO5710,0)+INDEX($BD$13:$BL$162,BP5710,0))/100))&gt;=$D$10:$L$10)),0)</f>
        <v/>
      </c>
      <c r="BR5710">
        <f>IF(5697&lt;$U$9,SUMPRODUCT(($D$10:$L$10&lt;&gt;"")*(($D$10:$L$10-($D$9:$L$9+INT(($S$12:$AA$12+INDEX($AJ$13:$AR$162,BN5710,0)+INDEX($AT$13:$BB$162,BO5710,0)+INDEX($BD$13:$BL$162,BP5710,0))/100)))&gt;0)*($D$10:$L$10-($D$9:$L$9+INT(($S$12:$AA$12+INDEX($AJ$13:$AR$162,BN5710,0)+INDEX($AT$13:$BB$162,BO5710,0)+INDEX($BD$13:$BL$162,BP5710,0))/100)))),0)</f>
        <v/>
      </c>
      <c r="BS5710">
        <f>IF(5697&lt;$U$9,SUMPRODUCT(($D$9:$L$9+INT(($S$12:$AA$12+INDEX($AJ$13:$AR$162,BN5710,0)+INDEX($AT$13:$BB$162,BO5710,0)+INDEX($BD$13:$BL$162,BP5710,0))/100))),0)</f>
        <v/>
      </c>
      <c r="BT5710">
        <f>IF(AND(5697&lt;$U$9,$W$5),BQ5710*1000000-MIN(BR5710,999)*1000+BS5710-5697/100000,-1000000000-5697)</f>
        <v/>
      </c>
    </row>
    <row r="5711">
      <c r="BN5711">
        <f>IF(5698&lt;$U$9,INT(5698/($U$7*$U$8))+1,1)</f>
        <v/>
      </c>
      <c r="BO5711">
        <f>IF(5698&lt;$U$9,MOD(INT(5698/$U$8),$U$7)+1,1)</f>
        <v/>
      </c>
      <c r="BP5711">
        <f>IF(5698&lt;$U$9,MOD(5698,$U$8)+1,1)</f>
        <v/>
      </c>
      <c r="BQ5711">
        <f>IF(5698&lt;$U$9,SUMPRODUCT(($D$10:$L$10&lt;&gt;"")*(($D$9:$L$9+INT(($S$12:$AA$12+INDEX($AJ$13:$AR$162,BN5711,0)+INDEX($AT$13:$BB$162,BO5711,0)+INDEX($BD$13:$BL$162,BP5711,0))/100))&gt;=$D$10:$L$10)),0)</f>
        <v/>
      </c>
      <c r="BR5711">
        <f>IF(5698&lt;$U$9,SUMPRODUCT(($D$10:$L$10&lt;&gt;"")*(($D$10:$L$10-($D$9:$L$9+INT(($S$12:$AA$12+INDEX($AJ$13:$AR$162,BN5711,0)+INDEX($AT$13:$BB$162,BO5711,0)+INDEX($BD$13:$BL$162,BP5711,0))/100)))&gt;0)*($D$10:$L$10-($D$9:$L$9+INT(($S$12:$AA$12+INDEX($AJ$13:$AR$162,BN5711,0)+INDEX($AT$13:$BB$162,BO5711,0)+INDEX($BD$13:$BL$162,BP5711,0))/100)))),0)</f>
        <v/>
      </c>
      <c r="BS5711">
        <f>IF(5698&lt;$U$9,SUMPRODUCT(($D$9:$L$9+INT(($S$12:$AA$12+INDEX($AJ$13:$AR$162,BN5711,0)+INDEX($AT$13:$BB$162,BO5711,0)+INDEX($BD$13:$BL$162,BP5711,0))/100))),0)</f>
        <v/>
      </c>
      <c r="BT5711">
        <f>IF(AND(5698&lt;$U$9,$W$5),BQ5711*1000000-MIN(BR5711,999)*1000+BS5711-5698/100000,-1000000000-5698)</f>
        <v/>
      </c>
    </row>
    <row r="5712">
      <c r="BN5712">
        <f>IF(5699&lt;$U$9,INT(5699/($U$7*$U$8))+1,1)</f>
        <v/>
      </c>
      <c r="BO5712">
        <f>IF(5699&lt;$U$9,MOD(INT(5699/$U$8),$U$7)+1,1)</f>
        <v/>
      </c>
      <c r="BP5712">
        <f>IF(5699&lt;$U$9,MOD(5699,$U$8)+1,1)</f>
        <v/>
      </c>
      <c r="BQ5712">
        <f>IF(5699&lt;$U$9,SUMPRODUCT(($D$10:$L$10&lt;&gt;"")*(($D$9:$L$9+INT(($S$12:$AA$12+INDEX($AJ$13:$AR$162,BN5712,0)+INDEX($AT$13:$BB$162,BO5712,0)+INDEX($BD$13:$BL$162,BP5712,0))/100))&gt;=$D$10:$L$10)),0)</f>
        <v/>
      </c>
      <c r="BR5712">
        <f>IF(5699&lt;$U$9,SUMPRODUCT(($D$10:$L$10&lt;&gt;"")*(($D$10:$L$10-($D$9:$L$9+INT(($S$12:$AA$12+INDEX($AJ$13:$AR$162,BN5712,0)+INDEX($AT$13:$BB$162,BO5712,0)+INDEX($BD$13:$BL$162,BP5712,0))/100)))&gt;0)*($D$10:$L$10-($D$9:$L$9+INT(($S$12:$AA$12+INDEX($AJ$13:$AR$162,BN5712,0)+INDEX($AT$13:$BB$162,BO5712,0)+INDEX($BD$13:$BL$162,BP5712,0))/100)))),0)</f>
        <v/>
      </c>
      <c r="BS5712">
        <f>IF(5699&lt;$U$9,SUMPRODUCT(($D$9:$L$9+INT(($S$12:$AA$12+INDEX($AJ$13:$AR$162,BN5712,0)+INDEX($AT$13:$BB$162,BO5712,0)+INDEX($BD$13:$BL$162,BP5712,0))/100))),0)</f>
        <v/>
      </c>
      <c r="BT5712">
        <f>IF(AND(5699&lt;$U$9,$W$5),BQ5712*1000000-MIN(BR5712,999)*1000+BS5712-5699/100000,-1000000000-5699)</f>
        <v/>
      </c>
    </row>
    <row r="5713">
      <c r="BN5713">
        <f>IF(5700&lt;$U$9,INT(5700/($U$7*$U$8))+1,1)</f>
        <v/>
      </c>
      <c r="BO5713">
        <f>IF(5700&lt;$U$9,MOD(INT(5700/$U$8),$U$7)+1,1)</f>
        <v/>
      </c>
      <c r="BP5713">
        <f>IF(5700&lt;$U$9,MOD(5700,$U$8)+1,1)</f>
        <v/>
      </c>
      <c r="BQ5713">
        <f>IF(5700&lt;$U$9,SUMPRODUCT(($D$10:$L$10&lt;&gt;"")*(($D$9:$L$9+INT(($S$12:$AA$12+INDEX($AJ$13:$AR$162,BN5713,0)+INDEX($AT$13:$BB$162,BO5713,0)+INDEX($BD$13:$BL$162,BP5713,0))/100))&gt;=$D$10:$L$10)),0)</f>
        <v/>
      </c>
      <c r="BR5713">
        <f>IF(5700&lt;$U$9,SUMPRODUCT(($D$10:$L$10&lt;&gt;"")*(($D$10:$L$10-($D$9:$L$9+INT(($S$12:$AA$12+INDEX($AJ$13:$AR$162,BN5713,0)+INDEX($AT$13:$BB$162,BO5713,0)+INDEX($BD$13:$BL$162,BP5713,0))/100)))&gt;0)*($D$10:$L$10-($D$9:$L$9+INT(($S$12:$AA$12+INDEX($AJ$13:$AR$162,BN5713,0)+INDEX($AT$13:$BB$162,BO5713,0)+INDEX($BD$13:$BL$162,BP5713,0))/100)))),0)</f>
        <v/>
      </c>
      <c r="BS5713">
        <f>IF(5700&lt;$U$9,SUMPRODUCT(($D$9:$L$9+INT(($S$12:$AA$12+INDEX($AJ$13:$AR$162,BN5713,0)+INDEX($AT$13:$BB$162,BO5713,0)+INDEX($BD$13:$BL$162,BP5713,0))/100))),0)</f>
        <v/>
      </c>
      <c r="BT5713">
        <f>IF(AND(5700&lt;$U$9,$W$5),BQ5713*1000000-MIN(BR5713,999)*1000+BS5713-5700/100000,-1000000000-5700)</f>
        <v/>
      </c>
    </row>
    <row r="5714">
      <c r="BN5714">
        <f>IF(5701&lt;$U$9,INT(5701/($U$7*$U$8))+1,1)</f>
        <v/>
      </c>
      <c r="BO5714">
        <f>IF(5701&lt;$U$9,MOD(INT(5701/$U$8),$U$7)+1,1)</f>
        <v/>
      </c>
      <c r="BP5714">
        <f>IF(5701&lt;$U$9,MOD(5701,$U$8)+1,1)</f>
        <v/>
      </c>
      <c r="BQ5714">
        <f>IF(5701&lt;$U$9,SUMPRODUCT(($D$10:$L$10&lt;&gt;"")*(($D$9:$L$9+INT(($S$12:$AA$12+INDEX($AJ$13:$AR$162,BN5714,0)+INDEX($AT$13:$BB$162,BO5714,0)+INDEX($BD$13:$BL$162,BP5714,0))/100))&gt;=$D$10:$L$10)),0)</f>
        <v/>
      </c>
      <c r="BR5714">
        <f>IF(5701&lt;$U$9,SUMPRODUCT(($D$10:$L$10&lt;&gt;"")*(($D$10:$L$10-($D$9:$L$9+INT(($S$12:$AA$12+INDEX($AJ$13:$AR$162,BN5714,0)+INDEX($AT$13:$BB$162,BO5714,0)+INDEX($BD$13:$BL$162,BP5714,0))/100)))&gt;0)*($D$10:$L$10-($D$9:$L$9+INT(($S$12:$AA$12+INDEX($AJ$13:$AR$162,BN5714,0)+INDEX($AT$13:$BB$162,BO5714,0)+INDEX($BD$13:$BL$162,BP5714,0))/100)))),0)</f>
        <v/>
      </c>
      <c r="BS5714">
        <f>IF(5701&lt;$U$9,SUMPRODUCT(($D$9:$L$9+INT(($S$12:$AA$12+INDEX($AJ$13:$AR$162,BN5714,0)+INDEX($AT$13:$BB$162,BO5714,0)+INDEX($BD$13:$BL$162,BP5714,0))/100))),0)</f>
        <v/>
      </c>
      <c r="BT5714">
        <f>IF(AND(5701&lt;$U$9,$W$5),BQ5714*1000000-MIN(BR5714,999)*1000+BS5714-5701/100000,-1000000000-5701)</f>
        <v/>
      </c>
    </row>
    <row r="5715">
      <c r="BN5715">
        <f>IF(5702&lt;$U$9,INT(5702/($U$7*$U$8))+1,1)</f>
        <v/>
      </c>
      <c r="BO5715">
        <f>IF(5702&lt;$U$9,MOD(INT(5702/$U$8),$U$7)+1,1)</f>
        <v/>
      </c>
      <c r="BP5715">
        <f>IF(5702&lt;$U$9,MOD(5702,$U$8)+1,1)</f>
        <v/>
      </c>
      <c r="BQ5715">
        <f>IF(5702&lt;$U$9,SUMPRODUCT(($D$10:$L$10&lt;&gt;"")*(($D$9:$L$9+INT(($S$12:$AA$12+INDEX($AJ$13:$AR$162,BN5715,0)+INDEX($AT$13:$BB$162,BO5715,0)+INDEX($BD$13:$BL$162,BP5715,0))/100))&gt;=$D$10:$L$10)),0)</f>
        <v/>
      </c>
      <c r="BR5715">
        <f>IF(5702&lt;$U$9,SUMPRODUCT(($D$10:$L$10&lt;&gt;"")*(($D$10:$L$10-($D$9:$L$9+INT(($S$12:$AA$12+INDEX($AJ$13:$AR$162,BN5715,0)+INDEX($AT$13:$BB$162,BO5715,0)+INDEX($BD$13:$BL$162,BP5715,0))/100)))&gt;0)*($D$10:$L$10-($D$9:$L$9+INT(($S$12:$AA$12+INDEX($AJ$13:$AR$162,BN5715,0)+INDEX($AT$13:$BB$162,BO5715,0)+INDEX($BD$13:$BL$162,BP5715,0))/100)))),0)</f>
        <v/>
      </c>
      <c r="BS5715">
        <f>IF(5702&lt;$U$9,SUMPRODUCT(($D$9:$L$9+INT(($S$12:$AA$12+INDEX($AJ$13:$AR$162,BN5715,0)+INDEX($AT$13:$BB$162,BO5715,0)+INDEX($BD$13:$BL$162,BP5715,0))/100))),0)</f>
        <v/>
      </c>
      <c r="BT5715">
        <f>IF(AND(5702&lt;$U$9,$W$5),BQ5715*1000000-MIN(BR5715,999)*1000+BS5715-5702/100000,-1000000000-5702)</f>
        <v/>
      </c>
    </row>
    <row r="5716">
      <c r="BN5716">
        <f>IF(5703&lt;$U$9,INT(5703/($U$7*$U$8))+1,1)</f>
        <v/>
      </c>
      <c r="BO5716">
        <f>IF(5703&lt;$U$9,MOD(INT(5703/$U$8),$U$7)+1,1)</f>
        <v/>
      </c>
      <c r="BP5716">
        <f>IF(5703&lt;$U$9,MOD(5703,$U$8)+1,1)</f>
        <v/>
      </c>
      <c r="BQ5716">
        <f>IF(5703&lt;$U$9,SUMPRODUCT(($D$10:$L$10&lt;&gt;"")*(($D$9:$L$9+INT(($S$12:$AA$12+INDEX($AJ$13:$AR$162,BN5716,0)+INDEX($AT$13:$BB$162,BO5716,0)+INDEX($BD$13:$BL$162,BP5716,0))/100))&gt;=$D$10:$L$10)),0)</f>
        <v/>
      </c>
      <c r="BR5716">
        <f>IF(5703&lt;$U$9,SUMPRODUCT(($D$10:$L$10&lt;&gt;"")*(($D$10:$L$10-($D$9:$L$9+INT(($S$12:$AA$12+INDEX($AJ$13:$AR$162,BN5716,0)+INDEX($AT$13:$BB$162,BO5716,0)+INDEX($BD$13:$BL$162,BP5716,0))/100)))&gt;0)*($D$10:$L$10-($D$9:$L$9+INT(($S$12:$AA$12+INDEX($AJ$13:$AR$162,BN5716,0)+INDEX($AT$13:$BB$162,BO5716,0)+INDEX($BD$13:$BL$162,BP5716,0))/100)))),0)</f>
        <v/>
      </c>
      <c r="BS5716">
        <f>IF(5703&lt;$U$9,SUMPRODUCT(($D$9:$L$9+INT(($S$12:$AA$12+INDEX($AJ$13:$AR$162,BN5716,0)+INDEX($AT$13:$BB$162,BO5716,0)+INDEX($BD$13:$BL$162,BP5716,0))/100))),0)</f>
        <v/>
      </c>
      <c r="BT5716">
        <f>IF(AND(5703&lt;$U$9,$W$5),BQ5716*1000000-MIN(BR5716,999)*1000+BS5716-5703/100000,-1000000000-5703)</f>
        <v/>
      </c>
    </row>
    <row r="5717">
      <c r="BN5717">
        <f>IF(5704&lt;$U$9,INT(5704/($U$7*$U$8))+1,1)</f>
        <v/>
      </c>
      <c r="BO5717">
        <f>IF(5704&lt;$U$9,MOD(INT(5704/$U$8),$U$7)+1,1)</f>
        <v/>
      </c>
      <c r="BP5717">
        <f>IF(5704&lt;$U$9,MOD(5704,$U$8)+1,1)</f>
        <v/>
      </c>
      <c r="BQ5717">
        <f>IF(5704&lt;$U$9,SUMPRODUCT(($D$10:$L$10&lt;&gt;"")*(($D$9:$L$9+INT(($S$12:$AA$12+INDEX($AJ$13:$AR$162,BN5717,0)+INDEX($AT$13:$BB$162,BO5717,0)+INDEX($BD$13:$BL$162,BP5717,0))/100))&gt;=$D$10:$L$10)),0)</f>
        <v/>
      </c>
      <c r="BR5717">
        <f>IF(5704&lt;$U$9,SUMPRODUCT(($D$10:$L$10&lt;&gt;"")*(($D$10:$L$10-($D$9:$L$9+INT(($S$12:$AA$12+INDEX($AJ$13:$AR$162,BN5717,0)+INDEX($AT$13:$BB$162,BO5717,0)+INDEX($BD$13:$BL$162,BP5717,0))/100)))&gt;0)*($D$10:$L$10-($D$9:$L$9+INT(($S$12:$AA$12+INDEX($AJ$13:$AR$162,BN5717,0)+INDEX($AT$13:$BB$162,BO5717,0)+INDEX($BD$13:$BL$162,BP5717,0))/100)))),0)</f>
        <v/>
      </c>
      <c r="BS5717">
        <f>IF(5704&lt;$U$9,SUMPRODUCT(($D$9:$L$9+INT(($S$12:$AA$12+INDEX($AJ$13:$AR$162,BN5717,0)+INDEX($AT$13:$BB$162,BO5717,0)+INDEX($BD$13:$BL$162,BP5717,0))/100))),0)</f>
        <v/>
      </c>
      <c r="BT5717">
        <f>IF(AND(5704&lt;$U$9,$W$5),BQ5717*1000000-MIN(BR5717,999)*1000+BS5717-5704/100000,-1000000000-5704)</f>
        <v/>
      </c>
    </row>
    <row r="5718">
      <c r="BN5718">
        <f>IF(5705&lt;$U$9,INT(5705/($U$7*$U$8))+1,1)</f>
        <v/>
      </c>
      <c r="BO5718">
        <f>IF(5705&lt;$U$9,MOD(INT(5705/$U$8),$U$7)+1,1)</f>
        <v/>
      </c>
      <c r="BP5718">
        <f>IF(5705&lt;$U$9,MOD(5705,$U$8)+1,1)</f>
        <v/>
      </c>
      <c r="BQ5718">
        <f>IF(5705&lt;$U$9,SUMPRODUCT(($D$10:$L$10&lt;&gt;"")*(($D$9:$L$9+INT(($S$12:$AA$12+INDEX($AJ$13:$AR$162,BN5718,0)+INDEX($AT$13:$BB$162,BO5718,0)+INDEX($BD$13:$BL$162,BP5718,0))/100))&gt;=$D$10:$L$10)),0)</f>
        <v/>
      </c>
      <c r="BR5718">
        <f>IF(5705&lt;$U$9,SUMPRODUCT(($D$10:$L$10&lt;&gt;"")*(($D$10:$L$10-($D$9:$L$9+INT(($S$12:$AA$12+INDEX($AJ$13:$AR$162,BN5718,0)+INDEX($AT$13:$BB$162,BO5718,0)+INDEX($BD$13:$BL$162,BP5718,0))/100)))&gt;0)*($D$10:$L$10-($D$9:$L$9+INT(($S$12:$AA$12+INDEX($AJ$13:$AR$162,BN5718,0)+INDEX($AT$13:$BB$162,BO5718,0)+INDEX($BD$13:$BL$162,BP5718,0))/100)))),0)</f>
        <v/>
      </c>
      <c r="BS5718">
        <f>IF(5705&lt;$U$9,SUMPRODUCT(($D$9:$L$9+INT(($S$12:$AA$12+INDEX($AJ$13:$AR$162,BN5718,0)+INDEX($AT$13:$BB$162,BO5718,0)+INDEX($BD$13:$BL$162,BP5718,0))/100))),0)</f>
        <v/>
      </c>
      <c r="BT5718">
        <f>IF(AND(5705&lt;$U$9,$W$5),BQ5718*1000000-MIN(BR5718,999)*1000+BS5718-5705/100000,-1000000000-5705)</f>
        <v/>
      </c>
    </row>
    <row r="5719">
      <c r="BN5719">
        <f>IF(5706&lt;$U$9,INT(5706/($U$7*$U$8))+1,1)</f>
        <v/>
      </c>
      <c r="BO5719">
        <f>IF(5706&lt;$U$9,MOD(INT(5706/$U$8),$U$7)+1,1)</f>
        <v/>
      </c>
      <c r="BP5719">
        <f>IF(5706&lt;$U$9,MOD(5706,$U$8)+1,1)</f>
        <v/>
      </c>
      <c r="BQ5719">
        <f>IF(5706&lt;$U$9,SUMPRODUCT(($D$10:$L$10&lt;&gt;"")*(($D$9:$L$9+INT(($S$12:$AA$12+INDEX($AJ$13:$AR$162,BN5719,0)+INDEX($AT$13:$BB$162,BO5719,0)+INDEX($BD$13:$BL$162,BP5719,0))/100))&gt;=$D$10:$L$10)),0)</f>
        <v/>
      </c>
      <c r="BR5719">
        <f>IF(5706&lt;$U$9,SUMPRODUCT(($D$10:$L$10&lt;&gt;"")*(($D$10:$L$10-($D$9:$L$9+INT(($S$12:$AA$12+INDEX($AJ$13:$AR$162,BN5719,0)+INDEX($AT$13:$BB$162,BO5719,0)+INDEX($BD$13:$BL$162,BP5719,0))/100)))&gt;0)*($D$10:$L$10-($D$9:$L$9+INT(($S$12:$AA$12+INDEX($AJ$13:$AR$162,BN5719,0)+INDEX($AT$13:$BB$162,BO5719,0)+INDEX($BD$13:$BL$162,BP5719,0))/100)))),0)</f>
        <v/>
      </c>
      <c r="BS5719">
        <f>IF(5706&lt;$U$9,SUMPRODUCT(($D$9:$L$9+INT(($S$12:$AA$12+INDEX($AJ$13:$AR$162,BN5719,0)+INDEX($AT$13:$BB$162,BO5719,0)+INDEX($BD$13:$BL$162,BP5719,0))/100))),0)</f>
        <v/>
      </c>
      <c r="BT5719">
        <f>IF(AND(5706&lt;$U$9,$W$5),BQ5719*1000000-MIN(BR5719,999)*1000+BS5719-5706/100000,-1000000000-5706)</f>
        <v/>
      </c>
    </row>
    <row r="5720">
      <c r="BN5720">
        <f>IF(5707&lt;$U$9,INT(5707/($U$7*$U$8))+1,1)</f>
        <v/>
      </c>
      <c r="BO5720">
        <f>IF(5707&lt;$U$9,MOD(INT(5707/$U$8),$U$7)+1,1)</f>
        <v/>
      </c>
      <c r="BP5720">
        <f>IF(5707&lt;$U$9,MOD(5707,$U$8)+1,1)</f>
        <v/>
      </c>
      <c r="BQ5720">
        <f>IF(5707&lt;$U$9,SUMPRODUCT(($D$10:$L$10&lt;&gt;"")*(($D$9:$L$9+INT(($S$12:$AA$12+INDEX($AJ$13:$AR$162,BN5720,0)+INDEX($AT$13:$BB$162,BO5720,0)+INDEX($BD$13:$BL$162,BP5720,0))/100))&gt;=$D$10:$L$10)),0)</f>
        <v/>
      </c>
      <c r="BR5720">
        <f>IF(5707&lt;$U$9,SUMPRODUCT(($D$10:$L$10&lt;&gt;"")*(($D$10:$L$10-($D$9:$L$9+INT(($S$12:$AA$12+INDEX($AJ$13:$AR$162,BN5720,0)+INDEX($AT$13:$BB$162,BO5720,0)+INDEX($BD$13:$BL$162,BP5720,0))/100)))&gt;0)*($D$10:$L$10-($D$9:$L$9+INT(($S$12:$AA$12+INDEX($AJ$13:$AR$162,BN5720,0)+INDEX($AT$13:$BB$162,BO5720,0)+INDEX($BD$13:$BL$162,BP5720,0))/100)))),0)</f>
        <v/>
      </c>
      <c r="BS5720">
        <f>IF(5707&lt;$U$9,SUMPRODUCT(($D$9:$L$9+INT(($S$12:$AA$12+INDEX($AJ$13:$AR$162,BN5720,0)+INDEX($AT$13:$BB$162,BO5720,0)+INDEX($BD$13:$BL$162,BP5720,0))/100))),0)</f>
        <v/>
      </c>
      <c r="BT5720">
        <f>IF(AND(5707&lt;$U$9,$W$5),BQ5720*1000000-MIN(BR5720,999)*1000+BS5720-5707/100000,-1000000000-5707)</f>
        <v/>
      </c>
    </row>
    <row r="5721">
      <c r="BN5721">
        <f>IF(5708&lt;$U$9,INT(5708/($U$7*$U$8))+1,1)</f>
        <v/>
      </c>
      <c r="BO5721">
        <f>IF(5708&lt;$U$9,MOD(INT(5708/$U$8),$U$7)+1,1)</f>
        <v/>
      </c>
      <c r="BP5721">
        <f>IF(5708&lt;$U$9,MOD(5708,$U$8)+1,1)</f>
        <v/>
      </c>
      <c r="BQ5721">
        <f>IF(5708&lt;$U$9,SUMPRODUCT(($D$10:$L$10&lt;&gt;"")*(($D$9:$L$9+INT(($S$12:$AA$12+INDEX($AJ$13:$AR$162,BN5721,0)+INDEX($AT$13:$BB$162,BO5721,0)+INDEX($BD$13:$BL$162,BP5721,0))/100))&gt;=$D$10:$L$10)),0)</f>
        <v/>
      </c>
      <c r="BR5721">
        <f>IF(5708&lt;$U$9,SUMPRODUCT(($D$10:$L$10&lt;&gt;"")*(($D$10:$L$10-($D$9:$L$9+INT(($S$12:$AA$12+INDEX($AJ$13:$AR$162,BN5721,0)+INDEX($AT$13:$BB$162,BO5721,0)+INDEX($BD$13:$BL$162,BP5721,0))/100)))&gt;0)*($D$10:$L$10-($D$9:$L$9+INT(($S$12:$AA$12+INDEX($AJ$13:$AR$162,BN5721,0)+INDEX($AT$13:$BB$162,BO5721,0)+INDEX($BD$13:$BL$162,BP5721,0))/100)))),0)</f>
        <v/>
      </c>
      <c r="BS5721">
        <f>IF(5708&lt;$U$9,SUMPRODUCT(($D$9:$L$9+INT(($S$12:$AA$12+INDEX($AJ$13:$AR$162,BN5721,0)+INDEX($AT$13:$BB$162,BO5721,0)+INDEX($BD$13:$BL$162,BP5721,0))/100))),0)</f>
        <v/>
      </c>
      <c r="BT5721">
        <f>IF(AND(5708&lt;$U$9,$W$5),BQ5721*1000000-MIN(BR5721,999)*1000+BS5721-5708/100000,-1000000000-5708)</f>
        <v/>
      </c>
    </row>
    <row r="5722">
      <c r="BN5722">
        <f>IF(5709&lt;$U$9,INT(5709/($U$7*$U$8))+1,1)</f>
        <v/>
      </c>
      <c r="BO5722">
        <f>IF(5709&lt;$U$9,MOD(INT(5709/$U$8),$U$7)+1,1)</f>
        <v/>
      </c>
      <c r="BP5722">
        <f>IF(5709&lt;$U$9,MOD(5709,$U$8)+1,1)</f>
        <v/>
      </c>
      <c r="BQ5722">
        <f>IF(5709&lt;$U$9,SUMPRODUCT(($D$10:$L$10&lt;&gt;"")*(($D$9:$L$9+INT(($S$12:$AA$12+INDEX($AJ$13:$AR$162,BN5722,0)+INDEX($AT$13:$BB$162,BO5722,0)+INDEX($BD$13:$BL$162,BP5722,0))/100))&gt;=$D$10:$L$10)),0)</f>
        <v/>
      </c>
      <c r="BR5722">
        <f>IF(5709&lt;$U$9,SUMPRODUCT(($D$10:$L$10&lt;&gt;"")*(($D$10:$L$10-($D$9:$L$9+INT(($S$12:$AA$12+INDEX($AJ$13:$AR$162,BN5722,0)+INDEX($AT$13:$BB$162,BO5722,0)+INDEX($BD$13:$BL$162,BP5722,0))/100)))&gt;0)*($D$10:$L$10-($D$9:$L$9+INT(($S$12:$AA$12+INDEX($AJ$13:$AR$162,BN5722,0)+INDEX($AT$13:$BB$162,BO5722,0)+INDEX($BD$13:$BL$162,BP5722,0))/100)))),0)</f>
        <v/>
      </c>
      <c r="BS5722">
        <f>IF(5709&lt;$U$9,SUMPRODUCT(($D$9:$L$9+INT(($S$12:$AA$12+INDEX($AJ$13:$AR$162,BN5722,0)+INDEX($AT$13:$BB$162,BO5722,0)+INDEX($BD$13:$BL$162,BP5722,0))/100))),0)</f>
        <v/>
      </c>
      <c r="BT5722">
        <f>IF(AND(5709&lt;$U$9,$W$5),BQ5722*1000000-MIN(BR5722,999)*1000+BS5722-5709/100000,-1000000000-5709)</f>
        <v/>
      </c>
    </row>
    <row r="5723">
      <c r="BN5723">
        <f>IF(5710&lt;$U$9,INT(5710/($U$7*$U$8))+1,1)</f>
        <v/>
      </c>
      <c r="BO5723">
        <f>IF(5710&lt;$U$9,MOD(INT(5710/$U$8),$U$7)+1,1)</f>
        <v/>
      </c>
      <c r="BP5723">
        <f>IF(5710&lt;$U$9,MOD(5710,$U$8)+1,1)</f>
        <v/>
      </c>
      <c r="BQ5723">
        <f>IF(5710&lt;$U$9,SUMPRODUCT(($D$10:$L$10&lt;&gt;"")*(($D$9:$L$9+INT(($S$12:$AA$12+INDEX($AJ$13:$AR$162,BN5723,0)+INDEX($AT$13:$BB$162,BO5723,0)+INDEX($BD$13:$BL$162,BP5723,0))/100))&gt;=$D$10:$L$10)),0)</f>
        <v/>
      </c>
      <c r="BR5723">
        <f>IF(5710&lt;$U$9,SUMPRODUCT(($D$10:$L$10&lt;&gt;"")*(($D$10:$L$10-($D$9:$L$9+INT(($S$12:$AA$12+INDEX($AJ$13:$AR$162,BN5723,0)+INDEX($AT$13:$BB$162,BO5723,0)+INDEX($BD$13:$BL$162,BP5723,0))/100)))&gt;0)*($D$10:$L$10-($D$9:$L$9+INT(($S$12:$AA$12+INDEX($AJ$13:$AR$162,BN5723,0)+INDEX($AT$13:$BB$162,BO5723,0)+INDEX($BD$13:$BL$162,BP5723,0))/100)))),0)</f>
        <v/>
      </c>
      <c r="BS5723">
        <f>IF(5710&lt;$U$9,SUMPRODUCT(($D$9:$L$9+INT(($S$12:$AA$12+INDEX($AJ$13:$AR$162,BN5723,0)+INDEX($AT$13:$BB$162,BO5723,0)+INDEX($BD$13:$BL$162,BP5723,0))/100))),0)</f>
        <v/>
      </c>
      <c r="BT5723">
        <f>IF(AND(5710&lt;$U$9,$W$5),BQ5723*1000000-MIN(BR5723,999)*1000+BS5723-5710/100000,-1000000000-5710)</f>
        <v/>
      </c>
    </row>
    <row r="5724">
      <c r="BN5724">
        <f>IF(5711&lt;$U$9,INT(5711/($U$7*$U$8))+1,1)</f>
        <v/>
      </c>
      <c r="BO5724">
        <f>IF(5711&lt;$U$9,MOD(INT(5711/$U$8),$U$7)+1,1)</f>
        <v/>
      </c>
      <c r="BP5724">
        <f>IF(5711&lt;$U$9,MOD(5711,$U$8)+1,1)</f>
        <v/>
      </c>
      <c r="BQ5724">
        <f>IF(5711&lt;$U$9,SUMPRODUCT(($D$10:$L$10&lt;&gt;"")*(($D$9:$L$9+INT(($S$12:$AA$12+INDEX($AJ$13:$AR$162,BN5724,0)+INDEX($AT$13:$BB$162,BO5724,0)+INDEX($BD$13:$BL$162,BP5724,0))/100))&gt;=$D$10:$L$10)),0)</f>
        <v/>
      </c>
      <c r="BR5724">
        <f>IF(5711&lt;$U$9,SUMPRODUCT(($D$10:$L$10&lt;&gt;"")*(($D$10:$L$10-($D$9:$L$9+INT(($S$12:$AA$12+INDEX($AJ$13:$AR$162,BN5724,0)+INDEX($AT$13:$BB$162,BO5724,0)+INDEX($BD$13:$BL$162,BP5724,0))/100)))&gt;0)*($D$10:$L$10-($D$9:$L$9+INT(($S$12:$AA$12+INDEX($AJ$13:$AR$162,BN5724,0)+INDEX($AT$13:$BB$162,BO5724,0)+INDEX($BD$13:$BL$162,BP5724,0))/100)))),0)</f>
        <v/>
      </c>
      <c r="BS5724">
        <f>IF(5711&lt;$U$9,SUMPRODUCT(($D$9:$L$9+INT(($S$12:$AA$12+INDEX($AJ$13:$AR$162,BN5724,0)+INDEX($AT$13:$BB$162,BO5724,0)+INDEX($BD$13:$BL$162,BP5724,0))/100))),0)</f>
        <v/>
      </c>
      <c r="BT5724">
        <f>IF(AND(5711&lt;$U$9,$W$5),BQ5724*1000000-MIN(BR5724,999)*1000+BS5724-5711/100000,-1000000000-5711)</f>
        <v/>
      </c>
    </row>
    <row r="5725">
      <c r="BN5725">
        <f>IF(5712&lt;$U$9,INT(5712/($U$7*$U$8))+1,1)</f>
        <v/>
      </c>
      <c r="BO5725">
        <f>IF(5712&lt;$U$9,MOD(INT(5712/$U$8),$U$7)+1,1)</f>
        <v/>
      </c>
      <c r="BP5725">
        <f>IF(5712&lt;$U$9,MOD(5712,$U$8)+1,1)</f>
        <v/>
      </c>
      <c r="BQ5725">
        <f>IF(5712&lt;$U$9,SUMPRODUCT(($D$10:$L$10&lt;&gt;"")*(($D$9:$L$9+INT(($S$12:$AA$12+INDEX($AJ$13:$AR$162,BN5725,0)+INDEX($AT$13:$BB$162,BO5725,0)+INDEX($BD$13:$BL$162,BP5725,0))/100))&gt;=$D$10:$L$10)),0)</f>
        <v/>
      </c>
      <c r="BR5725">
        <f>IF(5712&lt;$U$9,SUMPRODUCT(($D$10:$L$10&lt;&gt;"")*(($D$10:$L$10-($D$9:$L$9+INT(($S$12:$AA$12+INDEX($AJ$13:$AR$162,BN5725,0)+INDEX($AT$13:$BB$162,BO5725,0)+INDEX($BD$13:$BL$162,BP5725,0))/100)))&gt;0)*($D$10:$L$10-($D$9:$L$9+INT(($S$12:$AA$12+INDEX($AJ$13:$AR$162,BN5725,0)+INDEX($AT$13:$BB$162,BO5725,0)+INDEX($BD$13:$BL$162,BP5725,0))/100)))),0)</f>
        <v/>
      </c>
      <c r="BS5725">
        <f>IF(5712&lt;$U$9,SUMPRODUCT(($D$9:$L$9+INT(($S$12:$AA$12+INDEX($AJ$13:$AR$162,BN5725,0)+INDEX($AT$13:$BB$162,BO5725,0)+INDEX($BD$13:$BL$162,BP5725,0))/100))),0)</f>
        <v/>
      </c>
      <c r="BT5725">
        <f>IF(AND(5712&lt;$U$9,$W$5),BQ5725*1000000-MIN(BR5725,999)*1000+BS5725-5712/100000,-1000000000-5712)</f>
        <v/>
      </c>
    </row>
    <row r="5726">
      <c r="BN5726">
        <f>IF(5713&lt;$U$9,INT(5713/($U$7*$U$8))+1,1)</f>
        <v/>
      </c>
      <c r="BO5726">
        <f>IF(5713&lt;$U$9,MOD(INT(5713/$U$8),$U$7)+1,1)</f>
        <v/>
      </c>
      <c r="BP5726">
        <f>IF(5713&lt;$U$9,MOD(5713,$U$8)+1,1)</f>
        <v/>
      </c>
      <c r="BQ5726">
        <f>IF(5713&lt;$U$9,SUMPRODUCT(($D$10:$L$10&lt;&gt;"")*(($D$9:$L$9+INT(($S$12:$AA$12+INDEX($AJ$13:$AR$162,BN5726,0)+INDEX($AT$13:$BB$162,BO5726,0)+INDEX($BD$13:$BL$162,BP5726,0))/100))&gt;=$D$10:$L$10)),0)</f>
        <v/>
      </c>
      <c r="BR5726">
        <f>IF(5713&lt;$U$9,SUMPRODUCT(($D$10:$L$10&lt;&gt;"")*(($D$10:$L$10-($D$9:$L$9+INT(($S$12:$AA$12+INDEX($AJ$13:$AR$162,BN5726,0)+INDEX($AT$13:$BB$162,BO5726,0)+INDEX($BD$13:$BL$162,BP5726,0))/100)))&gt;0)*($D$10:$L$10-($D$9:$L$9+INT(($S$12:$AA$12+INDEX($AJ$13:$AR$162,BN5726,0)+INDEX($AT$13:$BB$162,BO5726,0)+INDEX($BD$13:$BL$162,BP5726,0))/100)))),0)</f>
        <v/>
      </c>
      <c r="BS5726">
        <f>IF(5713&lt;$U$9,SUMPRODUCT(($D$9:$L$9+INT(($S$12:$AA$12+INDEX($AJ$13:$AR$162,BN5726,0)+INDEX($AT$13:$BB$162,BO5726,0)+INDEX($BD$13:$BL$162,BP5726,0))/100))),0)</f>
        <v/>
      </c>
      <c r="BT5726">
        <f>IF(AND(5713&lt;$U$9,$W$5),BQ5726*1000000-MIN(BR5726,999)*1000+BS5726-5713/100000,-1000000000-5713)</f>
        <v/>
      </c>
    </row>
    <row r="5727">
      <c r="BN5727">
        <f>IF(5714&lt;$U$9,INT(5714/($U$7*$U$8))+1,1)</f>
        <v/>
      </c>
      <c r="BO5727">
        <f>IF(5714&lt;$U$9,MOD(INT(5714/$U$8),$U$7)+1,1)</f>
        <v/>
      </c>
      <c r="BP5727">
        <f>IF(5714&lt;$U$9,MOD(5714,$U$8)+1,1)</f>
        <v/>
      </c>
      <c r="BQ5727">
        <f>IF(5714&lt;$U$9,SUMPRODUCT(($D$10:$L$10&lt;&gt;"")*(($D$9:$L$9+INT(($S$12:$AA$12+INDEX($AJ$13:$AR$162,BN5727,0)+INDEX($AT$13:$BB$162,BO5727,0)+INDEX($BD$13:$BL$162,BP5727,0))/100))&gt;=$D$10:$L$10)),0)</f>
        <v/>
      </c>
      <c r="BR5727">
        <f>IF(5714&lt;$U$9,SUMPRODUCT(($D$10:$L$10&lt;&gt;"")*(($D$10:$L$10-($D$9:$L$9+INT(($S$12:$AA$12+INDEX($AJ$13:$AR$162,BN5727,0)+INDEX($AT$13:$BB$162,BO5727,0)+INDEX($BD$13:$BL$162,BP5727,0))/100)))&gt;0)*($D$10:$L$10-($D$9:$L$9+INT(($S$12:$AA$12+INDEX($AJ$13:$AR$162,BN5727,0)+INDEX($AT$13:$BB$162,BO5727,0)+INDEX($BD$13:$BL$162,BP5727,0))/100)))),0)</f>
        <v/>
      </c>
      <c r="BS5727">
        <f>IF(5714&lt;$U$9,SUMPRODUCT(($D$9:$L$9+INT(($S$12:$AA$12+INDEX($AJ$13:$AR$162,BN5727,0)+INDEX($AT$13:$BB$162,BO5727,0)+INDEX($BD$13:$BL$162,BP5727,0))/100))),0)</f>
        <v/>
      </c>
      <c r="BT5727">
        <f>IF(AND(5714&lt;$U$9,$W$5),BQ5727*1000000-MIN(BR5727,999)*1000+BS5727-5714/100000,-1000000000-5714)</f>
        <v/>
      </c>
    </row>
    <row r="5728">
      <c r="BN5728">
        <f>IF(5715&lt;$U$9,INT(5715/($U$7*$U$8))+1,1)</f>
        <v/>
      </c>
      <c r="BO5728">
        <f>IF(5715&lt;$U$9,MOD(INT(5715/$U$8),$U$7)+1,1)</f>
        <v/>
      </c>
      <c r="BP5728">
        <f>IF(5715&lt;$U$9,MOD(5715,$U$8)+1,1)</f>
        <v/>
      </c>
      <c r="BQ5728">
        <f>IF(5715&lt;$U$9,SUMPRODUCT(($D$10:$L$10&lt;&gt;"")*(($D$9:$L$9+INT(($S$12:$AA$12+INDEX($AJ$13:$AR$162,BN5728,0)+INDEX($AT$13:$BB$162,BO5728,0)+INDEX($BD$13:$BL$162,BP5728,0))/100))&gt;=$D$10:$L$10)),0)</f>
        <v/>
      </c>
      <c r="BR5728">
        <f>IF(5715&lt;$U$9,SUMPRODUCT(($D$10:$L$10&lt;&gt;"")*(($D$10:$L$10-($D$9:$L$9+INT(($S$12:$AA$12+INDEX($AJ$13:$AR$162,BN5728,0)+INDEX($AT$13:$BB$162,BO5728,0)+INDEX($BD$13:$BL$162,BP5728,0))/100)))&gt;0)*($D$10:$L$10-($D$9:$L$9+INT(($S$12:$AA$12+INDEX($AJ$13:$AR$162,BN5728,0)+INDEX($AT$13:$BB$162,BO5728,0)+INDEX($BD$13:$BL$162,BP5728,0))/100)))),0)</f>
        <v/>
      </c>
      <c r="BS5728">
        <f>IF(5715&lt;$U$9,SUMPRODUCT(($D$9:$L$9+INT(($S$12:$AA$12+INDEX($AJ$13:$AR$162,BN5728,0)+INDEX($AT$13:$BB$162,BO5728,0)+INDEX($BD$13:$BL$162,BP5728,0))/100))),0)</f>
        <v/>
      </c>
      <c r="BT5728">
        <f>IF(AND(5715&lt;$U$9,$W$5),BQ5728*1000000-MIN(BR5728,999)*1000+BS5728-5715/100000,-1000000000-5715)</f>
        <v/>
      </c>
    </row>
    <row r="5729">
      <c r="BN5729">
        <f>IF(5716&lt;$U$9,INT(5716/($U$7*$U$8))+1,1)</f>
        <v/>
      </c>
      <c r="BO5729">
        <f>IF(5716&lt;$U$9,MOD(INT(5716/$U$8),$U$7)+1,1)</f>
        <v/>
      </c>
      <c r="BP5729">
        <f>IF(5716&lt;$U$9,MOD(5716,$U$8)+1,1)</f>
        <v/>
      </c>
      <c r="BQ5729">
        <f>IF(5716&lt;$U$9,SUMPRODUCT(($D$10:$L$10&lt;&gt;"")*(($D$9:$L$9+INT(($S$12:$AA$12+INDEX($AJ$13:$AR$162,BN5729,0)+INDEX($AT$13:$BB$162,BO5729,0)+INDEX($BD$13:$BL$162,BP5729,0))/100))&gt;=$D$10:$L$10)),0)</f>
        <v/>
      </c>
      <c r="BR5729">
        <f>IF(5716&lt;$U$9,SUMPRODUCT(($D$10:$L$10&lt;&gt;"")*(($D$10:$L$10-($D$9:$L$9+INT(($S$12:$AA$12+INDEX($AJ$13:$AR$162,BN5729,0)+INDEX($AT$13:$BB$162,BO5729,0)+INDEX($BD$13:$BL$162,BP5729,0))/100)))&gt;0)*($D$10:$L$10-($D$9:$L$9+INT(($S$12:$AA$12+INDEX($AJ$13:$AR$162,BN5729,0)+INDEX($AT$13:$BB$162,BO5729,0)+INDEX($BD$13:$BL$162,BP5729,0))/100)))),0)</f>
        <v/>
      </c>
      <c r="BS5729">
        <f>IF(5716&lt;$U$9,SUMPRODUCT(($D$9:$L$9+INT(($S$12:$AA$12+INDEX($AJ$13:$AR$162,BN5729,0)+INDEX($AT$13:$BB$162,BO5729,0)+INDEX($BD$13:$BL$162,BP5729,0))/100))),0)</f>
        <v/>
      </c>
      <c r="BT5729">
        <f>IF(AND(5716&lt;$U$9,$W$5),BQ5729*1000000-MIN(BR5729,999)*1000+BS5729-5716/100000,-1000000000-5716)</f>
        <v/>
      </c>
    </row>
    <row r="5730">
      <c r="BN5730">
        <f>IF(5717&lt;$U$9,INT(5717/($U$7*$U$8))+1,1)</f>
        <v/>
      </c>
      <c r="BO5730">
        <f>IF(5717&lt;$U$9,MOD(INT(5717/$U$8),$U$7)+1,1)</f>
        <v/>
      </c>
      <c r="BP5730">
        <f>IF(5717&lt;$U$9,MOD(5717,$U$8)+1,1)</f>
        <v/>
      </c>
      <c r="BQ5730">
        <f>IF(5717&lt;$U$9,SUMPRODUCT(($D$10:$L$10&lt;&gt;"")*(($D$9:$L$9+INT(($S$12:$AA$12+INDEX($AJ$13:$AR$162,BN5730,0)+INDEX($AT$13:$BB$162,BO5730,0)+INDEX($BD$13:$BL$162,BP5730,0))/100))&gt;=$D$10:$L$10)),0)</f>
        <v/>
      </c>
      <c r="BR5730">
        <f>IF(5717&lt;$U$9,SUMPRODUCT(($D$10:$L$10&lt;&gt;"")*(($D$10:$L$10-($D$9:$L$9+INT(($S$12:$AA$12+INDEX($AJ$13:$AR$162,BN5730,0)+INDEX($AT$13:$BB$162,BO5730,0)+INDEX($BD$13:$BL$162,BP5730,0))/100)))&gt;0)*($D$10:$L$10-($D$9:$L$9+INT(($S$12:$AA$12+INDEX($AJ$13:$AR$162,BN5730,0)+INDEX($AT$13:$BB$162,BO5730,0)+INDEX($BD$13:$BL$162,BP5730,0))/100)))),0)</f>
        <v/>
      </c>
      <c r="BS5730">
        <f>IF(5717&lt;$U$9,SUMPRODUCT(($D$9:$L$9+INT(($S$12:$AA$12+INDEX($AJ$13:$AR$162,BN5730,0)+INDEX($AT$13:$BB$162,BO5730,0)+INDEX($BD$13:$BL$162,BP5730,0))/100))),0)</f>
        <v/>
      </c>
      <c r="BT5730">
        <f>IF(AND(5717&lt;$U$9,$W$5),BQ5730*1000000-MIN(BR5730,999)*1000+BS5730-5717/100000,-1000000000-5717)</f>
        <v/>
      </c>
    </row>
    <row r="5731">
      <c r="BN5731">
        <f>IF(5718&lt;$U$9,INT(5718/($U$7*$U$8))+1,1)</f>
        <v/>
      </c>
      <c r="BO5731">
        <f>IF(5718&lt;$U$9,MOD(INT(5718/$U$8),$U$7)+1,1)</f>
        <v/>
      </c>
      <c r="BP5731">
        <f>IF(5718&lt;$U$9,MOD(5718,$U$8)+1,1)</f>
        <v/>
      </c>
      <c r="BQ5731">
        <f>IF(5718&lt;$U$9,SUMPRODUCT(($D$10:$L$10&lt;&gt;"")*(($D$9:$L$9+INT(($S$12:$AA$12+INDEX($AJ$13:$AR$162,BN5731,0)+INDEX($AT$13:$BB$162,BO5731,0)+INDEX($BD$13:$BL$162,BP5731,0))/100))&gt;=$D$10:$L$10)),0)</f>
        <v/>
      </c>
      <c r="BR5731">
        <f>IF(5718&lt;$U$9,SUMPRODUCT(($D$10:$L$10&lt;&gt;"")*(($D$10:$L$10-($D$9:$L$9+INT(($S$12:$AA$12+INDEX($AJ$13:$AR$162,BN5731,0)+INDEX($AT$13:$BB$162,BO5731,0)+INDEX($BD$13:$BL$162,BP5731,0))/100)))&gt;0)*($D$10:$L$10-($D$9:$L$9+INT(($S$12:$AA$12+INDEX($AJ$13:$AR$162,BN5731,0)+INDEX($AT$13:$BB$162,BO5731,0)+INDEX($BD$13:$BL$162,BP5731,0))/100)))),0)</f>
        <v/>
      </c>
      <c r="BS5731">
        <f>IF(5718&lt;$U$9,SUMPRODUCT(($D$9:$L$9+INT(($S$12:$AA$12+INDEX($AJ$13:$AR$162,BN5731,0)+INDEX($AT$13:$BB$162,BO5731,0)+INDEX($BD$13:$BL$162,BP5731,0))/100))),0)</f>
        <v/>
      </c>
      <c r="BT5731">
        <f>IF(AND(5718&lt;$U$9,$W$5),BQ5731*1000000-MIN(BR5731,999)*1000+BS5731-5718/100000,-1000000000-5718)</f>
        <v/>
      </c>
    </row>
    <row r="5732">
      <c r="BN5732">
        <f>IF(5719&lt;$U$9,INT(5719/($U$7*$U$8))+1,1)</f>
        <v/>
      </c>
      <c r="BO5732">
        <f>IF(5719&lt;$U$9,MOD(INT(5719/$U$8),$U$7)+1,1)</f>
        <v/>
      </c>
      <c r="BP5732">
        <f>IF(5719&lt;$U$9,MOD(5719,$U$8)+1,1)</f>
        <v/>
      </c>
      <c r="BQ5732">
        <f>IF(5719&lt;$U$9,SUMPRODUCT(($D$10:$L$10&lt;&gt;"")*(($D$9:$L$9+INT(($S$12:$AA$12+INDEX($AJ$13:$AR$162,BN5732,0)+INDEX($AT$13:$BB$162,BO5732,0)+INDEX($BD$13:$BL$162,BP5732,0))/100))&gt;=$D$10:$L$10)),0)</f>
        <v/>
      </c>
      <c r="BR5732">
        <f>IF(5719&lt;$U$9,SUMPRODUCT(($D$10:$L$10&lt;&gt;"")*(($D$10:$L$10-($D$9:$L$9+INT(($S$12:$AA$12+INDEX($AJ$13:$AR$162,BN5732,0)+INDEX($AT$13:$BB$162,BO5732,0)+INDEX($BD$13:$BL$162,BP5732,0))/100)))&gt;0)*($D$10:$L$10-($D$9:$L$9+INT(($S$12:$AA$12+INDEX($AJ$13:$AR$162,BN5732,0)+INDEX($AT$13:$BB$162,BO5732,0)+INDEX($BD$13:$BL$162,BP5732,0))/100)))),0)</f>
        <v/>
      </c>
      <c r="BS5732">
        <f>IF(5719&lt;$U$9,SUMPRODUCT(($D$9:$L$9+INT(($S$12:$AA$12+INDEX($AJ$13:$AR$162,BN5732,0)+INDEX($AT$13:$BB$162,BO5732,0)+INDEX($BD$13:$BL$162,BP5732,0))/100))),0)</f>
        <v/>
      </c>
      <c r="BT5732">
        <f>IF(AND(5719&lt;$U$9,$W$5),BQ5732*1000000-MIN(BR5732,999)*1000+BS5732-5719/100000,-1000000000-5719)</f>
        <v/>
      </c>
    </row>
    <row r="5733">
      <c r="BN5733">
        <f>IF(5720&lt;$U$9,INT(5720/($U$7*$U$8))+1,1)</f>
        <v/>
      </c>
      <c r="BO5733">
        <f>IF(5720&lt;$U$9,MOD(INT(5720/$U$8),$U$7)+1,1)</f>
        <v/>
      </c>
      <c r="BP5733">
        <f>IF(5720&lt;$U$9,MOD(5720,$U$8)+1,1)</f>
        <v/>
      </c>
      <c r="BQ5733">
        <f>IF(5720&lt;$U$9,SUMPRODUCT(($D$10:$L$10&lt;&gt;"")*(($D$9:$L$9+INT(($S$12:$AA$12+INDEX($AJ$13:$AR$162,BN5733,0)+INDEX($AT$13:$BB$162,BO5733,0)+INDEX($BD$13:$BL$162,BP5733,0))/100))&gt;=$D$10:$L$10)),0)</f>
        <v/>
      </c>
      <c r="BR5733">
        <f>IF(5720&lt;$U$9,SUMPRODUCT(($D$10:$L$10&lt;&gt;"")*(($D$10:$L$10-($D$9:$L$9+INT(($S$12:$AA$12+INDEX($AJ$13:$AR$162,BN5733,0)+INDEX($AT$13:$BB$162,BO5733,0)+INDEX($BD$13:$BL$162,BP5733,0))/100)))&gt;0)*($D$10:$L$10-($D$9:$L$9+INT(($S$12:$AA$12+INDEX($AJ$13:$AR$162,BN5733,0)+INDEX($AT$13:$BB$162,BO5733,0)+INDEX($BD$13:$BL$162,BP5733,0))/100)))),0)</f>
        <v/>
      </c>
      <c r="BS5733">
        <f>IF(5720&lt;$U$9,SUMPRODUCT(($D$9:$L$9+INT(($S$12:$AA$12+INDEX($AJ$13:$AR$162,BN5733,0)+INDEX($AT$13:$BB$162,BO5733,0)+INDEX($BD$13:$BL$162,BP5733,0))/100))),0)</f>
        <v/>
      </c>
      <c r="BT5733">
        <f>IF(AND(5720&lt;$U$9,$W$5),BQ5733*1000000-MIN(BR5733,999)*1000+BS5733-5720/100000,-1000000000-5720)</f>
        <v/>
      </c>
    </row>
    <row r="5734">
      <c r="BN5734">
        <f>IF(5721&lt;$U$9,INT(5721/($U$7*$U$8))+1,1)</f>
        <v/>
      </c>
      <c r="BO5734">
        <f>IF(5721&lt;$U$9,MOD(INT(5721/$U$8),$U$7)+1,1)</f>
        <v/>
      </c>
      <c r="BP5734">
        <f>IF(5721&lt;$U$9,MOD(5721,$U$8)+1,1)</f>
        <v/>
      </c>
      <c r="BQ5734">
        <f>IF(5721&lt;$U$9,SUMPRODUCT(($D$10:$L$10&lt;&gt;"")*(($D$9:$L$9+INT(($S$12:$AA$12+INDEX($AJ$13:$AR$162,BN5734,0)+INDEX($AT$13:$BB$162,BO5734,0)+INDEX($BD$13:$BL$162,BP5734,0))/100))&gt;=$D$10:$L$10)),0)</f>
        <v/>
      </c>
      <c r="BR5734">
        <f>IF(5721&lt;$U$9,SUMPRODUCT(($D$10:$L$10&lt;&gt;"")*(($D$10:$L$10-($D$9:$L$9+INT(($S$12:$AA$12+INDEX($AJ$13:$AR$162,BN5734,0)+INDEX($AT$13:$BB$162,BO5734,0)+INDEX($BD$13:$BL$162,BP5734,0))/100)))&gt;0)*($D$10:$L$10-($D$9:$L$9+INT(($S$12:$AA$12+INDEX($AJ$13:$AR$162,BN5734,0)+INDEX($AT$13:$BB$162,BO5734,0)+INDEX($BD$13:$BL$162,BP5734,0))/100)))),0)</f>
        <v/>
      </c>
      <c r="BS5734">
        <f>IF(5721&lt;$U$9,SUMPRODUCT(($D$9:$L$9+INT(($S$12:$AA$12+INDEX($AJ$13:$AR$162,BN5734,0)+INDEX($AT$13:$BB$162,BO5734,0)+INDEX($BD$13:$BL$162,BP5734,0))/100))),0)</f>
        <v/>
      </c>
      <c r="BT5734">
        <f>IF(AND(5721&lt;$U$9,$W$5),BQ5734*1000000-MIN(BR5734,999)*1000+BS5734-5721/100000,-1000000000-5721)</f>
        <v/>
      </c>
    </row>
    <row r="5735">
      <c r="BN5735">
        <f>IF(5722&lt;$U$9,INT(5722/($U$7*$U$8))+1,1)</f>
        <v/>
      </c>
      <c r="BO5735">
        <f>IF(5722&lt;$U$9,MOD(INT(5722/$U$8),$U$7)+1,1)</f>
        <v/>
      </c>
      <c r="BP5735">
        <f>IF(5722&lt;$U$9,MOD(5722,$U$8)+1,1)</f>
        <v/>
      </c>
      <c r="BQ5735">
        <f>IF(5722&lt;$U$9,SUMPRODUCT(($D$10:$L$10&lt;&gt;"")*(($D$9:$L$9+INT(($S$12:$AA$12+INDEX($AJ$13:$AR$162,BN5735,0)+INDEX($AT$13:$BB$162,BO5735,0)+INDEX($BD$13:$BL$162,BP5735,0))/100))&gt;=$D$10:$L$10)),0)</f>
        <v/>
      </c>
      <c r="BR5735">
        <f>IF(5722&lt;$U$9,SUMPRODUCT(($D$10:$L$10&lt;&gt;"")*(($D$10:$L$10-($D$9:$L$9+INT(($S$12:$AA$12+INDEX($AJ$13:$AR$162,BN5735,0)+INDEX($AT$13:$BB$162,BO5735,0)+INDEX($BD$13:$BL$162,BP5735,0))/100)))&gt;0)*($D$10:$L$10-($D$9:$L$9+INT(($S$12:$AA$12+INDEX($AJ$13:$AR$162,BN5735,0)+INDEX($AT$13:$BB$162,BO5735,0)+INDEX($BD$13:$BL$162,BP5735,0))/100)))),0)</f>
        <v/>
      </c>
      <c r="BS5735">
        <f>IF(5722&lt;$U$9,SUMPRODUCT(($D$9:$L$9+INT(($S$12:$AA$12+INDEX($AJ$13:$AR$162,BN5735,0)+INDEX($AT$13:$BB$162,BO5735,0)+INDEX($BD$13:$BL$162,BP5735,0))/100))),0)</f>
        <v/>
      </c>
      <c r="BT5735">
        <f>IF(AND(5722&lt;$U$9,$W$5),BQ5735*1000000-MIN(BR5735,999)*1000+BS5735-5722/100000,-1000000000-5722)</f>
        <v/>
      </c>
    </row>
    <row r="5736">
      <c r="BN5736">
        <f>IF(5723&lt;$U$9,INT(5723/($U$7*$U$8))+1,1)</f>
        <v/>
      </c>
      <c r="BO5736">
        <f>IF(5723&lt;$U$9,MOD(INT(5723/$U$8),$U$7)+1,1)</f>
        <v/>
      </c>
      <c r="BP5736">
        <f>IF(5723&lt;$U$9,MOD(5723,$U$8)+1,1)</f>
        <v/>
      </c>
      <c r="BQ5736">
        <f>IF(5723&lt;$U$9,SUMPRODUCT(($D$10:$L$10&lt;&gt;"")*(($D$9:$L$9+INT(($S$12:$AA$12+INDEX($AJ$13:$AR$162,BN5736,0)+INDEX($AT$13:$BB$162,BO5736,0)+INDEX($BD$13:$BL$162,BP5736,0))/100))&gt;=$D$10:$L$10)),0)</f>
        <v/>
      </c>
      <c r="BR5736">
        <f>IF(5723&lt;$U$9,SUMPRODUCT(($D$10:$L$10&lt;&gt;"")*(($D$10:$L$10-($D$9:$L$9+INT(($S$12:$AA$12+INDEX($AJ$13:$AR$162,BN5736,0)+INDEX($AT$13:$BB$162,BO5736,0)+INDEX($BD$13:$BL$162,BP5736,0))/100)))&gt;0)*($D$10:$L$10-($D$9:$L$9+INT(($S$12:$AA$12+INDEX($AJ$13:$AR$162,BN5736,0)+INDEX($AT$13:$BB$162,BO5736,0)+INDEX($BD$13:$BL$162,BP5736,0))/100)))),0)</f>
        <v/>
      </c>
      <c r="BS5736">
        <f>IF(5723&lt;$U$9,SUMPRODUCT(($D$9:$L$9+INT(($S$12:$AA$12+INDEX($AJ$13:$AR$162,BN5736,0)+INDEX($AT$13:$BB$162,BO5736,0)+INDEX($BD$13:$BL$162,BP5736,0))/100))),0)</f>
        <v/>
      </c>
      <c r="BT5736">
        <f>IF(AND(5723&lt;$U$9,$W$5),BQ5736*1000000-MIN(BR5736,999)*1000+BS5736-5723/100000,-1000000000-5723)</f>
        <v/>
      </c>
    </row>
    <row r="5737">
      <c r="BN5737">
        <f>IF(5724&lt;$U$9,INT(5724/($U$7*$U$8))+1,1)</f>
        <v/>
      </c>
      <c r="BO5737">
        <f>IF(5724&lt;$U$9,MOD(INT(5724/$U$8),$U$7)+1,1)</f>
        <v/>
      </c>
      <c r="BP5737">
        <f>IF(5724&lt;$U$9,MOD(5724,$U$8)+1,1)</f>
        <v/>
      </c>
      <c r="BQ5737">
        <f>IF(5724&lt;$U$9,SUMPRODUCT(($D$10:$L$10&lt;&gt;"")*(($D$9:$L$9+INT(($S$12:$AA$12+INDEX($AJ$13:$AR$162,BN5737,0)+INDEX($AT$13:$BB$162,BO5737,0)+INDEX($BD$13:$BL$162,BP5737,0))/100))&gt;=$D$10:$L$10)),0)</f>
        <v/>
      </c>
      <c r="BR5737">
        <f>IF(5724&lt;$U$9,SUMPRODUCT(($D$10:$L$10&lt;&gt;"")*(($D$10:$L$10-($D$9:$L$9+INT(($S$12:$AA$12+INDEX($AJ$13:$AR$162,BN5737,0)+INDEX($AT$13:$BB$162,BO5737,0)+INDEX($BD$13:$BL$162,BP5737,0))/100)))&gt;0)*($D$10:$L$10-($D$9:$L$9+INT(($S$12:$AA$12+INDEX($AJ$13:$AR$162,BN5737,0)+INDEX($AT$13:$BB$162,BO5737,0)+INDEX($BD$13:$BL$162,BP5737,0))/100)))),0)</f>
        <v/>
      </c>
      <c r="BS5737">
        <f>IF(5724&lt;$U$9,SUMPRODUCT(($D$9:$L$9+INT(($S$12:$AA$12+INDEX($AJ$13:$AR$162,BN5737,0)+INDEX($AT$13:$BB$162,BO5737,0)+INDEX($BD$13:$BL$162,BP5737,0))/100))),0)</f>
        <v/>
      </c>
      <c r="BT5737">
        <f>IF(AND(5724&lt;$U$9,$W$5),BQ5737*1000000-MIN(BR5737,999)*1000+BS5737-5724/100000,-1000000000-5724)</f>
        <v/>
      </c>
    </row>
    <row r="5738">
      <c r="BN5738">
        <f>IF(5725&lt;$U$9,INT(5725/($U$7*$U$8))+1,1)</f>
        <v/>
      </c>
      <c r="BO5738">
        <f>IF(5725&lt;$U$9,MOD(INT(5725/$U$8),$U$7)+1,1)</f>
        <v/>
      </c>
      <c r="BP5738">
        <f>IF(5725&lt;$U$9,MOD(5725,$U$8)+1,1)</f>
        <v/>
      </c>
      <c r="BQ5738">
        <f>IF(5725&lt;$U$9,SUMPRODUCT(($D$10:$L$10&lt;&gt;"")*(($D$9:$L$9+INT(($S$12:$AA$12+INDEX($AJ$13:$AR$162,BN5738,0)+INDEX($AT$13:$BB$162,BO5738,0)+INDEX($BD$13:$BL$162,BP5738,0))/100))&gt;=$D$10:$L$10)),0)</f>
        <v/>
      </c>
      <c r="BR5738">
        <f>IF(5725&lt;$U$9,SUMPRODUCT(($D$10:$L$10&lt;&gt;"")*(($D$10:$L$10-($D$9:$L$9+INT(($S$12:$AA$12+INDEX($AJ$13:$AR$162,BN5738,0)+INDEX($AT$13:$BB$162,BO5738,0)+INDEX($BD$13:$BL$162,BP5738,0))/100)))&gt;0)*($D$10:$L$10-($D$9:$L$9+INT(($S$12:$AA$12+INDEX($AJ$13:$AR$162,BN5738,0)+INDEX($AT$13:$BB$162,BO5738,0)+INDEX($BD$13:$BL$162,BP5738,0))/100)))),0)</f>
        <v/>
      </c>
      <c r="BS5738">
        <f>IF(5725&lt;$U$9,SUMPRODUCT(($D$9:$L$9+INT(($S$12:$AA$12+INDEX($AJ$13:$AR$162,BN5738,0)+INDEX($AT$13:$BB$162,BO5738,0)+INDEX($BD$13:$BL$162,BP5738,0))/100))),0)</f>
        <v/>
      </c>
      <c r="BT5738">
        <f>IF(AND(5725&lt;$U$9,$W$5),BQ5738*1000000-MIN(BR5738,999)*1000+BS5738-5725/100000,-1000000000-5725)</f>
        <v/>
      </c>
    </row>
    <row r="5739">
      <c r="BN5739">
        <f>IF(5726&lt;$U$9,INT(5726/($U$7*$U$8))+1,1)</f>
        <v/>
      </c>
      <c r="BO5739">
        <f>IF(5726&lt;$U$9,MOD(INT(5726/$U$8),$U$7)+1,1)</f>
        <v/>
      </c>
      <c r="BP5739">
        <f>IF(5726&lt;$U$9,MOD(5726,$U$8)+1,1)</f>
        <v/>
      </c>
      <c r="BQ5739">
        <f>IF(5726&lt;$U$9,SUMPRODUCT(($D$10:$L$10&lt;&gt;"")*(($D$9:$L$9+INT(($S$12:$AA$12+INDEX($AJ$13:$AR$162,BN5739,0)+INDEX($AT$13:$BB$162,BO5739,0)+INDEX($BD$13:$BL$162,BP5739,0))/100))&gt;=$D$10:$L$10)),0)</f>
        <v/>
      </c>
      <c r="BR5739">
        <f>IF(5726&lt;$U$9,SUMPRODUCT(($D$10:$L$10&lt;&gt;"")*(($D$10:$L$10-($D$9:$L$9+INT(($S$12:$AA$12+INDEX($AJ$13:$AR$162,BN5739,0)+INDEX($AT$13:$BB$162,BO5739,0)+INDEX($BD$13:$BL$162,BP5739,0))/100)))&gt;0)*($D$10:$L$10-($D$9:$L$9+INT(($S$12:$AA$12+INDEX($AJ$13:$AR$162,BN5739,0)+INDEX($AT$13:$BB$162,BO5739,0)+INDEX($BD$13:$BL$162,BP5739,0))/100)))),0)</f>
        <v/>
      </c>
      <c r="BS5739">
        <f>IF(5726&lt;$U$9,SUMPRODUCT(($D$9:$L$9+INT(($S$12:$AA$12+INDEX($AJ$13:$AR$162,BN5739,0)+INDEX($AT$13:$BB$162,BO5739,0)+INDEX($BD$13:$BL$162,BP5739,0))/100))),0)</f>
        <v/>
      </c>
      <c r="BT5739">
        <f>IF(AND(5726&lt;$U$9,$W$5),BQ5739*1000000-MIN(BR5739,999)*1000+BS5739-5726/100000,-1000000000-5726)</f>
        <v/>
      </c>
    </row>
    <row r="5740">
      <c r="BN5740">
        <f>IF(5727&lt;$U$9,INT(5727/($U$7*$U$8))+1,1)</f>
        <v/>
      </c>
      <c r="BO5740">
        <f>IF(5727&lt;$U$9,MOD(INT(5727/$U$8),$U$7)+1,1)</f>
        <v/>
      </c>
      <c r="BP5740">
        <f>IF(5727&lt;$U$9,MOD(5727,$U$8)+1,1)</f>
        <v/>
      </c>
      <c r="BQ5740">
        <f>IF(5727&lt;$U$9,SUMPRODUCT(($D$10:$L$10&lt;&gt;"")*(($D$9:$L$9+INT(($S$12:$AA$12+INDEX($AJ$13:$AR$162,BN5740,0)+INDEX($AT$13:$BB$162,BO5740,0)+INDEX($BD$13:$BL$162,BP5740,0))/100))&gt;=$D$10:$L$10)),0)</f>
        <v/>
      </c>
      <c r="BR5740">
        <f>IF(5727&lt;$U$9,SUMPRODUCT(($D$10:$L$10&lt;&gt;"")*(($D$10:$L$10-($D$9:$L$9+INT(($S$12:$AA$12+INDEX($AJ$13:$AR$162,BN5740,0)+INDEX($AT$13:$BB$162,BO5740,0)+INDEX($BD$13:$BL$162,BP5740,0))/100)))&gt;0)*($D$10:$L$10-($D$9:$L$9+INT(($S$12:$AA$12+INDEX($AJ$13:$AR$162,BN5740,0)+INDEX($AT$13:$BB$162,BO5740,0)+INDEX($BD$13:$BL$162,BP5740,0))/100)))),0)</f>
        <v/>
      </c>
      <c r="BS5740">
        <f>IF(5727&lt;$U$9,SUMPRODUCT(($D$9:$L$9+INT(($S$12:$AA$12+INDEX($AJ$13:$AR$162,BN5740,0)+INDEX($AT$13:$BB$162,BO5740,0)+INDEX($BD$13:$BL$162,BP5740,0))/100))),0)</f>
        <v/>
      </c>
      <c r="BT5740">
        <f>IF(AND(5727&lt;$U$9,$W$5),BQ5740*1000000-MIN(BR5740,999)*1000+BS5740-5727/100000,-1000000000-5727)</f>
        <v/>
      </c>
    </row>
    <row r="5741">
      <c r="BN5741">
        <f>IF(5728&lt;$U$9,INT(5728/($U$7*$U$8))+1,1)</f>
        <v/>
      </c>
      <c r="BO5741">
        <f>IF(5728&lt;$U$9,MOD(INT(5728/$U$8),$U$7)+1,1)</f>
        <v/>
      </c>
      <c r="BP5741">
        <f>IF(5728&lt;$U$9,MOD(5728,$U$8)+1,1)</f>
        <v/>
      </c>
      <c r="BQ5741">
        <f>IF(5728&lt;$U$9,SUMPRODUCT(($D$10:$L$10&lt;&gt;"")*(($D$9:$L$9+INT(($S$12:$AA$12+INDEX($AJ$13:$AR$162,BN5741,0)+INDEX($AT$13:$BB$162,BO5741,0)+INDEX($BD$13:$BL$162,BP5741,0))/100))&gt;=$D$10:$L$10)),0)</f>
        <v/>
      </c>
      <c r="BR5741">
        <f>IF(5728&lt;$U$9,SUMPRODUCT(($D$10:$L$10&lt;&gt;"")*(($D$10:$L$10-($D$9:$L$9+INT(($S$12:$AA$12+INDEX($AJ$13:$AR$162,BN5741,0)+INDEX($AT$13:$BB$162,BO5741,0)+INDEX($BD$13:$BL$162,BP5741,0))/100)))&gt;0)*($D$10:$L$10-($D$9:$L$9+INT(($S$12:$AA$12+INDEX($AJ$13:$AR$162,BN5741,0)+INDEX($AT$13:$BB$162,BO5741,0)+INDEX($BD$13:$BL$162,BP5741,0))/100)))),0)</f>
        <v/>
      </c>
      <c r="BS5741">
        <f>IF(5728&lt;$U$9,SUMPRODUCT(($D$9:$L$9+INT(($S$12:$AA$12+INDEX($AJ$13:$AR$162,BN5741,0)+INDEX($AT$13:$BB$162,BO5741,0)+INDEX($BD$13:$BL$162,BP5741,0))/100))),0)</f>
        <v/>
      </c>
      <c r="BT5741">
        <f>IF(AND(5728&lt;$U$9,$W$5),BQ5741*1000000-MIN(BR5741,999)*1000+BS5741-5728/100000,-1000000000-5728)</f>
        <v/>
      </c>
    </row>
    <row r="5742">
      <c r="BN5742">
        <f>IF(5729&lt;$U$9,INT(5729/($U$7*$U$8))+1,1)</f>
        <v/>
      </c>
      <c r="BO5742">
        <f>IF(5729&lt;$U$9,MOD(INT(5729/$U$8),$U$7)+1,1)</f>
        <v/>
      </c>
      <c r="BP5742">
        <f>IF(5729&lt;$U$9,MOD(5729,$U$8)+1,1)</f>
        <v/>
      </c>
      <c r="BQ5742">
        <f>IF(5729&lt;$U$9,SUMPRODUCT(($D$10:$L$10&lt;&gt;"")*(($D$9:$L$9+INT(($S$12:$AA$12+INDEX($AJ$13:$AR$162,BN5742,0)+INDEX($AT$13:$BB$162,BO5742,0)+INDEX($BD$13:$BL$162,BP5742,0))/100))&gt;=$D$10:$L$10)),0)</f>
        <v/>
      </c>
      <c r="BR5742">
        <f>IF(5729&lt;$U$9,SUMPRODUCT(($D$10:$L$10&lt;&gt;"")*(($D$10:$L$10-($D$9:$L$9+INT(($S$12:$AA$12+INDEX($AJ$13:$AR$162,BN5742,0)+INDEX($AT$13:$BB$162,BO5742,0)+INDEX($BD$13:$BL$162,BP5742,0))/100)))&gt;0)*($D$10:$L$10-($D$9:$L$9+INT(($S$12:$AA$12+INDEX($AJ$13:$AR$162,BN5742,0)+INDEX($AT$13:$BB$162,BO5742,0)+INDEX($BD$13:$BL$162,BP5742,0))/100)))),0)</f>
        <v/>
      </c>
      <c r="BS5742">
        <f>IF(5729&lt;$U$9,SUMPRODUCT(($D$9:$L$9+INT(($S$12:$AA$12+INDEX($AJ$13:$AR$162,BN5742,0)+INDEX($AT$13:$BB$162,BO5742,0)+INDEX($BD$13:$BL$162,BP5742,0))/100))),0)</f>
        <v/>
      </c>
      <c r="BT5742">
        <f>IF(AND(5729&lt;$U$9,$W$5),BQ5742*1000000-MIN(BR5742,999)*1000+BS5742-5729/100000,-1000000000-5729)</f>
        <v/>
      </c>
    </row>
    <row r="5743">
      <c r="BN5743">
        <f>IF(5730&lt;$U$9,INT(5730/($U$7*$U$8))+1,1)</f>
        <v/>
      </c>
      <c r="BO5743">
        <f>IF(5730&lt;$U$9,MOD(INT(5730/$U$8),$U$7)+1,1)</f>
        <v/>
      </c>
      <c r="BP5743">
        <f>IF(5730&lt;$U$9,MOD(5730,$U$8)+1,1)</f>
        <v/>
      </c>
      <c r="BQ5743">
        <f>IF(5730&lt;$U$9,SUMPRODUCT(($D$10:$L$10&lt;&gt;"")*(($D$9:$L$9+INT(($S$12:$AA$12+INDEX($AJ$13:$AR$162,BN5743,0)+INDEX($AT$13:$BB$162,BO5743,0)+INDEX($BD$13:$BL$162,BP5743,0))/100))&gt;=$D$10:$L$10)),0)</f>
        <v/>
      </c>
      <c r="BR5743">
        <f>IF(5730&lt;$U$9,SUMPRODUCT(($D$10:$L$10&lt;&gt;"")*(($D$10:$L$10-($D$9:$L$9+INT(($S$12:$AA$12+INDEX($AJ$13:$AR$162,BN5743,0)+INDEX($AT$13:$BB$162,BO5743,0)+INDEX($BD$13:$BL$162,BP5743,0))/100)))&gt;0)*($D$10:$L$10-($D$9:$L$9+INT(($S$12:$AA$12+INDEX($AJ$13:$AR$162,BN5743,0)+INDEX($AT$13:$BB$162,BO5743,0)+INDEX($BD$13:$BL$162,BP5743,0))/100)))),0)</f>
        <v/>
      </c>
      <c r="BS5743">
        <f>IF(5730&lt;$U$9,SUMPRODUCT(($D$9:$L$9+INT(($S$12:$AA$12+INDEX($AJ$13:$AR$162,BN5743,0)+INDEX($AT$13:$BB$162,BO5743,0)+INDEX($BD$13:$BL$162,BP5743,0))/100))),0)</f>
        <v/>
      </c>
      <c r="BT5743">
        <f>IF(AND(5730&lt;$U$9,$W$5),BQ5743*1000000-MIN(BR5743,999)*1000+BS5743-5730/100000,-1000000000-5730)</f>
        <v/>
      </c>
    </row>
    <row r="5744">
      <c r="BN5744">
        <f>IF(5731&lt;$U$9,INT(5731/($U$7*$U$8))+1,1)</f>
        <v/>
      </c>
      <c r="BO5744">
        <f>IF(5731&lt;$U$9,MOD(INT(5731/$U$8),$U$7)+1,1)</f>
        <v/>
      </c>
      <c r="BP5744">
        <f>IF(5731&lt;$U$9,MOD(5731,$U$8)+1,1)</f>
        <v/>
      </c>
      <c r="BQ5744">
        <f>IF(5731&lt;$U$9,SUMPRODUCT(($D$10:$L$10&lt;&gt;"")*(($D$9:$L$9+INT(($S$12:$AA$12+INDEX($AJ$13:$AR$162,BN5744,0)+INDEX($AT$13:$BB$162,BO5744,0)+INDEX($BD$13:$BL$162,BP5744,0))/100))&gt;=$D$10:$L$10)),0)</f>
        <v/>
      </c>
      <c r="BR5744">
        <f>IF(5731&lt;$U$9,SUMPRODUCT(($D$10:$L$10&lt;&gt;"")*(($D$10:$L$10-($D$9:$L$9+INT(($S$12:$AA$12+INDEX($AJ$13:$AR$162,BN5744,0)+INDEX($AT$13:$BB$162,BO5744,0)+INDEX($BD$13:$BL$162,BP5744,0))/100)))&gt;0)*($D$10:$L$10-($D$9:$L$9+INT(($S$12:$AA$12+INDEX($AJ$13:$AR$162,BN5744,0)+INDEX($AT$13:$BB$162,BO5744,0)+INDEX($BD$13:$BL$162,BP5744,0))/100)))),0)</f>
        <v/>
      </c>
      <c r="BS5744">
        <f>IF(5731&lt;$U$9,SUMPRODUCT(($D$9:$L$9+INT(($S$12:$AA$12+INDEX($AJ$13:$AR$162,BN5744,0)+INDEX($AT$13:$BB$162,BO5744,0)+INDEX($BD$13:$BL$162,BP5744,0))/100))),0)</f>
        <v/>
      </c>
      <c r="BT5744">
        <f>IF(AND(5731&lt;$U$9,$W$5),BQ5744*1000000-MIN(BR5744,999)*1000+BS5744-5731/100000,-1000000000-5731)</f>
        <v/>
      </c>
    </row>
    <row r="5745">
      <c r="BN5745">
        <f>IF(5732&lt;$U$9,INT(5732/($U$7*$U$8))+1,1)</f>
        <v/>
      </c>
      <c r="BO5745">
        <f>IF(5732&lt;$U$9,MOD(INT(5732/$U$8),$U$7)+1,1)</f>
        <v/>
      </c>
      <c r="BP5745">
        <f>IF(5732&lt;$U$9,MOD(5732,$U$8)+1,1)</f>
        <v/>
      </c>
      <c r="BQ5745">
        <f>IF(5732&lt;$U$9,SUMPRODUCT(($D$10:$L$10&lt;&gt;"")*(($D$9:$L$9+INT(($S$12:$AA$12+INDEX($AJ$13:$AR$162,BN5745,0)+INDEX($AT$13:$BB$162,BO5745,0)+INDEX($BD$13:$BL$162,BP5745,0))/100))&gt;=$D$10:$L$10)),0)</f>
        <v/>
      </c>
      <c r="BR5745">
        <f>IF(5732&lt;$U$9,SUMPRODUCT(($D$10:$L$10&lt;&gt;"")*(($D$10:$L$10-($D$9:$L$9+INT(($S$12:$AA$12+INDEX($AJ$13:$AR$162,BN5745,0)+INDEX($AT$13:$BB$162,BO5745,0)+INDEX($BD$13:$BL$162,BP5745,0))/100)))&gt;0)*($D$10:$L$10-($D$9:$L$9+INT(($S$12:$AA$12+INDEX($AJ$13:$AR$162,BN5745,0)+INDEX($AT$13:$BB$162,BO5745,0)+INDEX($BD$13:$BL$162,BP5745,0))/100)))),0)</f>
        <v/>
      </c>
      <c r="BS5745">
        <f>IF(5732&lt;$U$9,SUMPRODUCT(($D$9:$L$9+INT(($S$12:$AA$12+INDEX($AJ$13:$AR$162,BN5745,0)+INDEX($AT$13:$BB$162,BO5745,0)+INDEX($BD$13:$BL$162,BP5745,0))/100))),0)</f>
        <v/>
      </c>
      <c r="BT5745">
        <f>IF(AND(5732&lt;$U$9,$W$5),BQ5745*1000000-MIN(BR5745,999)*1000+BS5745-5732/100000,-1000000000-5732)</f>
        <v/>
      </c>
    </row>
    <row r="5746">
      <c r="BN5746">
        <f>IF(5733&lt;$U$9,INT(5733/($U$7*$U$8))+1,1)</f>
        <v/>
      </c>
      <c r="BO5746">
        <f>IF(5733&lt;$U$9,MOD(INT(5733/$U$8),$U$7)+1,1)</f>
        <v/>
      </c>
      <c r="BP5746">
        <f>IF(5733&lt;$U$9,MOD(5733,$U$8)+1,1)</f>
        <v/>
      </c>
      <c r="BQ5746">
        <f>IF(5733&lt;$U$9,SUMPRODUCT(($D$10:$L$10&lt;&gt;"")*(($D$9:$L$9+INT(($S$12:$AA$12+INDEX($AJ$13:$AR$162,BN5746,0)+INDEX($AT$13:$BB$162,BO5746,0)+INDEX($BD$13:$BL$162,BP5746,0))/100))&gt;=$D$10:$L$10)),0)</f>
        <v/>
      </c>
      <c r="BR5746">
        <f>IF(5733&lt;$U$9,SUMPRODUCT(($D$10:$L$10&lt;&gt;"")*(($D$10:$L$10-($D$9:$L$9+INT(($S$12:$AA$12+INDEX($AJ$13:$AR$162,BN5746,0)+INDEX($AT$13:$BB$162,BO5746,0)+INDEX($BD$13:$BL$162,BP5746,0))/100)))&gt;0)*($D$10:$L$10-($D$9:$L$9+INT(($S$12:$AA$12+INDEX($AJ$13:$AR$162,BN5746,0)+INDEX($AT$13:$BB$162,BO5746,0)+INDEX($BD$13:$BL$162,BP5746,0))/100)))),0)</f>
        <v/>
      </c>
      <c r="BS5746">
        <f>IF(5733&lt;$U$9,SUMPRODUCT(($D$9:$L$9+INT(($S$12:$AA$12+INDEX($AJ$13:$AR$162,BN5746,0)+INDEX($AT$13:$BB$162,BO5746,0)+INDEX($BD$13:$BL$162,BP5746,0))/100))),0)</f>
        <v/>
      </c>
      <c r="BT5746">
        <f>IF(AND(5733&lt;$U$9,$W$5),BQ5746*1000000-MIN(BR5746,999)*1000+BS5746-5733/100000,-1000000000-5733)</f>
        <v/>
      </c>
    </row>
    <row r="5747">
      <c r="BN5747">
        <f>IF(5734&lt;$U$9,INT(5734/($U$7*$U$8))+1,1)</f>
        <v/>
      </c>
      <c r="BO5747">
        <f>IF(5734&lt;$U$9,MOD(INT(5734/$U$8),$U$7)+1,1)</f>
        <v/>
      </c>
      <c r="BP5747">
        <f>IF(5734&lt;$U$9,MOD(5734,$U$8)+1,1)</f>
        <v/>
      </c>
      <c r="BQ5747">
        <f>IF(5734&lt;$U$9,SUMPRODUCT(($D$10:$L$10&lt;&gt;"")*(($D$9:$L$9+INT(($S$12:$AA$12+INDEX($AJ$13:$AR$162,BN5747,0)+INDEX($AT$13:$BB$162,BO5747,0)+INDEX($BD$13:$BL$162,BP5747,0))/100))&gt;=$D$10:$L$10)),0)</f>
        <v/>
      </c>
      <c r="BR5747">
        <f>IF(5734&lt;$U$9,SUMPRODUCT(($D$10:$L$10&lt;&gt;"")*(($D$10:$L$10-($D$9:$L$9+INT(($S$12:$AA$12+INDEX($AJ$13:$AR$162,BN5747,0)+INDEX($AT$13:$BB$162,BO5747,0)+INDEX($BD$13:$BL$162,BP5747,0))/100)))&gt;0)*($D$10:$L$10-($D$9:$L$9+INT(($S$12:$AA$12+INDEX($AJ$13:$AR$162,BN5747,0)+INDEX($AT$13:$BB$162,BO5747,0)+INDEX($BD$13:$BL$162,BP5747,0))/100)))),0)</f>
        <v/>
      </c>
      <c r="BS5747">
        <f>IF(5734&lt;$U$9,SUMPRODUCT(($D$9:$L$9+INT(($S$12:$AA$12+INDEX($AJ$13:$AR$162,BN5747,0)+INDEX($AT$13:$BB$162,BO5747,0)+INDEX($BD$13:$BL$162,BP5747,0))/100))),0)</f>
        <v/>
      </c>
      <c r="BT5747">
        <f>IF(AND(5734&lt;$U$9,$W$5),BQ5747*1000000-MIN(BR5747,999)*1000+BS5747-5734/100000,-1000000000-5734)</f>
        <v/>
      </c>
    </row>
    <row r="5748">
      <c r="BN5748">
        <f>IF(5735&lt;$U$9,INT(5735/($U$7*$U$8))+1,1)</f>
        <v/>
      </c>
      <c r="BO5748">
        <f>IF(5735&lt;$U$9,MOD(INT(5735/$U$8),$U$7)+1,1)</f>
        <v/>
      </c>
      <c r="BP5748">
        <f>IF(5735&lt;$U$9,MOD(5735,$U$8)+1,1)</f>
        <v/>
      </c>
      <c r="BQ5748">
        <f>IF(5735&lt;$U$9,SUMPRODUCT(($D$10:$L$10&lt;&gt;"")*(($D$9:$L$9+INT(($S$12:$AA$12+INDEX($AJ$13:$AR$162,BN5748,0)+INDEX($AT$13:$BB$162,BO5748,0)+INDEX($BD$13:$BL$162,BP5748,0))/100))&gt;=$D$10:$L$10)),0)</f>
        <v/>
      </c>
      <c r="BR5748">
        <f>IF(5735&lt;$U$9,SUMPRODUCT(($D$10:$L$10&lt;&gt;"")*(($D$10:$L$10-($D$9:$L$9+INT(($S$12:$AA$12+INDEX($AJ$13:$AR$162,BN5748,0)+INDEX($AT$13:$BB$162,BO5748,0)+INDEX($BD$13:$BL$162,BP5748,0))/100)))&gt;0)*($D$10:$L$10-($D$9:$L$9+INT(($S$12:$AA$12+INDEX($AJ$13:$AR$162,BN5748,0)+INDEX($AT$13:$BB$162,BO5748,0)+INDEX($BD$13:$BL$162,BP5748,0))/100)))),0)</f>
        <v/>
      </c>
      <c r="BS5748">
        <f>IF(5735&lt;$U$9,SUMPRODUCT(($D$9:$L$9+INT(($S$12:$AA$12+INDEX($AJ$13:$AR$162,BN5748,0)+INDEX($AT$13:$BB$162,BO5748,0)+INDEX($BD$13:$BL$162,BP5748,0))/100))),0)</f>
        <v/>
      </c>
      <c r="BT5748">
        <f>IF(AND(5735&lt;$U$9,$W$5),BQ5748*1000000-MIN(BR5748,999)*1000+BS5748-5735/100000,-1000000000-5735)</f>
        <v/>
      </c>
    </row>
    <row r="5749">
      <c r="BN5749">
        <f>IF(5736&lt;$U$9,INT(5736/($U$7*$U$8))+1,1)</f>
        <v/>
      </c>
      <c r="BO5749">
        <f>IF(5736&lt;$U$9,MOD(INT(5736/$U$8),$U$7)+1,1)</f>
        <v/>
      </c>
      <c r="BP5749">
        <f>IF(5736&lt;$U$9,MOD(5736,$U$8)+1,1)</f>
        <v/>
      </c>
      <c r="BQ5749">
        <f>IF(5736&lt;$U$9,SUMPRODUCT(($D$10:$L$10&lt;&gt;"")*(($D$9:$L$9+INT(($S$12:$AA$12+INDEX($AJ$13:$AR$162,BN5749,0)+INDEX($AT$13:$BB$162,BO5749,0)+INDEX($BD$13:$BL$162,BP5749,0))/100))&gt;=$D$10:$L$10)),0)</f>
        <v/>
      </c>
      <c r="BR5749">
        <f>IF(5736&lt;$U$9,SUMPRODUCT(($D$10:$L$10&lt;&gt;"")*(($D$10:$L$10-($D$9:$L$9+INT(($S$12:$AA$12+INDEX($AJ$13:$AR$162,BN5749,0)+INDEX($AT$13:$BB$162,BO5749,0)+INDEX($BD$13:$BL$162,BP5749,0))/100)))&gt;0)*($D$10:$L$10-($D$9:$L$9+INT(($S$12:$AA$12+INDEX($AJ$13:$AR$162,BN5749,0)+INDEX($AT$13:$BB$162,BO5749,0)+INDEX($BD$13:$BL$162,BP5749,0))/100)))),0)</f>
        <v/>
      </c>
      <c r="BS5749">
        <f>IF(5736&lt;$U$9,SUMPRODUCT(($D$9:$L$9+INT(($S$12:$AA$12+INDEX($AJ$13:$AR$162,BN5749,0)+INDEX($AT$13:$BB$162,BO5749,0)+INDEX($BD$13:$BL$162,BP5749,0))/100))),0)</f>
        <v/>
      </c>
      <c r="BT5749">
        <f>IF(AND(5736&lt;$U$9,$W$5),BQ5749*1000000-MIN(BR5749,999)*1000+BS5749-5736/100000,-1000000000-5736)</f>
        <v/>
      </c>
    </row>
    <row r="5750">
      <c r="BN5750">
        <f>IF(5737&lt;$U$9,INT(5737/($U$7*$U$8))+1,1)</f>
        <v/>
      </c>
      <c r="BO5750">
        <f>IF(5737&lt;$U$9,MOD(INT(5737/$U$8),$U$7)+1,1)</f>
        <v/>
      </c>
      <c r="BP5750">
        <f>IF(5737&lt;$U$9,MOD(5737,$U$8)+1,1)</f>
        <v/>
      </c>
      <c r="BQ5750">
        <f>IF(5737&lt;$U$9,SUMPRODUCT(($D$10:$L$10&lt;&gt;"")*(($D$9:$L$9+INT(($S$12:$AA$12+INDEX($AJ$13:$AR$162,BN5750,0)+INDEX($AT$13:$BB$162,BO5750,0)+INDEX($BD$13:$BL$162,BP5750,0))/100))&gt;=$D$10:$L$10)),0)</f>
        <v/>
      </c>
      <c r="BR5750">
        <f>IF(5737&lt;$U$9,SUMPRODUCT(($D$10:$L$10&lt;&gt;"")*(($D$10:$L$10-($D$9:$L$9+INT(($S$12:$AA$12+INDEX($AJ$13:$AR$162,BN5750,0)+INDEX($AT$13:$BB$162,BO5750,0)+INDEX($BD$13:$BL$162,BP5750,0))/100)))&gt;0)*($D$10:$L$10-($D$9:$L$9+INT(($S$12:$AA$12+INDEX($AJ$13:$AR$162,BN5750,0)+INDEX($AT$13:$BB$162,BO5750,0)+INDEX($BD$13:$BL$162,BP5750,0))/100)))),0)</f>
        <v/>
      </c>
      <c r="BS5750">
        <f>IF(5737&lt;$U$9,SUMPRODUCT(($D$9:$L$9+INT(($S$12:$AA$12+INDEX($AJ$13:$AR$162,BN5750,0)+INDEX($AT$13:$BB$162,BO5750,0)+INDEX($BD$13:$BL$162,BP5750,0))/100))),0)</f>
        <v/>
      </c>
      <c r="BT5750">
        <f>IF(AND(5737&lt;$U$9,$W$5),BQ5750*1000000-MIN(BR5750,999)*1000+BS5750-5737/100000,-1000000000-5737)</f>
        <v/>
      </c>
    </row>
    <row r="5751">
      <c r="BN5751">
        <f>IF(5738&lt;$U$9,INT(5738/($U$7*$U$8))+1,1)</f>
        <v/>
      </c>
      <c r="BO5751">
        <f>IF(5738&lt;$U$9,MOD(INT(5738/$U$8),$U$7)+1,1)</f>
        <v/>
      </c>
      <c r="BP5751">
        <f>IF(5738&lt;$U$9,MOD(5738,$U$8)+1,1)</f>
        <v/>
      </c>
      <c r="BQ5751">
        <f>IF(5738&lt;$U$9,SUMPRODUCT(($D$10:$L$10&lt;&gt;"")*(($D$9:$L$9+INT(($S$12:$AA$12+INDEX($AJ$13:$AR$162,BN5751,0)+INDEX($AT$13:$BB$162,BO5751,0)+INDEX($BD$13:$BL$162,BP5751,0))/100))&gt;=$D$10:$L$10)),0)</f>
        <v/>
      </c>
      <c r="BR5751">
        <f>IF(5738&lt;$U$9,SUMPRODUCT(($D$10:$L$10&lt;&gt;"")*(($D$10:$L$10-($D$9:$L$9+INT(($S$12:$AA$12+INDEX($AJ$13:$AR$162,BN5751,0)+INDEX($AT$13:$BB$162,BO5751,0)+INDEX($BD$13:$BL$162,BP5751,0))/100)))&gt;0)*($D$10:$L$10-($D$9:$L$9+INT(($S$12:$AA$12+INDEX($AJ$13:$AR$162,BN5751,0)+INDEX($AT$13:$BB$162,BO5751,0)+INDEX($BD$13:$BL$162,BP5751,0))/100)))),0)</f>
        <v/>
      </c>
      <c r="BS5751">
        <f>IF(5738&lt;$U$9,SUMPRODUCT(($D$9:$L$9+INT(($S$12:$AA$12+INDEX($AJ$13:$AR$162,BN5751,0)+INDEX($AT$13:$BB$162,BO5751,0)+INDEX($BD$13:$BL$162,BP5751,0))/100))),0)</f>
        <v/>
      </c>
      <c r="BT5751">
        <f>IF(AND(5738&lt;$U$9,$W$5),BQ5751*1000000-MIN(BR5751,999)*1000+BS5751-5738/100000,-1000000000-5738)</f>
        <v/>
      </c>
    </row>
    <row r="5752">
      <c r="BN5752">
        <f>IF(5739&lt;$U$9,INT(5739/($U$7*$U$8))+1,1)</f>
        <v/>
      </c>
      <c r="BO5752">
        <f>IF(5739&lt;$U$9,MOD(INT(5739/$U$8),$U$7)+1,1)</f>
        <v/>
      </c>
      <c r="BP5752">
        <f>IF(5739&lt;$U$9,MOD(5739,$U$8)+1,1)</f>
        <v/>
      </c>
      <c r="BQ5752">
        <f>IF(5739&lt;$U$9,SUMPRODUCT(($D$10:$L$10&lt;&gt;"")*(($D$9:$L$9+INT(($S$12:$AA$12+INDEX($AJ$13:$AR$162,BN5752,0)+INDEX($AT$13:$BB$162,BO5752,0)+INDEX($BD$13:$BL$162,BP5752,0))/100))&gt;=$D$10:$L$10)),0)</f>
        <v/>
      </c>
      <c r="BR5752">
        <f>IF(5739&lt;$U$9,SUMPRODUCT(($D$10:$L$10&lt;&gt;"")*(($D$10:$L$10-($D$9:$L$9+INT(($S$12:$AA$12+INDEX($AJ$13:$AR$162,BN5752,0)+INDEX($AT$13:$BB$162,BO5752,0)+INDEX($BD$13:$BL$162,BP5752,0))/100)))&gt;0)*($D$10:$L$10-($D$9:$L$9+INT(($S$12:$AA$12+INDEX($AJ$13:$AR$162,BN5752,0)+INDEX($AT$13:$BB$162,BO5752,0)+INDEX($BD$13:$BL$162,BP5752,0))/100)))),0)</f>
        <v/>
      </c>
      <c r="BS5752">
        <f>IF(5739&lt;$U$9,SUMPRODUCT(($D$9:$L$9+INT(($S$12:$AA$12+INDEX($AJ$13:$AR$162,BN5752,0)+INDEX($AT$13:$BB$162,BO5752,0)+INDEX($BD$13:$BL$162,BP5752,0))/100))),0)</f>
        <v/>
      </c>
      <c r="BT5752">
        <f>IF(AND(5739&lt;$U$9,$W$5),BQ5752*1000000-MIN(BR5752,999)*1000+BS5752-5739/100000,-1000000000-5739)</f>
        <v/>
      </c>
    </row>
    <row r="5753">
      <c r="BN5753">
        <f>IF(5740&lt;$U$9,INT(5740/($U$7*$U$8))+1,1)</f>
        <v/>
      </c>
      <c r="BO5753">
        <f>IF(5740&lt;$U$9,MOD(INT(5740/$U$8),$U$7)+1,1)</f>
        <v/>
      </c>
      <c r="BP5753">
        <f>IF(5740&lt;$U$9,MOD(5740,$U$8)+1,1)</f>
        <v/>
      </c>
      <c r="BQ5753">
        <f>IF(5740&lt;$U$9,SUMPRODUCT(($D$10:$L$10&lt;&gt;"")*(($D$9:$L$9+INT(($S$12:$AA$12+INDEX($AJ$13:$AR$162,BN5753,0)+INDEX($AT$13:$BB$162,BO5753,0)+INDEX($BD$13:$BL$162,BP5753,0))/100))&gt;=$D$10:$L$10)),0)</f>
        <v/>
      </c>
      <c r="BR5753">
        <f>IF(5740&lt;$U$9,SUMPRODUCT(($D$10:$L$10&lt;&gt;"")*(($D$10:$L$10-($D$9:$L$9+INT(($S$12:$AA$12+INDEX($AJ$13:$AR$162,BN5753,0)+INDEX($AT$13:$BB$162,BO5753,0)+INDEX($BD$13:$BL$162,BP5753,0))/100)))&gt;0)*($D$10:$L$10-($D$9:$L$9+INT(($S$12:$AA$12+INDEX($AJ$13:$AR$162,BN5753,0)+INDEX($AT$13:$BB$162,BO5753,0)+INDEX($BD$13:$BL$162,BP5753,0))/100)))),0)</f>
        <v/>
      </c>
      <c r="BS5753">
        <f>IF(5740&lt;$U$9,SUMPRODUCT(($D$9:$L$9+INT(($S$12:$AA$12+INDEX($AJ$13:$AR$162,BN5753,0)+INDEX($AT$13:$BB$162,BO5753,0)+INDEX($BD$13:$BL$162,BP5753,0))/100))),0)</f>
        <v/>
      </c>
      <c r="BT5753">
        <f>IF(AND(5740&lt;$U$9,$W$5),BQ5753*1000000-MIN(BR5753,999)*1000+BS5753-5740/100000,-1000000000-5740)</f>
        <v/>
      </c>
    </row>
    <row r="5754">
      <c r="BN5754">
        <f>IF(5741&lt;$U$9,INT(5741/($U$7*$U$8))+1,1)</f>
        <v/>
      </c>
      <c r="BO5754">
        <f>IF(5741&lt;$U$9,MOD(INT(5741/$U$8),$U$7)+1,1)</f>
        <v/>
      </c>
      <c r="BP5754">
        <f>IF(5741&lt;$U$9,MOD(5741,$U$8)+1,1)</f>
        <v/>
      </c>
      <c r="BQ5754">
        <f>IF(5741&lt;$U$9,SUMPRODUCT(($D$10:$L$10&lt;&gt;"")*(($D$9:$L$9+INT(($S$12:$AA$12+INDEX($AJ$13:$AR$162,BN5754,0)+INDEX($AT$13:$BB$162,BO5754,0)+INDEX($BD$13:$BL$162,BP5754,0))/100))&gt;=$D$10:$L$10)),0)</f>
        <v/>
      </c>
      <c r="BR5754">
        <f>IF(5741&lt;$U$9,SUMPRODUCT(($D$10:$L$10&lt;&gt;"")*(($D$10:$L$10-($D$9:$L$9+INT(($S$12:$AA$12+INDEX($AJ$13:$AR$162,BN5754,0)+INDEX($AT$13:$BB$162,BO5754,0)+INDEX($BD$13:$BL$162,BP5754,0))/100)))&gt;0)*($D$10:$L$10-($D$9:$L$9+INT(($S$12:$AA$12+INDEX($AJ$13:$AR$162,BN5754,0)+INDEX($AT$13:$BB$162,BO5754,0)+INDEX($BD$13:$BL$162,BP5754,0))/100)))),0)</f>
        <v/>
      </c>
      <c r="BS5754">
        <f>IF(5741&lt;$U$9,SUMPRODUCT(($D$9:$L$9+INT(($S$12:$AA$12+INDEX($AJ$13:$AR$162,BN5754,0)+INDEX($AT$13:$BB$162,BO5754,0)+INDEX($BD$13:$BL$162,BP5754,0))/100))),0)</f>
        <v/>
      </c>
      <c r="BT5754">
        <f>IF(AND(5741&lt;$U$9,$W$5),BQ5754*1000000-MIN(BR5754,999)*1000+BS5754-5741/100000,-1000000000-5741)</f>
        <v/>
      </c>
    </row>
    <row r="5755">
      <c r="BN5755">
        <f>IF(5742&lt;$U$9,INT(5742/($U$7*$U$8))+1,1)</f>
        <v/>
      </c>
      <c r="BO5755">
        <f>IF(5742&lt;$U$9,MOD(INT(5742/$U$8),$U$7)+1,1)</f>
        <v/>
      </c>
      <c r="BP5755">
        <f>IF(5742&lt;$U$9,MOD(5742,$U$8)+1,1)</f>
        <v/>
      </c>
      <c r="BQ5755">
        <f>IF(5742&lt;$U$9,SUMPRODUCT(($D$10:$L$10&lt;&gt;"")*(($D$9:$L$9+INT(($S$12:$AA$12+INDEX($AJ$13:$AR$162,BN5755,0)+INDEX($AT$13:$BB$162,BO5755,0)+INDEX($BD$13:$BL$162,BP5755,0))/100))&gt;=$D$10:$L$10)),0)</f>
        <v/>
      </c>
      <c r="BR5755">
        <f>IF(5742&lt;$U$9,SUMPRODUCT(($D$10:$L$10&lt;&gt;"")*(($D$10:$L$10-($D$9:$L$9+INT(($S$12:$AA$12+INDEX($AJ$13:$AR$162,BN5755,0)+INDEX($AT$13:$BB$162,BO5755,0)+INDEX($BD$13:$BL$162,BP5755,0))/100)))&gt;0)*($D$10:$L$10-($D$9:$L$9+INT(($S$12:$AA$12+INDEX($AJ$13:$AR$162,BN5755,0)+INDEX($AT$13:$BB$162,BO5755,0)+INDEX($BD$13:$BL$162,BP5755,0))/100)))),0)</f>
        <v/>
      </c>
      <c r="BS5755">
        <f>IF(5742&lt;$U$9,SUMPRODUCT(($D$9:$L$9+INT(($S$12:$AA$12+INDEX($AJ$13:$AR$162,BN5755,0)+INDEX($AT$13:$BB$162,BO5755,0)+INDEX($BD$13:$BL$162,BP5755,0))/100))),0)</f>
        <v/>
      </c>
      <c r="BT5755">
        <f>IF(AND(5742&lt;$U$9,$W$5),BQ5755*1000000-MIN(BR5755,999)*1000+BS5755-5742/100000,-1000000000-5742)</f>
        <v/>
      </c>
    </row>
    <row r="5756">
      <c r="BN5756">
        <f>IF(5743&lt;$U$9,INT(5743/($U$7*$U$8))+1,1)</f>
        <v/>
      </c>
      <c r="BO5756">
        <f>IF(5743&lt;$U$9,MOD(INT(5743/$U$8),$U$7)+1,1)</f>
        <v/>
      </c>
      <c r="BP5756">
        <f>IF(5743&lt;$U$9,MOD(5743,$U$8)+1,1)</f>
        <v/>
      </c>
      <c r="BQ5756">
        <f>IF(5743&lt;$U$9,SUMPRODUCT(($D$10:$L$10&lt;&gt;"")*(($D$9:$L$9+INT(($S$12:$AA$12+INDEX($AJ$13:$AR$162,BN5756,0)+INDEX($AT$13:$BB$162,BO5756,0)+INDEX($BD$13:$BL$162,BP5756,0))/100))&gt;=$D$10:$L$10)),0)</f>
        <v/>
      </c>
      <c r="BR5756">
        <f>IF(5743&lt;$U$9,SUMPRODUCT(($D$10:$L$10&lt;&gt;"")*(($D$10:$L$10-($D$9:$L$9+INT(($S$12:$AA$12+INDEX($AJ$13:$AR$162,BN5756,0)+INDEX($AT$13:$BB$162,BO5756,0)+INDEX($BD$13:$BL$162,BP5756,0))/100)))&gt;0)*($D$10:$L$10-($D$9:$L$9+INT(($S$12:$AA$12+INDEX($AJ$13:$AR$162,BN5756,0)+INDEX($AT$13:$BB$162,BO5756,0)+INDEX($BD$13:$BL$162,BP5756,0))/100)))),0)</f>
        <v/>
      </c>
      <c r="BS5756">
        <f>IF(5743&lt;$U$9,SUMPRODUCT(($D$9:$L$9+INT(($S$12:$AA$12+INDEX($AJ$13:$AR$162,BN5756,0)+INDEX($AT$13:$BB$162,BO5756,0)+INDEX($BD$13:$BL$162,BP5756,0))/100))),0)</f>
        <v/>
      </c>
      <c r="BT5756">
        <f>IF(AND(5743&lt;$U$9,$W$5),BQ5756*1000000-MIN(BR5756,999)*1000+BS5756-5743/100000,-1000000000-5743)</f>
        <v/>
      </c>
    </row>
    <row r="5757">
      <c r="BN5757">
        <f>IF(5744&lt;$U$9,INT(5744/($U$7*$U$8))+1,1)</f>
        <v/>
      </c>
      <c r="BO5757">
        <f>IF(5744&lt;$U$9,MOD(INT(5744/$U$8),$U$7)+1,1)</f>
        <v/>
      </c>
      <c r="BP5757">
        <f>IF(5744&lt;$U$9,MOD(5744,$U$8)+1,1)</f>
        <v/>
      </c>
      <c r="BQ5757">
        <f>IF(5744&lt;$U$9,SUMPRODUCT(($D$10:$L$10&lt;&gt;"")*(($D$9:$L$9+INT(($S$12:$AA$12+INDEX($AJ$13:$AR$162,BN5757,0)+INDEX($AT$13:$BB$162,BO5757,0)+INDEX($BD$13:$BL$162,BP5757,0))/100))&gt;=$D$10:$L$10)),0)</f>
        <v/>
      </c>
      <c r="BR5757">
        <f>IF(5744&lt;$U$9,SUMPRODUCT(($D$10:$L$10&lt;&gt;"")*(($D$10:$L$10-($D$9:$L$9+INT(($S$12:$AA$12+INDEX($AJ$13:$AR$162,BN5757,0)+INDEX($AT$13:$BB$162,BO5757,0)+INDEX($BD$13:$BL$162,BP5757,0))/100)))&gt;0)*($D$10:$L$10-($D$9:$L$9+INT(($S$12:$AA$12+INDEX($AJ$13:$AR$162,BN5757,0)+INDEX($AT$13:$BB$162,BO5757,0)+INDEX($BD$13:$BL$162,BP5757,0))/100)))),0)</f>
        <v/>
      </c>
      <c r="BS5757">
        <f>IF(5744&lt;$U$9,SUMPRODUCT(($D$9:$L$9+INT(($S$12:$AA$12+INDEX($AJ$13:$AR$162,BN5757,0)+INDEX($AT$13:$BB$162,BO5757,0)+INDEX($BD$13:$BL$162,BP5757,0))/100))),0)</f>
        <v/>
      </c>
      <c r="BT5757">
        <f>IF(AND(5744&lt;$U$9,$W$5),BQ5757*1000000-MIN(BR5757,999)*1000+BS5757-5744/100000,-1000000000-5744)</f>
        <v/>
      </c>
    </row>
    <row r="5758">
      <c r="BN5758">
        <f>IF(5745&lt;$U$9,INT(5745/($U$7*$U$8))+1,1)</f>
        <v/>
      </c>
      <c r="BO5758">
        <f>IF(5745&lt;$U$9,MOD(INT(5745/$U$8),$U$7)+1,1)</f>
        <v/>
      </c>
      <c r="BP5758">
        <f>IF(5745&lt;$U$9,MOD(5745,$U$8)+1,1)</f>
        <v/>
      </c>
      <c r="BQ5758">
        <f>IF(5745&lt;$U$9,SUMPRODUCT(($D$10:$L$10&lt;&gt;"")*(($D$9:$L$9+INT(($S$12:$AA$12+INDEX($AJ$13:$AR$162,BN5758,0)+INDEX($AT$13:$BB$162,BO5758,0)+INDEX($BD$13:$BL$162,BP5758,0))/100))&gt;=$D$10:$L$10)),0)</f>
        <v/>
      </c>
      <c r="BR5758">
        <f>IF(5745&lt;$U$9,SUMPRODUCT(($D$10:$L$10&lt;&gt;"")*(($D$10:$L$10-($D$9:$L$9+INT(($S$12:$AA$12+INDEX($AJ$13:$AR$162,BN5758,0)+INDEX($AT$13:$BB$162,BO5758,0)+INDEX($BD$13:$BL$162,BP5758,0))/100)))&gt;0)*($D$10:$L$10-($D$9:$L$9+INT(($S$12:$AA$12+INDEX($AJ$13:$AR$162,BN5758,0)+INDEX($AT$13:$BB$162,BO5758,0)+INDEX($BD$13:$BL$162,BP5758,0))/100)))),0)</f>
        <v/>
      </c>
      <c r="BS5758">
        <f>IF(5745&lt;$U$9,SUMPRODUCT(($D$9:$L$9+INT(($S$12:$AA$12+INDEX($AJ$13:$AR$162,BN5758,0)+INDEX($AT$13:$BB$162,BO5758,0)+INDEX($BD$13:$BL$162,BP5758,0))/100))),0)</f>
        <v/>
      </c>
      <c r="BT5758">
        <f>IF(AND(5745&lt;$U$9,$W$5),BQ5758*1000000-MIN(BR5758,999)*1000+BS5758-5745/100000,-1000000000-5745)</f>
        <v/>
      </c>
    </row>
    <row r="5759">
      <c r="BN5759">
        <f>IF(5746&lt;$U$9,INT(5746/($U$7*$U$8))+1,1)</f>
        <v/>
      </c>
      <c r="BO5759">
        <f>IF(5746&lt;$U$9,MOD(INT(5746/$U$8),$U$7)+1,1)</f>
        <v/>
      </c>
      <c r="BP5759">
        <f>IF(5746&lt;$U$9,MOD(5746,$U$8)+1,1)</f>
        <v/>
      </c>
      <c r="BQ5759">
        <f>IF(5746&lt;$U$9,SUMPRODUCT(($D$10:$L$10&lt;&gt;"")*(($D$9:$L$9+INT(($S$12:$AA$12+INDEX($AJ$13:$AR$162,BN5759,0)+INDEX($AT$13:$BB$162,BO5759,0)+INDEX($BD$13:$BL$162,BP5759,0))/100))&gt;=$D$10:$L$10)),0)</f>
        <v/>
      </c>
      <c r="BR5759">
        <f>IF(5746&lt;$U$9,SUMPRODUCT(($D$10:$L$10&lt;&gt;"")*(($D$10:$L$10-($D$9:$L$9+INT(($S$12:$AA$12+INDEX($AJ$13:$AR$162,BN5759,0)+INDEX($AT$13:$BB$162,BO5759,0)+INDEX($BD$13:$BL$162,BP5759,0))/100)))&gt;0)*($D$10:$L$10-($D$9:$L$9+INT(($S$12:$AA$12+INDEX($AJ$13:$AR$162,BN5759,0)+INDEX($AT$13:$BB$162,BO5759,0)+INDEX($BD$13:$BL$162,BP5759,0))/100)))),0)</f>
        <v/>
      </c>
      <c r="BS5759">
        <f>IF(5746&lt;$U$9,SUMPRODUCT(($D$9:$L$9+INT(($S$12:$AA$12+INDEX($AJ$13:$AR$162,BN5759,0)+INDEX($AT$13:$BB$162,BO5759,0)+INDEX($BD$13:$BL$162,BP5759,0))/100))),0)</f>
        <v/>
      </c>
      <c r="BT5759">
        <f>IF(AND(5746&lt;$U$9,$W$5),BQ5759*1000000-MIN(BR5759,999)*1000+BS5759-5746/100000,-1000000000-5746)</f>
        <v/>
      </c>
    </row>
    <row r="5760">
      <c r="BN5760">
        <f>IF(5747&lt;$U$9,INT(5747/($U$7*$U$8))+1,1)</f>
        <v/>
      </c>
      <c r="BO5760">
        <f>IF(5747&lt;$U$9,MOD(INT(5747/$U$8),$U$7)+1,1)</f>
        <v/>
      </c>
      <c r="BP5760">
        <f>IF(5747&lt;$U$9,MOD(5747,$U$8)+1,1)</f>
        <v/>
      </c>
      <c r="BQ5760">
        <f>IF(5747&lt;$U$9,SUMPRODUCT(($D$10:$L$10&lt;&gt;"")*(($D$9:$L$9+INT(($S$12:$AA$12+INDEX($AJ$13:$AR$162,BN5760,0)+INDEX($AT$13:$BB$162,BO5760,0)+INDEX($BD$13:$BL$162,BP5760,0))/100))&gt;=$D$10:$L$10)),0)</f>
        <v/>
      </c>
      <c r="BR5760">
        <f>IF(5747&lt;$U$9,SUMPRODUCT(($D$10:$L$10&lt;&gt;"")*(($D$10:$L$10-($D$9:$L$9+INT(($S$12:$AA$12+INDEX($AJ$13:$AR$162,BN5760,0)+INDEX($AT$13:$BB$162,BO5760,0)+INDEX($BD$13:$BL$162,BP5760,0))/100)))&gt;0)*($D$10:$L$10-($D$9:$L$9+INT(($S$12:$AA$12+INDEX($AJ$13:$AR$162,BN5760,0)+INDEX($AT$13:$BB$162,BO5760,0)+INDEX($BD$13:$BL$162,BP5760,0))/100)))),0)</f>
        <v/>
      </c>
      <c r="BS5760">
        <f>IF(5747&lt;$U$9,SUMPRODUCT(($D$9:$L$9+INT(($S$12:$AA$12+INDEX($AJ$13:$AR$162,BN5760,0)+INDEX($AT$13:$BB$162,BO5760,0)+INDEX($BD$13:$BL$162,BP5760,0))/100))),0)</f>
        <v/>
      </c>
      <c r="BT5760">
        <f>IF(AND(5747&lt;$U$9,$W$5),BQ5760*1000000-MIN(BR5760,999)*1000+BS5760-5747/100000,-1000000000-5747)</f>
        <v/>
      </c>
    </row>
    <row r="5761">
      <c r="BN5761">
        <f>IF(5748&lt;$U$9,INT(5748/($U$7*$U$8))+1,1)</f>
        <v/>
      </c>
      <c r="BO5761">
        <f>IF(5748&lt;$U$9,MOD(INT(5748/$U$8),$U$7)+1,1)</f>
        <v/>
      </c>
      <c r="BP5761">
        <f>IF(5748&lt;$U$9,MOD(5748,$U$8)+1,1)</f>
        <v/>
      </c>
      <c r="BQ5761">
        <f>IF(5748&lt;$U$9,SUMPRODUCT(($D$10:$L$10&lt;&gt;"")*(($D$9:$L$9+INT(($S$12:$AA$12+INDEX($AJ$13:$AR$162,BN5761,0)+INDEX($AT$13:$BB$162,BO5761,0)+INDEX($BD$13:$BL$162,BP5761,0))/100))&gt;=$D$10:$L$10)),0)</f>
        <v/>
      </c>
      <c r="BR5761">
        <f>IF(5748&lt;$U$9,SUMPRODUCT(($D$10:$L$10&lt;&gt;"")*(($D$10:$L$10-($D$9:$L$9+INT(($S$12:$AA$12+INDEX($AJ$13:$AR$162,BN5761,0)+INDEX($AT$13:$BB$162,BO5761,0)+INDEX($BD$13:$BL$162,BP5761,0))/100)))&gt;0)*($D$10:$L$10-($D$9:$L$9+INT(($S$12:$AA$12+INDEX($AJ$13:$AR$162,BN5761,0)+INDEX($AT$13:$BB$162,BO5761,0)+INDEX($BD$13:$BL$162,BP5761,0))/100)))),0)</f>
        <v/>
      </c>
      <c r="BS5761">
        <f>IF(5748&lt;$U$9,SUMPRODUCT(($D$9:$L$9+INT(($S$12:$AA$12+INDEX($AJ$13:$AR$162,BN5761,0)+INDEX($AT$13:$BB$162,BO5761,0)+INDEX($BD$13:$BL$162,BP5761,0))/100))),0)</f>
        <v/>
      </c>
      <c r="BT5761">
        <f>IF(AND(5748&lt;$U$9,$W$5),BQ5761*1000000-MIN(BR5761,999)*1000+BS5761-5748/100000,-1000000000-5748)</f>
        <v/>
      </c>
    </row>
    <row r="5762">
      <c r="BN5762">
        <f>IF(5749&lt;$U$9,INT(5749/($U$7*$U$8))+1,1)</f>
        <v/>
      </c>
      <c r="BO5762">
        <f>IF(5749&lt;$U$9,MOD(INT(5749/$U$8),$U$7)+1,1)</f>
        <v/>
      </c>
      <c r="BP5762">
        <f>IF(5749&lt;$U$9,MOD(5749,$U$8)+1,1)</f>
        <v/>
      </c>
      <c r="BQ5762">
        <f>IF(5749&lt;$U$9,SUMPRODUCT(($D$10:$L$10&lt;&gt;"")*(($D$9:$L$9+INT(($S$12:$AA$12+INDEX($AJ$13:$AR$162,BN5762,0)+INDEX($AT$13:$BB$162,BO5762,0)+INDEX($BD$13:$BL$162,BP5762,0))/100))&gt;=$D$10:$L$10)),0)</f>
        <v/>
      </c>
      <c r="BR5762">
        <f>IF(5749&lt;$U$9,SUMPRODUCT(($D$10:$L$10&lt;&gt;"")*(($D$10:$L$10-($D$9:$L$9+INT(($S$12:$AA$12+INDEX($AJ$13:$AR$162,BN5762,0)+INDEX($AT$13:$BB$162,BO5762,0)+INDEX($BD$13:$BL$162,BP5762,0))/100)))&gt;0)*($D$10:$L$10-($D$9:$L$9+INT(($S$12:$AA$12+INDEX($AJ$13:$AR$162,BN5762,0)+INDEX($AT$13:$BB$162,BO5762,0)+INDEX($BD$13:$BL$162,BP5762,0))/100)))),0)</f>
        <v/>
      </c>
      <c r="BS5762">
        <f>IF(5749&lt;$U$9,SUMPRODUCT(($D$9:$L$9+INT(($S$12:$AA$12+INDEX($AJ$13:$AR$162,BN5762,0)+INDEX($AT$13:$BB$162,BO5762,0)+INDEX($BD$13:$BL$162,BP5762,0))/100))),0)</f>
        <v/>
      </c>
      <c r="BT5762">
        <f>IF(AND(5749&lt;$U$9,$W$5),BQ5762*1000000-MIN(BR5762,999)*1000+BS5762-5749/100000,-1000000000-5749)</f>
        <v/>
      </c>
    </row>
    <row r="5763">
      <c r="BN5763">
        <f>IF(5750&lt;$U$9,INT(5750/($U$7*$U$8))+1,1)</f>
        <v/>
      </c>
      <c r="BO5763">
        <f>IF(5750&lt;$U$9,MOD(INT(5750/$U$8),$U$7)+1,1)</f>
        <v/>
      </c>
      <c r="BP5763">
        <f>IF(5750&lt;$U$9,MOD(5750,$U$8)+1,1)</f>
        <v/>
      </c>
      <c r="BQ5763">
        <f>IF(5750&lt;$U$9,SUMPRODUCT(($D$10:$L$10&lt;&gt;"")*(($D$9:$L$9+INT(($S$12:$AA$12+INDEX($AJ$13:$AR$162,BN5763,0)+INDEX($AT$13:$BB$162,BO5763,0)+INDEX($BD$13:$BL$162,BP5763,0))/100))&gt;=$D$10:$L$10)),0)</f>
        <v/>
      </c>
      <c r="BR5763">
        <f>IF(5750&lt;$U$9,SUMPRODUCT(($D$10:$L$10&lt;&gt;"")*(($D$10:$L$10-($D$9:$L$9+INT(($S$12:$AA$12+INDEX($AJ$13:$AR$162,BN5763,0)+INDEX($AT$13:$BB$162,BO5763,0)+INDEX($BD$13:$BL$162,BP5763,0))/100)))&gt;0)*($D$10:$L$10-($D$9:$L$9+INT(($S$12:$AA$12+INDEX($AJ$13:$AR$162,BN5763,0)+INDEX($AT$13:$BB$162,BO5763,0)+INDEX($BD$13:$BL$162,BP5763,0))/100)))),0)</f>
        <v/>
      </c>
      <c r="BS5763">
        <f>IF(5750&lt;$U$9,SUMPRODUCT(($D$9:$L$9+INT(($S$12:$AA$12+INDEX($AJ$13:$AR$162,BN5763,0)+INDEX($AT$13:$BB$162,BO5763,0)+INDEX($BD$13:$BL$162,BP5763,0))/100))),0)</f>
        <v/>
      </c>
      <c r="BT5763">
        <f>IF(AND(5750&lt;$U$9,$W$5),BQ5763*1000000-MIN(BR5763,999)*1000+BS5763-5750/100000,-1000000000-5750)</f>
        <v/>
      </c>
    </row>
    <row r="5764">
      <c r="BN5764">
        <f>IF(5751&lt;$U$9,INT(5751/($U$7*$U$8))+1,1)</f>
        <v/>
      </c>
      <c r="BO5764">
        <f>IF(5751&lt;$U$9,MOD(INT(5751/$U$8),$U$7)+1,1)</f>
        <v/>
      </c>
      <c r="BP5764">
        <f>IF(5751&lt;$U$9,MOD(5751,$U$8)+1,1)</f>
        <v/>
      </c>
      <c r="BQ5764">
        <f>IF(5751&lt;$U$9,SUMPRODUCT(($D$10:$L$10&lt;&gt;"")*(($D$9:$L$9+INT(($S$12:$AA$12+INDEX($AJ$13:$AR$162,BN5764,0)+INDEX($AT$13:$BB$162,BO5764,0)+INDEX($BD$13:$BL$162,BP5764,0))/100))&gt;=$D$10:$L$10)),0)</f>
        <v/>
      </c>
      <c r="BR5764">
        <f>IF(5751&lt;$U$9,SUMPRODUCT(($D$10:$L$10&lt;&gt;"")*(($D$10:$L$10-($D$9:$L$9+INT(($S$12:$AA$12+INDEX($AJ$13:$AR$162,BN5764,0)+INDEX($AT$13:$BB$162,BO5764,0)+INDEX($BD$13:$BL$162,BP5764,0))/100)))&gt;0)*($D$10:$L$10-($D$9:$L$9+INT(($S$12:$AA$12+INDEX($AJ$13:$AR$162,BN5764,0)+INDEX($AT$13:$BB$162,BO5764,0)+INDEX($BD$13:$BL$162,BP5764,0))/100)))),0)</f>
        <v/>
      </c>
      <c r="BS5764">
        <f>IF(5751&lt;$U$9,SUMPRODUCT(($D$9:$L$9+INT(($S$12:$AA$12+INDEX($AJ$13:$AR$162,BN5764,0)+INDEX($AT$13:$BB$162,BO5764,0)+INDEX($BD$13:$BL$162,BP5764,0))/100))),0)</f>
        <v/>
      </c>
      <c r="BT5764">
        <f>IF(AND(5751&lt;$U$9,$W$5),BQ5764*1000000-MIN(BR5764,999)*1000+BS5764-5751/100000,-1000000000-5751)</f>
        <v/>
      </c>
    </row>
    <row r="5765">
      <c r="BN5765">
        <f>IF(5752&lt;$U$9,INT(5752/($U$7*$U$8))+1,1)</f>
        <v/>
      </c>
      <c r="BO5765">
        <f>IF(5752&lt;$U$9,MOD(INT(5752/$U$8),$U$7)+1,1)</f>
        <v/>
      </c>
      <c r="BP5765">
        <f>IF(5752&lt;$U$9,MOD(5752,$U$8)+1,1)</f>
        <v/>
      </c>
      <c r="BQ5765">
        <f>IF(5752&lt;$U$9,SUMPRODUCT(($D$10:$L$10&lt;&gt;"")*(($D$9:$L$9+INT(($S$12:$AA$12+INDEX($AJ$13:$AR$162,BN5765,0)+INDEX($AT$13:$BB$162,BO5765,0)+INDEX($BD$13:$BL$162,BP5765,0))/100))&gt;=$D$10:$L$10)),0)</f>
        <v/>
      </c>
      <c r="BR5765">
        <f>IF(5752&lt;$U$9,SUMPRODUCT(($D$10:$L$10&lt;&gt;"")*(($D$10:$L$10-($D$9:$L$9+INT(($S$12:$AA$12+INDEX($AJ$13:$AR$162,BN5765,0)+INDEX($AT$13:$BB$162,BO5765,0)+INDEX($BD$13:$BL$162,BP5765,0))/100)))&gt;0)*($D$10:$L$10-($D$9:$L$9+INT(($S$12:$AA$12+INDEX($AJ$13:$AR$162,BN5765,0)+INDEX($AT$13:$BB$162,BO5765,0)+INDEX($BD$13:$BL$162,BP5765,0))/100)))),0)</f>
        <v/>
      </c>
      <c r="BS5765">
        <f>IF(5752&lt;$U$9,SUMPRODUCT(($D$9:$L$9+INT(($S$12:$AA$12+INDEX($AJ$13:$AR$162,BN5765,0)+INDEX($AT$13:$BB$162,BO5765,0)+INDEX($BD$13:$BL$162,BP5765,0))/100))),0)</f>
        <v/>
      </c>
      <c r="BT5765">
        <f>IF(AND(5752&lt;$U$9,$W$5),BQ5765*1000000-MIN(BR5765,999)*1000+BS5765-5752/100000,-1000000000-5752)</f>
        <v/>
      </c>
    </row>
    <row r="5766">
      <c r="BN5766">
        <f>IF(5753&lt;$U$9,INT(5753/($U$7*$U$8))+1,1)</f>
        <v/>
      </c>
      <c r="BO5766">
        <f>IF(5753&lt;$U$9,MOD(INT(5753/$U$8),$U$7)+1,1)</f>
        <v/>
      </c>
      <c r="BP5766">
        <f>IF(5753&lt;$U$9,MOD(5753,$U$8)+1,1)</f>
        <v/>
      </c>
      <c r="BQ5766">
        <f>IF(5753&lt;$U$9,SUMPRODUCT(($D$10:$L$10&lt;&gt;"")*(($D$9:$L$9+INT(($S$12:$AA$12+INDEX($AJ$13:$AR$162,BN5766,0)+INDEX($AT$13:$BB$162,BO5766,0)+INDEX($BD$13:$BL$162,BP5766,0))/100))&gt;=$D$10:$L$10)),0)</f>
        <v/>
      </c>
      <c r="BR5766">
        <f>IF(5753&lt;$U$9,SUMPRODUCT(($D$10:$L$10&lt;&gt;"")*(($D$10:$L$10-($D$9:$L$9+INT(($S$12:$AA$12+INDEX($AJ$13:$AR$162,BN5766,0)+INDEX($AT$13:$BB$162,BO5766,0)+INDEX($BD$13:$BL$162,BP5766,0))/100)))&gt;0)*($D$10:$L$10-($D$9:$L$9+INT(($S$12:$AA$12+INDEX($AJ$13:$AR$162,BN5766,0)+INDEX($AT$13:$BB$162,BO5766,0)+INDEX($BD$13:$BL$162,BP5766,0))/100)))),0)</f>
        <v/>
      </c>
      <c r="BS5766">
        <f>IF(5753&lt;$U$9,SUMPRODUCT(($D$9:$L$9+INT(($S$12:$AA$12+INDEX($AJ$13:$AR$162,BN5766,0)+INDEX($AT$13:$BB$162,BO5766,0)+INDEX($BD$13:$BL$162,BP5766,0))/100))),0)</f>
        <v/>
      </c>
      <c r="BT5766">
        <f>IF(AND(5753&lt;$U$9,$W$5),BQ5766*1000000-MIN(BR5766,999)*1000+BS5766-5753/100000,-1000000000-5753)</f>
        <v/>
      </c>
    </row>
    <row r="5767">
      <c r="BN5767">
        <f>IF(5754&lt;$U$9,INT(5754/($U$7*$U$8))+1,1)</f>
        <v/>
      </c>
      <c r="BO5767">
        <f>IF(5754&lt;$U$9,MOD(INT(5754/$U$8),$U$7)+1,1)</f>
        <v/>
      </c>
      <c r="BP5767">
        <f>IF(5754&lt;$U$9,MOD(5754,$U$8)+1,1)</f>
        <v/>
      </c>
      <c r="BQ5767">
        <f>IF(5754&lt;$U$9,SUMPRODUCT(($D$10:$L$10&lt;&gt;"")*(($D$9:$L$9+INT(($S$12:$AA$12+INDEX($AJ$13:$AR$162,BN5767,0)+INDEX($AT$13:$BB$162,BO5767,0)+INDEX($BD$13:$BL$162,BP5767,0))/100))&gt;=$D$10:$L$10)),0)</f>
        <v/>
      </c>
      <c r="BR5767">
        <f>IF(5754&lt;$U$9,SUMPRODUCT(($D$10:$L$10&lt;&gt;"")*(($D$10:$L$10-($D$9:$L$9+INT(($S$12:$AA$12+INDEX($AJ$13:$AR$162,BN5767,0)+INDEX($AT$13:$BB$162,BO5767,0)+INDEX($BD$13:$BL$162,BP5767,0))/100)))&gt;0)*($D$10:$L$10-($D$9:$L$9+INT(($S$12:$AA$12+INDEX($AJ$13:$AR$162,BN5767,0)+INDEX($AT$13:$BB$162,BO5767,0)+INDEX($BD$13:$BL$162,BP5767,0))/100)))),0)</f>
        <v/>
      </c>
      <c r="BS5767">
        <f>IF(5754&lt;$U$9,SUMPRODUCT(($D$9:$L$9+INT(($S$12:$AA$12+INDEX($AJ$13:$AR$162,BN5767,0)+INDEX($AT$13:$BB$162,BO5767,0)+INDEX($BD$13:$BL$162,BP5767,0))/100))),0)</f>
        <v/>
      </c>
      <c r="BT5767">
        <f>IF(AND(5754&lt;$U$9,$W$5),BQ5767*1000000-MIN(BR5767,999)*1000+BS5767-5754/100000,-1000000000-5754)</f>
        <v/>
      </c>
    </row>
    <row r="5768">
      <c r="BN5768">
        <f>IF(5755&lt;$U$9,INT(5755/($U$7*$U$8))+1,1)</f>
        <v/>
      </c>
      <c r="BO5768">
        <f>IF(5755&lt;$U$9,MOD(INT(5755/$U$8),$U$7)+1,1)</f>
        <v/>
      </c>
      <c r="BP5768">
        <f>IF(5755&lt;$U$9,MOD(5755,$U$8)+1,1)</f>
        <v/>
      </c>
      <c r="BQ5768">
        <f>IF(5755&lt;$U$9,SUMPRODUCT(($D$10:$L$10&lt;&gt;"")*(($D$9:$L$9+INT(($S$12:$AA$12+INDEX($AJ$13:$AR$162,BN5768,0)+INDEX($AT$13:$BB$162,BO5768,0)+INDEX($BD$13:$BL$162,BP5768,0))/100))&gt;=$D$10:$L$10)),0)</f>
        <v/>
      </c>
      <c r="BR5768">
        <f>IF(5755&lt;$U$9,SUMPRODUCT(($D$10:$L$10&lt;&gt;"")*(($D$10:$L$10-($D$9:$L$9+INT(($S$12:$AA$12+INDEX($AJ$13:$AR$162,BN5768,0)+INDEX($AT$13:$BB$162,BO5768,0)+INDEX($BD$13:$BL$162,BP5768,0))/100)))&gt;0)*($D$10:$L$10-($D$9:$L$9+INT(($S$12:$AA$12+INDEX($AJ$13:$AR$162,BN5768,0)+INDEX($AT$13:$BB$162,BO5768,0)+INDEX($BD$13:$BL$162,BP5768,0))/100)))),0)</f>
        <v/>
      </c>
      <c r="BS5768">
        <f>IF(5755&lt;$U$9,SUMPRODUCT(($D$9:$L$9+INT(($S$12:$AA$12+INDEX($AJ$13:$AR$162,BN5768,0)+INDEX($AT$13:$BB$162,BO5768,0)+INDEX($BD$13:$BL$162,BP5768,0))/100))),0)</f>
        <v/>
      </c>
      <c r="BT5768">
        <f>IF(AND(5755&lt;$U$9,$W$5),BQ5768*1000000-MIN(BR5768,999)*1000+BS5768-5755/100000,-1000000000-5755)</f>
        <v/>
      </c>
    </row>
    <row r="5769">
      <c r="BN5769">
        <f>IF(5756&lt;$U$9,INT(5756/($U$7*$U$8))+1,1)</f>
        <v/>
      </c>
      <c r="BO5769">
        <f>IF(5756&lt;$U$9,MOD(INT(5756/$U$8),$U$7)+1,1)</f>
        <v/>
      </c>
      <c r="BP5769">
        <f>IF(5756&lt;$U$9,MOD(5756,$U$8)+1,1)</f>
        <v/>
      </c>
      <c r="BQ5769">
        <f>IF(5756&lt;$U$9,SUMPRODUCT(($D$10:$L$10&lt;&gt;"")*(($D$9:$L$9+INT(($S$12:$AA$12+INDEX($AJ$13:$AR$162,BN5769,0)+INDEX($AT$13:$BB$162,BO5769,0)+INDEX($BD$13:$BL$162,BP5769,0))/100))&gt;=$D$10:$L$10)),0)</f>
        <v/>
      </c>
      <c r="BR5769">
        <f>IF(5756&lt;$U$9,SUMPRODUCT(($D$10:$L$10&lt;&gt;"")*(($D$10:$L$10-($D$9:$L$9+INT(($S$12:$AA$12+INDEX($AJ$13:$AR$162,BN5769,0)+INDEX($AT$13:$BB$162,BO5769,0)+INDEX($BD$13:$BL$162,BP5769,0))/100)))&gt;0)*($D$10:$L$10-($D$9:$L$9+INT(($S$12:$AA$12+INDEX($AJ$13:$AR$162,BN5769,0)+INDEX($AT$13:$BB$162,BO5769,0)+INDEX($BD$13:$BL$162,BP5769,0))/100)))),0)</f>
        <v/>
      </c>
      <c r="BS5769">
        <f>IF(5756&lt;$U$9,SUMPRODUCT(($D$9:$L$9+INT(($S$12:$AA$12+INDEX($AJ$13:$AR$162,BN5769,0)+INDEX($AT$13:$BB$162,BO5769,0)+INDEX($BD$13:$BL$162,BP5769,0))/100))),0)</f>
        <v/>
      </c>
      <c r="BT5769">
        <f>IF(AND(5756&lt;$U$9,$W$5),BQ5769*1000000-MIN(BR5769,999)*1000+BS5769-5756/100000,-1000000000-5756)</f>
        <v/>
      </c>
    </row>
    <row r="5770">
      <c r="BN5770">
        <f>IF(5757&lt;$U$9,INT(5757/($U$7*$U$8))+1,1)</f>
        <v/>
      </c>
      <c r="BO5770">
        <f>IF(5757&lt;$U$9,MOD(INT(5757/$U$8),$U$7)+1,1)</f>
        <v/>
      </c>
      <c r="BP5770">
        <f>IF(5757&lt;$U$9,MOD(5757,$U$8)+1,1)</f>
        <v/>
      </c>
      <c r="BQ5770">
        <f>IF(5757&lt;$U$9,SUMPRODUCT(($D$10:$L$10&lt;&gt;"")*(($D$9:$L$9+INT(($S$12:$AA$12+INDEX($AJ$13:$AR$162,BN5770,0)+INDEX($AT$13:$BB$162,BO5770,0)+INDEX($BD$13:$BL$162,BP5770,0))/100))&gt;=$D$10:$L$10)),0)</f>
        <v/>
      </c>
      <c r="BR5770">
        <f>IF(5757&lt;$U$9,SUMPRODUCT(($D$10:$L$10&lt;&gt;"")*(($D$10:$L$10-($D$9:$L$9+INT(($S$12:$AA$12+INDEX($AJ$13:$AR$162,BN5770,0)+INDEX($AT$13:$BB$162,BO5770,0)+INDEX($BD$13:$BL$162,BP5770,0))/100)))&gt;0)*($D$10:$L$10-($D$9:$L$9+INT(($S$12:$AA$12+INDEX($AJ$13:$AR$162,BN5770,0)+INDEX($AT$13:$BB$162,BO5770,0)+INDEX($BD$13:$BL$162,BP5770,0))/100)))),0)</f>
        <v/>
      </c>
      <c r="BS5770">
        <f>IF(5757&lt;$U$9,SUMPRODUCT(($D$9:$L$9+INT(($S$12:$AA$12+INDEX($AJ$13:$AR$162,BN5770,0)+INDEX($AT$13:$BB$162,BO5770,0)+INDEX($BD$13:$BL$162,BP5770,0))/100))),0)</f>
        <v/>
      </c>
      <c r="BT5770">
        <f>IF(AND(5757&lt;$U$9,$W$5),BQ5770*1000000-MIN(BR5770,999)*1000+BS5770-5757/100000,-1000000000-5757)</f>
        <v/>
      </c>
    </row>
    <row r="5771">
      <c r="BN5771">
        <f>IF(5758&lt;$U$9,INT(5758/($U$7*$U$8))+1,1)</f>
        <v/>
      </c>
      <c r="BO5771">
        <f>IF(5758&lt;$U$9,MOD(INT(5758/$U$8),$U$7)+1,1)</f>
        <v/>
      </c>
      <c r="BP5771">
        <f>IF(5758&lt;$U$9,MOD(5758,$U$8)+1,1)</f>
        <v/>
      </c>
      <c r="BQ5771">
        <f>IF(5758&lt;$U$9,SUMPRODUCT(($D$10:$L$10&lt;&gt;"")*(($D$9:$L$9+INT(($S$12:$AA$12+INDEX($AJ$13:$AR$162,BN5771,0)+INDEX($AT$13:$BB$162,BO5771,0)+INDEX($BD$13:$BL$162,BP5771,0))/100))&gt;=$D$10:$L$10)),0)</f>
        <v/>
      </c>
      <c r="BR5771">
        <f>IF(5758&lt;$U$9,SUMPRODUCT(($D$10:$L$10&lt;&gt;"")*(($D$10:$L$10-($D$9:$L$9+INT(($S$12:$AA$12+INDEX($AJ$13:$AR$162,BN5771,0)+INDEX($AT$13:$BB$162,BO5771,0)+INDEX($BD$13:$BL$162,BP5771,0))/100)))&gt;0)*($D$10:$L$10-($D$9:$L$9+INT(($S$12:$AA$12+INDEX($AJ$13:$AR$162,BN5771,0)+INDEX($AT$13:$BB$162,BO5771,0)+INDEX($BD$13:$BL$162,BP5771,0))/100)))),0)</f>
        <v/>
      </c>
      <c r="BS5771">
        <f>IF(5758&lt;$U$9,SUMPRODUCT(($D$9:$L$9+INT(($S$12:$AA$12+INDEX($AJ$13:$AR$162,BN5771,0)+INDEX($AT$13:$BB$162,BO5771,0)+INDEX($BD$13:$BL$162,BP5771,0))/100))),0)</f>
        <v/>
      </c>
      <c r="BT5771">
        <f>IF(AND(5758&lt;$U$9,$W$5),BQ5771*1000000-MIN(BR5771,999)*1000+BS5771-5758/100000,-1000000000-5758)</f>
        <v/>
      </c>
    </row>
    <row r="5772">
      <c r="BN5772">
        <f>IF(5759&lt;$U$9,INT(5759/($U$7*$U$8))+1,1)</f>
        <v/>
      </c>
      <c r="BO5772">
        <f>IF(5759&lt;$U$9,MOD(INT(5759/$U$8),$U$7)+1,1)</f>
        <v/>
      </c>
      <c r="BP5772">
        <f>IF(5759&lt;$U$9,MOD(5759,$U$8)+1,1)</f>
        <v/>
      </c>
      <c r="BQ5772">
        <f>IF(5759&lt;$U$9,SUMPRODUCT(($D$10:$L$10&lt;&gt;"")*(($D$9:$L$9+INT(($S$12:$AA$12+INDEX($AJ$13:$AR$162,BN5772,0)+INDEX($AT$13:$BB$162,BO5772,0)+INDEX($BD$13:$BL$162,BP5772,0))/100))&gt;=$D$10:$L$10)),0)</f>
        <v/>
      </c>
      <c r="BR5772">
        <f>IF(5759&lt;$U$9,SUMPRODUCT(($D$10:$L$10&lt;&gt;"")*(($D$10:$L$10-($D$9:$L$9+INT(($S$12:$AA$12+INDEX($AJ$13:$AR$162,BN5772,0)+INDEX($AT$13:$BB$162,BO5772,0)+INDEX($BD$13:$BL$162,BP5772,0))/100)))&gt;0)*($D$10:$L$10-($D$9:$L$9+INT(($S$12:$AA$12+INDEX($AJ$13:$AR$162,BN5772,0)+INDEX($AT$13:$BB$162,BO5772,0)+INDEX($BD$13:$BL$162,BP5772,0))/100)))),0)</f>
        <v/>
      </c>
      <c r="BS5772">
        <f>IF(5759&lt;$U$9,SUMPRODUCT(($D$9:$L$9+INT(($S$12:$AA$12+INDEX($AJ$13:$AR$162,BN5772,0)+INDEX($AT$13:$BB$162,BO5772,0)+INDEX($BD$13:$BL$162,BP5772,0))/100))),0)</f>
        <v/>
      </c>
      <c r="BT5772">
        <f>IF(AND(5759&lt;$U$9,$W$5),BQ5772*1000000-MIN(BR5772,999)*1000+BS5772-5759/100000,-1000000000-5759)</f>
        <v/>
      </c>
    </row>
    <row r="5773">
      <c r="BN5773">
        <f>IF(5760&lt;$U$9,INT(5760/($U$7*$U$8))+1,1)</f>
        <v/>
      </c>
      <c r="BO5773">
        <f>IF(5760&lt;$U$9,MOD(INT(5760/$U$8),$U$7)+1,1)</f>
        <v/>
      </c>
      <c r="BP5773">
        <f>IF(5760&lt;$U$9,MOD(5760,$U$8)+1,1)</f>
        <v/>
      </c>
      <c r="BQ5773">
        <f>IF(5760&lt;$U$9,SUMPRODUCT(($D$10:$L$10&lt;&gt;"")*(($D$9:$L$9+INT(($S$12:$AA$12+INDEX($AJ$13:$AR$162,BN5773,0)+INDEX($AT$13:$BB$162,BO5773,0)+INDEX($BD$13:$BL$162,BP5773,0))/100))&gt;=$D$10:$L$10)),0)</f>
        <v/>
      </c>
      <c r="BR5773">
        <f>IF(5760&lt;$U$9,SUMPRODUCT(($D$10:$L$10&lt;&gt;"")*(($D$10:$L$10-($D$9:$L$9+INT(($S$12:$AA$12+INDEX($AJ$13:$AR$162,BN5773,0)+INDEX($AT$13:$BB$162,BO5773,0)+INDEX($BD$13:$BL$162,BP5773,0))/100)))&gt;0)*($D$10:$L$10-($D$9:$L$9+INT(($S$12:$AA$12+INDEX($AJ$13:$AR$162,BN5773,0)+INDEX($AT$13:$BB$162,BO5773,0)+INDEX($BD$13:$BL$162,BP5773,0))/100)))),0)</f>
        <v/>
      </c>
      <c r="BS5773">
        <f>IF(5760&lt;$U$9,SUMPRODUCT(($D$9:$L$9+INT(($S$12:$AA$12+INDEX($AJ$13:$AR$162,BN5773,0)+INDEX($AT$13:$BB$162,BO5773,0)+INDEX($BD$13:$BL$162,BP5773,0))/100))),0)</f>
        <v/>
      </c>
      <c r="BT5773">
        <f>IF(AND(5760&lt;$U$9,$W$5),BQ5773*1000000-MIN(BR5773,999)*1000+BS5773-5760/100000,-1000000000-5760)</f>
        <v/>
      </c>
    </row>
    <row r="5774">
      <c r="BN5774">
        <f>IF(5761&lt;$U$9,INT(5761/($U$7*$U$8))+1,1)</f>
        <v/>
      </c>
      <c r="BO5774">
        <f>IF(5761&lt;$U$9,MOD(INT(5761/$U$8),$U$7)+1,1)</f>
        <v/>
      </c>
      <c r="BP5774">
        <f>IF(5761&lt;$U$9,MOD(5761,$U$8)+1,1)</f>
        <v/>
      </c>
      <c r="BQ5774">
        <f>IF(5761&lt;$U$9,SUMPRODUCT(($D$10:$L$10&lt;&gt;"")*(($D$9:$L$9+INT(($S$12:$AA$12+INDEX($AJ$13:$AR$162,BN5774,0)+INDEX($AT$13:$BB$162,BO5774,0)+INDEX($BD$13:$BL$162,BP5774,0))/100))&gt;=$D$10:$L$10)),0)</f>
        <v/>
      </c>
      <c r="BR5774">
        <f>IF(5761&lt;$U$9,SUMPRODUCT(($D$10:$L$10&lt;&gt;"")*(($D$10:$L$10-($D$9:$L$9+INT(($S$12:$AA$12+INDEX($AJ$13:$AR$162,BN5774,0)+INDEX($AT$13:$BB$162,BO5774,0)+INDEX($BD$13:$BL$162,BP5774,0))/100)))&gt;0)*($D$10:$L$10-($D$9:$L$9+INT(($S$12:$AA$12+INDEX($AJ$13:$AR$162,BN5774,0)+INDEX($AT$13:$BB$162,BO5774,0)+INDEX($BD$13:$BL$162,BP5774,0))/100)))),0)</f>
        <v/>
      </c>
      <c r="BS5774">
        <f>IF(5761&lt;$U$9,SUMPRODUCT(($D$9:$L$9+INT(($S$12:$AA$12+INDEX($AJ$13:$AR$162,BN5774,0)+INDEX($AT$13:$BB$162,BO5774,0)+INDEX($BD$13:$BL$162,BP5774,0))/100))),0)</f>
        <v/>
      </c>
      <c r="BT5774">
        <f>IF(AND(5761&lt;$U$9,$W$5),BQ5774*1000000-MIN(BR5774,999)*1000+BS5774-5761/100000,-1000000000-5761)</f>
        <v/>
      </c>
    </row>
    <row r="5775">
      <c r="BN5775">
        <f>IF(5762&lt;$U$9,INT(5762/($U$7*$U$8))+1,1)</f>
        <v/>
      </c>
      <c r="BO5775">
        <f>IF(5762&lt;$U$9,MOD(INT(5762/$U$8),$U$7)+1,1)</f>
        <v/>
      </c>
      <c r="BP5775">
        <f>IF(5762&lt;$U$9,MOD(5762,$U$8)+1,1)</f>
        <v/>
      </c>
      <c r="BQ5775">
        <f>IF(5762&lt;$U$9,SUMPRODUCT(($D$10:$L$10&lt;&gt;"")*(($D$9:$L$9+INT(($S$12:$AA$12+INDEX($AJ$13:$AR$162,BN5775,0)+INDEX($AT$13:$BB$162,BO5775,0)+INDEX($BD$13:$BL$162,BP5775,0))/100))&gt;=$D$10:$L$10)),0)</f>
        <v/>
      </c>
      <c r="BR5775">
        <f>IF(5762&lt;$U$9,SUMPRODUCT(($D$10:$L$10&lt;&gt;"")*(($D$10:$L$10-($D$9:$L$9+INT(($S$12:$AA$12+INDEX($AJ$13:$AR$162,BN5775,0)+INDEX($AT$13:$BB$162,BO5775,0)+INDEX($BD$13:$BL$162,BP5775,0))/100)))&gt;0)*($D$10:$L$10-($D$9:$L$9+INT(($S$12:$AA$12+INDEX($AJ$13:$AR$162,BN5775,0)+INDEX($AT$13:$BB$162,BO5775,0)+INDEX($BD$13:$BL$162,BP5775,0))/100)))),0)</f>
        <v/>
      </c>
      <c r="BS5775">
        <f>IF(5762&lt;$U$9,SUMPRODUCT(($D$9:$L$9+INT(($S$12:$AA$12+INDEX($AJ$13:$AR$162,BN5775,0)+INDEX($AT$13:$BB$162,BO5775,0)+INDEX($BD$13:$BL$162,BP5775,0))/100))),0)</f>
        <v/>
      </c>
      <c r="BT5775">
        <f>IF(AND(5762&lt;$U$9,$W$5),BQ5775*1000000-MIN(BR5775,999)*1000+BS5775-5762/100000,-1000000000-5762)</f>
        <v/>
      </c>
    </row>
    <row r="5776">
      <c r="BN5776">
        <f>IF(5763&lt;$U$9,INT(5763/($U$7*$U$8))+1,1)</f>
        <v/>
      </c>
      <c r="BO5776">
        <f>IF(5763&lt;$U$9,MOD(INT(5763/$U$8),$U$7)+1,1)</f>
        <v/>
      </c>
      <c r="BP5776">
        <f>IF(5763&lt;$U$9,MOD(5763,$U$8)+1,1)</f>
        <v/>
      </c>
      <c r="BQ5776">
        <f>IF(5763&lt;$U$9,SUMPRODUCT(($D$10:$L$10&lt;&gt;"")*(($D$9:$L$9+INT(($S$12:$AA$12+INDEX($AJ$13:$AR$162,BN5776,0)+INDEX($AT$13:$BB$162,BO5776,0)+INDEX($BD$13:$BL$162,BP5776,0))/100))&gt;=$D$10:$L$10)),0)</f>
        <v/>
      </c>
      <c r="BR5776">
        <f>IF(5763&lt;$U$9,SUMPRODUCT(($D$10:$L$10&lt;&gt;"")*(($D$10:$L$10-($D$9:$L$9+INT(($S$12:$AA$12+INDEX($AJ$13:$AR$162,BN5776,0)+INDEX($AT$13:$BB$162,BO5776,0)+INDEX($BD$13:$BL$162,BP5776,0))/100)))&gt;0)*($D$10:$L$10-($D$9:$L$9+INT(($S$12:$AA$12+INDEX($AJ$13:$AR$162,BN5776,0)+INDEX($AT$13:$BB$162,BO5776,0)+INDEX($BD$13:$BL$162,BP5776,0))/100)))),0)</f>
        <v/>
      </c>
      <c r="BS5776">
        <f>IF(5763&lt;$U$9,SUMPRODUCT(($D$9:$L$9+INT(($S$12:$AA$12+INDEX($AJ$13:$AR$162,BN5776,0)+INDEX($AT$13:$BB$162,BO5776,0)+INDEX($BD$13:$BL$162,BP5776,0))/100))),0)</f>
        <v/>
      </c>
      <c r="BT5776">
        <f>IF(AND(5763&lt;$U$9,$W$5),BQ5776*1000000-MIN(BR5776,999)*1000+BS5776-5763/100000,-1000000000-5763)</f>
        <v/>
      </c>
    </row>
    <row r="5777">
      <c r="BN5777">
        <f>IF(5764&lt;$U$9,INT(5764/($U$7*$U$8))+1,1)</f>
        <v/>
      </c>
      <c r="BO5777">
        <f>IF(5764&lt;$U$9,MOD(INT(5764/$U$8),$U$7)+1,1)</f>
        <v/>
      </c>
      <c r="BP5777">
        <f>IF(5764&lt;$U$9,MOD(5764,$U$8)+1,1)</f>
        <v/>
      </c>
      <c r="BQ5777">
        <f>IF(5764&lt;$U$9,SUMPRODUCT(($D$10:$L$10&lt;&gt;"")*(($D$9:$L$9+INT(($S$12:$AA$12+INDEX($AJ$13:$AR$162,BN5777,0)+INDEX($AT$13:$BB$162,BO5777,0)+INDEX($BD$13:$BL$162,BP5777,0))/100))&gt;=$D$10:$L$10)),0)</f>
        <v/>
      </c>
      <c r="BR5777">
        <f>IF(5764&lt;$U$9,SUMPRODUCT(($D$10:$L$10&lt;&gt;"")*(($D$10:$L$10-($D$9:$L$9+INT(($S$12:$AA$12+INDEX($AJ$13:$AR$162,BN5777,0)+INDEX($AT$13:$BB$162,BO5777,0)+INDEX($BD$13:$BL$162,BP5777,0))/100)))&gt;0)*($D$10:$L$10-($D$9:$L$9+INT(($S$12:$AA$12+INDEX($AJ$13:$AR$162,BN5777,0)+INDEX($AT$13:$BB$162,BO5777,0)+INDEX($BD$13:$BL$162,BP5777,0))/100)))),0)</f>
        <v/>
      </c>
      <c r="BS5777">
        <f>IF(5764&lt;$U$9,SUMPRODUCT(($D$9:$L$9+INT(($S$12:$AA$12+INDEX($AJ$13:$AR$162,BN5777,0)+INDEX($AT$13:$BB$162,BO5777,0)+INDEX($BD$13:$BL$162,BP5777,0))/100))),0)</f>
        <v/>
      </c>
      <c r="BT5777">
        <f>IF(AND(5764&lt;$U$9,$W$5),BQ5777*1000000-MIN(BR5777,999)*1000+BS5777-5764/100000,-1000000000-5764)</f>
        <v/>
      </c>
    </row>
    <row r="5778">
      <c r="BN5778">
        <f>IF(5765&lt;$U$9,INT(5765/($U$7*$U$8))+1,1)</f>
        <v/>
      </c>
      <c r="BO5778">
        <f>IF(5765&lt;$U$9,MOD(INT(5765/$U$8),$U$7)+1,1)</f>
        <v/>
      </c>
      <c r="BP5778">
        <f>IF(5765&lt;$U$9,MOD(5765,$U$8)+1,1)</f>
        <v/>
      </c>
      <c r="BQ5778">
        <f>IF(5765&lt;$U$9,SUMPRODUCT(($D$10:$L$10&lt;&gt;"")*(($D$9:$L$9+INT(($S$12:$AA$12+INDEX($AJ$13:$AR$162,BN5778,0)+INDEX($AT$13:$BB$162,BO5778,0)+INDEX($BD$13:$BL$162,BP5778,0))/100))&gt;=$D$10:$L$10)),0)</f>
        <v/>
      </c>
      <c r="BR5778">
        <f>IF(5765&lt;$U$9,SUMPRODUCT(($D$10:$L$10&lt;&gt;"")*(($D$10:$L$10-($D$9:$L$9+INT(($S$12:$AA$12+INDEX($AJ$13:$AR$162,BN5778,0)+INDEX($AT$13:$BB$162,BO5778,0)+INDEX($BD$13:$BL$162,BP5778,0))/100)))&gt;0)*($D$10:$L$10-($D$9:$L$9+INT(($S$12:$AA$12+INDEX($AJ$13:$AR$162,BN5778,0)+INDEX($AT$13:$BB$162,BO5778,0)+INDEX($BD$13:$BL$162,BP5778,0))/100)))),0)</f>
        <v/>
      </c>
      <c r="BS5778">
        <f>IF(5765&lt;$U$9,SUMPRODUCT(($D$9:$L$9+INT(($S$12:$AA$12+INDEX($AJ$13:$AR$162,BN5778,0)+INDEX($AT$13:$BB$162,BO5778,0)+INDEX($BD$13:$BL$162,BP5778,0))/100))),0)</f>
        <v/>
      </c>
      <c r="BT5778">
        <f>IF(AND(5765&lt;$U$9,$W$5),BQ5778*1000000-MIN(BR5778,999)*1000+BS5778-5765/100000,-1000000000-5765)</f>
        <v/>
      </c>
    </row>
    <row r="5779">
      <c r="BN5779">
        <f>IF(5766&lt;$U$9,INT(5766/($U$7*$U$8))+1,1)</f>
        <v/>
      </c>
      <c r="BO5779">
        <f>IF(5766&lt;$U$9,MOD(INT(5766/$U$8),$U$7)+1,1)</f>
        <v/>
      </c>
      <c r="BP5779">
        <f>IF(5766&lt;$U$9,MOD(5766,$U$8)+1,1)</f>
        <v/>
      </c>
      <c r="BQ5779">
        <f>IF(5766&lt;$U$9,SUMPRODUCT(($D$10:$L$10&lt;&gt;"")*(($D$9:$L$9+INT(($S$12:$AA$12+INDEX($AJ$13:$AR$162,BN5779,0)+INDEX($AT$13:$BB$162,BO5779,0)+INDEX($BD$13:$BL$162,BP5779,0))/100))&gt;=$D$10:$L$10)),0)</f>
        <v/>
      </c>
      <c r="BR5779">
        <f>IF(5766&lt;$U$9,SUMPRODUCT(($D$10:$L$10&lt;&gt;"")*(($D$10:$L$10-($D$9:$L$9+INT(($S$12:$AA$12+INDEX($AJ$13:$AR$162,BN5779,0)+INDEX($AT$13:$BB$162,BO5779,0)+INDEX($BD$13:$BL$162,BP5779,0))/100)))&gt;0)*($D$10:$L$10-($D$9:$L$9+INT(($S$12:$AA$12+INDEX($AJ$13:$AR$162,BN5779,0)+INDEX($AT$13:$BB$162,BO5779,0)+INDEX($BD$13:$BL$162,BP5779,0))/100)))),0)</f>
        <v/>
      </c>
      <c r="BS5779">
        <f>IF(5766&lt;$U$9,SUMPRODUCT(($D$9:$L$9+INT(($S$12:$AA$12+INDEX($AJ$13:$AR$162,BN5779,0)+INDEX($AT$13:$BB$162,BO5779,0)+INDEX($BD$13:$BL$162,BP5779,0))/100))),0)</f>
        <v/>
      </c>
      <c r="BT5779">
        <f>IF(AND(5766&lt;$U$9,$W$5),BQ5779*1000000-MIN(BR5779,999)*1000+BS5779-5766/100000,-1000000000-5766)</f>
        <v/>
      </c>
    </row>
    <row r="5780">
      <c r="BN5780">
        <f>IF(5767&lt;$U$9,INT(5767/($U$7*$U$8))+1,1)</f>
        <v/>
      </c>
      <c r="BO5780">
        <f>IF(5767&lt;$U$9,MOD(INT(5767/$U$8),$U$7)+1,1)</f>
        <v/>
      </c>
      <c r="BP5780">
        <f>IF(5767&lt;$U$9,MOD(5767,$U$8)+1,1)</f>
        <v/>
      </c>
      <c r="BQ5780">
        <f>IF(5767&lt;$U$9,SUMPRODUCT(($D$10:$L$10&lt;&gt;"")*(($D$9:$L$9+INT(($S$12:$AA$12+INDEX($AJ$13:$AR$162,BN5780,0)+INDEX($AT$13:$BB$162,BO5780,0)+INDEX($BD$13:$BL$162,BP5780,0))/100))&gt;=$D$10:$L$10)),0)</f>
        <v/>
      </c>
      <c r="BR5780">
        <f>IF(5767&lt;$U$9,SUMPRODUCT(($D$10:$L$10&lt;&gt;"")*(($D$10:$L$10-($D$9:$L$9+INT(($S$12:$AA$12+INDEX($AJ$13:$AR$162,BN5780,0)+INDEX($AT$13:$BB$162,BO5780,0)+INDEX($BD$13:$BL$162,BP5780,0))/100)))&gt;0)*($D$10:$L$10-($D$9:$L$9+INT(($S$12:$AA$12+INDEX($AJ$13:$AR$162,BN5780,0)+INDEX($AT$13:$BB$162,BO5780,0)+INDEX($BD$13:$BL$162,BP5780,0))/100)))),0)</f>
        <v/>
      </c>
      <c r="BS5780">
        <f>IF(5767&lt;$U$9,SUMPRODUCT(($D$9:$L$9+INT(($S$12:$AA$12+INDEX($AJ$13:$AR$162,BN5780,0)+INDEX($AT$13:$BB$162,BO5780,0)+INDEX($BD$13:$BL$162,BP5780,0))/100))),0)</f>
        <v/>
      </c>
      <c r="BT5780">
        <f>IF(AND(5767&lt;$U$9,$W$5),BQ5780*1000000-MIN(BR5780,999)*1000+BS5780-5767/100000,-1000000000-5767)</f>
        <v/>
      </c>
    </row>
    <row r="5781">
      <c r="BN5781">
        <f>IF(5768&lt;$U$9,INT(5768/($U$7*$U$8))+1,1)</f>
        <v/>
      </c>
      <c r="BO5781">
        <f>IF(5768&lt;$U$9,MOD(INT(5768/$U$8),$U$7)+1,1)</f>
        <v/>
      </c>
      <c r="BP5781">
        <f>IF(5768&lt;$U$9,MOD(5768,$U$8)+1,1)</f>
        <v/>
      </c>
      <c r="BQ5781">
        <f>IF(5768&lt;$U$9,SUMPRODUCT(($D$10:$L$10&lt;&gt;"")*(($D$9:$L$9+INT(($S$12:$AA$12+INDEX($AJ$13:$AR$162,BN5781,0)+INDEX($AT$13:$BB$162,BO5781,0)+INDEX($BD$13:$BL$162,BP5781,0))/100))&gt;=$D$10:$L$10)),0)</f>
        <v/>
      </c>
      <c r="BR5781">
        <f>IF(5768&lt;$U$9,SUMPRODUCT(($D$10:$L$10&lt;&gt;"")*(($D$10:$L$10-($D$9:$L$9+INT(($S$12:$AA$12+INDEX($AJ$13:$AR$162,BN5781,0)+INDEX($AT$13:$BB$162,BO5781,0)+INDEX($BD$13:$BL$162,BP5781,0))/100)))&gt;0)*($D$10:$L$10-($D$9:$L$9+INT(($S$12:$AA$12+INDEX($AJ$13:$AR$162,BN5781,0)+INDEX($AT$13:$BB$162,BO5781,0)+INDEX($BD$13:$BL$162,BP5781,0))/100)))),0)</f>
        <v/>
      </c>
      <c r="BS5781">
        <f>IF(5768&lt;$U$9,SUMPRODUCT(($D$9:$L$9+INT(($S$12:$AA$12+INDEX($AJ$13:$AR$162,BN5781,0)+INDEX($AT$13:$BB$162,BO5781,0)+INDEX($BD$13:$BL$162,BP5781,0))/100))),0)</f>
        <v/>
      </c>
      <c r="BT5781">
        <f>IF(AND(5768&lt;$U$9,$W$5),BQ5781*1000000-MIN(BR5781,999)*1000+BS5781-5768/100000,-1000000000-5768)</f>
        <v/>
      </c>
    </row>
    <row r="5782">
      <c r="BN5782">
        <f>IF(5769&lt;$U$9,INT(5769/($U$7*$U$8))+1,1)</f>
        <v/>
      </c>
      <c r="BO5782">
        <f>IF(5769&lt;$U$9,MOD(INT(5769/$U$8),$U$7)+1,1)</f>
        <v/>
      </c>
      <c r="BP5782">
        <f>IF(5769&lt;$U$9,MOD(5769,$U$8)+1,1)</f>
        <v/>
      </c>
      <c r="BQ5782">
        <f>IF(5769&lt;$U$9,SUMPRODUCT(($D$10:$L$10&lt;&gt;"")*(($D$9:$L$9+INT(($S$12:$AA$12+INDEX($AJ$13:$AR$162,BN5782,0)+INDEX($AT$13:$BB$162,BO5782,0)+INDEX($BD$13:$BL$162,BP5782,0))/100))&gt;=$D$10:$L$10)),0)</f>
        <v/>
      </c>
      <c r="BR5782">
        <f>IF(5769&lt;$U$9,SUMPRODUCT(($D$10:$L$10&lt;&gt;"")*(($D$10:$L$10-($D$9:$L$9+INT(($S$12:$AA$12+INDEX($AJ$13:$AR$162,BN5782,0)+INDEX($AT$13:$BB$162,BO5782,0)+INDEX($BD$13:$BL$162,BP5782,0))/100)))&gt;0)*($D$10:$L$10-($D$9:$L$9+INT(($S$12:$AA$12+INDEX($AJ$13:$AR$162,BN5782,0)+INDEX($AT$13:$BB$162,BO5782,0)+INDEX($BD$13:$BL$162,BP5782,0))/100)))),0)</f>
        <v/>
      </c>
      <c r="BS5782">
        <f>IF(5769&lt;$U$9,SUMPRODUCT(($D$9:$L$9+INT(($S$12:$AA$12+INDEX($AJ$13:$AR$162,BN5782,0)+INDEX($AT$13:$BB$162,BO5782,0)+INDEX($BD$13:$BL$162,BP5782,0))/100))),0)</f>
        <v/>
      </c>
      <c r="BT5782">
        <f>IF(AND(5769&lt;$U$9,$W$5),BQ5782*1000000-MIN(BR5782,999)*1000+BS5782-5769/100000,-1000000000-5769)</f>
        <v/>
      </c>
    </row>
    <row r="5783">
      <c r="BN5783">
        <f>IF(5770&lt;$U$9,INT(5770/($U$7*$U$8))+1,1)</f>
        <v/>
      </c>
      <c r="BO5783">
        <f>IF(5770&lt;$U$9,MOD(INT(5770/$U$8),$U$7)+1,1)</f>
        <v/>
      </c>
      <c r="BP5783">
        <f>IF(5770&lt;$U$9,MOD(5770,$U$8)+1,1)</f>
        <v/>
      </c>
      <c r="BQ5783">
        <f>IF(5770&lt;$U$9,SUMPRODUCT(($D$10:$L$10&lt;&gt;"")*(($D$9:$L$9+INT(($S$12:$AA$12+INDEX($AJ$13:$AR$162,BN5783,0)+INDEX($AT$13:$BB$162,BO5783,0)+INDEX($BD$13:$BL$162,BP5783,0))/100))&gt;=$D$10:$L$10)),0)</f>
        <v/>
      </c>
      <c r="BR5783">
        <f>IF(5770&lt;$U$9,SUMPRODUCT(($D$10:$L$10&lt;&gt;"")*(($D$10:$L$10-($D$9:$L$9+INT(($S$12:$AA$12+INDEX($AJ$13:$AR$162,BN5783,0)+INDEX($AT$13:$BB$162,BO5783,0)+INDEX($BD$13:$BL$162,BP5783,0))/100)))&gt;0)*($D$10:$L$10-($D$9:$L$9+INT(($S$12:$AA$12+INDEX($AJ$13:$AR$162,BN5783,0)+INDEX($AT$13:$BB$162,BO5783,0)+INDEX($BD$13:$BL$162,BP5783,0))/100)))),0)</f>
        <v/>
      </c>
      <c r="BS5783">
        <f>IF(5770&lt;$U$9,SUMPRODUCT(($D$9:$L$9+INT(($S$12:$AA$12+INDEX($AJ$13:$AR$162,BN5783,0)+INDEX($AT$13:$BB$162,BO5783,0)+INDEX($BD$13:$BL$162,BP5783,0))/100))),0)</f>
        <v/>
      </c>
      <c r="BT5783">
        <f>IF(AND(5770&lt;$U$9,$W$5),BQ5783*1000000-MIN(BR5783,999)*1000+BS5783-5770/100000,-1000000000-5770)</f>
        <v/>
      </c>
    </row>
    <row r="5784">
      <c r="BN5784">
        <f>IF(5771&lt;$U$9,INT(5771/($U$7*$U$8))+1,1)</f>
        <v/>
      </c>
      <c r="BO5784">
        <f>IF(5771&lt;$U$9,MOD(INT(5771/$U$8),$U$7)+1,1)</f>
        <v/>
      </c>
      <c r="BP5784">
        <f>IF(5771&lt;$U$9,MOD(5771,$U$8)+1,1)</f>
        <v/>
      </c>
      <c r="BQ5784">
        <f>IF(5771&lt;$U$9,SUMPRODUCT(($D$10:$L$10&lt;&gt;"")*(($D$9:$L$9+INT(($S$12:$AA$12+INDEX($AJ$13:$AR$162,BN5784,0)+INDEX($AT$13:$BB$162,BO5784,0)+INDEX($BD$13:$BL$162,BP5784,0))/100))&gt;=$D$10:$L$10)),0)</f>
        <v/>
      </c>
      <c r="BR5784">
        <f>IF(5771&lt;$U$9,SUMPRODUCT(($D$10:$L$10&lt;&gt;"")*(($D$10:$L$10-($D$9:$L$9+INT(($S$12:$AA$12+INDEX($AJ$13:$AR$162,BN5784,0)+INDEX($AT$13:$BB$162,BO5784,0)+INDEX($BD$13:$BL$162,BP5784,0))/100)))&gt;0)*($D$10:$L$10-($D$9:$L$9+INT(($S$12:$AA$12+INDEX($AJ$13:$AR$162,BN5784,0)+INDEX($AT$13:$BB$162,BO5784,0)+INDEX($BD$13:$BL$162,BP5784,0))/100)))),0)</f>
        <v/>
      </c>
      <c r="BS5784">
        <f>IF(5771&lt;$U$9,SUMPRODUCT(($D$9:$L$9+INT(($S$12:$AA$12+INDEX($AJ$13:$AR$162,BN5784,0)+INDEX($AT$13:$BB$162,BO5784,0)+INDEX($BD$13:$BL$162,BP5784,0))/100))),0)</f>
        <v/>
      </c>
      <c r="BT5784">
        <f>IF(AND(5771&lt;$U$9,$W$5),BQ5784*1000000-MIN(BR5784,999)*1000+BS5784-5771/100000,-1000000000-5771)</f>
        <v/>
      </c>
    </row>
    <row r="5785">
      <c r="BN5785">
        <f>IF(5772&lt;$U$9,INT(5772/($U$7*$U$8))+1,1)</f>
        <v/>
      </c>
      <c r="BO5785">
        <f>IF(5772&lt;$U$9,MOD(INT(5772/$U$8),$U$7)+1,1)</f>
        <v/>
      </c>
      <c r="BP5785">
        <f>IF(5772&lt;$U$9,MOD(5772,$U$8)+1,1)</f>
        <v/>
      </c>
      <c r="BQ5785">
        <f>IF(5772&lt;$U$9,SUMPRODUCT(($D$10:$L$10&lt;&gt;"")*(($D$9:$L$9+INT(($S$12:$AA$12+INDEX($AJ$13:$AR$162,BN5785,0)+INDEX($AT$13:$BB$162,BO5785,0)+INDEX($BD$13:$BL$162,BP5785,0))/100))&gt;=$D$10:$L$10)),0)</f>
        <v/>
      </c>
      <c r="BR5785">
        <f>IF(5772&lt;$U$9,SUMPRODUCT(($D$10:$L$10&lt;&gt;"")*(($D$10:$L$10-($D$9:$L$9+INT(($S$12:$AA$12+INDEX($AJ$13:$AR$162,BN5785,0)+INDEX($AT$13:$BB$162,BO5785,0)+INDEX($BD$13:$BL$162,BP5785,0))/100)))&gt;0)*($D$10:$L$10-($D$9:$L$9+INT(($S$12:$AA$12+INDEX($AJ$13:$AR$162,BN5785,0)+INDEX($AT$13:$BB$162,BO5785,0)+INDEX($BD$13:$BL$162,BP5785,0))/100)))),0)</f>
        <v/>
      </c>
      <c r="BS5785">
        <f>IF(5772&lt;$U$9,SUMPRODUCT(($D$9:$L$9+INT(($S$12:$AA$12+INDEX($AJ$13:$AR$162,BN5785,0)+INDEX($AT$13:$BB$162,BO5785,0)+INDEX($BD$13:$BL$162,BP5785,0))/100))),0)</f>
        <v/>
      </c>
      <c r="BT5785">
        <f>IF(AND(5772&lt;$U$9,$W$5),BQ5785*1000000-MIN(BR5785,999)*1000+BS5785-5772/100000,-1000000000-5772)</f>
        <v/>
      </c>
    </row>
    <row r="5786">
      <c r="BN5786">
        <f>IF(5773&lt;$U$9,INT(5773/($U$7*$U$8))+1,1)</f>
        <v/>
      </c>
      <c r="BO5786">
        <f>IF(5773&lt;$U$9,MOD(INT(5773/$U$8),$U$7)+1,1)</f>
        <v/>
      </c>
      <c r="BP5786">
        <f>IF(5773&lt;$U$9,MOD(5773,$U$8)+1,1)</f>
        <v/>
      </c>
      <c r="BQ5786">
        <f>IF(5773&lt;$U$9,SUMPRODUCT(($D$10:$L$10&lt;&gt;"")*(($D$9:$L$9+INT(($S$12:$AA$12+INDEX($AJ$13:$AR$162,BN5786,0)+INDEX($AT$13:$BB$162,BO5786,0)+INDEX($BD$13:$BL$162,BP5786,0))/100))&gt;=$D$10:$L$10)),0)</f>
        <v/>
      </c>
      <c r="BR5786">
        <f>IF(5773&lt;$U$9,SUMPRODUCT(($D$10:$L$10&lt;&gt;"")*(($D$10:$L$10-($D$9:$L$9+INT(($S$12:$AA$12+INDEX($AJ$13:$AR$162,BN5786,0)+INDEX($AT$13:$BB$162,BO5786,0)+INDEX($BD$13:$BL$162,BP5786,0))/100)))&gt;0)*($D$10:$L$10-($D$9:$L$9+INT(($S$12:$AA$12+INDEX($AJ$13:$AR$162,BN5786,0)+INDEX($AT$13:$BB$162,BO5786,0)+INDEX($BD$13:$BL$162,BP5786,0))/100)))),0)</f>
        <v/>
      </c>
      <c r="BS5786">
        <f>IF(5773&lt;$U$9,SUMPRODUCT(($D$9:$L$9+INT(($S$12:$AA$12+INDEX($AJ$13:$AR$162,BN5786,0)+INDEX($AT$13:$BB$162,BO5786,0)+INDEX($BD$13:$BL$162,BP5786,0))/100))),0)</f>
        <v/>
      </c>
      <c r="BT5786">
        <f>IF(AND(5773&lt;$U$9,$W$5),BQ5786*1000000-MIN(BR5786,999)*1000+BS5786-5773/100000,-1000000000-5773)</f>
        <v/>
      </c>
    </row>
    <row r="5787">
      <c r="BN5787">
        <f>IF(5774&lt;$U$9,INT(5774/($U$7*$U$8))+1,1)</f>
        <v/>
      </c>
      <c r="BO5787">
        <f>IF(5774&lt;$U$9,MOD(INT(5774/$U$8),$U$7)+1,1)</f>
        <v/>
      </c>
      <c r="BP5787">
        <f>IF(5774&lt;$U$9,MOD(5774,$U$8)+1,1)</f>
        <v/>
      </c>
      <c r="BQ5787">
        <f>IF(5774&lt;$U$9,SUMPRODUCT(($D$10:$L$10&lt;&gt;"")*(($D$9:$L$9+INT(($S$12:$AA$12+INDEX($AJ$13:$AR$162,BN5787,0)+INDEX($AT$13:$BB$162,BO5787,0)+INDEX($BD$13:$BL$162,BP5787,0))/100))&gt;=$D$10:$L$10)),0)</f>
        <v/>
      </c>
      <c r="BR5787">
        <f>IF(5774&lt;$U$9,SUMPRODUCT(($D$10:$L$10&lt;&gt;"")*(($D$10:$L$10-($D$9:$L$9+INT(($S$12:$AA$12+INDEX($AJ$13:$AR$162,BN5787,0)+INDEX($AT$13:$BB$162,BO5787,0)+INDEX($BD$13:$BL$162,BP5787,0))/100)))&gt;0)*($D$10:$L$10-($D$9:$L$9+INT(($S$12:$AA$12+INDEX($AJ$13:$AR$162,BN5787,0)+INDEX($AT$13:$BB$162,BO5787,0)+INDEX($BD$13:$BL$162,BP5787,0))/100)))),0)</f>
        <v/>
      </c>
      <c r="BS5787">
        <f>IF(5774&lt;$U$9,SUMPRODUCT(($D$9:$L$9+INT(($S$12:$AA$12+INDEX($AJ$13:$AR$162,BN5787,0)+INDEX($AT$13:$BB$162,BO5787,0)+INDEX($BD$13:$BL$162,BP5787,0))/100))),0)</f>
        <v/>
      </c>
      <c r="BT5787">
        <f>IF(AND(5774&lt;$U$9,$W$5),BQ5787*1000000-MIN(BR5787,999)*1000+BS5787-5774/100000,-1000000000-5774)</f>
        <v/>
      </c>
    </row>
    <row r="5788">
      <c r="BN5788">
        <f>IF(5775&lt;$U$9,INT(5775/($U$7*$U$8))+1,1)</f>
        <v/>
      </c>
      <c r="BO5788">
        <f>IF(5775&lt;$U$9,MOD(INT(5775/$U$8),$U$7)+1,1)</f>
        <v/>
      </c>
      <c r="BP5788">
        <f>IF(5775&lt;$U$9,MOD(5775,$U$8)+1,1)</f>
        <v/>
      </c>
      <c r="BQ5788">
        <f>IF(5775&lt;$U$9,SUMPRODUCT(($D$10:$L$10&lt;&gt;"")*(($D$9:$L$9+INT(($S$12:$AA$12+INDEX($AJ$13:$AR$162,BN5788,0)+INDEX($AT$13:$BB$162,BO5788,0)+INDEX($BD$13:$BL$162,BP5788,0))/100))&gt;=$D$10:$L$10)),0)</f>
        <v/>
      </c>
      <c r="BR5788">
        <f>IF(5775&lt;$U$9,SUMPRODUCT(($D$10:$L$10&lt;&gt;"")*(($D$10:$L$10-($D$9:$L$9+INT(($S$12:$AA$12+INDEX($AJ$13:$AR$162,BN5788,0)+INDEX($AT$13:$BB$162,BO5788,0)+INDEX($BD$13:$BL$162,BP5788,0))/100)))&gt;0)*($D$10:$L$10-($D$9:$L$9+INT(($S$12:$AA$12+INDEX($AJ$13:$AR$162,BN5788,0)+INDEX($AT$13:$BB$162,BO5788,0)+INDEX($BD$13:$BL$162,BP5788,0))/100)))),0)</f>
        <v/>
      </c>
      <c r="BS5788">
        <f>IF(5775&lt;$U$9,SUMPRODUCT(($D$9:$L$9+INT(($S$12:$AA$12+INDEX($AJ$13:$AR$162,BN5788,0)+INDEX($AT$13:$BB$162,BO5788,0)+INDEX($BD$13:$BL$162,BP5788,0))/100))),0)</f>
        <v/>
      </c>
      <c r="BT5788">
        <f>IF(AND(5775&lt;$U$9,$W$5),BQ5788*1000000-MIN(BR5788,999)*1000+BS5788-5775/100000,-1000000000-5775)</f>
        <v/>
      </c>
    </row>
    <row r="5789">
      <c r="BN5789">
        <f>IF(5776&lt;$U$9,INT(5776/($U$7*$U$8))+1,1)</f>
        <v/>
      </c>
      <c r="BO5789">
        <f>IF(5776&lt;$U$9,MOD(INT(5776/$U$8),$U$7)+1,1)</f>
        <v/>
      </c>
      <c r="BP5789">
        <f>IF(5776&lt;$U$9,MOD(5776,$U$8)+1,1)</f>
        <v/>
      </c>
      <c r="BQ5789">
        <f>IF(5776&lt;$U$9,SUMPRODUCT(($D$10:$L$10&lt;&gt;"")*(($D$9:$L$9+INT(($S$12:$AA$12+INDEX($AJ$13:$AR$162,BN5789,0)+INDEX($AT$13:$BB$162,BO5789,0)+INDEX($BD$13:$BL$162,BP5789,0))/100))&gt;=$D$10:$L$10)),0)</f>
        <v/>
      </c>
      <c r="BR5789">
        <f>IF(5776&lt;$U$9,SUMPRODUCT(($D$10:$L$10&lt;&gt;"")*(($D$10:$L$10-($D$9:$L$9+INT(($S$12:$AA$12+INDEX($AJ$13:$AR$162,BN5789,0)+INDEX($AT$13:$BB$162,BO5789,0)+INDEX($BD$13:$BL$162,BP5789,0))/100)))&gt;0)*($D$10:$L$10-($D$9:$L$9+INT(($S$12:$AA$12+INDEX($AJ$13:$AR$162,BN5789,0)+INDEX($AT$13:$BB$162,BO5789,0)+INDEX($BD$13:$BL$162,BP5789,0))/100)))),0)</f>
        <v/>
      </c>
      <c r="BS5789">
        <f>IF(5776&lt;$U$9,SUMPRODUCT(($D$9:$L$9+INT(($S$12:$AA$12+INDEX($AJ$13:$AR$162,BN5789,0)+INDEX($AT$13:$BB$162,BO5789,0)+INDEX($BD$13:$BL$162,BP5789,0))/100))),0)</f>
        <v/>
      </c>
      <c r="BT5789">
        <f>IF(AND(5776&lt;$U$9,$W$5),BQ5789*1000000-MIN(BR5789,999)*1000+BS5789-5776/100000,-1000000000-5776)</f>
        <v/>
      </c>
    </row>
    <row r="5790">
      <c r="BN5790">
        <f>IF(5777&lt;$U$9,INT(5777/($U$7*$U$8))+1,1)</f>
        <v/>
      </c>
      <c r="BO5790">
        <f>IF(5777&lt;$U$9,MOD(INT(5777/$U$8),$U$7)+1,1)</f>
        <v/>
      </c>
      <c r="BP5790">
        <f>IF(5777&lt;$U$9,MOD(5777,$U$8)+1,1)</f>
        <v/>
      </c>
      <c r="BQ5790">
        <f>IF(5777&lt;$U$9,SUMPRODUCT(($D$10:$L$10&lt;&gt;"")*(($D$9:$L$9+INT(($S$12:$AA$12+INDEX($AJ$13:$AR$162,BN5790,0)+INDEX($AT$13:$BB$162,BO5790,0)+INDEX($BD$13:$BL$162,BP5790,0))/100))&gt;=$D$10:$L$10)),0)</f>
        <v/>
      </c>
      <c r="BR5790">
        <f>IF(5777&lt;$U$9,SUMPRODUCT(($D$10:$L$10&lt;&gt;"")*(($D$10:$L$10-($D$9:$L$9+INT(($S$12:$AA$12+INDEX($AJ$13:$AR$162,BN5790,0)+INDEX($AT$13:$BB$162,BO5790,0)+INDEX($BD$13:$BL$162,BP5790,0))/100)))&gt;0)*($D$10:$L$10-($D$9:$L$9+INT(($S$12:$AA$12+INDEX($AJ$13:$AR$162,BN5790,0)+INDEX($AT$13:$BB$162,BO5790,0)+INDEX($BD$13:$BL$162,BP5790,0))/100)))),0)</f>
        <v/>
      </c>
      <c r="BS5790">
        <f>IF(5777&lt;$U$9,SUMPRODUCT(($D$9:$L$9+INT(($S$12:$AA$12+INDEX($AJ$13:$AR$162,BN5790,0)+INDEX($AT$13:$BB$162,BO5790,0)+INDEX($BD$13:$BL$162,BP5790,0))/100))),0)</f>
        <v/>
      </c>
      <c r="BT5790">
        <f>IF(AND(5777&lt;$U$9,$W$5),BQ5790*1000000-MIN(BR5790,999)*1000+BS5790-5777/100000,-1000000000-5777)</f>
        <v/>
      </c>
    </row>
    <row r="5791">
      <c r="BN5791">
        <f>IF(5778&lt;$U$9,INT(5778/($U$7*$U$8))+1,1)</f>
        <v/>
      </c>
      <c r="BO5791">
        <f>IF(5778&lt;$U$9,MOD(INT(5778/$U$8),$U$7)+1,1)</f>
        <v/>
      </c>
      <c r="BP5791">
        <f>IF(5778&lt;$U$9,MOD(5778,$U$8)+1,1)</f>
        <v/>
      </c>
      <c r="BQ5791">
        <f>IF(5778&lt;$U$9,SUMPRODUCT(($D$10:$L$10&lt;&gt;"")*(($D$9:$L$9+INT(($S$12:$AA$12+INDEX($AJ$13:$AR$162,BN5791,0)+INDEX($AT$13:$BB$162,BO5791,0)+INDEX($BD$13:$BL$162,BP5791,0))/100))&gt;=$D$10:$L$10)),0)</f>
        <v/>
      </c>
      <c r="BR5791">
        <f>IF(5778&lt;$U$9,SUMPRODUCT(($D$10:$L$10&lt;&gt;"")*(($D$10:$L$10-($D$9:$L$9+INT(($S$12:$AA$12+INDEX($AJ$13:$AR$162,BN5791,0)+INDEX($AT$13:$BB$162,BO5791,0)+INDEX($BD$13:$BL$162,BP5791,0))/100)))&gt;0)*($D$10:$L$10-($D$9:$L$9+INT(($S$12:$AA$12+INDEX($AJ$13:$AR$162,BN5791,0)+INDEX($AT$13:$BB$162,BO5791,0)+INDEX($BD$13:$BL$162,BP5791,0))/100)))),0)</f>
        <v/>
      </c>
      <c r="BS5791">
        <f>IF(5778&lt;$U$9,SUMPRODUCT(($D$9:$L$9+INT(($S$12:$AA$12+INDEX($AJ$13:$AR$162,BN5791,0)+INDEX($AT$13:$BB$162,BO5791,0)+INDEX($BD$13:$BL$162,BP5791,0))/100))),0)</f>
        <v/>
      </c>
      <c r="BT5791">
        <f>IF(AND(5778&lt;$U$9,$W$5),BQ5791*1000000-MIN(BR5791,999)*1000+BS5791-5778/100000,-1000000000-5778)</f>
        <v/>
      </c>
    </row>
    <row r="5792">
      <c r="BN5792">
        <f>IF(5779&lt;$U$9,INT(5779/($U$7*$U$8))+1,1)</f>
        <v/>
      </c>
      <c r="BO5792">
        <f>IF(5779&lt;$U$9,MOD(INT(5779/$U$8),$U$7)+1,1)</f>
        <v/>
      </c>
      <c r="BP5792">
        <f>IF(5779&lt;$U$9,MOD(5779,$U$8)+1,1)</f>
        <v/>
      </c>
      <c r="BQ5792">
        <f>IF(5779&lt;$U$9,SUMPRODUCT(($D$10:$L$10&lt;&gt;"")*(($D$9:$L$9+INT(($S$12:$AA$12+INDEX($AJ$13:$AR$162,BN5792,0)+INDEX($AT$13:$BB$162,BO5792,0)+INDEX($BD$13:$BL$162,BP5792,0))/100))&gt;=$D$10:$L$10)),0)</f>
        <v/>
      </c>
      <c r="BR5792">
        <f>IF(5779&lt;$U$9,SUMPRODUCT(($D$10:$L$10&lt;&gt;"")*(($D$10:$L$10-($D$9:$L$9+INT(($S$12:$AA$12+INDEX($AJ$13:$AR$162,BN5792,0)+INDEX($AT$13:$BB$162,BO5792,0)+INDEX($BD$13:$BL$162,BP5792,0))/100)))&gt;0)*($D$10:$L$10-($D$9:$L$9+INT(($S$12:$AA$12+INDEX($AJ$13:$AR$162,BN5792,0)+INDEX($AT$13:$BB$162,BO5792,0)+INDEX($BD$13:$BL$162,BP5792,0))/100)))),0)</f>
        <v/>
      </c>
      <c r="BS5792">
        <f>IF(5779&lt;$U$9,SUMPRODUCT(($D$9:$L$9+INT(($S$12:$AA$12+INDEX($AJ$13:$AR$162,BN5792,0)+INDEX($AT$13:$BB$162,BO5792,0)+INDEX($BD$13:$BL$162,BP5792,0))/100))),0)</f>
        <v/>
      </c>
      <c r="BT5792">
        <f>IF(AND(5779&lt;$U$9,$W$5),BQ5792*1000000-MIN(BR5792,999)*1000+BS5792-5779/100000,-1000000000-5779)</f>
        <v/>
      </c>
    </row>
    <row r="5793">
      <c r="BN5793">
        <f>IF(5780&lt;$U$9,INT(5780/($U$7*$U$8))+1,1)</f>
        <v/>
      </c>
      <c r="BO5793">
        <f>IF(5780&lt;$U$9,MOD(INT(5780/$U$8),$U$7)+1,1)</f>
        <v/>
      </c>
      <c r="BP5793">
        <f>IF(5780&lt;$U$9,MOD(5780,$U$8)+1,1)</f>
        <v/>
      </c>
      <c r="BQ5793">
        <f>IF(5780&lt;$U$9,SUMPRODUCT(($D$10:$L$10&lt;&gt;"")*(($D$9:$L$9+INT(($S$12:$AA$12+INDEX($AJ$13:$AR$162,BN5793,0)+INDEX($AT$13:$BB$162,BO5793,0)+INDEX($BD$13:$BL$162,BP5793,0))/100))&gt;=$D$10:$L$10)),0)</f>
        <v/>
      </c>
      <c r="BR5793">
        <f>IF(5780&lt;$U$9,SUMPRODUCT(($D$10:$L$10&lt;&gt;"")*(($D$10:$L$10-($D$9:$L$9+INT(($S$12:$AA$12+INDEX($AJ$13:$AR$162,BN5793,0)+INDEX($AT$13:$BB$162,BO5793,0)+INDEX($BD$13:$BL$162,BP5793,0))/100)))&gt;0)*($D$10:$L$10-($D$9:$L$9+INT(($S$12:$AA$12+INDEX($AJ$13:$AR$162,BN5793,0)+INDEX($AT$13:$BB$162,BO5793,0)+INDEX($BD$13:$BL$162,BP5793,0))/100)))),0)</f>
        <v/>
      </c>
      <c r="BS5793">
        <f>IF(5780&lt;$U$9,SUMPRODUCT(($D$9:$L$9+INT(($S$12:$AA$12+INDEX($AJ$13:$AR$162,BN5793,0)+INDEX($AT$13:$BB$162,BO5793,0)+INDEX($BD$13:$BL$162,BP5793,0))/100))),0)</f>
        <v/>
      </c>
      <c r="BT5793">
        <f>IF(AND(5780&lt;$U$9,$W$5),BQ5793*1000000-MIN(BR5793,999)*1000+BS5793-5780/100000,-1000000000-5780)</f>
        <v/>
      </c>
    </row>
    <row r="5794">
      <c r="BN5794">
        <f>IF(5781&lt;$U$9,INT(5781/($U$7*$U$8))+1,1)</f>
        <v/>
      </c>
      <c r="BO5794">
        <f>IF(5781&lt;$U$9,MOD(INT(5781/$U$8),$U$7)+1,1)</f>
        <v/>
      </c>
      <c r="BP5794">
        <f>IF(5781&lt;$U$9,MOD(5781,$U$8)+1,1)</f>
        <v/>
      </c>
      <c r="BQ5794">
        <f>IF(5781&lt;$U$9,SUMPRODUCT(($D$10:$L$10&lt;&gt;"")*(($D$9:$L$9+INT(($S$12:$AA$12+INDEX($AJ$13:$AR$162,BN5794,0)+INDEX($AT$13:$BB$162,BO5794,0)+INDEX($BD$13:$BL$162,BP5794,0))/100))&gt;=$D$10:$L$10)),0)</f>
        <v/>
      </c>
      <c r="BR5794">
        <f>IF(5781&lt;$U$9,SUMPRODUCT(($D$10:$L$10&lt;&gt;"")*(($D$10:$L$10-($D$9:$L$9+INT(($S$12:$AA$12+INDEX($AJ$13:$AR$162,BN5794,0)+INDEX($AT$13:$BB$162,BO5794,0)+INDEX($BD$13:$BL$162,BP5794,0))/100)))&gt;0)*($D$10:$L$10-($D$9:$L$9+INT(($S$12:$AA$12+INDEX($AJ$13:$AR$162,BN5794,0)+INDEX($AT$13:$BB$162,BO5794,0)+INDEX($BD$13:$BL$162,BP5794,0))/100)))),0)</f>
        <v/>
      </c>
      <c r="BS5794">
        <f>IF(5781&lt;$U$9,SUMPRODUCT(($D$9:$L$9+INT(($S$12:$AA$12+INDEX($AJ$13:$AR$162,BN5794,0)+INDEX($AT$13:$BB$162,BO5794,0)+INDEX($BD$13:$BL$162,BP5794,0))/100))),0)</f>
        <v/>
      </c>
      <c r="BT5794">
        <f>IF(AND(5781&lt;$U$9,$W$5),BQ5794*1000000-MIN(BR5794,999)*1000+BS5794-5781/100000,-1000000000-5781)</f>
        <v/>
      </c>
    </row>
    <row r="5795">
      <c r="BN5795">
        <f>IF(5782&lt;$U$9,INT(5782/($U$7*$U$8))+1,1)</f>
        <v/>
      </c>
      <c r="BO5795">
        <f>IF(5782&lt;$U$9,MOD(INT(5782/$U$8),$U$7)+1,1)</f>
        <v/>
      </c>
      <c r="BP5795">
        <f>IF(5782&lt;$U$9,MOD(5782,$U$8)+1,1)</f>
        <v/>
      </c>
      <c r="BQ5795">
        <f>IF(5782&lt;$U$9,SUMPRODUCT(($D$10:$L$10&lt;&gt;"")*(($D$9:$L$9+INT(($S$12:$AA$12+INDEX($AJ$13:$AR$162,BN5795,0)+INDEX($AT$13:$BB$162,BO5795,0)+INDEX($BD$13:$BL$162,BP5795,0))/100))&gt;=$D$10:$L$10)),0)</f>
        <v/>
      </c>
      <c r="BR5795">
        <f>IF(5782&lt;$U$9,SUMPRODUCT(($D$10:$L$10&lt;&gt;"")*(($D$10:$L$10-($D$9:$L$9+INT(($S$12:$AA$12+INDEX($AJ$13:$AR$162,BN5795,0)+INDEX($AT$13:$BB$162,BO5795,0)+INDEX($BD$13:$BL$162,BP5795,0))/100)))&gt;0)*($D$10:$L$10-($D$9:$L$9+INT(($S$12:$AA$12+INDEX($AJ$13:$AR$162,BN5795,0)+INDEX($AT$13:$BB$162,BO5795,0)+INDEX($BD$13:$BL$162,BP5795,0))/100)))),0)</f>
        <v/>
      </c>
      <c r="BS5795">
        <f>IF(5782&lt;$U$9,SUMPRODUCT(($D$9:$L$9+INT(($S$12:$AA$12+INDEX($AJ$13:$AR$162,BN5795,0)+INDEX($AT$13:$BB$162,BO5795,0)+INDEX($BD$13:$BL$162,BP5795,0))/100))),0)</f>
        <v/>
      </c>
      <c r="BT5795">
        <f>IF(AND(5782&lt;$U$9,$W$5),BQ5795*1000000-MIN(BR5795,999)*1000+BS5795-5782/100000,-1000000000-5782)</f>
        <v/>
      </c>
    </row>
    <row r="5796">
      <c r="BN5796">
        <f>IF(5783&lt;$U$9,INT(5783/($U$7*$U$8))+1,1)</f>
        <v/>
      </c>
      <c r="BO5796">
        <f>IF(5783&lt;$U$9,MOD(INT(5783/$U$8),$U$7)+1,1)</f>
        <v/>
      </c>
      <c r="BP5796">
        <f>IF(5783&lt;$U$9,MOD(5783,$U$8)+1,1)</f>
        <v/>
      </c>
      <c r="BQ5796">
        <f>IF(5783&lt;$U$9,SUMPRODUCT(($D$10:$L$10&lt;&gt;"")*(($D$9:$L$9+INT(($S$12:$AA$12+INDEX($AJ$13:$AR$162,BN5796,0)+INDEX($AT$13:$BB$162,BO5796,0)+INDEX($BD$13:$BL$162,BP5796,0))/100))&gt;=$D$10:$L$10)),0)</f>
        <v/>
      </c>
      <c r="BR5796">
        <f>IF(5783&lt;$U$9,SUMPRODUCT(($D$10:$L$10&lt;&gt;"")*(($D$10:$L$10-($D$9:$L$9+INT(($S$12:$AA$12+INDEX($AJ$13:$AR$162,BN5796,0)+INDEX($AT$13:$BB$162,BO5796,0)+INDEX($BD$13:$BL$162,BP5796,0))/100)))&gt;0)*($D$10:$L$10-($D$9:$L$9+INT(($S$12:$AA$12+INDEX($AJ$13:$AR$162,BN5796,0)+INDEX($AT$13:$BB$162,BO5796,0)+INDEX($BD$13:$BL$162,BP5796,0))/100)))),0)</f>
        <v/>
      </c>
      <c r="BS5796">
        <f>IF(5783&lt;$U$9,SUMPRODUCT(($D$9:$L$9+INT(($S$12:$AA$12+INDEX($AJ$13:$AR$162,BN5796,0)+INDEX($AT$13:$BB$162,BO5796,0)+INDEX($BD$13:$BL$162,BP5796,0))/100))),0)</f>
        <v/>
      </c>
      <c r="BT5796">
        <f>IF(AND(5783&lt;$U$9,$W$5),BQ5796*1000000-MIN(BR5796,999)*1000+BS5796-5783/100000,-1000000000-5783)</f>
        <v/>
      </c>
    </row>
    <row r="5797">
      <c r="BN5797">
        <f>IF(5784&lt;$U$9,INT(5784/($U$7*$U$8))+1,1)</f>
        <v/>
      </c>
      <c r="BO5797">
        <f>IF(5784&lt;$U$9,MOD(INT(5784/$U$8),$U$7)+1,1)</f>
        <v/>
      </c>
      <c r="BP5797">
        <f>IF(5784&lt;$U$9,MOD(5784,$U$8)+1,1)</f>
        <v/>
      </c>
      <c r="BQ5797">
        <f>IF(5784&lt;$U$9,SUMPRODUCT(($D$10:$L$10&lt;&gt;"")*(($D$9:$L$9+INT(($S$12:$AA$12+INDEX($AJ$13:$AR$162,BN5797,0)+INDEX($AT$13:$BB$162,BO5797,0)+INDEX($BD$13:$BL$162,BP5797,0))/100))&gt;=$D$10:$L$10)),0)</f>
        <v/>
      </c>
      <c r="BR5797">
        <f>IF(5784&lt;$U$9,SUMPRODUCT(($D$10:$L$10&lt;&gt;"")*(($D$10:$L$10-($D$9:$L$9+INT(($S$12:$AA$12+INDEX($AJ$13:$AR$162,BN5797,0)+INDEX($AT$13:$BB$162,BO5797,0)+INDEX($BD$13:$BL$162,BP5797,0))/100)))&gt;0)*($D$10:$L$10-($D$9:$L$9+INT(($S$12:$AA$12+INDEX($AJ$13:$AR$162,BN5797,0)+INDEX($AT$13:$BB$162,BO5797,0)+INDEX($BD$13:$BL$162,BP5797,0))/100)))),0)</f>
        <v/>
      </c>
      <c r="BS5797">
        <f>IF(5784&lt;$U$9,SUMPRODUCT(($D$9:$L$9+INT(($S$12:$AA$12+INDEX($AJ$13:$AR$162,BN5797,0)+INDEX($AT$13:$BB$162,BO5797,0)+INDEX($BD$13:$BL$162,BP5797,0))/100))),0)</f>
        <v/>
      </c>
      <c r="BT5797">
        <f>IF(AND(5784&lt;$U$9,$W$5),BQ5797*1000000-MIN(BR5797,999)*1000+BS5797-5784/100000,-1000000000-5784)</f>
        <v/>
      </c>
    </row>
    <row r="5798">
      <c r="BN5798">
        <f>IF(5785&lt;$U$9,INT(5785/($U$7*$U$8))+1,1)</f>
        <v/>
      </c>
      <c r="BO5798">
        <f>IF(5785&lt;$U$9,MOD(INT(5785/$U$8),$U$7)+1,1)</f>
        <v/>
      </c>
      <c r="BP5798">
        <f>IF(5785&lt;$U$9,MOD(5785,$U$8)+1,1)</f>
        <v/>
      </c>
      <c r="BQ5798">
        <f>IF(5785&lt;$U$9,SUMPRODUCT(($D$10:$L$10&lt;&gt;"")*(($D$9:$L$9+INT(($S$12:$AA$12+INDEX($AJ$13:$AR$162,BN5798,0)+INDEX($AT$13:$BB$162,BO5798,0)+INDEX($BD$13:$BL$162,BP5798,0))/100))&gt;=$D$10:$L$10)),0)</f>
        <v/>
      </c>
      <c r="BR5798">
        <f>IF(5785&lt;$U$9,SUMPRODUCT(($D$10:$L$10&lt;&gt;"")*(($D$10:$L$10-($D$9:$L$9+INT(($S$12:$AA$12+INDEX($AJ$13:$AR$162,BN5798,0)+INDEX($AT$13:$BB$162,BO5798,0)+INDEX($BD$13:$BL$162,BP5798,0))/100)))&gt;0)*($D$10:$L$10-($D$9:$L$9+INT(($S$12:$AA$12+INDEX($AJ$13:$AR$162,BN5798,0)+INDEX($AT$13:$BB$162,BO5798,0)+INDEX($BD$13:$BL$162,BP5798,0))/100)))),0)</f>
        <v/>
      </c>
      <c r="BS5798">
        <f>IF(5785&lt;$U$9,SUMPRODUCT(($D$9:$L$9+INT(($S$12:$AA$12+INDEX($AJ$13:$AR$162,BN5798,0)+INDEX($AT$13:$BB$162,BO5798,0)+INDEX($BD$13:$BL$162,BP5798,0))/100))),0)</f>
        <v/>
      </c>
      <c r="BT5798">
        <f>IF(AND(5785&lt;$U$9,$W$5),BQ5798*1000000-MIN(BR5798,999)*1000+BS5798-5785/100000,-1000000000-5785)</f>
        <v/>
      </c>
    </row>
    <row r="5799">
      <c r="BN5799">
        <f>IF(5786&lt;$U$9,INT(5786/($U$7*$U$8))+1,1)</f>
        <v/>
      </c>
      <c r="BO5799">
        <f>IF(5786&lt;$U$9,MOD(INT(5786/$U$8),$U$7)+1,1)</f>
        <v/>
      </c>
      <c r="BP5799">
        <f>IF(5786&lt;$U$9,MOD(5786,$U$8)+1,1)</f>
        <v/>
      </c>
      <c r="BQ5799">
        <f>IF(5786&lt;$U$9,SUMPRODUCT(($D$10:$L$10&lt;&gt;"")*(($D$9:$L$9+INT(($S$12:$AA$12+INDEX($AJ$13:$AR$162,BN5799,0)+INDEX($AT$13:$BB$162,BO5799,0)+INDEX($BD$13:$BL$162,BP5799,0))/100))&gt;=$D$10:$L$10)),0)</f>
        <v/>
      </c>
      <c r="BR5799">
        <f>IF(5786&lt;$U$9,SUMPRODUCT(($D$10:$L$10&lt;&gt;"")*(($D$10:$L$10-($D$9:$L$9+INT(($S$12:$AA$12+INDEX($AJ$13:$AR$162,BN5799,0)+INDEX($AT$13:$BB$162,BO5799,0)+INDEX($BD$13:$BL$162,BP5799,0))/100)))&gt;0)*($D$10:$L$10-($D$9:$L$9+INT(($S$12:$AA$12+INDEX($AJ$13:$AR$162,BN5799,0)+INDEX($AT$13:$BB$162,BO5799,0)+INDEX($BD$13:$BL$162,BP5799,0))/100)))),0)</f>
        <v/>
      </c>
      <c r="BS5799">
        <f>IF(5786&lt;$U$9,SUMPRODUCT(($D$9:$L$9+INT(($S$12:$AA$12+INDEX($AJ$13:$AR$162,BN5799,0)+INDEX($AT$13:$BB$162,BO5799,0)+INDEX($BD$13:$BL$162,BP5799,0))/100))),0)</f>
        <v/>
      </c>
      <c r="BT5799">
        <f>IF(AND(5786&lt;$U$9,$W$5),BQ5799*1000000-MIN(BR5799,999)*1000+BS5799-5786/100000,-1000000000-5786)</f>
        <v/>
      </c>
    </row>
    <row r="5800">
      <c r="BN5800">
        <f>IF(5787&lt;$U$9,INT(5787/($U$7*$U$8))+1,1)</f>
        <v/>
      </c>
      <c r="BO5800">
        <f>IF(5787&lt;$U$9,MOD(INT(5787/$U$8),$U$7)+1,1)</f>
        <v/>
      </c>
      <c r="BP5800">
        <f>IF(5787&lt;$U$9,MOD(5787,$U$8)+1,1)</f>
        <v/>
      </c>
      <c r="BQ5800">
        <f>IF(5787&lt;$U$9,SUMPRODUCT(($D$10:$L$10&lt;&gt;"")*(($D$9:$L$9+INT(($S$12:$AA$12+INDEX($AJ$13:$AR$162,BN5800,0)+INDEX($AT$13:$BB$162,BO5800,0)+INDEX($BD$13:$BL$162,BP5800,0))/100))&gt;=$D$10:$L$10)),0)</f>
        <v/>
      </c>
      <c r="BR5800">
        <f>IF(5787&lt;$U$9,SUMPRODUCT(($D$10:$L$10&lt;&gt;"")*(($D$10:$L$10-($D$9:$L$9+INT(($S$12:$AA$12+INDEX($AJ$13:$AR$162,BN5800,0)+INDEX($AT$13:$BB$162,BO5800,0)+INDEX($BD$13:$BL$162,BP5800,0))/100)))&gt;0)*($D$10:$L$10-($D$9:$L$9+INT(($S$12:$AA$12+INDEX($AJ$13:$AR$162,BN5800,0)+INDEX($AT$13:$BB$162,BO5800,0)+INDEX($BD$13:$BL$162,BP5800,0))/100)))),0)</f>
        <v/>
      </c>
      <c r="BS5800">
        <f>IF(5787&lt;$U$9,SUMPRODUCT(($D$9:$L$9+INT(($S$12:$AA$12+INDEX($AJ$13:$AR$162,BN5800,0)+INDEX($AT$13:$BB$162,BO5800,0)+INDEX($BD$13:$BL$162,BP5800,0))/100))),0)</f>
        <v/>
      </c>
      <c r="BT5800">
        <f>IF(AND(5787&lt;$U$9,$W$5),BQ5800*1000000-MIN(BR5800,999)*1000+BS5800-5787/100000,-1000000000-5787)</f>
        <v/>
      </c>
    </row>
    <row r="5801">
      <c r="BN5801">
        <f>IF(5788&lt;$U$9,INT(5788/($U$7*$U$8))+1,1)</f>
        <v/>
      </c>
      <c r="BO5801">
        <f>IF(5788&lt;$U$9,MOD(INT(5788/$U$8),$U$7)+1,1)</f>
        <v/>
      </c>
      <c r="BP5801">
        <f>IF(5788&lt;$U$9,MOD(5788,$U$8)+1,1)</f>
        <v/>
      </c>
      <c r="BQ5801">
        <f>IF(5788&lt;$U$9,SUMPRODUCT(($D$10:$L$10&lt;&gt;"")*(($D$9:$L$9+INT(($S$12:$AA$12+INDEX($AJ$13:$AR$162,BN5801,0)+INDEX($AT$13:$BB$162,BO5801,0)+INDEX($BD$13:$BL$162,BP5801,0))/100))&gt;=$D$10:$L$10)),0)</f>
        <v/>
      </c>
      <c r="BR5801">
        <f>IF(5788&lt;$U$9,SUMPRODUCT(($D$10:$L$10&lt;&gt;"")*(($D$10:$L$10-($D$9:$L$9+INT(($S$12:$AA$12+INDEX($AJ$13:$AR$162,BN5801,0)+INDEX($AT$13:$BB$162,BO5801,0)+INDEX($BD$13:$BL$162,BP5801,0))/100)))&gt;0)*($D$10:$L$10-($D$9:$L$9+INT(($S$12:$AA$12+INDEX($AJ$13:$AR$162,BN5801,0)+INDEX($AT$13:$BB$162,BO5801,0)+INDEX($BD$13:$BL$162,BP5801,0))/100)))),0)</f>
        <v/>
      </c>
      <c r="BS5801">
        <f>IF(5788&lt;$U$9,SUMPRODUCT(($D$9:$L$9+INT(($S$12:$AA$12+INDEX($AJ$13:$AR$162,BN5801,0)+INDEX($AT$13:$BB$162,BO5801,0)+INDEX($BD$13:$BL$162,BP5801,0))/100))),0)</f>
        <v/>
      </c>
      <c r="BT5801">
        <f>IF(AND(5788&lt;$U$9,$W$5),BQ5801*1000000-MIN(BR5801,999)*1000+BS5801-5788/100000,-1000000000-5788)</f>
        <v/>
      </c>
    </row>
    <row r="5802">
      <c r="BN5802">
        <f>IF(5789&lt;$U$9,INT(5789/($U$7*$U$8))+1,1)</f>
        <v/>
      </c>
      <c r="BO5802">
        <f>IF(5789&lt;$U$9,MOD(INT(5789/$U$8),$U$7)+1,1)</f>
        <v/>
      </c>
      <c r="BP5802">
        <f>IF(5789&lt;$U$9,MOD(5789,$U$8)+1,1)</f>
        <v/>
      </c>
      <c r="BQ5802">
        <f>IF(5789&lt;$U$9,SUMPRODUCT(($D$10:$L$10&lt;&gt;"")*(($D$9:$L$9+INT(($S$12:$AA$12+INDEX($AJ$13:$AR$162,BN5802,0)+INDEX($AT$13:$BB$162,BO5802,0)+INDEX($BD$13:$BL$162,BP5802,0))/100))&gt;=$D$10:$L$10)),0)</f>
        <v/>
      </c>
      <c r="BR5802">
        <f>IF(5789&lt;$U$9,SUMPRODUCT(($D$10:$L$10&lt;&gt;"")*(($D$10:$L$10-($D$9:$L$9+INT(($S$12:$AA$12+INDEX($AJ$13:$AR$162,BN5802,0)+INDEX($AT$13:$BB$162,BO5802,0)+INDEX($BD$13:$BL$162,BP5802,0))/100)))&gt;0)*($D$10:$L$10-($D$9:$L$9+INT(($S$12:$AA$12+INDEX($AJ$13:$AR$162,BN5802,0)+INDEX($AT$13:$BB$162,BO5802,0)+INDEX($BD$13:$BL$162,BP5802,0))/100)))),0)</f>
        <v/>
      </c>
      <c r="BS5802">
        <f>IF(5789&lt;$U$9,SUMPRODUCT(($D$9:$L$9+INT(($S$12:$AA$12+INDEX($AJ$13:$AR$162,BN5802,0)+INDEX($AT$13:$BB$162,BO5802,0)+INDEX($BD$13:$BL$162,BP5802,0))/100))),0)</f>
        <v/>
      </c>
      <c r="BT5802">
        <f>IF(AND(5789&lt;$U$9,$W$5),BQ5802*1000000-MIN(BR5802,999)*1000+BS5802-5789/100000,-1000000000-5789)</f>
        <v/>
      </c>
    </row>
    <row r="5803">
      <c r="BN5803">
        <f>IF(5790&lt;$U$9,INT(5790/($U$7*$U$8))+1,1)</f>
        <v/>
      </c>
      <c r="BO5803">
        <f>IF(5790&lt;$U$9,MOD(INT(5790/$U$8),$U$7)+1,1)</f>
        <v/>
      </c>
      <c r="BP5803">
        <f>IF(5790&lt;$U$9,MOD(5790,$U$8)+1,1)</f>
        <v/>
      </c>
      <c r="BQ5803">
        <f>IF(5790&lt;$U$9,SUMPRODUCT(($D$10:$L$10&lt;&gt;"")*(($D$9:$L$9+INT(($S$12:$AA$12+INDEX($AJ$13:$AR$162,BN5803,0)+INDEX($AT$13:$BB$162,BO5803,0)+INDEX($BD$13:$BL$162,BP5803,0))/100))&gt;=$D$10:$L$10)),0)</f>
        <v/>
      </c>
      <c r="BR5803">
        <f>IF(5790&lt;$U$9,SUMPRODUCT(($D$10:$L$10&lt;&gt;"")*(($D$10:$L$10-($D$9:$L$9+INT(($S$12:$AA$12+INDEX($AJ$13:$AR$162,BN5803,0)+INDEX($AT$13:$BB$162,BO5803,0)+INDEX($BD$13:$BL$162,BP5803,0))/100)))&gt;0)*($D$10:$L$10-($D$9:$L$9+INT(($S$12:$AA$12+INDEX($AJ$13:$AR$162,BN5803,0)+INDEX($AT$13:$BB$162,BO5803,0)+INDEX($BD$13:$BL$162,BP5803,0))/100)))),0)</f>
        <v/>
      </c>
      <c r="BS5803">
        <f>IF(5790&lt;$U$9,SUMPRODUCT(($D$9:$L$9+INT(($S$12:$AA$12+INDEX($AJ$13:$AR$162,BN5803,0)+INDEX($AT$13:$BB$162,BO5803,0)+INDEX($BD$13:$BL$162,BP5803,0))/100))),0)</f>
        <v/>
      </c>
      <c r="BT5803">
        <f>IF(AND(5790&lt;$U$9,$W$5),BQ5803*1000000-MIN(BR5803,999)*1000+BS5803-5790/100000,-1000000000-5790)</f>
        <v/>
      </c>
    </row>
    <row r="5804">
      <c r="BN5804">
        <f>IF(5791&lt;$U$9,INT(5791/($U$7*$U$8))+1,1)</f>
        <v/>
      </c>
      <c r="BO5804">
        <f>IF(5791&lt;$U$9,MOD(INT(5791/$U$8),$U$7)+1,1)</f>
        <v/>
      </c>
      <c r="BP5804">
        <f>IF(5791&lt;$U$9,MOD(5791,$U$8)+1,1)</f>
        <v/>
      </c>
      <c r="BQ5804">
        <f>IF(5791&lt;$U$9,SUMPRODUCT(($D$10:$L$10&lt;&gt;"")*(($D$9:$L$9+INT(($S$12:$AA$12+INDEX($AJ$13:$AR$162,BN5804,0)+INDEX($AT$13:$BB$162,BO5804,0)+INDEX($BD$13:$BL$162,BP5804,0))/100))&gt;=$D$10:$L$10)),0)</f>
        <v/>
      </c>
      <c r="BR5804">
        <f>IF(5791&lt;$U$9,SUMPRODUCT(($D$10:$L$10&lt;&gt;"")*(($D$10:$L$10-($D$9:$L$9+INT(($S$12:$AA$12+INDEX($AJ$13:$AR$162,BN5804,0)+INDEX($AT$13:$BB$162,BO5804,0)+INDEX($BD$13:$BL$162,BP5804,0))/100)))&gt;0)*($D$10:$L$10-($D$9:$L$9+INT(($S$12:$AA$12+INDEX($AJ$13:$AR$162,BN5804,0)+INDEX($AT$13:$BB$162,BO5804,0)+INDEX($BD$13:$BL$162,BP5804,0))/100)))),0)</f>
        <v/>
      </c>
      <c r="BS5804">
        <f>IF(5791&lt;$U$9,SUMPRODUCT(($D$9:$L$9+INT(($S$12:$AA$12+INDEX($AJ$13:$AR$162,BN5804,0)+INDEX($AT$13:$BB$162,BO5804,0)+INDEX($BD$13:$BL$162,BP5804,0))/100))),0)</f>
        <v/>
      </c>
      <c r="BT5804">
        <f>IF(AND(5791&lt;$U$9,$W$5),BQ5804*1000000-MIN(BR5804,999)*1000+BS5804-5791/100000,-1000000000-5791)</f>
        <v/>
      </c>
    </row>
    <row r="5805">
      <c r="BN5805">
        <f>IF(5792&lt;$U$9,INT(5792/($U$7*$U$8))+1,1)</f>
        <v/>
      </c>
      <c r="BO5805">
        <f>IF(5792&lt;$U$9,MOD(INT(5792/$U$8),$U$7)+1,1)</f>
        <v/>
      </c>
      <c r="BP5805">
        <f>IF(5792&lt;$U$9,MOD(5792,$U$8)+1,1)</f>
        <v/>
      </c>
      <c r="BQ5805">
        <f>IF(5792&lt;$U$9,SUMPRODUCT(($D$10:$L$10&lt;&gt;"")*(($D$9:$L$9+INT(($S$12:$AA$12+INDEX($AJ$13:$AR$162,BN5805,0)+INDEX($AT$13:$BB$162,BO5805,0)+INDEX($BD$13:$BL$162,BP5805,0))/100))&gt;=$D$10:$L$10)),0)</f>
        <v/>
      </c>
      <c r="BR5805">
        <f>IF(5792&lt;$U$9,SUMPRODUCT(($D$10:$L$10&lt;&gt;"")*(($D$10:$L$10-($D$9:$L$9+INT(($S$12:$AA$12+INDEX($AJ$13:$AR$162,BN5805,0)+INDEX($AT$13:$BB$162,BO5805,0)+INDEX($BD$13:$BL$162,BP5805,0))/100)))&gt;0)*($D$10:$L$10-($D$9:$L$9+INT(($S$12:$AA$12+INDEX($AJ$13:$AR$162,BN5805,0)+INDEX($AT$13:$BB$162,BO5805,0)+INDEX($BD$13:$BL$162,BP5805,0))/100)))),0)</f>
        <v/>
      </c>
      <c r="BS5805">
        <f>IF(5792&lt;$U$9,SUMPRODUCT(($D$9:$L$9+INT(($S$12:$AA$12+INDEX($AJ$13:$AR$162,BN5805,0)+INDEX($AT$13:$BB$162,BO5805,0)+INDEX($BD$13:$BL$162,BP5805,0))/100))),0)</f>
        <v/>
      </c>
      <c r="BT5805">
        <f>IF(AND(5792&lt;$U$9,$W$5),BQ5805*1000000-MIN(BR5805,999)*1000+BS5805-5792/100000,-1000000000-5792)</f>
        <v/>
      </c>
    </row>
    <row r="5806">
      <c r="BN5806">
        <f>IF(5793&lt;$U$9,INT(5793/($U$7*$U$8))+1,1)</f>
        <v/>
      </c>
      <c r="BO5806">
        <f>IF(5793&lt;$U$9,MOD(INT(5793/$U$8),$U$7)+1,1)</f>
        <v/>
      </c>
      <c r="BP5806">
        <f>IF(5793&lt;$U$9,MOD(5793,$U$8)+1,1)</f>
        <v/>
      </c>
      <c r="BQ5806">
        <f>IF(5793&lt;$U$9,SUMPRODUCT(($D$10:$L$10&lt;&gt;"")*(($D$9:$L$9+INT(($S$12:$AA$12+INDEX($AJ$13:$AR$162,BN5806,0)+INDEX($AT$13:$BB$162,BO5806,0)+INDEX($BD$13:$BL$162,BP5806,0))/100))&gt;=$D$10:$L$10)),0)</f>
        <v/>
      </c>
      <c r="BR5806">
        <f>IF(5793&lt;$U$9,SUMPRODUCT(($D$10:$L$10&lt;&gt;"")*(($D$10:$L$10-($D$9:$L$9+INT(($S$12:$AA$12+INDEX($AJ$13:$AR$162,BN5806,0)+INDEX($AT$13:$BB$162,BO5806,0)+INDEX($BD$13:$BL$162,BP5806,0))/100)))&gt;0)*($D$10:$L$10-($D$9:$L$9+INT(($S$12:$AA$12+INDEX($AJ$13:$AR$162,BN5806,0)+INDEX($AT$13:$BB$162,BO5806,0)+INDEX($BD$13:$BL$162,BP5806,0))/100)))),0)</f>
        <v/>
      </c>
      <c r="BS5806">
        <f>IF(5793&lt;$U$9,SUMPRODUCT(($D$9:$L$9+INT(($S$12:$AA$12+INDEX($AJ$13:$AR$162,BN5806,0)+INDEX($AT$13:$BB$162,BO5806,0)+INDEX($BD$13:$BL$162,BP5806,0))/100))),0)</f>
        <v/>
      </c>
      <c r="BT5806">
        <f>IF(AND(5793&lt;$U$9,$W$5),BQ5806*1000000-MIN(BR5806,999)*1000+BS5806-5793/100000,-1000000000-5793)</f>
        <v/>
      </c>
    </row>
    <row r="5807">
      <c r="BN5807">
        <f>IF(5794&lt;$U$9,INT(5794/($U$7*$U$8))+1,1)</f>
        <v/>
      </c>
      <c r="BO5807">
        <f>IF(5794&lt;$U$9,MOD(INT(5794/$U$8),$U$7)+1,1)</f>
        <v/>
      </c>
      <c r="BP5807">
        <f>IF(5794&lt;$U$9,MOD(5794,$U$8)+1,1)</f>
        <v/>
      </c>
      <c r="BQ5807">
        <f>IF(5794&lt;$U$9,SUMPRODUCT(($D$10:$L$10&lt;&gt;"")*(($D$9:$L$9+INT(($S$12:$AA$12+INDEX($AJ$13:$AR$162,BN5807,0)+INDEX($AT$13:$BB$162,BO5807,0)+INDEX($BD$13:$BL$162,BP5807,0))/100))&gt;=$D$10:$L$10)),0)</f>
        <v/>
      </c>
      <c r="BR5807">
        <f>IF(5794&lt;$U$9,SUMPRODUCT(($D$10:$L$10&lt;&gt;"")*(($D$10:$L$10-($D$9:$L$9+INT(($S$12:$AA$12+INDEX($AJ$13:$AR$162,BN5807,0)+INDEX($AT$13:$BB$162,BO5807,0)+INDEX($BD$13:$BL$162,BP5807,0))/100)))&gt;0)*($D$10:$L$10-($D$9:$L$9+INT(($S$12:$AA$12+INDEX($AJ$13:$AR$162,BN5807,0)+INDEX($AT$13:$BB$162,BO5807,0)+INDEX($BD$13:$BL$162,BP5807,0))/100)))),0)</f>
        <v/>
      </c>
      <c r="BS5807">
        <f>IF(5794&lt;$U$9,SUMPRODUCT(($D$9:$L$9+INT(($S$12:$AA$12+INDEX($AJ$13:$AR$162,BN5807,0)+INDEX($AT$13:$BB$162,BO5807,0)+INDEX($BD$13:$BL$162,BP5807,0))/100))),0)</f>
        <v/>
      </c>
      <c r="BT5807">
        <f>IF(AND(5794&lt;$U$9,$W$5),BQ5807*1000000-MIN(BR5807,999)*1000+BS5807-5794/100000,-1000000000-5794)</f>
        <v/>
      </c>
    </row>
    <row r="5808">
      <c r="BN5808">
        <f>IF(5795&lt;$U$9,INT(5795/($U$7*$U$8))+1,1)</f>
        <v/>
      </c>
      <c r="BO5808">
        <f>IF(5795&lt;$U$9,MOD(INT(5795/$U$8),$U$7)+1,1)</f>
        <v/>
      </c>
      <c r="BP5808">
        <f>IF(5795&lt;$U$9,MOD(5795,$U$8)+1,1)</f>
        <v/>
      </c>
      <c r="BQ5808">
        <f>IF(5795&lt;$U$9,SUMPRODUCT(($D$10:$L$10&lt;&gt;"")*(($D$9:$L$9+INT(($S$12:$AA$12+INDEX($AJ$13:$AR$162,BN5808,0)+INDEX($AT$13:$BB$162,BO5808,0)+INDEX($BD$13:$BL$162,BP5808,0))/100))&gt;=$D$10:$L$10)),0)</f>
        <v/>
      </c>
      <c r="BR5808">
        <f>IF(5795&lt;$U$9,SUMPRODUCT(($D$10:$L$10&lt;&gt;"")*(($D$10:$L$10-($D$9:$L$9+INT(($S$12:$AA$12+INDEX($AJ$13:$AR$162,BN5808,0)+INDEX($AT$13:$BB$162,BO5808,0)+INDEX($BD$13:$BL$162,BP5808,0))/100)))&gt;0)*($D$10:$L$10-($D$9:$L$9+INT(($S$12:$AA$12+INDEX($AJ$13:$AR$162,BN5808,0)+INDEX($AT$13:$BB$162,BO5808,0)+INDEX($BD$13:$BL$162,BP5808,0))/100)))),0)</f>
        <v/>
      </c>
      <c r="BS5808">
        <f>IF(5795&lt;$U$9,SUMPRODUCT(($D$9:$L$9+INT(($S$12:$AA$12+INDEX($AJ$13:$AR$162,BN5808,0)+INDEX($AT$13:$BB$162,BO5808,0)+INDEX($BD$13:$BL$162,BP5808,0))/100))),0)</f>
        <v/>
      </c>
      <c r="BT5808">
        <f>IF(AND(5795&lt;$U$9,$W$5),BQ5808*1000000-MIN(BR5808,999)*1000+BS5808-5795/100000,-1000000000-5795)</f>
        <v/>
      </c>
    </row>
    <row r="5809">
      <c r="BN5809">
        <f>IF(5796&lt;$U$9,INT(5796/($U$7*$U$8))+1,1)</f>
        <v/>
      </c>
      <c r="BO5809">
        <f>IF(5796&lt;$U$9,MOD(INT(5796/$U$8),$U$7)+1,1)</f>
        <v/>
      </c>
      <c r="BP5809">
        <f>IF(5796&lt;$U$9,MOD(5796,$U$8)+1,1)</f>
        <v/>
      </c>
      <c r="BQ5809">
        <f>IF(5796&lt;$U$9,SUMPRODUCT(($D$10:$L$10&lt;&gt;"")*(($D$9:$L$9+INT(($S$12:$AA$12+INDEX($AJ$13:$AR$162,BN5809,0)+INDEX($AT$13:$BB$162,BO5809,0)+INDEX($BD$13:$BL$162,BP5809,0))/100))&gt;=$D$10:$L$10)),0)</f>
        <v/>
      </c>
      <c r="BR5809">
        <f>IF(5796&lt;$U$9,SUMPRODUCT(($D$10:$L$10&lt;&gt;"")*(($D$10:$L$10-($D$9:$L$9+INT(($S$12:$AA$12+INDEX($AJ$13:$AR$162,BN5809,0)+INDEX($AT$13:$BB$162,BO5809,0)+INDEX($BD$13:$BL$162,BP5809,0))/100)))&gt;0)*($D$10:$L$10-($D$9:$L$9+INT(($S$12:$AA$12+INDEX($AJ$13:$AR$162,BN5809,0)+INDEX($AT$13:$BB$162,BO5809,0)+INDEX($BD$13:$BL$162,BP5809,0))/100)))),0)</f>
        <v/>
      </c>
      <c r="BS5809">
        <f>IF(5796&lt;$U$9,SUMPRODUCT(($D$9:$L$9+INT(($S$12:$AA$12+INDEX($AJ$13:$AR$162,BN5809,0)+INDEX($AT$13:$BB$162,BO5809,0)+INDEX($BD$13:$BL$162,BP5809,0))/100))),0)</f>
        <v/>
      </c>
      <c r="BT5809">
        <f>IF(AND(5796&lt;$U$9,$W$5),BQ5809*1000000-MIN(BR5809,999)*1000+BS5809-5796/100000,-1000000000-5796)</f>
        <v/>
      </c>
    </row>
    <row r="5810">
      <c r="BN5810">
        <f>IF(5797&lt;$U$9,INT(5797/($U$7*$U$8))+1,1)</f>
        <v/>
      </c>
      <c r="BO5810">
        <f>IF(5797&lt;$U$9,MOD(INT(5797/$U$8),$U$7)+1,1)</f>
        <v/>
      </c>
      <c r="BP5810">
        <f>IF(5797&lt;$U$9,MOD(5797,$U$8)+1,1)</f>
        <v/>
      </c>
      <c r="BQ5810">
        <f>IF(5797&lt;$U$9,SUMPRODUCT(($D$10:$L$10&lt;&gt;"")*(($D$9:$L$9+INT(($S$12:$AA$12+INDEX($AJ$13:$AR$162,BN5810,0)+INDEX($AT$13:$BB$162,BO5810,0)+INDEX($BD$13:$BL$162,BP5810,0))/100))&gt;=$D$10:$L$10)),0)</f>
        <v/>
      </c>
      <c r="BR5810">
        <f>IF(5797&lt;$U$9,SUMPRODUCT(($D$10:$L$10&lt;&gt;"")*(($D$10:$L$10-($D$9:$L$9+INT(($S$12:$AA$12+INDEX($AJ$13:$AR$162,BN5810,0)+INDEX($AT$13:$BB$162,BO5810,0)+INDEX($BD$13:$BL$162,BP5810,0))/100)))&gt;0)*($D$10:$L$10-($D$9:$L$9+INT(($S$12:$AA$12+INDEX($AJ$13:$AR$162,BN5810,0)+INDEX($AT$13:$BB$162,BO5810,0)+INDEX($BD$13:$BL$162,BP5810,0))/100)))),0)</f>
        <v/>
      </c>
      <c r="BS5810">
        <f>IF(5797&lt;$U$9,SUMPRODUCT(($D$9:$L$9+INT(($S$12:$AA$12+INDEX($AJ$13:$AR$162,BN5810,0)+INDEX($AT$13:$BB$162,BO5810,0)+INDEX($BD$13:$BL$162,BP5810,0))/100))),0)</f>
        <v/>
      </c>
      <c r="BT5810">
        <f>IF(AND(5797&lt;$U$9,$W$5),BQ5810*1000000-MIN(BR5810,999)*1000+BS5810-5797/100000,-1000000000-5797)</f>
        <v/>
      </c>
    </row>
    <row r="5811">
      <c r="BN5811">
        <f>IF(5798&lt;$U$9,INT(5798/($U$7*$U$8))+1,1)</f>
        <v/>
      </c>
      <c r="BO5811">
        <f>IF(5798&lt;$U$9,MOD(INT(5798/$U$8),$U$7)+1,1)</f>
        <v/>
      </c>
      <c r="BP5811">
        <f>IF(5798&lt;$U$9,MOD(5798,$U$8)+1,1)</f>
        <v/>
      </c>
      <c r="BQ5811">
        <f>IF(5798&lt;$U$9,SUMPRODUCT(($D$10:$L$10&lt;&gt;"")*(($D$9:$L$9+INT(($S$12:$AA$12+INDEX($AJ$13:$AR$162,BN5811,0)+INDEX($AT$13:$BB$162,BO5811,0)+INDEX($BD$13:$BL$162,BP5811,0))/100))&gt;=$D$10:$L$10)),0)</f>
        <v/>
      </c>
      <c r="BR5811">
        <f>IF(5798&lt;$U$9,SUMPRODUCT(($D$10:$L$10&lt;&gt;"")*(($D$10:$L$10-($D$9:$L$9+INT(($S$12:$AA$12+INDEX($AJ$13:$AR$162,BN5811,0)+INDEX($AT$13:$BB$162,BO5811,0)+INDEX($BD$13:$BL$162,BP5811,0))/100)))&gt;0)*($D$10:$L$10-($D$9:$L$9+INT(($S$12:$AA$12+INDEX($AJ$13:$AR$162,BN5811,0)+INDEX($AT$13:$BB$162,BO5811,0)+INDEX($BD$13:$BL$162,BP5811,0))/100)))),0)</f>
        <v/>
      </c>
      <c r="BS5811">
        <f>IF(5798&lt;$U$9,SUMPRODUCT(($D$9:$L$9+INT(($S$12:$AA$12+INDEX($AJ$13:$AR$162,BN5811,0)+INDEX($AT$13:$BB$162,BO5811,0)+INDEX($BD$13:$BL$162,BP5811,0))/100))),0)</f>
        <v/>
      </c>
      <c r="BT5811">
        <f>IF(AND(5798&lt;$U$9,$W$5),BQ5811*1000000-MIN(BR5811,999)*1000+BS5811-5798/100000,-1000000000-5798)</f>
        <v/>
      </c>
    </row>
    <row r="5812">
      <c r="BN5812">
        <f>IF(5799&lt;$U$9,INT(5799/($U$7*$U$8))+1,1)</f>
        <v/>
      </c>
      <c r="BO5812">
        <f>IF(5799&lt;$U$9,MOD(INT(5799/$U$8),$U$7)+1,1)</f>
        <v/>
      </c>
      <c r="BP5812">
        <f>IF(5799&lt;$U$9,MOD(5799,$U$8)+1,1)</f>
        <v/>
      </c>
      <c r="BQ5812">
        <f>IF(5799&lt;$U$9,SUMPRODUCT(($D$10:$L$10&lt;&gt;"")*(($D$9:$L$9+INT(($S$12:$AA$12+INDEX($AJ$13:$AR$162,BN5812,0)+INDEX($AT$13:$BB$162,BO5812,0)+INDEX($BD$13:$BL$162,BP5812,0))/100))&gt;=$D$10:$L$10)),0)</f>
        <v/>
      </c>
      <c r="BR5812">
        <f>IF(5799&lt;$U$9,SUMPRODUCT(($D$10:$L$10&lt;&gt;"")*(($D$10:$L$10-($D$9:$L$9+INT(($S$12:$AA$12+INDEX($AJ$13:$AR$162,BN5812,0)+INDEX($AT$13:$BB$162,BO5812,0)+INDEX($BD$13:$BL$162,BP5812,0))/100)))&gt;0)*($D$10:$L$10-($D$9:$L$9+INT(($S$12:$AA$12+INDEX($AJ$13:$AR$162,BN5812,0)+INDEX($AT$13:$BB$162,BO5812,0)+INDEX($BD$13:$BL$162,BP5812,0))/100)))),0)</f>
        <v/>
      </c>
      <c r="BS5812">
        <f>IF(5799&lt;$U$9,SUMPRODUCT(($D$9:$L$9+INT(($S$12:$AA$12+INDEX($AJ$13:$AR$162,BN5812,0)+INDEX($AT$13:$BB$162,BO5812,0)+INDEX($BD$13:$BL$162,BP5812,0))/100))),0)</f>
        <v/>
      </c>
      <c r="BT5812">
        <f>IF(AND(5799&lt;$U$9,$W$5),BQ5812*1000000-MIN(BR5812,999)*1000+BS5812-5799/100000,-1000000000-5799)</f>
        <v/>
      </c>
    </row>
    <row r="5813">
      <c r="BN5813">
        <f>IF(5800&lt;$U$9,INT(5800/($U$7*$U$8))+1,1)</f>
        <v/>
      </c>
      <c r="BO5813">
        <f>IF(5800&lt;$U$9,MOD(INT(5800/$U$8),$U$7)+1,1)</f>
        <v/>
      </c>
      <c r="BP5813">
        <f>IF(5800&lt;$U$9,MOD(5800,$U$8)+1,1)</f>
        <v/>
      </c>
      <c r="BQ5813">
        <f>IF(5800&lt;$U$9,SUMPRODUCT(($D$10:$L$10&lt;&gt;"")*(($D$9:$L$9+INT(($S$12:$AA$12+INDEX($AJ$13:$AR$162,BN5813,0)+INDEX($AT$13:$BB$162,BO5813,0)+INDEX($BD$13:$BL$162,BP5813,0))/100))&gt;=$D$10:$L$10)),0)</f>
        <v/>
      </c>
      <c r="BR5813">
        <f>IF(5800&lt;$U$9,SUMPRODUCT(($D$10:$L$10&lt;&gt;"")*(($D$10:$L$10-($D$9:$L$9+INT(($S$12:$AA$12+INDEX($AJ$13:$AR$162,BN5813,0)+INDEX($AT$13:$BB$162,BO5813,0)+INDEX($BD$13:$BL$162,BP5813,0))/100)))&gt;0)*($D$10:$L$10-($D$9:$L$9+INT(($S$12:$AA$12+INDEX($AJ$13:$AR$162,BN5813,0)+INDEX($AT$13:$BB$162,BO5813,0)+INDEX($BD$13:$BL$162,BP5813,0))/100)))),0)</f>
        <v/>
      </c>
      <c r="BS5813">
        <f>IF(5800&lt;$U$9,SUMPRODUCT(($D$9:$L$9+INT(($S$12:$AA$12+INDEX($AJ$13:$AR$162,BN5813,0)+INDEX($AT$13:$BB$162,BO5813,0)+INDEX($BD$13:$BL$162,BP5813,0))/100))),0)</f>
        <v/>
      </c>
      <c r="BT5813">
        <f>IF(AND(5800&lt;$U$9,$W$5),BQ5813*1000000-MIN(BR5813,999)*1000+BS5813-5800/100000,-1000000000-5800)</f>
        <v/>
      </c>
    </row>
    <row r="5814">
      <c r="BN5814">
        <f>IF(5801&lt;$U$9,INT(5801/($U$7*$U$8))+1,1)</f>
        <v/>
      </c>
      <c r="BO5814">
        <f>IF(5801&lt;$U$9,MOD(INT(5801/$U$8),$U$7)+1,1)</f>
        <v/>
      </c>
      <c r="BP5814">
        <f>IF(5801&lt;$U$9,MOD(5801,$U$8)+1,1)</f>
        <v/>
      </c>
      <c r="BQ5814">
        <f>IF(5801&lt;$U$9,SUMPRODUCT(($D$10:$L$10&lt;&gt;"")*(($D$9:$L$9+INT(($S$12:$AA$12+INDEX($AJ$13:$AR$162,BN5814,0)+INDEX($AT$13:$BB$162,BO5814,0)+INDEX($BD$13:$BL$162,BP5814,0))/100))&gt;=$D$10:$L$10)),0)</f>
        <v/>
      </c>
      <c r="BR5814">
        <f>IF(5801&lt;$U$9,SUMPRODUCT(($D$10:$L$10&lt;&gt;"")*(($D$10:$L$10-($D$9:$L$9+INT(($S$12:$AA$12+INDEX($AJ$13:$AR$162,BN5814,0)+INDEX($AT$13:$BB$162,BO5814,0)+INDEX($BD$13:$BL$162,BP5814,0))/100)))&gt;0)*($D$10:$L$10-($D$9:$L$9+INT(($S$12:$AA$12+INDEX($AJ$13:$AR$162,BN5814,0)+INDEX($AT$13:$BB$162,BO5814,0)+INDEX($BD$13:$BL$162,BP5814,0))/100)))),0)</f>
        <v/>
      </c>
      <c r="BS5814">
        <f>IF(5801&lt;$U$9,SUMPRODUCT(($D$9:$L$9+INT(($S$12:$AA$12+INDEX($AJ$13:$AR$162,BN5814,0)+INDEX($AT$13:$BB$162,BO5814,0)+INDEX($BD$13:$BL$162,BP5814,0))/100))),0)</f>
        <v/>
      </c>
      <c r="BT5814">
        <f>IF(AND(5801&lt;$U$9,$W$5),BQ5814*1000000-MIN(BR5814,999)*1000+BS5814-5801/100000,-1000000000-5801)</f>
        <v/>
      </c>
    </row>
    <row r="5815">
      <c r="BN5815">
        <f>IF(5802&lt;$U$9,INT(5802/($U$7*$U$8))+1,1)</f>
        <v/>
      </c>
      <c r="BO5815">
        <f>IF(5802&lt;$U$9,MOD(INT(5802/$U$8),$U$7)+1,1)</f>
        <v/>
      </c>
      <c r="BP5815">
        <f>IF(5802&lt;$U$9,MOD(5802,$U$8)+1,1)</f>
        <v/>
      </c>
      <c r="BQ5815">
        <f>IF(5802&lt;$U$9,SUMPRODUCT(($D$10:$L$10&lt;&gt;"")*(($D$9:$L$9+INT(($S$12:$AA$12+INDEX($AJ$13:$AR$162,BN5815,0)+INDEX($AT$13:$BB$162,BO5815,0)+INDEX($BD$13:$BL$162,BP5815,0))/100))&gt;=$D$10:$L$10)),0)</f>
        <v/>
      </c>
      <c r="BR5815">
        <f>IF(5802&lt;$U$9,SUMPRODUCT(($D$10:$L$10&lt;&gt;"")*(($D$10:$L$10-($D$9:$L$9+INT(($S$12:$AA$12+INDEX($AJ$13:$AR$162,BN5815,0)+INDEX($AT$13:$BB$162,BO5815,0)+INDEX($BD$13:$BL$162,BP5815,0))/100)))&gt;0)*($D$10:$L$10-($D$9:$L$9+INT(($S$12:$AA$12+INDEX($AJ$13:$AR$162,BN5815,0)+INDEX($AT$13:$BB$162,BO5815,0)+INDEX($BD$13:$BL$162,BP5815,0))/100)))),0)</f>
        <v/>
      </c>
      <c r="BS5815">
        <f>IF(5802&lt;$U$9,SUMPRODUCT(($D$9:$L$9+INT(($S$12:$AA$12+INDEX($AJ$13:$AR$162,BN5815,0)+INDEX($AT$13:$BB$162,BO5815,0)+INDEX($BD$13:$BL$162,BP5815,0))/100))),0)</f>
        <v/>
      </c>
      <c r="BT5815">
        <f>IF(AND(5802&lt;$U$9,$W$5),BQ5815*1000000-MIN(BR5815,999)*1000+BS5815-5802/100000,-1000000000-5802)</f>
        <v/>
      </c>
    </row>
    <row r="5816">
      <c r="BN5816">
        <f>IF(5803&lt;$U$9,INT(5803/($U$7*$U$8))+1,1)</f>
        <v/>
      </c>
      <c r="BO5816">
        <f>IF(5803&lt;$U$9,MOD(INT(5803/$U$8),$U$7)+1,1)</f>
        <v/>
      </c>
      <c r="BP5816">
        <f>IF(5803&lt;$U$9,MOD(5803,$U$8)+1,1)</f>
        <v/>
      </c>
      <c r="BQ5816">
        <f>IF(5803&lt;$U$9,SUMPRODUCT(($D$10:$L$10&lt;&gt;"")*(($D$9:$L$9+INT(($S$12:$AA$12+INDEX($AJ$13:$AR$162,BN5816,0)+INDEX($AT$13:$BB$162,BO5816,0)+INDEX($BD$13:$BL$162,BP5816,0))/100))&gt;=$D$10:$L$10)),0)</f>
        <v/>
      </c>
      <c r="BR5816">
        <f>IF(5803&lt;$U$9,SUMPRODUCT(($D$10:$L$10&lt;&gt;"")*(($D$10:$L$10-($D$9:$L$9+INT(($S$12:$AA$12+INDEX($AJ$13:$AR$162,BN5816,0)+INDEX($AT$13:$BB$162,BO5816,0)+INDEX($BD$13:$BL$162,BP5816,0))/100)))&gt;0)*($D$10:$L$10-($D$9:$L$9+INT(($S$12:$AA$12+INDEX($AJ$13:$AR$162,BN5816,0)+INDEX($AT$13:$BB$162,BO5816,0)+INDEX($BD$13:$BL$162,BP5816,0))/100)))),0)</f>
        <v/>
      </c>
      <c r="BS5816">
        <f>IF(5803&lt;$U$9,SUMPRODUCT(($D$9:$L$9+INT(($S$12:$AA$12+INDEX($AJ$13:$AR$162,BN5816,0)+INDEX($AT$13:$BB$162,BO5816,0)+INDEX($BD$13:$BL$162,BP5816,0))/100))),0)</f>
        <v/>
      </c>
      <c r="BT5816">
        <f>IF(AND(5803&lt;$U$9,$W$5),BQ5816*1000000-MIN(BR5816,999)*1000+BS5816-5803/100000,-1000000000-5803)</f>
        <v/>
      </c>
    </row>
    <row r="5817">
      <c r="BN5817">
        <f>IF(5804&lt;$U$9,INT(5804/($U$7*$U$8))+1,1)</f>
        <v/>
      </c>
      <c r="BO5817">
        <f>IF(5804&lt;$U$9,MOD(INT(5804/$U$8),$U$7)+1,1)</f>
        <v/>
      </c>
      <c r="BP5817">
        <f>IF(5804&lt;$U$9,MOD(5804,$U$8)+1,1)</f>
        <v/>
      </c>
      <c r="BQ5817">
        <f>IF(5804&lt;$U$9,SUMPRODUCT(($D$10:$L$10&lt;&gt;"")*(($D$9:$L$9+INT(($S$12:$AA$12+INDEX($AJ$13:$AR$162,BN5817,0)+INDEX($AT$13:$BB$162,BO5817,0)+INDEX($BD$13:$BL$162,BP5817,0))/100))&gt;=$D$10:$L$10)),0)</f>
        <v/>
      </c>
      <c r="BR5817">
        <f>IF(5804&lt;$U$9,SUMPRODUCT(($D$10:$L$10&lt;&gt;"")*(($D$10:$L$10-($D$9:$L$9+INT(($S$12:$AA$12+INDEX($AJ$13:$AR$162,BN5817,0)+INDEX($AT$13:$BB$162,BO5817,0)+INDEX($BD$13:$BL$162,BP5817,0))/100)))&gt;0)*($D$10:$L$10-($D$9:$L$9+INT(($S$12:$AA$12+INDEX($AJ$13:$AR$162,BN5817,0)+INDEX($AT$13:$BB$162,BO5817,0)+INDEX($BD$13:$BL$162,BP5817,0))/100)))),0)</f>
        <v/>
      </c>
      <c r="BS5817">
        <f>IF(5804&lt;$U$9,SUMPRODUCT(($D$9:$L$9+INT(($S$12:$AA$12+INDEX($AJ$13:$AR$162,BN5817,0)+INDEX($AT$13:$BB$162,BO5817,0)+INDEX($BD$13:$BL$162,BP5817,0))/100))),0)</f>
        <v/>
      </c>
      <c r="BT5817">
        <f>IF(AND(5804&lt;$U$9,$W$5),BQ5817*1000000-MIN(BR5817,999)*1000+BS5817-5804/100000,-1000000000-5804)</f>
        <v/>
      </c>
    </row>
    <row r="5818">
      <c r="BN5818">
        <f>IF(5805&lt;$U$9,INT(5805/($U$7*$U$8))+1,1)</f>
        <v/>
      </c>
      <c r="BO5818">
        <f>IF(5805&lt;$U$9,MOD(INT(5805/$U$8),$U$7)+1,1)</f>
        <v/>
      </c>
      <c r="BP5818">
        <f>IF(5805&lt;$U$9,MOD(5805,$U$8)+1,1)</f>
        <v/>
      </c>
      <c r="BQ5818">
        <f>IF(5805&lt;$U$9,SUMPRODUCT(($D$10:$L$10&lt;&gt;"")*(($D$9:$L$9+INT(($S$12:$AA$12+INDEX($AJ$13:$AR$162,BN5818,0)+INDEX($AT$13:$BB$162,BO5818,0)+INDEX($BD$13:$BL$162,BP5818,0))/100))&gt;=$D$10:$L$10)),0)</f>
        <v/>
      </c>
      <c r="BR5818">
        <f>IF(5805&lt;$U$9,SUMPRODUCT(($D$10:$L$10&lt;&gt;"")*(($D$10:$L$10-($D$9:$L$9+INT(($S$12:$AA$12+INDEX($AJ$13:$AR$162,BN5818,0)+INDEX($AT$13:$BB$162,BO5818,0)+INDEX($BD$13:$BL$162,BP5818,0))/100)))&gt;0)*($D$10:$L$10-($D$9:$L$9+INT(($S$12:$AA$12+INDEX($AJ$13:$AR$162,BN5818,0)+INDEX($AT$13:$BB$162,BO5818,0)+INDEX($BD$13:$BL$162,BP5818,0))/100)))),0)</f>
        <v/>
      </c>
      <c r="BS5818">
        <f>IF(5805&lt;$U$9,SUMPRODUCT(($D$9:$L$9+INT(($S$12:$AA$12+INDEX($AJ$13:$AR$162,BN5818,0)+INDEX($AT$13:$BB$162,BO5818,0)+INDEX($BD$13:$BL$162,BP5818,0))/100))),0)</f>
        <v/>
      </c>
      <c r="BT5818">
        <f>IF(AND(5805&lt;$U$9,$W$5),BQ5818*1000000-MIN(BR5818,999)*1000+BS5818-5805/100000,-1000000000-5805)</f>
        <v/>
      </c>
    </row>
    <row r="5819">
      <c r="BN5819">
        <f>IF(5806&lt;$U$9,INT(5806/($U$7*$U$8))+1,1)</f>
        <v/>
      </c>
      <c r="BO5819">
        <f>IF(5806&lt;$U$9,MOD(INT(5806/$U$8),$U$7)+1,1)</f>
        <v/>
      </c>
      <c r="BP5819">
        <f>IF(5806&lt;$U$9,MOD(5806,$U$8)+1,1)</f>
        <v/>
      </c>
      <c r="BQ5819">
        <f>IF(5806&lt;$U$9,SUMPRODUCT(($D$10:$L$10&lt;&gt;"")*(($D$9:$L$9+INT(($S$12:$AA$12+INDEX($AJ$13:$AR$162,BN5819,0)+INDEX($AT$13:$BB$162,BO5819,0)+INDEX($BD$13:$BL$162,BP5819,0))/100))&gt;=$D$10:$L$10)),0)</f>
        <v/>
      </c>
      <c r="BR5819">
        <f>IF(5806&lt;$U$9,SUMPRODUCT(($D$10:$L$10&lt;&gt;"")*(($D$10:$L$10-($D$9:$L$9+INT(($S$12:$AA$12+INDEX($AJ$13:$AR$162,BN5819,0)+INDEX($AT$13:$BB$162,BO5819,0)+INDEX($BD$13:$BL$162,BP5819,0))/100)))&gt;0)*($D$10:$L$10-($D$9:$L$9+INT(($S$12:$AA$12+INDEX($AJ$13:$AR$162,BN5819,0)+INDEX($AT$13:$BB$162,BO5819,0)+INDEX($BD$13:$BL$162,BP5819,0))/100)))),0)</f>
        <v/>
      </c>
      <c r="BS5819">
        <f>IF(5806&lt;$U$9,SUMPRODUCT(($D$9:$L$9+INT(($S$12:$AA$12+INDEX($AJ$13:$AR$162,BN5819,0)+INDEX($AT$13:$BB$162,BO5819,0)+INDEX($BD$13:$BL$162,BP5819,0))/100))),0)</f>
        <v/>
      </c>
      <c r="BT5819">
        <f>IF(AND(5806&lt;$U$9,$W$5),BQ5819*1000000-MIN(BR5819,999)*1000+BS5819-5806/100000,-1000000000-5806)</f>
        <v/>
      </c>
    </row>
    <row r="5820">
      <c r="BN5820">
        <f>IF(5807&lt;$U$9,INT(5807/($U$7*$U$8))+1,1)</f>
        <v/>
      </c>
      <c r="BO5820">
        <f>IF(5807&lt;$U$9,MOD(INT(5807/$U$8),$U$7)+1,1)</f>
        <v/>
      </c>
      <c r="BP5820">
        <f>IF(5807&lt;$U$9,MOD(5807,$U$8)+1,1)</f>
        <v/>
      </c>
      <c r="BQ5820">
        <f>IF(5807&lt;$U$9,SUMPRODUCT(($D$10:$L$10&lt;&gt;"")*(($D$9:$L$9+INT(($S$12:$AA$12+INDEX($AJ$13:$AR$162,BN5820,0)+INDEX($AT$13:$BB$162,BO5820,0)+INDEX($BD$13:$BL$162,BP5820,0))/100))&gt;=$D$10:$L$10)),0)</f>
        <v/>
      </c>
      <c r="BR5820">
        <f>IF(5807&lt;$U$9,SUMPRODUCT(($D$10:$L$10&lt;&gt;"")*(($D$10:$L$10-($D$9:$L$9+INT(($S$12:$AA$12+INDEX($AJ$13:$AR$162,BN5820,0)+INDEX($AT$13:$BB$162,BO5820,0)+INDEX($BD$13:$BL$162,BP5820,0))/100)))&gt;0)*($D$10:$L$10-($D$9:$L$9+INT(($S$12:$AA$12+INDEX($AJ$13:$AR$162,BN5820,0)+INDEX($AT$13:$BB$162,BO5820,0)+INDEX($BD$13:$BL$162,BP5820,0))/100)))),0)</f>
        <v/>
      </c>
      <c r="BS5820">
        <f>IF(5807&lt;$U$9,SUMPRODUCT(($D$9:$L$9+INT(($S$12:$AA$12+INDEX($AJ$13:$AR$162,BN5820,0)+INDEX($AT$13:$BB$162,BO5820,0)+INDEX($BD$13:$BL$162,BP5820,0))/100))),0)</f>
        <v/>
      </c>
      <c r="BT5820">
        <f>IF(AND(5807&lt;$U$9,$W$5),BQ5820*1000000-MIN(BR5820,999)*1000+BS5820-5807/100000,-1000000000-5807)</f>
        <v/>
      </c>
    </row>
    <row r="5821">
      <c r="BN5821">
        <f>IF(5808&lt;$U$9,INT(5808/($U$7*$U$8))+1,1)</f>
        <v/>
      </c>
      <c r="BO5821">
        <f>IF(5808&lt;$U$9,MOD(INT(5808/$U$8),$U$7)+1,1)</f>
        <v/>
      </c>
      <c r="BP5821">
        <f>IF(5808&lt;$U$9,MOD(5808,$U$8)+1,1)</f>
        <v/>
      </c>
      <c r="BQ5821">
        <f>IF(5808&lt;$U$9,SUMPRODUCT(($D$10:$L$10&lt;&gt;"")*(($D$9:$L$9+INT(($S$12:$AA$12+INDEX($AJ$13:$AR$162,BN5821,0)+INDEX($AT$13:$BB$162,BO5821,0)+INDEX($BD$13:$BL$162,BP5821,0))/100))&gt;=$D$10:$L$10)),0)</f>
        <v/>
      </c>
      <c r="BR5821">
        <f>IF(5808&lt;$U$9,SUMPRODUCT(($D$10:$L$10&lt;&gt;"")*(($D$10:$L$10-($D$9:$L$9+INT(($S$12:$AA$12+INDEX($AJ$13:$AR$162,BN5821,0)+INDEX($AT$13:$BB$162,BO5821,0)+INDEX($BD$13:$BL$162,BP5821,0))/100)))&gt;0)*($D$10:$L$10-($D$9:$L$9+INT(($S$12:$AA$12+INDEX($AJ$13:$AR$162,BN5821,0)+INDEX($AT$13:$BB$162,BO5821,0)+INDEX($BD$13:$BL$162,BP5821,0))/100)))),0)</f>
        <v/>
      </c>
      <c r="BS5821">
        <f>IF(5808&lt;$U$9,SUMPRODUCT(($D$9:$L$9+INT(($S$12:$AA$12+INDEX($AJ$13:$AR$162,BN5821,0)+INDEX($AT$13:$BB$162,BO5821,0)+INDEX($BD$13:$BL$162,BP5821,0))/100))),0)</f>
        <v/>
      </c>
      <c r="BT5821">
        <f>IF(AND(5808&lt;$U$9,$W$5),BQ5821*1000000-MIN(BR5821,999)*1000+BS5821-5808/100000,-1000000000-5808)</f>
        <v/>
      </c>
    </row>
    <row r="5822">
      <c r="BN5822">
        <f>IF(5809&lt;$U$9,INT(5809/($U$7*$U$8))+1,1)</f>
        <v/>
      </c>
      <c r="BO5822">
        <f>IF(5809&lt;$U$9,MOD(INT(5809/$U$8),$U$7)+1,1)</f>
        <v/>
      </c>
      <c r="BP5822">
        <f>IF(5809&lt;$U$9,MOD(5809,$U$8)+1,1)</f>
        <v/>
      </c>
      <c r="BQ5822">
        <f>IF(5809&lt;$U$9,SUMPRODUCT(($D$10:$L$10&lt;&gt;"")*(($D$9:$L$9+INT(($S$12:$AA$12+INDEX($AJ$13:$AR$162,BN5822,0)+INDEX($AT$13:$BB$162,BO5822,0)+INDEX($BD$13:$BL$162,BP5822,0))/100))&gt;=$D$10:$L$10)),0)</f>
        <v/>
      </c>
      <c r="BR5822">
        <f>IF(5809&lt;$U$9,SUMPRODUCT(($D$10:$L$10&lt;&gt;"")*(($D$10:$L$10-($D$9:$L$9+INT(($S$12:$AA$12+INDEX($AJ$13:$AR$162,BN5822,0)+INDEX($AT$13:$BB$162,BO5822,0)+INDEX($BD$13:$BL$162,BP5822,0))/100)))&gt;0)*($D$10:$L$10-($D$9:$L$9+INT(($S$12:$AA$12+INDEX($AJ$13:$AR$162,BN5822,0)+INDEX($AT$13:$BB$162,BO5822,0)+INDEX($BD$13:$BL$162,BP5822,0))/100)))),0)</f>
        <v/>
      </c>
      <c r="BS5822">
        <f>IF(5809&lt;$U$9,SUMPRODUCT(($D$9:$L$9+INT(($S$12:$AA$12+INDEX($AJ$13:$AR$162,BN5822,0)+INDEX($AT$13:$BB$162,BO5822,0)+INDEX($BD$13:$BL$162,BP5822,0))/100))),0)</f>
        <v/>
      </c>
      <c r="BT5822">
        <f>IF(AND(5809&lt;$U$9,$W$5),BQ5822*1000000-MIN(BR5822,999)*1000+BS5822-5809/100000,-1000000000-5809)</f>
        <v/>
      </c>
    </row>
    <row r="5823">
      <c r="BN5823">
        <f>IF(5810&lt;$U$9,INT(5810/($U$7*$U$8))+1,1)</f>
        <v/>
      </c>
      <c r="BO5823">
        <f>IF(5810&lt;$U$9,MOD(INT(5810/$U$8),$U$7)+1,1)</f>
        <v/>
      </c>
      <c r="BP5823">
        <f>IF(5810&lt;$U$9,MOD(5810,$U$8)+1,1)</f>
        <v/>
      </c>
      <c r="BQ5823">
        <f>IF(5810&lt;$U$9,SUMPRODUCT(($D$10:$L$10&lt;&gt;"")*(($D$9:$L$9+INT(($S$12:$AA$12+INDEX($AJ$13:$AR$162,BN5823,0)+INDEX($AT$13:$BB$162,BO5823,0)+INDEX($BD$13:$BL$162,BP5823,0))/100))&gt;=$D$10:$L$10)),0)</f>
        <v/>
      </c>
      <c r="BR5823">
        <f>IF(5810&lt;$U$9,SUMPRODUCT(($D$10:$L$10&lt;&gt;"")*(($D$10:$L$10-($D$9:$L$9+INT(($S$12:$AA$12+INDEX($AJ$13:$AR$162,BN5823,0)+INDEX($AT$13:$BB$162,BO5823,0)+INDEX($BD$13:$BL$162,BP5823,0))/100)))&gt;0)*($D$10:$L$10-($D$9:$L$9+INT(($S$12:$AA$12+INDEX($AJ$13:$AR$162,BN5823,0)+INDEX($AT$13:$BB$162,BO5823,0)+INDEX($BD$13:$BL$162,BP5823,0))/100)))),0)</f>
        <v/>
      </c>
      <c r="BS5823">
        <f>IF(5810&lt;$U$9,SUMPRODUCT(($D$9:$L$9+INT(($S$12:$AA$12+INDEX($AJ$13:$AR$162,BN5823,0)+INDEX($AT$13:$BB$162,BO5823,0)+INDEX($BD$13:$BL$162,BP5823,0))/100))),0)</f>
        <v/>
      </c>
      <c r="BT5823">
        <f>IF(AND(5810&lt;$U$9,$W$5),BQ5823*1000000-MIN(BR5823,999)*1000+BS5823-5810/100000,-1000000000-5810)</f>
        <v/>
      </c>
    </row>
    <row r="5824">
      <c r="BN5824">
        <f>IF(5811&lt;$U$9,INT(5811/($U$7*$U$8))+1,1)</f>
        <v/>
      </c>
      <c r="BO5824">
        <f>IF(5811&lt;$U$9,MOD(INT(5811/$U$8),$U$7)+1,1)</f>
        <v/>
      </c>
      <c r="BP5824">
        <f>IF(5811&lt;$U$9,MOD(5811,$U$8)+1,1)</f>
        <v/>
      </c>
      <c r="BQ5824">
        <f>IF(5811&lt;$U$9,SUMPRODUCT(($D$10:$L$10&lt;&gt;"")*(($D$9:$L$9+INT(($S$12:$AA$12+INDEX($AJ$13:$AR$162,BN5824,0)+INDEX($AT$13:$BB$162,BO5824,0)+INDEX($BD$13:$BL$162,BP5824,0))/100))&gt;=$D$10:$L$10)),0)</f>
        <v/>
      </c>
      <c r="BR5824">
        <f>IF(5811&lt;$U$9,SUMPRODUCT(($D$10:$L$10&lt;&gt;"")*(($D$10:$L$10-($D$9:$L$9+INT(($S$12:$AA$12+INDEX($AJ$13:$AR$162,BN5824,0)+INDEX($AT$13:$BB$162,BO5824,0)+INDEX($BD$13:$BL$162,BP5824,0))/100)))&gt;0)*($D$10:$L$10-($D$9:$L$9+INT(($S$12:$AA$12+INDEX($AJ$13:$AR$162,BN5824,0)+INDEX($AT$13:$BB$162,BO5824,0)+INDEX($BD$13:$BL$162,BP5824,0))/100)))),0)</f>
        <v/>
      </c>
      <c r="BS5824">
        <f>IF(5811&lt;$U$9,SUMPRODUCT(($D$9:$L$9+INT(($S$12:$AA$12+INDEX($AJ$13:$AR$162,BN5824,0)+INDEX($AT$13:$BB$162,BO5824,0)+INDEX($BD$13:$BL$162,BP5824,0))/100))),0)</f>
        <v/>
      </c>
      <c r="BT5824">
        <f>IF(AND(5811&lt;$U$9,$W$5),BQ5824*1000000-MIN(BR5824,999)*1000+BS5824-5811/100000,-1000000000-5811)</f>
        <v/>
      </c>
    </row>
    <row r="5825">
      <c r="BN5825">
        <f>IF(5812&lt;$U$9,INT(5812/($U$7*$U$8))+1,1)</f>
        <v/>
      </c>
      <c r="BO5825">
        <f>IF(5812&lt;$U$9,MOD(INT(5812/$U$8),$U$7)+1,1)</f>
        <v/>
      </c>
      <c r="BP5825">
        <f>IF(5812&lt;$U$9,MOD(5812,$U$8)+1,1)</f>
        <v/>
      </c>
      <c r="BQ5825">
        <f>IF(5812&lt;$U$9,SUMPRODUCT(($D$10:$L$10&lt;&gt;"")*(($D$9:$L$9+INT(($S$12:$AA$12+INDEX($AJ$13:$AR$162,BN5825,0)+INDEX($AT$13:$BB$162,BO5825,0)+INDEX($BD$13:$BL$162,BP5825,0))/100))&gt;=$D$10:$L$10)),0)</f>
        <v/>
      </c>
      <c r="BR5825">
        <f>IF(5812&lt;$U$9,SUMPRODUCT(($D$10:$L$10&lt;&gt;"")*(($D$10:$L$10-($D$9:$L$9+INT(($S$12:$AA$12+INDEX($AJ$13:$AR$162,BN5825,0)+INDEX($AT$13:$BB$162,BO5825,0)+INDEX($BD$13:$BL$162,BP5825,0))/100)))&gt;0)*($D$10:$L$10-($D$9:$L$9+INT(($S$12:$AA$12+INDEX($AJ$13:$AR$162,BN5825,0)+INDEX($AT$13:$BB$162,BO5825,0)+INDEX($BD$13:$BL$162,BP5825,0))/100)))),0)</f>
        <v/>
      </c>
      <c r="BS5825">
        <f>IF(5812&lt;$U$9,SUMPRODUCT(($D$9:$L$9+INT(($S$12:$AA$12+INDEX($AJ$13:$AR$162,BN5825,0)+INDEX($AT$13:$BB$162,BO5825,0)+INDEX($BD$13:$BL$162,BP5825,0))/100))),0)</f>
        <v/>
      </c>
      <c r="BT5825">
        <f>IF(AND(5812&lt;$U$9,$W$5),BQ5825*1000000-MIN(BR5825,999)*1000+BS5825-5812/100000,-1000000000-5812)</f>
        <v/>
      </c>
    </row>
    <row r="5826">
      <c r="BN5826">
        <f>IF(5813&lt;$U$9,INT(5813/($U$7*$U$8))+1,1)</f>
        <v/>
      </c>
      <c r="BO5826">
        <f>IF(5813&lt;$U$9,MOD(INT(5813/$U$8),$U$7)+1,1)</f>
        <v/>
      </c>
      <c r="BP5826">
        <f>IF(5813&lt;$U$9,MOD(5813,$U$8)+1,1)</f>
        <v/>
      </c>
      <c r="BQ5826">
        <f>IF(5813&lt;$U$9,SUMPRODUCT(($D$10:$L$10&lt;&gt;"")*(($D$9:$L$9+INT(($S$12:$AA$12+INDEX($AJ$13:$AR$162,BN5826,0)+INDEX($AT$13:$BB$162,BO5826,0)+INDEX($BD$13:$BL$162,BP5826,0))/100))&gt;=$D$10:$L$10)),0)</f>
        <v/>
      </c>
      <c r="BR5826">
        <f>IF(5813&lt;$U$9,SUMPRODUCT(($D$10:$L$10&lt;&gt;"")*(($D$10:$L$10-($D$9:$L$9+INT(($S$12:$AA$12+INDEX($AJ$13:$AR$162,BN5826,0)+INDEX($AT$13:$BB$162,BO5826,0)+INDEX($BD$13:$BL$162,BP5826,0))/100)))&gt;0)*($D$10:$L$10-($D$9:$L$9+INT(($S$12:$AA$12+INDEX($AJ$13:$AR$162,BN5826,0)+INDEX($AT$13:$BB$162,BO5826,0)+INDEX($BD$13:$BL$162,BP5826,0))/100)))),0)</f>
        <v/>
      </c>
      <c r="BS5826">
        <f>IF(5813&lt;$U$9,SUMPRODUCT(($D$9:$L$9+INT(($S$12:$AA$12+INDEX($AJ$13:$AR$162,BN5826,0)+INDEX($AT$13:$BB$162,BO5826,0)+INDEX($BD$13:$BL$162,BP5826,0))/100))),0)</f>
        <v/>
      </c>
      <c r="BT5826">
        <f>IF(AND(5813&lt;$U$9,$W$5),BQ5826*1000000-MIN(BR5826,999)*1000+BS5826-5813/100000,-1000000000-5813)</f>
        <v/>
      </c>
    </row>
    <row r="5827">
      <c r="BN5827">
        <f>IF(5814&lt;$U$9,INT(5814/($U$7*$U$8))+1,1)</f>
        <v/>
      </c>
      <c r="BO5827">
        <f>IF(5814&lt;$U$9,MOD(INT(5814/$U$8),$U$7)+1,1)</f>
        <v/>
      </c>
      <c r="BP5827">
        <f>IF(5814&lt;$U$9,MOD(5814,$U$8)+1,1)</f>
        <v/>
      </c>
      <c r="BQ5827">
        <f>IF(5814&lt;$U$9,SUMPRODUCT(($D$10:$L$10&lt;&gt;"")*(($D$9:$L$9+INT(($S$12:$AA$12+INDEX($AJ$13:$AR$162,BN5827,0)+INDEX($AT$13:$BB$162,BO5827,0)+INDEX($BD$13:$BL$162,BP5827,0))/100))&gt;=$D$10:$L$10)),0)</f>
        <v/>
      </c>
      <c r="BR5827">
        <f>IF(5814&lt;$U$9,SUMPRODUCT(($D$10:$L$10&lt;&gt;"")*(($D$10:$L$10-($D$9:$L$9+INT(($S$12:$AA$12+INDEX($AJ$13:$AR$162,BN5827,0)+INDEX($AT$13:$BB$162,BO5827,0)+INDEX($BD$13:$BL$162,BP5827,0))/100)))&gt;0)*($D$10:$L$10-($D$9:$L$9+INT(($S$12:$AA$12+INDEX($AJ$13:$AR$162,BN5827,0)+INDEX($AT$13:$BB$162,BO5827,0)+INDEX($BD$13:$BL$162,BP5827,0))/100)))),0)</f>
        <v/>
      </c>
      <c r="BS5827">
        <f>IF(5814&lt;$U$9,SUMPRODUCT(($D$9:$L$9+INT(($S$12:$AA$12+INDEX($AJ$13:$AR$162,BN5827,0)+INDEX($AT$13:$BB$162,BO5827,0)+INDEX($BD$13:$BL$162,BP5827,0))/100))),0)</f>
        <v/>
      </c>
      <c r="BT5827">
        <f>IF(AND(5814&lt;$U$9,$W$5),BQ5827*1000000-MIN(BR5827,999)*1000+BS5827-5814/100000,-1000000000-5814)</f>
        <v/>
      </c>
    </row>
    <row r="5828">
      <c r="BN5828">
        <f>IF(5815&lt;$U$9,INT(5815/($U$7*$U$8))+1,1)</f>
        <v/>
      </c>
      <c r="BO5828">
        <f>IF(5815&lt;$U$9,MOD(INT(5815/$U$8),$U$7)+1,1)</f>
        <v/>
      </c>
      <c r="BP5828">
        <f>IF(5815&lt;$U$9,MOD(5815,$U$8)+1,1)</f>
        <v/>
      </c>
      <c r="BQ5828">
        <f>IF(5815&lt;$U$9,SUMPRODUCT(($D$10:$L$10&lt;&gt;"")*(($D$9:$L$9+INT(($S$12:$AA$12+INDEX($AJ$13:$AR$162,BN5828,0)+INDEX($AT$13:$BB$162,BO5828,0)+INDEX($BD$13:$BL$162,BP5828,0))/100))&gt;=$D$10:$L$10)),0)</f>
        <v/>
      </c>
      <c r="BR5828">
        <f>IF(5815&lt;$U$9,SUMPRODUCT(($D$10:$L$10&lt;&gt;"")*(($D$10:$L$10-($D$9:$L$9+INT(($S$12:$AA$12+INDEX($AJ$13:$AR$162,BN5828,0)+INDEX($AT$13:$BB$162,BO5828,0)+INDEX($BD$13:$BL$162,BP5828,0))/100)))&gt;0)*($D$10:$L$10-($D$9:$L$9+INT(($S$12:$AA$12+INDEX($AJ$13:$AR$162,BN5828,0)+INDEX($AT$13:$BB$162,BO5828,0)+INDEX($BD$13:$BL$162,BP5828,0))/100)))),0)</f>
        <v/>
      </c>
      <c r="BS5828">
        <f>IF(5815&lt;$U$9,SUMPRODUCT(($D$9:$L$9+INT(($S$12:$AA$12+INDEX($AJ$13:$AR$162,BN5828,0)+INDEX($AT$13:$BB$162,BO5828,0)+INDEX($BD$13:$BL$162,BP5828,0))/100))),0)</f>
        <v/>
      </c>
      <c r="BT5828">
        <f>IF(AND(5815&lt;$U$9,$W$5),BQ5828*1000000-MIN(BR5828,999)*1000+BS5828-5815/100000,-1000000000-5815)</f>
        <v/>
      </c>
    </row>
    <row r="5829">
      <c r="BN5829">
        <f>IF(5816&lt;$U$9,INT(5816/($U$7*$U$8))+1,1)</f>
        <v/>
      </c>
      <c r="BO5829">
        <f>IF(5816&lt;$U$9,MOD(INT(5816/$U$8),$U$7)+1,1)</f>
        <v/>
      </c>
      <c r="BP5829">
        <f>IF(5816&lt;$U$9,MOD(5816,$U$8)+1,1)</f>
        <v/>
      </c>
      <c r="BQ5829">
        <f>IF(5816&lt;$U$9,SUMPRODUCT(($D$10:$L$10&lt;&gt;"")*(($D$9:$L$9+INT(($S$12:$AA$12+INDEX($AJ$13:$AR$162,BN5829,0)+INDEX($AT$13:$BB$162,BO5829,0)+INDEX($BD$13:$BL$162,BP5829,0))/100))&gt;=$D$10:$L$10)),0)</f>
        <v/>
      </c>
      <c r="BR5829">
        <f>IF(5816&lt;$U$9,SUMPRODUCT(($D$10:$L$10&lt;&gt;"")*(($D$10:$L$10-($D$9:$L$9+INT(($S$12:$AA$12+INDEX($AJ$13:$AR$162,BN5829,0)+INDEX($AT$13:$BB$162,BO5829,0)+INDEX($BD$13:$BL$162,BP5829,0))/100)))&gt;0)*($D$10:$L$10-($D$9:$L$9+INT(($S$12:$AA$12+INDEX($AJ$13:$AR$162,BN5829,0)+INDEX($AT$13:$BB$162,BO5829,0)+INDEX($BD$13:$BL$162,BP5829,0))/100)))),0)</f>
        <v/>
      </c>
      <c r="BS5829">
        <f>IF(5816&lt;$U$9,SUMPRODUCT(($D$9:$L$9+INT(($S$12:$AA$12+INDEX($AJ$13:$AR$162,BN5829,0)+INDEX($AT$13:$BB$162,BO5829,0)+INDEX($BD$13:$BL$162,BP5829,0))/100))),0)</f>
        <v/>
      </c>
      <c r="BT5829">
        <f>IF(AND(5816&lt;$U$9,$W$5),BQ5829*1000000-MIN(BR5829,999)*1000+BS5829-5816/100000,-1000000000-5816)</f>
        <v/>
      </c>
    </row>
    <row r="5830">
      <c r="BN5830">
        <f>IF(5817&lt;$U$9,INT(5817/($U$7*$U$8))+1,1)</f>
        <v/>
      </c>
      <c r="BO5830">
        <f>IF(5817&lt;$U$9,MOD(INT(5817/$U$8),$U$7)+1,1)</f>
        <v/>
      </c>
      <c r="BP5830">
        <f>IF(5817&lt;$U$9,MOD(5817,$U$8)+1,1)</f>
        <v/>
      </c>
      <c r="BQ5830">
        <f>IF(5817&lt;$U$9,SUMPRODUCT(($D$10:$L$10&lt;&gt;"")*(($D$9:$L$9+INT(($S$12:$AA$12+INDEX($AJ$13:$AR$162,BN5830,0)+INDEX($AT$13:$BB$162,BO5830,0)+INDEX($BD$13:$BL$162,BP5830,0))/100))&gt;=$D$10:$L$10)),0)</f>
        <v/>
      </c>
      <c r="BR5830">
        <f>IF(5817&lt;$U$9,SUMPRODUCT(($D$10:$L$10&lt;&gt;"")*(($D$10:$L$10-($D$9:$L$9+INT(($S$12:$AA$12+INDEX($AJ$13:$AR$162,BN5830,0)+INDEX($AT$13:$BB$162,BO5830,0)+INDEX($BD$13:$BL$162,BP5830,0))/100)))&gt;0)*($D$10:$L$10-($D$9:$L$9+INT(($S$12:$AA$12+INDEX($AJ$13:$AR$162,BN5830,0)+INDEX($AT$13:$BB$162,BO5830,0)+INDEX($BD$13:$BL$162,BP5830,0))/100)))),0)</f>
        <v/>
      </c>
      <c r="BS5830">
        <f>IF(5817&lt;$U$9,SUMPRODUCT(($D$9:$L$9+INT(($S$12:$AA$12+INDEX($AJ$13:$AR$162,BN5830,0)+INDEX($AT$13:$BB$162,BO5830,0)+INDEX($BD$13:$BL$162,BP5830,0))/100))),0)</f>
        <v/>
      </c>
      <c r="BT5830">
        <f>IF(AND(5817&lt;$U$9,$W$5),BQ5830*1000000-MIN(BR5830,999)*1000+BS5830-5817/100000,-1000000000-5817)</f>
        <v/>
      </c>
    </row>
    <row r="5831">
      <c r="BN5831">
        <f>IF(5818&lt;$U$9,INT(5818/($U$7*$U$8))+1,1)</f>
        <v/>
      </c>
      <c r="BO5831">
        <f>IF(5818&lt;$U$9,MOD(INT(5818/$U$8),$U$7)+1,1)</f>
        <v/>
      </c>
      <c r="BP5831">
        <f>IF(5818&lt;$U$9,MOD(5818,$U$8)+1,1)</f>
        <v/>
      </c>
      <c r="BQ5831">
        <f>IF(5818&lt;$U$9,SUMPRODUCT(($D$10:$L$10&lt;&gt;"")*(($D$9:$L$9+INT(($S$12:$AA$12+INDEX($AJ$13:$AR$162,BN5831,0)+INDEX($AT$13:$BB$162,BO5831,0)+INDEX($BD$13:$BL$162,BP5831,0))/100))&gt;=$D$10:$L$10)),0)</f>
        <v/>
      </c>
      <c r="BR5831">
        <f>IF(5818&lt;$U$9,SUMPRODUCT(($D$10:$L$10&lt;&gt;"")*(($D$10:$L$10-($D$9:$L$9+INT(($S$12:$AA$12+INDEX($AJ$13:$AR$162,BN5831,0)+INDEX($AT$13:$BB$162,BO5831,0)+INDEX($BD$13:$BL$162,BP5831,0))/100)))&gt;0)*($D$10:$L$10-($D$9:$L$9+INT(($S$12:$AA$12+INDEX($AJ$13:$AR$162,BN5831,0)+INDEX($AT$13:$BB$162,BO5831,0)+INDEX($BD$13:$BL$162,BP5831,0))/100)))),0)</f>
        <v/>
      </c>
      <c r="BS5831">
        <f>IF(5818&lt;$U$9,SUMPRODUCT(($D$9:$L$9+INT(($S$12:$AA$12+INDEX($AJ$13:$AR$162,BN5831,0)+INDEX($AT$13:$BB$162,BO5831,0)+INDEX($BD$13:$BL$162,BP5831,0))/100))),0)</f>
        <v/>
      </c>
      <c r="BT5831">
        <f>IF(AND(5818&lt;$U$9,$W$5),BQ5831*1000000-MIN(BR5831,999)*1000+BS5831-5818/100000,-1000000000-5818)</f>
        <v/>
      </c>
    </row>
    <row r="5832">
      <c r="BN5832">
        <f>IF(5819&lt;$U$9,INT(5819/($U$7*$U$8))+1,1)</f>
        <v/>
      </c>
      <c r="BO5832">
        <f>IF(5819&lt;$U$9,MOD(INT(5819/$U$8),$U$7)+1,1)</f>
        <v/>
      </c>
      <c r="BP5832">
        <f>IF(5819&lt;$U$9,MOD(5819,$U$8)+1,1)</f>
        <v/>
      </c>
      <c r="BQ5832">
        <f>IF(5819&lt;$U$9,SUMPRODUCT(($D$10:$L$10&lt;&gt;"")*(($D$9:$L$9+INT(($S$12:$AA$12+INDEX($AJ$13:$AR$162,BN5832,0)+INDEX($AT$13:$BB$162,BO5832,0)+INDEX($BD$13:$BL$162,BP5832,0))/100))&gt;=$D$10:$L$10)),0)</f>
        <v/>
      </c>
      <c r="BR5832">
        <f>IF(5819&lt;$U$9,SUMPRODUCT(($D$10:$L$10&lt;&gt;"")*(($D$10:$L$10-($D$9:$L$9+INT(($S$12:$AA$12+INDEX($AJ$13:$AR$162,BN5832,0)+INDEX($AT$13:$BB$162,BO5832,0)+INDEX($BD$13:$BL$162,BP5832,0))/100)))&gt;0)*($D$10:$L$10-($D$9:$L$9+INT(($S$12:$AA$12+INDEX($AJ$13:$AR$162,BN5832,0)+INDEX($AT$13:$BB$162,BO5832,0)+INDEX($BD$13:$BL$162,BP5832,0))/100)))),0)</f>
        <v/>
      </c>
      <c r="BS5832">
        <f>IF(5819&lt;$U$9,SUMPRODUCT(($D$9:$L$9+INT(($S$12:$AA$12+INDEX($AJ$13:$AR$162,BN5832,0)+INDEX($AT$13:$BB$162,BO5832,0)+INDEX($BD$13:$BL$162,BP5832,0))/100))),0)</f>
        <v/>
      </c>
      <c r="BT5832">
        <f>IF(AND(5819&lt;$U$9,$W$5),BQ5832*1000000-MIN(BR5832,999)*1000+BS5832-5819/100000,-1000000000-5819)</f>
        <v/>
      </c>
    </row>
    <row r="5833">
      <c r="BN5833">
        <f>IF(5820&lt;$U$9,INT(5820/($U$7*$U$8))+1,1)</f>
        <v/>
      </c>
      <c r="BO5833">
        <f>IF(5820&lt;$U$9,MOD(INT(5820/$U$8),$U$7)+1,1)</f>
        <v/>
      </c>
      <c r="BP5833">
        <f>IF(5820&lt;$U$9,MOD(5820,$U$8)+1,1)</f>
        <v/>
      </c>
      <c r="BQ5833">
        <f>IF(5820&lt;$U$9,SUMPRODUCT(($D$10:$L$10&lt;&gt;"")*(($D$9:$L$9+INT(($S$12:$AA$12+INDEX($AJ$13:$AR$162,BN5833,0)+INDEX($AT$13:$BB$162,BO5833,0)+INDEX($BD$13:$BL$162,BP5833,0))/100))&gt;=$D$10:$L$10)),0)</f>
        <v/>
      </c>
      <c r="BR5833">
        <f>IF(5820&lt;$U$9,SUMPRODUCT(($D$10:$L$10&lt;&gt;"")*(($D$10:$L$10-($D$9:$L$9+INT(($S$12:$AA$12+INDEX($AJ$13:$AR$162,BN5833,0)+INDEX($AT$13:$BB$162,BO5833,0)+INDEX($BD$13:$BL$162,BP5833,0))/100)))&gt;0)*($D$10:$L$10-($D$9:$L$9+INT(($S$12:$AA$12+INDEX($AJ$13:$AR$162,BN5833,0)+INDEX($AT$13:$BB$162,BO5833,0)+INDEX($BD$13:$BL$162,BP5833,0))/100)))),0)</f>
        <v/>
      </c>
      <c r="BS5833">
        <f>IF(5820&lt;$U$9,SUMPRODUCT(($D$9:$L$9+INT(($S$12:$AA$12+INDEX($AJ$13:$AR$162,BN5833,0)+INDEX($AT$13:$BB$162,BO5833,0)+INDEX($BD$13:$BL$162,BP5833,0))/100))),0)</f>
        <v/>
      </c>
      <c r="BT5833">
        <f>IF(AND(5820&lt;$U$9,$W$5),BQ5833*1000000-MIN(BR5833,999)*1000+BS5833-5820/100000,-1000000000-5820)</f>
        <v/>
      </c>
    </row>
    <row r="5834">
      <c r="BN5834">
        <f>IF(5821&lt;$U$9,INT(5821/($U$7*$U$8))+1,1)</f>
        <v/>
      </c>
      <c r="BO5834">
        <f>IF(5821&lt;$U$9,MOD(INT(5821/$U$8),$U$7)+1,1)</f>
        <v/>
      </c>
      <c r="BP5834">
        <f>IF(5821&lt;$U$9,MOD(5821,$U$8)+1,1)</f>
        <v/>
      </c>
      <c r="BQ5834">
        <f>IF(5821&lt;$U$9,SUMPRODUCT(($D$10:$L$10&lt;&gt;"")*(($D$9:$L$9+INT(($S$12:$AA$12+INDEX($AJ$13:$AR$162,BN5834,0)+INDEX($AT$13:$BB$162,BO5834,0)+INDEX($BD$13:$BL$162,BP5834,0))/100))&gt;=$D$10:$L$10)),0)</f>
        <v/>
      </c>
      <c r="BR5834">
        <f>IF(5821&lt;$U$9,SUMPRODUCT(($D$10:$L$10&lt;&gt;"")*(($D$10:$L$10-($D$9:$L$9+INT(($S$12:$AA$12+INDEX($AJ$13:$AR$162,BN5834,0)+INDEX($AT$13:$BB$162,BO5834,0)+INDEX($BD$13:$BL$162,BP5834,0))/100)))&gt;0)*($D$10:$L$10-($D$9:$L$9+INT(($S$12:$AA$12+INDEX($AJ$13:$AR$162,BN5834,0)+INDEX($AT$13:$BB$162,BO5834,0)+INDEX($BD$13:$BL$162,BP5834,0))/100)))),0)</f>
        <v/>
      </c>
      <c r="BS5834">
        <f>IF(5821&lt;$U$9,SUMPRODUCT(($D$9:$L$9+INT(($S$12:$AA$12+INDEX($AJ$13:$AR$162,BN5834,0)+INDEX($AT$13:$BB$162,BO5834,0)+INDEX($BD$13:$BL$162,BP5834,0))/100))),0)</f>
        <v/>
      </c>
      <c r="BT5834">
        <f>IF(AND(5821&lt;$U$9,$W$5),BQ5834*1000000-MIN(BR5834,999)*1000+BS5834-5821/100000,-1000000000-5821)</f>
        <v/>
      </c>
    </row>
    <row r="5835">
      <c r="BN5835">
        <f>IF(5822&lt;$U$9,INT(5822/($U$7*$U$8))+1,1)</f>
        <v/>
      </c>
      <c r="BO5835">
        <f>IF(5822&lt;$U$9,MOD(INT(5822/$U$8),$U$7)+1,1)</f>
        <v/>
      </c>
      <c r="BP5835">
        <f>IF(5822&lt;$U$9,MOD(5822,$U$8)+1,1)</f>
        <v/>
      </c>
      <c r="BQ5835">
        <f>IF(5822&lt;$U$9,SUMPRODUCT(($D$10:$L$10&lt;&gt;"")*(($D$9:$L$9+INT(($S$12:$AA$12+INDEX($AJ$13:$AR$162,BN5835,0)+INDEX($AT$13:$BB$162,BO5835,0)+INDEX($BD$13:$BL$162,BP5835,0))/100))&gt;=$D$10:$L$10)),0)</f>
        <v/>
      </c>
      <c r="BR5835">
        <f>IF(5822&lt;$U$9,SUMPRODUCT(($D$10:$L$10&lt;&gt;"")*(($D$10:$L$10-($D$9:$L$9+INT(($S$12:$AA$12+INDEX($AJ$13:$AR$162,BN5835,0)+INDEX($AT$13:$BB$162,BO5835,0)+INDEX($BD$13:$BL$162,BP5835,0))/100)))&gt;0)*($D$10:$L$10-($D$9:$L$9+INT(($S$12:$AA$12+INDEX($AJ$13:$AR$162,BN5835,0)+INDEX($AT$13:$BB$162,BO5835,0)+INDEX($BD$13:$BL$162,BP5835,0))/100)))),0)</f>
        <v/>
      </c>
      <c r="BS5835">
        <f>IF(5822&lt;$U$9,SUMPRODUCT(($D$9:$L$9+INT(($S$12:$AA$12+INDEX($AJ$13:$AR$162,BN5835,0)+INDEX($AT$13:$BB$162,BO5835,0)+INDEX($BD$13:$BL$162,BP5835,0))/100))),0)</f>
        <v/>
      </c>
      <c r="BT5835">
        <f>IF(AND(5822&lt;$U$9,$W$5),BQ5835*1000000-MIN(BR5835,999)*1000+BS5835-5822/100000,-1000000000-5822)</f>
        <v/>
      </c>
    </row>
    <row r="5836">
      <c r="BN5836">
        <f>IF(5823&lt;$U$9,INT(5823/($U$7*$U$8))+1,1)</f>
        <v/>
      </c>
      <c r="BO5836">
        <f>IF(5823&lt;$U$9,MOD(INT(5823/$U$8),$U$7)+1,1)</f>
        <v/>
      </c>
      <c r="BP5836">
        <f>IF(5823&lt;$U$9,MOD(5823,$U$8)+1,1)</f>
        <v/>
      </c>
      <c r="BQ5836">
        <f>IF(5823&lt;$U$9,SUMPRODUCT(($D$10:$L$10&lt;&gt;"")*(($D$9:$L$9+INT(($S$12:$AA$12+INDEX($AJ$13:$AR$162,BN5836,0)+INDEX($AT$13:$BB$162,BO5836,0)+INDEX($BD$13:$BL$162,BP5836,0))/100))&gt;=$D$10:$L$10)),0)</f>
        <v/>
      </c>
      <c r="BR5836">
        <f>IF(5823&lt;$U$9,SUMPRODUCT(($D$10:$L$10&lt;&gt;"")*(($D$10:$L$10-($D$9:$L$9+INT(($S$12:$AA$12+INDEX($AJ$13:$AR$162,BN5836,0)+INDEX($AT$13:$BB$162,BO5836,0)+INDEX($BD$13:$BL$162,BP5836,0))/100)))&gt;0)*($D$10:$L$10-($D$9:$L$9+INT(($S$12:$AA$12+INDEX($AJ$13:$AR$162,BN5836,0)+INDEX($AT$13:$BB$162,BO5836,0)+INDEX($BD$13:$BL$162,BP5836,0))/100)))),0)</f>
        <v/>
      </c>
      <c r="BS5836">
        <f>IF(5823&lt;$U$9,SUMPRODUCT(($D$9:$L$9+INT(($S$12:$AA$12+INDEX($AJ$13:$AR$162,BN5836,0)+INDEX($AT$13:$BB$162,BO5836,0)+INDEX($BD$13:$BL$162,BP5836,0))/100))),0)</f>
        <v/>
      </c>
      <c r="BT5836">
        <f>IF(AND(5823&lt;$U$9,$W$5),BQ5836*1000000-MIN(BR5836,999)*1000+BS5836-5823/100000,-1000000000-5823)</f>
        <v/>
      </c>
    </row>
    <row r="5837">
      <c r="BN5837">
        <f>IF(5824&lt;$U$9,INT(5824/($U$7*$U$8))+1,1)</f>
        <v/>
      </c>
      <c r="BO5837">
        <f>IF(5824&lt;$U$9,MOD(INT(5824/$U$8),$U$7)+1,1)</f>
        <v/>
      </c>
      <c r="BP5837">
        <f>IF(5824&lt;$U$9,MOD(5824,$U$8)+1,1)</f>
        <v/>
      </c>
      <c r="BQ5837">
        <f>IF(5824&lt;$U$9,SUMPRODUCT(($D$10:$L$10&lt;&gt;"")*(($D$9:$L$9+INT(($S$12:$AA$12+INDEX($AJ$13:$AR$162,BN5837,0)+INDEX($AT$13:$BB$162,BO5837,0)+INDEX($BD$13:$BL$162,BP5837,0))/100))&gt;=$D$10:$L$10)),0)</f>
        <v/>
      </c>
      <c r="BR5837">
        <f>IF(5824&lt;$U$9,SUMPRODUCT(($D$10:$L$10&lt;&gt;"")*(($D$10:$L$10-($D$9:$L$9+INT(($S$12:$AA$12+INDEX($AJ$13:$AR$162,BN5837,0)+INDEX($AT$13:$BB$162,BO5837,0)+INDEX($BD$13:$BL$162,BP5837,0))/100)))&gt;0)*($D$10:$L$10-($D$9:$L$9+INT(($S$12:$AA$12+INDEX($AJ$13:$AR$162,BN5837,0)+INDEX($AT$13:$BB$162,BO5837,0)+INDEX($BD$13:$BL$162,BP5837,0))/100)))),0)</f>
        <v/>
      </c>
      <c r="BS5837">
        <f>IF(5824&lt;$U$9,SUMPRODUCT(($D$9:$L$9+INT(($S$12:$AA$12+INDEX($AJ$13:$AR$162,BN5837,0)+INDEX($AT$13:$BB$162,BO5837,0)+INDEX($BD$13:$BL$162,BP5837,0))/100))),0)</f>
        <v/>
      </c>
      <c r="BT5837">
        <f>IF(AND(5824&lt;$U$9,$W$5),BQ5837*1000000-MIN(BR5837,999)*1000+BS5837-5824/100000,-1000000000-5824)</f>
        <v/>
      </c>
    </row>
    <row r="5838">
      <c r="BN5838">
        <f>IF(5825&lt;$U$9,INT(5825/($U$7*$U$8))+1,1)</f>
        <v/>
      </c>
      <c r="BO5838">
        <f>IF(5825&lt;$U$9,MOD(INT(5825/$U$8),$U$7)+1,1)</f>
        <v/>
      </c>
      <c r="BP5838">
        <f>IF(5825&lt;$U$9,MOD(5825,$U$8)+1,1)</f>
        <v/>
      </c>
      <c r="BQ5838">
        <f>IF(5825&lt;$U$9,SUMPRODUCT(($D$10:$L$10&lt;&gt;"")*(($D$9:$L$9+INT(($S$12:$AA$12+INDEX($AJ$13:$AR$162,BN5838,0)+INDEX($AT$13:$BB$162,BO5838,0)+INDEX($BD$13:$BL$162,BP5838,0))/100))&gt;=$D$10:$L$10)),0)</f>
        <v/>
      </c>
      <c r="BR5838">
        <f>IF(5825&lt;$U$9,SUMPRODUCT(($D$10:$L$10&lt;&gt;"")*(($D$10:$L$10-($D$9:$L$9+INT(($S$12:$AA$12+INDEX($AJ$13:$AR$162,BN5838,0)+INDEX($AT$13:$BB$162,BO5838,0)+INDEX($BD$13:$BL$162,BP5838,0))/100)))&gt;0)*($D$10:$L$10-($D$9:$L$9+INT(($S$12:$AA$12+INDEX($AJ$13:$AR$162,BN5838,0)+INDEX($AT$13:$BB$162,BO5838,0)+INDEX($BD$13:$BL$162,BP5838,0))/100)))),0)</f>
        <v/>
      </c>
      <c r="BS5838">
        <f>IF(5825&lt;$U$9,SUMPRODUCT(($D$9:$L$9+INT(($S$12:$AA$12+INDEX($AJ$13:$AR$162,BN5838,0)+INDEX($AT$13:$BB$162,BO5838,0)+INDEX($BD$13:$BL$162,BP5838,0))/100))),0)</f>
        <v/>
      </c>
      <c r="BT5838">
        <f>IF(AND(5825&lt;$U$9,$W$5),BQ5838*1000000-MIN(BR5838,999)*1000+BS5838-5825/100000,-1000000000-5825)</f>
        <v/>
      </c>
    </row>
    <row r="5839">
      <c r="BN5839">
        <f>IF(5826&lt;$U$9,INT(5826/($U$7*$U$8))+1,1)</f>
        <v/>
      </c>
      <c r="BO5839">
        <f>IF(5826&lt;$U$9,MOD(INT(5826/$U$8),$U$7)+1,1)</f>
        <v/>
      </c>
      <c r="BP5839">
        <f>IF(5826&lt;$U$9,MOD(5826,$U$8)+1,1)</f>
        <v/>
      </c>
      <c r="BQ5839">
        <f>IF(5826&lt;$U$9,SUMPRODUCT(($D$10:$L$10&lt;&gt;"")*(($D$9:$L$9+INT(($S$12:$AA$12+INDEX($AJ$13:$AR$162,BN5839,0)+INDEX($AT$13:$BB$162,BO5839,0)+INDEX($BD$13:$BL$162,BP5839,0))/100))&gt;=$D$10:$L$10)),0)</f>
        <v/>
      </c>
      <c r="BR5839">
        <f>IF(5826&lt;$U$9,SUMPRODUCT(($D$10:$L$10&lt;&gt;"")*(($D$10:$L$10-($D$9:$L$9+INT(($S$12:$AA$12+INDEX($AJ$13:$AR$162,BN5839,0)+INDEX($AT$13:$BB$162,BO5839,0)+INDEX($BD$13:$BL$162,BP5839,0))/100)))&gt;0)*($D$10:$L$10-($D$9:$L$9+INT(($S$12:$AA$12+INDEX($AJ$13:$AR$162,BN5839,0)+INDEX($AT$13:$BB$162,BO5839,0)+INDEX($BD$13:$BL$162,BP5839,0))/100)))),0)</f>
        <v/>
      </c>
      <c r="BS5839">
        <f>IF(5826&lt;$U$9,SUMPRODUCT(($D$9:$L$9+INT(($S$12:$AA$12+INDEX($AJ$13:$AR$162,BN5839,0)+INDEX($AT$13:$BB$162,BO5839,0)+INDEX($BD$13:$BL$162,BP5839,0))/100))),0)</f>
        <v/>
      </c>
      <c r="BT5839">
        <f>IF(AND(5826&lt;$U$9,$W$5),BQ5839*1000000-MIN(BR5839,999)*1000+BS5839-5826/100000,-1000000000-5826)</f>
        <v/>
      </c>
    </row>
    <row r="5840">
      <c r="BN5840">
        <f>IF(5827&lt;$U$9,INT(5827/($U$7*$U$8))+1,1)</f>
        <v/>
      </c>
      <c r="BO5840">
        <f>IF(5827&lt;$U$9,MOD(INT(5827/$U$8),$U$7)+1,1)</f>
        <v/>
      </c>
      <c r="BP5840">
        <f>IF(5827&lt;$U$9,MOD(5827,$U$8)+1,1)</f>
        <v/>
      </c>
      <c r="BQ5840">
        <f>IF(5827&lt;$U$9,SUMPRODUCT(($D$10:$L$10&lt;&gt;"")*(($D$9:$L$9+INT(($S$12:$AA$12+INDEX($AJ$13:$AR$162,BN5840,0)+INDEX($AT$13:$BB$162,BO5840,0)+INDEX($BD$13:$BL$162,BP5840,0))/100))&gt;=$D$10:$L$10)),0)</f>
        <v/>
      </c>
      <c r="BR5840">
        <f>IF(5827&lt;$U$9,SUMPRODUCT(($D$10:$L$10&lt;&gt;"")*(($D$10:$L$10-($D$9:$L$9+INT(($S$12:$AA$12+INDEX($AJ$13:$AR$162,BN5840,0)+INDEX($AT$13:$BB$162,BO5840,0)+INDEX($BD$13:$BL$162,BP5840,0))/100)))&gt;0)*($D$10:$L$10-($D$9:$L$9+INT(($S$12:$AA$12+INDEX($AJ$13:$AR$162,BN5840,0)+INDEX($AT$13:$BB$162,BO5840,0)+INDEX($BD$13:$BL$162,BP5840,0))/100)))),0)</f>
        <v/>
      </c>
      <c r="BS5840">
        <f>IF(5827&lt;$U$9,SUMPRODUCT(($D$9:$L$9+INT(($S$12:$AA$12+INDEX($AJ$13:$AR$162,BN5840,0)+INDEX($AT$13:$BB$162,BO5840,0)+INDEX($BD$13:$BL$162,BP5840,0))/100))),0)</f>
        <v/>
      </c>
      <c r="BT5840">
        <f>IF(AND(5827&lt;$U$9,$W$5),BQ5840*1000000-MIN(BR5840,999)*1000+BS5840-5827/100000,-1000000000-5827)</f>
        <v/>
      </c>
    </row>
    <row r="5841">
      <c r="BN5841">
        <f>IF(5828&lt;$U$9,INT(5828/($U$7*$U$8))+1,1)</f>
        <v/>
      </c>
      <c r="BO5841">
        <f>IF(5828&lt;$U$9,MOD(INT(5828/$U$8),$U$7)+1,1)</f>
        <v/>
      </c>
      <c r="BP5841">
        <f>IF(5828&lt;$U$9,MOD(5828,$U$8)+1,1)</f>
        <v/>
      </c>
      <c r="BQ5841">
        <f>IF(5828&lt;$U$9,SUMPRODUCT(($D$10:$L$10&lt;&gt;"")*(($D$9:$L$9+INT(($S$12:$AA$12+INDEX($AJ$13:$AR$162,BN5841,0)+INDEX($AT$13:$BB$162,BO5841,0)+INDEX($BD$13:$BL$162,BP5841,0))/100))&gt;=$D$10:$L$10)),0)</f>
        <v/>
      </c>
      <c r="BR5841">
        <f>IF(5828&lt;$U$9,SUMPRODUCT(($D$10:$L$10&lt;&gt;"")*(($D$10:$L$10-($D$9:$L$9+INT(($S$12:$AA$12+INDEX($AJ$13:$AR$162,BN5841,0)+INDEX($AT$13:$BB$162,BO5841,0)+INDEX($BD$13:$BL$162,BP5841,0))/100)))&gt;0)*($D$10:$L$10-($D$9:$L$9+INT(($S$12:$AA$12+INDEX($AJ$13:$AR$162,BN5841,0)+INDEX($AT$13:$BB$162,BO5841,0)+INDEX($BD$13:$BL$162,BP5841,0))/100)))),0)</f>
        <v/>
      </c>
      <c r="BS5841">
        <f>IF(5828&lt;$U$9,SUMPRODUCT(($D$9:$L$9+INT(($S$12:$AA$12+INDEX($AJ$13:$AR$162,BN5841,0)+INDEX($AT$13:$BB$162,BO5841,0)+INDEX($BD$13:$BL$162,BP5841,0))/100))),0)</f>
        <v/>
      </c>
      <c r="BT5841">
        <f>IF(AND(5828&lt;$U$9,$W$5),BQ5841*1000000-MIN(BR5841,999)*1000+BS5841-5828/100000,-1000000000-5828)</f>
        <v/>
      </c>
    </row>
    <row r="5842">
      <c r="BN5842">
        <f>IF(5829&lt;$U$9,INT(5829/($U$7*$U$8))+1,1)</f>
        <v/>
      </c>
      <c r="BO5842">
        <f>IF(5829&lt;$U$9,MOD(INT(5829/$U$8),$U$7)+1,1)</f>
        <v/>
      </c>
      <c r="BP5842">
        <f>IF(5829&lt;$U$9,MOD(5829,$U$8)+1,1)</f>
        <v/>
      </c>
      <c r="BQ5842">
        <f>IF(5829&lt;$U$9,SUMPRODUCT(($D$10:$L$10&lt;&gt;"")*(($D$9:$L$9+INT(($S$12:$AA$12+INDEX($AJ$13:$AR$162,BN5842,0)+INDEX($AT$13:$BB$162,BO5842,0)+INDEX($BD$13:$BL$162,BP5842,0))/100))&gt;=$D$10:$L$10)),0)</f>
        <v/>
      </c>
      <c r="BR5842">
        <f>IF(5829&lt;$U$9,SUMPRODUCT(($D$10:$L$10&lt;&gt;"")*(($D$10:$L$10-($D$9:$L$9+INT(($S$12:$AA$12+INDEX($AJ$13:$AR$162,BN5842,0)+INDEX($AT$13:$BB$162,BO5842,0)+INDEX($BD$13:$BL$162,BP5842,0))/100)))&gt;0)*($D$10:$L$10-($D$9:$L$9+INT(($S$12:$AA$12+INDEX($AJ$13:$AR$162,BN5842,0)+INDEX($AT$13:$BB$162,BO5842,0)+INDEX($BD$13:$BL$162,BP5842,0))/100)))),0)</f>
        <v/>
      </c>
      <c r="BS5842">
        <f>IF(5829&lt;$U$9,SUMPRODUCT(($D$9:$L$9+INT(($S$12:$AA$12+INDEX($AJ$13:$AR$162,BN5842,0)+INDEX($AT$13:$BB$162,BO5842,0)+INDEX($BD$13:$BL$162,BP5842,0))/100))),0)</f>
        <v/>
      </c>
      <c r="BT5842">
        <f>IF(AND(5829&lt;$U$9,$W$5),BQ5842*1000000-MIN(BR5842,999)*1000+BS5842-5829/100000,-1000000000-5829)</f>
        <v/>
      </c>
    </row>
    <row r="5843">
      <c r="BN5843">
        <f>IF(5830&lt;$U$9,INT(5830/($U$7*$U$8))+1,1)</f>
        <v/>
      </c>
      <c r="BO5843">
        <f>IF(5830&lt;$U$9,MOD(INT(5830/$U$8),$U$7)+1,1)</f>
        <v/>
      </c>
      <c r="BP5843">
        <f>IF(5830&lt;$U$9,MOD(5830,$U$8)+1,1)</f>
        <v/>
      </c>
      <c r="BQ5843">
        <f>IF(5830&lt;$U$9,SUMPRODUCT(($D$10:$L$10&lt;&gt;"")*(($D$9:$L$9+INT(($S$12:$AA$12+INDEX($AJ$13:$AR$162,BN5843,0)+INDEX($AT$13:$BB$162,BO5843,0)+INDEX($BD$13:$BL$162,BP5843,0))/100))&gt;=$D$10:$L$10)),0)</f>
        <v/>
      </c>
      <c r="BR5843">
        <f>IF(5830&lt;$U$9,SUMPRODUCT(($D$10:$L$10&lt;&gt;"")*(($D$10:$L$10-($D$9:$L$9+INT(($S$12:$AA$12+INDEX($AJ$13:$AR$162,BN5843,0)+INDEX($AT$13:$BB$162,BO5843,0)+INDEX($BD$13:$BL$162,BP5843,0))/100)))&gt;0)*($D$10:$L$10-($D$9:$L$9+INT(($S$12:$AA$12+INDEX($AJ$13:$AR$162,BN5843,0)+INDEX($AT$13:$BB$162,BO5843,0)+INDEX($BD$13:$BL$162,BP5843,0))/100)))),0)</f>
        <v/>
      </c>
      <c r="BS5843">
        <f>IF(5830&lt;$U$9,SUMPRODUCT(($D$9:$L$9+INT(($S$12:$AA$12+INDEX($AJ$13:$AR$162,BN5843,0)+INDEX($AT$13:$BB$162,BO5843,0)+INDEX($BD$13:$BL$162,BP5843,0))/100))),0)</f>
        <v/>
      </c>
      <c r="BT5843">
        <f>IF(AND(5830&lt;$U$9,$W$5),BQ5843*1000000-MIN(BR5843,999)*1000+BS5843-5830/100000,-1000000000-5830)</f>
        <v/>
      </c>
    </row>
    <row r="5844">
      <c r="BN5844">
        <f>IF(5831&lt;$U$9,INT(5831/($U$7*$U$8))+1,1)</f>
        <v/>
      </c>
      <c r="BO5844">
        <f>IF(5831&lt;$U$9,MOD(INT(5831/$U$8),$U$7)+1,1)</f>
        <v/>
      </c>
      <c r="BP5844">
        <f>IF(5831&lt;$U$9,MOD(5831,$U$8)+1,1)</f>
        <v/>
      </c>
      <c r="BQ5844">
        <f>IF(5831&lt;$U$9,SUMPRODUCT(($D$10:$L$10&lt;&gt;"")*(($D$9:$L$9+INT(($S$12:$AA$12+INDEX($AJ$13:$AR$162,BN5844,0)+INDEX($AT$13:$BB$162,BO5844,0)+INDEX($BD$13:$BL$162,BP5844,0))/100))&gt;=$D$10:$L$10)),0)</f>
        <v/>
      </c>
      <c r="BR5844">
        <f>IF(5831&lt;$U$9,SUMPRODUCT(($D$10:$L$10&lt;&gt;"")*(($D$10:$L$10-($D$9:$L$9+INT(($S$12:$AA$12+INDEX($AJ$13:$AR$162,BN5844,0)+INDEX($AT$13:$BB$162,BO5844,0)+INDEX($BD$13:$BL$162,BP5844,0))/100)))&gt;0)*($D$10:$L$10-($D$9:$L$9+INT(($S$12:$AA$12+INDEX($AJ$13:$AR$162,BN5844,0)+INDEX($AT$13:$BB$162,BO5844,0)+INDEX($BD$13:$BL$162,BP5844,0))/100)))),0)</f>
        <v/>
      </c>
      <c r="BS5844">
        <f>IF(5831&lt;$U$9,SUMPRODUCT(($D$9:$L$9+INT(($S$12:$AA$12+INDEX($AJ$13:$AR$162,BN5844,0)+INDEX($AT$13:$BB$162,BO5844,0)+INDEX($BD$13:$BL$162,BP5844,0))/100))),0)</f>
        <v/>
      </c>
      <c r="BT5844">
        <f>IF(AND(5831&lt;$U$9,$W$5),BQ5844*1000000-MIN(BR5844,999)*1000+BS5844-5831/100000,-1000000000-5831)</f>
        <v/>
      </c>
    </row>
    <row r="5845">
      <c r="BN5845">
        <f>IF(5832&lt;$U$9,INT(5832/($U$7*$U$8))+1,1)</f>
        <v/>
      </c>
      <c r="BO5845">
        <f>IF(5832&lt;$U$9,MOD(INT(5832/$U$8),$U$7)+1,1)</f>
        <v/>
      </c>
      <c r="BP5845">
        <f>IF(5832&lt;$U$9,MOD(5832,$U$8)+1,1)</f>
        <v/>
      </c>
      <c r="BQ5845">
        <f>IF(5832&lt;$U$9,SUMPRODUCT(($D$10:$L$10&lt;&gt;"")*(($D$9:$L$9+INT(($S$12:$AA$12+INDEX($AJ$13:$AR$162,BN5845,0)+INDEX($AT$13:$BB$162,BO5845,0)+INDEX($BD$13:$BL$162,BP5845,0))/100))&gt;=$D$10:$L$10)),0)</f>
        <v/>
      </c>
      <c r="BR5845">
        <f>IF(5832&lt;$U$9,SUMPRODUCT(($D$10:$L$10&lt;&gt;"")*(($D$10:$L$10-($D$9:$L$9+INT(($S$12:$AA$12+INDEX($AJ$13:$AR$162,BN5845,0)+INDEX($AT$13:$BB$162,BO5845,0)+INDEX($BD$13:$BL$162,BP5845,0))/100)))&gt;0)*($D$10:$L$10-($D$9:$L$9+INT(($S$12:$AA$12+INDEX($AJ$13:$AR$162,BN5845,0)+INDEX($AT$13:$BB$162,BO5845,0)+INDEX($BD$13:$BL$162,BP5845,0))/100)))),0)</f>
        <v/>
      </c>
      <c r="BS5845">
        <f>IF(5832&lt;$U$9,SUMPRODUCT(($D$9:$L$9+INT(($S$12:$AA$12+INDEX($AJ$13:$AR$162,BN5845,0)+INDEX($AT$13:$BB$162,BO5845,0)+INDEX($BD$13:$BL$162,BP5845,0))/100))),0)</f>
        <v/>
      </c>
      <c r="BT5845">
        <f>IF(AND(5832&lt;$U$9,$W$5),BQ5845*1000000-MIN(BR5845,999)*1000+BS5845-5832/100000,-1000000000-5832)</f>
        <v/>
      </c>
    </row>
    <row r="5846">
      <c r="BN5846">
        <f>IF(5833&lt;$U$9,INT(5833/($U$7*$U$8))+1,1)</f>
        <v/>
      </c>
      <c r="BO5846">
        <f>IF(5833&lt;$U$9,MOD(INT(5833/$U$8),$U$7)+1,1)</f>
        <v/>
      </c>
      <c r="BP5846">
        <f>IF(5833&lt;$U$9,MOD(5833,$U$8)+1,1)</f>
        <v/>
      </c>
      <c r="BQ5846">
        <f>IF(5833&lt;$U$9,SUMPRODUCT(($D$10:$L$10&lt;&gt;"")*(($D$9:$L$9+INT(($S$12:$AA$12+INDEX($AJ$13:$AR$162,BN5846,0)+INDEX($AT$13:$BB$162,BO5846,0)+INDEX($BD$13:$BL$162,BP5846,0))/100))&gt;=$D$10:$L$10)),0)</f>
        <v/>
      </c>
      <c r="BR5846">
        <f>IF(5833&lt;$U$9,SUMPRODUCT(($D$10:$L$10&lt;&gt;"")*(($D$10:$L$10-($D$9:$L$9+INT(($S$12:$AA$12+INDEX($AJ$13:$AR$162,BN5846,0)+INDEX($AT$13:$BB$162,BO5846,0)+INDEX($BD$13:$BL$162,BP5846,0))/100)))&gt;0)*($D$10:$L$10-($D$9:$L$9+INT(($S$12:$AA$12+INDEX($AJ$13:$AR$162,BN5846,0)+INDEX($AT$13:$BB$162,BO5846,0)+INDEX($BD$13:$BL$162,BP5846,0))/100)))),0)</f>
        <v/>
      </c>
      <c r="BS5846">
        <f>IF(5833&lt;$U$9,SUMPRODUCT(($D$9:$L$9+INT(($S$12:$AA$12+INDEX($AJ$13:$AR$162,BN5846,0)+INDEX($AT$13:$BB$162,BO5846,0)+INDEX($BD$13:$BL$162,BP5846,0))/100))),0)</f>
        <v/>
      </c>
      <c r="BT5846">
        <f>IF(AND(5833&lt;$U$9,$W$5),BQ5846*1000000-MIN(BR5846,999)*1000+BS5846-5833/100000,-1000000000-5833)</f>
        <v/>
      </c>
    </row>
    <row r="5847">
      <c r="BN5847">
        <f>IF(5834&lt;$U$9,INT(5834/($U$7*$U$8))+1,1)</f>
        <v/>
      </c>
      <c r="BO5847">
        <f>IF(5834&lt;$U$9,MOD(INT(5834/$U$8),$U$7)+1,1)</f>
        <v/>
      </c>
      <c r="BP5847">
        <f>IF(5834&lt;$U$9,MOD(5834,$U$8)+1,1)</f>
        <v/>
      </c>
      <c r="BQ5847">
        <f>IF(5834&lt;$U$9,SUMPRODUCT(($D$10:$L$10&lt;&gt;"")*(($D$9:$L$9+INT(($S$12:$AA$12+INDEX($AJ$13:$AR$162,BN5847,0)+INDEX($AT$13:$BB$162,BO5847,0)+INDEX($BD$13:$BL$162,BP5847,0))/100))&gt;=$D$10:$L$10)),0)</f>
        <v/>
      </c>
      <c r="BR5847">
        <f>IF(5834&lt;$U$9,SUMPRODUCT(($D$10:$L$10&lt;&gt;"")*(($D$10:$L$10-($D$9:$L$9+INT(($S$12:$AA$12+INDEX($AJ$13:$AR$162,BN5847,0)+INDEX($AT$13:$BB$162,BO5847,0)+INDEX($BD$13:$BL$162,BP5847,0))/100)))&gt;0)*($D$10:$L$10-($D$9:$L$9+INT(($S$12:$AA$12+INDEX($AJ$13:$AR$162,BN5847,0)+INDEX($AT$13:$BB$162,BO5847,0)+INDEX($BD$13:$BL$162,BP5847,0))/100)))),0)</f>
        <v/>
      </c>
      <c r="BS5847">
        <f>IF(5834&lt;$U$9,SUMPRODUCT(($D$9:$L$9+INT(($S$12:$AA$12+INDEX($AJ$13:$AR$162,BN5847,0)+INDEX($AT$13:$BB$162,BO5847,0)+INDEX($BD$13:$BL$162,BP5847,0))/100))),0)</f>
        <v/>
      </c>
      <c r="BT5847">
        <f>IF(AND(5834&lt;$U$9,$W$5),BQ5847*1000000-MIN(BR5847,999)*1000+BS5847-5834/100000,-1000000000-5834)</f>
        <v/>
      </c>
    </row>
    <row r="5848">
      <c r="BN5848">
        <f>IF(5835&lt;$U$9,INT(5835/($U$7*$U$8))+1,1)</f>
        <v/>
      </c>
      <c r="BO5848">
        <f>IF(5835&lt;$U$9,MOD(INT(5835/$U$8),$U$7)+1,1)</f>
        <v/>
      </c>
      <c r="BP5848">
        <f>IF(5835&lt;$U$9,MOD(5835,$U$8)+1,1)</f>
        <v/>
      </c>
      <c r="BQ5848">
        <f>IF(5835&lt;$U$9,SUMPRODUCT(($D$10:$L$10&lt;&gt;"")*(($D$9:$L$9+INT(($S$12:$AA$12+INDEX($AJ$13:$AR$162,BN5848,0)+INDEX($AT$13:$BB$162,BO5848,0)+INDEX($BD$13:$BL$162,BP5848,0))/100))&gt;=$D$10:$L$10)),0)</f>
        <v/>
      </c>
      <c r="BR5848">
        <f>IF(5835&lt;$U$9,SUMPRODUCT(($D$10:$L$10&lt;&gt;"")*(($D$10:$L$10-($D$9:$L$9+INT(($S$12:$AA$12+INDEX($AJ$13:$AR$162,BN5848,0)+INDEX($AT$13:$BB$162,BO5848,0)+INDEX($BD$13:$BL$162,BP5848,0))/100)))&gt;0)*($D$10:$L$10-($D$9:$L$9+INT(($S$12:$AA$12+INDEX($AJ$13:$AR$162,BN5848,0)+INDEX($AT$13:$BB$162,BO5848,0)+INDEX($BD$13:$BL$162,BP5848,0))/100)))),0)</f>
        <v/>
      </c>
      <c r="BS5848">
        <f>IF(5835&lt;$U$9,SUMPRODUCT(($D$9:$L$9+INT(($S$12:$AA$12+INDEX($AJ$13:$AR$162,BN5848,0)+INDEX($AT$13:$BB$162,BO5848,0)+INDEX($BD$13:$BL$162,BP5848,0))/100))),0)</f>
        <v/>
      </c>
      <c r="BT5848">
        <f>IF(AND(5835&lt;$U$9,$W$5),BQ5848*1000000-MIN(BR5848,999)*1000+BS5848-5835/100000,-1000000000-5835)</f>
        <v/>
      </c>
    </row>
    <row r="5849">
      <c r="BN5849">
        <f>IF(5836&lt;$U$9,INT(5836/($U$7*$U$8))+1,1)</f>
        <v/>
      </c>
      <c r="BO5849">
        <f>IF(5836&lt;$U$9,MOD(INT(5836/$U$8),$U$7)+1,1)</f>
        <v/>
      </c>
      <c r="BP5849">
        <f>IF(5836&lt;$U$9,MOD(5836,$U$8)+1,1)</f>
        <v/>
      </c>
      <c r="BQ5849">
        <f>IF(5836&lt;$U$9,SUMPRODUCT(($D$10:$L$10&lt;&gt;"")*(($D$9:$L$9+INT(($S$12:$AA$12+INDEX($AJ$13:$AR$162,BN5849,0)+INDEX($AT$13:$BB$162,BO5849,0)+INDEX($BD$13:$BL$162,BP5849,0))/100))&gt;=$D$10:$L$10)),0)</f>
        <v/>
      </c>
      <c r="BR5849">
        <f>IF(5836&lt;$U$9,SUMPRODUCT(($D$10:$L$10&lt;&gt;"")*(($D$10:$L$10-($D$9:$L$9+INT(($S$12:$AA$12+INDEX($AJ$13:$AR$162,BN5849,0)+INDEX($AT$13:$BB$162,BO5849,0)+INDEX($BD$13:$BL$162,BP5849,0))/100)))&gt;0)*($D$10:$L$10-($D$9:$L$9+INT(($S$12:$AA$12+INDEX($AJ$13:$AR$162,BN5849,0)+INDEX($AT$13:$BB$162,BO5849,0)+INDEX($BD$13:$BL$162,BP5849,0))/100)))),0)</f>
        <v/>
      </c>
      <c r="BS5849">
        <f>IF(5836&lt;$U$9,SUMPRODUCT(($D$9:$L$9+INT(($S$12:$AA$12+INDEX($AJ$13:$AR$162,BN5849,0)+INDEX($AT$13:$BB$162,BO5849,0)+INDEX($BD$13:$BL$162,BP5849,0))/100))),0)</f>
        <v/>
      </c>
      <c r="BT5849">
        <f>IF(AND(5836&lt;$U$9,$W$5),BQ5849*1000000-MIN(BR5849,999)*1000+BS5849-5836/100000,-1000000000-5836)</f>
        <v/>
      </c>
    </row>
    <row r="5850">
      <c r="BN5850">
        <f>IF(5837&lt;$U$9,INT(5837/($U$7*$U$8))+1,1)</f>
        <v/>
      </c>
      <c r="BO5850">
        <f>IF(5837&lt;$U$9,MOD(INT(5837/$U$8),$U$7)+1,1)</f>
        <v/>
      </c>
      <c r="BP5850">
        <f>IF(5837&lt;$U$9,MOD(5837,$U$8)+1,1)</f>
        <v/>
      </c>
      <c r="BQ5850">
        <f>IF(5837&lt;$U$9,SUMPRODUCT(($D$10:$L$10&lt;&gt;"")*(($D$9:$L$9+INT(($S$12:$AA$12+INDEX($AJ$13:$AR$162,BN5850,0)+INDEX($AT$13:$BB$162,BO5850,0)+INDEX($BD$13:$BL$162,BP5850,0))/100))&gt;=$D$10:$L$10)),0)</f>
        <v/>
      </c>
      <c r="BR5850">
        <f>IF(5837&lt;$U$9,SUMPRODUCT(($D$10:$L$10&lt;&gt;"")*(($D$10:$L$10-($D$9:$L$9+INT(($S$12:$AA$12+INDEX($AJ$13:$AR$162,BN5850,0)+INDEX($AT$13:$BB$162,BO5850,0)+INDEX($BD$13:$BL$162,BP5850,0))/100)))&gt;0)*($D$10:$L$10-($D$9:$L$9+INT(($S$12:$AA$12+INDEX($AJ$13:$AR$162,BN5850,0)+INDEX($AT$13:$BB$162,BO5850,0)+INDEX($BD$13:$BL$162,BP5850,0))/100)))),0)</f>
        <v/>
      </c>
      <c r="BS5850">
        <f>IF(5837&lt;$U$9,SUMPRODUCT(($D$9:$L$9+INT(($S$12:$AA$12+INDEX($AJ$13:$AR$162,BN5850,0)+INDEX($AT$13:$BB$162,BO5850,0)+INDEX($BD$13:$BL$162,BP5850,0))/100))),0)</f>
        <v/>
      </c>
      <c r="BT5850">
        <f>IF(AND(5837&lt;$U$9,$W$5),BQ5850*1000000-MIN(BR5850,999)*1000+BS5850-5837/100000,-1000000000-5837)</f>
        <v/>
      </c>
    </row>
    <row r="5851">
      <c r="BN5851">
        <f>IF(5838&lt;$U$9,INT(5838/($U$7*$U$8))+1,1)</f>
        <v/>
      </c>
      <c r="BO5851">
        <f>IF(5838&lt;$U$9,MOD(INT(5838/$U$8),$U$7)+1,1)</f>
        <v/>
      </c>
      <c r="BP5851">
        <f>IF(5838&lt;$U$9,MOD(5838,$U$8)+1,1)</f>
        <v/>
      </c>
      <c r="BQ5851">
        <f>IF(5838&lt;$U$9,SUMPRODUCT(($D$10:$L$10&lt;&gt;"")*(($D$9:$L$9+INT(($S$12:$AA$12+INDEX($AJ$13:$AR$162,BN5851,0)+INDEX($AT$13:$BB$162,BO5851,0)+INDEX($BD$13:$BL$162,BP5851,0))/100))&gt;=$D$10:$L$10)),0)</f>
        <v/>
      </c>
      <c r="BR5851">
        <f>IF(5838&lt;$U$9,SUMPRODUCT(($D$10:$L$10&lt;&gt;"")*(($D$10:$L$10-($D$9:$L$9+INT(($S$12:$AA$12+INDEX($AJ$13:$AR$162,BN5851,0)+INDEX($AT$13:$BB$162,BO5851,0)+INDEX($BD$13:$BL$162,BP5851,0))/100)))&gt;0)*($D$10:$L$10-($D$9:$L$9+INT(($S$12:$AA$12+INDEX($AJ$13:$AR$162,BN5851,0)+INDEX($AT$13:$BB$162,BO5851,0)+INDEX($BD$13:$BL$162,BP5851,0))/100)))),0)</f>
        <v/>
      </c>
      <c r="BS5851">
        <f>IF(5838&lt;$U$9,SUMPRODUCT(($D$9:$L$9+INT(($S$12:$AA$12+INDEX($AJ$13:$AR$162,BN5851,0)+INDEX($AT$13:$BB$162,BO5851,0)+INDEX($BD$13:$BL$162,BP5851,0))/100))),0)</f>
        <v/>
      </c>
      <c r="BT5851">
        <f>IF(AND(5838&lt;$U$9,$W$5),BQ5851*1000000-MIN(BR5851,999)*1000+BS5851-5838/100000,-1000000000-5838)</f>
        <v/>
      </c>
    </row>
    <row r="5852">
      <c r="BN5852">
        <f>IF(5839&lt;$U$9,INT(5839/($U$7*$U$8))+1,1)</f>
        <v/>
      </c>
      <c r="BO5852">
        <f>IF(5839&lt;$U$9,MOD(INT(5839/$U$8),$U$7)+1,1)</f>
        <v/>
      </c>
      <c r="BP5852">
        <f>IF(5839&lt;$U$9,MOD(5839,$U$8)+1,1)</f>
        <v/>
      </c>
      <c r="BQ5852">
        <f>IF(5839&lt;$U$9,SUMPRODUCT(($D$10:$L$10&lt;&gt;"")*(($D$9:$L$9+INT(($S$12:$AA$12+INDEX($AJ$13:$AR$162,BN5852,0)+INDEX($AT$13:$BB$162,BO5852,0)+INDEX($BD$13:$BL$162,BP5852,0))/100))&gt;=$D$10:$L$10)),0)</f>
        <v/>
      </c>
      <c r="BR5852">
        <f>IF(5839&lt;$U$9,SUMPRODUCT(($D$10:$L$10&lt;&gt;"")*(($D$10:$L$10-($D$9:$L$9+INT(($S$12:$AA$12+INDEX($AJ$13:$AR$162,BN5852,0)+INDEX($AT$13:$BB$162,BO5852,0)+INDEX($BD$13:$BL$162,BP5852,0))/100)))&gt;0)*($D$10:$L$10-($D$9:$L$9+INT(($S$12:$AA$12+INDEX($AJ$13:$AR$162,BN5852,0)+INDEX($AT$13:$BB$162,BO5852,0)+INDEX($BD$13:$BL$162,BP5852,0))/100)))),0)</f>
        <v/>
      </c>
      <c r="BS5852">
        <f>IF(5839&lt;$U$9,SUMPRODUCT(($D$9:$L$9+INT(($S$12:$AA$12+INDEX($AJ$13:$AR$162,BN5852,0)+INDEX($AT$13:$BB$162,BO5852,0)+INDEX($BD$13:$BL$162,BP5852,0))/100))),0)</f>
        <v/>
      </c>
      <c r="BT5852">
        <f>IF(AND(5839&lt;$U$9,$W$5),BQ5852*1000000-MIN(BR5852,999)*1000+BS5852-5839/100000,-1000000000-5839)</f>
        <v/>
      </c>
    </row>
    <row r="5853">
      <c r="BN5853">
        <f>IF(5840&lt;$U$9,INT(5840/($U$7*$U$8))+1,1)</f>
        <v/>
      </c>
      <c r="BO5853">
        <f>IF(5840&lt;$U$9,MOD(INT(5840/$U$8),$U$7)+1,1)</f>
        <v/>
      </c>
      <c r="BP5853">
        <f>IF(5840&lt;$U$9,MOD(5840,$U$8)+1,1)</f>
        <v/>
      </c>
      <c r="BQ5853">
        <f>IF(5840&lt;$U$9,SUMPRODUCT(($D$10:$L$10&lt;&gt;"")*(($D$9:$L$9+INT(($S$12:$AA$12+INDEX($AJ$13:$AR$162,BN5853,0)+INDEX($AT$13:$BB$162,BO5853,0)+INDEX($BD$13:$BL$162,BP5853,0))/100))&gt;=$D$10:$L$10)),0)</f>
        <v/>
      </c>
      <c r="BR5853">
        <f>IF(5840&lt;$U$9,SUMPRODUCT(($D$10:$L$10&lt;&gt;"")*(($D$10:$L$10-($D$9:$L$9+INT(($S$12:$AA$12+INDEX($AJ$13:$AR$162,BN5853,0)+INDEX($AT$13:$BB$162,BO5853,0)+INDEX($BD$13:$BL$162,BP5853,0))/100)))&gt;0)*($D$10:$L$10-($D$9:$L$9+INT(($S$12:$AA$12+INDEX($AJ$13:$AR$162,BN5853,0)+INDEX($AT$13:$BB$162,BO5853,0)+INDEX($BD$13:$BL$162,BP5853,0))/100)))),0)</f>
        <v/>
      </c>
      <c r="BS5853">
        <f>IF(5840&lt;$U$9,SUMPRODUCT(($D$9:$L$9+INT(($S$12:$AA$12+INDEX($AJ$13:$AR$162,BN5853,0)+INDEX($AT$13:$BB$162,BO5853,0)+INDEX($BD$13:$BL$162,BP5853,0))/100))),0)</f>
        <v/>
      </c>
      <c r="BT5853">
        <f>IF(AND(5840&lt;$U$9,$W$5),BQ5853*1000000-MIN(BR5853,999)*1000+BS5853-5840/100000,-1000000000-5840)</f>
        <v/>
      </c>
    </row>
    <row r="5854">
      <c r="BN5854">
        <f>IF(5841&lt;$U$9,INT(5841/($U$7*$U$8))+1,1)</f>
        <v/>
      </c>
      <c r="BO5854">
        <f>IF(5841&lt;$U$9,MOD(INT(5841/$U$8),$U$7)+1,1)</f>
        <v/>
      </c>
      <c r="BP5854">
        <f>IF(5841&lt;$U$9,MOD(5841,$U$8)+1,1)</f>
        <v/>
      </c>
      <c r="BQ5854">
        <f>IF(5841&lt;$U$9,SUMPRODUCT(($D$10:$L$10&lt;&gt;"")*(($D$9:$L$9+INT(($S$12:$AA$12+INDEX($AJ$13:$AR$162,BN5854,0)+INDEX($AT$13:$BB$162,BO5854,0)+INDEX($BD$13:$BL$162,BP5854,0))/100))&gt;=$D$10:$L$10)),0)</f>
        <v/>
      </c>
      <c r="BR5854">
        <f>IF(5841&lt;$U$9,SUMPRODUCT(($D$10:$L$10&lt;&gt;"")*(($D$10:$L$10-($D$9:$L$9+INT(($S$12:$AA$12+INDEX($AJ$13:$AR$162,BN5854,0)+INDEX($AT$13:$BB$162,BO5854,0)+INDEX($BD$13:$BL$162,BP5854,0))/100)))&gt;0)*($D$10:$L$10-($D$9:$L$9+INT(($S$12:$AA$12+INDEX($AJ$13:$AR$162,BN5854,0)+INDEX($AT$13:$BB$162,BO5854,0)+INDEX($BD$13:$BL$162,BP5854,0))/100)))),0)</f>
        <v/>
      </c>
      <c r="BS5854">
        <f>IF(5841&lt;$U$9,SUMPRODUCT(($D$9:$L$9+INT(($S$12:$AA$12+INDEX($AJ$13:$AR$162,BN5854,0)+INDEX($AT$13:$BB$162,BO5854,0)+INDEX($BD$13:$BL$162,BP5854,0))/100))),0)</f>
        <v/>
      </c>
      <c r="BT5854">
        <f>IF(AND(5841&lt;$U$9,$W$5),BQ5854*1000000-MIN(BR5854,999)*1000+BS5854-5841/100000,-1000000000-5841)</f>
        <v/>
      </c>
    </row>
    <row r="5855">
      <c r="BN5855">
        <f>IF(5842&lt;$U$9,INT(5842/($U$7*$U$8))+1,1)</f>
        <v/>
      </c>
      <c r="BO5855">
        <f>IF(5842&lt;$U$9,MOD(INT(5842/$U$8),$U$7)+1,1)</f>
        <v/>
      </c>
      <c r="BP5855">
        <f>IF(5842&lt;$U$9,MOD(5842,$U$8)+1,1)</f>
        <v/>
      </c>
      <c r="BQ5855">
        <f>IF(5842&lt;$U$9,SUMPRODUCT(($D$10:$L$10&lt;&gt;"")*(($D$9:$L$9+INT(($S$12:$AA$12+INDEX($AJ$13:$AR$162,BN5855,0)+INDEX($AT$13:$BB$162,BO5855,0)+INDEX($BD$13:$BL$162,BP5855,0))/100))&gt;=$D$10:$L$10)),0)</f>
        <v/>
      </c>
      <c r="BR5855">
        <f>IF(5842&lt;$U$9,SUMPRODUCT(($D$10:$L$10&lt;&gt;"")*(($D$10:$L$10-($D$9:$L$9+INT(($S$12:$AA$12+INDEX($AJ$13:$AR$162,BN5855,0)+INDEX($AT$13:$BB$162,BO5855,0)+INDEX($BD$13:$BL$162,BP5855,0))/100)))&gt;0)*($D$10:$L$10-($D$9:$L$9+INT(($S$12:$AA$12+INDEX($AJ$13:$AR$162,BN5855,0)+INDEX($AT$13:$BB$162,BO5855,0)+INDEX($BD$13:$BL$162,BP5855,0))/100)))),0)</f>
        <v/>
      </c>
      <c r="BS5855">
        <f>IF(5842&lt;$U$9,SUMPRODUCT(($D$9:$L$9+INT(($S$12:$AA$12+INDEX($AJ$13:$AR$162,BN5855,0)+INDEX($AT$13:$BB$162,BO5855,0)+INDEX($BD$13:$BL$162,BP5855,0))/100))),0)</f>
        <v/>
      </c>
      <c r="BT5855">
        <f>IF(AND(5842&lt;$U$9,$W$5),BQ5855*1000000-MIN(BR5855,999)*1000+BS5855-5842/100000,-1000000000-5842)</f>
        <v/>
      </c>
    </row>
    <row r="5856">
      <c r="BN5856">
        <f>IF(5843&lt;$U$9,INT(5843/($U$7*$U$8))+1,1)</f>
        <v/>
      </c>
      <c r="BO5856">
        <f>IF(5843&lt;$U$9,MOD(INT(5843/$U$8),$U$7)+1,1)</f>
        <v/>
      </c>
      <c r="BP5856">
        <f>IF(5843&lt;$U$9,MOD(5843,$U$8)+1,1)</f>
        <v/>
      </c>
      <c r="BQ5856">
        <f>IF(5843&lt;$U$9,SUMPRODUCT(($D$10:$L$10&lt;&gt;"")*(($D$9:$L$9+INT(($S$12:$AA$12+INDEX($AJ$13:$AR$162,BN5856,0)+INDEX($AT$13:$BB$162,BO5856,0)+INDEX($BD$13:$BL$162,BP5856,0))/100))&gt;=$D$10:$L$10)),0)</f>
        <v/>
      </c>
      <c r="BR5856">
        <f>IF(5843&lt;$U$9,SUMPRODUCT(($D$10:$L$10&lt;&gt;"")*(($D$10:$L$10-($D$9:$L$9+INT(($S$12:$AA$12+INDEX($AJ$13:$AR$162,BN5856,0)+INDEX($AT$13:$BB$162,BO5856,0)+INDEX($BD$13:$BL$162,BP5856,0))/100)))&gt;0)*($D$10:$L$10-($D$9:$L$9+INT(($S$12:$AA$12+INDEX($AJ$13:$AR$162,BN5856,0)+INDEX($AT$13:$BB$162,BO5856,0)+INDEX($BD$13:$BL$162,BP5856,0))/100)))),0)</f>
        <v/>
      </c>
      <c r="BS5856">
        <f>IF(5843&lt;$U$9,SUMPRODUCT(($D$9:$L$9+INT(($S$12:$AA$12+INDEX($AJ$13:$AR$162,BN5856,0)+INDEX($AT$13:$BB$162,BO5856,0)+INDEX($BD$13:$BL$162,BP5856,0))/100))),0)</f>
        <v/>
      </c>
      <c r="BT5856">
        <f>IF(AND(5843&lt;$U$9,$W$5),BQ5856*1000000-MIN(BR5856,999)*1000+BS5856-5843/100000,-1000000000-5843)</f>
        <v/>
      </c>
    </row>
    <row r="5857">
      <c r="BN5857">
        <f>IF(5844&lt;$U$9,INT(5844/($U$7*$U$8))+1,1)</f>
        <v/>
      </c>
      <c r="BO5857">
        <f>IF(5844&lt;$U$9,MOD(INT(5844/$U$8),$U$7)+1,1)</f>
        <v/>
      </c>
      <c r="BP5857">
        <f>IF(5844&lt;$U$9,MOD(5844,$U$8)+1,1)</f>
        <v/>
      </c>
      <c r="BQ5857">
        <f>IF(5844&lt;$U$9,SUMPRODUCT(($D$10:$L$10&lt;&gt;"")*(($D$9:$L$9+INT(($S$12:$AA$12+INDEX($AJ$13:$AR$162,BN5857,0)+INDEX($AT$13:$BB$162,BO5857,0)+INDEX($BD$13:$BL$162,BP5857,0))/100))&gt;=$D$10:$L$10)),0)</f>
        <v/>
      </c>
      <c r="BR5857">
        <f>IF(5844&lt;$U$9,SUMPRODUCT(($D$10:$L$10&lt;&gt;"")*(($D$10:$L$10-($D$9:$L$9+INT(($S$12:$AA$12+INDEX($AJ$13:$AR$162,BN5857,0)+INDEX($AT$13:$BB$162,BO5857,0)+INDEX($BD$13:$BL$162,BP5857,0))/100)))&gt;0)*($D$10:$L$10-($D$9:$L$9+INT(($S$12:$AA$12+INDEX($AJ$13:$AR$162,BN5857,0)+INDEX($AT$13:$BB$162,BO5857,0)+INDEX($BD$13:$BL$162,BP5857,0))/100)))),0)</f>
        <v/>
      </c>
      <c r="BS5857">
        <f>IF(5844&lt;$U$9,SUMPRODUCT(($D$9:$L$9+INT(($S$12:$AA$12+INDEX($AJ$13:$AR$162,BN5857,0)+INDEX($AT$13:$BB$162,BO5857,0)+INDEX($BD$13:$BL$162,BP5857,0))/100))),0)</f>
        <v/>
      </c>
      <c r="BT5857">
        <f>IF(AND(5844&lt;$U$9,$W$5),BQ5857*1000000-MIN(BR5857,999)*1000+BS5857-5844/100000,-1000000000-5844)</f>
        <v/>
      </c>
    </row>
    <row r="5858">
      <c r="BN5858">
        <f>IF(5845&lt;$U$9,INT(5845/($U$7*$U$8))+1,1)</f>
        <v/>
      </c>
      <c r="BO5858">
        <f>IF(5845&lt;$U$9,MOD(INT(5845/$U$8),$U$7)+1,1)</f>
        <v/>
      </c>
      <c r="BP5858">
        <f>IF(5845&lt;$U$9,MOD(5845,$U$8)+1,1)</f>
        <v/>
      </c>
      <c r="BQ5858">
        <f>IF(5845&lt;$U$9,SUMPRODUCT(($D$10:$L$10&lt;&gt;"")*(($D$9:$L$9+INT(($S$12:$AA$12+INDEX($AJ$13:$AR$162,BN5858,0)+INDEX($AT$13:$BB$162,BO5858,0)+INDEX($BD$13:$BL$162,BP5858,0))/100))&gt;=$D$10:$L$10)),0)</f>
        <v/>
      </c>
      <c r="BR5858">
        <f>IF(5845&lt;$U$9,SUMPRODUCT(($D$10:$L$10&lt;&gt;"")*(($D$10:$L$10-($D$9:$L$9+INT(($S$12:$AA$12+INDEX($AJ$13:$AR$162,BN5858,0)+INDEX($AT$13:$BB$162,BO5858,0)+INDEX($BD$13:$BL$162,BP5858,0))/100)))&gt;0)*($D$10:$L$10-($D$9:$L$9+INT(($S$12:$AA$12+INDEX($AJ$13:$AR$162,BN5858,0)+INDEX($AT$13:$BB$162,BO5858,0)+INDEX($BD$13:$BL$162,BP5858,0))/100)))),0)</f>
        <v/>
      </c>
      <c r="BS5858">
        <f>IF(5845&lt;$U$9,SUMPRODUCT(($D$9:$L$9+INT(($S$12:$AA$12+INDEX($AJ$13:$AR$162,BN5858,0)+INDEX($AT$13:$BB$162,BO5858,0)+INDEX($BD$13:$BL$162,BP5858,0))/100))),0)</f>
        <v/>
      </c>
      <c r="BT5858">
        <f>IF(AND(5845&lt;$U$9,$W$5),BQ5858*1000000-MIN(BR5858,999)*1000+BS5858-5845/100000,-1000000000-5845)</f>
        <v/>
      </c>
    </row>
    <row r="5859">
      <c r="BN5859">
        <f>IF(5846&lt;$U$9,INT(5846/($U$7*$U$8))+1,1)</f>
        <v/>
      </c>
      <c r="BO5859">
        <f>IF(5846&lt;$U$9,MOD(INT(5846/$U$8),$U$7)+1,1)</f>
        <v/>
      </c>
      <c r="BP5859">
        <f>IF(5846&lt;$U$9,MOD(5846,$U$8)+1,1)</f>
        <v/>
      </c>
      <c r="BQ5859">
        <f>IF(5846&lt;$U$9,SUMPRODUCT(($D$10:$L$10&lt;&gt;"")*(($D$9:$L$9+INT(($S$12:$AA$12+INDEX($AJ$13:$AR$162,BN5859,0)+INDEX($AT$13:$BB$162,BO5859,0)+INDEX($BD$13:$BL$162,BP5859,0))/100))&gt;=$D$10:$L$10)),0)</f>
        <v/>
      </c>
      <c r="BR5859">
        <f>IF(5846&lt;$U$9,SUMPRODUCT(($D$10:$L$10&lt;&gt;"")*(($D$10:$L$10-($D$9:$L$9+INT(($S$12:$AA$12+INDEX($AJ$13:$AR$162,BN5859,0)+INDEX($AT$13:$BB$162,BO5859,0)+INDEX($BD$13:$BL$162,BP5859,0))/100)))&gt;0)*($D$10:$L$10-($D$9:$L$9+INT(($S$12:$AA$12+INDEX($AJ$13:$AR$162,BN5859,0)+INDEX($AT$13:$BB$162,BO5859,0)+INDEX($BD$13:$BL$162,BP5859,0))/100)))),0)</f>
        <v/>
      </c>
      <c r="BS5859">
        <f>IF(5846&lt;$U$9,SUMPRODUCT(($D$9:$L$9+INT(($S$12:$AA$12+INDEX($AJ$13:$AR$162,BN5859,0)+INDEX($AT$13:$BB$162,BO5859,0)+INDEX($BD$13:$BL$162,BP5859,0))/100))),0)</f>
        <v/>
      </c>
      <c r="BT5859">
        <f>IF(AND(5846&lt;$U$9,$W$5),BQ5859*1000000-MIN(BR5859,999)*1000+BS5859-5846/100000,-1000000000-5846)</f>
        <v/>
      </c>
    </row>
    <row r="5860">
      <c r="BN5860">
        <f>IF(5847&lt;$U$9,INT(5847/($U$7*$U$8))+1,1)</f>
        <v/>
      </c>
      <c r="BO5860">
        <f>IF(5847&lt;$U$9,MOD(INT(5847/$U$8),$U$7)+1,1)</f>
        <v/>
      </c>
      <c r="BP5860">
        <f>IF(5847&lt;$U$9,MOD(5847,$U$8)+1,1)</f>
        <v/>
      </c>
      <c r="BQ5860">
        <f>IF(5847&lt;$U$9,SUMPRODUCT(($D$10:$L$10&lt;&gt;"")*(($D$9:$L$9+INT(($S$12:$AA$12+INDEX($AJ$13:$AR$162,BN5860,0)+INDEX($AT$13:$BB$162,BO5860,0)+INDEX($BD$13:$BL$162,BP5860,0))/100))&gt;=$D$10:$L$10)),0)</f>
        <v/>
      </c>
      <c r="BR5860">
        <f>IF(5847&lt;$U$9,SUMPRODUCT(($D$10:$L$10&lt;&gt;"")*(($D$10:$L$10-($D$9:$L$9+INT(($S$12:$AA$12+INDEX($AJ$13:$AR$162,BN5860,0)+INDEX($AT$13:$BB$162,BO5860,0)+INDEX($BD$13:$BL$162,BP5860,0))/100)))&gt;0)*($D$10:$L$10-($D$9:$L$9+INT(($S$12:$AA$12+INDEX($AJ$13:$AR$162,BN5860,0)+INDEX($AT$13:$BB$162,BO5860,0)+INDEX($BD$13:$BL$162,BP5860,0))/100)))),0)</f>
        <v/>
      </c>
      <c r="BS5860">
        <f>IF(5847&lt;$U$9,SUMPRODUCT(($D$9:$L$9+INT(($S$12:$AA$12+INDEX($AJ$13:$AR$162,BN5860,0)+INDEX($AT$13:$BB$162,BO5860,0)+INDEX($BD$13:$BL$162,BP5860,0))/100))),0)</f>
        <v/>
      </c>
      <c r="BT5860">
        <f>IF(AND(5847&lt;$U$9,$W$5),BQ5860*1000000-MIN(BR5860,999)*1000+BS5860-5847/100000,-1000000000-5847)</f>
        <v/>
      </c>
    </row>
    <row r="5861">
      <c r="BN5861">
        <f>IF(5848&lt;$U$9,INT(5848/($U$7*$U$8))+1,1)</f>
        <v/>
      </c>
      <c r="BO5861">
        <f>IF(5848&lt;$U$9,MOD(INT(5848/$U$8),$U$7)+1,1)</f>
        <v/>
      </c>
      <c r="BP5861">
        <f>IF(5848&lt;$U$9,MOD(5848,$U$8)+1,1)</f>
        <v/>
      </c>
      <c r="BQ5861">
        <f>IF(5848&lt;$U$9,SUMPRODUCT(($D$10:$L$10&lt;&gt;"")*(($D$9:$L$9+INT(($S$12:$AA$12+INDEX($AJ$13:$AR$162,BN5861,0)+INDEX($AT$13:$BB$162,BO5861,0)+INDEX($BD$13:$BL$162,BP5861,0))/100))&gt;=$D$10:$L$10)),0)</f>
        <v/>
      </c>
      <c r="BR5861">
        <f>IF(5848&lt;$U$9,SUMPRODUCT(($D$10:$L$10&lt;&gt;"")*(($D$10:$L$10-($D$9:$L$9+INT(($S$12:$AA$12+INDEX($AJ$13:$AR$162,BN5861,0)+INDEX($AT$13:$BB$162,BO5861,0)+INDEX($BD$13:$BL$162,BP5861,0))/100)))&gt;0)*($D$10:$L$10-($D$9:$L$9+INT(($S$12:$AA$12+INDEX($AJ$13:$AR$162,BN5861,0)+INDEX($AT$13:$BB$162,BO5861,0)+INDEX($BD$13:$BL$162,BP5861,0))/100)))),0)</f>
        <v/>
      </c>
      <c r="BS5861">
        <f>IF(5848&lt;$U$9,SUMPRODUCT(($D$9:$L$9+INT(($S$12:$AA$12+INDEX($AJ$13:$AR$162,BN5861,0)+INDEX($AT$13:$BB$162,BO5861,0)+INDEX($BD$13:$BL$162,BP5861,0))/100))),0)</f>
        <v/>
      </c>
      <c r="BT5861">
        <f>IF(AND(5848&lt;$U$9,$W$5),BQ5861*1000000-MIN(BR5861,999)*1000+BS5861-5848/100000,-1000000000-5848)</f>
        <v/>
      </c>
    </row>
    <row r="5862">
      <c r="BN5862">
        <f>IF(5849&lt;$U$9,INT(5849/($U$7*$U$8))+1,1)</f>
        <v/>
      </c>
      <c r="BO5862">
        <f>IF(5849&lt;$U$9,MOD(INT(5849/$U$8),$U$7)+1,1)</f>
        <v/>
      </c>
      <c r="BP5862">
        <f>IF(5849&lt;$U$9,MOD(5849,$U$8)+1,1)</f>
        <v/>
      </c>
      <c r="BQ5862">
        <f>IF(5849&lt;$U$9,SUMPRODUCT(($D$10:$L$10&lt;&gt;"")*(($D$9:$L$9+INT(($S$12:$AA$12+INDEX($AJ$13:$AR$162,BN5862,0)+INDEX($AT$13:$BB$162,BO5862,0)+INDEX($BD$13:$BL$162,BP5862,0))/100))&gt;=$D$10:$L$10)),0)</f>
        <v/>
      </c>
      <c r="BR5862">
        <f>IF(5849&lt;$U$9,SUMPRODUCT(($D$10:$L$10&lt;&gt;"")*(($D$10:$L$10-($D$9:$L$9+INT(($S$12:$AA$12+INDEX($AJ$13:$AR$162,BN5862,0)+INDEX($AT$13:$BB$162,BO5862,0)+INDEX($BD$13:$BL$162,BP5862,0))/100)))&gt;0)*($D$10:$L$10-($D$9:$L$9+INT(($S$12:$AA$12+INDEX($AJ$13:$AR$162,BN5862,0)+INDEX($AT$13:$BB$162,BO5862,0)+INDEX($BD$13:$BL$162,BP5862,0))/100)))),0)</f>
        <v/>
      </c>
      <c r="BS5862">
        <f>IF(5849&lt;$U$9,SUMPRODUCT(($D$9:$L$9+INT(($S$12:$AA$12+INDEX($AJ$13:$AR$162,BN5862,0)+INDEX($AT$13:$BB$162,BO5862,0)+INDEX($BD$13:$BL$162,BP5862,0))/100))),0)</f>
        <v/>
      </c>
      <c r="BT5862">
        <f>IF(AND(5849&lt;$U$9,$W$5),BQ5862*1000000-MIN(BR5862,999)*1000+BS5862-5849/100000,-1000000000-5849)</f>
        <v/>
      </c>
    </row>
    <row r="5863">
      <c r="BN5863">
        <f>IF(5850&lt;$U$9,INT(5850/($U$7*$U$8))+1,1)</f>
        <v/>
      </c>
      <c r="BO5863">
        <f>IF(5850&lt;$U$9,MOD(INT(5850/$U$8),$U$7)+1,1)</f>
        <v/>
      </c>
      <c r="BP5863">
        <f>IF(5850&lt;$U$9,MOD(5850,$U$8)+1,1)</f>
        <v/>
      </c>
      <c r="BQ5863">
        <f>IF(5850&lt;$U$9,SUMPRODUCT(($D$10:$L$10&lt;&gt;"")*(($D$9:$L$9+INT(($S$12:$AA$12+INDEX($AJ$13:$AR$162,BN5863,0)+INDEX($AT$13:$BB$162,BO5863,0)+INDEX($BD$13:$BL$162,BP5863,0))/100))&gt;=$D$10:$L$10)),0)</f>
        <v/>
      </c>
      <c r="BR5863">
        <f>IF(5850&lt;$U$9,SUMPRODUCT(($D$10:$L$10&lt;&gt;"")*(($D$10:$L$10-($D$9:$L$9+INT(($S$12:$AA$12+INDEX($AJ$13:$AR$162,BN5863,0)+INDEX($AT$13:$BB$162,BO5863,0)+INDEX($BD$13:$BL$162,BP5863,0))/100)))&gt;0)*($D$10:$L$10-($D$9:$L$9+INT(($S$12:$AA$12+INDEX($AJ$13:$AR$162,BN5863,0)+INDEX($AT$13:$BB$162,BO5863,0)+INDEX($BD$13:$BL$162,BP5863,0))/100)))),0)</f>
        <v/>
      </c>
      <c r="BS5863">
        <f>IF(5850&lt;$U$9,SUMPRODUCT(($D$9:$L$9+INT(($S$12:$AA$12+INDEX($AJ$13:$AR$162,BN5863,0)+INDEX($AT$13:$BB$162,BO5863,0)+INDEX($BD$13:$BL$162,BP5863,0))/100))),0)</f>
        <v/>
      </c>
      <c r="BT5863">
        <f>IF(AND(5850&lt;$U$9,$W$5),BQ5863*1000000-MIN(BR5863,999)*1000+BS5863-5850/100000,-1000000000-5850)</f>
        <v/>
      </c>
    </row>
    <row r="5864">
      <c r="BN5864">
        <f>IF(5851&lt;$U$9,INT(5851/($U$7*$U$8))+1,1)</f>
        <v/>
      </c>
      <c r="BO5864">
        <f>IF(5851&lt;$U$9,MOD(INT(5851/$U$8),$U$7)+1,1)</f>
        <v/>
      </c>
      <c r="BP5864">
        <f>IF(5851&lt;$U$9,MOD(5851,$U$8)+1,1)</f>
        <v/>
      </c>
      <c r="BQ5864">
        <f>IF(5851&lt;$U$9,SUMPRODUCT(($D$10:$L$10&lt;&gt;"")*(($D$9:$L$9+INT(($S$12:$AA$12+INDEX($AJ$13:$AR$162,BN5864,0)+INDEX($AT$13:$BB$162,BO5864,0)+INDEX($BD$13:$BL$162,BP5864,0))/100))&gt;=$D$10:$L$10)),0)</f>
        <v/>
      </c>
      <c r="BR5864">
        <f>IF(5851&lt;$U$9,SUMPRODUCT(($D$10:$L$10&lt;&gt;"")*(($D$10:$L$10-($D$9:$L$9+INT(($S$12:$AA$12+INDEX($AJ$13:$AR$162,BN5864,0)+INDEX($AT$13:$BB$162,BO5864,0)+INDEX($BD$13:$BL$162,BP5864,0))/100)))&gt;0)*($D$10:$L$10-($D$9:$L$9+INT(($S$12:$AA$12+INDEX($AJ$13:$AR$162,BN5864,0)+INDEX($AT$13:$BB$162,BO5864,0)+INDEX($BD$13:$BL$162,BP5864,0))/100)))),0)</f>
        <v/>
      </c>
      <c r="BS5864">
        <f>IF(5851&lt;$U$9,SUMPRODUCT(($D$9:$L$9+INT(($S$12:$AA$12+INDEX($AJ$13:$AR$162,BN5864,0)+INDEX($AT$13:$BB$162,BO5864,0)+INDEX($BD$13:$BL$162,BP5864,0))/100))),0)</f>
        <v/>
      </c>
      <c r="BT5864">
        <f>IF(AND(5851&lt;$U$9,$W$5),BQ5864*1000000-MIN(BR5864,999)*1000+BS5864-5851/100000,-1000000000-5851)</f>
        <v/>
      </c>
    </row>
    <row r="5865">
      <c r="BN5865">
        <f>IF(5852&lt;$U$9,INT(5852/($U$7*$U$8))+1,1)</f>
        <v/>
      </c>
      <c r="BO5865">
        <f>IF(5852&lt;$U$9,MOD(INT(5852/$U$8),$U$7)+1,1)</f>
        <v/>
      </c>
      <c r="BP5865">
        <f>IF(5852&lt;$U$9,MOD(5852,$U$8)+1,1)</f>
        <v/>
      </c>
      <c r="BQ5865">
        <f>IF(5852&lt;$U$9,SUMPRODUCT(($D$10:$L$10&lt;&gt;"")*(($D$9:$L$9+INT(($S$12:$AA$12+INDEX($AJ$13:$AR$162,BN5865,0)+INDEX($AT$13:$BB$162,BO5865,0)+INDEX($BD$13:$BL$162,BP5865,0))/100))&gt;=$D$10:$L$10)),0)</f>
        <v/>
      </c>
      <c r="BR5865">
        <f>IF(5852&lt;$U$9,SUMPRODUCT(($D$10:$L$10&lt;&gt;"")*(($D$10:$L$10-($D$9:$L$9+INT(($S$12:$AA$12+INDEX($AJ$13:$AR$162,BN5865,0)+INDEX($AT$13:$BB$162,BO5865,0)+INDEX($BD$13:$BL$162,BP5865,0))/100)))&gt;0)*($D$10:$L$10-($D$9:$L$9+INT(($S$12:$AA$12+INDEX($AJ$13:$AR$162,BN5865,0)+INDEX($AT$13:$BB$162,BO5865,0)+INDEX($BD$13:$BL$162,BP5865,0))/100)))),0)</f>
        <v/>
      </c>
      <c r="BS5865">
        <f>IF(5852&lt;$U$9,SUMPRODUCT(($D$9:$L$9+INT(($S$12:$AA$12+INDEX($AJ$13:$AR$162,BN5865,0)+INDEX($AT$13:$BB$162,BO5865,0)+INDEX($BD$13:$BL$162,BP5865,0))/100))),0)</f>
        <v/>
      </c>
      <c r="BT5865">
        <f>IF(AND(5852&lt;$U$9,$W$5),BQ5865*1000000-MIN(BR5865,999)*1000+BS5865-5852/100000,-1000000000-5852)</f>
        <v/>
      </c>
    </row>
    <row r="5866">
      <c r="BN5866">
        <f>IF(5853&lt;$U$9,INT(5853/($U$7*$U$8))+1,1)</f>
        <v/>
      </c>
      <c r="BO5866">
        <f>IF(5853&lt;$U$9,MOD(INT(5853/$U$8),$U$7)+1,1)</f>
        <v/>
      </c>
      <c r="BP5866">
        <f>IF(5853&lt;$U$9,MOD(5853,$U$8)+1,1)</f>
        <v/>
      </c>
      <c r="BQ5866">
        <f>IF(5853&lt;$U$9,SUMPRODUCT(($D$10:$L$10&lt;&gt;"")*(($D$9:$L$9+INT(($S$12:$AA$12+INDEX($AJ$13:$AR$162,BN5866,0)+INDEX($AT$13:$BB$162,BO5866,0)+INDEX($BD$13:$BL$162,BP5866,0))/100))&gt;=$D$10:$L$10)),0)</f>
        <v/>
      </c>
      <c r="BR5866">
        <f>IF(5853&lt;$U$9,SUMPRODUCT(($D$10:$L$10&lt;&gt;"")*(($D$10:$L$10-($D$9:$L$9+INT(($S$12:$AA$12+INDEX($AJ$13:$AR$162,BN5866,0)+INDEX($AT$13:$BB$162,BO5866,0)+INDEX($BD$13:$BL$162,BP5866,0))/100)))&gt;0)*($D$10:$L$10-($D$9:$L$9+INT(($S$12:$AA$12+INDEX($AJ$13:$AR$162,BN5866,0)+INDEX($AT$13:$BB$162,BO5866,0)+INDEX($BD$13:$BL$162,BP5866,0))/100)))),0)</f>
        <v/>
      </c>
      <c r="BS5866">
        <f>IF(5853&lt;$U$9,SUMPRODUCT(($D$9:$L$9+INT(($S$12:$AA$12+INDEX($AJ$13:$AR$162,BN5866,0)+INDEX($AT$13:$BB$162,BO5866,0)+INDEX($BD$13:$BL$162,BP5866,0))/100))),0)</f>
        <v/>
      </c>
      <c r="BT5866">
        <f>IF(AND(5853&lt;$U$9,$W$5),BQ5866*1000000-MIN(BR5866,999)*1000+BS5866-5853/100000,-1000000000-5853)</f>
        <v/>
      </c>
    </row>
    <row r="5867">
      <c r="BN5867">
        <f>IF(5854&lt;$U$9,INT(5854/($U$7*$U$8))+1,1)</f>
        <v/>
      </c>
      <c r="BO5867">
        <f>IF(5854&lt;$U$9,MOD(INT(5854/$U$8),$U$7)+1,1)</f>
        <v/>
      </c>
      <c r="BP5867">
        <f>IF(5854&lt;$U$9,MOD(5854,$U$8)+1,1)</f>
        <v/>
      </c>
      <c r="BQ5867">
        <f>IF(5854&lt;$U$9,SUMPRODUCT(($D$10:$L$10&lt;&gt;"")*(($D$9:$L$9+INT(($S$12:$AA$12+INDEX($AJ$13:$AR$162,BN5867,0)+INDEX($AT$13:$BB$162,BO5867,0)+INDEX($BD$13:$BL$162,BP5867,0))/100))&gt;=$D$10:$L$10)),0)</f>
        <v/>
      </c>
      <c r="BR5867">
        <f>IF(5854&lt;$U$9,SUMPRODUCT(($D$10:$L$10&lt;&gt;"")*(($D$10:$L$10-($D$9:$L$9+INT(($S$12:$AA$12+INDEX($AJ$13:$AR$162,BN5867,0)+INDEX($AT$13:$BB$162,BO5867,0)+INDEX($BD$13:$BL$162,BP5867,0))/100)))&gt;0)*($D$10:$L$10-($D$9:$L$9+INT(($S$12:$AA$12+INDEX($AJ$13:$AR$162,BN5867,0)+INDEX($AT$13:$BB$162,BO5867,0)+INDEX($BD$13:$BL$162,BP5867,0))/100)))),0)</f>
        <v/>
      </c>
      <c r="BS5867">
        <f>IF(5854&lt;$U$9,SUMPRODUCT(($D$9:$L$9+INT(($S$12:$AA$12+INDEX($AJ$13:$AR$162,BN5867,0)+INDEX($AT$13:$BB$162,BO5867,0)+INDEX($BD$13:$BL$162,BP5867,0))/100))),0)</f>
        <v/>
      </c>
      <c r="BT5867">
        <f>IF(AND(5854&lt;$U$9,$W$5),BQ5867*1000000-MIN(BR5867,999)*1000+BS5867-5854/100000,-1000000000-5854)</f>
        <v/>
      </c>
    </row>
    <row r="5868">
      <c r="BN5868">
        <f>IF(5855&lt;$U$9,INT(5855/($U$7*$U$8))+1,1)</f>
        <v/>
      </c>
      <c r="BO5868">
        <f>IF(5855&lt;$U$9,MOD(INT(5855/$U$8),$U$7)+1,1)</f>
        <v/>
      </c>
      <c r="BP5868">
        <f>IF(5855&lt;$U$9,MOD(5855,$U$8)+1,1)</f>
        <v/>
      </c>
      <c r="BQ5868">
        <f>IF(5855&lt;$U$9,SUMPRODUCT(($D$10:$L$10&lt;&gt;"")*(($D$9:$L$9+INT(($S$12:$AA$12+INDEX($AJ$13:$AR$162,BN5868,0)+INDEX($AT$13:$BB$162,BO5868,0)+INDEX($BD$13:$BL$162,BP5868,0))/100))&gt;=$D$10:$L$10)),0)</f>
        <v/>
      </c>
      <c r="BR5868">
        <f>IF(5855&lt;$U$9,SUMPRODUCT(($D$10:$L$10&lt;&gt;"")*(($D$10:$L$10-($D$9:$L$9+INT(($S$12:$AA$12+INDEX($AJ$13:$AR$162,BN5868,0)+INDEX($AT$13:$BB$162,BO5868,0)+INDEX($BD$13:$BL$162,BP5868,0))/100)))&gt;0)*($D$10:$L$10-($D$9:$L$9+INT(($S$12:$AA$12+INDEX($AJ$13:$AR$162,BN5868,0)+INDEX($AT$13:$BB$162,BO5868,0)+INDEX($BD$13:$BL$162,BP5868,0))/100)))),0)</f>
        <v/>
      </c>
      <c r="BS5868">
        <f>IF(5855&lt;$U$9,SUMPRODUCT(($D$9:$L$9+INT(($S$12:$AA$12+INDEX($AJ$13:$AR$162,BN5868,0)+INDEX($AT$13:$BB$162,BO5868,0)+INDEX($BD$13:$BL$162,BP5868,0))/100))),0)</f>
        <v/>
      </c>
      <c r="BT5868">
        <f>IF(AND(5855&lt;$U$9,$W$5),BQ5868*1000000-MIN(BR5868,999)*1000+BS5868-5855/100000,-1000000000-5855)</f>
        <v/>
      </c>
    </row>
    <row r="5869">
      <c r="BN5869">
        <f>IF(5856&lt;$U$9,INT(5856/($U$7*$U$8))+1,1)</f>
        <v/>
      </c>
      <c r="BO5869">
        <f>IF(5856&lt;$U$9,MOD(INT(5856/$U$8),$U$7)+1,1)</f>
        <v/>
      </c>
      <c r="BP5869">
        <f>IF(5856&lt;$U$9,MOD(5856,$U$8)+1,1)</f>
        <v/>
      </c>
      <c r="BQ5869">
        <f>IF(5856&lt;$U$9,SUMPRODUCT(($D$10:$L$10&lt;&gt;"")*(($D$9:$L$9+INT(($S$12:$AA$12+INDEX($AJ$13:$AR$162,BN5869,0)+INDEX($AT$13:$BB$162,BO5869,0)+INDEX($BD$13:$BL$162,BP5869,0))/100))&gt;=$D$10:$L$10)),0)</f>
        <v/>
      </c>
      <c r="BR5869">
        <f>IF(5856&lt;$U$9,SUMPRODUCT(($D$10:$L$10&lt;&gt;"")*(($D$10:$L$10-($D$9:$L$9+INT(($S$12:$AA$12+INDEX($AJ$13:$AR$162,BN5869,0)+INDEX($AT$13:$BB$162,BO5869,0)+INDEX($BD$13:$BL$162,BP5869,0))/100)))&gt;0)*($D$10:$L$10-($D$9:$L$9+INT(($S$12:$AA$12+INDEX($AJ$13:$AR$162,BN5869,0)+INDEX($AT$13:$BB$162,BO5869,0)+INDEX($BD$13:$BL$162,BP5869,0))/100)))),0)</f>
        <v/>
      </c>
      <c r="BS5869">
        <f>IF(5856&lt;$U$9,SUMPRODUCT(($D$9:$L$9+INT(($S$12:$AA$12+INDEX($AJ$13:$AR$162,BN5869,0)+INDEX($AT$13:$BB$162,BO5869,0)+INDEX($BD$13:$BL$162,BP5869,0))/100))),0)</f>
        <v/>
      </c>
      <c r="BT5869">
        <f>IF(AND(5856&lt;$U$9,$W$5),BQ5869*1000000-MIN(BR5869,999)*1000+BS5869-5856/100000,-1000000000-5856)</f>
        <v/>
      </c>
    </row>
    <row r="5870">
      <c r="BN5870">
        <f>IF(5857&lt;$U$9,INT(5857/($U$7*$U$8))+1,1)</f>
        <v/>
      </c>
      <c r="BO5870">
        <f>IF(5857&lt;$U$9,MOD(INT(5857/$U$8),$U$7)+1,1)</f>
        <v/>
      </c>
      <c r="BP5870">
        <f>IF(5857&lt;$U$9,MOD(5857,$U$8)+1,1)</f>
        <v/>
      </c>
      <c r="BQ5870">
        <f>IF(5857&lt;$U$9,SUMPRODUCT(($D$10:$L$10&lt;&gt;"")*(($D$9:$L$9+INT(($S$12:$AA$12+INDEX($AJ$13:$AR$162,BN5870,0)+INDEX($AT$13:$BB$162,BO5870,0)+INDEX($BD$13:$BL$162,BP5870,0))/100))&gt;=$D$10:$L$10)),0)</f>
        <v/>
      </c>
      <c r="BR5870">
        <f>IF(5857&lt;$U$9,SUMPRODUCT(($D$10:$L$10&lt;&gt;"")*(($D$10:$L$10-($D$9:$L$9+INT(($S$12:$AA$12+INDEX($AJ$13:$AR$162,BN5870,0)+INDEX($AT$13:$BB$162,BO5870,0)+INDEX($BD$13:$BL$162,BP5870,0))/100)))&gt;0)*($D$10:$L$10-($D$9:$L$9+INT(($S$12:$AA$12+INDEX($AJ$13:$AR$162,BN5870,0)+INDEX($AT$13:$BB$162,BO5870,0)+INDEX($BD$13:$BL$162,BP5870,0))/100)))),0)</f>
        <v/>
      </c>
      <c r="BS5870">
        <f>IF(5857&lt;$U$9,SUMPRODUCT(($D$9:$L$9+INT(($S$12:$AA$12+INDEX($AJ$13:$AR$162,BN5870,0)+INDEX($AT$13:$BB$162,BO5870,0)+INDEX($BD$13:$BL$162,BP5870,0))/100))),0)</f>
        <v/>
      </c>
      <c r="BT5870">
        <f>IF(AND(5857&lt;$U$9,$W$5),BQ5870*1000000-MIN(BR5870,999)*1000+BS5870-5857/100000,-1000000000-5857)</f>
        <v/>
      </c>
    </row>
    <row r="5871">
      <c r="BN5871">
        <f>IF(5858&lt;$U$9,INT(5858/($U$7*$U$8))+1,1)</f>
        <v/>
      </c>
      <c r="BO5871">
        <f>IF(5858&lt;$U$9,MOD(INT(5858/$U$8),$U$7)+1,1)</f>
        <v/>
      </c>
      <c r="BP5871">
        <f>IF(5858&lt;$U$9,MOD(5858,$U$8)+1,1)</f>
        <v/>
      </c>
      <c r="BQ5871">
        <f>IF(5858&lt;$U$9,SUMPRODUCT(($D$10:$L$10&lt;&gt;"")*(($D$9:$L$9+INT(($S$12:$AA$12+INDEX($AJ$13:$AR$162,BN5871,0)+INDEX($AT$13:$BB$162,BO5871,0)+INDEX($BD$13:$BL$162,BP5871,0))/100))&gt;=$D$10:$L$10)),0)</f>
        <v/>
      </c>
      <c r="BR5871">
        <f>IF(5858&lt;$U$9,SUMPRODUCT(($D$10:$L$10&lt;&gt;"")*(($D$10:$L$10-($D$9:$L$9+INT(($S$12:$AA$12+INDEX($AJ$13:$AR$162,BN5871,0)+INDEX($AT$13:$BB$162,BO5871,0)+INDEX($BD$13:$BL$162,BP5871,0))/100)))&gt;0)*($D$10:$L$10-($D$9:$L$9+INT(($S$12:$AA$12+INDEX($AJ$13:$AR$162,BN5871,0)+INDEX($AT$13:$BB$162,BO5871,0)+INDEX($BD$13:$BL$162,BP5871,0))/100)))),0)</f>
        <v/>
      </c>
      <c r="BS5871">
        <f>IF(5858&lt;$U$9,SUMPRODUCT(($D$9:$L$9+INT(($S$12:$AA$12+INDEX($AJ$13:$AR$162,BN5871,0)+INDEX($AT$13:$BB$162,BO5871,0)+INDEX($BD$13:$BL$162,BP5871,0))/100))),0)</f>
        <v/>
      </c>
      <c r="BT5871">
        <f>IF(AND(5858&lt;$U$9,$W$5),BQ5871*1000000-MIN(BR5871,999)*1000+BS5871-5858/100000,-1000000000-5858)</f>
        <v/>
      </c>
    </row>
    <row r="5872">
      <c r="BN5872">
        <f>IF(5859&lt;$U$9,INT(5859/($U$7*$U$8))+1,1)</f>
        <v/>
      </c>
      <c r="BO5872">
        <f>IF(5859&lt;$U$9,MOD(INT(5859/$U$8),$U$7)+1,1)</f>
        <v/>
      </c>
      <c r="BP5872">
        <f>IF(5859&lt;$U$9,MOD(5859,$U$8)+1,1)</f>
        <v/>
      </c>
      <c r="BQ5872">
        <f>IF(5859&lt;$U$9,SUMPRODUCT(($D$10:$L$10&lt;&gt;"")*(($D$9:$L$9+INT(($S$12:$AA$12+INDEX($AJ$13:$AR$162,BN5872,0)+INDEX($AT$13:$BB$162,BO5872,0)+INDEX($BD$13:$BL$162,BP5872,0))/100))&gt;=$D$10:$L$10)),0)</f>
        <v/>
      </c>
      <c r="BR5872">
        <f>IF(5859&lt;$U$9,SUMPRODUCT(($D$10:$L$10&lt;&gt;"")*(($D$10:$L$10-($D$9:$L$9+INT(($S$12:$AA$12+INDEX($AJ$13:$AR$162,BN5872,0)+INDEX($AT$13:$BB$162,BO5872,0)+INDEX($BD$13:$BL$162,BP5872,0))/100)))&gt;0)*($D$10:$L$10-($D$9:$L$9+INT(($S$12:$AA$12+INDEX($AJ$13:$AR$162,BN5872,0)+INDEX($AT$13:$BB$162,BO5872,0)+INDEX($BD$13:$BL$162,BP5872,0))/100)))),0)</f>
        <v/>
      </c>
      <c r="BS5872">
        <f>IF(5859&lt;$U$9,SUMPRODUCT(($D$9:$L$9+INT(($S$12:$AA$12+INDEX($AJ$13:$AR$162,BN5872,0)+INDEX($AT$13:$BB$162,BO5872,0)+INDEX($BD$13:$BL$162,BP5872,0))/100))),0)</f>
        <v/>
      </c>
      <c r="BT5872">
        <f>IF(AND(5859&lt;$U$9,$W$5),BQ5872*1000000-MIN(BR5872,999)*1000+BS5872-5859/100000,-1000000000-5859)</f>
        <v/>
      </c>
    </row>
    <row r="5873">
      <c r="BN5873">
        <f>IF(5860&lt;$U$9,INT(5860/($U$7*$U$8))+1,1)</f>
        <v/>
      </c>
      <c r="BO5873">
        <f>IF(5860&lt;$U$9,MOD(INT(5860/$U$8),$U$7)+1,1)</f>
        <v/>
      </c>
      <c r="BP5873">
        <f>IF(5860&lt;$U$9,MOD(5860,$U$8)+1,1)</f>
        <v/>
      </c>
      <c r="BQ5873">
        <f>IF(5860&lt;$U$9,SUMPRODUCT(($D$10:$L$10&lt;&gt;"")*(($D$9:$L$9+INT(($S$12:$AA$12+INDEX($AJ$13:$AR$162,BN5873,0)+INDEX($AT$13:$BB$162,BO5873,0)+INDEX($BD$13:$BL$162,BP5873,0))/100))&gt;=$D$10:$L$10)),0)</f>
        <v/>
      </c>
      <c r="BR5873">
        <f>IF(5860&lt;$U$9,SUMPRODUCT(($D$10:$L$10&lt;&gt;"")*(($D$10:$L$10-($D$9:$L$9+INT(($S$12:$AA$12+INDEX($AJ$13:$AR$162,BN5873,0)+INDEX($AT$13:$BB$162,BO5873,0)+INDEX($BD$13:$BL$162,BP5873,0))/100)))&gt;0)*($D$10:$L$10-($D$9:$L$9+INT(($S$12:$AA$12+INDEX($AJ$13:$AR$162,BN5873,0)+INDEX($AT$13:$BB$162,BO5873,0)+INDEX($BD$13:$BL$162,BP5873,0))/100)))),0)</f>
        <v/>
      </c>
      <c r="BS5873">
        <f>IF(5860&lt;$U$9,SUMPRODUCT(($D$9:$L$9+INT(($S$12:$AA$12+INDEX($AJ$13:$AR$162,BN5873,0)+INDEX($AT$13:$BB$162,BO5873,0)+INDEX($BD$13:$BL$162,BP5873,0))/100))),0)</f>
        <v/>
      </c>
      <c r="BT5873">
        <f>IF(AND(5860&lt;$U$9,$W$5),BQ5873*1000000-MIN(BR5873,999)*1000+BS5873-5860/100000,-1000000000-5860)</f>
        <v/>
      </c>
    </row>
    <row r="5874">
      <c r="BN5874">
        <f>IF(5861&lt;$U$9,INT(5861/($U$7*$U$8))+1,1)</f>
        <v/>
      </c>
      <c r="BO5874">
        <f>IF(5861&lt;$U$9,MOD(INT(5861/$U$8),$U$7)+1,1)</f>
        <v/>
      </c>
      <c r="BP5874">
        <f>IF(5861&lt;$U$9,MOD(5861,$U$8)+1,1)</f>
        <v/>
      </c>
      <c r="BQ5874">
        <f>IF(5861&lt;$U$9,SUMPRODUCT(($D$10:$L$10&lt;&gt;"")*(($D$9:$L$9+INT(($S$12:$AA$12+INDEX($AJ$13:$AR$162,BN5874,0)+INDEX($AT$13:$BB$162,BO5874,0)+INDEX($BD$13:$BL$162,BP5874,0))/100))&gt;=$D$10:$L$10)),0)</f>
        <v/>
      </c>
      <c r="BR5874">
        <f>IF(5861&lt;$U$9,SUMPRODUCT(($D$10:$L$10&lt;&gt;"")*(($D$10:$L$10-($D$9:$L$9+INT(($S$12:$AA$12+INDEX($AJ$13:$AR$162,BN5874,0)+INDEX($AT$13:$BB$162,BO5874,0)+INDEX($BD$13:$BL$162,BP5874,0))/100)))&gt;0)*($D$10:$L$10-($D$9:$L$9+INT(($S$12:$AA$12+INDEX($AJ$13:$AR$162,BN5874,0)+INDEX($AT$13:$BB$162,BO5874,0)+INDEX($BD$13:$BL$162,BP5874,0))/100)))),0)</f>
        <v/>
      </c>
      <c r="BS5874">
        <f>IF(5861&lt;$U$9,SUMPRODUCT(($D$9:$L$9+INT(($S$12:$AA$12+INDEX($AJ$13:$AR$162,BN5874,0)+INDEX($AT$13:$BB$162,BO5874,0)+INDEX($BD$13:$BL$162,BP5874,0))/100))),0)</f>
        <v/>
      </c>
      <c r="BT5874">
        <f>IF(AND(5861&lt;$U$9,$W$5),BQ5874*1000000-MIN(BR5874,999)*1000+BS5874-5861/100000,-1000000000-5861)</f>
        <v/>
      </c>
    </row>
    <row r="5875">
      <c r="BN5875">
        <f>IF(5862&lt;$U$9,INT(5862/($U$7*$U$8))+1,1)</f>
        <v/>
      </c>
      <c r="BO5875">
        <f>IF(5862&lt;$U$9,MOD(INT(5862/$U$8),$U$7)+1,1)</f>
        <v/>
      </c>
      <c r="BP5875">
        <f>IF(5862&lt;$U$9,MOD(5862,$U$8)+1,1)</f>
        <v/>
      </c>
      <c r="BQ5875">
        <f>IF(5862&lt;$U$9,SUMPRODUCT(($D$10:$L$10&lt;&gt;"")*(($D$9:$L$9+INT(($S$12:$AA$12+INDEX($AJ$13:$AR$162,BN5875,0)+INDEX($AT$13:$BB$162,BO5875,0)+INDEX($BD$13:$BL$162,BP5875,0))/100))&gt;=$D$10:$L$10)),0)</f>
        <v/>
      </c>
      <c r="BR5875">
        <f>IF(5862&lt;$U$9,SUMPRODUCT(($D$10:$L$10&lt;&gt;"")*(($D$10:$L$10-($D$9:$L$9+INT(($S$12:$AA$12+INDEX($AJ$13:$AR$162,BN5875,0)+INDEX($AT$13:$BB$162,BO5875,0)+INDEX($BD$13:$BL$162,BP5875,0))/100)))&gt;0)*($D$10:$L$10-($D$9:$L$9+INT(($S$12:$AA$12+INDEX($AJ$13:$AR$162,BN5875,0)+INDEX($AT$13:$BB$162,BO5875,0)+INDEX($BD$13:$BL$162,BP5875,0))/100)))),0)</f>
        <v/>
      </c>
      <c r="BS5875">
        <f>IF(5862&lt;$U$9,SUMPRODUCT(($D$9:$L$9+INT(($S$12:$AA$12+INDEX($AJ$13:$AR$162,BN5875,0)+INDEX($AT$13:$BB$162,BO5875,0)+INDEX($BD$13:$BL$162,BP5875,0))/100))),0)</f>
        <v/>
      </c>
      <c r="BT5875">
        <f>IF(AND(5862&lt;$U$9,$W$5),BQ5875*1000000-MIN(BR5875,999)*1000+BS5875-5862/100000,-1000000000-5862)</f>
        <v/>
      </c>
    </row>
    <row r="5876">
      <c r="BN5876">
        <f>IF(5863&lt;$U$9,INT(5863/($U$7*$U$8))+1,1)</f>
        <v/>
      </c>
      <c r="BO5876">
        <f>IF(5863&lt;$U$9,MOD(INT(5863/$U$8),$U$7)+1,1)</f>
        <v/>
      </c>
      <c r="BP5876">
        <f>IF(5863&lt;$U$9,MOD(5863,$U$8)+1,1)</f>
        <v/>
      </c>
      <c r="BQ5876">
        <f>IF(5863&lt;$U$9,SUMPRODUCT(($D$10:$L$10&lt;&gt;"")*(($D$9:$L$9+INT(($S$12:$AA$12+INDEX($AJ$13:$AR$162,BN5876,0)+INDEX($AT$13:$BB$162,BO5876,0)+INDEX($BD$13:$BL$162,BP5876,0))/100))&gt;=$D$10:$L$10)),0)</f>
        <v/>
      </c>
      <c r="BR5876">
        <f>IF(5863&lt;$U$9,SUMPRODUCT(($D$10:$L$10&lt;&gt;"")*(($D$10:$L$10-($D$9:$L$9+INT(($S$12:$AA$12+INDEX($AJ$13:$AR$162,BN5876,0)+INDEX($AT$13:$BB$162,BO5876,0)+INDEX($BD$13:$BL$162,BP5876,0))/100)))&gt;0)*($D$10:$L$10-($D$9:$L$9+INT(($S$12:$AA$12+INDEX($AJ$13:$AR$162,BN5876,0)+INDEX($AT$13:$BB$162,BO5876,0)+INDEX($BD$13:$BL$162,BP5876,0))/100)))),0)</f>
        <v/>
      </c>
      <c r="BS5876">
        <f>IF(5863&lt;$U$9,SUMPRODUCT(($D$9:$L$9+INT(($S$12:$AA$12+INDEX($AJ$13:$AR$162,BN5876,0)+INDEX($AT$13:$BB$162,BO5876,0)+INDEX($BD$13:$BL$162,BP5876,0))/100))),0)</f>
        <v/>
      </c>
      <c r="BT5876">
        <f>IF(AND(5863&lt;$U$9,$W$5),BQ5876*1000000-MIN(BR5876,999)*1000+BS5876-5863/100000,-1000000000-5863)</f>
        <v/>
      </c>
    </row>
    <row r="5877">
      <c r="BN5877">
        <f>IF(5864&lt;$U$9,INT(5864/($U$7*$U$8))+1,1)</f>
        <v/>
      </c>
      <c r="BO5877">
        <f>IF(5864&lt;$U$9,MOD(INT(5864/$U$8),$U$7)+1,1)</f>
        <v/>
      </c>
      <c r="BP5877">
        <f>IF(5864&lt;$U$9,MOD(5864,$U$8)+1,1)</f>
        <v/>
      </c>
      <c r="BQ5877">
        <f>IF(5864&lt;$U$9,SUMPRODUCT(($D$10:$L$10&lt;&gt;"")*(($D$9:$L$9+INT(($S$12:$AA$12+INDEX($AJ$13:$AR$162,BN5877,0)+INDEX($AT$13:$BB$162,BO5877,0)+INDEX($BD$13:$BL$162,BP5877,0))/100))&gt;=$D$10:$L$10)),0)</f>
        <v/>
      </c>
      <c r="BR5877">
        <f>IF(5864&lt;$U$9,SUMPRODUCT(($D$10:$L$10&lt;&gt;"")*(($D$10:$L$10-($D$9:$L$9+INT(($S$12:$AA$12+INDEX($AJ$13:$AR$162,BN5877,0)+INDEX($AT$13:$BB$162,BO5877,0)+INDEX($BD$13:$BL$162,BP5877,0))/100)))&gt;0)*($D$10:$L$10-($D$9:$L$9+INT(($S$12:$AA$12+INDEX($AJ$13:$AR$162,BN5877,0)+INDEX($AT$13:$BB$162,BO5877,0)+INDEX($BD$13:$BL$162,BP5877,0))/100)))),0)</f>
        <v/>
      </c>
      <c r="BS5877">
        <f>IF(5864&lt;$U$9,SUMPRODUCT(($D$9:$L$9+INT(($S$12:$AA$12+INDEX($AJ$13:$AR$162,BN5877,0)+INDEX($AT$13:$BB$162,BO5877,0)+INDEX($BD$13:$BL$162,BP5877,0))/100))),0)</f>
        <v/>
      </c>
      <c r="BT5877">
        <f>IF(AND(5864&lt;$U$9,$W$5),BQ5877*1000000-MIN(BR5877,999)*1000+BS5877-5864/100000,-1000000000-5864)</f>
        <v/>
      </c>
    </row>
    <row r="5878">
      <c r="BN5878">
        <f>IF(5865&lt;$U$9,INT(5865/($U$7*$U$8))+1,1)</f>
        <v/>
      </c>
      <c r="BO5878">
        <f>IF(5865&lt;$U$9,MOD(INT(5865/$U$8),$U$7)+1,1)</f>
        <v/>
      </c>
      <c r="BP5878">
        <f>IF(5865&lt;$U$9,MOD(5865,$U$8)+1,1)</f>
        <v/>
      </c>
      <c r="BQ5878">
        <f>IF(5865&lt;$U$9,SUMPRODUCT(($D$10:$L$10&lt;&gt;"")*(($D$9:$L$9+INT(($S$12:$AA$12+INDEX($AJ$13:$AR$162,BN5878,0)+INDEX($AT$13:$BB$162,BO5878,0)+INDEX($BD$13:$BL$162,BP5878,0))/100))&gt;=$D$10:$L$10)),0)</f>
        <v/>
      </c>
      <c r="BR5878">
        <f>IF(5865&lt;$U$9,SUMPRODUCT(($D$10:$L$10&lt;&gt;"")*(($D$10:$L$10-($D$9:$L$9+INT(($S$12:$AA$12+INDEX($AJ$13:$AR$162,BN5878,0)+INDEX($AT$13:$BB$162,BO5878,0)+INDEX($BD$13:$BL$162,BP5878,0))/100)))&gt;0)*($D$10:$L$10-($D$9:$L$9+INT(($S$12:$AA$12+INDEX($AJ$13:$AR$162,BN5878,0)+INDEX($AT$13:$BB$162,BO5878,0)+INDEX($BD$13:$BL$162,BP5878,0))/100)))),0)</f>
        <v/>
      </c>
      <c r="BS5878">
        <f>IF(5865&lt;$U$9,SUMPRODUCT(($D$9:$L$9+INT(($S$12:$AA$12+INDEX($AJ$13:$AR$162,BN5878,0)+INDEX($AT$13:$BB$162,BO5878,0)+INDEX($BD$13:$BL$162,BP5878,0))/100))),0)</f>
        <v/>
      </c>
      <c r="BT5878">
        <f>IF(AND(5865&lt;$U$9,$W$5),BQ5878*1000000-MIN(BR5878,999)*1000+BS5878-5865/100000,-1000000000-5865)</f>
        <v/>
      </c>
    </row>
    <row r="5879">
      <c r="BN5879">
        <f>IF(5866&lt;$U$9,INT(5866/($U$7*$U$8))+1,1)</f>
        <v/>
      </c>
      <c r="BO5879">
        <f>IF(5866&lt;$U$9,MOD(INT(5866/$U$8),$U$7)+1,1)</f>
        <v/>
      </c>
      <c r="BP5879">
        <f>IF(5866&lt;$U$9,MOD(5866,$U$8)+1,1)</f>
        <v/>
      </c>
      <c r="BQ5879">
        <f>IF(5866&lt;$U$9,SUMPRODUCT(($D$10:$L$10&lt;&gt;"")*(($D$9:$L$9+INT(($S$12:$AA$12+INDEX($AJ$13:$AR$162,BN5879,0)+INDEX($AT$13:$BB$162,BO5879,0)+INDEX($BD$13:$BL$162,BP5879,0))/100))&gt;=$D$10:$L$10)),0)</f>
        <v/>
      </c>
      <c r="BR5879">
        <f>IF(5866&lt;$U$9,SUMPRODUCT(($D$10:$L$10&lt;&gt;"")*(($D$10:$L$10-($D$9:$L$9+INT(($S$12:$AA$12+INDEX($AJ$13:$AR$162,BN5879,0)+INDEX($AT$13:$BB$162,BO5879,0)+INDEX($BD$13:$BL$162,BP5879,0))/100)))&gt;0)*($D$10:$L$10-($D$9:$L$9+INT(($S$12:$AA$12+INDEX($AJ$13:$AR$162,BN5879,0)+INDEX($AT$13:$BB$162,BO5879,0)+INDEX($BD$13:$BL$162,BP5879,0))/100)))),0)</f>
        <v/>
      </c>
      <c r="BS5879">
        <f>IF(5866&lt;$U$9,SUMPRODUCT(($D$9:$L$9+INT(($S$12:$AA$12+INDEX($AJ$13:$AR$162,BN5879,0)+INDEX($AT$13:$BB$162,BO5879,0)+INDEX($BD$13:$BL$162,BP5879,0))/100))),0)</f>
        <v/>
      </c>
      <c r="BT5879">
        <f>IF(AND(5866&lt;$U$9,$W$5),BQ5879*1000000-MIN(BR5879,999)*1000+BS5879-5866/100000,-1000000000-5866)</f>
        <v/>
      </c>
    </row>
    <row r="5880">
      <c r="BN5880">
        <f>IF(5867&lt;$U$9,INT(5867/($U$7*$U$8))+1,1)</f>
        <v/>
      </c>
      <c r="BO5880">
        <f>IF(5867&lt;$U$9,MOD(INT(5867/$U$8),$U$7)+1,1)</f>
        <v/>
      </c>
      <c r="BP5880">
        <f>IF(5867&lt;$U$9,MOD(5867,$U$8)+1,1)</f>
        <v/>
      </c>
      <c r="BQ5880">
        <f>IF(5867&lt;$U$9,SUMPRODUCT(($D$10:$L$10&lt;&gt;"")*(($D$9:$L$9+INT(($S$12:$AA$12+INDEX($AJ$13:$AR$162,BN5880,0)+INDEX($AT$13:$BB$162,BO5880,0)+INDEX($BD$13:$BL$162,BP5880,0))/100))&gt;=$D$10:$L$10)),0)</f>
        <v/>
      </c>
      <c r="BR5880">
        <f>IF(5867&lt;$U$9,SUMPRODUCT(($D$10:$L$10&lt;&gt;"")*(($D$10:$L$10-($D$9:$L$9+INT(($S$12:$AA$12+INDEX($AJ$13:$AR$162,BN5880,0)+INDEX($AT$13:$BB$162,BO5880,0)+INDEX($BD$13:$BL$162,BP5880,0))/100)))&gt;0)*($D$10:$L$10-($D$9:$L$9+INT(($S$12:$AA$12+INDEX($AJ$13:$AR$162,BN5880,0)+INDEX($AT$13:$BB$162,BO5880,0)+INDEX($BD$13:$BL$162,BP5880,0))/100)))),0)</f>
        <v/>
      </c>
      <c r="BS5880">
        <f>IF(5867&lt;$U$9,SUMPRODUCT(($D$9:$L$9+INT(($S$12:$AA$12+INDEX($AJ$13:$AR$162,BN5880,0)+INDEX($AT$13:$BB$162,BO5880,0)+INDEX($BD$13:$BL$162,BP5880,0))/100))),0)</f>
        <v/>
      </c>
      <c r="BT5880">
        <f>IF(AND(5867&lt;$U$9,$W$5),BQ5880*1000000-MIN(BR5880,999)*1000+BS5880-5867/100000,-1000000000-5867)</f>
        <v/>
      </c>
    </row>
    <row r="5881">
      <c r="BN5881">
        <f>IF(5868&lt;$U$9,INT(5868/($U$7*$U$8))+1,1)</f>
        <v/>
      </c>
      <c r="BO5881">
        <f>IF(5868&lt;$U$9,MOD(INT(5868/$U$8),$U$7)+1,1)</f>
        <v/>
      </c>
      <c r="BP5881">
        <f>IF(5868&lt;$U$9,MOD(5868,$U$8)+1,1)</f>
        <v/>
      </c>
      <c r="BQ5881">
        <f>IF(5868&lt;$U$9,SUMPRODUCT(($D$10:$L$10&lt;&gt;"")*(($D$9:$L$9+INT(($S$12:$AA$12+INDEX($AJ$13:$AR$162,BN5881,0)+INDEX($AT$13:$BB$162,BO5881,0)+INDEX($BD$13:$BL$162,BP5881,0))/100))&gt;=$D$10:$L$10)),0)</f>
        <v/>
      </c>
      <c r="BR5881">
        <f>IF(5868&lt;$U$9,SUMPRODUCT(($D$10:$L$10&lt;&gt;"")*(($D$10:$L$10-($D$9:$L$9+INT(($S$12:$AA$12+INDEX($AJ$13:$AR$162,BN5881,0)+INDEX($AT$13:$BB$162,BO5881,0)+INDEX($BD$13:$BL$162,BP5881,0))/100)))&gt;0)*($D$10:$L$10-($D$9:$L$9+INT(($S$12:$AA$12+INDEX($AJ$13:$AR$162,BN5881,0)+INDEX($AT$13:$BB$162,BO5881,0)+INDEX($BD$13:$BL$162,BP5881,0))/100)))),0)</f>
        <v/>
      </c>
      <c r="BS5881">
        <f>IF(5868&lt;$U$9,SUMPRODUCT(($D$9:$L$9+INT(($S$12:$AA$12+INDEX($AJ$13:$AR$162,BN5881,0)+INDEX($AT$13:$BB$162,BO5881,0)+INDEX($BD$13:$BL$162,BP5881,0))/100))),0)</f>
        <v/>
      </c>
      <c r="BT5881">
        <f>IF(AND(5868&lt;$U$9,$W$5),BQ5881*1000000-MIN(BR5881,999)*1000+BS5881-5868/100000,-1000000000-5868)</f>
        <v/>
      </c>
    </row>
    <row r="5882">
      <c r="BN5882">
        <f>IF(5869&lt;$U$9,INT(5869/($U$7*$U$8))+1,1)</f>
        <v/>
      </c>
      <c r="BO5882">
        <f>IF(5869&lt;$U$9,MOD(INT(5869/$U$8),$U$7)+1,1)</f>
        <v/>
      </c>
      <c r="BP5882">
        <f>IF(5869&lt;$U$9,MOD(5869,$U$8)+1,1)</f>
        <v/>
      </c>
      <c r="BQ5882">
        <f>IF(5869&lt;$U$9,SUMPRODUCT(($D$10:$L$10&lt;&gt;"")*(($D$9:$L$9+INT(($S$12:$AA$12+INDEX($AJ$13:$AR$162,BN5882,0)+INDEX($AT$13:$BB$162,BO5882,0)+INDEX($BD$13:$BL$162,BP5882,0))/100))&gt;=$D$10:$L$10)),0)</f>
        <v/>
      </c>
      <c r="BR5882">
        <f>IF(5869&lt;$U$9,SUMPRODUCT(($D$10:$L$10&lt;&gt;"")*(($D$10:$L$10-($D$9:$L$9+INT(($S$12:$AA$12+INDEX($AJ$13:$AR$162,BN5882,0)+INDEX($AT$13:$BB$162,BO5882,0)+INDEX($BD$13:$BL$162,BP5882,0))/100)))&gt;0)*($D$10:$L$10-($D$9:$L$9+INT(($S$12:$AA$12+INDEX($AJ$13:$AR$162,BN5882,0)+INDEX($AT$13:$BB$162,BO5882,0)+INDEX($BD$13:$BL$162,BP5882,0))/100)))),0)</f>
        <v/>
      </c>
      <c r="BS5882">
        <f>IF(5869&lt;$U$9,SUMPRODUCT(($D$9:$L$9+INT(($S$12:$AA$12+INDEX($AJ$13:$AR$162,BN5882,0)+INDEX($AT$13:$BB$162,BO5882,0)+INDEX($BD$13:$BL$162,BP5882,0))/100))),0)</f>
        <v/>
      </c>
      <c r="BT5882">
        <f>IF(AND(5869&lt;$U$9,$W$5),BQ5882*1000000-MIN(BR5882,999)*1000+BS5882-5869/100000,-1000000000-5869)</f>
        <v/>
      </c>
    </row>
    <row r="5883">
      <c r="BN5883">
        <f>IF(5870&lt;$U$9,INT(5870/($U$7*$U$8))+1,1)</f>
        <v/>
      </c>
      <c r="BO5883">
        <f>IF(5870&lt;$U$9,MOD(INT(5870/$U$8),$U$7)+1,1)</f>
        <v/>
      </c>
      <c r="BP5883">
        <f>IF(5870&lt;$U$9,MOD(5870,$U$8)+1,1)</f>
        <v/>
      </c>
      <c r="BQ5883">
        <f>IF(5870&lt;$U$9,SUMPRODUCT(($D$10:$L$10&lt;&gt;"")*(($D$9:$L$9+INT(($S$12:$AA$12+INDEX($AJ$13:$AR$162,BN5883,0)+INDEX($AT$13:$BB$162,BO5883,0)+INDEX($BD$13:$BL$162,BP5883,0))/100))&gt;=$D$10:$L$10)),0)</f>
        <v/>
      </c>
      <c r="BR5883">
        <f>IF(5870&lt;$U$9,SUMPRODUCT(($D$10:$L$10&lt;&gt;"")*(($D$10:$L$10-($D$9:$L$9+INT(($S$12:$AA$12+INDEX($AJ$13:$AR$162,BN5883,0)+INDEX($AT$13:$BB$162,BO5883,0)+INDEX($BD$13:$BL$162,BP5883,0))/100)))&gt;0)*($D$10:$L$10-($D$9:$L$9+INT(($S$12:$AA$12+INDEX($AJ$13:$AR$162,BN5883,0)+INDEX($AT$13:$BB$162,BO5883,0)+INDEX($BD$13:$BL$162,BP5883,0))/100)))),0)</f>
        <v/>
      </c>
      <c r="BS5883">
        <f>IF(5870&lt;$U$9,SUMPRODUCT(($D$9:$L$9+INT(($S$12:$AA$12+INDEX($AJ$13:$AR$162,BN5883,0)+INDEX($AT$13:$BB$162,BO5883,0)+INDEX($BD$13:$BL$162,BP5883,0))/100))),0)</f>
        <v/>
      </c>
      <c r="BT5883">
        <f>IF(AND(5870&lt;$U$9,$W$5),BQ5883*1000000-MIN(BR5883,999)*1000+BS5883-5870/100000,-1000000000-5870)</f>
        <v/>
      </c>
    </row>
    <row r="5884">
      <c r="BN5884">
        <f>IF(5871&lt;$U$9,INT(5871/($U$7*$U$8))+1,1)</f>
        <v/>
      </c>
      <c r="BO5884">
        <f>IF(5871&lt;$U$9,MOD(INT(5871/$U$8),$U$7)+1,1)</f>
        <v/>
      </c>
      <c r="BP5884">
        <f>IF(5871&lt;$U$9,MOD(5871,$U$8)+1,1)</f>
        <v/>
      </c>
      <c r="BQ5884">
        <f>IF(5871&lt;$U$9,SUMPRODUCT(($D$10:$L$10&lt;&gt;"")*(($D$9:$L$9+INT(($S$12:$AA$12+INDEX($AJ$13:$AR$162,BN5884,0)+INDEX($AT$13:$BB$162,BO5884,0)+INDEX($BD$13:$BL$162,BP5884,0))/100))&gt;=$D$10:$L$10)),0)</f>
        <v/>
      </c>
      <c r="BR5884">
        <f>IF(5871&lt;$U$9,SUMPRODUCT(($D$10:$L$10&lt;&gt;"")*(($D$10:$L$10-($D$9:$L$9+INT(($S$12:$AA$12+INDEX($AJ$13:$AR$162,BN5884,0)+INDEX($AT$13:$BB$162,BO5884,0)+INDEX($BD$13:$BL$162,BP5884,0))/100)))&gt;0)*($D$10:$L$10-($D$9:$L$9+INT(($S$12:$AA$12+INDEX($AJ$13:$AR$162,BN5884,0)+INDEX($AT$13:$BB$162,BO5884,0)+INDEX($BD$13:$BL$162,BP5884,0))/100)))),0)</f>
        <v/>
      </c>
      <c r="BS5884">
        <f>IF(5871&lt;$U$9,SUMPRODUCT(($D$9:$L$9+INT(($S$12:$AA$12+INDEX($AJ$13:$AR$162,BN5884,0)+INDEX($AT$13:$BB$162,BO5884,0)+INDEX($BD$13:$BL$162,BP5884,0))/100))),0)</f>
        <v/>
      </c>
      <c r="BT5884">
        <f>IF(AND(5871&lt;$U$9,$W$5),BQ5884*1000000-MIN(BR5884,999)*1000+BS5884-5871/100000,-1000000000-5871)</f>
        <v/>
      </c>
    </row>
    <row r="5885">
      <c r="BN5885">
        <f>IF(5872&lt;$U$9,INT(5872/($U$7*$U$8))+1,1)</f>
        <v/>
      </c>
      <c r="BO5885">
        <f>IF(5872&lt;$U$9,MOD(INT(5872/$U$8),$U$7)+1,1)</f>
        <v/>
      </c>
      <c r="BP5885">
        <f>IF(5872&lt;$U$9,MOD(5872,$U$8)+1,1)</f>
        <v/>
      </c>
      <c r="BQ5885">
        <f>IF(5872&lt;$U$9,SUMPRODUCT(($D$10:$L$10&lt;&gt;"")*(($D$9:$L$9+INT(($S$12:$AA$12+INDEX($AJ$13:$AR$162,BN5885,0)+INDEX($AT$13:$BB$162,BO5885,0)+INDEX($BD$13:$BL$162,BP5885,0))/100))&gt;=$D$10:$L$10)),0)</f>
        <v/>
      </c>
      <c r="BR5885">
        <f>IF(5872&lt;$U$9,SUMPRODUCT(($D$10:$L$10&lt;&gt;"")*(($D$10:$L$10-($D$9:$L$9+INT(($S$12:$AA$12+INDEX($AJ$13:$AR$162,BN5885,0)+INDEX($AT$13:$BB$162,BO5885,0)+INDEX($BD$13:$BL$162,BP5885,0))/100)))&gt;0)*($D$10:$L$10-($D$9:$L$9+INT(($S$12:$AA$12+INDEX($AJ$13:$AR$162,BN5885,0)+INDEX($AT$13:$BB$162,BO5885,0)+INDEX($BD$13:$BL$162,BP5885,0))/100)))),0)</f>
        <v/>
      </c>
      <c r="BS5885">
        <f>IF(5872&lt;$U$9,SUMPRODUCT(($D$9:$L$9+INT(($S$12:$AA$12+INDEX($AJ$13:$AR$162,BN5885,0)+INDEX($AT$13:$BB$162,BO5885,0)+INDEX($BD$13:$BL$162,BP5885,0))/100))),0)</f>
        <v/>
      </c>
      <c r="BT5885">
        <f>IF(AND(5872&lt;$U$9,$W$5),BQ5885*1000000-MIN(BR5885,999)*1000+BS5885-5872/100000,-1000000000-5872)</f>
        <v/>
      </c>
    </row>
    <row r="5886">
      <c r="BN5886">
        <f>IF(5873&lt;$U$9,INT(5873/($U$7*$U$8))+1,1)</f>
        <v/>
      </c>
      <c r="BO5886">
        <f>IF(5873&lt;$U$9,MOD(INT(5873/$U$8),$U$7)+1,1)</f>
        <v/>
      </c>
      <c r="BP5886">
        <f>IF(5873&lt;$U$9,MOD(5873,$U$8)+1,1)</f>
        <v/>
      </c>
      <c r="BQ5886">
        <f>IF(5873&lt;$U$9,SUMPRODUCT(($D$10:$L$10&lt;&gt;"")*(($D$9:$L$9+INT(($S$12:$AA$12+INDEX($AJ$13:$AR$162,BN5886,0)+INDEX($AT$13:$BB$162,BO5886,0)+INDEX($BD$13:$BL$162,BP5886,0))/100))&gt;=$D$10:$L$10)),0)</f>
        <v/>
      </c>
      <c r="BR5886">
        <f>IF(5873&lt;$U$9,SUMPRODUCT(($D$10:$L$10&lt;&gt;"")*(($D$10:$L$10-($D$9:$L$9+INT(($S$12:$AA$12+INDEX($AJ$13:$AR$162,BN5886,0)+INDEX($AT$13:$BB$162,BO5886,0)+INDEX($BD$13:$BL$162,BP5886,0))/100)))&gt;0)*($D$10:$L$10-($D$9:$L$9+INT(($S$12:$AA$12+INDEX($AJ$13:$AR$162,BN5886,0)+INDEX($AT$13:$BB$162,BO5886,0)+INDEX($BD$13:$BL$162,BP5886,0))/100)))),0)</f>
        <v/>
      </c>
      <c r="BS5886">
        <f>IF(5873&lt;$U$9,SUMPRODUCT(($D$9:$L$9+INT(($S$12:$AA$12+INDEX($AJ$13:$AR$162,BN5886,0)+INDEX($AT$13:$BB$162,BO5886,0)+INDEX($BD$13:$BL$162,BP5886,0))/100))),0)</f>
        <v/>
      </c>
      <c r="BT5886">
        <f>IF(AND(5873&lt;$U$9,$W$5),BQ5886*1000000-MIN(BR5886,999)*1000+BS5886-5873/100000,-1000000000-5873)</f>
        <v/>
      </c>
    </row>
    <row r="5887">
      <c r="BN5887">
        <f>IF(5874&lt;$U$9,INT(5874/($U$7*$U$8))+1,1)</f>
        <v/>
      </c>
      <c r="BO5887">
        <f>IF(5874&lt;$U$9,MOD(INT(5874/$U$8),$U$7)+1,1)</f>
        <v/>
      </c>
      <c r="BP5887">
        <f>IF(5874&lt;$U$9,MOD(5874,$U$8)+1,1)</f>
        <v/>
      </c>
      <c r="BQ5887">
        <f>IF(5874&lt;$U$9,SUMPRODUCT(($D$10:$L$10&lt;&gt;"")*(($D$9:$L$9+INT(($S$12:$AA$12+INDEX($AJ$13:$AR$162,BN5887,0)+INDEX($AT$13:$BB$162,BO5887,0)+INDEX($BD$13:$BL$162,BP5887,0))/100))&gt;=$D$10:$L$10)),0)</f>
        <v/>
      </c>
      <c r="BR5887">
        <f>IF(5874&lt;$U$9,SUMPRODUCT(($D$10:$L$10&lt;&gt;"")*(($D$10:$L$10-($D$9:$L$9+INT(($S$12:$AA$12+INDEX($AJ$13:$AR$162,BN5887,0)+INDEX($AT$13:$BB$162,BO5887,0)+INDEX($BD$13:$BL$162,BP5887,0))/100)))&gt;0)*($D$10:$L$10-($D$9:$L$9+INT(($S$12:$AA$12+INDEX($AJ$13:$AR$162,BN5887,0)+INDEX($AT$13:$BB$162,BO5887,0)+INDEX($BD$13:$BL$162,BP5887,0))/100)))),0)</f>
        <v/>
      </c>
      <c r="BS5887">
        <f>IF(5874&lt;$U$9,SUMPRODUCT(($D$9:$L$9+INT(($S$12:$AA$12+INDEX($AJ$13:$AR$162,BN5887,0)+INDEX($AT$13:$BB$162,BO5887,0)+INDEX($BD$13:$BL$162,BP5887,0))/100))),0)</f>
        <v/>
      </c>
      <c r="BT5887">
        <f>IF(AND(5874&lt;$U$9,$W$5),BQ5887*1000000-MIN(BR5887,999)*1000+BS5887-5874/100000,-1000000000-5874)</f>
        <v/>
      </c>
    </row>
    <row r="5888">
      <c r="BN5888">
        <f>IF(5875&lt;$U$9,INT(5875/($U$7*$U$8))+1,1)</f>
        <v/>
      </c>
      <c r="BO5888">
        <f>IF(5875&lt;$U$9,MOD(INT(5875/$U$8),$U$7)+1,1)</f>
        <v/>
      </c>
      <c r="BP5888">
        <f>IF(5875&lt;$U$9,MOD(5875,$U$8)+1,1)</f>
        <v/>
      </c>
      <c r="BQ5888">
        <f>IF(5875&lt;$U$9,SUMPRODUCT(($D$10:$L$10&lt;&gt;"")*(($D$9:$L$9+INT(($S$12:$AA$12+INDEX($AJ$13:$AR$162,BN5888,0)+INDEX($AT$13:$BB$162,BO5888,0)+INDEX($BD$13:$BL$162,BP5888,0))/100))&gt;=$D$10:$L$10)),0)</f>
        <v/>
      </c>
      <c r="BR5888">
        <f>IF(5875&lt;$U$9,SUMPRODUCT(($D$10:$L$10&lt;&gt;"")*(($D$10:$L$10-($D$9:$L$9+INT(($S$12:$AA$12+INDEX($AJ$13:$AR$162,BN5888,0)+INDEX($AT$13:$BB$162,BO5888,0)+INDEX($BD$13:$BL$162,BP5888,0))/100)))&gt;0)*($D$10:$L$10-($D$9:$L$9+INT(($S$12:$AA$12+INDEX($AJ$13:$AR$162,BN5888,0)+INDEX($AT$13:$BB$162,BO5888,0)+INDEX($BD$13:$BL$162,BP5888,0))/100)))),0)</f>
        <v/>
      </c>
      <c r="BS5888">
        <f>IF(5875&lt;$U$9,SUMPRODUCT(($D$9:$L$9+INT(($S$12:$AA$12+INDEX($AJ$13:$AR$162,BN5888,0)+INDEX($AT$13:$BB$162,BO5888,0)+INDEX($BD$13:$BL$162,BP5888,0))/100))),0)</f>
        <v/>
      </c>
      <c r="BT5888">
        <f>IF(AND(5875&lt;$U$9,$W$5),BQ5888*1000000-MIN(BR5888,999)*1000+BS5888-5875/100000,-1000000000-5875)</f>
        <v/>
      </c>
    </row>
    <row r="5889">
      <c r="BN5889">
        <f>IF(5876&lt;$U$9,INT(5876/($U$7*$U$8))+1,1)</f>
        <v/>
      </c>
      <c r="BO5889">
        <f>IF(5876&lt;$U$9,MOD(INT(5876/$U$8),$U$7)+1,1)</f>
        <v/>
      </c>
      <c r="BP5889">
        <f>IF(5876&lt;$U$9,MOD(5876,$U$8)+1,1)</f>
        <v/>
      </c>
      <c r="BQ5889">
        <f>IF(5876&lt;$U$9,SUMPRODUCT(($D$10:$L$10&lt;&gt;"")*(($D$9:$L$9+INT(($S$12:$AA$12+INDEX($AJ$13:$AR$162,BN5889,0)+INDEX($AT$13:$BB$162,BO5889,0)+INDEX($BD$13:$BL$162,BP5889,0))/100))&gt;=$D$10:$L$10)),0)</f>
        <v/>
      </c>
      <c r="BR5889">
        <f>IF(5876&lt;$U$9,SUMPRODUCT(($D$10:$L$10&lt;&gt;"")*(($D$10:$L$10-($D$9:$L$9+INT(($S$12:$AA$12+INDEX($AJ$13:$AR$162,BN5889,0)+INDEX($AT$13:$BB$162,BO5889,0)+INDEX($BD$13:$BL$162,BP5889,0))/100)))&gt;0)*($D$10:$L$10-($D$9:$L$9+INT(($S$12:$AA$12+INDEX($AJ$13:$AR$162,BN5889,0)+INDEX($AT$13:$BB$162,BO5889,0)+INDEX($BD$13:$BL$162,BP5889,0))/100)))),0)</f>
        <v/>
      </c>
      <c r="BS5889">
        <f>IF(5876&lt;$U$9,SUMPRODUCT(($D$9:$L$9+INT(($S$12:$AA$12+INDEX($AJ$13:$AR$162,BN5889,0)+INDEX($AT$13:$BB$162,BO5889,0)+INDEX($BD$13:$BL$162,BP5889,0))/100))),0)</f>
        <v/>
      </c>
      <c r="BT5889">
        <f>IF(AND(5876&lt;$U$9,$W$5),BQ5889*1000000-MIN(BR5889,999)*1000+BS5889-5876/100000,-1000000000-5876)</f>
        <v/>
      </c>
    </row>
    <row r="5890">
      <c r="BN5890">
        <f>IF(5877&lt;$U$9,INT(5877/($U$7*$U$8))+1,1)</f>
        <v/>
      </c>
      <c r="BO5890">
        <f>IF(5877&lt;$U$9,MOD(INT(5877/$U$8),$U$7)+1,1)</f>
        <v/>
      </c>
      <c r="BP5890">
        <f>IF(5877&lt;$U$9,MOD(5877,$U$8)+1,1)</f>
        <v/>
      </c>
      <c r="BQ5890">
        <f>IF(5877&lt;$U$9,SUMPRODUCT(($D$10:$L$10&lt;&gt;"")*(($D$9:$L$9+INT(($S$12:$AA$12+INDEX($AJ$13:$AR$162,BN5890,0)+INDEX($AT$13:$BB$162,BO5890,0)+INDEX($BD$13:$BL$162,BP5890,0))/100))&gt;=$D$10:$L$10)),0)</f>
        <v/>
      </c>
      <c r="BR5890">
        <f>IF(5877&lt;$U$9,SUMPRODUCT(($D$10:$L$10&lt;&gt;"")*(($D$10:$L$10-($D$9:$L$9+INT(($S$12:$AA$12+INDEX($AJ$13:$AR$162,BN5890,0)+INDEX($AT$13:$BB$162,BO5890,0)+INDEX($BD$13:$BL$162,BP5890,0))/100)))&gt;0)*($D$10:$L$10-($D$9:$L$9+INT(($S$12:$AA$12+INDEX($AJ$13:$AR$162,BN5890,0)+INDEX($AT$13:$BB$162,BO5890,0)+INDEX($BD$13:$BL$162,BP5890,0))/100)))),0)</f>
        <v/>
      </c>
      <c r="BS5890">
        <f>IF(5877&lt;$U$9,SUMPRODUCT(($D$9:$L$9+INT(($S$12:$AA$12+INDEX($AJ$13:$AR$162,BN5890,0)+INDEX($AT$13:$BB$162,BO5890,0)+INDEX($BD$13:$BL$162,BP5890,0))/100))),0)</f>
        <v/>
      </c>
      <c r="BT5890">
        <f>IF(AND(5877&lt;$U$9,$W$5),BQ5890*1000000-MIN(BR5890,999)*1000+BS5890-5877/100000,-1000000000-5877)</f>
        <v/>
      </c>
    </row>
    <row r="5891">
      <c r="BN5891">
        <f>IF(5878&lt;$U$9,INT(5878/($U$7*$U$8))+1,1)</f>
        <v/>
      </c>
      <c r="BO5891">
        <f>IF(5878&lt;$U$9,MOD(INT(5878/$U$8),$U$7)+1,1)</f>
        <v/>
      </c>
      <c r="BP5891">
        <f>IF(5878&lt;$U$9,MOD(5878,$U$8)+1,1)</f>
        <v/>
      </c>
      <c r="BQ5891">
        <f>IF(5878&lt;$U$9,SUMPRODUCT(($D$10:$L$10&lt;&gt;"")*(($D$9:$L$9+INT(($S$12:$AA$12+INDEX($AJ$13:$AR$162,BN5891,0)+INDEX($AT$13:$BB$162,BO5891,0)+INDEX($BD$13:$BL$162,BP5891,0))/100))&gt;=$D$10:$L$10)),0)</f>
        <v/>
      </c>
      <c r="BR5891">
        <f>IF(5878&lt;$U$9,SUMPRODUCT(($D$10:$L$10&lt;&gt;"")*(($D$10:$L$10-($D$9:$L$9+INT(($S$12:$AA$12+INDEX($AJ$13:$AR$162,BN5891,0)+INDEX($AT$13:$BB$162,BO5891,0)+INDEX($BD$13:$BL$162,BP5891,0))/100)))&gt;0)*($D$10:$L$10-($D$9:$L$9+INT(($S$12:$AA$12+INDEX($AJ$13:$AR$162,BN5891,0)+INDEX($AT$13:$BB$162,BO5891,0)+INDEX($BD$13:$BL$162,BP5891,0))/100)))),0)</f>
        <v/>
      </c>
      <c r="BS5891">
        <f>IF(5878&lt;$U$9,SUMPRODUCT(($D$9:$L$9+INT(($S$12:$AA$12+INDEX($AJ$13:$AR$162,BN5891,0)+INDEX($AT$13:$BB$162,BO5891,0)+INDEX($BD$13:$BL$162,BP5891,0))/100))),0)</f>
        <v/>
      </c>
      <c r="BT5891">
        <f>IF(AND(5878&lt;$U$9,$W$5),BQ5891*1000000-MIN(BR5891,999)*1000+BS5891-5878/100000,-1000000000-5878)</f>
        <v/>
      </c>
    </row>
    <row r="5892">
      <c r="BN5892">
        <f>IF(5879&lt;$U$9,INT(5879/($U$7*$U$8))+1,1)</f>
        <v/>
      </c>
      <c r="BO5892">
        <f>IF(5879&lt;$U$9,MOD(INT(5879/$U$8),$U$7)+1,1)</f>
        <v/>
      </c>
      <c r="BP5892">
        <f>IF(5879&lt;$U$9,MOD(5879,$U$8)+1,1)</f>
        <v/>
      </c>
      <c r="BQ5892">
        <f>IF(5879&lt;$U$9,SUMPRODUCT(($D$10:$L$10&lt;&gt;"")*(($D$9:$L$9+INT(($S$12:$AA$12+INDEX($AJ$13:$AR$162,BN5892,0)+INDEX($AT$13:$BB$162,BO5892,0)+INDEX($BD$13:$BL$162,BP5892,0))/100))&gt;=$D$10:$L$10)),0)</f>
        <v/>
      </c>
      <c r="BR5892">
        <f>IF(5879&lt;$U$9,SUMPRODUCT(($D$10:$L$10&lt;&gt;"")*(($D$10:$L$10-($D$9:$L$9+INT(($S$12:$AA$12+INDEX($AJ$13:$AR$162,BN5892,0)+INDEX($AT$13:$BB$162,BO5892,0)+INDEX($BD$13:$BL$162,BP5892,0))/100)))&gt;0)*($D$10:$L$10-($D$9:$L$9+INT(($S$12:$AA$12+INDEX($AJ$13:$AR$162,BN5892,0)+INDEX($AT$13:$BB$162,BO5892,0)+INDEX($BD$13:$BL$162,BP5892,0))/100)))),0)</f>
        <v/>
      </c>
      <c r="BS5892">
        <f>IF(5879&lt;$U$9,SUMPRODUCT(($D$9:$L$9+INT(($S$12:$AA$12+INDEX($AJ$13:$AR$162,BN5892,0)+INDEX($AT$13:$BB$162,BO5892,0)+INDEX($BD$13:$BL$162,BP5892,0))/100))),0)</f>
        <v/>
      </c>
      <c r="BT5892">
        <f>IF(AND(5879&lt;$U$9,$W$5),BQ5892*1000000-MIN(BR5892,999)*1000+BS5892-5879/100000,-1000000000-5879)</f>
        <v/>
      </c>
    </row>
    <row r="5893">
      <c r="BN5893">
        <f>IF(5880&lt;$U$9,INT(5880/($U$7*$U$8))+1,1)</f>
        <v/>
      </c>
      <c r="BO5893">
        <f>IF(5880&lt;$U$9,MOD(INT(5880/$U$8),$U$7)+1,1)</f>
        <v/>
      </c>
      <c r="BP5893">
        <f>IF(5880&lt;$U$9,MOD(5880,$U$8)+1,1)</f>
        <v/>
      </c>
      <c r="BQ5893">
        <f>IF(5880&lt;$U$9,SUMPRODUCT(($D$10:$L$10&lt;&gt;"")*(($D$9:$L$9+INT(($S$12:$AA$12+INDEX($AJ$13:$AR$162,BN5893,0)+INDEX($AT$13:$BB$162,BO5893,0)+INDEX($BD$13:$BL$162,BP5893,0))/100))&gt;=$D$10:$L$10)),0)</f>
        <v/>
      </c>
      <c r="BR5893">
        <f>IF(5880&lt;$U$9,SUMPRODUCT(($D$10:$L$10&lt;&gt;"")*(($D$10:$L$10-($D$9:$L$9+INT(($S$12:$AA$12+INDEX($AJ$13:$AR$162,BN5893,0)+INDEX($AT$13:$BB$162,BO5893,0)+INDEX($BD$13:$BL$162,BP5893,0))/100)))&gt;0)*($D$10:$L$10-($D$9:$L$9+INT(($S$12:$AA$12+INDEX($AJ$13:$AR$162,BN5893,0)+INDEX($AT$13:$BB$162,BO5893,0)+INDEX($BD$13:$BL$162,BP5893,0))/100)))),0)</f>
        <v/>
      </c>
      <c r="BS5893">
        <f>IF(5880&lt;$U$9,SUMPRODUCT(($D$9:$L$9+INT(($S$12:$AA$12+INDEX($AJ$13:$AR$162,BN5893,0)+INDEX($AT$13:$BB$162,BO5893,0)+INDEX($BD$13:$BL$162,BP5893,0))/100))),0)</f>
        <v/>
      </c>
      <c r="BT5893">
        <f>IF(AND(5880&lt;$U$9,$W$5),BQ5893*1000000-MIN(BR5893,999)*1000+BS5893-5880/100000,-1000000000-5880)</f>
        <v/>
      </c>
    </row>
    <row r="5894">
      <c r="BN5894">
        <f>IF(5881&lt;$U$9,INT(5881/($U$7*$U$8))+1,1)</f>
        <v/>
      </c>
      <c r="BO5894">
        <f>IF(5881&lt;$U$9,MOD(INT(5881/$U$8),$U$7)+1,1)</f>
        <v/>
      </c>
      <c r="BP5894">
        <f>IF(5881&lt;$U$9,MOD(5881,$U$8)+1,1)</f>
        <v/>
      </c>
      <c r="BQ5894">
        <f>IF(5881&lt;$U$9,SUMPRODUCT(($D$10:$L$10&lt;&gt;"")*(($D$9:$L$9+INT(($S$12:$AA$12+INDEX($AJ$13:$AR$162,BN5894,0)+INDEX($AT$13:$BB$162,BO5894,0)+INDEX($BD$13:$BL$162,BP5894,0))/100))&gt;=$D$10:$L$10)),0)</f>
        <v/>
      </c>
      <c r="BR5894">
        <f>IF(5881&lt;$U$9,SUMPRODUCT(($D$10:$L$10&lt;&gt;"")*(($D$10:$L$10-($D$9:$L$9+INT(($S$12:$AA$12+INDEX($AJ$13:$AR$162,BN5894,0)+INDEX($AT$13:$BB$162,BO5894,0)+INDEX($BD$13:$BL$162,BP5894,0))/100)))&gt;0)*($D$10:$L$10-($D$9:$L$9+INT(($S$12:$AA$12+INDEX($AJ$13:$AR$162,BN5894,0)+INDEX($AT$13:$BB$162,BO5894,0)+INDEX($BD$13:$BL$162,BP5894,0))/100)))),0)</f>
        <v/>
      </c>
      <c r="BS5894">
        <f>IF(5881&lt;$U$9,SUMPRODUCT(($D$9:$L$9+INT(($S$12:$AA$12+INDEX($AJ$13:$AR$162,BN5894,0)+INDEX($AT$13:$BB$162,BO5894,0)+INDEX($BD$13:$BL$162,BP5894,0))/100))),0)</f>
        <v/>
      </c>
      <c r="BT5894">
        <f>IF(AND(5881&lt;$U$9,$W$5),BQ5894*1000000-MIN(BR5894,999)*1000+BS5894-5881/100000,-1000000000-5881)</f>
        <v/>
      </c>
    </row>
    <row r="5895">
      <c r="BN5895">
        <f>IF(5882&lt;$U$9,INT(5882/($U$7*$U$8))+1,1)</f>
        <v/>
      </c>
      <c r="BO5895">
        <f>IF(5882&lt;$U$9,MOD(INT(5882/$U$8),$U$7)+1,1)</f>
        <v/>
      </c>
      <c r="BP5895">
        <f>IF(5882&lt;$U$9,MOD(5882,$U$8)+1,1)</f>
        <v/>
      </c>
      <c r="BQ5895">
        <f>IF(5882&lt;$U$9,SUMPRODUCT(($D$10:$L$10&lt;&gt;"")*(($D$9:$L$9+INT(($S$12:$AA$12+INDEX($AJ$13:$AR$162,BN5895,0)+INDEX($AT$13:$BB$162,BO5895,0)+INDEX($BD$13:$BL$162,BP5895,0))/100))&gt;=$D$10:$L$10)),0)</f>
        <v/>
      </c>
      <c r="BR5895">
        <f>IF(5882&lt;$U$9,SUMPRODUCT(($D$10:$L$10&lt;&gt;"")*(($D$10:$L$10-($D$9:$L$9+INT(($S$12:$AA$12+INDEX($AJ$13:$AR$162,BN5895,0)+INDEX($AT$13:$BB$162,BO5895,0)+INDEX($BD$13:$BL$162,BP5895,0))/100)))&gt;0)*($D$10:$L$10-($D$9:$L$9+INT(($S$12:$AA$12+INDEX($AJ$13:$AR$162,BN5895,0)+INDEX($AT$13:$BB$162,BO5895,0)+INDEX($BD$13:$BL$162,BP5895,0))/100)))),0)</f>
        <v/>
      </c>
      <c r="BS5895">
        <f>IF(5882&lt;$U$9,SUMPRODUCT(($D$9:$L$9+INT(($S$12:$AA$12+INDEX($AJ$13:$AR$162,BN5895,0)+INDEX($AT$13:$BB$162,BO5895,0)+INDEX($BD$13:$BL$162,BP5895,0))/100))),0)</f>
        <v/>
      </c>
      <c r="BT5895">
        <f>IF(AND(5882&lt;$U$9,$W$5),BQ5895*1000000-MIN(BR5895,999)*1000+BS5895-5882/100000,-1000000000-5882)</f>
        <v/>
      </c>
    </row>
    <row r="5896">
      <c r="BN5896">
        <f>IF(5883&lt;$U$9,INT(5883/($U$7*$U$8))+1,1)</f>
        <v/>
      </c>
      <c r="BO5896">
        <f>IF(5883&lt;$U$9,MOD(INT(5883/$U$8),$U$7)+1,1)</f>
        <v/>
      </c>
      <c r="BP5896">
        <f>IF(5883&lt;$U$9,MOD(5883,$U$8)+1,1)</f>
        <v/>
      </c>
      <c r="BQ5896">
        <f>IF(5883&lt;$U$9,SUMPRODUCT(($D$10:$L$10&lt;&gt;"")*(($D$9:$L$9+INT(($S$12:$AA$12+INDEX($AJ$13:$AR$162,BN5896,0)+INDEX($AT$13:$BB$162,BO5896,0)+INDEX($BD$13:$BL$162,BP5896,0))/100))&gt;=$D$10:$L$10)),0)</f>
        <v/>
      </c>
      <c r="BR5896">
        <f>IF(5883&lt;$U$9,SUMPRODUCT(($D$10:$L$10&lt;&gt;"")*(($D$10:$L$10-($D$9:$L$9+INT(($S$12:$AA$12+INDEX($AJ$13:$AR$162,BN5896,0)+INDEX($AT$13:$BB$162,BO5896,0)+INDEX($BD$13:$BL$162,BP5896,0))/100)))&gt;0)*($D$10:$L$10-($D$9:$L$9+INT(($S$12:$AA$12+INDEX($AJ$13:$AR$162,BN5896,0)+INDEX($AT$13:$BB$162,BO5896,0)+INDEX($BD$13:$BL$162,BP5896,0))/100)))),0)</f>
        <v/>
      </c>
      <c r="BS5896">
        <f>IF(5883&lt;$U$9,SUMPRODUCT(($D$9:$L$9+INT(($S$12:$AA$12+INDEX($AJ$13:$AR$162,BN5896,0)+INDEX($AT$13:$BB$162,BO5896,0)+INDEX($BD$13:$BL$162,BP5896,0))/100))),0)</f>
        <v/>
      </c>
      <c r="BT5896">
        <f>IF(AND(5883&lt;$U$9,$W$5),BQ5896*1000000-MIN(BR5896,999)*1000+BS5896-5883/100000,-1000000000-5883)</f>
        <v/>
      </c>
    </row>
    <row r="5897">
      <c r="BN5897">
        <f>IF(5884&lt;$U$9,INT(5884/($U$7*$U$8))+1,1)</f>
        <v/>
      </c>
      <c r="BO5897">
        <f>IF(5884&lt;$U$9,MOD(INT(5884/$U$8),$U$7)+1,1)</f>
        <v/>
      </c>
      <c r="BP5897">
        <f>IF(5884&lt;$U$9,MOD(5884,$U$8)+1,1)</f>
        <v/>
      </c>
      <c r="BQ5897">
        <f>IF(5884&lt;$U$9,SUMPRODUCT(($D$10:$L$10&lt;&gt;"")*(($D$9:$L$9+INT(($S$12:$AA$12+INDEX($AJ$13:$AR$162,BN5897,0)+INDEX($AT$13:$BB$162,BO5897,0)+INDEX($BD$13:$BL$162,BP5897,0))/100))&gt;=$D$10:$L$10)),0)</f>
        <v/>
      </c>
      <c r="BR5897">
        <f>IF(5884&lt;$U$9,SUMPRODUCT(($D$10:$L$10&lt;&gt;"")*(($D$10:$L$10-($D$9:$L$9+INT(($S$12:$AA$12+INDEX($AJ$13:$AR$162,BN5897,0)+INDEX($AT$13:$BB$162,BO5897,0)+INDEX($BD$13:$BL$162,BP5897,0))/100)))&gt;0)*($D$10:$L$10-($D$9:$L$9+INT(($S$12:$AA$12+INDEX($AJ$13:$AR$162,BN5897,0)+INDEX($AT$13:$BB$162,BO5897,0)+INDEX($BD$13:$BL$162,BP5897,0))/100)))),0)</f>
        <v/>
      </c>
      <c r="BS5897">
        <f>IF(5884&lt;$U$9,SUMPRODUCT(($D$9:$L$9+INT(($S$12:$AA$12+INDEX($AJ$13:$AR$162,BN5897,0)+INDEX($AT$13:$BB$162,BO5897,0)+INDEX($BD$13:$BL$162,BP5897,0))/100))),0)</f>
        <v/>
      </c>
      <c r="BT5897">
        <f>IF(AND(5884&lt;$U$9,$W$5),BQ5897*1000000-MIN(BR5897,999)*1000+BS5897-5884/100000,-1000000000-5884)</f>
        <v/>
      </c>
    </row>
    <row r="5898">
      <c r="BN5898">
        <f>IF(5885&lt;$U$9,INT(5885/($U$7*$U$8))+1,1)</f>
        <v/>
      </c>
      <c r="BO5898">
        <f>IF(5885&lt;$U$9,MOD(INT(5885/$U$8),$U$7)+1,1)</f>
        <v/>
      </c>
      <c r="BP5898">
        <f>IF(5885&lt;$U$9,MOD(5885,$U$8)+1,1)</f>
        <v/>
      </c>
      <c r="BQ5898">
        <f>IF(5885&lt;$U$9,SUMPRODUCT(($D$10:$L$10&lt;&gt;"")*(($D$9:$L$9+INT(($S$12:$AA$12+INDEX($AJ$13:$AR$162,BN5898,0)+INDEX($AT$13:$BB$162,BO5898,0)+INDEX($BD$13:$BL$162,BP5898,0))/100))&gt;=$D$10:$L$10)),0)</f>
        <v/>
      </c>
      <c r="BR5898">
        <f>IF(5885&lt;$U$9,SUMPRODUCT(($D$10:$L$10&lt;&gt;"")*(($D$10:$L$10-($D$9:$L$9+INT(($S$12:$AA$12+INDEX($AJ$13:$AR$162,BN5898,0)+INDEX($AT$13:$BB$162,BO5898,0)+INDEX($BD$13:$BL$162,BP5898,0))/100)))&gt;0)*($D$10:$L$10-($D$9:$L$9+INT(($S$12:$AA$12+INDEX($AJ$13:$AR$162,BN5898,0)+INDEX($AT$13:$BB$162,BO5898,0)+INDEX($BD$13:$BL$162,BP5898,0))/100)))),0)</f>
        <v/>
      </c>
      <c r="BS5898">
        <f>IF(5885&lt;$U$9,SUMPRODUCT(($D$9:$L$9+INT(($S$12:$AA$12+INDEX($AJ$13:$AR$162,BN5898,0)+INDEX($AT$13:$BB$162,BO5898,0)+INDEX($BD$13:$BL$162,BP5898,0))/100))),0)</f>
        <v/>
      </c>
      <c r="BT5898">
        <f>IF(AND(5885&lt;$U$9,$W$5),BQ5898*1000000-MIN(BR5898,999)*1000+BS5898-5885/100000,-1000000000-5885)</f>
        <v/>
      </c>
    </row>
    <row r="5899">
      <c r="BN5899">
        <f>IF(5886&lt;$U$9,INT(5886/($U$7*$U$8))+1,1)</f>
        <v/>
      </c>
      <c r="BO5899">
        <f>IF(5886&lt;$U$9,MOD(INT(5886/$U$8),$U$7)+1,1)</f>
        <v/>
      </c>
      <c r="BP5899">
        <f>IF(5886&lt;$U$9,MOD(5886,$U$8)+1,1)</f>
        <v/>
      </c>
      <c r="BQ5899">
        <f>IF(5886&lt;$U$9,SUMPRODUCT(($D$10:$L$10&lt;&gt;"")*(($D$9:$L$9+INT(($S$12:$AA$12+INDEX($AJ$13:$AR$162,BN5899,0)+INDEX($AT$13:$BB$162,BO5899,0)+INDEX($BD$13:$BL$162,BP5899,0))/100))&gt;=$D$10:$L$10)),0)</f>
        <v/>
      </c>
      <c r="BR5899">
        <f>IF(5886&lt;$U$9,SUMPRODUCT(($D$10:$L$10&lt;&gt;"")*(($D$10:$L$10-($D$9:$L$9+INT(($S$12:$AA$12+INDEX($AJ$13:$AR$162,BN5899,0)+INDEX($AT$13:$BB$162,BO5899,0)+INDEX($BD$13:$BL$162,BP5899,0))/100)))&gt;0)*($D$10:$L$10-($D$9:$L$9+INT(($S$12:$AA$12+INDEX($AJ$13:$AR$162,BN5899,0)+INDEX($AT$13:$BB$162,BO5899,0)+INDEX($BD$13:$BL$162,BP5899,0))/100)))),0)</f>
        <v/>
      </c>
      <c r="BS5899">
        <f>IF(5886&lt;$U$9,SUMPRODUCT(($D$9:$L$9+INT(($S$12:$AA$12+INDEX($AJ$13:$AR$162,BN5899,0)+INDEX($AT$13:$BB$162,BO5899,0)+INDEX($BD$13:$BL$162,BP5899,0))/100))),0)</f>
        <v/>
      </c>
      <c r="BT5899">
        <f>IF(AND(5886&lt;$U$9,$W$5),BQ5899*1000000-MIN(BR5899,999)*1000+BS5899-5886/100000,-1000000000-5886)</f>
        <v/>
      </c>
    </row>
    <row r="5900">
      <c r="BN5900">
        <f>IF(5887&lt;$U$9,INT(5887/($U$7*$U$8))+1,1)</f>
        <v/>
      </c>
      <c r="BO5900">
        <f>IF(5887&lt;$U$9,MOD(INT(5887/$U$8),$U$7)+1,1)</f>
        <v/>
      </c>
      <c r="BP5900">
        <f>IF(5887&lt;$U$9,MOD(5887,$U$8)+1,1)</f>
        <v/>
      </c>
      <c r="BQ5900">
        <f>IF(5887&lt;$U$9,SUMPRODUCT(($D$10:$L$10&lt;&gt;"")*(($D$9:$L$9+INT(($S$12:$AA$12+INDEX($AJ$13:$AR$162,BN5900,0)+INDEX($AT$13:$BB$162,BO5900,0)+INDEX($BD$13:$BL$162,BP5900,0))/100))&gt;=$D$10:$L$10)),0)</f>
        <v/>
      </c>
      <c r="BR5900">
        <f>IF(5887&lt;$U$9,SUMPRODUCT(($D$10:$L$10&lt;&gt;"")*(($D$10:$L$10-($D$9:$L$9+INT(($S$12:$AA$12+INDEX($AJ$13:$AR$162,BN5900,0)+INDEX($AT$13:$BB$162,BO5900,0)+INDEX($BD$13:$BL$162,BP5900,0))/100)))&gt;0)*($D$10:$L$10-($D$9:$L$9+INT(($S$12:$AA$12+INDEX($AJ$13:$AR$162,BN5900,0)+INDEX($AT$13:$BB$162,BO5900,0)+INDEX($BD$13:$BL$162,BP5900,0))/100)))),0)</f>
        <v/>
      </c>
      <c r="BS5900">
        <f>IF(5887&lt;$U$9,SUMPRODUCT(($D$9:$L$9+INT(($S$12:$AA$12+INDEX($AJ$13:$AR$162,BN5900,0)+INDEX($AT$13:$BB$162,BO5900,0)+INDEX($BD$13:$BL$162,BP5900,0))/100))),0)</f>
        <v/>
      </c>
      <c r="BT5900">
        <f>IF(AND(5887&lt;$U$9,$W$5),BQ5900*1000000-MIN(BR5900,999)*1000+BS5900-5887/100000,-1000000000-5887)</f>
        <v/>
      </c>
    </row>
    <row r="5901">
      <c r="BN5901">
        <f>IF(5888&lt;$U$9,INT(5888/($U$7*$U$8))+1,1)</f>
        <v/>
      </c>
      <c r="BO5901">
        <f>IF(5888&lt;$U$9,MOD(INT(5888/$U$8),$U$7)+1,1)</f>
        <v/>
      </c>
      <c r="BP5901">
        <f>IF(5888&lt;$U$9,MOD(5888,$U$8)+1,1)</f>
        <v/>
      </c>
      <c r="BQ5901">
        <f>IF(5888&lt;$U$9,SUMPRODUCT(($D$10:$L$10&lt;&gt;"")*(($D$9:$L$9+INT(($S$12:$AA$12+INDEX($AJ$13:$AR$162,BN5901,0)+INDEX($AT$13:$BB$162,BO5901,0)+INDEX($BD$13:$BL$162,BP5901,0))/100))&gt;=$D$10:$L$10)),0)</f>
        <v/>
      </c>
      <c r="BR5901">
        <f>IF(5888&lt;$U$9,SUMPRODUCT(($D$10:$L$10&lt;&gt;"")*(($D$10:$L$10-($D$9:$L$9+INT(($S$12:$AA$12+INDEX($AJ$13:$AR$162,BN5901,0)+INDEX($AT$13:$BB$162,BO5901,0)+INDEX($BD$13:$BL$162,BP5901,0))/100)))&gt;0)*($D$10:$L$10-($D$9:$L$9+INT(($S$12:$AA$12+INDEX($AJ$13:$AR$162,BN5901,0)+INDEX($AT$13:$BB$162,BO5901,0)+INDEX($BD$13:$BL$162,BP5901,0))/100)))),0)</f>
        <v/>
      </c>
      <c r="BS5901">
        <f>IF(5888&lt;$U$9,SUMPRODUCT(($D$9:$L$9+INT(($S$12:$AA$12+INDEX($AJ$13:$AR$162,BN5901,0)+INDEX($AT$13:$BB$162,BO5901,0)+INDEX($BD$13:$BL$162,BP5901,0))/100))),0)</f>
        <v/>
      </c>
      <c r="BT5901">
        <f>IF(AND(5888&lt;$U$9,$W$5),BQ5901*1000000-MIN(BR5901,999)*1000+BS5901-5888/100000,-1000000000-5888)</f>
        <v/>
      </c>
    </row>
    <row r="5902">
      <c r="BN5902">
        <f>IF(5889&lt;$U$9,INT(5889/($U$7*$U$8))+1,1)</f>
        <v/>
      </c>
      <c r="BO5902">
        <f>IF(5889&lt;$U$9,MOD(INT(5889/$U$8),$U$7)+1,1)</f>
        <v/>
      </c>
      <c r="BP5902">
        <f>IF(5889&lt;$U$9,MOD(5889,$U$8)+1,1)</f>
        <v/>
      </c>
      <c r="BQ5902">
        <f>IF(5889&lt;$U$9,SUMPRODUCT(($D$10:$L$10&lt;&gt;"")*(($D$9:$L$9+INT(($S$12:$AA$12+INDEX($AJ$13:$AR$162,BN5902,0)+INDEX($AT$13:$BB$162,BO5902,0)+INDEX($BD$13:$BL$162,BP5902,0))/100))&gt;=$D$10:$L$10)),0)</f>
        <v/>
      </c>
      <c r="BR5902">
        <f>IF(5889&lt;$U$9,SUMPRODUCT(($D$10:$L$10&lt;&gt;"")*(($D$10:$L$10-($D$9:$L$9+INT(($S$12:$AA$12+INDEX($AJ$13:$AR$162,BN5902,0)+INDEX($AT$13:$BB$162,BO5902,0)+INDEX($BD$13:$BL$162,BP5902,0))/100)))&gt;0)*($D$10:$L$10-($D$9:$L$9+INT(($S$12:$AA$12+INDEX($AJ$13:$AR$162,BN5902,0)+INDEX($AT$13:$BB$162,BO5902,0)+INDEX($BD$13:$BL$162,BP5902,0))/100)))),0)</f>
        <v/>
      </c>
      <c r="BS5902">
        <f>IF(5889&lt;$U$9,SUMPRODUCT(($D$9:$L$9+INT(($S$12:$AA$12+INDEX($AJ$13:$AR$162,BN5902,0)+INDEX($AT$13:$BB$162,BO5902,0)+INDEX($BD$13:$BL$162,BP5902,0))/100))),0)</f>
        <v/>
      </c>
      <c r="BT5902">
        <f>IF(AND(5889&lt;$U$9,$W$5),BQ5902*1000000-MIN(BR5902,999)*1000+BS5902-5889/100000,-1000000000-5889)</f>
        <v/>
      </c>
    </row>
    <row r="5903">
      <c r="BN5903">
        <f>IF(5890&lt;$U$9,INT(5890/($U$7*$U$8))+1,1)</f>
        <v/>
      </c>
      <c r="BO5903">
        <f>IF(5890&lt;$U$9,MOD(INT(5890/$U$8),$U$7)+1,1)</f>
        <v/>
      </c>
      <c r="BP5903">
        <f>IF(5890&lt;$U$9,MOD(5890,$U$8)+1,1)</f>
        <v/>
      </c>
      <c r="BQ5903">
        <f>IF(5890&lt;$U$9,SUMPRODUCT(($D$10:$L$10&lt;&gt;"")*(($D$9:$L$9+INT(($S$12:$AA$12+INDEX($AJ$13:$AR$162,BN5903,0)+INDEX($AT$13:$BB$162,BO5903,0)+INDEX($BD$13:$BL$162,BP5903,0))/100))&gt;=$D$10:$L$10)),0)</f>
        <v/>
      </c>
      <c r="BR5903">
        <f>IF(5890&lt;$U$9,SUMPRODUCT(($D$10:$L$10&lt;&gt;"")*(($D$10:$L$10-($D$9:$L$9+INT(($S$12:$AA$12+INDEX($AJ$13:$AR$162,BN5903,0)+INDEX($AT$13:$BB$162,BO5903,0)+INDEX($BD$13:$BL$162,BP5903,0))/100)))&gt;0)*($D$10:$L$10-($D$9:$L$9+INT(($S$12:$AA$12+INDEX($AJ$13:$AR$162,BN5903,0)+INDEX($AT$13:$BB$162,BO5903,0)+INDEX($BD$13:$BL$162,BP5903,0))/100)))),0)</f>
        <v/>
      </c>
      <c r="BS5903">
        <f>IF(5890&lt;$U$9,SUMPRODUCT(($D$9:$L$9+INT(($S$12:$AA$12+INDEX($AJ$13:$AR$162,BN5903,0)+INDEX($AT$13:$BB$162,BO5903,0)+INDEX($BD$13:$BL$162,BP5903,0))/100))),0)</f>
        <v/>
      </c>
      <c r="BT5903">
        <f>IF(AND(5890&lt;$U$9,$W$5),BQ5903*1000000-MIN(BR5903,999)*1000+BS5903-5890/100000,-1000000000-5890)</f>
        <v/>
      </c>
    </row>
    <row r="5904">
      <c r="BN5904">
        <f>IF(5891&lt;$U$9,INT(5891/($U$7*$U$8))+1,1)</f>
        <v/>
      </c>
      <c r="BO5904">
        <f>IF(5891&lt;$U$9,MOD(INT(5891/$U$8),$U$7)+1,1)</f>
        <v/>
      </c>
      <c r="BP5904">
        <f>IF(5891&lt;$U$9,MOD(5891,$U$8)+1,1)</f>
        <v/>
      </c>
      <c r="BQ5904">
        <f>IF(5891&lt;$U$9,SUMPRODUCT(($D$10:$L$10&lt;&gt;"")*(($D$9:$L$9+INT(($S$12:$AA$12+INDEX($AJ$13:$AR$162,BN5904,0)+INDEX($AT$13:$BB$162,BO5904,0)+INDEX($BD$13:$BL$162,BP5904,0))/100))&gt;=$D$10:$L$10)),0)</f>
        <v/>
      </c>
      <c r="BR5904">
        <f>IF(5891&lt;$U$9,SUMPRODUCT(($D$10:$L$10&lt;&gt;"")*(($D$10:$L$10-($D$9:$L$9+INT(($S$12:$AA$12+INDEX($AJ$13:$AR$162,BN5904,0)+INDEX($AT$13:$BB$162,BO5904,0)+INDEX($BD$13:$BL$162,BP5904,0))/100)))&gt;0)*($D$10:$L$10-($D$9:$L$9+INT(($S$12:$AA$12+INDEX($AJ$13:$AR$162,BN5904,0)+INDEX($AT$13:$BB$162,BO5904,0)+INDEX($BD$13:$BL$162,BP5904,0))/100)))),0)</f>
        <v/>
      </c>
      <c r="BS5904">
        <f>IF(5891&lt;$U$9,SUMPRODUCT(($D$9:$L$9+INT(($S$12:$AA$12+INDEX($AJ$13:$AR$162,BN5904,0)+INDEX($AT$13:$BB$162,BO5904,0)+INDEX($BD$13:$BL$162,BP5904,0))/100))),0)</f>
        <v/>
      </c>
      <c r="BT5904">
        <f>IF(AND(5891&lt;$U$9,$W$5),BQ5904*1000000-MIN(BR5904,999)*1000+BS5904-5891/100000,-1000000000-5891)</f>
        <v/>
      </c>
    </row>
    <row r="5905">
      <c r="BN5905">
        <f>IF(5892&lt;$U$9,INT(5892/($U$7*$U$8))+1,1)</f>
        <v/>
      </c>
      <c r="BO5905">
        <f>IF(5892&lt;$U$9,MOD(INT(5892/$U$8),$U$7)+1,1)</f>
        <v/>
      </c>
      <c r="BP5905">
        <f>IF(5892&lt;$U$9,MOD(5892,$U$8)+1,1)</f>
        <v/>
      </c>
      <c r="BQ5905">
        <f>IF(5892&lt;$U$9,SUMPRODUCT(($D$10:$L$10&lt;&gt;"")*(($D$9:$L$9+INT(($S$12:$AA$12+INDEX($AJ$13:$AR$162,BN5905,0)+INDEX($AT$13:$BB$162,BO5905,0)+INDEX($BD$13:$BL$162,BP5905,0))/100))&gt;=$D$10:$L$10)),0)</f>
        <v/>
      </c>
      <c r="BR5905">
        <f>IF(5892&lt;$U$9,SUMPRODUCT(($D$10:$L$10&lt;&gt;"")*(($D$10:$L$10-($D$9:$L$9+INT(($S$12:$AA$12+INDEX($AJ$13:$AR$162,BN5905,0)+INDEX($AT$13:$BB$162,BO5905,0)+INDEX($BD$13:$BL$162,BP5905,0))/100)))&gt;0)*($D$10:$L$10-($D$9:$L$9+INT(($S$12:$AA$12+INDEX($AJ$13:$AR$162,BN5905,0)+INDEX($AT$13:$BB$162,BO5905,0)+INDEX($BD$13:$BL$162,BP5905,0))/100)))),0)</f>
        <v/>
      </c>
      <c r="BS5905">
        <f>IF(5892&lt;$U$9,SUMPRODUCT(($D$9:$L$9+INT(($S$12:$AA$12+INDEX($AJ$13:$AR$162,BN5905,0)+INDEX($AT$13:$BB$162,BO5905,0)+INDEX($BD$13:$BL$162,BP5905,0))/100))),0)</f>
        <v/>
      </c>
      <c r="BT5905">
        <f>IF(AND(5892&lt;$U$9,$W$5),BQ5905*1000000-MIN(BR5905,999)*1000+BS5905-5892/100000,-1000000000-5892)</f>
        <v/>
      </c>
    </row>
    <row r="5906">
      <c r="BN5906">
        <f>IF(5893&lt;$U$9,INT(5893/($U$7*$U$8))+1,1)</f>
        <v/>
      </c>
      <c r="BO5906">
        <f>IF(5893&lt;$U$9,MOD(INT(5893/$U$8),$U$7)+1,1)</f>
        <v/>
      </c>
      <c r="BP5906">
        <f>IF(5893&lt;$U$9,MOD(5893,$U$8)+1,1)</f>
        <v/>
      </c>
      <c r="BQ5906">
        <f>IF(5893&lt;$U$9,SUMPRODUCT(($D$10:$L$10&lt;&gt;"")*(($D$9:$L$9+INT(($S$12:$AA$12+INDEX($AJ$13:$AR$162,BN5906,0)+INDEX($AT$13:$BB$162,BO5906,0)+INDEX($BD$13:$BL$162,BP5906,0))/100))&gt;=$D$10:$L$10)),0)</f>
        <v/>
      </c>
      <c r="BR5906">
        <f>IF(5893&lt;$U$9,SUMPRODUCT(($D$10:$L$10&lt;&gt;"")*(($D$10:$L$10-($D$9:$L$9+INT(($S$12:$AA$12+INDEX($AJ$13:$AR$162,BN5906,0)+INDEX($AT$13:$BB$162,BO5906,0)+INDEX($BD$13:$BL$162,BP5906,0))/100)))&gt;0)*($D$10:$L$10-($D$9:$L$9+INT(($S$12:$AA$12+INDEX($AJ$13:$AR$162,BN5906,0)+INDEX($AT$13:$BB$162,BO5906,0)+INDEX($BD$13:$BL$162,BP5906,0))/100)))),0)</f>
        <v/>
      </c>
      <c r="BS5906">
        <f>IF(5893&lt;$U$9,SUMPRODUCT(($D$9:$L$9+INT(($S$12:$AA$12+INDEX($AJ$13:$AR$162,BN5906,0)+INDEX($AT$13:$BB$162,BO5906,0)+INDEX($BD$13:$BL$162,BP5906,0))/100))),0)</f>
        <v/>
      </c>
      <c r="BT5906">
        <f>IF(AND(5893&lt;$U$9,$W$5),BQ5906*1000000-MIN(BR5906,999)*1000+BS5906-5893/100000,-1000000000-5893)</f>
        <v/>
      </c>
    </row>
    <row r="5907">
      <c r="BN5907">
        <f>IF(5894&lt;$U$9,INT(5894/($U$7*$U$8))+1,1)</f>
        <v/>
      </c>
      <c r="BO5907">
        <f>IF(5894&lt;$U$9,MOD(INT(5894/$U$8),$U$7)+1,1)</f>
        <v/>
      </c>
      <c r="BP5907">
        <f>IF(5894&lt;$U$9,MOD(5894,$U$8)+1,1)</f>
        <v/>
      </c>
      <c r="BQ5907">
        <f>IF(5894&lt;$U$9,SUMPRODUCT(($D$10:$L$10&lt;&gt;"")*(($D$9:$L$9+INT(($S$12:$AA$12+INDEX($AJ$13:$AR$162,BN5907,0)+INDEX($AT$13:$BB$162,BO5907,0)+INDEX($BD$13:$BL$162,BP5907,0))/100))&gt;=$D$10:$L$10)),0)</f>
        <v/>
      </c>
      <c r="BR5907">
        <f>IF(5894&lt;$U$9,SUMPRODUCT(($D$10:$L$10&lt;&gt;"")*(($D$10:$L$10-($D$9:$L$9+INT(($S$12:$AA$12+INDEX($AJ$13:$AR$162,BN5907,0)+INDEX($AT$13:$BB$162,BO5907,0)+INDEX($BD$13:$BL$162,BP5907,0))/100)))&gt;0)*($D$10:$L$10-($D$9:$L$9+INT(($S$12:$AA$12+INDEX($AJ$13:$AR$162,BN5907,0)+INDEX($AT$13:$BB$162,BO5907,0)+INDEX($BD$13:$BL$162,BP5907,0))/100)))),0)</f>
        <v/>
      </c>
      <c r="BS5907">
        <f>IF(5894&lt;$U$9,SUMPRODUCT(($D$9:$L$9+INT(($S$12:$AA$12+INDEX($AJ$13:$AR$162,BN5907,0)+INDEX($AT$13:$BB$162,BO5907,0)+INDEX($BD$13:$BL$162,BP5907,0))/100))),0)</f>
        <v/>
      </c>
      <c r="BT5907">
        <f>IF(AND(5894&lt;$U$9,$W$5),BQ5907*1000000-MIN(BR5907,999)*1000+BS5907-5894/100000,-1000000000-5894)</f>
        <v/>
      </c>
    </row>
    <row r="5908">
      <c r="BN5908">
        <f>IF(5895&lt;$U$9,INT(5895/($U$7*$U$8))+1,1)</f>
        <v/>
      </c>
      <c r="BO5908">
        <f>IF(5895&lt;$U$9,MOD(INT(5895/$U$8),$U$7)+1,1)</f>
        <v/>
      </c>
      <c r="BP5908">
        <f>IF(5895&lt;$U$9,MOD(5895,$U$8)+1,1)</f>
        <v/>
      </c>
      <c r="BQ5908">
        <f>IF(5895&lt;$U$9,SUMPRODUCT(($D$10:$L$10&lt;&gt;"")*(($D$9:$L$9+INT(($S$12:$AA$12+INDEX($AJ$13:$AR$162,BN5908,0)+INDEX($AT$13:$BB$162,BO5908,0)+INDEX($BD$13:$BL$162,BP5908,0))/100))&gt;=$D$10:$L$10)),0)</f>
        <v/>
      </c>
      <c r="BR5908">
        <f>IF(5895&lt;$U$9,SUMPRODUCT(($D$10:$L$10&lt;&gt;"")*(($D$10:$L$10-($D$9:$L$9+INT(($S$12:$AA$12+INDEX($AJ$13:$AR$162,BN5908,0)+INDEX($AT$13:$BB$162,BO5908,0)+INDEX($BD$13:$BL$162,BP5908,0))/100)))&gt;0)*($D$10:$L$10-($D$9:$L$9+INT(($S$12:$AA$12+INDEX($AJ$13:$AR$162,BN5908,0)+INDEX($AT$13:$BB$162,BO5908,0)+INDEX($BD$13:$BL$162,BP5908,0))/100)))),0)</f>
        <v/>
      </c>
      <c r="BS5908">
        <f>IF(5895&lt;$U$9,SUMPRODUCT(($D$9:$L$9+INT(($S$12:$AA$12+INDEX($AJ$13:$AR$162,BN5908,0)+INDEX($AT$13:$BB$162,BO5908,0)+INDEX($BD$13:$BL$162,BP5908,0))/100))),0)</f>
        <v/>
      </c>
      <c r="BT5908">
        <f>IF(AND(5895&lt;$U$9,$W$5),BQ5908*1000000-MIN(BR5908,999)*1000+BS5908-5895/100000,-1000000000-5895)</f>
        <v/>
      </c>
    </row>
    <row r="5909">
      <c r="BN5909">
        <f>IF(5896&lt;$U$9,INT(5896/($U$7*$U$8))+1,1)</f>
        <v/>
      </c>
      <c r="BO5909">
        <f>IF(5896&lt;$U$9,MOD(INT(5896/$U$8),$U$7)+1,1)</f>
        <v/>
      </c>
      <c r="BP5909">
        <f>IF(5896&lt;$U$9,MOD(5896,$U$8)+1,1)</f>
        <v/>
      </c>
      <c r="BQ5909">
        <f>IF(5896&lt;$U$9,SUMPRODUCT(($D$10:$L$10&lt;&gt;"")*(($D$9:$L$9+INT(($S$12:$AA$12+INDEX($AJ$13:$AR$162,BN5909,0)+INDEX($AT$13:$BB$162,BO5909,0)+INDEX($BD$13:$BL$162,BP5909,0))/100))&gt;=$D$10:$L$10)),0)</f>
        <v/>
      </c>
      <c r="BR5909">
        <f>IF(5896&lt;$U$9,SUMPRODUCT(($D$10:$L$10&lt;&gt;"")*(($D$10:$L$10-($D$9:$L$9+INT(($S$12:$AA$12+INDEX($AJ$13:$AR$162,BN5909,0)+INDEX($AT$13:$BB$162,BO5909,0)+INDEX($BD$13:$BL$162,BP5909,0))/100)))&gt;0)*($D$10:$L$10-($D$9:$L$9+INT(($S$12:$AA$12+INDEX($AJ$13:$AR$162,BN5909,0)+INDEX($AT$13:$BB$162,BO5909,0)+INDEX($BD$13:$BL$162,BP5909,0))/100)))),0)</f>
        <v/>
      </c>
      <c r="BS5909">
        <f>IF(5896&lt;$U$9,SUMPRODUCT(($D$9:$L$9+INT(($S$12:$AA$12+INDEX($AJ$13:$AR$162,BN5909,0)+INDEX($AT$13:$BB$162,BO5909,0)+INDEX($BD$13:$BL$162,BP5909,0))/100))),0)</f>
        <v/>
      </c>
      <c r="BT5909">
        <f>IF(AND(5896&lt;$U$9,$W$5),BQ5909*1000000-MIN(BR5909,999)*1000+BS5909-5896/100000,-1000000000-5896)</f>
        <v/>
      </c>
    </row>
    <row r="5910">
      <c r="BN5910">
        <f>IF(5897&lt;$U$9,INT(5897/($U$7*$U$8))+1,1)</f>
        <v/>
      </c>
      <c r="BO5910">
        <f>IF(5897&lt;$U$9,MOD(INT(5897/$U$8),$U$7)+1,1)</f>
        <v/>
      </c>
      <c r="BP5910">
        <f>IF(5897&lt;$U$9,MOD(5897,$U$8)+1,1)</f>
        <v/>
      </c>
      <c r="BQ5910">
        <f>IF(5897&lt;$U$9,SUMPRODUCT(($D$10:$L$10&lt;&gt;"")*(($D$9:$L$9+INT(($S$12:$AA$12+INDEX($AJ$13:$AR$162,BN5910,0)+INDEX($AT$13:$BB$162,BO5910,0)+INDEX($BD$13:$BL$162,BP5910,0))/100))&gt;=$D$10:$L$10)),0)</f>
        <v/>
      </c>
      <c r="BR5910">
        <f>IF(5897&lt;$U$9,SUMPRODUCT(($D$10:$L$10&lt;&gt;"")*(($D$10:$L$10-($D$9:$L$9+INT(($S$12:$AA$12+INDEX($AJ$13:$AR$162,BN5910,0)+INDEX($AT$13:$BB$162,BO5910,0)+INDEX($BD$13:$BL$162,BP5910,0))/100)))&gt;0)*($D$10:$L$10-($D$9:$L$9+INT(($S$12:$AA$12+INDEX($AJ$13:$AR$162,BN5910,0)+INDEX($AT$13:$BB$162,BO5910,0)+INDEX($BD$13:$BL$162,BP5910,0))/100)))),0)</f>
        <v/>
      </c>
      <c r="BS5910">
        <f>IF(5897&lt;$U$9,SUMPRODUCT(($D$9:$L$9+INT(($S$12:$AA$12+INDEX($AJ$13:$AR$162,BN5910,0)+INDEX($AT$13:$BB$162,BO5910,0)+INDEX($BD$13:$BL$162,BP5910,0))/100))),0)</f>
        <v/>
      </c>
      <c r="BT5910">
        <f>IF(AND(5897&lt;$U$9,$W$5),BQ5910*1000000-MIN(BR5910,999)*1000+BS5910-5897/100000,-1000000000-5897)</f>
        <v/>
      </c>
    </row>
    <row r="5911">
      <c r="BN5911">
        <f>IF(5898&lt;$U$9,INT(5898/($U$7*$U$8))+1,1)</f>
        <v/>
      </c>
      <c r="BO5911">
        <f>IF(5898&lt;$U$9,MOD(INT(5898/$U$8),$U$7)+1,1)</f>
        <v/>
      </c>
      <c r="BP5911">
        <f>IF(5898&lt;$U$9,MOD(5898,$U$8)+1,1)</f>
        <v/>
      </c>
      <c r="BQ5911">
        <f>IF(5898&lt;$U$9,SUMPRODUCT(($D$10:$L$10&lt;&gt;"")*(($D$9:$L$9+INT(($S$12:$AA$12+INDEX($AJ$13:$AR$162,BN5911,0)+INDEX($AT$13:$BB$162,BO5911,0)+INDEX($BD$13:$BL$162,BP5911,0))/100))&gt;=$D$10:$L$10)),0)</f>
        <v/>
      </c>
      <c r="BR5911">
        <f>IF(5898&lt;$U$9,SUMPRODUCT(($D$10:$L$10&lt;&gt;"")*(($D$10:$L$10-($D$9:$L$9+INT(($S$12:$AA$12+INDEX($AJ$13:$AR$162,BN5911,0)+INDEX($AT$13:$BB$162,BO5911,0)+INDEX($BD$13:$BL$162,BP5911,0))/100)))&gt;0)*($D$10:$L$10-($D$9:$L$9+INT(($S$12:$AA$12+INDEX($AJ$13:$AR$162,BN5911,0)+INDEX($AT$13:$BB$162,BO5911,0)+INDEX($BD$13:$BL$162,BP5911,0))/100)))),0)</f>
        <v/>
      </c>
      <c r="BS5911">
        <f>IF(5898&lt;$U$9,SUMPRODUCT(($D$9:$L$9+INT(($S$12:$AA$12+INDEX($AJ$13:$AR$162,BN5911,0)+INDEX($AT$13:$BB$162,BO5911,0)+INDEX($BD$13:$BL$162,BP5911,0))/100))),0)</f>
        <v/>
      </c>
      <c r="BT5911">
        <f>IF(AND(5898&lt;$U$9,$W$5),BQ5911*1000000-MIN(BR5911,999)*1000+BS5911-5898/100000,-1000000000-5898)</f>
        <v/>
      </c>
    </row>
    <row r="5912">
      <c r="BN5912">
        <f>IF(5899&lt;$U$9,INT(5899/($U$7*$U$8))+1,1)</f>
        <v/>
      </c>
      <c r="BO5912">
        <f>IF(5899&lt;$U$9,MOD(INT(5899/$U$8),$U$7)+1,1)</f>
        <v/>
      </c>
      <c r="BP5912">
        <f>IF(5899&lt;$U$9,MOD(5899,$U$8)+1,1)</f>
        <v/>
      </c>
      <c r="BQ5912">
        <f>IF(5899&lt;$U$9,SUMPRODUCT(($D$10:$L$10&lt;&gt;"")*(($D$9:$L$9+INT(($S$12:$AA$12+INDEX($AJ$13:$AR$162,BN5912,0)+INDEX($AT$13:$BB$162,BO5912,0)+INDEX($BD$13:$BL$162,BP5912,0))/100))&gt;=$D$10:$L$10)),0)</f>
        <v/>
      </c>
      <c r="BR5912">
        <f>IF(5899&lt;$U$9,SUMPRODUCT(($D$10:$L$10&lt;&gt;"")*(($D$10:$L$10-($D$9:$L$9+INT(($S$12:$AA$12+INDEX($AJ$13:$AR$162,BN5912,0)+INDEX($AT$13:$BB$162,BO5912,0)+INDEX($BD$13:$BL$162,BP5912,0))/100)))&gt;0)*($D$10:$L$10-($D$9:$L$9+INT(($S$12:$AA$12+INDEX($AJ$13:$AR$162,BN5912,0)+INDEX($AT$13:$BB$162,BO5912,0)+INDEX($BD$13:$BL$162,BP5912,0))/100)))),0)</f>
        <v/>
      </c>
      <c r="BS5912">
        <f>IF(5899&lt;$U$9,SUMPRODUCT(($D$9:$L$9+INT(($S$12:$AA$12+INDEX($AJ$13:$AR$162,BN5912,0)+INDEX($AT$13:$BB$162,BO5912,0)+INDEX($BD$13:$BL$162,BP5912,0))/100))),0)</f>
        <v/>
      </c>
      <c r="BT5912">
        <f>IF(AND(5899&lt;$U$9,$W$5),BQ5912*1000000-MIN(BR5912,999)*1000+BS5912-5899/100000,-1000000000-5899)</f>
        <v/>
      </c>
    </row>
    <row r="5913">
      <c r="BN5913">
        <f>IF(5900&lt;$U$9,INT(5900/($U$7*$U$8))+1,1)</f>
        <v/>
      </c>
      <c r="BO5913">
        <f>IF(5900&lt;$U$9,MOD(INT(5900/$U$8),$U$7)+1,1)</f>
        <v/>
      </c>
      <c r="BP5913">
        <f>IF(5900&lt;$U$9,MOD(5900,$U$8)+1,1)</f>
        <v/>
      </c>
      <c r="BQ5913">
        <f>IF(5900&lt;$U$9,SUMPRODUCT(($D$10:$L$10&lt;&gt;"")*(($D$9:$L$9+INT(($S$12:$AA$12+INDEX($AJ$13:$AR$162,BN5913,0)+INDEX($AT$13:$BB$162,BO5913,0)+INDEX($BD$13:$BL$162,BP5913,0))/100))&gt;=$D$10:$L$10)),0)</f>
        <v/>
      </c>
      <c r="BR5913">
        <f>IF(5900&lt;$U$9,SUMPRODUCT(($D$10:$L$10&lt;&gt;"")*(($D$10:$L$10-($D$9:$L$9+INT(($S$12:$AA$12+INDEX($AJ$13:$AR$162,BN5913,0)+INDEX($AT$13:$BB$162,BO5913,0)+INDEX($BD$13:$BL$162,BP5913,0))/100)))&gt;0)*($D$10:$L$10-($D$9:$L$9+INT(($S$12:$AA$12+INDEX($AJ$13:$AR$162,BN5913,0)+INDEX($AT$13:$BB$162,BO5913,0)+INDEX($BD$13:$BL$162,BP5913,0))/100)))),0)</f>
        <v/>
      </c>
      <c r="BS5913">
        <f>IF(5900&lt;$U$9,SUMPRODUCT(($D$9:$L$9+INT(($S$12:$AA$12+INDEX($AJ$13:$AR$162,BN5913,0)+INDEX($AT$13:$BB$162,BO5913,0)+INDEX($BD$13:$BL$162,BP5913,0))/100))),0)</f>
        <v/>
      </c>
      <c r="BT5913">
        <f>IF(AND(5900&lt;$U$9,$W$5),BQ5913*1000000-MIN(BR5913,999)*1000+BS5913-5900/100000,-1000000000-5900)</f>
        <v/>
      </c>
    </row>
    <row r="5914">
      <c r="BN5914">
        <f>IF(5901&lt;$U$9,INT(5901/($U$7*$U$8))+1,1)</f>
        <v/>
      </c>
      <c r="BO5914">
        <f>IF(5901&lt;$U$9,MOD(INT(5901/$U$8),$U$7)+1,1)</f>
        <v/>
      </c>
      <c r="BP5914">
        <f>IF(5901&lt;$U$9,MOD(5901,$U$8)+1,1)</f>
        <v/>
      </c>
      <c r="BQ5914">
        <f>IF(5901&lt;$U$9,SUMPRODUCT(($D$10:$L$10&lt;&gt;"")*(($D$9:$L$9+INT(($S$12:$AA$12+INDEX($AJ$13:$AR$162,BN5914,0)+INDEX($AT$13:$BB$162,BO5914,0)+INDEX($BD$13:$BL$162,BP5914,0))/100))&gt;=$D$10:$L$10)),0)</f>
        <v/>
      </c>
      <c r="BR5914">
        <f>IF(5901&lt;$U$9,SUMPRODUCT(($D$10:$L$10&lt;&gt;"")*(($D$10:$L$10-($D$9:$L$9+INT(($S$12:$AA$12+INDEX($AJ$13:$AR$162,BN5914,0)+INDEX($AT$13:$BB$162,BO5914,0)+INDEX($BD$13:$BL$162,BP5914,0))/100)))&gt;0)*($D$10:$L$10-($D$9:$L$9+INT(($S$12:$AA$12+INDEX($AJ$13:$AR$162,BN5914,0)+INDEX($AT$13:$BB$162,BO5914,0)+INDEX($BD$13:$BL$162,BP5914,0))/100)))),0)</f>
        <v/>
      </c>
      <c r="BS5914">
        <f>IF(5901&lt;$U$9,SUMPRODUCT(($D$9:$L$9+INT(($S$12:$AA$12+INDEX($AJ$13:$AR$162,BN5914,0)+INDEX($AT$13:$BB$162,BO5914,0)+INDEX($BD$13:$BL$162,BP5914,0))/100))),0)</f>
        <v/>
      </c>
      <c r="BT5914">
        <f>IF(AND(5901&lt;$U$9,$W$5),BQ5914*1000000-MIN(BR5914,999)*1000+BS5914-5901/100000,-1000000000-5901)</f>
        <v/>
      </c>
    </row>
    <row r="5915">
      <c r="BN5915">
        <f>IF(5902&lt;$U$9,INT(5902/($U$7*$U$8))+1,1)</f>
        <v/>
      </c>
      <c r="BO5915">
        <f>IF(5902&lt;$U$9,MOD(INT(5902/$U$8),$U$7)+1,1)</f>
        <v/>
      </c>
      <c r="BP5915">
        <f>IF(5902&lt;$U$9,MOD(5902,$U$8)+1,1)</f>
        <v/>
      </c>
      <c r="BQ5915">
        <f>IF(5902&lt;$U$9,SUMPRODUCT(($D$10:$L$10&lt;&gt;"")*(($D$9:$L$9+INT(($S$12:$AA$12+INDEX($AJ$13:$AR$162,BN5915,0)+INDEX($AT$13:$BB$162,BO5915,0)+INDEX($BD$13:$BL$162,BP5915,0))/100))&gt;=$D$10:$L$10)),0)</f>
        <v/>
      </c>
      <c r="BR5915">
        <f>IF(5902&lt;$U$9,SUMPRODUCT(($D$10:$L$10&lt;&gt;"")*(($D$10:$L$10-($D$9:$L$9+INT(($S$12:$AA$12+INDEX($AJ$13:$AR$162,BN5915,0)+INDEX($AT$13:$BB$162,BO5915,0)+INDEX($BD$13:$BL$162,BP5915,0))/100)))&gt;0)*($D$10:$L$10-($D$9:$L$9+INT(($S$12:$AA$12+INDEX($AJ$13:$AR$162,BN5915,0)+INDEX($AT$13:$BB$162,BO5915,0)+INDEX($BD$13:$BL$162,BP5915,0))/100)))),0)</f>
        <v/>
      </c>
      <c r="BS5915">
        <f>IF(5902&lt;$U$9,SUMPRODUCT(($D$9:$L$9+INT(($S$12:$AA$12+INDEX($AJ$13:$AR$162,BN5915,0)+INDEX($AT$13:$BB$162,BO5915,0)+INDEX($BD$13:$BL$162,BP5915,0))/100))),0)</f>
        <v/>
      </c>
      <c r="BT5915">
        <f>IF(AND(5902&lt;$U$9,$W$5),BQ5915*1000000-MIN(BR5915,999)*1000+BS5915-5902/100000,-1000000000-5902)</f>
        <v/>
      </c>
    </row>
    <row r="5916">
      <c r="BN5916">
        <f>IF(5903&lt;$U$9,INT(5903/($U$7*$U$8))+1,1)</f>
        <v/>
      </c>
      <c r="BO5916">
        <f>IF(5903&lt;$U$9,MOD(INT(5903/$U$8),$U$7)+1,1)</f>
        <v/>
      </c>
      <c r="BP5916">
        <f>IF(5903&lt;$U$9,MOD(5903,$U$8)+1,1)</f>
        <v/>
      </c>
      <c r="BQ5916">
        <f>IF(5903&lt;$U$9,SUMPRODUCT(($D$10:$L$10&lt;&gt;"")*(($D$9:$L$9+INT(($S$12:$AA$12+INDEX($AJ$13:$AR$162,BN5916,0)+INDEX($AT$13:$BB$162,BO5916,0)+INDEX($BD$13:$BL$162,BP5916,0))/100))&gt;=$D$10:$L$10)),0)</f>
        <v/>
      </c>
      <c r="BR5916">
        <f>IF(5903&lt;$U$9,SUMPRODUCT(($D$10:$L$10&lt;&gt;"")*(($D$10:$L$10-($D$9:$L$9+INT(($S$12:$AA$12+INDEX($AJ$13:$AR$162,BN5916,0)+INDEX($AT$13:$BB$162,BO5916,0)+INDEX($BD$13:$BL$162,BP5916,0))/100)))&gt;0)*($D$10:$L$10-($D$9:$L$9+INT(($S$12:$AA$12+INDEX($AJ$13:$AR$162,BN5916,0)+INDEX($AT$13:$BB$162,BO5916,0)+INDEX($BD$13:$BL$162,BP5916,0))/100)))),0)</f>
        <v/>
      </c>
      <c r="BS5916">
        <f>IF(5903&lt;$U$9,SUMPRODUCT(($D$9:$L$9+INT(($S$12:$AA$12+INDEX($AJ$13:$AR$162,BN5916,0)+INDEX($AT$13:$BB$162,BO5916,0)+INDEX($BD$13:$BL$162,BP5916,0))/100))),0)</f>
        <v/>
      </c>
      <c r="BT5916">
        <f>IF(AND(5903&lt;$U$9,$W$5),BQ5916*1000000-MIN(BR5916,999)*1000+BS5916-5903/100000,-1000000000-5903)</f>
        <v/>
      </c>
    </row>
    <row r="5917">
      <c r="BN5917">
        <f>IF(5904&lt;$U$9,INT(5904/($U$7*$U$8))+1,1)</f>
        <v/>
      </c>
      <c r="BO5917">
        <f>IF(5904&lt;$U$9,MOD(INT(5904/$U$8),$U$7)+1,1)</f>
        <v/>
      </c>
      <c r="BP5917">
        <f>IF(5904&lt;$U$9,MOD(5904,$U$8)+1,1)</f>
        <v/>
      </c>
      <c r="BQ5917">
        <f>IF(5904&lt;$U$9,SUMPRODUCT(($D$10:$L$10&lt;&gt;"")*(($D$9:$L$9+INT(($S$12:$AA$12+INDEX($AJ$13:$AR$162,BN5917,0)+INDEX($AT$13:$BB$162,BO5917,0)+INDEX($BD$13:$BL$162,BP5917,0))/100))&gt;=$D$10:$L$10)),0)</f>
        <v/>
      </c>
      <c r="BR5917">
        <f>IF(5904&lt;$U$9,SUMPRODUCT(($D$10:$L$10&lt;&gt;"")*(($D$10:$L$10-($D$9:$L$9+INT(($S$12:$AA$12+INDEX($AJ$13:$AR$162,BN5917,0)+INDEX($AT$13:$BB$162,BO5917,0)+INDEX($BD$13:$BL$162,BP5917,0))/100)))&gt;0)*($D$10:$L$10-($D$9:$L$9+INT(($S$12:$AA$12+INDEX($AJ$13:$AR$162,BN5917,0)+INDEX($AT$13:$BB$162,BO5917,0)+INDEX($BD$13:$BL$162,BP5917,0))/100)))),0)</f>
        <v/>
      </c>
      <c r="BS5917">
        <f>IF(5904&lt;$U$9,SUMPRODUCT(($D$9:$L$9+INT(($S$12:$AA$12+INDEX($AJ$13:$AR$162,BN5917,0)+INDEX($AT$13:$BB$162,BO5917,0)+INDEX($BD$13:$BL$162,BP5917,0))/100))),0)</f>
        <v/>
      </c>
      <c r="BT5917">
        <f>IF(AND(5904&lt;$U$9,$W$5),BQ5917*1000000-MIN(BR5917,999)*1000+BS5917-5904/100000,-1000000000-5904)</f>
        <v/>
      </c>
    </row>
    <row r="5918">
      <c r="BN5918">
        <f>IF(5905&lt;$U$9,INT(5905/($U$7*$U$8))+1,1)</f>
        <v/>
      </c>
      <c r="BO5918">
        <f>IF(5905&lt;$U$9,MOD(INT(5905/$U$8),$U$7)+1,1)</f>
        <v/>
      </c>
      <c r="BP5918">
        <f>IF(5905&lt;$U$9,MOD(5905,$U$8)+1,1)</f>
        <v/>
      </c>
      <c r="BQ5918">
        <f>IF(5905&lt;$U$9,SUMPRODUCT(($D$10:$L$10&lt;&gt;"")*(($D$9:$L$9+INT(($S$12:$AA$12+INDEX($AJ$13:$AR$162,BN5918,0)+INDEX($AT$13:$BB$162,BO5918,0)+INDEX($BD$13:$BL$162,BP5918,0))/100))&gt;=$D$10:$L$10)),0)</f>
        <v/>
      </c>
      <c r="BR5918">
        <f>IF(5905&lt;$U$9,SUMPRODUCT(($D$10:$L$10&lt;&gt;"")*(($D$10:$L$10-($D$9:$L$9+INT(($S$12:$AA$12+INDEX($AJ$13:$AR$162,BN5918,0)+INDEX($AT$13:$BB$162,BO5918,0)+INDEX($BD$13:$BL$162,BP5918,0))/100)))&gt;0)*($D$10:$L$10-($D$9:$L$9+INT(($S$12:$AA$12+INDEX($AJ$13:$AR$162,BN5918,0)+INDEX($AT$13:$BB$162,BO5918,0)+INDEX($BD$13:$BL$162,BP5918,0))/100)))),0)</f>
        <v/>
      </c>
      <c r="BS5918">
        <f>IF(5905&lt;$U$9,SUMPRODUCT(($D$9:$L$9+INT(($S$12:$AA$12+INDEX($AJ$13:$AR$162,BN5918,0)+INDEX($AT$13:$BB$162,BO5918,0)+INDEX($BD$13:$BL$162,BP5918,0))/100))),0)</f>
        <v/>
      </c>
      <c r="BT5918">
        <f>IF(AND(5905&lt;$U$9,$W$5),BQ5918*1000000-MIN(BR5918,999)*1000+BS5918-5905/100000,-1000000000-5905)</f>
        <v/>
      </c>
    </row>
    <row r="5919">
      <c r="BN5919">
        <f>IF(5906&lt;$U$9,INT(5906/($U$7*$U$8))+1,1)</f>
        <v/>
      </c>
      <c r="BO5919">
        <f>IF(5906&lt;$U$9,MOD(INT(5906/$U$8),$U$7)+1,1)</f>
        <v/>
      </c>
      <c r="BP5919">
        <f>IF(5906&lt;$U$9,MOD(5906,$U$8)+1,1)</f>
        <v/>
      </c>
      <c r="BQ5919">
        <f>IF(5906&lt;$U$9,SUMPRODUCT(($D$10:$L$10&lt;&gt;"")*(($D$9:$L$9+INT(($S$12:$AA$12+INDEX($AJ$13:$AR$162,BN5919,0)+INDEX($AT$13:$BB$162,BO5919,0)+INDEX($BD$13:$BL$162,BP5919,0))/100))&gt;=$D$10:$L$10)),0)</f>
        <v/>
      </c>
      <c r="BR5919">
        <f>IF(5906&lt;$U$9,SUMPRODUCT(($D$10:$L$10&lt;&gt;"")*(($D$10:$L$10-($D$9:$L$9+INT(($S$12:$AA$12+INDEX($AJ$13:$AR$162,BN5919,0)+INDEX($AT$13:$BB$162,BO5919,0)+INDEX($BD$13:$BL$162,BP5919,0))/100)))&gt;0)*($D$10:$L$10-($D$9:$L$9+INT(($S$12:$AA$12+INDEX($AJ$13:$AR$162,BN5919,0)+INDEX($AT$13:$BB$162,BO5919,0)+INDEX($BD$13:$BL$162,BP5919,0))/100)))),0)</f>
        <v/>
      </c>
      <c r="BS5919">
        <f>IF(5906&lt;$U$9,SUMPRODUCT(($D$9:$L$9+INT(($S$12:$AA$12+INDEX($AJ$13:$AR$162,BN5919,0)+INDEX($AT$13:$BB$162,BO5919,0)+INDEX($BD$13:$BL$162,BP5919,0))/100))),0)</f>
        <v/>
      </c>
      <c r="BT5919">
        <f>IF(AND(5906&lt;$U$9,$W$5),BQ5919*1000000-MIN(BR5919,999)*1000+BS5919-5906/100000,-1000000000-5906)</f>
        <v/>
      </c>
    </row>
    <row r="5920">
      <c r="BN5920">
        <f>IF(5907&lt;$U$9,INT(5907/($U$7*$U$8))+1,1)</f>
        <v/>
      </c>
      <c r="BO5920">
        <f>IF(5907&lt;$U$9,MOD(INT(5907/$U$8),$U$7)+1,1)</f>
        <v/>
      </c>
      <c r="BP5920">
        <f>IF(5907&lt;$U$9,MOD(5907,$U$8)+1,1)</f>
        <v/>
      </c>
      <c r="BQ5920">
        <f>IF(5907&lt;$U$9,SUMPRODUCT(($D$10:$L$10&lt;&gt;"")*(($D$9:$L$9+INT(($S$12:$AA$12+INDEX($AJ$13:$AR$162,BN5920,0)+INDEX($AT$13:$BB$162,BO5920,0)+INDEX($BD$13:$BL$162,BP5920,0))/100))&gt;=$D$10:$L$10)),0)</f>
        <v/>
      </c>
      <c r="BR5920">
        <f>IF(5907&lt;$U$9,SUMPRODUCT(($D$10:$L$10&lt;&gt;"")*(($D$10:$L$10-($D$9:$L$9+INT(($S$12:$AA$12+INDEX($AJ$13:$AR$162,BN5920,0)+INDEX($AT$13:$BB$162,BO5920,0)+INDEX($BD$13:$BL$162,BP5920,0))/100)))&gt;0)*($D$10:$L$10-($D$9:$L$9+INT(($S$12:$AA$12+INDEX($AJ$13:$AR$162,BN5920,0)+INDEX($AT$13:$BB$162,BO5920,0)+INDEX($BD$13:$BL$162,BP5920,0))/100)))),0)</f>
        <v/>
      </c>
      <c r="BS5920">
        <f>IF(5907&lt;$U$9,SUMPRODUCT(($D$9:$L$9+INT(($S$12:$AA$12+INDEX($AJ$13:$AR$162,BN5920,0)+INDEX($AT$13:$BB$162,BO5920,0)+INDEX($BD$13:$BL$162,BP5920,0))/100))),0)</f>
        <v/>
      </c>
      <c r="BT5920">
        <f>IF(AND(5907&lt;$U$9,$W$5),BQ5920*1000000-MIN(BR5920,999)*1000+BS5920-5907/100000,-1000000000-5907)</f>
        <v/>
      </c>
    </row>
    <row r="5921">
      <c r="BN5921">
        <f>IF(5908&lt;$U$9,INT(5908/($U$7*$U$8))+1,1)</f>
        <v/>
      </c>
      <c r="BO5921">
        <f>IF(5908&lt;$U$9,MOD(INT(5908/$U$8),$U$7)+1,1)</f>
        <v/>
      </c>
      <c r="BP5921">
        <f>IF(5908&lt;$U$9,MOD(5908,$U$8)+1,1)</f>
        <v/>
      </c>
      <c r="BQ5921">
        <f>IF(5908&lt;$U$9,SUMPRODUCT(($D$10:$L$10&lt;&gt;"")*(($D$9:$L$9+INT(($S$12:$AA$12+INDEX($AJ$13:$AR$162,BN5921,0)+INDEX($AT$13:$BB$162,BO5921,0)+INDEX($BD$13:$BL$162,BP5921,0))/100))&gt;=$D$10:$L$10)),0)</f>
        <v/>
      </c>
      <c r="BR5921">
        <f>IF(5908&lt;$U$9,SUMPRODUCT(($D$10:$L$10&lt;&gt;"")*(($D$10:$L$10-($D$9:$L$9+INT(($S$12:$AA$12+INDEX($AJ$13:$AR$162,BN5921,0)+INDEX($AT$13:$BB$162,BO5921,0)+INDEX($BD$13:$BL$162,BP5921,0))/100)))&gt;0)*($D$10:$L$10-($D$9:$L$9+INT(($S$12:$AA$12+INDEX($AJ$13:$AR$162,BN5921,0)+INDEX($AT$13:$BB$162,BO5921,0)+INDEX($BD$13:$BL$162,BP5921,0))/100)))),0)</f>
        <v/>
      </c>
      <c r="BS5921">
        <f>IF(5908&lt;$U$9,SUMPRODUCT(($D$9:$L$9+INT(($S$12:$AA$12+INDEX($AJ$13:$AR$162,BN5921,0)+INDEX($AT$13:$BB$162,BO5921,0)+INDEX($BD$13:$BL$162,BP5921,0))/100))),0)</f>
        <v/>
      </c>
      <c r="BT5921">
        <f>IF(AND(5908&lt;$U$9,$W$5),BQ5921*1000000-MIN(BR5921,999)*1000+BS5921-5908/100000,-1000000000-5908)</f>
        <v/>
      </c>
    </row>
    <row r="5922">
      <c r="BN5922">
        <f>IF(5909&lt;$U$9,INT(5909/($U$7*$U$8))+1,1)</f>
        <v/>
      </c>
      <c r="BO5922">
        <f>IF(5909&lt;$U$9,MOD(INT(5909/$U$8),$U$7)+1,1)</f>
        <v/>
      </c>
      <c r="BP5922">
        <f>IF(5909&lt;$U$9,MOD(5909,$U$8)+1,1)</f>
        <v/>
      </c>
      <c r="BQ5922">
        <f>IF(5909&lt;$U$9,SUMPRODUCT(($D$10:$L$10&lt;&gt;"")*(($D$9:$L$9+INT(($S$12:$AA$12+INDEX($AJ$13:$AR$162,BN5922,0)+INDEX($AT$13:$BB$162,BO5922,0)+INDEX($BD$13:$BL$162,BP5922,0))/100))&gt;=$D$10:$L$10)),0)</f>
        <v/>
      </c>
      <c r="BR5922">
        <f>IF(5909&lt;$U$9,SUMPRODUCT(($D$10:$L$10&lt;&gt;"")*(($D$10:$L$10-($D$9:$L$9+INT(($S$12:$AA$12+INDEX($AJ$13:$AR$162,BN5922,0)+INDEX($AT$13:$BB$162,BO5922,0)+INDEX($BD$13:$BL$162,BP5922,0))/100)))&gt;0)*($D$10:$L$10-($D$9:$L$9+INT(($S$12:$AA$12+INDEX($AJ$13:$AR$162,BN5922,0)+INDEX($AT$13:$BB$162,BO5922,0)+INDEX($BD$13:$BL$162,BP5922,0))/100)))),0)</f>
        <v/>
      </c>
      <c r="BS5922">
        <f>IF(5909&lt;$U$9,SUMPRODUCT(($D$9:$L$9+INT(($S$12:$AA$12+INDEX($AJ$13:$AR$162,BN5922,0)+INDEX($AT$13:$BB$162,BO5922,0)+INDEX($BD$13:$BL$162,BP5922,0))/100))),0)</f>
        <v/>
      </c>
      <c r="BT5922">
        <f>IF(AND(5909&lt;$U$9,$W$5),BQ5922*1000000-MIN(BR5922,999)*1000+BS5922-5909/100000,-1000000000-5909)</f>
        <v/>
      </c>
    </row>
    <row r="5923">
      <c r="BN5923">
        <f>IF(5910&lt;$U$9,INT(5910/($U$7*$U$8))+1,1)</f>
        <v/>
      </c>
      <c r="BO5923">
        <f>IF(5910&lt;$U$9,MOD(INT(5910/$U$8),$U$7)+1,1)</f>
        <v/>
      </c>
      <c r="BP5923">
        <f>IF(5910&lt;$U$9,MOD(5910,$U$8)+1,1)</f>
        <v/>
      </c>
      <c r="BQ5923">
        <f>IF(5910&lt;$U$9,SUMPRODUCT(($D$10:$L$10&lt;&gt;"")*(($D$9:$L$9+INT(($S$12:$AA$12+INDEX($AJ$13:$AR$162,BN5923,0)+INDEX($AT$13:$BB$162,BO5923,0)+INDEX($BD$13:$BL$162,BP5923,0))/100))&gt;=$D$10:$L$10)),0)</f>
        <v/>
      </c>
      <c r="BR5923">
        <f>IF(5910&lt;$U$9,SUMPRODUCT(($D$10:$L$10&lt;&gt;"")*(($D$10:$L$10-($D$9:$L$9+INT(($S$12:$AA$12+INDEX($AJ$13:$AR$162,BN5923,0)+INDEX($AT$13:$BB$162,BO5923,0)+INDEX($BD$13:$BL$162,BP5923,0))/100)))&gt;0)*($D$10:$L$10-($D$9:$L$9+INT(($S$12:$AA$12+INDEX($AJ$13:$AR$162,BN5923,0)+INDEX($AT$13:$BB$162,BO5923,0)+INDEX($BD$13:$BL$162,BP5923,0))/100)))),0)</f>
        <v/>
      </c>
      <c r="BS5923">
        <f>IF(5910&lt;$U$9,SUMPRODUCT(($D$9:$L$9+INT(($S$12:$AA$12+INDEX($AJ$13:$AR$162,BN5923,0)+INDEX($AT$13:$BB$162,BO5923,0)+INDEX($BD$13:$BL$162,BP5923,0))/100))),0)</f>
        <v/>
      </c>
      <c r="BT5923">
        <f>IF(AND(5910&lt;$U$9,$W$5),BQ5923*1000000-MIN(BR5923,999)*1000+BS5923-5910/100000,-1000000000-5910)</f>
        <v/>
      </c>
    </row>
    <row r="5924">
      <c r="BN5924">
        <f>IF(5911&lt;$U$9,INT(5911/($U$7*$U$8))+1,1)</f>
        <v/>
      </c>
      <c r="BO5924">
        <f>IF(5911&lt;$U$9,MOD(INT(5911/$U$8),$U$7)+1,1)</f>
        <v/>
      </c>
      <c r="BP5924">
        <f>IF(5911&lt;$U$9,MOD(5911,$U$8)+1,1)</f>
        <v/>
      </c>
      <c r="BQ5924">
        <f>IF(5911&lt;$U$9,SUMPRODUCT(($D$10:$L$10&lt;&gt;"")*(($D$9:$L$9+INT(($S$12:$AA$12+INDEX($AJ$13:$AR$162,BN5924,0)+INDEX($AT$13:$BB$162,BO5924,0)+INDEX($BD$13:$BL$162,BP5924,0))/100))&gt;=$D$10:$L$10)),0)</f>
        <v/>
      </c>
      <c r="BR5924">
        <f>IF(5911&lt;$U$9,SUMPRODUCT(($D$10:$L$10&lt;&gt;"")*(($D$10:$L$10-($D$9:$L$9+INT(($S$12:$AA$12+INDEX($AJ$13:$AR$162,BN5924,0)+INDEX($AT$13:$BB$162,BO5924,0)+INDEX($BD$13:$BL$162,BP5924,0))/100)))&gt;0)*($D$10:$L$10-($D$9:$L$9+INT(($S$12:$AA$12+INDEX($AJ$13:$AR$162,BN5924,0)+INDEX($AT$13:$BB$162,BO5924,0)+INDEX($BD$13:$BL$162,BP5924,0))/100)))),0)</f>
        <v/>
      </c>
      <c r="BS5924">
        <f>IF(5911&lt;$U$9,SUMPRODUCT(($D$9:$L$9+INT(($S$12:$AA$12+INDEX($AJ$13:$AR$162,BN5924,0)+INDEX($AT$13:$BB$162,BO5924,0)+INDEX($BD$13:$BL$162,BP5924,0))/100))),0)</f>
        <v/>
      </c>
      <c r="BT5924">
        <f>IF(AND(5911&lt;$U$9,$W$5),BQ5924*1000000-MIN(BR5924,999)*1000+BS5924-5911/100000,-1000000000-5911)</f>
        <v/>
      </c>
    </row>
    <row r="5925">
      <c r="BN5925">
        <f>IF(5912&lt;$U$9,INT(5912/($U$7*$U$8))+1,1)</f>
        <v/>
      </c>
      <c r="BO5925">
        <f>IF(5912&lt;$U$9,MOD(INT(5912/$U$8),$U$7)+1,1)</f>
        <v/>
      </c>
      <c r="BP5925">
        <f>IF(5912&lt;$U$9,MOD(5912,$U$8)+1,1)</f>
        <v/>
      </c>
      <c r="BQ5925">
        <f>IF(5912&lt;$U$9,SUMPRODUCT(($D$10:$L$10&lt;&gt;"")*(($D$9:$L$9+INT(($S$12:$AA$12+INDEX($AJ$13:$AR$162,BN5925,0)+INDEX($AT$13:$BB$162,BO5925,0)+INDEX($BD$13:$BL$162,BP5925,0))/100))&gt;=$D$10:$L$10)),0)</f>
        <v/>
      </c>
      <c r="BR5925">
        <f>IF(5912&lt;$U$9,SUMPRODUCT(($D$10:$L$10&lt;&gt;"")*(($D$10:$L$10-($D$9:$L$9+INT(($S$12:$AA$12+INDEX($AJ$13:$AR$162,BN5925,0)+INDEX($AT$13:$BB$162,BO5925,0)+INDEX($BD$13:$BL$162,BP5925,0))/100)))&gt;0)*($D$10:$L$10-($D$9:$L$9+INT(($S$12:$AA$12+INDEX($AJ$13:$AR$162,BN5925,0)+INDEX($AT$13:$BB$162,BO5925,0)+INDEX($BD$13:$BL$162,BP5925,0))/100)))),0)</f>
        <v/>
      </c>
      <c r="BS5925">
        <f>IF(5912&lt;$U$9,SUMPRODUCT(($D$9:$L$9+INT(($S$12:$AA$12+INDEX($AJ$13:$AR$162,BN5925,0)+INDEX($AT$13:$BB$162,BO5925,0)+INDEX($BD$13:$BL$162,BP5925,0))/100))),0)</f>
        <v/>
      </c>
      <c r="BT5925">
        <f>IF(AND(5912&lt;$U$9,$W$5),BQ5925*1000000-MIN(BR5925,999)*1000+BS5925-5912/100000,-1000000000-5912)</f>
        <v/>
      </c>
    </row>
    <row r="5926">
      <c r="BN5926">
        <f>IF(5913&lt;$U$9,INT(5913/($U$7*$U$8))+1,1)</f>
        <v/>
      </c>
      <c r="BO5926">
        <f>IF(5913&lt;$U$9,MOD(INT(5913/$U$8),$U$7)+1,1)</f>
        <v/>
      </c>
      <c r="BP5926">
        <f>IF(5913&lt;$U$9,MOD(5913,$U$8)+1,1)</f>
        <v/>
      </c>
      <c r="BQ5926">
        <f>IF(5913&lt;$U$9,SUMPRODUCT(($D$10:$L$10&lt;&gt;"")*(($D$9:$L$9+INT(($S$12:$AA$12+INDEX($AJ$13:$AR$162,BN5926,0)+INDEX($AT$13:$BB$162,BO5926,0)+INDEX($BD$13:$BL$162,BP5926,0))/100))&gt;=$D$10:$L$10)),0)</f>
        <v/>
      </c>
      <c r="BR5926">
        <f>IF(5913&lt;$U$9,SUMPRODUCT(($D$10:$L$10&lt;&gt;"")*(($D$10:$L$10-($D$9:$L$9+INT(($S$12:$AA$12+INDEX($AJ$13:$AR$162,BN5926,0)+INDEX($AT$13:$BB$162,BO5926,0)+INDEX($BD$13:$BL$162,BP5926,0))/100)))&gt;0)*($D$10:$L$10-($D$9:$L$9+INT(($S$12:$AA$12+INDEX($AJ$13:$AR$162,BN5926,0)+INDEX($AT$13:$BB$162,BO5926,0)+INDEX($BD$13:$BL$162,BP5926,0))/100)))),0)</f>
        <v/>
      </c>
      <c r="BS5926">
        <f>IF(5913&lt;$U$9,SUMPRODUCT(($D$9:$L$9+INT(($S$12:$AA$12+INDEX($AJ$13:$AR$162,BN5926,0)+INDEX($AT$13:$BB$162,BO5926,0)+INDEX($BD$13:$BL$162,BP5926,0))/100))),0)</f>
        <v/>
      </c>
      <c r="BT5926">
        <f>IF(AND(5913&lt;$U$9,$W$5),BQ5926*1000000-MIN(BR5926,999)*1000+BS5926-5913/100000,-1000000000-5913)</f>
        <v/>
      </c>
    </row>
    <row r="5927">
      <c r="BN5927">
        <f>IF(5914&lt;$U$9,INT(5914/($U$7*$U$8))+1,1)</f>
        <v/>
      </c>
      <c r="BO5927">
        <f>IF(5914&lt;$U$9,MOD(INT(5914/$U$8),$U$7)+1,1)</f>
        <v/>
      </c>
      <c r="BP5927">
        <f>IF(5914&lt;$U$9,MOD(5914,$U$8)+1,1)</f>
        <v/>
      </c>
      <c r="BQ5927">
        <f>IF(5914&lt;$U$9,SUMPRODUCT(($D$10:$L$10&lt;&gt;"")*(($D$9:$L$9+INT(($S$12:$AA$12+INDEX($AJ$13:$AR$162,BN5927,0)+INDEX($AT$13:$BB$162,BO5927,0)+INDEX($BD$13:$BL$162,BP5927,0))/100))&gt;=$D$10:$L$10)),0)</f>
        <v/>
      </c>
      <c r="BR5927">
        <f>IF(5914&lt;$U$9,SUMPRODUCT(($D$10:$L$10&lt;&gt;"")*(($D$10:$L$10-($D$9:$L$9+INT(($S$12:$AA$12+INDEX($AJ$13:$AR$162,BN5927,0)+INDEX($AT$13:$BB$162,BO5927,0)+INDEX($BD$13:$BL$162,BP5927,0))/100)))&gt;0)*($D$10:$L$10-($D$9:$L$9+INT(($S$12:$AA$12+INDEX($AJ$13:$AR$162,BN5927,0)+INDEX($AT$13:$BB$162,BO5927,0)+INDEX($BD$13:$BL$162,BP5927,0))/100)))),0)</f>
        <v/>
      </c>
      <c r="BS5927">
        <f>IF(5914&lt;$U$9,SUMPRODUCT(($D$9:$L$9+INT(($S$12:$AA$12+INDEX($AJ$13:$AR$162,BN5927,0)+INDEX($AT$13:$BB$162,BO5927,0)+INDEX($BD$13:$BL$162,BP5927,0))/100))),0)</f>
        <v/>
      </c>
      <c r="BT5927">
        <f>IF(AND(5914&lt;$U$9,$W$5),BQ5927*1000000-MIN(BR5927,999)*1000+BS5927-5914/100000,-1000000000-5914)</f>
        <v/>
      </c>
    </row>
    <row r="5928">
      <c r="BN5928">
        <f>IF(5915&lt;$U$9,INT(5915/($U$7*$U$8))+1,1)</f>
        <v/>
      </c>
      <c r="BO5928">
        <f>IF(5915&lt;$U$9,MOD(INT(5915/$U$8),$U$7)+1,1)</f>
        <v/>
      </c>
      <c r="BP5928">
        <f>IF(5915&lt;$U$9,MOD(5915,$U$8)+1,1)</f>
        <v/>
      </c>
      <c r="BQ5928">
        <f>IF(5915&lt;$U$9,SUMPRODUCT(($D$10:$L$10&lt;&gt;"")*(($D$9:$L$9+INT(($S$12:$AA$12+INDEX($AJ$13:$AR$162,BN5928,0)+INDEX($AT$13:$BB$162,BO5928,0)+INDEX($BD$13:$BL$162,BP5928,0))/100))&gt;=$D$10:$L$10)),0)</f>
        <v/>
      </c>
      <c r="BR5928">
        <f>IF(5915&lt;$U$9,SUMPRODUCT(($D$10:$L$10&lt;&gt;"")*(($D$10:$L$10-($D$9:$L$9+INT(($S$12:$AA$12+INDEX($AJ$13:$AR$162,BN5928,0)+INDEX($AT$13:$BB$162,BO5928,0)+INDEX($BD$13:$BL$162,BP5928,0))/100)))&gt;0)*($D$10:$L$10-($D$9:$L$9+INT(($S$12:$AA$12+INDEX($AJ$13:$AR$162,BN5928,0)+INDEX($AT$13:$BB$162,BO5928,0)+INDEX($BD$13:$BL$162,BP5928,0))/100)))),0)</f>
        <v/>
      </c>
      <c r="BS5928">
        <f>IF(5915&lt;$U$9,SUMPRODUCT(($D$9:$L$9+INT(($S$12:$AA$12+INDEX($AJ$13:$AR$162,BN5928,0)+INDEX($AT$13:$BB$162,BO5928,0)+INDEX($BD$13:$BL$162,BP5928,0))/100))),0)</f>
        <v/>
      </c>
      <c r="BT5928">
        <f>IF(AND(5915&lt;$U$9,$W$5),BQ5928*1000000-MIN(BR5928,999)*1000+BS5928-5915/100000,-1000000000-5915)</f>
        <v/>
      </c>
    </row>
    <row r="5929">
      <c r="BN5929">
        <f>IF(5916&lt;$U$9,INT(5916/($U$7*$U$8))+1,1)</f>
        <v/>
      </c>
      <c r="BO5929">
        <f>IF(5916&lt;$U$9,MOD(INT(5916/$U$8),$U$7)+1,1)</f>
        <v/>
      </c>
      <c r="BP5929">
        <f>IF(5916&lt;$U$9,MOD(5916,$U$8)+1,1)</f>
        <v/>
      </c>
      <c r="BQ5929">
        <f>IF(5916&lt;$U$9,SUMPRODUCT(($D$10:$L$10&lt;&gt;"")*(($D$9:$L$9+INT(($S$12:$AA$12+INDEX($AJ$13:$AR$162,BN5929,0)+INDEX($AT$13:$BB$162,BO5929,0)+INDEX($BD$13:$BL$162,BP5929,0))/100))&gt;=$D$10:$L$10)),0)</f>
        <v/>
      </c>
      <c r="BR5929">
        <f>IF(5916&lt;$U$9,SUMPRODUCT(($D$10:$L$10&lt;&gt;"")*(($D$10:$L$10-($D$9:$L$9+INT(($S$12:$AA$12+INDEX($AJ$13:$AR$162,BN5929,0)+INDEX($AT$13:$BB$162,BO5929,0)+INDEX($BD$13:$BL$162,BP5929,0))/100)))&gt;0)*($D$10:$L$10-($D$9:$L$9+INT(($S$12:$AA$12+INDEX($AJ$13:$AR$162,BN5929,0)+INDEX($AT$13:$BB$162,BO5929,0)+INDEX($BD$13:$BL$162,BP5929,0))/100)))),0)</f>
        <v/>
      </c>
      <c r="BS5929">
        <f>IF(5916&lt;$U$9,SUMPRODUCT(($D$9:$L$9+INT(($S$12:$AA$12+INDEX($AJ$13:$AR$162,BN5929,0)+INDEX($AT$13:$BB$162,BO5929,0)+INDEX($BD$13:$BL$162,BP5929,0))/100))),0)</f>
        <v/>
      </c>
      <c r="BT5929">
        <f>IF(AND(5916&lt;$U$9,$W$5),BQ5929*1000000-MIN(BR5929,999)*1000+BS5929-5916/100000,-1000000000-5916)</f>
        <v/>
      </c>
    </row>
    <row r="5930">
      <c r="BN5930">
        <f>IF(5917&lt;$U$9,INT(5917/($U$7*$U$8))+1,1)</f>
        <v/>
      </c>
      <c r="BO5930">
        <f>IF(5917&lt;$U$9,MOD(INT(5917/$U$8),$U$7)+1,1)</f>
        <v/>
      </c>
      <c r="BP5930">
        <f>IF(5917&lt;$U$9,MOD(5917,$U$8)+1,1)</f>
        <v/>
      </c>
      <c r="BQ5930">
        <f>IF(5917&lt;$U$9,SUMPRODUCT(($D$10:$L$10&lt;&gt;"")*(($D$9:$L$9+INT(($S$12:$AA$12+INDEX($AJ$13:$AR$162,BN5930,0)+INDEX($AT$13:$BB$162,BO5930,0)+INDEX($BD$13:$BL$162,BP5930,0))/100))&gt;=$D$10:$L$10)),0)</f>
        <v/>
      </c>
      <c r="BR5930">
        <f>IF(5917&lt;$U$9,SUMPRODUCT(($D$10:$L$10&lt;&gt;"")*(($D$10:$L$10-($D$9:$L$9+INT(($S$12:$AA$12+INDEX($AJ$13:$AR$162,BN5930,0)+INDEX($AT$13:$BB$162,BO5930,0)+INDEX($BD$13:$BL$162,BP5930,0))/100)))&gt;0)*($D$10:$L$10-($D$9:$L$9+INT(($S$12:$AA$12+INDEX($AJ$13:$AR$162,BN5930,0)+INDEX($AT$13:$BB$162,BO5930,0)+INDEX($BD$13:$BL$162,BP5930,0))/100)))),0)</f>
        <v/>
      </c>
      <c r="BS5930">
        <f>IF(5917&lt;$U$9,SUMPRODUCT(($D$9:$L$9+INT(($S$12:$AA$12+INDEX($AJ$13:$AR$162,BN5930,0)+INDEX($AT$13:$BB$162,BO5930,0)+INDEX($BD$13:$BL$162,BP5930,0))/100))),0)</f>
        <v/>
      </c>
      <c r="BT5930">
        <f>IF(AND(5917&lt;$U$9,$W$5),BQ5930*1000000-MIN(BR5930,999)*1000+BS5930-5917/100000,-1000000000-5917)</f>
        <v/>
      </c>
    </row>
    <row r="5931">
      <c r="BN5931">
        <f>IF(5918&lt;$U$9,INT(5918/($U$7*$U$8))+1,1)</f>
        <v/>
      </c>
      <c r="BO5931">
        <f>IF(5918&lt;$U$9,MOD(INT(5918/$U$8),$U$7)+1,1)</f>
        <v/>
      </c>
      <c r="BP5931">
        <f>IF(5918&lt;$U$9,MOD(5918,$U$8)+1,1)</f>
        <v/>
      </c>
      <c r="BQ5931">
        <f>IF(5918&lt;$U$9,SUMPRODUCT(($D$10:$L$10&lt;&gt;"")*(($D$9:$L$9+INT(($S$12:$AA$12+INDEX($AJ$13:$AR$162,BN5931,0)+INDEX($AT$13:$BB$162,BO5931,0)+INDEX($BD$13:$BL$162,BP5931,0))/100))&gt;=$D$10:$L$10)),0)</f>
        <v/>
      </c>
      <c r="BR5931">
        <f>IF(5918&lt;$U$9,SUMPRODUCT(($D$10:$L$10&lt;&gt;"")*(($D$10:$L$10-($D$9:$L$9+INT(($S$12:$AA$12+INDEX($AJ$13:$AR$162,BN5931,0)+INDEX($AT$13:$BB$162,BO5931,0)+INDEX($BD$13:$BL$162,BP5931,0))/100)))&gt;0)*($D$10:$L$10-($D$9:$L$9+INT(($S$12:$AA$12+INDEX($AJ$13:$AR$162,BN5931,0)+INDEX($AT$13:$BB$162,BO5931,0)+INDEX($BD$13:$BL$162,BP5931,0))/100)))),0)</f>
        <v/>
      </c>
      <c r="BS5931">
        <f>IF(5918&lt;$U$9,SUMPRODUCT(($D$9:$L$9+INT(($S$12:$AA$12+INDEX($AJ$13:$AR$162,BN5931,0)+INDEX($AT$13:$BB$162,BO5931,0)+INDEX($BD$13:$BL$162,BP5931,0))/100))),0)</f>
        <v/>
      </c>
      <c r="BT5931">
        <f>IF(AND(5918&lt;$U$9,$W$5),BQ5931*1000000-MIN(BR5931,999)*1000+BS5931-5918/100000,-1000000000-5918)</f>
        <v/>
      </c>
    </row>
    <row r="5932">
      <c r="BN5932">
        <f>IF(5919&lt;$U$9,INT(5919/($U$7*$U$8))+1,1)</f>
        <v/>
      </c>
      <c r="BO5932">
        <f>IF(5919&lt;$U$9,MOD(INT(5919/$U$8),$U$7)+1,1)</f>
        <v/>
      </c>
      <c r="BP5932">
        <f>IF(5919&lt;$U$9,MOD(5919,$U$8)+1,1)</f>
        <v/>
      </c>
      <c r="BQ5932">
        <f>IF(5919&lt;$U$9,SUMPRODUCT(($D$10:$L$10&lt;&gt;"")*(($D$9:$L$9+INT(($S$12:$AA$12+INDEX($AJ$13:$AR$162,BN5932,0)+INDEX($AT$13:$BB$162,BO5932,0)+INDEX($BD$13:$BL$162,BP5932,0))/100))&gt;=$D$10:$L$10)),0)</f>
        <v/>
      </c>
      <c r="BR5932">
        <f>IF(5919&lt;$U$9,SUMPRODUCT(($D$10:$L$10&lt;&gt;"")*(($D$10:$L$10-($D$9:$L$9+INT(($S$12:$AA$12+INDEX($AJ$13:$AR$162,BN5932,0)+INDEX($AT$13:$BB$162,BO5932,0)+INDEX($BD$13:$BL$162,BP5932,0))/100)))&gt;0)*($D$10:$L$10-($D$9:$L$9+INT(($S$12:$AA$12+INDEX($AJ$13:$AR$162,BN5932,0)+INDEX($AT$13:$BB$162,BO5932,0)+INDEX($BD$13:$BL$162,BP5932,0))/100)))),0)</f>
        <v/>
      </c>
      <c r="BS5932">
        <f>IF(5919&lt;$U$9,SUMPRODUCT(($D$9:$L$9+INT(($S$12:$AA$12+INDEX($AJ$13:$AR$162,BN5932,0)+INDEX($AT$13:$BB$162,BO5932,0)+INDEX($BD$13:$BL$162,BP5932,0))/100))),0)</f>
        <v/>
      </c>
      <c r="BT5932">
        <f>IF(AND(5919&lt;$U$9,$W$5),BQ5932*1000000-MIN(BR5932,999)*1000+BS5932-5919/100000,-1000000000-5919)</f>
        <v/>
      </c>
    </row>
    <row r="5933">
      <c r="BN5933">
        <f>IF(5920&lt;$U$9,INT(5920/($U$7*$U$8))+1,1)</f>
        <v/>
      </c>
      <c r="BO5933">
        <f>IF(5920&lt;$U$9,MOD(INT(5920/$U$8),$U$7)+1,1)</f>
        <v/>
      </c>
      <c r="BP5933">
        <f>IF(5920&lt;$U$9,MOD(5920,$U$8)+1,1)</f>
        <v/>
      </c>
      <c r="BQ5933">
        <f>IF(5920&lt;$U$9,SUMPRODUCT(($D$10:$L$10&lt;&gt;"")*(($D$9:$L$9+INT(($S$12:$AA$12+INDEX($AJ$13:$AR$162,BN5933,0)+INDEX($AT$13:$BB$162,BO5933,0)+INDEX($BD$13:$BL$162,BP5933,0))/100))&gt;=$D$10:$L$10)),0)</f>
        <v/>
      </c>
      <c r="BR5933">
        <f>IF(5920&lt;$U$9,SUMPRODUCT(($D$10:$L$10&lt;&gt;"")*(($D$10:$L$10-($D$9:$L$9+INT(($S$12:$AA$12+INDEX($AJ$13:$AR$162,BN5933,0)+INDEX($AT$13:$BB$162,BO5933,0)+INDEX($BD$13:$BL$162,BP5933,0))/100)))&gt;0)*($D$10:$L$10-($D$9:$L$9+INT(($S$12:$AA$12+INDEX($AJ$13:$AR$162,BN5933,0)+INDEX($AT$13:$BB$162,BO5933,0)+INDEX($BD$13:$BL$162,BP5933,0))/100)))),0)</f>
        <v/>
      </c>
      <c r="BS5933">
        <f>IF(5920&lt;$U$9,SUMPRODUCT(($D$9:$L$9+INT(($S$12:$AA$12+INDEX($AJ$13:$AR$162,BN5933,0)+INDEX($AT$13:$BB$162,BO5933,0)+INDEX($BD$13:$BL$162,BP5933,0))/100))),0)</f>
        <v/>
      </c>
      <c r="BT5933">
        <f>IF(AND(5920&lt;$U$9,$W$5),BQ5933*1000000-MIN(BR5933,999)*1000+BS5933-5920/100000,-1000000000-5920)</f>
        <v/>
      </c>
    </row>
    <row r="5934">
      <c r="BN5934">
        <f>IF(5921&lt;$U$9,INT(5921/($U$7*$U$8))+1,1)</f>
        <v/>
      </c>
      <c r="BO5934">
        <f>IF(5921&lt;$U$9,MOD(INT(5921/$U$8),$U$7)+1,1)</f>
        <v/>
      </c>
      <c r="BP5934">
        <f>IF(5921&lt;$U$9,MOD(5921,$U$8)+1,1)</f>
        <v/>
      </c>
      <c r="BQ5934">
        <f>IF(5921&lt;$U$9,SUMPRODUCT(($D$10:$L$10&lt;&gt;"")*(($D$9:$L$9+INT(($S$12:$AA$12+INDEX($AJ$13:$AR$162,BN5934,0)+INDEX($AT$13:$BB$162,BO5934,0)+INDEX($BD$13:$BL$162,BP5934,0))/100))&gt;=$D$10:$L$10)),0)</f>
        <v/>
      </c>
      <c r="BR5934">
        <f>IF(5921&lt;$U$9,SUMPRODUCT(($D$10:$L$10&lt;&gt;"")*(($D$10:$L$10-($D$9:$L$9+INT(($S$12:$AA$12+INDEX($AJ$13:$AR$162,BN5934,0)+INDEX($AT$13:$BB$162,BO5934,0)+INDEX($BD$13:$BL$162,BP5934,0))/100)))&gt;0)*($D$10:$L$10-($D$9:$L$9+INT(($S$12:$AA$12+INDEX($AJ$13:$AR$162,BN5934,0)+INDEX($AT$13:$BB$162,BO5934,0)+INDEX($BD$13:$BL$162,BP5934,0))/100)))),0)</f>
        <v/>
      </c>
      <c r="BS5934">
        <f>IF(5921&lt;$U$9,SUMPRODUCT(($D$9:$L$9+INT(($S$12:$AA$12+INDEX($AJ$13:$AR$162,BN5934,0)+INDEX($AT$13:$BB$162,BO5934,0)+INDEX($BD$13:$BL$162,BP5934,0))/100))),0)</f>
        <v/>
      </c>
      <c r="BT5934">
        <f>IF(AND(5921&lt;$U$9,$W$5),BQ5934*1000000-MIN(BR5934,999)*1000+BS5934-5921/100000,-1000000000-5921)</f>
        <v/>
      </c>
    </row>
    <row r="5935">
      <c r="BN5935">
        <f>IF(5922&lt;$U$9,INT(5922/($U$7*$U$8))+1,1)</f>
        <v/>
      </c>
      <c r="BO5935">
        <f>IF(5922&lt;$U$9,MOD(INT(5922/$U$8),$U$7)+1,1)</f>
        <v/>
      </c>
      <c r="BP5935">
        <f>IF(5922&lt;$U$9,MOD(5922,$U$8)+1,1)</f>
        <v/>
      </c>
      <c r="BQ5935">
        <f>IF(5922&lt;$U$9,SUMPRODUCT(($D$10:$L$10&lt;&gt;"")*(($D$9:$L$9+INT(($S$12:$AA$12+INDEX($AJ$13:$AR$162,BN5935,0)+INDEX($AT$13:$BB$162,BO5935,0)+INDEX($BD$13:$BL$162,BP5935,0))/100))&gt;=$D$10:$L$10)),0)</f>
        <v/>
      </c>
      <c r="BR5935">
        <f>IF(5922&lt;$U$9,SUMPRODUCT(($D$10:$L$10&lt;&gt;"")*(($D$10:$L$10-($D$9:$L$9+INT(($S$12:$AA$12+INDEX($AJ$13:$AR$162,BN5935,0)+INDEX($AT$13:$BB$162,BO5935,0)+INDEX($BD$13:$BL$162,BP5935,0))/100)))&gt;0)*($D$10:$L$10-($D$9:$L$9+INT(($S$12:$AA$12+INDEX($AJ$13:$AR$162,BN5935,0)+INDEX($AT$13:$BB$162,BO5935,0)+INDEX($BD$13:$BL$162,BP5935,0))/100)))),0)</f>
        <v/>
      </c>
      <c r="BS5935">
        <f>IF(5922&lt;$U$9,SUMPRODUCT(($D$9:$L$9+INT(($S$12:$AA$12+INDEX($AJ$13:$AR$162,BN5935,0)+INDEX($AT$13:$BB$162,BO5935,0)+INDEX($BD$13:$BL$162,BP5935,0))/100))),0)</f>
        <v/>
      </c>
      <c r="BT5935">
        <f>IF(AND(5922&lt;$U$9,$W$5),BQ5935*1000000-MIN(BR5935,999)*1000+BS5935-5922/100000,-1000000000-5922)</f>
        <v/>
      </c>
    </row>
    <row r="5936">
      <c r="BN5936">
        <f>IF(5923&lt;$U$9,INT(5923/($U$7*$U$8))+1,1)</f>
        <v/>
      </c>
      <c r="BO5936">
        <f>IF(5923&lt;$U$9,MOD(INT(5923/$U$8),$U$7)+1,1)</f>
        <v/>
      </c>
      <c r="BP5936">
        <f>IF(5923&lt;$U$9,MOD(5923,$U$8)+1,1)</f>
        <v/>
      </c>
      <c r="BQ5936">
        <f>IF(5923&lt;$U$9,SUMPRODUCT(($D$10:$L$10&lt;&gt;"")*(($D$9:$L$9+INT(($S$12:$AA$12+INDEX($AJ$13:$AR$162,BN5936,0)+INDEX($AT$13:$BB$162,BO5936,0)+INDEX($BD$13:$BL$162,BP5936,0))/100))&gt;=$D$10:$L$10)),0)</f>
        <v/>
      </c>
      <c r="BR5936">
        <f>IF(5923&lt;$U$9,SUMPRODUCT(($D$10:$L$10&lt;&gt;"")*(($D$10:$L$10-($D$9:$L$9+INT(($S$12:$AA$12+INDEX($AJ$13:$AR$162,BN5936,0)+INDEX($AT$13:$BB$162,BO5936,0)+INDEX($BD$13:$BL$162,BP5936,0))/100)))&gt;0)*($D$10:$L$10-($D$9:$L$9+INT(($S$12:$AA$12+INDEX($AJ$13:$AR$162,BN5936,0)+INDEX($AT$13:$BB$162,BO5936,0)+INDEX($BD$13:$BL$162,BP5936,0))/100)))),0)</f>
        <v/>
      </c>
      <c r="BS5936">
        <f>IF(5923&lt;$U$9,SUMPRODUCT(($D$9:$L$9+INT(($S$12:$AA$12+INDEX($AJ$13:$AR$162,BN5936,0)+INDEX($AT$13:$BB$162,BO5936,0)+INDEX($BD$13:$BL$162,BP5936,0))/100))),0)</f>
        <v/>
      </c>
      <c r="BT5936">
        <f>IF(AND(5923&lt;$U$9,$W$5),BQ5936*1000000-MIN(BR5936,999)*1000+BS5936-5923/100000,-1000000000-5923)</f>
        <v/>
      </c>
    </row>
    <row r="5937">
      <c r="BN5937">
        <f>IF(5924&lt;$U$9,INT(5924/($U$7*$U$8))+1,1)</f>
        <v/>
      </c>
      <c r="BO5937">
        <f>IF(5924&lt;$U$9,MOD(INT(5924/$U$8),$U$7)+1,1)</f>
        <v/>
      </c>
      <c r="BP5937">
        <f>IF(5924&lt;$U$9,MOD(5924,$U$8)+1,1)</f>
        <v/>
      </c>
      <c r="BQ5937">
        <f>IF(5924&lt;$U$9,SUMPRODUCT(($D$10:$L$10&lt;&gt;"")*(($D$9:$L$9+INT(($S$12:$AA$12+INDEX($AJ$13:$AR$162,BN5937,0)+INDEX($AT$13:$BB$162,BO5937,0)+INDEX($BD$13:$BL$162,BP5937,0))/100))&gt;=$D$10:$L$10)),0)</f>
        <v/>
      </c>
      <c r="BR5937">
        <f>IF(5924&lt;$U$9,SUMPRODUCT(($D$10:$L$10&lt;&gt;"")*(($D$10:$L$10-($D$9:$L$9+INT(($S$12:$AA$12+INDEX($AJ$13:$AR$162,BN5937,0)+INDEX($AT$13:$BB$162,BO5937,0)+INDEX($BD$13:$BL$162,BP5937,0))/100)))&gt;0)*($D$10:$L$10-($D$9:$L$9+INT(($S$12:$AA$12+INDEX($AJ$13:$AR$162,BN5937,0)+INDEX($AT$13:$BB$162,BO5937,0)+INDEX($BD$13:$BL$162,BP5937,0))/100)))),0)</f>
        <v/>
      </c>
      <c r="BS5937">
        <f>IF(5924&lt;$U$9,SUMPRODUCT(($D$9:$L$9+INT(($S$12:$AA$12+INDEX($AJ$13:$AR$162,BN5937,0)+INDEX($AT$13:$BB$162,BO5937,0)+INDEX($BD$13:$BL$162,BP5937,0))/100))),0)</f>
        <v/>
      </c>
      <c r="BT5937">
        <f>IF(AND(5924&lt;$U$9,$W$5),BQ5937*1000000-MIN(BR5937,999)*1000+BS5937-5924/100000,-1000000000-5924)</f>
        <v/>
      </c>
    </row>
    <row r="5938">
      <c r="BN5938">
        <f>IF(5925&lt;$U$9,INT(5925/($U$7*$U$8))+1,1)</f>
        <v/>
      </c>
      <c r="BO5938">
        <f>IF(5925&lt;$U$9,MOD(INT(5925/$U$8),$U$7)+1,1)</f>
        <v/>
      </c>
      <c r="BP5938">
        <f>IF(5925&lt;$U$9,MOD(5925,$U$8)+1,1)</f>
        <v/>
      </c>
      <c r="BQ5938">
        <f>IF(5925&lt;$U$9,SUMPRODUCT(($D$10:$L$10&lt;&gt;"")*(($D$9:$L$9+INT(($S$12:$AA$12+INDEX($AJ$13:$AR$162,BN5938,0)+INDEX($AT$13:$BB$162,BO5938,0)+INDEX($BD$13:$BL$162,BP5938,0))/100))&gt;=$D$10:$L$10)),0)</f>
        <v/>
      </c>
      <c r="BR5938">
        <f>IF(5925&lt;$U$9,SUMPRODUCT(($D$10:$L$10&lt;&gt;"")*(($D$10:$L$10-($D$9:$L$9+INT(($S$12:$AA$12+INDEX($AJ$13:$AR$162,BN5938,0)+INDEX($AT$13:$BB$162,BO5938,0)+INDEX($BD$13:$BL$162,BP5938,0))/100)))&gt;0)*($D$10:$L$10-($D$9:$L$9+INT(($S$12:$AA$12+INDEX($AJ$13:$AR$162,BN5938,0)+INDEX($AT$13:$BB$162,BO5938,0)+INDEX($BD$13:$BL$162,BP5938,0))/100)))),0)</f>
        <v/>
      </c>
      <c r="BS5938">
        <f>IF(5925&lt;$U$9,SUMPRODUCT(($D$9:$L$9+INT(($S$12:$AA$12+INDEX($AJ$13:$AR$162,BN5938,0)+INDEX($AT$13:$BB$162,BO5938,0)+INDEX($BD$13:$BL$162,BP5938,0))/100))),0)</f>
        <v/>
      </c>
      <c r="BT5938">
        <f>IF(AND(5925&lt;$U$9,$W$5),BQ5938*1000000-MIN(BR5938,999)*1000+BS5938-5925/100000,-1000000000-5925)</f>
        <v/>
      </c>
    </row>
    <row r="5939">
      <c r="BN5939">
        <f>IF(5926&lt;$U$9,INT(5926/($U$7*$U$8))+1,1)</f>
        <v/>
      </c>
      <c r="BO5939">
        <f>IF(5926&lt;$U$9,MOD(INT(5926/$U$8),$U$7)+1,1)</f>
        <v/>
      </c>
      <c r="BP5939">
        <f>IF(5926&lt;$U$9,MOD(5926,$U$8)+1,1)</f>
        <v/>
      </c>
      <c r="BQ5939">
        <f>IF(5926&lt;$U$9,SUMPRODUCT(($D$10:$L$10&lt;&gt;"")*(($D$9:$L$9+INT(($S$12:$AA$12+INDEX($AJ$13:$AR$162,BN5939,0)+INDEX($AT$13:$BB$162,BO5939,0)+INDEX($BD$13:$BL$162,BP5939,0))/100))&gt;=$D$10:$L$10)),0)</f>
        <v/>
      </c>
      <c r="BR5939">
        <f>IF(5926&lt;$U$9,SUMPRODUCT(($D$10:$L$10&lt;&gt;"")*(($D$10:$L$10-($D$9:$L$9+INT(($S$12:$AA$12+INDEX($AJ$13:$AR$162,BN5939,0)+INDEX($AT$13:$BB$162,BO5939,0)+INDEX($BD$13:$BL$162,BP5939,0))/100)))&gt;0)*($D$10:$L$10-($D$9:$L$9+INT(($S$12:$AA$12+INDEX($AJ$13:$AR$162,BN5939,0)+INDEX($AT$13:$BB$162,BO5939,0)+INDEX($BD$13:$BL$162,BP5939,0))/100)))),0)</f>
        <v/>
      </c>
      <c r="BS5939">
        <f>IF(5926&lt;$U$9,SUMPRODUCT(($D$9:$L$9+INT(($S$12:$AA$12+INDEX($AJ$13:$AR$162,BN5939,0)+INDEX($AT$13:$BB$162,BO5939,0)+INDEX($BD$13:$BL$162,BP5939,0))/100))),0)</f>
        <v/>
      </c>
      <c r="BT5939">
        <f>IF(AND(5926&lt;$U$9,$W$5),BQ5939*1000000-MIN(BR5939,999)*1000+BS5939-5926/100000,-1000000000-5926)</f>
        <v/>
      </c>
    </row>
    <row r="5940">
      <c r="BN5940">
        <f>IF(5927&lt;$U$9,INT(5927/($U$7*$U$8))+1,1)</f>
        <v/>
      </c>
      <c r="BO5940">
        <f>IF(5927&lt;$U$9,MOD(INT(5927/$U$8),$U$7)+1,1)</f>
        <v/>
      </c>
      <c r="BP5940">
        <f>IF(5927&lt;$U$9,MOD(5927,$U$8)+1,1)</f>
        <v/>
      </c>
      <c r="BQ5940">
        <f>IF(5927&lt;$U$9,SUMPRODUCT(($D$10:$L$10&lt;&gt;"")*(($D$9:$L$9+INT(($S$12:$AA$12+INDEX($AJ$13:$AR$162,BN5940,0)+INDEX($AT$13:$BB$162,BO5940,0)+INDEX($BD$13:$BL$162,BP5940,0))/100))&gt;=$D$10:$L$10)),0)</f>
        <v/>
      </c>
      <c r="BR5940">
        <f>IF(5927&lt;$U$9,SUMPRODUCT(($D$10:$L$10&lt;&gt;"")*(($D$10:$L$10-($D$9:$L$9+INT(($S$12:$AA$12+INDEX($AJ$13:$AR$162,BN5940,0)+INDEX($AT$13:$BB$162,BO5940,0)+INDEX($BD$13:$BL$162,BP5940,0))/100)))&gt;0)*($D$10:$L$10-($D$9:$L$9+INT(($S$12:$AA$12+INDEX($AJ$13:$AR$162,BN5940,0)+INDEX($AT$13:$BB$162,BO5940,0)+INDEX($BD$13:$BL$162,BP5940,0))/100)))),0)</f>
        <v/>
      </c>
      <c r="BS5940">
        <f>IF(5927&lt;$U$9,SUMPRODUCT(($D$9:$L$9+INT(($S$12:$AA$12+INDEX($AJ$13:$AR$162,BN5940,0)+INDEX($AT$13:$BB$162,BO5940,0)+INDEX($BD$13:$BL$162,BP5940,0))/100))),0)</f>
        <v/>
      </c>
      <c r="BT5940">
        <f>IF(AND(5927&lt;$U$9,$W$5),BQ5940*1000000-MIN(BR5940,999)*1000+BS5940-5927/100000,-1000000000-5927)</f>
        <v/>
      </c>
    </row>
    <row r="5941">
      <c r="BN5941">
        <f>IF(5928&lt;$U$9,INT(5928/($U$7*$U$8))+1,1)</f>
        <v/>
      </c>
      <c r="BO5941">
        <f>IF(5928&lt;$U$9,MOD(INT(5928/$U$8),$U$7)+1,1)</f>
        <v/>
      </c>
      <c r="BP5941">
        <f>IF(5928&lt;$U$9,MOD(5928,$U$8)+1,1)</f>
        <v/>
      </c>
      <c r="BQ5941">
        <f>IF(5928&lt;$U$9,SUMPRODUCT(($D$10:$L$10&lt;&gt;"")*(($D$9:$L$9+INT(($S$12:$AA$12+INDEX($AJ$13:$AR$162,BN5941,0)+INDEX($AT$13:$BB$162,BO5941,0)+INDEX($BD$13:$BL$162,BP5941,0))/100))&gt;=$D$10:$L$10)),0)</f>
        <v/>
      </c>
      <c r="BR5941">
        <f>IF(5928&lt;$U$9,SUMPRODUCT(($D$10:$L$10&lt;&gt;"")*(($D$10:$L$10-($D$9:$L$9+INT(($S$12:$AA$12+INDEX($AJ$13:$AR$162,BN5941,0)+INDEX($AT$13:$BB$162,BO5941,0)+INDEX($BD$13:$BL$162,BP5941,0))/100)))&gt;0)*($D$10:$L$10-($D$9:$L$9+INT(($S$12:$AA$12+INDEX($AJ$13:$AR$162,BN5941,0)+INDEX($AT$13:$BB$162,BO5941,0)+INDEX($BD$13:$BL$162,BP5941,0))/100)))),0)</f>
        <v/>
      </c>
      <c r="BS5941">
        <f>IF(5928&lt;$U$9,SUMPRODUCT(($D$9:$L$9+INT(($S$12:$AA$12+INDEX($AJ$13:$AR$162,BN5941,0)+INDEX($AT$13:$BB$162,BO5941,0)+INDEX($BD$13:$BL$162,BP5941,0))/100))),0)</f>
        <v/>
      </c>
      <c r="BT5941">
        <f>IF(AND(5928&lt;$U$9,$W$5),BQ5941*1000000-MIN(BR5941,999)*1000+BS5941-5928/100000,-1000000000-5928)</f>
        <v/>
      </c>
    </row>
    <row r="5942">
      <c r="BN5942">
        <f>IF(5929&lt;$U$9,INT(5929/($U$7*$U$8))+1,1)</f>
        <v/>
      </c>
      <c r="BO5942">
        <f>IF(5929&lt;$U$9,MOD(INT(5929/$U$8),$U$7)+1,1)</f>
        <v/>
      </c>
      <c r="BP5942">
        <f>IF(5929&lt;$U$9,MOD(5929,$U$8)+1,1)</f>
        <v/>
      </c>
      <c r="BQ5942">
        <f>IF(5929&lt;$U$9,SUMPRODUCT(($D$10:$L$10&lt;&gt;"")*(($D$9:$L$9+INT(($S$12:$AA$12+INDEX($AJ$13:$AR$162,BN5942,0)+INDEX($AT$13:$BB$162,BO5942,0)+INDEX($BD$13:$BL$162,BP5942,0))/100))&gt;=$D$10:$L$10)),0)</f>
        <v/>
      </c>
      <c r="BR5942">
        <f>IF(5929&lt;$U$9,SUMPRODUCT(($D$10:$L$10&lt;&gt;"")*(($D$10:$L$10-($D$9:$L$9+INT(($S$12:$AA$12+INDEX($AJ$13:$AR$162,BN5942,0)+INDEX($AT$13:$BB$162,BO5942,0)+INDEX($BD$13:$BL$162,BP5942,0))/100)))&gt;0)*($D$10:$L$10-($D$9:$L$9+INT(($S$12:$AA$12+INDEX($AJ$13:$AR$162,BN5942,0)+INDEX($AT$13:$BB$162,BO5942,0)+INDEX($BD$13:$BL$162,BP5942,0))/100)))),0)</f>
        <v/>
      </c>
      <c r="BS5942">
        <f>IF(5929&lt;$U$9,SUMPRODUCT(($D$9:$L$9+INT(($S$12:$AA$12+INDEX($AJ$13:$AR$162,BN5942,0)+INDEX($AT$13:$BB$162,BO5942,0)+INDEX($BD$13:$BL$162,BP5942,0))/100))),0)</f>
        <v/>
      </c>
      <c r="BT5942">
        <f>IF(AND(5929&lt;$U$9,$W$5),BQ5942*1000000-MIN(BR5942,999)*1000+BS5942-5929/100000,-1000000000-5929)</f>
        <v/>
      </c>
    </row>
    <row r="5943">
      <c r="BN5943">
        <f>IF(5930&lt;$U$9,INT(5930/($U$7*$U$8))+1,1)</f>
        <v/>
      </c>
      <c r="BO5943">
        <f>IF(5930&lt;$U$9,MOD(INT(5930/$U$8),$U$7)+1,1)</f>
        <v/>
      </c>
      <c r="BP5943">
        <f>IF(5930&lt;$U$9,MOD(5930,$U$8)+1,1)</f>
        <v/>
      </c>
      <c r="BQ5943">
        <f>IF(5930&lt;$U$9,SUMPRODUCT(($D$10:$L$10&lt;&gt;"")*(($D$9:$L$9+INT(($S$12:$AA$12+INDEX($AJ$13:$AR$162,BN5943,0)+INDEX($AT$13:$BB$162,BO5943,0)+INDEX($BD$13:$BL$162,BP5943,0))/100))&gt;=$D$10:$L$10)),0)</f>
        <v/>
      </c>
      <c r="BR5943">
        <f>IF(5930&lt;$U$9,SUMPRODUCT(($D$10:$L$10&lt;&gt;"")*(($D$10:$L$10-($D$9:$L$9+INT(($S$12:$AA$12+INDEX($AJ$13:$AR$162,BN5943,0)+INDEX($AT$13:$BB$162,BO5943,0)+INDEX($BD$13:$BL$162,BP5943,0))/100)))&gt;0)*($D$10:$L$10-($D$9:$L$9+INT(($S$12:$AA$12+INDEX($AJ$13:$AR$162,BN5943,0)+INDEX($AT$13:$BB$162,BO5943,0)+INDEX($BD$13:$BL$162,BP5943,0))/100)))),0)</f>
        <v/>
      </c>
      <c r="BS5943">
        <f>IF(5930&lt;$U$9,SUMPRODUCT(($D$9:$L$9+INT(($S$12:$AA$12+INDEX($AJ$13:$AR$162,BN5943,0)+INDEX($AT$13:$BB$162,BO5943,0)+INDEX($BD$13:$BL$162,BP5943,0))/100))),0)</f>
        <v/>
      </c>
      <c r="BT5943">
        <f>IF(AND(5930&lt;$U$9,$W$5),BQ5943*1000000-MIN(BR5943,999)*1000+BS5943-5930/100000,-1000000000-5930)</f>
        <v/>
      </c>
    </row>
    <row r="5944">
      <c r="BN5944">
        <f>IF(5931&lt;$U$9,INT(5931/($U$7*$U$8))+1,1)</f>
        <v/>
      </c>
      <c r="BO5944">
        <f>IF(5931&lt;$U$9,MOD(INT(5931/$U$8),$U$7)+1,1)</f>
        <v/>
      </c>
      <c r="BP5944">
        <f>IF(5931&lt;$U$9,MOD(5931,$U$8)+1,1)</f>
        <v/>
      </c>
      <c r="BQ5944">
        <f>IF(5931&lt;$U$9,SUMPRODUCT(($D$10:$L$10&lt;&gt;"")*(($D$9:$L$9+INT(($S$12:$AA$12+INDEX($AJ$13:$AR$162,BN5944,0)+INDEX($AT$13:$BB$162,BO5944,0)+INDEX($BD$13:$BL$162,BP5944,0))/100))&gt;=$D$10:$L$10)),0)</f>
        <v/>
      </c>
      <c r="BR5944">
        <f>IF(5931&lt;$U$9,SUMPRODUCT(($D$10:$L$10&lt;&gt;"")*(($D$10:$L$10-($D$9:$L$9+INT(($S$12:$AA$12+INDEX($AJ$13:$AR$162,BN5944,0)+INDEX($AT$13:$BB$162,BO5944,0)+INDEX($BD$13:$BL$162,BP5944,0))/100)))&gt;0)*($D$10:$L$10-($D$9:$L$9+INT(($S$12:$AA$12+INDEX($AJ$13:$AR$162,BN5944,0)+INDEX($AT$13:$BB$162,BO5944,0)+INDEX($BD$13:$BL$162,BP5944,0))/100)))),0)</f>
        <v/>
      </c>
      <c r="BS5944">
        <f>IF(5931&lt;$U$9,SUMPRODUCT(($D$9:$L$9+INT(($S$12:$AA$12+INDEX($AJ$13:$AR$162,BN5944,0)+INDEX($AT$13:$BB$162,BO5944,0)+INDEX($BD$13:$BL$162,BP5944,0))/100))),0)</f>
        <v/>
      </c>
      <c r="BT5944">
        <f>IF(AND(5931&lt;$U$9,$W$5),BQ5944*1000000-MIN(BR5944,999)*1000+BS5944-5931/100000,-1000000000-5931)</f>
        <v/>
      </c>
    </row>
    <row r="5945">
      <c r="BN5945">
        <f>IF(5932&lt;$U$9,INT(5932/($U$7*$U$8))+1,1)</f>
        <v/>
      </c>
      <c r="BO5945">
        <f>IF(5932&lt;$U$9,MOD(INT(5932/$U$8),$U$7)+1,1)</f>
        <v/>
      </c>
      <c r="BP5945">
        <f>IF(5932&lt;$U$9,MOD(5932,$U$8)+1,1)</f>
        <v/>
      </c>
      <c r="BQ5945">
        <f>IF(5932&lt;$U$9,SUMPRODUCT(($D$10:$L$10&lt;&gt;"")*(($D$9:$L$9+INT(($S$12:$AA$12+INDEX($AJ$13:$AR$162,BN5945,0)+INDEX($AT$13:$BB$162,BO5945,0)+INDEX($BD$13:$BL$162,BP5945,0))/100))&gt;=$D$10:$L$10)),0)</f>
        <v/>
      </c>
      <c r="BR5945">
        <f>IF(5932&lt;$U$9,SUMPRODUCT(($D$10:$L$10&lt;&gt;"")*(($D$10:$L$10-($D$9:$L$9+INT(($S$12:$AA$12+INDEX($AJ$13:$AR$162,BN5945,0)+INDEX($AT$13:$BB$162,BO5945,0)+INDEX($BD$13:$BL$162,BP5945,0))/100)))&gt;0)*($D$10:$L$10-($D$9:$L$9+INT(($S$12:$AA$12+INDEX($AJ$13:$AR$162,BN5945,0)+INDEX($AT$13:$BB$162,BO5945,0)+INDEX($BD$13:$BL$162,BP5945,0))/100)))),0)</f>
        <v/>
      </c>
      <c r="BS5945">
        <f>IF(5932&lt;$U$9,SUMPRODUCT(($D$9:$L$9+INT(($S$12:$AA$12+INDEX($AJ$13:$AR$162,BN5945,0)+INDEX($AT$13:$BB$162,BO5945,0)+INDEX($BD$13:$BL$162,BP5945,0))/100))),0)</f>
        <v/>
      </c>
      <c r="BT5945">
        <f>IF(AND(5932&lt;$U$9,$W$5),BQ5945*1000000-MIN(BR5945,999)*1000+BS5945-5932/100000,-1000000000-5932)</f>
        <v/>
      </c>
    </row>
    <row r="5946">
      <c r="BN5946">
        <f>IF(5933&lt;$U$9,INT(5933/($U$7*$U$8))+1,1)</f>
        <v/>
      </c>
      <c r="BO5946">
        <f>IF(5933&lt;$U$9,MOD(INT(5933/$U$8),$U$7)+1,1)</f>
        <v/>
      </c>
      <c r="BP5946">
        <f>IF(5933&lt;$U$9,MOD(5933,$U$8)+1,1)</f>
        <v/>
      </c>
      <c r="BQ5946">
        <f>IF(5933&lt;$U$9,SUMPRODUCT(($D$10:$L$10&lt;&gt;"")*(($D$9:$L$9+INT(($S$12:$AA$12+INDEX($AJ$13:$AR$162,BN5946,0)+INDEX($AT$13:$BB$162,BO5946,0)+INDEX($BD$13:$BL$162,BP5946,0))/100))&gt;=$D$10:$L$10)),0)</f>
        <v/>
      </c>
      <c r="BR5946">
        <f>IF(5933&lt;$U$9,SUMPRODUCT(($D$10:$L$10&lt;&gt;"")*(($D$10:$L$10-($D$9:$L$9+INT(($S$12:$AA$12+INDEX($AJ$13:$AR$162,BN5946,0)+INDEX($AT$13:$BB$162,BO5946,0)+INDEX($BD$13:$BL$162,BP5946,0))/100)))&gt;0)*($D$10:$L$10-($D$9:$L$9+INT(($S$12:$AA$12+INDEX($AJ$13:$AR$162,BN5946,0)+INDEX($AT$13:$BB$162,BO5946,0)+INDEX($BD$13:$BL$162,BP5946,0))/100)))),0)</f>
        <v/>
      </c>
      <c r="BS5946">
        <f>IF(5933&lt;$U$9,SUMPRODUCT(($D$9:$L$9+INT(($S$12:$AA$12+INDEX($AJ$13:$AR$162,BN5946,0)+INDEX($AT$13:$BB$162,BO5946,0)+INDEX($BD$13:$BL$162,BP5946,0))/100))),0)</f>
        <v/>
      </c>
      <c r="BT5946">
        <f>IF(AND(5933&lt;$U$9,$W$5),BQ5946*1000000-MIN(BR5946,999)*1000+BS5946-5933/100000,-1000000000-5933)</f>
        <v/>
      </c>
    </row>
    <row r="5947">
      <c r="BN5947">
        <f>IF(5934&lt;$U$9,INT(5934/($U$7*$U$8))+1,1)</f>
        <v/>
      </c>
      <c r="BO5947">
        <f>IF(5934&lt;$U$9,MOD(INT(5934/$U$8),$U$7)+1,1)</f>
        <v/>
      </c>
      <c r="BP5947">
        <f>IF(5934&lt;$U$9,MOD(5934,$U$8)+1,1)</f>
        <v/>
      </c>
      <c r="BQ5947">
        <f>IF(5934&lt;$U$9,SUMPRODUCT(($D$10:$L$10&lt;&gt;"")*(($D$9:$L$9+INT(($S$12:$AA$12+INDEX($AJ$13:$AR$162,BN5947,0)+INDEX($AT$13:$BB$162,BO5947,0)+INDEX($BD$13:$BL$162,BP5947,0))/100))&gt;=$D$10:$L$10)),0)</f>
        <v/>
      </c>
      <c r="BR5947">
        <f>IF(5934&lt;$U$9,SUMPRODUCT(($D$10:$L$10&lt;&gt;"")*(($D$10:$L$10-($D$9:$L$9+INT(($S$12:$AA$12+INDEX($AJ$13:$AR$162,BN5947,0)+INDEX($AT$13:$BB$162,BO5947,0)+INDEX($BD$13:$BL$162,BP5947,0))/100)))&gt;0)*($D$10:$L$10-($D$9:$L$9+INT(($S$12:$AA$12+INDEX($AJ$13:$AR$162,BN5947,0)+INDEX($AT$13:$BB$162,BO5947,0)+INDEX($BD$13:$BL$162,BP5947,0))/100)))),0)</f>
        <v/>
      </c>
      <c r="BS5947">
        <f>IF(5934&lt;$U$9,SUMPRODUCT(($D$9:$L$9+INT(($S$12:$AA$12+INDEX($AJ$13:$AR$162,BN5947,0)+INDEX($AT$13:$BB$162,BO5947,0)+INDEX($BD$13:$BL$162,BP5947,0))/100))),0)</f>
        <v/>
      </c>
      <c r="BT5947">
        <f>IF(AND(5934&lt;$U$9,$W$5),BQ5947*1000000-MIN(BR5947,999)*1000+BS5947-5934/100000,-1000000000-5934)</f>
        <v/>
      </c>
    </row>
    <row r="5948">
      <c r="BN5948">
        <f>IF(5935&lt;$U$9,INT(5935/($U$7*$U$8))+1,1)</f>
        <v/>
      </c>
      <c r="BO5948">
        <f>IF(5935&lt;$U$9,MOD(INT(5935/$U$8),$U$7)+1,1)</f>
        <v/>
      </c>
      <c r="BP5948">
        <f>IF(5935&lt;$U$9,MOD(5935,$U$8)+1,1)</f>
        <v/>
      </c>
      <c r="BQ5948">
        <f>IF(5935&lt;$U$9,SUMPRODUCT(($D$10:$L$10&lt;&gt;"")*(($D$9:$L$9+INT(($S$12:$AA$12+INDEX($AJ$13:$AR$162,BN5948,0)+INDEX($AT$13:$BB$162,BO5948,0)+INDEX($BD$13:$BL$162,BP5948,0))/100))&gt;=$D$10:$L$10)),0)</f>
        <v/>
      </c>
      <c r="BR5948">
        <f>IF(5935&lt;$U$9,SUMPRODUCT(($D$10:$L$10&lt;&gt;"")*(($D$10:$L$10-($D$9:$L$9+INT(($S$12:$AA$12+INDEX($AJ$13:$AR$162,BN5948,0)+INDEX($AT$13:$BB$162,BO5948,0)+INDEX($BD$13:$BL$162,BP5948,0))/100)))&gt;0)*($D$10:$L$10-($D$9:$L$9+INT(($S$12:$AA$12+INDEX($AJ$13:$AR$162,BN5948,0)+INDEX($AT$13:$BB$162,BO5948,0)+INDEX($BD$13:$BL$162,BP5948,0))/100)))),0)</f>
        <v/>
      </c>
      <c r="BS5948">
        <f>IF(5935&lt;$U$9,SUMPRODUCT(($D$9:$L$9+INT(($S$12:$AA$12+INDEX($AJ$13:$AR$162,BN5948,0)+INDEX($AT$13:$BB$162,BO5948,0)+INDEX($BD$13:$BL$162,BP5948,0))/100))),0)</f>
        <v/>
      </c>
      <c r="BT5948">
        <f>IF(AND(5935&lt;$U$9,$W$5),BQ5948*1000000-MIN(BR5948,999)*1000+BS5948-5935/100000,-1000000000-5935)</f>
        <v/>
      </c>
    </row>
    <row r="5949">
      <c r="BN5949">
        <f>IF(5936&lt;$U$9,INT(5936/($U$7*$U$8))+1,1)</f>
        <v/>
      </c>
      <c r="BO5949">
        <f>IF(5936&lt;$U$9,MOD(INT(5936/$U$8),$U$7)+1,1)</f>
        <v/>
      </c>
      <c r="BP5949">
        <f>IF(5936&lt;$U$9,MOD(5936,$U$8)+1,1)</f>
        <v/>
      </c>
      <c r="BQ5949">
        <f>IF(5936&lt;$U$9,SUMPRODUCT(($D$10:$L$10&lt;&gt;"")*(($D$9:$L$9+INT(($S$12:$AA$12+INDEX($AJ$13:$AR$162,BN5949,0)+INDEX($AT$13:$BB$162,BO5949,0)+INDEX($BD$13:$BL$162,BP5949,0))/100))&gt;=$D$10:$L$10)),0)</f>
        <v/>
      </c>
      <c r="BR5949">
        <f>IF(5936&lt;$U$9,SUMPRODUCT(($D$10:$L$10&lt;&gt;"")*(($D$10:$L$10-($D$9:$L$9+INT(($S$12:$AA$12+INDEX($AJ$13:$AR$162,BN5949,0)+INDEX($AT$13:$BB$162,BO5949,0)+INDEX($BD$13:$BL$162,BP5949,0))/100)))&gt;0)*($D$10:$L$10-($D$9:$L$9+INT(($S$12:$AA$12+INDEX($AJ$13:$AR$162,BN5949,0)+INDEX($AT$13:$BB$162,BO5949,0)+INDEX($BD$13:$BL$162,BP5949,0))/100)))),0)</f>
        <v/>
      </c>
      <c r="BS5949">
        <f>IF(5936&lt;$U$9,SUMPRODUCT(($D$9:$L$9+INT(($S$12:$AA$12+INDEX($AJ$13:$AR$162,BN5949,0)+INDEX($AT$13:$BB$162,BO5949,0)+INDEX($BD$13:$BL$162,BP5949,0))/100))),0)</f>
        <v/>
      </c>
      <c r="BT5949">
        <f>IF(AND(5936&lt;$U$9,$W$5),BQ5949*1000000-MIN(BR5949,999)*1000+BS5949-5936/100000,-1000000000-5936)</f>
        <v/>
      </c>
    </row>
    <row r="5950">
      <c r="BN5950">
        <f>IF(5937&lt;$U$9,INT(5937/($U$7*$U$8))+1,1)</f>
        <v/>
      </c>
      <c r="BO5950">
        <f>IF(5937&lt;$U$9,MOD(INT(5937/$U$8),$U$7)+1,1)</f>
        <v/>
      </c>
      <c r="BP5950">
        <f>IF(5937&lt;$U$9,MOD(5937,$U$8)+1,1)</f>
        <v/>
      </c>
      <c r="BQ5950">
        <f>IF(5937&lt;$U$9,SUMPRODUCT(($D$10:$L$10&lt;&gt;"")*(($D$9:$L$9+INT(($S$12:$AA$12+INDEX($AJ$13:$AR$162,BN5950,0)+INDEX($AT$13:$BB$162,BO5950,0)+INDEX($BD$13:$BL$162,BP5950,0))/100))&gt;=$D$10:$L$10)),0)</f>
        <v/>
      </c>
      <c r="BR5950">
        <f>IF(5937&lt;$U$9,SUMPRODUCT(($D$10:$L$10&lt;&gt;"")*(($D$10:$L$10-($D$9:$L$9+INT(($S$12:$AA$12+INDEX($AJ$13:$AR$162,BN5950,0)+INDEX($AT$13:$BB$162,BO5950,0)+INDEX($BD$13:$BL$162,BP5950,0))/100)))&gt;0)*($D$10:$L$10-($D$9:$L$9+INT(($S$12:$AA$12+INDEX($AJ$13:$AR$162,BN5950,0)+INDEX($AT$13:$BB$162,BO5950,0)+INDEX($BD$13:$BL$162,BP5950,0))/100)))),0)</f>
        <v/>
      </c>
      <c r="BS5950">
        <f>IF(5937&lt;$U$9,SUMPRODUCT(($D$9:$L$9+INT(($S$12:$AA$12+INDEX($AJ$13:$AR$162,BN5950,0)+INDEX($AT$13:$BB$162,BO5950,0)+INDEX($BD$13:$BL$162,BP5950,0))/100))),0)</f>
        <v/>
      </c>
      <c r="BT5950">
        <f>IF(AND(5937&lt;$U$9,$W$5),BQ5950*1000000-MIN(BR5950,999)*1000+BS5950-5937/100000,-1000000000-5937)</f>
        <v/>
      </c>
    </row>
    <row r="5951">
      <c r="BN5951">
        <f>IF(5938&lt;$U$9,INT(5938/($U$7*$U$8))+1,1)</f>
        <v/>
      </c>
      <c r="BO5951">
        <f>IF(5938&lt;$U$9,MOD(INT(5938/$U$8),$U$7)+1,1)</f>
        <v/>
      </c>
      <c r="BP5951">
        <f>IF(5938&lt;$U$9,MOD(5938,$U$8)+1,1)</f>
        <v/>
      </c>
      <c r="BQ5951">
        <f>IF(5938&lt;$U$9,SUMPRODUCT(($D$10:$L$10&lt;&gt;"")*(($D$9:$L$9+INT(($S$12:$AA$12+INDEX($AJ$13:$AR$162,BN5951,0)+INDEX($AT$13:$BB$162,BO5951,0)+INDEX($BD$13:$BL$162,BP5951,0))/100))&gt;=$D$10:$L$10)),0)</f>
        <v/>
      </c>
      <c r="BR5951">
        <f>IF(5938&lt;$U$9,SUMPRODUCT(($D$10:$L$10&lt;&gt;"")*(($D$10:$L$10-($D$9:$L$9+INT(($S$12:$AA$12+INDEX($AJ$13:$AR$162,BN5951,0)+INDEX($AT$13:$BB$162,BO5951,0)+INDEX($BD$13:$BL$162,BP5951,0))/100)))&gt;0)*($D$10:$L$10-($D$9:$L$9+INT(($S$12:$AA$12+INDEX($AJ$13:$AR$162,BN5951,0)+INDEX($AT$13:$BB$162,BO5951,0)+INDEX($BD$13:$BL$162,BP5951,0))/100)))),0)</f>
        <v/>
      </c>
      <c r="BS5951">
        <f>IF(5938&lt;$U$9,SUMPRODUCT(($D$9:$L$9+INT(($S$12:$AA$12+INDEX($AJ$13:$AR$162,BN5951,0)+INDEX($AT$13:$BB$162,BO5951,0)+INDEX($BD$13:$BL$162,BP5951,0))/100))),0)</f>
        <v/>
      </c>
      <c r="BT5951">
        <f>IF(AND(5938&lt;$U$9,$W$5),BQ5951*1000000-MIN(BR5951,999)*1000+BS5951-5938/100000,-1000000000-5938)</f>
        <v/>
      </c>
    </row>
    <row r="5952">
      <c r="BN5952">
        <f>IF(5939&lt;$U$9,INT(5939/($U$7*$U$8))+1,1)</f>
        <v/>
      </c>
      <c r="BO5952">
        <f>IF(5939&lt;$U$9,MOD(INT(5939/$U$8),$U$7)+1,1)</f>
        <v/>
      </c>
      <c r="BP5952">
        <f>IF(5939&lt;$U$9,MOD(5939,$U$8)+1,1)</f>
        <v/>
      </c>
      <c r="BQ5952">
        <f>IF(5939&lt;$U$9,SUMPRODUCT(($D$10:$L$10&lt;&gt;"")*(($D$9:$L$9+INT(($S$12:$AA$12+INDEX($AJ$13:$AR$162,BN5952,0)+INDEX($AT$13:$BB$162,BO5952,0)+INDEX($BD$13:$BL$162,BP5952,0))/100))&gt;=$D$10:$L$10)),0)</f>
        <v/>
      </c>
      <c r="BR5952">
        <f>IF(5939&lt;$U$9,SUMPRODUCT(($D$10:$L$10&lt;&gt;"")*(($D$10:$L$10-($D$9:$L$9+INT(($S$12:$AA$12+INDEX($AJ$13:$AR$162,BN5952,0)+INDEX($AT$13:$BB$162,BO5952,0)+INDEX($BD$13:$BL$162,BP5952,0))/100)))&gt;0)*($D$10:$L$10-($D$9:$L$9+INT(($S$12:$AA$12+INDEX($AJ$13:$AR$162,BN5952,0)+INDEX($AT$13:$BB$162,BO5952,0)+INDEX($BD$13:$BL$162,BP5952,0))/100)))),0)</f>
        <v/>
      </c>
      <c r="BS5952">
        <f>IF(5939&lt;$U$9,SUMPRODUCT(($D$9:$L$9+INT(($S$12:$AA$12+INDEX($AJ$13:$AR$162,BN5952,0)+INDEX($AT$13:$BB$162,BO5952,0)+INDEX($BD$13:$BL$162,BP5952,0))/100))),0)</f>
        <v/>
      </c>
      <c r="BT5952">
        <f>IF(AND(5939&lt;$U$9,$W$5),BQ5952*1000000-MIN(BR5952,999)*1000+BS5952-5939/100000,-1000000000-5939)</f>
        <v/>
      </c>
    </row>
    <row r="5953">
      <c r="BN5953">
        <f>IF(5940&lt;$U$9,INT(5940/($U$7*$U$8))+1,1)</f>
        <v/>
      </c>
      <c r="BO5953">
        <f>IF(5940&lt;$U$9,MOD(INT(5940/$U$8),$U$7)+1,1)</f>
        <v/>
      </c>
      <c r="BP5953">
        <f>IF(5940&lt;$U$9,MOD(5940,$U$8)+1,1)</f>
        <v/>
      </c>
      <c r="BQ5953">
        <f>IF(5940&lt;$U$9,SUMPRODUCT(($D$10:$L$10&lt;&gt;"")*(($D$9:$L$9+INT(($S$12:$AA$12+INDEX($AJ$13:$AR$162,BN5953,0)+INDEX($AT$13:$BB$162,BO5953,0)+INDEX($BD$13:$BL$162,BP5953,0))/100))&gt;=$D$10:$L$10)),0)</f>
        <v/>
      </c>
      <c r="BR5953">
        <f>IF(5940&lt;$U$9,SUMPRODUCT(($D$10:$L$10&lt;&gt;"")*(($D$10:$L$10-($D$9:$L$9+INT(($S$12:$AA$12+INDEX($AJ$13:$AR$162,BN5953,0)+INDEX($AT$13:$BB$162,BO5953,0)+INDEX($BD$13:$BL$162,BP5953,0))/100)))&gt;0)*($D$10:$L$10-($D$9:$L$9+INT(($S$12:$AA$12+INDEX($AJ$13:$AR$162,BN5953,0)+INDEX($AT$13:$BB$162,BO5953,0)+INDEX($BD$13:$BL$162,BP5953,0))/100)))),0)</f>
        <v/>
      </c>
      <c r="BS5953">
        <f>IF(5940&lt;$U$9,SUMPRODUCT(($D$9:$L$9+INT(($S$12:$AA$12+INDEX($AJ$13:$AR$162,BN5953,0)+INDEX($AT$13:$BB$162,BO5953,0)+INDEX($BD$13:$BL$162,BP5953,0))/100))),0)</f>
        <v/>
      </c>
      <c r="BT5953">
        <f>IF(AND(5940&lt;$U$9,$W$5),BQ5953*1000000-MIN(BR5953,999)*1000+BS5953-5940/100000,-1000000000-5940)</f>
        <v/>
      </c>
    </row>
    <row r="5954">
      <c r="BN5954">
        <f>IF(5941&lt;$U$9,INT(5941/($U$7*$U$8))+1,1)</f>
        <v/>
      </c>
      <c r="BO5954">
        <f>IF(5941&lt;$U$9,MOD(INT(5941/$U$8),$U$7)+1,1)</f>
        <v/>
      </c>
      <c r="BP5954">
        <f>IF(5941&lt;$U$9,MOD(5941,$U$8)+1,1)</f>
        <v/>
      </c>
      <c r="BQ5954">
        <f>IF(5941&lt;$U$9,SUMPRODUCT(($D$10:$L$10&lt;&gt;"")*(($D$9:$L$9+INT(($S$12:$AA$12+INDEX($AJ$13:$AR$162,BN5954,0)+INDEX($AT$13:$BB$162,BO5954,0)+INDEX($BD$13:$BL$162,BP5954,0))/100))&gt;=$D$10:$L$10)),0)</f>
        <v/>
      </c>
      <c r="BR5954">
        <f>IF(5941&lt;$U$9,SUMPRODUCT(($D$10:$L$10&lt;&gt;"")*(($D$10:$L$10-($D$9:$L$9+INT(($S$12:$AA$12+INDEX($AJ$13:$AR$162,BN5954,0)+INDEX($AT$13:$BB$162,BO5954,0)+INDEX($BD$13:$BL$162,BP5954,0))/100)))&gt;0)*($D$10:$L$10-($D$9:$L$9+INT(($S$12:$AA$12+INDEX($AJ$13:$AR$162,BN5954,0)+INDEX($AT$13:$BB$162,BO5954,0)+INDEX($BD$13:$BL$162,BP5954,0))/100)))),0)</f>
        <v/>
      </c>
      <c r="BS5954">
        <f>IF(5941&lt;$U$9,SUMPRODUCT(($D$9:$L$9+INT(($S$12:$AA$12+INDEX($AJ$13:$AR$162,BN5954,0)+INDEX($AT$13:$BB$162,BO5954,0)+INDEX($BD$13:$BL$162,BP5954,0))/100))),0)</f>
        <v/>
      </c>
      <c r="BT5954">
        <f>IF(AND(5941&lt;$U$9,$W$5),BQ5954*1000000-MIN(BR5954,999)*1000+BS5954-5941/100000,-1000000000-5941)</f>
        <v/>
      </c>
    </row>
    <row r="5955">
      <c r="BN5955">
        <f>IF(5942&lt;$U$9,INT(5942/($U$7*$U$8))+1,1)</f>
        <v/>
      </c>
      <c r="BO5955">
        <f>IF(5942&lt;$U$9,MOD(INT(5942/$U$8),$U$7)+1,1)</f>
        <v/>
      </c>
      <c r="BP5955">
        <f>IF(5942&lt;$U$9,MOD(5942,$U$8)+1,1)</f>
        <v/>
      </c>
      <c r="BQ5955">
        <f>IF(5942&lt;$U$9,SUMPRODUCT(($D$10:$L$10&lt;&gt;"")*(($D$9:$L$9+INT(($S$12:$AA$12+INDEX($AJ$13:$AR$162,BN5955,0)+INDEX($AT$13:$BB$162,BO5955,0)+INDEX($BD$13:$BL$162,BP5955,0))/100))&gt;=$D$10:$L$10)),0)</f>
        <v/>
      </c>
      <c r="BR5955">
        <f>IF(5942&lt;$U$9,SUMPRODUCT(($D$10:$L$10&lt;&gt;"")*(($D$10:$L$10-($D$9:$L$9+INT(($S$12:$AA$12+INDEX($AJ$13:$AR$162,BN5955,0)+INDEX($AT$13:$BB$162,BO5955,0)+INDEX($BD$13:$BL$162,BP5955,0))/100)))&gt;0)*($D$10:$L$10-($D$9:$L$9+INT(($S$12:$AA$12+INDEX($AJ$13:$AR$162,BN5955,0)+INDEX($AT$13:$BB$162,BO5955,0)+INDEX($BD$13:$BL$162,BP5955,0))/100)))),0)</f>
        <v/>
      </c>
      <c r="BS5955">
        <f>IF(5942&lt;$U$9,SUMPRODUCT(($D$9:$L$9+INT(($S$12:$AA$12+INDEX($AJ$13:$AR$162,BN5955,0)+INDEX($AT$13:$BB$162,BO5955,0)+INDEX($BD$13:$BL$162,BP5955,0))/100))),0)</f>
        <v/>
      </c>
      <c r="BT5955">
        <f>IF(AND(5942&lt;$U$9,$W$5),BQ5955*1000000-MIN(BR5955,999)*1000+BS5955-5942/100000,-1000000000-5942)</f>
        <v/>
      </c>
    </row>
    <row r="5956">
      <c r="BN5956">
        <f>IF(5943&lt;$U$9,INT(5943/($U$7*$U$8))+1,1)</f>
        <v/>
      </c>
      <c r="BO5956">
        <f>IF(5943&lt;$U$9,MOD(INT(5943/$U$8),$U$7)+1,1)</f>
        <v/>
      </c>
      <c r="BP5956">
        <f>IF(5943&lt;$U$9,MOD(5943,$U$8)+1,1)</f>
        <v/>
      </c>
      <c r="BQ5956">
        <f>IF(5943&lt;$U$9,SUMPRODUCT(($D$10:$L$10&lt;&gt;"")*(($D$9:$L$9+INT(($S$12:$AA$12+INDEX($AJ$13:$AR$162,BN5956,0)+INDEX($AT$13:$BB$162,BO5956,0)+INDEX($BD$13:$BL$162,BP5956,0))/100))&gt;=$D$10:$L$10)),0)</f>
        <v/>
      </c>
      <c r="BR5956">
        <f>IF(5943&lt;$U$9,SUMPRODUCT(($D$10:$L$10&lt;&gt;"")*(($D$10:$L$10-($D$9:$L$9+INT(($S$12:$AA$12+INDEX($AJ$13:$AR$162,BN5956,0)+INDEX($AT$13:$BB$162,BO5956,0)+INDEX($BD$13:$BL$162,BP5956,0))/100)))&gt;0)*($D$10:$L$10-($D$9:$L$9+INT(($S$12:$AA$12+INDEX($AJ$13:$AR$162,BN5956,0)+INDEX($AT$13:$BB$162,BO5956,0)+INDEX($BD$13:$BL$162,BP5956,0))/100)))),0)</f>
        <v/>
      </c>
      <c r="BS5956">
        <f>IF(5943&lt;$U$9,SUMPRODUCT(($D$9:$L$9+INT(($S$12:$AA$12+INDEX($AJ$13:$AR$162,BN5956,0)+INDEX($AT$13:$BB$162,BO5956,0)+INDEX($BD$13:$BL$162,BP5956,0))/100))),0)</f>
        <v/>
      </c>
      <c r="BT5956">
        <f>IF(AND(5943&lt;$U$9,$W$5),BQ5956*1000000-MIN(BR5956,999)*1000+BS5956-5943/100000,-1000000000-5943)</f>
        <v/>
      </c>
    </row>
    <row r="5957">
      <c r="BN5957">
        <f>IF(5944&lt;$U$9,INT(5944/($U$7*$U$8))+1,1)</f>
        <v/>
      </c>
      <c r="BO5957">
        <f>IF(5944&lt;$U$9,MOD(INT(5944/$U$8),$U$7)+1,1)</f>
        <v/>
      </c>
      <c r="BP5957">
        <f>IF(5944&lt;$U$9,MOD(5944,$U$8)+1,1)</f>
        <v/>
      </c>
      <c r="BQ5957">
        <f>IF(5944&lt;$U$9,SUMPRODUCT(($D$10:$L$10&lt;&gt;"")*(($D$9:$L$9+INT(($S$12:$AA$12+INDEX($AJ$13:$AR$162,BN5957,0)+INDEX($AT$13:$BB$162,BO5957,0)+INDEX($BD$13:$BL$162,BP5957,0))/100))&gt;=$D$10:$L$10)),0)</f>
        <v/>
      </c>
      <c r="BR5957">
        <f>IF(5944&lt;$U$9,SUMPRODUCT(($D$10:$L$10&lt;&gt;"")*(($D$10:$L$10-($D$9:$L$9+INT(($S$12:$AA$12+INDEX($AJ$13:$AR$162,BN5957,0)+INDEX($AT$13:$BB$162,BO5957,0)+INDEX($BD$13:$BL$162,BP5957,0))/100)))&gt;0)*($D$10:$L$10-($D$9:$L$9+INT(($S$12:$AA$12+INDEX($AJ$13:$AR$162,BN5957,0)+INDEX($AT$13:$BB$162,BO5957,0)+INDEX($BD$13:$BL$162,BP5957,0))/100)))),0)</f>
        <v/>
      </c>
      <c r="BS5957">
        <f>IF(5944&lt;$U$9,SUMPRODUCT(($D$9:$L$9+INT(($S$12:$AA$12+INDEX($AJ$13:$AR$162,BN5957,0)+INDEX($AT$13:$BB$162,BO5957,0)+INDEX($BD$13:$BL$162,BP5957,0))/100))),0)</f>
        <v/>
      </c>
      <c r="BT5957">
        <f>IF(AND(5944&lt;$U$9,$W$5),BQ5957*1000000-MIN(BR5957,999)*1000+BS5957-5944/100000,-1000000000-5944)</f>
        <v/>
      </c>
    </row>
    <row r="5958">
      <c r="BN5958">
        <f>IF(5945&lt;$U$9,INT(5945/($U$7*$U$8))+1,1)</f>
        <v/>
      </c>
      <c r="BO5958">
        <f>IF(5945&lt;$U$9,MOD(INT(5945/$U$8),$U$7)+1,1)</f>
        <v/>
      </c>
      <c r="BP5958">
        <f>IF(5945&lt;$U$9,MOD(5945,$U$8)+1,1)</f>
        <v/>
      </c>
      <c r="BQ5958">
        <f>IF(5945&lt;$U$9,SUMPRODUCT(($D$10:$L$10&lt;&gt;"")*(($D$9:$L$9+INT(($S$12:$AA$12+INDEX($AJ$13:$AR$162,BN5958,0)+INDEX($AT$13:$BB$162,BO5958,0)+INDEX($BD$13:$BL$162,BP5958,0))/100))&gt;=$D$10:$L$10)),0)</f>
        <v/>
      </c>
      <c r="BR5958">
        <f>IF(5945&lt;$U$9,SUMPRODUCT(($D$10:$L$10&lt;&gt;"")*(($D$10:$L$10-($D$9:$L$9+INT(($S$12:$AA$12+INDEX($AJ$13:$AR$162,BN5958,0)+INDEX($AT$13:$BB$162,BO5958,0)+INDEX($BD$13:$BL$162,BP5958,0))/100)))&gt;0)*($D$10:$L$10-($D$9:$L$9+INT(($S$12:$AA$12+INDEX($AJ$13:$AR$162,BN5958,0)+INDEX($AT$13:$BB$162,BO5958,0)+INDEX($BD$13:$BL$162,BP5958,0))/100)))),0)</f>
        <v/>
      </c>
      <c r="BS5958">
        <f>IF(5945&lt;$U$9,SUMPRODUCT(($D$9:$L$9+INT(($S$12:$AA$12+INDEX($AJ$13:$AR$162,BN5958,0)+INDEX($AT$13:$BB$162,BO5958,0)+INDEX($BD$13:$BL$162,BP5958,0))/100))),0)</f>
        <v/>
      </c>
      <c r="BT5958">
        <f>IF(AND(5945&lt;$U$9,$W$5),BQ5958*1000000-MIN(BR5958,999)*1000+BS5958-5945/100000,-1000000000-5945)</f>
        <v/>
      </c>
    </row>
    <row r="5959">
      <c r="BN5959">
        <f>IF(5946&lt;$U$9,INT(5946/($U$7*$U$8))+1,1)</f>
        <v/>
      </c>
      <c r="BO5959">
        <f>IF(5946&lt;$U$9,MOD(INT(5946/$U$8),$U$7)+1,1)</f>
        <v/>
      </c>
      <c r="BP5959">
        <f>IF(5946&lt;$U$9,MOD(5946,$U$8)+1,1)</f>
        <v/>
      </c>
      <c r="BQ5959">
        <f>IF(5946&lt;$U$9,SUMPRODUCT(($D$10:$L$10&lt;&gt;"")*(($D$9:$L$9+INT(($S$12:$AA$12+INDEX($AJ$13:$AR$162,BN5959,0)+INDEX($AT$13:$BB$162,BO5959,0)+INDEX($BD$13:$BL$162,BP5959,0))/100))&gt;=$D$10:$L$10)),0)</f>
        <v/>
      </c>
      <c r="BR5959">
        <f>IF(5946&lt;$U$9,SUMPRODUCT(($D$10:$L$10&lt;&gt;"")*(($D$10:$L$10-($D$9:$L$9+INT(($S$12:$AA$12+INDEX($AJ$13:$AR$162,BN5959,0)+INDEX($AT$13:$BB$162,BO5959,0)+INDEX($BD$13:$BL$162,BP5959,0))/100)))&gt;0)*($D$10:$L$10-($D$9:$L$9+INT(($S$12:$AA$12+INDEX($AJ$13:$AR$162,BN5959,0)+INDEX($AT$13:$BB$162,BO5959,0)+INDEX($BD$13:$BL$162,BP5959,0))/100)))),0)</f>
        <v/>
      </c>
      <c r="BS5959">
        <f>IF(5946&lt;$U$9,SUMPRODUCT(($D$9:$L$9+INT(($S$12:$AA$12+INDEX($AJ$13:$AR$162,BN5959,0)+INDEX($AT$13:$BB$162,BO5959,0)+INDEX($BD$13:$BL$162,BP5959,0))/100))),0)</f>
        <v/>
      </c>
      <c r="BT5959">
        <f>IF(AND(5946&lt;$U$9,$W$5),BQ5959*1000000-MIN(BR5959,999)*1000+BS5959-5946/100000,-1000000000-5946)</f>
        <v/>
      </c>
    </row>
    <row r="5960">
      <c r="BN5960">
        <f>IF(5947&lt;$U$9,INT(5947/($U$7*$U$8))+1,1)</f>
        <v/>
      </c>
      <c r="BO5960">
        <f>IF(5947&lt;$U$9,MOD(INT(5947/$U$8),$U$7)+1,1)</f>
        <v/>
      </c>
      <c r="BP5960">
        <f>IF(5947&lt;$U$9,MOD(5947,$U$8)+1,1)</f>
        <v/>
      </c>
      <c r="BQ5960">
        <f>IF(5947&lt;$U$9,SUMPRODUCT(($D$10:$L$10&lt;&gt;"")*(($D$9:$L$9+INT(($S$12:$AA$12+INDEX($AJ$13:$AR$162,BN5960,0)+INDEX($AT$13:$BB$162,BO5960,0)+INDEX($BD$13:$BL$162,BP5960,0))/100))&gt;=$D$10:$L$10)),0)</f>
        <v/>
      </c>
      <c r="BR5960">
        <f>IF(5947&lt;$U$9,SUMPRODUCT(($D$10:$L$10&lt;&gt;"")*(($D$10:$L$10-($D$9:$L$9+INT(($S$12:$AA$12+INDEX($AJ$13:$AR$162,BN5960,0)+INDEX($AT$13:$BB$162,BO5960,0)+INDEX($BD$13:$BL$162,BP5960,0))/100)))&gt;0)*($D$10:$L$10-($D$9:$L$9+INT(($S$12:$AA$12+INDEX($AJ$13:$AR$162,BN5960,0)+INDEX($AT$13:$BB$162,BO5960,0)+INDEX($BD$13:$BL$162,BP5960,0))/100)))),0)</f>
        <v/>
      </c>
      <c r="BS5960">
        <f>IF(5947&lt;$U$9,SUMPRODUCT(($D$9:$L$9+INT(($S$12:$AA$12+INDEX($AJ$13:$AR$162,BN5960,0)+INDEX($AT$13:$BB$162,BO5960,0)+INDEX($BD$13:$BL$162,BP5960,0))/100))),0)</f>
        <v/>
      </c>
      <c r="BT5960">
        <f>IF(AND(5947&lt;$U$9,$W$5),BQ5960*1000000-MIN(BR5960,999)*1000+BS5960-5947/100000,-1000000000-5947)</f>
        <v/>
      </c>
    </row>
    <row r="5961">
      <c r="BN5961">
        <f>IF(5948&lt;$U$9,INT(5948/($U$7*$U$8))+1,1)</f>
        <v/>
      </c>
      <c r="BO5961">
        <f>IF(5948&lt;$U$9,MOD(INT(5948/$U$8),$U$7)+1,1)</f>
        <v/>
      </c>
      <c r="BP5961">
        <f>IF(5948&lt;$U$9,MOD(5948,$U$8)+1,1)</f>
        <v/>
      </c>
      <c r="BQ5961">
        <f>IF(5948&lt;$U$9,SUMPRODUCT(($D$10:$L$10&lt;&gt;"")*(($D$9:$L$9+INT(($S$12:$AA$12+INDEX($AJ$13:$AR$162,BN5961,0)+INDEX($AT$13:$BB$162,BO5961,0)+INDEX($BD$13:$BL$162,BP5961,0))/100))&gt;=$D$10:$L$10)),0)</f>
        <v/>
      </c>
      <c r="BR5961">
        <f>IF(5948&lt;$U$9,SUMPRODUCT(($D$10:$L$10&lt;&gt;"")*(($D$10:$L$10-($D$9:$L$9+INT(($S$12:$AA$12+INDEX($AJ$13:$AR$162,BN5961,0)+INDEX($AT$13:$BB$162,BO5961,0)+INDEX($BD$13:$BL$162,BP5961,0))/100)))&gt;0)*($D$10:$L$10-($D$9:$L$9+INT(($S$12:$AA$12+INDEX($AJ$13:$AR$162,BN5961,0)+INDEX($AT$13:$BB$162,BO5961,0)+INDEX($BD$13:$BL$162,BP5961,0))/100)))),0)</f>
        <v/>
      </c>
      <c r="BS5961">
        <f>IF(5948&lt;$U$9,SUMPRODUCT(($D$9:$L$9+INT(($S$12:$AA$12+INDEX($AJ$13:$AR$162,BN5961,0)+INDEX($AT$13:$BB$162,BO5961,0)+INDEX($BD$13:$BL$162,BP5961,0))/100))),0)</f>
        <v/>
      </c>
      <c r="BT5961">
        <f>IF(AND(5948&lt;$U$9,$W$5),BQ5961*1000000-MIN(BR5961,999)*1000+BS5961-5948/100000,-1000000000-5948)</f>
        <v/>
      </c>
    </row>
    <row r="5962">
      <c r="BN5962">
        <f>IF(5949&lt;$U$9,INT(5949/($U$7*$U$8))+1,1)</f>
        <v/>
      </c>
      <c r="BO5962">
        <f>IF(5949&lt;$U$9,MOD(INT(5949/$U$8),$U$7)+1,1)</f>
        <v/>
      </c>
      <c r="BP5962">
        <f>IF(5949&lt;$U$9,MOD(5949,$U$8)+1,1)</f>
        <v/>
      </c>
      <c r="BQ5962">
        <f>IF(5949&lt;$U$9,SUMPRODUCT(($D$10:$L$10&lt;&gt;"")*(($D$9:$L$9+INT(($S$12:$AA$12+INDEX($AJ$13:$AR$162,BN5962,0)+INDEX($AT$13:$BB$162,BO5962,0)+INDEX($BD$13:$BL$162,BP5962,0))/100))&gt;=$D$10:$L$10)),0)</f>
        <v/>
      </c>
      <c r="BR5962">
        <f>IF(5949&lt;$U$9,SUMPRODUCT(($D$10:$L$10&lt;&gt;"")*(($D$10:$L$10-($D$9:$L$9+INT(($S$12:$AA$12+INDEX($AJ$13:$AR$162,BN5962,0)+INDEX($AT$13:$BB$162,BO5962,0)+INDEX($BD$13:$BL$162,BP5962,0))/100)))&gt;0)*($D$10:$L$10-($D$9:$L$9+INT(($S$12:$AA$12+INDEX($AJ$13:$AR$162,BN5962,0)+INDEX($AT$13:$BB$162,BO5962,0)+INDEX($BD$13:$BL$162,BP5962,0))/100)))),0)</f>
        <v/>
      </c>
      <c r="BS5962">
        <f>IF(5949&lt;$U$9,SUMPRODUCT(($D$9:$L$9+INT(($S$12:$AA$12+INDEX($AJ$13:$AR$162,BN5962,0)+INDEX($AT$13:$BB$162,BO5962,0)+INDEX($BD$13:$BL$162,BP5962,0))/100))),0)</f>
        <v/>
      </c>
      <c r="BT5962">
        <f>IF(AND(5949&lt;$U$9,$W$5),BQ5962*1000000-MIN(BR5962,999)*1000+BS5962-5949/100000,-1000000000-5949)</f>
        <v/>
      </c>
    </row>
    <row r="5963">
      <c r="BN5963">
        <f>IF(5950&lt;$U$9,INT(5950/($U$7*$U$8))+1,1)</f>
        <v/>
      </c>
      <c r="BO5963">
        <f>IF(5950&lt;$U$9,MOD(INT(5950/$U$8),$U$7)+1,1)</f>
        <v/>
      </c>
      <c r="BP5963">
        <f>IF(5950&lt;$U$9,MOD(5950,$U$8)+1,1)</f>
        <v/>
      </c>
      <c r="BQ5963">
        <f>IF(5950&lt;$U$9,SUMPRODUCT(($D$10:$L$10&lt;&gt;"")*(($D$9:$L$9+INT(($S$12:$AA$12+INDEX($AJ$13:$AR$162,BN5963,0)+INDEX($AT$13:$BB$162,BO5963,0)+INDEX($BD$13:$BL$162,BP5963,0))/100))&gt;=$D$10:$L$10)),0)</f>
        <v/>
      </c>
      <c r="BR5963">
        <f>IF(5950&lt;$U$9,SUMPRODUCT(($D$10:$L$10&lt;&gt;"")*(($D$10:$L$10-($D$9:$L$9+INT(($S$12:$AA$12+INDEX($AJ$13:$AR$162,BN5963,0)+INDEX($AT$13:$BB$162,BO5963,0)+INDEX($BD$13:$BL$162,BP5963,0))/100)))&gt;0)*($D$10:$L$10-($D$9:$L$9+INT(($S$12:$AA$12+INDEX($AJ$13:$AR$162,BN5963,0)+INDEX($AT$13:$BB$162,BO5963,0)+INDEX($BD$13:$BL$162,BP5963,0))/100)))),0)</f>
        <v/>
      </c>
      <c r="BS5963">
        <f>IF(5950&lt;$U$9,SUMPRODUCT(($D$9:$L$9+INT(($S$12:$AA$12+INDEX($AJ$13:$AR$162,BN5963,0)+INDEX($AT$13:$BB$162,BO5963,0)+INDEX($BD$13:$BL$162,BP5963,0))/100))),0)</f>
        <v/>
      </c>
      <c r="BT5963">
        <f>IF(AND(5950&lt;$U$9,$W$5),BQ5963*1000000-MIN(BR5963,999)*1000+BS5963-5950/100000,-1000000000-5950)</f>
        <v/>
      </c>
    </row>
    <row r="5964">
      <c r="BN5964">
        <f>IF(5951&lt;$U$9,INT(5951/($U$7*$U$8))+1,1)</f>
        <v/>
      </c>
      <c r="BO5964">
        <f>IF(5951&lt;$U$9,MOD(INT(5951/$U$8),$U$7)+1,1)</f>
        <v/>
      </c>
      <c r="BP5964">
        <f>IF(5951&lt;$U$9,MOD(5951,$U$8)+1,1)</f>
        <v/>
      </c>
      <c r="BQ5964">
        <f>IF(5951&lt;$U$9,SUMPRODUCT(($D$10:$L$10&lt;&gt;"")*(($D$9:$L$9+INT(($S$12:$AA$12+INDEX($AJ$13:$AR$162,BN5964,0)+INDEX($AT$13:$BB$162,BO5964,0)+INDEX($BD$13:$BL$162,BP5964,0))/100))&gt;=$D$10:$L$10)),0)</f>
        <v/>
      </c>
      <c r="BR5964">
        <f>IF(5951&lt;$U$9,SUMPRODUCT(($D$10:$L$10&lt;&gt;"")*(($D$10:$L$10-($D$9:$L$9+INT(($S$12:$AA$12+INDEX($AJ$13:$AR$162,BN5964,0)+INDEX($AT$13:$BB$162,BO5964,0)+INDEX($BD$13:$BL$162,BP5964,0))/100)))&gt;0)*($D$10:$L$10-($D$9:$L$9+INT(($S$12:$AA$12+INDEX($AJ$13:$AR$162,BN5964,0)+INDEX($AT$13:$BB$162,BO5964,0)+INDEX($BD$13:$BL$162,BP5964,0))/100)))),0)</f>
        <v/>
      </c>
      <c r="BS5964">
        <f>IF(5951&lt;$U$9,SUMPRODUCT(($D$9:$L$9+INT(($S$12:$AA$12+INDEX($AJ$13:$AR$162,BN5964,0)+INDEX($AT$13:$BB$162,BO5964,0)+INDEX($BD$13:$BL$162,BP5964,0))/100))),0)</f>
        <v/>
      </c>
      <c r="BT5964">
        <f>IF(AND(5951&lt;$U$9,$W$5),BQ5964*1000000-MIN(BR5964,999)*1000+BS5964-5951/100000,-1000000000-5951)</f>
        <v/>
      </c>
    </row>
    <row r="5965">
      <c r="BN5965">
        <f>IF(5952&lt;$U$9,INT(5952/($U$7*$U$8))+1,1)</f>
        <v/>
      </c>
      <c r="BO5965">
        <f>IF(5952&lt;$U$9,MOD(INT(5952/$U$8),$U$7)+1,1)</f>
        <v/>
      </c>
      <c r="BP5965">
        <f>IF(5952&lt;$U$9,MOD(5952,$U$8)+1,1)</f>
        <v/>
      </c>
      <c r="BQ5965">
        <f>IF(5952&lt;$U$9,SUMPRODUCT(($D$10:$L$10&lt;&gt;"")*(($D$9:$L$9+INT(($S$12:$AA$12+INDEX($AJ$13:$AR$162,BN5965,0)+INDEX($AT$13:$BB$162,BO5965,0)+INDEX($BD$13:$BL$162,BP5965,0))/100))&gt;=$D$10:$L$10)),0)</f>
        <v/>
      </c>
      <c r="BR5965">
        <f>IF(5952&lt;$U$9,SUMPRODUCT(($D$10:$L$10&lt;&gt;"")*(($D$10:$L$10-($D$9:$L$9+INT(($S$12:$AA$12+INDEX($AJ$13:$AR$162,BN5965,0)+INDEX($AT$13:$BB$162,BO5965,0)+INDEX($BD$13:$BL$162,BP5965,0))/100)))&gt;0)*($D$10:$L$10-($D$9:$L$9+INT(($S$12:$AA$12+INDEX($AJ$13:$AR$162,BN5965,0)+INDEX($AT$13:$BB$162,BO5965,0)+INDEX($BD$13:$BL$162,BP5965,0))/100)))),0)</f>
        <v/>
      </c>
      <c r="BS5965">
        <f>IF(5952&lt;$U$9,SUMPRODUCT(($D$9:$L$9+INT(($S$12:$AA$12+INDEX($AJ$13:$AR$162,BN5965,0)+INDEX($AT$13:$BB$162,BO5965,0)+INDEX($BD$13:$BL$162,BP5965,0))/100))),0)</f>
        <v/>
      </c>
      <c r="BT5965">
        <f>IF(AND(5952&lt;$U$9,$W$5),BQ5965*1000000-MIN(BR5965,999)*1000+BS5965-5952/100000,-1000000000-5952)</f>
        <v/>
      </c>
    </row>
    <row r="5966">
      <c r="BN5966">
        <f>IF(5953&lt;$U$9,INT(5953/($U$7*$U$8))+1,1)</f>
        <v/>
      </c>
      <c r="BO5966">
        <f>IF(5953&lt;$U$9,MOD(INT(5953/$U$8),$U$7)+1,1)</f>
        <v/>
      </c>
      <c r="BP5966">
        <f>IF(5953&lt;$U$9,MOD(5953,$U$8)+1,1)</f>
        <v/>
      </c>
      <c r="BQ5966">
        <f>IF(5953&lt;$U$9,SUMPRODUCT(($D$10:$L$10&lt;&gt;"")*(($D$9:$L$9+INT(($S$12:$AA$12+INDEX($AJ$13:$AR$162,BN5966,0)+INDEX($AT$13:$BB$162,BO5966,0)+INDEX($BD$13:$BL$162,BP5966,0))/100))&gt;=$D$10:$L$10)),0)</f>
        <v/>
      </c>
      <c r="BR5966">
        <f>IF(5953&lt;$U$9,SUMPRODUCT(($D$10:$L$10&lt;&gt;"")*(($D$10:$L$10-($D$9:$L$9+INT(($S$12:$AA$12+INDEX($AJ$13:$AR$162,BN5966,0)+INDEX($AT$13:$BB$162,BO5966,0)+INDEX($BD$13:$BL$162,BP5966,0))/100)))&gt;0)*($D$10:$L$10-($D$9:$L$9+INT(($S$12:$AA$12+INDEX($AJ$13:$AR$162,BN5966,0)+INDEX($AT$13:$BB$162,BO5966,0)+INDEX($BD$13:$BL$162,BP5966,0))/100)))),0)</f>
        <v/>
      </c>
      <c r="BS5966">
        <f>IF(5953&lt;$U$9,SUMPRODUCT(($D$9:$L$9+INT(($S$12:$AA$12+INDEX($AJ$13:$AR$162,BN5966,0)+INDEX($AT$13:$BB$162,BO5966,0)+INDEX($BD$13:$BL$162,BP5966,0))/100))),0)</f>
        <v/>
      </c>
      <c r="BT5966">
        <f>IF(AND(5953&lt;$U$9,$W$5),BQ5966*1000000-MIN(BR5966,999)*1000+BS5966-5953/100000,-1000000000-5953)</f>
        <v/>
      </c>
    </row>
    <row r="5967">
      <c r="BN5967">
        <f>IF(5954&lt;$U$9,INT(5954/($U$7*$U$8))+1,1)</f>
        <v/>
      </c>
      <c r="BO5967">
        <f>IF(5954&lt;$U$9,MOD(INT(5954/$U$8),$U$7)+1,1)</f>
        <v/>
      </c>
      <c r="BP5967">
        <f>IF(5954&lt;$U$9,MOD(5954,$U$8)+1,1)</f>
        <v/>
      </c>
      <c r="BQ5967">
        <f>IF(5954&lt;$U$9,SUMPRODUCT(($D$10:$L$10&lt;&gt;"")*(($D$9:$L$9+INT(($S$12:$AA$12+INDEX($AJ$13:$AR$162,BN5967,0)+INDEX($AT$13:$BB$162,BO5967,0)+INDEX($BD$13:$BL$162,BP5967,0))/100))&gt;=$D$10:$L$10)),0)</f>
        <v/>
      </c>
      <c r="BR5967">
        <f>IF(5954&lt;$U$9,SUMPRODUCT(($D$10:$L$10&lt;&gt;"")*(($D$10:$L$10-($D$9:$L$9+INT(($S$12:$AA$12+INDEX($AJ$13:$AR$162,BN5967,0)+INDEX($AT$13:$BB$162,BO5967,0)+INDEX($BD$13:$BL$162,BP5967,0))/100)))&gt;0)*($D$10:$L$10-($D$9:$L$9+INT(($S$12:$AA$12+INDEX($AJ$13:$AR$162,BN5967,0)+INDEX($AT$13:$BB$162,BO5967,0)+INDEX($BD$13:$BL$162,BP5967,0))/100)))),0)</f>
        <v/>
      </c>
      <c r="BS5967">
        <f>IF(5954&lt;$U$9,SUMPRODUCT(($D$9:$L$9+INT(($S$12:$AA$12+INDEX($AJ$13:$AR$162,BN5967,0)+INDEX($AT$13:$BB$162,BO5967,0)+INDEX($BD$13:$BL$162,BP5967,0))/100))),0)</f>
        <v/>
      </c>
      <c r="BT5967">
        <f>IF(AND(5954&lt;$U$9,$W$5),BQ5967*1000000-MIN(BR5967,999)*1000+BS5967-5954/100000,-1000000000-5954)</f>
        <v/>
      </c>
    </row>
    <row r="5968">
      <c r="BN5968">
        <f>IF(5955&lt;$U$9,INT(5955/($U$7*$U$8))+1,1)</f>
        <v/>
      </c>
      <c r="BO5968">
        <f>IF(5955&lt;$U$9,MOD(INT(5955/$U$8),$U$7)+1,1)</f>
        <v/>
      </c>
      <c r="BP5968">
        <f>IF(5955&lt;$U$9,MOD(5955,$U$8)+1,1)</f>
        <v/>
      </c>
      <c r="BQ5968">
        <f>IF(5955&lt;$U$9,SUMPRODUCT(($D$10:$L$10&lt;&gt;"")*(($D$9:$L$9+INT(($S$12:$AA$12+INDEX($AJ$13:$AR$162,BN5968,0)+INDEX($AT$13:$BB$162,BO5968,0)+INDEX($BD$13:$BL$162,BP5968,0))/100))&gt;=$D$10:$L$10)),0)</f>
        <v/>
      </c>
      <c r="BR5968">
        <f>IF(5955&lt;$U$9,SUMPRODUCT(($D$10:$L$10&lt;&gt;"")*(($D$10:$L$10-($D$9:$L$9+INT(($S$12:$AA$12+INDEX($AJ$13:$AR$162,BN5968,0)+INDEX($AT$13:$BB$162,BO5968,0)+INDEX($BD$13:$BL$162,BP5968,0))/100)))&gt;0)*($D$10:$L$10-($D$9:$L$9+INT(($S$12:$AA$12+INDEX($AJ$13:$AR$162,BN5968,0)+INDEX($AT$13:$BB$162,BO5968,0)+INDEX($BD$13:$BL$162,BP5968,0))/100)))),0)</f>
        <v/>
      </c>
      <c r="BS5968">
        <f>IF(5955&lt;$U$9,SUMPRODUCT(($D$9:$L$9+INT(($S$12:$AA$12+INDEX($AJ$13:$AR$162,BN5968,0)+INDEX($AT$13:$BB$162,BO5968,0)+INDEX($BD$13:$BL$162,BP5968,0))/100))),0)</f>
        <v/>
      </c>
      <c r="BT5968">
        <f>IF(AND(5955&lt;$U$9,$W$5),BQ5968*1000000-MIN(BR5968,999)*1000+BS5968-5955/100000,-1000000000-5955)</f>
        <v/>
      </c>
    </row>
    <row r="5969">
      <c r="BN5969">
        <f>IF(5956&lt;$U$9,INT(5956/($U$7*$U$8))+1,1)</f>
        <v/>
      </c>
      <c r="BO5969">
        <f>IF(5956&lt;$U$9,MOD(INT(5956/$U$8),$U$7)+1,1)</f>
        <v/>
      </c>
      <c r="BP5969">
        <f>IF(5956&lt;$U$9,MOD(5956,$U$8)+1,1)</f>
        <v/>
      </c>
      <c r="BQ5969">
        <f>IF(5956&lt;$U$9,SUMPRODUCT(($D$10:$L$10&lt;&gt;"")*(($D$9:$L$9+INT(($S$12:$AA$12+INDEX($AJ$13:$AR$162,BN5969,0)+INDEX($AT$13:$BB$162,BO5969,0)+INDEX($BD$13:$BL$162,BP5969,0))/100))&gt;=$D$10:$L$10)),0)</f>
        <v/>
      </c>
      <c r="BR5969">
        <f>IF(5956&lt;$U$9,SUMPRODUCT(($D$10:$L$10&lt;&gt;"")*(($D$10:$L$10-($D$9:$L$9+INT(($S$12:$AA$12+INDEX($AJ$13:$AR$162,BN5969,0)+INDEX($AT$13:$BB$162,BO5969,0)+INDEX($BD$13:$BL$162,BP5969,0))/100)))&gt;0)*($D$10:$L$10-($D$9:$L$9+INT(($S$12:$AA$12+INDEX($AJ$13:$AR$162,BN5969,0)+INDEX($AT$13:$BB$162,BO5969,0)+INDEX($BD$13:$BL$162,BP5969,0))/100)))),0)</f>
        <v/>
      </c>
      <c r="BS5969">
        <f>IF(5956&lt;$U$9,SUMPRODUCT(($D$9:$L$9+INT(($S$12:$AA$12+INDEX($AJ$13:$AR$162,BN5969,0)+INDEX($AT$13:$BB$162,BO5969,0)+INDEX($BD$13:$BL$162,BP5969,0))/100))),0)</f>
        <v/>
      </c>
      <c r="BT5969">
        <f>IF(AND(5956&lt;$U$9,$W$5),BQ5969*1000000-MIN(BR5969,999)*1000+BS5969-5956/100000,-1000000000-5956)</f>
        <v/>
      </c>
    </row>
    <row r="5970">
      <c r="BN5970">
        <f>IF(5957&lt;$U$9,INT(5957/($U$7*$U$8))+1,1)</f>
        <v/>
      </c>
      <c r="BO5970">
        <f>IF(5957&lt;$U$9,MOD(INT(5957/$U$8),$U$7)+1,1)</f>
        <v/>
      </c>
      <c r="BP5970">
        <f>IF(5957&lt;$U$9,MOD(5957,$U$8)+1,1)</f>
        <v/>
      </c>
      <c r="BQ5970">
        <f>IF(5957&lt;$U$9,SUMPRODUCT(($D$10:$L$10&lt;&gt;"")*(($D$9:$L$9+INT(($S$12:$AA$12+INDEX($AJ$13:$AR$162,BN5970,0)+INDEX($AT$13:$BB$162,BO5970,0)+INDEX($BD$13:$BL$162,BP5970,0))/100))&gt;=$D$10:$L$10)),0)</f>
        <v/>
      </c>
      <c r="BR5970">
        <f>IF(5957&lt;$U$9,SUMPRODUCT(($D$10:$L$10&lt;&gt;"")*(($D$10:$L$10-($D$9:$L$9+INT(($S$12:$AA$12+INDEX($AJ$13:$AR$162,BN5970,0)+INDEX($AT$13:$BB$162,BO5970,0)+INDEX($BD$13:$BL$162,BP5970,0))/100)))&gt;0)*($D$10:$L$10-($D$9:$L$9+INT(($S$12:$AA$12+INDEX($AJ$13:$AR$162,BN5970,0)+INDEX($AT$13:$BB$162,BO5970,0)+INDEX($BD$13:$BL$162,BP5970,0))/100)))),0)</f>
        <v/>
      </c>
      <c r="BS5970">
        <f>IF(5957&lt;$U$9,SUMPRODUCT(($D$9:$L$9+INT(($S$12:$AA$12+INDEX($AJ$13:$AR$162,BN5970,0)+INDEX($AT$13:$BB$162,BO5970,0)+INDEX($BD$13:$BL$162,BP5970,0))/100))),0)</f>
        <v/>
      </c>
      <c r="BT5970">
        <f>IF(AND(5957&lt;$U$9,$W$5),BQ5970*1000000-MIN(BR5970,999)*1000+BS5970-5957/100000,-1000000000-5957)</f>
        <v/>
      </c>
    </row>
    <row r="5971">
      <c r="BN5971">
        <f>IF(5958&lt;$U$9,INT(5958/($U$7*$U$8))+1,1)</f>
        <v/>
      </c>
      <c r="BO5971">
        <f>IF(5958&lt;$U$9,MOD(INT(5958/$U$8),$U$7)+1,1)</f>
        <v/>
      </c>
      <c r="BP5971">
        <f>IF(5958&lt;$U$9,MOD(5958,$U$8)+1,1)</f>
        <v/>
      </c>
      <c r="BQ5971">
        <f>IF(5958&lt;$U$9,SUMPRODUCT(($D$10:$L$10&lt;&gt;"")*(($D$9:$L$9+INT(($S$12:$AA$12+INDEX($AJ$13:$AR$162,BN5971,0)+INDEX($AT$13:$BB$162,BO5971,0)+INDEX($BD$13:$BL$162,BP5971,0))/100))&gt;=$D$10:$L$10)),0)</f>
        <v/>
      </c>
      <c r="BR5971">
        <f>IF(5958&lt;$U$9,SUMPRODUCT(($D$10:$L$10&lt;&gt;"")*(($D$10:$L$10-($D$9:$L$9+INT(($S$12:$AA$12+INDEX($AJ$13:$AR$162,BN5971,0)+INDEX($AT$13:$BB$162,BO5971,0)+INDEX($BD$13:$BL$162,BP5971,0))/100)))&gt;0)*($D$10:$L$10-($D$9:$L$9+INT(($S$12:$AA$12+INDEX($AJ$13:$AR$162,BN5971,0)+INDEX($AT$13:$BB$162,BO5971,0)+INDEX($BD$13:$BL$162,BP5971,0))/100)))),0)</f>
        <v/>
      </c>
      <c r="BS5971">
        <f>IF(5958&lt;$U$9,SUMPRODUCT(($D$9:$L$9+INT(($S$12:$AA$12+INDEX($AJ$13:$AR$162,BN5971,0)+INDEX($AT$13:$BB$162,BO5971,0)+INDEX($BD$13:$BL$162,BP5971,0))/100))),0)</f>
        <v/>
      </c>
      <c r="BT5971">
        <f>IF(AND(5958&lt;$U$9,$W$5),BQ5971*1000000-MIN(BR5971,999)*1000+BS5971-5958/100000,-1000000000-5958)</f>
        <v/>
      </c>
    </row>
    <row r="5972">
      <c r="BN5972">
        <f>IF(5959&lt;$U$9,INT(5959/($U$7*$U$8))+1,1)</f>
        <v/>
      </c>
      <c r="BO5972">
        <f>IF(5959&lt;$U$9,MOD(INT(5959/$U$8),$U$7)+1,1)</f>
        <v/>
      </c>
      <c r="BP5972">
        <f>IF(5959&lt;$U$9,MOD(5959,$U$8)+1,1)</f>
        <v/>
      </c>
      <c r="BQ5972">
        <f>IF(5959&lt;$U$9,SUMPRODUCT(($D$10:$L$10&lt;&gt;"")*(($D$9:$L$9+INT(($S$12:$AA$12+INDEX($AJ$13:$AR$162,BN5972,0)+INDEX($AT$13:$BB$162,BO5972,0)+INDEX($BD$13:$BL$162,BP5972,0))/100))&gt;=$D$10:$L$10)),0)</f>
        <v/>
      </c>
      <c r="BR5972">
        <f>IF(5959&lt;$U$9,SUMPRODUCT(($D$10:$L$10&lt;&gt;"")*(($D$10:$L$10-($D$9:$L$9+INT(($S$12:$AA$12+INDEX($AJ$13:$AR$162,BN5972,0)+INDEX($AT$13:$BB$162,BO5972,0)+INDEX($BD$13:$BL$162,BP5972,0))/100)))&gt;0)*($D$10:$L$10-($D$9:$L$9+INT(($S$12:$AA$12+INDEX($AJ$13:$AR$162,BN5972,0)+INDEX($AT$13:$BB$162,BO5972,0)+INDEX($BD$13:$BL$162,BP5972,0))/100)))),0)</f>
        <v/>
      </c>
      <c r="BS5972">
        <f>IF(5959&lt;$U$9,SUMPRODUCT(($D$9:$L$9+INT(($S$12:$AA$12+INDEX($AJ$13:$AR$162,BN5972,0)+INDEX($AT$13:$BB$162,BO5972,0)+INDEX($BD$13:$BL$162,BP5972,0))/100))),0)</f>
        <v/>
      </c>
      <c r="BT5972">
        <f>IF(AND(5959&lt;$U$9,$W$5),BQ5972*1000000-MIN(BR5972,999)*1000+BS5972-5959/100000,-1000000000-5959)</f>
        <v/>
      </c>
    </row>
    <row r="5973">
      <c r="BN5973">
        <f>IF(5960&lt;$U$9,INT(5960/($U$7*$U$8))+1,1)</f>
        <v/>
      </c>
      <c r="BO5973">
        <f>IF(5960&lt;$U$9,MOD(INT(5960/$U$8),$U$7)+1,1)</f>
        <v/>
      </c>
      <c r="BP5973">
        <f>IF(5960&lt;$U$9,MOD(5960,$U$8)+1,1)</f>
        <v/>
      </c>
      <c r="BQ5973">
        <f>IF(5960&lt;$U$9,SUMPRODUCT(($D$10:$L$10&lt;&gt;"")*(($D$9:$L$9+INT(($S$12:$AA$12+INDEX($AJ$13:$AR$162,BN5973,0)+INDEX($AT$13:$BB$162,BO5973,0)+INDEX($BD$13:$BL$162,BP5973,0))/100))&gt;=$D$10:$L$10)),0)</f>
        <v/>
      </c>
      <c r="BR5973">
        <f>IF(5960&lt;$U$9,SUMPRODUCT(($D$10:$L$10&lt;&gt;"")*(($D$10:$L$10-($D$9:$L$9+INT(($S$12:$AA$12+INDEX($AJ$13:$AR$162,BN5973,0)+INDEX($AT$13:$BB$162,BO5973,0)+INDEX($BD$13:$BL$162,BP5973,0))/100)))&gt;0)*($D$10:$L$10-($D$9:$L$9+INT(($S$12:$AA$12+INDEX($AJ$13:$AR$162,BN5973,0)+INDEX($AT$13:$BB$162,BO5973,0)+INDEX($BD$13:$BL$162,BP5973,0))/100)))),0)</f>
        <v/>
      </c>
      <c r="BS5973">
        <f>IF(5960&lt;$U$9,SUMPRODUCT(($D$9:$L$9+INT(($S$12:$AA$12+INDEX($AJ$13:$AR$162,BN5973,0)+INDEX($AT$13:$BB$162,BO5973,0)+INDEX($BD$13:$BL$162,BP5973,0))/100))),0)</f>
        <v/>
      </c>
      <c r="BT5973">
        <f>IF(AND(5960&lt;$U$9,$W$5),BQ5973*1000000-MIN(BR5973,999)*1000+BS5973-5960/100000,-1000000000-5960)</f>
        <v/>
      </c>
    </row>
    <row r="5974">
      <c r="BN5974">
        <f>IF(5961&lt;$U$9,INT(5961/($U$7*$U$8))+1,1)</f>
        <v/>
      </c>
      <c r="BO5974">
        <f>IF(5961&lt;$U$9,MOD(INT(5961/$U$8),$U$7)+1,1)</f>
        <v/>
      </c>
      <c r="BP5974">
        <f>IF(5961&lt;$U$9,MOD(5961,$U$8)+1,1)</f>
        <v/>
      </c>
      <c r="BQ5974">
        <f>IF(5961&lt;$U$9,SUMPRODUCT(($D$10:$L$10&lt;&gt;"")*(($D$9:$L$9+INT(($S$12:$AA$12+INDEX($AJ$13:$AR$162,BN5974,0)+INDEX($AT$13:$BB$162,BO5974,0)+INDEX($BD$13:$BL$162,BP5974,0))/100))&gt;=$D$10:$L$10)),0)</f>
        <v/>
      </c>
      <c r="BR5974">
        <f>IF(5961&lt;$U$9,SUMPRODUCT(($D$10:$L$10&lt;&gt;"")*(($D$10:$L$10-($D$9:$L$9+INT(($S$12:$AA$12+INDEX($AJ$13:$AR$162,BN5974,0)+INDEX($AT$13:$BB$162,BO5974,0)+INDEX($BD$13:$BL$162,BP5974,0))/100)))&gt;0)*($D$10:$L$10-($D$9:$L$9+INT(($S$12:$AA$12+INDEX($AJ$13:$AR$162,BN5974,0)+INDEX($AT$13:$BB$162,BO5974,0)+INDEX($BD$13:$BL$162,BP5974,0))/100)))),0)</f>
        <v/>
      </c>
      <c r="BS5974">
        <f>IF(5961&lt;$U$9,SUMPRODUCT(($D$9:$L$9+INT(($S$12:$AA$12+INDEX($AJ$13:$AR$162,BN5974,0)+INDEX($AT$13:$BB$162,BO5974,0)+INDEX($BD$13:$BL$162,BP5974,0))/100))),0)</f>
        <v/>
      </c>
      <c r="BT5974">
        <f>IF(AND(5961&lt;$U$9,$W$5),BQ5974*1000000-MIN(BR5974,999)*1000+BS5974-5961/100000,-1000000000-5961)</f>
        <v/>
      </c>
    </row>
    <row r="5975">
      <c r="BN5975">
        <f>IF(5962&lt;$U$9,INT(5962/($U$7*$U$8))+1,1)</f>
        <v/>
      </c>
      <c r="BO5975">
        <f>IF(5962&lt;$U$9,MOD(INT(5962/$U$8),$U$7)+1,1)</f>
        <v/>
      </c>
      <c r="BP5975">
        <f>IF(5962&lt;$U$9,MOD(5962,$U$8)+1,1)</f>
        <v/>
      </c>
      <c r="BQ5975">
        <f>IF(5962&lt;$U$9,SUMPRODUCT(($D$10:$L$10&lt;&gt;"")*(($D$9:$L$9+INT(($S$12:$AA$12+INDEX($AJ$13:$AR$162,BN5975,0)+INDEX($AT$13:$BB$162,BO5975,0)+INDEX($BD$13:$BL$162,BP5975,0))/100))&gt;=$D$10:$L$10)),0)</f>
        <v/>
      </c>
      <c r="BR5975">
        <f>IF(5962&lt;$U$9,SUMPRODUCT(($D$10:$L$10&lt;&gt;"")*(($D$10:$L$10-($D$9:$L$9+INT(($S$12:$AA$12+INDEX($AJ$13:$AR$162,BN5975,0)+INDEX($AT$13:$BB$162,BO5975,0)+INDEX($BD$13:$BL$162,BP5975,0))/100)))&gt;0)*($D$10:$L$10-($D$9:$L$9+INT(($S$12:$AA$12+INDEX($AJ$13:$AR$162,BN5975,0)+INDEX($AT$13:$BB$162,BO5975,0)+INDEX($BD$13:$BL$162,BP5975,0))/100)))),0)</f>
        <v/>
      </c>
      <c r="BS5975">
        <f>IF(5962&lt;$U$9,SUMPRODUCT(($D$9:$L$9+INT(($S$12:$AA$12+INDEX($AJ$13:$AR$162,BN5975,0)+INDEX($AT$13:$BB$162,BO5975,0)+INDEX($BD$13:$BL$162,BP5975,0))/100))),0)</f>
        <v/>
      </c>
      <c r="BT5975">
        <f>IF(AND(5962&lt;$U$9,$W$5),BQ5975*1000000-MIN(BR5975,999)*1000+BS5975-5962/100000,-1000000000-5962)</f>
        <v/>
      </c>
    </row>
    <row r="5976">
      <c r="BN5976">
        <f>IF(5963&lt;$U$9,INT(5963/($U$7*$U$8))+1,1)</f>
        <v/>
      </c>
      <c r="BO5976">
        <f>IF(5963&lt;$U$9,MOD(INT(5963/$U$8),$U$7)+1,1)</f>
        <v/>
      </c>
      <c r="BP5976">
        <f>IF(5963&lt;$U$9,MOD(5963,$U$8)+1,1)</f>
        <v/>
      </c>
      <c r="BQ5976">
        <f>IF(5963&lt;$U$9,SUMPRODUCT(($D$10:$L$10&lt;&gt;"")*(($D$9:$L$9+INT(($S$12:$AA$12+INDEX($AJ$13:$AR$162,BN5976,0)+INDEX($AT$13:$BB$162,BO5976,0)+INDEX($BD$13:$BL$162,BP5976,0))/100))&gt;=$D$10:$L$10)),0)</f>
        <v/>
      </c>
      <c r="BR5976">
        <f>IF(5963&lt;$U$9,SUMPRODUCT(($D$10:$L$10&lt;&gt;"")*(($D$10:$L$10-($D$9:$L$9+INT(($S$12:$AA$12+INDEX($AJ$13:$AR$162,BN5976,0)+INDEX($AT$13:$BB$162,BO5976,0)+INDEX($BD$13:$BL$162,BP5976,0))/100)))&gt;0)*($D$10:$L$10-($D$9:$L$9+INT(($S$12:$AA$12+INDEX($AJ$13:$AR$162,BN5976,0)+INDEX($AT$13:$BB$162,BO5976,0)+INDEX($BD$13:$BL$162,BP5976,0))/100)))),0)</f>
        <v/>
      </c>
      <c r="BS5976">
        <f>IF(5963&lt;$U$9,SUMPRODUCT(($D$9:$L$9+INT(($S$12:$AA$12+INDEX($AJ$13:$AR$162,BN5976,0)+INDEX($AT$13:$BB$162,BO5976,0)+INDEX($BD$13:$BL$162,BP5976,0))/100))),0)</f>
        <v/>
      </c>
      <c r="BT5976">
        <f>IF(AND(5963&lt;$U$9,$W$5),BQ5976*1000000-MIN(BR5976,999)*1000+BS5976-5963/100000,-1000000000-5963)</f>
        <v/>
      </c>
    </row>
    <row r="5977">
      <c r="BN5977">
        <f>IF(5964&lt;$U$9,INT(5964/($U$7*$U$8))+1,1)</f>
        <v/>
      </c>
      <c r="BO5977">
        <f>IF(5964&lt;$U$9,MOD(INT(5964/$U$8),$U$7)+1,1)</f>
        <v/>
      </c>
      <c r="BP5977">
        <f>IF(5964&lt;$U$9,MOD(5964,$U$8)+1,1)</f>
        <v/>
      </c>
      <c r="BQ5977">
        <f>IF(5964&lt;$U$9,SUMPRODUCT(($D$10:$L$10&lt;&gt;"")*(($D$9:$L$9+INT(($S$12:$AA$12+INDEX($AJ$13:$AR$162,BN5977,0)+INDEX($AT$13:$BB$162,BO5977,0)+INDEX($BD$13:$BL$162,BP5977,0))/100))&gt;=$D$10:$L$10)),0)</f>
        <v/>
      </c>
      <c r="BR5977">
        <f>IF(5964&lt;$U$9,SUMPRODUCT(($D$10:$L$10&lt;&gt;"")*(($D$10:$L$10-($D$9:$L$9+INT(($S$12:$AA$12+INDEX($AJ$13:$AR$162,BN5977,0)+INDEX($AT$13:$BB$162,BO5977,0)+INDEX($BD$13:$BL$162,BP5977,0))/100)))&gt;0)*($D$10:$L$10-($D$9:$L$9+INT(($S$12:$AA$12+INDEX($AJ$13:$AR$162,BN5977,0)+INDEX($AT$13:$BB$162,BO5977,0)+INDEX($BD$13:$BL$162,BP5977,0))/100)))),0)</f>
        <v/>
      </c>
      <c r="BS5977">
        <f>IF(5964&lt;$U$9,SUMPRODUCT(($D$9:$L$9+INT(($S$12:$AA$12+INDEX($AJ$13:$AR$162,BN5977,0)+INDEX($AT$13:$BB$162,BO5977,0)+INDEX($BD$13:$BL$162,BP5977,0))/100))),0)</f>
        <v/>
      </c>
      <c r="BT5977">
        <f>IF(AND(5964&lt;$U$9,$W$5),BQ5977*1000000-MIN(BR5977,999)*1000+BS5977-5964/100000,-1000000000-5964)</f>
        <v/>
      </c>
    </row>
    <row r="5978">
      <c r="BN5978">
        <f>IF(5965&lt;$U$9,INT(5965/($U$7*$U$8))+1,1)</f>
        <v/>
      </c>
      <c r="BO5978">
        <f>IF(5965&lt;$U$9,MOD(INT(5965/$U$8),$U$7)+1,1)</f>
        <v/>
      </c>
      <c r="BP5978">
        <f>IF(5965&lt;$U$9,MOD(5965,$U$8)+1,1)</f>
        <v/>
      </c>
      <c r="BQ5978">
        <f>IF(5965&lt;$U$9,SUMPRODUCT(($D$10:$L$10&lt;&gt;"")*(($D$9:$L$9+INT(($S$12:$AA$12+INDEX($AJ$13:$AR$162,BN5978,0)+INDEX($AT$13:$BB$162,BO5978,0)+INDEX($BD$13:$BL$162,BP5978,0))/100))&gt;=$D$10:$L$10)),0)</f>
        <v/>
      </c>
      <c r="BR5978">
        <f>IF(5965&lt;$U$9,SUMPRODUCT(($D$10:$L$10&lt;&gt;"")*(($D$10:$L$10-($D$9:$L$9+INT(($S$12:$AA$12+INDEX($AJ$13:$AR$162,BN5978,0)+INDEX($AT$13:$BB$162,BO5978,0)+INDEX($BD$13:$BL$162,BP5978,0))/100)))&gt;0)*($D$10:$L$10-($D$9:$L$9+INT(($S$12:$AA$12+INDEX($AJ$13:$AR$162,BN5978,0)+INDEX($AT$13:$BB$162,BO5978,0)+INDEX($BD$13:$BL$162,BP5978,0))/100)))),0)</f>
        <v/>
      </c>
      <c r="BS5978">
        <f>IF(5965&lt;$U$9,SUMPRODUCT(($D$9:$L$9+INT(($S$12:$AA$12+INDEX($AJ$13:$AR$162,BN5978,0)+INDEX($AT$13:$BB$162,BO5978,0)+INDEX($BD$13:$BL$162,BP5978,0))/100))),0)</f>
        <v/>
      </c>
      <c r="BT5978">
        <f>IF(AND(5965&lt;$U$9,$W$5),BQ5978*1000000-MIN(BR5978,999)*1000+BS5978-5965/100000,-1000000000-5965)</f>
        <v/>
      </c>
    </row>
    <row r="5979">
      <c r="BN5979">
        <f>IF(5966&lt;$U$9,INT(5966/($U$7*$U$8))+1,1)</f>
        <v/>
      </c>
      <c r="BO5979">
        <f>IF(5966&lt;$U$9,MOD(INT(5966/$U$8),$U$7)+1,1)</f>
        <v/>
      </c>
      <c r="BP5979">
        <f>IF(5966&lt;$U$9,MOD(5966,$U$8)+1,1)</f>
        <v/>
      </c>
      <c r="BQ5979">
        <f>IF(5966&lt;$U$9,SUMPRODUCT(($D$10:$L$10&lt;&gt;"")*(($D$9:$L$9+INT(($S$12:$AA$12+INDEX($AJ$13:$AR$162,BN5979,0)+INDEX($AT$13:$BB$162,BO5979,0)+INDEX($BD$13:$BL$162,BP5979,0))/100))&gt;=$D$10:$L$10)),0)</f>
        <v/>
      </c>
      <c r="BR5979">
        <f>IF(5966&lt;$U$9,SUMPRODUCT(($D$10:$L$10&lt;&gt;"")*(($D$10:$L$10-($D$9:$L$9+INT(($S$12:$AA$12+INDEX($AJ$13:$AR$162,BN5979,0)+INDEX($AT$13:$BB$162,BO5979,0)+INDEX($BD$13:$BL$162,BP5979,0))/100)))&gt;0)*($D$10:$L$10-($D$9:$L$9+INT(($S$12:$AA$12+INDEX($AJ$13:$AR$162,BN5979,0)+INDEX($AT$13:$BB$162,BO5979,0)+INDEX($BD$13:$BL$162,BP5979,0))/100)))),0)</f>
        <v/>
      </c>
      <c r="BS5979">
        <f>IF(5966&lt;$U$9,SUMPRODUCT(($D$9:$L$9+INT(($S$12:$AA$12+INDEX($AJ$13:$AR$162,BN5979,0)+INDEX($AT$13:$BB$162,BO5979,0)+INDEX($BD$13:$BL$162,BP5979,0))/100))),0)</f>
        <v/>
      </c>
      <c r="BT5979">
        <f>IF(AND(5966&lt;$U$9,$W$5),BQ5979*1000000-MIN(BR5979,999)*1000+BS5979-5966/100000,-1000000000-5966)</f>
        <v/>
      </c>
    </row>
    <row r="5980">
      <c r="BN5980">
        <f>IF(5967&lt;$U$9,INT(5967/($U$7*$U$8))+1,1)</f>
        <v/>
      </c>
      <c r="BO5980">
        <f>IF(5967&lt;$U$9,MOD(INT(5967/$U$8),$U$7)+1,1)</f>
        <v/>
      </c>
      <c r="BP5980">
        <f>IF(5967&lt;$U$9,MOD(5967,$U$8)+1,1)</f>
        <v/>
      </c>
      <c r="BQ5980">
        <f>IF(5967&lt;$U$9,SUMPRODUCT(($D$10:$L$10&lt;&gt;"")*(($D$9:$L$9+INT(($S$12:$AA$12+INDEX($AJ$13:$AR$162,BN5980,0)+INDEX($AT$13:$BB$162,BO5980,0)+INDEX($BD$13:$BL$162,BP5980,0))/100))&gt;=$D$10:$L$10)),0)</f>
        <v/>
      </c>
      <c r="BR5980">
        <f>IF(5967&lt;$U$9,SUMPRODUCT(($D$10:$L$10&lt;&gt;"")*(($D$10:$L$10-($D$9:$L$9+INT(($S$12:$AA$12+INDEX($AJ$13:$AR$162,BN5980,0)+INDEX($AT$13:$BB$162,BO5980,0)+INDEX($BD$13:$BL$162,BP5980,0))/100)))&gt;0)*($D$10:$L$10-($D$9:$L$9+INT(($S$12:$AA$12+INDEX($AJ$13:$AR$162,BN5980,0)+INDEX($AT$13:$BB$162,BO5980,0)+INDEX($BD$13:$BL$162,BP5980,0))/100)))),0)</f>
        <v/>
      </c>
      <c r="BS5980">
        <f>IF(5967&lt;$U$9,SUMPRODUCT(($D$9:$L$9+INT(($S$12:$AA$12+INDEX($AJ$13:$AR$162,BN5980,0)+INDEX($AT$13:$BB$162,BO5980,0)+INDEX($BD$13:$BL$162,BP5980,0))/100))),0)</f>
        <v/>
      </c>
      <c r="BT5980">
        <f>IF(AND(5967&lt;$U$9,$W$5),BQ5980*1000000-MIN(BR5980,999)*1000+BS5980-5967/100000,-1000000000-5967)</f>
        <v/>
      </c>
    </row>
    <row r="5981">
      <c r="BN5981">
        <f>IF(5968&lt;$U$9,INT(5968/($U$7*$U$8))+1,1)</f>
        <v/>
      </c>
      <c r="BO5981">
        <f>IF(5968&lt;$U$9,MOD(INT(5968/$U$8),$U$7)+1,1)</f>
        <v/>
      </c>
      <c r="BP5981">
        <f>IF(5968&lt;$U$9,MOD(5968,$U$8)+1,1)</f>
        <v/>
      </c>
      <c r="BQ5981">
        <f>IF(5968&lt;$U$9,SUMPRODUCT(($D$10:$L$10&lt;&gt;"")*(($D$9:$L$9+INT(($S$12:$AA$12+INDEX($AJ$13:$AR$162,BN5981,0)+INDEX($AT$13:$BB$162,BO5981,0)+INDEX($BD$13:$BL$162,BP5981,0))/100))&gt;=$D$10:$L$10)),0)</f>
        <v/>
      </c>
      <c r="BR5981">
        <f>IF(5968&lt;$U$9,SUMPRODUCT(($D$10:$L$10&lt;&gt;"")*(($D$10:$L$10-($D$9:$L$9+INT(($S$12:$AA$12+INDEX($AJ$13:$AR$162,BN5981,0)+INDEX($AT$13:$BB$162,BO5981,0)+INDEX($BD$13:$BL$162,BP5981,0))/100)))&gt;0)*($D$10:$L$10-($D$9:$L$9+INT(($S$12:$AA$12+INDEX($AJ$13:$AR$162,BN5981,0)+INDEX($AT$13:$BB$162,BO5981,0)+INDEX($BD$13:$BL$162,BP5981,0))/100)))),0)</f>
        <v/>
      </c>
      <c r="BS5981">
        <f>IF(5968&lt;$U$9,SUMPRODUCT(($D$9:$L$9+INT(($S$12:$AA$12+INDEX($AJ$13:$AR$162,BN5981,0)+INDEX($AT$13:$BB$162,BO5981,0)+INDEX($BD$13:$BL$162,BP5981,0))/100))),0)</f>
        <v/>
      </c>
      <c r="BT5981">
        <f>IF(AND(5968&lt;$U$9,$W$5),BQ5981*1000000-MIN(BR5981,999)*1000+BS5981-5968/100000,-1000000000-5968)</f>
        <v/>
      </c>
    </row>
    <row r="5982">
      <c r="BN5982">
        <f>IF(5969&lt;$U$9,INT(5969/($U$7*$U$8))+1,1)</f>
        <v/>
      </c>
      <c r="BO5982">
        <f>IF(5969&lt;$U$9,MOD(INT(5969/$U$8),$U$7)+1,1)</f>
        <v/>
      </c>
      <c r="BP5982">
        <f>IF(5969&lt;$U$9,MOD(5969,$U$8)+1,1)</f>
        <v/>
      </c>
      <c r="BQ5982">
        <f>IF(5969&lt;$U$9,SUMPRODUCT(($D$10:$L$10&lt;&gt;"")*(($D$9:$L$9+INT(($S$12:$AA$12+INDEX($AJ$13:$AR$162,BN5982,0)+INDEX($AT$13:$BB$162,BO5982,0)+INDEX($BD$13:$BL$162,BP5982,0))/100))&gt;=$D$10:$L$10)),0)</f>
        <v/>
      </c>
      <c r="BR5982">
        <f>IF(5969&lt;$U$9,SUMPRODUCT(($D$10:$L$10&lt;&gt;"")*(($D$10:$L$10-($D$9:$L$9+INT(($S$12:$AA$12+INDEX($AJ$13:$AR$162,BN5982,0)+INDEX($AT$13:$BB$162,BO5982,0)+INDEX($BD$13:$BL$162,BP5982,0))/100)))&gt;0)*($D$10:$L$10-($D$9:$L$9+INT(($S$12:$AA$12+INDEX($AJ$13:$AR$162,BN5982,0)+INDEX($AT$13:$BB$162,BO5982,0)+INDEX($BD$13:$BL$162,BP5982,0))/100)))),0)</f>
        <v/>
      </c>
      <c r="BS5982">
        <f>IF(5969&lt;$U$9,SUMPRODUCT(($D$9:$L$9+INT(($S$12:$AA$12+INDEX($AJ$13:$AR$162,BN5982,0)+INDEX($AT$13:$BB$162,BO5982,0)+INDEX($BD$13:$BL$162,BP5982,0))/100))),0)</f>
        <v/>
      </c>
      <c r="BT5982">
        <f>IF(AND(5969&lt;$U$9,$W$5),BQ5982*1000000-MIN(BR5982,999)*1000+BS5982-5969/100000,-1000000000-5969)</f>
        <v/>
      </c>
    </row>
    <row r="5983">
      <c r="BN5983">
        <f>IF(5970&lt;$U$9,INT(5970/($U$7*$U$8))+1,1)</f>
        <v/>
      </c>
      <c r="BO5983">
        <f>IF(5970&lt;$U$9,MOD(INT(5970/$U$8),$U$7)+1,1)</f>
        <v/>
      </c>
      <c r="BP5983">
        <f>IF(5970&lt;$U$9,MOD(5970,$U$8)+1,1)</f>
        <v/>
      </c>
      <c r="BQ5983">
        <f>IF(5970&lt;$U$9,SUMPRODUCT(($D$10:$L$10&lt;&gt;"")*(($D$9:$L$9+INT(($S$12:$AA$12+INDEX($AJ$13:$AR$162,BN5983,0)+INDEX($AT$13:$BB$162,BO5983,0)+INDEX($BD$13:$BL$162,BP5983,0))/100))&gt;=$D$10:$L$10)),0)</f>
        <v/>
      </c>
      <c r="BR5983">
        <f>IF(5970&lt;$U$9,SUMPRODUCT(($D$10:$L$10&lt;&gt;"")*(($D$10:$L$10-($D$9:$L$9+INT(($S$12:$AA$12+INDEX($AJ$13:$AR$162,BN5983,0)+INDEX($AT$13:$BB$162,BO5983,0)+INDEX($BD$13:$BL$162,BP5983,0))/100)))&gt;0)*($D$10:$L$10-($D$9:$L$9+INT(($S$12:$AA$12+INDEX($AJ$13:$AR$162,BN5983,0)+INDEX($AT$13:$BB$162,BO5983,0)+INDEX($BD$13:$BL$162,BP5983,0))/100)))),0)</f>
        <v/>
      </c>
      <c r="BS5983">
        <f>IF(5970&lt;$U$9,SUMPRODUCT(($D$9:$L$9+INT(($S$12:$AA$12+INDEX($AJ$13:$AR$162,BN5983,0)+INDEX($AT$13:$BB$162,BO5983,0)+INDEX($BD$13:$BL$162,BP5983,0))/100))),0)</f>
        <v/>
      </c>
      <c r="BT5983">
        <f>IF(AND(5970&lt;$U$9,$W$5),BQ5983*1000000-MIN(BR5983,999)*1000+BS5983-5970/100000,-1000000000-5970)</f>
        <v/>
      </c>
    </row>
    <row r="5984">
      <c r="BN5984">
        <f>IF(5971&lt;$U$9,INT(5971/($U$7*$U$8))+1,1)</f>
        <v/>
      </c>
      <c r="BO5984">
        <f>IF(5971&lt;$U$9,MOD(INT(5971/$U$8),$U$7)+1,1)</f>
        <v/>
      </c>
      <c r="BP5984">
        <f>IF(5971&lt;$U$9,MOD(5971,$U$8)+1,1)</f>
        <v/>
      </c>
      <c r="BQ5984">
        <f>IF(5971&lt;$U$9,SUMPRODUCT(($D$10:$L$10&lt;&gt;"")*(($D$9:$L$9+INT(($S$12:$AA$12+INDEX($AJ$13:$AR$162,BN5984,0)+INDEX($AT$13:$BB$162,BO5984,0)+INDEX($BD$13:$BL$162,BP5984,0))/100))&gt;=$D$10:$L$10)),0)</f>
        <v/>
      </c>
      <c r="BR5984">
        <f>IF(5971&lt;$U$9,SUMPRODUCT(($D$10:$L$10&lt;&gt;"")*(($D$10:$L$10-($D$9:$L$9+INT(($S$12:$AA$12+INDEX($AJ$13:$AR$162,BN5984,0)+INDEX($AT$13:$BB$162,BO5984,0)+INDEX($BD$13:$BL$162,BP5984,0))/100)))&gt;0)*($D$10:$L$10-($D$9:$L$9+INT(($S$12:$AA$12+INDEX($AJ$13:$AR$162,BN5984,0)+INDEX($AT$13:$BB$162,BO5984,0)+INDEX($BD$13:$BL$162,BP5984,0))/100)))),0)</f>
        <v/>
      </c>
      <c r="BS5984">
        <f>IF(5971&lt;$U$9,SUMPRODUCT(($D$9:$L$9+INT(($S$12:$AA$12+INDEX($AJ$13:$AR$162,BN5984,0)+INDEX($AT$13:$BB$162,BO5984,0)+INDEX($BD$13:$BL$162,BP5984,0))/100))),0)</f>
        <v/>
      </c>
      <c r="BT5984">
        <f>IF(AND(5971&lt;$U$9,$W$5),BQ5984*1000000-MIN(BR5984,999)*1000+BS5984-5971/100000,-1000000000-5971)</f>
        <v/>
      </c>
    </row>
    <row r="5985">
      <c r="BN5985">
        <f>IF(5972&lt;$U$9,INT(5972/($U$7*$U$8))+1,1)</f>
        <v/>
      </c>
      <c r="BO5985">
        <f>IF(5972&lt;$U$9,MOD(INT(5972/$U$8),$U$7)+1,1)</f>
        <v/>
      </c>
      <c r="BP5985">
        <f>IF(5972&lt;$U$9,MOD(5972,$U$8)+1,1)</f>
        <v/>
      </c>
      <c r="BQ5985">
        <f>IF(5972&lt;$U$9,SUMPRODUCT(($D$10:$L$10&lt;&gt;"")*(($D$9:$L$9+INT(($S$12:$AA$12+INDEX($AJ$13:$AR$162,BN5985,0)+INDEX($AT$13:$BB$162,BO5985,0)+INDEX($BD$13:$BL$162,BP5985,0))/100))&gt;=$D$10:$L$10)),0)</f>
        <v/>
      </c>
      <c r="BR5985">
        <f>IF(5972&lt;$U$9,SUMPRODUCT(($D$10:$L$10&lt;&gt;"")*(($D$10:$L$10-($D$9:$L$9+INT(($S$12:$AA$12+INDEX($AJ$13:$AR$162,BN5985,0)+INDEX($AT$13:$BB$162,BO5985,0)+INDEX($BD$13:$BL$162,BP5985,0))/100)))&gt;0)*($D$10:$L$10-($D$9:$L$9+INT(($S$12:$AA$12+INDEX($AJ$13:$AR$162,BN5985,0)+INDEX($AT$13:$BB$162,BO5985,0)+INDEX($BD$13:$BL$162,BP5985,0))/100)))),0)</f>
        <v/>
      </c>
      <c r="BS5985">
        <f>IF(5972&lt;$U$9,SUMPRODUCT(($D$9:$L$9+INT(($S$12:$AA$12+INDEX($AJ$13:$AR$162,BN5985,0)+INDEX($AT$13:$BB$162,BO5985,0)+INDEX($BD$13:$BL$162,BP5985,0))/100))),0)</f>
        <v/>
      </c>
      <c r="BT5985">
        <f>IF(AND(5972&lt;$U$9,$W$5),BQ5985*1000000-MIN(BR5985,999)*1000+BS5985-5972/100000,-1000000000-5972)</f>
        <v/>
      </c>
    </row>
    <row r="5986">
      <c r="BN5986">
        <f>IF(5973&lt;$U$9,INT(5973/($U$7*$U$8))+1,1)</f>
        <v/>
      </c>
      <c r="BO5986">
        <f>IF(5973&lt;$U$9,MOD(INT(5973/$U$8),$U$7)+1,1)</f>
        <v/>
      </c>
      <c r="BP5986">
        <f>IF(5973&lt;$U$9,MOD(5973,$U$8)+1,1)</f>
        <v/>
      </c>
      <c r="BQ5986">
        <f>IF(5973&lt;$U$9,SUMPRODUCT(($D$10:$L$10&lt;&gt;"")*(($D$9:$L$9+INT(($S$12:$AA$12+INDEX($AJ$13:$AR$162,BN5986,0)+INDEX($AT$13:$BB$162,BO5986,0)+INDEX($BD$13:$BL$162,BP5986,0))/100))&gt;=$D$10:$L$10)),0)</f>
        <v/>
      </c>
      <c r="BR5986">
        <f>IF(5973&lt;$U$9,SUMPRODUCT(($D$10:$L$10&lt;&gt;"")*(($D$10:$L$10-($D$9:$L$9+INT(($S$12:$AA$12+INDEX($AJ$13:$AR$162,BN5986,0)+INDEX($AT$13:$BB$162,BO5986,0)+INDEX($BD$13:$BL$162,BP5986,0))/100)))&gt;0)*($D$10:$L$10-($D$9:$L$9+INT(($S$12:$AA$12+INDEX($AJ$13:$AR$162,BN5986,0)+INDEX($AT$13:$BB$162,BO5986,0)+INDEX($BD$13:$BL$162,BP5986,0))/100)))),0)</f>
        <v/>
      </c>
      <c r="BS5986">
        <f>IF(5973&lt;$U$9,SUMPRODUCT(($D$9:$L$9+INT(($S$12:$AA$12+INDEX($AJ$13:$AR$162,BN5986,0)+INDEX($AT$13:$BB$162,BO5986,0)+INDEX($BD$13:$BL$162,BP5986,0))/100))),0)</f>
        <v/>
      </c>
      <c r="BT5986">
        <f>IF(AND(5973&lt;$U$9,$W$5),BQ5986*1000000-MIN(BR5986,999)*1000+BS5986-5973/100000,-1000000000-5973)</f>
        <v/>
      </c>
    </row>
    <row r="5987">
      <c r="BN5987">
        <f>IF(5974&lt;$U$9,INT(5974/($U$7*$U$8))+1,1)</f>
        <v/>
      </c>
      <c r="BO5987">
        <f>IF(5974&lt;$U$9,MOD(INT(5974/$U$8),$U$7)+1,1)</f>
        <v/>
      </c>
      <c r="BP5987">
        <f>IF(5974&lt;$U$9,MOD(5974,$U$8)+1,1)</f>
        <v/>
      </c>
      <c r="BQ5987">
        <f>IF(5974&lt;$U$9,SUMPRODUCT(($D$10:$L$10&lt;&gt;"")*(($D$9:$L$9+INT(($S$12:$AA$12+INDEX($AJ$13:$AR$162,BN5987,0)+INDEX($AT$13:$BB$162,BO5987,0)+INDEX($BD$13:$BL$162,BP5987,0))/100))&gt;=$D$10:$L$10)),0)</f>
        <v/>
      </c>
      <c r="BR5987">
        <f>IF(5974&lt;$U$9,SUMPRODUCT(($D$10:$L$10&lt;&gt;"")*(($D$10:$L$10-($D$9:$L$9+INT(($S$12:$AA$12+INDEX($AJ$13:$AR$162,BN5987,0)+INDEX($AT$13:$BB$162,BO5987,0)+INDEX($BD$13:$BL$162,BP5987,0))/100)))&gt;0)*($D$10:$L$10-($D$9:$L$9+INT(($S$12:$AA$12+INDEX($AJ$13:$AR$162,BN5987,0)+INDEX($AT$13:$BB$162,BO5987,0)+INDEX($BD$13:$BL$162,BP5987,0))/100)))),0)</f>
        <v/>
      </c>
      <c r="BS5987">
        <f>IF(5974&lt;$U$9,SUMPRODUCT(($D$9:$L$9+INT(($S$12:$AA$12+INDEX($AJ$13:$AR$162,BN5987,0)+INDEX($AT$13:$BB$162,BO5987,0)+INDEX($BD$13:$BL$162,BP5987,0))/100))),0)</f>
        <v/>
      </c>
      <c r="BT5987">
        <f>IF(AND(5974&lt;$U$9,$W$5),BQ5987*1000000-MIN(BR5987,999)*1000+BS5987-5974/100000,-1000000000-5974)</f>
        <v/>
      </c>
    </row>
    <row r="5988">
      <c r="BN5988">
        <f>IF(5975&lt;$U$9,INT(5975/($U$7*$U$8))+1,1)</f>
        <v/>
      </c>
      <c r="BO5988">
        <f>IF(5975&lt;$U$9,MOD(INT(5975/$U$8),$U$7)+1,1)</f>
        <v/>
      </c>
      <c r="BP5988">
        <f>IF(5975&lt;$U$9,MOD(5975,$U$8)+1,1)</f>
        <v/>
      </c>
      <c r="BQ5988">
        <f>IF(5975&lt;$U$9,SUMPRODUCT(($D$10:$L$10&lt;&gt;"")*(($D$9:$L$9+INT(($S$12:$AA$12+INDEX($AJ$13:$AR$162,BN5988,0)+INDEX($AT$13:$BB$162,BO5988,0)+INDEX($BD$13:$BL$162,BP5988,0))/100))&gt;=$D$10:$L$10)),0)</f>
        <v/>
      </c>
      <c r="BR5988">
        <f>IF(5975&lt;$U$9,SUMPRODUCT(($D$10:$L$10&lt;&gt;"")*(($D$10:$L$10-($D$9:$L$9+INT(($S$12:$AA$12+INDEX($AJ$13:$AR$162,BN5988,0)+INDEX($AT$13:$BB$162,BO5988,0)+INDEX($BD$13:$BL$162,BP5988,0))/100)))&gt;0)*($D$10:$L$10-($D$9:$L$9+INT(($S$12:$AA$12+INDEX($AJ$13:$AR$162,BN5988,0)+INDEX($AT$13:$BB$162,BO5988,0)+INDEX($BD$13:$BL$162,BP5988,0))/100)))),0)</f>
        <v/>
      </c>
      <c r="BS5988">
        <f>IF(5975&lt;$U$9,SUMPRODUCT(($D$9:$L$9+INT(($S$12:$AA$12+INDEX($AJ$13:$AR$162,BN5988,0)+INDEX($AT$13:$BB$162,BO5988,0)+INDEX($BD$13:$BL$162,BP5988,0))/100))),0)</f>
        <v/>
      </c>
      <c r="BT5988">
        <f>IF(AND(5975&lt;$U$9,$W$5),BQ5988*1000000-MIN(BR5988,999)*1000+BS5988-5975/100000,-1000000000-5975)</f>
        <v/>
      </c>
    </row>
    <row r="5989">
      <c r="BN5989">
        <f>IF(5976&lt;$U$9,INT(5976/($U$7*$U$8))+1,1)</f>
        <v/>
      </c>
      <c r="BO5989">
        <f>IF(5976&lt;$U$9,MOD(INT(5976/$U$8),$U$7)+1,1)</f>
        <v/>
      </c>
      <c r="BP5989">
        <f>IF(5976&lt;$U$9,MOD(5976,$U$8)+1,1)</f>
        <v/>
      </c>
      <c r="BQ5989">
        <f>IF(5976&lt;$U$9,SUMPRODUCT(($D$10:$L$10&lt;&gt;"")*(($D$9:$L$9+INT(($S$12:$AA$12+INDEX($AJ$13:$AR$162,BN5989,0)+INDEX($AT$13:$BB$162,BO5989,0)+INDEX($BD$13:$BL$162,BP5989,0))/100))&gt;=$D$10:$L$10)),0)</f>
        <v/>
      </c>
      <c r="BR5989">
        <f>IF(5976&lt;$U$9,SUMPRODUCT(($D$10:$L$10&lt;&gt;"")*(($D$10:$L$10-($D$9:$L$9+INT(($S$12:$AA$12+INDEX($AJ$13:$AR$162,BN5989,0)+INDEX($AT$13:$BB$162,BO5989,0)+INDEX($BD$13:$BL$162,BP5989,0))/100)))&gt;0)*($D$10:$L$10-($D$9:$L$9+INT(($S$12:$AA$12+INDEX($AJ$13:$AR$162,BN5989,0)+INDEX($AT$13:$BB$162,BO5989,0)+INDEX($BD$13:$BL$162,BP5989,0))/100)))),0)</f>
        <v/>
      </c>
      <c r="BS5989">
        <f>IF(5976&lt;$U$9,SUMPRODUCT(($D$9:$L$9+INT(($S$12:$AA$12+INDEX($AJ$13:$AR$162,BN5989,0)+INDEX($AT$13:$BB$162,BO5989,0)+INDEX($BD$13:$BL$162,BP5989,0))/100))),0)</f>
        <v/>
      </c>
      <c r="BT5989">
        <f>IF(AND(5976&lt;$U$9,$W$5),BQ5989*1000000-MIN(BR5989,999)*1000+BS5989-5976/100000,-1000000000-5976)</f>
        <v/>
      </c>
    </row>
    <row r="5990">
      <c r="BN5990">
        <f>IF(5977&lt;$U$9,INT(5977/($U$7*$U$8))+1,1)</f>
        <v/>
      </c>
      <c r="BO5990">
        <f>IF(5977&lt;$U$9,MOD(INT(5977/$U$8),$U$7)+1,1)</f>
        <v/>
      </c>
      <c r="BP5990">
        <f>IF(5977&lt;$U$9,MOD(5977,$U$8)+1,1)</f>
        <v/>
      </c>
      <c r="BQ5990">
        <f>IF(5977&lt;$U$9,SUMPRODUCT(($D$10:$L$10&lt;&gt;"")*(($D$9:$L$9+INT(($S$12:$AA$12+INDEX($AJ$13:$AR$162,BN5990,0)+INDEX($AT$13:$BB$162,BO5990,0)+INDEX($BD$13:$BL$162,BP5990,0))/100))&gt;=$D$10:$L$10)),0)</f>
        <v/>
      </c>
      <c r="BR5990">
        <f>IF(5977&lt;$U$9,SUMPRODUCT(($D$10:$L$10&lt;&gt;"")*(($D$10:$L$10-($D$9:$L$9+INT(($S$12:$AA$12+INDEX($AJ$13:$AR$162,BN5990,0)+INDEX($AT$13:$BB$162,BO5990,0)+INDEX($BD$13:$BL$162,BP5990,0))/100)))&gt;0)*($D$10:$L$10-($D$9:$L$9+INT(($S$12:$AA$12+INDEX($AJ$13:$AR$162,BN5990,0)+INDEX($AT$13:$BB$162,BO5990,0)+INDEX($BD$13:$BL$162,BP5990,0))/100)))),0)</f>
        <v/>
      </c>
      <c r="BS5990">
        <f>IF(5977&lt;$U$9,SUMPRODUCT(($D$9:$L$9+INT(($S$12:$AA$12+INDEX($AJ$13:$AR$162,BN5990,0)+INDEX($AT$13:$BB$162,BO5990,0)+INDEX($BD$13:$BL$162,BP5990,0))/100))),0)</f>
        <v/>
      </c>
      <c r="BT5990">
        <f>IF(AND(5977&lt;$U$9,$W$5),BQ5990*1000000-MIN(BR5990,999)*1000+BS5990-5977/100000,-1000000000-5977)</f>
        <v/>
      </c>
    </row>
    <row r="5991">
      <c r="BN5991">
        <f>IF(5978&lt;$U$9,INT(5978/($U$7*$U$8))+1,1)</f>
        <v/>
      </c>
      <c r="BO5991">
        <f>IF(5978&lt;$U$9,MOD(INT(5978/$U$8),$U$7)+1,1)</f>
        <v/>
      </c>
      <c r="BP5991">
        <f>IF(5978&lt;$U$9,MOD(5978,$U$8)+1,1)</f>
        <v/>
      </c>
      <c r="BQ5991">
        <f>IF(5978&lt;$U$9,SUMPRODUCT(($D$10:$L$10&lt;&gt;"")*(($D$9:$L$9+INT(($S$12:$AA$12+INDEX($AJ$13:$AR$162,BN5991,0)+INDEX($AT$13:$BB$162,BO5991,0)+INDEX($BD$13:$BL$162,BP5991,0))/100))&gt;=$D$10:$L$10)),0)</f>
        <v/>
      </c>
      <c r="BR5991">
        <f>IF(5978&lt;$U$9,SUMPRODUCT(($D$10:$L$10&lt;&gt;"")*(($D$10:$L$10-($D$9:$L$9+INT(($S$12:$AA$12+INDEX($AJ$13:$AR$162,BN5991,0)+INDEX($AT$13:$BB$162,BO5991,0)+INDEX($BD$13:$BL$162,BP5991,0))/100)))&gt;0)*($D$10:$L$10-($D$9:$L$9+INT(($S$12:$AA$12+INDEX($AJ$13:$AR$162,BN5991,0)+INDEX($AT$13:$BB$162,BO5991,0)+INDEX($BD$13:$BL$162,BP5991,0))/100)))),0)</f>
        <v/>
      </c>
      <c r="BS5991">
        <f>IF(5978&lt;$U$9,SUMPRODUCT(($D$9:$L$9+INT(($S$12:$AA$12+INDEX($AJ$13:$AR$162,BN5991,0)+INDEX($AT$13:$BB$162,BO5991,0)+INDEX($BD$13:$BL$162,BP5991,0))/100))),0)</f>
        <v/>
      </c>
      <c r="BT5991">
        <f>IF(AND(5978&lt;$U$9,$W$5),BQ5991*1000000-MIN(BR5991,999)*1000+BS5991-5978/100000,-1000000000-5978)</f>
        <v/>
      </c>
    </row>
    <row r="5992">
      <c r="BN5992">
        <f>IF(5979&lt;$U$9,INT(5979/($U$7*$U$8))+1,1)</f>
        <v/>
      </c>
      <c r="BO5992">
        <f>IF(5979&lt;$U$9,MOD(INT(5979/$U$8),$U$7)+1,1)</f>
        <v/>
      </c>
      <c r="BP5992">
        <f>IF(5979&lt;$U$9,MOD(5979,$U$8)+1,1)</f>
        <v/>
      </c>
      <c r="BQ5992">
        <f>IF(5979&lt;$U$9,SUMPRODUCT(($D$10:$L$10&lt;&gt;"")*(($D$9:$L$9+INT(($S$12:$AA$12+INDEX($AJ$13:$AR$162,BN5992,0)+INDEX($AT$13:$BB$162,BO5992,0)+INDEX($BD$13:$BL$162,BP5992,0))/100))&gt;=$D$10:$L$10)),0)</f>
        <v/>
      </c>
      <c r="BR5992">
        <f>IF(5979&lt;$U$9,SUMPRODUCT(($D$10:$L$10&lt;&gt;"")*(($D$10:$L$10-($D$9:$L$9+INT(($S$12:$AA$12+INDEX($AJ$13:$AR$162,BN5992,0)+INDEX($AT$13:$BB$162,BO5992,0)+INDEX($BD$13:$BL$162,BP5992,0))/100)))&gt;0)*($D$10:$L$10-($D$9:$L$9+INT(($S$12:$AA$12+INDEX($AJ$13:$AR$162,BN5992,0)+INDEX($AT$13:$BB$162,BO5992,0)+INDEX($BD$13:$BL$162,BP5992,0))/100)))),0)</f>
        <v/>
      </c>
      <c r="BS5992">
        <f>IF(5979&lt;$U$9,SUMPRODUCT(($D$9:$L$9+INT(($S$12:$AA$12+INDEX($AJ$13:$AR$162,BN5992,0)+INDEX($AT$13:$BB$162,BO5992,0)+INDEX($BD$13:$BL$162,BP5992,0))/100))),0)</f>
        <v/>
      </c>
      <c r="BT5992">
        <f>IF(AND(5979&lt;$U$9,$W$5),BQ5992*1000000-MIN(BR5992,999)*1000+BS5992-5979/100000,-1000000000-5979)</f>
        <v/>
      </c>
    </row>
    <row r="5993">
      <c r="BN5993">
        <f>IF(5980&lt;$U$9,INT(5980/($U$7*$U$8))+1,1)</f>
        <v/>
      </c>
      <c r="BO5993">
        <f>IF(5980&lt;$U$9,MOD(INT(5980/$U$8),$U$7)+1,1)</f>
        <v/>
      </c>
      <c r="BP5993">
        <f>IF(5980&lt;$U$9,MOD(5980,$U$8)+1,1)</f>
        <v/>
      </c>
      <c r="BQ5993">
        <f>IF(5980&lt;$U$9,SUMPRODUCT(($D$10:$L$10&lt;&gt;"")*(($D$9:$L$9+INT(($S$12:$AA$12+INDEX($AJ$13:$AR$162,BN5993,0)+INDEX($AT$13:$BB$162,BO5993,0)+INDEX($BD$13:$BL$162,BP5993,0))/100))&gt;=$D$10:$L$10)),0)</f>
        <v/>
      </c>
      <c r="BR5993">
        <f>IF(5980&lt;$U$9,SUMPRODUCT(($D$10:$L$10&lt;&gt;"")*(($D$10:$L$10-($D$9:$L$9+INT(($S$12:$AA$12+INDEX($AJ$13:$AR$162,BN5993,0)+INDEX($AT$13:$BB$162,BO5993,0)+INDEX($BD$13:$BL$162,BP5993,0))/100)))&gt;0)*($D$10:$L$10-($D$9:$L$9+INT(($S$12:$AA$12+INDEX($AJ$13:$AR$162,BN5993,0)+INDEX($AT$13:$BB$162,BO5993,0)+INDEX($BD$13:$BL$162,BP5993,0))/100)))),0)</f>
        <v/>
      </c>
      <c r="BS5993">
        <f>IF(5980&lt;$U$9,SUMPRODUCT(($D$9:$L$9+INT(($S$12:$AA$12+INDEX($AJ$13:$AR$162,BN5993,0)+INDEX($AT$13:$BB$162,BO5993,0)+INDEX($BD$13:$BL$162,BP5993,0))/100))),0)</f>
        <v/>
      </c>
      <c r="BT5993">
        <f>IF(AND(5980&lt;$U$9,$W$5),BQ5993*1000000-MIN(BR5993,999)*1000+BS5993-5980/100000,-1000000000-5980)</f>
        <v/>
      </c>
    </row>
    <row r="5994">
      <c r="BN5994">
        <f>IF(5981&lt;$U$9,INT(5981/($U$7*$U$8))+1,1)</f>
        <v/>
      </c>
      <c r="BO5994">
        <f>IF(5981&lt;$U$9,MOD(INT(5981/$U$8),$U$7)+1,1)</f>
        <v/>
      </c>
      <c r="BP5994">
        <f>IF(5981&lt;$U$9,MOD(5981,$U$8)+1,1)</f>
        <v/>
      </c>
      <c r="BQ5994">
        <f>IF(5981&lt;$U$9,SUMPRODUCT(($D$10:$L$10&lt;&gt;"")*(($D$9:$L$9+INT(($S$12:$AA$12+INDEX($AJ$13:$AR$162,BN5994,0)+INDEX($AT$13:$BB$162,BO5994,0)+INDEX($BD$13:$BL$162,BP5994,0))/100))&gt;=$D$10:$L$10)),0)</f>
        <v/>
      </c>
      <c r="BR5994">
        <f>IF(5981&lt;$U$9,SUMPRODUCT(($D$10:$L$10&lt;&gt;"")*(($D$10:$L$10-($D$9:$L$9+INT(($S$12:$AA$12+INDEX($AJ$13:$AR$162,BN5994,0)+INDEX($AT$13:$BB$162,BO5994,0)+INDEX($BD$13:$BL$162,BP5994,0))/100)))&gt;0)*($D$10:$L$10-($D$9:$L$9+INT(($S$12:$AA$12+INDEX($AJ$13:$AR$162,BN5994,0)+INDEX($AT$13:$BB$162,BO5994,0)+INDEX($BD$13:$BL$162,BP5994,0))/100)))),0)</f>
        <v/>
      </c>
      <c r="BS5994">
        <f>IF(5981&lt;$U$9,SUMPRODUCT(($D$9:$L$9+INT(($S$12:$AA$12+INDEX($AJ$13:$AR$162,BN5994,0)+INDEX($AT$13:$BB$162,BO5994,0)+INDEX($BD$13:$BL$162,BP5994,0))/100))),0)</f>
        <v/>
      </c>
      <c r="BT5994">
        <f>IF(AND(5981&lt;$U$9,$W$5),BQ5994*1000000-MIN(BR5994,999)*1000+BS5994-5981/100000,-1000000000-5981)</f>
        <v/>
      </c>
    </row>
    <row r="5995">
      <c r="BN5995">
        <f>IF(5982&lt;$U$9,INT(5982/($U$7*$U$8))+1,1)</f>
        <v/>
      </c>
      <c r="BO5995">
        <f>IF(5982&lt;$U$9,MOD(INT(5982/$U$8),$U$7)+1,1)</f>
        <v/>
      </c>
      <c r="BP5995">
        <f>IF(5982&lt;$U$9,MOD(5982,$U$8)+1,1)</f>
        <v/>
      </c>
      <c r="BQ5995">
        <f>IF(5982&lt;$U$9,SUMPRODUCT(($D$10:$L$10&lt;&gt;"")*(($D$9:$L$9+INT(($S$12:$AA$12+INDEX($AJ$13:$AR$162,BN5995,0)+INDEX($AT$13:$BB$162,BO5995,0)+INDEX($BD$13:$BL$162,BP5995,0))/100))&gt;=$D$10:$L$10)),0)</f>
        <v/>
      </c>
      <c r="BR5995">
        <f>IF(5982&lt;$U$9,SUMPRODUCT(($D$10:$L$10&lt;&gt;"")*(($D$10:$L$10-($D$9:$L$9+INT(($S$12:$AA$12+INDEX($AJ$13:$AR$162,BN5995,0)+INDEX($AT$13:$BB$162,BO5995,0)+INDEX($BD$13:$BL$162,BP5995,0))/100)))&gt;0)*($D$10:$L$10-($D$9:$L$9+INT(($S$12:$AA$12+INDEX($AJ$13:$AR$162,BN5995,0)+INDEX($AT$13:$BB$162,BO5995,0)+INDEX($BD$13:$BL$162,BP5995,0))/100)))),0)</f>
        <v/>
      </c>
      <c r="BS5995">
        <f>IF(5982&lt;$U$9,SUMPRODUCT(($D$9:$L$9+INT(($S$12:$AA$12+INDEX($AJ$13:$AR$162,BN5995,0)+INDEX($AT$13:$BB$162,BO5995,0)+INDEX($BD$13:$BL$162,BP5995,0))/100))),0)</f>
        <v/>
      </c>
      <c r="BT5995">
        <f>IF(AND(5982&lt;$U$9,$W$5),BQ5995*1000000-MIN(BR5995,999)*1000+BS5995-5982/100000,-1000000000-5982)</f>
        <v/>
      </c>
    </row>
    <row r="5996">
      <c r="BN5996">
        <f>IF(5983&lt;$U$9,INT(5983/($U$7*$U$8))+1,1)</f>
        <v/>
      </c>
      <c r="BO5996">
        <f>IF(5983&lt;$U$9,MOD(INT(5983/$U$8),$U$7)+1,1)</f>
        <v/>
      </c>
      <c r="BP5996">
        <f>IF(5983&lt;$U$9,MOD(5983,$U$8)+1,1)</f>
        <v/>
      </c>
      <c r="BQ5996">
        <f>IF(5983&lt;$U$9,SUMPRODUCT(($D$10:$L$10&lt;&gt;"")*(($D$9:$L$9+INT(($S$12:$AA$12+INDEX($AJ$13:$AR$162,BN5996,0)+INDEX($AT$13:$BB$162,BO5996,0)+INDEX($BD$13:$BL$162,BP5996,0))/100))&gt;=$D$10:$L$10)),0)</f>
        <v/>
      </c>
      <c r="BR5996">
        <f>IF(5983&lt;$U$9,SUMPRODUCT(($D$10:$L$10&lt;&gt;"")*(($D$10:$L$10-($D$9:$L$9+INT(($S$12:$AA$12+INDEX($AJ$13:$AR$162,BN5996,0)+INDEX($AT$13:$BB$162,BO5996,0)+INDEX($BD$13:$BL$162,BP5996,0))/100)))&gt;0)*($D$10:$L$10-($D$9:$L$9+INT(($S$12:$AA$12+INDEX($AJ$13:$AR$162,BN5996,0)+INDEX($AT$13:$BB$162,BO5996,0)+INDEX($BD$13:$BL$162,BP5996,0))/100)))),0)</f>
        <v/>
      </c>
      <c r="BS5996">
        <f>IF(5983&lt;$U$9,SUMPRODUCT(($D$9:$L$9+INT(($S$12:$AA$12+INDEX($AJ$13:$AR$162,BN5996,0)+INDEX($AT$13:$BB$162,BO5996,0)+INDEX($BD$13:$BL$162,BP5996,0))/100))),0)</f>
        <v/>
      </c>
      <c r="BT5996">
        <f>IF(AND(5983&lt;$U$9,$W$5),BQ5996*1000000-MIN(BR5996,999)*1000+BS5996-5983/100000,-1000000000-5983)</f>
        <v/>
      </c>
    </row>
    <row r="5997">
      <c r="BN5997">
        <f>IF(5984&lt;$U$9,INT(5984/($U$7*$U$8))+1,1)</f>
        <v/>
      </c>
      <c r="BO5997">
        <f>IF(5984&lt;$U$9,MOD(INT(5984/$U$8),$U$7)+1,1)</f>
        <v/>
      </c>
      <c r="BP5997">
        <f>IF(5984&lt;$U$9,MOD(5984,$U$8)+1,1)</f>
        <v/>
      </c>
      <c r="BQ5997">
        <f>IF(5984&lt;$U$9,SUMPRODUCT(($D$10:$L$10&lt;&gt;"")*(($D$9:$L$9+INT(($S$12:$AA$12+INDEX($AJ$13:$AR$162,BN5997,0)+INDEX($AT$13:$BB$162,BO5997,0)+INDEX($BD$13:$BL$162,BP5997,0))/100))&gt;=$D$10:$L$10)),0)</f>
        <v/>
      </c>
      <c r="BR5997">
        <f>IF(5984&lt;$U$9,SUMPRODUCT(($D$10:$L$10&lt;&gt;"")*(($D$10:$L$10-($D$9:$L$9+INT(($S$12:$AA$12+INDEX($AJ$13:$AR$162,BN5997,0)+INDEX($AT$13:$BB$162,BO5997,0)+INDEX($BD$13:$BL$162,BP5997,0))/100)))&gt;0)*($D$10:$L$10-($D$9:$L$9+INT(($S$12:$AA$12+INDEX($AJ$13:$AR$162,BN5997,0)+INDEX($AT$13:$BB$162,BO5997,0)+INDEX($BD$13:$BL$162,BP5997,0))/100)))),0)</f>
        <v/>
      </c>
      <c r="BS5997">
        <f>IF(5984&lt;$U$9,SUMPRODUCT(($D$9:$L$9+INT(($S$12:$AA$12+INDEX($AJ$13:$AR$162,BN5997,0)+INDEX($AT$13:$BB$162,BO5997,0)+INDEX($BD$13:$BL$162,BP5997,0))/100))),0)</f>
        <v/>
      </c>
      <c r="BT5997">
        <f>IF(AND(5984&lt;$U$9,$W$5),BQ5997*1000000-MIN(BR5997,999)*1000+BS5997-5984/100000,-1000000000-5984)</f>
        <v/>
      </c>
    </row>
    <row r="5998">
      <c r="BN5998">
        <f>IF(5985&lt;$U$9,INT(5985/($U$7*$U$8))+1,1)</f>
        <v/>
      </c>
      <c r="BO5998">
        <f>IF(5985&lt;$U$9,MOD(INT(5985/$U$8),$U$7)+1,1)</f>
        <v/>
      </c>
      <c r="BP5998">
        <f>IF(5985&lt;$U$9,MOD(5985,$U$8)+1,1)</f>
        <v/>
      </c>
      <c r="BQ5998">
        <f>IF(5985&lt;$U$9,SUMPRODUCT(($D$10:$L$10&lt;&gt;"")*(($D$9:$L$9+INT(($S$12:$AA$12+INDEX($AJ$13:$AR$162,BN5998,0)+INDEX($AT$13:$BB$162,BO5998,0)+INDEX($BD$13:$BL$162,BP5998,0))/100))&gt;=$D$10:$L$10)),0)</f>
        <v/>
      </c>
      <c r="BR5998">
        <f>IF(5985&lt;$U$9,SUMPRODUCT(($D$10:$L$10&lt;&gt;"")*(($D$10:$L$10-($D$9:$L$9+INT(($S$12:$AA$12+INDEX($AJ$13:$AR$162,BN5998,0)+INDEX($AT$13:$BB$162,BO5998,0)+INDEX($BD$13:$BL$162,BP5998,0))/100)))&gt;0)*($D$10:$L$10-($D$9:$L$9+INT(($S$12:$AA$12+INDEX($AJ$13:$AR$162,BN5998,0)+INDEX($AT$13:$BB$162,BO5998,0)+INDEX($BD$13:$BL$162,BP5998,0))/100)))),0)</f>
        <v/>
      </c>
      <c r="BS5998">
        <f>IF(5985&lt;$U$9,SUMPRODUCT(($D$9:$L$9+INT(($S$12:$AA$12+INDEX($AJ$13:$AR$162,BN5998,0)+INDEX($AT$13:$BB$162,BO5998,0)+INDEX($BD$13:$BL$162,BP5998,0))/100))),0)</f>
        <v/>
      </c>
      <c r="BT5998">
        <f>IF(AND(5985&lt;$U$9,$W$5),BQ5998*1000000-MIN(BR5998,999)*1000+BS5998-5985/100000,-1000000000-5985)</f>
        <v/>
      </c>
    </row>
    <row r="5999">
      <c r="BN5999">
        <f>IF(5986&lt;$U$9,INT(5986/($U$7*$U$8))+1,1)</f>
        <v/>
      </c>
      <c r="BO5999">
        <f>IF(5986&lt;$U$9,MOD(INT(5986/$U$8),$U$7)+1,1)</f>
        <v/>
      </c>
      <c r="BP5999">
        <f>IF(5986&lt;$U$9,MOD(5986,$U$8)+1,1)</f>
        <v/>
      </c>
      <c r="BQ5999">
        <f>IF(5986&lt;$U$9,SUMPRODUCT(($D$10:$L$10&lt;&gt;"")*(($D$9:$L$9+INT(($S$12:$AA$12+INDEX($AJ$13:$AR$162,BN5999,0)+INDEX($AT$13:$BB$162,BO5999,0)+INDEX($BD$13:$BL$162,BP5999,0))/100))&gt;=$D$10:$L$10)),0)</f>
        <v/>
      </c>
      <c r="BR5999">
        <f>IF(5986&lt;$U$9,SUMPRODUCT(($D$10:$L$10&lt;&gt;"")*(($D$10:$L$10-($D$9:$L$9+INT(($S$12:$AA$12+INDEX($AJ$13:$AR$162,BN5999,0)+INDEX($AT$13:$BB$162,BO5999,0)+INDEX($BD$13:$BL$162,BP5999,0))/100)))&gt;0)*($D$10:$L$10-($D$9:$L$9+INT(($S$12:$AA$12+INDEX($AJ$13:$AR$162,BN5999,0)+INDEX($AT$13:$BB$162,BO5999,0)+INDEX($BD$13:$BL$162,BP5999,0))/100)))),0)</f>
        <v/>
      </c>
      <c r="BS5999">
        <f>IF(5986&lt;$U$9,SUMPRODUCT(($D$9:$L$9+INT(($S$12:$AA$12+INDEX($AJ$13:$AR$162,BN5999,0)+INDEX($AT$13:$BB$162,BO5999,0)+INDEX($BD$13:$BL$162,BP5999,0))/100))),0)</f>
        <v/>
      </c>
      <c r="BT5999">
        <f>IF(AND(5986&lt;$U$9,$W$5),BQ5999*1000000-MIN(BR5999,999)*1000+BS5999-5986/100000,-1000000000-5986)</f>
        <v/>
      </c>
    </row>
    <row r="6000">
      <c r="BN6000">
        <f>IF(5987&lt;$U$9,INT(5987/($U$7*$U$8))+1,1)</f>
        <v/>
      </c>
      <c r="BO6000">
        <f>IF(5987&lt;$U$9,MOD(INT(5987/$U$8),$U$7)+1,1)</f>
        <v/>
      </c>
      <c r="BP6000">
        <f>IF(5987&lt;$U$9,MOD(5987,$U$8)+1,1)</f>
        <v/>
      </c>
      <c r="BQ6000">
        <f>IF(5987&lt;$U$9,SUMPRODUCT(($D$10:$L$10&lt;&gt;"")*(($D$9:$L$9+INT(($S$12:$AA$12+INDEX($AJ$13:$AR$162,BN6000,0)+INDEX($AT$13:$BB$162,BO6000,0)+INDEX($BD$13:$BL$162,BP6000,0))/100))&gt;=$D$10:$L$10)),0)</f>
        <v/>
      </c>
      <c r="BR6000">
        <f>IF(5987&lt;$U$9,SUMPRODUCT(($D$10:$L$10&lt;&gt;"")*(($D$10:$L$10-($D$9:$L$9+INT(($S$12:$AA$12+INDEX($AJ$13:$AR$162,BN6000,0)+INDEX($AT$13:$BB$162,BO6000,0)+INDEX($BD$13:$BL$162,BP6000,0))/100)))&gt;0)*($D$10:$L$10-($D$9:$L$9+INT(($S$12:$AA$12+INDEX($AJ$13:$AR$162,BN6000,0)+INDEX($AT$13:$BB$162,BO6000,0)+INDEX($BD$13:$BL$162,BP6000,0))/100)))),0)</f>
        <v/>
      </c>
      <c r="BS6000">
        <f>IF(5987&lt;$U$9,SUMPRODUCT(($D$9:$L$9+INT(($S$12:$AA$12+INDEX($AJ$13:$AR$162,BN6000,0)+INDEX($AT$13:$BB$162,BO6000,0)+INDEX($BD$13:$BL$162,BP6000,0))/100))),0)</f>
        <v/>
      </c>
      <c r="BT6000">
        <f>IF(AND(5987&lt;$U$9,$W$5),BQ6000*1000000-MIN(BR6000,999)*1000+BS6000-5987/100000,-1000000000-5987)</f>
        <v/>
      </c>
    </row>
    <row r="6001">
      <c r="BN6001">
        <f>IF(5988&lt;$U$9,INT(5988/($U$7*$U$8))+1,1)</f>
        <v/>
      </c>
      <c r="BO6001">
        <f>IF(5988&lt;$U$9,MOD(INT(5988/$U$8),$U$7)+1,1)</f>
        <v/>
      </c>
      <c r="BP6001">
        <f>IF(5988&lt;$U$9,MOD(5988,$U$8)+1,1)</f>
        <v/>
      </c>
      <c r="BQ6001">
        <f>IF(5988&lt;$U$9,SUMPRODUCT(($D$10:$L$10&lt;&gt;"")*(($D$9:$L$9+INT(($S$12:$AA$12+INDEX($AJ$13:$AR$162,BN6001,0)+INDEX($AT$13:$BB$162,BO6001,0)+INDEX($BD$13:$BL$162,BP6001,0))/100))&gt;=$D$10:$L$10)),0)</f>
        <v/>
      </c>
      <c r="BR6001">
        <f>IF(5988&lt;$U$9,SUMPRODUCT(($D$10:$L$10&lt;&gt;"")*(($D$10:$L$10-($D$9:$L$9+INT(($S$12:$AA$12+INDEX($AJ$13:$AR$162,BN6001,0)+INDEX($AT$13:$BB$162,BO6001,0)+INDEX($BD$13:$BL$162,BP6001,0))/100)))&gt;0)*($D$10:$L$10-($D$9:$L$9+INT(($S$12:$AA$12+INDEX($AJ$13:$AR$162,BN6001,0)+INDEX($AT$13:$BB$162,BO6001,0)+INDEX($BD$13:$BL$162,BP6001,0))/100)))),0)</f>
        <v/>
      </c>
      <c r="BS6001">
        <f>IF(5988&lt;$U$9,SUMPRODUCT(($D$9:$L$9+INT(($S$12:$AA$12+INDEX($AJ$13:$AR$162,BN6001,0)+INDEX($AT$13:$BB$162,BO6001,0)+INDEX($BD$13:$BL$162,BP6001,0))/100))),0)</f>
        <v/>
      </c>
      <c r="BT6001">
        <f>IF(AND(5988&lt;$U$9,$W$5),BQ6001*1000000-MIN(BR6001,999)*1000+BS6001-5988/100000,-1000000000-5988)</f>
        <v/>
      </c>
    </row>
    <row r="6002">
      <c r="BN6002">
        <f>IF(5989&lt;$U$9,INT(5989/($U$7*$U$8))+1,1)</f>
        <v/>
      </c>
      <c r="BO6002">
        <f>IF(5989&lt;$U$9,MOD(INT(5989/$U$8),$U$7)+1,1)</f>
        <v/>
      </c>
      <c r="BP6002">
        <f>IF(5989&lt;$U$9,MOD(5989,$U$8)+1,1)</f>
        <v/>
      </c>
      <c r="BQ6002">
        <f>IF(5989&lt;$U$9,SUMPRODUCT(($D$10:$L$10&lt;&gt;"")*(($D$9:$L$9+INT(($S$12:$AA$12+INDEX($AJ$13:$AR$162,BN6002,0)+INDEX($AT$13:$BB$162,BO6002,0)+INDEX($BD$13:$BL$162,BP6002,0))/100))&gt;=$D$10:$L$10)),0)</f>
        <v/>
      </c>
      <c r="BR6002">
        <f>IF(5989&lt;$U$9,SUMPRODUCT(($D$10:$L$10&lt;&gt;"")*(($D$10:$L$10-($D$9:$L$9+INT(($S$12:$AA$12+INDEX($AJ$13:$AR$162,BN6002,0)+INDEX($AT$13:$BB$162,BO6002,0)+INDEX($BD$13:$BL$162,BP6002,0))/100)))&gt;0)*($D$10:$L$10-($D$9:$L$9+INT(($S$12:$AA$12+INDEX($AJ$13:$AR$162,BN6002,0)+INDEX($AT$13:$BB$162,BO6002,0)+INDEX($BD$13:$BL$162,BP6002,0))/100)))),0)</f>
        <v/>
      </c>
      <c r="BS6002">
        <f>IF(5989&lt;$U$9,SUMPRODUCT(($D$9:$L$9+INT(($S$12:$AA$12+INDEX($AJ$13:$AR$162,BN6002,0)+INDEX($AT$13:$BB$162,BO6002,0)+INDEX($BD$13:$BL$162,BP6002,0))/100))),0)</f>
        <v/>
      </c>
      <c r="BT6002">
        <f>IF(AND(5989&lt;$U$9,$W$5),BQ6002*1000000-MIN(BR6002,999)*1000+BS6002-5989/100000,-1000000000-5989)</f>
        <v/>
      </c>
    </row>
    <row r="6003">
      <c r="BN6003">
        <f>IF(5990&lt;$U$9,INT(5990/($U$7*$U$8))+1,1)</f>
        <v/>
      </c>
      <c r="BO6003">
        <f>IF(5990&lt;$U$9,MOD(INT(5990/$U$8),$U$7)+1,1)</f>
        <v/>
      </c>
      <c r="BP6003">
        <f>IF(5990&lt;$U$9,MOD(5990,$U$8)+1,1)</f>
        <v/>
      </c>
      <c r="BQ6003">
        <f>IF(5990&lt;$U$9,SUMPRODUCT(($D$10:$L$10&lt;&gt;"")*(($D$9:$L$9+INT(($S$12:$AA$12+INDEX($AJ$13:$AR$162,BN6003,0)+INDEX($AT$13:$BB$162,BO6003,0)+INDEX($BD$13:$BL$162,BP6003,0))/100))&gt;=$D$10:$L$10)),0)</f>
        <v/>
      </c>
      <c r="BR6003">
        <f>IF(5990&lt;$U$9,SUMPRODUCT(($D$10:$L$10&lt;&gt;"")*(($D$10:$L$10-($D$9:$L$9+INT(($S$12:$AA$12+INDEX($AJ$13:$AR$162,BN6003,0)+INDEX($AT$13:$BB$162,BO6003,0)+INDEX($BD$13:$BL$162,BP6003,0))/100)))&gt;0)*($D$10:$L$10-($D$9:$L$9+INT(($S$12:$AA$12+INDEX($AJ$13:$AR$162,BN6003,0)+INDEX($AT$13:$BB$162,BO6003,0)+INDEX($BD$13:$BL$162,BP6003,0))/100)))),0)</f>
        <v/>
      </c>
      <c r="BS6003">
        <f>IF(5990&lt;$U$9,SUMPRODUCT(($D$9:$L$9+INT(($S$12:$AA$12+INDEX($AJ$13:$AR$162,BN6003,0)+INDEX($AT$13:$BB$162,BO6003,0)+INDEX($BD$13:$BL$162,BP6003,0))/100))),0)</f>
        <v/>
      </c>
      <c r="BT6003">
        <f>IF(AND(5990&lt;$U$9,$W$5),BQ6003*1000000-MIN(BR6003,999)*1000+BS6003-5990/100000,-1000000000-5990)</f>
        <v/>
      </c>
    </row>
    <row r="6004">
      <c r="BN6004">
        <f>IF(5991&lt;$U$9,INT(5991/($U$7*$U$8))+1,1)</f>
        <v/>
      </c>
      <c r="BO6004">
        <f>IF(5991&lt;$U$9,MOD(INT(5991/$U$8),$U$7)+1,1)</f>
        <v/>
      </c>
      <c r="BP6004">
        <f>IF(5991&lt;$U$9,MOD(5991,$U$8)+1,1)</f>
        <v/>
      </c>
      <c r="BQ6004">
        <f>IF(5991&lt;$U$9,SUMPRODUCT(($D$10:$L$10&lt;&gt;"")*(($D$9:$L$9+INT(($S$12:$AA$12+INDEX($AJ$13:$AR$162,BN6004,0)+INDEX($AT$13:$BB$162,BO6004,0)+INDEX($BD$13:$BL$162,BP6004,0))/100))&gt;=$D$10:$L$10)),0)</f>
        <v/>
      </c>
      <c r="BR6004">
        <f>IF(5991&lt;$U$9,SUMPRODUCT(($D$10:$L$10&lt;&gt;"")*(($D$10:$L$10-($D$9:$L$9+INT(($S$12:$AA$12+INDEX($AJ$13:$AR$162,BN6004,0)+INDEX($AT$13:$BB$162,BO6004,0)+INDEX($BD$13:$BL$162,BP6004,0))/100)))&gt;0)*($D$10:$L$10-($D$9:$L$9+INT(($S$12:$AA$12+INDEX($AJ$13:$AR$162,BN6004,0)+INDEX($AT$13:$BB$162,BO6004,0)+INDEX($BD$13:$BL$162,BP6004,0))/100)))),0)</f>
        <v/>
      </c>
      <c r="BS6004">
        <f>IF(5991&lt;$U$9,SUMPRODUCT(($D$9:$L$9+INT(($S$12:$AA$12+INDEX($AJ$13:$AR$162,BN6004,0)+INDEX($AT$13:$BB$162,BO6004,0)+INDEX($BD$13:$BL$162,BP6004,0))/100))),0)</f>
        <v/>
      </c>
      <c r="BT6004">
        <f>IF(AND(5991&lt;$U$9,$W$5),BQ6004*1000000-MIN(BR6004,999)*1000+BS6004-5991/100000,-1000000000-5991)</f>
        <v/>
      </c>
    </row>
    <row r="6005">
      <c r="BN6005">
        <f>IF(5992&lt;$U$9,INT(5992/($U$7*$U$8))+1,1)</f>
        <v/>
      </c>
      <c r="BO6005">
        <f>IF(5992&lt;$U$9,MOD(INT(5992/$U$8),$U$7)+1,1)</f>
        <v/>
      </c>
      <c r="BP6005">
        <f>IF(5992&lt;$U$9,MOD(5992,$U$8)+1,1)</f>
        <v/>
      </c>
      <c r="BQ6005">
        <f>IF(5992&lt;$U$9,SUMPRODUCT(($D$10:$L$10&lt;&gt;"")*(($D$9:$L$9+INT(($S$12:$AA$12+INDEX($AJ$13:$AR$162,BN6005,0)+INDEX($AT$13:$BB$162,BO6005,0)+INDEX($BD$13:$BL$162,BP6005,0))/100))&gt;=$D$10:$L$10)),0)</f>
        <v/>
      </c>
      <c r="BR6005">
        <f>IF(5992&lt;$U$9,SUMPRODUCT(($D$10:$L$10&lt;&gt;"")*(($D$10:$L$10-($D$9:$L$9+INT(($S$12:$AA$12+INDEX($AJ$13:$AR$162,BN6005,0)+INDEX($AT$13:$BB$162,BO6005,0)+INDEX($BD$13:$BL$162,BP6005,0))/100)))&gt;0)*($D$10:$L$10-($D$9:$L$9+INT(($S$12:$AA$12+INDEX($AJ$13:$AR$162,BN6005,0)+INDEX($AT$13:$BB$162,BO6005,0)+INDEX($BD$13:$BL$162,BP6005,0))/100)))),0)</f>
        <v/>
      </c>
      <c r="BS6005">
        <f>IF(5992&lt;$U$9,SUMPRODUCT(($D$9:$L$9+INT(($S$12:$AA$12+INDEX($AJ$13:$AR$162,BN6005,0)+INDEX($AT$13:$BB$162,BO6005,0)+INDEX($BD$13:$BL$162,BP6005,0))/100))),0)</f>
        <v/>
      </c>
      <c r="BT6005">
        <f>IF(AND(5992&lt;$U$9,$W$5),BQ6005*1000000-MIN(BR6005,999)*1000+BS6005-5992/100000,-1000000000-5992)</f>
        <v/>
      </c>
    </row>
    <row r="6006">
      <c r="BN6006">
        <f>IF(5993&lt;$U$9,INT(5993/($U$7*$U$8))+1,1)</f>
        <v/>
      </c>
      <c r="BO6006">
        <f>IF(5993&lt;$U$9,MOD(INT(5993/$U$8),$U$7)+1,1)</f>
        <v/>
      </c>
      <c r="BP6006">
        <f>IF(5993&lt;$U$9,MOD(5993,$U$8)+1,1)</f>
        <v/>
      </c>
      <c r="BQ6006">
        <f>IF(5993&lt;$U$9,SUMPRODUCT(($D$10:$L$10&lt;&gt;"")*(($D$9:$L$9+INT(($S$12:$AA$12+INDEX($AJ$13:$AR$162,BN6006,0)+INDEX($AT$13:$BB$162,BO6006,0)+INDEX($BD$13:$BL$162,BP6006,0))/100))&gt;=$D$10:$L$10)),0)</f>
        <v/>
      </c>
      <c r="BR6006">
        <f>IF(5993&lt;$U$9,SUMPRODUCT(($D$10:$L$10&lt;&gt;"")*(($D$10:$L$10-($D$9:$L$9+INT(($S$12:$AA$12+INDEX($AJ$13:$AR$162,BN6006,0)+INDEX($AT$13:$BB$162,BO6006,0)+INDEX($BD$13:$BL$162,BP6006,0))/100)))&gt;0)*($D$10:$L$10-($D$9:$L$9+INT(($S$12:$AA$12+INDEX($AJ$13:$AR$162,BN6006,0)+INDEX($AT$13:$BB$162,BO6006,0)+INDEX($BD$13:$BL$162,BP6006,0))/100)))),0)</f>
        <v/>
      </c>
      <c r="BS6006">
        <f>IF(5993&lt;$U$9,SUMPRODUCT(($D$9:$L$9+INT(($S$12:$AA$12+INDEX($AJ$13:$AR$162,BN6006,0)+INDEX($AT$13:$BB$162,BO6006,0)+INDEX($BD$13:$BL$162,BP6006,0))/100))),0)</f>
        <v/>
      </c>
      <c r="BT6006">
        <f>IF(AND(5993&lt;$U$9,$W$5),BQ6006*1000000-MIN(BR6006,999)*1000+BS6006-5993/100000,-1000000000-5993)</f>
        <v/>
      </c>
    </row>
    <row r="6007">
      <c r="BN6007">
        <f>IF(5994&lt;$U$9,INT(5994/($U$7*$U$8))+1,1)</f>
        <v/>
      </c>
      <c r="BO6007">
        <f>IF(5994&lt;$U$9,MOD(INT(5994/$U$8),$U$7)+1,1)</f>
        <v/>
      </c>
      <c r="BP6007">
        <f>IF(5994&lt;$U$9,MOD(5994,$U$8)+1,1)</f>
        <v/>
      </c>
      <c r="BQ6007">
        <f>IF(5994&lt;$U$9,SUMPRODUCT(($D$10:$L$10&lt;&gt;"")*(($D$9:$L$9+INT(($S$12:$AA$12+INDEX($AJ$13:$AR$162,BN6007,0)+INDEX($AT$13:$BB$162,BO6007,0)+INDEX($BD$13:$BL$162,BP6007,0))/100))&gt;=$D$10:$L$10)),0)</f>
        <v/>
      </c>
      <c r="BR6007">
        <f>IF(5994&lt;$U$9,SUMPRODUCT(($D$10:$L$10&lt;&gt;"")*(($D$10:$L$10-($D$9:$L$9+INT(($S$12:$AA$12+INDEX($AJ$13:$AR$162,BN6007,0)+INDEX($AT$13:$BB$162,BO6007,0)+INDEX($BD$13:$BL$162,BP6007,0))/100)))&gt;0)*($D$10:$L$10-($D$9:$L$9+INT(($S$12:$AA$12+INDEX($AJ$13:$AR$162,BN6007,0)+INDEX($AT$13:$BB$162,BO6007,0)+INDEX($BD$13:$BL$162,BP6007,0))/100)))),0)</f>
        <v/>
      </c>
      <c r="BS6007">
        <f>IF(5994&lt;$U$9,SUMPRODUCT(($D$9:$L$9+INT(($S$12:$AA$12+INDEX($AJ$13:$AR$162,BN6007,0)+INDEX($AT$13:$BB$162,BO6007,0)+INDEX($BD$13:$BL$162,BP6007,0))/100))),0)</f>
        <v/>
      </c>
      <c r="BT6007">
        <f>IF(AND(5994&lt;$U$9,$W$5),BQ6007*1000000-MIN(BR6007,999)*1000+BS6007-5994/100000,-1000000000-5994)</f>
        <v/>
      </c>
    </row>
    <row r="6008">
      <c r="BN6008">
        <f>IF(5995&lt;$U$9,INT(5995/($U$7*$U$8))+1,1)</f>
        <v/>
      </c>
      <c r="BO6008">
        <f>IF(5995&lt;$U$9,MOD(INT(5995/$U$8),$U$7)+1,1)</f>
        <v/>
      </c>
      <c r="BP6008">
        <f>IF(5995&lt;$U$9,MOD(5995,$U$8)+1,1)</f>
        <v/>
      </c>
      <c r="BQ6008">
        <f>IF(5995&lt;$U$9,SUMPRODUCT(($D$10:$L$10&lt;&gt;"")*(($D$9:$L$9+INT(($S$12:$AA$12+INDEX($AJ$13:$AR$162,BN6008,0)+INDEX($AT$13:$BB$162,BO6008,0)+INDEX($BD$13:$BL$162,BP6008,0))/100))&gt;=$D$10:$L$10)),0)</f>
        <v/>
      </c>
      <c r="BR6008">
        <f>IF(5995&lt;$U$9,SUMPRODUCT(($D$10:$L$10&lt;&gt;"")*(($D$10:$L$10-($D$9:$L$9+INT(($S$12:$AA$12+INDEX($AJ$13:$AR$162,BN6008,0)+INDEX($AT$13:$BB$162,BO6008,0)+INDEX($BD$13:$BL$162,BP6008,0))/100)))&gt;0)*($D$10:$L$10-($D$9:$L$9+INT(($S$12:$AA$12+INDEX($AJ$13:$AR$162,BN6008,0)+INDEX($AT$13:$BB$162,BO6008,0)+INDEX($BD$13:$BL$162,BP6008,0))/100)))),0)</f>
        <v/>
      </c>
      <c r="BS6008">
        <f>IF(5995&lt;$U$9,SUMPRODUCT(($D$9:$L$9+INT(($S$12:$AA$12+INDEX($AJ$13:$AR$162,BN6008,0)+INDEX($AT$13:$BB$162,BO6008,0)+INDEX($BD$13:$BL$162,BP6008,0))/100))),0)</f>
        <v/>
      </c>
      <c r="BT6008">
        <f>IF(AND(5995&lt;$U$9,$W$5),BQ6008*1000000-MIN(BR6008,999)*1000+BS6008-5995/100000,-1000000000-5995)</f>
        <v/>
      </c>
    </row>
    <row r="6009">
      <c r="BN6009">
        <f>IF(5996&lt;$U$9,INT(5996/($U$7*$U$8))+1,1)</f>
        <v/>
      </c>
      <c r="BO6009">
        <f>IF(5996&lt;$U$9,MOD(INT(5996/$U$8),$U$7)+1,1)</f>
        <v/>
      </c>
      <c r="BP6009">
        <f>IF(5996&lt;$U$9,MOD(5996,$U$8)+1,1)</f>
        <v/>
      </c>
      <c r="BQ6009">
        <f>IF(5996&lt;$U$9,SUMPRODUCT(($D$10:$L$10&lt;&gt;"")*(($D$9:$L$9+INT(($S$12:$AA$12+INDEX($AJ$13:$AR$162,BN6009,0)+INDEX($AT$13:$BB$162,BO6009,0)+INDEX($BD$13:$BL$162,BP6009,0))/100))&gt;=$D$10:$L$10)),0)</f>
        <v/>
      </c>
      <c r="BR6009">
        <f>IF(5996&lt;$U$9,SUMPRODUCT(($D$10:$L$10&lt;&gt;"")*(($D$10:$L$10-($D$9:$L$9+INT(($S$12:$AA$12+INDEX($AJ$13:$AR$162,BN6009,0)+INDEX($AT$13:$BB$162,BO6009,0)+INDEX($BD$13:$BL$162,BP6009,0))/100)))&gt;0)*($D$10:$L$10-($D$9:$L$9+INT(($S$12:$AA$12+INDEX($AJ$13:$AR$162,BN6009,0)+INDEX($AT$13:$BB$162,BO6009,0)+INDEX($BD$13:$BL$162,BP6009,0))/100)))),0)</f>
        <v/>
      </c>
      <c r="BS6009">
        <f>IF(5996&lt;$U$9,SUMPRODUCT(($D$9:$L$9+INT(($S$12:$AA$12+INDEX($AJ$13:$AR$162,BN6009,0)+INDEX($AT$13:$BB$162,BO6009,0)+INDEX($BD$13:$BL$162,BP6009,0))/100))),0)</f>
        <v/>
      </c>
      <c r="BT6009">
        <f>IF(AND(5996&lt;$U$9,$W$5),BQ6009*1000000-MIN(BR6009,999)*1000+BS6009-5996/100000,-1000000000-5996)</f>
        <v/>
      </c>
    </row>
    <row r="6010">
      <c r="BN6010">
        <f>IF(5997&lt;$U$9,INT(5997/($U$7*$U$8))+1,1)</f>
        <v/>
      </c>
      <c r="BO6010">
        <f>IF(5997&lt;$U$9,MOD(INT(5997/$U$8),$U$7)+1,1)</f>
        <v/>
      </c>
      <c r="BP6010">
        <f>IF(5997&lt;$U$9,MOD(5997,$U$8)+1,1)</f>
        <v/>
      </c>
      <c r="BQ6010">
        <f>IF(5997&lt;$U$9,SUMPRODUCT(($D$10:$L$10&lt;&gt;"")*(($D$9:$L$9+INT(($S$12:$AA$12+INDEX($AJ$13:$AR$162,BN6010,0)+INDEX($AT$13:$BB$162,BO6010,0)+INDEX($BD$13:$BL$162,BP6010,0))/100))&gt;=$D$10:$L$10)),0)</f>
        <v/>
      </c>
      <c r="BR6010">
        <f>IF(5997&lt;$U$9,SUMPRODUCT(($D$10:$L$10&lt;&gt;"")*(($D$10:$L$10-($D$9:$L$9+INT(($S$12:$AA$12+INDEX($AJ$13:$AR$162,BN6010,0)+INDEX($AT$13:$BB$162,BO6010,0)+INDEX($BD$13:$BL$162,BP6010,0))/100)))&gt;0)*($D$10:$L$10-($D$9:$L$9+INT(($S$12:$AA$12+INDEX($AJ$13:$AR$162,BN6010,0)+INDEX($AT$13:$BB$162,BO6010,0)+INDEX($BD$13:$BL$162,BP6010,0))/100)))),0)</f>
        <v/>
      </c>
      <c r="BS6010">
        <f>IF(5997&lt;$U$9,SUMPRODUCT(($D$9:$L$9+INT(($S$12:$AA$12+INDEX($AJ$13:$AR$162,BN6010,0)+INDEX($AT$13:$BB$162,BO6010,0)+INDEX($BD$13:$BL$162,BP6010,0))/100))),0)</f>
        <v/>
      </c>
      <c r="BT6010">
        <f>IF(AND(5997&lt;$U$9,$W$5),BQ6010*1000000-MIN(BR6010,999)*1000+BS6010-5997/100000,-1000000000-5997)</f>
        <v/>
      </c>
    </row>
    <row r="6011">
      <c r="BN6011">
        <f>IF(5998&lt;$U$9,INT(5998/($U$7*$U$8))+1,1)</f>
        <v/>
      </c>
      <c r="BO6011">
        <f>IF(5998&lt;$U$9,MOD(INT(5998/$U$8),$U$7)+1,1)</f>
        <v/>
      </c>
      <c r="BP6011">
        <f>IF(5998&lt;$U$9,MOD(5998,$U$8)+1,1)</f>
        <v/>
      </c>
      <c r="BQ6011">
        <f>IF(5998&lt;$U$9,SUMPRODUCT(($D$10:$L$10&lt;&gt;"")*(($D$9:$L$9+INT(($S$12:$AA$12+INDEX($AJ$13:$AR$162,BN6011,0)+INDEX($AT$13:$BB$162,BO6011,0)+INDEX($BD$13:$BL$162,BP6011,0))/100))&gt;=$D$10:$L$10)),0)</f>
        <v/>
      </c>
      <c r="BR6011">
        <f>IF(5998&lt;$U$9,SUMPRODUCT(($D$10:$L$10&lt;&gt;"")*(($D$10:$L$10-($D$9:$L$9+INT(($S$12:$AA$12+INDEX($AJ$13:$AR$162,BN6011,0)+INDEX($AT$13:$BB$162,BO6011,0)+INDEX($BD$13:$BL$162,BP6011,0))/100)))&gt;0)*($D$10:$L$10-($D$9:$L$9+INT(($S$12:$AA$12+INDEX($AJ$13:$AR$162,BN6011,0)+INDEX($AT$13:$BB$162,BO6011,0)+INDEX($BD$13:$BL$162,BP6011,0))/100)))),0)</f>
        <v/>
      </c>
      <c r="BS6011">
        <f>IF(5998&lt;$U$9,SUMPRODUCT(($D$9:$L$9+INT(($S$12:$AA$12+INDEX($AJ$13:$AR$162,BN6011,0)+INDEX($AT$13:$BB$162,BO6011,0)+INDEX($BD$13:$BL$162,BP6011,0))/100))),0)</f>
        <v/>
      </c>
      <c r="BT6011">
        <f>IF(AND(5998&lt;$U$9,$W$5),BQ6011*1000000-MIN(BR6011,999)*1000+BS6011-5998/100000,-1000000000-5998)</f>
        <v/>
      </c>
    </row>
    <row r="6012">
      <c r="BN6012">
        <f>IF(5999&lt;$U$9,INT(5999/($U$7*$U$8))+1,1)</f>
        <v/>
      </c>
      <c r="BO6012">
        <f>IF(5999&lt;$U$9,MOD(INT(5999/$U$8),$U$7)+1,1)</f>
        <v/>
      </c>
      <c r="BP6012">
        <f>IF(5999&lt;$U$9,MOD(5999,$U$8)+1,1)</f>
        <v/>
      </c>
      <c r="BQ6012">
        <f>IF(5999&lt;$U$9,SUMPRODUCT(($D$10:$L$10&lt;&gt;"")*(($D$9:$L$9+INT(($S$12:$AA$12+INDEX($AJ$13:$AR$162,BN6012,0)+INDEX($AT$13:$BB$162,BO6012,0)+INDEX($BD$13:$BL$162,BP6012,0))/100))&gt;=$D$10:$L$10)),0)</f>
        <v/>
      </c>
      <c r="BR6012">
        <f>IF(5999&lt;$U$9,SUMPRODUCT(($D$10:$L$10&lt;&gt;"")*(($D$10:$L$10-($D$9:$L$9+INT(($S$12:$AA$12+INDEX($AJ$13:$AR$162,BN6012,0)+INDEX($AT$13:$BB$162,BO6012,0)+INDEX($BD$13:$BL$162,BP6012,0))/100)))&gt;0)*($D$10:$L$10-($D$9:$L$9+INT(($S$12:$AA$12+INDEX($AJ$13:$AR$162,BN6012,0)+INDEX($AT$13:$BB$162,BO6012,0)+INDEX($BD$13:$BL$162,BP6012,0))/100)))),0)</f>
        <v/>
      </c>
      <c r="BS6012">
        <f>IF(5999&lt;$U$9,SUMPRODUCT(($D$9:$L$9+INT(($S$12:$AA$12+INDEX($AJ$13:$AR$162,BN6012,0)+INDEX($AT$13:$BB$162,BO6012,0)+INDEX($BD$13:$BL$162,BP6012,0))/100))),0)</f>
        <v/>
      </c>
      <c r="BT6012">
        <f>IF(AND(5999&lt;$U$9,$W$5),BQ6012*1000000-MIN(BR6012,999)*1000+BS6012-5999/100000,-1000000000-5999)</f>
        <v/>
      </c>
    </row>
  </sheetData>
  <mergeCells count="30">
    <mergeCell ref="F4:G4"/>
    <mergeCell ref="F29:M29"/>
    <mergeCell ref="A17:M17"/>
    <mergeCell ref="C14:D14"/>
    <mergeCell ref="D42:M42"/>
    <mergeCell ref="B39:C39"/>
    <mergeCell ref="F30:M30"/>
    <mergeCell ref="A34:M34"/>
    <mergeCell ref="D44:M44"/>
    <mergeCell ref="A15:M15"/>
    <mergeCell ref="F32:M32"/>
    <mergeCell ref="F26:M26"/>
    <mergeCell ref="A1:M1"/>
    <mergeCell ref="D46:M46"/>
    <mergeCell ref="K4:M4"/>
    <mergeCell ref="D45:M45"/>
    <mergeCell ref="F28:M28"/>
    <mergeCell ref="I14:J14"/>
    <mergeCell ref="A25:M25"/>
    <mergeCell ref="F31:M31"/>
    <mergeCell ref="K14:L14"/>
    <mergeCell ref="F27:M27"/>
    <mergeCell ref="A41:M41"/>
    <mergeCell ref="I4:J4"/>
    <mergeCell ref="D48:M48"/>
    <mergeCell ref="A50:M50"/>
    <mergeCell ref="D47:M47"/>
    <mergeCell ref="D43:M43"/>
    <mergeCell ref="A2:M2"/>
    <mergeCell ref="B4:C4"/>
  </mergeCells>
  <conditionalFormatting sqref="D53:L151">
    <cfRule type="expression" priority="1" dxfId="0">
      <formula>AND(ISNUMBER(D53),ISNUMBER(D52),D53&gt;D52)</formula>
    </cfRule>
  </conditionalFormatting>
  <conditionalFormatting sqref="A52:C151">
    <cfRule type="expression" priority="2" dxfId="1">
      <formula>LEFT($M52,1)="★"</formula>
    </cfRule>
  </conditionalFormatting>
  <conditionalFormatting sqref="M52:M151">
    <cfRule type="expression" priority="3" dxfId="1">
      <formula>LEFT($M52,1)="★"</formula>
    </cfRule>
  </conditionalFormatting>
  <conditionalFormatting sqref="D39:L39">
    <cfRule type="expression" priority="4" dxfId="2">
      <formula>LEFT(D39,1)="✓"</formula>
    </cfRule>
    <cfRule type="expression" priority="5" dxfId="3">
      <formula>LEFT(D39,1)="✗"</formula>
    </cfRule>
  </conditionalFormatting>
  <conditionalFormatting sqref="D38:L38">
    <cfRule type="cellIs" priority="6" operator="lessThan" dxfId="4">
      <formula>0</formula>
    </cfRule>
  </conditionalFormatting>
  <conditionalFormatting sqref="D19:L19">
    <cfRule type="expression" priority="7" dxfId="3">
      <formula>AND(D$10&lt;&gt;"",ISNUMBER(D19),D19&lt;D$10)</formula>
    </cfRule>
  </conditionalFormatting>
  <conditionalFormatting sqref="D20:L20">
    <cfRule type="expression" priority="8" dxfId="3">
      <formula>AND(D$10&lt;&gt;"",ISNUMBER(D20),D20&lt;D$10)</formula>
    </cfRule>
  </conditionalFormatting>
  <conditionalFormatting sqref="D21:L21">
    <cfRule type="expression" priority="9" dxfId="3">
      <formula>AND(D$10&lt;&gt;"",ISNUMBER(D21),D21&lt;D$10)</formula>
    </cfRule>
  </conditionalFormatting>
  <conditionalFormatting sqref="D22:L22">
    <cfRule type="expression" priority="10" dxfId="3">
      <formula>AND(D$10&lt;&gt;"",ISNUMBER(D22),D22&lt;D$10)</formula>
    </cfRule>
  </conditionalFormatting>
  <conditionalFormatting sqref="D23:L23">
    <cfRule type="expression" priority="11" dxfId="3">
      <formula>AND(D$10&lt;&gt;"",ISNUMBER(D23),D23&lt;D$10)</formula>
    </cfRule>
  </conditionalFormatting>
  <conditionalFormatting sqref="B19:B23">
    <cfRule type="expression" priority="12" dxfId="0">
      <formula>AND($BZ19,INDEX($BQ$13:$BQ$6012,$BV19)=$W$6)</formula>
    </cfRule>
  </conditionalFormatting>
  <dataValidations count="5">
    <dataValidation sqref="B4" showDropDown="0" showInputMessage="0" showErrorMessage="0" allowBlank="1" type="list">
      <formula1>'角色成长率'!$C$3:$C$152</formula1>
    </dataValidation>
    <dataValidation sqref="C9:C10 C44:C48" showDropDown="0" showInputMessage="0" showErrorMessage="0" allowBlank="1" type="list">
      <formula1>'职业'!$C$3:$C$152</formula1>
    </dataValidation>
    <dataValidation sqref="K14" showDropDown="0" showInputMessage="0" showErrorMessage="0" allowBlank="0" type="list">
      <formula1>"推荐1,推荐2,推荐3,推荐4,推荐5,手动"</formula1>
    </dataValidation>
    <dataValidation sqref="B9:B10 B44:B48 E14:H14" showDropDown="0" showInputMessage="0" showErrorMessage="0" allowBlank="1" type="whole" operator="between">
      <formula1>1</formula1>
      <formula2>200</formula2>
    </dataValidation>
    <dataValidation sqref="B14" showDropDown="0" showInputMessage="0" showErrorMessage="0" allowBlank="0" type="whole" operator="between">
      <formula1>0</formula1>
      <formula2>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62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4" customWidth="1" min="4" max="4"/>
    <col width="10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36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6" customWidth="1" min="34" max="34"/>
    <col width="14" customWidth="1" min="35" max="35"/>
    <col width="14" customWidth="1" min="36" max="36"/>
    <col width="14" customWidth="1" min="37" max="37"/>
    <col width="14" customWidth="1" min="38" max="38"/>
    <col width="30" customWidth="1" min="39" max="39"/>
    <col width="30" customWidth="1" min="40" max="40"/>
    <col width="14" customWidth="1" min="41" max="41"/>
    <col width="60" customWidth="1" min="42" max="42"/>
  </cols>
  <sheetData>
    <row r="1">
      <c r="A1" s="18" t="inlineStr">
        <is>
          <t>角色成长率（个人成长率 %，可直接在此订正；角色名需与下拉框一致）</t>
        </is>
      </c>
    </row>
    <row r="2" ht="32" customHeight="1">
      <c r="A2" s="10" t="inlineStr">
        <is>
          <t>序号</t>
        </is>
      </c>
      <c r="B2" s="10" t="inlineStr">
        <is>
          <t>阵营</t>
        </is>
      </c>
      <c r="C2" s="10" t="inlineStr">
        <is>
          <t>角色</t>
        </is>
      </c>
      <c r="D2" s="10" t="inlineStr">
        <is>
          <t>日文名</t>
        </is>
      </c>
      <c r="E2" s="10" t="inlineStr">
        <is>
          <t>初始兵种</t>
        </is>
      </c>
      <c r="F2" s="10" t="inlineStr">
        <is>
          <t>HP</t>
        </is>
      </c>
      <c r="G2" s="10" t="inlineStr">
        <is>
          <t>力量</t>
        </is>
      </c>
      <c r="H2" s="10" t="inlineStr">
        <is>
          <t>魔力</t>
        </is>
      </c>
      <c r="I2" s="10" t="inlineStr">
        <is>
          <t>速度</t>
        </is>
      </c>
      <c r="J2" s="10" t="inlineStr">
        <is>
          <t>技巧</t>
        </is>
      </c>
      <c r="K2" s="10" t="inlineStr">
        <is>
          <t>防守</t>
        </is>
      </c>
      <c r="L2" s="10" t="inlineStr">
        <is>
          <t>魔防</t>
        </is>
      </c>
      <c r="M2" s="10" t="inlineStr">
        <is>
          <t>幸运</t>
        </is>
      </c>
      <c r="N2" s="10" t="inlineStr">
        <is>
          <t>魅力</t>
        </is>
      </c>
      <c r="O2" s="10" t="inlineStr">
        <is>
          <t>成长合计</t>
        </is>
      </c>
      <c r="P2" s="10" t="inlineStr">
        <is>
          <t>职业偏向（图鉴·战斗特征）</t>
        </is>
      </c>
      <c r="Q2" s="10" t="inlineStr">
        <is>
          <t>技能倾向（按武器等级归纳）</t>
        </is>
      </c>
      <c r="R2" s="10" t="inlineStr">
        <is>
          <t>擅长技能(日文站)</t>
        </is>
      </c>
      <c r="S2" s="10" t="inlineStr">
        <is>
          <t>推荐兵种(日文站)</t>
        </is>
      </c>
      <c r="T2" s="10" t="inlineStr">
        <is>
          <t>推荐职业路线(欧美站)</t>
        </is>
      </c>
      <c r="U2" s="10" t="inlineStr">
        <is>
          <t>擅长技能(欧美站)</t>
        </is>
      </c>
      <c r="V2" s="10" t="inlineStr">
        <is>
          <t>剑术</t>
        </is>
      </c>
      <c r="W2" s="10" t="inlineStr">
        <is>
          <t>枪术</t>
        </is>
      </c>
      <c r="X2" s="10" t="inlineStr">
        <is>
          <t>斧术</t>
        </is>
      </c>
      <c r="Y2" s="10" t="inlineStr">
        <is>
          <t>弓术</t>
        </is>
      </c>
      <c r="Z2" s="10" t="inlineStr">
        <is>
          <t>格斗术</t>
        </is>
      </c>
      <c r="AA2" s="10" t="inlineStr">
        <is>
          <t>黑魔法</t>
        </is>
      </c>
      <c r="AB2" s="10" t="inlineStr">
        <is>
          <t>白魔法</t>
        </is>
      </c>
      <c r="AC2" s="10" t="inlineStr">
        <is>
          <t>指挥</t>
        </is>
      </c>
      <c r="AD2" s="10" t="inlineStr">
        <is>
          <t>步兵</t>
        </is>
      </c>
      <c r="AE2" s="10" t="inlineStr">
        <is>
          <t>马术</t>
        </is>
      </c>
      <c r="AF2" s="10" t="inlineStr">
        <is>
          <t>重装</t>
        </is>
      </c>
      <c r="AG2" s="10" t="inlineStr">
        <is>
          <t>飞行</t>
        </is>
      </c>
      <c r="AH2" s="10" t="inlineStr">
        <is>
          <t>个人技能</t>
        </is>
      </c>
      <c r="AI2" s="10" t="inlineStr">
        <is>
          <t>习得技能</t>
        </is>
      </c>
      <c r="AJ2" s="10" t="inlineStr">
        <is>
          <t>战技</t>
        </is>
      </c>
      <c r="AK2" s="10" t="inlineStr">
        <is>
          <t>初始魔法</t>
        </is>
      </c>
      <c r="AL2" s="10" t="inlineStr">
        <is>
          <t>初始装备</t>
        </is>
      </c>
      <c r="AM2" s="10" t="inlineStr">
        <is>
          <t>血印1</t>
        </is>
      </c>
      <c r="AN2" s="10" t="inlineStr">
        <is>
          <t>血印2</t>
        </is>
      </c>
      <c r="AO2" s="10" t="inlineStr">
        <is>
          <t>声优</t>
        </is>
      </c>
      <c r="AP2" s="10" t="inlineStr">
        <is>
          <t>说明</t>
        </is>
      </c>
    </row>
    <row r="3">
      <c r="A3" s="15" t="n">
        <v>1</v>
      </c>
      <c r="B3" s="15" t="inlineStr">
        <is>
          <t>救世主军</t>
        </is>
      </c>
      <c r="C3" s="15" t="inlineStr">
        <is>
          <t>伊修玛尔</t>
        </is>
      </c>
      <c r="D3" s="15" t="inlineStr">
        <is>
          <t>イシュマール</t>
        </is>
      </c>
      <c r="E3" s="15" t="inlineStr">
        <is>
          <t>守护者</t>
        </is>
      </c>
      <c r="F3" s="19" t="n">
        <v>50</v>
      </c>
      <c r="G3" s="19" t="n">
        <v>45</v>
      </c>
      <c r="H3" s="19" t="n">
        <v>45</v>
      </c>
      <c r="I3" s="19" t="n">
        <v>45</v>
      </c>
      <c r="J3" s="19" t="n">
        <v>45</v>
      </c>
      <c r="K3" s="19" t="n">
        <v>35</v>
      </c>
      <c r="L3" s="19" t="n">
        <v>35</v>
      </c>
      <c r="M3" s="19" t="n">
        <v>40</v>
      </c>
      <c r="N3" s="19" t="n">
        <v>50</v>
      </c>
      <c r="O3" s="15">
        <f>IF(COUNT(F3:N3)=0,"—",SUM(F3:N3))</f>
        <v/>
      </c>
      <c r="P3" s="20" t="inlineStr">
        <is>
          <t>—</t>
        </is>
      </c>
      <c r="Q3" s="20" t="inlineStr">
        <is>
          <t>枪术A・步兵C・指挥C 向</t>
        </is>
      </c>
      <c r="R3" s="20" t="inlineStr">
        <is>
          <t>枪术・指挥</t>
        </is>
      </c>
      <c r="S3" s="20" t="inlineStr">
        <is>
          <t>—</t>
        </is>
      </c>
      <c r="T3" s="20" t="inlineStr">
        <is>
          <t>守护者</t>
        </is>
      </c>
      <c r="U3" s="20" t="inlineStr">
        <is>
          <t>指挥・枪术</t>
        </is>
      </c>
      <c r="V3" s="20" t="inlineStr">
        <is>
          <t>E</t>
        </is>
      </c>
      <c r="W3" s="20" t="inlineStr">
        <is>
          <t>A</t>
        </is>
      </c>
      <c r="X3" s="20" t="inlineStr">
        <is>
          <t>E</t>
        </is>
      </c>
      <c r="Y3" s="20" t="inlineStr">
        <is>
          <t>E</t>
        </is>
      </c>
      <c r="Z3" s="20" t="inlineStr">
        <is>
          <t>E</t>
        </is>
      </c>
      <c r="AA3" s="20" t="inlineStr">
        <is>
          <t>E</t>
        </is>
      </c>
      <c r="AB3" s="20" t="inlineStr">
        <is>
          <t>D</t>
        </is>
      </c>
      <c r="AC3" s="20" t="inlineStr">
        <is>
          <t>C</t>
        </is>
      </c>
      <c r="AD3" s="20" t="inlineStr">
        <is>
          <t>C</t>
        </is>
      </c>
      <c r="AE3" s="20" t="inlineStr">
        <is>
          <t>E</t>
        </is>
      </c>
      <c r="AF3" s="20" t="inlineStr">
        <is>
          <t>E</t>
        </is>
      </c>
      <c r="AG3" s="20" t="inlineStr">
        <is>
          <t>E</t>
        </is>
      </c>
      <c r="AH3" s="20" t="inlineStr">
        <is>
          <t>救世之光：使周围2格内敌人的「冥府加护」无效</t>
        </is>
      </c>
      <c r="AI3" s="20" t="inlineStr">
        <is>
          <t>戦技装備+2魔法回復+10槍術Lv.5</t>
        </is>
      </c>
      <c r="AJ3" s="20" t="inlineStr">
        <is>
          <t>旋風槍</t>
        </is>
      </c>
      <c r="AK3" s="20" t="n"/>
      <c r="AL3" s="20" t="inlineStr">
        <is>
          <t>无名之枪・伤药</t>
        </is>
      </c>
      <c r="AM3" s="20" t="inlineStr">
        <is>
          <t>预言者天冠：攻击时5%发动，命中+100</t>
        </is>
      </c>
      <c r="AN3" s="20" t="n"/>
      <c r="AO3" s="20" t="inlineStr">
        <is>
          <t>松岡 禎丞／井上 麻里奈</t>
        </is>
      </c>
      <c r="AP3" s="20" t="inlineStr">
        <is>
          <t>为了让世界重归光明，在被称为「禁断之地」的地方被创造出来的存在。拥有与常人不同的特别肉体与强大力量。为集结讨伐巴洛尔的同志，与命运女神福尔图娜一同回溯过去。</t>
        </is>
      </c>
    </row>
    <row r="4">
      <c r="A4" s="15" t="n">
        <v>2</v>
      </c>
      <c r="B4" s="15" t="inlineStr">
        <is>
          <t>利贝拉之风</t>
        </is>
      </c>
      <c r="C4" s="15" t="inlineStr">
        <is>
          <t>凯伊</t>
        </is>
      </c>
      <c r="D4" s="15" t="inlineStr">
        <is>
          <t>カイ</t>
        </is>
      </c>
      <c r="E4" s="15" t="inlineStr">
        <is>
          <t>飞驼兵</t>
        </is>
      </c>
      <c r="F4" s="19" t="n">
        <v>45</v>
      </c>
      <c r="G4" s="19" t="n">
        <v>45</v>
      </c>
      <c r="H4" s="19" t="n">
        <v>40</v>
      </c>
      <c r="I4" s="19" t="n">
        <v>45</v>
      </c>
      <c r="J4" s="19" t="n">
        <v>45</v>
      </c>
      <c r="K4" s="19" t="n">
        <v>35</v>
      </c>
      <c r="L4" s="19" t="n">
        <v>35</v>
      </c>
      <c r="M4" s="19" t="n">
        <v>40</v>
      </c>
      <c r="N4" s="19" t="n">
        <v>40</v>
      </c>
      <c r="O4" s="15">
        <f>IF(COUNT(F4:N4)=0,"—",SUM(F4:N4))</f>
        <v/>
      </c>
      <c r="P4" s="20" t="inlineStr">
        <is>
          <t>飞驼兵单位</t>
        </is>
      </c>
      <c r="Q4" s="20" t="inlineStr">
        <is>
          <t>—</t>
        </is>
      </c>
      <c r="R4" s="20" t="inlineStr">
        <is>
          <t>剑术・枪术・马术・白魔法</t>
        </is>
      </c>
      <c r="S4" s="20" t="inlineStr">
        <is>
          <t>荣光骑士</t>
        </is>
      </c>
      <c r="T4" s="20" t="inlineStr">
        <is>
          <t>飞驼骑兵 ▼ 轻骑兵 ▼ 荣光骑士</t>
        </is>
      </c>
      <c r="U4" s="20" t="inlineStr">
        <is>
          <t>白魔法・马术・枪术・剑术</t>
        </is>
      </c>
      <c r="V4" s="20" t="inlineStr">
        <is>
          <t>—</t>
        </is>
      </c>
      <c r="W4" s="20" t="inlineStr">
        <is>
          <t>—</t>
        </is>
      </c>
      <c r="X4" s="20" t="inlineStr">
        <is>
          <t>—</t>
        </is>
      </c>
      <c r="Y4" s="20" t="inlineStr">
        <is>
          <t>—</t>
        </is>
      </c>
      <c r="Z4" s="20" t="inlineStr">
        <is>
          <t>—</t>
        </is>
      </c>
      <c r="AA4" s="20" t="inlineStr">
        <is>
          <t>—</t>
        </is>
      </c>
      <c r="AB4" s="20" t="inlineStr">
        <is>
          <t>—</t>
        </is>
      </c>
      <c r="AC4" s="20" t="inlineStr">
        <is>
          <t>—</t>
        </is>
      </c>
      <c r="AD4" s="20" t="inlineStr">
        <is>
          <t>—</t>
        </is>
      </c>
      <c r="AE4" s="20" t="inlineStr">
        <is>
          <t>—</t>
        </is>
      </c>
      <c r="AF4" s="20" t="inlineStr">
        <is>
          <t>—</t>
        </is>
      </c>
      <c r="AG4" s="20" t="inlineStr">
        <is>
          <t>—</t>
        </is>
      </c>
      <c r="AH4" s="20" t="inlineStr">
        <is>
          <t>活発：移動力+1</t>
        </is>
      </c>
      <c r="AI4" s="20" t="n"/>
      <c r="AJ4" s="20" t="n"/>
      <c r="AK4" s="20" t="n"/>
      <c r="AL4" s="20" t="n"/>
      <c r="AM4" s="20" t="inlineStr">
        <is>
          <t>使徒天冠：攻击时20%发动，命中+20</t>
        </is>
      </c>
      <c r="AN4" s="20" t="inlineStr">
        <is>
          <t>魂魄天冠：攻击时25%发动，攻击力+3</t>
        </is>
      </c>
      <c r="AO4" s="20" t="inlineStr">
        <is>
          <t>山下 大輝</t>
        </is>
      </c>
      <c r="AP4" s="20" t="inlineStr">
        <is>
          <t>在宁静的里贝拉村生活的，充满活力、执着且重视家庭的少年。与青梅竹马们共度和平的日子，但在 15 岁生日那天，命运的齿轮开始转动。</t>
        </is>
      </c>
    </row>
    <row r="5">
      <c r="A5" s="15" t="n">
        <v>3</v>
      </c>
      <c r="B5" s="15" t="inlineStr">
        <is>
          <t>拉米努一家</t>
        </is>
      </c>
      <c r="C5" s="15" t="inlineStr">
        <is>
          <t>迪托利希</t>
        </is>
      </c>
      <c r="D5" s="15" t="inlineStr">
        <is>
          <t>ディートリヒ</t>
        </is>
      </c>
      <c r="E5" s="15" t="inlineStr">
        <is>
          <t>剑士</t>
        </is>
      </c>
      <c r="F5" s="19" t="n">
        <v>50</v>
      </c>
      <c r="G5" s="19" t="n">
        <v>45</v>
      </c>
      <c r="H5" s="19" t="n">
        <v>30</v>
      </c>
      <c r="I5" s="19" t="n">
        <v>50</v>
      </c>
      <c r="J5" s="19" t="n">
        <v>60</v>
      </c>
      <c r="K5" s="19" t="n">
        <v>40</v>
      </c>
      <c r="L5" s="19" t="n">
        <v>30</v>
      </c>
      <c r="M5" s="19" t="n">
        <v>50</v>
      </c>
      <c r="N5" s="19" t="n">
        <v>60</v>
      </c>
      <c r="O5" s="15">
        <f>IF(COUNT(F5:N5)=0,"—",SUM(F5:N5))</f>
        <v/>
      </c>
      <c r="P5" s="20" t="inlineStr">
        <is>
          <t>装备武器「魔剑安斯韦拉」，可使用易打出必杀一击的战技「血闪」，且必杀数值会随技能提升，战斗力极强，单骑也足以应战</t>
        </is>
      </c>
      <c r="Q5" s="20" t="inlineStr">
        <is>
          <t>—</t>
        </is>
      </c>
      <c r="R5" s="20" t="inlineStr">
        <is>
          <t>剑术・步兵</t>
        </is>
      </c>
      <c r="S5" s="20" t="inlineStr">
        <is>
          <t>侍道</t>
        </is>
      </c>
      <c r="T5" s="20" t="inlineStr">
        <is>
          <t>斗士 ▼ 剑客 ▼ 侍道</t>
        </is>
      </c>
      <c r="U5" s="20" t="inlineStr">
        <is>
          <t>步兵・剑术</t>
        </is>
      </c>
      <c r="V5" s="20" t="inlineStr">
        <is>
          <t>—</t>
        </is>
      </c>
      <c r="W5" s="20" t="inlineStr">
        <is>
          <t>—</t>
        </is>
      </c>
      <c r="X5" s="20" t="inlineStr">
        <is>
          <t>—</t>
        </is>
      </c>
      <c r="Y5" s="20" t="inlineStr">
        <is>
          <t>—</t>
        </is>
      </c>
      <c r="Z5" s="20" t="inlineStr">
        <is>
          <t>—</t>
        </is>
      </c>
      <c r="AA5" s="20" t="inlineStr">
        <is>
          <t>—</t>
        </is>
      </c>
      <c r="AB5" s="20" t="inlineStr">
        <is>
          <t>—</t>
        </is>
      </c>
      <c r="AC5" s="20" t="inlineStr">
        <is>
          <t>—</t>
        </is>
      </c>
      <c r="AD5" s="20" t="inlineStr">
        <is>
          <t>—</t>
        </is>
      </c>
      <c r="AE5" s="20" t="inlineStr">
        <is>
          <t>—</t>
        </is>
      </c>
      <c r="AF5" s="20" t="inlineStr">
        <is>
          <t>—</t>
        </is>
      </c>
      <c r="AG5" s="20" t="inlineStr">
        <is>
          <t>—</t>
        </is>
      </c>
      <c r="AH5" s="20" t="inlineStr">
        <is>
          <t>杀意：先手战斗时，必杀+5</t>
        </is>
      </c>
      <c r="AI5" s="20" t="n"/>
      <c r="AJ5" s="20" t="n"/>
      <c r="AK5" s="20" t="n"/>
      <c r="AL5" s="20" t="n"/>
      <c r="AM5" s="20" t="inlineStr">
        <is>
          <t>永远天冠：攻击时10%发动，自身中幅回复HP</t>
        </is>
      </c>
      <c r="AN5" s="20" t="n"/>
      <c r="AO5" s="20" t="inlineStr">
        <is>
          <t>日野 聡</t>
        </is>
      </c>
      <c r="AP5" s="20" t="inlineStr">
        <is>
          <t>为了满足自身的渴望，不断寻求与强者战斗的美丽剑士。 从跨越海洋的彼方“芙朵拉”之地而来的异邦人。</t>
        </is>
      </c>
    </row>
    <row r="6">
      <c r="A6" s="15" t="n">
        <v>4</v>
      </c>
      <c r="B6" s="15" t="inlineStr">
        <is>
          <t>梅加埃拉的灯火</t>
        </is>
      </c>
      <c r="C6" s="15" t="inlineStr">
        <is>
          <t>赛奥朵拉</t>
        </is>
      </c>
      <c r="D6" s="15" t="inlineStr">
        <is>
          <t>セオドラ</t>
        </is>
      </c>
      <c r="E6" s="15" t="inlineStr">
        <is>
          <t>贵族</t>
        </is>
      </c>
      <c r="F6" s="19" t="n">
        <v>70</v>
      </c>
      <c r="G6" s="19" t="n">
        <v>50</v>
      </c>
      <c r="H6" s="19" t="n">
        <v>30</v>
      </c>
      <c r="I6" s="19" t="n">
        <v>40</v>
      </c>
      <c r="J6" s="19" t="n">
        <v>40</v>
      </c>
      <c r="K6" s="19" t="n">
        <v>40</v>
      </c>
      <c r="L6" s="19" t="n">
        <v>30</v>
      </c>
      <c r="M6" s="19" t="n">
        <v>30</v>
      </c>
      <c r="N6" s="19" t="n">
        <v>50</v>
      </c>
      <c r="O6" s="15">
        <f>IF(COUNT(F6:N6)=0,"—",SUM(F6:N6))</f>
        <v/>
      </c>
      <c r="P6" s="20" t="inlineStr">
        <is>
          <t>—</t>
        </is>
      </c>
      <c r="Q6" s="20" t="inlineStr">
        <is>
          <t>—</t>
        </is>
      </c>
      <c r="R6" s="20" t="inlineStr">
        <is>
          <t>枪术・白魔法・指挥</t>
        </is>
      </c>
      <c r="S6" s="20" t="inlineStr">
        <is>
          <t>荣光骑士</t>
        </is>
      </c>
      <c r="T6" s="20" t="inlineStr">
        <is>
          <t>斗士 ▼ 轻骑兵 ▼ 荣光骑士</t>
        </is>
      </c>
      <c r="U6" s="20" t="inlineStr">
        <is>
          <t>指挥・白魔法・枪术</t>
        </is>
      </c>
      <c r="V6" s="20" t="inlineStr">
        <is>
          <t>—</t>
        </is>
      </c>
      <c r="W6" s="20" t="inlineStr">
        <is>
          <t>—</t>
        </is>
      </c>
      <c r="X6" s="20" t="inlineStr">
        <is>
          <t>—</t>
        </is>
      </c>
      <c r="Y6" s="20" t="inlineStr">
        <is>
          <t>—</t>
        </is>
      </c>
      <c r="Z6" s="20" t="inlineStr">
        <is>
          <t>—</t>
        </is>
      </c>
      <c r="AA6" s="20" t="inlineStr">
        <is>
          <t>—</t>
        </is>
      </c>
      <c r="AB6" s="20" t="inlineStr">
        <is>
          <t>—</t>
        </is>
      </c>
      <c r="AC6" s="20" t="inlineStr">
        <is>
          <t>—</t>
        </is>
      </c>
      <c r="AD6" s="20" t="inlineStr">
        <is>
          <t>—</t>
        </is>
      </c>
      <c r="AE6" s="20" t="inlineStr">
        <is>
          <t>—</t>
        </is>
      </c>
      <c r="AF6" s="20" t="inlineStr">
        <is>
          <t>—</t>
        </is>
      </c>
      <c r="AG6" s="20" t="inlineStr">
        <is>
          <t>—</t>
        </is>
      </c>
      <c r="AH6" s="20" t="inlineStr">
        <is>
          <t>不退的觉悟：被攻击时30%发动，受到的伤害减半</t>
        </is>
      </c>
      <c r="AI6" s="20" t="n"/>
      <c r="AJ6" s="20" t="n"/>
      <c r="AK6" s="20" t="n"/>
      <c r="AL6" s="20" t="n"/>
      <c r="AM6" s="20" t="inlineStr">
        <is>
          <t>魂魄天冠：攻击时25%发动，攻击力+3</t>
        </is>
      </c>
      <c r="AN6" s="20" t="n"/>
      <c r="AO6" s="20" t="inlineStr">
        <is>
          <t>高山 南</t>
        </is>
      </c>
      <c r="AP6" s="20" t="inlineStr">
        <is>
          <t>视鞑古扎帝国为宗主国 的 萨拉弥斯 王国 的年轻女王。 拥有直面任何困难的坚定意志，并具备作为君临人上的王的资质。</t>
        </is>
      </c>
    </row>
    <row r="7">
      <c r="A7" s="15" t="n">
        <v>5</v>
      </c>
      <c r="B7" s="15" t="inlineStr">
        <is>
          <t>蔷薇风暴</t>
        </is>
      </c>
      <c r="C7" s="15" t="inlineStr">
        <is>
          <t>蕾达</t>
        </is>
      </c>
      <c r="D7" s="15" t="inlineStr">
        <is>
          <t>レダ</t>
        </is>
      </c>
      <c r="E7" s="15" t="inlineStr">
        <is>
          <t>猎兵</t>
        </is>
      </c>
      <c r="F7" s="19" t="n">
        <v>40</v>
      </c>
      <c r="G7" s="19" t="n">
        <v>35</v>
      </c>
      <c r="H7" s="19" t="n">
        <v>35</v>
      </c>
      <c r="I7" s="19" t="n">
        <v>65</v>
      </c>
      <c r="J7" s="19" t="n">
        <v>50</v>
      </c>
      <c r="K7" s="19" t="n">
        <v>35</v>
      </c>
      <c r="L7" s="19" t="n">
        <v>35</v>
      </c>
      <c r="M7" s="19" t="n">
        <v>25</v>
      </c>
      <c r="N7" s="19" t="n">
        <v>55</v>
      </c>
      <c r="O7" s="15">
        <f>IF(COUNT(F7:N7)=0,"—",SUM(F7:N7))</f>
        <v/>
      </c>
      <c r="P7" s="20" t="inlineStr">
        <is>
          <t>除灵活运用近战的剑与长射程的弓之外，还能演奏比尤埃拉琴强化同伴</t>
        </is>
      </c>
      <c r="Q7" s="20" t="inlineStr">
        <is>
          <t>—</t>
        </is>
      </c>
      <c r="R7" s="20" t="inlineStr">
        <is>
          <t>剑术・弓术・白魔法・步兵</t>
        </is>
      </c>
      <c r="S7" s="20" t="inlineStr">
        <is>
          <t>狙击手 ｜ 游侠 ｜ 神金骑士</t>
        </is>
      </c>
      <c r="T7" s="20" t="inlineStr">
        <is>
          <t>猎兵 ▼ 弓箭手 ▼ 狙击手</t>
        </is>
      </c>
      <c r="U7" s="20" t="inlineStr">
        <is>
          <t>弓术・白魔法・步兵・剑术</t>
        </is>
      </c>
      <c r="V7" s="20" t="inlineStr">
        <is>
          <t>—</t>
        </is>
      </c>
      <c r="W7" s="20" t="inlineStr">
        <is>
          <t>—</t>
        </is>
      </c>
      <c r="X7" s="20" t="inlineStr">
        <is>
          <t>—</t>
        </is>
      </c>
      <c r="Y7" s="20" t="inlineStr">
        <is>
          <t>—</t>
        </is>
      </c>
      <c r="Z7" s="20" t="inlineStr">
        <is>
          <t>—</t>
        </is>
      </c>
      <c r="AA7" s="20" t="inlineStr">
        <is>
          <t>—</t>
        </is>
      </c>
      <c r="AB7" s="20" t="inlineStr">
        <is>
          <t>—</t>
        </is>
      </c>
      <c r="AC7" s="20" t="inlineStr">
        <is>
          <t>—</t>
        </is>
      </c>
      <c r="AD7" s="20" t="inlineStr">
        <is>
          <t>—</t>
        </is>
      </c>
      <c r="AE7" s="20" t="inlineStr">
        <is>
          <t>—</t>
        </is>
      </c>
      <c r="AF7" s="20" t="inlineStr">
        <is>
          <t>—</t>
        </is>
      </c>
      <c r="AG7" s="20" t="inlineStr">
        <is>
          <t>—</t>
        </is>
      </c>
      <c r="AH7" s="20" t="inlineStr">
        <is>
          <t>先手战斗时 5% 概率发动，不会被反击</t>
        </is>
      </c>
      <c r="AI7" s="20" t="n"/>
      <c r="AJ7" s="20" t="n"/>
      <c r="AK7" s="20" t="n"/>
      <c r="AL7" s="20" t="n"/>
      <c r="AM7" s="20" t="n"/>
      <c r="AN7" s="20" t="n"/>
      <c r="AO7" s="20" t="inlineStr">
        <is>
          <t>伊瀬 茉莉也</t>
        </is>
      </c>
      <c r="AP7" s="20" t="inlineStr">
        <is>
          <t>奏响魅惑旋律的超一流维埃拉演奏家。 因 5 年前发生的“某件事”为契机，踏上了被复仇与怨念囚禁的人生之路。</t>
        </is>
      </c>
    </row>
    <row r="8">
      <c r="A8" s="15" t="n">
        <v>6</v>
      </c>
      <c r="B8" s="15" t="inlineStr">
        <is>
          <t>利贝拉之风</t>
        </is>
      </c>
      <c r="C8" s="15" t="inlineStr">
        <is>
          <t>媞亚拉</t>
        </is>
      </c>
      <c r="D8" s="15" t="inlineStr">
        <is>
          <t>ティアラ</t>
        </is>
      </c>
      <c r="E8" s="15" t="inlineStr">
        <is>
          <t>平民</t>
        </is>
      </c>
      <c r="F8" s="19" t="n">
        <v>30</v>
      </c>
      <c r="G8" s="19" t="n">
        <v>25</v>
      </c>
      <c r="H8" s="19" t="n">
        <v>45</v>
      </c>
      <c r="I8" s="19" t="n">
        <v>35</v>
      </c>
      <c r="J8" s="19" t="n">
        <v>40</v>
      </c>
      <c r="K8" s="19" t="n">
        <v>20</v>
      </c>
      <c r="L8" s="19" t="n">
        <v>40</v>
      </c>
      <c r="M8" s="19" t="n">
        <v>50</v>
      </c>
      <c r="N8" s="19" t="n">
        <v>45</v>
      </c>
      <c r="O8" s="15">
        <f>IF(COUNT(F8:N8)=0,"—",SUM(F8:N8))</f>
        <v/>
      </c>
      <c r="P8" s="20" t="inlineStr">
        <is>
          <t>战斗中可用战技提升同伴能力，也能用魔法救助陷入危机的同伴 ，是 掌控战局 的 辅助角色 。</t>
        </is>
      </c>
      <c r="Q8" s="20" t="inlineStr">
        <is>
          <t>—</t>
        </is>
      </c>
      <c r="R8" s="20" t="inlineStr">
        <is>
          <t>黑魔法・白魔法・指挥</t>
        </is>
      </c>
      <c r="S8" s="20" t="inlineStr">
        <is>
          <t>先知</t>
        </is>
      </c>
      <c r="T8" s="20" t="inlineStr">
        <is>
          <t>诅咒师 ▼ 牧师 ▼ 神官骑士</t>
        </is>
      </c>
      <c r="U8" s="20" t="inlineStr">
        <is>
          <t>指挥・白魔法・黑魔法</t>
        </is>
      </c>
      <c r="V8" s="20" t="inlineStr">
        <is>
          <t>—</t>
        </is>
      </c>
      <c r="W8" s="20" t="inlineStr">
        <is>
          <t>—</t>
        </is>
      </c>
      <c r="X8" s="20" t="inlineStr">
        <is>
          <t>—</t>
        </is>
      </c>
      <c r="Y8" s="20" t="inlineStr">
        <is>
          <t>—</t>
        </is>
      </c>
      <c r="Z8" s="20" t="inlineStr">
        <is>
          <t>—</t>
        </is>
      </c>
      <c r="AA8" s="20" t="inlineStr">
        <is>
          <t>—</t>
        </is>
      </c>
      <c r="AB8" s="20" t="inlineStr">
        <is>
          <t>—</t>
        </is>
      </c>
      <c r="AC8" s="20" t="inlineStr">
        <is>
          <t>—</t>
        </is>
      </c>
      <c r="AD8" s="20" t="inlineStr">
        <is>
          <t>—</t>
        </is>
      </c>
      <c r="AE8" s="20" t="inlineStr">
        <is>
          <t>—</t>
        </is>
      </c>
      <c r="AF8" s="20" t="inlineStr">
        <is>
          <t>—</t>
        </is>
      </c>
      <c r="AG8" s="20" t="inlineStr">
        <is>
          <t>—</t>
        </is>
      </c>
      <c r="AH8" s="20" t="inlineStr">
        <is>
          <t>军师之才：可对己方使用的战技射程+1</t>
        </is>
      </c>
      <c r="AI8" s="20" t="n"/>
      <c r="AJ8" s="20" t="n"/>
      <c r="AK8" s="20" t="inlineStr">
        <is>
          <t>火焰</t>
        </is>
      </c>
      <c r="AL8" s="20" t="n"/>
      <c r="AM8" s="20" t="n"/>
      <c r="AN8" s="20" t="n"/>
      <c r="AO8" s="20" t="inlineStr">
        <is>
          <t>河瀬 茉希</t>
        </is>
      </c>
      <c r="AP8" s="20" t="inlineStr">
        <is>
          <t>主人公凯伊的青梅竹马。热心的读书家，虽然只有 15 岁，却拥有多方面的知识。 一起生活的祖父是前军师，孙女蒂亚拉也继承了罕见的“军略之才”。</t>
        </is>
      </c>
    </row>
    <row r="9">
      <c r="A9" s="15" t="n">
        <v>7</v>
      </c>
      <c r="B9" s="15" t="inlineStr">
        <is>
          <t>利贝拉之风</t>
        </is>
      </c>
      <c r="C9" s="15" t="inlineStr">
        <is>
          <t>皮特鲁</t>
        </is>
      </c>
      <c r="D9" s="15" t="inlineStr">
        <is>
          <t>ピーテル</t>
        </is>
      </c>
      <c r="E9" s="15" t="inlineStr">
        <is>
          <t>平民</t>
        </is>
      </c>
      <c r="F9" s="19" t="n">
        <v>40</v>
      </c>
      <c r="G9" s="19" t="n">
        <v>35</v>
      </c>
      <c r="H9" s="19" t="n">
        <v>20</v>
      </c>
      <c r="I9" s="19" t="n">
        <v>45</v>
      </c>
      <c r="J9" s="19" t="n">
        <v>60</v>
      </c>
      <c r="K9" s="19" t="n">
        <v>30</v>
      </c>
      <c r="L9" s="19" t="n">
        <v>25</v>
      </c>
      <c r="M9" s="19" t="n">
        <v>35</v>
      </c>
      <c r="N9" s="19" t="n">
        <v>30</v>
      </c>
      <c r="O9" s="15">
        <f>IF(COUNT(F9:N9)=0,"—",SUM(F9:N9))</f>
        <v/>
      </c>
      <c r="P9" s="20" t="inlineStr">
        <is>
          <t>战斗中以擅长的弓箭从后方狙击敌人</t>
        </is>
      </c>
      <c r="Q9" s="20" t="inlineStr">
        <is>
          <t>—</t>
        </is>
      </c>
      <c r="R9" s="20" t="inlineStr">
        <is>
          <t>弓术・步兵</t>
        </is>
      </c>
      <c r="S9" s="20" t="inlineStr">
        <is>
          <t>狙击手 ｜ 游侠 ｜ 神金骑士</t>
        </is>
      </c>
      <c r="T9" s="20" t="inlineStr">
        <is>
          <t>猎兵 ▼ 弓箭手 ▼ 神金骑士</t>
        </is>
      </c>
      <c r="U9" s="20" t="inlineStr">
        <is>
          <t>弓术・步兵</t>
        </is>
      </c>
      <c r="V9" s="20" t="inlineStr">
        <is>
          <t>—</t>
        </is>
      </c>
      <c r="W9" s="20" t="inlineStr">
        <is>
          <t>—</t>
        </is>
      </c>
      <c r="X9" s="20" t="inlineStr">
        <is>
          <t>—</t>
        </is>
      </c>
      <c r="Y9" s="20" t="inlineStr">
        <is>
          <t>—</t>
        </is>
      </c>
      <c r="Z9" s="20" t="inlineStr">
        <is>
          <t>—</t>
        </is>
      </c>
      <c r="AA9" s="20" t="inlineStr">
        <is>
          <t>—</t>
        </is>
      </c>
      <c r="AB9" s="20" t="inlineStr">
        <is>
          <t>—</t>
        </is>
      </c>
      <c r="AC9" s="20" t="inlineStr">
        <is>
          <t>—</t>
        </is>
      </c>
      <c r="AD9" s="20" t="inlineStr">
        <is>
          <t>—</t>
        </is>
      </c>
      <c r="AE9" s="20" t="inlineStr">
        <is>
          <t>—</t>
        </is>
      </c>
      <c r="AF9" s="20" t="inlineStr">
        <is>
          <t>—</t>
        </is>
      </c>
      <c r="AG9" s="20" t="inlineStr">
        <is>
          <t>—</t>
        </is>
      </c>
      <c r="AH9" s="20" t="inlineStr">
        <is>
          <t>瞄准射击：使用弓战技时，射程+1</t>
        </is>
      </c>
      <c r="AI9" s="20" t="inlineStr">
        <is>
          <t>狙击</t>
        </is>
      </c>
      <c r="AJ9" s="20" t="n"/>
      <c r="AK9" s="20" t="n"/>
      <c r="AL9" s="20" t="n"/>
      <c r="AM9" s="20" t="n"/>
      <c r="AN9" s="20" t="n"/>
      <c r="AO9" s="20" t="inlineStr">
        <is>
          <t>山本 和臣</t>
        </is>
      </c>
      <c r="AP9" s="20" t="inlineStr">
        <is>
          <t>与主人公凯伊如同亲兄弟般一起长大的 15 岁少年。 视力极佳，甚至能在明亮的白昼观察到星辰。 弓箭的本领首屈一指，却因温柔怯懦的性格作祟，无法发挥出真正的实力。</t>
        </is>
      </c>
    </row>
    <row r="10">
      <c r="A10" s="15" t="n">
        <v>8</v>
      </c>
      <c r="B10" s="15" t="inlineStr">
        <is>
          <t>利贝拉之风</t>
        </is>
      </c>
      <c r="C10" s="15" t="inlineStr">
        <is>
          <t>乌尔坦德</t>
        </is>
      </c>
      <c r="D10" s="15" t="inlineStr">
        <is>
          <t>ウルタンド</t>
        </is>
      </c>
      <c r="E10" s="15" t="inlineStr">
        <is>
          <t>祭司</t>
        </is>
      </c>
      <c r="F10" s="19" t="n">
        <v>45</v>
      </c>
      <c r="G10" s="19" t="n">
        <v>40</v>
      </c>
      <c r="H10" s="19" t="n">
        <v>40</v>
      </c>
      <c r="I10" s="19" t="n">
        <v>35</v>
      </c>
      <c r="J10" s="19" t="n">
        <v>40</v>
      </c>
      <c r="K10" s="19" t="n">
        <v>35</v>
      </c>
      <c r="L10" s="19" t="n">
        <v>45</v>
      </c>
      <c r="M10" s="19" t="n">
        <v>55</v>
      </c>
      <c r="N10" s="19" t="n">
        <v>50</v>
      </c>
      <c r="O10" s="15">
        <f>IF(COUNT(F10:N10)=0,"—",SUM(F10:N10))</f>
        <v/>
      </c>
      <c r="P10" s="20" t="inlineStr">
        <is>
          <t>战斗中可一边治疗同伴一边应战；技能提升后还能习得对拥有「冥府加护」的敌人有效的神圣魔法</t>
        </is>
      </c>
      <c r="Q10" s="20" t="inlineStr">
        <is>
          <t>—</t>
        </is>
      </c>
      <c r="R10" s="20" t="inlineStr">
        <is>
          <t>枪术・白魔法・飞行</t>
        </is>
      </c>
      <c r="S10" s="20" t="inlineStr">
        <is>
          <t>主教</t>
        </is>
      </c>
      <c r="T10" s="20" t="inlineStr">
        <is>
          <t>诅咒师 ▼ 牧师 ▼ 主教</t>
        </is>
      </c>
      <c r="U10" s="20" t="inlineStr">
        <is>
          <t>白魔法・枪术</t>
        </is>
      </c>
      <c r="V10" s="20" t="inlineStr">
        <is>
          <t>—</t>
        </is>
      </c>
      <c r="W10" s="20" t="inlineStr">
        <is>
          <t>—</t>
        </is>
      </c>
      <c r="X10" s="20" t="inlineStr">
        <is>
          <t>—</t>
        </is>
      </c>
      <c r="Y10" s="20" t="inlineStr">
        <is>
          <t>—</t>
        </is>
      </c>
      <c r="Z10" s="20" t="inlineStr">
        <is>
          <t>—</t>
        </is>
      </c>
      <c r="AA10" s="20" t="inlineStr">
        <is>
          <t>—</t>
        </is>
      </c>
      <c r="AB10" s="20" t="inlineStr">
        <is>
          <t>—</t>
        </is>
      </c>
      <c r="AC10" s="20" t="inlineStr">
        <is>
          <t>—</t>
        </is>
      </c>
      <c r="AD10" s="20" t="inlineStr">
        <is>
          <t>—</t>
        </is>
      </c>
      <c r="AE10" s="20" t="inlineStr">
        <is>
          <t>—</t>
        </is>
      </c>
      <c r="AF10" s="20" t="inlineStr">
        <is>
          <t>—</t>
        </is>
      </c>
      <c r="AG10" s="20" t="inlineStr">
        <is>
          <t>—</t>
        </is>
      </c>
      <c r="AH10" s="20" t="inlineStr">
        <is>
          <t>应急处理：相邻己方战斗后，为其小幅回复HP</t>
        </is>
      </c>
      <c r="AI10" s="20" t="n"/>
      <c r="AJ10" s="20" t="n"/>
      <c r="AK10" s="20" t="n"/>
      <c r="AL10" s="20" t="n"/>
      <c r="AM10" s="20" t="n"/>
      <c r="AN10" s="20" t="n"/>
      <c r="AO10" s="20" t="inlineStr">
        <is>
          <t>稲垣 好</t>
        </is>
      </c>
      <c r="AP10" s="20" t="inlineStr">
        <is>
          <t>鞑古希翁上层的极光神殿供奉的年轻神官。 性格温柔体贴，视儿时玩伴们在激烈的大剑斗祭中挑战的凯如同弟弟般挂心，无论何时都给予帮助。</t>
        </is>
      </c>
    </row>
    <row r="11">
      <c r="A11" s="15" t="n">
        <v>9</v>
      </c>
      <c r="B11" s="15" t="inlineStr">
        <is>
          <t>拉米努一家</t>
        </is>
      </c>
      <c r="C11" s="15" t="inlineStr">
        <is>
          <t>法毕欧</t>
        </is>
      </c>
      <c r="D11" s="15" t="inlineStr">
        <is>
          <t>ファビオ</t>
        </is>
      </c>
      <c r="E11" s="15" t="inlineStr">
        <is>
          <t>平民</t>
        </is>
      </c>
      <c r="F11" s="19" t="n">
        <v>40</v>
      </c>
      <c r="G11" s="19" t="n">
        <v>25</v>
      </c>
      <c r="H11" s="19" t="n">
        <v>50</v>
      </c>
      <c r="I11" s="19" t="n">
        <v>35</v>
      </c>
      <c r="J11" s="19" t="n">
        <v>40</v>
      </c>
      <c r="K11" s="19" t="n">
        <v>30</v>
      </c>
      <c r="L11" s="19" t="n">
        <v>45</v>
      </c>
      <c r="M11" s="19" t="n">
        <v>35</v>
      </c>
      <c r="N11" s="19" t="n">
        <v>30</v>
      </c>
      <c r="O11" s="15">
        <f>IF(COUNT(F11:N11)=0,"—",SUM(F11:N11))</f>
        <v/>
      </c>
      <c r="P11" s="20" t="inlineStr">
        <is>
          <t>战斗中以特殊的暗魔法使敌人丧失战意</t>
        </is>
      </c>
      <c r="Q11" s="20" t="inlineStr">
        <is>
          <t>—</t>
        </is>
      </c>
      <c r="R11" s="20" t="inlineStr">
        <is>
          <t>黑魔法・指挥</t>
        </is>
      </c>
      <c r="S11" s="20" t="inlineStr">
        <is>
          <t>先知</t>
        </is>
      </c>
      <c r="T11" s="20" t="inlineStr">
        <is>
          <t>诅咒师 ▼ 萨满巫师 ▼ 祭司※</t>
        </is>
      </c>
      <c r="U11" s="20" t="inlineStr">
        <is>
          <t>指挥・黑魔法</t>
        </is>
      </c>
      <c r="V11" s="20" t="inlineStr">
        <is>
          <t>—</t>
        </is>
      </c>
      <c r="W11" s="20" t="inlineStr">
        <is>
          <t>—</t>
        </is>
      </c>
      <c r="X11" s="20" t="inlineStr">
        <is>
          <t>—</t>
        </is>
      </c>
      <c r="Y11" s="20" t="inlineStr">
        <is>
          <t>—</t>
        </is>
      </c>
      <c r="Z11" s="20" t="inlineStr">
        <is>
          <t>—</t>
        </is>
      </c>
      <c r="AA11" s="20" t="inlineStr">
        <is>
          <t>—</t>
        </is>
      </c>
      <c r="AB11" s="20" t="inlineStr">
        <is>
          <t>—</t>
        </is>
      </c>
      <c r="AC11" s="20" t="inlineStr">
        <is>
          <t>—</t>
        </is>
      </c>
      <c r="AD11" s="20" t="inlineStr">
        <is>
          <t>—</t>
        </is>
      </c>
      <c r="AE11" s="20" t="inlineStr">
        <is>
          <t>—</t>
        </is>
      </c>
      <c r="AF11" s="20" t="inlineStr">
        <is>
          <t>—</t>
        </is>
      </c>
      <c r="AG11" s="20" t="inlineStr">
        <is>
          <t>—</t>
        </is>
      </c>
      <c r="AH11" s="20" t="inlineStr">
        <is>
          <t>唤暗：相邻敌人的回避-5</t>
        </is>
      </c>
      <c r="AI11" s="20" t="inlineStr">
        <is>
          <t>射撃安定</t>
        </is>
      </c>
      <c r="AJ11" s="20" t="n"/>
      <c r="AK11" s="20" t="n"/>
      <c r="AL11" s="20" t="n"/>
      <c r="AM11" s="20" t="n"/>
      <c r="AN11" s="20" t="n"/>
      <c r="AO11" s="20" t="inlineStr">
        <is>
          <t>山口 恵</t>
        </is>
      </c>
      <c r="AP11" s="20" t="inlineStr">
        <is>
          <t>从遥远的芙朵拉之地前来，塞罗斯圣教神秘莫测的传教士。 理性的一面，同时有称他人为“野兽”并蔑视的习惯。 与主人公迪特里希是同乡，但原本并无交情。</t>
        </is>
      </c>
    </row>
    <row r="12">
      <c r="A12" s="15" t="n">
        <v>10</v>
      </c>
      <c r="B12" s="15" t="inlineStr">
        <is>
          <t>拉米努一家</t>
        </is>
      </c>
      <c r="C12" s="15" t="inlineStr">
        <is>
          <t>艾丝美拉尔达</t>
        </is>
      </c>
      <c r="D12" s="15" t="inlineStr">
        <is>
          <t>エスメラルダ</t>
        </is>
      </c>
      <c r="E12" s="15" t="inlineStr">
        <is>
          <t>平民</t>
        </is>
      </c>
      <c r="F12" s="19" t="n">
        <v>55</v>
      </c>
      <c r="G12" s="19" t="n">
        <v>55</v>
      </c>
      <c r="H12" s="19" t="n">
        <v>20</v>
      </c>
      <c r="I12" s="19" t="n">
        <v>35</v>
      </c>
      <c r="J12" s="19" t="n">
        <v>35</v>
      </c>
      <c r="K12" s="19" t="n">
        <v>45</v>
      </c>
      <c r="L12" s="19" t="n">
        <v>25</v>
      </c>
      <c r="M12" s="19" t="n">
        <v>35</v>
      </c>
      <c r="N12" s="19" t="n">
        <v>30</v>
      </c>
      <c r="O12" s="15">
        <f>IF(COUNT(F12:N12)=0,"—",SUM(F12:N12))</f>
        <v/>
      </c>
      <c r="P12" s="20" t="inlineStr">
        <is>
          <t>挥舞埃斯梅拉达之父辛扎留下的鱼叉（枪）粉碎敌人；任何沉重的武器都能轻松驾驭，是</t>
        </is>
      </c>
      <c r="Q12" s="20" t="inlineStr">
        <is>
          <t>—</t>
        </is>
      </c>
      <c r="R12" s="20" t="inlineStr">
        <is>
          <t>枪术・斧术・重装</t>
        </is>
      </c>
      <c r="S12" s="20" t="inlineStr">
        <is>
          <t>巨重甲骑士</t>
        </is>
      </c>
      <c r="T12" s="20" t="inlineStr">
        <is>
          <t>斗士 ▼ 重装步兵 ▼ 无畏重甲※</t>
        </is>
      </c>
      <c r="U12" s="20" t="inlineStr">
        <is>
          <t>斧术・重装・枪术</t>
        </is>
      </c>
      <c r="V12" s="20" t="inlineStr">
        <is>
          <t>—</t>
        </is>
      </c>
      <c r="W12" s="20" t="inlineStr">
        <is>
          <t>—</t>
        </is>
      </c>
      <c r="X12" s="20" t="inlineStr">
        <is>
          <t>—</t>
        </is>
      </c>
      <c r="Y12" s="20" t="inlineStr">
        <is>
          <t>—</t>
        </is>
      </c>
      <c r="Z12" s="20" t="inlineStr">
        <is>
          <t>—</t>
        </is>
      </c>
      <c r="AA12" s="20" t="inlineStr">
        <is>
          <t>—</t>
        </is>
      </c>
      <c r="AB12" s="20" t="inlineStr">
        <is>
          <t>—</t>
        </is>
      </c>
      <c r="AC12" s="20" t="inlineStr">
        <is>
          <t>—</t>
        </is>
      </c>
      <c r="AD12" s="20" t="inlineStr">
        <is>
          <t>—</t>
        </is>
      </c>
      <c r="AE12" s="20" t="inlineStr">
        <is>
          <t>—</t>
        </is>
      </c>
      <c r="AF12" s="20" t="inlineStr">
        <is>
          <t>—</t>
        </is>
      </c>
      <c r="AG12" s="20" t="inlineStr">
        <is>
          <t>—</t>
        </is>
      </c>
      <c r="AH12" s="20" t="inlineStr">
        <is>
          <t>怪力：自身装备的武器、道具重量降为80%</t>
        </is>
      </c>
      <c r="AI12" s="20" t="n"/>
      <c r="AJ12" s="20" t="n"/>
      <c r="AK12" s="20" t="n"/>
      <c r="AL12" s="20" t="n"/>
      <c r="AM12" s="20" t="inlineStr">
        <is>
          <t>勇气天冠：攻击时3%发动，造成的伤害变为1.5倍</t>
        </is>
      </c>
      <c r="AN12" s="20" t="n"/>
      <c r="AO12" s="20" t="inlineStr">
        <is>
          <t>菱川 花菜</t>
        </is>
      </c>
      <c r="AP12" s="20" t="inlineStr">
        <is>
          <t>在鞑古扎海岸的渔村生活的渔夫之女。 充满野性魅力，其体格难以想象地拥有惊人力气。 曾险些成为海兽的祭品，被迪特里希救下，从此与他结伴同行。</t>
        </is>
      </c>
    </row>
    <row r="13">
      <c r="A13" s="15" t="n">
        <v>11</v>
      </c>
      <c r="B13" s="15" t="inlineStr">
        <is>
          <t>拉米努一家</t>
        </is>
      </c>
      <c r="C13" s="15" t="inlineStr">
        <is>
          <t>米迦艾拉</t>
        </is>
      </c>
      <c r="D13" s="15" t="inlineStr">
        <is>
          <t>ミカエラ</t>
        </is>
      </c>
      <c r="E13" s="15" t="inlineStr">
        <is>
          <t>土匪</t>
        </is>
      </c>
      <c r="F13" s="19" t="n">
        <v>50</v>
      </c>
      <c r="G13" s="19" t="n">
        <v>45</v>
      </c>
      <c r="H13" s="19" t="n">
        <v>30</v>
      </c>
      <c r="I13" s="19" t="n">
        <v>40</v>
      </c>
      <c r="J13" s="19" t="n">
        <v>35</v>
      </c>
      <c r="K13" s="19" t="n">
        <v>40</v>
      </c>
      <c r="L13" s="19" t="n">
        <v>25</v>
      </c>
      <c r="M13" s="19" t="n">
        <v>30</v>
      </c>
      <c r="N13" s="19" t="n">
        <v>40</v>
      </c>
      <c r="O13" s="15">
        <f>IF(COUNT(F13:N13)=0,"—",SUM(F13:N13))</f>
        <v/>
      </c>
      <c r="P13" s="20" t="inlineStr">
        <is>
          <t>战斗中擅长白刃战的米卡拉</t>
        </is>
      </c>
      <c r="Q13" s="20" t="inlineStr">
        <is>
          <t>—</t>
        </is>
      </c>
      <c r="R13" s="20" t="inlineStr">
        <is>
          <t>斧术・弓术・步兵</t>
        </is>
      </c>
      <c r="S13" s="20" t="inlineStr">
        <is>
          <t>勇士</t>
        </is>
      </c>
      <c r="T13" s="20" t="inlineStr">
        <is>
          <t>斗士 ▼ 土匪 ▼ 勇士</t>
        </is>
      </c>
      <c r="U13" s="20" t="inlineStr">
        <is>
          <t>斧术・弓术・步兵</t>
        </is>
      </c>
      <c r="V13" s="20" t="inlineStr">
        <is>
          <t>—</t>
        </is>
      </c>
      <c r="W13" s="20" t="inlineStr">
        <is>
          <t>—</t>
        </is>
      </c>
      <c r="X13" s="20" t="inlineStr">
        <is>
          <t>—</t>
        </is>
      </c>
      <c r="Y13" s="20" t="inlineStr">
        <is>
          <t>—</t>
        </is>
      </c>
      <c r="Z13" s="20" t="inlineStr">
        <is>
          <t>—</t>
        </is>
      </c>
      <c r="AA13" s="20" t="inlineStr">
        <is>
          <t>—</t>
        </is>
      </c>
      <c r="AB13" s="20" t="inlineStr">
        <is>
          <t>—</t>
        </is>
      </c>
      <c r="AC13" s="20" t="inlineStr">
        <is>
          <t>—</t>
        </is>
      </c>
      <c r="AD13" s="20" t="inlineStr">
        <is>
          <t>—</t>
        </is>
      </c>
      <c r="AE13" s="20" t="inlineStr">
        <is>
          <t>—</t>
        </is>
      </c>
      <c r="AF13" s="20" t="inlineStr">
        <is>
          <t>—</t>
        </is>
      </c>
      <c r="AG13" s="20" t="inlineStr">
        <is>
          <t>—</t>
        </is>
      </c>
      <c r="AH13" s="20" t="inlineStr">
        <is>
          <t>身经百战：与相邻敌人战斗时，命中+10</t>
        </is>
      </c>
      <c r="AI13" s="20" t="n"/>
      <c r="AJ13" s="20" t="n"/>
      <c r="AK13" s="20" t="n"/>
      <c r="AL13" s="20" t="n"/>
      <c r="AM13" s="20" t="n"/>
      <c r="AN13" s="20" t="n"/>
      <c r="AO13" s="20" t="inlineStr">
        <is>
          <t>平田 宏美</t>
        </is>
      </c>
      <c r="AP13" s="20" t="inlineStr">
        <is>
          <t>为了赚取独生女的教育费而来到鞑古西翁的前佣兵。 现役时期是被称为“铁血的米卡埃拉”的实力者，连号称“巴佛斯的鬼熊”的巴卡尼亚也听说过她的名号。</t>
        </is>
      </c>
    </row>
    <row r="14">
      <c r="A14" s="15" t="n">
        <v>12</v>
      </c>
      <c r="B14" s="15" t="inlineStr">
        <is>
          <t>梅加埃拉的灯火</t>
        </is>
      </c>
      <c r="C14" s="15" t="inlineStr">
        <is>
          <t>波拿帕尔特</t>
        </is>
      </c>
      <c r="D14" s="15" t="inlineStr">
        <is>
          <t>ボナパルテ</t>
        </is>
      </c>
      <c r="E14" s="15" t="inlineStr">
        <is>
          <t>诅咒师</t>
        </is>
      </c>
      <c r="F14" s="19" t="n">
        <v>35</v>
      </c>
      <c r="G14" s="19" t="n">
        <v>35</v>
      </c>
      <c r="H14" s="19" t="n">
        <v>45</v>
      </c>
      <c r="I14" s="19" t="n">
        <v>40</v>
      </c>
      <c r="J14" s="19" t="n">
        <v>50</v>
      </c>
      <c r="K14" s="19" t="n">
        <v>30</v>
      </c>
      <c r="L14" s="19" t="n">
        <v>40</v>
      </c>
      <c r="M14" s="19" t="n">
        <v>35</v>
      </c>
      <c r="N14" s="19" t="n">
        <v>40</v>
      </c>
      <c r="O14" s="15">
        <f>IF(COUNT(F14:N14)=0,"—",SUM(F14:N14))</f>
        <v/>
      </c>
      <c r="P14" s="20" t="inlineStr">
        <is>
          <t>—</t>
        </is>
      </c>
      <c r="Q14" s="20" t="inlineStr">
        <is>
          <t>—</t>
        </is>
      </c>
      <c r="R14" s="20" t="inlineStr">
        <is>
          <t>剑术・白魔法・黑魔法・指挥</t>
        </is>
      </c>
      <c r="S14" s="20" t="inlineStr">
        <is>
          <t>先知</t>
        </is>
      </c>
      <c r="T14" s="20" t="inlineStr">
        <is>
          <t>诅咒师 ▼ 萨满巫师 ▼ 祭司※</t>
        </is>
      </c>
      <c r="U14" s="20" t="inlineStr">
        <is>
          <t>指挥・白魔法・黑魔法・剑术</t>
        </is>
      </c>
      <c r="V14" s="20" t="inlineStr">
        <is>
          <t>—</t>
        </is>
      </c>
      <c r="W14" s="20" t="inlineStr">
        <is>
          <t>—</t>
        </is>
      </c>
      <c r="X14" s="20" t="inlineStr">
        <is>
          <t>—</t>
        </is>
      </c>
      <c r="Y14" s="20" t="inlineStr">
        <is>
          <t>—</t>
        </is>
      </c>
      <c r="Z14" s="20" t="inlineStr">
        <is>
          <t>—</t>
        </is>
      </c>
      <c r="AA14" s="20" t="inlineStr">
        <is>
          <t>—</t>
        </is>
      </c>
      <c r="AB14" s="20" t="inlineStr">
        <is>
          <t>—</t>
        </is>
      </c>
      <c r="AC14" s="20" t="inlineStr">
        <is>
          <t>—</t>
        </is>
      </c>
      <c r="AD14" s="20" t="inlineStr">
        <is>
          <t>—</t>
        </is>
      </c>
      <c r="AE14" s="20" t="inlineStr">
        <is>
          <t>—</t>
        </is>
      </c>
      <c r="AF14" s="20" t="inlineStr">
        <is>
          <t>—</t>
        </is>
      </c>
      <c r="AG14" s="20" t="inlineStr">
        <is>
          <t>—</t>
        </is>
      </c>
      <c r="AH14" s="20" t="inlineStr">
        <is>
          <t>出谋划策：相邻己方技巧+3</t>
        </is>
      </c>
      <c r="AI14" s="20" t="n"/>
      <c r="AJ14" s="20" t="n"/>
      <c r="AK14" s="20" t="n"/>
      <c r="AL14" s="20" t="n"/>
      <c r="AM14" s="20" t="n"/>
      <c r="AN14" s="20" t="n"/>
      <c r="AO14" s="20" t="inlineStr">
        <is>
          <t>鶴岡 聡</t>
        </is>
      </c>
      <c r="AP14" s="20" t="inlineStr">
        <is>
          <t>作为主人公赛奥多拉的得力助手，至今仍在前线活跃 的 萨拉弥斯 王国 的贤将。 在禁止使用文字的王国中，他记忆 着 萨拉弥斯 的 历史和智慧的一切。</t>
        </is>
      </c>
    </row>
    <row r="15">
      <c r="A15" s="15" t="n">
        <v>13</v>
      </c>
      <c r="B15" s="15" t="inlineStr">
        <is>
          <t>梅加埃拉的灯火</t>
        </is>
      </c>
      <c r="C15" s="15" t="inlineStr">
        <is>
          <t>托比亚斯</t>
        </is>
      </c>
      <c r="D15" s="15" t="inlineStr">
        <is>
          <t>トビヤス</t>
        </is>
      </c>
      <c r="E15" s="15" t="inlineStr">
        <is>
          <t>重装步兵</t>
        </is>
      </c>
      <c r="F15" s="19" t="n">
        <v>55</v>
      </c>
      <c r="G15" s="19" t="n">
        <v>60</v>
      </c>
      <c r="H15" s="19" t="n">
        <v>15</v>
      </c>
      <c r="I15" s="19" t="n">
        <v>25</v>
      </c>
      <c r="J15" s="19" t="n">
        <v>30</v>
      </c>
      <c r="K15" s="19" t="n">
        <v>45</v>
      </c>
      <c r="L15" s="19" t="n">
        <v>20</v>
      </c>
      <c r="M15" s="19" t="n">
        <v>40</v>
      </c>
      <c r="N15" s="19" t="n">
        <v>35</v>
      </c>
      <c r="O15" s="15">
        <f>IF(COUNT(F15:N15)=0,"—",SUM(F15:N15))</f>
        <v/>
      </c>
      <c r="P15" s="20" t="inlineStr">
        <is>
          <t>守备数值高，适合担任盾役的角色</t>
        </is>
      </c>
      <c r="Q15" s="20" t="inlineStr">
        <is>
          <t>—</t>
        </is>
      </c>
      <c r="R15" s="20" t="inlineStr">
        <is>
          <t>斧术・马术・重装</t>
        </is>
      </c>
      <c r="S15" s="20" t="inlineStr">
        <is>
          <t>巨重甲骑士</t>
        </is>
      </c>
      <c r="T15" s="20" t="inlineStr">
        <is>
          <t>斗士 ▼ 土匪 ▼ 勇士</t>
        </is>
      </c>
      <c r="U15" s="20" t="inlineStr">
        <is>
          <t>斧术・马术</t>
        </is>
      </c>
      <c r="V15" s="20" t="inlineStr">
        <is>
          <t>—</t>
        </is>
      </c>
      <c r="W15" s="20" t="inlineStr">
        <is>
          <t>—</t>
        </is>
      </c>
      <c r="X15" s="20" t="inlineStr">
        <is>
          <t>—</t>
        </is>
      </c>
      <c r="Y15" s="20" t="inlineStr">
        <is>
          <t>—</t>
        </is>
      </c>
      <c r="Z15" s="20" t="inlineStr">
        <is>
          <t>—</t>
        </is>
      </c>
      <c r="AA15" s="20" t="inlineStr">
        <is>
          <t>—</t>
        </is>
      </c>
      <c r="AB15" s="20" t="inlineStr">
        <is>
          <t>—</t>
        </is>
      </c>
      <c r="AC15" s="20" t="inlineStr">
        <is>
          <t>—</t>
        </is>
      </c>
      <c r="AD15" s="20" t="inlineStr">
        <is>
          <t>—</t>
        </is>
      </c>
      <c r="AE15" s="20" t="inlineStr">
        <is>
          <t>—</t>
        </is>
      </c>
      <c r="AF15" s="20" t="inlineStr">
        <is>
          <t>—</t>
        </is>
      </c>
      <c r="AG15" s="20" t="inlineStr">
        <is>
          <t>—</t>
        </is>
      </c>
      <c r="AH15" s="20" t="inlineStr">
        <is>
          <t>大招：以战技攻击时，攻击力+3</t>
        </is>
      </c>
      <c r="AI15" s="20" t="n"/>
      <c r="AJ15" s="20" t="n"/>
      <c r="AK15" s="20" t="n"/>
      <c r="AL15" s="20" t="n"/>
      <c r="AM15" s="20" t="n"/>
      <c r="AN15" s="20" t="n"/>
      <c r="AO15" s="20" t="inlineStr">
        <is>
          <t>利根 健太朗</t>
        </is>
      </c>
      <c r="AP15" s="20" t="inlineStr">
        <is>
          <t>称女王赛奥多拉为“小姐”的，以力量和防御为傲 的 萨拉弥斯 刚毅 之将。 与波拿巴一样，从先代国王的时代起就为国家效力，在战场上立下无数战功。 不擅长动脑筋，很难记住别人的名字。</t>
        </is>
      </c>
    </row>
    <row r="16">
      <c r="A16" s="15" t="n">
        <v>14</v>
      </c>
      <c r="B16" s="15" t="inlineStr">
        <is>
          <t>梅加埃拉的灯火</t>
        </is>
      </c>
      <c r="C16" s="15" t="inlineStr">
        <is>
          <t>莉莉安</t>
        </is>
      </c>
      <c r="D16" s="15" t="inlineStr">
        <is>
          <t>リリアン</t>
        </is>
      </c>
      <c r="E16" s="15" t="inlineStr">
        <is>
          <t>平民</t>
        </is>
      </c>
      <c r="F16" s="19" t="n">
        <v>35</v>
      </c>
      <c r="G16" s="19" t="n">
        <v>35</v>
      </c>
      <c r="H16" s="19" t="n">
        <v>30</v>
      </c>
      <c r="I16" s="19" t="n">
        <v>40</v>
      </c>
      <c r="J16" s="19" t="n">
        <v>55</v>
      </c>
      <c r="K16" s="19" t="n">
        <v>30</v>
      </c>
      <c r="L16" s="19" t="n">
        <v>35</v>
      </c>
      <c r="M16" s="19" t="n">
        <v>50</v>
      </c>
      <c r="N16" s="19" t="n">
        <v>25</v>
      </c>
      <c r="O16" s="15">
        <f>IF(COUNT(F16:N16)=0,"—",SUM(F16:N16))</f>
        <v/>
      </c>
      <c r="P16" s="20" t="inlineStr">
        <is>
          <t>—</t>
        </is>
      </c>
      <c r="Q16" s="20" t="inlineStr">
        <is>
          <t>—</t>
        </is>
      </c>
      <c r="R16" s="20" t="inlineStr">
        <is>
          <t>弓术・步兵</t>
        </is>
      </c>
      <c r="S16" s="20" t="inlineStr">
        <is>
          <t>狙击手 ｜ 游侠 ｜ 神金骑士</t>
        </is>
      </c>
      <c r="T16" s="20" t="inlineStr">
        <is>
          <t>猎兵 ▼ 弓箭手 ▼ 狙击手</t>
        </is>
      </c>
      <c r="U16" s="20" t="inlineStr">
        <is>
          <t>弓术・步兵</t>
        </is>
      </c>
      <c r="V16" s="20" t="inlineStr">
        <is>
          <t>—</t>
        </is>
      </c>
      <c r="W16" s="20" t="inlineStr">
        <is>
          <t>—</t>
        </is>
      </c>
      <c r="X16" s="20" t="inlineStr">
        <is>
          <t>—</t>
        </is>
      </c>
      <c r="Y16" s="20" t="inlineStr">
        <is>
          <t>—</t>
        </is>
      </c>
      <c r="Z16" s="20" t="inlineStr">
        <is>
          <t>—</t>
        </is>
      </c>
      <c r="AA16" s="20" t="inlineStr">
        <is>
          <t>—</t>
        </is>
      </c>
      <c r="AB16" s="20" t="inlineStr">
        <is>
          <t>—</t>
        </is>
      </c>
      <c r="AC16" s="20" t="inlineStr">
        <is>
          <t>—</t>
        </is>
      </c>
      <c r="AD16" s="20" t="inlineStr">
        <is>
          <t>—</t>
        </is>
      </c>
      <c r="AE16" s="20" t="inlineStr">
        <is>
          <t>—</t>
        </is>
      </c>
      <c r="AF16" s="20" t="inlineStr">
        <is>
          <t>—</t>
        </is>
      </c>
      <c r="AG16" s="20" t="inlineStr">
        <is>
          <t>—</t>
        </is>
      </c>
      <c r="AH16" s="20" t="inlineStr">
        <is>
          <t>稳妥之策：战斗时若敌人无法反击，命中+10</t>
        </is>
      </c>
      <c r="AI16" s="20" t="n"/>
      <c r="AJ16" s="20" t="n"/>
      <c r="AK16" s="20" t="n"/>
      <c r="AL16" s="20" t="n"/>
      <c r="AM16" s="20" t="n"/>
      <c r="AN16" s="20" t="n"/>
      <c r="AO16" s="20" t="inlineStr">
        <is>
          <t>斉藤 朱夏</t>
        </is>
      </c>
      <c r="AP16" s="20" t="inlineStr">
        <is>
          <t>萨拉米斯的年轻弓兵。视金钱高于一切，对主人赛奥朵拉也常有失礼言行，但弓术确实了得。身世略为复杂，在内乱导致父亲失势之前出身名门。</t>
        </is>
      </c>
    </row>
    <row r="17">
      <c r="A17" s="15" t="n">
        <v>15</v>
      </c>
      <c r="B17" s="15" t="inlineStr">
        <is>
          <t>梅加埃拉的灯火</t>
        </is>
      </c>
      <c r="C17" s="15" t="inlineStr">
        <is>
          <t>莱桑德</t>
        </is>
      </c>
      <c r="D17" s="15" t="inlineStr">
        <is>
          <t>ライサンダー</t>
        </is>
      </c>
      <c r="E17" s="15" t="inlineStr">
        <is>
          <t>—</t>
        </is>
      </c>
      <c r="F17" s="19" t="n">
        <v>45</v>
      </c>
      <c r="G17" s="19" t="n">
        <v>40</v>
      </c>
      <c r="H17" s="19" t="n">
        <v>25</v>
      </c>
      <c r="I17" s="19" t="n">
        <v>50</v>
      </c>
      <c r="J17" s="19" t="n">
        <v>35</v>
      </c>
      <c r="K17" s="19" t="n">
        <v>40</v>
      </c>
      <c r="L17" s="19" t="n">
        <v>25</v>
      </c>
      <c r="M17" s="19" t="n">
        <v>30</v>
      </c>
      <c r="N17" s="19" t="n">
        <v>30</v>
      </c>
      <c r="O17" s="15">
        <f>IF(COUNT(F17:N17)=0,"—",SUM(F17:N17))</f>
        <v/>
      </c>
      <c r="P17" s="20" t="inlineStr">
        <is>
          <t>—</t>
        </is>
      </c>
      <c r="Q17" s="20" t="inlineStr">
        <is>
          <t>—</t>
        </is>
      </c>
      <c r="R17" s="20" t="inlineStr">
        <is>
          <t>枪术・斧术・马术・飞行</t>
        </is>
      </c>
      <c r="S17" s="20" t="inlineStr">
        <is>
          <t>荣光骑士 ｜ 龙骑士</t>
        </is>
      </c>
      <c r="T17" s="20" t="inlineStr">
        <is>
          <t>斗士 ▼ 轻骑兵 ▼ 荣光骑士</t>
        </is>
      </c>
      <c r="U17" s="20" t="inlineStr">
        <is>
          <t>斧术・飞行・马术・枪术</t>
        </is>
      </c>
      <c r="V17" s="20" t="inlineStr">
        <is>
          <t>—</t>
        </is>
      </c>
      <c r="W17" s="20" t="inlineStr">
        <is>
          <t>—</t>
        </is>
      </c>
      <c r="X17" s="20" t="inlineStr">
        <is>
          <t>—</t>
        </is>
      </c>
      <c r="Y17" s="20" t="inlineStr">
        <is>
          <t>—</t>
        </is>
      </c>
      <c r="Z17" s="20" t="inlineStr">
        <is>
          <t>—</t>
        </is>
      </c>
      <c r="AA17" s="20" t="inlineStr">
        <is>
          <t>—</t>
        </is>
      </c>
      <c r="AB17" s="20" t="inlineStr">
        <is>
          <t>—</t>
        </is>
      </c>
      <c r="AC17" s="20" t="inlineStr">
        <is>
          <t>—</t>
        </is>
      </c>
      <c r="AD17" s="20" t="inlineStr">
        <is>
          <t>—</t>
        </is>
      </c>
      <c r="AE17" s="20" t="inlineStr">
        <is>
          <t>—</t>
        </is>
      </c>
      <c r="AF17" s="20" t="inlineStr">
        <is>
          <t>—</t>
        </is>
      </c>
      <c r="AG17" s="20" t="inlineStr">
        <is>
          <t>—</t>
        </is>
      </c>
      <c r="AH17" s="20" t="inlineStr">
        <is>
          <t>疾走攻击：先手战斗时，回避+15</t>
        </is>
      </c>
      <c r="AI17" s="20" t="n"/>
      <c r="AJ17" s="20" t="n"/>
      <c r="AK17" s="20" t="n"/>
      <c r="AL17" s="20" t="n"/>
      <c r="AM17" s="20" t="n"/>
      <c r="AN17" s="20" t="n"/>
      <c r="AO17" s="20" t="inlineStr">
        <is>
          <t>柳田 淳一</t>
        </is>
      </c>
      <c r="AP17" s="20" t="inlineStr">
        <is>
          <t>萨拉米斯的俊才骑士。出身名门，叔父是现任宰相，父亲也以伟大战士之名载入王国史册。忠诚且实力出众，但因不想倚靠血统、想凭功绩立身，有时也会冒进。</t>
        </is>
      </c>
    </row>
    <row r="18">
      <c r="A18" s="15" t="n">
        <v>16</v>
      </c>
      <c r="B18" s="15" t="inlineStr">
        <is>
          <t>蔷薇风暴</t>
        </is>
      </c>
      <c r="C18" s="15" t="inlineStr">
        <is>
          <t>巴卡尼亚</t>
        </is>
      </c>
      <c r="D18" s="15" t="inlineStr">
        <is>
          <t>バッカニア</t>
        </is>
      </c>
      <c r="E18" s="15" t="inlineStr">
        <is>
          <t>平民</t>
        </is>
      </c>
      <c r="F18" s="19" t="n">
        <v>50</v>
      </c>
      <c r="G18" s="19" t="n">
        <v>50</v>
      </c>
      <c r="H18" s="19" t="n">
        <v>20</v>
      </c>
      <c r="I18" s="19" t="n">
        <v>25</v>
      </c>
      <c r="J18" s="19" t="n">
        <v>40</v>
      </c>
      <c r="K18" s="19" t="n">
        <v>45</v>
      </c>
      <c r="L18" s="19" t="n">
        <v>20</v>
      </c>
      <c r="M18" s="19" t="n">
        <v>30</v>
      </c>
      <c r="N18" s="19" t="n">
        <v>35</v>
      </c>
      <c r="O18" s="15">
        <f>IF(COUNT(F18:N18)=0,"—",SUM(F18:N18))</f>
        <v/>
      </c>
      <c r="P18" s="20" t="inlineStr">
        <is>
          <t>守备型角色；战斗中以强韧肉体挡下敌人攻击，再用擅长的斧头反击</t>
        </is>
      </c>
      <c r="Q18" s="20" t="inlineStr">
        <is>
          <t>斧术D・马术E+・重装E+ 向</t>
        </is>
      </c>
      <c r="R18" s="20" t="inlineStr">
        <is>
          <t>枪术・斧术・马术・重装</t>
        </is>
      </c>
      <c r="S18" s="20" t="inlineStr">
        <is>
          <t>巨重甲骑士</t>
        </is>
      </c>
      <c r="T18" s="20" t="inlineStr">
        <is>
          <t>斗士 ▼ 轻骑兵 ▼ 荣光骑士</t>
        </is>
      </c>
      <c r="U18" s="20" t="inlineStr">
        <is>
          <t>斧术・枪术</t>
        </is>
      </c>
      <c r="V18" s="20" t="inlineStr">
        <is>
          <t>E</t>
        </is>
      </c>
      <c r="W18" s="20" t="inlineStr">
        <is>
          <t>E+</t>
        </is>
      </c>
      <c r="X18" s="20" t="inlineStr">
        <is>
          <t>D</t>
        </is>
      </c>
      <c r="Y18" s="20" t="inlineStr">
        <is>
          <t>E</t>
        </is>
      </c>
      <c r="Z18" s="20" t="inlineStr">
        <is>
          <t>E</t>
        </is>
      </c>
      <c r="AA18" s="20" t="inlineStr">
        <is>
          <t>E</t>
        </is>
      </c>
      <c r="AB18" s="20" t="inlineStr">
        <is>
          <t>E</t>
        </is>
      </c>
      <c r="AC18" s="20" t="inlineStr">
        <is>
          <t>E+</t>
        </is>
      </c>
      <c r="AD18" s="20" t="inlineStr">
        <is>
          <t>E</t>
        </is>
      </c>
      <c r="AE18" s="20" t="inlineStr">
        <is>
          <t>E+</t>
        </is>
      </c>
      <c r="AF18" s="20" t="inlineStr">
        <is>
          <t>E+</t>
        </is>
      </c>
      <c r="AG18" s="20" t="inlineStr">
        <is>
          <t>E</t>
        </is>
      </c>
      <c r="AH18" s="20" t="inlineStr">
        <is>
          <t>守护骑士的职责：被攻击时，受到的伤害降为90%</t>
        </is>
      </c>
      <c r="AI18" s="20" t="n"/>
      <c r="AJ18" s="20" t="inlineStr">
        <is>
          <t>尖刺</t>
        </is>
      </c>
      <c r="AK18" s="20" t="n"/>
      <c r="AL18" s="20" t="inlineStr">
        <is>
          <t>青铜斧</t>
        </is>
      </c>
      <c r="AM18" s="20" t="n"/>
      <c r="AN18" s="20" t="n"/>
      <c r="AO18" s="20" t="inlineStr">
        <is>
          <t>石井 隆之</t>
        </is>
      </c>
      <c r="AP18" s="20" t="inlineStr">
        <is>
          <t>拥有“鬼熊”异名的历战武人。 长年侍奉主人公蕾达的父亲，因此留有余韵，也会出现称蕾达为“公主”的场面。 虽陪伴蕾达踏上复仇之旅，心中却怀抱着复杂的情感。</t>
        </is>
      </c>
    </row>
    <row r="19">
      <c r="A19" s="15" t="n">
        <v>17</v>
      </c>
      <c r="B19" s="15" t="inlineStr">
        <is>
          <t>蔷薇风暴</t>
        </is>
      </c>
      <c r="C19" s="15" t="inlineStr">
        <is>
          <t>西洛可</t>
        </is>
      </c>
      <c r="D19" s="15" t="inlineStr">
        <is>
          <t>シロッコ</t>
        </is>
      </c>
      <c r="E19" s="15" t="inlineStr">
        <is>
          <t>平民</t>
        </is>
      </c>
      <c r="F19" s="19" t="n">
        <v>40</v>
      </c>
      <c r="G19" s="19" t="n">
        <v>40</v>
      </c>
      <c r="H19" s="19" t="n">
        <v>40</v>
      </c>
      <c r="I19" s="19" t="n">
        <v>45</v>
      </c>
      <c r="J19" s="19" t="n">
        <v>50</v>
      </c>
      <c r="K19" s="19" t="n">
        <v>35</v>
      </c>
      <c r="L19" s="19" t="n">
        <v>35</v>
      </c>
      <c r="M19" s="19" t="n">
        <v>50</v>
      </c>
      <c r="N19" s="19" t="n">
        <v>45</v>
      </c>
      <c r="O19" s="15">
        <f>IF(COUNT(F19:N19)=0,"—",SUM(F19:N19))</f>
        <v/>
      </c>
      <c r="P19" s="20" t="inlineStr">
        <is>
          <t>战斗中轻巧地交替使用剑与魔法，玩弄敌人于股掌</t>
        </is>
      </c>
      <c r="Q19" s="20" t="inlineStr">
        <is>
          <t>黑魔法D・白魔法D・剑术D 向</t>
        </is>
      </c>
      <c r="R19" s="20" t="inlineStr">
        <is>
          <t>剑术・黑魔法・白魔法・指挥</t>
        </is>
      </c>
      <c r="S19" s="20" t="inlineStr">
        <is>
          <t>先知</t>
        </is>
      </c>
      <c r="T19" s="20" t="inlineStr">
        <is>
          <t>诅咒师 ▼ 萨满巫师 ▼ 祭司※</t>
        </is>
      </c>
      <c r="U19" s="20" t="inlineStr">
        <is>
          <t>指挥・白魔法・黑魔法・剑术</t>
        </is>
      </c>
      <c r="V19" s="20" t="inlineStr">
        <is>
          <t>D</t>
        </is>
      </c>
      <c r="W19" s="20" t="inlineStr">
        <is>
          <t>E</t>
        </is>
      </c>
      <c r="X19" s="20" t="inlineStr">
        <is>
          <t>E</t>
        </is>
      </c>
      <c r="Y19" s="20" t="inlineStr">
        <is>
          <t>E</t>
        </is>
      </c>
      <c r="Z19" s="20" t="inlineStr">
        <is>
          <t>E</t>
        </is>
      </c>
      <c r="AA19" s="20" t="inlineStr">
        <is>
          <t>D</t>
        </is>
      </c>
      <c r="AB19" s="20" t="inlineStr">
        <is>
          <t>D</t>
        </is>
      </c>
      <c r="AC19" s="20" t="inlineStr">
        <is>
          <t>E</t>
        </is>
      </c>
      <c r="AD19" s="20" t="inlineStr">
        <is>
          <t>E</t>
        </is>
      </c>
      <c r="AE19" s="20" t="inlineStr">
        <is>
          <t>E</t>
        </is>
      </c>
      <c r="AF19" s="20" t="inlineStr">
        <is>
          <t>E</t>
        </is>
      </c>
      <c r="AG19" s="20" t="inlineStr">
        <is>
          <t>E</t>
        </is>
      </c>
      <c r="AH19" s="20" t="inlineStr">
        <is>
          <t>女神的恩宠：战斗后，自身回复5 HP</t>
        </is>
      </c>
      <c r="AI19" s="20" t="n"/>
      <c r="AJ19" s="20" t="inlineStr">
        <is>
          <t>両断</t>
        </is>
      </c>
      <c r="AK19" s="20" t="inlineStr">
        <is>
          <t>风・回复</t>
        </is>
      </c>
      <c r="AL19" s="20" t="inlineStr">
        <is>
          <t>青铜剑</t>
        </is>
      </c>
      <c r="AM19" s="20" t="n"/>
      <c r="AN19" s="20" t="n"/>
      <c r="AO19" s="20" t="inlineStr">
        <is>
          <t>三浦 勝之</t>
        </is>
      </c>
      <c r="AP19" s="20" t="inlineStr">
        <is>
          <t>现身于正在复仇之旅的蕾达面前的、充满谜团的吟游诗人。 自称“反复无常的风”，一见到美丽女性就必定上前搭讪，性格轻浮，却也兼备敏锐的洞察力与深厚的教养。</t>
        </is>
      </c>
    </row>
    <row r="20">
      <c r="A20" s="15" t="n">
        <v>18</v>
      </c>
      <c r="B20" s="15" t="inlineStr">
        <is>
          <t>蔷薇风暴</t>
        </is>
      </c>
      <c r="C20" s="15" t="inlineStr">
        <is>
          <t>奥琳琵娅</t>
        </is>
      </c>
      <c r="D20" s="15" t="inlineStr">
        <is>
          <t>オリンピア</t>
        </is>
      </c>
      <c r="E20" s="15" t="inlineStr">
        <is>
          <t>诅咒师</t>
        </is>
      </c>
      <c r="F20" s="19" t="n">
        <v>40</v>
      </c>
      <c r="G20" s="19" t="n">
        <v>30</v>
      </c>
      <c r="H20" s="19" t="n">
        <v>65</v>
      </c>
      <c r="I20" s="19" t="n">
        <v>35</v>
      </c>
      <c r="J20" s="19" t="n">
        <v>40</v>
      </c>
      <c r="K20" s="19" t="n">
        <v>25</v>
      </c>
      <c r="L20" s="19" t="n">
        <v>50</v>
      </c>
      <c r="M20" s="19" t="n">
        <v>40</v>
      </c>
      <c r="N20" s="19" t="n">
        <v>40</v>
      </c>
      <c r="O20" s="15">
        <f>IF(COUNT(F20:N20)=0,"—",SUM(F20:N20))</f>
        <v/>
      </c>
      <c r="P20" s="20" t="inlineStr">
        <is>
          <t>魔法型角色；精通白魔法的奥林匹亚</t>
        </is>
      </c>
      <c r="Q20" s="20" t="inlineStr">
        <is>
          <t>白魔法D・黑魔法E+ 向</t>
        </is>
      </c>
      <c r="R20" s="20" t="inlineStr">
        <is>
          <t>斧术・白魔法</t>
        </is>
      </c>
      <c r="S20" s="20" t="inlineStr">
        <is>
          <t>主教</t>
        </is>
      </c>
      <c r="T20" s="20" t="inlineStr">
        <is>
          <t>诅咒师 ▼ 萨满巫师 ▼ 祭司※</t>
        </is>
      </c>
      <c r="U20" s="20" t="inlineStr">
        <is>
          <t>斧术・白魔法</t>
        </is>
      </c>
      <c r="V20" s="20" t="inlineStr">
        <is>
          <t>E</t>
        </is>
      </c>
      <c r="W20" s="20" t="inlineStr">
        <is>
          <t>E</t>
        </is>
      </c>
      <c r="X20" s="20" t="inlineStr">
        <is>
          <t>E</t>
        </is>
      </c>
      <c r="Y20" s="20" t="inlineStr">
        <is>
          <t>E</t>
        </is>
      </c>
      <c r="Z20" s="20" t="inlineStr">
        <is>
          <t>E</t>
        </is>
      </c>
      <c r="AA20" s="20" t="inlineStr">
        <is>
          <t>E+</t>
        </is>
      </c>
      <c r="AB20" s="20" t="inlineStr">
        <is>
          <t>D</t>
        </is>
      </c>
      <c r="AC20" s="20" t="inlineStr">
        <is>
          <t>E</t>
        </is>
      </c>
      <c r="AD20" s="20" t="inlineStr">
        <is>
          <t>E</t>
        </is>
      </c>
      <c r="AE20" s="20" t="inlineStr">
        <is>
          <t>E</t>
        </is>
      </c>
      <c r="AF20" s="20" t="inlineStr">
        <is>
          <t>E</t>
        </is>
      </c>
      <c r="AG20" s="20" t="inlineStr">
        <is>
          <t>E</t>
        </is>
      </c>
      <c r="AH20" s="20" t="inlineStr">
        <is>
          <t>好胜心：装备魔法时，必杀+10</t>
        </is>
      </c>
      <c r="AI20" s="20" t="n"/>
      <c r="AJ20" s="20" t="n"/>
      <c r="AK20" s="20" t="inlineStr">
        <is>
          <t>吸血・回复</t>
        </is>
      </c>
      <c r="AL20" s="20" t="n"/>
      <c r="AM20" s="20" t="n"/>
      <c r="AN20" s="20" t="n"/>
      <c r="AO20" s="20" t="inlineStr">
        <is>
          <t>巽 悠衣子</t>
        </is>
      </c>
      <c r="AP20" s="20" t="inlineStr">
        <is>
          <t>鞑古希翁上层卡拉神殿侍奉的热情神官。 被授予“卡尔瑟斯的玫瑰”称号，拥有歌唱与艺术的天赋。 似乎与蕾达有过去的恩怨，燃烧着强烈的竞争心。</t>
        </is>
      </c>
    </row>
    <row r="21">
      <c r="A21" s="15" t="n">
        <v>19</v>
      </c>
      <c r="B21" s="15" t="inlineStr">
        <is>
          <t>蔷薇风暴</t>
        </is>
      </c>
      <c r="C21" s="15" t="inlineStr">
        <is>
          <t>穆</t>
        </is>
      </c>
      <c r="D21" s="15" t="inlineStr">
        <is>
          <t>ムウ</t>
        </is>
      </c>
      <c r="E21" s="15" t="inlineStr">
        <is>
          <t>平民</t>
        </is>
      </c>
      <c r="F21" s="19" t="n">
        <v>50</v>
      </c>
      <c r="G21" s="19" t="n">
        <v>50</v>
      </c>
      <c r="H21" s="19" t="n">
        <v>25</v>
      </c>
      <c r="I21" s="19" t="n">
        <v>50</v>
      </c>
      <c r="J21" s="19" t="n">
        <v>50</v>
      </c>
      <c r="K21" s="19" t="n">
        <v>40</v>
      </c>
      <c r="L21" s="19" t="n">
        <v>30</v>
      </c>
      <c r="M21" s="19" t="n">
        <v>30</v>
      </c>
      <c r="N21" s="19" t="n">
        <v>40</v>
      </c>
      <c r="O21" s="15">
        <f>IF(COUNT(F21:N21)=0,"—",SUM(F21:N21))</f>
        <v/>
      </c>
      <c r="P21" s="20" t="inlineStr">
        <is>
          <t>战斗中以护手进行近身战造成伤害</t>
        </is>
      </c>
      <c r="Q21" s="20" t="inlineStr">
        <is>
          <t>格斗术D 向</t>
        </is>
      </c>
      <c r="R21" s="20" t="inlineStr">
        <is>
          <t>剑术・斧术・格斗术・白魔法</t>
        </is>
      </c>
      <c r="S21" s="20" t="inlineStr">
        <is>
          <t>勇士</t>
        </is>
      </c>
      <c r="T21" s="20" t="inlineStr">
        <is>
          <t>斗士 ▼ 土匪 ▼ 勇士</t>
        </is>
      </c>
      <c r="U21" s="20" t="inlineStr">
        <is>
          <t>斧术・格斗术・白魔法・剑术</t>
        </is>
      </c>
      <c r="V21" s="20" t="inlineStr">
        <is>
          <t>E</t>
        </is>
      </c>
      <c r="W21" s="20" t="inlineStr">
        <is>
          <t>E</t>
        </is>
      </c>
      <c r="X21" s="20" t="inlineStr">
        <is>
          <t>E</t>
        </is>
      </c>
      <c r="Y21" s="20" t="inlineStr">
        <is>
          <t>E</t>
        </is>
      </c>
      <c r="Z21" s="20" t="inlineStr">
        <is>
          <t>D</t>
        </is>
      </c>
      <c r="AA21" s="20" t="inlineStr">
        <is>
          <t>E</t>
        </is>
      </c>
      <c r="AB21" s="20" t="inlineStr">
        <is>
          <t>E</t>
        </is>
      </c>
      <c r="AC21" s="20" t="inlineStr">
        <is>
          <t>E</t>
        </is>
      </c>
      <c r="AD21" s="20" t="inlineStr">
        <is>
          <t>E</t>
        </is>
      </c>
      <c r="AE21" s="20" t="inlineStr">
        <is>
          <t>E</t>
        </is>
      </c>
      <c r="AF21" s="20" t="inlineStr">
        <is>
          <t>E</t>
        </is>
      </c>
      <c r="AG21" s="20" t="inlineStr">
        <is>
          <t>E</t>
        </is>
      </c>
      <c r="AH21" s="20" t="inlineStr">
        <is>
          <t>成长的征兆：升级时基本能力更易成长</t>
        </is>
      </c>
      <c r="AI21" s="20" t="n"/>
      <c r="AJ21" s="20" t="inlineStr">
        <is>
          <t>活殺一撃</t>
        </is>
      </c>
      <c r="AK21" s="20" t="n"/>
      <c r="AL21" s="20" t="inlineStr">
        <is>
          <t>木制手甲</t>
        </is>
      </c>
      <c r="AM21" s="20" t="n"/>
      <c r="AN21" s="20" t="n"/>
      <c r="AO21" s="20" t="inlineStr">
        <is>
          <t>山口 茜</t>
        </is>
      </c>
      <c r="AP21" s="20" t="inlineStr">
        <is>
          <t>为了寻找音讯全无的母亲而离家出走的、还带着一丝稚气的少女。 在追寻母亲下落的过程中，遇到了继续复仇之旅的蕾达。 为了从各种危险中保护自己，有意让自己的打扮和语气变得有点男性化。</t>
        </is>
      </c>
    </row>
    <row r="22">
      <c r="A22" s="15" t="n">
        <v>20</v>
      </c>
      <c r="B22" s="15" t="inlineStr">
        <is>
          <t>炎之鬃</t>
        </is>
      </c>
      <c r="C22" s="15" t="inlineStr">
        <is>
          <t>贝尔特兰</t>
        </is>
      </c>
      <c r="D22" s="15" t="inlineStr">
        <is>
          <t>ベルトラン</t>
        </is>
      </c>
      <c r="E22" s="15" t="inlineStr">
        <is>
          <t>—</t>
        </is>
      </c>
      <c r="F22" s="19" t="n">
        <v>50</v>
      </c>
      <c r="G22" s="19" t="n">
        <v>55</v>
      </c>
      <c r="H22" s="19" t="n">
        <v>15</v>
      </c>
      <c r="I22" s="19" t="n">
        <v>45</v>
      </c>
      <c r="J22" s="19" t="n">
        <v>50</v>
      </c>
      <c r="K22" s="19" t="n">
        <v>45</v>
      </c>
      <c r="L22" s="19" t="n">
        <v>20</v>
      </c>
      <c r="M22" s="19" t="n">
        <v>30</v>
      </c>
      <c r="N22" s="19" t="n">
        <v>50</v>
      </c>
      <c r="O22" s="15">
        <f>IF(COUNT(F22:N22)=0,"—",SUM(F22:N22))</f>
        <v/>
      </c>
      <c r="P22" s="20" t="inlineStr">
        <is>
          <t>—</t>
        </is>
      </c>
      <c r="Q22" s="20" t="inlineStr">
        <is>
          <t>—</t>
        </is>
      </c>
      <c r="R22" s="20" t="inlineStr">
        <is>
          <t>剑术・斧术・格斗术・指挥</t>
        </is>
      </c>
      <c r="S22" s="20" t="inlineStr">
        <is>
          <t>—</t>
        </is>
      </c>
      <c r="T22" s="20" t="inlineStr">
        <is>
          <t>—</t>
        </is>
      </c>
      <c r="U22" s="20" t="inlineStr">
        <is>
          <t>—</t>
        </is>
      </c>
      <c r="V22" s="20" t="inlineStr">
        <is>
          <t>—</t>
        </is>
      </c>
      <c r="W22" s="20" t="inlineStr">
        <is>
          <t>—</t>
        </is>
      </c>
      <c r="X22" s="20" t="inlineStr">
        <is>
          <t>—</t>
        </is>
      </c>
      <c r="Y22" s="20" t="inlineStr">
        <is>
          <t>—</t>
        </is>
      </c>
      <c r="Z22" s="20" t="inlineStr">
        <is>
          <t>—</t>
        </is>
      </c>
      <c r="AA22" s="20" t="inlineStr">
        <is>
          <t>—</t>
        </is>
      </c>
      <c r="AB22" s="20" t="inlineStr">
        <is>
          <t>—</t>
        </is>
      </c>
      <c r="AC22" s="20" t="inlineStr">
        <is>
          <t>—</t>
        </is>
      </c>
      <c r="AD22" s="20" t="inlineStr">
        <is>
          <t>—</t>
        </is>
      </c>
      <c r="AE22" s="20" t="inlineStr">
        <is>
          <t>—</t>
        </is>
      </c>
      <c r="AF22" s="20" t="inlineStr">
        <is>
          <t>—</t>
        </is>
      </c>
      <c r="AG22" s="20" t="inlineStr">
        <is>
          <t>—</t>
        </is>
      </c>
      <c r="AH22" s="20" t="inlineStr">
        <is>
          <t>铠葬流：战斗时5%发动，无视攻速进行追击</t>
        </is>
      </c>
      <c r="AI22" s="20" t="n"/>
      <c r="AJ22" s="20" t="n"/>
      <c r="AK22" s="20" t="n"/>
      <c r="AL22" s="20" t="n"/>
      <c r="AM22" s="20" t="n"/>
      <c r="AN22" s="20" t="n"/>
      <c r="AO22" s="20" t="inlineStr">
        <is>
          <t>安元 洋貴</t>
        </is>
      </c>
      <c r="AP22" s="20" t="inlineStr">
        <is>
          <t>在达古席翁竞技场持续战斗的剑斗士。因其鬼神般的强悍而有「白发鬼」的异名。据说5年前犯下大罪，被收监于竞技场地下的牢狱。</t>
        </is>
      </c>
    </row>
    <row r="23">
      <c r="A23" s="15" t="n">
        <v>21</v>
      </c>
      <c r="B23" s="15" t="inlineStr">
        <is>
          <t>炎之鬃</t>
        </is>
      </c>
      <c r="C23" s="15" t="inlineStr">
        <is>
          <t>盖茨</t>
        </is>
      </c>
      <c r="D23" s="15" t="inlineStr">
        <is>
          <t>ゲイツ</t>
        </is>
      </c>
      <c r="E23" s="15" t="inlineStr">
        <is>
          <t>—</t>
        </is>
      </c>
      <c r="F23" s="19" t="n">
        <v>50</v>
      </c>
      <c r="G23" s="19" t="n">
        <v>50</v>
      </c>
      <c r="H23" s="19" t="n">
        <v>20</v>
      </c>
      <c r="I23" s="19" t="n">
        <v>40</v>
      </c>
      <c r="J23" s="19" t="n">
        <v>45</v>
      </c>
      <c r="K23" s="19" t="n">
        <v>45</v>
      </c>
      <c r="L23" s="19" t="n">
        <v>25</v>
      </c>
      <c r="M23" s="19" t="n">
        <v>40</v>
      </c>
      <c r="N23" s="19" t="n">
        <v>45</v>
      </c>
      <c r="O23" s="15">
        <f>IF(COUNT(F23:N23)=0,"—",SUM(F23:N23))</f>
        <v/>
      </c>
      <c r="P23" s="20" t="inlineStr">
        <is>
          <t>—</t>
        </is>
      </c>
      <c r="Q23" s="20" t="inlineStr">
        <is>
          <t>—</t>
        </is>
      </c>
      <c r="R23" s="20" t="inlineStr">
        <is>
          <t>枪术・斧术・马术</t>
        </is>
      </c>
      <c r="S23" s="20" t="inlineStr">
        <is>
          <t>—</t>
        </is>
      </c>
      <c r="T23" s="20" t="inlineStr">
        <is>
          <t>无畏重甲※</t>
        </is>
      </c>
      <c r="U23" s="20" t="inlineStr">
        <is>
          <t>斧术・马术・枪术</t>
        </is>
      </c>
      <c r="V23" s="20" t="inlineStr">
        <is>
          <t>—</t>
        </is>
      </c>
      <c r="W23" s="20" t="inlineStr">
        <is>
          <t>—</t>
        </is>
      </c>
      <c r="X23" s="20" t="inlineStr">
        <is>
          <t>—</t>
        </is>
      </c>
      <c r="Y23" s="20" t="inlineStr">
        <is>
          <t>—</t>
        </is>
      </c>
      <c r="Z23" s="20" t="inlineStr">
        <is>
          <t>—</t>
        </is>
      </c>
      <c r="AA23" s="20" t="inlineStr">
        <is>
          <t>—</t>
        </is>
      </c>
      <c r="AB23" s="20" t="inlineStr">
        <is>
          <t>—</t>
        </is>
      </c>
      <c r="AC23" s="20" t="inlineStr">
        <is>
          <t>—</t>
        </is>
      </c>
      <c r="AD23" s="20" t="inlineStr">
        <is>
          <t>—</t>
        </is>
      </c>
      <c r="AE23" s="20" t="inlineStr">
        <is>
          <t>—</t>
        </is>
      </c>
      <c r="AF23" s="20" t="inlineStr">
        <is>
          <t>—</t>
        </is>
      </c>
      <c r="AG23" s="20" t="inlineStr">
        <is>
          <t>—</t>
        </is>
      </c>
      <c r="AH23" s="20" t="inlineStr">
        <is>
          <t>助刀：相邻己方防守+3</t>
        </is>
      </c>
      <c r="AI23" s="20" t="n"/>
      <c r="AJ23" s="20" t="n"/>
      <c r="AK23" s="20" t="n"/>
      <c r="AL23" s="20" t="n"/>
      <c r="AM23" s="20" t="n"/>
      <c r="AN23" s="20" t="n"/>
      <c r="AO23" s="20" t="inlineStr">
        <is>
          <t>小柳 良寛</t>
        </is>
      </c>
      <c r="AP23" s="20" t="inlineStr">
        <is>
          <t>在达古席翁竞技场以剑斗士身份活动的、智勇兼备的一流武艺者。曾在东方名为「赛」的国家修行，战斗经验极其丰富。</t>
        </is>
      </c>
    </row>
    <row r="24">
      <c r="A24" s="15" t="n">
        <v>22</v>
      </c>
      <c r="B24" s="15" t="inlineStr">
        <is>
          <t>炎之鬃</t>
        </is>
      </c>
      <c r="C24" s="15" t="inlineStr">
        <is>
          <t>丹提</t>
        </is>
      </c>
      <c r="D24" s="15" t="inlineStr">
        <is>
          <t>ダンテ</t>
        </is>
      </c>
      <c r="E24" s="15" t="inlineStr">
        <is>
          <t>平民</t>
        </is>
      </c>
      <c r="F24" s="19" t="n">
        <v>30</v>
      </c>
      <c r="G24" s="19" t="n">
        <v>30</v>
      </c>
      <c r="H24" s="19" t="n">
        <v>45</v>
      </c>
      <c r="I24" s="19" t="n">
        <v>40</v>
      </c>
      <c r="J24" s="19" t="n">
        <v>40</v>
      </c>
      <c r="K24" s="19" t="n">
        <v>20</v>
      </c>
      <c r="L24" s="19" t="n">
        <v>40</v>
      </c>
      <c r="M24" s="19" t="n">
        <v>45</v>
      </c>
      <c r="N24" s="19" t="n">
        <v>30</v>
      </c>
      <c r="O24" s="15">
        <f>IF(COUNT(F24:N24)=0,"—",SUM(F24:N24))</f>
        <v/>
      </c>
      <c r="P24" s="20" t="inlineStr">
        <is>
          <t>—</t>
        </is>
      </c>
      <c r="Q24" s="20" t="inlineStr">
        <is>
          <t>黑魔法D・白魔法D 向</t>
        </is>
      </c>
      <c r="R24" s="20" t="inlineStr">
        <is>
          <t>白魔法・指挥・黑魔法</t>
        </is>
      </c>
      <c r="S24" s="20" t="inlineStr">
        <is>
          <t>—</t>
        </is>
      </c>
      <c r="T24" s="20" t="inlineStr">
        <is>
          <t>诅咒师 ▼ 萨满巫师 ▼ 祭司※</t>
        </is>
      </c>
      <c r="U24" s="20" t="inlineStr">
        <is>
          <t>指挥・白魔法・黑魔法</t>
        </is>
      </c>
      <c r="V24" s="20" t="inlineStr">
        <is>
          <t>E</t>
        </is>
      </c>
      <c r="W24" s="20" t="inlineStr">
        <is>
          <t>E</t>
        </is>
      </c>
      <c r="X24" s="20" t="inlineStr">
        <is>
          <t>E</t>
        </is>
      </c>
      <c r="Y24" s="20" t="inlineStr">
        <is>
          <t>E</t>
        </is>
      </c>
      <c r="Z24" s="20" t="inlineStr">
        <is>
          <t>E</t>
        </is>
      </c>
      <c r="AA24" s="20" t="inlineStr">
        <is>
          <t>D</t>
        </is>
      </c>
      <c r="AB24" s="20" t="inlineStr">
        <is>
          <t>D</t>
        </is>
      </c>
      <c r="AC24" s="20" t="inlineStr">
        <is>
          <t>E</t>
        </is>
      </c>
      <c r="AD24" s="20" t="inlineStr">
        <is>
          <t>E</t>
        </is>
      </c>
      <c r="AE24" s="20" t="inlineStr">
        <is>
          <t>E</t>
        </is>
      </c>
      <c r="AF24" s="20" t="inlineStr">
        <is>
          <t>E</t>
        </is>
      </c>
      <c r="AG24" s="20" t="inlineStr">
        <is>
          <t>E</t>
        </is>
      </c>
      <c r="AH24" s="20" t="inlineStr">
        <is>
          <t>战场的编排：周围2格内己方战斗时，以该己方(魅力÷2)%概率发动，该己方回避+10</t>
        </is>
      </c>
      <c r="AI24" s="20" t="n"/>
      <c r="AJ24" s="20" t="n"/>
      <c r="AK24" s="20" t="inlineStr">
        <is>
          <t>风</t>
        </is>
      </c>
      <c r="AL24" s="20" t="inlineStr">
        <is>
          <t>风</t>
        </is>
      </c>
      <c r="AM24" s="20" t="n"/>
      <c r="AN24" s="20" t="n"/>
      <c r="AO24" s="20" t="inlineStr">
        <is>
          <t>鹫见 友美Jena</t>
        </is>
      </c>
      <c r="AP24" s="20" t="inlineStr">
        <is>
          <t>在地下城中作为剧作家活动的文豪。是创作欲望的化身，对感兴趣的事物都想融入作品的贪婪个性。也是高超的魔法使用者。●喜欢的东西：自己、寻找戏剧性主题、人际关系（采访）、他人的演出</t>
        </is>
      </c>
    </row>
    <row r="25">
      <c r="A25" s="15" t="n">
        <v>23</v>
      </c>
      <c r="B25" s="15" t="inlineStr">
        <is>
          <t>月之谎言</t>
        </is>
      </c>
      <c r="C25" s="15" t="inlineStr">
        <is>
          <t>谭利穆恩</t>
        </is>
      </c>
      <c r="D25" s="15" t="inlineStr">
        <is>
          <t>タリムーン</t>
        </is>
      </c>
      <c r="E25" s="15" t="inlineStr">
        <is>
          <t>萨满</t>
        </is>
      </c>
      <c r="F25" s="19" t="n">
        <v>45</v>
      </c>
      <c r="G25" s="19" t="n">
        <v>40</v>
      </c>
      <c r="H25" s="19" t="n">
        <v>45</v>
      </c>
      <c r="I25" s="19" t="n">
        <v>40</v>
      </c>
      <c r="J25" s="19" t="n">
        <v>45</v>
      </c>
      <c r="K25" s="19" t="n">
        <v>35</v>
      </c>
      <c r="L25" s="19" t="n">
        <v>40</v>
      </c>
      <c r="M25" s="19" t="n">
        <v>60</v>
      </c>
      <c r="N25" s="19" t="n">
        <v>50</v>
      </c>
      <c r="O25" s="15">
        <f>IF(COUNT(F25:N25)=0,"—",SUM(F25:N25))</f>
        <v/>
      </c>
      <c r="P25" s="20" t="inlineStr">
        <is>
          <t>—</t>
        </is>
      </c>
      <c r="Q25" s="20" t="inlineStr">
        <is>
          <t>—</t>
        </is>
      </c>
      <c r="R25" s="20" t="inlineStr">
        <is>
          <t>剑术・黑魔法・指挥</t>
        </is>
      </c>
      <c r="S25" s="20" t="inlineStr">
        <is>
          <t>—</t>
        </is>
      </c>
      <c r="T25" s="20" t="inlineStr">
        <is>
          <t>—</t>
        </is>
      </c>
      <c r="U25" s="20" t="inlineStr">
        <is>
          <t>—</t>
        </is>
      </c>
      <c r="V25" s="20" t="inlineStr">
        <is>
          <t>—</t>
        </is>
      </c>
      <c r="W25" s="20" t="inlineStr">
        <is>
          <t>—</t>
        </is>
      </c>
      <c r="X25" s="20" t="inlineStr">
        <is>
          <t>—</t>
        </is>
      </c>
      <c r="Y25" s="20" t="inlineStr">
        <is>
          <t>—</t>
        </is>
      </c>
      <c r="Z25" s="20" t="inlineStr">
        <is>
          <t>—</t>
        </is>
      </c>
      <c r="AA25" s="20" t="inlineStr">
        <is>
          <t>—</t>
        </is>
      </c>
      <c r="AB25" s="20" t="inlineStr">
        <is>
          <t>—</t>
        </is>
      </c>
      <c r="AC25" s="20" t="inlineStr">
        <is>
          <t>—</t>
        </is>
      </c>
      <c r="AD25" s="20" t="inlineStr">
        <is>
          <t>—</t>
        </is>
      </c>
      <c r="AE25" s="20" t="inlineStr">
        <is>
          <t>—</t>
        </is>
      </c>
      <c r="AF25" s="20" t="inlineStr">
        <is>
          <t>—</t>
        </is>
      </c>
      <c r="AG25" s="20" t="inlineStr">
        <is>
          <t>—</t>
        </is>
      </c>
      <c r="AH25" s="20" t="inlineStr">
        <is>
          <t>冒险王的英运：幸运+3</t>
        </is>
      </c>
      <c r="AI25" s="20" t="n"/>
      <c r="AJ25" s="20" t="n"/>
      <c r="AK25" s="20" t="n"/>
      <c r="AL25" s="20" t="n"/>
      <c r="AM25" s="20" t="inlineStr">
        <is>
          <t>魂魄天冠：攻击时25%发动，攻击力+3</t>
        </is>
      </c>
      <c r="AN25" s="20" t="n"/>
      <c r="AO25" s="20" t="inlineStr">
        <is>
          <t>三木 眞一郎</t>
        </is>
      </c>
      <c r="AP25" s="20" t="inlineStr">
        <is>
          <t>胸怀巨大野心，堪称鞑古扎首屈一指的大商人。好奇心旺盛，对伴随危险的冒险情有独钟。周身总萦绕着一股轻浮而难以捉摸的气息。</t>
        </is>
      </c>
    </row>
    <row r="26">
      <c r="A26" s="15" t="n">
        <v>24</v>
      </c>
      <c r="B26" s="15" t="inlineStr">
        <is>
          <t>月之谎言</t>
        </is>
      </c>
      <c r="C26" s="15" t="inlineStr">
        <is>
          <t>乌修拉</t>
        </is>
      </c>
      <c r="D26" s="15" t="inlineStr">
        <is>
          <t>ウーシュラ</t>
        </is>
      </c>
      <c r="E26" s="15" t="inlineStr">
        <is>
          <t>猎兵</t>
        </is>
      </c>
      <c r="F26" s="19" t="n">
        <v>40</v>
      </c>
      <c r="G26" s="19" t="n">
        <v>35</v>
      </c>
      <c r="H26" s="19" t="n">
        <v>35</v>
      </c>
      <c r="I26" s="19" t="n">
        <v>50</v>
      </c>
      <c r="J26" s="19" t="n">
        <v>50</v>
      </c>
      <c r="K26" s="19" t="n">
        <v>35</v>
      </c>
      <c r="L26" s="19" t="n">
        <v>30</v>
      </c>
      <c r="M26" s="19" t="n">
        <v>40</v>
      </c>
      <c r="N26" s="19" t="n">
        <v>45</v>
      </c>
      <c r="O26" s="15">
        <f>IF(COUNT(F26:N26)=0,"—",SUM(F26:N26))</f>
        <v/>
      </c>
      <c r="P26" s="20" t="inlineStr">
        <is>
          <t>—</t>
        </is>
      </c>
      <c r="Q26" s="20" t="inlineStr">
        <is>
          <t>—</t>
        </is>
      </c>
      <c r="R26" s="20" t="inlineStr">
        <is>
          <t>剑术・弓术・格斗术</t>
        </is>
      </c>
      <c r="S26" s="20" t="inlineStr">
        <is>
          <t>—</t>
        </is>
      </c>
      <c r="T26" s="20" t="inlineStr">
        <is>
          <t>猎兵 ▼ 弓箭手 ▼ 狙击手</t>
        </is>
      </c>
      <c r="U26" s="20" t="inlineStr">
        <is>
          <t>弓术・剑术</t>
        </is>
      </c>
      <c r="V26" s="20" t="inlineStr">
        <is>
          <t>—</t>
        </is>
      </c>
      <c r="W26" s="20" t="inlineStr">
        <is>
          <t>—</t>
        </is>
      </c>
      <c r="X26" s="20" t="inlineStr">
        <is>
          <t>—</t>
        </is>
      </c>
      <c r="Y26" s="20" t="inlineStr">
        <is>
          <t>—</t>
        </is>
      </c>
      <c r="Z26" s="20" t="inlineStr">
        <is>
          <t>—</t>
        </is>
      </c>
      <c r="AA26" s="20" t="inlineStr">
        <is>
          <t>—</t>
        </is>
      </c>
      <c r="AB26" s="20" t="inlineStr">
        <is>
          <t>—</t>
        </is>
      </c>
      <c r="AC26" s="20" t="inlineStr">
        <is>
          <t>—</t>
        </is>
      </c>
      <c r="AD26" s="20" t="inlineStr">
        <is>
          <t>—</t>
        </is>
      </c>
      <c r="AE26" s="20" t="inlineStr">
        <is>
          <t>—</t>
        </is>
      </c>
      <c r="AF26" s="20" t="inlineStr">
        <is>
          <t>—</t>
        </is>
      </c>
      <c r="AG26" s="20" t="inlineStr">
        <is>
          <t>—</t>
        </is>
      </c>
      <c r="AH26" s="20" t="inlineStr">
        <is>
          <t>商会管理人：包括自身，周围2格内的己方可使用道具袋</t>
        </is>
      </c>
      <c r="AI26" s="20" t="n"/>
      <c r="AJ26" s="20" t="n"/>
      <c r="AK26" s="20" t="n"/>
      <c r="AL26" s="20" t="n"/>
      <c r="AM26" s="20" t="n"/>
      <c r="AN26" s="20" t="n"/>
      <c r="AO26" s="20" t="inlineStr">
        <is>
          <t>八卷 Anna</t>
        </is>
      </c>
      <c r="AP26" s="20" t="inlineStr">
        <is>
          <t>鞑古扎首屈一指的商会「万德尔商会」的支配人。仅次于首席总支配人塔里穆恩的权限。 对商会资金进行细致管理，也常有严厉追问塔里穆恩奢侈支出的场面。</t>
        </is>
      </c>
    </row>
    <row r="27">
      <c r="A27" s="15" t="n">
        <v>25</v>
      </c>
      <c r="B27" s="15" t="inlineStr">
        <is>
          <t>月之谎言</t>
        </is>
      </c>
      <c r="C27" s="15" t="inlineStr">
        <is>
          <t>西蒙</t>
        </is>
      </c>
      <c r="D27" s="15" t="inlineStr">
        <is>
          <t>シモン</t>
        </is>
      </c>
      <c r="E27" s="15" t="inlineStr">
        <is>
          <t>平民</t>
        </is>
      </c>
      <c r="F27" s="19" t="n">
        <v>50</v>
      </c>
      <c r="G27" s="19" t="n">
        <v>50</v>
      </c>
      <c r="H27" s="19" t="n">
        <v>20</v>
      </c>
      <c r="I27" s="19" t="n">
        <v>35</v>
      </c>
      <c r="J27" s="19" t="n">
        <v>40</v>
      </c>
      <c r="K27" s="19" t="n">
        <v>40</v>
      </c>
      <c r="L27" s="19" t="n">
        <v>25</v>
      </c>
      <c r="M27" s="19" t="n">
        <v>50</v>
      </c>
      <c r="N27" s="19" t="n">
        <v>35</v>
      </c>
      <c r="O27" s="15">
        <f>IF(COUNT(F27:N27)=0,"—",SUM(F27:N27))</f>
        <v/>
      </c>
      <c r="P27" s="20" t="inlineStr">
        <is>
          <t>—</t>
        </is>
      </c>
      <c r="Q27" s="20" t="inlineStr">
        <is>
          <t>步兵D・斧术D・剑术E+ 向</t>
        </is>
      </c>
      <c r="R27" s="20" t="inlineStr">
        <is>
          <t>剑术・斧术・步兵</t>
        </is>
      </c>
      <c r="S27" s="20" t="inlineStr">
        <is>
          <t>—</t>
        </is>
      </c>
      <c r="T27" s="20" t="inlineStr">
        <is>
          <t>斗士 ▼ 土匪 ▼ 勇士</t>
        </is>
      </c>
      <c r="U27" s="20" t="inlineStr">
        <is>
          <t>斧术・步兵・剑术</t>
        </is>
      </c>
      <c r="V27" s="20" t="inlineStr">
        <is>
          <t>E+</t>
        </is>
      </c>
      <c r="W27" s="20" t="inlineStr">
        <is>
          <t>E</t>
        </is>
      </c>
      <c r="X27" s="20" t="inlineStr">
        <is>
          <t>D</t>
        </is>
      </c>
      <c r="Y27" s="20" t="inlineStr">
        <is>
          <t>E</t>
        </is>
      </c>
      <c r="Z27" s="20" t="inlineStr">
        <is>
          <t>E</t>
        </is>
      </c>
      <c r="AA27" s="20" t="inlineStr">
        <is>
          <t>E</t>
        </is>
      </c>
      <c r="AB27" s="20" t="inlineStr">
        <is>
          <t>E</t>
        </is>
      </c>
      <c r="AC27" s="20" t="inlineStr">
        <is>
          <t>E</t>
        </is>
      </c>
      <c r="AD27" s="20" t="inlineStr">
        <is>
          <t>D</t>
        </is>
      </c>
      <c r="AE27" s="20" t="inlineStr">
        <is>
          <t>E</t>
        </is>
      </c>
      <c r="AF27" s="20" t="inlineStr">
        <is>
          <t>E</t>
        </is>
      </c>
      <c r="AG27" s="20" t="inlineStr">
        <is>
          <t>E</t>
        </is>
      </c>
      <c r="AH27" s="20" t="inlineStr">
        <is>
          <t>死里逃生：自身HP≥2且受到会使HP归零的伤害时，以幸运%概率发动，HP保留1点</t>
        </is>
      </c>
      <c r="AI27" s="20" t="inlineStr">
        <is>
          <t>白刃的距离</t>
        </is>
      </c>
      <c r="AJ27" s="20" t="n"/>
      <c r="AK27" s="20" t="n"/>
      <c r="AL27" s="20" t="inlineStr">
        <is>
          <t>青铜斧</t>
        </is>
      </c>
      <c r="AM27" s="20" t="n"/>
      <c r="AN27" s="20" t="n"/>
      <c r="AO27" s="20" t="inlineStr">
        <is>
          <t>小林 親弘</t>
        </is>
      </c>
      <c r="AP27" s="20" t="inlineStr">
        <is>
          <t>无数次穿越死亡线而存活下来的战斗专家。 作为佣兵四处巡回时与塔里蒙相遇，也开始承接万达尔商会的任务。 被战场上才能感受到的紧张感所吸引，持续追求那种刺激。</t>
        </is>
      </c>
    </row>
    <row r="28">
      <c r="A28" s="15" t="n">
        <v>26</v>
      </c>
      <c r="B28" s="15" t="inlineStr">
        <is>
          <t>莉娜莉娅的朝露</t>
        </is>
      </c>
      <c r="C28" s="15" t="inlineStr">
        <is>
          <t>欧露赫露</t>
        </is>
      </c>
      <c r="D28" s="15" t="inlineStr">
        <is>
          <t>オルヘル</t>
        </is>
      </c>
      <c r="E28" s="15" t="inlineStr">
        <is>
          <t>诅咒师</t>
        </is>
      </c>
      <c r="F28" s="19" t="n">
        <v>30</v>
      </c>
      <c r="G28" s="19" t="n">
        <v>60</v>
      </c>
      <c r="H28" s="19" t="n">
        <v>45</v>
      </c>
      <c r="I28" s="19" t="n">
        <v>10</v>
      </c>
      <c r="J28" s="19" t="n">
        <v>20</v>
      </c>
      <c r="K28" s="19" t="n">
        <v>60</v>
      </c>
      <c r="L28" s="19" t="n">
        <v>60</v>
      </c>
      <c r="M28" s="19" t="n">
        <v>20</v>
      </c>
      <c r="N28" s="19" t="n">
        <v>60</v>
      </c>
      <c r="O28" s="15">
        <f>IF(COUNT(F28:N28)=0,"—",SUM(F28:N28))</f>
        <v/>
      </c>
      <c r="P28" s="20" t="inlineStr">
        <is>
          <t>—</t>
        </is>
      </c>
      <c r="Q28" s="20" t="inlineStr">
        <is>
          <t>—</t>
        </is>
      </c>
      <c r="R28" s="20" t="inlineStr">
        <is>
          <t>斧术・黑魔法</t>
        </is>
      </c>
      <c r="S28" s="20" t="inlineStr">
        <is>
          <t>—</t>
        </is>
      </c>
      <c r="T28" s="20" t="inlineStr">
        <is>
          <t>—</t>
        </is>
      </c>
      <c r="U28" s="20" t="inlineStr">
        <is>
          <t>—</t>
        </is>
      </c>
      <c r="V28" s="20" t="inlineStr">
        <is>
          <t>—</t>
        </is>
      </c>
      <c r="W28" s="20" t="inlineStr">
        <is>
          <t>—</t>
        </is>
      </c>
      <c r="X28" s="20" t="inlineStr">
        <is>
          <t>—</t>
        </is>
      </c>
      <c r="Y28" s="20" t="inlineStr">
        <is>
          <t>—</t>
        </is>
      </c>
      <c r="Z28" s="20" t="inlineStr">
        <is>
          <t>—</t>
        </is>
      </c>
      <c r="AA28" s="20" t="inlineStr">
        <is>
          <t>—</t>
        </is>
      </c>
      <c r="AB28" s="20" t="inlineStr">
        <is>
          <t>—</t>
        </is>
      </c>
      <c r="AC28" s="20" t="inlineStr">
        <is>
          <t>—</t>
        </is>
      </c>
      <c r="AD28" s="20" t="inlineStr">
        <is>
          <t>—</t>
        </is>
      </c>
      <c r="AE28" s="20" t="inlineStr">
        <is>
          <t>—</t>
        </is>
      </c>
      <c r="AF28" s="20" t="inlineStr">
        <is>
          <t>—</t>
        </is>
      </c>
      <c r="AG28" s="20" t="inlineStr">
        <is>
          <t>—</t>
        </is>
      </c>
      <c r="AH28" s="20" t="inlineStr">
        <is>
          <t>牢不可破：防守+5，视为重装；无法转职为骑兵、飞行兵种</t>
        </is>
      </c>
      <c r="AI28" s="20" t="n"/>
      <c r="AJ28" s="20" t="n"/>
      <c r="AK28" s="20" t="n"/>
      <c r="AL28" s="20" t="n"/>
      <c r="AM28" s="20" t="inlineStr">
        <is>
          <t>魂魄天冠：攻击时25%发动，攻击力+3</t>
        </is>
      </c>
      <c r="AN28" s="20" t="inlineStr">
        <is>
          <t>使徒天冠：攻击时20%发动，命中+20</t>
        </is>
      </c>
      <c r="AO28" s="20" t="inlineStr">
        <is>
          <t>本渡 楓</t>
        </is>
      </c>
      <c r="AP28" s="20" t="inlineStr">
        <is>
          <t>在鞑古希翁上层的克莱尔神殿侍奉的神秘少女。 总是用标志性的猫面具隐藏真容。 纯真无邪，对任何人都会温柔礼貌地对待，但同时也有天然且不谙世事的面。</t>
        </is>
      </c>
    </row>
    <row r="29">
      <c r="A29" s="15" t="n">
        <v>27</v>
      </c>
      <c r="B29" s="15" t="inlineStr">
        <is>
          <t>莉娜莉娅的朝露</t>
        </is>
      </c>
      <c r="C29" s="15" t="inlineStr">
        <is>
          <t>迪雅各</t>
        </is>
      </c>
      <c r="D29" s="15" t="inlineStr">
        <is>
          <t>ディエゴ</t>
        </is>
      </c>
      <c r="E29" s="15" t="inlineStr">
        <is>
          <t>平民</t>
        </is>
      </c>
      <c r="F29" s="19" t="n">
        <v>45</v>
      </c>
      <c r="G29" s="19" t="n">
        <v>40</v>
      </c>
      <c r="H29" s="19" t="n">
        <v>20</v>
      </c>
      <c r="I29" s="19" t="n">
        <v>45</v>
      </c>
      <c r="J29" s="19" t="n">
        <v>60</v>
      </c>
      <c r="K29" s="19" t="n">
        <v>35</v>
      </c>
      <c r="L29" s="19" t="n">
        <v>20</v>
      </c>
      <c r="M29" s="19" t="n">
        <v>35</v>
      </c>
      <c r="N29" s="19" t="n">
        <v>30</v>
      </c>
      <c r="O29" s="15">
        <f>IF(COUNT(F29:N29)=0,"—",SUM(F29:N29))</f>
        <v/>
      </c>
      <c r="P29" s="20" t="inlineStr">
        <is>
          <t>—</t>
        </is>
      </c>
      <c r="Q29" s="20" t="inlineStr">
        <is>
          <t>弓术D・剑术D 向</t>
        </is>
      </c>
      <c r="R29" s="20" t="inlineStr">
        <is>
          <t>剑术・弓术・步兵</t>
        </is>
      </c>
      <c r="S29" s="20" t="inlineStr">
        <is>
          <t>—</t>
        </is>
      </c>
      <c r="T29" s="20" t="inlineStr">
        <is>
          <t>斗士 ▼ 剑客 ▼ 侍道</t>
        </is>
      </c>
      <c r="U29" s="20" t="inlineStr">
        <is>
          <t>弓术・步兵・剑术</t>
        </is>
      </c>
      <c r="V29" s="20" t="inlineStr">
        <is>
          <t>D</t>
        </is>
      </c>
      <c r="W29" s="20" t="inlineStr">
        <is>
          <t>E</t>
        </is>
      </c>
      <c r="X29" s="20" t="inlineStr">
        <is>
          <t>E</t>
        </is>
      </c>
      <c r="Y29" s="20" t="inlineStr">
        <is>
          <t>D</t>
        </is>
      </c>
      <c r="Z29" s="20" t="inlineStr">
        <is>
          <t>E</t>
        </is>
      </c>
      <c r="AA29" s="20" t="inlineStr">
        <is>
          <t>E</t>
        </is>
      </c>
      <c r="AB29" s="20" t="inlineStr">
        <is>
          <t>E</t>
        </is>
      </c>
      <c r="AC29" s="20" t="inlineStr">
        <is>
          <t>E</t>
        </is>
      </c>
      <c r="AD29" s="20" t="inlineStr">
        <is>
          <t>E</t>
        </is>
      </c>
      <c r="AE29" s="20" t="inlineStr">
        <is>
          <t>E</t>
        </is>
      </c>
      <c r="AF29" s="20" t="inlineStr">
        <is>
          <t>E</t>
        </is>
      </c>
      <c r="AG29" s="20" t="inlineStr">
        <is>
          <t>E</t>
        </is>
      </c>
      <c r="AH29" s="20" t="inlineStr">
        <is>
          <t>保镖：相邻己方战斗时5%发动，该己方不会被追击</t>
        </is>
      </c>
      <c r="AI29" s="20" t="n"/>
      <c r="AJ29" s="20" t="n"/>
      <c r="AK29" s="20" t="n"/>
      <c r="AL29" s="20" t="inlineStr">
        <is>
          <t>青铜剑</t>
        </is>
      </c>
      <c r="AM29" s="20" t="n"/>
      <c r="AN29" s="20" t="n"/>
      <c r="AO29" s="20" t="inlineStr">
        <is>
          <t>高梨 謙吾</t>
        </is>
      </c>
      <c r="AP29" s="20" t="inlineStr">
        <is>
          <t>擅长战斗的“哈尔·哈里族”出身的青年。手臂和上半身刻有部族特有的文样。 沉默寡言且不善言辞，但对克莱尔神殿的祭司·奥尔赫尔誓言终生忠诚，并追随其左右。</t>
        </is>
      </c>
    </row>
    <row r="30">
      <c r="A30" s="15" t="n">
        <v>28</v>
      </c>
      <c r="B30" s="15" t="inlineStr">
        <is>
          <t>莉娜莉娅的朝露</t>
        </is>
      </c>
      <c r="C30" s="15" t="inlineStr">
        <is>
          <t>妮涅</t>
        </is>
      </c>
      <c r="D30" s="15" t="inlineStr">
        <is>
          <t>ニネ</t>
        </is>
      </c>
      <c r="E30" s="15" t="inlineStr">
        <is>
          <t>平民</t>
        </is>
      </c>
      <c r="F30" s="19" t="n">
        <v>45</v>
      </c>
      <c r="G30" s="19" t="n">
        <v>45</v>
      </c>
      <c r="H30" s="19" t="n">
        <v>35</v>
      </c>
      <c r="I30" s="19" t="n">
        <v>35</v>
      </c>
      <c r="J30" s="19" t="n">
        <v>45</v>
      </c>
      <c r="K30" s="19" t="n">
        <v>35</v>
      </c>
      <c r="L30" s="19" t="n">
        <v>45</v>
      </c>
      <c r="M30" s="19" t="n">
        <v>50</v>
      </c>
      <c r="N30" s="19" t="n">
        <v>40</v>
      </c>
      <c r="O30" s="15">
        <f>IF(COUNT(F30:N30)=0,"—",SUM(F30:N30))</f>
        <v/>
      </c>
      <c r="P30" s="20" t="inlineStr">
        <is>
          <t>—</t>
        </is>
      </c>
      <c r="Q30" s="20" t="inlineStr">
        <is>
          <t>马术D・白魔法D・枪术D 向</t>
        </is>
      </c>
      <c r="R30" s="20" t="inlineStr">
        <is>
          <t>枪术・白魔法・马术</t>
        </is>
      </c>
      <c r="S30" s="20" t="inlineStr">
        <is>
          <t>—</t>
        </is>
      </c>
      <c r="T30" s="20" t="inlineStr">
        <is>
          <t>诅咒师 ▼ 牧师 ▼ 主教</t>
        </is>
      </c>
      <c r="U30" s="20" t="inlineStr">
        <is>
          <t>白魔法・枪术</t>
        </is>
      </c>
      <c r="V30" s="20" t="inlineStr">
        <is>
          <t>E</t>
        </is>
      </c>
      <c r="W30" s="20" t="inlineStr">
        <is>
          <t>D</t>
        </is>
      </c>
      <c r="X30" s="20" t="inlineStr">
        <is>
          <t>E+</t>
        </is>
      </c>
      <c r="Y30" s="20" t="inlineStr">
        <is>
          <t>E</t>
        </is>
      </c>
      <c r="Z30" s="20" t="inlineStr">
        <is>
          <t>E</t>
        </is>
      </c>
      <c r="AA30" s="20" t="inlineStr">
        <is>
          <t>E</t>
        </is>
      </c>
      <c r="AB30" s="20" t="inlineStr">
        <is>
          <t>D</t>
        </is>
      </c>
      <c r="AC30" s="20" t="inlineStr">
        <is>
          <t>E</t>
        </is>
      </c>
      <c r="AD30" s="20" t="inlineStr">
        <is>
          <t>E</t>
        </is>
      </c>
      <c r="AE30" s="20" t="inlineStr">
        <is>
          <t>D</t>
        </is>
      </c>
      <c r="AF30" s="20" t="inlineStr">
        <is>
          <t>E</t>
        </is>
      </c>
      <c r="AG30" s="20" t="inlineStr">
        <is>
          <t>E</t>
        </is>
      </c>
      <c r="AH30" s="20" t="inlineStr">
        <is>
          <t>精灵之声：战斗时若敌人使用魔法，命中・回避+10</t>
        </is>
      </c>
      <c r="AI30" s="20" t="inlineStr">
        <is>
          <t>骑士的直觉</t>
        </is>
      </c>
      <c r="AJ30" s="20" t="n"/>
      <c r="AK30" s="20" t="n"/>
      <c r="AL30" s="20" t="inlineStr">
        <is>
          <t>青铜枪</t>
        </is>
      </c>
      <c r="AM30" s="20" t="inlineStr">
        <is>
          <t>孤高天冠：攻击时10%发动，命中+30</t>
        </is>
      </c>
      <c r="AN30" s="20" t="n"/>
      <c r="AO30" s="20" t="inlineStr">
        <is>
          <t>篠原 侑</t>
        </is>
      </c>
      <c r="AP30" s="20" t="inlineStr">
        <is>
          <t>与猫假面的欧露赫露一样，是侍奉克莱尔神殿的神秘少女。 她被任命为神位直属精锐部队“巴尔坎”的成员，拥有“黑丽丝之妮涅”的异名。 据说她能听见精灵的声音。</t>
        </is>
      </c>
    </row>
    <row r="31">
      <c r="A31" s="15" t="n">
        <v>29</v>
      </c>
      <c r="B31" s="15" t="inlineStr">
        <is>
          <t>白鸦花嫁团</t>
        </is>
      </c>
      <c r="C31" s="15" t="inlineStr">
        <is>
          <t>爱娜特莉亚</t>
        </is>
      </c>
      <c r="D31" s="15" t="inlineStr">
        <is>
          <t>アナトリア</t>
        </is>
      </c>
      <c r="E31" s="15" t="inlineStr">
        <is>
          <t>诅咒师</t>
        </is>
      </c>
      <c r="F31" s="19" t="n">
        <v>40</v>
      </c>
      <c r="G31" s="19" t="n">
        <v>35</v>
      </c>
      <c r="H31" s="19" t="n">
        <v>50</v>
      </c>
      <c r="I31" s="19" t="n">
        <v>50</v>
      </c>
      <c r="J31" s="19" t="n">
        <v>45</v>
      </c>
      <c r="K31" s="19" t="n">
        <v>35</v>
      </c>
      <c r="L31" s="19" t="n">
        <v>40</v>
      </c>
      <c r="M31" s="19" t="n">
        <v>40</v>
      </c>
      <c r="N31" s="19" t="n">
        <v>50</v>
      </c>
      <c r="O31" s="15">
        <f>IF(COUNT(F31:N31)=0,"—",SUM(F31:N31))</f>
        <v/>
      </c>
      <c r="P31" s="20" t="inlineStr">
        <is>
          <t>战斗中除用携带火器「沙罗曼达」远程攻击外，还能以气功体术应付近身战，更能操控罕见的魔法</t>
        </is>
      </c>
      <c r="Q31" s="20" t="inlineStr">
        <is>
          <t>—</t>
        </is>
      </c>
      <c r="R31" s="20" t="inlineStr">
        <is>
          <t>格斗术・黑魔法・步兵</t>
        </is>
      </c>
      <c r="S31" s="20" t="inlineStr">
        <is>
          <t>—</t>
        </is>
      </c>
      <c r="T31" s="20" t="inlineStr">
        <is>
          <t>—</t>
        </is>
      </c>
      <c r="U31" s="20" t="inlineStr">
        <is>
          <t>—</t>
        </is>
      </c>
      <c r="V31" s="20" t="inlineStr">
        <is>
          <t>—</t>
        </is>
      </c>
      <c r="W31" s="20" t="inlineStr">
        <is>
          <t>—</t>
        </is>
      </c>
      <c r="X31" s="20" t="inlineStr">
        <is>
          <t>—</t>
        </is>
      </c>
      <c r="Y31" s="20" t="inlineStr">
        <is>
          <t>—</t>
        </is>
      </c>
      <c r="Z31" s="20" t="inlineStr">
        <is>
          <t>—</t>
        </is>
      </c>
      <c r="AA31" s="20" t="inlineStr">
        <is>
          <t>—</t>
        </is>
      </c>
      <c r="AB31" s="20" t="inlineStr">
        <is>
          <t>—</t>
        </is>
      </c>
      <c r="AC31" s="20" t="inlineStr">
        <is>
          <t>—</t>
        </is>
      </c>
      <c r="AD31" s="20" t="inlineStr">
        <is>
          <t>—</t>
        </is>
      </c>
      <c r="AE31" s="20" t="inlineStr">
        <is>
          <t>—</t>
        </is>
      </c>
      <c r="AF31" s="20" t="inlineStr">
        <is>
          <t>—</t>
        </is>
      </c>
      <c r="AG31" s="20" t="inlineStr">
        <is>
          <t>—</t>
        </is>
      </c>
      <c r="AH31" s="20" t="inlineStr">
        <is>
          <t>流気巧：回避+3</t>
        </is>
      </c>
      <c r="AI31" s="20" t="n"/>
      <c r="AJ31" s="20" t="n"/>
      <c r="AK31" s="20" t="n"/>
      <c r="AL31" s="20" t="n"/>
      <c r="AM31" s="20" t="n"/>
      <c r="AN31" s="20" t="n"/>
      <c r="AO31" s="20" t="inlineStr">
        <is>
          <t>小笠原 亜里沙</t>
        </is>
      </c>
      <c r="AP31" s="20" t="inlineStr">
        <is>
          <t>为了拯救故乡的同胞而战斗的白妙少女。 由于其外貌，被称为“神秘的新娘”。 好说是大凉，难说是感情匮乏的性格，有时会无意中惹怒对方。</t>
        </is>
      </c>
    </row>
    <row r="32">
      <c r="A32" s="15" t="n">
        <v>30</v>
      </c>
      <c r="B32" s="15" t="inlineStr">
        <is>
          <t>白鸦花嫁团</t>
        </is>
      </c>
      <c r="C32" s="15" t="inlineStr">
        <is>
          <t>沙兰</t>
        </is>
      </c>
      <c r="D32" s="15" t="inlineStr">
        <is>
          <t>サラン</t>
        </is>
      </c>
      <c r="E32" s="15" t="inlineStr">
        <is>
          <t>平民</t>
        </is>
      </c>
      <c r="F32" s="19" t="n">
        <v>35</v>
      </c>
      <c r="G32" s="19" t="n">
        <v>30</v>
      </c>
      <c r="H32" s="19" t="n">
        <v>45</v>
      </c>
      <c r="I32" s="19" t="n">
        <v>35</v>
      </c>
      <c r="J32" s="19" t="n">
        <v>50</v>
      </c>
      <c r="K32" s="19" t="n">
        <v>30</v>
      </c>
      <c r="L32" s="19" t="n">
        <v>45</v>
      </c>
      <c r="M32" s="19" t="n">
        <v>35</v>
      </c>
      <c r="N32" s="19" t="n">
        <v>40</v>
      </c>
      <c r="O32" s="15">
        <f>IF(COUNT(F32:N32)=0,"—",SUM(F32:N32))</f>
        <v/>
      </c>
      <c r="P32" s="20" t="inlineStr">
        <is>
          <t>—</t>
        </is>
      </c>
      <c r="Q32" s="20" t="inlineStr">
        <is>
          <t>黑魔法D・白魔法D・指挥D 向</t>
        </is>
      </c>
      <c r="R32" s="20" t="inlineStr">
        <is>
          <t>枪术・白魔法・指挥</t>
        </is>
      </c>
      <c r="S32" s="20" t="inlineStr">
        <is>
          <t>—</t>
        </is>
      </c>
      <c r="T32" s="20" t="inlineStr">
        <is>
          <t>诅咒师 ▼ 牧师 ▼ 主教</t>
        </is>
      </c>
      <c r="U32" s="20" t="inlineStr">
        <is>
          <t>指挥・白魔法・枪术</t>
        </is>
      </c>
      <c r="V32" s="20" t="inlineStr">
        <is>
          <t>E</t>
        </is>
      </c>
      <c r="W32" s="20" t="inlineStr">
        <is>
          <t>E+</t>
        </is>
      </c>
      <c r="X32" s="20" t="inlineStr">
        <is>
          <t>E</t>
        </is>
      </c>
      <c r="Y32" s="20" t="inlineStr">
        <is>
          <t>E</t>
        </is>
      </c>
      <c r="Z32" s="20" t="inlineStr">
        <is>
          <t>E</t>
        </is>
      </c>
      <c r="AA32" s="20" t="inlineStr">
        <is>
          <t>D</t>
        </is>
      </c>
      <c r="AB32" s="20" t="inlineStr">
        <is>
          <t>D</t>
        </is>
      </c>
      <c r="AC32" s="20" t="inlineStr">
        <is>
          <t>D</t>
        </is>
      </c>
      <c r="AD32" s="20" t="inlineStr">
        <is>
          <t>E</t>
        </is>
      </c>
      <c r="AE32" s="20" t="inlineStr">
        <is>
          <t>E</t>
        </is>
      </c>
      <c r="AF32" s="20" t="inlineStr">
        <is>
          <t>E</t>
        </is>
      </c>
      <c r="AG32" s="20" t="inlineStr">
        <is>
          <t>E</t>
        </is>
      </c>
      <c r="AH32" s="20" t="inlineStr">
        <is>
          <t>挽留役：使用「拉近」后，可使用辅助魔法</t>
        </is>
      </c>
      <c r="AI32" s="20" t="n"/>
      <c r="AJ32" s="20" t="n"/>
      <c r="AK32" s="20" t="n"/>
      <c r="AL32" s="20" t="inlineStr">
        <is>
          <t>沙罗曼达</t>
        </is>
      </c>
      <c r="AM32" s="20" t="n"/>
      <c r="AN32" s="20" t="n"/>
      <c r="AO32" s="20" t="inlineStr">
        <is>
          <t>矢作 紗友里</t>
        </is>
      </c>
      <c r="AP32" s="20" t="inlineStr">
        <is>
          <t>兰 擅长精灵魔法，散发著沉稳气质的女性。 可让陷入危机的同伴退到后方，并治愈其伤口。 照顾爱娜特莉亚、学习</t>
        </is>
      </c>
    </row>
    <row r="33">
      <c r="A33" s="15" t="n">
        <v>31</v>
      </c>
      <c r="B33" s="15" t="inlineStr">
        <is>
          <t>白鸦花嫁团</t>
        </is>
      </c>
      <c r="C33" s="15" t="inlineStr">
        <is>
          <t>哪吒</t>
        </is>
      </c>
      <c r="D33" s="15" t="inlineStr">
        <is>
          <t>ナジャ</t>
        </is>
      </c>
      <c r="E33" s="15" t="inlineStr">
        <is>
          <t>平民</t>
        </is>
      </c>
      <c r="F33" s="19" t="n">
        <v>45</v>
      </c>
      <c r="G33" s="19" t="n">
        <v>45</v>
      </c>
      <c r="H33" s="19" t="n">
        <v>25</v>
      </c>
      <c r="I33" s="19" t="n">
        <v>45</v>
      </c>
      <c r="J33" s="19" t="n">
        <v>50</v>
      </c>
      <c r="K33" s="19" t="n">
        <v>35</v>
      </c>
      <c r="L33" s="19" t="n">
        <v>25</v>
      </c>
      <c r="M33" s="19" t="n">
        <v>30</v>
      </c>
      <c r="N33" s="19" t="n">
        <v>25</v>
      </c>
      <c r="O33" s="15">
        <f>IF(COUNT(F33:N33)=0,"—",SUM(F33:N33))</f>
        <v/>
      </c>
      <c r="P33" s="20" t="inlineStr">
        <is>
          <t>—</t>
        </is>
      </c>
      <c r="Q33" s="20" t="inlineStr">
        <is>
          <t>步兵D・剑术D・格斗术E+ 向</t>
        </is>
      </c>
      <c r="R33" s="20" t="inlineStr">
        <is>
          <t>剑术・格斗术・步兵</t>
        </is>
      </c>
      <c r="S33" s="20" t="inlineStr">
        <is>
          <t>—</t>
        </is>
      </c>
      <c r="T33" s="20" t="inlineStr">
        <is>
          <t>斗士 ▼ 剑客 ▼ 侍道</t>
        </is>
      </c>
      <c r="U33" s="20" t="inlineStr">
        <is>
          <t>格斗术・步兵・剑术</t>
        </is>
      </c>
      <c r="V33" s="20" t="inlineStr">
        <is>
          <t>D</t>
        </is>
      </c>
      <c r="W33" s="20" t="inlineStr">
        <is>
          <t>E</t>
        </is>
      </c>
      <c r="X33" s="20" t="inlineStr">
        <is>
          <t>E</t>
        </is>
      </c>
      <c r="Y33" s="20" t="inlineStr">
        <is>
          <t>E</t>
        </is>
      </c>
      <c r="Z33" s="20" t="inlineStr">
        <is>
          <t>E+</t>
        </is>
      </c>
      <c r="AA33" s="20" t="inlineStr">
        <is>
          <t>E</t>
        </is>
      </c>
      <c r="AB33" s="20" t="inlineStr">
        <is>
          <t>E</t>
        </is>
      </c>
      <c r="AC33" s="20" t="inlineStr">
        <is>
          <t>E</t>
        </is>
      </c>
      <c r="AD33" s="20" t="inlineStr">
        <is>
          <t>D</t>
        </is>
      </c>
      <c r="AE33" s="20" t="inlineStr">
        <is>
          <t>E</t>
        </is>
      </c>
      <c r="AF33" s="20" t="inlineStr">
        <is>
          <t>E</t>
        </is>
      </c>
      <c r="AG33" s="20" t="inlineStr">
        <is>
          <t>E</t>
        </is>
      </c>
      <c r="AH33" s="20" t="inlineStr">
        <is>
          <t>先手必胜：先手战斗时50%发动，攻击力+3</t>
        </is>
      </c>
      <c r="AI33" s="20" t="inlineStr">
        <is>
          <t>白刃的距离</t>
        </is>
      </c>
      <c r="AJ33" s="20" t="n"/>
      <c r="AK33" s="20" t="n"/>
      <c r="AL33" s="20" t="inlineStr">
        <is>
          <t>木剑</t>
        </is>
      </c>
      <c r="AM33" s="20" t="n"/>
      <c r="AN33" s="20" t="n"/>
      <c r="AO33" s="20" t="inlineStr">
        <is>
          <t>葉山 翔太</t>
        </is>
      </c>
      <c r="AP33" s="20" t="inlineStr">
        <is>
          <t>拥有超乎常人的力量，精力充沛的少年剑客。 只要占得先机，攻势便会进一步增强。 锻炼武术、大吃大喝</t>
        </is>
      </c>
    </row>
    <row r="34">
      <c r="A34" s="15" t="n">
        <v>32</v>
      </c>
      <c r="B34" s="15" t="inlineStr">
        <is>
          <t>无所属</t>
        </is>
      </c>
      <c r="C34" s="15" t="inlineStr">
        <is>
          <t>古扎岚</t>
        </is>
      </c>
      <c r="D34" s="15" t="inlineStr">
        <is>
          <t>グザラン</t>
        </is>
      </c>
      <c r="E34" s="15" t="inlineStr">
        <is>
          <t>斗士</t>
        </is>
      </c>
      <c r="F34" s="19" t="n">
        <v>45</v>
      </c>
      <c r="G34" s="19" t="n">
        <v>45</v>
      </c>
      <c r="H34" s="19" t="n">
        <v>20</v>
      </c>
      <c r="I34" s="19" t="n">
        <v>50</v>
      </c>
      <c r="J34" s="19" t="n">
        <v>45</v>
      </c>
      <c r="K34" s="19" t="n">
        <v>35</v>
      </c>
      <c r="L34" s="19" t="n">
        <v>20</v>
      </c>
      <c r="M34" s="19" t="n">
        <v>45</v>
      </c>
      <c r="N34" s="19" t="n">
        <v>30</v>
      </c>
      <c r="O34" s="15">
        <f>IF(COUNT(F34:N34)=0,"—",SUM(F34:N34))</f>
        <v/>
      </c>
      <c r="P34" s="20" t="inlineStr">
        <is>
          <t>—</t>
        </is>
      </c>
      <c r="Q34" s="20" t="inlineStr">
        <is>
          <t>步兵D・格斗术D・斧术D 向</t>
        </is>
      </c>
      <c r="R34" s="20" t="inlineStr">
        <is>
          <t>剑术・格斗术・步兵</t>
        </is>
      </c>
      <c r="S34" s="20" t="inlineStr">
        <is>
          <t>侍道</t>
        </is>
      </c>
      <c r="T34" s="20" t="inlineStr">
        <is>
          <t>斗士 ▼ 剑客 ▼ 侍道</t>
        </is>
      </c>
      <c r="U34" s="20" t="inlineStr">
        <is>
          <t>格斗术・步兵・剑术</t>
        </is>
      </c>
      <c r="V34" s="20" t="inlineStr">
        <is>
          <t>D</t>
        </is>
      </c>
      <c r="W34" s="20" t="inlineStr">
        <is>
          <t>E</t>
        </is>
      </c>
      <c r="X34" s="20" t="inlineStr">
        <is>
          <t>D</t>
        </is>
      </c>
      <c r="Y34" s="20" t="inlineStr">
        <is>
          <t>E</t>
        </is>
      </c>
      <c r="Z34" s="20" t="inlineStr">
        <is>
          <t>D</t>
        </is>
      </c>
      <c r="AA34" s="20" t="inlineStr">
        <is>
          <t>E</t>
        </is>
      </c>
      <c r="AB34" s="20" t="inlineStr">
        <is>
          <t>E</t>
        </is>
      </c>
      <c r="AC34" s="20" t="inlineStr">
        <is>
          <t>E</t>
        </is>
      </c>
      <c r="AD34" s="20" t="inlineStr">
        <is>
          <t>D</t>
        </is>
      </c>
      <c r="AE34" s="20" t="inlineStr">
        <is>
          <t>E</t>
        </is>
      </c>
      <c r="AF34" s="20" t="inlineStr">
        <is>
          <t>E</t>
        </is>
      </c>
      <c r="AG34" s="20" t="inlineStr">
        <is>
          <t>E</t>
        </is>
      </c>
      <c r="AH34" s="20" t="inlineStr">
        <is>
          <t>情绪化：战斗时，命中・回避・必杀其中之一+10</t>
        </is>
      </c>
      <c r="AI34" s="20" t="inlineStr">
        <is>
          <t>白刃的距离</t>
        </is>
      </c>
      <c r="AJ34" s="20" t="n"/>
      <c r="AK34" s="20" t="n"/>
      <c r="AL34" s="20" t="inlineStr">
        <is>
          <t>青铜剑</t>
        </is>
      </c>
      <c r="AM34" s="20" t="n"/>
      <c r="AN34" s="20" t="n"/>
      <c r="AO34" s="20" t="inlineStr">
        <is>
          <t>金子 隼人</t>
        </is>
      </c>
      <c r="AP34" s="20" t="inlineStr">
        <is>
          <t>豪放不羁、随心所欲的佣兵。 经历过无数生死战场，在同伴中被称为“不死的古扎兰”。 因为老是吹牛而不被理睬的时候居多，但拥有确凿的实力。</t>
        </is>
      </c>
    </row>
    <row r="35">
      <c r="A35" s="15" t="n">
        <v>33</v>
      </c>
      <c r="B35" s="15" t="inlineStr">
        <is>
          <t>无所属</t>
        </is>
      </c>
      <c r="C35" s="15" t="inlineStr">
        <is>
          <t>伊欧</t>
        </is>
      </c>
      <c r="D35" s="15" t="inlineStr">
        <is>
          <t>イオ</t>
        </is>
      </c>
      <c r="E35" s="15" t="inlineStr">
        <is>
          <t>轻骑兵</t>
        </is>
      </c>
      <c r="F35" s="19" t="n">
        <v>45</v>
      </c>
      <c r="G35" s="19" t="n">
        <v>40</v>
      </c>
      <c r="H35" s="19" t="n">
        <v>25</v>
      </c>
      <c r="I35" s="19" t="n">
        <v>35</v>
      </c>
      <c r="J35" s="19" t="n">
        <v>45</v>
      </c>
      <c r="K35" s="19" t="n">
        <v>40</v>
      </c>
      <c r="L35" s="19" t="n">
        <v>25</v>
      </c>
      <c r="M35" s="19" t="n">
        <v>35</v>
      </c>
      <c r="N35" s="19" t="n">
        <v>35</v>
      </c>
      <c r="O35" s="15">
        <f>IF(COUNT(F35:N35)=0,"—",SUM(F35:N35))</f>
        <v/>
      </c>
      <c r="P35" s="20" t="inlineStr">
        <is>
          <t>以机动力见长的单位</t>
        </is>
      </c>
      <c r="Q35" s="20" t="inlineStr">
        <is>
          <t>马术C・枪术C・剑术C 向</t>
        </is>
      </c>
      <c r="R35" s="20" t="inlineStr">
        <is>
          <t>枪术・斧术・马术</t>
        </is>
      </c>
      <c r="S35" s="20" t="inlineStr">
        <is>
          <t>荣光骑士</t>
        </is>
      </c>
      <c r="T35" s="20" t="inlineStr">
        <is>
          <t>斗士 ▼ 轻骑兵 ▼ 荣光骑士</t>
        </is>
      </c>
      <c r="U35" s="20" t="inlineStr">
        <is>
          <t>斧术・马术・枪术</t>
        </is>
      </c>
      <c r="V35" s="20" t="inlineStr">
        <is>
          <t>C</t>
        </is>
      </c>
      <c r="W35" s="20" t="inlineStr">
        <is>
          <t>C</t>
        </is>
      </c>
      <c r="X35" s="20" t="inlineStr">
        <is>
          <t>D</t>
        </is>
      </c>
      <c r="Y35" s="20" t="inlineStr">
        <is>
          <t>E</t>
        </is>
      </c>
      <c r="Z35" s="20" t="inlineStr">
        <is>
          <t>E</t>
        </is>
      </c>
      <c r="AA35" s="20" t="inlineStr">
        <is>
          <t>E</t>
        </is>
      </c>
      <c r="AB35" s="20" t="inlineStr">
        <is>
          <t>E</t>
        </is>
      </c>
      <c r="AC35" s="20" t="inlineStr">
        <is>
          <t>E</t>
        </is>
      </c>
      <c r="AD35" s="20" t="inlineStr">
        <is>
          <t>E</t>
        </is>
      </c>
      <c r="AE35" s="20" t="inlineStr">
        <is>
          <t>C</t>
        </is>
      </c>
      <c r="AF35" s="20" t="inlineStr">
        <is>
          <t>E</t>
        </is>
      </c>
      <c r="AG35" s="20" t="inlineStr">
        <is>
          <t>E</t>
        </is>
      </c>
      <c r="AH35" s="20" t="inlineStr">
        <is>
          <t>与爱马的默契：【骑兵】先手战斗时，防守+3、回避+30</t>
        </is>
      </c>
      <c r="AI35" s="20" t="inlineStr">
        <is>
          <t>上下马・骑乘突击・枪术Lv.1・骑士的直觉</t>
        </is>
      </c>
      <c r="AJ35" s="20" t="n"/>
      <c r="AK35" s="20" t="n"/>
      <c r="AL35" s="20" t="inlineStr">
        <is>
          <t>铁枪</t>
        </is>
      </c>
      <c r="AM35" s="20" t="n"/>
      <c r="AN35" s="20" t="n"/>
      <c r="AO35" s="20" t="inlineStr">
        <is>
          <t>小林 秀行</t>
        </is>
      </c>
      <c r="AP35" s="20" t="inlineStr">
        <is>
          <t>在地下城作为佣兵谋生的、志向高远的青年。 过去为了守护民众的幸福，作为骑士侍奉阿拉戈王国，但对国王独断专行的行为感到厌烦而逃离了阿拉戈。</t>
        </is>
      </c>
    </row>
    <row r="36">
      <c r="A36" s="15" t="n">
        <v>34</v>
      </c>
      <c r="B36" s="15" t="inlineStr">
        <is>
          <t>无所属</t>
        </is>
      </c>
      <c r="C36" s="15" t="inlineStr">
        <is>
          <t>卡塔妮雅</t>
        </is>
      </c>
      <c r="D36" s="15" t="inlineStr">
        <is>
          <t>カターニャ</t>
        </is>
      </c>
      <c r="E36" s="15" t="inlineStr">
        <is>
          <t>平民</t>
        </is>
      </c>
      <c r="F36" s="19" t="n">
        <v>35</v>
      </c>
      <c r="G36" s="19" t="n">
        <v>35</v>
      </c>
      <c r="H36" s="19" t="n">
        <v>35</v>
      </c>
      <c r="I36" s="19" t="n">
        <v>55</v>
      </c>
      <c r="J36" s="19" t="n">
        <v>50</v>
      </c>
      <c r="K36" s="19" t="n">
        <v>30</v>
      </c>
      <c r="L36" s="19" t="n">
        <v>35</v>
      </c>
      <c r="M36" s="19" t="n">
        <v>40</v>
      </c>
      <c r="N36" s="19" t="n">
        <v>45</v>
      </c>
      <c r="O36" s="15">
        <f>IF(COUNT(F36:N36)=0,"—",SUM(F36:N36))</f>
        <v/>
      </c>
      <c r="P36" s="20" t="inlineStr">
        <is>
          <t>以速度见长的单位</t>
        </is>
      </c>
      <c r="Q36" s="20" t="inlineStr">
        <is>
          <t>飞行D・枪术D・剑术E+ 向</t>
        </is>
      </c>
      <c r="R36" s="20" t="inlineStr">
        <is>
          <t>剑术・枪术・飞行</t>
        </is>
      </c>
      <c r="S36" s="20" t="inlineStr">
        <is>
          <t>侍道 ｜ 龙骑士</t>
        </is>
      </c>
      <c r="T36" s="20" t="inlineStr">
        <is>
          <t>斗士 ▼ 剑客 ▼ 侍道</t>
        </is>
      </c>
      <c r="U36" s="20" t="inlineStr">
        <is>
          <t>枪术・剑术</t>
        </is>
      </c>
      <c r="V36" s="20" t="inlineStr">
        <is>
          <t>E+</t>
        </is>
      </c>
      <c r="W36" s="20" t="inlineStr">
        <is>
          <t>D</t>
        </is>
      </c>
      <c r="X36" s="20" t="inlineStr">
        <is>
          <t>E</t>
        </is>
      </c>
      <c r="Y36" s="20" t="inlineStr">
        <is>
          <t>E</t>
        </is>
      </c>
      <c r="Z36" s="20" t="inlineStr">
        <is>
          <t>E</t>
        </is>
      </c>
      <c r="AA36" s="20" t="inlineStr">
        <is>
          <t>E</t>
        </is>
      </c>
      <c r="AB36" s="20" t="inlineStr">
        <is>
          <t>E</t>
        </is>
      </c>
      <c r="AC36" s="20" t="inlineStr">
        <is>
          <t>E</t>
        </is>
      </c>
      <c r="AD36" s="20" t="inlineStr">
        <is>
          <t>E</t>
        </is>
      </c>
      <c r="AE36" s="20" t="inlineStr">
        <is>
          <t>E</t>
        </is>
      </c>
      <c r="AF36" s="20" t="inlineStr">
        <is>
          <t>E</t>
        </is>
      </c>
      <c r="AG36" s="20" t="inlineStr">
        <is>
          <t>D</t>
        </is>
      </c>
      <c r="AH36" s="20" t="inlineStr">
        <is>
          <t>疾风：战斗时若自身攻速比敌高3以上，命中+20</t>
        </is>
      </c>
      <c r="AI36" s="20" t="inlineStr">
        <is>
          <t>读风</t>
        </is>
      </c>
      <c r="AJ36" s="20" t="n"/>
      <c r="AK36" s="20" t="n"/>
      <c r="AL36" s="20" t="inlineStr">
        <is>
          <t>木枪</t>
        </is>
      </c>
      <c r="AM36" s="20" t="n"/>
      <c r="AN36" s="20" t="n"/>
      <c r="AO36" s="20" t="inlineStr">
        <is>
          <t>饭田 Hikaru</t>
        </is>
      </c>
      <c r="AP36" s="20" t="inlineStr">
        <is>
          <t>在地下城寻找条件优越的雇主的、骄傲的骑士。 曾侍奉某位贵族，但因五年前的事件而失去一切。 虽然生活并不宽裕，但她装作若无其事的样子。</t>
        </is>
      </c>
    </row>
    <row r="37">
      <c r="A37" s="15" t="n">
        <v>35</v>
      </c>
      <c r="B37" s="15" t="inlineStr">
        <is>
          <t>无所属</t>
        </is>
      </c>
      <c r="C37" s="15" t="inlineStr">
        <is>
          <t>努蒂奴</t>
        </is>
      </c>
      <c r="D37" s="15" t="inlineStr">
        <is>
          <t>ヌディーヌ</t>
        </is>
      </c>
      <c r="E37" s="15" t="inlineStr">
        <is>
          <t>平民</t>
        </is>
      </c>
      <c r="F37" s="19" t="n">
        <v>45</v>
      </c>
      <c r="G37" s="19" t="n">
        <v>40</v>
      </c>
      <c r="H37" s="19" t="n">
        <v>30</v>
      </c>
      <c r="I37" s="19" t="n">
        <v>45</v>
      </c>
      <c r="J37" s="19" t="n">
        <v>40</v>
      </c>
      <c r="K37" s="19" t="n">
        <v>30</v>
      </c>
      <c r="L37" s="19" t="n">
        <v>25</v>
      </c>
      <c r="M37" s="19" t="n">
        <v>35</v>
      </c>
      <c r="N37" s="19" t="n">
        <v>35</v>
      </c>
      <c r="O37" s="15">
        <f>IF(COUNT(F37:N37)=0,"—",SUM(F37:N37))</f>
        <v/>
      </c>
      <c r="P37" s="20" t="inlineStr">
        <is>
          <t>骑乘「飞驼」的兵种，可越过障碍物移动</t>
        </is>
      </c>
      <c r="Q37" s="20" t="inlineStr">
        <is>
          <t>马术D・飞行D・斧术D 向</t>
        </is>
      </c>
      <c r="R37" s="20" t="inlineStr">
        <is>
          <t>斧术・黑魔法・飞行・马术</t>
        </is>
      </c>
      <c r="S37" s="20" t="inlineStr">
        <is>
          <t>—</t>
        </is>
      </c>
      <c r="T37" s="20" t="inlineStr">
        <is>
          <t>斗士 ▼ 轻骑兵 ▼ 荣光骑士</t>
        </is>
      </c>
      <c r="U37" s="20" t="inlineStr">
        <is>
          <t>斧术・飞行・马术</t>
        </is>
      </c>
      <c r="V37" s="20" t="inlineStr">
        <is>
          <t>E</t>
        </is>
      </c>
      <c r="W37" s="20" t="inlineStr">
        <is>
          <t>E</t>
        </is>
      </c>
      <c r="X37" s="20" t="inlineStr">
        <is>
          <t>D</t>
        </is>
      </c>
      <c r="Y37" s="20" t="inlineStr">
        <is>
          <t>E</t>
        </is>
      </c>
      <c r="Z37" s="20" t="inlineStr">
        <is>
          <t>E</t>
        </is>
      </c>
      <c r="AA37" s="20" t="inlineStr">
        <is>
          <t>E+</t>
        </is>
      </c>
      <c r="AB37" s="20" t="inlineStr">
        <is>
          <t>E</t>
        </is>
      </c>
      <c r="AC37" s="20" t="inlineStr">
        <is>
          <t>E</t>
        </is>
      </c>
      <c r="AD37" s="20" t="inlineStr">
        <is>
          <t>E</t>
        </is>
      </c>
      <c r="AE37" s="20" t="inlineStr">
        <is>
          <t>D</t>
        </is>
      </c>
      <c r="AF37" s="20" t="inlineStr">
        <is>
          <t>E</t>
        </is>
      </c>
      <c r="AG37" s="20" t="inlineStr">
        <is>
          <t>D</t>
        </is>
      </c>
      <c r="AH37" s="20" t="inlineStr">
        <is>
          <t>强行突破：【骑兵】可穿过敌人所在格移动（自身为大型单位时无效）</t>
        </is>
      </c>
      <c r="AI37" s="20" t="inlineStr">
        <is>
          <t>骑士的直觉・读风</t>
        </is>
      </c>
      <c r="AJ37" s="20" t="n"/>
      <c r="AK37" s="20" t="n"/>
      <c r="AL37" s="20" t="inlineStr">
        <is>
          <t>木斧</t>
        </is>
      </c>
      <c r="AM37" s="20" t="n"/>
      <c r="AN37" s="20" t="n"/>
      <c r="AO37" s="20" t="inlineStr">
        <is>
          <t>三浦 冴子</t>
        </is>
      </c>
      <c r="AP37" s="20" t="inlineStr">
        <is>
          <t>在鞑古希翁从事佣兵行业的女性。 原本出身于萨拉弥斯王国，是连贤将波拿帕尔特也认可的模范战士。 因数年前的内乱而开始流浪于鞑古扎之地，直至今日。</t>
        </is>
      </c>
    </row>
    <row r="38">
      <c r="A38" s="15" t="n">
        <v>36</v>
      </c>
      <c r="B38" s="15" t="inlineStr">
        <is>
          <t>雷云骑士团</t>
        </is>
      </c>
      <c r="C38" s="15" t="inlineStr">
        <is>
          <t>班迪兹</t>
        </is>
      </c>
      <c r="D38" s="15" t="inlineStr">
        <is>
          <t>ベンディッツ</t>
        </is>
      </c>
      <c r="E38" s="15" t="inlineStr">
        <is>
          <t>战车兵</t>
        </is>
      </c>
      <c r="F38" s="19" t="n">
        <v>50</v>
      </c>
      <c r="G38" s="19" t="n">
        <v>35</v>
      </c>
      <c r="H38" s="19" t="n">
        <v>20</v>
      </c>
      <c r="I38" s="19" t="n">
        <v>35</v>
      </c>
      <c r="J38" s="19" t="n">
        <v>50</v>
      </c>
      <c r="K38" s="19" t="n">
        <v>35</v>
      </c>
      <c r="L38" s="19" t="n">
        <v>25</v>
      </c>
      <c r="M38" s="19" t="n">
        <v>30</v>
      </c>
      <c r="N38" s="19" t="n">
        <v>35</v>
      </c>
      <c r="O38" s="15">
        <f>IF(COUNT(F38:N38)=0,"—",SUM(F38:N38))</f>
        <v/>
      </c>
      <c r="P38" s="20" t="inlineStr">
        <is>
          <t>乘坐战车作战</t>
        </is>
      </c>
      <c r="Q38" s="20" t="inlineStr">
        <is>
          <t>马术C・弓术C・枪术D 向</t>
        </is>
      </c>
      <c r="R38" s="20" t="inlineStr">
        <is>
          <t>弓术・指挥・马术</t>
        </is>
      </c>
      <c r="S38" s="20" t="inlineStr">
        <is>
          <t>—</t>
        </is>
      </c>
      <c r="T38" s="20" t="inlineStr">
        <is>
          <t>斗士 ▼ 剑客 ▼ 侍道</t>
        </is>
      </c>
      <c r="U38" s="20" t="inlineStr">
        <is>
          <t>弓术・马术</t>
        </is>
      </c>
      <c r="V38" s="20" t="inlineStr">
        <is>
          <t>E</t>
        </is>
      </c>
      <c r="W38" s="20" t="inlineStr">
        <is>
          <t>D</t>
        </is>
      </c>
      <c r="X38" s="20" t="inlineStr">
        <is>
          <t>D</t>
        </is>
      </c>
      <c r="Y38" s="20" t="inlineStr">
        <is>
          <t>C</t>
        </is>
      </c>
      <c r="Z38" s="20" t="inlineStr">
        <is>
          <t>E</t>
        </is>
      </c>
      <c r="AA38" s="20" t="inlineStr">
        <is>
          <t>E</t>
        </is>
      </c>
      <c r="AB38" s="20" t="inlineStr">
        <is>
          <t>E</t>
        </is>
      </c>
      <c r="AC38" s="20" t="inlineStr">
        <is>
          <t>E+</t>
        </is>
      </c>
      <c r="AD38" s="20" t="inlineStr">
        <is>
          <t>E</t>
        </is>
      </c>
      <c r="AE38" s="20" t="inlineStr">
        <is>
          <t>C</t>
        </is>
      </c>
      <c r="AF38" s="20" t="inlineStr">
        <is>
          <t>E</t>
        </is>
      </c>
      <c r="AG38" s="20" t="inlineStr">
        <is>
          <t>E</t>
        </is>
      </c>
      <c r="AH38" s="20" t="inlineStr">
        <is>
          <t>车上战斗术：【骑兵】自身为「战车兵」时，命中+20</t>
        </is>
      </c>
      <c r="AI38" s="20" t="inlineStr">
        <is>
          <t>战车装甲・战车兵战术・战车兵之道・战车骑手・弓术Lv.1・骑士的直觉</t>
        </is>
      </c>
      <c r="AJ38" s="20" t="n"/>
      <c r="AK38" s="20" t="n"/>
      <c r="AL38" s="20" t="inlineStr">
        <is>
          <t>铁弓</t>
        </is>
      </c>
      <c r="AM38" s="20" t="n"/>
      <c r="AN38" s="20" t="n"/>
      <c r="AO38" s="20" t="inlineStr">
        <is>
          <t>近藤 浩徳</t>
        </is>
      </c>
      <c r="AP38" s="20" t="inlineStr">
        <is>
          <t>自称“大声地”将军的独眼老骑士。 曾在神殿担任百夫长，但几年前因丑闻失去立足之地，如今以佣兵为生。</t>
        </is>
      </c>
    </row>
    <row r="39">
      <c r="A39" s="15" t="n">
        <v>37</v>
      </c>
      <c r="B39" s="15" t="inlineStr">
        <is>
          <t>泰勒斯白银骑士团</t>
        </is>
      </c>
      <c r="C39" s="15" t="inlineStr">
        <is>
          <t>亚历珊德拉</t>
        </is>
      </c>
      <c r="D39" s="15" t="inlineStr">
        <is>
          <t>アレキサンドラ</t>
        </is>
      </c>
      <c r="E39" s="15" t="inlineStr">
        <is>
          <t>天翼兵</t>
        </is>
      </c>
      <c r="F39" s="19" t="n">
        <v>30</v>
      </c>
      <c r="G39" s="19" t="n">
        <v>35</v>
      </c>
      <c r="H39" s="19" t="n">
        <v>35</v>
      </c>
      <c r="I39" s="19" t="n">
        <v>55</v>
      </c>
      <c r="J39" s="19" t="n">
        <v>45</v>
      </c>
      <c r="K39" s="19" t="n">
        <v>30</v>
      </c>
      <c r="L39" s="19" t="n">
        <v>40</v>
      </c>
      <c r="M39" s="19" t="n">
        <v>50</v>
      </c>
      <c r="N39" s="19" t="n">
        <v>50</v>
      </c>
      <c r="O39" s="15">
        <f>IF(COUNT(F39:N39)=0,"—",SUM(F39:N39))</f>
        <v/>
      </c>
      <c r="P39" s="20" t="inlineStr">
        <is>
          <t>骑乘爱马「布凯帕拉斯」作战，因此也能进入步兵无法通行的地形</t>
        </is>
      </c>
      <c r="Q39" s="20" t="inlineStr">
        <is>
          <t>—</t>
        </is>
      </c>
      <c r="R39" s="20" t="inlineStr">
        <is>
          <t>剑术・枪术・飞行</t>
        </is>
      </c>
      <c r="S39" s="20" t="inlineStr">
        <is>
          <t>—</t>
        </is>
      </c>
      <c r="T39" s="20" t="inlineStr">
        <is>
          <t>斗士 ▼ 剑客 ▼ 侍道</t>
        </is>
      </c>
      <c r="U39" s="20" t="inlineStr">
        <is>
          <t>飞行・枪术・剑术</t>
        </is>
      </c>
      <c r="V39" s="20" t="inlineStr">
        <is>
          <t>—</t>
        </is>
      </c>
      <c r="W39" s="20" t="inlineStr">
        <is>
          <t>—</t>
        </is>
      </c>
      <c r="X39" s="20" t="inlineStr">
        <is>
          <t>—</t>
        </is>
      </c>
      <c r="Y39" s="20" t="inlineStr">
        <is>
          <t>—</t>
        </is>
      </c>
      <c r="Z39" s="20" t="inlineStr">
        <is>
          <t>—</t>
        </is>
      </c>
      <c r="AA39" s="20" t="inlineStr">
        <is>
          <t>—</t>
        </is>
      </c>
      <c r="AB39" s="20" t="inlineStr">
        <is>
          <t>—</t>
        </is>
      </c>
      <c r="AC39" s="20" t="inlineStr">
        <is>
          <t>—</t>
        </is>
      </c>
      <c r="AD39" s="20" t="inlineStr">
        <is>
          <t>—</t>
        </is>
      </c>
      <c r="AE39" s="20" t="inlineStr">
        <is>
          <t>—</t>
        </is>
      </c>
      <c r="AF39" s="20" t="inlineStr">
        <is>
          <t>—</t>
        </is>
      </c>
      <c r="AG39" s="20" t="inlineStr">
        <is>
          <t>—</t>
        </is>
      </c>
      <c r="AH39" s="20" t="inlineStr">
        <is>
          <t>白银少女：每有1名相邻己方，自身命中・回避+5</t>
        </is>
      </c>
      <c r="AI39" s="20" t="n"/>
      <c r="AJ39" s="20" t="n"/>
      <c r="AK39" s="20" t="n"/>
      <c r="AL39" s="20" t="n"/>
      <c r="AM39" s="20" t="n"/>
      <c r="AN39" s="20" t="n"/>
      <c r="AO39" s="20" t="inlineStr">
        <is>
          <t>芝崎 典子</t>
        </is>
      </c>
      <c r="AP39" s="20" t="inlineStr">
        <is>
          <t>在地下城上层的祖拉神殿侍奉的、娇美的天马骑士。 在街头巷尾被称为“银之乙女”，拥有相当高的人气。 由于出身名门且环境优渥，据说也有不少嫉妒她的声音。</t>
        </is>
      </c>
    </row>
    <row r="40">
      <c r="A40" s="15" t="n">
        <v>38</v>
      </c>
      <c r="B40" s="15" t="inlineStr">
        <is>
          <t>无所属</t>
        </is>
      </c>
      <c r="C40" s="15" t="inlineStr">
        <is>
          <t>内森</t>
        </is>
      </c>
      <c r="D40" s="15" t="inlineStr">
        <is>
          <t>ネイサン</t>
        </is>
      </c>
      <c r="E40" s="15" t="inlineStr">
        <is>
          <t>—</t>
        </is>
      </c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5">
        <f>IF(COUNT(F40:N40)=0,"—",SUM(F40:N40))</f>
        <v/>
      </c>
      <c r="P40" s="20" t="inlineStr">
        <is>
          <t>—</t>
        </is>
      </c>
      <c r="Q40" s="20" t="inlineStr">
        <is>
          <t>—</t>
        </is>
      </c>
      <c r="R40" s="20" t="inlineStr">
        <is>
          <t>枪术・马术</t>
        </is>
      </c>
      <c r="S40" s="20" t="inlineStr">
        <is>
          <t>—</t>
        </is>
      </c>
      <c r="T40" s="20" t="inlineStr">
        <is>
          <t>—</t>
        </is>
      </c>
      <c r="U40" s="20" t="inlineStr">
        <is>
          <t>—</t>
        </is>
      </c>
      <c r="V40" s="20" t="inlineStr">
        <is>
          <t>—</t>
        </is>
      </c>
      <c r="W40" s="20" t="inlineStr">
        <is>
          <t>—</t>
        </is>
      </c>
      <c r="X40" s="20" t="inlineStr">
        <is>
          <t>—</t>
        </is>
      </c>
      <c r="Y40" s="20" t="inlineStr">
        <is>
          <t>—</t>
        </is>
      </c>
      <c r="Z40" s="20" t="inlineStr">
        <is>
          <t>—</t>
        </is>
      </c>
      <c r="AA40" s="20" t="inlineStr">
        <is>
          <t>—</t>
        </is>
      </c>
      <c r="AB40" s="20" t="inlineStr">
        <is>
          <t>—</t>
        </is>
      </c>
      <c r="AC40" s="20" t="inlineStr">
        <is>
          <t>—</t>
        </is>
      </c>
      <c r="AD40" s="20" t="inlineStr">
        <is>
          <t>—</t>
        </is>
      </c>
      <c r="AE40" s="20" t="inlineStr">
        <is>
          <t>—</t>
        </is>
      </c>
      <c r="AF40" s="20" t="inlineStr">
        <is>
          <t>—</t>
        </is>
      </c>
      <c r="AG40" s="20" t="inlineStr">
        <is>
          <t>—</t>
        </is>
      </c>
      <c r="AH40" s="20" t="n"/>
      <c r="AI40" s="20" t="n"/>
      <c r="AJ40" s="20" t="n"/>
      <c r="AK40" s="20" t="n"/>
      <c r="AL40" s="20" t="n"/>
      <c r="AM40" s="20" t="n"/>
      <c r="AN40" s="20" t="n"/>
      <c r="AO40" s="20" t="n"/>
      <c r="AP40" s="20" t="n"/>
    </row>
    <row r="41">
      <c r="A41" s="15" t="n">
        <v>39</v>
      </c>
      <c r="B41" s="15" t="inlineStr">
        <is>
          <t>阿拉戈精锐部队</t>
        </is>
      </c>
      <c r="C41" s="15" t="inlineStr">
        <is>
          <t>齐利科</t>
        </is>
      </c>
      <c r="D41" s="15" t="inlineStr">
        <is>
          <t>キリーク</t>
        </is>
      </c>
      <c r="E41" s="15" t="inlineStr">
        <is>
          <t>—</t>
        </is>
      </c>
      <c r="F41" s="19" t="n">
        <v>45</v>
      </c>
      <c r="G41" s="19" t="n">
        <v>50</v>
      </c>
      <c r="H41" s="19" t="n">
        <v>15</v>
      </c>
      <c r="I41" s="19" t="n">
        <v>60</v>
      </c>
      <c r="J41" s="19" t="n">
        <v>50</v>
      </c>
      <c r="K41" s="19" t="n">
        <v>35</v>
      </c>
      <c r="L41" s="19" t="n">
        <v>20</v>
      </c>
      <c r="M41" s="19" t="n">
        <v>30</v>
      </c>
      <c r="N41" s="19" t="n">
        <v>35</v>
      </c>
      <c r="O41" s="15">
        <f>IF(COUNT(F41:N41)=0,"—",SUM(F41:N41))</f>
        <v/>
      </c>
      <c r="P41" s="20" t="inlineStr">
        <is>
          <t>—</t>
        </is>
      </c>
      <c r="Q41" s="20" t="inlineStr">
        <is>
          <t>—</t>
        </is>
      </c>
      <c r="R41" s="20" t="inlineStr">
        <is>
          <t>剑术・马术</t>
        </is>
      </c>
      <c r="S41" s="20" t="inlineStr">
        <is>
          <t>—</t>
        </is>
      </c>
      <c r="T41" s="20" t="inlineStr">
        <is>
          <t>—</t>
        </is>
      </c>
      <c r="U41" s="20" t="inlineStr">
        <is>
          <t>—</t>
        </is>
      </c>
      <c r="V41" s="20" t="inlineStr">
        <is>
          <t>—</t>
        </is>
      </c>
      <c r="W41" s="20" t="inlineStr">
        <is>
          <t>—</t>
        </is>
      </c>
      <c r="X41" s="20" t="inlineStr">
        <is>
          <t>—</t>
        </is>
      </c>
      <c r="Y41" s="20" t="inlineStr">
        <is>
          <t>—</t>
        </is>
      </c>
      <c r="Z41" s="20" t="inlineStr">
        <is>
          <t>—</t>
        </is>
      </c>
      <c r="AA41" s="20" t="inlineStr">
        <is>
          <t>—</t>
        </is>
      </c>
      <c r="AB41" s="20" t="inlineStr">
        <is>
          <t>—</t>
        </is>
      </c>
      <c r="AC41" s="20" t="inlineStr">
        <is>
          <t>—</t>
        </is>
      </c>
      <c r="AD41" s="20" t="inlineStr">
        <is>
          <t>—</t>
        </is>
      </c>
      <c r="AE41" s="20" t="inlineStr">
        <is>
          <t>—</t>
        </is>
      </c>
      <c r="AF41" s="20" t="inlineStr">
        <is>
          <t>—</t>
        </is>
      </c>
      <c r="AG41" s="20" t="inlineStr">
        <is>
          <t>—</t>
        </is>
      </c>
      <c r="AH41" s="20" t="inlineStr">
        <is>
          <t>冷静沉着：后手战斗时，攻速+3、回避+10</t>
        </is>
      </c>
      <c r="AI41" s="20" t="n"/>
      <c r="AJ41" s="20" t="n"/>
      <c r="AK41" s="20" t="n"/>
      <c r="AL41" s="20" t="n"/>
      <c r="AM41" s="20" t="n"/>
      <c r="AN41" s="20" t="n"/>
      <c r="AO41" s="20" t="inlineStr">
        <is>
          <t>岩澤 俊樹</t>
        </is>
      </c>
      <c r="AP41" s="20" t="inlineStr">
        <is>
          <t>拥有卓越头脑与狡黠的阿拉戈王国将军。与赤骑士内森并称「阿拉戈双璧」，勇名响彻达古扎全境。为人爱讽刺，对任何事都抱持玩世不恭的态度。</t>
        </is>
      </c>
    </row>
    <row r="42">
      <c r="A42" s="15" t="n">
        <v>40</v>
      </c>
      <c r="B42" s="15" t="inlineStr">
        <is>
          <t>救世主军</t>
        </is>
      </c>
      <c r="C42" s="15" t="inlineStr">
        <is>
          <t>红花</t>
        </is>
      </c>
      <c r="D42" s="15" t="inlineStr">
        <is>
          <t>コウカ</t>
        </is>
      </c>
      <c r="E42" s="15" t="inlineStr">
        <is>
          <t>先知</t>
        </is>
      </c>
      <c r="F42" s="19" t="n">
        <v>40</v>
      </c>
      <c r="G42" s="19" t="n">
        <v>30</v>
      </c>
      <c r="H42" s="19" t="n">
        <v>45</v>
      </c>
      <c r="I42" s="19" t="n">
        <v>45</v>
      </c>
      <c r="J42" s="19" t="n">
        <v>45</v>
      </c>
      <c r="K42" s="19" t="n">
        <v>30</v>
      </c>
      <c r="L42" s="19" t="n">
        <v>45</v>
      </c>
      <c r="M42" s="19" t="n">
        <v>30</v>
      </c>
      <c r="N42" s="19" t="n">
        <v>40</v>
      </c>
      <c r="O42" s="15">
        <f>IF(COUNT(F42:N42)=0,"—",SUM(F42:N42))</f>
        <v/>
      </c>
      <c r="P42" s="20" t="inlineStr">
        <is>
          <t>—</t>
        </is>
      </c>
      <c r="Q42" s="20" t="inlineStr">
        <is>
          <t>黑魔法A・白魔法C・步兵D 向</t>
        </is>
      </c>
      <c r="R42" s="20" t="inlineStr">
        <is>
          <t>白魔法・黑魔法</t>
        </is>
      </c>
      <c r="S42" s="20" t="inlineStr">
        <is>
          <t>—</t>
        </is>
      </c>
      <c r="T42" s="20" t="inlineStr">
        <is>
          <t>祭司※</t>
        </is>
      </c>
      <c r="U42" s="20" t="inlineStr">
        <is>
          <t>白魔法・黑魔法</t>
        </is>
      </c>
      <c r="V42" s="20" t="inlineStr">
        <is>
          <t>E</t>
        </is>
      </c>
      <c r="W42" s="20" t="inlineStr">
        <is>
          <t>E</t>
        </is>
      </c>
      <c r="X42" s="20" t="inlineStr">
        <is>
          <t>E</t>
        </is>
      </c>
      <c r="Y42" s="20" t="inlineStr">
        <is>
          <t>E</t>
        </is>
      </c>
      <c r="Z42" s="20" t="inlineStr">
        <is>
          <t>E</t>
        </is>
      </c>
      <c r="AA42" s="20" t="inlineStr">
        <is>
          <t>A</t>
        </is>
      </c>
      <c r="AB42" s="20" t="inlineStr">
        <is>
          <t>C</t>
        </is>
      </c>
      <c r="AC42" s="20" t="inlineStr">
        <is>
          <t>D</t>
        </is>
      </c>
      <c r="AD42" s="20" t="inlineStr">
        <is>
          <t>D</t>
        </is>
      </c>
      <c r="AE42" s="20" t="inlineStr">
        <is>
          <t>E</t>
        </is>
      </c>
      <c r="AF42" s="20" t="inlineStr">
        <is>
          <t>E</t>
        </is>
      </c>
      <c r="AG42" s="20" t="inlineStr">
        <is>
          <t>E</t>
        </is>
      </c>
      <c r="AH42" s="20" t="inlineStr">
        <is>
          <t>朱明：装备魔法时，命中+10</t>
        </is>
      </c>
      <c r="AI42" s="20" t="inlineStr">
        <is>
          <t>黑魔术的探求・魔法命中+5・黑魔术Lv.5</t>
        </is>
      </c>
      <c r="AJ42" s="20" t="n"/>
      <c r="AK42" s="20" t="inlineStr">
        <is>
          <t>波尔加农</t>
        </is>
      </c>
      <c r="AL42" s="20" t="inlineStr">
        <is>
          <t>伤药</t>
        </is>
      </c>
      <c r="AM42" s="20" t="n"/>
      <c r="AN42" s="20" t="n"/>
      <c r="AO42" s="20" t="inlineStr">
        <is>
          <t>大津 愛理</t>
        </is>
      </c>
      <c r="AP42" s="20" t="inlineStr">
        <is>
          <t>引导命运女神福尔图娜前往「禁断之地」、协助救世主诞生的女性。自知过去犯下大罪，为偿还罪业，决心即便牺牲自身也要战斗。</t>
        </is>
      </c>
    </row>
    <row r="43">
      <c r="A43" s="15" t="n">
        <v>41</v>
      </c>
      <c r="B43" s="15" t="inlineStr">
        <is>
          <t>救世主军</t>
        </is>
      </c>
      <c r="C43" s="15" t="inlineStr">
        <is>
          <t>特洛亚</t>
        </is>
      </c>
      <c r="D43" s="15" t="inlineStr">
        <is>
          <t>トロイア</t>
        </is>
      </c>
      <c r="E43" s="15" t="inlineStr">
        <is>
          <t>战斗武僧</t>
        </is>
      </c>
      <c r="F43" s="19" t="n">
        <v>40</v>
      </c>
      <c r="G43" s="19" t="n">
        <v>45</v>
      </c>
      <c r="H43" s="19" t="n">
        <v>45</v>
      </c>
      <c r="I43" s="19" t="n">
        <v>50</v>
      </c>
      <c r="J43" s="19" t="n">
        <v>40</v>
      </c>
      <c r="K43" s="19" t="n">
        <v>30</v>
      </c>
      <c r="L43" s="19" t="n">
        <v>30</v>
      </c>
      <c r="M43" s="19" t="n">
        <v>30</v>
      </c>
      <c r="N43" s="19" t="n">
        <v>30</v>
      </c>
      <c r="O43" s="15">
        <f>IF(COUNT(F43:N43)=0,"—",SUM(F43:N43))</f>
        <v/>
      </c>
      <c r="P43" s="20" t="inlineStr">
        <is>
          <t>—</t>
        </is>
      </c>
      <c r="Q43" s="20" t="inlineStr">
        <is>
          <t>白魔法A・格斗术A・步兵D 向</t>
        </is>
      </c>
      <c r="R43" s="20" t="inlineStr">
        <is>
          <t>格斗术・白魔法・黑魔法</t>
        </is>
      </c>
      <c r="S43" s="20" t="inlineStr">
        <is>
          <t>—</t>
        </is>
      </c>
      <c r="T43" s="20" t="inlineStr">
        <is>
          <t>战斗武僧</t>
        </is>
      </c>
      <c r="U43" s="20" t="inlineStr">
        <is>
          <t>格斗术・白魔法・黑魔法</t>
        </is>
      </c>
      <c r="V43" s="20" t="inlineStr">
        <is>
          <t>E</t>
        </is>
      </c>
      <c r="W43" s="20" t="inlineStr">
        <is>
          <t>E</t>
        </is>
      </c>
      <c r="X43" s="20" t="inlineStr">
        <is>
          <t>E</t>
        </is>
      </c>
      <c r="Y43" s="20" t="inlineStr">
        <is>
          <t>E</t>
        </is>
      </c>
      <c r="Z43" s="20" t="inlineStr">
        <is>
          <t>A</t>
        </is>
      </c>
      <c r="AA43" s="20" t="inlineStr">
        <is>
          <t>E</t>
        </is>
      </c>
      <c r="AB43" s="20" t="inlineStr">
        <is>
          <t>A</t>
        </is>
      </c>
      <c r="AC43" s="20" t="inlineStr">
        <is>
          <t>D</t>
        </is>
      </c>
      <c r="AD43" s="20" t="inlineStr">
        <is>
          <t>D</t>
        </is>
      </c>
      <c r="AE43" s="20" t="inlineStr">
        <is>
          <t>E</t>
        </is>
      </c>
      <c r="AF43" s="20" t="inlineStr">
        <is>
          <t>E</t>
        </is>
      </c>
      <c r="AG43" s="20" t="inlineStr">
        <is>
          <t>E</t>
        </is>
      </c>
      <c r="AH43" s="20" t="inlineStr">
        <is>
          <t>云手：装备手甲时，命中+10</t>
        </is>
      </c>
      <c r="AI43" s="20" t="inlineStr">
        <is>
          <t>战技装备+3・白魔术的探求・格斗回避+7・格斗术Lv.5・白魔术Lv.5</t>
        </is>
      </c>
      <c r="AJ43" s="20" t="inlineStr">
        <is>
          <t>豪拳一撃過圧縮光弾</t>
        </is>
      </c>
      <c r="AK43" s="20" t="inlineStr">
        <is>
          <t>回复</t>
        </is>
      </c>
      <c r="AL43" s="20" t="inlineStr">
        <is>
          <t>刻耳柏洛斯・银制手甲・伤药</t>
        </is>
      </c>
      <c r="AM43" s="20" t="n"/>
      <c r="AN43" s="20" t="n"/>
      <c r="AO43" s="20" t="inlineStr">
        <is>
          <t>仲村 香织</t>
        </is>
      </c>
      <c r="AP43" s="20" t="inlineStr">
        <is>
          <t>接到为伊修玛尔准备肉体之人的联络，加入救世主军的可靠老战士。与历代萨拉米斯王都有交情，赛奥朵拉幼时曾叫她「大婆婆」。</t>
        </is>
      </c>
    </row>
    <row r="44">
      <c r="A44" s="15" t="n">
        <v>42</v>
      </c>
      <c r="B44" s="15" t="inlineStr">
        <is>
          <t>奥罗拉神殿</t>
        </is>
      </c>
      <c r="C44" s="15" t="inlineStr">
        <is>
          <t>盛托利翁</t>
        </is>
      </c>
      <c r="D44" s="15" t="inlineStr">
        <is>
          <t>セントリオン</t>
        </is>
      </c>
      <c r="E44" s="15" t="inlineStr">
        <is>
          <t>重装兵</t>
        </is>
      </c>
      <c r="F44" s="19" t="n">
        <v>45</v>
      </c>
      <c r="G44" s="19" t="n">
        <v>45</v>
      </c>
      <c r="H44" s="19" t="n">
        <v>25</v>
      </c>
      <c r="I44" s="19" t="n">
        <v>40</v>
      </c>
      <c r="J44" s="19" t="n">
        <v>50</v>
      </c>
      <c r="K44" s="19" t="n">
        <v>50</v>
      </c>
      <c r="L44" s="19" t="n">
        <v>30</v>
      </c>
      <c r="M44" s="19" t="n">
        <v>30</v>
      </c>
      <c r="N44" s="19" t="n">
        <v>30</v>
      </c>
      <c r="O44" s="15">
        <f>IF(COUNT(F44:N44)=0,"—",SUM(F44:N44))</f>
        <v/>
      </c>
      <c r="P44" s="20" t="inlineStr">
        <is>
          <t>—</t>
        </is>
      </c>
      <c r="Q44" s="20" t="inlineStr">
        <is>
          <t>—</t>
        </is>
      </c>
      <c r="R44" s="20" t="inlineStr">
        <is>
          <t>枪术・斧术・重装</t>
        </is>
      </c>
      <c r="S44" s="20" t="inlineStr">
        <is>
          <t>—</t>
        </is>
      </c>
      <c r="T44" s="20" t="inlineStr">
        <is>
          <t>—</t>
        </is>
      </c>
      <c r="U44" s="20" t="inlineStr">
        <is>
          <t>—</t>
        </is>
      </c>
      <c r="V44" s="20" t="inlineStr">
        <is>
          <t>—</t>
        </is>
      </c>
      <c r="W44" s="20" t="inlineStr">
        <is>
          <t>—</t>
        </is>
      </c>
      <c r="X44" s="20" t="inlineStr">
        <is>
          <t>—</t>
        </is>
      </c>
      <c r="Y44" s="20" t="inlineStr">
        <is>
          <t>—</t>
        </is>
      </c>
      <c r="Z44" s="20" t="inlineStr">
        <is>
          <t>—</t>
        </is>
      </c>
      <c r="AA44" s="20" t="inlineStr">
        <is>
          <t>—</t>
        </is>
      </c>
      <c r="AB44" s="20" t="inlineStr">
        <is>
          <t>—</t>
        </is>
      </c>
      <c r="AC44" s="20" t="inlineStr">
        <is>
          <t>—</t>
        </is>
      </c>
      <c r="AD44" s="20" t="inlineStr">
        <is>
          <t>—</t>
        </is>
      </c>
      <c r="AE44" s="20" t="inlineStr">
        <is>
          <t>—</t>
        </is>
      </c>
      <c r="AF44" s="20" t="inlineStr">
        <is>
          <t>—</t>
        </is>
      </c>
      <c r="AG44" s="20" t="inlineStr">
        <is>
          <t>—</t>
        </is>
      </c>
      <c r="AH44" s="20" t="inlineStr">
        <is>
          <t>钢玉的守护：敌方回合中，仅第1次战斗时受到的攻击伤害减半</t>
        </is>
      </c>
      <c r="AI44" s="20" t="n"/>
      <c r="AJ44" s="20" t="n"/>
      <c r="AK44" s="20" t="n"/>
      <c r="AL44" s="20" t="n"/>
      <c r="AM44" s="20" t="n"/>
      <c r="AN44" s="20" t="n"/>
      <c r="AO44" s="20" t="inlineStr">
        <is>
          <t>武田 幸史</t>
        </is>
      </c>
      <c r="AP44" s="20" t="inlineStr">
        <is>
          <t>侍奉于欧若拉神殿的骑士。 拥有“钢玉”的称号，在神官中也是精锐中的精锐，被任命为“火神”部队的一员。 与凯的父亲卡斯托耳是旧识，两人是彼此信赖的存在。</t>
        </is>
      </c>
    </row>
    <row r="45">
      <c r="A45" s="15" t="n">
        <v>43</v>
      </c>
      <c r="B45" s="15" t="inlineStr">
        <is>
          <t>无所属</t>
        </is>
      </c>
      <c r="C45" s="15" t="inlineStr">
        <is>
          <t>诺克裘拉</t>
        </is>
      </c>
      <c r="D45" s="15" t="inlineStr">
        <is>
          <t>ノクチュラ</t>
        </is>
      </c>
      <c r="E45" s="15" t="inlineStr">
        <is>
          <t>平民</t>
        </is>
      </c>
      <c r="F45" s="19" t="n">
        <v>50</v>
      </c>
      <c r="G45" s="19" t="n">
        <v>45</v>
      </c>
      <c r="H45" s="19" t="n">
        <v>20</v>
      </c>
      <c r="I45" s="19" t="n">
        <v>45</v>
      </c>
      <c r="J45" s="19" t="n">
        <v>40</v>
      </c>
      <c r="K45" s="19" t="n">
        <v>40</v>
      </c>
      <c r="L45" s="19" t="n">
        <v>20</v>
      </c>
      <c r="M45" s="19" t="n">
        <v>35</v>
      </c>
      <c r="N45" s="19" t="n">
        <v>30</v>
      </c>
      <c r="O45" s="15">
        <f>IF(COUNT(F45:N45)=0,"—",SUM(F45:N45))</f>
        <v/>
      </c>
      <c r="P45" s="20" t="inlineStr">
        <is>
          <t>擅长以护手进行肉搏战</t>
        </is>
      </c>
      <c r="Q45" s="20" t="inlineStr">
        <is>
          <t>格斗术D・斧术E+ 向</t>
        </is>
      </c>
      <c r="R45" s="20" t="inlineStr">
        <is>
          <t>斧术・格斗术・步兵</t>
        </is>
      </c>
      <c r="S45" s="20" t="inlineStr">
        <is>
          <t>勇士</t>
        </is>
      </c>
      <c r="T45" s="20" t="inlineStr">
        <is>
          <t>斗士 ▼ 土匪 ▼ 勇士</t>
        </is>
      </c>
      <c r="U45" s="20" t="inlineStr">
        <is>
          <t>斧术・格斗术・步兵</t>
        </is>
      </c>
      <c r="V45" s="20" t="inlineStr">
        <is>
          <t>E</t>
        </is>
      </c>
      <c r="W45" s="20" t="inlineStr">
        <is>
          <t>E</t>
        </is>
      </c>
      <c r="X45" s="20" t="inlineStr">
        <is>
          <t>E+</t>
        </is>
      </c>
      <c r="Y45" s="20" t="inlineStr">
        <is>
          <t>E</t>
        </is>
      </c>
      <c r="Z45" s="20" t="inlineStr">
        <is>
          <t>D</t>
        </is>
      </c>
      <c r="AA45" s="20" t="inlineStr">
        <is>
          <t>E</t>
        </is>
      </c>
      <c r="AB45" s="20" t="inlineStr">
        <is>
          <t>E</t>
        </is>
      </c>
      <c r="AC45" s="20" t="inlineStr">
        <is>
          <t>E</t>
        </is>
      </c>
      <c r="AD45" s="20" t="inlineStr">
        <is>
          <t>E</t>
        </is>
      </c>
      <c r="AE45" s="20" t="inlineStr">
        <is>
          <t>E</t>
        </is>
      </c>
      <c r="AF45" s="20" t="inlineStr">
        <is>
          <t>E</t>
        </is>
      </c>
      <c r="AG45" s="20" t="inlineStr">
        <is>
          <t>E</t>
        </is>
      </c>
      <c r="AH45" s="20" t="inlineStr">
        <is>
          <t>集中：战斗后回避+3（至下个自身回合）</t>
        </is>
      </c>
      <c r="AI45" s="20" t="n"/>
      <c r="AJ45" s="20" t="n"/>
      <c r="AK45" s="20" t="n"/>
      <c r="AL45" s="20" t="inlineStr">
        <is>
          <t>木制手甲</t>
        </is>
      </c>
      <c r="AM45" s="20" t="n"/>
      <c r="AN45" s="20" t="n"/>
      <c r="AO45" s="20" t="inlineStr">
        <is>
          <t>夏姬 凛子</t>
        </is>
      </c>
      <c r="AP45" s="20" t="inlineStr">
        <is>
          <t>以锻炼有素的肉体为傲的女剑斗士。 作为好战的部族之女出生，但对乡下的生活和村里的男人们感到厌烦，从幼年时期就向往的帝都鞑古希翁前来。</t>
        </is>
      </c>
    </row>
    <row r="46">
      <c r="A46" s="15" t="n">
        <v>44</v>
      </c>
      <c r="B46" s="15" t="inlineStr">
        <is>
          <t>无所属</t>
        </is>
      </c>
      <c r="C46" s="15" t="inlineStr">
        <is>
          <t>杨界</t>
        </is>
      </c>
      <c r="D46" s="15" t="inlineStr">
        <is>
          <t>ヨーカイ</t>
        </is>
      </c>
      <c r="E46" s="15" t="inlineStr">
        <is>
          <t>诅咒师</t>
        </is>
      </c>
      <c r="F46" s="19" t="n">
        <v>50</v>
      </c>
      <c r="G46" s="19" t="n">
        <v>35</v>
      </c>
      <c r="H46" s="19" t="n">
        <v>40</v>
      </c>
      <c r="I46" s="19" t="n">
        <v>35</v>
      </c>
      <c r="J46" s="19" t="n">
        <v>35</v>
      </c>
      <c r="K46" s="19" t="n">
        <v>30</v>
      </c>
      <c r="L46" s="19" t="n">
        <v>40</v>
      </c>
      <c r="M46" s="19" t="n">
        <v>40</v>
      </c>
      <c r="N46" s="19" t="n">
        <v>25</v>
      </c>
      <c r="O46" s="15">
        <f>IF(COUNT(F46:N46)=0,"—",SUM(F46:N46))</f>
        <v/>
      </c>
      <c r="P46" s="20" t="inlineStr">
        <is>
          <t>战斗中除擅长的魔法外也会使用斧头</t>
        </is>
      </c>
      <c r="Q46" s="20" t="inlineStr">
        <is>
          <t>黑魔法D・白魔法D・斧术E+ 向</t>
        </is>
      </c>
      <c r="R46" s="20" t="inlineStr">
        <is>
          <t>斧术・白魔法</t>
        </is>
      </c>
      <c r="S46" s="20" t="inlineStr">
        <is>
          <t>主教</t>
        </is>
      </c>
      <c r="T46" s="20" t="inlineStr">
        <is>
          <t>诅咒师 ▼ 牧师 ▼ 主教 ▼ 战斗武僧</t>
        </is>
      </c>
      <c r="U46" s="20" t="inlineStr">
        <is>
          <t>斧术・白魔法</t>
        </is>
      </c>
      <c r="V46" s="20" t="inlineStr">
        <is>
          <t>E</t>
        </is>
      </c>
      <c r="W46" s="20" t="inlineStr">
        <is>
          <t>E</t>
        </is>
      </c>
      <c r="X46" s="20" t="inlineStr">
        <is>
          <t>E+</t>
        </is>
      </c>
      <c r="Y46" s="20" t="inlineStr">
        <is>
          <t>E</t>
        </is>
      </c>
      <c r="Z46" s="20" t="inlineStr">
        <is>
          <t>E</t>
        </is>
      </c>
      <c r="AA46" s="20" t="inlineStr">
        <is>
          <t>D</t>
        </is>
      </c>
      <c r="AB46" s="20" t="inlineStr">
        <is>
          <t>D</t>
        </is>
      </c>
      <c r="AC46" s="20" t="inlineStr">
        <is>
          <t>E</t>
        </is>
      </c>
      <c r="AD46" s="20" t="inlineStr">
        <is>
          <t>E</t>
        </is>
      </c>
      <c r="AE46" s="20" t="inlineStr">
        <is>
          <t>E</t>
        </is>
      </c>
      <c r="AF46" s="20" t="inlineStr">
        <is>
          <t>E</t>
        </is>
      </c>
      <c r="AG46" s="20" t="inlineStr">
        <is>
          <t>E</t>
        </is>
      </c>
      <c r="AH46" s="20" t="inlineStr">
        <is>
          <t>破戒僧：击倒敌人时，以(幸运÷2)%概率发动，回复等同最大HP的量</t>
        </is>
      </c>
      <c r="AI46" s="20" t="n"/>
      <c r="AJ46" s="20" t="n"/>
      <c r="AK46" s="20" t="n"/>
      <c r="AL46" s="20" t="inlineStr">
        <is>
          <t>木斧</t>
        </is>
      </c>
      <c r="AM46" s="20" t="n"/>
      <c r="AN46" s="20" t="n"/>
      <c r="AO46" s="20" t="inlineStr">
        <is>
          <t>喜屋武 和輝</t>
        </is>
      </c>
      <c r="AP46" s="20" t="inlineStr">
        <is>
          <t>游历诸国的破戒僧。 曾侍奉神殿，但十多年前成为流浪之人，如今在旅途中途经沓古希翁。 似乎年轻时曾远渡东方犀国。</t>
        </is>
      </c>
    </row>
    <row r="47">
      <c r="A47" s="15" t="n">
        <v>45</v>
      </c>
      <c r="B47" s="15" t="inlineStr">
        <is>
          <t>索雷尔神殿</t>
        </is>
      </c>
      <c r="C47" s="15" t="inlineStr">
        <is>
          <t>索绯亚</t>
        </is>
      </c>
      <c r="D47" s="15" t="inlineStr">
        <is>
          <t>ソフィア</t>
        </is>
      </c>
      <c r="E47" s="15" t="inlineStr">
        <is>
          <t>平民</t>
        </is>
      </c>
      <c r="F47" s="19" t="n">
        <v>35</v>
      </c>
      <c r="G47" s="19" t="n">
        <v>30</v>
      </c>
      <c r="H47" s="19" t="n">
        <v>45</v>
      </c>
      <c r="I47" s="19" t="n">
        <v>30</v>
      </c>
      <c r="J47" s="19" t="n">
        <v>40</v>
      </c>
      <c r="K47" s="19" t="n">
        <v>25</v>
      </c>
      <c r="L47" s="19" t="n">
        <v>40</v>
      </c>
      <c r="M47" s="19" t="n">
        <v>30</v>
      </c>
      <c r="N47" s="19" t="n">
        <v>40</v>
      </c>
      <c r="O47" s="15">
        <f>IF(COUNT(F47:N47)=0,"—",SUM(F47:N47))</f>
        <v/>
      </c>
      <c r="P47" s="20" t="inlineStr">
        <is>
          <t>—</t>
        </is>
      </c>
      <c r="Q47" s="20" t="inlineStr">
        <is>
          <t>白魔法D・黑魔法E+・弓术E+ 向</t>
        </is>
      </c>
      <c r="R47" s="20" t="inlineStr">
        <is>
          <t>弓术・白魔法</t>
        </is>
      </c>
      <c r="S47" s="20" t="inlineStr">
        <is>
          <t>主教</t>
        </is>
      </c>
      <c r="T47" s="20" t="inlineStr">
        <is>
          <t>诅咒师 ▼ 牧师 ▼ 主教</t>
        </is>
      </c>
      <c r="U47" s="20" t="inlineStr">
        <is>
          <t>弓术・白魔法</t>
        </is>
      </c>
      <c r="V47" s="20" t="inlineStr">
        <is>
          <t>E</t>
        </is>
      </c>
      <c r="W47" s="20" t="inlineStr">
        <is>
          <t>E</t>
        </is>
      </c>
      <c r="X47" s="20" t="inlineStr">
        <is>
          <t>E</t>
        </is>
      </c>
      <c r="Y47" s="20" t="inlineStr">
        <is>
          <t>E+</t>
        </is>
      </c>
      <c r="Z47" s="20" t="inlineStr">
        <is>
          <t>E</t>
        </is>
      </c>
      <c r="AA47" s="20" t="inlineStr">
        <is>
          <t>E+</t>
        </is>
      </c>
      <c r="AB47" s="20" t="inlineStr">
        <is>
          <t>D</t>
        </is>
      </c>
      <c r="AC47" s="20" t="inlineStr">
        <is>
          <t>E</t>
        </is>
      </c>
      <c r="AD47" s="20" t="inlineStr">
        <is>
          <t>E</t>
        </is>
      </c>
      <c r="AE47" s="20" t="inlineStr">
        <is>
          <t>E</t>
        </is>
      </c>
      <c r="AF47" s="20" t="inlineStr">
        <is>
          <t>E</t>
        </is>
      </c>
      <c r="AG47" s="20" t="inlineStr">
        <is>
          <t>E</t>
        </is>
      </c>
      <c r="AH47" s="20" t="inlineStr">
        <is>
          <t>治疗心得：用魔法回复己方时，回复量+10</t>
        </is>
      </c>
      <c r="AI47" s="20" t="n"/>
      <c r="AJ47" s="20" t="n"/>
      <c r="AK47" s="20" t="n"/>
      <c r="AL47" s="20" t="n"/>
      <c r="AM47" s="20" t="n"/>
      <c r="AN47" s="20" t="n"/>
      <c r="AO47" s="20" t="inlineStr">
        <is>
          <t>清都 有纱</t>
        </is>
      </c>
      <c r="AP47" s="20" t="inlineStr">
        <is>
          <t>侍奉达古席翁上层索雷尔神殿的神官。是个超级贪吃鬼，薪水似乎全花在伙食上。性格温和，但幼年时期是在一群粗野汉子中间度过的。</t>
        </is>
      </c>
    </row>
    <row r="48">
      <c r="A48" s="15" t="n">
        <v>46</v>
      </c>
      <c r="B48" s="15" t="inlineStr">
        <is>
          <t>哈尔·哈里族</t>
        </is>
      </c>
      <c r="C48" s="15" t="inlineStr">
        <is>
          <t>努佐</t>
        </is>
      </c>
      <c r="D48" s="15" t="inlineStr">
        <is>
          <t>ヌッツォ</t>
        </is>
      </c>
      <c r="E48" s="15" t="inlineStr">
        <is>
          <t>—</t>
        </is>
      </c>
      <c r="F48" s="19" t="n">
        <v>50</v>
      </c>
      <c r="G48" s="19" t="n">
        <v>50</v>
      </c>
      <c r="H48" s="19" t="n">
        <v>15</v>
      </c>
      <c r="I48" s="19" t="n">
        <v>55</v>
      </c>
      <c r="J48" s="19" t="n">
        <v>45</v>
      </c>
      <c r="K48" s="19" t="n">
        <v>20</v>
      </c>
      <c r="L48" s="19" t="n">
        <v>15</v>
      </c>
      <c r="M48" s="19" t="n">
        <v>25</v>
      </c>
      <c r="N48" s="19" t="n">
        <v>35</v>
      </c>
      <c r="O48" s="15">
        <f>IF(COUNT(F48:N48)=0,"—",SUM(F48:N48))</f>
        <v/>
      </c>
      <c r="P48" s="20" t="inlineStr">
        <is>
          <t>拥有无双杀伤技术的努佐，擅长攻击弱点</t>
        </is>
      </c>
      <c r="Q48" s="20" t="inlineStr">
        <is>
          <t>—</t>
        </is>
      </c>
      <c r="R48" s="20" t="inlineStr">
        <is>
          <t>剑术・弓术</t>
        </is>
      </c>
      <c r="S48" s="20" t="inlineStr">
        <is>
          <t>—</t>
        </is>
      </c>
      <c r="T48" s="20" t="inlineStr">
        <is>
          <t>猎兵 ▼ 弓箭手 ▼ 狙击手</t>
        </is>
      </c>
      <c r="U48" s="20" t="inlineStr">
        <is>
          <t>弓术・剑术</t>
        </is>
      </c>
      <c r="V48" s="20" t="inlineStr">
        <is>
          <t>—</t>
        </is>
      </c>
      <c r="W48" s="20" t="inlineStr">
        <is>
          <t>—</t>
        </is>
      </c>
      <c r="X48" s="20" t="inlineStr">
        <is>
          <t>—</t>
        </is>
      </c>
      <c r="Y48" s="20" t="inlineStr">
        <is>
          <t>—</t>
        </is>
      </c>
      <c r="Z48" s="20" t="inlineStr">
        <is>
          <t>—</t>
        </is>
      </c>
      <c r="AA48" s="20" t="inlineStr">
        <is>
          <t>—</t>
        </is>
      </c>
      <c r="AB48" s="20" t="inlineStr">
        <is>
          <t>—</t>
        </is>
      </c>
      <c r="AC48" s="20" t="inlineStr">
        <is>
          <t>—</t>
        </is>
      </c>
      <c r="AD48" s="20" t="inlineStr">
        <is>
          <t>—</t>
        </is>
      </c>
      <c r="AE48" s="20" t="inlineStr">
        <is>
          <t>—</t>
        </is>
      </c>
      <c r="AF48" s="20" t="inlineStr">
        <is>
          <t>—</t>
        </is>
      </c>
      <c r="AG48" s="20" t="inlineStr">
        <is>
          <t>—</t>
        </is>
      </c>
      <c r="AH48" s="20" t="inlineStr">
        <is>
          <t>部族的秘技：战斗时若自身攻击对敌有效・特效，攻击力+3</t>
        </is>
      </c>
      <c r="AI48" s="20" t="n"/>
      <c r="AJ48" s="20" t="n"/>
      <c r="AK48" s="20" t="n"/>
      <c r="AL48" s="20" t="n"/>
      <c r="AM48" s="20" t="n"/>
      <c r="AN48" s="20" t="n"/>
      <c r="AO48" s="20" t="inlineStr">
        <is>
          <t>秋葉 佑</t>
        </is>
      </c>
      <c r="AP48" s="20" t="inlineStr">
        <is>
          <t>杀戮技巧无与伦比的部族战士。 只要敌人暴露弱点，便会无情地攻其要害。 和森之精灵对话</t>
        </is>
      </c>
    </row>
    <row r="49">
      <c r="A49" s="15" t="n">
        <v>47</v>
      </c>
      <c r="B49" s="15" t="inlineStr">
        <is>
          <t>无所属</t>
        </is>
      </c>
      <c r="C49" s="15" t="inlineStr">
        <is>
          <t>马吉迪</t>
        </is>
      </c>
      <c r="D49" s="15" t="inlineStr">
        <is>
          <t>マジーデ</t>
        </is>
      </c>
      <c r="E49" s="15" t="inlineStr">
        <is>
          <t>平民</t>
        </is>
      </c>
      <c r="F49" s="19" t="n">
        <v>65</v>
      </c>
      <c r="G49" s="19" t="n">
        <v>50</v>
      </c>
      <c r="H49" s="19" t="n">
        <v>15</v>
      </c>
      <c r="I49" s="19" t="n">
        <v>20</v>
      </c>
      <c r="J49" s="19" t="n">
        <v>30</v>
      </c>
      <c r="K49" s="19" t="n">
        <v>40</v>
      </c>
      <c r="L49" s="19" t="n">
        <v>10</v>
      </c>
      <c r="M49" s="19" t="n">
        <v>25</v>
      </c>
      <c r="N49" s="19" t="n">
        <v>5</v>
      </c>
      <c r="O49" s="15">
        <f>IF(COUNT(F49:N49)=0,"—",SUM(F49:N49))</f>
        <v/>
      </c>
      <c r="P49" s="20" t="inlineStr">
        <is>
          <t>以体力与破坏力为傲的马吉德</t>
        </is>
      </c>
      <c r="Q49" s="20" t="inlineStr">
        <is>
          <t>斧术D・格斗术E+ 向</t>
        </is>
      </c>
      <c r="R49" s="20" t="inlineStr">
        <is>
          <t>斧术・格斗术</t>
        </is>
      </c>
      <c r="S49" s="20" t="inlineStr">
        <is>
          <t>—</t>
        </is>
      </c>
      <c r="T49" s="20" t="inlineStr">
        <is>
          <t>斗士 ▼ 土匪 ▼ 勇士</t>
        </is>
      </c>
      <c r="U49" s="20" t="inlineStr">
        <is>
          <t>斧术・格斗术</t>
        </is>
      </c>
      <c r="V49" s="20" t="inlineStr">
        <is>
          <t>E</t>
        </is>
      </c>
      <c r="W49" s="20" t="inlineStr">
        <is>
          <t>E</t>
        </is>
      </c>
      <c r="X49" s="20" t="inlineStr">
        <is>
          <t>D</t>
        </is>
      </c>
      <c r="Y49" s="20" t="inlineStr">
        <is>
          <t>E</t>
        </is>
      </c>
      <c r="Z49" s="20" t="inlineStr">
        <is>
          <t>E+</t>
        </is>
      </c>
      <c r="AA49" s="20" t="inlineStr">
        <is>
          <t>E</t>
        </is>
      </c>
      <c r="AB49" s="20" t="inlineStr">
        <is>
          <t>E</t>
        </is>
      </c>
      <c r="AC49" s="20" t="inlineStr">
        <is>
          <t>E</t>
        </is>
      </c>
      <c r="AD49" s="20" t="inlineStr">
        <is>
          <t>E</t>
        </is>
      </c>
      <c r="AE49" s="20" t="inlineStr">
        <is>
          <t>E</t>
        </is>
      </c>
      <c r="AF49" s="20" t="inlineStr">
        <is>
          <t>E</t>
        </is>
      </c>
      <c r="AG49" s="20" t="inlineStr">
        <is>
          <t>E</t>
        </is>
      </c>
      <c r="AH49" s="20" t="inlineStr">
        <is>
          <t>暴斧：装备斧时，力量+3</t>
        </is>
      </c>
      <c r="AI49" s="20" t="n"/>
      <c r="AJ49" s="20" t="n"/>
      <c r="AK49" s="20" t="n"/>
      <c r="AL49" s="20" t="inlineStr">
        <is>
          <t>木斧</t>
        </is>
      </c>
      <c r="AM49" s="20" t="n"/>
      <c r="AN49" s="20" t="n"/>
      <c r="AO49" s="20" t="inlineStr">
        <is>
          <t>小野寺 悠貴</t>
        </is>
      </c>
      <c r="AP49" s="20" t="inlineStr">
        <is>
          <t>吉迪 在地下城游荡的著名无赖。 少年时代起行为不端，屡次因暴力事件而入狱，过着那样的日子。 为了成为街上的支配者，目标是在大剑斗祭中夺冠。</t>
        </is>
      </c>
    </row>
    <row r="50">
      <c r="A50" s="15" t="n">
        <v>48</v>
      </c>
      <c r="B50" s="15" t="inlineStr">
        <is>
          <t>盖亚旅团</t>
        </is>
      </c>
      <c r="C50" s="15" t="inlineStr">
        <is>
          <t>扎科内</t>
        </is>
      </c>
      <c r="D50" s="15" t="inlineStr">
        <is>
          <t>ザーコネ</t>
        </is>
      </c>
      <c r="E50" s="15" t="inlineStr">
        <is>
          <t>平民</t>
        </is>
      </c>
      <c r="F50" s="19" t="n">
        <v>40</v>
      </c>
      <c r="G50" s="19" t="n">
        <v>30</v>
      </c>
      <c r="H50" s="19" t="n">
        <v>20</v>
      </c>
      <c r="I50" s="19" t="n">
        <v>35</v>
      </c>
      <c r="J50" s="19" t="n">
        <v>60</v>
      </c>
      <c r="K50" s="19" t="n">
        <v>30</v>
      </c>
      <c r="L50" s="19" t="n">
        <v>25</v>
      </c>
      <c r="M50" s="19" t="n">
        <v>30</v>
      </c>
      <c r="N50" s="19" t="n">
        <v>15</v>
      </c>
      <c r="O50" s="15">
        <f>IF(COUNT(F50:N50)=0,"—",SUM(F50:N50))</f>
        <v/>
      </c>
      <c r="P50" s="20" t="inlineStr">
        <is>
          <t>陷入危机时会变强的单位</t>
        </is>
      </c>
      <c r="Q50" s="20" t="inlineStr">
        <is>
          <t>斧术D 向</t>
        </is>
      </c>
      <c r="R50" s="20" t="inlineStr">
        <is>
          <t>剑术・斧术</t>
        </is>
      </c>
      <c r="S50" s="20" t="inlineStr">
        <is>
          <t>—</t>
        </is>
      </c>
      <c r="T50" s="20" t="inlineStr">
        <is>
          <t>斗士 ▼ 土匪 ▼ 勇士</t>
        </is>
      </c>
      <c r="U50" s="20" t="inlineStr">
        <is>
          <t>斧术・剑术</t>
        </is>
      </c>
      <c r="V50" s="20" t="inlineStr">
        <is>
          <t>E</t>
        </is>
      </c>
      <c r="W50" s="20" t="inlineStr">
        <is>
          <t>E</t>
        </is>
      </c>
      <c r="X50" s="20" t="inlineStr">
        <is>
          <t>D</t>
        </is>
      </c>
      <c r="Y50" s="20" t="inlineStr">
        <is>
          <t>E</t>
        </is>
      </c>
      <c r="Z50" s="20" t="inlineStr">
        <is>
          <t>E</t>
        </is>
      </c>
      <c r="AA50" s="20" t="inlineStr">
        <is>
          <t>E</t>
        </is>
      </c>
      <c r="AB50" s="20" t="inlineStr">
        <is>
          <t>E</t>
        </is>
      </c>
      <c r="AC50" s="20" t="inlineStr">
        <is>
          <t>E</t>
        </is>
      </c>
      <c r="AD50" s="20" t="inlineStr">
        <is>
          <t>E</t>
        </is>
      </c>
      <c r="AE50" s="20" t="inlineStr">
        <is>
          <t>E</t>
        </is>
      </c>
      <c r="AF50" s="20" t="inlineStr">
        <is>
          <t>E</t>
        </is>
      </c>
      <c r="AG50" s="20" t="inlineStr">
        <is>
          <t>E</t>
        </is>
      </c>
      <c r="AH50" s="20" t="inlineStr">
        <is>
          <t>斧庖丁：装备斧时，命中+10</t>
        </is>
      </c>
      <c r="AI50" s="20" t="n"/>
      <c r="AJ50" s="20" t="n"/>
      <c r="AK50" s="20" t="n"/>
      <c r="AL50" s="20" t="inlineStr">
        <is>
          <t>木斧</t>
        </is>
      </c>
      <c r="AM50" s="20" t="n"/>
      <c r="AN50" s="20" t="n"/>
      <c r="AO50" s="20" t="inlineStr">
        <is>
          <t>峰 晃弘</t>
        </is>
      </c>
      <c r="AP50" s="20" t="inlineStr">
        <is>
          <t>极恶非道的盗贼集团“盖亚旅团”的头领。 听闻大剑斗祭的传闻，带着手下们来到鞑古希翁。 战斗中，首先瞄准弱者的卑劣性格。</t>
        </is>
      </c>
    </row>
    <row r="51">
      <c r="A51" s="15" t="n">
        <v>49</v>
      </c>
      <c r="B51" s="15" t="inlineStr">
        <is>
          <t>炎之鬃</t>
        </is>
      </c>
      <c r="C51" s="15" t="inlineStr">
        <is>
          <t>歌利亚斯</t>
        </is>
      </c>
      <c r="D51" s="15" t="inlineStr">
        <is>
          <t>ゴライアス</t>
        </is>
      </c>
      <c r="E51" s="15" t="inlineStr">
        <is>
          <t>平民</t>
        </is>
      </c>
      <c r="F51" s="19" t="n">
        <v>55</v>
      </c>
      <c r="G51" s="19" t="n">
        <v>60</v>
      </c>
      <c r="H51" s="19" t="n">
        <v>5</v>
      </c>
      <c r="I51" s="19" t="n">
        <v>15</v>
      </c>
      <c r="J51" s="19" t="n">
        <v>30</v>
      </c>
      <c r="K51" s="19" t="n">
        <v>50</v>
      </c>
      <c r="L51" s="19" t="n">
        <v>20</v>
      </c>
      <c r="M51" s="19" t="n">
        <v>35</v>
      </c>
      <c r="N51" s="19" t="n">
        <v>20</v>
      </c>
      <c r="O51" s="15">
        <f>IF(COUNT(F51:N51)=0,"—",SUM(F51:N51))</f>
        <v/>
      </c>
      <c r="P51" s="20" t="inlineStr">
        <is>
          <t>—</t>
        </is>
      </c>
      <c r="Q51" s="20" t="inlineStr">
        <is>
          <t>斧术D 向</t>
        </is>
      </c>
      <c r="R51" s="20" t="inlineStr">
        <is>
          <t>斧术・重装</t>
        </is>
      </c>
      <c r="S51" s="20" t="inlineStr">
        <is>
          <t>—</t>
        </is>
      </c>
      <c r="T51" s="20" t="inlineStr">
        <is>
          <t>斗士 ▼ 重装步兵 ▼ 无畏重甲※</t>
        </is>
      </c>
      <c r="U51" s="20" t="inlineStr">
        <is>
          <t>斧术・重装</t>
        </is>
      </c>
      <c r="V51" s="20" t="inlineStr">
        <is>
          <t>E</t>
        </is>
      </c>
      <c r="W51" s="20" t="inlineStr">
        <is>
          <t>E</t>
        </is>
      </c>
      <c r="X51" s="20" t="inlineStr">
        <is>
          <t>D</t>
        </is>
      </c>
      <c r="Y51" s="20" t="inlineStr">
        <is>
          <t>E</t>
        </is>
      </c>
      <c r="Z51" s="20" t="inlineStr">
        <is>
          <t>E</t>
        </is>
      </c>
      <c r="AA51" s="20" t="inlineStr">
        <is>
          <t>E</t>
        </is>
      </c>
      <c r="AB51" s="20" t="inlineStr">
        <is>
          <t>E</t>
        </is>
      </c>
      <c r="AC51" s="20" t="inlineStr">
        <is>
          <t>E</t>
        </is>
      </c>
      <c r="AD51" s="20" t="inlineStr">
        <is>
          <t>E</t>
        </is>
      </c>
      <c r="AE51" s="20" t="inlineStr">
        <is>
          <t>×</t>
        </is>
      </c>
      <c r="AF51" s="20" t="inlineStr">
        <is>
          <t>E</t>
        </is>
      </c>
      <c r="AG51" s="20" t="inlineStr">
        <is>
          <t>×</t>
        </is>
      </c>
      <c r="AH51" s="20" t="inlineStr">
        <is>
          <t>重量级战士：无法转职为骑兵、飞行兵种；体格+5</t>
        </is>
      </c>
      <c r="AI51" s="20" t="inlineStr">
        <is>
          <t>必殺守備</t>
        </is>
      </c>
      <c r="AJ51" s="20" t="n"/>
      <c r="AK51" s="20" t="n"/>
      <c r="AL51" s="20" t="inlineStr">
        <is>
          <t>青铜斧</t>
        </is>
      </c>
      <c r="AM51" s="20" t="n"/>
      <c r="AN51" s="20" t="n"/>
      <c r="AO51" s="20" t="inlineStr">
        <is>
          <t>綿貫 竜之介</t>
        </is>
      </c>
      <c r="AP51" s="20" t="inlineStr">
        <is>
          <t>莱亚 斯 拥有“屠牛者”绰号的巨大剑斗士。 身高高达 2 米 50 厘米，拥有压倒性的力量和如岩石般坚硬的肉体。 在斗技场中常常被视为反派，实力虽强却似乎不太受欢迎。</t>
        </is>
      </c>
    </row>
    <row r="52">
      <c r="A52" s="15" t="n">
        <v>50</v>
      </c>
      <c r="B52" s="15" t="inlineStr">
        <is>
          <t>炎之鬃</t>
        </is>
      </c>
      <c r="C52" s="15" t="inlineStr">
        <is>
          <t>杰斯塔</t>
        </is>
      </c>
      <c r="D52" s="15" t="inlineStr">
        <is>
          <t>ジェスター</t>
        </is>
      </c>
      <c r="E52" s="15" t="inlineStr">
        <is>
          <t>平民</t>
        </is>
      </c>
      <c r="F52" s="19" t="n">
        <v>40</v>
      </c>
      <c r="G52" s="19" t="n">
        <v>35</v>
      </c>
      <c r="H52" s="19" t="n">
        <v>15</v>
      </c>
      <c r="I52" s="19" t="n">
        <v>60</v>
      </c>
      <c r="J52" s="19" t="n">
        <v>45</v>
      </c>
      <c r="K52" s="19" t="n">
        <v>35</v>
      </c>
      <c r="L52" s="19" t="n">
        <v>25</v>
      </c>
      <c r="M52" s="19" t="n">
        <v>40</v>
      </c>
      <c r="N52" s="19" t="n">
        <v>40</v>
      </c>
      <c r="O52" s="15">
        <f>IF(COUNT(F52:N52)=0,"—",SUM(F52:N52))</f>
        <v/>
      </c>
      <c r="P52" s="20" t="inlineStr">
        <is>
          <t>以速度见长的单位</t>
        </is>
      </c>
      <c r="Q52" s="20" t="inlineStr">
        <is>
          <t>步兵D・剑术D・弓术E+ 向</t>
        </is>
      </c>
      <c r="R52" s="20" t="inlineStr">
        <is>
          <t>剑术・步兵・弓术</t>
        </is>
      </c>
      <c r="S52" s="20" t="inlineStr">
        <is>
          <t>—</t>
        </is>
      </c>
      <c r="T52" s="20" t="inlineStr">
        <is>
          <t>猎兵 ▼ 弓箭手 ▼ 狙击手</t>
        </is>
      </c>
      <c r="U52" s="20" t="inlineStr">
        <is>
          <t>弓术・步兵・剑术</t>
        </is>
      </c>
      <c r="V52" s="20" t="inlineStr">
        <is>
          <t>D</t>
        </is>
      </c>
      <c r="W52" s="20" t="inlineStr">
        <is>
          <t>E</t>
        </is>
      </c>
      <c r="X52" s="20" t="inlineStr">
        <is>
          <t>E</t>
        </is>
      </c>
      <c r="Y52" s="20" t="inlineStr">
        <is>
          <t>E+</t>
        </is>
      </c>
      <c r="Z52" s="20" t="inlineStr">
        <is>
          <t>E</t>
        </is>
      </c>
      <c r="AA52" s="20" t="inlineStr">
        <is>
          <t>E</t>
        </is>
      </c>
      <c r="AB52" s="20" t="inlineStr">
        <is>
          <t>E</t>
        </is>
      </c>
      <c r="AC52" s="20" t="inlineStr">
        <is>
          <t>E</t>
        </is>
      </c>
      <c r="AD52" s="20" t="inlineStr">
        <is>
          <t>D</t>
        </is>
      </c>
      <c r="AE52" s="20" t="inlineStr">
        <is>
          <t>E</t>
        </is>
      </c>
      <c r="AF52" s="20" t="inlineStr">
        <is>
          <t>E</t>
        </is>
      </c>
      <c r="AG52" s="20" t="inlineStr">
        <is>
          <t>E</t>
        </is>
      </c>
      <c r="AH52" s="20" t="inlineStr">
        <is>
          <t>瞬转：使用「换位」后，防守+3（至下个自身回合）</t>
        </is>
      </c>
      <c r="AI52" s="20" t="inlineStr">
        <is>
          <t>仓促回避</t>
        </is>
      </c>
      <c r="AJ52" s="20" t="n"/>
      <c r="AK52" s="20" t="n"/>
      <c r="AL52" s="20" t="inlineStr">
        <is>
          <t>青铜剑</t>
        </is>
      </c>
      <c r="AM52" s="20" t="n"/>
      <c r="AN52" s="20" t="n"/>
      <c r="AO52" s="20" t="inlineStr">
        <is>
          <t>永塚 拓馬</t>
        </is>
      </c>
      <c r="AP52" s="20" t="inlineStr">
        <is>
          <t>以小丑化妆隐藏真面目，谜团重重的角斗十。 平日里反复做出充满疯狂的言行举止，被周围人以“地狱小丑”的异名所畏惧。</t>
        </is>
      </c>
    </row>
    <row r="53">
      <c r="A53" s="15" t="n">
        <v>51</v>
      </c>
      <c r="B53" s="15" t="inlineStr">
        <is>
          <t>月之谎言</t>
        </is>
      </c>
      <c r="C53" s="15" t="inlineStr">
        <is>
          <t>露露蒂雅</t>
        </is>
      </c>
      <c r="D53" s="15" t="inlineStr">
        <is>
          <t>ルルディヤー</t>
        </is>
      </c>
      <c r="E53" s="15" t="inlineStr">
        <is>
          <t>平民</t>
        </is>
      </c>
      <c r="F53" s="19" t="n">
        <v>40</v>
      </c>
      <c r="G53" s="19" t="n">
        <v>35</v>
      </c>
      <c r="H53" s="19" t="n">
        <v>20</v>
      </c>
      <c r="I53" s="19" t="n">
        <v>55</v>
      </c>
      <c r="J53" s="19" t="n">
        <v>45</v>
      </c>
      <c r="K53" s="19" t="n">
        <v>30</v>
      </c>
      <c r="L53" s="19" t="n">
        <v>20</v>
      </c>
      <c r="M53" s="19" t="n">
        <v>30</v>
      </c>
      <c r="N53" s="19" t="n">
        <v>30</v>
      </c>
      <c r="O53" s="15">
        <f>IF(COUNT(F53:N53)=0,"—",SUM(F53:N53))</f>
        <v/>
      </c>
      <c r="P53" s="20" t="inlineStr">
        <is>
          <t>以敏捷剑术见长的单位</t>
        </is>
      </c>
      <c r="Q53" s="20" t="inlineStr">
        <is>
          <t>步兵D・剑术D 向</t>
        </is>
      </c>
      <c r="R53" s="20" t="inlineStr">
        <is>
          <t>剑术・枪术・步兵</t>
        </is>
      </c>
      <c r="S53" s="20" t="inlineStr">
        <is>
          <t>—</t>
        </is>
      </c>
      <c r="T53" s="20" t="inlineStr">
        <is>
          <t>斗士 ▼ 剑客 ▼ 侍道</t>
        </is>
      </c>
      <c r="U53" s="20" t="inlineStr">
        <is>
          <t>步兵・剑术</t>
        </is>
      </c>
      <c r="V53" s="20" t="inlineStr">
        <is>
          <t>D</t>
        </is>
      </c>
      <c r="W53" s="20" t="inlineStr">
        <is>
          <t>E</t>
        </is>
      </c>
      <c r="X53" s="20" t="inlineStr">
        <is>
          <t>E</t>
        </is>
      </c>
      <c r="Y53" s="20" t="inlineStr">
        <is>
          <t>E</t>
        </is>
      </c>
      <c r="Z53" s="20" t="inlineStr">
        <is>
          <t>E</t>
        </is>
      </c>
      <c r="AA53" s="20" t="inlineStr">
        <is>
          <t>E</t>
        </is>
      </c>
      <c r="AB53" s="20" t="inlineStr">
        <is>
          <t>E</t>
        </is>
      </c>
      <c r="AC53" s="20" t="inlineStr">
        <is>
          <t>E</t>
        </is>
      </c>
      <c r="AD53" s="20" t="inlineStr">
        <is>
          <t>E</t>
        </is>
      </c>
      <c r="AE53" s="20" t="inlineStr">
        <is>
          <t>D</t>
        </is>
      </c>
      <c r="AF53" s="20" t="inlineStr">
        <is>
          <t>E</t>
        </is>
      </c>
      <c r="AG53" s="20" t="inlineStr">
        <is>
          <t>E</t>
        </is>
      </c>
      <c r="AH53" s="20" t="inlineStr">
        <is>
          <t>隼：先手战斗时，攻速+3</t>
        </is>
      </c>
      <c r="AI53" s="20" t="inlineStr">
        <is>
          <t>白刃的距离</t>
        </is>
      </c>
      <c r="AJ53" s="20" t="n"/>
      <c r="AK53" s="20" t="n"/>
      <c r="AL53" s="20" t="inlineStr">
        <is>
          <t>青铜剑</t>
        </is>
      </c>
      <c r="AM53" s="20" t="n"/>
      <c r="AN53" s="20" t="n"/>
      <c r="AO53" s="20" t="inlineStr">
        <is>
          <t>橘 杏咲</t>
        </is>
      </c>
      <c r="AP53" s="20" t="inlineStr">
        <is>
          <t>在谭利穆恩率领的万达尔商会工作的著名军人之女。 从小接受精英教育，掌握一流的剑术和修养。 作为适龄女性，对恋爱话题十分敏感。</t>
        </is>
      </c>
    </row>
    <row r="54">
      <c r="A54" s="15" t="n">
        <v>52</v>
      </c>
      <c r="B54" s="15" t="inlineStr">
        <is>
          <t>月之谎言</t>
        </is>
      </c>
      <c r="C54" s="15" t="inlineStr">
        <is>
          <t>绯亚娜</t>
        </is>
      </c>
      <c r="D54" s="15" t="inlineStr">
        <is>
          <t>フィアナ</t>
        </is>
      </c>
      <c r="E54" s="15" t="inlineStr">
        <is>
          <t>平民</t>
        </is>
      </c>
      <c r="F54" s="19" t="n">
        <v>30</v>
      </c>
      <c r="G54" s="19" t="n">
        <v>35</v>
      </c>
      <c r="H54" s="19" t="n">
        <v>55</v>
      </c>
      <c r="I54" s="19" t="n">
        <v>30</v>
      </c>
      <c r="J54" s="19" t="n">
        <v>40</v>
      </c>
      <c r="K54" s="19" t="n">
        <v>20</v>
      </c>
      <c r="L54" s="19" t="n">
        <v>45</v>
      </c>
      <c r="M54" s="19" t="n">
        <v>25</v>
      </c>
      <c r="N54" s="19" t="n">
        <v>40</v>
      </c>
      <c r="O54" s="15">
        <f>IF(COUNT(F54:N54)=0,"—",SUM(F54:N54))</f>
        <v/>
      </c>
      <c r="P54" s="20" t="inlineStr">
        <is>
          <t>魔法型角色</t>
        </is>
      </c>
      <c r="Q54" s="20" t="inlineStr">
        <is>
          <t>黑魔法D・马术D・白魔法D 向</t>
        </is>
      </c>
      <c r="R54" s="20" t="inlineStr">
        <is>
          <t>白魔法・黑魔法・马术</t>
        </is>
      </c>
      <c r="S54" s="20" t="inlineStr">
        <is>
          <t>—</t>
        </is>
      </c>
      <c r="T54" s="20" t="inlineStr">
        <is>
          <t>诅咒师 ▼ 牧师 ▼ 主教</t>
        </is>
      </c>
      <c r="U54" s="20" t="inlineStr">
        <is>
          <t>白魔法・黑魔法</t>
        </is>
      </c>
      <c r="V54" s="20" t="inlineStr">
        <is>
          <t>E</t>
        </is>
      </c>
      <c r="W54" s="20" t="inlineStr">
        <is>
          <t>E</t>
        </is>
      </c>
      <c r="X54" s="20" t="inlineStr">
        <is>
          <t>E</t>
        </is>
      </c>
      <c r="Y54" s="20" t="inlineStr">
        <is>
          <t>E</t>
        </is>
      </c>
      <c r="Z54" s="20" t="inlineStr">
        <is>
          <t>E</t>
        </is>
      </c>
      <c r="AA54" s="20" t="inlineStr">
        <is>
          <t>D</t>
        </is>
      </c>
      <c r="AB54" s="20" t="inlineStr">
        <is>
          <t>D</t>
        </is>
      </c>
      <c r="AC54" s="20" t="inlineStr">
        <is>
          <t>E</t>
        </is>
      </c>
      <c r="AD54" s="20" t="inlineStr">
        <is>
          <t>E</t>
        </is>
      </c>
      <c r="AE54" s="20" t="inlineStr">
        <is>
          <t>D</t>
        </is>
      </c>
      <c r="AF54" s="20" t="inlineStr">
        <is>
          <t>E</t>
        </is>
      </c>
      <c r="AG54" s="20" t="inlineStr">
        <is>
          <t>E</t>
        </is>
      </c>
      <c r="AH54" s="20" t="inlineStr">
        <is>
          <t>淑光：用魔法回复己方时，以幸运%概率发动，魔法使用次数不减少</t>
        </is>
      </c>
      <c r="AI54" s="20" t="inlineStr">
        <is>
          <t>骑士的直觉</t>
        </is>
      </c>
      <c r="AJ54" s="20" t="n"/>
      <c r="AK54" s="20" t="n"/>
      <c r="AL54" s="20" t="n"/>
      <c r="AM54" s="20" t="inlineStr">
        <is>
          <t>再生天冠：攻击时20%发动，自身小幅回复HP</t>
        </is>
      </c>
      <c r="AN54" s="20" t="n"/>
      <c r="AO54" s="20" t="inlineStr">
        <is>
          <t>洲崎 綾</t>
        </is>
      </c>
      <c r="AP54" s="20" t="inlineStr">
        <is>
          <t>美丽却带着几分阴影的圣职者。 几年前在河边昏倒，被神殿救起，如今隶属于塔里穆恩领导的万达商会。 喜欢能让大男人昏厥的辣味食物。</t>
        </is>
      </c>
    </row>
    <row r="55">
      <c r="A55" s="15" t="n">
        <v>53</v>
      </c>
      <c r="B55" s="15" t="inlineStr">
        <is>
          <t>莉娜莉娅的朝露</t>
        </is>
      </c>
      <c r="C55" s="15" t="inlineStr">
        <is>
          <t>西提司</t>
        </is>
      </c>
      <c r="D55" s="15" t="inlineStr">
        <is>
          <t>セテス</t>
        </is>
      </c>
      <c r="E55" s="15" t="inlineStr">
        <is>
          <t>平民</t>
        </is>
      </c>
      <c r="F55" s="19" t="n">
        <v>45</v>
      </c>
      <c r="G55" s="19" t="n">
        <v>45</v>
      </c>
      <c r="H55" s="19" t="n">
        <v>30</v>
      </c>
      <c r="I55" s="19" t="n">
        <v>40</v>
      </c>
      <c r="J55" s="19" t="n">
        <v>45</v>
      </c>
      <c r="K55" s="19" t="n">
        <v>40</v>
      </c>
      <c r="L55" s="19" t="n">
        <v>35</v>
      </c>
      <c r="M55" s="19" t="n">
        <v>30</v>
      </c>
      <c r="N55" s="19" t="n">
        <v>50</v>
      </c>
      <c r="O55" s="15">
        <f>IF(COUNT(F55:N55)=0,"—",SUM(F55:N55))</f>
        <v/>
      </c>
      <c r="P55" s="20" t="inlineStr">
        <is>
          <t>—</t>
        </is>
      </c>
      <c r="Q55" s="20" t="inlineStr">
        <is>
          <t>飞行D・枪术D・斧术E+ 向</t>
        </is>
      </c>
      <c r="R55" s="20" t="inlineStr">
        <is>
          <t>枪术・斧术・指挥・飞行</t>
        </is>
      </c>
      <c r="S55" s="20" t="inlineStr">
        <is>
          <t>—</t>
        </is>
      </c>
      <c r="T55" s="20" t="inlineStr">
        <is>
          <t>飞驼骑兵 ▼ 骑甲鸵兵 ▼ 龙骑士</t>
        </is>
      </c>
      <c r="U55" s="20" t="inlineStr">
        <is>
          <t>指挥・斧术・枪术</t>
        </is>
      </c>
      <c r="V55" s="20" t="inlineStr">
        <is>
          <t>E</t>
        </is>
      </c>
      <c r="W55" s="20" t="inlineStr">
        <is>
          <t>D</t>
        </is>
      </c>
      <c r="X55" s="20" t="inlineStr">
        <is>
          <t>E+</t>
        </is>
      </c>
      <c r="Y55" s="20" t="inlineStr">
        <is>
          <t>E</t>
        </is>
      </c>
      <c r="Z55" s="20" t="inlineStr">
        <is>
          <t>E</t>
        </is>
      </c>
      <c r="AA55" s="20" t="inlineStr">
        <is>
          <t>E</t>
        </is>
      </c>
      <c r="AB55" s="20" t="inlineStr">
        <is>
          <t>E</t>
        </is>
      </c>
      <c r="AC55" s="20" t="inlineStr">
        <is>
          <t>E+</t>
        </is>
      </c>
      <c r="AD55" s="20" t="inlineStr">
        <is>
          <t>E</t>
        </is>
      </c>
      <c r="AE55" s="20" t="inlineStr">
        <is>
          <t>E</t>
        </is>
      </c>
      <c r="AF55" s="20" t="inlineStr">
        <is>
          <t>E</t>
        </is>
      </c>
      <c r="AG55" s="20" t="inlineStr">
        <is>
          <t>D</t>
        </is>
      </c>
      <c r="AH55" s="20" t="inlineStr">
        <is>
          <t>临战态势：敌方回合中，第1次战斗时50%发动，自身变为先手</t>
        </is>
      </c>
      <c r="AI55" s="20" t="inlineStr">
        <is>
          <t>读风</t>
        </is>
      </c>
      <c r="AJ55" s="20" t="n"/>
      <c r="AK55" s="20" t="n"/>
      <c r="AL55" s="20" t="inlineStr">
        <is>
          <t>圣枪阿萨鲁</t>
        </is>
      </c>
      <c r="AM55" s="20" t="inlineStr">
        <is>
          <t>天秤天冠：攻击时3%发动，不会被反击</t>
        </is>
      </c>
      <c r="AN55" s="20" t="n"/>
      <c r="AO55" s="20" t="inlineStr">
        <is>
          <t>子安 武人</t>
        </is>
      </c>
      <c r="AP55" s="20" t="inlineStr">
        <is>
          <t>为了调查而从遥远的芙朵拉之地前来、古怪的旅人。 在旅途中遇到了戴猫面具的神官·欧露赫露，此后一直与他共同行动。 有爱管闲事的一面。</t>
        </is>
      </c>
    </row>
    <row r="56">
      <c r="A56" s="15" t="n">
        <v>54</v>
      </c>
      <c r="B56" s="15" t="inlineStr">
        <is>
          <t>莉娜莉娅的朝露</t>
        </is>
      </c>
      <c r="C56" s="15" t="inlineStr">
        <is>
          <t>罗蕾塔</t>
        </is>
      </c>
      <c r="D56" s="15" t="inlineStr">
        <is>
          <t>ロレッタ</t>
        </is>
      </c>
      <c r="E56" s="15" t="inlineStr">
        <is>
          <t>平民</t>
        </is>
      </c>
      <c r="F56" s="19" t="n">
        <v>35</v>
      </c>
      <c r="G56" s="19" t="n">
        <v>35</v>
      </c>
      <c r="H56" s="19" t="n">
        <v>35</v>
      </c>
      <c r="I56" s="19" t="n">
        <v>55</v>
      </c>
      <c r="J56" s="19" t="n">
        <v>40</v>
      </c>
      <c r="K56" s="19" t="n">
        <v>30</v>
      </c>
      <c r="L56" s="19" t="n">
        <v>40</v>
      </c>
      <c r="M56" s="19" t="n">
        <v>30</v>
      </c>
      <c r="N56" s="19" t="n">
        <v>30</v>
      </c>
      <c r="O56" s="15">
        <f>IF(COUNT(F56:N56)=0,"—",SUM(F56:N56))</f>
        <v/>
      </c>
      <c r="P56" s="20" t="inlineStr">
        <is>
          <t>—</t>
        </is>
      </c>
      <c r="Q56" s="20" t="inlineStr">
        <is>
          <t>飞行D・枪术D・剑术D 向</t>
        </is>
      </c>
      <c r="R56" s="20" t="inlineStr">
        <is>
          <t>剑术・枪术・飞行</t>
        </is>
      </c>
      <c r="S56" s="20" t="inlineStr">
        <is>
          <t>—</t>
        </is>
      </c>
      <c r="T56" s="20" t="inlineStr">
        <is>
          <t>斗士 ▼ 剑客 ▼ 侍道</t>
        </is>
      </c>
      <c r="U56" s="20" t="inlineStr">
        <is>
          <t>枪术・剑术</t>
        </is>
      </c>
      <c r="V56" s="20" t="inlineStr">
        <is>
          <t>D</t>
        </is>
      </c>
      <c r="W56" s="20" t="inlineStr">
        <is>
          <t>D</t>
        </is>
      </c>
      <c r="X56" s="20" t="inlineStr">
        <is>
          <t>E</t>
        </is>
      </c>
      <c r="Y56" s="20" t="inlineStr">
        <is>
          <t>E</t>
        </is>
      </c>
      <c r="Z56" s="20" t="inlineStr">
        <is>
          <t>E</t>
        </is>
      </c>
      <c r="AA56" s="20" t="inlineStr">
        <is>
          <t>E</t>
        </is>
      </c>
      <c r="AB56" s="20" t="inlineStr">
        <is>
          <t>E</t>
        </is>
      </c>
      <c r="AC56" s="20" t="inlineStr">
        <is>
          <t>E</t>
        </is>
      </c>
      <c r="AD56" s="20" t="inlineStr">
        <is>
          <t>E</t>
        </is>
      </c>
      <c r="AE56" s="20" t="inlineStr">
        <is>
          <t>E</t>
        </is>
      </c>
      <c r="AF56" s="20" t="inlineStr">
        <is>
          <t>E</t>
        </is>
      </c>
      <c r="AG56" s="20" t="inlineStr">
        <is>
          <t>D</t>
        </is>
      </c>
      <c r="AH56" s="20" t="inlineStr">
        <is>
          <t>心中有余：战斗时自身HP过半，回避+10</t>
        </is>
      </c>
      <c r="AI56" s="20" t="inlineStr">
        <is>
          <t>读风</t>
        </is>
      </c>
      <c r="AJ56" s="20" t="n"/>
      <c r="AK56" s="20" t="n"/>
      <c r="AL56" s="20" t="inlineStr">
        <is>
          <t>青铜剑</t>
        </is>
      </c>
      <c r="AM56" s="20" t="n"/>
      <c r="AN56" s="20" t="n"/>
      <c r="AO56" s="20" t="inlineStr">
        <is>
          <t>松田 颯水</t>
        </is>
      </c>
      <c r="AP56" s="20" t="inlineStr">
        <is>
          <t>在克莱尔神殿工作的活泼少女。 称猫面具神官·奥欧露赫露为“祭司大人”，并追随其左右。 虽然固执且好强，但最怕鬼怪。</t>
        </is>
      </c>
    </row>
    <row r="57">
      <c r="A57" s="15" t="n">
        <v>55</v>
      </c>
      <c r="B57" s="15" t="inlineStr">
        <is>
          <t>白鸦花嫁团</t>
        </is>
      </c>
      <c r="C57" s="15" t="inlineStr">
        <is>
          <t>大刀</t>
        </is>
      </c>
      <c r="D57" s="15" t="inlineStr">
        <is>
          <t>ダイトウ</t>
        </is>
      </c>
      <c r="E57" s="15" t="inlineStr">
        <is>
          <t>平民</t>
        </is>
      </c>
      <c r="F57" s="19" t="n">
        <v>50</v>
      </c>
      <c r="G57" s="19" t="n">
        <v>55</v>
      </c>
      <c r="H57" s="19" t="n">
        <v>20</v>
      </c>
      <c r="I57" s="19" t="n">
        <v>30</v>
      </c>
      <c r="J57" s="19" t="n">
        <v>35</v>
      </c>
      <c r="K57" s="19" t="n">
        <v>45</v>
      </c>
      <c r="L57" s="19" t="n">
        <v>20</v>
      </c>
      <c r="M57" s="19" t="n">
        <v>25</v>
      </c>
      <c r="N57" s="19" t="n">
        <v>30</v>
      </c>
      <c r="O57" s="15">
        <f>IF(COUNT(F57:N57)=0,"—",SUM(F57:N57))</f>
        <v/>
      </c>
      <c r="P57" s="20" t="inlineStr">
        <is>
          <t>—</t>
        </is>
      </c>
      <c r="Q57" s="20" t="inlineStr">
        <is>
          <t>重装D・斧术D 向</t>
        </is>
      </c>
      <c r="R57" s="20" t="inlineStr">
        <is>
          <t>斧术・重装</t>
        </is>
      </c>
      <c r="S57" s="20" t="inlineStr">
        <is>
          <t>—</t>
        </is>
      </c>
      <c r="T57" s="20" t="inlineStr">
        <is>
          <t>斗士 ▼ 重装步兵 ▼ 无畏重甲※</t>
        </is>
      </c>
      <c r="U57" s="20" t="inlineStr">
        <is>
          <t>斧术・重装</t>
        </is>
      </c>
      <c r="V57" s="20" t="inlineStr">
        <is>
          <t>E</t>
        </is>
      </c>
      <c r="W57" s="20" t="inlineStr">
        <is>
          <t>E</t>
        </is>
      </c>
      <c r="X57" s="20" t="inlineStr">
        <is>
          <t>D</t>
        </is>
      </c>
      <c r="Y57" s="20" t="inlineStr">
        <is>
          <t>E</t>
        </is>
      </c>
      <c r="Z57" s="20" t="inlineStr">
        <is>
          <t>E</t>
        </is>
      </c>
      <c r="AA57" s="20" t="inlineStr">
        <is>
          <t>E</t>
        </is>
      </c>
      <c r="AB57" s="20" t="inlineStr">
        <is>
          <t>E</t>
        </is>
      </c>
      <c r="AC57" s="20" t="inlineStr">
        <is>
          <t>E</t>
        </is>
      </c>
      <c r="AD57" s="20" t="inlineStr">
        <is>
          <t>E</t>
        </is>
      </c>
      <c r="AE57" s="20" t="inlineStr">
        <is>
          <t>E</t>
        </is>
      </c>
      <c r="AF57" s="20" t="inlineStr">
        <is>
          <t>D</t>
        </is>
      </c>
      <c r="AG57" s="20" t="inlineStr">
        <is>
          <t>E</t>
        </is>
      </c>
      <c r="AH57" s="20" t="inlineStr">
        <is>
          <t>一决胜负：战斗时自身与敌人都无法追击，自身攻击力+5</t>
        </is>
      </c>
      <c r="AI57" s="20" t="n"/>
      <c r="AJ57" s="20" t="n"/>
      <c r="AK57" s="20" t="n"/>
      <c r="AL57" s="20" t="inlineStr">
        <is>
          <t>木斧</t>
        </is>
      </c>
      <c r="AM57" s="20" t="n"/>
      <c r="AN57" s="20" t="n"/>
      <c r="AO57" s="20" t="inlineStr">
        <is>
          <t>山口 勝平</t>
        </is>
      </c>
      <c r="AP57" s="20" t="inlineStr">
        <is>
          <t>陪伴被称为“神秘的新娘”的安纳托利亚的青年。 是个暴脾气，在故乡的村子里是个有点麻烦的小混混。 喜欢女人，毫无节制地搭讪，但每次都碰壁。</t>
        </is>
      </c>
    </row>
    <row r="58">
      <c r="A58" s="15" t="n">
        <v>56</v>
      </c>
      <c r="B58" s="15" t="inlineStr">
        <is>
          <t>白鸦花嫁团</t>
        </is>
      </c>
      <c r="C58" s="15" t="inlineStr">
        <is>
          <t>哈尔温</t>
        </is>
      </c>
      <c r="D58" s="15" t="inlineStr">
        <is>
          <t>ハルヴィン</t>
        </is>
      </c>
      <c r="E58" s="15" t="inlineStr">
        <is>
          <t>平民</t>
        </is>
      </c>
      <c r="F58" s="19" t="n">
        <v>35</v>
      </c>
      <c r="G58" s="19" t="n">
        <v>35</v>
      </c>
      <c r="H58" s="19" t="n">
        <v>30</v>
      </c>
      <c r="I58" s="19" t="n">
        <v>45</v>
      </c>
      <c r="J58" s="19" t="n">
        <v>60</v>
      </c>
      <c r="K58" s="19" t="n">
        <v>30</v>
      </c>
      <c r="L58" s="19" t="n">
        <v>25</v>
      </c>
      <c r="M58" s="19" t="n">
        <v>40</v>
      </c>
      <c r="N58" s="19" t="n">
        <v>35</v>
      </c>
      <c r="O58" s="15">
        <f>IF(COUNT(F58:N58)=0,"—",SUM(F58:N58))</f>
        <v/>
      </c>
      <c r="P58" s="20" t="inlineStr">
        <is>
          <t>—</t>
        </is>
      </c>
      <c r="Q58" s="20" t="inlineStr">
        <is>
          <t>马术D・弓术D 向</t>
        </is>
      </c>
      <c r="R58" s="20" t="inlineStr">
        <is>
          <t>弓术・马术</t>
        </is>
      </c>
      <c r="S58" s="20" t="inlineStr">
        <is>
          <t>—</t>
        </is>
      </c>
      <c r="T58" s="20" t="inlineStr">
        <is>
          <t>猎兵 ▼ 弓箭手 ▼ 神金骑士</t>
        </is>
      </c>
      <c r="U58" s="20" t="inlineStr">
        <is>
          <t>弓术・马术</t>
        </is>
      </c>
      <c r="V58" s="20" t="inlineStr">
        <is>
          <t>E</t>
        </is>
      </c>
      <c r="W58" s="20" t="inlineStr">
        <is>
          <t>E</t>
        </is>
      </c>
      <c r="X58" s="20" t="inlineStr">
        <is>
          <t>E</t>
        </is>
      </c>
      <c r="Y58" s="20" t="inlineStr">
        <is>
          <t>D</t>
        </is>
      </c>
      <c r="Z58" s="20" t="inlineStr">
        <is>
          <t>E</t>
        </is>
      </c>
      <c r="AA58" s="20" t="inlineStr">
        <is>
          <t>E</t>
        </is>
      </c>
      <c r="AB58" s="20" t="inlineStr">
        <is>
          <t>E</t>
        </is>
      </c>
      <c r="AC58" s="20" t="inlineStr">
        <is>
          <t>E</t>
        </is>
      </c>
      <c r="AD58" s="20" t="inlineStr">
        <is>
          <t>E</t>
        </is>
      </c>
      <c r="AE58" s="20" t="inlineStr">
        <is>
          <t>D</t>
        </is>
      </c>
      <c r="AF58" s="20" t="inlineStr">
        <is>
          <t>E</t>
        </is>
      </c>
      <c r="AG58" s="20" t="inlineStr">
        <is>
          <t>E</t>
        </is>
      </c>
      <c r="AH58" s="20" t="inlineStr">
        <is>
          <t>顺应：战斗后命中+2（最大+30，至地图结束）</t>
        </is>
      </c>
      <c r="AI58" s="20" t="inlineStr">
        <is>
          <t>骑士的直觉</t>
        </is>
      </c>
      <c r="AJ58" s="20" t="n"/>
      <c r="AK58" s="20" t="n"/>
      <c r="AL58" s="20" t="inlineStr">
        <is>
          <t>青铜弓</t>
        </is>
      </c>
      <c r="AM58" s="20" t="n"/>
      <c r="AN58" s="20" t="n"/>
      <c r="AO58" s="20" t="inlineStr">
        <is>
          <t>佳原 萌枝</t>
        </is>
      </c>
      <c r="AP58" s="20" t="inlineStr">
        <is>
          <t>因缘际会与安纳托利亚等人一同行动的弓箭手少女。 在来到鞑古希翁之前，她还是属于马戏团的旅行艺人。 由于在经营农园的再普通不过的家庭中长大，因此不擅长争斗之事。</t>
        </is>
      </c>
    </row>
    <row r="59">
      <c r="A59" s="15" t="n">
        <v>57</v>
      </c>
      <c r="B59" s="15" t="inlineStr">
        <is>
          <t>帕尔马的雨</t>
        </is>
      </c>
      <c r="C59" s="15" t="inlineStr">
        <is>
          <t>嘉丝敏</t>
        </is>
      </c>
      <c r="D59" s="15" t="inlineStr">
        <is>
          <t>ジャスミン</t>
        </is>
      </c>
      <c r="E59" s="15" t="inlineStr">
        <is>
          <t>—</t>
        </is>
      </c>
      <c r="F59" s="19" t="n">
        <v>50</v>
      </c>
      <c r="G59" s="19" t="n">
        <v>40</v>
      </c>
      <c r="H59" s="19" t="n">
        <v>20</v>
      </c>
      <c r="I59" s="19" t="n">
        <v>30</v>
      </c>
      <c r="J59" s="19" t="n">
        <v>45</v>
      </c>
      <c r="K59" s="19" t="n">
        <v>45</v>
      </c>
      <c r="L59" s="19" t="n">
        <v>25</v>
      </c>
      <c r="M59" s="19" t="n">
        <v>40</v>
      </c>
      <c r="N59" s="19" t="n">
        <v>45</v>
      </c>
      <c r="O59" s="15">
        <f>IF(COUNT(F59:N59)=0,"—",SUM(F59:N59))</f>
        <v/>
      </c>
      <c r="P59" s="20" t="inlineStr">
        <is>
          <t>—</t>
        </is>
      </c>
      <c r="Q59" s="20" t="inlineStr">
        <is>
          <t>—</t>
        </is>
      </c>
      <c r="R59" s="20" t="inlineStr">
        <is>
          <t>枪术・重装</t>
        </is>
      </c>
      <c r="S59" s="20" t="inlineStr">
        <is>
          <t>—</t>
        </is>
      </c>
      <c r="T59" s="20" t="inlineStr">
        <is>
          <t>飞驼骑兵 ▼ 天翼兵 ▼ 龙骑士</t>
        </is>
      </c>
      <c r="U59" s="20" t="inlineStr">
        <is>
          <t>斧术・重装・枪术</t>
        </is>
      </c>
      <c r="V59" s="20" t="inlineStr">
        <is>
          <t>—</t>
        </is>
      </c>
      <c r="W59" s="20" t="inlineStr">
        <is>
          <t>—</t>
        </is>
      </c>
      <c r="X59" s="20" t="inlineStr">
        <is>
          <t>—</t>
        </is>
      </c>
      <c r="Y59" s="20" t="inlineStr">
        <is>
          <t>—</t>
        </is>
      </c>
      <c r="Z59" s="20" t="inlineStr">
        <is>
          <t>—</t>
        </is>
      </c>
      <c r="AA59" s="20" t="inlineStr">
        <is>
          <t>—</t>
        </is>
      </c>
      <c r="AB59" s="20" t="inlineStr">
        <is>
          <t>—</t>
        </is>
      </c>
      <c r="AC59" s="20" t="inlineStr">
        <is>
          <t>—</t>
        </is>
      </c>
      <c r="AD59" s="20" t="inlineStr">
        <is>
          <t>—</t>
        </is>
      </c>
      <c r="AE59" s="20" t="inlineStr">
        <is>
          <t>—</t>
        </is>
      </c>
      <c r="AF59" s="20" t="inlineStr">
        <is>
          <t>—</t>
        </is>
      </c>
      <c r="AG59" s="20" t="inlineStr">
        <is>
          <t>—</t>
        </is>
      </c>
      <c r="AH59" s="20" t="inlineStr">
        <is>
          <t>熟练的反击术：后手战斗时，命中+20</t>
        </is>
      </c>
      <c r="AI59" s="20" t="n"/>
      <c r="AJ59" s="20" t="n"/>
      <c r="AK59" s="20" t="n"/>
      <c r="AL59" s="20" t="n"/>
      <c r="AM59" s="20" t="n"/>
      <c r="AN59" s="20" t="n"/>
      <c r="AO59" s="20" t="inlineStr">
        <is>
          <t>大久保 藍子</t>
        </is>
      </c>
      <c r="AP59" s="20" t="inlineStr">
        <is>
          <t>担任名为「帕尔马的雨」的佣兵团团长的女战士。原本侍奉阿拉戈王国的地方贵族，数年前家道中落后开始以佣兵为业。</t>
        </is>
      </c>
    </row>
    <row r="60">
      <c r="A60" s="15" t="n">
        <v>58</v>
      </c>
      <c r="B60" s="15" t="inlineStr">
        <is>
          <t>黑鸟海贼团</t>
        </is>
      </c>
      <c r="C60" s="15" t="inlineStr">
        <is>
          <t>奇洛伊卡</t>
        </is>
      </c>
      <c r="D60" s="15" t="inlineStr">
        <is>
          <t>キロイカ</t>
        </is>
      </c>
      <c r="E60" s="15" t="inlineStr">
        <is>
          <t>侠盗</t>
        </is>
      </c>
      <c r="F60" s="19" t="n">
        <v>55</v>
      </c>
      <c r="G60" s="19" t="n">
        <v>40</v>
      </c>
      <c r="H60" s="19" t="n">
        <v>15</v>
      </c>
      <c r="I60" s="19" t="n">
        <v>55</v>
      </c>
      <c r="J60" s="19" t="n">
        <v>50</v>
      </c>
      <c r="K60" s="19" t="n">
        <v>30</v>
      </c>
      <c r="L60" s="19" t="n">
        <v>15</v>
      </c>
      <c r="M60" s="19" t="n">
        <v>30</v>
      </c>
      <c r="N60" s="19" t="n">
        <v>25</v>
      </c>
      <c r="O60" s="15">
        <f>IF(COUNT(F60:N60)=0,"—",SUM(F60:N60))</f>
        <v/>
      </c>
      <c r="P60" s="20" t="inlineStr">
        <is>
          <t>残暴的海贼基洛伊卡，对陷入异常状态的敌人有优势</t>
        </is>
      </c>
      <c r="Q60" s="20" t="inlineStr">
        <is>
          <t>—</t>
        </is>
      </c>
      <c r="R60" s="20" t="inlineStr">
        <is>
          <t>弓术</t>
        </is>
      </c>
      <c r="S60" s="20" t="inlineStr">
        <is>
          <t>—</t>
        </is>
      </c>
      <c r="T60" s="20" t="inlineStr">
        <is>
          <t>猎兵 ▼ 弓箭手 ▼ 狙击手</t>
        </is>
      </c>
      <c r="U60" s="20" t="inlineStr">
        <is>
          <t>弓术</t>
        </is>
      </c>
      <c r="V60" s="20" t="inlineStr">
        <is>
          <t>—</t>
        </is>
      </c>
      <c r="W60" s="20" t="inlineStr">
        <is>
          <t>—</t>
        </is>
      </c>
      <c r="X60" s="20" t="inlineStr">
        <is>
          <t>—</t>
        </is>
      </c>
      <c r="Y60" s="20" t="inlineStr">
        <is>
          <t>—</t>
        </is>
      </c>
      <c r="Z60" s="20" t="inlineStr">
        <is>
          <t>—</t>
        </is>
      </c>
      <c r="AA60" s="20" t="inlineStr">
        <is>
          <t>—</t>
        </is>
      </c>
      <c r="AB60" s="20" t="inlineStr">
        <is>
          <t>—</t>
        </is>
      </c>
      <c r="AC60" s="20" t="inlineStr">
        <is>
          <t>—</t>
        </is>
      </c>
      <c r="AD60" s="20" t="inlineStr">
        <is>
          <t>—</t>
        </is>
      </c>
      <c r="AE60" s="20" t="inlineStr">
        <is>
          <t>—</t>
        </is>
      </c>
      <c r="AF60" s="20" t="inlineStr">
        <is>
          <t>—</t>
        </is>
      </c>
      <c r="AG60" s="20" t="inlineStr">
        <is>
          <t>—</t>
        </is>
      </c>
      <c r="AH60" s="20" t="inlineStr">
        <is>
          <t>暴虐：战斗时若敌人处于异常状态，攻击力+3、必杀+10</t>
        </is>
      </c>
      <c r="AI60" s="20" t="n"/>
      <c r="AJ60" s="20" t="n"/>
      <c r="AK60" s="20" t="n"/>
      <c r="AL60" s="20" t="n"/>
      <c r="AM60" s="20" t="n"/>
      <c r="AN60" s="20" t="n"/>
      <c r="AO60" s="20" t="inlineStr">
        <is>
          <t>藤堂 駿介</t>
        </is>
      </c>
      <c r="AP60" s="20" t="inlineStr">
        <is>
          <t>拥有“怪鸟”绰号的、残忍且恶名昭彰的黑鸟海贼团前首领。 在造访鞑古席翁之前，似乎与万达尔商会的当主谭利穆恩有过争执，因此怀有怨恨。</t>
        </is>
      </c>
    </row>
    <row r="61">
      <c r="A61" s="15" t="n">
        <v>59</v>
      </c>
      <c r="B61" s="15" t="inlineStr">
        <is>
          <t>布拉干萨同胞团</t>
        </is>
      </c>
      <c r="C61" s="15" t="inlineStr">
        <is>
          <t>易尼奥尼</t>
        </is>
      </c>
      <c r="D61" s="15" t="inlineStr">
        <is>
          <t>イニオニ</t>
        </is>
      </c>
      <c r="E61" s="15" t="inlineStr">
        <is>
          <t>弓箭手</t>
        </is>
      </c>
      <c r="F61" s="19" t="n">
        <v>40</v>
      </c>
      <c r="G61" s="19" t="n">
        <v>50</v>
      </c>
      <c r="H61" s="19" t="n">
        <v>20</v>
      </c>
      <c r="I61" s="19" t="n">
        <v>35</v>
      </c>
      <c r="J61" s="19" t="n">
        <v>40</v>
      </c>
      <c r="K61" s="19" t="n">
        <v>40</v>
      </c>
      <c r="L61" s="19" t="n">
        <v>30</v>
      </c>
      <c r="M61" s="19" t="n">
        <v>40</v>
      </c>
      <c r="N61" s="19" t="n">
        <v>30</v>
      </c>
      <c r="O61" s="15">
        <f>IF(COUNT(F61:N61)=0,"—",SUM(F61:N61))</f>
        <v/>
      </c>
      <c r="P61" s="20" t="inlineStr">
        <is>
          <t>能射出强力一箭的伊尼奥尼；以弓术战技在攻击中占据优势</t>
        </is>
      </c>
      <c r="Q61" s="20" t="inlineStr">
        <is>
          <t>—</t>
        </is>
      </c>
      <c r="R61" s="20" t="inlineStr">
        <is>
          <t>斧术・弓术</t>
        </is>
      </c>
      <c r="S61" s="20" t="inlineStr">
        <is>
          <t>—</t>
        </is>
      </c>
      <c r="T61" s="20" t="inlineStr">
        <is>
          <t>猎兵 ▼ 弓箭手 ▼ 狙击手</t>
        </is>
      </c>
      <c r="U61" s="20" t="inlineStr">
        <is>
          <t>斧术・弓术</t>
        </is>
      </c>
      <c r="V61" s="20" t="inlineStr">
        <is>
          <t>—</t>
        </is>
      </c>
      <c r="W61" s="20" t="inlineStr">
        <is>
          <t>—</t>
        </is>
      </c>
      <c r="X61" s="20" t="inlineStr">
        <is>
          <t>—</t>
        </is>
      </c>
      <c r="Y61" s="20" t="inlineStr">
        <is>
          <t>—</t>
        </is>
      </c>
      <c r="Z61" s="20" t="inlineStr">
        <is>
          <t>—</t>
        </is>
      </c>
      <c r="AA61" s="20" t="inlineStr">
        <is>
          <t>—</t>
        </is>
      </c>
      <c r="AB61" s="20" t="inlineStr">
        <is>
          <t>—</t>
        </is>
      </c>
      <c r="AC61" s="20" t="inlineStr">
        <is>
          <t>—</t>
        </is>
      </c>
      <c r="AD61" s="20" t="inlineStr">
        <is>
          <t>—</t>
        </is>
      </c>
      <c r="AE61" s="20" t="inlineStr">
        <is>
          <t>—</t>
        </is>
      </c>
      <c r="AF61" s="20" t="inlineStr">
        <is>
          <t>—</t>
        </is>
      </c>
      <c r="AG61" s="20" t="inlineStr">
        <is>
          <t>—</t>
        </is>
      </c>
      <c r="AH61" s="20" t="inlineStr">
        <is>
          <t>强弓手：装备弓时，力量+3</t>
        </is>
      </c>
      <c r="AI61" s="20" t="n"/>
      <c r="AJ61" s="20" t="n"/>
      <c r="AK61" s="20" t="n"/>
      <c r="AL61" s="20" t="n"/>
      <c r="AM61" s="20" t="n"/>
      <c r="AN61" s="20" t="n"/>
      <c r="AO61" s="20" t="inlineStr">
        <is>
          <t>三輪 夏紀</t>
        </is>
      </c>
      <c r="AP61" s="20" t="inlineStr">
        <is>
          <t>被称为“魔弓的易尼奥尼”，在街头巷尾备受瞩目的弓箭名手。 从小就展现出弓箭天赋，但最近却表现出仿佛换了个人般的活跃表现，其名声迅速传遍四方。</t>
        </is>
      </c>
    </row>
    <row r="62">
      <c r="A62" s="15" t="n">
        <v>60</v>
      </c>
      <c r="B62" s="15" t="inlineStr">
        <is>
          <t>布里吉特军</t>
        </is>
      </c>
      <c r="C62" s="15" t="inlineStr">
        <is>
          <t>佩佩</t>
        </is>
      </c>
      <c r="D62" s="15" t="inlineStr">
        <is>
          <t>ぺぺ</t>
        </is>
      </c>
      <c r="E62" s="15" t="inlineStr">
        <is>
          <t>侠盗</t>
        </is>
      </c>
      <c r="F62" s="19" t="n">
        <v>30</v>
      </c>
      <c r="G62" s="19" t="n">
        <v>30</v>
      </c>
      <c r="H62" s="19" t="n">
        <v>25</v>
      </c>
      <c r="I62" s="19" t="n">
        <v>60</v>
      </c>
      <c r="J62" s="19" t="n">
        <v>45</v>
      </c>
      <c r="K62" s="19" t="n">
        <v>30</v>
      </c>
      <c r="L62" s="19" t="n">
        <v>30</v>
      </c>
      <c r="M62" s="19" t="n">
        <v>45</v>
      </c>
      <c r="N62" s="19" t="n">
        <v>30</v>
      </c>
      <c r="O62" s="15">
        <f>IF(COUNT(F62:N62)=0,"—",SUM(F62:N62))</f>
        <v/>
      </c>
      <c r="P62" s="20" t="inlineStr">
        <is>
          <t>以速度见长的角色；佩佩同时也是狩猎达人</t>
        </is>
      </c>
      <c r="Q62" s="20" t="inlineStr">
        <is>
          <t>—</t>
        </is>
      </c>
      <c r="R62" s="20" t="inlineStr">
        <is>
          <t>—</t>
        </is>
      </c>
      <c r="S62" s="20" t="inlineStr">
        <is>
          <t>—</t>
        </is>
      </c>
      <c r="T62" s="20" t="inlineStr">
        <is>
          <t>—</t>
        </is>
      </c>
      <c r="U62" s="20" t="inlineStr">
        <is>
          <t>—</t>
        </is>
      </c>
      <c r="V62" s="20" t="inlineStr">
        <is>
          <t>—</t>
        </is>
      </c>
      <c r="W62" s="20" t="inlineStr">
        <is>
          <t>—</t>
        </is>
      </c>
      <c r="X62" s="20" t="inlineStr">
        <is>
          <t>—</t>
        </is>
      </c>
      <c r="Y62" s="20" t="inlineStr">
        <is>
          <t>—</t>
        </is>
      </c>
      <c r="Z62" s="20" t="inlineStr">
        <is>
          <t>—</t>
        </is>
      </c>
      <c r="AA62" s="20" t="inlineStr">
        <is>
          <t>—</t>
        </is>
      </c>
      <c r="AB62" s="20" t="inlineStr">
        <is>
          <t>—</t>
        </is>
      </c>
      <c r="AC62" s="20" t="inlineStr">
        <is>
          <t>—</t>
        </is>
      </c>
      <c r="AD62" s="20" t="inlineStr">
        <is>
          <t>—</t>
        </is>
      </c>
      <c r="AE62" s="20" t="inlineStr">
        <is>
          <t>—</t>
        </is>
      </c>
      <c r="AF62" s="20" t="inlineStr">
        <is>
          <t>—</t>
        </is>
      </c>
      <c r="AG62" s="20" t="inlineStr">
        <is>
          <t>—</t>
        </is>
      </c>
      <c r="AH62" s="20" t="inlineStr">
        <is>
          <t>猎人的埋伏：敌方回合中战斗时，若敌人已受伤，30%发动，自身变为先手</t>
        </is>
      </c>
      <c r="AI62" s="20" t="n"/>
      <c r="AJ62" s="20" t="n"/>
      <c r="AK62" s="20" t="n"/>
      <c r="AL62" s="20" t="n"/>
      <c r="AM62" s="20" t="n"/>
      <c r="AN62" s="20" t="n"/>
      <c r="AO62" s="20" t="inlineStr">
        <is>
          <t>井藤智哉</t>
        </is>
      </c>
      <c r="AP62" s="20" t="inlineStr">
        <is>
          <t>以敏捷为武器，战斗方式华丽的狩猎专家。从会称自己为「朕」这一点可以得知他身分高贵。 来鞑古席翁好像也只是为了体验社会。 狩猎、观察市井生活</t>
        </is>
      </c>
    </row>
  </sheetData>
  <autoFilter ref="A2:AP62"/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6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3" customWidth="1" min="3" max="3"/>
    <col width="9" customWidth="1" min="4" max="4"/>
    <col width="8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22" customWidth="1" min="15" max="15"/>
    <col width="14" customWidth="1" min="16" max="16"/>
    <col width="14" customWidth="1" min="17" max="17"/>
    <col width="26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30" customWidth="1" min="25" max="25"/>
    <col width="24" customWidth="1" min="26" max="26"/>
    <col width="50" customWidth="1" min="27" max="27"/>
    <col width="14" customWidth="1" min="28" max="28"/>
  </cols>
  <sheetData>
    <row r="1">
      <c r="A1" s="18" t="inlineStr">
        <is>
          <t>职业（职业成长率补正 %，可直接在此订正/追加）</t>
        </is>
      </c>
    </row>
    <row r="2" ht="32" customHeight="1">
      <c r="A2" s="10" t="inlineStr">
        <is>
          <t>序号</t>
        </is>
      </c>
      <c r="B2" s="10" t="inlineStr">
        <is>
          <t>阶级</t>
        </is>
      </c>
      <c r="C2" s="10" t="inlineStr">
        <is>
          <t>兵种名</t>
        </is>
      </c>
      <c r="D2" s="10" t="inlineStr">
        <is>
          <t>最低转职等级</t>
        </is>
      </c>
      <c r="E2" s="10" t="inlineStr">
        <is>
          <t>纳入推荐</t>
        </is>
      </c>
      <c r="F2" s="10" t="inlineStr">
        <is>
          <t>HP</t>
        </is>
      </c>
      <c r="G2" s="10" t="inlineStr">
        <is>
          <t>力量</t>
        </is>
      </c>
      <c r="H2" s="10" t="inlineStr">
        <is>
          <t>魔力</t>
        </is>
      </c>
      <c r="I2" s="10" t="inlineStr">
        <is>
          <t>速度</t>
        </is>
      </c>
      <c r="J2" s="10" t="inlineStr">
        <is>
          <t>技巧</t>
        </is>
      </c>
      <c r="K2" s="10" t="inlineStr">
        <is>
          <t>防守</t>
        </is>
      </c>
      <c r="L2" s="10" t="inlineStr">
        <is>
          <t>魔防</t>
        </is>
      </c>
      <c r="M2" s="10" t="inlineStr">
        <is>
          <t>幸运</t>
        </is>
      </c>
      <c r="N2" s="10" t="inlineStr">
        <is>
          <t>魅力</t>
        </is>
      </c>
      <c r="O2" s="10" t="inlineStr">
        <is>
          <t>转职条件</t>
        </is>
      </c>
      <c r="P2" s="10" t="inlineStr">
        <is>
          <t>日文原名</t>
        </is>
      </c>
      <c r="Q2" s="10" t="inlineStr">
        <is>
          <t>兵种特性</t>
        </is>
      </c>
      <c r="R2" s="10" t="inlineStr">
        <is>
          <t>使用武器</t>
        </is>
      </c>
      <c r="S2" s="10" t="inlineStr">
        <is>
          <t>移动力</t>
        </is>
      </c>
      <c r="T2" s="10" t="inlineStr">
        <is>
          <t>转职·主要技能</t>
        </is>
      </c>
      <c r="U2" s="10" t="inlineStr">
        <is>
          <t>转职·选择技能</t>
        </is>
      </c>
      <c r="V2" s="10" t="inlineStr">
        <is>
          <t>兵种技能</t>
        </is>
      </c>
      <c r="W2" s="10" t="inlineStr">
        <is>
          <t>精通技能</t>
        </is>
      </c>
      <c r="X2" s="10" t="inlineStr">
        <is>
          <t>精通战技</t>
        </is>
      </c>
      <c r="Y2" s="10" t="inlineStr">
        <is>
          <t>解放条件</t>
        </is>
      </c>
      <c r="Z2" s="10" t="inlineStr">
        <is>
          <t>代表角色</t>
        </is>
      </c>
      <c r="AA2" s="10" t="inlineStr">
        <is>
          <t>中文说明</t>
        </is>
      </c>
      <c r="AB2" s="10" t="inlineStr">
        <is>
          <t>备注</t>
        </is>
      </c>
    </row>
    <row r="3">
      <c r="A3" s="15" t="n">
        <v>1</v>
      </c>
      <c r="B3" s="15" t="inlineStr">
        <is>
          <t>基本职</t>
        </is>
      </c>
      <c r="C3" s="15" t="inlineStr">
        <is>
          <t>平民</t>
        </is>
      </c>
      <c r="D3" s="5" t="n">
        <v>1</v>
      </c>
      <c r="E3" s="5" t="inlineStr">
        <is>
          <t>是</t>
        </is>
      </c>
      <c r="F3" s="19" t="n">
        <v>0</v>
      </c>
      <c r="G3" s="19" t="n">
        <v>0</v>
      </c>
      <c r="H3" s="19" t="n">
        <v>0</v>
      </c>
      <c r="I3" s="19" t="n">
        <v>0</v>
      </c>
      <c r="J3" s="19" t="n">
        <v>0</v>
      </c>
      <c r="K3" s="19" t="n">
        <v>0</v>
      </c>
      <c r="L3" s="19" t="n">
        <v>0</v>
      </c>
      <c r="M3" s="19" t="n">
        <v>0</v>
      </c>
      <c r="N3" s="19" t="n">
        <v>0</v>
      </c>
      <c r="O3" s="20" t="inlineStr">
        <is>
          <t>解放条件：初始即解锁</t>
        </is>
      </c>
      <c r="P3" s="20" t="inlineStr">
        <is>
          <t>平民</t>
        </is>
      </c>
      <c r="Q3" s="20" t="inlineStr">
        <is>
          <t>步兵</t>
        </is>
      </c>
      <c r="R3" s="20" t="inlineStr">
        <is>
          <t>剑术・枪术・斧术・弓术・格斗术・白魔法・黑魔法・步兵术</t>
        </is>
      </c>
      <c r="S3" s="15" t="n">
        <v>0</v>
      </c>
      <c r="T3" s="20" t="inlineStr">
        <is>
          <t>—</t>
        </is>
      </c>
      <c r="U3" s="20" t="inlineStr">
        <is>
          <t>—</t>
        </is>
      </c>
      <c r="V3" s="20" t="inlineStr">
        <is>
          <t>—</t>
        </is>
      </c>
      <c r="W3" s="20" t="inlineStr">
        <is>
          <t>战斗的基本</t>
        </is>
      </c>
      <c r="X3" s="20" t="inlineStr">
        <is>
          <t>—</t>
        </is>
      </c>
      <c r="Y3" s="20" t="inlineStr">
        <is>
          <t>初始即开放</t>
        </is>
      </c>
      <c r="Z3" s="20" t="inlineStr">
        <is>
          <t>—</t>
        </is>
      </c>
      <c r="AA3" s="20" t="inlineStr">
        <is>
          <t>—</t>
        </is>
      </c>
      <c r="AB3" s="20" t="n"/>
    </row>
    <row r="4">
      <c r="A4" s="15" t="n">
        <v>2</v>
      </c>
      <c r="B4" s="15" t="inlineStr">
        <is>
          <t>基本职</t>
        </is>
      </c>
      <c r="C4" s="15" t="inlineStr">
        <is>
          <t>贵族</t>
        </is>
      </c>
      <c r="D4" s="5" t="n">
        <v>1</v>
      </c>
      <c r="E4" s="5" t="inlineStr">
        <is>
          <t>是</t>
        </is>
      </c>
      <c r="F4" s="19" t="n">
        <v>0</v>
      </c>
      <c r="G4" s="19" t="n">
        <v>0</v>
      </c>
      <c r="H4" s="19" t="n">
        <v>0</v>
      </c>
      <c r="I4" s="19" t="n">
        <v>0</v>
      </c>
      <c r="J4" s="19" t="n">
        <v>0</v>
      </c>
      <c r="K4" s="19" t="n">
        <v>0</v>
      </c>
      <c r="L4" s="19" t="n">
        <v>0</v>
      </c>
      <c r="M4" s="19" t="n">
        <v>0</v>
      </c>
      <c r="N4" s="19" t="n">
        <v>0</v>
      </c>
      <c r="O4" s="20" t="inlineStr">
        <is>
          <t>解放条件：初始即解锁</t>
        </is>
      </c>
      <c r="P4" s="20" t="inlineStr">
        <is>
          <t>貴族</t>
        </is>
      </c>
      <c r="Q4" s="20" t="inlineStr">
        <is>
          <t>步兵</t>
        </is>
      </c>
      <c r="R4" s="20" t="inlineStr">
        <is>
          <t>剑术・枪术・斧术・弓术・格斗术・白魔法・黑魔法・步兵术</t>
        </is>
      </c>
      <c r="S4" s="15" t="n">
        <v>0</v>
      </c>
      <c r="T4" s="20" t="inlineStr">
        <is>
          <t>—</t>
        </is>
      </c>
      <c r="U4" s="20" t="inlineStr">
        <is>
          <t>—</t>
        </is>
      </c>
      <c r="V4" s="20" t="inlineStr">
        <is>
          <t>—</t>
        </is>
      </c>
      <c r="W4" s="20" t="inlineStr">
        <is>
          <t>战斗的基本</t>
        </is>
      </c>
      <c r="X4" s="20" t="inlineStr">
        <is>
          <t>—</t>
        </is>
      </c>
      <c r="Y4" s="20" t="inlineStr">
        <is>
          <t>初始即开放</t>
        </is>
      </c>
      <c r="Z4" s="20" t="inlineStr">
        <is>
          <t>赛奥朵拉</t>
        </is>
      </c>
      <c r="AA4" s="20" t="inlineStr">
        <is>
          <t>继承名门家名与名号的特殊兵种，作为王或领主引导民众。</t>
        </is>
      </c>
      <c r="AB4" s="20" t="n"/>
    </row>
    <row r="5">
      <c r="A5" s="15" t="n">
        <v>3</v>
      </c>
      <c r="B5" s="15" t="inlineStr">
        <is>
          <t>初级职</t>
        </is>
      </c>
      <c r="C5" s="15" t="inlineStr">
        <is>
          <t>斗士</t>
        </is>
      </c>
      <c r="D5" s="5" t="n">
        <v>5</v>
      </c>
      <c r="E5" s="5" t="inlineStr">
        <is>
          <t>是</t>
        </is>
      </c>
      <c r="F5" s="19" t="n">
        <v>10</v>
      </c>
      <c r="G5" s="19" t="n">
        <v>10</v>
      </c>
      <c r="H5" s="19" t="n">
        <v>0</v>
      </c>
      <c r="I5" s="19" t="n">
        <v>0</v>
      </c>
      <c r="J5" s="19" t="n">
        <v>0</v>
      </c>
      <c r="K5" s="19" t="n">
        <v>0</v>
      </c>
      <c r="L5" s="19" t="n">
        <v>0</v>
      </c>
      <c r="M5" s="19" t="n">
        <v>0</v>
      </c>
      <c r="N5" s="19" t="n">
        <v>0</v>
      </c>
      <c r="O5" s="20" t="inlineStr">
        <is>
          <t>初级考试票证
推荐等级 5
名声等级 1</t>
        </is>
      </c>
      <c r="P5" s="20" t="inlineStr">
        <is>
          <t>闘士</t>
        </is>
      </c>
      <c r="Q5" s="20" t="inlineStr">
        <is>
          <t>步兵</t>
        </is>
      </c>
      <c r="R5" s="20" t="inlineStr">
        <is>
          <t>剑术・斧术・格斗术・步兵术</t>
        </is>
      </c>
      <c r="S5" s="15" t="n">
        <v>0</v>
      </c>
      <c r="T5" s="20" t="inlineStr">
        <is>
          <t>—</t>
        </is>
      </c>
      <c r="U5" s="20" t="inlineStr">
        <is>
          <t>格斗术D、斧术D、剑术D</t>
        </is>
      </c>
      <c r="V5" s="20" t="inlineStr">
        <is>
          <t>—</t>
        </is>
      </c>
      <c r="W5" s="20" t="inlineStr">
        <is>
          <t>攻击的基本</t>
        </is>
      </c>
      <c r="X5" s="20" t="inlineStr">
        <is>
          <t>—</t>
        </is>
      </c>
      <c r="Y5" s="20" t="inlineStr">
        <is>
          <t>—</t>
        </is>
      </c>
      <c r="Z5" s="20" t="inlineStr">
        <is>
          <t>穆</t>
        </is>
      </c>
      <c r="AA5" s="20" t="inlineStr">
        <is>
          <t>精通剑・斧・拳套等武器的斗士，能熟练运用多种武器，攻击力出色。</t>
        </is>
      </c>
      <c r="AB5" s="20" t="n"/>
    </row>
    <row r="6">
      <c r="A6" s="15" t="n">
        <v>4</v>
      </c>
      <c r="B6" s="15" t="inlineStr">
        <is>
          <t>初级职</t>
        </is>
      </c>
      <c r="C6" s="15" t="inlineStr">
        <is>
          <t>猎兵</t>
        </is>
      </c>
      <c r="D6" s="5" t="n">
        <v>5</v>
      </c>
      <c r="E6" s="5" t="inlineStr">
        <is>
          <t>是</t>
        </is>
      </c>
      <c r="F6" s="19" t="n">
        <v>10</v>
      </c>
      <c r="G6" s="19" t="n">
        <v>0</v>
      </c>
      <c r="H6" s="19" t="n">
        <v>0</v>
      </c>
      <c r="I6" s="19" t="n">
        <v>10</v>
      </c>
      <c r="J6" s="19" t="n">
        <v>10</v>
      </c>
      <c r="K6" s="19" t="n">
        <v>0</v>
      </c>
      <c r="L6" s="19" t="n">
        <v>0</v>
      </c>
      <c r="M6" s="19" t="n">
        <v>0</v>
      </c>
      <c r="N6" s="19" t="n">
        <v>0</v>
      </c>
      <c r="O6" s="20" t="inlineStr">
        <is>
          <t>初级考试票证
推荐等级 5
名声等级 1</t>
        </is>
      </c>
      <c r="P6" s="20" t="inlineStr">
        <is>
          <t>猟兵</t>
        </is>
      </c>
      <c r="Q6" s="20" t="inlineStr">
        <is>
          <t>步兵</t>
        </is>
      </c>
      <c r="R6" s="20" t="inlineStr">
        <is>
          <t>剑术・弓术・步兵术</t>
        </is>
      </c>
      <c r="S6" s="15" t="n">
        <v>0</v>
      </c>
      <c r="T6" s="20" t="inlineStr">
        <is>
          <t>—</t>
        </is>
      </c>
      <c r="U6" s="20" t="inlineStr">
        <is>
          <t>弓术D、剑术D</t>
        </is>
      </c>
      <c r="V6" s="20" t="inlineStr">
        <is>
          <t>—</t>
        </is>
      </c>
      <c r="W6" s="20" t="inlineStr">
        <is>
          <t>狩猎的基本</t>
        </is>
      </c>
      <c r="X6" s="20" t="inlineStr">
        <is>
          <t>—</t>
        </is>
      </c>
      <c r="Y6" s="20" t="inlineStr">
        <is>
          <t>—</t>
        </is>
      </c>
      <c r="Z6" s="20" t="inlineStr">
        <is>
          <t>蕾达・迪雅各</t>
        </is>
      </c>
      <c r="AA6" s="20" t="inlineStr">
        <is>
          <t>能分别运用剑与弓作战的士兵，以技巧与速度见长。</t>
        </is>
      </c>
      <c r="AB6" s="20" t="n"/>
    </row>
    <row r="7">
      <c r="A7" s="15" t="n">
        <v>5</v>
      </c>
      <c r="B7" s="15" t="inlineStr">
        <is>
          <t>初级职</t>
        </is>
      </c>
      <c r="C7" s="15" t="inlineStr">
        <is>
          <t>士兵</t>
        </is>
      </c>
      <c r="D7" s="5" t="n">
        <v>5</v>
      </c>
      <c r="E7" s="5" t="inlineStr">
        <is>
          <t>是</t>
        </is>
      </c>
      <c r="F7" s="19" t="n">
        <v>10</v>
      </c>
      <c r="G7" s="19" t="n">
        <v>5</v>
      </c>
      <c r="H7" s="19" t="n">
        <v>0</v>
      </c>
      <c r="I7" s="19" t="n">
        <v>-5</v>
      </c>
      <c r="J7" s="19" t="n">
        <v>5</v>
      </c>
      <c r="K7" s="19" t="n">
        <v>10</v>
      </c>
      <c r="L7" s="19" t="n">
        <v>0</v>
      </c>
      <c r="M7" s="19" t="n">
        <v>0</v>
      </c>
      <c r="N7" s="19" t="n">
        <v>0</v>
      </c>
      <c r="O7" s="20" t="inlineStr">
        <is>
          <t>初级考试票证
推荐等级 5
名声等级 1</t>
        </is>
      </c>
      <c r="P7" s="20" t="inlineStr">
        <is>
          <t>兵士</t>
        </is>
      </c>
      <c r="Q7" s="20" t="inlineStr">
        <is>
          <t>步兵・重装</t>
        </is>
      </c>
      <c r="R7" s="20" t="inlineStr">
        <is>
          <t>剑术・枪术・斧术・步兵术・重装术</t>
        </is>
      </c>
      <c r="S7" s="15" t="n">
        <v>0</v>
      </c>
      <c r="T7" s="20" t="inlineStr">
        <is>
          <t>—</t>
        </is>
      </c>
      <c r="U7" s="20" t="inlineStr">
        <is>
          <t>斧术D、枪术D</t>
        </is>
      </c>
      <c r="V7" s="20" t="inlineStr">
        <is>
          <t>—</t>
        </is>
      </c>
      <c r="W7" s="20" t="inlineStr">
        <is>
          <t>防御的基本</t>
        </is>
      </c>
      <c r="X7" s="20" t="inlineStr">
        <is>
          <t>—</t>
        </is>
      </c>
      <c r="Y7" s="20" t="inlineStr">
        <is>
          <t>—</t>
        </is>
      </c>
      <c r="Z7" s="20" t="inlineStr">
        <is>
          <t>巴卡尼亚</t>
        </is>
      </c>
      <c r="AA7" s="20" t="inlineStr">
        <is>
          <t>擅长使枪的士兵，以盾与铠甲拥有高防御力。</t>
        </is>
      </c>
      <c r="AB7" s="20" t="n"/>
    </row>
    <row r="8">
      <c r="A8" s="15" t="n">
        <v>6</v>
      </c>
      <c r="B8" s="15" t="inlineStr">
        <is>
          <t>初级职</t>
        </is>
      </c>
      <c r="C8" s="15" t="inlineStr">
        <is>
          <t>飞驼兵</t>
        </is>
      </c>
      <c r="D8" s="5" t="n">
        <v>5</v>
      </c>
      <c r="E8" s="5" t="inlineStr">
        <is>
          <t>是</t>
        </is>
      </c>
      <c r="F8" s="19" t="n">
        <v>10</v>
      </c>
      <c r="G8" s="19" t="n">
        <v>0</v>
      </c>
      <c r="H8" s="19" t="n">
        <v>0</v>
      </c>
      <c r="I8" s="19" t="n">
        <v>10</v>
      </c>
      <c r="J8" s="19" t="n">
        <v>0</v>
      </c>
      <c r="K8" s="19" t="n">
        <v>0</v>
      </c>
      <c r="L8" s="19" t="n">
        <v>5</v>
      </c>
      <c r="M8" s="19" t="n">
        <v>5</v>
      </c>
      <c r="N8" s="19" t="n">
        <v>0</v>
      </c>
      <c r="O8" s="20" t="inlineStr">
        <is>
          <t>初级考试票证
推荐等级 5
名声等级 1</t>
        </is>
      </c>
      <c r="P8" s="20" t="inlineStr">
        <is>
          <t>飛駝兵</t>
        </is>
      </c>
      <c r="Q8" s="20" t="inlineStr">
        <is>
          <t>骑兵</t>
        </is>
      </c>
      <c r="R8" s="20" t="inlineStr">
        <is>
          <t>马术・斧术・枪术・剑术・飞行术</t>
        </is>
      </c>
      <c r="S8" s="15" t="n">
        <v>0</v>
      </c>
      <c r="T8" s="20" t="inlineStr">
        <is>
          <t>马术E</t>
        </is>
      </c>
      <c r="U8" s="20" t="inlineStr">
        <is>
          <t>斧术D、枪术D</t>
        </is>
      </c>
      <c r="V8" s="20" t="inlineStr">
        <is>
          <t>上下坐骑</t>
        </is>
      </c>
      <c r="W8" s="20" t="inlineStr">
        <is>
          <t>攻势的基本</t>
        </is>
      </c>
      <c r="X8" s="20" t="inlineStr">
        <is>
          <t>—</t>
        </is>
      </c>
      <c r="Y8" s="20" t="inlineStr">
        <is>
          <t>—</t>
        </is>
      </c>
      <c r="Z8" s="20" t="inlineStr">
        <is>
          <t>凯伊</t>
        </is>
      </c>
      <c r="AA8" s="20" t="inlineStr">
        <is>
          <t>骑乘飞驼的兵种，可借坐骑飞越障碍物，移动范围广。</t>
        </is>
      </c>
      <c r="AB8" s="20" t="n"/>
    </row>
    <row r="9">
      <c r="A9" s="15" t="n">
        <v>7</v>
      </c>
      <c r="B9" s="15" t="inlineStr">
        <is>
          <t>初级职</t>
        </is>
      </c>
      <c r="C9" s="15" t="inlineStr">
        <is>
          <t>诅咒师</t>
        </is>
      </c>
      <c r="D9" s="5" t="n">
        <v>5</v>
      </c>
      <c r="E9" s="5" t="inlineStr">
        <is>
          <t>是</t>
        </is>
      </c>
      <c r="F9" s="19" t="n">
        <v>5</v>
      </c>
      <c r="G9" s="19" t="n">
        <v>-5</v>
      </c>
      <c r="H9" s="19" t="n">
        <v>15</v>
      </c>
      <c r="I9" s="19" t="n">
        <v>0</v>
      </c>
      <c r="J9" s="19" t="n">
        <v>5</v>
      </c>
      <c r="K9" s="19" t="n">
        <v>-5</v>
      </c>
      <c r="L9" s="19" t="n">
        <v>10</v>
      </c>
      <c r="M9" s="19" t="n">
        <v>0</v>
      </c>
      <c r="N9" s="19" t="n">
        <v>0</v>
      </c>
      <c r="O9" s="20" t="inlineStr">
        <is>
          <t xml:space="preserve">初级考试票证
推荐等级 5
名声等级 1
</t>
        </is>
      </c>
      <c r="P9" s="20" t="inlineStr">
        <is>
          <t>呪い師</t>
        </is>
      </c>
      <c r="Q9" s="20" t="inlineStr">
        <is>
          <t>步兵</t>
        </is>
      </c>
      <c r="R9" s="20" t="inlineStr">
        <is>
          <t>剑术・斧术・格斗术・白魔法・黑魔法・步兵术</t>
        </is>
      </c>
      <c r="S9" s="15" t="n">
        <v>1</v>
      </c>
      <c r="T9" s="20" t="inlineStr">
        <is>
          <t>—</t>
        </is>
      </c>
      <c r="U9" s="20" t="inlineStr">
        <is>
          <t>白魔法D、黑魔法D</t>
        </is>
      </c>
      <c r="V9" s="20" t="inlineStr">
        <is>
          <t>—</t>
        </is>
      </c>
      <c r="W9" s="20" t="inlineStr">
        <is>
          <t>魔道的基本</t>
        </is>
      </c>
      <c r="X9" s="20" t="inlineStr">
        <is>
          <t>—</t>
        </is>
      </c>
      <c r="Y9" s="20" t="inlineStr">
        <is>
          <t>—</t>
        </is>
      </c>
      <c r="Z9" s="20" t="inlineStr">
        <is>
          <t>媞亚拉・法毕欧・波拿帕尔特・西洛可・索绯亚・爱娜特莉亚・沙兰・欧露赫露</t>
        </is>
      </c>
      <c r="AA9" s="20" t="inlineStr">
        <is>
          <t>使用魔道治疗同伴、与敌作战，魔力出众。</t>
        </is>
      </c>
      <c r="AB9" s="20" t="n"/>
    </row>
    <row r="10">
      <c r="A10" s="15" t="n">
        <v>8</v>
      </c>
      <c r="B10" s="15" t="inlineStr">
        <is>
          <t>中级职</t>
        </is>
      </c>
      <c r="C10" s="15" t="inlineStr">
        <is>
          <t>剑客</t>
        </is>
      </c>
      <c r="D10" s="5" t="n">
        <v>20</v>
      </c>
      <c r="E10" s="5" t="inlineStr">
        <is>
          <t>是</t>
        </is>
      </c>
      <c r="F10" s="19" t="n">
        <v>10</v>
      </c>
      <c r="G10" s="19" t="n">
        <v>0</v>
      </c>
      <c r="H10" s="19" t="n">
        <v>0</v>
      </c>
      <c r="I10" s="19" t="n">
        <v>15</v>
      </c>
      <c r="J10" s="19" t="n">
        <v>10</v>
      </c>
      <c r="K10" s="19" t="n">
        <v>0</v>
      </c>
      <c r="L10" s="19" t="n">
        <v>0</v>
      </c>
      <c r="M10" s="19" t="n">
        <v>5</v>
      </c>
      <c r="N10" s="19" t="n">
        <v>5</v>
      </c>
      <c r="O10" s="20" t="inlineStr">
        <is>
          <t>中级考试票证
推荐等级 20
名声等级 4</t>
        </is>
      </c>
      <c r="P10" s="20" t="inlineStr">
        <is>
          <t>剣士</t>
        </is>
      </c>
      <c r="Q10" s="20" t="inlineStr">
        <is>
          <t>步兵</t>
        </is>
      </c>
      <c r="R10" s="20" t="inlineStr">
        <is>
          <t>剑术・枪术・步兵术</t>
        </is>
      </c>
      <c r="S10" s="15" t="n">
        <v>1</v>
      </c>
      <c r="T10" s="20" t="inlineStr">
        <is>
          <t>剑术C</t>
        </is>
      </c>
      <c r="U10" s="20" t="inlineStr">
        <is>
          <t>—</t>
        </is>
      </c>
      <c r="V10" s="20" t="inlineStr">
        <is>
          <t>战技装备+1・剑必杀+3</t>
        </is>
      </c>
      <c r="W10" s="20" t="inlineStr">
        <is>
          <t>技巧的精髓</t>
        </is>
      </c>
      <c r="X10" s="20" t="inlineStr">
        <is>
          <t>—</t>
        </is>
      </c>
      <c r="Y10" s="20" t="inlineStr">
        <is>
          <t>—</t>
        </is>
      </c>
      <c r="Z10" s="20" t="inlineStr">
        <is>
          <t>迪托利希・古扎岚・杰斯塔・露露蒂雅</t>
        </is>
      </c>
      <c r="AA10" s="20" t="inlineStr">
        <is>
          <t>专精于剑的战士，以迅捷剑技戏弄敌人。</t>
        </is>
      </c>
      <c r="AB10" s="20" t="n"/>
    </row>
    <row r="11">
      <c r="A11" s="15" t="n">
        <v>9</v>
      </c>
      <c r="B11" s="15" t="inlineStr">
        <is>
          <t>中级职</t>
        </is>
      </c>
      <c r="C11" s="15" t="inlineStr">
        <is>
          <t>土匪</t>
        </is>
      </c>
      <c r="D11" s="5" t="n">
        <v>20</v>
      </c>
      <c r="E11" s="5" t="inlineStr">
        <is>
          <t>是</t>
        </is>
      </c>
      <c r="F11" s="19" t="n">
        <v>15</v>
      </c>
      <c r="G11" s="19" t="n">
        <v>15</v>
      </c>
      <c r="H11" s="19" t="n">
        <v>-5</v>
      </c>
      <c r="I11" s="19" t="n">
        <v>5</v>
      </c>
      <c r="J11" s="19" t="n">
        <v>0</v>
      </c>
      <c r="K11" s="19" t="n">
        <v>5</v>
      </c>
      <c r="L11" s="19" t="n">
        <v>0</v>
      </c>
      <c r="M11" s="19" t="n">
        <v>0</v>
      </c>
      <c r="N11" s="19" t="n">
        <v>5</v>
      </c>
      <c r="O11" s="20" t="inlineStr">
        <is>
          <t>中级考试票证
推荐等级 20
名声等级 4
选择技能：剑C、斧C</t>
        </is>
      </c>
      <c r="P11" s="20" t="inlineStr">
        <is>
          <t>ブリガンド</t>
        </is>
      </c>
      <c r="Q11" s="20" t="inlineStr">
        <is>
          <t>步兵</t>
        </is>
      </c>
      <c r="R11" s="20" t="inlineStr">
        <is>
          <t>剑术・斧术・格斗术・步兵术</t>
        </is>
      </c>
      <c r="S11" s="15" t="n">
        <v>1</v>
      </c>
      <c r="T11" s="20" t="inlineStr">
        <is>
          <t>—</t>
        </is>
      </c>
      <c r="U11" s="20" t="inlineStr">
        <is>
          <t>斧术C、剑术C</t>
        </is>
      </c>
      <c r="V11" s="20" t="inlineStr">
        <is>
          <t>战技装备+1・斧命中+3</t>
        </is>
      </c>
      <c r="W11" s="20" t="inlineStr">
        <is>
          <t>重整旗鼓</t>
        </is>
      </c>
      <c r="X11" s="20" t="inlineStr">
        <is>
          <t>—</t>
        </is>
      </c>
      <c r="Y11" s="20" t="inlineStr">
        <is>
          <t>—</t>
        </is>
      </c>
      <c r="Z11" s="20" t="inlineStr">
        <is>
          <t>米迦艾拉・马吉迪・扎科内・大刀</t>
        </is>
      </c>
      <c r="AA11" s="20" t="inlineStr">
        <is>
          <t>擅长使斧的蛮汉，以高威力的一击打倒敌人。</t>
        </is>
      </c>
      <c r="AB11" s="20" t="n"/>
    </row>
    <row r="12">
      <c r="A12" s="15" t="n">
        <v>10</v>
      </c>
      <c r="B12" s="15" t="inlineStr">
        <is>
          <t>中级职</t>
        </is>
      </c>
      <c r="C12" s="15" t="inlineStr">
        <is>
          <t>斗拳手</t>
        </is>
      </c>
      <c r="D12" s="5" t="n">
        <v>20</v>
      </c>
      <c r="E12" s="5" t="inlineStr">
        <is>
          <t>是</t>
        </is>
      </c>
      <c r="F12" s="19" t="n">
        <v>15</v>
      </c>
      <c r="G12" s="19" t="n">
        <v>10</v>
      </c>
      <c r="H12" s="19" t="n">
        <v>-5</v>
      </c>
      <c r="I12" s="19" t="n">
        <v>10</v>
      </c>
      <c r="J12" s="19" t="n">
        <v>5</v>
      </c>
      <c r="K12" s="19" t="n">
        <v>10</v>
      </c>
      <c r="L12" s="19" t="n">
        <v>0</v>
      </c>
      <c r="M12" s="19" t="n">
        <v>0</v>
      </c>
      <c r="N12" s="19" t="n">
        <v>5</v>
      </c>
      <c r="O12" s="20" t="inlineStr">
        <is>
          <t>中级考试票证
推荐等级 20
名声等级 4</t>
        </is>
      </c>
      <c r="P12" s="20" t="inlineStr">
        <is>
          <t>セスタス</t>
        </is>
      </c>
      <c r="Q12" s="20" t="inlineStr">
        <is>
          <t>步兵</t>
        </is>
      </c>
      <c r="R12" s="20" t="inlineStr">
        <is>
          <t>格斗术・步兵术</t>
        </is>
      </c>
      <c r="S12" s="15" t="n">
        <v>1</v>
      </c>
      <c r="T12" s="20" t="inlineStr">
        <is>
          <t>格斗术C</t>
        </is>
      </c>
      <c r="U12" s="20" t="inlineStr">
        <is>
          <t>—</t>
        </is>
      </c>
      <c r="V12" s="20" t="inlineStr">
        <is>
          <t>战技装备+1</t>
        </is>
      </c>
      <c r="W12" s="20" t="inlineStr">
        <is>
          <t>打带跑</t>
        </is>
      </c>
      <c r="X12" s="20" t="inlineStr">
        <is>
          <t>—</t>
        </is>
      </c>
      <c r="Y12" s="20" t="inlineStr">
        <is>
          <t>—</t>
        </is>
      </c>
      <c r="Z12" s="20" t="inlineStr">
        <is>
          <t>诺克裘拉</t>
        </is>
      </c>
      <c r="AA12" s="20" t="inlineStr">
        <is>
          <t>以拳套作战的拳斗士，凭轻快攻击戏弄敌人。</t>
        </is>
      </c>
      <c r="AB12" s="20" t="n"/>
    </row>
    <row r="13">
      <c r="A13" s="15" t="n">
        <v>11</v>
      </c>
      <c r="B13" s="15" t="inlineStr">
        <is>
          <t>中级职</t>
        </is>
      </c>
      <c r="C13" s="15" t="inlineStr">
        <is>
          <t>弓箭手</t>
        </is>
      </c>
      <c r="D13" s="5" t="n">
        <v>20</v>
      </c>
      <c r="E13" s="5" t="inlineStr">
        <is>
          <t>是</t>
        </is>
      </c>
      <c r="F13" s="19" t="n">
        <v>10</v>
      </c>
      <c r="G13" s="19" t="n">
        <v>0</v>
      </c>
      <c r="H13" s="19" t="n">
        <v>0</v>
      </c>
      <c r="I13" s="19" t="n">
        <v>10</v>
      </c>
      <c r="J13" s="19" t="n">
        <v>15</v>
      </c>
      <c r="K13" s="19" t="n">
        <v>5</v>
      </c>
      <c r="L13" s="19" t="n">
        <v>0</v>
      </c>
      <c r="M13" s="19" t="n">
        <v>5</v>
      </c>
      <c r="N13" s="19" t="n">
        <v>5</v>
      </c>
      <c r="O13" s="20" t="inlineStr">
        <is>
          <t>中级考试票证
推荐等级 20
名声等级 4</t>
        </is>
      </c>
      <c r="P13" s="20" t="inlineStr">
        <is>
          <t>アーチャー</t>
        </is>
      </c>
      <c r="Q13" s="20" t="inlineStr">
        <is>
          <t>步兵</t>
        </is>
      </c>
      <c r="R13" s="20" t="inlineStr">
        <is>
          <t>弓术・步兵术</t>
        </is>
      </c>
      <c r="S13" s="15" t="n">
        <v>1</v>
      </c>
      <c r="T13" s="20" t="inlineStr">
        <is>
          <t>弓术C</t>
        </is>
      </c>
      <c r="U13" s="20" t="inlineStr">
        <is>
          <t>—</t>
        </is>
      </c>
      <c r="V13" s="20" t="inlineStr">
        <is>
          <t>战技装备+1・弓命中+5</t>
        </is>
      </c>
      <c r="W13" s="20" t="inlineStr">
        <is>
          <t>状态绝佳</t>
        </is>
      </c>
      <c r="X13" s="20" t="inlineStr">
        <is>
          <t>—</t>
        </is>
      </c>
      <c r="Y13" s="20" t="inlineStr">
        <is>
          <t>—</t>
        </is>
      </c>
      <c r="Z13" s="20" t="inlineStr">
        <is>
          <t>皮特鲁・莉莉安・易尼奥尼</t>
        </is>
      </c>
      <c r="AA13" s="20" t="inlineStr">
        <is>
          <t>擅长用弓，精于远程攻击与对付飞行敌人。</t>
        </is>
      </c>
      <c r="AB13" s="20" t="n"/>
    </row>
    <row r="14">
      <c r="A14" s="15" t="n">
        <v>12</v>
      </c>
      <c r="B14" s="15" t="inlineStr">
        <is>
          <t>中级职</t>
        </is>
      </c>
      <c r="C14" s="15" t="inlineStr">
        <is>
          <t>恶棍</t>
        </is>
      </c>
      <c r="D14" s="5" t="n">
        <v>20</v>
      </c>
      <c r="E14" s="5" t="inlineStr">
        <is>
          <t>是</t>
        </is>
      </c>
      <c r="F14" s="19" t="n">
        <v>10</v>
      </c>
      <c r="G14" s="19" t="n">
        <v>0</v>
      </c>
      <c r="H14" s="19" t="n">
        <v>0</v>
      </c>
      <c r="I14" s="19" t="n">
        <v>15</v>
      </c>
      <c r="J14" s="19" t="n">
        <v>10</v>
      </c>
      <c r="K14" s="19" t="n">
        <v>0</v>
      </c>
      <c r="L14" s="19" t="n">
        <v>5</v>
      </c>
      <c r="M14" s="19" t="n">
        <v>5</v>
      </c>
      <c r="N14" s="19" t="n">
        <v>0</v>
      </c>
      <c r="O14" s="20" t="inlineStr">
        <is>
          <t>中级考试票证
推荐等级 20
名声等级 4</t>
        </is>
      </c>
      <c r="P14" s="20" t="inlineStr">
        <is>
          <t>ローグ</t>
        </is>
      </c>
      <c r="Q14" s="20" t="inlineStr">
        <is>
          <t>步兵</t>
        </is>
      </c>
      <c r="R14" s="20" t="inlineStr">
        <is>
          <t>剑术・弓术・步兵术</t>
        </is>
      </c>
      <c r="S14" s="15" t="n">
        <v>1</v>
      </c>
      <c r="T14" s="20" t="inlineStr">
        <is>
          <t>—</t>
        </is>
      </c>
      <c r="U14" s="20" t="inlineStr">
        <is>
          <t>弓术C、剑术C</t>
        </is>
      </c>
      <c r="V14" s="20" t="inlineStr">
        <is>
          <t>战技装备+1・开锁・探索术</t>
        </is>
      </c>
      <c r="W14" s="20" t="inlineStr">
        <is>
          <t>暗影蔽身</t>
        </is>
      </c>
      <c r="X14" s="20" t="inlineStr">
        <is>
          <t>—</t>
        </is>
      </c>
      <c r="Y14" s="20" t="inlineStr">
        <is>
          <t>—</t>
        </is>
      </c>
      <c r="Z14" s="20" t="inlineStr">
        <is>
          <t>ウーシェラ・努佐・奇洛伊卡・佩佩</t>
        </is>
      </c>
      <c r="AA14" s="20" t="inlineStr">
        <is>
          <t>能开锁的盗贼，在森林中行动轻捷，探索时也大有作为。</t>
        </is>
      </c>
      <c r="AB14" s="20" t="n"/>
    </row>
    <row r="15">
      <c r="A15" s="15" t="n">
        <v>13</v>
      </c>
      <c r="B15" s="15" t="inlineStr">
        <is>
          <t>中级职</t>
        </is>
      </c>
      <c r="C15" s="15" t="inlineStr">
        <is>
          <t>重装步兵</t>
        </is>
      </c>
      <c r="D15" s="5" t="n">
        <v>20</v>
      </c>
      <c r="E15" s="5" t="inlineStr">
        <is>
          <t>是</t>
        </is>
      </c>
      <c r="F15" s="19" t="n">
        <v>10</v>
      </c>
      <c r="G15" s="19" t="n">
        <v>10</v>
      </c>
      <c r="H15" s="19" t="n">
        <v>-5</v>
      </c>
      <c r="I15" s="19" t="n">
        <v>-5</v>
      </c>
      <c r="J15" s="19" t="n">
        <v>5</v>
      </c>
      <c r="K15" s="19" t="n">
        <v>5</v>
      </c>
      <c r="L15" s="19" t="n">
        <v>-5</v>
      </c>
      <c r="M15" s="19" t="n">
        <v>0</v>
      </c>
      <c r="N15" s="19" t="n">
        <v>5</v>
      </c>
      <c r="O15" s="20" t="inlineStr">
        <is>
          <t>中级考试票证
推荐等级 20
名声等级 4</t>
        </is>
      </c>
      <c r="P15" s="20" t="inlineStr">
        <is>
          <t>重装歩兵</t>
        </is>
      </c>
      <c r="Q15" s="20" t="inlineStr">
        <is>
          <t>步兵・重装</t>
        </is>
      </c>
      <c r="R15" s="20" t="inlineStr">
        <is>
          <t>剑术・枪术・斧术・步兵术・重装术</t>
        </is>
      </c>
      <c r="S15" s="15" t="n">
        <v>1</v>
      </c>
      <c r="T15" s="20" t="inlineStr">
        <is>
          <t>重装术E</t>
        </is>
      </c>
      <c r="U15" s="20" t="inlineStr">
        <is>
          <t>斧术C、枪术C</t>
        </is>
      </c>
      <c r="V15" s="20" t="inlineStr">
        <is>
          <t>战技装备+1・后攻守备+3</t>
        </is>
      </c>
      <c r="W15" s="20" t="inlineStr">
        <is>
          <t>大反击</t>
        </is>
      </c>
      <c r="X15" s="20" t="inlineStr">
        <is>
          <t>—</t>
        </is>
      </c>
      <c r="Y15" s="20" t="inlineStr">
        <is>
          <t>—</t>
        </is>
      </c>
      <c r="Z15" s="20" t="inlineStr">
        <is>
          <t>托比亚斯・爱丝米拉达・歌利亚斯・嘉丝敏</t>
        </is>
      </c>
      <c r="AA15" s="20" t="inlineStr">
        <is>
          <t>全身覆甲的兵种，以厚装甲充当同伴之盾。</t>
        </is>
      </c>
      <c r="AB15" s="20" t="n"/>
    </row>
    <row r="16">
      <c r="A16" s="15" t="n">
        <v>14</v>
      </c>
      <c r="B16" s="15" t="inlineStr">
        <is>
          <t>中级职</t>
        </is>
      </c>
      <c r="C16" s="15" t="inlineStr">
        <is>
          <t>轻骑兵</t>
        </is>
      </c>
      <c r="D16" s="5" t="n">
        <v>20</v>
      </c>
      <c r="E16" s="5" t="inlineStr">
        <is>
          <t>是</t>
        </is>
      </c>
      <c r="F16" s="19" t="n">
        <v>10</v>
      </c>
      <c r="G16" s="19" t="n">
        <v>5</v>
      </c>
      <c r="H16" s="19" t="n">
        <v>-5</v>
      </c>
      <c r="I16" s="19" t="n">
        <v>5</v>
      </c>
      <c r="J16" s="19" t="n">
        <v>0</v>
      </c>
      <c r="K16" s="19" t="n">
        <v>5</v>
      </c>
      <c r="L16" s="19" t="n">
        <v>0</v>
      </c>
      <c r="M16" s="19" t="n">
        <v>5</v>
      </c>
      <c r="N16" s="19" t="n">
        <v>10</v>
      </c>
      <c r="O16" s="20" t="inlineStr">
        <is>
          <t>中级考试票证
推荐等级 20
名声等级 4</t>
        </is>
      </c>
      <c r="P16" s="20" t="inlineStr">
        <is>
          <t>軽騎兵</t>
        </is>
      </c>
      <c r="Q16" s="20" t="inlineStr">
        <is>
          <t>骑兵</t>
        </is>
      </c>
      <c r="R16" s="20" t="inlineStr">
        <is>
          <t>剑术・枪术・斧术・马术</t>
        </is>
      </c>
      <c r="S16" s="15" t="n">
        <v>2</v>
      </c>
      <c r="T16" s="20" t="inlineStr">
        <is>
          <t>马术D</t>
        </is>
      </c>
      <c r="U16" s="20" t="inlineStr">
        <is>
          <t>枪术C、剑术C</t>
        </is>
      </c>
      <c r="V16" s="20" t="inlineStr">
        <is>
          <t>上下坐骑</t>
        </is>
      </c>
      <c r="W16" s="20" t="inlineStr">
        <is>
          <t>体力强化</t>
        </is>
      </c>
      <c r="X16" s="20" t="inlineStr">
        <is>
          <t>—</t>
        </is>
      </c>
      <c r="Y16" s="20" t="inlineStr">
        <is>
          <t>—</t>
        </is>
      </c>
      <c r="Z16" s="20" t="inlineStr">
        <is>
          <t>莱桑德・伊欧</t>
        </is>
      </c>
      <c r="AA16" s="20" t="inlineStr">
        <is>
          <t>骑马作战的骑兵，凭高机动驰骋战场。</t>
        </is>
      </c>
      <c r="AB16" s="20" t="n"/>
    </row>
    <row r="17">
      <c r="A17" s="15" t="n">
        <v>15</v>
      </c>
      <c r="B17" s="15" t="inlineStr">
        <is>
          <t>中级职</t>
        </is>
      </c>
      <c r="C17" s="15" t="inlineStr">
        <is>
          <t>战车兵</t>
        </is>
      </c>
      <c r="D17" s="5" t="n">
        <v>20</v>
      </c>
      <c r="E17" s="5" t="inlineStr">
        <is>
          <t>是</t>
        </is>
      </c>
      <c r="F17" s="19" t="n">
        <v>10</v>
      </c>
      <c r="G17" s="19" t="n">
        <v>5</v>
      </c>
      <c r="H17" s="19" t="n">
        <v>-5</v>
      </c>
      <c r="I17" s="19" t="n">
        <v>-5</v>
      </c>
      <c r="J17" s="19" t="n">
        <v>15</v>
      </c>
      <c r="K17" s="19" t="n">
        <v>10</v>
      </c>
      <c r="L17" s="19" t="n">
        <v>0</v>
      </c>
      <c r="M17" s="19" t="n">
        <v>5</v>
      </c>
      <c r="N17" s="19" t="n">
        <v>10</v>
      </c>
      <c r="O17" s="20" t="inlineStr">
        <is>
          <t>中级考试票证
推荐等级 20
名声等级 4</t>
        </is>
      </c>
      <c r="P17" s="20" t="inlineStr">
        <is>
          <t>戦車兵</t>
        </is>
      </c>
      <c r="Q17" s="20" t="inlineStr">
        <is>
          <t>骑兵</t>
        </is>
      </c>
      <c r="R17" s="20" t="inlineStr">
        <is>
          <t>弓术・步兵术</t>
        </is>
      </c>
      <c r="S17" s="15" t="n">
        <v>1</v>
      </c>
      <c r="T17" s="20" t="inlineStr">
        <is>
          <t>马术D、弓术C</t>
        </is>
      </c>
      <c r="U17" s="20" t="inlineStr">
        <is>
          <t>—</t>
        </is>
      </c>
      <c r="V17" s="20" t="inlineStr">
        <is>
          <t>战车装甲・战车兵战术・战车兵之道</t>
        </is>
      </c>
      <c r="W17" s="20" t="inlineStr">
        <is>
          <t>突击态势</t>
        </is>
      </c>
      <c r="X17" s="20" t="inlineStr">
        <is>
          <t>—</t>
        </is>
      </c>
      <c r="Y17" s="20" t="inlineStr">
        <is>
          <t>—</t>
        </is>
      </c>
      <c r="Z17" s="20" t="inlineStr">
        <is>
          <t>班迪兹</t>
        </is>
      </c>
      <c r="AA17" s="20" t="inlineStr">
        <is>
          <t>驾战车作战的特殊骑兵，以战车突击与弓箭扰乱敌人，但无法回避敌方攻击。</t>
        </is>
      </c>
      <c r="AB17" s="20" t="n"/>
    </row>
    <row r="18">
      <c r="A18" s="15" t="n">
        <v>16</v>
      </c>
      <c r="B18" s="15" t="inlineStr">
        <is>
          <t>中级职</t>
        </is>
      </c>
      <c r="C18" s="15" t="inlineStr">
        <is>
          <t>骑甲鸵兵</t>
        </is>
      </c>
      <c r="D18" s="5" t="n">
        <v>20</v>
      </c>
      <c r="E18" s="5" t="inlineStr">
        <is>
          <t>是</t>
        </is>
      </c>
      <c r="F18" s="19" t="n">
        <v>10</v>
      </c>
      <c r="G18" s="19" t="n">
        <v>0</v>
      </c>
      <c r="H18" s="19" t="n">
        <v>-5</v>
      </c>
      <c r="I18" s="19" t="n">
        <v>10</v>
      </c>
      <c r="J18" s="19" t="n">
        <v>15</v>
      </c>
      <c r="K18" s="19" t="n">
        <v>10</v>
      </c>
      <c r="L18" s="19" t="n">
        <v>0</v>
      </c>
      <c r="M18" s="19" t="n">
        <v>5</v>
      </c>
      <c r="N18" s="19" t="n">
        <v>5</v>
      </c>
      <c r="O18" s="20" t="inlineStr">
        <is>
          <t>中级考试票证
推荐等级 20
名声等级 4</t>
        </is>
      </c>
      <c r="P18" s="20" t="inlineStr">
        <is>
          <t>騎甲駝兵</t>
        </is>
      </c>
      <c r="Q18" s="20" t="inlineStr">
        <is>
          <t>骑兵</t>
        </is>
      </c>
      <c r="R18" s="20" t="inlineStr">
        <is>
          <t>剑术・枪术・斧术・马术・飞行术</t>
        </is>
      </c>
      <c r="S18" s="15" t="n">
        <v>2</v>
      </c>
      <c r="T18" s="20" t="inlineStr">
        <is>
          <t>马术D</t>
        </is>
      </c>
      <c r="U18" s="20" t="inlineStr">
        <is>
          <t>斧术C、枪术C</t>
        </is>
      </c>
      <c r="V18" s="20" t="inlineStr">
        <is>
          <t>上下坐骑</t>
        </is>
      </c>
      <c r="W18" s="20" t="inlineStr">
        <is>
          <t>危机感知</t>
        </is>
      </c>
      <c r="X18" s="20" t="inlineStr">
        <is>
          <t>—</t>
        </is>
      </c>
      <c r="Y18" s="20" t="inlineStr">
        <is>
          <t>—</t>
        </is>
      </c>
      <c r="Z18" s="20" t="inlineStr">
        <is>
          <t>努蒂奴</t>
        </is>
      </c>
      <c r="AA18" s="20" t="inlineStr">
        <is>
          <t>精通驾驭飞驼的骑兵，可飞越障碍物。</t>
        </is>
      </c>
      <c r="AB18" s="20" t="n"/>
    </row>
    <row r="19">
      <c r="A19" s="15" t="n">
        <v>17</v>
      </c>
      <c r="B19" s="15" t="inlineStr">
        <is>
          <t>中级职</t>
        </is>
      </c>
      <c r="C19" s="15" t="inlineStr">
        <is>
          <t>萨满巫师</t>
        </is>
      </c>
      <c r="D19" s="5" t="n">
        <v>20</v>
      </c>
      <c r="E19" s="5" t="inlineStr">
        <is>
          <t>是</t>
        </is>
      </c>
      <c r="F19" s="19" t="n">
        <v>5</v>
      </c>
      <c r="G19" s="19" t="n">
        <v>-5</v>
      </c>
      <c r="H19" s="19" t="n">
        <v>15</v>
      </c>
      <c r="I19" s="19" t="n">
        <v>10</v>
      </c>
      <c r="J19" s="19" t="n">
        <v>10</v>
      </c>
      <c r="K19" s="19" t="n">
        <v>-10</v>
      </c>
      <c r="L19" s="19" t="n">
        <v>10</v>
      </c>
      <c r="M19" s="19" t="n">
        <v>10</v>
      </c>
      <c r="N19" s="19" t="n">
        <v>0</v>
      </c>
      <c r="O19" s="20" t="inlineStr">
        <is>
          <t>中级考试票证
推荐等级 20
名声等级 4</t>
        </is>
      </c>
      <c r="P19" s="20" t="inlineStr">
        <is>
          <t>シャーマン</t>
        </is>
      </c>
      <c r="Q19" s="20" t="inlineStr">
        <is>
          <t>步兵</t>
        </is>
      </c>
      <c r="R19" s="20" t="inlineStr">
        <is>
          <t>剑术・格斗术・黑魔法・白魔法・步兵术</t>
        </is>
      </c>
      <c r="S19" s="15" t="n">
        <v>1</v>
      </c>
      <c r="T19" s="20" t="inlineStr">
        <is>
          <t>黑魔法C</t>
        </is>
      </c>
      <c r="U19" s="20" t="inlineStr">
        <is>
          <t>—</t>
        </is>
      </c>
      <c r="V19" s="20" t="inlineStr">
        <is>
          <t>黑魔法探求・魔法命中+5</t>
        </is>
      </c>
      <c r="W19" s="20" t="inlineStr">
        <is>
          <t>技巧束缚</t>
        </is>
      </c>
      <c r="X19" s="20" t="inlineStr">
        <is>
          <t>—</t>
        </is>
      </c>
      <c r="Y19" s="20" t="inlineStr">
        <is>
          <t>—</t>
        </is>
      </c>
      <c r="Z19" s="20" t="inlineStr">
        <is>
          <t>タムリーン</t>
        </is>
      </c>
      <c r="AA19" s="20" t="inlineStr">
        <is>
          <t>专精黑魔法的咒术师，能使用多种攻击魔法，擅长对付重甲敌人。</t>
        </is>
      </c>
      <c r="AB19" s="20" t="n"/>
    </row>
    <row r="20">
      <c r="A20" s="15" t="n">
        <v>18</v>
      </c>
      <c r="B20" s="15" t="inlineStr">
        <is>
          <t>中级职</t>
        </is>
      </c>
      <c r="C20" s="15" t="inlineStr">
        <is>
          <t>牧师</t>
        </is>
      </c>
      <c r="D20" s="5" t="n">
        <v>20</v>
      </c>
      <c r="E20" s="5" t="inlineStr">
        <is>
          <t>是</t>
        </is>
      </c>
      <c r="F20" s="19" t="n">
        <v>5</v>
      </c>
      <c r="G20" s="19" t="n">
        <v>-5</v>
      </c>
      <c r="H20" s="19" t="n">
        <v>10</v>
      </c>
      <c r="I20" s="19" t="n">
        <v>5</v>
      </c>
      <c r="J20" s="19" t="n">
        <v>5</v>
      </c>
      <c r="K20" s="19" t="n">
        <v>-10</v>
      </c>
      <c r="L20" s="19" t="n">
        <v>15</v>
      </c>
      <c r="M20" s="19" t="n">
        <v>15</v>
      </c>
      <c r="N20" s="19" t="n">
        <v>10</v>
      </c>
      <c r="O20" s="20" t="inlineStr">
        <is>
          <t>中级考试票证
推荐等级 20
名声等级 4</t>
        </is>
      </c>
      <c r="P20" s="20" t="inlineStr">
        <is>
          <t>プリースト</t>
        </is>
      </c>
      <c r="Q20" s="20" t="inlineStr">
        <is>
          <t>步兵</t>
        </is>
      </c>
      <c r="R20" s="20" t="inlineStr">
        <is>
          <t>剑术・格斗术・黑魔法・白魔法・步兵术</t>
        </is>
      </c>
      <c r="S20" s="15" t="n">
        <v>1</v>
      </c>
      <c r="T20" s="20" t="inlineStr">
        <is>
          <t>白魔法C</t>
        </is>
      </c>
      <c r="U20" s="20" t="inlineStr">
        <is>
          <t>—</t>
        </is>
      </c>
      <c r="V20" s="20" t="inlineStr">
        <is>
          <t>白魔法探求・魔法回复+5</t>
        </is>
      </c>
      <c r="W20" s="20" t="inlineStr">
        <is>
          <t>信仰心</t>
        </is>
      </c>
      <c r="X20" s="20" t="inlineStr">
        <is>
          <t>—</t>
        </is>
      </c>
      <c r="Y20" s="20" t="inlineStr">
        <is>
          <t>—</t>
        </is>
      </c>
      <c r="Z20" s="20" t="inlineStr">
        <is>
          <t>乌尔坦德・奥琳琵娅・索绯亚・杨界</t>
        </is>
      </c>
      <c r="AA20" s="20" t="inlineStr">
        <is>
          <t>专精白魔法的祈祷师，可用魔法治疗同伴或攻击。</t>
        </is>
      </c>
      <c r="AB20" s="20" t="n"/>
    </row>
    <row r="21">
      <c r="A21" s="15" t="n">
        <v>19</v>
      </c>
      <c r="B21" s="15" t="inlineStr">
        <is>
          <t>中级职</t>
        </is>
      </c>
      <c r="C21" s="15" t="inlineStr">
        <is>
          <t>天翼兵</t>
        </is>
      </c>
      <c r="D21" s="5" t="n">
        <v>20</v>
      </c>
      <c r="E21" s="5" t="inlineStr">
        <is>
          <t>是</t>
        </is>
      </c>
      <c r="F21" s="19" t="n">
        <v>10</v>
      </c>
      <c r="G21" s="19" t="n">
        <v>0</v>
      </c>
      <c r="H21" s="19" t="n">
        <v>5</v>
      </c>
      <c r="I21" s="19" t="n">
        <v>0</v>
      </c>
      <c r="J21" s="19" t="n">
        <v>5</v>
      </c>
      <c r="K21" s="19" t="n">
        <v>5</v>
      </c>
      <c r="L21" s="19" t="n">
        <v>5</v>
      </c>
      <c r="M21" s="19" t="n">
        <v>5</v>
      </c>
      <c r="N21" s="19" t="n">
        <v>10</v>
      </c>
      <c r="O21" s="20" t="inlineStr">
        <is>
          <t>中级考试票证
推荐等级 20
名声等级 4</t>
        </is>
      </c>
      <c r="P21" s="20" t="inlineStr">
        <is>
          <t>天翼兵</t>
        </is>
      </c>
      <c r="Q21" s="20" t="inlineStr">
        <is>
          <t>飞行</t>
        </is>
      </c>
      <c r="R21" s="20" t="inlineStr">
        <is>
          <t>剑术・枪术・飞行术</t>
        </is>
      </c>
      <c r="S21" s="15" t="n">
        <v>2</v>
      </c>
      <c r="T21" s="20" t="inlineStr">
        <is>
          <t>飞行术D</t>
        </is>
      </c>
      <c r="U21" s="20" t="inlineStr">
        <is>
          <t>枪术C、剑术C</t>
        </is>
      </c>
      <c r="V21" s="20" t="inlineStr">
        <is>
          <t>上下坐骑</t>
        </is>
      </c>
      <c r="W21" s="20" t="inlineStr">
        <is>
          <t>天马翼护</t>
        </is>
      </c>
      <c r="X21" s="20" t="inlineStr">
        <is>
          <t>—</t>
        </is>
      </c>
      <c r="Y21" s="20" t="inlineStr">
        <is>
          <t>—</t>
        </is>
      </c>
      <c r="Z21" s="20" t="inlineStr">
        <is>
          <t>卡塔妮雅・亚历珊德拉</t>
        </is>
      </c>
      <c r="AA21" s="20" t="inlineStr">
        <is>
          <t>骑乘有翼马翱翔天空的骑兵，机动性高且抗魔法。</t>
        </is>
      </c>
      <c r="AB21" s="20" t="n"/>
    </row>
    <row r="22">
      <c r="A22" s="15" t="n">
        <v>20</v>
      </c>
      <c r="B22" s="15" t="inlineStr">
        <is>
          <t>上级职</t>
        </is>
      </c>
      <c r="C22" s="15" t="inlineStr">
        <is>
          <t>侍道</t>
        </is>
      </c>
      <c r="D22" s="5" t="n">
        <v>35</v>
      </c>
      <c r="E22" s="5" t="inlineStr">
        <is>
          <t>是</t>
        </is>
      </c>
      <c r="F22" s="19" t="n">
        <v>10</v>
      </c>
      <c r="G22" s="19" t="n">
        <v>5</v>
      </c>
      <c r="H22" s="19" t="n">
        <v>0</v>
      </c>
      <c r="I22" s="19" t="n">
        <v>15</v>
      </c>
      <c r="J22" s="19" t="n">
        <v>10</v>
      </c>
      <c r="K22" s="19" t="n">
        <v>0</v>
      </c>
      <c r="L22" s="19" t="n">
        <v>-5</v>
      </c>
      <c r="M22" s="19" t="n">
        <v>5</v>
      </c>
      <c r="N22" s="19" t="n">
        <v>5</v>
      </c>
      <c r="O22" s="20" t="inlineStr">
        <is>
          <t>高级考试票证
推荐等级 35
名声等级 8</t>
        </is>
      </c>
      <c r="P22" s="20" t="inlineStr">
        <is>
          <t>シドー</t>
        </is>
      </c>
      <c r="Q22" s="20" t="inlineStr">
        <is>
          <t>步兵</t>
        </is>
      </c>
      <c r="R22" s="20" t="inlineStr">
        <is>
          <t>剑术・枪术・步兵术</t>
        </is>
      </c>
      <c r="S22" s="15" t="n">
        <v>1</v>
      </c>
      <c r="T22" s="20" t="inlineStr">
        <is>
          <t>剑术B</t>
        </is>
      </c>
      <c r="U22" s="20" t="inlineStr">
        <is>
          <t>—</t>
        </is>
      </c>
      <c r="V22" s="20" t="inlineStr">
        <is>
          <t>战技装备+2・剑必杀+5</t>
        </is>
      </c>
      <c r="W22" s="20" t="inlineStr">
        <is>
          <t>残心</t>
        </is>
      </c>
      <c r="X22" s="20" t="inlineStr">
        <is>
          <t>—</t>
        </is>
      </c>
      <c r="Y22" s="20" t="inlineStr">
        <is>
          <t>—</t>
        </is>
      </c>
      <c r="Z22" s="20" t="inlineStr">
        <is>
          <t>—</t>
        </is>
      </c>
      <c r="AA22" s="20" t="inlineStr">
        <is>
          <t>重视剑道精神修行而成的剑豪，以迅捷剑技攻击，伺机打出必杀一击。</t>
        </is>
      </c>
      <c r="AB22" s="20" t="n"/>
    </row>
    <row r="23">
      <c r="A23" s="15" t="n">
        <v>21</v>
      </c>
      <c r="B23" s="15" t="inlineStr">
        <is>
          <t>上级职</t>
        </is>
      </c>
      <c r="C23" s="15" t="inlineStr">
        <is>
          <t>勇士</t>
        </is>
      </c>
      <c r="D23" s="5" t="n">
        <v>35</v>
      </c>
      <c r="E23" s="5" t="inlineStr">
        <is>
          <t>是</t>
        </is>
      </c>
      <c r="F23" s="19" t="n">
        <v>20</v>
      </c>
      <c r="G23" s="19" t="n">
        <v>20</v>
      </c>
      <c r="H23" s="19" t="n">
        <v>-5</v>
      </c>
      <c r="I23" s="19" t="n">
        <v>0</v>
      </c>
      <c r="J23" s="19" t="n">
        <v>0</v>
      </c>
      <c r="K23" s="19" t="n">
        <v>5</v>
      </c>
      <c r="L23" s="19" t="n">
        <v>-5</v>
      </c>
      <c r="M23" s="19" t="n">
        <v>0</v>
      </c>
      <c r="N23" s="19" t="n">
        <v>5</v>
      </c>
      <c r="O23" s="20" t="inlineStr">
        <is>
          <t>高级考试票证
推荐等级 35
名声等级 8</t>
        </is>
      </c>
      <c r="P23" s="20" t="inlineStr">
        <is>
          <t>ウォーリアー</t>
        </is>
      </c>
      <c r="Q23" s="20" t="inlineStr">
        <is>
          <t>步兵</t>
        </is>
      </c>
      <c r="R23" s="20" t="inlineStr">
        <is>
          <t>剑术・斧术・格斗术・步兵术</t>
        </is>
      </c>
      <c r="S23" s="15" t="n">
        <v>1</v>
      </c>
      <c r="T23" s="20" t="inlineStr">
        <is>
          <t>—</t>
        </is>
      </c>
      <c r="U23" s="20" t="inlineStr">
        <is>
          <t>格斗术B、斧术B、剑术B</t>
        </is>
      </c>
      <c r="V23" s="20" t="inlineStr">
        <is>
          <t>战技装备+2・斧命中+5・格斗命中+5</t>
        </is>
      </c>
      <c r="W23" s="20" t="inlineStr">
        <is>
          <t>熟练之技</t>
        </is>
      </c>
      <c r="X23" s="20" t="inlineStr">
        <is>
          <t>—</t>
        </is>
      </c>
      <c r="Y23" s="20" t="inlineStr">
        <is>
          <t>—</t>
        </is>
      </c>
      <c r="Z23" s="20" t="inlineStr">
        <is>
          <t>—</t>
        </is>
      </c>
      <c r="AA23" s="20" t="inlineStr">
        <is>
          <t>—</t>
        </is>
      </c>
      <c r="AB23" s="20" t="n"/>
    </row>
    <row r="24">
      <c r="A24" s="15" t="n">
        <v>22</v>
      </c>
      <c r="B24" s="15" t="inlineStr">
        <is>
          <t>上级职</t>
        </is>
      </c>
      <c r="C24" s="15" t="inlineStr">
        <is>
          <t>狙击手</t>
        </is>
      </c>
      <c r="D24" s="5" t="n">
        <v>35</v>
      </c>
      <c r="E24" s="5" t="inlineStr">
        <is>
          <t>是</t>
        </is>
      </c>
      <c r="F24" s="19" t="n">
        <v>10</v>
      </c>
      <c r="G24" s="19" t="n">
        <v>5</v>
      </c>
      <c r="H24" s="19" t="n">
        <v>0</v>
      </c>
      <c r="I24" s="19" t="n">
        <v>10</v>
      </c>
      <c r="J24" s="19" t="n">
        <v>20</v>
      </c>
      <c r="K24" s="19" t="n">
        <v>5</v>
      </c>
      <c r="L24" s="19" t="n">
        <v>5</v>
      </c>
      <c r="M24" s="19" t="n">
        <v>5</v>
      </c>
      <c r="N24" s="19" t="n">
        <v>5</v>
      </c>
      <c r="O24" s="20" t="inlineStr">
        <is>
          <t>高级考试票证
推荐等级 35
名声等级 8</t>
        </is>
      </c>
      <c r="P24" s="20" t="inlineStr">
        <is>
          <t>スナイパー</t>
        </is>
      </c>
      <c r="Q24" s="20" t="inlineStr">
        <is>
          <t>步兵</t>
        </is>
      </c>
      <c r="R24" s="20" t="inlineStr">
        <is>
          <t>弓术・步兵术</t>
        </is>
      </c>
      <c r="S24" s="15" t="n">
        <v>1</v>
      </c>
      <c r="T24" s="20" t="inlineStr">
        <is>
          <t>弓术B</t>
        </is>
      </c>
      <c r="U24" s="20" t="inlineStr">
        <is>
          <t>—</t>
        </is>
      </c>
      <c r="V24" s="20" t="inlineStr">
        <is>
          <t>战技装备+2・弓命中+10</t>
        </is>
      </c>
      <c r="W24" s="20" t="inlineStr">
        <is>
          <t>射击达人</t>
        </is>
      </c>
      <c r="X24" s="20" t="inlineStr">
        <is>
          <t>—</t>
        </is>
      </c>
      <c r="Y24" s="20" t="inlineStr">
        <is>
          <t>—</t>
        </is>
      </c>
      <c r="Z24" s="20" t="inlineStr">
        <is>
          <t>—</t>
        </is>
      </c>
      <c r="AA24" s="20" t="inlineStr">
        <is>
          <t>—</t>
        </is>
      </c>
      <c r="AB24" s="20" t="n"/>
    </row>
    <row r="25">
      <c r="A25" s="15" t="n">
        <v>23</v>
      </c>
      <c r="B25" s="15" t="inlineStr">
        <is>
          <t>上级职</t>
        </is>
      </c>
      <c r="C25" s="15" t="inlineStr">
        <is>
          <t>神金骑士</t>
        </is>
      </c>
      <c r="D25" s="5" t="n">
        <v>35</v>
      </c>
      <c r="E25" s="5" t="inlineStr">
        <is>
          <t>是</t>
        </is>
      </c>
      <c r="F25" s="19" t="n">
        <v>10</v>
      </c>
      <c r="G25" s="19" t="n">
        <v>5</v>
      </c>
      <c r="H25" s="19" t="n">
        <v>0</v>
      </c>
      <c r="I25" s="19" t="n">
        <v>10</v>
      </c>
      <c r="J25" s="19" t="n">
        <v>10</v>
      </c>
      <c r="K25" s="19" t="n">
        <v>5</v>
      </c>
      <c r="L25" s="19" t="n">
        <v>5</v>
      </c>
      <c r="M25" s="19" t="n">
        <v>5</v>
      </c>
      <c r="N25" s="19" t="n">
        <v>5</v>
      </c>
      <c r="O25" s="20" t="inlineStr">
        <is>
          <t>高级考试票证
推荐等级 35
名声等级 8</t>
        </is>
      </c>
      <c r="P25" s="20" t="inlineStr">
        <is>
          <t>フォレストナイト</t>
        </is>
      </c>
      <c r="Q25" s="20" t="inlineStr">
        <is>
          <t>骑兵</t>
        </is>
      </c>
      <c r="R25" s="20" t="inlineStr">
        <is>
          <t>剑术・弓术・马术</t>
        </is>
      </c>
      <c r="S25" s="15" t="n">
        <v>2</v>
      </c>
      <c r="T25" s="20" t="inlineStr">
        <is>
          <t>马术D、弓术B</t>
        </is>
      </c>
      <c r="U25" s="20" t="inlineStr">
        <is>
          <t>—</t>
        </is>
      </c>
      <c r="V25" s="20" t="inlineStr">
        <is>
          <t>上下坐骑・战技装备+1・弓命中+5</t>
        </is>
      </c>
      <c r="W25" s="20" t="inlineStr">
        <is>
          <t>猎人之眼</t>
        </is>
      </c>
      <c r="X25" s="20" t="inlineStr">
        <is>
          <t>—</t>
        </is>
      </c>
      <c r="Y25" s="20" t="inlineStr">
        <is>
          <t>—</t>
        </is>
      </c>
      <c r="Z25" s="20" t="inlineStr">
        <is>
          <t>—</t>
        </is>
      </c>
      <c r="AA25" s="20" t="inlineStr">
        <is>
          <t>—</t>
        </is>
      </c>
      <c r="AB25" s="20" t="n"/>
    </row>
    <row r="26">
      <c r="A26" s="15" t="n">
        <v>24</v>
      </c>
      <c r="B26" s="15" t="inlineStr">
        <is>
          <t>上级职</t>
        </is>
      </c>
      <c r="C26" s="15" t="inlineStr">
        <is>
          <t>巨重甲骑士</t>
        </is>
      </c>
      <c r="D26" s="5" t="n">
        <v>35</v>
      </c>
      <c r="E26" s="5" t="inlineStr">
        <is>
          <t>是</t>
        </is>
      </c>
      <c r="F26" s="19" t="n">
        <v>15</v>
      </c>
      <c r="G26" s="19" t="n">
        <v>15</v>
      </c>
      <c r="H26" s="19" t="n">
        <v>-5</v>
      </c>
      <c r="I26" s="19" t="n">
        <v>-10</v>
      </c>
      <c r="J26" s="19" t="n">
        <v>5</v>
      </c>
      <c r="K26" s="19" t="n">
        <v>30</v>
      </c>
      <c r="L26" s="19" t="n">
        <v>-10</v>
      </c>
      <c r="M26" s="19" t="n">
        <v>10</v>
      </c>
      <c r="N26" s="19" t="n">
        <v>5</v>
      </c>
      <c r="O26" s="20" t="inlineStr">
        <is>
          <t>高级考试票证
推荐等级 35
名声等级 8</t>
        </is>
      </c>
      <c r="P26" s="20" t="inlineStr">
        <is>
          <t>ヘヴィアーマー</t>
        </is>
      </c>
      <c r="Q26" s="20" t="inlineStr">
        <is>
          <t>步兵・重装</t>
        </is>
      </c>
      <c r="R26" s="20" t="inlineStr">
        <is>
          <t>枪术・斧术・步兵术・重装术</t>
        </is>
      </c>
      <c r="S26" s="15" t="n">
        <v>0</v>
      </c>
      <c r="T26" s="20" t="inlineStr">
        <is>
          <t>重装术D</t>
        </is>
      </c>
      <c r="U26" s="20" t="inlineStr">
        <is>
          <t>斧术B、枪术B</t>
        </is>
      </c>
      <c r="V26" s="20" t="inlineStr">
        <is>
          <t>战技装备+2・后攻守备+5</t>
        </is>
      </c>
      <c r="W26" s="20" t="inlineStr">
        <is>
          <t>集中反击</t>
        </is>
      </c>
      <c r="X26" s="20" t="inlineStr">
        <is>
          <t>—</t>
        </is>
      </c>
      <c r="Y26" s="20" t="inlineStr">
        <is>
          <t>—</t>
        </is>
      </c>
      <c r="Z26" s="20" t="inlineStr">
        <is>
          <t>—</t>
        </is>
      </c>
      <c r="AA26" s="20" t="inlineStr">
        <is>
          <t>身披坚固铠甲的重装步兵，以厚装甲承受敌方攻击，成为守护同伴的壁垒。</t>
        </is>
      </c>
      <c r="AB26" s="20" t="n"/>
    </row>
    <row r="27">
      <c r="A27" s="15" t="n">
        <v>25</v>
      </c>
      <c r="B27" s="15" t="inlineStr">
        <is>
          <t>上级职</t>
        </is>
      </c>
      <c r="C27" s="15" t="inlineStr">
        <is>
          <t>荣光骑士</t>
        </is>
      </c>
      <c r="D27" s="5" t="n">
        <v>35</v>
      </c>
      <c r="E27" s="5" t="inlineStr">
        <is>
          <t>是</t>
        </is>
      </c>
      <c r="F27" s="19" t="n">
        <v>10</v>
      </c>
      <c r="G27" s="19" t="n">
        <v>10</v>
      </c>
      <c r="H27" s="19" t="n">
        <v>-5</v>
      </c>
      <c r="I27" s="19" t="n">
        <v>0</v>
      </c>
      <c r="J27" s="19" t="n">
        <v>0</v>
      </c>
      <c r="K27" s="19" t="n">
        <v>5</v>
      </c>
      <c r="L27" s="19" t="n">
        <v>10</v>
      </c>
      <c r="M27" s="19" t="n">
        <v>5</v>
      </c>
      <c r="N27" s="19" t="n">
        <v>10</v>
      </c>
      <c r="O27" s="20" t="inlineStr">
        <is>
          <t>高级考试票证
推荐等级 35
名声等级 8</t>
        </is>
      </c>
      <c r="P27" s="20" t="inlineStr">
        <is>
          <t>バーディンガー</t>
        </is>
      </c>
      <c r="Q27" s="20" t="inlineStr">
        <is>
          <t>骑兵</t>
        </is>
      </c>
      <c r="R27" s="20" t="inlineStr">
        <is>
          <t>剑术・枪术・斧术・马术</t>
        </is>
      </c>
      <c r="S27" s="15" t="n">
        <v>2</v>
      </c>
      <c r="T27" s="20" t="inlineStr">
        <is>
          <t>马术C</t>
        </is>
      </c>
      <c r="U27" s="20" t="inlineStr">
        <is>
          <t>枪术B、剑术B</t>
        </is>
      </c>
      <c r="V27" s="20" t="inlineStr">
        <is>
          <t>上下坐骑・战技装备+2</t>
        </is>
      </c>
      <c r="W27" s="20" t="inlineStr">
        <is>
          <t>圣盾</t>
        </is>
      </c>
      <c r="X27" s="20" t="inlineStr">
        <is>
          <t>—</t>
        </is>
      </c>
      <c r="Y27" s="20" t="inlineStr">
        <is>
          <t>—</t>
        </is>
      </c>
      <c r="Z27" s="20" t="inlineStr">
        <is>
          <t>—</t>
        </is>
      </c>
      <c r="AA27" s="20" t="inlineStr">
        <is>
          <t>娴熟驾驭马匹的精锐骑士，以高机动驰骋战场。</t>
        </is>
      </c>
      <c r="AB27" s="20" t="n"/>
    </row>
    <row r="28">
      <c r="A28" s="15" t="n">
        <v>26</v>
      </c>
      <c r="B28" s="15" t="inlineStr">
        <is>
          <t>上级职</t>
        </is>
      </c>
      <c r="C28" s="15" t="inlineStr">
        <is>
          <t>先知</t>
        </is>
      </c>
      <c r="D28" s="5" t="n">
        <v>35</v>
      </c>
      <c r="E28" s="5" t="inlineStr">
        <is>
          <t>是</t>
        </is>
      </c>
      <c r="F28" s="19" t="n">
        <v>10</v>
      </c>
      <c r="G28" s="19" t="n">
        <v>-5</v>
      </c>
      <c r="H28" s="19" t="n">
        <v>20</v>
      </c>
      <c r="I28" s="19" t="n">
        <v>5</v>
      </c>
      <c r="J28" s="19" t="n">
        <v>15</v>
      </c>
      <c r="K28" s="19" t="n">
        <v>-10</v>
      </c>
      <c r="L28" s="19" t="n">
        <v>15</v>
      </c>
      <c r="M28" s="19" t="n">
        <v>10</v>
      </c>
      <c r="N28" s="19" t="n">
        <v>0</v>
      </c>
      <c r="O28" s="20" t="inlineStr">
        <is>
          <t>高级考试票证
推荐等级 35
名声等级 8</t>
        </is>
      </c>
      <c r="P28" s="20" t="inlineStr">
        <is>
          <t>ウァテス</t>
        </is>
      </c>
      <c r="Q28" s="20" t="inlineStr">
        <is>
          <t>步兵</t>
        </is>
      </c>
      <c r="R28" s="20" t="inlineStr">
        <is>
          <t>剑术・格斗术・白魔法・黑魔法・步兵术</t>
        </is>
      </c>
      <c r="S28" s="15" t="n">
        <v>1</v>
      </c>
      <c r="T28" s="20" t="inlineStr">
        <is>
          <t>黑魔法B</t>
        </is>
      </c>
      <c r="U28" s="20" t="inlineStr">
        <is>
          <t>—</t>
        </is>
      </c>
      <c r="V28" s="20" t="inlineStr">
        <is>
          <t>黑魔法探求・魔法命中+5</t>
        </is>
      </c>
      <c r="W28" s="20" t="inlineStr">
        <is>
          <t>速度束缚</t>
        </is>
      </c>
      <c r="X28" s="20" t="inlineStr">
        <is>
          <t>—</t>
        </is>
      </c>
      <c r="Y28" s="20" t="inlineStr">
        <is>
          <t>—</t>
        </is>
      </c>
      <c r="Z28" s="20" t="inlineStr">
        <is>
          <t>红花</t>
        </is>
      </c>
      <c r="AA28" s="20" t="inlineStr">
        <is>
          <t>使用高等黑魔法的魔道士，巧妙操控攻击魔法，擅长对付重甲敌人。</t>
        </is>
      </c>
      <c r="AB28" s="20" t="n"/>
    </row>
    <row r="29">
      <c r="A29" s="15" t="n">
        <v>27</v>
      </c>
      <c r="B29" s="15" t="inlineStr">
        <is>
          <t>上级职</t>
        </is>
      </c>
      <c r="C29" s="15" t="inlineStr">
        <is>
          <t>主教</t>
        </is>
      </c>
      <c r="D29" s="5" t="n">
        <v>35</v>
      </c>
      <c r="E29" s="5" t="inlineStr">
        <is>
          <t>是</t>
        </is>
      </c>
      <c r="F29" s="19" t="n">
        <v>10</v>
      </c>
      <c r="G29" s="19" t="n">
        <v>-5</v>
      </c>
      <c r="H29" s="19" t="n">
        <v>15</v>
      </c>
      <c r="I29" s="19" t="n">
        <v>0</v>
      </c>
      <c r="J29" s="19" t="n">
        <v>5</v>
      </c>
      <c r="K29" s="19" t="n">
        <v>-10</v>
      </c>
      <c r="L29" s="19" t="n">
        <v>20</v>
      </c>
      <c r="M29" s="19" t="n">
        <v>20</v>
      </c>
      <c r="N29" s="19" t="n">
        <v>10</v>
      </c>
      <c r="O29" s="20" t="inlineStr">
        <is>
          <t>高级考试票证
推荐等级 35
名声等级 8</t>
        </is>
      </c>
      <c r="P29" s="20" t="inlineStr">
        <is>
          <t>ビショップ</t>
        </is>
      </c>
      <c r="Q29" s="20" t="inlineStr">
        <is>
          <t>步兵</t>
        </is>
      </c>
      <c r="R29" s="20" t="inlineStr">
        <is>
          <t>斧术・格斗术・白魔法・黑魔法・步兵术</t>
        </is>
      </c>
      <c r="S29" s="15" t="n">
        <v>1</v>
      </c>
      <c r="T29" s="20" t="inlineStr">
        <is>
          <t>白魔法B</t>
        </is>
      </c>
      <c r="U29" s="20" t="inlineStr">
        <is>
          <t>—</t>
        </is>
      </c>
      <c r="V29" s="20" t="inlineStr">
        <is>
          <t>白魔法探求・魔法回复+10</t>
        </is>
      </c>
      <c r="W29" s="20" t="inlineStr">
        <is>
          <t>结界</t>
        </is>
      </c>
      <c r="X29" s="20" t="inlineStr">
        <is>
          <t>—</t>
        </is>
      </c>
      <c r="Y29" s="20" t="inlineStr">
        <is>
          <t>—</t>
        </is>
      </c>
      <c r="Z29" s="20" t="inlineStr">
        <is>
          <t>特洛亚</t>
        </is>
      </c>
      <c r="AA29" s="20" t="inlineStr">
        <is>
          <t>使用白魔法，擅长以魔法治疗与辅助。</t>
        </is>
      </c>
      <c r="AB29" s="20" t="n"/>
    </row>
    <row r="30">
      <c r="A30" s="15" t="n">
        <v>28</v>
      </c>
      <c r="B30" s="15" t="inlineStr">
        <is>
          <t>上级职</t>
        </is>
      </c>
      <c r="C30" s="15" t="inlineStr">
        <is>
          <t>神鸵兵</t>
        </is>
      </c>
      <c r="D30" s="5" t="n">
        <v>35</v>
      </c>
      <c r="E30" s="5" t="inlineStr">
        <is>
          <t>是</t>
        </is>
      </c>
      <c r="F30" s="19" t="n">
        <v>15</v>
      </c>
      <c r="G30" s="19" t="n">
        <v>10</v>
      </c>
      <c r="H30" s="19" t="n">
        <v>10</v>
      </c>
      <c r="I30" s="19" t="n">
        <v>10</v>
      </c>
      <c r="J30" s="19" t="n">
        <v>5</v>
      </c>
      <c r="K30" s="19" t="n">
        <v>10</v>
      </c>
      <c r="L30" s="19" t="n">
        <v>10</v>
      </c>
      <c r="M30" s="19" t="n">
        <v>5</v>
      </c>
      <c r="N30" s="19" t="n">
        <v>5</v>
      </c>
      <c r="O30" s="20" t="inlineStr">
        <is>
          <t>高级考试票证
推荐等级 35
解放条件：                       凯伊篇：名声Lv.7                                 完成卡斯特尔的委托</t>
        </is>
      </c>
      <c r="P30" s="20" t="inlineStr">
        <is>
          <t>カラドリオス</t>
        </is>
      </c>
      <c r="Q30" s="20" t="inlineStr">
        <is>
          <t>骑兵</t>
        </is>
      </c>
      <c r="R30" s="20" t="inlineStr">
        <is>
          <t>剑术・枪术・斧术・黑魔法・马术・飞行术</t>
        </is>
      </c>
      <c r="S30" s="15" t="n">
        <v>1</v>
      </c>
      <c r="T30" s="20" t="inlineStr">
        <is>
          <t>马术D、黑魔法B</t>
        </is>
      </c>
      <c r="U30" s="20" t="inlineStr">
        <is>
          <t>—</t>
        </is>
      </c>
      <c r="V30" s="20" t="inlineStr">
        <is>
          <t>上下坐骑・黑魔法探求・战技装备+1</t>
        </is>
      </c>
      <c r="W30" s="20" t="inlineStr">
        <is>
          <t>奔驰</t>
        </is>
      </c>
      <c r="X30" s="20" t="inlineStr">
        <is>
          <t>—</t>
        </is>
      </c>
      <c r="Y30" s="20" t="inlineStr">
        <is>
          <t>卡斯托尔※的修行 Lv7「来自父亲的秘密委托」达成</t>
        </is>
      </c>
      <c r="Z30" s="20" t="inlineStr">
        <is>
          <t>—</t>
        </is>
      </c>
      <c r="AA30" s="20" t="inlineStr">
        <is>
          <t>—</t>
        </is>
      </c>
      <c r="AB30" s="20" t="n"/>
    </row>
    <row r="31">
      <c r="A31" s="15" t="n">
        <v>29</v>
      </c>
      <c r="B31" s="15" t="inlineStr">
        <is>
          <t>上级职</t>
        </is>
      </c>
      <c r="C31" s="15" t="inlineStr">
        <is>
          <t>卫士</t>
        </is>
      </c>
      <c r="D31" s="5" t="n">
        <v>35</v>
      </c>
      <c r="E31" s="5" t="inlineStr">
        <is>
          <t>是</t>
        </is>
      </c>
      <c r="F31" s="19" t="n">
        <v>10</v>
      </c>
      <c r="G31" s="19" t="n">
        <v>10</v>
      </c>
      <c r="H31" s="19" t="n">
        <v>0</v>
      </c>
      <c r="I31" s="19" t="n">
        <v>0</v>
      </c>
      <c r="J31" s="19" t="n">
        <v>5</v>
      </c>
      <c r="K31" s="19" t="n">
        <v>10</v>
      </c>
      <c r="L31" s="19" t="n">
        <v>15</v>
      </c>
      <c r="M31" s="19" t="n">
        <v>15</v>
      </c>
      <c r="N31" s="19" t="n">
        <v>5</v>
      </c>
      <c r="O31" s="20" t="inlineStr">
        <is>
          <t>高级考试票证
解放条件：迪托利希篇 名声Lv6 挑战状通关</t>
        </is>
      </c>
      <c r="P31" s="20" t="inlineStr">
        <is>
          <t>ガーディアン</t>
        </is>
      </c>
      <c r="Q31" s="20" t="inlineStr">
        <is>
          <t>步兵</t>
        </is>
      </c>
      <c r="R31" s="20" t="inlineStr">
        <is>
          <t>枪术・白魔法・步兵术</t>
        </is>
      </c>
      <c r="S31" s="15" t="n">
        <v>1</v>
      </c>
      <c r="T31" s="20" t="inlineStr">
        <is>
          <t>枪术B</t>
        </is>
      </c>
      <c r="U31" s="20" t="inlineStr">
        <is>
          <t>—</t>
        </is>
      </c>
      <c r="V31" s="20" t="inlineStr">
        <is>
          <t>战技装备+2・魔法回复+10</t>
        </is>
      </c>
      <c r="W31" s="20" t="inlineStr">
        <is>
          <t>收束</t>
        </is>
      </c>
      <c r="X31" s="20" t="inlineStr">
        <is>
          <t>—</t>
        </is>
      </c>
      <c r="Y31" s="20" t="inlineStr">
        <is>
          <t>迪托利希篇 名声 Lv6 的挑战状达成</t>
        </is>
      </c>
      <c r="Z31" s="20" t="inlineStr">
        <is>
          <t>—</t>
        </is>
      </c>
      <c r="AA31" s="20" t="inlineStr">
        <is>
          <t>精通枪术并能使用白魔法，攻守兼备，擅长均衡的战法。</t>
        </is>
      </c>
      <c r="AB31" s="20" t="n"/>
    </row>
    <row r="32">
      <c r="A32" s="15" t="n">
        <v>30</v>
      </c>
      <c r="B32" s="15" t="inlineStr">
        <is>
          <t>上级职</t>
        </is>
      </c>
      <c r="C32" s="15" t="inlineStr">
        <is>
          <t>舞者</t>
        </is>
      </c>
      <c r="D32" s="5" t="n">
        <v>35</v>
      </c>
      <c r="E32" s="5" t="inlineStr">
        <is>
          <t>否</t>
        </is>
      </c>
      <c r="F32" s="19" t="n">
        <v>15</v>
      </c>
      <c r="G32" s="19" t="n">
        <v>5</v>
      </c>
      <c r="H32" s="19" t="n">
        <v>0</v>
      </c>
      <c r="I32" s="19" t="n">
        <v>25</v>
      </c>
      <c r="J32" s="19" t="n">
        <v>10</v>
      </c>
      <c r="K32" s="19" t="n">
        <v>0</v>
      </c>
      <c r="L32" s="19" t="n">
        <v>5</v>
      </c>
      <c r="M32" s="19" t="n">
        <v>10</v>
      </c>
      <c r="N32" s="19" t="n">
        <v>20</v>
      </c>
      <c r="O32" s="20" t="inlineStr">
        <is>
          <t>解放条件：第1部9章 蕾达转职为「舞者」时解锁</t>
        </is>
      </c>
      <c r="P32" s="20" t="inlineStr">
        <is>
          <t>踊り子</t>
        </is>
      </c>
      <c r="Q32" s="20" t="inlineStr">
        <is>
          <t>步兵</t>
        </is>
      </c>
      <c r="R32" s="20" t="inlineStr">
        <is>
          <t>剑术・弓术・步兵术</t>
        </is>
      </c>
      <c r="S32" s="15" t="n">
        <v>1</v>
      </c>
      <c r="T32" s="20" t="inlineStr">
        <is>
          <t>—</t>
        </is>
      </c>
      <c r="U32" s="20" t="inlineStr">
        <is>
          <t>弓术B、剑术B</t>
        </is>
      </c>
      <c r="V32" s="20" t="inlineStr">
        <is>
          <t>战技装备+2・起舞</t>
        </is>
      </c>
      <c r="W32" s="20" t="inlineStr">
        <is>
          <t>特别之舞</t>
        </is>
      </c>
      <c r="X32" s="20" t="inlineStr">
        <is>
          <t>—</t>
        </is>
      </c>
      <c r="Y32" s="20" t="inlineStr">
        <is>
          <t>第 1 部 9 章为蕾达解锁「舞者」</t>
        </is>
      </c>
      <c r="Z32" s="20" t="inlineStr">
        <is>
          <t>蕾达</t>
        </is>
      </c>
      <c r="AA32" s="20" t="inlineStr">
        <is>
          <t>特殊兵种（蕾达篇第 1 部 9 章解放）。</t>
        </is>
      </c>
      <c r="AB32" s="20" t="n"/>
    </row>
    <row r="33">
      <c r="A33" s="15" t="n">
        <v>31</v>
      </c>
      <c r="B33" s="15" t="inlineStr">
        <is>
          <t>上级职</t>
        </is>
      </c>
      <c r="C33" s="15" t="inlineStr">
        <is>
          <t>龙骑士</t>
        </is>
      </c>
      <c r="D33" s="5" t="n">
        <v>35</v>
      </c>
      <c r="E33" s="5" t="inlineStr">
        <is>
          <t>是</t>
        </is>
      </c>
      <c r="F33" s="19" t="n">
        <v>15</v>
      </c>
      <c r="G33" s="19" t="n">
        <v>5</v>
      </c>
      <c r="H33" s="19" t="n">
        <v>0</v>
      </c>
      <c r="I33" s="19" t="n">
        <v>5</v>
      </c>
      <c r="J33" s="19" t="n">
        <v>0</v>
      </c>
      <c r="K33" s="19" t="n">
        <v>10</v>
      </c>
      <c r="L33" s="19" t="n">
        <v>10</v>
      </c>
      <c r="M33" s="19" t="n">
        <v>10</v>
      </c>
      <c r="N33" s="19" t="n">
        <v>5</v>
      </c>
      <c r="O33" s="20" t="inlineStr">
        <is>
          <t>高级考试票证
推荐等级 35
解放条件：凯伊篇：名声Lv.8 完成欧若拉的委托</t>
        </is>
      </c>
      <c r="P33" s="20" t="inlineStr">
        <is>
          <t>ドラグーン</t>
        </is>
      </c>
      <c r="Q33" s="20" t="inlineStr">
        <is>
          <t>飞行</t>
        </is>
      </c>
      <c r="R33" s="20" t="inlineStr">
        <is>
          <t>剑术・枪术・斧术・飞行术</t>
        </is>
      </c>
      <c r="S33" s="15" t="n">
        <v>2</v>
      </c>
      <c r="T33" s="20" t="inlineStr">
        <is>
          <t>飞行术C</t>
        </is>
      </c>
      <c r="U33" s="20" t="inlineStr">
        <is>
          <t>斧术B、枪术B</t>
        </is>
      </c>
      <c r="V33" s="20" t="inlineStr">
        <is>
          <t>上下坐骑・战技装备+1</t>
        </is>
      </c>
      <c r="W33" s="20" t="inlineStr">
        <is>
          <t>破城</t>
        </is>
      </c>
      <c r="X33" s="20" t="inlineStr">
        <is>
          <t>—</t>
        </is>
      </c>
      <c r="Y33" s="20" t="inlineStr">
        <is>
          <t>奥罗拉※的修行 Lv8「来自母亲的特别委托」达成</t>
        </is>
      </c>
      <c r="Z33" s="20" t="inlineStr">
        <is>
          <t>—</t>
        </is>
      </c>
      <c r="AA33" s="20" t="inlineStr">
        <is>
          <t>骑乘巨型生物龙的兵种。</t>
        </is>
      </c>
      <c r="AB33" s="20" t="n"/>
    </row>
    <row r="34">
      <c r="A34" s="15" t="n">
        <v>32</v>
      </c>
      <c r="B34" s="15" t="inlineStr">
        <is>
          <t>上级职</t>
        </is>
      </c>
      <c r="C34" s="15" t="inlineStr">
        <is>
          <t>神官骑士</t>
        </is>
      </c>
      <c r="D34" s="5" t="n">
        <v>35</v>
      </c>
      <c r="E34" s="5" t="inlineStr">
        <is>
          <t>是</t>
        </is>
      </c>
      <c r="F34" s="19" t="n">
        <v>10</v>
      </c>
      <c r="G34" s="19" t="n">
        <v>0</v>
      </c>
      <c r="H34" s="19" t="n">
        <v>15</v>
      </c>
      <c r="I34" s="19" t="n">
        <v>0</v>
      </c>
      <c r="J34" s="19" t="n">
        <v>5</v>
      </c>
      <c r="K34" s="19" t="n">
        <v>5</v>
      </c>
      <c r="L34" s="19" t="n">
        <v>15</v>
      </c>
      <c r="M34" s="19" t="n">
        <v>15</v>
      </c>
      <c r="N34" s="19" t="n">
        <v>10</v>
      </c>
      <c r="O34" s="20" t="inlineStr">
        <is>
          <t>高级考试票证
推荐等级 35
解放条件：凯伊篇：名声Lv.10 完成白发鬼的委托</t>
        </is>
      </c>
      <c r="P34" s="20" t="inlineStr">
        <is>
          <t>トルバドール</t>
        </is>
      </c>
      <c r="Q34" s="20" t="inlineStr">
        <is>
          <t>骑兵</t>
        </is>
      </c>
      <c r="R34" s="20" t="inlineStr">
        <is>
          <t>黑魔法・白魔法・马术</t>
        </is>
      </c>
      <c r="S34" s="15" t="n">
        <v>2</v>
      </c>
      <c r="T34" s="20" t="inlineStr">
        <is>
          <t>马术D</t>
        </is>
      </c>
      <c r="U34" s="20" t="inlineStr">
        <is>
          <t>白魔法B、黑魔法B</t>
        </is>
      </c>
      <c r="V34" s="20" t="inlineStr">
        <is>
          <t>上下坐骑・魔法回复+5</t>
        </is>
      </c>
      <c r="W34" s="20" t="inlineStr">
        <is>
          <t>—</t>
        </is>
      </c>
      <c r="X34" s="20" t="inlineStr">
        <is>
          <t>勇气之咒歌</t>
        </is>
      </c>
      <c r="Y34" s="20" t="inlineStr">
        <is>
          <t>贝特兰※的修行 Lv10「来自白发鬼的委托」达成</t>
        </is>
      </c>
      <c r="Z34" s="20" t="inlineStr">
        <is>
          <t>—</t>
        </is>
      </c>
      <c r="AA34" s="20" t="inlineStr">
        <is>
          <t>—</t>
        </is>
      </c>
      <c r="AB34" s="20" t="n"/>
    </row>
    <row r="35">
      <c r="A35" s="15" t="n">
        <v>33</v>
      </c>
      <c r="B35" s="15" t="inlineStr">
        <is>
          <t>上级职</t>
        </is>
      </c>
      <c r="C35" s="15" t="inlineStr">
        <is>
          <t>甲胄骑兵</t>
        </is>
      </c>
      <c r="D35" s="5" t="n">
        <v>35</v>
      </c>
      <c r="E35" s="5" t="inlineStr">
        <is>
          <t>是</t>
        </is>
      </c>
      <c r="F35" s="19" t="n">
        <v>15</v>
      </c>
      <c r="G35" s="19" t="n">
        <v>15</v>
      </c>
      <c r="H35" s="19" t="n">
        <v>-5</v>
      </c>
      <c r="I35" s="19" t="n">
        <v>-10</v>
      </c>
      <c r="J35" s="19" t="n">
        <v>0</v>
      </c>
      <c r="K35" s="19" t="n">
        <v>10</v>
      </c>
      <c r="L35" s="19" t="n">
        <v>-5</v>
      </c>
      <c r="M35" s="19" t="n">
        <v>0</v>
      </c>
      <c r="N35" s="19" t="n">
        <v>5</v>
      </c>
      <c r="O35" s="20" t="inlineStr">
        <is>
          <t>高级考试票证</t>
        </is>
      </c>
      <c r="P35" s="20" t="inlineStr">
        <is>
          <t>カタフラクト</t>
        </is>
      </c>
      <c r="Q35" s="20" t="inlineStr">
        <is>
          <t>骑兵・重装</t>
        </is>
      </c>
      <c r="R35" s="20" t="inlineStr">
        <is>
          <t>剑术・枪术・斧术・马术・重装术</t>
        </is>
      </c>
      <c r="S35" s="15" t="n">
        <v>1</v>
      </c>
      <c r="T35" s="20" t="inlineStr">
        <is>
          <t>重装术F、马术D</t>
        </is>
      </c>
      <c r="U35" s="20" t="inlineStr">
        <is>
          <t>斧术B、枪术B</t>
        </is>
      </c>
      <c r="V35" s="20" t="inlineStr">
        <is>
          <t>上下坐骑・战技装备+1・后攻守备+3</t>
        </is>
      </c>
      <c r="W35" s="20" t="inlineStr">
        <is>
          <t>大盾</t>
        </is>
      </c>
      <c r="X35" s="20" t="inlineStr">
        <is>
          <t>—</t>
        </is>
      </c>
      <c r="Y35" s="20" t="inlineStr">
        <is>
          <t>—</t>
        </is>
      </c>
      <c r="Z35" s="20" t="inlineStr">
        <is>
          <t>—</t>
        </is>
      </c>
      <c r="AA35" s="20" t="inlineStr">
        <is>
          <t>兼具马匹的机动与重装兵的防御，机动与防守俱佳的兵种。</t>
        </is>
      </c>
      <c r="AB35" s="20" t="n"/>
    </row>
    <row r="36">
      <c r="A36" s="15" t="n">
        <v>34</v>
      </c>
      <c r="B36" s="15" t="inlineStr">
        <is>
          <t>上级职</t>
        </is>
      </c>
      <c r="C36" s="15" t="inlineStr">
        <is>
          <t>游侠</t>
        </is>
      </c>
      <c r="D36" s="5" t="n">
        <v>35</v>
      </c>
      <c r="E36" s="5" t="inlineStr">
        <is>
          <t>是</t>
        </is>
      </c>
      <c r="F36" s="19" t="n">
        <v>10</v>
      </c>
      <c r="G36" s="19" t="n">
        <v>5</v>
      </c>
      <c r="H36" s="19" t="n">
        <v>0</v>
      </c>
      <c r="I36" s="19" t="n">
        <v>15</v>
      </c>
      <c r="J36" s="19" t="n">
        <v>15</v>
      </c>
      <c r="K36" s="19" t="n">
        <v>0</v>
      </c>
      <c r="L36" s="19" t="n">
        <v>10</v>
      </c>
      <c r="M36" s="19" t="n">
        <v>15</v>
      </c>
      <c r="N36" s="19" t="n">
        <v>0</v>
      </c>
      <c r="O36" s="20" t="inlineStr">
        <is>
          <t>高级考试票证</t>
        </is>
      </c>
      <c r="P36" s="20" t="inlineStr">
        <is>
          <t>レンジャー</t>
        </is>
      </c>
      <c r="Q36" s="20" t="inlineStr">
        <is>
          <t>步兵</t>
        </is>
      </c>
      <c r="R36" s="20" t="inlineStr">
        <is>
          <t>剑术・弓术・步兵术</t>
        </is>
      </c>
      <c r="S36" s="15" t="n">
        <v>1</v>
      </c>
      <c r="T36" s="20" t="inlineStr">
        <is>
          <t>—</t>
        </is>
      </c>
      <c r="U36" s="20" t="inlineStr">
        <is>
          <t>弓术B、剑术B</t>
        </is>
      </c>
      <c r="V36" s="20" t="inlineStr">
        <is>
          <t>战技装备+2・开锁・上级探索术</t>
        </is>
      </c>
      <c r="W36" s="20" t="inlineStr">
        <is>
          <t>反击射击</t>
        </is>
      </c>
      <c r="X36" s="20" t="inlineStr">
        <is>
          <t>—</t>
        </is>
      </c>
      <c r="Y36" s="20" t="inlineStr">
        <is>
          <t>—</t>
        </is>
      </c>
      <c r="Z36" s="20" t="inlineStr">
        <is>
          <t>—</t>
        </is>
      </c>
      <c r="AA36" s="20" t="inlineStr">
        <is>
          <t>—</t>
        </is>
      </c>
      <c r="AB36" s="20" t="n"/>
    </row>
    <row r="37">
      <c r="A37" s="15" t="n">
        <v>35</v>
      </c>
      <c r="B37" s="15" t="inlineStr">
        <is>
          <t>上级职</t>
        </is>
      </c>
      <c r="C37" s="15" t="inlineStr">
        <is>
          <t>战象兵</t>
        </is>
      </c>
      <c r="D37" s="5" t="n">
        <v>35</v>
      </c>
      <c r="E37" s="5" t="inlineStr">
        <is>
          <t>是</t>
        </is>
      </c>
      <c r="F37" s="19" t="n">
        <v>20</v>
      </c>
      <c r="G37" s="19" t="n">
        <v>10</v>
      </c>
      <c r="H37" s="19" t="n">
        <v>-5</v>
      </c>
      <c r="I37" s="19" t="n">
        <v>-10</v>
      </c>
      <c r="J37" s="19" t="n">
        <v>20</v>
      </c>
      <c r="K37" s="19" t="n">
        <v>15</v>
      </c>
      <c r="L37" s="19" t="n">
        <v>-5</v>
      </c>
      <c r="M37" s="19" t="n">
        <v>5</v>
      </c>
      <c r="N37" s="19" t="n">
        <v>10</v>
      </c>
      <c r="O37" s="20" t="inlineStr">
        <is>
          <t>高级考试票证
推荐等级 35
解放条件：救世篇第1区分通关</t>
        </is>
      </c>
      <c r="P37" s="20" t="inlineStr">
        <is>
          <t>戦象兵</t>
        </is>
      </c>
      <c r="Q37" s="20" t="inlineStr">
        <is>
          <t>骑兵</t>
        </is>
      </c>
      <c r="R37" s="20" t="inlineStr">
        <is>
          <t>马术</t>
        </is>
      </c>
      <c r="S37" s="15" t="n">
        <v>1</v>
      </c>
      <c r="T37" s="20" t="inlineStr">
        <is>
          <t>马术C</t>
        </is>
      </c>
      <c r="U37" s="20" t="inlineStr">
        <is>
          <t>—</t>
        </is>
      </c>
      <c r="V37" s="20" t="inlineStr">
        <is>
          <t>战象装脚・战象兵战术・战象兵之道</t>
        </is>
      </c>
      <c r="W37" s="20" t="inlineStr">
        <is>
          <t>战象旗手</t>
        </is>
      </c>
      <c r="X37" s="20" t="inlineStr">
        <is>
          <t>—</t>
        </is>
      </c>
      <c r="Y37" s="20" t="inlineStr">
        <is>
          <t>—</t>
        </is>
      </c>
      <c r="Z37" s="20" t="inlineStr">
        <is>
          <t>—</t>
        </is>
      </c>
      <c r="AA37" s="20" t="inlineStr">
        <is>
          <t>骑乘巨型生物战象、力量强大的兵种。</t>
        </is>
      </c>
      <c r="AB37" s="20" t="n"/>
    </row>
    <row r="38">
      <c r="A38" s="15" t="n">
        <v>36</v>
      </c>
      <c r="B38" s="15" t="inlineStr">
        <is>
          <t>最上级职</t>
        </is>
      </c>
      <c r="C38" s="15" t="inlineStr">
        <is>
          <t>战斗将领</t>
        </is>
      </c>
      <c r="D38" s="5" t="n">
        <v>45</v>
      </c>
      <c r="E38" s="5" t="inlineStr">
        <is>
          <t>是</t>
        </is>
      </c>
      <c r="F38" s="19" t="n">
        <v>25</v>
      </c>
      <c r="G38" s="19" t="n">
        <v>25</v>
      </c>
      <c r="H38" s="19" t="n">
        <v>-5</v>
      </c>
      <c r="I38" s="19" t="n">
        <v>5</v>
      </c>
      <c r="J38" s="19" t="n">
        <v>-5</v>
      </c>
      <c r="K38" s="19" t="n">
        <v>10</v>
      </c>
      <c r="L38" s="19" t="n">
        <v>-5</v>
      </c>
      <c r="M38" s="19" t="n">
        <v>-5</v>
      </c>
      <c r="N38" s="19" t="n">
        <v>5</v>
      </c>
      <c r="O38" s="20" t="inlineStr">
        <is>
          <t>推荐等级 45
解放条件：救世篇第1区分通关</t>
        </is>
      </c>
      <c r="P38" s="20" t="inlineStr">
        <is>
          <t>バトルマスター</t>
        </is>
      </c>
      <c r="Q38" s="20" t="inlineStr">
        <is>
          <t>步兵</t>
        </is>
      </c>
      <c r="R38" s="20" t="inlineStr">
        <is>
          <t>剑术・斧术・格斗术・步兵术</t>
        </is>
      </c>
      <c r="S38" s="15" t="n">
        <v>1</v>
      </c>
      <c r="T38" s="20" t="inlineStr">
        <is>
          <t>—</t>
        </is>
      </c>
      <c r="U38" s="20" t="inlineStr">
        <is>
          <t>格斗术A、斧术A、剑术A</t>
        </is>
      </c>
      <c r="V38" s="20" t="inlineStr">
        <is>
          <t>战技装备+3・斧命中+7・格斗命中+7</t>
        </is>
      </c>
      <c r="W38" s="20" t="inlineStr">
        <is>
          <t>—</t>
        </is>
      </c>
      <c r="X38" s="20" t="inlineStr">
        <is>
          <t>战鬼一击</t>
        </is>
      </c>
      <c r="Y38" s="20" t="inlineStr">
        <is>
          <t>—</t>
        </is>
      </c>
      <c r="Z38" s="20" t="inlineStr">
        <is>
          <t>—</t>
        </is>
      </c>
      <c r="AA38" s="20" t="inlineStr">
        <is>
          <t>—</t>
        </is>
      </c>
      <c r="AB38" s="20" t="n"/>
    </row>
    <row r="39">
      <c r="A39" s="15" t="n">
        <v>37</v>
      </c>
      <c r="B39" s="15" t="inlineStr">
        <is>
          <t>最上级职</t>
        </is>
      </c>
      <c r="C39" s="15" t="inlineStr">
        <is>
          <t>宗师射手</t>
        </is>
      </c>
      <c r="D39" s="5" t="n">
        <v>45</v>
      </c>
      <c r="E39" s="5" t="inlineStr">
        <is>
          <t>是</t>
        </is>
      </c>
      <c r="F39" s="19" t="n">
        <v>15</v>
      </c>
      <c r="G39" s="19" t="n">
        <v>5</v>
      </c>
      <c r="H39" s="19" t="n">
        <v>0</v>
      </c>
      <c r="I39" s="19" t="n">
        <v>15</v>
      </c>
      <c r="J39" s="19" t="n">
        <v>20</v>
      </c>
      <c r="K39" s="19" t="n">
        <v>5</v>
      </c>
      <c r="L39" s="19" t="n">
        <v>5</v>
      </c>
      <c r="M39" s="19" t="n">
        <v>5</v>
      </c>
      <c r="N39" s="19" t="n">
        <v>5</v>
      </c>
      <c r="O39" s="20" t="inlineStr">
        <is>
          <t>推荐等级 45
解放条件：救世篇第1区分通关</t>
        </is>
      </c>
      <c r="P39" s="20" t="inlineStr">
        <is>
          <t>マスターアーチ</t>
        </is>
      </c>
      <c r="Q39" s="20" t="inlineStr">
        <is>
          <t>步兵</t>
        </is>
      </c>
      <c r="R39" s="20" t="inlineStr">
        <is>
          <t>弓术・步兵术</t>
        </is>
      </c>
      <c r="S39" s="15" t="n">
        <v>1</v>
      </c>
      <c r="T39" s="20" t="inlineStr">
        <is>
          <t>弓术A</t>
        </is>
      </c>
      <c r="U39" s="20" t="inlineStr">
        <is>
          <t>—</t>
        </is>
      </c>
      <c r="V39" s="20" t="inlineStr">
        <is>
          <t>战技装备+3・弓命中+15</t>
        </is>
      </c>
      <c r="W39" s="20" t="inlineStr">
        <is>
          <t>—</t>
        </is>
      </c>
      <c r="X39" s="20" t="inlineStr">
        <is>
          <t>天空猎手</t>
        </is>
      </c>
      <c r="Y39" s="20" t="inlineStr">
        <is>
          <t>—</t>
        </is>
      </c>
      <c r="Z39" s="20" t="inlineStr">
        <is>
          <t>—</t>
        </is>
      </c>
      <c r="AA39" s="20" t="inlineStr">
        <is>
          <t>—</t>
        </is>
      </c>
      <c r="AB39" s="20" t="n"/>
    </row>
    <row r="40">
      <c r="A40" s="15" t="n">
        <v>38</v>
      </c>
      <c r="B40" s="15" t="inlineStr">
        <is>
          <t>最上级职</t>
        </is>
      </c>
      <c r="C40" s="15" t="inlineStr">
        <is>
          <t>探影者</t>
        </is>
      </c>
      <c r="D40" s="5" t="n">
        <v>45</v>
      </c>
      <c r="E40" s="5" t="inlineStr">
        <is>
          <t>是</t>
        </is>
      </c>
      <c r="F40" s="19" t="n">
        <v>15</v>
      </c>
      <c r="G40" s="19" t="n">
        <v>5</v>
      </c>
      <c r="H40" s="19" t="n">
        <v>0</v>
      </c>
      <c r="I40" s="19" t="n">
        <v>25</v>
      </c>
      <c r="J40" s="19" t="n">
        <v>15</v>
      </c>
      <c r="K40" s="19" t="n">
        <v>0</v>
      </c>
      <c r="L40" s="19" t="n">
        <v>10</v>
      </c>
      <c r="M40" s="19" t="n">
        <v>15</v>
      </c>
      <c r="N40" s="19" t="n">
        <v>0</v>
      </c>
      <c r="O40" s="20" t="inlineStr">
        <is>
          <t>推荐等级 45
解放条件：救世篇第1区分通关</t>
        </is>
      </c>
      <c r="P40" s="20" t="inlineStr">
        <is>
          <t>シャドウシーカー</t>
        </is>
      </c>
      <c r="Q40" s="20" t="inlineStr">
        <is>
          <t>步兵</t>
        </is>
      </c>
      <c r="R40" s="20" t="inlineStr">
        <is>
          <t>剑术・弓术・步兵术</t>
        </is>
      </c>
      <c r="S40" s="15" t="n">
        <v>1</v>
      </c>
      <c r="T40" s="20" t="inlineStr">
        <is>
          <t>—</t>
        </is>
      </c>
      <c r="U40" s="20" t="inlineStr">
        <is>
          <t>弓术A、剑术A</t>
        </is>
      </c>
      <c r="V40" s="20" t="inlineStr">
        <is>
          <t>战技装备+3・开锁・最上级探索术</t>
        </is>
      </c>
      <c r="W40" s="20" t="inlineStr">
        <is>
          <t>—</t>
        </is>
      </c>
      <c r="X40" s="20" t="inlineStr">
        <is>
          <t>落影之刃</t>
        </is>
      </c>
      <c r="Y40" s="20" t="inlineStr">
        <is>
          <t>—</t>
        </is>
      </c>
      <c r="Z40" s="20" t="inlineStr">
        <is>
          <t>—</t>
        </is>
      </c>
      <c r="AA40" s="20" t="inlineStr">
        <is>
          <t>—</t>
        </is>
      </c>
      <c r="AB40" s="20" t="n"/>
    </row>
    <row r="41">
      <c r="A41" s="15" t="n">
        <v>39</v>
      </c>
      <c r="B41" s="15" t="inlineStr">
        <is>
          <t>最上级职</t>
        </is>
      </c>
      <c r="C41" s="15" t="inlineStr">
        <is>
          <t>圣枪师</t>
        </is>
      </c>
      <c r="D41" s="5" t="n">
        <v>45</v>
      </c>
      <c r="E41" s="5" t="inlineStr">
        <is>
          <t>是</t>
        </is>
      </c>
      <c r="F41" s="19" t="n">
        <v>15</v>
      </c>
      <c r="G41" s="19" t="n">
        <v>15</v>
      </c>
      <c r="H41" s="19" t="n">
        <v>0</v>
      </c>
      <c r="I41" s="19" t="n">
        <v>5</v>
      </c>
      <c r="J41" s="19" t="n">
        <v>5</v>
      </c>
      <c r="K41" s="19" t="n">
        <v>10</v>
      </c>
      <c r="L41" s="19" t="n">
        <v>15</v>
      </c>
      <c r="M41" s="19" t="n">
        <v>5</v>
      </c>
      <c r="N41" s="19" t="n">
        <v>5</v>
      </c>
      <c r="O41" s="20" t="inlineStr">
        <is>
          <t>推荐等级 45
解放条件：救世篇第1区分通关</t>
        </is>
      </c>
      <c r="P41" s="20" t="inlineStr">
        <is>
          <t>ホーリーランサー</t>
        </is>
      </c>
      <c r="Q41" s="20" t="inlineStr">
        <is>
          <t>步兵</t>
        </is>
      </c>
      <c r="R41" s="20" t="inlineStr">
        <is>
          <t>枪术・白魔法・步兵术</t>
        </is>
      </c>
      <c r="S41" s="15" t="n">
        <v>1</v>
      </c>
      <c r="T41" s="20" t="inlineStr">
        <is>
          <t>枪术A</t>
        </is>
      </c>
      <c r="U41" s="20" t="inlineStr">
        <is>
          <t>—</t>
        </is>
      </c>
      <c r="V41" s="20" t="inlineStr">
        <is>
          <t>战技装备+3・魔法回复+10・白魔法探求</t>
        </is>
      </c>
      <c r="W41" s="20" t="inlineStr">
        <is>
          <t>不退架势</t>
        </is>
      </c>
      <c r="X41" s="20" t="inlineStr">
        <is>
          <t>—</t>
        </is>
      </c>
      <c r="Y41" s="20" t="inlineStr">
        <is>
          <t>—</t>
        </is>
      </c>
      <c r="Z41" s="20" t="inlineStr">
        <is>
          <t>—</t>
        </is>
      </c>
      <c r="AA41" s="20" t="inlineStr">
        <is>
          <t>—</t>
        </is>
      </c>
      <c r="AB41" s="20" t="n"/>
    </row>
    <row r="42">
      <c r="A42" s="15" t="n">
        <v>40</v>
      </c>
      <c r="B42" s="15" t="inlineStr">
        <is>
          <t>最上级职</t>
        </is>
      </c>
      <c r="C42" s="15" t="inlineStr">
        <is>
          <t>要塞</t>
        </is>
      </c>
      <c r="D42" s="5" t="n">
        <v>45</v>
      </c>
      <c r="E42" s="5" t="inlineStr">
        <is>
          <t>是</t>
        </is>
      </c>
      <c r="F42" s="19" t="n">
        <v>25</v>
      </c>
      <c r="G42" s="19" t="n">
        <v>20</v>
      </c>
      <c r="H42" s="19" t="n">
        <v>-5</v>
      </c>
      <c r="I42" s="19" t="n">
        <v>-15</v>
      </c>
      <c r="J42" s="19" t="n">
        <v>5</v>
      </c>
      <c r="K42" s="19" t="n">
        <v>30</v>
      </c>
      <c r="L42" s="19" t="n">
        <v>-10</v>
      </c>
      <c r="M42" s="19" t="n">
        <v>0</v>
      </c>
      <c r="N42" s="19" t="n">
        <v>5</v>
      </c>
      <c r="O42" s="20" t="inlineStr">
        <is>
          <t>推荐等级 45
解放条件：救世篇第1区分通关</t>
        </is>
      </c>
      <c r="P42" s="20" t="inlineStr">
        <is>
          <t>フォートレス</t>
        </is>
      </c>
      <c r="Q42" s="20" t="inlineStr">
        <is>
          <t>步兵・重装</t>
        </is>
      </c>
      <c r="R42" s="20" t="inlineStr">
        <is>
          <t>枪术・斧术・步兵术・重装术</t>
        </is>
      </c>
      <c r="S42" s="15" t="n">
        <v>0</v>
      </c>
      <c r="T42" s="20" t="inlineStr">
        <is>
          <t>重装术C</t>
        </is>
      </c>
      <c r="U42" s="20" t="inlineStr">
        <is>
          <t>斧术A、枪术A</t>
        </is>
      </c>
      <c r="V42" s="20" t="inlineStr">
        <is>
          <t>战技装备+3・后攻守备+7</t>
        </is>
      </c>
      <c r="W42" s="20" t="inlineStr">
        <is>
          <t>遮断</t>
        </is>
      </c>
      <c r="X42" s="20" t="inlineStr">
        <is>
          <t>—</t>
        </is>
      </c>
      <c r="Y42" s="20" t="inlineStr">
        <is>
          <t>—</t>
        </is>
      </c>
      <c r="Z42" s="20" t="inlineStr">
        <is>
          <t>—</t>
        </is>
      </c>
      <c r="AA42" s="20" t="inlineStr">
        <is>
          <t>—</t>
        </is>
      </c>
      <c r="AB42" s="20" t="n"/>
    </row>
    <row r="43">
      <c r="A43" s="15" t="n">
        <v>41</v>
      </c>
      <c r="B43" s="15" t="inlineStr">
        <is>
          <t>最上级职</t>
        </is>
      </c>
      <c r="C43" s="15" t="inlineStr">
        <is>
          <t>奥利哈铁骑</t>
        </is>
      </c>
      <c r="D43" s="5" t="n">
        <v>45</v>
      </c>
      <c r="E43" s="5" t="inlineStr">
        <is>
          <t>是</t>
        </is>
      </c>
      <c r="F43" s="19" t="n">
        <v>15</v>
      </c>
      <c r="G43" s="19" t="n">
        <v>15</v>
      </c>
      <c r="H43" s="19" t="n">
        <v>-5</v>
      </c>
      <c r="I43" s="19" t="n">
        <v>5</v>
      </c>
      <c r="J43" s="19" t="n">
        <v>0</v>
      </c>
      <c r="K43" s="19" t="n">
        <v>5</v>
      </c>
      <c r="L43" s="19" t="n">
        <v>5</v>
      </c>
      <c r="M43" s="19" t="n">
        <v>5</v>
      </c>
      <c r="N43" s="19" t="n">
        <v>10</v>
      </c>
      <c r="O43" s="20" t="inlineStr">
        <is>
          <t>推荐等级 45
解放条件：救世篇第1区分通关</t>
        </is>
      </c>
      <c r="P43" s="20" t="inlineStr">
        <is>
          <t>オリハルディア</t>
        </is>
      </c>
      <c r="Q43" s="20" t="inlineStr">
        <is>
          <t>骑兵</t>
        </is>
      </c>
      <c r="R43" s="20" t="inlineStr">
        <is>
          <t>剑术・枪术・斧术・马术</t>
        </is>
      </c>
      <c r="S43" s="15" t="n">
        <v>3</v>
      </c>
      <c r="T43" s="20" t="inlineStr">
        <is>
          <t>马术B</t>
        </is>
      </c>
      <c r="U43" s="20" t="inlineStr">
        <is>
          <t>枪术A、剑术A</t>
        </is>
      </c>
      <c r="V43" s="20" t="inlineStr">
        <is>
          <t>上下坐骑・战技装备+3</t>
        </is>
      </c>
      <c r="W43" s="20" t="inlineStr">
        <is>
          <t>—</t>
        </is>
      </c>
      <c r="X43" s="20" t="inlineStr">
        <is>
          <t>骑士烈枪</t>
        </is>
      </c>
      <c r="Y43" s="20" t="inlineStr">
        <is>
          <t>—</t>
        </is>
      </c>
      <c r="Z43" s="20" t="inlineStr">
        <is>
          <t>—</t>
        </is>
      </c>
      <c r="AA43" s="20" t="inlineStr">
        <is>
          <t>—</t>
        </is>
      </c>
      <c r="AB43" s="20" t="n"/>
    </row>
    <row r="44">
      <c r="A44" s="15" t="n">
        <v>42</v>
      </c>
      <c r="B44" s="15" t="inlineStr">
        <is>
          <t>最上级职</t>
        </is>
      </c>
      <c r="C44" s="15" t="inlineStr">
        <is>
          <t>龙骑统领</t>
        </is>
      </c>
      <c r="D44" s="5" t="n">
        <v>45</v>
      </c>
      <c r="E44" s="5" t="inlineStr">
        <is>
          <t>是</t>
        </is>
      </c>
      <c r="F44" s="19" t="n">
        <v>15</v>
      </c>
      <c r="G44" s="19" t="n">
        <v>5</v>
      </c>
      <c r="H44" s="19" t="n">
        <v>0</v>
      </c>
      <c r="I44" s="19" t="n">
        <v>5</v>
      </c>
      <c r="J44" s="19" t="n">
        <v>0</v>
      </c>
      <c r="K44" s="19" t="n">
        <v>10</v>
      </c>
      <c r="L44" s="19" t="n">
        <v>10</v>
      </c>
      <c r="M44" s="19" t="n">
        <v>10</v>
      </c>
      <c r="N44" s="19" t="n">
        <v>5</v>
      </c>
      <c r="O44" s="20" t="inlineStr">
        <is>
          <t>推荐等级 45
解放条件：救世篇第1区分通关</t>
        </is>
      </c>
      <c r="P44" s="20" t="inlineStr">
        <is>
          <t>ドラゴンマスター</t>
        </is>
      </c>
      <c r="Q44" s="20" t="inlineStr">
        <is>
          <t>飞行</t>
        </is>
      </c>
      <c r="R44" s="20" t="inlineStr">
        <is>
          <t>剑术・枪术・斧术・飞行术</t>
        </is>
      </c>
      <c r="S44" s="15" t="n">
        <v>3</v>
      </c>
      <c r="T44" s="20" t="inlineStr">
        <is>
          <t>飞行术C</t>
        </is>
      </c>
      <c r="U44" s="20" t="inlineStr">
        <is>
          <t>斧术A、枪术A</t>
        </is>
      </c>
      <c r="V44" s="20" t="inlineStr">
        <is>
          <t>上下坐骑・战技装备+2</t>
        </is>
      </c>
      <c r="W44" s="20" t="inlineStr">
        <is>
          <t>袭击</t>
        </is>
      </c>
      <c r="X44" s="20" t="inlineStr">
        <is>
          <t>—</t>
        </is>
      </c>
      <c r="Y44" s="20" t="inlineStr">
        <is>
          <t>—</t>
        </is>
      </c>
      <c r="Z44" s="20" t="inlineStr">
        <is>
          <t>—</t>
        </is>
      </c>
      <c r="AA44" s="20" t="inlineStr">
        <is>
          <t>—</t>
        </is>
      </c>
      <c r="AB44" s="20" t="n"/>
    </row>
    <row r="45">
      <c r="A45" s="15" t="n">
        <v>43</v>
      </c>
      <c r="B45" s="15" t="inlineStr">
        <is>
          <t>最上级职</t>
        </is>
      </c>
      <c r="C45" s="15" t="inlineStr">
        <is>
          <t>德鲁伊</t>
        </is>
      </c>
      <c r="D45" s="5" t="n">
        <v>45</v>
      </c>
      <c r="E45" s="5" t="inlineStr">
        <is>
          <t>是</t>
        </is>
      </c>
      <c r="F45" s="19" t="n">
        <v>10</v>
      </c>
      <c r="G45" s="19" t="n">
        <v>-5</v>
      </c>
      <c r="H45" s="19" t="n">
        <v>30</v>
      </c>
      <c r="I45" s="19" t="n">
        <v>10</v>
      </c>
      <c r="J45" s="19" t="n">
        <v>15</v>
      </c>
      <c r="K45" s="19" t="n">
        <v>-10</v>
      </c>
      <c r="L45" s="19" t="n">
        <v>20</v>
      </c>
      <c r="M45" s="19" t="n">
        <v>10</v>
      </c>
      <c r="N45" s="19" t="n">
        <v>0</v>
      </c>
      <c r="O45" s="20" t="inlineStr">
        <is>
          <t>推荐等级 45
解放条件：救世篇第1区分通关</t>
        </is>
      </c>
      <c r="P45" s="20" t="inlineStr">
        <is>
          <t>ドルイド</t>
        </is>
      </c>
      <c r="Q45" s="20" t="inlineStr">
        <is>
          <t>步兵</t>
        </is>
      </c>
      <c r="R45" s="20" t="inlineStr">
        <is>
          <t>剑术・格斗术・黑魔法・步兵术</t>
        </is>
      </c>
      <c r="S45" s="15" t="n">
        <v>1</v>
      </c>
      <c r="T45" s="20" t="inlineStr">
        <is>
          <t>黑魔法A</t>
        </is>
      </c>
      <c r="U45" s="20" t="inlineStr">
        <is>
          <t>—</t>
        </is>
      </c>
      <c r="V45" s="20" t="inlineStr">
        <is>
          <t>黑魔法探求・魔法命中+7</t>
        </is>
      </c>
      <c r="W45" s="20" t="inlineStr">
        <is>
          <t>魔防束缚</t>
        </is>
      </c>
      <c r="X45" s="20" t="inlineStr">
        <is>
          <t>—</t>
        </is>
      </c>
      <c r="Y45" s="20" t="inlineStr">
        <is>
          <t>—</t>
        </is>
      </c>
      <c r="Z45" s="20" t="inlineStr">
        <is>
          <t>—</t>
        </is>
      </c>
      <c r="AA45" s="20" t="inlineStr">
        <is>
          <t>—</t>
        </is>
      </c>
      <c r="AB45" s="20" t="n"/>
    </row>
    <row r="46">
      <c r="A46" s="15" t="n">
        <v>44</v>
      </c>
      <c r="B46" s="15" t="inlineStr">
        <is>
          <t>最上级职</t>
        </is>
      </c>
      <c r="C46" s="15" t="inlineStr">
        <is>
          <t>贤士</t>
        </is>
      </c>
      <c r="D46" s="5" t="n">
        <v>45</v>
      </c>
      <c r="E46" s="5" t="inlineStr">
        <is>
          <t>是</t>
        </is>
      </c>
      <c r="F46" s="19" t="n">
        <v>10</v>
      </c>
      <c r="G46" s="19" t="n">
        <v>-5</v>
      </c>
      <c r="H46" s="19" t="n">
        <v>20</v>
      </c>
      <c r="I46" s="19" t="n">
        <v>5</v>
      </c>
      <c r="J46" s="19" t="n">
        <v>0</v>
      </c>
      <c r="K46" s="19" t="n">
        <v>-10</v>
      </c>
      <c r="L46" s="19" t="n">
        <v>25</v>
      </c>
      <c r="M46" s="19" t="n">
        <v>20</v>
      </c>
      <c r="N46" s="19" t="n">
        <v>10</v>
      </c>
      <c r="O46" s="20" t="n"/>
      <c r="P46" s="20" t="inlineStr">
        <is>
          <t>ワイズマン</t>
        </is>
      </c>
      <c r="Q46" s="20" t="inlineStr">
        <is>
          <t>步兵</t>
        </is>
      </c>
      <c r="R46" s="20" t="inlineStr">
        <is>
          <t>格斗术・白魔法・步兵术</t>
        </is>
      </c>
      <c r="S46" s="15" t="n">
        <v>1</v>
      </c>
      <c r="T46" s="20" t="inlineStr">
        <is>
          <t>白魔法A</t>
        </is>
      </c>
      <c r="U46" s="20" t="inlineStr">
        <is>
          <t>—</t>
        </is>
      </c>
      <c r="V46" s="20" t="inlineStr">
        <is>
          <t>白魔法探求・魔法回复+15</t>
        </is>
      </c>
      <c r="W46" s="20" t="inlineStr">
        <is>
          <t>魔力掌握</t>
        </is>
      </c>
      <c r="X46" s="20" t="inlineStr">
        <is>
          <t>—</t>
        </is>
      </c>
      <c r="Y46" s="20" t="inlineStr">
        <is>
          <t>—</t>
        </is>
      </c>
      <c r="Z46" s="20" t="inlineStr">
        <is>
          <t>—</t>
        </is>
      </c>
      <c r="AA46" s="20" t="inlineStr">
        <is>
          <t>—</t>
        </is>
      </c>
      <c r="AB46" s="20" t="n"/>
    </row>
    <row r="47">
      <c r="A47" s="15" t="n">
        <v>45</v>
      </c>
      <c r="B47" s="15" t="inlineStr">
        <is>
          <t>最上级职</t>
        </is>
      </c>
      <c r="C47" s="15" t="inlineStr">
        <is>
          <t>战斗武僧</t>
        </is>
      </c>
      <c r="D47" s="5" t="n">
        <v>45</v>
      </c>
      <c r="E47" s="5" t="inlineStr">
        <is>
          <t>是</t>
        </is>
      </c>
      <c r="F47" s="19" t="n">
        <v>15</v>
      </c>
      <c r="G47" s="19" t="n">
        <v>10</v>
      </c>
      <c r="H47" s="19" t="n">
        <v>0</v>
      </c>
      <c r="I47" s="19" t="n">
        <v>15</v>
      </c>
      <c r="J47" s="19" t="n">
        <v>0</v>
      </c>
      <c r="K47" s="19" t="n">
        <v>5</v>
      </c>
      <c r="L47" s="19" t="n">
        <v>15</v>
      </c>
      <c r="M47" s="19" t="n">
        <v>5</v>
      </c>
      <c r="N47" s="19" t="n">
        <v>5</v>
      </c>
      <c r="O47" s="20" t="n"/>
      <c r="P47" s="20" t="inlineStr">
        <is>
          <t>バトルモンク</t>
        </is>
      </c>
      <c r="Q47" s="20" t="inlineStr">
        <is>
          <t>步兵</t>
        </is>
      </c>
      <c r="R47" s="20" t="inlineStr">
        <is>
          <t>格斗术・白魔法・步兵术</t>
        </is>
      </c>
      <c r="S47" s="15" t="n">
        <v>1</v>
      </c>
      <c r="T47" s="20" t="inlineStr">
        <is>
          <t>白魔法D、格斗术B</t>
        </is>
      </c>
      <c r="U47" s="20" t="inlineStr">
        <is>
          <t>—</t>
        </is>
      </c>
      <c r="V47" s="20" t="inlineStr">
        <is>
          <t>战技装备+3・白魔法探求・格斗回避+7</t>
        </is>
      </c>
      <c r="W47" s="20" t="inlineStr">
        <is>
          <t>—</t>
        </is>
      </c>
      <c r="X47" s="20" t="inlineStr">
        <is>
          <t>打击与治疗</t>
        </is>
      </c>
      <c r="Y47" s="20" t="inlineStr">
        <is>
          <t>—</t>
        </is>
      </c>
      <c r="Z47" s="20" t="inlineStr">
        <is>
          <t>—</t>
        </is>
      </c>
      <c r="AA47" s="20" t="inlineStr">
        <is>
          <t>胸怀信仰挥拳的武僧，打击力强，同时能使用白魔法。</t>
        </is>
      </c>
      <c r="AB47" s="20" t="n"/>
    </row>
    <row r="48">
      <c r="A48" s="15" t="n">
        <v>46</v>
      </c>
      <c r="B48" s="15" t="inlineStr">
        <is>
          <t>最上级职</t>
        </is>
      </c>
      <c r="C48" s="15" t="inlineStr">
        <is>
          <t>圣天翼兵</t>
        </is>
      </c>
      <c r="D48" s="5" t="n">
        <v>45</v>
      </c>
      <c r="E48" s="5" t="inlineStr">
        <is>
          <t>是</t>
        </is>
      </c>
      <c r="F48" s="19" t="n">
        <v>15</v>
      </c>
      <c r="G48" s="19" t="n">
        <v>5</v>
      </c>
      <c r="H48" s="19" t="n">
        <v>-5</v>
      </c>
      <c r="I48" s="19" t="n">
        <v>10</v>
      </c>
      <c r="J48" s="19" t="n">
        <v>5</v>
      </c>
      <c r="K48" s="19" t="n">
        <v>5</v>
      </c>
      <c r="L48" s="19" t="n">
        <v>15</v>
      </c>
      <c r="M48" s="19" t="n">
        <v>15</v>
      </c>
      <c r="N48" s="19" t="n">
        <v>10</v>
      </c>
      <c r="O48" s="20" t="inlineStr">
        <is>
          <t>推荐等级 45
解放条件：救世篇第1区分通关</t>
        </is>
      </c>
      <c r="P48" s="20" t="inlineStr">
        <is>
          <t>聖天翼兵</t>
        </is>
      </c>
      <c r="Q48" s="20" t="inlineStr">
        <is>
          <t>飞行</t>
        </is>
      </c>
      <c r="R48" s="20" t="inlineStr">
        <is>
          <t>剑术・枪术・飞行术</t>
        </is>
      </c>
      <c r="S48" s="15" t="n">
        <v>3</v>
      </c>
      <c r="T48" s="20" t="inlineStr">
        <is>
          <t>飞行术C</t>
        </is>
      </c>
      <c r="U48" s="20" t="inlineStr">
        <is>
          <t>枪术A、剑术A</t>
        </is>
      </c>
      <c r="V48" s="20" t="inlineStr">
        <is>
          <t>上下坐骑・战技装备+1・飞行次数+7</t>
        </is>
      </c>
      <c r="W48" s="20" t="inlineStr">
        <is>
          <t>迅雷风烈</t>
        </is>
      </c>
      <c r="X48" s="20" t="inlineStr">
        <is>
          <t>—</t>
        </is>
      </c>
      <c r="Y48" s="20" t="inlineStr">
        <is>
          <t>—</t>
        </is>
      </c>
      <c r="Z48" s="20" t="inlineStr">
        <is>
          <t>—</t>
        </is>
      </c>
      <c r="AA48" s="20" t="inlineStr">
        <is>
          <t>—</t>
        </is>
      </c>
      <c r="AB48" s="20" t="n"/>
    </row>
    <row r="49">
      <c r="A49" s="15" t="n">
        <v>47</v>
      </c>
      <c r="B49" s="15" t="inlineStr">
        <is>
          <t>最上级职</t>
        </is>
      </c>
      <c r="C49" s="15" t="inlineStr">
        <is>
          <t>重骑士※</t>
        </is>
      </c>
      <c r="D49" s="5" t="n">
        <v>45</v>
      </c>
      <c r="E49" s="5" t="inlineStr">
        <is>
          <t>是</t>
        </is>
      </c>
      <c r="F49" s="19" t="n">
        <v>20</v>
      </c>
      <c r="G49" s="19" t="n">
        <v>20</v>
      </c>
      <c r="H49" s="19" t="n">
        <v>-5</v>
      </c>
      <c r="I49" s="19" t="n">
        <v>-10</v>
      </c>
      <c r="J49" s="19" t="n">
        <v>0</v>
      </c>
      <c r="K49" s="19" t="n">
        <v>15</v>
      </c>
      <c r="L49" s="19" t="n">
        <v>-10</v>
      </c>
      <c r="M49" s="19" t="n">
        <v>0</v>
      </c>
      <c r="N49" s="19" t="n">
        <v>5</v>
      </c>
      <c r="O49" s="20" t="n"/>
      <c r="P49" s="20" t="inlineStr">
        <is>
          <t>グレートナイト</t>
        </is>
      </c>
      <c r="Q49" s="20" t="inlineStr">
        <is>
          <t>骑兵・重装</t>
        </is>
      </c>
      <c r="R49" s="20" t="inlineStr">
        <is>
          <t>剑术・枪术・斧术・马术・重装术</t>
        </is>
      </c>
      <c r="S49" s="15" t="n">
        <v>2</v>
      </c>
      <c r="T49" s="20" t="inlineStr">
        <is>
          <t>重装术D、马术D</t>
        </is>
      </c>
      <c r="U49" s="20" t="inlineStr">
        <is>
          <t>斧术A、枪术A</t>
        </is>
      </c>
      <c r="V49" s="20" t="inlineStr">
        <is>
          <t>上下坐骑・战技装备+2・后攻守备+5</t>
        </is>
      </c>
      <c r="W49" s="20" t="inlineStr">
        <is>
          <t>猛盾</t>
        </is>
      </c>
      <c r="X49" s="20" t="inlineStr">
        <is>
          <t>—</t>
        </is>
      </c>
      <c r="Y49" s="20" t="inlineStr">
        <is>
          <t>救世篇第 3 章达成委托「克莱尔※的委托」</t>
        </is>
      </c>
      <c r="Z49" s="20" t="inlineStr">
        <is>
          <t>—</t>
        </is>
      </c>
      <c r="AA49" s="20" t="inlineStr">
        <is>
          <t>—</t>
        </is>
      </c>
      <c r="AB49" s="20" t="n"/>
    </row>
    <row r="50">
      <c r="A50" s="15" t="n">
        <v>48</v>
      </c>
      <c r="B50" s="15" t="inlineStr">
        <is>
          <t>最上级职</t>
        </is>
      </c>
      <c r="C50" s="15" t="inlineStr">
        <is>
          <t>剑圣※</t>
        </is>
      </c>
      <c r="D50" s="5" t="n">
        <v>45</v>
      </c>
      <c r="E50" s="5" t="inlineStr">
        <is>
          <t>是</t>
        </is>
      </c>
      <c r="F50" s="19" t="n">
        <v>15</v>
      </c>
      <c r="G50" s="19" t="n">
        <v>10</v>
      </c>
      <c r="H50" s="19" t="n">
        <v>0</v>
      </c>
      <c r="I50" s="19" t="n">
        <v>20</v>
      </c>
      <c r="J50" s="19" t="n">
        <v>15</v>
      </c>
      <c r="K50" s="19" t="n">
        <v>0</v>
      </c>
      <c r="L50" s="19" t="n">
        <v>0</v>
      </c>
      <c r="M50" s="19" t="n">
        <v>5</v>
      </c>
      <c r="N50" s="19" t="n">
        <v>5</v>
      </c>
      <c r="O50" s="20" t="n"/>
      <c r="P50" s="20" t="inlineStr">
        <is>
          <t>ソードマスター</t>
        </is>
      </c>
      <c r="Q50" s="20" t="inlineStr">
        <is>
          <t>步兵</t>
        </is>
      </c>
      <c r="R50" s="20" t="inlineStr">
        <is>
          <t>剑术・枪术・步兵术</t>
        </is>
      </c>
      <c r="S50" s="15" t="n">
        <v>1</v>
      </c>
      <c r="T50" s="20" t="inlineStr">
        <is>
          <t>剑术A</t>
        </is>
      </c>
      <c r="U50" s="20" t="inlineStr">
        <is>
          <t>—</t>
        </is>
      </c>
      <c r="V50" s="20" t="inlineStr">
        <is>
          <t>战技装备+3・剑必杀+7</t>
        </is>
      </c>
      <c r="W50" s="20" t="inlineStr">
        <is>
          <t>—</t>
        </is>
      </c>
      <c r="X50" s="20" t="inlineStr">
        <is>
          <t>流星</t>
        </is>
      </c>
      <c r="Y50" s="20" t="inlineStr">
        <is>
          <t>救世篇第 3 章达成委托「马兹※的委托」</t>
        </is>
      </c>
      <c r="Z50" s="20" t="inlineStr">
        <is>
          <t>—</t>
        </is>
      </c>
      <c r="AA50" s="20" t="inlineStr">
        <is>
          <t>—</t>
        </is>
      </c>
      <c r="AB50" s="20" t="n"/>
    </row>
    <row r="51">
      <c r="A51" s="15" t="n">
        <v>49</v>
      </c>
      <c r="B51" s="15" t="inlineStr">
        <is>
          <t>最上级职</t>
        </is>
      </c>
      <c r="C51" s="15" t="inlineStr">
        <is>
          <t>高等墓志※</t>
        </is>
      </c>
      <c r="D51" s="5" t="n">
        <v>45</v>
      </c>
      <c r="E51" s="5" t="inlineStr">
        <is>
          <t>是</t>
        </is>
      </c>
      <c r="F51" s="19" t="n">
        <v>10</v>
      </c>
      <c r="G51" s="19" t="n">
        <v>15</v>
      </c>
      <c r="H51" s="19" t="n">
        <v>15</v>
      </c>
      <c r="I51" s="19" t="n">
        <v>10</v>
      </c>
      <c r="J51" s="19" t="n">
        <v>5</v>
      </c>
      <c r="K51" s="19" t="n">
        <v>5</v>
      </c>
      <c r="L51" s="19" t="n">
        <v>5</v>
      </c>
      <c r="M51" s="19" t="n">
        <v>5</v>
      </c>
      <c r="N51" s="19" t="n">
        <v>5</v>
      </c>
      <c r="O51" s="20" t="n"/>
      <c r="P51" s="20" t="inlineStr">
        <is>
          <t>ハイエピタフ</t>
        </is>
      </c>
      <c r="Q51" s="20" t="inlineStr">
        <is>
          <t>骑兵</t>
        </is>
      </c>
      <c r="R51" s="20" t="inlineStr">
        <is>
          <t>剑术・黑魔法・马术</t>
        </is>
      </c>
      <c r="S51" s="15" t="n">
        <v>3</v>
      </c>
      <c r="T51" s="20" t="inlineStr">
        <is>
          <t>马术D、黑魔法D、剑术B</t>
        </is>
      </c>
      <c r="U51" s="20" t="inlineStr">
        <is>
          <t>—</t>
        </is>
      </c>
      <c r="V51" s="20" t="inlineStr">
        <is>
          <t>上下坐骑・战技装备+2・黑魔法探求</t>
        </is>
      </c>
      <c r="W51" s="20" t="inlineStr">
        <is>
          <t>暗月</t>
        </is>
      </c>
      <c r="X51" s="20" t="inlineStr">
        <is>
          <t>—</t>
        </is>
      </c>
      <c r="Y51" s="20" t="inlineStr">
        <is>
          <t>救世篇第 3 章达成委托「斯米尔诺斯※的委托」</t>
        </is>
      </c>
      <c r="Z51" s="20" t="inlineStr">
        <is>
          <t>—</t>
        </is>
      </c>
      <c r="AA51" s="20" t="inlineStr">
        <is>
          <t>—</t>
        </is>
      </c>
      <c r="AB51" s="20" t="n"/>
    </row>
    <row r="52">
      <c r="A52" s="15" t="n">
        <v>50</v>
      </c>
      <c r="B52" s="15" t="inlineStr">
        <is>
          <t>最上级职</t>
        </is>
      </c>
      <c r="C52" s="15" t="inlineStr">
        <is>
          <t>弓骑士※</t>
        </is>
      </c>
      <c r="D52" s="5" t="n">
        <v>45</v>
      </c>
      <c r="E52" s="5" t="inlineStr">
        <is>
          <t>是</t>
        </is>
      </c>
      <c r="F52" s="19" t="n">
        <v>10</v>
      </c>
      <c r="G52" s="19" t="n">
        <v>10</v>
      </c>
      <c r="H52" s="19" t="n">
        <v>0</v>
      </c>
      <c r="I52" s="19" t="n">
        <v>15</v>
      </c>
      <c r="J52" s="19" t="n">
        <v>10</v>
      </c>
      <c r="K52" s="19" t="n">
        <v>5</v>
      </c>
      <c r="L52" s="19" t="n">
        <v>0</v>
      </c>
      <c r="M52" s="19" t="n">
        <v>5</v>
      </c>
      <c r="N52" s="19" t="n">
        <v>5</v>
      </c>
      <c r="O52" s="20" t="n"/>
      <c r="P52" s="20" t="inlineStr">
        <is>
          <t>ボウナイト</t>
        </is>
      </c>
      <c r="Q52" s="20" t="inlineStr">
        <is>
          <t>骑兵</t>
        </is>
      </c>
      <c r="R52" s="20" t="inlineStr">
        <is>
          <t>剑术・弓术・马术</t>
        </is>
      </c>
      <c r="S52" s="15" t="n">
        <v>3</v>
      </c>
      <c r="T52" s="20" t="inlineStr">
        <is>
          <t>马术D、弓术A</t>
        </is>
      </c>
      <c r="U52" s="20" t="inlineStr">
        <is>
          <t>—</t>
        </is>
      </c>
      <c r="V52" s="20" t="inlineStr">
        <is>
          <t>上下坐骑・战技装备+2・弓命中+10</t>
        </is>
      </c>
      <c r="W52" s="20" t="inlineStr">
        <is>
          <t>—</t>
        </is>
      </c>
      <c r="X52" s="20" t="inlineStr">
        <is>
          <t>猎人十字</t>
        </is>
      </c>
      <c r="Y52" s="20" t="inlineStr">
        <is>
          <t>救世篇第 3 章达成委托「卡拉※的委托」</t>
        </is>
      </c>
      <c r="Z52" s="20" t="inlineStr">
        <is>
          <t>—</t>
        </is>
      </c>
      <c r="AA52" s="20" t="inlineStr">
        <is>
          <t>—</t>
        </is>
      </c>
      <c r="AB52" s="20" t="n"/>
    </row>
    <row r="53">
      <c r="A53" s="15" t="n">
        <v>51</v>
      </c>
      <c r="B53" s="15" t="inlineStr">
        <is>
          <t>最上级职</t>
        </is>
      </c>
      <c r="C53" s="15" t="inlineStr">
        <is>
          <t>瓦尔基里姆※</t>
        </is>
      </c>
      <c r="D53" s="5" t="n">
        <v>45</v>
      </c>
      <c r="E53" s="5" t="inlineStr">
        <is>
          <t>是</t>
        </is>
      </c>
      <c r="F53" s="19" t="n">
        <v>10</v>
      </c>
      <c r="G53" s="19" t="n">
        <v>0</v>
      </c>
      <c r="H53" s="19" t="n">
        <v>15</v>
      </c>
      <c r="I53" s="19" t="n">
        <v>5</v>
      </c>
      <c r="J53" s="19" t="n">
        <v>5</v>
      </c>
      <c r="K53" s="19" t="n">
        <v>5</v>
      </c>
      <c r="L53" s="19" t="n">
        <v>10</v>
      </c>
      <c r="M53" s="19" t="n">
        <v>15</v>
      </c>
      <c r="N53" s="19" t="n">
        <v>10</v>
      </c>
      <c r="O53" s="20" t="n"/>
      <c r="P53" s="20" t="inlineStr">
        <is>
          <t>ヴァルキュリウム</t>
        </is>
      </c>
      <c r="Q53" s="20" t="inlineStr">
        <is>
          <t>骑兵</t>
        </is>
      </c>
      <c r="R53" s="20" t="inlineStr">
        <is>
          <t>黑魔法・白魔法・马术</t>
        </is>
      </c>
      <c r="S53" s="15" t="n">
        <v>3</v>
      </c>
      <c r="T53" s="20" t="inlineStr">
        <is>
          <t>马术D</t>
        </is>
      </c>
      <c r="U53" s="20" t="inlineStr">
        <is>
          <t>白魔法A、黑魔法A</t>
        </is>
      </c>
      <c r="V53" s="20" t="inlineStr">
        <is>
          <t>上下坐骑・魔法回复+10・魔法命中+5</t>
        </is>
      </c>
      <c r="W53" s="20" t="inlineStr">
        <is>
          <t>—</t>
        </is>
      </c>
      <c r="X53" s="20" t="inlineStr">
        <is>
          <t>静心咒歌</t>
        </is>
      </c>
      <c r="Y53" s="20" t="inlineStr">
        <is>
          <t>救世篇第 3 章达成委托「朱拉※的委托」</t>
        </is>
      </c>
      <c r="Z53" s="20" t="inlineStr">
        <is>
          <t>—</t>
        </is>
      </c>
      <c r="AA53" s="20" t="inlineStr">
        <is>
          <t>—</t>
        </is>
      </c>
      <c r="AB53" s="20" t="n"/>
    </row>
    <row r="54">
      <c r="A54" s="15" t="n">
        <v>52</v>
      </c>
      <c r="B54" s="15" t="inlineStr">
        <is>
          <t>神将职</t>
        </is>
      </c>
      <c r="C54" s="15" t="inlineStr">
        <is>
          <t>剑神将※</t>
        </is>
      </c>
      <c r="D54" s="5" t="n">
        <v>45</v>
      </c>
      <c r="E54" s="5" t="inlineStr">
        <is>
          <t>是</t>
        </is>
      </c>
      <c r="F54" s="19" t="n">
        <v>15</v>
      </c>
      <c r="G54" s="19" t="n">
        <v>10</v>
      </c>
      <c r="H54" s="19" t="n">
        <v>10</v>
      </c>
      <c r="I54" s="19" t="n">
        <v>20</v>
      </c>
      <c r="J54" s="19" t="n">
        <v>20</v>
      </c>
      <c r="K54" s="19" t="n">
        <v>5</v>
      </c>
      <c r="L54" s="19" t="n">
        <v>5</v>
      </c>
      <c r="M54" s="19" t="n">
        <v>5</v>
      </c>
      <c r="N54" s="19" t="n">
        <v>10</v>
      </c>
      <c r="O54" s="20" t="n"/>
      <c r="P54" s="20" t="inlineStr">
        <is>
          <t>ザ・ブレイド</t>
        </is>
      </c>
      <c r="Q54" s="20" t="inlineStr">
        <is>
          <t>步兵</t>
        </is>
      </c>
      <c r="R54" s="20" t="inlineStr">
        <is>
          <t>剑术・枪术・步兵术</t>
        </is>
      </c>
      <c r="S54" s="15" t="n">
        <v>2</v>
      </c>
      <c r="T54" s="20" t="inlineStr">
        <is>
          <t>剑术S</t>
        </is>
      </c>
      <c r="U54" s="20" t="inlineStr">
        <is>
          <t>—</t>
        </is>
      </c>
      <c r="V54" s="20" t="inlineStr">
        <is>
          <t>战技装备+3・剑必杀+10</t>
        </is>
      </c>
      <c r="W54" s="20" t="inlineStr">
        <is>
          <t>战神</t>
        </is>
      </c>
      <c r="X54" s="20" t="inlineStr">
        <is>
          <t>—</t>
        </is>
      </c>
      <c r="Y54" s="20" t="inlineStr">
        <is>
          <t>天冠神殿※・歪形之间取得「神将考核道具」</t>
        </is>
      </c>
      <c r="Z54" s="20" t="inlineStr">
        <is>
          <t>—</t>
        </is>
      </c>
      <c r="AA54" s="20" t="inlineStr">
        <is>
          <t>—</t>
        </is>
      </c>
      <c r="AB54" s="20" t="n"/>
    </row>
    <row r="55">
      <c r="A55" s="15" t="n">
        <v>53</v>
      </c>
      <c r="B55" s="15" t="inlineStr">
        <is>
          <t>神将职</t>
        </is>
      </c>
      <c r="C55" s="15" t="inlineStr">
        <is>
          <t>飞天女神将※</t>
        </is>
      </c>
      <c r="D55" s="5" t="n">
        <v>45</v>
      </c>
      <c r="E55" s="5" t="inlineStr">
        <is>
          <t>否</t>
        </is>
      </c>
      <c r="F55" s="19" t="n">
        <v>15</v>
      </c>
      <c r="G55" s="19" t="n">
        <v>5</v>
      </c>
      <c r="H55" s="19" t="n">
        <v>10</v>
      </c>
      <c r="I55" s="19" t="n">
        <v>25</v>
      </c>
      <c r="J55" s="19" t="n">
        <v>15</v>
      </c>
      <c r="K55" s="19" t="n">
        <v>5</v>
      </c>
      <c r="L55" s="19" t="n">
        <v>5</v>
      </c>
      <c r="M55" s="19" t="n">
        <v>10</v>
      </c>
      <c r="N55" s="19" t="n">
        <v>30</v>
      </c>
      <c r="O55" s="20" t="n"/>
      <c r="P55" s="20" t="inlineStr">
        <is>
          <t>ジ・アプサラス</t>
        </is>
      </c>
      <c r="Q55" s="20" t="inlineStr">
        <is>
          <t>步兵</t>
        </is>
      </c>
      <c r="R55" s="20" t="inlineStr">
        <is>
          <t>剑术・弓术・步兵术</t>
        </is>
      </c>
      <c r="S55" s="15" t="n">
        <v>2</v>
      </c>
      <c r="T55" s="20" t="inlineStr">
        <is>
          <t>弓术C、剑术A</t>
        </is>
      </c>
      <c r="U55" s="20" t="inlineStr">
        <is>
          <t>—</t>
        </is>
      </c>
      <c r="V55" s="20" t="inlineStr">
        <is>
          <t>战技装备+3・起舞</t>
        </is>
      </c>
      <c r="W55" s="20" t="inlineStr">
        <is>
          <t>神舞</t>
        </is>
      </c>
      <c r="X55" s="20" t="inlineStr">
        <is>
          <t>—</t>
        </is>
      </c>
      <c r="Y55" s="20" t="inlineStr">
        <is>
          <t>天冠神殿※・乙女之间取得「神将考核道具」</t>
        </is>
      </c>
      <c r="Z55" s="20" t="inlineStr">
        <is>
          <t>—</t>
        </is>
      </c>
      <c r="AA55" s="20" t="inlineStr">
        <is>
          <t>—</t>
        </is>
      </c>
      <c r="AB55" s="20" t="n"/>
    </row>
    <row r="56">
      <c r="A56" s="15" t="n">
        <v>54</v>
      </c>
      <c r="B56" s="15" t="inlineStr">
        <is>
          <t>神将职</t>
        </is>
      </c>
      <c r="C56" s="15" t="inlineStr">
        <is>
          <t>永恒神将※</t>
        </is>
      </c>
      <c r="D56" s="5" t="n">
        <v>45</v>
      </c>
      <c r="E56" s="5" t="inlineStr">
        <is>
          <t>是</t>
        </is>
      </c>
      <c r="F56" s="19" t="n">
        <v>30</v>
      </c>
      <c r="G56" s="19" t="n">
        <v>30</v>
      </c>
      <c r="H56" s="19" t="n">
        <v>0</v>
      </c>
      <c r="I56" s="19" t="n">
        <v>10</v>
      </c>
      <c r="J56" s="19" t="n">
        <v>0</v>
      </c>
      <c r="K56" s="19" t="n">
        <v>15</v>
      </c>
      <c r="L56" s="19" t="n">
        <v>0</v>
      </c>
      <c r="M56" s="19" t="n">
        <v>0</v>
      </c>
      <c r="N56" s="19" t="n">
        <v>10</v>
      </c>
      <c r="O56" s="20" t="n"/>
      <c r="P56" s="20" t="inlineStr">
        <is>
          <t>ジ・エターナル</t>
        </is>
      </c>
      <c r="Q56" s="20" t="inlineStr">
        <is>
          <t>步兵</t>
        </is>
      </c>
      <c r="R56" s="20" t="inlineStr">
        <is>
          <t>剑术・斧术・格斗术・步兵术</t>
        </is>
      </c>
      <c r="S56" s="15" t="n">
        <v>2</v>
      </c>
      <c r="T56" s="20" t="inlineStr">
        <is>
          <t>—</t>
        </is>
      </c>
      <c r="U56" s="20" t="inlineStr">
        <is>
          <t>格斗术S、斧术S、剑术S</t>
        </is>
      </c>
      <c r="V56" s="20" t="inlineStr">
        <is>
          <t>战技装备+3・斧命中+10・格斗命中+10</t>
        </is>
      </c>
      <c r="W56" s="20" t="inlineStr">
        <is>
          <t>战神</t>
        </is>
      </c>
      <c r="X56" s="20" t="inlineStr">
        <is>
          <t>—</t>
        </is>
      </c>
      <c r="Y56" s="20" t="inlineStr">
        <is>
          <t>天冠神殿※・预言者之间取得「神将考核道具」</t>
        </is>
      </c>
      <c r="Z56" s="20" t="inlineStr">
        <is>
          <t>—</t>
        </is>
      </c>
      <c r="AA56" s="20" t="inlineStr">
        <is>
          <t>—</t>
        </is>
      </c>
      <c r="AB56" s="20" t="n"/>
    </row>
    <row r="57">
      <c r="A57" s="15" t="n">
        <v>55</v>
      </c>
      <c r="B57" s="15" t="inlineStr">
        <is>
          <t>神将职</t>
        </is>
      </c>
      <c r="C57" s="15" t="inlineStr">
        <is>
          <t>神手将※</t>
        </is>
      </c>
      <c r="D57" s="5" t="n">
        <v>45</v>
      </c>
      <c r="E57" s="5" t="inlineStr">
        <is>
          <t>是</t>
        </is>
      </c>
      <c r="F57" s="19" t="n">
        <v>15</v>
      </c>
      <c r="G57" s="19" t="n">
        <v>10</v>
      </c>
      <c r="H57" s="19" t="n">
        <v>10</v>
      </c>
      <c r="I57" s="19" t="n">
        <v>15</v>
      </c>
      <c r="J57" s="19" t="n">
        <v>5</v>
      </c>
      <c r="K57" s="19" t="n">
        <v>10</v>
      </c>
      <c r="L57" s="19" t="n">
        <v>15</v>
      </c>
      <c r="M57" s="19" t="n">
        <v>5</v>
      </c>
      <c r="N57" s="19" t="n">
        <v>10</v>
      </c>
      <c r="O57" s="20" t="n"/>
      <c r="P57" s="20" t="inlineStr">
        <is>
          <t>ザ・ゴッドハンド</t>
        </is>
      </c>
      <c r="Q57" s="20" t="inlineStr">
        <is>
          <t>步兵</t>
        </is>
      </c>
      <c r="R57" s="20" t="inlineStr">
        <is>
          <t>格斗术・白魔法・步兵术</t>
        </is>
      </c>
      <c r="S57" s="15" t="n">
        <v>2</v>
      </c>
      <c r="T57" s="20" t="inlineStr">
        <is>
          <t>白魔法C、格斗术S</t>
        </is>
      </c>
      <c r="U57" s="20" t="inlineStr">
        <is>
          <t>—</t>
        </is>
      </c>
      <c r="V57" s="20" t="inlineStr">
        <is>
          <t>战技装备+3・白魔法极限・格斗回避+10</t>
        </is>
      </c>
      <c r="W57" s="20" t="inlineStr">
        <is>
          <t>神装</t>
        </is>
      </c>
      <c r="X57" s="20" t="inlineStr">
        <is>
          <t>—</t>
        </is>
      </c>
      <c r="Y57" s="20" t="inlineStr">
        <is>
          <t>天冠神殿※・追随者之间取得「神将考核道具」</t>
        </is>
      </c>
      <c r="Z57" s="20" t="inlineStr">
        <is>
          <t>—</t>
        </is>
      </c>
      <c r="AA57" s="20" t="inlineStr">
        <is>
          <t>—</t>
        </is>
      </c>
      <c r="AB57" s="20" t="n"/>
    </row>
    <row r="58">
      <c r="A58" s="15" t="n">
        <v>56</v>
      </c>
      <c r="B58" s="15" t="inlineStr">
        <is>
          <t>神将职</t>
        </is>
      </c>
      <c r="C58" s="15" t="inlineStr">
        <is>
          <t>灾厄神将※</t>
        </is>
      </c>
      <c r="D58" s="5" t="n">
        <v>45</v>
      </c>
      <c r="E58" s="5" t="inlineStr">
        <is>
          <t>是</t>
        </is>
      </c>
      <c r="F58" s="19" t="n">
        <v>15</v>
      </c>
      <c r="G58" s="19" t="n">
        <v>5</v>
      </c>
      <c r="H58" s="19" t="n">
        <v>15</v>
      </c>
      <c r="I58" s="19" t="n">
        <v>25</v>
      </c>
      <c r="J58" s="19" t="n">
        <v>20</v>
      </c>
      <c r="K58" s="19" t="n">
        <v>5</v>
      </c>
      <c r="L58" s="19" t="n">
        <v>15</v>
      </c>
      <c r="M58" s="19" t="n">
        <v>15</v>
      </c>
      <c r="N58" s="19" t="n">
        <v>5</v>
      </c>
      <c r="O58" s="20" t="n"/>
      <c r="P58" s="20" t="inlineStr">
        <is>
          <t>ザ・カラミティ</t>
        </is>
      </c>
      <c r="Q58" s="20" t="inlineStr">
        <is>
          <t>步兵</t>
        </is>
      </c>
      <c r="R58" s="20" t="inlineStr">
        <is>
          <t>剑术・弓术・步兵术</t>
        </is>
      </c>
      <c r="S58" s="15" t="n">
        <v>2</v>
      </c>
      <c r="T58" s="20" t="inlineStr">
        <is>
          <t>—</t>
        </is>
      </c>
      <c r="U58" s="20" t="inlineStr">
        <is>
          <t>弓术S、剑术S</t>
        </is>
      </c>
      <c r="V58" s="20" t="inlineStr">
        <is>
          <t>战技装备+3・开锁・超级探索术</t>
        </is>
      </c>
      <c r="W58" s="20" t="inlineStr">
        <is>
          <t>神命</t>
        </is>
      </c>
      <c r="X58" s="20" t="inlineStr">
        <is>
          <t>—</t>
        </is>
      </c>
      <c r="Y58" s="20" t="inlineStr">
        <is>
          <t>天冠神殿※・歪形之间取得「神将考核道具」</t>
        </is>
      </c>
      <c r="Z58" s="20" t="inlineStr">
        <is>
          <t>—</t>
        </is>
      </c>
      <c r="AA58" s="20" t="inlineStr">
        <is>
          <t>—</t>
        </is>
      </c>
      <c r="AB58" s="20" t="n"/>
    </row>
    <row r="59">
      <c r="A59" s="15" t="n">
        <v>57</v>
      </c>
      <c r="B59" s="15" t="inlineStr">
        <is>
          <t>神将职</t>
        </is>
      </c>
      <c r="C59" s="15" t="inlineStr">
        <is>
          <t>三叉戟神将※</t>
        </is>
      </c>
      <c r="D59" s="5" t="n">
        <v>45</v>
      </c>
      <c r="E59" s="5" t="inlineStr">
        <is>
          <t>是</t>
        </is>
      </c>
      <c r="F59" s="19" t="n">
        <v>15</v>
      </c>
      <c r="G59" s="19" t="n">
        <v>15</v>
      </c>
      <c r="H59" s="19" t="n">
        <v>5</v>
      </c>
      <c r="I59" s="19" t="n">
        <v>10</v>
      </c>
      <c r="J59" s="19" t="n">
        <v>10</v>
      </c>
      <c r="K59" s="19" t="n">
        <v>15</v>
      </c>
      <c r="L59" s="19" t="n">
        <v>15</v>
      </c>
      <c r="M59" s="19" t="n">
        <v>5</v>
      </c>
      <c r="N59" s="19" t="n">
        <v>10</v>
      </c>
      <c r="O59" s="20" t="n"/>
      <c r="P59" s="20" t="inlineStr">
        <is>
          <t>ザ・トライデント</t>
        </is>
      </c>
      <c r="Q59" s="20" t="inlineStr">
        <is>
          <t>步兵</t>
        </is>
      </c>
      <c r="R59" s="20" t="inlineStr">
        <is>
          <t>枪术・白魔法・步兵术</t>
        </is>
      </c>
      <c r="S59" s="15" t="n">
        <v>2</v>
      </c>
      <c r="T59" s="20" t="inlineStr">
        <is>
          <t>枪术S</t>
        </is>
      </c>
      <c r="U59" s="20" t="inlineStr">
        <is>
          <t>—</t>
        </is>
      </c>
      <c r="V59" s="20" t="inlineStr">
        <is>
          <t>战技装备+3・魔法回复+10・白魔法极限</t>
        </is>
      </c>
      <c r="W59" s="20" t="inlineStr">
        <is>
          <t>神壁</t>
        </is>
      </c>
      <c r="X59" s="20" t="inlineStr">
        <is>
          <t>—</t>
        </is>
      </c>
      <c r="Y59" s="20" t="inlineStr">
        <is>
          <t>天冠神殿※・追随者之间取得「神将考核道具」</t>
        </is>
      </c>
      <c r="Z59" s="20" t="inlineStr">
        <is>
          <t>—</t>
        </is>
      </c>
      <c r="AA59" s="20" t="inlineStr">
        <is>
          <t>—</t>
        </is>
      </c>
      <c r="AB59" s="20" t="n"/>
    </row>
    <row r="60">
      <c r="A60" s="15" t="n">
        <v>58</v>
      </c>
      <c r="B60" s="15" t="inlineStr">
        <is>
          <t>神将职</t>
        </is>
      </c>
      <c r="C60" s="15" t="inlineStr">
        <is>
          <t>骑士神将※</t>
        </is>
      </c>
      <c r="D60" s="5" t="n">
        <v>45</v>
      </c>
      <c r="E60" s="5" t="inlineStr">
        <is>
          <t>是</t>
        </is>
      </c>
      <c r="F60" s="19" t="n">
        <v>20</v>
      </c>
      <c r="G60" s="19" t="n">
        <v>15</v>
      </c>
      <c r="H60" s="19" t="n">
        <v>5</v>
      </c>
      <c r="I60" s="19" t="n">
        <v>10</v>
      </c>
      <c r="J60" s="19" t="n">
        <v>5</v>
      </c>
      <c r="K60" s="19" t="n">
        <v>15</v>
      </c>
      <c r="L60" s="19" t="n">
        <v>10</v>
      </c>
      <c r="M60" s="19" t="n">
        <v>5</v>
      </c>
      <c r="N60" s="19" t="n">
        <v>15</v>
      </c>
      <c r="O60" s="20" t="n"/>
      <c r="P60" s="20" t="inlineStr">
        <is>
          <t>ザ・キャバリアー</t>
        </is>
      </c>
      <c r="Q60" s="20" t="inlineStr">
        <is>
          <t>骑兵</t>
        </is>
      </c>
      <c r="R60" s="20" t="inlineStr">
        <is>
          <t>枪术・剑术・斧术・马术</t>
        </is>
      </c>
      <c r="S60" s="15" t="n">
        <v>4</v>
      </c>
      <c r="T60" s="20" t="inlineStr">
        <is>
          <t>马术A</t>
        </is>
      </c>
      <c r="U60" s="20" t="inlineStr">
        <is>
          <t>斧术S、枪术S、剑术S</t>
        </is>
      </c>
      <c r="V60" s="20" t="inlineStr">
        <is>
          <t>上下坐骑・战技装备+3・黄金骑走</t>
        </is>
      </c>
      <c r="W60" s="20" t="inlineStr">
        <is>
          <t>神技</t>
        </is>
      </c>
      <c r="X60" s="20" t="inlineStr">
        <is>
          <t>—</t>
        </is>
      </c>
      <c r="Y60" s="20" t="inlineStr">
        <is>
          <t>天冠神殿※・天狼之间取得「神将考核道具」</t>
        </is>
      </c>
      <c r="Z60" s="20" t="inlineStr">
        <is>
          <t>—</t>
        </is>
      </c>
      <c r="AA60" s="20" t="inlineStr">
        <is>
          <t>—</t>
        </is>
      </c>
      <c r="AB60" s="20" t="n"/>
    </row>
    <row r="61">
      <c r="A61" s="15" t="n">
        <v>59</v>
      </c>
      <c r="B61" s="15" t="inlineStr">
        <is>
          <t>神将职</t>
        </is>
      </c>
      <c r="C61" s="15" t="inlineStr">
        <is>
          <t>化身神将※</t>
        </is>
      </c>
      <c r="D61" s="5" t="n">
        <v>45</v>
      </c>
      <c r="E61" s="5" t="inlineStr">
        <is>
          <t>是</t>
        </is>
      </c>
      <c r="F61" s="19" t="n">
        <v>10</v>
      </c>
      <c r="G61" s="19" t="n">
        <v>-5</v>
      </c>
      <c r="H61" s="19" t="n">
        <v>30</v>
      </c>
      <c r="I61" s="19" t="n">
        <v>10</v>
      </c>
      <c r="J61" s="19" t="n">
        <v>5</v>
      </c>
      <c r="K61" s="19" t="n">
        <v>-5</v>
      </c>
      <c r="L61" s="19" t="n">
        <v>30</v>
      </c>
      <c r="M61" s="19" t="n">
        <v>20</v>
      </c>
      <c r="N61" s="19" t="n">
        <v>10</v>
      </c>
      <c r="O61" s="20" t="n"/>
      <c r="P61" s="20" t="inlineStr">
        <is>
          <t>ジ・アヴァタール</t>
        </is>
      </c>
      <c r="Q61" s="20" t="inlineStr">
        <is>
          <t>步兵</t>
        </is>
      </c>
      <c r="R61" s="20" t="inlineStr">
        <is>
          <t>斧术・弓术・黑魔法・白魔法・步兵术</t>
        </is>
      </c>
      <c r="S61" s="15" t="n">
        <v>2</v>
      </c>
      <c r="T61" s="20" t="inlineStr">
        <is>
          <t>—</t>
        </is>
      </c>
      <c r="U61" s="20" t="inlineStr">
        <is>
          <t>白魔法S、黑魔法S</t>
        </is>
      </c>
      <c r="V61" s="20" t="inlineStr">
        <is>
          <t>魔法回复+10・全魔法极限・魔法回复+20</t>
        </is>
      </c>
      <c r="W61" s="20" t="inlineStr">
        <is>
          <t>神法</t>
        </is>
      </c>
      <c r="X61" s="20" t="inlineStr">
        <is>
          <t>—</t>
        </is>
      </c>
      <c r="Y61" s="20" t="inlineStr">
        <is>
          <t>天冠神殿※・预言者之间取得「神将考核道具」</t>
        </is>
      </c>
      <c r="Z61" s="20" t="inlineStr">
        <is>
          <t>—</t>
        </is>
      </c>
      <c r="AA61" s="20" t="inlineStr">
        <is>
          <t>—</t>
        </is>
      </c>
      <c r="AB61" s="20" t="n"/>
    </row>
    <row r="63">
      <c r="A63" s="4" t="inlineStr">
        <is>
          <t>说明：</t>
        </is>
      </c>
    </row>
    <row r="64">
      <c r="A64" s="21" t="inlineStr">
        <is>
          <t>「最低转职等级」取自转职条件里的推荐等级；没写推荐等级的按阶级默认（基本1/初级5/中级20/上级35/最上级45/神将45，神将职为推测值）。自动推荐只会在达到该等级后才转入此职业。</t>
        </is>
      </c>
    </row>
    <row r="65">
      <c r="A65" s="21" t="inlineStr">
        <is>
          <t>「纳入推荐」=否 的职业不会出现在自动推荐里（手动路线仍可选）。舞者、飞天女神将默认设为否（疑似蕾达专属）；没解锁或不想用的职业也可以改成否。</t>
        </is>
      </c>
    </row>
    <row r="66">
      <c r="A66" s="21" t="inlineStr">
        <is>
          <t>要追加职业，在表格末尾接着填一行即可（第152行以内），兵种名会自动出现在养成规划的下拉框里。</t>
        </is>
      </c>
    </row>
  </sheetData>
  <autoFilter ref="A2:AB61"/>
  <mergeCells count="4">
    <mergeCell ref="A64:T64"/>
    <mergeCell ref="A65:T65"/>
    <mergeCell ref="A1:L1"/>
    <mergeCell ref="A66:T66"/>
  </mergeCells>
  <dataValidations count="1">
    <dataValidation sqref="E3:E152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2026-09-24T07:20:13Z</dcterms:created>
  <dcterms:modified xsi:type="dcterms:W3CDTF">2026-09-24T07:20:13Z</dcterms:modified>
</cp:coreProperties>
</file>